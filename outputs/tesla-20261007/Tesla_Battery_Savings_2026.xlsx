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d4de4e35644d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922e2f28684ca8"/>
    <x:sheet xmlns:r="http://schemas.openxmlformats.org/officeDocument/2006/relationships" name="Monthly" sheetId="2" r:id="R66d75725bd414813"/>
    <x:sheet xmlns:r="http://schemas.openxmlformats.org/officeDocument/2006/relationships" name="Tariff and method" sheetId="3" r:id="Re9e1b2bdb75249b8"/>
    <x:sheet xmlns:r="http://schemas.openxmlformats.org/officeDocument/2006/relationships" name="Daily" sheetId="4" r:id="Rab6e8aa6720b475c"/>
    <x:sheet xmlns:r="http://schemas.openxmlformats.org/officeDocument/2006/relationships" name="Import by half hour" sheetId="5" r:id="Rc3bfd280ad4144d0"/>
    <x:sheet xmlns:r="http://schemas.openxmlformats.org/officeDocument/2006/relationships" name="Historical prices" sheetId="6" r:id="Rf135ad8bc2fb44bd"/>
    <x:sheet xmlns:r="http://schemas.openxmlformats.org/officeDocument/2006/relationships" name="Bill reconciliation" sheetId="7" r:id="R4db3bf32f9b841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&quot;£&quot;0.0000"/>
    <x:numFmt numFmtId="201" formatCode="dd mmm yyyy"/>
    <x:numFmt numFmtId="202" formatCode="#,##0.0"/>
    <x:numFmt numFmtId="203" formatCode="0.000"/>
    <x:numFmt numFmtId="204" formatCode="&quot;£&quot;#,##0.00;[Red](&quot;£&quot;#,##0.00)"/>
    <x:numFmt numFmtId="205" formatCode="0.0%"/>
    <x:numFmt numFmtId="206" formatCode="@"/>
    <x:numFmt numFmtId="207" formatCode="dd mmm yyyy hh:mm"/>
  </x:numFmts>
  <x:fonts count="4">
    <x:font>
      <x:sz val="11"/>
      <x:name val="Carlito"/>
    </x:font>
    <x:font>
      <x:sz val="11"/>
      <x:color rgb="FF243247"/>
      <x:name val="Arial"/>
    </x:font>
    <x:font>
      <x:b/>
      <x:sz val="18"/>
      <x:color rgb="FF243247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33E59"/>
      </x:patternFill>
    </x:fill>
    <x:fill>
      <x:patternFill patternType="solid">
        <x:fgColor rgb="FFFFF2CC"/>
      </x:patternFill>
    </x:fill>
    <x:fill>
      <x:patternFill patternType="solid">
        <x:fgColor rgb="FFEAF0F6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0" fontId="1" fillId="4" borderId="0" xfId="0" applyNumberFormat="1" applyFont="1" applyFill="1" applyBorder="1"/>
    <x:xf numFmtId="204" fontId="1" fillId="4" borderId="0" xfId="0" applyNumberFormat="1" applyFont="1" applyFill="1" applyBorder="1"/>
    <x:xf numFmtId="206" fontId="1" fillId="3" borderId="0" xfId="0" applyNumberFormat="1" applyFont="1" applyFill="1" applyBorder="1"/>
    <x:xf numFmtId="201" fontId="1" fillId="3" borderId="0" xfId="0" applyNumberFormat="1" applyFont="1" applyFill="1" applyBorder="1"/>
    <x:xf numFmtId="205" fontId="1" fillId="3" borderId="0" xfId="0" applyNumberFormat="1" applyFont="1" applyFill="1" applyBorder="1"/>
    <x:xf numFmtId="206" fontId="1" fillId="5" borderId="0" xfId="0" applyNumberFormat="1" applyFont="1" applyFill="1" applyBorder="1"/>
    <x:xf numFmtId="201" fontId="1" fillId="5" borderId="0" xfId="0" applyNumberFormat="1" applyFont="1" applyFill="1" applyBorder="1"/>
    <x:xf numFmtId="205" fontId="1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7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4579a963dc4a12" /><Relationship Type="http://schemas.openxmlformats.org/officeDocument/2006/relationships/theme" Target="/xl/theme/theme1.xml" Id="R5d84eec398ee484a" /><Relationship Type="http://schemas.openxmlformats.org/officeDocument/2006/relationships/sharedStrings" Target="/xl/sharedStrings.xml" Id="R08b891c548854ef6" /><Relationship Type="http://schemas.openxmlformats.org/officeDocument/2006/relationships/worksheet" Target="/xl/worksheets/sheet1.xml" Id="R74922e2f28684ca8" /><Relationship Type="http://schemas.openxmlformats.org/officeDocument/2006/relationships/worksheet" Target="/xl/worksheets/sheet2.xml" Id="R66d75725bd414813" /><Relationship Type="http://schemas.openxmlformats.org/officeDocument/2006/relationships/worksheet" Target="/xl/worksheets/sheet3.xml" Id="Re9e1b2bdb75249b8" /><Relationship Type="http://schemas.openxmlformats.org/officeDocument/2006/relationships/worksheet" Target="/xl/worksheets/sheet4.xml" Id="Rab6e8aa6720b475c" /><Relationship Type="http://schemas.openxmlformats.org/officeDocument/2006/relationships/worksheet" Target="/xl/worksheets/sheet5.xml" Id="Rc3bfd280ad4144d0" /><Relationship Type="http://schemas.openxmlformats.org/officeDocument/2006/relationships/worksheet" Target="/xl/worksheets/sheet6.xml" Id="Rf135ad8bc2fb44bd" /><Relationship Type="http://schemas.openxmlformats.org/officeDocument/2006/relationships/worksheet" Target="/xl/worksheets/sheet7.xml" Id="R4db3bf32f9b8410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d6af2024fdf454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electricity cost (£)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Fixed no-battery bill</c:v>
          </c:tx>
          <c:cat>
            <c:strRef>
              <c:f>'Monthly'!$A$5:$A$10</c:f>
              <c:strCache>
                <c:ptCount val="0"/>
              </c:strCache>
            </c:strRef>
          </c:cat>
          <c:val>
            <c:numRef>
              <c:f>'Monthly'!$G$5:$G$10</c:f>
              <c:numCache>
                <c:formatCode>"£"#,##0.00;[Red]("£"#,##0.00)</c:formatCode>
                <c:ptCount val="0"/>
              </c:numCache>
            </c:numRef>
          </c:val>
        </c:ser>
        <c:ser>
          <c:idx val="1"/>
          <c:order val="1"/>
          <c:tx>
            <c:v>Actual grid bill</c:v>
          </c:tx>
          <c:cat>
            <c:strRef>
              <c:f>'Monthly'!$A$5:$A$10</c:f>
              <c:strCache>
                <c:ptCount val="0"/>
              </c:strCache>
            </c:strRef>
          </c:cat>
          <c:val>
            <c:numRef>
              <c:f>'Monthly'!$H$5:$H$10</c:f>
              <c:numCache>
                <c:formatCode>"£"#,##0.00;[Red]("£"#,##0.00)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£&quot;#,##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9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6af2024fdf454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5ef66e34a1743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1" customHeight="1">
      <x:c r="A1" s="2" t="str">
        <x:v>Tesla battery energy and savings</x:v>
      </x:c>
      <x:c r="B1" s="1"/>
      <x:c r="C1" s="1"/>
      <x:c r="D1" s="1"/>
      <x:c r="E1" s="1"/>
      <x:c r="F1" s="1"/>
      <x:c r="G1" s="1"/>
      <x:c r="H1" s="1"/>
    </x:row>
    <x:row r="2" ht="21" customHeight="1">
      <x:c r="A2" s="1" t="str">
        <x:v>6 May–7 October 2026 | Fixed tariff until 22 May; Agile from 23 May | Costs include applicable VAT</x:v>
      </x:c>
      <x:c r="B2" s="1"/>
      <x:c r="C2" s="1"/>
      <x:c r="D2" s="1"/>
      <x:c r="E2" s="1"/>
      <x:c r="F2" s="1"/>
      <x:c r="G2" s="1"/>
      <x:c r="H2" s="1"/>
    </x:row>
    <x:row r="3" ht="21" customHeight="1">
      <x:c r="A3" s="1"/>
      <x:c r="B3" s="1"/>
      <x:c r="C3" s="1"/>
      <x:c r="D3" s="1"/>
      <x:c r="E3" s="1"/>
      <x:c r="F3" s="1"/>
      <x:c r="G3" s="1"/>
      <x:c r="H3" s="1"/>
    </x:row>
    <x:row r="4" ht="42" customHeight="1">
      <x:c r="A4" s="5" t="str">
        <x:v>Metric</x:v>
      </x:c>
      <x:c r="B4" s="5" t="str">
        <x:v>Result</x:v>
      </x:c>
      <x:c r="C4" s="5" t="str">
        <x:v>Unit</x:v>
      </x:c>
      <x:c r="D4" s="1"/>
      <x:c r="E4" s="1"/>
      <x:c r="F4" s="1"/>
      <x:c r="G4" s="1"/>
      <x:c r="H4" s="1"/>
    </x:row>
    <x:row r="5" ht="21" customHeight="1">
      <x:c r="A5" s="1" t="str">
        <x:v>Household electricity used</x:v>
      </x:c>
      <x:c r="B5" s="11" t="n">
        <x:f>SUM('Daily'!D5:D159)</x:f>
        <x:v>3452.6824166666684</x:v>
      </x:c>
      <x:c r="C5" s="1" t="str">
        <x:v>kWh</x:v>
      </x:c>
      <x:c r="D5" s="1"/>
      <x:c r="E5" s="1"/>
      <x:c r="F5" s="1"/>
      <x:c r="G5" s="1"/>
      <x:c r="H5" s="1"/>
    </x:row>
    <x:row r="6" ht="21" customHeight="1">
      <x:c r="A6" s="1" t="str">
        <x:v>Grid electricity imported</x:v>
      </x:c>
      <x:c r="B6" s="11" t="n">
        <x:f>SUM('Daily'!R5:R159)</x:f>
        <x:v>3507.419249999999</x:v>
      </x:c>
      <x:c r="C6" s="1" t="str">
        <x:v>kWh</x:v>
      </x:c>
      <x:c r="D6" s="1"/>
      <x:c r="E6" s="1"/>
      <x:c r="F6" s="1"/>
      <x:c r="G6" s="1"/>
      <x:c r="H6" s="1"/>
    </x:row>
    <x:row r="7" ht="21" customHeight="1">
      <x:c r="A7" s="1" t="str">
        <x:v>Battery supplied to home</x:v>
      </x:c>
      <x:c r="B7" s="11" t="n">
        <x:f>SUM('Daily'!E5:E159)</x:f>
        <x:v>1796.0957500000013</x:v>
      </x:c>
      <x:c r="C7" s="1" t="str">
        <x:v>kWh</x:v>
      </x:c>
      <x:c r="D7" s="1"/>
      <x:c r="E7" s="1"/>
      <x:c r="F7" s="1"/>
      <x:c r="G7" s="1"/>
      <x:c r="H7" s="1"/>
    </x:row>
    <x:row r="8" ht="21" customHeight="1">
      <x:c r="A8" s="1" t="str">
        <x:v>Battery share of household use</x:v>
      </x:c>
      <x:c r="B8" s="14" t="n">
        <x:f>B7/B5</x:f>
        <x:v>0.5202029996532408</x:v>
      </x:c>
      <x:c r="C8" s="1" t="str">
        <x:v>%</x:v>
      </x:c>
      <x:c r="D8" s="1"/>
      <x:c r="E8" s="1"/>
      <x:c r="F8" s="1"/>
      <x:c r="G8" s="1"/>
      <x:c r="H8" s="1"/>
    </x:row>
    <x:row r="9" ht="21" customHeight="1">
      <x:c r="A9" s="1" t="str">
        <x:v>Battery charged from grid</x:v>
      </x:c>
      <x:c r="B9" s="11" t="n">
        <x:f>SUM('Daily'!M5:M159)</x:f>
        <x:v>1876.568999999999</x:v>
      </x:c>
      <x:c r="C9" s="1" t="str">
        <x:v>kWh</x:v>
      </x:c>
      <x:c r="D9" s="1"/>
      <x:c r="E9" s="1"/>
      <x:c r="F9" s="1"/>
      <x:c r="G9" s="1"/>
      <x:c r="H9" s="1"/>
    </x:row>
    <x:row r="10" ht="21" customHeight="1">
      <x:c r="A10" s="1" t="str">
        <x:v>Battery discharged</x:v>
      </x:c>
      <x:c r="B10" s="11" t="n">
        <x:f>SUM('Daily'!H5:H159)</x:f>
        <x:v>1797.5910000000008</x:v>
      </x:c>
      <x:c r="C10" s="1" t="str">
        <x:v>kWh</x:v>
      </x:c>
      <x:c r="D10" s="1"/>
      <x:c r="E10" s="1"/>
      <x:c r="F10" s="1"/>
      <x:c r="G10" s="1"/>
      <x:c r="H10" s="1"/>
    </x:row>
    <x:row r="11" ht="21" customHeight="1">
      <x:c r="A11" s="1" t="str">
        <x:v>Apparent discharge / charge</x:v>
      </x:c>
      <x:c r="B11" s="14" t="n">
        <x:f>B10/B9</x:f>
        <x:v>0.9579136178845551</x:v>
      </x:c>
      <x:c r="C11" s="1" t="str">
        <x:v>%</x:v>
      </x:c>
      <x:c r="D11" s="1"/>
      <x:c r="E11" s="1"/>
      <x:c r="F11" s="1"/>
      <x:c r="G11" s="1"/>
      <x:c r="H11" s="1"/>
    </x:row>
    <x:row r="12" ht="21" customHeight="1">
      <x:c r="A12" s="1" t="str">
        <x:v>Charge less discharge</x:v>
      </x:c>
      <x:c r="B12" s="11" t="n">
        <x:f>B9-B10</x:f>
        <x:v>78.97799999999825</x:v>
      </x:c>
      <x:c r="C12" s="1" t="str">
        <x:v>kWh</x:v>
      </x:c>
      <x:c r="D12" s="1"/>
      <x:c r="E12" s="1"/>
      <x:c r="F12" s="1"/>
      <x:c r="G12" s="1"/>
      <x:c r="H12" s="1"/>
    </x:row>
    <x:row r="13" ht="21" customHeight="1">
      <x:c r="A13" s="1" t="str">
        <x:v>Fixed tariff, no batteries</x:v>
      </x:c>
      <x:c r="B13" s="13" t="n">
        <x:f>SUM('Daily'!X5:X159)</x:f>
        <x:v>877.0742046499996</x:v>
      </x:c>
      <x:c r="C13" s="1" t="str">
        <x:v>£</x:v>
      </x:c>
      <x:c r="D13" s="1"/>
      <x:c r="E13" s="1"/>
      <x:c r="F13" s="1"/>
      <x:c r="G13" s="1"/>
      <x:c r="H13" s="1"/>
    </x:row>
    <x:row r="14" ht="21" customHeight="1">
      <x:c r="A14" s="1" t="str">
        <x:v>Modelled grid bill</x:v>
      </x:c>
      <x:c r="B14" s="13" t="n">
        <x:f>SUM('Daily'!Z5:Z159)</x:f>
        <x:v>627.3216166849998</x:v>
      </x:c>
      <x:c r="C14" s="1" t="str">
        <x:v>£</x:v>
      </x:c>
      <x:c r="D14" s="1"/>
      <x:c r="E14" s="1"/>
      <x:c r="F14" s="1"/>
      <x:c r="G14" s="1"/>
      <x:c r="H14" s="1"/>
    </x:row>
    <x:row r="15" ht="21" customHeight="1">
      <x:c r="A15" s="15" t="str">
        <x:v>Total saving vs fixed tariff</x:v>
      </x:c>
      <x:c r="B15" s="16" t="n">
        <x:f>B13-B14</x:f>
        <x:v>249.75258796499986</x:v>
      </x:c>
      <x:c r="C15" s="15" t="str">
        <x:v>£</x:v>
      </x:c>
      <x:c r="D15" s="1"/>
      <x:c r="E15" s="1"/>
      <x:c r="F15" s="1"/>
      <x:c r="G15" s="1"/>
      <x:c r="H15" s="1"/>
    </x:row>
    <x:row r="16" ht="21" customHeight="1">
      <x:c r="A16" s="15" t="str">
        <x:v>Battery-only saving</x:v>
      </x:c>
      <x:c r="B16" s="16" t="n">
        <x:f>SUM('Daily'!AC5:AC159)</x:f>
        <x:v>295.8727201079169</x:v>
      </x:c>
      <x:c r="C16" s="15" t="str">
        <x:v>£</x:v>
      </x:c>
      <x:c r="D16" s="1"/>
      <x:c r="E16" s="1"/>
      <x:c r="F16" s="1"/>
      <x:c r="G16" s="1"/>
      <x:c r="H16" s="1"/>
    </x:row>
    <x:row r="17" ht="21" customHeight="1">
      <x:c r="A17" s="15" t="str">
        <x:v>Tariff-only saving</x:v>
      </x:c>
      <x:c r="B17" s="16" t="n">
        <x:f>SUM('Daily'!AD5:AD159)</x:f>
        <x:v>-46.12013214291665</x:v>
      </x:c>
      <x:c r="C17" s="15" t="str">
        <x:v>£</x:v>
      </x:c>
      <x:c r="D17" s="1"/>
      <x:c r="E17" s="1"/>
      <x:c r="F17" s="1"/>
      <x:c r="G17" s="1"/>
      <x:c r="H17" s="1"/>
    </x:row>
    <x:row r="18" ht="21" customHeight="1">
      <x:c r="A18" s="1" t="str">
        <x:v>Saving / baseline cost</x:v>
      </x:c>
      <x:c r="B18" s="14" t="n">
        <x:f>B15/B13</x:f>
        <x:v>0.28475650821889664</x:v>
      </x:c>
      <x:c r="C18" s="1" t="str">
        <x:v>%</x:v>
      </x:c>
      <x:c r="D18" s="1"/>
      <x:c r="E18" s="1"/>
      <x:c r="F18" s="1"/>
      <x:c r="G18" s="1"/>
      <x:c r="H18" s="1"/>
    </x:row>
    <x:row r="19" ht="21" customHeight="1">
      <x:c r="A19" s="1" t="str">
        <x:v>Household energy cost at fixed rate</x:v>
      </x:c>
      <x:c r="B19" s="13" t="n">
        <x:f>SUM('Daily'!X5:X159)-B20</x:f>
        <x:v>804.9361246499996</x:v>
      </x:c>
      <x:c r="C19" s="1" t="str">
        <x:v>£</x:v>
      </x:c>
      <x:c r="D19" s="1"/>
      <x:c r="E19" s="1"/>
      <x:c r="F19" s="1"/>
      <x:c r="G19" s="1"/>
      <x:c r="H19" s="1"/>
    </x:row>
    <x:row r="20" ht="21" customHeight="1">
      <x:c r="A20" s="1" t="str">
        <x:v>Standing charges in baseline</x:v>
      </x:c>
      <x:c r="B20" s="13" t="n">
        <x:f>(148*1.05+7)*'Tariff and method'!B5</x:f>
        <x:v>72.13808</x:v>
      </x:c>
      <x:c r="C20" s="1" t="str">
        <x:v>£</x:v>
      </x:c>
      <x:c r="D20" s="1"/>
      <x:c r="E20" s="1"/>
      <x:c r="F20" s="1"/>
      <x:c r="G20" s="1"/>
      <x:c r="H20" s="1"/>
    </x:row>
    <x:row r="21" ht="21" customHeight="1">
      <x:c r="A21" s="1" t="str">
        <x:v>Average daily home consumption</x:v>
      </x:c>
      <x:c r="B21" s="11" t="n">
        <x:f>B5/(SUM('Daily'!C5:C159)/24)</x:f>
        <x:v>22.425577591845027</x:v>
      </x:c>
      <x:c r="C21" s="1" t="str">
        <x:v>kWh / 24h observed</x:v>
      </x:c>
      <x:c r="D21" s="1"/>
      <x:c r="E21" s="1"/>
      <x:c r="F21" s="1"/>
      <x:c r="G21" s="1"/>
      <x:c r="H21" s="1"/>
    </x:row>
    <x:row r="22" ht="21" customHeight="1">
      <x:c r="A22" s="1" t="str">
        <x:v>Home-source residual</x:v>
      </x:c>
      <x:c r="B22" s="11" t="n">
        <x:f>SUM('Daily'!AG5:AG159)</x:f>
        <x:v>28.03941666666671</x:v>
      </x:c>
      <x:c r="C22" s="1" t="str">
        <x:v>kWh</x:v>
      </x:c>
      <x:c r="D22" s="1"/>
      <x:c r="E22" s="1"/>
      <x:c r="F22" s="1"/>
      <x:c r="G22" s="1"/>
      <x:c r="H22" s="1"/>
    </x:row>
    <x:row r="23" ht="21" customHeight="1">
      <x:c r="A23" s="1" t="str">
        <x:v>Grid-import residual</x:v>
      </x:c>
      <x:c r="B23" s="11" t="n">
        <x:f>SUM('Daily'!AH5:AH159)</x:f>
        <x:v>2.302999999999963</x:v>
      </x:c>
      <x:c r="C23" s="1" t="str">
        <x:v>kWh</x:v>
      </x:c>
      <x:c r="D23" s="1"/>
      <x:c r="E23" s="1"/>
      <x:c r="F23" s="1"/>
      <x:c r="G23" s="1"/>
      <x:c r="H23" s="1"/>
    </x:row>
    <x:row r="24" ht="21" customHeight="1">
      <x:c r="A24" s="1"/>
      <x:c r="B24" s="1"/>
      <x:c r="C24" s="1"/>
      <x:c r="D24" s="1"/>
      <x:c r="E24" s="1"/>
      <x:c r="F24" s="1"/>
      <x:c r="G24" s="1"/>
      <x:c r="H24" s="1"/>
    </x:row>
    <x:row r="25" ht="35" customHeight="1">
      <x:c r="A25" s="9" t="str">
        <x:v>Costs use historical Agile region G prices and bill-confirmed standing charges. Savings separate battery operation from tariff switching.</x:v>
      </x:c>
      <x:c r="B25" s="9"/>
      <x:c r="C25" s="9"/>
      <x:c r="D25" s="9"/>
      <x:c r="E25" s="9"/>
      <x:c r="F25" s="9"/>
      <x:c r="G25" s="9"/>
      <x:c r="H25" s="9"/>
    </x:row>
    <x:row r="26" ht="21" customHeight="1">
      <x:c r="A26" s="1"/>
      <x:c r="B26" s="1"/>
      <x:c r="C26" s="1"/>
      <x:c r="D26" s="1"/>
      <x:c r="E26" s="1"/>
      <x:c r="F26" s="1"/>
      <x:c r="G26" s="1"/>
      <x:c r="H26" s="1"/>
    </x:row>
    <x:row r="27" ht="21" customHeight="1">
      <x:c r="A27" s="1"/>
      <x:c r="B27" s="1"/>
      <x:c r="C27" s="1"/>
      <x:c r="D27" s="1"/>
      <x:c r="E27" s="1"/>
      <x:c r="F27" s="1"/>
      <x:c r="G27" s="1"/>
      <x:c r="H27" s="1"/>
    </x:row>
    <x:row r="28" ht="34" customHeight="1">
      <x:c r="A28" s="9" t="str">
        <x:v>Battery-only saving compares the same household demand on the same tariff without storage. No solar or export is recorded.</x:v>
      </x:c>
      <x:c r="B28" s="9"/>
      <x:c r="C28" s="9"/>
      <x:c r="D28" s="9"/>
      <x:c r="E28" s="9"/>
      <x:c r="F28" s="9"/>
      <x:c r="G28" s="9"/>
      <x:c r="H28" s="9"/>
    </x:row>
    <x:row r="29" ht="21" customHeight="1">
      <x:c r="A29" s="1"/>
      <x:c r="B29" s="1"/>
      <x:c r="C29" s="1"/>
      <x:c r="D29" s="1"/>
      <x:c r="E29" s="1"/>
      <x:c r="F29" s="1"/>
      <x:c r="G29" s="1"/>
      <x:c r="H29" s="1"/>
    </x:row>
    <x:row r="30" ht="24" customHeight="1">
      <x:c r="A30" s="9" t="str">
        <x:v>NetZero imports are approximately 4% below bill-meter consumption over matching periods. Treat savings as an estimate; see Bill reconciliation.</x:v>
      </x:c>
      <x:c r="B30" s="9"/>
      <x:c r="C30" s="9"/>
      <x:c r="D30" s="9"/>
      <x:c r="E30" s="9"/>
      <x:c r="F30" s="9"/>
      <x:c r="G30" s="9"/>
      <x:c r="H30" s="9"/>
      <x:c r="I30" s="23"/>
    </x:row>
    <x:row r="31" ht="24" customHeight="1">
      <x:c r="A31" s="9"/>
      <x:c r="B31" s="9"/>
      <x:c r="C31" s="9"/>
      <x:c r="D31" s="9"/>
      <x:c r="E31" s="9"/>
      <x:c r="F31" s="9"/>
      <x:c r="G31" s="9"/>
      <x:c r="H31" s="9"/>
      <x:c r="I31" s="23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</x:row>
    <x:row r="33" ht="21" customHeight="1">
      <x:c r="A33" s="1"/>
      <x:c r="B33" s="1"/>
      <x:c r="C33" s="1"/>
      <x:c r="D33" s="1"/>
      <x:c r="E33" s="1"/>
      <x:c r="F33" s="1"/>
      <x:c r="G33" s="1"/>
      <x:c r="H33" s="1"/>
    </x:row>
    <x:row r="34" ht="21" customHeight="1">
      <x:c r="A34" s="1"/>
      <x:c r="B34" s="1"/>
      <x:c r="C34" s="1"/>
      <x:c r="D34" s="1"/>
      <x:c r="E34" s="1"/>
      <x:c r="F34" s="1"/>
      <x:c r="G34" s="1"/>
      <x:c r="H34" s="1"/>
    </x:row>
    <x:row r="35" ht="21" customHeight="1">
      <x:c r="A35" s="1"/>
      <x:c r="B35" s="1"/>
      <x:c r="C35" s="1"/>
      <x:c r="D35" s="1"/>
      <x:c r="E35" s="1"/>
      <x:c r="F35" s="1"/>
      <x:c r="G35" s="1"/>
      <x:c r="H35" s="1"/>
    </x:row>
    <x:row r="36" ht="21" customHeight="1">
      <x:c r="A36" s="1"/>
      <x:c r="B36" s="1"/>
      <x:c r="C36" s="1"/>
      <x:c r="D36" s="1"/>
      <x:c r="E36" s="1"/>
      <x:c r="F36" s="1"/>
      <x:c r="G36" s="1"/>
      <x:c r="H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</x:row>
    <x:row r="38" ht="21" customHeight="1">
      <x:c r="A38" s="1"/>
      <x:c r="B38" s="1"/>
      <x:c r="C38" s="1"/>
      <x:c r="D38" s="1"/>
      <x:c r="E38" s="1"/>
      <x:c r="F38" s="1"/>
      <x:c r="G38" s="1"/>
      <x:c r="H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</x:row>
  </x:sheetData>
  <x:mergeCells>
    <x:mergeCell ref="A25:H25"/>
    <x:mergeCell ref="A28:H28"/>
    <x:mergeCell ref="A30:I31"/>
  </x:mergeCells>
  <x:pageMargins left="0.7" right="0.7" top="0.75" bottom="0.75" header="0.3" footer="0.3"/>
  <x:drawing xmlns:r="http://schemas.openxmlformats.org/officeDocument/2006/relationships" r:id="Rf5ef66e34a1743d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1" customHeight="1">
      <x:c r="A1" s="2" t="str">
        <x:v>Monthly energy and savings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1" customHeight="1">
      <x:c r="A2" s="1" t="str">
        <x:v>May and October are partial months. Costs include VAT as shown on bills.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56" customHeight="1">
      <x:c r="A4" s="5" t="str">
        <x:v>Month</x:v>
      </x:c>
      <x:c r="B4" s="5" t="str">
        <x:v>Days</x:v>
      </x:c>
      <x:c r="C4" s="5" t="str">
        <x:v>Home kWh</x:v>
      </x:c>
      <x:c r="D4" s="5" t="str">
        <x:v>Import kWh</x:v>
      </x:c>
      <x:c r="E4" s="5" t="str">
        <x:v>Charge kWh</x:v>
      </x:c>
      <x:c r="F4" s="5" t="str">
        <x:v>Discharge kWh</x:v>
      </x:c>
      <x:c r="G4" s="5" t="str">
        <x:v>Fixed no-battery bill</x:v>
      </x:c>
      <x:c r="H4" s="5" t="str">
        <x:v>Actual grid bill</x:v>
      </x:c>
      <x:c r="I4" s="5" t="str">
        <x:v>Total saving</x:v>
      </x:c>
      <x:c r="J4" s="5" t="str">
        <x:v>Battery-only saving</x:v>
      </x:c>
      <x:c r="K4" s="5" t="str">
        <x:v>Tariff-only saving</x:v>
      </x:c>
    </x:row>
    <x:row r="5" ht="21" customHeight="1">
      <x:c r="A5" s="1" t="str">
        <x:v>May 2026</x:v>
      </x:c>
      <x:c r="B5" s="1" t="n">
        <x:v>26</x:v>
      </x:c>
      <x:c r="C5" s="11" t="n">
        <x:f>SUM('Daily'!D5:D30)</x:f>
        <x:v>665.4155833333334</x:v>
      </x:c>
      <x:c r="D5" s="11" t="n">
        <x:f>SUM('Daily'!R5:R30)</x:f>
        <x:v>661.2084999999997</x:v>
      </x:c>
      <x:c r="E5" s="11" t="n">
        <x:f>SUM('Daily'!M5:M30)</x:f>
        <x:v>102.36599999999999</x:v>
      </x:c>
      <x:c r="F5" s="11" t="n">
        <x:f>SUM('Daily'!H5:H30)</x:f>
        <x:v>103.62700000000001</x:v>
      </x:c>
      <x:c r="G5" s="13" t="n">
        <x:f>SUM('Daily'!X5:X30)</x:f>
        <x:v>167.6542442925</x:v>
      </x:c>
      <x:c r="H5" s="13" t="n">
        <x:f>SUM('Daily'!Z5:Z30)</x:f>
        <x:v>156.55284457750003</x:v>
      </x:c>
      <x:c r="I5" s="13" t="n">
        <x:f>SUM('Daily'!AA5:AA30)</x:f>
        <x:v>11.101399715000007</x:v>
      </x:c>
      <x:c r="J5" s="13" t="n">
        <x:f>SUM('Daily'!AC5:AC30)</x:f>
        <x:v>9.048445962499999</x:v>
      </x:c>
      <x:c r="K5" s="13" t="n">
        <x:f>SUM('Daily'!AD5:AD30)</x:f>
        <x:v>2.0529537525000094</x:v>
      </x:c>
    </x:row>
    <x:row r="6" ht="21" customHeight="1">
      <x:c r="A6" s="1" t="str">
        <x:v>Jun 2026</x:v>
      </x:c>
      <x:c r="B6" s="1" t="n">
        <x:v>30</x:v>
      </x:c>
      <x:c r="C6" s="11" t="n">
        <x:f>SUM('Daily'!D31:D60)</x:f>
        <x:v>636.8454999999999</x:v>
      </x:c>
      <x:c r="D6" s="11" t="n">
        <x:f>SUM('Daily'!R31:R60)</x:f>
        <x:v>647.67225</x:v>
      </x:c>
      <x:c r="E6" s="11" t="n">
        <x:f>SUM('Daily'!M31:M60)</x:f>
        <x:v>357.95300000000003</x:v>
      </x:c>
      <x:c r="F6" s="11" t="n">
        <x:f>SUM('Daily'!H31:H60)</x:f>
        <x:v>341.93000000000006</x:v>
      </x:c>
      <x:c r="G6" s="13" t="n">
        <x:f>SUM('Daily'!X31:X60)</x:f>
        <x:v>162.84219871500002</x:v>
      </x:c>
      <x:c r="H6" s="13" t="n">
        <x:f>SUM('Daily'!Z31:Z60)</x:f>
        <x:v>84.60810040375</x:v>
      </x:c>
      <x:c r="I6" s="13" t="n">
        <x:f>SUM('Daily'!AA31:AA60)</x:f>
        <x:v>78.23409831125001</x:v>
      </x:c>
      <x:c r="J6" s="13" t="n">
        <x:f>SUM('Daily'!AC31:AC60)</x:f>
        <x:v>61.738763100000014</x:v>
      </x:c>
      <x:c r="K6" s="13" t="n">
        <x:f>SUM('Daily'!AD31:AD60)</x:f>
        <x:v>16.49533521125</x:v>
      </x:c>
    </x:row>
    <x:row r="7" ht="21" customHeight="1">
      <x:c r="A7" s="1" t="str">
        <x:v>Jul 2026</x:v>
      </x:c>
      <x:c r="B7" s="1" t="n">
        <x:v>31</x:v>
      </x:c>
      <x:c r="C7" s="11" t="n">
        <x:f>SUM('Daily'!D61:D91)</x:f>
        <x:v>724.683</x:v>
      </x:c>
      <x:c r="D7" s="11" t="n">
        <x:f>SUM('Daily'!R61:R91)</x:f>
        <x:v>747.7795833333333</x:v>
      </x:c>
      <x:c r="E7" s="11" t="n">
        <x:f>SUM('Daily'!M61:M91)</x:f>
        <x:v>481.6999999999999</x:v>
      </x:c>
      <x:c r="F7" s="11" t="n">
        <x:f>SUM('Daily'!H61:H91)</x:f>
        <x:v>453.56300000000005</x:v>
      </x:c>
      <x:c r="G7" s="13" t="n">
        <x:f>SUM('Daily'!X61:X91)</x:f>
        <x:v>183.83886758999998</x:v>
      </x:c>
      <x:c r="H7" s="13" t="n">
        <x:f>SUM('Daily'!Z61:Z91)</x:f>
        <x:v>105.03615555124999</x:v>
      </x:c>
      <x:c r="I7" s="13" t="n">
        <x:f>SUM('Daily'!AA61:AA91)</x:f>
        <x:v>78.80271203875003</x:v>
      </x:c>
      <x:c r="J7" s="13" t="n">
        <x:f>SUM('Daily'!AC61:AC91)</x:f>
        <x:v>70.56226478000002</x:v>
      </x:c>
      <x:c r="K7" s="13" t="n">
        <x:f>SUM('Daily'!AD61:AD91)</x:f>
        <x:v>8.240447258750017</x:v>
      </x:c>
    </x:row>
    <x:row r="8" ht="21" customHeight="1">
      <x:c r="A8" s="1" t="str">
        <x:v>Aug 2026</x:v>
      </x:c>
      <x:c r="B8" s="1" t="n">
        <x:v>31</x:v>
      </x:c>
      <x:c r="C8" s="11" t="n">
        <x:f>SUM('Daily'!D92:D122)</x:f>
        <x:v>700.2770833333335</x:v>
      </x:c>
      <x:c r="D8" s="11" t="n">
        <x:f>SUM('Daily'!R92:R122)</x:f>
        <x:v>718.8905000000002</x:v>
      </x:c>
      <x:c r="E8" s="11" t="n">
        <x:f>SUM('Daily'!M92:M122)</x:f>
        <x:v>416.5199999999999</x:v>
      </x:c>
      <x:c r="F8" s="11" t="n">
        <x:f>SUM('Daily'!H92:H122)</x:f>
        <x:v>391.587</x:v>
      </x:c>
      <x:c r="G8" s="13" t="n">
        <x:f>SUM('Daily'!X92:X122)</x:f>
        <x:v>178.13447268750005</x:v>
      </x:c>
      <x:c r="H8" s="13" t="n">
        <x:f>SUM('Daily'!Z92:Z122)</x:f>
        <x:v>149.30237369249997</x:v>
      </x:c>
      <x:c r="I8" s="13" t="n">
        <x:f>SUM('Daily'!AA92:AA122)</x:f>
        <x:v>28.83209899500001</x:v>
      </x:c>
      <x:c r="J8" s="13" t="n">
        <x:f>SUM('Daily'!AC92:AC122)</x:f>
        <x:v>60.99469666500001</x:v>
      </x:c>
      <x:c r="K8" s="13" t="n">
        <x:f>SUM('Daily'!AD92:AD122)</x:f>
        <x:v>-32.16259766999999</x:v>
      </x:c>
    </x:row>
    <x:row r="9" ht="21" customHeight="1">
      <x:c r="A9" s="1" t="str">
        <x:v>Sep 2026</x:v>
      </x:c>
      <x:c r="B9" s="1" t="n">
        <x:v>30</x:v>
      </x:c>
      <x:c r="C9" s="11" t="n">
        <x:f>SUM('Daily'!D123:D152)</x:f>
        <x:v>540.4355</x:v>
      </x:c>
      <x:c r="D9" s="11" t="n">
        <x:f>SUM('Daily'!R123:R152)</x:f>
        <x:v>533.9377499999999</x:v>
      </x:c>
      <x:c r="E9" s="11" t="n">
        <x:f>SUM('Daily'!M123:M152)</x:f>
        <x:v>381.105</x:v>
      </x:c>
      <x:c r="F9" s="11" t="n">
        <x:f>SUM('Daily'!H123:H152)</x:f>
        <x:v>383.65399999999994</x:v>
      </x:c>
      <x:c r="G9" s="13" t="n">
        <x:f>SUM('Daily'!X123:X152)</x:f>
        <x:v>140.30828941500002</x:v>
      </x:c>
      <x:c r="H9" s="13" t="n">
        <x:f>SUM('Daily'!Z123:Z152)</x:f>
        <x:v>83.58043561000001</x:v>
      </x:c>
      <x:c r="I9" s="13" t="n">
        <x:f>SUM('Daily'!AA123:AA152)</x:f>
        <x:v>56.72785380500001</x:v>
      </x:c>
      <x:c r="J9" s="13" t="n">
        <x:f>SUM('Daily'!AC123:AC152)</x:f>
        <x:v>79.38826473374999</x:v>
      </x:c>
      <x:c r="K9" s="13" t="n">
        <x:f>SUM('Daily'!AD123:AD152)</x:f>
        <x:v>-22.660410928750004</x:v>
      </x:c>
    </x:row>
    <x:row r="10" ht="21" customHeight="1">
      <x:c r="A10" s="1" t="str">
        <x:v>Oct 2026</x:v>
      </x:c>
      <x:c r="B10" s="1" t="n">
        <x:v>7</x:v>
      </x:c>
      <x:c r="C10" s="11" t="n">
        <x:f>SUM('Daily'!D153:D159)</x:f>
        <x:v>185.02575</x:v>
      </x:c>
      <x:c r="D10" s="11" t="n">
        <x:f>SUM('Daily'!R153:R159)</x:f>
        <x:v>197.93066666666667</x:v>
      </x:c>
      <x:c r="E10" s="11" t="n">
        <x:f>SUM('Daily'!M153:M159)</x:f>
        <x:v>136.92499999999998</x:v>
      </x:c>
      <x:c r="F10" s="11" t="n">
        <x:f>SUM('Daily'!H153:H159)</x:f>
        <x:v>123.23000000000005</x:v>
      </x:c>
      <x:c r="G10" s="13" t="n">
        <x:f>SUM('Daily'!X153:X159)</x:f>
        <x:v>44.29613195000001</x:v>
      </x:c>
      <x:c r="H10" s="13" t="n">
        <x:f>SUM('Daily'!Z153:Z159)</x:f>
        <x:v>48.24170685</x:v>
      </x:c>
      <x:c r="I10" s="13" t="n">
        <x:f>SUM('Daily'!AA153:AA159)</x:f>
        <x:v>-3.9455748999999996</x:v>
      </x:c>
      <x:c r="J10" s="13" t="n">
        <x:f>SUM('Daily'!AC153:AC159)</x:f>
        <x:v>14.140284866666669</x:v>
      </x:c>
      <x:c r="K10" s="13" t="n">
        <x:f>SUM('Daily'!AD153:AD159)</x:f>
        <x:v>-18.085859766666665</x:v>
      </x:c>
    </x:row>
    <x:row r="11" ht="21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21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34" hidden="0" customWidth="1"/>
    <x:col min="3" max="3" width="85" hidden="0" customWidth="1"/>
    <x:col min="4" max="4" width="18" hidden="0" customWidth="1"/>
  </x:cols>
  <x:sheetData>
    <x:row r="1" ht="21" customHeight="1">
      <x:c r="A1" s="2" t="str">
        <x:v>Tariff and calculation method</x:v>
      </x:c>
      <x:c r="B1" s="1"/>
      <x:c r="C1" s="1"/>
      <x:c r="D1" s="1"/>
    </x:row>
    <x:row r="2" ht="21" customHeight="1">
      <x:c r="A2" s="1"/>
      <x:c r="B2" s="1"/>
      <x:c r="C2" s="1"/>
      <x:c r="D2" s="1"/>
    </x:row>
    <x:row r="3" ht="42" customHeight="1">
      <x:c r="A3" s="5" t="str">
        <x:v>Input</x:v>
      </x:c>
      <x:c r="B3" s="5" t="str">
        <x:v>Value</x:v>
      </x:c>
      <x:c r="C3" s="5" t="str">
        <x:v>Source / use</x:v>
      </x:c>
      <x:c r="D3" s="1"/>
    </x:row>
    <x:row r="4" ht="21" customHeight="1">
      <x:c r="A4" s="1" t="str">
        <x:v>Fixed import rate (£/kWh)</x:v>
      </x:c>
      <x:c r="B4" s="6" t="n">
        <x:v>0.2226</x:v>
      </x:c>
      <x:c r="C4" s="1" t="str">
        <x:v>User tariff image: Octopus 12M Fixed October 2025 v2</x:v>
      </x:c>
      <x:c r="D4" s="1"/>
    </x:row>
    <x:row r="5" ht="21" customHeight="1">
      <x:c r="A5" s="1" t="str">
        <x:v>Fixed standing charge (£/day)</x:v>
      </x:c>
      <x:c r="B5" s="6" t="n">
        <x:v>0.4442</x:v>
      </x:c>
      <x:c r="C5" s="1" t="str">
        <x:v>User tariff image; fixed comparison standing charge, excluding VAT</x:v>
      </x:c>
      <x:c r="D5" s="1"/>
    </x:row>
    <x:row r="6" ht="21" customHeight="1">
      <x:c r="A6" s="1" t="str">
        <x:v>Agile standing charge (£/day)</x:v>
      </x:c>
      <x:c r="B6" s="7" t="n">
        <x:v>0.5313</x:v>
      </x:c>
      <x:c r="C6" s="1" t="str">
        <x:v>Excluding VAT; confirmed in June–October bills</x:v>
      </x:c>
      <x:c r="D6" s="1"/>
    </x:row>
    <x:row r="7" ht="21" customHeight="1">
      <x:c r="A7" s="1" t="str">
        <x:v>Import product</x:v>
      </x:c>
      <x:c r="B7" s="20" t="str">
        <x:v>AGILE-24-10-01</x:v>
      </x:c>
      <x:c r="C7" s="1" t="str">
        <x:v>Agile Octopus October 2024 v1; region G</x:v>
      </x:c>
      <x:c r="D7" s="1"/>
    </x:row>
    <x:row r="8" ht="21" customHeight="1">
      <x:c r="A8" s="1" t="str">
        <x:v>Export product</x:v>
      </x:c>
      <x:c r="B8" s="20" t="str">
        <x:v>AGILE-OUTGOING-19-05-13</x:v>
      </x:c>
      <x:c r="C8" s="1" t="str">
        <x:v>Agile Outgoing Octopus May 2019; region G</x:v>
      </x:c>
      <x:c r="D8" s="1"/>
    </x:row>
    <x:row r="9" ht="21" customHeight="1">
      <x:c r="A9" s="1" t="str">
        <x:v>Agile start date</x:v>
      </x:c>
      <x:c r="B9" s="21" t="n">
        <x:v>46165</x:v>
      </x:c>
      <x:c r="C9" s="1" t="str">
        <x:v>May fixed bill ends 22 May; June bill starts Agile 23 May</x:v>
      </x:c>
      <x:c r="D9" s="1"/>
    </x:row>
    <x:row r="10" ht="21" customHeight="1">
      <x:c r="A10" s="1" t="str">
        <x:v>VAT from 1 October</x:v>
      </x:c>
      <x:c r="B10" s="22" t="n">
        <x:v>0</x:v>
      </x:c>
      <x:c r="C10" s="1" t="str">
        <x:v>October bill charges electricity VAT at 0%; before then 5%</x:v>
      </x:c>
      <x:c r="D10" s="1"/>
    </x:row>
    <x:row r="11" ht="21" customHeight="1">
      <x:c r="A11" s="1"/>
      <x:c r="B11" s="1"/>
      <x:c r="C11" s="1"/>
      <x:c r="D11" s="1"/>
    </x:row>
    <x:row r="12" ht="21" customHeight="1">
      <x:c r="A12" s="1"/>
      <x:c r="B12" s="1"/>
      <x:c r="C12" s="1"/>
      <x:c r="D12" s="1"/>
    </x:row>
    <x:row r="13" ht="44" customHeight="1">
      <x:c r="A13" s="1" t="str">
        <x:v>Pricing status</x:v>
      </x:c>
      <x:c r="B13" s="9" t="str">
        <x:v>Historical half-hour prices matched to every recorded interval. Fixed tariff until 22 May, Agile from 23 May.</x:v>
      </x:c>
      <x:c r="C13" s="9"/>
      <x:c r="D13" s="9"/>
    </x:row>
    <x:row r="14" ht="44" customHeight="1">
      <x:c r="A14" s="1" t="str">
        <x:v>Fixed tariff details</x:v>
      </x:c>
      <x:c r="B14" s="9" t="str">
        <x:v>Fixed rates held at quoted 22.26p/kWh and 44.42p/day excluding VAT for the whole comparison. Tariff-policy adjustments to this counterfactual are not assumed.</x:v>
      </x:c>
      <x:c r="C14" s="9"/>
      <x:c r="D14" s="9"/>
    </x:row>
    <x:row r="15" ht="44" customHeight="1">
      <x:c r="A15" s="1" t="str">
        <x:v>VAT</x:v>
      </x:c>
      <x:c r="B15" s="9" t="str">
        <x:v>Fixed image rates and Agile API value_exc_vat exclude VAT. Costs include 5% VAT through September and 0% from October, as shown on bills.</x:v>
      </x:c>
      <x:c r="C15" s="9"/>
      <x:c r="D15" s="9"/>
    </x:row>
    <x:row r="16" ht="44" customHeight="1">
      <x:c r="A16" s="1" t="str">
        <x:v>Source</x:v>
      </x:c>
      <x:c r="B16" s="9" t="str">
        <x:v>tesla-energy-2026.zip: 155 daily CSV files; 6 May 14:45 to 7 Oct 13:45, local UTC+01:00.</x:v>
      </x:c>
      <x:c r="C16" s="9"/>
      <x:c r="D16" s="9"/>
    </x:row>
    <x:row r="17" ht="44" customHeight="1">
      <x:c r="A17" s="1" t="str">
        <x:v>Power to energy</x:v>
      </x:c>
      <x:c r="B17" s="9" t="str">
        <x:v>CSV readings treated as watts over 5 minutes: kWh = watts / 12,000. These are telemetry estimates, not billing meter readings.</x:v>
      </x:c>
      <x:c r="C17" s="9"/>
      <x:c r="D17" s="9"/>
    </x:row>
    <x:row r="18" ht="44" customHeight="1">
      <x:c r="A18" s="1" t="str">
        <x:v>Charge sign</x:v>
      </x:c>
      <x:c r="B18" s="9" t="str">
        <x:v>Powerwall charging is negative in the export. Daily energy uses its positive magnitude.</x:v>
      </x:c>
      <x:c r="C18" s="9"/>
      <x:c r="D18" s="9"/>
    </x:row>
    <x:row r="19" ht="44" customHeight="1">
      <x:c r="A19" s="1" t="str">
        <x:v>Partial days</x:v>
      </x:c>
      <x:c r="B19" s="9" t="str">
        <x:v>6 May and 7 Oct are partial days. Energy uses recorded intervals only. Standing charges count all 155 touched calendar days.</x:v>
      </x:c>
      <x:c r="C19" s="9"/>
      <x:c r="D19" s="9"/>
    </x:row>
    <x:row r="20" ht="44" customHeight="1">
      <x:c r="A20" s="1" t="str">
        <x:v>Coverage</x:v>
      </x:c>
      <x:c r="B20" s="9" t="str">
        <x:v>No duplicate timestamps or internal gaps; 44,341 consecutive 5-minute readings. No full-year projection is used.</x:v>
      </x:c>
      <x:c r="C20" s="9"/>
      <x:c r="D20" s="9"/>
    </x:row>
    <x:row r="21" ht="44" customHeight="1">
      <x:c r="A21" s="1" t="str">
        <x:v>Baseline</x:v>
      </x:c>
      <x:c r="B21" s="9" t="str">
        <x:v>Same observed home consumption bought directly from the fixed tariff, without batteries. No solar or export is recorded.</x:v>
      </x:c>
      <x:c r="C21" s="9"/>
      <x:c r="D21" s="9"/>
    </x:row>
    <x:row r="22" ht="44" customHeight="1">
      <x:c r="A22" s="1" t="str">
        <x:v>Total saving</x:v>
      </x:c>
      <x:c r="B22" s="9" t="str">
        <x:v>Fixed no-battery bill less modelled actual grid bill; combines tariff switching and battery operation.</x:v>
      </x:c>
      <x:c r="C22" s="9"/>
      <x:c r="D22" s="9"/>
    </x:row>
    <x:row r="23" ht="44" customHeight="1">
      <x:c r="A23" s="1" t="str">
        <x:v>Battery-only saving</x:v>
      </x:c>
      <x:c r="B23" s="9" t="str">
        <x:v>Same actual tariff without batteries less actual grid bill. Separately identifies storage benefit under unchanged household use.</x:v>
      </x:c>
      <x:c r="C23" s="9"/>
      <x:c r="D23" s="9"/>
    </x:row>
    <x:row r="24" ht="44" customHeight="1">
      <x:c r="A24" s="1" t="str">
        <x:v>Tariff-only saving</x:v>
      </x:c>
      <x:c r="B24" s="9" t="str">
        <x:v>Fixed no-battery bill less actual-tariff no-battery bill. Together with battery-only saving equals total saving.</x:v>
      </x:c>
      <x:c r="C24" s="9"/>
      <x:c r="D24" s="9"/>
    </x:row>
    <x:row r="25" ht="44" customHeight="1">
      <x:c r="A25" s="1" t="str">
        <x:v>Timing</x:v>
      </x:c>
      <x:c r="B25" s="9" t="str">
        <x:v>Half-hour prices matched in UTC to local UTC+01:00 readings. Negative Agile rates are retained. No fixed cheap window is assumed.</x:v>
      </x:c>
      <x:c r="C25" s="9"/>
      <x:c r="D25" s="9"/>
    </x:row>
    <x:row r="26" ht="44" customHeight="1">
      <x:c r="A26" s="1" t="str">
        <x:v>Battery efficiency</x:v>
      </x:c>
      <x:c r="B26" s="9" t="str">
        <x:v>Apparent discharge/charge is 95.8%. State of charge is available only in later files; stored-energy boundary changes are not corrected.</x:v>
      </x:c>
      <x:c r="C26" s="9"/>
      <x:c r="D26" s="9"/>
    </x:row>
    <x:row r="27" ht="44" customHeight="1">
      <x:c r="A27" s="1" t="str">
        <x:v>Reconciliation</x:v>
      </x:c>
      <x:c r="B27" s="9" t="str">
        <x:v>Bill reconciliation quantifies telemetry under-recording. API standing charge differs from the account bills, so the billed 53.13p/day is used.</x:v>
      </x:c>
      <x:c r="C27" s="9"/>
      <x:c r="D27" s="9"/>
    </x:row>
    <x:row r="28" ht="44" customHeight="1">
      <x:c r="A28" s="1" t="str">
        <x:v>Payback</x:v>
      </x:c>
      <x:c r="B28" s="9" t="str">
        <x:v>Capital cost, degradation and financing are excluded. Installation payback cannot be calculated from this export alone.</x:v>
      </x:c>
      <x:c r="C28" s="9"/>
      <x:c r="D28" s="9"/>
    </x:row>
    <x:row r="29" ht="44" customHeight="1">
      <x:c r="A29" s="1" t="str">
        <x:v>NetZero documentation</x:v>
      </x:c>
      <x:c r="B29" s="9" t="str">
        <x:v>https://docs.octopus.energy/rest/guides/endpoints/</x:v>
      </x:c>
      <x:c r="C29" s="9"/>
      <x:c r="D29" s="9"/>
    </x:row>
    <x:row r="30" ht="44" customHeight="1">
      <x:c r="A30" s="1" t="str">
        <x:v>Original data</x:v>
      </x:c>
      <x:c r="B30" s="9" t="str">
        <x:v>No solar or export in NetZero. Bills record tiny earlier exports, which are not added to the telemetry model.</x:v>
      </x:c>
      <x:c r="C30" s="9"/>
      <x:c r="D30" s="9"/>
    </x:row>
    <x:row r="31" ht="21" customHeight="1">
      <x:c r="A31" s="1"/>
      <x:c r="B31" s="1"/>
      <x:c r="C31" s="1"/>
      <x:c r="D31" s="1"/>
    </x:row>
    <x:row r="32" ht="55" customHeight="1">
      <x:c r="A32" s="1" t="str">
        <x:v>Import API</x:v>
      </x:c>
      <x:c r="B32" s="9" t="str">
        <x:v>https://api.octopus.energy/v1/products/AGILE-24-10-01/electricity-tariffs/E-1R-AGILE-24-10-01-G/standard-unit-rates/</x:v>
      </x:c>
      <x:c r="C32" s="9" t="str">
        <x:v>Historical prices fetched 7 October 2026</x:v>
      </x:c>
      <x:c r="D32" s="1"/>
    </x:row>
    <x:row r="33" ht="55" customHeight="1">
      <x:c r="A33" s="1" t="str">
        <x:v>Export API</x:v>
      </x:c>
      <x:c r="B33" s="9" t="str">
        <x:v>https://api.octopus.energy/v1/products/AGILE-OUTGOING-19-05-13/electricity-tariffs/E-1R-AGILE-OUTGOING-19-05-13-G/standard-unit-rates/</x:v>
      </x:c>
      <x:c r="C33" s="9" t="str">
        <x:v>Export rate retained for audit; NetZero export is zero</x:v>
      </x:c>
      <x:c r="D33" s="1"/>
    </x:row>
  </x:sheetData>
  <x:mergeCells>
    <x:mergeCell ref="B13:D13"/>
    <x:mergeCell ref="B14:D14"/>
    <x:mergeCell ref="B15:D15"/>
    <x:mergeCell ref="B16:D16"/>
    <x:mergeCell ref="B17:D17"/>
    <x:mergeCell ref="B18:D18"/>
    <x:mergeCell ref="B19:D19"/>
    <x:mergeCell ref="B20:D20"/>
    <x:mergeCell ref="B21:D21"/>
    <x:mergeCell ref="B22:D22"/>
    <x:mergeCell ref="B23:D23"/>
    <x:mergeCell ref="B24:D24"/>
    <x:mergeCell ref="B25:D25"/>
    <x:mergeCell ref="B26:D26"/>
    <x:mergeCell ref="B27:D27"/>
    <x:mergeCell ref="B28:D28"/>
    <x:mergeCell ref="B29:D29"/>
    <x:mergeCell ref="B30:D3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</x:cols>
  <x:sheetData>
    <x:row r="1" ht="21" customHeight="1">
      <x:c r="A1" s="2" t="str">
        <x:v>Daily energy and costs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</x:row>
    <x:row r="2" ht="21" customHeight="1">
      <x:c r="A2" s="1" t="str">
        <x:v>kWh from five-minute power readings; costs use editable tariff inputs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</x:row>
    <x:row r="4" ht="65" customHeight="1">
      <x:c r="A4" s="5" t="str">
        <x:v>Date</x:v>
      </x:c>
      <x:c r="B4" s="5" t="str">
        <x:v>Samples</x:v>
      </x:c>
      <x:c r="C4" s="5" t="str">
        <x:v>Hours</x:v>
      </x:c>
      <x:c r="D4" s="5" t="str">
        <x:v>Home - Used (kWh)</x:v>
      </x:c>
      <x:c r="E4" s="5" t="str">
        <x:v>Home - Used From Powerwall (kWh)</x:v>
      </x:c>
      <x:c r="F4" s="5" t="str">
        <x:v>Home - Used From Solar (kWh)</x:v>
      </x:c>
      <x:c r="G4" s="5" t="str">
        <x:v>Home - Used From Grid (kWh)</x:v>
      </x:c>
      <x:c r="H4" s="5" t="str">
        <x:v>Powerwall - Discharged (kWh)</x:v>
      </x:c>
      <x:c r="I4" s="5" t="str">
        <x:v>Powerwall - Discharged To Home (kWh)</x:v>
      </x:c>
      <x:c r="J4" s="5" t="str">
        <x:v>Powerwall - Discharged To Grid (kWh)</x:v>
      </x:c>
      <x:c r="K4" s="5" t="str">
        <x:v>Powerwall - Charged (kWh)</x:v>
      </x:c>
      <x:c r="L4" s="5" t="str">
        <x:v>Powerwall - Charged From Solar (kWh)</x:v>
      </x:c>
      <x:c r="M4" s="5" t="str">
        <x:v>Powerwall - Charged From Grid (kWh)</x:v>
      </x:c>
      <x:c r="N4" s="5" t="str">
        <x:v>Solar - Generated (kWh)</x:v>
      </x:c>
      <x:c r="O4" s="5" t="str">
        <x:v>Solar - Sent To Home (kWh)</x:v>
      </x:c>
      <x:c r="P4" s="5" t="str">
        <x:v>Solar - Sent To Powerwall (kWh)</x:v>
      </x:c>
      <x:c r="Q4" s="5" t="str">
        <x:v>Solar - Sent To Grid (kWh)</x:v>
      </x:c>
      <x:c r="R4" s="5" t="str">
        <x:v>Grid - Imported (kWh)</x:v>
      </x:c>
      <x:c r="S4" s="5" t="str">
        <x:v>Grid - Used By Home (kWh)</x:v>
      </x:c>
      <x:c r="T4" s="5" t="str">
        <x:v>Grid - Used By Powerwall (kWh)</x:v>
      </x:c>
      <x:c r="U4" s="5" t="str">
        <x:v>Grid - Exported (kWh)</x:v>
      </x:c>
      <x:c r="V4" s="5" t="str">
        <x:v>Grid - Exported From Powerwall (kWh)</x:v>
      </x:c>
      <x:c r="W4" s="5" t="str">
        <x:v>Grid - Exported From Solar (kWh)</x:v>
      </x:c>
      <x:c r="X4" s="5" t="str">
        <x:v>Fixed no-battery bill</x:v>
      </x:c>
      <x:c r="Y4" s="5" t="str">
        <x:v>Actual import cost</x:v>
      </x:c>
      <x:c r="Z4" s="5" t="str">
        <x:v>Actual grid bill</x:v>
      </x:c>
      <x:c r="AA4" s="5" t="str">
        <x:v>Total saving</x:v>
      </x:c>
      <x:c r="AB4" s="5" t="str">
        <x:v>Actual no-battery bill</x:v>
      </x:c>
      <x:c r="AC4" s="5" t="str">
        <x:v>Battery-only saving</x:v>
      </x:c>
      <x:c r="AD4" s="5" t="str">
        <x:v>Tariff-only saving</x:v>
      </x:c>
      <x:c r="AE4" s="5" t="str">
        <x:v>Charge less discharge (kWh)</x:v>
      </x:c>
      <x:c r="AF4" s="5" t="str">
        <x:v>Apparent efficiency</x:v>
      </x:c>
      <x:c r="AG4" s="5" t="str">
        <x:v>Home flow residual (kWh)</x:v>
      </x:c>
      <x:c r="AH4" s="5" t="str">
        <x:v>Grid flow residual (kWh)</x:v>
      </x:c>
      <x:c r="AI4" s="5" t="str">
        <x:v>Cumulative saving</x:v>
      </x:c>
    </x:row>
    <x:row r="5" ht="21" customHeight="1">
      <x:c r="A5" s="10" t="n">
        <x:v>46148</x:v>
      </x:c>
      <x:c r="B5" s="1" t="n">
        <x:v>111</x:v>
      </x:c>
      <x:c r="C5" s="1" t="n">
        <x:v>9.25</x:v>
      </x:c>
      <x:c r="D5" s="11" t="n">
        <x:v>11.910666666666668</x:v>
      </x:c>
      <x:c r="E5" s="11" t="n">
        <x:v>8.128666666666666</x:v>
      </x:c>
      <x:c r="F5" s="11" t="n">
        <x:v>0</x:v>
      </x:c>
      <x:c r="G5" s="11" t="n">
        <x:v>3.695</x:v>
      </x:c>
      <x:c r="H5" s="11" t="n">
        <x:v>8.130999999999998</x:v>
      </x:c>
      <x:c r="I5" s="11" t="n">
        <x:v>8.128666666666666</x:v>
      </x:c>
      <x:c r="J5" s="11" t="n">
        <x:v>0</x:v>
      </x:c>
      <x:c r="K5" s="11" t="n">
        <x:v>0.10400000000000001</x:v>
      </x:c>
      <x:c r="L5" s="11" t="n">
        <x:v>0</x:v>
      </x:c>
      <x:c r="M5" s="11" t="n">
        <x:v>0.10400000000000001</x:v>
      </x:c>
      <x:c r="N5" s="11" t="n">
        <x:v>0</x:v>
      </x:c>
      <x:c r="O5" s="11" t="n">
        <x:v>0</x:v>
      </x:c>
      <x:c r="P5" s="11" t="n">
        <x:v>0</x:v>
      </x:c>
      <x:c r="Q5" s="11" t="n">
        <x:v>0</x:v>
      </x:c>
      <x:c r="R5" s="11" t="n">
        <x:v>3.802</x:v>
      </x:c>
      <x:c r="S5" s="11" t="n">
        <x:v>3.695</x:v>
      </x:c>
      <x:c r="T5" s="11" t="n">
        <x:v>0.10400000000000001</x:v>
      </x:c>
      <x:c r="U5" s="11" t="n">
        <x:v>0</x:v>
      </x:c>
      <x:c r="V5" s="11" t="n">
        <x:v>0</x:v>
      </x:c>
      <x:c r="W5" s="11" t="n">
        <x:v>0</x:v>
      </x:c>
      <x:c r="X5" s="13" t="n">
        <x:f>(D5*'Tariff and method'!$B$4+'Tariff and method'!$B$5)*1.05</x:f>
        <x:v>3.25029012</x:v>
      </x:c>
      <x:c r="Y5" s="13" t="n">
        <x:f>SUMIF('Import by half hour'!$A$5:$A$7395,A5,'Import by half hour'!$J$5:$J$7395)</x:f>
        <x:v>0.88864146</x:v>
      </x:c>
      <x:c r="Z5" s="13" t="n">
        <x:f>Y5+'Tariff and method'!$B$5*1.05</x:f>
        <x:v>1.3550514599999999</x:v>
      </x:c>
      <x:c r="AA5" s="13" t="n">
        <x:f>X5-Z5</x:f>
        <x:v>1.89523866</x:v>
      </x:c>
      <x:c r="AB5" s="13" t="n">
        <x:f>SUMIF('Import by half hour'!$A$5:$A$7395,A5,'Import by half hour'!$K$5:$K$7395)+'Tariff and method'!$B$5*1.05</x:f>
        <x:v>3.25029012</x:v>
      </x:c>
      <x:c r="AC5" s="13" t="n">
        <x:f>AB5-Z5</x:f>
        <x:v>1.89523866</x:v>
      </x:c>
      <x:c r="AD5" s="13" t="n">
        <x:f>X5-AB5</x:f>
        <x:v>0</x:v>
      </x:c>
      <x:c r="AE5" s="11" t="n">
        <x:f>M5-H5</x:f>
        <x:v>-8.027</x:v>
      </x:c>
      <x:c r="AF5" s="14" t="n">
        <x:f>IF(M5=0,"",H5/M5)</x:f>
        <x:v>78.18269230769229</x:v>
      </x:c>
      <x:c r="AG5" s="11" t="n">
        <x:f>D5-E5-F5-G5</x:f>
        <x:v>0.08700000000000196</x:v>
      </x:c>
      <x:c r="AH5" s="11" t="n">
        <x:f>R5-S5-T5</x:f>
        <x:v>0.003000000000000197</x:v>
      </x:c>
      <x:c r="AI5" s="13" t="n">
        <x:f>SUM($AA$5:AA5)</x:f>
        <x:v>1.89523866</x:v>
      </x:c>
    </x:row>
    <x:row r="6" ht="21" customHeight="1">
      <x:c r="A6" s="10" t="n">
        <x:v>46149</x:v>
      </x:c>
      <x:c r="B6" s="1" t="n">
        <x:v>288</x:v>
      </x:c>
      <x:c r="C6" s="1" t="n">
        <x:v>24</x:v>
      </x:c>
      <x:c r="D6" s="11" t="n">
        <x:v>30.921916666666664</x:v>
      </x:c>
      <x:c r="E6" s="11" t="n">
        <x:v>0</x:v>
      </x:c>
      <x:c r="F6" s="11" t="n">
        <x:v>0</x:v>
      </x:c>
      <x:c r="G6" s="11" t="n">
        <x:v>30.801916666666646</x:v>
      </x:c>
      <x:c r="H6" s="11" t="n">
        <x:v>0</x:v>
      </x:c>
      <x:c r="I6" s="11" t="n">
        <x:v>0</x:v>
      </x:c>
      <x:c r="J6" s="11" t="n">
        <x:v>0</x:v>
      </x:c>
      <x:c r="K6" s="11" t="n">
        <x:v>0</x:v>
      </x:c>
      <x:c r="L6" s="11" t="n">
        <x:v>0</x:v>
      </x:c>
      <x:c r="M6" s="11" t="n">
        <x:v>0</x:v>
      </x:c>
      <x:c r="N6" s="11" t="n">
        <x:v>0</x:v>
      </x:c>
      <x:c r="O6" s="11" t="n">
        <x:v>0</x:v>
      </x:c>
      <x:c r="P6" s="11" t="n">
        <x:v>0</x:v>
      </x:c>
      <x:c r="Q6" s="11" t="n">
        <x:v>0</x:v>
      </x:c>
      <x:c r="R6" s="11" t="n">
        <x:v>30.872916666666647</x:v>
      </x:c>
      <x:c r="S6" s="11" t="n">
        <x:v>30.801916666666646</x:v>
      </x:c>
      <x:c r="T6" s="11" t="n">
        <x:v>0</x:v>
      </x:c>
      <x:c r="U6" s="11" t="n">
        <x:v>0</x:v>
      </x:c>
      <x:c r="V6" s="11" t="n">
        <x:v>0</x:v>
      </x:c>
      <x:c r="W6" s="11" t="n">
        <x:v>0</x:v>
      </x:c>
      <x:c r="X6" s="13" t="n">
        <x:f>(D6*'Tariff and method'!$B$4+'Tariff and method'!$B$5)*1.05</x:f>
        <x:v>7.6937895825</x:v>
      </x:c>
      <x:c r="Y6" s="13" t="n">
        <x:f>SUMIF('Import by half hour'!$A$5:$A$7395,A6,'Import by half hour'!$J$5:$J$7395)</x:f>
        <x:v>7.215926812500001</x:v>
      </x:c>
      <x:c r="Z6" s="13" t="n">
        <x:f>Y6+'Tariff and method'!$B$5*1.05</x:f>
        <x:v>7.682336812500001</x:v>
      </x:c>
      <x:c r="AA6" s="13" t="n">
        <x:f>X6-Z6</x:f>
        <x:v>0.011452769999999113</x:v>
      </x:c>
      <x:c r="AB6" s="13" t="n">
        <x:f>SUMIF('Import by half hour'!$A$5:$A$7395,A6,'Import by half hour'!$K$5:$K$7395)+'Tariff and method'!$B$5*1.05</x:f>
        <x:v>7.693789582500001</x:v>
      </x:c>
      <x:c r="AC6" s="13" t="n">
        <x:f>AB6-Z6</x:f>
        <x:v>0.011452770000000001</x:v>
      </x:c>
      <x:c r="AD6" s="13" t="n">
        <x:f>X6-AB6</x:f>
        <x:v>-8.881784197001252e-16</x:v>
      </x:c>
      <x:c r="AE6" s="11" t="n">
        <x:f>M6-H6</x:f>
        <x:v>0</x:v>
      </x:c>
      <x:c r="AF6" s="14" t="str">
        <x:f>IF(M6=0,"",H6/M6)</x:f>
      </x:c>
      <x:c r="AG6" s="11" t="n">
        <x:f>D6-E6-F6-G6</x:f>
        <x:v>0.12000000000001876</x:v>
      </x:c>
      <x:c r="AH6" s="11" t="n">
        <x:f>R6-S6-T6</x:f>
        <x:v>0.0710000000000015</x:v>
      </x:c>
      <x:c r="AI6" s="13" t="n">
        <x:f>SUM($AA$5:AA6)</x:f>
        <x:v>1.906691429999999</x:v>
      </x:c>
    </x:row>
    <x:row r="7" ht="21" customHeight="1">
      <x:c r="A7" s="10" t="n">
        <x:v>46150</x:v>
      </x:c>
      <x:c r="B7" s="1" t="n">
        <x:v>288</x:v>
      </x:c>
      <x:c r="C7" s="1" t="n">
        <x:v>24</x:v>
      </x:c>
      <x:c r="D7" s="11" t="n">
        <x:v>27.788833333333322</x:v>
      </x:c>
      <x:c r="E7" s="11" t="n">
        <x:v>0</x:v>
      </x:c>
      <x:c r="F7" s="11" t="n">
        <x:v>0</x:v>
      </x:c>
      <x:c r="G7" s="11" t="n">
        <x:v>27.680833333333336</x:v>
      </x:c>
      <x:c r="H7" s="11" t="n">
        <x:v>0</x:v>
      </x:c>
      <x:c r="I7" s="11" t="n">
        <x:v>0</x:v>
      </x:c>
      <x:c r="J7" s="11" t="n">
        <x:v>0</x:v>
      </x:c>
      <x:c r="K7" s="11" t="n">
        <x:v>0</x:v>
      </x:c>
      <x:c r="L7" s="11" t="n">
        <x:v>0</x:v>
      </x:c>
      <x:c r="M7" s="11" t="n">
        <x:v>0</x:v>
      </x:c>
      <x:c r="N7" s="11" t="n">
        <x:v>0</x:v>
      </x:c>
      <x:c r="O7" s="11" t="n">
        <x:v>0</x:v>
      </x:c>
      <x:c r="P7" s="11" t="n">
        <x:v>0</x:v>
      </x:c>
      <x:c r="Q7" s="11" t="n">
        <x:v>0</x:v>
      </x:c>
      <x:c r="R7" s="11" t="n">
        <x:v>27.76083333333335</x:v>
      </x:c>
      <x:c r="S7" s="11" t="n">
        <x:v>27.680833333333336</x:v>
      </x:c>
      <x:c r="T7" s="11" t="n">
        <x:v>0</x:v>
      </x:c>
      <x:c r="U7" s="11" t="n">
        <x:v>0</x:v>
      </x:c>
      <x:c r="V7" s="11" t="n">
        <x:v>0</x:v>
      </x:c>
      <x:c r="W7" s="11" t="n">
        <x:v>0</x:v>
      </x:c>
      <x:c r="X7" s="13" t="n">
        <x:f>(D7*'Tariff and method'!$B$4+'Tariff and method'!$B$5)*1.05</x:f>
        <x:v>6.961494014999998</x:v>
      </x:c>
      <x:c r="Y7" s="13" t="n">
        <x:f>SUMIF('Import by half hour'!$A$5:$A$7395,A7,'Import by half hour'!$J$5:$J$7395)</x:f>
        <x:v>6.488539575</x:v>
      </x:c>
      <x:c r="Z7" s="13" t="n">
        <x:f>Y7+'Tariff and method'!$B$5*1.05</x:f>
        <x:v>6.954949575</x:v>
      </x:c>
      <x:c r="AA7" s="13" t="n">
        <x:f>X7-Z7</x:f>
        <x:v>0.006544439999998097</x:v>
      </x:c>
      <x:c r="AB7" s="13" t="n">
        <x:f>SUMIF('Import by half hour'!$A$5:$A$7395,A7,'Import by half hour'!$K$5:$K$7395)+'Tariff and method'!$B$5*1.05</x:f>
        <x:v>6.9614940149999995</x:v>
      </x:c>
      <x:c r="AC7" s="13" t="n">
        <x:f>AB7-Z7</x:f>
        <x:v>0.006544439999999874</x:v>
      </x:c>
      <x:c r="AD7" s="13" t="n">
        <x:f>X7-AB7</x:f>
        <x:v>-1.7763568394002505e-15</x:v>
      </x:c>
      <x:c r="AE7" s="11" t="n">
        <x:f>M7-H7</x:f>
        <x:v>0</x:v>
      </x:c>
      <x:c r="AF7" s="14" t="str">
        <x:f>IF(M7=0,"",H7/M7)</x:f>
      </x:c>
      <x:c r="AG7" s="11" t="n">
        <x:f>D7-E7-F7-G7</x:f>
        <x:v>0.10799999999998633</x:v>
      </x:c>
      <x:c r="AH7" s="11" t="n">
        <x:f>R7-S7-T7</x:f>
        <x:v>0.0800000000000125</x:v>
      </x:c>
      <x:c r="AI7" s="13" t="n">
        <x:f>SUM($AA$5:AA7)</x:f>
        <x:v>1.9132358699999972</x:v>
      </x:c>
    </x:row>
    <x:row r="8" ht="21" customHeight="1">
      <x:c r="A8" s="10" t="n">
        <x:v>46151</x:v>
      </x:c>
      <x:c r="B8" s="1" t="n">
        <x:v>288</x:v>
      </x:c>
      <x:c r="C8" s="1" t="n">
        <x:v>24</x:v>
      </x:c>
      <x:c r="D8" s="11" t="n">
        <x:v>24.344583333333343</x:v>
      </x:c>
      <x:c r="E8" s="11" t="n">
        <x:v>0</x:v>
      </x:c>
      <x:c r="F8" s="11" t="n">
        <x:v>0</x:v>
      </x:c>
      <x:c r="G8" s="11" t="n">
        <x:v>24.239583333333343</x:v>
      </x:c>
      <x:c r="H8" s="11" t="n">
        <x:v>0</x:v>
      </x:c>
      <x:c r="I8" s="11" t="n">
        <x:v>0</x:v>
      </x:c>
      <x:c r="J8" s="11" t="n">
        <x:v>0</x:v>
      </x:c>
      <x:c r="K8" s="11" t="n">
        <x:v>0</x:v>
      </x:c>
      <x:c r="L8" s="11" t="n">
        <x:v>0</x:v>
      </x:c>
      <x:c r="M8" s="11" t="n">
        <x:v>0</x:v>
      </x:c>
      <x:c r="N8" s="11" t="n">
        <x:v>0</x:v>
      </x:c>
      <x:c r="O8" s="11" t="n">
        <x:v>0</x:v>
      </x:c>
      <x:c r="P8" s="11" t="n">
        <x:v>0</x:v>
      </x:c>
      <x:c r="Q8" s="11" t="n">
        <x:v>0</x:v>
      </x:c>
      <x:c r="R8" s="11" t="n">
        <x:v>24.318583333333333</x:v>
      </x:c>
      <x:c r="S8" s="11" t="n">
        <x:v>24.239583333333343</x:v>
      </x:c>
      <x:c r="T8" s="11" t="n">
        <x:v>0</x:v>
      </x:c>
      <x:c r="U8" s="11" t="n">
        <x:v>0</x:v>
      </x:c>
      <x:c r="V8" s="11" t="n">
        <x:v>0</x:v>
      </x:c>
      <x:c r="W8" s="11" t="n">
        <x:v>0</x:v>
      </x:c>
      <x:c r="X8" s="13" t="n">
        <x:f>(D8*'Tariff and method'!$B$4+'Tariff and method'!$B$5)*1.05</x:f>
        <x:v>6.156469462500002</x:v>
      </x:c>
      <x:c r="Y8" s="13" t="n">
        <x:f>SUMIF('Import by half hour'!$A$5:$A$7395,A8,'Import by half hour'!$J$5:$J$7395)</x:f>
        <x:v>5.683982482500001</x:v>
      </x:c>
      <x:c r="Z8" s="13" t="n">
        <x:f>Y8+'Tariff and method'!$B$5*1.05</x:f>
        <x:v>6.150392482500001</x:v>
      </x:c>
      <x:c r="AA8" s="13" t="n">
        <x:f>X8-Z8</x:f>
        <x:v>0.006076980000001342</x:v>
      </x:c>
      <x:c r="AB8" s="13" t="n">
        <x:f>SUMIF('Import by half hour'!$A$5:$A$7395,A8,'Import by half hour'!$K$5:$K$7395)+'Tariff and method'!$B$5*1.05</x:f>
        <x:v>6.156469462499997</x:v>
      </x:c>
      <x:c r="AC8" s="13" t="n">
        <x:f>AB8-Z8</x:f>
        <x:v>0.006076979999996013</x:v>
      </x:c>
      <x:c r="AD8" s="13" t="n">
        <x:f>X8-AB8</x:f>
        <x:v>5.329070518200751e-15</x:v>
      </x:c>
      <x:c r="AE8" s="11" t="n">
        <x:f>M8-H8</x:f>
        <x:v>0</x:v>
      </x:c>
      <x:c r="AF8" s="14" t="str">
        <x:f>IF(M8=0,"",H8/M8)</x:f>
      </x:c>
      <x:c r="AG8" s="11" t="n">
        <x:f>D8-E8-F8-G8</x:f>
        <x:v>0.10500000000000043</x:v>
      </x:c>
      <x:c r="AH8" s="11" t="n">
        <x:f>R8-S8-T8</x:f>
        <x:v>0.07899999999998997</x:v>
      </x:c>
      <x:c r="AI8" s="13" t="n">
        <x:f>SUM($AA$5:AA8)</x:f>
        <x:v>1.9193128499999985</x:v>
      </x:c>
    </x:row>
    <x:row r="9" ht="21" customHeight="1">
      <x:c r="A9" s="10" t="n">
        <x:v>46152</x:v>
      </x:c>
      <x:c r="B9" s="1" t="n">
        <x:v>288</x:v>
      </x:c>
      <x:c r="C9" s="1" t="n">
        <x:v>24</x:v>
      </x:c>
      <x:c r="D9" s="11" t="n">
        <x:v>26.242916666666666</x:v>
      </x:c>
      <x:c r="E9" s="11" t="n">
        <x:v>0</x:v>
      </x:c>
      <x:c r="F9" s="11" t="n">
        <x:v>0</x:v>
      </x:c>
      <x:c r="G9" s="11" t="n">
        <x:v>26.145916666666665</x:v>
      </x:c>
      <x:c r="H9" s="11" t="n">
        <x:v>0</x:v>
      </x:c>
      <x:c r="I9" s="11" t="n">
        <x:v>0</x:v>
      </x:c>
      <x:c r="J9" s="11" t="n">
        <x:v>0</x:v>
      </x:c>
      <x:c r="K9" s="11" t="n">
        <x:v>0</x:v>
      </x:c>
      <x:c r="L9" s="11" t="n">
        <x:v>0</x:v>
      </x:c>
      <x:c r="M9" s="11" t="n">
        <x:v>0</x:v>
      </x:c>
      <x:c r="N9" s="11" t="n">
        <x:v>0</x:v>
      </x:c>
      <x:c r="O9" s="11" t="n">
        <x:v>0</x:v>
      </x:c>
      <x:c r="P9" s="11" t="n">
        <x:v>0</x:v>
      </x:c>
      <x:c r="Q9" s="11" t="n">
        <x:v>0</x:v>
      </x:c>
      <x:c r="R9" s="11" t="n">
        <x:v>26.21891666666666</x:v>
      </x:c>
      <x:c r="S9" s="11" t="n">
        <x:v>26.145916666666665</x:v>
      </x:c>
      <x:c r="T9" s="11" t="n">
        <x:v>0</x:v>
      </x:c>
      <x:c r="U9" s="11" t="n">
        <x:v>0</x:v>
      </x:c>
      <x:c r="V9" s="11" t="n">
        <x:v>0</x:v>
      </x:c>
      <x:c r="W9" s="11" t="n">
        <x:v>0</x:v>
      </x:c>
      <x:c r="X9" s="13" t="n">
        <x:f>(D9*'Tariff and method'!$B$4+'Tariff and method'!$B$5)*1.05</x:f>
        <x:v>6.6001669125</x:v>
      </x:c>
      <x:c r="Y9" s="13" t="n">
        <x:f>SUMIF('Import by half hour'!$A$5:$A$7395,A9,'Import by half hour'!$J$5:$J$7395)</x:f>
        <x:v>6.128147392499997</x:v>
      </x:c>
      <x:c r="Z9" s="13" t="n">
        <x:f>Y9+'Tariff and method'!$B$5*1.05</x:f>
        <x:v>6.594557392499997</x:v>
      </x:c>
      <x:c r="AA9" s="13" t="n">
        <x:f>X9-Z9</x:f>
        <x:v>0.00560952000000281</x:v>
      </x:c>
      <x:c r="AB9" s="13" t="n">
        <x:f>SUMIF('Import by half hour'!$A$5:$A$7395,A9,'Import by half hour'!$K$5:$K$7395)+'Tariff and method'!$B$5*1.05</x:f>
        <x:v>6.6001669125</x:v>
      </x:c>
      <x:c r="AC9" s="13" t="n">
        <x:f>AB9-Z9</x:f>
        <x:v>0.00560952000000281</x:v>
      </x:c>
      <x:c r="AD9" s="13" t="n">
        <x:f>X9-AB9</x:f>
        <x:v>0</x:v>
      </x:c>
      <x:c r="AE9" s="11" t="n">
        <x:f>M9-H9</x:f>
        <x:v>0</x:v>
      </x:c>
      <x:c r="AF9" s="14" t="str">
        <x:f>IF(M9=0,"",H9/M9)</x:f>
      </x:c>
      <x:c r="AG9" s="11" t="n">
        <x:f>D9-E9-F9-G9</x:f>
        <x:v>0.09700000000000131</x:v>
      </x:c>
      <x:c r="AH9" s="11" t="n">
        <x:f>R9-S9-T9</x:f>
        <x:v>0.07299999999999685</x:v>
      </x:c>
      <x:c r="AI9" s="13" t="n">
        <x:f>SUM($AA$5:AA9)</x:f>
        <x:v>1.9249223700000013</x:v>
      </x:c>
    </x:row>
    <x:row r="10" ht="21" customHeight="1">
      <x:c r="A10" s="10" t="n">
        <x:v>46153</x:v>
      </x:c>
      <x:c r="B10" s="1" t="n">
        <x:v>288</x:v>
      </x:c>
      <x:c r="C10" s="1" t="n">
        <x:v>24</x:v>
      </x:c>
      <x:c r="D10" s="11" t="n">
        <x:v>28.803166666666687</x:v>
      </x:c>
      <x:c r="E10" s="11" t="n">
        <x:v>0</x:v>
      </x:c>
      <x:c r="F10" s="11" t="n">
        <x:v>0</x:v>
      </x:c>
      <x:c r="G10" s="11" t="n">
        <x:v>28.692166666666676</x:v>
      </x:c>
      <x:c r="H10" s="11" t="n">
        <x:v>0</x:v>
      </x:c>
      <x:c r="I10" s="11" t="n">
        <x:v>0</x:v>
      </x:c>
      <x:c r="J10" s="11" t="n">
        <x:v>0</x:v>
      </x:c>
      <x:c r="K10" s="11" t="n">
        <x:v>0</x:v>
      </x:c>
      <x:c r="L10" s="11" t="n">
        <x:v>0</x:v>
      </x:c>
      <x:c r="M10" s="11" t="n">
        <x:v>0</x:v>
      </x:c>
      <x:c r="N10" s="11" t="n">
        <x:v>0</x:v>
      </x:c>
      <x:c r="O10" s="11" t="n">
        <x:v>0</x:v>
      </x:c>
      <x:c r="P10" s="11" t="n">
        <x:v>0</x:v>
      </x:c>
      <x:c r="Q10" s="11" t="n">
        <x:v>0</x:v>
      </x:c>
      <x:c r="R10" s="11" t="n">
        <x:v>28.780166666666673</x:v>
      </x:c>
      <x:c r="S10" s="11" t="n">
        <x:v>28.692166666666676</x:v>
      </x:c>
      <x:c r="T10" s="11" t="n">
        <x:v>0</x:v>
      </x:c>
      <x:c r="U10" s="11" t="n">
        <x:v>0</x:v>
      </x:c>
      <x:c r="V10" s="11" t="n">
        <x:v>0</x:v>
      </x:c>
      <x:c r="W10" s="11" t="n">
        <x:v>0</x:v>
      </x:c>
      <x:c r="X10" s="13" t="n">
        <x:f>(D10*'Tariff and method'!$B$4+'Tariff and method'!$B$5)*1.05</x:f>
        <x:v>7.198574145000006</x:v>
      </x:c>
      <x:c r="Y10" s="13" t="n">
        <x:f>SUMIF('Import by half hour'!$A$5:$A$7395,A10,'Import by half hour'!$J$5:$J$7395)</x:f>
        <x:v>6.726788355000002</x:v>
      </x:c>
      <x:c r="Z10" s="13" t="n">
        <x:f>Y10+'Tariff and method'!$B$5*1.05</x:f>
        <x:v>7.193198355000002</x:v>
      </x:c>
      <x:c r="AA10" s="13" t="n">
        <x:f>X10-Z10</x:f>
        <x:v>0.005375790000003988</x:v>
      </x:c>
      <x:c r="AB10" s="13" t="n">
        <x:f>SUMIF('Import by half hour'!$A$5:$A$7395,A10,'Import by half hour'!$K$5:$K$7395)+'Tariff and method'!$B$5*1.05</x:f>
        <x:v>7.198574144999999</x:v>
      </x:c>
      <x:c r="AC10" s="13" t="n">
        <x:f>AB10-Z10</x:f>
        <x:v>0.005375789999997771</x:v>
      </x:c>
      <x:c r="AD10" s="13" t="n">
        <x:f>X10-AB10</x:f>
        <x:v>6.217248937900877e-15</x:v>
      </x:c>
      <x:c r="AE10" s="11" t="n">
        <x:f>M10-H10</x:f>
        <x:v>0</x:v>
      </x:c>
      <x:c r="AF10" s="14" t="str">
        <x:f>IF(M10=0,"",H10/M10)</x:f>
      </x:c>
      <x:c r="AG10" s="11" t="n">
        <x:f>D10-E10-F10-G10</x:f>
        <x:v>0.11100000000001131</x:v>
      </x:c>
      <x:c r="AH10" s="11" t="n">
        <x:f>R10-S10-T10</x:f>
        <x:v>0.08799999999999741</x:v>
      </x:c>
      <x:c r="AI10" s="13" t="n">
        <x:f>SUM($AA$5:AA10)</x:f>
        <x:v>1.9302981600000053</x:v>
      </x:c>
    </x:row>
    <x:row r="11" ht="21" customHeight="1">
      <x:c r="A11" s="10" t="n">
        <x:v>46154</x:v>
      </x:c>
      <x:c r="B11" s="1" t="n">
        <x:v>288</x:v>
      </x:c>
      <x:c r="C11" s="1" t="n">
        <x:v>24</x:v>
      </x:c>
      <x:c r="D11" s="11" t="n">
        <x:v>31.71716666666667</x:v>
      </x:c>
      <x:c r="E11" s="11" t="n">
        <x:v>0</x:v>
      </x:c>
      <x:c r="F11" s="11" t="n">
        <x:v>0</x:v>
      </x:c>
      <x:c r="G11" s="11" t="n">
        <x:v>31.607166666666668</x:v>
      </x:c>
      <x:c r="H11" s="11" t="n">
        <x:v>0</x:v>
      </x:c>
      <x:c r="I11" s="11" t="n">
        <x:v>0</x:v>
      </x:c>
      <x:c r="J11" s="11" t="n">
        <x:v>0</x:v>
      </x:c>
      <x:c r="K11" s="11" t="n">
        <x:v>0</x:v>
      </x:c>
      <x:c r="L11" s="11" t="n">
        <x:v>0</x:v>
      </x:c>
      <x:c r="M11" s="11" t="n">
        <x:v>0</x:v>
      </x:c>
      <x:c r="N11" s="11" t="n">
        <x:v>0</x:v>
      </x:c>
      <x:c r="O11" s="11" t="n">
        <x:v>0</x:v>
      </x:c>
      <x:c r="P11" s="11" t="n">
        <x:v>0</x:v>
      </x:c>
      <x:c r="Q11" s="11" t="n">
        <x:v>0</x:v>
      </x:c>
      <x:c r="R11" s="11" t="n">
        <x:v>31.699166666666645</x:v>
      </x:c>
      <x:c r="S11" s="11" t="n">
        <x:v>31.607166666666668</x:v>
      </x:c>
      <x:c r="T11" s="11" t="n">
        <x:v>0</x:v>
      </x:c>
      <x:c r="U11" s="11" t="n">
        <x:v>0</x:v>
      </x:c>
      <x:c r="V11" s="11" t="n">
        <x:v>0</x:v>
      </x:c>
      <x:c r="W11" s="11" t="n">
        <x:v>0</x:v>
      </x:c>
      <x:c r="X11" s="13" t="n">
        <x:f>(D11*'Tariff and method'!$B$4+'Tariff and method'!$B$5)*1.05</x:f>
        <x:v>7.879663365000001</x:v>
      </x:c>
      <x:c r="Y11" s="13" t="n">
        <x:f>SUMIF('Import by half hour'!$A$5:$A$7395,A11,'Import by half hour'!$J$5:$J$7395)</x:f>
        <x:v>7.409046224999999</x:v>
      </x:c>
      <x:c r="Z11" s="13" t="n">
        <x:f>Y11+'Tariff and method'!$B$5*1.05</x:f>
        <x:v>7.875456224999999</x:v>
      </x:c>
      <x:c r="AA11" s="13" t="n">
        <x:f>X11-Z11</x:f>
        <x:v>0.0042071400000018855</x:v>
      </x:c>
      <x:c r="AB11" s="13" t="n">
        <x:f>SUMIF('Import by half hour'!$A$5:$A$7395,A11,'Import by half hour'!$K$5:$K$7395)+'Tariff and method'!$B$5*1.05</x:f>
        <x:v>7.879663365</x:v>
      </x:c>
      <x:c r="AC11" s="13" t="n">
        <x:f>AB11-Z11</x:f>
        <x:v>0.004207140000000997</x:v>
      </x:c>
      <x:c r="AD11" s="13" t="n">
        <x:f>X11-AB11</x:f>
        <x:v>8.881784197001252e-16</x:v>
      </x:c>
      <x:c r="AE11" s="11" t="n">
        <x:f>M11-H11</x:f>
        <x:v>0</x:v>
      </x:c>
      <x:c r="AF11" s="14" t="str">
        <x:f>IF(M11=0,"",H11/M11)</x:f>
      </x:c>
      <x:c r="AG11" s="11" t="n">
        <x:f>D11-E11-F11-G11</x:f>
        <x:v>0.11000000000000298</x:v>
      </x:c>
      <x:c r="AH11" s="11" t="n">
        <x:f>R11-S11-T11</x:f>
        <x:v>0.09199999999997743</x:v>
      </x:c>
      <x:c r="AI11" s="13" t="n">
        <x:f>SUM($AA$5:AA11)</x:f>
        <x:v>1.9345053000000072</x:v>
      </x:c>
    </x:row>
    <x:row r="12" ht="21" customHeight="1">
      <x:c r="A12" s="10" t="n">
        <x:v>46155</x:v>
      </x:c>
      <x:c r="B12" s="1" t="n">
        <x:v>288</x:v>
      </x:c>
      <x:c r="C12" s="1" t="n">
        <x:v>24</x:v>
      </x:c>
      <x:c r="D12" s="11" t="n">
        <x:v>30.402583333333318</x:v>
      </x:c>
      <x:c r="E12" s="11" t="n">
        <x:v>0</x:v>
      </x:c>
      <x:c r="F12" s="11" t="n">
        <x:v>0</x:v>
      </x:c>
      <x:c r="G12" s="11" t="n">
        <x:v>30.293583333333313</x:v>
      </x:c>
      <x:c r="H12" s="11" t="n">
        <x:v>0</x:v>
      </x:c>
      <x:c r="I12" s="11" t="n">
        <x:v>0</x:v>
      </x:c>
      <x:c r="J12" s="11" t="n">
        <x:v>0</x:v>
      </x:c>
      <x:c r="K12" s="11" t="n">
        <x:v>0</x:v>
      </x:c>
      <x:c r="L12" s="11" t="n">
        <x:v>0</x:v>
      </x:c>
      <x:c r="M12" s="11" t="n">
        <x:v>0</x:v>
      </x:c>
      <x:c r="N12" s="11" t="n">
        <x:v>0</x:v>
      </x:c>
      <x:c r="O12" s="11" t="n">
        <x:v>0</x:v>
      </x:c>
      <x:c r="P12" s="11" t="n">
        <x:v>0</x:v>
      </x:c>
      <x:c r="Q12" s="11" t="n">
        <x:v>0</x:v>
      </x:c>
      <x:c r="R12" s="11" t="n">
        <x:v>30.379583333333308</x:v>
      </x:c>
      <x:c r="S12" s="11" t="n">
        <x:v>30.293583333333313</x:v>
      </x:c>
      <x:c r="T12" s="11" t="n">
        <x:v>0</x:v>
      </x:c>
      <x:c r="U12" s="11" t="n">
        <x:v>0</x:v>
      </x:c>
      <x:c r="V12" s="11" t="n">
        <x:v>0</x:v>
      </x:c>
      <x:c r="W12" s="11" t="n">
        <x:v>0</x:v>
      </x:c>
      <x:c r="X12" s="13" t="n">
        <x:f>(D12*'Tariff and method'!$B$4+'Tariff and method'!$B$5)*1.05</x:f>
        <x:v>7.572405802499997</x:v>
      </x:c>
      <x:c r="Y12" s="13" t="n">
        <x:f>SUMIF('Import by half hour'!$A$5:$A$7395,A12,'Import by half hour'!$J$5:$J$7395)</x:f>
        <x:v>7.100620012500001</x:v>
      </x:c>
      <x:c r="Z12" s="13" t="n">
        <x:f>Y12+'Tariff and method'!$B$5*1.05</x:f>
        <x:v>7.567030012500001</x:v>
      </x:c>
      <x:c r="AA12" s="13" t="n">
        <x:f>X12-Z12</x:f>
        <x:v>0.005375789999995995</x:v>
      </x:c>
      <x:c r="AB12" s="13" t="n">
        <x:f>SUMIF('Import by half hour'!$A$5:$A$7395,A12,'Import by half hour'!$K$5:$K$7395)+'Tariff and method'!$B$5*1.05</x:f>
        <x:v>7.572405802499999</x:v>
      </x:c>
      <x:c r="AC12" s="13" t="n">
        <x:f>AB12-Z12</x:f>
        <x:v>0.005375789999997771</x:v>
      </x:c>
      <x:c r="AD12" s="13" t="n">
        <x:f>X12-AB12</x:f>
        <x:v>-1.7763568394002505e-15</x:v>
      </x:c>
      <x:c r="AE12" s="11" t="n">
        <x:f>M12-H12</x:f>
        <x:v>0</x:v>
      </x:c>
      <x:c r="AF12" s="14" t="str">
        <x:f>IF(M12=0,"",H12/M12)</x:f>
      </x:c>
      <x:c r="AG12" s="11" t="n">
        <x:f>D12-E12-F12-G12</x:f>
        <x:v>0.10900000000000531</x:v>
      </x:c>
      <x:c r="AH12" s="11" t="n">
        <x:f>R12-S12-T12</x:f>
        <x:v>0.08599999999999497</x:v>
      </x:c>
      <x:c r="AI12" s="13" t="n">
        <x:f>SUM($AA$5:AA12)</x:f>
        <x:v>1.9398810900000032</x:v>
      </x:c>
    </x:row>
    <x:row r="13" ht="21" customHeight="1">
      <x:c r="A13" s="10" t="n">
        <x:v>46156</x:v>
      </x:c>
      <x:c r="B13" s="1" t="n">
        <x:v>288</x:v>
      </x:c>
      <x:c r="C13" s="1" t="n">
        <x:v>24</x:v>
      </x:c>
      <x:c r="D13" s="11" t="n">
        <x:v>29.890416666666678</x:v>
      </x:c>
      <x:c r="E13" s="11" t="n">
        <x:v>0</x:v>
      </x:c>
      <x:c r="F13" s="11" t="n">
        <x:v>0</x:v>
      </x:c>
      <x:c r="G13" s="11" t="n">
        <x:v>29.788416666666667</x:v>
      </x:c>
      <x:c r="H13" s="11" t="n">
        <x:v>0</x:v>
      </x:c>
      <x:c r="I13" s="11" t="n">
        <x:v>0</x:v>
      </x:c>
      <x:c r="J13" s="11" t="n">
        <x:v>0</x:v>
      </x:c>
      <x:c r="K13" s="11" t="n">
        <x:v>0</x:v>
      </x:c>
      <x:c r="L13" s="11" t="n">
        <x:v>0</x:v>
      </x:c>
      <x:c r="M13" s="11" t="n">
        <x:v>0</x:v>
      </x:c>
      <x:c r="N13" s="11" t="n">
        <x:v>0</x:v>
      </x:c>
      <x:c r="O13" s="11" t="n">
        <x:v>0</x:v>
      </x:c>
      <x:c r="P13" s="11" t="n">
        <x:v>0</x:v>
      </x:c>
      <x:c r="Q13" s="11" t="n">
        <x:v>0</x:v>
      </x:c>
      <x:c r="R13" s="11" t="n">
        <x:v>29.871416666666683</x:v>
      </x:c>
      <x:c r="S13" s="11" t="n">
        <x:v>29.788416666666667</x:v>
      </x:c>
      <x:c r="T13" s="11" t="n">
        <x:v>0</x:v>
      </x:c>
      <x:c r="U13" s="11" t="n">
        <x:v>0</x:v>
      </x:c>
      <x:c r="V13" s="11" t="n">
        <x:v>0</x:v>
      </x:c>
      <x:c r="W13" s="11" t="n">
        <x:v>0</x:v>
      </x:c>
      <x:c r="X13" s="13" t="n">
        <x:f>(D13*'Tariff and method'!$B$4+'Tariff and method'!$B$5)*1.05</x:f>
        <x:v>7.452697087500003</x:v>
      </x:c>
      <x:c r="Y13" s="13" t="n">
        <x:f>SUMIF('Import by half hour'!$A$5:$A$7395,A13,'Import by half hour'!$J$5:$J$7395)</x:f>
        <x:v>6.981846217499999</x:v>
      </x:c>
      <x:c r="Z13" s="13" t="n">
        <x:f>Y13+'Tariff and method'!$B$5*1.05</x:f>
        <x:v>7.448256217499999</x:v>
      </x:c>
      <x:c r="AA13" s="13" t="n">
        <x:f>X13-Z13</x:f>
        <x:v>0.00444087000000426</x:v>
      </x:c>
      <x:c r="AB13" s="13" t="n">
        <x:f>SUMIF('Import by half hour'!$A$5:$A$7395,A13,'Import by half hour'!$K$5:$K$7395)+'Tariff and method'!$B$5*1.05</x:f>
        <x:v>7.4526970875</x:v>
      </x:c>
      <x:c r="AC13" s="13" t="n">
        <x:f>AB13-Z13</x:f>
        <x:v>0.004440870000000707</x:v>
      </x:c>
      <x:c r="AD13" s="13" t="n">
        <x:f>X13-AB13</x:f>
        <x:v>3.552713678800501e-15</x:v>
      </x:c>
      <x:c r="AE13" s="11" t="n">
        <x:f>M13-H13</x:f>
        <x:v>0</x:v>
      </x:c>
      <x:c r="AF13" s="14" t="str">
        <x:f>IF(M13=0,"",H13/M13)</x:f>
      </x:c>
      <x:c r="AG13" s="11" t="n">
        <x:f>D13-E13-F13-G13</x:f>
        <x:v>0.10200000000001097</x:v>
      </x:c>
      <x:c r="AH13" s="11" t="n">
        <x:f>R13-S13-T13</x:f>
        <x:v>0.08300000000001617</x:v>
      </x:c>
      <x:c r="AI13" s="13" t="n">
        <x:f>SUM($AA$5:AA13)</x:f>
        <x:v>1.9443219600000075</x:v>
      </x:c>
    </x:row>
    <x:row r="14" ht="21" customHeight="1">
      <x:c r="A14" s="10" t="n">
        <x:v>46157</x:v>
      </x:c>
      <x:c r="B14" s="1" t="n">
        <x:v>288</x:v>
      </x:c>
      <x:c r="C14" s="1" t="n">
        <x:v>24</x:v>
      </x:c>
      <x:c r="D14" s="11" t="n">
        <x:v>28.89108333333332</x:v>
      </x:c>
      <x:c r="E14" s="11" t="n">
        <x:v>0</x:v>
      </x:c>
      <x:c r="F14" s="11" t="n">
        <x:v>0</x:v>
      </x:c>
      <x:c r="G14" s="11" t="n">
        <x:v>28.78208333333333</x:v>
      </x:c>
      <x:c r="H14" s="11" t="n">
        <x:v>0</x:v>
      </x:c>
      <x:c r="I14" s="11" t="n">
        <x:v>0</x:v>
      </x:c>
      <x:c r="J14" s="11" t="n">
        <x:v>0</x:v>
      </x:c>
      <x:c r="K14" s="11" t="n">
        <x:v>0</x:v>
      </x:c>
      <x:c r="L14" s="11" t="n">
        <x:v>0</x:v>
      </x:c>
      <x:c r="M14" s="11" t="n">
        <x:v>0</x:v>
      </x:c>
      <x:c r="N14" s="11" t="n">
        <x:v>0</x:v>
      </x:c>
      <x:c r="O14" s="11" t="n">
        <x:v>0</x:v>
      </x:c>
      <x:c r="P14" s="11" t="n">
        <x:v>0</x:v>
      </x:c>
      <x:c r="Q14" s="11" t="n">
        <x:v>0</x:v>
      </x:c>
      <x:c r="R14" s="11" t="n">
        <x:v>28.874083333333342</x:v>
      </x:c>
      <x:c r="S14" s="11" t="n">
        <x:v>28.78208333333333</x:v>
      </x:c>
      <x:c r="T14" s="11" t="n">
        <x:v>0</x:v>
      </x:c>
      <x:c r="U14" s="11" t="n">
        <x:v>0</x:v>
      </x:c>
      <x:c r="V14" s="11" t="n">
        <x:v>0</x:v>
      </x:c>
      <x:c r="W14" s="11" t="n">
        <x:v>0</x:v>
      </x:c>
      <x:c r="X14" s="13" t="n">
        <x:f>(D14*'Tariff and method'!$B$4+'Tariff and method'!$B$5)*1.05</x:f>
        <x:v>7.219122907499997</x:v>
      </x:c>
      <x:c r="Y14" s="13" t="n">
        <x:f>SUMIF('Import by half hour'!$A$5:$A$7395,A14,'Import by half hour'!$J$5:$J$7395)</x:f>
        <x:v>6.748739497500001</x:v>
      </x:c>
      <x:c r="Z14" s="13" t="n">
        <x:f>Y14+'Tariff and method'!$B$5*1.05</x:f>
        <x:v>7.215149497500001</x:v>
      </x:c>
      <x:c r="AA14" s="13" t="n">
        <x:f>X14-Z14</x:f>
        <x:v>0.003973409999996846</x:v>
      </x:c>
      <x:c r="AB14" s="13" t="n">
        <x:f>SUMIF('Import by half hour'!$A$5:$A$7395,A14,'Import by half hour'!$K$5:$K$7395)+'Tariff and method'!$B$5*1.05</x:f>
        <x:v>7.219122907499999</x:v>
      </x:c>
      <x:c r="AC14" s="13" t="n">
        <x:f>AB14-Z14</x:f>
        <x:v>0.003973409999998623</x:v>
      </x:c>
      <x:c r="AD14" s="13" t="n">
        <x:f>X14-AB14</x:f>
        <x:v>-1.7763568394002505e-15</x:v>
      </x:c>
      <x:c r="AE14" s="11" t="n">
        <x:f>M14-H14</x:f>
        <x:v>0</x:v>
      </x:c>
      <x:c r="AF14" s="14" t="str">
        <x:f>IF(M14=0,"",H14/M14)</x:f>
      </x:c>
      <x:c r="AG14" s="11" t="n">
        <x:f>D14-E14-F14-G14</x:f>
        <x:v>0.1089999999999911</x:v>
      </x:c>
      <x:c r="AH14" s="11" t="n">
        <x:f>R14-S14-T14</x:f>
        <x:v>0.09200000000001296</x:v>
      </x:c>
      <x:c r="AI14" s="13" t="n">
        <x:f>SUM($AA$5:AA14)</x:f>
        <x:v>1.9482953700000043</x:v>
      </x:c>
    </x:row>
    <x:row r="15" ht="21" customHeight="1">
      <x:c r="A15" s="10" t="n">
        <x:v>46158</x:v>
      </x:c>
      <x:c r="B15" s="1" t="n">
        <x:v>288</x:v>
      </x:c>
      <x:c r="C15" s="1" t="n">
        <x:v>24</x:v>
      </x:c>
      <x:c r="D15" s="11" t="n">
        <x:v>31.929583333333326</x:v>
      </x:c>
      <x:c r="E15" s="11" t="n">
        <x:v>0</x:v>
      </x:c>
      <x:c r="F15" s="11" t="n">
        <x:v>0</x:v>
      </x:c>
      <x:c r="G15" s="11" t="n">
        <x:v>31.828583333333334</x:v>
      </x:c>
      <x:c r="H15" s="11" t="n">
        <x:v>0</x:v>
      </x:c>
      <x:c r="I15" s="11" t="n">
        <x:v>0</x:v>
      </x:c>
      <x:c r="J15" s="11" t="n">
        <x:v>0</x:v>
      </x:c>
      <x:c r="K15" s="11" t="n">
        <x:v>0</x:v>
      </x:c>
      <x:c r="L15" s="11" t="n">
        <x:v>0</x:v>
      </x:c>
      <x:c r="M15" s="11" t="n">
        <x:v>0</x:v>
      </x:c>
      <x:c r="N15" s="11" t="n">
        <x:v>0</x:v>
      </x:c>
      <x:c r="O15" s="11" t="n">
        <x:v>0</x:v>
      </x:c>
      <x:c r="P15" s="11" t="n">
        <x:v>0</x:v>
      </x:c>
      <x:c r="Q15" s="11" t="n">
        <x:v>0</x:v>
      </x:c>
      <x:c r="R15" s="11" t="n">
        <x:v>31.911583333333347</x:v>
      </x:c>
      <x:c r="S15" s="11" t="n">
        <x:v>31.828583333333334</x:v>
      </x:c>
      <x:c r="T15" s="11" t="n">
        <x:v>0</x:v>
      </x:c>
      <x:c r="U15" s="11" t="n">
        <x:v>0</x:v>
      </x:c>
      <x:c r="V15" s="11" t="n">
        <x:v>0</x:v>
      </x:c>
      <x:c r="W15" s="11" t="n">
        <x:v>0</x:v>
      </x:c>
      <x:c r="X15" s="13" t="n">
        <x:f>(D15*'Tariff and method'!$B$4+'Tariff and method'!$B$5)*1.05</x:f>
        <x:v>7.929311512499999</x:v>
      </x:c>
      <x:c r="Y15" s="13" t="n">
        <x:f>SUMIF('Import by half hour'!$A$5:$A$7395,A15,'Import by half hour'!$J$5:$J$7395)</x:f>
        <x:v>7.4586943725</x:v>
      </x:c>
      <x:c r="Z15" s="13" t="n">
        <x:f>Y15+'Tariff and method'!$B$5*1.05</x:f>
        <x:v>7.9251043725</x:v>
      </x:c>
      <x:c r="AA15" s="13" t="n">
        <x:f>X15-Z15</x:f>
        <x:v>0.004207139999999221</x:v>
      </x:c>
      <x:c r="AB15" s="13" t="n">
        <x:f>SUMIF('Import by half hour'!$A$5:$A$7395,A15,'Import by half hour'!$K$5:$K$7395)+'Tariff and method'!$B$5*1.05</x:f>
        <x:v>7.929311512500002</x:v>
      </x:c>
      <x:c r="AC15" s="13" t="n">
        <x:f>AB15-Z15</x:f>
        <x:v>0.0042071400000018855</x:v>
      </x:c>
      <x:c r="AD15" s="13" t="n">
        <x:f>X15-AB15</x:f>
        <x:v>-2.6645352591003757e-15</x:v>
      </x:c>
      <x:c r="AE15" s="11" t="n">
        <x:f>M15-H15</x:f>
        <x:v>0</x:v>
      </x:c>
      <x:c r="AF15" s="14" t="str">
        <x:f>IF(M15=0,"",H15/M15)</x:f>
      </x:c>
      <x:c r="AG15" s="11" t="n">
        <x:f>D15-E15-F15-G15</x:f>
        <x:v>0.10099999999999199</x:v>
      </x:c>
      <x:c r="AH15" s="11" t="n">
        <x:f>R15-S15-T15</x:f>
        <x:v>0.08300000000001262</x:v>
      </x:c>
      <x:c r="AI15" s="13" t="n">
        <x:f>SUM($AA$5:AA15)</x:f>
        <x:v>1.9525025100000035</x:v>
      </x:c>
    </x:row>
    <x:row r="16" ht="21" customHeight="1">
      <x:c r="A16" s="10" t="n">
        <x:v>46159</x:v>
      </x:c>
      <x:c r="B16" s="1" t="n">
        <x:v>288</x:v>
      </x:c>
      <x:c r="C16" s="1" t="n">
        <x:v>24</x:v>
      </x:c>
      <x:c r="D16" s="11" t="n">
        <x:v>30.194083333333325</x:v>
      </x:c>
      <x:c r="E16" s="11" t="n">
        <x:v>0</x:v>
      </x:c>
      <x:c r="F16" s="11" t="n">
        <x:v>0</x:v>
      </x:c>
      <x:c r="G16" s="11" t="n">
        <x:v>30.08508333333333</x:v>
      </x:c>
      <x:c r="H16" s="11" t="n">
        <x:v>0</x:v>
      </x:c>
      <x:c r="I16" s="11" t="n">
        <x:v>0</x:v>
      </x:c>
      <x:c r="J16" s="11" t="n">
        <x:v>0</x:v>
      </x:c>
      <x:c r="K16" s="11" t="n">
        <x:v>0</x:v>
      </x:c>
      <x:c r="L16" s="11" t="n">
        <x:v>0</x:v>
      </x:c>
      <x:c r="M16" s="11" t="n">
        <x:v>0</x:v>
      </x:c>
      <x:c r="N16" s="11" t="n">
        <x:v>0</x:v>
      </x:c>
      <x:c r="O16" s="11" t="n">
        <x:v>0</x:v>
      </x:c>
      <x:c r="P16" s="11" t="n">
        <x:v>0</x:v>
      </x:c>
      <x:c r="Q16" s="11" t="n">
        <x:v>0</x:v>
      </x:c>
      <x:c r="R16" s="11" t="n">
        <x:v>30.176083333333338</x:v>
      </x:c>
      <x:c r="S16" s="11" t="n">
        <x:v>30.08508333333333</x:v>
      </x:c>
      <x:c r="T16" s="11" t="n">
        <x:v>0</x:v>
      </x:c>
      <x:c r="U16" s="11" t="n">
        <x:v>0</x:v>
      </x:c>
      <x:c r="V16" s="11" t="n">
        <x:v>0</x:v>
      </x:c>
      <x:c r="W16" s="11" t="n">
        <x:v>0</x:v>
      </x:c>
      <x:c r="X16" s="13" t="n">
        <x:f>(D16*'Tariff and method'!$B$4+'Tariff and method'!$B$5)*1.05</x:f>
        <x:v>7.523673097499998</x:v>
      </x:c>
      <x:c r="Y16" s="13" t="n">
        <x:f>SUMIF('Import by half hour'!$A$5:$A$7395,A16,'Import by half hour'!$J$5:$J$7395)</x:f>
        <x:v>7.053055957500002</x:v>
      </x:c>
      <x:c r="Z16" s="13" t="n">
        <x:f>Y16+'Tariff and method'!$B$5*1.05</x:f>
        <x:v>7.519465957500001</x:v>
      </x:c>
      <x:c r="AA16" s="13" t="n">
        <x:f>X16-Z16</x:f>
        <x:v>0.004207139999996556</x:v>
      </x:c>
      <x:c r="AB16" s="13" t="n">
        <x:f>SUMIF('Import by half hour'!$A$5:$A$7395,A16,'Import by half hour'!$K$5:$K$7395)+'Tariff and method'!$B$5*1.05</x:f>
        <x:v>7.523673097499999</x:v>
      </x:c>
      <x:c r="AC16" s="13" t="n">
        <x:f>AB16-Z16</x:f>
        <x:v>0.004207139999997445</x:v>
      </x:c>
      <x:c r="AD16" s="13" t="n">
        <x:f>X16-AB16</x:f>
        <x:v>-8.881784197001252e-16</x:v>
      </x:c>
      <x:c r="AE16" s="11" t="n">
        <x:f>M16-H16</x:f>
        <x:v>0</x:v>
      </x:c>
      <x:c r="AF16" s="14" t="str">
        <x:f>IF(M16=0,"",H16/M16)</x:f>
      </x:c>
      <x:c r="AG16" s="11" t="n">
        <x:f>D16-E16-F16-G16</x:f>
        <x:v>0.10899999999999466</x:v>
      </x:c>
      <x:c r="AH16" s="11" t="n">
        <x:f>R16-S16-T16</x:f>
        <x:v>0.09100000000000819</x:v>
      </x:c>
      <x:c r="AI16" s="13" t="n">
        <x:f>SUM($AA$5:AA16)</x:f>
        <x:v>1.95670965</x:v>
      </x:c>
    </x:row>
    <x:row r="17" ht="21" customHeight="1">
      <x:c r="A17" s="10" t="n">
        <x:v>46160</x:v>
      </x:c>
      <x:c r="B17" s="1" t="n">
        <x:v>288</x:v>
      </x:c>
      <x:c r="C17" s="1" t="n">
        <x:v>24</x:v>
      </x:c>
      <x:c r="D17" s="11" t="n">
        <x:v>26.03058333333333</x:v>
      </x:c>
      <x:c r="E17" s="11" t="n">
        <x:v>0</x:v>
      </x:c>
      <x:c r="F17" s="11" t="n">
        <x:v>0</x:v>
      </x:c>
      <x:c r="G17" s="11" t="n">
        <x:v>25.919583333333335</x:v>
      </x:c>
      <x:c r="H17" s="11" t="n">
        <x:v>0</x:v>
      </x:c>
      <x:c r="I17" s="11" t="n">
        <x:v>0</x:v>
      </x:c>
      <x:c r="J17" s="11" t="n">
        <x:v>0</x:v>
      </x:c>
      <x:c r="K17" s="11" t="n">
        <x:v>0</x:v>
      </x:c>
      <x:c r="L17" s="11" t="n">
        <x:v>0</x:v>
      </x:c>
      <x:c r="M17" s="11" t="n">
        <x:v>0</x:v>
      </x:c>
      <x:c r="N17" s="11" t="n">
        <x:v>0</x:v>
      </x:c>
      <x:c r="O17" s="11" t="n">
        <x:v>0</x:v>
      </x:c>
      <x:c r="P17" s="11" t="n">
        <x:v>0</x:v>
      </x:c>
      <x:c r="Q17" s="11" t="n">
        <x:v>0</x:v>
      </x:c>
      <x:c r="R17" s="11" t="n">
        <x:v>26.011583333333355</x:v>
      </x:c>
      <x:c r="S17" s="11" t="n">
        <x:v>25.919583333333335</x:v>
      </x:c>
      <x:c r="T17" s="11" t="n">
        <x:v>0</x:v>
      </x:c>
      <x:c r="U17" s="11" t="n">
        <x:v>0</x:v>
      </x:c>
      <x:c r="V17" s="11" t="n">
        <x:v>0</x:v>
      </x:c>
      <x:c r="W17" s="11" t="n">
        <x:v>0</x:v>
      </x:c>
      <x:c r="X17" s="13" t="n">
        <x:f>(D17*'Tariff and method'!$B$4+'Tariff and method'!$B$5)*1.05</x:f>
        <x:v>6.550538242499999</x:v>
      </x:c>
      <x:c r="Y17" s="13" t="n">
        <x:f>SUMIF('Import by half hour'!$A$5:$A$7395,A17,'Import by half hour'!$J$5:$J$7395)</x:f>
        <x:v>6.079687372499999</x:v>
      </x:c>
      <x:c r="Z17" s="13" t="n">
        <x:f>Y17+'Tariff and method'!$B$5*1.05</x:f>
        <x:v>6.5460973724999985</x:v>
      </x:c>
      <x:c r="AA17" s="13" t="n">
        <x:f>X17-Z17</x:f>
        <x:v>0.004440870000000707</x:v>
      </x:c>
      <x:c r="AB17" s="13" t="n">
        <x:f>SUMIF('Import by half hour'!$A$5:$A$7395,A17,'Import by half hour'!$K$5:$K$7395)+'Tariff and method'!$B$5*1.05</x:f>
        <x:v>6.550538242499999</x:v>
      </x:c>
      <x:c r="AC17" s="13" t="n">
        <x:f>AB17-Z17</x:f>
        <x:v>0.004440870000000707</x:v>
      </x:c>
      <x:c r="AD17" s="13" t="n">
        <x:f>X17-AB17</x:f>
        <x:v>0</x:v>
      </x:c>
      <x:c r="AE17" s="11" t="n">
        <x:f>M17-H17</x:f>
        <x:v>0</x:v>
      </x:c>
      <x:c r="AF17" s="14" t="str">
        <x:f>IF(M17=0,"",H17/M17)</x:f>
      </x:c>
      <x:c r="AG17" s="11" t="n">
        <x:f>D17-E17-F17-G17</x:f>
        <x:v>0.11099999999999355</x:v>
      </x:c>
      <x:c r="AH17" s="11" t="n">
        <x:f>R17-S17-T17</x:f>
        <x:v>0.09200000000002007</x:v>
      </x:c>
      <x:c r="AI17" s="13" t="n">
        <x:f>SUM($AA$5:AA17)</x:f>
        <x:v>1.9611505200000008</x:v>
      </x:c>
    </x:row>
    <x:row r="18" ht="21" customHeight="1">
      <x:c r="A18" s="10" t="n">
        <x:v>46161</x:v>
      </x:c>
      <x:c r="B18" s="1" t="n">
        <x:v>288</x:v>
      </x:c>
      <x:c r="C18" s="1" t="n">
        <x:v>24</x:v>
      </x:c>
      <x:c r="D18" s="11" t="n">
        <x:v>27.087916666666647</x:v>
      </x:c>
      <x:c r="E18" s="11" t="n">
        <x:v>0</x:v>
      </x:c>
      <x:c r="F18" s="11" t="n">
        <x:v>0</x:v>
      </x:c>
      <x:c r="G18" s="11" t="n">
        <x:v>26.993916666666653</x:v>
      </x:c>
      <x:c r="H18" s="11" t="n">
        <x:v>0</x:v>
      </x:c>
      <x:c r="I18" s="11" t="n">
        <x:v>0</x:v>
      </x:c>
      <x:c r="J18" s="11" t="n">
        <x:v>0</x:v>
      </x:c>
      <x:c r="K18" s="11" t="n">
        <x:v>0</x:v>
      </x:c>
      <x:c r="L18" s="11" t="n">
        <x:v>0</x:v>
      </x:c>
      <x:c r="M18" s="11" t="n">
        <x:v>0</x:v>
      </x:c>
      <x:c r="N18" s="11" t="n">
        <x:v>0</x:v>
      </x:c>
      <x:c r="O18" s="11" t="n">
        <x:v>0</x:v>
      </x:c>
      <x:c r="P18" s="11" t="n">
        <x:v>0</x:v>
      </x:c>
      <x:c r="Q18" s="11" t="n">
        <x:v>0</x:v>
      </x:c>
      <x:c r="R18" s="11" t="n">
        <x:v>27.069916666666646</x:v>
      </x:c>
      <x:c r="S18" s="11" t="n">
        <x:v>26.993916666666653</x:v>
      </x:c>
      <x:c r="T18" s="11" t="n">
        <x:v>0</x:v>
      </x:c>
      <x:c r="U18" s="11" t="n">
        <x:v>0</x:v>
      </x:c>
      <x:c r="V18" s="11" t="n">
        <x:v>0</x:v>
      </x:c>
      <x:c r="W18" s="11" t="n">
        <x:v>0</x:v>
      </x:c>
      <x:c r="X18" s="13" t="n">
        <x:f>(D18*'Tariff and method'!$B$4+'Tariff and method'!$B$5)*1.05</x:f>
        <x:v>6.797668762499995</x:v>
      </x:c>
      <x:c r="Y18" s="13" t="n">
        <x:f>SUMIF('Import by half hour'!$A$5:$A$7395,A18,'Import by half hour'!$J$5:$J$7395)</x:f>
        <x:v>6.3270516225</x:v>
      </x:c>
      <x:c r="Z18" s="13" t="n">
        <x:f>Y18+'Tariff and method'!$B$5*1.05</x:f>
        <x:v>6.7934616225</x:v>
      </x:c>
      <x:c r="AA18" s="13" t="n">
        <x:f>X18-Z18</x:f>
        <x:v>0.004207139999995668</x:v>
      </x:c>
      <x:c r="AB18" s="13" t="n">
        <x:f>SUMIF('Import by half hour'!$A$5:$A$7395,A18,'Import by half hour'!$K$5:$K$7395)+'Tariff and method'!$B$5*1.05</x:f>
        <x:v>6.797668762500002</x:v>
      </x:c>
      <x:c r="AC18" s="13" t="n">
        <x:f>AB18-Z18</x:f>
        <x:v>0.0042071400000018855</x:v>
      </x:c>
      <x:c r="AD18" s="13" t="n">
        <x:f>X18-AB18</x:f>
        <x:v>-6.217248937900877e-15</x:v>
      </x:c>
      <x:c r="AE18" s="11" t="n">
        <x:f>M18-H18</x:f>
        <x:v>0</x:v>
      </x:c>
      <x:c r="AF18" s="14" t="str">
        <x:f>IF(M18=0,"",H18/M18)</x:f>
      </x:c>
      <x:c r="AG18" s="11" t="n">
        <x:f>D18-E18-F18-G18</x:f>
        <x:v>0.09399999999999409</x:v>
      </x:c>
      <x:c r="AH18" s="11" t="n">
        <x:f>R18-S18-T18</x:f>
        <x:v>0.0759999999999934</x:v>
      </x:c>
      <x:c r="AI18" s="13" t="n">
        <x:f>SUM($AA$5:AA18)</x:f>
        <x:v>1.9653576599999965</x:v>
      </x:c>
    </x:row>
    <x:row r="19" ht="21" customHeight="1">
      <x:c r="A19" s="10" t="n">
        <x:v>46162</x:v>
      </x:c>
      <x:c r="B19" s="1" t="n">
        <x:v>288</x:v>
      </x:c>
      <x:c r="C19" s="1" t="n">
        <x:v>24</x:v>
      </x:c>
      <x:c r="D19" s="11" t="n">
        <x:v>30.73291666666668</x:v>
      </x:c>
      <x:c r="E19" s="11" t="n">
        <x:v>0</x:v>
      </x:c>
      <x:c r="F19" s="11" t="n">
        <x:v>0</x:v>
      </x:c>
      <x:c r="G19" s="11" t="n">
        <x:v>30.624916666666675</x:v>
      </x:c>
      <x:c r="H19" s="11" t="n">
        <x:v>0</x:v>
      </x:c>
      <x:c r="I19" s="11" t="n">
        <x:v>0</x:v>
      </x:c>
      <x:c r="J19" s="11" t="n">
        <x:v>0</x:v>
      </x:c>
      <x:c r="K19" s="11" t="n">
        <x:v>0</x:v>
      </x:c>
      <x:c r="L19" s="11" t="n">
        <x:v>0</x:v>
      </x:c>
      <x:c r="M19" s="11" t="n">
        <x:v>0</x:v>
      </x:c>
      <x:c r="N19" s="11" t="n">
        <x:v>0</x:v>
      </x:c>
      <x:c r="O19" s="11" t="n">
        <x:v>0</x:v>
      </x:c>
      <x:c r="P19" s="11" t="n">
        <x:v>0</x:v>
      </x:c>
      <x:c r="Q19" s="11" t="n">
        <x:v>0</x:v>
      </x:c>
      <x:c r="R19" s="11" t="n">
        <x:v>30.715916666666676</x:v>
      </x:c>
      <x:c r="S19" s="11" t="n">
        <x:v>30.624916666666675</x:v>
      </x:c>
      <x:c r="T19" s="11" t="n">
        <x:v>0</x:v>
      </x:c>
      <x:c r="U19" s="11" t="n">
        <x:v>0</x:v>
      </x:c>
      <x:c r="V19" s="11" t="n">
        <x:v>0</x:v>
      </x:c>
      <x:c r="W19" s="11" t="n">
        <x:v>0</x:v>
      </x:c>
      <x:c r="X19" s="13" t="n">
        <x:f>(D19*'Tariff and method'!$B$4+'Tariff and method'!$B$5)*1.05</x:f>
        <x:v>7.649614612500003</x:v>
      </x:c>
      <x:c r="Y19" s="13" t="n">
        <x:f>SUMIF('Import by half hour'!$A$5:$A$7395,A19,'Import by half hour'!$J$5:$J$7395)</x:f>
        <x:v>7.179231202499999</x:v>
      </x:c>
      <x:c r="Z19" s="13" t="n">
        <x:f>Y19+'Tariff and method'!$B$5*1.05</x:f>
        <x:v>7.6456412024999985</x:v>
      </x:c>
      <x:c r="AA19" s="13" t="n">
        <x:f>X19-Z19</x:f>
        <x:v>0.00397341000000484</x:v>
      </x:c>
      <x:c r="AB19" s="13" t="n">
        <x:f>SUMIF('Import by half hour'!$A$5:$A$7395,A19,'Import by half hour'!$K$5:$K$7395)+'Tariff and method'!$B$5*1.05</x:f>
        <x:v>7.6496146125</x:v>
      </x:c>
      <x:c r="AC19" s="13" t="n">
        <x:f>AB19-Z19</x:f>
        <x:v>0.003973410000001287</x:v>
      </x:c>
      <x:c r="AD19" s="13" t="n">
        <x:f>X19-AB19</x:f>
        <x:v>3.552713678800501e-15</x:v>
      </x:c>
      <x:c r="AE19" s="11" t="n">
        <x:f>M19-H19</x:f>
        <x:v>0</x:v>
      </x:c>
      <x:c r="AF19" s="14" t="str">
        <x:f>IF(M19=0,"",H19/M19)</x:f>
      </x:c>
      <x:c r="AG19" s="11" t="n">
        <x:f>D19-E19-F19-G19</x:f>
        <x:v>0.10800000000000409</x:v>
      </x:c>
      <x:c r="AH19" s="11" t="n">
        <x:f>R19-S19-T19</x:f>
        <x:v>0.09100000000000108</x:v>
      </x:c>
      <x:c r="AI19" s="13" t="n">
        <x:f>SUM($AA$5:AA19)</x:f>
        <x:v>1.9693310700000013</x:v>
      </x:c>
    </x:row>
    <x:row r="20" ht="21" customHeight="1">
      <x:c r="A20" s="10" t="n">
        <x:v>46163</x:v>
      </x:c>
      <x:c r="B20" s="1" t="n">
        <x:v>288</x:v>
      </x:c>
      <x:c r="C20" s="1" t="n">
        <x:v>24</x:v>
      </x:c>
      <x:c r="D20" s="11" t="n">
        <x:v>22.109833333333327</x:v>
      </x:c>
      <x:c r="E20" s="11" t="n">
        <x:v>0</x:v>
      </x:c>
      <x:c r="F20" s="11" t="n">
        <x:v>0</x:v>
      </x:c>
      <x:c r="G20" s="11" t="n">
        <x:v>21.99583333333332</x:v>
      </x:c>
      <x:c r="H20" s="11" t="n">
        <x:v>0</x:v>
      </x:c>
      <x:c r="I20" s="11" t="n">
        <x:v>0</x:v>
      </x:c>
      <x:c r="J20" s="11" t="n">
        <x:v>0</x:v>
      </x:c>
      <x:c r="K20" s="11" t="n">
        <x:v>0</x:v>
      </x:c>
      <x:c r="L20" s="11" t="n">
        <x:v>0</x:v>
      </x:c>
      <x:c r="M20" s="11" t="n">
        <x:v>0</x:v>
      </x:c>
      <x:c r="N20" s="11" t="n">
        <x:v>0</x:v>
      </x:c>
      <x:c r="O20" s="11" t="n">
        <x:v>0</x:v>
      </x:c>
      <x:c r="P20" s="11" t="n">
        <x:v>0</x:v>
      </x:c>
      <x:c r="Q20" s="11" t="n">
        <x:v>0</x:v>
      </x:c>
      <x:c r="R20" s="11" t="n">
        <x:v>22.091833333333316</x:v>
      </x:c>
      <x:c r="S20" s="11" t="n">
        <x:v>21.99583333333332</x:v>
      </x:c>
      <x:c r="T20" s="11" t="n">
        <x:v>0</x:v>
      </x:c>
      <x:c r="U20" s="11" t="n">
        <x:v>0</x:v>
      </x:c>
      <x:c r="V20" s="11" t="n">
        <x:v>0</x:v>
      </x:c>
      <x:c r="W20" s="11" t="n">
        <x:v>0</x:v>
      </x:c>
      <x:c r="X20" s="13" t="n">
        <x:f>(D20*'Tariff and method'!$B$4+'Tariff and method'!$B$5)*1.05</x:f>
        <x:v>5.634141344999999</x:v>
      </x:c>
      <x:c r="Y20" s="13" t="n">
        <x:f>SUMIF('Import by half hour'!$A$5:$A$7395,A20,'Import by half hour'!$J$5:$J$7395)</x:f>
        <x:v>5.163524205</x:v>
      </x:c>
      <x:c r="Z20" s="13" t="n">
        <x:f>Y20+'Tariff and method'!$B$5*1.05</x:f>
        <x:v>5.629934205</x:v>
      </x:c>
      <x:c r="AA20" s="13" t="n">
        <x:f>X20-Z20</x:f>
        <x:v>0.004207139999999221</x:v>
      </x:c>
      <x:c r="AB20" s="13" t="n">
        <x:f>SUMIF('Import by half hour'!$A$5:$A$7395,A20,'Import by half hour'!$K$5:$K$7395)+'Tariff and method'!$B$5*1.05</x:f>
        <x:v>5.634141345</x:v>
      </x:c>
      <x:c r="AC20" s="13" t="n">
        <x:f>AB20-Z20</x:f>
        <x:v>0.004207140000000109</x:v>
      </x:c>
      <x:c r="AD20" s="13" t="n">
        <x:f>X20-AB20</x:f>
        <x:v>-8.881784197001252e-16</x:v>
      </x:c>
      <x:c r="AE20" s="11" t="n">
        <x:f>M20-H20</x:f>
        <x:v>0</x:v>
      </x:c>
      <x:c r="AF20" s="14" t="str">
        <x:f>IF(M20=0,"",H20/M20)</x:f>
      </x:c>
      <x:c r="AG20" s="11" t="n">
        <x:f>D20-E20-F20-G20</x:f>
        <x:v>0.11400000000000787</x:v>
      </x:c>
      <x:c r="AH20" s="11" t="n">
        <x:f>R20-S20-T20</x:f>
        <x:v>0.09599999999999653</x:v>
      </x:c>
      <x:c r="AI20" s="13" t="n">
        <x:f>SUM($AA$5:AA20)</x:f>
        <x:v>1.9735382100000005</x:v>
      </x:c>
    </x:row>
    <x:row r="21" ht="21" customHeight="1">
      <x:c r="A21" s="10" t="n">
        <x:v>46164</x:v>
      </x:c>
      <x:c r="B21" s="1" t="n">
        <x:v>288</x:v>
      </x:c>
      <x:c r="C21" s="1" t="n">
        <x:v>24</x:v>
      </x:c>
      <x:c r="D21" s="11" t="n">
        <x:v>23.689083333333343</x:v>
      </x:c>
      <x:c r="E21" s="11" t="n">
        <x:v>0</x:v>
      </x:c>
      <x:c r="F21" s="11" t="n">
        <x:v>0</x:v>
      </x:c>
      <x:c r="G21" s="11" t="n">
        <x:v>23.43208333333333</x:v>
      </x:c>
      <x:c r="H21" s="11" t="n">
        <x:v>0</x:v>
      </x:c>
      <x:c r="I21" s="11" t="n">
        <x:v>0</x:v>
      </x:c>
      <x:c r="J21" s="11" t="n">
        <x:v>0</x:v>
      </x:c>
      <x:c r="K21" s="11" t="n">
        <x:v>31.180000000000007</x:v>
      </x:c>
      <x:c r="L21" s="11" t="n">
        <x:v>0</x:v>
      </x:c>
      <x:c r="M21" s="11" t="n">
        <x:v>31.180000000000007</x:v>
      </x:c>
      <x:c r="N21" s="11" t="n">
        <x:v>0</x:v>
      </x:c>
      <x:c r="O21" s="11" t="n">
        <x:v>0</x:v>
      </x:c>
      <x:c r="P21" s="11" t="n">
        <x:v>0</x:v>
      </x:c>
      <x:c r="Q21" s="11" t="n">
        <x:v>0</x:v>
      </x:c>
      <x:c r="R21" s="11" t="n">
        <x:v>54.63408333333329</x:v>
      </x:c>
      <x:c r="S21" s="11" t="n">
        <x:v>23.43208333333333</x:v>
      </x:c>
      <x:c r="T21" s="11" t="n">
        <x:v>31.180000000000007</x:v>
      </x:c>
      <x:c r="U21" s="11" t="n">
        <x:v>0</x:v>
      </x:c>
      <x:c r="V21" s="11" t="n">
        <x:v>0</x:v>
      </x:c>
      <x:c r="W21" s="11" t="n">
        <x:v>0</x:v>
      </x:c>
      <x:c r="X21" s="13" t="n">
        <x:f>(D21*'Tariff and method'!$B$4+'Tariff and method'!$B$5)*1.05</x:f>
        <x:v>6.003259447500002</x:v>
      </x:c>
      <x:c r="Y21" s="13" t="n">
        <x:f>SUMIF('Import by half hour'!$A$5:$A$7395,A21,'Import by half hour'!$J$5:$J$7395)</x:f>
        <x:v>12.769624297499998</x:v>
      </x:c>
      <x:c r="Z21" s="13" t="n">
        <x:f>Y21+'Tariff and method'!$B$5*1.05</x:f>
        <x:v>13.236034297499998</x:v>
      </x:c>
      <x:c r="AA21" s="13" t="n">
        <x:f>X21-Z21</x:f>
        <x:v>-7.232774849999996</x:v>
      </x:c>
      <x:c r="AB21" s="13" t="n">
        <x:f>SUMIF('Import by half hour'!$A$5:$A$7395,A21,'Import by half hour'!$K$5:$K$7395)+'Tariff and method'!$B$5*1.05</x:f>
        <x:v>6.003259447499999</x:v>
      </x:c>
      <x:c r="AC21" s="13" t="n">
        <x:f>AB21-Z21</x:f>
        <x:v>-7.232774849999999</x:v>
      </x:c>
      <x:c r="AD21" s="13" t="n">
        <x:f>X21-AB21</x:f>
        <x:v>3.552713678800501e-15</x:v>
      </x:c>
      <x:c r="AE21" s="11" t="n">
        <x:f>M21-H21</x:f>
        <x:v>31.180000000000007</x:v>
      </x:c>
      <x:c r="AF21" s="14" t="n">
        <x:f>IF(M21=0,"",H21/M21)</x:f>
        <x:v>0</x:v>
      </x:c>
      <x:c r="AG21" s="11" t="n">
        <x:f>D21-E21-F21-G21</x:f>
        <x:v>0.2570000000000121</x:v>
      </x:c>
      <x:c r="AH21" s="11" t="n">
        <x:f>R21-S21-T21</x:f>
        <x:v>0.021999999999948727</x:v>
      </x:c>
      <x:c r="AI21" s="13" t="n">
        <x:f>SUM($AA$5:AA21)</x:f>
        <x:v>-5.259236639999996</x:v>
      </x:c>
    </x:row>
    <x:row r="22" ht="21" customHeight="1">
      <x:c r="A22" s="10" t="n">
        <x:v>46165</x:v>
      </x:c>
      <x:c r="B22" s="1" t="n">
        <x:v>288</x:v>
      </x:c>
      <x:c r="C22" s="1" t="n">
        <x:v>24</x:v>
      </x:c>
      <x:c r="D22" s="11" t="n">
        <x:v>23.8585</x:v>
      </x:c>
      <x:c r="E22" s="11" t="n">
        <x:v>16.191333333333336</x:v>
      </x:c>
      <x:c r="F22" s="11" t="n">
        <x:v>0</x:v>
      </x:c>
      <x:c r="G22" s="11" t="n">
        <x:v>7.453166666666669</x:v>
      </x:c>
      <x:c r="H22" s="11" t="n">
        <x:v>16.199000000000012</x:v>
      </x:c>
      <x:c r="I22" s="11" t="n">
        <x:v>16.191333333333336</x:v>
      </x:c>
      <x:c r="J22" s="11" t="n">
        <x:v>0</x:v>
      </x:c>
      <x:c r="K22" s="11" t="n">
        <x:v>0</x:v>
      </x:c>
      <x:c r="L22" s="11" t="n">
        <x:v>0</x:v>
      </x:c>
      <x:c r="M22" s="11" t="n">
        <x:v>0</x:v>
      </x:c>
      <x:c r="N22" s="11" t="n">
        <x:v>0</x:v>
      </x:c>
      <x:c r="O22" s="11" t="n">
        <x:v>0</x:v>
      </x:c>
      <x:c r="P22" s="11" t="n">
        <x:v>0</x:v>
      </x:c>
      <x:c r="Q22" s="11" t="n">
        <x:v>0</x:v>
      </x:c>
      <x:c r="R22" s="11" t="n">
        <x:v>7.454166666666669</x:v>
      </x:c>
      <x:c r="S22" s="11" t="n">
        <x:v>7.453166666666669</x:v>
      </x:c>
      <x:c r="T22" s="11" t="n">
        <x:v>0</x:v>
      </x:c>
      <x:c r="U22" s="11" t="n">
        <x:v>0</x:v>
      </x:c>
      <x:c r="V22" s="11" t="n">
        <x:v>0</x:v>
      </x:c>
      <x:c r="W22" s="11" t="n">
        <x:v>0</x:v>
      </x:c>
      <x:c r="X22" s="13" t="n">
        <x:f>(D22*'Tariff and method'!$B$4+'Tariff and method'!$B$5)*1.05</x:f>
        <x:v>6.042857205000001</x:v>
      </x:c>
      <x:c r="Y22" s="13" t="n">
        <x:f>SUMIF('Import by half hour'!$A$5:$A$7395,A22,'Import by half hour'!$J$5:$J$7395)</x:f>
        <x:v>1.300705595</x:v>
      </x:c>
      <x:c r="Z22" s="13" t="n">
        <x:f>Y22+'Tariff and method'!$B$6*1.05</x:f>
        <x:v>1.858570595</x:v>
      </x:c>
      <x:c r="AA22" s="13" t="n">
        <x:f>X22-Z22</x:f>
        <x:v>4.184286610000001</x:v>
      </x:c>
      <x:c r="AB22" s="13" t="n">
        <x:f>SUMIF('Import by half hour'!$A$5:$A$7395,A22,'Import by half hour'!$K$5:$K$7395)+'Tariff and method'!$B$6*1.05</x:f>
        <x:v>5.4354558650000016</x:v>
      </x:c>
      <x:c r="AC22" s="13" t="n">
        <x:f>AB22-Z22</x:f>
        <x:v>3.576885270000002</x:v>
      </x:c>
      <x:c r="AD22" s="13" t="n">
        <x:f>X22-AB22</x:f>
        <x:v>0.6074013399999991</x:v>
      </x:c>
      <x:c r="AE22" s="11" t="n">
        <x:f>M22-H22</x:f>
        <x:v>-16.199000000000012</x:v>
      </x:c>
      <x:c r="AF22" s="14" t="str">
        <x:f>IF(M22=0,"",H22/M22)</x:f>
      </x:c>
      <x:c r="AG22" s="11" t="n">
        <x:f>D22-E22-F22-G22</x:f>
        <x:v>0.2139999999999942</x:v>
      </x:c>
      <x:c r="AH22" s="11" t="n">
        <x:f>R22-S22-T22</x:f>
        <x:v>0.001000000000000334</x:v>
      </x:c>
      <x:c r="AI22" s="13" t="n">
        <x:f>SUM($AA$5:AA22)</x:f>
        <x:v>-1.0749500299999948</x:v>
      </x:c>
    </x:row>
    <x:row r="23" ht="21" customHeight="1">
      <x:c r="A23" s="10" t="n">
        <x:v>46166</x:v>
      </x:c>
      <x:c r="B23" s="1" t="n">
        <x:v>288</x:v>
      </x:c>
      <x:c r="C23" s="1" t="n">
        <x:v>24</x:v>
      </x:c>
      <x:c r="D23" s="11" t="n">
        <x:v>22.924666666666663</x:v>
      </x:c>
      <x:c r="E23" s="11" t="n">
        <x:v>12.956</x:v>
      </x:c>
      <x:c r="F23" s="11" t="n">
        <x:v>0</x:v>
      </x:c>
      <x:c r="G23" s="11" t="n">
        <x:v>9.696499999999997</x:v>
      </x:c>
      <x:c r="H23" s="11" t="n">
        <x:v>12.960999999999999</x:v>
      </x:c>
      <x:c r="I23" s="11" t="n">
        <x:v>12.956</x:v>
      </x:c>
      <x:c r="J23" s="11" t="n">
        <x:v>0</x:v>
      </x:c>
      <x:c r="K23" s="11" t="n">
        <x:v>2.3049999999999997</x:v>
      </x:c>
      <x:c r="L23" s="11" t="n">
        <x:v>0</x:v>
      </x:c>
      <x:c r="M23" s="11" t="n">
        <x:v>2.3049999999999997</x:v>
      </x:c>
      <x:c r="N23" s="11" t="n">
        <x:v>0</x:v>
      </x:c>
      <x:c r="O23" s="11" t="n">
        <x:v>0</x:v>
      </x:c>
      <x:c r="P23" s="11" t="n">
        <x:v>0</x:v>
      </x:c>
      <x:c r="Q23" s="11" t="n">
        <x:v>0</x:v>
      </x:c>
      <x:c r="R23" s="11" t="n">
        <x:v>12.0015</x:v>
      </x:c>
      <x:c r="S23" s="11" t="n">
        <x:v>9.696499999999997</x:v>
      </x:c>
      <x:c r="T23" s="11" t="n">
        <x:v>2.3049999999999997</x:v>
      </x:c>
      <x:c r="U23" s="11" t="n">
        <x:v>0</x:v>
      </x:c>
      <x:c r="V23" s="11" t="n">
        <x:v>0</x:v>
      </x:c>
      <x:c r="W23" s="11" t="n">
        <x:v>0</x:v>
      </x:c>
      <x:c r="X23" s="13" t="n">
        <x:f>(D23*'Tariff and method'!$B$4+'Tariff and method'!$B$5)*1.05</x:f>
        <x:v>5.82459234</x:v>
      </x:c>
      <x:c r="Y23" s="13" t="n">
        <x:f>SUMIF('Import by half hour'!$A$5:$A$7395,A23,'Import by half hour'!$J$5:$J$7395)</x:f>
        <x:v>2.1807295125000006</x:v>
      </x:c>
      <x:c r="Z23" s="13" t="n">
        <x:f>Y23+'Tariff and method'!$B$6*1.05</x:f>
        <x:v>2.7385945125000006</x:v>
      </x:c>
      <x:c r="AA23" s="13" t="n">
        <x:f>X23-Z23</x:f>
        <x:v>3.085997827499999</x:v>
      </x:c>
      <x:c r="AB23" s="13" t="n">
        <x:f>SUMIF('Import by half hour'!$A$5:$A$7395,A23,'Import by half hour'!$K$5:$K$7395)+'Tariff and method'!$B$6*1.05</x:f>
        <x:v>5.797763264999999</x:v>
      </x:c>
      <x:c r="AC23" s="13" t="n">
        <x:f>AB23-Z23</x:f>
        <x:v>3.059168752499998</x:v>
      </x:c>
      <x:c r="AD23" s="13" t="n">
        <x:f>X23-AB23</x:f>
        <x:v>0.02682907500000109</x:v>
      </x:c>
      <x:c r="AE23" s="11" t="n">
        <x:f>M23-H23</x:f>
        <x:v>-10.655999999999999</x:v>
      </x:c>
      <x:c r="AF23" s="14" t="n">
        <x:f>IF(M23=0,"",H23/M23)</x:f>
        <x:v>5.622993492407809</x:v>
      </x:c>
      <x:c r="AG23" s="11" t="n">
        <x:f>D23-E23-F23-G23</x:f>
        <x:v>0.2721666666666671</x:v>
      </x:c>
      <x:c r="AH23" s="11" t="n">
        <x:f>R23-S23-T23</x:f>
        <x:v>3.552713678800501e-15</x:v>
      </x:c>
      <x:c r="AI23" s="13" t="n">
        <x:f>SUM($AA$5:AA23)</x:f>
        <x:v>2.0110477975000043</x:v>
      </x:c>
    </x:row>
    <x:row r="24" ht="21" customHeight="1">
      <x:c r="A24" s="10" t="n">
        <x:v>46167</x:v>
      </x:c>
      <x:c r="B24" s="1" t="n">
        <x:v>288</x:v>
      </x:c>
      <x:c r="C24" s="1" t="n">
        <x:v>24</x:v>
      </x:c>
      <x:c r="D24" s="11" t="n">
        <x:v>21.9625</x:v>
      </x:c>
      <x:c r="E24" s="11" t="n">
        <x:v>7.621583333333329</x:v>
      </x:c>
      <x:c r="F24" s="11" t="n">
        <x:v>0</x:v>
      </x:c>
      <x:c r="G24" s="11" t="n">
        <x:v>14.000500000000002</x:v>
      </x:c>
      <x:c r="H24" s="11" t="n">
        <x:v>7.624999999999997</x:v>
      </x:c>
      <x:c r="I24" s="11" t="n">
        <x:v>7.621583333333329</x:v>
      </x:c>
      <x:c r="J24" s="11" t="n">
        <x:v>0</x:v>
      </x:c>
      <x:c r="K24" s="11" t="n">
        <x:v>6.939999999999999</x:v>
      </x:c>
      <x:c r="L24" s="11" t="n">
        <x:v>0</x:v>
      </x:c>
      <x:c r="M24" s="11" t="n">
        <x:v>6.939999999999999</x:v>
      </x:c>
      <x:c r="N24" s="11" t="n">
        <x:v>0</x:v>
      </x:c>
      <x:c r="O24" s="11" t="n">
        <x:v>0</x:v>
      </x:c>
      <x:c r="P24" s="11" t="n">
        <x:v>0</x:v>
      </x:c>
      <x:c r="Q24" s="11" t="n">
        <x:v>0</x:v>
      </x:c>
      <x:c r="R24" s="11" t="n">
        <x:v>20.948500000000006</x:v>
      </x:c>
      <x:c r="S24" s="11" t="n">
        <x:v>14.000500000000002</x:v>
      </x:c>
      <x:c r="T24" s="11" t="n">
        <x:v>6.939999999999999</x:v>
      </x:c>
      <x:c r="U24" s="11" t="n">
        <x:v>0</x:v>
      </x:c>
      <x:c r="V24" s="11" t="n">
        <x:v>0</x:v>
      </x:c>
      <x:c r="W24" s="11" t="n">
        <x:v>0</x:v>
      </x:c>
      <x:c r="X24" s="13" t="n">
        <x:f>(D24*'Tariff and method'!$B$4+'Tariff and method'!$B$5)*1.05</x:f>
        <x:v>5.599705125</x:v>
      </x:c>
      <x:c r="Y24" s="13" t="n">
        <x:f>SUMIF('Import by half hour'!$A$5:$A$7395,A24,'Import by half hour'!$J$5:$J$7395)</x:f>
        <x:v>3.7648278587499995</x:v>
      </x:c>
      <x:c r="Z24" s="13" t="n">
        <x:f>Y24+'Tariff and method'!$B$6*1.05</x:f>
        <x:v>4.322692858749999</x:v>
      </x:c>
      <x:c r="AA24" s="13" t="n">
        <x:f>X24-Z24</x:f>
        <x:v>1.2770122662500007</x:v>
      </x:c>
      <x:c r="AB24" s="13" t="n">
        <x:f>SUMIF('Import by half hour'!$A$5:$A$7395,A24,'Import by half hour'!$K$5:$K$7395)+'Tariff and method'!$B$6*1.05</x:f>
        <x:v>5.405340508750001</x:v>
      </x:c>
      <x:c r="AC24" s="13" t="n">
        <x:f>AB24-Z24</x:f>
        <x:v>1.082647650000002</x:v>
      </x:c>
      <x:c r="AD24" s="13" t="n">
        <x:f>X24-AB24</x:f>
        <x:v>0.1943646162499988</x:v>
      </x:c>
      <x:c r="AE24" s="11" t="n">
        <x:f>M24-H24</x:f>
        <x:v>-0.6849999999999987</x:v>
      </x:c>
      <x:c r="AF24" s="14" t="n">
        <x:f>IF(M24=0,"",H24/M24)</x:f>
        <x:v>1.0987031700288183</x:v>
      </x:c>
      <x:c r="AG24" s="11" t="n">
        <x:f>D24-E24-F24-G24</x:f>
        <x:v>0.34041666666666615</x:v>
      </x:c>
      <x:c r="AH24" s="11" t="n">
        <x:f>R24-S24-T24</x:f>
        <x:v>0.008000000000005336</x:v>
      </x:c>
      <x:c r="AI24" s="13" t="n">
        <x:f>SUM($AA$5:AA24)</x:f>
        <x:v>3.288060063750005</x:v>
      </x:c>
    </x:row>
    <x:row r="25" ht="21" customHeight="1">
      <x:c r="A25" s="10" t="n">
        <x:v>46168</x:v>
      </x:c>
      <x:c r="B25" s="1" t="n">
        <x:v>288</x:v>
      </x:c>
      <x:c r="C25" s="1" t="n">
        <x:v>24</x:v>
      </x:c>
      <x:c r="D25" s="11" t="n">
        <x:v>25.42608333333333</x:v>
      </x:c>
      <x:c r="E25" s="11" t="n">
        <x:v>11.414499999999999</x:v>
      </x:c>
      <x:c r="F25" s="11" t="n">
        <x:v>0</x:v>
      </x:c>
      <x:c r="G25" s="11" t="n">
        <x:v>13.706166666666675</x:v>
      </x:c>
      <x:c r="H25" s="11" t="n">
        <x:v>11.42</x:v>
      </x:c>
      <x:c r="I25" s="11" t="n">
        <x:v>11.414499999999999</x:v>
      </x:c>
      <x:c r="J25" s="11" t="n">
        <x:v>0</x:v>
      </x:c>
      <x:c r="K25" s="11" t="n">
        <x:v>13.195</x:v>
      </x:c>
      <x:c r="L25" s="11" t="n">
        <x:v>0</x:v>
      </x:c>
      <x:c r="M25" s="11" t="n">
        <x:v>13.195</x:v>
      </x:c>
      <x:c r="N25" s="11" t="n">
        <x:v>0</x:v>
      </x:c>
      <x:c r="O25" s="11" t="n">
        <x:v>0</x:v>
      </x:c>
      <x:c r="P25" s="11" t="n">
        <x:v>0</x:v>
      </x:c>
      <x:c r="Q25" s="11" t="n">
        <x:v>0</x:v>
      </x:c>
      <x:c r="R25" s="11" t="n">
        <x:v>26.902166666666663</x:v>
      </x:c>
      <x:c r="S25" s="11" t="n">
        <x:v>13.706166666666675</x:v>
      </x:c>
      <x:c r="T25" s="11" t="n">
        <x:v>13.195</x:v>
      </x:c>
      <x:c r="U25" s="11" t="n">
        <x:v>0</x:v>
      </x:c>
      <x:c r="V25" s="11" t="n">
        <x:v>0</x:v>
      </x:c>
      <x:c r="W25" s="11" t="n">
        <x:v>0</x:v>
      </x:c>
      <x:c r="X25" s="13" t="n">
        <x:f>(D25*'Tariff and method'!$B$4+'Tariff and method'!$B$5)*1.05</x:f>
        <x:v>6.4092484574999995</x:v>
      </x:c>
      <x:c r="Y25" s="13" t="n">
        <x:f>SUMIF('Import by half hour'!$A$5:$A$7395,A25,'Import by half hour'!$J$5:$J$7395)</x:f>
        <x:v>4.9553247275</x:v>
      </x:c>
      <x:c r="Z25" s="13" t="n">
        <x:f>Y25+'Tariff and method'!$B$6*1.05</x:f>
        <x:v>5.5131897275</x:v>
      </x:c>
      <x:c r="AA25" s="13" t="n">
        <x:f>X25-Z25</x:f>
        <x:v>0.8960587299999991</x:v>
      </x:c>
      <x:c r="AB25" s="13" t="n">
        <x:f>SUMIF('Import by half hour'!$A$5:$A$7395,A25,'Import by half hour'!$K$5:$K$7395)+'Tariff and method'!$B$6*1.05</x:f>
        <x:v>6.4458619750000015</x:v>
      </x:c>
      <x:c r="AC25" s="13" t="n">
        <x:f>AB25-Z25</x:f>
        <x:v>0.9326722475000011</x:v>
      </x:c>
      <x:c r="AD25" s="13" t="n">
        <x:f>X25-AB25</x:f>
        <x:v>-0.03661351750000197</x:v>
      </x:c>
      <x:c r="AE25" s="11" t="n">
        <x:f>M25-H25</x:f>
        <x:v>1.7750000000000004</x:v>
      </x:c>
      <x:c r="AF25" s="14" t="n">
        <x:f>IF(M25=0,"",H25/M25)</x:f>
        <x:v>0.8654793482379689</x:v>
      </x:c>
      <x:c r="AG25" s="11" t="n">
        <x:f>D25-E25-F25-G25</x:f>
        <x:v>0.3054166666666571</x:v>
      </x:c>
      <x:c r="AH25" s="11" t="n">
        <x:f>R25-S25-T25</x:f>
        <x:v>0.0009999999999870113</x:v>
      </x:c>
      <x:c r="AI25" s="13" t="n">
        <x:f>SUM($AA$5:AA25)</x:f>
        <x:v>4.184118793750004</x:v>
      </x:c>
    </x:row>
    <x:row r="26" ht="21" customHeight="1">
      <x:c r="A26" s="10" t="n">
        <x:v>46169</x:v>
      </x:c>
      <x:c r="B26" s="1" t="n">
        <x:v>288</x:v>
      </x:c>
      <x:c r="C26" s="1" t="n">
        <x:v>24</x:v>
      </x:c>
      <x:c r="D26" s="11" t="n">
        <x:v>22.888083333333338</x:v>
      </x:c>
      <x:c r="E26" s="11" t="n">
        <x:v>10.458750000000004</x:v>
      </x:c>
      <x:c r="F26" s="11" t="n">
        <x:v>0</x:v>
      </x:c>
      <x:c r="G26" s="11" t="n">
        <x:v>12.109833333333327</x:v>
      </x:c>
      <x:c r="H26" s="11" t="n">
        <x:v>10.463</x:v>
      </x:c>
      <x:c r="I26" s="11" t="n">
        <x:v>10.458750000000004</x:v>
      </x:c>
      <x:c r="J26" s="11" t="n">
        <x:v>0</x:v>
      </x:c>
      <x:c r="K26" s="11" t="n">
        <x:v>8.712999999999997</x:v>
      </x:c>
      <x:c r="L26" s="11" t="n">
        <x:v>0</x:v>
      </x:c>
      <x:c r="M26" s="11" t="n">
        <x:v>8.712999999999997</x:v>
      </x:c>
      <x:c r="N26" s="11" t="n">
        <x:v>0</x:v>
      </x:c>
      <x:c r="O26" s="11" t="n">
        <x:v>0</x:v>
      </x:c>
      <x:c r="P26" s="11" t="n">
        <x:v>0</x:v>
      </x:c>
      <x:c r="Q26" s="11" t="n">
        <x:v>0</x:v>
      </x:c>
      <x:c r="R26" s="11" t="n">
        <x:v>20.836833333333324</x:v>
      </x:c>
      <x:c r="S26" s="11" t="n">
        <x:v>12.109833333333327</x:v>
      </x:c>
      <x:c r="T26" s="11" t="n">
        <x:v>8.712999999999997</x:v>
      </x:c>
      <x:c r="U26" s="11" t="n">
        <x:v>0</x:v>
      </x:c>
      <x:c r="V26" s="11" t="n">
        <x:v>0</x:v>
      </x:c>
      <x:c r="W26" s="11" t="n">
        <x:v>0</x:v>
      </x:c>
      <x:c r="X26" s="13" t="n">
        <x:f>(D26*'Tariff and method'!$B$4+'Tariff and method'!$B$5)*1.05</x:f>
        <x:v>5.816041717500001</x:v>
      </x:c>
      <x:c r="Y26" s="13" t="n">
        <x:f>SUMIF('Import by half hour'!$A$5:$A$7395,A26,'Import by half hour'!$J$5:$J$7395)</x:f>
        <x:v>3.69993729875</x:v>
      </x:c>
      <x:c r="Z26" s="13" t="n">
        <x:f>Y26+'Tariff and method'!$B$6*1.05</x:f>
        <x:v>4.257802298750001</x:v>
      </x:c>
      <x:c r="AA26" s="13" t="n">
        <x:f>X26-Z26</x:f>
        <x:v>1.5582394187500004</x:v>
      </x:c>
      <x:c r="AB26" s="13" t="n">
        <x:f>SUMIF('Import by half hour'!$A$5:$A$7395,A26,'Import by half hour'!$K$5:$K$7395)+'Tariff and method'!$B$6*1.05</x:f>
        <x:v>5.615939087499999</x:v>
      </x:c>
      <x:c r="AC26" s="13" t="n">
        <x:f>AB26-Z26</x:f>
        <x:v>1.3581367887499987</x:v>
      </x:c>
      <x:c r="AD26" s="13" t="n">
        <x:f>X26-AB26</x:f>
        <x:v>0.20010263000000172</x:v>
      </x:c>
      <x:c r="AE26" s="11" t="n">
        <x:f>M26-H26</x:f>
        <x:v>-1.7500000000000018</x:v>
      </x:c>
      <x:c r="AF26" s="14" t="n">
        <x:f>IF(M26=0,"",H26/M26)</x:f>
        <x:v>1.2008493056352578</x:v>
      </x:c>
      <x:c r="AG26" s="11" t="n">
        <x:f>D26-E26-F26-G26</x:f>
        <x:v>0.3195000000000068</x:v>
      </x:c>
      <x:c r="AH26" s="11" t="n">
        <x:f>R26-S26-T26</x:f>
        <x:v>0.013999999999999346</x:v>
      </x:c>
      <x:c r="AI26" s="13" t="n">
        <x:f>SUM($AA$5:AA26)</x:f>
        <x:v>5.7423582125000046</x:v>
      </x:c>
    </x:row>
    <x:row r="27" ht="21" customHeight="1">
      <x:c r="A27" s="10" t="n">
        <x:v>46170</x:v>
      </x:c>
      <x:c r="B27" s="1" t="n">
        <x:v>288</x:v>
      </x:c>
      <x:c r="C27" s="1" t="n">
        <x:v>24</x:v>
      </x:c>
      <x:c r="D27" s="11" t="n">
        <x:v>20.15425</x:v>
      </x:c>
      <x:c r="E27" s="11" t="n">
        <x:v>9.504583333333334</x:v>
      </x:c>
      <x:c r="F27" s="11" t="n">
        <x:v>0</x:v>
      </x:c>
      <x:c r="G27" s="11" t="n">
        <x:v>10.396333333333338</x:v>
      </x:c>
      <x:c r="H27" s="11" t="n">
        <x:v>9.509000000000002</x:v>
      </x:c>
      <x:c r="I27" s="11" t="n">
        <x:v>9.504583333333334</x:v>
      </x:c>
      <x:c r="J27" s="11" t="n">
        <x:v>0</x:v>
      </x:c>
      <x:c r="K27" s="11" t="n">
        <x:v>10.524</x:v>
      </x:c>
      <x:c r="L27" s="11" t="n">
        <x:v>0</x:v>
      </x:c>
      <x:c r="M27" s="11" t="n">
        <x:v>10.524</x:v>
      </x:c>
      <x:c r="N27" s="11" t="n">
        <x:v>0</x:v>
      </x:c>
      <x:c r="O27" s="11" t="n">
        <x:v>0</x:v>
      </x:c>
      <x:c r="P27" s="11" t="n">
        <x:v>0</x:v>
      </x:c>
      <x:c r="Q27" s="11" t="n">
        <x:v>0</x:v>
      </x:c>
      <x:c r="R27" s="11" t="n">
        <x:v>20.952333333333325</x:v>
      </x:c>
      <x:c r="S27" s="11" t="n">
        <x:v>10.396333333333338</x:v>
      </x:c>
      <x:c r="T27" s="11" t="n">
        <x:v>10.524</x:v>
      </x:c>
      <x:c r="U27" s="11" t="n">
        <x:v>0</x:v>
      </x:c>
      <x:c r="V27" s="11" t="n">
        <x:v>0</x:v>
      </x:c>
      <x:c r="W27" s="11" t="n">
        <x:v>0</x:v>
      </x:c>
      <x:c r="X27" s="13" t="n">
        <x:f>(D27*'Tariff and method'!$B$4+'Tariff and method'!$B$5)*1.05</x:f>
        <x:v>5.177062852500001</x:v>
      </x:c>
      <x:c r="Y27" s="13" t="n">
        <x:f>SUMIF('Import by half hour'!$A$5:$A$7395,A27,'Import by half hour'!$J$5:$J$7395)</x:f>
        <x:v>3.1906990412499994</x:v>
      </x:c>
      <x:c r="Z27" s="13" t="n">
        <x:f>Y27+'Tariff and method'!$B$6*1.05</x:f>
        <x:v>3.7485640412499994</x:v>
      </x:c>
      <x:c r="AA27" s="13" t="n">
        <x:f>X27-Z27</x:f>
        <x:v>1.4284988112500012</x:v>
      </x:c>
      <x:c r="AB27" s="13" t="n">
        <x:f>SUMIF('Import by half hour'!$A$5:$A$7395,A27,'Import by half hour'!$K$5:$K$7395)+'Tariff and method'!$B$6*1.05</x:f>
        <x:v>4.903997463749999</x:v>
      </x:c>
      <x:c r="AC27" s="13" t="n">
        <x:f>AB27-Z27</x:f>
        <x:v>1.1554334224999994</x:v>
      </x:c>
      <x:c r="AD27" s="13" t="n">
        <x:f>X27-AB27</x:f>
        <x:v>0.27306538875000186</x:v>
      </x:c>
      <x:c r="AE27" s="11" t="n">
        <x:f>M27-H27</x:f>
        <x:v>1.014999999999997</x:v>
      </x:c>
      <x:c r="AF27" s="14" t="n">
        <x:f>IF(M27=0,"",H27/M27)</x:f>
        <x:v>0.9035537818320033</x:v>
      </x:c>
      <x:c r="AG27" s="11" t="n">
        <x:f>D27-E27-F27-G27</x:f>
        <x:v>0.2533333333333285</x:v>
      </x:c>
      <x:c r="AH27" s="11" t="n">
        <x:f>R27-S27-T27</x:f>
        <x:v>0.031999999999987594</x:v>
      </x:c>
      <x:c r="AI27" s="13" t="n">
        <x:f>SUM($AA$5:AA27)</x:f>
        <x:v>7.170857023750006</x:v>
      </x:c>
    </x:row>
    <x:row r="28" ht="21" customHeight="1">
      <x:c r="A28" s="10" t="n">
        <x:v>46171</x:v>
      </x:c>
      <x:c r="B28" s="1" t="n">
        <x:v>288</x:v>
      </x:c>
      <x:c r="C28" s="1" t="n">
        <x:v>24</x:v>
      </x:c>
      <x:c r="D28" s="11" t="n">
        <x:v>17.90758333333334</x:v>
      </x:c>
      <x:c r="E28" s="11" t="n">
        <x:v>8.183916666666669</x:v>
      </x:c>
      <x:c r="F28" s="11" t="n">
        <x:v>0</x:v>
      </x:c>
      <x:c r="G28" s="11" t="n">
        <x:v>9.515666666666668</x:v>
      </x:c>
      <x:c r="H28" s="11" t="n">
        <x:v>8.188000000000002</x:v>
      </x:c>
      <x:c r="I28" s="11" t="n">
        <x:v>8.183916666666669</x:v>
      </x:c>
      <x:c r="J28" s="11" t="n">
        <x:v>0</x:v>
      </x:c>
      <x:c r="K28" s="11" t="n">
        <x:v>9.497</x:v>
      </x:c>
      <x:c r="L28" s="11" t="n">
        <x:v>0</x:v>
      </x:c>
      <x:c r="M28" s="11" t="n">
        <x:v>9.497</x:v>
      </x:c>
      <x:c r="N28" s="11" t="n">
        <x:v>0</x:v>
      </x:c>
      <x:c r="O28" s="11" t="n">
        <x:v>0</x:v>
      </x:c>
      <x:c r="P28" s="11" t="n">
        <x:v>0</x:v>
      </x:c>
      <x:c r="Q28" s="11" t="n">
        <x:v>0</x:v>
      </x:c>
      <x:c r="R28" s="11" t="n">
        <x:v>19.02266666666667</x:v>
      </x:c>
      <x:c r="S28" s="11" t="n">
        <x:v>9.515666666666668</x:v>
      </x:c>
      <x:c r="T28" s="11" t="n">
        <x:v>9.497</x:v>
      </x:c>
      <x:c r="U28" s="11" t="n">
        <x:v>0</x:v>
      </x:c>
      <x:c r="V28" s="11" t="n">
        <x:v>0</x:v>
      </x:c>
      <x:c r="W28" s="11" t="n">
        <x:v>0</x:v>
      </x:c>
      <x:c r="X28" s="13" t="n">
        <x:f>(D28*'Tariff and method'!$B$4+'Tariff and method'!$B$5)*1.05</x:f>
        <x:v>4.651949452500002</x:v>
      </x:c>
      <x:c r="Y28" s="13" t="n">
        <x:f>SUMIF('Import by half hour'!$A$5:$A$7395,A28,'Import by half hour'!$J$5:$J$7395)</x:f>
        <x:v>2.8421379000000004</x:v>
      </x:c>
      <x:c r="Z28" s="13" t="n">
        <x:f>Y28+'Tariff and method'!$B$6*1.05</x:f>
        <x:v>3.4000029000000005</x:v>
      </x:c>
      <x:c r="AA28" s="13" t="n">
        <x:f>X28-Z28</x:f>
        <x:v>1.2519465525000015</x:v>
      </x:c>
      <x:c r="AB28" s="13" t="n">
        <x:f>SUMIF('Import by half hour'!$A$5:$A$7395,A28,'Import by half hour'!$K$5:$K$7395)+'Tariff and method'!$B$6*1.05</x:f>
        <x:v>4.418301501249999</x:v>
      </x:c>
      <x:c r="AC28" s="13" t="n">
        <x:f>AB28-Z28</x:f>
        <x:v>1.0182986012499988</x:v>
      </x:c>
      <x:c r="AD28" s="13" t="n">
        <x:f>X28-AB28</x:f>
        <x:v>0.2336479512500027</x:v>
      </x:c>
      <x:c r="AE28" s="11" t="n">
        <x:f>M28-H28</x:f>
        <x:v>1.3089999999999975</x:v>
      </x:c>
      <x:c r="AF28" s="14" t="n">
        <x:f>IF(M28=0,"",H28/M28)</x:f>
        <x:v>0.8621670001052967</x:v>
      </x:c>
      <x:c r="AG28" s="11" t="n">
        <x:f>D28-E28-F28-G28</x:f>
        <x:v>0.20800000000000196</x:v>
      </x:c>
      <x:c r="AH28" s="11" t="n">
        <x:f>R28-S28-T28</x:f>
        <x:v>0.010000000000001563</x:v>
      </x:c>
      <x:c r="AI28" s="13" t="n">
        <x:f>SUM($AA$5:AA28)</x:f>
        <x:v>8.422803576250008</x:v>
      </x:c>
    </x:row>
    <x:row r="29" ht="21" customHeight="1">
      <x:c r="A29" s="10" t="n">
        <x:v>46172</x:v>
      </x:c>
      <x:c r="B29" s="1" t="n">
        <x:v>288</x:v>
      </x:c>
      <x:c r="C29" s="1" t="n">
        <x:v>24</x:v>
      </x:c>
      <x:c r="D29" s="11" t="n">
        <x:v>22.124833333333324</x:v>
      </x:c>
      <x:c r="E29" s="11" t="n">
        <x:v>9.626000000000001</x:v>
      </x:c>
      <x:c r="F29" s="11" t="n">
        <x:v>0</x:v>
      </x:c>
      <x:c r="G29" s="11" t="n">
        <x:v>12.331999999999995</x:v>
      </x:c>
      <x:c r="H29" s="11" t="n">
        <x:v>9.631000000000006</x:v>
      </x:c>
      <x:c r="I29" s="11" t="n">
        <x:v>9.626000000000001</x:v>
      </x:c>
      <x:c r="J29" s="11" t="n">
        <x:v>0</x:v>
      </x:c>
      <x:c r="K29" s="11" t="n">
        <x:v>9.433</x:v>
      </x:c>
      <x:c r="L29" s="11" t="n">
        <x:v>0</x:v>
      </x:c>
      <x:c r="M29" s="11" t="n">
        <x:v>9.433</x:v>
      </x:c>
      <x:c r="N29" s="11" t="n">
        <x:v>0</x:v>
      </x:c>
      <x:c r="O29" s="11" t="n">
        <x:v>0</x:v>
      </x:c>
      <x:c r="P29" s="11" t="n">
        <x:v>0</x:v>
      </x:c>
      <x:c r="Q29" s="11" t="n">
        <x:v>0</x:v>
      </x:c>
      <x:c r="R29" s="11" t="n">
        <x:v>21.783999999999995</x:v>
      </x:c>
      <x:c r="S29" s="11" t="n">
        <x:v>12.331999999999995</x:v>
      </x:c>
      <x:c r="T29" s="11" t="n">
        <x:v>9.433</x:v>
      </x:c>
      <x:c r="U29" s="11" t="n">
        <x:v>0</x:v>
      </x:c>
      <x:c r="V29" s="11" t="n">
        <x:v>0</x:v>
      </x:c>
      <x:c r="W29" s="11" t="n">
        <x:v>0</x:v>
      </x:c>
      <x:c r="X29" s="13" t="n">
        <x:f>(D29*'Tariff and method'!$B$4+'Tariff and method'!$B$5)*1.05</x:f>
        <x:v>5.637647294999998</x:v>
      </x:c>
      <x:c r="Y29" s="13" t="n">
        <x:f>SUMIF('Import by half hour'!$A$5:$A$7395,A29,'Import by half hour'!$J$5:$J$7395)</x:f>
        <x:v>3.8217852312500007</x:v>
      </x:c>
      <x:c r="Z29" s="13" t="n">
        <x:f>Y29+'Tariff and method'!$B$6*1.05</x:f>
        <x:v>4.37965023125</x:v>
      </x:c>
      <x:c r="AA29" s="13" t="n">
        <x:f>X29-Z29</x:f>
        <x:v>1.2579970637499978</x:v>
      </x:c>
      <x:c r="AB29" s="13" t="n">
        <x:f>SUMIF('Import by half hour'!$A$5:$A$7395,A29,'Import by half hour'!$K$5:$K$7395)+'Tariff and method'!$B$6*1.05</x:f>
        <x:v>5.3829853525</x:v>
      </x:c>
      <x:c r="AC29" s="13" t="n">
        <x:f>AB29-Z29</x:f>
        <x:v>1.0033351212500001</x:v>
      </x:c>
      <x:c r="AD29" s="13" t="n">
        <x:f>X29-AB29</x:f>
        <x:v>0.25466194249999763</x:v>
      </x:c>
      <x:c r="AE29" s="11" t="n">
        <x:f>M29-H29</x:f>
        <x:v>-0.19800000000000573</x:v>
      </x:c>
      <x:c r="AF29" s="14" t="n">
        <x:f>IF(M29=0,"",H29/M29)</x:f>
        <x:v>1.020990140994382</x:v>
      </x:c>
      <x:c r="AG29" s="11" t="n">
        <x:f>D29-E29-F29-G29</x:f>
        <x:v>0.16683333333332762</x:v>
      </x:c>
      <x:c r="AH29" s="11" t="n">
        <x:f>R29-S29-T29</x:f>
        <x:v>0.019000000000000128</x:v>
      </x:c>
      <x:c r="AI29" s="13" t="n">
        <x:f>SUM($AA$5:AA29)</x:f>
        <x:v>9.680800640000005</x:v>
      </x:c>
    </x:row>
    <x:row r="30" ht="21" customHeight="1">
      <x:c r="A30" s="10" t="n">
        <x:v>46173</x:v>
      </x:c>
      <x:c r="B30" s="1" t="n">
        <x:v>288</x:v>
      </x:c>
      <x:c r="C30" s="1" t="n">
        <x:v>24</x:v>
      </x:c>
      <x:c r="D30" s="11" t="n">
        <x:v>25.481750000000005</x:v>
      </x:c>
      <x:c r="E30" s="11" t="n">
        <x:v>9.496833333333337</x:v>
      </x:c>
      <x:c r="F30" s="11" t="n">
        <x:v>0</x:v>
      </x:c>
      <x:c r="G30" s="11" t="n">
        <x:v>15.642666666666665</x:v>
      </x:c>
      <x:c r="H30" s="11" t="n">
        <x:v>9.5</x:v>
      </x:c>
      <x:c r="I30" s="11" t="n">
        <x:v>9.496833333333337</x:v>
      </x:c>
      <x:c r="J30" s="11" t="n">
        <x:v>0</x:v>
      </x:c>
      <x:c r="K30" s="11" t="n">
        <x:v>10.475000000000001</x:v>
      </x:c>
      <x:c r="L30" s="11" t="n">
        <x:v>0</x:v>
      </x:c>
      <x:c r="M30" s="11" t="n">
        <x:v>10.475000000000001</x:v>
      </x:c>
      <x:c r="N30" s="11" t="n">
        <x:v>0</x:v>
      </x:c>
      <x:c r="O30" s="11" t="n">
        <x:v>0</x:v>
      </x:c>
      <x:c r="P30" s="11" t="n">
        <x:v>0</x:v>
      </x:c>
      <x:c r="Q30" s="11" t="n">
        <x:v>0</x:v>
      </x:c>
      <x:c r="R30" s="11" t="n">
        <x:v>26.117666666666672</x:v>
      </x:c>
      <x:c r="S30" s="11" t="n">
        <x:v>15.642666666666665</x:v>
      </x:c>
      <x:c r="T30" s="11" t="n">
        <x:v>10.475000000000001</x:v>
      </x:c>
      <x:c r="U30" s="11" t="n">
        <x:v>0</x:v>
      </x:c>
      <x:c r="V30" s="11" t="n">
        <x:v>0</x:v>
      </x:c>
      <x:c r="W30" s="11" t="n">
        <x:v>0</x:v>
      </x:c>
      <x:c r="X30" s="13" t="n">
        <x:f>(D30*'Tariff and method'!$B$4+'Tariff and method'!$B$5)*1.05</x:f>
        <x:v>6.422259427500002</x:v>
      </x:c>
      <x:c r="Y30" s="13" t="n">
        <x:f>SUMIF('Import by half hour'!$A$5:$A$7395,A30,'Import by half hour'!$J$5:$J$7395)</x:f>
        <x:v>4.4437953525</x:v>
      </x:c>
      <x:c r="Z30" s="13" t="n">
        <x:f>Y30+'Tariff and method'!$B$6*1.05</x:f>
        <x:v>5.0016603525</x:v>
      </x:c>
      <x:c r="AA30" s="13" t="n">
        <x:f>X30-Z30</x:f>
        <x:v>1.420599075000002</x:v>
      </x:c>
      <x:c r="AB30" s="13" t="n">
        <x:f>SUMIF('Import by half hour'!$A$5:$A$7395,A30,'Import by half hour'!$K$5:$K$7395)+'Tariff and method'!$B$6*1.05</x:f>
        <x:v>6.12276510125</x:v>
      </x:c>
      <x:c r="AC30" s="13" t="n">
        <x:f>AB30-Z30</x:f>
        <x:v>1.1211047487499997</x:v>
      </x:c>
      <x:c r="AD30" s="13" t="n">
        <x:f>X30-AB30</x:f>
        <x:v>0.2994943262500023</x:v>
      </x:c>
      <x:c r="AE30" s="11" t="n">
        <x:f>M30-H30</x:f>
        <x:v>0.9750000000000014</x:v>
      </x:c>
      <x:c r="AF30" s="14" t="n">
        <x:f>IF(M30=0,"",H30/M30)</x:f>
        <x:v>0.9069212410501192</x:v>
      </x:c>
      <x:c r="AG30" s="11" t="n">
        <x:f>D30-E30-F30-G30</x:f>
        <x:v>0.3422500000000035</x:v>
      </x:c>
      <x:c r="AH30" s="11" t="n">
        <x:f>R30-S30-T30</x:f>
        <x:v>5.329070518200751e-15</x:v>
      </x:c>
      <x:c r="AI30" s="13" t="n">
        <x:f>SUM($AA$5:AA30)</x:f>
        <x:v>11.101399715000007</x:v>
      </x:c>
    </x:row>
    <x:row r="31" ht="21" customHeight="1">
      <x:c r="A31" s="10" t="n">
        <x:v>46174</x:v>
      </x:c>
      <x:c r="B31" s="1" t="n">
        <x:v>288</x:v>
      </x:c>
      <x:c r="C31" s="1" t="n">
        <x:v>24</x:v>
      </x:c>
      <x:c r="D31" s="11" t="n">
        <x:v>26.470666666666645</x:v>
      </x:c>
      <x:c r="E31" s="11" t="n">
        <x:v>10.335666666666675</x:v>
      </x:c>
      <x:c r="F31" s="11" t="n">
        <x:v>0</x:v>
      </x:c>
      <x:c r="G31" s="11" t="n">
        <x:v>15.877333333333333</x:v>
      </x:c>
      <x:c r="H31" s="11" t="n">
        <x:v>10.340000000000005</x:v>
      </x:c>
      <x:c r="I31" s="11" t="n">
        <x:v>10.335666666666675</x:v>
      </x:c>
      <x:c r="J31" s="11" t="n">
        <x:v>0</x:v>
      </x:c>
      <x:c r="K31" s="11" t="n">
        <x:v>10.334000000000001</x:v>
      </x:c>
      <x:c r="L31" s="11" t="n">
        <x:v>0</x:v>
      </x:c>
      <x:c r="M31" s="11" t="n">
        <x:v>10.334000000000001</x:v>
      </x:c>
      <x:c r="N31" s="11" t="n">
        <x:v>0</x:v>
      </x:c>
      <x:c r="O31" s="11" t="n">
        <x:v>0</x:v>
      </x:c>
      <x:c r="P31" s="11" t="n">
        <x:v>0</x:v>
      </x:c>
      <x:c r="Q31" s="11" t="n">
        <x:v>0</x:v>
      </x:c>
      <x:c r="R31" s="11" t="n">
        <x:v>26.247333333333337</x:v>
      </x:c>
      <x:c r="S31" s="11" t="n">
        <x:v>15.877333333333333</x:v>
      </x:c>
      <x:c r="T31" s="11" t="n">
        <x:v>10.334000000000001</x:v>
      </x:c>
      <x:c r="U31" s="11" t="n">
        <x:v>0</x:v>
      </x:c>
      <x:c r="V31" s="11" t="n">
        <x:v>0</x:v>
      </x:c>
      <x:c r="W31" s="11" t="n">
        <x:v>0</x:v>
      </x:c>
      <x:c r="X31" s="13" t="n">
        <x:f>(D31*'Tariff and method'!$B$4+'Tariff and method'!$B$5)*1.05</x:f>
        <x:v>6.6533989199999946</x:v>
      </x:c>
      <x:c r="Y31" s="13" t="n">
        <x:f>SUMIF('Import by half hour'!$A$5:$A$7395,A31,'Import by half hour'!$J$5:$J$7395)</x:f>
        <x:v>4.825718633750001</x:v>
      </x:c>
      <x:c r="Z31" s="13" t="n">
        <x:f>Y31+'Tariff and method'!$B$6*1.05</x:f>
        <x:v>5.383583633750002</x:v>
      </x:c>
      <x:c r="AA31" s="13" t="n">
        <x:f>X31-Z31</x:f>
        <x:v>1.269815286249993</x:v>
      </x:c>
      <x:c r="AB31" s="13" t="n">
        <x:f>SUMIF('Import by half hour'!$A$5:$A$7395,A31,'Import by half hour'!$K$5:$K$7395)+'Tariff and method'!$B$6*1.05</x:f>
        <x:v>6.8783740462499985</x:v>
      </x:c>
      <x:c r="AC31" s="13" t="n">
        <x:f>AB31-Z31</x:f>
        <x:v>1.494790412499997</x:v>
      </x:c>
      <x:c r="AD31" s="13" t="n">
        <x:f>X31-AB31</x:f>
        <x:v>-0.22497512625000393</x:v>
      </x:c>
      <x:c r="AE31" s="11" t="n">
        <x:f>M31-H31</x:f>
        <x:v>-0.00600000000000378</x:v>
      </x:c>
      <x:c r="AF31" s="14" t="n">
        <x:f>IF(M31=0,"",H31/M31)</x:f>
        <x:v>1.0005806077027293</x:v>
      </x:c>
      <x:c r="AG31" s="11" t="n">
        <x:f>D31-E31-F31-G31</x:f>
        <x:v>0.25766666666663696</x:v>
      </x:c>
      <x:c r="AH31" s="11" t="n">
        <x:f>R31-S31-T31</x:f>
        <x:v>0.03600000000000314</x:v>
      </x:c>
      <x:c r="AI31" s="13" t="n">
        <x:f>SUM($AA$5:AA31)</x:f>
        <x:v>12.37121500125</x:v>
      </x:c>
    </x:row>
    <x:row r="32" ht="21" customHeight="1">
      <x:c r="A32" s="10" t="n">
        <x:v>46175</x:v>
      </x:c>
      <x:c r="B32" s="1" t="n">
        <x:v>288</x:v>
      </x:c>
      <x:c r="C32" s="1" t="n">
        <x:v>24</x:v>
      </x:c>
      <x:c r="D32" s="11" t="n">
        <x:v>25.834000000000003</x:v>
      </x:c>
      <x:c r="E32" s="11" t="n">
        <x:v>12.858083333333337</x:v>
      </x:c>
      <x:c r="F32" s="11" t="n">
        <x:v>0</x:v>
      </x:c>
      <x:c r="G32" s="11" t="n">
        <x:v>12.699166666666667</x:v>
      </x:c>
      <x:c r="H32" s="11" t="n">
        <x:v>12.864000000000004</x:v>
      </x:c>
      <x:c r="I32" s="11" t="n">
        <x:v>12.858083333333337</x:v>
      </x:c>
      <x:c r="J32" s="11" t="n">
        <x:v>0</x:v>
      </x:c>
      <x:c r="K32" s="11" t="n">
        <x:v>14.530000000000005</x:v>
      </x:c>
      <x:c r="L32" s="11" t="n">
        <x:v>0</x:v>
      </x:c>
      <x:c r="M32" s="11" t="n">
        <x:v>14.530000000000005</x:v>
      </x:c>
      <x:c r="N32" s="11" t="n">
        <x:v>0</x:v>
      </x:c>
      <x:c r="O32" s="11" t="n">
        <x:v>0</x:v>
      </x:c>
      <x:c r="P32" s="11" t="n">
        <x:v>0</x:v>
      </x:c>
      <x:c r="Q32" s="11" t="n">
        <x:v>0</x:v>
      </x:c>
      <x:c r="R32" s="11" t="n">
        <x:v>27.246166666666667</x:v>
      </x:c>
      <x:c r="S32" s="11" t="n">
        <x:v>12.699166666666667</x:v>
      </x:c>
      <x:c r="T32" s="11" t="n">
        <x:v>14.530000000000005</x:v>
      </x:c>
      <x:c r="U32" s="11" t="n">
        <x:v>0</x:v>
      </x:c>
      <x:c r="V32" s="11" t="n">
        <x:v>0</x:v>
      </x:c>
      <x:c r="W32" s="11" t="n">
        <x:v>0</x:v>
      </x:c>
      <x:c r="X32" s="13" t="n">
        <x:f>(D32*'Tariff and method'!$B$4+'Tariff and method'!$B$5)*1.05</x:f>
        <x:v>6.504590820000001</x:v>
      </x:c>
      <x:c r="Y32" s="13" t="n">
        <x:f>SUMIF('Import by half hour'!$A$5:$A$7395,A32,'Import by half hour'!$J$5:$J$7395)</x:f>
        <x:v>4.962882478749999</x:v>
      </x:c>
      <x:c r="Z32" s="13" t="n">
        <x:f>Y32+'Tariff and method'!$B$6*1.05</x:f>
        <x:v>5.52074747875</x:v>
      </x:c>
      <x:c r="AA32" s="13" t="n">
        <x:f>X32-Z32</x:f>
        <x:v>0.983843341250001</x:v>
      </x:c>
      <x:c r="AB32" s="13" t="n">
        <x:f>SUMIF('Import by half hour'!$A$5:$A$7395,A32,'Import by half hour'!$K$5:$K$7395)+'Tariff and method'!$B$6*1.05</x:f>
        <x:v>6.688416061249999</x:v>
      </x:c>
      <x:c r="AC32" s="13" t="n">
        <x:f>AB32-Z32</x:f>
        <x:v>1.1676685824999993</x:v>
      </x:c>
      <x:c r="AD32" s="13" t="n">
        <x:f>X32-AB32</x:f>
        <x:v>-0.18382524124999833</x:v>
      </x:c>
      <x:c r="AE32" s="11" t="n">
        <x:f>M32-H32</x:f>
        <x:v>1.6660000000000004</x:v>
      </x:c>
      <x:c r="AF32" s="14" t="n">
        <x:f>IF(M32=0,"",H32/M32)</x:f>
        <x:v>0.8853406744666208</x:v>
      </x:c>
      <x:c r="AG32" s="11" t="n">
        <x:f>D32-E32-F32-G32</x:f>
        <x:v>0.27674999999999983</x:v>
      </x:c>
      <x:c r="AH32" s="11" t="n">
        <x:f>R32-S32-T32</x:f>
        <x:v>0.016999999999995907</x:v>
      </x:c>
      <x:c r="AI32" s="13" t="n">
        <x:f>SUM($AA$5:AA32)</x:f>
        <x:v>13.355058342500001</x:v>
      </x:c>
    </x:row>
    <x:row r="33" ht="21" customHeight="1">
      <x:c r="A33" s="10" t="n">
        <x:v>46176</x:v>
      </x:c>
      <x:c r="B33" s="1" t="n">
        <x:v>288</x:v>
      </x:c>
      <x:c r="C33" s="1" t="n">
        <x:v>24</x:v>
      </x:c>
      <x:c r="D33" s="11" t="n">
        <x:v>22.68383333333333</x:v>
      </x:c>
      <x:c r="E33" s="11" t="n">
        <x:v>10.87675000000001</x:v>
      </x:c>
      <x:c r="F33" s="11" t="n">
        <x:v>0</x:v>
      </x:c>
      <x:c r="G33" s="11" t="n">
        <x:v>11.5935</x:v>
      </x:c>
      <x:c r="H33" s="11" t="n">
        <x:v>10.881000000000009</x:v>
      </x:c>
      <x:c r="I33" s="11" t="n">
        <x:v>10.87675000000001</x:v>
      </x:c>
      <x:c r="J33" s="11" t="n">
        <x:v>0</x:v>
      </x:c>
      <x:c r="K33" s="11" t="n">
        <x:v>10.603</x:v>
      </x:c>
      <x:c r="L33" s="11" t="n">
        <x:v>0</x:v>
      </x:c>
      <x:c r="M33" s="11" t="n">
        <x:v>10.603</x:v>
      </x:c>
      <x:c r="N33" s="11" t="n">
        <x:v>0</x:v>
      </x:c>
      <x:c r="O33" s="11" t="n">
        <x:v>0</x:v>
      </x:c>
      <x:c r="P33" s="11" t="n">
        <x:v>0</x:v>
      </x:c>
      <x:c r="Q33" s="11" t="n">
        <x:v>0</x:v>
      </x:c>
      <x:c r="R33" s="11" t="n">
        <x:v>22.212499999999995</x:v>
      </x:c>
      <x:c r="S33" s="11" t="n">
        <x:v>11.5935</x:v>
      </x:c>
      <x:c r="T33" s="11" t="n">
        <x:v>10.603</x:v>
      </x:c>
      <x:c r="U33" s="11" t="n">
        <x:v>0</x:v>
      </x:c>
      <x:c r="V33" s="11" t="n">
        <x:v>0</x:v>
      </x:c>
      <x:c r="W33" s="11" t="n">
        <x:v>0</x:v>
      </x:c>
      <x:c r="X33" s="13" t="n">
        <x:f>(D33*'Tariff and method'!$B$4+'Tariff and method'!$B$5)*1.05</x:f>
        <x:v>5.768302364999999</x:v>
      </x:c>
      <x:c r="Y33" s="13" t="n">
        <x:f>SUMIF('Import by half hour'!$A$5:$A$7395,A33,'Import by half hour'!$J$5:$J$7395)</x:f>
        <x:v>3.31708549375</x:v>
      </x:c>
      <x:c r="Z33" s="13" t="n">
        <x:f>Y33+'Tariff and method'!$B$6*1.05</x:f>
        <x:v>3.87495049375</x:v>
      </x:c>
      <x:c r="AA33" s="13" t="n">
        <x:f>X33-Z33</x:f>
        <x:v>1.8933518712499993</x:v>
      </x:c>
      <x:c r="AB33" s="13" t="n">
        <x:f>SUMIF('Import by half hour'!$A$5:$A$7395,A33,'Import by half hour'!$K$5:$K$7395)+'Tariff and method'!$B$6*1.05</x:f>
        <x:v>5.20105824</x:v>
      </x:c>
      <x:c r="AC33" s="13" t="n">
        <x:f>AB33-Z33</x:f>
        <x:v>1.32610774625</x:v>
      </x:c>
      <x:c r="AD33" s="13" t="n">
        <x:f>X33-AB33</x:f>
        <x:v>0.5672441249999993</x:v>
      </x:c>
      <x:c r="AE33" s="11" t="n">
        <x:f>M33-H33</x:f>
        <x:v>-0.27800000000000935</x:v>
      </x:c>
      <x:c r="AF33" s="14" t="n">
        <x:f>IF(M33=0,"",H33/M33)</x:f>
        <x:v>1.0262189946241638</x:v>
      </x:c>
      <x:c r="AG33" s="11" t="n">
        <x:f>D33-E33-F33-G33</x:f>
        <x:v>0.21358333333331814</x:v>
      </x:c>
      <x:c r="AH33" s="11" t="n">
        <x:f>R33-S33-T33</x:f>
        <x:v>0.015999999999994685</x:v>
      </x:c>
      <x:c r="AI33" s="13" t="n">
        <x:f>SUM($AA$5:AA33)</x:f>
        <x:v>15.24841021375</x:v>
      </x:c>
    </x:row>
    <x:row r="34" ht="21" customHeight="1">
      <x:c r="A34" s="10" t="n">
        <x:v>46177</x:v>
      </x:c>
      <x:c r="B34" s="1" t="n">
        <x:v>288</x:v>
      </x:c>
      <x:c r="C34" s="1" t="n">
        <x:v>24</x:v>
      </x:c>
      <x:c r="D34" s="11" t="n">
        <x:v>25.592250000000025</x:v>
      </x:c>
      <x:c r="E34" s="11" t="n">
        <x:v>13.686583333333331</x:v>
      </x:c>
      <x:c r="F34" s="11" t="n">
        <x:v>0</x:v>
      </x:c>
      <x:c r="G34" s="11" t="n">
        <x:v>11.734666666666664</x:v>
      </x:c>
      <x:c r="H34" s="11" t="n">
        <x:v>13.691999999999997</x:v>
      </x:c>
      <x:c r="I34" s="11" t="n">
        <x:v>13.686583333333331</x:v>
      </x:c>
      <x:c r="J34" s="11" t="n">
        <x:v>0</x:v>
      </x:c>
      <x:c r="K34" s="11" t="n">
        <x:v>29.769000000000002</x:v>
      </x:c>
      <x:c r="L34" s="11" t="n">
        <x:v>0</x:v>
      </x:c>
      <x:c r="M34" s="11" t="n">
        <x:v>29.769000000000002</x:v>
      </x:c>
      <x:c r="N34" s="11" t="n">
        <x:v>0</x:v>
      </x:c>
      <x:c r="O34" s="11" t="n">
        <x:v>0</x:v>
      </x:c>
      <x:c r="P34" s="11" t="n">
        <x:v>0</x:v>
      </x:c>
      <x:c r="Q34" s="11" t="n">
        <x:v>0</x:v>
      </x:c>
      <x:c r="R34" s="11" t="n">
        <x:v>41.521666666666654</x:v>
      </x:c>
      <x:c r="S34" s="11" t="n">
        <x:v>11.734666666666664</x:v>
      </x:c>
      <x:c r="T34" s="11" t="n">
        <x:v>29.769000000000002</x:v>
      </x:c>
      <x:c r="U34" s="11" t="n">
        <x:v>0</x:v>
      </x:c>
      <x:c r="V34" s="11" t="n">
        <x:v>0</x:v>
      </x:c>
      <x:c r="W34" s="11" t="n">
        <x:v>0</x:v>
      </x:c>
      <x:c r="X34" s="13" t="n">
        <x:f>(D34*'Tariff and method'!$B$4+'Tariff and method'!$B$5)*1.05</x:f>
        <x:v>6.448086592500006</x:v>
      </x:c>
      <x:c r="Y34" s="13" t="n">
        <x:f>SUMIF('Import by half hour'!$A$5:$A$7395,A34,'Import by half hour'!$J$5:$J$7395)</x:f>
        <x:v>1.23845365</x:v>
      </x:c>
      <x:c r="Z34" s="13" t="n">
        <x:f>Y34+'Tariff and method'!$B$6*1.05</x:f>
        <x:v>1.7963186500000001</x:v>
      </x:c>
      <x:c r="AA34" s="13" t="n">
        <x:f>X34-Z34</x:f>
        <x:v>4.6517679425000065</x:v>
      </x:c>
      <x:c r="AB34" s="13" t="n">
        <x:f>SUMIF('Import by half hour'!$A$5:$A$7395,A34,'Import by half hour'!$K$5:$K$7395)+'Tariff and method'!$B$6*1.05</x:f>
        <x:v>3.726882468750001</x:v>
      </x:c>
      <x:c r="AC34" s="13" t="n">
        <x:f>AB34-Z34</x:f>
        <x:v>1.9305638187500007</x:v>
      </x:c>
      <x:c r="AD34" s="13" t="n">
        <x:f>X34-AB34</x:f>
        <x:v>2.7212041237500055</x:v>
      </x:c>
      <x:c r="AE34" s="11" t="n">
        <x:f>M34-H34</x:f>
        <x:v>16.077000000000005</x:v>
      </x:c>
      <x:c r="AF34" s="14" t="n">
        <x:f>IF(M34=0,"",H34/M34)</x:f>
        <x:v>0.4599415499344955</x:v>
      </x:c>
      <x:c r="AG34" s="11" t="n">
        <x:f>D34-E34-F34-G34</x:f>
        <x:v>0.17100000000002957</x:v>
      </x:c>
      <x:c r="AH34" s="11" t="n">
        <x:f>R34-S34-T34</x:f>
        <x:v>0.017999999999990024</x:v>
      </x:c>
      <x:c r="AI34" s="13" t="n">
        <x:f>SUM($AA$5:AA34)</x:f>
        <x:v>19.900178156250007</x:v>
      </x:c>
    </x:row>
    <x:row r="35" ht="21" customHeight="1">
      <x:c r="A35" s="10" t="n">
        <x:v>46178</x:v>
      </x:c>
      <x:c r="B35" s="1" t="n">
        <x:v>288</x:v>
      </x:c>
      <x:c r="C35" s="1" t="n">
        <x:v>24</x:v>
      </x:c>
      <x:c r="D35" s="11" t="n">
        <x:v>20.96283333333334</x:v>
      </x:c>
      <x:c r="E35" s="11" t="n">
        <x:v>18.10158333333335</x:v>
      </x:c>
      <x:c r="F35" s="11" t="n">
        <x:v>0</x:v>
      </x:c>
      <x:c r="G35" s="11" t="n">
        <x:v>2.7756666666666674</x:v>
      </x:c>
      <x:c r="H35" s="11" t="n">
        <x:v>18.11200000000001</x:v>
      </x:c>
      <x:c r="I35" s="11" t="n">
        <x:v>18.10158333333335</x:v>
      </x:c>
      <x:c r="J35" s="11" t="n">
        <x:v>0</x:v>
      </x:c>
      <x:c r="K35" s="11" t="n">
        <x:v>10.709000000000001</x:v>
      </x:c>
      <x:c r="L35" s="11" t="n">
        <x:v>0</x:v>
      </x:c>
      <x:c r="M35" s="11" t="n">
        <x:v>10.709000000000001</x:v>
      </x:c>
      <x:c r="N35" s="11" t="n">
        <x:v>0</x:v>
      </x:c>
      <x:c r="O35" s="11" t="n">
        <x:v>0</x:v>
      </x:c>
      <x:c r="P35" s="11" t="n">
        <x:v>0</x:v>
      </x:c>
      <x:c r="Q35" s="11" t="n">
        <x:v>0</x:v>
      </x:c>
      <x:c r="R35" s="11" t="n">
        <x:v>13.484666666666667</x:v>
      </x:c>
      <x:c r="S35" s="11" t="n">
        <x:v>2.7756666666666674</x:v>
      </x:c>
      <x:c r="T35" s="11" t="n">
        <x:v>10.709000000000001</x:v>
      </x:c>
      <x:c r="U35" s="11" t="n">
        <x:v>0</x:v>
      </x:c>
      <x:c r="V35" s="11" t="n">
        <x:v>0</x:v>
      </x:c>
      <x:c r="W35" s="11" t="n">
        <x:v>0</x:v>
      </x:c>
      <x:c r="X35" s="13" t="n">
        <x:f>(D35*'Tariff and method'!$B$4+'Tariff and method'!$B$5)*1.05</x:f>
        <x:v>5.366053035000001</x:v>
      </x:c>
      <x:c r="Y35" s="13" t="n">
        <x:f>SUMIF('Import by half hour'!$A$5:$A$7395,A35,'Import by half hour'!$J$5:$J$7395)</x:f>
        <x:v>1.4091952350000003</x:v>
      </x:c>
      <x:c r="Z35" s="13" t="n">
        <x:f>Y35+'Tariff and method'!$B$6*1.05</x:f>
        <x:v>1.9670602350000004</x:v>
      </x:c>
      <x:c r="AA35" s="13" t="n">
        <x:f>X35-Z35</x:f>
        <x:v>3.3989928000000007</x:v>
      </x:c>
      <x:c r="AB35" s="13" t="n">
        <x:f>SUMIF('Import by half hour'!$A$5:$A$7395,A35,'Import by half hour'!$K$5:$K$7395)+'Tariff and method'!$B$6*1.05</x:f>
        <x:v>5.228616382500002</x:v>
      </x:c>
      <x:c r="AC35" s="13" t="n">
        <x:f>AB35-Z35</x:f>
        <x:v>3.2615561475000017</x:v>
      </x:c>
      <x:c r="AD35" s="13" t="n">
        <x:f>X35-AB35</x:f>
        <x:v>0.13743665249999903</x:v>
      </x:c>
      <x:c r="AE35" s="11" t="n">
        <x:f>M35-H35</x:f>
        <x:v>-7.403000000000008</x:v>
      </x:c>
      <x:c r="AF35" s="14" t="n">
        <x:f>IF(M35=0,"",H35/M35)</x:f>
        <x:v>1.6912877019329542</x:v>
      </x:c>
      <x:c r="AG35" s="11" t="n">
        <x:f>D35-E35-F35-G35</x:f>
        <x:v>0.0855833333333238</x:v>
      </x:c>
      <x:c r="AH35" s="11" t="n">
        <x:f>R35-S35-T35</x:f>
        <x:v>-1.7763568394002505e-15</x:v>
      </x:c>
      <x:c r="AI35" s="13" t="n">
        <x:f>SUM($AA$5:AA35)</x:f>
        <x:v>23.29917095625001</x:v>
      </x:c>
    </x:row>
    <x:row r="36" ht="21" customHeight="1">
      <x:c r="A36" s="10" t="n">
        <x:v>46179</x:v>
      </x:c>
      <x:c r="B36" s="1" t="n">
        <x:v>288</x:v>
      </x:c>
      <x:c r="C36" s="1" t="n">
        <x:v>24</x:v>
      </x:c>
      <x:c r="D36" s="11" t="n">
        <x:v>24.04875000000001</x:v>
      </x:c>
      <x:c r="E36" s="11" t="n">
        <x:v>14.461666666666666</x:v>
      </x:c>
      <x:c r="F36" s="11" t="n">
        <x:v>0</x:v>
      </x:c>
      <x:c r="G36" s="11" t="n">
        <x:v>9.426583333333335</x:v>
      </x:c>
      <x:c r="H36" s="11" t="n">
        <x:v>14.471000000000004</x:v>
      </x:c>
      <x:c r="I36" s="11" t="n">
        <x:v>14.461666666666666</x:v>
      </x:c>
      <x:c r="J36" s="11" t="n">
        <x:v>0</x:v>
      </x:c>
      <x:c r="K36" s="11" t="n">
        <x:v>8.886</x:v>
      </x:c>
      <x:c r="L36" s="11" t="n">
        <x:v>0</x:v>
      </x:c>
      <x:c r="M36" s="11" t="n">
        <x:v>8.886</x:v>
      </x:c>
      <x:c r="N36" s="11" t="n">
        <x:v>0</x:v>
      </x:c>
      <x:c r="O36" s="11" t="n">
        <x:v>0</x:v>
      </x:c>
      <x:c r="P36" s="11" t="n">
        <x:v>0</x:v>
      </x:c>
      <x:c r="Q36" s="11" t="n">
        <x:v>0</x:v>
      </x:c>
      <x:c r="R36" s="11" t="n">
        <x:v>18.318583333333326</x:v>
      </x:c>
      <x:c r="S36" s="11" t="n">
        <x:v>9.426583333333335</x:v>
      </x:c>
      <x:c r="T36" s="11" t="n">
        <x:v>8.886</x:v>
      </x:c>
      <x:c r="U36" s="11" t="n">
        <x:v>0</x:v>
      </x:c>
      <x:c r="V36" s="11" t="n">
        <x:v>0</x:v>
      </x:c>
      <x:c r="W36" s="11" t="n">
        <x:v>0</x:v>
      </x:c>
      <x:c r="X36" s="13" t="n">
        <x:f>(D36*'Tariff and method'!$B$4+'Tariff and method'!$B$5)*1.05</x:f>
        <x:v>6.087324337500003</x:v>
      </x:c>
      <x:c r="Y36" s="13" t="n">
        <x:f>SUMIF('Import by half hour'!$A$5:$A$7395,A36,'Import by half hour'!$J$5:$J$7395)</x:f>
        <x:v>1.47737086</x:v>
      </x:c>
      <x:c r="Z36" s="13" t="n">
        <x:f>Y36+'Tariff and method'!$B$6*1.05</x:f>
        <x:v>2.0352358600000002</x:v>
      </x:c>
      <x:c r="AA36" s="13" t="n">
        <x:f>X36-Z36</x:f>
        <x:v>4.052088477500003</x:v>
      </x:c>
      <x:c r="AB36" s="13" t="n">
        <x:f>SUMIF('Import by half hour'!$A$5:$A$7395,A36,'Import by half hour'!$K$5:$K$7395)+'Tariff and method'!$B$6*1.05</x:f>
        <x:v>4.77162144375</x:v>
      </x:c>
      <x:c r="AC36" s="13" t="n">
        <x:f>AB36-Z36</x:f>
        <x:v>2.7363855837499997</x:v>
      </x:c>
      <x:c r="AD36" s="13" t="n">
        <x:f>X36-AB36</x:f>
        <x:v>1.3157028937500028</x:v>
      </x:c>
      <x:c r="AE36" s="11" t="n">
        <x:f>M36-H36</x:f>
        <x:v>-5.585000000000004</x:v>
      </x:c>
      <x:c r="AF36" s="14" t="n">
        <x:f>IF(M36=0,"",H36/M36)</x:f>
        <x:v>1.6285167679495842</x:v>
      </x:c>
      <x:c r="AG36" s="11" t="n">
        <x:f>D36-E36-F36-G36</x:f>
        <x:v>0.16050000000000786</x:v>
      </x:c>
      <x:c r="AH36" s="11" t="n">
        <x:f>R36-S36-T36</x:f>
        <x:v>0.005999999999991346</x:v>
      </x:c>
      <x:c r="AI36" s="13" t="n">
        <x:f>SUM($AA$5:AA36)</x:f>
        <x:v>27.351259433750013</x:v>
      </x:c>
    </x:row>
    <x:row r="37" ht="21" customHeight="1">
      <x:c r="A37" s="10" t="n">
        <x:v>46180</x:v>
      </x:c>
      <x:c r="B37" s="1" t="n">
        <x:v>288</x:v>
      </x:c>
      <x:c r="C37" s="1" t="n">
        <x:v>24</x:v>
      </x:c>
      <x:c r="D37" s="11" t="n">
        <x:v>22.48658333333333</x:v>
      </x:c>
      <x:c r="E37" s="11" t="n">
        <x:v>13.323083333333342</x:v>
      </x:c>
      <x:c r="F37" s="11" t="n">
        <x:v>0</x:v>
      </x:c>
      <x:c r="G37" s="11" t="n">
        <x:v>9.057</x:v>
      </x:c>
      <x:c r="H37" s="11" t="n">
        <x:v>13.331000000000008</x:v>
      </x:c>
      <x:c r="I37" s="11" t="n">
        <x:v>13.323083333333342</x:v>
      </x:c>
      <x:c r="J37" s="11" t="n">
        <x:v>0</x:v>
      </x:c>
      <x:c r="K37" s="11" t="n">
        <x:v>35.071000000000005</x:v>
      </x:c>
      <x:c r="L37" s="11" t="n">
        <x:v>0</x:v>
      </x:c>
      <x:c r="M37" s="11" t="n">
        <x:v>35.071000000000005</x:v>
      </x:c>
      <x:c r="N37" s="11" t="n">
        <x:v>0</x:v>
      </x:c>
      <x:c r="O37" s="11" t="n">
        <x:v>0</x:v>
      </x:c>
      <x:c r="P37" s="11" t="n">
        <x:v>0</x:v>
      </x:c>
      <x:c r="Q37" s="11" t="n">
        <x:v>0</x:v>
      </x:c>
      <x:c r="R37" s="11" t="n">
        <x:v>44.13399999999999</x:v>
      </x:c>
      <x:c r="S37" s="11" t="n">
        <x:v>9.057</x:v>
      </x:c>
      <x:c r="T37" s="11" t="n">
        <x:v>35.071000000000005</x:v>
      </x:c>
      <x:c r="U37" s="11" t="n">
        <x:v>0</x:v>
      </x:c>
      <x:c r="V37" s="11" t="n">
        <x:v>0</x:v>
      </x:c>
      <x:c r="W37" s="11" t="n">
        <x:v>0</x:v>
      </x:c>
      <x:c r="X37" s="13" t="n">
        <x:f>(D37*'Tariff and method'!$B$4+'Tariff and method'!$B$5)*1.05</x:f>
        <x:v>5.722199122499999</x:v>
      </x:c>
      <x:c r="Y37" s="13" t="n">
        <x:f>SUMIF('Import by half hour'!$A$5:$A$7395,A37,'Import by half hour'!$J$5:$J$7395)</x:f>
        <x:v>-1.4767880574999999</x:v>
      </x:c>
      <x:c r="Z37" s="13" t="n">
        <x:f>Y37+'Tariff and method'!$B$6*1.05</x:f>
        <x:v>-0.9189230574999998</x:v>
      </x:c>
      <x:c r="AA37" s="13" t="n">
        <x:f>X37-Z37</x:f>
        <x:v>6.641122179999999</x:v>
      </x:c>
      <x:c r="AB37" s="13" t="n">
        <x:f>SUMIF('Import by half hour'!$A$5:$A$7395,A37,'Import by half hour'!$K$5:$K$7395)+'Tariff and method'!$B$6*1.05</x:f>
        <x:v>2.53787561125</x:v>
      </x:c>
      <x:c r="AC37" s="13" t="n">
        <x:f>AB37-Z37</x:f>
        <x:v>3.45679866875</x:v>
      </x:c>
      <x:c r="AD37" s="13" t="n">
        <x:f>X37-AB37</x:f>
        <x:v>3.1843235112499992</x:v>
      </x:c>
      <x:c r="AE37" s="11" t="n">
        <x:f>M37-H37</x:f>
        <x:v>21.739999999999995</x:v>
      </x:c>
      <x:c r="AF37" s="14" t="n">
        <x:f>IF(M37=0,"",H37/M37)</x:f>
        <x:v>0.38011462461863094</x:v>
      </x:c>
      <x:c r="AG37" s="11" t="n">
        <x:f>D37-E37-F37-G37</x:f>
        <x:v>0.10649999999998627</x:v>
      </x:c>
      <x:c r="AH37" s="11" t="n">
        <x:f>R37-S37-T37</x:f>
        <x:v>0.0059999999999860165</x:v>
      </x:c>
      <x:c r="AI37" s="13" t="n">
        <x:f>SUM($AA$5:AA37)</x:f>
        <x:v>33.99238161375001</x:v>
      </x:c>
    </x:row>
    <x:row r="38" ht="21" customHeight="1">
      <x:c r="A38" s="10" t="n">
        <x:v>46181</x:v>
      </x:c>
      <x:c r="B38" s="1" t="n">
        <x:v>288</x:v>
      </x:c>
      <x:c r="C38" s="1" t="n">
        <x:v>24</x:v>
      </x:c>
      <x:c r="D38" s="11" t="n">
        <x:v>23.11075000000002</x:v>
      </x:c>
      <x:c r="E38" s="11" t="n">
        <x:v>20.123750000000015</x:v>
      </x:c>
      <x:c r="F38" s="11" t="n">
        <x:v>0</x:v>
      </x:c>
      <x:c r="G38" s="11" t="n">
        <x:v>2.8074166666666662</x:v>
      </x:c>
      <x:c r="H38" s="11" t="n">
        <x:v>20.135000000000005</x:v>
      </x:c>
      <x:c r="I38" s="11" t="n">
        <x:v>20.123750000000015</x:v>
      </x:c>
      <x:c r="J38" s="11" t="n">
        <x:v>0</x:v>
      </x:c>
      <x:c r="K38" s="11" t="n">
        <x:v>0</x:v>
      </x:c>
      <x:c r="L38" s="11" t="n">
        <x:v>0</x:v>
      </x:c>
      <x:c r="M38" s="11" t="n">
        <x:v>0</x:v>
      </x:c>
      <x:c r="N38" s="11" t="n">
        <x:v>0</x:v>
      </x:c>
      <x:c r="O38" s="11" t="n">
        <x:v>0</x:v>
      </x:c>
      <x:c r="P38" s="11" t="n">
        <x:v>0</x:v>
      </x:c>
      <x:c r="Q38" s="11" t="n">
        <x:v>0</x:v>
      </x:c>
      <x:c r="R38" s="11" t="n">
        <x:v>2.8074166666666662</x:v>
      </x:c>
      <x:c r="S38" s="11" t="n">
        <x:v>2.8074166666666662</x:v>
      </x:c>
      <x:c r="T38" s="11" t="n">
        <x:v>0</x:v>
      </x:c>
      <x:c r="U38" s="11" t="n">
        <x:v>0</x:v>
      </x:c>
      <x:c r="V38" s="11" t="n">
        <x:v>0</x:v>
      </x:c>
      <x:c r="W38" s="11" t="n">
        <x:v>0</x:v>
      </x:c>
      <x:c r="X38" s="13" t="n">
        <x:f>(D38*'Tariff and method'!$B$4+'Tariff and method'!$B$5)*1.05</x:f>
        <x:v>5.868085597500005</x:v>
      </x:c>
      <x:c r="Y38" s="13" t="n">
        <x:f>SUMIF('Import by half hour'!$A$5:$A$7395,A38,'Import by half hour'!$J$5:$J$7395)</x:f>
        <x:v>0.5519262787499999</x:v>
      </x:c>
      <x:c r="Z38" s="13" t="n">
        <x:f>Y38+'Tariff and method'!$B$6*1.05</x:f>
        <x:v>1.10979127875</x:v>
      </x:c>
      <x:c r="AA38" s="13" t="n">
        <x:f>X38-Z38</x:f>
        <x:v>4.758294318750005</x:v>
      </x:c>
      <x:c r="AB38" s="13" t="n">
        <x:f>SUMIF('Import by half hour'!$A$5:$A$7395,A38,'Import by half hour'!$K$5:$K$7395)+'Tariff and method'!$B$6*1.05</x:f>
        <x:v>6.033054938750002</x:v>
      </x:c>
      <x:c r="AC38" s="13" t="n">
        <x:f>AB38-Z38</x:f>
        <x:v>4.923263660000002</x:v>
      </x:c>
      <x:c r="AD38" s="13" t="n">
        <x:f>X38-AB38</x:f>
        <x:v>-0.1649693412499973</x:v>
      </x:c>
      <x:c r="AE38" s="11" t="n">
        <x:f>M38-H38</x:f>
        <x:v>-20.135000000000005</x:v>
      </x:c>
      <x:c r="AF38" s="14" t="str">
        <x:f>IF(M38=0,"",H38/M38)</x:f>
      </x:c>
      <x:c r="AG38" s="11" t="n">
        <x:f>D38-E38-F38-G38</x:f>
        <x:v>0.1795833333333392</x:v>
      </x:c>
      <x:c r="AH38" s="11" t="n">
        <x:f>R38-S38-T38</x:f>
        <x:v>0</x:v>
      </x:c>
      <x:c r="AI38" s="13" t="n">
        <x:f>SUM($AA$5:AA38)</x:f>
        <x:v>38.750675932500016</x:v>
      </x:c>
    </x:row>
    <x:row r="39" ht="21" customHeight="1">
      <x:c r="A39" s="10" t="n">
        <x:v>46182</x:v>
      </x:c>
      <x:c r="B39" s="1" t="n">
        <x:v>288</x:v>
      </x:c>
      <x:c r="C39" s="1" t="n">
        <x:v>24</x:v>
      </x:c>
      <x:c r="D39" s="11" t="n">
        <x:v>24.598333333333347</x:v>
      </x:c>
      <x:c r="E39" s="11" t="n">
        <x:v>9.724916666666664</x:v>
      </x:c>
      <x:c r="F39" s="11" t="n">
        <x:v>0</x:v>
      </x:c>
      <x:c r="G39" s="11" t="n">
        <x:v>14.5065</x:v>
      </x:c>
      <x:c r="H39" s="11" t="n">
        <x:v>9.731000000000003</x:v>
      </x:c>
      <x:c r="I39" s="11" t="n">
        <x:v>9.724916666666664</x:v>
      </x:c>
      <x:c r="J39" s="11" t="n">
        <x:v>0</x:v>
      </x:c>
      <x:c r="K39" s="11" t="n">
        <x:v>11.011</x:v>
      </x:c>
      <x:c r="L39" s="11" t="n">
        <x:v>0</x:v>
      </x:c>
      <x:c r="M39" s="11" t="n">
        <x:v>11.011</x:v>
      </x:c>
      <x:c r="N39" s="11" t="n">
        <x:v>0</x:v>
      </x:c>
      <x:c r="O39" s="11" t="n">
        <x:v>0</x:v>
      </x:c>
      <x:c r="P39" s="11" t="n">
        <x:v>0</x:v>
      </x:c>
      <x:c r="Q39" s="11" t="n">
        <x:v>0</x:v>
      </x:c>
      <x:c r="R39" s="11" t="n">
        <x:v>25.517499999999995</x:v>
      </x:c>
      <x:c r="S39" s="11" t="n">
        <x:v>14.5065</x:v>
      </x:c>
      <x:c r="T39" s="11" t="n">
        <x:v>11.011</x:v>
      </x:c>
      <x:c r="U39" s="11" t="n">
        <x:v>0</x:v>
      </x:c>
      <x:c r="V39" s="11" t="n">
        <x:v>0</x:v>
      </x:c>
      <x:c r="W39" s="11" t="n">
        <x:v>0</x:v>
      </x:c>
      <x:c r="X39" s="13" t="n">
        <x:f>(D39*'Tariff and method'!$B$4+'Tariff and method'!$B$5)*1.05</x:f>
        <x:v>6.215778450000004</x:v>
      </x:c>
      <x:c r="Y39" s="13" t="n">
        <x:f>SUMIF('Import by half hour'!$A$5:$A$7395,A39,'Import by half hour'!$J$5:$J$7395)</x:f>
        <x:v>3.8716596012500006</x:v>
      </x:c>
      <x:c r="Z39" s="13" t="n">
        <x:f>Y39+'Tariff and method'!$B$6*1.05</x:f>
        <x:v>4.429524601250001</x:v>
      </x:c>
      <x:c r="AA39" s="13" t="n">
        <x:f>X39-Z39</x:f>
        <x:v>1.786253848750003</x:v>
      </x:c>
      <x:c r="AB39" s="13" t="n">
        <x:f>SUMIF('Import by half hour'!$A$5:$A$7395,A39,'Import by half hour'!$K$5:$K$7395)+'Tariff and method'!$B$6*1.05</x:f>
        <x:v>5.72266764125</x:v>
      </x:c>
      <x:c r="AC39" s="13" t="n">
        <x:f>AB39-Z39</x:f>
        <x:v>1.2931430399999995</x:v>
      </x:c>
      <x:c r="AD39" s="13" t="n">
        <x:f>X39-AB39</x:f>
        <x:v>0.49311080875000357</x:v>
      </x:c>
      <x:c r="AE39" s="11" t="n">
        <x:f>M39-H39</x:f>
        <x:v>1.2799999999999958</x:v>
      </x:c>
      <x:c r="AF39" s="14" t="n">
        <x:f>IF(M39=0,"",H39/M39)</x:f>
        <x:v>0.8837526110253386</x:v>
      </x:c>
      <x:c r="AG39" s="11" t="n">
        <x:f>D39-E39-F39-G39</x:f>
        <x:v>0.36691666666668254</x:v>
      </x:c>
      <x:c r="AH39" s="11" t="n">
        <x:f>R39-S39-T39</x:f>
        <x:v>-5.329070518200751e-15</x:v>
      </x:c>
      <x:c r="AI39" s="13" t="n">
        <x:f>SUM($AA$5:AA39)</x:f>
        <x:v>40.536929781250016</x:v>
      </x:c>
    </x:row>
    <x:row r="40" ht="21" customHeight="1">
      <x:c r="A40" s="10" t="n">
        <x:v>46183</x:v>
      </x:c>
      <x:c r="B40" s="1" t="n">
        <x:v>288</x:v>
      </x:c>
      <x:c r="C40" s="1" t="n">
        <x:v>24</x:v>
      </x:c>
      <x:c r="D40" s="11" t="n">
        <x:v>22.316999999999993</x:v>
      </x:c>
      <x:c r="E40" s="11" t="n">
        <x:v>12.870250000000004</x:v>
      </x:c>
      <x:c r="F40" s="11" t="n">
        <x:v>0</x:v>
      </x:c>
      <x:c r="G40" s="11" t="n">
        <x:v>9.201499999999996</x:v>
      </x:c>
      <x:c r="H40" s="11" t="n">
        <x:v>12.876000000000001</x:v>
      </x:c>
      <x:c r="I40" s="11" t="n">
        <x:v>12.870250000000004</x:v>
      </x:c>
      <x:c r="J40" s="11" t="n">
        <x:v>0</x:v>
      </x:c>
      <x:c r="K40" s="11" t="n">
        <x:v>11.025000000000004</x:v>
      </x:c>
      <x:c r="L40" s="11" t="n">
        <x:v>0</x:v>
      </x:c>
      <x:c r="M40" s="11" t="n">
        <x:v>11.025000000000004</x:v>
      </x:c>
      <x:c r="N40" s="11" t="n">
        <x:v>0</x:v>
      </x:c>
      <x:c r="O40" s="11" t="n">
        <x:v>0</x:v>
      </x:c>
      <x:c r="P40" s="11" t="n">
        <x:v>0</x:v>
      </x:c>
      <x:c r="Q40" s="11" t="n">
        <x:v>0</x:v>
      </x:c>
      <x:c r="R40" s="11" t="n">
        <x:v>20.236500000000003</x:v>
      </x:c>
      <x:c r="S40" s="11" t="n">
        <x:v>9.201499999999996</x:v>
      </x:c>
      <x:c r="T40" s="11" t="n">
        <x:v>11.025000000000004</x:v>
      </x:c>
      <x:c r="U40" s="11" t="n">
        <x:v>0</x:v>
      </x:c>
      <x:c r="V40" s="11" t="n">
        <x:v>0</x:v>
      </x:c>
      <x:c r="W40" s="11" t="n">
        <x:v>0</x:v>
      </x:c>
      <x:c r="X40" s="13" t="n">
        <x:f>(D40*'Tariff and method'!$B$4+'Tariff and method'!$B$5)*1.05</x:f>
        <x:v>5.682562409999999</x:v>
      </x:c>
      <x:c r="Y40" s="13" t="n">
        <x:f>SUMIF('Import by half hour'!$A$5:$A$7395,A40,'Import by half hour'!$J$5:$J$7395)</x:f>
        <x:v>3.6808928450000007</x:v>
      </x:c>
      <x:c r="Z40" s="13" t="n">
        <x:f>Y40+'Tariff and method'!$B$6*1.05</x:f>
        <x:v>4.238757845</x:v>
      </x:c>
      <x:c r="AA40" s="13" t="n">
        <x:f>X40-Z40</x:f>
        <x:v>1.4438045649999989</x:v>
      </x:c>
      <x:c r="AB40" s="13" t="n">
        <x:f>SUMIF('Import by half hour'!$A$5:$A$7395,A40,'Import by half hour'!$K$5:$K$7395)+'Tariff and method'!$B$6*1.05</x:f>
        <x:v>5.9880459012500005</x:v>
      </x:c>
      <x:c r="AC40" s="13" t="n">
        <x:f>AB40-Z40</x:f>
        <x:v>1.7492880562500002</x:v>
      </x:c>
      <x:c r="AD40" s="13" t="n">
        <x:f>X40-AB40</x:f>
        <x:v>-0.3054834912500013</x:v>
      </x:c>
      <x:c r="AE40" s="11" t="n">
        <x:f>M40-H40</x:f>
        <x:v>-1.8509999999999973</x:v>
      </x:c>
      <x:c r="AF40" s="14" t="n">
        <x:f>IF(M40=0,"",H40/M40)</x:f>
        <x:v>1.1678911564625847</x:v>
      </x:c>
      <x:c r="AG40" s="11" t="n">
        <x:f>D40-E40-F40-G40</x:f>
        <x:v>0.2452499999999933</x:v>
      </x:c>
      <x:c r="AH40" s="11" t="n">
        <x:f>R40-S40-T40</x:f>
        <x:v>0.01000000000000334</x:v>
      </x:c>
      <x:c r="AI40" s="13" t="n">
        <x:f>SUM($AA$5:AA40)</x:f>
        <x:v>41.98073434625002</x:v>
      </x:c>
    </x:row>
    <x:row r="41" ht="21" customHeight="1">
      <x:c r="A41" s="10" t="n">
        <x:v>46184</x:v>
      </x:c>
      <x:c r="B41" s="1" t="n">
        <x:v>288</x:v>
      </x:c>
      <x:c r="C41" s="1" t="n">
        <x:v>24</x:v>
      </x:c>
      <x:c r="D41" s="11" t="n">
        <x:v>23.478166666666674</x:v>
      </x:c>
      <x:c r="E41" s="11" t="n">
        <x:v>7.260750000000003</x:v>
      </x:c>
      <x:c r="F41" s="11" t="n">
        <x:v>0</x:v>
      </x:c>
      <x:c r="G41" s="11" t="n">
        <x:v>16.10541666666667</x:v>
      </x:c>
      <x:c r="H41" s="11" t="n">
        <x:v>7.264000000000001</x:v>
      </x:c>
      <x:c r="I41" s="11" t="n">
        <x:v>7.260750000000003</x:v>
      </x:c>
      <x:c r="J41" s="11" t="n">
        <x:v>0</x:v>
      </x:c>
      <x:c r="K41" s="11" t="n">
        <x:v>8.962</x:v>
      </x:c>
      <x:c r="L41" s="11" t="n">
        <x:v>0</x:v>
      </x:c>
      <x:c r="M41" s="11" t="n">
        <x:v>8.962</x:v>
      </x:c>
      <x:c r="N41" s="11" t="n">
        <x:v>0</x:v>
      </x:c>
      <x:c r="O41" s="11" t="n">
        <x:v>0</x:v>
      </x:c>
      <x:c r="P41" s="11" t="n">
        <x:v>0</x:v>
      </x:c>
      <x:c r="Q41" s="11" t="n">
        <x:v>0</x:v>
      </x:c>
      <x:c r="R41" s="11" t="n">
        <x:v>25.114416666666667</x:v>
      </x:c>
      <x:c r="S41" s="11" t="n">
        <x:v>16.10541666666667</x:v>
      </x:c>
      <x:c r="T41" s="11" t="n">
        <x:v>8.962</x:v>
      </x:c>
      <x:c r="U41" s="11" t="n">
        <x:v>0</x:v>
      </x:c>
      <x:c r="V41" s="11" t="n">
        <x:v>0</x:v>
      </x:c>
      <x:c r="W41" s="11" t="n">
        <x:v>0</x:v>
      </x:c>
      <x:c r="X41" s="13" t="n">
        <x:f>(D41*'Tariff and method'!$B$4+'Tariff and method'!$B$5)*1.05</x:f>
        <x:v>5.953961895000002</x:v>
      </x:c>
      <x:c r="Y41" s="13" t="n">
        <x:f>SUMIF('Import by half hour'!$A$5:$A$7395,A41,'Import by half hour'!$J$5:$J$7395)</x:f>
        <x:v>4.70509914875</x:v>
      </x:c>
      <x:c r="Z41" s="13" t="n">
        <x:f>Y41+'Tariff and method'!$B$6*1.05</x:f>
        <x:v>5.262964148749999</x:v>
      </x:c>
      <x:c r="AA41" s="13" t="n">
        <x:f>X41-Z41</x:f>
        <x:v>0.6909977462500025</x:v>
      </x:c>
      <x:c r="AB41" s="13" t="n">
        <x:f>SUMIF('Import by half hour'!$A$5:$A$7395,A41,'Import by half hour'!$K$5:$K$7395)+'Tariff and method'!$B$6*1.05</x:f>
        <x:v>5.697767915000002</x:v>
      </x:c>
      <x:c r="AC41" s="13" t="n">
        <x:f>AB41-Z41</x:f>
        <x:v>0.4348037662500026</x:v>
      </x:c>
      <x:c r="AD41" s="13" t="n">
        <x:f>X41-AB41</x:f>
        <x:v>0.25619397999999993</x:v>
      </x:c>
      <x:c r="AE41" s="11" t="n">
        <x:f>M41-H41</x:f>
        <x:v>1.6979999999999986</x:v>
      </x:c>
      <x:c r="AF41" s="14" t="n">
        <x:f>IF(M41=0,"",H41/M41)</x:f>
        <x:v>0.8105333630885965</x:v>
      </x:c>
      <x:c r="AG41" s="11" t="n">
        <x:f>D41-E41-F41-G41</x:f>
        <x:v>0.11200000000000188</x:v>
      </x:c>
      <x:c r="AH41" s="11" t="n">
        <x:f>R41-S41-T41</x:f>
        <x:v>0.046999999999997044</x:v>
      </x:c>
      <x:c r="AI41" s="13" t="n">
        <x:f>SUM($AA$5:AA41)</x:f>
        <x:v>42.67173209250002</x:v>
      </x:c>
    </x:row>
    <x:row r="42" ht="21" customHeight="1">
      <x:c r="A42" s="10" t="n">
        <x:v>46185</x:v>
      </x:c>
      <x:c r="B42" s="1" t="n">
        <x:v>288</x:v>
      </x:c>
      <x:c r="C42" s="1" t="n">
        <x:v>24</x:v>
      </x:c>
      <x:c r="D42" s="11" t="n">
        <x:v>24.267999999999994</x:v>
      </x:c>
      <x:c r="E42" s="11" t="n">
        <x:v>13.458000000000006</x:v>
      </x:c>
      <x:c r="F42" s="11" t="n">
        <x:v>0</x:v>
      </x:c>
      <x:c r="G42" s="11" t="n">
        <x:v>10.641416666666666</x:v>
      </x:c>
      <x:c r="H42" s="11" t="n">
        <x:v>13.463999999999999</x:v>
      </x:c>
      <x:c r="I42" s="11" t="n">
        <x:v>13.458000000000006</x:v>
      </x:c>
      <x:c r="J42" s="11" t="n">
        <x:v>0</x:v>
      </x:c>
      <x:c r="K42" s="11" t="n">
        <x:v>14.922999999999998</x:v>
      </x:c>
      <x:c r="L42" s="11" t="n">
        <x:v>0</x:v>
      </x:c>
      <x:c r="M42" s="11" t="n">
        <x:v>14.922999999999998</x:v>
      </x:c>
      <x:c r="N42" s="11" t="n">
        <x:v>0</x:v>
      </x:c>
      <x:c r="O42" s="11" t="n">
        <x:v>0</x:v>
      </x:c>
      <x:c r="P42" s="11" t="n">
        <x:v>0</x:v>
      </x:c>
      <x:c r="Q42" s="11" t="n">
        <x:v>0</x:v>
      </x:c>
      <x:c r="R42" s="11" t="n">
        <x:v>25.58341666666667</x:v>
      </x:c>
      <x:c r="S42" s="11" t="n">
        <x:v>10.641416666666666</x:v>
      </x:c>
      <x:c r="T42" s="11" t="n">
        <x:v>14.922999999999998</x:v>
      </x:c>
      <x:c r="U42" s="11" t="n">
        <x:v>0</x:v>
      </x:c>
      <x:c r="V42" s="11" t="n">
        <x:v>0</x:v>
      </x:c>
      <x:c r="W42" s="11" t="n">
        <x:v>0</x:v>
      </x:c>
      <x:c r="X42" s="13" t="n">
        <x:f>(D42*'Tariff and method'!$B$4+'Tariff and method'!$B$5)*1.05</x:f>
        <x:v>6.138569639999999</x:v>
      </x:c>
      <x:c r="Y42" s="13" t="n">
        <x:f>SUMIF('Import by half hour'!$A$5:$A$7395,A42,'Import by half hour'!$J$5:$J$7395)</x:f>
        <x:v>2.45448786625</x:v>
      </x:c>
      <x:c r="Z42" s="13" t="n">
        <x:f>Y42+'Tariff and method'!$B$6*1.05</x:f>
        <x:v>3.01235286625</x:v>
      </x:c>
      <x:c r="AA42" s="13" t="n">
        <x:f>X42-Z42</x:f>
        <x:v>3.126216773749999</x:v>
      </x:c>
      <x:c r="AB42" s="13" t="n">
        <x:f>SUMIF('Import by half hour'!$A$5:$A$7395,A42,'Import by half hour'!$K$5:$K$7395)+'Tariff and method'!$B$6*1.05</x:f>
        <x:v>4.488492461249999</x:v>
      </x:c>
      <x:c r="AC42" s="13" t="n">
        <x:f>AB42-Z42</x:f>
        <x:v>1.476139594999999</x:v>
      </x:c>
      <x:c r="AD42" s="13" t="n">
        <x:f>X42-AB42</x:f>
        <x:v>1.6500771787500002</x:v>
      </x:c>
      <x:c r="AE42" s="11" t="n">
        <x:f>M42-H42</x:f>
        <x:v>1.4589999999999996</x:v>
      </x:c>
      <x:c r="AF42" s="14" t="n">
        <x:f>IF(M42=0,"",H42/M42)</x:f>
        <x:v>0.9022314548013134</x:v>
      </x:c>
      <x:c r="AG42" s="11" t="n">
        <x:f>D42-E42-F42-G42</x:f>
        <x:v>0.16858333333332176</x:v>
      </x:c>
      <x:c r="AH42" s="11" t="n">
        <x:f>R42-S42-T42</x:f>
        <x:v>0.01900000000000368</x:v>
      </x:c>
      <x:c r="AI42" s="13" t="n">
        <x:f>SUM($AA$5:AA42)</x:f>
        <x:v>45.797948866250024</x:v>
      </x:c>
    </x:row>
    <x:row r="43" ht="21" customHeight="1">
      <x:c r="A43" s="10" t="n">
        <x:v>46186</x:v>
      </x:c>
      <x:c r="B43" s="1" t="n">
        <x:v>288</x:v>
      </x:c>
      <x:c r="C43" s="1" t="n">
        <x:v>24</x:v>
      </x:c>
      <x:c r="D43" s="11" t="n">
        <x:v>22.379166666666663</x:v>
      </x:c>
      <x:c r="E43" s="11" t="n">
        <x:v>12.996416666666663</x:v>
      </x:c>
      <x:c r="F43" s="11" t="n">
        <x:v>0</x:v>
      </x:c>
      <x:c r="G43" s="11" t="n">
        <x:v>9.326249999999998</x:v>
      </x:c>
      <x:c r="H43" s="11" t="n">
        <x:v>13.003</x:v>
      </x:c>
      <x:c r="I43" s="11" t="n">
        <x:v>12.996416666666663</x:v>
      </x:c>
      <x:c r="J43" s="11" t="n">
        <x:v>0</x:v>
      </x:c>
      <x:c r="K43" s="11" t="n">
        <x:v>33.756000000000014</x:v>
      </x:c>
      <x:c r="L43" s="11" t="n">
        <x:v>0</x:v>
      </x:c>
      <x:c r="M43" s="11" t="n">
        <x:v>33.756000000000014</x:v>
      </x:c>
      <x:c r="N43" s="11" t="n">
        <x:v>0</x:v>
      </x:c>
      <x:c r="O43" s="11" t="n">
        <x:v>0</x:v>
      </x:c>
      <x:c r="P43" s="11" t="n">
        <x:v>0</x:v>
      </x:c>
      <x:c r="Q43" s="11" t="n">
        <x:v>0</x:v>
      </x:c>
      <x:c r="R43" s="11" t="n">
        <x:v>43.09624999999999</x:v>
      </x:c>
      <x:c r="S43" s="11" t="n">
        <x:v>9.326249999999998</x:v>
      </x:c>
      <x:c r="T43" s="11" t="n">
        <x:v>33.756000000000014</x:v>
      </x:c>
      <x:c r="U43" s="11" t="n">
        <x:v>0</x:v>
      </x:c>
      <x:c r="V43" s="11" t="n">
        <x:v>0</x:v>
      </x:c>
      <x:c r="W43" s="11" t="n">
        <x:v>0</x:v>
      </x:c>
      <x:c r="X43" s="13" t="n">
        <x:f>(D43*'Tariff and method'!$B$4+'Tariff and method'!$B$5)*1.05</x:f>
        <x:v>5.697092625</x:v>
      </x:c>
      <x:c r="Y43" s="13" t="n">
        <x:f>SUMIF('Import by half hour'!$A$5:$A$7395,A43,'Import by half hour'!$J$5:$J$7395)</x:f>
        <x:v>-2.8299473125000003</x:v>
      </x:c>
      <x:c r="Z43" s="13" t="n">
        <x:f>Y43+'Tariff and method'!$B$6*1.05</x:f>
        <x:v>-2.2720823125000003</x:v>
      </x:c>
      <x:c r="AA43" s="13" t="n">
        <x:f>X43-Z43</x:f>
        <x:v>7.9691749375</x:v>
      </x:c>
      <x:c r="AB43" s="13" t="n">
        <x:f>SUMIF('Import by half hour'!$A$5:$A$7395,A43,'Import by half hour'!$K$5:$K$7395)+'Tariff and method'!$B$6*1.05</x:f>
        <x:v>1.5442192675</x:v>
      </x:c>
      <x:c r="AC43" s="13" t="n">
        <x:f>AB43-Z43</x:f>
        <x:v>3.81630158</x:v>
      </x:c>
      <x:c r="AD43" s="13" t="n">
        <x:f>X43-AB43</x:f>
        <x:v>4.1528733575</x:v>
      </x:c>
      <x:c r="AE43" s="11" t="n">
        <x:f>M43-H43</x:f>
        <x:v>20.753000000000014</x:v>
      </x:c>
      <x:c r="AF43" s="14" t="n">
        <x:f>IF(M43=0,"",H43/M43)</x:f>
        <x:v>0.3852055930797486</x:v>
      </x:c>
      <x:c r="AG43" s="11" t="n">
        <x:f>D43-E43-F43-G43</x:f>
        <x:v>0.05650000000000155</x:v>
      </x:c>
      <x:c r="AH43" s="11" t="n">
        <x:f>R43-S43-T43</x:f>
        <x:v>0.013999999999981583</x:v>
      </x:c>
      <x:c r="AI43" s="13" t="n">
        <x:f>SUM($AA$5:AA43)</x:f>
        <x:v>53.767123803750025</x:v>
      </x:c>
    </x:row>
    <x:row r="44" ht="21" customHeight="1">
      <x:c r="A44" s="10" t="n">
        <x:v>46187</x:v>
      </x:c>
      <x:c r="B44" s="1" t="n">
        <x:v>288</x:v>
      </x:c>
      <x:c r="C44" s="1" t="n">
        <x:v>24</x:v>
      </x:c>
      <x:c r="D44" s="11" t="n">
        <x:v>21.972500000000018</x:v>
      </x:c>
      <x:c r="E44" s="11" t="n">
        <x:v>18.708000000000013</x:v>
      </x:c>
      <x:c r="F44" s="11" t="n">
        <x:v>0</x:v>
      </x:c>
      <x:c r="G44" s="11" t="n">
        <x:v>3.1495833333333327</x:v>
      </x:c>
      <x:c r="H44" s="11" t="n">
        <x:v>18.71700000000001</x:v>
      </x:c>
      <x:c r="I44" s="11" t="n">
        <x:v>18.708000000000013</x:v>
      </x:c>
      <x:c r="J44" s="11" t="n">
        <x:v>0</x:v>
      </x:c>
      <x:c r="K44" s="11" t="n">
        <x:v>4.662000000000001</x:v>
      </x:c>
      <x:c r="L44" s="11" t="n">
        <x:v>0</x:v>
      </x:c>
      <x:c r="M44" s="11" t="n">
        <x:v>4.662000000000001</x:v>
      </x:c>
      <x:c r="N44" s="11" t="n">
        <x:v>0</x:v>
      </x:c>
      <x:c r="O44" s="11" t="n">
        <x:v>0</x:v>
      </x:c>
      <x:c r="P44" s="11" t="n">
        <x:v>0</x:v>
      </x:c>
      <x:c r="Q44" s="11" t="n">
        <x:v>0</x:v>
      </x:c>
      <x:c r="R44" s="11" t="n">
        <x:v>7.813583333333334</x:v>
      </x:c>
      <x:c r="S44" s="11" t="n">
        <x:v>3.1495833333333327</x:v>
      </x:c>
      <x:c r="T44" s="11" t="n">
        <x:v>4.662000000000001</x:v>
      </x:c>
      <x:c r="U44" s="11" t="n">
        <x:v>0</x:v>
      </x:c>
      <x:c r="V44" s="11" t="n">
        <x:v>0</x:v>
      </x:c>
      <x:c r="W44" s="11" t="n">
        <x:v>0</x:v>
      </x:c>
      <x:c r="X44" s="13" t="n">
        <x:f>(D44*'Tariff and method'!$B$4+'Tariff and method'!$B$5)*1.05</x:f>
        <x:v>5.602042425000004</x:v>
      </x:c>
      <x:c r="Y44" s="13" t="n">
        <x:f>SUMIF('Import by half hour'!$A$5:$A$7395,A44,'Import by half hour'!$J$5:$J$7395)</x:f>
        <x:v>0.30038733375</x:v>
      </x:c>
      <x:c r="Z44" s="13" t="n">
        <x:f>Y44+'Tariff and method'!$B$6*1.05</x:f>
        <x:v>0.8582523337500001</x:v>
      </x:c>
      <x:c r="AA44" s="13" t="n">
        <x:f>X44-Z44</x:f>
        <x:v>4.743790091250004</x:v>
      </x:c>
      <x:c r="AB44" s="13" t="n">
        <x:f>SUMIF('Import by half hour'!$A$5:$A$7395,A44,'Import by half hour'!$K$5:$K$7395)+'Tariff and method'!$B$6*1.05</x:f>
        <x:v>4.63642727625</x:v>
      </x:c>
      <x:c r="AC44" s="13" t="n">
        <x:f>AB44-Z44</x:f>
        <x:v>3.7781749424999997</x:v>
      </x:c>
      <x:c r="AD44" s="13" t="n">
        <x:f>X44-AB44</x:f>
        <x:v>0.965615148750004</x:v>
      </x:c>
      <x:c r="AE44" s="11" t="n">
        <x:f>M44-H44</x:f>
        <x:v>-14.055000000000009</x:v>
      </x:c>
      <x:c r="AF44" s="14" t="n">
        <x:f>IF(M44=0,"",H44/M44)</x:f>
        <x:v>4.014800514800516</x:v>
      </x:c>
      <x:c r="AG44" s="11" t="n">
        <x:f>D44-E44-F44-G44</x:f>
        <x:v>0.11491666666667255</x:v>
      </x:c>
      <x:c r="AH44" s="11" t="n">
        <x:f>R44-S44-T44</x:f>
        <x:v>0.002000000000000668</x:v>
      </x:c>
      <x:c r="AI44" s="13" t="n">
        <x:f>SUM($AA$5:AA44)</x:f>
        <x:v>58.51091389500003</x:v>
      </x:c>
    </x:row>
    <x:row r="45" ht="21" customHeight="1">
      <x:c r="A45" s="10" t="n">
        <x:v>46188</x:v>
      </x:c>
      <x:c r="B45" s="1" t="n">
        <x:v>288</x:v>
      </x:c>
      <x:c r="C45" s="1" t="n">
        <x:v>24</x:v>
      </x:c>
      <x:c r="D45" s="11" t="n">
        <x:v>21.9455</x:v>
      </x:c>
      <x:c r="E45" s="11" t="n">
        <x:v>11.220249999999998</x:v>
      </x:c>
      <x:c r="F45" s="11" t="n">
        <x:v>0</x:v>
      </x:c>
      <x:c r="G45" s="11" t="n">
        <x:v>10.427166666666668</x:v>
      </x:c>
      <x:c r="H45" s="11" t="n">
        <x:v>11.225999999999999</x:v>
      </x:c>
      <x:c r="I45" s="11" t="n">
        <x:v>11.220249999999998</x:v>
      </x:c>
      <x:c r="J45" s="11" t="n">
        <x:v>0</x:v>
      </x:c>
      <x:c r="K45" s="11" t="n">
        <x:v>5.977</x:v>
      </x:c>
      <x:c r="L45" s="11" t="n">
        <x:v>0</x:v>
      </x:c>
      <x:c r="M45" s="11" t="n">
        <x:v>5.977</x:v>
      </x:c>
      <x:c r="N45" s="11" t="n">
        <x:v>0</x:v>
      </x:c>
      <x:c r="O45" s="11" t="n">
        <x:v>0</x:v>
      </x:c>
      <x:c r="P45" s="11" t="n">
        <x:v>0</x:v>
      </x:c>
      <x:c r="Q45" s="11" t="n">
        <x:v>0</x:v>
      </x:c>
      <x:c r="R45" s="11" t="n">
        <x:v>16.42016666666666</x:v>
      </x:c>
      <x:c r="S45" s="11" t="n">
        <x:v>10.427166666666668</x:v>
      </x:c>
      <x:c r="T45" s="11" t="n">
        <x:v>5.977</x:v>
      </x:c>
      <x:c r="U45" s="11" t="n">
        <x:v>0</x:v>
      </x:c>
      <x:c r="V45" s="11" t="n">
        <x:v>0</x:v>
      </x:c>
      <x:c r="W45" s="11" t="n">
        <x:v>0</x:v>
      </x:c>
      <x:c r="X45" s="13" t="n">
        <x:f>(D45*'Tariff and method'!$B$4+'Tariff and method'!$B$5)*1.05</x:f>
        <x:v>5.595731715</x:v>
      </x:c>
      <x:c r="Y45" s="13" t="n">
        <x:f>SUMIF('Import by half hour'!$A$5:$A$7395,A45,'Import by half hour'!$J$5:$J$7395)</x:f>
        <x:v>2.6498139500000004</x:v>
      </x:c>
      <x:c r="Z45" s="13" t="n">
        <x:f>Y45+'Tariff and method'!$B$6*1.05</x:f>
        <x:v>3.2076789500000005</x:v>
      </x:c>
      <x:c r="AA45" s="13" t="n">
        <x:f>X45-Z45</x:f>
        <x:v>2.388052765</x:v>
      </x:c>
      <x:c r="AB45" s="13" t="n">
        <x:f>SUMIF('Import by half hour'!$A$5:$A$7395,A45,'Import by half hour'!$K$5:$K$7395)+'Tariff and method'!$B$6*1.05</x:f>
        <x:v>5.351753312500001</x:v>
      </x:c>
      <x:c r="AC45" s="13" t="n">
        <x:f>AB45-Z45</x:f>
        <x:v>2.144074362500001</x:v>
      </x:c>
      <x:c r="AD45" s="13" t="n">
        <x:f>X45-AB45</x:f>
        <x:v>0.24397840249999891</x:v>
      </x:c>
      <x:c r="AE45" s="11" t="n">
        <x:f>M45-H45</x:f>
        <x:v>-5.248999999999999</x:v>
      </x:c>
      <x:c r="AF45" s="14" t="n">
        <x:f>IF(M45=0,"",H45/M45)</x:f>
        <x:v>1.8781997657687801</x:v>
      </x:c>
      <x:c r="AG45" s="11" t="n">
        <x:f>D45-E45-F45-G45</x:f>
        <x:v>0.2980833333333326</x:v>
      </x:c>
      <x:c r="AH45" s="11" t="n">
        <x:f>R45-S45-T45</x:f>
        <x:v>0.015999999999991132</x:v>
      </x:c>
      <x:c r="AI45" s="13" t="n">
        <x:f>SUM($AA$5:AA45)</x:f>
        <x:v>60.89896666000003</x:v>
      </x:c>
    </x:row>
    <x:row r="46" ht="21" customHeight="1">
      <x:c r="A46" s="10" t="n">
        <x:v>46189</x:v>
      </x:c>
      <x:c r="B46" s="1" t="n">
        <x:v>288</x:v>
      </x:c>
      <x:c r="C46" s="1" t="n">
        <x:v>24</x:v>
      </x:c>
      <x:c r="D46" s="11" t="n">
        <x:v>19.981583333333315</x:v>
      </x:c>
      <x:c r="E46" s="11" t="n">
        <x:v>11.727500000000006</x:v>
      </x:c>
      <x:c r="F46" s="11" t="n">
        <x:v>0</x:v>
      </x:c>
      <x:c r="G46" s="11" t="n">
        <x:v>8.010749999999998</x:v>
      </x:c>
      <x:c r="H46" s="11" t="n">
        <x:v>11.733000000000002</x:v>
      </x:c>
      <x:c r="I46" s="11" t="n">
        <x:v>11.727500000000006</x:v>
      </x:c>
      <x:c r="J46" s="11" t="n">
        <x:v>0</x:v>
      </x:c>
      <x:c r="K46" s="11" t="n">
        <x:v>10.89</x:v>
      </x:c>
      <x:c r="L46" s="11" t="n">
        <x:v>0</x:v>
      </x:c>
      <x:c r="M46" s="11" t="n">
        <x:v>10.89</x:v>
      </x:c>
      <x:c r="N46" s="11" t="n">
        <x:v>0</x:v>
      </x:c>
      <x:c r="O46" s="11" t="n">
        <x:v>0</x:v>
      </x:c>
      <x:c r="P46" s="11" t="n">
        <x:v>0</x:v>
      </x:c>
      <x:c r="Q46" s="11" t="n">
        <x:v>0</x:v>
      </x:c>
      <x:c r="R46" s="11" t="n">
        <x:v>18.92975</x:v>
      </x:c>
      <x:c r="S46" s="11" t="n">
        <x:v>8.010749999999998</x:v>
      </x:c>
      <x:c r="T46" s="11" t="n">
        <x:v>10.89</x:v>
      </x:c>
      <x:c r="U46" s="11" t="n">
        <x:v>0</x:v>
      </x:c>
      <x:c r="V46" s="11" t="n">
        <x:v>0</x:v>
      </x:c>
      <x:c r="W46" s="11" t="n">
        <x:v>0</x:v>
      </x:c>
      <x:c r="X46" s="13" t="n">
        <x:f>(D46*'Tariff and method'!$B$4+'Tariff and method'!$B$5)*1.05</x:f>
        <x:v>5.1367054724999965</x:v>
      </x:c>
      <x:c r="Y46" s="13" t="n">
        <x:f>SUMIF('Import by half hour'!$A$5:$A$7395,A46,'Import by half hour'!$J$5:$J$7395)</x:f>
        <x:v>3.1617582762500014</x:v>
      </x:c>
      <x:c r="Z46" s="13" t="n">
        <x:f>Y46+'Tariff and method'!$B$6*1.05</x:f>
        <x:v>3.7196232762500014</x:v>
      </x:c>
      <x:c r="AA46" s="13" t="n">
        <x:f>X46-Z46</x:f>
        <x:v>1.417082196249995</x:v>
      </x:c>
      <x:c r="AB46" s="13" t="n">
        <x:f>SUMIF('Import by half hour'!$A$5:$A$7395,A46,'Import by half hour'!$K$5:$K$7395)+'Tariff and method'!$B$6*1.05</x:f>
        <x:v>5.296111563749999</x:v>
      </x:c>
      <x:c r="AC46" s="13" t="n">
        <x:f>AB46-Z46</x:f>
        <x:v>1.576488287499998</x:v>
      </x:c>
      <x:c r="AD46" s="13" t="n">
        <x:f>X46-AB46</x:f>
        <x:v>-0.15940609125000282</x:v>
      </x:c>
      <x:c r="AE46" s="11" t="n">
        <x:f>M46-H46</x:f>
        <x:v>-0.8430000000000017</x:v>
      </x:c>
      <x:c r="AF46" s="14" t="n">
        <x:f>IF(M46=0,"",H46/M46)</x:f>
        <x:v>1.0774104683195593</x:v>
      </x:c>
      <x:c r="AG46" s="11" t="n">
        <x:f>D46-E46-F46-G46</x:f>
        <x:v>0.24333333333331097</x:v>
      </x:c>
      <x:c r="AH46" s="11" t="n">
        <x:f>R46-S46-T46</x:f>
        <x:v>0.028999999999999915</x:v>
      </x:c>
      <x:c r="AI46" s="13" t="n">
        <x:f>SUM($AA$5:AA46)</x:f>
        <x:v>62.31604885625002</x:v>
      </x:c>
    </x:row>
    <x:row r="47" ht="21" customHeight="1">
      <x:c r="A47" s="10" t="n">
        <x:v>46190</x:v>
      </x:c>
      <x:c r="B47" s="1" t="n">
        <x:v>288</x:v>
      </x:c>
      <x:c r="C47" s="1" t="n">
        <x:v>24</x:v>
      </x:c>
      <x:c r="D47" s="11" t="n">
        <x:v>27.189666666666678</x:v>
      </x:c>
      <x:c r="E47" s="11" t="n">
        <x:v>9.531916666666664</x:v>
      </x:c>
      <x:c r="F47" s="11" t="n">
        <x:v>0</x:v>
      </x:c>
      <x:c r="G47" s="11" t="n">
        <x:v>17.411999999999995</x:v>
      </x:c>
      <x:c r="H47" s="11" t="n">
        <x:v>9.536999999999999</x:v>
      </x:c>
      <x:c r="I47" s="11" t="n">
        <x:v>9.531916666666664</x:v>
      </x:c>
      <x:c r="J47" s="11" t="n">
        <x:v>0</x:v>
      </x:c>
      <x:c r="K47" s="11" t="n">
        <x:v>9.783999999999999</x:v>
      </x:c>
      <x:c r="L47" s="11" t="n">
        <x:v>0</x:v>
      </x:c>
      <x:c r="M47" s="11" t="n">
        <x:v>9.783999999999999</x:v>
      </x:c>
      <x:c r="N47" s="11" t="n">
        <x:v>0</x:v>
      </x:c>
      <x:c r="O47" s="11" t="n">
        <x:v>0</x:v>
      </x:c>
      <x:c r="P47" s="11" t="n">
        <x:v>0</x:v>
      </x:c>
      <x:c r="Q47" s="11" t="n">
        <x:v>0</x:v>
      </x:c>
      <x:c r="R47" s="11" t="n">
        <x:v>27.20900000000001</x:v>
      </x:c>
      <x:c r="S47" s="11" t="n">
        <x:v>17.411999999999995</x:v>
      </x:c>
      <x:c r="T47" s="11" t="n">
        <x:v>9.783999999999999</x:v>
      </x:c>
      <x:c r="U47" s="11" t="n">
        <x:v>0</x:v>
      </x:c>
      <x:c r="V47" s="11" t="n">
        <x:v>0</x:v>
      </x:c>
      <x:c r="W47" s="11" t="n">
        <x:v>0</x:v>
      </x:c>
      <x:c r="X47" s="13" t="n">
        <x:f>(D47*'Tariff and method'!$B$4+'Tariff and method'!$B$5)*1.05</x:f>
        <x:v>6.821450790000004</x:v>
      </x:c>
      <x:c r="Y47" s="13" t="n">
        <x:f>SUMIF('Import by half hour'!$A$5:$A$7395,A47,'Import by half hour'!$J$5:$J$7395)</x:f>
        <x:v>4.287588812499999</x:v>
      </x:c>
      <x:c r="Z47" s="13" t="n">
        <x:f>Y47+'Tariff and method'!$B$6*1.05</x:f>
        <x:v>4.845453812499999</x:v>
      </x:c>
      <x:c r="AA47" s="13" t="n">
        <x:f>X47-Z47</x:f>
        <x:v>1.9759969775000048</x:v>
      </x:c>
      <x:c r="AB47" s="13" t="n">
        <x:f>SUMIF('Import by half hour'!$A$5:$A$7395,A47,'Import by half hour'!$K$5:$K$7395)+'Tariff and method'!$B$6*1.05</x:f>
        <x:v>6.331995337500002</x:v>
      </x:c>
      <x:c r="AC47" s="13" t="n">
        <x:f>AB47-Z47</x:f>
        <x:v>1.4865415250000034</x:v>
      </x:c>
      <x:c r="AD47" s="13" t="n">
        <x:f>X47-AB47</x:f>
        <x:v>0.48945545250000144</x:v>
      </x:c>
      <x:c r="AE47" s="11" t="n">
        <x:f>M47-H47</x:f>
        <x:v>0.2469999999999999</x:v>
      </x:c>
      <x:c r="AF47" s="14" t="n">
        <x:f>IF(M47=0,"",H47/M47)</x:f>
        <x:v>0.9747547015535568</x:v>
      </x:c>
      <x:c r="AG47" s="11" t="n">
        <x:f>D47-E47-F47-G47</x:f>
        <x:v>0.2457500000000188</x:v>
      </x:c>
      <x:c r="AH47" s="11" t="n">
        <x:f>R47-S47-T47</x:f>
        <x:v>0.013000000000015888</x:v>
      </x:c>
      <x:c r="AI47" s="13" t="n">
        <x:f>SUM($AA$5:AA47)</x:f>
        <x:v>64.29204583375002</x:v>
      </x:c>
    </x:row>
    <x:row r="48" ht="21" customHeight="1">
      <x:c r="A48" s="10" t="n">
        <x:v>46191</x:v>
      </x:c>
      <x:c r="B48" s="1" t="n">
        <x:v>288</x:v>
      </x:c>
      <x:c r="C48" s="1" t="n">
        <x:v>24</x:v>
      </x:c>
      <x:c r="D48" s="11" t="n">
        <x:v>20.210000000000008</x:v>
      </x:c>
      <x:c r="E48" s="11" t="n">
        <x:v>7.7787500000000005</x:v>
      </x:c>
      <x:c r="F48" s="11" t="n">
        <x:v>0</x:v>
      </x:c>
      <x:c r="G48" s="11" t="n">
        <x:v>12.260333333333328</x:v>
      </x:c>
      <x:c r="H48" s="11" t="n">
        <x:v>7.783999999999998</x:v>
      </x:c>
      <x:c r="I48" s="11" t="n">
        <x:v>7.7787500000000005</x:v>
      </x:c>
      <x:c r="J48" s="11" t="n">
        <x:v>0</x:v>
      </x:c>
      <x:c r="K48" s="11" t="n">
        <x:v>9.122</x:v>
      </x:c>
      <x:c r="L48" s="11" t="n">
        <x:v>0</x:v>
      </x:c>
      <x:c r="M48" s="11" t="n">
        <x:v>9.122</x:v>
      </x:c>
      <x:c r="N48" s="11" t="n">
        <x:v>0</x:v>
      </x:c>
      <x:c r="O48" s="11" t="n">
        <x:v>0</x:v>
      </x:c>
      <x:c r="P48" s="11" t="n">
        <x:v>0</x:v>
      </x:c>
      <x:c r="Q48" s="11" t="n">
        <x:v>0</x:v>
      </x:c>
      <x:c r="R48" s="11" t="n">
        <x:v>21.406333333333336</x:v>
      </x:c>
      <x:c r="S48" s="11" t="n">
        <x:v>12.260333333333328</x:v>
      </x:c>
      <x:c r="T48" s="11" t="n">
        <x:v>9.122</x:v>
      </x:c>
      <x:c r="U48" s="11" t="n">
        <x:v>0</x:v>
      </x:c>
      <x:c r="V48" s="11" t="n">
        <x:v>0</x:v>
      </x:c>
      <x:c r="W48" s="11" t="n">
        <x:v>0</x:v>
      </x:c>
      <x:c r="X48" s="13" t="n">
        <x:f>(D48*'Tariff and method'!$B$4+'Tariff and method'!$B$5)*1.05</x:f>
        <x:v>5.190093300000002</x:v>
      </x:c>
      <x:c r="Y48" s="13" t="n">
        <x:f>SUMIF('Import by half hour'!$A$5:$A$7395,A48,'Import by half hour'!$J$5:$J$7395)</x:f>
        <x:v>3.2839832987500004</x:v>
      </x:c>
      <x:c r="Z48" s="13" t="n">
        <x:f>Y48+'Tariff and method'!$B$6*1.05</x:f>
        <x:v>3.8418482987500004</x:v>
      </x:c>
      <x:c r="AA48" s="13" t="n">
        <x:f>X48-Z48</x:f>
        <x:v>1.3482450012500014</x:v>
      </x:c>
      <x:c r="AB48" s="13" t="n">
        <x:f>SUMIF('Import by half hour'!$A$5:$A$7395,A48,'Import by half hour'!$K$5:$K$7395)+'Tariff and method'!$B$6*1.05</x:f>
        <x:v>5.092436037500001</x:v>
      </x:c>
      <x:c r="AC48" s="13" t="n">
        <x:f>AB48-Z48</x:f>
        <x:v>1.2505877387500002</x:v>
      </x:c>
      <x:c r="AD48" s="13" t="n">
        <x:f>X48-AB48</x:f>
        <x:v>0.09765726250000117</x:v>
      </x:c>
      <x:c r="AE48" s="11" t="n">
        <x:f>M48-H48</x:f>
        <x:v>1.3380000000000019</x:v>
      </x:c>
      <x:c r="AF48" s="14" t="n">
        <x:f>IF(M48=0,"",H48/M48)</x:f>
        <x:v>0.8533216399912298</x:v>
      </x:c>
      <x:c r="AG48" s="11" t="n">
        <x:f>D48-E48-F48-G48</x:f>
        <x:v>0.17091666666667926</x:v>
      </x:c>
      <x:c r="AH48" s="11" t="n">
        <x:f>R48-S48-T48</x:f>
        <x:v>0.024000000000008015</x:v>
      </x:c>
      <x:c r="AI48" s="13" t="n">
        <x:f>SUM($AA$5:AA48)</x:f>
        <x:v>65.64029083500003</x:v>
      </x:c>
    </x:row>
    <x:row r="49" ht="21" customHeight="1">
      <x:c r="A49" s="10" t="n">
        <x:v>46192</x:v>
      </x:c>
      <x:c r="B49" s="1" t="n">
        <x:v>288</x:v>
      </x:c>
      <x:c r="C49" s="1" t="n">
        <x:v>24</x:v>
      </x:c>
      <x:c r="D49" s="11" t="n">
        <x:v>26.67650000000002</x:v>
      </x:c>
      <x:c r="E49" s="11" t="n">
        <x:v>10.453999999999999</x:v>
      </x:c>
      <x:c r="F49" s="11" t="n">
        <x:v>0</x:v>
      </x:c>
      <x:c r="G49" s="11" t="n">
        <x:v>16.02408333333333</x:v>
      </x:c>
      <x:c r="H49" s="11" t="n">
        <x:v>10.46</x:v>
      </x:c>
      <x:c r="I49" s="11" t="n">
        <x:v>10.453999999999999</x:v>
      </x:c>
      <x:c r="J49" s="11" t="n">
        <x:v>0</x:v>
      </x:c>
      <x:c r="K49" s="11" t="n">
        <x:v>13.31</x:v>
      </x:c>
      <x:c r="L49" s="11" t="n">
        <x:v>0</x:v>
      </x:c>
      <x:c r="M49" s="11" t="n">
        <x:v>13.31</x:v>
      </x:c>
      <x:c r="N49" s="11" t="n">
        <x:v>0</x:v>
      </x:c>
      <x:c r="O49" s="11" t="n">
        <x:v>0</x:v>
      </x:c>
      <x:c r="P49" s="11" t="n">
        <x:v>0</x:v>
      </x:c>
      <x:c r="Q49" s="11" t="n">
        <x:v>0</x:v>
      </x:c>
      <x:c r="R49" s="11" t="n">
        <x:v>29.358083333333322</x:v>
      </x:c>
      <x:c r="S49" s="11" t="n">
        <x:v>16.02408333333333</x:v>
      </x:c>
      <x:c r="T49" s="11" t="n">
        <x:v>13.31</x:v>
      </x:c>
      <x:c r="U49" s="11" t="n">
        <x:v>0</x:v>
      </x:c>
      <x:c r="V49" s="11" t="n">
        <x:v>0</x:v>
      </x:c>
      <x:c r="W49" s="11" t="n">
        <x:v>0</x:v>
      </x:c>
      <x:c r="X49" s="13" t="n">
        <x:f>(D49*'Tariff and method'!$B$4+'Tariff and method'!$B$5)*1.05</x:f>
        <x:v>6.701508345000004</x:v>
      </x:c>
      <x:c r="Y49" s="13" t="n">
        <x:f>SUMIF('Import by half hour'!$A$5:$A$7395,A49,'Import by half hour'!$J$5:$J$7395)</x:f>
        <x:v>3.5632724925000003</x:v>
      </x:c>
      <x:c r="Z49" s="13" t="n">
        <x:f>Y49+'Tariff and method'!$B$6*1.05</x:f>
        <x:v>4.121137492500001</x:v>
      </x:c>
      <x:c r="AA49" s="13" t="n">
        <x:f>X49-Z49</x:f>
        <x:v>2.5803708525000033</x:v>
      </x:c>
      <x:c r="AB49" s="13" t="n">
        <x:f>SUMIF('Import by half hour'!$A$5:$A$7395,A49,'Import by half hour'!$K$5:$K$7395)+'Tariff and method'!$B$6*1.05</x:f>
        <x:v>5.4921438775</x:v>
      </x:c>
      <x:c r="AC49" s="13" t="n">
        <x:f>AB49-Z49</x:f>
        <x:v>1.3710063849999994</x:v>
      </x:c>
      <x:c r="AD49" s="13" t="n">
        <x:f>X49-AB49</x:f>
        <x:v>1.209364467500004</x:v>
      </x:c>
      <x:c r="AE49" s="11" t="n">
        <x:f>M49-H49</x:f>
        <x:v>2.8499999999999996</x:v>
      </x:c>
      <x:c r="AF49" s="14" t="n">
        <x:f>IF(M49=0,"",H49/M49)</x:f>
        <x:v>0.7858752817430503</x:v>
      </x:c>
      <x:c r="AG49" s="11" t="n">
        <x:f>D49-E49-F49-G49</x:f>
        <x:v>0.198416666666688</x:v>
      </x:c>
      <x:c r="AH49" s="11" t="n">
        <x:f>R49-S49-T49</x:f>
        <x:v>0.023999999999992028</x:v>
      </x:c>
      <x:c r="AI49" s="13" t="n">
        <x:f>SUM($AA$5:AA49)</x:f>
        <x:v>68.22066168750004</x:v>
      </x:c>
    </x:row>
    <x:row r="50" ht="21" customHeight="1">
      <x:c r="A50" s="10" t="n">
        <x:v>46193</x:v>
      </x:c>
      <x:c r="B50" s="1" t="n">
        <x:v>288</x:v>
      </x:c>
      <x:c r="C50" s="1" t="n">
        <x:v>24</x:v>
      </x:c>
      <x:c r="D50" s="11" t="n">
        <x:v>22.73241666666666</x:v>
      </x:c>
      <x:c r="E50" s="11" t="n">
        <x:v>12.684999999999999</x:v>
      </x:c>
      <x:c r="F50" s="11" t="n">
        <x:v>0</x:v>
      </x:c>
      <x:c r="G50" s="11" t="n">
        <x:v>9.876583333333333</x:v>
      </x:c>
      <x:c r="H50" s="11" t="n">
        <x:v>12.691999999999998</x:v>
      </x:c>
      <x:c r="I50" s="11" t="n">
        <x:v>12.684999999999999</x:v>
      </x:c>
      <x:c r="J50" s="11" t="n">
        <x:v>0</x:v>
      </x:c>
      <x:c r="K50" s="11" t="n">
        <x:v>9.61</x:v>
      </x:c>
      <x:c r="L50" s="11" t="n">
        <x:v>0</x:v>
      </x:c>
      <x:c r="M50" s="11" t="n">
        <x:v>9.61</x:v>
      </x:c>
      <x:c r="N50" s="11" t="n">
        <x:v>0</x:v>
      </x:c>
      <x:c r="O50" s="11" t="n">
        <x:v>0</x:v>
      </x:c>
      <x:c r="P50" s="11" t="n">
        <x:v>0</x:v>
      </x:c>
      <x:c r="Q50" s="11" t="n">
        <x:v>0</x:v>
      </x:c>
      <x:c r="R50" s="11" t="n">
        <x:v>19.502583333333334</x:v>
      </x:c>
      <x:c r="S50" s="11" t="n">
        <x:v>9.876583333333333</x:v>
      </x:c>
      <x:c r="T50" s="11" t="n">
        <x:v>9.61</x:v>
      </x:c>
      <x:c r="U50" s="11" t="n">
        <x:v>0</x:v>
      </x:c>
      <x:c r="V50" s="11" t="n">
        <x:v>0</x:v>
      </x:c>
      <x:c r="W50" s="11" t="n">
        <x:v>0</x:v>
      </x:c>
      <x:c r="X50" s="13" t="n">
        <x:f>(D50*'Tariff and method'!$B$4+'Tariff and method'!$B$5)*1.05</x:f>
        <x:v>5.779657747499999</x:v>
      </x:c>
      <x:c r="Y50" s="13" t="n">
        <x:f>SUMIF('Import by half hour'!$A$5:$A$7395,A50,'Import by half hour'!$J$5:$J$7395)</x:f>
        <x:v>2.91853911125</x:v>
      </x:c>
      <x:c r="Z50" s="13" t="n">
        <x:f>Y50+'Tariff and method'!$B$6*1.05</x:f>
        <x:v>3.47640411125</x:v>
      </x:c>
      <x:c r="AA50" s="13" t="n">
        <x:f>X50-Z50</x:f>
        <x:v>2.303253636249999</x:v>
      </x:c>
      <x:c r="AB50" s="13" t="n">
        <x:f>SUMIF('Import by half hour'!$A$5:$A$7395,A50,'Import by half hour'!$K$5:$K$7395)+'Tariff and method'!$B$6*1.05</x:f>
        <x:v>5.4887553525</x:v>
      </x:c>
      <x:c r="AC50" s="13" t="n">
        <x:f>AB50-Z50</x:f>
        <x:v>2.01235124125</x:v>
      </x:c>
      <x:c r="AD50" s="13" t="n">
        <x:f>X50-AB50</x:f>
        <x:v>0.2909023949999989</x:v>
      </x:c>
      <x:c r="AE50" s="11" t="n">
        <x:f>M50-H50</x:f>
        <x:v>-3.081999999999999</x:v>
      </x:c>
      <x:c r="AF50" s="14" t="n">
        <x:f>IF(M50=0,"",H50/M50)</x:f>
        <x:v>1.320707596253902</x:v>
      </x:c>
      <x:c r="AG50" s="11" t="n">
        <x:f>D50-E50-F50-G50</x:f>
        <x:v>0.17083333333332718</x:v>
      </x:c>
      <x:c r="AH50" s="11" t="n">
        <x:f>R50-S50-T50</x:f>
        <x:v>0.01600000000000179</x:v>
      </x:c>
      <x:c r="AI50" s="13" t="n">
        <x:f>SUM($AA$5:AA50)</x:f>
        <x:v>70.52391532375005</x:v>
      </x:c>
    </x:row>
    <x:row r="51" ht="21" customHeight="1">
      <x:c r="A51" s="10" t="n">
        <x:v>46194</x:v>
      </x:c>
      <x:c r="B51" s="1" t="n">
        <x:v>288</x:v>
      </x:c>
      <x:c r="C51" s="1" t="n">
        <x:v>24</x:v>
      </x:c>
      <x:c r="D51" s="11" t="n">
        <x:v>21.81266666666666</x:v>
      </x:c>
      <x:c r="E51" s="11" t="n">
        <x:v>7.769083333333335</x:v>
      </x:c>
      <x:c r="F51" s="11" t="n">
        <x:v>0</x:v>
      </x:c>
      <x:c r="G51" s="11" t="n">
        <x:v>13.836416666666667</x:v>
      </x:c>
      <x:c r="H51" s="11" t="n">
        <x:v>7.773000000000003</x:v>
      </x:c>
      <x:c r="I51" s="11" t="n">
        <x:v>7.769083333333335</x:v>
      </x:c>
      <x:c r="J51" s="11" t="n">
        <x:v>0</x:v>
      </x:c>
      <x:c r="K51" s="11" t="n">
        <x:v>9.382000000000001</x:v>
      </x:c>
      <x:c r="L51" s="11" t="n">
        <x:v>0</x:v>
      </x:c>
      <x:c r="M51" s="11" t="n">
        <x:v>9.382000000000001</x:v>
      </x:c>
      <x:c r="N51" s="11" t="n">
        <x:v>0</x:v>
      </x:c>
      <x:c r="O51" s="11" t="n">
        <x:v>0</x:v>
      </x:c>
      <x:c r="P51" s="11" t="n">
        <x:v>0</x:v>
      </x:c>
      <x:c r="Q51" s="11" t="n">
        <x:v>0</x:v>
      </x:c>
      <x:c r="R51" s="11" t="n">
        <x:v>23.231416666666664</x:v>
      </x:c>
      <x:c r="S51" s="11" t="n">
        <x:v>13.836416666666667</x:v>
      </x:c>
      <x:c r="T51" s="11" t="n">
        <x:v>9.382000000000001</x:v>
      </x:c>
      <x:c r="U51" s="11" t="n">
        <x:v>0</x:v>
      </x:c>
      <x:c r="V51" s="11" t="n">
        <x:v>0</x:v>
      </x:c>
      <x:c r="W51" s="11" t="n">
        <x:v>0</x:v>
      </x:c>
      <x:c r="X51" s="13" t="n">
        <x:f>(D51*'Tariff and method'!$B$4+'Tariff and method'!$B$5)*1.05</x:f>
        <x:v>5.56468458</x:v>
      </x:c>
      <x:c r="Y51" s="13" t="n">
        <x:f>SUMIF('Import by half hour'!$A$5:$A$7395,A51,'Import by half hour'!$J$5:$J$7395)</x:f>
        <x:v>4.134609928750001</x:v>
      </x:c>
      <x:c r="Z51" s="13" t="n">
        <x:f>Y51+'Tariff and method'!$B$6*1.05</x:f>
        <x:v>4.69247492875</x:v>
      </x:c>
      <x:c r="AA51" s="13" t="n">
        <x:f>X51-Z51</x:f>
        <x:v>0.8722096512499995</x:v>
      </x:c>
      <x:c r="AB51" s="13" t="n">
        <x:f>SUMIF('Import by half hour'!$A$5:$A$7395,A51,'Import by half hour'!$K$5:$K$7395)+'Tariff and method'!$B$6*1.05</x:f>
        <x:v>5.1964108525000015</x:v>
      </x:c>
      <x:c r="AC51" s="13" t="n">
        <x:f>AB51-Z51</x:f>
        <x:v>0.5039359237500012</x:v>
      </x:c>
      <x:c r="AD51" s="13" t="n">
        <x:f>X51-AB51</x:f>
        <x:v>0.3682737274999983</x:v>
      </x:c>
      <x:c r="AE51" s="11" t="n">
        <x:f>M51-H51</x:f>
        <x:v>1.6089999999999982</x:v>
      </x:c>
      <x:c r="AF51" s="14" t="n">
        <x:f>IF(M51=0,"",H51/M51)</x:f>
        <x:v>0.8285013856320617</x:v>
      </x:c>
      <x:c r="AG51" s="11" t="n">
        <x:f>D51-E51-F51-G51</x:f>
        <x:v>0.2071666666666605</x:v>
      </x:c>
      <x:c r="AH51" s="11" t="n">
        <x:f>R51-S51-T51</x:f>
        <x:v>0.012999999999996348</x:v>
      </x:c>
      <x:c r="AI51" s="13" t="n">
        <x:f>SUM($AA$5:AA51)</x:f>
        <x:v>71.39612497500005</x:v>
      </x:c>
    </x:row>
    <x:row r="52" ht="21" customHeight="1">
      <x:c r="A52" s="10" t="n">
        <x:v>46195</x:v>
      </x:c>
      <x:c r="B52" s="1" t="n">
        <x:v>288</x:v>
      </x:c>
      <x:c r="C52" s="1" t="n">
        <x:v>24</x:v>
      </x:c>
      <x:c r="D52" s="11" t="n">
        <x:v>14.383916666666659</x:v>
      </x:c>
      <x:c r="E52" s="11" t="n">
        <x:v>5.929999999999997</x:v>
      </x:c>
      <x:c r="F52" s="11" t="n">
        <x:v>0</x:v>
      </x:c>
      <x:c r="G52" s="11" t="n">
        <x:v>8.267666666666672</x:v>
      </x:c>
      <x:c r="H52" s="11" t="n">
        <x:v>5.934999999999997</x:v>
      </x:c>
      <x:c r="I52" s="11" t="n">
        <x:v>5.929999999999997</x:v>
      </x:c>
      <x:c r="J52" s="11" t="n">
        <x:v>0</x:v>
      </x:c>
      <x:c r="K52" s="11" t="n">
        <x:v>8.230999999999998</x:v>
      </x:c>
      <x:c r="L52" s="11" t="n">
        <x:v>0</x:v>
      </x:c>
      <x:c r="M52" s="11" t="n">
        <x:v>8.230999999999998</x:v>
      </x:c>
      <x:c r="N52" s="11" t="n">
        <x:v>0</x:v>
      </x:c>
      <x:c r="O52" s="11" t="n">
        <x:v>0</x:v>
      </x:c>
      <x:c r="P52" s="11" t="n">
        <x:v>0</x:v>
      </x:c>
      <x:c r="Q52" s="11" t="n">
        <x:v>0</x:v>
      </x:c>
      <x:c r="R52" s="11" t="n">
        <x:v>16.50866666666667</x:v>
      </x:c>
      <x:c r="S52" s="11" t="n">
        <x:v>8.267666666666672</x:v>
      </x:c>
      <x:c r="T52" s="11" t="n">
        <x:v>8.230999999999998</x:v>
      </x:c>
      <x:c r="U52" s="11" t="n">
        <x:v>0</x:v>
      </x:c>
      <x:c r="V52" s="11" t="n">
        <x:v>0</x:v>
      </x:c>
      <x:c r="W52" s="11" t="n">
        <x:v>0</x:v>
      </x:c>
      <x:c r="X52" s="13" t="n">
        <x:f>(D52*'Tariff and method'!$B$4+'Tariff and method'!$B$5)*1.05</x:f>
        <x:v>3.828362842499998</x:v>
      </x:c>
      <x:c r="Y52" s="13" t="n">
        <x:f>SUMIF('Import by half hour'!$A$5:$A$7395,A52,'Import by half hour'!$J$5:$J$7395)</x:f>
        <x:v>2.70154338125</x:v>
      </x:c>
      <x:c r="Z52" s="13" t="n">
        <x:f>Y52+'Tariff and method'!$B$6*1.05</x:f>
        <x:v>3.25940838125</x:v>
      </x:c>
      <x:c r="AA52" s="13" t="n">
        <x:f>X52-Z52</x:f>
        <x:v>0.5689544612499979</x:v>
      </x:c>
      <x:c r="AB52" s="13" t="n">
        <x:f>SUMIF('Import by half hour'!$A$5:$A$7395,A52,'Import by half hour'!$K$5:$K$7395)+'Tariff and method'!$B$6*1.05</x:f>
        <x:v>3.889192055</x:v>
      </x:c>
      <x:c r="AC52" s="13" t="n">
        <x:f>AB52-Z52</x:f>
        <x:v>0.62978367375</x:v>
      </x:c>
      <x:c r="AD52" s="13" t="n">
        <x:f>X52-AB52</x:f>
        <x:v>-0.06082921250000206</x:v>
      </x:c>
      <x:c r="AE52" s="11" t="n">
        <x:f>M52-H52</x:f>
        <x:v>2.296000000000001</x:v>
      </x:c>
      <x:c r="AF52" s="14" t="n">
        <x:f>IF(M52=0,"",H52/M52)</x:f>
        <x:v>0.7210545498724332</x:v>
      </x:c>
      <x:c r="AG52" s="11" t="n">
        <x:f>D52-E52-F52-G52</x:f>
        <x:v>0.1862499999999887</x:v>
      </x:c>
      <x:c r="AH52" s="11" t="n">
        <x:f>R52-S52-T52</x:f>
        <x:v>0.009999999999999787</x:v>
      </x:c>
      <x:c r="AI52" s="13" t="n">
        <x:f>SUM($AA$5:AA52)</x:f>
        <x:v>71.96507943625005</x:v>
      </x:c>
    </x:row>
    <x:row r="53" ht="21" customHeight="1">
      <x:c r="A53" s="10" t="n">
        <x:v>46196</x:v>
      </x:c>
      <x:c r="B53" s="1" t="n">
        <x:v>288</x:v>
      </x:c>
      <x:c r="C53" s="1" t="n">
        <x:v>24</x:v>
      </x:c>
      <x:c r="D53" s="11" t="n">
        <x:v>12.271749999999994</x:v>
      </x:c>
      <x:c r="E53" s="11" t="n">
        <x:v>7.112083333333329</x:v>
      </x:c>
      <x:c r="F53" s="11" t="n">
        <x:v>0</x:v>
      </x:c>
      <x:c r="G53" s="11" t="n">
        <x:v>4.896166666666665</x:v>
      </x:c>
      <x:c r="H53" s="11" t="n">
        <x:v>7.117999999999998</x:v>
      </x:c>
      <x:c r="I53" s="11" t="n">
        <x:v>7.112083333333329</x:v>
      </x:c>
      <x:c r="J53" s="11" t="n">
        <x:v>0</x:v>
      </x:c>
      <x:c r="K53" s="11" t="n">
        <x:v>6.353</x:v>
      </x:c>
      <x:c r="L53" s="11" t="n">
        <x:v>0</x:v>
      </x:c>
      <x:c r="M53" s="11" t="n">
        <x:v>6.353</x:v>
      </x:c>
      <x:c r="N53" s="11" t="n">
        <x:v>0</x:v>
      </x:c>
      <x:c r="O53" s="11" t="n">
        <x:v>0</x:v>
      </x:c>
      <x:c r="P53" s="11" t="n">
        <x:v>0</x:v>
      </x:c>
      <x:c r="Q53" s="11" t="n">
        <x:v>0</x:v>
      </x:c>
      <x:c r="R53" s="11" t="n">
        <x:v>11.250166666666658</x:v>
      </x:c>
      <x:c r="S53" s="11" t="n">
        <x:v>4.896166666666665</x:v>
      </x:c>
      <x:c r="T53" s="11" t="n">
        <x:v>6.353</x:v>
      </x:c>
      <x:c r="U53" s="11" t="n">
        <x:v>0</x:v>
      </x:c>
      <x:c r="V53" s="11" t="n">
        <x:v>0</x:v>
      </x:c>
      <x:c r="W53" s="11" t="n">
        <x:v>0</x:v>
      </x:c>
      <x:c r="X53" s="13" t="n">
        <x:f>(D53*'Tariff and method'!$B$4+'Tariff and method'!$B$5)*1.05</x:f>
        <x:v>3.3346861274999986</x:v>
      </x:c>
      <x:c r="Y53" s="13" t="n">
        <x:f>SUMIF('Import by half hour'!$A$5:$A$7395,A53,'Import by half hour'!$J$5:$J$7395)</x:f>
        <x:v>1.8966988337500001</x:v>
      </x:c>
      <x:c r="Z53" s="13" t="n">
        <x:f>Y53+'Tariff and method'!$B$6*1.05</x:f>
        <x:v>2.45456383375</x:v>
      </x:c>
      <x:c r="AA53" s="13" t="n">
        <x:f>X53-Z53</x:f>
        <x:v>0.8801222937499986</x:v>
      </x:c>
      <x:c r="AB53" s="13" t="n">
        <x:f>SUMIF('Import by half hour'!$A$5:$A$7395,A53,'Import by half hour'!$K$5:$K$7395)+'Tariff and method'!$B$6*1.05</x:f>
        <x:v>4.07445751125</x:v>
      </x:c>
      <x:c r="AC53" s="13" t="n">
        <x:f>AB53-Z53</x:f>
        <x:v>1.6198936775000004</x:v>
      </x:c>
      <x:c r="AD53" s="13" t="n">
        <x:f>X53-AB53</x:f>
        <x:v>-0.7397713837500017</x:v>
      </x:c>
      <x:c r="AE53" s="11" t="n">
        <x:f>M53-H53</x:f>
        <x:v>-0.7649999999999979</x:v>
      </x:c>
      <x:c r="AF53" s="14" t="n">
        <x:f>IF(M53=0,"",H53/M53)</x:f>
        <x:v>1.1204155517078542</x:v>
      </x:c>
      <x:c r="AG53" s="11" t="n">
        <x:f>D53-E53-F53-G53</x:f>
        <x:v>0.2634999999999996</x:v>
      </x:c>
      <x:c r="AH53" s="11" t="n">
        <x:f>R53-S53-T53</x:f>
        <x:v>0.0009999999999932285</x:v>
      </x:c>
      <x:c r="AI53" s="13" t="n">
        <x:f>SUM($AA$5:AA53)</x:f>
        <x:v>72.84520173000004</x:v>
      </x:c>
    </x:row>
    <x:row r="54" ht="21" customHeight="1">
      <x:c r="A54" s="10" t="n">
        <x:v>46197</x:v>
      </x:c>
      <x:c r="B54" s="1" t="n">
        <x:v>288</x:v>
      </x:c>
      <x:c r="C54" s="1" t="n">
        <x:v>24</x:v>
      </x:c>
      <x:c r="D54" s="11" t="n">
        <x:v>12.628416666666658</x:v>
      </x:c>
      <x:c r="E54" s="11" t="n">
        <x:v>6.976166666666669</x:v>
      </x:c>
      <x:c r="F54" s="11" t="n">
        <x:v>0</x:v>
      </x:c>
      <x:c r="G54" s="11" t="n">
        <x:v>5.428666666666666</x:v>
      </x:c>
      <x:c r="H54" s="11" t="n">
        <x:v>6.983</x:v>
      </x:c>
      <x:c r="I54" s="11" t="n">
        <x:v>6.976166666666669</x:v>
      </x:c>
      <x:c r="J54" s="11" t="n">
        <x:v>0</x:v>
      </x:c>
      <x:c r="K54" s="11" t="n">
        <x:v>6.6000000000000005</x:v>
      </x:c>
      <x:c r="L54" s="11" t="n">
        <x:v>0</x:v>
      </x:c>
      <x:c r="M54" s="11" t="n">
        <x:v>6.6000000000000005</x:v>
      </x:c>
      <x:c r="N54" s="11" t="n">
        <x:v>0</x:v>
      </x:c>
      <x:c r="O54" s="11" t="n">
        <x:v>0</x:v>
      </x:c>
      <x:c r="P54" s="11" t="n">
        <x:v>0</x:v>
      </x:c>
      <x:c r="Q54" s="11" t="n">
        <x:v>0</x:v>
      </x:c>
      <x:c r="R54" s="11" t="n">
        <x:v>12.034666666666666</x:v>
      </x:c>
      <x:c r="S54" s="11" t="n">
        <x:v>5.428666666666666</x:v>
      </x:c>
      <x:c r="T54" s="11" t="n">
        <x:v>6.6000000000000005</x:v>
      </x:c>
      <x:c r="U54" s="11" t="n">
        <x:v>0</x:v>
      </x:c>
      <x:c r="V54" s="11" t="n">
        <x:v>0</x:v>
      </x:c>
      <x:c r="W54" s="11" t="n">
        <x:v>0</x:v>
      </x:c>
      <x:c r="X54" s="13" t="n">
        <x:f>(D54*'Tariff and method'!$B$4+'Tariff and method'!$B$5)*1.05</x:f>
        <x:v>3.4180498274999978</x:v>
      </x:c>
      <x:c r="Y54" s="13" t="n">
        <x:f>SUMIF('Import by half hour'!$A$5:$A$7395,A54,'Import by half hour'!$J$5:$J$7395)</x:f>
        <x:v>2.0015241487499997</x:v>
      </x:c>
      <x:c r="Z54" s="13" t="n">
        <x:f>Y54+'Tariff and method'!$B$6*1.05</x:f>
        <x:v>2.55938914875</x:v>
      </x:c>
      <x:c r="AA54" s="13" t="n">
        <x:f>X54-Z54</x:f>
        <x:v>0.858660678749998</x:v>
      </x:c>
      <x:c r="AB54" s="13" t="n">
        <x:f>SUMIF('Import by half hour'!$A$5:$A$7395,A54,'Import by half hour'!$K$5:$K$7395)+'Tariff and method'!$B$6*1.05</x:f>
        <x:v>4.951907966250001</x:v>
      </x:c>
      <x:c r="AC54" s="13" t="n">
        <x:f>AB54-Z54</x:f>
        <x:v>2.3925188175000014</x:v>
      </x:c>
      <x:c r="AD54" s="13" t="n">
        <x:f>X54-AB54</x:f>
        <x:v>-1.5338581387500034</x:v>
      </x:c>
      <x:c r="AE54" s="11" t="n">
        <x:f>M54-H54</x:f>
        <x:v>-0.3829999999999991</x:v>
      </x:c>
      <x:c r="AF54" s="14" t="n">
        <x:f>IF(M54=0,"",H54/M54)</x:f>
        <x:v>1.0580303030303029</x:v>
      </x:c>
      <x:c r="AG54" s="11" t="n">
        <x:f>D54-E54-F54-G54</x:f>
        <x:v>0.22358333333332325</x:v>
      </x:c>
      <x:c r="AH54" s="11" t="n">
        <x:f>R54-S54-T54</x:f>
        <x:v>0.006000000000000227</x:v>
      </x:c>
      <x:c r="AI54" s="13" t="n">
        <x:f>SUM($AA$5:AA54)</x:f>
        <x:v>73.70386240875004</x:v>
      </x:c>
    </x:row>
    <x:row r="55" ht="21" customHeight="1">
      <x:c r="A55" s="10" t="n">
        <x:v>46198</x:v>
      </x:c>
      <x:c r="B55" s="1" t="n">
        <x:v>288</x:v>
      </x:c>
      <x:c r="C55" s="1" t="n">
        <x:v>24</x:v>
      </x:c>
      <x:c r="D55" s="11" t="n">
        <x:v>12.623750000000005</x:v>
      </x:c>
      <x:c r="E55" s="11" t="n">
        <x:v>5.3369166666666645</x:v>
      </x:c>
      <x:c r="F55" s="11" t="n">
        <x:v>0</x:v>
      </x:c>
      <x:c r="G55" s="11" t="n">
        <x:v>7.1090833333333325</x:v>
      </x:c>
      <x:c r="H55" s="11" t="n">
        <x:v>5.340999999999999</x:v>
      </x:c>
      <x:c r="I55" s="11" t="n">
        <x:v>5.3369166666666645</x:v>
      </x:c>
      <x:c r="J55" s="11" t="n">
        <x:v>0</x:v>
      </x:c>
      <x:c r="K55" s="11" t="n">
        <x:v>6.24</x:v>
      </x:c>
      <x:c r="L55" s="11" t="n">
        <x:v>0</x:v>
      </x:c>
      <x:c r="M55" s="11" t="n">
        <x:v>6.24</x:v>
      </x:c>
      <x:c r="N55" s="11" t="n">
        <x:v>0</x:v>
      </x:c>
      <x:c r="O55" s="11" t="n">
        <x:v>0</x:v>
      </x:c>
      <x:c r="P55" s="11" t="n">
        <x:v>0</x:v>
      </x:c>
      <x:c r="Q55" s="11" t="n">
        <x:v>0</x:v>
      </x:c>
      <x:c r="R55" s="11" t="n">
        <x:v>13.374083333333335</x:v>
      </x:c>
      <x:c r="S55" s="11" t="n">
        <x:v>7.1090833333333325</x:v>
      </x:c>
      <x:c r="T55" s="11" t="n">
        <x:v>6.24</x:v>
      </x:c>
      <x:c r="U55" s="11" t="n">
        <x:v>0</x:v>
      </x:c>
      <x:c r="V55" s="11" t="n">
        <x:v>0</x:v>
      </x:c>
      <x:c r="W55" s="11" t="n">
        <x:v>0</x:v>
      </x:c>
      <x:c r="X55" s="13" t="n">
        <x:f>(D55*'Tariff and method'!$B$4+'Tariff and method'!$B$5)*1.05</x:f>
        <x:v>3.4169590875000013</x:v>
      </x:c>
      <x:c r="Y55" s="13" t="n">
        <x:f>SUMIF('Import by half hour'!$A$5:$A$7395,A55,'Import by half hour'!$J$5:$J$7395)</x:f>
        <x:v>2.18260676375</x:v>
      </x:c>
      <x:c r="Z55" s="13" t="n">
        <x:f>Y55+'Tariff and method'!$B$6*1.05</x:f>
        <x:v>2.74047176375</x:v>
      </x:c>
      <x:c r="AA55" s="13" t="n">
        <x:f>X55-Z55</x:f>
        <x:v>0.6764873237500013</x:v>
      </x:c>
      <x:c r="AB55" s="13" t="n">
        <x:f>SUMIF('Import by half hour'!$A$5:$A$7395,A55,'Import by half hour'!$K$5:$K$7395)+'Tariff and method'!$B$6*1.05</x:f>
        <x:v>3.4237964775000007</x:v>
      </x:c>
      <x:c r="AC55" s="13" t="n">
        <x:f>AB55-Z55</x:f>
        <x:v>0.6833247137500007</x:v>
      </x:c>
      <x:c r="AD55" s="13" t="n">
        <x:f>X55-AB55</x:f>
        <x:v>-0.006837389999999388</x:v>
      </x:c>
      <x:c r="AE55" s="11" t="n">
        <x:f>M55-H55</x:f>
        <x:v>0.8990000000000009</x:v>
      </x:c>
      <x:c r="AF55" s="14" t="n">
        <x:f>IF(M55=0,"",H55/M55)</x:f>
        <x:v>0.855929487179487</x:v>
      </x:c>
      <x:c r="AG55" s="11" t="n">
        <x:f>D55-E55-F55-G55</x:f>
        <x:v>0.17775000000000762</x:v>
      </x:c>
      <x:c r="AH55" s="11" t="n">
        <x:f>R55-S55-T55</x:f>
        <x:v>0.02500000000000213</x:v>
      </x:c>
      <x:c r="AI55" s="13" t="n">
        <x:f>SUM($AA$5:AA55)</x:f>
        <x:v>74.38034973250004</x:v>
      </x:c>
    </x:row>
    <x:row r="56" ht="21" customHeight="1">
      <x:c r="A56" s="10" t="n">
        <x:v>46199</x:v>
      </x:c>
      <x:c r="B56" s="1" t="n">
        <x:v>288</x:v>
      </x:c>
      <x:c r="C56" s="1" t="n">
        <x:v>24</x:v>
      </x:c>
      <x:c r="D56" s="11" t="n">
        <x:v>12.338</x:v>
      </x:c>
      <x:c r="E56" s="11" t="n">
        <x:v>6.253499999999997</x:v>
      </x:c>
      <x:c r="F56" s="11" t="n">
        <x:v>0</x:v>
      </x:c>
      <x:c r="G56" s="11" t="n">
        <x:v>5.821999999999997</x:v>
      </x:c>
      <x:c r="H56" s="11" t="n">
        <x:v>6.259999999999995</x:v>
      </x:c>
      <x:c r="I56" s="11" t="n">
        <x:v>6.253499999999997</x:v>
      </x:c>
      <x:c r="J56" s="11" t="n">
        <x:v>0</x:v>
      </x:c>
      <x:c r="K56" s="11" t="n">
        <x:v>5.320000000000001</x:v>
      </x:c>
      <x:c r="L56" s="11" t="n">
        <x:v>0</x:v>
      </x:c>
      <x:c r="M56" s="11" t="n">
        <x:v>5.320000000000001</x:v>
      </x:c>
      <x:c r="N56" s="11" t="n">
        <x:v>0</x:v>
      </x:c>
      <x:c r="O56" s="11" t="n">
        <x:v>0</x:v>
      </x:c>
      <x:c r="P56" s="11" t="n">
        <x:v>0</x:v>
      </x:c>
      <x:c r="Q56" s="11" t="n">
        <x:v>0</x:v>
      </x:c>
      <x:c r="R56" s="11" t="n">
        <x:v>11.144999999999992</x:v>
      </x:c>
      <x:c r="S56" s="11" t="n">
        <x:v>5.821999999999997</x:v>
      </x:c>
      <x:c r="T56" s="11" t="n">
        <x:v>5.320000000000001</x:v>
      </x:c>
      <x:c r="U56" s="11" t="n">
        <x:v>0</x:v>
      </x:c>
      <x:c r="V56" s="11" t="n">
        <x:v>0</x:v>
      </x:c>
      <x:c r="W56" s="11" t="n">
        <x:v>0</x:v>
      </x:c>
      <x:c r="X56" s="13" t="n">
        <x:f>(D56*'Tariff and method'!$B$4+'Tariff and method'!$B$5)*1.05</x:f>
        <x:v>3.3501707399999994</x:v>
      </x:c>
      <x:c r="Y56" s="13" t="n">
        <x:f>SUMIF('Import by half hour'!$A$5:$A$7395,A56,'Import by half hour'!$J$5:$J$7395)</x:f>
        <x:v>1.72867030875</x:v>
      </x:c>
      <x:c r="Z56" s="13" t="n">
        <x:f>Y56+'Tariff and method'!$B$6*1.05</x:f>
        <x:v>2.28653530875</x:v>
      </x:c>
      <x:c r="AA56" s="13" t="n">
        <x:f>X56-Z56</x:f>
        <x:v>1.0636354312499994</x:v>
      </x:c>
      <x:c r="AB56" s="13" t="n">
        <x:f>SUMIF('Import by half hour'!$A$5:$A$7395,A56,'Import by half hour'!$K$5:$K$7395)+'Tariff and method'!$B$6*1.05</x:f>
        <x:v>3.6628786425000004</x:v>
      </x:c>
      <x:c r="AC56" s="13" t="n">
        <x:f>AB56-Z56</x:f>
        <x:v>1.3763433337500004</x:v>
      </x:c>
      <x:c r="AD56" s="13" t="n">
        <x:f>X56-AB56</x:f>
        <x:v>-0.312707902500001</x:v>
      </x:c>
      <x:c r="AE56" s="11" t="n">
        <x:f>M56-H56</x:f>
        <x:v>-0.9399999999999942</x:v>
      </x:c>
      <x:c r="AF56" s="14" t="n">
        <x:f>IF(M56=0,"",H56/M56)</x:f>
        <x:v>1.1766917293233072</x:v>
      </x:c>
      <x:c r="AG56" s="11" t="n">
        <x:f>D56-E56-F56-G56</x:f>
        <x:v>0.2625000000000046</x:v>
      </x:c>
      <x:c r="AH56" s="11" t="n">
        <x:f>R56-S56-T56</x:f>
        <x:v>0.0029999999999938964</x:v>
      </x:c>
      <x:c r="AI56" s="13" t="n">
        <x:f>SUM($AA$5:AA56)</x:f>
        <x:v>75.44398516375004</x:v>
      </x:c>
    </x:row>
    <x:row r="57" ht="21" customHeight="1">
      <x:c r="A57" s="10" t="n">
        <x:v>46200</x:v>
      </x:c>
      <x:c r="B57" s="1" t="n">
        <x:v>288</x:v>
      </x:c>
      <x:c r="C57" s="1" t="n">
        <x:v>24</x:v>
      </x:c>
      <x:c r="D57" s="11" t="n">
        <x:v>14.894333333333334</x:v>
      </x:c>
      <x:c r="E57" s="11" t="n">
        <x:v>6.0785</x:v>
      </x:c>
      <x:c r="F57" s="11" t="n">
        <x:v>0</x:v>
      </x:c>
      <x:c r="G57" s="11" t="n">
        <x:v>8.766833333333333</x:v>
      </x:c>
      <x:c r="H57" s="11" t="n">
        <x:v>6.084999999999998</x:v>
      </x:c>
      <x:c r="I57" s="11" t="n">
        <x:v>6.0785</x:v>
      </x:c>
      <x:c r="J57" s="11" t="n">
        <x:v>0</x:v>
      </x:c>
      <x:c r="K57" s="11" t="n">
        <x:v>30.897000000000006</x:v>
      </x:c>
      <x:c r="L57" s="11" t="n">
        <x:v>0</x:v>
      </x:c>
      <x:c r="M57" s="11" t="n">
        <x:v>30.897000000000006</x:v>
      </x:c>
      <x:c r="N57" s="11" t="n">
        <x:v>0</x:v>
      </x:c>
      <x:c r="O57" s="11" t="n">
        <x:v>0</x:v>
      </x:c>
      <x:c r="P57" s="11" t="n">
        <x:v>0</x:v>
      </x:c>
      <x:c r="Q57" s="11" t="n">
        <x:v>0</x:v>
      </x:c>
      <x:c r="R57" s="11" t="n">
        <x:v>39.67683333333334</x:v>
      </x:c>
      <x:c r="S57" s="11" t="n">
        <x:v>8.766833333333333</x:v>
      </x:c>
      <x:c r="T57" s="11" t="n">
        <x:v>30.897000000000006</x:v>
      </x:c>
      <x:c r="U57" s="11" t="n">
        <x:v>0</x:v>
      </x:c>
      <x:c r="V57" s="11" t="n">
        <x:v>0</x:v>
      </x:c>
      <x:c r="W57" s="11" t="n">
        <x:v>0</x:v>
      </x:c>
      <x:c r="X57" s="13" t="n">
        <x:f>(D57*'Tariff and method'!$B$4+'Tariff and method'!$B$5)*1.05</x:f>
        <x:v>3.94766253</x:v>
      </x:c>
      <x:c r="Y57" s="13" t="n">
        <x:f>SUMIF('Import by half hour'!$A$5:$A$7395,A57,'Import by half hour'!$J$5:$J$7395)</x:f>
        <x:v>0.5961410875</x:v>
      </x:c>
      <x:c r="Z57" s="13" t="n">
        <x:f>Y57+'Tariff and method'!$B$6*1.05</x:f>
        <x:v>1.1540060875</x:v>
      </x:c>
      <x:c r="AA57" s="13" t="n">
        <x:f>X57-Z57</x:f>
        <x:v>2.7936564425</x:v>
      </x:c>
      <x:c r="AB57" s="13" t="n">
        <x:f>SUMIF('Import by half hour'!$A$5:$A$7395,A57,'Import by half hour'!$K$5:$K$7395)+'Tariff and method'!$B$6*1.05</x:f>
        <x:v>2.6957006475000003</x:v>
      </x:c>
      <x:c r="AC57" s="13" t="n">
        <x:f>AB57-Z57</x:f>
        <x:v>1.5416945600000003</x:v>
      </x:c>
      <x:c r="AD57" s="13" t="n">
        <x:f>X57-AB57</x:f>
        <x:v>1.2519618824999998</x:v>
      </x:c>
      <x:c r="AE57" s="11" t="n">
        <x:f>M57-H57</x:f>
        <x:v>24.81200000000001</x:v>
      </x:c>
      <x:c r="AF57" s="14" t="n">
        <x:f>IF(M57=0,"",H57/M57)</x:f>
        <x:v>0.19694468718645813</x:v>
      </x:c>
      <x:c r="AG57" s="11" t="n">
        <x:f>D57-E57-F57-G57</x:f>
        <x:v>0.049000000000001265</x:v>
      </x:c>
      <x:c r="AH57" s="11" t="n">
        <x:f>R57-S57-T57</x:f>
        <x:v>0.01300000000000523</x:v>
      </x:c>
      <x:c r="AI57" s="13" t="n">
        <x:f>SUM($AA$5:AA57)</x:f>
        <x:v>78.23764160625004</x:v>
      </x:c>
    </x:row>
    <x:row r="58" ht="21" customHeight="1">
      <x:c r="A58" s="10" t="n">
        <x:v>46201</x:v>
      </x:c>
      <x:c r="B58" s="1" t="n">
        <x:v>288</x:v>
      </x:c>
      <x:c r="C58" s="1" t="n">
        <x:v>24</x:v>
      </x:c>
      <x:c r="D58" s="11" t="n">
        <x:v>17.408333333333328</x:v>
      </x:c>
      <x:c r="E58" s="11" t="n">
        <x:v>15.356833333333336</x:v>
      </x:c>
      <x:c r="F58" s="11" t="n">
        <x:v>0</x:v>
      </x:c>
      <x:c r="G58" s="11" t="n">
        <x:v>2.0175</x:v>
      </x:c>
      <x:c r="H58" s="11" t="n">
        <x:v>15.37</x:v>
      </x:c>
      <x:c r="I58" s="11" t="n">
        <x:v>15.356833333333336</x:v>
      </x:c>
      <x:c r="J58" s="11" t="n">
        <x:v>0</x:v>
      </x:c>
      <x:c r="K58" s="11" t="n">
        <x:v>12.697</x:v>
      </x:c>
      <x:c r="L58" s="11" t="n">
        <x:v>0</x:v>
      </x:c>
      <x:c r="M58" s="11" t="n">
        <x:v>12.697</x:v>
      </x:c>
      <x:c r="N58" s="11" t="n">
        <x:v>0</x:v>
      </x:c>
      <x:c r="O58" s="11" t="n">
        <x:v>0</x:v>
      </x:c>
      <x:c r="P58" s="11" t="n">
        <x:v>0</x:v>
      </x:c>
      <x:c r="Q58" s="11" t="n">
        <x:v>0</x:v>
      </x:c>
      <x:c r="R58" s="11" t="n">
        <x:v>14.722499999999997</x:v>
      </x:c>
      <x:c r="S58" s="11" t="n">
        <x:v>2.0175</x:v>
      </x:c>
      <x:c r="T58" s="11" t="n">
        <x:v>12.697</x:v>
      </x:c>
      <x:c r="U58" s="11" t="n">
        <x:v>0</x:v>
      </x:c>
      <x:c r="V58" s="11" t="n">
        <x:v>0</x:v>
      </x:c>
      <x:c r="W58" s="11" t="n">
        <x:v>0</x:v>
      </x:c>
      <x:c r="X58" s="13" t="n">
        <x:f>(D58*'Tariff and method'!$B$4+'Tariff and method'!$B$5)*1.05</x:f>
        <x:v>4.535259749999999</x:v>
      </x:c>
      <x:c r="Y58" s="13" t="n">
        <x:f>SUMIF('Import by half hour'!$A$5:$A$7395,A58,'Import by half hour'!$J$5:$J$7395)</x:f>
        <x:v>-0.59182437125</x:v>
      </x:c>
      <x:c r="Z58" s="13" t="n">
        <x:f>Y58+'Tariff and method'!$B$6*1.05</x:f>
        <x:v>-0.033959371249999926</x:v>
      </x:c>
      <x:c r="AA58" s="13" t="n">
        <x:f>X58-Z58</x:f>
        <x:v>4.569219121249999</x:v>
      </x:c>
      <x:c r="AB58" s="13" t="n">
        <x:f>SUMIF('Import by half hour'!$A$5:$A$7395,A58,'Import by half hour'!$K$5:$K$7395)+'Tariff and method'!$B$6*1.05</x:f>
        <x:v>3.19340783125</x:v>
      </x:c>
      <x:c r="AC58" s="13" t="n">
        <x:f>AB58-Z58</x:f>
        <x:v>3.2273672025</x:v>
      </x:c>
      <x:c r="AD58" s="13" t="n">
        <x:f>X58-AB58</x:f>
        <x:v>1.3418519187499989</x:v>
      </x:c>
      <x:c r="AE58" s="11" t="n">
        <x:f>M58-H58</x:f>
        <x:v>-2.673</x:v>
      </x:c>
      <x:c r="AF58" s="14" t="n">
        <x:f>IF(M58=0,"",H58/M58)</x:f>
        <x:v>1.2105221705914784</x:v>
      </x:c>
      <x:c r="AG58" s="11" t="n">
        <x:f>D58-E58-F58-G58</x:f>
        <x:v>0.033999999999991815</x:v>
      </x:c>
      <x:c r="AH58" s="11" t="n">
        <x:f>R58-S58-T58</x:f>
        <x:v>0.007999999999997343</x:v>
      </x:c>
      <x:c r="AI58" s="13" t="n">
        <x:f>SUM($AA$5:AA58)</x:f>
        <x:v>82.80686072750004</x:v>
      </x:c>
    </x:row>
    <x:row r="59" ht="21" customHeight="1">
      <x:c r="A59" s="10" t="n">
        <x:v>46202</x:v>
      </x:c>
      <x:c r="B59" s="1" t="n">
        <x:v>288</x:v>
      </x:c>
      <x:c r="C59" s="1" t="n">
        <x:v>24</x:v>
      </x:c>
      <x:c r="D59" s="11" t="n">
        <x:v>25.974249999999998</x:v>
      </x:c>
      <x:c r="E59" s="11" t="n">
        <x:v>16.707250000000002</x:v>
      </x:c>
      <x:c r="F59" s="11" t="n">
        <x:v>0</x:v>
      </x:c>
      <x:c r="G59" s="11" t="n">
        <x:v>9.034000000000002</x:v>
      </x:c>
      <x:c r="H59" s="11" t="n">
        <x:v>16.718000000000004</x:v>
      </x:c>
      <x:c r="I59" s="11" t="n">
        <x:v>16.707250000000002</x:v>
      </x:c>
      <x:c r="J59" s="11" t="n">
        <x:v>0</x:v>
      </x:c>
      <x:c r="K59" s="11" t="n">
        <x:v>0</x:v>
      </x:c>
      <x:c r="L59" s="11" t="n">
        <x:v>0</x:v>
      </x:c>
      <x:c r="M59" s="11" t="n">
        <x:v>0</x:v>
      </x:c>
      <x:c r="N59" s="11" t="n">
        <x:v>0</x:v>
      </x:c>
      <x:c r="O59" s="11" t="n">
        <x:v>0</x:v>
      </x:c>
      <x:c r="P59" s="11" t="n">
        <x:v>0</x:v>
      </x:c>
      <x:c r="Q59" s="11" t="n">
        <x:v>0</x:v>
      </x:c>
      <x:c r="R59" s="11" t="n">
        <x:v>9.034000000000002</x:v>
      </x:c>
      <x:c r="S59" s="11" t="n">
        <x:v>9.034000000000002</x:v>
      </x:c>
      <x:c r="T59" s="11" t="n">
        <x:v>0</x:v>
      </x:c>
      <x:c r="U59" s="11" t="n">
        <x:v>0</x:v>
      </x:c>
      <x:c r="V59" s="11" t="n">
        <x:v>0</x:v>
      </x:c>
      <x:c r="W59" s="11" t="n">
        <x:v>0</x:v>
      </x:c>
      <x:c r="X59" s="13" t="n">
        <x:f>(D59*'Tariff and method'!$B$4+'Tariff and method'!$B$5)*1.05</x:f>
        <x:v>6.5373714524999995</x:v>
      </x:c>
      <x:c r="Y59" s="13" t="n">
        <x:f>SUMIF('Import by half hour'!$A$5:$A$7395,A59,'Import by half hour'!$J$5:$J$7395)</x:f>
        <x:v>1.53926464125</x:v>
      </x:c>
      <x:c r="Z59" s="13" t="n">
        <x:f>Y59+'Tariff and method'!$B$6*1.05</x:f>
        <x:v>2.09712964125</x:v>
      </x:c>
      <x:c r="AA59" s="13" t="n">
        <x:f>X59-Z59</x:f>
        <x:v>4.440241811249999</x:v>
      </x:c>
      <x:c r="AB59" s="13" t="n">
        <x:f>SUMIF('Import by half hour'!$A$5:$A$7395,A59,'Import by half hour'!$K$5:$K$7395)+'Tariff and method'!$B$6*1.05</x:f>
        <x:v>6.5324688625</x:v>
      </x:c>
      <x:c r="AC59" s="13" t="n">
        <x:f>AB59-Z59</x:f>
        <x:v>4.4353392212500005</x:v>
      </x:c>
      <x:c r="AD59" s="13" t="n">
        <x:f>X59-AB59</x:f>
        <x:v>0.004902589999999485</x:v>
      </x:c>
      <x:c r="AE59" s="11" t="n">
        <x:f>M59-H59</x:f>
        <x:v>-16.718000000000004</x:v>
      </x:c>
      <x:c r="AF59" s="14" t="str">
        <x:f>IF(M59=0,"",H59/M59)</x:f>
      </x:c>
      <x:c r="AG59" s="11" t="n">
        <x:f>D59-E59-F59-G59</x:f>
        <x:v>0.23299999999999343</x:v>
      </x:c>
      <x:c r="AH59" s="11" t="n">
        <x:f>R59-S59-T59</x:f>
        <x:v>0</x:v>
      </x:c>
      <x:c r="AI59" s="13" t="n">
        <x:f>SUM($AA$5:AA59)</x:f>
        <x:v>87.24710253875004</x:v>
      </x:c>
    </x:row>
    <x:row r="60" ht="21" customHeight="1">
      <x:c r="A60" s="10" t="n">
        <x:v>46203</x:v>
      </x:c>
      <x:c r="B60" s="1" t="n">
        <x:v>288</x:v>
      </x:c>
      <x:c r="C60" s="1" t="n">
        <x:v>24</x:v>
      </x:c>
      <x:c r="D60" s="11" t="n">
        <x:v>23.571583333333333</x:v>
      </x:c>
      <x:c r="E60" s="11" t="n">
        <x:v>12.027333333333335</x:v>
      </x:c>
      <x:c r="F60" s="11" t="n">
        <x:v>0</x:v>
      </x:c>
      <x:c r="G60" s="11" t="n">
        <x:v>11.230000000000002</x:v>
      </x:c>
      <x:c r="H60" s="11" t="n">
        <x:v>12.034000000000002</x:v>
      </x:c>
      <x:c r="I60" s="11" t="n">
        <x:v>12.027333333333335</x:v>
      </x:c>
      <x:c r="J60" s="11" t="n">
        <x:v>0</x:v>
      </x:c>
      <x:c r="K60" s="11" t="n">
        <x:v>9.299000000000001</x:v>
      </x:c>
      <x:c r="L60" s="11" t="n">
        <x:v>0</x:v>
      </x:c>
      <x:c r="M60" s="11" t="n">
        <x:v>9.299000000000001</x:v>
      </x:c>
      <x:c r="N60" s="11" t="n">
        <x:v>0</x:v>
      </x:c>
      <x:c r="O60" s="11" t="n">
        <x:v>0</x:v>
      </x:c>
      <x:c r="P60" s="11" t="n">
        <x:v>0</x:v>
      </x:c>
      <x:c r="Q60" s="11" t="n">
        <x:v>0</x:v>
      </x:c>
      <x:c r="R60" s="11" t="n">
        <x:v>20.53499999999999</x:v>
      </x:c>
      <x:c r="S60" s="11" t="n">
        <x:v>11.230000000000002</x:v>
      </x:c>
      <x:c r="T60" s="11" t="n">
        <x:v>9.299000000000001</x:v>
      </x:c>
      <x:c r="U60" s="11" t="n">
        <x:v>0</x:v>
      </x:c>
      <x:c r="V60" s="11" t="n">
        <x:v>0</x:v>
      </x:c>
      <x:c r="W60" s="11" t="n">
        <x:v>0</x:v>
      </x:c>
      <x:c r="X60" s="13" t="n">
        <x:f>(D60*'Tariff and method'!$B$4+'Tariff and method'!$B$5)*1.05</x:f>
        <x:v>5.975796172500001</x:v>
      </x:c>
      <x:c r="Y60" s="13" t="n">
        <x:f>SUMIF('Import by half hour'!$A$5:$A$7395,A60,'Import by half hour'!$J$5:$J$7395)</x:f>
        <x:v>3.329535685</x:v>
      </x:c>
      <x:c r="Z60" s="13" t="n">
        <x:f>Y60+'Tariff and method'!$B$6*1.05</x:f>
        <x:v>3.8874006850000002</x:v>
      </x:c>
      <x:c r="AA60" s="13" t="n">
        <x:f>X60-Z60</x:f>
        <x:v>2.0883954875000006</x:v>
      </x:c>
      <x:c r="AB60" s="13" t="n">
        <x:f>SUMIF('Import by half hour'!$A$5:$A$7395,A60,'Import by half hour'!$K$5:$K$7395)+'Tariff and method'!$B$6*1.05</x:f>
        <x:v>6.52992752125</x:v>
      </x:c>
      <x:c r="AC60" s="13" t="n">
        <x:f>AB60-Z60</x:f>
        <x:v>2.64252683625</x:v>
      </x:c>
      <x:c r="AD60" s="13" t="n">
        <x:f>X60-AB60</x:f>
        <x:v>-0.5541313487499995</x:v>
      </x:c>
      <x:c r="AE60" s="11" t="n">
        <x:f>M60-H60</x:f>
        <x:v>-2.735000000000001</x:v>
      </x:c>
      <x:c r="AF60" s="14" t="n">
        <x:f>IF(M60=0,"",H60/M60)</x:f>
        <x:v>1.2941176470588236</x:v>
      </x:c>
      <x:c r="AG60" s="11" t="n">
        <x:f>D60-E60-F60-G60</x:f>
        <x:v>0.3142499999999959</x:v>
      </x:c>
      <x:c r="AH60" s="11" t="n">
        <x:f>R60-S60-T60</x:f>
        <x:v>0.0059999999999860165</x:v>
      </x:c>
      <x:c r="AI60" s="13" t="n">
        <x:f>SUM($AA$5:AA60)</x:f>
        <x:v>89.33549802625004</x:v>
      </x:c>
    </x:row>
    <x:row r="61" ht="21" customHeight="1">
      <x:c r="A61" s="10" t="n">
        <x:v>46204</x:v>
      </x:c>
      <x:c r="B61" s="1" t="n">
        <x:v>288</x:v>
      </x:c>
      <x:c r="C61" s="1" t="n">
        <x:v>24</x:v>
      </x:c>
      <x:c r="D61" s="11" t="n">
        <x:v>28.482916666666654</x:v>
      </x:c>
      <x:c r="E61" s="11" t="n">
        <x:v>11.490666666666673</x:v>
      </x:c>
      <x:c r="F61" s="11" t="n">
        <x:v>0</x:v>
      </x:c>
      <x:c r="G61" s="11" t="n">
        <x:v>16.72941666666667</x:v>
      </x:c>
      <x:c r="H61" s="11" t="n">
        <x:v>11.497000000000009</x:v>
      </x:c>
      <x:c r="I61" s="11" t="n">
        <x:v>11.490666666666673</x:v>
      </x:c>
      <x:c r="J61" s="11" t="n">
        <x:v>0</x:v>
      </x:c>
      <x:c r="K61" s="11" t="n">
        <x:v>11.919</x:v>
      </x:c>
      <x:c r="L61" s="11" t="n">
        <x:v>0</x:v>
      </x:c>
      <x:c r="M61" s="11" t="n">
        <x:v>11.919</x:v>
      </x:c>
      <x:c r="N61" s="11" t="n">
        <x:v>0</x:v>
      </x:c>
      <x:c r="O61" s="11" t="n">
        <x:v>0</x:v>
      </x:c>
      <x:c r="P61" s="11" t="n">
        <x:v>0</x:v>
      </x:c>
      <x:c r="Q61" s="11" t="n">
        <x:v>0</x:v>
      </x:c>
      <x:c r="R61" s="11" t="n">
        <x:v>28.660416666666666</x:v>
      </x:c>
      <x:c r="S61" s="11" t="n">
        <x:v>16.72941666666667</x:v>
      </x:c>
      <x:c r="T61" s="11" t="n">
        <x:v>11.919</x:v>
      </x:c>
      <x:c r="U61" s="11" t="n">
        <x:v>0</x:v>
      </x:c>
      <x:c r="V61" s="11" t="n">
        <x:v>0</x:v>
      </x:c>
      <x:c r="W61" s="11" t="n">
        <x:v>0</x:v>
      </x:c>
      <x:c r="X61" s="13" t="n">
        <x:f>(D61*'Tariff and method'!$B$4+'Tariff and method'!$B$5)*1.05</x:f>
        <x:v>7.123722112499998</x:v>
      </x:c>
      <x:c r="Y61" s="13" t="n">
        <x:f>SUMIF('Import by half hour'!$A$5:$A$7395,A61,'Import by half hour'!$J$5:$J$7395)</x:f>
        <x:v>5.105295614999999</x:v>
      </x:c>
      <x:c r="Z61" s="13" t="n">
        <x:f>Y61+'Tariff and method'!$B$6*1.05</x:f>
        <x:v>5.663160614999999</x:v>
      </x:c>
      <x:c r="AA61" s="13" t="n">
        <x:f>X61-Z61</x:f>
        <x:v>1.4605614974999988</x:v>
      </x:c>
      <x:c r="AB61" s="13" t="n">
        <x:f>SUMIF('Import by half hour'!$A$5:$A$7395,A61,'Import by half hour'!$K$5:$K$7395)+'Tariff and method'!$B$6*1.05</x:f>
        <x:v>6.701971508750001</x:v>
      </x:c>
      <x:c r="AC61" s="13" t="n">
        <x:f>AB61-Z61</x:f>
        <x:v>1.0388108937500018</x:v>
      </x:c>
      <x:c r="AD61" s="13" t="n">
        <x:f>X61-AB61</x:f>
        <x:v>0.42175060374999696</x:v>
      </x:c>
      <x:c r="AE61" s="11" t="n">
        <x:f>M61-H61</x:f>
        <x:v>0.4219999999999917</x:v>
      </x:c>
      <x:c r="AF61" s="14" t="n">
        <x:f>IF(M61=0,"",H61/M61)</x:f>
        <x:v>0.9645943451631855</x:v>
      </x:c>
      <x:c r="AG61" s="11" t="n">
        <x:f>D61-E61-F61-G61</x:f>
        <x:v>0.2628333333333117</x:v>
      </x:c>
      <x:c r="AH61" s="11" t="n">
        <x:f>R61-S61-T61</x:f>
        <x:v>0.011999999999996902</x:v>
      </x:c>
      <x:c r="AI61" s="13" t="n">
        <x:f>SUM($AA$5:AA61)</x:f>
        <x:v>90.79605952375003</x:v>
      </x:c>
    </x:row>
    <x:row r="62" ht="21" customHeight="1">
      <x:c r="A62" s="10" t="n">
        <x:v>46205</x:v>
      </x:c>
      <x:c r="B62" s="1" t="n">
        <x:v>288</x:v>
      </x:c>
      <x:c r="C62" s="1" t="n">
        <x:v>24</x:v>
      </x:c>
      <x:c r="D62" s="11" t="n">
        <x:v>25.025916666666685</x:v>
      </x:c>
      <x:c r="E62" s="11" t="n">
        <x:v>11.946500000000004</x:v>
      </x:c>
      <x:c r="F62" s="11" t="n">
        <x:v>0</x:v>
      </x:c>
      <x:c r="G62" s="11" t="n">
        <x:v>12.932583333333332</x:v>
      </x:c>
      <x:c r="H62" s="11" t="n">
        <x:v>11.952000000000005</x:v>
      </x:c>
      <x:c r="I62" s="11" t="n">
        <x:v>11.946500000000004</x:v>
      </x:c>
      <x:c r="J62" s="11" t="n">
        <x:v>0</x:v>
      </x:c>
      <x:c r="K62" s="11" t="n">
        <x:v>34.247</x:v>
      </x:c>
      <x:c r="L62" s="11" t="n">
        <x:v>0</x:v>
      </x:c>
      <x:c r="M62" s="11" t="n">
        <x:v>34.246</x:v>
      </x:c>
      <x:c r="N62" s="11" t="n">
        <x:v>0</x:v>
      </x:c>
      <x:c r="O62" s="11" t="n">
        <x:v>0</x:v>
      </x:c>
      <x:c r="P62" s="11" t="n">
        <x:v>0</x:v>
      </x:c>
      <x:c r="Q62" s="11" t="n">
        <x:v>0</x:v>
      </x:c>
      <x:c r="R62" s="11" t="n">
        <x:v>47.20358333333333</x:v>
      </x:c>
      <x:c r="S62" s="11" t="n">
        <x:v>12.932583333333332</x:v>
      </x:c>
      <x:c r="T62" s="11" t="n">
        <x:v>34.246</x:v>
      </x:c>
      <x:c r="U62" s="11" t="n">
        <x:v>0</x:v>
      </x:c>
      <x:c r="V62" s="11" t="n">
        <x:v>0</x:v>
      </x:c>
      <x:c r="W62" s="11" t="n">
        <x:v>0</x:v>
      </x:c>
      <x:c r="X62" s="13" t="n">
        <x:f>(D62*'Tariff and method'!$B$4+'Tariff and method'!$B$5)*1.05</x:f>
        <x:v>6.3157175025000045</x:v>
      </x:c>
      <x:c r="Y62" s="13" t="n">
        <x:f>SUMIF('Import by half hour'!$A$5:$A$7395,A62,'Import by half hour'!$J$5:$J$7395)</x:f>
        <x:v>-1.27706870375</x:v>
      </x:c>
      <x:c r="Z62" s="13" t="n">
        <x:f>Y62+'Tariff and method'!$B$6*1.05</x:f>
        <x:v>-0.7192037037499999</x:v>
      </x:c>
      <x:c r="AA62" s="13" t="n">
        <x:f>X62-Z62</x:f>
        <x:v>7.034921206250004</x:v>
      </x:c>
      <x:c r="AB62" s="13" t="n">
        <x:f>SUMIF('Import by half hour'!$A$5:$A$7395,A62,'Import by half hour'!$K$5:$K$7395)+'Tariff and method'!$B$6*1.05</x:f>
        <x:v>2.40930234125</x:v>
      </x:c>
      <x:c r="AC62" s="13" t="n">
        <x:f>AB62-Z62</x:f>
        <x:v>3.128506045</x:v>
      </x:c>
      <x:c r="AD62" s="13" t="n">
        <x:f>X62-AB62</x:f>
        <x:v>3.9064151612500044</x:v>
      </x:c>
      <x:c r="AE62" s="11" t="n">
        <x:f>M62-H62</x:f>
        <x:v>22.293999999999997</x:v>
      </x:c>
      <x:c r="AF62" s="14" t="n">
        <x:f>IF(M62=0,"",H62/M62)</x:f>
        <x:v>0.3490042632716231</x:v>
      </x:c>
      <x:c r="AG62" s="11" t="n">
        <x:f>D62-E62-F62-G62</x:f>
        <x:v>0.14683333333334936</x:v>
      </x:c>
      <x:c r="AH62" s="11" t="n">
        <x:f>R62-S62-T62</x:f>
        <x:v>0.024999999999991473</x:v>
      </x:c>
      <x:c r="AI62" s="13" t="n">
        <x:f>SUM($AA$5:AA62)</x:f>
        <x:v>97.83098073000004</x:v>
      </x:c>
    </x:row>
    <x:row r="63" ht="21" customHeight="1">
      <x:c r="A63" s="10" t="n">
        <x:v>46206</x:v>
      </x:c>
      <x:c r="B63" s="1" t="n">
        <x:v>288</x:v>
      </x:c>
      <x:c r="C63" s="1" t="n">
        <x:v>24</x:v>
      </x:c>
      <x:c r="D63" s="11" t="n">
        <x:v>24.534583333333313</x:v>
      </x:c>
      <x:c r="E63" s="11" t="n">
        <x:v>19.495416666666664</x:v>
      </x:c>
      <x:c r="F63" s="11" t="n">
        <x:v>0</x:v>
      </x:c>
      <x:c r="G63" s="11" t="n">
        <x:v>4.919083333333334</x:v>
      </x:c>
      <x:c r="H63" s="11" t="n">
        <x:v>19.506999999999987</x:v>
      </x:c>
      <x:c r="I63" s="11" t="n">
        <x:v>19.495416666666664</x:v>
      </x:c>
      <x:c r="J63" s="11" t="n">
        <x:v>0</x:v>
      </x:c>
      <x:c r="K63" s="11" t="n">
        <x:v>8.397</x:v>
      </x:c>
      <x:c r="L63" s="11" t="n">
        <x:v>0</x:v>
      </x:c>
      <x:c r="M63" s="11" t="n">
        <x:v>8.397</x:v>
      </x:c>
      <x:c r="N63" s="11" t="n">
        <x:v>0</x:v>
      </x:c>
      <x:c r="O63" s="11" t="n">
        <x:v>0</x:v>
      </x:c>
      <x:c r="P63" s="11" t="n">
        <x:v>0</x:v>
      </x:c>
      <x:c r="Q63" s="11" t="n">
        <x:v>0</x:v>
      </x:c>
      <x:c r="R63" s="11" t="n">
        <x:v>13.328083333333334</x:v>
      </x:c>
      <x:c r="S63" s="11" t="n">
        <x:v>4.919083333333334</x:v>
      </x:c>
      <x:c r="T63" s="11" t="n">
        <x:v>8.397</x:v>
      </x:c>
      <x:c r="U63" s="11" t="n">
        <x:v>0</x:v>
      </x:c>
      <x:c r="V63" s="11" t="n">
        <x:v>0</x:v>
      </x:c>
      <x:c r="W63" s="11" t="n">
        <x:v>0</x:v>
      </x:c>
      <x:c r="X63" s="13" t="n">
        <x:f>(D63*'Tariff and method'!$B$4+'Tariff and method'!$B$5)*1.05</x:f>
        <x:v>6.200878162499995</x:v>
      </x:c>
      <x:c r="Y63" s="13" t="n">
        <x:f>SUMIF('Import by half hour'!$A$5:$A$7395,A63,'Import by half hour'!$J$5:$J$7395)</x:f>
        <x:v>1.61032172875</x:v>
      </x:c>
      <x:c r="Z63" s="13" t="n">
        <x:f>Y63+'Tariff and method'!$B$6*1.05</x:f>
        <x:v>2.1681867287500003</x:v>
      </x:c>
      <x:c r="AA63" s="13" t="n">
        <x:f>X63-Z63</x:f>
        <x:v>4.032691433749995</x:v>
      </x:c>
      <x:c r="AB63" s="13" t="n">
        <x:f>SUMIF('Import by half hour'!$A$5:$A$7395,A63,'Import by half hour'!$K$5:$K$7395)+'Tariff and method'!$B$6*1.05</x:f>
        <x:v>5.405799630000001</x:v>
      </x:c>
      <x:c r="AC63" s="13" t="n">
        <x:f>AB63-Z63</x:f>
        <x:v>3.2376129012500003</x:v>
      </x:c>
      <x:c r="AD63" s="13" t="n">
        <x:f>X63-AB63</x:f>
        <x:v>0.7950785324999945</x:v>
      </x:c>
      <x:c r="AE63" s="11" t="n">
        <x:f>M63-H63</x:f>
        <x:v>-11.109999999999987</x:v>
      </x:c>
      <x:c r="AF63" s="14" t="n">
        <x:f>IF(M63=0,"",H63/M63)</x:f>
        <x:v>2.3230915803263055</x:v>
      </x:c>
      <x:c r="AG63" s="11" t="n">
        <x:f>D63-E63-F63-G63</x:f>
        <x:v>0.12008333333331489</x:v>
      </x:c>
      <x:c r="AH63" s="11" t="n">
        <x:f>R63-S63-T63</x:f>
        <x:v>0.011999999999998678</x:v>
      </x:c>
      <x:c r="AI63" s="13" t="n">
        <x:f>SUM($AA$5:AA63)</x:f>
        <x:v>101.86367216375002</x:v>
      </x:c>
    </x:row>
    <x:row r="64" ht="21" customHeight="1">
      <x:c r="A64" s="10" t="n">
        <x:v>46207</x:v>
      </x:c>
      <x:c r="B64" s="1" t="n">
        <x:v>288</x:v>
      </x:c>
      <x:c r="C64" s="1" t="n">
        <x:v>24</x:v>
      </x:c>
      <x:c r="D64" s="11" t="n">
        <x:v>22.335250000000002</x:v>
      </x:c>
      <x:c r="E64" s="11" t="n">
        <x:v>17.06325</x:v>
      </x:c>
      <x:c r="F64" s="11" t="n">
        <x:v>0</x:v>
      </x:c>
      <x:c r="G64" s="11" t="n">
        <x:v>5.174916666666666</x:v>
      </x:c>
      <x:c r="H64" s="11" t="n">
        <x:v>17.07399999999999</x:v>
      </x:c>
      <x:c r="I64" s="11" t="n">
        <x:v>17.06325</x:v>
      </x:c>
      <x:c r="J64" s="11" t="n">
        <x:v>0</x:v>
      </x:c>
      <x:c r="K64" s="11" t="n">
        <x:v>25.706</x:v>
      </x:c>
      <x:c r="L64" s="11" t="n">
        <x:v>0</x:v>
      </x:c>
      <x:c r="M64" s="11" t="n">
        <x:v>25.706</x:v>
      </x:c>
      <x:c r="N64" s="11" t="n">
        <x:v>0</x:v>
      </x:c>
      <x:c r="O64" s="11" t="n">
        <x:v>0</x:v>
      </x:c>
      <x:c r="P64" s="11" t="n">
        <x:v>0</x:v>
      </x:c>
      <x:c r="Q64" s="11" t="n">
        <x:v>0</x:v>
      </x:c>
      <x:c r="R64" s="11" t="n">
        <x:v>30.880916666666664</x:v>
      </x:c>
      <x:c r="S64" s="11" t="n">
        <x:v>5.174916666666666</x:v>
      </x:c>
      <x:c r="T64" s="11" t="n">
        <x:v>25.706</x:v>
      </x:c>
      <x:c r="U64" s="11" t="n">
        <x:v>0</x:v>
      </x:c>
      <x:c r="V64" s="11" t="n">
        <x:v>0</x:v>
      </x:c>
      <x:c r="W64" s="11" t="n">
        <x:v>0</x:v>
      </x:c>
      <x:c r="X64" s="13" t="n">
        <x:f>(D64*'Tariff and method'!$B$4+'Tariff and method'!$B$5)*1.05</x:f>
        <x:v>5.686827982500001</x:v>
      </x:c>
      <x:c r="Y64" s="13" t="n">
        <x:f>SUMIF('Import by half hour'!$A$5:$A$7395,A64,'Import by half hour'!$J$5:$J$7395)</x:f>
        <x:v>-1.30205845</x:v>
      </x:c>
      <x:c r="Z64" s="13" t="n">
        <x:f>Y64+'Tariff and method'!$B$6*1.05</x:f>
        <x:v>-0.74419345</x:v>
      </x:c>
      <x:c r="AA64" s="13" t="n">
        <x:f>X64-Z64</x:f>
        <x:v>6.4310214325000015</x:v>
      </x:c>
      <x:c r="AB64" s="13" t="n">
        <x:f>SUMIF('Import by half hour'!$A$5:$A$7395,A64,'Import by half hour'!$K$5:$K$7395)+'Tariff and method'!$B$6*1.05</x:f>
        <x:v>2.5383273737499996</x:v>
      </x:c>
      <x:c r="AC64" s="13" t="n">
        <x:f>AB64-Z64</x:f>
        <x:v>3.2825208237499996</x:v>
      </x:c>
      <x:c r="AD64" s="13" t="n">
        <x:f>X64-AB64</x:f>
        <x:v>3.148500608750002</x:v>
      </x:c>
      <x:c r="AE64" s="11" t="n">
        <x:f>M64-H64</x:f>
        <x:v>8.632000000000009</x:v>
      </x:c>
      <x:c r="AF64" s="14" t="n">
        <x:f>IF(M64=0,"",H64/M64)</x:f>
        <x:v>0.6642029098264993</x:v>
      </x:c>
      <x:c r="AG64" s="11" t="n">
        <x:f>D64-E64-F64-G64</x:f>
        <x:v>0.09708333333333563</x:v>
      </x:c>
      <x:c r="AH64" s="11" t="n">
        <x:f>R64-S64-T64</x:f>
        <x:v>-3.552713678800501e-15</x:v>
      </x:c>
      <x:c r="AI64" s="13" t="n">
        <x:f>SUM($AA$5:AA64)</x:f>
        <x:v>108.29469359625003</x:v>
      </x:c>
    </x:row>
    <x:row r="65" ht="21" customHeight="1">
      <x:c r="A65" s="10" t="n">
        <x:v>46208</x:v>
      </x:c>
      <x:c r="B65" s="1" t="n">
        <x:v>288</x:v>
      </x:c>
      <x:c r="C65" s="1" t="n">
        <x:v>24</x:v>
      </x:c>
      <x:c r="D65" s="11" t="n">
        <x:v>22.928499999999985</x:v>
      </x:c>
      <x:c r="E65" s="11" t="n">
        <x:v>16.76708333333334</x:v>
      </x:c>
      <x:c r="F65" s="11" t="n">
        <x:v>0</x:v>
      </x:c>
      <x:c r="G65" s="11" t="n">
        <x:v>6.030333333333333</x:v>
      </x:c>
      <x:c r="H65" s="11" t="n">
        <x:v>16.777000000000005</x:v>
      </x:c>
      <x:c r="I65" s="11" t="n">
        <x:v>16.76708333333334</x:v>
      </x:c>
      <x:c r="J65" s="11" t="n">
        <x:v>0</x:v>
      </x:c>
      <x:c r="K65" s="11" t="n">
        <x:v>4.130000000000001</x:v>
      </x:c>
      <x:c r="L65" s="11" t="n">
        <x:v>0</x:v>
      </x:c>
      <x:c r="M65" s="11" t="n">
        <x:v>4.130000000000001</x:v>
      </x:c>
      <x:c r="N65" s="11" t="n">
        <x:v>0</x:v>
      </x:c>
      <x:c r="O65" s="11" t="n">
        <x:v>0</x:v>
      </x:c>
      <x:c r="P65" s="11" t="n">
        <x:v>0</x:v>
      </x:c>
      <x:c r="Q65" s="11" t="n">
        <x:v>0</x:v>
      </x:c>
      <x:c r="R65" s="11" t="n">
        <x:v>10.172333333333334</x:v>
      </x:c>
      <x:c r="S65" s="11" t="n">
        <x:v>6.030333333333333</x:v>
      </x:c>
      <x:c r="T65" s="11" t="n">
        <x:v>4.130000000000001</x:v>
      </x:c>
      <x:c r="U65" s="11" t="n">
        <x:v>0</x:v>
      </x:c>
      <x:c r="V65" s="11" t="n">
        <x:v>0</x:v>
      </x:c>
      <x:c r="W65" s="11" t="n">
        <x:v>0</x:v>
      </x:c>
      <x:c r="X65" s="13" t="n">
        <x:f>(D65*'Tariff and method'!$B$4+'Tariff and method'!$B$5)*1.05</x:f>
        <x:v>5.825488304999997</x:v>
      </x:c>
      <x:c r="Y65" s="13" t="n">
        <x:f>SUMIF('Import by half hour'!$A$5:$A$7395,A65,'Import by half hour'!$J$5:$J$7395)</x:f>
        <x:v>1.06922155375</x:v>
      </x:c>
      <x:c r="Z65" s="13" t="n">
        <x:f>Y65+'Tariff and method'!$B$6*1.05</x:f>
        <x:v>1.62708655375</x:v>
      </x:c>
      <x:c r="AA65" s="13" t="n">
        <x:f>X65-Z65</x:f>
        <x:v>4.198401751249997</x:v>
      </x:c>
      <x:c r="AB65" s="13" t="n">
        <x:f>SUMIF('Import by half hour'!$A$5:$A$7395,A65,'Import by half hour'!$K$5:$K$7395)+'Tariff and method'!$B$6*1.05</x:f>
        <x:v>4.705222427500001</x:v>
      </x:c>
      <x:c r="AC65" s="13" t="n">
        <x:f>AB65-Z65</x:f>
        <x:v>3.078135873750001</x:v>
      </x:c>
      <x:c r="AD65" s="13" t="n">
        <x:f>X65-AB65</x:f>
        <x:v>1.120265877499996</x:v>
      </x:c>
      <x:c r="AE65" s="11" t="n">
        <x:f>M65-H65</x:f>
        <x:v>-12.647000000000004</x:v>
      </x:c>
      <x:c r="AF65" s="14" t="n">
        <x:f>IF(M65=0,"",H65/M65)</x:f>
        <x:v>4.062227602905569</x:v>
      </x:c>
      <x:c r="AG65" s="11" t="n">
        <x:f>D65-E65-F65-G65</x:f>
        <x:v>0.13108333333331323</x:v>
      </x:c>
      <x:c r="AH65" s="11" t="n">
        <x:f>R65-S65-T65</x:f>
        <x:v>0.012000000000000455</x:v>
      </x:c>
      <x:c r="AI65" s="13" t="n">
        <x:f>SUM($AA$5:AA65)</x:f>
        <x:v>112.49309534750003</x:v>
      </x:c>
    </x:row>
    <x:row r="66" ht="21" customHeight="1">
      <x:c r="A66" s="10" t="n">
        <x:v>46209</x:v>
      </x:c>
      <x:c r="B66" s="1" t="n">
        <x:v>288</x:v>
      </x:c>
      <x:c r="C66" s="1" t="n">
        <x:v>24</x:v>
      </x:c>
      <x:c r="D66" s="11" t="n">
        <x:v>22.873583333333322</x:v>
      </x:c>
      <x:c r="E66" s="11" t="n">
        <x:v>14.248583333333341</x:v>
      </x:c>
      <x:c r="F66" s="11" t="n">
        <x:v>0</x:v>
      </x:c>
      <x:c r="G66" s="11" t="n">
        <x:v>8.420083333333332</x:v>
      </x:c>
      <x:c r="H66" s="11" t="n">
        <x:v>14.257000000000003</x:v>
      </x:c>
      <x:c r="I66" s="11" t="n">
        <x:v>14.248583333333341</x:v>
      </x:c>
      <x:c r="J66" s="11" t="n">
        <x:v>0</x:v>
      </x:c>
      <x:c r="K66" s="11" t="n">
        <x:v>22.527</x:v>
      </x:c>
      <x:c r="L66" s="11" t="n">
        <x:v>0</x:v>
      </x:c>
      <x:c r="M66" s="11" t="n">
        <x:v>22.527</x:v>
      </x:c>
      <x:c r="N66" s="11" t="n">
        <x:v>0</x:v>
      </x:c>
      <x:c r="O66" s="11" t="n">
        <x:v>0</x:v>
      </x:c>
      <x:c r="P66" s="11" t="n">
        <x:v>0</x:v>
      </x:c>
      <x:c r="Q66" s="11" t="n">
        <x:v>0</x:v>
      </x:c>
      <x:c r="R66" s="11" t="n">
        <x:v>30.958083333333327</x:v>
      </x:c>
      <x:c r="S66" s="11" t="n">
        <x:v>8.420083333333332</x:v>
      </x:c>
      <x:c r="T66" s="11" t="n">
        <x:v>22.527</x:v>
      </x:c>
      <x:c r="U66" s="11" t="n">
        <x:v>0</x:v>
      </x:c>
      <x:c r="V66" s="11" t="n">
        <x:v>0</x:v>
      </x:c>
      <x:c r="W66" s="11" t="n">
        <x:v>0</x:v>
      </x:c>
      <x:c r="X66" s="13" t="n">
        <x:f>(D66*'Tariff and method'!$B$4+'Tariff and method'!$B$5)*1.05</x:f>
        <x:v>5.812652632499997</x:v>
      </x:c>
      <x:c r="Y66" s="13" t="n">
        <x:f>SUMIF('Import by half hour'!$A$5:$A$7395,A66,'Import by half hour'!$J$5:$J$7395)</x:f>
        <x:v>1.2426027425000001</x:v>
      </x:c>
      <x:c r="Z66" s="13" t="n">
        <x:f>Y66+'Tariff and method'!$B$6*1.05</x:f>
        <x:v>1.8004677425000002</x:v>
      </x:c>
      <x:c r="AA66" s="13" t="n">
        <x:f>X66-Z66</x:f>
        <x:v>4.012184889999997</x:v>
      </x:c>
      <x:c r="AB66" s="13" t="n">
        <x:f>SUMIF('Import by half hour'!$A$5:$A$7395,A66,'Import by half hour'!$K$5:$K$7395)+'Tariff and method'!$B$6*1.05</x:f>
        <x:v>4.451902315</x:v>
      </x:c>
      <x:c r="AC66" s="13" t="n">
        <x:f>AB66-Z66</x:f>
        <x:v>2.6514345724999995</x:v>
      </x:c>
      <x:c r="AD66" s="13" t="n">
        <x:f>X66-AB66</x:f>
        <x:v>1.3607503174999973</x:v>
      </x:c>
      <x:c r="AE66" s="11" t="n">
        <x:f>M66-H66</x:f>
        <x:v>8.269999999999998</x:v>
      </x:c>
      <x:c r="AF66" s="14" t="n">
        <x:f>IF(M66=0,"",H66/M66)</x:f>
        <x:v>0.632884982465486</x:v>
      </x:c>
      <x:c r="AG66" s="11" t="n">
        <x:f>D66-E66-F66-G66</x:f>
        <x:v>0.20491666666664798</x:v>
      </x:c>
      <x:c r="AH66" s="11" t="n">
        <x:f>R66-S66-T66</x:f>
        <x:v>0.01099999999999568</x:v>
      </x:c>
      <x:c r="AI66" s="13" t="n">
        <x:f>SUM($AA$5:AA66)</x:f>
        <x:v>116.50528023750003</x:v>
      </x:c>
    </x:row>
    <x:row r="67" ht="21" customHeight="1">
      <x:c r="A67" s="10" t="n">
        <x:v>46210</x:v>
      </x:c>
      <x:c r="B67" s="1" t="n">
        <x:v>288</x:v>
      </x:c>
      <x:c r="C67" s="1" t="n">
        <x:v>24</x:v>
      </x:c>
      <x:c r="D67" s="11" t="n">
        <x:v>22.14900000000002</x:v>
      </x:c>
      <x:c r="E67" s="11" t="n">
        <x:v>12.443500000000007</x:v>
      </x:c>
      <x:c r="F67" s="11" t="n">
        <x:v>0</x:v>
      </x:c>
      <x:c r="G67" s="11" t="n">
        <x:v>9.48066666666667</x:v>
      </x:c>
      <x:c r="H67" s="11" t="n">
        <x:v>12.453000000000005</x:v>
      </x:c>
      <x:c r="I67" s="11" t="n">
        <x:v>12.443500000000007</x:v>
      </x:c>
      <x:c r="J67" s="11" t="n">
        <x:v>0</x:v>
      </x:c>
      <x:c r="K67" s="11" t="n">
        <x:v>13.632000000000001</x:v>
      </x:c>
      <x:c r="L67" s="11" t="n">
        <x:v>0</x:v>
      </x:c>
      <x:c r="M67" s="11" t="n">
        <x:v>13.632000000000001</x:v>
      </x:c>
      <x:c r="N67" s="11" t="n">
        <x:v>0</x:v>
      </x:c>
      <x:c r="O67" s="11" t="n">
        <x:v>0</x:v>
      </x:c>
      <x:c r="P67" s="11" t="n">
        <x:v>0</x:v>
      </x:c>
      <x:c r="Q67" s="11" t="n">
        <x:v>0</x:v>
      </x:c>
      <x:c r="R67" s="11" t="n">
        <x:v>23.12466666666667</x:v>
      </x:c>
      <x:c r="S67" s="11" t="n">
        <x:v>9.48066666666667</x:v>
      </x:c>
      <x:c r="T67" s="11" t="n">
        <x:v>13.632000000000001</x:v>
      </x:c>
      <x:c r="U67" s="11" t="n">
        <x:v>0</x:v>
      </x:c>
      <x:c r="V67" s="11" t="n">
        <x:v>0</x:v>
      </x:c>
      <x:c r="W67" s="11" t="n">
        <x:v>0</x:v>
      </x:c>
      <x:c r="X67" s="13" t="n">
        <x:f>(D67*'Tariff and method'!$B$4+'Tariff and method'!$B$5)*1.05</x:f>
        <x:v>5.643295770000005</x:v>
      </x:c>
      <x:c r="Y67" s="13" t="n">
        <x:f>SUMIF('Import by half hour'!$A$5:$A$7395,A67,'Import by half hour'!$J$5:$J$7395)</x:f>
        <x:v>3.4483364474999996</x:v>
      </x:c>
      <x:c r="Z67" s="13" t="n">
        <x:f>Y67+'Tariff and method'!$B$6*1.05</x:f>
        <x:v>4.0062014475</x:v>
      </x:c>
      <x:c r="AA67" s="13" t="n">
        <x:f>X67-Z67</x:f>
        <x:v>1.6370943225000056</x:v>
      </x:c>
      <x:c r="AB67" s="13" t="n">
        <x:f>SUMIF('Import by half hour'!$A$5:$A$7395,A67,'Import by half hour'!$K$5:$K$7395)+'Tariff and method'!$B$6*1.05</x:f>
        <x:v>5.237580853750002</x:v>
      </x:c>
      <x:c r="AC67" s="13" t="n">
        <x:f>AB67-Z67</x:f>
        <x:v>1.231379406250002</x:v>
      </x:c>
      <x:c r="AD67" s="13" t="n">
        <x:f>X67-AB67</x:f>
        <x:v>0.40571491625000355</x:v>
      </x:c>
      <x:c r="AE67" s="11" t="n">
        <x:f>M67-H67</x:f>
        <x:v>1.1789999999999967</x:v>
      </x:c>
      <x:c r="AF67" s="14" t="n">
        <x:f>IF(M67=0,"",H67/M67)</x:f>
        <x:v>0.9135123239436622</x:v>
      </x:c>
      <x:c r="AG67" s="11" t="n">
        <x:f>D67-E67-F67-G67</x:f>
        <x:v>0.22483333333334166</x:v>
      </x:c>
      <x:c r="AH67" s="11" t="n">
        <x:f>R67-S67-T67</x:f>
        <x:v>0.011999999999998678</x:v>
      </x:c>
      <x:c r="AI67" s="13" t="n">
        <x:f>SUM($AA$5:AA67)</x:f>
        <x:v>118.14237456000004</x:v>
      </x:c>
    </x:row>
    <x:row r="68" ht="21" customHeight="1">
      <x:c r="A68" s="10" t="n">
        <x:v>46211</x:v>
      </x:c>
      <x:c r="B68" s="1" t="n">
        <x:v>288</x:v>
      </x:c>
      <x:c r="C68" s="1" t="n">
        <x:v>24</x:v>
      </x:c>
      <x:c r="D68" s="11" t="n">
        <x:v>24.18108333333334</x:v>
      </x:c>
      <x:c r="E68" s="11" t="n">
        <x:v>14.30708333333334</x:v>
      </x:c>
      <x:c r="F68" s="11" t="n">
        <x:v>0</x:v>
      </x:c>
      <x:c r="G68" s="11" t="n">
        <x:v>9.59991666666667</x:v>
      </x:c>
      <x:c r="H68" s="11" t="n">
        <x:v>14.317000000000004</x:v>
      </x:c>
      <x:c r="I68" s="11" t="n">
        <x:v>14.30708333333334</x:v>
      </x:c>
      <x:c r="J68" s="11" t="n">
        <x:v>0</x:v>
      </x:c>
      <x:c r="K68" s="11" t="n">
        <x:v>5.399000000000001</x:v>
      </x:c>
      <x:c r="L68" s="11" t="n">
        <x:v>0</x:v>
      </x:c>
      <x:c r="M68" s="11" t="n">
        <x:v>5.399000000000001</x:v>
      </x:c>
      <x:c r="N68" s="11" t="n">
        <x:v>0</x:v>
      </x:c>
      <x:c r="O68" s="11" t="n">
        <x:v>0</x:v>
      </x:c>
      <x:c r="P68" s="11" t="n">
        <x:v>0</x:v>
      </x:c>
      <x:c r="Q68" s="11" t="n">
        <x:v>0</x:v>
      </x:c>
      <x:c r="R68" s="11" t="n">
        <x:v>15.00291666666667</x:v>
      </x:c>
      <x:c r="S68" s="11" t="n">
        <x:v>9.59991666666667</x:v>
      </x:c>
      <x:c r="T68" s="11" t="n">
        <x:v>5.399000000000001</x:v>
      </x:c>
      <x:c r="U68" s="11" t="n">
        <x:v>0</x:v>
      </x:c>
      <x:c r="V68" s="11" t="n">
        <x:v>0</x:v>
      </x:c>
      <x:c r="W68" s="11" t="n">
        <x:v>0</x:v>
      </x:c>
      <x:c r="X68" s="13" t="n">
        <x:f>(D68*'Tariff and method'!$B$4+'Tariff and method'!$B$5)*1.05</x:f>
        <x:v>6.118254607500002</x:v>
      </x:c>
      <x:c r="Y68" s="13" t="n">
        <x:f>SUMIF('Import by half hour'!$A$5:$A$7395,A68,'Import by half hour'!$J$5:$J$7395)</x:f>
        <x:v>2.5825480887500003</x:v>
      </x:c>
      <x:c r="Z68" s="13" t="n">
        <x:f>Y68+'Tariff and method'!$B$6*1.05</x:f>
        <x:v>3.1404130887500004</x:v>
      </x:c>
      <x:c r="AA68" s="13" t="n">
        <x:f>X68-Z68</x:f>
        <x:v>2.9778415187500014</x:v>
      </x:c>
      <x:c r="AB68" s="13" t="n">
        <x:f>SUMIF('Import by half hour'!$A$5:$A$7395,A68,'Import by half hour'!$K$5:$K$7395)+'Tariff and method'!$B$6*1.05</x:f>
        <x:v>6.275515609999999</x:v>
      </x:c>
      <x:c r="AC68" s="13" t="n">
        <x:f>AB68-Z68</x:f>
        <x:v>3.135102521249999</x:v>
      </x:c>
      <x:c r="AD68" s="13" t="n">
        <x:f>X68-AB68</x:f>
        <x:v>-0.15726100249999764</x:v>
      </x:c>
      <x:c r="AE68" s="11" t="n">
        <x:f>M68-H68</x:f>
        <x:v>-8.918000000000003</x:v>
      </x:c>
      <x:c r="AF68" s="14" t="n">
        <x:f>IF(M68=0,"",H68/M68)</x:f>
        <x:v>2.6517873680311173</x:v>
      </x:c>
      <x:c r="AG68" s="11" t="n">
        <x:f>D68-E68-F68-G68</x:f>
        <x:v>0.2740833333333299</x:v>
      </x:c>
      <x:c r="AH68" s="11" t="n">
        <x:f>R68-S68-T68</x:f>
        <x:v>0.003999999999997783</x:v>
      </x:c>
      <x:c r="AI68" s="13" t="n">
        <x:f>SUM($AA$5:AA68)</x:f>
        <x:v>121.12021607875003</x:v>
      </x:c>
    </x:row>
    <x:row r="69" ht="21" customHeight="1">
      <x:c r="A69" s="10" t="n">
        <x:v>46212</x:v>
      </x:c>
      <x:c r="B69" s="1" t="n">
        <x:v>288</x:v>
      </x:c>
      <x:c r="C69" s="1" t="n">
        <x:v>24</x:v>
      </x:c>
      <x:c r="D69" s="11" t="n">
        <x:v>24.95058333333333</x:v>
      </x:c>
      <x:c r="E69" s="11" t="n">
        <x:v>13.414166666666663</x:v>
      </x:c>
      <x:c r="F69" s="11" t="n">
        <x:v>0</x:v>
      </x:c>
      <x:c r="G69" s="11" t="n">
        <x:v>11.28925</x:v>
      </x:c>
      <x:c r="H69" s="11" t="n">
        <x:v>13.422999999999998</x:v>
      </x:c>
      <x:c r="I69" s="11" t="n">
        <x:v>13.414166666666663</x:v>
      </x:c>
      <x:c r="J69" s="11" t="n">
        <x:v>0</x:v>
      </x:c>
      <x:c r="K69" s="11" t="n">
        <x:v>15.716000000000003</x:v>
      </x:c>
      <x:c r="L69" s="11" t="n">
        <x:v>0</x:v>
      </x:c>
      <x:c r="M69" s="11" t="n">
        <x:v>15.716000000000003</x:v>
      </x:c>
      <x:c r="N69" s="11" t="n">
        <x:v>0</x:v>
      </x:c>
      <x:c r="O69" s="11" t="n">
        <x:v>0</x:v>
      </x:c>
      <x:c r="P69" s="11" t="n">
        <x:v>0</x:v>
      </x:c>
      <x:c r="Q69" s="11" t="n">
        <x:v>0</x:v>
      </x:c>
      <x:c r="R69" s="11" t="n">
        <x:v>27.012249999999995</x:v>
      </x:c>
      <x:c r="S69" s="11" t="n">
        <x:v>11.28925</x:v>
      </x:c>
      <x:c r="T69" s="11" t="n">
        <x:v>15.716000000000003</x:v>
      </x:c>
      <x:c r="U69" s="11" t="n">
        <x:v>0</x:v>
      </x:c>
      <x:c r="V69" s="11" t="n">
        <x:v>0</x:v>
      </x:c>
      <x:c r="W69" s="11" t="n">
        <x:v>0</x:v>
      </x:c>
      <x:c r="X69" s="13" t="n">
        <x:f>(D69*'Tariff and method'!$B$4+'Tariff and method'!$B$5)*1.05</x:f>
        <x:v>6.2981098425</x:v>
      </x:c>
      <x:c r="Y69" s="13" t="n">
        <x:f>SUMIF('Import by half hour'!$A$5:$A$7395,A69,'Import by half hour'!$J$5:$J$7395)</x:f>
        <x:v>4.86832175375</x:v>
      </x:c>
      <x:c r="Z69" s="13" t="n">
        <x:f>Y69+'Tariff and method'!$B$6*1.05</x:f>
        <x:v>5.426186753750001</x:v>
      </x:c>
      <x:c r="AA69" s="13" t="n">
        <x:f>X69-Z69</x:f>
        <x:v>0.8719230887499991</x:v>
      </x:c>
      <x:c r="AB69" s="13" t="n">
        <x:f>SUMIF('Import by half hour'!$A$5:$A$7395,A69,'Import by half hour'!$K$5:$K$7395)+'Tariff and method'!$B$6*1.05</x:f>
        <x:v>6.986767453749998</x:v>
      </x:c>
      <x:c r="AC69" s="13" t="n">
        <x:f>AB69-Z69</x:f>
        <x:v>1.5605806999999974</x:v>
      </x:c>
      <x:c r="AD69" s="13" t="n">
        <x:f>X69-AB69</x:f>
        <x:v>-0.6886576112499982</x:v>
      </x:c>
      <x:c r="AE69" s="11" t="n">
        <x:f>M69-H69</x:f>
        <x:v>2.2930000000000046</x:v>
      </x:c>
      <x:c r="AF69" s="14" t="n">
        <x:f>IF(M69=0,"",H69/M69)</x:f>
        <x:v>0.8540977347925678</x:v>
      </x:c>
      <x:c r="AG69" s="11" t="n">
        <x:f>D69-E69-F69-G69</x:f>
        <x:v>0.24716666666666853</x:v>
      </x:c>
      <x:c r="AH69" s="11" t="n">
        <x:f>R69-S69-T69</x:f>
        <x:v>0.006999999999992568</x:v>
      </x:c>
      <x:c r="AI69" s="13" t="n">
        <x:f>SUM($AA$5:AA69)</x:f>
        <x:v>121.99213916750003</x:v>
      </x:c>
    </x:row>
    <x:row r="70" ht="21" customHeight="1">
      <x:c r="A70" s="10" t="n">
        <x:v>46213</x:v>
      </x:c>
      <x:c r="B70" s="1" t="n">
        <x:v>288</x:v>
      </x:c>
      <x:c r="C70" s="1" t="n">
        <x:v>24</x:v>
      </x:c>
      <x:c r="D70" s="11" t="n">
        <x:v>25.476750000000013</x:v>
      </x:c>
      <x:c r="E70" s="11" t="n">
        <x:v>11.932499999999997</x:v>
      </x:c>
      <x:c r="F70" s="11" t="n">
        <x:v>0</x:v>
      </x:c>
      <x:c r="G70" s="11" t="n">
        <x:v>13.292333333333337</x:v>
      </x:c>
      <x:c r="H70" s="11" t="n">
        <x:v>11.94</x:v>
      </x:c>
      <x:c r="I70" s="11" t="n">
        <x:v>11.932499999999997</x:v>
      </x:c>
      <x:c r="J70" s="11" t="n">
        <x:v>0</x:v>
      </x:c>
      <x:c r="K70" s="11" t="n">
        <x:v>18.874000000000002</x:v>
      </x:c>
      <x:c r="L70" s="11" t="n">
        <x:v>0</x:v>
      </x:c>
      <x:c r="M70" s="11" t="n">
        <x:v>18.874000000000002</x:v>
      </x:c>
      <x:c r="N70" s="11" t="n">
        <x:v>0</x:v>
      </x:c>
      <x:c r="O70" s="11" t="n">
        <x:v>0</x:v>
      </x:c>
      <x:c r="P70" s="11" t="n">
        <x:v>0</x:v>
      </x:c>
      <x:c r="Q70" s="11" t="n">
        <x:v>0</x:v>
      </x:c>
      <x:c r="R70" s="11" t="n">
        <x:v>32.166333333333334</x:v>
      </x:c>
      <x:c r="S70" s="11" t="n">
        <x:v>13.292333333333337</x:v>
      </x:c>
      <x:c r="T70" s="11" t="n">
        <x:v>18.874000000000002</x:v>
      </x:c>
      <x:c r="U70" s="11" t="n">
        <x:v>0</x:v>
      </x:c>
      <x:c r="V70" s="11" t="n">
        <x:v>0</x:v>
      </x:c>
      <x:c r="W70" s="11" t="n">
        <x:v>0</x:v>
      </x:c>
      <x:c r="X70" s="13" t="n">
        <x:f>(D70*'Tariff and method'!$B$4+'Tariff and method'!$B$5)*1.05</x:f>
        <x:v>6.4210907775000035</x:v>
      </x:c>
      <x:c r="Y70" s="13" t="n">
        <x:f>SUMIF('Import by half hour'!$A$5:$A$7395,A70,'Import by half hour'!$J$5:$J$7395)</x:f>
        <x:v>6.0618305475000005</x:v>
      </x:c>
      <x:c r="Z70" s="13" t="n">
        <x:f>Y70+'Tariff and method'!$B$6*1.05</x:f>
        <x:v>6.619695547500001</x:v>
      </x:c>
      <x:c r="AA70" s="13" t="n">
        <x:f>X70-Z70</x:f>
        <x:v>-0.19860476999999754</x:v>
      </x:c>
      <x:c r="AB70" s="13" t="n">
        <x:f>SUMIF('Import by half hour'!$A$5:$A$7395,A70,'Import by half hour'!$K$5:$K$7395)+'Tariff and method'!$B$6*1.05</x:f>
        <x:v>6.844445002499999</x:v>
      </x:c>
      <x:c r="AC70" s="13" t="n">
        <x:f>AB70-Z70</x:f>
        <x:v>0.22474945499999777</x:v>
      </x:c>
      <x:c r="AD70" s="13" t="n">
        <x:f>X70-AB70</x:f>
        <x:v>-0.4233542249999953</x:v>
      </x:c>
      <x:c r="AE70" s="11" t="n">
        <x:f>M70-H70</x:f>
        <x:v>6.934000000000003</x:v>
      </x:c>
      <x:c r="AF70" s="14" t="n">
        <x:f>IF(M70=0,"",H70/M70)</x:f>
        <x:v>0.6326162975521881</x:v>
      </x:c>
      <x:c r="AG70" s="11" t="n">
        <x:f>D70-E70-F70-G70</x:f>
        <x:v>0.2519166666666788</x:v>
      </x:c>
      <x:c r="AH70" s="11" t="n">
        <x:f>R70-S70-T70</x:f>
        <x:v>-7.105427357601002e-15</x:v>
      </x:c>
      <x:c r="AI70" s="13" t="n">
        <x:f>SUM($AA$5:AA70)</x:f>
        <x:v>121.79353439750003</x:v>
      </x:c>
    </x:row>
    <x:row r="71" ht="21" customHeight="1">
      <x:c r="A71" s="10" t="n">
        <x:v>46214</x:v>
      </x:c>
      <x:c r="B71" s="1" t="n">
        <x:v>288</x:v>
      </x:c>
      <x:c r="C71" s="1" t="n">
        <x:v>24</x:v>
      </x:c>
      <x:c r="D71" s="11" t="n">
        <x:v>24.97008333333333</x:v>
      </x:c>
      <x:c r="E71" s="11" t="n">
        <x:v>18.442083333333326</x:v>
      </x:c>
      <x:c r="F71" s="11" t="n">
        <x:v>0</x:v>
      </x:c>
      <x:c r="G71" s="11" t="n">
        <x:v>6.41733333333333</x:v>
      </x:c>
      <x:c r="H71" s="11" t="n">
        <x:v>18.452999999999992</x:v>
      </x:c>
      <x:c r="I71" s="11" t="n">
        <x:v>18.442083333333326</x:v>
      </x:c>
      <x:c r="J71" s="11" t="n">
        <x:v>0</x:v>
      </x:c>
      <x:c r="K71" s="11" t="n">
        <x:v>16.215</x:v>
      </x:c>
      <x:c r="L71" s="11" t="n">
        <x:v>0</x:v>
      </x:c>
      <x:c r="M71" s="11" t="n">
        <x:v>16.214000000000002</x:v>
      </x:c>
      <x:c r="N71" s="11" t="n">
        <x:v>0</x:v>
      </x:c>
      <x:c r="O71" s="11" t="n">
        <x:v>0</x:v>
      </x:c>
      <x:c r="P71" s="11" t="n">
        <x:v>0</x:v>
      </x:c>
      <x:c r="Q71" s="11" t="n">
        <x:v>0</x:v>
      </x:c>
      <x:c r="R71" s="11" t="n">
        <x:v>22.63533333333333</x:v>
      </x:c>
      <x:c r="S71" s="11" t="n">
        <x:v>6.41733333333333</x:v>
      </x:c>
      <x:c r="T71" s="11" t="n">
        <x:v>16.214000000000002</x:v>
      </x:c>
      <x:c r="U71" s="11" t="n">
        <x:v>0</x:v>
      </x:c>
      <x:c r="V71" s="11" t="n">
        <x:v>0</x:v>
      </x:c>
      <x:c r="W71" s="11" t="n">
        <x:v>0</x:v>
      </x:c>
      <x:c r="X71" s="13" t="n">
        <x:f>(D71*'Tariff and method'!$B$4+'Tariff and method'!$B$5)*1.05</x:f>
        <x:v>6.3026675775</x:v>
      </x:c>
      <x:c r="Y71" s="13" t="n">
        <x:f>SUMIF('Import by half hour'!$A$5:$A$7395,A71,'Import by half hour'!$J$5:$J$7395)</x:f>
        <x:v>3.6933823499999994</x:v>
      </x:c>
      <x:c r="Z71" s="13" t="n">
        <x:f>Y71+'Tariff and method'!$B$6*1.05</x:f>
        <x:v>4.25124735</x:v>
      </x:c>
      <x:c r="AA71" s="13" t="n">
        <x:f>X71-Z71</x:f>
        <x:v>2.0514202275000004</x:v>
      </x:c>
      <x:c r="AB71" s="13" t="n">
        <x:f>SUMIF('Import by half hour'!$A$5:$A$7395,A71,'Import by half hour'!$K$5:$K$7395)+'Tariff and method'!$B$6*1.05</x:f>
        <x:v>6.2333937312500005</x:v>
      </x:c>
      <x:c r="AC71" s="13" t="n">
        <x:f>AB71-Z71</x:f>
        <x:v>1.9821463812500006</x:v>
      </x:c>
      <x:c r="AD71" s="13" t="n">
        <x:f>X71-AB71</x:f>
        <x:v>0.06927384624999977</x:v>
      </x:c>
      <x:c r="AE71" s="11" t="n">
        <x:f>M71-H71</x:f>
        <x:v>-2.23899999999999</x:v>
      </x:c>
      <x:c r="AF71" s="14" t="n">
        <x:f>IF(M71=0,"",H71/M71)</x:f>
        <x:v>1.1380905390403349</x:v>
      </x:c>
      <x:c r="AG71" s="11" t="n">
        <x:f>D71-E71-F71-G71</x:f>
        <x:v>0.1106666666666758</x:v>
      </x:c>
      <x:c r="AH71" s="11" t="n">
        <x:f>R71-S71-T71</x:f>
        <x:v>0.004000000000001336</x:v>
      </x:c>
      <x:c r="AI71" s="13" t="n">
        <x:f>SUM($AA$5:AA71)</x:f>
        <x:v>123.84495462500003</x:v>
      </x:c>
    </x:row>
    <x:row r="72" ht="21" customHeight="1">
      <x:c r="A72" s="10" t="n">
        <x:v>46215</x:v>
      </x:c>
      <x:c r="B72" s="1" t="n">
        <x:v>288</x:v>
      </x:c>
      <x:c r="C72" s="1" t="n">
        <x:v>24</x:v>
      </x:c>
      <x:c r="D72" s="11" t="n">
        <x:v>24.197833333333335</x:v>
      </x:c>
      <x:c r="E72" s="11" t="n">
        <x:v>17.026916666666672</x:v>
      </x:c>
      <x:c r="F72" s="11" t="n">
        <x:v>0</x:v>
      </x:c>
      <x:c r="G72" s="11" t="n">
        <x:v>7.056083333333334</x:v>
      </x:c>
      <x:c r="H72" s="11" t="n">
        <x:v>17.039</x:v>
      </x:c>
      <x:c r="I72" s="11" t="n">
        <x:v>17.026916666666672</x:v>
      </x:c>
      <x:c r="J72" s="11" t="n">
        <x:v>0</x:v>
      </x:c>
      <x:c r="K72" s="11" t="n">
        <x:v>29.37900000000001</x:v>
      </x:c>
      <x:c r="L72" s="11" t="n">
        <x:v>0</x:v>
      </x:c>
      <x:c r="M72" s="11" t="n">
        <x:v>29.37900000000001</x:v>
      </x:c>
      <x:c r="N72" s="11" t="n">
        <x:v>0</x:v>
      </x:c>
      <x:c r="O72" s="11" t="n">
        <x:v>0</x:v>
      </x:c>
      <x:c r="P72" s="11" t="n">
        <x:v>0</x:v>
      </x:c>
      <x:c r="Q72" s="11" t="n">
        <x:v>0</x:v>
      </x:c>
      <x:c r="R72" s="11" t="n">
        <x:v>36.435083333333324</x:v>
      </x:c>
      <x:c r="S72" s="11" t="n">
        <x:v>7.056083333333334</x:v>
      </x:c>
      <x:c r="T72" s="11" t="n">
        <x:v>29.37900000000001</x:v>
      </x:c>
      <x:c r="U72" s="11" t="n">
        <x:v>0</x:v>
      </x:c>
      <x:c r="V72" s="11" t="n">
        <x:v>0</x:v>
      </x:c>
      <x:c r="W72" s="11" t="n">
        <x:v>0</x:v>
      </x:c>
      <x:c r="X72" s="13" t="n">
        <x:f>(D72*'Tariff and method'!$B$4+'Tariff and method'!$B$5)*1.05</x:f>
        <x:v>6.122169585000001</x:v>
      </x:c>
      <x:c r="Y72" s="13" t="n">
        <x:f>SUMIF('Import by half hour'!$A$5:$A$7395,A72,'Import by half hour'!$J$5:$J$7395)</x:f>
        <x:v>-0.6311321975</x:v>
      </x:c>
      <x:c r="Z72" s="13" t="n">
        <x:f>Y72+'Tariff and method'!$B$6*1.05</x:f>
        <x:v>-0.07326719749999999</x:v>
      </x:c>
      <x:c r="AA72" s="13" t="n">
        <x:f>X72-Z72</x:f>
        <x:v>6.195436782500001</x:v>
      </x:c>
      <x:c r="AB72" s="13" t="n">
        <x:f>SUMIF('Import by half hour'!$A$5:$A$7395,A72,'Import by half hour'!$K$5:$K$7395)+'Tariff and method'!$B$6*1.05</x:f>
        <x:v>3.583297515</x:v>
      </x:c>
      <x:c r="AC72" s="13" t="n">
        <x:f>AB72-Z72</x:f>
        <x:v>3.6565647125</x:v>
      </x:c>
      <x:c r="AD72" s="13" t="n">
        <x:f>X72-AB72</x:f>
        <x:v>2.538872070000001</x:v>
      </x:c>
      <x:c r="AE72" s="11" t="n">
        <x:f>M72-H72</x:f>
        <x:v>12.340000000000007</x:v>
      </x:c>
      <x:c r="AF72" s="14" t="n">
        <x:f>IF(M72=0,"",H72/M72)</x:f>
        <x:v>0.5799720889070423</x:v>
      </x:c>
      <x:c r="AG72" s="11" t="n">
        <x:f>D72-E72-F72-G72</x:f>
        <x:v>0.1148333333333289</x:v>
      </x:c>
      <x:c r="AH72" s="11" t="n">
        <x:f>R72-S72-T72</x:f>
        <x:v>-1.7763568394002505e-14</x:v>
      </x:c>
      <x:c r="AI72" s="13" t="n">
        <x:f>SUM($AA$5:AA72)</x:f>
        <x:v>130.04039140750004</x:v>
      </x:c>
    </x:row>
    <x:row r="73" ht="21" customHeight="1">
      <x:c r="A73" s="10" t="n">
        <x:v>46216</x:v>
      </x:c>
      <x:c r="B73" s="1" t="n">
        <x:v>288</x:v>
      </x:c>
      <x:c r="C73" s="1" t="n">
        <x:v>24</x:v>
      </x:c>
      <x:c r="D73" s="11" t="n">
        <x:v>23.287999999999993</x:v>
      </x:c>
      <x:c r="E73" s="11" t="n">
        <x:v>17.344583333333325</x:v>
      </x:c>
      <x:c r="F73" s="11" t="n">
        <x:v>0</x:v>
      </x:c>
      <x:c r="G73" s="11" t="n">
        <x:v>5.833000000000002</x:v>
      </x:c>
      <x:c r="H73" s="11" t="n">
        <x:v>17.358</x:v>
      </x:c>
      <x:c r="I73" s="11" t="n">
        <x:v>17.344583333333325</x:v>
      </x:c>
      <x:c r="J73" s="11" t="n">
        <x:v>0</x:v>
      </x:c>
      <x:c r="K73" s="11" t="n">
        <x:v>12.898999999999996</x:v>
      </x:c>
      <x:c r="L73" s="11" t="n">
        <x:v>0</x:v>
      </x:c>
      <x:c r="M73" s="11" t="n">
        <x:v>12.898999999999996</x:v>
      </x:c>
      <x:c r="N73" s="11" t="n">
        <x:v>0</x:v>
      </x:c>
      <x:c r="O73" s="11" t="n">
        <x:v>0</x:v>
      </x:c>
      <x:c r="P73" s="11" t="n">
        <x:v>0</x:v>
      </x:c>
      <x:c r="Q73" s="11" t="n">
        <x:v>0</x:v>
      </x:c>
      <x:c r="R73" s="11" t="n">
        <x:v>18.734000000000005</x:v>
      </x:c>
      <x:c r="S73" s="11" t="n">
        <x:v>5.833000000000002</x:v>
      </x:c>
      <x:c r="T73" s="11" t="n">
        <x:v>12.898999999999996</x:v>
      </x:c>
      <x:c r="U73" s="11" t="n">
        <x:v>0</x:v>
      </x:c>
      <x:c r="V73" s="11" t="n">
        <x:v>0</x:v>
      </x:c>
      <x:c r="W73" s="11" t="n">
        <x:v>0</x:v>
      </x:c>
      <x:c r="X73" s="13" t="n">
        <x:f>(D73*'Tariff and method'!$B$4+'Tariff and method'!$B$5)*1.05</x:f>
        <x:v>5.909514239999999</x:v>
      </x:c>
      <x:c r="Y73" s="13" t="n">
        <x:f>SUMIF('Import by half hour'!$A$5:$A$7395,A73,'Import by half hour'!$J$5:$J$7395)</x:f>
        <x:v>2.5827215050000003</x:v>
      </x:c>
      <x:c r="Z73" s="13" t="n">
        <x:f>Y73+'Tariff and method'!$B$6*1.05</x:f>
        <x:v>3.1405865050000004</x:v>
      </x:c>
      <x:c r="AA73" s="13" t="n">
        <x:f>X73-Z73</x:f>
        <x:v>2.768927734999999</x:v>
      </x:c>
      <x:c r="AB73" s="13" t="n">
        <x:f>SUMIF('Import by half hour'!$A$5:$A$7395,A73,'Import by half hour'!$K$5:$K$7395)+'Tariff and method'!$B$6*1.05</x:f>
        <x:v>5.77160042375</x:v>
      </x:c>
      <x:c r="AC73" s="13" t="n">
        <x:f>AB73-Z73</x:f>
        <x:v>2.6310139187499995</x:v>
      </x:c>
      <x:c r="AD73" s="13" t="n">
        <x:f>X73-AB73</x:f>
        <x:v>0.13791381624999932</x:v>
      </x:c>
      <x:c r="AE73" s="11" t="n">
        <x:f>M73-H73</x:f>
        <x:v>-4.459000000000005</x:v>
      </x:c>
      <x:c r="AF73" s="14" t="n">
        <x:f>IF(M73=0,"",H73/M73)</x:f>
        <x:v>1.3456857120707038</x:v>
      </x:c>
      <x:c r="AG73" s="11" t="n">
        <x:f>D73-E73-F73-G73</x:f>
        <x:v>0.11041666666666572</x:v>
      </x:c>
      <x:c r="AH73" s="11" t="n">
        <x:f>R73-S73-T73</x:f>
        <x:v>0.0020000000000077733</x:v>
      </x:c>
      <x:c r="AI73" s="13" t="n">
        <x:f>SUM($AA$5:AA73)</x:f>
        <x:v>132.80931914250004</x:v>
      </x:c>
    </x:row>
    <x:row r="74" ht="21" customHeight="1">
      <x:c r="A74" s="10" t="n">
        <x:v>46217</x:v>
      </x:c>
      <x:c r="B74" s="1" t="n">
        <x:v>288</x:v>
      </x:c>
      <x:c r="C74" s="1" t="n">
        <x:v>24</x:v>
      </x:c>
      <x:c r="D74" s="11" t="n">
        <x:v>22.36875</x:v>
      </x:c>
      <x:c r="E74" s="11" t="n">
        <x:v>14.692250000000012</x:v>
      </x:c>
      <x:c r="F74" s="11" t="n">
        <x:v>0</x:v>
      </x:c>
      <x:c r="G74" s="11" t="n">
        <x:v>7.480999999999999</x:v>
      </x:c>
      <x:c r="H74" s="11" t="n">
        <x:v>14.702000000000005</x:v>
      </x:c>
      <x:c r="I74" s="11" t="n">
        <x:v>14.692250000000012</x:v>
      </x:c>
      <x:c r="J74" s="11" t="n">
        <x:v>0</x:v>
      </x:c>
      <x:c r="K74" s="11" t="n">
        <x:v>8.665000000000001</x:v>
      </x:c>
      <x:c r="L74" s="11" t="n">
        <x:v>0</x:v>
      </x:c>
      <x:c r="M74" s="11" t="n">
        <x:v>8.665000000000001</x:v>
      </x:c>
      <x:c r="N74" s="11" t="n">
        <x:v>0</x:v>
      </x:c>
      <x:c r="O74" s="11" t="n">
        <x:v>0</x:v>
      </x:c>
      <x:c r="P74" s="11" t="n">
        <x:v>0</x:v>
      </x:c>
      <x:c r="Q74" s="11" t="n">
        <x:v>0</x:v>
      </x:c>
      <x:c r="R74" s="11" t="n">
        <x:v>16.151</x:v>
      </x:c>
      <x:c r="S74" s="11" t="n">
        <x:v>7.480999999999999</x:v>
      </x:c>
      <x:c r="T74" s="11" t="n">
        <x:v>8.665000000000001</x:v>
      </x:c>
      <x:c r="U74" s="11" t="n">
        <x:v>0</x:v>
      </x:c>
      <x:c r="V74" s="11" t="n">
        <x:v>0</x:v>
      </x:c>
      <x:c r="W74" s="11" t="n">
        <x:v>0</x:v>
      </x:c>
      <x:c r="X74" s="13" t="n">
        <x:f>(D74*'Tariff and method'!$B$4+'Tariff and method'!$B$5)*1.05</x:f>
        <x:v>5.694657937500001</x:v>
      </x:c>
      <x:c r="Y74" s="13" t="n">
        <x:f>SUMIF('Import by half hour'!$A$5:$A$7395,A74,'Import by half hour'!$J$5:$J$7395)</x:f>
        <x:v>2.7897175687500004</x:v>
      </x:c>
      <x:c r="Z74" s="13" t="n">
        <x:f>Y74+'Tariff and method'!$B$6*1.05</x:f>
        <x:v>3.3475825687500005</x:v>
      </x:c>
      <x:c r="AA74" s="13" t="n">
        <x:f>X74-Z74</x:f>
        <x:v>2.34707536875</x:v>
      </x:c>
      <x:c r="AB74" s="13" t="n">
        <x:f>SUMIF('Import by half hour'!$A$5:$A$7395,A74,'Import by half hour'!$K$5:$K$7395)+'Tariff and method'!$B$6*1.05</x:f>
        <x:v>6.024953094999999</x:v>
      </x:c>
      <x:c r="AC74" s="13" t="n">
        <x:f>AB74-Z74</x:f>
        <x:v>2.6773705262499985</x:v>
      </x:c>
      <x:c r="AD74" s="13" t="n">
        <x:f>X74-AB74</x:f>
        <x:v>-0.3302951574999984</x:v>
      </x:c>
      <x:c r="AE74" s="11" t="n">
        <x:f>M74-H74</x:f>
        <x:v>-6.037000000000004</x:v>
      </x:c>
      <x:c r="AF74" s="14" t="n">
        <x:f>IF(M74=0,"",H74/M74)</x:f>
        <x:v>1.696710905943451</x:v>
      </x:c>
      <x:c r="AG74" s="11" t="n">
        <x:f>D74-E74-F74-G74</x:f>
        <x:v>0.19549999999998757</x:v>
      </x:c>
      <x:c r="AH74" s="11" t="n">
        <x:f>R74-S74-T74</x:f>
        <x:v>0.005000000000000782</x:v>
      </x:c>
      <x:c r="AI74" s="13" t="n">
        <x:f>SUM($AA$5:AA74)</x:f>
        <x:v>135.15639451125006</x:v>
      </x:c>
    </x:row>
    <x:row r="75" ht="21" customHeight="1">
      <x:c r="A75" s="10" t="n">
        <x:v>46218</x:v>
      </x:c>
      <x:c r="B75" s="1" t="n">
        <x:v>288</x:v>
      </x:c>
      <x:c r="C75" s="1" t="n">
        <x:v>24</x:v>
      </x:c>
      <x:c r="D75" s="11" t="n">
        <x:v>22.051499999999994</x:v>
      </x:c>
      <x:c r="E75" s="11" t="n">
        <x:v>14.592916666666667</x:v>
      </x:c>
      <x:c r="F75" s="11" t="n">
        <x:v>0</x:v>
      </x:c>
      <x:c r="G75" s="11" t="n">
        <x:v>7.316583333333333</x:v>
      </x:c>
      <x:c r="H75" s="11" t="n">
        <x:v>14.604000000000001</x:v>
      </x:c>
      <x:c r="I75" s="11" t="n">
        <x:v>14.592916666666667</x:v>
      </x:c>
      <x:c r="J75" s="11" t="n">
        <x:v>0</x:v>
      </x:c>
      <x:c r="K75" s="11" t="n">
        <x:v>14.036000000000001</x:v>
      </x:c>
      <x:c r="L75" s="11" t="n">
        <x:v>0</x:v>
      </x:c>
      <x:c r="M75" s="11" t="n">
        <x:v>14.036000000000001</x:v>
      </x:c>
      <x:c r="N75" s="11" t="n">
        <x:v>0</x:v>
      </x:c>
      <x:c r="O75" s="11" t="n">
        <x:v>0</x:v>
      </x:c>
      <x:c r="P75" s="11" t="n">
        <x:v>0</x:v>
      </x:c>
      <x:c r="Q75" s="11" t="n">
        <x:v>0</x:v>
      </x:c>
      <x:c r="R75" s="11" t="n">
        <x:v>21.36558333333333</x:v>
      </x:c>
      <x:c r="S75" s="11" t="n">
        <x:v>7.316583333333333</x:v>
      </x:c>
      <x:c r="T75" s="11" t="n">
        <x:v>14.036000000000001</x:v>
      </x:c>
      <x:c r="U75" s="11" t="n">
        <x:v>0</x:v>
      </x:c>
      <x:c r="V75" s="11" t="n">
        <x:v>0</x:v>
      </x:c>
      <x:c r="W75" s="11" t="n">
        <x:v>0</x:v>
      </x:c>
      <x:c r="X75" s="13" t="n">
        <x:f>(D75*'Tariff and method'!$B$4+'Tariff and method'!$B$5)*1.05</x:f>
        <x:v>5.620507094999999</x:v>
      </x:c>
      <x:c r="Y75" s="13" t="n">
        <x:f>SUMIF('Import by half hour'!$A$5:$A$7395,A75,'Import by half hour'!$J$5:$J$7395)</x:f>
        <x:v>3.6741574100000003</x:v>
      </x:c>
      <x:c r="Z75" s="13" t="n">
        <x:f>Y75+'Tariff and method'!$B$6*1.05</x:f>
        <x:v>4.232022410000001</x:v>
      </x:c>
      <x:c r="AA75" s="13" t="n">
        <x:f>X75-Z75</x:f>
        <x:v>1.388484684999998</x:v>
      </x:c>
      <x:c r="AB75" s="13" t="n">
        <x:f>SUMIF('Import by half hour'!$A$5:$A$7395,A75,'Import by half hour'!$K$5:$K$7395)+'Tariff and method'!$B$6*1.05</x:f>
        <x:v>6.157946996250001</x:v>
      </x:c>
      <x:c r="AC75" s="13" t="n">
        <x:f>AB75-Z75</x:f>
        <x:v>1.9259245862499998</x:v>
      </x:c>
      <x:c r="AD75" s="13" t="n">
        <x:f>X75-AB75</x:f>
        <x:v>-0.5374399012500017</x:v>
      </x:c>
      <x:c r="AE75" s="11" t="n">
        <x:f>M75-H75</x:f>
        <x:v>-0.5679999999999996</x:v>
      </x:c>
      <x:c r="AF75" s="14" t="n">
        <x:f>IF(M75=0,"",H75/M75)</x:f>
        <x:v>1.0404673696209745</x:v>
      </x:c>
      <x:c r="AG75" s="11" t="n">
        <x:f>D75-E75-F75-G75</x:f>
        <x:v>0.14199999999999324</x:v>
      </x:c>
      <x:c r="AH75" s="11" t="n">
        <x:f>R75-S75-T75</x:f>
        <x:v>0.012999999999994571</x:v>
      </x:c>
      <x:c r="AI75" s="13" t="n">
        <x:f>SUM($AA$5:AA75)</x:f>
        <x:v>136.54487919625006</x:v>
      </x:c>
    </x:row>
    <x:row r="76" ht="21" customHeight="1">
      <x:c r="A76" s="10" t="n">
        <x:v>46219</x:v>
      </x:c>
      <x:c r="B76" s="1" t="n">
        <x:v>288</x:v>
      </x:c>
      <x:c r="C76" s="1" t="n">
        <x:v>24</x:v>
      </x:c>
      <x:c r="D76" s="11" t="n">
        <x:v>23.12616666666667</x:v>
      </x:c>
      <x:c r="E76" s="11" t="n">
        <x:v>16.407166666666665</x:v>
      </x:c>
      <x:c r="F76" s="11" t="n">
        <x:v>0</x:v>
      </x:c>
      <x:c r="G76" s="11" t="n">
        <x:v>6.5743333333333345</x:v>
      </x:c>
      <x:c r="H76" s="11" t="n">
        <x:v>16.419000000000004</x:v>
      </x:c>
      <x:c r="I76" s="11" t="n">
        <x:v>16.407166666666665</x:v>
      </x:c>
      <x:c r="J76" s="11" t="n">
        <x:v>0</x:v>
      </x:c>
      <x:c r="K76" s="11" t="n">
        <x:v>12.838999999999999</x:v>
      </x:c>
      <x:c r="L76" s="11" t="n">
        <x:v>0</x:v>
      </x:c>
      <x:c r="M76" s="11" t="n">
        <x:v>12.838999999999999</x:v>
      </x:c>
      <x:c r="N76" s="11" t="n">
        <x:v>0</x:v>
      </x:c>
      <x:c r="O76" s="11" t="n">
        <x:v>0</x:v>
      </x:c>
      <x:c r="P76" s="11" t="n">
        <x:v>0</x:v>
      </x:c>
      <x:c r="Q76" s="11" t="n">
        <x:v>0</x:v>
      </x:c>
      <x:c r="R76" s="11" t="n">
        <x:v>19.413333333333348</x:v>
      </x:c>
      <x:c r="S76" s="11" t="n">
        <x:v>6.5743333333333345</x:v>
      </x:c>
      <x:c r="T76" s="11" t="n">
        <x:v>12.838999999999999</x:v>
      </x:c>
      <x:c r="U76" s="11" t="n">
        <x:v>0</x:v>
      </x:c>
      <x:c r="V76" s="11" t="n">
        <x:v>0</x:v>
      </x:c>
      <x:c r="W76" s="11" t="n">
        <x:v>0</x:v>
      </x:c>
      <x:c r="X76" s="13" t="n">
        <x:f>(D76*'Tariff and method'!$B$4+'Tariff and method'!$B$5)*1.05</x:f>
        <x:v>5.871688935000001</x:v>
      </x:c>
      <x:c r="Y76" s="13" t="n">
        <x:f>SUMIF('Import by half hour'!$A$5:$A$7395,A76,'Import by half hour'!$J$5:$J$7395)</x:f>
        <x:v>3.5975586762500007</x:v>
      </x:c>
      <x:c r="Z76" s="13" t="n">
        <x:f>Y76+'Tariff and method'!$B$6*1.05</x:f>
        <x:v>4.155423676250001</x:v>
      </x:c>
      <x:c r="AA76" s="13" t="n">
        <x:f>X76-Z76</x:f>
        <x:v>1.71626525875</x:v>
      </x:c>
      <x:c r="AB76" s="13" t="n">
        <x:f>SUMIF('Import by half hour'!$A$5:$A$7395,A76,'Import by half hour'!$K$5:$K$7395)+'Tariff and method'!$B$6*1.05</x:f>
        <x:v>7.509564300000001</x:v>
      </x:c>
      <x:c r="AC76" s="13" t="n">
        <x:f>AB76-Z76</x:f>
        <x:v>3.35414062375</x:v>
      </x:c>
      <x:c r="AD76" s="13" t="n">
        <x:f>X76-AB76</x:f>
        <x:v>-1.6378753650000002</x:v>
      </x:c>
      <x:c r="AE76" s="11" t="n">
        <x:f>M76-H76</x:f>
        <x:v>-3.5800000000000054</x:v>
      </x:c>
      <x:c r="AF76" s="14" t="n">
        <x:f>IF(M76=0,"",H76/M76)</x:f>
        <x:v>1.2788379157255243</x:v>
      </x:c>
      <x:c r="AG76" s="11" t="n">
        <x:f>D76-E76-F76-G76</x:f>
        <x:v>0.14466666666667027</x:v>
      </x:c>
      <x:c r="AH76" s="11" t="n">
        <x:f>R76-S76-T76</x:f>
        <x:v>1.4210854715202004e-14</x:v>
      </x:c>
      <x:c r="AI76" s="13" t="n">
        <x:f>SUM($AA$5:AA76)</x:f>
        <x:v>138.26114445500008</x:v>
      </x:c>
    </x:row>
    <x:row r="77" ht="21" customHeight="1">
      <x:c r="A77" s="10" t="n">
        <x:v>46220</x:v>
      </x:c>
      <x:c r="B77" s="1" t="n">
        <x:v>288</x:v>
      </x:c>
      <x:c r="C77" s="1" t="n">
        <x:v>24</x:v>
      </x:c>
      <x:c r="D77" s="11" t="n">
        <x:v>25.453833333333336</x:v>
      </x:c>
      <x:c r="E77" s="11" t="n">
        <x:v>14.671249999999992</x:v>
      </x:c>
      <x:c r="F77" s="11" t="n">
        <x:v>0</x:v>
      </x:c>
      <x:c r="G77" s="11" t="n">
        <x:v>10.546166666666666</x:v>
      </x:c>
      <x:c r="H77" s="11" t="n">
        <x:v>14.678999999999993</x:v>
      </x:c>
      <x:c r="I77" s="11" t="n">
        <x:v>14.671249999999992</x:v>
      </x:c>
      <x:c r="J77" s="11" t="n">
        <x:v>0</x:v>
      </x:c>
      <x:c r="K77" s="11" t="n">
        <x:v>16.454</x:v>
      </x:c>
      <x:c r="L77" s="11" t="n">
        <x:v>0</x:v>
      </x:c>
      <x:c r="M77" s="11" t="n">
        <x:v>16.454</x:v>
      </x:c>
      <x:c r="N77" s="11" t="n">
        <x:v>0</x:v>
      </x:c>
      <x:c r="O77" s="11" t="n">
        <x:v>0</x:v>
      </x:c>
      <x:c r="P77" s="11" t="n">
        <x:v>0</x:v>
      </x:c>
      <x:c r="Q77" s="11" t="n">
        <x:v>0</x:v>
      </x:c>
      <x:c r="R77" s="11" t="n">
        <x:v>27.00416666666667</x:v>
      </x:c>
      <x:c r="S77" s="11" t="n">
        <x:v>10.546166666666666</x:v>
      </x:c>
      <x:c r="T77" s="11" t="n">
        <x:v>16.454</x:v>
      </x:c>
      <x:c r="U77" s="11" t="n">
        <x:v>0</x:v>
      </x:c>
      <x:c r="V77" s="11" t="n">
        <x:v>0</x:v>
      </x:c>
      <x:c r="W77" s="11" t="n">
        <x:v>0</x:v>
      </x:c>
      <x:c r="X77" s="13" t="n">
        <x:f>(D77*'Tariff and method'!$B$4+'Tariff and method'!$B$5)*1.05</x:f>
        <x:v>6.415734465000001</x:v>
      </x:c>
      <x:c r="Y77" s="13" t="n">
        <x:f>SUMIF('Import by half hour'!$A$5:$A$7395,A77,'Import by half hour'!$J$5:$J$7395)</x:f>
        <x:v>5.2452339625</x:v>
      </x:c>
      <x:c r="Z77" s="13" t="n">
        <x:f>Y77+'Tariff and method'!$B$6*1.05</x:f>
        <x:v>5.8030989625</x:v>
      </x:c>
      <x:c r="AA77" s="13" t="n">
        <x:f>X77-Z77</x:f>
        <x:v>0.6126355025000008</x:v>
      </x:c>
      <x:c r="AB77" s="13" t="n">
        <x:f>SUMIF('Import by half hour'!$A$5:$A$7395,A77,'Import by half hour'!$K$5:$K$7395)+'Tariff and method'!$B$6*1.05</x:f>
        <x:v>7.096443488750001</x:v>
      </x:c>
      <x:c r="AC77" s="13" t="n">
        <x:f>AB77-Z77</x:f>
        <x:v>1.2933445262500012</x:v>
      </x:c>
      <x:c r="AD77" s="13" t="n">
        <x:f>X77-AB77</x:f>
        <x:v>-0.6807090237500004</x:v>
      </x:c>
      <x:c r="AE77" s="11" t="n">
        <x:f>M77-H77</x:f>
        <x:v>1.7750000000000075</x:v>
      </x:c>
      <x:c r="AF77" s="14" t="n">
        <x:f>IF(M77=0,"",H77/M77)</x:f>
        <x:v>0.8921234958064904</x:v>
      </x:c>
      <x:c r="AG77" s="11" t="n">
        <x:f>D77-E77-F77-G77</x:f>
        <x:v>0.2364166666666776</x:v>
      </x:c>
      <x:c r="AH77" s="11" t="n">
        <x:f>R77-S77-T77</x:f>
        <x:v>0.0040000000000048885</x:v>
      </x:c>
      <x:c r="AI77" s="13" t="n">
        <x:f>SUM($AA$5:AA77)</x:f>
        <x:v>138.8737799575001</x:v>
      </x:c>
    </x:row>
    <x:row r="78" ht="21" customHeight="1">
      <x:c r="A78" s="10" t="n">
        <x:v>46221</x:v>
      </x:c>
      <x:c r="B78" s="1" t="n">
        <x:v>288</x:v>
      </x:c>
      <x:c r="C78" s="1" t="n">
        <x:v>24</x:v>
      </x:c>
      <x:c r="D78" s="11" t="n">
        <x:v>23.77474999999999</x:v>
      </x:c>
      <x:c r="E78" s="11" t="n">
        <x:v>13.969499999999998</x:v>
      </x:c>
      <x:c r="F78" s="11" t="n">
        <x:v>0</x:v>
      </x:c>
      <x:c r="G78" s="11" t="n">
        <x:v>9.713999999999997</x:v>
      </x:c>
      <x:c r="H78" s="11" t="n">
        <x:v>13.979999999999999</x:v>
      </x:c>
      <x:c r="I78" s="11" t="n">
        <x:v>13.969499999999998</x:v>
      </x:c>
      <x:c r="J78" s="11" t="n">
        <x:v>0</x:v>
      </x:c>
      <x:c r="K78" s="11" t="n">
        <x:v>21.376</x:v>
      </x:c>
      <x:c r="L78" s="11" t="n">
        <x:v>0</x:v>
      </x:c>
      <x:c r="M78" s="11" t="n">
        <x:v>21.376</x:v>
      </x:c>
      <x:c r="N78" s="11" t="n">
        <x:v>0</x:v>
      </x:c>
      <x:c r="O78" s="11" t="n">
        <x:v>0</x:v>
      </x:c>
      <x:c r="P78" s="11" t="n">
        <x:v>0</x:v>
      </x:c>
      <x:c r="Q78" s="11" t="n">
        <x:v>0</x:v>
      </x:c>
      <x:c r="R78" s="11" t="n">
        <x:v>31.095000000000002</x:v>
      </x:c>
      <x:c r="S78" s="11" t="n">
        <x:v>9.713999999999997</x:v>
      </x:c>
      <x:c r="T78" s="11" t="n">
        <x:v>21.376</x:v>
      </x:c>
      <x:c r="U78" s="11" t="n">
        <x:v>0</x:v>
      </x:c>
      <x:c r="V78" s="11" t="n">
        <x:v>0</x:v>
      </x:c>
      <x:c r="W78" s="11" t="n">
        <x:v>0</x:v>
      </x:c>
      <x:c r="X78" s="13" t="n">
        <x:f>(D78*'Tariff and method'!$B$4+'Tariff and method'!$B$5)*1.05</x:f>
        <x:v>6.023282317499998</x:v>
      </x:c>
      <x:c r="Y78" s="13" t="n">
        <x:f>SUMIF('Import by half hour'!$A$5:$A$7395,A78,'Import by half hour'!$J$5:$J$7395)</x:f>
        <x:v>2.1282631475</x:v>
      </x:c>
      <x:c r="Z78" s="13" t="n">
        <x:f>Y78+'Tariff and method'!$B$6*1.05</x:f>
        <x:v>2.6861281475</x:v>
      </x:c>
      <x:c r="AA78" s="13" t="n">
        <x:f>X78-Z78</x:f>
        <x:v>3.337154169999998</x:v>
      </x:c>
      <x:c r="AB78" s="13" t="n">
        <x:f>SUMIF('Import by half hour'!$A$5:$A$7395,A78,'Import by half hour'!$K$5:$K$7395)+'Tariff and method'!$B$6*1.05</x:f>
        <x:v>4.9227958237500005</x:v>
      </x:c>
      <x:c r="AC78" s="13" t="n">
        <x:f>AB78-Z78</x:f>
        <x:v>2.2366676762500006</x:v>
      </x:c>
      <x:c r="AD78" s="13" t="n">
        <x:f>X78-AB78</x:f>
        <x:v>1.1004864937499974</x:v>
      </x:c>
      <x:c r="AE78" s="11" t="n">
        <x:f>M78-H78</x:f>
        <x:v>7.396000000000003</x:v>
      </x:c>
      <x:c r="AF78" s="14" t="n">
        <x:f>IF(M78=0,"",H78/M78)</x:f>
        <x:v>0.654004491017964</x:v>
      </x:c>
      <x:c r="AG78" s="11" t="n">
        <x:f>D78-E78-F78-G78</x:f>
        <x:v>0.09124999999999517</x:v>
      </x:c>
      <x:c r="AH78" s="11" t="n">
        <x:f>R78-S78-T78</x:f>
        <x:v>0.005000000000006111</x:v>
      </x:c>
      <x:c r="AI78" s="13" t="n">
        <x:f>SUM($AA$5:AA78)</x:f>
        <x:v>142.21093412750008</x:v>
      </x:c>
    </x:row>
    <x:row r="79" ht="21" customHeight="1">
      <x:c r="A79" s="10" t="n">
        <x:v>46222</x:v>
      </x:c>
      <x:c r="B79" s="1" t="n">
        <x:v>288</x:v>
      </x:c>
      <x:c r="C79" s="1" t="n">
        <x:v>24</x:v>
      </x:c>
      <x:c r="D79" s="11" t="n">
        <x:v>20.80466666666667</x:v>
      </x:c>
      <x:c r="E79" s="11" t="n">
        <x:v>12.022166666666672</x:v>
      </x:c>
      <x:c r="F79" s="11" t="n">
        <x:v>0</x:v>
      </x:c>
      <x:c r="G79" s="11" t="n">
        <x:v>8.554250000000005</x:v>
      </x:c>
      <x:c r="H79" s="11" t="n">
        <x:v>12.031</x:v>
      </x:c>
      <x:c r="I79" s="11" t="n">
        <x:v>12.022166666666672</x:v>
      </x:c>
      <x:c r="J79" s="11" t="n">
        <x:v>0</x:v>
      </x:c>
      <x:c r="K79" s="11" t="n">
        <x:v>5.073</x:v>
      </x:c>
      <x:c r="L79" s="11" t="n">
        <x:v>0</x:v>
      </x:c>
      <x:c r="M79" s="11" t="n">
        <x:v>5.073</x:v>
      </x:c>
      <x:c r="N79" s="11" t="n">
        <x:v>0</x:v>
      </x:c>
      <x:c r="O79" s="11" t="n">
        <x:v>0</x:v>
      </x:c>
      <x:c r="P79" s="11" t="n">
        <x:v>0</x:v>
      </x:c>
      <x:c r="Q79" s="11" t="n">
        <x:v>0</x:v>
      </x:c>
      <x:c r="R79" s="11" t="n">
        <x:v>13.642250000000002</x:v>
      </x:c>
      <x:c r="S79" s="11" t="n">
        <x:v>8.554250000000005</x:v>
      </x:c>
      <x:c r="T79" s="11" t="n">
        <x:v>5.073</x:v>
      </x:c>
      <x:c r="U79" s="11" t="n">
        <x:v>0</x:v>
      </x:c>
      <x:c r="V79" s="11" t="n">
        <x:v>0</x:v>
      </x:c>
      <x:c r="W79" s="11" t="n">
        <x:v>0</x:v>
      </x:c>
      <x:c r="X79" s="13" t="n">
        <x:f>(D79*'Tariff and method'!$B$4+'Tariff and method'!$B$5)*1.05</x:f>
        <x:v>5.329084740000001</x:v>
      </x:c>
      <x:c r="Y79" s="13" t="n">
        <x:f>SUMIF('Import by half hour'!$A$5:$A$7395,A79,'Import by half hour'!$J$5:$J$7395)</x:f>
        <x:v>1.3467858775000003</x:v>
      </x:c>
      <x:c r="Z79" s="13" t="n">
        <x:f>Y79+'Tariff and method'!$B$6*1.05</x:f>
        <x:v>1.9046508775000004</x:v>
      </x:c>
      <x:c r="AA79" s="13" t="n">
        <x:f>X79-Z79</x:f>
        <x:v>3.4244338625000004</x:v>
      </x:c>
      <x:c r="AB79" s="13" t="n">
        <x:f>SUMIF('Import by half hour'!$A$5:$A$7395,A79,'Import by half hour'!$K$5:$K$7395)+'Tariff and method'!$B$6*1.05</x:f>
        <x:v>4.5397691325</x:v>
      </x:c>
      <x:c r="AC79" s="13" t="n">
        <x:f>AB79-Z79</x:f>
        <x:v>2.6351182549999996</x:v>
      </x:c>
      <x:c r="AD79" s="13" t="n">
        <x:f>X79-AB79</x:f>
        <x:v>0.7893156075000007</x:v>
      </x:c>
      <x:c r="AE79" s="11" t="n">
        <x:f>M79-H79</x:f>
        <x:v>-6.958</x:v>
      </x:c>
      <x:c r="AF79" s="14" t="n">
        <x:f>IF(M79=0,"",H79/M79)</x:f>
        <x:v>2.3715750049280504</x:v>
      </x:c>
      <x:c r="AG79" s="11" t="n">
        <x:f>D79-E79-F79-G79</x:f>
        <x:v>0.22824999999999207</x:v>
      </x:c>
      <x:c r="AH79" s="11" t="n">
        <x:f>R79-S79-T79</x:f>
        <x:v>0.014999999999997016</x:v>
      </x:c>
      <x:c r="AI79" s="13" t="n">
        <x:f>SUM($AA$5:AA79)</x:f>
        <x:v>145.63536799000008</x:v>
      </x:c>
    </x:row>
    <x:row r="80" ht="21" customHeight="1">
      <x:c r="A80" s="10" t="n">
        <x:v>46223</x:v>
      </x:c>
      <x:c r="B80" s="1" t="n">
        <x:v>288</x:v>
      </x:c>
      <x:c r="C80" s="1" t="n">
        <x:v>24</x:v>
      </x:c>
      <x:c r="D80" s="11" t="n">
        <x:v>22.246333333333343</x:v>
      </x:c>
      <x:c r="E80" s="11" t="n">
        <x:v>10.339750000000004</x:v>
      </x:c>
      <x:c r="F80" s="11" t="n">
        <x:v>0</x:v>
      </x:c>
      <x:c r="G80" s="11" t="n">
        <x:v>11.600583333333343</x:v>
      </x:c>
      <x:c r="H80" s="11" t="n">
        <x:v>10.346000000000004</x:v>
      </x:c>
      <x:c r="I80" s="11" t="n">
        <x:v>10.339750000000004</x:v>
      </x:c>
      <x:c r="J80" s="11" t="n">
        <x:v>0</x:v>
      </x:c>
      <x:c r="K80" s="11" t="n">
        <x:v>8.186</x:v>
      </x:c>
      <x:c r="L80" s="11" t="n">
        <x:v>0</x:v>
      </x:c>
      <x:c r="M80" s="11" t="n">
        <x:v>8.186</x:v>
      </x:c>
      <x:c r="N80" s="11" t="n">
        <x:v>0</x:v>
      </x:c>
      <x:c r="O80" s="11" t="n">
        <x:v>0</x:v>
      </x:c>
      <x:c r="P80" s="11" t="n">
        <x:v>0</x:v>
      </x:c>
      <x:c r="Q80" s="11" t="n">
        <x:v>0</x:v>
      </x:c>
      <x:c r="R80" s="11" t="n">
        <x:v>19.79858333333334</x:v>
      </x:c>
      <x:c r="S80" s="11" t="n">
        <x:v>11.600583333333343</x:v>
      </x:c>
      <x:c r="T80" s="11" t="n">
        <x:v>8.186</x:v>
      </x:c>
      <x:c r="U80" s="11" t="n">
        <x:v>0</x:v>
      </x:c>
      <x:c r="V80" s="11" t="n">
        <x:v>0</x:v>
      </x:c>
      <x:c r="W80" s="11" t="n">
        <x:v>0</x:v>
      </x:c>
      <x:c r="X80" s="13" t="n">
        <x:f>(D80*'Tariff and method'!$B$4+'Tariff and method'!$B$5)*1.05</x:f>
        <x:v>5.666045490000003</x:v>
      </x:c>
      <x:c r="Y80" s="13" t="n">
        <x:f>SUMIF('Import by half hour'!$A$5:$A$7395,A80,'Import by half hour'!$J$5:$J$7395)</x:f>
        <x:v>4.436028826250001</x:v>
      </x:c>
      <x:c r="Z80" s="13" t="n">
        <x:f>Y80+'Tariff and method'!$B$6*1.05</x:f>
        <x:v>4.993893826250002</x:v>
      </x:c>
      <x:c r="AA80" s="13" t="n">
        <x:f>X80-Z80</x:f>
        <x:v>0.6721516637500011</x:v>
      </x:c>
      <x:c r="AB80" s="13" t="n">
        <x:f>SUMIF('Import by half hour'!$A$5:$A$7395,A80,'Import by half hour'!$K$5:$K$7395)+'Tariff and method'!$B$6*1.05</x:f>
        <x:v>6.7312885675</x:v>
      </x:c>
      <x:c r="AC80" s="13" t="n">
        <x:f>AB80-Z80</x:f>
        <x:v>1.7373947412499984</x:v>
      </x:c>
      <x:c r="AD80" s="13" t="n">
        <x:f>X80-AB80</x:f>
        <x:v>-1.0652430774999972</x:v>
      </x:c>
      <x:c r="AE80" s="11" t="n">
        <x:f>M80-H80</x:f>
        <x:v>-2.1600000000000037</x:v>
      </x:c>
      <x:c r="AF80" s="14" t="n">
        <x:f>IF(M80=0,"",H80/M80)</x:f>
        <x:v>1.2638651355973618</x:v>
      </x:c>
      <x:c r="AG80" s="11" t="n">
        <x:f>D80-E80-F80-G80</x:f>
        <x:v>0.3059999999999956</x:v>
      </x:c>
      <x:c r="AH80" s="11" t="n">
        <x:f>R80-S80-T80</x:f>
        <x:v>0.011999999999996902</x:v>
      </x:c>
      <x:c r="AI80" s="13" t="n">
        <x:f>SUM($AA$5:AA80)</x:f>
        <x:v>146.3075196537501</x:v>
      </x:c>
    </x:row>
    <x:row r="81" ht="21" customHeight="1">
      <x:c r="A81" s="10" t="n">
        <x:v>46224</x:v>
      </x:c>
      <x:c r="B81" s="1" t="n">
        <x:v>288</x:v>
      </x:c>
      <x:c r="C81" s="1" t="n">
        <x:v>24</x:v>
      </x:c>
      <x:c r="D81" s="11" t="n">
        <x:v>22.082749999999994</x:v>
      </x:c>
      <x:c r="E81" s="11" t="n">
        <x:v>9.438999999999998</x:v>
      </x:c>
      <x:c r="F81" s="11" t="n">
        <x:v>0</x:v>
      </x:c>
      <x:c r="G81" s="11" t="n">
        <x:v>12.329833333333335</x:v>
      </x:c>
      <x:c r="H81" s="11" t="n">
        <x:v>9.445999999999996</x:v>
      </x:c>
      <x:c r="I81" s="11" t="n">
        <x:v>9.438999999999998</x:v>
      </x:c>
      <x:c r="J81" s="11" t="n">
        <x:v>0</x:v>
      </x:c>
      <x:c r="K81" s="11" t="n">
        <x:v>8.793000000000001</x:v>
      </x:c>
      <x:c r="L81" s="11" t="n">
        <x:v>0</x:v>
      </x:c>
      <x:c r="M81" s="11" t="n">
        <x:v>8.793000000000001</x:v>
      </x:c>
      <x:c r="N81" s="11" t="n">
        <x:v>0</x:v>
      </x:c>
      <x:c r="O81" s="11" t="n">
        <x:v>0</x:v>
      </x:c>
      <x:c r="P81" s="11" t="n">
        <x:v>0</x:v>
      </x:c>
      <x:c r="Q81" s="11" t="n">
        <x:v>0</x:v>
      </x:c>
      <x:c r="R81" s="11" t="n">
        <x:v>21.13483333333333</x:v>
      </x:c>
      <x:c r="S81" s="11" t="n">
        <x:v>12.329833333333335</x:v>
      </x:c>
      <x:c r="T81" s="11" t="n">
        <x:v>8.793000000000001</x:v>
      </x:c>
      <x:c r="U81" s="11" t="n">
        <x:v>0</x:v>
      </x:c>
      <x:c r="V81" s="11" t="n">
        <x:v>0</x:v>
      </x:c>
      <x:c r="W81" s="11" t="n">
        <x:v>0</x:v>
      </x:c>
      <x:c r="X81" s="13" t="n">
        <x:f>(D81*'Tariff and method'!$B$4+'Tariff and method'!$B$5)*1.05</x:f>
        <x:v>5.627811157499999</x:v>
      </x:c>
      <x:c r="Y81" s="13" t="n">
        <x:f>SUMIF('Import by half hour'!$A$5:$A$7395,A81,'Import by half hour'!$J$5:$J$7395)</x:f>
        <x:v>4.5094678649999995</x:v>
      </x:c>
      <x:c r="Z81" s="13" t="n">
        <x:f>Y81+'Tariff and method'!$B$6*1.05</x:f>
        <x:v>5.067332864999999</x:v>
      </x:c>
      <x:c r="AA81" s="13" t="n">
        <x:f>X81-Z81</x:f>
        <x:v>0.5604782925</x:v>
      </x:c>
      <x:c r="AB81" s="13" t="n">
        <x:f>SUMIF('Import by half hour'!$A$5:$A$7395,A81,'Import by half hour'!$K$5:$K$7395)+'Tariff and method'!$B$6*1.05</x:f>
        <x:v>6.287918831250002</x:v>
      </x:c>
      <x:c r="AC81" s="13" t="n">
        <x:f>AB81-Z81</x:f>
        <x:v>1.2205859662500025</x:v>
      </x:c>
      <x:c r="AD81" s="13" t="n">
        <x:f>X81-AB81</x:f>
        <x:v>-0.6601076737500025</x:v>
      </x:c>
      <x:c r="AE81" s="11" t="n">
        <x:f>M81-H81</x:f>
        <x:v>-0.6529999999999951</x:v>
      </x:c>
      <x:c r="AF81" s="14" t="n">
        <x:f>IF(M81=0,"",H81/M81)</x:f>
        <x:v>1.0742636187876715</x:v>
      </x:c>
      <x:c r="AG81" s="11" t="n">
        <x:f>D81-E81-F81-G81</x:f>
        <x:v>0.3139166666666604</x:v>
      </x:c>
      <x:c r="AH81" s="11" t="n">
        <x:f>R81-S81-T81</x:f>
        <x:v>0.01199999999999335</x:v>
      </x:c>
      <x:c r="AI81" s="13" t="n">
        <x:f>SUM($AA$5:AA81)</x:f>
        <x:v>146.86799794625009</x:v>
      </x:c>
    </x:row>
    <x:row r="82" ht="21" customHeight="1">
      <x:c r="A82" s="10" t="n">
        <x:v>46225</x:v>
      </x:c>
      <x:c r="B82" s="1" t="n">
        <x:v>288</x:v>
      </x:c>
      <x:c r="C82" s="1" t="n">
        <x:v>24</x:v>
      </x:c>
      <x:c r="D82" s="11" t="n">
        <x:v>21.688583333333334</x:v>
      </x:c>
      <x:c r="E82" s="11" t="n">
        <x:v>6.897750000000002</x:v>
      </x:c>
      <x:c r="F82" s="11" t="n">
        <x:v>0</x:v>
      </x:c>
      <x:c r="G82" s="11" t="n">
        <x:v>14.426666666666664</x:v>
      </x:c>
      <x:c r="H82" s="11" t="n">
        <x:v>6.902</x:v>
      </x:c>
      <x:c r="I82" s="11" t="n">
        <x:v>6.897750000000002</x:v>
      </x:c>
      <x:c r="J82" s="11" t="n">
        <x:v>0</x:v>
      </x:c>
      <x:c r="K82" s="11" t="n">
        <x:v>7.383</x:v>
      </x:c>
      <x:c r="L82" s="11" t="n">
        <x:v>0</x:v>
      </x:c>
      <x:c r="M82" s="11" t="n">
        <x:v>7.383</x:v>
      </x:c>
      <x:c r="N82" s="11" t="n">
        <x:v>0</x:v>
      </x:c>
      <x:c r="O82" s="11" t="n">
        <x:v>0</x:v>
      </x:c>
      <x:c r="P82" s="11" t="n">
        <x:v>0</x:v>
      </x:c>
      <x:c r="Q82" s="11" t="n">
        <x:v>0</x:v>
      </x:c>
      <x:c r="R82" s="11" t="n">
        <x:v>21.815666666666672</x:v>
      </x:c>
      <x:c r="S82" s="11" t="n">
        <x:v>14.426666666666664</x:v>
      </x:c>
      <x:c r="T82" s="11" t="n">
        <x:v>7.383</x:v>
      </x:c>
      <x:c r="U82" s="11" t="n">
        <x:v>0</x:v>
      </x:c>
      <x:c r="V82" s="11" t="n">
        <x:v>0</x:v>
      </x:c>
      <x:c r="W82" s="11" t="n">
        <x:v>0</x:v>
      </x:c>
      <x:c r="X82" s="13" t="n">
        <x:f>(D82*'Tariff and method'!$B$4+'Tariff and method'!$B$5)*1.05</x:f>
        <x:v>5.535682582500001</x:v>
      </x:c>
      <x:c r="Y82" s="13" t="n">
        <x:f>SUMIF('Import by half hour'!$A$5:$A$7395,A82,'Import by half hour'!$J$5:$J$7395)</x:f>
        <x:v>4.931623164999999</x:v>
      </x:c>
      <x:c r="Z82" s="13" t="n">
        <x:f>Y82+'Tariff and method'!$B$6*1.05</x:f>
        <x:v>5.489488164999999</x:v>
      </x:c>
      <x:c r="AA82" s="13" t="n">
        <x:f>X82-Z82</x:f>
        <x:v>0.04619441750000153</x:v>
      </x:c>
      <x:c r="AB82" s="13" t="n">
        <x:f>SUMIF('Import by half hour'!$A$5:$A$7395,A82,'Import by half hour'!$K$5:$K$7395)+'Tariff and method'!$B$6*1.05</x:f>
        <x:v>6.315747952500001</x:v>
      </x:c>
      <x:c r="AC82" s="13" t="n">
        <x:f>AB82-Z82</x:f>
        <x:v>0.8262597875000015</x:v>
      </x:c>
      <x:c r="AD82" s="13" t="n">
        <x:f>X82-AB82</x:f>
        <x:v>-0.78006537</x:v>
      </x:c>
      <x:c r="AE82" s="11" t="n">
        <x:f>M82-H82</x:f>
        <x:v>0.48099999999999987</x:v>
      </x:c>
      <x:c r="AF82" s="14" t="n">
        <x:f>IF(M82=0,"",H82/M82)</x:f>
        <x:v>0.9348503318434241</x:v>
      </x:c>
      <x:c r="AG82" s="11" t="n">
        <x:f>D82-E82-F82-G82</x:f>
        <x:v>0.36416666666666764</x:v>
      </x:c>
      <x:c r="AH82" s="11" t="n">
        <x:f>R82-S82-T82</x:f>
        <x:v>0.006000000000008221</x:v>
      </x:c>
      <x:c r="AI82" s="13" t="n">
        <x:f>SUM($AA$5:AA82)</x:f>
        <x:v>146.9141923637501</x:v>
      </x:c>
    </x:row>
    <x:row r="83" ht="21" customHeight="1">
      <x:c r="A83" s="10" t="n">
        <x:v>46226</x:v>
      </x:c>
      <x:c r="B83" s="1" t="n">
        <x:v>288</x:v>
      </x:c>
      <x:c r="C83" s="1" t="n">
        <x:v>24</x:v>
      </x:c>
      <x:c r="D83" s="11" t="n">
        <x:v>22.34675000000001</x:v>
      </x:c>
      <x:c r="E83" s="11" t="n">
        <x:v>12.296916666666668</x:v>
      </x:c>
      <x:c r="F83" s="11" t="n">
        <x:v>0</x:v>
      </x:c>
      <x:c r="G83" s="11" t="n">
        <x:v>9.832500000000003</x:v>
      </x:c>
      <x:c r="H83" s="11" t="n">
        <x:v>12.305999999999996</x:v>
      </x:c>
      <x:c r="I83" s="11" t="n">
        <x:v>12.296916666666668</x:v>
      </x:c>
      <x:c r="J83" s="11" t="n">
        <x:v>0</x:v>
      </x:c>
      <x:c r="K83" s="11" t="n">
        <x:v>27.666</x:v>
      </x:c>
      <x:c r="L83" s="11" t="n">
        <x:v>0</x:v>
      </x:c>
      <x:c r="M83" s="11" t="n">
        <x:v>27.665</x:v>
      </x:c>
      <x:c r="N83" s="11" t="n">
        <x:v>0</x:v>
      </x:c>
      <x:c r="O83" s="11" t="n">
        <x:v>0</x:v>
      </x:c>
      <x:c r="P83" s="11" t="n">
        <x:v>0</x:v>
      </x:c>
      <x:c r="Q83" s="11" t="n">
        <x:v>0</x:v>
      </x:c>
      <x:c r="R83" s="11" t="n">
        <x:v>37.499500000000005</x:v>
      </x:c>
      <x:c r="S83" s="11" t="n">
        <x:v>9.832500000000003</x:v>
      </x:c>
      <x:c r="T83" s="11" t="n">
        <x:v>27.665</x:v>
      </x:c>
      <x:c r="U83" s="11" t="n">
        <x:v>0</x:v>
      </x:c>
      <x:c r="V83" s="11" t="n">
        <x:v>0</x:v>
      </x:c>
      <x:c r="W83" s="11" t="n">
        <x:v>0</x:v>
      </x:c>
      <x:c r="X83" s="13" t="n">
        <x:f>(D83*'Tariff and method'!$B$4+'Tariff and method'!$B$5)*1.05</x:f>
        <x:v>5.6895158775000025</x:v>
      </x:c>
      <x:c r="Y83" s="13" t="n">
        <x:f>SUMIF('Import by half hour'!$A$5:$A$7395,A83,'Import by half hour'!$J$5:$J$7395)</x:f>
        <x:v>8.681882107499998</x:v>
      </x:c>
      <x:c r="Z83" s="13" t="n">
        <x:f>Y83+'Tariff and method'!$B$6*1.05</x:f>
        <x:v>9.239747107499998</x:v>
      </x:c>
      <x:c r="AA83" s="13" t="n">
        <x:f>X83-Z83</x:f>
        <x:v>-3.550231229999995</x:v>
      </x:c>
      <x:c r="AB83" s="13" t="n">
        <x:f>SUMIF('Import by half hour'!$A$5:$A$7395,A83,'Import by half hour'!$K$5:$K$7395)+'Tariff and method'!$B$6*1.05</x:f>
        <x:v>7.152134718750002</x:v>
      </x:c>
      <x:c r="AC83" s="13" t="n">
        <x:f>AB83-Z83</x:f>
        <x:v>-2.0876123887499958</x:v>
      </x:c>
      <x:c r="AD83" s="13" t="n">
        <x:f>X83-AB83</x:f>
        <x:v>-1.4626188412499994</x:v>
      </x:c>
      <x:c r="AE83" s="11" t="n">
        <x:f>M83-H83</x:f>
        <x:v>15.359000000000004</x:v>
      </x:c>
      <x:c r="AF83" s="14" t="n">
        <x:f>IF(M83=0,"",H83/M83)</x:f>
        <x:v>0.4448219772275437</x:v>
      </x:c>
      <x:c r="AG83" s="11" t="n">
        <x:f>D83-E83-F83-G83</x:f>
        <x:v>0.2173333333333396</x:v>
      </x:c>
      <x:c r="AH83" s="11" t="n">
        <x:f>R83-S83-T83</x:f>
        <x:v>0.0020000000000024443</x:v>
      </x:c>
      <x:c r="AI83" s="13" t="n">
        <x:f>SUM($AA$5:AA83)</x:f>
        <x:v>143.36396113375008</x:v>
      </x:c>
    </x:row>
    <x:row r="84" ht="21" customHeight="1">
      <x:c r="A84" s="10" t="n">
        <x:v>46227</x:v>
      </x:c>
      <x:c r="B84" s="1" t="n">
        <x:v>288</x:v>
      </x:c>
      <x:c r="C84" s="1" t="n">
        <x:v>24</x:v>
      </x:c>
      <x:c r="D84" s="11" t="n">
        <x:v>22.91841666666669</x:v>
      </x:c>
      <x:c r="E84" s="11" t="n">
        <x:v>17.46158333333334</x:v>
      </x:c>
      <x:c r="F84" s="11" t="n">
        <x:v>0</x:v>
      </x:c>
      <x:c r="G84" s="11" t="n">
        <x:v>5.368000000000001</x:v>
      </x:c>
      <x:c r="H84" s="11" t="n">
        <x:v>17.47500000000001</x:v>
      </x:c>
      <x:c r="I84" s="11" t="n">
        <x:v>17.46158333333334</x:v>
      </x:c>
      <x:c r="J84" s="11" t="n">
        <x:v>0</x:v>
      </x:c>
      <x:c r="K84" s="11" t="n">
        <x:v>15.017999999999999</x:v>
      </x:c>
      <x:c r="L84" s="11" t="n">
        <x:v>0</x:v>
      </x:c>
      <x:c r="M84" s="11" t="n">
        <x:v>15.017999999999999</x:v>
      </x:c>
      <x:c r="N84" s="11" t="n">
        <x:v>0</x:v>
      </x:c>
      <x:c r="O84" s="11" t="n">
        <x:v>0</x:v>
      </x:c>
      <x:c r="P84" s="11" t="n">
        <x:v>0</x:v>
      </x:c>
      <x:c r="Q84" s="11" t="n">
        <x:v>0</x:v>
      </x:c>
      <x:c r="R84" s="11" t="n">
        <x:v>20.39699999999999</x:v>
      </x:c>
      <x:c r="S84" s="11" t="n">
        <x:v>5.368000000000001</x:v>
      </x:c>
      <x:c r="T84" s="11" t="n">
        <x:v>15.017999999999999</x:v>
      </x:c>
      <x:c r="U84" s="11" t="n">
        <x:v>0</x:v>
      </x:c>
      <x:c r="V84" s="11" t="n">
        <x:v>0</x:v>
      </x:c>
      <x:c r="W84" s="11" t="n">
        <x:v>0</x:v>
      </x:c>
      <x:c r="X84" s="13" t="n">
        <x:f>(D84*'Tariff and method'!$B$4+'Tariff and method'!$B$5)*1.05</x:f>
        <x:v>5.823131527500006</x:v>
      </x:c>
      <x:c r="Y84" s="13" t="n">
        <x:f>SUMIF('Import by half hour'!$A$5:$A$7395,A84,'Import by half hour'!$J$5:$J$7395)</x:f>
        <x:v>2.42449202625</x:v>
      </x:c>
      <x:c r="Z84" s="13" t="n">
        <x:f>Y84+'Tariff and method'!$B$6*1.05</x:f>
        <x:v>2.98235702625</x:v>
      </x:c>
      <x:c r="AA84" s="13" t="n">
        <x:f>X84-Z84</x:f>
        <x:v>2.8407745012500065</x:v>
      </x:c>
      <x:c r="AB84" s="13" t="n">
        <x:f>SUMIF('Import by half hour'!$A$5:$A$7395,A84,'Import by half hour'!$K$5:$K$7395)+'Tariff and method'!$B$6*1.05</x:f>
        <x:v>5.982185107500001</x:v>
      </x:c>
      <x:c r="AC84" s="13" t="n">
        <x:f>AB84-Z84</x:f>
        <x:v>2.9998280812500013</x:v>
      </x:c>
      <x:c r="AD84" s="13" t="n">
        <x:f>X84-AB84</x:f>
        <x:v>-0.1590535799999948</x:v>
      </x:c>
      <x:c r="AE84" s="11" t="n">
        <x:f>M84-H84</x:f>
        <x:v>-2.4570000000000096</x:v>
      </x:c>
      <x:c r="AF84" s="14" t="n">
        <x:f>IF(M84=0,"",H84/M84)</x:f>
        <x:v>1.1636036755892936</x:v>
      </x:c>
      <x:c r="AG84" s="11" t="n">
        <x:f>D84-E84-F84-G84</x:f>
        <x:v>0.08883333333334864</x:v>
      </x:c>
      <x:c r="AH84" s="11" t="n">
        <x:f>R84-S84-T84</x:f>
        <x:v>0.01099999999999035</x:v>
      </x:c>
      <x:c r="AI84" s="13" t="n">
        <x:f>SUM($AA$5:AA84)</x:f>
        <x:v>146.20473563500008</x:v>
      </x:c>
    </x:row>
    <x:row r="85" ht="21" customHeight="1">
      <x:c r="A85" s="10" t="n">
        <x:v>46228</x:v>
      </x:c>
      <x:c r="B85" s="1" t="n">
        <x:v>288</x:v>
      </x:c>
      <x:c r="C85" s="1" t="n">
        <x:v>24</x:v>
      </x:c>
      <x:c r="D85" s="11" t="n">
        <x:v>22.915999999999983</x:v>
      </x:c>
      <x:c r="E85" s="11" t="n">
        <x:v>18.58516666666666</x:v>
      </x:c>
      <x:c r="F85" s="11" t="n">
        <x:v>0</x:v>
      </x:c>
      <x:c r="G85" s="11" t="n">
        <x:v>4.266333333333333</x:v>
      </x:c>
      <x:c r="H85" s="11" t="n">
        <x:v>18.595999999999993</x:v>
      </x:c>
      <x:c r="I85" s="11" t="n">
        <x:v>18.58516666666666</x:v>
      </x:c>
      <x:c r="J85" s="11" t="n">
        <x:v>0</x:v>
      </x:c>
      <x:c r="K85" s="11" t="n">
        <x:v>23.019999999999996</x:v>
      </x:c>
      <x:c r="L85" s="11" t="n">
        <x:v>0</x:v>
      </x:c>
      <x:c r="M85" s="11" t="n">
        <x:v>23.019999999999996</x:v>
      </x:c>
      <x:c r="N85" s="11" t="n">
        <x:v>0</x:v>
      </x:c>
      <x:c r="O85" s="11" t="n">
        <x:v>0</x:v>
      </x:c>
      <x:c r="P85" s="11" t="n">
        <x:v>0</x:v>
      </x:c>
      <x:c r="Q85" s="11" t="n">
        <x:v>0</x:v>
      </x:c>
      <x:c r="R85" s="11" t="n">
        <x:v>27.28633333333333</x:v>
      </x:c>
      <x:c r="S85" s="11" t="n">
        <x:v>4.266333333333333</x:v>
      </x:c>
      <x:c r="T85" s="11" t="n">
        <x:v>23.019999999999996</x:v>
      </x:c>
      <x:c r="U85" s="11" t="n">
        <x:v>0</x:v>
      </x:c>
      <x:c r="V85" s="11" t="n">
        <x:v>0</x:v>
      </x:c>
      <x:c r="W85" s="11" t="n">
        <x:v>0</x:v>
      </x:c>
      <x:c r="X85" s="13" t="n">
        <x:f>(D85*'Tariff and method'!$B$4+'Tariff and method'!$B$5)*1.05</x:f>
        <x:v>5.822566679999997</x:v>
      </x:c>
      <x:c r="Y85" s="13" t="n">
        <x:f>SUMIF('Import by half hour'!$A$5:$A$7395,A85,'Import by half hour'!$J$5:$J$7395)</x:f>
        <x:v>-1.5539925975000002</x:v>
      </x:c>
      <x:c r="Z85" s="13" t="n">
        <x:f>Y85+'Tariff and method'!$B$6*1.05</x:f>
        <x:v>-0.9961275975000001</x:v>
      </x:c>
      <x:c r="AA85" s="13" t="n">
        <x:f>X85-Z85</x:f>
        <x:v>6.818694277499997</x:v>
      </x:c>
      <x:c r="AB85" s="13" t="n">
        <x:f>SUMIF('Import by half hour'!$A$5:$A$7395,A85,'Import by half hour'!$K$5:$K$7395)+'Tariff and method'!$B$6*1.05</x:f>
        <x:v>3.827943945</x:v>
      </x:c>
      <x:c r="AC85" s="13" t="n">
        <x:f>AB85-Z85</x:f>
        <x:v>4.8240715425000005</x:v>
      </x:c>
      <x:c r="AD85" s="13" t="n">
        <x:f>X85-AB85</x:f>
        <x:v>1.994622734999997</x:v>
      </x:c>
      <x:c r="AE85" s="11" t="n">
        <x:f>M85-H85</x:f>
        <x:v>4.424000000000003</x:v>
      </x:c>
      <x:c r="AF85" s="14" t="n">
        <x:f>IF(M85=0,"",H85/M85)</x:f>
        <x:v>0.8078192875760207</x:v>
      </x:c>
      <x:c r="AG85" s="11" t="n">
        <x:f>D85-E85-F85-G85</x:f>
        <x:v>0.0644999999999909</x:v>
      </x:c>
      <x:c r="AH85" s="11" t="n">
        <x:f>R85-S85-T85</x:f>
        <x:v>3.552713678800501e-15</x:v>
      </x:c>
      <x:c r="AI85" s="13" t="n">
        <x:f>SUM($AA$5:AA85)</x:f>
        <x:v>153.02342991250006</x:v>
      </x:c>
    </x:row>
    <x:row r="86" ht="21" customHeight="1">
      <x:c r="A86" s="10" t="n">
        <x:v>46229</x:v>
      </x:c>
      <x:c r="B86" s="1" t="n">
        <x:v>288</x:v>
      </x:c>
      <x:c r="C86" s="1" t="n">
        <x:v>24</x:v>
      </x:c>
      <x:c r="D86" s="11" t="n">
        <x:v>25.704833333333347</x:v>
      </x:c>
      <x:c r="E86" s="11" t="n">
        <x:v>20.83675000000001</x:v>
      </x:c>
      <x:c r="F86" s="11" t="n">
        <x:v>0</x:v>
      </x:c>
      <x:c r="G86" s="11" t="n">
        <x:v>4.769166666666667</x:v>
      </x:c>
      <x:c r="H86" s="11" t="n">
        <x:v>20.85</x:v>
      </x:c>
      <x:c r="I86" s="11" t="n">
        <x:v>20.83675000000001</x:v>
      </x:c>
      <x:c r="J86" s="11" t="n">
        <x:v>0</x:v>
      </x:c>
      <x:c r="K86" s="11" t="n">
        <x:v>24.049</x:v>
      </x:c>
      <x:c r="L86" s="11" t="n">
        <x:v>0</x:v>
      </x:c>
      <x:c r="M86" s="11" t="n">
        <x:v>24.049</x:v>
      </x:c>
      <x:c r="N86" s="11" t="n">
        <x:v>0</x:v>
      </x:c>
      <x:c r="O86" s="11" t="n">
        <x:v>0</x:v>
      </x:c>
      <x:c r="P86" s="11" t="n">
        <x:v>0</x:v>
      </x:c>
      <x:c r="Q86" s="11" t="n">
        <x:v>0</x:v>
      </x:c>
      <x:c r="R86" s="11" t="n">
        <x:v>28.81816666666667</x:v>
      </x:c>
      <x:c r="S86" s="11" t="n">
        <x:v>4.769166666666667</x:v>
      </x:c>
      <x:c r="T86" s="11" t="n">
        <x:v>24.049</x:v>
      </x:c>
      <x:c r="U86" s="11" t="n">
        <x:v>0</x:v>
      </x:c>
      <x:c r="V86" s="11" t="n">
        <x:v>0</x:v>
      </x:c>
      <x:c r="W86" s="11" t="n">
        <x:v>0</x:v>
      </x:c>
      <x:c r="X86" s="13" t="n">
        <x:f>(D86*'Tariff and method'!$B$4+'Tariff and method'!$B$5)*1.05</x:f>
        <x:v>6.474400695000004</x:v>
      </x:c>
      <x:c r="Y86" s="13" t="n">
        <x:f>SUMIF('Import by half hour'!$A$5:$A$7395,A86,'Import by half hour'!$J$5:$J$7395)</x:f>
        <x:v>-1.2305016324999998</x:v>
      </x:c>
      <x:c r="Z86" s="13" t="n">
        <x:f>Y86+'Tariff and method'!$B$6*1.05</x:f>
        <x:v>-0.6726366324999997</x:v>
      </x:c>
      <x:c r="AA86" s="13" t="n">
        <x:f>X86-Z86</x:f>
        <x:v>7.147037327500004</x:v>
      </x:c>
      <x:c r="AB86" s="13" t="n">
        <x:f>SUMIF('Import by half hour'!$A$5:$A$7395,A86,'Import by half hour'!$K$5:$K$7395)+'Tariff and method'!$B$6*1.05</x:f>
        <x:v>3.909422545</x:v>
      </x:c>
      <x:c r="AC86" s="13" t="n">
        <x:f>AB86-Z86</x:f>
        <x:v>4.5820591775</x:v>
      </x:c>
      <x:c r="AD86" s="13" t="n">
        <x:f>X86-AB86</x:f>
        <x:v>2.5649781500000044</x:v>
      </x:c>
      <x:c r="AE86" s="11" t="n">
        <x:f>M86-H86</x:f>
        <x:v>3.198999999999998</x:v>
      </x:c>
      <x:c r="AF86" s="14" t="n">
        <x:f>IF(M86=0,"",H86/M86)</x:f>
        <x:v>0.8669799160048236</x:v>
      </x:c>
      <x:c r="AG86" s="11" t="n">
        <x:f>D86-E86-F86-G86</x:f>
        <x:v>0.0989166666666712</x:v>
      </x:c>
      <x:c r="AH86" s="11" t="n">
        <x:f>R86-S86-T86</x:f>
        <x:v>3.552713678800501e-15</x:v>
      </x:c>
      <x:c r="AI86" s="13" t="n">
        <x:f>SUM($AA$5:AA86)</x:f>
        <x:v>160.17046724000008</x:v>
      </x:c>
    </x:row>
    <x:row r="87" ht="21" customHeight="1">
      <x:c r="A87" s="10" t="n">
        <x:v>46230</x:v>
      </x:c>
      <x:c r="B87" s="1" t="n">
        <x:v>288</x:v>
      </x:c>
      <x:c r="C87" s="1" t="n">
        <x:v>24</x:v>
      </x:c>
      <x:c r="D87" s="11" t="n">
        <x:v>21.89816666666667</x:v>
      </x:c>
      <x:c r="E87" s="11" t="n">
        <x:v>16.96333333333333</x:v>
      </x:c>
      <x:c r="F87" s="11" t="n">
        <x:v>0</x:v>
      </x:c>
      <x:c r="G87" s="11" t="n">
        <x:v>4.786916666666667</x:v>
      </x:c>
      <x:c r="H87" s="11" t="n">
        <x:v>16.97499999999999</x:v>
      </x:c>
      <x:c r="I87" s="11" t="n">
        <x:v>16.96333333333333</x:v>
      </x:c>
      <x:c r="J87" s="11" t="n">
        <x:v>0</x:v>
      </x:c>
      <x:c r="K87" s="11" t="n">
        <x:v>9.124999999999998</x:v>
      </x:c>
      <x:c r="L87" s="11" t="n">
        <x:v>0</x:v>
      </x:c>
      <x:c r="M87" s="11" t="n">
        <x:v>9.124999999999998</x:v>
      </x:c>
      <x:c r="N87" s="11" t="n">
        <x:v>0</x:v>
      </x:c>
      <x:c r="O87" s="11" t="n">
        <x:v>0</x:v>
      </x:c>
      <x:c r="P87" s="11" t="n">
        <x:v>0</x:v>
      </x:c>
      <x:c r="Q87" s="11" t="n">
        <x:v>0</x:v>
      </x:c>
      <x:c r="R87" s="11" t="n">
        <x:v>13.914916666666665</x:v>
      </x:c>
      <x:c r="S87" s="11" t="n">
        <x:v>4.786916666666667</x:v>
      </x:c>
      <x:c r="T87" s="11" t="n">
        <x:v>9.124999999999998</x:v>
      </x:c>
      <x:c r="U87" s="11" t="n">
        <x:v>0</x:v>
      </x:c>
      <x:c r="V87" s="11" t="n">
        <x:v>0</x:v>
      </x:c>
      <x:c r="W87" s="11" t="n">
        <x:v>0</x:v>
      </x:c>
      <x:c r="X87" s="13" t="n">
        <x:f>(D87*'Tariff and method'!$B$4+'Tariff and method'!$B$5)*1.05</x:f>
        <x:v>5.584668495000001</x:v>
      </x:c>
      <x:c r="Y87" s="13" t="n">
        <x:f>SUMIF('Import by half hour'!$A$5:$A$7395,A87,'Import by half hour'!$J$5:$J$7395)</x:f>
        <x:v>2.10036243375</x:v>
      </x:c>
      <x:c r="Z87" s="13" t="n">
        <x:f>Y87+'Tariff and method'!$B$6*1.05</x:f>
        <x:v>2.65822743375</x:v>
      </x:c>
      <x:c r="AA87" s="13" t="n">
        <x:f>X87-Z87</x:f>
        <x:v>2.9264410612500007</x:v>
      </x:c>
      <x:c r="AB87" s="13" t="n">
        <x:f>SUMIF('Import by half hour'!$A$5:$A$7395,A87,'Import by half hour'!$K$5:$K$7395)+'Tariff and method'!$B$6*1.05</x:f>
        <x:v>6.377279247499999</x:v>
      </x:c>
      <x:c r="AC87" s="13" t="n">
        <x:f>AB87-Z87</x:f>
        <x:v>3.719051813749999</x:v>
      </x:c>
      <x:c r="AD87" s="13" t="n">
        <x:f>X87-AB87</x:f>
        <x:v>-0.7926107524999981</x:v>
      </x:c>
      <x:c r="AE87" s="11" t="n">
        <x:f>M87-H87</x:f>
        <x:v>-7.8499999999999925</x:v>
      </x:c>
      <x:c r="AF87" s="14" t="n">
        <x:f>IF(M87=0,"",H87/M87)</x:f>
        <x:v>1.860273972602739</x:v>
      </x:c>
      <x:c r="AG87" s="11" t="n">
        <x:f>D87-E87-F87-G87</x:f>
        <x:v>0.1479166666666698</x:v>
      </x:c>
      <x:c r="AH87" s="11" t="n">
        <x:f>R87-S87-T87</x:f>
        <x:v>0.0029999999999983373</x:v>
      </x:c>
      <x:c r="AI87" s="13" t="n">
        <x:f>SUM($AA$5:AA87)</x:f>
        <x:v>163.09690830125007</x:v>
      </x:c>
    </x:row>
    <x:row r="88" ht="21" customHeight="1">
      <x:c r="A88" s="10" t="n">
        <x:v>46231</x:v>
      </x:c>
      <x:c r="B88" s="1" t="n">
        <x:v>288</x:v>
      </x:c>
      <x:c r="C88" s="1" t="n">
        <x:v>24</x:v>
      </x:c>
      <x:c r="D88" s="11" t="n">
        <x:v>25.34650000000001</x:v>
      </x:c>
      <x:c r="E88" s="11" t="n">
        <x:v>18.14875</x:v>
      </x:c>
      <x:c r="F88" s="11" t="n">
        <x:v>0</x:v>
      </x:c>
      <x:c r="G88" s="11" t="n">
        <x:v>7.090666666666667</x:v>
      </x:c>
      <x:c r="H88" s="11" t="n">
        <x:v>18.161</x:v>
      </x:c>
      <x:c r="I88" s="11" t="n">
        <x:v>18.14875</x:v>
      </x:c>
      <x:c r="J88" s="11" t="n">
        <x:v>0</x:v>
      </x:c>
      <x:c r="K88" s="11" t="n">
        <x:v>18.688000000000002</x:v>
      </x:c>
      <x:c r="L88" s="11" t="n">
        <x:v>0</x:v>
      </x:c>
      <x:c r="M88" s="11" t="n">
        <x:v>18.688000000000002</x:v>
      </x:c>
      <x:c r="N88" s="11" t="n">
        <x:v>0</x:v>
      </x:c>
      <x:c r="O88" s="11" t="n">
        <x:v>0</x:v>
      </x:c>
      <x:c r="P88" s="11" t="n">
        <x:v>0</x:v>
      </x:c>
      <x:c r="Q88" s="11" t="n">
        <x:v>0</x:v>
      </x:c>
      <x:c r="R88" s="11" t="n">
        <x:v>25.78866666666667</x:v>
      </x:c>
      <x:c r="S88" s="11" t="n">
        <x:v>7.090666666666667</x:v>
      </x:c>
      <x:c r="T88" s="11" t="n">
        <x:v>18.688000000000002</x:v>
      </x:c>
      <x:c r="U88" s="11" t="n">
        <x:v>0</x:v>
      </x:c>
      <x:c r="V88" s="11" t="n">
        <x:v>0</x:v>
      </x:c>
      <x:c r="W88" s="11" t="n">
        <x:v>0</x:v>
      </x:c>
      <x:c r="X88" s="13" t="n">
        <x:f>(D88*'Tariff and method'!$B$4+'Tariff and method'!$B$5)*1.05</x:f>
        <x:v>6.390647445000003</x:v>
      </x:c>
      <x:c r="Y88" s="13" t="n">
        <x:f>SUMIF('Import by half hour'!$A$5:$A$7395,A88,'Import by half hour'!$J$5:$J$7395)</x:f>
        <x:v>3.6247630737499996</x:v>
      </x:c>
      <x:c r="Z88" s="13" t="n">
        <x:f>Y88+'Tariff and method'!$B$6*1.05</x:f>
        <x:v>4.182628073749999</x:v>
      </x:c>
      <x:c r="AA88" s="13" t="n">
        <x:f>X88-Z88</x:f>
        <x:v>2.2080193712500034</x:v>
      </x:c>
      <x:c r="AB88" s="13" t="n">
        <x:f>SUMIF('Import by half hour'!$A$5:$A$7395,A88,'Import by half hour'!$K$5:$K$7395)+'Tariff and method'!$B$6*1.05</x:f>
        <x:v>7.003275133750002</x:v>
      </x:c>
      <x:c r="AC88" s="13" t="n">
        <x:f>AB88-Z88</x:f>
        <x:v>2.8206470600000024</x:v>
      </x:c>
      <x:c r="AD88" s="13" t="n">
        <x:f>X88-AB88</x:f>
        <x:v>-0.6126276887499991</x:v>
      </x:c>
      <x:c r="AE88" s="11" t="n">
        <x:f>M88-H88</x:f>
        <x:v>0.527000000000001</x:v>
      </x:c>
      <x:c r="AF88" s="14" t="n">
        <x:f>IF(M88=0,"",H88/M88)</x:f>
        <x:v>0.9718000856164383</x:v>
      </x:c>
      <x:c r="AG88" s="11" t="n">
        <x:f>D88-E88-F88-G88</x:f>
        <x:v>0.10708333333334252</x:v>
      </x:c>
      <x:c r="AH88" s="11" t="n">
        <x:f>R88-S88-T88</x:f>
        <x:v>0.010000000000001563</x:v>
      </x:c>
      <x:c r="AI88" s="13" t="n">
        <x:f>SUM($AA$5:AA88)</x:f>
        <x:v>165.30492767250007</x:v>
      </x:c>
    </x:row>
    <x:row r="89" ht="21" customHeight="1">
      <x:c r="A89" s="10" t="n">
        <x:v>46232</x:v>
      </x:c>
      <x:c r="B89" s="1" t="n">
        <x:v>288</x:v>
      </x:c>
      <x:c r="C89" s="1" t="n">
        <x:v>24</x:v>
      </x:c>
      <x:c r="D89" s="11" t="n">
        <x:v>23.135583333333336</x:v>
      </x:c>
      <x:c r="E89" s="11" t="n">
        <x:v>11.710416666666672</x:v>
      </x:c>
      <x:c r="F89" s="11" t="n">
        <x:v>0</x:v>
      </x:c>
      <x:c r="G89" s="11" t="n">
        <x:v>11.173166666666662</x:v>
      </x:c>
      <x:c r="H89" s="11" t="n">
        <x:v>11.719000000000005</x:v>
      </x:c>
      <x:c r="I89" s="11" t="n">
        <x:v>11.710416666666672</x:v>
      </x:c>
      <x:c r="J89" s="11" t="n">
        <x:v>0</x:v>
      </x:c>
      <x:c r="K89" s="11" t="n">
        <x:v>14.061000000000003</x:v>
      </x:c>
      <x:c r="L89" s="11" t="n">
        <x:v>0</x:v>
      </x:c>
      <x:c r="M89" s="11" t="n">
        <x:v>14.061000000000003</x:v>
      </x:c>
      <x:c r="N89" s="11" t="n">
        <x:v>0</x:v>
      </x:c>
      <x:c r="O89" s="11" t="n">
        <x:v>0</x:v>
      </x:c>
      <x:c r="P89" s="11" t="n">
        <x:v>0</x:v>
      </x:c>
      <x:c r="Q89" s="11" t="n">
        <x:v>0</x:v>
      </x:c>
      <x:c r="R89" s="11" t="n">
        <x:v>25.234166666666674</x:v>
      </x:c>
      <x:c r="S89" s="11" t="n">
        <x:v>11.173166666666662</x:v>
      </x:c>
      <x:c r="T89" s="11" t="n">
        <x:v>14.061000000000003</x:v>
      </x:c>
      <x:c r="U89" s="11" t="n">
        <x:v>0</x:v>
      </x:c>
      <x:c r="V89" s="11" t="n">
        <x:v>0</x:v>
      </x:c>
      <x:c r="W89" s="11" t="n">
        <x:v>0</x:v>
      </x:c>
      <x:c r="X89" s="13" t="n">
        <x:f>(D89*'Tariff and method'!$B$4+'Tariff and method'!$B$5)*1.05</x:f>
        <x:v>5.873889892500001</x:v>
      </x:c>
      <x:c r="Y89" s="13" t="n">
        <x:f>SUMIF('Import by half hour'!$A$5:$A$7395,A89,'Import by half hour'!$J$5:$J$7395)</x:f>
        <x:v>5.0712324424999995</x:v>
      </x:c>
      <x:c r="Z89" s="13" t="n">
        <x:f>Y89+'Tariff and method'!$B$6*1.05</x:f>
        <x:v>5.629097442499999</x:v>
      </x:c>
      <x:c r="AA89" s="13" t="n">
        <x:f>X89-Z89</x:f>
        <x:v>0.24479245000000205</x:v>
      </x:c>
      <x:c r="AB89" s="13" t="n">
        <x:f>SUMIF('Import by half hour'!$A$5:$A$7395,A89,'Import by half hour'!$K$5:$K$7395)+'Tariff and method'!$B$6*1.05</x:f>
        <x:v>6.78356828625</x:v>
      </x:c>
      <x:c r="AC89" s="13" t="n">
        <x:f>AB89-Z89</x:f>
        <x:v>1.1544708437500013</x:v>
      </x:c>
      <x:c r="AD89" s="13" t="n">
        <x:f>X89-AB89</x:f>
        <x:v>-0.9096783937499993</x:v>
      </x:c>
      <x:c r="AE89" s="11" t="n">
        <x:f>M89-H89</x:f>
        <x:v>2.3419999999999987</x:v>
      </x:c>
      <x:c r="AF89" s="14" t="n">
        <x:f>IF(M89=0,"",H89/M89)</x:f>
        <x:v>0.8334400113789917</x:v>
      </x:c>
      <x:c r="AG89" s="11" t="n">
        <x:f>D89-E89-F89-G89</x:f>
        <x:v>0.25200000000000244</x:v>
      </x:c>
      <x:c r="AH89" s="11" t="n">
        <x:f>R89-S89-T89</x:f>
        <x:v>8.881784197001252e-15</x:v>
      </x:c>
      <x:c r="AI89" s="13" t="n">
        <x:f>SUM($AA$5:AA89)</x:f>
        <x:v>165.54972012250008</x:v>
      </x:c>
    </x:row>
    <x:row r="90" ht="21" customHeight="1">
      <x:c r="A90" s="10" t="n">
        <x:v>46233</x:v>
      </x:c>
      <x:c r="B90" s="1" t="n">
        <x:v>288</x:v>
      </x:c>
      <x:c r="C90" s="1" t="n">
        <x:v>24</x:v>
      </x:c>
      <x:c r="D90" s="11" t="n">
        <x:v>25.694833333333335</x:v>
      </x:c>
      <x:c r="E90" s="11" t="n">
        <x:v>19.307750000000006</x:v>
      </x:c>
      <x:c r="F90" s="11" t="n">
        <x:v>0</x:v>
      </x:c>
      <x:c r="G90" s="11" t="n">
        <x:v>6.321333333333333</x:v>
      </x:c>
      <x:c r="H90" s="11" t="n">
        <x:v>19.321000000000005</x:v>
      </x:c>
      <x:c r="I90" s="11" t="n">
        <x:v>19.307750000000006</x:v>
      </x:c>
      <x:c r="J90" s="11" t="n">
        <x:v>0</x:v>
      </x:c>
      <x:c r="K90" s="11" t="n">
        <x:v>18.917</x:v>
      </x:c>
      <x:c r="L90" s="11" t="n">
        <x:v>0</x:v>
      </x:c>
      <x:c r="M90" s="11" t="n">
        <x:v>18.917</x:v>
      </x:c>
      <x:c r="N90" s="11" t="n">
        <x:v>0</x:v>
      </x:c>
      <x:c r="O90" s="11" t="n">
        <x:v>0</x:v>
      </x:c>
      <x:c r="P90" s="11" t="n">
        <x:v>0</x:v>
      </x:c>
      <x:c r="Q90" s="11" t="n">
        <x:v>0</x:v>
      </x:c>
      <x:c r="R90" s="11" t="n">
        <x:v>25.259333333333334</x:v>
      </x:c>
      <x:c r="S90" s="11" t="n">
        <x:v>6.321333333333333</x:v>
      </x:c>
      <x:c r="T90" s="11" t="n">
        <x:v>18.917</x:v>
      </x:c>
      <x:c r="U90" s="11" t="n">
        <x:v>0</x:v>
      </x:c>
      <x:c r="V90" s="11" t="n">
        <x:v>0</x:v>
      </x:c>
      <x:c r="W90" s="11" t="n">
        <x:v>0</x:v>
      </x:c>
      <x:c r="X90" s="13" t="n">
        <x:f>(D90*'Tariff and method'!$B$4+'Tariff and method'!$B$5)*1.05</x:f>
        <x:v>6.472063395000001</x:v>
      </x:c>
      <x:c r="Y90" s="13" t="n">
        <x:f>SUMIF('Import by half hour'!$A$5:$A$7395,A90,'Import by half hour'!$J$5:$J$7395)</x:f>
        <x:v>3.6552270124999997</x:v>
      </x:c>
      <x:c r="Z90" s="13" t="n">
        <x:f>Y90+'Tariff and method'!$B$6*1.05</x:f>
        <x:v>4.2130920125</x:v>
      </x:c>
      <x:c r="AA90" s="13" t="n">
        <x:f>X90-Z90</x:f>
        <x:v>2.2589713825000013</x:v>
      </x:c>
      <x:c r="AB90" s="13" t="n">
        <x:f>SUMIF('Import by half hour'!$A$5:$A$7395,A90,'Import by half hour'!$K$5:$K$7395)+'Tariff and method'!$B$6*1.05</x:f>
        <x:v>7.13278071625</x:v>
      </x:c>
      <x:c r="AC90" s="13" t="n">
        <x:f>AB90-Z90</x:f>
        <x:v>2.9196887037500003</x:v>
      </x:c>
      <x:c r="AD90" s="13" t="n">
        <x:f>X90-AB90</x:f>
        <x:v>-0.660717321249999</x:v>
      </x:c>
      <x:c r="AE90" s="11" t="n">
        <x:f>M90-H90</x:f>
        <x:v>-0.40400000000000347</x:v>
      </x:c>
      <x:c r="AF90" s="14" t="n">
        <x:f>IF(M90=0,"",H90/M90)</x:f>
        <x:v>1.0213564518686897</x:v>
      </x:c>
      <x:c r="AG90" s="11" t="n">
        <x:f>D90-E90-F90-G90</x:f>
        <x:v>0.06574999999999687</x:v>
      </x:c>
      <x:c r="AH90" s="11" t="n">
        <x:f>R90-S90-T90</x:f>
        <x:v>0.021000000000000796</x:v>
      </x:c>
      <x:c r="AI90" s="13" t="n">
        <x:f>SUM($AA$5:AA90)</x:f>
        <x:v>167.80869150500007</x:v>
      </x:c>
    </x:row>
    <x:row r="91" ht="21" customHeight="1">
      <x:c r="A91" s="10" t="n">
        <x:v>46234</x:v>
      </x:c>
      <x:c r="B91" s="1" t="n">
        <x:v>288</x:v>
      </x:c>
      <x:c r="C91" s="1" t="n">
        <x:v>24</x:v>
      </x:c>
      <x:c r="D91" s="11" t="n">
        <x:v>15.730499999999997</x:v>
      </x:c>
      <x:c r="E91" s="11" t="n">
        <x:v>8.995250000000002</x:v>
      </x:c>
      <x:c r="F91" s="11" t="n">
        <x:v>0</x:v>
      </x:c>
      <x:c r="G91" s="11" t="n">
        <x:v>6.525083333333336</x:v>
      </x:c>
      <x:c r="H91" s="11" t="n">
        <x:v>9.003999999999998</x:v>
      </x:c>
      <x:c r="I91" s="11" t="n">
        <x:v>8.995250000000002</x:v>
      </x:c>
      <x:c r="J91" s="11" t="n">
        <x:v>0</x:v>
      </x:c>
      <x:c r="K91" s="11" t="n">
        <x:v>9.314</x:v>
      </x:c>
      <x:c r="L91" s="11" t="n">
        <x:v>0</x:v>
      </x:c>
      <x:c r="M91" s="11" t="n">
        <x:v>9.314</x:v>
      </x:c>
      <x:c r="N91" s="11" t="n">
        <x:v>0</x:v>
      </x:c>
      <x:c r="O91" s="11" t="n">
        <x:v>0</x:v>
      </x:c>
      <x:c r="P91" s="11" t="n">
        <x:v>0</x:v>
      </x:c>
      <x:c r="Q91" s="11" t="n">
        <x:v>0</x:v>
      </x:c>
      <x:c r="R91" s="11" t="n">
        <x:v>15.847083333333334</x:v>
      </x:c>
      <x:c r="S91" s="11" t="n">
        <x:v>6.525083333333336</x:v>
      </x:c>
      <x:c r="T91" s="11" t="n">
        <x:v>9.314</x:v>
      </x:c>
      <x:c r="U91" s="11" t="n">
        <x:v>0</x:v>
      </x:c>
      <x:c r="V91" s="11" t="n">
        <x:v>0</x:v>
      </x:c>
      <x:c r="W91" s="11" t="n">
        <x:v>0</x:v>
      </x:c>
      <x:c r="X91" s="13" t="n">
        <x:f>(D91*'Tariff and method'!$B$4+'Tariff and method'!$B$5)*1.05</x:f>
        <x:v>4.143099765</x:v>
      </x:c>
      <x:c r="Y91" s="13" t="n">
        <x:f>SUMIF('Import by half hour'!$A$5:$A$7395,A91,'Import by half hour'!$J$5:$J$7395)</x:f>
        <x:v>3.255716205</x:v>
      </x:c>
      <x:c r="Z91" s="13" t="n">
        <x:f>Y91+'Tariff and method'!$B$6*1.05</x:f>
        <x:v>3.813581205</x:v>
      </x:c>
      <x:c r="AA91" s="13" t="n">
        <x:f>X91-Z91</x:f>
        <x:v>0.32951855999999946</x:v>
      </x:c>
      <x:c r="AB91" s="13" t="n">
        <x:f>SUMIF('Import by half hour'!$A$5:$A$7395,A91,'Import by half hour'!$K$5:$K$7395)+'Tariff and method'!$B$6*1.05</x:f>
        <x:v>4.6982762575</x:v>
      </x:c>
      <x:c r="AC91" s="13" t="n">
        <x:f>AB91-Z91</x:f>
        <x:v>0.8846950524999997</x:v>
      </x:c>
      <x:c r="AD91" s="13" t="n">
        <x:f>X91-AB91</x:f>
        <x:v>-0.5551764925000002</x:v>
      </x:c>
      <x:c r="AE91" s="11" t="n">
        <x:f>M91-H91</x:f>
        <x:v>0.3100000000000023</x:v>
      </x:c>
      <x:c r="AF91" s="14" t="n">
        <x:f>IF(M91=0,"",H91/M91)</x:f>
        <x:v>0.9667167704530811</x:v>
      </x:c>
      <x:c r="AG91" s="11" t="n">
        <x:f>D91-E91-F91-G91</x:f>
        <x:v>0.21016666666665973</x:v>
      </x:c>
      <x:c r="AH91" s="11" t="n">
        <x:f>R91-S91-T91</x:f>
        <x:v>0.007999999999999119</x:v>
      </x:c>
      <x:c r="AI91" s="13" t="n">
        <x:f>SUM($AA$5:AA91)</x:f>
        <x:v>168.13821006500007</x:v>
      </x:c>
    </x:row>
    <x:row r="92" ht="21" customHeight="1">
      <x:c r="A92" s="10" t="n">
        <x:v>46235</x:v>
      </x:c>
      <x:c r="B92" s="1" t="n">
        <x:v>288</x:v>
      </x:c>
      <x:c r="C92" s="1" t="n">
        <x:v>24</x:v>
      </x:c>
      <x:c r="D92" s="11" t="n">
        <x:v>12.437999999999995</x:v>
      </x:c>
      <x:c r="E92" s="11" t="n">
        <x:v>10.09341666666666</x:v>
      </x:c>
      <x:c r="F92" s="11" t="n">
        <x:v>0</x:v>
      </x:c>
      <x:c r="G92" s="11" t="n">
        <x:v>2.2697499999999997</x:v>
      </x:c>
      <x:c r="H92" s="11" t="n">
        <x:v>10.10399999999999</x:v>
      </x:c>
      <x:c r="I92" s="11" t="n">
        <x:v>10.09341666666666</x:v>
      </x:c>
      <x:c r="J92" s="11" t="n">
        <x:v>0</x:v>
      </x:c>
      <x:c r="K92" s="11" t="n">
        <x:v>11.67</x:v>
      </x:c>
      <x:c r="L92" s="11" t="n">
        <x:v>0</x:v>
      </x:c>
      <x:c r="M92" s="11" t="n">
        <x:v>11.67</x:v>
      </x:c>
      <x:c r="N92" s="11" t="n">
        <x:v>0</x:v>
      </x:c>
      <x:c r="O92" s="11" t="n">
        <x:v>0</x:v>
      </x:c>
      <x:c r="P92" s="11" t="n">
        <x:v>0</x:v>
      </x:c>
      <x:c r="Q92" s="11" t="n">
        <x:v>0</x:v>
      </x:c>
      <x:c r="R92" s="11" t="n">
        <x:v>13.945749999999993</x:v>
      </x:c>
      <x:c r="S92" s="11" t="n">
        <x:v>2.2697499999999997</x:v>
      </x:c>
      <x:c r="T92" s="11" t="n">
        <x:v>11.67</x:v>
      </x:c>
      <x:c r="U92" s="11" t="n">
        <x:v>0</x:v>
      </x:c>
      <x:c r="V92" s="11" t="n">
        <x:v>0</x:v>
      </x:c>
      <x:c r="W92" s="11" t="n">
        <x:v>0</x:v>
      </x:c>
      <x:c r="X92" s="13" t="n">
        <x:f>(D92*'Tariff and method'!$B$4+'Tariff and method'!$B$5)*1.05</x:f>
        <x:v>3.373543739999999</x:v>
      </x:c>
      <x:c r="Y92" s="13" t="n">
        <x:f>SUMIF('Import by half hour'!$A$5:$A$7395,A92,'Import by half hour'!$J$5:$J$7395)</x:f>
        <x:v>0.9004352175</x:v>
      </x:c>
      <x:c r="Z92" s="13" t="n">
        <x:f>Y92+'Tariff and method'!$B$6*1.05</x:f>
        <x:v>1.4583002175000002</x:v>
      </x:c>
      <x:c r="AA92" s="13" t="n">
        <x:f>X92-Z92</x:f>
        <x:v>1.9152435224999986</x:v>
      </x:c>
      <x:c r="AB92" s="13" t="n">
        <x:f>SUMIF('Import by half hour'!$A$5:$A$7395,A92,'Import by half hour'!$K$5:$K$7395)+'Tariff and method'!$B$6*1.05</x:f>
        <x:v>3.3342253875000005</x:v>
      </x:c>
      <x:c r="AC92" s="13" t="n">
        <x:f>AB92-Z92</x:f>
        <x:v>1.8759251700000004</x:v>
      </x:c>
      <x:c r="AD92" s="13" t="n">
        <x:f>X92-AB92</x:f>
        <x:v>0.039318352499998266</x:v>
      </x:c>
      <x:c r="AE92" s="11" t="n">
        <x:f>M92-H92</x:f>
        <x:v>1.5660000000000096</x:v>
      </x:c>
      <x:c r="AF92" s="14" t="n">
        <x:f>IF(M92=0,"",H92/M92)</x:f>
        <x:v>0.8658097686375313</x:v>
      </x:c>
      <x:c r="AG92" s="11" t="n">
        <x:f>D92-E92-F92-G92</x:f>
        <x:v>0.07483333333333642</x:v>
      </x:c>
      <x:c r="AH92" s="11" t="n">
        <x:f>R92-S92-T92</x:f>
        <x:v>0.005999999999993122</x:v>
      </x:c>
      <x:c r="AI92" s="13" t="n">
        <x:f>SUM($AA$5:AA92)</x:f>
        <x:v>170.05345358750006</x:v>
      </x:c>
    </x:row>
    <x:row r="93" ht="21" customHeight="1">
      <x:c r="A93" s="10" t="n">
        <x:v>46236</x:v>
      </x:c>
      <x:c r="B93" s="1" t="n">
        <x:v>288</x:v>
      </x:c>
      <x:c r="C93" s="1" t="n">
        <x:v>24</x:v>
      </x:c>
      <x:c r="D93" s="11" t="n">
        <x:v>11.544083333333337</x:v>
      </x:c>
      <x:c r="E93" s="11" t="n">
        <x:v>4.328249999999998</x:v>
      </x:c>
      <x:c r="F93" s="11" t="n">
        <x:v>0</x:v>
      </x:c>
      <x:c r="G93" s="11" t="n">
        <x:v>6.907333333333333</x:v>
      </x:c>
      <x:c r="H93" s="11" t="n">
        <x:v>4.334999999999996</x:v>
      </x:c>
      <x:c r="I93" s="11" t="n">
        <x:v>4.328249999999998</x:v>
      </x:c>
      <x:c r="J93" s="11" t="n">
        <x:v>0</x:v>
      </x:c>
      <x:c r="K93" s="11" t="n">
        <x:v>14.101000000000004</x:v>
      </x:c>
      <x:c r="L93" s="11" t="n">
        <x:v>0</x:v>
      </x:c>
      <x:c r="M93" s="11" t="n">
        <x:v>14.101000000000004</x:v>
      </x:c>
      <x:c r="N93" s="11" t="n">
        <x:v>0</x:v>
      </x:c>
      <x:c r="O93" s="11" t="n">
        <x:v>0</x:v>
      </x:c>
      <x:c r="P93" s="11" t="n">
        <x:v>0</x:v>
      </x:c>
      <x:c r="Q93" s="11" t="n">
        <x:v>0</x:v>
      </x:c>
      <x:c r="R93" s="11" t="n">
        <x:v>21.008333333333336</x:v>
      </x:c>
      <x:c r="S93" s="11" t="n">
        <x:v>6.907333333333333</x:v>
      </x:c>
      <x:c r="T93" s="11" t="n">
        <x:v>14.101000000000004</x:v>
      </x:c>
      <x:c r="U93" s="11" t="n">
        <x:v>0</x:v>
      </x:c>
      <x:c r="V93" s="11" t="n">
        <x:v>0</x:v>
      </x:c>
      <x:c r="W93" s="11" t="n">
        <x:v>0</x:v>
      </x:c>
      <x:c r="X93" s="13" t="n">
        <x:f>(D93*'Tariff and method'!$B$4+'Tariff and method'!$B$5)*1.05</x:f>
        <x:v>3.1646085975000005</x:v>
      </x:c>
      <x:c r="Y93" s="13" t="n">
        <x:f>SUMIF('Import by half hour'!$A$5:$A$7395,A93,'Import by half hour'!$J$5:$J$7395)</x:f>
        <x:v>4.5949990537500005</x:v>
      </x:c>
      <x:c r="Z93" s="13" t="n">
        <x:f>Y93+'Tariff and method'!$B$6*1.05</x:f>
        <x:v>5.152864053750001</x:v>
      </x:c>
      <x:c r="AA93" s="13" t="n">
        <x:f>X93-Z93</x:f>
        <x:v>-1.9882554562500006</x:v>
      </x:c>
      <x:c r="AB93" s="13" t="n">
        <x:f>SUMIF('Import by half hour'!$A$5:$A$7395,A93,'Import by half hour'!$K$5:$K$7395)+'Tariff and method'!$B$6*1.05</x:f>
        <x:v>3.6087395487500005</x:v>
      </x:c>
      <x:c r="AC93" s="13" t="n">
        <x:f>AB93-Z93</x:f>
        <x:v>-1.5441245050000005</x:v>
      </x:c>
      <x:c r="AD93" s="13" t="n">
        <x:f>X93-AB93</x:f>
        <x:v>-0.44413095125</x:v>
      </x:c>
      <x:c r="AE93" s="11" t="n">
        <x:f>M93-H93</x:f>
        <x:v>9.766000000000009</x:v>
      </x:c>
      <x:c r="AF93" s="14" t="n">
        <x:f>IF(M93=0,"",H93/M93)</x:f>
        <x:v>0.30742500531877137</x:v>
      </x:c>
      <x:c r="AG93" s="11" t="n">
        <x:f>D93-E93-F93-G93</x:f>
        <x:v>0.30850000000000577</x:v>
      </x:c>
      <x:c r="AH93" s="11" t="n">
        <x:f>R93-S93-T93</x:f>
        <x:v>-1.7763568394002505e-15</x:v>
      </x:c>
      <x:c r="AI93" s="13" t="n">
        <x:f>SUM($AA$5:AA93)</x:f>
        <x:v>168.06519813125007</x:v>
      </x:c>
    </x:row>
    <x:row r="94" ht="21" customHeight="1">
      <x:c r="A94" s="10" t="n">
        <x:v>46237</x:v>
      </x:c>
      <x:c r="B94" s="1" t="n">
        <x:v>288</x:v>
      </x:c>
      <x:c r="C94" s="1" t="n">
        <x:v>24</x:v>
      </x:c>
      <x:c r="D94" s="11" t="n">
        <x:v>11.56091666666667</x:v>
      </x:c>
      <x:c r="E94" s="11" t="n">
        <x:v>6.705666666666663</x:v>
      </x:c>
      <x:c r="F94" s="11" t="n">
        <x:v>0</x:v>
      </x:c>
      <x:c r="G94" s="11" t="n">
        <x:v>4.6332499999999985</x:v>
      </x:c>
      <x:c r="H94" s="11" t="n">
        <x:v>6.717999999999996</x:v>
      </x:c>
      <x:c r="I94" s="11" t="n">
        <x:v>6.705666666666663</x:v>
      </x:c>
      <x:c r="J94" s="11" t="n">
        <x:v>0</x:v>
      </x:c>
      <x:c r="K94" s="11" t="n">
        <x:v>8.642</x:v>
      </x:c>
      <x:c r="L94" s="11" t="n">
        <x:v>0</x:v>
      </x:c>
      <x:c r="M94" s="11" t="n">
        <x:v>8.642</x:v>
      </x:c>
      <x:c r="N94" s="11" t="n">
        <x:v>0</x:v>
      </x:c>
      <x:c r="O94" s="11" t="n">
        <x:v>0</x:v>
      </x:c>
      <x:c r="P94" s="11" t="n">
        <x:v>0</x:v>
      </x:c>
      <x:c r="Q94" s="11" t="n">
        <x:v>0</x:v>
      </x:c>
      <x:c r="R94" s="11" t="n">
        <x:v>13.283249999999999</x:v>
      </x:c>
      <x:c r="S94" s="11" t="n">
        <x:v>4.6332499999999985</x:v>
      </x:c>
      <x:c r="T94" s="11" t="n">
        <x:v>8.642</x:v>
      </x:c>
      <x:c r="U94" s="11" t="n">
        <x:v>0</x:v>
      </x:c>
      <x:c r="V94" s="11" t="n">
        <x:v>0</x:v>
      </x:c>
      <x:c r="W94" s="11" t="n">
        <x:v>0</x:v>
      </x:c>
      <x:c r="X94" s="13" t="n">
        <x:f>(D94*'Tariff and method'!$B$4+'Tariff and method'!$B$5)*1.05</x:f>
        <x:v>3.1685430525000005</x:v>
      </x:c>
      <x:c r="Y94" s="13" t="n">
        <x:f>SUMIF('Import by half hour'!$A$5:$A$7395,A94,'Import by half hour'!$J$5:$J$7395)</x:f>
        <x:v>2.63403042</x:v>
      </x:c>
      <x:c r="Z94" s="13" t="n">
        <x:f>Y94+'Tariff and method'!$B$6*1.05</x:f>
        <x:v>3.1918954200000003</x:v>
      </x:c>
      <x:c r="AA94" s="13" t="n">
        <x:f>X94-Z94</x:f>
        <x:v>-0.023352367499999804</x:v>
      </x:c>
      <x:c r="AB94" s="13" t="n">
        <x:f>SUMIF('Import by half hour'!$A$5:$A$7395,A94,'Import by half hour'!$K$5:$K$7395)+'Tariff and method'!$B$6*1.05</x:f>
        <x:v>3.652481805</x:v>
      </x:c>
      <x:c r="AC94" s="13" t="n">
        <x:f>AB94-Z94</x:f>
        <x:v>0.4605863849999996</x:v>
      </x:c>
      <x:c r="AD94" s="13" t="n">
        <x:f>X94-AB94</x:f>
        <x:v>-0.4839387524999994</x:v>
      </x:c>
      <x:c r="AE94" s="11" t="n">
        <x:f>M94-H94</x:f>
        <x:v>1.924000000000003</x:v>
      </x:c>
      <x:c r="AF94" s="14" t="n">
        <x:f>IF(M94=0,"",H94/M94)</x:f>
        <x:v>0.7773663503818556</x:v>
      </x:c>
      <x:c r="AG94" s="11" t="n">
        <x:f>D94-E94-F94-G94</x:f>
        <x:v>0.22200000000000752</x:v>
      </x:c>
      <x:c r="AH94" s="11" t="n">
        <x:f>R94-S94-T94</x:f>
        <x:v>0.008000000000000895</x:v>
      </x:c>
      <x:c r="AI94" s="13" t="n">
        <x:f>SUM($AA$5:AA94)</x:f>
        <x:v>168.04184576375008</x:v>
      </x:c>
    </x:row>
    <x:row r="95" ht="21" customHeight="1">
      <x:c r="A95" s="10" t="n">
        <x:v>46238</x:v>
      </x:c>
      <x:c r="B95" s="1" t="n">
        <x:v>288</x:v>
      </x:c>
      <x:c r="C95" s="1" t="n">
        <x:v>24</x:v>
      </x:c>
      <x:c r="D95" s="11" t="n">
        <x:v>11.137166666666674</x:v>
      </x:c>
      <x:c r="E95" s="11" t="n">
        <x:v>5.514666666666666</x:v>
      </x:c>
      <x:c r="F95" s="11" t="n">
        <x:v>0</x:v>
      </x:c>
      <x:c r="G95" s="11" t="n">
        <x:v>5.336750000000001</x:v>
      </x:c>
      <x:c r="H95" s="11" t="n">
        <x:v>5.5230000000000015</x:v>
      </x:c>
      <x:c r="I95" s="11" t="n">
        <x:v>5.514666666666666</x:v>
      </x:c>
      <x:c r="J95" s="11" t="n">
        <x:v>0</x:v>
      </x:c>
      <x:c r="K95" s="11" t="n">
        <x:v>4.5329999999999995</x:v>
      </x:c>
      <x:c r="L95" s="11" t="n">
        <x:v>0</x:v>
      </x:c>
      <x:c r="M95" s="11" t="n">
        <x:v>4.5329999999999995</x:v>
      </x:c>
      <x:c r="N95" s="11" t="n">
        <x:v>0</x:v>
      </x:c>
      <x:c r="O95" s="11" t="n">
        <x:v>0</x:v>
      </x:c>
      <x:c r="P95" s="11" t="n">
        <x:v>0</x:v>
      </x:c>
      <x:c r="Q95" s="11" t="n">
        <x:v>0</x:v>
      </x:c>
      <x:c r="R95" s="11" t="n">
        <x:v>9.876750000000005</x:v>
      </x:c>
      <x:c r="S95" s="11" t="n">
        <x:v>5.336750000000001</x:v>
      </x:c>
      <x:c r="T95" s="11" t="n">
        <x:v>4.5329999999999995</x:v>
      </x:c>
      <x:c r="U95" s="11" t="n">
        <x:v>0</x:v>
      </x:c>
      <x:c r="V95" s="11" t="n">
        <x:v>0</x:v>
      </x:c>
      <x:c r="W95" s="11" t="n">
        <x:v>0</x:v>
      </x:c>
      <x:c r="X95" s="13" t="n">
        <x:f>(D95*'Tariff and method'!$B$4+'Tariff and method'!$B$5)*1.05</x:f>
        <x:v>3.069499965000002</x:v>
      </x:c>
      <x:c r="Y95" s="13" t="n">
        <x:f>SUMIF('Import by half hour'!$A$5:$A$7395,A95,'Import by half hour'!$J$5:$J$7395)</x:f>
        <x:v>2.11149351</x:v>
      </x:c>
      <x:c r="Z95" s="13" t="n">
        <x:f>Y95+'Tariff and method'!$B$6*1.05</x:f>
        <x:v>2.66935851</x:v>
      </x:c>
      <x:c r="AA95" s="13" t="n">
        <x:f>X95-Z95</x:f>
        <x:v>0.4001414550000022</x:v>
      </x:c>
      <x:c r="AB95" s="13" t="n">
        <x:f>SUMIF('Import by half hour'!$A$5:$A$7395,A95,'Import by half hour'!$K$5:$K$7395)+'Tariff and method'!$B$6*1.05</x:f>
        <x:v>3.48943650125</x:v>
      </x:c>
      <x:c r="AC95" s="13" t="n">
        <x:f>AB95-Z95</x:f>
        <x:v>0.8200779912500002</x:v>
      </x:c>
      <x:c r="AD95" s="13" t="n">
        <x:f>X95-AB95</x:f>
        <x:v>-0.41993653624999805</x:v>
      </x:c>
      <x:c r="AE95" s="11" t="n">
        <x:f>M95-H95</x:f>
        <x:v>-0.990000000000002</x:v>
      </x:c>
      <x:c r="AF95" s="14" t="n">
        <x:f>IF(M95=0,"",H95/M95)</x:f>
        <x:v>1.2183984116479158</x:v>
      </x:c>
      <x:c r="AG95" s="11" t="n">
        <x:f>D95-E95-F95-G95</x:f>
        <x:v>0.2857500000000073</x:v>
      </x:c>
      <x:c r="AH95" s="11" t="n">
        <x:f>R95-S95-T95</x:f>
        <x:v>0.007000000000004114</x:v>
      </x:c>
      <x:c r="AI95" s="13" t="n">
        <x:f>SUM($AA$5:AA95)</x:f>
        <x:v>168.44198721875009</x:v>
      </x:c>
    </x:row>
    <x:row r="96" ht="21" customHeight="1">
      <x:c r="A96" s="10" t="n">
        <x:v>46239</x:v>
      </x:c>
      <x:c r="B96" s="1" t="n">
        <x:v>288</x:v>
      </x:c>
      <x:c r="C96" s="1" t="n">
        <x:v>24</x:v>
      </x:c>
      <x:c r="D96" s="11" t="n">
        <x:v>12.781666666666652</x:v>
      </x:c>
      <x:c r="E96" s="11" t="n">
        <x:v>10.32533333333333</x:v>
      </x:c>
      <x:c r="F96" s="11" t="n">
        <x:v>0</x:v>
      </x:c>
      <x:c r="G96" s="11" t="n">
        <x:v>2.3817500000000003</x:v>
      </x:c>
      <x:c r="H96" s="11" t="n">
        <x:v>10.341000000000003</x:v>
      </x:c>
      <x:c r="I96" s="11" t="n">
        <x:v>10.32533333333333</x:v>
      </x:c>
      <x:c r="J96" s="11" t="n">
        <x:v>0</x:v>
      </x:c>
      <x:c r="K96" s="11" t="n">
        <x:v>12.401</x:v>
      </x:c>
      <x:c r="L96" s="11" t="n">
        <x:v>0</x:v>
      </x:c>
      <x:c r="M96" s="11" t="n">
        <x:v>12.401</x:v>
      </x:c>
      <x:c r="N96" s="11" t="n">
        <x:v>0</x:v>
      </x:c>
      <x:c r="O96" s="11" t="n">
        <x:v>0</x:v>
      </x:c>
      <x:c r="P96" s="11" t="n">
        <x:v>0</x:v>
      </x:c>
      <x:c r="Q96" s="11" t="n">
        <x:v>0</x:v>
      </x:c>
      <x:c r="R96" s="11" t="n">
        <x:v>14.785749999999998</x:v>
      </x:c>
      <x:c r="S96" s="11" t="n">
        <x:v>2.3817500000000003</x:v>
      </x:c>
      <x:c r="T96" s="11" t="n">
        <x:v>12.401</x:v>
      </x:c>
      <x:c r="U96" s="11" t="n">
        <x:v>0</x:v>
      </x:c>
      <x:c r="V96" s="11" t="n">
        <x:v>0</x:v>
      </x:c>
      <x:c r="W96" s="11" t="n">
        <x:v>0</x:v>
      </x:c>
      <x:c r="X96" s="13" t="n">
        <x:f>(D96*'Tariff and method'!$B$4+'Tariff and method'!$B$5)*1.05</x:f>
        <x:v>3.4538689499999964</x:v>
      </x:c>
      <x:c r="Y96" s="13" t="n">
        <x:f>SUMIF('Import by half hour'!$A$5:$A$7395,A96,'Import by half hour'!$J$5:$J$7395)</x:f>
        <x:v>-0.5876719012500001</x:v>
      </x:c>
      <x:c r="Z96" s="13" t="n">
        <x:f>Y96+'Tariff and method'!$B$6*1.05</x:f>
        <x:v>-0.029806901250000073</x:v>
      </x:c>
      <x:c r="AA96" s="13" t="n">
        <x:f>X96-Z96</x:f>
        <x:v>3.4836758512499966</x:v>
      </x:c>
      <x:c r="AB96" s="13" t="n">
        <x:f>SUMIF('Import by half hour'!$A$5:$A$7395,A96,'Import by half hour'!$K$5:$K$7395)+'Tariff and method'!$B$6*1.05</x:f>
        <x:v>2.5803630474999997</x:v>
      </x:c>
      <x:c r="AC96" s="13" t="n">
        <x:f>AB96-Z96</x:f>
        <x:v>2.61016994875</x:v>
      </x:c>
      <x:c r="AD96" s="13" t="n">
        <x:f>X96-AB96</x:f>
        <x:v>0.8735059024999967</x:v>
      </x:c>
      <x:c r="AE96" s="11" t="n">
        <x:f>M96-H96</x:f>
        <x:v>2.059999999999997</x:v>
      </x:c>
      <x:c r="AF96" s="14" t="n">
        <x:f>IF(M96=0,"",H96/M96)</x:f>
        <x:v>0.8338843641641805</x:v>
      </x:c>
      <x:c r="AG96" s="11" t="n">
        <x:f>D96-E96-F96-G96</x:f>
        <x:v>0.07458333333332234</x:v>
      </x:c>
      <x:c r="AH96" s="11" t="n">
        <x:f>R96-S96-T96</x:f>
        <x:v>0.0029999999999983373</x:v>
      </x:c>
      <x:c r="AI96" s="13" t="n">
        <x:f>SUM($AA$5:AA96)</x:f>
        <x:v>171.92566307000007</x:v>
      </x:c>
    </x:row>
    <x:row r="97" ht="21" customHeight="1">
      <x:c r="A97" s="10" t="n">
        <x:v>46240</x:v>
      </x:c>
      <x:c r="B97" s="1" t="n">
        <x:v>288</x:v>
      </x:c>
      <x:c r="C97" s="1" t="n">
        <x:v>24</x:v>
      </x:c>
      <x:c r="D97" s="11" t="n">
        <x:v>12.391916666666662</x:v>
      </x:c>
      <x:c r="E97" s="11" t="n">
        <x:v>10.111749999999997</x:v>
      </x:c>
      <x:c r="F97" s="11" t="n">
        <x:v>0</x:v>
      </x:c>
      <x:c r="G97" s="11" t="n">
        <x:v>2.210000000000001</x:v>
      </x:c>
      <x:c r="H97" s="11" t="n">
        <x:v>10.127999999999998</x:v>
      </x:c>
      <x:c r="I97" s="11" t="n">
        <x:v>10.111749999999997</x:v>
      </x:c>
      <x:c r="J97" s="11" t="n">
        <x:v>0</x:v>
      </x:c>
      <x:c r="K97" s="11" t="n">
        <x:v>9.785</x:v>
      </x:c>
      <x:c r="L97" s="11" t="n">
        <x:v>0</x:v>
      </x:c>
      <x:c r="M97" s="11" t="n">
        <x:v>9.785</x:v>
      </x:c>
      <x:c r="N97" s="11" t="n">
        <x:v>0</x:v>
      </x:c>
      <x:c r="O97" s="11" t="n">
        <x:v>0</x:v>
      </x:c>
      <x:c r="P97" s="11" t="n">
        <x:v>0</x:v>
      </x:c>
      <x:c r="Q97" s="11" t="n">
        <x:v>0</x:v>
      </x:c>
      <x:c r="R97" s="11" t="n">
        <x:v>11.995999999999995</x:v>
      </x:c>
      <x:c r="S97" s="11" t="n">
        <x:v>2.210000000000001</x:v>
      </x:c>
      <x:c r="T97" s="11" t="n">
        <x:v>9.785</x:v>
      </x:c>
      <x:c r="U97" s="11" t="n">
        <x:v>0</x:v>
      </x:c>
      <x:c r="V97" s="11" t="n">
        <x:v>0</x:v>
      </x:c>
      <x:c r="W97" s="11" t="n">
        <x:v>0</x:v>
      </x:c>
      <x:c r="X97" s="13" t="n">
        <x:f>(D97*'Tariff and method'!$B$4+'Tariff and method'!$B$5)*1.05</x:f>
        <x:v>3.362772682499999</x:v>
      </x:c>
      <x:c r="Y97" s="13" t="n">
        <x:f>SUMIF('Import by half hour'!$A$5:$A$7395,A97,'Import by half hour'!$J$5:$J$7395)</x:f>
        <x:v>1.39348610625</x:v>
      </x:c>
      <x:c r="Z97" s="13" t="n">
        <x:f>Y97+'Tariff and method'!$B$6*1.05</x:f>
        <x:v>1.95135110625</x:v>
      </x:c>
      <x:c r="AA97" s="13" t="n">
        <x:f>X97-Z97</x:f>
        <x:v>1.4114215762499989</x:v>
      </x:c>
      <x:c r="AB97" s="13" t="n">
        <x:f>SUMIF('Import by half hour'!$A$5:$A$7395,A97,'Import by half hour'!$K$5:$K$7395)+'Tariff and method'!$B$6*1.05</x:f>
        <x:v>3.24165592625</x:v>
      </x:c>
      <x:c r="AC97" s="13" t="n">
        <x:f>AB97-Z97</x:f>
        <x:v>1.29030482</x:v>
      </x:c>
      <x:c r="AD97" s="13" t="n">
        <x:f>X97-AB97</x:f>
        <x:v>0.12111675624999885</x:v>
      </x:c>
      <x:c r="AE97" s="11" t="n">
        <x:f>M97-H97</x:f>
        <x:v>-0.3429999999999982</x:v>
      </x:c>
      <x:c r="AF97" s="14" t="n">
        <x:f>IF(M97=0,"",H97/M97)</x:f>
        <x:v>1.035053653551354</x:v>
      </x:c>
      <x:c r="AG97" s="11" t="n">
        <x:f>D97-E97-F97-G97</x:f>
        <x:v>0.0701666666666636</x:v>
      </x:c>
      <x:c r="AH97" s="11" t="n">
        <x:f>R97-S97-T97</x:f>
        <x:v>0.0009999999999941167</x:v>
      </x:c>
      <x:c r="AI97" s="13" t="n">
        <x:f>SUM($AA$5:AA97)</x:f>
        <x:v>173.33708464625008</x:v>
      </x:c>
    </x:row>
    <x:row r="98" ht="21" customHeight="1">
      <x:c r="A98" s="10" t="n">
        <x:v>46241</x:v>
      </x:c>
      <x:c r="B98" s="1" t="n">
        <x:v>288</x:v>
      </x:c>
      <x:c r="C98" s="1" t="n">
        <x:v>24</x:v>
      </x:c>
      <x:c r="D98" s="11" t="n">
        <x:v>19.254333333333342</x:v>
      </x:c>
      <x:c r="E98" s="11" t="n">
        <x:v>15.491749999999996</x:v>
      </x:c>
      <x:c r="F98" s="11" t="n">
        <x:v>0</x:v>
      </x:c>
      <x:c r="G98" s="11" t="n">
        <x:v>3.603416666666667</x:v>
      </x:c>
      <x:c r="H98" s="11" t="n">
        <x:v>15.507999999999997</x:v>
      </x:c>
      <x:c r="I98" s="11" t="n">
        <x:v>15.491749999999996</x:v>
      </x:c>
      <x:c r="J98" s="11" t="n">
        <x:v>0</x:v>
      </x:c>
      <x:c r="K98" s="11" t="n">
        <x:v>4.174</x:v>
      </x:c>
      <x:c r="L98" s="11" t="n">
        <x:v>0</x:v>
      </x:c>
      <x:c r="M98" s="11" t="n">
        <x:v>4.174</x:v>
      </x:c>
      <x:c r="N98" s="11" t="n">
        <x:v>0</x:v>
      </x:c>
      <x:c r="O98" s="11" t="n">
        <x:v>0</x:v>
      </x:c>
      <x:c r="P98" s="11" t="n">
        <x:v>0</x:v>
      </x:c>
      <x:c r="Q98" s="11" t="n">
        <x:v>0</x:v>
      </x:c>
      <x:c r="R98" s="11" t="n">
        <x:v>7.777416666666667</x:v>
      </x:c>
      <x:c r="S98" s="11" t="n">
        <x:v>3.603416666666667</x:v>
      </x:c>
      <x:c r="T98" s="11" t="n">
        <x:v>4.174</x:v>
      </x:c>
      <x:c r="U98" s="11" t="n">
        <x:v>0</x:v>
      </x:c>
      <x:c r="V98" s="11" t="n">
        <x:v>0</x:v>
      </x:c>
      <x:c r="W98" s="11" t="n">
        <x:v>0</x:v>
      </x:c>
      <x:c r="X98" s="13" t="n">
        <x:f>(D98*'Tariff and method'!$B$4+'Tariff and method'!$B$5)*1.05</x:f>
        <x:v>4.966725330000002</x:v>
      </x:c>
      <x:c r="Y98" s="13" t="n">
        <x:f>SUMIF('Import by half hour'!$A$5:$A$7395,A98,'Import by half hour'!$J$5:$J$7395)</x:f>
        <x:v>1.1832387087500003</x:v>
      </x:c>
      <x:c r="Z98" s="13" t="n">
        <x:f>Y98+'Tariff and method'!$B$6*1.05</x:f>
        <x:v>1.7411037087500003</x:v>
      </x:c>
      <x:c r="AA98" s="13" t="n">
        <x:f>X98-Z98</x:f>
        <x:v>3.2256216212500015</x:v>
      </x:c>
      <x:c r="AB98" s="13" t="n">
        <x:f>SUMIF('Import by half hour'!$A$5:$A$7395,A98,'Import by half hour'!$K$5:$K$7395)+'Tariff and method'!$B$6*1.05</x:f>
        <x:v>5.4686602425</x:v>
      </x:c>
      <x:c r="AC98" s="13" t="n">
        <x:f>AB98-Z98</x:f>
        <x:v>3.72755653375</x:v>
      </x:c>
      <x:c r="AD98" s="13" t="n">
        <x:f>X98-AB98</x:f>
        <x:v>-0.5019349124999986</x:v>
      </x:c>
      <x:c r="AE98" s="11" t="n">
        <x:f>M98-H98</x:f>
        <x:v>-11.333999999999996</x:v>
      </x:c>
      <x:c r="AF98" s="14" t="n">
        <x:f>IF(M98=0,"",H98/M98)</x:f>
        <x:v>3.7153809295639664</x:v>
      </x:c>
      <x:c r="AG98" s="11" t="n">
        <x:f>D98-E98-F98-G98</x:f>
        <x:v>0.1591666666666791</x:v>
      </x:c>
      <x:c r="AH98" s="11" t="n">
        <x:f>R98-S98-T98</x:f>
        <x:v>0</x:v>
      </x:c>
      <x:c r="AI98" s="13" t="n">
        <x:f>SUM($AA$5:AA98)</x:f>
        <x:v>176.5627062675001</x:v>
      </x:c>
    </x:row>
    <x:row r="99" ht="21" customHeight="1">
      <x:c r="A99" s="10" t="n">
        <x:v>46242</x:v>
      </x:c>
      <x:c r="B99" s="1" t="n">
        <x:v>288</x:v>
      </x:c>
      <x:c r="C99" s="1" t="n">
        <x:v>24</x:v>
      </x:c>
      <x:c r="D99" s="11" t="n">
        <x:v>23.103083333333327</x:v>
      </x:c>
      <x:c r="E99" s="11" t="n">
        <x:v>17.75008333333332</x:v>
      </x:c>
      <x:c r="F99" s="11" t="n">
        <x:v>0</x:v>
      </x:c>
      <x:c r="G99" s="11" t="n">
        <x:v>5.28725</x:v>
      </x:c>
      <x:c r="H99" s="11" t="n">
        <x:v>17.765999999999977</x:v>
      </x:c>
      <x:c r="I99" s="11" t="n">
        <x:v>17.75008333333332</x:v>
      </x:c>
      <x:c r="J99" s="11" t="n">
        <x:v>0</x:v>
      </x:c>
      <x:c r="K99" s="11" t="n">
        <x:v>28.528000000000002</x:v>
      </x:c>
      <x:c r="L99" s="11" t="n">
        <x:v>0</x:v>
      </x:c>
      <x:c r="M99" s="11" t="n">
        <x:v>28.528000000000002</x:v>
      </x:c>
      <x:c r="N99" s="11" t="n">
        <x:v>0</x:v>
      </x:c>
      <x:c r="O99" s="11" t="n">
        <x:v>0</x:v>
      </x:c>
      <x:c r="P99" s="11" t="n">
        <x:v>0</x:v>
      </x:c>
      <x:c r="Q99" s="11" t="n">
        <x:v>0</x:v>
      </x:c>
      <x:c r="R99" s="11" t="n">
        <x:v>33.81625</x:v>
      </x:c>
      <x:c r="S99" s="11" t="n">
        <x:v>5.28725</x:v>
      </x:c>
      <x:c r="T99" s="11" t="n">
        <x:v>28.528000000000002</x:v>
      </x:c>
      <x:c r="U99" s="11" t="n">
        <x:v>0</x:v>
      </x:c>
      <x:c r="V99" s="11" t="n">
        <x:v>0</x:v>
      </x:c>
      <x:c r="W99" s="11" t="n">
        <x:v>0</x:v>
      </x:c>
      <x:c r="X99" s="13" t="n">
        <x:f>(D99*'Tariff and method'!$B$4+'Tariff and method'!$B$5)*1.05</x:f>
        <x:v>5.866293667499999</x:v>
      </x:c>
      <x:c r="Y99" s="13" t="n">
        <x:f>SUMIF('Import by half hour'!$A$5:$A$7395,A99,'Import by half hour'!$J$5:$J$7395)</x:f>
        <x:v>-1.0637364937500002</x:v>
      </x:c>
      <x:c r="Z99" s="13" t="n">
        <x:f>Y99+'Tariff and method'!$B$6*1.05</x:f>
        <x:v>-0.5058714937500002</x:v>
      </x:c>
      <x:c r="AA99" s="13" t="n">
        <x:f>X99-Z99</x:f>
        <x:v>6.372165161249999</x:v>
      </x:c>
      <x:c r="AB99" s="13" t="n">
        <x:f>SUMIF('Import by half hour'!$A$5:$A$7395,A99,'Import by half hour'!$K$5:$K$7395)+'Tariff and method'!$B$6*1.05</x:f>
        <x:v>4.18207255375</x:v>
      </x:c>
      <x:c r="AC99" s="13" t="n">
        <x:f>AB99-Z99</x:f>
        <x:v>4.6879440475</x:v>
      </x:c>
      <x:c r="AD99" s="13" t="n">
        <x:f>X99-AB99</x:f>
        <x:v>1.6842211137499987</x:v>
      </x:c>
      <x:c r="AE99" s="11" t="n">
        <x:f>M99-H99</x:f>
        <x:v>10.762000000000025</x:v>
      </x:c>
      <x:c r="AF99" s="14" t="n">
        <x:f>IF(M99=0,"",H99/M99)</x:f>
        <x:v>0.6227565900168247</x:v>
      </x:c>
      <x:c r="AG99" s="11" t="n">
        <x:f>D99-E99-F99-G99</x:f>
        <x:v>0.06575000000000841</x:v>
      </x:c>
      <x:c r="AH99" s="11" t="n">
        <x:f>R99-S99-T99</x:f>
        <x:v>0.0009999999999941167</x:v>
      </x:c>
      <x:c r="AI99" s="13" t="n">
        <x:f>SUM($AA$5:AA99)</x:f>
        <x:v>182.93487142875009</x:v>
      </x:c>
    </x:row>
    <x:row r="100" ht="21" customHeight="1">
      <x:c r="A100" s="10" t="n">
        <x:v>46243</x:v>
      </x:c>
      <x:c r="B100" s="1" t="n">
        <x:v>288</x:v>
      </x:c>
      <x:c r="C100" s="1" t="n">
        <x:v>24</x:v>
      </x:c>
      <x:c r="D100" s="11" t="n">
        <x:v>23.396916666666666</x:v>
      </x:c>
      <x:c r="E100" s="11" t="n">
        <x:v>17.23725</x:v>
      </x:c>
      <x:c r="F100" s="11" t="n">
        <x:v>0</x:v>
      </x:c>
      <x:c r="G100" s="11" t="n">
        <x:v>6.028000000000001</x:v>
      </x:c>
      <x:c r="H100" s="11" t="n">
        <x:v>17.252999999999993</x:v>
      </x:c>
      <x:c r="I100" s="11" t="n">
        <x:v>17.23725</x:v>
      </x:c>
      <x:c r="J100" s="11" t="n">
        <x:v>0</x:v>
      </x:c>
      <x:c r="K100" s="11" t="n">
        <x:v>6.42</x:v>
      </x:c>
      <x:c r="L100" s="11" t="n">
        <x:v>0</x:v>
      </x:c>
      <x:c r="M100" s="11" t="n">
        <x:v>6.42</x:v>
      </x:c>
      <x:c r="N100" s="11" t="n">
        <x:v>0</x:v>
      </x:c>
      <x:c r="O100" s="11" t="n">
        <x:v>0</x:v>
      </x:c>
      <x:c r="P100" s="11" t="n">
        <x:v>0</x:v>
      </x:c>
      <x:c r="Q100" s="11" t="n">
        <x:v>0</x:v>
      </x:c>
      <x:c r="R100" s="11" t="n">
        <x:v>12.456000000000003</x:v>
      </x:c>
      <x:c r="S100" s="11" t="n">
        <x:v>6.028000000000001</x:v>
      </x:c>
      <x:c r="T100" s="11" t="n">
        <x:v>6.42</x:v>
      </x:c>
      <x:c r="U100" s="11" t="n">
        <x:v>0</x:v>
      </x:c>
      <x:c r="V100" s="11" t="n">
        <x:v>0</x:v>
      </x:c>
      <x:c r="W100" s="11" t="n">
        <x:v>0</x:v>
      </x:c>
      <x:c r="X100" s="13" t="n">
        <x:f>(D100*'Tariff and method'!$B$4+'Tariff and method'!$B$5)*1.05</x:f>
        <x:v>5.934971332500001</x:v>
      </x:c>
      <x:c r="Y100" s="13" t="n">
        <x:f>SUMIF('Import by half hour'!$A$5:$A$7395,A100,'Import by half hour'!$J$5:$J$7395)</x:f>
        <x:v>0.24604804874999997</x:v>
      </x:c>
      <x:c r="Z100" s="13" t="n">
        <x:f>Y100+'Tariff and method'!$B$6*1.05</x:f>
        <x:v>0.80391304875</x:v>
      </x:c>
      <x:c r="AA100" s="13" t="n">
        <x:f>X100-Z100</x:f>
        <x:v>5.131058283750001</x:v>
      </x:c>
      <x:c r="AB100" s="13" t="n">
        <x:f>SUMIF('Import by half hour'!$A$5:$A$7395,A100,'Import by half hour'!$K$5:$K$7395)+'Tariff and method'!$B$6*1.05</x:f>
        <x:v>4.631446216250001</x:v>
      </x:c>
      <x:c r="AC100" s="13" t="n">
        <x:f>AB100-Z100</x:f>
        <x:v>3.8275331675000013</x:v>
      </x:c>
      <x:c r="AD100" s="13" t="n">
        <x:f>X100-AB100</x:f>
        <x:v>1.3035251162499994</x:v>
      </x:c>
      <x:c r="AE100" s="11" t="n">
        <x:f>M100-H100</x:f>
        <x:v>-10.832999999999993</x:v>
      </x:c>
      <x:c r="AF100" s="14" t="n">
        <x:f>IF(M100=0,"",H100/M100)</x:f>
        <x:v>2.6873831775700925</x:v>
      </x:c>
      <x:c r="AG100" s="11" t="n">
        <x:f>D100-E100-F100-G100</x:f>
        <x:v>0.13166666666666504</x:v>
      </x:c>
      <x:c r="AH100" s="11" t="n">
        <x:f>R100-S100-T100</x:f>
        <x:v>0.008000000000001783</x:v>
      </x:c>
      <x:c r="AI100" s="13" t="n">
        <x:f>SUM($AA$5:AA100)</x:f>
        <x:v>188.0659297125001</x:v>
      </x:c>
    </x:row>
    <x:row r="101" ht="21" customHeight="1">
      <x:c r="A101" s="10" t="n">
        <x:v>46244</x:v>
      </x:c>
      <x:c r="B101" s="1" t="n">
        <x:v>288</x:v>
      </x:c>
      <x:c r="C101" s="1" t="n">
        <x:v>24</x:v>
      </x:c>
      <x:c r="D101" s="11" t="n">
        <x:v>23.65108333333333</x:v>
      </x:c>
      <x:c r="E101" s="11" t="n">
        <x:v>12.990999999999994</x:v>
      </x:c>
      <x:c r="F101" s="11" t="n">
        <x:v>0</x:v>
      </x:c>
      <x:c r="G101" s="11" t="n">
        <x:v>10.443750000000003</x:v>
      </x:c>
      <x:c r="H101" s="11" t="n">
        <x:v>13.002999999999995</x:v>
      </x:c>
      <x:c r="I101" s="11" t="n">
        <x:v>12.990999999999994</x:v>
      </x:c>
      <x:c r="J101" s="11" t="n">
        <x:v>0</x:v>
      </x:c>
      <x:c r="K101" s="11" t="n">
        <x:v>19.046000000000003</x:v>
      </x:c>
      <x:c r="L101" s="11" t="n">
        <x:v>0</x:v>
      </x:c>
      <x:c r="M101" s="11" t="n">
        <x:v>19.046000000000003</x:v>
      </x:c>
      <x:c r="N101" s="11" t="n">
        <x:v>0</x:v>
      </x:c>
      <x:c r="O101" s="11" t="n">
        <x:v>0</x:v>
      </x:c>
      <x:c r="P101" s="11" t="n">
        <x:v>0</x:v>
      </x:c>
      <x:c r="Q101" s="11" t="n">
        <x:v>0</x:v>
      </x:c>
      <x:c r="R101" s="11" t="n">
        <x:v>29.494749999999993</x:v>
      </x:c>
      <x:c r="S101" s="11" t="n">
        <x:v>10.443750000000003</x:v>
      </x:c>
      <x:c r="T101" s="11" t="n">
        <x:v>19.046000000000003</x:v>
      </x:c>
      <x:c r="U101" s="11" t="n">
        <x:v>0</x:v>
      </x:c>
      <x:c r="V101" s="11" t="n">
        <x:v>0</x:v>
      </x:c>
      <x:c r="W101" s="11" t="n">
        <x:v>0</x:v>
      </x:c>
      <x:c r="X101" s="13" t="n">
        <x:f>(D101*'Tariff and method'!$B$4+'Tariff and method'!$B$5)*1.05</x:f>
        <x:v>5.994377707499999</x:v>
      </x:c>
      <x:c r="Y101" s="13" t="n">
        <x:f>SUMIF('Import by half hour'!$A$5:$A$7395,A101,'Import by half hour'!$J$5:$J$7395)</x:f>
        <x:v>5.757130680000001</x:v>
      </x:c>
      <x:c r="Z101" s="13" t="n">
        <x:f>Y101+'Tariff and method'!$B$6*1.05</x:f>
        <x:v>6.314995680000001</x:v>
      </x:c>
      <x:c r="AA101" s="13" t="n">
        <x:f>X101-Z101</x:f>
        <x:v>-0.3206179725000018</x:v>
      </x:c>
      <x:c r="AB101" s="13" t="n">
        <x:f>SUMIF('Import by half hour'!$A$5:$A$7395,A101,'Import by half hour'!$K$5:$K$7395)+'Tariff and method'!$B$6*1.05</x:f>
        <x:v>6.820875748750002</x:v>
      </x:c>
      <x:c r="AC101" s="13" t="n">
        <x:f>AB101-Z101</x:f>
        <x:v>0.5058800687500007</x:v>
      </x:c>
      <x:c r="AD101" s="13" t="n">
        <x:f>X101-AB101</x:f>
        <x:v>-0.8264980412500025</x:v>
      </x:c>
      <x:c r="AE101" s="11" t="n">
        <x:f>M101-H101</x:f>
        <x:v>6.043000000000008</x:v>
      </x:c>
      <x:c r="AF101" s="14" t="n">
        <x:f>IF(M101=0,"",H101/M101)</x:f>
        <x:v>0.6827155308201194</x:v>
      </x:c>
      <x:c r="AG101" s="11" t="n">
        <x:f>D101-E101-F101-G101</x:f>
        <x:v>0.21633333333333127</x:v>
      </x:c>
      <x:c r="AH101" s="11" t="n">
        <x:f>R101-S101-T101</x:f>
        <x:v>0.004999999999984794</x:v>
      </x:c>
      <x:c r="AI101" s="13" t="n">
        <x:f>SUM($AA$5:AA101)</x:f>
        <x:v>187.7453117400001</x:v>
      </x:c>
    </x:row>
    <x:row r="102" ht="21" customHeight="1">
      <x:c r="A102" s="10" t="n">
        <x:v>46245</x:v>
      </x:c>
      <x:c r="B102" s="1" t="n">
        <x:v>288</x:v>
      </x:c>
      <x:c r="C102" s="1" t="n">
        <x:v>24</x:v>
      </x:c>
      <x:c r="D102" s="11" t="n">
        <x:v>25.29083333333333</x:v>
      </x:c>
      <x:c r="E102" s="11" t="n">
        <x:v>19.243833333333324</x:v>
      </x:c>
      <x:c r="F102" s="11" t="n">
        <x:v>0</x:v>
      </x:c>
      <x:c r="G102" s="11" t="n">
        <x:v>5.943833333333331</x:v>
      </x:c>
      <x:c r="H102" s="11" t="n">
        <x:v>19.262999999999998</x:v>
      </x:c>
      <x:c r="I102" s="11" t="n">
        <x:v>19.243833333333324</x:v>
      </x:c>
      <x:c r="J102" s="11" t="n">
        <x:v>0</x:v>
      </x:c>
      <x:c r="K102" s="11" t="n">
        <x:v>13.787999999999998</x:v>
      </x:c>
      <x:c r="L102" s="11" t="n">
        <x:v>0</x:v>
      </x:c>
      <x:c r="M102" s="11" t="n">
        <x:v>13.787999999999998</x:v>
      </x:c>
      <x:c r="N102" s="11" t="n">
        <x:v>0</x:v>
      </x:c>
      <x:c r="O102" s="11" t="n">
        <x:v>0</x:v>
      </x:c>
      <x:c r="P102" s="11" t="n">
        <x:v>0</x:v>
      </x:c>
      <x:c r="Q102" s="11" t="n">
        <x:v>0</x:v>
      </x:c>
      <x:c r="R102" s="11" t="n">
        <x:v>19.735833333333343</x:v>
      </x:c>
      <x:c r="S102" s="11" t="n">
        <x:v>5.943833333333331</x:v>
      </x:c>
      <x:c r="T102" s="11" t="n">
        <x:v>13.787999999999998</x:v>
      </x:c>
      <x:c r="U102" s="11" t="n">
        <x:v>0</x:v>
      </x:c>
      <x:c r="V102" s="11" t="n">
        <x:v>0</x:v>
      </x:c>
      <x:c r="W102" s="11" t="n">
        <x:v>0</x:v>
      </x:c>
      <x:c r="X102" s="13" t="n">
        <x:f>(D102*'Tariff and method'!$B$4+'Tariff and method'!$B$5)*1.05</x:f>
        <x:v>6.377636475</x:v>
      </x:c>
      <x:c r="Y102" s="13" t="n">
        <x:f>SUMIF('Import by half hour'!$A$5:$A$7395,A102,'Import by half hour'!$J$5:$J$7395)</x:f>
        <x:v>3.491516315</x:v>
      </x:c>
      <x:c r="Z102" s="13" t="n">
        <x:f>Y102+'Tariff and method'!$B$6*1.05</x:f>
        <x:v>4.049381315</x:v>
      </x:c>
      <x:c r="AA102" s="13" t="n">
        <x:f>X102-Z102</x:f>
        <x:v>2.3282551600000003</x:v>
      </x:c>
      <x:c r="AB102" s="13" t="n">
        <x:f>SUMIF('Import by half hour'!$A$5:$A$7395,A102,'Import by half hour'!$K$5:$K$7395)+'Tariff and method'!$B$6*1.05</x:f>
        <x:v>7.375906641249999</x:v>
      </x:c>
      <x:c r="AC102" s="13" t="n">
        <x:f>AB102-Z102</x:f>
        <x:v>3.3265253262499996</x:v>
      </x:c>
      <x:c r="AD102" s="13" t="n">
        <x:f>X102-AB102</x:f>
        <x:v>-0.9982701662499993</x:v>
      </x:c>
      <x:c r="AE102" s="11" t="n">
        <x:f>M102-H102</x:f>
        <x:v>-5.475</x:v>
      </x:c>
      <x:c r="AF102" s="14" t="n">
        <x:f>IF(M102=0,"",H102/M102)</x:f>
        <x:v>1.3970844212358573</x:v>
      </x:c>
      <x:c r="AG102" s="11" t="n">
        <x:f>D102-E102-F102-G102</x:f>
        <x:v>0.1031666666666764</x:v>
      </x:c>
      <x:c r="AH102" s="11" t="n">
        <x:f>R102-S102-T102</x:f>
        <x:v>0.00400000000001377</x:v>
      </x:c>
      <x:c r="AI102" s="13" t="n">
        <x:f>SUM($AA$5:AA102)</x:f>
        <x:v>190.0735669000001</x:v>
      </x:c>
    </x:row>
    <x:row r="103" ht="21" customHeight="1">
      <x:c r="A103" s="10" t="n">
        <x:v>46246</x:v>
      </x:c>
      <x:c r="B103" s="1" t="n">
        <x:v>288</x:v>
      </x:c>
      <x:c r="C103" s="1" t="n">
        <x:v>24</x:v>
      </x:c>
      <x:c r="D103" s="11" t="n">
        <x:v>25.040666666666667</x:v>
      </x:c>
      <x:c r="E103" s="11" t="n">
        <x:v>17.305000000000007</x:v>
      </x:c>
      <x:c r="F103" s="11" t="n">
        <x:v>0</x:v>
      </x:c>
      <x:c r="G103" s="11" t="n">
        <x:v>7.581500000000001</x:v>
      </x:c>
      <x:c r="H103" s="11" t="n">
        <x:v>17.322000000000006</x:v>
      </x:c>
      <x:c r="I103" s="11" t="n">
        <x:v>17.305000000000007</x:v>
      </x:c>
      <x:c r="J103" s="11" t="n">
        <x:v>0</x:v>
      </x:c>
      <x:c r="K103" s="11" t="n">
        <x:v>18.732</x:v>
      </x:c>
      <x:c r="L103" s="11" t="n">
        <x:v>0</x:v>
      </x:c>
      <x:c r="M103" s="11" t="n">
        <x:v>18.732</x:v>
      </x:c>
      <x:c r="N103" s="11" t="n">
        <x:v>0</x:v>
      </x:c>
      <x:c r="O103" s="11" t="n">
        <x:v>0</x:v>
      </x:c>
      <x:c r="P103" s="11" t="n">
        <x:v>0</x:v>
      </x:c>
      <x:c r="Q103" s="11" t="n">
        <x:v>0</x:v>
      </x:c>
      <x:c r="R103" s="11" t="n">
        <x:v>26.3235</x:v>
      </x:c>
      <x:c r="S103" s="11" t="n">
        <x:v>7.581500000000001</x:v>
      </x:c>
      <x:c r="T103" s="11" t="n">
        <x:v>18.732</x:v>
      </x:c>
      <x:c r="U103" s="11" t="n">
        <x:v>0</x:v>
      </x:c>
      <x:c r="V103" s="11" t="n">
        <x:v>0</x:v>
      </x:c>
      <x:c r="W103" s="11" t="n">
        <x:v>0</x:v>
      </x:c>
      <x:c r="X103" s="13" t="n">
        <x:f>(D103*'Tariff and method'!$B$4+'Tariff and method'!$B$5)*1.05</x:f>
        <x:v>6.319165020000001</x:v>
      </x:c>
      <x:c r="Y103" s="13" t="n">
        <x:f>SUMIF('Import by half hour'!$A$5:$A$7395,A103,'Import by half hour'!$J$5:$J$7395)</x:f>
        <x:v>4.76010814125</x:v>
      </x:c>
      <x:c r="Z103" s="13" t="n">
        <x:f>Y103+'Tariff and method'!$B$6*1.05</x:f>
        <x:v>5.31797314125</x:v>
      </x:c>
      <x:c r="AA103" s="13" t="n">
        <x:f>X103-Z103</x:f>
        <x:v>1.0011918787500003</x:v>
      </x:c>
      <x:c r="AB103" s="13" t="n">
        <x:f>SUMIF('Import by half hour'!$A$5:$A$7395,A103,'Import by half hour'!$K$5:$K$7395)+'Tariff and method'!$B$6*1.05</x:f>
        <x:v>8.017832943750001</x:v>
      </x:c>
      <x:c r="AC103" s="13" t="n">
        <x:f>AB103-Z103</x:f>
        <x:v>2.6998598025000007</x:v>
      </x:c>
      <x:c r="AD103" s="13" t="n">
        <x:f>X103-AB103</x:f>
        <x:v>-1.6986679237500004</x:v>
      </x:c>
      <x:c r="AE103" s="11" t="n">
        <x:f>M103-H103</x:f>
        <x:v>1.409999999999993</x:v>
      </x:c>
      <x:c r="AF103" s="14" t="n">
        <x:f>IF(M103=0,"",H103/M103)</x:f>
        <x:v>0.9247277386290843</x:v>
      </x:c>
      <x:c r="AG103" s="11" t="n">
        <x:f>D103-E103-F103-G103</x:f>
        <x:v>0.1541666666666588</x:v>
      </x:c>
      <x:c r="AH103" s="11" t="n">
        <x:f>R103-S103-T103</x:f>
        <x:v>0.00999999999999801</x:v>
      </x:c>
      <x:c r="AI103" s="13" t="n">
        <x:f>SUM($AA$5:AA103)</x:f>
        <x:v>191.0747587787501</x:v>
      </x:c>
    </x:row>
    <x:row r="104" ht="21" customHeight="1">
      <x:c r="A104" s="10" t="n">
        <x:v>46247</x:v>
      </x:c>
      <x:c r="B104" s="1" t="n">
        <x:v>288</x:v>
      </x:c>
      <x:c r="C104" s="1" t="n">
        <x:v>24</x:v>
      </x:c>
      <x:c r="D104" s="11" t="n">
        <x:v>23.148249999999994</x:v>
      </x:c>
      <x:c r="E104" s="11" t="n">
        <x:v>11.953083333333334</x:v>
      </x:c>
      <x:c r="F104" s="11" t="n">
        <x:v>0</x:v>
      </x:c>
      <x:c r="G104" s="11" t="n">
        <x:v>10.908</x:v>
      </x:c>
      <x:c r="H104" s="11" t="n">
        <x:v>11.962</x:v>
      </x:c>
      <x:c r="I104" s="11" t="n">
        <x:v>11.953083333333334</x:v>
      </x:c>
      <x:c r="J104" s="11" t="n">
        <x:v>0</x:v>
      </x:c>
      <x:c r="K104" s="11" t="n">
        <x:v>5.349</x:v>
      </x:c>
      <x:c r="L104" s="11" t="n">
        <x:v>0</x:v>
      </x:c>
      <x:c r="M104" s="11" t="n">
        <x:v>5.349</x:v>
      </x:c>
      <x:c r="N104" s="11" t="n">
        <x:v>0</x:v>
      </x:c>
      <x:c r="O104" s="11" t="n">
        <x:v>0</x:v>
      </x:c>
      <x:c r="P104" s="11" t="n">
        <x:v>0</x:v>
      </x:c>
      <x:c r="Q104" s="11" t="n">
        <x:v>0</x:v>
      </x:c>
      <x:c r="R104" s="11" t="n">
        <x:v>16.262</x:v>
      </x:c>
      <x:c r="S104" s="11" t="n">
        <x:v>10.908</x:v>
      </x:c>
      <x:c r="T104" s="11" t="n">
        <x:v>5.349</x:v>
      </x:c>
      <x:c r="U104" s="11" t="n">
        <x:v>0</x:v>
      </x:c>
      <x:c r="V104" s="11" t="n">
        <x:v>0</x:v>
      </x:c>
      <x:c r="W104" s="11" t="n">
        <x:v>0</x:v>
      </x:c>
      <x:c r="X104" s="13" t="n">
        <x:f>(D104*'Tariff and method'!$B$4+'Tariff and method'!$B$5)*1.05</x:f>
        <x:v>5.876850472499998</x:v>
      </x:c>
      <x:c r="Y104" s="13" t="n">
        <x:f>SUMIF('Import by half hour'!$A$5:$A$7395,A104,'Import by half hour'!$J$5:$J$7395)</x:f>
        <x:v>3.77815354875</x:v>
      </x:c>
      <x:c r="Z104" s="13" t="n">
        <x:f>Y104+'Tariff and method'!$B$6*1.05</x:f>
        <x:v>4.33601854875</x:v>
      </x:c>
      <x:c r="AA104" s="13" t="n">
        <x:f>X104-Z104</x:f>
        <x:v>1.5408319237499981</x:v>
      </x:c>
      <x:c r="AB104" s="13" t="n">
        <x:f>SUMIF('Import by half hour'!$A$5:$A$7395,A104,'Import by half hour'!$K$5:$K$7395)+'Tariff and method'!$B$6*1.05</x:f>
        <x:v>8.40456033375</x:v>
      </x:c>
      <x:c r="AC104" s="13" t="n">
        <x:f>AB104-Z104</x:f>
        <x:v>4.068541785</x:v>
      </x:c>
      <x:c r="AD104" s="13" t="n">
        <x:f>X104-AB104</x:f>
        <x:v>-2.5277098612500017</x:v>
      </x:c>
      <x:c r="AE104" s="11" t="n">
        <x:f>M104-H104</x:f>
        <x:v>-6.6129999999999995</x:v>
      </x:c>
      <x:c r="AF104" s="14" t="n">
        <x:f>IF(M104=0,"",H104/M104)</x:f>
        <x:v>2.2363058515610392</x:v>
      </x:c>
      <x:c r="AG104" s="11" t="n">
        <x:f>D104-E104-F104-G104</x:f>
        <x:v>0.2871666666666606</x:v>
      </x:c>
      <x:c r="AH104" s="11" t="n">
        <x:f>R104-S104-T104</x:f>
        <x:v>0.005000000000000782</x:v>
      </x:c>
      <x:c r="AI104" s="13" t="n">
        <x:f>SUM($AA$5:AA104)</x:f>
        <x:v>192.6155907025001</x:v>
      </x:c>
    </x:row>
    <x:row r="105" ht="21" customHeight="1">
      <x:c r="A105" s="10" t="n">
        <x:v>46248</x:v>
      </x:c>
      <x:c r="B105" s="1" t="n">
        <x:v>288</x:v>
      </x:c>
      <x:c r="C105" s="1" t="n">
        <x:v>24</x:v>
      </x:c>
      <x:c r="D105" s="11" t="n">
        <x:v>27.27041666666669</x:v>
      </x:c>
      <x:c r="E105" s="11" t="n">
        <x:v>11.969583333333338</x:v>
      </x:c>
      <x:c r="F105" s="11" t="n">
        <x:v>0</x:v>
      </x:c>
      <x:c r="G105" s="11" t="n">
        <x:v>15.003166666666667</x:v>
      </x:c>
      <x:c r="H105" s="11" t="n">
        <x:v>11.980000000000002</x:v>
      </x:c>
      <x:c r="I105" s="11" t="n">
        <x:v>11.969583333333338</x:v>
      </x:c>
      <x:c r="J105" s="11" t="n">
        <x:v>0</x:v>
      </x:c>
      <x:c r="K105" s="11" t="n">
        <x:v>23.446</x:v>
      </x:c>
      <x:c r="L105" s="11" t="n">
        <x:v>0</x:v>
      </x:c>
      <x:c r="M105" s="11" t="n">
        <x:v>23.446</x:v>
      </x:c>
      <x:c r="N105" s="11" t="n">
        <x:v>0</x:v>
      </x:c>
      <x:c r="O105" s="11" t="n">
        <x:v>0</x:v>
      </x:c>
      <x:c r="P105" s="11" t="n">
        <x:v>0</x:v>
      </x:c>
      <x:c r="Q105" s="11" t="n">
        <x:v>0</x:v>
      </x:c>
      <x:c r="R105" s="11" t="n">
        <x:v>38.45616666666666</x:v>
      </x:c>
      <x:c r="S105" s="11" t="n">
        <x:v>15.003166666666667</x:v>
      </x:c>
      <x:c r="T105" s="11" t="n">
        <x:v>23.446</x:v>
      </x:c>
      <x:c r="U105" s="11" t="n">
        <x:v>0</x:v>
      </x:c>
      <x:c r="V105" s="11" t="n">
        <x:v>0</x:v>
      </x:c>
      <x:c r="W105" s="11" t="n">
        <x:v>0</x:v>
      </x:c>
      <x:c r="X105" s="13" t="n">
        <x:f>(D105*'Tariff and method'!$B$4+'Tariff and method'!$B$5)*1.05</x:f>
        <x:v>6.840324487500006</x:v>
      </x:c>
      <x:c r="Y105" s="13" t="n">
        <x:f>SUMIF('Import by half hour'!$A$5:$A$7395,A105,'Import by half hour'!$J$5:$J$7395)</x:f>
        <x:v>8.81919745</x:v>
      </x:c>
      <x:c r="Z105" s="13" t="n">
        <x:f>Y105+'Tariff and method'!$B$6*1.05</x:f>
        <x:v>9.37706245</x:v>
      </x:c>
      <x:c r="AA105" s="13" t="n">
        <x:f>X105-Z105</x:f>
        <x:v>-2.536737962499994</x:v>
      </x:c>
      <x:c r="AB105" s="13" t="n">
        <x:f>SUMIF('Import by half hour'!$A$5:$A$7395,A105,'Import by half hour'!$K$5:$K$7395)+'Tariff and method'!$B$6*1.05</x:f>
        <x:v>8.678996567499999</x:v>
      </x:c>
      <x:c r="AC105" s="13" t="n">
        <x:f>AB105-Z105</x:f>
        <x:v>-0.6980658825000017</x:v>
      </x:c>
      <x:c r="AD105" s="13" t="n">
        <x:f>X105-AB105</x:f>
        <x:v>-1.8386720799999923</x:v>
      </x:c>
      <x:c r="AE105" s="11" t="n">
        <x:f>M105-H105</x:f>
        <x:v>11.466</x:v>
      </x:c>
      <x:c r="AF105" s="14" t="n">
        <x:f>IF(M105=0,"",H105/M105)</x:f>
        <x:v>0.5109613580141602</x:v>
      </x:c>
      <x:c r="AG105" s="11" t="n">
        <x:f>D105-E105-F105-G105</x:f>
        <x:v>0.29766666666668584</x:v>
      </x:c>
      <x:c r="AH105" s="11" t="n">
        <x:f>R105-S105-T105</x:f>
        <x:v>0.006999999999994344</x:v>
      </x:c>
      <x:c r="AI105" s="13" t="n">
        <x:f>SUM($AA$5:AA105)</x:f>
        <x:v>190.07885274000012</x:v>
      </x:c>
    </x:row>
    <x:row r="106" ht="21" customHeight="1">
      <x:c r="A106" s="10" t="n">
        <x:v>46249</x:v>
      </x:c>
      <x:c r="B106" s="1" t="n">
        <x:v>288</x:v>
      </x:c>
      <x:c r="C106" s="1" t="n">
        <x:v>24</x:v>
      </x:c>
      <x:c r="D106" s="11" t="n">
        <x:v>22.757249999999996</x:v>
      </x:c>
      <x:c r="E106" s="11" t="n">
        <x:v>17.639750000000014</x:v>
      </x:c>
      <x:c r="F106" s="11" t="n">
        <x:v>0</x:v>
      </x:c>
      <x:c r="G106" s="11" t="n">
        <x:v>5.01225</x:v>
      </x:c>
      <x:c r="H106" s="11" t="n">
        <x:v>17.65600000000001</x:v>
      </x:c>
      <x:c r="I106" s="11" t="n">
        <x:v>17.639750000000014</x:v>
      </x:c>
      <x:c r="J106" s="11" t="n">
        <x:v>0</x:v>
      </x:c>
      <x:c r="K106" s="11" t="n">
        <x:v>12.171999999999997</x:v>
      </x:c>
      <x:c r="L106" s="11" t="n">
        <x:v>0</x:v>
      </x:c>
      <x:c r="M106" s="11" t="n">
        <x:v>12.171999999999997</x:v>
      </x:c>
      <x:c r="N106" s="11" t="n">
        <x:v>0</x:v>
      </x:c>
      <x:c r="O106" s="11" t="n">
        <x:v>0</x:v>
      </x:c>
      <x:c r="P106" s="11" t="n">
        <x:v>0</x:v>
      </x:c>
      <x:c r="Q106" s="11" t="n">
        <x:v>0</x:v>
      </x:c>
      <x:c r="R106" s="11" t="n">
        <x:v>17.184250000000006</x:v>
      </x:c>
      <x:c r="S106" s="11" t="n">
        <x:v>5.01225</x:v>
      </x:c>
      <x:c r="T106" s="11" t="n">
        <x:v>12.171999999999997</x:v>
      </x:c>
      <x:c r="U106" s="11" t="n">
        <x:v>0</x:v>
      </x:c>
      <x:c r="V106" s="11" t="n">
        <x:v>0</x:v>
      </x:c>
      <x:c r="W106" s="11" t="n">
        <x:v>0</x:v>
      </x:c>
      <x:c r="X106" s="13" t="n">
        <x:f>(D106*'Tariff and method'!$B$4+'Tariff and method'!$B$5)*1.05</x:f>
        <x:v>5.7854620425</x:v>
      </x:c>
      <x:c r="Y106" s="13" t="n">
        <x:f>SUMIF('Import by half hour'!$A$5:$A$7395,A106,'Import by half hour'!$J$5:$J$7395)</x:f>
        <x:v>2.5573489200000004</x:v>
      </x:c>
      <x:c r="Z106" s="13" t="n">
        <x:f>Y106+'Tariff and method'!$B$6*1.05</x:f>
        <x:v>3.1152139200000004</x:v>
      </x:c>
      <x:c r="AA106" s="13" t="n">
        <x:f>X106-Z106</x:f>
        <x:v>2.6702481224999994</x:v>
      </x:c>
      <x:c r="AB106" s="13" t="n">
        <x:f>SUMIF('Import by half hour'!$A$5:$A$7395,A106,'Import by half hour'!$K$5:$K$7395)+'Tariff and method'!$B$6*1.05</x:f>
        <x:v>6.615466908749999</x:v>
      </x:c>
      <x:c r="AC106" s="13" t="n">
        <x:f>AB106-Z106</x:f>
        <x:v>3.500252988749999</x:v>
      </x:c>
      <x:c r="AD106" s="13" t="n">
        <x:f>X106-AB106</x:f>
        <x:v>-0.8300048662499995</x:v>
      </x:c>
      <x:c r="AE106" s="11" t="n">
        <x:f>M106-H106</x:f>
        <x:v>-5.484000000000012</x:v>
      </x:c>
      <x:c r="AF106" s="14" t="n">
        <x:f>IF(M106=0,"",H106/M106)</x:f>
        <x:v>1.4505422280644114</x:v>
      </x:c>
      <x:c r="AG106" s="11" t="n">
        <x:f>D106-E106-F106-G106</x:f>
        <x:v>0.10524999999998208</x:v>
      </x:c>
      <x:c r="AH106" s="11" t="n">
        <x:f>R106-S106-T106</x:f>
        <x:v>8.881784197001252e-15</x:v>
      </x:c>
      <x:c r="AI106" s="13" t="n">
        <x:f>SUM($AA$5:AA106)</x:f>
        <x:v>192.74910086250011</x:v>
      </x:c>
    </x:row>
    <x:row r="107" ht="21" customHeight="1">
      <x:c r="A107" s="10" t="n">
        <x:v>46250</x:v>
      </x:c>
      <x:c r="B107" s="1" t="n">
        <x:v>288</x:v>
      </x:c>
      <x:c r="C107" s="1" t="n">
        <x:v>24</x:v>
      </x:c>
      <x:c r="D107" s="11" t="n">
        <x:v>25.407666666666657</x:v>
      </x:c>
      <x:c r="E107" s="11" t="n">
        <x:v>6.110833333333336</x:v>
      </x:c>
      <x:c r="F107" s="11" t="n">
        <x:v>0</x:v>
      </x:c>
      <x:c r="G107" s="11" t="n">
        <x:v>18.906166666666675</x:v>
      </x:c>
      <x:c r="H107" s="11" t="n">
        <x:v>6.116000000000002</x:v>
      </x:c>
      <x:c r="I107" s="11" t="n">
        <x:v>6.110833333333336</x:v>
      </x:c>
      <x:c r="J107" s="11" t="n">
        <x:v>0</x:v>
      </x:c>
      <x:c r="K107" s="11" t="n">
        <x:v>9.522</x:v>
      </x:c>
      <x:c r="L107" s="11" t="n">
        <x:v>0</x:v>
      </x:c>
      <x:c r="M107" s="11" t="n">
        <x:v>9.522</x:v>
      </x:c>
      <x:c r="N107" s="11" t="n">
        <x:v>0</x:v>
      </x:c>
      <x:c r="O107" s="11" t="n">
        <x:v>0</x:v>
      </x:c>
      <x:c r="P107" s="11" t="n">
        <x:v>0</x:v>
      </x:c>
      <x:c r="Q107" s="11" t="n">
        <x:v>0</x:v>
      </x:c>
      <x:c r="R107" s="11" t="n">
        <x:v>28.433166666666676</x:v>
      </x:c>
      <x:c r="S107" s="11" t="n">
        <x:v>18.906166666666675</x:v>
      </x:c>
      <x:c r="T107" s="11" t="n">
        <x:v>9.522</x:v>
      </x:c>
      <x:c r="U107" s="11" t="n">
        <x:v>0</x:v>
      </x:c>
      <x:c r="V107" s="11" t="n">
        <x:v>0</x:v>
      </x:c>
      <x:c r="W107" s="11" t="n">
        <x:v>0</x:v>
      </x:c>
      <x:c r="X107" s="13" t="n">
        <x:f>(D107*'Tariff and method'!$B$4+'Tariff and method'!$B$5)*1.05</x:f>
        <x:v>6.404943929999998</x:v>
      </x:c>
      <x:c r="Y107" s="13" t="n">
        <x:f>SUMIF('Import by half hour'!$A$5:$A$7395,A107,'Import by half hour'!$J$5:$J$7395)</x:f>
        <x:v>6.89876173</x:v>
      </x:c>
      <x:c r="Z107" s="13" t="n">
        <x:f>Y107+'Tariff and method'!$B$6*1.05</x:f>
        <x:v>7.45662673</x:v>
      </x:c>
      <x:c r="AA107" s="13" t="n">
        <x:f>X107-Z107</x:f>
        <x:v>-1.0516828000000018</x:v>
      </x:c>
      <x:c r="AB107" s="13" t="n">
        <x:f>SUMIF('Import by half hour'!$A$5:$A$7395,A107,'Import by half hour'!$K$5:$K$7395)+'Tariff and method'!$B$6*1.05</x:f>
        <x:v>7.8065484000000005</x:v>
      </x:c>
      <x:c r="AC107" s="13" t="n">
        <x:f>AB107-Z107</x:f>
        <x:v>0.3499216700000005</x:v>
      </x:c>
      <x:c r="AD107" s="13" t="n">
        <x:f>X107-AB107</x:f>
        <x:v>-1.4016044700000023</x:v>
      </x:c>
      <x:c r="AE107" s="11" t="n">
        <x:f>M107-H107</x:f>
        <x:v>3.405999999999998</x:v>
      </x:c>
      <x:c r="AF107" s="14" t="n">
        <x:f>IF(M107=0,"",H107/M107)</x:f>
        <x:v>0.6423020373871038</x:v>
      </x:c>
      <x:c r="AG107" s="11" t="n">
        <x:f>D107-E107-F107-G107</x:f>
        <x:v>0.39066666666664673</x:v>
      </x:c>
      <x:c r="AH107" s="11" t="n">
        <x:f>R107-S107-T107</x:f>
        <x:v>0.005000000000000782</x:v>
      </x:c>
      <x:c r="AI107" s="13" t="n">
        <x:f>SUM($AA$5:AA107)</x:f>
        <x:v>191.6974180625001</x:v>
      </x:c>
    </x:row>
    <x:row r="108" ht="21" customHeight="1">
      <x:c r="A108" s="10" t="n">
        <x:v>46251</x:v>
      </x:c>
      <x:c r="B108" s="1" t="n">
        <x:v>288</x:v>
      </x:c>
      <x:c r="C108" s="1" t="n">
        <x:v>24</x:v>
      </x:c>
      <x:c r="D108" s="11" t="n">
        <x:v>23.738416666666687</x:v>
      </x:c>
      <x:c r="E108" s="11" t="n">
        <x:v>12.627500000000001</x:v>
      </x:c>
      <x:c r="F108" s="11" t="n">
        <x:v>0</x:v>
      </x:c>
      <x:c r="G108" s="11" t="n">
        <x:v>10.823500000000003</x:v>
      </x:c>
      <x:c r="H108" s="11" t="n">
        <x:v>12.640000000000006</x:v>
      </x:c>
      <x:c r="I108" s="11" t="n">
        <x:v>12.627500000000001</x:v>
      </x:c>
      <x:c r="J108" s="11" t="n">
        <x:v>0</x:v>
      </x:c>
      <x:c r="K108" s="11" t="n">
        <x:v>9.300000000000002</x:v>
      </x:c>
      <x:c r="L108" s="11" t="n">
        <x:v>0</x:v>
      </x:c>
      <x:c r="M108" s="11" t="n">
        <x:v>9.300000000000002</x:v>
      </x:c>
      <x:c r="N108" s="11" t="n">
        <x:v>0</x:v>
      </x:c>
      <x:c r="O108" s="11" t="n">
        <x:v>0</x:v>
      </x:c>
      <x:c r="P108" s="11" t="n">
        <x:v>0</x:v>
      </x:c>
      <x:c r="Q108" s="11" t="n">
        <x:v>0</x:v>
      </x:c>
      <x:c r="R108" s="11" t="n">
        <x:v>20.125500000000006</x:v>
      </x:c>
      <x:c r="S108" s="11" t="n">
        <x:v>10.823500000000003</x:v>
      </x:c>
      <x:c r="T108" s="11" t="n">
        <x:v>9.300000000000002</x:v>
      </x:c>
      <x:c r="U108" s="11" t="n">
        <x:v>0</x:v>
      </x:c>
      <x:c r="V108" s="11" t="n">
        <x:v>0</x:v>
      </x:c>
      <x:c r="W108" s="11" t="n">
        <x:v>0</x:v>
      </x:c>
      <x:c r="X108" s="13" t="n">
        <x:f>(D108*'Tariff and method'!$B$4+'Tariff and method'!$B$5)*1.05</x:f>
        <x:v>6.014790127500005</x:v>
      </x:c>
      <x:c r="Y108" s="13" t="n">
        <x:f>SUMIF('Import by half hour'!$A$5:$A$7395,A108,'Import by half hour'!$J$5:$J$7395)</x:f>
        <x:v>6.018210476250001</x:v>
      </x:c>
      <x:c r="Z108" s="13" t="n">
        <x:f>Y108+'Tariff and method'!$B$6*1.05</x:f>
        <x:v>6.576075476250001</x:v>
      </x:c>
      <x:c r="AA108" s="13" t="n">
        <x:f>X108-Z108</x:f>
        <x:v>-0.5612853487499958</x:v>
      </x:c>
      <x:c r="AB108" s="13" t="n">
        <x:f>SUMIF('Import by half hour'!$A$5:$A$7395,A108,'Import by half hour'!$K$5:$K$7395)+'Tariff and method'!$B$6*1.05</x:f>
        <x:v>8.83148721</x:v>
      </x:c>
      <x:c r="AC108" s="13" t="n">
        <x:f>AB108-Z108</x:f>
        <x:v>2.25541173375</x:v>
      </x:c>
      <x:c r="AD108" s="13" t="n">
        <x:f>X108-AB108</x:f>
        <x:v>-2.8166970824999957</x:v>
      </x:c>
      <x:c r="AE108" s="11" t="n">
        <x:f>M108-H108</x:f>
        <x:v>-3.3400000000000034</x:v>
      </x:c>
      <x:c r="AF108" s="14" t="n">
        <x:f>IF(M108=0,"",H108/M108)</x:f>
        <x:v>1.3591397849462368</x:v>
      </x:c>
      <x:c r="AG108" s="11" t="n">
        <x:f>D108-E108-F108-G108</x:f>
        <x:v>0.2874166666666831</x:v>
      </x:c>
      <x:c r="AH108" s="11" t="n">
        <x:f>R108-S108-T108</x:f>
        <x:v>0.002000000000000668</x:v>
      </x:c>
      <x:c r="AI108" s="13" t="n">
        <x:f>SUM($AA$5:AA108)</x:f>
        <x:v>191.1361327137501</x:v>
      </x:c>
    </x:row>
    <x:row r="109" ht="21" customHeight="1">
      <x:c r="A109" s="10" t="n">
        <x:v>46252</x:v>
      </x:c>
      <x:c r="B109" s="1" t="n">
        <x:v>288</x:v>
      </x:c>
      <x:c r="C109" s="1" t="n">
        <x:v>24</x:v>
      </x:c>
      <x:c r="D109" s="11" t="n">
        <x:v>23.931750000000005</x:v>
      </x:c>
      <x:c r="E109" s="11" t="n">
        <x:v>13.208833333333336</x:v>
      </x:c>
      <x:c r="F109" s="11" t="n">
        <x:v>0</x:v>
      </x:c>
      <x:c r="G109" s="11" t="n">
        <x:v>10.456500000000004</x:v>
      </x:c>
      <x:c r="H109" s="11" t="n">
        <x:v>13.221000000000005</x:v>
      </x:c>
      <x:c r="I109" s="11" t="n">
        <x:v>13.208833333333336</x:v>
      </x:c>
      <x:c r="J109" s="11" t="n">
        <x:v>0</x:v>
      </x:c>
      <x:c r="K109" s="11" t="n">
        <x:v>11.301</x:v>
      </x:c>
      <x:c r="L109" s="11" t="n">
        <x:v>0</x:v>
      </x:c>
      <x:c r="M109" s="11" t="n">
        <x:v>11.301</x:v>
      </x:c>
      <x:c r="N109" s="11" t="n">
        <x:v>0</x:v>
      </x:c>
      <x:c r="O109" s="11" t="n">
        <x:v>0</x:v>
      </x:c>
      <x:c r="P109" s="11" t="n">
        <x:v>0</x:v>
      </x:c>
      <x:c r="Q109" s="11" t="n">
        <x:v>0</x:v>
      </x:c>
      <x:c r="R109" s="11" t="n">
        <x:v>21.76050000000001</x:v>
      </x:c>
      <x:c r="S109" s="11" t="n">
        <x:v>10.456500000000004</x:v>
      </x:c>
      <x:c r="T109" s="11" t="n">
        <x:v>11.301</x:v>
      </x:c>
      <x:c r="U109" s="11" t="n">
        <x:v>0</x:v>
      </x:c>
      <x:c r="V109" s="11" t="n">
        <x:v>0</x:v>
      </x:c>
      <x:c r="W109" s="11" t="n">
        <x:v>0</x:v>
      </x:c>
      <x:c r="X109" s="13" t="n">
        <x:f>(D109*'Tariff and method'!$B$4+'Tariff and method'!$B$5)*1.05</x:f>
        <x:v>6.059977927500001</x:v>
      </x:c>
      <x:c r="Y109" s="13" t="n">
        <x:f>SUMIF('Import by half hour'!$A$5:$A$7395,A109,'Import by half hour'!$J$5:$J$7395)</x:f>
        <x:v>4.950140212500001</x:v>
      </x:c>
      <x:c r="Z109" s="13" t="n">
        <x:f>Y109+'Tariff and method'!$B$6*1.05</x:f>
        <x:v>5.5080052125000005</x:v>
      </x:c>
      <x:c r="AA109" s="13" t="n">
        <x:f>X109-Z109</x:f>
        <x:v>0.5519727150000007</x:v>
      </x:c>
      <x:c r="AB109" s="13" t="n">
        <x:f>SUMIF('Import by half hour'!$A$5:$A$7395,A109,'Import by half hour'!$K$5:$K$7395)+'Tariff and method'!$B$6*1.05</x:f>
        <x:v>7.723152972499999</x:v>
      </x:c>
      <x:c r="AC109" s="13" t="n">
        <x:f>AB109-Z109</x:f>
        <x:v>2.215147759999999</x:v>
      </x:c>
      <x:c r="AD109" s="13" t="n">
        <x:f>X109-AB109</x:f>
        <x:v>-1.6631750449999982</x:v>
      </x:c>
      <x:c r="AE109" s="11" t="n">
        <x:f>M109-H109</x:f>
        <x:v>-1.9200000000000053</x:v>
      </x:c>
      <x:c r="AF109" s="14" t="n">
        <x:f>IF(M109=0,"",H109/M109)</x:f>
        <x:v>1.169896469338997</x:v>
      </x:c>
      <x:c r="AG109" s="11" t="n">
        <x:f>D109-E109-F109-G109</x:f>
        <x:v>0.2664166666666645</x:v>
      </x:c>
      <x:c r="AH109" s="11" t="n">
        <x:f>R109-S109-T109</x:f>
        <x:v>0.003000000000007219</x:v>
      </x:c>
      <x:c r="AI109" s="13" t="n">
        <x:f>SUM($AA$5:AA109)</x:f>
        <x:v>191.6881054287501</x:v>
      </x:c>
    </x:row>
    <x:row r="110" ht="21" customHeight="1">
      <x:c r="A110" s="10" t="n">
        <x:v>46253</x:v>
      </x:c>
      <x:c r="B110" s="1" t="n">
        <x:v>288</x:v>
      </x:c>
      <x:c r="C110" s="1" t="n">
        <x:v>24</x:v>
      </x:c>
      <x:c r="D110" s="11" t="n">
        <x:v>24.79424999999998</x:v>
      </x:c>
      <x:c r="E110" s="11" t="n">
        <x:v>12.153416666666661</x:v>
      </x:c>
      <x:c r="F110" s="11" t="n">
        <x:v>0</x:v>
      </x:c>
      <x:c r="G110" s="11" t="n">
        <x:v>12.361583333333332</x:v>
      </x:c>
      <x:c r="H110" s="11" t="n">
        <x:v>12.164999999999996</x:v>
      </x:c>
      <x:c r="I110" s="11" t="n">
        <x:v>12.153416666666661</x:v>
      </x:c>
      <x:c r="J110" s="11" t="n">
        <x:v>0</x:v>
      </x:c>
      <x:c r="K110" s="11" t="n">
        <x:v>23.431999999999995</x:v>
      </x:c>
      <x:c r="L110" s="11" t="n">
        <x:v>0</x:v>
      </x:c>
      <x:c r="M110" s="11" t="n">
        <x:v>23.431999999999995</x:v>
      </x:c>
      <x:c r="N110" s="11" t="n">
        <x:v>0</x:v>
      </x:c>
      <x:c r="O110" s="11" t="n">
        <x:v>0</x:v>
      </x:c>
      <x:c r="P110" s="11" t="n">
        <x:v>0</x:v>
      </x:c>
      <x:c r="Q110" s="11" t="n">
        <x:v>0</x:v>
      </x:c>
      <x:c r="R110" s="11" t="n">
        <x:v>35.79758333333334</x:v>
      </x:c>
      <x:c r="S110" s="11" t="n">
        <x:v>12.361583333333332</x:v>
      </x:c>
      <x:c r="T110" s="11" t="n">
        <x:v>23.431999999999995</x:v>
      </x:c>
      <x:c r="U110" s="11" t="n">
        <x:v>0</x:v>
      </x:c>
      <x:c r="V110" s="11" t="n">
        <x:v>0</x:v>
      </x:c>
      <x:c r="W110" s="11" t="n">
        <x:v>0</x:v>
      </x:c>
      <x:c r="X110" s="13" t="n">
        <x:f>(D110*'Tariff and method'!$B$4+'Tariff and method'!$B$5)*1.05</x:f>
        <x:v>6.261570052499996</x:v>
      </x:c>
      <x:c r="Y110" s="13" t="n">
        <x:f>SUMIF('Import by half hour'!$A$5:$A$7395,A110,'Import by half hour'!$J$5:$J$7395)</x:f>
        <x:v>8.63215927875</x:v>
      </x:c>
      <x:c r="Z110" s="13" t="n">
        <x:f>Y110+'Tariff and method'!$B$6*1.05</x:f>
        <x:v>9.19002427875</x:v>
      </x:c>
      <x:c r="AA110" s="13" t="n">
        <x:f>X110-Z110</x:f>
        <x:v>-2.928454226250004</x:v>
      </x:c>
      <x:c r="AB110" s="13" t="n">
        <x:f>SUMIF('Import by half hour'!$A$5:$A$7395,A110,'Import by half hour'!$K$5:$K$7395)+'Tariff and method'!$B$6*1.05</x:f>
        <x:v>8.18393877</x:v>
      </x:c>
      <x:c r="AC110" s="13" t="n">
        <x:f>AB110-Z110</x:f>
        <x:v>-1.006085508750001</x:v>
      </x:c>
      <x:c r="AD110" s="13" t="n">
        <x:f>X110-AB110</x:f>
        <x:v>-1.922368717500003</x:v>
      </x:c>
      <x:c r="AE110" s="11" t="n">
        <x:f>M110-H110</x:f>
        <x:v>11.267</x:v>
      </x:c>
      <x:c r="AF110" s="14" t="n">
        <x:f>IF(M110=0,"",H110/M110)</x:f>
        <x:v>0.5191618299761009</x:v>
      </x:c>
      <x:c r="AG110" s="11" t="n">
        <x:f>D110-E110-F110-G110</x:f>
        <x:v>0.2792499999999869</x:v>
      </x:c>
      <x:c r="AH110" s="11" t="n">
        <x:f>R110-S110-T110</x:f>
        <x:v>0.004000000000015547</x:v>
      </x:c>
      <x:c r="AI110" s="13" t="n">
        <x:f>SUM($AA$5:AA110)</x:f>
        <x:v>188.7596512025001</x:v>
      </x:c>
    </x:row>
    <x:row r="111" ht="21" customHeight="1">
      <x:c r="A111" s="10" t="n">
        <x:v>46254</x:v>
      </x:c>
      <x:c r="B111" s="1" t="n">
        <x:v>288</x:v>
      </x:c>
      <x:c r="C111" s="1" t="n">
        <x:v>24</x:v>
      </x:c>
      <x:c r="D111" s="11" t="n">
        <x:v>22.96266666666669</x:v>
      </x:c>
      <x:c r="E111" s="11" t="n">
        <x:v>9.437916666666668</x:v>
      </x:c>
      <x:c r="F111" s="11" t="n">
        <x:v>0</x:v>
      </x:c>
      <x:c r="G111" s="11" t="n">
        <x:v>13.207083333333335</x:v>
      </x:c>
      <x:c r="H111" s="11" t="n">
        <x:v>9.448999999999998</x:v>
      </x:c>
      <x:c r="I111" s="11" t="n">
        <x:v>9.437916666666668</x:v>
      </x:c>
      <x:c r="J111" s="11" t="n">
        <x:v>0</x:v>
      </x:c>
      <x:c r="K111" s="11" t="n">
        <x:v>13.281999999999998</x:v>
      </x:c>
      <x:c r="L111" s="11" t="n">
        <x:v>0</x:v>
      </x:c>
      <x:c r="M111" s="11" t="n">
        <x:v>13.281999999999998</x:v>
      </x:c>
      <x:c r="N111" s="11" t="n">
        <x:v>0</x:v>
      </x:c>
      <x:c r="O111" s="11" t="n">
        <x:v>0</x:v>
      </x:c>
      <x:c r="P111" s="11" t="n">
        <x:v>0</x:v>
      </x:c>
      <x:c r="Q111" s="11" t="n">
        <x:v>0</x:v>
      </x:c>
      <x:c r="R111" s="11" t="n">
        <x:v>26.495083333333334</x:v>
      </x:c>
      <x:c r="S111" s="11" t="n">
        <x:v>13.207083333333335</x:v>
      </x:c>
      <x:c r="T111" s="11" t="n">
        <x:v>13.281999999999998</x:v>
      </x:c>
      <x:c r="U111" s="11" t="n">
        <x:v>0</x:v>
      </x:c>
      <x:c r="V111" s="11" t="n">
        <x:v>0</x:v>
      </x:c>
      <x:c r="W111" s="11" t="n">
        <x:v>0</x:v>
      </x:c>
      <x:c r="X111" s="13" t="n">
        <x:f>(D111*'Tariff and method'!$B$4+'Tariff and method'!$B$5)*1.05</x:f>
        <x:v>5.833474080000006</x:v>
      </x:c>
      <x:c r="Y111" s="13" t="n">
        <x:f>SUMIF('Import by half hour'!$A$5:$A$7395,A111,'Import by half hour'!$J$5:$J$7395)</x:f>
        <x:v>6.41437696375</x:v>
      </x:c>
      <x:c r="Z111" s="13" t="n">
        <x:f>Y111+'Tariff and method'!$B$6*1.05</x:f>
        <x:v>6.972241963749999</x:v>
      </x:c>
      <x:c r="AA111" s="13" t="n">
        <x:f>X111-Z111</x:f>
        <x:v>-1.1387678837499937</x:v>
      </x:c>
      <x:c r="AB111" s="13" t="n">
        <x:f>SUMIF('Import by half hour'!$A$5:$A$7395,A111,'Import by half hour'!$K$5:$K$7395)+'Tariff and method'!$B$6*1.05</x:f>
        <x:v>7.1801534875</x:v>
      </x:c>
      <x:c r="AC111" s="13" t="n">
        <x:f>AB111-Z111</x:f>
        <x:v>0.20791152375000088</x:v>
      </x:c>
      <x:c r="AD111" s="13" t="n">
        <x:f>X111-AB111</x:f>
        <x:v>-1.3466794074999946</x:v>
      </x:c>
      <x:c r="AE111" s="11" t="n">
        <x:f>M111-H111</x:f>
        <x:v>3.833</x:v>
      </x:c>
      <x:c r="AF111" s="14" t="n">
        <x:f>IF(M111=0,"",H111/M111)</x:f>
        <x:v>0.7114139436831802</x:v>
      </x:c>
      <x:c r="AG111" s="11" t="n">
        <x:f>D111-E111-F111-G111</x:f>
        <x:v>0.3176666666666854</x:v>
      </x:c>
      <x:c r="AH111" s="11" t="n">
        <x:f>R111-S111-T111</x:f>
        <x:v>0.006000000000000227</x:v>
      </x:c>
      <x:c r="AI111" s="13" t="n">
        <x:f>SUM($AA$5:AA111)</x:f>
        <x:v>187.6208833187501</x:v>
      </x:c>
    </x:row>
    <x:row r="112" ht="21" customHeight="1">
      <x:c r="A112" s="10" t="n">
        <x:v>46255</x:v>
      </x:c>
      <x:c r="B112" s="1" t="n">
        <x:v>288</x:v>
      </x:c>
      <x:c r="C112" s="1" t="n">
        <x:v>24</x:v>
      </x:c>
      <x:c r="D112" s="11" t="n">
        <x:v>21.575000000000003</x:v>
      </x:c>
      <x:c r="E112" s="11" t="n">
        <x:v>10.704583333333327</x:v>
      </x:c>
      <x:c r="F112" s="11" t="n">
        <x:v>0</x:v>
      </x:c>
      <x:c r="G112" s="11" t="n">
        <x:v>10.567999999999994</x:v>
      </x:c>
      <x:c r="H112" s="11" t="n">
        <x:v>10.715999999999989</x:v>
      </x:c>
      <x:c r="I112" s="11" t="n">
        <x:v>10.704583333333327</x:v>
      </x:c>
      <x:c r="J112" s="11" t="n">
        <x:v>0</x:v>
      </x:c>
      <x:c r="K112" s="11" t="n">
        <x:v>4.178</x:v>
      </x:c>
      <x:c r="L112" s="11" t="n">
        <x:v>0</x:v>
      </x:c>
      <x:c r="M112" s="11" t="n">
        <x:v>4.178</x:v>
      </x:c>
      <x:c r="N112" s="11" t="n">
        <x:v>0</x:v>
      </x:c>
      <x:c r="O112" s="11" t="n">
        <x:v>0</x:v>
      </x:c>
      <x:c r="P112" s="11" t="n">
        <x:v>0</x:v>
      </x:c>
      <x:c r="Q112" s="11" t="n">
        <x:v>0</x:v>
      </x:c>
      <x:c r="R112" s="11" t="n">
        <x:v>14.748999999999997</x:v>
      </x:c>
      <x:c r="S112" s="11" t="n">
        <x:v>10.567999999999994</x:v>
      </x:c>
      <x:c r="T112" s="11" t="n">
        <x:v>4.178</x:v>
      </x:c>
      <x:c r="U112" s="11" t="n">
        <x:v>0</x:v>
      </x:c>
      <x:c r="V112" s="11" t="n">
        <x:v>0</x:v>
      </x:c>
      <x:c r="W112" s="11" t="n">
        <x:v>0</x:v>
      </x:c>
      <x:c r="X112" s="13" t="n">
        <x:f>(D112*'Tariff and method'!$B$4+'Tariff and method'!$B$5)*1.05</x:f>
        <x:v>5.509134750000001</x:v>
      </x:c>
      <x:c r="Y112" s="13" t="n">
        <x:f>SUMIF('Import by half hour'!$A$5:$A$7395,A112,'Import by half hour'!$J$5:$J$7395)</x:f>
        <x:v>3.6827708662500003</x:v>
      </x:c>
      <x:c r="Z112" s="13" t="n">
        <x:f>Y112+'Tariff and method'!$B$6*1.05</x:f>
        <x:v>4.240635866250001</x:v>
      </x:c>
      <x:c r="AA112" s="13" t="n">
        <x:f>X112-Z112</x:f>
        <x:v>1.2684988837500004</x:v>
      </x:c>
      <x:c r="AB112" s="13" t="n">
        <x:f>SUMIF('Import by half hour'!$A$5:$A$7395,A112,'Import by half hour'!$K$5:$K$7395)+'Tariff and method'!$B$6*1.05</x:f>
        <x:v>7.09366347375</x:v>
      </x:c>
      <x:c r="AC112" s="13" t="n">
        <x:f>AB112-Z112</x:f>
        <x:v>2.8530276074999996</x:v>
      </x:c>
      <x:c r="AD112" s="13" t="n">
        <x:f>X112-AB112</x:f>
        <x:v>-1.5845287237499992</x:v>
      </x:c>
      <x:c r="AE112" s="11" t="n">
        <x:f>M112-H112</x:f>
        <x:v>-6.537999999999989</x:v>
      </x:c>
      <x:c r="AF112" s="14" t="n">
        <x:f>IF(M112=0,"",H112/M112)</x:f>
        <x:v>2.564863571086642</x:v>
      </x:c>
      <x:c r="AG112" s="11" t="n">
        <x:f>D112-E112-F112-G112</x:f>
        <x:v>0.3024166666666819</x:v>
      </x:c>
      <x:c r="AH112" s="11" t="n">
        <x:f>R112-S112-T112</x:f>
        <x:v>0.0030000000000027782</x:v>
      </x:c>
      <x:c r="AI112" s="13" t="n">
        <x:f>SUM($AA$5:AA112)</x:f>
        <x:v>188.8893822025001</x:v>
      </x:c>
    </x:row>
    <x:row r="113" ht="21" customHeight="1">
      <x:c r="A113" s="10" t="n">
        <x:v>46256</x:v>
      </x:c>
      <x:c r="B113" s="1" t="n">
        <x:v>288</x:v>
      </x:c>
      <x:c r="C113" s="1" t="n">
        <x:v>24</x:v>
      </x:c>
      <x:c r="D113" s="11" t="n">
        <x:v>24.795250000000003</x:v>
      </x:c>
      <x:c r="E113" s="11" t="n">
        <x:v>14.918166666666664</x:v>
      </x:c>
      <x:c r="F113" s="11" t="n">
        <x:v>0</x:v>
      </x:c>
      <x:c r="G113" s="11" t="n">
        <x:v>9.701000000000002</x:v>
      </x:c>
      <x:c r="H113" s="11" t="n">
        <x:v>14.935000000000006</x:v>
      </x:c>
      <x:c r="I113" s="11" t="n">
        <x:v>14.918166666666664</x:v>
      </x:c>
      <x:c r="J113" s="11" t="n">
        <x:v>0</x:v>
      </x:c>
      <x:c r="K113" s="11" t="n">
        <x:v>10.452</x:v>
      </x:c>
      <x:c r="L113" s="11" t="n">
        <x:v>0</x:v>
      </x:c>
      <x:c r="M113" s="11" t="n">
        <x:v>10.452</x:v>
      </x:c>
      <x:c r="N113" s="11" t="n">
        <x:v>0</x:v>
      </x:c>
      <x:c r="O113" s="11" t="n">
        <x:v>0</x:v>
      </x:c>
      <x:c r="P113" s="11" t="n">
        <x:v>0</x:v>
      </x:c>
      <x:c r="Q113" s="11" t="n">
        <x:v>0</x:v>
      </x:c>
      <x:c r="R113" s="11" t="n">
        <x:v>20.162000000000006</x:v>
      </x:c>
      <x:c r="S113" s="11" t="n">
        <x:v>9.701000000000002</x:v>
      </x:c>
      <x:c r="T113" s="11" t="n">
        <x:v>10.452</x:v>
      </x:c>
      <x:c r="U113" s="11" t="n">
        <x:v>0</x:v>
      </x:c>
      <x:c r="V113" s="11" t="n">
        <x:v>0</x:v>
      </x:c>
      <x:c r="W113" s="11" t="n">
        <x:v>0</x:v>
      </x:c>
      <x:c r="X113" s="13" t="n">
        <x:f>(D113*'Tariff and method'!$B$4+'Tariff and method'!$B$5)*1.05</x:f>
        <x:v>6.2618037825</x:v>
      </x:c>
      <x:c r="Y113" s="13" t="n">
        <x:f>SUMIF('Import by half hour'!$A$5:$A$7395,A113,'Import by half hour'!$J$5:$J$7395)</x:f>
        <x:v>3.1580507175</x:v>
      </x:c>
      <x:c r="Z113" s="13" t="n">
        <x:f>Y113+'Tariff and method'!$B$6*1.05</x:f>
        <x:v>3.7159157175</x:v>
      </x:c>
      <x:c r="AA113" s="13" t="n">
        <x:f>X113-Z113</x:f>
        <x:v>2.545888065</x:v>
      </x:c>
      <x:c r="AB113" s="13" t="n">
        <x:f>SUMIF('Import by half hour'!$A$5:$A$7395,A113,'Import by half hour'!$K$5:$K$7395)+'Tariff and method'!$B$6*1.05</x:f>
        <x:v>6.76595819375</x:v>
      </x:c>
      <x:c r="AC113" s="13" t="n">
        <x:f>AB113-Z113</x:f>
        <x:v>3.0500424762500002</x:v>
      </x:c>
      <x:c r="AD113" s="13" t="n">
        <x:f>X113-AB113</x:f>
        <x:v>-0.50415441125</x:v>
      </x:c>
      <x:c r="AE113" s="11" t="n">
        <x:f>M113-H113</x:f>
        <x:v>-4.483000000000006</x:v>
      </x:c>
      <x:c r="AF113" s="14" t="n">
        <x:f>IF(M113=0,"",H113/M113)</x:f>
        <x:v>1.4289131266743214</x:v>
      </x:c>
      <x:c r="AG113" s="11" t="n">
        <x:f>D113-E113-F113-G113</x:f>
        <x:v>0.17608333333333626</x:v>
      </x:c>
      <x:c r="AH113" s="11" t="n">
        <x:f>R113-S113-T113</x:f>
        <x:v>0.009000000000003894</x:v>
      </x:c>
      <x:c r="AI113" s="13" t="n">
        <x:f>SUM($AA$5:AA113)</x:f>
        <x:v>191.4352702675001</x:v>
      </x:c>
    </x:row>
    <x:row r="114" ht="21" customHeight="1">
      <x:c r="A114" s="10" t="n">
        <x:v>46257</x:v>
      </x:c>
      <x:c r="B114" s="1" t="n">
        <x:v>288</x:v>
      </x:c>
      <x:c r="C114" s="1" t="n">
        <x:v>24</x:v>
      </x:c>
      <x:c r="D114" s="11" t="n">
        <x:v>23.207916666666666</x:v>
      </x:c>
      <x:c r="E114" s="11" t="n">
        <x:v>11.768916666666673</x:v>
      </x:c>
      <x:c r="F114" s="11" t="n">
        <x:v>0</x:v>
      </x:c>
      <x:c r="G114" s="11" t="n">
        <x:v>11.214249999999998</x:v>
      </x:c>
      <x:c r="H114" s="11" t="n">
        <x:v>11.780000000000006</x:v>
      </x:c>
      <x:c r="I114" s="11" t="n">
        <x:v>11.768916666666673</x:v>
      </x:c>
      <x:c r="J114" s="11" t="n">
        <x:v>0</x:v>
      </x:c>
      <x:c r="K114" s="11" t="n">
        <x:v>16.721999999999998</x:v>
      </x:c>
      <x:c r="L114" s="11" t="n">
        <x:v>0</x:v>
      </x:c>
      <x:c r="M114" s="11" t="n">
        <x:v>16.720999999999997</x:v>
      </x:c>
      <x:c r="N114" s="11" t="n">
        <x:v>0</x:v>
      </x:c>
      <x:c r="O114" s="11" t="n">
        <x:v>0</x:v>
      </x:c>
      <x:c r="P114" s="11" t="n">
        <x:v>0</x:v>
      </x:c>
      <x:c r="Q114" s="11" t="n">
        <x:v>0</x:v>
      </x:c>
      <x:c r="R114" s="11" t="n">
        <x:v>27.945250000000012</x:v>
      </x:c>
      <x:c r="S114" s="11" t="n">
        <x:v>11.214249999999998</x:v>
      </x:c>
      <x:c r="T114" s="11" t="n">
        <x:v>16.720999999999997</x:v>
      </x:c>
      <x:c r="U114" s="11" t="n">
        <x:v>0</x:v>
      </x:c>
      <x:c r="V114" s="11" t="n">
        <x:v>0</x:v>
      </x:c>
      <x:c r="W114" s="11" t="n">
        <x:v>0</x:v>
      </x:c>
      <x:c r="X114" s="13" t="n">
        <x:f>(D114*'Tariff and method'!$B$4+'Tariff and method'!$B$5)*1.05</x:f>
        <x:v>5.890796362500001</x:v>
      </x:c>
      <x:c r="Y114" s="13" t="n">
        <x:f>SUMIF('Import by half hour'!$A$5:$A$7395,A114,'Import by half hour'!$J$5:$J$7395)</x:f>
        <x:v>6.177423236250001</x:v>
      </x:c>
      <x:c r="Z114" s="13" t="n">
        <x:f>Y114+'Tariff and method'!$B$6*1.05</x:f>
        <x:v>6.7352882362500015</x:v>
      </x:c>
      <x:c r="AA114" s="13" t="n">
        <x:f>X114-Z114</x:f>
        <x:v>-0.8444918737500009</x:v>
      </x:c>
      <x:c r="AB114" s="13" t="n">
        <x:f>SUMIF('Import by half hour'!$A$5:$A$7395,A114,'Import by half hour'!$K$5:$K$7395)+'Tariff and method'!$B$6*1.05</x:f>
        <x:v>7.115800212500002</x:v>
      </x:c>
      <x:c r="AC114" s="13" t="n">
        <x:f>AB114-Z114</x:f>
        <x:v>0.3805119762500002</x:v>
      </x:c>
      <x:c r="AD114" s="13" t="n">
        <x:f>X114-AB114</x:f>
        <x:v>-1.2250038500000011</x:v>
      </x:c>
      <x:c r="AE114" s="11" t="n">
        <x:f>M114-H114</x:f>
        <x:v>4.94099999999999</x:v>
      </x:c>
      <x:c r="AF114" s="14" t="n">
        <x:f>IF(M114=0,"",H114/M114)</x:f>
        <x:v>0.7045033191794754</x:v>
      </x:c>
      <x:c r="AG114" s="11" t="n">
        <x:f>D114-E114-F114-G114</x:f>
        <x:v>0.2247499999999949</x:v>
      </x:c>
      <x:c r="AH114" s="11" t="n">
        <x:f>R114-S114-T114</x:f>
        <x:v>0.010000000000019327</x:v>
      </x:c>
      <x:c r="AI114" s="13" t="n">
        <x:f>SUM($AA$5:AA114)</x:f>
        <x:v>190.5907783937501</x:v>
      </x:c>
    </x:row>
    <x:row r="115" ht="21" customHeight="1">
      <x:c r="A115" s="10" t="n">
        <x:v>46258</x:v>
      </x:c>
      <x:c r="B115" s="1" t="n">
        <x:v>288</x:v>
      </x:c>
      <x:c r="C115" s="1" t="n">
        <x:v>24</x:v>
      </x:c>
      <x:c r="D115" s="11" t="n">
        <x:v>22.866916666666658</x:v>
      </x:c>
      <x:c r="E115" s="11" t="n">
        <x:v>11.783583333333334</x:v>
      </x:c>
      <x:c r="F115" s="11" t="n">
        <x:v>0</x:v>
      </x:c>
      <x:c r="G115" s="11" t="n">
        <x:v>10.78625</x:v>
      </x:c>
      <x:c r="H115" s="11" t="n">
        <x:v>11.794000000000002</x:v>
      </x:c>
      <x:c r="I115" s="11" t="n">
        <x:v>11.783583333333334</x:v>
      </x:c>
      <x:c r="J115" s="11" t="n">
        <x:v>0</x:v>
      </x:c>
      <x:c r="K115" s="11" t="n">
        <x:v>6.152</x:v>
      </x:c>
      <x:c r="L115" s="11" t="n">
        <x:v>0</x:v>
      </x:c>
      <x:c r="M115" s="11" t="n">
        <x:v>6.152</x:v>
      </x:c>
      <x:c r="N115" s="11" t="n">
        <x:v>0</x:v>
      </x:c>
      <x:c r="O115" s="11" t="n">
        <x:v>0</x:v>
      </x:c>
      <x:c r="P115" s="11" t="n">
        <x:v>0</x:v>
      </x:c>
      <x:c r="Q115" s="11" t="n">
        <x:v>0</x:v>
      </x:c>
      <x:c r="R115" s="11" t="n">
        <x:v>16.941249999999993</x:v>
      </x:c>
      <x:c r="S115" s="11" t="n">
        <x:v>10.78625</x:v>
      </x:c>
      <x:c r="T115" s="11" t="n">
        <x:v>6.152</x:v>
      </x:c>
      <x:c r="U115" s="11" t="n">
        <x:v>0</x:v>
      </x:c>
      <x:c r="V115" s="11" t="n">
        <x:v>0</x:v>
      </x:c>
      <x:c r="W115" s="11" t="n">
        <x:v>0</x:v>
      </x:c>
      <x:c r="X115" s="13" t="n">
        <x:f>(D115*'Tariff and method'!$B$4+'Tariff and method'!$B$5)*1.05</x:f>
        <x:v>5.811094432499999</x:v>
      </x:c>
      <x:c r="Y115" s="13" t="n">
        <x:f>SUMIF('Import by half hour'!$A$5:$A$7395,A115,'Import by half hour'!$J$5:$J$7395)</x:f>
        <x:v>4.28415353625</x:v>
      </x:c>
      <x:c r="Z115" s="13" t="n">
        <x:f>Y115+'Tariff and method'!$B$6*1.05</x:f>
        <x:v>4.84201853625</x:v>
      </x:c>
      <x:c r="AA115" s="13" t="n">
        <x:f>X115-Z115</x:f>
        <x:v>0.9690758962499988</x:v>
      </x:c>
      <x:c r="AB115" s="13" t="n">
        <x:f>SUMIF('Import by half hour'!$A$5:$A$7395,A115,'Import by half hour'!$K$5:$K$7395)+'Tariff and method'!$B$6*1.05</x:f>
        <x:v>7.703622053750001</x:v>
      </x:c>
      <x:c r="AC115" s="13" t="n">
        <x:f>AB115-Z115</x:f>
        <x:v>2.8616035175000007</x:v>
      </x:c>
      <x:c r="AD115" s="13" t="n">
        <x:f>X115-AB115</x:f>
        <x:v>-1.892527621250002</x:v>
      </x:c>
      <x:c r="AE115" s="11" t="n">
        <x:f>M115-H115</x:f>
        <x:v>-5.642000000000002</x:v>
      </x:c>
      <x:c r="AF115" s="14" t="n">
        <x:f>IF(M115=0,"",H115/M115)</x:f>
        <x:v>1.917100130039012</x:v>
      </x:c>
      <x:c r="AG115" s="11" t="n">
        <x:f>D115-E115-F115-G115</x:f>
        <x:v>0.2970833333333225</x:v>
      </x:c>
      <x:c r="AH115" s="11" t="n">
        <x:f>R115-S115-T115</x:f>
        <x:v>0.00299999999999212</x:v>
      </x:c>
      <x:c r="AI115" s="13" t="n">
        <x:f>SUM($AA$5:AA115)</x:f>
        <x:v>191.5598542900001</x:v>
      </x:c>
    </x:row>
    <x:row r="116" ht="21" customHeight="1">
      <x:c r="A116" s="10" t="n">
        <x:v>46259</x:v>
      </x:c>
      <x:c r="B116" s="1" t="n">
        <x:v>288</x:v>
      </x:c>
      <x:c r="C116" s="1" t="n">
        <x:v>24</x:v>
      </x:c>
      <x:c r="D116" s="11" t="n">
        <x:v>23.631583333333353</x:v>
      </x:c>
      <x:c r="E116" s="11" t="n">
        <x:v>12.320500000000001</x:v>
      </x:c>
      <x:c r="F116" s="11" t="n">
        <x:v>0</x:v>
      </x:c>
      <x:c r="G116" s="11" t="n">
        <x:v>11.013250000000001</x:v>
      </x:c>
      <x:c r="H116" s="11" t="n">
        <x:v>12.330000000000004</x:v>
      </x:c>
      <x:c r="I116" s="11" t="n">
        <x:v>12.320500000000001</x:v>
      </x:c>
      <x:c r="J116" s="11" t="n">
        <x:v>0</x:v>
      </x:c>
      <x:c r="K116" s="11" t="n">
        <x:v>18.655</x:v>
      </x:c>
      <x:c r="L116" s="11" t="n">
        <x:v>0</x:v>
      </x:c>
      <x:c r="M116" s="11" t="n">
        <x:v>18.655</x:v>
      </x:c>
      <x:c r="N116" s="11" t="n">
        <x:v>0</x:v>
      </x:c>
      <x:c r="O116" s="11" t="n">
        <x:v>0</x:v>
      </x:c>
      <x:c r="P116" s="11" t="n">
        <x:v>0</x:v>
      </x:c>
      <x:c r="Q116" s="11" t="n">
        <x:v>0</x:v>
      </x:c>
      <x:c r="R116" s="11" t="n">
        <x:v>29.66825</x:v>
      </x:c>
      <x:c r="S116" s="11" t="n">
        <x:v>11.013250000000001</x:v>
      </x:c>
      <x:c r="T116" s="11" t="n">
        <x:v>18.655</x:v>
      </x:c>
      <x:c r="U116" s="11" t="n">
        <x:v>0</x:v>
      </x:c>
      <x:c r="V116" s="11" t="n">
        <x:v>0</x:v>
      </x:c>
      <x:c r="W116" s="11" t="n">
        <x:v>0</x:v>
      </x:c>
      <x:c r="X116" s="13" t="n">
        <x:f>(D116*'Tariff and method'!$B$4+'Tariff and method'!$B$5)*1.05</x:f>
        <x:v>5.989819972500006</x:v>
      </x:c>
      <x:c r="Y116" s="13" t="n">
        <x:f>SUMIF('Import by half hour'!$A$5:$A$7395,A116,'Import by half hour'!$J$5:$J$7395)</x:f>
        <x:v>6.17574675375</x:v>
      </x:c>
      <x:c r="Z116" s="13" t="n">
        <x:f>Y116+'Tariff and method'!$B$6*1.05</x:f>
        <x:v>6.733611753750001</x:v>
      </x:c>
      <x:c r="AA116" s="13" t="n">
        <x:f>X116-Z116</x:f>
        <x:v>-0.7437917812499952</x:v>
      </x:c>
      <x:c r="AB116" s="13" t="n">
        <x:f>SUMIF('Import by half hour'!$A$5:$A$7395,A116,'Import by half hour'!$K$5:$K$7395)+'Tariff and method'!$B$6*1.05</x:f>
        <x:v>7.5256146525</x:v>
      </x:c>
      <x:c r="AC116" s="13" t="n">
        <x:f>AB116-Z116</x:f>
        <x:v>0.792002898749999</x:v>
      </x:c>
      <x:c r="AD116" s="13" t="n">
        <x:f>X116-AB116</x:f>
        <x:v>-1.5357946799999942</x:v>
      </x:c>
      <x:c r="AE116" s="11" t="n">
        <x:f>M116-H116</x:f>
        <x:v>6.3249999999999975</x:v>
      </x:c>
      <x:c r="AF116" s="14" t="n">
        <x:f>IF(M116=0,"",H116/M116)</x:f>
        <x:v>0.6609488072902708</x:v>
      </x:c>
      <x:c r="AG116" s="11" t="n">
        <x:f>D116-E116-F116-G116</x:f>
        <x:v>0.29783333333335094</x:v>
      </x:c>
      <x:c r="AH116" s="11" t="n">
        <x:f>R116-S116-T116</x:f>
        <x:v>0</x:v>
      </x:c>
      <x:c r="AI116" s="13" t="n">
        <x:f>SUM($AA$5:AA116)</x:f>
        <x:v>190.8160625087501</x:v>
      </x:c>
    </x:row>
    <x:row r="117" ht="21" customHeight="1">
      <x:c r="A117" s="10" t="n">
        <x:v>46260</x:v>
      </x:c>
      <x:c r="B117" s="1" t="n">
        <x:v>288</x:v>
      </x:c>
      <x:c r="C117" s="1" t="n">
        <x:v>24</x:v>
      </x:c>
      <x:c r="D117" s="11" t="n">
        <x:v>24.72466666666668</x:v>
      </x:c>
      <x:c r="E117" s="11" t="n">
        <x:v>12.412583333333334</x:v>
      </x:c>
      <x:c r="F117" s="11" t="n">
        <x:v>0</x:v>
      </x:c>
      <x:c r="G117" s="11" t="n">
        <x:v>11.971749999999998</x:v>
      </x:c>
      <x:c r="H117" s="11" t="n">
        <x:v>12.424000000000001</x:v>
      </x:c>
      <x:c r="I117" s="11" t="n">
        <x:v>12.412583333333334</x:v>
      </x:c>
      <x:c r="J117" s="11" t="n">
        <x:v>0</x:v>
      </x:c>
      <x:c r="K117" s="11" t="n">
        <x:v>6.704999999999999</x:v>
      </x:c>
      <x:c r="L117" s="11" t="n">
        <x:v>0</x:v>
      </x:c>
      <x:c r="M117" s="11" t="n">
        <x:v>6.704999999999999</x:v>
      </x:c>
      <x:c r="N117" s="11" t="n">
        <x:v>0</x:v>
      </x:c>
      <x:c r="O117" s="11" t="n">
        <x:v>0</x:v>
      </x:c>
      <x:c r="P117" s="11" t="n">
        <x:v>0</x:v>
      </x:c>
      <x:c r="Q117" s="11" t="n">
        <x:v>0</x:v>
      </x:c>
      <x:c r="R117" s="11" t="n">
        <x:v>18.682750000000002</x:v>
      </x:c>
      <x:c r="S117" s="11" t="n">
        <x:v>11.971749999999998</x:v>
      </x:c>
      <x:c r="T117" s="11" t="n">
        <x:v>6.704999999999999</x:v>
      </x:c>
      <x:c r="U117" s="11" t="n">
        <x:v>0</x:v>
      </x:c>
      <x:c r="V117" s="11" t="n">
        <x:v>0</x:v>
      </x:c>
      <x:c r="W117" s="11" t="n">
        <x:v>0</x:v>
      </x:c>
      <x:c r="X117" s="13" t="n">
        <x:f>(D117*'Tariff and method'!$B$4+'Tariff and method'!$B$5)*1.05</x:f>
        <x:v>6.245306340000003</x:v>
      </x:c>
      <x:c r="Y117" s="13" t="n">
        <x:f>SUMIF('Import by half hour'!$A$5:$A$7395,A117,'Import by half hour'!$J$5:$J$7395)</x:f>
        <x:v>4.606215678750001</x:v>
      </x:c>
      <x:c r="Z117" s="13" t="n">
        <x:f>Y117+'Tariff and method'!$B$6*1.05</x:f>
        <x:v>5.16408067875</x:v>
      </x:c>
      <x:c r="AA117" s="13" t="n">
        <x:f>X117-Z117</x:f>
        <x:v>1.0812256612500022</x:v>
      </x:c>
      <x:c r="AB117" s="13" t="n">
        <x:f>SUMIF('Import by half hour'!$A$5:$A$7395,A117,'Import by half hour'!$K$5:$K$7395)+'Tariff and method'!$B$6*1.05</x:f>
        <x:v>8.196819662500003</x:v>
      </x:c>
      <x:c r="AC117" s="13" t="n">
        <x:f>AB117-Z117</x:f>
        <x:v>3.0327389837500025</x:v>
      </x:c>
      <x:c r="AD117" s="13" t="n">
        <x:f>X117-AB117</x:f>
        <x:v>-1.9515133225000003</x:v>
      </x:c>
      <x:c r="AE117" s="11" t="n">
        <x:f>M117-H117</x:f>
        <x:v>-5.719000000000002</x:v>
      </x:c>
      <x:c r="AF117" s="14" t="n">
        <x:f>IF(M117=0,"",H117/M117)</x:f>
        <x:v>1.8529455630126774</x:v>
      </x:c>
      <x:c r="AG117" s="11" t="n">
        <x:f>D117-E117-F117-G117</x:f>
        <x:v>0.34033333333334603</x:v>
      </x:c>
      <x:c r="AH117" s="11" t="n">
        <x:f>R117-S117-T117</x:f>
        <x:v>0.006000000000004668</x:v>
      </x:c>
      <x:c r="AI117" s="13" t="n">
        <x:f>SUM($AA$5:AA117)</x:f>
        <x:v>191.89728817000008</x:v>
      </x:c>
    </x:row>
    <x:row r="118" ht="21" customHeight="1">
      <x:c r="A118" s="10" t="n">
        <x:v>46261</x:v>
      </x:c>
      <x:c r="B118" s="1" t="n">
        <x:v>288</x:v>
      </x:c>
      <x:c r="C118" s="1" t="n">
        <x:v>24</x:v>
      </x:c>
      <x:c r="D118" s="11" t="n">
        <x:v>27.108333333333352</x:v>
      </x:c>
      <x:c r="E118" s="11" t="n">
        <x:v>16.681833333333323</x:v>
      </x:c>
      <x:c r="F118" s="11" t="n">
        <x:v>0</x:v>
      </x:c>
      <x:c r="G118" s="11" t="n">
        <x:v>10.186583333333331</x:v>
      </x:c>
      <x:c r="H118" s="11" t="n">
        <x:v>16.69399999999999</x:v>
      </x:c>
      <x:c r="I118" s="11" t="n">
        <x:v>16.681833333333323</x:v>
      </x:c>
      <x:c r="J118" s="11" t="n">
        <x:v>0</x:v>
      </x:c>
      <x:c r="K118" s="11" t="n">
        <x:v>16.304000000000006</x:v>
      </x:c>
      <x:c r="L118" s="11" t="n">
        <x:v>0</x:v>
      </x:c>
      <x:c r="M118" s="11" t="n">
        <x:v>16.304000000000006</x:v>
      </x:c>
      <x:c r="N118" s="11" t="n">
        <x:v>0</x:v>
      </x:c>
      <x:c r="O118" s="11" t="n">
        <x:v>0</x:v>
      </x:c>
      <x:c r="P118" s="11" t="n">
        <x:v>0</x:v>
      </x:c>
      <x:c r="Q118" s="11" t="n">
        <x:v>0</x:v>
      </x:c>
      <x:c r="R118" s="11" t="n">
        <x:v>26.490583333333355</x:v>
      </x:c>
      <x:c r="S118" s="11" t="n">
        <x:v>10.186583333333331</x:v>
      </x:c>
      <x:c r="T118" s="11" t="n">
        <x:v>16.304000000000006</x:v>
      </x:c>
      <x:c r="U118" s="11" t="n">
        <x:v>0</x:v>
      </x:c>
      <x:c r="V118" s="11" t="n">
        <x:v>0</x:v>
      </x:c>
      <x:c r="W118" s="11" t="n">
        <x:v>0</x:v>
      </x:c>
      <x:c r="X118" s="13" t="n">
        <x:f>(D118*'Tariff and method'!$B$4+'Tariff and method'!$B$5)*1.05</x:f>
        <x:v>6.802440750000005</x:v>
      </x:c>
      <x:c r="Y118" s="13" t="n">
        <x:f>SUMIF('Import by half hour'!$A$5:$A$7395,A118,'Import by half hour'!$J$5:$J$7395)</x:f>
        <x:v>6.247470985</x:v>
      </x:c>
      <x:c r="Z118" s="13" t="n">
        <x:f>Y118+'Tariff and method'!$B$6*1.05</x:f>
        <x:v>6.805335984999999</x:v>
      </x:c>
      <x:c r="AA118" s="13" t="n">
        <x:f>X118-Z118</x:f>
        <x:v>-0.002895234999994223</x:v>
      </x:c>
      <x:c r="AB118" s="13" t="n">
        <x:f>SUMIF('Import by half hour'!$A$5:$A$7395,A118,'Import by half hour'!$K$5:$K$7395)+'Tariff and method'!$B$6*1.05</x:f>
        <x:v>8.808877866250002</x:v>
      </x:c>
      <x:c r="AC118" s="13" t="n">
        <x:f>AB118-Z118</x:f>
        <x:v>2.003541881250003</x:v>
      </x:c>
      <x:c r="AD118" s="13" t="n">
        <x:f>X118-AB118</x:f>
        <x:v>-2.006437116249997</x:v>
      </x:c>
      <x:c r="AE118" s="11" t="n">
        <x:f>M118-H118</x:f>
        <x:v>-0.3899999999999828</x:v>
      </x:c>
      <x:c r="AF118" s="14" t="n">
        <x:f>IF(M118=0,"",H118/M118)</x:f>
        <x:v>1.0239205103042188</x:v>
      </x:c>
      <x:c r="AG118" s="11" t="n">
        <x:f>D118-E118-F118-G118</x:f>
        <x:v>0.23991666666669786</x:v>
      </x:c>
      <x:c r="AH118" s="11" t="n">
        <x:f>R118-S118-T118</x:f>
        <x:v>1.7763568394002505e-14</x:v>
      </x:c>
      <x:c r="AI118" s="13" t="n">
        <x:f>SUM($AA$5:AA118)</x:f>
        <x:v>191.8943929350001</x:v>
      </x:c>
    </x:row>
    <x:row r="119" ht="21" customHeight="1">
      <x:c r="A119" s="10" t="n">
        <x:v>46262</x:v>
      </x:c>
      <x:c r="B119" s="1" t="n">
        <x:v>288</x:v>
      </x:c>
      <x:c r="C119" s="1" t="n">
        <x:v>24</x:v>
      </x:c>
      <x:c r="D119" s="11" t="n">
        <x:v>29.78974999999998</x:v>
      </x:c>
      <x:c r="E119" s="11" t="n">
        <x:v>13.41883333333333</x:v>
      </x:c>
      <x:c r="F119" s="11" t="n">
        <x:v>0</x:v>
      </x:c>
      <x:c r="G119" s="11" t="n">
        <x:v>16.133749999999996</x:v>
      </x:c>
      <x:c r="H119" s="11" t="n">
        <x:v>13.428000000000004</x:v>
      </x:c>
      <x:c r="I119" s="11" t="n">
        <x:v>13.41883333333333</x:v>
      </x:c>
      <x:c r="J119" s="11" t="n">
        <x:v>0</x:v>
      </x:c>
      <x:c r="K119" s="11" t="n">
        <x:v>14.572</x:v>
      </x:c>
      <x:c r="L119" s="11" t="n">
        <x:v>0</x:v>
      </x:c>
      <x:c r="M119" s="11" t="n">
        <x:v>14.572</x:v>
      </x:c>
      <x:c r="N119" s="11" t="n">
        <x:v>0</x:v>
      </x:c>
      <x:c r="O119" s="11" t="n">
        <x:v>0</x:v>
      </x:c>
      <x:c r="P119" s="11" t="n">
        <x:v>0</x:v>
      </x:c>
      <x:c r="Q119" s="11" t="n">
        <x:v>0</x:v>
      </x:c>
      <x:c r="R119" s="11" t="n">
        <x:v>30.708749999999995</x:v>
      </x:c>
      <x:c r="S119" s="11" t="n">
        <x:v>16.133749999999996</x:v>
      </x:c>
      <x:c r="T119" s="11" t="n">
        <x:v>14.572</x:v>
      </x:c>
      <x:c r="U119" s="11" t="n">
        <x:v>0</x:v>
      </x:c>
      <x:c r="V119" s="11" t="n">
        <x:v>0</x:v>
      </x:c>
      <x:c r="W119" s="11" t="n">
        <x:v>0</x:v>
      </x:c>
      <x:c r="X119" s="13" t="n">
        <x:f>(D119*'Tariff and method'!$B$4+'Tariff and method'!$B$5)*1.05</x:f>
        <x:v>7.429168267499996</x:v>
      </x:c>
      <x:c r="Y119" s="13" t="n">
        <x:f>SUMIF('Import by half hour'!$A$5:$A$7395,A119,'Import by half hour'!$J$5:$J$7395)</x:f>
        <x:v>7.443347546250001</x:v>
      </x:c>
      <x:c r="Z119" s="13" t="n">
        <x:f>Y119+'Tariff and method'!$B$6*1.05</x:f>
        <x:v>8.00121254625</x:v>
      </x:c>
      <x:c r="AA119" s="13" t="n">
        <x:f>X119-Z119</x:f>
        <x:v>-0.5720442787500044</x:v>
      </x:c>
      <x:c r="AB119" s="13" t="n">
        <x:f>SUMIF('Import by half hour'!$A$5:$A$7395,A119,'Import by half hour'!$K$5:$K$7395)+'Tariff and method'!$B$6*1.05</x:f>
        <x:v>9.31069465375</x:v>
      </x:c>
      <x:c r="AC119" s="13" t="n">
        <x:f>AB119-Z119</x:f>
        <x:v>1.3094821074999992</x:v>
      </x:c>
      <x:c r="AD119" s="13" t="n">
        <x:f>X119-AB119</x:f>
        <x:v>-1.8815263862500036</x:v>
      </x:c>
      <x:c r="AE119" s="11" t="n">
        <x:f>M119-H119</x:f>
        <x:v>1.1439999999999948</x:v>
      </x:c>
      <x:c r="AF119" s="14" t="n">
        <x:f>IF(M119=0,"",H119/M119)</x:f>
        <x:v>0.9214932747735386</x:v>
      </x:c>
      <x:c r="AG119" s="11" t="n">
        <x:f>D119-E119-F119-G119</x:f>
        <x:v>0.2371666666666563</x:v>
      </x:c>
      <x:c r="AH119" s="11" t="n">
        <x:f>R119-S119-T119</x:f>
        <x:v>0.0030000000000001137</x:v>
      </x:c>
      <x:c r="AI119" s="13" t="n">
        <x:f>SUM($AA$5:AA119)</x:f>
        <x:v>191.32234865625009</x:v>
      </x:c>
    </x:row>
    <x:row r="120" ht="21" customHeight="1">
      <x:c r="A120" s="10" t="n">
        <x:v>46263</x:v>
      </x:c>
      <x:c r="B120" s="1" t="n">
        <x:v>288</x:v>
      </x:c>
      <x:c r="C120" s="1" t="n">
        <x:v>24</x:v>
      </x:c>
      <x:c r="D120" s="11" t="n">
        <x:v>33.471500000000006</x:v>
      </x:c>
      <x:c r="E120" s="11" t="n">
        <x:v>21.491000000000007</x:v>
      </x:c>
      <x:c r="F120" s="11" t="n">
        <x:v>0</x:v>
      </x:c>
      <x:c r="G120" s="11" t="n">
        <x:v>11.776833333333336</x:v>
      </x:c>
      <x:c r="H120" s="11" t="n">
        <x:v>21.501999999999992</x:v>
      </x:c>
      <x:c r="I120" s="11" t="n">
        <x:v>21.491000000000007</x:v>
      </x:c>
      <x:c r="J120" s="11" t="n">
        <x:v>0</x:v>
      </x:c>
      <x:c r="K120" s="11" t="n">
        <x:v>18.953000000000007</x:v>
      </x:c>
      <x:c r="L120" s="11" t="n">
        <x:v>0</x:v>
      </x:c>
      <x:c r="M120" s="11" t="n">
        <x:v>18.95200000000001</x:v>
      </x:c>
      <x:c r="N120" s="11" t="n">
        <x:v>0</x:v>
      </x:c>
      <x:c r="O120" s="11" t="n">
        <x:v>0</x:v>
      </x:c>
      <x:c r="P120" s="11" t="n">
        <x:v>0</x:v>
      </x:c>
      <x:c r="Q120" s="11" t="n">
        <x:v>0</x:v>
      </x:c>
      <x:c r="R120" s="11" t="n">
        <x:v>30.73383333333334</x:v>
      </x:c>
      <x:c r="S120" s="11" t="n">
        <x:v>11.776833333333336</x:v>
      </x:c>
      <x:c r="T120" s="11" t="n">
        <x:v>18.95200000000001</x:v>
      </x:c>
      <x:c r="U120" s="11" t="n">
        <x:v>0</x:v>
      </x:c>
      <x:c r="V120" s="11" t="n">
        <x:v>0</x:v>
      </x:c>
      <x:c r="W120" s="11" t="n">
        <x:v>0</x:v>
      </x:c>
      <x:c r="X120" s="13" t="n">
        <x:f>(D120*'Tariff and method'!$B$4+'Tariff and method'!$B$5)*1.05</x:f>
        <x:v>8.289703695000002</x:v>
      </x:c>
      <x:c r="Y120" s="13" t="n">
        <x:f>SUMIF('Import by half hour'!$A$5:$A$7395,A120,'Import by half hour'!$J$5:$J$7395)</x:f>
        <x:v>5.866573825000001</x:v>
      </x:c>
      <x:c r="Z120" s="13" t="n">
        <x:f>Y120+'Tariff and method'!$B$6*1.05</x:f>
        <x:v>6.424438825000001</x:v>
      </x:c>
      <x:c r="AA120" s="13" t="n">
        <x:f>X120-Z120</x:f>
        <x:v>1.8652648700000007</x:v>
      </x:c>
      <x:c r="AB120" s="13" t="n">
        <x:f>SUMIF('Import by half hour'!$A$5:$A$7395,A120,'Import by half hour'!$K$5:$K$7395)+'Tariff and method'!$B$6*1.05</x:f>
        <x:v>11.034459432500002</x:v>
      </x:c>
      <x:c r="AC120" s="13" t="n">
        <x:f>AB120-Z120</x:f>
        <x:v>4.610020607500001</x:v>
      </x:c>
      <x:c r="AD120" s="13" t="n">
        <x:f>X120-AB120</x:f>
        <x:v>-2.7447557375000002</x:v>
      </x:c>
      <x:c r="AE120" s="11" t="n">
        <x:f>M120-H120</x:f>
        <x:v>-2.549999999999983</x:v>
      </x:c>
      <x:c r="AF120" s="14" t="n">
        <x:f>IF(M120=0,"",H120/M120)</x:f>
        <x:v>1.1345504432249884</x:v>
      </x:c>
      <x:c r="AG120" s="11" t="n">
        <x:f>D120-E120-F120-G120</x:f>
        <x:v>0.20366666666666333</x:v>
      </x:c>
      <x:c r="AH120" s="11" t="n">
        <x:f>R120-S120-T120</x:f>
        <x:v>0.0049999999999954525</x:v>
      </x:c>
      <x:c r="AI120" s="13" t="n">
        <x:f>SUM($AA$5:AA120)</x:f>
        <x:v>193.1876135262501</x:v>
      </x:c>
    </x:row>
    <x:row r="121" ht="21" customHeight="1">
      <x:c r="A121" s="10" t="n">
        <x:v>46264</x:v>
      </x:c>
      <x:c r="B121" s="1" t="n">
        <x:v>288</x:v>
      </x:c>
      <x:c r="C121" s="1" t="n">
        <x:v>24</x:v>
      </x:c>
      <x:c r="D121" s="11" t="n">
        <x:v>35.871083333333324</x:v>
      </x:c>
      <x:c r="E121" s="11" t="n">
        <x:v>10.389833333333337</x:v>
      </x:c>
      <x:c r="F121" s="11" t="n">
        <x:v>0</x:v>
      </x:c>
      <x:c r="G121" s="11" t="n">
        <x:v>25.21258333333331</x:v>
      </x:c>
      <x:c r="H121" s="11" t="n">
        <x:v>10.399</x:v>
      </x:c>
      <x:c r="I121" s="11" t="n">
        <x:v>10.389833333333337</x:v>
      </x:c>
      <x:c r="J121" s="11" t="n">
        <x:v>0</x:v>
      </x:c>
      <x:c r="K121" s="11" t="n">
        <x:v>14.253000000000002</x:v>
      </x:c>
      <x:c r="L121" s="11" t="n">
        <x:v>0</x:v>
      </x:c>
      <x:c r="M121" s="11" t="n">
        <x:v>14.253000000000002</x:v>
      </x:c>
      <x:c r="N121" s="11" t="n">
        <x:v>0</x:v>
      </x:c>
      <x:c r="O121" s="11" t="n">
        <x:v>0</x:v>
      </x:c>
      <x:c r="P121" s="11" t="n">
        <x:v>0</x:v>
      </x:c>
      <x:c r="Q121" s="11" t="n">
        <x:v>0</x:v>
      </x:c>
      <x:c r="R121" s="11" t="n">
        <x:v>39.481583333333354</x:v>
      </x:c>
      <x:c r="S121" s="11" t="n">
        <x:v>25.21258333333331</x:v>
      </x:c>
      <x:c r="T121" s="11" t="n">
        <x:v>14.253000000000002</x:v>
      </x:c>
      <x:c r="U121" s="11" t="n">
        <x:v>0</x:v>
      </x:c>
      <x:c r="V121" s="11" t="n">
        <x:v>0</x:v>
      </x:c>
      <x:c r="W121" s="11" t="n">
        <x:v>0</x:v>
      </x:c>
      <x:c r="X121" s="13" t="n">
        <x:f>(D121*'Tariff and method'!$B$4+'Tariff and method'!$B$5)*1.05</x:f>
        <x:v>8.850558307499998</x:v>
      </x:c>
      <x:c r="Y121" s="13" t="n">
        <x:f>SUMIF('Import by half hour'!$A$5:$A$7395,A121,'Import by half hour'!$J$5:$J$7395)</x:f>
        <x:v>9.8181079675</x:v>
      </x:c>
      <x:c r="Z121" s="13" t="n">
        <x:f>Y121+'Tariff and method'!$B$6*1.05</x:f>
        <x:v>10.3759729675</x:v>
      </x:c>
      <x:c r="AA121" s="13" t="n">
        <x:f>X121-Z121</x:f>
        <x:v>-1.525414660000001</x:v>
      </x:c>
      <x:c r="AB121" s="13" t="n">
        <x:f>SUMIF('Import by half hour'!$A$5:$A$7395,A121,'Import by half hour'!$K$5:$K$7395)+'Tariff and method'!$B$6*1.05</x:f>
        <x:v>10.854839660000001</x:v>
      </x:c>
      <x:c r="AC121" s="13" t="n">
        <x:f>AB121-Z121</x:f>
        <x:v>0.47886669250000224</x:v>
      </x:c>
      <x:c r="AD121" s="13" t="n">
        <x:f>X121-AB121</x:f>
        <x:v>-2.004281352500003</x:v>
      </x:c>
      <x:c r="AE121" s="11" t="n">
        <x:f>M121-H121</x:f>
        <x:v>3.8540000000000028</x:v>
      </x:c>
      <x:c r="AF121" s="14" t="n">
        <x:f>IF(M121=0,"",H121/M121)</x:f>
        <x:v>0.7296007857994806</x:v>
      </x:c>
      <x:c r="AG121" s="11" t="n">
        <x:f>D121-E121-F121-G121</x:f>
        <x:v>0.2686666666666788</x:v>
      </x:c>
      <x:c r="AH121" s="11" t="n">
        <x:f>R121-S121-T121</x:f>
        <x:v>0.016000000000042647</x:v>
      </x:c>
      <x:c r="AI121" s="13" t="n">
        <x:f>SUM($AA$5:AA121)</x:f>
        <x:v>191.6621988662501</x:v>
      </x:c>
    </x:row>
    <x:row r="122" ht="21" customHeight="1">
      <x:c r="A122" s="10" t="n">
        <x:v>46265</x:v>
      </x:c>
      <x:c r="B122" s="1" t="n">
        <x:v>288</x:v>
      </x:c>
      <x:c r="C122" s="1" t="n">
        <x:v>24</x:v>
      </x:c>
      <x:c r="D122" s="11" t="n">
        <x:v>27.633750000000013</x:v>
      </x:c>
      <x:c r="E122" s="11" t="n">
        <x:v>13.123166666666672</x:v>
      </x:c>
      <x:c r="F122" s="11" t="n">
        <x:v>0</x:v>
      </x:c>
      <x:c r="G122" s="11" t="n">
        <x:v>14.361416666666663</x:v>
      </x:c>
      <x:c r="H122" s="11" t="n">
        <x:v>13.131999999999998</x:v>
      </x:c>
      <x:c r="I122" s="11" t="n">
        <x:v>13.123166666666672</x:v>
      </x:c>
      <x:c r="J122" s="11" t="n">
        <x:v>0</x:v>
      </x:c>
      <x:c r="K122" s="11" t="n">
        <x:v>29.951999999999998</x:v>
      </x:c>
      <x:c r="L122" s="11" t="n">
        <x:v>0</x:v>
      </x:c>
      <x:c r="M122" s="11" t="n">
        <x:v>29.951999999999998</x:v>
      </x:c>
      <x:c r="N122" s="11" t="n">
        <x:v>0</x:v>
      </x:c>
      <x:c r="O122" s="11" t="n">
        <x:v>0</x:v>
      </x:c>
      <x:c r="P122" s="11" t="n">
        <x:v>0</x:v>
      </x:c>
      <x:c r="Q122" s="11" t="n">
        <x:v>0</x:v>
      </x:c>
      <x:c r="R122" s="11" t="n">
        <x:v>44.31341666666666</x:v>
      </x:c>
      <x:c r="S122" s="11" t="n">
        <x:v>14.361416666666663</x:v>
      </x:c>
      <x:c r="T122" s="11" t="n">
        <x:v>29.951999999999998</x:v>
      </x:c>
      <x:c r="U122" s="11" t="n">
        <x:v>0</x:v>
      </x:c>
      <x:c r="V122" s="11" t="n">
        <x:v>0</x:v>
      </x:c>
      <x:c r="W122" s="11" t="n">
        <x:v>0</x:v>
      </x:c>
      <x:c r="X122" s="13" t="n">
        <x:f>(D122*'Tariff and method'!$B$4+'Tariff and method'!$B$5)*1.05</x:f>
        <x:v>6.925246387500004</x:v>
      </x:c>
      <x:c r="Y122" s="13" t="n">
        <x:f>SUMIF('Import by half hour'!$A$5:$A$7395,A122,'Import by half hour'!$J$5:$J$7395)</x:f>
        <x:v>1.0592711937500003</x:v>
      </x:c>
      <x:c r="Z122" s="13" t="n">
        <x:f>Y122+'Tariff and method'!$B$6*1.05</x:f>
        <x:v>1.6171361937500004</x:v>
      </x:c>
      <x:c r="AA122" s="13" t="n">
        <x:f>X122-Z122</x:f>
        <x:v>5.308110193750004</x:v>
      </x:c>
      <x:c r="AB122" s="13" t="n">
        <x:f>SUMIF('Import by half hour'!$A$5:$A$7395,A122,'Import by half hour'!$K$5:$K$7395)+'Tariff and method'!$B$6*1.05</x:f>
        <x:v>6.058719283750003</x:v>
      </x:c>
      <x:c r="AC122" s="13" t="n">
        <x:f>AB122-Z122</x:f>
        <x:v>4.441583090000003</x:v>
      </x:c>
      <x:c r="AD122" s="13" t="n">
        <x:f>X122-AB122</x:f>
        <x:v>0.8665271037500011</x:v>
      </x:c>
      <x:c r="AE122" s="11" t="n">
        <x:f>M122-H122</x:f>
        <x:v>16.82</x:v>
      </x:c>
      <x:c r="AF122" s="14" t="n">
        <x:f>IF(M122=0,"",H122/M122)</x:f>
        <x:v>0.438434829059829</x:v>
      </x:c>
      <x:c r="AG122" s="11" t="n">
        <x:f>D122-E122-F122-G122</x:f>
        <x:v>0.14916666666667844</x:v>
      </x:c>
      <x:c r="AH122" s="11" t="n">
        <x:f>R122-S122-T122</x:f>
        <x:v>0</x:v>
      </x:c>
      <x:c r="AI122" s="13" t="n">
        <x:f>SUM($AA$5:AA122)</x:f>
        <x:v>196.9703090600001</x:v>
      </x:c>
    </x:row>
    <x:row r="123" ht="21" customHeight="1">
      <x:c r="A123" s="10" t="n">
        <x:v>46266</x:v>
      </x:c>
      <x:c r="B123" s="1" t="n">
        <x:v>288</x:v>
      </x:c>
      <x:c r="C123" s="1" t="n">
        <x:v>24</x:v>
      </x:c>
      <x:c r="D123" s="11" t="n">
        <x:v>31.503666666666668</x:v>
      </x:c>
      <x:c r="E123" s="11" t="n">
        <x:v>23.789583333333315</x:v>
      </x:c>
      <x:c r="F123" s="11" t="n">
        <x:v>0</x:v>
      </x:c>
      <x:c r="G123" s="11" t="n">
        <x:v>7.598666666666669</x:v>
      </x:c>
      <x:c r="H123" s="11" t="n">
        <x:v>23.803999999999984</x:v>
      </x:c>
      <x:c r="I123" s="11" t="n">
        <x:v>23.789583333333315</x:v>
      </x:c>
      <x:c r="J123" s="11" t="n">
        <x:v>0</x:v>
      </x:c>
      <x:c r="K123" s="11" t="n">
        <x:v>20.24000000000001</x:v>
      </x:c>
      <x:c r="L123" s="11" t="n">
        <x:v>0</x:v>
      </x:c>
      <x:c r="M123" s="11" t="n">
        <x:v>20.24000000000001</x:v>
      </x:c>
      <x:c r="N123" s="11" t="n">
        <x:v>0</x:v>
      </x:c>
      <x:c r="O123" s="11" t="n">
        <x:v>0</x:v>
      </x:c>
      <x:c r="P123" s="11" t="n">
        <x:v>0</x:v>
      </x:c>
      <x:c r="Q123" s="11" t="n">
        <x:v>0</x:v>
      </x:c>
      <x:c r="R123" s="11" t="n">
        <x:v>27.847666666666658</x:v>
      </x:c>
      <x:c r="S123" s="11" t="n">
        <x:v>7.598666666666669</x:v>
      </x:c>
      <x:c r="T123" s="11" t="n">
        <x:v>20.24000000000001</x:v>
      </x:c>
      <x:c r="U123" s="11" t="n">
        <x:v>0</x:v>
      </x:c>
      <x:c r="V123" s="11" t="n">
        <x:v>0</x:v>
      </x:c>
      <x:c r="W123" s="11" t="n">
        <x:v>0</x:v>
      </x:c>
      <x:c r="X123" s="13" t="n">
        <x:f>(D123*'Tariff and method'!$B$4+'Tariff and method'!$B$5)*1.05</x:f>
        <x:v>7.8297620100000005</x:v>
      </x:c>
      <x:c r="Y123" s="13" t="n">
        <x:f>SUMIF('Import by half hour'!$A$5:$A$7395,A123,'Import by half hour'!$J$5:$J$7395)</x:f>
        <x:v>3.3454824462500006</x:v>
      </x:c>
      <x:c r="Z123" s="13" t="n">
        <x:f>Y123+'Tariff and method'!$B$6*1.05</x:f>
        <x:v>3.9033474462500006</x:v>
      </x:c>
      <x:c r="AA123" s="13" t="n">
        <x:f>X123-Z123</x:f>
        <x:v>3.92641456375</x:v>
      </x:c>
      <x:c r="AB123" s="13" t="n">
        <x:f>SUMIF('Import by half hour'!$A$5:$A$7395,A123,'Import by half hour'!$K$5:$K$7395)+'Tariff and method'!$B$6*1.05</x:f>
        <x:v>9.20456621</x:v>
      </x:c>
      <x:c r="AC123" s="13" t="n">
        <x:f>AB123-Z123</x:f>
        <x:v>5.301218763749999</x:v>
      </x:c>
      <x:c r="AD123" s="13" t="n">
        <x:f>X123-AB123</x:f>
        <x:v>-1.374804199999999</x:v>
      </x:c>
      <x:c r="AE123" s="11" t="n">
        <x:f>M123-H123</x:f>
        <x:v>-3.563999999999975</x:v>
      </x:c>
      <x:c r="AF123" s="14" t="n">
        <x:f>IF(M123=0,"",H123/M123)</x:f>
        <x:v>1.1760869565217378</x:v>
      </x:c>
      <x:c r="AG123" s="11" t="n">
        <x:f>D123-E123-F123-G123</x:f>
        <x:v>0.11541666666668338</x:v>
      </x:c>
      <x:c r="AH123" s="11" t="n">
        <x:f>R123-S123-T123</x:f>
        <x:v>0.008999999999979025</x:v>
      </x:c>
      <x:c r="AI123" s="13" t="n">
        <x:f>SUM($AA$5:AA123)</x:f>
        <x:v>200.8967236237501</x:v>
      </x:c>
    </x:row>
    <x:row r="124" ht="21" customHeight="1">
      <x:c r="A124" s="10" t="n">
        <x:v>46267</x:v>
      </x:c>
      <x:c r="B124" s="1" t="n">
        <x:v>288</x:v>
      </x:c>
      <x:c r="C124" s="1" t="n">
        <x:v>24</x:v>
      </x:c>
      <x:c r="D124" s="11" t="n">
        <x:v>29.338000000000005</x:v>
      </x:c>
      <x:c r="E124" s="11" t="n">
        <x:v>16.24566666666667</x:v>
      </x:c>
      <x:c r="F124" s="11" t="n">
        <x:v>0</x:v>
      </x:c>
      <x:c r="G124" s="11" t="n">
        <x:v>12.783583333333336</x:v>
      </x:c>
      <x:c r="H124" s="11" t="n">
        <x:v>16.253000000000007</x:v>
      </x:c>
      <x:c r="I124" s="11" t="n">
        <x:v>16.24566666666667</x:v>
      </x:c>
      <x:c r="J124" s="11" t="n">
        <x:v>0</x:v>
      </x:c>
      <x:c r="K124" s="11" t="n">
        <x:v>12.806000000000001</x:v>
      </x:c>
      <x:c r="L124" s="11" t="n">
        <x:v>0</x:v>
      </x:c>
      <x:c r="M124" s="11" t="n">
        <x:v>12.806000000000001</x:v>
      </x:c>
      <x:c r="N124" s="11" t="n">
        <x:v>0</x:v>
      </x:c>
      <x:c r="O124" s="11" t="n">
        <x:v>0</x:v>
      </x:c>
      <x:c r="P124" s="11" t="n">
        <x:v>0</x:v>
      </x:c>
      <x:c r="Q124" s="11" t="n">
        <x:v>0</x:v>
      </x:c>
      <x:c r="R124" s="11" t="n">
        <x:v>25.59858333333334</x:v>
      </x:c>
      <x:c r="S124" s="11" t="n">
        <x:v>12.783583333333336</x:v>
      </x:c>
      <x:c r="T124" s="11" t="n">
        <x:v>12.806000000000001</x:v>
      </x:c>
      <x:c r="U124" s="11" t="n">
        <x:v>0</x:v>
      </x:c>
      <x:c r="V124" s="11" t="n">
        <x:v>0</x:v>
      </x:c>
      <x:c r="W124" s="11" t="n">
        <x:v>0</x:v>
      </x:c>
      <x:c r="X124" s="13" t="n">
        <x:f>(D124*'Tariff and method'!$B$4+'Tariff and method'!$B$5)*1.05</x:f>
        <x:v>7.3235807400000015</x:v>
      </x:c>
      <x:c r="Y124" s="13" t="n">
        <x:f>SUMIF('Import by half hour'!$A$5:$A$7395,A124,'Import by half hour'!$J$5:$J$7395)</x:f>
        <x:v>6.8832182387500005</x:v>
      </x:c>
      <x:c r="Z124" s="13" t="n">
        <x:f>Y124+'Tariff and method'!$B$6*1.05</x:f>
        <x:v>7.44108323875</x:v>
      </x:c>
      <x:c r="AA124" s="13" t="n">
        <x:f>X124-Z124</x:f>
        <x:v>-0.11750249874999863</x:v>
      </x:c>
      <x:c r="AB124" s="13" t="n">
        <x:f>SUMIF('Import by half hour'!$A$5:$A$7395,A124,'Import by half hour'!$K$5:$K$7395)+'Tariff and method'!$B$6*1.05</x:f>
        <x:v>10.254178926250002</x:v>
      </x:c>
      <x:c r="AC124" s="13" t="n">
        <x:f>AB124-Z124</x:f>
        <x:v>2.8130956875000024</x:v>
      </x:c>
      <x:c r="AD124" s="13" t="n">
        <x:f>X124-AB124</x:f>
        <x:v>-2.930598186250001</x:v>
      </x:c>
      <x:c r="AE124" s="11" t="n">
        <x:f>M124-H124</x:f>
        <x:v>-3.4470000000000063</x:v>
      </x:c>
      <x:c r="AF124" s="14" t="n">
        <x:f>IF(M124=0,"",H124/M124)</x:f>
        <x:v>1.2691707012337972</x:v>
      </x:c>
      <x:c r="AG124" s="11" t="n">
        <x:f>D124-E124-F124-G124</x:f>
        <x:v>0.30874999999999986</x:v>
      </x:c>
      <x:c r="AH124" s="11" t="n">
        <x:f>R124-S124-T124</x:f>
        <x:v>0.009000000000003894</x:v>
      </x:c>
      <x:c r="AI124" s="13" t="n">
        <x:f>SUM($AA$5:AA124)</x:f>
        <x:v>200.7792211250001</x:v>
      </x:c>
    </x:row>
    <x:row r="125" ht="21" customHeight="1">
      <x:c r="A125" s="10" t="n">
        <x:v>46268</x:v>
      </x:c>
      <x:c r="B125" s="1" t="n">
        <x:v>288</x:v>
      </x:c>
      <x:c r="C125" s="1" t="n">
        <x:v>24</x:v>
      </x:c>
      <x:c r="D125" s="11" t="n">
        <x:v>29.452083333333334</x:v>
      </x:c>
      <x:c r="E125" s="11" t="n">
        <x:v>21.75616666666668</x:v>
      </x:c>
      <x:c r="F125" s="11" t="n">
        <x:v>0</x:v>
      </x:c>
      <x:c r="G125" s="11" t="n">
        <x:v>7.602666666666668</x:v>
      </x:c>
      <x:c r="H125" s="11" t="n">
        <x:v>21.773000000000003</x:v>
      </x:c>
      <x:c r="I125" s="11" t="n">
        <x:v>21.75616666666668</x:v>
      </x:c>
      <x:c r="J125" s="11" t="n">
        <x:v>0</x:v>
      </x:c>
      <x:c r="K125" s="11" t="n">
        <x:v>24.962000000000007</x:v>
      </x:c>
      <x:c r="L125" s="11" t="n">
        <x:v>0</x:v>
      </x:c>
      <x:c r="M125" s="11" t="n">
        <x:v>24.962000000000007</x:v>
      </x:c>
      <x:c r="N125" s="11" t="n">
        <x:v>0</x:v>
      </x:c>
      <x:c r="O125" s="11" t="n">
        <x:v>0</x:v>
      </x:c>
      <x:c r="P125" s="11" t="n">
        <x:v>0</x:v>
      </x:c>
      <x:c r="Q125" s="11" t="n">
        <x:v>0</x:v>
      </x:c>
      <x:c r="R125" s="11" t="n">
        <x:v>32.564666666666646</x:v>
      </x:c>
      <x:c r="S125" s="11" t="n">
        <x:v>7.602666666666668</x:v>
      </x:c>
      <x:c r="T125" s="11" t="n">
        <x:v>24.962000000000007</x:v>
      </x:c>
      <x:c r="U125" s="11" t="n">
        <x:v>0</x:v>
      </x:c>
      <x:c r="V125" s="11" t="n">
        <x:v>0</x:v>
      </x:c>
      <x:c r="W125" s="11" t="n">
        <x:v>0</x:v>
      </x:c>
      <x:c r="X125" s="13" t="n">
        <x:f>(D125*'Tariff and method'!$B$4+'Tariff and method'!$B$5)*1.05</x:f>
        <x:v>7.350245437500001</x:v>
      </x:c>
      <x:c r="Y125" s="13" t="n">
        <x:f>SUMIF('Import by half hour'!$A$5:$A$7395,A125,'Import by half hour'!$J$5:$J$7395)</x:f>
        <x:v>3.1812267462499997</x:v>
      </x:c>
      <x:c r="Z125" s="13" t="n">
        <x:f>Y125+'Tariff and method'!$B$6*1.05</x:f>
        <x:v>3.7390917462499997</x:v>
      </x:c>
      <x:c r="AA125" s="13" t="n">
        <x:f>X125-Z125</x:f>
        <x:v>3.611153691250001</x:v>
      </x:c>
      <x:c r="AB125" s="13" t="n">
        <x:f>SUMIF('Import by half hour'!$A$5:$A$7395,A125,'Import by half hour'!$K$5:$K$7395)+'Tariff and method'!$B$6*1.05</x:f>
        <x:v>8.271221577500002</x:v>
      </x:c>
      <x:c r="AC125" s="13" t="n">
        <x:f>AB125-Z125</x:f>
        <x:v>4.5321298312500025</x:v>
      </x:c>
      <x:c r="AD125" s="13" t="n">
        <x:f>X125-AB125</x:f>
        <x:v>-0.9209761400000014</x:v>
      </x:c>
      <x:c r="AE125" s="11" t="n">
        <x:f>M125-H125</x:f>
        <x:v>3.1890000000000036</x:v>
      </x:c>
      <x:c r="AF125" s="14" t="n">
        <x:f>IF(M125=0,"",H125/M125)</x:f>
        <x:v>0.8722458136367277</x:v>
      </x:c>
      <x:c r="AG125" s="11" t="n">
        <x:f>D125-E125-F125-G125</x:f>
        <x:v>0.09324999999998695</x:v>
      </x:c>
      <x:c r="AH125" s="11" t="n">
        <x:f>R125-S125-T125</x:f>
        <x:v>-2.842170943040401e-14</x:v>
      </x:c>
      <x:c r="AI125" s="13" t="n">
        <x:f>SUM($AA$5:AA125)</x:f>
        <x:v>204.3903748162501</x:v>
      </x:c>
    </x:row>
    <x:row r="126" ht="21" customHeight="1">
      <x:c r="A126" s="10" t="n">
        <x:v>46269</x:v>
      </x:c>
      <x:c r="B126" s="1" t="n">
        <x:v>288</x:v>
      </x:c>
      <x:c r="C126" s="1" t="n">
        <x:v>24</x:v>
      </x:c>
      <x:c r="D126" s="11" t="n">
        <x:v>29.71933333333335</x:v>
      </x:c>
      <x:c r="E126" s="11" t="n">
        <x:v>23.06608333333334</x:v>
      </x:c>
      <x:c r="F126" s="11" t="n">
        <x:v>0</x:v>
      </x:c>
      <x:c r="G126" s="11" t="n">
        <x:v>6.574999999999999</x:v>
      </x:c>
      <x:c r="H126" s="11" t="n">
        <x:v>23.086000000000002</x:v>
      </x:c>
      <x:c r="I126" s="11" t="n">
        <x:v>23.06608333333334</x:v>
      </x:c>
      <x:c r="J126" s="11" t="n">
        <x:v>0</x:v>
      </x:c>
      <x:c r="K126" s="11" t="n">
        <x:v>30.558</x:v>
      </x:c>
      <x:c r="L126" s="11" t="n">
        <x:v>0</x:v>
      </x:c>
      <x:c r="M126" s="11" t="n">
        <x:v>30.558</x:v>
      </x:c>
      <x:c r="N126" s="11" t="n">
        <x:v>0</x:v>
      </x:c>
      <x:c r="O126" s="11" t="n">
        <x:v>0</x:v>
      </x:c>
      <x:c r="P126" s="11" t="n">
        <x:v>0</x:v>
      </x:c>
      <x:c r="Q126" s="11" t="n">
        <x:v>0</x:v>
      </x:c>
      <x:c r="R126" s="11" t="n">
        <x:v>37.13899999999998</x:v>
      </x:c>
      <x:c r="S126" s="11" t="n">
        <x:v>6.574999999999999</x:v>
      </x:c>
      <x:c r="T126" s="11" t="n">
        <x:v>30.558</x:v>
      </x:c>
      <x:c r="U126" s="11" t="n">
        <x:v>0</x:v>
      </x:c>
      <x:c r="V126" s="11" t="n">
        <x:v>0</x:v>
      </x:c>
      <x:c r="W126" s="11" t="n">
        <x:v>0</x:v>
      </x:c>
      <x:c r="X126" s="13" t="n">
        <x:f>(D126*'Tariff and method'!$B$4+'Tariff and method'!$B$5)*1.05</x:f>
        <x:v>7.412709780000004</x:v>
      </x:c>
      <x:c r="Y126" s="13" t="n">
        <x:f>SUMIF('Import by half hour'!$A$5:$A$7395,A126,'Import by half hour'!$J$5:$J$7395)</x:f>
        <x:v>-0.7382816000000001</x:v>
      </x:c>
      <x:c r="Z126" s="13" t="n">
        <x:f>Y126+'Tariff and method'!$B$6*1.05</x:f>
        <x:v>-0.18041660000000004</x:v>
      </x:c>
      <x:c r="AA126" s="13" t="n">
        <x:f>X126-Z126</x:f>
        <x:v>7.593126380000004</x:v>
      </x:c>
      <x:c r="AB126" s="13" t="n">
        <x:f>SUMIF('Import by half hour'!$A$5:$A$7395,A126,'Import by half hour'!$K$5:$K$7395)+'Tariff and method'!$B$6*1.05</x:f>
        <x:v>5.470320992500001</x:v>
      </x:c>
      <x:c r="AC126" s="13" t="n">
        <x:f>AB126-Z126</x:f>
        <x:v>5.650737592500001</x:v>
      </x:c>
      <x:c r="AD126" s="13" t="n">
        <x:f>X126-AB126</x:f>
        <x:v>1.9423887875000023</x:v>
      </x:c>
      <x:c r="AE126" s="11" t="n">
        <x:f>M126-H126</x:f>
        <x:v>7.471999999999998</x:v>
      </x:c>
      <x:c r="AF126" s="14" t="n">
        <x:f>IF(M126=0,"",H126/M126)</x:f>
        <x:v>0.7554813796714446</x:v>
      </x:c>
      <x:c r="AG126" s="11" t="n">
        <x:f>D126-E126-F126-G126</x:f>
        <x:v>0.07825000000001125</x:v>
      </x:c>
      <x:c r="AH126" s="11" t="n">
        <x:f>R126-S126-T126</x:f>
        <x:v>0.005999999999982464</x:v>
      </x:c>
      <x:c r="AI126" s="13" t="n">
        <x:f>SUM($AA$5:AA126)</x:f>
        <x:v>211.9835011962501</x:v>
      </x:c>
    </x:row>
    <x:row r="127" ht="21" customHeight="1">
      <x:c r="A127" s="10" t="n">
        <x:v>46270</x:v>
      </x:c>
      <x:c r="B127" s="1" t="n">
        <x:v>288</x:v>
      </x:c>
      <x:c r="C127" s="1" t="n">
        <x:v>24</x:v>
      </x:c>
      <x:c r="D127" s="11" t="n">
        <x:v>26.522833333333338</x:v>
      </x:c>
      <x:c r="E127" s="11" t="n">
        <x:v>21.805166666666672</x:v>
      </x:c>
      <x:c r="F127" s="11" t="n">
        <x:v>0</x:v>
      </x:c>
      <x:c r="G127" s="11" t="n">
        <x:v>4.67275</x:v>
      </x:c>
      <x:c r="H127" s="11" t="n">
        <x:v>21.825000000000014</x:v>
      </x:c>
      <x:c r="I127" s="11" t="n">
        <x:v>21.805166666666672</x:v>
      </x:c>
      <x:c r="J127" s="11" t="n">
        <x:v>0</x:v>
      </x:c>
      <x:c r="K127" s="11" t="n">
        <x:v>21.984999999999996</x:v>
      </x:c>
      <x:c r="L127" s="11" t="n">
        <x:v>0</x:v>
      </x:c>
      <x:c r="M127" s="11" t="n">
        <x:v>21.984999999999996</x:v>
      </x:c>
      <x:c r="N127" s="11" t="n">
        <x:v>0</x:v>
      </x:c>
      <x:c r="O127" s="11" t="n">
        <x:v>0</x:v>
      </x:c>
      <x:c r="P127" s="11" t="n">
        <x:v>0</x:v>
      </x:c>
      <x:c r="Q127" s="11" t="n">
        <x:v>0</x:v>
      </x:c>
      <x:c r="R127" s="11" t="n">
        <x:v>26.657749999999993</x:v>
      </x:c>
      <x:c r="S127" s="11" t="n">
        <x:v>4.67275</x:v>
      </x:c>
      <x:c r="T127" s="11" t="n">
        <x:v>21.984999999999996</x:v>
      </x:c>
      <x:c r="U127" s="11" t="n">
        <x:v>0</x:v>
      </x:c>
      <x:c r="V127" s="11" t="n">
        <x:v>0</x:v>
      </x:c>
      <x:c r="W127" s="11" t="n">
        <x:v>0</x:v>
      </x:c>
      <x:c r="X127" s="13" t="n">
        <x:f>(D127*'Tariff and method'!$B$4+'Tariff and method'!$B$5)*1.05</x:f>
        <x:v>6.665591835000002</x:v>
      </x:c>
      <x:c r="Y127" s="13" t="n">
        <x:f>SUMIF('Import by half hour'!$A$5:$A$7395,A127,'Import by half hour'!$J$5:$J$7395)</x:f>
        <x:v>-0.7396006012499999</x:v>
      </x:c>
      <x:c r="Z127" s="13" t="n">
        <x:f>Y127+'Tariff and method'!$B$6*1.05</x:f>
        <x:v>-0.18173560124999988</x:v>
      </x:c>
      <x:c r="AA127" s="13" t="n">
        <x:f>X127-Z127</x:f>
        <x:v>6.847327436250001</x:v>
      </x:c>
      <x:c r="AB127" s="13" t="n">
        <x:f>SUMIF('Import by half hour'!$A$5:$A$7395,A127,'Import by half hour'!$K$5:$K$7395)+'Tariff and method'!$B$6*1.05</x:f>
        <x:v>4.26271972875</x:v>
      </x:c>
      <x:c r="AC127" s="13" t="n">
        <x:f>AB127-Z127</x:f>
        <x:v>4.444455329999999</x:v>
      </x:c>
      <x:c r="AD127" s="13" t="n">
        <x:f>X127-AB127</x:f>
        <x:v>2.402872106250002</x:v>
      </x:c>
      <x:c r="AE127" s="11" t="n">
        <x:f>M127-H127</x:f>
        <x:v>0.15999999999998238</x:v>
      </x:c>
      <x:c r="AF127" s="14" t="n">
        <x:f>IF(M127=0,"",H127/M127)</x:f>
        <x:v>0.9927223106663642</x:v>
      </x:c>
      <x:c r="AG127" s="11" t="n">
        <x:f>D127-E127-F127-G127</x:f>
        <x:v>0.044916666666666494</x:v>
      </x:c>
      <x:c r="AH127" s="11" t="n">
        <x:f>R127-S127-T127</x:f>
        <x:v>-3.552713678800501e-15</x:v>
      </x:c>
      <x:c r="AI127" s="13" t="n">
        <x:f>SUM($AA$5:AA127)</x:f>
        <x:v>218.8308286325001</x:v>
      </x:c>
    </x:row>
    <x:row r="128" ht="21" customHeight="1">
      <x:c r="A128" s="10" t="n">
        <x:v>46271</x:v>
      </x:c>
      <x:c r="B128" s="1" t="n">
        <x:v>288</x:v>
      </x:c>
      <x:c r="C128" s="1" t="n">
        <x:v>24</x:v>
      </x:c>
      <x:c r="D128" s="11" t="n">
        <x:v>24.39224999999999</x:v>
      </x:c>
      <x:c r="E128" s="11" t="n">
        <x:v>20.252833333333328</x:v>
      </x:c>
      <x:c r="F128" s="11" t="n">
        <x:v>0</x:v>
      </x:c>
      <x:c r="G128" s="11" t="n">
        <x:v>4.086500000000002</x:v>
      </x:c>
      <x:c r="H128" s="11" t="n">
        <x:v>20.273999999999994</x:v>
      </x:c>
      <x:c r="I128" s="11" t="n">
        <x:v>20.252833333333328</x:v>
      </x:c>
      <x:c r="J128" s="11" t="n">
        <x:v>0</x:v>
      </x:c>
      <x:c r="K128" s="11" t="n">
        <x:v>20.971000000000004</x:v>
      </x:c>
      <x:c r="L128" s="11" t="n">
        <x:v>0</x:v>
      </x:c>
      <x:c r="M128" s="11" t="n">
        <x:v>20.971000000000004</x:v>
      </x:c>
      <x:c r="N128" s="11" t="n">
        <x:v>0</x:v>
      </x:c>
      <x:c r="O128" s="11" t="n">
        <x:v>0</x:v>
      </x:c>
      <x:c r="P128" s="11" t="n">
        <x:v>0</x:v>
      </x:c>
      <x:c r="Q128" s="11" t="n">
        <x:v>0</x:v>
      </x:c>
      <x:c r="R128" s="11" t="n">
        <x:v>25.057500000000005</x:v>
      </x:c>
      <x:c r="S128" s="11" t="n">
        <x:v>4.086500000000002</x:v>
      </x:c>
      <x:c r="T128" s="11" t="n">
        <x:v>20.971000000000004</x:v>
      </x:c>
      <x:c r="U128" s="11" t="n">
        <x:v>0</x:v>
      </x:c>
      <x:c r="V128" s="11" t="n">
        <x:v>0</x:v>
      </x:c>
      <x:c r="W128" s="11" t="n">
        <x:v>0</x:v>
      </x:c>
      <x:c r="X128" s="13" t="n">
        <x:f>(D128*'Tariff and method'!$B$4+'Tariff and method'!$B$5)*1.05</x:f>
        <x:v>6.167610592499997</x:v>
      </x:c>
      <x:c r="Y128" s="13" t="n">
        <x:f>SUMIF('Import by half hour'!$A$5:$A$7395,A128,'Import by half hour'!$J$5:$J$7395)</x:f>
        <x:v>-1.02862704</x:v>
      </x:c>
      <x:c r="Z128" s="13" t="n">
        <x:f>Y128+'Tariff and method'!$B$6*1.05</x:f>
        <x:v>-0.4707620399999999</x:v>
      </x:c>
      <x:c r="AA128" s="13" t="n">
        <x:f>X128-Z128</x:f>
        <x:v>6.638372632499998</x:v>
      </x:c>
      <x:c r="AB128" s="13" t="n">
        <x:f>SUMIF('Import by half hour'!$A$5:$A$7395,A128,'Import by half hour'!$K$5:$K$7395)+'Tariff and method'!$B$6*1.05</x:f>
        <x:v>4.872173643750001</x:v>
      </x:c>
      <x:c r="AC128" s="13" t="n">
        <x:f>AB128-Z128</x:f>
        <x:v>5.342935683750001</x:v>
      </x:c>
      <x:c r="AD128" s="13" t="n">
        <x:f>X128-AB128</x:f>
        <x:v>1.2954369487499964</x:v>
      </x:c>
      <x:c r="AE128" s="11" t="n">
        <x:f>M128-H128</x:f>
        <x:v>0.6970000000000098</x:v>
      </x:c>
      <x:c r="AF128" s="14" t="n">
        <x:f>IF(M128=0,"",H128/M128)</x:f>
        <x:v>0.9667636259596581</x:v>
      </x:c>
      <x:c r="AG128" s="11" t="n">
        <x:f>D128-E128-F128-G128</x:f>
        <x:v>0.052916666666660284</x:v>
      </x:c>
      <x:c r="AH128" s="11" t="n">
        <x:f>R128-S128-T128</x:f>
        <x:v>0</x:v>
      </x:c>
      <x:c r="AI128" s="13" t="n">
        <x:f>SUM($AA$5:AA128)</x:f>
        <x:v>225.4692012650001</x:v>
      </x:c>
    </x:row>
    <x:row r="129" ht="21" customHeight="1">
      <x:c r="A129" s="10" t="n">
        <x:v>46272</x:v>
      </x:c>
      <x:c r="B129" s="1" t="n">
        <x:v>288</x:v>
      </x:c>
      <x:c r="C129" s="1" t="n">
        <x:v>24</x:v>
      </x:c>
      <x:c r="D129" s="11" t="n">
        <x:v>29.077249999999992</x:v>
      </x:c>
      <x:c r="E129" s="11" t="n">
        <x:v>20.21108333333332</x:v>
      </x:c>
      <x:c r="F129" s="11" t="n">
        <x:v>0</x:v>
      </x:c>
      <x:c r="G129" s="11" t="n">
        <x:v>8.775166666666667</x:v>
      </x:c>
      <x:c r="H129" s="11" t="n">
        <x:v>20.229999999999986</x:v>
      </x:c>
      <x:c r="I129" s="11" t="n">
        <x:v>20.21108333333332</x:v>
      </x:c>
      <x:c r="J129" s="11" t="n">
        <x:v>0</x:v>
      </x:c>
      <x:c r="K129" s="11" t="n">
        <x:v>15.851999999999997</x:v>
      </x:c>
      <x:c r="L129" s="11" t="n">
        <x:v>0</x:v>
      </x:c>
      <x:c r="M129" s="11" t="n">
        <x:v>15.851999999999997</x:v>
      </x:c>
      <x:c r="N129" s="11" t="n">
        <x:v>0</x:v>
      </x:c>
      <x:c r="O129" s="11" t="n">
        <x:v>0</x:v>
      </x:c>
      <x:c r="P129" s="11" t="n">
        <x:v>0</x:v>
      </x:c>
      <x:c r="Q129" s="11" t="n">
        <x:v>0</x:v>
      </x:c>
      <x:c r="R129" s="11" t="n">
        <x:v>24.634166666666665</x:v>
      </x:c>
      <x:c r="S129" s="11" t="n">
        <x:v>8.775166666666667</x:v>
      </x:c>
      <x:c r="T129" s="11" t="n">
        <x:v>15.851999999999997</x:v>
      </x:c>
      <x:c r="U129" s="11" t="n">
        <x:v>0</x:v>
      </x:c>
      <x:c r="V129" s="11" t="n">
        <x:v>0</x:v>
      </x:c>
      <x:c r="W129" s="11" t="n">
        <x:v>0</x:v>
      </x:c>
      <x:c r="X129" s="13" t="n">
        <x:f>(D129*'Tariff and method'!$B$4+'Tariff and method'!$B$5)*1.05</x:f>
        <x:v>7.262635642499999</x:v>
      </x:c>
      <x:c r="Y129" s="13" t="n">
        <x:f>SUMIF('Import by half hour'!$A$5:$A$7395,A129,'Import by half hour'!$J$5:$J$7395)</x:f>
        <x:v>4.213297786249999</x:v>
      </x:c>
      <x:c r="Z129" s="13" t="n">
        <x:f>Y129+'Tariff and method'!$B$6*1.05</x:f>
        <x:v>4.771162786249999</x:v>
      </x:c>
      <x:c r="AA129" s="13" t="n">
        <x:f>X129-Z129</x:f>
        <x:v>2.4914728562500006</x:v>
      </x:c>
      <x:c r="AB129" s="13" t="n">
        <x:f>SUMIF('Import by half hour'!$A$5:$A$7395,A129,'Import by half hour'!$K$5:$K$7395)+'Tariff and method'!$B$6*1.05</x:f>
        <x:v>9.04466987375</x:v>
      </x:c>
      <x:c r="AC129" s="13" t="n">
        <x:f>AB129-Z129</x:f>
        <x:v>4.2735070875000005</x:v>
      </x:c>
      <x:c r="AD129" s="13" t="n">
        <x:f>X129-AB129</x:f>
        <x:v>-1.78203423125</x:v>
      </x:c>
      <x:c r="AE129" s="11" t="n">
        <x:f>M129-H129</x:f>
        <x:v>-4.3779999999999895</x:v>
      </x:c>
      <x:c r="AF129" s="14" t="n">
        <x:f>IF(M129=0,"",H129/M129)</x:f>
        <x:v>1.2761796618723182</x:v>
      </x:c>
      <x:c r="AG129" s="11" t="n">
        <x:f>D129-E129-F129-G129</x:f>
        <x:v>0.09100000000000463</x:v>
      </x:c>
      <x:c r="AH129" s="11" t="n">
        <x:f>R129-S129-T129</x:f>
        <x:v>0.0070000000000014495</x:v>
      </x:c>
      <x:c r="AI129" s="13" t="n">
        <x:f>SUM($AA$5:AA129)</x:f>
        <x:v>227.9606741212501</x:v>
      </x:c>
    </x:row>
    <x:row r="130" ht="21" customHeight="1">
      <x:c r="A130" s="10" t="n">
        <x:v>46273</x:v>
      </x:c>
      <x:c r="B130" s="1" t="n">
        <x:v>288</x:v>
      </x:c>
      <x:c r="C130" s="1" t="n">
        <x:v>24</x:v>
      </x:c>
      <x:c r="D130" s="11" t="n">
        <x:v>20.93116666666667</x:v>
      </x:c>
      <x:c r="E130" s="11" t="n">
        <x:v>16.455583333333326</x:v>
      </x:c>
      <x:c r="F130" s="11" t="n">
        <x:v>0</x:v>
      </x:c>
      <x:c r="G130" s="11" t="n">
        <x:v>4.406250000000002</x:v>
      </x:c>
      <x:c r="H130" s="11" t="n">
        <x:v>16.474999999999998</x:v>
      </x:c>
      <x:c r="I130" s="11" t="n">
        <x:v>16.455583333333326</x:v>
      </x:c>
      <x:c r="J130" s="11" t="n">
        <x:v>0</x:v>
      </x:c>
      <x:c r="K130" s="11" t="n">
        <x:v>26.168999999999997</x:v>
      </x:c>
      <x:c r="L130" s="11" t="n">
        <x:v>0</x:v>
      </x:c>
      <x:c r="M130" s="11" t="n">
        <x:v>26.168999999999997</x:v>
      </x:c>
      <x:c r="N130" s="11" t="n">
        <x:v>0</x:v>
      </x:c>
      <x:c r="O130" s="11" t="n">
        <x:v>0</x:v>
      </x:c>
      <x:c r="P130" s="11" t="n">
        <x:v>0</x:v>
      </x:c>
      <x:c r="Q130" s="11" t="n">
        <x:v>0</x:v>
      </x:c>
      <x:c r="R130" s="11" t="n">
        <x:v>30.583250000000003</x:v>
      </x:c>
      <x:c r="S130" s="11" t="n">
        <x:v>4.406250000000002</x:v>
      </x:c>
      <x:c r="T130" s="11" t="n">
        <x:v>26.168999999999997</x:v>
      </x:c>
      <x:c r="U130" s="11" t="n">
        <x:v>0</x:v>
      </x:c>
      <x:c r="V130" s="11" t="n">
        <x:v>0</x:v>
      </x:c>
      <x:c r="W130" s="11" t="n">
        <x:v>0</x:v>
      </x:c>
      <x:c r="X130" s="13" t="n">
        <x:f>(D130*'Tariff and method'!$B$4+'Tariff and method'!$B$5)*1.05</x:f>
        <x:v>5.358651585000001</x:v>
      </x:c>
      <x:c r="Y130" s="13" t="n">
        <x:f>SUMIF('Import by half hour'!$A$5:$A$7395,A130,'Import by half hour'!$J$5:$J$7395)</x:f>
        <x:v>3.17385277125</x:v>
      </x:c>
      <x:c r="Z130" s="13" t="n">
        <x:f>Y130+'Tariff and method'!$B$6*1.05</x:f>
        <x:v>3.73171777125</x:v>
      </x:c>
      <x:c r="AA130" s="13" t="n">
        <x:f>X130-Z130</x:f>
        <x:v>1.6269338137500013</x:v>
      </x:c>
      <x:c r="AB130" s="13" t="n">
        <x:f>SUMIF('Import by half hour'!$A$5:$A$7395,A130,'Import by half hour'!$K$5:$K$7395)+'Tariff and method'!$B$6*1.05</x:f>
        <x:v>5.443129308750001</x:v>
      </x:c>
      <x:c r="AC130" s="13" t="n">
        <x:f>AB130-Z130</x:f>
        <x:v>1.7114115375000005</x:v>
      </x:c>
      <x:c r="AD130" s="13" t="n">
        <x:f>X130-AB130</x:f>
        <x:v>-0.08447772374999918</x:v>
      </x:c>
      <x:c r="AE130" s="11" t="n">
        <x:f>M130-H130</x:f>
        <x:v>9.693999999999999</x:v>
      </x:c>
      <x:c r="AF130" s="14" t="n">
        <x:f>IF(M130=0,"",H130/M130)</x:f>
        <x:v>0.6295616951354657</x:v>
      </x:c>
      <x:c r="AG130" s="11" t="n">
        <x:f>D130-E130-F130-G130</x:f>
        <x:v>0.06933333333334168</x:v>
      </x:c>
      <x:c r="AH130" s="11" t="n">
        <x:f>R130-S130-T130</x:f>
        <x:v>0.008000000000002672</x:v>
      </x:c>
      <x:c r="AI130" s="13" t="n">
        <x:f>SUM($AA$5:AA130)</x:f>
        <x:v>229.5876079350001</x:v>
      </x:c>
    </x:row>
    <x:row r="131" ht="21" customHeight="1">
      <x:c r="A131" s="10" t="n">
        <x:v>46274</x:v>
      </x:c>
      <x:c r="B131" s="1" t="n">
        <x:v>288</x:v>
      </x:c>
      <x:c r="C131" s="1" t="n">
        <x:v>24</x:v>
      </x:c>
      <x:c r="D131" s="11" t="n">
        <x:v>12.215333333333335</x:v>
      </x:c>
      <x:c r="E131" s="11" t="n">
        <x:v>9.360583333333333</x:v>
      </x:c>
      <x:c r="F131" s="11" t="n">
        <x:v>0</x:v>
      </x:c>
      <x:c r="G131" s="11" t="n">
        <x:v>2.7205833333333334</x:v>
      </x:c>
      <x:c r="H131" s="11" t="n">
        <x:v>9.376999999999997</x:v>
      </x:c>
      <x:c r="I131" s="11" t="n">
        <x:v>9.360583333333333</x:v>
      </x:c>
      <x:c r="J131" s="11" t="n">
        <x:v>0</x:v>
      </x:c>
      <x:c r="K131" s="11" t="n">
        <x:v>4.323</x:v>
      </x:c>
      <x:c r="L131" s="11" t="n">
        <x:v>0</x:v>
      </x:c>
      <x:c r="M131" s="11" t="n">
        <x:v>4.323</x:v>
      </x:c>
      <x:c r="N131" s="11" t="n">
        <x:v>0</x:v>
      </x:c>
      <x:c r="O131" s="11" t="n">
        <x:v>0</x:v>
      </x:c>
      <x:c r="P131" s="11" t="n">
        <x:v>0</x:v>
      </x:c>
      <x:c r="Q131" s="11" t="n">
        <x:v>0</x:v>
      </x:c>
      <x:c r="R131" s="11" t="n">
        <x:v>7.0495833333333335</x:v>
      </x:c>
      <x:c r="S131" s="11" t="n">
        <x:v>2.7205833333333334</x:v>
      </x:c>
      <x:c r="T131" s="11" t="n">
        <x:v>4.323</x:v>
      </x:c>
      <x:c r="U131" s="11" t="n">
        <x:v>0</x:v>
      </x:c>
      <x:c r="V131" s="11" t="n">
        <x:v>0</x:v>
      </x:c>
      <x:c r="W131" s="11" t="n">
        <x:v>0</x:v>
      </x:c>
      <x:c r="X131" s="13" t="n">
        <x:f>(D131*'Tariff and method'!$B$4+'Tariff and method'!$B$5)*1.05</x:f>
        <x:v>3.3214998600000003</x:v>
      </x:c>
      <x:c r="Y131" s="13" t="n">
        <x:f>SUMIF('Import by half hour'!$A$5:$A$7395,A131,'Import by half hour'!$J$5:$J$7395)</x:f>
        <x:v>1.6485426999999997</x:v>
      </x:c>
      <x:c r="Z131" s="13" t="n">
        <x:f>Y131+'Tariff and method'!$B$6*1.05</x:f>
        <x:v>2.2064076999999997</x:v>
      </x:c>
      <x:c r="AA131" s="13" t="n">
        <x:f>X131-Z131</x:f>
        <x:v>1.1150921600000006</x:v>
      </x:c>
      <x:c r="AB131" s="13" t="n">
        <x:f>SUMIF('Import by half hour'!$A$5:$A$7395,A131,'Import by half hour'!$K$5:$K$7395)+'Tariff and method'!$B$6*1.05</x:f>
        <x:v>4.7262358325000005</x:v>
      </x:c>
      <x:c r="AC131" s="13" t="n">
        <x:f>AB131-Z131</x:f>
        <x:v>2.5198281325000007</x:v>
      </x:c>
      <x:c r="AD131" s="13" t="n">
        <x:f>X131-AB131</x:f>
        <x:v>-1.4047359725000002</x:v>
      </x:c>
      <x:c r="AE131" s="11" t="n">
        <x:f>M131-H131</x:f>
        <x:v>-5.053999999999997</x:v>
      </x:c>
      <x:c r="AF131" s="14" t="n">
        <x:f>IF(M131=0,"",H131/M131)</x:f>
        <x:v>2.1690955355077484</x:v>
      </x:c>
      <x:c r="AG131" s="11" t="n">
        <x:f>D131-E131-F131-G131</x:f>
        <x:v>0.13416666666666943</x:v>
      </x:c>
      <x:c r="AH131" s="11" t="n">
        <x:f>R131-S131-T131</x:f>
        <x:v>0.006000000000000227</x:v>
      </x:c>
      <x:c r="AI131" s="13" t="n">
        <x:f>SUM($AA$5:AA131)</x:f>
        <x:v>230.7027000950001</x:v>
      </x:c>
    </x:row>
    <x:row r="132" ht="21" customHeight="1">
      <x:c r="A132" s="10" t="n">
        <x:v>46275</x:v>
      </x:c>
      <x:c r="B132" s="1" t="n">
        <x:v>288</x:v>
      </x:c>
      <x:c r="C132" s="1" t="n">
        <x:v>24</x:v>
      </x:c>
      <x:c r="D132" s="11" t="n">
        <x:v>12.297416666666662</x:v>
      </x:c>
      <x:c r="E132" s="11" t="n">
        <x:v>9.268000000000002</x:v>
      </x:c>
      <x:c r="F132" s="11" t="n">
        <x:v>0</x:v>
      </x:c>
      <x:c r="G132" s="11" t="n">
        <x:v>2.8745</x:v>
      </x:c>
      <x:c r="H132" s="11" t="n">
        <x:v>9.286000000000001</x:v>
      </x:c>
      <x:c r="I132" s="11" t="n">
        <x:v>9.268000000000002</x:v>
      </x:c>
      <x:c r="J132" s="11" t="n">
        <x:v>0</x:v>
      </x:c>
      <x:c r="K132" s="11" t="n">
        <x:v>4.103</x:v>
      </x:c>
      <x:c r="L132" s="11" t="n">
        <x:v>0</x:v>
      </x:c>
      <x:c r="M132" s="11" t="n">
        <x:v>4.103</x:v>
      </x:c>
      <x:c r="N132" s="11" t="n">
        <x:v>0</x:v>
      </x:c>
      <x:c r="O132" s="11" t="n">
        <x:v>0</x:v>
      </x:c>
      <x:c r="P132" s="11" t="n">
        <x:v>0</x:v>
      </x:c>
      <x:c r="Q132" s="11" t="n">
        <x:v>0</x:v>
      </x:c>
      <x:c r="R132" s="11" t="n">
        <x:v>6.9835</x:v>
      </x:c>
      <x:c r="S132" s="11" t="n">
        <x:v>2.8745</x:v>
      </x:c>
      <x:c r="T132" s="11" t="n">
        <x:v>4.103</x:v>
      </x:c>
      <x:c r="U132" s="11" t="n">
        <x:v>0</x:v>
      </x:c>
      <x:c r="V132" s="11" t="n">
        <x:v>0</x:v>
      </x:c>
      <x:c r="W132" s="11" t="n">
        <x:v>0</x:v>
      </x:c>
      <x:c r="X132" s="13" t="n">
        <x:f>(D132*'Tariff and method'!$B$4+'Tariff and method'!$B$5)*1.05</x:f>
        <x:v>3.3406851974999987</x:v>
      </x:c>
      <x:c r="Y132" s="13" t="n">
        <x:f>SUMIF('Import by half hour'!$A$5:$A$7395,A132,'Import by half hour'!$J$5:$J$7395)</x:f>
        <x:v>1.6885001699999997</x:v>
      </x:c>
      <x:c r="Z132" s="13" t="n">
        <x:f>Y132+'Tariff and method'!$B$6*1.05</x:f>
        <x:v>2.24636517</x:v>
      </x:c>
      <x:c r="AA132" s="13" t="n">
        <x:f>X132-Z132</x:f>
        <x:v>1.094320027499999</x:v>
      </x:c>
      <x:c r="AB132" s="13" t="n">
        <x:f>SUMIF('Import by half hour'!$A$5:$A$7395,A132,'Import by half hour'!$K$5:$K$7395)+'Tariff and method'!$B$6*1.05</x:f>
        <x:v>4.754906143750002</x:v>
      </x:c>
      <x:c r="AC132" s="13" t="n">
        <x:f>AB132-Z132</x:f>
        <x:v>2.5085409737500024</x:v>
      </x:c>
      <x:c r="AD132" s="13" t="n">
        <x:f>X132-AB132</x:f>
        <x:v>-1.4142209462500035</x:v>
      </x:c>
      <x:c r="AE132" s="11" t="n">
        <x:f>M132-H132</x:f>
        <x:v>-5.183000000000002</x:v>
      </x:c>
      <x:c r="AF132" s="14" t="n">
        <x:f>IF(M132=0,"",H132/M132)</x:f>
        <x:v>2.2632220326590304</x:v>
      </x:c>
      <x:c r="AG132" s="11" t="n">
        <x:f>D132-E132-F132-G132</x:f>
        <x:v>0.15491666666665926</x:v>
      </x:c>
      <x:c r="AH132" s="11" t="n">
        <x:f>R132-S132-T132</x:f>
        <x:v>0.006000000000000227</x:v>
      </x:c>
      <x:c r="AI132" s="13" t="n">
        <x:f>SUM($AA$5:AA132)</x:f>
        <x:v>231.7970201225001</x:v>
      </x:c>
    </x:row>
    <x:row r="133" ht="21" customHeight="1">
      <x:c r="A133" s="10" t="n">
        <x:v>46276</x:v>
      </x:c>
      <x:c r="B133" s="1" t="n">
        <x:v>288</x:v>
      </x:c>
      <x:c r="C133" s="1" t="n">
        <x:v>24</x:v>
      </x:c>
      <x:c r="D133" s="11" t="n">
        <x:v>11.653750000000008</x:v>
      </x:c>
      <x:c r="E133" s="11" t="n">
        <x:v>5.340416666666665</x:v>
      </x:c>
      <x:c r="F133" s="11" t="n">
        <x:v>0</x:v>
      </x:c>
      <x:c r="G133" s="11" t="n">
        <x:v>6.035500000000002</x:v>
      </x:c>
      <x:c r="H133" s="11" t="n">
        <x:v>5.350999999999999</x:v>
      </x:c>
      <x:c r="I133" s="11" t="n">
        <x:v>5.340416666666665</x:v>
      </x:c>
      <x:c r="J133" s="11" t="n">
        <x:v>0</x:v>
      </x:c>
      <x:c r="K133" s="11" t="n">
        <x:v>12.043</x:v>
      </x:c>
      <x:c r="L133" s="11" t="n">
        <x:v>0</x:v>
      </x:c>
      <x:c r="M133" s="11" t="n">
        <x:v>12.043</x:v>
      </x:c>
      <x:c r="N133" s="11" t="n">
        <x:v>0</x:v>
      </x:c>
      <x:c r="O133" s="11" t="n">
        <x:v>0</x:v>
      </x:c>
      <x:c r="P133" s="11" t="n">
        <x:v>0</x:v>
      </x:c>
      <x:c r="Q133" s="11" t="n">
        <x:v>0</x:v>
      </x:c>
      <x:c r="R133" s="11" t="n">
        <x:v>18.0825</x:v>
      </x:c>
      <x:c r="S133" s="11" t="n">
        <x:v>6.035500000000002</x:v>
      </x:c>
      <x:c r="T133" s="11" t="n">
        <x:v>12.043</x:v>
      </x:c>
      <x:c r="U133" s="11" t="n">
        <x:v>0</x:v>
      </x:c>
      <x:c r="V133" s="11" t="n">
        <x:v>0</x:v>
      </x:c>
      <x:c r="W133" s="11" t="n">
        <x:v>0</x:v>
      </x:c>
      <x:c r="X133" s="13" t="n">
        <x:f>(D133*'Tariff and method'!$B$4+'Tariff and method'!$B$5)*1.05</x:f>
        <x:v>3.1902409875000015</x:v>
      </x:c>
      <x:c r="Y133" s="13" t="n">
        <x:f>SUMIF('Import by half hour'!$A$5:$A$7395,A133,'Import by half hour'!$J$5:$J$7395)</x:f>
        <x:v>5.3495359575</x:v>
      </x:c>
      <x:c r="Z133" s="13" t="n">
        <x:f>Y133+'Tariff and method'!$B$6*1.05</x:f>
        <x:v>5.9074009575</x:v>
      </x:c>
      <x:c r="AA133" s="13" t="n">
        <x:f>X133-Z133</x:f>
        <x:v>-2.7171599699999986</x:v>
      </x:c>
      <x:c r="AB133" s="13" t="n">
        <x:f>SUMIF('Import by half hour'!$A$5:$A$7395,A133,'Import by half hour'!$K$5:$K$7395)+'Tariff and method'!$B$6*1.05</x:f>
        <x:v>4.827643388750001</x:v>
      </x:c>
      <x:c r="AC133" s="13" t="n">
        <x:f>AB133-Z133</x:f>
        <x:v>-1.079757568749999</x:v>
      </x:c>
      <x:c r="AD133" s="13" t="n">
        <x:f>X133-AB133</x:f>
        <x:v>-1.6374024012499997</x:v>
      </x:c>
      <x:c r="AE133" s="11" t="n">
        <x:f>M133-H133</x:f>
        <x:v>6.692</x:v>
      </x:c>
      <x:c r="AF133" s="14" t="n">
        <x:f>IF(M133=0,"",H133/M133)</x:f>
        <x:v>0.4443245038611641</x:v>
      </x:c>
      <x:c r="AG133" s="11" t="n">
        <x:f>D133-E133-F133-G133</x:f>
        <x:v>0.2778333333333407</x:v>
      </x:c>
      <x:c r="AH133" s="11" t="n">
        <x:f>R133-S133-T133</x:f>
        <x:v>0.003999999999997783</x:v>
      </x:c>
      <x:c r="AI133" s="13" t="n">
        <x:f>SUM($AA$5:AA133)</x:f>
        <x:v>229.0798601525001</x:v>
      </x:c>
    </x:row>
    <x:row r="134" ht="21" customHeight="1">
      <x:c r="A134" s="10" t="n">
        <x:v>46277</x:v>
      </x:c>
      <x:c r="B134" s="1" t="n">
        <x:v>288</x:v>
      </x:c>
      <x:c r="C134" s="1" t="n">
        <x:v>24</x:v>
      </x:c>
      <x:c r="D134" s="11" t="n">
        <x:v>12.844333333333326</x:v>
      </x:c>
      <x:c r="E134" s="11" t="n">
        <x:v>7.307333333333332</x:v>
      </x:c>
      <x:c r="F134" s="11" t="n">
        <x:v>0</x:v>
      </x:c>
      <x:c r="G134" s="11" t="n">
        <x:v>5.355083333333336</x:v>
      </x:c>
      <x:c r="H134" s="11" t="n">
        <x:v>7.321999999999997</x:v>
      </x:c>
      <x:c r="I134" s="11" t="n">
        <x:v>7.307333333333332</x:v>
      </x:c>
      <x:c r="J134" s="11" t="n">
        <x:v>0</x:v>
      </x:c>
      <x:c r="K134" s="11" t="n">
        <x:v>17.014000000000003</x:v>
      </x:c>
      <x:c r="L134" s="11" t="n">
        <x:v>0</x:v>
      </x:c>
      <x:c r="M134" s="11" t="n">
        <x:v>17.014000000000003</x:v>
      </x:c>
      <x:c r="N134" s="11" t="n">
        <x:v>0</x:v>
      </x:c>
      <x:c r="O134" s="11" t="n">
        <x:v>0</x:v>
      </x:c>
      <x:c r="P134" s="11" t="n">
        <x:v>0</x:v>
      </x:c>
      <x:c r="Q134" s="11" t="n">
        <x:v>0</x:v>
      </x:c>
      <x:c r="R134" s="11" t="n">
        <x:v>22.380083333333353</x:v>
      </x:c>
      <x:c r="S134" s="11" t="n">
        <x:v>5.355083333333336</x:v>
      </x:c>
      <x:c r="T134" s="11" t="n">
        <x:v>17.014000000000003</x:v>
      </x:c>
      <x:c r="U134" s="11" t="n">
        <x:v>0</x:v>
      </x:c>
      <x:c r="V134" s="11" t="n">
        <x:v>0</x:v>
      </x:c>
      <x:c r="W134" s="11" t="n">
        <x:v>0</x:v>
      </x:c>
      <x:c r="X134" s="13" t="n">
        <x:f>(D134*'Tariff and method'!$B$4+'Tariff and method'!$B$5)*1.05</x:f>
        <x:v>3.468516029999998</x:v>
      </x:c>
      <x:c r="Y134" s="13" t="n">
        <x:f>SUMIF('Import by half hour'!$A$5:$A$7395,A134,'Import by half hour'!$J$5:$J$7395)</x:f>
        <x:v>0.6688490900000001</x:v>
      </x:c>
      <x:c r="Z134" s="13" t="n">
        <x:f>Y134+'Tariff and method'!$B$6*1.05</x:f>
        <x:v>1.2267140900000002</x:v>
      </x:c>
      <x:c r="AA134" s="13" t="n">
        <x:f>X134-Z134</x:f>
        <x:v>2.241801939999998</x:v>
      </x:c>
      <x:c r="AB134" s="13" t="n">
        <x:f>SUMIF('Import by half hour'!$A$5:$A$7395,A134,'Import by half hour'!$K$5:$K$7395)+'Tariff and method'!$B$6*1.05</x:f>
        <x:v>3.2950494587499994</x:v>
      </x:c>
      <x:c r="AC134" s="13" t="n">
        <x:f>AB134-Z134</x:f>
        <x:v>2.0683353687499992</x:v>
      </x:c>
      <x:c r="AD134" s="13" t="n">
        <x:f>X134-AB134</x:f>
        <x:v>0.17346657124999876</x:v>
      </x:c>
      <x:c r="AE134" s="11" t="n">
        <x:f>M134-H134</x:f>
        <x:v>9.692000000000005</x:v>
      </x:c>
      <x:c r="AF134" s="14" t="n">
        <x:f>IF(M134=0,"",H134/M134)</x:f>
        <x:v>0.4303514752556716</x:v>
      </x:c>
      <x:c r="AG134" s="11" t="n">
        <x:f>D134-E134-F134-G134</x:f>
        <x:v>0.18191666666665807</x:v>
      </x:c>
      <x:c r="AH134" s="11" t="n">
        <x:f>R134-S134-T134</x:f>
        <x:v>0.011000000000013443</x:v>
      </x:c>
      <x:c r="AI134" s="13" t="n">
        <x:f>SUM($AA$5:AA134)</x:f>
        <x:v>231.32166209250008</x:v>
      </x:c>
    </x:row>
    <x:row r="135" ht="21" customHeight="1">
      <x:c r="A135" s="10" t="n">
        <x:v>46278</x:v>
      </x:c>
      <x:c r="B135" s="1" t="n">
        <x:v>288</x:v>
      </x:c>
      <x:c r="C135" s="1" t="n">
        <x:v>24</x:v>
      </x:c>
      <x:c r="D135" s="11" t="n">
        <x:v>11.104999999999993</x:v>
      </x:c>
      <x:c r="E135" s="11" t="n">
        <x:v>4.1045833333333315</x:v>
      </x:c>
      <x:c r="F135" s="11" t="n">
        <x:v>0</x:v>
      </x:c>
      <x:c r="G135" s="11" t="n">
        <x:v>6.65775</x:v>
      </x:c>
      <x:c r="H135" s="11" t="n">
        <x:v>4.111999999999999</x:v>
      </x:c>
      <x:c r="I135" s="11" t="n">
        <x:v>4.1045833333333315</x:v>
      </x:c>
      <x:c r="J135" s="11" t="n">
        <x:v>0</x:v>
      </x:c>
      <x:c r="K135" s="11" t="n">
        <x:v>1.1660000000000001</x:v>
      </x:c>
      <x:c r="L135" s="11" t="n">
        <x:v>0</x:v>
      </x:c>
      <x:c r="M135" s="11" t="n">
        <x:v>1.1660000000000001</x:v>
      </x:c>
      <x:c r="N135" s="11" t="n">
        <x:v>0</x:v>
      </x:c>
      <x:c r="O135" s="11" t="n">
        <x:v>0</x:v>
      </x:c>
      <x:c r="P135" s="11" t="n">
        <x:v>0</x:v>
      </x:c>
      <x:c r="Q135" s="11" t="n">
        <x:v>0</x:v>
      </x:c>
      <x:c r="R135" s="11" t="n">
        <x:v>7.829750000000003</x:v>
      </x:c>
      <x:c r="S135" s="11" t="n">
        <x:v>6.65775</x:v>
      </x:c>
      <x:c r="T135" s="11" t="n">
        <x:v>1.1660000000000001</x:v>
      </x:c>
      <x:c r="U135" s="11" t="n">
        <x:v>0</x:v>
      </x:c>
      <x:c r="V135" s="11" t="n">
        <x:v>0</x:v>
      </x:c>
      <x:c r="W135" s="11" t="n">
        <x:v>0</x:v>
      </x:c>
      <x:c r="X135" s="13" t="n">
        <x:f>(D135*'Tariff and method'!$B$4+'Tariff and method'!$B$5)*1.05</x:f>
        <x:v>3.0619816499999986</x:v>
      </x:c>
      <x:c r="Y135" s="13" t="n">
        <x:f>SUMIF('Import by half hour'!$A$5:$A$7395,A135,'Import by half hour'!$J$5:$J$7395)</x:f>
        <x:v>2.5798087874999998</x:v>
      </x:c>
      <x:c r="Z135" s="13" t="n">
        <x:f>Y135+'Tariff and method'!$B$6*1.05</x:f>
        <x:v>3.1376737875</x:v>
      </x:c>
      <x:c r="AA135" s="13" t="n">
        <x:f>X135-Z135</x:f>
        <x:v>-0.07569213750000126</x:v>
      </x:c>
      <x:c r="AB135" s="13" t="n">
        <x:f>SUMIF('Import by half hour'!$A$5:$A$7395,A135,'Import by half hour'!$K$5:$K$7395)+'Tariff and method'!$B$6*1.05</x:f>
        <x:v>4.777026257499999</x:v>
      </x:c>
      <x:c r="AC135" s="13" t="n">
        <x:f>AB135-Z135</x:f>
        <x:v>1.6393524699999995</x:v>
      </x:c>
      <x:c r="AD135" s="13" t="n">
        <x:f>X135-AB135</x:f>
        <x:v>-1.7150446075000008</x:v>
      </x:c>
      <x:c r="AE135" s="11" t="n">
        <x:f>M135-H135</x:f>
        <x:v>-2.945999999999999</x:v>
      </x:c>
      <x:c r="AF135" s="14" t="n">
        <x:f>IF(M135=0,"",H135/M135)</x:f>
        <x:v>3.5265866209262424</x:v>
      </x:c>
      <x:c r="AG135" s="11" t="n">
        <x:f>D135-E135-F135-G135</x:f>
        <x:v>0.3426666666666618</x:v>
      </x:c>
      <x:c r="AH135" s="11" t="n">
        <x:f>R135-S135-T135</x:f>
        <x:v>0.006000000000003114</x:v>
      </x:c>
      <x:c r="AI135" s="13" t="n">
        <x:f>SUM($AA$5:AA135)</x:f>
        <x:v>231.24596995500008</x:v>
      </x:c>
    </x:row>
    <x:row r="136" ht="21" customHeight="1">
      <x:c r="A136" s="10" t="n">
        <x:v>46279</x:v>
      </x:c>
      <x:c r="B136" s="1" t="n">
        <x:v>288</x:v>
      </x:c>
      <x:c r="C136" s="1" t="n">
        <x:v>24</x:v>
      </x:c>
      <x:c r="D136" s="11" t="n">
        <x:v>11.785583333333326</x:v>
      </x:c>
      <x:c r="E136" s="11" t="n">
        <x:v>7.212166666666665</x:v>
      </x:c>
      <x:c r="F136" s="11" t="n">
        <x:v>0</x:v>
      </x:c>
      <x:c r="G136" s="11" t="n">
        <x:v>4.3469999999999995</x:v>
      </x:c>
      <x:c r="H136" s="11" t="n">
        <x:v>7.226000000000002</x:v>
      </x:c>
      <x:c r="I136" s="11" t="n">
        <x:v>7.212166666666665</x:v>
      </x:c>
      <x:c r="J136" s="11" t="n">
        <x:v>0</x:v>
      </x:c>
      <x:c r="K136" s="11" t="n">
        <x:v>6.9670000000000005</x:v>
      </x:c>
      <x:c r="L136" s="11" t="n">
        <x:v>0</x:v>
      </x:c>
      <x:c r="M136" s="11" t="n">
        <x:v>6.9670000000000005</x:v>
      </x:c>
      <x:c r="N136" s="11" t="n">
        <x:v>0</x:v>
      </x:c>
      <x:c r="O136" s="11" t="n">
        <x:v>0</x:v>
      </x:c>
      <x:c r="P136" s="11" t="n">
        <x:v>0</x:v>
      </x:c>
      <x:c r="Q136" s="11" t="n">
        <x:v>0</x:v>
      </x:c>
      <x:c r="R136" s="11" t="n">
        <x:v>11.315000000000003</x:v>
      </x:c>
      <x:c r="S136" s="11" t="n">
        <x:v>4.3469999999999995</x:v>
      </x:c>
      <x:c r="T136" s="11" t="n">
        <x:v>6.9670000000000005</x:v>
      </x:c>
      <x:c r="U136" s="11" t="n">
        <x:v>0</x:v>
      </x:c>
      <x:c r="V136" s="11" t="n">
        <x:v>0</x:v>
      </x:c>
      <x:c r="W136" s="11" t="n">
        <x:v>0</x:v>
      </x:c>
      <x:c r="X136" s="13" t="n">
        <x:f>(D136*'Tariff and method'!$B$4+'Tariff and method'!$B$5)*1.05</x:f>
        <x:v>3.221054392499998</x:v>
      </x:c>
      <x:c r="Y136" s="13" t="n">
        <x:f>SUMIF('Import by half hour'!$A$5:$A$7395,A136,'Import by half hour'!$J$5:$J$7395)</x:f>
        <x:v>3.5925110549999997</x:v>
      </x:c>
      <x:c r="Z136" s="13" t="n">
        <x:f>Y136+'Tariff and method'!$B$6*1.05</x:f>
        <x:v>4.150376055</x:v>
      </x:c>
      <x:c r="AA136" s="13" t="n">
        <x:f>X136-Z136</x:f>
        <x:v>-0.9293216625000018</x:v>
      </x:c>
      <x:c r="AB136" s="13" t="n">
        <x:f>SUMIF('Import by half hour'!$A$5:$A$7395,A136,'Import by half hour'!$K$5:$K$7395)+'Tariff and method'!$B$6*1.05</x:f>
        <x:v>5.2415455925</x:v>
      </x:c>
      <x:c r="AC136" s="13" t="n">
        <x:f>AB136-Z136</x:f>
        <x:v>1.0911695375</x:v>
      </x:c>
      <x:c r="AD136" s="13" t="n">
        <x:f>X136-AB136</x:f>
        <x:v>-2.0204912000000017</x:v>
      </x:c>
      <x:c r="AE136" s="11" t="n">
        <x:f>M136-H136</x:f>
        <x:v>-0.25900000000000123</x:v>
      </x:c>
      <x:c r="AF136" s="14" t="n">
        <x:f>IF(M136=0,"",H136/M136)</x:f>
        <x:v>1.037175254772499</x:v>
      </x:c>
      <x:c r="AG136" s="11" t="n">
        <x:f>D136-E136-F136-G136</x:f>
        <x:v>0.22641666666666183</x:v>
      </x:c>
      <x:c r="AH136" s="11" t="n">
        <x:f>R136-S136-T136</x:f>
        <x:v>0.0010000000000029985</x:v>
      </x:c>
      <x:c r="AI136" s="13" t="n">
        <x:f>SUM($AA$5:AA136)</x:f>
        <x:v>230.31664829250008</x:v>
      </x:c>
    </x:row>
    <x:row r="137" ht="21" customHeight="1">
      <x:c r="A137" s="10" t="n">
        <x:v>46280</x:v>
      </x:c>
      <x:c r="B137" s="1" t="n">
        <x:v>288</x:v>
      </x:c>
      <x:c r="C137" s="1" t="n">
        <x:v>24</x:v>
      </x:c>
      <x:c r="D137" s="11" t="n">
        <x:v>12.378166666666662</x:v>
      </x:c>
      <x:c r="E137" s="11" t="n">
        <x:v>8.486499999999996</x:v>
      </x:c>
      <x:c r="F137" s="11" t="n">
        <x:v>0</x:v>
      </x:c>
      <x:c r="G137" s="11" t="n">
        <x:v>3.7335000000000003</x:v>
      </x:c>
      <x:c r="H137" s="11" t="n">
        <x:v>8.504</x:v>
      </x:c>
      <x:c r="I137" s="11" t="n">
        <x:v>8.486499999999996</x:v>
      </x:c>
      <x:c r="J137" s="11" t="n">
        <x:v>0</x:v>
      </x:c>
      <x:c r="K137" s="11" t="n">
        <x:v>13.053999999999998</x:v>
      </x:c>
      <x:c r="L137" s="11" t="n">
        <x:v>0</x:v>
      </x:c>
      <x:c r="M137" s="11" t="n">
        <x:v>13.053999999999998</x:v>
      </x:c>
      <x:c r="N137" s="11" t="n">
        <x:v>0</x:v>
      </x:c>
      <x:c r="O137" s="11" t="n">
        <x:v>0</x:v>
      </x:c>
      <x:c r="P137" s="11" t="n">
        <x:v>0</x:v>
      </x:c>
      <x:c r="Q137" s="11" t="n">
        <x:v>0</x:v>
      </x:c>
      <x:c r="R137" s="11" t="n">
        <x:v>16.7905</x:v>
      </x:c>
      <x:c r="S137" s="11" t="n">
        <x:v>3.7335000000000003</x:v>
      </x:c>
      <x:c r="T137" s="11" t="n">
        <x:v>13.053999999999998</x:v>
      </x:c>
      <x:c r="U137" s="11" t="n">
        <x:v>0</x:v>
      </x:c>
      <x:c r="V137" s="11" t="n">
        <x:v>0</x:v>
      </x:c>
      <x:c r="W137" s="11" t="n">
        <x:v>0</x:v>
      </x:c>
      <x:c r="X137" s="13" t="n">
        <x:f>(D137*'Tariff and method'!$B$4+'Tariff and method'!$B$5)*1.05</x:f>
        <x:v>3.359558894999999</x:v>
      </x:c>
      <x:c r="Y137" s="13" t="n">
        <x:f>SUMIF('Import by half hour'!$A$5:$A$7395,A137,'Import by half hour'!$J$5:$J$7395)</x:f>
        <x:v>4.141779521250001</x:v>
      </x:c>
      <x:c r="Z137" s="13" t="n">
        <x:f>Y137+'Tariff and method'!$B$6*1.05</x:f>
        <x:v>4.699644521250001</x:v>
      </x:c>
      <x:c r="AA137" s="13" t="n">
        <x:f>X137-Z137</x:f>
        <x:v>-1.3400856262500018</x:v>
      </x:c>
      <x:c r="AB137" s="13" t="n">
        <x:f>SUMIF('Import by half hour'!$A$5:$A$7395,A137,'Import by half hour'!$K$5:$K$7395)+'Tariff and method'!$B$6*1.05</x:f>
        <x:v>4.803655517500001</x:v>
      </x:c>
      <x:c r="AC137" s="13" t="n">
        <x:f>AB137-Z137</x:f>
        <x:v>0.10401099625000043</x:v>
      </x:c>
      <x:c r="AD137" s="13" t="n">
        <x:f>X137-AB137</x:f>
        <x:v>-1.4440966225000023</x:v>
      </x:c>
      <x:c r="AE137" s="11" t="n">
        <x:f>M137-H137</x:f>
        <x:v>4.549999999999999</x:v>
      </x:c>
      <x:c r="AF137" s="14" t="n">
        <x:f>IF(M137=0,"",H137/M137)</x:f>
        <x:v>0.6514478320821204</x:v>
      </x:c>
      <x:c r="AG137" s="11" t="n">
        <x:f>D137-E137-F137-G137</x:f>
        <x:v>0.15816666666666546</x:v>
      </x:c>
      <x:c r="AH137" s="11" t="n">
        <x:f>R137-S137-T137</x:f>
        <x:v>0.0030000000000036664</x:v>
      </x:c>
      <x:c r="AI137" s="13" t="n">
        <x:f>SUM($AA$5:AA137)</x:f>
        <x:v>228.97656266625006</x:v>
      </x:c>
    </x:row>
    <x:row r="138" ht="21" customHeight="1">
      <x:c r="A138" s="10" t="n">
        <x:v>46281</x:v>
      </x:c>
      <x:c r="B138" s="1" t="n">
        <x:v>288</x:v>
      </x:c>
      <x:c r="C138" s="1" t="n">
        <x:v>24</x:v>
      </x:c>
      <x:c r="D138" s="11" t="n">
        <x:v>11.312583333333333</x:v>
      </x:c>
      <x:c r="E138" s="11" t="n">
        <x:v>6.427333333333334</x:v>
      </x:c>
      <x:c r="F138" s="11" t="n">
        <x:v>0</x:v>
      </x:c>
      <x:c r="G138" s="11" t="n">
        <x:v>4.62575</x:v>
      </x:c>
      <x:c r="H138" s="11" t="n">
        <x:v>6.438</x:v>
      </x:c>
      <x:c r="I138" s="11" t="n">
        <x:v>6.427333333333334</x:v>
      </x:c>
      <x:c r="J138" s="11" t="n">
        <x:v>0</x:v>
      </x:c>
      <x:c r="K138" s="11" t="n">
        <x:v>0.937</x:v>
      </x:c>
      <x:c r="L138" s="11" t="n">
        <x:v>0</x:v>
      </x:c>
      <x:c r="M138" s="11" t="n">
        <x:v>0.937</x:v>
      </x:c>
      <x:c r="N138" s="11" t="n">
        <x:v>0</x:v>
      </x:c>
      <x:c r="O138" s="11" t="n">
        <x:v>0</x:v>
      </x:c>
      <x:c r="P138" s="11" t="n">
        <x:v>0</x:v>
      </x:c>
      <x:c r="Q138" s="11" t="n">
        <x:v>0</x:v>
      </x:c>
      <x:c r="R138" s="11" t="n">
        <x:v>5.564749999999999</x:v>
      </x:c>
      <x:c r="S138" s="11" t="n">
        <x:v>4.62575</x:v>
      </x:c>
      <x:c r="T138" s="11" t="n">
        <x:v>0.937</x:v>
      </x:c>
      <x:c r="U138" s="11" t="n">
        <x:v>0</x:v>
      </x:c>
      <x:c r="V138" s="11" t="n">
        <x:v>0</x:v>
      </x:c>
      <x:c r="W138" s="11" t="n">
        <x:v>0</x:v>
      </x:c>
      <x:c r="X138" s="13" t="n">
        <x:f>(D138*'Tariff and method'!$B$4+'Tariff and method'!$B$5)*1.05</x:f>
        <x:v>3.1105001025</x:v>
      </x:c>
      <x:c r="Y138" s="13" t="n">
        <x:f>SUMIF('Import by half hour'!$A$5:$A$7395,A138,'Import by half hour'!$J$5:$J$7395)</x:f>
        <x:v>1.67586397125</x:v>
      </x:c>
      <x:c r="Z138" s="13" t="n">
        <x:f>Y138+'Tariff and method'!$B$6*1.05</x:f>
        <x:v>2.23372897125</x:v>
      </x:c>
      <x:c r="AA138" s="13" t="n">
        <x:f>X138-Z138</x:f>
        <x:v>0.87677113125</x:v>
      </x:c>
      <x:c r="AB138" s="13" t="n">
        <x:f>SUMIF('Import by half hour'!$A$5:$A$7395,A138,'Import by half hour'!$K$5:$K$7395)+'Tariff and method'!$B$6*1.05</x:f>
        <x:v>4.60420589125</x:v>
      </x:c>
      <x:c r="AC138" s="13" t="n">
        <x:f>AB138-Z138</x:f>
        <x:v>2.37047692</x:v>
      </x:c>
      <x:c r="AD138" s="13" t="n">
        <x:f>X138-AB138</x:f>
        <x:v>-1.4937057887500003</x:v>
      </x:c>
      <x:c r="AE138" s="11" t="n">
        <x:f>M138-H138</x:f>
        <x:v>-5.5009999999999994</x:v>
      </x:c>
      <x:c r="AF138" s="14" t="n">
        <x:f>IF(M138=0,"",H138/M138)</x:f>
        <x:v>6.87086446104589</x:v>
      </x:c>
      <x:c r="AG138" s="11" t="n">
        <x:f>D138-E138-F138-G138</x:f>
        <x:v>0.2594999999999983</x:v>
      </x:c>
      <x:c r="AH138" s="11" t="n">
        <x:f>R138-S138-T138</x:f>
        <x:v>0.0019999999999991136</x:v>
      </x:c>
      <x:c r="AI138" s="13" t="n">
        <x:f>SUM($AA$5:AA138)</x:f>
        <x:v>229.85333379750006</x:v>
      </x:c>
    </x:row>
    <x:row r="139" ht="21" customHeight="1">
      <x:c r="A139" s="10" t="n">
        <x:v>46282</x:v>
      </x:c>
      <x:c r="B139" s="1" t="n">
        <x:v>288</x:v>
      </x:c>
      <x:c r="C139" s="1" t="n">
        <x:v>24</x:v>
      </x:c>
      <x:c r="D139" s="11" t="n">
        <x:v>13.206500000000005</x:v>
      </x:c>
      <x:c r="E139" s="11" t="n">
        <x:v>10.873916666666668</x:v>
      </x:c>
      <x:c r="F139" s="11" t="n">
        <x:v>0</x:v>
      </x:c>
      <x:c r="G139" s="11" t="n">
        <x:v>2.2647500000000003</x:v>
      </x:c>
      <x:c r="H139" s="11" t="n">
        <x:v>10.89499999999999</x:v>
      </x:c>
      <x:c r="I139" s="11" t="n">
        <x:v>10.873916666666668</x:v>
      </x:c>
      <x:c r="J139" s="11" t="n">
        <x:v>0</x:v>
      </x:c>
      <x:c r="K139" s="11" t="n">
        <x:v>13.213999999999999</x:v>
      </x:c>
      <x:c r="L139" s="11" t="n">
        <x:v>0</x:v>
      </x:c>
      <x:c r="M139" s="11" t="n">
        <x:v>13.213999999999999</x:v>
      </x:c>
      <x:c r="N139" s="11" t="n">
        <x:v>0</x:v>
      </x:c>
      <x:c r="O139" s="11" t="n">
        <x:v>0</x:v>
      </x:c>
      <x:c r="P139" s="11" t="n">
        <x:v>0</x:v>
      </x:c>
      <x:c r="Q139" s="11" t="n">
        <x:v>0</x:v>
      </x:c>
      <x:c r="R139" s="11" t="n">
        <x:v>15.478750000000002</x:v>
      </x:c>
      <x:c r="S139" s="11" t="n">
        <x:v>2.2647500000000003</x:v>
      </x:c>
      <x:c r="T139" s="11" t="n">
        <x:v>13.213999999999999</x:v>
      </x:c>
      <x:c r="U139" s="11" t="n">
        <x:v>0</x:v>
      </x:c>
      <x:c r="V139" s="11" t="n">
        <x:v>0</x:v>
      </x:c>
      <x:c r="W139" s="11" t="n">
        <x:v>0</x:v>
      </x:c>
      <x:c r="X139" s="13" t="n">
        <x:f>(D139*'Tariff and method'!$B$4+'Tariff and method'!$B$5)*1.05</x:f>
        <x:v>3.5531652450000015</x:v>
      </x:c>
      <x:c r="Y139" s="13" t="n">
        <x:f>SUMIF('Import by half hour'!$A$5:$A$7395,A139,'Import by half hour'!$J$5:$J$7395)</x:f>
        <x:v>-0.27537082125000006</x:v>
      </x:c>
      <x:c r="Z139" s="13" t="n">
        <x:f>Y139+'Tariff and method'!$B$6*1.05</x:f>
        <x:v>0.28249417875</x:v>
      </x:c>
      <x:c r="AA139" s="13" t="n">
        <x:f>X139-Z139</x:f>
        <x:v>3.2706710662500016</x:v>
      </x:c>
      <x:c r="AB139" s="13" t="n">
        <x:f>SUMIF('Import by half hour'!$A$5:$A$7395,A139,'Import by half hour'!$K$5:$K$7395)+'Tariff and method'!$B$6*1.05</x:f>
        <x:v>3.2869872175000006</x:v>
      </x:c>
      <x:c r="AC139" s="13" t="n">
        <x:f>AB139-Z139</x:f>
        <x:v>3.0044930387500006</x:v>
      </x:c>
      <x:c r="AD139" s="13" t="n">
        <x:f>X139-AB139</x:f>
        <x:v>0.26617802750000097</x:v>
      </x:c>
      <x:c r="AE139" s="11" t="n">
        <x:f>M139-H139</x:f>
        <x:v>2.319000000000008</x:v>
      </x:c>
      <x:c r="AF139" s="14" t="n">
        <x:f>IF(M139=0,"",H139/M139)</x:f>
        <x:v>0.8245043136067801</x:v>
      </x:c>
      <x:c r="AG139" s="11" t="n">
        <x:f>D139-E139-F139-G139</x:f>
        <x:v>0.06783333333333719</x:v>
      </x:c>
      <x:c r="AH139" s="11" t="n">
        <x:f>R139-S139-T139</x:f>
        <x:v>3.552713678800501e-15</x:v>
      </x:c>
      <x:c r="AI139" s="13" t="n">
        <x:f>SUM($AA$5:AA139)</x:f>
        <x:v>233.12400486375006</x:v>
      </x:c>
    </x:row>
    <x:row r="140" ht="21" customHeight="1">
      <x:c r="A140" s="10" t="n">
        <x:v>46283</x:v>
      </x:c>
      <x:c r="B140" s="1" t="n">
        <x:v>288</x:v>
      </x:c>
      <x:c r="C140" s="1" t="n">
        <x:v>24</x:v>
      </x:c>
      <x:c r="D140" s="11" t="n">
        <x:v>12.920666666666667</x:v>
      </x:c>
      <x:c r="E140" s="11" t="n">
        <x:v>11.215500000000002</x:v>
      </x:c>
      <x:c r="F140" s="11" t="n">
        <x:v>0</x:v>
      </x:c>
      <x:c r="G140" s="11" t="n">
        <x:v>1.661166666666667</x:v>
      </x:c>
      <x:c r="H140" s="11" t="n">
        <x:v>11.236000000000002</x:v>
      </x:c>
      <x:c r="I140" s="11" t="n">
        <x:v>11.215500000000002</x:v>
      </x:c>
      <x:c r="J140" s="11" t="n">
        <x:v>0</x:v>
      </x:c>
      <x:c r="K140" s="11" t="n">
        <x:v>11.189</x:v>
      </x:c>
      <x:c r="L140" s="11" t="n">
        <x:v>0</x:v>
      </x:c>
      <x:c r="M140" s="11" t="n">
        <x:v>11.189</x:v>
      </x:c>
      <x:c r="N140" s="11" t="n">
        <x:v>0</x:v>
      </x:c>
      <x:c r="O140" s="11" t="n">
        <x:v>0</x:v>
      </x:c>
      <x:c r="P140" s="11" t="n">
        <x:v>0</x:v>
      </x:c>
      <x:c r="Q140" s="11" t="n">
        <x:v>0</x:v>
      </x:c>
      <x:c r="R140" s="11" t="n">
        <x:v>12.852166666666665</x:v>
      </x:c>
      <x:c r="S140" s="11" t="n">
        <x:v>1.661166666666667</x:v>
      </x:c>
      <x:c r="T140" s="11" t="n">
        <x:v>11.189</x:v>
      </x:c>
      <x:c r="U140" s="11" t="n">
        <x:v>0</x:v>
      </x:c>
      <x:c r="V140" s="11" t="n">
        <x:v>0</x:v>
      </x:c>
      <x:c r="W140" s="11" t="n">
        <x:v>0</x:v>
      </x:c>
      <x:c r="X140" s="13" t="n">
        <x:f>(D140*'Tariff and method'!$B$4+'Tariff and method'!$B$5)*1.05</x:f>
        <x:v>3.48635742</x:v>
      </x:c>
      <x:c r="Y140" s="13" t="n">
        <x:f>SUMIF('Import by half hour'!$A$5:$A$7395,A140,'Import by half hour'!$J$5:$J$7395)</x:f>
        <x:v>-0.0155598975</x:v>
      </x:c>
      <x:c r="Z140" s="13" t="n">
        <x:f>Y140+'Tariff and method'!$B$6*1.05</x:f>
        <x:v>0.5423051025000001</x:v>
      </x:c>
      <x:c r="AA140" s="13" t="n">
        <x:f>X140-Z140</x:f>
        <x:v>2.9440523174999997</x:v>
      </x:c>
      <x:c r="AB140" s="13" t="n">
        <x:f>SUMIF('Import by half hour'!$A$5:$A$7395,A140,'Import by half hour'!$K$5:$K$7395)+'Tariff and method'!$B$6*1.05</x:f>
        <x:v>3.0271672549999997</x:v>
      </x:c>
      <x:c r="AC140" s="13" t="n">
        <x:f>AB140-Z140</x:f>
        <x:v>2.4848621525</x:v>
      </x:c>
      <x:c r="AD140" s="13" t="n">
        <x:f>X140-AB140</x:f>
        <x:v>0.4591901650000003</x:v>
      </x:c>
      <x:c r="AE140" s="11" t="n">
        <x:f>M140-H140</x:f>
        <x:v>-0.04700000000000237</x:v>
      </x:c>
      <x:c r="AF140" s="14" t="n">
        <x:f>IF(M140=0,"",H140/M140)</x:f>
        <x:v>1.0042005541156496</x:v>
      </x:c>
      <x:c r="AG140" s="11" t="n">
        <x:f>D140-E140-F140-G140</x:f>
        <x:v>0.04399999999999826</x:v>
      </x:c>
      <x:c r="AH140" s="11" t="n">
        <x:f>R140-S140-T140</x:f>
        <x:v>0.0019999999999988916</x:v>
      </x:c>
      <x:c r="AI140" s="13" t="n">
        <x:f>SUM($AA$5:AA140)</x:f>
        <x:v>236.06805718125005</x:v>
      </x:c>
    </x:row>
    <x:row r="141" ht="21" customHeight="1">
      <x:c r="A141" s="10" t="n">
        <x:v>46284</x:v>
      </x:c>
      <x:c r="B141" s="1" t="n">
        <x:v>288</x:v>
      </x:c>
      <x:c r="C141" s="1" t="n">
        <x:v>24</x:v>
      </x:c>
      <x:c r="D141" s="11" t="n">
        <x:v>13.084083333333327</x:v>
      </x:c>
      <x:c r="E141" s="11" t="n">
        <x:v>11.157583333333319</x:v>
      </x:c>
      <x:c r="F141" s="11" t="n">
        <x:v>0</x:v>
      </x:c>
      <x:c r="G141" s="11" t="n">
        <x:v>1.8779999999999997</x:v>
      </x:c>
      <x:c r="H141" s="11" t="n">
        <x:v>11.178999999999993</x:v>
      </x:c>
      <x:c r="I141" s="11" t="n">
        <x:v>11.157583333333319</x:v>
      </x:c>
      <x:c r="J141" s="11" t="n">
        <x:v>0</x:v>
      </x:c>
      <x:c r="K141" s="11" t="n">
        <x:v>11.799999999999997</x:v>
      </x:c>
      <x:c r="L141" s="11" t="n">
        <x:v>0</x:v>
      </x:c>
      <x:c r="M141" s="11" t="n">
        <x:v>11.799999999999997</x:v>
      </x:c>
      <x:c r="N141" s="11" t="n">
        <x:v>0</x:v>
      </x:c>
      <x:c r="O141" s="11" t="n">
        <x:v>0</x:v>
      </x:c>
      <x:c r="P141" s="11" t="n">
        <x:v>0</x:v>
      </x:c>
      <x:c r="Q141" s="11" t="n">
        <x:v>0</x:v>
      </x:c>
      <x:c r="R141" s="11" t="n">
        <x:v>13.680000000000001</x:v>
      </x:c>
      <x:c r="S141" s="11" t="n">
        <x:v>1.8779999999999997</x:v>
      </x:c>
      <x:c r="T141" s="11" t="n">
        <x:v>11.799999999999997</x:v>
      </x:c>
      <x:c r="U141" s="11" t="n">
        <x:v>0</x:v>
      </x:c>
      <x:c r="V141" s="11" t="n">
        <x:v>0</x:v>
      </x:c>
      <x:c r="W141" s="11" t="n">
        <x:v>0</x:v>
      </x:c>
      <x:c r="X141" s="13" t="n">
        <x:f>(D141*'Tariff and method'!$B$4+'Tariff and method'!$B$5)*1.05</x:f>
        <x:v>3.5245527974999984</x:v>
      </x:c>
      <x:c r="Y141" s="13" t="n">
        <x:f>SUMIF('Import by half hour'!$A$5:$A$7395,A141,'Import by half hour'!$J$5:$J$7395)</x:f>
        <x:v>-0.5616327675</x:v>
      </x:c>
      <x:c r="Z141" s="13" t="n">
        <x:f>Y141+'Tariff and method'!$B$6*1.05</x:f>
        <x:v>-0.0037677674999999633</x:v>
      </x:c>
      <x:c r="AA141" s="13" t="n">
        <x:f>X141-Z141</x:f>
        <x:v>3.5283205649999982</x:v>
      </x:c>
      <x:c r="AB141" s="13" t="n">
        <x:f>SUMIF('Import by half hour'!$A$5:$A$7395,A141,'Import by half hour'!$K$5:$K$7395)+'Tariff and method'!$B$6*1.05</x:f>
        <x:v>1.0987240162499998</x:v>
      </x:c>
      <x:c r="AC141" s="13" t="n">
        <x:f>AB141-Z141</x:f>
        <x:v>1.1024917837499997</x:v>
      </x:c>
      <x:c r="AD141" s="13" t="n">
        <x:f>X141-AB141</x:f>
        <x:v>2.4258287812499986</x:v>
      </x:c>
      <x:c r="AE141" s="11" t="n">
        <x:f>M141-H141</x:f>
        <x:v>0.621000000000004</x:v>
      </x:c>
      <x:c r="AF141" s="14" t="n">
        <x:f>IF(M141=0,"",H141/M141)</x:f>
        <x:v>0.9473728813559319</x:v>
      </x:c>
      <x:c r="AG141" s="11" t="n">
        <x:f>D141-E141-F141-G141</x:f>
        <x:v>0.0485000000000082</x:v>
      </x:c>
      <x:c r="AH141" s="11" t="n">
        <x:f>R141-S141-T141</x:f>
        <x:v>0.0020000000000042206</x:v>
      </x:c>
      <x:c r="AI141" s="13" t="n">
        <x:f>SUM($AA$5:AA141)</x:f>
        <x:v>239.59637774625006</x:v>
      </x:c>
    </x:row>
    <x:row r="142" ht="21" customHeight="1">
      <x:c r="A142" s="10" t="n">
        <x:v>46285</x:v>
      </x:c>
      <x:c r="B142" s="1" t="n">
        <x:v>288</x:v>
      </x:c>
      <x:c r="C142" s="1" t="n">
        <x:v>24</x:v>
      </x:c>
      <x:c r="D142" s="11" t="n">
        <x:v>12.863416666666662</x:v>
      </x:c>
      <x:c r="E142" s="11" t="n">
        <x:v>10.73766666666667</x:v>
      </x:c>
      <x:c r="F142" s="11" t="n">
        <x:v>0</x:v>
      </x:c>
      <x:c r="G142" s="11" t="n">
        <x:v>2.05225</x:v>
      </x:c>
      <x:c r="H142" s="11" t="n">
        <x:v>10.761000000000001</x:v>
      </x:c>
      <x:c r="I142" s="11" t="n">
        <x:v>10.73766666666667</x:v>
      </x:c>
      <x:c r="J142" s="11" t="n">
        <x:v>0</x:v>
      </x:c>
      <x:c r="K142" s="11" t="n">
        <x:v>11.954999999999998</x:v>
      </x:c>
      <x:c r="L142" s="11" t="n">
        <x:v>0</x:v>
      </x:c>
      <x:c r="M142" s="11" t="n">
        <x:v>11.954999999999998</x:v>
      </x:c>
      <x:c r="N142" s="11" t="n">
        <x:v>0</x:v>
      </x:c>
      <x:c r="O142" s="11" t="n">
        <x:v>0</x:v>
      </x:c>
      <x:c r="P142" s="11" t="n">
        <x:v>0</x:v>
      </x:c>
      <x:c r="Q142" s="11" t="n">
        <x:v>0</x:v>
      </x:c>
      <x:c r="R142" s="11" t="n">
        <x:v>14.012249999999998</x:v>
      </x:c>
      <x:c r="S142" s="11" t="n">
        <x:v>2.05225</x:v>
      </x:c>
      <x:c r="T142" s="11" t="n">
        <x:v>11.954999999999998</x:v>
      </x:c>
      <x:c r="U142" s="11" t="n">
        <x:v>0</x:v>
      </x:c>
      <x:c r="V142" s="11" t="n">
        <x:v>0</x:v>
      </x:c>
      <x:c r="W142" s="11" t="n">
        <x:v>0</x:v>
      </x:c>
      <x:c r="X142" s="13" t="n">
        <x:f>(D142*'Tariff and method'!$B$4+'Tariff and method'!$B$5)*1.05</x:f>
        <x:v>3.472976377499999</x:v>
      </x:c>
      <x:c r="Y142" s="13" t="n">
        <x:f>SUMIF('Import by half hour'!$A$5:$A$7395,A142,'Import by half hour'!$J$5:$J$7395)</x:f>
        <x:v>-0.45347725499999997</x:v>
      </x:c>
      <x:c r="Z142" s="13" t="n">
        <x:f>Y142+'Tariff and method'!$B$6*1.05</x:f>
        <x:v>0.10438774500000009</x:v>
      </x:c>
      <x:c r="AA142" s="13" t="n">
        <x:f>X142-Z142</x:f>
        <x:v>3.368588632499999</x:v>
      </x:c>
      <x:c r="AB142" s="13" t="n">
        <x:f>SUMIF('Import by half hour'!$A$5:$A$7395,A142,'Import by half hour'!$K$5:$K$7395)+'Tariff and method'!$B$6*1.05</x:f>
        <x:v>1.8526152050000002</x:v>
      </x:c>
      <x:c r="AC142" s="13" t="n">
        <x:f>AB142-Z142</x:f>
        <x:v>1.74822746</x:v>
      </x:c>
      <x:c r="AD142" s="13" t="n">
        <x:f>X142-AB142</x:f>
        <x:v>1.6203611724999987</x:v>
      </x:c>
      <x:c r="AE142" s="11" t="n">
        <x:f>M142-H142</x:f>
        <x:v>1.1939999999999973</x:v>
      </x:c>
      <x:c r="AF142" s="14" t="n">
        <x:f>IF(M142=0,"",H142/M142)</x:f>
        <x:v>0.9001254705144294</x:v>
      </x:c>
      <x:c r="AG142" s="11" t="n">
        <x:f>D142-E142-F142-G142</x:f>
        <x:v>0.07349999999999302</x:v>
      </x:c>
      <x:c r="AH142" s="11" t="n">
        <x:f>R142-S142-T142</x:f>
        <x:v>0.004999999999999005</x:v>
      </x:c>
      <x:c r="AI142" s="13" t="n">
        <x:f>SUM($AA$5:AA142)</x:f>
        <x:v>242.96496637875006</x:v>
      </x:c>
    </x:row>
    <x:row r="143" ht="21" customHeight="1">
      <x:c r="A143" s="10" t="n">
        <x:v>46286</x:v>
      </x:c>
      <x:c r="B143" s="1" t="n">
        <x:v>288</x:v>
      </x:c>
      <x:c r="C143" s="1" t="n">
        <x:v>24</x:v>
      </x:c>
      <x:c r="D143" s="11" t="n">
        <x:v>11.428833333333321</x:v>
      </x:c>
      <x:c r="E143" s="11" t="n">
        <x:v>5.612583333333332</x:v>
      </x:c>
      <x:c r="F143" s="11" t="n">
        <x:v>0</x:v>
      </x:c>
      <x:c r="G143" s="11" t="n">
        <x:v>5.530750000000001</x:v>
      </x:c>
      <x:c r="H143" s="11" t="n">
        <x:v>5.6229999999999976</x:v>
      </x:c>
      <x:c r="I143" s="11" t="n">
        <x:v>5.612583333333332</x:v>
      </x:c>
      <x:c r="J143" s="11" t="n">
        <x:v>0</x:v>
      </x:c>
      <x:c r="K143" s="11" t="n">
        <x:v>6.234999999999999</x:v>
      </x:c>
      <x:c r="L143" s="11" t="n">
        <x:v>0</x:v>
      </x:c>
      <x:c r="M143" s="11" t="n">
        <x:v>6.234999999999999</x:v>
      </x:c>
      <x:c r="N143" s="11" t="n">
        <x:v>0</x:v>
      </x:c>
      <x:c r="O143" s="11" t="n">
        <x:v>0</x:v>
      </x:c>
      <x:c r="P143" s="11" t="n">
        <x:v>0</x:v>
      </x:c>
      <x:c r="Q143" s="11" t="n">
        <x:v>0</x:v>
      </x:c>
      <x:c r="R143" s="11" t="n">
        <x:v>11.766749999999998</x:v>
      </x:c>
      <x:c r="S143" s="11" t="n">
        <x:v>5.530750000000001</x:v>
      </x:c>
      <x:c r="T143" s="11" t="n">
        <x:v>6.234999999999999</x:v>
      </x:c>
      <x:c r="U143" s="11" t="n">
        <x:v>0</x:v>
      </x:c>
      <x:c r="V143" s="11" t="n">
        <x:v>0</x:v>
      </x:c>
      <x:c r="W143" s="11" t="n">
        <x:v>0</x:v>
      </x:c>
      <x:c r="X143" s="13" t="n">
        <x:f>(D143*'Tariff and method'!$B$4+'Tariff and method'!$B$5)*1.05</x:f>
        <x:v>3.137671214999997</x:v>
      </x:c>
      <x:c r="Y143" s="13" t="n">
        <x:f>SUMIF('Import by half hour'!$A$5:$A$7395,A143,'Import by half hour'!$J$5:$J$7395)</x:f>
        <x:v>3.4934671012500003</x:v>
      </x:c>
      <x:c r="Z143" s="13" t="n">
        <x:f>Y143+'Tariff and method'!$B$6*1.05</x:f>
        <x:v>4.051332101250001</x:v>
      </x:c>
      <x:c r="AA143" s="13" t="n">
        <x:f>X143-Z143</x:f>
        <x:v>-0.9136608862500037</x:v>
      </x:c>
      <x:c r="AB143" s="13" t="n">
        <x:f>SUMIF('Import by half hour'!$A$5:$A$7395,A143,'Import by half hour'!$K$5:$K$7395)+'Tariff and method'!$B$6*1.05</x:f>
        <x:v>4.80261639375</x:v>
      </x:c>
      <x:c r="AC143" s="13" t="n">
        <x:f>AB143-Z143</x:f>
        <x:v>0.7512842924999994</x:v>
      </x:c>
      <x:c r="AD143" s="13" t="n">
        <x:f>X143-AB143</x:f>
        <x:v>-1.6649451787500031</x:v>
      </x:c>
      <x:c r="AE143" s="11" t="n">
        <x:f>M143-H143</x:f>
        <x:v>0.6120000000000019</x:v>
      </x:c>
      <x:c r="AF143" s="14" t="n">
        <x:f>IF(M143=0,"",H143/M143)</x:f>
        <x:v>0.9018444266238971</x:v>
      </x:c>
      <x:c r="AG143" s="11" t="n">
        <x:f>D143-E143-F143-G143</x:f>
        <x:v>0.28549999999998743</x:v>
      </x:c>
      <x:c r="AH143" s="11" t="n">
        <x:f>R143-S143-T143</x:f>
        <x:v>0.0009999999999976694</x:v>
      </x:c>
      <x:c r="AI143" s="13" t="n">
        <x:f>SUM($AA$5:AA143)</x:f>
        <x:v>242.05130549250006</x:v>
      </x:c>
    </x:row>
    <x:row r="144" ht="21" customHeight="1">
      <x:c r="A144" s="10" t="n">
        <x:v>46287</x:v>
      </x:c>
      <x:c r="B144" s="1" t="n">
        <x:v>288</x:v>
      </x:c>
      <x:c r="C144" s="1" t="n">
        <x:v>24</x:v>
      </x:c>
      <x:c r="D144" s="11" t="n">
        <x:v>11.477833333333322</x:v>
      </x:c>
      <x:c r="E144" s="11" t="n">
        <x:v>5.9265833333333315</x:v>
      </x:c>
      <x:c r="F144" s="11" t="n">
        <x:v>0</x:v>
      </x:c>
      <x:c r="G144" s="11" t="n">
        <x:v>5.278499999999998</x:v>
      </x:c>
      <x:c r="H144" s="11" t="n">
        <x:v>5.937999999999996</x:v>
      </x:c>
      <x:c r="I144" s="11" t="n">
        <x:v>5.9265833333333315</x:v>
      </x:c>
      <x:c r="J144" s="11" t="n">
        <x:v>0</x:v>
      </x:c>
      <x:c r="K144" s="11" t="n">
        <x:v>3.854</x:v>
      </x:c>
      <x:c r="L144" s="11" t="n">
        <x:v>0</x:v>
      </x:c>
      <x:c r="M144" s="11" t="n">
        <x:v>3.854</x:v>
      </x:c>
      <x:c r="N144" s="11" t="n">
        <x:v>0</x:v>
      </x:c>
      <x:c r="O144" s="11" t="n">
        <x:v>0</x:v>
      </x:c>
      <x:c r="P144" s="11" t="n">
        <x:v>0</x:v>
      </x:c>
      <x:c r="Q144" s="11" t="n">
        <x:v>0</x:v>
      </x:c>
      <x:c r="R144" s="11" t="n">
        <x:v>9.139499999999993</x:v>
      </x:c>
      <x:c r="S144" s="11" t="n">
        <x:v>5.278499999999998</x:v>
      </x:c>
      <x:c r="T144" s="11" t="n">
        <x:v>3.854</x:v>
      </x:c>
      <x:c r="U144" s="11" t="n">
        <x:v>0</x:v>
      </x:c>
      <x:c r="V144" s="11" t="n">
        <x:v>0</x:v>
      </x:c>
      <x:c r="W144" s="11" t="n">
        <x:v>0</x:v>
      </x:c>
      <x:c r="X144" s="13" t="n">
        <x:f>(D144*'Tariff and method'!$B$4+'Tariff and method'!$B$5)*1.05</x:f>
        <x:v>3.149123984999997</x:v>
      </x:c>
      <x:c r="Y144" s="13" t="n">
        <x:f>SUMIF('Import by half hour'!$A$5:$A$7395,A144,'Import by half hour'!$J$5:$J$7395)</x:f>
        <x:v>2.685530872500001</x:v>
      </x:c>
      <x:c r="Z144" s="13" t="n">
        <x:f>Y144+'Tariff and method'!$B$6*1.05</x:f>
        <x:v>3.243395872500001</x:v>
      </x:c>
      <x:c r="AA144" s="13" t="n">
        <x:f>X144-Z144</x:f>
        <x:v>-0.09427188750000415</x:v>
      </x:c>
      <x:c r="AB144" s="13" t="n">
        <x:f>SUMIF('Import by half hour'!$A$5:$A$7395,A144,'Import by half hour'!$K$5:$K$7395)+'Tariff and method'!$B$6*1.05</x:f>
        <x:v>5.3739647237499995</x:v>
      </x:c>
      <x:c r="AC144" s="13" t="n">
        <x:f>AB144-Z144</x:f>
        <x:v>2.1305688512499983</x:v>
      </x:c>
      <x:c r="AD144" s="13" t="n">
        <x:f>X144-AB144</x:f>
        <x:v>-2.2248407387500024</x:v>
      </x:c>
      <x:c r="AE144" s="11" t="n">
        <x:f>M144-H144</x:f>
        <x:v>-2.083999999999996</x:v>
      </x:c>
      <x:c r="AF144" s="14" t="n">
        <x:f>IF(M144=0,"",H144/M144)</x:f>
        <x:v>1.5407368967306685</x:v>
      </x:c>
      <x:c r="AG144" s="11" t="n">
        <x:f>D144-E144-F144-G144</x:f>
        <x:v>0.2727499999999923</x:v>
      </x:c>
      <x:c r="AH144" s="11" t="n">
        <x:f>R144-S144-T144</x:f>
        <x:v>0.006999999999994344</x:v>
      </x:c>
      <x:c r="AI144" s="13" t="n">
        <x:f>SUM($AA$5:AA144)</x:f>
        <x:v>241.95703360500005</x:v>
      </x:c>
    </x:row>
    <x:row r="145" ht="21" customHeight="1">
      <x:c r="A145" s="10" t="n">
        <x:v>46288</x:v>
      </x:c>
      <x:c r="B145" s="1" t="n">
        <x:v>288</x:v>
      </x:c>
      <x:c r="C145" s="1" t="n">
        <x:v>24</x:v>
      </x:c>
      <x:c r="D145" s="11" t="n">
        <x:v>11.832416666666676</x:v>
      </x:c>
      <x:c r="E145" s="11" t="n">
        <x:v>8.212833333333332</x:v>
      </x:c>
      <x:c r="F145" s="11" t="n">
        <x:v>0</x:v>
      </x:c>
      <x:c r="G145" s="11" t="n">
        <x:v>3.4435000000000002</x:v>
      </x:c>
      <x:c r="H145" s="11" t="n">
        <x:v>8.227999999999996</x:v>
      </x:c>
      <x:c r="I145" s="11" t="n">
        <x:v>8.212833333333332</x:v>
      </x:c>
      <x:c r="J145" s="11" t="n">
        <x:v>0</x:v>
      </x:c>
      <x:c r="K145" s="11" t="n">
        <x:v>8.627999999999998</x:v>
      </x:c>
      <x:c r="L145" s="11" t="n">
        <x:v>0</x:v>
      </x:c>
      <x:c r="M145" s="11" t="n">
        <x:v>8.627999999999998</x:v>
      </x:c>
      <x:c r="N145" s="11" t="n">
        <x:v>0</x:v>
      </x:c>
      <x:c r="O145" s="11" t="n">
        <x:v>0</x:v>
      </x:c>
      <x:c r="P145" s="11" t="n">
        <x:v>0</x:v>
      </x:c>
      <x:c r="Q145" s="11" t="n">
        <x:v>0</x:v>
      </x:c>
      <x:c r="R145" s="11" t="n">
        <x:v>12.076500000000001</x:v>
      </x:c>
      <x:c r="S145" s="11" t="n">
        <x:v>3.4435000000000002</x:v>
      </x:c>
      <x:c r="T145" s="11" t="n">
        <x:v>8.627999999999998</x:v>
      </x:c>
      <x:c r="U145" s="11" t="n">
        <x:v>0</x:v>
      </x:c>
      <x:c r="V145" s="11" t="n">
        <x:v>0</x:v>
      </x:c>
      <x:c r="W145" s="11" t="n">
        <x:v>0</x:v>
      </x:c>
      <x:c r="X145" s="13" t="n">
        <x:f>(D145*'Tariff and method'!$B$4+'Tariff and method'!$B$5)*1.05</x:f>
        <x:v>3.232000747500002</x:v>
      </x:c>
      <x:c r="Y145" s="13" t="n">
        <x:f>SUMIF('Import by half hour'!$A$5:$A$7395,A145,'Import by half hour'!$J$5:$J$7395)</x:f>
        <x:v>2.81657782875</x:v>
      </x:c>
      <x:c r="Z145" s="13" t="n">
        <x:f>Y145+'Tariff and method'!$B$6*1.05</x:f>
        <x:v>3.37444282875</x:v>
      </x:c>
      <x:c r="AA145" s="13" t="n">
        <x:f>X145-Z145</x:f>
        <x:v>-0.1424420812499978</x:v>
      </x:c>
      <x:c r="AB145" s="13" t="n">
        <x:f>SUMIF('Import by half hour'!$A$5:$A$7395,A145,'Import by half hour'!$K$5:$K$7395)+'Tariff and method'!$B$6*1.05</x:f>
        <x:v>4.32432072625</x:v>
      </x:c>
      <x:c r="AC145" s="13" t="n">
        <x:f>AB145-Z145</x:f>
        <x:v>0.9498778975</x:v>
      </x:c>
      <x:c r="AD145" s="13" t="n">
        <x:f>X145-AB145</x:f>
        <x:v>-1.0923199787499978</x:v>
      </x:c>
      <x:c r="AE145" s="11" t="n">
        <x:f>M145-H145</x:f>
        <x:v>0.40000000000000213</x:v>
      </x:c>
      <x:c r="AF145" s="14" t="n">
        <x:f>IF(M145=0,"",H145/M145)</x:f>
        <x:v>0.9536393138618449</x:v>
      </x:c>
      <x:c r="AG145" s="11" t="n">
        <x:f>D145-E145-F145-G145</x:f>
        <x:v>0.17608333333334336</x:v>
      </x:c>
      <x:c r="AH145" s="11" t="n">
        <x:f>R145-S145-T145</x:f>
        <x:v>0.005000000000002558</x:v>
      </x:c>
      <x:c r="AI145" s="13" t="n">
        <x:f>SUM($AA$5:AA145)</x:f>
        <x:v>241.81459152375004</x:v>
      </x:c>
    </x:row>
    <x:row r="146" ht="21" customHeight="1">
      <x:c r="A146" s="10" t="n">
        <x:v>46289</x:v>
      </x:c>
      <x:c r="B146" s="1" t="n">
        <x:v>288</x:v>
      </x:c>
      <x:c r="C146" s="1" t="n">
        <x:v>24</x:v>
      </x:c>
      <x:c r="D146" s="11" t="n">
        <x:v>12.40675</x:v>
      </x:c>
      <x:c r="E146" s="11" t="n">
        <x:v>9.447083333333335</x:v>
      </x:c>
      <x:c r="F146" s="11" t="n">
        <x:v>0</x:v>
      </x:c>
      <x:c r="G146" s="11" t="n">
        <x:v>2.8167499999999985</x:v>
      </x:c>
      <x:c r="H146" s="11" t="n">
        <x:v>9.466000000000001</x:v>
      </x:c>
      <x:c r="I146" s="11" t="n">
        <x:v>9.447083333333335</x:v>
      </x:c>
      <x:c r="J146" s="11" t="n">
        <x:v>0</x:v>
      </x:c>
      <x:c r="K146" s="11" t="n">
        <x:v>8.183</x:v>
      </x:c>
      <x:c r="L146" s="11" t="n">
        <x:v>0</x:v>
      </x:c>
      <x:c r="M146" s="11" t="n">
        <x:v>8.183</x:v>
      </x:c>
      <x:c r="N146" s="11" t="n">
        <x:v>0</x:v>
      </x:c>
      <x:c r="O146" s="11" t="n">
        <x:v>0</x:v>
      </x:c>
      <x:c r="P146" s="11" t="n">
        <x:v>0</x:v>
      </x:c>
      <x:c r="Q146" s="11" t="n">
        <x:v>0</x:v>
      </x:c>
      <x:c r="R146" s="11" t="n">
        <x:v>11.004750000000001</x:v>
      </x:c>
      <x:c r="S146" s="11" t="n">
        <x:v>2.8167499999999985</x:v>
      </x:c>
      <x:c r="T146" s="11" t="n">
        <x:v>8.183</x:v>
      </x:c>
      <x:c r="U146" s="11" t="n">
        <x:v>0</x:v>
      </x:c>
      <x:c r="V146" s="11" t="n">
        <x:v>0</x:v>
      </x:c>
      <x:c r="W146" s="11" t="n">
        <x:v>0</x:v>
      </x:c>
      <x:c r="X146" s="13" t="n">
        <x:f>(D146*'Tariff and method'!$B$4+'Tariff and method'!$B$5)*1.05</x:f>
        <x:v>3.3662396775000003</x:v>
      </x:c>
      <x:c r="Y146" s="13" t="n">
        <x:f>SUMIF('Import by half hour'!$A$5:$A$7395,A146,'Import by half hour'!$J$5:$J$7395)</x:f>
        <x:v>2.16599126625</x:v>
      </x:c>
      <x:c r="Z146" s="13" t="n">
        <x:f>Y146+'Tariff and method'!$B$6*1.05</x:f>
        <x:v>2.72385626625</x:v>
      </x:c>
      <x:c r="AA146" s="13" t="n">
        <x:f>X146-Z146</x:f>
        <x:v>0.6423834112500004</x:v>
      </x:c>
      <x:c r="AB146" s="13" t="n">
        <x:f>SUMIF('Import by half hour'!$A$5:$A$7395,A146,'Import by half hour'!$K$5:$K$7395)+'Tariff and method'!$B$6*1.05</x:f>
        <x:v>4.40783466375</x:v>
      </x:c>
      <x:c r="AC146" s="13" t="n">
        <x:f>AB146-Z146</x:f>
        <x:v>1.6839783975000002</x:v>
      </x:c>
      <x:c r="AD146" s="13" t="n">
        <x:f>X146-AB146</x:f>
        <x:v>-1.0415949862499998</x:v>
      </x:c>
      <x:c r="AE146" s="11" t="n">
        <x:f>M146-H146</x:f>
        <x:v>-1.2830000000000013</x:v>
      </x:c>
      <x:c r="AF146" s="14" t="n">
        <x:f>IF(M146=0,"",H146/M146)</x:f>
        <x:v>1.1567884638885495</x:v>
      </x:c>
      <x:c r="AG146" s="11" t="n">
        <x:f>D146-E146-F146-G146</x:f>
        <x:v>0.1429166666666668</x:v>
      </x:c>
      <x:c r="AH146" s="11" t="n">
        <x:f>R146-S146-T146</x:f>
        <x:v>0.005000000000002558</x:v>
      </x:c>
      <x:c r="AI146" s="13" t="n">
        <x:f>SUM($AA$5:AA146)</x:f>
        <x:v>242.45697493500003</x:v>
      </x:c>
    </x:row>
    <x:row r="147" ht="21" customHeight="1">
      <x:c r="A147" s="10" t="n">
        <x:v>46290</x:v>
      </x:c>
      <x:c r="B147" s="1" t="n">
        <x:v>288</x:v>
      </x:c>
      <x:c r="C147" s="1" t="n">
        <x:v>24</x:v>
      </x:c>
      <x:c r="D147" s="11" t="n">
        <x:v>11.425666666666672</x:v>
      </x:c>
      <x:c r="E147" s="11" t="n">
        <x:v>6.127000000000002</x:v>
      </x:c>
      <x:c r="F147" s="11" t="n">
        <x:v>0</x:v>
      </x:c>
      <x:c r="G147" s="11" t="n">
        <x:v>5.033249999999997</x:v>
      </x:c>
      <x:c r="H147" s="11" t="n">
        <x:v>6.138</x:v>
      </x:c>
      <x:c r="I147" s="11" t="n">
        <x:v>6.127000000000002</x:v>
      </x:c>
      <x:c r="J147" s="11" t="n">
        <x:v>0</x:v>
      </x:c>
      <x:c r="K147" s="11" t="n">
        <x:v>3.608</x:v>
      </x:c>
      <x:c r="L147" s="11" t="n">
        <x:v>0</x:v>
      </x:c>
      <x:c r="M147" s="11" t="n">
        <x:v>3.608</x:v>
      </x:c>
      <x:c r="N147" s="11" t="n">
        <x:v>0</x:v>
      </x:c>
      <x:c r="O147" s="11" t="n">
        <x:v>0</x:v>
      </x:c>
      <x:c r="P147" s="11" t="n">
        <x:v>0</x:v>
      </x:c>
      <x:c r="Q147" s="11" t="n">
        <x:v>0</x:v>
      </x:c>
      <x:c r="R147" s="11" t="n">
        <x:v>8.641249999999998</x:v>
      </x:c>
      <x:c r="S147" s="11" t="n">
        <x:v>5.033249999999997</x:v>
      </x:c>
      <x:c r="T147" s="11" t="n">
        <x:v>3.608</x:v>
      </x:c>
      <x:c r="U147" s="11" t="n">
        <x:v>0</x:v>
      </x:c>
      <x:c r="V147" s="11" t="n">
        <x:v>0</x:v>
      </x:c>
      <x:c r="W147" s="11" t="n">
        <x:v>0</x:v>
      </x:c>
      <x:c r="X147" s="13" t="n">
        <x:f>(D147*'Tariff and method'!$B$4+'Tariff and method'!$B$5)*1.05</x:f>
        <x:v>3.136931070000001</x:v>
      </x:c>
      <x:c r="Y147" s="13" t="n">
        <x:f>SUMIF('Import by half hour'!$A$5:$A$7395,A147,'Import by half hour'!$J$5:$J$7395)</x:f>
        <x:v>2.4331087725000002</x:v>
      </x:c>
      <x:c r="Z147" s="13" t="n">
        <x:f>Y147+'Tariff and method'!$B$6*1.05</x:f>
        <x:v>2.9909737725000003</x:v>
      </x:c>
      <x:c r="AA147" s="13" t="n">
        <x:f>X147-Z147</x:f>
        <x:v>0.14595729750000075</x:v>
      </x:c>
      <x:c r="AB147" s="13" t="n">
        <x:f>SUMIF('Import by half hour'!$A$5:$A$7395,A147,'Import by half hour'!$K$5:$K$7395)+'Tariff and method'!$B$6*1.05</x:f>
        <x:v>4.516493555</x:v>
      </x:c>
      <x:c r="AC147" s="13" t="n">
        <x:f>AB147-Z147</x:f>
        <x:v>1.5255197825</x:v>
      </x:c>
      <x:c r="AD147" s="13" t="n">
        <x:f>X147-AB147</x:f>
        <x:v>-1.3795624849999992</x:v>
      </x:c>
      <x:c r="AE147" s="11" t="n">
        <x:f>M147-H147</x:f>
        <x:v>-2.53</x:v>
      </x:c>
      <x:c r="AF147" s="14" t="n">
        <x:f>IF(M147=0,"",H147/M147)</x:f>
        <x:v>1.701219512195122</x:v>
      </x:c>
      <x:c r="AG147" s="11" t="n">
        <x:f>D147-E147-F147-G147</x:f>
        <x:v>0.2654166666666731</x:v>
      </x:c>
      <x:c r="AH147" s="11" t="n">
        <x:f>R147-S147-T147</x:f>
        <x:v>4.440892098500626e-16</x:v>
      </x:c>
      <x:c r="AI147" s="13" t="n">
        <x:f>SUM($AA$5:AA147)</x:f>
        <x:v>242.60293223250002</x:v>
      </x:c>
    </x:row>
    <x:row r="148" ht="21" customHeight="1">
      <x:c r="A148" s="10" t="n">
        <x:v>46291</x:v>
      </x:c>
      <x:c r="B148" s="1" t="n">
        <x:v>288</x:v>
      </x:c>
      <x:c r="C148" s="1" t="n">
        <x:v>24</x:v>
      </x:c>
      <x:c r="D148" s="11" t="n">
        <x:v>12.861583333333337</x:v>
      </x:c>
      <x:c r="E148" s="11" t="n">
        <x:v>11.794999999999993</x:v>
      </x:c>
      <x:c r="F148" s="11" t="n">
        <x:v>0</x:v>
      </x:c>
      <x:c r="G148" s="11" t="n">
        <x:v>0.99425</x:v>
      </x:c>
      <x:c r="H148" s="11" t="n">
        <x:v>11.81799999999999</x:v>
      </x:c>
      <x:c r="I148" s="11" t="n">
        <x:v>11.794999999999993</x:v>
      </x:c>
      <x:c r="J148" s="11" t="n">
        <x:v>0</x:v>
      </x:c>
      <x:c r="K148" s="11" t="n">
        <x:v>4</x:v>
      </x:c>
      <x:c r="L148" s="11" t="n">
        <x:v>0</x:v>
      </x:c>
      <x:c r="M148" s="11" t="n">
        <x:v>4</x:v>
      </x:c>
      <x:c r="N148" s="11" t="n">
        <x:v>0</x:v>
      </x:c>
      <x:c r="O148" s="11" t="n">
        <x:v>0</x:v>
      </x:c>
      <x:c r="P148" s="11" t="n">
        <x:v>0</x:v>
      </x:c>
      <x:c r="Q148" s="11" t="n">
        <x:v>0</x:v>
      </x:c>
      <x:c r="R148" s="11" t="n">
        <x:v>4.99425</x:v>
      </x:c>
      <x:c r="S148" s="11" t="n">
        <x:v>0.99425</x:v>
      </x:c>
      <x:c r="T148" s="11" t="n">
        <x:v>4</x:v>
      </x:c>
      <x:c r="U148" s="11" t="n">
        <x:v>0</x:v>
      </x:c>
      <x:c r="V148" s="11" t="n">
        <x:v>0</x:v>
      </x:c>
      <x:c r="W148" s="11" t="n">
        <x:v>0</x:v>
      </x:c>
      <x:c r="X148" s="13" t="n">
        <x:f>(D148*'Tariff and method'!$B$4+'Tariff and method'!$B$5)*1.05</x:f>
        <x:v>3.472547872500001</x:v>
      </x:c>
      <x:c r="Y148" s="13" t="n">
        <x:f>SUMIF('Import by half hour'!$A$5:$A$7395,A148,'Import by half hour'!$J$5:$J$7395)</x:f>
        <x:v>0.10804917375</x:v>
      </x:c>
      <x:c r="Z148" s="13" t="n">
        <x:f>Y148+'Tariff and method'!$B$6*1.05</x:f>
        <x:v>0.6659141737500001</x:v>
      </x:c>
      <x:c r="AA148" s="13" t="n">
        <x:f>X148-Z148</x:f>
        <x:v>2.806633698750001</x:v>
      </x:c>
      <x:c r="AB148" s="13" t="n">
        <x:f>SUMIF('Import by half hour'!$A$5:$A$7395,A148,'Import by half hour'!$K$5:$K$7395)+'Tariff and method'!$B$6*1.05</x:f>
        <x:v>3.9530159549999997</x:v>
      </x:c>
      <x:c r="AC148" s="13" t="n">
        <x:f>AB148-Z148</x:f>
        <x:v>3.2871017812499996</x:v>
      </x:c>
      <x:c r="AD148" s="13" t="n">
        <x:f>X148-AB148</x:f>
        <x:v>-0.4804680824999985</x:v>
      </x:c>
      <x:c r="AE148" s="11" t="n">
        <x:f>M148-H148</x:f>
        <x:v>-7.817999999999991</x:v>
      </x:c>
      <x:c r="AF148" s="14" t="n">
        <x:f>IF(M148=0,"",H148/M148)</x:f>
        <x:v>2.9544999999999977</x:v>
      </x:c>
      <x:c r="AG148" s="11" t="n">
        <x:f>D148-E148-F148-G148</x:f>
        <x:v>0.07233333333334457</x:v>
      </x:c>
      <x:c r="AH148" s="11" t="n">
        <x:f>R148-S148-T148</x:f>
        <x:v>0</x:v>
      </x:c>
      <x:c r="AI148" s="13" t="n">
        <x:f>SUM($AA$5:AA148)</x:f>
        <x:v>245.40956593125003</x:v>
      </x:c>
    </x:row>
    <x:row r="149" ht="21" customHeight="1">
      <x:c r="A149" s="10" t="n">
        <x:v>46292</x:v>
      </x:c>
      <x:c r="B149" s="1" t="n">
        <x:v>288</x:v>
      </x:c>
      <x:c r="C149" s="1" t="n">
        <x:v>24</x:v>
      </x:c>
      <x:c r="D149" s="11" t="n">
        <x:v>23.308250000000008</x:v>
      </x:c>
      <x:c r="E149" s="11" t="n">
        <x:v>16.262999999999998</x:v>
      </x:c>
      <x:c r="F149" s="11" t="n">
        <x:v>0</x:v>
      </x:c>
      <x:c r="G149" s="11" t="n">
        <x:v>6.9265833333333315</x:v>
      </x:c>
      <x:c r="H149" s="11" t="n">
        <x:v>16.27699999999999</x:v>
      </x:c>
      <x:c r="I149" s="11" t="n">
        <x:v>16.262999999999998</x:v>
      </x:c>
      <x:c r="J149" s="11" t="n">
        <x:v>0</x:v>
      </x:c>
      <x:c r="K149" s="11" t="n">
        <x:v>29.127999999999993</x:v>
      </x:c>
      <x:c r="L149" s="11" t="n">
        <x:v>0</x:v>
      </x:c>
      <x:c r="M149" s="11" t="n">
        <x:v>29.127999999999993</x:v>
      </x:c>
      <x:c r="N149" s="11" t="n">
        <x:v>0</x:v>
      </x:c>
      <x:c r="O149" s="11" t="n">
        <x:v>0</x:v>
      </x:c>
      <x:c r="P149" s="11" t="n">
        <x:v>0</x:v>
      </x:c>
      <x:c r="Q149" s="11" t="n">
        <x:v>0</x:v>
      </x:c>
      <x:c r="R149" s="11" t="n">
        <x:v>36.05558333333333</x:v>
      </x:c>
      <x:c r="S149" s="11" t="n">
        <x:v>6.9265833333333315</x:v>
      </x:c>
      <x:c r="T149" s="11" t="n">
        <x:v>29.127999999999993</x:v>
      </x:c>
      <x:c r="U149" s="11" t="n">
        <x:v>0</x:v>
      </x:c>
      <x:c r="V149" s="11" t="n">
        <x:v>0</x:v>
      </x:c>
      <x:c r="W149" s="11" t="n">
        <x:v>0</x:v>
      </x:c>
      <x:c r="X149" s="13" t="n">
        <x:f>(D149*'Tariff and method'!$B$4+'Tariff and method'!$B$5)*1.05</x:f>
        <x:v>5.914247272500003</x:v>
      </x:c>
      <x:c r="Y149" s="13" t="n">
        <x:f>SUMIF('Import by half hour'!$A$5:$A$7395,A149,'Import by half hour'!$J$5:$J$7395)</x:f>
        <x:v>1.02204781875</x:v>
      </x:c>
      <x:c r="Z149" s="13" t="n">
        <x:f>Y149+'Tariff and method'!$B$6*1.05</x:f>
        <x:v>1.57991281875</x:v>
      </x:c>
      <x:c r="AA149" s="13" t="n">
        <x:f>X149-Z149</x:f>
        <x:v>4.334334453750003</x:v>
      </x:c>
      <x:c r="AB149" s="13" t="n">
        <x:f>SUMIF('Import by half hour'!$A$5:$A$7395,A149,'Import by half hour'!$K$5:$K$7395)+'Tariff and method'!$B$6*1.05</x:f>
        <x:v>5.981321508750002</x:v>
      </x:c>
      <x:c r="AC149" s="13" t="n">
        <x:f>AB149-Z149</x:f>
        <x:v>4.401408690000002</x:v>
      </x:c>
      <x:c r="AD149" s="13" t="n">
        <x:f>X149-AB149</x:f>
        <x:v>-0.06707423624999898</x:v>
      </x:c>
      <x:c r="AE149" s="11" t="n">
        <x:f>M149-H149</x:f>
        <x:v>12.851000000000003</x:v>
      </x:c>
      <x:c r="AF149" s="14" t="n">
        <x:f>IF(M149=0,"",H149/M149)</x:f>
        <x:v>0.5588093930238943</x:v>
      </x:c>
      <x:c r="AG149" s="11" t="n">
        <x:f>D149-E149-F149-G149</x:f>
        <x:v>0.11866666666667847</x:v>
      </x:c>
      <x:c r="AH149" s="11" t="n">
        <x:f>R149-S149-T149</x:f>
        <x:v>0.0010000000000047748</x:v>
      </x:c>
      <x:c r="AI149" s="13" t="n">
        <x:f>SUM($AA$5:AA149)</x:f>
        <x:v>249.74390038500002</x:v>
      </x:c>
    </x:row>
    <x:row r="150" ht="21" customHeight="1">
      <x:c r="A150" s="10" t="n">
        <x:v>46293</x:v>
      </x:c>
      <x:c r="B150" s="1" t="n">
        <x:v>288</x:v>
      </x:c>
      <x:c r="C150" s="1" t="n">
        <x:v>24</x:v>
      </x:c>
      <x:c r="D150" s="11" t="n">
        <x:v>30.07233333333335</x:v>
      </x:c>
      <x:c r="E150" s="11" t="n">
        <x:v>16.38716666666667</x:v>
      </x:c>
      <x:c r="F150" s="11" t="n">
        <x:v>0</x:v>
      </x:c>
      <x:c r="G150" s="11" t="n">
        <x:v>13.470499999999996</x:v>
      </x:c>
      <x:c r="H150" s="11" t="n">
        <x:v>16.399</x:v>
      </x:c>
      <x:c r="I150" s="11" t="n">
        <x:v>16.38716666666667</x:v>
      </x:c>
      <x:c r="J150" s="11" t="n">
        <x:v>0</x:v>
      </x:c>
      <x:c r="K150" s="11" t="n">
        <x:v>13.045000000000002</x:v>
      </x:c>
      <x:c r="L150" s="11" t="n">
        <x:v>0</x:v>
      </x:c>
      <x:c r="M150" s="11" t="n">
        <x:v>13.045000000000002</x:v>
      </x:c>
      <x:c r="N150" s="11" t="n">
        <x:v>0</x:v>
      </x:c>
      <x:c r="O150" s="11" t="n">
        <x:v>0</x:v>
      </x:c>
      <x:c r="P150" s="11" t="n">
        <x:v>0</x:v>
      </x:c>
      <x:c r="Q150" s="11" t="n">
        <x:v>0</x:v>
      </x:c>
      <x:c r="R150" s="11" t="n">
        <x:v>26.522499999999997</x:v>
      </x:c>
      <x:c r="S150" s="11" t="n">
        <x:v>13.470499999999996</x:v>
      </x:c>
      <x:c r="T150" s="11" t="n">
        <x:v>13.045000000000002</x:v>
      </x:c>
      <x:c r="U150" s="11" t="n">
        <x:v>0</x:v>
      </x:c>
      <x:c r="V150" s="11" t="n">
        <x:v>0</x:v>
      </x:c>
      <x:c r="W150" s="11" t="n">
        <x:v>0</x:v>
      </x:c>
      <x:c r="X150" s="13" t="n">
        <x:f>(D150*'Tariff and method'!$B$4+'Tariff and method'!$B$5)*1.05</x:f>
        <x:v>7.495216470000004</x:v>
      </x:c>
      <x:c r="Y150" s="13" t="n">
        <x:f>SUMIF('Import by half hour'!$A$5:$A$7395,A150,'Import by half hour'!$J$5:$J$7395)</x:f>
        <x:v>9.183093018750002</x:v>
      </x:c>
      <x:c r="Z150" s="13" t="n">
        <x:f>Y150+'Tariff and method'!$B$6*1.05</x:f>
        <x:v>9.740958018750002</x:v>
      </x:c>
      <x:c r="AA150" s="13" t="n">
        <x:f>X150-Z150</x:f>
        <x:v>-2.245741548749997</x:v>
      </x:c>
      <x:c r="AB150" s="13" t="n">
        <x:f>SUMIF('Import by half hour'!$A$5:$A$7395,A150,'Import by half hour'!$K$5:$K$7395)+'Tariff and method'!$B$6*1.05</x:f>
        <x:v>12.04632338</x:v>
      </x:c>
      <x:c r="AC150" s="13" t="n">
        <x:f>AB150-Z150</x:f>
        <x:v>2.305365361249999</x:v>
      </x:c>
      <x:c r="AD150" s="13" t="n">
        <x:f>X150-AB150</x:f>
        <x:v>-4.551106909999996</x:v>
      </x:c>
      <x:c r="AE150" s="11" t="n">
        <x:f>M150-H150</x:f>
        <x:v>-3.353999999999999</x:v>
      </x:c>
      <x:c r="AF150" s="14" t="n">
        <x:f>IF(M150=0,"",H150/M150)</x:f>
        <x:v>1.257110003832886</x:v>
      </x:c>
      <x:c r="AG150" s="11" t="n">
        <x:f>D150-E150-F150-G150</x:f>
        <x:v>0.21466666666668566</x:v>
      </x:c>
      <x:c r="AH150" s="11" t="n">
        <x:f>R150-S150-T150</x:f>
        <x:v>0.006999999999999673</x:v>
      </x:c>
      <x:c r="AI150" s="13" t="n">
        <x:f>SUM($AA$5:AA150)</x:f>
        <x:v>247.49815883625</x:v>
      </x:c>
    </x:row>
    <x:row r="151" ht="21" customHeight="1">
      <x:c r="A151" s="10" t="n">
        <x:v>46294</x:v>
      </x:c>
      <x:c r="B151" s="1" t="n">
        <x:v>288</x:v>
      </x:c>
      <x:c r="C151" s="1" t="n">
        <x:v>24</x:v>
      </x:c>
      <x:c r="D151" s="11" t="n">
        <x:v>23.740083333333352</x:v>
      </x:c>
      <x:c r="E151" s="11" t="n">
        <x:v>19.695583333333357</x:v>
      </x:c>
      <x:c r="F151" s="11" t="n">
        <x:v>0</x:v>
      </x:c>
      <x:c r="G151" s="11" t="n">
        <x:v>3.966416666666666</x:v>
      </x:c>
      <x:c r="H151" s="11" t="n">
        <x:v>19.716000000000008</x:v>
      </x:c>
      <x:c r="I151" s="11" t="n">
        <x:v>19.695583333333357</x:v>
      </x:c>
      <x:c r="J151" s="11" t="n">
        <x:v>0</x:v>
      </x:c>
      <x:c r="K151" s="11" t="n">
        <x:v>13.115999999999998</x:v>
      </x:c>
      <x:c r="L151" s="11" t="n">
        <x:v>0</x:v>
      </x:c>
      <x:c r="M151" s="11" t="n">
        <x:v>13.115999999999998</x:v>
      </x:c>
      <x:c r="N151" s="11" t="n">
        <x:v>0</x:v>
      </x:c>
      <x:c r="O151" s="11" t="n">
        <x:v>0</x:v>
      </x:c>
      <x:c r="P151" s="11" t="n">
        <x:v>0</x:v>
      </x:c>
      <x:c r="Q151" s="11" t="n">
        <x:v>0</x:v>
      </x:c>
      <x:c r="R151" s="11" t="n">
        <x:v>17.087416666666662</x:v>
      </x:c>
      <x:c r="S151" s="11" t="n">
        <x:v>3.966416666666666</x:v>
      </x:c>
      <x:c r="T151" s="11" t="n">
        <x:v>13.115999999999998</x:v>
      </x:c>
      <x:c r="U151" s="11" t="n">
        <x:v>0</x:v>
      </x:c>
      <x:c r="V151" s="11" t="n">
        <x:v>0</x:v>
      </x:c>
      <x:c r="W151" s="11" t="n">
        <x:v>0</x:v>
      </x:c>
      <x:c r="X151" s="13" t="n">
        <x:f>(D151*'Tariff and method'!$B$4+'Tariff and method'!$B$5)*1.05</x:f>
        <x:v>6.015179677500004</x:v>
      </x:c>
      <x:c r="Y151" s="13" t="n">
        <x:f>SUMIF('Import by half hour'!$A$5:$A$7395,A151,'Import by half hour'!$J$5:$J$7395)</x:f>
        <x:v>2.4187712500000003</x:v>
      </x:c>
      <x:c r="Z151" s="13" t="n">
        <x:f>Y151+'Tariff and method'!$B$6*1.05</x:f>
        <x:v>2.9766362500000003</x:v>
      </x:c>
      <x:c r="AA151" s="13" t="n">
        <x:f>X151-Z151</x:f>
        <x:v>3.038543427500004</x:v>
      </x:c>
      <x:c r="AB151" s="13" t="n">
        <x:f>SUMIF('Import by half hour'!$A$5:$A$7395,A151,'Import by half hour'!$K$5:$K$7395)+'Tariff and method'!$B$6*1.05</x:f>
        <x:v>7.7596221675</x:v>
      </x:c>
      <x:c r="AC151" s="13" t="n">
        <x:f>AB151-Z151</x:f>
        <x:v>4.7829859175</x:v>
      </x:c>
      <x:c r="AD151" s="13" t="n">
        <x:f>X151-AB151</x:f>
        <x:v>-1.7444424899999955</x:v>
      </x:c>
      <x:c r="AE151" s="11" t="n">
        <x:f>M151-H151</x:f>
        <x:v>-6.60000000000001</x:v>
      </x:c>
      <x:c r="AF151" s="14" t="n">
        <x:f>IF(M151=0,"",H151/M151)</x:f>
        <x:v>1.5032021957914006</x:v>
      </x:c>
      <x:c r="AG151" s="11" t="n">
        <x:f>D151-E151-F151-G151</x:f>
        <x:v>0.07808333333332973</x:v>
      </x:c>
      <x:c r="AH151" s="11" t="n">
        <x:f>R151-S151-T151</x:f>
        <x:v>0.004999999999999005</x:v>
      </x:c>
      <x:c r="AI151" s="13" t="n">
        <x:f>SUM($AA$5:AA151)</x:f>
        <x:v>250.53670226375002</x:v>
      </x:c>
    </x:row>
    <x:row r="152" ht="21" customHeight="1">
      <x:c r="A152" s="10" t="n">
        <x:v>46295</x:v>
      </x:c>
      <x:c r="B152" s="1" t="n">
        <x:v>288</x:v>
      </x:c>
      <x:c r="C152" s="1" t="n">
        <x:v>24</x:v>
      </x:c>
      <x:c r="D152" s="11" t="n">
        <x:v>23.278333333333325</x:v>
      </x:c>
      <x:c r="E152" s="11" t="n">
        <x:v>18.626583333333336</x:v>
      </x:c>
      <x:c r="F152" s="11" t="n">
        <x:v>0</x:v>
      </x:c>
      <x:c r="G152" s="11" t="n">
        <x:v>4.542833333333336</x:v>
      </x:c>
      <x:c r="H152" s="11" t="n">
        <x:v>18.644000000000002</x:v>
      </x:c>
      <x:c r="I152" s="11" t="n">
        <x:v>18.626583333333336</x:v>
      </x:c>
      <x:c r="J152" s="11" t="n">
        <x:v>0</x:v>
      </x:c>
      <x:c r="K152" s="11" t="n">
        <x:v>9.999999999999996</x:v>
      </x:c>
      <x:c r="L152" s="11" t="n">
        <x:v>0</x:v>
      </x:c>
      <x:c r="M152" s="11" t="n">
        <x:v>9.999999999999996</x:v>
      </x:c>
      <x:c r="N152" s="11" t="n">
        <x:v>0</x:v>
      </x:c>
      <x:c r="O152" s="11" t="n">
        <x:v>0</x:v>
      </x:c>
      <x:c r="P152" s="11" t="n">
        <x:v>0</x:v>
      </x:c>
      <x:c r="Q152" s="11" t="n">
        <x:v>0</x:v>
      </x:c>
      <x:c r="R152" s="11" t="n">
        <x:v>14.547833333333335</x:v>
      </x:c>
      <x:c r="S152" s="11" t="n">
        <x:v>4.542833333333336</x:v>
      </x:c>
      <x:c r="T152" s="11" t="n">
        <x:v>9.999999999999996</x:v>
      </x:c>
      <x:c r="U152" s="11" t="n">
        <x:v>0</x:v>
      </x:c>
      <x:c r="V152" s="11" t="n">
        <x:v>0</x:v>
      </x:c>
      <x:c r="W152" s="11" t="n">
        <x:v>0</x:v>
      </x:c>
      <x:c r="X152" s="13" t="n">
        <x:f>(D152*'Tariff and method'!$B$4+'Tariff and method'!$B$5)*1.05</x:f>
        <x:v>5.907254849999999</x:v>
      </x:c>
      <x:c r="Y152" s="13" t="n">
        <x:f>SUMIF('Import by half hour'!$A$5:$A$7395,A152,'Import by half hour'!$J$5:$J$7395)</x:f>
        <x:v>2.18792924875</x:v>
      </x:c>
      <x:c r="Z152" s="13" t="n">
        <x:f>Y152+'Tariff and method'!$B$6*1.05</x:f>
        <x:v>2.74579424875</x:v>
      </x:c>
      <x:c r="AA152" s="13" t="n">
        <x:f>X152-Z152</x:f>
        <x:v>3.161460601249999</x:v>
      </x:c>
      <x:c r="AB152" s="13" t="n">
        <x:f>SUMIF('Import by half hour'!$A$5:$A$7395,A152,'Import by half hour'!$K$5:$K$7395)+'Tariff and method'!$B$6*1.05</x:f>
        <x:v>6.6844452325</x:v>
      </x:c>
      <x:c r="AC152" s="13" t="n">
        <x:f>AB152-Z152</x:f>
        <x:v>3.9386509837499997</x:v>
      </x:c>
      <x:c r="AD152" s="13" t="n">
        <x:f>X152-AB152</x:f>
        <x:v>-0.7771903825000006</x:v>
      </x:c>
      <x:c r="AE152" s="11" t="n">
        <x:f>M152-H152</x:f>
        <x:v>-8.644000000000005</x:v>
      </x:c>
      <x:c r="AF152" s="14" t="n">
        <x:f>IF(M152=0,"",H152/M152)</x:f>
        <x:v>1.864400000000001</x:v>
      </x:c>
      <x:c r="AG152" s="11" t="n">
        <x:f>D152-E152-F152-G152</x:f>
        <x:v>0.10891666666665323</x:v>
      </x:c>
      <x:c r="AH152" s="11" t="n">
        <x:f>R152-S152-T152</x:f>
        <x:v>0.005000000000002558</x:v>
      </x:c>
      <x:c r="AI152" s="13" t="n">
        <x:f>SUM($AA$5:AA152)</x:f>
        <x:v>253.69816286500003</x:v>
      </x:c>
    </x:row>
    <x:row r="153" ht="21" customHeight="1">
      <x:c r="A153" s="10" t="n">
        <x:v>46296</x:v>
      </x:c>
      <x:c r="B153" s="1" t="n">
        <x:v>288</x:v>
      </x:c>
      <x:c r="C153" s="1" t="n">
        <x:v>24</x:v>
      </x:c>
      <x:c r="D153" s="11" t="n">
        <x:v>23.12916666666667</x:v>
      </x:c>
      <x:c r="E153" s="11" t="n">
        <x:v>10.497166666666663</x:v>
      </x:c>
      <x:c r="F153" s="11" t="n">
        <x:v>0</x:v>
      </x:c>
      <x:c r="G153" s="11" t="n">
        <x:v>12.432416666666667</x:v>
      </x:c>
      <x:c r="H153" s="11" t="n">
        <x:v>10.504999999999999</x:v>
      </x:c>
      <x:c r="I153" s="11" t="n">
        <x:v>10.497166666666663</x:v>
      </x:c>
      <x:c r="J153" s="11" t="n">
        <x:v>0</x:v>
      </x:c>
      <x:c r="K153" s="11" t="n">
        <x:v>12.839999999999998</x:v>
      </x:c>
      <x:c r="L153" s="11" t="n">
        <x:v>0</x:v>
      </x:c>
      <x:c r="M153" s="11" t="n">
        <x:v>12.839999999999998</x:v>
      </x:c>
      <x:c r="N153" s="11" t="n">
        <x:v>0</x:v>
      </x:c>
      <x:c r="O153" s="11" t="n">
        <x:v>0</x:v>
      </x:c>
      <x:c r="P153" s="11" t="n">
        <x:v>0</x:v>
      </x:c>
      <x:c r="Q153" s="11" t="n">
        <x:v>0</x:v>
      </x:c>
      <x:c r="R153" s="11" t="n">
        <x:v>25.278416666666676</x:v>
      </x:c>
      <x:c r="S153" s="11" t="n">
        <x:v>12.432416666666667</x:v>
      </x:c>
      <x:c r="T153" s="11" t="n">
        <x:v>12.839999999999998</x:v>
      </x:c>
      <x:c r="U153" s="11" t="n">
        <x:v>0</x:v>
      </x:c>
      <x:c r="V153" s="11" t="n">
        <x:v>0</x:v>
      </x:c>
      <x:c r="W153" s="11" t="n">
        <x:v>0</x:v>
      </x:c>
      <x:c r="X153" s="13" t="n">
        <x:f>(D153*'Tariff and method'!$B$4+'Tariff and method'!$B$5)*1</x:f>
        <x:v>5.592752500000001</x:v>
      </x:c>
      <x:c r="Y153" s="13" t="n">
        <x:f>SUMIF('Import by half hour'!$A$5:$A$7395,A153,'Import by half hour'!$J$5:$J$7395)</x:f>
        <x:v>6.700687358333335</x:v>
      </x:c>
      <x:c r="Z153" s="13" t="n">
        <x:f>Y153+'Tariff and method'!$B$6*1</x:f>
        <x:v>7.231987358333335</x:v>
      </x:c>
      <x:c r="AA153" s="13" t="n">
        <x:f>X153-Z153</x:f>
        <x:v>-1.6392348583333334</x:v>
      </x:c>
      <x:c r="AB153" s="13" t="n">
        <x:f>SUMIF('Import by half hour'!$A$5:$A$7395,A153,'Import by half hour'!$K$5:$K$7395)+'Tariff and method'!$B$6*1</x:f>
        <x:v>8.327321625</x:v>
      </x:c>
      <x:c r="AC153" s="13" t="n">
        <x:f>AB153-Z153</x:f>
        <x:v>1.095334266666665</x:v>
      </x:c>
      <x:c r="AD153" s="13" t="n">
        <x:f>X153-AB153</x:f>
        <x:v>-2.7345691249999984</x:v>
      </x:c>
      <x:c r="AE153" s="11" t="n">
        <x:f>M153-H153</x:f>
        <x:v>2.334999999999999</x:v>
      </x:c>
      <x:c r="AF153" s="14" t="n">
        <x:f>IF(M153=0,"",H153/M153)</x:f>
        <x:v>0.8181464174454829</x:v>
      </x:c>
      <x:c r="AG153" s="11" t="n">
        <x:f>D153-E153-F153-G153</x:f>
        <x:v>0.1995833333333401</x:v>
      </x:c>
      <x:c r="AH153" s="11" t="n">
        <x:f>R153-S153-T153</x:f>
        <x:v>0.0060000000000108855</x:v>
      </x:c>
      <x:c r="AI153" s="13" t="n">
        <x:f>SUM($AA$5:AA153)</x:f>
        <x:v>252.0589280066667</x:v>
      </x:c>
    </x:row>
    <x:row r="154" ht="21" customHeight="1">
      <x:c r="A154" s="10" t="n">
        <x:v>46297</x:v>
      </x:c>
      <x:c r="B154" s="1" t="n">
        <x:v>288</x:v>
      </x:c>
      <x:c r="C154" s="1" t="n">
        <x:v>24</x:v>
      </x:c>
      <x:c r="D154" s="11" t="n">
        <x:v>23.069249999999993</x:v>
      </x:c>
      <x:c r="E154" s="11" t="n">
        <x:v>12.11166666666667</x:v>
      </x:c>
      <x:c r="F154" s="11" t="n">
        <x:v>0</x:v>
      </x:c>
      <x:c r="G154" s="11" t="n">
        <x:v>10.782499999999999</x:v>
      </x:c>
      <x:c r="H154" s="11" t="n">
        <x:v>12.123000000000008</x:v>
      </x:c>
      <x:c r="I154" s="11" t="n">
        <x:v>12.11166666666667</x:v>
      </x:c>
      <x:c r="J154" s="11" t="n">
        <x:v>0</x:v>
      </x:c>
      <x:c r="K154" s="11" t="n">
        <x:v>16.686</x:v>
      </x:c>
      <x:c r="L154" s="11" t="n">
        <x:v>0</x:v>
      </x:c>
      <x:c r="M154" s="11" t="n">
        <x:v>16.686</x:v>
      </x:c>
      <x:c r="N154" s="11" t="n">
        <x:v>0</x:v>
      </x:c>
      <x:c r="O154" s="11" t="n">
        <x:v>0</x:v>
      </x:c>
      <x:c r="P154" s="11" t="n">
        <x:v>0</x:v>
      </x:c>
      <x:c r="Q154" s="11" t="n">
        <x:v>0</x:v>
      </x:c>
      <x:c r="R154" s="11" t="n">
        <x:v>27.472500000000007</x:v>
      </x:c>
      <x:c r="S154" s="11" t="n">
        <x:v>10.782499999999999</x:v>
      </x:c>
      <x:c r="T154" s="11" t="n">
        <x:v>16.686</x:v>
      </x:c>
      <x:c r="U154" s="11" t="n">
        <x:v>0</x:v>
      </x:c>
      <x:c r="V154" s="11" t="n">
        <x:v>0</x:v>
      </x:c>
      <x:c r="W154" s="11" t="n">
        <x:v>0</x:v>
      </x:c>
      <x:c r="X154" s="13" t="n">
        <x:f>(D154*'Tariff and method'!$B$4+'Tariff and method'!$B$5)*1</x:f>
        <x:v>5.579415049999999</x:v>
      </x:c>
      <x:c r="Y154" s="13" t="n">
        <x:f>SUMIF('Import by half hour'!$A$5:$A$7395,A154,'Import by half hour'!$J$5:$J$7395)</x:f>
        <x:v>6.674431800000001</x:v>
      </x:c>
      <x:c r="Z154" s="13" t="n">
        <x:f>Y154+'Tariff and method'!$B$6*1</x:f>
        <x:v>7.205731800000001</x:v>
      </x:c>
      <x:c r="AA154" s="13" t="n">
        <x:f>X154-Z154</x:f>
        <x:v>-1.6263167500000018</x:v>
      </x:c>
      <x:c r="AB154" s="13" t="n">
        <x:f>SUMIF('Import by half hour'!$A$5:$A$7395,A154,'Import by half hour'!$K$5:$K$7395)+'Tariff and method'!$B$6*1</x:f>
        <x:v>7.890808083333333</x:v>
      </x:c>
      <x:c r="AC154" s="13" t="n">
        <x:f>AB154-Z154</x:f>
        <x:v>0.6850762833333324</x:v>
      </x:c>
      <x:c r="AD154" s="13" t="n">
        <x:f>X154-AB154</x:f>
        <x:v>-2.311393033333334</x:v>
      </x:c>
      <x:c r="AE154" s="11" t="n">
        <x:f>M154-H154</x:f>
        <x:v>4.562999999999992</x:v>
      </x:c>
      <x:c r="AF154" s="14" t="n">
        <x:f>IF(M154=0,"",H154/M154)</x:f>
        <x:v>0.7265372168284795</x:v>
      </x:c>
      <x:c r="AG154" s="11" t="n">
        <x:f>D154-E154-F154-G154</x:f>
        <x:v>0.17508333333332438</x:v>
      </x:c>
      <x:c r="AH154" s="11" t="n">
        <x:f>R154-S154-T154</x:f>
        <x:v>0.004000000000008441</x:v>
      </x:c>
      <x:c r="AI154" s="13" t="n">
        <x:f>SUM($AA$5:AA154)</x:f>
        <x:v>250.4326112566667</x:v>
      </x:c>
    </x:row>
    <x:row r="155" ht="21" customHeight="1">
      <x:c r="A155" s="10" t="n">
        <x:v>46298</x:v>
      </x:c>
      <x:c r="B155" s="1" t="n">
        <x:v>288</x:v>
      </x:c>
      <x:c r="C155" s="1" t="n">
        <x:v>24</x:v>
      </x:c>
      <x:c r="D155" s="11" t="n">
        <x:v>25.65624999999999</x:v>
      </x:c>
      <x:c r="E155" s="11" t="n">
        <x:v>15.522166666666672</x:v>
      </x:c>
      <x:c r="F155" s="11" t="n">
        <x:v>0</x:v>
      </x:c>
      <x:c r="G155" s="11" t="n">
        <x:v>9.93</x:v>
      </x:c>
      <x:c r="H155" s="11" t="n">
        <x:v>15.535000000000009</x:v>
      </x:c>
      <x:c r="I155" s="11" t="n">
        <x:v>15.522166666666672</x:v>
      </x:c>
      <x:c r="J155" s="11" t="n">
        <x:v>0</x:v>
      </x:c>
      <x:c r="K155" s="11" t="n">
        <x:v>14.240999999999998</x:v>
      </x:c>
      <x:c r="L155" s="11" t="n">
        <x:v>0</x:v>
      </x:c>
      <x:c r="M155" s="11" t="n">
        <x:v>14.240999999999998</x:v>
      </x:c>
      <x:c r="N155" s="11" t="n">
        <x:v>0</x:v>
      </x:c>
      <x:c r="O155" s="11" t="n">
        <x:v>0</x:v>
      </x:c>
      <x:c r="P155" s="11" t="n">
        <x:v>0</x:v>
      </x:c>
      <x:c r="Q155" s="11" t="n">
        <x:v>0</x:v>
      </x:c>
      <x:c r="R155" s="11" t="n">
        <x:v>24.177999999999997</x:v>
      </x:c>
      <x:c r="S155" s="11" t="n">
        <x:v>9.93</x:v>
      </x:c>
      <x:c r="T155" s="11" t="n">
        <x:v>14.240999999999998</x:v>
      </x:c>
      <x:c r="U155" s="11" t="n">
        <x:v>0</x:v>
      </x:c>
      <x:c r="V155" s="11" t="n">
        <x:v>0</x:v>
      </x:c>
      <x:c r="W155" s="11" t="n">
        <x:v>0</x:v>
      </x:c>
      <x:c r="X155" s="13" t="n">
        <x:f>(D155*'Tariff and method'!$B$4+'Tariff and method'!$B$5)*1</x:f>
        <x:v>6.155281249999998</x:v>
      </x:c>
      <x:c r="Y155" s="13" t="n">
        <x:f>SUMIF('Import by half hour'!$A$5:$A$7395,A155,'Import by half hour'!$J$5:$J$7395)</x:f>
        <x:v>6.1547927499999995</x:v>
      </x:c>
      <x:c r="Z155" s="13" t="n">
        <x:f>Y155+'Tariff and method'!$B$6*1</x:f>
        <x:v>6.686092749999999</x:v>
      </x:c>
      <x:c r="AA155" s="13" t="n">
        <x:f>X155-Z155</x:f>
        <x:v>-0.5308115000000013</x:v>
      </x:c>
      <x:c r="AB155" s="13" t="n">
        <x:f>SUMIF('Import by half hour'!$A$5:$A$7395,A155,'Import by half hour'!$K$5:$K$7395)+'Tariff and method'!$B$6*1</x:f>
        <x:v>8.752391416666665</x:v>
      </x:c>
      <x:c r="AC155" s="13" t="n">
        <x:f>AB155-Z155</x:f>
        <x:v>2.0662986666666656</x:v>
      </x:c>
      <x:c r="AD155" s="13" t="n">
        <x:f>X155-AB155</x:f>
        <x:v>-2.597110166666667</x:v>
      </x:c>
      <x:c r="AE155" s="11" t="n">
        <x:f>M155-H155</x:f>
        <x:v>-1.2940000000000111</x:v>
      </x:c>
      <x:c r="AF155" s="14" t="n">
        <x:f>IF(M155=0,"",H155/M155)</x:f>
        <x:v>1.0908644055894958</x:v>
      </x:c>
      <x:c r="AG155" s="11" t="n">
        <x:f>D155-E155-F155-G155</x:f>
        <x:v>0.20408333333331719</x:v>
      </x:c>
      <x:c r="AH155" s="11" t="n">
        <x:f>R155-S155-T155</x:f>
        <x:v>0.006999999999999673</x:v>
      </x:c>
      <x:c r="AI155" s="13" t="n">
        <x:f>SUM($AA$5:AA155)</x:f>
        <x:v>249.9017997566667</x:v>
      </x:c>
    </x:row>
    <x:row r="156" ht="21" customHeight="1">
      <x:c r="A156" s="10" t="n">
        <x:v>46299</x:v>
      </x:c>
      <x:c r="B156" s="1" t="n">
        <x:v>288</x:v>
      </x:c>
      <x:c r="C156" s="1" t="n">
        <x:v>24</x:v>
      </x:c>
      <x:c r="D156" s="11" t="n">
        <x:v>24.921916666666654</x:v>
      </x:c>
      <x:c r="E156" s="11" t="n">
        <x:v>16.85858333333334</x:v>
      </x:c>
      <x:c r="F156" s="11" t="n">
        <x:v>0</x:v>
      </x:c>
      <x:c r="G156" s="11" t="n">
        <x:v>7.982666666666668</x:v>
      </x:c>
      <x:c r="H156" s="11" t="n">
        <x:v>16.876000000000005</x:v>
      </x:c>
      <x:c r="I156" s="11" t="n">
        <x:v>16.85858333333334</x:v>
      </x:c>
      <x:c r="J156" s="11" t="n">
        <x:v>0</x:v>
      </x:c>
      <x:c r="K156" s="11" t="n">
        <x:v>22.345</x:v>
      </x:c>
      <x:c r="L156" s="11" t="n">
        <x:v>0</x:v>
      </x:c>
      <x:c r="M156" s="11" t="n">
        <x:v>22.345</x:v>
      </x:c>
      <x:c r="N156" s="11" t="n">
        <x:v>0</x:v>
      </x:c>
      <x:c r="O156" s="11" t="n">
        <x:v>0</x:v>
      </x:c>
      <x:c r="P156" s="11" t="n">
        <x:v>0</x:v>
      </x:c>
      <x:c r="Q156" s="11" t="n">
        <x:v>0</x:v>
      </x:c>
      <x:c r="R156" s="11" t="n">
        <x:v>30.327666666666673</x:v>
      </x:c>
      <x:c r="S156" s="11" t="n">
        <x:v>7.982666666666668</x:v>
      </x:c>
      <x:c r="T156" s="11" t="n">
        <x:v>22.345</x:v>
      </x:c>
      <x:c r="U156" s="11" t="n">
        <x:v>0</x:v>
      </x:c>
      <x:c r="V156" s="11" t="n">
        <x:v>0</x:v>
      </x:c>
      <x:c r="W156" s="11" t="n">
        <x:v>0</x:v>
      </x:c>
      <x:c r="X156" s="13" t="n">
        <x:f>(D156*'Tariff and method'!$B$4+'Tariff and method'!$B$5)*1</x:f>
        <x:v>5.991818649999997</x:v>
      </x:c>
      <x:c r="Y156" s="13" t="n">
        <x:f>SUMIF('Import by half hour'!$A$5:$A$7395,A156,'Import by half hour'!$J$5:$J$7395)</x:f>
        <x:v>2.747337858333333</x:v>
      </x:c>
      <x:c r="Z156" s="13" t="n">
        <x:f>Y156+'Tariff and method'!$B$6*1</x:f>
        <x:v>3.278637858333333</x:v>
      </x:c>
      <x:c r="AA156" s="13" t="n">
        <x:f>X156-Z156</x:f>
        <x:v>2.713180791666664</x:v>
      </x:c>
      <x:c r="AB156" s="13" t="n">
        <x:f>SUMIF('Import by half hour'!$A$5:$A$7395,A156,'Import by half hour'!$K$5:$K$7395)+'Tariff and method'!$B$6*1</x:f>
        <x:v>7.214330191666667</x:v>
      </x:c>
      <x:c r="AC156" s="13" t="n">
        <x:f>AB156-Z156</x:f>
        <x:v>3.935692333333334</x:v>
      </x:c>
      <x:c r="AD156" s="13" t="n">
        <x:f>X156-AB156</x:f>
        <x:v>-1.2225115416666696</x:v>
      </x:c>
      <x:c r="AE156" s="11" t="n">
        <x:f>M156-H156</x:f>
        <x:v>5.468999999999994</x:v>
      </x:c>
      <x:c r="AF156" s="14" t="n">
        <x:f>IF(M156=0,"",H156/M156)</x:f>
        <x:v>0.7552472588946075</x:v>
      </x:c>
      <x:c r="AG156" s="11" t="n">
        <x:f>D156-E156-F156-G156</x:f>
        <x:v>0.08066666666664712</x:v>
      </x:c>
      <x:c r="AH156" s="11" t="n">
        <x:f>R156-S156-T156</x:f>
        <x:v>7.105427357601002e-15</x:v>
      </x:c>
      <x:c r="AI156" s="13" t="n">
        <x:f>SUM($AA$5:AA156)</x:f>
        <x:v>252.61498054833336</x:v>
      </x:c>
    </x:row>
    <x:row r="157" ht="21" customHeight="1">
      <x:c r="A157" s="10" t="n">
        <x:v>46300</x:v>
      </x:c>
      <x:c r="B157" s="1" t="n">
        <x:v>288</x:v>
      </x:c>
      <x:c r="C157" s="1" t="n">
        <x:v>24</x:v>
      </x:c>
      <x:c r="D157" s="11" t="n">
        <x:v>27.108750000000004</x:v>
      </x:c>
      <x:c r="E157" s="11" t="n">
        <x:v>21.79933333333334</x:v>
      </x:c>
      <x:c r="F157" s="11" t="n">
        <x:v>0</x:v>
      </x:c>
      <x:c r="G157" s="11" t="n">
        <x:v>5.234249999999999</x:v>
      </x:c>
      <x:c r="H157" s="11" t="n">
        <x:v>21.818</x:v>
      </x:c>
      <x:c r="I157" s="11" t="n">
        <x:v>21.79933333333334</x:v>
      </x:c>
      <x:c r="J157" s="11" t="n">
        <x:v>0</x:v>
      </x:c>
      <x:c r="K157" s="11" t="n">
        <x:v>25.599999999999998</x:v>
      </x:c>
      <x:c r="L157" s="11" t="n">
        <x:v>0</x:v>
      </x:c>
      <x:c r="M157" s="11" t="n">
        <x:v>25.599999999999998</x:v>
      </x:c>
      <x:c r="N157" s="11" t="n">
        <x:v>0</x:v>
      </x:c>
      <x:c r="O157" s="11" t="n">
        <x:v>0</x:v>
      </x:c>
      <x:c r="P157" s="11" t="n">
        <x:v>0</x:v>
      </x:c>
      <x:c r="Q157" s="11" t="n">
        <x:v>0</x:v>
      </x:c>
      <x:c r="R157" s="11" t="n">
        <x:v>30.838250000000002</x:v>
      </x:c>
      <x:c r="S157" s="11" t="n">
        <x:v>5.234249999999999</x:v>
      </x:c>
      <x:c r="T157" s="11" t="n">
        <x:v>25.599999999999998</x:v>
      </x:c>
      <x:c r="U157" s="11" t="n">
        <x:v>0</x:v>
      </x:c>
      <x:c r="V157" s="11" t="n">
        <x:v>0</x:v>
      </x:c>
      <x:c r="W157" s="11" t="n">
        <x:v>0</x:v>
      </x:c>
      <x:c r="X157" s="13" t="n">
        <x:f>(D157*'Tariff and method'!$B$4+'Tariff and method'!$B$5)*1</x:f>
        <x:v>6.478607750000001</x:v>
      </x:c>
      <x:c r="Y157" s="13" t="n">
        <x:f>SUMIF('Import by half hour'!$A$5:$A$7395,A157,'Import by half hour'!$J$5:$J$7395)</x:f>
        <x:v>4.3045279</x:v>
      </x:c>
      <x:c r="Z157" s="13" t="n">
        <x:f>Y157+'Tariff and method'!$B$6*1</x:f>
        <x:v>4.8358279</x:v>
      </x:c>
      <x:c r="AA157" s="13" t="n">
        <x:f>X157-Z157</x:f>
        <x:v>1.642779850000001</x:v>
      </x:c>
      <x:c r="AB157" s="13" t="n">
        <x:f>SUMIF('Import by half hour'!$A$5:$A$7395,A157,'Import by half hour'!$K$5:$K$7395)+'Tariff and method'!$B$6*1</x:f>
        <x:v>8.192797608333336</x:v>
      </x:c>
      <x:c r="AC157" s="13" t="n">
        <x:f>AB157-Z157</x:f>
        <x:v>3.3569697083333363</x:v>
      </x:c>
      <x:c r="AD157" s="13" t="n">
        <x:f>X157-AB157</x:f>
        <x:v>-1.7141898583333353</x:v>
      </x:c>
      <x:c r="AE157" s="11" t="n">
        <x:f>M157-H157</x:f>
        <x:v>3.7819999999999965</x:v>
      </x:c>
      <x:c r="AF157" s="14" t="n">
        <x:f>IF(M157=0,"",H157/M157)</x:f>
        <x:v>0.8522656250000001</x:v>
      </x:c>
      <x:c r="AG157" s="11" t="n">
        <x:f>D157-E157-F157-G157</x:f>
        <x:v>0.07516666666666438</x:v>
      </x:c>
      <x:c r="AH157" s="11" t="n">
        <x:f>R157-S157-T157</x:f>
        <x:v>0.0040000000000048885</x:v>
      </x:c>
      <x:c r="AI157" s="13" t="n">
        <x:f>SUM($AA$5:AA157)</x:f>
        <x:v>254.25776039833337</x:v>
      </x:c>
    </x:row>
    <x:row r="158" ht="21" customHeight="1">
      <x:c r="A158" s="10" t="n">
        <x:v>46301</x:v>
      </x:c>
      <x:c r="B158" s="1" t="n">
        <x:v>288</x:v>
      </x:c>
      <x:c r="C158" s="1" t="n">
        <x:v>24</x:v>
      </x:c>
      <x:c r="D158" s="11" t="n">
        <x:v>39.984166666666695</x:v>
      </x:c>
      <x:c r="E158" s="11" t="n">
        <x:v>29.05225000000001</x:v>
      </x:c>
      <x:c r="F158" s="11" t="n">
        <x:v>0</x:v>
      </x:c>
      <x:c r="G158" s="11" t="n">
        <x:v>10.826166666666667</x:v>
      </x:c>
      <x:c r="H158" s="11" t="n">
        <x:v>29.06300000000001</x:v>
      </x:c>
      <x:c r="I158" s="11" t="n">
        <x:v>29.05225000000001</x:v>
      </x:c>
      <x:c r="J158" s="11" t="n">
        <x:v>0</x:v>
      </x:c>
      <x:c r="K158" s="11" t="n">
        <x:v>19.873999999999995</x:v>
      </x:c>
      <x:c r="L158" s="11" t="n">
        <x:v>0</x:v>
      </x:c>
      <x:c r="M158" s="11" t="n">
        <x:v>19.873999999999995</x:v>
      </x:c>
      <x:c r="N158" s="11" t="n">
        <x:v>0</x:v>
      </x:c>
      <x:c r="O158" s="11" t="n">
        <x:v>0</x:v>
      </x:c>
      <x:c r="P158" s="11" t="n">
        <x:v>0</x:v>
      </x:c>
      <x:c r="Q158" s="11" t="n">
        <x:v>0</x:v>
      </x:c>
      <x:c r="R158" s="11" t="n">
        <x:v>30.710166666666655</x:v>
      </x:c>
      <x:c r="S158" s="11" t="n">
        <x:v>10.826166666666667</x:v>
      </x:c>
      <x:c r="T158" s="11" t="n">
        <x:v>19.873999999999995</x:v>
      </x:c>
      <x:c r="U158" s="11" t="n">
        <x:v>0</x:v>
      </x:c>
      <x:c r="V158" s="11" t="n">
        <x:v>0</x:v>
      </x:c>
      <x:c r="W158" s="11" t="n">
        <x:v>0</x:v>
      </x:c>
      <x:c r="X158" s="13" t="n">
        <x:f>(D158*'Tariff and method'!$B$4+'Tariff and method'!$B$5)*1</x:f>
        <x:v>9.344675500000006</x:v>
      </x:c>
      <x:c r="Y158" s="13" t="n">
        <x:f>SUMIF('Import by half hour'!$A$5:$A$7395,A158,'Import by half hour'!$J$5:$J$7395)</x:f>
        <x:v>9.749495633333334</x:v>
      </x:c>
      <x:c r="Z158" s="13" t="n">
        <x:f>Y158+'Tariff and method'!$B$6*1</x:f>
        <x:v>10.280795633333334</x:v>
      </x:c>
      <x:c r="AA158" s="13" t="n">
        <x:f>X158-Z158</x:f>
        <x:v>-0.9361201333333273</x:v>
      </x:c>
      <x:c r="AB158" s="13" t="n">
        <x:f>SUMIF('Import by half hour'!$A$5:$A$7395,A158,'Import by half hour'!$K$5:$K$7395)+'Tariff and method'!$B$6*1</x:f>
        <x:v>14.719743458333337</x:v>
      </x:c>
      <x:c r="AC158" s="13" t="n">
        <x:f>AB158-Z158</x:f>
        <x:v>4.438947825000003</x:v>
      </x:c>
      <x:c r="AD158" s="13" t="n">
        <x:f>X158-AB158</x:f>
        <x:v>-5.3750679583333305</x:v>
      </x:c>
      <x:c r="AE158" s="11" t="n">
        <x:f>M158-H158</x:f>
        <x:v>-9.189000000000014</x:v>
      </x:c>
      <x:c r="AF158" s="14" t="n">
        <x:f>IF(M158=0,"",H158/M158)</x:f>
        <x:v>1.4623628861829534</x:v>
      </x:c>
      <x:c r="AG158" s="11" t="n">
        <x:f>D158-E158-F158-G158</x:f>
        <x:v>0.10575000000001644</x:v>
      </x:c>
      <x:c r="AH158" s="11" t="n">
        <x:f>R158-S158-T158</x:f>
        <x:v>0.009999999999990905</x:v>
      </x:c>
      <x:c r="AI158" s="13" t="n">
        <x:f>SUM($AA$5:AA158)</x:f>
        <x:v>253.32164026500004</x:v>
      </x:c>
    </x:row>
    <x:row r="159" ht="21" customHeight="1">
      <x:c r="A159" s="10" t="n">
        <x:v>46302</x:v>
      </x:c>
      <x:c r="B159" s="1" t="n">
        <x:v>166</x:v>
      </x:c>
      <x:c r="C159" s="1" t="n">
        <x:v>13.833333333333334</x:v>
      </x:c>
      <x:c r="D159" s="11" t="n">
        <x:v>21.15625</x:v>
      </x:c>
      <x:c r="E159" s="11" t="n">
        <x:v>17.30275</x:v>
      </x:c>
      <x:c r="F159" s="11" t="n">
        <x:v>0</x:v>
      </x:c>
      <x:c r="G159" s="11" t="n">
        <x:v>3.7866666666666657</x:v>
      </x:c>
      <x:c r="H159" s="11" t="n">
        <x:v>17.309999999999995</x:v>
      </x:c>
      <x:c r="I159" s="11" t="n">
        <x:v>17.30275</x:v>
      </x:c>
      <x:c r="J159" s="11" t="n">
        <x:v>0</x:v>
      </x:c>
      <x:c r="K159" s="11" t="n">
        <x:v>25.338999999999988</x:v>
      </x:c>
      <x:c r="L159" s="11" t="n">
        <x:v>0</x:v>
      </x:c>
      <x:c r="M159" s="11" t="n">
        <x:v>25.338999999999988</x:v>
      </x:c>
      <x:c r="N159" s="11" t="n">
        <x:v>0</x:v>
      </x:c>
      <x:c r="O159" s="11" t="n">
        <x:v>0</x:v>
      </x:c>
      <x:c r="P159" s="11" t="n">
        <x:v>0</x:v>
      </x:c>
      <x:c r="Q159" s="11" t="n">
        <x:v>0</x:v>
      </x:c>
      <x:c r="R159" s="11" t="n">
        <x:v>29.125666666666667</x:v>
      </x:c>
      <x:c r="S159" s="11" t="n">
        <x:v>3.7866666666666657</x:v>
      </x:c>
      <x:c r="T159" s="11" t="n">
        <x:v>25.338999999999988</x:v>
      </x:c>
      <x:c r="U159" s="11" t="n">
        <x:v>0</x:v>
      </x:c>
      <x:c r="V159" s="11" t="n">
        <x:v>0</x:v>
      </x:c>
      <x:c r="W159" s="11" t="n">
        <x:v>0</x:v>
      </x:c>
      <x:c r="X159" s="13" t="n">
        <x:f>(D159*'Tariff and method'!$B$4+'Tariff and method'!$B$5)*1</x:f>
        <x:v>5.15358125</x:v>
      </x:c>
      <x:c r="Y159" s="13" t="n">
        <x:f>SUMIF('Import by half hour'!$A$5:$A$7395,A159,'Import by half hour'!$J$5:$J$7395)</x:f>
        <x:v>8.191333550000001</x:v>
      </x:c>
      <x:c r="Z159" s="13" t="n">
        <x:f>Y159+'Tariff and method'!$B$6*1</x:f>
        <x:v>8.722633550000001</x:v>
      </x:c>
      <x:c r="AA159" s="13" t="n">
        <x:f>X159-Z159</x:f>
        <x:v>-3.569052300000001</x:v>
      </x:c>
      <x:c r="AB159" s="13" t="n">
        <x:f>SUMIF('Import by half hour'!$A$5:$A$7395,A159,'Import by half hour'!$K$5:$K$7395)+'Tariff and method'!$B$6*1</x:f>
        <x:v>7.2845993333333325</x:v>
      </x:c>
      <x:c r="AC159" s="13" t="n">
        <x:f>AB159-Z159</x:f>
        <x:v>-1.4380342166666686</x:v>
      </x:c>
      <x:c r="AD159" s="13" t="n">
        <x:f>X159-AB159</x:f>
        <x:v>-2.1310180833333323</x:v>
      </x:c>
      <x:c r="AE159" s="11" t="n">
        <x:f>M159-H159</x:f>
        <x:v>8.028999999999993</x:v>
      </x:c>
      <x:c r="AF159" s="14" t="n">
        <x:f>IF(M159=0,"",H159/M159)</x:f>
        <x:v>0.6831366667982163</x:v>
      </x:c>
      <x:c r="AG159" s="11" t="n">
        <x:f>D159-E159-F159-G159</x:f>
        <x:v>0.06683333333333463</x:v>
      </x:c>
      <x:c r="AH159" s="11" t="n">
        <x:f>R159-S159-T159</x:f>
        <x:v>1.4210854715202004e-14</x:v>
      </x:c>
      <x:c r="AI159" s="13" t="n">
        <x:f>SUM($AA$5:AA159)</x:f>
        <x:v>249.75258796500003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1" customHeight="1">
      <x:c r="A1" s="2" t="str">
        <x:v>Import and household use by half hour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1" customHeight="1">
      <x:c r="A2" s="1" t="str">
        <x:v>Local times; incomplete buckets contain only available five-minute samples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2" customHeight="1">
      <x:c r="A4" s="5" t="str">
        <x:v>Date</x:v>
      </x:c>
      <x:c r="B4" s="5" t="str">
        <x:v>Local hour</x:v>
      </x:c>
      <x:c r="C4" s="5" t="str">
        <x:v>Samples</x:v>
      </x:c>
      <x:c r="D4" s="5" t="str">
        <x:v>Grid import kWh</x:v>
      </x:c>
      <x:c r="E4" s="5" t="str">
        <x:v>Home kWh</x:v>
      </x:c>
      <x:c r="F4" s="5" t="str">
        <x:v>Battery to home kWh</x:v>
      </x:c>
      <x:c r="G4" s="5" t="str">
        <x:v>Grid to battery kWh</x:v>
      </x:c>
      <x:c r="H4" s="5" t="str">
        <x:v>VAT multiplier</x:v>
      </x:c>
      <x:c r="I4" s="5" t="str">
        <x:v>Applicable £/kWh</x:v>
      </x:c>
      <x:c r="J4" s="5" t="str">
        <x:v>Import cost £</x:v>
      </x:c>
      <x:c r="K4" s="5" t="str">
        <x:v>No-battery cost £</x:v>
      </x:c>
      <x:c r="L4" s="5" t="str">
        <x:v>Month</x:v>
      </x:c>
    </x:row>
    <x:row r="5" ht="21" customHeight="1">
      <x:c r="A5" s="10" t="n">
        <x:v>46148</x:v>
      </x:c>
      <x:c r="B5" s="1" t="n">
        <x:v>14.5</x:v>
      </x:c>
      <x:c r="C5" s="1" t="n">
        <x:v>3</x:v>
      </x:c>
      <x:c r="D5" s="12" t="n">
        <x:v>0.016083333333333335</x:v>
      </x:c>
      <x:c r="E5" s="12" t="n">
        <x:v>0.21091666666666664</x:v>
      </x:c>
      <x:c r="F5" s="12" t="n">
        <x:v>0.19483333333333336</x:v>
      </x:c>
      <x:c r="G5" s="12" t="n">
        <x:v>0</x:v>
      </x:c>
      <x:c r="H5" s="1" t="n">
        <x:f>'Historical prices'!E5</x:f>
        <x:v>1.05</x:v>
      </x:c>
      <x:c r="I5" s="6" t="n">
        <x:f>'Historical prices'!D5</x:f>
        <x:v>0.2226</x:v>
      </x:c>
      <x:c r="J5" s="13" t="n">
        <x:f>D5*I5*H5</x:f>
        <x:v>0.0037591575000000006</x:v>
      </x:c>
      <x:c r="K5" s="13" t="n">
        <x:f>E5*I5*H5</x:f>
        <x:v>0.049297552499999994</x:v>
      </x:c>
      <x:c r="L5" s="1" t="str">
        <x:f>TEXT(A5,"mmm yyyy")</x:f>
        <x:v>May 2026</x:v>
      </x:c>
    </x:row>
    <x:row r="6" ht="21" customHeight="1">
      <x:c r="A6" s="10" t="n">
        <x:v>46148</x:v>
      </x:c>
      <x:c r="B6" s="1" t="n">
        <x:v>15</x:v>
      </x:c>
      <x:c r="C6" s="1" t="n">
        <x:v>6</x:v>
      </x:c>
      <x:c r="D6" s="12" t="n">
        <x:v>0.043333333333333335</x:v>
      </x:c>
      <x:c r="E6" s="12" t="n">
        <x:v>0.42825</x:v>
      </x:c>
      <x:c r="F6" s="12" t="n">
        <x:v>0.3809166666666667</x:v>
      </x:c>
      <x:c r="G6" s="12" t="n">
        <x:v>0</x:v>
      </x:c>
      <x:c r="H6" s="1" t="n">
        <x:f>'Historical prices'!E6</x:f>
        <x:v>1.05</x:v>
      </x:c>
      <x:c r="I6" s="6" t="n">
        <x:f>'Historical prices'!D6</x:f>
        <x:v>0.2226</x:v>
      </x:c>
      <x:c r="J6" s="13" t="n">
        <x:f>D6*I6*H6</x:f>
        <x:v>0.0101283</x:v>
      </x:c>
      <x:c r="K6" s="13" t="n">
        <x:f>E6*I6*H6</x:f>
        <x:v>0.1000948725</x:v>
      </x:c>
      <x:c r="L6" s="1" t="str">
        <x:f>TEXT(A6,"mmm yyyy")</x:f>
        <x:v>May 2026</x:v>
      </x:c>
    </x:row>
    <x:row r="7" ht="21" customHeight="1">
      <x:c r="A7" s="10" t="n">
        <x:v>46148</x:v>
      </x:c>
      <x:c r="B7" s="1" t="n">
        <x:v>15.5</x:v>
      </x:c>
      <x:c r="C7" s="1" t="n">
        <x:v>6</x:v>
      </x:c>
      <x:c r="D7" s="12" t="n">
        <x:v>0.03125</x:v>
      </x:c>
      <x:c r="E7" s="12" t="n">
        <x:v>0.42033333333333334</x:v>
      </x:c>
      <x:c r="F7" s="12" t="n">
        <x:v>0.3889166666666667</x:v>
      </x:c>
      <x:c r="G7" s="12" t="n">
        <x:v>0</x:v>
      </x:c>
      <x:c r="H7" s="1" t="n">
        <x:f>'Historical prices'!E7</x:f>
        <x:v>1.05</x:v>
      </x:c>
      <x:c r="I7" s="6" t="n">
        <x:f>'Historical prices'!D7</x:f>
        <x:v>0.2226</x:v>
      </x:c>
      <x:c r="J7" s="13" t="n">
        <x:f>D7*I7*H7</x:f>
        <x:v>0.0073040625</x:v>
      </x:c>
      <x:c r="K7" s="13" t="n">
        <x:f>E7*I7*H7</x:f>
        <x:v>0.09824451000000001</x:v>
      </x:c>
      <x:c r="L7" s="1" t="str">
        <x:f>TEXT(A7,"mmm yyyy")</x:f>
        <x:v>May 2026</x:v>
      </x:c>
    </x:row>
    <x:row r="8" ht="21" customHeight="1">
      <x:c r="A8" s="10" t="n">
        <x:v>46148</x:v>
      </x:c>
      <x:c r="B8" s="1" t="n">
        <x:v>16</x:v>
      </x:c>
      <x:c r="C8" s="1" t="n">
        <x:v>6</x:v>
      </x:c>
      <x:c r="D8" s="12" t="n">
        <x:v>0</x:v>
      </x:c>
      <x:c r="E8" s="12" t="n">
        <x:v>1.3104166666666668</x:v>
      </x:c>
      <x:c r="F8" s="12" t="n">
        <x:v>1.3098333333333334</x:v>
      </x:c>
      <x:c r="G8" s="12" t="n">
        <x:v>0</x:v>
      </x:c>
      <x:c r="H8" s="1" t="n">
        <x:f>'Historical prices'!E8</x:f>
        <x:v>1.05</x:v>
      </x:c>
      <x:c r="I8" s="6" t="n">
        <x:f>'Historical prices'!D8</x:f>
        <x:v>0.2226</x:v>
      </x:c>
      <x:c r="J8" s="13" t="n">
        <x:f>D8*I8*H8</x:f>
        <x:v>0</x:v>
      </x:c>
      <x:c r="K8" s="13" t="n">
        <x:f>E8*I8*H8</x:f>
        <x:v>0.3062836875</x:v>
      </x:c>
      <x:c r="L8" s="1" t="str">
        <x:f>TEXT(A8,"mmm yyyy")</x:f>
        <x:v>May 2026</x:v>
      </x:c>
    </x:row>
    <x:row r="9" ht="21" customHeight="1">
      <x:c r="A9" s="10" t="n">
        <x:v>46148</x:v>
      </x:c>
      <x:c r="B9" s="1" t="n">
        <x:v>16.5</x:v>
      </x:c>
      <x:c r="C9" s="1" t="n">
        <x:v>6</x:v>
      </x:c>
      <x:c r="D9" s="12" t="n">
        <x:v>0</x:v>
      </x:c>
      <x:c r="E9" s="12" t="n">
        <x:v>0.8478333333333332</x:v>
      </x:c>
      <x:c r="F9" s="12" t="n">
        <x:v>0.8477499999999999</x:v>
      </x:c>
      <x:c r="G9" s="12" t="n">
        <x:v>0</x:v>
      </x:c>
      <x:c r="H9" s="1" t="n">
        <x:f>'Historical prices'!E9</x:f>
        <x:v>1.05</x:v>
      </x:c>
      <x:c r="I9" s="6" t="n">
        <x:f>'Historical prices'!D9</x:f>
        <x:v>0.2226</x:v>
      </x:c>
      <x:c r="J9" s="13" t="n">
        <x:f>D9*I9*H9</x:f>
        <x:v>0</x:v>
      </x:c>
      <x:c r="K9" s="13" t="n">
        <x:f>E9*I9*H9</x:f>
        <x:v>0.198164085</x:v>
      </x:c>
      <x:c r="L9" s="1" t="str">
        <x:f>TEXT(A9,"mmm yyyy")</x:f>
        <x:v>May 2026</x:v>
      </x:c>
    </x:row>
    <x:row r="10" ht="21" customHeight="1">
      <x:c r="A10" s="10" t="n">
        <x:v>46148</x:v>
      </x:c>
      <x:c r="B10" s="1" t="n">
        <x:v>17</x:v>
      </x:c>
      <x:c r="C10" s="1" t="n">
        <x:v>6</x:v>
      </x:c>
      <x:c r="D10" s="12" t="n">
        <x:v>0</x:v>
      </x:c>
      <x:c r="E10" s="12" t="n">
        <x:v>0.65525</x:v>
      </x:c>
      <x:c r="F10" s="12" t="n">
        <x:v>0.6547499999999999</x:v>
      </x:c>
      <x:c r="G10" s="12" t="n">
        <x:v>0</x:v>
      </x:c>
      <x:c r="H10" s="1" t="n">
        <x:f>'Historical prices'!E10</x:f>
        <x:v>1.05</x:v>
      </x:c>
      <x:c r="I10" s="6" t="n">
        <x:f>'Historical prices'!D10</x:f>
        <x:v>0.2226</x:v>
      </x:c>
      <x:c r="J10" s="13" t="n">
        <x:f>D10*I10*H10</x:f>
        <x:v>0</x:v>
      </x:c>
      <x:c r="K10" s="13" t="n">
        <x:f>E10*I10*H10</x:f>
        <x:v>0.15315158250000002</x:v>
      </x:c>
      <x:c r="L10" s="1" t="str">
        <x:f>TEXT(A10,"mmm yyyy")</x:f>
        <x:v>May 2026</x:v>
      </x:c>
    </x:row>
    <x:row r="11" ht="21" customHeight="1">
      <x:c r="A11" s="10" t="n">
        <x:v>46148</x:v>
      </x:c>
      <x:c r="B11" s="1" t="n">
        <x:v>17.5</x:v>
      </x:c>
      <x:c r="C11" s="1" t="n">
        <x:v>6</x:v>
      </x:c>
      <x:c r="D11" s="12" t="n">
        <x:v>0</x:v>
      </x:c>
      <x:c r="E11" s="12" t="n">
        <x:v>0.6668333333333333</x:v>
      </x:c>
      <x:c r="F11" s="12" t="n">
        <x:v>0.6668333333333333</x:v>
      </x:c>
      <x:c r="G11" s="12" t="n">
        <x:v>0</x:v>
      </x:c>
      <x:c r="H11" s="1" t="n">
        <x:f>'Historical prices'!E11</x:f>
        <x:v>1.05</x:v>
      </x:c>
      <x:c r="I11" s="6" t="n">
        <x:f>'Historical prices'!D11</x:f>
        <x:v>0.2226</x:v>
      </x:c>
      <x:c r="J11" s="13" t="n">
        <x:f>D11*I11*H11</x:f>
        <x:v>0</x:v>
      </x:c>
      <x:c r="K11" s="13" t="n">
        <x:f>E11*I11*H11</x:f>
        <x:v>0.155858955</x:v>
      </x:c>
      <x:c r="L11" s="1" t="str">
        <x:f>TEXT(A11,"mmm yyyy")</x:f>
        <x:v>May 2026</x:v>
      </x:c>
    </x:row>
    <x:row r="12" ht="21" customHeight="1">
      <x:c r="A12" s="10" t="n">
        <x:v>46148</x:v>
      </x:c>
      <x:c r="B12" s="1" t="n">
        <x:v>18</x:v>
      </x:c>
      <x:c r="C12" s="1" t="n">
        <x:v>6</x:v>
      </x:c>
      <x:c r="D12" s="12" t="n">
        <x:v>0</x:v>
      </x:c>
      <x:c r="E12" s="12" t="n">
        <x:v>0.6626666666666666</x:v>
      </x:c>
      <x:c r="F12" s="12" t="n">
        <x:v>0.6598333333333333</x:v>
      </x:c>
      <x:c r="G12" s="12" t="n">
        <x:v>0</x:v>
      </x:c>
      <x:c r="H12" s="1" t="n">
        <x:f>'Historical prices'!E12</x:f>
        <x:v>1.05</x:v>
      </x:c>
      <x:c r="I12" s="6" t="n">
        <x:f>'Historical prices'!D12</x:f>
        <x:v>0.2226</x:v>
      </x:c>
      <x:c r="J12" s="13" t="n">
        <x:f>D12*I12*H12</x:f>
        <x:v>0</x:v>
      </x:c>
      <x:c r="K12" s="13" t="n">
        <x:f>E12*I12*H12</x:f>
        <x:v>0.15488508</x:v>
      </x:c>
      <x:c r="L12" s="1" t="str">
        <x:f>TEXT(A12,"mmm yyyy")</x:f>
        <x:v>May 2026</x:v>
      </x:c>
    </x:row>
    <x:row r="13" ht="21" customHeight="1">
      <x:c r="A13" s="10" t="n">
        <x:v>46148</x:v>
      </x:c>
      <x:c r="B13" s="1" t="n">
        <x:v>18.5</x:v>
      </x:c>
      <x:c r="C13" s="1" t="n">
        <x:v>6</x:v>
      </x:c>
      <x:c r="D13" s="12" t="n">
        <x:v>0</x:v>
      </x:c>
      <x:c r="E13" s="12" t="n">
        <x:v>1.33775</x:v>
      </x:c>
      <x:c r="F13" s="12" t="n">
        <x:v>1.3375833333333331</x:v>
      </x:c>
      <x:c r="G13" s="12" t="n">
        <x:v>0</x:v>
      </x:c>
      <x:c r="H13" s="1" t="n">
        <x:f>'Historical prices'!E13</x:f>
        <x:v>1.05</x:v>
      </x:c>
      <x:c r="I13" s="6" t="n">
        <x:f>'Historical prices'!D13</x:f>
        <x:v>0.2226</x:v>
      </x:c>
      <x:c r="J13" s="13" t="n">
        <x:f>D13*I13*H13</x:f>
        <x:v>0</x:v>
      </x:c>
      <x:c r="K13" s="13" t="n">
        <x:f>E13*I13*H13</x:f>
        <x:v>0.3126723075</x:v>
      </x:c>
      <x:c r="L13" s="1" t="str">
        <x:f>TEXT(A13,"mmm yyyy")</x:f>
        <x:v>May 2026</x:v>
      </x:c>
    </x:row>
    <x:row r="14" ht="21" customHeight="1">
      <x:c r="A14" s="10" t="n">
        <x:v>46148</x:v>
      </x:c>
      <x:c r="B14" s="1" t="n">
        <x:v>19</x:v>
      </x:c>
      <x:c r="C14" s="1" t="n">
        <x:v>6</x:v>
      </x:c>
      <x:c r="D14" s="12" t="n">
        <x:v>0</x:v>
      </x:c>
      <x:c r="E14" s="12" t="n">
        <x:v>0.6613333333333333</x:v>
      </x:c>
      <x:c r="F14" s="12" t="n">
        <x:v>0.6608333333333333</x:v>
      </x:c>
      <x:c r="G14" s="12" t="n">
        <x:v>0</x:v>
      </x:c>
      <x:c r="H14" s="1" t="n">
        <x:f>'Historical prices'!E14</x:f>
        <x:v>1.05</x:v>
      </x:c>
      <x:c r="I14" s="6" t="n">
        <x:f>'Historical prices'!D14</x:f>
        <x:v>0.2226</x:v>
      </x:c>
      <x:c r="J14" s="13" t="n">
        <x:f>D14*I14*H14</x:f>
        <x:v>0</x:v>
      </x:c>
      <x:c r="K14" s="13" t="n">
        <x:f>E14*I14*H14</x:f>
        <x:v>0.15457344</x:v>
      </x:c>
      <x:c r="L14" s="1" t="str">
        <x:f>TEXT(A14,"mmm yyyy")</x:f>
        <x:v>May 2026</x:v>
      </x:c>
    </x:row>
    <x:row r="15" ht="21" customHeight="1">
      <x:c r="A15" s="10" t="n">
        <x:v>46148</x:v>
      </x:c>
      <x:c r="B15" s="1" t="n">
        <x:v>19.5</x:v>
      </x:c>
      <x:c r="C15" s="1" t="n">
        <x:v>6</x:v>
      </x:c>
      <x:c r="D15" s="12" t="n">
        <x:v>0</x:v>
      </x:c>
      <x:c r="E15" s="12" t="n">
        <x:v>0.8927499999999999</x:v>
      </x:c>
      <x:c r="F15" s="12" t="n">
        <x:v>0.8925833333333333</x:v>
      </x:c>
      <x:c r="G15" s="12" t="n">
        <x:v>0</x:v>
      </x:c>
      <x:c r="H15" s="1" t="n">
        <x:f>'Historical prices'!E15</x:f>
        <x:v>1.05</x:v>
      </x:c>
      <x:c r="I15" s="6" t="n">
        <x:f>'Historical prices'!D15</x:f>
        <x:v>0.2226</x:v>
      </x:c>
      <x:c r="J15" s="13" t="n">
        <x:f>D15*I15*H15</x:f>
        <x:v>0</x:v>
      </x:c>
      <x:c r="K15" s="13" t="n">
        <x:f>E15*I15*H15</x:f>
        <x:v>0.2086624575</x:v>
      </x:c>
      <x:c r="L15" s="1" t="str">
        <x:f>TEXT(A15,"mmm yyyy")</x:f>
        <x:v>May 2026</x:v>
      </x:c>
    </x:row>
    <x:row r="16" ht="21" customHeight="1">
      <x:c r="A16" s="10" t="n">
        <x:v>46148</x:v>
      </x:c>
      <x:c r="B16" s="1" t="n">
        <x:v>20</x:v>
      </x:c>
      <x:c r="C16" s="1" t="n">
        <x:v>6</x:v>
      </x:c>
      <x:c r="D16" s="12" t="n">
        <x:v>0.5605</x:v>
      </x:c>
      <x:c r="E16" s="12" t="n">
        <x:v>0.5875</x:v>
      </x:c>
      <x:c r="F16" s="12" t="n">
        <x:v>0.134</x:v>
      </x:c>
      <x:c r="G16" s="12" t="n">
        <x:v>0.10400000000000001</x:v>
      </x:c>
      <x:c r="H16" s="1" t="n">
        <x:f>'Historical prices'!E16</x:f>
        <x:v>1.05</x:v>
      </x:c>
      <x:c r="I16" s="6" t="n">
        <x:f>'Historical prices'!D16</x:f>
        <x:v>0.2226</x:v>
      </x:c>
      <x:c r="J16" s="13" t="n">
        <x:f>D16*I16*H16</x:f>
        <x:v>0.131005665</x:v>
      </x:c>
      <x:c r="K16" s="13" t="n">
        <x:f>E16*I16*H16</x:f>
        <x:v>0.137316375</x:v>
      </x:c>
      <x:c r="L16" s="1" t="str">
        <x:f>TEXT(A16,"mmm yyyy")</x:f>
        <x:v>May 2026</x:v>
      </x:c>
    </x:row>
    <x:row r="17" ht="21" customHeight="1">
      <x:c r="A17" s="10" t="n">
        <x:v>46148</x:v>
      </x:c>
      <x:c r="B17" s="1" t="n">
        <x:v>20.5</x:v>
      </x:c>
      <x:c r="C17" s="1" t="n">
        <x:v>6</x:v>
      </x:c>
      <x:c r="D17" s="12" t="n">
        <x:v>0.60925</x:v>
      </x:c>
      <x:c r="E17" s="12" t="n">
        <x:v>0.62925</x:v>
      </x:c>
      <x:c r="F17" s="12" t="n">
        <x:v>0</x:v>
      </x:c>
      <x:c r="G17" s="12" t="n">
        <x:v>0</x:v>
      </x:c>
      <x:c r="H17" s="1" t="n">
        <x:f>'Historical prices'!E17</x:f>
        <x:v>1.05</x:v>
      </x:c>
      <x:c r="I17" s="6" t="n">
        <x:f>'Historical prices'!D17</x:f>
        <x:v>0.2226</x:v>
      </x:c>
      <x:c r="J17" s="13" t="n">
        <x:f>D17*I17*H17</x:f>
        <x:v>0.14240000249999998</x:v>
      </x:c>
      <x:c r="K17" s="13" t="n">
        <x:f>E17*I17*H17</x:f>
        <x:v>0.1470746025</x:v>
      </x:c>
      <x:c r="L17" s="1" t="str">
        <x:f>TEXT(A17,"mmm yyyy")</x:f>
        <x:v>May 2026</x:v>
      </x:c>
    </x:row>
    <x:row r="18" ht="21" customHeight="1">
      <x:c r="A18" s="10" t="n">
        <x:v>46148</x:v>
      </x:c>
      <x:c r="B18" s="1" t="n">
        <x:v>21</x:v>
      </x:c>
      <x:c r="C18" s="1" t="n">
        <x:v>6</x:v>
      </x:c>
      <x:c r="D18" s="12" t="n">
        <x:v>0.5009166666666667</x:v>
      </x:c>
      <x:c r="E18" s="12" t="n">
        <x:v>0.5209166666666667</x:v>
      </x:c>
      <x:c r="F18" s="12" t="n">
        <x:v>0</x:v>
      </x:c>
      <x:c r="G18" s="12" t="n">
        <x:v>0</x:v>
      </x:c>
      <x:c r="H18" s="1" t="n">
        <x:f>'Historical prices'!E18</x:f>
        <x:v>1.05</x:v>
      </x:c>
      <x:c r="I18" s="6" t="n">
        <x:f>'Historical prices'!D18</x:f>
        <x:v>0.2226</x:v>
      </x:c>
      <x:c r="J18" s="13" t="n">
        <x:f>D18*I18*H18</x:f>
        <x:v>0.1170792525</x:v>
      </x:c>
      <x:c r="K18" s="13" t="n">
        <x:f>E18*I18*H18</x:f>
        <x:v>0.12175385250000001</x:v>
      </x:c>
      <x:c r="L18" s="1" t="str">
        <x:f>TEXT(A18,"mmm yyyy")</x:f>
        <x:v>May 2026</x:v>
      </x:c>
    </x:row>
    <x:row r="19" ht="21" customHeight="1">
      <x:c r="A19" s="10" t="n">
        <x:v>46148</x:v>
      </x:c>
      <x:c r="B19" s="1" t="n">
        <x:v>21.5</x:v>
      </x:c>
      <x:c r="C19" s="1" t="n">
        <x:v>6</x:v>
      </x:c>
      <x:c r="D19" s="12" t="n">
        <x:v>0.9965</x:v>
      </x:c>
      <x:c r="E19" s="12" t="n">
        <x:v>1.0105</x:v>
      </x:c>
      <x:c r="F19" s="12" t="n">
        <x:v>0</x:v>
      </x:c>
      <x:c r="G19" s="12" t="n">
        <x:v>0</x:v>
      </x:c>
      <x:c r="H19" s="1" t="n">
        <x:f>'Historical prices'!E19</x:f>
        <x:v>1.05</x:v>
      </x:c>
      <x:c r="I19" s="6" t="n">
        <x:f>'Historical prices'!D19</x:f>
        <x:v>0.2226</x:v>
      </x:c>
      <x:c r="J19" s="13" t="n">
        <x:f>D19*I19*H19</x:f>
        <x:v>0.23291194500000004</x:v>
      </x:c>
      <x:c r="K19" s="13" t="n">
        <x:f>E19*I19*H19</x:f>
        <x:v>0.236184165</x:v>
      </x:c>
      <x:c r="L19" s="1" t="str">
        <x:f>TEXT(A19,"mmm yyyy")</x:f>
        <x:v>May 2026</x:v>
      </x:c>
    </x:row>
    <x:row r="20" ht="21" customHeight="1">
      <x:c r="A20" s="10" t="n">
        <x:v>46148</x:v>
      </x:c>
      <x:c r="B20" s="1" t="n">
        <x:v>22</x:v>
      </x:c>
      <x:c r="C20" s="1" t="n">
        <x:v>6</x:v>
      </x:c>
      <x:c r="D20" s="12" t="n">
        <x:v>0.28841666666666665</x:v>
      </x:c>
      <x:c r="E20" s="12" t="n">
        <x:v>0.29541666666666666</x:v>
      </x:c>
      <x:c r="F20" s="12" t="n">
        <x:v>0</x:v>
      </x:c>
      <x:c r="G20" s="12" t="n">
        <x:v>0</x:v>
      </x:c>
      <x:c r="H20" s="1" t="n">
        <x:f>'Historical prices'!E20</x:f>
        <x:v>1.05</x:v>
      </x:c>
      <x:c r="I20" s="6" t="n">
        <x:f>'Historical prices'!D20</x:f>
        <x:v>0.2226</x:v>
      </x:c>
      <x:c r="J20" s="13" t="n">
        <x:f>D20*I20*H20</x:f>
        <x:v>0.0674116275</x:v>
      </x:c>
      <x:c r="K20" s="13" t="n">
        <x:f>E20*I20*H20</x:f>
        <x:v>0.0690477375</x:v>
      </x:c>
      <x:c r="L20" s="1" t="str">
        <x:f>TEXT(A20,"mmm yyyy")</x:f>
        <x:v>May 2026</x:v>
      </x:c>
    </x:row>
    <x:row r="21" ht="21" customHeight="1">
      <x:c r="A21" s="10" t="n">
        <x:v>46148</x:v>
      </x:c>
      <x:c r="B21" s="1" t="n">
        <x:v>22.5</x:v>
      </x:c>
      <x:c r="C21" s="1" t="n">
        <x:v>6</x:v>
      </x:c>
      <x:c r="D21" s="12" t="n">
        <x:v>0.2316666666666667</x:v>
      </x:c>
      <x:c r="E21" s="12" t="n">
        <x:v>0.2396666666666667</x:v>
      </x:c>
      <x:c r="F21" s="12" t="n">
        <x:v>0</x:v>
      </x:c>
      <x:c r="G21" s="12" t="n">
        <x:v>0</x:v>
      </x:c>
      <x:c r="H21" s="1" t="n">
        <x:f>'Historical prices'!E21</x:f>
        <x:v>1.05</x:v>
      </x:c>
      <x:c r="I21" s="6" t="n">
        <x:f>'Historical prices'!D21</x:f>
        <x:v>0.2226</x:v>
      </x:c>
      <x:c r="J21" s="13" t="n">
        <x:f>D21*I21*H21</x:f>
        <x:v>0.05414745000000001</x:v>
      </x:c>
      <x:c r="K21" s="13" t="n">
        <x:f>E21*I21*H21</x:f>
        <x:v>0.056017290000000004</x:v>
      </x:c>
      <x:c r="L21" s="1" t="str">
        <x:f>TEXT(A21,"mmm yyyy")</x:f>
        <x:v>May 2026</x:v>
      </x:c>
    </x:row>
    <x:row r="22" ht="21" customHeight="1">
      <x:c r="A22" s="10" t="n">
        <x:v>46148</x:v>
      </x:c>
      <x:c r="B22" s="1" t="n">
        <x:v>23</x:v>
      </x:c>
      <x:c r="C22" s="1" t="n">
        <x:v>6</x:v>
      </x:c>
      <x:c r="D22" s="12" t="n">
        <x:v>0.2836666666666667</x:v>
      </x:c>
      <x:c r="E22" s="12" t="n">
        <x:v>0.2876666666666667</x:v>
      </x:c>
      <x:c r="F22" s="12" t="n">
        <x:v>0</x:v>
      </x:c>
      <x:c r="G22" s="12" t="n">
        <x:v>0</x:v>
      </x:c>
      <x:c r="H22" s="1" t="n">
        <x:f>'Historical prices'!E22</x:f>
        <x:v>1.05</x:v>
      </x:c>
      <x:c r="I22" s="6" t="n">
        <x:f>'Historical prices'!D22</x:f>
        <x:v>0.2226</x:v>
      </x:c>
      <x:c r="J22" s="13" t="n">
        <x:f>D22*I22*H22</x:f>
        <x:v>0.06630141</x:v>
      </x:c>
      <x:c r="K22" s="13" t="n">
        <x:f>E22*I22*H22</x:f>
        <x:v>0.06723633</x:v>
      </x:c>
      <x:c r="L22" s="1" t="str">
        <x:f>TEXT(A22,"mmm yyyy")</x:f>
        <x:v>May 2026</x:v>
      </x:c>
    </x:row>
    <x:row r="23" ht="21" customHeight="1">
      <x:c r="A23" s="10" t="n">
        <x:v>46148</x:v>
      </x:c>
      <x:c r="B23" s="1" t="n">
        <x:v>23.5</x:v>
      </x:c>
      <x:c r="C23" s="1" t="n">
        <x:v>6</x:v>
      </x:c>
      <x:c r="D23" s="12" t="n">
        <x:v>0.24041666666666667</x:v>
      </x:c>
      <x:c r="E23" s="12" t="n">
        <x:v>0.24541666666666667</x:v>
      </x:c>
      <x:c r="F23" s="12" t="n">
        <x:v>0</x:v>
      </x:c>
      <x:c r="G23" s="12" t="n">
        <x:v>0</x:v>
      </x:c>
      <x:c r="H23" s="1" t="n">
        <x:f>'Historical prices'!E23</x:f>
        <x:v>1.05</x:v>
      </x:c>
      <x:c r="I23" s="6" t="n">
        <x:f>'Historical prices'!D23</x:f>
        <x:v>0.2226</x:v>
      </x:c>
      <x:c r="J23" s="13" t="n">
        <x:f>D23*I23*H23</x:f>
        <x:v>0.056192587499999995</x:v>
      </x:c>
      <x:c r="K23" s="13" t="n">
        <x:f>E23*I23*H23</x:f>
        <x:v>0.0573612375</x:v>
      </x:c>
      <x:c r="L23" s="1" t="str">
        <x:f>TEXT(A23,"mmm yyyy")</x:f>
        <x:v>May 2026</x:v>
      </x:c>
    </x:row>
    <x:row r="24" ht="21" customHeight="1">
      <x:c r="A24" s="10" t="n">
        <x:v>46149</x:v>
      </x:c>
      <x:c r="B24" s="1" t="n">
        <x:v>0</x:v>
      </x:c>
      <x:c r="C24" s="1" t="n">
        <x:v>6</x:v>
      </x:c>
      <x:c r="D24" s="12" t="n">
        <x:v>0.3061666666666666</x:v>
      </x:c>
      <x:c r="E24" s="12" t="n">
        <x:v>0.3081666666666666</x:v>
      </x:c>
      <x:c r="F24" s="12" t="n">
        <x:v>0</x:v>
      </x:c>
      <x:c r="G24" s="12" t="n">
        <x:v>0</x:v>
      </x:c>
      <x:c r="H24" s="1" t="n">
        <x:f>'Historical prices'!E24</x:f>
        <x:v>1.05</x:v>
      </x:c>
      <x:c r="I24" s="6" t="n">
        <x:f>'Historical prices'!D24</x:f>
        <x:v>0.2226</x:v>
      </x:c>
      <x:c r="J24" s="13" t="n">
        <x:f>D24*I24*H24</x:f>
        <x:v>0.07156033499999999</x:v>
      </x:c>
      <x:c r="K24" s="13" t="n">
        <x:f>E24*I24*H24</x:f>
        <x:v>0.07202779499999998</x:v>
      </x:c>
      <x:c r="L24" s="1" t="str">
        <x:f>TEXT(A24,"mmm yyyy")</x:f>
        <x:v>May 2026</x:v>
      </x:c>
    </x:row>
    <x:row r="25" ht="21" customHeight="1">
      <x:c r="A25" s="10" t="n">
        <x:v>46149</x:v>
      </x:c>
      <x:c r="B25" s="1" t="n">
        <x:v>0.5</x:v>
      </x:c>
      <x:c r="C25" s="1" t="n">
        <x:v>6</x:v>
      </x:c>
      <x:c r="D25" s="12" t="n">
        <x:v>0.269</x:v>
      </x:c>
      <x:c r="E25" s="12" t="n">
        <x:v>0.273</x:v>
      </x:c>
      <x:c r="F25" s="12" t="n">
        <x:v>0</x:v>
      </x:c>
      <x:c r="G25" s="12" t="n">
        <x:v>0</x:v>
      </x:c>
      <x:c r="H25" s="1" t="n">
        <x:f>'Historical prices'!E25</x:f>
        <x:v>1.05</x:v>
      </x:c>
      <x:c r="I25" s="6" t="n">
        <x:f>'Historical prices'!D25</x:f>
        <x:v>0.2226</x:v>
      </x:c>
      <x:c r="J25" s="13" t="n">
        <x:f>D25*I25*H25</x:f>
        <x:v>0.06287337</x:v>
      </x:c>
      <x:c r="K25" s="13" t="n">
        <x:f>E25*I25*H25</x:f>
        <x:v>0.06380829</x:v>
      </x:c>
      <x:c r="L25" s="1" t="str">
        <x:f>TEXT(A25,"mmm yyyy")</x:f>
        <x:v>May 2026</x:v>
      </x:c>
    </x:row>
    <x:row r="26" ht="21" customHeight="1">
      <x:c r="A26" s="10" t="n">
        <x:v>46149</x:v>
      </x:c>
      <x:c r="B26" s="1" t="n">
        <x:v>1</x:v>
      </x:c>
      <x:c r="C26" s="1" t="n">
        <x:v>6</x:v>
      </x:c>
      <x:c r="D26" s="12" t="n">
        <x:v>0.255</x:v>
      </x:c>
      <x:c r="E26" s="12" t="n">
        <x:v>0.255</x:v>
      </x:c>
      <x:c r="F26" s="12" t="n">
        <x:v>0</x:v>
      </x:c>
      <x:c r="G26" s="12" t="n">
        <x:v>0</x:v>
      </x:c>
      <x:c r="H26" s="1" t="n">
        <x:f>'Historical prices'!E26</x:f>
        <x:v>1.05</x:v>
      </x:c>
      <x:c r="I26" s="6" t="n">
        <x:f>'Historical prices'!D26</x:f>
        <x:v>0.2226</x:v>
      </x:c>
      <x:c r="J26" s="13" t="n">
        <x:f>D26*I26*H26</x:f>
        <x:v>0.059601150000000006</x:v>
      </x:c>
      <x:c r="K26" s="13" t="n">
        <x:f>E26*I26*H26</x:f>
        <x:v>0.059601150000000006</x:v>
      </x:c>
      <x:c r="L26" s="1" t="str">
        <x:f>TEXT(A26,"mmm yyyy")</x:f>
        <x:v>May 2026</x:v>
      </x:c>
    </x:row>
    <x:row r="27" ht="21" customHeight="1">
      <x:c r="A27" s="10" t="n">
        <x:v>46149</x:v>
      </x:c>
      <x:c r="B27" s="1" t="n">
        <x:v>1.5</x:v>
      </x:c>
      <x:c r="C27" s="1" t="n">
        <x:v>6</x:v>
      </x:c>
      <x:c r="D27" s="12" t="n">
        <x:v>0.2763333333333334</x:v>
      </x:c>
      <x:c r="E27" s="12" t="n">
        <x:v>0.2793333333333334</x:v>
      </x:c>
      <x:c r="F27" s="12" t="n">
        <x:v>0</x:v>
      </x:c>
      <x:c r="G27" s="12" t="n">
        <x:v>0</x:v>
      </x:c>
      <x:c r="H27" s="1" t="n">
        <x:f>'Historical prices'!E27</x:f>
        <x:v>1.05</x:v>
      </x:c>
      <x:c r="I27" s="6" t="n">
        <x:f>'Historical prices'!D27</x:f>
        <x:v>0.2226</x:v>
      </x:c>
      <x:c r="J27" s="13" t="n">
        <x:f>D27*I27*H27</x:f>
        <x:v>0.06458739000000001</x:v>
      </x:c>
      <x:c r="K27" s="13" t="n">
        <x:f>E27*I27*H27</x:f>
        <x:v>0.06528858000000001</x:v>
      </x:c>
      <x:c r="L27" s="1" t="str">
        <x:f>TEXT(A27,"mmm yyyy")</x:f>
        <x:v>May 2026</x:v>
      </x:c>
    </x:row>
    <x:row r="28" ht="21" customHeight="1">
      <x:c r="A28" s="10" t="n">
        <x:v>46149</x:v>
      </x:c>
      <x:c r="B28" s="1" t="n">
        <x:v>2</x:v>
      </x:c>
      <x:c r="C28" s="1" t="n">
        <x:v>6</x:v>
      </x:c>
      <x:c r="D28" s="12" t="n">
        <x:v>0.25933333333333336</x:v>
      </x:c>
      <x:c r="E28" s="12" t="n">
        <x:v>0.26133333333333336</x:v>
      </x:c>
      <x:c r="F28" s="12" t="n">
        <x:v>0</x:v>
      </x:c>
      <x:c r="G28" s="12" t="n">
        <x:v>0</x:v>
      </x:c>
      <x:c r="H28" s="1" t="n">
        <x:f>'Historical prices'!E28</x:f>
        <x:v>1.05</x:v>
      </x:c>
      <x:c r="I28" s="6" t="n">
        <x:f>'Historical prices'!D28</x:f>
        <x:v>0.2226</x:v>
      </x:c>
      <x:c r="J28" s="13" t="n">
        <x:f>D28*I28*H28</x:f>
        <x:v>0.060613980000000005</x:v>
      </x:c>
      <x:c r="K28" s="13" t="n">
        <x:f>E28*I28*H28</x:f>
        <x:v>0.06108144000000001</x:v>
      </x:c>
      <x:c r="L28" s="1" t="str">
        <x:f>TEXT(A28,"mmm yyyy")</x:f>
        <x:v>May 2026</x:v>
      </x:c>
    </x:row>
    <x:row r="29" ht="21" customHeight="1">
      <x:c r="A29" s="10" t="n">
        <x:v>46149</x:v>
      </x:c>
      <x:c r="B29" s="1" t="n">
        <x:v>2.5</x:v>
      </x:c>
      <x:c r="C29" s="1" t="n">
        <x:v>6</x:v>
      </x:c>
      <x:c r="D29" s="12" t="n">
        <x:v>0.22666666666666666</x:v>
      </x:c>
      <x:c r="E29" s="12" t="n">
        <x:v>0.22866666666666666</x:v>
      </x:c>
      <x:c r="F29" s="12" t="n">
        <x:v>0</x:v>
      </x:c>
      <x:c r="G29" s="12" t="n">
        <x:v>0</x:v>
      </x:c>
      <x:c r="H29" s="1" t="n">
        <x:f>'Historical prices'!E29</x:f>
        <x:v>1.05</x:v>
      </x:c>
      <x:c r="I29" s="6" t="n">
        <x:f>'Historical prices'!D29</x:f>
        <x:v>0.2226</x:v>
      </x:c>
      <x:c r="J29" s="13" t="n">
        <x:f>D29*I29*H29</x:f>
        <x:v>0.05297879999999999</x:v>
      </x:c>
      <x:c r="K29" s="13" t="n">
        <x:f>E29*I29*H29</x:f>
        <x:v>0.053446259999999995</x:v>
      </x:c>
      <x:c r="L29" s="1" t="str">
        <x:f>TEXT(A29,"mmm yyyy")</x:f>
        <x:v>May 2026</x:v>
      </x:c>
    </x:row>
    <x:row r="30" ht="21" customHeight="1">
      <x:c r="A30" s="10" t="n">
        <x:v>46149</x:v>
      </x:c>
      <x:c r="B30" s="1" t="n">
        <x:v>3</x:v>
      </x:c>
      <x:c r="C30" s="1" t="n">
        <x:v>6</x:v>
      </x:c>
      <x:c r="D30" s="12" t="n">
        <x:v>0.26266666666666666</x:v>
      </x:c>
      <x:c r="E30" s="12" t="n">
        <x:v>0.26366666666666666</x:v>
      </x:c>
      <x:c r="F30" s="12" t="n">
        <x:v>0</x:v>
      </x:c>
      <x:c r="G30" s="12" t="n">
        <x:v>0</x:v>
      </x:c>
      <x:c r="H30" s="1" t="n">
        <x:f>'Historical prices'!E30</x:f>
        <x:v>1.05</x:v>
      </x:c>
      <x:c r="I30" s="6" t="n">
        <x:f>'Historical prices'!D30</x:f>
        <x:v>0.2226</x:v>
      </x:c>
      <x:c r="J30" s="13" t="n">
        <x:f>D30*I30*H30</x:f>
        <x:v>0.061393079999999996</x:v>
      </x:c>
      <x:c r="K30" s="13" t="n">
        <x:f>E30*I30*H30</x:f>
        <x:v>0.061626810000000004</x:v>
      </x:c>
      <x:c r="L30" s="1" t="str">
        <x:f>TEXT(A30,"mmm yyyy")</x:f>
        <x:v>May 2026</x:v>
      </x:c>
    </x:row>
    <x:row r="31" ht="21" customHeight="1">
      <x:c r="A31" s="10" t="n">
        <x:v>46149</x:v>
      </x:c>
      <x:c r="B31" s="1" t="n">
        <x:v>3.5</x:v>
      </x:c>
      <x:c r="C31" s="1" t="n">
        <x:v>6</x:v>
      </x:c>
      <x:c r="D31" s="12" t="n">
        <x:v>0.3110833333333334</x:v>
      </x:c>
      <x:c r="E31" s="12" t="n">
        <x:v>0.3130833333333334</x:v>
      </x:c>
      <x:c r="F31" s="12" t="n">
        <x:v>0</x:v>
      </x:c>
      <x:c r="G31" s="12" t="n">
        <x:v>0</x:v>
      </x:c>
      <x:c r="H31" s="1" t="n">
        <x:f>'Historical prices'!E31</x:f>
        <x:v>1.05</x:v>
      </x:c>
      <x:c r="I31" s="6" t="n">
        <x:f>'Historical prices'!D31</x:f>
        <x:v>0.2226</x:v>
      </x:c>
      <x:c r="J31" s="13" t="n">
        <x:f>D31*I31*H31</x:f>
        <x:v>0.0727095075</x:v>
      </x:c>
      <x:c r="K31" s="13" t="n">
        <x:f>E31*I31*H31</x:f>
        <x:v>0.07317696750000002</x:v>
      </x:c>
      <x:c r="L31" s="1" t="str">
        <x:f>TEXT(A31,"mmm yyyy")</x:f>
        <x:v>May 2026</x:v>
      </x:c>
    </x:row>
    <x:row r="32" ht="21" customHeight="1">
      <x:c r="A32" s="10" t="n">
        <x:v>46149</x:v>
      </x:c>
      <x:c r="B32" s="1" t="n">
        <x:v>4</x:v>
      </x:c>
      <x:c r="C32" s="1" t="n">
        <x:v>6</x:v>
      </x:c>
      <x:c r="D32" s="12" t="n">
        <x:v>0.2306666666666667</x:v>
      </x:c>
      <x:c r="E32" s="12" t="n">
        <x:v>0.2326666666666667</x:v>
      </x:c>
      <x:c r="F32" s="12" t="n">
        <x:v>0</x:v>
      </x:c>
      <x:c r="G32" s="12" t="n">
        <x:v>0</x:v>
      </x:c>
      <x:c r="H32" s="1" t="n">
        <x:f>'Historical prices'!E32</x:f>
        <x:v>1.05</x:v>
      </x:c>
      <x:c r="I32" s="6" t="n">
        <x:f>'Historical prices'!D32</x:f>
        <x:v>0.2226</x:v>
      </x:c>
      <x:c r="J32" s="13" t="n">
        <x:f>D32*I32*H32</x:f>
        <x:v>0.053913720000000005</x:v>
      </x:c>
      <x:c r="K32" s="13" t="n">
        <x:f>E32*I32*H32</x:f>
        <x:v>0.05438118</x:v>
      </x:c>
      <x:c r="L32" s="1" t="str">
        <x:f>TEXT(A32,"mmm yyyy")</x:f>
        <x:v>May 2026</x:v>
      </x:c>
    </x:row>
    <x:row r="33" ht="21" customHeight="1">
      <x:c r="A33" s="10" t="n">
        <x:v>46149</x:v>
      </x:c>
      <x:c r="B33" s="1" t="n">
        <x:v>4.5</x:v>
      </x:c>
      <x:c r="C33" s="1" t="n">
        <x:v>6</x:v>
      </x:c>
      <x:c r="D33" s="12" t="n">
        <x:v>0.318</x:v>
      </x:c>
      <x:c r="E33" s="12" t="n">
        <x:v>0.318</x:v>
      </x:c>
      <x:c r="F33" s="12" t="n">
        <x:v>0</x:v>
      </x:c>
      <x:c r="G33" s="12" t="n">
        <x:v>0</x:v>
      </x:c>
      <x:c r="H33" s="1" t="n">
        <x:f>'Historical prices'!E33</x:f>
        <x:v>1.05</x:v>
      </x:c>
      <x:c r="I33" s="6" t="n">
        <x:f>'Historical prices'!D33</x:f>
        <x:v>0.2226</x:v>
      </x:c>
      <x:c r="J33" s="13" t="n">
        <x:f>D33*I33*H33</x:f>
        <x:v>0.07432614</x:v>
      </x:c>
      <x:c r="K33" s="13" t="n">
        <x:f>E33*I33*H33</x:f>
        <x:v>0.07432614</x:v>
      </x:c>
      <x:c r="L33" s="1" t="str">
        <x:f>TEXT(A33,"mmm yyyy")</x:f>
        <x:v>May 2026</x:v>
      </x:c>
    </x:row>
    <x:row r="34" ht="21" customHeight="1">
      <x:c r="A34" s="10" t="n">
        <x:v>46149</x:v>
      </x:c>
      <x:c r="B34" s="1" t="n">
        <x:v>5</x:v>
      </x:c>
      <x:c r="C34" s="1" t="n">
        <x:v>6</x:v>
      </x:c>
      <x:c r="D34" s="12" t="n">
        <x:v>0.2635</x:v>
      </x:c>
      <x:c r="E34" s="12" t="n">
        <x:v>0.2675</x:v>
      </x:c>
      <x:c r="F34" s="12" t="n">
        <x:v>0</x:v>
      </x:c>
      <x:c r="G34" s="12" t="n">
        <x:v>0</x:v>
      </x:c>
      <x:c r="H34" s="1" t="n">
        <x:f>'Historical prices'!E34</x:f>
        <x:v>1.05</x:v>
      </x:c>
      <x:c r="I34" s="6" t="n">
        <x:f>'Historical prices'!D34</x:f>
        <x:v>0.2226</x:v>
      </x:c>
      <x:c r="J34" s="13" t="n">
        <x:f>D34*I34*H34</x:f>
        <x:v>0.061587855000000004</x:v>
      </x:c>
      <x:c r="K34" s="13" t="n">
        <x:f>E34*I34*H34</x:f>
        <x:v>0.062522775</x:v>
      </x:c>
      <x:c r="L34" s="1" t="str">
        <x:f>TEXT(A34,"mmm yyyy")</x:f>
        <x:v>May 2026</x:v>
      </x:c>
    </x:row>
    <x:row r="35" ht="21" customHeight="1">
      <x:c r="A35" s="10" t="n">
        <x:v>46149</x:v>
      </x:c>
      <x:c r="B35" s="1" t="n">
        <x:v>5.5</x:v>
      </x:c>
      <x:c r="C35" s="1" t="n">
        <x:v>6</x:v>
      </x:c>
      <x:c r="D35" s="12" t="n">
        <x:v>0.32375</x:v>
      </x:c>
      <x:c r="E35" s="12" t="n">
        <x:v>0.32475</x:v>
      </x:c>
      <x:c r="F35" s="12" t="n">
        <x:v>0</x:v>
      </x:c>
      <x:c r="G35" s="12" t="n">
        <x:v>0</x:v>
      </x:c>
      <x:c r="H35" s="1" t="n">
        <x:f>'Historical prices'!E35</x:f>
        <x:v>1.05</x:v>
      </x:c>
      <x:c r="I35" s="6" t="n">
        <x:f>'Historical prices'!D35</x:f>
        <x:v>0.2226</x:v>
      </x:c>
      <x:c r="J35" s="13" t="n">
        <x:f>D35*I35*H35</x:f>
        <x:v>0.0756700875</x:v>
      </x:c>
      <x:c r="K35" s="13" t="n">
        <x:f>E35*I35*H35</x:f>
        <x:v>0.07590381749999998</x:v>
      </x:c>
      <x:c r="L35" s="1" t="str">
        <x:f>TEXT(A35,"mmm yyyy")</x:f>
        <x:v>May 2026</x:v>
      </x:c>
    </x:row>
    <x:row r="36" ht="21" customHeight="1">
      <x:c r="A36" s="10" t="n">
        <x:v>46149</x:v>
      </x:c>
      <x:c r="B36" s="1" t="n">
        <x:v>6</x:v>
      </x:c>
      <x:c r="C36" s="1" t="n">
        <x:v>6</x:v>
      </x:c>
      <x:c r="D36" s="12" t="n">
        <x:v>0.52625</x:v>
      </x:c>
      <x:c r="E36" s="12" t="n">
        <x:v>0.52725</x:v>
      </x:c>
      <x:c r="F36" s="12" t="n">
        <x:v>0</x:v>
      </x:c>
      <x:c r="G36" s="12" t="n">
        <x:v>0</x:v>
      </x:c>
      <x:c r="H36" s="1" t="n">
        <x:f>'Historical prices'!E36</x:f>
        <x:v>1.05</x:v>
      </x:c>
      <x:c r="I36" s="6" t="n">
        <x:f>'Historical prices'!D36</x:f>
        <x:v>0.2226</x:v>
      </x:c>
      <x:c r="J36" s="13" t="n">
        <x:f>D36*I36*H36</x:f>
        <x:v>0.12300041249999999</x:v>
      </x:c>
      <x:c r="K36" s="13" t="n">
        <x:f>E36*I36*H36</x:f>
        <x:v>0.1232341425</x:v>
      </x:c>
      <x:c r="L36" s="1" t="str">
        <x:f>TEXT(A36,"mmm yyyy")</x:f>
        <x:v>May 2026</x:v>
      </x:c>
    </x:row>
    <x:row r="37" ht="21" customHeight="1">
      <x:c r="A37" s="10" t="n">
        <x:v>46149</x:v>
      </x:c>
      <x:c r="B37" s="1" t="n">
        <x:v>6.5</x:v>
      </x:c>
      <x:c r="C37" s="1" t="n">
        <x:v>6</x:v>
      </x:c>
      <x:c r="D37" s="12" t="n">
        <x:v>0.6728333333333333</x:v>
      </x:c>
      <x:c r="E37" s="12" t="n">
        <x:v>0.6738333333333333</x:v>
      </x:c>
      <x:c r="F37" s="12" t="n">
        <x:v>0</x:v>
      </x:c>
      <x:c r="G37" s="12" t="n">
        <x:v>0</x:v>
      </x:c>
      <x:c r="H37" s="1" t="n">
        <x:f>'Historical prices'!E37</x:f>
        <x:v>1.05</x:v>
      </x:c>
      <x:c r="I37" s="6" t="n">
        <x:f>'Historical prices'!D37</x:f>
        <x:v>0.2226</x:v>
      </x:c>
      <x:c r="J37" s="13" t="n">
        <x:f>D37*I37*H37</x:f>
        <x:v>0.15726133499999997</x:v>
      </x:c>
      <x:c r="K37" s="13" t="n">
        <x:f>E37*I37*H37</x:f>
        <x:v>0.15749506499999996</x:v>
      </x:c>
      <x:c r="L37" s="1" t="str">
        <x:f>TEXT(A37,"mmm yyyy")</x:f>
        <x:v>May 2026</x:v>
      </x:c>
    </x:row>
    <x:row r="38" ht="21" customHeight="1">
      <x:c r="A38" s="10" t="n">
        <x:v>46149</x:v>
      </x:c>
      <x:c r="B38" s="1" t="n">
        <x:v>7</x:v>
      </x:c>
      <x:c r="C38" s="1" t="n">
        <x:v>6</x:v>
      </x:c>
      <x:c r="D38" s="12" t="n">
        <x:v>0.7246666666666667</x:v>
      </x:c>
      <x:c r="E38" s="12" t="n">
        <x:v>0.7246666666666667</x:v>
      </x:c>
      <x:c r="F38" s="12" t="n">
        <x:v>0</x:v>
      </x:c>
      <x:c r="G38" s="12" t="n">
        <x:v>0</x:v>
      </x:c>
      <x:c r="H38" s="1" t="n">
        <x:f>'Historical prices'!E38</x:f>
        <x:v>1.05</x:v>
      </x:c>
      <x:c r="I38" s="6" t="n">
        <x:f>'Historical prices'!D38</x:f>
        <x:v>0.2226</x:v>
      </x:c>
      <x:c r="J38" s="13" t="n">
        <x:f>D38*I38*H38</x:f>
        <x:v>0.16937634000000001</x:v>
      </x:c>
      <x:c r="K38" s="13" t="n">
        <x:f>E38*I38*H38</x:f>
        <x:v>0.16937634000000001</x:v>
      </x:c>
      <x:c r="L38" s="1" t="str">
        <x:f>TEXT(A38,"mmm yyyy")</x:f>
        <x:v>May 2026</x:v>
      </x:c>
    </x:row>
    <x:row r="39" ht="21" customHeight="1">
      <x:c r="A39" s="10" t="n">
        <x:v>46149</x:v>
      </x:c>
      <x:c r="B39" s="1" t="n">
        <x:v>7.5</x:v>
      </x:c>
      <x:c r="C39" s="1" t="n">
        <x:v>6</x:v>
      </x:c>
      <x:c r="D39" s="12" t="n">
        <x:v>0.7710833333333335</x:v>
      </x:c>
      <x:c r="E39" s="12" t="n">
        <x:v>0.7730833333333335</x:v>
      </x:c>
      <x:c r="F39" s="12" t="n">
        <x:v>0</x:v>
      </x:c>
      <x:c r="G39" s="12" t="n">
        <x:v>0</x:v>
      </x:c>
      <x:c r="H39" s="1" t="n">
        <x:f>'Historical prices'!E39</x:f>
        <x:v>1.05</x:v>
      </x:c>
      <x:c r="I39" s="6" t="n">
        <x:f>'Historical prices'!D39</x:f>
        <x:v>0.2226</x:v>
      </x:c>
      <x:c r="J39" s="13" t="n">
        <x:f>D39*I39*H39</x:f>
        <x:v>0.18022530750000004</x:v>
      </x:c>
      <x:c r="K39" s="13" t="n">
        <x:f>E39*I39*H39</x:f>
        <x:v>0.18069276750000005</x:v>
      </x:c>
      <x:c r="L39" s="1" t="str">
        <x:f>TEXT(A39,"mmm yyyy")</x:f>
        <x:v>May 2026</x:v>
      </x:c>
    </x:row>
    <x:row r="40" ht="21" customHeight="1">
      <x:c r="A40" s="10" t="n">
        <x:v>46149</x:v>
      </x:c>
      <x:c r="B40" s="1" t="n">
        <x:v>8</x:v>
      </x:c>
      <x:c r="C40" s="1" t="n">
        <x:v>6</x:v>
      </x:c>
      <x:c r="D40" s="12" t="n">
        <x:v>1.204</x:v>
      </x:c>
      <x:c r="E40" s="12" t="n">
        <x:v>1.204</x:v>
      </x:c>
      <x:c r="F40" s="12" t="n">
        <x:v>0</x:v>
      </x:c>
      <x:c r="G40" s="12" t="n">
        <x:v>0</x:v>
      </x:c>
      <x:c r="H40" s="1" t="n">
        <x:f>'Historical prices'!E40</x:f>
        <x:v>1.05</x:v>
      </x:c>
      <x:c r="I40" s="6" t="n">
        <x:f>'Historical prices'!D40</x:f>
        <x:v>0.2226</x:v>
      </x:c>
      <x:c r="J40" s="13" t="n">
        <x:f>D40*I40*H40</x:f>
        <x:v>0.28141092</x:v>
      </x:c>
      <x:c r="K40" s="13" t="n">
        <x:f>E40*I40*H40</x:f>
        <x:v>0.28141092</x:v>
      </x:c>
      <x:c r="L40" s="1" t="str">
        <x:f>TEXT(A40,"mmm yyyy")</x:f>
        <x:v>May 2026</x:v>
      </x:c>
    </x:row>
    <x:row r="41" ht="21" customHeight="1">
      <x:c r="A41" s="10" t="n">
        <x:v>46149</x:v>
      </x:c>
      <x:c r="B41" s="1" t="n">
        <x:v>8.5</x:v>
      </x:c>
      <x:c r="C41" s="1" t="n">
        <x:v>6</x:v>
      </x:c>
      <x:c r="D41" s="12" t="n">
        <x:v>2.1290833333333334</x:v>
      </x:c>
      <x:c r="E41" s="12" t="n">
        <x:v>2.1300833333333333</x:v>
      </x:c>
      <x:c r="F41" s="12" t="n">
        <x:v>0</x:v>
      </x:c>
      <x:c r="G41" s="12" t="n">
        <x:v>0</x:v>
      </x:c>
      <x:c r="H41" s="1" t="n">
        <x:f>'Historical prices'!E41</x:f>
        <x:v>1.05</x:v>
      </x:c>
      <x:c r="I41" s="6" t="n">
        <x:f>'Historical prices'!D41</x:f>
        <x:v>0.2226</x:v>
      </x:c>
      <x:c r="J41" s="13" t="n">
        <x:f>D41*I41*H41</x:f>
        <x:v>0.4976306475</x:v>
      </x:c>
      <x:c r="K41" s="13" t="n">
        <x:f>E41*I41*H41</x:f>
        <x:v>0.4978643775</x:v>
      </x:c>
      <x:c r="L41" s="1" t="str">
        <x:f>TEXT(A41,"mmm yyyy")</x:f>
        <x:v>May 2026</x:v>
      </x:c>
    </x:row>
    <x:row r="42" ht="21" customHeight="1">
      <x:c r="A42" s="10" t="n">
        <x:v>46149</x:v>
      </x:c>
      <x:c r="B42" s="1" t="n">
        <x:v>9</x:v>
      </x:c>
      <x:c r="C42" s="1" t="n">
        <x:v>6</x:v>
      </x:c>
      <x:c r="D42" s="12" t="n">
        <x:v>1.4075833333333332</x:v>
      </x:c>
      <x:c r="E42" s="12" t="n">
        <x:v>1.4085833333333333</x:v>
      </x:c>
      <x:c r="F42" s="12" t="n">
        <x:v>0</x:v>
      </x:c>
      <x:c r="G42" s="12" t="n">
        <x:v>0</x:v>
      </x:c>
      <x:c r="H42" s="1" t="n">
        <x:f>'Historical prices'!E42</x:f>
        <x:v>1.05</x:v>
      </x:c>
      <x:c r="I42" s="6" t="n">
        <x:f>'Historical prices'!D42</x:f>
        <x:v>0.2226</x:v>
      </x:c>
      <x:c r="J42" s="13" t="n">
        <x:f>D42*I42*H42</x:f>
        <x:v>0.3289944525</x:v>
      </x:c>
      <x:c r="K42" s="13" t="n">
        <x:f>E42*I42*H42</x:f>
        <x:v>0.3292281825</x:v>
      </x:c>
      <x:c r="L42" s="1" t="str">
        <x:f>TEXT(A42,"mmm yyyy")</x:f>
        <x:v>May 2026</x:v>
      </x:c>
    </x:row>
    <x:row r="43" ht="21" customHeight="1">
      <x:c r="A43" s="10" t="n">
        <x:v>46149</x:v>
      </x:c>
      <x:c r="B43" s="1" t="n">
        <x:v>9.5</x:v>
      </x:c>
      <x:c r="C43" s="1" t="n">
        <x:v>6</x:v>
      </x:c>
      <x:c r="D43" s="12" t="n">
        <x:v>0.8743333333333334</x:v>
      </x:c>
      <x:c r="E43" s="12" t="n">
        <x:v>0.8753333333333334</x:v>
      </x:c>
      <x:c r="F43" s="12" t="n">
        <x:v>0</x:v>
      </x:c>
      <x:c r="G43" s="12" t="n">
        <x:v>0</x:v>
      </x:c>
      <x:c r="H43" s="1" t="n">
        <x:f>'Historical prices'!E43</x:f>
        <x:v>1.05</x:v>
      </x:c>
      <x:c r="I43" s="6" t="n">
        <x:f>'Historical prices'!D43</x:f>
        <x:v>0.2226</x:v>
      </x:c>
      <x:c r="J43" s="13" t="n">
        <x:f>D43*I43*H43</x:f>
        <x:v>0.20435793000000002</x:v>
      </x:c>
      <x:c r="K43" s="13" t="n">
        <x:f>E43*I43*H43</x:f>
        <x:v>0.20459166</x:v>
      </x:c>
      <x:c r="L43" s="1" t="str">
        <x:f>TEXT(A43,"mmm yyyy")</x:f>
        <x:v>May 2026</x:v>
      </x:c>
    </x:row>
    <x:row r="44" ht="21" customHeight="1">
      <x:c r="A44" s="10" t="n">
        <x:v>46149</x:v>
      </x:c>
      <x:c r="B44" s="1" t="n">
        <x:v>10</x:v>
      </x:c>
      <x:c r="C44" s="1" t="n">
        <x:v>6</x:v>
      </x:c>
      <x:c r="D44" s="12" t="n">
        <x:v>0.5976666666666667</x:v>
      </x:c>
      <x:c r="E44" s="12" t="n">
        <x:v>0.5986666666666667</x:v>
      </x:c>
      <x:c r="F44" s="12" t="n">
        <x:v>0</x:v>
      </x:c>
      <x:c r="G44" s="12" t="n">
        <x:v>0</x:v>
      </x:c>
      <x:c r="H44" s="1" t="n">
        <x:f>'Historical prices'!E44</x:f>
        <x:v>1.05</x:v>
      </x:c>
      <x:c r="I44" s="6" t="n">
        <x:f>'Historical prices'!D44</x:f>
        <x:v>0.2226</x:v>
      </x:c>
      <x:c r="J44" s="13" t="n">
        <x:f>D44*I44*H44</x:f>
        <x:v>0.13969263</x:v>
      </x:c>
      <x:c r="K44" s="13" t="n">
        <x:f>E44*I44*H44</x:f>
        <x:v>0.13992636</x:v>
      </x:c>
      <x:c r="L44" s="1" t="str">
        <x:f>TEXT(A44,"mmm yyyy")</x:f>
        <x:v>May 2026</x:v>
      </x:c>
    </x:row>
    <x:row r="45" ht="21" customHeight="1">
      <x:c r="A45" s="10" t="n">
        <x:v>46149</x:v>
      </x:c>
      <x:c r="B45" s="1" t="n">
        <x:v>10.5</x:v>
      </x:c>
      <x:c r="C45" s="1" t="n">
        <x:v>6</x:v>
      </x:c>
      <x:c r="D45" s="12" t="n">
        <x:v>0.6214999999999999</x:v>
      </x:c>
      <x:c r="E45" s="12" t="n">
        <x:v>0.6204999999999999</x:v>
      </x:c>
      <x:c r="F45" s="12" t="n">
        <x:v>0</x:v>
      </x:c>
      <x:c r="G45" s="12" t="n">
        <x:v>0</x:v>
      </x:c>
      <x:c r="H45" s="1" t="n">
        <x:f>'Historical prices'!E45</x:f>
        <x:v>1.05</x:v>
      </x:c>
      <x:c r="I45" s="6" t="n">
        <x:f>'Historical prices'!D45</x:f>
        <x:v>0.2226</x:v>
      </x:c>
      <x:c r="J45" s="13" t="n">
        <x:f>D45*I45*H45</x:f>
        <x:v>0.145263195</x:v>
      </x:c>
      <x:c r="K45" s="13" t="n">
        <x:f>E45*I45*H45</x:f>
        <x:v>0.14502946499999997</x:v>
      </x:c>
      <x:c r="L45" s="1" t="str">
        <x:f>TEXT(A45,"mmm yyyy")</x:f>
        <x:v>May 2026</x:v>
      </x:c>
    </x:row>
    <x:row r="46" ht="21" customHeight="1">
      <x:c r="A46" s="10" t="n">
        <x:v>46149</x:v>
      </x:c>
      <x:c r="B46" s="1" t="n">
        <x:v>11</x:v>
      </x:c>
      <x:c r="C46" s="1" t="n">
        <x:v>6</x:v>
      </x:c>
      <x:c r="D46" s="12" t="n">
        <x:v>0.7134166666666666</x:v>
      </x:c>
      <x:c r="E46" s="12" t="n">
        <x:v>0.7144166666666667</x:v>
      </x:c>
      <x:c r="F46" s="12" t="n">
        <x:v>0</x:v>
      </x:c>
      <x:c r="G46" s="12" t="n">
        <x:v>0</x:v>
      </x:c>
      <x:c r="H46" s="1" t="n">
        <x:f>'Historical prices'!E46</x:f>
        <x:v>1.05</x:v>
      </x:c>
      <x:c r="I46" s="6" t="n">
        <x:f>'Historical prices'!D46</x:f>
        <x:v>0.2226</x:v>
      </x:c>
      <x:c r="J46" s="13" t="n">
        <x:f>D46*I46*H46</x:f>
        <x:v>0.1667468775</x:v>
      </x:c>
      <x:c r="K46" s="13" t="n">
        <x:f>E46*I46*H46</x:f>
        <x:v>0.16698060750000002</x:v>
      </x:c>
      <x:c r="L46" s="1" t="str">
        <x:f>TEXT(A46,"mmm yyyy")</x:f>
        <x:v>May 2026</x:v>
      </x:c>
    </x:row>
    <x:row r="47" ht="21" customHeight="1">
      <x:c r="A47" s="10" t="n">
        <x:v>46149</x:v>
      </x:c>
      <x:c r="B47" s="1" t="n">
        <x:v>11.5</x:v>
      </x:c>
      <x:c r="C47" s="1" t="n">
        <x:v>6</x:v>
      </x:c>
      <x:c r="D47" s="12" t="n">
        <x:v>0.7418333333333335</x:v>
      </x:c>
      <x:c r="E47" s="12" t="n">
        <x:v>0.7418333333333335</x:v>
      </x:c>
      <x:c r="F47" s="12" t="n">
        <x:v>0</x:v>
      </x:c>
      <x:c r="G47" s="12" t="n">
        <x:v>0</x:v>
      </x:c>
      <x:c r="H47" s="1" t="n">
        <x:f>'Historical prices'!E47</x:f>
        <x:v>1.05</x:v>
      </x:c>
      <x:c r="I47" s="6" t="n">
        <x:f>'Historical prices'!D47</x:f>
        <x:v>0.2226</x:v>
      </x:c>
      <x:c r="J47" s="13" t="n">
        <x:f>D47*I47*H47</x:f>
        <x:v>0.17338870500000003</x:v>
      </x:c>
      <x:c r="K47" s="13" t="n">
        <x:f>E47*I47*H47</x:f>
        <x:v>0.17338870500000003</x:v>
      </x:c>
      <x:c r="L47" s="1" t="str">
        <x:f>TEXT(A47,"mmm yyyy")</x:f>
        <x:v>May 2026</x:v>
      </x:c>
    </x:row>
    <x:row r="48" ht="21" customHeight="1">
      <x:c r="A48" s="10" t="n">
        <x:v>46149</x:v>
      </x:c>
      <x:c r="B48" s="1" t="n">
        <x:v>12</x:v>
      </x:c>
      <x:c r="C48" s="1" t="n">
        <x:v>6</x:v>
      </x:c>
      <x:c r="D48" s="12" t="n">
        <x:v>0.40958333333333335</x:v>
      </x:c>
      <x:c r="E48" s="12" t="n">
        <x:v>0.41158333333333336</x:v>
      </x:c>
      <x:c r="F48" s="12" t="n">
        <x:v>0</x:v>
      </x:c>
      <x:c r="G48" s="12" t="n">
        <x:v>0</x:v>
      </x:c>
      <x:c r="H48" s="1" t="n">
        <x:f>'Historical prices'!E48</x:f>
        <x:v>1.05</x:v>
      </x:c>
      <x:c r="I48" s="6" t="n">
        <x:f>'Historical prices'!D48</x:f>
        <x:v>0.2226</x:v>
      </x:c>
      <x:c r="J48" s="13" t="n">
        <x:f>D48*I48*H48</x:f>
        <x:v>0.0957319125</x:v>
      </x:c>
      <x:c r="K48" s="13" t="n">
        <x:f>E48*I48*H48</x:f>
        <x:v>0.0961993725</x:v>
      </x:c>
      <x:c r="L48" s="1" t="str">
        <x:f>TEXT(A48,"mmm yyyy")</x:f>
        <x:v>May 2026</x:v>
      </x:c>
    </x:row>
    <x:row r="49" ht="21" customHeight="1">
      <x:c r="A49" s="10" t="n">
        <x:v>46149</x:v>
      </x:c>
      <x:c r="B49" s="1" t="n">
        <x:v>12.5</x:v>
      </x:c>
      <x:c r="C49" s="1" t="n">
        <x:v>6</x:v>
      </x:c>
      <x:c r="D49" s="12" t="n">
        <x:v>0.41491666666666666</x:v>
      </x:c>
      <x:c r="E49" s="12" t="n">
        <x:v>0.41591666666666666</x:v>
      </x:c>
      <x:c r="F49" s="12" t="n">
        <x:v>0</x:v>
      </x:c>
      <x:c r="G49" s="12" t="n">
        <x:v>0</x:v>
      </x:c>
      <x:c r="H49" s="1" t="n">
        <x:f>'Historical prices'!E49</x:f>
        <x:v>1.05</x:v>
      </x:c>
      <x:c r="I49" s="6" t="n">
        <x:f>'Historical prices'!D49</x:f>
        <x:v>0.2226</x:v>
      </x:c>
      <x:c r="J49" s="13" t="n">
        <x:f>D49*I49*H49</x:f>
        <x:v>0.0969784725</x:v>
      </x:c>
      <x:c r="K49" s="13" t="n">
        <x:f>E49*I49*H49</x:f>
        <x:v>0.0972122025</x:v>
      </x:c>
      <x:c r="L49" s="1" t="str">
        <x:f>TEXT(A49,"mmm yyyy")</x:f>
        <x:v>May 2026</x:v>
      </x:c>
    </x:row>
    <x:row r="50" ht="21" customHeight="1">
      <x:c r="A50" s="10" t="n">
        <x:v>46149</x:v>
      </x:c>
      <x:c r="B50" s="1" t="n">
        <x:v>13</x:v>
      </x:c>
      <x:c r="C50" s="1" t="n">
        <x:v>6</x:v>
      </x:c>
      <x:c r="D50" s="12" t="n">
        <x:v>1.6005</x:v>
      </x:c>
      <x:c r="E50" s="12" t="n">
        <x:v>1.6004999999999998</x:v>
      </x:c>
      <x:c r="F50" s="12" t="n">
        <x:v>0</x:v>
      </x:c>
      <x:c r="G50" s="12" t="n">
        <x:v>0</x:v>
      </x:c>
      <x:c r="H50" s="1" t="n">
        <x:f>'Historical prices'!E50</x:f>
        <x:v>1.05</x:v>
      </x:c>
      <x:c r="I50" s="6" t="n">
        <x:f>'Historical prices'!D50</x:f>
        <x:v>0.2226</x:v>
      </x:c>
      <x:c r="J50" s="13" t="n">
        <x:f>D50*I50*H50</x:f>
        <x:v>0.37408486500000004</x:v>
      </x:c>
      <x:c r="K50" s="13" t="n">
        <x:f>E50*I50*H50</x:f>
        <x:v>0.374084865</x:v>
      </x:c>
      <x:c r="L50" s="1" t="str">
        <x:f>TEXT(A50,"mmm yyyy")</x:f>
        <x:v>May 2026</x:v>
      </x:c>
    </x:row>
    <x:row r="51" ht="21" customHeight="1">
      <x:c r="A51" s="10" t="n">
        <x:v>46149</x:v>
      </x:c>
      <x:c r="B51" s="1" t="n">
        <x:v>13.5</x:v>
      </x:c>
      <x:c r="C51" s="1" t="n">
        <x:v>6</x:v>
      </x:c>
      <x:c r="D51" s="12" t="n">
        <x:v>0.9394166666666667</x:v>
      </x:c>
      <x:c r="E51" s="12" t="n">
        <x:v>0.9394166666666667</x:v>
      </x:c>
      <x:c r="F51" s="12" t="n">
        <x:v>0</x:v>
      </x:c>
      <x:c r="G51" s="12" t="n">
        <x:v>0</x:v>
      </x:c>
      <x:c r="H51" s="1" t="n">
        <x:f>'Historical prices'!E51</x:f>
        <x:v>1.05</x:v>
      </x:c>
      <x:c r="I51" s="6" t="n">
        <x:f>'Historical prices'!D51</x:f>
        <x:v>0.2226</x:v>
      </x:c>
      <x:c r="J51" s="13" t="n">
        <x:f>D51*I51*H51</x:f>
        <x:v>0.21956985750000002</x:v>
      </x:c>
      <x:c r="K51" s="13" t="n">
        <x:f>E51*I51*H51</x:f>
        <x:v>0.21956985750000002</x:v>
      </x:c>
      <x:c r="L51" s="1" t="str">
        <x:f>TEXT(A51,"mmm yyyy")</x:f>
        <x:v>May 2026</x:v>
      </x:c>
    </x:row>
    <x:row r="52" ht="21" customHeight="1">
      <x:c r="A52" s="10" t="n">
        <x:v>46149</x:v>
      </x:c>
      <x:c r="B52" s="1" t="n">
        <x:v>14</x:v>
      </x:c>
      <x:c r="C52" s="1" t="n">
        <x:v>6</x:v>
      </x:c>
      <x:c r="D52" s="12" t="n">
        <x:v>0.7694166666666667</x:v>
      </x:c>
      <x:c r="E52" s="12" t="n">
        <x:v>0.7704166666666667</x:v>
      </x:c>
      <x:c r="F52" s="12" t="n">
        <x:v>0</x:v>
      </x:c>
      <x:c r="G52" s="12" t="n">
        <x:v>0</x:v>
      </x:c>
      <x:c r="H52" s="1" t="n">
        <x:f>'Historical prices'!E52</x:f>
        <x:v>1.05</x:v>
      </x:c>
      <x:c r="I52" s="6" t="n">
        <x:f>'Historical prices'!D52</x:f>
        <x:v>0.2226</x:v>
      </x:c>
      <x:c r="J52" s="13" t="n">
        <x:f>D52*I52*H52</x:f>
        <x:v>0.17983575750000003</x:v>
      </x:c>
      <x:c r="K52" s="13" t="n">
        <x:f>E52*I52*H52</x:f>
        <x:v>0.18006948750000001</x:v>
      </x:c>
      <x:c r="L52" s="1" t="str">
        <x:f>TEXT(A52,"mmm yyyy")</x:f>
        <x:v>May 2026</x:v>
      </x:c>
    </x:row>
    <x:row r="53" ht="21" customHeight="1">
      <x:c r="A53" s="10" t="n">
        <x:v>46149</x:v>
      </x:c>
      <x:c r="B53" s="1" t="n">
        <x:v>14.5</x:v>
      </x:c>
      <x:c r="C53" s="1" t="n">
        <x:v>6</x:v>
      </x:c>
      <x:c r="D53" s="12" t="n">
        <x:v>0.48825</x:v>
      </x:c>
      <x:c r="E53" s="12" t="n">
        <x:v>0.48925</x:v>
      </x:c>
      <x:c r="F53" s="12" t="n">
        <x:v>0</x:v>
      </x:c>
      <x:c r="G53" s="12" t="n">
        <x:v>0</x:v>
      </x:c>
      <x:c r="H53" s="1" t="n">
        <x:f>'Historical prices'!E53</x:f>
        <x:v>1.05</x:v>
      </x:c>
      <x:c r="I53" s="6" t="n">
        <x:f>'Historical prices'!D53</x:f>
        <x:v>0.2226</x:v>
      </x:c>
      <x:c r="J53" s="13" t="n">
        <x:f>D53*I53*H53</x:f>
        <x:v>0.1141186725</x:v>
      </x:c>
      <x:c r="K53" s="13" t="n">
        <x:f>E53*I53*H53</x:f>
        <x:v>0.1143524025</x:v>
      </x:c>
      <x:c r="L53" s="1" t="str">
        <x:f>TEXT(A53,"mmm yyyy")</x:f>
        <x:v>May 2026</x:v>
      </x:c>
    </x:row>
    <x:row r="54" ht="21" customHeight="1">
      <x:c r="A54" s="10" t="n">
        <x:v>46149</x:v>
      </x:c>
      <x:c r="B54" s="1" t="n">
        <x:v>15</x:v>
      </x:c>
      <x:c r="C54" s="1" t="n">
        <x:v>6</x:v>
      </x:c>
      <x:c r="D54" s="12" t="n">
        <x:v>0.579</x:v>
      </x:c>
      <x:c r="E54" s="12" t="n">
        <x:v>0.579</x:v>
      </x:c>
      <x:c r="F54" s="12" t="n">
        <x:v>0</x:v>
      </x:c>
      <x:c r="G54" s="12" t="n">
        <x:v>0</x:v>
      </x:c>
      <x:c r="H54" s="1" t="n">
        <x:f>'Historical prices'!E54</x:f>
        <x:v>1.05</x:v>
      </x:c>
      <x:c r="I54" s="6" t="n">
        <x:f>'Historical prices'!D54</x:f>
        <x:v>0.2226</x:v>
      </x:c>
      <x:c r="J54" s="13" t="n">
        <x:f>D54*I54*H54</x:f>
        <x:v>0.13532966999999999</x:v>
      </x:c>
      <x:c r="K54" s="13" t="n">
        <x:f>E54*I54*H54</x:f>
        <x:v>0.13532966999999999</x:v>
      </x:c>
      <x:c r="L54" s="1" t="str">
        <x:f>TEXT(A54,"mmm yyyy")</x:f>
        <x:v>May 2026</x:v>
      </x:c>
    </x:row>
    <x:row r="55" ht="21" customHeight="1">
      <x:c r="A55" s="10" t="n">
        <x:v>46149</x:v>
      </x:c>
      <x:c r="B55" s="1" t="n">
        <x:v>15.5</x:v>
      </x:c>
      <x:c r="C55" s="1" t="n">
        <x:v>6</x:v>
      </x:c>
      <x:c r="D55" s="12" t="n">
        <x:v>0.4860833333333333</x:v>
      </x:c>
      <x:c r="E55" s="12" t="n">
        <x:v>0.4870833333333333</x:v>
      </x:c>
      <x:c r="F55" s="12" t="n">
        <x:v>0</x:v>
      </x:c>
      <x:c r="G55" s="12" t="n">
        <x:v>0</x:v>
      </x:c>
      <x:c r="H55" s="1" t="n">
        <x:f>'Historical prices'!E55</x:f>
        <x:v>1.05</x:v>
      </x:c>
      <x:c r="I55" s="6" t="n">
        <x:f>'Historical prices'!D55</x:f>
        <x:v>0.2226</x:v>
      </x:c>
      <x:c r="J55" s="13" t="n">
        <x:f>D55*I55*H55</x:f>
        <x:v>0.11361225750000001</x:v>
      </x:c>
      <x:c r="K55" s="13" t="n">
        <x:f>E55*I55*H55</x:f>
        <x:v>0.1138459875</x:v>
      </x:c>
      <x:c r="L55" s="1" t="str">
        <x:f>TEXT(A55,"mmm yyyy")</x:f>
        <x:v>May 2026</x:v>
      </x:c>
    </x:row>
    <x:row r="56" ht="21" customHeight="1">
      <x:c r="A56" s="10" t="n">
        <x:v>46149</x:v>
      </x:c>
      <x:c r="B56" s="1" t="n">
        <x:v>16</x:v>
      </x:c>
      <x:c r="C56" s="1" t="n">
        <x:v>6</x:v>
      </x:c>
      <x:c r="D56" s="12" t="n">
        <x:v>1.1215833333333334</x:v>
      </x:c>
      <x:c r="E56" s="12" t="n">
        <x:v>1.1215833333333334</x:v>
      </x:c>
      <x:c r="F56" s="12" t="n">
        <x:v>0</x:v>
      </x:c>
      <x:c r="G56" s="12" t="n">
        <x:v>0</x:v>
      </x:c>
      <x:c r="H56" s="1" t="n">
        <x:f>'Historical prices'!E56</x:f>
        <x:v>1.05</x:v>
      </x:c>
      <x:c r="I56" s="6" t="n">
        <x:f>'Historical prices'!D56</x:f>
        <x:v>0.2226</x:v>
      </x:c>
      <x:c r="J56" s="13" t="n">
        <x:f>D56*I56*H56</x:f>
        <x:v>0.26214767250000004</x:v>
      </x:c>
      <x:c r="K56" s="13" t="n">
        <x:f>E56*I56*H56</x:f>
        <x:v>0.26214767250000004</x:v>
      </x:c>
      <x:c r="L56" s="1" t="str">
        <x:f>TEXT(A56,"mmm yyyy")</x:f>
        <x:v>May 2026</x:v>
      </x:c>
    </x:row>
    <x:row r="57" ht="21" customHeight="1">
      <x:c r="A57" s="10" t="n">
        <x:v>46149</x:v>
      </x:c>
      <x:c r="B57" s="1" t="n">
        <x:v>16.5</x:v>
      </x:c>
      <x:c r="C57" s="1" t="n">
        <x:v>6</x:v>
      </x:c>
      <x:c r="D57" s="12" t="n">
        <x:v>0.87325</x:v>
      </x:c>
      <x:c r="E57" s="12" t="n">
        <x:v>0.8742500000000001</x:v>
      </x:c>
      <x:c r="F57" s="12" t="n">
        <x:v>0</x:v>
      </x:c>
      <x:c r="G57" s="12" t="n">
        <x:v>0</x:v>
      </x:c>
      <x:c r="H57" s="1" t="n">
        <x:f>'Historical prices'!E57</x:f>
        <x:v>1.05</x:v>
      </x:c>
      <x:c r="I57" s="6" t="n">
        <x:f>'Historical prices'!D57</x:f>
        <x:v>0.2226</x:v>
      </x:c>
      <x:c r="J57" s="13" t="n">
        <x:f>D57*I57*H57</x:f>
        <x:v>0.2041047225</x:v>
      </x:c>
      <x:c r="K57" s="13" t="n">
        <x:f>E57*I57*H57</x:f>
        <x:v>0.20433845250000002</x:v>
      </x:c>
      <x:c r="L57" s="1" t="str">
        <x:f>TEXT(A57,"mmm yyyy")</x:f>
        <x:v>May 2026</x:v>
      </x:c>
    </x:row>
    <x:row r="58" ht="21" customHeight="1">
      <x:c r="A58" s="10" t="n">
        <x:v>46149</x:v>
      </x:c>
      <x:c r="B58" s="1" t="n">
        <x:v>17</x:v>
      </x:c>
      <x:c r="C58" s="1" t="n">
        <x:v>6</x:v>
      </x:c>
      <x:c r="D58" s="12" t="n">
        <x:v>0.9520833333333334</x:v>
      </x:c>
      <x:c r="E58" s="12" t="n">
        <x:v>0.9530833333333334</x:v>
      </x:c>
      <x:c r="F58" s="12" t="n">
        <x:v>0</x:v>
      </x:c>
      <x:c r="G58" s="12" t="n">
        <x:v>0</x:v>
      </x:c>
      <x:c r="H58" s="1" t="n">
        <x:f>'Historical prices'!E58</x:f>
        <x:v>1.05</x:v>
      </x:c>
      <x:c r="I58" s="6" t="n">
        <x:f>'Historical prices'!D58</x:f>
        <x:v>0.2226</x:v>
      </x:c>
      <x:c r="J58" s="13" t="n">
        <x:f>D58*I58*H58</x:f>
        <x:v>0.2225304375</x:v>
      </x:c>
      <x:c r="K58" s="13" t="n">
        <x:f>E58*I58*H58</x:f>
        <x:v>0.2227641675</x:v>
      </x:c>
      <x:c r="L58" s="1" t="str">
        <x:f>TEXT(A58,"mmm yyyy")</x:f>
        <x:v>May 2026</x:v>
      </x:c>
    </x:row>
    <x:row r="59" ht="21" customHeight="1">
      <x:c r="A59" s="10" t="n">
        <x:v>46149</x:v>
      </x:c>
      <x:c r="B59" s="1" t="n">
        <x:v>17.5</x:v>
      </x:c>
      <x:c r="C59" s="1" t="n">
        <x:v>6</x:v>
      </x:c>
      <x:c r="D59" s="12" t="n">
        <x:v>0.8589166666666668</x:v>
      </x:c>
      <x:c r="E59" s="12" t="n">
        <x:v>0.8599166666666668</x:v>
      </x:c>
      <x:c r="F59" s="12" t="n">
        <x:v>0</x:v>
      </x:c>
      <x:c r="G59" s="12" t="n">
        <x:v>0</x:v>
      </x:c>
      <x:c r="H59" s="1" t="n">
        <x:f>'Historical prices'!E59</x:f>
        <x:v>1.05</x:v>
      </x:c>
      <x:c r="I59" s="6" t="n">
        <x:f>'Historical prices'!D59</x:f>
        <x:v>0.2226</x:v>
      </x:c>
      <x:c r="J59" s="13" t="n">
        <x:f>D59*I59*H59</x:f>
        <x:v>0.20075459250000005</x:v>
      </x:c>
      <x:c r="K59" s="13" t="n">
        <x:f>E59*I59*H59</x:f>
        <x:v>0.20098832250000004</x:v>
      </x:c>
      <x:c r="L59" s="1" t="str">
        <x:f>TEXT(A59,"mmm yyyy")</x:f>
        <x:v>May 2026</x:v>
      </x:c>
    </x:row>
    <x:row r="60" ht="21" customHeight="1">
      <x:c r="A60" s="10" t="n">
        <x:v>46149</x:v>
      </x:c>
      <x:c r="B60" s="1" t="n">
        <x:v>18</x:v>
      </x:c>
      <x:c r="C60" s="1" t="n">
        <x:v>6</x:v>
      </x:c>
      <x:c r="D60" s="12" t="n">
        <x:v>0.9126666666666665</x:v>
      </x:c>
      <x:c r="E60" s="12" t="n">
        <x:v>0.9116666666666666</x:v>
      </x:c>
      <x:c r="F60" s="12" t="n">
        <x:v>0</x:v>
      </x:c>
      <x:c r="G60" s="12" t="n">
        <x:v>0</x:v>
      </x:c>
      <x:c r="H60" s="1" t="n">
        <x:f>'Historical prices'!E60</x:f>
        <x:v>1.05</x:v>
      </x:c>
      <x:c r="I60" s="6" t="n">
        <x:f>'Historical prices'!D60</x:f>
        <x:v>0.2226</x:v>
      </x:c>
      <x:c r="J60" s="13" t="n">
        <x:f>D60*I60*H60</x:f>
        <x:v>0.21331757999999998</x:v>
      </x:c>
      <x:c r="K60" s="13" t="n">
        <x:f>E60*I60*H60</x:f>
        <x:v>0.21308385</x:v>
      </x:c>
      <x:c r="L60" s="1" t="str">
        <x:f>TEXT(A60,"mmm yyyy")</x:f>
        <x:v>May 2026</x:v>
      </x:c>
    </x:row>
    <x:row r="61" ht="21" customHeight="1">
      <x:c r="A61" s="10" t="n">
        <x:v>46149</x:v>
      </x:c>
      <x:c r="B61" s="1" t="n">
        <x:v>18.5</x:v>
      </x:c>
      <x:c r="C61" s="1" t="n">
        <x:v>6</x:v>
      </x:c>
      <x:c r="D61" s="12" t="n">
        <x:v>1.3040833333333333</x:v>
      </x:c>
      <x:c r="E61" s="12" t="n">
        <x:v>1.3060833333333335</x:v>
      </x:c>
      <x:c r="F61" s="12" t="n">
        <x:v>0</x:v>
      </x:c>
      <x:c r="G61" s="12" t="n">
        <x:v>0</x:v>
      </x:c>
      <x:c r="H61" s="1" t="n">
        <x:f>'Historical prices'!E61</x:f>
        <x:v>1.05</x:v>
      </x:c>
      <x:c r="I61" s="6" t="n">
        <x:f>'Historical prices'!D61</x:f>
        <x:v>0.2226</x:v>
      </x:c>
      <x:c r="J61" s="13" t="n">
        <x:f>D61*I61*H61</x:f>
        <x:v>0.3048033975</x:v>
      </x:c>
      <x:c r="K61" s="13" t="n">
        <x:f>E61*I61*H61</x:f>
        <x:v>0.30527085750000005</x:v>
      </x:c>
      <x:c r="L61" s="1" t="str">
        <x:f>TEXT(A61,"mmm yyyy")</x:f>
        <x:v>May 2026</x:v>
      </x:c>
    </x:row>
    <x:row r="62" ht="21" customHeight="1">
      <x:c r="A62" s="10" t="n">
        <x:v>46149</x:v>
      </x:c>
      <x:c r="B62" s="1" t="n">
        <x:v>19</x:v>
      </x:c>
      <x:c r="C62" s="1" t="n">
        <x:v>6</x:v>
      </x:c>
      <x:c r="D62" s="12" t="n">
        <x:v>0.69575</x:v>
      </x:c>
      <x:c r="E62" s="12" t="n">
        <x:v>0.69675</x:v>
      </x:c>
      <x:c r="F62" s="12" t="n">
        <x:v>0</x:v>
      </x:c>
      <x:c r="G62" s="12" t="n">
        <x:v>0</x:v>
      </x:c>
      <x:c r="H62" s="1" t="n">
        <x:f>'Historical prices'!E62</x:f>
        <x:v>1.05</x:v>
      </x:c>
      <x:c r="I62" s="6" t="n">
        <x:f>'Historical prices'!D62</x:f>
        <x:v>0.2226</x:v>
      </x:c>
      <x:c r="J62" s="13" t="n">
        <x:f>D62*I62*H62</x:f>
        <x:v>0.1626176475</x:v>
      </x:c>
      <x:c r="K62" s="13" t="n">
        <x:f>E62*I62*H62</x:f>
        <x:v>0.1628513775</x:v>
      </x:c>
      <x:c r="L62" s="1" t="str">
        <x:f>TEXT(A62,"mmm yyyy")</x:f>
        <x:v>May 2026</x:v>
      </x:c>
    </x:row>
    <x:row r="63" ht="21" customHeight="1">
      <x:c r="A63" s="10" t="n">
        <x:v>46149</x:v>
      </x:c>
      <x:c r="B63" s="1" t="n">
        <x:v>19.5</x:v>
      </x:c>
      <x:c r="C63" s="1" t="n">
        <x:v>6</x:v>
      </x:c>
      <x:c r="D63" s="12" t="n">
        <x:v>0.8586666666666666</x:v>
      </x:c>
      <x:c r="E63" s="12" t="n">
        <x:v>0.8586666666666666</x:v>
      </x:c>
      <x:c r="F63" s="12" t="n">
        <x:v>0</x:v>
      </x:c>
      <x:c r="G63" s="12" t="n">
        <x:v>0</x:v>
      </x:c>
      <x:c r="H63" s="1" t="n">
        <x:f>'Historical prices'!E63</x:f>
        <x:v>1.05</x:v>
      </x:c>
      <x:c r="I63" s="6" t="n">
        <x:f>'Historical prices'!D63</x:f>
        <x:v>0.2226</x:v>
      </x:c>
      <x:c r="J63" s="13" t="n">
        <x:f>D63*I63*H63</x:f>
        <x:v>0.20069615999999998</x:v>
      </x:c>
      <x:c r="K63" s="13" t="n">
        <x:f>E63*I63*H63</x:f>
        <x:v>0.20069615999999998</x:v>
      </x:c>
      <x:c r="L63" s="1" t="str">
        <x:f>TEXT(A63,"mmm yyyy")</x:f>
        <x:v>May 2026</x:v>
      </x:c>
    </x:row>
    <x:row r="64" ht="21" customHeight="1">
      <x:c r="A64" s="10" t="n">
        <x:v>46149</x:v>
      </x:c>
      <x:c r="B64" s="1" t="n">
        <x:v>20</x:v>
      </x:c>
      <x:c r="C64" s="1" t="n">
        <x:v>6</x:v>
      </x:c>
      <x:c r="D64" s="12" t="n">
        <x:v>0.5045</x:v>
      </x:c>
      <x:c r="E64" s="12" t="n">
        <x:v>0.5055</x:v>
      </x:c>
      <x:c r="F64" s="12" t="n">
        <x:v>0</x:v>
      </x:c>
      <x:c r="G64" s="12" t="n">
        <x:v>0</x:v>
      </x:c>
      <x:c r="H64" s="1" t="n">
        <x:f>'Historical prices'!E64</x:f>
        <x:v>1.05</x:v>
      </x:c>
      <x:c r="I64" s="6" t="n">
        <x:f>'Historical prices'!D64</x:f>
        <x:v>0.2226</x:v>
      </x:c>
      <x:c r="J64" s="13" t="n">
        <x:f>D64*I64*H64</x:f>
        <x:v>0.117916785</x:v>
      </x:c>
      <x:c r="K64" s="13" t="n">
        <x:f>E64*I64*H64</x:f>
        <x:v>0.11815051499999998</x:v>
      </x:c>
      <x:c r="L64" s="1" t="str">
        <x:f>TEXT(A64,"mmm yyyy")</x:f>
        <x:v>May 2026</x:v>
      </x:c>
    </x:row>
    <x:row r="65" ht="21" customHeight="1">
      <x:c r="A65" s="10" t="n">
        <x:v>46149</x:v>
      </x:c>
      <x:c r="B65" s="1" t="n">
        <x:v>20.5</x:v>
      </x:c>
      <x:c r="C65" s="1" t="n">
        <x:v>6</x:v>
      </x:c>
      <x:c r="D65" s="12" t="n">
        <x:v>0.52725</x:v>
      </x:c>
      <x:c r="E65" s="12" t="n">
        <x:v>0.52925</x:v>
      </x:c>
      <x:c r="F65" s="12" t="n">
        <x:v>0</x:v>
      </x:c>
      <x:c r="G65" s="12" t="n">
        <x:v>0</x:v>
      </x:c>
      <x:c r="H65" s="1" t="n">
        <x:f>'Historical prices'!E65</x:f>
        <x:v>1.05</x:v>
      </x:c>
      <x:c r="I65" s="6" t="n">
        <x:f>'Historical prices'!D65</x:f>
        <x:v>0.2226</x:v>
      </x:c>
      <x:c r="J65" s="13" t="n">
        <x:f>D65*I65*H65</x:f>
        <x:v>0.1232341425</x:v>
      </x:c>
      <x:c r="K65" s="13" t="n">
        <x:f>E65*I65*H65</x:f>
        <x:v>0.12370160250000001</x:v>
      </x:c>
      <x:c r="L65" s="1" t="str">
        <x:f>TEXT(A65,"mmm yyyy")</x:f>
        <x:v>May 2026</x:v>
      </x:c>
    </x:row>
    <x:row r="66" ht="21" customHeight="1">
      <x:c r="A66" s="10" t="n">
        <x:v>46149</x:v>
      </x:c>
      <x:c r="B66" s="1" t="n">
        <x:v>21</x:v>
      </x:c>
      <x:c r="C66" s="1" t="n">
        <x:v>6</x:v>
      </x:c>
      <x:c r="D66" s="12" t="n">
        <x:v>0.45216666666666666</x:v>
      </x:c>
      <x:c r="E66" s="12" t="n">
        <x:v>0.45116666666666666</x:v>
      </x:c>
      <x:c r="F66" s="12" t="n">
        <x:v>0</x:v>
      </x:c>
      <x:c r="G66" s="12" t="n">
        <x:v>0</x:v>
      </x:c>
      <x:c r="H66" s="1" t="n">
        <x:f>'Historical prices'!E66</x:f>
        <x:v>1.05</x:v>
      </x:c>
      <x:c r="I66" s="6" t="n">
        <x:f>'Historical prices'!D66</x:f>
        <x:v>0.2226</x:v>
      </x:c>
      <x:c r="J66" s="13" t="n">
        <x:f>D66*I66*H66</x:f>
        <x:v>0.105684915</x:v>
      </x:c>
      <x:c r="K66" s="13" t="n">
        <x:f>E66*I66*H66</x:f>
        <x:v>0.105451185</x:v>
      </x:c>
      <x:c r="L66" s="1" t="str">
        <x:f>TEXT(A66,"mmm yyyy")</x:f>
        <x:v>May 2026</x:v>
      </x:c>
    </x:row>
    <x:row r="67" ht="21" customHeight="1">
      <x:c r="A67" s="10" t="n">
        <x:v>46149</x:v>
      </x:c>
      <x:c r="B67" s="1" t="n">
        <x:v>21.5</x:v>
      </x:c>
      <x:c r="C67" s="1" t="n">
        <x:v>6</x:v>
      </x:c>
      <x:c r="D67" s="12" t="n">
        <x:v>0.8591666666666666</x:v>
      </x:c>
      <x:c r="E67" s="12" t="n">
        <x:v>0.8611666666666666</x:v>
      </x:c>
      <x:c r="F67" s="12" t="n">
        <x:v>0</x:v>
      </x:c>
      <x:c r="G67" s="12" t="n">
        <x:v>0</x:v>
      </x:c>
      <x:c r="H67" s="1" t="n">
        <x:f>'Historical prices'!E67</x:f>
        <x:v>1.05</x:v>
      </x:c>
      <x:c r="I67" s="6" t="n">
        <x:f>'Historical prices'!D67</x:f>
        <x:v>0.2226</x:v>
      </x:c>
      <x:c r="J67" s="13" t="n">
        <x:f>D67*I67*H67</x:f>
        <x:v>0.200813025</x:v>
      </x:c>
      <x:c r="K67" s="13" t="n">
        <x:f>E67*I67*H67</x:f>
        <x:v>0.201280485</x:v>
      </x:c>
      <x:c r="L67" s="1" t="str">
        <x:f>TEXT(A67,"mmm yyyy")</x:f>
        <x:v>May 2026</x:v>
      </x:c>
    </x:row>
    <x:row r="68" ht="21" customHeight="1">
      <x:c r="A68" s="10" t="n">
        <x:v>46149</x:v>
      </x:c>
      <x:c r="B68" s="1" t="n">
        <x:v>22</x:v>
      </x:c>
      <x:c r="C68" s="1" t="n">
        <x:v>6</x:v>
      </x:c>
      <x:c r="D68" s="12" t="n">
        <x:v>0.2758333333333333</x:v>
      </x:c>
      <x:c r="E68" s="12" t="n">
        <x:v>0.2768333333333333</x:v>
      </x:c>
      <x:c r="F68" s="12" t="n">
        <x:v>0</x:v>
      </x:c>
      <x:c r="G68" s="12" t="n">
        <x:v>0</x:v>
      </x:c>
      <x:c r="H68" s="1" t="n">
        <x:f>'Historical prices'!E68</x:f>
        <x:v>1.05</x:v>
      </x:c>
      <x:c r="I68" s="6" t="n">
        <x:f>'Historical prices'!D68</x:f>
        <x:v>0.2226</x:v>
      </x:c>
      <x:c r="J68" s="13" t="n">
        <x:f>D68*I68*H68</x:f>
        <x:v>0.064470525</x:v>
      </x:c>
      <x:c r="K68" s="13" t="n">
        <x:f>E68*I68*H68</x:f>
        <x:v>0.064704255</x:v>
      </x:c>
      <x:c r="L68" s="1" t="str">
        <x:f>TEXT(A68,"mmm yyyy")</x:f>
        <x:v>May 2026</x:v>
      </x:c>
    </x:row>
    <x:row r="69" ht="21" customHeight="1">
      <x:c r="A69" s="10" t="n">
        <x:v>46149</x:v>
      </x:c>
      <x:c r="B69" s="1" t="n">
        <x:v>22.5</x:v>
      </x:c>
      <x:c r="C69" s="1" t="n">
        <x:v>6</x:v>
      </x:c>
      <x:c r="D69" s="12" t="n">
        <x:v>0.26175</x:v>
      </x:c>
      <x:c r="E69" s="12" t="n">
        <x:v>0.26375</x:v>
      </x:c>
      <x:c r="F69" s="12" t="n">
        <x:v>0</x:v>
      </x:c>
      <x:c r="G69" s="12" t="n">
        <x:v>0</x:v>
      </x:c>
      <x:c r="H69" s="1" t="n">
        <x:f>'Historical prices'!E69</x:f>
        <x:v>1.05</x:v>
      </x:c>
      <x:c r="I69" s="6" t="n">
        <x:f>'Historical prices'!D69</x:f>
        <x:v>0.2226</x:v>
      </x:c>
      <x:c r="J69" s="13" t="n">
        <x:f>D69*I69*H69</x:f>
        <x:v>0.0611788275</x:v>
      </x:c>
      <x:c r="K69" s="13" t="n">
        <x:f>E69*I69*H69</x:f>
        <x:v>0.061646287499999994</x:v>
      </x:c>
      <x:c r="L69" s="1" t="str">
        <x:f>TEXT(A69,"mmm yyyy")</x:f>
        <x:v>May 2026</x:v>
      </x:c>
    </x:row>
    <x:row r="70" ht="21" customHeight="1">
      <x:c r="A70" s="10" t="n">
        <x:v>46149</x:v>
      </x:c>
      <x:c r="B70" s="1" t="n">
        <x:v>23</x:v>
      </x:c>
      <x:c r="C70" s="1" t="n">
        <x:v>6</x:v>
      </x:c>
      <x:c r="D70" s="12" t="n">
        <x:v>0.24441666666666664</x:v>
      </x:c>
      <x:c r="E70" s="12" t="n">
        <x:v>0.24241666666666664</x:v>
      </x:c>
      <x:c r="F70" s="12" t="n">
        <x:v>0</x:v>
      </x:c>
      <x:c r="G70" s="12" t="n">
        <x:v>0</x:v>
      </x:c>
      <x:c r="H70" s="1" t="n">
        <x:f>'Historical prices'!E70</x:f>
        <x:v>1.05</x:v>
      </x:c>
      <x:c r="I70" s="6" t="n">
        <x:f>'Historical prices'!D70</x:f>
        <x:v>0.2226</x:v>
      </x:c>
      <x:c r="J70" s="13" t="n">
        <x:f>D70*I70*H70</x:f>
        <x:v>0.057127507499999994</x:v>
      </x:c>
      <x:c r="K70" s="13" t="n">
        <x:f>E70*I70*H70</x:f>
        <x:v>0.0566600475</x:v>
      </x:c>
      <x:c r="L70" s="1" t="str">
        <x:f>TEXT(A70,"mmm yyyy")</x:f>
        <x:v>May 2026</x:v>
      </x:c>
    </x:row>
    <x:row r="71" ht="21" customHeight="1">
      <x:c r="A71" s="10" t="n">
        <x:v>46149</x:v>
      </x:c>
      <x:c r="B71" s="1" t="n">
        <x:v>23.5</x:v>
      </x:c>
      <x:c r="C71" s="1" t="n">
        <x:v>6</x:v>
      </x:c>
      <x:c r="D71" s="12" t="n">
        <x:v>0.19724999999999998</x:v>
      </x:c>
      <x:c r="E71" s="12" t="n">
        <x:v>0.19924999999999998</x:v>
      </x:c>
      <x:c r="F71" s="12" t="n">
        <x:v>0</x:v>
      </x:c>
      <x:c r="G71" s="12" t="n">
        <x:v>0</x:v>
      </x:c>
      <x:c r="H71" s="1" t="n">
        <x:f>'Historical prices'!E71</x:f>
        <x:v>1.05</x:v>
      </x:c>
      <x:c r="I71" s="6" t="n">
        <x:f>'Historical prices'!D71</x:f>
        <x:v>0.2226</x:v>
      </x:c>
      <x:c r="J71" s="13" t="n">
        <x:f>D71*I71*H71</x:f>
        <x:v>0.046103242499999995</x:v>
      </x:c>
      <x:c r="K71" s="13" t="n">
        <x:f>E71*I71*H71</x:f>
        <x:v>0.0465707025</x:v>
      </x:c>
      <x:c r="L71" s="1" t="str">
        <x:f>TEXT(A71,"mmm yyyy")</x:f>
        <x:v>May 2026</x:v>
      </x:c>
    </x:row>
    <x:row r="72" ht="21" customHeight="1">
      <x:c r="A72" s="10" t="n">
        <x:v>46150</x:v>
      </x:c>
      <x:c r="B72" s="1" t="n">
        <x:v>0</x:v>
      </x:c>
      <x:c r="C72" s="1" t="n">
        <x:v>6</x:v>
      </x:c>
      <x:c r="D72" s="12" t="n">
        <x:v>0.22016666666666668</x:v>
      </x:c>
      <x:c r="E72" s="12" t="n">
        <x:v>0.22116666666666668</x:v>
      </x:c>
      <x:c r="F72" s="12" t="n">
        <x:v>0</x:v>
      </x:c>
      <x:c r="G72" s="12" t="n">
        <x:v>0</x:v>
      </x:c>
      <x:c r="H72" s="1" t="n">
        <x:f>'Historical prices'!E72</x:f>
        <x:v>1.05</x:v>
      </x:c>
      <x:c r="I72" s="6" t="n">
        <x:f>'Historical prices'!D72</x:f>
        <x:v>0.2226</x:v>
      </x:c>
      <x:c r="J72" s="13" t="n">
        <x:f>D72*I72*H72</x:f>
        <x:v>0.051459555000000004</x:v>
      </x:c>
      <x:c r="K72" s="13" t="n">
        <x:f>E72*I72*H72</x:f>
        <x:v>0.051693285000000005</x:v>
      </x:c>
      <x:c r="L72" s="1" t="str">
        <x:f>TEXT(A72,"mmm yyyy")</x:f>
        <x:v>May 2026</x:v>
      </x:c>
    </x:row>
    <x:row r="73" ht="21" customHeight="1">
      <x:c r="A73" s="10" t="n">
        <x:v>46150</x:v>
      </x:c>
      <x:c r="B73" s="1" t="n">
        <x:v>0.5</x:v>
      </x:c>
      <x:c r="C73" s="1" t="n">
        <x:v>6</x:v>
      </x:c>
      <x:c r="D73" s="12" t="n">
        <x:v>0.29016666666666663</x:v>
      </x:c>
      <x:c r="E73" s="12" t="n">
        <x:v>0.29116666666666663</x:v>
      </x:c>
      <x:c r="F73" s="12" t="n">
        <x:v>0</x:v>
      </x:c>
      <x:c r="G73" s="12" t="n">
        <x:v>0</x:v>
      </x:c>
      <x:c r="H73" s="1" t="n">
        <x:f>'Historical prices'!E73</x:f>
        <x:v>1.05</x:v>
      </x:c>
      <x:c r="I73" s="6" t="n">
        <x:f>'Historical prices'!D73</x:f>
        <x:v>0.2226</x:v>
      </x:c>
      <x:c r="J73" s="13" t="n">
        <x:f>D73*I73*H73</x:f>
        <x:v>0.067820655</x:v>
      </x:c>
      <x:c r="K73" s="13" t="n">
        <x:f>E73*I73*H73</x:f>
        <x:v>0.068054385</x:v>
      </x:c>
      <x:c r="L73" s="1" t="str">
        <x:f>TEXT(A73,"mmm yyyy")</x:f>
        <x:v>May 2026</x:v>
      </x:c>
    </x:row>
    <x:row r="74" ht="21" customHeight="1">
      <x:c r="A74" s="10" t="n">
        <x:v>46150</x:v>
      </x:c>
      <x:c r="B74" s="1" t="n">
        <x:v>1</x:v>
      </x:c>
      <x:c r="C74" s="1" t="n">
        <x:v>6</x:v>
      </x:c>
      <x:c r="D74" s="12" t="n">
        <x:v>0.22324999999999998</x:v>
      </x:c>
      <x:c r="E74" s="12" t="n">
        <x:v>0.22424999999999998</x:v>
      </x:c>
      <x:c r="F74" s="12" t="n">
        <x:v>0</x:v>
      </x:c>
      <x:c r="G74" s="12" t="n">
        <x:v>0</x:v>
      </x:c>
      <x:c r="H74" s="1" t="n">
        <x:f>'Historical prices'!E74</x:f>
        <x:v>1.05</x:v>
      </x:c>
      <x:c r="I74" s="6" t="n">
        <x:f>'Historical prices'!D74</x:f>
        <x:v>0.2226</x:v>
      </x:c>
      <x:c r="J74" s="13" t="n">
        <x:f>D74*I74*H74</x:f>
        <x:v>0.0521802225</x:v>
      </x:c>
      <x:c r="K74" s="13" t="n">
        <x:f>E74*I74*H74</x:f>
        <x:v>0.05241395249999999</x:v>
      </x:c>
      <x:c r="L74" s="1" t="str">
        <x:f>TEXT(A74,"mmm yyyy")</x:f>
        <x:v>May 2026</x:v>
      </x:c>
    </x:row>
    <x:row r="75" ht="21" customHeight="1">
      <x:c r="A75" s="10" t="n">
        <x:v>46150</x:v>
      </x:c>
      <x:c r="B75" s="1" t="n">
        <x:v>1.5</x:v>
      </x:c>
      <x:c r="C75" s="1" t="n">
        <x:v>6</x:v>
      </x:c>
      <x:c r="D75" s="12" t="n">
        <x:v>0.21475000000000002</x:v>
      </x:c>
      <x:c r="E75" s="12" t="n">
        <x:v>0.21475000000000002</x:v>
      </x:c>
      <x:c r="F75" s="12" t="n">
        <x:v>0</x:v>
      </x:c>
      <x:c r="G75" s="12" t="n">
        <x:v>0</x:v>
      </x:c>
      <x:c r="H75" s="1" t="n">
        <x:f>'Historical prices'!E75</x:f>
        <x:v>1.05</x:v>
      </x:c>
      <x:c r="I75" s="6" t="n">
        <x:f>'Historical prices'!D75</x:f>
        <x:v>0.2226</x:v>
      </x:c>
      <x:c r="J75" s="13" t="n">
        <x:f>D75*I75*H75</x:f>
        <x:v>0.05019351750000001</x:v>
      </x:c>
      <x:c r="K75" s="13" t="n">
        <x:f>E75*I75*H75</x:f>
        <x:v>0.05019351750000001</x:v>
      </x:c>
      <x:c r="L75" s="1" t="str">
        <x:f>TEXT(A75,"mmm yyyy")</x:f>
        <x:v>May 2026</x:v>
      </x:c>
    </x:row>
    <x:row r="76" ht="21" customHeight="1">
      <x:c r="A76" s="10" t="n">
        <x:v>46150</x:v>
      </x:c>
      <x:c r="B76" s="1" t="n">
        <x:v>2</x:v>
      </x:c>
      <x:c r="C76" s="1" t="n">
        <x:v>6</x:v>
      </x:c>
      <x:c r="D76" s="12" t="n">
        <x:v>0.29741666666666666</x:v>
      </x:c>
      <x:c r="E76" s="12" t="n">
        <x:v>0.29941666666666666</x:v>
      </x:c>
      <x:c r="F76" s="12" t="n">
        <x:v>0</x:v>
      </x:c>
      <x:c r="G76" s="12" t="n">
        <x:v>0</x:v>
      </x:c>
      <x:c r="H76" s="1" t="n">
        <x:f>'Historical prices'!E76</x:f>
        <x:v>1.05</x:v>
      </x:c>
      <x:c r="I76" s="6" t="n">
        <x:f>'Historical prices'!D76</x:f>
        <x:v>0.2226</x:v>
      </x:c>
      <x:c r="J76" s="13" t="n">
        <x:f>D76*I76*H76</x:f>
        <x:v>0.0695151975</x:v>
      </x:c>
      <x:c r="K76" s="13" t="n">
        <x:f>E76*I76*H76</x:f>
        <x:v>0.06998265749999999</x:v>
      </x:c>
      <x:c r="L76" s="1" t="str">
        <x:f>TEXT(A76,"mmm yyyy")</x:f>
        <x:v>May 2026</x:v>
      </x:c>
    </x:row>
    <x:row r="77" ht="21" customHeight="1">
      <x:c r="A77" s="10" t="n">
        <x:v>46150</x:v>
      </x:c>
      <x:c r="B77" s="1" t="n">
        <x:v>2.5</x:v>
      </x:c>
      <x:c r="C77" s="1" t="n">
        <x:v>6</x:v>
      </x:c>
      <x:c r="D77" s="12" t="n">
        <x:v>0.2075</x:v>
      </x:c>
      <x:c r="E77" s="12" t="n">
        <x:v>0.20850000000000002</x:v>
      </x:c>
      <x:c r="F77" s="12" t="n">
        <x:v>0</x:v>
      </x:c>
      <x:c r="G77" s="12" t="n">
        <x:v>0</x:v>
      </x:c>
      <x:c r="H77" s="1" t="n">
        <x:f>'Historical prices'!E77</x:f>
        <x:v>1.05</x:v>
      </x:c>
      <x:c r="I77" s="6" t="n">
        <x:f>'Historical prices'!D77</x:f>
        <x:v>0.2226</x:v>
      </x:c>
      <x:c r="J77" s="13" t="n">
        <x:f>D77*I77*H77</x:f>
        <x:v>0.04849897499999999</x:v>
      </x:c>
      <x:c r="K77" s="13" t="n">
        <x:f>E77*I77*H77</x:f>
        <x:v>0.04873270500000001</x:v>
      </x:c>
      <x:c r="L77" s="1" t="str">
        <x:f>TEXT(A77,"mmm yyyy")</x:f>
        <x:v>May 2026</x:v>
      </x:c>
    </x:row>
    <x:row r="78" ht="21" customHeight="1">
      <x:c r="A78" s="10" t="n">
        <x:v>46150</x:v>
      </x:c>
      <x:c r="B78" s="1" t="n">
        <x:v>3</x:v>
      </x:c>
      <x:c r="C78" s="1" t="n">
        <x:v>6</x:v>
      </x:c>
      <x:c r="D78" s="12" t="n">
        <x:v>0.23516666666666666</x:v>
      </x:c>
      <x:c r="E78" s="12" t="n">
        <x:v>0.23516666666666666</x:v>
      </x:c>
      <x:c r="F78" s="12" t="n">
        <x:v>0</x:v>
      </x:c>
      <x:c r="G78" s="12" t="n">
        <x:v>0</x:v>
      </x:c>
      <x:c r="H78" s="1" t="n">
        <x:f>'Historical prices'!E78</x:f>
        <x:v>1.05</x:v>
      </x:c>
      <x:c r="I78" s="6" t="n">
        <x:f>'Historical prices'!D78</x:f>
        <x:v>0.2226</x:v>
      </x:c>
      <x:c r="J78" s="13" t="n">
        <x:f>D78*I78*H78</x:f>
        <x:v>0.054965505</x:v>
      </x:c>
      <x:c r="K78" s="13" t="n">
        <x:f>E78*I78*H78</x:f>
        <x:v>0.054965505</x:v>
      </x:c>
      <x:c r="L78" s="1" t="str">
        <x:f>TEXT(A78,"mmm yyyy")</x:f>
        <x:v>May 2026</x:v>
      </x:c>
    </x:row>
    <x:row r="79" ht="21" customHeight="1">
      <x:c r="A79" s="10" t="n">
        <x:v>46150</x:v>
      </x:c>
      <x:c r="B79" s="1" t="n">
        <x:v>3.5</x:v>
      </x:c>
      <x:c r="C79" s="1" t="n">
        <x:v>6</x:v>
      </x:c>
      <x:c r="D79" s="12" t="n">
        <x:v>0.23925</x:v>
      </x:c>
      <x:c r="E79" s="12" t="n">
        <x:v>0.24025</x:v>
      </x:c>
      <x:c r="F79" s="12" t="n">
        <x:v>0</x:v>
      </x:c>
      <x:c r="G79" s="12" t="n">
        <x:v>0</x:v>
      </x:c>
      <x:c r="H79" s="1" t="n">
        <x:f>'Historical prices'!E79</x:f>
        <x:v>1.05</x:v>
      </x:c>
      <x:c r="I79" s="6" t="n">
        <x:f>'Historical prices'!D79</x:f>
        <x:v>0.2226</x:v>
      </x:c>
      <x:c r="J79" s="13" t="n">
        <x:f>D79*I79*H79</x:f>
        <x:v>0.05591990249999999</x:v>
      </x:c>
      <x:c r="K79" s="13" t="n">
        <x:f>E79*I79*H79</x:f>
        <x:v>0.0561536325</x:v>
      </x:c>
      <x:c r="L79" s="1" t="str">
        <x:f>TEXT(A79,"mmm yyyy")</x:f>
        <x:v>May 2026</x:v>
      </x:c>
    </x:row>
    <x:row r="80" ht="21" customHeight="1">
      <x:c r="A80" s="10" t="n">
        <x:v>46150</x:v>
      </x:c>
      <x:c r="B80" s="1" t="n">
        <x:v>4</x:v>
      </x:c>
      <x:c r="C80" s="1" t="n">
        <x:v>6</x:v>
      </x:c>
      <x:c r="D80" s="12" t="n">
        <x:v>0.23324999999999999</x:v>
      </x:c>
      <x:c r="E80" s="12" t="n">
        <x:v>0.23424999999999999</x:v>
      </x:c>
      <x:c r="F80" s="12" t="n">
        <x:v>0</x:v>
      </x:c>
      <x:c r="G80" s="12" t="n">
        <x:v>0</x:v>
      </x:c>
      <x:c r="H80" s="1" t="n">
        <x:f>'Historical prices'!E80</x:f>
        <x:v>1.05</x:v>
      </x:c>
      <x:c r="I80" s="6" t="n">
        <x:f>'Historical prices'!D80</x:f>
        <x:v>0.2226</x:v>
      </x:c>
      <x:c r="J80" s="13" t="n">
        <x:f>D80*I80*H80</x:f>
        <x:v>0.0545175225</x:v>
      </x:c>
      <x:c r="K80" s="13" t="n">
        <x:f>E80*I80*H80</x:f>
        <x:v>0.0547512525</x:v>
      </x:c>
      <x:c r="L80" s="1" t="str">
        <x:f>TEXT(A80,"mmm yyyy")</x:f>
        <x:v>May 2026</x:v>
      </x:c>
    </x:row>
    <x:row r="81" ht="21" customHeight="1">
      <x:c r="A81" s="10" t="n">
        <x:v>46150</x:v>
      </x:c>
      <x:c r="B81" s="1" t="n">
        <x:v>4.5</x:v>
      </x:c>
      <x:c r="C81" s="1" t="n">
        <x:v>6</x:v>
      </x:c>
      <x:c r="D81" s="12" t="n">
        <x:v>0.2655</x:v>
      </x:c>
      <x:c r="E81" s="12" t="n">
        <x:v>0.2655</x:v>
      </x:c>
      <x:c r="F81" s="12" t="n">
        <x:v>0</x:v>
      </x:c>
      <x:c r="G81" s="12" t="n">
        <x:v>0</x:v>
      </x:c>
      <x:c r="H81" s="1" t="n">
        <x:f>'Historical prices'!E81</x:f>
        <x:v>1.05</x:v>
      </x:c>
      <x:c r="I81" s="6" t="n">
        <x:f>'Historical prices'!D81</x:f>
        <x:v>0.2226</x:v>
      </x:c>
      <x:c r="J81" s="13" t="n">
        <x:f>D81*I81*H81</x:f>
        <x:v>0.06205531500000001</x:v>
      </x:c>
      <x:c r="K81" s="13" t="n">
        <x:f>E81*I81*H81</x:f>
        <x:v>0.06205531500000001</x:v>
      </x:c>
      <x:c r="L81" s="1" t="str">
        <x:f>TEXT(A81,"mmm yyyy")</x:f>
        <x:v>May 2026</x:v>
      </x:c>
    </x:row>
    <x:row r="82" ht="21" customHeight="1">
      <x:c r="A82" s="10" t="n">
        <x:v>46150</x:v>
      </x:c>
      <x:c r="B82" s="1" t="n">
        <x:v>5</x:v>
      </x:c>
      <x:c r="C82" s="1" t="n">
        <x:v>6</x:v>
      </x:c>
      <x:c r="D82" s="12" t="n">
        <x:v>0.22291666666666668</x:v>
      </x:c>
      <x:c r="E82" s="12" t="n">
        <x:v>0.22391666666666668</x:v>
      </x:c>
      <x:c r="F82" s="12" t="n">
        <x:v>0</x:v>
      </x:c>
      <x:c r="G82" s="12" t="n">
        <x:v>0</x:v>
      </x:c>
      <x:c r="H82" s="1" t="n">
        <x:f>'Historical prices'!E82</x:f>
        <x:v>1.05</x:v>
      </x:c>
      <x:c r="I82" s="6" t="n">
        <x:f>'Historical prices'!D82</x:f>
        <x:v>0.2226</x:v>
      </x:c>
      <x:c r="J82" s="13" t="n">
        <x:f>D82*I82*H82</x:f>
        <x:v>0.0521023125</x:v>
      </x:c>
      <x:c r="K82" s="13" t="n">
        <x:f>E82*I82*H82</x:f>
        <x:v>0.052336042500000006</x:v>
      </x:c>
      <x:c r="L82" s="1" t="str">
        <x:f>TEXT(A82,"mmm yyyy")</x:f>
        <x:v>May 2026</x:v>
      </x:c>
    </x:row>
    <x:row r="83" ht="21" customHeight="1">
      <x:c r="A83" s="10" t="n">
        <x:v>46150</x:v>
      </x:c>
      <x:c r="B83" s="1" t="n">
        <x:v>5.5</x:v>
      </x:c>
      <x:c r="C83" s="1" t="n">
        <x:v>6</x:v>
      </x:c>
      <x:c r="D83" s="12" t="n">
        <x:v>0.32933333333333337</x:v>
      </x:c>
      <x:c r="E83" s="12" t="n">
        <x:v>0.33033333333333337</x:v>
      </x:c>
      <x:c r="F83" s="12" t="n">
        <x:v>0</x:v>
      </x:c>
      <x:c r="G83" s="12" t="n">
        <x:v>0</x:v>
      </x:c>
      <x:c r="H83" s="1" t="n">
        <x:f>'Historical prices'!E83</x:f>
        <x:v>1.05</x:v>
      </x:c>
      <x:c r="I83" s="6" t="n">
        <x:f>'Historical prices'!D83</x:f>
        <x:v>0.2226</x:v>
      </x:c>
      <x:c r="J83" s="13" t="n">
        <x:f>D83*I83*H83</x:f>
        <x:v>0.07697508</x:v>
      </x:c>
      <x:c r="K83" s="13" t="n">
        <x:f>E83*I83*H83</x:f>
        <x:v>0.07720881</x:v>
      </x:c>
      <x:c r="L83" s="1" t="str">
        <x:f>TEXT(A83,"mmm yyyy")</x:f>
        <x:v>May 2026</x:v>
      </x:c>
    </x:row>
    <x:row r="84" ht="21" customHeight="1">
      <x:c r="A84" s="10" t="n">
        <x:v>46150</x:v>
      </x:c>
      <x:c r="B84" s="1" t="n">
        <x:v>6</x:v>
      </x:c>
      <x:c r="C84" s="1" t="n">
        <x:v>6</x:v>
      </x:c>
      <x:c r="D84" s="12" t="n">
        <x:v>0.4220833333333333</x:v>
      </x:c>
      <x:c r="E84" s="12" t="n">
        <x:v>0.4230833333333333</x:v>
      </x:c>
      <x:c r="F84" s="12" t="n">
        <x:v>0</x:v>
      </x:c>
      <x:c r="G84" s="12" t="n">
        <x:v>0</x:v>
      </x:c>
      <x:c r="H84" s="1" t="n">
        <x:f>'Historical prices'!E84</x:f>
        <x:v>1.05</x:v>
      </x:c>
      <x:c r="I84" s="6" t="n">
        <x:f>'Historical prices'!D84</x:f>
        <x:v>0.2226</x:v>
      </x:c>
      <x:c r="J84" s="13" t="n">
        <x:f>D84*I84*H84</x:f>
        <x:v>0.0986535375</x:v>
      </x:c>
      <x:c r="K84" s="13" t="n">
        <x:f>E84*I84*H84</x:f>
        <x:v>0.0988872675</x:v>
      </x:c>
      <x:c r="L84" s="1" t="str">
        <x:f>TEXT(A84,"mmm yyyy")</x:f>
        <x:v>May 2026</x:v>
      </x:c>
    </x:row>
    <x:row r="85" ht="21" customHeight="1">
      <x:c r="A85" s="10" t="n">
        <x:v>46150</x:v>
      </x:c>
      <x:c r="B85" s="1" t="n">
        <x:v>6.5</x:v>
      </x:c>
      <x:c r="C85" s="1" t="n">
        <x:v>6</x:v>
      </x:c>
      <x:c r="D85" s="12" t="n">
        <x:v>0.45791666666666664</x:v>
      </x:c>
      <x:c r="E85" s="12" t="n">
        <x:v>0.45791666666666664</x:v>
      </x:c>
      <x:c r="F85" s="12" t="n">
        <x:v>0</x:v>
      </x:c>
      <x:c r="G85" s="12" t="n">
        <x:v>0</x:v>
      </x:c>
      <x:c r="H85" s="1" t="n">
        <x:f>'Historical prices'!E85</x:f>
        <x:v>1.05</x:v>
      </x:c>
      <x:c r="I85" s="6" t="n">
        <x:f>'Historical prices'!D85</x:f>
        <x:v>0.2226</x:v>
      </x:c>
      <x:c r="J85" s="13" t="n">
        <x:f>D85*I85*H85</x:f>
        <x:v>0.10702886249999999</x:v>
      </x:c>
      <x:c r="K85" s="13" t="n">
        <x:f>E85*I85*H85</x:f>
        <x:v>0.10702886249999999</x:v>
      </x:c>
      <x:c r="L85" s="1" t="str">
        <x:f>TEXT(A85,"mmm yyyy")</x:f>
        <x:v>May 2026</x:v>
      </x:c>
    </x:row>
    <x:row r="86" ht="21" customHeight="1">
      <x:c r="A86" s="10" t="n">
        <x:v>46150</x:v>
      </x:c>
      <x:c r="B86" s="1" t="n">
        <x:v>7</x:v>
      </x:c>
      <x:c r="C86" s="1" t="n">
        <x:v>6</x:v>
      </x:c>
      <x:c r="D86" s="12" t="n">
        <x:v>0.5609166666666666</x:v>
      </x:c>
      <x:c r="E86" s="12" t="n">
        <x:v>0.5609166666666666</x:v>
      </x:c>
      <x:c r="F86" s="12" t="n">
        <x:v>0</x:v>
      </x:c>
      <x:c r="G86" s="12" t="n">
        <x:v>0</x:v>
      </x:c>
      <x:c r="H86" s="1" t="n">
        <x:f>'Historical prices'!E86</x:f>
        <x:v>1.05</x:v>
      </x:c>
      <x:c r="I86" s="6" t="n">
        <x:f>'Historical prices'!D86</x:f>
        <x:v>0.2226</x:v>
      </x:c>
      <x:c r="J86" s="13" t="n">
        <x:f>D86*I86*H86</x:f>
        <x:v>0.13110305249999998</x:v>
      </x:c>
      <x:c r="K86" s="13" t="n">
        <x:f>E86*I86*H86</x:f>
        <x:v>0.13110305249999998</x:v>
      </x:c>
      <x:c r="L86" s="1" t="str">
        <x:f>TEXT(A86,"mmm yyyy")</x:f>
        <x:v>May 2026</x:v>
      </x:c>
    </x:row>
    <x:row r="87" ht="21" customHeight="1">
      <x:c r="A87" s="10" t="n">
        <x:v>46150</x:v>
      </x:c>
      <x:c r="B87" s="1" t="n">
        <x:v>7.5</x:v>
      </x:c>
      <x:c r="C87" s="1" t="n">
        <x:v>6</x:v>
      </x:c>
      <x:c r="D87" s="12" t="n">
        <x:v>0.5566666666666666</x:v>
      </x:c>
      <x:c r="E87" s="12" t="n">
        <x:v>0.5576666666666666</x:v>
      </x:c>
      <x:c r="F87" s="12" t="n">
        <x:v>0</x:v>
      </x:c>
      <x:c r="G87" s="12" t="n">
        <x:v>0</x:v>
      </x:c>
      <x:c r="H87" s="1" t="n">
        <x:f>'Historical prices'!E87</x:f>
        <x:v>1.05</x:v>
      </x:c>
      <x:c r="I87" s="6" t="n">
        <x:f>'Historical prices'!D87</x:f>
        <x:v>0.2226</x:v>
      </x:c>
      <x:c r="J87" s="13" t="n">
        <x:f>D87*I87*H87</x:f>
        <x:v>0.1301097</x:v>
      </x:c>
      <x:c r="K87" s="13" t="n">
        <x:f>E87*I87*H87</x:f>
        <x:v>0.13034342999999998</x:v>
      </x:c>
      <x:c r="L87" s="1" t="str">
        <x:f>TEXT(A87,"mmm yyyy")</x:f>
        <x:v>May 2026</x:v>
      </x:c>
    </x:row>
    <x:row r="88" ht="21" customHeight="1">
      <x:c r="A88" s="10" t="n">
        <x:v>46150</x:v>
      </x:c>
      <x:c r="B88" s="1" t="n">
        <x:v>8</x:v>
      </x:c>
      <x:c r="C88" s="1" t="n">
        <x:v>6</x:v>
      </x:c>
      <x:c r="D88" s="12" t="n">
        <x:v>1.2364166666666667</x:v>
      </x:c>
      <x:c r="E88" s="12" t="n">
        <x:v>1.2374166666666668</x:v>
      </x:c>
      <x:c r="F88" s="12" t="n">
        <x:v>0</x:v>
      </x:c>
      <x:c r="G88" s="12" t="n">
        <x:v>0</x:v>
      </x:c>
      <x:c r="H88" s="1" t="n">
        <x:f>'Historical prices'!E88</x:f>
        <x:v>1.05</x:v>
      </x:c>
      <x:c r="I88" s="6" t="n">
        <x:f>'Historical prices'!D88</x:f>
        <x:v>0.2226</x:v>
      </x:c>
      <x:c r="J88" s="13" t="n">
        <x:f>D88*I88*H88</x:f>
        <x:v>0.28898766750000004</x:v>
      </x:c>
      <x:c r="K88" s="13" t="n">
        <x:f>E88*I88*H88</x:f>
        <x:v>0.28922139750000003</x:v>
      </x:c>
      <x:c r="L88" s="1" t="str">
        <x:f>TEXT(A88,"mmm yyyy")</x:f>
        <x:v>May 2026</x:v>
      </x:c>
    </x:row>
    <x:row r="89" ht="21" customHeight="1">
      <x:c r="A89" s="10" t="n">
        <x:v>46150</x:v>
      </x:c>
      <x:c r="B89" s="1" t="n">
        <x:v>8.5</x:v>
      </x:c>
      <x:c r="C89" s="1" t="n">
        <x:v>6</x:v>
      </x:c>
      <x:c r="D89" s="12" t="n">
        <x:v>2.1582500000000002</x:v>
      </x:c>
      <x:c r="E89" s="12" t="n">
        <x:v>2.15725</x:v>
      </x:c>
      <x:c r="F89" s="12" t="n">
        <x:v>0</x:v>
      </x:c>
      <x:c r="G89" s="12" t="n">
        <x:v>0</x:v>
      </x:c>
      <x:c r="H89" s="1" t="n">
        <x:f>'Historical prices'!E89</x:f>
        <x:v>1.05</x:v>
      </x:c>
      <x:c r="I89" s="6" t="n">
        <x:f>'Historical prices'!D89</x:f>
        <x:v>0.2226</x:v>
      </x:c>
      <x:c r="J89" s="13" t="n">
        <x:f>D89*I89*H89</x:f>
        <x:v>0.5044477725000001</x:v>
      </x:c>
      <x:c r="K89" s="13" t="n">
        <x:f>E89*I89*H89</x:f>
        <x:v>0.5042140424999999</x:v>
      </x:c>
      <x:c r="L89" s="1" t="str">
        <x:f>TEXT(A89,"mmm yyyy")</x:f>
        <x:v>May 2026</x:v>
      </x:c>
    </x:row>
    <x:row r="90" ht="21" customHeight="1">
      <x:c r="A90" s="10" t="n">
        <x:v>46150</x:v>
      </x:c>
      <x:c r="B90" s="1" t="n">
        <x:v>9</x:v>
      </x:c>
      <x:c r="C90" s="1" t="n">
        <x:v>6</x:v>
      </x:c>
      <x:c r="D90" s="12" t="n">
        <x:v>1.337</x:v>
      </x:c>
      <x:c r="E90" s="12" t="n">
        <x:v>1.338</x:v>
      </x:c>
      <x:c r="F90" s="12" t="n">
        <x:v>0</x:v>
      </x:c>
      <x:c r="G90" s="12" t="n">
        <x:v>0</x:v>
      </x:c>
      <x:c r="H90" s="1" t="n">
        <x:f>'Historical prices'!E90</x:f>
        <x:v>1.05</x:v>
      </x:c>
      <x:c r="I90" s="6" t="n">
        <x:f>'Historical prices'!D90</x:f>
        <x:v>0.2226</x:v>
      </x:c>
      <x:c r="J90" s="13" t="n">
        <x:f>D90*I90*H90</x:f>
        <x:v>0.31249701</x:v>
      </x:c>
      <x:c r="K90" s="13" t="n">
        <x:f>E90*I90*H90</x:f>
        <x:v>0.31273074</x:v>
      </x:c>
      <x:c r="L90" s="1" t="str">
        <x:f>TEXT(A90,"mmm yyyy")</x:f>
        <x:v>May 2026</x:v>
      </x:c>
    </x:row>
    <x:row r="91" ht="21" customHeight="1">
      <x:c r="A91" s="10" t="n">
        <x:v>46150</x:v>
      </x:c>
      <x:c r="B91" s="1" t="n">
        <x:v>9.5</x:v>
      </x:c>
      <x:c r="C91" s="1" t="n">
        <x:v>6</x:v>
      </x:c>
      <x:c r="D91" s="12" t="n">
        <x:v>1.5521666666666665</x:v>
      </x:c>
      <x:c r="E91" s="12" t="n">
        <x:v>1.5521666666666665</x:v>
      </x:c>
      <x:c r="F91" s="12" t="n">
        <x:v>0</x:v>
      </x:c>
      <x:c r="G91" s="12" t="n">
        <x:v>0</x:v>
      </x:c>
      <x:c r="H91" s="1" t="n">
        <x:f>'Historical prices'!E91</x:f>
        <x:v>1.05</x:v>
      </x:c>
      <x:c r="I91" s="6" t="n">
        <x:f>'Historical prices'!D91</x:f>
        <x:v>0.2226</x:v>
      </x:c>
      <x:c r="J91" s="13" t="n">
        <x:f>D91*I91*H91</x:f>
        <x:v>0.36278791499999996</x:v>
      </x:c>
      <x:c r="K91" s="13" t="n">
        <x:f>E91*I91*H91</x:f>
        <x:v>0.36278791499999996</x:v>
      </x:c>
      <x:c r="L91" s="1" t="str">
        <x:f>TEXT(A91,"mmm yyyy")</x:f>
        <x:v>May 2026</x:v>
      </x:c>
    </x:row>
    <x:row r="92" ht="21" customHeight="1">
      <x:c r="A92" s="10" t="n">
        <x:v>46150</x:v>
      </x:c>
      <x:c r="B92" s="1" t="n">
        <x:v>10</x:v>
      </x:c>
      <x:c r="C92" s="1" t="n">
        <x:v>6</x:v>
      </x:c>
      <x:c r="D92" s="12" t="n">
        <x:v>0.6490000000000001</x:v>
      </x:c>
      <x:c r="E92" s="12" t="n">
        <x:v>0.6500000000000001</x:v>
      </x:c>
      <x:c r="F92" s="12" t="n">
        <x:v>0</x:v>
      </x:c>
      <x:c r="G92" s="12" t="n">
        <x:v>0</x:v>
      </x:c>
      <x:c r="H92" s="1" t="n">
        <x:f>'Historical prices'!E92</x:f>
        <x:v>1.05</x:v>
      </x:c>
      <x:c r="I92" s="6" t="n">
        <x:f>'Historical prices'!D92</x:f>
        <x:v>0.2226</x:v>
      </x:c>
      <x:c r="J92" s="13" t="n">
        <x:f>D92*I92*H92</x:f>
        <x:v>0.15169077000000003</x:v>
      </x:c>
      <x:c r="K92" s="13" t="n">
        <x:f>E92*I92*H92</x:f>
        <x:v>0.15192450000000002</x:v>
      </x:c>
      <x:c r="L92" s="1" t="str">
        <x:f>TEXT(A92,"mmm yyyy")</x:f>
        <x:v>May 2026</x:v>
      </x:c>
    </x:row>
    <x:row r="93" ht="21" customHeight="1">
      <x:c r="A93" s="10" t="n">
        <x:v>46150</x:v>
      </x:c>
      <x:c r="B93" s="1" t="n">
        <x:v>10.5</x:v>
      </x:c>
      <x:c r="C93" s="1" t="n">
        <x:v>6</x:v>
      </x:c>
      <x:c r="D93" s="12" t="n">
        <x:v>0.6306666666666667</x:v>
      </x:c>
      <x:c r="E93" s="12" t="n">
        <x:v>0.6306666666666667</x:v>
      </x:c>
      <x:c r="F93" s="12" t="n">
        <x:v>0</x:v>
      </x:c>
      <x:c r="G93" s="12" t="n">
        <x:v>0</x:v>
      </x:c>
      <x:c r="H93" s="1" t="n">
        <x:f>'Historical prices'!E93</x:f>
        <x:v>1.05</x:v>
      </x:c>
      <x:c r="I93" s="6" t="n">
        <x:f>'Historical prices'!D93</x:f>
        <x:v>0.2226</x:v>
      </x:c>
      <x:c r="J93" s="13" t="n">
        <x:f>D93*I93*H93</x:f>
        <x:v>0.14740572</x:v>
      </x:c>
      <x:c r="K93" s="13" t="n">
        <x:f>E93*I93*H93</x:f>
        <x:v>0.14740572</x:v>
      </x:c>
      <x:c r="L93" s="1" t="str">
        <x:f>TEXT(A93,"mmm yyyy")</x:f>
        <x:v>May 2026</x:v>
      </x:c>
    </x:row>
    <x:row r="94" ht="21" customHeight="1">
      <x:c r="A94" s="10" t="n">
        <x:v>46150</x:v>
      </x:c>
      <x:c r="B94" s="1" t="n">
        <x:v>11</x:v>
      </x:c>
      <x:c r="C94" s="1" t="n">
        <x:v>6</x:v>
      </x:c>
      <x:c r="D94" s="12" t="n">
        <x:v>0.5997499999999999</x:v>
      </x:c>
      <x:c r="E94" s="12" t="n">
        <x:v>0.5987499999999999</x:v>
      </x:c>
      <x:c r="F94" s="12" t="n">
        <x:v>0</x:v>
      </x:c>
      <x:c r="G94" s="12" t="n">
        <x:v>0</x:v>
      </x:c>
      <x:c r="H94" s="1" t="n">
        <x:f>'Historical prices'!E94</x:f>
        <x:v>1.05</x:v>
      </x:c>
      <x:c r="I94" s="6" t="n">
        <x:f>'Historical prices'!D94</x:f>
        <x:v>0.2226</x:v>
      </x:c>
      <x:c r="J94" s="13" t="n">
        <x:f>D94*I94*H94</x:f>
        <x:v>0.14017956749999996</x:v>
      </x:c>
      <x:c r="K94" s="13" t="n">
        <x:f>E94*I94*H94</x:f>
        <x:v>0.13994583749999998</x:v>
      </x:c>
      <x:c r="L94" s="1" t="str">
        <x:f>TEXT(A94,"mmm yyyy")</x:f>
        <x:v>May 2026</x:v>
      </x:c>
    </x:row>
    <x:row r="95" ht="21" customHeight="1">
      <x:c r="A95" s="10" t="n">
        <x:v>46150</x:v>
      </x:c>
      <x:c r="B95" s="1" t="n">
        <x:v>11.5</x:v>
      </x:c>
      <x:c r="C95" s="1" t="n">
        <x:v>6</x:v>
      </x:c>
      <x:c r="D95" s="12" t="n">
        <x:v>0.61225</x:v>
      </x:c>
      <x:c r="E95" s="12" t="n">
        <x:v>0.6142499999999999</x:v>
      </x:c>
      <x:c r="F95" s="12" t="n">
        <x:v>0</x:v>
      </x:c>
      <x:c r="G95" s="12" t="n">
        <x:v>0</x:v>
      </x:c>
      <x:c r="H95" s="1" t="n">
        <x:f>'Historical prices'!E95</x:f>
        <x:v>1.05</x:v>
      </x:c>
      <x:c r="I95" s="6" t="n">
        <x:f>'Historical prices'!D95</x:f>
        <x:v>0.2226</x:v>
      </x:c>
      <x:c r="J95" s="13" t="n">
        <x:f>D95*I95*H95</x:f>
        <x:v>0.1431011925</x:v>
      </x:c>
      <x:c r="K95" s="13" t="n">
        <x:f>E95*I95*H95</x:f>
        <x:v>0.14356865249999998</x:v>
      </x:c>
      <x:c r="L95" s="1" t="str">
        <x:f>TEXT(A95,"mmm yyyy")</x:f>
        <x:v>May 2026</x:v>
      </x:c>
    </x:row>
    <x:row r="96" ht="21" customHeight="1">
      <x:c r="A96" s="10" t="n">
        <x:v>46150</x:v>
      </x:c>
      <x:c r="B96" s="1" t="n">
        <x:v>12</x:v>
      </x:c>
      <x:c r="C96" s="1" t="n">
        <x:v>6</x:v>
      </x:c>
      <x:c r="D96" s="12" t="n">
        <x:v>0.5204166666666666</x:v>
      </x:c>
      <x:c r="E96" s="12" t="n">
        <x:v>0.5194166666666666</x:v>
      </x:c>
      <x:c r="F96" s="12" t="n">
        <x:v>0</x:v>
      </x:c>
      <x:c r="G96" s="12" t="n">
        <x:v>0</x:v>
      </x:c>
      <x:c r="H96" s="1" t="n">
        <x:f>'Historical prices'!E96</x:f>
        <x:v>1.05</x:v>
      </x:c>
      <x:c r="I96" s="6" t="n">
        <x:f>'Historical prices'!D96</x:f>
        <x:v>0.2226</x:v>
      </x:c>
      <x:c r="J96" s="13" t="n">
        <x:f>D96*I96*H96</x:f>
        <x:v>0.1216369875</x:v>
      </x:c>
      <x:c r="K96" s="13" t="n">
        <x:f>E96*I96*H96</x:f>
        <x:v>0.1214032575</x:v>
      </x:c>
      <x:c r="L96" s="1" t="str">
        <x:f>TEXT(A96,"mmm yyyy")</x:f>
        <x:v>May 2026</x:v>
      </x:c>
    </x:row>
    <x:row r="97" ht="21" customHeight="1">
      <x:c r="A97" s="10" t="n">
        <x:v>46150</x:v>
      </x:c>
      <x:c r="B97" s="1" t="n">
        <x:v>12.5</x:v>
      </x:c>
      <x:c r="C97" s="1" t="n">
        <x:v>6</x:v>
      </x:c>
      <x:c r="D97" s="12" t="n">
        <x:v>0.43558333333333343</x:v>
      </x:c>
      <x:c r="E97" s="12" t="n">
        <x:v>0.43658333333333343</x:v>
      </x:c>
      <x:c r="F97" s="12" t="n">
        <x:v>0</x:v>
      </x:c>
      <x:c r="G97" s="12" t="n">
        <x:v>0</x:v>
      </x:c>
      <x:c r="H97" s="1" t="n">
        <x:f>'Historical prices'!E97</x:f>
        <x:v>1.05</x:v>
      </x:c>
      <x:c r="I97" s="6" t="n">
        <x:f>'Historical prices'!D97</x:f>
        <x:v>0.2226</x:v>
      </x:c>
      <x:c r="J97" s="13" t="n">
        <x:f>D97*I97*H97</x:f>
        <x:v>0.10180889250000003</x:v>
      </x:c>
      <x:c r="K97" s="13" t="n">
        <x:f>E97*I97*H97</x:f>
        <x:v>0.10204262250000003</x:v>
      </x:c>
      <x:c r="L97" s="1" t="str">
        <x:f>TEXT(A97,"mmm yyyy")</x:f>
        <x:v>May 2026</x:v>
      </x:c>
    </x:row>
    <x:row r="98" ht="21" customHeight="1">
      <x:c r="A98" s="10" t="n">
        <x:v>46150</x:v>
      </x:c>
      <x:c r="B98" s="1" t="n">
        <x:v>13</x:v>
      </x:c>
      <x:c r="C98" s="1" t="n">
        <x:v>6</x:v>
      </x:c>
      <x:c r="D98" s="12" t="n">
        <x:v>1.7261666666666666</x:v>
      </x:c>
      <x:c r="E98" s="12" t="n">
        <x:v>1.7271666666666665</x:v>
      </x:c>
      <x:c r="F98" s="12" t="n">
        <x:v>0</x:v>
      </x:c>
      <x:c r="G98" s="12" t="n">
        <x:v>0</x:v>
      </x:c>
      <x:c r="H98" s="1" t="n">
        <x:f>'Historical prices'!E98</x:f>
        <x:v>1.05</x:v>
      </x:c>
      <x:c r="I98" s="6" t="n">
        <x:f>'Historical prices'!D98</x:f>
        <x:v>0.2226</x:v>
      </x:c>
      <x:c r="J98" s="13" t="n">
        <x:f>D98*I98*H98</x:f>
        <x:v>0.403456935</x:v>
      </x:c>
      <x:c r="K98" s="13" t="n">
        <x:f>E98*I98*H98</x:f>
        <x:v>0.40369066499999995</x:v>
      </x:c>
      <x:c r="L98" s="1" t="str">
        <x:f>TEXT(A98,"mmm yyyy")</x:f>
        <x:v>May 2026</x:v>
      </x:c>
    </x:row>
    <x:row r="99" ht="21" customHeight="1">
      <x:c r="A99" s="10" t="n">
        <x:v>46150</x:v>
      </x:c>
      <x:c r="B99" s="1" t="n">
        <x:v>13.5</x:v>
      </x:c>
      <x:c r="C99" s="1" t="n">
        <x:v>6</x:v>
      </x:c>
      <x:c r="D99" s="12" t="n">
        <x:v>0.5250833333333332</x:v>
      </x:c>
      <x:c r="E99" s="12" t="n">
        <x:v>0.5250833333333332</x:v>
      </x:c>
      <x:c r="F99" s="12" t="n">
        <x:v>0</x:v>
      </x:c>
      <x:c r="G99" s="12" t="n">
        <x:v>0</x:v>
      </x:c>
      <x:c r="H99" s="1" t="n">
        <x:f>'Historical prices'!E99</x:f>
        <x:v>1.05</x:v>
      </x:c>
      <x:c r="I99" s="6" t="n">
        <x:f>'Historical prices'!D99</x:f>
        <x:v>0.2226</x:v>
      </x:c>
      <x:c r="J99" s="13" t="n">
        <x:f>D99*I99*H99</x:f>
        <x:v>0.12272772749999998</x:v>
      </x:c>
      <x:c r="K99" s="13" t="n">
        <x:f>E99*I99*H99</x:f>
        <x:v>0.12272772749999998</x:v>
      </x:c>
      <x:c r="L99" s="1" t="str">
        <x:f>TEXT(A99,"mmm yyyy")</x:f>
        <x:v>May 2026</x:v>
      </x:c>
    </x:row>
    <x:row r="100" ht="21" customHeight="1">
      <x:c r="A100" s="10" t="n">
        <x:v>46150</x:v>
      </x:c>
      <x:c r="B100" s="1" t="n">
        <x:v>14</x:v>
      </x:c>
      <x:c r="C100" s="1" t="n">
        <x:v>6</x:v>
      </x:c>
      <x:c r="D100" s="12" t="n">
        <x:v>0.41774999999999995</x:v>
      </x:c>
      <x:c r="E100" s="12" t="n">
        <x:v>0.41874999999999996</x:v>
      </x:c>
      <x:c r="F100" s="12" t="n">
        <x:v>0</x:v>
      </x:c>
      <x:c r="G100" s="12" t="n">
        <x:v>0</x:v>
      </x:c>
      <x:c r="H100" s="1" t="n">
        <x:f>'Historical prices'!E100</x:f>
        <x:v>1.05</x:v>
      </x:c>
      <x:c r="I100" s="6" t="n">
        <x:f>'Historical prices'!D100</x:f>
        <x:v>0.2226</x:v>
      </x:c>
      <x:c r="J100" s="13" t="n">
        <x:f>D100*I100*H100</x:f>
        <x:v>0.09764070749999998</x:v>
      </x:c>
      <x:c r="K100" s="13" t="n">
        <x:f>E100*I100*H100</x:f>
        <x:v>0.09787443749999998</x:v>
      </x:c>
      <x:c r="L100" s="1" t="str">
        <x:f>TEXT(A100,"mmm yyyy")</x:f>
        <x:v>May 2026</x:v>
      </x:c>
    </x:row>
    <x:row r="101" ht="21" customHeight="1">
      <x:c r="A101" s="10" t="n">
        <x:v>46150</x:v>
      </x:c>
      <x:c r="B101" s="1" t="n">
        <x:v>14.5</x:v>
      </x:c>
      <x:c r="C101" s="1" t="n">
        <x:v>6</x:v>
      </x:c>
      <x:c r="D101" s="12" t="n">
        <x:v>0.4251666666666667</x:v>
      </x:c>
      <x:c r="E101" s="12" t="n">
        <x:v>0.4251666666666667</x:v>
      </x:c>
      <x:c r="F101" s="12" t="n">
        <x:v>0</x:v>
      </x:c>
      <x:c r="G101" s="12" t="n">
        <x:v>0</x:v>
      </x:c>
      <x:c r="H101" s="1" t="n">
        <x:f>'Historical prices'!E101</x:f>
        <x:v>1.05</x:v>
      </x:c>
      <x:c r="I101" s="6" t="n">
        <x:f>'Historical prices'!D101</x:f>
        <x:v>0.2226</x:v>
      </x:c>
      <x:c r="J101" s="13" t="n">
        <x:f>D101*I101*H101</x:f>
        <x:v>0.09937420500000001</x:v>
      </x:c>
      <x:c r="K101" s="13" t="n">
        <x:f>E101*I101*H101</x:f>
        <x:v>0.09937420500000001</x:v>
      </x:c>
      <x:c r="L101" s="1" t="str">
        <x:f>TEXT(A101,"mmm yyyy")</x:f>
        <x:v>May 2026</x:v>
      </x:c>
    </x:row>
    <x:row r="102" ht="21" customHeight="1">
      <x:c r="A102" s="10" t="n">
        <x:v>46150</x:v>
      </x:c>
      <x:c r="B102" s="1" t="n">
        <x:v>15</x:v>
      </x:c>
      <x:c r="C102" s="1" t="n">
        <x:v>6</x:v>
      </x:c>
      <x:c r="D102" s="12" t="n">
        <x:v>0.4199166666666667</x:v>
      </x:c>
      <x:c r="E102" s="12" t="n">
        <x:v>0.4199166666666667</x:v>
      </x:c>
      <x:c r="F102" s="12" t="n">
        <x:v>0</x:v>
      </x:c>
      <x:c r="G102" s="12" t="n">
        <x:v>0</x:v>
      </x:c>
      <x:c r="H102" s="1" t="n">
        <x:f>'Historical prices'!E102</x:f>
        <x:v>1.05</x:v>
      </x:c>
      <x:c r="I102" s="6" t="n">
        <x:f>'Historical prices'!D102</x:f>
        <x:v>0.2226</x:v>
      </x:c>
      <x:c r="J102" s="13" t="n">
        <x:f>D102*I102*H102</x:f>
        <x:v>0.09814712250000002</x:v>
      </x:c>
      <x:c r="K102" s="13" t="n">
        <x:f>E102*I102*H102</x:f>
        <x:v>0.09814712250000002</x:v>
      </x:c>
      <x:c r="L102" s="1" t="str">
        <x:f>TEXT(A102,"mmm yyyy")</x:f>
        <x:v>May 2026</x:v>
      </x:c>
    </x:row>
    <x:row r="103" ht="21" customHeight="1">
      <x:c r="A103" s="10" t="n">
        <x:v>46150</x:v>
      </x:c>
      <x:c r="B103" s="1" t="n">
        <x:v>15.5</x:v>
      </x:c>
      <x:c r="C103" s="1" t="n">
        <x:v>6</x:v>
      </x:c>
      <x:c r="D103" s="12" t="n">
        <x:v>0.487</x:v>
      </x:c>
      <x:c r="E103" s="12" t="n">
        <x:v>0.487</x:v>
      </x:c>
      <x:c r="F103" s="12" t="n">
        <x:v>0</x:v>
      </x:c>
      <x:c r="G103" s="12" t="n">
        <x:v>0</x:v>
      </x:c>
      <x:c r="H103" s="1" t="n">
        <x:f>'Historical prices'!E103</x:f>
        <x:v>1.05</x:v>
      </x:c>
      <x:c r="I103" s="6" t="n">
        <x:f>'Historical prices'!D103</x:f>
        <x:v>0.2226</x:v>
      </x:c>
      <x:c r="J103" s="13" t="n">
        <x:f>D103*I103*H103</x:f>
        <x:v>0.11382650999999999</x:v>
      </x:c>
      <x:c r="K103" s="13" t="n">
        <x:f>E103*I103*H103</x:f>
        <x:v>0.11382650999999999</x:v>
      </x:c>
      <x:c r="L103" s="1" t="str">
        <x:f>TEXT(A103,"mmm yyyy")</x:f>
        <x:v>May 2026</x:v>
      </x:c>
    </x:row>
    <x:row r="104" ht="21" customHeight="1">
      <x:c r="A104" s="10" t="n">
        <x:v>46150</x:v>
      </x:c>
      <x:c r="B104" s="1" t="n">
        <x:v>16</x:v>
      </x:c>
      <x:c r="C104" s="1" t="n">
        <x:v>6</x:v>
      </x:c>
      <x:c r="D104" s="12" t="n">
        <x:v>1.1561666666666666</x:v>
      </x:c>
      <x:c r="E104" s="12" t="n">
        <x:v>1.1571666666666667</x:v>
      </x:c>
      <x:c r="F104" s="12" t="n">
        <x:v>0</x:v>
      </x:c>
      <x:c r="G104" s="12" t="n">
        <x:v>0</x:v>
      </x:c>
      <x:c r="H104" s="1" t="n">
        <x:f>'Historical prices'!E104</x:f>
        <x:v>1.05</x:v>
      </x:c>
      <x:c r="I104" s="6" t="n">
        <x:f>'Historical prices'!D104</x:f>
        <x:v>0.2226</x:v>
      </x:c>
      <x:c r="J104" s="13" t="n">
        <x:f>D104*I104*H104</x:f>
        <x:v>0.27023083499999995</x:v>
      </x:c>
      <x:c r="K104" s="13" t="n">
        <x:f>E104*I104*H104</x:f>
        <x:v>0.27046456500000005</x:v>
      </x:c>
      <x:c r="L104" s="1" t="str">
        <x:f>TEXT(A104,"mmm yyyy")</x:f>
        <x:v>May 2026</x:v>
      </x:c>
    </x:row>
    <x:row r="105" ht="21" customHeight="1">
      <x:c r="A105" s="10" t="n">
        <x:v>46150</x:v>
      </x:c>
      <x:c r="B105" s="1" t="n">
        <x:v>16.5</x:v>
      </x:c>
      <x:c r="C105" s="1" t="n">
        <x:v>6</x:v>
      </x:c>
      <x:c r="D105" s="12" t="n">
        <x:v>0.8049166666666665</x:v>
      </x:c>
      <x:c r="E105" s="12" t="n">
        <x:v>0.8049166666666665</x:v>
      </x:c>
      <x:c r="F105" s="12" t="n">
        <x:v>0</x:v>
      </x:c>
      <x:c r="G105" s="12" t="n">
        <x:v>0</x:v>
      </x:c>
      <x:c r="H105" s="1" t="n">
        <x:f>'Historical prices'!E105</x:f>
        <x:v>1.05</x:v>
      </x:c>
      <x:c r="I105" s="6" t="n">
        <x:f>'Historical prices'!D105</x:f>
        <x:v>0.2226</x:v>
      </x:c>
      <x:c r="J105" s="13" t="n">
        <x:f>D105*I105*H105</x:f>
        <x:v>0.18813317249999997</x:v>
      </x:c>
      <x:c r="K105" s="13" t="n">
        <x:f>E105*I105*H105</x:f>
        <x:v>0.18813317249999997</x:v>
      </x:c>
      <x:c r="L105" s="1" t="str">
        <x:f>TEXT(A105,"mmm yyyy")</x:f>
        <x:v>May 2026</x:v>
      </x:c>
    </x:row>
    <x:row r="106" ht="21" customHeight="1">
      <x:c r="A106" s="10" t="n">
        <x:v>46150</x:v>
      </x:c>
      <x:c r="B106" s="1" t="n">
        <x:v>17</x:v>
      </x:c>
      <x:c r="C106" s="1" t="n">
        <x:v>6</x:v>
      </x:c>
      <x:c r="D106" s="12" t="n">
        <x:v>0.5511666666666666</x:v>
      </x:c>
      <x:c r="E106" s="12" t="n">
        <x:v>0.5521666666666666</x:v>
      </x:c>
      <x:c r="F106" s="12" t="n">
        <x:v>0</x:v>
      </x:c>
      <x:c r="G106" s="12" t="n">
        <x:v>0</x:v>
      </x:c>
      <x:c r="H106" s="1" t="n">
        <x:f>'Historical prices'!E106</x:f>
        <x:v>1.05</x:v>
      </x:c>
      <x:c r="I106" s="6" t="n">
        <x:f>'Historical prices'!D106</x:f>
        <x:v>0.2226</x:v>
      </x:c>
      <x:c r="J106" s="13" t="n">
        <x:f>D106*I106*H106</x:f>
        <x:v>0.12882418499999998</x:v>
      </x:c>
      <x:c r="K106" s="13" t="n">
        <x:f>E106*I106*H106</x:f>
        <x:v>0.12905791499999997</x:v>
      </x:c>
      <x:c r="L106" s="1" t="str">
        <x:f>TEXT(A106,"mmm yyyy")</x:f>
        <x:v>May 2026</x:v>
      </x:c>
    </x:row>
    <x:row r="107" ht="21" customHeight="1">
      <x:c r="A107" s="10" t="n">
        <x:v>46150</x:v>
      </x:c>
      <x:c r="B107" s="1" t="n">
        <x:v>17.5</x:v>
      </x:c>
      <x:c r="C107" s="1" t="n">
        <x:v>6</x:v>
      </x:c>
      <x:c r="D107" s="12" t="n">
        <x:v>0.44775000000000004</x:v>
      </x:c>
      <x:c r="E107" s="12" t="n">
        <x:v>0.44775000000000004</x:v>
      </x:c>
      <x:c r="F107" s="12" t="n">
        <x:v>0</x:v>
      </x:c>
      <x:c r="G107" s="12" t="n">
        <x:v>0</x:v>
      </x:c>
      <x:c r="H107" s="1" t="n">
        <x:f>'Historical prices'!E107</x:f>
        <x:v>1.05</x:v>
      </x:c>
      <x:c r="I107" s="6" t="n">
        <x:f>'Historical prices'!D107</x:f>
        <x:v>0.2226</x:v>
      </x:c>
      <x:c r="J107" s="13" t="n">
        <x:f>D107*I107*H107</x:f>
        <x:v>0.10465260750000001</x:v>
      </x:c>
      <x:c r="K107" s="13" t="n">
        <x:f>E107*I107*H107</x:f>
        <x:v>0.10465260750000001</x:v>
      </x:c>
      <x:c r="L107" s="1" t="str">
        <x:f>TEXT(A107,"mmm yyyy")</x:f>
        <x:v>May 2026</x:v>
      </x:c>
    </x:row>
    <x:row r="108" ht="21" customHeight="1">
      <x:c r="A108" s="10" t="n">
        <x:v>46150</x:v>
      </x:c>
      <x:c r="B108" s="1" t="n">
        <x:v>18</x:v>
      </x:c>
      <x:c r="C108" s="1" t="n">
        <x:v>6</x:v>
      </x:c>
      <x:c r="D108" s="12" t="n">
        <x:v>0.43625</x:v>
      </x:c>
      <x:c r="E108" s="12" t="n">
        <x:v>0.43725</x:v>
      </x:c>
      <x:c r="F108" s="12" t="n">
        <x:v>0</x:v>
      </x:c>
      <x:c r="G108" s="12" t="n">
        <x:v>0</x:v>
      </x:c>
      <x:c r="H108" s="1" t="n">
        <x:f>'Historical prices'!E108</x:f>
        <x:v>1.05</x:v>
      </x:c>
      <x:c r="I108" s="6" t="n">
        <x:f>'Historical prices'!D108</x:f>
        <x:v>0.2226</x:v>
      </x:c>
      <x:c r="J108" s="13" t="n">
        <x:f>D108*I108*H108</x:f>
        <x:v>0.10196471250000001</x:v>
      </x:c>
      <x:c r="K108" s="13" t="n">
        <x:f>E108*I108*H108</x:f>
        <x:v>0.1021984425</x:v>
      </x:c>
      <x:c r="L108" s="1" t="str">
        <x:f>TEXT(A108,"mmm yyyy")</x:f>
        <x:v>May 2026</x:v>
      </x:c>
    </x:row>
    <x:row r="109" ht="21" customHeight="1">
      <x:c r="A109" s="10" t="n">
        <x:v>46150</x:v>
      </x:c>
      <x:c r="B109" s="1" t="n">
        <x:v>18.5</x:v>
      </x:c>
      <x:c r="C109" s="1" t="n">
        <x:v>6</x:v>
      </x:c>
      <x:c r="D109" s="12" t="n">
        <x:v>0.7824166666666668</x:v>
      </x:c>
      <x:c r="E109" s="12" t="n">
        <x:v>0.7824166666666668</x:v>
      </x:c>
      <x:c r="F109" s="12" t="n">
        <x:v>0</x:v>
      </x:c>
      <x:c r="G109" s="12" t="n">
        <x:v>0</x:v>
      </x:c>
      <x:c r="H109" s="1" t="n">
        <x:f>'Historical prices'!E109</x:f>
        <x:v>1.05</x:v>
      </x:c>
      <x:c r="I109" s="6" t="n">
        <x:f>'Historical prices'!D109</x:f>
        <x:v>0.2226</x:v>
      </x:c>
      <x:c r="J109" s="13" t="n">
        <x:f>D109*I109*H109</x:f>
        <x:v>0.18287424750000003</x:v>
      </x:c>
      <x:c r="K109" s="13" t="n">
        <x:f>E109*I109*H109</x:f>
        <x:v>0.18287424750000003</x:v>
      </x:c>
      <x:c r="L109" s="1" t="str">
        <x:f>TEXT(A109,"mmm yyyy")</x:f>
        <x:v>May 2026</x:v>
      </x:c>
    </x:row>
    <x:row r="110" ht="21" customHeight="1">
      <x:c r="A110" s="10" t="n">
        <x:v>46150</x:v>
      </x:c>
      <x:c r="B110" s="1" t="n">
        <x:v>19</x:v>
      </x:c>
      <x:c r="C110" s="1" t="n">
        <x:v>6</x:v>
      </x:c>
      <x:c r="D110" s="12" t="n">
        <x:v>0.43191666666666667</x:v>
      </x:c>
      <x:c r="E110" s="12" t="n">
        <x:v>0.43291666666666667</x:v>
      </x:c>
      <x:c r="F110" s="12" t="n">
        <x:v>0</x:v>
      </x:c>
      <x:c r="G110" s="12" t="n">
        <x:v>0</x:v>
      </x:c>
      <x:c r="H110" s="1" t="n">
        <x:f>'Historical prices'!E110</x:f>
        <x:v>1.05</x:v>
      </x:c>
      <x:c r="I110" s="6" t="n">
        <x:f>'Historical prices'!D110</x:f>
        <x:v>0.2226</x:v>
      </x:c>
      <x:c r="J110" s="13" t="n">
        <x:f>D110*I110*H110</x:f>
        <x:v>0.1009518825</x:v>
      </x:c>
      <x:c r="K110" s="13" t="n">
        <x:f>E110*I110*H110</x:f>
        <x:v>0.10118561250000001</x:v>
      </x:c>
      <x:c r="L110" s="1" t="str">
        <x:f>TEXT(A110,"mmm yyyy")</x:f>
        <x:v>May 2026</x:v>
      </x:c>
    </x:row>
    <x:row r="111" ht="21" customHeight="1">
      <x:c r="A111" s="10" t="n">
        <x:v>46150</x:v>
      </x:c>
      <x:c r="B111" s="1" t="n">
        <x:v>19.5</x:v>
      </x:c>
      <x:c r="C111" s="1" t="n">
        <x:v>6</x:v>
      </x:c>
      <x:c r="D111" s="12" t="n">
        <x:v>0.7740833333333333</x:v>
      </x:c>
      <x:c r="E111" s="12" t="n">
        <x:v>0.7740833333333333</x:v>
      </x:c>
      <x:c r="F111" s="12" t="n">
        <x:v>0</x:v>
      </x:c>
      <x:c r="G111" s="12" t="n">
        <x:v>0</x:v>
      </x:c>
      <x:c r="H111" s="1" t="n">
        <x:f>'Historical prices'!E111</x:f>
        <x:v>1.05</x:v>
      </x:c>
      <x:c r="I111" s="6" t="n">
        <x:f>'Historical prices'!D111</x:f>
        <x:v>0.2226</x:v>
      </x:c>
      <x:c r="J111" s="13" t="n">
        <x:f>D111*I111*H111</x:f>
        <x:v>0.1809264975</x:v>
      </x:c>
      <x:c r="K111" s="13" t="n">
        <x:f>E111*I111*H111</x:f>
        <x:v>0.1809264975</x:v>
      </x:c>
      <x:c r="L111" s="1" t="str">
        <x:f>TEXT(A111,"mmm yyyy")</x:f>
        <x:v>May 2026</x:v>
      </x:c>
    </x:row>
    <x:row r="112" ht="21" customHeight="1">
      <x:c r="A112" s="10" t="n">
        <x:v>46150</x:v>
      </x:c>
      <x:c r="B112" s="1" t="n">
        <x:v>20</x:v>
      </x:c>
      <x:c r="C112" s="1" t="n">
        <x:v>6</x:v>
      </x:c>
      <x:c r="D112" s="12" t="n">
        <x:v>0.49224999999999997</x:v>
      </x:c>
      <x:c r="E112" s="12" t="n">
        <x:v>0.49324999999999997</x:v>
      </x:c>
      <x:c r="F112" s="12" t="n">
        <x:v>0</x:v>
      </x:c>
      <x:c r="G112" s="12" t="n">
        <x:v>0</x:v>
      </x:c>
      <x:c r="H112" s="1" t="n">
        <x:f>'Historical prices'!E112</x:f>
        <x:v>1.05</x:v>
      </x:c>
      <x:c r="I112" s="6" t="n">
        <x:f>'Historical prices'!D112</x:f>
        <x:v>0.2226</x:v>
      </x:c>
      <x:c r="J112" s="13" t="n">
        <x:f>D112*I112*H112</x:f>
        <x:v>0.1150535925</x:v>
      </x:c>
      <x:c r="K112" s="13" t="n">
        <x:f>E112*I112*H112</x:f>
        <x:v>0.1152873225</x:v>
      </x:c>
      <x:c r="L112" s="1" t="str">
        <x:f>TEXT(A112,"mmm yyyy")</x:f>
        <x:v>May 2026</x:v>
      </x:c>
    </x:row>
    <x:row r="113" ht="21" customHeight="1">
      <x:c r="A113" s="10" t="n">
        <x:v>46150</x:v>
      </x:c>
      <x:c r="B113" s="1" t="n">
        <x:v>20.5</x:v>
      </x:c>
      <x:c r="C113" s="1" t="n">
        <x:v>6</x:v>
      </x:c>
      <x:c r="D113" s="12" t="n">
        <x:v>0.4706666666666667</x:v>
      </x:c>
      <x:c r="E113" s="12" t="n">
        <x:v>0.4706666666666667</x:v>
      </x:c>
      <x:c r="F113" s="12" t="n">
        <x:v>0</x:v>
      </x:c>
      <x:c r="G113" s="12" t="n">
        <x:v>0</x:v>
      </x:c>
      <x:c r="H113" s="1" t="n">
        <x:f>'Historical prices'!E113</x:f>
        <x:v>1.05</x:v>
      </x:c>
      <x:c r="I113" s="6" t="n">
        <x:f>'Historical prices'!D113</x:f>
        <x:v>0.2226</x:v>
      </x:c>
      <x:c r="J113" s="13" t="n">
        <x:f>D113*I113*H113</x:f>
        <x:v>0.11000892000000001</x:v>
      </x:c>
      <x:c r="K113" s="13" t="n">
        <x:f>E113*I113*H113</x:f>
        <x:v>0.11000892000000001</x:v>
      </x:c>
      <x:c r="L113" s="1" t="str">
        <x:f>TEXT(A113,"mmm yyyy")</x:f>
        <x:v>May 2026</x:v>
      </x:c>
    </x:row>
    <x:row r="114" ht="21" customHeight="1">
      <x:c r="A114" s="10" t="n">
        <x:v>46150</x:v>
      </x:c>
      <x:c r="B114" s="1" t="n">
        <x:v>21</x:v>
      </x:c>
      <x:c r="C114" s="1" t="n">
        <x:v>6</x:v>
      </x:c>
      <x:c r="D114" s="12" t="n">
        <x:v>0.6390833333333333</x:v>
      </x:c>
      <x:c r="E114" s="12" t="n">
        <x:v>0.6400833333333333</x:v>
      </x:c>
      <x:c r="F114" s="12" t="n">
        <x:v>0</x:v>
      </x:c>
      <x:c r="G114" s="12" t="n">
        <x:v>0</x:v>
      </x:c>
      <x:c r="H114" s="1" t="n">
        <x:f>'Historical prices'!E114</x:f>
        <x:v>1.05</x:v>
      </x:c>
      <x:c r="I114" s="6" t="n">
        <x:f>'Historical prices'!D114</x:f>
        <x:v>0.2226</x:v>
      </x:c>
      <x:c r="J114" s="13" t="n">
        <x:f>D114*I114*H114</x:f>
        <x:v>0.1493729475</x:v>
      </x:c>
      <x:c r="K114" s="13" t="n">
        <x:f>E114*I114*H114</x:f>
        <x:v>0.14960667749999998</x:v>
      </x:c>
      <x:c r="L114" s="1" t="str">
        <x:f>TEXT(A114,"mmm yyyy")</x:f>
        <x:v>May 2026</x:v>
      </x:c>
    </x:row>
    <x:row r="115" ht="21" customHeight="1">
      <x:c r="A115" s="10" t="n">
        <x:v>46150</x:v>
      </x:c>
      <x:c r="B115" s="1" t="n">
        <x:v>21.5</x:v>
      </x:c>
      <x:c r="C115" s="1" t="n">
        <x:v>6</x:v>
      </x:c>
      <x:c r="D115" s="12" t="n">
        <x:v>0.9373333333333335</x:v>
      </x:c>
      <x:c r="E115" s="12" t="n">
        <x:v>0.9383333333333334</x:v>
      </x:c>
      <x:c r="F115" s="12" t="n">
        <x:v>0</x:v>
      </x:c>
      <x:c r="G115" s="12" t="n">
        <x:v>0</x:v>
      </x:c>
      <x:c r="H115" s="1" t="n">
        <x:f>'Historical prices'!E115</x:f>
        <x:v>1.05</x:v>
      </x:c>
      <x:c r="I115" s="6" t="n">
        <x:f>'Historical prices'!D115</x:f>
        <x:v>0.2226</x:v>
      </x:c>
      <x:c r="J115" s="13" t="n">
        <x:f>D115*I115*H115</x:f>
        <x:v>0.21908292000000001</x:v>
      </x:c>
      <x:c r="K115" s="13" t="n">
        <x:f>E115*I115*H115</x:f>
        <x:v>0.21931665</x:v>
      </x:c>
      <x:c r="L115" s="1" t="str">
        <x:f>TEXT(A115,"mmm yyyy")</x:f>
        <x:v>May 2026</x:v>
      </x:c>
    </x:row>
    <x:row r="116" ht="21" customHeight="1">
      <x:c r="A116" s="10" t="n">
        <x:v>46150</x:v>
      </x:c>
      <x:c r="B116" s="1" t="n">
        <x:v>22</x:v>
      </x:c>
      <x:c r="C116" s="1" t="n">
        <x:v>6</x:v>
      </x:c>
      <x:c r="D116" s="12" t="n">
        <x:v>0.2848333333333333</x:v>
      </x:c>
      <x:c r="E116" s="12" t="n">
        <x:v>0.2848333333333333</x:v>
      </x:c>
      <x:c r="F116" s="12" t="n">
        <x:v>0</x:v>
      </x:c>
      <x:c r="G116" s="12" t="n">
        <x:v>0</x:v>
      </x:c>
      <x:c r="H116" s="1" t="n">
        <x:f>'Historical prices'!E116</x:f>
        <x:v>1.05</x:v>
      </x:c>
      <x:c r="I116" s="6" t="n">
        <x:f>'Historical prices'!D116</x:f>
        <x:v>0.2226</x:v>
      </x:c>
      <x:c r="J116" s="13" t="n">
        <x:f>D116*I116*H116</x:f>
        <x:v>0.066574095</x:v>
      </x:c>
      <x:c r="K116" s="13" t="n">
        <x:f>E116*I116*H116</x:f>
        <x:v>0.066574095</x:v>
      </x:c>
      <x:c r="L116" s="1" t="str">
        <x:f>TEXT(A116,"mmm yyyy")</x:f>
        <x:v>May 2026</x:v>
      </x:c>
    </x:row>
    <x:row r="117" ht="21" customHeight="1">
      <x:c r="A117" s="10" t="n">
        <x:v>46150</x:v>
      </x:c>
      <x:c r="B117" s="1" t="n">
        <x:v>22.5</x:v>
      </x:c>
      <x:c r="C117" s="1" t="n">
        <x:v>6</x:v>
      </x:c>
      <x:c r="D117" s="12" t="n">
        <x:v>0.32366666666666666</x:v>
      </x:c>
      <x:c r="E117" s="12" t="n">
        <x:v>0.32466666666666666</x:v>
      </x:c>
      <x:c r="F117" s="12" t="n">
        <x:v>0</x:v>
      </x:c>
      <x:c r="G117" s="12" t="n">
        <x:v>0</x:v>
      </x:c>
      <x:c r="H117" s="1" t="n">
        <x:f>'Historical prices'!E117</x:f>
        <x:v>1.05</x:v>
      </x:c>
      <x:c r="I117" s="6" t="n">
        <x:f>'Historical prices'!D117</x:f>
        <x:v>0.2226</x:v>
      </x:c>
      <x:c r="J117" s="13" t="n">
        <x:f>D117*I117*H117</x:f>
        <x:v>0.07565061</x:v>
      </x:c>
      <x:c r="K117" s="13" t="n">
        <x:f>E117*I117*H117</x:f>
        <x:v>0.07588434</x:v>
      </x:c>
      <x:c r="L117" s="1" t="str">
        <x:f>TEXT(A117,"mmm yyyy")</x:f>
        <x:v>May 2026</x:v>
      </x:c>
    </x:row>
    <x:row r="118" ht="21" customHeight="1">
      <x:c r="A118" s="10" t="n">
        <x:v>46150</x:v>
      </x:c>
      <x:c r="B118" s="1" t="n">
        <x:v>23</x:v>
      </x:c>
      <x:c r="C118" s="1" t="n">
        <x:v>6</x:v>
      </x:c>
      <x:c r="D118" s="12" t="n">
        <x:v>0.27525</x:v>
      </x:c>
      <x:c r="E118" s="12" t="n">
        <x:v>0.27625</x:v>
      </x:c>
      <x:c r="F118" s="12" t="n">
        <x:v>0</x:v>
      </x:c>
      <x:c r="G118" s="12" t="n">
        <x:v>0</x:v>
      </x:c>
      <x:c r="H118" s="1" t="n">
        <x:f>'Historical prices'!E118</x:f>
        <x:v>1.05</x:v>
      </x:c>
      <x:c r="I118" s="6" t="n">
        <x:f>'Historical prices'!D118</x:f>
        <x:v>0.2226</x:v>
      </x:c>
      <x:c r="J118" s="13" t="n">
        <x:f>D118*I118*H118</x:f>
        <x:v>0.0643341825</x:v>
      </x:c>
      <x:c r="K118" s="13" t="n">
        <x:f>E118*I118*H118</x:f>
        <x:v>0.0645679125</x:v>
      </x:c>
      <x:c r="L118" s="1" t="str">
        <x:f>TEXT(A118,"mmm yyyy")</x:f>
        <x:v>May 2026</x:v>
      </x:c>
    </x:row>
    <x:row r="119" ht="21" customHeight="1">
      <x:c r="A119" s="10" t="n">
        <x:v>46150</x:v>
      </x:c>
      <x:c r="B119" s="1" t="n">
        <x:v>23.5</x:v>
      </x:c>
      <x:c r="C119" s="1" t="n">
        <x:v>6</x:v>
      </x:c>
      <x:c r="D119" s="12" t="n">
        <x:v>0.24425</x:v>
      </x:c>
      <x:c r="E119" s="12" t="n">
        <x:v>0.24625000000000002</x:v>
      </x:c>
      <x:c r="F119" s="12" t="n">
        <x:v>0</x:v>
      </x:c>
      <x:c r="G119" s="12" t="n">
        <x:v>0</x:v>
      </x:c>
      <x:c r="H119" s="1" t="n">
        <x:f>'Historical prices'!E119</x:f>
        <x:v>1.05</x:v>
      </x:c>
      <x:c r="I119" s="6" t="n">
        <x:f>'Historical prices'!D119</x:f>
        <x:v>0.2226</x:v>
      </x:c>
      <x:c r="J119" s="13" t="n">
        <x:f>D119*I119*H119</x:f>
        <x:v>0.0570885525</x:v>
      </x:c>
      <x:c r="K119" s="13" t="n">
        <x:f>E119*I119*H119</x:f>
        <x:v>0.0575560125</x:v>
      </x:c>
      <x:c r="L119" s="1" t="str">
        <x:f>TEXT(A119,"mmm yyyy")</x:f>
        <x:v>May 2026</x:v>
      </x:c>
    </x:row>
    <x:row r="120" ht="21" customHeight="1">
      <x:c r="A120" s="10" t="n">
        <x:v>46151</x:v>
      </x:c>
      <x:c r="B120" s="1" t="n">
        <x:v>0</x:v>
      </x:c>
      <x:c r="C120" s="1" t="n">
        <x:v>6</x:v>
      </x:c>
      <x:c r="D120" s="12" t="n">
        <x:v>0.328</x:v>
      </x:c>
      <x:c r="E120" s="12" t="n">
        <x:v>0.328</x:v>
      </x:c>
      <x:c r="F120" s="12" t="n">
        <x:v>0</x:v>
      </x:c>
      <x:c r="G120" s="12" t="n">
        <x:v>0</x:v>
      </x:c>
      <x:c r="H120" s="1" t="n">
        <x:f>'Historical prices'!E120</x:f>
        <x:v>1.05</x:v>
      </x:c>
      <x:c r="I120" s="6" t="n">
        <x:f>'Historical prices'!D120</x:f>
        <x:v>0.2226</x:v>
      </x:c>
      <x:c r="J120" s="13" t="n">
        <x:f>D120*I120*H120</x:f>
        <x:v>0.07666344</x:v>
      </x:c>
      <x:c r="K120" s="13" t="n">
        <x:f>E120*I120*H120</x:f>
        <x:v>0.07666344</x:v>
      </x:c>
      <x:c r="L120" s="1" t="str">
        <x:f>TEXT(A120,"mmm yyyy")</x:f>
        <x:v>May 2026</x:v>
      </x:c>
    </x:row>
    <x:row r="121" ht="21" customHeight="1">
      <x:c r="A121" s="10" t="n">
        <x:v>46151</x:v>
      </x:c>
      <x:c r="B121" s="1" t="n">
        <x:v>0.5</x:v>
      </x:c>
      <x:c r="C121" s="1" t="n">
        <x:v>6</x:v>
      </x:c>
      <x:c r="D121" s="12" t="n">
        <x:v>0.3125</x:v>
      </x:c>
      <x:c r="E121" s="12" t="n">
        <x:v>0.3135</x:v>
      </x:c>
      <x:c r="F121" s="12" t="n">
        <x:v>0</x:v>
      </x:c>
      <x:c r="G121" s="12" t="n">
        <x:v>0</x:v>
      </x:c>
      <x:c r="H121" s="1" t="n">
        <x:f>'Historical prices'!E121</x:f>
        <x:v>1.05</x:v>
      </x:c>
      <x:c r="I121" s="6" t="n">
        <x:f>'Historical prices'!D121</x:f>
        <x:v>0.2226</x:v>
      </x:c>
      <x:c r="J121" s="13" t="n">
        <x:f>D121*I121*H121</x:f>
        <x:v>0.073040625</x:v>
      </x:c>
      <x:c r="K121" s="13" t="n">
        <x:f>E121*I121*H121</x:f>
        <x:v>0.073274355</x:v>
      </x:c>
      <x:c r="L121" s="1" t="str">
        <x:f>TEXT(A121,"mmm yyyy")</x:f>
        <x:v>May 2026</x:v>
      </x:c>
    </x:row>
    <x:row r="122" ht="21" customHeight="1">
      <x:c r="A122" s="10" t="n">
        <x:v>46151</x:v>
      </x:c>
      <x:c r="B122" s="1" t="n">
        <x:v>1</x:v>
      </x:c>
      <x:c r="C122" s="1" t="n">
        <x:v>6</x:v>
      </x:c>
      <x:c r="D122" s="12" t="n">
        <x:v>0.23116666666666666</x:v>
      </x:c>
      <x:c r="E122" s="12" t="n">
        <x:v>0.23116666666666666</x:v>
      </x:c>
      <x:c r="F122" s="12" t="n">
        <x:v>0</x:v>
      </x:c>
      <x:c r="G122" s="12" t="n">
        <x:v>0</x:v>
      </x:c>
      <x:c r="H122" s="1" t="n">
        <x:f>'Historical prices'!E122</x:f>
        <x:v>1.05</x:v>
      </x:c>
      <x:c r="I122" s="6" t="n">
        <x:f>'Historical prices'!D122</x:f>
        <x:v>0.2226</x:v>
      </x:c>
      <x:c r="J122" s="13" t="n">
        <x:f>D122*I122*H122</x:f>
        <x:v>0.054030585</x:v>
      </x:c>
      <x:c r="K122" s="13" t="n">
        <x:f>E122*I122*H122</x:f>
        <x:v>0.054030585</x:v>
      </x:c>
      <x:c r="L122" s="1" t="str">
        <x:f>TEXT(A122,"mmm yyyy")</x:f>
        <x:v>May 2026</x:v>
      </x:c>
    </x:row>
    <x:row r="123" ht="21" customHeight="1">
      <x:c r="A123" s="10" t="n">
        <x:v>46151</x:v>
      </x:c>
      <x:c r="B123" s="1" t="n">
        <x:v>1.5</x:v>
      </x:c>
      <x:c r="C123" s="1" t="n">
        <x:v>6</x:v>
      </x:c>
      <x:c r="D123" s="12" t="n">
        <x:v>0.21874999999999997</x:v>
      </x:c>
      <x:c r="E123" s="12" t="n">
        <x:v>0.22074999999999997</x:v>
      </x:c>
      <x:c r="F123" s="12" t="n">
        <x:v>0</x:v>
      </x:c>
      <x:c r="G123" s="12" t="n">
        <x:v>0</x:v>
      </x:c>
      <x:c r="H123" s="1" t="n">
        <x:f>'Historical prices'!E123</x:f>
        <x:v>1.05</x:v>
      </x:c>
      <x:c r="I123" s="6" t="n">
        <x:f>'Historical prices'!D123</x:f>
        <x:v>0.2226</x:v>
      </x:c>
      <x:c r="J123" s="13" t="n">
        <x:f>D123*I123*H123</x:f>
        <x:v>0.0511284375</x:v>
      </x:c>
      <x:c r="K123" s="13" t="n">
        <x:f>E123*I123*H123</x:f>
        <x:v>0.051595897499999994</x:v>
      </x:c>
      <x:c r="L123" s="1" t="str">
        <x:f>TEXT(A123,"mmm yyyy")</x:f>
        <x:v>May 2026</x:v>
      </x:c>
    </x:row>
    <x:row r="124" ht="21" customHeight="1">
      <x:c r="A124" s="10" t="n">
        <x:v>46151</x:v>
      </x:c>
      <x:c r="B124" s="1" t="n">
        <x:v>2</x:v>
      </x:c>
      <x:c r="C124" s="1" t="n">
        <x:v>6</x:v>
      </x:c>
      <x:c r="D124" s="12" t="n">
        <x:v>0.18591666666666667</x:v>
      </x:c>
      <x:c r="E124" s="12" t="n">
        <x:v>0.18591666666666667</x:v>
      </x:c>
      <x:c r="F124" s="12" t="n">
        <x:v>0</x:v>
      </x:c>
      <x:c r="G124" s="12" t="n">
        <x:v>0</x:v>
      </x:c>
      <x:c r="H124" s="1" t="n">
        <x:f>'Historical prices'!E124</x:f>
        <x:v>1.05</x:v>
      </x:c>
      <x:c r="I124" s="6" t="n">
        <x:f>'Historical prices'!D124</x:f>
        <x:v>0.2226</x:v>
      </x:c>
      <x:c r="J124" s="13" t="n">
        <x:f>D124*I124*H124</x:f>
        <x:v>0.0434543025</x:v>
      </x:c>
      <x:c r="K124" s="13" t="n">
        <x:f>E124*I124*H124</x:f>
        <x:v>0.0434543025</x:v>
      </x:c>
      <x:c r="L124" s="1" t="str">
        <x:f>TEXT(A124,"mmm yyyy")</x:f>
        <x:v>May 2026</x:v>
      </x:c>
    </x:row>
    <x:row r="125" ht="21" customHeight="1">
      <x:c r="A125" s="10" t="n">
        <x:v>46151</x:v>
      </x:c>
      <x:c r="B125" s="1" t="n">
        <x:v>2.5</x:v>
      </x:c>
      <x:c r="C125" s="1" t="n">
        <x:v>6</x:v>
      </x:c>
      <x:c r="D125" s="12" t="n">
        <x:v>0.2896666666666667</x:v>
      </x:c>
      <x:c r="E125" s="12" t="n">
        <x:v>0.2896666666666667</x:v>
      </x:c>
      <x:c r="F125" s="12" t="n">
        <x:v>0</x:v>
      </x:c>
      <x:c r="G125" s="12" t="n">
        <x:v>0</x:v>
      </x:c>
      <x:c r="H125" s="1" t="n">
        <x:f>'Historical prices'!E125</x:f>
        <x:v>1.05</x:v>
      </x:c>
      <x:c r="I125" s="6" t="n">
        <x:f>'Historical prices'!D125</x:f>
        <x:v>0.2226</x:v>
      </x:c>
      <x:c r="J125" s="13" t="n">
        <x:f>D125*I125*H125</x:f>
        <x:v>0.06770379000000001</x:v>
      </x:c>
      <x:c r="K125" s="13" t="n">
        <x:f>E125*I125*H125</x:f>
        <x:v>0.06770379000000001</x:v>
      </x:c>
      <x:c r="L125" s="1" t="str">
        <x:f>TEXT(A125,"mmm yyyy")</x:f>
        <x:v>May 2026</x:v>
      </x:c>
    </x:row>
    <x:row r="126" ht="21" customHeight="1">
      <x:c r="A126" s="10" t="n">
        <x:v>46151</x:v>
      </x:c>
      <x:c r="B126" s="1" t="n">
        <x:v>3</x:v>
      </x:c>
      <x:c r="C126" s="1" t="n">
        <x:v>6</x:v>
      </x:c>
      <x:c r="D126" s="12" t="n">
        <x:v>0.2609166666666667</x:v>
      </x:c>
      <x:c r="E126" s="12" t="n">
        <x:v>0.2629166666666667</x:v>
      </x:c>
      <x:c r="F126" s="12" t="n">
        <x:v>0</x:v>
      </x:c>
      <x:c r="G126" s="12" t="n">
        <x:v>0</x:v>
      </x:c>
      <x:c r="H126" s="1" t="n">
        <x:f>'Historical prices'!E126</x:f>
        <x:v>1.05</x:v>
      </x:c>
      <x:c r="I126" s="6" t="n">
        <x:f>'Historical prices'!D126</x:f>
        <x:v>0.2226</x:v>
      </x:c>
      <x:c r="J126" s="13" t="n">
        <x:f>D126*I126*H126</x:f>
        <x:v>0.060984052500000004</x:v>
      </x:c>
      <x:c r="K126" s="13" t="n">
        <x:f>E126*I126*H126</x:f>
        <x:v>0.061451512500000006</x:v>
      </x:c>
      <x:c r="L126" s="1" t="str">
        <x:f>TEXT(A126,"mmm yyyy")</x:f>
        <x:v>May 2026</x:v>
      </x:c>
    </x:row>
    <x:row r="127" ht="21" customHeight="1">
      <x:c r="A127" s="10" t="n">
        <x:v>46151</x:v>
      </x:c>
      <x:c r="B127" s="1" t="n">
        <x:v>3.5</x:v>
      </x:c>
      <x:c r="C127" s="1" t="n">
        <x:v>6</x:v>
      </x:c>
      <x:c r="D127" s="12" t="n">
        <x:v>0.22799999999999998</x:v>
      </x:c>
      <x:c r="E127" s="12" t="n">
        <x:v>0.22899999999999998</x:v>
      </x:c>
      <x:c r="F127" s="12" t="n">
        <x:v>0</x:v>
      </x:c>
      <x:c r="G127" s="12" t="n">
        <x:v>0</x:v>
      </x:c>
      <x:c r="H127" s="1" t="n">
        <x:f>'Historical prices'!E127</x:f>
        <x:v>1.05</x:v>
      </x:c>
      <x:c r="I127" s="6" t="n">
        <x:f>'Historical prices'!D127</x:f>
        <x:v>0.2226</x:v>
      </x:c>
      <x:c r="J127" s="13" t="n">
        <x:f>D127*I127*H127</x:f>
        <x:v>0.053290439999999994</x:v>
      </x:c>
      <x:c r="K127" s="13" t="n">
        <x:f>E127*I127*H127</x:f>
        <x:v>0.053524169999999996</x:v>
      </x:c>
      <x:c r="L127" s="1" t="str">
        <x:f>TEXT(A127,"mmm yyyy")</x:f>
        <x:v>May 2026</x:v>
      </x:c>
    </x:row>
    <x:row r="128" ht="21" customHeight="1">
      <x:c r="A128" s="10" t="n">
        <x:v>46151</x:v>
      </x:c>
      <x:c r="B128" s="1" t="n">
        <x:v>4</x:v>
      </x:c>
      <x:c r="C128" s="1" t="n">
        <x:v>6</x:v>
      </x:c>
      <x:c r="D128" s="12" t="n">
        <x:v>0.24241666666666667</x:v>
      </x:c>
      <x:c r="E128" s="12" t="n">
        <x:v>0.24241666666666667</x:v>
      </x:c>
      <x:c r="F128" s="12" t="n">
        <x:v>0</x:v>
      </x:c>
      <x:c r="G128" s="12" t="n">
        <x:v>0</x:v>
      </x:c>
      <x:c r="H128" s="1" t="n">
        <x:f>'Historical prices'!E128</x:f>
        <x:v>1.05</x:v>
      </x:c>
      <x:c r="I128" s="6" t="n">
        <x:f>'Historical prices'!D128</x:f>
        <x:v>0.2226</x:v>
      </x:c>
      <x:c r="J128" s="13" t="n">
        <x:f>D128*I128*H128</x:f>
        <x:v>0.056660047500000005</x:v>
      </x:c>
      <x:c r="K128" s="13" t="n">
        <x:f>E128*I128*H128</x:f>
        <x:v>0.056660047500000005</x:v>
      </x:c>
      <x:c r="L128" s="1" t="str">
        <x:f>TEXT(A128,"mmm yyyy")</x:f>
        <x:v>May 2026</x:v>
      </x:c>
    </x:row>
    <x:row r="129" ht="21" customHeight="1">
      <x:c r="A129" s="10" t="n">
        <x:v>46151</x:v>
      </x:c>
      <x:c r="B129" s="1" t="n">
        <x:v>4.5</x:v>
      </x:c>
      <x:c r="C129" s="1" t="n">
        <x:v>6</x:v>
      </x:c>
      <x:c r="D129" s="12" t="n">
        <x:v>0.3130833333333333</x:v>
      </x:c>
      <x:c r="E129" s="12" t="n">
        <x:v>0.31408333333333327</x:v>
      </x:c>
      <x:c r="F129" s="12" t="n">
        <x:v>0</x:v>
      </x:c>
      <x:c r="G129" s="12" t="n">
        <x:v>0</x:v>
      </x:c>
      <x:c r="H129" s="1" t="n">
        <x:f>'Historical prices'!E129</x:f>
        <x:v>1.05</x:v>
      </x:c>
      <x:c r="I129" s="6" t="n">
        <x:f>'Historical prices'!D129</x:f>
        <x:v>0.2226</x:v>
      </x:c>
      <x:c r="J129" s="13" t="n">
        <x:f>D129*I129*H129</x:f>
        <x:v>0.07317696750000001</x:v>
      </x:c>
      <x:c r="K129" s="13" t="n">
        <x:f>E129*I129*H129</x:f>
        <x:v>0.0734106975</x:v>
      </x:c>
      <x:c r="L129" s="1" t="str">
        <x:f>TEXT(A129,"mmm yyyy")</x:f>
        <x:v>May 2026</x:v>
      </x:c>
    </x:row>
    <x:row r="130" ht="21" customHeight="1">
      <x:c r="A130" s="10" t="n">
        <x:v>46151</x:v>
      </x:c>
      <x:c r="B130" s="1" t="n">
        <x:v>5</x:v>
      </x:c>
      <x:c r="C130" s="1" t="n">
        <x:v>6</x:v>
      </x:c>
      <x:c r="D130" s="12" t="n">
        <x:v>0.26175</x:v>
      </x:c>
      <x:c r="E130" s="12" t="n">
        <x:v>0.26275</x:v>
      </x:c>
      <x:c r="F130" s="12" t="n">
        <x:v>0</x:v>
      </x:c>
      <x:c r="G130" s="12" t="n">
        <x:v>0</x:v>
      </x:c>
      <x:c r="H130" s="1" t="n">
        <x:f>'Historical prices'!E130</x:f>
        <x:v>1.05</x:v>
      </x:c>
      <x:c r="I130" s="6" t="n">
        <x:f>'Historical prices'!D130</x:f>
        <x:v>0.2226</x:v>
      </x:c>
      <x:c r="J130" s="13" t="n">
        <x:f>D130*I130*H130</x:f>
        <x:v>0.0611788275</x:v>
      </x:c>
      <x:c r="K130" s="13" t="n">
        <x:f>E130*I130*H130</x:f>
        <x:v>0.0614125575</x:v>
      </x:c>
      <x:c r="L130" s="1" t="str">
        <x:f>TEXT(A130,"mmm yyyy")</x:f>
        <x:v>May 2026</x:v>
      </x:c>
    </x:row>
    <x:row r="131" ht="21" customHeight="1">
      <x:c r="A131" s="10" t="n">
        <x:v>46151</x:v>
      </x:c>
      <x:c r="B131" s="1" t="n">
        <x:v>5.5</x:v>
      </x:c>
      <x:c r="C131" s="1" t="n">
        <x:v>6</x:v>
      </x:c>
      <x:c r="D131" s="12" t="n">
        <x:v>0.3448333333333334</x:v>
      </x:c>
      <x:c r="E131" s="12" t="n">
        <x:v>0.3448333333333333</x:v>
      </x:c>
      <x:c r="F131" s="12" t="n">
        <x:v>0</x:v>
      </x:c>
      <x:c r="G131" s="12" t="n">
        <x:v>0</x:v>
      </x:c>
      <x:c r="H131" s="1" t="n">
        <x:f>'Historical prices'!E131</x:f>
        <x:v>1.05</x:v>
      </x:c>
      <x:c r="I131" s="6" t="n">
        <x:f>'Historical prices'!D131</x:f>
        <x:v>0.2226</x:v>
      </x:c>
      <x:c r="J131" s="13" t="n">
        <x:f>D131*I131*H131</x:f>
        <x:v>0.080597895</x:v>
      </x:c>
      <x:c r="K131" s="13" t="n">
        <x:f>E131*I131*H131</x:f>
        <x:v>0.08059789499999999</x:v>
      </x:c>
      <x:c r="L131" s="1" t="str">
        <x:f>TEXT(A131,"mmm yyyy")</x:f>
        <x:v>May 2026</x:v>
      </x:c>
    </x:row>
    <x:row r="132" ht="21" customHeight="1">
      <x:c r="A132" s="10" t="n">
        <x:v>46151</x:v>
      </x:c>
      <x:c r="B132" s="1" t="n">
        <x:v>6</x:v>
      </x:c>
      <x:c r="C132" s="1" t="n">
        <x:v>6</x:v>
      </x:c>
      <x:c r="D132" s="12" t="n">
        <x:v>0.3538333333333334</x:v>
      </x:c>
      <x:c r="E132" s="12" t="n">
        <x:v>0.3548333333333334</x:v>
      </x:c>
      <x:c r="F132" s="12" t="n">
        <x:v>0</x:v>
      </x:c>
      <x:c r="G132" s="12" t="n">
        <x:v>0</x:v>
      </x:c>
      <x:c r="H132" s="1" t="n">
        <x:f>'Historical prices'!E132</x:f>
        <x:v>1.05</x:v>
      </x:c>
      <x:c r="I132" s="6" t="n">
        <x:f>'Historical prices'!D132</x:f>
        <x:v>0.2226</x:v>
      </x:c>
      <x:c r="J132" s="13" t="n">
        <x:f>D132*I132*H132</x:f>
        <x:v>0.08270146500000002</x:v>
      </x:c>
      <x:c r="K132" s="13" t="n">
        <x:f>E132*I132*H132</x:f>
        <x:v>0.08293519500000002</x:v>
      </x:c>
      <x:c r="L132" s="1" t="str">
        <x:f>TEXT(A132,"mmm yyyy")</x:f>
        <x:v>May 2026</x:v>
      </x:c>
    </x:row>
    <x:row r="133" ht="21" customHeight="1">
      <x:c r="A133" s="10" t="n">
        <x:v>46151</x:v>
      </x:c>
      <x:c r="B133" s="1" t="n">
        <x:v>6.5</x:v>
      </x:c>
      <x:c r="C133" s="1" t="n">
        <x:v>6</x:v>
      </x:c>
      <x:c r="D133" s="12" t="n">
        <x:v>0.6435833333333333</x:v>
      </x:c>
      <x:c r="E133" s="12" t="n">
        <x:v>0.6435833333333333</x:v>
      </x:c>
      <x:c r="F133" s="12" t="n">
        <x:v>0</x:v>
      </x:c>
      <x:c r="G133" s="12" t="n">
        <x:v>0</x:v>
      </x:c>
      <x:c r="H133" s="1" t="n">
        <x:f>'Historical prices'!E133</x:f>
        <x:v>1.05</x:v>
      </x:c>
      <x:c r="I133" s="6" t="n">
        <x:f>'Historical prices'!D133</x:f>
        <x:v>0.2226</x:v>
      </x:c>
      <x:c r="J133" s="13" t="n">
        <x:f>D133*I133*H133</x:f>
        <x:v>0.1504247325</x:v>
      </x:c>
      <x:c r="K133" s="13" t="n">
        <x:f>E133*I133*H133</x:f>
        <x:v>0.1504247325</x:v>
      </x:c>
      <x:c r="L133" s="1" t="str">
        <x:f>TEXT(A133,"mmm yyyy")</x:f>
        <x:v>May 2026</x:v>
      </x:c>
    </x:row>
    <x:row r="134" ht="21" customHeight="1">
      <x:c r="A134" s="10" t="n">
        <x:v>46151</x:v>
      </x:c>
      <x:c r="B134" s="1" t="n">
        <x:v>7</x:v>
      </x:c>
      <x:c r="C134" s="1" t="n">
        <x:v>6</x:v>
      </x:c>
      <x:c r="D134" s="12" t="n">
        <x:v>0.494</x:v>
      </x:c>
      <x:c r="E134" s="12" t="n">
        <x:v>0.495</x:v>
      </x:c>
      <x:c r="F134" s="12" t="n">
        <x:v>0</x:v>
      </x:c>
      <x:c r="G134" s="12" t="n">
        <x:v>0</x:v>
      </x:c>
      <x:c r="H134" s="1" t="n">
        <x:f>'Historical prices'!E134</x:f>
        <x:v>1.05</x:v>
      </x:c>
      <x:c r="I134" s="6" t="n">
        <x:f>'Historical prices'!D134</x:f>
        <x:v>0.2226</x:v>
      </x:c>
      <x:c r="J134" s="13" t="n">
        <x:f>D134*I134*H134</x:f>
        <x:v>0.11546261999999999</x:v>
      </x:c>
      <x:c r="K134" s="13" t="n">
        <x:f>E134*I134*H134</x:f>
        <x:v>0.11569635</x:v>
      </x:c>
      <x:c r="L134" s="1" t="str">
        <x:f>TEXT(A134,"mmm yyyy")</x:f>
        <x:v>May 2026</x:v>
      </x:c>
    </x:row>
    <x:row r="135" ht="21" customHeight="1">
      <x:c r="A135" s="10" t="n">
        <x:v>46151</x:v>
      </x:c>
      <x:c r="B135" s="1" t="n">
        <x:v>7.5</x:v>
      </x:c>
      <x:c r="C135" s="1" t="n">
        <x:v>6</x:v>
      </x:c>
      <x:c r="D135" s="12" t="n">
        <x:v>0.5819166666666666</x:v>
      </x:c>
      <x:c r="E135" s="12" t="n">
        <x:v>0.5819166666666666</x:v>
      </x:c>
      <x:c r="F135" s="12" t="n">
        <x:v>0</x:v>
      </x:c>
      <x:c r="G135" s="12" t="n">
        <x:v>0</x:v>
      </x:c>
      <x:c r="H135" s="1" t="n">
        <x:f>'Historical prices'!E135</x:f>
        <x:v>1.05</x:v>
      </x:c>
      <x:c r="I135" s="6" t="n">
        <x:f>'Historical prices'!D135</x:f>
        <x:v>0.2226</x:v>
      </x:c>
      <x:c r="J135" s="13" t="n">
        <x:f>D135*I135*H135</x:f>
        <x:v>0.1360113825</x:v>
      </x:c>
      <x:c r="K135" s="13" t="n">
        <x:f>E135*I135*H135</x:f>
        <x:v>0.1360113825</x:v>
      </x:c>
      <x:c r="L135" s="1" t="str">
        <x:f>TEXT(A135,"mmm yyyy")</x:f>
        <x:v>May 2026</x:v>
      </x:c>
    </x:row>
    <x:row r="136" ht="21" customHeight="1">
      <x:c r="A136" s="10" t="n">
        <x:v>46151</x:v>
      </x:c>
      <x:c r="B136" s="1" t="n">
        <x:v>8</x:v>
      </x:c>
      <x:c r="C136" s="1" t="n">
        <x:v>6</x:v>
      </x:c>
      <x:c r="D136" s="12" t="n">
        <x:v>0.637</x:v>
      </x:c>
      <x:c r="E136" s="12" t="n">
        <x:v>0.638</x:v>
      </x:c>
      <x:c r="F136" s="12" t="n">
        <x:v>0</x:v>
      </x:c>
      <x:c r="G136" s="12" t="n">
        <x:v>0</x:v>
      </x:c>
      <x:c r="H136" s="1" t="n">
        <x:f>'Historical prices'!E136</x:f>
        <x:v>1.05</x:v>
      </x:c>
      <x:c r="I136" s="6" t="n">
        <x:f>'Historical prices'!D136</x:f>
        <x:v>0.2226</x:v>
      </x:c>
      <x:c r="J136" s="13" t="n">
        <x:f>D136*I136*H136</x:f>
        <x:v>0.14888601</x:v>
      </x:c>
      <x:c r="K136" s="13" t="n">
        <x:f>E136*I136*H136</x:f>
        <x:v>0.14911974</x:v>
      </x:c>
      <x:c r="L136" s="1" t="str">
        <x:f>TEXT(A136,"mmm yyyy")</x:f>
        <x:v>May 2026</x:v>
      </x:c>
    </x:row>
    <x:row r="137" ht="21" customHeight="1">
      <x:c r="A137" s="10" t="n">
        <x:v>46151</x:v>
      </x:c>
      <x:c r="B137" s="1" t="n">
        <x:v>8.5</x:v>
      </x:c>
      <x:c r="C137" s="1" t="n">
        <x:v>6</x:v>
      </x:c>
      <x:c r="D137" s="12" t="n">
        <x:v>1.7784999999999997</x:v>
      </x:c>
      <x:c r="E137" s="12" t="n">
        <x:v>1.7774999999999996</x:v>
      </x:c>
      <x:c r="F137" s="12" t="n">
        <x:v>0</x:v>
      </x:c>
      <x:c r="G137" s="12" t="n">
        <x:v>0</x:v>
      </x:c>
      <x:c r="H137" s="1" t="n">
        <x:f>'Historical prices'!E137</x:f>
        <x:v>1.05</x:v>
      </x:c>
      <x:c r="I137" s="6" t="n">
        <x:f>'Historical prices'!D137</x:f>
        <x:v>0.2226</x:v>
      </x:c>
      <x:c r="J137" s="13" t="n">
        <x:f>D137*I137*H137</x:f>
        <x:v>0.41568880499999994</x:v>
      </x:c>
      <x:c r="K137" s="13" t="n">
        <x:f>E137*I137*H137</x:f>
        <x:v>0.4154550749999999</x:v>
      </x:c>
      <x:c r="L137" s="1" t="str">
        <x:f>TEXT(A137,"mmm yyyy")</x:f>
        <x:v>May 2026</x:v>
      </x:c>
    </x:row>
    <x:row r="138" ht="21" customHeight="1">
      <x:c r="A138" s="10" t="n">
        <x:v>46151</x:v>
      </x:c>
      <x:c r="B138" s="1" t="n">
        <x:v>9</x:v>
      </x:c>
      <x:c r="C138" s="1" t="n">
        <x:v>6</x:v>
      </x:c>
      <x:c r="D138" s="12" t="n">
        <x:v>0.56825</x:v>
      </x:c>
      <x:c r="E138" s="12" t="n">
        <x:v>0.57025</x:v>
      </x:c>
      <x:c r="F138" s="12" t="n">
        <x:v>0</x:v>
      </x:c>
      <x:c r="G138" s="12" t="n">
        <x:v>0</x:v>
      </x:c>
      <x:c r="H138" s="1" t="n">
        <x:f>'Historical prices'!E138</x:f>
        <x:v>1.05</x:v>
      </x:c>
      <x:c r="I138" s="6" t="n">
        <x:f>'Historical prices'!D138</x:f>
        <x:v>0.2226</x:v>
      </x:c>
      <x:c r="J138" s="13" t="n">
        <x:f>D138*I138*H138</x:f>
        <x:v>0.13281707250000002</x:v>
      </x:c>
      <x:c r="K138" s="13" t="n">
        <x:f>E138*I138*H138</x:f>
        <x:v>0.13328453250000002</x:v>
      </x:c>
      <x:c r="L138" s="1" t="str">
        <x:f>TEXT(A138,"mmm yyyy")</x:f>
        <x:v>May 2026</x:v>
      </x:c>
    </x:row>
    <x:row r="139" ht="21" customHeight="1">
      <x:c r="A139" s="10" t="n">
        <x:v>46151</x:v>
      </x:c>
      <x:c r="B139" s="1" t="n">
        <x:v>9.5</x:v>
      </x:c>
      <x:c r="C139" s="1" t="n">
        <x:v>6</x:v>
      </x:c>
      <x:c r="D139" s="12" t="n">
        <x:v>0.5093333333333334</x:v>
      </x:c>
      <x:c r="E139" s="12" t="n">
        <x:v>0.5083333333333333</x:v>
      </x:c>
      <x:c r="F139" s="12" t="n">
        <x:v>0</x:v>
      </x:c>
      <x:c r="G139" s="12" t="n">
        <x:v>0</x:v>
      </x:c>
      <x:c r="H139" s="1" t="n">
        <x:f>'Historical prices'!E139</x:f>
        <x:v>1.05</x:v>
      </x:c>
      <x:c r="I139" s="6" t="n">
        <x:f>'Historical prices'!D139</x:f>
        <x:v>0.2226</x:v>
      </x:c>
      <x:c r="J139" s="13" t="n">
        <x:f>D139*I139*H139</x:f>
        <x:v>0.11904648000000001</x:v>
      </x:c>
      <x:c r="K139" s="13" t="n">
        <x:f>E139*I139*H139</x:f>
        <x:v>0.11881275</x:v>
      </x:c>
      <x:c r="L139" s="1" t="str">
        <x:f>TEXT(A139,"mmm yyyy")</x:f>
        <x:v>May 2026</x:v>
      </x:c>
    </x:row>
    <x:row r="140" ht="21" customHeight="1">
      <x:c r="A140" s="10" t="n">
        <x:v>46151</x:v>
      </x:c>
      <x:c r="B140" s="1" t="n">
        <x:v>10</x:v>
      </x:c>
      <x:c r="C140" s="1" t="n">
        <x:v>6</x:v>
      </x:c>
      <x:c r="D140" s="12" t="n">
        <x:v>0.32141666666666663</x:v>
      </x:c>
      <x:c r="E140" s="12" t="n">
        <x:v>0.32141666666666663</x:v>
      </x:c>
      <x:c r="F140" s="12" t="n">
        <x:v>0</x:v>
      </x:c>
      <x:c r="G140" s="12" t="n">
        <x:v>0</x:v>
      </x:c>
      <x:c r="H140" s="1" t="n">
        <x:f>'Historical prices'!E140</x:f>
        <x:v>1.05</x:v>
      </x:c>
      <x:c r="I140" s="6" t="n">
        <x:f>'Historical prices'!D140</x:f>
        <x:v>0.2226</x:v>
      </x:c>
      <x:c r="J140" s="13" t="n">
        <x:f>D140*I140*H140</x:f>
        <x:v>0.0751247175</x:v>
      </x:c>
      <x:c r="K140" s="13" t="n">
        <x:f>E140*I140*H140</x:f>
        <x:v>0.0751247175</x:v>
      </x:c>
      <x:c r="L140" s="1" t="str">
        <x:f>TEXT(A140,"mmm yyyy")</x:f>
        <x:v>May 2026</x:v>
      </x:c>
    </x:row>
    <x:row r="141" ht="21" customHeight="1">
      <x:c r="A141" s="10" t="n">
        <x:v>46151</x:v>
      </x:c>
      <x:c r="B141" s="1" t="n">
        <x:v>10.5</x:v>
      </x:c>
      <x:c r="C141" s="1" t="n">
        <x:v>6</x:v>
      </x:c>
      <x:c r="D141" s="12" t="n">
        <x:v>0.33741666666666664</x:v>
      </x:c>
      <x:c r="E141" s="12" t="n">
        <x:v>0.33741666666666664</x:v>
      </x:c>
      <x:c r="F141" s="12" t="n">
        <x:v>0</x:v>
      </x:c>
      <x:c r="G141" s="12" t="n">
        <x:v>0</x:v>
      </x:c>
      <x:c r="H141" s="1" t="n">
        <x:f>'Historical prices'!E141</x:f>
        <x:v>1.05</x:v>
      </x:c>
      <x:c r="I141" s="6" t="n">
        <x:f>'Historical prices'!D141</x:f>
        <x:v>0.2226</x:v>
      </x:c>
      <x:c r="J141" s="13" t="n">
        <x:f>D141*I141*H141</x:f>
        <x:v>0.0788643975</x:v>
      </x:c>
      <x:c r="K141" s="13" t="n">
        <x:f>E141*I141*H141</x:f>
        <x:v>0.0788643975</x:v>
      </x:c>
      <x:c r="L141" s="1" t="str">
        <x:f>TEXT(A141,"mmm yyyy")</x:f>
        <x:v>May 2026</x:v>
      </x:c>
    </x:row>
    <x:row r="142" ht="21" customHeight="1">
      <x:c r="A142" s="10" t="n">
        <x:v>46151</x:v>
      </x:c>
      <x:c r="B142" s="1" t="n">
        <x:v>11</x:v>
      </x:c>
      <x:c r="C142" s="1" t="n">
        <x:v>6</x:v>
      </x:c>
      <x:c r="D142" s="12" t="n">
        <x:v>0.3885</x:v>
      </x:c>
      <x:c r="E142" s="12" t="n">
        <x:v>0.3895</x:v>
      </x:c>
      <x:c r="F142" s="12" t="n">
        <x:v>0</x:v>
      </x:c>
      <x:c r="G142" s="12" t="n">
        <x:v>0</x:v>
      </x:c>
      <x:c r="H142" s="1" t="n">
        <x:f>'Historical prices'!E142</x:f>
        <x:v>1.05</x:v>
      </x:c>
      <x:c r="I142" s="6" t="n">
        <x:f>'Historical prices'!D142</x:f>
        <x:v>0.2226</x:v>
      </x:c>
      <x:c r="J142" s="13" t="n">
        <x:f>D142*I142*H142</x:f>
        <x:v>0.09080410500000001</x:v>
      </x:c>
      <x:c r="K142" s="13" t="n">
        <x:f>E142*I142*H142</x:f>
        <x:v>0.091037835</x:v>
      </x:c>
      <x:c r="L142" s="1" t="str">
        <x:f>TEXT(A142,"mmm yyyy")</x:f>
        <x:v>May 2026</x:v>
      </x:c>
    </x:row>
    <x:row r="143" ht="21" customHeight="1">
      <x:c r="A143" s="10" t="n">
        <x:v>46151</x:v>
      </x:c>
      <x:c r="B143" s="1" t="n">
        <x:v>11.5</x:v>
      </x:c>
      <x:c r="C143" s="1" t="n">
        <x:v>6</x:v>
      </x:c>
      <x:c r="D143" s="12" t="n">
        <x:v>0.3135833333333333</x:v>
      </x:c>
      <x:c r="E143" s="12" t="n">
        <x:v>0.3125833333333333</x:v>
      </x:c>
      <x:c r="F143" s="12" t="n">
        <x:v>0</x:v>
      </x:c>
      <x:c r="G143" s="12" t="n">
        <x:v>0</x:v>
      </x:c>
      <x:c r="H143" s="1" t="n">
        <x:f>'Historical prices'!E143</x:f>
        <x:v>1.05</x:v>
      </x:c>
      <x:c r="I143" s="6" t="n">
        <x:f>'Historical prices'!D143</x:f>
        <x:v>0.2226</x:v>
      </x:c>
      <x:c r="J143" s="13" t="n">
        <x:f>D143*I143*H143</x:f>
        <x:v>0.0732938325</x:v>
      </x:c>
      <x:c r="K143" s="13" t="n">
        <x:f>E143*I143*H143</x:f>
        <x:v>0.07306010249999999</x:v>
      </x:c>
      <x:c r="L143" s="1" t="str">
        <x:f>TEXT(A143,"mmm yyyy")</x:f>
        <x:v>May 2026</x:v>
      </x:c>
    </x:row>
    <x:row r="144" ht="21" customHeight="1">
      <x:c r="A144" s="10" t="n">
        <x:v>46151</x:v>
      </x:c>
      <x:c r="B144" s="1" t="n">
        <x:v>12</x:v>
      </x:c>
      <x:c r="C144" s="1" t="n">
        <x:v>6</x:v>
      </x:c>
      <x:c r="D144" s="12" t="n">
        <x:v>0.4146666666666667</x:v>
      </x:c>
      <x:c r="E144" s="12" t="n">
        <x:v>0.4186666666666667</x:v>
      </x:c>
      <x:c r="F144" s="12" t="n">
        <x:v>0</x:v>
      </x:c>
      <x:c r="G144" s="12" t="n">
        <x:v>0</x:v>
      </x:c>
      <x:c r="H144" s="1" t="n">
        <x:f>'Historical prices'!E144</x:f>
        <x:v>1.05</x:v>
      </x:c>
      <x:c r="I144" s="6" t="n">
        <x:f>'Historical prices'!D144</x:f>
        <x:v>0.2226</x:v>
      </x:c>
      <x:c r="J144" s="13" t="n">
        <x:f>D144*I144*H144</x:f>
        <x:v>0.09692004000000001</x:v>
      </x:c>
      <x:c r="K144" s="13" t="n">
        <x:f>E144*I144*H144</x:f>
        <x:v>0.09785496</x:v>
      </x:c>
      <x:c r="L144" s="1" t="str">
        <x:f>TEXT(A144,"mmm yyyy")</x:f>
        <x:v>May 2026</x:v>
      </x:c>
    </x:row>
    <x:row r="145" ht="21" customHeight="1">
      <x:c r="A145" s="10" t="n">
        <x:v>46151</x:v>
      </x:c>
      <x:c r="B145" s="1" t="n">
        <x:v>12.5</x:v>
      </x:c>
      <x:c r="C145" s="1" t="n">
        <x:v>6</x:v>
      </x:c>
      <x:c r="D145" s="12" t="n">
        <x:v>0.3667500000000001</x:v>
      </x:c>
      <x:c r="E145" s="12" t="n">
        <x:v>0.36575</x:v>
      </x:c>
      <x:c r="F145" s="12" t="n">
        <x:v>0</x:v>
      </x:c>
      <x:c r="G145" s="12" t="n">
        <x:v>0</x:v>
      </x:c>
      <x:c r="H145" s="1" t="n">
        <x:f>'Historical prices'!E145</x:f>
        <x:v>1.05</x:v>
      </x:c>
      <x:c r="I145" s="6" t="n">
        <x:f>'Historical prices'!D145</x:f>
        <x:v>0.2226</x:v>
      </x:c>
      <x:c r="J145" s="13" t="n">
        <x:f>D145*I145*H145</x:f>
        <x:v>0.08572047750000002</x:v>
      </x:c>
      <x:c r="K145" s="13" t="n">
        <x:f>E145*I145*H145</x:f>
        <x:v>0.0854867475</x:v>
      </x:c>
      <x:c r="L145" s="1" t="str">
        <x:f>TEXT(A145,"mmm yyyy")</x:f>
        <x:v>May 2026</x:v>
      </x:c>
    </x:row>
    <x:row r="146" ht="21" customHeight="1">
      <x:c r="A146" s="10" t="n">
        <x:v>46151</x:v>
      </x:c>
      <x:c r="B146" s="1" t="n">
        <x:v>13</x:v>
      </x:c>
      <x:c r="C146" s="1" t="n">
        <x:v>6</x:v>
      </x:c>
      <x:c r="D146" s="12" t="n">
        <x:v>1.4394166666666666</x:v>
      </x:c>
      <x:c r="E146" s="12" t="n">
        <x:v>1.4404166666666665</x:v>
      </x:c>
      <x:c r="F146" s="12" t="n">
        <x:v>0</x:v>
      </x:c>
      <x:c r="G146" s="12" t="n">
        <x:v>0</x:v>
      </x:c>
      <x:c r="H146" s="1" t="n">
        <x:f>'Historical prices'!E146</x:f>
        <x:v>1.05</x:v>
      </x:c>
      <x:c r="I146" s="6" t="n">
        <x:f>'Historical prices'!D146</x:f>
        <x:v>0.2226</x:v>
      </x:c>
      <x:c r="J146" s="13" t="n">
        <x:f>D146*I146*H146</x:f>
        <x:v>0.33643485749999996</x:v>
      </x:c>
      <x:c r="K146" s="13" t="n">
        <x:f>E146*I146*H146</x:f>
        <x:v>0.33666858749999995</x:v>
      </x:c>
      <x:c r="L146" s="1" t="str">
        <x:f>TEXT(A146,"mmm yyyy")</x:f>
        <x:v>May 2026</x:v>
      </x:c>
    </x:row>
    <x:row r="147" ht="21" customHeight="1">
      <x:c r="A147" s="10" t="n">
        <x:v>46151</x:v>
      </x:c>
      <x:c r="B147" s="1" t="n">
        <x:v>13.5</x:v>
      </x:c>
      <x:c r="C147" s="1" t="n">
        <x:v>6</x:v>
      </x:c>
      <x:c r="D147" s="12" t="n">
        <x:v>0.35533333333333333</x:v>
      </x:c>
      <x:c r="E147" s="12" t="n">
        <x:v>0.35433333333333333</x:v>
      </x:c>
      <x:c r="F147" s="12" t="n">
        <x:v>0</x:v>
      </x:c>
      <x:c r="G147" s="12" t="n">
        <x:v>0</x:v>
      </x:c>
      <x:c r="H147" s="1" t="n">
        <x:f>'Historical prices'!E147</x:f>
        <x:v>1.05</x:v>
      </x:c>
      <x:c r="I147" s="6" t="n">
        <x:f>'Historical prices'!D147</x:f>
        <x:v>0.2226</x:v>
      </x:c>
      <x:c r="J147" s="13" t="n">
        <x:f>D147*I147*H147</x:f>
        <x:v>0.08305206</x:v>
      </x:c>
      <x:c r="K147" s="13" t="n">
        <x:f>E147*I147*H147</x:f>
        <x:v>0.08281833000000001</x:v>
      </x:c>
      <x:c r="L147" s="1" t="str">
        <x:f>TEXT(A147,"mmm yyyy")</x:f>
        <x:v>May 2026</x:v>
      </x:c>
    </x:row>
    <x:row r="148" ht="21" customHeight="1">
      <x:c r="A148" s="10" t="n">
        <x:v>46151</x:v>
      </x:c>
      <x:c r="B148" s="1" t="n">
        <x:v>14</x:v>
      </x:c>
      <x:c r="C148" s="1" t="n">
        <x:v>6</x:v>
      </x:c>
      <x:c r="D148" s="12" t="n">
        <x:v>0.2886666666666667</x:v>
      </x:c>
      <x:c r="E148" s="12" t="n">
        <x:v>0.2896666666666667</x:v>
      </x:c>
      <x:c r="F148" s="12" t="n">
        <x:v>0</x:v>
      </x:c>
      <x:c r="G148" s="12" t="n">
        <x:v>0</x:v>
      </x:c>
      <x:c r="H148" s="1" t="n">
        <x:f>'Historical prices'!E148</x:f>
        <x:v>1.05</x:v>
      </x:c>
      <x:c r="I148" s="6" t="n">
        <x:f>'Historical prices'!D148</x:f>
        <x:v>0.2226</x:v>
      </x:c>
      <x:c r="J148" s="13" t="n">
        <x:f>D148*I148*H148</x:f>
        <x:v>0.06747006</x:v>
      </x:c>
      <x:c r="K148" s="13" t="n">
        <x:f>E148*I148*H148</x:f>
        <x:v>0.06770379000000001</x:v>
      </x:c>
      <x:c r="L148" s="1" t="str">
        <x:f>TEXT(A148,"mmm yyyy")</x:f>
        <x:v>May 2026</x:v>
      </x:c>
    </x:row>
    <x:row r="149" ht="21" customHeight="1">
      <x:c r="A149" s="10" t="n">
        <x:v>46151</x:v>
      </x:c>
      <x:c r="B149" s="1" t="n">
        <x:v>14.5</x:v>
      </x:c>
      <x:c r="C149" s="1" t="n">
        <x:v>6</x:v>
      </x:c>
      <x:c r="D149" s="12" t="n">
        <x:v>0.35475</x:v>
      </x:c>
      <x:c r="E149" s="12" t="n">
        <x:v>0.35575</x:v>
      </x:c>
      <x:c r="F149" s="12" t="n">
        <x:v>0</x:v>
      </x:c>
      <x:c r="G149" s="12" t="n">
        <x:v>0</x:v>
      </x:c>
      <x:c r="H149" s="1" t="n">
        <x:f>'Historical prices'!E149</x:f>
        <x:v>1.05</x:v>
      </x:c>
      <x:c r="I149" s="6" t="n">
        <x:f>'Historical prices'!D149</x:f>
        <x:v>0.2226</x:v>
      </x:c>
      <x:c r="J149" s="13" t="n">
        <x:f>D149*I149*H149</x:f>
        <x:v>0.08291571750000001</x:v>
      </x:c>
      <x:c r="K149" s="13" t="n">
        <x:f>E149*I149*H149</x:f>
        <x:v>0.0831494475</x:v>
      </x:c>
      <x:c r="L149" s="1" t="str">
        <x:f>TEXT(A149,"mmm yyyy")</x:f>
        <x:v>May 2026</x:v>
      </x:c>
    </x:row>
    <x:row r="150" ht="21" customHeight="1">
      <x:c r="A150" s="10" t="n">
        <x:v>46151</x:v>
      </x:c>
      <x:c r="B150" s="1" t="n">
        <x:v>15</x:v>
      </x:c>
      <x:c r="C150" s="1" t="n">
        <x:v>6</x:v>
      </x:c>
      <x:c r="D150" s="12" t="n">
        <x:v>0.35741666666666666</x:v>
      </x:c>
      <x:c r="E150" s="12" t="n">
        <x:v>0.35541666666666666</x:v>
      </x:c>
      <x:c r="F150" s="12" t="n">
        <x:v>0</x:v>
      </x:c>
      <x:c r="G150" s="12" t="n">
        <x:v>0</x:v>
      </x:c>
      <x:c r="H150" s="1" t="n">
        <x:f>'Historical prices'!E150</x:f>
        <x:v>1.05</x:v>
      </x:c>
      <x:c r="I150" s="6" t="n">
        <x:f>'Historical prices'!D150</x:f>
        <x:v>0.2226</x:v>
      </x:c>
      <x:c r="J150" s="13" t="n">
        <x:f>D150*I150*H150</x:f>
        <x:v>0.08353899749999999</x:v>
      </x:c>
      <x:c r="K150" s="13" t="n">
        <x:f>E150*I150*H150</x:f>
        <x:v>0.0830715375</x:v>
      </x:c>
      <x:c r="L150" s="1" t="str">
        <x:f>TEXT(A150,"mmm yyyy")</x:f>
        <x:v>May 2026</x:v>
      </x:c>
    </x:row>
    <x:row r="151" ht="21" customHeight="1">
      <x:c r="A151" s="10" t="n">
        <x:v>46151</x:v>
      </x:c>
      <x:c r="B151" s="1" t="n">
        <x:v>15.5</x:v>
      </x:c>
      <x:c r="C151" s="1" t="n">
        <x:v>6</x:v>
      </x:c>
      <x:c r="D151" s="12" t="n">
        <x:v>1.0438333333333334</x:v>
      </x:c>
      <x:c r="E151" s="12" t="n">
        <x:v>1.0458333333333334</x:v>
      </x:c>
      <x:c r="F151" s="12" t="n">
        <x:v>0</x:v>
      </x:c>
      <x:c r="G151" s="12" t="n">
        <x:v>0</x:v>
      </x:c>
      <x:c r="H151" s="1" t="n">
        <x:f>'Historical prices'!E151</x:f>
        <x:v>1.05</x:v>
      </x:c>
      <x:c r="I151" s="6" t="n">
        <x:f>'Historical prices'!D151</x:f>
        <x:v>0.2226</x:v>
      </x:c>
      <x:c r="J151" s="13" t="n">
        <x:f>D151*I151*H151</x:f>
        <x:v>0.24397516500000002</x:v>
      </x:c>
      <x:c r="K151" s="13" t="n">
        <x:f>E151*I151*H151</x:f>
        <x:v>0.244442625</x:v>
      </x:c>
      <x:c r="L151" s="1" t="str">
        <x:f>TEXT(A151,"mmm yyyy")</x:f>
        <x:v>May 2026</x:v>
      </x:c>
    </x:row>
    <x:row r="152" ht="21" customHeight="1">
      <x:c r="A152" s="10" t="n">
        <x:v>46151</x:v>
      </x:c>
      <x:c r="B152" s="1" t="n">
        <x:v>16</x:v>
      </x:c>
      <x:c r="C152" s="1" t="n">
        <x:v>6</x:v>
      </x:c>
      <x:c r="D152" s="12" t="n">
        <x:v>1.2198333333333333</x:v>
      </x:c>
      <x:c r="E152" s="12" t="n">
        <x:v>1.2198333333333333</x:v>
      </x:c>
      <x:c r="F152" s="12" t="n">
        <x:v>0</x:v>
      </x:c>
      <x:c r="G152" s="12" t="n">
        <x:v>0</x:v>
      </x:c>
      <x:c r="H152" s="1" t="n">
        <x:f>'Historical prices'!E152</x:f>
        <x:v>1.05</x:v>
      </x:c>
      <x:c r="I152" s="6" t="n">
        <x:f>'Historical prices'!D152</x:f>
        <x:v>0.2226</x:v>
      </x:c>
      <x:c r="J152" s="13" t="n">
        <x:f>D152*I152*H152</x:f>
        <x:v>0.28511164499999997</x:v>
      </x:c>
      <x:c r="K152" s="13" t="n">
        <x:f>E152*I152*H152</x:f>
        <x:v>0.28511164499999997</x:v>
      </x:c>
      <x:c r="L152" s="1" t="str">
        <x:f>TEXT(A152,"mmm yyyy")</x:f>
        <x:v>May 2026</x:v>
      </x:c>
    </x:row>
    <x:row r="153" ht="21" customHeight="1">
      <x:c r="A153" s="10" t="n">
        <x:v>46151</x:v>
      </x:c>
      <x:c r="B153" s="1" t="n">
        <x:v>16.5</x:v>
      </x:c>
      <x:c r="C153" s="1" t="n">
        <x:v>6</x:v>
      </x:c>
      <x:c r="D153" s="12" t="n">
        <x:v>0.6458333333333333</x:v>
      </x:c>
      <x:c r="E153" s="12" t="n">
        <x:v>0.6468333333333333</x:v>
      </x:c>
      <x:c r="F153" s="12" t="n">
        <x:v>0</x:v>
      </x:c>
      <x:c r="G153" s="12" t="n">
        <x:v>0</x:v>
      </x:c>
      <x:c r="H153" s="1" t="n">
        <x:f>'Historical prices'!E153</x:f>
        <x:v>1.05</x:v>
      </x:c>
      <x:c r="I153" s="6" t="n">
        <x:f>'Historical prices'!D153</x:f>
        <x:v>0.2226</x:v>
      </x:c>
      <x:c r="J153" s="13" t="n">
        <x:f>D153*I153*H153</x:f>
        <x:v>0.150950625</x:v>
      </x:c>
      <x:c r="K153" s="13" t="n">
        <x:f>E153*I153*H153</x:f>
        <x:v>0.151184355</x:v>
      </x:c>
      <x:c r="L153" s="1" t="str">
        <x:f>TEXT(A153,"mmm yyyy")</x:f>
        <x:v>May 2026</x:v>
      </x:c>
    </x:row>
    <x:row r="154" ht="21" customHeight="1">
      <x:c r="A154" s="10" t="n">
        <x:v>46151</x:v>
      </x:c>
      <x:c r="B154" s="1" t="n">
        <x:v>17</x:v>
      </x:c>
      <x:c r="C154" s="1" t="n">
        <x:v>6</x:v>
      </x:c>
      <x:c r="D154" s="12" t="n">
        <x:v>0.44741666666666663</x:v>
      </x:c>
      <x:c r="E154" s="12" t="n">
        <x:v>0.44741666666666663</x:v>
      </x:c>
      <x:c r="F154" s="12" t="n">
        <x:v>0</x:v>
      </x:c>
      <x:c r="G154" s="12" t="n">
        <x:v>0</x:v>
      </x:c>
      <x:c r="H154" s="1" t="n">
        <x:f>'Historical prices'!E154</x:f>
        <x:v>1.05</x:v>
      </x:c>
      <x:c r="I154" s="6" t="n">
        <x:f>'Historical prices'!D154</x:f>
        <x:v>0.2226</x:v>
      </x:c>
      <x:c r="J154" s="13" t="n">
        <x:f>D154*I154*H154</x:f>
        <x:v>0.1045746975</x:v>
      </x:c>
      <x:c r="K154" s="13" t="n">
        <x:f>E154*I154*H154</x:f>
        <x:v>0.1045746975</x:v>
      </x:c>
      <x:c r="L154" s="1" t="str">
        <x:f>TEXT(A154,"mmm yyyy")</x:f>
        <x:v>May 2026</x:v>
      </x:c>
    </x:row>
    <x:row r="155" ht="21" customHeight="1">
      <x:c r="A155" s="10" t="n">
        <x:v>46151</x:v>
      </x:c>
      <x:c r="B155" s="1" t="n">
        <x:v>17.5</x:v>
      </x:c>
      <x:c r="C155" s="1" t="n">
        <x:v>6</x:v>
      </x:c>
      <x:c r="D155" s="12" t="n">
        <x:v>0.6105</x:v>
      </x:c>
      <x:c r="E155" s="12" t="n">
        <x:v>0.6105</x:v>
      </x:c>
      <x:c r="F155" s="12" t="n">
        <x:v>0</x:v>
      </x:c>
      <x:c r="G155" s="12" t="n">
        <x:v>0</x:v>
      </x:c>
      <x:c r="H155" s="1" t="n">
        <x:f>'Historical prices'!E155</x:f>
        <x:v>1.05</x:v>
      </x:c>
      <x:c r="I155" s="6" t="n">
        <x:f>'Historical prices'!D155</x:f>
        <x:v>0.2226</x:v>
      </x:c>
      <x:c r="J155" s="13" t="n">
        <x:f>D155*I155*H155</x:f>
        <x:v>0.142692165</x:v>
      </x:c>
      <x:c r="K155" s="13" t="n">
        <x:f>E155*I155*H155</x:f>
        <x:v>0.142692165</x:v>
      </x:c>
      <x:c r="L155" s="1" t="str">
        <x:f>TEXT(A155,"mmm yyyy")</x:f>
        <x:v>May 2026</x:v>
      </x:c>
    </x:row>
    <x:row r="156" ht="21" customHeight="1">
      <x:c r="A156" s="10" t="n">
        <x:v>46151</x:v>
      </x:c>
      <x:c r="B156" s="1" t="n">
        <x:v>18</x:v>
      </x:c>
      <x:c r="C156" s="1" t="n">
        <x:v>6</x:v>
      </x:c>
      <x:c r="D156" s="12" t="n">
        <x:v>1.00075</x:v>
      </x:c>
      <x:c r="E156" s="12" t="n">
        <x:v>1.00075</x:v>
      </x:c>
      <x:c r="F156" s="12" t="n">
        <x:v>0</x:v>
      </x:c>
      <x:c r="G156" s="12" t="n">
        <x:v>0</x:v>
      </x:c>
      <x:c r="H156" s="1" t="n">
        <x:f>'Historical prices'!E156</x:f>
        <x:v>1.05</x:v>
      </x:c>
      <x:c r="I156" s="6" t="n">
        <x:f>'Historical prices'!D156</x:f>
        <x:v>0.2226</x:v>
      </x:c>
      <x:c r="J156" s="13" t="n">
        <x:f>D156*I156*H156</x:f>
        <x:v>0.2339052975</x:v>
      </x:c>
      <x:c r="K156" s="13" t="n">
        <x:f>E156*I156*H156</x:f>
        <x:v>0.2339052975</x:v>
      </x:c>
      <x:c r="L156" s="1" t="str">
        <x:f>TEXT(A156,"mmm yyyy")</x:f>
        <x:v>May 2026</x:v>
      </x:c>
    </x:row>
    <x:row r="157" ht="21" customHeight="1">
      <x:c r="A157" s="10" t="n">
        <x:v>46151</x:v>
      </x:c>
      <x:c r="B157" s="1" t="n">
        <x:v>18.5</x:v>
      </x:c>
      <x:c r="C157" s="1" t="n">
        <x:v>6</x:v>
      </x:c>
      <x:c r="D157" s="12" t="n">
        <x:v>0.8313333333333334</x:v>
      </x:c>
      <x:c r="E157" s="12" t="n">
        <x:v>0.8333333333333334</x:v>
      </x:c>
      <x:c r="F157" s="12" t="n">
        <x:v>0</x:v>
      </x:c>
      <x:c r="G157" s="12" t="n">
        <x:v>0</x:v>
      </x:c>
      <x:c r="H157" s="1" t="n">
        <x:f>'Historical prices'!E157</x:f>
        <x:v>1.05</x:v>
      </x:c>
      <x:c r="I157" s="6" t="n">
        <x:f>'Historical prices'!D157</x:f>
        <x:v>0.2226</x:v>
      </x:c>
      <x:c r="J157" s="13" t="n">
        <x:f>D157*I157*H157</x:f>
        <x:v>0.19430754</x:v>
      </x:c>
      <x:c r="K157" s="13" t="n">
        <x:f>E157*I157*H157</x:f>
        <x:v>0.194775</x:v>
      </x:c>
      <x:c r="L157" s="1" t="str">
        <x:f>TEXT(A157,"mmm yyyy")</x:f>
        <x:v>May 2026</x:v>
      </x:c>
    </x:row>
    <x:row r="158" ht="21" customHeight="1">
      <x:c r="A158" s="10" t="n">
        <x:v>46151</x:v>
      </x:c>
      <x:c r="B158" s="1" t="n">
        <x:v>19</x:v>
      </x:c>
      <x:c r="C158" s="1" t="n">
        <x:v>6</x:v>
      </x:c>
      <x:c r="D158" s="12" t="n">
        <x:v>0.50575</x:v>
      </x:c>
      <x:c r="E158" s="12" t="n">
        <x:v>0.50475</x:v>
      </x:c>
      <x:c r="F158" s="12" t="n">
        <x:v>0</x:v>
      </x:c>
      <x:c r="G158" s="12" t="n">
        <x:v>0</x:v>
      </x:c>
      <x:c r="H158" s="1" t="n">
        <x:f>'Historical prices'!E158</x:f>
        <x:v>1.05</x:v>
      </x:c>
      <x:c r="I158" s="6" t="n">
        <x:f>'Historical prices'!D158</x:f>
        <x:v>0.2226</x:v>
      </x:c>
      <x:c r="J158" s="13" t="n">
        <x:f>D158*I158*H158</x:f>
        <x:v>0.11820894750000001</x:v>
      </x:c>
      <x:c r="K158" s="13" t="n">
        <x:f>E158*I158*H158</x:f>
        <x:v>0.11797521750000002</x:v>
      </x:c>
      <x:c r="L158" s="1" t="str">
        <x:f>TEXT(A158,"mmm yyyy")</x:f>
        <x:v>May 2026</x:v>
      </x:c>
    </x:row>
    <x:row r="159" ht="21" customHeight="1">
      <x:c r="A159" s="10" t="n">
        <x:v>46151</x:v>
      </x:c>
      <x:c r="B159" s="1" t="n">
        <x:v>19.5</x:v>
      </x:c>
      <x:c r="C159" s="1" t="n">
        <x:v>6</x:v>
      </x:c>
      <x:c r="D159" s="12" t="n">
        <x:v>0.7774166666666666</x:v>
      </x:c>
      <x:c r="E159" s="12" t="n">
        <x:v>0.7794166666666666</x:v>
      </x:c>
      <x:c r="F159" s="12" t="n">
        <x:v>0</x:v>
      </x:c>
      <x:c r="G159" s="12" t="n">
        <x:v>0</x:v>
      </x:c>
      <x:c r="H159" s="1" t="n">
        <x:f>'Historical prices'!E159</x:f>
        <x:v>1.05</x:v>
      </x:c>
      <x:c r="I159" s="6" t="n">
        <x:f>'Historical prices'!D159</x:f>
        <x:v>0.2226</x:v>
      </x:c>
      <x:c r="J159" s="13" t="n">
        <x:f>D159*I159*H159</x:f>
        <x:v>0.18170559749999998</x:v>
      </x:c>
      <x:c r="K159" s="13" t="n">
        <x:f>E159*I159*H159</x:f>
        <x:v>0.18217305749999999</x:v>
      </x:c>
      <x:c r="L159" s="1" t="str">
        <x:f>TEXT(A159,"mmm yyyy")</x:f>
        <x:v>May 2026</x:v>
      </x:c>
    </x:row>
    <x:row r="160" ht="21" customHeight="1">
      <x:c r="A160" s="10" t="n">
        <x:v>46151</x:v>
      </x:c>
      <x:c r="B160" s="1" t="n">
        <x:v>20</x:v>
      </x:c>
      <x:c r="C160" s="1" t="n">
        <x:v>6</x:v>
      </x:c>
      <x:c r="D160" s="12" t="n">
        <x:v>0.46325</x:v>
      </x:c>
      <x:c r="E160" s="12" t="n">
        <x:v>0.46325</x:v>
      </x:c>
      <x:c r="F160" s="12" t="n">
        <x:v>0</x:v>
      </x:c>
      <x:c r="G160" s="12" t="n">
        <x:v>0</x:v>
      </x:c>
      <x:c r="H160" s="1" t="n">
        <x:f>'Historical prices'!E160</x:f>
        <x:v>1.05</x:v>
      </x:c>
      <x:c r="I160" s="6" t="n">
        <x:f>'Historical prices'!D160</x:f>
        <x:v>0.2226</x:v>
      </x:c>
      <x:c r="J160" s="13" t="n">
        <x:f>D160*I160*H160</x:f>
        <x:v>0.10827542250000001</x:v>
      </x:c>
      <x:c r="K160" s="13" t="n">
        <x:f>E160*I160*H160</x:f>
        <x:v>0.10827542250000001</x:v>
      </x:c>
      <x:c r="L160" s="1" t="str">
        <x:f>TEXT(A160,"mmm yyyy")</x:f>
        <x:v>May 2026</x:v>
      </x:c>
    </x:row>
    <x:row r="161" ht="21" customHeight="1">
      <x:c r="A161" s="10" t="n">
        <x:v>46151</x:v>
      </x:c>
      <x:c r="B161" s="1" t="n">
        <x:v>20.5</x:v>
      </x:c>
      <x:c r="C161" s="1" t="n">
        <x:v>6</x:v>
      </x:c>
      <x:c r="D161" s="12" t="n">
        <x:v>0.3845833333333333</x:v>
      </x:c>
      <x:c r="E161" s="12" t="n">
        <x:v>0.3855833333333333</x:v>
      </x:c>
      <x:c r="F161" s="12" t="n">
        <x:v>0</x:v>
      </x:c>
      <x:c r="G161" s="12" t="n">
        <x:v>0</x:v>
      </x:c>
      <x:c r="H161" s="1" t="n">
        <x:f>'Historical prices'!E161</x:f>
        <x:v>1.05</x:v>
      </x:c>
      <x:c r="I161" s="6" t="n">
        <x:f>'Historical prices'!D161</x:f>
        <x:v>0.2226</x:v>
      </x:c>
      <x:c r="J161" s="13" t="n">
        <x:f>D161*I161*H161</x:f>
        <x:v>0.08988866249999998</x:v>
      </x:c>
      <x:c r="K161" s="13" t="n">
        <x:f>E161*I161*H161</x:f>
        <x:v>0.0901223925</x:v>
      </x:c>
      <x:c r="L161" s="1" t="str">
        <x:f>TEXT(A161,"mmm yyyy")</x:f>
        <x:v>May 2026</x:v>
      </x:c>
    </x:row>
    <x:row r="162" ht="21" customHeight="1">
      <x:c r="A162" s="10" t="n">
        <x:v>46151</x:v>
      </x:c>
      <x:c r="B162" s="1" t="n">
        <x:v>21</x:v>
      </x:c>
      <x:c r="C162" s="1" t="n">
        <x:v>6</x:v>
      </x:c>
      <x:c r="D162" s="12" t="n">
        <x:v>0.45975</x:v>
      </x:c>
      <x:c r="E162" s="12" t="n">
        <x:v>0.45975000000000005</x:v>
      </x:c>
      <x:c r="F162" s="12" t="n">
        <x:v>0</x:v>
      </x:c>
      <x:c r="G162" s="12" t="n">
        <x:v>0</x:v>
      </x:c>
      <x:c r="H162" s="1" t="n">
        <x:f>'Historical prices'!E162</x:f>
        <x:v>1.05</x:v>
      </x:c>
      <x:c r="I162" s="6" t="n">
        <x:f>'Historical prices'!D162</x:f>
        <x:v>0.2226</x:v>
      </x:c>
      <x:c r="J162" s="13" t="n">
        <x:f>D162*I162*H162</x:f>
        <x:v>0.1074573675</x:v>
      </x:c>
      <x:c r="K162" s="13" t="n">
        <x:f>E162*I162*H162</x:f>
        <x:v>0.10745736750000001</x:v>
      </x:c>
      <x:c r="L162" s="1" t="str">
        <x:f>TEXT(A162,"mmm yyyy")</x:f>
        <x:v>May 2026</x:v>
      </x:c>
    </x:row>
    <x:row r="163" ht="21" customHeight="1">
      <x:c r="A163" s="10" t="n">
        <x:v>46151</x:v>
      </x:c>
      <x:c r="B163" s="1" t="n">
        <x:v>21.5</x:v>
      </x:c>
      <x:c r="C163" s="1" t="n">
        <x:v>6</x:v>
      </x:c>
      <x:c r="D163" s="12" t="n">
        <x:v>0.9415833333333334</x:v>
      </x:c>
      <x:c r="E163" s="12" t="n">
        <x:v>0.9425833333333334</x:v>
      </x:c>
      <x:c r="F163" s="12" t="n">
        <x:v>0</x:v>
      </x:c>
      <x:c r="G163" s="12" t="n">
        <x:v>0</x:v>
      </x:c>
      <x:c r="H163" s="1" t="n">
        <x:f>'Historical prices'!E163</x:f>
        <x:v>1.05</x:v>
      </x:c>
      <x:c r="I163" s="6" t="n">
        <x:f>'Historical prices'!D163</x:f>
        <x:v>0.2226</x:v>
      </x:c>
      <x:c r="J163" s="13" t="n">
        <x:f>D163*I163*H163</x:f>
        <x:v>0.22007627250000003</x:v>
      </x:c>
      <x:c r="K163" s="13" t="n">
        <x:f>E163*I163*H163</x:f>
        <x:v>0.22031000250000002</x:v>
      </x:c>
      <x:c r="L163" s="1" t="str">
        <x:f>TEXT(A163,"mmm yyyy")</x:f>
        <x:v>May 2026</x:v>
      </x:c>
    </x:row>
    <x:row r="164" ht="21" customHeight="1">
      <x:c r="A164" s="10" t="n">
        <x:v>46151</x:v>
      </x:c>
      <x:c r="B164" s="1" t="n">
        <x:v>22</x:v>
      </x:c>
      <x:c r="C164" s="1" t="n">
        <x:v>6</x:v>
      </x:c>
      <x:c r="D164" s="12" t="n">
        <x:v>0.3095833333333333</x:v>
      </x:c>
      <x:c r="E164" s="12" t="n">
        <x:v>0.3105833333333333</x:v>
      </x:c>
      <x:c r="F164" s="12" t="n">
        <x:v>0</x:v>
      </x:c>
      <x:c r="G164" s="12" t="n">
        <x:v>0</x:v>
      </x:c>
      <x:c r="H164" s="1" t="n">
        <x:f>'Historical prices'!E164</x:f>
        <x:v>1.05</x:v>
      </x:c>
      <x:c r="I164" s="6" t="n">
        <x:f>'Historical prices'!D164</x:f>
        <x:v>0.2226</x:v>
      </x:c>
      <x:c r="J164" s="13" t="n">
        <x:f>D164*I164*H164</x:f>
        <x:v>0.0723589125</x:v>
      </x:c>
      <x:c r="K164" s="13" t="n">
        <x:f>E164*I164*H164</x:f>
        <x:v>0.0725926425</x:v>
      </x:c>
      <x:c r="L164" s="1" t="str">
        <x:f>TEXT(A164,"mmm yyyy")</x:f>
        <x:v>May 2026</x:v>
      </x:c>
    </x:row>
    <x:row r="165" ht="21" customHeight="1">
      <x:c r="A165" s="10" t="n">
        <x:v>46151</x:v>
      </x:c>
      <x:c r="B165" s="1" t="n">
        <x:v>22.5</x:v>
      </x:c>
      <x:c r="C165" s="1" t="n">
        <x:v>6</x:v>
      </x:c>
      <x:c r="D165" s="12" t="n">
        <x:v>0.32125000000000004</x:v>
      </x:c>
      <x:c r="E165" s="12" t="n">
        <x:v>0.32125000000000004</x:v>
      </x:c>
      <x:c r="F165" s="12" t="n">
        <x:v>0</x:v>
      </x:c>
      <x:c r="G165" s="12" t="n">
        <x:v>0</x:v>
      </x:c>
      <x:c r="H165" s="1" t="n">
        <x:f>'Historical prices'!E165</x:f>
        <x:v>1.05</x:v>
      </x:c>
      <x:c r="I165" s="6" t="n">
        <x:f>'Historical prices'!D165</x:f>
        <x:v>0.2226</x:v>
      </x:c>
      <x:c r="J165" s="13" t="n">
        <x:f>D165*I165*H165</x:f>
        <x:v>0.07508576250000001</x:v>
      </x:c>
      <x:c r="K165" s="13" t="n">
        <x:f>E165*I165*H165</x:f>
        <x:v>0.07508576250000001</x:v>
      </x:c>
      <x:c r="L165" s="1" t="str">
        <x:f>TEXT(A165,"mmm yyyy")</x:f>
        <x:v>May 2026</x:v>
      </x:c>
    </x:row>
    <x:row r="166" ht="21" customHeight="1">
      <x:c r="A166" s="10" t="n">
        <x:v>46151</x:v>
      </x:c>
      <x:c r="B166" s="1" t="n">
        <x:v>23</x:v>
      </x:c>
      <x:c r="C166" s="1" t="n">
        <x:v>6</x:v>
      </x:c>
      <x:c r="D166" s="12" t="n">
        <x:v>0.36241666666666666</x:v>
      </x:c>
      <x:c r="E166" s="12" t="n">
        <x:v>0.36441666666666667</x:v>
      </x:c>
      <x:c r="F166" s="12" t="n">
        <x:v>0</x:v>
      </x:c>
      <x:c r="G166" s="12" t="n">
        <x:v>0</x:v>
      </x:c>
      <x:c r="H166" s="1" t="n">
        <x:f>'Historical prices'!E166</x:f>
        <x:v>1.05</x:v>
      </x:c>
      <x:c r="I166" s="6" t="n">
        <x:f>'Historical prices'!D166</x:f>
        <x:v>0.2226</x:v>
      </x:c>
      <x:c r="J166" s="13" t="n">
        <x:f>D166*I166*H166</x:f>
        <x:v>0.0847076475</x:v>
      </x:c>
      <x:c r="K166" s="13" t="n">
        <x:f>E166*I166*H166</x:f>
        <x:v>0.0851751075</x:v>
      </x:c>
      <x:c r="L166" s="1" t="str">
        <x:f>TEXT(A166,"mmm yyyy")</x:f>
        <x:v>May 2026</x:v>
      </x:c>
    </x:row>
    <x:row r="167" ht="21" customHeight="1">
      <x:c r="A167" s="10" t="n">
        <x:v>46151</x:v>
      </x:c>
      <x:c r="B167" s="1" t="n">
        <x:v>23.5</x:v>
      </x:c>
      <x:c r="C167" s="1" t="n">
        <x:v>6</x:v>
      </x:c>
      <x:c r="D167" s="12" t="n">
        <x:v>0.27216666666666667</x:v>
      </x:c>
      <x:c r="E167" s="12" t="n">
        <x:v>0.27316666666666667</x:v>
      </x:c>
      <x:c r="F167" s="12" t="n">
        <x:v>0</x:v>
      </x:c>
      <x:c r="G167" s="12" t="n">
        <x:v>0</x:v>
      </x:c>
      <x:c r="H167" s="1" t="n">
        <x:f>'Historical prices'!E167</x:f>
        <x:v>1.05</x:v>
      </x:c>
      <x:c r="I167" s="6" t="n">
        <x:f>'Historical prices'!D167</x:f>
        <x:v>0.2226</x:v>
      </x:c>
      <x:c r="J167" s="13" t="n">
        <x:f>D167*I167*H167</x:f>
        <x:v>0.06361351500000001</x:v>
      </x:c>
      <x:c r="K167" s="13" t="n">
        <x:f>E167*I167*H167</x:f>
        <x:v>0.063847245</x:v>
      </x:c>
      <x:c r="L167" s="1" t="str">
        <x:f>TEXT(A167,"mmm yyyy")</x:f>
        <x:v>May 2026</x:v>
      </x:c>
    </x:row>
    <x:row r="168" ht="21" customHeight="1">
      <x:c r="A168" s="10" t="n">
        <x:v>46152</x:v>
      </x:c>
      <x:c r="B168" s="1" t="n">
        <x:v>0</x:v>
      </x:c>
      <x:c r="C168" s="1" t="n">
        <x:v>6</x:v>
      </x:c>
      <x:c r="D168" s="12" t="n">
        <x:v>0.26958333333333334</x:v>
      </x:c>
      <x:c r="E168" s="12" t="n">
        <x:v>0.2695833333333333</x:v>
      </x:c>
      <x:c r="F168" s="12" t="n">
        <x:v>0</x:v>
      </x:c>
      <x:c r="G168" s="12" t="n">
        <x:v>0</x:v>
      </x:c>
      <x:c r="H168" s="1" t="n">
        <x:f>'Historical prices'!E168</x:f>
        <x:v>1.05</x:v>
      </x:c>
      <x:c r="I168" s="6" t="n">
        <x:f>'Historical prices'!D168</x:f>
        <x:v>0.2226</x:v>
      </x:c>
      <x:c r="J168" s="13" t="n">
        <x:f>D168*I168*H168</x:f>
        <x:v>0.06300971250000001</x:v>
      </x:c>
      <x:c r="K168" s="13" t="n">
        <x:f>E168*I168*H168</x:f>
        <x:v>0.06300971249999998</x:v>
      </x:c>
      <x:c r="L168" s="1" t="str">
        <x:f>TEXT(A168,"mmm yyyy")</x:f>
        <x:v>May 2026</x:v>
      </x:c>
    </x:row>
    <x:row r="169" ht="21" customHeight="1">
      <x:c r="A169" s="10" t="n">
        <x:v>46152</x:v>
      </x:c>
      <x:c r="B169" s="1" t="n">
        <x:v>0.5</x:v>
      </x:c>
      <x:c r="C169" s="1" t="n">
        <x:v>6</x:v>
      </x:c>
      <x:c r="D169" s="12" t="n">
        <x:v>0.22475</x:v>
      </x:c>
      <x:c r="E169" s="12" t="n">
        <x:v>0.22575</x:v>
      </x:c>
      <x:c r="F169" s="12" t="n">
        <x:v>0</x:v>
      </x:c>
      <x:c r="G169" s="12" t="n">
        <x:v>0</x:v>
      </x:c>
      <x:c r="H169" s="1" t="n">
        <x:f>'Historical prices'!E169</x:f>
        <x:v>1.05</x:v>
      </x:c>
      <x:c r="I169" s="6" t="n">
        <x:f>'Historical prices'!D169</x:f>
        <x:v>0.2226</x:v>
      </x:c>
      <x:c r="J169" s="13" t="n">
        <x:f>D169*I169*H169</x:f>
        <x:v>0.0525308175</x:v>
      </x:c>
      <x:c r="K169" s="13" t="n">
        <x:f>E169*I169*H169</x:f>
        <x:v>0.0527645475</x:v>
      </x:c>
      <x:c r="L169" s="1" t="str">
        <x:f>TEXT(A169,"mmm yyyy")</x:f>
        <x:v>May 2026</x:v>
      </x:c>
    </x:row>
    <x:row r="170" ht="21" customHeight="1">
      <x:c r="A170" s="10" t="n">
        <x:v>46152</x:v>
      </x:c>
      <x:c r="B170" s="1" t="n">
        <x:v>1</x:v>
      </x:c>
      <x:c r="C170" s="1" t="n">
        <x:v>6</x:v>
      </x:c>
      <x:c r="D170" s="12" t="n">
        <x:v>0.21225000000000002</x:v>
      </x:c>
      <x:c r="E170" s="12" t="n">
        <x:v>0.21225</x:v>
      </x:c>
      <x:c r="F170" s="12" t="n">
        <x:v>0</x:v>
      </x:c>
      <x:c r="G170" s="12" t="n">
        <x:v>0</x:v>
      </x:c>
      <x:c r="H170" s="1" t="n">
        <x:f>'Historical prices'!E170</x:f>
        <x:v>1.05</x:v>
      </x:c>
      <x:c r="I170" s="6" t="n">
        <x:f>'Historical prices'!D170</x:f>
        <x:v>0.2226</x:v>
      </x:c>
      <x:c r="J170" s="13" t="n">
        <x:f>D170*I170*H170</x:f>
        <x:v>0.0496091925</x:v>
      </x:c>
      <x:c r="K170" s="13" t="n">
        <x:f>E170*I170*H170</x:f>
        <x:v>0.0496091925</x:v>
      </x:c>
      <x:c r="L170" s="1" t="str">
        <x:f>TEXT(A170,"mmm yyyy")</x:f>
        <x:v>May 2026</x:v>
      </x:c>
    </x:row>
    <x:row r="171" ht="21" customHeight="1">
      <x:c r="A171" s="10" t="n">
        <x:v>46152</x:v>
      </x:c>
      <x:c r="B171" s="1" t="n">
        <x:v>1.5</x:v>
      </x:c>
      <x:c r="C171" s="1" t="n">
        <x:v>6</x:v>
      </x:c>
      <x:c r="D171" s="12" t="n">
        <x:v>0.25933333333333336</x:v>
      </x:c>
      <x:c r="E171" s="12" t="n">
        <x:v>0.26033333333333336</x:v>
      </x:c>
      <x:c r="F171" s="12" t="n">
        <x:v>0</x:v>
      </x:c>
      <x:c r="G171" s="12" t="n">
        <x:v>0</x:v>
      </x:c>
      <x:c r="H171" s="1" t="n">
        <x:f>'Historical prices'!E171</x:f>
        <x:v>1.05</x:v>
      </x:c>
      <x:c r="I171" s="6" t="n">
        <x:f>'Historical prices'!D171</x:f>
        <x:v>0.2226</x:v>
      </x:c>
      <x:c r="J171" s="13" t="n">
        <x:f>D171*I171*H171</x:f>
        <x:v>0.060613980000000005</x:v>
      </x:c>
      <x:c r="K171" s="13" t="n">
        <x:f>E171*I171*H171</x:f>
        <x:v>0.06084771000000001</x:v>
      </x:c>
      <x:c r="L171" s="1" t="str">
        <x:f>TEXT(A171,"mmm yyyy")</x:f>
        <x:v>May 2026</x:v>
      </x:c>
    </x:row>
    <x:row r="172" ht="21" customHeight="1">
      <x:c r="A172" s="10" t="n">
        <x:v>46152</x:v>
      </x:c>
      <x:c r="B172" s="1" t="n">
        <x:v>2</x:v>
      </x:c>
      <x:c r="C172" s="1" t="n">
        <x:v>6</x:v>
      </x:c>
      <x:c r="D172" s="12" t="n">
        <x:v>0.20074999999999998</x:v>
      </x:c>
      <x:c r="E172" s="12" t="n">
        <x:v>0.20074999999999998</x:v>
      </x:c>
      <x:c r="F172" s="12" t="n">
        <x:v>0</x:v>
      </x:c>
      <x:c r="G172" s="12" t="n">
        <x:v>0</x:v>
      </x:c>
      <x:c r="H172" s="1" t="n">
        <x:f>'Historical prices'!E172</x:f>
        <x:v>1.05</x:v>
      </x:c>
      <x:c r="I172" s="6" t="n">
        <x:f>'Historical prices'!D172</x:f>
        <x:v>0.2226</x:v>
      </x:c>
      <x:c r="J172" s="13" t="n">
        <x:f>D172*I172*H172</x:f>
        <x:v>0.0469212975</x:v>
      </x:c>
      <x:c r="K172" s="13" t="n">
        <x:f>E172*I172*H172</x:f>
        <x:v>0.0469212975</x:v>
      </x:c>
      <x:c r="L172" s="1" t="str">
        <x:f>TEXT(A172,"mmm yyyy")</x:f>
        <x:v>May 2026</x:v>
      </x:c>
    </x:row>
    <x:row r="173" ht="21" customHeight="1">
      <x:c r="A173" s="10" t="n">
        <x:v>46152</x:v>
      </x:c>
      <x:c r="B173" s="1" t="n">
        <x:v>2.5</x:v>
      </x:c>
      <x:c r="C173" s="1" t="n">
        <x:v>6</x:v>
      </x:c>
      <x:c r="D173" s="12" t="n">
        <x:v>0.23091666666666666</x:v>
      </x:c>
      <x:c r="E173" s="12" t="n">
        <x:v>0.23291666666666666</x:v>
      </x:c>
      <x:c r="F173" s="12" t="n">
        <x:v>0</x:v>
      </x:c>
      <x:c r="G173" s="12" t="n">
        <x:v>0</x:v>
      </x:c>
      <x:c r="H173" s="1" t="n">
        <x:f>'Historical prices'!E173</x:f>
        <x:v>1.05</x:v>
      </x:c>
      <x:c r="I173" s="6" t="n">
        <x:f>'Historical prices'!D173</x:f>
        <x:v>0.2226</x:v>
      </x:c>
      <x:c r="J173" s="13" t="n">
        <x:f>D173*I173*H173</x:f>
        <x:v>0.0539721525</x:v>
      </x:c>
      <x:c r="K173" s="13" t="n">
        <x:f>E173*I173*H173</x:f>
        <x:v>0.0544396125</x:v>
      </x:c>
      <x:c r="L173" s="1" t="str">
        <x:f>TEXT(A173,"mmm yyyy")</x:f>
        <x:v>May 2026</x:v>
      </x:c>
    </x:row>
    <x:row r="174" ht="21" customHeight="1">
      <x:c r="A174" s="10" t="n">
        <x:v>46152</x:v>
      </x:c>
      <x:c r="B174" s="1" t="n">
        <x:v>3</x:v>
      </x:c>
      <x:c r="C174" s="1" t="n">
        <x:v>6</x:v>
      </x:c>
      <x:c r="D174" s="12" t="n">
        <x:v>0.36174999999999996</x:v>
      </x:c>
      <x:c r="E174" s="12" t="n">
        <x:v>0.36174999999999996</x:v>
      </x:c>
      <x:c r="F174" s="12" t="n">
        <x:v>0</x:v>
      </x:c>
      <x:c r="G174" s="12" t="n">
        <x:v>0</x:v>
      </x:c>
      <x:c r="H174" s="1" t="n">
        <x:f>'Historical prices'!E174</x:f>
        <x:v>1.05</x:v>
      </x:c>
      <x:c r="I174" s="6" t="n">
        <x:f>'Historical prices'!D174</x:f>
        <x:v>0.2226</x:v>
      </x:c>
      <x:c r="J174" s="13" t="n">
        <x:f>D174*I174*H174</x:f>
        <x:v>0.0845518275</x:v>
      </x:c>
      <x:c r="K174" s="13" t="n">
        <x:f>E174*I174*H174</x:f>
        <x:v>0.0845518275</x:v>
      </x:c>
      <x:c r="L174" s="1" t="str">
        <x:f>TEXT(A174,"mmm yyyy")</x:f>
        <x:v>May 2026</x:v>
      </x:c>
    </x:row>
    <x:row r="175" ht="21" customHeight="1">
      <x:c r="A175" s="10" t="n">
        <x:v>46152</x:v>
      </x:c>
      <x:c r="B175" s="1" t="n">
        <x:v>3.5</x:v>
      </x:c>
      <x:c r="C175" s="1" t="n">
        <x:v>6</x:v>
      </x:c>
      <x:c r="D175" s="12" t="n">
        <x:v>0.24175</x:v>
      </x:c>
      <x:c r="E175" s="12" t="n">
        <x:v>0.24175</x:v>
      </x:c>
      <x:c r="F175" s="12" t="n">
        <x:v>0</x:v>
      </x:c>
      <x:c r="G175" s="12" t="n">
        <x:v>0</x:v>
      </x:c>
      <x:c r="H175" s="1" t="n">
        <x:f>'Historical prices'!E175</x:f>
        <x:v>1.05</x:v>
      </x:c>
      <x:c r="I175" s="6" t="n">
        <x:f>'Historical prices'!D175</x:f>
        <x:v>0.2226</x:v>
      </x:c>
      <x:c r="J175" s="13" t="n">
        <x:f>D175*I175*H175</x:f>
        <x:v>0.0565042275</x:v>
      </x:c>
      <x:c r="K175" s="13" t="n">
        <x:f>E175*I175*H175</x:f>
        <x:v>0.0565042275</x:v>
      </x:c>
      <x:c r="L175" s="1" t="str">
        <x:f>TEXT(A175,"mmm yyyy")</x:f>
        <x:v>May 2026</x:v>
      </x:c>
    </x:row>
    <x:row r="176" ht="21" customHeight="1">
      <x:c r="A176" s="10" t="n">
        <x:v>46152</x:v>
      </x:c>
      <x:c r="B176" s="1" t="n">
        <x:v>4</x:v>
      </x:c>
      <x:c r="C176" s="1" t="n">
        <x:v>6</x:v>
      </x:c>
      <x:c r="D176" s="12" t="n">
        <x:v>0.2840833333333333</x:v>
      </x:c>
      <x:c r="E176" s="12" t="n">
        <x:v>0.2850833333333333</x:v>
      </x:c>
      <x:c r="F176" s="12" t="n">
        <x:v>0</x:v>
      </x:c>
      <x:c r="G176" s="12" t="n">
        <x:v>0</x:v>
      </x:c>
      <x:c r="H176" s="1" t="n">
        <x:f>'Historical prices'!E176</x:f>
        <x:v>1.05</x:v>
      </x:c>
      <x:c r="I176" s="6" t="n">
        <x:f>'Historical prices'!D176</x:f>
        <x:v>0.2226</x:v>
      </x:c>
      <x:c r="J176" s="13" t="n">
        <x:f>D176*I176*H176</x:f>
        <x:v>0.0663987975</x:v>
      </x:c>
      <x:c r="K176" s="13" t="n">
        <x:f>E176*I176*H176</x:f>
        <x:v>0.0666325275</x:v>
      </x:c>
      <x:c r="L176" s="1" t="str">
        <x:f>TEXT(A176,"mmm yyyy")</x:f>
        <x:v>May 2026</x:v>
      </x:c>
    </x:row>
    <x:row r="177" ht="21" customHeight="1">
      <x:c r="A177" s="10" t="n">
        <x:v>46152</x:v>
      </x:c>
      <x:c r="B177" s="1" t="n">
        <x:v>4.5</x:v>
      </x:c>
      <x:c r="C177" s="1" t="n">
        <x:v>6</x:v>
      </x:c>
      <x:c r="D177" s="12" t="n">
        <x:v>0.26916666666666667</x:v>
      </x:c>
      <x:c r="E177" s="12" t="n">
        <x:v>0.27116666666666667</x:v>
      </x:c>
      <x:c r="F177" s="12" t="n">
        <x:v>0</x:v>
      </x:c>
      <x:c r="G177" s="12" t="n">
        <x:v>0</x:v>
      </x:c>
      <x:c r="H177" s="1" t="n">
        <x:f>'Historical prices'!E177</x:f>
        <x:v>1.05</x:v>
      </x:c>
      <x:c r="I177" s="6" t="n">
        <x:f>'Historical prices'!D177</x:f>
        <x:v>0.2226</x:v>
      </x:c>
      <x:c r="J177" s="13" t="n">
        <x:f>D177*I177*H177</x:f>
        <x:v>0.062912325</x:v>
      </x:c>
      <x:c r="K177" s="13" t="n">
        <x:f>E177*I177*H177</x:f>
        <x:v>0.063379785</x:v>
      </x:c>
      <x:c r="L177" s="1" t="str">
        <x:f>TEXT(A177,"mmm yyyy")</x:f>
        <x:v>May 2026</x:v>
      </x:c>
    </x:row>
    <x:row r="178" ht="21" customHeight="1">
      <x:c r="A178" s="10" t="n">
        <x:v>46152</x:v>
      </x:c>
      <x:c r="B178" s="1" t="n">
        <x:v>5</x:v>
      </x:c>
      <x:c r="C178" s="1" t="n">
        <x:v>6</x:v>
      </x:c>
      <x:c r="D178" s="12" t="n">
        <x:v>0.25083333333333335</x:v>
      </x:c>
      <x:c r="E178" s="12" t="n">
        <x:v>0.24983333333333335</x:v>
      </x:c>
      <x:c r="F178" s="12" t="n">
        <x:v>0</x:v>
      </x:c>
      <x:c r="G178" s="12" t="n">
        <x:v>0</x:v>
      </x:c>
      <x:c r="H178" s="1" t="n">
        <x:f>'Historical prices'!E178</x:f>
        <x:v>1.05</x:v>
      </x:c>
      <x:c r="I178" s="6" t="n">
        <x:f>'Historical prices'!D178</x:f>
        <x:v>0.2226</x:v>
      </x:c>
      <x:c r="J178" s="13" t="n">
        <x:f>D178*I178*H178</x:f>
        <x:v>0.058627275000000006</x:v>
      </x:c>
      <x:c r="K178" s="13" t="n">
        <x:f>E178*I178*H178</x:f>
        <x:v>0.058393545000000005</x:v>
      </x:c>
      <x:c r="L178" s="1" t="str">
        <x:f>TEXT(A178,"mmm yyyy")</x:f>
        <x:v>May 2026</x:v>
      </x:c>
    </x:row>
    <x:row r="179" ht="21" customHeight="1">
      <x:c r="A179" s="10" t="n">
        <x:v>46152</x:v>
      </x:c>
      <x:c r="B179" s="1" t="n">
        <x:v>5.5</x:v>
      </x:c>
      <x:c r="C179" s="1" t="n">
        <x:v>6</x:v>
      </x:c>
      <x:c r="D179" s="12" t="n">
        <x:v>0.3358333333333334</x:v>
      </x:c>
      <x:c r="E179" s="12" t="n">
        <x:v>0.3368333333333334</x:v>
      </x:c>
      <x:c r="F179" s="12" t="n">
        <x:v>0</x:v>
      </x:c>
      <x:c r="G179" s="12" t="n">
        <x:v>0</x:v>
      </x:c>
      <x:c r="H179" s="1" t="n">
        <x:f>'Historical prices'!E179</x:f>
        <x:v>1.05</x:v>
      </x:c>
      <x:c r="I179" s="6" t="n">
        <x:f>'Historical prices'!D179</x:f>
        <x:v>0.2226</x:v>
      </x:c>
      <x:c r="J179" s="13" t="n">
        <x:f>D179*I179*H179</x:f>
        <x:v>0.078494325</x:v>
      </x:c>
      <x:c r="K179" s="13" t="n">
        <x:f>E179*I179*H179</x:f>
        <x:v>0.078728055</x:v>
      </x:c>
      <x:c r="L179" s="1" t="str">
        <x:f>TEXT(A179,"mmm yyyy")</x:f>
        <x:v>May 2026</x:v>
      </x:c>
    </x:row>
    <x:row r="180" ht="21" customHeight="1">
      <x:c r="A180" s="10" t="n">
        <x:v>46152</x:v>
      </x:c>
      <x:c r="B180" s="1" t="n">
        <x:v>6</x:v>
      </x:c>
      <x:c r="C180" s="1" t="n">
        <x:v>6</x:v>
      </x:c>
      <x:c r="D180" s="12" t="n">
        <x:v>0.3545833333333333</x:v>
      </x:c>
      <x:c r="E180" s="12" t="n">
        <x:v>0.3555833333333333</x:v>
      </x:c>
      <x:c r="F180" s="12" t="n">
        <x:v>0</x:v>
      </x:c>
      <x:c r="G180" s="12" t="n">
        <x:v>0</x:v>
      </x:c>
      <x:c r="H180" s="1" t="n">
        <x:f>'Historical prices'!E180</x:f>
        <x:v>1.05</x:v>
      </x:c>
      <x:c r="I180" s="6" t="n">
        <x:f>'Historical prices'!D180</x:f>
        <x:v>0.2226</x:v>
      </x:c>
      <x:c r="J180" s="13" t="n">
        <x:f>D180*I180*H180</x:f>
        <x:v>0.08287676249999999</x:v>
      </x:c>
      <x:c r="K180" s="13" t="n">
        <x:f>E180*I180*H180</x:f>
        <x:v>0.0831104925</x:v>
      </x:c>
      <x:c r="L180" s="1" t="str">
        <x:f>TEXT(A180,"mmm yyyy")</x:f>
        <x:v>May 2026</x:v>
      </x:c>
    </x:row>
    <x:row r="181" ht="21" customHeight="1">
      <x:c r="A181" s="10" t="n">
        <x:v>46152</x:v>
      </x:c>
      <x:c r="B181" s="1" t="n">
        <x:v>6.5</x:v>
      </x:c>
      <x:c r="C181" s="1" t="n">
        <x:v>6</x:v>
      </x:c>
      <x:c r="D181" s="12" t="n">
        <x:v>0.5425</x:v>
      </x:c>
      <x:c r="E181" s="12" t="n">
        <x:v>0.5435000000000001</x:v>
      </x:c>
      <x:c r="F181" s="12" t="n">
        <x:v>0</x:v>
      </x:c>
      <x:c r="G181" s="12" t="n">
        <x:v>0</x:v>
      </x:c>
      <x:c r="H181" s="1" t="n">
        <x:f>'Historical prices'!E181</x:f>
        <x:v>1.05</x:v>
      </x:c>
      <x:c r="I181" s="6" t="n">
        <x:f>'Historical prices'!D181</x:f>
        <x:v>0.2226</x:v>
      </x:c>
      <x:c r="J181" s="13" t="n">
        <x:f>D181*I181*H181</x:f>
        <x:v>0.126798525</x:v>
      </x:c>
      <x:c r="K181" s="13" t="n">
        <x:f>E181*I181*H181</x:f>
        <x:v>0.127032255</x:v>
      </x:c>
      <x:c r="L181" s="1" t="str">
        <x:f>TEXT(A181,"mmm yyyy")</x:f>
        <x:v>May 2026</x:v>
      </x:c>
    </x:row>
    <x:row r="182" ht="21" customHeight="1">
      <x:c r="A182" s="10" t="n">
        <x:v>46152</x:v>
      </x:c>
      <x:c r="B182" s="1" t="n">
        <x:v>7</x:v>
      </x:c>
      <x:c r="C182" s="1" t="n">
        <x:v>6</x:v>
      </x:c>
      <x:c r="D182" s="12" t="n">
        <x:v>0.7549166666666667</x:v>
      </x:c>
      <x:c r="E182" s="12" t="n">
        <x:v>0.7559166666666667</x:v>
      </x:c>
      <x:c r="F182" s="12" t="n">
        <x:v>0</x:v>
      </x:c>
      <x:c r="G182" s="12" t="n">
        <x:v>0</x:v>
      </x:c>
      <x:c r="H182" s="1" t="n">
        <x:f>'Historical prices'!E182</x:f>
        <x:v>1.05</x:v>
      </x:c>
      <x:c r="I182" s="6" t="n">
        <x:f>'Historical prices'!D182</x:f>
        <x:v>0.2226</x:v>
      </x:c>
      <x:c r="J182" s="13" t="n">
        <x:f>D182*I182*H182</x:f>
        <x:v>0.17644667249999998</x:v>
      </x:c>
      <x:c r="K182" s="13" t="n">
        <x:f>E182*I182*H182</x:f>
        <x:v>0.1766804025</x:v>
      </x:c>
      <x:c r="L182" s="1" t="str">
        <x:f>TEXT(A182,"mmm yyyy")</x:f>
        <x:v>May 2026</x:v>
      </x:c>
    </x:row>
    <x:row r="183" ht="21" customHeight="1">
      <x:c r="A183" s="10" t="n">
        <x:v>46152</x:v>
      </x:c>
      <x:c r="B183" s="1" t="n">
        <x:v>7.5</x:v>
      </x:c>
      <x:c r="C183" s="1" t="n">
        <x:v>6</x:v>
      </x:c>
      <x:c r="D183" s="12" t="n">
        <x:v>0.5711666666666667</x:v>
      </x:c>
      <x:c r="E183" s="12" t="n">
        <x:v>0.5701666666666667</x:v>
      </x:c>
      <x:c r="F183" s="12" t="n">
        <x:v>0</x:v>
      </x:c>
      <x:c r="G183" s="12" t="n">
        <x:v>0</x:v>
      </x:c>
      <x:c r="H183" s="1" t="n">
        <x:f>'Historical prices'!E183</x:f>
        <x:v>1.05</x:v>
      </x:c>
      <x:c r="I183" s="6" t="n">
        <x:f>'Historical prices'!D183</x:f>
        <x:v>0.2226</x:v>
      </x:c>
      <x:c r="J183" s="13" t="n">
        <x:f>D183*I183*H183</x:f>
        <x:v>0.133498785</x:v>
      </x:c>
      <x:c r="K183" s="13" t="n">
        <x:f>E183*I183*H183</x:f>
        <x:v>0.13326505500000002</x:v>
      </x:c>
      <x:c r="L183" s="1" t="str">
        <x:f>TEXT(A183,"mmm yyyy")</x:f>
        <x:v>May 2026</x:v>
      </x:c>
    </x:row>
    <x:row r="184" ht="21" customHeight="1">
      <x:c r="A184" s="10" t="n">
        <x:v>46152</x:v>
      </x:c>
      <x:c r="B184" s="1" t="n">
        <x:v>8</x:v>
      </x:c>
      <x:c r="C184" s="1" t="n">
        <x:v>6</x:v>
      </x:c>
      <x:c r="D184" s="12" t="n">
        <x:v>0.46716666666666673</x:v>
      </x:c>
      <x:c r="E184" s="12" t="n">
        <x:v>0.46816666666666673</x:v>
      </x:c>
      <x:c r="F184" s="12" t="n">
        <x:v>0</x:v>
      </x:c>
      <x:c r="G184" s="12" t="n">
        <x:v>0</x:v>
      </x:c>
      <x:c r="H184" s="1" t="n">
        <x:f>'Historical prices'!E184</x:f>
        <x:v>1.05</x:v>
      </x:c>
      <x:c r="I184" s="6" t="n">
        <x:f>'Historical prices'!D184</x:f>
        <x:v>0.2226</x:v>
      </x:c>
      <x:c r="J184" s="13" t="n">
        <x:f>D184*I184*H184</x:f>
        <x:v>0.10919086500000001</x:v>
      </x:c>
      <x:c r="K184" s="13" t="n">
        <x:f>E184*I184*H184</x:f>
        <x:v>0.10942459500000001</x:v>
      </x:c>
      <x:c r="L184" s="1" t="str">
        <x:f>TEXT(A184,"mmm yyyy")</x:f>
        <x:v>May 2026</x:v>
      </x:c>
    </x:row>
    <x:row r="185" ht="21" customHeight="1">
      <x:c r="A185" s="10" t="n">
        <x:v>46152</x:v>
      </x:c>
      <x:c r="B185" s="1" t="n">
        <x:v>8.5</x:v>
      </x:c>
      <x:c r="C185" s="1" t="n">
        <x:v>6</x:v>
      </x:c>
      <x:c r="D185" s="12" t="n">
        <x:v>1.2791666666666666</x:v>
      </x:c>
      <x:c r="E185" s="12" t="n">
        <x:v>1.2811666666666666</x:v>
      </x:c>
      <x:c r="F185" s="12" t="n">
        <x:v>0</x:v>
      </x:c>
      <x:c r="G185" s="12" t="n">
        <x:v>0</x:v>
      </x:c>
      <x:c r="H185" s="1" t="n">
        <x:f>'Historical prices'!E185</x:f>
        <x:v>1.05</x:v>
      </x:c>
      <x:c r="I185" s="6" t="n">
        <x:f>'Historical prices'!D185</x:f>
        <x:v>0.2226</x:v>
      </x:c>
      <x:c r="J185" s="13" t="n">
        <x:f>D185*I185*H185</x:f>
        <x:v>0.29897962499999997</x:v>
      </x:c>
      <x:c r="K185" s="13" t="n">
        <x:f>E185*I185*H185</x:f>
        <x:v>0.299447085</x:v>
      </x:c>
      <x:c r="L185" s="1" t="str">
        <x:f>TEXT(A185,"mmm yyyy")</x:f>
        <x:v>May 2026</x:v>
      </x:c>
    </x:row>
    <x:row r="186" ht="21" customHeight="1">
      <x:c r="A186" s="10" t="n">
        <x:v>46152</x:v>
      </x:c>
      <x:c r="B186" s="1" t="n">
        <x:v>9</x:v>
      </x:c>
      <x:c r="C186" s="1" t="n">
        <x:v>6</x:v>
      </x:c>
      <x:c r="D186" s="12" t="n">
        <x:v>0.4301666666666667</x:v>
      </x:c>
      <x:c r="E186" s="12" t="n">
        <x:v>0.4281666666666667</x:v>
      </x:c>
      <x:c r="F186" s="12" t="n">
        <x:v>0</x:v>
      </x:c>
      <x:c r="G186" s="12" t="n">
        <x:v>0</x:v>
      </x:c>
      <x:c r="H186" s="1" t="n">
        <x:f>'Historical prices'!E186</x:f>
        <x:v>1.05</x:v>
      </x:c>
      <x:c r="I186" s="6" t="n">
        <x:f>'Historical prices'!D186</x:f>
        <x:v>0.2226</x:v>
      </x:c>
      <x:c r="J186" s="13" t="n">
        <x:f>D186*I186*H186</x:f>
        <x:v>0.10054285500000001</x:v>
      </x:c>
      <x:c r="K186" s="13" t="n">
        <x:f>E186*I186*H186</x:f>
        <x:v>0.10007539500000001</x:v>
      </x:c>
      <x:c r="L186" s="1" t="str">
        <x:f>TEXT(A186,"mmm yyyy")</x:f>
        <x:v>May 2026</x:v>
      </x:c>
    </x:row>
    <x:row r="187" ht="21" customHeight="1">
      <x:c r="A187" s="10" t="n">
        <x:v>46152</x:v>
      </x:c>
      <x:c r="B187" s="1" t="n">
        <x:v>9.5</x:v>
      </x:c>
      <x:c r="C187" s="1" t="n">
        <x:v>6</x:v>
      </x:c>
      <x:c r="D187" s="12" t="n">
        <x:v>1.1914166666666666</x:v>
      </x:c>
      <x:c r="E187" s="12" t="n">
        <x:v>1.1934166666666666</x:v>
      </x:c>
      <x:c r="F187" s="12" t="n">
        <x:v>0</x:v>
      </x:c>
      <x:c r="G187" s="12" t="n">
        <x:v>0</x:v>
      </x:c>
      <x:c r="H187" s="1" t="n">
        <x:f>'Historical prices'!E187</x:f>
        <x:v>1.05</x:v>
      </x:c>
      <x:c r="I187" s="6" t="n">
        <x:f>'Historical prices'!D187</x:f>
        <x:v>0.2226</x:v>
      </x:c>
      <x:c r="J187" s="13" t="n">
        <x:f>D187*I187*H187</x:f>
        <x:v>0.27846981749999994</x:v>
      </x:c>
      <x:c r="K187" s="13" t="n">
        <x:f>E187*I187*H187</x:f>
        <x:v>0.2789372775</x:v>
      </x:c>
      <x:c r="L187" s="1" t="str">
        <x:f>TEXT(A187,"mmm yyyy")</x:f>
        <x:v>May 2026</x:v>
      </x:c>
    </x:row>
    <x:row r="188" ht="21" customHeight="1">
      <x:c r="A188" s="10" t="n">
        <x:v>46152</x:v>
      </x:c>
      <x:c r="B188" s="1" t="n">
        <x:v>10</x:v>
      </x:c>
      <x:c r="C188" s="1" t="n">
        <x:v>6</x:v>
      </x:c>
      <x:c r="D188" s="12" t="n">
        <x:v>0.7188333333333333</x:v>
      </x:c>
      <x:c r="E188" s="12" t="n">
        <x:v>0.7188333333333333</x:v>
      </x:c>
      <x:c r="F188" s="12" t="n">
        <x:v>0</x:v>
      </x:c>
      <x:c r="G188" s="12" t="n">
        <x:v>0</x:v>
      </x:c>
      <x:c r="H188" s="1" t="n">
        <x:f>'Historical prices'!E188</x:f>
        <x:v>1.05</x:v>
      </x:c>
      <x:c r="I188" s="6" t="n">
        <x:f>'Historical prices'!D188</x:f>
        <x:v>0.2226</x:v>
      </x:c>
      <x:c r="J188" s="13" t="n">
        <x:f>D188*I188*H188</x:f>
        <x:v>0.168012915</x:v>
      </x:c>
      <x:c r="K188" s="13" t="n">
        <x:f>E188*I188*H188</x:f>
        <x:v>0.168012915</x:v>
      </x:c>
      <x:c r="L188" s="1" t="str">
        <x:f>TEXT(A188,"mmm yyyy")</x:f>
        <x:v>May 2026</x:v>
      </x:c>
    </x:row>
    <x:row r="189" ht="21" customHeight="1">
      <x:c r="A189" s="10" t="n">
        <x:v>46152</x:v>
      </x:c>
      <x:c r="B189" s="1" t="n">
        <x:v>10.5</x:v>
      </x:c>
      <x:c r="C189" s="1" t="n">
        <x:v>6</x:v>
      </x:c>
      <x:c r="D189" s="12" t="n">
        <x:v>1.0811666666666666</x:v>
      </x:c>
      <x:c r="E189" s="12" t="n">
        <x:v>1.0811666666666666</x:v>
      </x:c>
      <x:c r="F189" s="12" t="n">
        <x:v>0</x:v>
      </x:c>
      <x:c r="G189" s="12" t="n">
        <x:v>0</x:v>
      </x:c>
      <x:c r="H189" s="1" t="n">
        <x:f>'Historical prices'!E189</x:f>
        <x:v>1.05</x:v>
      </x:c>
      <x:c r="I189" s="6" t="n">
        <x:f>'Historical prices'!D189</x:f>
        <x:v>0.2226</x:v>
      </x:c>
      <x:c r="J189" s="13" t="n">
        <x:f>D189*I189*H189</x:f>
        <x:v>0.252701085</x:v>
      </x:c>
      <x:c r="K189" s="13" t="n">
        <x:f>E189*I189*H189</x:f>
        <x:v>0.252701085</x:v>
      </x:c>
      <x:c r="L189" s="1" t="str">
        <x:f>TEXT(A189,"mmm yyyy")</x:f>
        <x:v>May 2026</x:v>
      </x:c>
    </x:row>
    <x:row r="190" ht="21" customHeight="1">
      <x:c r="A190" s="10" t="n">
        <x:v>46152</x:v>
      </x:c>
      <x:c r="B190" s="1" t="n">
        <x:v>11</x:v>
      </x:c>
      <x:c r="C190" s="1" t="n">
        <x:v>6</x:v>
      </x:c>
      <x:c r="D190" s="12" t="n">
        <x:v>1.1395833333333334</x:v>
      </x:c>
      <x:c r="E190" s="12" t="n">
        <x:v>1.1395833333333334</x:v>
      </x:c>
      <x:c r="F190" s="12" t="n">
        <x:v>0</x:v>
      </x:c>
      <x:c r="G190" s="12" t="n">
        <x:v>0</x:v>
      </x:c>
      <x:c r="H190" s="1" t="n">
        <x:f>'Historical prices'!E190</x:f>
        <x:v>1.05</x:v>
      </x:c>
      <x:c r="I190" s="6" t="n">
        <x:f>'Historical prices'!D190</x:f>
        <x:v>0.2226</x:v>
      </x:c>
      <x:c r="J190" s="13" t="n">
        <x:f>D190*I190*H190</x:f>
        <x:v>0.26635481250000004</x:v>
      </x:c>
      <x:c r="K190" s="13" t="n">
        <x:f>E190*I190*H190</x:f>
        <x:v>0.26635481250000004</x:v>
      </x:c>
      <x:c r="L190" s="1" t="str">
        <x:f>TEXT(A190,"mmm yyyy")</x:f>
        <x:v>May 2026</x:v>
      </x:c>
    </x:row>
    <x:row r="191" ht="21" customHeight="1">
      <x:c r="A191" s="10" t="n">
        <x:v>46152</x:v>
      </x:c>
      <x:c r="B191" s="1" t="n">
        <x:v>11.5</x:v>
      </x:c>
      <x:c r="C191" s="1" t="n">
        <x:v>6</x:v>
      </x:c>
      <x:c r="D191" s="12" t="n">
        <x:v>0.47175</x:v>
      </x:c>
      <x:c r="E191" s="12" t="n">
        <x:v>0.47275</x:v>
      </x:c>
      <x:c r="F191" s="12" t="n">
        <x:v>0</x:v>
      </x:c>
      <x:c r="G191" s="12" t="n">
        <x:v>0</x:v>
      </x:c>
      <x:c r="H191" s="1" t="n">
        <x:f>'Historical prices'!E191</x:f>
        <x:v>1.05</x:v>
      </x:c>
      <x:c r="I191" s="6" t="n">
        <x:f>'Historical prices'!D191</x:f>
        <x:v>0.2226</x:v>
      </x:c>
      <x:c r="J191" s="13" t="n">
        <x:f>D191*I191*H191</x:f>
        <x:v>0.1102621275</x:v>
      </x:c>
      <x:c r="K191" s="13" t="n">
        <x:f>E191*I191*H191</x:f>
        <x:v>0.1104958575</x:v>
      </x:c>
      <x:c r="L191" s="1" t="str">
        <x:f>TEXT(A191,"mmm yyyy")</x:f>
        <x:v>May 2026</x:v>
      </x:c>
    </x:row>
    <x:row r="192" ht="21" customHeight="1">
      <x:c r="A192" s="10" t="n">
        <x:v>46152</x:v>
      </x:c>
      <x:c r="B192" s="1" t="n">
        <x:v>12</x:v>
      </x:c>
      <x:c r="C192" s="1" t="n">
        <x:v>6</x:v>
      </x:c>
      <x:c r="D192" s="12" t="n">
        <x:v>0.4460833333333334</x:v>
      </x:c>
      <x:c r="E192" s="12" t="n">
        <x:v>0.4470833333333334</x:v>
      </x:c>
      <x:c r="F192" s="12" t="n">
        <x:v>0</x:v>
      </x:c>
      <x:c r="G192" s="12" t="n">
        <x:v>0</x:v>
      </x:c>
      <x:c r="H192" s="1" t="n">
        <x:f>'Historical prices'!E192</x:f>
        <x:v>1.05</x:v>
      </x:c>
      <x:c r="I192" s="6" t="n">
        <x:f>'Historical prices'!D192</x:f>
        <x:v>0.2226</x:v>
      </x:c>
      <x:c r="J192" s="13" t="n">
        <x:f>D192*I192*H192</x:f>
        <x:v>0.1042630575</x:v>
      </x:c>
      <x:c r="K192" s="13" t="n">
        <x:f>E192*I192*H192</x:f>
        <x:v>0.10449678750000001</x:v>
      </x:c>
      <x:c r="L192" s="1" t="str">
        <x:f>TEXT(A192,"mmm yyyy")</x:f>
        <x:v>May 2026</x:v>
      </x:c>
    </x:row>
    <x:row r="193" ht="21" customHeight="1">
      <x:c r="A193" s="10" t="n">
        <x:v>46152</x:v>
      </x:c>
      <x:c r="B193" s="1" t="n">
        <x:v>12.5</x:v>
      </x:c>
      <x:c r="C193" s="1" t="n">
        <x:v>6</x:v>
      </x:c>
      <x:c r="D193" s="12" t="n">
        <x:v>0.36933333333333335</x:v>
      </x:c>
      <x:c r="E193" s="12" t="n">
        <x:v>0.36833333333333335</x:v>
      </x:c>
      <x:c r="F193" s="12" t="n">
        <x:v>0</x:v>
      </x:c>
      <x:c r="G193" s="12" t="n">
        <x:v>0</x:v>
      </x:c>
      <x:c r="H193" s="1" t="n">
        <x:f>'Historical prices'!E193</x:f>
        <x:v>1.05</x:v>
      </x:c>
      <x:c r="I193" s="6" t="n">
        <x:f>'Historical prices'!D193</x:f>
        <x:v>0.2226</x:v>
      </x:c>
      <x:c r="J193" s="13" t="n">
        <x:f>D193*I193*H193</x:f>
        <x:v>0.08632428</x:v>
      </x:c>
      <x:c r="K193" s="13" t="n">
        <x:f>E193*I193*H193</x:f>
        <x:v>0.08609055</x:v>
      </x:c>
      <x:c r="L193" s="1" t="str">
        <x:f>TEXT(A193,"mmm yyyy")</x:f>
        <x:v>May 2026</x:v>
      </x:c>
    </x:row>
    <x:row r="194" ht="21" customHeight="1">
      <x:c r="A194" s="10" t="n">
        <x:v>46152</x:v>
      </x:c>
      <x:c r="B194" s="1" t="n">
        <x:v>13</x:v>
      </x:c>
      <x:c r="C194" s="1" t="n">
        <x:v>6</x:v>
      </x:c>
      <x:c r="D194" s="12" t="n">
        <x:v>1.2574166666666668</x:v>
      </x:c>
      <x:c r="E194" s="12" t="n">
        <x:v>1.2584166666666667</x:v>
      </x:c>
      <x:c r="F194" s="12" t="n">
        <x:v>0</x:v>
      </x:c>
      <x:c r="G194" s="12" t="n">
        <x:v>0</x:v>
      </x:c>
      <x:c r="H194" s="1" t="n">
        <x:f>'Historical prices'!E194</x:f>
        <x:v>1.05</x:v>
      </x:c>
      <x:c r="I194" s="6" t="n">
        <x:f>'Historical prices'!D194</x:f>
        <x:v>0.2226</x:v>
      </x:c>
      <x:c r="J194" s="13" t="n">
        <x:f>D194*I194*H194</x:f>
        <x:v>0.29389599750000006</x:v>
      </x:c>
      <x:c r="K194" s="13" t="n">
        <x:f>E194*I194*H194</x:f>
        <x:v>0.2941297275</x:v>
      </x:c>
      <x:c r="L194" s="1" t="str">
        <x:f>TEXT(A194,"mmm yyyy")</x:f>
        <x:v>May 2026</x:v>
      </x:c>
    </x:row>
    <x:row r="195" ht="21" customHeight="1">
      <x:c r="A195" s="10" t="n">
        <x:v>46152</x:v>
      </x:c>
      <x:c r="B195" s="1" t="n">
        <x:v>13.5</x:v>
      </x:c>
      <x:c r="C195" s="1" t="n">
        <x:v>6</x:v>
      </x:c>
      <x:c r="D195" s="12" t="n">
        <x:v>0.41533333333333333</x:v>
      </x:c>
      <x:c r="E195" s="12" t="n">
        <x:v>0.41533333333333333</x:v>
      </x:c>
      <x:c r="F195" s="12" t="n">
        <x:v>0</x:v>
      </x:c>
      <x:c r="G195" s="12" t="n">
        <x:v>0</x:v>
      </x:c>
      <x:c r="H195" s="1" t="n">
        <x:f>'Historical prices'!E195</x:f>
        <x:v>1.05</x:v>
      </x:c>
      <x:c r="I195" s="6" t="n">
        <x:f>'Historical prices'!D195</x:f>
        <x:v>0.2226</x:v>
      </x:c>
      <x:c r="J195" s="13" t="n">
        <x:f>D195*I195*H195</x:f>
        <x:v>0.09707586</x:v>
      </x:c>
      <x:c r="K195" s="13" t="n">
        <x:f>E195*I195*H195</x:f>
        <x:v>0.09707586</x:v>
      </x:c>
      <x:c r="L195" s="1" t="str">
        <x:f>TEXT(A195,"mmm yyyy")</x:f>
        <x:v>May 2026</x:v>
      </x:c>
    </x:row>
    <x:row r="196" ht="21" customHeight="1">
      <x:c r="A196" s="10" t="n">
        <x:v>46152</x:v>
      </x:c>
      <x:c r="B196" s="1" t="n">
        <x:v>14</x:v>
      </x:c>
      <x:c r="C196" s="1" t="n">
        <x:v>6</x:v>
      </x:c>
      <x:c r="D196" s="12" t="n">
        <x:v>0.5228333333333333</x:v>
      </x:c>
      <x:c r="E196" s="12" t="n">
        <x:v>0.5238333333333333</x:v>
      </x:c>
      <x:c r="F196" s="12" t="n">
        <x:v>0</x:v>
      </x:c>
      <x:c r="G196" s="12" t="n">
        <x:v>0</x:v>
      </x:c>
      <x:c r="H196" s="1" t="n">
        <x:f>'Historical prices'!E196</x:f>
        <x:v>1.05</x:v>
      </x:c>
      <x:c r="I196" s="6" t="n">
        <x:f>'Historical prices'!D196</x:f>
        <x:v>0.2226</x:v>
      </x:c>
      <x:c r="J196" s="13" t="n">
        <x:f>D196*I196*H196</x:f>
        <x:v>0.12220183499999998</x:v>
      </x:c>
      <x:c r="K196" s="13" t="n">
        <x:f>E196*I196*H196</x:f>
        <x:v>0.12243556499999998</x:v>
      </x:c>
      <x:c r="L196" s="1" t="str">
        <x:f>TEXT(A196,"mmm yyyy")</x:f>
        <x:v>May 2026</x:v>
      </x:c>
    </x:row>
    <x:row r="197" ht="21" customHeight="1">
      <x:c r="A197" s="10" t="n">
        <x:v>46152</x:v>
      </x:c>
      <x:c r="B197" s="1" t="n">
        <x:v>14.5</x:v>
      </x:c>
      <x:c r="C197" s="1" t="n">
        <x:v>6</x:v>
      </x:c>
      <x:c r="D197" s="12" t="n">
        <x:v>0.5565</x:v>
      </x:c>
      <x:c r="E197" s="12" t="n">
        <x:v>0.5565</x:v>
      </x:c>
      <x:c r="F197" s="12" t="n">
        <x:v>0</x:v>
      </x:c>
      <x:c r="G197" s="12" t="n">
        <x:v>0</x:v>
      </x:c>
      <x:c r="H197" s="1" t="n">
        <x:f>'Historical prices'!E197</x:f>
        <x:v>1.05</x:v>
      </x:c>
      <x:c r="I197" s="6" t="n">
        <x:f>'Historical prices'!D197</x:f>
        <x:v>0.2226</x:v>
      </x:c>
      <x:c r="J197" s="13" t="n">
        <x:f>D197*I197*H197</x:f>
        <x:v>0.13007074500000002</x:v>
      </x:c>
      <x:c r="K197" s="13" t="n">
        <x:f>E197*I197*H197</x:f>
        <x:v>0.13007074500000002</x:v>
      </x:c>
      <x:c r="L197" s="1" t="str">
        <x:f>TEXT(A197,"mmm yyyy")</x:f>
        <x:v>May 2026</x:v>
      </x:c>
    </x:row>
    <x:row r="198" ht="21" customHeight="1">
      <x:c r="A198" s="10" t="n">
        <x:v>46152</x:v>
      </x:c>
      <x:c r="B198" s="1" t="n">
        <x:v>15</x:v>
      </x:c>
      <x:c r="C198" s="1" t="n">
        <x:v>6</x:v>
      </x:c>
      <x:c r="D198" s="12" t="n">
        <x:v>0.40041666666666664</x:v>
      </x:c>
      <x:c r="E198" s="12" t="n">
        <x:v>0.40141666666666664</x:v>
      </x:c>
      <x:c r="F198" s="12" t="n">
        <x:v>0</x:v>
      </x:c>
      <x:c r="G198" s="12" t="n">
        <x:v>0</x:v>
      </x:c>
      <x:c r="H198" s="1" t="n">
        <x:f>'Historical prices'!E198</x:f>
        <x:v>1.05</x:v>
      </x:c>
      <x:c r="I198" s="6" t="n">
        <x:f>'Historical prices'!D198</x:f>
        <x:v>0.2226</x:v>
      </x:c>
      <x:c r="J198" s="13" t="n">
        <x:f>D198*I198*H198</x:f>
        <x:v>0.0935893875</x:v>
      </x:c>
      <x:c r="K198" s="13" t="n">
        <x:f>E198*I198*H198</x:f>
        <x:v>0.09382311749999998</x:v>
      </x:c>
      <x:c r="L198" s="1" t="str">
        <x:f>TEXT(A198,"mmm yyyy")</x:f>
        <x:v>May 2026</x:v>
      </x:c>
    </x:row>
    <x:row r="199" ht="21" customHeight="1">
      <x:c r="A199" s="10" t="n">
        <x:v>46152</x:v>
      </x:c>
      <x:c r="B199" s="1" t="n">
        <x:v>15.5</x:v>
      </x:c>
      <x:c r="C199" s="1" t="n">
        <x:v>6</x:v>
      </x:c>
      <x:c r="D199" s="12" t="n">
        <x:v>0.3965833333333334</x:v>
      </x:c>
      <x:c r="E199" s="12" t="n">
        <x:v>0.3965833333333334</x:v>
      </x:c>
      <x:c r="F199" s="12" t="n">
        <x:v>0</x:v>
      </x:c>
      <x:c r="G199" s="12" t="n">
        <x:v>0</x:v>
      </x:c>
      <x:c r="H199" s="1" t="n">
        <x:f>'Historical prices'!E199</x:f>
        <x:v>1.05</x:v>
      </x:c>
      <x:c r="I199" s="6" t="n">
        <x:f>'Historical prices'!D199</x:f>
        <x:v>0.2226</x:v>
      </x:c>
      <x:c r="J199" s="13" t="n">
        <x:f>D199*I199*H199</x:f>
        <x:v>0.09269342250000001</x:v>
      </x:c>
      <x:c r="K199" s="13" t="n">
        <x:f>E199*I199*H199</x:f>
        <x:v>0.09269342250000001</x:v>
      </x:c>
      <x:c r="L199" s="1" t="str">
        <x:f>TEXT(A199,"mmm yyyy")</x:f>
        <x:v>May 2026</x:v>
      </x:c>
    </x:row>
    <x:row r="200" ht="21" customHeight="1">
      <x:c r="A200" s="10" t="n">
        <x:v>46152</x:v>
      </x:c>
      <x:c r="B200" s="1" t="n">
        <x:v>16</x:v>
      </x:c>
      <x:c r="C200" s="1" t="n">
        <x:v>6</x:v>
      </x:c>
      <x:c r="D200" s="12" t="n">
        <x:v>0.9275833333333333</x:v>
      </x:c>
      <x:c r="E200" s="12" t="n">
        <x:v>0.9275833333333333</x:v>
      </x:c>
      <x:c r="F200" s="12" t="n">
        <x:v>0</x:v>
      </x:c>
      <x:c r="G200" s="12" t="n">
        <x:v>0</x:v>
      </x:c>
      <x:c r="H200" s="1" t="n">
        <x:f>'Historical prices'!E200</x:f>
        <x:v>1.05</x:v>
      </x:c>
      <x:c r="I200" s="6" t="n">
        <x:f>'Historical prices'!D200</x:f>
        <x:v>0.2226</x:v>
      </x:c>
      <x:c r="J200" s="13" t="n">
        <x:f>D200*I200*H200</x:f>
        <x:v>0.2168040525</x:v>
      </x:c>
      <x:c r="K200" s="13" t="n">
        <x:f>E200*I200*H200</x:f>
        <x:v>0.2168040525</x:v>
      </x:c>
      <x:c r="L200" s="1" t="str">
        <x:f>TEXT(A200,"mmm yyyy")</x:f>
        <x:v>May 2026</x:v>
      </x:c>
    </x:row>
    <x:row r="201" ht="21" customHeight="1">
      <x:c r="A201" s="10" t="n">
        <x:v>46152</x:v>
      </x:c>
      <x:c r="B201" s="1" t="n">
        <x:v>16.5</x:v>
      </x:c>
      <x:c r="C201" s="1" t="n">
        <x:v>6</x:v>
      </x:c>
      <x:c r="D201" s="12" t="n">
        <x:v>0.5421666666666667</x:v>
      </x:c>
      <x:c r="E201" s="12" t="n">
        <x:v>0.5431666666666667</x:v>
      </x:c>
      <x:c r="F201" s="12" t="n">
        <x:v>0</x:v>
      </x:c>
      <x:c r="G201" s="12" t="n">
        <x:v>0</x:v>
      </x:c>
      <x:c r="H201" s="1" t="n">
        <x:f>'Historical prices'!E201</x:f>
        <x:v>1.05</x:v>
      </x:c>
      <x:c r="I201" s="6" t="n">
        <x:f>'Historical prices'!D201</x:f>
        <x:v>0.2226</x:v>
      </x:c>
      <x:c r="J201" s="13" t="n">
        <x:f>D201*I201*H201</x:f>
        <x:v>0.126720615</x:v>
      </x:c>
      <x:c r="K201" s="13" t="n">
        <x:f>E201*I201*H201</x:f>
        <x:v>0.126954345</x:v>
      </x:c>
      <x:c r="L201" s="1" t="str">
        <x:f>TEXT(A201,"mmm yyyy")</x:f>
        <x:v>May 2026</x:v>
      </x:c>
    </x:row>
    <x:row r="202" ht="21" customHeight="1">
      <x:c r="A202" s="10" t="n">
        <x:v>46152</x:v>
      </x:c>
      <x:c r="B202" s="1" t="n">
        <x:v>17</x:v>
      </x:c>
      <x:c r="C202" s="1" t="n">
        <x:v>6</x:v>
      </x:c>
      <x:c r="D202" s="12" t="n">
        <x:v>0.3735833333333333</x:v>
      </x:c>
      <x:c r="E202" s="12" t="n">
        <x:v>0.3745833333333333</x:v>
      </x:c>
      <x:c r="F202" s="12" t="n">
        <x:v>0</x:v>
      </x:c>
      <x:c r="G202" s="12" t="n">
        <x:v>0</x:v>
      </x:c>
      <x:c r="H202" s="1" t="n">
        <x:f>'Historical prices'!E202</x:f>
        <x:v>1.05</x:v>
      </x:c>
      <x:c r="I202" s="6" t="n">
        <x:f>'Historical prices'!D202</x:f>
        <x:v>0.2226</x:v>
      </x:c>
      <x:c r="J202" s="13" t="n">
        <x:f>D202*I202*H202</x:f>
        <x:v>0.0873176325</x:v>
      </x:c>
      <x:c r="K202" s="13" t="n">
        <x:f>E202*I202*H202</x:f>
        <x:v>0.0875513625</x:v>
      </x:c>
      <x:c r="L202" s="1" t="str">
        <x:f>TEXT(A202,"mmm yyyy")</x:f>
        <x:v>May 2026</x:v>
      </x:c>
    </x:row>
    <x:row r="203" ht="21" customHeight="1">
      <x:c r="A203" s="10" t="n">
        <x:v>46152</x:v>
      </x:c>
      <x:c r="B203" s="1" t="n">
        <x:v>17.5</x:v>
      </x:c>
      <x:c r="C203" s="1" t="n">
        <x:v>6</x:v>
      </x:c>
      <x:c r="D203" s="12" t="n">
        <x:v>0.5036666666666667</x:v>
      </x:c>
      <x:c r="E203" s="12" t="n">
        <x:v>0.5036666666666667</x:v>
      </x:c>
      <x:c r="F203" s="12" t="n">
        <x:v>0</x:v>
      </x:c>
      <x:c r="G203" s="12" t="n">
        <x:v>0</x:v>
      </x:c>
      <x:c r="H203" s="1" t="n">
        <x:f>'Historical prices'!E203</x:f>
        <x:v>1.05</x:v>
      </x:c>
      <x:c r="I203" s="6" t="n">
        <x:f>'Historical prices'!D203</x:f>
        <x:v>0.2226</x:v>
      </x:c>
      <x:c r="J203" s="13" t="n">
        <x:f>D203*I203*H203</x:f>
        <x:v>0.11772201</x:v>
      </x:c>
      <x:c r="K203" s="13" t="n">
        <x:f>E203*I203*H203</x:f>
        <x:v>0.11772201</x:v>
      </x:c>
      <x:c r="L203" s="1" t="str">
        <x:f>TEXT(A203,"mmm yyyy")</x:f>
        <x:v>May 2026</x:v>
      </x:c>
    </x:row>
    <x:row r="204" ht="21" customHeight="1">
      <x:c r="A204" s="10" t="n">
        <x:v>46152</x:v>
      </x:c>
      <x:c r="B204" s="1" t="n">
        <x:v>18</x:v>
      </x:c>
      <x:c r="C204" s="1" t="n">
        <x:v>6</x:v>
      </x:c>
      <x:c r="D204" s="12" t="n">
        <x:v>0.49391666666666667</x:v>
      </x:c>
      <x:c r="E204" s="12" t="n">
        <x:v>0.49391666666666667</x:v>
      </x:c>
      <x:c r="F204" s="12" t="n">
        <x:v>0</x:v>
      </x:c>
      <x:c r="G204" s="12" t="n">
        <x:v>0</x:v>
      </x:c>
      <x:c r="H204" s="1" t="n">
        <x:f>'Historical prices'!E204</x:f>
        <x:v>1.05</x:v>
      </x:c>
      <x:c r="I204" s="6" t="n">
        <x:f>'Historical prices'!D204</x:f>
        <x:v>0.2226</x:v>
      </x:c>
      <x:c r="J204" s="13" t="n">
        <x:f>D204*I204*H204</x:f>
        <x:v>0.1154431425</x:v>
      </x:c>
      <x:c r="K204" s="13" t="n">
        <x:f>E204*I204*H204</x:f>
        <x:v>0.1154431425</x:v>
      </x:c>
      <x:c r="L204" s="1" t="str">
        <x:f>TEXT(A204,"mmm yyyy")</x:f>
        <x:v>May 2026</x:v>
      </x:c>
    </x:row>
    <x:row r="205" ht="21" customHeight="1">
      <x:c r="A205" s="10" t="n">
        <x:v>46152</x:v>
      </x:c>
      <x:c r="B205" s="1" t="n">
        <x:v>18.5</x:v>
      </x:c>
      <x:c r="C205" s="1" t="n">
        <x:v>6</x:v>
      </x:c>
      <x:c r="D205" s="12" t="n">
        <x:v>1.3312499999999998</x:v>
      </x:c>
      <x:c r="E205" s="12" t="n">
        <x:v>1.33125</x:v>
      </x:c>
      <x:c r="F205" s="12" t="n">
        <x:v>0</x:v>
      </x:c>
      <x:c r="G205" s="12" t="n">
        <x:v>0</x:v>
      </x:c>
      <x:c r="H205" s="1" t="n">
        <x:f>'Historical prices'!E205</x:f>
        <x:v>1.05</x:v>
      </x:c>
      <x:c r="I205" s="6" t="n">
        <x:f>'Historical prices'!D205</x:f>
        <x:v>0.2226</x:v>
      </x:c>
      <x:c r="J205" s="13" t="n">
        <x:f>D205*I205*H205</x:f>
        <x:v>0.31115306249999997</x:v>
      </x:c>
      <x:c r="K205" s="13" t="n">
        <x:f>E205*I205*H205</x:f>
        <x:v>0.3111530625</x:v>
      </x:c>
      <x:c r="L205" s="1" t="str">
        <x:f>TEXT(A205,"mmm yyyy")</x:f>
        <x:v>May 2026</x:v>
      </x:c>
    </x:row>
    <x:row r="206" ht="21" customHeight="1">
      <x:c r="A206" s="10" t="n">
        <x:v>46152</x:v>
      </x:c>
      <x:c r="B206" s="1" t="n">
        <x:v>19</x:v>
      </x:c>
      <x:c r="C206" s="1" t="n">
        <x:v>6</x:v>
      </x:c>
      <x:c r="D206" s="12" t="n">
        <x:v>0.6466666666666667</x:v>
      </x:c>
      <x:c r="E206" s="12" t="n">
        <x:v>0.6476666666666666</x:v>
      </x:c>
      <x:c r="F206" s="12" t="n">
        <x:v>0</x:v>
      </x:c>
      <x:c r="G206" s="12" t="n">
        <x:v>0</x:v>
      </x:c>
      <x:c r="H206" s="1" t="n">
        <x:f>'Historical prices'!E206</x:f>
        <x:v>1.05</x:v>
      </x:c>
      <x:c r="I206" s="6" t="n">
        <x:f>'Historical prices'!D206</x:f>
        <x:v>0.2226</x:v>
      </x:c>
      <x:c r="J206" s="13" t="n">
        <x:f>D206*I206*H206</x:f>
        <x:v>0.15114540000000004</x:v>
      </x:c>
      <x:c r="K206" s="13" t="n">
        <x:f>E206*I206*H206</x:f>
        <x:v>0.15137913</x:v>
      </x:c>
      <x:c r="L206" s="1" t="str">
        <x:f>TEXT(A206,"mmm yyyy")</x:f>
        <x:v>May 2026</x:v>
      </x:c>
    </x:row>
    <x:row r="207" ht="21" customHeight="1">
      <x:c r="A207" s="10" t="n">
        <x:v>46152</x:v>
      </x:c>
      <x:c r="B207" s="1" t="n">
        <x:v>19.5</x:v>
      </x:c>
      <x:c r="C207" s="1" t="n">
        <x:v>6</x:v>
      </x:c>
      <x:c r="D207" s="12" t="n">
        <x:v>0.9275</x:v>
      </x:c>
      <x:c r="E207" s="12" t="n">
        <x:v>0.9285000000000001</x:v>
      </x:c>
      <x:c r="F207" s="12" t="n">
        <x:v>0</x:v>
      </x:c>
      <x:c r="G207" s="12" t="n">
        <x:v>0</x:v>
      </x:c>
      <x:c r="H207" s="1" t="n">
        <x:f>'Historical prices'!E207</x:f>
        <x:v>1.05</x:v>
      </x:c>
      <x:c r="I207" s="6" t="n">
        <x:f>'Historical prices'!D207</x:f>
        <x:v>0.2226</x:v>
      </x:c>
      <x:c r="J207" s="13" t="n">
        <x:f>D207*I207*H207</x:f>
        <x:v>0.216784575</x:v>
      </x:c>
      <x:c r="K207" s="13" t="n">
        <x:f>E207*I207*H207</x:f>
        <x:v>0.21701830500000002</x:v>
      </x:c>
      <x:c r="L207" s="1" t="str">
        <x:f>TEXT(A207,"mmm yyyy")</x:f>
        <x:v>May 2026</x:v>
      </x:c>
    </x:row>
    <x:row r="208" ht="21" customHeight="1">
      <x:c r="A208" s="10" t="n">
        <x:v>46152</x:v>
      </x:c>
      <x:c r="B208" s="1" t="n">
        <x:v>20</x:v>
      </x:c>
      <x:c r="C208" s="1" t="n">
        <x:v>6</x:v>
      </x:c>
      <x:c r="D208" s="12" t="n">
        <x:v>0.5934166666666666</x:v>
      </x:c>
      <x:c r="E208" s="12" t="n">
        <x:v>0.5944166666666666</x:v>
      </x:c>
      <x:c r="F208" s="12" t="n">
        <x:v>0</x:v>
      </x:c>
      <x:c r="G208" s="12" t="n">
        <x:v>0</x:v>
      </x:c>
      <x:c r="H208" s="1" t="n">
        <x:f>'Historical prices'!E208</x:f>
        <x:v>1.05</x:v>
      </x:c>
      <x:c r="I208" s="6" t="n">
        <x:f>'Historical prices'!D208</x:f>
        <x:v>0.2226</x:v>
      </x:c>
      <x:c r="J208" s="13" t="n">
        <x:f>D208*I208*H208</x:f>
        <x:v>0.1386992775</x:v>
      </x:c>
      <x:c r="K208" s="13" t="n">
        <x:f>E208*I208*H208</x:f>
        <x:v>0.13893300749999998</x:v>
      </x:c>
      <x:c r="L208" s="1" t="str">
        <x:f>TEXT(A208,"mmm yyyy")</x:f>
        <x:v>May 2026</x:v>
      </x:c>
    </x:row>
    <x:row r="209" ht="21" customHeight="1">
      <x:c r="A209" s="10" t="n">
        <x:v>46152</x:v>
      </x:c>
      <x:c r="B209" s="1" t="n">
        <x:v>20.5</x:v>
      </x:c>
      <x:c r="C209" s="1" t="n">
        <x:v>6</x:v>
      </x:c>
      <x:c r="D209" s="12" t="n">
        <x:v>0.5360833333333334</x:v>
      </x:c>
      <x:c r="E209" s="12" t="n">
        <x:v>0.5360833333333334</x:v>
      </x:c>
      <x:c r="F209" s="12" t="n">
        <x:v>0</x:v>
      </x:c>
      <x:c r="G209" s="12" t="n">
        <x:v>0</x:v>
      </x:c>
      <x:c r="H209" s="1" t="n">
        <x:f>'Historical prices'!E209</x:f>
        <x:v>1.05</x:v>
      </x:c>
      <x:c r="I209" s="6" t="n">
        <x:f>'Historical prices'!D209</x:f>
        <x:v>0.2226</x:v>
      </x:c>
      <x:c r="J209" s="13" t="n">
        <x:f>D209*I209*H209</x:f>
        <x:v>0.1252987575</x:v>
      </x:c>
      <x:c r="K209" s="13" t="n">
        <x:f>E209*I209*H209</x:f>
        <x:v>0.1252987575</x:v>
      </x:c>
      <x:c r="L209" s="1" t="str">
        <x:f>TEXT(A209,"mmm yyyy")</x:f>
        <x:v>May 2026</x:v>
      </x:c>
    </x:row>
    <x:row r="210" ht="21" customHeight="1">
      <x:c r="A210" s="10" t="n">
        <x:v>46152</x:v>
      </x:c>
      <x:c r="B210" s="1" t="n">
        <x:v>21</x:v>
      </x:c>
      <x:c r="C210" s="1" t="n">
        <x:v>6</x:v>
      </x:c>
      <x:c r="D210" s="12" t="n">
        <x:v>0.5768333333333333</x:v>
      </x:c>
      <x:c r="E210" s="12" t="n">
        <x:v>0.5768333333333333</x:v>
      </x:c>
      <x:c r="F210" s="12" t="n">
        <x:v>0</x:v>
      </x:c>
      <x:c r="G210" s="12" t="n">
        <x:v>0</x:v>
      </x:c>
      <x:c r="H210" s="1" t="n">
        <x:f>'Historical prices'!E210</x:f>
        <x:v>1.05</x:v>
      </x:c>
      <x:c r="I210" s="6" t="n">
        <x:f>'Historical prices'!D210</x:f>
        <x:v>0.2226</x:v>
      </x:c>
      <x:c r="J210" s="13" t="n">
        <x:f>D210*I210*H210</x:f>
        <x:v>0.134823255</x:v>
      </x:c>
      <x:c r="K210" s="13" t="n">
        <x:f>E210*I210*H210</x:f>
        <x:v>0.134823255</x:v>
      </x:c>
      <x:c r="L210" s="1" t="str">
        <x:f>TEXT(A210,"mmm yyyy")</x:f>
        <x:v>May 2026</x:v>
      </x:c>
    </x:row>
    <x:row r="211" ht="21" customHeight="1">
      <x:c r="A211" s="10" t="n">
        <x:v>46152</x:v>
      </x:c>
      <x:c r="B211" s="1" t="n">
        <x:v>21.5</x:v>
      </x:c>
      <x:c r="C211" s="1" t="n">
        <x:v>6</x:v>
      </x:c>
      <x:c r="D211" s="12" t="n">
        <x:v>0.9010833333333333</x:v>
      </x:c>
      <x:c r="E211" s="12" t="n">
        <x:v>0.9020833333333333</x:v>
      </x:c>
      <x:c r="F211" s="12" t="n">
        <x:v>0</x:v>
      </x:c>
      <x:c r="G211" s="12" t="n">
        <x:v>0</x:v>
      </x:c>
      <x:c r="H211" s="1" t="n">
        <x:f>'Historical prices'!E211</x:f>
        <x:v>1.05</x:v>
      </x:c>
      <x:c r="I211" s="6" t="n">
        <x:f>'Historical prices'!D211</x:f>
        <x:v>0.2226</x:v>
      </x:c>
      <x:c r="J211" s="13" t="n">
        <x:f>D211*I211*H211</x:f>
        <x:v>0.2106102075</x:v>
      </x:c>
      <x:c r="K211" s="13" t="n">
        <x:f>E211*I211*H211</x:f>
        <x:v>0.21084393750000002</x:v>
      </x:c>
      <x:c r="L211" s="1" t="str">
        <x:f>TEXT(A211,"mmm yyyy")</x:f>
        <x:v>May 2026</x:v>
      </x:c>
    </x:row>
    <x:row r="212" ht="21" customHeight="1">
      <x:c r="A212" s="10" t="n">
        <x:v>46152</x:v>
      </x:c>
      <x:c r="B212" s="1" t="n">
        <x:v>22</x:v>
      </x:c>
      <x:c r="C212" s="1" t="n">
        <x:v>6</x:v>
      </x:c>
      <x:c r="D212" s="12" t="n">
        <x:v>0.5555</x:v>
      </x:c>
      <x:c r="E212" s="12" t="n">
        <x:v>0.5565</x:v>
      </x:c>
      <x:c r="F212" s="12" t="n">
        <x:v>0</x:v>
      </x:c>
      <x:c r="G212" s="12" t="n">
        <x:v>0</x:v>
      </x:c>
      <x:c r="H212" s="1" t="n">
        <x:f>'Historical prices'!E212</x:f>
        <x:v>1.05</x:v>
      </x:c>
      <x:c r="I212" s="6" t="n">
        <x:f>'Historical prices'!D212</x:f>
        <x:v>0.2226</x:v>
      </x:c>
      <x:c r="J212" s="13" t="n">
        <x:f>D212*I212*H212</x:f>
        <x:v>0.129837015</x:v>
      </x:c>
      <x:c r="K212" s="13" t="n">
        <x:f>E212*I212*H212</x:f>
        <x:v>0.13007074500000002</x:v>
      </x:c>
      <x:c r="L212" s="1" t="str">
        <x:f>TEXT(A212,"mmm yyyy")</x:f>
        <x:v>May 2026</x:v>
      </x:c>
    </x:row>
    <x:row r="213" ht="21" customHeight="1">
      <x:c r="A213" s="10" t="n">
        <x:v>46152</x:v>
      </x:c>
      <x:c r="B213" s="1" t="n">
        <x:v>22.5</x:v>
      </x:c>
      <x:c r="C213" s="1" t="n">
        <x:v>6</x:v>
      </x:c>
      <x:c r="D213" s="12" t="n">
        <x:v>0.2744166666666667</x:v>
      </x:c>
      <x:c r="E213" s="12" t="n">
        <x:v>0.2754166666666667</x:v>
      </x:c>
      <x:c r="F213" s="12" t="n">
        <x:v>0</x:v>
      </x:c>
      <x:c r="G213" s="12" t="n">
        <x:v>0</x:v>
      </x:c>
      <x:c r="H213" s="1" t="n">
        <x:f>'Historical prices'!E213</x:f>
        <x:v>1.05</x:v>
      </x:c>
      <x:c r="I213" s="6" t="n">
        <x:f>'Historical prices'!D213</x:f>
        <x:v>0.2226</x:v>
      </x:c>
      <x:c r="J213" s="13" t="n">
        <x:f>D213*I213*H213</x:f>
        <x:v>0.06413940750000001</x:v>
      </x:c>
      <x:c r="K213" s="13" t="n">
        <x:f>E213*I213*H213</x:f>
        <x:v>0.06437313750000001</x:v>
      </x:c>
      <x:c r="L213" s="1" t="str">
        <x:f>TEXT(A213,"mmm yyyy")</x:f>
        <x:v>May 2026</x:v>
      </x:c>
    </x:row>
    <x:row r="214" ht="21" customHeight="1">
      <x:c r="A214" s="10" t="n">
        <x:v>46152</x:v>
      </x:c>
      <x:c r="B214" s="1" t="n">
        <x:v>23</x:v>
      </x:c>
      <x:c r="C214" s="1" t="n">
        <x:v>6</x:v>
      </x:c>
      <x:c r="D214" s="12" t="n">
        <x:v>0.25225000000000003</x:v>
      </x:c>
      <x:c r="E214" s="12" t="n">
        <x:v>0.25125000000000003</x:v>
      </x:c>
      <x:c r="F214" s="12" t="n">
        <x:v>0</x:v>
      </x:c>
      <x:c r="G214" s="12" t="n">
        <x:v>0</x:v>
      </x:c>
      <x:c r="H214" s="1" t="n">
        <x:f>'Historical prices'!E214</x:f>
        <x:v>1.05</x:v>
      </x:c>
      <x:c r="I214" s="6" t="n">
        <x:f>'Historical prices'!D214</x:f>
        <x:v>0.2226</x:v>
      </x:c>
      <x:c r="J214" s="13" t="n">
        <x:f>D214*I214*H214</x:f>
        <x:v>0.058958392500000005</x:v>
      </x:c>
      <x:c r="K214" s="13" t="n">
        <x:f>E214*I214*H214</x:f>
        <x:v>0.05872466250000001</x:v>
      </x:c>
      <x:c r="L214" s="1" t="str">
        <x:f>TEXT(A214,"mmm yyyy")</x:f>
        <x:v>May 2026</x:v>
      </x:c>
    </x:row>
    <x:row r="215" ht="21" customHeight="1">
      <x:c r="A215" s="10" t="n">
        <x:v>46152</x:v>
      </x:c>
      <x:c r="B215" s="1" t="n">
        <x:v>23.5</x:v>
      </x:c>
      <x:c r="C215" s="1" t="n">
        <x:v>6</x:v>
      </x:c>
      <x:c r="D215" s="12" t="n">
        <x:v>0.2750833333333333</x:v>
      </x:c>
      <x:c r="E215" s="12" t="n">
        <x:v>0.2760833333333333</x:v>
      </x:c>
      <x:c r="F215" s="12" t="n">
        <x:v>0</x:v>
      </x:c>
      <x:c r="G215" s="12" t="n">
        <x:v>0</x:v>
      </x:c>
      <x:c r="H215" s="1" t="n">
        <x:f>'Historical prices'!E215</x:f>
        <x:v>1.05</x:v>
      </x:c>
      <x:c r="I215" s="6" t="n">
        <x:f>'Historical prices'!D215</x:f>
        <x:v>0.2226</x:v>
      </x:c>
      <x:c r="J215" s="13" t="n">
        <x:f>D215*I215*H215</x:f>
        <x:v>0.0642952275</x:v>
      </x:c>
      <x:c r="K215" s="13" t="n">
        <x:f>E215*I215*H215</x:f>
        <x:v>0.06452895749999998</x:v>
      </x:c>
      <x:c r="L215" s="1" t="str">
        <x:f>TEXT(A215,"mmm yyyy")</x:f>
        <x:v>May 2026</x:v>
      </x:c>
    </x:row>
    <x:row r="216" ht="21" customHeight="1">
      <x:c r="A216" s="10" t="n">
        <x:v>46153</x:v>
      </x:c>
      <x:c r="B216" s="1" t="n">
        <x:v>0</x:v>
      </x:c>
      <x:c r="C216" s="1" t="n">
        <x:v>6</x:v>
      </x:c>
      <x:c r="D216" s="12" t="n">
        <x:v>0.24483333333333335</x:v>
      </x:c>
      <x:c r="E216" s="12" t="n">
        <x:v>0.2468333333333333</x:v>
      </x:c>
      <x:c r="F216" s="12" t="n">
        <x:v>0</x:v>
      </x:c>
      <x:c r="G216" s="12" t="n">
        <x:v>0</x:v>
      </x:c>
      <x:c r="H216" s="1" t="n">
        <x:f>'Historical prices'!E216</x:f>
        <x:v>1.05</x:v>
      </x:c>
      <x:c r="I216" s="6" t="n">
        <x:f>'Historical prices'!D216</x:f>
        <x:v>0.2226</x:v>
      </x:c>
      <x:c r="J216" s="13" t="n">
        <x:f>D216*I216*H216</x:f>
        <x:v>0.057224895000000005</x:v>
      </x:c>
      <x:c r="K216" s="13" t="n">
        <x:f>E216*I216*H216</x:f>
        <x:v>0.057692354999999994</x:v>
      </x:c>
      <x:c r="L216" s="1" t="str">
        <x:f>TEXT(A216,"mmm yyyy")</x:f>
        <x:v>May 2026</x:v>
      </x:c>
    </x:row>
    <x:row r="217" ht="21" customHeight="1">
      <x:c r="A217" s="10" t="n">
        <x:v>46153</x:v>
      </x:c>
      <x:c r="B217" s="1" t="n">
        <x:v>0.5</x:v>
      </x:c>
      <x:c r="C217" s="1" t="n">
        <x:v>6</x:v>
      </x:c>
      <x:c r="D217" s="12" t="n">
        <x:v>0.23166666666666666</x:v>
      </x:c>
      <x:c r="E217" s="12" t="n">
        <x:v>0.23166666666666666</x:v>
      </x:c>
      <x:c r="F217" s="12" t="n">
        <x:v>0</x:v>
      </x:c>
      <x:c r="G217" s="12" t="n">
        <x:v>0</x:v>
      </x:c>
      <x:c r="H217" s="1" t="n">
        <x:f>'Historical prices'!E217</x:f>
        <x:v>1.05</x:v>
      </x:c>
      <x:c r="I217" s="6" t="n">
        <x:f>'Historical prices'!D217</x:f>
        <x:v>0.2226</x:v>
      </x:c>
      <x:c r="J217" s="13" t="n">
        <x:f>D217*I217*H217</x:f>
        <x:v>0.05414745</x:v>
      </x:c>
      <x:c r="K217" s="13" t="n">
        <x:f>E217*I217*H217</x:f>
        <x:v>0.05414745</x:v>
      </x:c>
      <x:c r="L217" s="1" t="str">
        <x:f>TEXT(A217,"mmm yyyy")</x:f>
        <x:v>May 2026</x:v>
      </x:c>
    </x:row>
    <x:row r="218" ht="21" customHeight="1">
      <x:c r="A218" s="10" t="n">
        <x:v>46153</x:v>
      </x:c>
      <x:c r="B218" s="1" t="n">
        <x:v>1</x:v>
      </x:c>
      <x:c r="C218" s="1" t="n">
        <x:v>6</x:v>
      </x:c>
      <x:c r="D218" s="12" t="n">
        <x:v>0.3125833333333334</x:v>
      </x:c>
      <x:c r="E218" s="12" t="n">
        <x:v>0.3145833333333334</x:v>
      </x:c>
      <x:c r="F218" s="12" t="n">
        <x:v>0</x:v>
      </x:c>
      <x:c r="G218" s="12" t="n">
        <x:v>0</x:v>
      </x:c>
      <x:c r="H218" s="1" t="n">
        <x:f>'Historical prices'!E218</x:f>
        <x:v>1.05</x:v>
      </x:c>
      <x:c r="I218" s="6" t="n">
        <x:f>'Historical prices'!D218</x:f>
        <x:v>0.2226</x:v>
      </x:c>
      <x:c r="J218" s="13" t="n">
        <x:f>D218*I218*H218</x:f>
        <x:v>0.07306010250000002</x:v>
      </x:c>
      <x:c r="K218" s="13" t="n">
        <x:f>E218*I218*H218</x:f>
        <x:v>0.07352756250000002</x:v>
      </x:c>
      <x:c r="L218" s="1" t="str">
        <x:f>TEXT(A218,"mmm yyyy")</x:f>
        <x:v>May 2026</x:v>
      </x:c>
    </x:row>
    <x:row r="219" ht="21" customHeight="1">
      <x:c r="A219" s="10" t="n">
        <x:v>46153</x:v>
      </x:c>
      <x:c r="B219" s="1" t="n">
        <x:v>1.5</x:v>
      </x:c>
      <x:c r="C219" s="1" t="n">
        <x:v>6</x:v>
      </x:c>
      <x:c r="D219" s="12" t="n">
        <x:v>0.21008333333333334</x:v>
      </x:c>
      <x:c r="E219" s="12" t="n">
        <x:v>0.20908333333333334</x:v>
      </x:c>
      <x:c r="F219" s="12" t="n">
        <x:v>0</x:v>
      </x:c>
      <x:c r="G219" s="12" t="n">
        <x:v>0</x:v>
      </x:c>
      <x:c r="H219" s="1" t="n">
        <x:f>'Historical prices'!E219</x:f>
        <x:v>1.05</x:v>
      </x:c>
      <x:c r="I219" s="6" t="n">
        <x:f>'Historical prices'!D219</x:f>
        <x:v>0.2226</x:v>
      </x:c>
      <x:c r="J219" s="13" t="n">
        <x:f>D219*I219*H219</x:f>
        <x:v>0.04910277750000001</x:v>
      </x:c>
      <x:c r="K219" s="13" t="n">
        <x:f>E219*I219*H219</x:f>
        <x:v>0.0488690475</x:v>
      </x:c>
      <x:c r="L219" s="1" t="str">
        <x:f>TEXT(A219,"mmm yyyy")</x:f>
        <x:v>May 2026</x:v>
      </x:c>
    </x:row>
    <x:row r="220" ht="21" customHeight="1">
      <x:c r="A220" s="10" t="n">
        <x:v>46153</x:v>
      </x:c>
      <x:c r="B220" s="1" t="n">
        <x:v>2</x:v>
      </x:c>
      <x:c r="C220" s="1" t="n">
        <x:v>6</x:v>
      </x:c>
      <x:c r="D220" s="12" t="n">
        <x:v>0.2835</x:v>
      </x:c>
      <x:c r="E220" s="12" t="n">
        <x:v>0.2845</x:v>
      </x:c>
      <x:c r="F220" s="12" t="n">
        <x:v>0</x:v>
      </x:c>
      <x:c r="G220" s="12" t="n">
        <x:v>0</x:v>
      </x:c>
      <x:c r="H220" s="1" t="n">
        <x:f>'Historical prices'!E220</x:f>
        <x:v>1.05</x:v>
      </x:c>
      <x:c r="I220" s="6" t="n">
        <x:f>'Historical prices'!D220</x:f>
        <x:v>0.2226</x:v>
      </x:c>
      <x:c r="J220" s="13" t="n">
        <x:f>D220*I220*H220</x:f>
        <x:v>0.06626245499999998</x:v>
      </x:c>
      <x:c r="K220" s="13" t="n">
        <x:f>E220*I220*H220</x:f>
        <x:v>0.06649618499999999</x:v>
      </x:c>
      <x:c r="L220" s="1" t="str">
        <x:f>TEXT(A220,"mmm yyyy")</x:f>
        <x:v>May 2026</x:v>
      </x:c>
    </x:row>
    <x:row r="221" ht="21" customHeight="1">
      <x:c r="A221" s="10" t="n">
        <x:v>46153</x:v>
      </x:c>
      <x:c r="B221" s="1" t="n">
        <x:v>2.5</x:v>
      </x:c>
      <x:c r="C221" s="1" t="n">
        <x:v>6</x:v>
      </x:c>
      <x:c r="D221" s="12" t="n">
        <x:v>0.21633333333333332</x:v>
      </x:c>
      <x:c r="E221" s="12" t="n">
        <x:v>0.21733333333333332</x:v>
      </x:c>
      <x:c r="F221" s="12" t="n">
        <x:v>0</x:v>
      </x:c>
      <x:c r="G221" s="12" t="n">
        <x:v>0</x:v>
      </x:c>
      <x:c r="H221" s="1" t="n">
        <x:f>'Historical prices'!E221</x:f>
        <x:v>1.05</x:v>
      </x:c>
      <x:c r="I221" s="6" t="n">
        <x:f>'Historical prices'!D221</x:f>
        <x:v>0.2226</x:v>
      </x:c>
      <x:c r="J221" s="13" t="n">
        <x:f>D221*I221*H221</x:f>
        <x:v>0.05056359</x:v>
      </x:c>
      <x:c r="K221" s="13" t="n">
        <x:f>E221*I221*H221</x:f>
        <x:v>0.05079732</x:v>
      </x:c>
      <x:c r="L221" s="1" t="str">
        <x:f>TEXT(A221,"mmm yyyy")</x:f>
        <x:v>May 2026</x:v>
      </x:c>
    </x:row>
    <x:row r="222" ht="21" customHeight="1">
      <x:c r="A222" s="10" t="n">
        <x:v>46153</x:v>
      </x:c>
      <x:c r="B222" s="1" t="n">
        <x:v>3</x:v>
      </x:c>
      <x:c r="C222" s="1" t="n">
        <x:v>6</x:v>
      </x:c>
      <x:c r="D222" s="12" t="n">
        <x:v>0.19883333333333336</x:v>
      </x:c>
      <x:c r="E222" s="12" t="n">
        <x:v>0.19883333333333336</x:v>
      </x:c>
      <x:c r="F222" s="12" t="n">
        <x:v>0</x:v>
      </x:c>
      <x:c r="G222" s="12" t="n">
        <x:v>0</x:v>
      </x:c>
      <x:c r="H222" s="1" t="n">
        <x:f>'Historical prices'!E222</x:f>
        <x:v>1.05</x:v>
      </x:c>
      <x:c r="I222" s="6" t="n">
        <x:f>'Historical prices'!D222</x:f>
        <x:v>0.2226</x:v>
      </x:c>
      <x:c r="J222" s="13" t="n">
        <x:f>D222*I222*H222</x:f>
        <x:v>0.046473315</x:v>
      </x:c>
      <x:c r="K222" s="13" t="n">
        <x:f>E222*I222*H222</x:f>
        <x:v>0.046473315</x:v>
      </x:c>
      <x:c r="L222" s="1" t="str">
        <x:f>TEXT(A222,"mmm yyyy")</x:f>
        <x:v>May 2026</x:v>
      </x:c>
    </x:row>
    <x:row r="223" ht="21" customHeight="1">
      <x:c r="A223" s="10" t="n">
        <x:v>46153</x:v>
      </x:c>
      <x:c r="B223" s="1" t="n">
        <x:v>3.5</x:v>
      </x:c>
      <x:c r="C223" s="1" t="n">
        <x:v>6</x:v>
      </x:c>
      <x:c r="D223" s="12" t="n">
        <x:v>0.24683333333333335</x:v>
      </x:c>
      <x:c r="E223" s="12" t="n">
        <x:v>0.24883333333333332</x:v>
      </x:c>
      <x:c r="F223" s="12" t="n">
        <x:v>0</x:v>
      </x:c>
      <x:c r="G223" s="12" t="n">
        <x:v>0</x:v>
      </x:c>
      <x:c r="H223" s="1" t="n">
        <x:f>'Historical prices'!E223</x:f>
        <x:v>1.05</x:v>
      </x:c>
      <x:c r="I223" s="6" t="n">
        <x:f>'Historical prices'!D223</x:f>
        <x:v>0.2226</x:v>
      </x:c>
      <x:c r="J223" s="13" t="n">
        <x:f>D223*I223*H223</x:f>
        <x:v>0.05769235500000001</x:v>
      </x:c>
      <x:c r="K223" s="13" t="n">
        <x:f>E223*I223*H223</x:f>
        <x:v>0.058159815</x:v>
      </x:c>
      <x:c r="L223" s="1" t="str">
        <x:f>TEXT(A223,"mmm yyyy")</x:f>
        <x:v>May 2026</x:v>
      </x:c>
    </x:row>
    <x:row r="224" ht="21" customHeight="1">
      <x:c r="A224" s="10" t="n">
        <x:v>46153</x:v>
      </x:c>
      <x:c r="B224" s="1" t="n">
        <x:v>4</x:v>
      </x:c>
      <x:c r="C224" s="1" t="n">
        <x:v>6</x:v>
      </x:c>
      <x:c r="D224" s="12" t="n">
        <x:v>0.206</x:v>
      </x:c>
      <x:c r="E224" s="12" t="n">
        <x:v>0.206</x:v>
      </x:c>
      <x:c r="F224" s="12" t="n">
        <x:v>0</x:v>
      </x:c>
      <x:c r="G224" s="12" t="n">
        <x:v>0</x:v>
      </x:c>
      <x:c r="H224" s="1" t="n">
        <x:f>'Historical prices'!E224</x:f>
        <x:v>1.05</x:v>
      </x:c>
      <x:c r="I224" s="6" t="n">
        <x:f>'Historical prices'!D224</x:f>
        <x:v>0.2226</x:v>
      </x:c>
      <x:c r="J224" s="13" t="n">
        <x:f>D224*I224*H224</x:f>
        <x:v>0.04814838</x:v>
      </x:c>
      <x:c r="K224" s="13" t="n">
        <x:f>E224*I224*H224</x:f>
        <x:v>0.04814838</x:v>
      </x:c>
      <x:c r="L224" s="1" t="str">
        <x:f>TEXT(A224,"mmm yyyy")</x:f>
        <x:v>May 2026</x:v>
      </x:c>
    </x:row>
    <x:row r="225" ht="21" customHeight="1">
      <x:c r="A225" s="10" t="n">
        <x:v>46153</x:v>
      </x:c>
      <x:c r="B225" s="1" t="n">
        <x:v>4.5</x:v>
      </x:c>
      <x:c r="C225" s="1" t="n">
        <x:v>6</x:v>
      </x:c>
      <x:c r="D225" s="12" t="n">
        <x:v>0.36975</x:v>
      </x:c>
      <x:c r="E225" s="12" t="n">
        <x:v>0.37175</x:v>
      </x:c>
      <x:c r="F225" s="12" t="n">
        <x:v>0</x:v>
      </x:c>
      <x:c r="G225" s="12" t="n">
        <x:v>0</x:v>
      </x:c>
      <x:c r="H225" s="1" t="n">
        <x:f>'Historical prices'!E225</x:f>
        <x:v>1.05</x:v>
      </x:c>
      <x:c r="I225" s="6" t="n">
        <x:f>'Historical prices'!D225</x:f>
        <x:v>0.2226</x:v>
      </x:c>
      <x:c r="J225" s="13" t="n">
        <x:f>D225*I225*H225</x:f>
        <x:v>0.08642166750000001</x:v>
      </x:c>
      <x:c r="K225" s="13" t="n">
        <x:f>E225*I225*H225</x:f>
        <x:v>0.08688912750000001</x:v>
      </x:c>
      <x:c r="L225" s="1" t="str">
        <x:f>TEXT(A225,"mmm yyyy")</x:f>
        <x:v>May 2026</x:v>
      </x:c>
    </x:row>
    <x:row r="226" ht="21" customHeight="1">
      <x:c r="A226" s="10" t="n">
        <x:v>46153</x:v>
      </x:c>
      <x:c r="B226" s="1" t="n">
        <x:v>5</x:v>
      </x:c>
      <x:c r="C226" s="1" t="n">
        <x:v>6</x:v>
      </x:c>
      <x:c r="D226" s="12" t="n">
        <x:v>0.26508333333333334</x:v>
      </x:c>
      <x:c r="E226" s="12" t="n">
        <x:v>0.26508333333333334</x:v>
      </x:c>
      <x:c r="F226" s="12" t="n">
        <x:v>0</x:v>
      </x:c>
      <x:c r="G226" s="12" t="n">
        <x:v>0</x:v>
      </x:c>
      <x:c r="H226" s="1" t="n">
        <x:f>'Historical prices'!E226</x:f>
        <x:v>1.05</x:v>
      </x:c>
      <x:c r="I226" s="6" t="n">
        <x:f>'Historical prices'!D226</x:f>
        <x:v>0.2226</x:v>
      </x:c>
      <x:c r="J226" s="13" t="n">
        <x:f>D226*I226*H226</x:f>
        <x:v>0.0619579275</x:v>
      </x:c>
      <x:c r="K226" s="13" t="n">
        <x:f>E226*I226*H226</x:f>
        <x:v>0.0619579275</x:v>
      </x:c>
      <x:c r="L226" s="1" t="str">
        <x:f>TEXT(A226,"mmm yyyy")</x:f>
        <x:v>May 2026</x:v>
      </x:c>
    </x:row>
    <x:row r="227" ht="21" customHeight="1">
      <x:c r="A227" s="10" t="n">
        <x:v>46153</x:v>
      </x:c>
      <x:c r="B227" s="1" t="n">
        <x:v>5.5</x:v>
      </x:c>
      <x:c r="C227" s="1" t="n">
        <x:v>6</x:v>
      </x:c>
      <x:c r="D227" s="12" t="n">
        <x:v>0.30258333333333337</x:v>
      </x:c>
      <x:c r="E227" s="12" t="n">
        <x:v>0.30258333333333337</x:v>
      </x:c>
      <x:c r="F227" s="12" t="n">
        <x:v>0</x:v>
      </x:c>
      <x:c r="G227" s="12" t="n">
        <x:v>0</x:v>
      </x:c>
      <x:c r="H227" s="1" t="n">
        <x:f>'Historical prices'!E227</x:f>
        <x:v>1.05</x:v>
      </x:c>
      <x:c r="I227" s="6" t="n">
        <x:f>'Historical prices'!D227</x:f>
        <x:v>0.2226</x:v>
      </x:c>
      <x:c r="J227" s="13" t="n">
        <x:f>D227*I227*H227</x:f>
        <x:v>0.0707228025</x:v>
      </x:c>
      <x:c r="K227" s="13" t="n">
        <x:f>E227*I227*H227</x:f>
        <x:v>0.0707228025</x:v>
      </x:c>
      <x:c r="L227" s="1" t="str">
        <x:f>TEXT(A227,"mmm yyyy")</x:f>
        <x:v>May 2026</x:v>
      </x:c>
    </x:row>
    <x:row r="228" ht="21" customHeight="1">
      <x:c r="A228" s="10" t="n">
        <x:v>46153</x:v>
      </x:c>
      <x:c r="B228" s="1" t="n">
        <x:v>6</x:v>
      </x:c>
      <x:c r="C228" s="1" t="n">
        <x:v>6</x:v>
      </x:c>
      <x:c r="D228" s="12" t="n">
        <x:v>0.3144166666666667</x:v>
      </x:c>
      <x:c r="E228" s="12" t="n">
        <x:v>0.3154166666666667</x:v>
      </x:c>
      <x:c r="F228" s="12" t="n">
        <x:v>0</x:v>
      </x:c>
      <x:c r="G228" s="12" t="n">
        <x:v>0</x:v>
      </x:c>
      <x:c r="H228" s="1" t="n">
        <x:f>'Historical prices'!E228</x:f>
        <x:v>1.05</x:v>
      </x:c>
      <x:c r="I228" s="6" t="n">
        <x:f>'Historical prices'!D228</x:f>
        <x:v>0.2226</x:v>
      </x:c>
      <x:c r="J228" s="13" t="n">
        <x:f>D228*I228*H228</x:f>
        <x:v>0.0734886075</x:v>
      </x:c>
      <x:c r="K228" s="13" t="n">
        <x:f>E228*I228*H228</x:f>
        <x:v>0.07372233750000001</x:v>
      </x:c>
      <x:c r="L228" s="1" t="str">
        <x:f>TEXT(A228,"mmm yyyy")</x:f>
        <x:v>May 2026</x:v>
      </x:c>
    </x:row>
    <x:row r="229" ht="21" customHeight="1">
      <x:c r="A229" s="10" t="n">
        <x:v>46153</x:v>
      </x:c>
      <x:c r="B229" s="1" t="n">
        <x:v>6.5</x:v>
      </x:c>
      <x:c r="C229" s="1" t="n">
        <x:v>6</x:v>
      </x:c>
      <x:c r="D229" s="12" t="n">
        <x:v>0.3993333333333333</x:v>
      </x:c>
      <x:c r="E229" s="12" t="n">
        <x:v>0.3993333333333333</x:v>
      </x:c>
      <x:c r="F229" s="12" t="n">
        <x:v>0</x:v>
      </x:c>
      <x:c r="G229" s="12" t="n">
        <x:v>0</x:v>
      </x:c>
      <x:c r="H229" s="1" t="n">
        <x:f>'Historical prices'!E229</x:f>
        <x:v>1.05</x:v>
      </x:c>
      <x:c r="I229" s="6" t="n">
        <x:f>'Historical prices'!D229</x:f>
        <x:v>0.2226</x:v>
      </x:c>
      <x:c r="J229" s="13" t="n">
        <x:f>D229*I229*H229</x:f>
        <x:v>0.09333617999999999</x:v>
      </x:c>
      <x:c r="K229" s="13" t="n">
        <x:f>E229*I229*H229</x:f>
        <x:v>0.09333617999999999</x:v>
      </x:c>
      <x:c r="L229" s="1" t="str">
        <x:f>TEXT(A229,"mmm yyyy")</x:f>
        <x:v>May 2026</x:v>
      </x:c>
    </x:row>
    <x:row r="230" ht="21" customHeight="1">
      <x:c r="A230" s="10" t="n">
        <x:v>46153</x:v>
      </x:c>
      <x:c r="B230" s="1" t="n">
        <x:v>7</x:v>
      </x:c>
      <x:c r="C230" s="1" t="n">
        <x:v>6</x:v>
      </x:c>
      <x:c r="D230" s="12" t="n">
        <x:v>0.6231666666666666</x:v>
      </x:c>
      <x:c r="E230" s="12" t="n">
        <x:v>0.6241666666666668</x:v>
      </x:c>
      <x:c r="F230" s="12" t="n">
        <x:v>0</x:v>
      </x:c>
      <x:c r="G230" s="12" t="n">
        <x:v>0</x:v>
      </x:c>
      <x:c r="H230" s="1" t="n">
        <x:f>'Historical prices'!E230</x:f>
        <x:v>1.05</x:v>
      </x:c>
      <x:c r="I230" s="6" t="n">
        <x:f>'Historical prices'!D230</x:f>
        <x:v>0.2226</x:v>
      </x:c>
      <x:c r="J230" s="13" t="n">
        <x:f>D230*I230*H230</x:f>
        <x:v>0.145652745</x:v>
      </x:c>
      <x:c r="K230" s="13" t="n">
        <x:f>E230*I230*H230</x:f>
        <x:v>0.14588647500000002</x:v>
      </x:c>
      <x:c r="L230" s="1" t="str">
        <x:f>TEXT(A230,"mmm yyyy")</x:f>
        <x:v>May 2026</x:v>
      </x:c>
    </x:row>
    <x:row r="231" ht="21" customHeight="1">
      <x:c r="A231" s="10" t="n">
        <x:v>46153</x:v>
      </x:c>
      <x:c r="B231" s="1" t="n">
        <x:v>7.5</x:v>
      </x:c>
      <x:c r="C231" s="1" t="n">
        <x:v>6</x:v>
      </x:c>
      <x:c r="D231" s="12" t="n">
        <x:v>0.6224166666666666</x:v>
      </x:c>
      <x:c r="E231" s="12" t="n">
        <x:v>0.6234166666666666</x:v>
      </x:c>
      <x:c r="F231" s="12" t="n">
        <x:v>0</x:v>
      </x:c>
      <x:c r="G231" s="12" t="n">
        <x:v>0</x:v>
      </x:c>
      <x:c r="H231" s="1" t="n">
        <x:f>'Historical prices'!E231</x:f>
        <x:v>1.05</x:v>
      </x:c>
      <x:c r="I231" s="6" t="n">
        <x:f>'Historical prices'!D231</x:f>
        <x:v>0.2226</x:v>
      </x:c>
      <x:c r="J231" s="13" t="n">
        <x:f>D231*I231*H231</x:f>
        <x:v>0.1454774475</x:v>
      </x:c>
      <x:c r="K231" s="13" t="n">
        <x:f>E231*I231*H231</x:f>
        <x:v>0.1457111775</x:v>
      </x:c>
      <x:c r="L231" s="1" t="str">
        <x:f>TEXT(A231,"mmm yyyy")</x:f>
        <x:v>May 2026</x:v>
      </x:c>
    </x:row>
    <x:row r="232" ht="21" customHeight="1">
      <x:c r="A232" s="10" t="n">
        <x:v>46153</x:v>
      </x:c>
      <x:c r="B232" s="1" t="n">
        <x:v>8</x:v>
      </x:c>
      <x:c r="C232" s="1" t="n">
        <x:v>6</x:v>
      </x:c>
      <x:c r="D232" s="12" t="n">
        <x:v>0.5654166666666667</x:v>
      </x:c>
      <x:c r="E232" s="12" t="n">
        <x:v>0.5644166666666667</x:v>
      </x:c>
      <x:c r="F232" s="12" t="n">
        <x:v>0</x:v>
      </x:c>
      <x:c r="G232" s="12" t="n">
        <x:v>0</x:v>
      </x:c>
      <x:c r="H232" s="1" t="n">
        <x:f>'Historical prices'!E232</x:f>
        <x:v>1.05</x:v>
      </x:c>
      <x:c r="I232" s="6" t="n">
        <x:f>'Historical prices'!D232</x:f>
        <x:v>0.2226</x:v>
      </x:c>
      <x:c r="J232" s="13" t="n">
        <x:f>D232*I232*H232</x:f>
        <x:v>0.1321548375</x:v>
      </x:c>
      <x:c r="K232" s="13" t="n">
        <x:f>E232*I232*H232</x:f>
        <x:v>0.13192110750000002</x:v>
      </x:c>
      <x:c r="L232" s="1" t="str">
        <x:f>TEXT(A232,"mmm yyyy")</x:f>
        <x:v>May 2026</x:v>
      </x:c>
    </x:row>
    <x:row r="233" ht="21" customHeight="1">
      <x:c r="A233" s="10" t="n">
        <x:v>46153</x:v>
      </x:c>
      <x:c r="B233" s="1" t="n">
        <x:v>8.5</x:v>
      </x:c>
      <x:c r="C233" s="1" t="n">
        <x:v>6</x:v>
      </x:c>
      <x:c r="D233" s="12" t="n">
        <x:v>2.14625</x:v>
      </x:c>
      <x:c r="E233" s="12" t="n">
        <x:v>2.14625</x:v>
      </x:c>
      <x:c r="F233" s="12" t="n">
        <x:v>0</x:v>
      </x:c>
      <x:c r="G233" s="12" t="n">
        <x:v>0</x:v>
      </x:c>
      <x:c r="H233" s="1" t="n">
        <x:f>'Historical prices'!E233</x:f>
        <x:v>1.05</x:v>
      </x:c>
      <x:c r="I233" s="6" t="n">
        <x:f>'Historical prices'!D233</x:f>
        <x:v>0.2226</x:v>
      </x:c>
      <x:c r="J233" s="13" t="n">
        <x:f>D233*I233*H233</x:f>
        <x:v>0.5016430125000001</x:v>
      </x:c>
      <x:c r="K233" s="13" t="n">
        <x:f>E233*I233*H233</x:f>
        <x:v>0.5016430125000001</x:v>
      </x:c>
      <x:c r="L233" s="1" t="str">
        <x:f>TEXT(A233,"mmm yyyy")</x:f>
        <x:v>May 2026</x:v>
      </x:c>
    </x:row>
    <x:row r="234" ht="21" customHeight="1">
      <x:c r="A234" s="10" t="n">
        <x:v>46153</x:v>
      </x:c>
      <x:c r="B234" s="1" t="n">
        <x:v>9</x:v>
      </x:c>
      <x:c r="C234" s="1" t="n">
        <x:v>6</x:v>
      </x:c>
      <x:c r="D234" s="12" t="n">
        <x:v>1.1358333333333335</x:v>
      </x:c>
      <x:c r="E234" s="12" t="n">
        <x:v>1.1368333333333334</x:v>
      </x:c>
      <x:c r="F234" s="12" t="n">
        <x:v>0</x:v>
      </x:c>
      <x:c r="G234" s="12" t="n">
        <x:v>0</x:v>
      </x:c>
      <x:c r="H234" s="1" t="n">
        <x:f>'Historical prices'!E234</x:f>
        <x:v>1.05</x:v>
      </x:c>
      <x:c r="I234" s="6" t="n">
        <x:f>'Historical prices'!D234</x:f>
        <x:v>0.2226</x:v>
      </x:c>
      <x:c r="J234" s="13" t="n">
        <x:f>D234*I234*H234</x:f>
        <x:v>0.265478325</x:v>
      </x:c>
      <x:c r="K234" s="13" t="n">
        <x:f>E234*I234*H234</x:f>
        <x:v>0.265712055</x:v>
      </x:c>
      <x:c r="L234" s="1" t="str">
        <x:f>TEXT(A234,"mmm yyyy")</x:f>
        <x:v>May 2026</x:v>
      </x:c>
    </x:row>
    <x:row r="235" ht="21" customHeight="1">
      <x:c r="A235" s="10" t="n">
        <x:v>46153</x:v>
      </x:c>
      <x:c r="B235" s="1" t="n">
        <x:v>9.5</x:v>
      </x:c>
      <x:c r="C235" s="1" t="n">
        <x:v>6</x:v>
      </x:c>
      <x:c r="D235" s="12" t="n">
        <x:v>0.7701666666666667</x:v>
      </x:c>
      <x:c r="E235" s="12" t="n">
        <x:v>0.7691666666666666</x:v>
      </x:c>
      <x:c r="F235" s="12" t="n">
        <x:v>0</x:v>
      </x:c>
      <x:c r="G235" s="12" t="n">
        <x:v>0</x:v>
      </x:c>
      <x:c r="H235" s="1" t="n">
        <x:f>'Historical prices'!E235</x:f>
        <x:v>1.05</x:v>
      </x:c>
      <x:c r="I235" s="6" t="n">
        <x:f>'Historical prices'!D235</x:f>
        <x:v>0.2226</x:v>
      </x:c>
      <x:c r="J235" s="13" t="n">
        <x:f>D235*I235*H235</x:f>
        <x:v>0.180011055</x:v>
      </x:c>
      <x:c r="K235" s="13" t="n">
        <x:f>E235*I235*H235</x:f>
        <x:v>0.17977732499999996</x:v>
      </x:c>
      <x:c r="L235" s="1" t="str">
        <x:f>TEXT(A235,"mmm yyyy")</x:f>
        <x:v>May 2026</x:v>
      </x:c>
    </x:row>
    <x:row r="236" ht="21" customHeight="1">
      <x:c r="A236" s="10" t="n">
        <x:v>46153</x:v>
      </x:c>
      <x:c r="B236" s="1" t="n">
        <x:v>10</x:v>
      </x:c>
      <x:c r="C236" s="1" t="n">
        <x:v>6</x:v>
      </x:c>
      <x:c r="D236" s="12" t="n">
        <x:v>0.664</x:v>
      </x:c>
      <x:c r="E236" s="12" t="n">
        <x:v>0.665</x:v>
      </x:c>
      <x:c r="F236" s="12" t="n">
        <x:v>0</x:v>
      </x:c>
      <x:c r="G236" s="12" t="n">
        <x:v>0</x:v>
      </x:c>
      <x:c r="H236" s="1" t="n">
        <x:f>'Historical prices'!E236</x:f>
        <x:v>1.05</x:v>
      </x:c>
      <x:c r="I236" s="6" t="n">
        <x:f>'Historical prices'!D236</x:f>
        <x:v>0.2226</x:v>
      </x:c>
      <x:c r="J236" s="13" t="n">
        <x:f>D236*I236*H236</x:f>
        <x:v>0.15519672</x:v>
      </x:c>
      <x:c r="K236" s="13" t="n">
        <x:f>E236*I236*H236</x:f>
        <x:v>0.15543045</x:v>
      </x:c>
      <x:c r="L236" s="1" t="str">
        <x:f>TEXT(A236,"mmm yyyy")</x:f>
        <x:v>May 2026</x:v>
      </x:c>
    </x:row>
    <x:row r="237" ht="21" customHeight="1">
      <x:c r="A237" s="10" t="n">
        <x:v>46153</x:v>
      </x:c>
      <x:c r="B237" s="1" t="n">
        <x:v>10.5</x:v>
      </x:c>
      <x:c r="C237" s="1" t="n">
        <x:v>6</x:v>
      </x:c>
      <x:c r="D237" s="12" t="n">
        <x:v>0.63025</x:v>
      </x:c>
      <x:c r="E237" s="12" t="n">
        <x:v>0.63025</x:v>
      </x:c>
      <x:c r="F237" s="12" t="n">
        <x:v>0</x:v>
      </x:c>
      <x:c r="G237" s="12" t="n">
        <x:v>0</x:v>
      </x:c>
      <x:c r="H237" s="1" t="n">
        <x:f>'Historical prices'!E237</x:f>
        <x:v>1.05</x:v>
      </x:c>
      <x:c r="I237" s="6" t="n">
        <x:f>'Historical prices'!D237</x:f>
        <x:v>0.2226</x:v>
      </x:c>
      <x:c r="J237" s="13" t="n">
        <x:f>D237*I237*H237</x:f>
        <x:v>0.1473083325</x:v>
      </x:c>
      <x:c r="K237" s="13" t="n">
        <x:f>E237*I237*H237</x:f>
        <x:v>0.1473083325</x:v>
      </x:c>
      <x:c r="L237" s="1" t="str">
        <x:f>TEXT(A237,"mmm yyyy")</x:f>
        <x:v>May 2026</x:v>
      </x:c>
    </x:row>
    <x:row r="238" ht="21" customHeight="1">
      <x:c r="A238" s="10" t="n">
        <x:v>46153</x:v>
      </x:c>
      <x:c r="B238" s="1" t="n">
        <x:v>11</x:v>
      </x:c>
      <x:c r="C238" s="1" t="n">
        <x:v>6</x:v>
      </x:c>
      <x:c r="D238" s="12" t="n">
        <x:v>0.56325</x:v>
      </x:c>
      <x:c r="E238" s="12" t="n">
        <x:v>0.56525</x:v>
      </x:c>
      <x:c r="F238" s="12" t="n">
        <x:v>0</x:v>
      </x:c>
      <x:c r="G238" s="12" t="n">
        <x:v>0</x:v>
      </x:c>
      <x:c r="H238" s="1" t="n">
        <x:f>'Historical prices'!E238</x:f>
        <x:v>1.05</x:v>
      </x:c>
      <x:c r="I238" s="6" t="n">
        <x:f>'Historical prices'!D238</x:f>
        <x:v>0.2226</x:v>
      </x:c>
      <x:c r="J238" s="13" t="n">
        <x:f>D238*I238*H238</x:f>
        <x:v>0.1316484225</x:v>
      </x:c>
      <x:c r="K238" s="13" t="n">
        <x:f>E238*I238*H238</x:f>
        <x:v>0.1321158825</x:v>
      </x:c>
      <x:c r="L238" s="1" t="str">
        <x:f>TEXT(A238,"mmm yyyy")</x:f>
        <x:v>May 2026</x:v>
      </x:c>
    </x:row>
    <x:row r="239" ht="21" customHeight="1">
      <x:c r="A239" s="10" t="n">
        <x:v>46153</x:v>
      </x:c>
      <x:c r="B239" s="1" t="n">
        <x:v>11.5</x:v>
      </x:c>
      <x:c r="C239" s="1" t="n">
        <x:v>6</x:v>
      </x:c>
      <x:c r="D239" s="12" t="n">
        <x:v>0.6214166666666667</x:v>
      </x:c>
      <x:c r="E239" s="12" t="n">
        <x:v>0.6194166666666667</x:v>
      </x:c>
      <x:c r="F239" s="12" t="n">
        <x:v>0</x:v>
      </x:c>
      <x:c r="G239" s="12" t="n">
        <x:v>0</x:v>
      </x:c>
      <x:c r="H239" s="1" t="n">
        <x:f>'Historical prices'!E239</x:f>
        <x:v>1.05</x:v>
      </x:c>
      <x:c r="I239" s="6" t="n">
        <x:f>'Historical prices'!D239</x:f>
        <x:v>0.2226</x:v>
      </x:c>
      <x:c r="J239" s="13" t="n">
        <x:f>D239*I239*H239</x:f>
        <x:v>0.14524371750000004</x:v>
      </x:c>
      <x:c r="K239" s="13" t="n">
        <x:f>E239*I239*H239</x:f>
        <x:v>0.1447762575</x:v>
      </x:c>
      <x:c r="L239" s="1" t="str">
        <x:f>TEXT(A239,"mmm yyyy")</x:f>
        <x:v>May 2026</x:v>
      </x:c>
    </x:row>
    <x:row r="240" ht="21" customHeight="1">
      <x:c r="A240" s="10" t="n">
        <x:v>46153</x:v>
      </x:c>
      <x:c r="B240" s="1" t="n">
        <x:v>12</x:v>
      </x:c>
      <x:c r="C240" s="1" t="n">
        <x:v>6</x:v>
      </x:c>
      <x:c r="D240" s="12" t="n">
        <x:v>0.5985</x:v>
      </x:c>
      <x:c r="E240" s="12" t="n">
        <x:v>0.5985</x:v>
      </x:c>
      <x:c r="F240" s="12" t="n">
        <x:v>0</x:v>
      </x:c>
      <x:c r="G240" s="12" t="n">
        <x:v>0</x:v>
      </x:c>
      <x:c r="H240" s="1" t="n">
        <x:f>'Historical prices'!E240</x:f>
        <x:v>1.05</x:v>
      </x:c>
      <x:c r="I240" s="6" t="n">
        <x:f>'Historical prices'!D240</x:f>
        <x:v>0.2226</x:v>
      </x:c>
      <x:c r="J240" s="13" t="n">
        <x:f>D240*I240*H240</x:f>
        <x:v>0.13988740500000002</x:v>
      </x:c>
      <x:c r="K240" s="13" t="n">
        <x:f>E240*I240*H240</x:f>
        <x:v>0.13988740500000002</x:v>
      </x:c>
      <x:c r="L240" s="1" t="str">
        <x:f>TEXT(A240,"mmm yyyy")</x:f>
        <x:v>May 2026</x:v>
      </x:c>
    </x:row>
    <x:row r="241" ht="21" customHeight="1">
      <x:c r="A241" s="10" t="n">
        <x:v>46153</x:v>
      </x:c>
      <x:c r="B241" s="1" t="n">
        <x:v>12.5</x:v>
      </x:c>
      <x:c r="C241" s="1" t="n">
        <x:v>6</x:v>
      </x:c>
      <x:c r="D241" s="12" t="n">
        <x:v>0.47650000000000003</x:v>
      </x:c>
      <x:c r="E241" s="12" t="n">
        <x:v>0.47750000000000004</x:v>
      </x:c>
      <x:c r="F241" s="12" t="n">
        <x:v>0</x:v>
      </x:c>
      <x:c r="G241" s="12" t="n">
        <x:v>0</x:v>
      </x:c>
      <x:c r="H241" s="1" t="n">
        <x:f>'Historical prices'!E241</x:f>
        <x:v>1.05</x:v>
      </x:c>
      <x:c r="I241" s="6" t="n">
        <x:f>'Historical prices'!D241</x:f>
        <x:v>0.2226</x:v>
      </x:c>
      <x:c r="J241" s="13" t="n">
        <x:f>D241*I241*H241</x:f>
        <x:v>0.11137234500000001</x:v>
      </x:c>
      <x:c r="K241" s="13" t="n">
        <x:f>E241*I241*H241</x:f>
        <x:v>0.11160607500000001</x:v>
      </x:c>
      <x:c r="L241" s="1" t="str">
        <x:f>TEXT(A241,"mmm yyyy")</x:f>
        <x:v>May 2026</x:v>
      </x:c>
    </x:row>
    <x:row r="242" ht="21" customHeight="1">
      <x:c r="A242" s="10" t="n">
        <x:v>46153</x:v>
      </x:c>
      <x:c r="B242" s="1" t="n">
        <x:v>13</x:v>
      </x:c>
      <x:c r="C242" s="1" t="n">
        <x:v>6</x:v>
      </x:c>
      <x:c r="D242" s="12" t="n">
        <x:v>2.02075</x:v>
      </x:c>
      <x:c r="E242" s="12" t="n">
        <x:v>2.02175</x:v>
      </x:c>
      <x:c r="F242" s="12" t="n">
        <x:v>0</x:v>
      </x:c>
      <x:c r="G242" s="12" t="n">
        <x:v>0</x:v>
      </x:c>
      <x:c r="H242" s="1" t="n">
        <x:f>'Historical prices'!E242</x:f>
        <x:v>1.05</x:v>
      </x:c>
      <x:c r="I242" s="6" t="n">
        <x:f>'Historical prices'!D242</x:f>
        <x:v>0.2226</x:v>
      </x:c>
      <x:c r="J242" s="13" t="n">
        <x:f>D242*I242*H242</x:f>
        <x:v>0.4723098975</x:v>
      </x:c>
      <x:c r="K242" s="13" t="n">
        <x:f>E242*I242*H242</x:f>
        <x:v>0.47254362749999995</x:v>
      </x:c>
      <x:c r="L242" s="1" t="str">
        <x:f>TEXT(A242,"mmm yyyy")</x:f>
        <x:v>May 2026</x:v>
      </x:c>
    </x:row>
    <x:row r="243" ht="21" customHeight="1">
      <x:c r="A243" s="10" t="n">
        <x:v>46153</x:v>
      </x:c>
      <x:c r="B243" s="1" t="n">
        <x:v>13.5</x:v>
      </x:c>
      <x:c r="C243" s="1" t="n">
        <x:v>6</x:v>
      </x:c>
      <x:c r="D243" s="12" t="n">
        <x:v>0.8785</x:v>
      </x:c>
      <x:c r="E243" s="12" t="n">
        <x:v>0.8785</x:v>
      </x:c>
      <x:c r="F243" s="12" t="n">
        <x:v>0</x:v>
      </x:c>
      <x:c r="G243" s="12" t="n">
        <x:v>0</x:v>
      </x:c>
      <x:c r="H243" s="1" t="n">
        <x:f>'Historical prices'!E243</x:f>
        <x:v>1.05</x:v>
      </x:c>
      <x:c r="I243" s="6" t="n">
        <x:f>'Historical prices'!D243</x:f>
        <x:v>0.2226</x:v>
      </x:c>
      <x:c r="J243" s="13" t="n">
        <x:f>D243*I243*H243</x:f>
        <x:v>0.20533180499999998</x:v>
      </x:c>
      <x:c r="K243" s="13" t="n">
        <x:f>E243*I243*H243</x:f>
        <x:v>0.20533180499999998</x:v>
      </x:c>
      <x:c r="L243" s="1" t="str">
        <x:f>TEXT(A243,"mmm yyyy")</x:f>
        <x:v>May 2026</x:v>
      </x:c>
    </x:row>
    <x:row r="244" ht="21" customHeight="1">
      <x:c r="A244" s="10" t="n">
        <x:v>46153</x:v>
      </x:c>
      <x:c r="B244" s="1" t="n">
        <x:v>14</x:v>
      </x:c>
      <x:c r="C244" s="1" t="n">
        <x:v>6</x:v>
      </x:c>
      <x:c r="D244" s="12" t="n">
        <x:v>0.5116666666666666</x:v>
      </x:c>
      <x:c r="E244" s="12" t="n">
        <x:v>0.5126666666666666</x:v>
      </x:c>
      <x:c r="F244" s="12" t="n">
        <x:v>0</x:v>
      </x:c>
      <x:c r="G244" s="12" t="n">
        <x:v>0</x:v>
      </x:c>
      <x:c r="H244" s="1" t="n">
        <x:f>'Historical prices'!E244</x:f>
        <x:v>1.05</x:v>
      </x:c>
      <x:c r="I244" s="6" t="n">
        <x:f>'Historical prices'!D244</x:f>
        <x:v>0.2226</x:v>
      </x:c>
      <x:c r="J244" s="13" t="n">
        <x:f>D244*I244*H244</x:f>
        <x:v>0.11959184999999999</x:v>
      </x:c>
      <x:c r="K244" s="13" t="n">
        <x:f>E244*I244*H244</x:f>
        <x:v>0.11982557999999999</x:v>
      </x:c>
      <x:c r="L244" s="1" t="str">
        <x:f>TEXT(A244,"mmm yyyy")</x:f>
        <x:v>May 2026</x:v>
      </x:c>
    </x:row>
    <x:row r="245" ht="21" customHeight="1">
      <x:c r="A245" s="10" t="n">
        <x:v>46153</x:v>
      </x:c>
      <x:c r="B245" s="1" t="n">
        <x:v>14.5</x:v>
      </x:c>
      <x:c r="C245" s="1" t="n">
        <x:v>6</x:v>
      </x:c>
      <x:c r="D245" s="12" t="n">
        <x:v>0.45758333333333334</x:v>
      </x:c>
      <x:c r="E245" s="12" t="n">
        <x:v>0.45758333333333334</x:v>
      </x:c>
      <x:c r="F245" s="12" t="n">
        <x:v>0</x:v>
      </x:c>
      <x:c r="G245" s="12" t="n">
        <x:v>0</x:v>
      </x:c>
      <x:c r="H245" s="1" t="n">
        <x:f>'Historical prices'!E245</x:f>
        <x:v>1.05</x:v>
      </x:c>
      <x:c r="I245" s="6" t="n">
        <x:f>'Historical prices'!D245</x:f>
        <x:v>0.2226</x:v>
      </x:c>
      <x:c r="J245" s="13" t="n">
        <x:f>D245*I245*H245</x:f>
        <x:v>0.1069509525</x:v>
      </x:c>
      <x:c r="K245" s="13" t="n">
        <x:f>E245*I245*H245</x:f>
        <x:v>0.1069509525</x:v>
      </x:c>
      <x:c r="L245" s="1" t="str">
        <x:f>TEXT(A245,"mmm yyyy")</x:f>
        <x:v>May 2026</x:v>
      </x:c>
    </x:row>
    <x:row r="246" ht="21" customHeight="1">
      <x:c r="A246" s="10" t="n">
        <x:v>46153</x:v>
      </x:c>
      <x:c r="B246" s="1" t="n">
        <x:v>15</x:v>
      </x:c>
      <x:c r="C246" s="1" t="n">
        <x:v>6</x:v>
      </x:c>
      <x:c r="D246" s="12" t="n">
        <x:v>0.5323333333333334</x:v>
      </x:c>
      <x:c r="E246" s="12" t="n">
        <x:v>0.5313333333333334</x:v>
      </x:c>
      <x:c r="F246" s="12" t="n">
        <x:v>0</x:v>
      </x:c>
      <x:c r="G246" s="12" t="n">
        <x:v>0</x:v>
      </x:c>
      <x:c r="H246" s="1" t="n">
        <x:f>'Historical prices'!E246</x:f>
        <x:v>1.05</x:v>
      </x:c>
      <x:c r="I246" s="6" t="n">
        <x:f>'Historical prices'!D246</x:f>
        <x:v>0.2226</x:v>
      </x:c>
      <x:c r="J246" s="13" t="n">
        <x:f>D246*I246*H246</x:f>
        <x:v>0.12442227000000003</x:v>
      </x:c>
      <x:c r="K246" s="13" t="n">
        <x:f>E246*I246*H246</x:f>
        <x:v>0.12418854000000001</x:v>
      </x:c>
      <x:c r="L246" s="1" t="str">
        <x:f>TEXT(A246,"mmm yyyy")</x:f>
        <x:v>May 2026</x:v>
      </x:c>
    </x:row>
    <x:row r="247" ht="21" customHeight="1">
      <x:c r="A247" s="10" t="n">
        <x:v>46153</x:v>
      </x:c>
      <x:c r="B247" s="1" t="n">
        <x:v>15.5</x:v>
      </x:c>
      <x:c r="C247" s="1" t="n">
        <x:v>6</x:v>
      </x:c>
      <x:c r="D247" s="12" t="n">
        <x:v>0.36041666666666666</x:v>
      </x:c>
      <x:c r="E247" s="12" t="n">
        <x:v>0.36141666666666666</x:v>
      </x:c>
      <x:c r="F247" s="12" t="n">
        <x:v>0</x:v>
      </x:c>
      <x:c r="G247" s="12" t="n">
        <x:v>0</x:v>
      </x:c>
      <x:c r="H247" s="1" t="n">
        <x:f>'Historical prices'!E247</x:f>
        <x:v>1.05</x:v>
      </x:c>
      <x:c r="I247" s="6" t="n">
        <x:f>'Historical prices'!D247</x:f>
        <x:v>0.2226</x:v>
      </x:c>
      <x:c r="J247" s="13" t="n">
        <x:f>D247*I247*H247</x:f>
        <x:v>0.08424018750000001</x:v>
      </x:c>
      <x:c r="K247" s="13" t="n">
        <x:f>E247*I247*H247</x:f>
        <x:v>0.0844739175</x:v>
      </x:c>
      <x:c r="L247" s="1" t="str">
        <x:f>TEXT(A247,"mmm yyyy")</x:f>
        <x:v>May 2026</x:v>
      </x:c>
    </x:row>
    <x:row r="248" ht="21" customHeight="1">
      <x:c r="A248" s="10" t="n">
        <x:v>46153</x:v>
      </x:c>
      <x:c r="B248" s="1" t="n">
        <x:v>16</x:v>
      </x:c>
      <x:c r="C248" s="1" t="n">
        <x:v>6</x:v>
      </x:c>
      <x:c r="D248" s="12" t="n">
        <x:v>1.1685833333333333</x:v>
      </x:c>
      <x:c r="E248" s="12" t="n">
        <x:v>1.1685833333333333</x:v>
      </x:c>
      <x:c r="F248" s="12" t="n">
        <x:v>0</x:v>
      </x:c>
      <x:c r="G248" s="12" t="n">
        <x:v>0</x:v>
      </x:c>
      <x:c r="H248" s="1" t="n">
        <x:f>'Historical prices'!E248</x:f>
        <x:v>1.05</x:v>
      </x:c>
      <x:c r="I248" s="6" t="n">
        <x:f>'Historical prices'!D248</x:f>
        <x:v>0.2226</x:v>
      </x:c>
      <x:c r="J248" s="13" t="n">
        <x:f>D248*I248*H248</x:f>
        <x:v>0.27313298249999995</x:v>
      </x:c>
      <x:c r="K248" s="13" t="n">
        <x:f>E248*I248*H248</x:f>
        <x:v>0.27313298249999995</x:v>
      </x:c>
      <x:c r="L248" s="1" t="str">
        <x:f>TEXT(A248,"mmm yyyy")</x:f>
        <x:v>May 2026</x:v>
      </x:c>
    </x:row>
    <x:row r="249" ht="21" customHeight="1">
      <x:c r="A249" s="10" t="n">
        <x:v>46153</x:v>
      </x:c>
      <x:c r="B249" s="1" t="n">
        <x:v>16.5</x:v>
      </x:c>
      <x:c r="C249" s="1" t="n">
        <x:v>6</x:v>
      </x:c>
      <x:c r="D249" s="12" t="n">
        <x:v>1.4628333333333332</x:v>
      </x:c>
      <x:c r="E249" s="12" t="n">
        <x:v>1.4638333333333335</x:v>
      </x:c>
      <x:c r="F249" s="12" t="n">
        <x:v>0</x:v>
      </x:c>
      <x:c r="G249" s="12" t="n">
        <x:v>0</x:v>
      </x:c>
      <x:c r="H249" s="1" t="n">
        <x:f>'Historical prices'!E249</x:f>
        <x:v>1.05</x:v>
      </x:c>
      <x:c r="I249" s="6" t="n">
        <x:f>'Historical prices'!D249</x:f>
        <x:v>0.2226</x:v>
      </x:c>
      <x:c r="J249" s="13" t="n">
        <x:f>D249*I249*H249</x:f>
        <x:v>0.34190803499999994</x:v>
      </x:c>
      <x:c r="K249" s="13" t="n">
        <x:f>E249*I249*H249</x:f>
        <x:v>0.34214176500000004</x:v>
      </x:c>
      <x:c r="L249" s="1" t="str">
        <x:f>TEXT(A249,"mmm yyyy")</x:f>
        <x:v>May 2026</x:v>
      </x:c>
    </x:row>
    <x:row r="250" ht="21" customHeight="1">
      <x:c r="A250" s="10" t="n">
        <x:v>46153</x:v>
      </x:c>
      <x:c r="B250" s="1" t="n">
        <x:v>17</x:v>
      </x:c>
      <x:c r="C250" s="1" t="n">
        <x:v>6</x:v>
      </x:c>
      <x:c r="D250" s="12" t="n">
        <x:v>0.52925</x:v>
      </x:c>
      <x:c r="E250" s="12" t="n">
        <x:v>0.52925</x:v>
      </x:c>
      <x:c r="F250" s="12" t="n">
        <x:v>0</x:v>
      </x:c>
      <x:c r="G250" s="12" t="n">
        <x:v>0</x:v>
      </x:c>
      <x:c r="H250" s="1" t="n">
        <x:f>'Historical prices'!E250</x:f>
        <x:v>1.05</x:v>
      </x:c>
      <x:c r="I250" s="6" t="n">
        <x:f>'Historical prices'!D250</x:f>
        <x:v>0.2226</x:v>
      </x:c>
      <x:c r="J250" s="13" t="n">
        <x:f>D250*I250*H250</x:f>
        <x:v>0.12370160250000001</x:v>
      </x:c>
      <x:c r="K250" s="13" t="n">
        <x:f>E250*I250*H250</x:f>
        <x:v>0.12370160250000001</x:v>
      </x:c>
      <x:c r="L250" s="1" t="str">
        <x:f>TEXT(A250,"mmm yyyy")</x:f>
        <x:v>May 2026</x:v>
      </x:c>
    </x:row>
    <x:row r="251" ht="21" customHeight="1">
      <x:c r="A251" s="10" t="n">
        <x:v>46153</x:v>
      </x:c>
      <x:c r="B251" s="1" t="n">
        <x:v>17.5</x:v>
      </x:c>
      <x:c r="C251" s="1" t="n">
        <x:v>6</x:v>
      </x:c>
      <x:c r="D251" s="12" t="n">
        <x:v>0.45616666666666666</x:v>
      </x:c>
      <x:c r="E251" s="12" t="n">
        <x:v>0.45716666666666667</x:v>
      </x:c>
      <x:c r="F251" s="12" t="n">
        <x:v>0</x:v>
      </x:c>
      <x:c r="G251" s="12" t="n">
        <x:v>0</x:v>
      </x:c>
      <x:c r="H251" s="1" t="n">
        <x:f>'Historical prices'!E251</x:f>
        <x:v>1.05</x:v>
      </x:c>
      <x:c r="I251" s="6" t="n">
        <x:f>'Historical prices'!D251</x:f>
        <x:v>0.2226</x:v>
      </x:c>
      <x:c r="J251" s="13" t="n">
        <x:f>D251*I251*H251</x:f>
        <x:v>0.10661983500000001</x:v>
      </x:c>
      <x:c r="K251" s="13" t="n">
        <x:f>E251*I251*H251</x:f>
        <x:v>0.10685356500000001</x:v>
      </x:c>
      <x:c r="L251" s="1" t="str">
        <x:f>TEXT(A251,"mmm yyyy")</x:f>
        <x:v>May 2026</x:v>
      </x:c>
    </x:row>
    <x:row r="252" ht="21" customHeight="1">
      <x:c r="A252" s="10" t="n">
        <x:v>46153</x:v>
      </x:c>
      <x:c r="B252" s="1" t="n">
        <x:v>18</x:v>
      </x:c>
      <x:c r="C252" s="1" t="n">
        <x:v>6</x:v>
      </x:c>
      <x:c r="D252" s="12" t="n">
        <x:v>0.5463333333333333</x:v>
      </x:c>
      <x:c r="E252" s="12" t="n">
        <x:v>0.5463333333333333</x:v>
      </x:c>
      <x:c r="F252" s="12" t="n">
        <x:v>0</x:v>
      </x:c>
      <x:c r="G252" s="12" t="n">
        <x:v>0</x:v>
      </x:c>
      <x:c r="H252" s="1" t="n">
        <x:f>'Historical prices'!E252</x:f>
        <x:v>1.05</x:v>
      </x:c>
      <x:c r="I252" s="6" t="n">
        <x:f>'Historical prices'!D252</x:f>
        <x:v>0.2226</x:v>
      </x:c>
      <x:c r="J252" s="13" t="n">
        <x:f>D252*I252*H252</x:f>
        <x:v>0.12769449</x:v>
      </x:c>
      <x:c r="K252" s="13" t="n">
        <x:f>E252*I252*H252</x:f>
        <x:v>0.12769449</x:v>
      </x:c>
      <x:c r="L252" s="1" t="str">
        <x:f>TEXT(A252,"mmm yyyy")</x:f>
        <x:v>May 2026</x:v>
      </x:c>
    </x:row>
    <x:row r="253" ht="21" customHeight="1">
      <x:c r="A253" s="10" t="n">
        <x:v>46153</x:v>
      </x:c>
      <x:c r="B253" s="1" t="n">
        <x:v>18.5</x:v>
      </x:c>
      <x:c r="C253" s="1" t="n">
        <x:v>6</x:v>
      </x:c>
      <x:c r="D253" s="12" t="n">
        <x:v>1.1994166666666668</x:v>
      </x:c>
      <x:c r="E253" s="12" t="n">
        <x:v>1.1994166666666666</x:v>
      </x:c>
      <x:c r="F253" s="12" t="n">
        <x:v>0</x:v>
      </x:c>
      <x:c r="G253" s="12" t="n">
        <x:v>0</x:v>
      </x:c>
      <x:c r="H253" s="1" t="n">
        <x:f>'Historical prices'!E253</x:f>
        <x:v>1.05</x:v>
      </x:c>
      <x:c r="I253" s="6" t="n">
        <x:f>'Historical prices'!D253</x:f>
        <x:v>0.2226</x:v>
      </x:c>
      <x:c r="J253" s="13" t="n">
        <x:f>D253*I253*H253</x:f>
        <x:v>0.28033965750000006</x:v>
      </x:c>
      <x:c r="K253" s="13" t="n">
        <x:f>E253*I253*H253</x:f>
        <x:v>0.2803396575</x:v>
      </x:c>
      <x:c r="L253" s="1" t="str">
        <x:f>TEXT(A253,"mmm yyyy")</x:f>
        <x:v>May 2026</x:v>
      </x:c>
    </x:row>
    <x:row r="254" ht="21" customHeight="1">
      <x:c r="A254" s="10" t="n">
        <x:v>46153</x:v>
      </x:c>
      <x:c r="B254" s="1" t="n">
        <x:v>19</x:v>
      </x:c>
      <x:c r="C254" s="1" t="n">
        <x:v>6</x:v>
      </x:c>
      <x:c r="D254" s="12" t="n">
        <x:v>0.6705</x:v>
      </x:c>
      <x:c r="E254" s="12" t="n">
        <x:v>0.6705</x:v>
      </x:c>
      <x:c r="F254" s="12" t="n">
        <x:v>0</x:v>
      </x:c>
      <x:c r="G254" s="12" t="n">
        <x:v>0</x:v>
      </x:c>
      <x:c r="H254" s="1" t="n">
        <x:f>'Historical prices'!E254</x:f>
        <x:v>1.05</x:v>
      </x:c>
      <x:c r="I254" s="6" t="n">
        <x:f>'Historical prices'!D254</x:f>
        <x:v>0.2226</x:v>
      </x:c>
      <x:c r="J254" s="13" t="n">
        <x:f>D254*I254*H254</x:f>
        <x:v>0.15671596499999998</x:v>
      </x:c>
      <x:c r="K254" s="13" t="n">
        <x:f>E254*I254*H254</x:f>
        <x:v>0.15671596499999998</x:v>
      </x:c>
      <x:c r="L254" s="1" t="str">
        <x:f>TEXT(A254,"mmm yyyy")</x:f>
        <x:v>May 2026</x:v>
      </x:c>
    </x:row>
    <x:row r="255" ht="21" customHeight="1">
      <x:c r="A255" s="10" t="n">
        <x:v>46153</x:v>
      </x:c>
      <x:c r="B255" s="1" t="n">
        <x:v>19.5</x:v>
      </x:c>
      <x:c r="C255" s="1" t="n">
        <x:v>6</x:v>
      </x:c>
      <x:c r="D255" s="12" t="n">
        <x:v>0.8471666666666666</x:v>
      </x:c>
      <x:c r="E255" s="12" t="n">
        <x:v>0.8471666666666666</x:v>
      </x:c>
      <x:c r="F255" s="12" t="n">
        <x:v>0</x:v>
      </x:c>
      <x:c r="G255" s="12" t="n">
        <x:v>0</x:v>
      </x:c>
      <x:c r="H255" s="1" t="n">
        <x:f>'Historical prices'!E255</x:f>
        <x:v>1.05</x:v>
      </x:c>
      <x:c r="I255" s="6" t="n">
        <x:f>'Historical prices'!D255</x:f>
        <x:v>0.2226</x:v>
      </x:c>
      <x:c r="J255" s="13" t="n">
        <x:f>D255*I255*H255</x:f>
        <x:v>0.198008265</x:v>
      </x:c>
      <x:c r="K255" s="13" t="n">
        <x:f>E255*I255*H255</x:f>
        <x:v>0.198008265</x:v>
      </x:c>
      <x:c r="L255" s="1" t="str">
        <x:f>TEXT(A255,"mmm yyyy")</x:f>
        <x:v>May 2026</x:v>
      </x:c>
    </x:row>
    <x:row r="256" ht="21" customHeight="1">
      <x:c r="A256" s="10" t="n">
        <x:v>46153</x:v>
      </x:c>
      <x:c r="B256" s="1" t="n">
        <x:v>20</x:v>
      </x:c>
      <x:c r="C256" s="1" t="n">
        <x:v>6</x:v>
      </x:c>
      <x:c r="D256" s="12" t="n">
        <x:v>0.58325</x:v>
      </x:c>
      <x:c r="E256" s="12" t="n">
        <x:v>0.58625</x:v>
      </x:c>
      <x:c r="F256" s="12" t="n">
        <x:v>0</x:v>
      </x:c>
      <x:c r="G256" s="12" t="n">
        <x:v>0</x:v>
      </x:c>
      <x:c r="H256" s="1" t="n">
        <x:f>'Historical prices'!E256</x:f>
        <x:v>1.05</x:v>
      </x:c>
      <x:c r="I256" s="6" t="n">
        <x:f>'Historical prices'!D256</x:f>
        <x:v>0.2226</x:v>
      </x:c>
      <x:c r="J256" s="13" t="n">
        <x:f>D256*I256*H256</x:f>
        <x:v>0.13632302250000003</x:v>
      </x:c>
      <x:c r="K256" s="13" t="n">
        <x:f>E256*I256*H256</x:f>
        <x:v>0.13702421250000002</x:v>
      </x:c>
      <x:c r="L256" s="1" t="str">
        <x:f>TEXT(A256,"mmm yyyy")</x:f>
        <x:v>May 2026</x:v>
      </x:c>
    </x:row>
    <x:row r="257" ht="21" customHeight="1">
      <x:c r="A257" s="10" t="n">
        <x:v>46153</x:v>
      </x:c>
      <x:c r="B257" s="1" t="n">
        <x:v>20.5</x:v>
      </x:c>
      <x:c r="C257" s="1" t="n">
        <x:v>6</x:v>
      </x:c>
      <x:c r="D257" s="12" t="n">
        <x:v>0.56175</x:v>
      </x:c>
      <x:c r="E257" s="12" t="n">
        <x:v>0.56175</x:v>
      </x:c>
      <x:c r="F257" s="12" t="n">
        <x:v>0</x:v>
      </x:c>
      <x:c r="G257" s="12" t="n">
        <x:v>0</x:v>
      </x:c>
      <x:c r="H257" s="1" t="n">
        <x:f>'Historical prices'!E257</x:f>
        <x:v>1.05</x:v>
      </x:c>
      <x:c r="I257" s="6" t="n">
        <x:f>'Historical prices'!D257</x:f>
        <x:v>0.2226</x:v>
      </x:c>
      <x:c r="J257" s="13" t="n">
        <x:f>D257*I257*H257</x:f>
        <x:v>0.1312978275</x:v>
      </x:c>
      <x:c r="K257" s="13" t="n">
        <x:f>E257*I257*H257</x:f>
        <x:v>0.1312978275</x:v>
      </x:c>
      <x:c r="L257" s="1" t="str">
        <x:f>TEXT(A257,"mmm yyyy")</x:f>
        <x:v>May 2026</x:v>
      </x:c>
    </x:row>
    <x:row r="258" ht="21" customHeight="1">
      <x:c r="A258" s="10" t="n">
        <x:v>46153</x:v>
      </x:c>
      <x:c r="B258" s="1" t="n">
        <x:v>21</x:v>
      </x:c>
      <x:c r="C258" s="1" t="n">
        <x:v>6</x:v>
      </x:c>
      <x:c r="D258" s="12" t="n">
        <x:v>0.552</x:v>
      </x:c>
      <x:c r="E258" s="12" t="n">
        <x:v>0.5529999999999999</x:v>
      </x:c>
      <x:c r="F258" s="12" t="n">
        <x:v>0</x:v>
      </x:c>
      <x:c r="G258" s="12" t="n">
        <x:v>0</x:v>
      </x:c>
      <x:c r="H258" s="1" t="n">
        <x:f>'Historical prices'!E258</x:f>
        <x:v>1.05</x:v>
      </x:c>
      <x:c r="I258" s="6" t="n">
        <x:f>'Historical prices'!D258</x:f>
        <x:v>0.2226</x:v>
      </x:c>
      <x:c r="J258" s="13" t="n">
        <x:f>D258*I258*H258</x:f>
        <x:v>0.12901896000000002</x:v>
      </x:c>
      <x:c r="K258" s="13" t="n">
        <x:f>E258*I258*H258</x:f>
        <x:v>0.12925268999999998</x:v>
      </x:c>
      <x:c r="L258" s="1" t="str">
        <x:f>TEXT(A258,"mmm yyyy")</x:f>
        <x:v>May 2026</x:v>
      </x:c>
    </x:row>
    <x:row r="259" ht="21" customHeight="1">
      <x:c r="A259" s="10" t="n">
        <x:v>46153</x:v>
      </x:c>
      <x:c r="B259" s="1" t="n">
        <x:v>21.5</x:v>
      </x:c>
      <x:c r="C259" s="1" t="n">
        <x:v>6</x:v>
      </x:c>
      <x:c r="D259" s="12" t="n">
        <x:v>0.9534166666666666</x:v>
      </x:c>
      <x:c r="E259" s="12" t="n">
        <x:v>0.9544166666666666</x:v>
      </x:c>
      <x:c r="F259" s="12" t="n">
        <x:v>0</x:v>
      </x:c>
      <x:c r="G259" s="12" t="n">
        <x:v>0</x:v>
      </x:c>
      <x:c r="H259" s="1" t="n">
        <x:f>'Historical prices'!E259</x:f>
        <x:v>1.05</x:v>
      </x:c>
      <x:c r="I259" s="6" t="n">
        <x:f>'Historical prices'!D259</x:f>
        <x:v>0.2226</x:v>
      </x:c>
      <x:c r="J259" s="13" t="n">
        <x:f>D259*I259*H259</x:f>
        <x:v>0.22284207749999996</x:v>
      </x:c>
      <x:c r="K259" s="13" t="n">
        <x:f>E259*I259*H259</x:f>
        <x:v>0.2230758075</x:v>
      </x:c>
      <x:c r="L259" s="1" t="str">
        <x:f>TEXT(A259,"mmm yyyy")</x:f>
        <x:v>May 2026</x:v>
      </x:c>
    </x:row>
    <x:row r="260" ht="21" customHeight="1">
      <x:c r="A260" s="10" t="n">
        <x:v>46153</x:v>
      </x:c>
      <x:c r="B260" s="1" t="n">
        <x:v>22</x:v>
      </x:c>
      <x:c r="C260" s="1" t="n">
        <x:v>6</x:v>
      </x:c>
      <x:c r="D260" s="12" t="n">
        <x:v>0.409</x:v>
      </x:c>
      <x:c r="E260" s="12" t="n">
        <x:v>0.41</x:v>
      </x:c>
      <x:c r="F260" s="12" t="n">
        <x:v>0</x:v>
      </x:c>
      <x:c r="G260" s="12" t="n">
        <x:v>0</x:v>
      </x:c>
      <x:c r="H260" s="1" t="n">
        <x:f>'Historical prices'!E260</x:f>
        <x:v>1.05</x:v>
      </x:c>
      <x:c r="I260" s="6" t="n">
        <x:f>'Historical prices'!D260</x:f>
        <x:v>0.2226</x:v>
      </x:c>
      <x:c r="J260" s="13" t="n">
        <x:f>D260*I260*H260</x:f>
        <x:v>0.09559557</x:v>
      </x:c>
      <x:c r="K260" s="13" t="n">
        <x:f>E260*I260*H260</x:f>
        <x:v>0.09582929999999999</x:v>
      </x:c>
      <x:c r="L260" s="1" t="str">
        <x:f>TEXT(A260,"mmm yyyy")</x:f>
        <x:v>May 2026</x:v>
      </x:c>
    </x:row>
    <x:row r="261" ht="21" customHeight="1">
      <x:c r="A261" s="10" t="n">
        <x:v>46153</x:v>
      </x:c>
      <x:c r="B261" s="1" t="n">
        <x:v>22.5</x:v>
      </x:c>
      <x:c r="C261" s="1" t="n">
        <x:v>6</x:v>
      </x:c>
      <x:c r="D261" s="12" t="n">
        <x:v>0.27783333333333327</x:v>
      </x:c>
      <x:c r="E261" s="12" t="n">
        <x:v>0.2768333333333334</x:v>
      </x:c>
      <x:c r="F261" s="12" t="n">
        <x:v>0</x:v>
      </x:c>
      <x:c r="G261" s="12" t="n">
        <x:v>0</x:v>
      </x:c>
      <x:c r="H261" s="1" t="n">
        <x:f>'Historical prices'!E261</x:f>
        <x:v>1.05</x:v>
      </x:c>
      <x:c r="I261" s="6" t="n">
        <x:f>'Historical prices'!D261</x:f>
        <x:v>0.2226</x:v>
      </x:c>
      <x:c r="J261" s="13" t="n">
        <x:f>D261*I261*H261</x:f>
        <x:v>0.06493798499999999</x:v>
      </x:c>
      <x:c r="K261" s="13" t="n">
        <x:f>E261*I261*H261</x:f>
        <x:v>0.06470425500000002</x:v>
      </x:c>
      <x:c r="L261" s="1" t="str">
        <x:f>TEXT(A261,"mmm yyyy")</x:f>
        <x:v>May 2026</x:v>
      </x:c>
    </x:row>
    <x:row r="262" ht="21" customHeight="1">
      <x:c r="A262" s="10" t="n">
        <x:v>46153</x:v>
      </x:c>
      <x:c r="B262" s="1" t="n">
        <x:v>23</x:v>
      </x:c>
      <x:c r="C262" s="1" t="n">
        <x:v>6</x:v>
      </x:c>
      <x:c r="D262" s="12" t="n">
        <x:v>0.3065</x:v>
      </x:c>
      <x:c r="E262" s="12" t="n">
        <x:v>0.3065</x:v>
      </x:c>
      <x:c r="F262" s="12" t="n">
        <x:v>0</x:v>
      </x:c>
      <x:c r="G262" s="12" t="n">
        <x:v>0</x:v>
      </x:c>
      <x:c r="H262" s="1" t="n">
        <x:f>'Historical prices'!E262</x:f>
        <x:v>1.05</x:v>
      </x:c>
      <x:c r="I262" s="6" t="n">
        <x:f>'Historical prices'!D262</x:f>
        <x:v>0.2226</x:v>
      </x:c>
      <x:c r="J262" s="13" t="n">
        <x:f>D262*I262*H262</x:f>
        <x:v>0.07163824499999999</x:v>
      </x:c>
      <x:c r="K262" s="13" t="n">
        <x:f>E262*I262*H262</x:f>
        <x:v>0.07163824499999999</x:v>
      </x:c>
      <x:c r="L262" s="1" t="str">
        <x:f>TEXT(A262,"mmm yyyy")</x:f>
        <x:v>May 2026</x:v>
      </x:c>
    </x:row>
    <x:row r="263" ht="21" customHeight="1">
      <x:c r="A263" s="10" t="n">
        <x:v>46153</x:v>
      </x:c>
      <x:c r="B263" s="1" t="n">
        <x:v>23.5</x:v>
      </x:c>
      <x:c r="C263" s="1" t="n">
        <x:v>6</x:v>
      </x:c>
      <x:c r="D263" s="12" t="n">
        <x:v>0.27591666666666664</x:v>
      </x:c>
      <x:c r="E263" s="12" t="n">
        <x:v>0.2769166666666667</x:v>
      </x:c>
      <x:c r="F263" s="12" t="n">
        <x:v>0</x:v>
      </x:c>
      <x:c r="G263" s="12" t="n">
        <x:v>0</x:v>
      </x:c>
      <x:c r="H263" s="1" t="n">
        <x:f>'Historical prices'!E263</x:f>
        <x:v>1.05</x:v>
      </x:c>
      <x:c r="I263" s="6" t="n">
        <x:f>'Historical prices'!D263</x:f>
        <x:v>0.2226</x:v>
      </x:c>
      <x:c r="J263" s="13" t="n">
        <x:f>D263*I263*H263</x:f>
        <x:v>0.0644900025</x:v>
      </x:c>
      <x:c r="K263" s="13" t="n">
        <x:f>E263*I263*H263</x:f>
        <x:v>0.0647237325</x:v>
      </x:c>
      <x:c r="L263" s="1" t="str">
        <x:f>TEXT(A263,"mmm yyyy")</x:f>
        <x:v>May 2026</x:v>
      </x:c>
    </x:row>
    <x:row r="264" ht="21" customHeight="1">
      <x:c r="A264" s="10" t="n">
        <x:v>46154</x:v>
      </x:c>
      <x:c r="B264" s="1" t="n">
        <x:v>0</x:v>
      </x:c>
      <x:c r="C264" s="1" t="n">
        <x:v>6</x:v>
      </x:c>
      <x:c r="D264" s="12" t="n">
        <x:v>0.274</x:v>
      </x:c>
      <x:c r="E264" s="12" t="n">
        <x:v>0.275</x:v>
      </x:c>
      <x:c r="F264" s="12" t="n">
        <x:v>0</x:v>
      </x:c>
      <x:c r="G264" s="12" t="n">
        <x:v>0</x:v>
      </x:c>
      <x:c r="H264" s="1" t="n">
        <x:f>'Historical prices'!E264</x:f>
        <x:v>1.05</x:v>
      </x:c>
      <x:c r="I264" s="6" t="n">
        <x:f>'Historical prices'!D264</x:f>
        <x:v>0.2226</x:v>
      </x:c>
      <x:c r="J264" s="13" t="n">
        <x:f>D264*I264*H264</x:f>
        <x:v>0.06404202</x:v>
      </x:c>
      <x:c r="K264" s="13" t="n">
        <x:f>E264*I264*H264</x:f>
        <x:v>0.06427575</x:v>
      </x:c>
      <x:c r="L264" s="1" t="str">
        <x:f>TEXT(A264,"mmm yyyy")</x:f>
        <x:v>May 2026</x:v>
      </x:c>
    </x:row>
    <x:row r="265" ht="21" customHeight="1">
      <x:c r="A265" s="10" t="n">
        <x:v>46154</x:v>
      </x:c>
      <x:c r="B265" s="1" t="n">
        <x:v>0.5</x:v>
      </x:c>
      <x:c r="C265" s="1" t="n">
        <x:v>6</x:v>
      </x:c>
      <x:c r="D265" s="12" t="n">
        <x:v>0.22491666666666663</x:v>
      </x:c>
      <x:c r="E265" s="12" t="n">
        <x:v>0.22591666666666663</x:v>
      </x:c>
      <x:c r="F265" s="12" t="n">
        <x:v>0</x:v>
      </x:c>
      <x:c r="G265" s="12" t="n">
        <x:v>0</x:v>
      </x:c>
      <x:c r="H265" s="1" t="n">
        <x:f>'Historical prices'!E265</x:f>
        <x:v>1.05</x:v>
      </x:c>
      <x:c r="I265" s="6" t="n">
        <x:f>'Historical prices'!D265</x:f>
        <x:v>0.2226</x:v>
      </x:c>
      <x:c r="J265" s="13" t="n">
        <x:f>D265*I265*H265</x:f>
        <x:v>0.052569772499999994</x:v>
      </x:c>
      <x:c r="K265" s="13" t="n">
        <x:f>E265*I265*H265</x:f>
        <x:v>0.05280350249999999</x:v>
      </x:c>
      <x:c r="L265" s="1" t="str">
        <x:f>TEXT(A265,"mmm yyyy")</x:f>
        <x:v>May 2026</x:v>
      </x:c>
    </x:row>
    <x:row r="266" ht="21" customHeight="1">
      <x:c r="A266" s="10" t="n">
        <x:v>46154</x:v>
      </x:c>
      <x:c r="B266" s="1" t="n">
        <x:v>1</x:v>
      </x:c>
      <x:c r="C266" s="1" t="n">
        <x:v>6</x:v>
      </x:c>
      <x:c r="D266" s="12" t="n">
        <x:v>0.26016666666666666</x:v>
      </x:c>
      <x:c r="E266" s="12" t="n">
        <x:v>0.26016666666666666</x:v>
      </x:c>
      <x:c r="F266" s="12" t="n">
        <x:v>0</x:v>
      </x:c>
      <x:c r="G266" s="12" t="n">
        <x:v>0</x:v>
      </x:c>
      <x:c r="H266" s="1" t="n">
        <x:f>'Historical prices'!E266</x:f>
        <x:v>1.05</x:v>
      </x:c>
      <x:c r="I266" s="6" t="n">
        <x:f>'Historical prices'!D266</x:f>
        <x:v>0.2226</x:v>
      </x:c>
      <x:c r="J266" s="13" t="n">
        <x:f>D266*I266*H266</x:f>
        <x:v>0.060808755</x:v>
      </x:c>
      <x:c r="K266" s="13" t="n">
        <x:f>E266*I266*H266</x:f>
        <x:v>0.060808755</x:v>
      </x:c>
      <x:c r="L266" s="1" t="str">
        <x:f>TEXT(A266,"mmm yyyy")</x:f>
        <x:v>May 2026</x:v>
      </x:c>
    </x:row>
    <x:row r="267" ht="21" customHeight="1">
      <x:c r="A267" s="10" t="n">
        <x:v>46154</x:v>
      </x:c>
      <x:c r="B267" s="1" t="n">
        <x:v>1.5</x:v>
      </x:c>
      <x:c r="C267" s="1" t="n">
        <x:v>6</x:v>
      </x:c>
      <x:c r="D267" s="12" t="n">
        <x:v>0.25875000000000004</x:v>
      </x:c>
      <x:c r="E267" s="12" t="n">
        <x:v>0.26075000000000004</x:v>
      </x:c>
      <x:c r="F267" s="12" t="n">
        <x:v>0</x:v>
      </x:c>
      <x:c r="G267" s="12" t="n">
        <x:v>0</x:v>
      </x:c>
      <x:c r="H267" s="1" t="n">
        <x:f>'Historical prices'!E267</x:f>
        <x:v>1.05</x:v>
      </x:c>
      <x:c r="I267" s="6" t="n">
        <x:f>'Historical prices'!D267</x:f>
        <x:v>0.2226</x:v>
      </x:c>
      <x:c r="J267" s="13" t="n">
        <x:f>D267*I267*H267</x:f>
        <x:v>0.06047763750000001</x:v>
      </x:c>
      <x:c r="K267" s="13" t="n">
        <x:f>E267*I267*H267</x:f>
        <x:v>0.0609450975</x:v>
      </x:c>
      <x:c r="L267" s="1" t="str">
        <x:f>TEXT(A267,"mmm yyyy")</x:f>
        <x:v>May 2026</x:v>
      </x:c>
    </x:row>
    <x:row r="268" ht="21" customHeight="1">
      <x:c r="A268" s="10" t="n">
        <x:v>46154</x:v>
      </x:c>
      <x:c r="B268" s="1" t="n">
        <x:v>2</x:v>
      </x:c>
      <x:c r="C268" s="1" t="n">
        <x:v>6</x:v>
      </x:c>
      <x:c r="D268" s="12" t="n">
        <x:v>0.24158333333333332</x:v>
      </x:c>
      <x:c r="E268" s="12" t="n">
        <x:v>0.24158333333333332</x:v>
      </x:c>
      <x:c r="F268" s="12" t="n">
        <x:v>0</x:v>
      </x:c>
      <x:c r="G268" s="12" t="n">
        <x:v>0</x:v>
      </x:c>
      <x:c r="H268" s="1" t="n">
        <x:f>'Historical prices'!E268</x:f>
        <x:v>1.05</x:v>
      </x:c>
      <x:c r="I268" s="6" t="n">
        <x:f>'Historical prices'!D268</x:f>
        <x:v>0.2226</x:v>
      </x:c>
      <x:c r="J268" s="13" t="n">
        <x:f>D268*I268*H268</x:f>
        <x:v>0.0564652725</x:v>
      </x:c>
      <x:c r="K268" s="13" t="n">
        <x:f>E268*I268*H268</x:f>
        <x:v>0.0564652725</x:v>
      </x:c>
      <x:c r="L268" s="1" t="str">
        <x:f>TEXT(A268,"mmm yyyy")</x:f>
        <x:v>May 2026</x:v>
      </x:c>
    </x:row>
    <x:row r="269" ht="21" customHeight="1">
      <x:c r="A269" s="10" t="n">
        <x:v>46154</x:v>
      </x:c>
      <x:c r="B269" s="1" t="n">
        <x:v>2.5</x:v>
      </x:c>
      <x:c r="C269" s="1" t="n">
        <x:v>6</x:v>
      </x:c>
      <x:c r="D269" s="12" t="n">
        <x:v>0.2524166666666667</x:v>
      </x:c>
      <x:c r="E269" s="12" t="n">
        <x:v>0.2534166666666667</x:v>
      </x:c>
      <x:c r="F269" s="12" t="n">
        <x:v>0</x:v>
      </x:c>
      <x:c r="G269" s="12" t="n">
        <x:v>0</x:v>
      </x:c>
      <x:c r="H269" s="1" t="n">
        <x:f>'Historical prices'!E269</x:f>
        <x:v>1.05</x:v>
      </x:c>
      <x:c r="I269" s="6" t="n">
        <x:f>'Historical prices'!D269</x:f>
        <x:v>0.2226</x:v>
      </x:c>
      <x:c r="J269" s="13" t="n">
        <x:f>D269*I269*H269</x:f>
        <x:v>0.058997347500000005</x:v>
      </x:c>
      <x:c r="K269" s="13" t="n">
        <x:f>E269*I269*H269</x:f>
        <x:v>0.05923107750000001</x:v>
      </x:c>
      <x:c r="L269" s="1" t="str">
        <x:f>TEXT(A269,"mmm yyyy")</x:f>
        <x:v>May 2026</x:v>
      </x:c>
    </x:row>
    <x:row r="270" ht="21" customHeight="1">
      <x:c r="A270" s="10" t="n">
        <x:v>46154</x:v>
      </x:c>
      <x:c r="B270" s="1" t="n">
        <x:v>3</x:v>
      </x:c>
      <x:c r="C270" s="1" t="n">
        <x:v>6</x:v>
      </x:c>
      <x:c r="D270" s="12" t="n">
        <x:v>0.20916666666666667</x:v>
      </x:c>
      <x:c r="E270" s="12" t="n">
        <x:v>0.2101666666666667</x:v>
      </x:c>
      <x:c r="F270" s="12" t="n">
        <x:v>0</x:v>
      </x:c>
      <x:c r="G270" s="12" t="n">
        <x:v>0</x:v>
      </x:c>
      <x:c r="H270" s="1" t="n">
        <x:f>'Historical prices'!E270</x:f>
        <x:v>1.05</x:v>
      </x:c>
      <x:c r="I270" s="6" t="n">
        <x:f>'Historical prices'!D270</x:f>
        <x:v>0.2226</x:v>
      </x:c>
      <x:c r="J270" s="13" t="n">
        <x:f>D270*I270*H270</x:f>
        <x:v>0.048888525</x:v>
      </x:c>
      <x:c r="K270" s="13" t="n">
        <x:f>E270*I270*H270</x:f>
        <x:v>0.04912225500000001</x:v>
      </x:c>
      <x:c r="L270" s="1" t="str">
        <x:f>TEXT(A270,"mmm yyyy")</x:f>
        <x:v>May 2026</x:v>
      </x:c>
    </x:row>
    <x:row r="271" ht="21" customHeight="1">
      <x:c r="A271" s="10" t="n">
        <x:v>46154</x:v>
      </x:c>
      <x:c r="B271" s="1" t="n">
        <x:v>3.5</x:v>
      </x:c>
      <x:c r="C271" s="1" t="n">
        <x:v>6</x:v>
      </x:c>
      <x:c r="D271" s="12" t="n">
        <x:v>0.20500000000000002</x:v>
      </x:c>
      <x:c r="E271" s="12" t="n">
        <x:v>0.20500000000000002</x:v>
      </x:c>
      <x:c r="F271" s="12" t="n">
        <x:v>0</x:v>
      </x:c>
      <x:c r="G271" s="12" t="n">
        <x:v>0</x:v>
      </x:c>
      <x:c r="H271" s="1" t="n">
        <x:f>'Historical prices'!E271</x:f>
        <x:v>1.05</x:v>
      </x:c>
      <x:c r="I271" s="6" t="n">
        <x:f>'Historical prices'!D271</x:f>
        <x:v>0.2226</x:v>
      </x:c>
      <x:c r="J271" s="13" t="n">
        <x:f>D271*I271*H271</x:f>
        <x:v>0.04791465</x:v>
      </x:c>
      <x:c r="K271" s="13" t="n">
        <x:f>E271*I271*H271</x:f>
        <x:v>0.04791465</x:v>
      </x:c>
      <x:c r="L271" s="1" t="str">
        <x:f>TEXT(A271,"mmm yyyy")</x:f>
        <x:v>May 2026</x:v>
      </x:c>
    </x:row>
    <x:row r="272" ht="21" customHeight="1">
      <x:c r="A272" s="10" t="n">
        <x:v>46154</x:v>
      </x:c>
      <x:c r="B272" s="1" t="n">
        <x:v>4</x:v>
      </x:c>
      <x:c r="C272" s="1" t="n">
        <x:v>6</x:v>
      </x:c>
      <x:c r="D272" s="12" t="n">
        <x:v>0.2465</x:v>
      </x:c>
      <x:c r="E272" s="12" t="n">
        <x:v>0.2465</x:v>
      </x:c>
      <x:c r="F272" s="12" t="n">
        <x:v>0</x:v>
      </x:c>
      <x:c r="G272" s="12" t="n">
        <x:v>0</x:v>
      </x:c>
      <x:c r="H272" s="1" t="n">
        <x:f>'Historical prices'!E272</x:f>
        <x:v>1.05</x:v>
      </x:c>
      <x:c r="I272" s="6" t="n">
        <x:f>'Historical prices'!D272</x:f>
        <x:v>0.2226</x:v>
      </x:c>
      <x:c r="J272" s="13" t="n">
        <x:f>D272*I272*H272</x:f>
        <x:v>0.057614445</x:v>
      </x:c>
      <x:c r="K272" s="13" t="n">
        <x:f>E272*I272*H272</x:f>
        <x:v>0.057614445</x:v>
      </x:c>
      <x:c r="L272" s="1" t="str">
        <x:f>TEXT(A272,"mmm yyyy")</x:f>
        <x:v>May 2026</x:v>
      </x:c>
    </x:row>
    <x:row r="273" ht="21" customHeight="1">
      <x:c r="A273" s="10" t="n">
        <x:v>46154</x:v>
      </x:c>
      <x:c r="B273" s="1" t="n">
        <x:v>4.5</x:v>
      </x:c>
      <x:c r="C273" s="1" t="n">
        <x:v>6</x:v>
      </x:c>
      <x:c r="D273" s="12" t="n">
        <x:v>0.34258333333333335</x:v>
      </x:c>
      <x:c r="E273" s="12" t="n">
        <x:v>0.34458333333333335</x:v>
      </x:c>
      <x:c r="F273" s="12" t="n">
        <x:v>0</x:v>
      </x:c>
      <x:c r="G273" s="12" t="n">
        <x:v>0</x:v>
      </x:c>
      <x:c r="H273" s="1" t="n">
        <x:f>'Historical prices'!E273</x:f>
        <x:v>1.05</x:v>
      </x:c>
      <x:c r="I273" s="6" t="n">
        <x:f>'Historical prices'!D273</x:f>
        <x:v>0.2226</x:v>
      </x:c>
      <x:c r="J273" s="13" t="n">
        <x:f>D273*I273*H273</x:f>
        <x:v>0.0800720025</x:v>
      </x:c>
      <x:c r="K273" s="13" t="n">
        <x:f>E273*I273*H273</x:f>
        <x:v>0.0805394625</x:v>
      </x:c>
      <x:c r="L273" s="1" t="str">
        <x:f>TEXT(A273,"mmm yyyy")</x:f>
        <x:v>May 2026</x:v>
      </x:c>
    </x:row>
    <x:row r="274" ht="21" customHeight="1">
      <x:c r="A274" s="10" t="n">
        <x:v>46154</x:v>
      </x:c>
      <x:c r="B274" s="1" t="n">
        <x:v>5</x:v>
      </x:c>
      <x:c r="C274" s="1" t="n">
        <x:v>6</x:v>
      </x:c>
      <x:c r="D274" s="12" t="n">
        <x:v>0.3140833333333333</x:v>
      </x:c>
      <x:c r="E274" s="12" t="n">
        <x:v>0.3150833333333333</x:v>
      </x:c>
      <x:c r="F274" s="12" t="n">
        <x:v>0</x:v>
      </x:c>
      <x:c r="G274" s="12" t="n">
        <x:v>0</x:v>
      </x:c>
      <x:c r="H274" s="1" t="n">
        <x:f>'Historical prices'!E274</x:f>
        <x:v>1.05</x:v>
      </x:c>
      <x:c r="I274" s="6" t="n">
        <x:f>'Historical prices'!D274</x:f>
        <x:v>0.2226</x:v>
      </x:c>
      <x:c r="J274" s="13" t="n">
        <x:f>D274*I274*H274</x:f>
        <x:v>0.0734106975</x:v>
      </x:c>
      <x:c r="K274" s="13" t="n">
        <x:f>E274*I274*H274</x:f>
        <x:v>0.0736444275</x:v>
      </x:c>
      <x:c r="L274" s="1" t="str">
        <x:f>TEXT(A274,"mmm yyyy")</x:f>
        <x:v>May 2026</x:v>
      </x:c>
    </x:row>
    <x:row r="275" ht="21" customHeight="1">
      <x:c r="A275" s="10" t="n">
        <x:v>46154</x:v>
      </x:c>
      <x:c r="B275" s="1" t="n">
        <x:v>5.5</x:v>
      </x:c>
      <x:c r="C275" s="1" t="n">
        <x:v>6</x:v>
      </x:c>
      <x:c r="D275" s="12" t="n">
        <x:v>0.33358333333333334</x:v>
      </x:c>
      <x:c r="E275" s="12" t="n">
        <x:v>0.33358333333333334</x:v>
      </x:c>
      <x:c r="F275" s="12" t="n">
        <x:v>0</x:v>
      </x:c>
      <x:c r="G275" s="12" t="n">
        <x:v>0</x:v>
      </x:c>
      <x:c r="H275" s="1" t="n">
        <x:f>'Historical prices'!E275</x:f>
        <x:v>1.05</x:v>
      </x:c>
      <x:c r="I275" s="6" t="n">
        <x:f>'Historical prices'!D275</x:f>
        <x:v>0.2226</x:v>
      </x:c>
      <x:c r="J275" s="13" t="n">
        <x:f>D275*I275*H275</x:f>
        <x:v>0.0779684325</x:v>
      </x:c>
      <x:c r="K275" s="13" t="n">
        <x:f>E275*I275*H275</x:f>
        <x:v>0.0779684325</x:v>
      </x:c>
      <x:c r="L275" s="1" t="str">
        <x:f>TEXT(A275,"mmm yyyy")</x:f>
        <x:v>May 2026</x:v>
      </x:c>
    </x:row>
    <x:row r="276" ht="21" customHeight="1">
      <x:c r="A276" s="10" t="n">
        <x:v>46154</x:v>
      </x:c>
      <x:c r="B276" s="1" t="n">
        <x:v>6</x:v>
      </x:c>
      <x:c r="C276" s="1" t="n">
        <x:v>6</x:v>
      </x:c>
      <x:c r="D276" s="12" t="n">
        <x:v>0.45625000000000004</x:v>
      </x:c>
      <x:c r="E276" s="12" t="n">
        <x:v>0.45725000000000005</x:v>
      </x:c>
      <x:c r="F276" s="12" t="n">
        <x:v>0</x:v>
      </x:c>
      <x:c r="G276" s="12" t="n">
        <x:v>0</x:v>
      </x:c>
      <x:c r="H276" s="1" t="n">
        <x:f>'Historical prices'!E276</x:f>
        <x:v>1.05</x:v>
      </x:c>
      <x:c r="I276" s="6" t="n">
        <x:f>'Historical prices'!D276</x:f>
        <x:v>0.2226</x:v>
      </x:c>
      <x:c r="J276" s="13" t="n">
        <x:f>D276*I276*H276</x:f>
        <x:v>0.10663931250000001</x:v>
      </x:c>
      <x:c r="K276" s="13" t="n">
        <x:f>E276*I276*H276</x:f>
        <x:v>0.10687304250000002</x:v>
      </x:c>
      <x:c r="L276" s="1" t="str">
        <x:f>TEXT(A276,"mmm yyyy")</x:f>
        <x:v>May 2026</x:v>
      </x:c>
    </x:row>
    <x:row r="277" ht="21" customHeight="1">
      <x:c r="A277" s="10" t="n">
        <x:v>46154</x:v>
      </x:c>
      <x:c r="B277" s="1" t="n">
        <x:v>6.5</x:v>
      </x:c>
      <x:c r="C277" s="1" t="n">
        <x:v>6</x:v>
      </x:c>
      <x:c r="D277" s="12" t="n">
        <x:v>0.6790833333333333</x:v>
      </x:c>
      <x:c r="E277" s="12" t="n">
        <x:v>0.6780833333333334</x:v>
      </x:c>
      <x:c r="F277" s="12" t="n">
        <x:v>0</x:v>
      </x:c>
      <x:c r="G277" s="12" t="n">
        <x:v>0</x:v>
      </x:c>
      <x:c r="H277" s="1" t="n">
        <x:f>'Historical prices'!E277</x:f>
        <x:v>1.05</x:v>
      </x:c>
      <x:c r="I277" s="6" t="n">
        <x:f>'Historical prices'!D277</x:f>
        <x:v>0.2226</x:v>
      </x:c>
      <x:c r="J277" s="13" t="n">
        <x:f>D277*I277*H277</x:f>
        <x:v>0.1587221475</x:v>
      </x:c>
      <x:c r="K277" s="13" t="n">
        <x:f>E277*I277*H277</x:f>
        <x:v>0.1584884175</x:v>
      </x:c>
      <x:c r="L277" s="1" t="str">
        <x:f>TEXT(A277,"mmm yyyy")</x:f>
        <x:v>May 2026</x:v>
      </x:c>
    </x:row>
    <x:row r="278" ht="21" customHeight="1">
      <x:c r="A278" s="10" t="n">
        <x:v>46154</x:v>
      </x:c>
      <x:c r="B278" s="1" t="n">
        <x:v>7</x:v>
      </x:c>
      <x:c r="C278" s="1" t="n">
        <x:v>6</x:v>
      </x:c>
      <x:c r="D278" s="12" t="n">
        <x:v>0.5588333333333334</x:v>
      </x:c>
      <x:c r="E278" s="12" t="n">
        <x:v>0.5598333333333334</x:v>
      </x:c>
      <x:c r="F278" s="12" t="n">
        <x:v>0</x:v>
      </x:c>
      <x:c r="G278" s="12" t="n">
        <x:v>0</x:v>
      </x:c>
      <x:c r="H278" s="1" t="n">
        <x:f>'Historical prices'!E278</x:f>
        <x:v>1.05</x:v>
      </x:c>
      <x:c r="I278" s="6" t="n">
        <x:f>'Historical prices'!D278</x:f>
        <x:v>0.2226</x:v>
      </x:c>
      <x:c r="J278" s="13" t="n">
        <x:f>D278*I278*H278</x:f>
        <x:v>0.13061611500000003</x:v>
      </x:c>
      <x:c r="K278" s="13" t="n">
        <x:f>E278*I278*H278</x:f>
        <x:v>0.13084984500000002</x:v>
      </x:c>
      <x:c r="L278" s="1" t="str">
        <x:f>TEXT(A278,"mmm yyyy")</x:f>
        <x:v>May 2026</x:v>
      </x:c>
    </x:row>
    <x:row r="279" ht="21" customHeight="1">
      <x:c r="A279" s="10" t="n">
        <x:v>46154</x:v>
      </x:c>
      <x:c r="B279" s="1" t="n">
        <x:v>7.5</x:v>
      </x:c>
      <x:c r="C279" s="1" t="n">
        <x:v>6</x:v>
      </x:c>
      <x:c r="D279" s="12" t="n">
        <x:v>0.6486666666666666</x:v>
      </x:c>
      <x:c r="E279" s="12" t="n">
        <x:v>0.6486666666666666</x:v>
      </x:c>
      <x:c r="F279" s="12" t="n">
        <x:v>0</x:v>
      </x:c>
      <x:c r="G279" s="12" t="n">
        <x:v>0</x:v>
      </x:c>
      <x:c r="H279" s="1" t="n">
        <x:f>'Historical prices'!E279</x:f>
        <x:v>1.05</x:v>
      </x:c>
      <x:c r="I279" s="6" t="n">
        <x:f>'Historical prices'!D279</x:f>
        <x:v>0.2226</x:v>
      </x:c>
      <x:c r="J279" s="13" t="n">
        <x:f>D279*I279*H279</x:f>
        <x:v>0.15161286</x:v>
      </x:c>
      <x:c r="K279" s="13" t="n">
        <x:f>E279*I279*H279</x:f>
        <x:v>0.15161286</x:v>
      </x:c>
      <x:c r="L279" s="1" t="str">
        <x:f>TEXT(A279,"mmm yyyy")</x:f>
        <x:v>May 2026</x:v>
      </x:c>
    </x:row>
    <x:row r="280" ht="21" customHeight="1">
      <x:c r="A280" s="10" t="n">
        <x:v>46154</x:v>
      </x:c>
      <x:c r="B280" s="1" t="n">
        <x:v>8</x:v>
      </x:c>
      <x:c r="C280" s="1" t="n">
        <x:v>6</x:v>
      </x:c>
      <x:c r="D280" s="12" t="n">
        <x:v>0.5751666666666667</x:v>
      </x:c>
      <x:c r="E280" s="12" t="n">
        <x:v>0.5761666666666667</x:v>
      </x:c>
      <x:c r="F280" s="12" t="n">
        <x:v>0</x:v>
      </x:c>
      <x:c r="G280" s="12" t="n">
        <x:v>0</x:v>
      </x:c>
      <x:c r="H280" s="1" t="n">
        <x:f>'Historical prices'!E280</x:f>
        <x:v>1.05</x:v>
      </x:c>
      <x:c r="I280" s="6" t="n">
        <x:f>'Historical prices'!D280</x:f>
        <x:v>0.2226</x:v>
      </x:c>
      <x:c r="J280" s="13" t="n">
        <x:f>D280*I280*H280</x:f>
        <x:v>0.13443370500000001</x:v>
      </x:c>
      <x:c r="K280" s="13" t="n">
        <x:f>E280*I280*H280</x:f>
        <x:v>0.134667435</x:v>
      </x:c>
      <x:c r="L280" s="1" t="str">
        <x:f>TEXT(A280,"mmm yyyy")</x:f>
        <x:v>May 2026</x:v>
      </x:c>
    </x:row>
    <x:row r="281" ht="21" customHeight="1">
      <x:c r="A281" s="10" t="n">
        <x:v>46154</x:v>
      </x:c>
      <x:c r="B281" s="1" t="n">
        <x:v>8.5</x:v>
      </x:c>
      <x:c r="C281" s="1" t="n">
        <x:v>6</x:v>
      </x:c>
      <x:c r="D281" s="12" t="n">
        <x:v>2.252333333333333</x:v>
      </x:c>
      <x:c r="E281" s="12" t="n">
        <x:v>2.251333333333333</x:v>
      </x:c>
      <x:c r="F281" s="12" t="n">
        <x:v>0</x:v>
      </x:c>
      <x:c r="G281" s="12" t="n">
        <x:v>0</x:v>
      </x:c>
      <x:c r="H281" s="1" t="n">
        <x:f>'Historical prices'!E281</x:f>
        <x:v>1.05</x:v>
      </x:c>
      <x:c r="I281" s="6" t="n">
        <x:f>'Historical prices'!D281</x:f>
        <x:v>0.2226</x:v>
      </x:c>
      <x:c r="J281" s="13" t="n">
        <x:f>D281*I281*H281</x:f>
        <x:v>0.52643787</x:v>
      </x:c>
      <x:c r="K281" s="13" t="n">
        <x:f>E281*I281*H281</x:f>
        <x:v>0.52620414</x:v>
      </x:c>
      <x:c r="L281" s="1" t="str">
        <x:f>TEXT(A281,"mmm yyyy")</x:f>
        <x:v>May 2026</x:v>
      </x:c>
    </x:row>
    <x:row r="282" ht="21" customHeight="1">
      <x:c r="A282" s="10" t="n">
        <x:v>46154</x:v>
      </x:c>
      <x:c r="B282" s="1" t="n">
        <x:v>9</x:v>
      </x:c>
      <x:c r="C282" s="1" t="n">
        <x:v>6</x:v>
      </x:c>
      <x:c r="D282" s="12" t="n">
        <x:v>2.2840833333333332</x:v>
      </x:c>
      <x:c r="E282" s="12" t="n">
        <x:v>2.2840833333333332</x:v>
      </x:c>
      <x:c r="F282" s="12" t="n">
        <x:v>0</x:v>
      </x:c>
      <x:c r="G282" s="12" t="n">
        <x:v>0</x:v>
      </x:c>
      <x:c r="H282" s="1" t="n">
        <x:f>'Historical prices'!E282</x:f>
        <x:v>1.05</x:v>
      </x:c>
      <x:c r="I282" s="6" t="n">
        <x:f>'Historical prices'!D282</x:f>
        <x:v>0.2226</x:v>
      </x:c>
      <x:c r="J282" s="13" t="n">
        <x:f>D282*I282*H282</x:f>
        <x:v>0.5338587975</x:v>
      </x:c>
      <x:c r="K282" s="13" t="n">
        <x:f>E282*I282*H282</x:f>
        <x:v>0.5338587975</x:v>
      </x:c>
      <x:c r="L282" s="1" t="str">
        <x:f>TEXT(A282,"mmm yyyy")</x:f>
        <x:v>May 2026</x:v>
      </x:c>
    </x:row>
    <x:row r="283" ht="21" customHeight="1">
      <x:c r="A283" s="10" t="n">
        <x:v>46154</x:v>
      </x:c>
      <x:c r="B283" s="1" t="n">
        <x:v>9.5</x:v>
      </x:c>
      <x:c r="C283" s="1" t="n">
        <x:v>6</x:v>
      </x:c>
      <x:c r="D283" s="12" t="n">
        <x:v>0.8174166666666667</x:v>
      </x:c>
      <x:c r="E283" s="12" t="n">
        <x:v>0.8184166666666666</x:v>
      </x:c>
      <x:c r="F283" s="12" t="n">
        <x:v>0</x:v>
      </x:c>
      <x:c r="G283" s="12" t="n">
        <x:v>0</x:v>
      </x:c>
      <x:c r="H283" s="1" t="n">
        <x:f>'Historical prices'!E283</x:f>
        <x:v>1.05</x:v>
      </x:c>
      <x:c r="I283" s="6" t="n">
        <x:f>'Historical prices'!D283</x:f>
        <x:v>0.2226</x:v>
      </x:c>
      <x:c r="J283" s="13" t="n">
        <x:f>D283*I283*H283</x:f>
        <x:v>0.1910547975</x:v>
      </x:c>
      <x:c r="K283" s="13" t="n">
        <x:f>E283*I283*H283</x:f>
        <x:v>0.19128852749999997</x:v>
      </x:c>
      <x:c r="L283" s="1" t="str">
        <x:f>TEXT(A283,"mmm yyyy")</x:f>
        <x:v>May 2026</x:v>
      </x:c>
    </x:row>
    <x:row r="284" ht="21" customHeight="1">
      <x:c r="A284" s="10" t="n">
        <x:v>46154</x:v>
      </x:c>
      <x:c r="B284" s="1" t="n">
        <x:v>10</x:v>
      </x:c>
      <x:c r="C284" s="1" t="n">
        <x:v>6</x:v>
      </x:c>
      <x:c r="D284" s="12" t="n">
        <x:v>0.6503333333333334</x:v>
      </x:c>
      <x:c r="E284" s="12" t="n">
        <x:v>0.6513333333333334</x:v>
      </x:c>
      <x:c r="F284" s="12" t="n">
        <x:v>0</x:v>
      </x:c>
      <x:c r="G284" s="12" t="n">
        <x:v>0</x:v>
      </x:c>
      <x:c r="H284" s="1" t="n">
        <x:f>'Historical prices'!E284</x:f>
        <x:v>1.05</x:v>
      </x:c>
      <x:c r="I284" s="6" t="n">
        <x:f>'Historical prices'!D284</x:f>
        <x:v>0.2226</x:v>
      </x:c>
      <x:c r="J284" s="13" t="n">
        <x:f>D284*I284*H284</x:f>
        <x:v>0.15200241</x:v>
      </x:c>
      <x:c r="K284" s="13" t="n">
        <x:f>E284*I284*H284</x:f>
        <x:v>0.15223614000000005</x:v>
      </x:c>
      <x:c r="L284" s="1" t="str">
        <x:f>TEXT(A284,"mmm yyyy")</x:f>
        <x:v>May 2026</x:v>
      </x:c>
    </x:row>
    <x:row r="285" ht="21" customHeight="1">
      <x:c r="A285" s="10" t="n">
        <x:v>46154</x:v>
      </x:c>
      <x:c r="B285" s="1" t="n">
        <x:v>10.5</x:v>
      </x:c>
      <x:c r="C285" s="1" t="n">
        <x:v>6</x:v>
      </x:c>
      <x:c r="D285" s="12" t="n">
        <x:v>0.72675</x:v>
      </x:c>
      <x:c r="E285" s="12" t="n">
        <x:v>0.72575</x:v>
      </x:c>
      <x:c r="F285" s="12" t="n">
        <x:v>0</x:v>
      </x:c>
      <x:c r="G285" s="12" t="n">
        <x:v>0</x:v>
      </x:c>
      <x:c r="H285" s="1" t="n">
        <x:f>'Historical prices'!E285</x:f>
        <x:v>1.05</x:v>
      </x:c>
      <x:c r="I285" s="6" t="n">
        <x:f>'Historical prices'!D285</x:f>
        <x:v>0.2226</x:v>
      </x:c>
      <x:c r="J285" s="13" t="n">
        <x:f>D285*I285*H285</x:f>
        <x:v>0.1698632775</x:v>
      </x:c>
      <x:c r="K285" s="13" t="n">
        <x:f>E285*I285*H285</x:f>
        <x:v>0.1696295475</x:v>
      </x:c>
      <x:c r="L285" s="1" t="str">
        <x:f>TEXT(A285,"mmm yyyy")</x:f>
        <x:v>May 2026</x:v>
      </x:c>
    </x:row>
    <x:row r="286" ht="21" customHeight="1">
      <x:c r="A286" s="10" t="n">
        <x:v>46154</x:v>
      </x:c>
      <x:c r="B286" s="1" t="n">
        <x:v>11</x:v>
      </x:c>
      <x:c r="C286" s="1" t="n">
        <x:v>6</x:v>
      </x:c>
      <x:c r="D286" s="12" t="n">
        <x:v>0.5902499999999999</x:v>
      </x:c>
      <x:c r="E286" s="12" t="n">
        <x:v>0.5902499999999999</x:v>
      </x:c>
      <x:c r="F286" s="12" t="n">
        <x:v>0</x:v>
      </x:c>
      <x:c r="G286" s="12" t="n">
        <x:v>0</x:v>
      </x:c>
      <x:c r="H286" s="1" t="n">
        <x:f>'Historical prices'!E286</x:f>
        <x:v>1.05</x:v>
      </x:c>
      <x:c r="I286" s="6" t="n">
        <x:f>'Historical prices'!D286</x:f>
        <x:v>0.2226</x:v>
      </x:c>
      <x:c r="J286" s="13" t="n">
        <x:f>D286*I286*H286</x:f>
        <x:v>0.13795913249999997</x:v>
      </x:c>
      <x:c r="K286" s="13" t="n">
        <x:f>E286*I286*H286</x:f>
        <x:v>0.13795913249999997</x:v>
      </x:c>
      <x:c r="L286" s="1" t="str">
        <x:f>TEXT(A286,"mmm yyyy")</x:f>
        <x:v>May 2026</x:v>
      </x:c>
    </x:row>
    <x:row r="287" ht="21" customHeight="1">
      <x:c r="A287" s="10" t="n">
        <x:v>46154</x:v>
      </x:c>
      <x:c r="B287" s="1" t="n">
        <x:v>11.5</x:v>
      </x:c>
      <x:c r="C287" s="1" t="n">
        <x:v>6</x:v>
      </x:c>
      <x:c r="D287" s="12" t="n">
        <x:v>0.6424166666666666</x:v>
      </x:c>
      <x:c r="E287" s="12" t="n">
        <x:v>0.6424166666666666</x:v>
      </x:c>
      <x:c r="F287" s="12" t="n">
        <x:v>0</x:v>
      </x:c>
      <x:c r="G287" s="12" t="n">
        <x:v>0</x:v>
      </x:c>
      <x:c r="H287" s="1" t="n">
        <x:f>'Historical prices'!E287</x:f>
        <x:v>1.05</x:v>
      </x:c>
      <x:c r="I287" s="6" t="n">
        <x:f>'Historical prices'!D287</x:f>
        <x:v>0.2226</x:v>
      </x:c>
      <x:c r="J287" s="13" t="n">
        <x:f>D287*I287*H287</x:f>
        <x:v>0.1501520475</x:v>
      </x:c>
      <x:c r="K287" s="13" t="n">
        <x:f>E287*I287*H287</x:f>
        <x:v>0.1501520475</x:v>
      </x:c>
      <x:c r="L287" s="1" t="str">
        <x:f>TEXT(A287,"mmm yyyy")</x:f>
        <x:v>May 2026</x:v>
      </x:c>
    </x:row>
    <x:row r="288" ht="21" customHeight="1">
      <x:c r="A288" s="10" t="n">
        <x:v>46154</x:v>
      </x:c>
      <x:c r="B288" s="1" t="n">
        <x:v>12</x:v>
      </x:c>
      <x:c r="C288" s="1" t="n">
        <x:v>6</x:v>
      </x:c>
      <x:c r="D288" s="12" t="n">
        <x:v>0.6249166666666668</x:v>
      </x:c>
      <x:c r="E288" s="12" t="n">
        <x:v>0.6249166666666668</x:v>
      </x:c>
      <x:c r="F288" s="12" t="n">
        <x:v>0</x:v>
      </x:c>
      <x:c r="G288" s="12" t="n">
        <x:v>0</x:v>
      </x:c>
      <x:c r="H288" s="1" t="n">
        <x:f>'Historical prices'!E288</x:f>
        <x:v>1.05</x:v>
      </x:c>
      <x:c r="I288" s="6" t="n">
        <x:f>'Historical prices'!D288</x:f>
        <x:v>0.2226</x:v>
      </x:c>
      <x:c r="J288" s="13" t="n">
        <x:f>D288*I288*H288</x:f>
        <x:v>0.14606177250000002</x:v>
      </x:c>
      <x:c r="K288" s="13" t="n">
        <x:f>E288*I288*H288</x:f>
        <x:v>0.14606177250000002</x:v>
      </x:c>
      <x:c r="L288" s="1" t="str">
        <x:f>TEXT(A288,"mmm yyyy")</x:f>
        <x:v>May 2026</x:v>
      </x:c>
    </x:row>
    <x:row r="289" ht="21" customHeight="1">
      <x:c r="A289" s="10" t="n">
        <x:v>46154</x:v>
      </x:c>
      <x:c r="B289" s="1" t="n">
        <x:v>12.5</x:v>
      </x:c>
      <x:c r="C289" s="1" t="n">
        <x:v>6</x:v>
      </x:c>
      <x:c r="D289" s="12" t="n">
        <x:v>0.45458333333333334</x:v>
      </x:c>
      <x:c r="E289" s="12" t="n">
        <x:v>0.45258333333333334</x:v>
      </x:c>
      <x:c r="F289" s="12" t="n">
        <x:v>0</x:v>
      </x:c>
      <x:c r="G289" s="12" t="n">
        <x:v>0</x:v>
      </x:c>
      <x:c r="H289" s="1" t="n">
        <x:f>'Historical prices'!E289</x:f>
        <x:v>1.05</x:v>
      </x:c>
      <x:c r="I289" s="6" t="n">
        <x:f>'Historical prices'!D289</x:f>
        <x:v>0.2226</x:v>
      </x:c>
      <x:c r="J289" s="13" t="n">
        <x:f>D289*I289*H289</x:f>
        <x:v>0.1062497625</x:v>
      </x:c>
      <x:c r="K289" s="13" t="n">
        <x:f>E289*I289*H289</x:f>
        <x:v>0.10578230250000001</x:v>
      </x:c>
      <x:c r="L289" s="1" t="str">
        <x:f>TEXT(A289,"mmm yyyy")</x:f>
        <x:v>May 2026</x:v>
      </x:c>
    </x:row>
    <x:row r="290" ht="21" customHeight="1">
      <x:c r="A290" s="10" t="n">
        <x:v>46154</x:v>
      </x:c>
      <x:c r="B290" s="1" t="n">
        <x:v>13</x:v>
      </x:c>
      <x:c r="C290" s="1" t="n">
        <x:v>6</x:v>
      </x:c>
      <x:c r="D290" s="12" t="n">
        <x:v>2.1104166666666666</x:v>
      </x:c>
      <x:c r="E290" s="12" t="n">
        <x:v>2.1114166666666665</x:v>
      </x:c>
      <x:c r="F290" s="12" t="n">
        <x:v>0</x:v>
      </x:c>
      <x:c r="G290" s="12" t="n">
        <x:v>0</x:v>
      </x:c>
      <x:c r="H290" s="1" t="n">
        <x:f>'Historical prices'!E290</x:f>
        <x:v>1.05</x:v>
      </x:c>
      <x:c r="I290" s="6" t="n">
        <x:f>'Historical prices'!D290</x:f>
        <x:v>0.2226</x:v>
      </x:c>
      <x:c r="J290" s="13" t="n">
        <x:f>D290*I290*H290</x:f>
        <x:v>0.4932676875</x:v>
      </x:c>
      <x:c r="K290" s="13" t="n">
        <x:f>E290*I290*H290</x:f>
        <x:v>0.49350141749999993</x:v>
      </x:c>
      <x:c r="L290" s="1" t="str">
        <x:f>TEXT(A290,"mmm yyyy")</x:f>
        <x:v>May 2026</x:v>
      </x:c>
    </x:row>
    <x:row r="291" ht="21" customHeight="1">
      <x:c r="A291" s="10" t="n">
        <x:v>46154</x:v>
      </x:c>
      <x:c r="B291" s="1" t="n">
        <x:v>13.5</x:v>
      </x:c>
      <x:c r="C291" s="1" t="n">
        <x:v>6</x:v>
      </x:c>
      <x:c r="D291" s="12" t="n">
        <x:v>0.9480833333333334</x:v>
      </x:c>
      <x:c r="E291" s="12" t="n">
        <x:v>0.9480833333333334</x:v>
      </x:c>
      <x:c r="F291" s="12" t="n">
        <x:v>0</x:v>
      </x:c>
      <x:c r="G291" s="12" t="n">
        <x:v>0</x:v>
      </x:c>
      <x:c r="H291" s="1" t="n">
        <x:f>'Historical prices'!E291</x:f>
        <x:v>1.05</x:v>
      </x:c>
      <x:c r="I291" s="6" t="n">
        <x:f>'Historical prices'!D291</x:f>
        <x:v>0.2226</x:v>
      </x:c>
      <x:c r="J291" s="13" t="n">
        <x:f>D291*I291*H291</x:f>
        <x:v>0.22159551750000003</x:v>
      </x:c>
      <x:c r="K291" s="13" t="n">
        <x:f>E291*I291*H291</x:f>
        <x:v>0.22159551750000003</x:v>
      </x:c>
      <x:c r="L291" s="1" t="str">
        <x:f>TEXT(A291,"mmm yyyy")</x:f>
        <x:v>May 2026</x:v>
      </x:c>
    </x:row>
    <x:row r="292" ht="21" customHeight="1">
      <x:c r="A292" s="10" t="n">
        <x:v>46154</x:v>
      </x:c>
      <x:c r="B292" s="1" t="n">
        <x:v>14</x:v>
      </x:c>
      <x:c r="C292" s="1" t="n">
        <x:v>6</x:v>
      </x:c>
      <x:c r="D292" s="12" t="n">
        <x:v>0.49749999999999994</x:v>
      </x:c>
      <x:c r="E292" s="12" t="n">
        <x:v>0.49749999999999994</x:v>
      </x:c>
      <x:c r="F292" s="12" t="n">
        <x:v>0</x:v>
      </x:c>
      <x:c r="G292" s="12" t="n">
        <x:v>0</x:v>
      </x:c>
      <x:c r="H292" s="1" t="n">
        <x:f>'Historical prices'!E292</x:f>
        <x:v>1.05</x:v>
      </x:c>
      <x:c r="I292" s="6" t="n">
        <x:f>'Historical prices'!D292</x:f>
        <x:v>0.2226</x:v>
      </x:c>
      <x:c r="J292" s="13" t="n">
        <x:f>D292*I292*H292</x:f>
        <x:v>0.11628067499999999</x:v>
      </x:c>
      <x:c r="K292" s="13" t="n">
        <x:f>E292*I292*H292</x:f>
        <x:v>0.11628067499999999</x:v>
      </x:c>
      <x:c r="L292" s="1" t="str">
        <x:f>TEXT(A292,"mmm yyyy")</x:f>
        <x:v>May 2026</x:v>
      </x:c>
    </x:row>
    <x:row r="293" ht="21" customHeight="1">
      <x:c r="A293" s="10" t="n">
        <x:v>46154</x:v>
      </x:c>
      <x:c r="B293" s="1" t="n">
        <x:v>14.5</x:v>
      </x:c>
      <x:c r="C293" s="1" t="n">
        <x:v>6</x:v>
      </x:c>
      <x:c r="D293" s="12" t="n">
        <x:v>1.1995</x:v>
      </x:c>
      <x:c r="E293" s="12" t="n">
        <x:v>1.2005</x:v>
      </x:c>
      <x:c r="F293" s="12" t="n">
        <x:v>0</x:v>
      </x:c>
      <x:c r="G293" s="12" t="n">
        <x:v>0</x:v>
      </x:c>
      <x:c r="H293" s="1" t="n">
        <x:f>'Historical prices'!E293</x:f>
        <x:v>1.05</x:v>
      </x:c>
      <x:c r="I293" s="6" t="n">
        <x:f>'Historical prices'!D293</x:f>
        <x:v>0.2226</x:v>
      </x:c>
      <x:c r="J293" s="13" t="n">
        <x:f>D293*I293*H293</x:f>
        <x:v>0.280359135</x:v>
      </x:c>
      <x:c r="K293" s="13" t="n">
        <x:f>E293*I293*H293</x:f>
        <x:v>0.28059286499999997</x:v>
      </x:c>
      <x:c r="L293" s="1" t="str">
        <x:f>TEXT(A293,"mmm yyyy")</x:f>
        <x:v>May 2026</x:v>
      </x:c>
    </x:row>
    <x:row r="294" ht="21" customHeight="1">
      <x:c r="A294" s="10" t="n">
        <x:v>46154</x:v>
      </x:c>
      <x:c r="B294" s="1" t="n">
        <x:v>15</x:v>
      </x:c>
      <x:c r="C294" s="1" t="n">
        <x:v>6</x:v>
      </x:c>
      <x:c r="D294" s="12" t="n">
        <x:v>0.8621666666666666</x:v>
      </x:c>
      <x:c r="E294" s="12" t="n">
        <x:v>0.8621666666666666</x:v>
      </x:c>
      <x:c r="F294" s="12" t="n">
        <x:v>0</x:v>
      </x:c>
      <x:c r="G294" s="12" t="n">
        <x:v>0</x:v>
      </x:c>
      <x:c r="H294" s="1" t="n">
        <x:f>'Historical prices'!E294</x:f>
        <x:v>1.05</x:v>
      </x:c>
      <x:c r="I294" s="6" t="n">
        <x:f>'Historical prices'!D294</x:f>
        <x:v>0.2226</x:v>
      </x:c>
      <x:c r="J294" s="13" t="n">
        <x:f>D294*I294*H294</x:f>
        <x:v>0.201514215</x:v>
      </x:c>
      <x:c r="K294" s="13" t="n">
        <x:f>E294*I294*H294</x:f>
        <x:v>0.201514215</x:v>
      </x:c>
      <x:c r="L294" s="1" t="str">
        <x:f>TEXT(A294,"mmm yyyy")</x:f>
        <x:v>May 2026</x:v>
      </x:c>
    </x:row>
    <x:row r="295" ht="21" customHeight="1">
      <x:c r="A295" s="10" t="n">
        <x:v>46154</x:v>
      </x:c>
      <x:c r="B295" s="1" t="n">
        <x:v>15.5</x:v>
      </x:c>
      <x:c r="C295" s="1" t="n">
        <x:v>6</x:v>
      </x:c>
      <x:c r="D295" s="12" t="n">
        <x:v>0.6424166666666666</x:v>
      </x:c>
      <x:c r="E295" s="12" t="n">
        <x:v>0.6424166666666666</x:v>
      </x:c>
      <x:c r="F295" s="12" t="n">
        <x:v>0</x:v>
      </x:c>
      <x:c r="G295" s="12" t="n">
        <x:v>0</x:v>
      </x:c>
      <x:c r="H295" s="1" t="n">
        <x:f>'Historical prices'!E295</x:f>
        <x:v>1.05</x:v>
      </x:c>
      <x:c r="I295" s="6" t="n">
        <x:f>'Historical prices'!D295</x:f>
        <x:v>0.2226</x:v>
      </x:c>
      <x:c r="J295" s="13" t="n">
        <x:f>D295*I295*H295</x:f>
        <x:v>0.1501520475</x:v>
      </x:c>
      <x:c r="K295" s="13" t="n">
        <x:f>E295*I295*H295</x:f>
        <x:v>0.1501520475</x:v>
      </x:c>
      <x:c r="L295" s="1" t="str">
        <x:f>TEXT(A295,"mmm yyyy")</x:f>
        <x:v>May 2026</x:v>
      </x:c>
    </x:row>
    <x:row r="296" ht="21" customHeight="1">
      <x:c r="A296" s="10" t="n">
        <x:v>46154</x:v>
      </x:c>
      <x:c r="B296" s="1" t="n">
        <x:v>16</x:v>
      </x:c>
      <x:c r="C296" s="1" t="n">
        <x:v>6</x:v>
      </x:c>
      <x:c r="D296" s="12" t="n">
        <x:v>1.2705</x:v>
      </x:c>
      <x:c r="E296" s="12" t="n">
        <x:v>1.2705</x:v>
      </x:c>
      <x:c r="F296" s="12" t="n">
        <x:v>0</x:v>
      </x:c>
      <x:c r="G296" s="12" t="n">
        <x:v>0</x:v>
      </x:c>
      <x:c r="H296" s="1" t="n">
        <x:f>'Historical prices'!E296</x:f>
        <x:v>1.05</x:v>
      </x:c>
      <x:c r="I296" s="6" t="n">
        <x:f>'Historical prices'!D296</x:f>
        <x:v>0.2226</x:v>
      </x:c>
      <x:c r="J296" s="13" t="n">
        <x:f>D296*I296*H296</x:f>
        <x:v>0.296953965</x:v>
      </x:c>
      <x:c r="K296" s="13" t="n">
        <x:f>E296*I296*H296</x:f>
        <x:v>0.296953965</x:v>
      </x:c>
      <x:c r="L296" s="1" t="str">
        <x:f>TEXT(A296,"mmm yyyy")</x:f>
        <x:v>May 2026</x:v>
      </x:c>
    </x:row>
    <x:row r="297" ht="21" customHeight="1">
      <x:c r="A297" s="10" t="n">
        <x:v>46154</x:v>
      </x:c>
      <x:c r="B297" s="1" t="n">
        <x:v>16.5</x:v>
      </x:c>
      <x:c r="C297" s="1" t="n">
        <x:v>6</x:v>
      </x:c>
      <x:c r="D297" s="12" t="n">
        <x:v>1.63625</x:v>
      </x:c>
      <x:c r="E297" s="12" t="n">
        <x:v>1.63625</x:v>
      </x:c>
      <x:c r="F297" s="12" t="n">
        <x:v>0</x:v>
      </x:c>
      <x:c r="G297" s="12" t="n">
        <x:v>0</x:v>
      </x:c>
      <x:c r="H297" s="1" t="n">
        <x:f>'Historical prices'!E297</x:f>
        <x:v>1.05</x:v>
      </x:c>
      <x:c r="I297" s="6" t="n">
        <x:f>'Historical prices'!D297</x:f>
        <x:v>0.2226</x:v>
      </x:c>
      <x:c r="J297" s="13" t="n">
        <x:f>D297*I297*H297</x:f>
        <x:v>0.3824407125</x:v>
      </x:c>
      <x:c r="K297" s="13" t="n">
        <x:f>E297*I297*H297</x:f>
        <x:v>0.3824407125</x:v>
      </x:c>
      <x:c r="L297" s="1" t="str">
        <x:f>TEXT(A297,"mmm yyyy")</x:f>
        <x:v>May 2026</x:v>
      </x:c>
    </x:row>
    <x:row r="298" ht="21" customHeight="1">
      <x:c r="A298" s="10" t="n">
        <x:v>46154</x:v>
      </x:c>
      <x:c r="B298" s="1" t="n">
        <x:v>17</x:v>
      </x:c>
      <x:c r="C298" s="1" t="n">
        <x:v>6</x:v>
      </x:c>
      <x:c r="D298" s="12" t="n">
        <x:v>0.5820000000000001</x:v>
      </x:c>
      <x:c r="E298" s="12" t="n">
        <x:v>0.5830000000000001</x:v>
      </x:c>
      <x:c r="F298" s="12" t="n">
        <x:v>0</x:v>
      </x:c>
      <x:c r="G298" s="12" t="n">
        <x:v>0</x:v>
      </x:c>
      <x:c r="H298" s="1" t="n">
        <x:f>'Historical prices'!E298</x:f>
        <x:v>1.05</x:v>
      </x:c>
      <x:c r="I298" s="6" t="n">
        <x:f>'Historical prices'!D298</x:f>
        <x:v>0.2226</x:v>
      </x:c>
      <x:c r="J298" s="13" t="n">
        <x:f>D298*I298*H298</x:f>
        <x:v>0.13603086</x:v>
      </x:c>
      <x:c r="K298" s="13" t="n">
        <x:f>E298*I298*H298</x:f>
        <x:v>0.13626459000000002</x:v>
      </x:c>
      <x:c r="L298" s="1" t="str">
        <x:f>TEXT(A298,"mmm yyyy")</x:f>
        <x:v>May 2026</x:v>
      </x:c>
    </x:row>
    <x:row r="299" ht="21" customHeight="1">
      <x:c r="A299" s="10" t="n">
        <x:v>46154</x:v>
      </x:c>
      <x:c r="B299" s="1" t="n">
        <x:v>17.5</x:v>
      </x:c>
      <x:c r="C299" s="1" t="n">
        <x:v>6</x:v>
      </x:c>
      <x:c r="D299" s="12" t="n">
        <x:v>0.5620833333333334</x:v>
      </x:c>
      <x:c r="E299" s="12" t="n">
        <x:v>0.5620833333333334</x:v>
      </x:c>
      <x:c r="F299" s="12" t="n">
        <x:v>0</x:v>
      </x:c>
      <x:c r="G299" s="12" t="n">
        <x:v>0</x:v>
      </x:c>
      <x:c r="H299" s="1" t="n">
        <x:f>'Historical prices'!E299</x:f>
        <x:v>1.05</x:v>
      </x:c>
      <x:c r="I299" s="6" t="n">
        <x:f>'Historical prices'!D299</x:f>
        <x:v>0.2226</x:v>
      </x:c>
      <x:c r="J299" s="13" t="n">
        <x:f>D299*I299*H299</x:f>
        <x:v>0.1313757375</x:v>
      </x:c>
      <x:c r="K299" s="13" t="n">
        <x:f>E299*I299*H299</x:f>
        <x:v>0.1313757375</x:v>
      </x:c>
      <x:c r="L299" s="1" t="str">
        <x:f>TEXT(A299,"mmm yyyy")</x:f>
        <x:v>May 2026</x:v>
      </x:c>
    </x:row>
    <x:row r="300" ht="21" customHeight="1">
      <x:c r="A300" s="10" t="n">
        <x:v>46154</x:v>
      </x:c>
      <x:c r="B300" s="1" t="n">
        <x:v>18</x:v>
      </x:c>
      <x:c r="C300" s="1" t="n">
        <x:v>6</x:v>
      </x:c>
      <x:c r="D300" s="12" t="n">
        <x:v>0.5100833333333333</x:v>
      </x:c>
      <x:c r="E300" s="12" t="n">
        <x:v>0.5100833333333333</x:v>
      </x:c>
      <x:c r="F300" s="12" t="n">
        <x:v>0</x:v>
      </x:c>
      <x:c r="G300" s="12" t="n">
        <x:v>0</x:v>
      </x:c>
      <x:c r="H300" s="1" t="n">
        <x:f>'Historical prices'!E300</x:f>
        <x:v>1.05</x:v>
      </x:c>
      <x:c r="I300" s="6" t="n">
        <x:f>'Historical prices'!D300</x:f>
        <x:v>0.2226</x:v>
      </x:c>
      <x:c r="J300" s="13" t="n">
        <x:f>D300*I300*H300</x:f>
        <x:v>0.1192217775</x:v>
      </x:c>
      <x:c r="K300" s="13" t="n">
        <x:f>E300*I300*H300</x:f>
        <x:v>0.1192217775</x:v>
      </x:c>
      <x:c r="L300" s="1" t="str">
        <x:f>TEXT(A300,"mmm yyyy")</x:f>
        <x:v>May 2026</x:v>
      </x:c>
    </x:row>
    <x:row r="301" ht="21" customHeight="1">
      <x:c r="A301" s="10" t="n">
        <x:v>46154</x:v>
      </x:c>
      <x:c r="B301" s="1" t="n">
        <x:v>18.5</x:v>
      </x:c>
      <x:c r="C301" s="1" t="n">
        <x:v>6</x:v>
      </x:c>
      <x:c r="D301" s="12" t="n">
        <x:v>0.7374999999999999</x:v>
      </x:c>
      <x:c r="E301" s="12" t="n">
        <x:v>0.7374999999999999</x:v>
      </x:c>
      <x:c r="F301" s="12" t="n">
        <x:v>0</x:v>
      </x:c>
      <x:c r="G301" s="12" t="n">
        <x:v>0</x:v>
      </x:c>
      <x:c r="H301" s="1" t="n">
        <x:f>'Historical prices'!E301</x:f>
        <x:v>1.05</x:v>
      </x:c>
      <x:c r="I301" s="6" t="n">
        <x:f>'Historical prices'!D301</x:f>
        <x:v>0.2226</x:v>
      </x:c>
      <x:c r="J301" s="13" t="n">
        <x:f>D301*I301*H301</x:f>
        <x:v>0.17237587499999998</x:v>
      </x:c>
      <x:c r="K301" s="13" t="n">
        <x:f>E301*I301*H301</x:f>
        <x:v>0.17237587499999998</x:v>
      </x:c>
      <x:c r="L301" s="1" t="str">
        <x:f>TEXT(A301,"mmm yyyy")</x:f>
        <x:v>May 2026</x:v>
      </x:c>
    </x:row>
    <x:row r="302" ht="21" customHeight="1">
      <x:c r="A302" s="10" t="n">
        <x:v>46154</x:v>
      </x:c>
      <x:c r="B302" s="1" t="n">
        <x:v>19</x:v>
      </x:c>
      <x:c r="C302" s="1" t="n">
        <x:v>6</x:v>
      </x:c>
      <x:c r="D302" s="12" t="n">
        <x:v>0.5804166666666667</x:v>
      </x:c>
      <x:c r="E302" s="12" t="n">
        <x:v>0.5804166666666667</x:v>
      </x:c>
      <x:c r="F302" s="12" t="n">
        <x:v>0</x:v>
      </x:c>
      <x:c r="G302" s="12" t="n">
        <x:v>0</x:v>
      </x:c>
      <x:c r="H302" s="1" t="n">
        <x:f>'Historical prices'!E302</x:f>
        <x:v>1.05</x:v>
      </x:c>
      <x:c r="I302" s="6" t="n">
        <x:f>'Historical prices'!D302</x:f>
        <x:v>0.2226</x:v>
      </x:c>
      <x:c r="J302" s="13" t="n">
        <x:f>D302*I302*H302</x:f>
        <x:v>0.13566078750000002</x:v>
      </x:c>
      <x:c r="K302" s="13" t="n">
        <x:f>E302*I302*H302</x:f>
        <x:v>0.13566078750000002</x:v>
      </x:c>
      <x:c r="L302" s="1" t="str">
        <x:f>TEXT(A302,"mmm yyyy")</x:f>
        <x:v>May 2026</x:v>
      </x:c>
    </x:row>
    <x:row r="303" ht="21" customHeight="1">
      <x:c r="A303" s="10" t="n">
        <x:v>46154</x:v>
      </x:c>
      <x:c r="B303" s="1" t="n">
        <x:v>19.5</x:v>
      </x:c>
      <x:c r="C303" s="1" t="n">
        <x:v>6</x:v>
      </x:c>
      <x:c r="D303" s="12" t="n">
        <x:v>0.7929166666666667</x:v>
      </x:c>
      <x:c r="E303" s="12" t="n">
        <x:v>0.7939166666666666</x:v>
      </x:c>
      <x:c r="F303" s="12" t="n">
        <x:v>0</x:v>
      </x:c>
      <x:c r="G303" s="12" t="n">
        <x:v>0</x:v>
      </x:c>
      <x:c r="H303" s="1" t="n">
        <x:f>'Historical prices'!E303</x:f>
        <x:v>1.05</x:v>
      </x:c>
      <x:c r="I303" s="6" t="n">
        <x:f>'Historical prices'!D303</x:f>
        <x:v>0.2226</x:v>
      </x:c>
      <x:c r="J303" s="13" t="n">
        <x:f>D303*I303*H303</x:f>
        <x:v>0.1853284125</x:v>
      </x:c>
      <x:c r="K303" s="13" t="n">
        <x:f>E303*I303*H303</x:f>
        <x:v>0.1855621425</x:v>
      </x:c>
      <x:c r="L303" s="1" t="str">
        <x:f>TEXT(A303,"mmm yyyy")</x:f>
        <x:v>May 2026</x:v>
      </x:c>
    </x:row>
    <x:row r="304" ht="21" customHeight="1">
      <x:c r="A304" s="10" t="n">
        <x:v>46154</x:v>
      </x:c>
      <x:c r="B304" s="1" t="n">
        <x:v>20</x:v>
      </x:c>
      <x:c r="C304" s="1" t="n">
        <x:v>6</x:v>
      </x:c>
      <x:c r="D304" s="12" t="n">
        <x:v>0.5325833333333333</x:v>
      </x:c>
      <x:c r="E304" s="12" t="n">
        <x:v>0.5335833333333333</x:v>
      </x:c>
      <x:c r="F304" s="12" t="n">
        <x:v>0</x:v>
      </x:c>
      <x:c r="G304" s="12" t="n">
        <x:v>0</x:v>
      </x:c>
      <x:c r="H304" s="1" t="n">
        <x:f>'Historical prices'!E304</x:f>
        <x:v>1.05</x:v>
      </x:c>
      <x:c r="I304" s="6" t="n">
        <x:f>'Historical prices'!D304</x:f>
        <x:v>0.2226</x:v>
      </x:c>
      <x:c r="J304" s="13" t="n">
        <x:f>D304*I304*H304</x:f>
        <x:v>0.1244807025</x:v>
      </x:c>
      <x:c r="K304" s="13" t="n">
        <x:f>E304*I304*H304</x:f>
        <x:v>0.12471443249999999</x:v>
      </x:c>
      <x:c r="L304" s="1" t="str">
        <x:f>TEXT(A304,"mmm yyyy")</x:f>
        <x:v>May 2026</x:v>
      </x:c>
    </x:row>
    <x:row r="305" ht="21" customHeight="1">
      <x:c r="A305" s="10" t="n">
        <x:v>46154</x:v>
      </x:c>
      <x:c r="B305" s="1" t="n">
        <x:v>20.5</x:v>
      </x:c>
      <x:c r="C305" s="1" t="n">
        <x:v>6</x:v>
      </x:c>
      <x:c r="D305" s="12" t="n">
        <x:v>0.5069166666666667</x:v>
      </x:c>
      <x:c r="E305" s="12" t="n">
        <x:v>0.5059166666666667</x:v>
      </x:c>
      <x:c r="F305" s="12" t="n">
        <x:v>0</x:v>
      </x:c>
      <x:c r="G305" s="12" t="n">
        <x:v>0</x:v>
      </x:c>
      <x:c r="H305" s="1" t="n">
        <x:f>'Historical prices'!E305</x:f>
        <x:v>1.05</x:v>
      </x:c>
      <x:c r="I305" s="6" t="n">
        <x:f>'Historical prices'!D305</x:f>
        <x:v>0.2226</x:v>
      </x:c>
      <x:c r="J305" s="13" t="n">
        <x:f>D305*I305*H305</x:f>
        <x:v>0.1184816325</x:v>
      </x:c>
      <x:c r="K305" s="13" t="n">
        <x:f>E305*I305*H305</x:f>
        <x:v>0.1182479025</x:v>
      </x:c>
      <x:c r="L305" s="1" t="str">
        <x:f>TEXT(A305,"mmm yyyy")</x:f>
        <x:v>May 2026</x:v>
      </x:c>
    </x:row>
    <x:row r="306" ht="21" customHeight="1">
      <x:c r="A306" s="10" t="n">
        <x:v>46154</x:v>
      </x:c>
      <x:c r="B306" s="1" t="n">
        <x:v>21</x:v>
      </x:c>
      <x:c r="C306" s="1" t="n">
        <x:v>6</x:v>
      </x:c>
      <x:c r="D306" s="12" t="n">
        <x:v>0.5614166666666667</x:v>
      </x:c>
      <x:c r="E306" s="12" t="n">
        <x:v>0.5624166666666667</x:v>
      </x:c>
      <x:c r="F306" s="12" t="n">
        <x:v>0</x:v>
      </x:c>
      <x:c r="G306" s="12" t="n">
        <x:v>0</x:v>
      </x:c>
      <x:c r="H306" s="1" t="n">
        <x:f>'Historical prices'!E306</x:f>
        <x:v>1.05</x:v>
      </x:c>
      <x:c r="I306" s="6" t="n">
        <x:f>'Historical prices'!D306</x:f>
        <x:v>0.2226</x:v>
      </x:c>
      <x:c r="J306" s="13" t="n">
        <x:f>D306*I306*H306</x:f>
        <x:v>0.1312199175</x:v>
      </x:c>
      <x:c r="K306" s="13" t="n">
        <x:f>E306*I306*H306</x:f>
        <x:v>0.1314536475</x:v>
      </x:c>
      <x:c r="L306" s="1" t="str">
        <x:f>TEXT(A306,"mmm yyyy")</x:f>
        <x:v>May 2026</x:v>
      </x:c>
    </x:row>
    <x:row r="307" ht="21" customHeight="1">
      <x:c r="A307" s="10" t="n">
        <x:v>46154</x:v>
      </x:c>
      <x:c r="B307" s="1" t="n">
        <x:v>21.5</x:v>
      </x:c>
      <x:c r="C307" s="1" t="n">
        <x:v>6</x:v>
      </x:c>
      <x:c r="D307" s="12" t="n">
        <x:v>0.9335</x:v>
      </x:c>
      <x:c r="E307" s="12" t="n">
        <x:v>0.9345</x:v>
      </x:c>
      <x:c r="F307" s="12" t="n">
        <x:v>0</x:v>
      </x:c>
      <x:c r="G307" s="12" t="n">
        <x:v>0</x:v>
      </x:c>
      <x:c r="H307" s="1" t="n">
        <x:f>'Historical prices'!E307</x:f>
        <x:v>1.05</x:v>
      </x:c>
      <x:c r="I307" s="6" t="n">
        <x:f>'Historical prices'!D307</x:f>
        <x:v>0.2226</x:v>
      </x:c>
      <x:c r="J307" s="13" t="n">
        <x:f>D307*I307*H307</x:f>
        <x:v>0.218186955</x:v>
      </x:c>
      <x:c r="K307" s="13" t="n">
        <x:f>E307*I307*H307</x:f>
        <x:v>0.218420685</x:v>
      </x:c>
      <x:c r="L307" s="1" t="str">
        <x:f>TEXT(A307,"mmm yyyy")</x:f>
        <x:v>May 2026</x:v>
      </x:c>
    </x:row>
    <x:row r="308" ht="21" customHeight="1">
      <x:c r="A308" s="10" t="n">
        <x:v>46154</x:v>
      </x:c>
      <x:c r="B308" s="1" t="n">
        <x:v>22</x:v>
      </x:c>
      <x:c r="C308" s="1" t="n">
        <x:v>6</x:v>
      </x:c>
      <x:c r="D308" s="12" t="n">
        <x:v>0.28008333333333335</x:v>
      </x:c>
      <x:c r="E308" s="12" t="n">
        <x:v>0.28108333333333335</x:v>
      </x:c>
      <x:c r="F308" s="12" t="n">
        <x:v>0</x:v>
      </x:c>
      <x:c r="G308" s="12" t="n">
        <x:v>0</x:v>
      </x:c>
      <x:c r="H308" s="1" t="n">
        <x:f>'Historical prices'!E308</x:f>
        <x:v>1.05</x:v>
      </x:c>
      <x:c r="I308" s="6" t="n">
        <x:f>'Historical prices'!D308</x:f>
        <x:v>0.2226</x:v>
      </x:c>
      <x:c r="J308" s="13" t="n">
        <x:f>D308*I308*H308</x:f>
        <x:v>0.0654638775</x:v>
      </x:c>
      <x:c r="K308" s="13" t="n">
        <x:f>E308*I308*H308</x:f>
        <x:v>0.0656976075</x:v>
      </x:c>
      <x:c r="L308" s="1" t="str">
        <x:f>TEXT(A308,"mmm yyyy")</x:f>
        <x:v>May 2026</x:v>
      </x:c>
    </x:row>
    <x:row r="309" ht="21" customHeight="1">
      <x:c r="A309" s="10" t="n">
        <x:v>46154</x:v>
      </x:c>
      <x:c r="B309" s="1" t="n">
        <x:v>22.5</x:v>
      </x:c>
      <x:c r="C309" s="1" t="n">
        <x:v>6</x:v>
      </x:c>
      <x:c r="D309" s="12" t="n">
        <x:v>0.3790833333333334</x:v>
      </x:c>
      <x:c r="E309" s="12" t="n">
        <x:v>0.3800833333333334</x:v>
      </x:c>
      <x:c r="F309" s="12" t="n">
        <x:v>0</x:v>
      </x:c>
      <x:c r="G309" s="12" t="n">
        <x:v>0</x:v>
      </x:c>
      <x:c r="H309" s="1" t="n">
        <x:f>'Historical prices'!E309</x:f>
        <x:v>1.05</x:v>
      </x:c>
      <x:c r="I309" s="6" t="n">
        <x:f>'Historical prices'!D309</x:f>
        <x:v>0.2226</x:v>
      </x:c>
      <x:c r="J309" s="13" t="n">
        <x:f>D309*I309*H309</x:f>
        <x:v>0.08860314750000002</x:v>
      </x:c>
      <x:c r="K309" s="13" t="n">
        <x:f>E309*I309*H309</x:f>
        <x:v>0.08883687750000001</x:v>
      </x:c>
      <x:c r="L309" s="1" t="str">
        <x:f>TEXT(A309,"mmm yyyy")</x:f>
        <x:v>May 2026</x:v>
      </x:c>
    </x:row>
    <x:row r="310" ht="21" customHeight="1">
      <x:c r="A310" s="10" t="n">
        <x:v>46154</x:v>
      </x:c>
      <x:c r="B310" s="1" t="n">
        <x:v>23</x:v>
      </x:c>
      <x:c r="C310" s="1" t="n">
        <x:v>6</x:v>
      </x:c>
      <x:c r="D310" s="12" t="n">
        <x:v>0.24241666666666667</x:v>
      </x:c>
      <x:c r="E310" s="12" t="n">
        <x:v>0.24341666666666667</x:v>
      </x:c>
      <x:c r="F310" s="12" t="n">
        <x:v>0</x:v>
      </x:c>
      <x:c r="G310" s="12" t="n">
        <x:v>0</x:v>
      </x:c>
      <x:c r="H310" s="1" t="n">
        <x:f>'Historical prices'!E310</x:f>
        <x:v>1.05</x:v>
      </x:c>
      <x:c r="I310" s="6" t="n">
        <x:f>'Historical prices'!D310</x:f>
        <x:v>0.2226</x:v>
      </x:c>
      <x:c r="J310" s="13" t="n">
        <x:f>D310*I310*H310</x:f>
        <x:v>0.056660047500000005</x:v>
      </x:c>
      <x:c r="K310" s="13" t="n">
        <x:f>E310*I310*H310</x:f>
        <x:v>0.0568937775</x:v>
      </x:c>
      <x:c r="L310" s="1" t="str">
        <x:f>TEXT(A310,"mmm yyyy")</x:f>
        <x:v>May 2026</x:v>
      </x:c>
    </x:row>
    <x:row r="311" ht="21" customHeight="1">
      <x:c r="A311" s="10" t="n">
        <x:v>46154</x:v>
      </x:c>
      <x:c r="B311" s="1" t="n">
        <x:v>23.5</x:v>
      </x:c>
      <x:c r="C311" s="1" t="n">
        <x:v>6</x:v>
      </x:c>
      <x:c r="D311" s="12" t="n">
        <x:v>0.20750000000000002</x:v>
      </x:c>
      <x:c r="E311" s="12" t="n">
        <x:v>0.2075</x:v>
      </x:c>
      <x:c r="F311" s="12" t="n">
        <x:v>0</x:v>
      </x:c>
      <x:c r="G311" s="12" t="n">
        <x:v>0</x:v>
      </x:c>
      <x:c r="H311" s="1" t="n">
        <x:f>'Historical prices'!E311</x:f>
        <x:v>1.05</x:v>
      </x:c>
      <x:c r="I311" s="6" t="n">
        <x:f>'Historical prices'!D311</x:f>
        <x:v>0.2226</x:v>
      </x:c>
      <x:c r="J311" s="13" t="n">
        <x:f>D311*I311*H311</x:f>
        <x:v>0.04849897500000001</x:v>
      </x:c>
      <x:c r="K311" s="13" t="n">
        <x:f>E311*I311*H311</x:f>
        <x:v>0.04849897499999999</x:v>
      </x:c>
      <x:c r="L311" s="1" t="str">
        <x:f>TEXT(A311,"mmm yyyy")</x:f>
        <x:v>May 2026</x:v>
      </x:c>
    </x:row>
    <x:row r="312" ht="21" customHeight="1">
      <x:c r="A312" s="10" t="n">
        <x:v>46155</x:v>
      </x:c>
      <x:c r="B312" s="1" t="n">
        <x:v>0</x:v>
      </x:c>
      <x:c r="C312" s="1" t="n">
        <x:v>6</x:v>
      </x:c>
      <x:c r="D312" s="12" t="n">
        <x:v>0.25775000000000003</x:v>
      </x:c>
      <x:c r="E312" s="12" t="n">
        <x:v>0.25775000000000003</x:v>
      </x:c>
      <x:c r="F312" s="12" t="n">
        <x:v>0</x:v>
      </x:c>
      <x:c r="G312" s="12" t="n">
        <x:v>0</x:v>
      </x:c>
      <x:c r="H312" s="1" t="n">
        <x:f>'Historical prices'!E312</x:f>
        <x:v>1.05</x:v>
      </x:c>
      <x:c r="I312" s="6" t="n">
        <x:f>'Historical prices'!D312</x:f>
        <x:v>0.2226</x:v>
      </x:c>
      <x:c r="J312" s="13" t="n">
        <x:f>D312*I312*H312</x:f>
        <x:v>0.06024390750000001</x:v>
      </x:c>
      <x:c r="K312" s="13" t="n">
        <x:f>E312*I312*H312</x:f>
        <x:v>0.06024390750000001</x:v>
      </x:c>
      <x:c r="L312" s="1" t="str">
        <x:f>TEXT(A312,"mmm yyyy")</x:f>
        <x:v>May 2026</x:v>
      </x:c>
    </x:row>
    <x:row r="313" ht="21" customHeight="1">
      <x:c r="A313" s="10" t="n">
        <x:v>46155</x:v>
      </x:c>
      <x:c r="B313" s="1" t="n">
        <x:v>0.5</x:v>
      </x:c>
      <x:c r="C313" s="1" t="n">
        <x:v>6</x:v>
      </x:c>
      <x:c r="D313" s="12" t="n">
        <x:v>0.2145</x:v>
      </x:c>
      <x:c r="E313" s="12" t="n">
        <x:v>0.2165</x:v>
      </x:c>
      <x:c r="F313" s="12" t="n">
        <x:v>0</x:v>
      </x:c>
      <x:c r="G313" s="12" t="n">
        <x:v>0</x:v>
      </x:c>
      <x:c r="H313" s="1" t="n">
        <x:f>'Historical prices'!E313</x:f>
        <x:v>1.05</x:v>
      </x:c>
      <x:c r="I313" s="6" t="n">
        <x:f>'Historical prices'!D313</x:f>
        <x:v>0.2226</x:v>
      </x:c>
      <x:c r="J313" s="13" t="n">
        <x:f>D313*I313*H313</x:f>
        <x:v>0.050135084999999996</x:v>
      </x:c>
      <x:c r="K313" s="13" t="n">
        <x:f>E313*I313*H313</x:f>
        <x:v>0.050602545</x:v>
      </x:c>
      <x:c r="L313" s="1" t="str">
        <x:f>TEXT(A313,"mmm yyyy")</x:f>
        <x:v>May 2026</x:v>
      </x:c>
    </x:row>
    <x:row r="314" ht="21" customHeight="1">
      <x:c r="A314" s="10" t="n">
        <x:v>46155</x:v>
      </x:c>
      <x:c r="B314" s="1" t="n">
        <x:v>1</x:v>
      </x:c>
      <x:c r="C314" s="1" t="n">
        <x:v>6</x:v>
      </x:c>
      <x:c r="D314" s="12" t="n">
        <x:v>0.2939166666666667</x:v>
      </x:c>
      <x:c r="E314" s="12" t="n">
        <x:v>0.2939166666666667</x:v>
      </x:c>
      <x:c r="F314" s="12" t="n">
        <x:v>0</x:v>
      </x:c>
      <x:c r="G314" s="12" t="n">
        <x:v>0</x:v>
      </x:c>
      <x:c r="H314" s="1" t="n">
        <x:f>'Historical prices'!E314</x:f>
        <x:v>1.05</x:v>
      </x:c>
      <x:c r="I314" s="6" t="n">
        <x:f>'Historical prices'!D314</x:f>
        <x:v>0.2226</x:v>
      </x:c>
      <x:c r="J314" s="13" t="n">
        <x:f>D314*I314*H314</x:f>
        <x:v>0.06869714250000002</x:v>
      </x:c>
      <x:c r="K314" s="13" t="n">
        <x:f>E314*I314*H314</x:f>
        <x:v>0.06869714250000002</x:v>
      </x:c>
      <x:c r="L314" s="1" t="str">
        <x:f>TEXT(A314,"mmm yyyy")</x:f>
        <x:v>May 2026</x:v>
      </x:c>
    </x:row>
    <x:row r="315" ht="21" customHeight="1">
      <x:c r="A315" s="10" t="n">
        <x:v>46155</x:v>
      </x:c>
      <x:c r="B315" s="1" t="n">
        <x:v>1.5</x:v>
      </x:c>
      <x:c r="C315" s="1" t="n">
        <x:v>6</x:v>
      </x:c>
      <x:c r="D315" s="12" t="n">
        <x:v>0.2643333333333333</x:v>
      </x:c>
      <x:c r="E315" s="12" t="n">
        <x:v>0.2643333333333333</x:v>
      </x:c>
      <x:c r="F315" s="12" t="n">
        <x:v>0</x:v>
      </x:c>
      <x:c r="G315" s="12" t="n">
        <x:v>0</x:v>
      </x:c>
      <x:c r="H315" s="1" t="n">
        <x:f>'Historical prices'!E315</x:f>
        <x:v>1.05</x:v>
      </x:c>
      <x:c r="I315" s="6" t="n">
        <x:f>'Historical prices'!D315</x:f>
        <x:v>0.2226</x:v>
      </x:c>
      <x:c r="J315" s="13" t="n">
        <x:f>D315*I315*H315</x:f>
        <x:v>0.06178263</x:v>
      </x:c>
      <x:c r="K315" s="13" t="n">
        <x:f>E315*I315*H315</x:f>
        <x:v>0.06178263</x:v>
      </x:c>
      <x:c r="L315" s="1" t="str">
        <x:f>TEXT(A315,"mmm yyyy")</x:f>
        <x:v>May 2026</x:v>
      </x:c>
    </x:row>
    <x:row r="316" ht="21" customHeight="1">
      <x:c r="A316" s="10" t="n">
        <x:v>46155</x:v>
      </x:c>
      <x:c r="B316" s="1" t="n">
        <x:v>2</x:v>
      </x:c>
      <x:c r="C316" s="1" t="n">
        <x:v>6</x:v>
      </x:c>
      <x:c r="D316" s="12" t="n">
        <x:v>0.19858333333333333</x:v>
      </x:c>
      <x:c r="E316" s="12" t="n">
        <x:v>0.1995833333333333</x:v>
      </x:c>
      <x:c r="F316" s="12" t="n">
        <x:v>0</x:v>
      </x:c>
      <x:c r="G316" s="12" t="n">
        <x:v>0</x:v>
      </x:c>
      <x:c r="H316" s="1" t="n">
        <x:f>'Historical prices'!E316</x:f>
        <x:v>1.05</x:v>
      </x:c>
      <x:c r="I316" s="6" t="n">
        <x:f>'Historical prices'!D316</x:f>
        <x:v>0.2226</x:v>
      </x:c>
      <x:c r="J316" s="13" t="n">
        <x:f>D316*I316*H316</x:f>
        <x:v>0.0464148825</x:v>
      </x:c>
      <x:c r="K316" s="13" t="n">
        <x:f>E316*I316*H316</x:f>
        <x:v>0.0466486125</x:v>
      </x:c>
      <x:c r="L316" s="1" t="str">
        <x:f>TEXT(A316,"mmm yyyy")</x:f>
        <x:v>May 2026</x:v>
      </x:c>
    </x:row>
    <x:row r="317" ht="21" customHeight="1">
      <x:c r="A317" s="10" t="n">
        <x:v>46155</x:v>
      </x:c>
      <x:c r="B317" s="1" t="n">
        <x:v>2.5</x:v>
      </x:c>
      <x:c r="C317" s="1" t="n">
        <x:v>6</x:v>
      </x:c>
      <x:c r="D317" s="12" t="n">
        <x:v>0.29725</x:v>
      </x:c>
      <x:c r="E317" s="12" t="n">
        <x:v>0.29725</x:v>
      </x:c>
      <x:c r="F317" s="12" t="n">
        <x:v>0</x:v>
      </x:c>
      <x:c r="G317" s="12" t="n">
        <x:v>0</x:v>
      </x:c>
      <x:c r="H317" s="1" t="n">
        <x:f>'Historical prices'!E317</x:f>
        <x:v>1.05</x:v>
      </x:c>
      <x:c r="I317" s="6" t="n">
        <x:f>'Historical prices'!D317</x:f>
        <x:v>0.2226</x:v>
      </x:c>
      <x:c r="J317" s="13" t="n">
        <x:f>D317*I317*H317</x:f>
        <x:v>0.06947624250000001</x:v>
      </x:c>
      <x:c r="K317" s="13" t="n">
        <x:f>E317*I317*H317</x:f>
        <x:v>0.06947624250000001</x:v>
      </x:c>
      <x:c r="L317" s="1" t="str">
        <x:f>TEXT(A317,"mmm yyyy")</x:f>
        <x:v>May 2026</x:v>
      </x:c>
    </x:row>
    <x:row r="318" ht="21" customHeight="1">
      <x:c r="A318" s="10" t="n">
        <x:v>46155</x:v>
      </x:c>
      <x:c r="B318" s="1" t="n">
        <x:v>3</x:v>
      </x:c>
      <x:c r="C318" s="1" t="n">
        <x:v>6</x:v>
      </x:c>
      <x:c r="D318" s="12" t="n">
        <x:v>0.18883333333333333</x:v>
      </x:c>
      <x:c r="E318" s="12" t="n">
        <x:v>0.18983333333333333</x:v>
      </x:c>
      <x:c r="F318" s="12" t="n">
        <x:v>0</x:v>
      </x:c>
      <x:c r="G318" s="12" t="n">
        <x:v>0</x:v>
      </x:c>
      <x:c r="H318" s="1" t="n">
        <x:f>'Historical prices'!E318</x:f>
        <x:v>1.05</x:v>
      </x:c>
      <x:c r="I318" s="6" t="n">
        <x:f>'Historical prices'!D318</x:f>
        <x:v>0.2226</x:v>
      </x:c>
      <x:c r="J318" s="13" t="n">
        <x:f>D318*I318*H318</x:f>
        <x:v>0.044136015</x:v>
      </x:c>
      <x:c r="K318" s="13" t="n">
        <x:f>E318*I318*H318</x:f>
        <x:v>0.044369745</x:v>
      </x:c>
      <x:c r="L318" s="1" t="str">
        <x:f>TEXT(A318,"mmm yyyy")</x:f>
        <x:v>May 2026</x:v>
      </x:c>
    </x:row>
    <x:row r="319" ht="21" customHeight="1">
      <x:c r="A319" s="10" t="n">
        <x:v>46155</x:v>
      </x:c>
      <x:c r="B319" s="1" t="n">
        <x:v>3.5</x:v>
      </x:c>
      <x:c r="C319" s="1" t="n">
        <x:v>6</x:v>
      </x:c>
      <x:c r="D319" s="12" t="n">
        <x:v>0.249</x:v>
      </x:c>
      <x:c r="E319" s="12" t="n">
        <x:v>0.25</x:v>
      </x:c>
      <x:c r="F319" s="12" t="n">
        <x:v>0</x:v>
      </x:c>
      <x:c r="G319" s="12" t="n">
        <x:v>0</x:v>
      </x:c>
      <x:c r="H319" s="1" t="n">
        <x:f>'Historical prices'!E319</x:f>
        <x:v>1.05</x:v>
      </x:c>
      <x:c r="I319" s="6" t="n">
        <x:f>'Historical prices'!D319</x:f>
        <x:v>0.2226</x:v>
      </x:c>
      <x:c r="J319" s="13" t="n">
        <x:f>D319*I319*H319</x:f>
        <x:v>0.05819877</x:v>
      </x:c>
      <x:c r="K319" s="13" t="n">
        <x:f>E319*I319*H319</x:f>
        <x:v>0.0584325</x:v>
      </x:c>
      <x:c r="L319" s="1" t="str">
        <x:f>TEXT(A319,"mmm yyyy")</x:f>
        <x:v>May 2026</x:v>
      </x:c>
    </x:row>
    <x:row r="320" ht="21" customHeight="1">
      <x:c r="A320" s="10" t="n">
        <x:v>46155</x:v>
      </x:c>
      <x:c r="B320" s="1" t="n">
        <x:v>4</x:v>
      </x:c>
      <x:c r="C320" s="1" t="n">
        <x:v>6</x:v>
      </x:c>
      <x:c r="D320" s="12" t="n">
        <x:v>0.2740833333333333</x:v>
      </x:c>
      <x:c r="E320" s="12" t="n">
        <x:v>0.2740833333333333</x:v>
      </x:c>
      <x:c r="F320" s="12" t="n">
        <x:v>0</x:v>
      </x:c>
      <x:c r="G320" s="12" t="n">
        <x:v>0</x:v>
      </x:c>
      <x:c r="H320" s="1" t="n">
        <x:f>'Historical prices'!E320</x:f>
        <x:v>1.05</x:v>
      </x:c>
      <x:c r="I320" s="6" t="n">
        <x:f>'Historical prices'!D320</x:f>
        <x:v>0.2226</x:v>
      </x:c>
      <x:c r="J320" s="13" t="n">
        <x:f>D320*I320*H320</x:f>
        <x:v>0.0640614975</x:v>
      </x:c>
      <x:c r="K320" s="13" t="n">
        <x:f>E320*I320*H320</x:f>
        <x:v>0.0640614975</x:v>
      </x:c>
      <x:c r="L320" s="1" t="str">
        <x:f>TEXT(A320,"mmm yyyy")</x:f>
        <x:v>May 2026</x:v>
      </x:c>
    </x:row>
    <x:row r="321" ht="21" customHeight="1">
      <x:c r="A321" s="10" t="n">
        <x:v>46155</x:v>
      </x:c>
      <x:c r="B321" s="1" t="n">
        <x:v>4.5</x:v>
      </x:c>
      <x:c r="C321" s="1" t="n">
        <x:v>6</x:v>
      </x:c>
      <x:c r="D321" s="12" t="n">
        <x:v>0.25416666666666665</x:v>
      </x:c>
      <x:c r="E321" s="12" t="n">
        <x:v>0.25516666666666665</x:v>
      </x:c>
      <x:c r="F321" s="12" t="n">
        <x:v>0</x:v>
      </x:c>
      <x:c r="G321" s="12" t="n">
        <x:v>0</x:v>
      </x:c>
      <x:c r="H321" s="1" t="n">
        <x:f>'Historical prices'!E321</x:f>
        <x:v>1.05</x:v>
      </x:c>
      <x:c r="I321" s="6" t="n">
        <x:f>'Historical prices'!D321</x:f>
        <x:v>0.2226</x:v>
      </x:c>
      <x:c r="J321" s="13" t="n">
        <x:f>D321*I321*H321</x:f>
        <x:v>0.059406375</x:v>
      </x:c>
      <x:c r="K321" s="13" t="n">
        <x:f>E321*I321*H321</x:f>
        <x:v>0.05964010499999999</x:v>
      </x:c>
      <x:c r="L321" s="1" t="str">
        <x:f>TEXT(A321,"mmm yyyy")</x:f>
        <x:v>May 2026</x:v>
      </x:c>
    </x:row>
    <x:row r="322" ht="21" customHeight="1">
      <x:c r="A322" s="10" t="n">
        <x:v>46155</x:v>
      </x:c>
      <x:c r="B322" s="1" t="n">
        <x:v>5</x:v>
      </x:c>
      <x:c r="C322" s="1" t="n">
        <x:v>6</x:v>
      </x:c>
      <x:c r="D322" s="12" t="n">
        <x:v>0.33275</x:v>
      </x:c>
      <x:c r="E322" s="12" t="n">
        <x:v>0.33275</x:v>
      </x:c>
      <x:c r="F322" s="12" t="n">
        <x:v>0</x:v>
      </x:c>
      <x:c r="G322" s="12" t="n">
        <x:v>0</x:v>
      </x:c>
      <x:c r="H322" s="1" t="n">
        <x:f>'Historical prices'!E322</x:f>
        <x:v>1.05</x:v>
      </x:c>
      <x:c r="I322" s="6" t="n">
        <x:f>'Historical prices'!D322</x:f>
        <x:v>0.2226</x:v>
      </x:c>
      <x:c r="J322" s="13" t="n">
        <x:f>D322*I322*H322</x:f>
        <x:v>0.07777365750000001</x:v>
      </x:c>
      <x:c r="K322" s="13" t="n">
        <x:f>E322*I322*H322</x:f>
        <x:v>0.07777365750000001</x:v>
      </x:c>
      <x:c r="L322" s="1" t="str">
        <x:f>TEXT(A322,"mmm yyyy")</x:f>
        <x:v>May 2026</x:v>
      </x:c>
    </x:row>
    <x:row r="323" ht="21" customHeight="1">
      <x:c r="A323" s="10" t="n">
        <x:v>46155</x:v>
      </x:c>
      <x:c r="B323" s="1" t="n">
        <x:v>5.5</x:v>
      </x:c>
      <x:c r="C323" s="1" t="n">
        <x:v>6</x:v>
      </x:c>
      <x:c r="D323" s="12" t="n">
        <x:v>0.36458333333333337</x:v>
      </x:c>
      <x:c r="E323" s="12" t="n">
        <x:v>0.36558333333333337</x:v>
      </x:c>
      <x:c r="F323" s="12" t="n">
        <x:v>0</x:v>
      </x:c>
      <x:c r="G323" s="12" t="n">
        <x:v>0</x:v>
      </x:c>
      <x:c r="H323" s="1" t="n">
        <x:f>'Historical prices'!E323</x:f>
        <x:v>1.05</x:v>
      </x:c>
      <x:c r="I323" s="6" t="n">
        <x:f>'Historical prices'!D323</x:f>
        <x:v>0.2226</x:v>
      </x:c>
      <x:c r="J323" s="13" t="n">
        <x:f>D323*I323*H323</x:f>
        <x:v>0.0852140625</x:v>
      </x:c>
      <x:c r="K323" s="13" t="n">
        <x:f>E323*I323*H323</x:f>
        <x:v>0.08544779250000001</x:v>
      </x:c>
      <x:c r="L323" s="1" t="str">
        <x:f>TEXT(A323,"mmm yyyy")</x:f>
        <x:v>May 2026</x:v>
      </x:c>
    </x:row>
    <x:row r="324" ht="21" customHeight="1">
      <x:c r="A324" s="10" t="n">
        <x:v>46155</x:v>
      </x:c>
      <x:c r="B324" s="1" t="n">
        <x:v>6</x:v>
      </x:c>
      <x:c r="C324" s="1" t="n">
        <x:v>6</x:v>
      </x:c>
      <x:c r="D324" s="12" t="n">
        <x:v>0.46225</x:v>
      </x:c>
      <x:c r="E324" s="12" t="n">
        <x:v>0.46225</x:v>
      </x:c>
      <x:c r="F324" s="12" t="n">
        <x:v>0</x:v>
      </x:c>
      <x:c r="G324" s="12" t="n">
        <x:v>0</x:v>
      </x:c>
      <x:c r="H324" s="1" t="n">
        <x:f>'Historical prices'!E324</x:f>
        <x:v>1.05</x:v>
      </x:c>
      <x:c r="I324" s="6" t="n">
        <x:f>'Historical prices'!D324</x:f>
        <x:v>0.2226</x:v>
      </x:c>
      <x:c r="J324" s="13" t="n">
        <x:f>D324*I324*H324</x:f>
        <x:v>0.10804169250000001</x:v>
      </x:c>
      <x:c r="K324" s="13" t="n">
        <x:f>E324*I324*H324</x:f>
        <x:v>0.10804169250000001</x:v>
      </x:c>
      <x:c r="L324" s="1" t="str">
        <x:f>TEXT(A324,"mmm yyyy")</x:f>
        <x:v>May 2026</x:v>
      </x:c>
    </x:row>
    <x:row r="325" ht="21" customHeight="1">
      <x:c r="A325" s="10" t="n">
        <x:v>46155</x:v>
      </x:c>
      <x:c r="B325" s="1" t="n">
        <x:v>6.5</x:v>
      </x:c>
      <x:c r="C325" s="1" t="n">
        <x:v>6</x:v>
      </x:c>
      <x:c r="D325" s="12" t="n">
        <x:v>0.5449166666666666</x:v>
      </x:c>
      <x:c r="E325" s="12" t="n">
        <x:v>0.5439166666666666</x:v>
      </x:c>
      <x:c r="F325" s="12" t="n">
        <x:v>0</x:v>
      </x:c>
      <x:c r="G325" s="12" t="n">
        <x:v>0</x:v>
      </x:c>
      <x:c r="H325" s="1" t="n">
        <x:f>'Historical prices'!E325</x:f>
        <x:v>1.05</x:v>
      </x:c>
      <x:c r="I325" s="6" t="n">
        <x:f>'Historical prices'!D325</x:f>
        <x:v>0.2226</x:v>
      </x:c>
      <x:c r="J325" s="13" t="n">
        <x:f>D325*I325*H325</x:f>
        <x:v>0.1273633725</x:v>
      </x:c>
      <x:c r="K325" s="13" t="n">
        <x:f>E325*I325*H325</x:f>
        <x:v>0.1271296425</x:v>
      </x:c>
      <x:c r="L325" s="1" t="str">
        <x:f>TEXT(A325,"mmm yyyy")</x:f>
        <x:v>May 2026</x:v>
      </x:c>
    </x:row>
    <x:row r="326" ht="21" customHeight="1">
      <x:c r="A326" s="10" t="n">
        <x:v>46155</x:v>
      </x:c>
      <x:c r="B326" s="1" t="n">
        <x:v>7</x:v>
      </x:c>
      <x:c r="C326" s="1" t="n">
        <x:v>6</x:v>
      </x:c>
      <x:c r="D326" s="12" t="n">
        <x:v>0.55175</x:v>
      </x:c>
      <x:c r="E326" s="12" t="n">
        <x:v>0.55275</x:v>
      </x:c>
      <x:c r="F326" s="12" t="n">
        <x:v>0</x:v>
      </x:c>
      <x:c r="G326" s="12" t="n">
        <x:v>0</x:v>
      </x:c>
      <x:c r="H326" s="1" t="n">
        <x:f>'Historical prices'!E326</x:f>
        <x:v>1.05</x:v>
      </x:c>
      <x:c r="I326" s="6" t="n">
        <x:f>'Historical prices'!D326</x:f>
        <x:v>0.2226</x:v>
      </x:c>
      <x:c r="J326" s="13" t="n">
        <x:f>D326*I326*H326</x:f>
        <x:v>0.12896052749999998</x:v>
      </x:c>
      <x:c r="K326" s="13" t="n">
        <x:f>E326*I326*H326</x:f>
        <x:v>0.1291942575</x:v>
      </x:c>
      <x:c r="L326" s="1" t="str">
        <x:f>TEXT(A326,"mmm yyyy")</x:f>
        <x:v>May 2026</x:v>
      </x:c>
    </x:row>
    <x:row r="327" ht="21" customHeight="1">
      <x:c r="A327" s="10" t="n">
        <x:v>46155</x:v>
      </x:c>
      <x:c r="B327" s="1" t="n">
        <x:v>7.5</x:v>
      </x:c>
      <x:c r="C327" s="1" t="n">
        <x:v>6</x:v>
      </x:c>
      <x:c r="D327" s="12" t="n">
        <x:v>1.2001666666666666</x:v>
      </x:c>
      <x:c r="E327" s="12" t="n">
        <x:v>1.2001666666666666</x:v>
      </x:c>
      <x:c r="F327" s="12" t="n">
        <x:v>0</x:v>
      </x:c>
      <x:c r="G327" s="12" t="n">
        <x:v>0</x:v>
      </x:c>
      <x:c r="H327" s="1" t="n">
        <x:f>'Historical prices'!E327</x:f>
        <x:v>1.05</x:v>
      </x:c>
      <x:c r="I327" s="6" t="n">
        <x:f>'Historical prices'!D327</x:f>
        <x:v>0.2226</x:v>
      </x:c>
      <x:c r="J327" s="13" t="n">
        <x:f>D327*I327*H327</x:f>
        <x:v>0.280514955</x:v>
      </x:c>
      <x:c r="K327" s="13" t="n">
        <x:f>E327*I327*H327</x:f>
        <x:v>0.280514955</x:v>
      </x:c>
      <x:c r="L327" s="1" t="str">
        <x:f>TEXT(A327,"mmm yyyy")</x:f>
        <x:v>May 2026</x:v>
      </x:c>
    </x:row>
    <x:row r="328" ht="21" customHeight="1">
      <x:c r="A328" s="10" t="n">
        <x:v>46155</x:v>
      </x:c>
      <x:c r="B328" s="1" t="n">
        <x:v>8</x:v>
      </x:c>
      <x:c r="C328" s="1" t="n">
        <x:v>6</x:v>
      </x:c>
      <x:c r="D328" s="12" t="n">
        <x:v>0.5410833333333334</x:v>
      </x:c>
      <x:c r="E328" s="12" t="n">
        <x:v>0.5430833333333334</x:v>
      </x:c>
      <x:c r="F328" s="12" t="n">
        <x:v>0</x:v>
      </x:c>
      <x:c r="G328" s="12" t="n">
        <x:v>0</x:v>
      </x:c>
      <x:c r="H328" s="1" t="n">
        <x:f>'Historical prices'!E328</x:f>
        <x:v>1.05</x:v>
      </x:c>
      <x:c r="I328" s="6" t="n">
        <x:f>'Historical prices'!D328</x:f>
        <x:v>0.2226</x:v>
      </x:c>
      <x:c r="J328" s="13" t="n">
        <x:f>D328*I328*H328</x:f>
        <x:v>0.12646740750000002</x:v>
      </x:c>
      <x:c r="K328" s="13" t="n">
        <x:f>E328*I328*H328</x:f>
        <x:v>0.12693486750000002</x:v>
      </x:c>
      <x:c r="L328" s="1" t="str">
        <x:f>TEXT(A328,"mmm yyyy")</x:f>
        <x:v>May 2026</x:v>
      </x:c>
    </x:row>
    <x:row r="329" ht="21" customHeight="1">
      <x:c r="A329" s="10" t="n">
        <x:v>46155</x:v>
      </x:c>
      <x:c r="B329" s="1" t="n">
        <x:v>8.5</x:v>
      </x:c>
      <x:c r="C329" s="1" t="n">
        <x:v>6</x:v>
      </x:c>
      <x:c r="D329" s="12" t="n">
        <x:v>2.2365833333333334</x:v>
      </x:c>
      <x:c r="E329" s="12" t="n">
        <x:v>2.2365833333333334</x:v>
      </x:c>
      <x:c r="F329" s="12" t="n">
        <x:v>0</x:v>
      </x:c>
      <x:c r="G329" s="12" t="n">
        <x:v>0</x:v>
      </x:c>
      <x:c r="H329" s="1" t="n">
        <x:f>'Historical prices'!E329</x:f>
        <x:v>1.05</x:v>
      </x:c>
      <x:c r="I329" s="6" t="n">
        <x:f>'Historical prices'!D329</x:f>
        <x:v>0.2226</x:v>
      </x:c>
      <x:c r="J329" s="13" t="n">
        <x:f>D329*I329*H329</x:f>
        <x:v>0.5227566225</x:v>
      </x:c>
      <x:c r="K329" s="13" t="n">
        <x:f>E329*I329*H329</x:f>
        <x:v>0.5227566225</x:v>
      </x:c>
      <x:c r="L329" s="1" t="str">
        <x:f>TEXT(A329,"mmm yyyy")</x:f>
        <x:v>May 2026</x:v>
      </x:c>
    </x:row>
    <x:row r="330" ht="21" customHeight="1">
      <x:c r="A330" s="10" t="n">
        <x:v>46155</x:v>
      </x:c>
      <x:c r="B330" s="1" t="n">
        <x:v>9</x:v>
      </x:c>
      <x:c r="C330" s="1" t="n">
        <x:v>6</x:v>
      </x:c>
      <x:c r="D330" s="12" t="n">
        <x:v>2.2043333333333335</x:v>
      </x:c>
      <x:c r="E330" s="12" t="n">
        <x:v>2.2043333333333335</x:v>
      </x:c>
      <x:c r="F330" s="12" t="n">
        <x:v>0</x:v>
      </x:c>
      <x:c r="G330" s="12" t="n">
        <x:v>0</x:v>
      </x:c>
      <x:c r="H330" s="1" t="n">
        <x:f>'Historical prices'!E330</x:f>
        <x:v>1.05</x:v>
      </x:c>
      <x:c r="I330" s="6" t="n">
        <x:f>'Historical prices'!D330</x:f>
        <x:v>0.2226</x:v>
      </x:c>
      <x:c r="J330" s="13" t="n">
        <x:f>D330*I330*H330</x:f>
        <x:v>0.51521883</x:v>
      </x:c>
      <x:c r="K330" s="13" t="n">
        <x:f>E330*I330*H330</x:f>
        <x:v>0.51521883</x:v>
      </x:c>
      <x:c r="L330" s="1" t="str">
        <x:f>TEXT(A330,"mmm yyyy")</x:f>
        <x:v>May 2026</x:v>
      </x:c>
    </x:row>
    <x:row r="331" ht="21" customHeight="1">
      <x:c r="A331" s="10" t="n">
        <x:v>46155</x:v>
      </x:c>
      <x:c r="B331" s="1" t="n">
        <x:v>9.5</x:v>
      </x:c>
      <x:c r="C331" s="1" t="n">
        <x:v>6</x:v>
      </x:c>
      <x:c r="D331" s="12" t="n">
        <x:v>1.01325</x:v>
      </x:c>
      <x:c r="E331" s="12" t="n">
        <x:v>1.01325</x:v>
      </x:c>
      <x:c r="F331" s="12" t="n">
        <x:v>0</x:v>
      </x:c>
      <x:c r="G331" s="12" t="n">
        <x:v>0</x:v>
      </x:c>
      <x:c r="H331" s="1" t="n">
        <x:f>'Historical prices'!E331</x:f>
        <x:v>1.05</x:v>
      </x:c>
      <x:c r="I331" s="6" t="n">
        <x:f>'Historical prices'!D331</x:f>
        <x:v>0.2226</x:v>
      </x:c>
      <x:c r="J331" s="13" t="n">
        <x:f>D331*I331*H331</x:f>
        <x:v>0.23682692249999998</x:v>
      </x:c>
      <x:c r="K331" s="13" t="n">
        <x:f>E331*I331*H331</x:f>
        <x:v>0.23682692249999998</x:v>
      </x:c>
      <x:c r="L331" s="1" t="str">
        <x:f>TEXT(A331,"mmm yyyy")</x:f>
        <x:v>May 2026</x:v>
      </x:c>
    </x:row>
    <x:row r="332" ht="21" customHeight="1">
      <x:c r="A332" s="10" t="n">
        <x:v>46155</x:v>
      </x:c>
      <x:c r="B332" s="1" t="n">
        <x:v>10</x:v>
      </x:c>
      <x:c r="C332" s="1" t="n">
        <x:v>6</x:v>
      </x:c>
      <x:c r="D332" s="12" t="n">
        <x:v>0.6460833333333332</x:v>
      </x:c>
      <x:c r="E332" s="12" t="n">
        <x:v>0.6460833333333332</x:v>
      </x:c>
      <x:c r="F332" s="12" t="n">
        <x:v>0</x:v>
      </x:c>
      <x:c r="G332" s="12" t="n">
        <x:v>0</x:v>
      </x:c>
      <x:c r="H332" s="1" t="n">
        <x:f>'Historical prices'!E332</x:f>
        <x:v>1.05</x:v>
      </x:c>
      <x:c r="I332" s="6" t="n">
        <x:f>'Historical prices'!D332</x:f>
        <x:v>0.2226</x:v>
      </x:c>
      <x:c r="J332" s="13" t="n">
        <x:f>D332*I332*H332</x:f>
        <x:v>0.1510090575</x:v>
      </x:c>
      <x:c r="K332" s="13" t="n">
        <x:f>E332*I332*H332</x:f>
        <x:v>0.1510090575</x:v>
      </x:c>
      <x:c r="L332" s="1" t="str">
        <x:f>TEXT(A332,"mmm yyyy")</x:f>
        <x:v>May 2026</x:v>
      </x:c>
    </x:row>
    <x:row r="333" ht="21" customHeight="1">
      <x:c r="A333" s="10" t="n">
        <x:v>46155</x:v>
      </x:c>
      <x:c r="B333" s="1" t="n">
        <x:v>10.5</x:v>
      </x:c>
      <x:c r="C333" s="1" t="n">
        <x:v>6</x:v>
      </x:c>
      <x:c r="D333" s="12" t="n">
        <x:v>0.5565833333333333</x:v>
      </x:c>
      <x:c r="E333" s="12" t="n">
        <x:v>0.5575833333333333</x:v>
      </x:c>
      <x:c r="F333" s="12" t="n">
        <x:v>0</x:v>
      </x:c>
      <x:c r="G333" s="12" t="n">
        <x:v>0</x:v>
      </x:c>
      <x:c r="H333" s="1" t="n">
        <x:f>'Historical prices'!E333</x:f>
        <x:v>1.05</x:v>
      </x:c>
      <x:c r="I333" s="6" t="n">
        <x:f>'Historical prices'!D333</x:f>
        <x:v>0.2226</x:v>
      </x:c>
      <x:c r="J333" s="13" t="n">
        <x:f>D333*I333*H333</x:f>
        <x:v>0.1300902225</x:v>
      </x:c>
      <x:c r="K333" s="13" t="n">
        <x:f>E333*I333*H333</x:f>
        <x:v>0.1303239525</x:v>
      </x:c>
      <x:c r="L333" s="1" t="str">
        <x:f>TEXT(A333,"mmm yyyy")</x:f>
        <x:v>May 2026</x:v>
      </x:c>
    </x:row>
    <x:row r="334" ht="21" customHeight="1">
      <x:c r="A334" s="10" t="n">
        <x:v>46155</x:v>
      </x:c>
      <x:c r="B334" s="1" t="n">
        <x:v>11</x:v>
      </x:c>
      <x:c r="C334" s="1" t="n">
        <x:v>6</x:v>
      </x:c>
      <x:c r="D334" s="12" t="n">
        <x:v>0.4965833333333334</x:v>
      </x:c>
      <x:c r="E334" s="12" t="n">
        <x:v>0.4965833333333334</x:v>
      </x:c>
      <x:c r="F334" s="12" t="n">
        <x:v>0</x:v>
      </x:c>
      <x:c r="G334" s="12" t="n">
        <x:v>0</x:v>
      </x:c>
      <x:c r="H334" s="1" t="n">
        <x:f>'Historical prices'!E334</x:f>
        <x:v>1.05</x:v>
      </x:c>
      <x:c r="I334" s="6" t="n">
        <x:f>'Historical prices'!D334</x:f>
        <x:v>0.2226</x:v>
      </x:c>
      <x:c r="J334" s="13" t="n">
        <x:f>D334*I334*H334</x:f>
        <x:v>0.11606642250000002</x:v>
      </x:c>
      <x:c r="K334" s="13" t="n">
        <x:f>E334*I334*H334</x:f>
        <x:v>0.11606642250000002</x:v>
      </x:c>
      <x:c r="L334" s="1" t="str">
        <x:f>TEXT(A334,"mmm yyyy")</x:f>
        <x:v>May 2026</x:v>
      </x:c>
    </x:row>
    <x:row r="335" ht="21" customHeight="1">
      <x:c r="A335" s="10" t="n">
        <x:v>46155</x:v>
      </x:c>
      <x:c r="B335" s="1" t="n">
        <x:v>11.5</x:v>
      </x:c>
      <x:c r="C335" s="1" t="n">
        <x:v>6</x:v>
      </x:c>
      <x:c r="D335" s="12" t="n">
        <x:v>0.43316666666666664</x:v>
      </x:c>
      <x:c r="E335" s="12" t="n">
        <x:v>0.43316666666666664</x:v>
      </x:c>
      <x:c r="F335" s="12" t="n">
        <x:v>0</x:v>
      </x:c>
      <x:c r="G335" s="12" t="n">
        <x:v>0</x:v>
      </x:c>
      <x:c r="H335" s="1" t="n">
        <x:f>'Historical prices'!E335</x:f>
        <x:v>1.05</x:v>
      </x:c>
      <x:c r="I335" s="6" t="n">
        <x:f>'Historical prices'!D335</x:f>
        <x:v>0.2226</x:v>
      </x:c>
      <x:c r="J335" s="13" t="n">
        <x:f>D335*I335*H335</x:f>
        <x:v>0.10124404499999999</x:v>
      </x:c>
      <x:c r="K335" s="13" t="n">
        <x:f>E335*I335*H335</x:f>
        <x:v>0.10124404499999999</x:v>
      </x:c>
      <x:c r="L335" s="1" t="str">
        <x:f>TEXT(A335,"mmm yyyy")</x:f>
        <x:v>May 2026</x:v>
      </x:c>
    </x:row>
    <x:row r="336" ht="21" customHeight="1">
      <x:c r="A336" s="10" t="n">
        <x:v>46155</x:v>
      </x:c>
      <x:c r="B336" s="1" t="n">
        <x:v>12</x:v>
      </x:c>
      <x:c r="C336" s="1" t="n">
        <x:v>6</x:v>
      </x:c>
      <x:c r="D336" s="12" t="n">
        <x:v>0.46191666666666664</x:v>
      </x:c>
      <x:c r="E336" s="12" t="n">
        <x:v>0.46291666666666664</x:v>
      </x:c>
      <x:c r="F336" s="12" t="n">
        <x:v>0</x:v>
      </x:c>
      <x:c r="G336" s="12" t="n">
        <x:v>0</x:v>
      </x:c>
      <x:c r="H336" s="1" t="n">
        <x:f>'Historical prices'!E336</x:f>
        <x:v>1.05</x:v>
      </x:c>
      <x:c r="I336" s="6" t="n">
        <x:f>'Historical prices'!D336</x:f>
        <x:v>0.2226</x:v>
      </x:c>
      <x:c r="J336" s="13" t="n">
        <x:f>D336*I336*H336</x:f>
        <x:v>0.1079637825</x:v>
      </x:c>
      <x:c r="K336" s="13" t="n">
        <x:f>E336*I336*H336</x:f>
        <x:v>0.1081975125</x:v>
      </x:c>
      <x:c r="L336" s="1" t="str">
        <x:f>TEXT(A336,"mmm yyyy")</x:f>
        <x:v>May 2026</x:v>
      </x:c>
    </x:row>
    <x:row r="337" ht="21" customHeight="1">
      <x:c r="A337" s="10" t="n">
        <x:v>46155</x:v>
      </x:c>
      <x:c r="B337" s="1" t="n">
        <x:v>12.5</x:v>
      </x:c>
      <x:c r="C337" s="1" t="n">
        <x:v>6</x:v>
      </x:c>
      <x:c r="D337" s="12" t="n">
        <x:v>0.4603333333333333</x:v>
      </x:c>
      <x:c r="E337" s="12" t="n">
        <x:v>0.4613333333333333</x:v>
      </x:c>
      <x:c r="F337" s="12" t="n">
        <x:v>0</x:v>
      </x:c>
      <x:c r="G337" s="12" t="n">
        <x:v>0</x:v>
      </x:c>
      <x:c r="H337" s="1" t="n">
        <x:f>'Historical prices'!E337</x:f>
        <x:v>1.05</x:v>
      </x:c>
      <x:c r="I337" s="6" t="n">
        <x:f>'Historical prices'!D337</x:f>
        <x:v>0.2226</x:v>
      </x:c>
      <x:c r="J337" s="13" t="n">
        <x:f>D337*I337*H337</x:f>
        <x:v>0.10759371</x:v>
      </x:c>
      <x:c r="K337" s="13" t="n">
        <x:f>E337*I337*H337</x:f>
        <x:v>0.10782744</x:v>
      </x:c>
      <x:c r="L337" s="1" t="str">
        <x:f>TEXT(A337,"mmm yyyy")</x:f>
        <x:v>May 2026</x:v>
      </x:c>
    </x:row>
    <x:row r="338" ht="21" customHeight="1">
      <x:c r="A338" s="10" t="n">
        <x:v>46155</x:v>
      </x:c>
      <x:c r="B338" s="1" t="n">
        <x:v>13</x:v>
      </x:c>
      <x:c r="C338" s="1" t="n">
        <x:v>6</x:v>
      </x:c>
      <x:c r="D338" s="12" t="n">
        <x:v>2.1044166666666664</x:v>
      </x:c>
      <x:c r="E338" s="12" t="n">
        <x:v>2.1044166666666664</x:v>
      </x:c>
      <x:c r="F338" s="12" t="n">
        <x:v>0</x:v>
      </x:c>
      <x:c r="G338" s="12" t="n">
        <x:v>0</x:v>
      </x:c>
      <x:c r="H338" s="1" t="n">
        <x:f>'Historical prices'!E338</x:f>
        <x:v>1.05</x:v>
      </x:c>
      <x:c r="I338" s="6" t="n">
        <x:f>'Historical prices'!D338</x:f>
        <x:v>0.2226</x:v>
      </x:c>
      <x:c r="J338" s="13" t="n">
        <x:f>D338*I338*H338</x:f>
        <x:v>0.49186530749999996</x:v>
      </x:c>
      <x:c r="K338" s="13" t="n">
        <x:f>E338*I338*H338</x:f>
        <x:v>0.49186530749999996</x:v>
      </x:c>
      <x:c r="L338" s="1" t="str">
        <x:f>TEXT(A338,"mmm yyyy")</x:f>
        <x:v>May 2026</x:v>
      </x:c>
    </x:row>
    <x:row r="339" ht="21" customHeight="1">
      <x:c r="A339" s="10" t="n">
        <x:v>46155</x:v>
      </x:c>
      <x:c r="B339" s="1" t="n">
        <x:v>13.5</x:v>
      </x:c>
      <x:c r="C339" s="1" t="n">
        <x:v>6</x:v>
      </x:c>
      <x:c r="D339" s="12" t="n">
        <x:v>0.8125833333333333</x:v>
      </x:c>
      <x:c r="E339" s="12" t="n">
        <x:v>0.8125833333333333</x:v>
      </x:c>
      <x:c r="F339" s="12" t="n">
        <x:v>0</x:v>
      </x:c>
      <x:c r="G339" s="12" t="n">
        <x:v>0</x:v>
      </x:c>
      <x:c r="H339" s="1" t="n">
        <x:f>'Historical prices'!E339</x:f>
        <x:v>1.05</x:v>
      </x:c>
      <x:c r="I339" s="6" t="n">
        <x:f>'Historical prices'!D339</x:f>
        <x:v>0.2226</x:v>
      </x:c>
      <x:c r="J339" s="13" t="n">
        <x:f>D339*I339*H339</x:f>
        <x:v>0.1899251025</x:v>
      </x:c>
      <x:c r="K339" s="13" t="n">
        <x:f>E339*I339*H339</x:f>
        <x:v>0.1899251025</x:v>
      </x:c>
      <x:c r="L339" s="1" t="str">
        <x:f>TEXT(A339,"mmm yyyy")</x:f>
        <x:v>May 2026</x:v>
      </x:c>
    </x:row>
    <x:row r="340" ht="21" customHeight="1">
      <x:c r="A340" s="10" t="n">
        <x:v>46155</x:v>
      </x:c>
      <x:c r="B340" s="1" t="n">
        <x:v>14</x:v>
      </x:c>
      <x:c r="C340" s="1" t="n">
        <x:v>6</x:v>
      </x:c>
      <x:c r="D340" s="12" t="n">
        <x:v>0.4950833333333333</x:v>
      </x:c>
      <x:c r="E340" s="12" t="n">
        <x:v>0.4950833333333333</x:v>
      </x:c>
      <x:c r="F340" s="12" t="n">
        <x:v>0</x:v>
      </x:c>
      <x:c r="G340" s="12" t="n">
        <x:v>0</x:v>
      </x:c>
      <x:c r="H340" s="1" t="n">
        <x:f>'Historical prices'!E340</x:f>
        <x:v>1.05</x:v>
      </x:c>
      <x:c r="I340" s="6" t="n">
        <x:f>'Historical prices'!D340</x:f>
        <x:v>0.2226</x:v>
      </x:c>
      <x:c r="J340" s="13" t="n">
        <x:f>D340*I340*H340</x:f>
        <x:v>0.11571582750000001</x:v>
      </x:c>
      <x:c r="K340" s="13" t="n">
        <x:f>E340*I340*H340</x:f>
        <x:v>0.11571582750000001</x:v>
      </x:c>
      <x:c r="L340" s="1" t="str">
        <x:f>TEXT(A340,"mmm yyyy")</x:f>
        <x:v>May 2026</x:v>
      </x:c>
    </x:row>
    <x:row r="341" ht="21" customHeight="1">
      <x:c r="A341" s="10" t="n">
        <x:v>46155</x:v>
      </x:c>
      <x:c r="B341" s="1" t="n">
        <x:v>14.5</x:v>
      </x:c>
      <x:c r="C341" s="1" t="n">
        <x:v>6</x:v>
      </x:c>
      <x:c r="D341" s="12" t="n">
        <x:v>0.5523333333333333</x:v>
      </x:c>
      <x:c r="E341" s="12" t="n">
        <x:v>0.5523333333333333</x:v>
      </x:c>
      <x:c r="F341" s="12" t="n">
        <x:v>0</x:v>
      </x:c>
      <x:c r="G341" s="12" t="n">
        <x:v>0</x:v>
      </x:c>
      <x:c r="H341" s="1" t="n">
        <x:f>'Historical prices'!E341</x:f>
        <x:v>1.05</x:v>
      </x:c>
      <x:c r="I341" s="6" t="n">
        <x:f>'Historical prices'!D341</x:f>
        <x:v>0.2226</x:v>
      </x:c>
      <x:c r="J341" s="13" t="n">
        <x:f>D341*I341*H341</x:f>
        <x:v>0.12909687</x:v>
      </x:c>
      <x:c r="K341" s="13" t="n">
        <x:f>E341*I341*H341</x:f>
        <x:v>0.12909687</x:v>
      </x:c>
      <x:c r="L341" s="1" t="str">
        <x:f>TEXT(A341,"mmm yyyy")</x:f>
        <x:v>May 2026</x:v>
      </x:c>
    </x:row>
    <x:row r="342" ht="21" customHeight="1">
      <x:c r="A342" s="10" t="n">
        <x:v>46155</x:v>
      </x:c>
      <x:c r="B342" s="1" t="n">
        <x:v>15</x:v>
      </x:c>
      <x:c r="C342" s="1" t="n">
        <x:v>6</x:v>
      </x:c>
      <x:c r="D342" s="12" t="n">
        <x:v>0.48841666666666667</x:v>
      </x:c>
      <x:c r="E342" s="12" t="n">
        <x:v>0.48941666666666667</x:v>
      </x:c>
      <x:c r="F342" s="12" t="n">
        <x:v>0</x:v>
      </x:c>
      <x:c r="G342" s="12" t="n">
        <x:v>0</x:v>
      </x:c>
      <x:c r="H342" s="1" t="n">
        <x:f>'Historical prices'!E342</x:f>
        <x:v>1.05</x:v>
      </x:c>
      <x:c r="I342" s="6" t="n">
        <x:f>'Historical prices'!D342</x:f>
        <x:v>0.2226</x:v>
      </x:c>
      <x:c r="J342" s="13" t="n">
        <x:f>D342*I342*H342</x:f>
        <x:v>0.11415762750000001</x:v>
      </x:c>
      <x:c r="K342" s="13" t="n">
        <x:f>E342*I342*H342</x:f>
        <x:v>0.1143913575</x:v>
      </x:c>
      <x:c r="L342" s="1" t="str">
        <x:f>TEXT(A342,"mmm yyyy")</x:f>
        <x:v>May 2026</x:v>
      </x:c>
    </x:row>
    <x:row r="343" ht="21" customHeight="1">
      <x:c r="A343" s="10" t="n">
        <x:v>46155</x:v>
      </x:c>
      <x:c r="B343" s="1" t="n">
        <x:v>15.5</x:v>
      </x:c>
      <x:c r="C343" s="1" t="n">
        <x:v>6</x:v>
      </x:c>
      <x:c r="D343" s="12" t="n">
        <x:v>0.51475</x:v>
      </x:c>
      <x:c r="E343" s="12" t="n">
        <x:v>0.51575</x:v>
      </x:c>
      <x:c r="F343" s="12" t="n">
        <x:v>0</x:v>
      </x:c>
      <x:c r="G343" s="12" t="n">
        <x:v>0</x:v>
      </x:c>
      <x:c r="H343" s="1" t="n">
        <x:f>'Historical prices'!E343</x:f>
        <x:v>1.05</x:v>
      </x:c>
      <x:c r="I343" s="6" t="n">
        <x:f>'Historical prices'!D343</x:f>
        <x:v>0.2226</x:v>
      </x:c>
      <x:c r="J343" s="13" t="n">
        <x:f>D343*I343*H343</x:f>
        <x:v>0.12031251750000001</x:v>
      </x:c>
      <x:c r="K343" s="13" t="n">
        <x:f>E343*I343*H343</x:f>
        <x:v>0.12054624750000001</x:v>
      </x:c>
      <x:c r="L343" s="1" t="str">
        <x:f>TEXT(A343,"mmm yyyy")</x:f>
        <x:v>May 2026</x:v>
      </x:c>
    </x:row>
    <x:row r="344" ht="21" customHeight="1">
      <x:c r="A344" s="10" t="n">
        <x:v>46155</x:v>
      </x:c>
      <x:c r="B344" s="1" t="n">
        <x:v>16</x:v>
      </x:c>
      <x:c r="C344" s="1" t="n">
        <x:v>6</x:v>
      </x:c>
      <x:c r="D344" s="12" t="n">
        <x:v>1.3281666666666667</x:v>
      </x:c>
      <x:c r="E344" s="12" t="n">
        <x:v>1.3271666666666666</x:v>
      </x:c>
      <x:c r="F344" s="12" t="n">
        <x:v>0</x:v>
      </x:c>
      <x:c r="G344" s="12" t="n">
        <x:v>0</x:v>
      </x:c>
      <x:c r="H344" s="1" t="n">
        <x:f>'Historical prices'!E344</x:f>
        <x:v>1.05</x:v>
      </x:c>
      <x:c r="I344" s="6" t="n">
        <x:f>'Historical prices'!D344</x:f>
        <x:v>0.2226</x:v>
      </x:c>
      <x:c r="J344" s="13" t="n">
        <x:f>D344*I344*H344</x:f>
        <x:v>0.310432395</x:v>
      </x:c>
      <x:c r="K344" s="13" t="n">
        <x:f>E344*I344*H344</x:f>
        <x:v>0.31019866500000004</x:v>
      </x:c>
      <x:c r="L344" s="1" t="str">
        <x:f>TEXT(A344,"mmm yyyy")</x:f>
        <x:v>May 2026</x:v>
      </x:c>
    </x:row>
    <x:row r="345" ht="21" customHeight="1">
      <x:c r="A345" s="10" t="n">
        <x:v>46155</x:v>
      </x:c>
      <x:c r="B345" s="1" t="n">
        <x:v>16.5</x:v>
      </x:c>
      <x:c r="C345" s="1" t="n">
        <x:v>6</x:v>
      </x:c>
      <x:c r="D345" s="12" t="n">
        <x:v>1.5106666666666666</x:v>
      </x:c>
      <x:c r="E345" s="12" t="n">
        <x:v>1.5126666666666666</x:v>
      </x:c>
      <x:c r="F345" s="12" t="n">
        <x:v>0</x:v>
      </x:c>
      <x:c r="G345" s="12" t="n">
        <x:v>0</x:v>
      </x:c>
      <x:c r="H345" s="1" t="n">
        <x:f>'Historical prices'!E345</x:f>
        <x:v>1.05</x:v>
      </x:c>
      <x:c r="I345" s="6" t="n">
        <x:f>'Historical prices'!D345</x:f>
        <x:v>0.2226</x:v>
      </x:c>
      <x:c r="J345" s="13" t="n">
        <x:f>D345*I345*H345</x:f>
        <x:v>0.35308812</x:v>
      </x:c>
      <x:c r="K345" s="13" t="n">
        <x:f>E345*I345*H345</x:f>
        <x:v>0.35355558</x:v>
      </x:c>
      <x:c r="L345" s="1" t="str">
        <x:f>TEXT(A345,"mmm yyyy")</x:f>
        <x:v>May 2026</x:v>
      </x:c>
    </x:row>
    <x:row r="346" ht="21" customHeight="1">
      <x:c r="A346" s="10" t="n">
        <x:v>46155</x:v>
      </x:c>
      <x:c r="B346" s="1" t="n">
        <x:v>17</x:v>
      </x:c>
      <x:c r="C346" s="1" t="n">
        <x:v>6</x:v>
      </x:c>
      <x:c r="D346" s="12" t="n">
        <x:v>0.8544166666666667</x:v>
      </x:c>
      <x:c r="E346" s="12" t="n">
        <x:v>0.8534166666666667</x:v>
      </x:c>
      <x:c r="F346" s="12" t="n">
        <x:v>0</x:v>
      </x:c>
      <x:c r="G346" s="12" t="n">
        <x:v>0</x:v>
      </x:c>
      <x:c r="H346" s="1" t="n">
        <x:f>'Historical prices'!E346</x:f>
        <x:v>1.05</x:v>
      </x:c>
      <x:c r="I346" s="6" t="n">
        <x:f>'Historical prices'!D346</x:f>
        <x:v>0.2226</x:v>
      </x:c>
      <x:c r="J346" s="13" t="n">
        <x:f>D346*I346*H346</x:f>
        <x:v>0.19970280750000002</x:v>
      </x:c>
      <x:c r="K346" s="13" t="n">
        <x:f>E346*I346*H346</x:f>
        <x:v>0.19946907750000004</x:v>
      </x:c>
      <x:c r="L346" s="1" t="str">
        <x:f>TEXT(A346,"mmm yyyy")</x:f>
        <x:v>May 2026</x:v>
      </x:c>
    </x:row>
    <x:row r="347" ht="21" customHeight="1">
      <x:c r="A347" s="10" t="n">
        <x:v>46155</x:v>
      </x:c>
      <x:c r="B347" s="1" t="n">
        <x:v>17.5</x:v>
      </x:c>
      <x:c r="C347" s="1" t="n">
        <x:v>6</x:v>
      </x:c>
      <x:c r="D347" s="12" t="n">
        <x:v>1.0443333333333333</x:v>
      </x:c>
      <x:c r="E347" s="12" t="n">
        <x:v>1.0453333333333332</x:v>
      </x:c>
      <x:c r="F347" s="12" t="n">
        <x:v>0</x:v>
      </x:c>
      <x:c r="G347" s="12" t="n">
        <x:v>0</x:v>
      </x:c>
      <x:c r="H347" s="1" t="n">
        <x:f>'Historical prices'!E347</x:f>
        <x:v>1.05</x:v>
      </x:c>
      <x:c r="I347" s="6" t="n">
        <x:f>'Historical prices'!D347</x:f>
        <x:v>0.2226</x:v>
      </x:c>
      <x:c r="J347" s="13" t="n">
        <x:f>D347*I347*H347</x:f>
        <x:v>0.24409203000000002</x:v>
      </x:c>
      <x:c r="K347" s="13" t="n">
        <x:f>E347*I347*H347</x:f>
        <x:v>0.24432575999999998</x:v>
      </x:c>
      <x:c r="L347" s="1" t="str">
        <x:f>TEXT(A347,"mmm yyyy")</x:f>
        <x:v>May 2026</x:v>
      </x:c>
    </x:row>
    <x:row r="348" ht="21" customHeight="1">
      <x:c r="A348" s="10" t="n">
        <x:v>46155</x:v>
      </x:c>
      <x:c r="B348" s="1" t="n">
        <x:v>18</x:v>
      </x:c>
      <x:c r="C348" s="1" t="n">
        <x:v>6</x:v>
      </x:c>
      <x:c r="D348" s="12" t="n">
        <x:v>0.49391666666666667</x:v>
      </x:c>
      <x:c r="E348" s="12" t="n">
        <x:v>0.4969166666666667</x:v>
      </x:c>
      <x:c r="F348" s="12" t="n">
        <x:v>0</x:v>
      </x:c>
      <x:c r="G348" s="12" t="n">
        <x:v>0</x:v>
      </x:c>
      <x:c r="H348" s="1" t="n">
        <x:f>'Historical prices'!E348</x:f>
        <x:v>1.05</x:v>
      </x:c>
      <x:c r="I348" s="6" t="n">
        <x:f>'Historical prices'!D348</x:f>
        <x:v>0.2226</x:v>
      </x:c>
      <x:c r="J348" s="13" t="n">
        <x:f>D348*I348*H348</x:f>
        <x:v>0.1154431425</x:v>
      </x:c>
      <x:c r="K348" s="13" t="n">
        <x:f>E348*I348*H348</x:f>
        <x:v>0.1161443325</x:v>
      </x:c>
      <x:c r="L348" s="1" t="str">
        <x:f>TEXT(A348,"mmm yyyy")</x:f>
        <x:v>May 2026</x:v>
      </x:c>
    </x:row>
    <x:row r="349" ht="21" customHeight="1">
      <x:c r="A349" s="10" t="n">
        <x:v>46155</x:v>
      </x:c>
      <x:c r="B349" s="1" t="n">
        <x:v>18.5</x:v>
      </x:c>
      <x:c r="C349" s="1" t="n">
        <x:v>6</x:v>
      </x:c>
      <x:c r="D349" s="12" t="n">
        <x:v>0.6807500000000001</x:v>
      </x:c>
      <x:c r="E349" s="12" t="n">
        <x:v>0.6807500000000001</x:v>
      </x:c>
      <x:c r="F349" s="12" t="n">
        <x:v>0</x:v>
      </x:c>
      <x:c r="G349" s="12" t="n">
        <x:v>0</x:v>
      </x:c>
      <x:c r="H349" s="1" t="n">
        <x:f>'Historical prices'!E349</x:f>
        <x:v>1.05</x:v>
      </x:c>
      <x:c r="I349" s="6" t="n">
        <x:f>'Historical prices'!D349</x:f>
        <x:v>0.2226</x:v>
      </x:c>
      <x:c r="J349" s="13" t="n">
        <x:f>D349*I349*H349</x:f>
        <x:v>0.1591116975</x:v>
      </x:c>
      <x:c r="K349" s="13" t="n">
        <x:f>E349*I349*H349</x:f>
        <x:v>0.1591116975</x:v>
      </x:c>
      <x:c r="L349" s="1" t="str">
        <x:f>TEXT(A349,"mmm yyyy")</x:f>
        <x:v>May 2026</x:v>
      </x:c>
    </x:row>
    <x:row r="350" ht="21" customHeight="1">
      <x:c r="A350" s="10" t="n">
        <x:v>46155</x:v>
      </x:c>
      <x:c r="B350" s="1" t="n">
        <x:v>19</x:v>
      </x:c>
      <x:c r="C350" s="1" t="n">
        <x:v>6</x:v>
      </x:c>
      <x:c r="D350" s="12" t="n">
        <x:v>0.5055833333333333</x:v>
      </x:c>
      <x:c r="E350" s="12" t="n">
        <x:v>0.5065833333333333</x:v>
      </x:c>
      <x:c r="F350" s="12" t="n">
        <x:v>0</x:v>
      </x:c>
      <x:c r="G350" s="12" t="n">
        <x:v>0</x:v>
      </x:c>
      <x:c r="H350" s="1" t="n">
        <x:f>'Historical prices'!E350</x:f>
        <x:v>1.05</x:v>
      </x:c>
      <x:c r="I350" s="6" t="n">
        <x:f>'Historical prices'!D350</x:f>
        <x:v>0.2226</x:v>
      </x:c>
      <x:c r="J350" s="13" t="n">
        <x:f>D350*I350*H350</x:f>
        <x:v>0.11816999249999999</x:v>
      </x:c>
      <x:c r="K350" s="13" t="n">
        <x:f>E350*I350*H350</x:f>
        <x:v>0.11840372249999999</x:v>
      </x:c>
      <x:c r="L350" s="1" t="str">
        <x:f>TEXT(A350,"mmm yyyy")</x:f>
        <x:v>May 2026</x:v>
      </x:c>
    </x:row>
    <x:row r="351" ht="21" customHeight="1">
      <x:c r="A351" s="10" t="n">
        <x:v>46155</x:v>
      </x:c>
      <x:c r="B351" s="1" t="n">
        <x:v>19.5</x:v>
      </x:c>
      <x:c r="C351" s="1" t="n">
        <x:v>6</x:v>
      </x:c>
      <x:c r="D351" s="12" t="n">
        <x:v>0.44891666666666663</x:v>
      </x:c>
      <x:c r="E351" s="12" t="n">
        <x:v>0.4489166666666667</x:v>
      </x:c>
      <x:c r="F351" s="12" t="n">
        <x:v>0</x:v>
      </x:c>
      <x:c r="G351" s="12" t="n">
        <x:v>0</x:v>
      </x:c>
      <x:c r="H351" s="1" t="n">
        <x:f>'Historical prices'!E351</x:f>
        <x:v>1.05</x:v>
      </x:c>
      <x:c r="I351" s="6" t="n">
        <x:f>'Historical prices'!D351</x:f>
        <x:v>0.2226</x:v>
      </x:c>
      <x:c r="J351" s="13" t="n">
        <x:f>D351*I351*H351</x:f>
        <x:v>0.10492529249999999</x:v>
      </x:c>
      <x:c r="K351" s="13" t="n">
        <x:f>E351*I351*H351</x:f>
        <x:v>0.1049252925</x:v>
      </x:c>
      <x:c r="L351" s="1" t="str">
        <x:f>TEXT(A351,"mmm yyyy")</x:f>
        <x:v>May 2026</x:v>
      </x:c>
    </x:row>
    <x:row r="352" ht="21" customHeight="1">
      <x:c r="A352" s="10" t="n">
        <x:v>46155</x:v>
      </x:c>
      <x:c r="B352" s="1" t="n">
        <x:v>20</x:v>
      </x:c>
      <x:c r="C352" s="1" t="n">
        <x:v>6</x:v>
      </x:c>
      <x:c r="D352" s="12" t="n">
        <x:v>0.48591666666666666</x:v>
      </x:c>
      <x:c r="E352" s="12" t="n">
        <x:v>0.48691666666666666</x:v>
      </x:c>
      <x:c r="F352" s="12" t="n">
        <x:v>0</x:v>
      </x:c>
      <x:c r="G352" s="12" t="n">
        <x:v>0</x:v>
      </x:c>
      <x:c r="H352" s="1" t="n">
        <x:f>'Historical prices'!E352</x:f>
        <x:v>1.05</x:v>
      </x:c>
      <x:c r="I352" s="6" t="n">
        <x:f>'Historical prices'!D352</x:f>
        <x:v>0.2226</x:v>
      </x:c>
      <x:c r="J352" s="13" t="n">
        <x:f>D352*I352*H352</x:f>
        <x:v>0.1135733025</x:v>
      </x:c>
      <x:c r="K352" s="13" t="n">
        <x:f>E352*I352*H352</x:f>
        <x:v>0.1138070325</x:v>
      </x:c>
      <x:c r="L352" s="1" t="str">
        <x:f>TEXT(A352,"mmm yyyy")</x:f>
        <x:v>May 2026</x:v>
      </x:c>
    </x:row>
    <x:row r="353" ht="21" customHeight="1">
      <x:c r="A353" s="10" t="n">
        <x:v>46155</x:v>
      </x:c>
      <x:c r="B353" s="1" t="n">
        <x:v>20.5</x:v>
      </x:c>
      <x:c r="C353" s="1" t="n">
        <x:v>6</x:v>
      </x:c>
      <x:c r="D353" s="12" t="n">
        <x:v>0.41575</x:v>
      </x:c>
      <x:c r="E353" s="12" t="n">
        <x:v>0.41475</x:v>
      </x:c>
      <x:c r="F353" s="12" t="n">
        <x:v>0</x:v>
      </x:c>
      <x:c r="G353" s="12" t="n">
        <x:v>0</x:v>
      </x:c>
      <x:c r="H353" s="1" t="n">
        <x:f>'Historical prices'!E353</x:f>
        <x:v>1.05</x:v>
      </x:c>
      <x:c r="I353" s="6" t="n">
        <x:f>'Historical prices'!D353</x:f>
        <x:v>0.2226</x:v>
      </x:c>
      <x:c r="J353" s="13" t="n">
        <x:f>D353*I353*H353</x:f>
        <x:v>0.0971732475</x:v>
      </x:c>
      <x:c r="K353" s="13" t="n">
        <x:f>E353*I353*H353</x:f>
        <x:v>0.0969395175</x:v>
      </x:c>
      <x:c r="L353" s="1" t="str">
        <x:f>TEXT(A353,"mmm yyyy")</x:f>
        <x:v>May 2026</x:v>
      </x:c>
    </x:row>
    <x:row r="354" ht="21" customHeight="1">
      <x:c r="A354" s="10" t="n">
        <x:v>46155</x:v>
      </x:c>
      <x:c r="B354" s="1" t="n">
        <x:v>21</x:v>
      </x:c>
      <x:c r="C354" s="1" t="n">
        <x:v>6</x:v>
      </x:c>
      <x:c r="D354" s="12" t="n">
        <x:v>0.5705833333333333</x:v>
      </x:c>
      <x:c r="E354" s="12" t="n">
        <x:v>0.5705833333333333</x:v>
      </x:c>
      <x:c r="F354" s="12" t="n">
        <x:v>0</x:v>
      </x:c>
      <x:c r="G354" s="12" t="n">
        <x:v>0</x:v>
      </x:c>
      <x:c r="H354" s="1" t="n">
        <x:f>'Historical prices'!E354</x:f>
        <x:v>1.05</x:v>
      </x:c>
      <x:c r="I354" s="6" t="n">
        <x:f>'Historical prices'!D354</x:f>
        <x:v>0.2226</x:v>
      </x:c>
      <x:c r="J354" s="13" t="n">
        <x:f>D354*I354*H354</x:f>
        <x:v>0.13336244249999998</x:v>
      </x:c>
      <x:c r="K354" s="13" t="n">
        <x:f>E354*I354*H354</x:f>
        <x:v>0.13336244249999998</x:v>
      </x:c>
      <x:c r="L354" s="1" t="str">
        <x:f>TEXT(A354,"mmm yyyy")</x:f>
        <x:v>May 2026</x:v>
      </x:c>
    </x:row>
    <x:row r="355" ht="21" customHeight="1">
      <x:c r="A355" s="10" t="n">
        <x:v>46155</x:v>
      </x:c>
      <x:c r="B355" s="1" t="n">
        <x:v>21.5</x:v>
      </x:c>
      <x:c r="C355" s="1" t="n">
        <x:v>6</x:v>
      </x:c>
      <x:c r="D355" s="12" t="n">
        <x:v>0.5013333333333334</x:v>
      </x:c>
      <x:c r="E355" s="12" t="n">
        <x:v>0.5023333333333334</x:v>
      </x:c>
      <x:c r="F355" s="12" t="n">
        <x:v>0</x:v>
      </x:c>
      <x:c r="G355" s="12" t="n">
        <x:v>0</x:v>
      </x:c>
      <x:c r="H355" s="1" t="n">
        <x:f>'Historical prices'!E355</x:f>
        <x:v>1.05</x:v>
      </x:c>
      <x:c r="I355" s="6" t="n">
        <x:f>'Historical prices'!D355</x:f>
        <x:v>0.2226</x:v>
      </x:c>
      <x:c r="J355" s="13" t="n">
        <x:f>D355*I355*H355</x:f>
        <x:v>0.11717664000000001</x:v>
      </x:c>
      <x:c r="K355" s="13" t="n">
        <x:f>E355*I355*H355</x:f>
        <x:v>0.11741037000000001</x:v>
      </x:c>
      <x:c r="L355" s="1" t="str">
        <x:f>TEXT(A355,"mmm yyyy")</x:f>
        <x:v>May 2026</x:v>
      </x:c>
    </x:row>
    <x:row r="356" ht="21" customHeight="1">
      <x:c r="A356" s="10" t="n">
        <x:v>46155</x:v>
      </x:c>
      <x:c r="B356" s="1" t="n">
        <x:v>22</x:v>
      </x:c>
      <x:c r="C356" s="1" t="n">
        <x:v>6</x:v>
      </x:c>
      <x:c r="D356" s="12" t="n">
        <x:v>0.6395000000000001</x:v>
      </x:c>
      <x:c r="E356" s="12" t="n">
        <x:v>0.6405000000000001</x:v>
      </x:c>
      <x:c r="F356" s="12" t="n">
        <x:v>0</x:v>
      </x:c>
      <x:c r="G356" s="12" t="n">
        <x:v>0</x:v>
      </x:c>
      <x:c r="H356" s="1" t="n">
        <x:f>'Historical prices'!E356</x:f>
        <x:v>1.05</x:v>
      </x:c>
      <x:c r="I356" s="6" t="n">
        <x:f>'Historical prices'!D356</x:f>
        <x:v>0.2226</x:v>
      </x:c>
      <x:c r="J356" s="13" t="n">
        <x:f>D356*I356*H356</x:f>
        <x:v>0.149470335</x:v>
      </x:c>
      <x:c r="K356" s="13" t="n">
        <x:f>E356*I356*H356</x:f>
        <x:v>0.14970406500000003</x:v>
      </x:c>
      <x:c r="L356" s="1" t="str">
        <x:f>TEXT(A356,"mmm yyyy")</x:f>
        <x:v>May 2026</x:v>
      </x:c>
    </x:row>
    <x:row r="357" ht="21" customHeight="1">
      <x:c r="A357" s="10" t="n">
        <x:v>46155</x:v>
      </x:c>
      <x:c r="B357" s="1" t="n">
        <x:v>22.5</x:v>
      </x:c>
      <x:c r="C357" s="1" t="n">
        <x:v>6</x:v>
      </x:c>
      <x:c r="D357" s="12" t="n">
        <x:v>0.36824999999999997</x:v>
      </x:c>
      <x:c r="E357" s="12" t="n">
        <x:v>0.36924999999999997</x:v>
      </x:c>
      <x:c r="F357" s="12" t="n">
        <x:v>0</x:v>
      </x:c>
      <x:c r="G357" s="12" t="n">
        <x:v>0</x:v>
      </x:c>
      <x:c r="H357" s="1" t="n">
        <x:f>'Historical prices'!E357</x:f>
        <x:v>1.05</x:v>
      </x:c>
      <x:c r="I357" s="6" t="n">
        <x:f>'Historical prices'!D357</x:f>
        <x:v>0.2226</x:v>
      </x:c>
      <x:c r="J357" s="13" t="n">
        <x:f>D357*I357*H357</x:f>
        <x:v>0.0860710725</x:v>
      </x:c>
      <x:c r="K357" s="13" t="n">
        <x:f>E357*I357*H357</x:f>
        <x:v>0.0863048025</x:v>
      </x:c>
      <x:c r="L357" s="1" t="str">
        <x:f>TEXT(A357,"mmm yyyy")</x:f>
        <x:v>May 2026</x:v>
      </x:c>
    </x:row>
    <x:row r="358" ht="21" customHeight="1">
      <x:c r="A358" s="10" t="n">
        <x:v>46155</x:v>
      </x:c>
      <x:c r="B358" s="1" t="n">
        <x:v>23</x:v>
      </x:c>
      <x:c r="C358" s="1" t="n">
        <x:v>6</x:v>
      </x:c>
      <x:c r="D358" s="12" t="n">
        <x:v>0.27475</x:v>
      </x:c>
      <x:c r="E358" s="12" t="n">
        <x:v>0.27475</x:v>
      </x:c>
      <x:c r="F358" s="12" t="n">
        <x:v>0</x:v>
      </x:c>
      <x:c r="G358" s="12" t="n">
        <x:v>0</x:v>
      </x:c>
      <x:c r="H358" s="1" t="n">
        <x:f>'Historical prices'!E358</x:f>
        <x:v>1.05</x:v>
      </x:c>
      <x:c r="I358" s="6" t="n">
        <x:f>'Historical prices'!D358</x:f>
        <x:v>0.2226</x:v>
      </x:c>
      <x:c r="J358" s="13" t="n">
        <x:f>D358*I358*H358</x:f>
        <x:v>0.0642173175</x:v>
      </x:c>
      <x:c r="K358" s="13" t="n">
        <x:f>E358*I358*H358</x:f>
        <x:v>0.0642173175</x:v>
      </x:c>
      <x:c r="L358" s="1" t="str">
        <x:f>TEXT(A358,"mmm yyyy")</x:f>
        <x:v>May 2026</x:v>
      </x:c>
    </x:row>
    <x:row r="359" ht="21" customHeight="1">
      <x:c r="A359" s="10" t="n">
        <x:v>46155</x:v>
      </x:c>
      <x:c r="B359" s="1" t="n">
        <x:v>23.5</x:v>
      </x:c>
      <x:c r="C359" s="1" t="n">
        <x:v>6</x:v>
      </x:c>
      <x:c r="D359" s="12" t="n">
        <x:v>0.29041666666666666</x:v>
      </x:c>
      <x:c r="E359" s="12" t="n">
        <x:v>0.29141666666666666</x:v>
      </x:c>
      <x:c r="F359" s="12" t="n">
        <x:v>0</x:v>
      </x:c>
      <x:c r="G359" s="12" t="n">
        <x:v>0</x:v>
      </x:c>
      <x:c r="H359" s="1" t="n">
        <x:f>'Historical prices'!E359</x:f>
        <x:v>1.05</x:v>
      </x:c>
      <x:c r="I359" s="6" t="n">
        <x:f>'Historical prices'!D359</x:f>
        <x:v>0.2226</x:v>
      </x:c>
      <x:c r="J359" s="13" t="n">
        <x:f>D359*I359*H359</x:f>
        <x:v>0.06787908749999999</x:v>
      </x:c>
      <x:c r="K359" s="13" t="n">
        <x:f>E359*I359*H359</x:f>
        <x:v>0.06811281749999999</x:v>
      </x:c>
      <x:c r="L359" s="1" t="str">
        <x:f>TEXT(A359,"mmm yyyy")</x:f>
        <x:v>May 2026</x:v>
      </x:c>
    </x:row>
    <x:row r="360" ht="21" customHeight="1">
      <x:c r="A360" s="10" t="n">
        <x:v>46156</x:v>
      </x:c>
      <x:c r="B360" s="1" t="n">
        <x:v>0</x:v>
      </x:c>
      <x:c r="C360" s="1" t="n">
        <x:v>6</x:v>
      </x:c>
      <x:c r="D360" s="12" t="n">
        <x:v>0.6566666666666665</x:v>
      </x:c>
      <x:c r="E360" s="12" t="n">
        <x:v>0.6566666666666666</x:v>
      </x:c>
      <x:c r="F360" s="12" t="n">
        <x:v>0</x:v>
      </x:c>
      <x:c r="G360" s="12" t="n">
        <x:v>0</x:v>
      </x:c>
      <x:c r="H360" s="1" t="n">
        <x:f>'Historical prices'!E360</x:f>
        <x:v>1.05</x:v>
      </x:c>
      <x:c r="I360" s="6" t="n">
        <x:f>'Historical prices'!D360</x:f>
        <x:v>0.2226</x:v>
      </x:c>
      <x:c r="J360" s="13" t="n">
        <x:f>D360*I360*H360</x:f>
        <x:v>0.15348269999999997</x:v>
      </x:c>
      <x:c r="K360" s="13" t="n">
        <x:f>E360*I360*H360</x:f>
        <x:v>0.1534827</x:v>
      </x:c>
      <x:c r="L360" s="1" t="str">
        <x:f>TEXT(A360,"mmm yyyy")</x:f>
        <x:v>May 2026</x:v>
      </x:c>
    </x:row>
    <x:row r="361" ht="21" customHeight="1">
      <x:c r="A361" s="10" t="n">
        <x:v>46156</x:v>
      </x:c>
      <x:c r="B361" s="1" t="n">
        <x:v>0.5</x:v>
      </x:c>
      <x:c r="C361" s="1" t="n">
        <x:v>6</x:v>
      </x:c>
      <x:c r="D361" s="12" t="n">
        <x:v>0.29333333333333333</x:v>
      </x:c>
      <x:c r="E361" s="12" t="n">
        <x:v>0.29433333333333334</x:v>
      </x:c>
      <x:c r="F361" s="12" t="n">
        <x:v>0</x:v>
      </x:c>
      <x:c r="G361" s="12" t="n">
        <x:v>0</x:v>
      </x:c>
      <x:c r="H361" s="1" t="n">
        <x:f>'Historical prices'!E361</x:f>
        <x:v>1.05</x:v>
      </x:c>
      <x:c r="I361" s="6" t="n">
        <x:f>'Historical prices'!D361</x:f>
        <x:v>0.2226</x:v>
      </x:c>
      <x:c r="J361" s="13" t="n">
        <x:f>D361*I361*H361</x:f>
        <x:v>0.06856079999999999</x:v>
      </x:c>
      <x:c r="K361" s="13" t="n">
        <x:f>E361*I361*H361</x:f>
        <x:v>0.06879452999999999</x:v>
      </x:c>
      <x:c r="L361" s="1" t="str">
        <x:f>TEXT(A361,"mmm yyyy")</x:f>
        <x:v>May 2026</x:v>
      </x:c>
    </x:row>
    <x:row r="362" ht="21" customHeight="1">
      <x:c r="A362" s="10" t="n">
        <x:v>46156</x:v>
      </x:c>
      <x:c r="B362" s="1" t="n">
        <x:v>1</x:v>
      </x:c>
      <x:c r="C362" s="1" t="n">
        <x:v>6</x:v>
      </x:c>
      <x:c r="D362" s="12" t="n">
        <x:v>0.29574999999999996</x:v>
      </x:c>
      <x:c r="E362" s="12" t="n">
        <x:v>0.29675</x:v>
      </x:c>
      <x:c r="F362" s="12" t="n">
        <x:v>0</x:v>
      </x:c>
      <x:c r="G362" s="12" t="n">
        <x:v>0</x:v>
      </x:c>
      <x:c r="H362" s="1" t="n">
        <x:f>'Historical prices'!E362</x:f>
        <x:v>1.05</x:v>
      </x:c>
      <x:c r="I362" s="6" t="n">
        <x:f>'Historical prices'!D362</x:f>
        <x:v>0.2226</x:v>
      </x:c>
      <x:c r="J362" s="13" t="n">
        <x:f>D362*I362*H362</x:f>
        <x:v>0.06912564749999998</x:v>
      </x:c>
      <x:c r="K362" s="13" t="n">
        <x:f>E362*I362*H362</x:f>
        <x:v>0.06935937750000001</x:v>
      </x:c>
      <x:c r="L362" s="1" t="str">
        <x:f>TEXT(A362,"mmm yyyy")</x:f>
        <x:v>May 2026</x:v>
      </x:c>
    </x:row>
    <x:row r="363" ht="21" customHeight="1">
      <x:c r="A363" s="10" t="n">
        <x:v>46156</x:v>
      </x:c>
      <x:c r="B363" s="1" t="n">
        <x:v>1.5</x:v>
      </x:c>
      <x:c r="C363" s="1" t="n">
        <x:v>6</x:v>
      </x:c>
      <x:c r="D363" s="12" t="n">
        <x:v>0.23725000000000002</x:v>
      </x:c>
      <x:c r="E363" s="12" t="n">
        <x:v>0.23725000000000002</x:v>
      </x:c>
      <x:c r="F363" s="12" t="n">
        <x:v>0</x:v>
      </x:c>
      <x:c r="G363" s="12" t="n">
        <x:v>0</x:v>
      </x:c>
      <x:c r="H363" s="1" t="n">
        <x:f>'Historical prices'!E363</x:f>
        <x:v>1.05</x:v>
      </x:c>
      <x:c r="I363" s="6" t="n">
        <x:f>'Historical prices'!D363</x:f>
        <x:v>0.2226</x:v>
      </x:c>
      <x:c r="J363" s="13" t="n">
        <x:f>D363*I363*H363</x:f>
        <x:v>0.055452442500000004</x:v>
      </x:c>
      <x:c r="K363" s="13" t="n">
        <x:f>E363*I363*H363</x:f>
        <x:v>0.055452442500000004</x:v>
      </x:c>
      <x:c r="L363" s="1" t="str">
        <x:f>TEXT(A363,"mmm yyyy")</x:f>
        <x:v>May 2026</x:v>
      </x:c>
    </x:row>
    <x:row r="364" ht="21" customHeight="1">
      <x:c r="A364" s="10" t="n">
        <x:v>46156</x:v>
      </x:c>
      <x:c r="B364" s="1" t="n">
        <x:v>2</x:v>
      </x:c>
      <x:c r="C364" s="1" t="n">
        <x:v>6</x:v>
      </x:c>
      <x:c r="D364" s="12" t="n">
        <x:v>0.20833333333333331</x:v>
      </x:c>
      <x:c r="E364" s="12" t="n">
        <x:v>0.20833333333333331</x:v>
      </x:c>
      <x:c r="F364" s="12" t="n">
        <x:v>0</x:v>
      </x:c>
      <x:c r="G364" s="12" t="n">
        <x:v>0</x:v>
      </x:c>
      <x:c r="H364" s="1" t="n">
        <x:f>'Historical prices'!E364</x:f>
        <x:v>1.05</x:v>
      </x:c>
      <x:c r="I364" s="6" t="n">
        <x:f>'Historical prices'!D364</x:f>
        <x:v>0.2226</x:v>
      </x:c>
      <x:c r="J364" s="13" t="n">
        <x:f>D364*I364*H364</x:f>
        <x:v>0.048693749999999994</x:v>
      </x:c>
      <x:c r="K364" s="13" t="n">
        <x:f>E364*I364*H364</x:f>
        <x:v>0.048693749999999994</x:v>
      </x:c>
      <x:c r="L364" s="1" t="str">
        <x:f>TEXT(A364,"mmm yyyy")</x:f>
        <x:v>May 2026</x:v>
      </x:c>
    </x:row>
    <x:row r="365" ht="21" customHeight="1">
      <x:c r="A365" s="10" t="n">
        <x:v>46156</x:v>
      </x:c>
      <x:c r="B365" s="1" t="n">
        <x:v>2.5</x:v>
      </x:c>
      <x:c r="C365" s="1" t="n">
        <x:v>6</x:v>
      </x:c>
      <x:c r="D365" s="12" t="n">
        <x:v>0.20875</x:v>
      </x:c>
      <x:c r="E365" s="12" t="n">
        <x:v>0.20975</x:v>
      </x:c>
      <x:c r="F365" s="12" t="n">
        <x:v>0</x:v>
      </x:c>
      <x:c r="G365" s="12" t="n">
        <x:v>0</x:v>
      </x:c>
      <x:c r="H365" s="1" t="n">
        <x:f>'Historical prices'!E365</x:f>
        <x:v>1.05</x:v>
      </x:c>
      <x:c r="I365" s="6" t="n">
        <x:f>'Historical prices'!D365</x:f>
        <x:v>0.2226</x:v>
      </x:c>
      <x:c r="J365" s="13" t="n">
        <x:f>D365*I365*H365</x:f>
        <x:v>0.0487911375</x:v>
      </x:c>
      <x:c r="K365" s="13" t="n">
        <x:f>E365*I365*H365</x:f>
        <x:v>0.0490248675</x:v>
      </x:c>
      <x:c r="L365" s="1" t="str">
        <x:f>TEXT(A365,"mmm yyyy")</x:f>
        <x:v>May 2026</x:v>
      </x:c>
    </x:row>
    <x:row r="366" ht="21" customHeight="1">
      <x:c r="A366" s="10" t="n">
        <x:v>46156</x:v>
      </x:c>
      <x:c r="B366" s="1" t="n">
        <x:v>3</x:v>
      </x:c>
      <x:c r="C366" s="1" t="n">
        <x:v>6</x:v>
      </x:c>
      <x:c r="D366" s="12" t="n">
        <x:v>0.19833333333333336</x:v>
      </x:c>
      <x:c r="E366" s="12" t="n">
        <x:v>0.19833333333333336</x:v>
      </x:c>
      <x:c r="F366" s="12" t="n">
        <x:v>0</x:v>
      </x:c>
      <x:c r="G366" s="12" t="n">
        <x:v>0</x:v>
      </x:c>
      <x:c r="H366" s="1" t="n">
        <x:f>'Historical prices'!E366</x:f>
        <x:v>1.05</x:v>
      </x:c>
      <x:c r="I366" s="6" t="n">
        <x:f>'Historical prices'!D366</x:f>
        <x:v>0.2226</x:v>
      </x:c>
      <x:c r="J366" s="13" t="n">
        <x:f>D366*I366*H366</x:f>
        <x:v>0.04635645000000001</x:v>
      </x:c>
      <x:c r="K366" s="13" t="n">
        <x:f>E366*I366*H366</x:f>
        <x:v>0.04635645000000001</x:v>
      </x:c>
      <x:c r="L366" s="1" t="str">
        <x:f>TEXT(A366,"mmm yyyy")</x:f>
        <x:v>May 2026</x:v>
      </x:c>
    </x:row>
    <x:row r="367" ht="21" customHeight="1">
      <x:c r="A367" s="10" t="n">
        <x:v>46156</x:v>
      </x:c>
      <x:c r="B367" s="1" t="n">
        <x:v>3.5</x:v>
      </x:c>
      <x:c r="C367" s="1" t="n">
        <x:v>6</x:v>
      </x:c>
      <x:c r="D367" s="12" t="n">
        <x:v>0.24033333333333334</x:v>
      </x:c>
      <x:c r="E367" s="12" t="n">
        <x:v>0.24233333333333335</x:v>
      </x:c>
      <x:c r="F367" s="12" t="n">
        <x:v>0</x:v>
      </x:c>
      <x:c r="G367" s="12" t="n">
        <x:v>0</x:v>
      </x:c>
      <x:c r="H367" s="1" t="n">
        <x:f>'Historical prices'!E367</x:f>
        <x:v>1.05</x:v>
      </x:c>
      <x:c r="I367" s="6" t="n">
        <x:f>'Historical prices'!D367</x:f>
        <x:v>0.2226</x:v>
      </x:c>
      <x:c r="J367" s="13" t="n">
        <x:f>D367*I367*H367</x:f>
        <x:v>0.056173110000000005</x:v>
      </x:c>
      <x:c r="K367" s="13" t="n">
        <x:f>E367*I367*H367</x:f>
        <x:v>0.05664057000000001</x:v>
      </x:c>
      <x:c r="L367" s="1" t="str">
        <x:f>TEXT(A367,"mmm yyyy")</x:f>
        <x:v>May 2026</x:v>
      </x:c>
    </x:row>
    <x:row r="368" ht="21" customHeight="1">
      <x:c r="A368" s="10" t="n">
        <x:v>46156</x:v>
      </x:c>
      <x:c r="B368" s="1" t="n">
        <x:v>4</x:v>
      </x:c>
      <x:c r="C368" s="1" t="n">
        <x:v>6</x:v>
      </x:c>
      <x:c r="D368" s="12" t="n">
        <x:v>0.23308333333333334</x:v>
      </x:c>
      <x:c r="E368" s="12" t="n">
        <x:v>0.23308333333333334</x:v>
      </x:c>
      <x:c r="F368" s="12" t="n">
        <x:v>0</x:v>
      </x:c>
      <x:c r="G368" s="12" t="n">
        <x:v>0</x:v>
      </x:c>
      <x:c r="H368" s="1" t="n">
        <x:f>'Historical prices'!E368</x:f>
        <x:v>1.05</x:v>
      </x:c>
      <x:c r="I368" s="6" t="n">
        <x:f>'Historical prices'!D368</x:f>
        <x:v>0.2226</x:v>
      </x:c>
      <x:c r="J368" s="13" t="n">
        <x:f>D368*I368*H368</x:f>
        <x:v>0.0544785675</x:v>
      </x:c>
      <x:c r="K368" s="13" t="n">
        <x:f>E368*I368*H368</x:f>
        <x:v>0.0544785675</x:v>
      </x:c>
      <x:c r="L368" s="1" t="str">
        <x:f>TEXT(A368,"mmm yyyy")</x:f>
        <x:v>May 2026</x:v>
      </x:c>
    </x:row>
    <x:row r="369" ht="21" customHeight="1">
      <x:c r="A369" s="10" t="n">
        <x:v>46156</x:v>
      </x:c>
      <x:c r="B369" s="1" t="n">
        <x:v>4.5</x:v>
      </x:c>
      <x:c r="C369" s="1" t="n">
        <x:v>6</x:v>
      </x:c>
      <x:c r="D369" s="12" t="n">
        <x:v>0.36125</x:v>
      </x:c>
      <x:c r="E369" s="12" t="n">
        <x:v>0.36125</x:v>
      </x:c>
      <x:c r="F369" s="12" t="n">
        <x:v>0</x:v>
      </x:c>
      <x:c r="G369" s="12" t="n">
        <x:v>0</x:v>
      </x:c>
      <x:c r="H369" s="1" t="n">
        <x:f>'Historical prices'!E369</x:f>
        <x:v>1.05</x:v>
      </x:c>
      <x:c r="I369" s="6" t="n">
        <x:f>'Historical prices'!D369</x:f>
        <x:v>0.2226</x:v>
      </x:c>
      <x:c r="J369" s="13" t="n">
        <x:f>D369*I369*H369</x:f>
        <x:v>0.08443496250000002</x:v>
      </x:c>
      <x:c r="K369" s="13" t="n">
        <x:f>E369*I369*H369</x:f>
        <x:v>0.08443496250000002</x:v>
      </x:c>
      <x:c r="L369" s="1" t="str">
        <x:f>TEXT(A369,"mmm yyyy")</x:f>
        <x:v>May 2026</x:v>
      </x:c>
    </x:row>
    <x:row r="370" ht="21" customHeight="1">
      <x:c r="A370" s="10" t="n">
        <x:v>46156</x:v>
      </x:c>
      <x:c r="B370" s="1" t="n">
        <x:v>5</x:v>
      </x:c>
      <x:c r="C370" s="1" t="n">
        <x:v>6</x:v>
      </x:c>
      <x:c r="D370" s="12" t="n">
        <x:v>0.263</x:v>
      </x:c>
      <x:c r="E370" s="12" t="n">
        <x:v>0.264</x:v>
      </x:c>
      <x:c r="F370" s="12" t="n">
        <x:v>0</x:v>
      </x:c>
      <x:c r="G370" s="12" t="n">
        <x:v>0</x:v>
      </x:c>
      <x:c r="H370" s="1" t="n">
        <x:f>'Historical prices'!E370</x:f>
        <x:v>1.05</x:v>
      </x:c>
      <x:c r="I370" s="6" t="n">
        <x:f>'Historical prices'!D370</x:f>
        <x:v>0.2226</x:v>
      </x:c>
      <x:c r="J370" s="13" t="n">
        <x:f>D370*I370*H370</x:f>
        <x:v>0.06147099</x:v>
      </x:c>
      <x:c r="K370" s="13" t="n">
        <x:f>E370*I370*H370</x:f>
        <x:v>0.061704720000000005</x:v>
      </x:c>
      <x:c r="L370" s="1" t="str">
        <x:f>TEXT(A370,"mmm yyyy")</x:f>
        <x:v>May 2026</x:v>
      </x:c>
    </x:row>
    <x:row r="371" ht="21" customHeight="1">
      <x:c r="A371" s="10" t="n">
        <x:v>46156</x:v>
      </x:c>
      <x:c r="B371" s="1" t="n">
        <x:v>5.5</x:v>
      </x:c>
      <x:c r="C371" s="1" t="n">
        <x:v>6</x:v>
      </x:c>
      <x:c r="D371" s="12" t="n">
        <x:v>0.26525</x:v>
      </x:c>
      <x:c r="E371" s="12" t="n">
        <x:v>0.26525</x:v>
      </x:c>
      <x:c r="F371" s="12" t="n">
        <x:v>0</x:v>
      </x:c>
      <x:c r="G371" s="12" t="n">
        <x:v>0</x:v>
      </x:c>
      <x:c r="H371" s="1" t="n">
        <x:f>'Historical prices'!E371</x:f>
        <x:v>1.05</x:v>
      </x:c>
      <x:c r="I371" s="6" t="n">
        <x:f>'Historical prices'!D371</x:f>
        <x:v>0.2226</x:v>
      </x:c>
      <x:c r="J371" s="13" t="n">
        <x:f>D371*I371*H371</x:f>
        <x:v>0.0619968825</x:v>
      </x:c>
      <x:c r="K371" s="13" t="n">
        <x:f>E371*I371*H371</x:f>
        <x:v>0.0619968825</x:v>
      </x:c>
      <x:c r="L371" s="1" t="str">
        <x:f>TEXT(A371,"mmm yyyy")</x:f>
        <x:v>May 2026</x:v>
      </x:c>
    </x:row>
    <x:row r="372" ht="21" customHeight="1">
      <x:c r="A372" s="10" t="n">
        <x:v>46156</x:v>
      </x:c>
      <x:c r="B372" s="1" t="n">
        <x:v>6</x:v>
      </x:c>
      <x:c r="C372" s="1" t="n">
        <x:v>6</x:v>
      </x:c>
      <x:c r="D372" s="12" t="n">
        <x:v>0.3383333333333333</x:v>
      </x:c>
      <x:c r="E372" s="12" t="n">
        <x:v>0.3383333333333333</x:v>
      </x:c>
      <x:c r="F372" s="12" t="n">
        <x:v>0</x:v>
      </x:c>
      <x:c r="G372" s="12" t="n">
        <x:v>0</x:v>
      </x:c>
      <x:c r="H372" s="1" t="n">
        <x:f>'Historical prices'!E372</x:f>
        <x:v>1.05</x:v>
      </x:c>
      <x:c r="I372" s="6" t="n">
        <x:f>'Historical prices'!D372</x:f>
        <x:v>0.2226</x:v>
      </x:c>
      <x:c r="J372" s="13" t="n">
        <x:f>D372*I372*H372</x:f>
        <x:v>0.07907865</x:v>
      </x:c>
      <x:c r="K372" s="13" t="n">
        <x:f>E372*I372*H372</x:f>
        <x:v>0.07907865</x:v>
      </x:c>
      <x:c r="L372" s="1" t="str">
        <x:f>TEXT(A372,"mmm yyyy")</x:f>
        <x:v>May 2026</x:v>
      </x:c>
    </x:row>
    <x:row r="373" ht="21" customHeight="1">
      <x:c r="A373" s="10" t="n">
        <x:v>46156</x:v>
      </x:c>
      <x:c r="B373" s="1" t="n">
        <x:v>6.5</x:v>
      </x:c>
      <x:c r="C373" s="1" t="n">
        <x:v>6</x:v>
      </x:c>
      <x:c r="D373" s="12" t="n">
        <x:v>0.5296666666666666</x:v>
      </x:c>
      <x:c r="E373" s="12" t="n">
        <x:v>0.5296666666666666</x:v>
      </x:c>
      <x:c r="F373" s="12" t="n">
        <x:v>0</x:v>
      </x:c>
      <x:c r="G373" s="12" t="n">
        <x:v>0</x:v>
      </x:c>
      <x:c r="H373" s="1" t="n">
        <x:f>'Historical prices'!E373</x:f>
        <x:v>1.05</x:v>
      </x:c>
      <x:c r="I373" s="6" t="n">
        <x:f>'Historical prices'!D373</x:f>
        <x:v>0.2226</x:v>
      </x:c>
      <x:c r="J373" s="13" t="n">
        <x:f>D373*I373*H373</x:f>
        <x:v>0.12379899</x:v>
      </x:c>
      <x:c r="K373" s="13" t="n">
        <x:f>E373*I373*H373</x:f>
        <x:v>0.12379899</x:v>
      </x:c>
      <x:c r="L373" s="1" t="str">
        <x:f>TEXT(A373,"mmm yyyy")</x:f>
        <x:v>May 2026</x:v>
      </x:c>
    </x:row>
    <x:row r="374" ht="21" customHeight="1">
      <x:c r="A374" s="10" t="n">
        <x:v>46156</x:v>
      </x:c>
      <x:c r="B374" s="1" t="n">
        <x:v>7</x:v>
      </x:c>
      <x:c r="C374" s="1" t="n">
        <x:v>6</x:v>
      </x:c>
      <x:c r="D374" s="12" t="n">
        <x:v>0.61575</x:v>
      </x:c>
      <x:c r="E374" s="12" t="n">
        <x:v>0.61675</x:v>
      </x:c>
      <x:c r="F374" s="12" t="n">
        <x:v>0</x:v>
      </x:c>
      <x:c r="G374" s="12" t="n">
        <x:v>0</x:v>
      </x:c>
      <x:c r="H374" s="1" t="n">
        <x:f>'Historical prices'!E374</x:f>
        <x:v>1.05</x:v>
      </x:c>
      <x:c r="I374" s="6" t="n">
        <x:f>'Historical prices'!D374</x:f>
        <x:v>0.2226</x:v>
      </x:c>
      <x:c r="J374" s="13" t="n">
        <x:f>D374*I374*H374</x:f>
        <x:v>0.14391924749999999</x:v>
      </x:c>
      <x:c r="K374" s="13" t="n">
        <x:f>E374*I374*H374</x:f>
        <x:v>0.14415297750000003</x:v>
      </x:c>
      <x:c r="L374" s="1" t="str">
        <x:f>TEXT(A374,"mmm yyyy")</x:f>
        <x:v>May 2026</x:v>
      </x:c>
    </x:row>
    <x:row r="375" ht="21" customHeight="1">
      <x:c r="A375" s="10" t="n">
        <x:v>46156</x:v>
      </x:c>
      <x:c r="B375" s="1" t="n">
        <x:v>7.5</x:v>
      </x:c>
      <x:c r="C375" s="1" t="n">
        <x:v>6</x:v>
      </x:c>
      <x:c r="D375" s="12" t="n">
        <x:v>0.6164166666666666</x:v>
      </x:c>
      <x:c r="E375" s="12" t="n">
        <x:v>0.6164166666666666</x:v>
      </x:c>
      <x:c r="F375" s="12" t="n">
        <x:v>0</x:v>
      </x:c>
      <x:c r="G375" s="12" t="n">
        <x:v>0</x:v>
      </x:c>
      <x:c r="H375" s="1" t="n">
        <x:f>'Historical prices'!E375</x:f>
        <x:v>1.05</x:v>
      </x:c>
      <x:c r="I375" s="6" t="n">
        <x:f>'Historical prices'!D375</x:f>
        <x:v>0.2226</x:v>
      </x:c>
      <x:c r="J375" s="13" t="n">
        <x:f>D375*I375*H375</x:f>
        <x:v>0.1440750675</x:v>
      </x:c>
      <x:c r="K375" s="13" t="n">
        <x:f>E375*I375*H375</x:f>
        <x:v>0.1440750675</x:v>
      </x:c>
      <x:c r="L375" s="1" t="str">
        <x:f>TEXT(A375,"mmm yyyy")</x:f>
        <x:v>May 2026</x:v>
      </x:c>
    </x:row>
    <x:row r="376" ht="21" customHeight="1">
      <x:c r="A376" s="10" t="n">
        <x:v>46156</x:v>
      </x:c>
      <x:c r="B376" s="1" t="n">
        <x:v>8</x:v>
      </x:c>
      <x:c r="C376" s="1" t="n">
        <x:v>6</x:v>
      </x:c>
      <x:c r="D376" s="12" t="n">
        <x:v>0.5911666666666667</x:v>
      </x:c>
      <x:c r="E376" s="12" t="n">
        <x:v>0.5921666666666667</x:v>
      </x:c>
      <x:c r="F376" s="12" t="n">
        <x:v>0</x:v>
      </x:c>
      <x:c r="G376" s="12" t="n">
        <x:v>0</x:v>
      </x:c>
      <x:c r="H376" s="1" t="n">
        <x:f>'Historical prices'!E376</x:f>
        <x:v>1.05</x:v>
      </x:c>
      <x:c r="I376" s="6" t="n">
        <x:f>'Historical prices'!D376</x:f>
        <x:v>0.2226</x:v>
      </x:c>
      <x:c r="J376" s="13" t="n">
        <x:f>D376*I376*H376</x:f>
        <x:v>0.138173385</x:v>
      </x:c>
      <x:c r="K376" s="13" t="n">
        <x:f>E376*I376*H376</x:f>
        <x:v>0.138407115</x:v>
      </x:c>
      <x:c r="L376" s="1" t="str">
        <x:f>TEXT(A376,"mmm yyyy")</x:f>
        <x:v>May 2026</x:v>
      </x:c>
    </x:row>
    <x:row r="377" ht="21" customHeight="1">
      <x:c r="A377" s="10" t="n">
        <x:v>46156</x:v>
      </x:c>
      <x:c r="B377" s="1" t="n">
        <x:v>8.5</x:v>
      </x:c>
      <x:c r="C377" s="1" t="n">
        <x:v>6</x:v>
      </x:c>
      <x:c r="D377" s="12" t="n">
        <x:v>2.2319166666666668</x:v>
      </x:c>
      <x:c r="E377" s="12" t="n">
        <x:v>2.2319166666666668</x:v>
      </x:c>
      <x:c r="F377" s="12" t="n">
        <x:v>0</x:v>
      </x:c>
      <x:c r="G377" s="12" t="n">
        <x:v>0</x:v>
      </x:c>
      <x:c r="H377" s="1" t="n">
        <x:f>'Historical prices'!E377</x:f>
        <x:v>1.05</x:v>
      </x:c>
      <x:c r="I377" s="6" t="n">
        <x:f>'Historical prices'!D377</x:f>
        <x:v>0.2226</x:v>
      </x:c>
      <x:c r="J377" s="13" t="n">
        <x:f>D377*I377*H377</x:f>
        <x:v>0.5216658825</x:v>
      </x:c>
      <x:c r="K377" s="13" t="n">
        <x:f>E377*I377*H377</x:f>
        <x:v>0.5216658825</x:v>
      </x:c>
      <x:c r="L377" s="1" t="str">
        <x:f>TEXT(A377,"mmm yyyy")</x:f>
        <x:v>May 2026</x:v>
      </x:c>
    </x:row>
    <x:row r="378" ht="21" customHeight="1">
      <x:c r="A378" s="10" t="n">
        <x:v>46156</x:v>
      </x:c>
      <x:c r="B378" s="1" t="n">
        <x:v>9</x:v>
      </x:c>
      <x:c r="C378" s="1" t="n">
        <x:v>6</x:v>
      </x:c>
      <x:c r="D378" s="12" t="n">
        <x:v>1.8344166666666668</x:v>
      </x:c>
      <x:c r="E378" s="12" t="n">
        <x:v>1.8334166666666667</x:v>
      </x:c>
      <x:c r="F378" s="12" t="n">
        <x:v>0</x:v>
      </x:c>
      <x:c r="G378" s="12" t="n">
        <x:v>0</x:v>
      </x:c>
      <x:c r="H378" s="1" t="n">
        <x:f>'Historical prices'!E378</x:f>
        <x:v>1.05</x:v>
      </x:c>
      <x:c r="I378" s="6" t="n">
        <x:f>'Historical prices'!D378</x:f>
        <x:v>0.2226</x:v>
      </x:c>
      <x:c r="J378" s="13" t="n">
        <x:f>D378*I378*H378</x:f>
        <x:v>0.42875820750000004</x:v>
      </x:c>
      <x:c r="K378" s="13" t="n">
        <x:f>E378*I378*H378</x:f>
        <x:v>0.4285244775</x:v>
      </x:c>
      <x:c r="L378" s="1" t="str">
        <x:f>TEXT(A378,"mmm yyyy")</x:f>
        <x:v>May 2026</x:v>
      </x:c>
    </x:row>
    <x:row r="379" ht="21" customHeight="1">
      <x:c r="A379" s="10" t="n">
        <x:v>46156</x:v>
      </x:c>
      <x:c r="B379" s="1" t="n">
        <x:v>9.5</x:v>
      </x:c>
      <x:c r="C379" s="1" t="n">
        <x:v>6</x:v>
      </x:c>
      <x:c r="D379" s="12" t="n">
        <x:v>0.7050833333333334</x:v>
      </x:c>
      <x:c r="E379" s="12" t="n">
        <x:v>0.7050833333333334</x:v>
      </x:c>
      <x:c r="F379" s="12" t="n">
        <x:v>0</x:v>
      </x:c>
      <x:c r="G379" s="12" t="n">
        <x:v>0</x:v>
      </x:c>
      <x:c r="H379" s="1" t="n">
        <x:f>'Historical prices'!E379</x:f>
        <x:v>1.05</x:v>
      </x:c>
      <x:c r="I379" s="6" t="n">
        <x:f>'Historical prices'!D379</x:f>
        <x:v>0.2226</x:v>
      </x:c>
      <x:c r="J379" s="13" t="n">
        <x:f>D379*I379*H379</x:f>
        <x:v>0.1647991275</x:v>
      </x:c>
      <x:c r="K379" s="13" t="n">
        <x:f>E379*I379*H379</x:f>
        <x:v>0.1647991275</x:v>
      </x:c>
      <x:c r="L379" s="1" t="str">
        <x:f>TEXT(A379,"mmm yyyy")</x:f>
        <x:v>May 2026</x:v>
      </x:c>
    </x:row>
    <x:row r="380" ht="21" customHeight="1">
      <x:c r="A380" s="10" t="n">
        <x:v>46156</x:v>
      </x:c>
      <x:c r="B380" s="1" t="n">
        <x:v>10</x:v>
      </x:c>
      <x:c r="C380" s="1" t="n">
        <x:v>6</x:v>
      </x:c>
      <x:c r="D380" s="12" t="n">
        <x:v>0.6753333333333333</x:v>
      </x:c>
      <x:c r="E380" s="12" t="n">
        <x:v>0.6773333333333333</x:v>
      </x:c>
      <x:c r="F380" s="12" t="n">
        <x:v>0</x:v>
      </x:c>
      <x:c r="G380" s="12" t="n">
        <x:v>0</x:v>
      </x:c>
      <x:c r="H380" s="1" t="n">
        <x:f>'Historical prices'!E380</x:f>
        <x:v>1.05</x:v>
      </x:c>
      <x:c r="I380" s="6" t="n">
        <x:f>'Historical prices'!D380</x:f>
        <x:v>0.2226</x:v>
      </x:c>
      <x:c r="J380" s="13" t="n">
        <x:f>D380*I380*H380</x:f>
        <x:v>0.15784566</x:v>
      </x:c>
      <x:c r="K380" s="13" t="n">
        <x:f>E380*I380*H380</x:f>
        <x:v>0.15831312</x:v>
      </x:c>
      <x:c r="L380" s="1" t="str">
        <x:f>TEXT(A380,"mmm yyyy")</x:f>
        <x:v>May 2026</x:v>
      </x:c>
    </x:row>
    <x:row r="381" ht="21" customHeight="1">
      <x:c r="A381" s="10" t="n">
        <x:v>46156</x:v>
      </x:c>
      <x:c r="B381" s="1" t="n">
        <x:v>10.5</x:v>
      </x:c>
      <x:c r="C381" s="1" t="n">
        <x:v>6</x:v>
      </x:c>
      <x:c r="D381" s="12" t="n">
        <x:v>0.6178333333333333</x:v>
      </x:c>
      <x:c r="E381" s="12" t="n">
        <x:v>0.6178333333333333</x:v>
      </x:c>
      <x:c r="F381" s="12" t="n">
        <x:v>0</x:v>
      </x:c>
      <x:c r="G381" s="12" t="n">
        <x:v>0</x:v>
      </x:c>
      <x:c r="H381" s="1" t="n">
        <x:f>'Historical prices'!E381</x:f>
        <x:v>1.05</x:v>
      </x:c>
      <x:c r="I381" s="6" t="n">
        <x:f>'Historical prices'!D381</x:f>
        <x:v>0.2226</x:v>
      </x:c>
      <x:c r="J381" s="13" t="n">
        <x:f>D381*I381*H381</x:f>
        <x:v>0.14440618500000002</x:v>
      </x:c>
      <x:c r="K381" s="13" t="n">
        <x:f>E381*I381*H381</x:f>
        <x:v>0.14440618500000002</x:v>
      </x:c>
      <x:c r="L381" s="1" t="str">
        <x:f>TEXT(A381,"mmm yyyy")</x:f>
        <x:v>May 2026</x:v>
      </x:c>
    </x:row>
    <x:row r="382" ht="21" customHeight="1">
      <x:c r="A382" s="10" t="n">
        <x:v>46156</x:v>
      </x:c>
      <x:c r="B382" s="1" t="n">
        <x:v>11</x:v>
      </x:c>
      <x:c r="C382" s="1" t="n">
        <x:v>6</x:v>
      </x:c>
      <x:c r="D382" s="12" t="n">
        <x:v>0.54775</x:v>
      </x:c>
      <x:c r="E382" s="12" t="n">
        <x:v>0.54775</x:v>
      </x:c>
      <x:c r="F382" s="12" t="n">
        <x:v>0</x:v>
      </x:c>
      <x:c r="G382" s="12" t="n">
        <x:v>0</x:v>
      </x:c>
      <x:c r="H382" s="1" t="n">
        <x:f>'Historical prices'!E382</x:f>
        <x:v>1.05</x:v>
      </x:c>
      <x:c r="I382" s="6" t="n">
        <x:f>'Historical prices'!D382</x:f>
        <x:v>0.2226</x:v>
      </x:c>
      <x:c r="J382" s="13" t="n">
        <x:f>D382*I382*H382</x:f>
        <x:v>0.1280256075</x:v>
      </x:c>
      <x:c r="K382" s="13" t="n">
        <x:f>E382*I382*H382</x:f>
        <x:v>0.1280256075</x:v>
      </x:c>
      <x:c r="L382" s="1" t="str">
        <x:f>TEXT(A382,"mmm yyyy")</x:f>
        <x:v>May 2026</x:v>
      </x:c>
    </x:row>
    <x:row r="383" ht="21" customHeight="1">
      <x:c r="A383" s="10" t="n">
        <x:v>46156</x:v>
      </x:c>
      <x:c r="B383" s="1" t="n">
        <x:v>11.5</x:v>
      </x:c>
      <x:c r="C383" s="1" t="n">
        <x:v>6</x:v>
      </x:c>
      <x:c r="D383" s="12" t="n">
        <x:v>0.4666666666666667</x:v>
      </x:c>
      <x:c r="E383" s="12" t="n">
        <x:v>0.4676666666666667</x:v>
      </x:c>
      <x:c r="F383" s="12" t="n">
        <x:v>0</x:v>
      </x:c>
      <x:c r="G383" s="12" t="n">
        <x:v>0</x:v>
      </x:c>
      <x:c r="H383" s="1" t="n">
        <x:f>'Historical prices'!E383</x:f>
        <x:v>1.05</x:v>
      </x:c>
      <x:c r="I383" s="6" t="n">
        <x:f>'Historical prices'!D383</x:f>
        <x:v>0.2226</x:v>
      </x:c>
      <x:c r="J383" s="13" t="n">
        <x:f>D383*I383*H383</x:f>
        <x:v>0.109074</x:v>
      </x:c>
      <x:c r="K383" s="13" t="n">
        <x:f>E383*I383*H383</x:f>
        <x:v>0.10930773</x:v>
      </x:c>
      <x:c r="L383" s="1" t="str">
        <x:f>TEXT(A383,"mmm yyyy")</x:f>
        <x:v>May 2026</x:v>
      </x:c>
    </x:row>
    <x:row r="384" ht="21" customHeight="1">
      <x:c r="A384" s="10" t="n">
        <x:v>46156</x:v>
      </x:c>
      <x:c r="B384" s="1" t="n">
        <x:v>12</x:v>
      </x:c>
      <x:c r="C384" s="1" t="n">
        <x:v>6</x:v>
      </x:c>
      <x:c r="D384" s="12" t="n">
        <x:v>0.5249166666666667</x:v>
      </x:c>
      <x:c r="E384" s="12" t="n">
        <x:v>0.5239166666666667</x:v>
      </x:c>
      <x:c r="F384" s="12" t="n">
        <x:v>0</x:v>
      </x:c>
      <x:c r="G384" s="12" t="n">
        <x:v>0</x:v>
      </x:c>
      <x:c r="H384" s="1" t="n">
        <x:f>'Historical prices'!E384</x:f>
        <x:v>1.05</x:v>
      </x:c>
      <x:c r="I384" s="6" t="n">
        <x:f>'Historical prices'!D384</x:f>
        <x:v>0.2226</x:v>
      </x:c>
      <x:c r="J384" s="13" t="n">
        <x:f>D384*I384*H384</x:f>
        <x:v>0.12268877250000002</x:v>
      </x:c>
      <x:c r="K384" s="13" t="n">
        <x:f>E384*I384*H384</x:f>
        <x:v>0.1224550425</x:v>
      </x:c>
      <x:c r="L384" s="1" t="str">
        <x:f>TEXT(A384,"mmm yyyy")</x:f>
        <x:v>May 2026</x:v>
      </x:c>
    </x:row>
    <x:row r="385" ht="21" customHeight="1">
      <x:c r="A385" s="10" t="n">
        <x:v>46156</x:v>
      </x:c>
      <x:c r="B385" s="1" t="n">
        <x:v>12.5</x:v>
      </x:c>
      <x:c r="C385" s="1" t="n">
        <x:v>6</x:v>
      </x:c>
      <x:c r="D385" s="12" t="n">
        <x:v>0.3788333333333333</x:v>
      </x:c>
      <x:c r="E385" s="12" t="n">
        <x:v>0.3778333333333333</x:v>
      </x:c>
      <x:c r="F385" s="12" t="n">
        <x:v>0</x:v>
      </x:c>
      <x:c r="G385" s="12" t="n">
        <x:v>0</x:v>
      </x:c>
      <x:c r="H385" s="1" t="n">
        <x:f>'Historical prices'!E385</x:f>
        <x:v>1.05</x:v>
      </x:c>
      <x:c r="I385" s="6" t="n">
        <x:f>'Historical prices'!D385</x:f>
        <x:v>0.2226</x:v>
      </x:c>
      <x:c r="J385" s="13" t="n">
        <x:f>D385*I385*H385</x:f>
        <x:v>0.088544715</x:v>
      </x:c>
      <x:c r="K385" s="13" t="n">
        <x:f>E385*I385*H385</x:f>
        <x:v>0.088310985</x:v>
      </x:c>
      <x:c r="L385" s="1" t="str">
        <x:f>TEXT(A385,"mmm yyyy")</x:f>
        <x:v>May 2026</x:v>
      </x:c>
    </x:row>
    <x:row r="386" ht="21" customHeight="1">
      <x:c r="A386" s="10" t="n">
        <x:v>46156</x:v>
      </x:c>
      <x:c r="B386" s="1" t="n">
        <x:v>13</x:v>
      </x:c>
      <x:c r="C386" s="1" t="n">
        <x:v>6</x:v>
      </x:c>
      <x:c r="D386" s="12" t="n">
        <x:v>2.114</x:v>
      </x:c>
      <x:c r="E386" s="12" t="n">
        <x:v>2.116</x:v>
      </x:c>
      <x:c r="F386" s="12" t="n">
        <x:v>0</x:v>
      </x:c>
      <x:c r="G386" s="12" t="n">
        <x:v>0</x:v>
      </x:c>
      <x:c r="H386" s="1" t="n">
        <x:f>'Historical prices'!E386</x:f>
        <x:v>1.05</x:v>
      </x:c>
      <x:c r="I386" s="6" t="n">
        <x:f>'Historical prices'!D386</x:f>
        <x:v>0.2226</x:v>
      </x:c>
      <x:c r="J386" s="13" t="n">
        <x:f>D386*I386*H386</x:f>
        <x:v>0.49410521999999996</x:v>
      </x:c>
      <x:c r="K386" s="13" t="n">
        <x:f>E386*I386*H386</x:f>
        <x:v>0.49457268</x:v>
      </x:c>
      <x:c r="L386" s="1" t="str">
        <x:f>TEXT(A386,"mmm yyyy")</x:f>
        <x:v>May 2026</x:v>
      </x:c>
    </x:row>
    <x:row r="387" ht="21" customHeight="1">
      <x:c r="A387" s="10" t="n">
        <x:v>46156</x:v>
      </x:c>
      <x:c r="B387" s="1" t="n">
        <x:v>13.5</x:v>
      </x:c>
      <x:c r="C387" s="1" t="n">
        <x:v>6</x:v>
      </x:c>
      <x:c r="D387" s="12" t="n">
        <x:v>0.9695833333333334</x:v>
      </x:c>
      <x:c r="E387" s="12" t="n">
        <x:v>0.9695833333333332</x:v>
      </x:c>
      <x:c r="F387" s="12" t="n">
        <x:v>0</x:v>
      </x:c>
      <x:c r="G387" s="12" t="n">
        <x:v>0</x:v>
      </x:c>
      <x:c r="H387" s="1" t="n">
        <x:f>'Historical prices'!E387</x:f>
        <x:v>1.05</x:v>
      </x:c>
      <x:c r="I387" s="6" t="n">
        <x:f>'Historical prices'!D387</x:f>
        <x:v>0.2226</x:v>
      </x:c>
      <x:c r="J387" s="13" t="n">
        <x:f>D387*I387*H387</x:f>
        <x:v>0.22662071250000002</x:v>
      </x:c>
      <x:c r="K387" s="13" t="n">
        <x:f>E387*I387*H387</x:f>
        <x:v>0.2266207125</x:v>
      </x:c>
      <x:c r="L387" s="1" t="str">
        <x:f>TEXT(A387,"mmm yyyy")</x:f>
        <x:v>May 2026</x:v>
      </x:c>
    </x:row>
    <x:row r="388" ht="21" customHeight="1">
      <x:c r="A388" s="10" t="n">
        <x:v>46156</x:v>
      </x:c>
      <x:c r="B388" s="1" t="n">
        <x:v>14</x:v>
      </x:c>
      <x:c r="C388" s="1" t="n">
        <x:v>6</x:v>
      </x:c>
      <x:c r="D388" s="12" t="n">
        <x:v>0.63475</x:v>
      </x:c>
      <x:c r="E388" s="12" t="n">
        <x:v>0.63575</x:v>
      </x:c>
      <x:c r="F388" s="12" t="n">
        <x:v>0</x:v>
      </x:c>
      <x:c r="G388" s="12" t="n">
        <x:v>0</x:v>
      </x:c>
      <x:c r="H388" s="1" t="n">
        <x:f>'Historical prices'!E388</x:f>
        <x:v>1.05</x:v>
      </x:c>
      <x:c r="I388" s="6" t="n">
        <x:f>'Historical prices'!D388</x:f>
        <x:v>0.2226</x:v>
      </x:c>
      <x:c r="J388" s="13" t="n">
        <x:f>D388*I388*H388</x:f>
        <x:v>0.14836011750000003</x:v>
      </x:c>
      <x:c r="K388" s="13" t="n">
        <x:f>E388*I388*H388</x:f>
        <x:v>0.14859384750000001</x:v>
      </x:c>
      <x:c r="L388" s="1" t="str">
        <x:f>TEXT(A388,"mmm yyyy")</x:f>
        <x:v>May 2026</x:v>
      </x:c>
    </x:row>
    <x:row r="389" ht="21" customHeight="1">
      <x:c r="A389" s="10" t="n">
        <x:v>46156</x:v>
      </x:c>
      <x:c r="B389" s="1" t="n">
        <x:v>14.5</x:v>
      </x:c>
      <x:c r="C389" s="1" t="n">
        <x:v>6</x:v>
      </x:c>
      <x:c r="D389" s="12" t="n">
        <x:v>0.5510833333333334</x:v>
      </x:c>
      <x:c r="E389" s="12" t="n">
        <x:v>0.5500833333333334</x:v>
      </x:c>
      <x:c r="F389" s="12" t="n">
        <x:v>0</x:v>
      </x:c>
      <x:c r="G389" s="12" t="n">
        <x:v>0</x:v>
      </x:c>
      <x:c r="H389" s="1" t="n">
        <x:f>'Historical prices'!E389</x:f>
        <x:v>1.05</x:v>
      </x:c>
      <x:c r="I389" s="6" t="n">
        <x:f>'Historical prices'!D389</x:f>
        <x:v>0.2226</x:v>
      </x:c>
      <x:c r="J389" s="13" t="n">
        <x:f>D389*I389*H389</x:f>
        <x:v>0.1288047075</x:v>
      </x:c>
      <x:c r="K389" s="13" t="n">
        <x:f>E389*I389*H389</x:f>
        <x:v>0.12857097750000002</x:v>
      </x:c>
      <x:c r="L389" s="1" t="str">
        <x:f>TEXT(A389,"mmm yyyy")</x:f>
        <x:v>May 2026</x:v>
      </x:c>
    </x:row>
    <x:row r="390" ht="21" customHeight="1">
      <x:c r="A390" s="10" t="n">
        <x:v>46156</x:v>
      </x:c>
      <x:c r="B390" s="1" t="n">
        <x:v>15</x:v>
      </x:c>
      <x:c r="C390" s="1" t="n">
        <x:v>6</x:v>
      </x:c>
      <x:c r="D390" s="12" t="n">
        <x:v>0.49024999999999996</x:v>
      </x:c>
      <x:c r="E390" s="12" t="n">
        <x:v>0.49124999999999996</x:v>
      </x:c>
      <x:c r="F390" s="12" t="n">
        <x:v>0</x:v>
      </x:c>
      <x:c r="G390" s="12" t="n">
        <x:v>0</x:v>
      </x:c>
      <x:c r="H390" s="1" t="n">
        <x:f>'Historical prices'!E390</x:f>
        <x:v>1.05</x:v>
      </x:c>
      <x:c r="I390" s="6" t="n">
        <x:f>'Historical prices'!D390</x:f>
        <x:v>0.2226</x:v>
      </x:c>
      <x:c r="J390" s="13" t="n">
        <x:f>D390*I390*H390</x:f>
        <x:v>0.1145861325</x:v>
      </x:c>
      <x:c r="K390" s="13" t="n">
        <x:f>E390*I390*H390</x:f>
        <x:v>0.1148198625</x:v>
      </x:c>
      <x:c r="L390" s="1" t="str">
        <x:f>TEXT(A390,"mmm yyyy")</x:f>
        <x:v>May 2026</x:v>
      </x:c>
    </x:row>
    <x:row r="391" ht="21" customHeight="1">
      <x:c r="A391" s="10" t="n">
        <x:v>46156</x:v>
      </x:c>
      <x:c r="B391" s="1" t="n">
        <x:v>15.5</x:v>
      </x:c>
      <x:c r="C391" s="1" t="n">
        <x:v>6</x:v>
      </x:c>
      <x:c r="D391" s="12" t="n">
        <x:v>0.6062500000000001</x:v>
      </x:c>
      <x:c r="E391" s="12" t="n">
        <x:v>0.6062500000000001</x:v>
      </x:c>
      <x:c r="F391" s="12" t="n">
        <x:v>0</x:v>
      </x:c>
      <x:c r="G391" s="12" t="n">
        <x:v>0</x:v>
      </x:c>
      <x:c r="H391" s="1" t="n">
        <x:f>'Historical prices'!E391</x:f>
        <x:v>1.05</x:v>
      </x:c>
      <x:c r="I391" s="6" t="n">
        <x:f>'Historical prices'!D391</x:f>
        <x:v>0.2226</x:v>
      </x:c>
      <x:c r="J391" s="13" t="n">
        <x:f>D391*I391*H391</x:f>
        <x:v>0.14169881250000002</x:v>
      </x:c>
      <x:c r="K391" s="13" t="n">
        <x:f>E391*I391*H391</x:f>
        <x:v>0.14169881250000002</x:v>
      </x:c>
      <x:c r="L391" s="1" t="str">
        <x:f>TEXT(A391,"mmm yyyy")</x:f>
        <x:v>May 2026</x:v>
      </x:c>
    </x:row>
    <x:row r="392" ht="21" customHeight="1">
      <x:c r="A392" s="10" t="n">
        <x:v>46156</x:v>
      </x:c>
      <x:c r="B392" s="1" t="n">
        <x:v>16</x:v>
      </x:c>
      <x:c r="C392" s="1" t="n">
        <x:v>6</x:v>
      </x:c>
      <x:c r="D392" s="12" t="n">
        <x:v>1.1250833333333332</x:v>
      </x:c>
      <x:c r="E392" s="12" t="n">
        <x:v>1.1250833333333334</x:v>
      </x:c>
      <x:c r="F392" s="12" t="n">
        <x:v>0</x:v>
      </x:c>
      <x:c r="G392" s="12" t="n">
        <x:v>0</x:v>
      </x:c>
      <x:c r="H392" s="1" t="n">
        <x:f>'Historical prices'!E392</x:f>
        <x:v>1.05</x:v>
      </x:c>
      <x:c r="I392" s="6" t="n">
        <x:f>'Historical prices'!D392</x:f>
        <x:v>0.2226</x:v>
      </x:c>
      <x:c r="J392" s="13" t="n">
        <x:f>D392*I392*H392</x:f>
        <x:v>0.26296572749999997</x:v>
      </x:c>
      <x:c r="K392" s="13" t="n">
        <x:f>E392*I392*H392</x:f>
        <x:v>0.2629657275</x:v>
      </x:c>
      <x:c r="L392" s="1" t="str">
        <x:f>TEXT(A392,"mmm yyyy")</x:f>
        <x:v>May 2026</x:v>
      </x:c>
    </x:row>
    <x:row r="393" ht="21" customHeight="1">
      <x:c r="A393" s="10" t="n">
        <x:v>46156</x:v>
      </x:c>
      <x:c r="B393" s="1" t="n">
        <x:v>16.5</x:v>
      </x:c>
      <x:c r="C393" s="1" t="n">
        <x:v>6</x:v>
      </x:c>
      <x:c r="D393" s="12" t="n">
        <x:v>1.7283333333333333</x:v>
      </x:c>
      <x:c r="E393" s="12" t="n">
        <x:v>1.7293333333333332</x:v>
      </x:c>
      <x:c r="F393" s="12" t="n">
        <x:v>0</x:v>
      </x:c>
      <x:c r="G393" s="12" t="n">
        <x:v>0</x:v>
      </x:c>
      <x:c r="H393" s="1" t="n">
        <x:f>'Historical prices'!E393</x:f>
        <x:v>1.05</x:v>
      </x:c>
      <x:c r="I393" s="6" t="n">
        <x:f>'Historical prices'!D393</x:f>
        <x:v>0.2226</x:v>
      </x:c>
      <x:c r="J393" s="13" t="n">
        <x:f>D393*I393*H393</x:f>
        <x:v>0.40396335</x:v>
      </x:c>
      <x:c r="K393" s="13" t="n">
        <x:f>E393*I393*H393</x:f>
        <x:v>0.40419708</x:v>
      </x:c>
      <x:c r="L393" s="1" t="str">
        <x:f>TEXT(A393,"mmm yyyy")</x:f>
        <x:v>May 2026</x:v>
      </x:c>
    </x:row>
    <x:row r="394" ht="21" customHeight="1">
      <x:c r="A394" s="10" t="n">
        <x:v>46156</x:v>
      </x:c>
      <x:c r="B394" s="1" t="n">
        <x:v>17</x:v>
      </x:c>
      <x:c r="C394" s="1" t="n">
        <x:v>6</x:v>
      </x:c>
      <x:c r="D394" s="12" t="n">
        <x:v>0.5000833333333333</x:v>
      </x:c>
      <x:c r="E394" s="12" t="n">
        <x:v>0.5010833333333333</x:v>
      </x:c>
      <x:c r="F394" s="12" t="n">
        <x:v>0</x:v>
      </x:c>
      <x:c r="G394" s="12" t="n">
        <x:v>0</x:v>
      </x:c>
      <x:c r="H394" s="1" t="n">
        <x:f>'Historical prices'!E394</x:f>
        <x:v>1.05</x:v>
      </x:c>
      <x:c r="I394" s="6" t="n">
        <x:f>'Historical prices'!D394</x:f>
        <x:v>0.2226</x:v>
      </x:c>
      <x:c r="J394" s="13" t="n">
        <x:f>D394*I394*H394</x:f>
        <x:v>0.11688447749999999</x:v>
      </x:c>
      <x:c r="K394" s="13" t="n">
        <x:f>E394*I394*H394</x:f>
        <x:v>0.1171182075</x:v>
      </x:c>
      <x:c r="L394" s="1" t="str">
        <x:f>TEXT(A394,"mmm yyyy")</x:f>
        <x:v>May 2026</x:v>
      </x:c>
    </x:row>
    <x:row r="395" ht="21" customHeight="1">
      <x:c r="A395" s="10" t="n">
        <x:v>46156</x:v>
      </x:c>
      <x:c r="B395" s="1" t="n">
        <x:v>17.5</x:v>
      </x:c>
      <x:c r="C395" s="1" t="n">
        <x:v>6</x:v>
      </x:c>
      <x:c r="D395" s="12" t="n">
        <x:v>0.45525</x:v>
      </x:c>
      <x:c r="E395" s="12" t="n">
        <x:v>0.45525</x:v>
      </x:c>
      <x:c r="F395" s="12" t="n">
        <x:v>0</x:v>
      </x:c>
      <x:c r="G395" s="12" t="n">
        <x:v>0</x:v>
      </x:c>
      <x:c r="H395" s="1" t="n">
        <x:f>'Historical prices'!E395</x:f>
        <x:v>1.05</x:v>
      </x:c>
      <x:c r="I395" s="6" t="n">
        <x:f>'Historical prices'!D395</x:f>
        <x:v>0.2226</x:v>
      </x:c>
      <x:c r="J395" s="13" t="n">
        <x:f>D395*I395*H395</x:f>
        <x:v>0.1064055825</x:v>
      </x:c>
      <x:c r="K395" s="13" t="n">
        <x:f>E395*I395*H395</x:f>
        <x:v>0.1064055825</x:v>
      </x:c>
      <x:c r="L395" s="1" t="str">
        <x:f>TEXT(A395,"mmm yyyy")</x:f>
        <x:v>May 2026</x:v>
      </x:c>
    </x:row>
    <x:row r="396" ht="21" customHeight="1">
      <x:c r="A396" s="10" t="n">
        <x:v>46156</x:v>
      </x:c>
      <x:c r="B396" s="1" t="n">
        <x:v>18</x:v>
      </x:c>
      <x:c r="C396" s="1" t="n">
        <x:v>6</x:v>
      </x:c>
      <x:c r="D396" s="12" t="n">
        <x:v>0.5649166666666666</x:v>
      </x:c>
      <x:c r="E396" s="12" t="n">
        <x:v>0.5649166666666666</x:v>
      </x:c>
      <x:c r="F396" s="12" t="n">
        <x:v>0</x:v>
      </x:c>
      <x:c r="G396" s="12" t="n">
        <x:v>0</x:v>
      </x:c>
      <x:c r="H396" s="1" t="n">
        <x:f>'Historical prices'!E396</x:f>
        <x:v>1.05</x:v>
      </x:c>
      <x:c r="I396" s="6" t="n">
        <x:f>'Historical prices'!D396</x:f>
        <x:v>0.2226</x:v>
      </x:c>
      <x:c r="J396" s="13" t="n">
        <x:f>D396*I396*H396</x:f>
        <x:v>0.1320379725</x:v>
      </x:c>
      <x:c r="K396" s="13" t="n">
        <x:f>E396*I396*H396</x:f>
        <x:v>0.1320379725</x:v>
      </x:c>
      <x:c r="L396" s="1" t="str">
        <x:f>TEXT(A396,"mmm yyyy")</x:f>
        <x:v>May 2026</x:v>
      </x:c>
    </x:row>
    <x:row r="397" ht="21" customHeight="1">
      <x:c r="A397" s="10" t="n">
        <x:v>46156</x:v>
      </x:c>
      <x:c r="B397" s="1" t="n">
        <x:v>18.5</x:v>
      </x:c>
      <x:c r="C397" s="1" t="n">
        <x:v>6</x:v>
      </x:c>
      <x:c r="D397" s="12" t="n">
        <x:v>0.58725</x:v>
      </x:c>
      <x:c r="E397" s="12" t="n">
        <x:v>0.58825</x:v>
      </x:c>
      <x:c r="F397" s="12" t="n">
        <x:v>0</x:v>
      </x:c>
      <x:c r="G397" s="12" t="n">
        <x:v>0</x:v>
      </x:c>
      <x:c r="H397" s="1" t="n">
        <x:f>'Historical prices'!E397</x:f>
        <x:v>1.05</x:v>
      </x:c>
      <x:c r="I397" s="6" t="n">
        <x:f>'Historical prices'!D397</x:f>
        <x:v>0.2226</x:v>
      </x:c>
      <x:c r="J397" s="13" t="n">
        <x:f>D397*I397*H397</x:f>
        <x:v>0.1372579425</x:v>
      </x:c>
      <x:c r="K397" s="13" t="n">
        <x:f>E397*I397*H397</x:f>
        <x:v>0.13749167250000002</x:v>
      </x:c>
      <x:c r="L397" s="1" t="str">
        <x:f>TEXT(A397,"mmm yyyy")</x:f>
        <x:v>May 2026</x:v>
      </x:c>
    </x:row>
    <x:row r="398" ht="21" customHeight="1">
      <x:c r="A398" s="10" t="n">
        <x:v>46156</x:v>
      </x:c>
      <x:c r="B398" s="1" t="n">
        <x:v>19</x:v>
      </x:c>
      <x:c r="C398" s="1" t="n">
        <x:v>6</x:v>
      </x:c>
      <x:c r="D398" s="12" t="n">
        <x:v>0.6890833333333333</x:v>
      </x:c>
      <x:c r="E398" s="12" t="n">
        <x:v>0.6890833333333333</x:v>
      </x:c>
      <x:c r="F398" s="12" t="n">
        <x:v>0</x:v>
      </x:c>
      <x:c r="G398" s="12" t="n">
        <x:v>0</x:v>
      </x:c>
      <x:c r="H398" s="1" t="n">
        <x:f>'Historical prices'!E398</x:f>
        <x:v>1.05</x:v>
      </x:c>
      <x:c r="I398" s="6" t="n">
        <x:f>'Historical prices'!D398</x:f>
        <x:v>0.2226</x:v>
      </x:c>
      <x:c r="J398" s="13" t="n">
        <x:f>D398*I398*H398</x:f>
        <x:v>0.16105944749999998</x:v>
      </x:c>
      <x:c r="K398" s="13" t="n">
        <x:f>E398*I398*H398</x:f>
        <x:v>0.16105944749999998</x:v>
      </x:c>
      <x:c r="L398" s="1" t="str">
        <x:f>TEXT(A398,"mmm yyyy")</x:f>
        <x:v>May 2026</x:v>
      </x:c>
    </x:row>
    <x:row r="399" ht="21" customHeight="1">
      <x:c r="A399" s="10" t="n">
        <x:v>46156</x:v>
      </x:c>
      <x:c r="B399" s="1" t="n">
        <x:v>19.5</x:v>
      </x:c>
      <x:c r="C399" s="1" t="n">
        <x:v>6</x:v>
      </x:c>
      <x:c r="D399" s="12" t="n">
        <x:v>0.9332499999999999</x:v>
      </x:c>
      <x:c r="E399" s="12" t="n">
        <x:v>0.9342499999999999</x:v>
      </x:c>
      <x:c r="F399" s="12" t="n">
        <x:v>0</x:v>
      </x:c>
      <x:c r="G399" s="12" t="n">
        <x:v>0</x:v>
      </x:c>
      <x:c r="H399" s="1" t="n">
        <x:f>'Historical prices'!E399</x:f>
        <x:v>1.05</x:v>
      </x:c>
      <x:c r="I399" s="6" t="n">
        <x:f>'Historical prices'!D399</x:f>
        <x:v>0.2226</x:v>
      </x:c>
      <x:c r="J399" s="13" t="n">
        <x:f>D399*I399*H399</x:f>
        <x:v>0.21812852249999998</x:v>
      </x:c>
      <x:c r="K399" s="13" t="n">
        <x:f>E399*I399*H399</x:f>
        <x:v>0.2183622525</x:v>
      </x:c>
      <x:c r="L399" s="1" t="str">
        <x:f>TEXT(A399,"mmm yyyy")</x:f>
        <x:v>May 2026</x:v>
      </x:c>
    </x:row>
    <x:row r="400" ht="21" customHeight="1">
      <x:c r="A400" s="10" t="n">
        <x:v>46156</x:v>
      </x:c>
      <x:c r="B400" s="1" t="n">
        <x:v>20</x:v>
      </x:c>
      <x:c r="C400" s="1" t="n">
        <x:v>6</x:v>
      </x:c>
      <x:c r="D400" s="12" t="n">
        <x:v>0.5427500000000001</x:v>
      </x:c>
      <x:c r="E400" s="12" t="n">
        <x:v>0.5427500000000001</x:v>
      </x:c>
      <x:c r="F400" s="12" t="n">
        <x:v>0</x:v>
      </x:c>
      <x:c r="G400" s="12" t="n">
        <x:v>0</x:v>
      </x:c>
      <x:c r="H400" s="1" t="n">
        <x:f>'Historical prices'!E400</x:f>
        <x:v>1.05</x:v>
      </x:c>
      <x:c r="I400" s="6" t="n">
        <x:f>'Historical prices'!D400</x:f>
        <x:v>0.2226</x:v>
      </x:c>
      <x:c r="J400" s="13" t="n">
        <x:f>D400*I400*H400</x:f>
        <x:v>0.1268569575</x:v>
      </x:c>
      <x:c r="K400" s="13" t="n">
        <x:f>E400*I400*H400</x:f>
        <x:v>0.1268569575</x:v>
      </x:c>
      <x:c r="L400" s="1" t="str">
        <x:f>TEXT(A400,"mmm yyyy")</x:f>
        <x:v>May 2026</x:v>
      </x:c>
    </x:row>
    <x:row r="401" ht="21" customHeight="1">
      <x:c r="A401" s="10" t="n">
        <x:v>46156</x:v>
      </x:c>
      <x:c r="B401" s="1" t="n">
        <x:v>20.5</x:v>
      </x:c>
      <x:c r="C401" s="1" t="n">
        <x:v>6</x:v>
      </x:c>
      <x:c r="D401" s="12" t="n">
        <x:v>0.5958333333333333</x:v>
      </x:c>
      <x:c r="E401" s="12" t="n">
        <x:v>0.5978333333333333</x:v>
      </x:c>
      <x:c r="F401" s="12" t="n">
        <x:v>0</x:v>
      </x:c>
      <x:c r="G401" s="12" t="n">
        <x:v>0</x:v>
      </x:c>
      <x:c r="H401" s="1" t="n">
        <x:f>'Historical prices'!E401</x:f>
        <x:v>1.05</x:v>
      </x:c>
      <x:c r="I401" s="6" t="n">
        <x:f>'Historical prices'!D401</x:f>
        <x:v>0.2226</x:v>
      </x:c>
      <x:c r="J401" s="13" t="n">
        <x:f>D401*I401*H401</x:f>
        <x:v>0.139264125</x:v>
      </x:c>
      <x:c r="K401" s="13" t="n">
        <x:f>E401*I401*H401</x:f>
        <x:v>0.139731585</x:v>
      </x:c>
      <x:c r="L401" s="1" t="str">
        <x:f>TEXT(A401,"mmm yyyy")</x:f>
        <x:v>May 2026</x:v>
      </x:c>
    </x:row>
    <x:row r="402" ht="21" customHeight="1">
      <x:c r="A402" s="10" t="n">
        <x:v>46156</x:v>
      </x:c>
      <x:c r="B402" s="1" t="n">
        <x:v>21</x:v>
      </x:c>
      <x:c r="C402" s="1" t="n">
        <x:v>6</x:v>
      </x:c>
      <x:c r="D402" s="12" t="n">
        <x:v>0.56675</x:v>
      </x:c>
      <x:c r="E402" s="12" t="n">
        <x:v>0.56575</x:v>
      </x:c>
      <x:c r="F402" s="12" t="n">
        <x:v>0</x:v>
      </x:c>
      <x:c r="G402" s="12" t="n">
        <x:v>0</x:v>
      </x:c>
      <x:c r="H402" s="1" t="n">
        <x:f>'Historical prices'!E402</x:f>
        <x:v>1.05</x:v>
      </x:c>
      <x:c r="I402" s="6" t="n">
        <x:f>'Historical prices'!D402</x:f>
        <x:v>0.2226</x:v>
      </x:c>
      <x:c r="J402" s="13" t="n">
        <x:f>D402*I402*H402</x:f>
        <x:v>0.13246647749999999</x:v>
      </x:c>
      <x:c r="K402" s="13" t="n">
        <x:f>E402*I402*H402</x:f>
        <x:v>0.1322327475</x:v>
      </x:c>
      <x:c r="L402" s="1" t="str">
        <x:f>TEXT(A402,"mmm yyyy")</x:f>
        <x:v>May 2026</x:v>
      </x:c>
    </x:row>
    <x:row r="403" ht="21" customHeight="1">
      <x:c r="A403" s="10" t="n">
        <x:v>46156</x:v>
      </x:c>
      <x:c r="B403" s="1" t="n">
        <x:v>21.5</x:v>
      </x:c>
      <x:c r="C403" s="1" t="n">
        <x:v>6</x:v>
      </x:c>
      <x:c r="D403" s="12" t="n">
        <x:v>0.8985000000000001</x:v>
      </x:c>
      <x:c r="E403" s="12" t="n">
        <x:v>0.8995</x:v>
      </x:c>
      <x:c r="F403" s="12" t="n">
        <x:v>0</x:v>
      </x:c>
      <x:c r="G403" s="12" t="n">
        <x:v>0</x:v>
      </x:c>
      <x:c r="H403" s="1" t="n">
        <x:f>'Historical prices'!E403</x:f>
        <x:v>1.05</x:v>
      </x:c>
      <x:c r="I403" s="6" t="n">
        <x:f>'Historical prices'!D403</x:f>
        <x:v>0.2226</x:v>
      </x:c>
      <x:c r="J403" s="13" t="n">
        <x:f>D403*I403*H403</x:f>
        <x:v>0.21000640500000003</x:v>
      </x:c>
      <x:c r="K403" s="13" t="n">
        <x:f>E403*I403*H403</x:f>
        <x:v>0.210240135</x:v>
      </x:c>
      <x:c r="L403" s="1" t="str">
        <x:f>TEXT(A403,"mmm yyyy")</x:f>
        <x:v>May 2026</x:v>
      </x:c>
    </x:row>
    <x:row r="404" ht="21" customHeight="1">
      <x:c r="A404" s="10" t="n">
        <x:v>46156</x:v>
      </x:c>
      <x:c r="B404" s="1" t="n">
        <x:v>22</x:v>
      </x:c>
      <x:c r="C404" s="1" t="n">
        <x:v>6</x:v>
      </x:c>
      <x:c r="D404" s="12" t="n">
        <x:v>0.32725000000000004</x:v>
      </x:c>
      <x:c r="E404" s="12" t="n">
        <x:v>0.32725000000000004</x:v>
      </x:c>
      <x:c r="F404" s="12" t="n">
        <x:v>0</x:v>
      </x:c>
      <x:c r="G404" s="12" t="n">
        <x:v>0</x:v>
      </x:c>
      <x:c r="H404" s="1" t="n">
        <x:f>'Historical prices'!E404</x:f>
        <x:v>1.05</x:v>
      </x:c>
      <x:c r="I404" s="6" t="n">
        <x:f>'Historical prices'!D404</x:f>
        <x:v>0.2226</x:v>
      </x:c>
      <x:c r="J404" s="13" t="n">
        <x:f>D404*I404*H404</x:f>
        <x:v>0.07648814250000001</x:v>
      </x:c>
      <x:c r="K404" s="13" t="n">
        <x:f>E404*I404*H404</x:f>
        <x:v>0.07648814250000001</x:v>
      </x:c>
      <x:c r="L404" s="1" t="str">
        <x:f>TEXT(A404,"mmm yyyy")</x:f>
        <x:v>May 2026</x:v>
      </x:c>
    </x:row>
    <x:row r="405" ht="21" customHeight="1">
      <x:c r="A405" s="10" t="n">
        <x:v>46156</x:v>
      </x:c>
      <x:c r="B405" s="1" t="n">
        <x:v>22.5</x:v>
      </x:c>
      <x:c r="C405" s="1" t="n">
        <x:v>6</x:v>
      </x:c>
      <x:c r="D405" s="12" t="n">
        <x:v>0.22966666666666666</x:v>
      </x:c>
      <x:c r="E405" s="12" t="n">
        <x:v>0.23066666666666666</x:v>
      </x:c>
      <x:c r="F405" s="12" t="n">
        <x:v>0</x:v>
      </x:c>
      <x:c r="G405" s="12" t="n">
        <x:v>0</x:v>
      </x:c>
      <x:c r="H405" s="1" t="n">
        <x:f>'Historical prices'!E405</x:f>
        <x:v>1.05</x:v>
      </x:c>
      <x:c r="I405" s="6" t="n">
        <x:f>'Historical prices'!D405</x:f>
        <x:v>0.2226</x:v>
      </x:c>
      <x:c r="J405" s="13" t="n">
        <x:f>D405*I405*H405</x:f>
        <x:v>0.05367999</x:v>
      </x:c>
      <x:c r="K405" s="13" t="n">
        <x:f>E405*I405*H405</x:f>
        <x:v>0.05391372</x:v>
      </x:c>
      <x:c r="L405" s="1" t="str">
        <x:f>TEXT(A405,"mmm yyyy")</x:f>
        <x:v>May 2026</x:v>
      </x:c>
    </x:row>
    <x:row r="406" ht="21" customHeight="1">
      <x:c r="A406" s="10" t="n">
        <x:v>46156</x:v>
      </x:c>
      <x:c r="B406" s="1" t="n">
        <x:v>23</x:v>
      </x:c>
      <x:c r="C406" s="1" t="n">
        <x:v>6</x:v>
      </x:c>
      <x:c r="D406" s="12" t="n">
        <x:v>0.3125833333333333</x:v>
      </x:c>
      <x:c r="E406" s="12" t="n">
        <x:v>0.3125833333333333</x:v>
      </x:c>
      <x:c r="F406" s="12" t="n">
        <x:v>0</x:v>
      </x:c>
      <x:c r="G406" s="12" t="n">
        <x:v>0</x:v>
      </x:c>
      <x:c r="H406" s="1" t="n">
        <x:f>'Historical prices'!E406</x:f>
        <x:v>1.05</x:v>
      </x:c>
      <x:c r="I406" s="6" t="n">
        <x:f>'Historical prices'!D406</x:f>
        <x:v>0.2226</x:v>
      </x:c>
      <x:c r="J406" s="13" t="n">
        <x:f>D406*I406*H406</x:f>
        <x:v>0.07306010249999999</x:v>
      </x:c>
      <x:c r="K406" s="13" t="n">
        <x:f>E406*I406*H406</x:f>
        <x:v>0.07306010249999999</x:v>
      </x:c>
      <x:c r="L406" s="1" t="str">
        <x:f>TEXT(A406,"mmm yyyy")</x:f>
        <x:v>May 2026</x:v>
      </x:c>
    </x:row>
    <x:row r="407" ht="21" customHeight="1">
      <x:c r="A407" s="10" t="n">
        <x:v>46156</x:v>
      </x:c>
      <x:c r="B407" s="1" t="n">
        <x:v>23.5</x:v>
      </x:c>
      <x:c r="C407" s="1" t="n">
        <x:v>6</x:v>
      </x:c>
      <x:c r="D407" s="12" t="n">
        <x:v>0.3135</x:v>
      </x:c>
      <x:c r="E407" s="12" t="n">
        <x:v>0.3145</x:v>
      </x:c>
      <x:c r="F407" s="12" t="n">
        <x:v>0</x:v>
      </x:c>
      <x:c r="G407" s="12" t="n">
        <x:v>0</x:v>
      </x:c>
      <x:c r="H407" s="1" t="n">
        <x:f>'Historical prices'!E407</x:f>
        <x:v>1.05</x:v>
      </x:c>
      <x:c r="I407" s="6" t="n">
        <x:f>'Historical prices'!D407</x:f>
        <x:v>0.2226</x:v>
      </x:c>
      <x:c r="J407" s="13" t="n">
        <x:f>D407*I407*H407</x:f>
        <x:v>0.073274355</x:v>
      </x:c>
      <x:c r="K407" s="13" t="n">
        <x:f>E407*I407*H407</x:f>
        <x:v>0.073508085</x:v>
      </x:c>
      <x:c r="L407" s="1" t="str">
        <x:f>TEXT(A407,"mmm yyyy")</x:f>
        <x:v>May 2026</x:v>
      </x:c>
    </x:row>
    <x:row r="408" ht="21" customHeight="1">
      <x:c r="A408" s="10" t="n">
        <x:v>46157</x:v>
      </x:c>
      <x:c r="B408" s="1" t="n">
        <x:v>0</x:v>
      </x:c>
      <x:c r="C408" s="1" t="n">
        <x:v>6</x:v>
      </x:c>
      <x:c r="D408" s="12" t="n">
        <x:v>0.2735</x:v>
      </x:c>
      <x:c r="E408" s="12" t="n">
        <x:v>0.2735</x:v>
      </x:c>
      <x:c r="F408" s="12" t="n">
        <x:v>0</x:v>
      </x:c>
      <x:c r="G408" s="12" t="n">
        <x:v>0</x:v>
      </x:c>
      <x:c r="H408" s="1" t="n">
        <x:f>'Historical prices'!E408</x:f>
        <x:v>1.05</x:v>
      </x:c>
      <x:c r="I408" s="6" t="n">
        <x:f>'Historical prices'!D408</x:f>
        <x:v>0.2226</x:v>
      </x:c>
      <x:c r="J408" s="13" t="n">
        <x:f>D408*I408*H408</x:f>
        <x:v>0.063925155</x:v>
      </x:c>
      <x:c r="K408" s="13" t="n">
        <x:f>E408*I408*H408</x:f>
        <x:v>0.063925155</x:v>
      </x:c>
      <x:c r="L408" s="1" t="str">
        <x:f>TEXT(A408,"mmm yyyy")</x:f>
        <x:v>May 2026</x:v>
      </x:c>
    </x:row>
    <x:row r="409" ht="21" customHeight="1">
      <x:c r="A409" s="10" t="n">
        <x:v>46157</x:v>
      </x:c>
      <x:c r="B409" s="1" t="n">
        <x:v>0.5</x:v>
      </x:c>
      <x:c r="C409" s="1" t="n">
        <x:v>6</x:v>
      </x:c>
      <x:c r="D409" s="12" t="n">
        <x:v>0.22949999999999998</x:v>
      </x:c>
      <x:c r="E409" s="12" t="n">
        <x:v>0.23049999999999998</x:v>
      </x:c>
      <x:c r="F409" s="12" t="n">
        <x:v>0</x:v>
      </x:c>
      <x:c r="G409" s="12" t="n">
        <x:v>0</x:v>
      </x:c>
      <x:c r="H409" s="1" t="n">
        <x:f>'Historical prices'!E409</x:f>
        <x:v>1.05</x:v>
      </x:c>
      <x:c r="I409" s="6" t="n">
        <x:f>'Historical prices'!D409</x:f>
        <x:v>0.2226</x:v>
      </x:c>
      <x:c r="J409" s="13" t="n">
        <x:f>D409*I409*H409</x:f>
        <x:v>0.053641035</x:v>
      </x:c>
      <x:c r="K409" s="13" t="n">
        <x:f>E409*I409*H409</x:f>
        <x:v>0.053874765</x:v>
      </x:c>
      <x:c r="L409" s="1" t="str">
        <x:f>TEXT(A409,"mmm yyyy")</x:f>
        <x:v>May 2026</x:v>
      </x:c>
    </x:row>
    <x:row r="410" ht="21" customHeight="1">
      <x:c r="A410" s="10" t="n">
        <x:v>46157</x:v>
      </x:c>
      <x:c r="B410" s="1" t="n">
        <x:v>1</x:v>
      </x:c>
      <x:c r="C410" s="1" t="n">
        <x:v>6</x:v>
      </x:c>
      <x:c r="D410" s="12" t="n">
        <x:v>0.19641666666666666</x:v>
      </x:c>
      <x:c r="E410" s="12" t="n">
        <x:v>0.19741666666666666</x:v>
      </x:c>
      <x:c r="F410" s="12" t="n">
        <x:v>0</x:v>
      </x:c>
      <x:c r="G410" s="12" t="n">
        <x:v>0</x:v>
      </x:c>
      <x:c r="H410" s="1" t="n">
        <x:f>'Historical prices'!E410</x:f>
        <x:v>1.05</x:v>
      </x:c>
      <x:c r="I410" s="6" t="n">
        <x:f>'Historical prices'!D410</x:f>
        <x:v>0.2226</x:v>
      </x:c>
      <x:c r="J410" s="13" t="n">
        <x:f>D410*I410*H410</x:f>
        <x:v>0.045908467499999994</x:v>
      </x:c>
      <x:c r="K410" s="13" t="n">
        <x:f>E410*I410*H410</x:f>
        <x:v>0.046142197499999996</x:v>
      </x:c>
      <x:c r="L410" s="1" t="str">
        <x:f>TEXT(A410,"mmm yyyy")</x:f>
        <x:v>May 2026</x:v>
      </x:c>
    </x:row>
    <x:row r="411" ht="21" customHeight="1">
      <x:c r="A411" s="10" t="n">
        <x:v>46157</x:v>
      </x:c>
      <x:c r="B411" s="1" t="n">
        <x:v>1.5</x:v>
      </x:c>
      <x:c r="C411" s="1" t="n">
        <x:v>6</x:v>
      </x:c>
      <x:c r="D411" s="12" t="n">
        <x:v>0.206</x:v>
      </x:c>
      <x:c r="E411" s="12" t="n">
        <x:v>0.206</x:v>
      </x:c>
      <x:c r="F411" s="12" t="n">
        <x:v>0</x:v>
      </x:c>
      <x:c r="G411" s="12" t="n">
        <x:v>0</x:v>
      </x:c>
      <x:c r="H411" s="1" t="n">
        <x:f>'Historical prices'!E411</x:f>
        <x:v>1.05</x:v>
      </x:c>
      <x:c r="I411" s="6" t="n">
        <x:f>'Historical prices'!D411</x:f>
        <x:v>0.2226</x:v>
      </x:c>
      <x:c r="J411" s="13" t="n">
        <x:f>D411*I411*H411</x:f>
        <x:v>0.04814838</x:v>
      </x:c>
      <x:c r="K411" s="13" t="n">
        <x:f>E411*I411*H411</x:f>
        <x:v>0.04814838</x:v>
      </x:c>
      <x:c r="L411" s="1" t="str">
        <x:f>TEXT(A411,"mmm yyyy")</x:f>
        <x:v>May 2026</x:v>
      </x:c>
    </x:row>
    <x:row r="412" ht="21" customHeight="1">
      <x:c r="A412" s="10" t="n">
        <x:v>46157</x:v>
      </x:c>
      <x:c r="B412" s="1" t="n">
        <x:v>2</x:v>
      </x:c>
      <x:c r="C412" s="1" t="n">
        <x:v>6</x:v>
      </x:c>
      <x:c r="D412" s="12" t="n">
        <x:v>0.24458333333333332</x:v>
      </x:c>
      <x:c r="E412" s="12" t="n">
        <x:v>0.24558333333333332</x:v>
      </x:c>
      <x:c r="F412" s="12" t="n">
        <x:v>0</x:v>
      </x:c>
      <x:c r="G412" s="12" t="n">
        <x:v>0</x:v>
      </x:c>
      <x:c r="H412" s="1" t="n">
        <x:f>'Historical prices'!E412</x:f>
        <x:v>1.05</x:v>
      </x:c>
      <x:c r="I412" s="6" t="n">
        <x:f>'Historical prices'!D412</x:f>
        <x:v>0.2226</x:v>
      </x:c>
      <x:c r="J412" s="13" t="n">
        <x:f>D412*I412*H412</x:f>
        <x:v>0.057166462499999994</x:v>
      </x:c>
      <x:c r="K412" s="13" t="n">
        <x:f>E412*I412*H412</x:f>
        <x:v>0.057400192499999995</x:v>
      </x:c>
      <x:c r="L412" s="1" t="str">
        <x:f>TEXT(A412,"mmm yyyy")</x:f>
        <x:v>May 2026</x:v>
      </x:c>
    </x:row>
    <x:row r="413" ht="21" customHeight="1">
      <x:c r="A413" s="10" t="n">
        <x:v>46157</x:v>
      </x:c>
      <x:c r="B413" s="1" t="n">
        <x:v>2.5</x:v>
      </x:c>
      <x:c r="C413" s="1" t="n">
        <x:v>6</x:v>
      </x:c>
      <x:c r="D413" s="12" t="n">
        <x:v>0.2926666666666667</x:v>
      </x:c>
      <x:c r="E413" s="12" t="n">
        <x:v>0.2936666666666667</x:v>
      </x:c>
      <x:c r="F413" s="12" t="n">
        <x:v>0</x:v>
      </x:c>
      <x:c r="G413" s="12" t="n">
        <x:v>0</x:v>
      </x:c>
      <x:c r="H413" s="1" t="n">
        <x:f>'Historical prices'!E413</x:f>
        <x:v>1.05</x:v>
      </x:c>
      <x:c r="I413" s="6" t="n">
        <x:f>'Historical prices'!D413</x:f>
        <x:v>0.2226</x:v>
      </x:c>
      <x:c r="J413" s="13" t="n">
        <x:f>D413*I413*H413</x:f>
        <x:v>0.06840498</x:v>
      </x:c>
      <x:c r="K413" s="13" t="n">
        <x:f>E413*I413*H413</x:f>
        <x:v>0.06863871</x:v>
      </x:c>
      <x:c r="L413" s="1" t="str">
        <x:f>TEXT(A413,"mmm yyyy")</x:f>
        <x:v>May 2026</x:v>
      </x:c>
    </x:row>
    <x:row r="414" ht="21" customHeight="1">
      <x:c r="A414" s="10" t="n">
        <x:v>46157</x:v>
      </x:c>
      <x:c r="B414" s="1" t="n">
        <x:v>3</x:v>
      </x:c>
      <x:c r="C414" s="1" t="n">
        <x:v>6</x:v>
      </x:c>
      <x:c r="D414" s="12" t="n">
        <x:v>0.23358333333333334</x:v>
      </x:c>
      <x:c r="E414" s="12" t="n">
        <x:v>0.23458333333333334</x:v>
      </x:c>
      <x:c r="F414" s="12" t="n">
        <x:v>0</x:v>
      </x:c>
      <x:c r="G414" s="12" t="n">
        <x:v>0</x:v>
      </x:c>
      <x:c r="H414" s="1" t="n">
        <x:f>'Historical prices'!E414</x:f>
        <x:v>1.05</x:v>
      </x:c>
      <x:c r="I414" s="6" t="n">
        <x:f>'Historical prices'!D414</x:f>
        <x:v>0.2226</x:v>
      </x:c>
      <x:c r="J414" s="13" t="n">
        <x:f>D414*I414*H414</x:f>
        <x:v>0.0545954325</x:v>
      </x:c>
      <x:c r="K414" s="13" t="n">
        <x:f>E414*I414*H414</x:f>
        <x:v>0.0548291625</x:v>
      </x:c>
      <x:c r="L414" s="1" t="str">
        <x:f>TEXT(A414,"mmm yyyy")</x:f>
        <x:v>May 2026</x:v>
      </x:c>
    </x:row>
    <x:row r="415" ht="21" customHeight="1">
      <x:c r="A415" s="10" t="n">
        <x:v>46157</x:v>
      </x:c>
      <x:c r="B415" s="1" t="n">
        <x:v>3.5</x:v>
      </x:c>
      <x:c r="C415" s="1" t="n">
        <x:v>6</x:v>
      </x:c>
      <x:c r="D415" s="12" t="n">
        <x:v>0.22583333333333333</x:v>
      </x:c>
      <x:c r="E415" s="12" t="n">
        <x:v>0.22583333333333333</x:v>
      </x:c>
      <x:c r="F415" s="12" t="n">
        <x:v>0</x:v>
      </x:c>
      <x:c r="G415" s="12" t="n">
        <x:v>0</x:v>
      </x:c>
      <x:c r="H415" s="1" t="n">
        <x:f>'Historical prices'!E415</x:f>
        <x:v>1.05</x:v>
      </x:c>
      <x:c r="I415" s="6" t="n">
        <x:f>'Historical prices'!D415</x:f>
        <x:v>0.2226</x:v>
      </x:c>
      <x:c r="J415" s="13" t="n">
        <x:f>D415*I415*H415</x:f>
        <x:v>0.052784025</x:v>
      </x:c>
      <x:c r="K415" s="13" t="n">
        <x:f>E415*I415*H415</x:f>
        <x:v>0.052784025</x:v>
      </x:c>
      <x:c r="L415" s="1" t="str">
        <x:f>TEXT(A415,"mmm yyyy")</x:f>
        <x:v>May 2026</x:v>
      </x:c>
    </x:row>
    <x:row r="416" ht="21" customHeight="1">
      <x:c r="A416" s="10" t="n">
        <x:v>46157</x:v>
      </x:c>
      <x:c r="B416" s="1" t="n">
        <x:v>4</x:v>
      </x:c>
      <x:c r="C416" s="1" t="n">
        <x:v>6</x:v>
      </x:c>
      <x:c r="D416" s="12" t="n">
        <x:v>0.19433333333333336</x:v>
      </x:c>
      <x:c r="E416" s="12" t="n">
        <x:v>0.19433333333333336</x:v>
      </x:c>
      <x:c r="F416" s="12" t="n">
        <x:v>0</x:v>
      </x:c>
      <x:c r="G416" s="12" t="n">
        <x:v>0</x:v>
      </x:c>
      <x:c r="H416" s="1" t="n">
        <x:f>'Historical prices'!E416</x:f>
        <x:v>1.05</x:v>
      </x:c>
      <x:c r="I416" s="6" t="n">
        <x:f>'Historical prices'!D416</x:f>
        <x:v>0.2226</x:v>
      </x:c>
      <x:c r="J416" s="13" t="n">
        <x:f>D416*I416*H416</x:f>
        <x:v>0.04542153</x:v>
      </x:c>
      <x:c r="K416" s="13" t="n">
        <x:f>E416*I416*H416</x:f>
        <x:v>0.04542153</x:v>
      </x:c>
      <x:c r="L416" s="1" t="str">
        <x:f>TEXT(A416,"mmm yyyy")</x:f>
        <x:v>May 2026</x:v>
      </x:c>
    </x:row>
    <x:row r="417" ht="21" customHeight="1">
      <x:c r="A417" s="10" t="n">
        <x:v>46157</x:v>
      </x:c>
      <x:c r="B417" s="1" t="n">
        <x:v>4.5</x:v>
      </x:c>
      <x:c r="C417" s="1" t="n">
        <x:v>6</x:v>
      </x:c>
      <x:c r="D417" s="12" t="n">
        <x:v>0.27524999999999994</x:v>
      </x:c>
      <x:c r="E417" s="12" t="n">
        <x:v>0.27624999999999994</x:v>
      </x:c>
      <x:c r="F417" s="12" t="n">
        <x:v>0</x:v>
      </x:c>
      <x:c r="G417" s="12" t="n">
        <x:v>0</x:v>
      </x:c>
      <x:c r="H417" s="1" t="n">
        <x:f>'Historical prices'!E417</x:f>
        <x:v>1.05</x:v>
      </x:c>
      <x:c r="I417" s="6" t="n">
        <x:f>'Historical prices'!D417</x:f>
        <x:v>0.2226</x:v>
      </x:c>
      <x:c r="J417" s="13" t="n">
        <x:f>D417*I417*H417</x:f>
        <x:v>0.06433418249999999</x:v>
      </x:c>
      <x:c r="K417" s="13" t="n">
        <x:f>E417*I417*H417</x:f>
        <x:v>0.06456791249999999</x:v>
      </x:c>
      <x:c r="L417" s="1" t="str">
        <x:f>TEXT(A417,"mmm yyyy")</x:f>
        <x:v>May 2026</x:v>
      </x:c>
    </x:row>
    <x:row r="418" ht="21" customHeight="1">
      <x:c r="A418" s="10" t="n">
        <x:v>46157</x:v>
      </x:c>
      <x:c r="B418" s="1" t="n">
        <x:v>5</x:v>
      </x:c>
      <x:c r="C418" s="1" t="n">
        <x:v>6</x:v>
      </x:c>
      <x:c r="D418" s="12" t="n">
        <x:v>0.29575</x:v>
      </x:c>
      <x:c r="E418" s="12" t="n">
        <x:v>0.29575</x:v>
      </x:c>
      <x:c r="F418" s="12" t="n">
        <x:v>0</x:v>
      </x:c>
      <x:c r="G418" s="12" t="n">
        <x:v>0</x:v>
      </x:c>
      <x:c r="H418" s="1" t="n">
        <x:f>'Historical prices'!E418</x:f>
        <x:v>1.05</x:v>
      </x:c>
      <x:c r="I418" s="6" t="n">
        <x:f>'Historical prices'!D418</x:f>
        <x:v>0.2226</x:v>
      </x:c>
      <x:c r="J418" s="13" t="n">
        <x:f>D418*I418*H418</x:f>
        <x:v>0.06912564750000001</x:v>
      </x:c>
      <x:c r="K418" s="13" t="n">
        <x:f>E418*I418*H418</x:f>
        <x:v>0.06912564750000001</x:v>
      </x:c>
      <x:c r="L418" s="1" t="str">
        <x:f>TEXT(A418,"mmm yyyy")</x:f>
        <x:v>May 2026</x:v>
      </x:c>
    </x:row>
    <x:row r="419" ht="21" customHeight="1">
      <x:c r="A419" s="10" t="n">
        <x:v>46157</x:v>
      </x:c>
      <x:c r="B419" s="1" t="n">
        <x:v>5.5</x:v>
      </x:c>
      <x:c r="C419" s="1" t="n">
        <x:v>6</x:v>
      </x:c>
      <x:c r="D419" s="12" t="n">
        <x:v>0.28833333333333333</x:v>
      </x:c>
      <x:c r="E419" s="12" t="n">
        <x:v>0.29033333333333333</x:v>
      </x:c>
      <x:c r="F419" s="12" t="n">
        <x:v>0</x:v>
      </x:c>
      <x:c r="G419" s="12" t="n">
        <x:v>0</x:v>
      </x:c>
      <x:c r="H419" s="1" t="n">
        <x:f>'Historical prices'!E419</x:f>
        <x:v>1.05</x:v>
      </x:c>
      <x:c r="I419" s="6" t="n">
        <x:f>'Historical prices'!D419</x:f>
        <x:v>0.2226</x:v>
      </x:c>
      <x:c r="J419" s="13" t="n">
        <x:f>D419*I419*H419</x:f>
        <x:v>0.06739215000000001</x:v>
      </x:c>
      <x:c r="K419" s="13" t="n">
        <x:f>E419*I419*H419</x:f>
        <x:v>0.06785961</x:v>
      </x:c>
      <x:c r="L419" s="1" t="str">
        <x:f>TEXT(A419,"mmm yyyy")</x:f>
        <x:v>May 2026</x:v>
      </x:c>
    </x:row>
    <x:row r="420" ht="21" customHeight="1">
      <x:c r="A420" s="10" t="n">
        <x:v>46157</x:v>
      </x:c>
      <x:c r="B420" s="1" t="n">
        <x:v>6</x:v>
      </x:c>
      <x:c r="C420" s="1" t="n">
        <x:v>6</x:v>
      </x:c>
      <x:c r="D420" s="12" t="n">
        <x:v>0.41175</x:v>
      </x:c>
      <x:c r="E420" s="12" t="n">
        <x:v>0.41075</x:v>
      </x:c>
      <x:c r="F420" s="12" t="n">
        <x:v>0</x:v>
      </x:c>
      <x:c r="G420" s="12" t="n">
        <x:v>0</x:v>
      </x:c>
      <x:c r="H420" s="1" t="n">
        <x:f>'Historical prices'!E420</x:f>
        <x:v>1.05</x:v>
      </x:c>
      <x:c r="I420" s="6" t="n">
        <x:f>'Historical prices'!D420</x:f>
        <x:v>0.2226</x:v>
      </x:c>
      <x:c r="J420" s="13" t="n">
        <x:f>D420*I420*H420</x:f>
        <x:v>0.09623832750000001</x:v>
      </x:c>
      <x:c r="K420" s="13" t="n">
        <x:f>E420*I420*H420</x:f>
        <x:v>0.0960045975</x:v>
      </x:c>
      <x:c r="L420" s="1" t="str">
        <x:f>TEXT(A420,"mmm yyyy")</x:f>
        <x:v>May 2026</x:v>
      </x:c>
    </x:row>
    <x:row r="421" ht="21" customHeight="1">
      <x:c r="A421" s="10" t="n">
        <x:v>46157</x:v>
      </x:c>
      <x:c r="B421" s="1" t="n">
        <x:v>6.5</x:v>
      </x:c>
      <x:c r="C421" s="1" t="n">
        <x:v>6</x:v>
      </x:c>
      <x:c r="D421" s="12" t="n">
        <x:v>0.47616666666666657</x:v>
      </x:c>
      <x:c r="E421" s="12" t="n">
        <x:v>0.4761666666666667</x:v>
      </x:c>
      <x:c r="F421" s="12" t="n">
        <x:v>0</x:v>
      </x:c>
      <x:c r="G421" s="12" t="n">
        <x:v>0</x:v>
      </x:c>
      <x:c r="H421" s="1" t="n">
        <x:f>'Historical prices'!E421</x:f>
        <x:v>1.05</x:v>
      </x:c>
      <x:c r="I421" s="6" t="n">
        <x:f>'Historical prices'!D421</x:f>
        <x:v>0.2226</x:v>
      </x:c>
      <x:c r="J421" s="13" t="n">
        <x:f>D421*I421*H421</x:f>
        <x:v>0.11129443499999997</x:v>
      </x:c>
      <x:c r="K421" s="13" t="n">
        <x:f>E421*I421*H421</x:f>
        <x:v>0.111294435</x:v>
      </x:c>
      <x:c r="L421" s="1" t="str">
        <x:f>TEXT(A421,"mmm yyyy")</x:f>
        <x:v>May 2026</x:v>
      </x:c>
    </x:row>
    <x:row r="422" ht="21" customHeight="1">
      <x:c r="A422" s="10" t="n">
        <x:v>46157</x:v>
      </x:c>
      <x:c r="B422" s="1" t="n">
        <x:v>7</x:v>
      </x:c>
      <x:c r="C422" s="1" t="n">
        <x:v>6</x:v>
      </x:c>
      <x:c r="D422" s="12" t="n">
        <x:v>0.6473333333333333</x:v>
      </x:c>
      <x:c r="E422" s="12" t="n">
        <x:v>0.6473333333333333</x:v>
      </x:c>
      <x:c r="F422" s="12" t="n">
        <x:v>0</x:v>
      </x:c>
      <x:c r="G422" s="12" t="n">
        <x:v>0</x:v>
      </x:c>
      <x:c r="H422" s="1" t="n">
        <x:f>'Historical prices'!E422</x:f>
        <x:v>1.05</x:v>
      </x:c>
      <x:c r="I422" s="6" t="n">
        <x:f>'Historical prices'!D422</x:f>
        <x:v>0.2226</x:v>
      </x:c>
      <x:c r="J422" s="13" t="n">
        <x:f>D422*I422*H422</x:f>
        <x:v>0.15130122</x:v>
      </x:c>
      <x:c r="K422" s="13" t="n">
        <x:f>E422*I422*H422</x:f>
        <x:v>0.15130122</x:v>
      </x:c>
      <x:c r="L422" s="1" t="str">
        <x:f>TEXT(A422,"mmm yyyy")</x:f>
        <x:v>May 2026</x:v>
      </x:c>
    </x:row>
    <x:row r="423" ht="21" customHeight="1">
      <x:c r="A423" s="10" t="n">
        <x:v>46157</x:v>
      </x:c>
      <x:c r="B423" s="1" t="n">
        <x:v>7.5</x:v>
      </x:c>
      <x:c r="C423" s="1" t="n">
        <x:v>6</x:v>
      </x:c>
      <x:c r="D423" s="12" t="n">
        <x:v>0.6641666666666667</x:v>
      </x:c>
      <x:c r="E423" s="12" t="n">
        <x:v>0.6641666666666666</x:v>
      </x:c>
      <x:c r="F423" s="12" t="n">
        <x:v>0</x:v>
      </x:c>
      <x:c r="G423" s="12" t="n">
        <x:v>0</x:v>
      </x:c>
      <x:c r="H423" s="1" t="n">
        <x:f>'Historical prices'!E423</x:f>
        <x:v>1.05</x:v>
      </x:c>
      <x:c r="I423" s="6" t="n">
        <x:f>'Historical prices'!D423</x:f>
        <x:v>0.2226</x:v>
      </x:c>
      <x:c r="J423" s="13" t="n">
        <x:f>D423*I423*H423</x:f>
        <x:v>0.155235675</x:v>
      </x:c>
      <x:c r="K423" s="13" t="n">
        <x:f>E423*I423*H423</x:f>
        <x:v>0.15523567499999996</x:v>
      </x:c>
      <x:c r="L423" s="1" t="str">
        <x:f>TEXT(A423,"mmm yyyy")</x:f>
        <x:v>May 2026</x:v>
      </x:c>
    </x:row>
    <x:row r="424" ht="21" customHeight="1">
      <x:c r="A424" s="10" t="n">
        <x:v>46157</x:v>
      </x:c>
      <x:c r="B424" s="1" t="n">
        <x:v>8</x:v>
      </x:c>
      <x:c r="C424" s="1" t="n">
        <x:v>6</x:v>
      </x:c>
      <x:c r="D424" s="12" t="n">
        <x:v>0.6089166666666667</x:v>
      </x:c>
      <x:c r="E424" s="12" t="n">
        <x:v>0.6089166666666667</x:v>
      </x:c>
      <x:c r="F424" s="12" t="n">
        <x:v>0</x:v>
      </x:c>
      <x:c r="G424" s="12" t="n">
        <x:v>0</x:v>
      </x:c>
      <x:c r="H424" s="1" t="n">
        <x:f>'Historical prices'!E424</x:f>
        <x:v>1.05</x:v>
      </x:c>
      <x:c r="I424" s="6" t="n">
        <x:f>'Historical prices'!D424</x:f>
        <x:v>0.2226</x:v>
      </x:c>
      <x:c r="J424" s="13" t="n">
        <x:f>D424*I424*H424</x:f>
        <x:v>0.1423220925</x:v>
      </x:c>
      <x:c r="K424" s="13" t="n">
        <x:f>E424*I424*H424</x:f>
        <x:v>0.1423220925</x:v>
      </x:c>
      <x:c r="L424" s="1" t="str">
        <x:f>TEXT(A424,"mmm yyyy")</x:f>
        <x:v>May 2026</x:v>
      </x:c>
    </x:row>
    <x:row r="425" ht="21" customHeight="1">
      <x:c r="A425" s="10" t="n">
        <x:v>46157</x:v>
      </x:c>
      <x:c r="B425" s="1" t="n">
        <x:v>8.5</x:v>
      </x:c>
      <x:c r="C425" s="1" t="n">
        <x:v>6</x:v>
      </x:c>
      <x:c r="D425" s="12" t="n">
        <x:v>2.241083333333333</x:v>
      </x:c>
      <x:c r="E425" s="12" t="n">
        <x:v>2.2420833333333334</x:v>
      </x:c>
      <x:c r="F425" s="12" t="n">
        <x:v>0</x:v>
      </x:c>
      <x:c r="G425" s="12" t="n">
        <x:v>0</x:v>
      </x:c>
      <x:c r="H425" s="1" t="n">
        <x:f>'Historical prices'!E425</x:f>
        <x:v>1.05</x:v>
      </x:c>
      <x:c r="I425" s="6" t="n">
        <x:f>'Historical prices'!D425</x:f>
        <x:v>0.2226</x:v>
      </x:c>
      <x:c r="J425" s="13" t="n">
        <x:f>D425*I425*H425</x:f>
        <x:v>0.5238084074999999</x:v>
      </x:c>
      <x:c r="K425" s="13" t="n">
        <x:f>E425*I425*H425</x:f>
        <x:v>0.5240421375000001</x:v>
      </x:c>
      <x:c r="L425" s="1" t="str">
        <x:f>TEXT(A425,"mmm yyyy")</x:f>
        <x:v>May 2026</x:v>
      </x:c>
    </x:row>
    <x:row r="426" ht="21" customHeight="1">
      <x:c r="A426" s="10" t="n">
        <x:v>46157</x:v>
      </x:c>
      <x:c r="B426" s="1" t="n">
        <x:v>9</x:v>
      </x:c>
      <x:c r="C426" s="1" t="n">
        <x:v>6</x:v>
      </x:c>
      <x:c r="D426" s="12" t="n">
        <x:v>2.3394166666666667</x:v>
      </x:c>
      <x:c r="E426" s="12" t="n">
        <x:v>2.340416666666667</x:v>
      </x:c>
      <x:c r="F426" s="12" t="n">
        <x:v>0</x:v>
      </x:c>
      <x:c r="G426" s="12" t="n">
        <x:v>0</x:v>
      </x:c>
      <x:c r="H426" s="1" t="n">
        <x:f>'Historical prices'!E426</x:f>
        <x:v>1.05</x:v>
      </x:c>
      <x:c r="I426" s="6" t="n">
        <x:f>'Historical prices'!D426</x:f>
        <x:v>0.2226</x:v>
      </x:c>
      <x:c r="J426" s="13" t="n">
        <x:f>D426*I426*H426</x:f>
        <x:v>0.5467918575</x:v>
      </x:c>
      <x:c r="K426" s="13" t="n">
        <x:f>E426*I426*H426</x:f>
        <x:v>0.5470255875000001</x:v>
      </x:c>
      <x:c r="L426" s="1" t="str">
        <x:f>TEXT(A426,"mmm yyyy")</x:f>
        <x:v>May 2026</x:v>
      </x:c>
    </x:row>
    <x:row r="427" ht="21" customHeight="1">
      <x:c r="A427" s="10" t="n">
        <x:v>46157</x:v>
      </x:c>
      <x:c r="B427" s="1" t="n">
        <x:v>9.5</x:v>
      </x:c>
      <x:c r="C427" s="1" t="n">
        <x:v>6</x:v>
      </x:c>
      <x:c r="D427" s="12" t="n">
        <x:v>0.9312499999999999</x:v>
      </x:c>
      <x:c r="E427" s="12" t="n">
        <x:v>0.93125</x:v>
      </x:c>
      <x:c r="F427" s="12" t="n">
        <x:v>0</x:v>
      </x:c>
      <x:c r="G427" s="12" t="n">
        <x:v>0</x:v>
      </x:c>
      <x:c r="H427" s="1" t="n">
        <x:f>'Historical prices'!E427</x:f>
        <x:v>1.05</x:v>
      </x:c>
      <x:c r="I427" s="6" t="n">
        <x:f>'Historical prices'!D427</x:f>
        <x:v>0.2226</x:v>
      </x:c>
      <x:c r="J427" s="13" t="n">
        <x:f>D427*I427*H427</x:f>
        <x:v>0.21766106249999997</x:v>
      </x:c>
      <x:c r="K427" s="13" t="n">
        <x:f>E427*I427*H427</x:f>
        <x:v>0.2176610625</x:v>
      </x:c>
      <x:c r="L427" s="1" t="str">
        <x:f>TEXT(A427,"mmm yyyy")</x:f>
        <x:v>May 2026</x:v>
      </x:c>
    </x:row>
    <x:row r="428" ht="21" customHeight="1">
      <x:c r="A428" s="10" t="n">
        <x:v>46157</x:v>
      </x:c>
      <x:c r="B428" s="1" t="n">
        <x:v>10</x:v>
      </x:c>
      <x:c r="C428" s="1" t="n">
        <x:v>6</x:v>
      </x:c>
      <x:c r="D428" s="12" t="n">
        <x:v>0.6636666666666667</x:v>
      </x:c>
      <x:c r="E428" s="12" t="n">
        <x:v>0.6636666666666667</x:v>
      </x:c>
      <x:c r="F428" s="12" t="n">
        <x:v>0</x:v>
      </x:c>
      <x:c r="G428" s="12" t="n">
        <x:v>0</x:v>
      </x:c>
      <x:c r="H428" s="1" t="n">
        <x:f>'Historical prices'!E428</x:f>
        <x:v>1.05</x:v>
      </x:c>
      <x:c r="I428" s="6" t="n">
        <x:f>'Historical prices'!D428</x:f>
        <x:v>0.2226</x:v>
      </x:c>
      <x:c r="J428" s="13" t="n">
        <x:f>D428*I428*H428</x:f>
        <x:v>0.15511881000000002</x:v>
      </x:c>
      <x:c r="K428" s="13" t="n">
        <x:f>E428*I428*H428</x:f>
        <x:v>0.15511881000000002</x:v>
      </x:c>
      <x:c r="L428" s="1" t="str">
        <x:f>TEXT(A428,"mmm yyyy")</x:f>
        <x:v>May 2026</x:v>
      </x:c>
    </x:row>
    <x:row r="429" ht="21" customHeight="1">
      <x:c r="A429" s="10" t="n">
        <x:v>46157</x:v>
      </x:c>
      <x:c r="B429" s="1" t="n">
        <x:v>10.5</x:v>
      </x:c>
      <x:c r="C429" s="1" t="n">
        <x:v>6</x:v>
      </x:c>
      <x:c r="D429" s="12" t="n">
        <x:v>0.5271666666666667</x:v>
      </x:c>
      <x:c r="E429" s="12" t="n">
        <x:v>0.5261666666666667</x:v>
      </x:c>
      <x:c r="F429" s="12" t="n">
        <x:v>0</x:v>
      </x:c>
      <x:c r="G429" s="12" t="n">
        <x:v>0</x:v>
      </x:c>
      <x:c r="H429" s="1" t="n">
        <x:f>'Historical prices'!E429</x:f>
        <x:v>1.05</x:v>
      </x:c>
      <x:c r="I429" s="6" t="n">
        <x:f>'Historical prices'!D429</x:f>
        <x:v>0.2226</x:v>
      </x:c>
      <x:c r="J429" s="13" t="n">
        <x:f>D429*I429*H429</x:f>
        <x:v>0.123214665</x:v>
      </x:c>
      <x:c r="K429" s="13" t="n">
        <x:f>E429*I429*H429</x:f>
        <x:v>0.122980935</x:v>
      </x:c>
      <x:c r="L429" s="1" t="str">
        <x:f>TEXT(A429,"mmm yyyy")</x:f>
        <x:v>May 2026</x:v>
      </x:c>
    </x:row>
    <x:row r="430" ht="21" customHeight="1">
      <x:c r="A430" s="10" t="n">
        <x:v>46157</x:v>
      </x:c>
      <x:c r="B430" s="1" t="n">
        <x:v>11</x:v>
      </x:c>
      <x:c r="C430" s="1" t="n">
        <x:v>6</x:v>
      </x:c>
      <x:c r="D430" s="12" t="n">
        <x:v>0.5151666666666667</x:v>
      </x:c>
      <x:c r="E430" s="12" t="n">
        <x:v>0.5161666666666667</x:v>
      </x:c>
      <x:c r="F430" s="12" t="n">
        <x:v>0</x:v>
      </x:c>
      <x:c r="G430" s="12" t="n">
        <x:v>0</x:v>
      </x:c>
      <x:c r="H430" s="1" t="n">
        <x:f>'Historical prices'!E430</x:f>
        <x:v>1.05</x:v>
      </x:c>
      <x:c r="I430" s="6" t="n">
        <x:f>'Historical prices'!D430</x:f>
        <x:v>0.2226</x:v>
      </x:c>
      <x:c r="J430" s="13" t="n">
        <x:f>D430*I430*H430</x:f>
        <x:v>0.120409905</x:v>
      </x:c>
      <x:c r="K430" s="13" t="n">
        <x:f>E430*I430*H430</x:f>
        <x:v>0.120643635</x:v>
      </x:c>
      <x:c r="L430" s="1" t="str">
        <x:f>TEXT(A430,"mmm yyyy")</x:f>
        <x:v>May 2026</x:v>
      </x:c>
    </x:row>
    <x:row r="431" ht="21" customHeight="1">
      <x:c r="A431" s="10" t="n">
        <x:v>46157</x:v>
      </x:c>
      <x:c r="B431" s="1" t="n">
        <x:v>11.5</x:v>
      </x:c>
      <x:c r="C431" s="1" t="n">
        <x:v>6</x:v>
      </x:c>
      <x:c r="D431" s="12" t="n">
        <x:v>0.4806666666666667</x:v>
      </x:c>
      <x:c r="E431" s="12" t="n">
        <x:v>0.4806666666666667</x:v>
      </x:c>
      <x:c r="F431" s="12" t="n">
        <x:v>0</x:v>
      </x:c>
      <x:c r="G431" s="12" t="n">
        <x:v>0</x:v>
      </x:c>
      <x:c r="H431" s="1" t="n">
        <x:f>'Historical prices'!E431</x:f>
        <x:v>1.05</x:v>
      </x:c>
      <x:c r="I431" s="6" t="n">
        <x:f>'Historical prices'!D431</x:f>
        <x:v>0.2226</x:v>
      </x:c>
      <x:c r="J431" s="13" t="n">
        <x:f>D431*I431*H431</x:f>
        <x:v>0.11234622000000001</x:v>
      </x:c>
      <x:c r="K431" s="13" t="n">
        <x:f>E431*I431*H431</x:f>
        <x:v>0.11234622000000001</x:v>
      </x:c>
      <x:c r="L431" s="1" t="str">
        <x:f>TEXT(A431,"mmm yyyy")</x:f>
        <x:v>May 2026</x:v>
      </x:c>
    </x:row>
    <x:row r="432" ht="21" customHeight="1">
      <x:c r="A432" s="10" t="n">
        <x:v>46157</x:v>
      </x:c>
      <x:c r="B432" s="1" t="n">
        <x:v>12</x:v>
      </x:c>
      <x:c r="C432" s="1" t="n">
        <x:v>6</x:v>
      </x:c>
      <x:c r="D432" s="12" t="n">
        <x:v>0.51075</x:v>
      </x:c>
      <x:c r="E432" s="12" t="n">
        <x:v>0.51075</x:v>
      </x:c>
      <x:c r="F432" s="12" t="n">
        <x:v>0</x:v>
      </x:c>
      <x:c r="G432" s="12" t="n">
        <x:v>0</x:v>
      </x:c>
      <x:c r="H432" s="1" t="n">
        <x:f>'Historical prices'!E432</x:f>
        <x:v>1.05</x:v>
      </x:c>
      <x:c r="I432" s="6" t="n">
        <x:f>'Historical prices'!D432</x:f>
        <x:v>0.2226</x:v>
      </x:c>
      <x:c r="J432" s="13" t="n">
        <x:f>D432*I432*H432</x:f>
        <x:v>0.1193775975</x:v>
      </x:c>
      <x:c r="K432" s="13" t="n">
        <x:f>E432*I432*H432</x:f>
        <x:v>0.1193775975</x:v>
      </x:c>
      <x:c r="L432" s="1" t="str">
        <x:f>TEXT(A432,"mmm yyyy")</x:f>
        <x:v>May 2026</x:v>
      </x:c>
    </x:row>
    <x:row r="433" ht="21" customHeight="1">
      <x:c r="A433" s="10" t="n">
        <x:v>46157</x:v>
      </x:c>
      <x:c r="B433" s="1" t="n">
        <x:v>12.5</x:v>
      </x:c>
      <x:c r="C433" s="1" t="n">
        <x:v>6</x:v>
      </x:c>
      <x:c r="D433" s="12" t="n">
        <x:v>0.4783333333333334</x:v>
      </x:c>
      <x:c r="E433" s="12" t="n">
        <x:v>0.4793333333333334</x:v>
      </x:c>
      <x:c r="F433" s="12" t="n">
        <x:v>0</x:v>
      </x:c>
      <x:c r="G433" s="12" t="n">
        <x:v>0</x:v>
      </x:c>
      <x:c r="H433" s="1" t="n">
        <x:f>'Historical prices'!E433</x:f>
        <x:v>1.05</x:v>
      </x:c>
      <x:c r="I433" s="6" t="n">
        <x:f>'Historical prices'!D433</x:f>
        <x:v>0.2226</x:v>
      </x:c>
      <x:c r="J433" s="13" t="n">
        <x:f>D433*I433*H433</x:f>
        <x:v>0.11180085000000001</x:v>
      </x:c>
      <x:c r="K433" s="13" t="n">
        <x:f>E433*I433*H433</x:f>
        <x:v>0.11203458000000001</x:v>
      </x:c>
      <x:c r="L433" s="1" t="str">
        <x:f>TEXT(A433,"mmm yyyy")</x:f>
        <x:v>May 2026</x:v>
      </x:c>
    </x:row>
    <x:row r="434" ht="21" customHeight="1">
      <x:c r="A434" s="10" t="n">
        <x:v>46157</x:v>
      </x:c>
      <x:c r="B434" s="1" t="n">
        <x:v>13</x:v>
      </x:c>
      <x:c r="C434" s="1" t="n">
        <x:v>6</x:v>
      </x:c>
      <x:c r="D434" s="12" t="n">
        <x:v>2.23025</x:v>
      </x:c>
      <x:c r="E434" s="12" t="n">
        <x:v>2.22925</x:v>
      </x:c>
      <x:c r="F434" s="12" t="n">
        <x:v>0</x:v>
      </x:c>
      <x:c r="G434" s="12" t="n">
        <x:v>0</x:v>
      </x:c>
      <x:c r="H434" s="1" t="n">
        <x:f>'Historical prices'!E434</x:f>
        <x:v>1.05</x:v>
      </x:c>
      <x:c r="I434" s="6" t="n">
        <x:f>'Historical prices'!D434</x:f>
        <x:v>0.2226</x:v>
      </x:c>
      <x:c r="J434" s="13" t="n">
        <x:f>D434*I434*H434</x:f>
        <x:v>0.5212763324999999</x:v>
      </x:c>
      <x:c r="K434" s="13" t="n">
        <x:f>E434*I434*H434</x:f>
        <x:v>0.5210426025</x:v>
      </x:c>
      <x:c r="L434" s="1" t="str">
        <x:f>TEXT(A434,"mmm yyyy")</x:f>
        <x:v>May 2026</x:v>
      </x:c>
    </x:row>
    <x:row r="435" ht="21" customHeight="1">
      <x:c r="A435" s="10" t="n">
        <x:v>46157</x:v>
      </x:c>
      <x:c r="B435" s="1" t="n">
        <x:v>13.5</x:v>
      </x:c>
      <x:c r="C435" s="1" t="n">
        <x:v>6</x:v>
      </x:c>
      <x:c r="D435" s="12" t="n">
        <x:v>1.477666666666667</x:v>
      </x:c>
      <x:c r="E435" s="12" t="n">
        <x:v>1.4776666666666667</x:v>
      </x:c>
      <x:c r="F435" s="12" t="n">
        <x:v>0</x:v>
      </x:c>
      <x:c r="G435" s="12" t="n">
        <x:v>0</x:v>
      </x:c>
      <x:c r="H435" s="1" t="n">
        <x:f>'Historical prices'!E435</x:f>
        <x:v>1.05</x:v>
      </x:c>
      <x:c r="I435" s="6" t="n">
        <x:f>'Historical prices'!D435</x:f>
        <x:v>0.2226</x:v>
      </x:c>
      <x:c r="J435" s="13" t="n">
        <x:f>D435*I435*H435</x:f>
        <x:v>0.34537503</x:v>
      </x:c>
      <x:c r="K435" s="13" t="n">
        <x:f>E435*I435*H435</x:f>
        <x:v>0.34537503</x:v>
      </x:c>
      <x:c r="L435" s="1" t="str">
        <x:f>TEXT(A435,"mmm yyyy")</x:f>
        <x:v>May 2026</x:v>
      </x:c>
    </x:row>
    <x:row r="436" ht="21" customHeight="1">
      <x:c r="A436" s="10" t="n">
        <x:v>46157</x:v>
      </x:c>
      <x:c r="B436" s="1" t="n">
        <x:v>14</x:v>
      </x:c>
      <x:c r="C436" s="1" t="n">
        <x:v>6</x:v>
      </x:c>
      <x:c r="D436" s="12" t="n">
        <x:v>0.47924999999999995</x:v>
      </x:c>
      <x:c r="E436" s="12" t="n">
        <x:v>0.47924999999999995</x:v>
      </x:c>
      <x:c r="F436" s="12" t="n">
        <x:v>0</x:v>
      </x:c>
      <x:c r="G436" s="12" t="n">
        <x:v>0</x:v>
      </x:c>
      <x:c r="H436" s="1" t="n">
        <x:f>'Historical prices'!E436</x:f>
        <x:v>1.05</x:v>
      </x:c>
      <x:c r="I436" s="6" t="n">
        <x:f>'Historical prices'!D436</x:f>
        <x:v>0.2226</x:v>
      </x:c>
      <x:c r="J436" s="13" t="n">
        <x:f>D436*I436*H436</x:f>
        <x:v>0.11201510249999999</x:v>
      </x:c>
      <x:c r="K436" s="13" t="n">
        <x:f>E436*I436*H436</x:f>
        <x:v>0.11201510249999999</x:v>
      </x:c>
      <x:c r="L436" s="1" t="str">
        <x:f>TEXT(A436,"mmm yyyy")</x:f>
        <x:v>May 2026</x:v>
      </x:c>
    </x:row>
    <x:row r="437" ht="21" customHeight="1">
      <x:c r="A437" s="10" t="n">
        <x:v>46157</x:v>
      </x:c>
      <x:c r="B437" s="1" t="n">
        <x:v>14.5</x:v>
      </x:c>
      <x:c r="C437" s="1" t="n">
        <x:v>6</x:v>
      </x:c>
      <x:c r="D437" s="12" t="n">
        <x:v>0.32025</x:v>
      </x:c>
      <x:c r="E437" s="12" t="n">
        <x:v>0.32125</x:v>
      </x:c>
      <x:c r="F437" s="12" t="n">
        <x:v>0</x:v>
      </x:c>
      <x:c r="G437" s="12" t="n">
        <x:v>0</x:v>
      </x:c>
      <x:c r="H437" s="1" t="n">
        <x:f>'Historical prices'!E437</x:f>
        <x:v>1.05</x:v>
      </x:c>
      <x:c r="I437" s="6" t="n">
        <x:f>'Historical prices'!D437</x:f>
        <x:v>0.2226</x:v>
      </x:c>
      <x:c r="J437" s="13" t="n">
        <x:f>D437*I437*H437</x:f>
        <x:v>0.0748520325</x:v>
      </x:c>
      <x:c r="K437" s="13" t="n">
        <x:f>E437*I437*H437</x:f>
        <x:v>0.0750857625</x:v>
      </x:c>
      <x:c r="L437" s="1" t="str">
        <x:f>TEXT(A437,"mmm yyyy")</x:f>
        <x:v>May 2026</x:v>
      </x:c>
    </x:row>
    <x:row r="438" ht="21" customHeight="1">
      <x:c r="A438" s="10" t="n">
        <x:v>46157</x:v>
      </x:c>
      <x:c r="B438" s="1" t="n">
        <x:v>15</x:v>
      </x:c>
      <x:c r="C438" s="1" t="n">
        <x:v>6</x:v>
      </x:c>
      <x:c r="D438" s="12" t="n">
        <x:v>0.3305</x:v>
      </x:c>
      <x:c r="E438" s="12" t="n">
        <x:v>0.33149999999999996</x:v>
      </x:c>
      <x:c r="F438" s="12" t="n">
        <x:v>0</x:v>
      </x:c>
      <x:c r="G438" s="12" t="n">
        <x:v>0</x:v>
      </x:c>
      <x:c r="H438" s="1" t="n">
        <x:f>'Historical prices'!E438</x:f>
        <x:v>1.05</x:v>
      </x:c>
      <x:c r="I438" s="6" t="n">
        <x:f>'Historical prices'!D438</x:f>
        <x:v>0.2226</x:v>
      </x:c>
      <x:c r="J438" s="13" t="n">
        <x:f>D438*I438*H438</x:f>
        <x:v>0.07724776500000001</x:v>
      </x:c>
      <x:c r="K438" s="13" t="n">
        <x:f>E438*I438*H438</x:f>
        <x:v>0.077481495</x:v>
      </x:c>
      <x:c r="L438" s="1" t="str">
        <x:f>TEXT(A438,"mmm yyyy")</x:f>
        <x:v>May 2026</x:v>
      </x:c>
    </x:row>
    <x:row r="439" ht="21" customHeight="1">
      <x:c r="A439" s="10" t="n">
        <x:v>46157</x:v>
      </x:c>
      <x:c r="B439" s="1" t="n">
        <x:v>15.5</x:v>
      </x:c>
      <x:c r="C439" s="1" t="n">
        <x:v>6</x:v>
      </x:c>
      <x:c r="D439" s="12" t="n">
        <x:v>0.44808333333333333</x:v>
      </x:c>
      <x:c r="E439" s="12" t="n">
        <x:v>0.44708333333333333</x:v>
      </x:c>
      <x:c r="F439" s="12" t="n">
        <x:v>0</x:v>
      </x:c>
      <x:c r="G439" s="12" t="n">
        <x:v>0</x:v>
      </x:c>
      <x:c r="H439" s="1" t="n">
        <x:f>'Historical prices'!E439</x:f>
        <x:v>1.05</x:v>
      </x:c>
      <x:c r="I439" s="6" t="n">
        <x:f>'Historical prices'!D439</x:f>
        <x:v>0.2226</x:v>
      </x:c>
      <x:c r="J439" s="13" t="n">
        <x:f>D439*I439*H439</x:f>
        <x:v>0.1047305175</x:v>
      </x:c>
      <x:c r="K439" s="13" t="n">
        <x:f>E439*I439*H439</x:f>
        <x:v>0.1044967875</x:v>
      </x:c>
      <x:c r="L439" s="1" t="str">
        <x:f>TEXT(A439,"mmm yyyy")</x:f>
        <x:v>May 2026</x:v>
      </x:c>
    </x:row>
    <x:row r="440" ht="21" customHeight="1">
      <x:c r="A440" s="10" t="n">
        <x:v>46157</x:v>
      </x:c>
      <x:c r="B440" s="1" t="n">
        <x:v>16</x:v>
      </x:c>
      <x:c r="C440" s="1" t="n">
        <x:v>6</x:v>
      </x:c>
      <x:c r="D440" s="12" t="n">
        <x:v>1.0371666666666668</x:v>
      </x:c>
      <x:c r="E440" s="12" t="n">
        <x:v>1.0371666666666668</x:v>
      </x:c>
      <x:c r="F440" s="12" t="n">
        <x:v>0</x:v>
      </x:c>
      <x:c r="G440" s="12" t="n">
        <x:v>0</x:v>
      </x:c>
      <x:c r="H440" s="1" t="n">
        <x:f>'Historical prices'!E440</x:f>
        <x:v>1.05</x:v>
      </x:c>
      <x:c r="I440" s="6" t="n">
        <x:f>'Historical prices'!D440</x:f>
        <x:v>0.2226</x:v>
      </x:c>
      <x:c r="J440" s="13" t="n">
        <x:f>D440*I440*H440</x:f>
        <x:v>0.24241696500000004</x:v>
      </x:c>
      <x:c r="K440" s="13" t="n">
        <x:f>E440*I440*H440</x:f>
        <x:v>0.24241696500000004</x:v>
      </x:c>
      <x:c r="L440" s="1" t="str">
        <x:f>TEXT(A440,"mmm yyyy")</x:f>
        <x:v>May 2026</x:v>
      </x:c>
    </x:row>
    <x:row r="441" ht="21" customHeight="1">
      <x:c r="A441" s="10" t="n">
        <x:v>46157</x:v>
      </x:c>
      <x:c r="B441" s="1" t="n">
        <x:v>16.5</x:v>
      </x:c>
      <x:c r="C441" s="1" t="n">
        <x:v>6</x:v>
      </x:c>
      <x:c r="D441" s="12" t="n">
        <x:v>1.7997499999999997</x:v>
      </x:c>
      <x:c r="E441" s="12" t="n">
        <x:v>1.79975</x:v>
      </x:c>
      <x:c r="F441" s="12" t="n">
        <x:v>0</x:v>
      </x:c>
      <x:c r="G441" s="12" t="n">
        <x:v>0</x:v>
      </x:c>
      <x:c r="H441" s="1" t="n">
        <x:f>'Historical prices'!E441</x:f>
        <x:v>1.05</x:v>
      </x:c>
      <x:c r="I441" s="6" t="n">
        <x:f>'Historical prices'!D441</x:f>
        <x:v>0.2226</x:v>
      </x:c>
      <x:c r="J441" s="13" t="n">
        <x:f>D441*I441*H441</x:f>
        <x:v>0.42065556749999994</x:v>
      </x:c>
      <x:c r="K441" s="13" t="n">
        <x:f>E441*I441*H441</x:f>
        <x:v>0.4206555675</x:v>
      </x:c>
      <x:c r="L441" s="1" t="str">
        <x:f>TEXT(A441,"mmm yyyy")</x:f>
        <x:v>May 2026</x:v>
      </x:c>
    </x:row>
    <x:row r="442" ht="21" customHeight="1">
      <x:c r="A442" s="10" t="n">
        <x:v>46157</x:v>
      </x:c>
      <x:c r="B442" s="1" t="n">
        <x:v>17</x:v>
      </x:c>
      <x:c r="C442" s="1" t="n">
        <x:v>6</x:v>
      </x:c>
      <x:c r="D442" s="12" t="n">
        <x:v>0.5993333333333333</x:v>
      </x:c>
      <x:c r="E442" s="12" t="n">
        <x:v>0.6013333333333333</x:v>
      </x:c>
      <x:c r="F442" s="12" t="n">
        <x:v>0</x:v>
      </x:c>
      <x:c r="G442" s="12" t="n">
        <x:v>0</x:v>
      </x:c>
      <x:c r="H442" s="1" t="n">
        <x:f>'Historical prices'!E442</x:f>
        <x:v>1.05</x:v>
      </x:c>
      <x:c r="I442" s="6" t="n">
        <x:f>'Historical prices'!D442</x:f>
        <x:v>0.2226</x:v>
      </x:c>
      <x:c r="J442" s="13" t="n">
        <x:f>D442*I442*H442</x:f>
        <x:v>0.14008218</x:v>
      </x:c>
      <x:c r="K442" s="13" t="n">
        <x:f>E442*I442*H442</x:f>
        <x:v>0.14054963999999998</x:v>
      </x:c>
      <x:c r="L442" s="1" t="str">
        <x:f>TEXT(A442,"mmm yyyy")</x:f>
        <x:v>May 2026</x:v>
      </x:c>
    </x:row>
    <x:row r="443" ht="21" customHeight="1">
      <x:c r="A443" s="10" t="n">
        <x:v>46157</x:v>
      </x:c>
      <x:c r="B443" s="1" t="n">
        <x:v>17.5</x:v>
      </x:c>
      <x:c r="C443" s="1" t="n">
        <x:v>6</x:v>
      </x:c>
      <x:c r="D443" s="12" t="n">
        <x:v>0.42641666666666667</x:v>
      </x:c>
      <x:c r="E443" s="12" t="n">
        <x:v>0.42541666666666667</x:v>
      </x:c>
      <x:c r="F443" s="12" t="n">
        <x:v>0</x:v>
      </x:c>
      <x:c r="G443" s="12" t="n">
        <x:v>0</x:v>
      </x:c>
      <x:c r="H443" s="1" t="n">
        <x:f>'Historical prices'!E443</x:f>
        <x:v>1.05</x:v>
      </x:c>
      <x:c r="I443" s="6" t="n">
        <x:f>'Historical prices'!D443</x:f>
        <x:v>0.2226</x:v>
      </x:c>
      <x:c r="J443" s="13" t="n">
        <x:f>D443*I443*H443</x:f>
        <x:v>0.0996663675</x:v>
      </x:c>
      <x:c r="K443" s="13" t="n">
        <x:f>E443*I443*H443</x:f>
        <x:v>0.0994326375</x:v>
      </x:c>
      <x:c r="L443" s="1" t="str">
        <x:f>TEXT(A443,"mmm yyyy")</x:f>
        <x:v>May 2026</x:v>
      </x:c>
    </x:row>
    <x:row r="444" ht="21" customHeight="1">
      <x:c r="A444" s="10" t="n">
        <x:v>46157</x:v>
      </x:c>
      <x:c r="B444" s="1" t="n">
        <x:v>18</x:v>
      </x:c>
      <x:c r="C444" s="1" t="n">
        <x:v>6</x:v>
      </x:c>
      <x:c r="D444" s="12" t="n">
        <x:v>0.41633333333333333</x:v>
      </x:c>
      <x:c r="E444" s="12" t="n">
        <x:v>0.41733333333333333</x:v>
      </x:c>
      <x:c r="F444" s="12" t="n">
        <x:v>0</x:v>
      </x:c>
      <x:c r="G444" s="12" t="n">
        <x:v>0</x:v>
      </x:c>
      <x:c r="H444" s="1" t="n">
        <x:f>'Historical prices'!E444</x:f>
        <x:v>1.05</x:v>
      </x:c>
      <x:c r="I444" s="6" t="n">
        <x:f>'Historical prices'!D444</x:f>
        <x:v>0.2226</x:v>
      </x:c>
      <x:c r="J444" s="13" t="n">
        <x:f>D444*I444*H444</x:f>
        <x:v>0.09730959</x:v>
      </x:c>
      <x:c r="K444" s="13" t="n">
        <x:f>E444*I444*H444</x:f>
        <x:v>0.09754331999999999</x:v>
      </x:c>
      <x:c r="L444" s="1" t="str">
        <x:f>TEXT(A444,"mmm yyyy")</x:f>
        <x:v>May 2026</x:v>
      </x:c>
    </x:row>
    <x:row r="445" ht="21" customHeight="1">
      <x:c r="A445" s="10" t="n">
        <x:v>46157</x:v>
      </x:c>
      <x:c r="B445" s="1" t="n">
        <x:v>18.5</x:v>
      </x:c>
      <x:c r="C445" s="1" t="n">
        <x:v>6</x:v>
      </x:c>
      <x:c r="D445" s="12" t="n">
        <x:v>0.43266666666666664</x:v>
      </x:c>
      <x:c r="E445" s="12" t="n">
        <x:v>0.43266666666666664</x:v>
      </x:c>
      <x:c r="F445" s="12" t="n">
        <x:v>0</x:v>
      </x:c>
      <x:c r="G445" s="12" t="n">
        <x:v>0</x:v>
      </x:c>
      <x:c r="H445" s="1" t="n">
        <x:f>'Historical prices'!E445</x:f>
        <x:v>1.05</x:v>
      </x:c>
      <x:c r="I445" s="6" t="n">
        <x:f>'Historical prices'!D445</x:f>
        <x:v>0.2226</x:v>
      </x:c>
      <x:c r="J445" s="13" t="n">
        <x:f>D445*I445*H445</x:f>
        <x:v>0.10112718</x:v>
      </x:c>
      <x:c r="K445" s="13" t="n">
        <x:f>E445*I445*H445</x:f>
        <x:v>0.10112718</x:v>
      </x:c>
      <x:c r="L445" s="1" t="str">
        <x:f>TEXT(A445,"mmm yyyy")</x:f>
        <x:v>May 2026</x:v>
      </x:c>
    </x:row>
    <x:row r="446" ht="21" customHeight="1">
      <x:c r="A446" s="10" t="n">
        <x:v>46157</x:v>
      </x:c>
      <x:c r="B446" s="1" t="n">
        <x:v>19</x:v>
      </x:c>
      <x:c r="C446" s="1" t="n">
        <x:v>6</x:v>
      </x:c>
      <x:c r="D446" s="12" t="n">
        <x:v>0.6948333333333332</x:v>
      </x:c>
      <x:c r="E446" s="12" t="n">
        <x:v>0.6948333333333334</x:v>
      </x:c>
      <x:c r="F446" s="12" t="n">
        <x:v>0</x:v>
      </x:c>
      <x:c r="G446" s="12" t="n">
        <x:v>0</x:v>
      </x:c>
      <x:c r="H446" s="1" t="n">
        <x:f>'Historical prices'!E446</x:f>
        <x:v>1.05</x:v>
      </x:c>
      <x:c r="I446" s="6" t="n">
        <x:f>'Historical prices'!D446</x:f>
        <x:v>0.2226</x:v>
      </x:c>
      <x:c r="J446" s="13" t="n">
        <x:f>D446*I446*H446</x:f>
        <x:v>0.16240339499999998</x:v>
      </x:c>
      <x:c r="K446" s="13" t="n">
        <x:f>E446*I446*H446</x:f>
        <x:v>0.162403395</x:v>
      </x:c>
      <x:c r="L446" s="1" t="str">
        <x:f>TEXT(A446,"mmm yyyy")</x:f>
        <x:v>May 2026</x:v>
      </x:c>
    </x:row>
    <x:row r="447" ht="21" customHeight="1">
      <x:c r="A447" s="10" t="n">
        <x:v>46157</x:v>
      </x:c>
      <x:c r="B447" s="1" t="n">
        <x:v>19.5</x:v>
      </x:c>
      <x:c r="C447" s="1" t="n">
        <x:v>6</x:v>
      </x:c>
      <x:c r="D447" s="12" t="n">
        <x:v>0.4248333333333333</x:v>
      </x:c>
      <x:c r="E447" s="12" t="n">
        <x:v>0.4258333333333333</x:v>
      </x:c>
      <x:c r="F447" s="12" t="n">
        <x:v>0</x:v>
      </x:c>
      <x:c r="G447" s="12" t="n">
        <x:v>0</x:v>
      </x:c>
      <x:c r="H447" s="1" t="n">
        <x:f>'Historical prices'!E447</x:f>
        <x:v>1.05</x:v>
      </x:c>
      <x:c r="I447" s="6" t="n">
        <x:f>'Historical prices'!D447</x:f>
        <x:v>0.2226</x:v>
      </x:c>
      <x:c r="J447" s="13" t="n">
        <x:f>D447*I447*H447</x:f>
        <x:v>0.09929629499999999</x:v>
      </x:c>
      <x:c r="K447" s="13" t="n">
        <x:f>E447*I447*H447</x:f>
        <x:v>0.099530025</x:v>
      </x:c>
      <x:c r="L447" s="1" t="str">
        <x:f>TEXT(A447,"mmm yyyy")</x:f>
        <x:v>May 2026</x:v>
      </x:c>
    </x:row>
    <x:row r="448" ht="21" customHeight="1">
      <x:c r="A448" s="10" t="n">
        <x:v>46157</x:v>
      </x:c>
      <x:c r="B448" s="1" t="n">
        <x:v>20</x:v>
      </x:c>
      <x:c r="C448" s="1" t="n">
        <x:v>6</x:v>
      </x:c>
      <x:c r="D448" s="12" t="n">
        <x:v>0.51275</x:v>
      </x:c>
      <x:c r="E448" s="12" t="n">
        <x:v>0.51275</x:v>
      </x:c>
      <x:c r="F448" s="12" t="n">
        <x:v>0</x:v>
      </x:c>
      <x:c r="G448" s="12" t="n">
        <x:v>0</x:v>
      </x:c>
      <x:c r="H448" s="1" t="n">
        <x:f>'Historical prices'!E448</x:f>
        <x:v>1.05</x:v>
      </x:c>
      <x:c r="I448" s="6" t="n">
        <x:f>'Historical prices'!D448</x:f>
        <x:v>0.2226</x:v>
      </x:c>
      <x:c r="J448" s="13" t="n">
        <x:f>D448*I448*H448</x:f>
        <x:v>0.11984505750000002</x:v>
      </x:c>
      <x:c r="K448" s="13" t="n">
        <x:f>E448*I448*H448</x:f>
        <x:v>0.11984505750000002</x:v>
      </x:c>
      <x:c r="L448" s="1" t="str">
        <x:f>TEXT(A448,"mmm yyyy")</x:f>
        <x:v>May 2026</x:v>
      </x:c>
    </x:row>
    <x:row r="449" ht="21" customHeight="1">
      <x:c r="A449" s="10" t="n">
        <x:v>46157</x:v>
      </x:c>
      <x:c r="B449" s="1" t="n">
        <x:v>20.5</x:v>
      </x:c>
      <x:c r="C449" s="1" t="n">
        <x:v>6</x:v>
      </x:c>
      <x:c r="D449" s="12" t="n">
        <x:v>0.4666666666666667</x:v>
      </x:c>
      <x:c r="E449" s="12" t="n">
        <x:v>0.4676666666666667</x:v>
      </x:c>
      <x:c r="F449" s="12" t="n">
        <x:v>0</x:v>
      </x:c>
      <x:c r="G449" s="12" t="n">
        <x:v>0</x:v>
      </x:c>
      <x:c r="H449" s="1" t="n">
        <x:f>'Historical prices'!E449</x:f>
        <x:v>1.05</x:v>
      </x:c>
      <x:c r="I449" s="6" t="n">
        <x:f>'Historical prices'!D449</x:f>
        <x:v>0.2226</x:v>
      </x:c>
      <x:c r="J449" s="13" t="n">
        <x:f>D449*I449*H449</x:f>
        <x:v>0.109074</x:v>
      </x:c>
      <x:c r="K449" s="13" t="n">
        <x:f>E449*I449*H449</x:f>
        <x:v>0.10930773</x:v>
      </x:c>
      <x:c r="L449" s="1" t="str">
        <x:f>TEXT(A449,"mmm yyyy")</x:f>
        <x:v>May 2026</x:v>
      </x:c>
    </x:row>
    <x:row r="450" ht="21" customHeight="1">
      <x:c r="A450" s="10" t="n">
        <x:v>46157</x:v>
      </x:c>
      <x:c r="B450" s="1" t="n">
        <x:v>21</x:v>
      </x:c>
      <x:c r="C450" s="1" t="n">
        <x:v>6</x:v>
      </x:c>
      <x:c r="D450" s="12" t="n">
        <x:v>0.8315833333333333</x:v>
      </x:c>
      <x:c r="E450" s="12" t="n">
        <x:v>0.8315833333333333</x:v>
      </x:c>
      <x:c r="F450" s="12" t="n">
        <x:v>0</x:v>
      </x:c>
      <x:c r="G450" s="12" t="n">
        <x:v>0</x:v>
      </x:c>
      <x:c r="H450" s="1" t="n">
        <x:f>'Historical prices'!E450</x:f>
        <x:v>1.05</x:v>
      </x:c>
      <x:c r="I450" s="6" t="n">
        <x:f>'Historical prices'!D450</x:f>
        <x:v>0.2226</x:v>
      </x:c>
      <x:c r="J450" s="13" t="n">
        <x:f>D450*I450*H450</x:f>
        <x:v>0.19436597249999998</x:v>
      </x:c>
      <x:c r="K450" s="13" t="n">
        <x:f>E450*I450*H450</x:f>
        <x:v>0.19436597249999998</x:v>
      </x:c>
      <x:c r="L450" s="1" t="str">
        <x:f>TEXT(A450,"mmm yyyy")</x:f>
        <x:v>May 2026</x:v>
      </x:c>
    </x:row>
    <x:row r="451" ht="21" customHeight="1">
      <x:c r="A451" s="10" t="n">
        <x:v>46157</x:v>
      </x:c>
      <x:c r="B451" s="1" t="n">
        <x:v>21.5</x:v>
      </x:c>
      <x:c r="C451" s="1" t="n">
        <x:v>6</x:v>
      </x:c>
      <x:c r="D451" s="12" t="n">
        <x:v>0.4515833333333334</x:v>
      </x:c>
      <x:c r="E451" s="12" t="n">
        <x:v>0.4525833333333334</x:v>
      </x:c>
      <x:c r="F451" s="12" t="n">
        <x:v>0</x:v>
      </x:c>
      <x:c r="G451" s="12" t="n">
        <x:v>0</x:v>
      </x:c>
      <x:c r="H451" s="1" t="n">
        <x:f>'Historical prices'!E451</x:f>
        <x:v>1.05</x:v>
      </x:c>
      <x:c r="I451" s="6" t="n">
        <x:f>'Historical prices'!D451</x:f>
        <x:v>0.2226</x:v>
      </x:c>
      <x:c r="J451" s="13" t="n">
        <x:f>D451*I451*H451</x:f>
        <x:v>0.10554857250000002</x:v>
      </x:c>
      <x:c r="K451" s="13" t="n">
        <x:f>E451*I451*H451</x:f>
        <x:v>0.10578230250000002</x:v>
      </x:c>
      <x:c r="L451" s="1" t="str">
        <x:f>TEXT(A451,"mmm yyyy")</x:f>
        <x:v>May 2026</x:v>
      </x:c>
    </x:row>
    <x:row r="452" ht="21" customHeight="1">
      <x:c r="A452" s="10" t="n">
        <x:v>46157</x:v>
      </x:c>
      <x:c r="B452" s="1" t="n">
        <x:v>22</x:v>
      </x:c>
      <x:c r="C452" s="1" t="n">
        <x:v>6</x:v>
      </x:c>
      <x:c r="D452" s="12" t="n">
        <x:v>0.29</x:v>
      </x:c>
      <x:c r="E452" s="12" t="n">
        <x:v>0.29</x:v>
      </x:c>
      <x:c r="F452" s="12" t="n">
        <x:v>0</x:v>
      </x:c>
      <x:c r="G452" s="12" t="n">
        <x:v>0</x:v>
      </x:c>
      <x:c r="H452" s="1" t="n">
        <x:f>'Historical prices'!E452</x:f>
        <x:v>1.05</x:v>
      </x:c>
      <x:c r="I452" s="6" t="n">
        <x:f>'Historical prices'!D452</x:f>
        <x:v>0.2226</x:v>
      </x:c>
      <x:c r="J452" s="13" t="n">
        <x:f>D452*I452*H452</x:f>
        <x:v>0.06778169999999999</x:v>
      </x:c>
      <x:c r="K452" s="13" t="n">
        <x:f>E452*I452*H452</x:f>
        <x:v>0.06778169999999999</x:v>
      </x:c>
      <x:c r="L452" s="1" t="str">
        <x:f>TEXT(A452,"mmm yyyy")</x:f>
        <x:v>May 2026</x:v>
      </x:c>
    </x:row>
    <x:row r="453" ht="21" customHeight="1">
      <x:c r="A453" s="10" t="n">
        <x:v>46157</x:v>
      </x:c>
      <x:c r="B453" s="1" t="n">
        <x:v>22.5</x:v>
      </x:c>
      <x:c r="C453" s="1" t="n">
        <x:v>6</x:v>
      </x:c>
      <x:c r="D453" s="12" t="n">
        <x:v>0.23483333333333334</x:v>
      </x:c>
      <x:c r="E453" s="12" t="n">
        <x:v>0.23583333333333334</x:v>
      </x:c>
      <x:c r="F453" s="12" t="n">
        <x:v>0</x:v>
      </x:c>
      <x:c r="G453" s="12" t="n">
        <x:v>0</x:v>
      </x:c>
      <x:c r="H453" s="1" t="n">
        <x:f>'Historical prices'!E453</x:f>
        <x:v>1.05</x:v>
      </x:c>
      <x:c r="I453" s="6" t="n">
        <x:f>'Historical prices'!D453</x:f>
        <x:v>0.2226</x:v>
      </x:c>
      <x:c r="J453" s="13" t="n">
        <x:f>D453*I453*H453</x:f>
        <x:v>0.054887595</x:v>
      </x:c>
      <x:c r="K453" s="13" t="n">
        <x:f>E453*I453*H453</x:f>
        <x:v>0.055121325000000006</x:v>
      </x:c>
      <x:c r="L453" s="1" t="str">
        <x:f>TEXT(A453,"mmm yyyy")</x:f>
        <x:v>May 2026</x:v>
      </x:c>
    </x:row>
    <x:row r="454" ht="21" customHeight="1">
      <x:c r="A454" s="10" t="n">
        <x:v>46157</x:v>
      </x:c>
      <x:c r="B454" s="1" t="n">
        <x:v>23</x:v>
      </x:c>
      <x:c r="C454" s="1" t="n">
        <x:v>6</x:v>
      </x:c>
      <x:c r="D454" s="12" t="n">
        <x:v>0.25325</x:v>
      </x:c>
      <x:c r="E454" s="12" t="n">
        <x:v>0.25325</x:v>
      </x:c>
      <x:c r="F454" s="12" t="n">
        <x:v>0</x:v>
      </x:c>
      <x:c r="G454" s="12" t="n">
        <x:v>0</x:v>
      </x:c>
      <x:c r="H454" s="1" t="n">
        <x:f>'Historical prices'!E454</x:f>
        <x:v>1.05</x:v>
      </x:c>
      <x:c r="I454" s="6" t="n">
        <x:f>'Historical prices'!D454</x:f>
        <x:v>0.2226</x:v>
      </x:c>
      <x:c r="J454" s="13" t="n">
        <x:f>D454*I454*H454</x:f>
        <x:v>0.05919212249999999</x:v>
      </x:c>
      <x:c r="K454" s="13" t="n">
        <x:f>E454*I454*H454</x:f>
        <x:v>0.05919212249999999</x:v>
      </x:c>
      <x:c r="L454" s="1" t="str">
        <x:f>TEXT(A454,"mmm yyyy")</x:f>
        <x:v>May 2026</x:v>
      </x:c>
    </x:row>
    <x:row r="455" ht="21" customHeight="1">
      <x:c r="A455" s="10" t="n">
        <x:v>46157</x:v>
      </x:c>
      <x:c r="B455" s="1" t="n">
        <x:v>23.5</x:v>
      </x:c>
      <x:c r="C455" s="1" t="n">
        <x:v>6</x:v>
      </x:c>
      <x:c r="D455" s="12" t="n">
        <x:v>0.2645</x:v>
      </x:c>
      <x:c r="E455" s="12" t="n">
        <x:v>0.2655</x:v>
      </x:c>
      <x:c r="F455" s="12" t="n">
        <x:v>0</x:v>
      </x:c>
      <x:c r="G455" s="12" t="n">
        <x:v>0</x:v>
      </x:c>
      <x:c r="H455" s="1" t="n">
        <x:f>'Historical prices'!E455</x:f>
        <x:v>1.05</x:v>
      </x:c>
      <x:c r="I455" s="6" t="n">
        <x:f>'Historical prices'!D455</x:f>
        <x:v>0.2226</x:v>
      </x:c>
      <x:c r="J455" s="13" t="n">
        <x:f>D455*I455*H455</x:f>
        <x:v>0.061821585</x:v>
      </x:c>
      <x:c r="K455" s="13" t="n">
        <x:f>E455*I455*H455</x:f>
        <x:v>0.06205531500000001</x:v>
      </x:c>
      <x:c r="L455" s="1" t="str">
        <x:f>TEXT(A455,"mmm yyyy")</x:f>
        <x:v>May 2026</x:v>
      </x:c>
    </x:row>
    <x:row r="456" ht="21" customHeight="1">
      <x:c r="A456" s="10" t="n">
        <x:v>46158</x:v>
      </x:c>
      <x:c r="B456" s="1" t="n">
        <x:v>0</x:v>
      </x:c>
      <x:c r="C456" s="1" t="n">
        <x:v>6</x:v>
      </x:c>
      <x:c r="D456" s="12" t="n">
        <x:v>0.25799999999999995</x:v>
      </x:c>
      <x:c r="E456" s="12" t="n">
        <x:v>0.25799999999999995</x:v>
      </x:c>
      <x:c r="F456" s="12" t="n">
        <x:v>0</x:v>
      </x:c>
      <x:c r="G456" s="12" t="n">
        <x:v>0</x:v>
      </x:c>
      <x:c r="H456" s="1" t="n">
        <x:f>'Historical prices'!E456</x:f>
        <x:v>1.05</x:v>
      </x:c>
      <x:c r="I456" s="6" t="n">
        <x:f>'Historical prices'!D456</x:f>
        <x:v>0.2226</x:v>
      </x:c>
      <x:c r="J456" s="13" t="n">
        <x:f>D456*I456*H456</x:f>
        <x:v>0.06030233999999999</x:v>
      </x:c>
      <x:c r="K456" s="13" t="n">
        <x:f>E456*I456*H456</x:f>
        <x:v>0.06030233999999999</x:v>
      </x:c>
      <x:c r="L456" s="1" t="str">
        <x:f>TEXT(A456,"mmm yyyy")</x:f>
        <x:v>May 2026</x:v>
      </x:c>
    </x:row>
    <x:row r="457" ht="21" customHeight="1">
      <x:c r="A457" s="10" t="n">
        <x:v>46158</x:v>
      </x:c>
      <x:c r="B457" s="1" t="n">
        <x:v>0.5</x:v>
      </x:c>
      <x:c r="C457" s="1" t="n">
        <x:v>6</x:v>
      </x:c>
      <x:c r="D457" s="12" t="n">
        <x:v>0.32216666666666666</x:v>
      </x:c>
      <x:c r="E457" s="12" t="n">
        <x:v>0.32416666666666666</x:v>
      </x:c>
      <x:c r="F457" s="12" t="n">
        <x:v>0</x:v>
      </x:c>
      <x:c r="G457" s="12" t="n">
        <x:v>0</x:v>
      </x:c>
      <x:c r="H457" s="1" t="n">
        <x:f>'Historical prices'!E457</x:f>
        <x:v>1.05</x:v>
      </x:c>
      <x:c r="I457" s="6" t="n">
        <x:f>'Historical prices'!D457</x:f>
        <x:v>0.2226</x:v>
      </x:c>
      <x:c r="J457" s="13" t="n">
        <x:f>D457*I457*H457</x:f>
        <x:v>0.075300015</x:v>
      </x:c>
      <x:c r="K457" s="13" t="n">
        <x:f>E457*I457*H457</x:f>
        <x:v>0.075767475</x:v>
      </x:c>
      <x:c r="L457" s="1" t="str">
        <x:f>TEXT(A457,"mmm yyyy")</x:f>
        <x:v>May 2026</x:v>
      </x:c>
    </x:row>
    <x:row r="458" ht="21" customHeight="1">
      <x:c r="A458" s="10" t="n">
        <x:v>46158</x:v>
      </x:c>
      <x:c r="B458" s="1" t="n">
        <x:v>1</x:v>
      </x:c>
      <x:c r="C458" s="1" t="n">
        <x:v>6</x:v>
      </x:c>
      <x:c r="D458" s="12" t="n">
        <x:v>0.3050833333333334</x:v>
      </x:c>
      <x:c r="E458" s="12" t="n">
        <x:v>0.3050833333333334</x:v>
      </x:c>
      <x:c r="F458" s="12" t="n">
        <x:v>0</x:v>
      </x:c>
      <x:c r="G458" s="12" t="n">
        <x:v>0</x:v>
      </x:c>
      <x:c r="H458" s="1" t="n">
        <x:f>'Historical prices'!E458</x:f>
        <x:v>1.05</x:v>
      </x:c>
      <x:c r="I458" s="6" t="n">
        <x:f>'Historical prices'!D458</x:f>
        <x:v>0.2226</x:v>
      </x:c>
      <x:c r="J458" s="13" t="n">
        <x:f>D458*I458*H458</x:f>
        <x:v>0.0713071275</x:v>
      </x:c>
      <x:c r="K458" s="13" t="n">
        <x:f>E458*I458*H458</x:f>
        <x:v>0.0713071275</x:v>
      </x:c>
      <x:c r="L458" s="1" t="str">
        <x:f>TEXT(A458,"mmm yyyy")</x:f>
        <x:v>May 2026</x:v>
      </x:c>
    </x:row>
    <x:row r="459" ht="21" customHeight="1">
      <x:c r="A459" s="10" t="n">
        <x:v>46158</x:v>
      </x:c>
      <x:c r="B459" s="1" t="n">
        <x:v>1.5</x:v>
      </x:c>
      <x:c r="C459" s="1" t="n">
        <x:v>6</x:v>
      </x:c>
      <x:c r="D459" s="12" t="n">
        <x:v>0.2391666666666667</x:v>
      </x:c>
      <x:c r="E459" s="12" t="n">
        <x:v>0.2401666666666667</x:v>
      </x:c>
      <x:c r="F459" s="12" t="n">
        <x:v>0</x:v>
      </x:c>
      <x:c r="G459" s="12" t="n">
        <x:v>0</x:v>
      </x:c>
      <x:c r="H459" s="1" t="n">
        <x:f>'Historical prices'!E459</x:f>
        <x:v>1.05</x:v>
      </x:c>
      <x:c r="I459" s="6" t="n">
        <x:f>'Historical prices'!D459</x:f>
        <x:v>0.2226</x:v>
      </x:c>
      <x:c r="J459" s="13" t="n">
        <x:f>D459*I459*H459</x:f>
        <x:v>0.055900425000000004</x:v>
      </x:c>
      <x:c r="K459" s="13" t="n">
        <x:f>E459*I459*H459</x:f>
        <x:v>0.056134155000000005</x:v>
      </x:c>
      <x:c r="L459" s="1" t="str">
        <x:f>TEXT(A459,"mmm yyyy")</x:f>
        <x:v>May 2026</x:v>
      </x:c>
    </x:row>
    <x:row r="460" ht="21" customHeight="1">
      <x:c r="A460" s="10" t="n">
        <x:v>46158</x:v>
      </x:c>
      <x:c r="B460" s="1" t="n">
        <x:v>2</x:v>
      </x:c>
      <x:c r="C460" s="1" t="n">
        <x:v>6</x:v>
      </x:c>
      <x:c r="D460" s="12" t="n">
        <x:v>0.2040833333333333</x:v>
      </x:c>
      <x:c r="E460" s="12" t="n">
        <x:v>0.2040833333333333</x:v>
      </x:c>
      <x:c r="F460" s="12" t="n">
        <x:v>0</x:v>
      </x:c>
      <x:c r="G460" s="12" t="n">
        <x:v>0</x:v>
      </x:c>
      <x:c r="H460" s="1" t="n">
        <x:f>'Historical prices'!E460</x:f>
        <x:v>1.05</x:v>
      </x:c>
      <x:c r="I460" s="6" t="n">
        <x:f>'Historical prices'!D460</x:f>
        <x:v>0.2226</x:v>
      </x:c>
      <x:c r="J460" s="13" t="n">
        <x:f>D460*I460*H460</x:f>
        <x:v>0.0477003975</x:v>
      </x:c>
      <x:c r="K460" s="13" t="n">
        <x:f>E460*I460*H460</x:f>
        <x:v>0.0477003975</x:v>
      </x:c>
      <x:c r="L460" s="1" t="str">
        <x:f>TEXT(A460,"mmm yyyy")</x:f>
        <x:v>May 2026</x:v>
      </x:c>
    </x:row>
    <x:row r="461" ht="21" customHeight="1">
      <x:c r="A461" s="10" t="n">
        <x:v>46158</x:v>
      </x:c>
      <x:c r="B461" s="1" t="n">
        <x:v>2.5</x:v>
      </x:c>
      <x:c r="C461" s="1" t="n">
        <x:v>6</x:v>
      </x:c>
      <x:c r="D461" s="12" t="n">
        <x:v>0.20525</x:v>
      </x:c>
      <x:c r="E461" s="12" t="n">
        <x:v>0.20725</x:v>
      </x:c>
      <x:c r="F461" s="12" t="n">
        <x:v>0</x:v>
      </x:c>
      <x:c r="G461" s="12" t="n">
        <x:v>0</x:v>
      </x:c>
      <x:c r="H461" s="1" t="n">
        <x:f>'Historical prices'!E461</x:f>
        <x:v>1.05</x:v>
      </x:c>
      <x:c r="I461" s="6" t="n">
        <x:f>'Historical prices'!D461</x:f>
        <x:v>0.2226</x:v>
      </x:c>
      <x:c r="J461" s="13" t="n">
        <x:f>D461*I461*H461</x:f>
        <x:v>0.0479730825</x:v>
      </x:c>
      <x:c r="K461" s="13" t="n">
        <x:f>E461*I461*H461</x:f>
        <x:v>0.048440542499999996</x:v>
      </x:c>
      <x:c r="L461" s="1" t="str">
        <x:f>TEXT(A461,"mmm yyyy")</x:f>
        <x:v>May 2026</x:v>
      </x:c>
    </x:row>
    <x:row r="462" ht="21" customHeight="1">
      <x:c r="A462" s="10" t="n">
        <x:v>46158</x:v>
      </x:c>
      <x:c r="B462" s="1" t="n">
        <x:v>3</x:v>
      </x:c>
      <x:c r="C462" s="1" t="n">
        <x:v>6</x:v>
      </x:c>
      <x:c r="D462" s="12" t="n">
        <x:v>0.2263333333333333</x:v>
      </x:c>
      <x:c r="E462" s="12" t="n">
        <x:v>0.2253333333333333</x:v>
      </x:c>
      <x:c r="F462" s="12" t="n">
        <x:v>0</x:v>
      </x:c>
      <x:c r="G462" s="12" t="n">
        <x:v>0</x:v>
      </x:c>
      <x:c r="H462" s="1" t="n">
        <x:f>'Historical prices'!E462</x:f>
        <x:v>1.05</x:v>
      </x:c>
      <x:c r="I462" s="6" t="n">
        <x:f>'Historical prices'!D462</x:f>
        <x:v>0.2226</x:v>
      </x:c>
      <x:c r="J462" s="13" t="n">
        <x:f>D462*I462*H462</x:f>
        <x:v>0.05290088999999999</x:v>
      </x:c>
      <x:c r="K462" s="13" t="n">
        <x:f>E462*I462*H462</x:f>
        <x:v>0.05266716</x:v>
      </x:c>
      <x:c r="L462" s="1" t="str">
        <x:f>TEXT(A462,"mmm yyyy")</x:f>
        <x:v>May 2026</x:v>
      </x:c>
    </x:row>
    <x:row r="463" ht="21" customHeight="1">
      <x:c r="A463" s="10" t="n">
        <x:v>46158</x:v>
      </x:c>
      <x:c r="B463" s="1" t="n">
        <x:v>3.5</x:v>
      </x:c>
      <x:c r="C463" s="1" t="n">
        <x:v>6</x:v>
      </x:c>
      <x:c r="D463" s="12" t="n">
        <x:v>0.19949999999999998</x:v>
      </x:c>
      <x:c r="E463" s="12" t="n">
        <x:v>0.20049999999999996</x:v>
      </x:c>
      <x:c r="F463" s="12" t="n">
        <x:v>0</x:v>
      </x:c>
      <x:c r="G463" s="12" t="n">
        <x:v>0</x:v>
      </x:c>
      <x:c r="H463" s="1" t="n">
        <x:f>'Historical prices'!E463</x:f>
        <x:v>1.05</x:v>
      </x:c>
      <x:c r="I463" s="6" t="n">
        <x:f>'Historical prices'!D463</x:f>
        <x:v>0.2226</x:v>
      </x:c>
      <x:c r="J463" s="13" t="n">
        <x:f>D463*I463*H463</x:f>
        <x:v>0.046629134999999995</x:v>
      </x:c>
      <x:c r="K463" s="13" t="n">
        <x:f>E463*I463*H463</x:f>
        <x:v>0.046862865</x:v>
      </x:c>
      <x:c r="L463" s="1" t="str">
        <x:f>TEXT(A463,"mmm yyyy")</x:f>
        <x:v>May 2026</x:v>
      </x:c>
    </x:row>
    <x:row r="464" ht="21" customHeight="1">
      <x:c r="A464" s="10" t="n">
        <x:v>46158</x:v>
      </x:c>
      <x:c r="B464" s="1" t="n">
        <x:v>4</x:v>
      </x:c>
      <x:c r="C464" s="1" t="n">
        <x:v>6</x:v>
      </x:c>
      <x:c r="D464" s="12" t="n">
        <x:v>0.2916666666666667</x:v>
      </x:c>
      <x:c r="E464" s="12" t="n">
        <x:v>0.2916666666666667</x:v>
      </x:c>
      <x:c r="F464" s="12" t="n">
        <x:v>0</x:v>
      </x:c>
      <x:c r="G464" s="12" t="n">
        <x:v>0</x:v>
      </x:c>
      <x:c r="H464" s="1" t="n">
        <x:f>'Historical prices'!E464</x:f>
        <x:v>1.05</x:v>
      </x:c>
      <x:c r="I464" s="6" t="n">
        <x:f>'Historical prices'!D464</x:f>
        <x:v>0.2226</x:v>
      </x:c>
      <x:c r="J464" s="13" t="n">
        <x:f>D464*I464*H464</x:f>
        <x:v>0.06817125</x:v>
      </x:c>
      <x:c r="K464" s="13" t="n">
        <x:f>E464*I464*H464</x:f>
        <x:v>0.06817125</x:v>
      </x:c>
      <x:c r="L464" s="1" t="str">
        <x:f>TEXT(A464,"mmm yyyy")</x:f>
        <x:v>May 2026</x:v>
      </x:c>
    </x:row>
    <x:row r="465" ht="21" customHeight="1">
      <x:c r="A465" s="10" t="n">
        <x:v>46158</x:v>
      </x:c>
      <x:c r="B465" s="1" t="n">
        <x:v>4.5</x:v>
      </x:c>
      <x:c r="C465" s="1" t="n">
        <x:v>6</x:v>
      </x:c>
      <x:c r="D465" s="12" t="n">
        <x:v>0.30291666666666667</x:v>
      </x:c>
      <x:c r="E465" s="12" t="n">
        <x:v>0.30491666666666667</x:v>
      </x:c>
      <x:c r="F465" s="12" t="n">
        <x:v>0</x:v>
      </x:c>
      <x:c r="G465" s="12" t="n">
        <x:v>0</x:v>
      </x:c>
      <x:c r="H465" s="1" t="n">
        <x:f>'Historical prices'!E465</x:f>
        <x:v>1.05</x:v>
      </x:c>
      <x:c r="I465" s="6" t="n">
        <x:f>'Historical prices'!D465</x:f>
        <x:v>0.2226</x:v>
      </x:c>
      <x:c r="J465" s="13" t="n">
        <x:f>D465*I465*H465</x:f>
        <x:v>0.0708007125</x:v>
      </x:c>
      <x:c r="K465" s="13" t="n">
        <x:f>E465*I465*H465</x:f>
        <x:v>0.0712681725</x:v>
      </x:c>
      <x:c r="L465" s="1" t="str">
        <x:f>TEXT(A465,"mmm yyyy")</x:f>
        <x:v>May 2026</x:v>
      </x:c>
    </x:row>
    <x:row r="466" ht="21" customHeight="1">
      <x:c r="A466" s="10" t="n">
        <x:v>46158</x:v>
      </x:c>
      <x:c r="B466" s="1" t="n">
        <x:v>5</x:v>
      </x:c>
      <x:c r="C466" s="1" t="n">
        <x:v>6</x:v>
      </x:c>
      <x:c r="D466" s="12" t="n">
        <x:v>0.2936666666666667</x:v>
      </x:c>
      <x:c r="E466" s="12" t="n">
        <x:v>0.2936666666666667</x:v>
      </x:c>
      <x:c r="F466" s="12" t="n">
        <x:v>0</x:v>
      </x:c>
      <x:c r="G466" s="12" t="n">
        <x:v>0</x:v>
      </x:c>
      <x:c r="H466" s="1" t="n">
        <x:f>'Historical prices'!E466</x:f>
        <x:v>1.05</x:v>
      </x:c>
      <x:c r="I466" s="6" t="n">
        <x:f>'Historical prices'!D466</x:f>
        <x:v>0.2226</x:v>
      </x:c>
      <x:c r="J466" s="13" t="n">
        <x:f>D466*I466*H466</x:f>
        <x:v>0.06863871</x:v>
      </x:c>
      <x:c r="K466" s="13" t="n">
        <x:f>E466*I466*H466</x:f>
        <x:v>0.06863871</x:v>
      </x:c>
      <x:c r="L466" s="1" t="str">
        <x:f>TEXT(A466,"mmm yyyy")</x:f>
        <x:v>May 2026</x:v>
      </x:c>
    </x:row>
    <x:row r="467" ht="21" customHeight="1">
      <x:c r="A467" s="10" t="n">
        <x:v>46158</x:v>
      </x:c>
      <x:c r="B467" s="1" t="n">
        <x:v>5.5</x:v>
      </x:c>
      <x:c r="C467" s="1" t="n">
        <x:v>6</x:v>
      </x:c>
      <x:c r="D467" s="12" t="n">
        <x:v>0.2834166666666667</x:v>
      </x:c>
      <x:c r="E467" s="12" t="n">
        <x:v>0.2834166666666667</x:v>
      </x:c>
      <x:c r="F467" s="12" t="n">
        <x:v>0</x:v>
      </x:c>
      <x:c r="G467" s="12" t="n">
        <x:v>0</x:v>
      </x:c>
      <x:c r="H467" s="1" t="n">
        <x:f>'Historical prices'!E467</x:f>
        <x:v>1.05</x:v>
      </x:c>
      <x:c r="I467" s="6" t="n">
        <x:f>'Historical prices'!D467</x:f>
        <x:v>0.2226</x:v>
      </x:c>
      <x:c r="J467" s="13" t="n">
        <x:f>D467*I467*H467</x:f>
        <x:v>0.06624297750000001</x:v>
      </x:c>
      <x:c r="K467" s="13" t="n">
        <x:f>E467*I467*H467</x:f>
        <x:v>0.06624297750000001</x:v>
      </x:c>
      <x:c r="L467" s="1" t="str">
        <x:f>TEXT(A467,"mmm yyyy")</x:f>
        <x:v>May 2026</x:v>
      </x:c>
    </x:row>
    <x:row r="468" ht="21" customHeight="1">
      <x:c r="A468" s="10" t="n">
        <x:v>46158</x:v>
      </x:c>
      <x:c r="B468" s="1" t="n">
        <x:v>6</x:v>
      </x:c>
      <x:c r="C468" s="1" t="n">
        <x:v>6</x:v>
      </x:c>
      <x:c r="D468" s="12" t="n">
        <x:v>0.3046666666666667</x:v>
      </x:c>
      <x:c r="E468" s="12" t="n">
        <x:v>0.3066666666666667</x:v>
      </x:c>
      <x:c r="F468" s="12" t="n">
        <x:v>0</x:v>
      </x:c>
      <x:c r="G468" s="12" t="n">
        <x:v>0</x:v>
      </x:c>
      <x:c r="H468" s="1" t="n">
        <x:f>'Historical prices'!E468</x:f>
        <x:v>1.05</x:v>
      </x:c>
      <x:c r="I468" s="6" t="n">
        <x:f>'Historical prices'!D468</x:f>
        <x:v>0.2226</x:v>
      </x:c>
      <x:c r="J468" s="13" t="n">
        <x:f>D468*I468*H468</x:f>
        <x:v>0.07120974000000001</x:v>
      </x:c>
      <x:c r="K468" s="13" t="n">
        <x:f>E468*I468*H468</x:f>
        <x:v>0.07167720000000001</x:v>
      </x:c>
      <x:c r="L468" s="1" t="str">
        <x:f>TEXT(A468,"mmm yyyy")</x:f>
        <x:v>May 2026</x:v>
      </x:c>
    </x:row>
    <x:row r="469" ht="21" customHeight="1">
      <x:c r="A469" s="10" t="n">
        <x:v>46158</x:v>
      </x:c>
      <x:c r="B469" s="1" t="n">
        <x:v>6.5</x:v>
      </x:c>
      <x:c r="C469" s="1" t="n">
        <x:v>6</x:v>
      </x:c>
      <x:c r="D469" s="12" t="n">
        <x:v>0.3505</x:v>
      </x:c>
      <x:c r="E469" s="12" t="n">
        <x:v>0.3505</x:v>
      </x:c>
      <x:c r="F469" s="12" t="n">
        <x:v>0</x:v>
      </x:c>
      <x:c r="G469" s="12" t="n">
        <x:v>0</x:v>
      </x:c>
      <x:c r="H469" s="1" t="n">
        <x:f>'Historical prices'!E469</x:f>
        <x:v>1.05</x:v>
      </x:c>
      <x:c r="I469" s="6" t="n">
        <x:f>'Historical prices'!D469</x:f>
        <x:v>0.2226</x:v>
      </x:c>
      <x:c r="J469" s="13" t="n">
        <x:f>D469*I469*H469</x:f>
        <x:v>0.081922365</x:v>
      </x:c>
      <x:c r="K469" s="13" t="n">
        <x:f>E469*I469*H469</x:f>
        <x:v>0.081922365</x:v>
      </x:c>
      <x:c r="L469" s="1" t="str">
        <x:f>TEXT(A469,"mmm yyyy")</x:f>
        <x:v>May 2026</x:v>
      </x:c>
    </x:row>
    <x:row r="470" ht="21" customHeight="1">
      <x:c r="A470" s="10" t="n">
        <x:v>46158</x:v>
      </x:c>
      <x:c r="B470" s="1" t="n">
        <x:v>7</x:v>
      </x:c>
      <x:c r="C470" s="1" t="n">
        <x:v>6</x:v>
      </x:c>
      <x:c r="D470" s="12" t="n">
        <x:v>0.34583333333333327</x:v>
      </x:c>
      <x:c r="E470" s="12" t="n">
        <x:v>0.34583333333333327</x:v>
      </x:c>
      <x:c r="F470" s="12" t="n">
        <x:v>0</x:v>
      </x:c>
      <x:c r="G470" s="12" t="n">
        <x:v>0</x:v>
      </x:c>
      <x:c r="H470" s="1" t="n">
        <x:f>'Historical prices'!E470</x:f>
        <x:v>1.05</x:v>
      </x:c>
      <x:c r="I470" s="6" t="n">
        <x:f>'Historical prices'!D470</x:f>
        <x:v>0.2226</x:v>
      </x:c>
      <x:c r="J470" s="13" t="n">
        <x:f>D470*I470*H470</x:f>
        <x:v>0.08083162499999999</x:v>
      </x:c>
      <x:c r="K470" s="13" t="n">
        <x:f>E470*I470*H470</x:f>
        <x:v>0.08083162499999999</x:v>
      </x:c>
      <x:c r="L470" s="1" t="str">
        <x:f>TEXT(A470,"mmm yyyy")</x:f>
        <x:v>May 2026</x:v>
      </x:c>
    </x:row>
    <x:row r="471" ht="21" customHeight="1">
      <x:c r="A471" s="10" t="n">
        <x:v>46158</x:v>
      </x:c>
      <x:c r="B471" s="1" t="n">
        <x:v>7.5</x:v>
      </x:c>
      <x:c r="C471" s="1" t="n">
        <x:v>6</x:v>
      </x:c>
      <x:c r="D471" s="12" t="n">
        <x:v>0.7875833333333333</x:v>
      </x:c>
      <x:c r="E471" s="12" t="n">
        <x:v>0.7885833333333334</x:v>
      </x:c>
      <x:c r="F471" s="12" t="n">
        <x:v>0</x:v>
      </x:c>
      <x:c r="G471" s="12" t="n">
        <x:v>0</x:v>
      </x:c>
      <x:c r="H471" s="1" t="n">
        <x:f>'Historical prices'!E471</x:f>
        <x:v>1.05</x:v>
      </x:c>
      <x:c r="I471" s="6" t="n">
        <x:f>'Historical prices'!D471</x:f>
        <x:v>0.2226</x:v>
      </x:c>
      <x:c r="J471" s="13" t="n">
        <x:f>D471*I471*H471</x:f>
        <x:v>0.18408185249999998</x:v>
      </x:c>
      <x:c r="K471" s="13" t="n">
        <x:f>E471*I471*H471</x:f>
        <x:v>0.18431558250000002</x:v>
      </x:c>
      <x:c r="L471" s="1" t="str">
        <x:f>TEXT(A471,"mmm yyyy")</x:f>
        <x:v>May 2026</x:v>
      </x:c>
    </x:row>
    <x:row r="472" ht="21" customHeight="1">
      <x:c r="A472" s="10" t="n">
        <x:v>46158</x:v>
      </x:c>
      <x:c r="B472" s="1" t="n">
        <x:v>8</x:v>
      </x:c>
      <x:c r="C472" s="1" t="n">
        <x:v>6</x:v>
      </x:c>
      <x:c r="D472" s="12" t="n">
        <x:v>1.0877500000000002</x:v>
      </x:c>
      <x:c r="E472" s="12" t="n">
        <x:v>1.08675</x:v>
      </x:c>
      <x:c r="F472" s="12" t="n">
        <x:v>0</x:v>
      </x:c>
      <x:c r="G472" s="12" t="n">
        <x:v>0</x:v>
      </x:c>
      <x:c r="H472" s="1" t="n">
        <x:f>'Historical prices'!E472</x:f>
        <x:v>1.05</x:v>
      </x:c>
      <x:c r="I472" s="6" t="n">
        <x:f>'Historical prices'!D472</x:f>
        <x:v>0.2226</x:v>
      </x:c>
      <x:c r="J472" s="13" t="n">
        <x:f>D472*I472*H472</x:f>
        <x:v>0.2542398075000001</x:v>
      </x:c>
      <x:c r="K472" s="13" t="n">
        <x:f>E472*I472*H472</x:f>
        <x:v>0.25400607750000004</x:v>
      </x:c>
      <x:c r="L472" s="1" t="str">
        <x:f>TEXT(A472,"mmm yyyy")</x:f>
        <x:v>May 2026</x:v>
      </x:c>
    </x:row>
    <x:row r="473" ht="21" customHeight="1">
      <x:c r="A473" s="10" t="n">
        <x:v>46158</x:v>
      </x:c>
      <x:c r="B473" s="1" t="n">
        <x:v>8.5</x:v>
      </x:c>
      <x:c r="C473" s="1" t="n">
        <x:v>6</x:v>
      </x:c>
      <x:c r="D473" s="12" t="n">
        <x:v>2.1428333333333334</x:v>
      </x:c>
      <x:c r="E473" s="12" t="n">
        <x:v>2.1438333333333333</x:v>
      </x:c>
      <x:c r="F473" s="12" t="n">
        <x:v>0</x:v>
      </x:c>
      <x:c r="G473" s="12" t="n">
        <x:v>0</x:v>
      </x:c>
      <x:c r="H473" s="1" t="n">
        <x:f>'Historical prices'!E473</x:f>
        <x:v>1.05</x:v>
      </x:c>
      <x:c r="I473" s="6" t="n">
        <x:f>'Historical prices'!D473</x:f>
        <x:v>0.2226</x:v>
      </x:c>
      <x:c r="J473" s="13" t="n">
        <x:f>D473*I473*H473</x:f>
        <x:v>0.500844435</x:v>
      </x:c>
      <x:c r="K473" s="13" t="n">
        <x:f>E473*I473*H473</x:f>
        <x:v>0.501078165</x:v>
      </x:c>
      <x:c r="L473" s="1" t="str">
        <x:f>TEXT(A473,"mmm yyyy")</x:f>
        <x:v>May 2026</x:v>
      </x:c>
    </x:row>
    <x:row r="474" ht="21" customHeight="1">
      <x:c r="A474" s="10" t="n">
        <x:v>46158</x:v>
      </x:c>
      <x:c r="B474" s="1" t="n">
        <x:v>9</x:v>
      </x:c>
      <x:c r="C474" s="1" t="n">
        <x:v>6</x:v>
      </x:c>
      <x:c r="D474" s="12" t="n">
        <x:v>2.4483333333333337</x:v>
      </x:c>
      <x:c r="E474" s="12" t="n">
        <x:v>2.447333333333334</x:v>
      </x:c>
      <x:c r="F474" s="12" t="n">
        <x:v>0</x:v>
      </x:c>
      <x:c r="G474" s="12" t="n">
        <x:v>0</x:v>
      </x:c>
      <x:c r="H474" s="1" t="n">
        <x:f>'Historical prices'!E474</x:f>
        <x:v>1.05</x:v>
      </x:c>
      <x:c r="I474" s="6" t="n">
        <x:f>'Historical prices'!D474</x:f>
        <x:v>0.2226</x:v>
      </x:c>
      <x:c r="J474" s="13" t="n">
        <x:f>D474*I474*H474</x:f>
        <x:v>0.5722489500000001</x:v>
      </x:c>
      <x:c r="K474" s="13" t="n">
        <x:f>E474*I474*H474</x:f>
        <x:v>0.57201522</x:v>
      </x:c>
      <x:c r="L474" s="1" t="str">
        <x:f>TEXT(A474,"mmm yyyy")</x:f>
        <x:v>May 2026</x:v>
      </x:c>
    </x:row>
    <x:row r="475" ht="21" customHeight="1">
      <x:c r="A475" s="10" t="n">
        <x:v>46158</x:v>
      </x:c>
      <x:c r="B475" s="1" t="n">
        <x:v>9.5</x:v>
      </x:c>
      <x:c r="C475" s="1" t="n">
        <x:v>6</x:v>
      </x:c>
      <x:c r="D475" s="12" t="n">
        <x:v>1.1759166666666667</x:v>
      </x:c>
      <x:c r="E475" s="12" t="n">
        <x:v>1.1769166666666668</x:v>
      </x:c>
      <x:c r="F475" s="12" t="n">
        <x:v>0</x:v>
      </x:c>
      <x:c r="G475" s="12" t="n">
        <x:v>0</x:v>
      </x:c>
      <x:c r="H475" s="1" t="n">
        <x:f>'Historical prices'!E475</x:f>
        <x:v>1.05</x:v>
      </x:c>
      <x:c r="I475" s="6" t="n">
        <x:f>'Historical prices'!D475</x:f>
        <x:v>0.2226</x:v>
      </x:c>
      <x:c r="J475" s="13" t="n">
        <x:f>D475*I475*H475</x:f>
        <x:v>0.2748470025</x:v>
      </x:c>
      <x:c r="K475" s="13" t="n">
        <x:f>E475*I475*H475</x:f>
        <x:v>0.27508073250000004</x:v>
      </x:c>
      <x:c r="L475" s="1" t="str">
        <x:f>TEXT(A475,"mmm yyyy")</x:f>
        <x:v>May 2026</x:v>
      </x:c>
    </x:row>
    <x:row r="476" ht="21" customHeight="1">
      <x:c r="A476" s="10" t="n">
        <x:v>46158</x:v>
      </x:c>
      <x:c r="B476" s="1" t="n">
        <x:v>10</x:v>
      </x:c>
      <x:c r="C476" s="1" t="n">
        <x:v>6</x:v>
      </x:c>
      <x:c r="D476" s="12" t="n">
        <x:v>0.41075</x:v>
      </x:c>
      <x:c r="E476" s="12" t="n">
        <x:v>0.41075</x:v>
      </x:c>
      <x:c r="F476" s="12" t="n">
        <x:v>0</x:v>
      </x:c>
      <x:c r="G476" s="12" t="n">
        <x:v>0</x:v>
      </x:c>
      <x:c r="H476" s="1" t="n">
        <x:f>'Historical prices'!E476</x:f>
        <x:v>1.05</x:v>
      </x:c>
      <x:c r="I476" s="6" t="n">
        <x:f>'Historical prices'!D476</x:f>
        <x:v>0.2226</x:v>
      </x:c>
      <x:c r="J476" s="13" t="n">
        <x:f>D476*I476*H476</x:f>
        <x:v>0.0960045975</x:v>
      </x:c>
      <x:c r="K476" s="13" t="n">
        <x:f>E476*I476*H476</x:f>
        <x:v>0.0960045975</x:v>
      </x:c>
      <x:c r="L476" s="1" t="str">
        <x:f>TEXT(A476,"mmm yyyy")</x:f>
        <x:v>May 2026</x:v>
      </x:c>
    </x:row>
    <x:row r="477" ht="21" customHeight="1">
      <x:c r="A477" s="10" t="n">
        <x:v>46158</x:v>
      </x:c>
      <x:c r="B477" s="1" t="n">
        <x:v>10.5</x:v>
      </x:c>
      <x:c r="C477" s="1" t="n">
        <x:v>6</x:v>
      </x:c>
      <x:c r="D477" s="12" t="n">
        <x:v>0.4280833333333333</x:v>
      </x:c>
      <x:c r="E477" s="12" t="n">
        <x:v>0.4280833333333333</x:v>
      </x:c>
      <x:c r="F477" s="12" t="n">
        <x:v>0</x:v>
      </x:c>
      <x:c r="G477" s="12" t="n">
        <x:v>0</x:v>
      </x:c>
      <x:c r="H477" s="1" t="n">
        <x:f>'Historical prices'!E477</x:f>
        <x:v>1.05</x:v>
      </x:c>
      <x:c r="I477" s="6" t="n">
        <x:f>'Historical prices'!D477</x:f>
        <x:v>0.2226</x:v>
      </x:c>
      <x:c r="J477" s="13" t="n">
        <x:f>D477*I477*H477</x:f>
        <x:v>0.10005591750000001</x:v>
      </x:c>
      <x:c r="K477" s="13" t="n">
        <x:f>E477*I477*H477</x:f>
        <x:v>0.10005591750000001</x:v>
      </x:c>
      <x:c r="L477" s="1" t="str">
        <x:f>TEXT(A477,"mmm yyyy")</x:f>
        <x:v>May 2026</x:v>
      </x:c>
    </x:row>
    <x:row r="478" ht="21" customHeight="1">
      <x:c r="A478" s="10" t="n">
        <x:v>46158</x:v>
      </x:c>
      <x:c r="B478" s="1" t="n">
        <x:v>11</x:v>
      </x:c>
      <x:c r="C478" s="1" t="n">
        <x:v>6</x:v>
      </x:c>
      <x:c r="D478" s="12" t="n">
        <x:v>1.1864166666666667</x:v>
      </x:c>
      <x:c r="E478" s="12" t="n">
        <x:v>1.1864166666666667</x:v>
      </x:c>
      <x:c r="F478" s="12" t="n">
        <x:v>0</x:v>
      </x:c>
      <x:c r="G478" s="12" t="n">
        <x:v>0</x:v>
      </x:c>
      <x:c r="H478" s="1" t="n">
        <x:f>'Historical prices'!E478</x:f>
        <x:v>1.05</x:v>
      </x:c>
      <x:c r="I478" s="6" t="n">
        <x:f>'Historical prices'!D478</x:f>
        <x:v>0.2226</x:v>
      </x:c>
      <x:c r="J478" s="13" t="n">
        <x:f>D478*I478*H478</x:f>
        <x:v>0.2773011675</x:v>
      </x:c>
      <x:c r="K478" s="13" t="n">
        <x:f>E478*I478*H478</x:f>
        <x:v>0.2773011675</x:v>
      </x:c>
      <x:c r="L478" s="1" t="str">
        <x:f>TEXT(A478,"mmm yyyy")</x:f>
        <x:v>May 2026</x:v>
      </x:c>
    </x:row>
    <x:row r="479" ht="21" customHeight="1">
      <x:c r="A479" s="10" t="n">
        <x:v>46158</x:v>
      </x:c>
      <x:c r="B479" s="1" t="n">
        <x:v>11.5</x:v>
      </x:c>
      <x:c r="C479" s="1" t="n">
        <x:v>6</x:v>
      </x:c>
      <x:c r="D479" s="12" t="n">
        <x:v>1.4321666666666666</x:v>
      </x:c>
      <x:c r="E479" s="12" t="n">
        <x:v>1.4321666666666666</x:v>
      </x:c>
      <x:c r="F479" s="12" t="n">
        <x:v>0</x:v>
      </x:c>
      <x:c r="G479" s="12" t="n">
        <x:v>0</x:v>
      </x:c>
      <x:c r="H479" s="1" t="n">
        <x:f>'Historical prices'!E479</x:f>
        <x:v>1.05</x:v>
      </x:c>
      <x:c r="I479" s="6" t="n">
        <x:f>'Historical prices'!D479</x:f>
        <x:v>0.2226</x:v>
      </x:c>
      <x:c r="J479" s="13" t="n">
        <x:f>D479*I479*H479</x:f>
        <x:v>0.334740315</x:v>
      </x:c>
      <x:c r="K479" s="13" t="n">
        <x:f>E479*I479*H479</x:f>
        <x:v>0.334740315</x:v>
      </x:c>
      <x:c r="L479" s="1" t="str">
        <x:f>TEXT(A479,"mmm yyyy")</x:f>
        <x:v>May 2026</x:v>
      </x:c>
    </x:row>
    <x:row r="480" ht="21" customHeight="1">
      <x:c r="A480" s="10" t="n">
        <x:v>46158</x:v>
      </x:c>
      <x:c r="B480" s="1" t="n">
        <x:v>12</x:v>
      </x:c>
      <x:c r="C480" s="1" t="n">
        <x:v>6</x:v>
      </x:c>
      <x:c r="D480" s="12" t="n">
        <x:v>0.402</x:v>
      </x:c>
      <x:c r="E480" s="12" t="n">
        <x:v>0.402</x:v>
      </x:c>
      <x:c r="F480" s="12" t="n">
        <x:v>0</x:v>
      </x:c>
      <x:c r="G480" s="12" t="n">
        <x:v>0</x:v>
      </x:c>
      <x:c r="H480" s="1" t="n">
        <x:f>'Historical prices'!E480</x:f>
        <x:v>1.05</x:v>
      </x:c>
      <x:c r="I480" s="6" t="n">
        <x:f>'Historical prices'!D480</x:f>
        <x:v>0.2226</x:v>
      </x:c>
      <x:c r="J480" s="13" t="n">
        <x:f>D480*I480*H480</x:f>
        <x:v>0.09395946000000001</x:v>
      </x:c>
      <x:c r="K480" s="13" t="n">
        <x:f>E480*I480*H480</x:f>
        <x:v>0.09395946000000001</x:v>
      </x:c>
      <x:c r="L480" s="1" t="str">
        <x:f>TEXT(A480,"mmm yyyy")</x:f>
        <x:v>May 2026</x:v>
      </x:c>
    </x:row>
    <x:row r="481" ht="21" customHeight="1">
      <x:c r="A481" s="10" t="n">
        <x:v>46158</x:v>
      </x:c>
      <x:c r="B481" s="1" t="n">
        <x:v>12.5</x:v>
      </x:c>
      <x:c r="C481" s="1" t="n">
        <x:v>6</x:v>
      </x:c>
      <x:c r="D481" s="12" t="n">
        <x:v>0.35875</x:v>
      </x:c>
      <x:c r="E481" s="12" t="n">
        <x:v>0.35975</x:v>
      </x:c>
      <x:c r="F481" s="12" t="n">
        <x:v>0</x:v>
      </x:c>
      <x:c r="G481" s="12" t="n">
        <x:v>0</x:v>
      </x:c>
      <x:c r="H481" s="1" t="n">
        <x:f>'Historical prices'!E481</x:f>
        <x:v>1.05</x:v>
      </x:c>
      <x:c r="I481" s="6" t="n">
        <x:f>'Historical prices'!D481</x:f>
        <x:v>0.2226</x:v>
      </x:c>
      <x:c r="J481" s="13" t="n">
        <x:f>D481*I481*H481</x:f>
        <x:v>0.0838506375</x:v>
      </x:c>
      <x:c r="K481" s="13" t="n">
        <x:f>E481*I481*H481</x:f>
        <x:v>0.08408436749999999</x:v>
      </x:c>
      <x:c r="L481" s="1" t="str">
        <x:f>TEXT(A481,"mmm yyyy")</x:f>
        <x:v>May 2026</x:v>
      </x:c>
    </x:row>
    <x:row r="482" ht="21" customHeight="1">
      <x:c r="A482" s="10" t="n">
        <x:v>46158</x:v>
      </x:c>
      <x:c r="B482" s="1" t="n">
        <x:v>13</x:v>
      </x:c>
      <x:c r="C482" s="1" t="n">
        <x:v>6</x:v>
      </x:c>
      <x:c r="D482" s="12" t="n">
        <x:v>2.0835833333333333</x:v>
      </x:c>
      <x:c r="E482" s="12" t="n">
        <x:v>2.082583333333333</x:v>
      </x:c>
      <x:c r="F482" s="12" t="n">
        <x:v>0</x:v>
      </x:c>
      <x:c r="G482" s="12" t="n">
        <x:v>0</x:v>
      </x:c>
      <x:c r="H482" s="1" t="n">
        <x:f>'Historical prices'!E482</x:f>
        <x:v>1.05</x:v>
      </x:c>
      <x:c r="I482" s="6" t="n">
        <x:f>'Historical prices'!D482</x:f>
        <x:v>0.2226</x:v>
      </x:c>
      <x:c r="J482" s="13" t="n">
        <x:f>D482*I482*H482</x:f>
        <x:v>0.48699593250000006</x:v>
      </x:c>
      <x:c r="K482" s="13" t="n">
        <x:f>E482*I482*H482</x:f>
        <x:v>0.4867622024999999</x:v>
      </x:c>
      <x:c r="L482" s="1" t="str">
        <x:f>TEXT(A482,"mmm yyyy")</x:f>
        <x:v>May 2026</x:v>
      </x:c>
    </x:row>
    <x:row r="483" ht="21" customHeight="1">
      <x:c r="A483" s="10" t="n">
        <x:v>46158</x:v>
      </x:c>
      <x:c r="B483" s="1" t="n">
        <x:v>13.5</x:v>
      </x:c>
      <x:c r="C483" s="1" t="n">
        <x:v>6</x:v>
      </x:c>
      <x:c r="D483" s="12" t="n">
        <x:v>1.0633333333333332</x:v>
      </x:c>
      <x:c r="E483" s="12" t="n">
        <x:v>1.0633333333333332</x:v>
      </x:c>
      <x:c r="F483" s="12" t="n">
        <x:v>0</x:v>
      </x:c>
      <x:c r="G483" s="12" t="n">
        <x:v>0</x:v>
      </x:c>
      <x:c r="H483" s="1" t="n">
        <x:f>'Historical prices'!E483</x:f>
        <x:v>1.05</x:v>
      </x:c>
      <x:c r="I483" s="6" t="n">
        <x:f>'Historical prices'!D483</x:f>
        <x:v>0.2226</x:v>
      </x:c>
      <x:c r="J483" s="13" t="n">
        <x:f>D483*I483*H483</x:f>
        <x:v>0.24853289999999997</x:v>
      </x:c>
      <x:c r="K483" s="13" t="n">
        <x:f>E483*I483*H483</x:f>
        <x:v>0.24853289999999997</x:v>
      </x:c>
      <x:c r="L483" s="1" t="str">
        <x:f>TEXT(A483,"mmm yyyy")</x:f>
        <x:v>May 2026</x:v>
      </x:c>
    </x:row>
    <x:row r="484" ht="21" customHeight="1">
      <x:c r="A484" s="10" t="n">
        <x:v>46158</x:v>
      </x:c>
      <x:c r="B484" s="1" t="n">
        <x:v>14</x:v>
      </x:c>
      <x:c r="C484" s="1" t="n">
        <x:v>6</x:v>
      </x:c>
      <x:c r="D484" s="12" t="n">
        <x:v>0.4230833333333333</x:v>
      </x:c>
      <x:c r="E484" s="12" t="n">
        <x:v>0.4230833333333334</x:v>
      </x:c>
      <x:c r="F484" s="12" t="n">
        <x:v>0</x:v>
      </x:c>
      <x:c r="G484" s="12" t="n">
        <x:v>0</x:v>
      </x:c>
      <x:c r="H484" s="1" t="n">
        <x:f>'Historical prices'!E484</x:f>
        <x:v>1.05</x:v>
      </x:c>
      <x:c r="I484" s="6" t="n">
        <x:f>'Historical prices'!D484</x:f>
        <x:v>0.2226</x:v>
      </x:c>
      <x:c r="J484" s="13" t="n">
        <x:f>D484*I484*H484</x:f>
        <x:v>0.0988872675</x:v>
      </x:c>
      <x:c r="K484" s="13" t="n">
        <x:f>E484*I484*H484</x:f>
        <x:v>0.09888726750000003</x:v>
      </x:c>
      <x:c r="L484" s="1" t="str">
        <x:f>TEXT(A484,"mmm yyyy")</x:f>
        <x:v>May 2026</x:v>
      </x:c>
    </x:row>
    <x:row r="485" ht="21" customHeight="1">
      <x:c r="A485" s="10" t="n">
        <x:v>46158</x:v>
      </x:c>
      <x:c r="B485" s="1" t="n">
        <x:v>14.5</x:v>
      </x:c>
      <x:c r="C485" s="1" t="n">
        <x:v>6</x:v>
      </x:c>
      <x:c r="D485" s="12" t="n">
        <x:v>0.36675</x:v>
      </x:c>
      <x:c r="E485" s="12" t="n">
        <x:v>0.36675</x:v>
      </x:c>
      <x:c r="F485" s="12" t="n">
        <x:v>0</x:v>
      </x:c>
      <x:c r="G485" s="12" t="n">
        <x:v>0</x:v>
      </x:c>
      <x:c r="H485" s="1" t="n">
        <x:f>'Historical prices'!E485</x:f>
        <x:v>1.05</x:v>
      </x:c>
      <x:c r="I485" s="6" t="n">
        <x:f>'Historical prices'!D485</x:f>
        <x:v>0.2226</x:v>
      </x:c>
      <x:c r="J485" s="13" t="n">
        <x:f>D485*I485*H485</x:f>
        <x:v>0.0857204775</x:v>
      </x:c>
      <x:c r="K485" s="13" t="n">
        <x:f>E485*I485*H485</x:f>
        <x:v>0.0857204775</x:v>
      </x:c>
      <x:c r="L485" s="1" t="str">
        <x:f>TEXT(A485,"mmm yyyy")</x:f>
        <x:v>May 2026</x:v>
      </x:c>
    </x:row>
    <x:row r="486" ht="21" customHeight="1">
      <x:c r="A486" s="10" t="n">
        <x:v>46158</x:v>
      </x:c>
      <x:c r="B486" s="1" t="n">
        <x:v>15</x:v>
      </x:c>
      <x:c r="C486" s="1" t="n">
        <x:v>6</x:v>
      </x:c>
      <x:c r="D486" s="12" t="n">
        <x:v>0.36741666666666667</x:v>
      </x:c>
      <x:c r="E486" s="12" t="n">
        <x:v>0.36941666666666667</x:v>
      </x:c>
      <x:c r="F486" s="12" t="n">
        <x:v>0</x:v>
      </x:c>
      <x:c r="G486" s="12" t="n">
        <x:v>0</x:v>
      </x:c>
      <x:c r="H486" s="1" t="n">
        <x:f>'Historical prices'!E486</x:f>
        <x:v>1.05</x:v>
      </x:c>
      <x:c r="I486" s="6" t="n">
        <x:f>'Historical prices'!D486</x:f>
        <x:v>0.2226</x:v>
      </x:c>
      <x:c r="J486" s="13" t="n">
        <x:f>D486*I486*H486</x:f>
        <x:v>0.0858762975</x:v>
      </x:c>
      <x:c r="K486" s="13" t="n">
        <x:f>E486*I486*H486</x:f>
        <x:v>0.0863437575</x:v>
      </x:c>
      <x:c r="L486" s="1" t="str">
        <x:f>TEXT(A486,"mmm yyyy")</x:f>
        <x:v>May 2026</x:v>
      </x:c>
    </x:row>
    <x:row r="487" ht="21" customHeight="1">
      <x:c r="A487" s="10" t="n">
        <x:v>46158</x:v>
      </x:c>
      <x:c r="B487" s="1" t="n">
        <x:v>15.5</x:v>
      </x:c>
      <x:c r="C487" s="1" t="n">
        <x:v>6</x:v>
      </x:c>
      <x:c r="D487" s="12" t="n">
        <x:v>0.4681666666666667</x:v>
      </x:c>
      <x:c r="E487" s="12" t="n">
        <x:v>0.4671666666666667</x:v>
      </x:c>
      <x:c r="F487" s="12" t="n">
        <x:v>0</x:v>
      </x:c>
      <x:c r="G487" s="12" t="n">
        <x:v>0</x:v>
      </x:c>
      <x:c r="H487" s="1" t="n">
        <x:f>'Historical prices'!E487</x:f>
        <x:v>1.05</x:v>
      </x:c>
      <x:c r="I487" s="6" t="n">
        <x:f>'Historical prices'!D487</x:f>
        <x:v>0.2226</x:v>
      </x:c>
      <x:c r="J487" s="13" t="n">
        <x:f>D487*I487*H487</x:f>
        <x:v>0.109424595</x:v>
      </x:c>
      <x:c r="K487" s="13" t="n">
        <x:f>E487*I487*H487</x:f>
        <x:v>0.109190865</x:v>
      </x:c>
      <x:c r="L487" s="1" t="str">
        <x:f>TEXT(A487,"mmm yyyy")</x:f>
        <x:v>May 2026</x:v>
      </x:c>
    </x:row>
    <x:row r="488" ht="21" customHeight="1">
      <x:c r="A488" s="10" t="n">
        <x:v>46158</x:v>
      </x:c>
      <x:c r="B488" s="1" t="n">
        <x:v>16</x:v>
      </x:c>
      <x:c r="C488" s="1" t="n">
        <x:v>6</x:v>
      </x:c>
      <x:c r="D488" s="12" t="n">
        <x:v>1.1899166666666667</x:v>
      </x:c>
      <x:c r="E488" s="12" t="n">
        <x:v>1.1889166666666666</x:v>
      </x:c>
      <x:c r="F488" s="12" t="n">
        <x:v>0</x:v>
      </x:c>
      <x:c r="G488" s="12" t="n">
        <x:v>0</x:v>
      </x:c>
      <x:c r="H488" s="1" t="n">
        <x:f>'Historical prices'!E488</x:f>
        <x:v>1.05</x:v>
      </x:c>
      <x:c r="I488" s="6" t="n">
        <x:f>'Historical prices'!D488</x:f>
        <x:v>0.2226</x:v>
      </x:c>
      <x:c r="J488" s="13" t="n">
        <x:f>D488*I488*H488</x:f>
        <x:v>0.27811922250000004</x:v>
      </x:c>
      <x:c r="K488" s="13" t="n">
        <x:f>E488*I488*H488</x:f>
        <x:v>0.2778854925</x:v>
      </x:c>
      <x:c r="L488" s="1" t="str">
        <x:f>TEXT(A488,"mmm yyyy")</x:f>
        <x:v>May 2026</x:v>
      </x:c>
    </x:row>
    <x:row r="489" ht="21" customHeight="1">
      <x:c r="A489" s="10" t="n">
        <x:v>46158</x:v>
      </x:c>
      <x:c r="B489" s="1" t="n">
        <x:v>16.5</x:v>
      </x:c>
      <x:c r="C489" s="1" t="n">
        <x:v>6</x:v>
      </x:c>
      <x:c r="D489" s="12" t="n">
        <x:v>1.7303333333333333</x:v>
      </x:c>
      <x:c r="E489" s="12" t="n">
        <x:v>1.7313333333333332</x:v>
      </x:c>
      <x:c r="F489" s="12" t="n">
        <x:v>0</x:v>
      </x:c>
      <x:c r="G489" s="12" t="n">
        <x:v>0</x:v>
      </x:c>
      <x:c r="H489" s="1" t="n">
        <x:f>'Historical prices'!E489</x:f>
        <x:v>1.05</x:v>
      </x:c>
      <x:c r="I489" s="6" t="n">
        <x:f>'Historical prices'!D489</x:f>
        <x:v>0.2226</x:v>
      </x:c>
      <x:c r="J489" s="13" t="n">
        <x:f>D489*I489*H489</x:f>
        <x:v>0.40443081</x:v>
      </x:c>
      <x:c r="K489" s="13" t="n">
        <x:f>E489*I489*H489</x:f>
        <x:v>0.40466453999999996</x:v>
      </x:c>
      <x:c r="L489" s="1" t="str">
        <x:f>TEXT(A489,"mmm yyyy")</x:f>
        <x:v>May 2026</x:v>
      </x:c>
    </x:row>
    <x:row r="490" ht="21" customHeight="1">
      <x:c r="A490" s="10" t="n">
        <x:v>46158</x:v>
      </x:c>
      <x:c r="B490" s="1" t="n">
        <x:v>17</x:v>
      </x:c>
      <x:c r="C490" s="1" t="n">
        <x:v>6</x:v>
      </x:c>
      <x:c r="D490" s="12" t="n">
        <x:v>1.23775</x:v>
      </x:c>
      <x:c r="E490" s="12" t="n">
        <x:v>1.23875</x:v>
      </x:c>
      <x:c r="F490" s="12" t="n">
        <x:v>0</x:v>
      </x:c>
      <x:c r="G490" s="12" t="n">
        <x:v>0</x:v>
      </x:c>
      <x:c r="H490" s="1" t="n">
        <x:f>'Historical prices'!E490</x:f>
        <x:v>1.05</x:v>
      </x:c>
      <x:c r="I490" s="6" t="n">
        <x:f>'Historical prices'!D490</x:f>
        <x:v>0.2226</x:v>
      </x:c>
      <x:c r="J490" s="13" t="n">
        <x:f>D490*I490*H490</x:f>
        <x:v>0.2892993075</x:v>
      </x:c>
      <x:c r="K490" s="13" t="n">
        <x:f>E490*I490*H490</x:f>
        <x:v>0.28953303750000003</x:v>
      </x:c>
      <x:c r="L490" s="1" t="str">
        <x:f>TEXT(A490,"mmm yyyy")</x:f>
        <x:v>May 2026</x:v>
      </x:c>
    </x:row>
    <x:row r="491" ht="21" customHeight="1">
      <x:c r="A491" s="10" t="n">
        <x:v>46158</x:v>
      </x:c>
      <x:c r="B491" s="1" t="n">
        <x:v>17.5</x:v>
      </x:c>
      <x:c r="C491" s="1" t="n">
        <x:v>6</x:v>
      </x:c>
      <x:c r="D491" s="12" t="n">
        <x:v>0.5213333333333334</x:v>
      </x:c>
      <x:c r="E491" s="12" t="n">
        <x:v>0.5223333333333333</x:v>
      </x:c>
      <x:c r="F491" s="12" t="n">
        <x:v>0</x:v>
      </x:c>
      <x:c r="G491" s="12" t="n">
        <x:v>0</x:v>
      </x:c>
      <x:c r="H491" s="1" t="n">
        <x:f>'Historical prices'!E491</x:f>
        <x:v>1.05</x:v>
      </x:c>
      <x:c r="I491" s="6" t="n">
        <x:f>'Historical prices'!D491</x:f>
        <x:v>0.2226</x:v>
      </x:c>
      <x:c r="J491" s="13" t="n">
        <x:f>D491*I491*H491</x:f>
        <x:v>0.12185124000000003</x:v>
      </x:c>
      <x:c r="K491" s="13" t="n">
        <x:f>E491*I491*H491</x:f>
        <x:v>0.12208497</x:v>
      </x:c>
      <x:c r="L491" s="1" t="str">
        <x:f>TEXT(A491,"mmm yyyy")</x:f>
        <x:v>May 2026</x:v>
      </x:c>
    </x:row>
    <x:row r="492" ht="21" customHeight="1">
      <x:c r="A492" s="10" t="n">
        <x:v>46158</x:v>
      </x:c>
      <x:c r="B492" s="1" t="n">
        <x:v>18</x:v>
      </x:c>
      <x:c r="C492" s="1" t="n">
        <x:v>6</x:v>
      </x:c>
      <x:c r="D492" s="12" t="n">
        <x:v>0.47</x:v>
      </x:c>
      <x:c r="E492" s="12" t="n">
        <x:v>0.46900000000000003</x:v>
      </x:c>
      <x:c r="F492" s="12" t="n">
        <x:v>0</x:v>
      </x:c>
      <x:c r="G492" s="12" t="n">
        <x:v>0</x:v>
      </x:c>
      <x:c r="H492" s="1" t="n">
        <x:f>'Historical prices'!E492</x:f>
        <x:v>1.05</x:v>
      </x:c>
      <x:c r="I492" s="6" t="n">
        <x:f>'Historical prices'!D492</x:f>
        <x:v>0.2226</x:v>
      </x:c>
      <x:c r="J492" s="13" t="n">
        <x:f>D492*I492*H492</x:f>
        <x:v>0.1098531</x:v>
      </x:c>
      <x:c r="K492" s="13" t="n">
        <x:f>E492*I492*H492</x:f>
        <x:v>0.10961937000000001</x:v>
      </x:c>
      <x:c r="L492" s="1" t="str">
        <x:f>TEXT(A492,"mmm yyyy")</x:f>
        <x:v>May 2026</x:v>
      </x:c>
    </x:row>
    <x:row r="493" ht="21" customHeight="1">
      <x:c r="A493" s="10" t="n">
        <x:v>46158</x:v>
      </x:c>
      <x:c r="B493" s="1" t="n">
        <x:v>18.5</x:v>
      </x:c>
      <x:c r="C493" s="1" t="n">
        <x:v>6</x:v>
      </x:c>
      <x:c r="D493" s="12" t="n">
        <x:v>1.1075</x:v>
      </x:c>
      <x:c r="E493" s="12" t="n">
        <x:v>1.1085</x:v>
      </x:c>
      <x:c r="F493" s="12" t="n">
        <x:v>0</x:v>
      </x:c>
      <x:c r="G493" s="12" t="n">
        <x:v>0</x:v>
      </x:c>
      <x:c r="H493" s="1" t="n">
        <x:f>'Historical prices'!E493</x:f>
        <x:v>1.05</x:v>
      </x:c>
      <x:c r="I493" s="6" t="n">
        <x:f>'Historical prices'!D493</x:f>
        <x:v>0.2226</x:v>
      </x:c>
      <x:c r="J493" s="13" t="n">
        <x:f>D493*I493*H493</x:f>
        <x:v>0.258855975</x:v>
      </x:c>
      <x:c r="K493" s="13" t="n">
        <x:f>E493*I493*H493</x:f>
        <x:v>0.259089705</x:v>
      </x:c>
      <x:c r="L493" s="1" t="str">
        <x:f>TEXT(A493,"mmm yyyy")</x:f>
        <x:v>May 2026</x:v>
      </x:c>
    </x:row>
    <x:row r="494" ht="21" customHeight="1">
      <x:c r="A494" s="10" t="n">
        <x:v>46158</x:v>
      </x:c>
      <x:c r="B494" s="1" t="n">
        <x:v>19</x:v>
      </x:c>
      <x:c r="C494" s="1" t="n">
        <x:v>6</x:v>
      </x:c>
      <x:c r="D494" s="12" t="n">
        <x:v>0.66225</x:v>
      </x:c>
      <x:c r="E494" s="12" t="n">
        <x:v>0.66225</x:v>
      </x:c>
      <x:c r="F494" s="12" t="n">
        <x:v>0</x:v>
      </x:c>
      <x:c r="G494" s="12" t="n">
        <x:v>0</x:v>
      </x:c>
      <x:c r="H494" s="1" t="n">
        <x:f>'Historical prices'!E494</x:f>
        <x:v>1.05</x:v>
      </x:c>
      <x:c r="I494" s="6" t="n">
        <x:f>'Historical prices'!D494</x:f>
        <x:v>0.2226</x:v>
      </x:c>
      <x:c r="J494" s="13" t="n">
        <x:f>D494*I494*H494</x:f>
        <x:v>0.1547876925</x:v>
      </x:c>
      <x:c r="K494" s="13" t="n">
        <x:f>E494*I494*H494</x:f>
        <x:v>0.1547876925</x:v>
      </x:c>
      <x:c r="L494" s="1" t="str">
        <x:f>TEXT(A494,"mmm yyyy")</x:f>
        <x:v>May 2026</x:v>
      </x:c>
    </x:row>
    <x:row r="495" ht="21" customHeight="1">
      <x:c r="A495" s="10" t="n">
        <x:v>46158</x:v>
      </x:c>
      <x:c r="B495" s="1" t="n">
        <x:v>19.5</x:v>
      </x:c>
      <x:c r="C495" s="1" t="n">
        <x:v>6</x:v>
      </x:c>
      <x:c r="D495" s="12" t="n">
        <x:v>0.5855</x:v>
      </x:c>
      <x:c r="E495" s="12" t="n">
        <x:v>0.5865</x:v>
      </x:c>
      <x:c r="F495" s="12" t="n">
        <x:v>0</x:v>
      </x:c>
      <x:c r="G495" s="12" t="n">
        <x:v>0</x:v>
      </x:c>
      <x:c r="H495" s="1" t="n">
        <x:f>'Historical prices'!E495</x:f>
        <x:v>1.05</x:v>
      </x:c>
      <x:c r="I495" s="6" t="n">
        <x:f>'Historical prices'!D495</x:f>
        <x:v>0.2226</x:v>
      </x:c>
      <x:c r="J495" s="13" t="n">
        <x:f>D495*I495*H495</x:f>
        <x:v>0.13684891500000002</x:v>
      </x:c>
      <x:c r="K495" s="13" t="n">
        <x:f>E495*I495*H495</x:f>
        <x:v>0.137082645</x:v>
      </x:c>
      <x:c r="L495" s="1" t="str">
        <x:f>TEXT(A495,"mmm yyyy")</x:f>
        <x:v>May 2026</x:v>
      </x:c>
    </x:row>
    <x:row r="496" ht="21" customHeight="1">
      <x:c r="A496" s="10" t="n">
        <x:v>46158</x:v>
      </x:c>
      <x:c r="B496" s="1" t="n">
        <x:v>20</x:v>
      </x:c>
      <x:c r="C496" s="1" t="n">
        <x:v>6</x:v>
      </x:c>
      <x:c r="D496" s="12" t="n">
        <x:v>0.6244166666666666</x:v>
      </x:c>
      <x:c r="E496" s="12" t="n">
        <x:v>0.6244166666666666</x:v>
      </x:c>
      <x:c r="F496" s="12" t="n">
        <x:v>0</x:v>
      </x:c>
      <x:c r="G496" s="12" t="n">
        <x:v>0</x:v>
      </x:c>
      <x:c r="H496" s="1" t="n">
        <x:f>'Historical prices'!E496</x:f>
        <x:v>1.05</x:v>
      </x:c>
      <x:c r="I496" s="6" t="n">
        <x:f>'Historical prices'!D496</x:f>
        <x:v>0.2226</x:v>
      </x:c>
      <x:c r="J496" s="13" t="n">
        <x:f>D496*I496*H496</x:f>
        <x:v>0.1459449075</x:v>
      </x:c>
      <x:c r="K496" s="13" t="n">
        <x:f>E496*I496*H496</x:f>
        <x:v>0.1459449075</x:v>
      </x:c>
      <x:c r="L496" s="1" t="str">
        <x:f>TEXT(A496,"mmm yyyy")</x:f>
        <x:v>May 2026</x:v>
      </x:c>
    </x:row>
    <x:row r="497" ht="21" customHeight="1">
      <x:c r="A497" s="10" t="n">
        <x:v>46158</x:v>
      </x:c>
      <x:c r="B497" s="1" t="n">
        <x:v>20.5</x:v>
      </x:c>
      <x:c r="C497" s="1" t="n">
        <x:v>6</x:v>
      </x:c>
      <x:c r="D497" s="12" t="n">
        <x:v>0.496</x:v>
      </x:c>
      <x:c r="E497" s="12" t="n">
        <x:v>0.498</x:v>
      </x:c>
      <x:c r="F497" s="12" t="n">
        <x:v>0</x:v>
      </x:c>
      <x:c r="G497" s="12" t="n">
        <x:v>0</x:v>
      </x:c>
      <x:c r="H497" s="1" t="n">
        <x:f>'Historical prices'!E497</x:f>
        <x:v>1.05</x:v>
      </x:c>
      <x:c r="I497" s="6" t="n">
        <x:f>'Historical prices'!D497</x:f>
        <x:v>0.2226</x:v>
      </x:c>
      <x:c r="J497" s="13" t="n">
        <x:f>D497*I497*H497</x:f>
        <x:v>0.11593008</x:v>
      </x:c>
      <x:c r="K497" s="13" t="n">
        <x:f>E497*I497*H497</x:f>
        <x:v>0.11639754</x:v>
      </x:c>
      <x:c r="L497" s="1" t="str">
        <x:f>TEXT(A497,"mmm yyyy")</x:f>
        <x:v>May 2026</x:v>
      </x:c>
    </x:row>
    <x:row r="498" ht="21" customHeight="1">
      <x:c r="A498" s="10" t="n">
        <x:v>46158</x:v>
      </x:c>
      <x:c r="B498" s="1" t="n">
        <x:v>21</x:v>
      </x:c>
      <x:c r="C498" s="1" t="n">
        <x:v>6</x:v>
      </x:c>
      <x:c r="D498" s="12" t="n">
        <x:v>0.4286666666666667</x:v>
      </x:c>
      <x:c r="E498" s="12" t="n">
        <x:v>0.4276666666666667</x:v>
      </x:c>
      <x:c r="F498" s="12" t="n">
        <x:v>0</x:v>
      </x:c>
      <x:c r="G498" s="12" t="n">
        <x:v>0</x:v>
      </x:c>
      <x:c r="H498" s="1" t="n">
        <x:f>'Historical prices'!E498</x:f>
        <x:v>1.05</x:v>
      </x:c>
      <x:c r="I498" s="6" t="n">
        <x:f>'Historical prices'!D498</x:f>
        <x:v>0.2226</x:v>
      </x:c>
      <x:c r="J498" s="13" t="n">
        <x:f>D498*I498*H498</x:f>
        <x:v>0.10019226</x:v>
      </x:c>
      <x:c r="K498" s="13" t="n">
        <x:f>E498*I498*H498</x:f>
        <x:v>0.09995853000000002</x:v>
      </x:c>
      <x:c r="L498" s="1" t="str">
        <x:f>TEXT(A498,"mmm yyyy")</x:f>
        <x:v>May 2026</x:v>
      </x:c>
    </x:row>
    <x:row r="499" ht="21" customHeight="1">
      <x:c r="A499" s="10" t="n">
        <x:v>46158</x:v>
      </x:c>
      <x:c r="B499" s="1" t="n">
        <x:v>21.5</x:v>
      </x:c>
      <x:c r="C499" s="1" t="n">
        <x:v>6</x:v>
      </x:c>
      <x:c r="D499" s="12" t="n">
        <x:v>0.68675</x:v>
      </x:c>
      <x:c r="E499" s="12" t="n">
        <x:v>0.68675</x:v>
      </x:c>
      <x:c r="F499" s="12" t="n">
        <x:v>0</x:v>
      </x:c>
      <x:c r="G499" s="12" t="n">
        <x:v>0</x:v>
      </x:c>
      <x:c r="H499" s="1" t="n">
        <x:f>'Historical prices'!E499</x:f>
        <x:v>1.05</x:v>
      </x:c>
      <x:c r="I499" s="6" t="n">
        <x:f>'Historical prices'!D499</x:f>
        <x:v>0.2226</x:v>
      </x:c>
      <x:c r="J499" s="13" t="n">
        <x:f>D499*I499*H499</x:f>
        <x:v>0.1605140775</x:v>
      </x:c>
      <x:c r="K499" s="13" t="n">
        <x:f>E499*I499*H499</x:f>
        <x:v>0.1605140775</x:v>
      </x:c>
      <x:c r="L499" s="1" t="str">
        <x:f>TEXT(A499,"mmm yyyy")</x:f>
        <x:v>May 2026</x:v>
      </x:c>
    </x:row>
    <x:row r="500" ht="21" customHeight="1">
      <x:c r="A500" s="10" t="n">
        <x:v>46158</x:v>
      </x:c>
      <x:c r="B500" s="1" t="n">
        <x:v>22</x:v>
      </x:c>
      <x:c r="C500" s="1" t="n">
        <x:v>6</x:v>
      </x:c>
      <x:c r="D500" s="12" t="n">
        <x:v>0.5245833333333333</x:v>
      </x:c>
      <x:c r="E500" s="12" t="n">
        <x:v>0.5255833333333333</x:v>
      </x:c>
      <x:c r="F500" s="12" t="n">
        <x:v>0</x:v>
      </x:c>
      <x:c r="G500" s="12" t="n">
        <x:v>0</x:v>
      </x:c>
      <x:c r="H500" s="1" t="n">
        <x:f>'Historical prices'!E500</x:f>
        <x:v>1.05</x:v>
      </x:c>
      <x:c r="I500" s="6" t="n">
        <x:f>'Historical prices'!D500</x:f>
        <x:v>0.2226</x:v>
      </x:c>
      <x:c r="J500" s="13" t="n">
        <x:f>D500*I500*H500</x:f>
        <x:v>0.12261086249999999</x:v>
      </x:c>
      <x:c r="K500" s="13" t="n">
        <x:f>E500*I500*H500</x:f>
        <x:v>0.12284459249999999</x:v>
      </x:c>
      <x:c r="L500" s="1" t="str">
        <x:f>TEXT(A500,"mmm yyyy")</x:f>
        <x:v>May 2026</x:v>
      </x:c>
    </x:row>
    <x:row r="501" ht="21" customHeight="1">
      <x:c r="A501" s="10" t="n">
        <x:v>46158</x:v>
      </x:c>
      <x:c r="B501" s="1" t="n">
        <x:v>22.5</x:v>
      </x:c>
      <x:c r="C501" s="1" t="n">
        <x:v>6</x:v>
      </x:c>
      <x:c r="D501" s="12" t="n">
        <x:v>0.3100833333333334</x:v>
      </x:c>
      <x:c r="E501" s="12" t="n">
        <x:v>0.31108333333333327</x:v>
      </x:c>
      <x:c r="F501" s="12" t="n">
        <x:v>0</x:v>
      </x:c>
      <x:c r="G501" s="12" t="n">
        <x:v>0</x:v>
      </x:c>
      <x:c r="H501" s="1" t="n">
        <x:f>'Historical prices'!E501</x:f>
        <x:v>1.05</x:v>
      </x:c>
      <x:c r="I501" s="6" t="n">
        <x:f>'Historical prices'!D501</x:f>
        <x:v>0.2226</x:v>
      </x:c>
      <x:c r="J501" s="13" t="n">
        <x:f>D501*I501*H501</x:f>
        <x:v>0.0724757775</x:v>
      </x:c>
      <x:c r="K501" s="13" t="n">
        <x:f>E501*I501*H501</x:f>
        <x:v>0.07270950749999998</x:v>
      </x:c>
      <x:c r="L501" s="1" t="str">
        <x:f>TEXT(A501,"mmm yyyy")</x:f>
        <x:v>May 2026</x:v>
      </x:c>
    </x:row>
    <x:row r="502" ht="21" customHeight="1">
      <x:c r="A502" s="10" t="n">
        <x:v>46158</x:v>
      </x:c>
      <x:c r="B502" s="1" t="n">
        <x:v>23</x:v>
      </x:c>
      <x:c r="C502" s="1" t="n">
        <x:v>6</x:v>
      </x:c>
      <x:c r="D502" s="12" t="n">
        <x:v>0.2559166666666666</x:v>
      </x:c>
      <x:c r="E502" s="12" t="n">
        <x:v>0.2559166666666666</x:v>
      </x:c>
      <x:c r="F502" s="12" t="n">
        <x:v>0</x:v>
      </x:c>
      <x:c r="G502" s="12" t="n">
        <x:v>0</x:v>
      </x:c>
      <x:c r="H502" s="1" t="n">
        <x:f>'Historical prices'!E502</x:f>
        <x:v>1.05</x:v>
      </x:c>
      <x:c r="I502" s="6" t="n">
        <x:f>'Historical prices'!D502</x:f>
        <x:v>0.2226</x:v>
      </x:c>
      <x:c r="J502" s="13" t="n">
        <x:f>D502*I502*H502</x:f>
        <x:v>0.059815402499999996</x:v>
      </x:c>
      <x:c r="K502" s="13" t="n">
        <x:f>E502*I502*H502</x:f>
        <x:v>0.059815402499999996</x:v>
      </x:c>
      <x:c r="L502" s="1" t="str">
        <x:f>TEXT(A502,"mmm yyyy")</x:f>
        <x:v>May 2026</x:v>
      </x:c>
    </x:row>
    <x:row r="503" ht="21" customHeight="1">
      <x:c r="A503" s="10" t="n">
        <x:v>46158</x:v>
      </x:c>
      <x:c r="B503" s="1" t="n">
        <x:v>23.5</x:v>
      </x:c>
      <x:c r="C503" s="1" t="n">
        <x:v>6</x:v>
      </x:c>
      <x:c r="D503" s="12" t="n">
        <x:v>0.3154166666666667</x:v>
      </x:c>
      <x:c r="E503" s="12" t="n">
        <x:v>0.3164166666666667</x:v>
      </x:c>
      <x:c r="F503" s="12" t="n">
        <x:v>0</x:v>
      </x:c>
      <x:c r="G503" s="12" t="n">
        <x:v>0</x:v>
      </x:c>
      <x:c r="H503" s="1" t="n">
        <x:f>'Historical prices'!E503</x:f>
        <x:v>1.05</x:v>
      </x:c>
      <x:c r="I503" s="6" t="n">
        <x:f>'Historical prices'!D503</x:f>
        <x:v>0.2226</x:v>
      </x:c>
      <x:c r="J503" s="13" t="n">
        <x:f>D503*I503*H503</x:f>
        <x:v>0.07372233750000001</x:v>
      </x:c>
      <x:c r="K503" s="13" t="n">
        <x:f>E503*I503*H503</x:f>
        <x:v>0.07395606750000001</x:v>
      </x:c>
      <x:c r="L503" s="1" t="str">
        <x:f>TEXT(A503,"mmm yyyy")</x:f>
        <x:v>May 2026</x:v>
      </x:c>
    </x:row>
    <x:row r="504" ht="21" customHeight="1">
      <x:c r="A504" s="10" t="n">
        <x:v>46159</x:v>
      </x:c>
      <x:c r="B504" s="1" t="n">
        <x:v>0</x:v>
      </x:c>
      <x:c r="C504" s="1" t="n">
        <x:v>6</x:v>
      </x:c>
      <x:c r="D504" s="12" t="n">
        <x:v>0.27725</x:v>
      </x:c>
      <x:c r="E504" s="12" t="n">
        <x:v>0.27725</x:v>
      </x:c>
      <x:c r="F504" s="12" t="n">
        <x:v>0</x:v>
      </x:c>
      <x:c r="G504" s="12" t="n">
        <x:v>0</x:v>
      </x:c>
      <x:c r="H504" s="1" t="n">
        <x:f>'Historical prices'!E504</x:f>
        <x:v>1.05</x:v>
      </x:c>
      <x:c r="I504" s="6" t="n">
        <x:f>'Historical prices'!D504</x:f>
        <x:v>0.2226</x:v>
      </x:c>
      <x:c r="J504" s="13" t="n">
        <x:f>D504*I504*H504</x:f>
        <x:v>0.06480164249999999</x:v>
      </x:c>
      <x:c r="K504" s="13" t="n">
        <x:f>E504*I504*H504</x:f>
        <x:v>0.06480164249999999</x:v>
      </x:c>
      <x:c r="L504" s="1" t="str">
        <x:f>TEXT(A504,"mmm yyyy")</x:f>
        <x:v>May 2026</x:v>
      </x:c>
    </x:row>
    <x:row r="505" ht="21" customHeight="1">
      <x:c r="A505" s="10" t="n">
        <x:v>46159</x:v>
      </x:c>
      <x:c r="B505" s="1" t="n">
        <x:v>0.5</x:v>
      </x:c>
      <x:c r="C505" s="1" t="n">
        <x:v>6</x:v>
      </x:c>
      <x:c r="D505" s="12" t="n">
        <x:v>0.20233333333333334</x:v>
      </x:c>
      <x:c r="E505" s="12" t="n">
        <x:v>0.20233333333333334</x:v>
      </x:c>
      <x:c r="F505" s="12" t="n">
        <x:v>0</x:v>
      </x:c>
      <x:c r="G505" s="12" t="n">
        <x:v>0</x:v>
      </x:c>
      <x:c r="H505" s="1" t="n">
        <x:f>'Historical prices'!E505</x:f>
        <x:v>1.05</x:v>
      </x:c>
      <x:c r="I505" s="6" t="n">
        <x:f>'Historical prices'!D505</x:f>
        <x:v>0.2226</x:v>
      </x:c>
      <x:c r="J505" s="13" t="n">
        <x:f>D505*I505*H505</x:f>
        <x:v>0.04729137</x:v>
      </x:c>
      <x:c r="K505" s="13" t="n">
        <x:f>E505*I505*H505</x:f>
        <x:v>0.04729137</x:v>
      </x:c>
      <x:c r="L505" s="1" t="str">
        <x:f>TEXT(A505,"mmm yyyy")</x:f>
        <x:v>May 2026</x:v>
      </x:c>
    </x:row>
    <x:row r="506" ht="21" customHeight="1">
      <x:c r="A506" s="10" t="n">
        <x:v>46159</x:v>
      </x:c>
      <x:c r="B506" s="1" t="n">
        <x:v>1</x:v>
      </x:c>
      <x:c r="C506" s="1" t="n">
        <x:v>6</x:v>
      </x:c>
      <x:c r="D506" s="12" t="n">
        <x:v>0.25075</x:v>
      </x:c>
      <x:c r="E506" s="12" t="n">
        <x:v>0.25075</x:v>
      </x:c>
      <x:c r="F506" s="12" t="n">
        <x:v>0</x:v>
      </x:c>
      <x:c r="G506" s="12" t="n">
        <x:v>0</x:v>
      </x:c>
      <x:c r="H506" s="1" t="n">
        <x:f>'Historical prices'!E506</x:f>
        <x:v>1.05</x:v>
      </x:c>
      <x:c r="I506" s="6" t="n">
        <x:f>'Historical prices'!D506</x:f>
        <x:v>0.2226</x:v>
      </x:c>
      <x:c r="J506" s="13" t="n">
        <x:f>D506*I506*H506</x:f>
        <x:v>0.05860779749999999</x:v>
      </x:c>
      <x:c r="K506" s="13" t="n">
        <x:f>E506*I506*H506</x:f>
        <x:v>0.05860779749999999</x:v>
      </x:c>
      <x:c r="L506" s="1" t="str">
        <x:f>TEXT(A506,"mmm yyyy")</x:f>
        <x:v>May 2026</x:v>
      </x:c>
    </x:row>
    <x:row r="507" ht="21" customHeight="1">
      <x:c r="A507" s="10" t="n">
        <x:v>46159</x:v>
      </x:c>
      <x:c r="B507" s="1" t="n">
        <x:v>1.5</x:v>
      </x:c>
      <x:c r="C507" s="1" t="n">
        <x:v>6</x:v>
      </x:c>
      <x:c r="D507" s="12" t="n">
        <x:v>0.24225</x:v>
      </x:c>
      <x:c r="E507" s="12" t="n">
        <x:v>0.24325</x:v>
      </x:c>
      <x:c r="F507" s="12" t="n">
        <x:v>0</x:v>
      </x:c>
      <x:c r="G507" s="12" t="n">
        <x:v>0</x:v>
      </x:c>
      <x:c r="H507" s="1" t="n">
        <x:f>'Historical prices'!E507</x:f>
        <x:v>1.05</x:v>
      </x:c>
      <x:c r="I507" s="6" t="n">
        <x:f>'Historical prices'!D507</x:f>
        <x:v>0.2226</x:v>
      </x:c>
      <x:c r="J507" s="13" t="n">
        <x:f>D507*I507*H507</x:f>
        <x:v>0.0566210925</x:v>
      </x:c>
      <x:c r="K507" s="13" t="n">
        <x:f>E507*I507*H507</x:f>
        <x:v>0.0568548225</x:v>
      </x:c>
      <x:c r="L507" s="1" t="str">
        <x:f>TEXT(A507,"mmm yyyy")</x:f>
        <x:v>May 2026</x:v>
      </x:c>
    </x:row>
    <x:row r="508" ht="21" customHeight="1">
      <x:c r="A508" s="10" t="n">
        <x:v>46159</x:v>
      </x:c>
      <x:c r="B508" s="1" t="n">
        <x:v>2</x:v>
      </x:c>
      <x:c r="C508" s="1" t="n">
        <x:v>6</x:v>
      </x:c>
      <x:c r="D508" s="12" t="n">
        <x:v>0.17308333333333334</x:v>
      </x:c>
      <x:c r="E508" s="12" t="n">
        <x:v>0.17408333333333334</x:v>
      </x:c>
      <x:c r="F508" s="12" t="n">
        <x:v>0</x:v>
      </x:c>
      <x:c r="G508" s="12" t="n">
        <x:v>0</x:v>
      </x:c>
      <x:c r="H508" s="1" t="n">
        <x:f>'Historical prices'!E508</x:f>
        <x:v>1.05</x:v>
      </x:c>
      <x:c r="I508" s="6" t="n">
        <x:f>'Historical prices'!D508</x:f>
        <x:v>0.2226</x:v>
      </x:c>
      <x:c r="J508" s="13" t="n">
        <x:f>D508*I508*H508</x:f>
        <x:v>0.0404547675</x:v>
      </x:c>
      <x:c r="K508" s="13" t="n">
        <x:f>E508*I508*H508</x:f>
        <x:v>0.040688497500000004</x:v>
      </x:c>
      <x:c r="L508" s="1" t="str">
        <x:f>TEXT(A508,"mmm yyyy")</x:f>
        <x:v>May 2026</x:v>
      </x:c>
    </x:row>
    <x:row r="509" ht="21" customHeight="1">
      <x:c r="A509" s="10" t="n">
        <x:v>46159</x:v>
      </x:c>
      <x:c r="B509" s="1" t="n">
        <x:v>2.5</x:v>
      </x:c>
      <x:c r="C509" s="1" t="n">
        <x:v>6</x:v>
      </x:c>
      <x:c r="D509" s="12" t="n">
        <x:v>0.33175</x:v>
      </x:c>
      <x:c r="E509" s="12" t="n">
        <x:v>0.33175</x:v>
      </x:c>
      <x:c r="F509" s="12" t="n">
        <x:v>0</x:v>
      </x:c>
      <x:c r="G509" s="12" t="n">
        <x:v>0</x:v>
      </x:c>
      <x:c r="H509" s="1" t="n">
        <x:f>'Historical prices'!E509</x:f>
        <x:v>1.05</x:v>
      </x:c>
      <x:c r="I509" s="6" t="n">
        <x:f>'Historical prices'!D509</x:f>
        <x:v>0.2226</x:v>
      </x:c>
      <x:c r="J509" s="13" t="n">
        <x:f>D509*I509*H509</x:f>
        <x:v>0.0775399275</x:v>
      </x:c>
      <x:c r="K509" s="13" t="n">
        <x:f>E509*I509*H509</x:f>
        <x:v>0.0775399275</x:v>
      </x:c>
      <x:c r="L509" s="1" t="str">
        <x:f>TEXT(A509,"mmm yyyy")</x:f>
        <x:v>May 2026</x:v>
      </x:c>
    </x:row>
    <x:row r="510" ht="21" customHeight="1">
      <x:c r="A510" s="10" t="n">
        <x:v>46159</x:v>
      </x:c>
      <x:c r="B510" s="1" t="n">
        <x:v>3</x:v>
      </x:c>
      <x:c r="C510" s="1" t="n">
        <x:v>6</x:v>
      </x:c>
      <x:c r="D510" s="12" t="n">
        <x:v>0.2881666666666666</x:v>
      </x:c>
      <x:c r="E510" s="12" t="n">
        <x:v>0.2891666666666667</x:v>
      </x:c>
      <x:c r="F510" s="12" t="n">
        <x:v>0</x:v>
      </x:c>
      <x:c r="G510" s="12" t="n">
        <x:v>0</x:v>
      </x:c>
      <x:c r="H510" s="1" t="n">
        <x:f>'Historical prices'!E510</x:f>
        <x:v>1.05</x:v>
      </x:c>
      <x:c r="I510" s="6" t="n">
        <x:f>'Historical prices'!D510</x:f>
        <x:v>0.2226</x:v>
      </x:c>
      <x:c r="J510" s="13" t="n">
        <x:f>D510*I510*H510</x:f>
        <x:v>0.06735319499999999</x:v>
      </x:c>
      <x:c r="K510" s="13" t="n">
        <x:f>E510*I510*H510</x:f>
        <x:v>0.06758692499999999</x:v>
      </x:c>
      <x:c r="L510" s="1" t="str">
        <x:f>TEXT(A510,"mmm yyyy")</x:f>
        <x:v>May 2026</x:v>
      </x:c>
    </x:row>
    <x:row r="511" ht="21" customHeight="1">
      <x:c r="A511" s="10" t="n">
        <x:v>46159</x:v>
      </x:c>
      <x:c r="B511" s="1" t="n">
        <x:v>3.5</x:v>
      </x:c>
      <x:c r="C511" s="1" t="n">
        <x:v>6</x:v>
      </x:c>
      <x:c r="D511" s="12" t="n">
        <x:v>0.20833333333333334</x:v>
      </x:c>
      <x:c r="E511" s="12" t="n">
        <x:v>0.20733333333333334</x:v>
      </x:c>
      <x:c r="F511" s="12" t="n">
        <x:v>0</x:v>
      </x:c>
      <x:c r="G511" s="12" t="n">
        <x:v>0</x:v>
      </x:c>
      <x:c r="H511" s="1" t="n">
        <x:f>'Historical prices'!E511</x:f>
        <x:v>1.05</x:v>
      </x:c>
      <x:c r="I511" s="6" t="n">
        <x:f>'Historical prices'!D511</x:f>
        <x:v>0.2226</x:v>
      </x:c>
      <x:c r="J511" s="13" t="n">
        <x:f>D511*I511*H511</x:f>
        <x:v>0.04869375</x:v>
      </x:c>
      <x:c r="K511" s="13" t="n">
        <x:f>E511*I511*H511</x:f>
        <x:v>0.048460020000000006</x:v>
      </x:c>
      <x:c r="L511" s="1" t="str">
        <x:f>TEXT(A511,"mmm yyyy")</x:f>
        <x:v>May 2026</x:v>
      </x:c>
    </x:row>
    <x:row r="512" ht="21" customHeight="1">
      <x:c r="A512" s="10" t="n">
        <x:v>46159</x:v>
      </x:c>
      <x:c r="B512" s="1" t="n">
        <x:v>4</x:v>
      </x:c>
      <x:c r="C512" s="1" t="n">
        <x:v>6</x:v>
      </x:c>
      <x:c r="D512" s="12" t="n">
        <x:v>0.242</x:v>
      </x:c>
      <x:c r="E512" s="12" t="n">
        <x:v>0.243</x:v>
      </x:c>
      <x:c r="F512" s="12" t="n">
        <x:v>0</x:v>
      </x:c>
      <x:c r="G512" s="12" t="n">
        <x:v>0</x:v>
      </x:c>
      <x:c r="H512" s="1" t="n">
        <x:f>'Historical prices'!E512</x:f>
        <x:v>1.05</x:v>
      </x:c>
      <x:c r="I512" s="6" t="n">
        <x:f>'Historical prices'!D512</x:f>
        <x:v>0.2226</x:v>
      </x:c>
      <x:c r="J512" s="13" t="n">
        <x:f>D512*I512*H512</x:f>
        <x:v>0.05656266</x:v>
      </x:c>
      <x:c r="K512" s="13" t="n">
        <x:f>E512*I512*H512</x:f>
        <x:v>0.056796389999999995</x:v>
      </x:c>
      <x:c r="L512" s="1" t="str">
        <x:f>TEXT(A512,"mmm yyyy")</x:f>
        <x:v>May 2026</x:v>
      </x:c>
    </x:row>
    <x:row r="513" ht="21" customHeight="1">
      <x:c r="A513" s="10" t="n">
        <x:v>46159</x:v>
      </x:c>
      <x:c r="B513" s="1" t="n">
        <x:v>4.5</x:v>
      </x:c>
      <x:c r="C513" s="1" t="n">
        <x:v>6</x:v>
      </x:c>
      <x:c r="D513" s="12" t="n">
        <x:v>0.3010833333333333</x:v>
      </x:c>
      <x:c r="E513" s="12" t="n">
        <x:v>0.3010833333333333</x:v>
      </x:c>
      <x:c r="F513" s="12" t="n">
        <x:v>0</x:v>
      </x:c>
      <x:c r="G513" s="12" t="n">
        <x:v>0</x:v>
      </x:c>
      <x:c r="H513" s="1" t="n">
        <x:f>'Historical prices'!E513</x:f>
        <x:v>1.05</x:v>
      </x:c>
      <x:c r="I513" s="6" t="n">
        <x:f>'Historical prices'!D513</x:f>
        <x:v>0.2226</x:v>
      </x:c>
      <x:c r="J513" s="13" t="n">
        <x:f>D513*I513*H513</x:f>
        <x:v>0.07037220749999999</x:v>
      </x:c>
      <x:c r="K513" s="13" t="n">
        <x:f>E513*I513*H513</x:f>
        <x:v>0.07037220749999999</x:v>
      </x:c>
      <x:c r="L513" s="1" t="str">
        <x:f>TEXT(A513,"mmm yyyy")</x:f>
        <x:v>May 2026</x:v>
      </x:c>
    </x:row>
    <x:row r="514" ht="21" customHeight="1">
      <x:c r="A514" s="10" t="n">
        <x:v>46159</x:v>
      </x:c>
      <x:c r="B514" s="1" t="n">
        <x:v>5</x:v>
      </x:c>
      <x:c r="C514" s="1" t="n">
        <x:v>6</x:v>
      </x:c>
      <x:c r="D514" s="12" t="n">
        <x:v>0.28150000000000003</x:v>
      </x:c>
      <x:c r="E514" s="12" t="n">
        <x:v>0.28250000000000003</x:v>
      </x:c>
      <x:c r="F514" s="12" t="n">
        <x:v>0</x:v>
      </x:c>
      <x:c r="G514" s="12" t="n">
        <x:v>0</x:v>
      </x:c>
      <x:c r="H514" s="1" t="n">
        <x:f>'Historical prices'!E514</x:f>
        <x:v>1.05</x:v>
      </x:c>
      <x:c r="I514" s="6" t="n">
        <x:f>'Historical prices'!D514</x:f>
        <x:v>0.2226</x:v>
      </x:c>
      <x:c r="J514" s="13" t="n">
        <x:f>D514*I514*H514</x:f>
        <x:v>0.06579499500000001</x:v>
      </x:c>
      <x:c r="K514" s="13" t="n">
        <x:f>E514*I514*H514</x:f>
        <x:v>0.06602872500000001</x:v>
      </x:c>
      <x:c r="L514" s="1" t="str">
        <x:f>TEXT(A514,"mmm yyyy")</x:f>
        <x:v>May 2026</x:v>
      </x:c>
    </x:row>
    <x:row r="515" ht="21" customHeight="1">
      <x:c r="A515" s="10" t="n">
        <x:v>46159</x:v>
      </x:c>
      <x:c r="B515" s="1" t="n">
        <x:v>5.5</x:v>
      </x:c>
      <x:c r="C515" s="1" t="n">
        <x:v>6</x:v>
      </x:c>
      <x:c r="D515" s="12" t="n">
        <x:v>0.3125</x:v>
      </x:c>
      <x:c r="E515" s="12" t="n">
        <x:v>0.3125</x:v>
      </x:c>
      <x:c r="F515" s="12" t="n">
        <x:v>0</x:v>
      </x:c>
      <x:c r="G515" s="12" t="n">
        <x:v>0</x:v>
      </x:c>
      <x:c r="H515" s="1" t="n">
        <x:f>'Historical prices'!E515</x:f>
        <x:v>1.05</x:v>
      </x:c>
      <x:c r="I515" s="6" t="n">
        <x:f>'Historical prices'!D515</x:f>
        <x:v>0.2226</x:v>
      </x:c>
      <x:c r="J515" s="13" t="n">
        <x:f>D515*I515*H515</x:f>
        <x:v>0.073040625</x:v>
      </x:c>
      <x:c r="K515" s="13" t="n">
        <x:f>E515*I515*H515</x:f>
        <x:v>0.073040625</x:v>
      </x:c>
      <x:c r="L515" s="1" t="str">
        <x:f>TEXT(A515,"mmm yyyy")</x:f>
        <x:v>May 2026</x:v>
      </x:c>
    </x:row>
    <x:row r="516" ht="21" customHeight="1">
      <x:c r="A516" s="10" t="n">
        <x:v>46159</x:v>
      </x:c>
      <x:c r="B516" s="1" t="n">
        <x:v>6</x:v>
      </x:c>
      <x:c r="C516" s="1" t="n">
        <x:v>6</x:v>
      </x:c>
      <x:c r="D516" s="12" t="n">
        <x:v>0.44308333333333333</x:v>
      </x:c>
      <x:c r="E516" s="12" t="n">
        <x:v>0.44508333333333333</x:v>
      </x:c>
      <x:c r="F516" s="12" t="n">
        <x:v>0</x:v>
      </x:c>
      <x:c r="G516" s="12" t="n">
        <x:v>0</x:v>
      </x:c>
      <x:c r="H516" s="1" t="n">
        <x:f>'Historical prices'!E516</x:f>
        <x:v>1.05</x:v>
      </x:c>
      <x:c r="I516" s="6" t="n">
        <x:f>'Historical prices'!D516</x:f>
        <x:v>0.2226</x:v>
      </x:c>
      <x:c r="J516" s="13" t="n">
        <x:f>D516*I516*H516</x:f>
        <x:v>0.1035618675</x:v>
      </x:c>
      <x:c r="K516" s="13" t="n">
        <x:f>E516*I516*H516</x:f>
        <x:v>0.1040293275</x:v>
      </x:c>
      <x:c r="L516" s="1" t="str">
        <x:f>TEXT(A516,"mmm yyyy")</x:f>
        <x:v>May 2026</x:v>
      </x:c>
    </x:row>
    <x:row r="517" ht="21" customHeight="1">
      <x:c r="A517" s="10" t="n">
        <x:v>46159</x:v>
      </x:c>
      <x:c r="B517" s="1" t="n">
        <x:v>6.5</x:v>
      </x:c>
      <x:c r="C517" s="1" t="n">
        <x:v>6</x:v>
      </x:c>
      <x:c r="D517" s="12" t="n">
        <x:v>0.5991666666666667</x:v>
      </x:c>
      <x:c r="E517" s="12" t="n">
        <x:v>0.5991666666666666</x:v>
      </x:c>
      <x:c r="F517" s="12" t="n">
        <x:v>0</x:v>
      </x:c>
      <x:c r="G517" s="12" t="n">
        <x:v>0</x:v>
      </x:c>
      <x:c r="H517" s="1" t="n">
        <x:f>'Historical prices'!E517</x:f>
        <x:v>1.05</x:v>
      </x:c>
      <x:c r="I517" s="6" t="n">
        <x:f>'Historical prices'!D517</x:f>
        <x:v>0.2226</x:v>
      </x:c>
      <x:c r="J517" s="13" t="n">
        <x:f>D517*I517*H517</x:f>
        <x:v>0.14004322500000002</x:v>
      </x:c>
      <x:c r="K517" s="13" t="n">
        <x:f>E517*I517*H517</x:f>
        <x:v>0.140043225</x:v>
      </x:c>
      <x:c r="L517" s="1" t="str">
        <x:f>TEXT(A517,"mmm yyyy")</x:f>
        <x:v>May 2026</x:v>
      </x:c>
    </x:row>
    <x:row r="518" ht="21" customHeight="1">
      <x:c r="A518" s="10" t="n">
        <x:v>46159</x:v>
      </x:c>
      <x:c r="B518" s="1" t="n">
        <x:v>7</x:v>
      </x:c>
      <x:c r="C518" s="1" t="n">
        <x:v>6</x:v>
      </x:c>
      <x:c r="D518" s="12" t="n">
        <x:v>0.6248333333333334</x:v>
      </x:c>
      <x:c r="E518" s="12" t="n">
        <x:v>0.6258333333333334</x:v>
      </x:c>
      <x:c r="F518" s="12" t="n">
        <x:v>0</x:v>
      </x:c>
      <x:c r="G518" s="12" t="n">
        <x:v>0</x:v>
      </x:c>
      <x:c r="H518" s="1" t="n">
        <x:f>'Historical prices'!E518</x:f>
        <x:v>1.05</x:v>
      </x:c>
      <x:c r="I518" s="6" t="n">
        <x:f>'Historical prices'!D518</x:f>
        <x:v>0.2226</x:v>
      </x:c>
      <x:c r="J518" s="13" t="n">
        <x:f>D518*I518*H518</x:f>
        <x:v>0.146042295</x:v>
      </x:c>
      <x:c r="K518" s="13" t="n">
        <x:f>E518*I518*H518</x:f>
        <x:v>0.146276025</x:v>
      </x:c>
      <x:c r="L518" s="1" t="str">
        <x:f>TEXT(A518,"mmm yyyy")</x:f>
        <x:v>May 2026</x:v>
      </x:c>
    </x:row>
    <x:row r="519" ht="21" customHeight="1">
      <x:c r="A519" s="10" t="n">
        <x:v>46159</x:v>
      </x:c>
      <x:c r="B519" s="1" t="n">
        <x:v>7.5</x:v>
      </x:c>
      <x:c r="C519" s="1" t="n">
        <x:v>6</x:v>
      </x:c>
      <x:c r="D519" s="12" t="n">
        <x:v>0.6190833333333333</x:v>
      </x:c>
      <x:c r="E519" s="12" t="n">
        <x:v>0.6190833333333333</x:v>
      </x:c>
      <x:c r="F519" s="12" t="n">
        <x:v>0</x:v>
      </x:c>
      <x:c r="G519" s="12" t="n">
        <x:v>0</x:v>
      </x:c>
      <x:c r="H519" s="1" t="n">
        <x:f>'Historical prices'!E519</x:f>
        <x:v>1.05</x:v>
      </x:c>
      <x:c r="I519" s="6" t="n">
        <x:f>'Historical prices'!D519</x:f>
        <x:v>0.2226</x:v>
      </x:c>
      <x:c r="J519" s="13" t="n">
        <x:f>D519*I519*H519</x:f>
        <x:v>0.1446983475</x:v>
      </x:c>
      <x:c r="K519" s="13" t="n">
        <x:f>E519*I519*H519</x:f>
        <x:v>0.1446983475</x:v>
      </x:c>
      <x:c r="L519" s="1" t="str">
        <x:f>TEXT(A519,"mmm yyyy")</x:f>
        <x:v>May 2026</x:v>
      </x:c>
    </x:row>
    <x:row r="520" ht="21" customHeight="1">
      <x:c r="A520" s="10" t="n">
        <x:v>46159</x:v>
      </x:c>
      <x:c r="B520" s="1" t="n">
        <x:v>8</x:v>
      </x:c>
      <x:c r="C520" s="1" t="n">
        <x:v>6</x:v>
      </x:c>
      <x:c r="D520" s="12" t="n">
        <x:v>0.5738333333333333</x:v>
      </x:c>
      <x:c r="E520" s="12" t="n">
        <x:v>0.5728333333333333</x:v>
      </x:c>
      <x:c r="F520" s="12" t="n">
        <x:v>0</x:v>
      </x:c>
      <x:c r="G520" s="12" t="n">
        <x:v>0</x:v>
      </x:c>
      <x:c r="H520" s="1" t="n">
        <x:f>'Historical prices'!E520</x:f>
        <x:v>1.05</x:v>
      </x:c>
      <x:c r="I520" s="6" t="n">
        <x:f>'Historical prices'!D520</x:f>
        <x:v>0.2226</x:v>
      </x:c>
      <x:c r="J520" s="13" t="n">
        <x:f>D520*I520*H520</x:f>
        <x:v>0.134122065</x:v>
      </x:c>
      <x:c r="K520" s="13" t="n">
        <x:f>E520*I520*H520</x:f>
        <x:v>0.133888335</x:v>
      </x:c>
      <x:c r="L520" s="1" t="str">
        <x:f>TEXT(A520,"mmm yyyy")</x:f>
        <x:v>May 2026</x:v>
      </x:c>
    </x:row>
    <x:row r="521" ht="21" customHeight="1">
      <x:c r="A521" s="10" t="n">
        <x:v>46159</x:v>
      </x:c>
      <x:c r="B521" s="1" t="n">
        <x:v>8.5</x:v>
      </x:c>
      <x:c r="C521" s="1" t="n">
        <x:v>6</x:v>
      </x:c>
      <x:c r="D521" s="12" t="n">
        <x:v>2.25575</x:v>
      </x:c>
      <x:c r="E521" s="12" t="n">
        <x:v>2.25775</x:v>
      </x:c>
      <x:c r="F521" s="12" t="n">
        <x:v>0</x:v>
      </x:c>
      <x:c r="G521" s="12" t="n">
        <x:v>0</x:v>
      </x:c>
      <x:c r="H521" s="1" t="n">
        <x:f>'Historical prices'!E521</x:f>
        <x:v>1.05</x:v>
      </x:c>
      <x:c r="I521" s="6" t="n">
        <x:f>'Historical prices'!D521</x:f>
        <x:v>0.2226</x:v>
      </x:c>
      <x:c r="J521" s="13" t="n">
        <x:f>D521*I521*H521</x:f>
        <x:v>0.5272364475</x:v>
      </x:c>
      <x:c r="K521" s="13" t="n">
        <x:f>E521*I521*H521</x:f>
        <x:v>0.5277039075</x:v>
      </x:c>
      <x:c r="L521" s="1" t="str">
        <x:f>TEXT(A521,"mmm yyyy")</x:f>
        <x:v>May 2026</x:v>
      </x:c>
    </x:row>
    <x:row r="522" ht="21" customHeight="1">
      <x:c r="A522" s="10" t="n">
        <x:v>46159</x:v>
      </x:c>
      <x:c r="B522" s="1" t="n">
        <x:v>9</x:v>
      </x:c>
      <x:c r="C522" s="1" t="n">
        <x:v>6</x:v>
      </x:c>
      <x:c r="D522" s="12" t="n">
        <x:v>1.1855833333333332</x:v>
      </x:c>
      <x:c r="E522" s="12" t="n">
        <x:v>1.1845833333333333</x:v>
      </x:c>
      <x:c r="F522" s="12" t="n">
        <x:v>0</x:v>
      </x:c>
      <x:c r="G522" s="12" t="n">
        <x:v>0</x:v>
      </x:c>
      <x:c r="H522" s="1" t="n">
        <x:f>'Historical prices'!E522</x:f>
        <x:v>1.05</x:v>
      </x:c>
      <x:c r="I522" s="6" t="n">
        <x:f>'Historical prices'!D522</x:f>
        <x:v>0.2226</x:v>
      </x:c>
      <x:c r="J522" s="13" t="n">
        <x:f>D522*I522*H522</x:f>
        <x:v>0.27710639249999997</x:v>
      </x:c>
      <x:c r="K522" s="13" t="n">
        <x:f>E522*I522*H522</x:f>
        <x:v>0.27687266250000003</x:v>
      </x:c>
      <x:c r="L522" s="1" t="str">
        <x:f>TEXT(A522,"mmm yyyy")</x:f>
        <x:v>May 2026</x:v>
      </x:c>
    </x:row>
    <x:row r="523" ht="21" customHeight="1">
      <x:c r="A523" s="10" t="n">
        <x:v>46159</x:v>
      </x:c>
      <x:c r="B523" s="1" t="n">
        <x:v>9.5</x:v>
      </x:c>
      <x:c r="C523" s="1" t="n">
        <x:v>6</x:v>
      </x:c>
      <x:c r="D523" s="12" t="n">
        <x:v>0.82475</x:v>
      </x:c>
      <x:c r="E523" s="12" t="n">
        <x:v>0.8247499999999999</x:v>
      </x:c>
      <x:c r="F523" s="12" t="n">
        <x:v>0</x:v>
      </x:c>
      <x:c r="G523" s="12" t="n">
        <x:v>0</x:v>
      </x:c>
      <x:c r="H523" s="1" t="n">
        <x:f>'Historical prices'!E523</x:f>
        <x:v>1.05</x:v>
      </x:c>
      <x:c r="I523" s="6" t="n">
        <x:f>'Historical prices'!D523</x:f>
        <x:v>0.2226</x:v>
      </x:c>
      <x:c r="J523" s="13" t="n">
        <x:f>D523*I523*H523</x:f>
        <x:v>0.1927688175</x:v>
      </x:c>
      <x:c r="K523" s="13" t="n">
        <x:f>E523*I523*H523</x:f>
        <x:v>0.19276881749999997</x:v>
      </x:c>
      <x:c r="L523" s="1" t="str">
        <x:f>TEXT(A523,"mmm yyyy")</x:f>
        <x:v>May 2026</x:v>
      </x:c>
    </x:row>
    <x:row r="524" ht="21" customHeight="1">
      <x:c r="A524" s="10" t="n">
        <x:v>46159</x:v>
      </x:c>
      <x:c r="B524" s="1" t="n">
        <x:v>10</x:v>
      </x:c>
      <x:c r="C524" s="1" t="n">
        <x:v>6</x:v>
      </x:c>
      <x:c r="D524" s="12" t="n">
        <x:v>0.6215</x:v>
      </x:c>
      <x:c r="E524" s="12" t="n">
        <x:v>0.6225</x:v>
      </x:c>
      <x:c r="F524" s="12" t="n">
        <x:v>0</x:v>
      </x:c>
      <x:c r="G524" s="12" t="n">
        <x:v>0</x:v>
      </x:c>
      <x:c r="H524" s="1" t="n">
        <x:f>'Historical prices'!E524</x:f>
        <x:v>1.05</x:v>
      </x:c>
      <x:c r="I524" s="6" t="n">
        <x:f>'Historical prices'!D524</x:f>
        <x:v>0.2226</x:v>
      </x:c>
      <x:c r="J524" s="13" t="n">
        <x:f>D524*I524*H524</x:f>
        <x:v>0.145263195</x:v>
      </x:c>
      <x:c r="K524" s="13" t="n">
        <x:f>E524*I524*H524</x:f>
        <x:v>0.14549692500000003</x:v>
      </x:c>
      <x:c r="L524" s="1" t="str">
        <x:f>TEXT(A524,"mmm yyyy")</x:f>
        <x:v>May 2026</x:v>
      </x:c>
    </x:row>
    <x:row r="525" ht="21" customHeight="1">
      <x:c r="A525" s="10" t="n">
        <x:v>46159</x:v>
      </x:c>
      <x:c r="B525" s="1" t="n">
        <x:v>10.5</x:v>
      </x:c>
      <x:c r="C525" s="1" t="n">
        <x:v>6</x:v>
      </x:c>
      <x:c r="D525" s="12" t="n">
        <x:v>0.6988333333333333</x:v>
      </x:c>
      <x:c r="E525" s="12" t="n">
        <x:v>0.6988333333333333</x:v>
      </x:c>
      <x:c r="F525" s="12" t="n">
        <x:v>0</x:v>
      </x:c>
      <x:c r="G525" s="12" t="n">
        <x:v>0</x:v>
      </x:c>
      <x:c r="H525" s="1" t="n">
        <x:f>'Historical prices'!E525</x:f>
        <x:v>1.05</x:v>
      </x:c>
      <x:c r="I525" s="6" t="n">
        <x:f>'Historical prices'!D525</x:f>
        <x:v>0.2226</x:v>
      </x:c>
      <x:c r="J525" s="13" t="n">
        <x:f>D525*I525*H525</x:f>
        <x:v>0.16333831499999998</x:v>
      </x:c>
      <x:c r="K525" s="13" t="n">
        <x:f>E525*I525*H525</x:f>
        <x:v>0.16333831499999998</x:v>
      </x:c>
      <x:c r="L525" s="1" t="str">
        <x:f>TEXT(A525,"mmm yyyy")</x:f>
        <x:v>May 2026</x:v>
      </x:c>
    </x:row>
    <x:row r="526" ht="21" customHeight="1">
      <x:c r="A526" s="10" t="n">
        <x:v>46159</x:v>
      </x:c>
      <x:c r="B526" s="1" t="n">
        <x:v>11</x:v>
      </x:c>
      <x:c r="C526" s="1" t="n">
        <x:v>6</x:v>
      </x:c>
      <x:c r="D526" s="12" t="n">
        <x:v>0.5931666666666666</x:v>
      </x:c>
      <x:c r="E526" s="12" t="n">
        <x:v>0.5941666666666666</x:v>
      </x:c>
      <x:c r="F526" s="12" t="n">
        <x:v>0</x:v>
      </x:c>
      <x:c r="G526" s="12" t="n">
        <x:v>0</x:v>
      </x:c>
      <x:c r="H526" s="1" t="n">
        <x:f>'Historical prices'!E526</x:f>
        <x:v>1.05</x:v>
      </x:c>
      <x:c r="I526" s="6" t="n">
        <x:f>'Historical prices'!D526</x:f>
        <x:v>0.2226</x:v>
      </x:c>
      <x:c r="J526" s="13" t="n">
        <x:f>D526*I526*H526</x:f>
        <x:v>0.13864084499999998</x:v>
      </x:c>
      <x:c r="K526" s="13" t="n">
        <x:f>E526*I526*H526</x:f>
        <x:v>0.13887457499999997</x:v>
      </x:c>
      <x:c r="L526" s="1" t="str">
        <x:f>TEXT(A526,"mmm yyyy")</x:f>
        <x:v>May 2026</x:v>
      </x:c>
    </x:row>
    <x:row r="527" ht="21" customHeight="1">
      <x:c r="A527" s="10" t="n">
        <x:v>46159</x:v>
      </x:c>
      <x:c r="B527" s="1" t="n">
        <x:v>11.5</x:v>
      </x:c>
      <x:c r="C527" s="1" t="n">
        <x:v>6</x:v>
      </x:c>
      <x:c r="D527" s="12" t="n">
        <x:v>0.4911666666666667</x:v>
      </x:c>
      <x:c r="E527" s="12" t="n">
        <x:v>0.4901666666666667</x:v>
      </x:c>
      <x:c r="F527" s="12" t="n">
        <x:v>0</x:v>
      </x:c>
      <x:c r="G527" s="12" t="n">
        <x:v>0</x:v>
      </x:c>
      <x:c r="H527" s="1" t="n">
        <x:f>'Historical prices'!E527</x:f>
        <x:v>1.05</x:v>
      </x:c>
      <x:c r="I527" s="6" t="n">
        <x:f>'Historical prices'!D527</x:f>
        <x:v>0.2226</x:v>
      </x:c>
      <x:c r="J527" s="13" t="n">
        <x:f>D527*I527*H527</x:f>
        <x:v>0.114800385</x:v>
      </x:c>
      <x:c r="K527" s="13" t="n">
        <x:f>E527*I527*H527</x:f>
        <x:v>0.114566655</x:v>
      </x:c>
      <x:c r="L527" s="1" t="str">
        <x:f>TEXT(A527,"mmm yyyy")</x:f>
        <x:v>May 2026</x:v>
      </x:c>
    </x:row>
    <x:row r="528" ht="21" customHeight="1">
      <x:c r="A528" s="10" t="n">
        <x:v>46159</x:v>
      </x:c>
      <x:c r="B528" s="1" t="n">
        <x:v>12</x:v>
      </x:c>
      <x:c r="C528" s="1" t="n">
        <x:v>6</x:v>
      </x:c>
      <x:c r="D528" s="12" t="n">
        <x:v>0.4553333333333333</x:v>
      </x:c>
      <x:c r="E528" s="12" t="n">
        <x:v>0.4553333333333333</x:v>
      </x:c>
      <x:c r="F528" s="12" t="n">
        <x:v>0</x:v>
      </x:c>
      <x:c r="G528" s="12" t="n">
        <x:v>0</x:v>
      </x:c>
      <x:c r="H528" s="1" t="n">
        <x:f>'Historical prices'!E528</x:f>
        <x:v>1.05</x:v>
      </x:c>
      <x:c r="I528" s="6" t="n">
        <x:f>'Historical prices'!D528</x:f>
        <x:v>0.2226</x:v>
      </x:c>
      <x:c r="J528" s="13" t="n">
        <x:f>D528*I528*H528</x:f>
        <x:v>0.10642506</x:v>
      </x:c>
      <x:c r="K528" s="13" t="n">
        <x:f>E528*I528*H528</x:f>
        <x:v>0.10642506</x:v>
      </x:c>
      <x:c r="L528" s="1" t="str">
        <x:f>TEXT(A528,"mmm yyyy")</x:f>
        <x:v>May 2026</x:v>
      </x:c>
    </x:row>
    <x:row r="529" ht="21" customHeight="1">
      <x:c r="A529" s="10" t="n">
        <x:v>46159</x:v>
      </x:c>
      <x:c r="B529" s="1" t="n">
        <x:v>12.5</x:v>
      </x:c>
      <x:c r="C529" s="1" t="n">
        <x:v>6</x:v>
      </x:c>
      <x:c r="D529" s="12" t="n">
        <x:v>0.49275</x:v>
      </x:c>
      <x:c r="E529" s="12" t="n">
        <x:v>0.49275</x:v>
      </x:c>
      <x:c r="F529" s="12" t="n">
        <x:v>0</x:v>
      </x:c>
      <x:c r="G529" s="12" t="n">
        <x:v>0</x:v>
      </x:c>
      <x:c r="H529" s="1" t="n">
        <x:f>'Historical prices'!E529</x:f>
        <x:v>1.05</x:v>
      </x:c>
      <x:c r="I529" s="6" t="n">
        <x:f>'Historical prices'!D529</x:f>
        <x:v>0.2226</x:v>
      </x:c>
      <x:c r="J529" s="13" t="n">
        <x:f>D529*I529*H529</x:f>
        <x:v>0.1151704575</x:v>
      </x:c>
      <x:c r="K529" s="13" t="n">
        <x:f>E529*I529*H529</x:f>
        <x:v>0.1151704575</x:v>
      </x:c>
      <x:c r="L529" s="1" t="str">
        <x:f>TEXT(A529,"mmm yyyy")</x:f>
        <x:v>May 2026</x:v>
      </x:c>
    </x:row>
    <x:row r="530" ht="21" customHeight="1">
      <x:c r="A530" s="10" t="n">
        <x:v>46159</x:v>
      </x:c>
      <x:c r="B530" s="1" t="n">
        <x:v>13</x:v>
      </x:c>
      <x:c r="C530" s="1" t="n">
        <x:v>6</x:v>
      </x:c>
      <x:c r="D530" s="12" t="n">
        <x:v>2.13175</x:v>
      </x:c>
      <x:c r="E530" s="12" t="n">
        <x:v>2.13375</x:v>
      </x:c>
      <x:c r="F530" s="12" t="n">
        <x:v>0</x:v>
      </x:c>
      <x:c r="G530" s="12" t="n">
        <x:v>0</x:v>
      </x:c>
      <x:c r="H530" s="1" t="n">
        <x:f>'Historical prices'!E530</x:f>
        <x:v>1.05</x:v>
      </x:c>
      <x:c r="I530" s="6" t="n">
        <x:f>'Historical prices'!D530</x:f>
        <x:v>0.2226</x:v>
      </x:c>
      <x:c r="J530" s="13" t="n">
        <x:f>D530*I530*H530</x:f>
        <x:v>0.49825392749999997</x:v>
      </x:c>
      <x:c r="K530" s="13" t="n">
        <x:f>E530*I530*H530</x:f>
        <x:v>0.4987213875</x:v>
      </x:c>
      <x:c r="L530" s="1" t="str">
        <x:f>TEXT(A530,"mmm yyyy")</x:f>
        <x:v>May 2026</x:v>
      </x:c>
    </x:row>
    <x:row r="531" ht="21" customHeight="1">
      <x:c r="A531" s="10" t="n">
        <x:v>46159</x:v>
      </x:c>
      <x:c r="B531" s="1" t="n">
        <x:v>13.5</x:v>
      </x:c>
      <x:c r="C531" s="1" t="n">
        <x:v>6</x:v>
      </x:c>
      <x:c r="D531" s="12" t="n">
        <x:v>0.7590000000000001</x:v>
      </x:c>
      <x:c r="E531" s="12" t="n">
        <x:v>0.758</x:v>
      </x:c>
      <x:c r="F531" s="12" t="n">
        <x:v>0</x:v>
      </x:c>
      <x:c r="G531" s="12" t="n">
        <x:v>0</x:v>
      </x:c>
      <x:c r="H531" s="1" t="n">
        <x:f>'Historical prices'!E531</x:f>
        <x:v>1.05</x:v>
      </x:c>
      <x:c r="I531" s="6" t="n">
        <x:f>'Historical prices'!D531</x:f>
        <x:v>0.2226</x:v>
      </x:c>
      <x:c r="J531" s="13" t="n">
        <x:f>D531*I531*H531</x:f>
        <x:v>0.17740107000000005</x:v>
      </x:c>
      <x:c r="K531" s="13" t="n">
        <x:f>E531*I531*H531</x:f>
        <x:v>0.17716734</x:v>
      </x:c>
      <x:c r="L531" s="1" t="str">
        <x:f>TEXT(A531,"mmm yyyy")</x:f>
        <x:v>May 2026</x:v>
      </x:c>
    </x:row>
    <x:row r="532" ht="21" customHeight="1">
      <x:c r="A532" s="10" t="n">
        <x:v>46159</x:v>
      </x:c>
      <x:c r="B532" s="1" t="n">
        <x:v>14</x:v>
      </x:c>
      <x:c r="C532" s="1" t="n">
        <x:v>6</x:v>
      </x:c>
      <x:c r="D532" s="12" t="n">
        <x:v>0.5489166666666667</x:v>
      </x:c>
      <x:c r="E532" s="12" t="n">
        <x:v>0.5489166666666667</x:v>
      </x:c>
      <x:c r="F532" s="12" t="n">
        <x:v>0</x:v>
      </x:c>
      <x:c r="G532" s="12" t="n">
        <x:v>0</x:v>
      </x:c>
      <x:c r="H532" s="1" t="n">
        <x:f>'Historical prices'!E532</x:f>
        <x:v>1.05</x:v>
      </x:c>
      <x:c r="I532" s="6" t="n">
        <x:f>'Historical prices'!D532</x:f>
        <x:v>0.2226</x:v>
      </x:c>
      <x:c r="J532" s="13" t="n">
        <x:f>D532*I532*H532</x:f>
        <x:v>0.1282982925</x:v>
      </x:c>
      <x:c r="K532" s="13" t="n">
        <x:f>E532*I532*H532</x:f>
        <x:v>0.1282982925</x:v>
      </x:c>
      <x:c r="L532" s="1" t="str">
        <x:f>TEXT(A532,"mmm yyyy")</x:f>
        <x:v>May 2026</x:v>
      </x:c>
    </x:row>
    <x:row r="533" ht="21" customHeight="1">
      <x:c r="A533" s="10" t="n">
        <x:v>46159</x:v>
      </x:c>
      <x:c r="B533" s="1" t="n">
        <x:v>14.5</x:v>
      </x:c>
      <x:c r="C533" s="1" t="n">
        <x:v>6</x:v>
      </x:c>
      <x:c r="D533" s="12" t="n">
        <x:v>0.5561666666666667</x:v>
      </x:c>
      <x:c r="E533" s="12" t="n">
        <x:v>0.5561666666666667</x:v>
      </x:c>
      <x:c r="F533" s="12" t="n">
        <x:v>0</x:v>
      </x:c>
      <x:c r="G533" s="12" t="n">
        <x:v>0</x:v>
      </x:c>
      <x:c r="H533" s="1" t="n">
        <x:f>'Historical prices'!E533</x:f>
        <x:v>1.05</x:v>
      </x:c>
      <x:c r="I533" s="6" t="n">
        <x:f>'Historical prices'!D533</x:f>
        <x:v>0.2226</x:v>
      </x:c>
      <x:c r="J533" s="13" t="n">
        <x:f>D533*I533*H533</x:f>
        <x:v>0.129992835</x:v>
      </x:c>
      <x:c r="K533" s="13" t="n">
        <x:f>E533*I533*H533</x:f>
        <x:v>0.129992835</x:v>
      </x:c>
      <x:c r="L533" s="1" t="str">
        <x:f>TEXT(A533,"mmm yyyy")</x:f>
        <x:v>May 2026</x:v>
      </x:c>
    </x:row>
    <x:row r="534" ht="21" customHeight="1">
      <x:c r="A534" s="10" t="n">
        <x:v>46159</x:v>
      </x:c>
      <x:c r="B534" s="1" t="n">
        <x:v>15</x:v>
      </x:c>
      <x:c r="C534" s="1" t="n">
        <x:v>6</x:v>
      </x:c>
      <x:c r="D534" s="12" t="n">
        <x:v>0.5579166666666666</x:v>
      </x:c>
      <x:c r="E534" s="12" t="n">
        <x:v>0.5589166666666667</x:v>
      </x:c>
      <x:c r="F534" s="12" t="n">
        <x:v>0</x:v>
      </x:c>
      <x:c r="G534" s="12" t="n">
        <x:v>0</x:v>
      </x:c>
      <x:c r="H534" s="1" t="n">
        <x:f>'Historical prices'!E534</x:f>
        <x:v>1.05</x:v>
      </x:c>
      <x:c r="I534" s="6" t="n">
        <x:f>'Historical prices'!D534</x:f>
        <x:v>0.2226</x:v>
      </x:c>
      <x:c r="J534" s="13" t="n">
        <x:f>D534*I534*H534</x:f>
        <x:v>0.1304018625</x:v>
      </x:c>
      <x:c r="K534" s="13" t="n">
        <x:f>E534*I534*H534</x:f>
        <x:v>0.1306355925</x:v>
      </x:c>
      <x:c r="L534" s="1" t="str">
        <x:f>TEXT(A534,"mmm yyyy")</x:f>
        <x:v>May 2026</x:v>
      </x:c>
    </x:row>
    <x:row r="535" ht="21" customHeight="1">
      <x:c r="A535" s="10" t="n">
        <x:v>46159</x:v>
      </x:c>
      <x:c r="B535" s="1" t="n">
        <x:v>15.5</x:v>
      </x:c>
      <x:c r="C535" s="1" t="n">
        <x:v>6</x:v>
      </x:c>
      <x:c r="D535" s="12" t="n">
        <x:v>0.6428333333333334</x:v>
      </x:c>
      <x:c r="E535" s="12" t="n">
        <x:v>0.6428333333333334</x:v>
      </x:c>
      <x:c r="F535" s="12" t="n">
        <x:v>0</x:v>
      </x:c>
      <x:c r="G535" s="12" t="n">
        <x:v>0</x:v>
      </x:c>
      <x:c r="H535" s="1" t="n">
        <x:f>'Historical prices'!E535</x:f>
        <x:v>1.05</x:v>
      </x:c>
      <x:c r="I535" s="6" t="n">
        <x:f>'Historical prices'!D535</x:f>
        <x:v>0.2226</x:v>
      </x:c>
      <x:c r="J535" s="13" t="n">
        <x:f>D535*I535*H535</x:f>
        <x:v>0.150249435</x:v>
      </x:c>
      <x:c r="K535" s="13" t="n">
        <x:f>E535*I535*H535</x:f>
        <x:v>0.150249435</x:v>
      </x:c>
      <x:c r="L535" s="1" t="str">
        <x:f>TEXT(A535,"mmm yyyy")</x:f>
        <x:v>May 2026</x:v>
      </x:c>
    </x:row>
    <x:row r="536" ht="21" customHeight="1">
      <x:c r="A536" s="10" t="n">
        <x:v>46159</x:v>
      </x:c>
      <x:c r="B536" s="1" t="n">
        <x:v>16</x:v>
      </x:c>
      <x:c r="C536" s="1" t="n">
        <x:v>6</x:v>
      </x:c>
      <x:c r="D536" s="12" t="n">
        <x:v>1.2041666666666666</x:v>
      </x:c>
      <x:c r="E536" s="12" t="n">
        <x:v>1.2041666666666666</x:v>
      </x:c>
      <x:c r="F536" s="12" t="n">
        <x:v>0</x:v>
      </x:c>
      <x:c r="G536" s="12" t="n">
        <x:v>0</x:v>
      </x:c>
      <x:c r="H536" s="1" t="n">
        <x:f>'Historical prices'!E536</x:f>
        <x:v>1.05</x:v>
      </x:c>
      <x:c r="I536" s="6" t="n">
        <x:f>'Historical prices'!D536</x:f>
        <x:v>0.2226</x:v>
      </x:c>
      <x:c r="J536" s="13" t="n">
        <x:f>D536*I536*H536</x:f>
        <x:v>0.281449875</x:v>
      </x:c>
      <x:c r="K536" s="13" t="n">
        <x:f>E536*I536*H536</x:f>
        <x:v>0.281449875</x:v>
      </x:c>
      <x:c r="L536" s="1" t="str">
        <x:f>TEXT(A536,"mmm yyyy")</x:f>
        <x:v>May 2026</x:v>
      </x:c>
    </x:row>
    <x:row r="537" ht="21" customHeight="1">
      <x:c r="A537" s="10" t="n">
        <x:v>46159</x:v>
      </x:c>
      <x:c r="B537" s="1" t="n">
        <x:v>16.5</x:v>
      </x:c>
      <x:c r="C537" s="1" t="n">
        <x:v>6</x:v>
      </x:c>
      <x:c r="D537" s="12" t="n">
        <x:v>1.0785833333333334</x:v>
      </x:c>
      <x:c r="E537" s="12" t="n">
        <x:v>1.0795833333333333</x:v>
      </x:c>
      <x:c r="F537" s="12" t="n">
        <x:v>0</x:v>
      </x:c>
      <x:c r="G537" s="12" t="n">
        <x:v>0</x:v>
      </x:c>
      <x:c r="H537" s="1" t="n">
        <x:f>'Historical prices'!E537</x:f>
        <x:v>1.05</x:v>
      </x:c>
      <x:c r="I537" s="6" t="n">
        <x:f>'Historical prices'!D537</x:f>
        <x:v>0.2226</x:v>
      </x:c>
      <x:c r="J537" s="13" t="n">
        <x:f>D537*I537*H537</x:f>
        <x:v>0.2520972825</x:v>
      </x:c>
      <x:c r="K537" s="13" t="n">
        <x:f>E537*I537*H537</x:f>
        <x:v>0.2523310125</x:v>
      </x:c>
      <x:c r="L537" s="1" t="str">
        <x:f>TEXT(A537,"mmm yyyy")</x:f>
        <x:v>May 2026</x:v>
      </x:c>
    </x:row>
    <x:row r="538" ht="21" customHeight="1">
      <x:c r="A538" s="10" t="n">
        <x:v>46159</x:v>
      </x:c>
      <x:c r="B538" s="1" t="n">
        <x:v>17</x:v>
      </x:c>
      <x:c r="C538" s="1" t="n">
        <x:v>6</x:v>
      </x:c>
      <x:c r="D538" s="12" t="n">
        <x:v>0.5266666666666666</x:v>
      </x:c>
      <x:c r="E538" s="12" t="n">
        <x:v>0.5256666666666666</x:v>
      </x:c>
      <x:c r="F538" s="12" t="n">
        <x:v>0</x:v>
      </x:c>
      <x:c r="G538" s="12" t="n">
        <x:v>0</x:v>
      </x:c>
      <x:c r="H538" s="1" t="n">
        <x:f>'Historical prices'!E538</x:f>
        <x:v>1.05</x:v>
      </x:c>
      <x:c r="I538" s="6" t="n">
        <x:f>'Historical prices'!D538</x:f>
        <x:v>0.2226</x:v>
      </x:c>
      <x:c r="J538" s="13" t="n">
        <x:f>D538*I538*H538</x:f>
        <x:v>0.12309779999999998</x:v>
      </x:c>
      <x:c r="K538" s="13" t="n">
        <x:f>E538*I538*H538</x:f>
        <x:v>0.12286406999999999</x:v>
      </x:c>
      <x:c r="L538" s="1" t="str">
        <x:f>TEXT(A538,"mmm yyyy")</x:f>
        <x:v>May 2026</x:v>
      </x:c>
    </x:row>
    <x:row r="539" ht="21" customHeight="1">
      <x:c r="A539" s="10" t="n">
        <x:v>46159</x:v>
      </x:c>
      <x:c r="B539" s="1" t="n">
        <x:v>17.5</x:v>
      </x:c>
      <x:c r="C539" s="1" t="n">
        <x:v>6</x:v>
      </x:c>
      <x:c r="D539" s="12" t="n">
        <x:v>1.1365</x:v>
      </x:c>
      <x:c r="E539" s="12" t="n">
        <x:v>1.1375</x:v>
      </x:c>
      <x:c r="F539" s="12" t="n">
        <x:v>0</x:v>
      </x:c>
      <x:c r="G539" s="12" t="n">
        <x:v>0</x:v>
      </x:c>
      <x:c r="H539" s="1" t="n">
        <x:f>'Historical prices'!E539</x:f>
        <x:v>1.05</x:v>
      </x:c>
      <x:c r="I539" s="6" t="n">
        <x:f>'Historical prices'!D539</x:f>
        <x:v>0.2226</x:v>
      </x:c>
      <x:c r="J539" s="13" t="n">
        <x:f>D539*I539*H539</x:f>
        <x:v>0.26563414500000004</x:v>
      </x:c>
      <x:c r="K539" s="13" t="n">
        <x:f>E539*I539*H539</x:f>
        <x:v>0.265867875</x:v>
      </x:c>
      <x:c r="L539" s="1" t="str">
        <x:f>TEXT(A539,"mmm yyyy")</x:f>
        <x:v>May 2026</x:v>
      </x:c>
    </x:row>
    <x:row r="540" ht="21" customHeight="1">
      <x:c r="A540" s="10" t="n">
        <x:v>46159</x:v>
      </x:c>
      <x:c r="B540" s="1" t="n">
        <x:v>18</x:v>
      </x:c>
      <x:c r="C540" s="1" t="n">
        <x:v>6</x:v>
      </x:c>
      <x:c r="D540" s="12" t="n">
        <x:v>0.9340833333333334</x:v>
      </x:c>
      <x:c r="E540" s="12" t="n">
        <x:v>0.9350833333333333</x:v>
      </x:c>
      <x:c r="F540" s="12" t="n">
        <x:v>0</x:v>
      </x:c>
      <x:c r="G540" s="12" t="n">
        <x:v>0</x:v>
      </x:c>
      <x:c r="H540" s="1" t="n">
        <x:f>'Historical prices'!E540</x:f>
        <x:v>1.05</x:v>
      </x:c>
      <x:c r="I540" s="6" t="n">
        <x:f>'Historical prices'!D540</x:f>
        <x:v>0.2226</x:v>
      </x:c>
      <x:c r="J540" s="13" t="n">
        <x:f>D540*I540*H540</x:f>
        <x:v>0.2183232975</x:v>
      </x:c>
      <x:c r="K540" s="13" t="n">
        <x:f>E540*I540*H540</x:f>
        <x:v>0.2185570275</x:v>
      </x:c>
      <x:c r="L540" s="1" t="str">
        <x:f>TEXT(A540,"mmm yyyy")</x:f>
        <x:v>May 2026</x:v>
      </x:c>
    </x:row>
    <x:row r="541" ht="21" customHeight="1">
      <x:c r="A541" s="10" t="n">
        <x:v>46159</x:v>
      </x:c>
      <x:c r="B541" s="1" t="n">
        <x:v>18.5</x:v>
      </x:c>
      <x:c r="C541" s="1" t="n">
        <x:v>6</x:v>
      </x:c>
      <x:c r="D541" s="12" t="n">
        <x:v>1.2281666666666666</x:v>
      </x:c>
      <x:c r="E541" s="12" t="n">
        <x:v>1.2281666666666666</x:v>
      </x:c>
      <x:c r="F541" s="12" t="n">
        <x:v>0</x:v>
      </x:c>
      <x:c r="G541" s="12" t="n">
        <x:v>0</x:v>
      </x:c>
      <x:c r="H541" s="1" t="n">
        <x:f>'Historical prices'!E541</x:f>
        <x:v>1.05</x:v>
      </x:c>
      <x:c r="I541" s="6" t="n">
        <x:f>'Historical prices'!D541</x:f>
        <x:v>0.2226</x:v>
      </x:c>
      <x:c r="J541" s="13" t="n">
        <x:f>D541*I541*H541</x:f>
        <x:v>0.287059395</x:v>
      </x:c>
      <x:c r="K541" s="13" t="n">
        <x:f>E541*I541*H541</x:f>
        <x:v>0.287059395</x:v>
      </x:c>
      <x:c r="L541" s="1" t="str">
        <x:f>TEXT(A541,"mmm yyyy")</x:f>
        <x:v>May 2026</x:v>
      </x:c>
    </x:row>
    <x:row r="542" ht="21" customHeight="1">
      <x:c r="A542" s="10" t="n">
        <x:v>46159</x:v>
      </x:c>
      <x:c r="B542" s="1" t="n">
        <x:v>19</x:v>
      </x:c>
      <x:c r="C542" s="1" t="n">
        <x:v>6</x:v>
      </x:c>
      <x:c r="D542" s="12" t="n">
        <x:v>0.64</x:v>
      </x:c>
      <x:c r="E542" s="12" t="n">
        <x:v>0.641</x:v>
      </x:c>
      <x:c r="F542" s="12" t="n">
        <x:v>0</x:v>
      </x:c>
      <x:c r="G542" s="12" t="n">
        <x:v>0</x:v>
      </x:c>
      <x:c r="H542" s="1" t="n">
        <x:f>'Historical prices'!E542</x:f>
        <x:v>1.05</x:v>
      </x:c>
      <x:c r="I542" s="6" t="n">
        <x:f>'Historical prices'!D542</x:f>
        <x:v>0.2226</x:v>
      </x:c>
      <x:c r="J542" s="13" t="n">
        <x:f>D542*I542*H542</x:f>
        <x:v>0.1495872</x:v>
      </x:c>
      <x:c r="K542" s="13" t="n">
        <x:f>E542*I542*H542</x:f>
        <x:v>0.14982093</x:v>
      </x:c>
      <x:c r="L542" s="1" t="str">
        <x:f>TEXT(A542,"mmm yyyy")</x:f>
        <x:v>May 2026</x:v>
      </x:c>
    </x:row>
    <x:row r="543" ht="21" customHeight="1">
      <x:c r="A543" s="10" t="n">
        <x:v>46159</x:v>
      </x:c>
      <x:c r="B543" s="1" t="n">
        <x:v>19.5</x:v>
      </x:c>
      <x:c r="C543" s="1" t="n">
        <x:v>6</x:v>
      </x:c>
      <x:c r="D543" s="12" t="n">
        <x:v>0.6328333333333334</x:v>
      </x:c>
      <x:c r="E543" s="12" t="n">
        <x:v>0.6338333333333334</x:v>
      </x:c>
      <x:c r="F543" s="12" t="n">
        <x:v>0</x:v>
      </x:c>
      <x:c r="G543" s="12" t="n">
        <x:v>0</x:v>
      </x:c>
      <x:c r="H543" s="1" t="n">
        <x:f>'Historical prices'!E543</x:f>
        <x:v>1.05</x:v>
      </x:c>
      <x:c r="I543" s="6" t="n">
        <x:f>'Historical prices'!D543</x:f>
        <x:v>0.2226</x:v>
      </x:c>
      <x:c r="J543" s="13" t="n">
        <x:f>D543*I543*H543</x:f>
        <x:v>0.14791213500000003</x:v>
      </x:c>
      <x:c r="K543" s="13" t="n">
        <x:f>E543*I543*H543</x:f>
        <x:v>0.14814586500000002</x:v>
      </x:c>
      <x:c r="L543" s="1" t="str">
        <x:f>TEXT(A543,"mmm yyyy")</x:f>
        <x:v>May 2026</x:v>
      </x:c>
    </x:row>
    <x:row r="544" ht="21" customHeight="1">
      <x:c r="A544" s="10" t="n">
        <x:v>46159</x:v>
      </x:c>
      <x:c r="B544" s="1" t="n">
        <x:v>20</x:v>
      </x:c>
      <x:c r="C544" s="1" t="n">
        <x:v>6</x:v>
      </x:c>
      <x:c r="D544" s="12" t="n">
        <x:v>0.7921666666666667</x:v>
      </x:c>
      <x:c r="E544" s="12" t="n">
        <x:v>0.7921666666666667</x:v>
      </x:c>
      <x:c r="F544" s="12" t="n">
        <x:v>0</x:v>
      </x:c>
      <x:c r="G544" s="12" t="n">
        <x:v>0</x:v>
      </x:c>
      <x:c r="H544" s="1" t="n">
        <x:f>'Historical prices'!E544</x:f>
        <x:v>1.05</x:v>
      </x:c>
      <x:c r="I544" s="6" t="n">
        <x:f>'Historical prices'!D544</x:f>
        <x:v>0.2226</x:v>
      </x:c>
      <x:c r="J544" s="13" t="n">
        <x:f>D544*I544*H544</x:f>
        <x:v>0.185153115</x:v>
      </x:c>
      <x:c r="K544" s="13" t="n">
        <x:f>E544*I544*H544</x:f>
        <x:v>0.185153115</x:v>
      </x:c>
      <x:c r="L544" s="1" t="str">
        <x:f>TEXT(A544,"mmm yyyy")</x:f>
        <x:v>May 2026</x:v>
      </x:c>
    </x:row>
    <x:row r="545" ht="21" customHeight="1">
      <x:c r="A545" s="10" t="n">
        <x:v>46159</x:v>
      </x:c>
      <x:c r="B545" s="1" t="n">
        <x:v>20.5</x:v>
      </x:c>
      <x:c r="C545" s="1" t="n">
        <x:v>6</x:v>
      </x:c>
      <x:c r="D545" s="12" t="n">
        <x:v>0.6043333333333334</x:v>
      </x:c>
      <x:c r="E545" s="12" t="n">
        <x:v>0.6043333333333334</x:v>
      </x:c>
      <x:c r="F545" s="12" t="n">
        <x:v>0</x:v>
      </x:c>
      <x:c r="G545" s="12" t="n">
        <x:v>0</x:v>
      </x:c>
      <x:c r="H545" s="1" t="n">
        <x:f>'Historical prices'!E545</x:f>
        <x:v>1.05</x:v>
      </x:c>
      <x:c r="I545" s="6" t="n">
        <x:f>'Historical prices'!D545</x:f>
        <x:v>0.2226</x:v>
      </x:c>
      <x:c r="J545" s="13" t="n">
        <x:f>D545*I545*H545</x:f>
        <x:v>0.14125083</x:v>
      </x:c>
      <x:c r="K545" s="13" t="n">
        <x:f>E545*I545*H545</x:f>
        <x:v>0.14125083</x:v>
      </x:c>
      <x:c r="L545" s="1" t="str">
        <x:f>TEXT(A545,"mmm yyyy")</x:f>
        <x:v>May 2026</x:v>
      </x:c>
    </x:row>
    <x:row r="546" ht="21" customHeight="1">
      <x:c r="A546" s="10" t="n">
        <x:v>46159</x:v>
      </x:c>
      <x:c r="B546" s="1" t="n">
        <x:v>21</x:v>
      </x:c>
      <x:c r="C546" s="1" t="n">
        <x:v>6</x:v>
      </x:c>
      <x:c r="D546" s="12" t="n">
        <x:v>0.5693333333333332</x:v>
      </x:c>
      <x:c r="E546" s="12" t="n">
        <x:v>0.5703333333333334</x:v>
      </x:c>
      <x:c r="F546" s="12" t="n">
        <x:v>0</x:v>
      </x:c>
      <x:c r="G546" s="12" t="n">
        <x:v>0</x:v>
      </x:c>
      <x:c r="H546" s="1" t="n">
        <x:f>'Historical prices'!E546</x:f>
        <x:v>1.05</x:v>
      </x:c>
      <x:c r="I546" s="6" t="n">
        <x:f>'Historical prices'!D546</x:f>
        <x:v>0.2226</x:v>
      </x:c>
      <x:c r="J546" s="13" t="n">
        <x:f>D546*I546*H546</x:f>
        <x:v>0.13307027999999999</x:v>
      </x:c>
      <x:c r="K546" s="13" t="n">
        <x:f>E546*I546*H546</x:f>
        <x:v>0.13330401</x:v>
      </x:c>
      <x:c r="L546" s="1" t="str">
        <x:f>TEXT(A546,"mmm yyyy")</x:f>
        <x:v>May 2026</x:v>
      </x:c>
    </x:row>
    <x:row r="547" ht="21" customHeight="1">
      <x:c r="A547" s="10" t="n">
        <x:v>46159</x:v>
      </x:c>
      <x:c r="B547" s="1" t="n">
        <x:v>21.5</x:v>
      </x:c>
      <x:c r="C547" s="1" t="n">
        <x:v>6</x:v>
      </x:c>
      <x:c r="D547" s="12" t="n">
        <x:v>0.6965833333333333</x:v>
      </x:c>
      <x:c r="E547" s="12" t="n">
        <x:v>0.6975833333333333</x:v>
      </x:c>
      <x:c r="F547" s="12" t="n">
        <x:v>0</x:v>
      </x:c>
      <x:c r="G547" s="12" t="n">
        <x:v>0</x:v>
      </x:c>
      <x:c r="H547" s="1" t="n">
        <x:f>'Historical prices'!E547</x:f>
        <x:v>1.05</x:v>
      </x:c>
      <x:c r="I547" s="6" t="n">
        <x:f>'Historical prices'!D547</x:f>
        <x:v>0.2226</x:v>
      </x:c>
      <x:c r="J547" s="13" t="n">
        <x:f>D547*I547*H547</x:f>
        <x:v>0.1628124225</x:v>
      </x:c>
      <x:c r="K547" s="13" t="n">
        <x:f>E547*I547*H547</x:f>
        <x:v>0.1630461525</x:v>
      </x:c>
      <x:c r="L547" s="1" t="str">
        <x:f>TEXT(A547,"mmm yyyy")</x:f>
        <x:v>May 2026</x:v>
      </x:c>
    </x:row>
    <x:row r="548" ht="21" customHeight="1">
      <x:c r="A548" s="10" t="n">
        <x:v>46159</x:v>
      </x:c>
      <x:c r="B548" s="1" t="n">
        <x:v>22</x:v>
      </x:c>
      <x:c r="C548" s="1" t="n">
        <x:v>6</x:v>
      </x:c>
      <x:c r="D548" s="12" t="n">
        <x:v>0.546</x:v>
      </x:c>
      <x:c r="E548" s="12" t="n">
        <x:v>0.548</x:v>
      </x:c>
      <x:c r="F548" s="12" t="n">
        <x:v>0</x:v>
      </x:c>
      <x:c r="G548" s="12" t="n">
        <x:v>0</x:v>
      </x:c>
      <x:c r="H548" s="1" t="n">
        <x:f>'Historical prices'!E548</x:f>
        <x:v>1.05</x:v>
      </x:c>
      <x:c r="I548" s="6" t="n">
        <x:f>'Historical prices'!D548</x:f>
        <x:v>0.2226</x:v>
      </x:c>
      <x:c r="J548" s="13" t="n">
        <x:f>D548*I548*H548</x:f>
        <x:v>0.12761658</x:v>
      </x:c>
      <x:c r="K548" s="13" t="n">
        <x:f>E548*I548*H548</x:f>
        <x:v>0.12808404</x:v>
      </x:c>
      <x:c r="L548" s="1" t="str">
        <x:f>TEXT(A548,"mmm yyyy")</x:f>
        <x:v>May 2026</x:v>
      </x:c>
    </x:row>
    <x:row r="549" ht="21" customHeight="1">
      <x:c r="A549" s="10" t="n">
        <x:v>46159</x:v>
      </x:c>
      <x:c r="B549" s="1" t="n">
        <x:v>22.5</x:v>
      </x:c>
      <x:c r="C549" s="1" t="n">
        <x:v>6</x:v>
      </x:c>
      <x:c r="D549" s="12" t="n">
        <x:v>0.2023333333333333</x:v>
      </x:c>
      <x:c r="E549" s="12" t="n">
        <x:v>0.20233333333333334</x:v>
      </x:c>
      <x:c r="F549" s="12" t="n">
        <x:v>0</x:v>
      </x:c>
      <x:c r="G549" s="12" t="n">
        <x:v>0</x:v>
      </x:c>
      <x:c r="H549" s="1" t="n">
        <x:f>'Historical prices'!E549</x:f>
        <x:v>1.05</x:v>
      </x:c>
      <x:c r="I549" s="6" t="n">
        <x:f>'Historical prices'!D549</x:f>
        <x:v>0.2226</x:v>
      </x:c>
      <x:c r="J549" s="13" t="n">
        <x:f>D549*I549*H549</x:f>
        <x:v>0.04729136999999999</x:v>
      </x:c>
      <x:c r="K549" s="13" t="n">
        <x:f>E549*I549*H549</x:f>
        <x:v>0.04729137</x:v>
      </x:c>
      <x:c r="L549" s="1" t="str">
        <x:f>TEXT(A549,"mmm yyyy")</x:f>
        <x:v>May 2026</x:v>
      </x:c>
    </x:row>
    <x:row r="550" ht="21" customHeight="1">
      <x:c r="A550" s="10" t="n">
        <x:v>46159</x:v>
      </x:c>
      <x:c r="B550" s="1" t="n">
        <x:v>23</x:v>
      </x:c>
      <x:c r="C550" s="1" t="n">
        <x:v>6</x:v>
      </x:c>
      <x:c r="D550" s="12" t="n">
        <x:v>0.2349166666666667</x:v>
      </x:c>
      <x:c r="E550" s="12" t="n">
        <x:v>0.2349166666666667</x:v>
      </x:c>
      <x:c r="F550" s="12" t="n">
        <x:v>0</x:v>
      </x:c>
      <x:c r="G550" s="12" t="n">
        <x:v>0</x:v>
      </x:c>
      <x:c r="H550" s="1" t="n">
        <x:f>'Historical prices'!E550</x:f>
        <x:v>1.05</x:v>
      </x:c>
      <x:c r="I550" s="6" t="n">
        <x:f>'Historical prices'!D550</x:f>
        <x:v>0.2226</x:v>
      </x:c>
      <x:c r="J550" s="13" t="n">
        <x:f>D550*I550*H550</x:f>
        <x:v>0.05490707250000001</x:v>
      </x:c>
      <x:c r="K550" s="13" t="n">
        <x:f>E550*I550*H550</x:f>
        <x:v>0.05490707250000001</x:v>
      </x:c>
      <x:c r="L550" s="1" t="str">
        <x:f>TEXT(A550,"mmm yyyy")</x:f>
        <x:v>May 2026</x:v>
      </x:c>
    </x:row>
    <x:row r="551" ht="21" customHeight="1">
      <x:c r="A551" s="10" t="n">
        <x:v>46159</x:v>
      </x:c>
      <x:c r="B551" s="1" t="n">
        <x:v>23.5</x:v>
      </x:c>
      <x:c r="C551" s="1" t="n">
        <x:v>6</x:v>
      </x:c>
      <x:c r="D551" s="12" t="n">
        <x:v>0.363</x:v>
      </x:c>
      <x:c r="E551" s="12" t="n">
        <x:v>0.36300000000000004</x:v>
      </x:c>
      <x:c r="F551" s="12" t="n">
        <x:v>0</x:v>
      </x:c>
      <x:c r="G551" s="12" t="n">
        <x:v>0</x:v>
      </x:c>
      <x:c r="H551" s="1" t="n">
        <x:f>'Historical prices'!E551</x:f>
        <x:v>1.05</x:v>
      </x:c>
      <x:c r="I551" s="6" t="n">
        <x:f>'Historical prices'!D551</x:f>
        <x:v>0.2226</x:v>
      </x:c>
      <x:c r="J551" s="13" t="n">
        <x:f>D551*I551*H551</x:f>
        <x:v>0.08484399</x:v>
      </x:c>
      <x:c r="K551" s="13" t="n">
        <x:f>E551*I551*H551</x:f>
        <x:v>0.08484399000000001</x:v>
      </x:c>
      <x:c r="L551" s="1" t="str">
        <x:f>TEXT(A551,"mmm yyyy")</x:f>
        <x:v>May 2026</x:v>
      </x:c>
    </x:row>
    <x:row r="552" ht="21" customHeight="1">
      <x:c r="A552" s="10" t="n">
        <x:v>46160</x:v>
      </x:c>
      <x:c r="B552" s="1" t="n">
        <x:v>0</x:v>
      </x:c>
      <x:c r="C552" s="1" t="n">
        <x:v>6</x:v>
      </x:c>
      <x:c r="D552" s="12" t="n">
        <x:v>0.23966666666666667</x:v>
      </x:c>
      <x:c r="E552" s="12" t="n">
        <x:v>0.24066666666666667</x:v>
      </x:c>
      <x:c r="F552" s="12" t="n">
        <x:v>0</x:v>
      </x:c>
      <x:c r="G552" s="12" t="n">
        <x:v>0</x:v>
      </x:c>
      <x:c r="H552" s="1" t="n">
        <x:f>'Historical prices'!E552</x:f>
        <x:v>1.05</x:v>
      </x:c>
      <x:c r="I552" s="6" t="n">
        <x:f>'Historical prices'!D552</x:f>
        <x:v>0.2226</x:v>
      </x:c>
      <x:c r="J552" s="13" t="n">
        <x:f>D552*I552*H552</x:f>
        <x:v>0.05601729</x:v>
      </x:c>
      <x:c r="K552" s="13" t="n">
        <x:f>E552*I552*H552</x:f>
        <x:v>0.05625102</x:v>
      </x:c>
      <x:c r="L552" s="1" t="str">
        <x:f>TEXT(A552,"mmm yyyy")</x:f>
        <x:v>May 2026</x:v>
      </x:c>
    </x:row>
    <x:row r="553" ht="21" customHeight="1">
      <x:c r="A553" s="10" t="n">
        <x:v>46160</x:v>
      </x:c>
      <x:c r="B553" s="1" t="n">
        <x:v>0.5</x:v>
      </x:c>
      <x:c r="C553" s="1" t="n">
        <x:v>6</x:v>
      </x:c>
      <x:c r="D553" s="12" t="n">
        <x:v>0.20575</x:v>
      </x:c>
      <x:c r="E553" s="12" t="n">
        <x:v>0.20575</x:v>
      </x:c>
      <x:c r="F553" s="12" t="n">
        <x:v>0</x:v>
      </x:c>
      <x:c r="G553" s="12" t="n">
        <x:v>0</x:v>
      </x:c>
      <x:c r="H553" s="1" t="n">
        <x:f>'Historical prices'!E553</x:f>
        <x:v>1.05</x:v>
      </x:c>
      <x:c r="I553" s="6" t="n">
        <x:f>'Historical prices'!D553</x:f>
        <x:v>0.2226</x:v>
      </x:c>
      <x:c r="J553" s="13" t="n">
        <x:f>D553*I553*H553</x:f>
        <x:v>0.0480899475</x:v>
      </x:c>
      <x:c r="K553" s="13" t="n">
        <x:f>E553*I553*H553</x:f>
        <x:v>0.0480899475</x:v>
      </x:c>
      <x:c r="L553" s="1" t="str">
        <x:f>TEXT(A553,"mmm yyyy")</x:f>
        <x:v>May 2026</x:v>
      </x:c>
    </x:row>
    <x:row r="554" ht="21" customHeight="1">
      <x:c r="A554" s="10" t="n">
        <x:v>46160</x:v>
      </x:c>
      <x:c r="B554" s="1" t="n">
        <x:v>1</x:v>
      </x:c>
      <x:c r="C554" s="1" t="n">
        <x:v>6</x:v>
      </x:c>
      <x:c r="D554" s="12" t="n">
        <x:v>0.22641666666666668</x:v>
      </x:c>
      <x:c r="E554" s="12" t="n">
        <x:v>0.22741666666666668</x:v>
      </x:c>
      <x:c r="F554" s="12" t="n">
        <x:v>0</x:v>
      </x:c>
      <x:c r="G554" s="12" t="n">
        <x:v>0</x:v>
      </x:c>
      <x:c r="H554" s="1" t="n">
        <x:f>'Historical prices'!E554</x:f>
        <x:v>1.05</x:v>
      </x:c>
      <x:c r="I554" s="6" t="n">
        <x:f>'Historical prices'!D554</x:f>
        <x:v>0.2226</x:v>
      </x:c>
      <x:c r="J554" s="13" t="n">
        <x:f>D554*I554*H554</x:f>
        <x:v>0.0529203675</x:v>
      </x:c>
      <x:c r="K554" s="13" t="n">
        <x:f>E554*I554*H554</x:f>
        <x:v>0.053154097500000004</x:v>
      </x:c>
      <x:c r="L554" s="1" t="str">
        <x:f>TEXT(A554,"mmm yyyy")</x:f>
        <x:v>May 2026</x:v>
      </x:c>
    </x:row>
    <x:row r="555" ht="21" customHeight="1">
      <x:c r="A555" s="10" t="n">
        <x:v>46160</x:v>
      </x:c>
      <x:c r="B555" s="1" t="n">
        <x:v>1.5</x:v>
      </x:c>
      <x:c r="C555" s="1" t="n">
        <x:v>6</x:v>
      </x:c>
      <x:c r="D555" s="12" t="n">
        <x:v>0.189</x:v>
      </x:c>
      <x:c r="E555" s="12" t="n">
        <x:v>0.19</x:v>
      </x:c>
      <x:c r="F555" s="12" t="n">
        <x:v>0</x:v>
      </x:c>
      <x:c r="G555" s="12" t="n">
        <x:v>0</x:v>
      </x:c>
      <x:c r="H555" s="1" t="n">
        <x:f>'Historical prices'!E555</x:f>
        <x:v>1.05</x:v>
      </x:c>
      <x:c r="I555" s="6" t="n">
        <x:f>'Historical prices'!D555</x:f>
        <x:v>0.2226</x:v>
      </x:c>
      <x:c r="J555" s="13" t="n">
        <x:f>D555*I555*H555</x:f>
        <x:v>0.04417497</x:v>
      </x:c>
      <x:c r="K555" s="13" t="n">
        <x:f>E555*I555*H555</x:f>
        <x:v>0.0444087</x:v>
      </x:c>
      <x:c r="L555" s="1" t="str">
        <x:f>TEXT(A555,"mmm yyyy")</x:f>
        <x:v>May 2026</x:v>
      </x:c>
    </x:row>
    <x:row r="556" ht="21" customHeight="1">
      <x:c r="A556" s="10" t="n">
        <x:v>46160</x:v>
      </x:c>
      <x:c r="B556" s="1" t="n">
        <x:v>2</x:v>
      </x:c>
      <x:c r="C556" s="1" t="n">
        <x:v>6</x:v>
      </x:c>
      <x:c r="D556" s="12" t="n">
        <x:v>0.20266666666666666</x:v>
      </x:c>
      <x:c r="E556" s="12" t="n">
        <x:v>0.20266666666666666</x:v>
      </x:c>
      <x:c r="F556" s="12" t="n">
        <x:v>0</x:v>
      </x:c>
      <x:c r="G556" s="12" t="n">
        <x:v>0</x:v>
      </x:c>
      <x:c r="H556" s="1" t="n">
        <x:f>'Historical prices'!E556</x:f>
        <x:v>1.05</x:v>
      </x:c>
      <x:c r="I556" s="6" t="n">
        <x:f>'Historical prices'!D556</x:f>
        <x:v>0.2226</x:v>
      </x:c>
      <x:c r="J556" s="13" t="n">
        <x:f>D556*I556*H556</x:f>
        <x:v>0.04736928</x:v>
      </x:c>
      <x:c r="K556" s="13" t="n">
        <x:f>E556*I556*H556</x:f>
        <x:v>0.04736928</x:v>
      </x:c>
      <x:c r="L556" s="1" t="str">
        <x:f>TEXT(A556,"mmm yyyy")</x:f>
        <x:v>May 2026</x:v>
      </x:c>
    </x:row>
    <x:row r="557" ht="21" customHeight="1">
      <x:c r="A557" s="10" t="n">
        <x:v>46160</x:v>
      </x:c>
      <x:c r="B557" s="1" t="n">
        <x:v>2.5</x:v>
      </x:c>
      <x:c r="C557" s="1" t="n">
        <x:v>6</x:v>
      </x:c>
      <x:c r="D557" s="12" t="n">
        <x:v>0.2663333333333333</x:v>
      </x:c>
      <x:c r="E557" s="12" t="n">
        <x:v>0.2673333333333333</x:v>
      </x:c>
      <x:c r="F557" s="12" t="n">
        <x:v>0</x:v>
      </x:c>
      <x:c r="G557" s="12" t="n">
        <x:v>0</x:v>
      </x:c>
      <x:c r="H557" s="1" t="n">
        <x:f>'Historical prices'!E557</x:f>
        <x:v>1.05</x:v>
      </x:c>
      <x:c r="I557" s="6" t="n">
        <x:f>'Historical prices'!D557</x:f>
        <x:v>0.2226</x:v>
      </x:c>
      <x:c r="J557" s="13" t="n">
        <x:f>D557*I557*H557</x:f>
        <x:v>0.062250089999999994</x:v>
      </x:c>
      <x:c r="K557" s="13" t="n">
        <x:f>E557*I557*H557</x:f>
        <x:v>0.062483819999999995</x:v>
      </x:c>
      <x:c r="L557" s="1" t="str">
        <x:f>TEXT(A557,"mmm yyyy")</x:f>
        <x:v>May 2026</x:v>
      </x:c>
    </x:row>
    <x:row r="558" ht="21" customHeight="1">
      <x:c r="A558" s="10" t="n">
        <x:v>46160</x:v>
      </x:c>
      <x:c r="B558" s="1" t="n">
        <x:v>3</x:v>
      </x:c>
      <x:c r="C558" s="1" t="n">
        <x:v>6</x:v>
      </x:c>
      <x:c r="D558" s="12" t="n">
        <x:v>0.32825</x:v>
      </x:c>
      <x:c r="E558" s="12" t="n">
        <x:v>0.32925</x:v>
      </x:c>
      <x:c r="F558" s="12" t="n">
        <x:v>0</x:v>
      </x:c>
      <x:c r="G558" s="12" t="n">
        <x:v>0</x:v>
      </x:c>
      <x:c r="H558" s="1" t="n">
        <x:f>'Historical prices'!E558</x:f>
        <x:v>1.05</x:v>
      </x:c>
      <x:c r="I558" s="6" t="n">
        <x:f>'Historical prices'!D558</x:f>
        <x:v>0.2226</x:v>
      </x:c>
      <x:c r="J558" s="13" t="n">
        <x:f>D558*I558*H558</x:f>
        <x:v>0.0767218725</x:v>
      </x:c>
      <x:c r="K558" s="13" t="n">
        <x:f>E558*I558*H558</x:f>
        <x:v>0.0769556025</x:v>
      </x:c>
      <x:c r="L558" s="1" t="str">
        <x:f>TEXT(A558,"mmm yyyy")</x:f>
        <x:v>May 2026</x:v>
      </x:c>
    </x:row>
    <x:row r="559" ht="21" customHeight="1">
      <x:c r="A559" s="10" t="n">
        <x:v>46160</x:v>
      </x:c>
      <x:c r="B559" s="1" t="n">
        <x:v>3.5</x:v>
      </x:c>
      <x:c r="C559" s="1" t="n">
        <x:v>6</x:v>
      </x:c>
      <x:c r="D559" s="12" t="n">
        <x:v>0.20249999999999999</x:v>
      </x:c>
      <x:c r="E559" s="12" t="n">
        <x:v>0.2035</x:v>
      </x:c>
      <x:c r="F559" s="12" t="n">
        <x:v>0</x:v>
      </x:c>
      <x:c r="G559" s="12" t="n">
        <x:v>0</x:v>
      </x:c>
      <x:c r="H559" s="1" t="n">
        <x:f>'Historical prices'!E559</x:f>
        <x:v>1.05</x:v>
      </x:c>
      <x:c r="I559" s="6" t="n">
        <x:f>'Historical prices'!D559</x:f>
        <x:v>0.2226</x:v>
      </x:c>
      <x:c r="J559" s="13" t="n">
        <x:f>D559*I559*H559</x:f>
        <x:v>0.047330325</x:v>
      </x:c>
      <x:c r="K559" s="13" t="n">
        <x:f>E559*I559*H559</x:f>
        <x:v>0.047564054999999994</x:v>
      </x:c>
      <x:c r="L559" s="1" t="str">
        <x:f>TEXT(A559,"mmm yyyy")</x:f>
        <x:v>May 2026</x:v>
      </x:c>
    </x:row>
    <x:row r="560" ht="21" customHeight="1">
      <x:c r="A560" s="10" t="n">
        <x:v>46160</x:v>
      </x:c>
      <x:c r="B560" s="1" t="n">
        <x:v>4</x:v>
      </x:c>
      <x:c r="C560" s="1" t="n">
        <x:v>6</x:v>
      </x:c>
      <x:c r="D560" s="12" t="n">
        <x:v>0.26691666666666664</x:v>
      </x:c>
      <x:c r="E560" s="12" t="n">
        <x:v>0.26691666666666664</x:v>
      </x:c>
      <x:c r="F560" s="12" t="n">
        <x:v>0</x:v>
      </x:c>
      <x:c r="G560" s="12" t="n">
        <x:v>0</x:v>
      </x:c>
      <x:c r="H560" s="1" t="n">
        <x:f>'Historical prices'!E560</x:f>
        <x:v>1.05</x:v>
      </x:c>
      <x:c r="I560" s="6" t="n">
        <x:f>'Historical prices'!D560</x:f>
        <x:v>0.2226</x:v>
      </x:c>
      <x:c r="J560" s="13" t="n">
        <x:f>D560*I560*H560</x:f>
        <x:v>0.0623864325</x:v>
      </x:c>
      <x:c r="K560" s="13" t="n">
        <x:f>E560*I560*H560</x:f>
        <x:v>0.0623864325</x:v>
      </x:c>
      <x:c r="L560" s="1" t="str">
        <x:f>TEXT(A560,"mmm yyyy")</x:f>
        <x:v>May 2026</x:v>
      </x:c>
    </x:row>
    <x:row r="561" ht="21" customHeight="1">
      <x:c r="A561" s="10" t="n">
        <x:v>46160</x:v>
      </x:c>
      <x:c r="B561" s="1" t="n">
        <x:v>4.5</x:v>
      </x:c>
      <x:c r="C561" s="1" t="n">
        <x:v>6</x:v>
      </x:c>
      <x:c r="D561" s="12" t="n">
        <x:v>0.2664166666666667</x:v>
      </x:c>
      <x:c r="E561" s="12" t="n">
        <x:v>0.2674166666666667</x:v>
      </x:c>
      <x:c r="F561" s="12" t="n">
        <x:v>0</x:v>
      </x:c>
      <x:c r="G561" s="12" t="n">
        <x:v>0</x:v>
      </x:c>
      <x:c r="H561" s="1" t="n">
        <x:f>'Historical prices'!E561</x:f>
        <x:v>1.05</x:v>
      </x:c>
      <x:c r="I561" s="6" t="n">
        <x:f>'Historical prices'!D561</x:f>
        <x:v>0.2226</x:v>
      </x:c>
      <x:c r="J561" s="13" t="n">
        <x:f>D561*I561*H561</x:f>
        <x:v>0.06226956750000001</x:v>
      </x:c>
      <x:c r="K561" s="13" t="n">
        <x:f>E561*I561*H561</x:f>
        <x:v>0.0625032975</x:v>
      </x:c>
      <x:c r="L561" s="1" t="str">
        <x:f>TEXT(A561,"mmm yyyy")</x:f>
        <x:v>May 2026</x:v>
      </x:c>
    </x:row>
    <x:row r="562" ht="21" customHeight="1">
      <x:c r="A562" s="10" t="n">
        <x:v>46160</x:v>
      </x:c>
      <x:c r="B562" s="1" t="n">
        <x:v>5</x:v>
      </x:c>
      <x:c r="C562" s="1" t="n">
        <x:v>6</x:v>
      </x:c>
      <x:c r="D562" s="12" t="n">
        <x:v>0.24208333333333332</x:v>
      </x:c>
      <x:c r="E562" s="12" t="n">
        <x:v>0.24208333333333332</x:v>
      </x:c>
      <x:c r="F562" s="12" t="n">
        <x:v>0</x:v>
      </x:c>
      <x:c r="G562" s="12" t="n">
        <x:v>0</x:v>
      </x:c>
      <x:c r="H562" s="1" t="n">
        <x:f>'Historical prices'!E562</x:f>
        <x:v>1.05</x:v>
      </x:c>
      <x:c r="I562" s="6" t="n">
        <x:f>'Historical prices'!D562</x:f>
        <x:v>0.2226</x:v>
      </x:c>
      <x:c r="J562" s="13" t="n">
        <x:f>D562*I562*H562</x:f>
        <x:v>0.05658213749999999</x:v>
      </x:c>
      <x:c r="K562" s="13" t="n">
        <x:f>E562*I562*H562</x:f>
        <x:v>0.05658213749999999</x:v>
      </x:c>
      <x:c r="L562" s="1" t="str">
        <x:f>TEXT(A562,"mmm yyyy")</x:f>
        <x:v>May 2026</x:v>
      </x:c>
    </x:row>
    <x:row r="563" ht="21" customHeight="1">
      <x:c r="A563" s="10" t="n">
        <x:v>46160</x:v>
      </x:c>
      <x:c r="B563" s="1" t="n">
        <x:v>5.5</x:v>
      </x:c>
      <x:c r="C563" s="1" t="n">
        <x:v>6</x:v>
      </x:c>
      <x:c r="D563" s="12" t="n">
        <x:v>0.32791666666666663</x:v>
      </x:c>
      <x:c r="E563" s="12" t="n">
        <x:v>0.32891666666666663</x:v>
      </x:c>
      <x:c r="F563" s="12" t="n">
        <x:v>0</x:v>
      </x:c>
      <x:c r="G563" s="12" t="n">
        <x:v>0</x:v>
      </x:c>
      <x:c r="H563" s="1" t="n">
        <x:f>'Historical prices'!E563</x:f>
        <x:v>1.05</x:v>
      </x:c>
      <x:c r="I563" s="6" t="n">
        <x:f>'Historical prices'!D563</x:f>
        <x:v>0.2226</x:v>
      </x:c>
      <x:c r="J563" s="13" t="n">
        <x:f>D563*I563*H563</x:f>
        <x:v>0.0766439625</x:v>
      </x:c>
      <x:c r="K563" s="13" t="n">
        <x:f>E563*I563*H563</x:f>
        <x:v>0.07687769249999998</x:v>
      </x:c>
      <x:c r="L563" s="1" t="str">
        <x:f>TEXT(A563,"mmm yyyy")</x:f>
        <x:v>May 2026</x:v>
      </x:c>
    </x:row>
    <x:row r="564" ht="21" customHeight="1">
      <x:c r="A564" s="10" t="n">
        <x:v>46160</x:v>
      </x:c>
      <x:c r="B564" s="1" t="n">
        <x:v>6</x:v>
      </x:c>
      <x:c r="C564" s="1" t="n">
        <x:v>6</x:v>
      </x:c>
      <x:c r="D564" s="12" t="n">
        <x:v>0.3631666666666667</x:v>
      </x:c>
      <x:c r="E564" s="12" t="n">
        <x:v>0.3631666666666667</x:v>
      </x:c>
      <x:c r="F564" s="12" t="n">
        <x:v>0</x:v>
      </x:c>
      <x:c r="G564" s="12" t="n">
        <x:v>0</x:v>
      </x:c>
      <x:c r="H564" s="1" t="n">
        <x:f>'Historical prices'!E564</x:f>
        <x:v>1.05</x:v>
      </x:c>
      <x:c r="I564" s="6" t="n">
        <x:f>'Historical prices'!D564</x:f>
        <x:v>0.2226</x:v>
      </x:c>
      <x:c r="J564" s="13" t="n">
        <x:f>D564*I564*H564</x:f>
        <x:v>0.08488294500000002</x:v>
      </x:c>
      <x:c r="K564" s="13" t="n">
        <x:f>E564*I564*H564</x:f>
        <x:v>0.08488294500000002</x:v>
      </x:c>
      <x:c r="L564" s="1" t="str">
        <x:f>TEXT(A564,"mmm yyyy")</x:f>
        <x:v>May 2026</x:v>
      </x:c>
    </x:row>
    <x:row r="565" ht="21" customHeight="1">
      <x:c r="A565" s="10" t="n">
        <x:v>46160</x:v>
      </x:c>
      <x:c r="B565" s="1" t="n">
        <x:v>6.5</x:v>
      </x:c>
      <x:c r="C565" s="1" t="n">
        <x:v>6</x:v>
      </x:c>
      <x:c r="D565" s="12" t="n">
        <x:v>0.5624166666666667</x:v>
      </x:c>
      <x:c r="E565" s="12" t="n">
        <x:v>0.5624166666666667</x:v>
      </x:c>
      <x:c r="F565" s="12" t="n">
        <x:v>0</x:v>
      </x:c>
      <x:c r="G565" s="12" t="n">
        <x:v>0</x:v>
      </x:c>
      <x:c r="H565" s="1" t="n">
        <x:f>'Historical prices'!E565</x:f>
        <x:v>1.05</x:v>
      </x:c>
      <x:c r="I565" s="6" t="n">
        <x:f>'Historical prices'!D565</x:f>
        <x:v>0.2226</x:v>
      </x:c>
      <x:c r="J565" s="13" t="n">
        <x:f>D565*I565*H565</x:f>
        <x:v>0.1314536475</x:v>
      </x:c>
      <x:c r="K565" s="13" t="n">
        <x:f>E565*I565*H565</x:f>
        <x:v>0.1314536475</x:v>
      </x:c>
      <x:c r="L565" s="1" t="str">
        <x:f>TEXT(A565,"mmm yyyy")</x:f>
        <x:v>May 2026</x:v>
      </x:c>
    </x:row>
    <x:row r="566" ht="21" customHeight="1">
      <x:c r="A566" s="10" t="n">
        <x:v>46160</x:v>
      </x:c>
      <x:c r="B566" s="1" t="n">
        <x:v>7</x:v>
      </x:c>
      <x:c r="C566" s="1" t="n">
        <x:v>6</x:v>
      </x:c>
      <x:c r="D566" s="12" t="n">
        <x:v>0.623</x:v>
      </x:c>
      <x:c r="E566" s="12" t="n">
        <x:v>0.625</x:v>
      </x:c>
      <x:c r="F566" s="12" t="n">
        <x:v>0</x:v>
      </x:c>
      <x:c r="G566" s="12" t="n">
        <x:v>0</x:v>
      </x:c>
      <x:c r="H566" s="1" t="n">
        <x:f>'Historical prices'!E566</x:f>
        <x:v>1.05</x:v>
      </x:c>
      <x:c r="I566" s="6" t="n">
        <x:f>'Historical prices'!D566</x:f>
        <x:v>0.2226</x:v>
      </x:c>
      <x:c r="J566" s="13" t="n">
        <x:f>D566*I566*H566</x:f>
        <x:v>0.14561379</x:v>
      </x:c>
      <x:c r="K566" s="13" t="n">
        <x:f>E566*I566*H566</x:f>
        <x:v>0.14608125</x:v>
      </x:c>
      <x:c r="L566" s="1" t="str">
        <x:f>TEXT(A566,"mmm yyyy")</x:f>
        <x:v>May 2026</x:v>
      </x:c>
    </x:row>
    <x:row r="567" ht="21" customHeight="1">
      <x:c r="A567" s="10" t="n">
        <x:v>46160</x:v>
      </x:c>
      <x:c r="B567" s="1" t="n">
        <x:v>7.5</x:v>
      </x:c>
      <x:c r="C567" s="1" t="n">
        <x:v>6</x:v>
      </x:c>
      <x:c r="D567" s="12" t="n">
        <x:v>0.5645</x:v>
      </x:c>
      <x:c r="E567" s="12" t="n">
        <x:v>0.5645</x:v>
      </x:c>
      <x:c r="F567" s="12" t="n">
        <x:v>0</x:v>
      </x:c>
      <x:c r="G567" s="12" t="n">
        <x:v>0</x:v>
      </x:c>
      <x:c r="H567" s="1" t="n">
        <x:f>'Historical prices'!E567</x:f>
        <x:v>1.05</x:v>
      </x:c>
      <x:c r="I567" s="6" t="n">
        <x:f>'Historical prices'!D567</x:f>
        <x:v>0.2226</x:v>
      </x:c>
      <x:c r="J567" s="13" t="n">
        <x:f>D567*I567*H567</x:f>
        <x:v>0.131940585</x:v>
      </x:c>
      <x:c r="K567" s="13" t="n">
        <x:f>E567*I567*H567</x:f>
        <x:v>0.131940585</x:v>
      </x:c>
      <x:c r="L567" s="1" t="str">
        <x:f>TEXT(A567,"mmm yyyy")</x:f>
        <x:v>May 2026</x:v>
      </x:c>
    </x:row>
    <x:row r="568" ht="21" customHeight="1">
      <x:c r="A568" s="10" t="n">
        <x:v>46160</x:v>
      </x:c>
      <x:c r="B568" s="1" t="n">
        <x:v>8</x:v>
      </x:c>
      <x:c r="C568" s="1" t="n">
        <x:v>6</x:v>
      </x:c>
      <x:c r="D568" s="12" t="n">
        <x:v>0.548</x:v>
      </x:c>
      <x:c r="E568" s="12" t="n">
        <x:v>0.548</x:v>
      </x:c>
      <x:c r="F568" s="12" t="n">
        <x:v>0</x:v>
      </x:c>
      <x:c r="G568" s="12" t="n">
        <x:v>0</x:v>
      </x:c>
      <x:c r="H568" s="1" t="n">
        <x:f>'Historical prices'!E568</x:f>
        <x:v>1.05</x:v>
      </x:c>
      <x:c r="I568" s="6" t="n">
        <x:f>'Historical prices'!D568</x:f>
        <x:v>0.2226</x:v>
      </x:c>
      <x:c r="J568" s="13" t="n">
        <x:f>D568*I568*H568</x:f>
        <x:v>0.12808404</x:v>
      </x:c>
      <x:c r="K568" s="13" t="n">
        <x:f>E568*I568*H568</x:f>
        <x:v>0.12808404</x:v>
      </x:c>
      <x:c r="L568" s="1" t="str">
        <x:f>TEXT(A568,"mmm yyyy")</x:f>
        <x:v>May 2026</x:v>
      </x:c>
    </x:row>
    <x:row r="569" ht="21" customHeight="1">
      <x:c r="A569" s="10" t="n">
        <x:v>46160</x:v>
      </x:c>
      <x:c r="B569" s="1" t="n">
        <x:v>8.5</x:v>
      </x:c>
      <x:c r="C569" s="1" t="n">
        <x:v>6</x:v>
      </x:c>
      <x:c r="D569" s="12" t="n">
        <x:v>2.2291666666666665</x:v>
      </x:c>
      <x:c r="E569" s="12" t="n">
        <x:v>2.2291666666666665</x:v>
      </x:c>
      <x:c r="F569" s="12" t="n">
        <x:v>0</x:v>
      </x:c>
      <x:c r="G569" s="12" t="n">
        <x:v>0</x:v>
      </x:c>
      <x:c r="H569" s="1" t="n">
        <x:f>'Historical prices'!E569</x:f>
        <x:v>1.05</x:v>
      </x:c>
      <x:c r="I569" s="6" t="n">
        <x:f>'Historical prices'!D569</x:f>
        <x:v>0.2226</x:v>
      </x:c>
      <x:c r="J569" s="13" t="n">
        <x:f>D569*I569*H569</x:f>
        <x:v>0.5210231249999999</x:v>
      </x:c>
      <x:c r="K569" s="13" t="n">
        <x:f>E569*I569*H569</x:f>
        <x:v>0.5210231249999999</x:v>
      </x:c>
      <x:c r="L569" s="1" t="str">
        <x:f>TEXT(A569,"mmm yyyy")</x:f>
        <x:v>May 2026</x:v>
      </x:c>
    </x:row>
    <x:row r="570" ht="21" customHeight="1">
      <x:c r="A570" s="10" t="n">
        <x:v>46160</x:v>
      </x:c>
      <x:c r="B570" s="1" t="n">
        <x:v>9</x:v>
      </x:c>
      <x:c r="C570" s="1" t="n">
        <x:v>6</x:v>
      </x:c>
      <x:c r="D570" s="12" t="n">
        <x:v>1.0390833333333334</x:v>
      </x:c>
      <x:c r="E570" s="12" t="n">
        <x:v>1.0390833333333336</x:v>
      </x:c>
      <x:c r="F570" s="12" t="n">
        <x:v>0</x:v>
      </x:c>
      <x:c r="G570" s="12" t="n">
        <x:v>0</x:v>
      </x:c>
      <x:c r="H570" s="1" t="n">
        <x:f>'Historical prices'!E570</x:f>
        <x:v>1.05</x:v>
      </x:c>
      <x:c r="I570" s="6" t="n">
        <x:f>'Historical prices'!D570</x:f>
        <x:v>0.2226</x:v>
      </x:c>
      <x:c r="J570" s="13" t="n">
        <x:f>D570*I570*H570</x:f>
        <x:v>0.2428649475</x:v>
      </x:c>
      <x:c r="K570" s="13" t="n">
        <x:f>E570*I570*H570</x:f>
        <x:v>0.24286494750000007</x:v>
      </x:c>
      <x:c r="L570" s="1" t="str">
        <x:f>TEXT(A570,"mmm yyyy")</x:f>
        <x:v>May 2026</x:v>
      </x:c>
    </x:row>
    <x:row r="571" ht="21" customHeight="1">
      <x:c r="A571" s="10" t="n">
        <x:v>46160</x:v>
      </x:c>
      <x:c r="B571" s="1" t="n">
        <x:v>9.5</x:v>
      </x:c>
      <x:c r="C571" s="1" t="n">
        <x:v>6</x:v>
      </x:c>
      <x:c r="D571" s="12" t="n">
        <x:v>0.9541666666666667</x:v>
      </x:c>
      <x:c r="E571" s="12" t="n">
        <x:v>0.9531666666666667</x:v>
      </x:c>
      <x:c r="F571" s="12" t="n">
        <x:v>0</x:v>
      </x:c>
      <x:c r="G571" s="12" t="n">
        <x:v>0</x:v>
      </x:c>
      <x:c r="H571" s="1" t="n">
        <x:f>'Historical prices'!E571</x:f>
        <x:v>1.05</x:v>
      </x:c>
      <x:c r="I571" s="6" t="n">
        <x:f>'Historical prices'!D571</x:f>
        <x:v>0.2226</x:v>
      </x:c>
      <x:c r="J571" s="13" t="n">
        <x:f>D571*I571*H571</x:f>
        <x:v>0.22301737500000002</x:v>
      </x:c>
      <x:c r="K571" s="13" t="n">
        <x:f>E571*I571*H571</x:f>
        <x:v>0.222783645</x:v>
      </x:c>
      <x:c r="L571" s="1" t="str">
        <x:f>TEXT(A571,"mmm yyyy")</x:f>
        <x:v>May 2026</x:v>
      </x:c>
    </x:row>
    <x:row r="572" ht="21" customHeight="1">
      <x:c r="A572" s="10" t="n">
        <x:v>46160</x:v>
      </x:c>
      <x:c r="B572" s="1" t="n">
        <x:v>10</x:v>
      </x:c>
      <x:c r="C572" s="1" t="n">
        <x:v>6</x:v>
      </x:c>
      <x:c r="D572" s="12" t="n">
        <x:v>0.6294166666666667</x:v>
      </x:c>
      <x:c r="E572" s="12" t="n">
        <x:v>0.6304166666666667</x:v>
      </x:c>
      <x:c r="F572" s="12" t="n">
        <x:v>0</x:v>
      </x:c>
      <x:c r="G572" s="12" t="n">
        <x:v>0</x:v>
      </x:c>
      <x:c r="H572" s="1" t="n">
        <x:f>'Historical prices'!E572</x:f>
        <x:v>1.05</x:v>
      </x:c>
      <x:c r="I572" s="6" t="n">
        <x:f>'Historical prices'!D572</x:f>
        <x:v>0.2226</x:v>
      </x:c>
      <x:c r="J572" s="13" t="n">
        <x:f>D572*I572*H572</x:f>
        <x:v>0.14711355750000002</x:v>
      </x:c>
      <x:c r="K572" s="13" t="n">
        <x:f>E572*I572*H572</x:f>
        <x:v>0.1473472875</x:v>
      </x:c>
      <x:c r="L572" s="1" t="str">
        <x:f>TEXT(A572,"mmm yyyy")</x:f>
        <x:v>May 2026</x:v>
      </x:c>
    </x:row>
    <x:row r="573" ht="21" customHeight="1">
      <x:c r="A573" s="10" t="n">
        <x:v>46160</x:v>
      </x:c>
      <x:c r="B573" s="1" t="n">
        <x:v>10.5</x:v>
      </x:c>
      <x:c r="C573" s="1" t="n">
        <x:v>6</x:v>
      </x:c>
      <x:c r="D573" s="12" t="n">
        <x:v>0.5995833333333332</x:v>
      </x:c>
      <x:c r="E573" s="12" t="n">
        <x:v>0.6005833333333332</x:v>
      </x:c>
      <x:c r="F573" s="12" t="n">
        <x:v>0</x:v>
      </x:c>
      <x:c r="G573" s="12" t="n">
        <x:v>0</x:v>
      </x:c>
      <x:c r="H573" s="1" t="n">
        <x:f>'Historical prices'!E573</x:f>
        <x:v>1.05</x:v>
      </x:c>
      <x:c r="I573" s="6" t="n">
        <x:f>'Historical prices'!D573</x:f>
        <x:v>0.2226</x:v>
      </x:c>
      <x:c r="J573" s="13" t="n">
        <x:f>D573*I573*H573</x:f>
        <x:v>0.14014061249999998</x:v>
      </x:c>
      <x:c r="K573" s="13" t="n">
        <x:f>E573*I573*H573</x:f>
        <x:v>0.14037434249999997</x:v>
      </x:c>
      <x:c r="L573" s="1" t="str">
        <x:f>TEXT(A573,"mmm yyyy")</x:f>
        <x:v>May 2026</x:v>
      </x:c>
    </x:row>
    <x:row r="574" ht="21" customHeight="1">
      <x:c r="A574" s="10" t="n">
        <x:v>46160</x:v>
      </x:c>
      <x:c r="B574" s="1" t="n">
        <x:v>11</x:v>
      </x:c>
      <x:c r="C574" s="1" t="n">
        <x:v>6</x:v>
      </x:c>
      <x:c r="D574" s="12" t="n">
        <x:v>0.6085833333333334</x:v>
      </x:c>
      <x:c r="E574" s="12" t="n">
        <x:v>0.6085833333333334</x:v>
      </x:c>
      <x:c r="F574" s="12" t="n">
        <x:v>0</x:v>
      </x:c>
      <x:c r="G574" s="12" t="n">
        <x:v>0</x:v>
      </x:c>
      <x:c r="H574" s="1" t="n">
        <x:f>'Historical prices'!E574</x:f>
        <x:v>1.05</x:v>
      </x:c>
      <x:c r="I574" s="6" t="n">
        <x:f>'Historical prices'!D574</x:f>
        <x:v>0.2226</x:v>
      </x:c>
      <x:c r="J574" s="13" t="n">
        <x:f>D574*I574*H574</x:f>
        <x:v>0.1422441825</x:v>
      </x:c>
      <x:c r="K574" s="13" t="n">
        <x:f>E574*I574*H574</x:f>
        <x:v>0.1422441825</x:v>
      </x:c>
      <x:c r="L574" s="1" t="str">
        <x:f>TEXT(A574,"mmm yyyy")</x:f>
        <x:v>May 2026</x:v>
      </x:c>
    </x:row>
    <x:row r="575" ht="21" customHeight="1">
      <x:c r="A575" s="10" t="n">
        <x:v>46160</x:v>
      </x:c>
      <x:c r="B575" s="1" t="n">
        <x:v>11.5</x:v>
      </x:c>
      <x:c r="C575" s="1" t="n">
        <x:v>6</x:v>
      </x:c>
      <x:c r="D575" s="12" t="n">
        <x:v>0.44833333333333336</x:v>
      </x:c>
      <x:c r="E575" s="12" t="n">
        <x:v>0.44833333333333336</x:v>
      </x:c>
      <x:c r="F575" s="12" t="n">
        <x:v>0</x:v>
      </x:c>
      <x:c r="G575" s="12" t="n">
        <x:v>0</x:v>
      </x:c>
      <x:c r="H575" s="1" t="n">
        <x:f>'Historical prices'!E575</x:f>
        <x:v>1.05</x:v>
      </x:c>
      <x:c r="I575" s="6" t="n">
        <x:f>'Historical prices'!D575</x:f>
        <x:v>0.2226</x:v>
      </x:c>
      <x:c r="J575" s="13" t="n">
        <x:f>D575*I575*H575</x:f>
        <x:v>0.10478895</x:v>
      </x:c>
      <x:c r="K575" s="13" t="n">
        <x:f>E575*I575*H575</x:f>
        <x:v>0.10478895</x:v>
      </x:c>
      <x:c r="L575" s="1" t="str">
        <x:f>TEXT(A575,"mmm yyyy")</x:f>
        <x:v>May 2026</x:v>
      </x:c>
    </x:row>
    <x:row r="576" ht="21" customHeight="1">
      <x:c r="A576" s="10" t="n">
        <x:v>46160</x:v>
      </x:c>
      <x:c r="B576" s="1" t="n">
        <x:v>12</x:v>
      </x:c>
      <x:c r="C576" s="1" t="n">
        <x:v>6</x:v>
      </x:c>
      <x:c r="D576" s="12" t="n">
        <x:v>0.3699166666666667</x:v>
      </x:c>
      <x:c r="E576" s="12" t="n">
        <x:v>0.36991666666666667</x:v>
      </x:c>
      <x:c r="F576" s="12" t="n">
        <x:v>0</x:v>
      </x:c>
      <x:c r="G576" s="12" t="n">
        <x:v>0</x:v>
      </x:c>
      <x:c r="H576" s="1" t="n">
        <x:f>'Historical prices'!E576</x:f>
        <x:v>1.05</x:v>
      </x:c>
      <x:c r="I576" s="6" t="n">
        <x:f>'Historical prices'!D576</x:f>
        <x:v>0.2226</x:v>
      </x:c>
      <x:c r="J576" s="13" t="n">
        <x:f>D576*I576*H576</x:f>
        <x:v>0.08646062250000001</x:v>
      </x:c>
      <x:c r="K576" s="13" t="n">
        <x:f>E576*I576*H576</x:f>
        <x:v>0.0864606225</x:v>
      </x:c>
      <x:c r="L576" s="1" t="str">
        <x:f>TEXT(A576,"mmm yyyy")</x:f>
        <x:v>May 2026</x:v>
      </x:c>
    </x:row>
    <x:row r="577" ht="21" customHeight="1">
      <x:c r="A577" s="10" t="n">
        <x:v>46160</x:v>
      </x:c>
      <x:c r="B577" s="1" t="n">
        <x:v>12.5</x:v>
      </x:c>
      <x:c r="C577" s="1" t="n">
        <x:v>6</x:v>
      </x:c>
      <x:c r="D577" s="12" t="n">
        <x:v>0.36250000000000004</x:v>
      </x:c>
      <x:c r="E577" s="12" t="n">
        <x:v>0.36250000000000004</x:v>
      </x:c>
      <x:c r="F577" s="12" t="n">
        <x:v>0</x:v>
      </x:c>
      <x:c r="G577" s="12" t="n">
        <x:v>0</x:v>
      </x:c>
      <x:c r="H577" s="1" t="n">
        <x:f>'Historical prices'!E577</x:f>
        <x:v>1.05</x:v>
      </x:c>
      <x:c r="I577" s="6" t="n">
        <x:f>'Historical prices'!D577</x:f>
        <x:v>0.2226</x:v>
      </x:c>
      <x:c r="J577" s="13" t="n">
        <x:f>D577*I577*H577</x:f>
        <x:v>0.084727125</x:v>
      </x:c>
      <x:c r="K577" s="13" t="n">
        <x:f>E577*I577*H577</x:f>
        <x:v>0.084727125</x:v>
      </x:c>
      <x:c r="L577" s="1" t="str">
        <x:f>TEXT(A577,"mmm yyyy")</x:f>
        <x:v>May 2026</x:v>
      </x:c>
    </x:row>
    <x:row r="578" ht="21" customHeight="1">
      <x:c r="A578" s="10" t="n">
        <x:v>46160</x:v>
      </x:c>
      <x:c r="B578" s="1" t="n">
        <x:v>13</x:v>
      </x:c>
      <x:c r="C578" s="1" t="n">
        <x:v>6</x:v>
      </x:c>
      <x:c r="D578" s="12" t="n">
        <x:v>1.9206666666666667</x:v>
      </x:c>
      <x:c r="E578" s="12" t="n">
        <x:v>1.9216666666666666</x:v>
      </x:c>
      <x:c r="F578" s="12" t="n">
        <x:v>0</x:v>
      </x:c>
      <x:c r="G578" s="12" t="n">
        <x:v>0</x:v>
      </x:c>
      <x:c r="H578" s="1" t="n">
        <x:f>'Historical prices'!E578</x:f>
        <x:v>1.05</x:v>
      </x:c>
      <x:c r="I578" s="6" t="n">
        <x:f>'Historical prices'!D578</x:f>
        <x:v>0.2226</x:v>
      </x:c>
      <x:c r="J578" s="13" t="n">
        <x:f>D578*I578*H578</x:f>
        <x:v>0.44891742</x:v>
      </x:c>
      <x:c r="K578" s="13" t="n">
        <x:f>E578*I578*H578</x:f>
        <x:v>0.44915115</x:v>
      </x:c>
      <x:c r="L578" s="1" t="str">
        <x:f>TEXT(A578,"mmm yyyy")</x:f>
        <x:v>May 2026</x:v>
      </x:c>
    </x:row>
    <x:row r="579" ht="21" customHeight="1">
      <x:c r="A579" s="10" t="n">
        <x:v>46160</x:v>
      </x:c>
      <x:c r="B579" s="1" t="n">
        <x:v>13.5</x:v>
      </x:c>
      <x:c r="C579" s="1" t="n">
        <x:v>6</x:v>
      </x:c>
      <x:c r="D579" s="12" t="n">
        <x:v>0.3988333333333333</x:v>
      </x:c>
      <x:c r="E579" s="12" t="n">
        <x:v>0.3988333333333333</x:v>
      </x:c>
      <x:c r="F579" s="12" t="n">
        <x:v>0</x:v>
      </x:c>
      <x:c r="G579" s="12" t="n">
        <x:v>0</x:v>
      </x:c>
      <x:c r="H579" s="1" t="n">
        <x:f>'Historical prices'!E579</x:f>
        <x:v>1.05</x:v>
      </x:c>
      <x:c r="I579" s="6" t="n">
        <x:f>'Historical prices'!D579</x:f>
        <x:v>0.2226</x:v>
      </x:c>
      <x:c r="J579" s="13" t="n">
        <x:f>D579*I579*H579</x:f>
        <x:v>0.093219315</x:v>
      </x:c>
      <x:c r="K579" s="13" t="n">
        <x:f>E579*I579*H579</x:f>
        <x:v>0.093219315</x:v>
      </x:c>
      <x:c r="L579" s="1" t="str">
        <x:f>TEXT(A579,"mmm yyyy")</x:f>
        <x:v>May 2026</x:v>
      </x:c>
    </x:row>
    <x:row r="580" ht="21" customHeight="1">
      <x:c r="A580" s="10" t="n">
        <x:v>46160</x:v>
      </x:c>
      <x:c r="B580" s="1" t="n">
        <x:v>14</x:v>
      </x:c>
      <x:c r="C580" s="1" t="n">
        <x:v>6</x:v>
      </x:c>
      <x:c r="D580" s="12" t="n">
        <x:v>0.5105000000000001</x:v>
      </x:c>
      <x:c r="E580" s="12" t="n">
        <x:v>0.5095000000000001</x:v>
      </x:c>
      <x:c r="F580" s="12" t="n">
        <x:v>0</x:v>
      </x:c>
      <x:c r="G580" s="12" t="n">
        <x:v>0</x:v>
      </x:c>
      <x:c r="H580" s="1" t="n">
        <x:f>'Historical prices'!E580</x:f>
        <x:v>1.05</x:v>
      </x:c>
      <x:c r="I580" s="6" t="n">
        <x:f>'Historical prices'!D580</x:f>
        <x:v>0.2226</x:v>
      </x:c>
      <x:c r="J580" s="13" t="n">
        <x:f>D580*I580*H580</x:f>
        <x:v>0.11931916500000002</x:v>
      </x:c>
      <x:c r="K580" s="13" t="n">
        <x:f>E580*I580*H580</x:f>
        <x:v>0.11908543500000002</x:v>
      </x:c>
      <x:c r="L580" s="1" t="str">
        <x:f>TEXT(A580,"mmm yyyy")</x:f>
        <x:v>May 2026</x:v>
      </x:c>
    </x:row>
    <x:row r="581" ht="21" customHeight="1">
      <x:c r="A581" s="10" t="n">
        <x:v>46160</x:v>
      </x:c>
      <x:c r="B581" s="1" t="n">
        <x:v>14.5</x:v>
      </x:c>
      <x:c r="C581" s="1" t="n">
        <x:v>6</x:v>
      </x:c>
      <x:c r="D581" s="12" t="n">
        <x:v>0.47541666666666665</x:v>
      </x:c>
      <x:c r="E581" s="12" t="n">
        <x:v>0.47641666666666665</x:v>
      </x:c>
      <x:c r="F581" s="12" t="n">
        <x:v>0</x:v>
      </x:c>
      <x:c r="G581" s="12" t="n">
        <x:v>0</x:v>
      </x:c>
      <x:c r="H581" s="1" t="n">
        <x:f>'Historical prices'!E581</x:f>
        <x:v>1.05</x:v>
      </x:c>
      <x:c r="I581" s="6" t="n">
        <x:f>'Historical prices'!D581</x:f>
        <x:v>0.2226</x:v>
      </x:c>
      <x:c r="J581" s="13" t="n">
        <x:f>D581*I581*H581</x:f>
        <x:v>0.1111191375</x:v>
      </x:c>
      <x:c r="K581" s="13" t="n">
        <x:f>E581*I581*H581</x:f>
        <x:v>0.1113528675</x:v>
      </x:c>
      <x:c r="L581" s="1" t="str">
        <x:f>TEXT(A581,"mmm yyyy")</x:f>
        <x:v>May 2026</x:v>
      </x:c>
    </x:row>
    <x:row r="582" ht="21" customHeight="1">
      <x:c r="A582" s="10" t="n">
        <x:v>46160</x:v>
      </x:c>
      <x:c r="B582" s="1" t="n">
        <x:v>15</x:v>
      </x:c>
      <x:c r="C582" s="1" t="n">
        <x:v>6</x:v>
      </x:c>
      <x:c r="D582" s="12" t="n">
        <x:v>0.4999166666666667</x:v>
      </x:c>
      <x:c r="E582" s="12" t="n">
        <x:v>0.5009166666666667</x:v>
      </x:c>
      <x:c r="F582" s="12" t="n">
        <x:v>0</x:v>
      </x:c>
      <x:c r="G582" s="12" t="n">
        <x:v>0</x:v>
      </x:c>
      <x:c r="H582" s="1" t="n">
        <x:f>'Historical prices'!E582</x:f>
        <x:v>1.05</x:v>
      </x:c>
      <x:c r="I582" s="6" t="n">
        <x:f>'Historical prices'!D582</x:f>
        <x:v>0.2226</x:v>
      </x:c>
      <x:c r="J582" s="13" t="n">
        <x:f>D582*I582*H582</x:f>
        <x:v>0.11684552250000001</x:v>
      </x:c>
      <x:c r="K582" s="13" t="n">
        <x:f>E582*I582*H582</x:f>
        <x:v>0.1170792525</x:v>
      </x:c>
      <x:c r="L582" s="1" t="str">
        <x:f>TEXT(A582,"mmm yyyy")</x:f>
        <x:v>May 2026</x:v>
      </x:c>
    </x:row>
    <x:row r="583" ht="21" customHeight="1">
      <x:c r="A583" s="10" t="n">
        <x:v>46160</x:v>
      </x:c>
      <x:c r="B583" s="1" t="n">
        <x:v>15.5</x:v>
      </x:c>
      <x:c r="C583" s="1" t="n">
        <x:v>6</x:v>
      </x:c>
      <x:c r="D583" s="12" t="n">
        <x:v>0.44999999999999996</x:v>
      </x:c>
      <x:c r="E583" s="12" t="n">
        <x:v>0.44999999999999996</x:v>
      </x:c>
      <x:c r="F583" s="12" t="n">
        <x:v>0</x:v>
      </x:c>
      <x:c r="G583" s="12" t="n">
        <x:v>0</x:v>
      </x:c>
      <x:c r="H583" s="1" t="n">
        <x:f>'Historical prices'!E583</x:f>
        <x:v>1.05</x:v>
      </x:c>
      <x:c r="I583" s="6" t="n">
        <x:f>'Historical prices'!D583</x:f>
        <x:v>0.2226</x:v>
      </x:c>
      <x:c r="J583" s="13" t="n">
        <x:f>D583*I583*H583</x:f>
        <x:v>0.10517849999999998</x:v>
      </x:c>
      <x:c r="K583" s="13" t="n">
        <x:f>E583*I583*H583</x:f>
        <x:v>0.10517849999999998</x:v>
      </x:c>
      <x:c r="L583" s="1" t="str">
        <x:f>TEXT(A583,"mmm yyyy")</x:f>
        <x:v>May 2026</x:v>
      </x:c>
    </x:row>
    <x:row r="584" ht="21" customHeight="1">
      <x:c r="A584" s="10" t="n">
        <x:v>46160</x:v>
      </x:c>
      <x:c r="B584" s="1" t="n">
        <x:v>16</x:v>
      </x:c>
      <x:c r="C584" s="1" t="n">
        <x:v>6</x:v>
      </x:c>
      <x:c r="D584" s="12" t="n">
        <x:v>1.1023333333333334</x:v>
      </x:c>
      <x:c r="E584" s="12" t="n">
        <x:v>1.1013333333333333</x:v>
      </x:c>
      <x:c r="F584" s="12" t="n">
        <x:v>0</x:v>
      </x:c>
      <x:c r="G584" s="12" t="n">
        <x:v>0</x:v>
      </x:c>
      <x:c r="H584" s="1" t="n">
        <x:f>'Historical prices'!E584</x:f>
        <x:v>1.05</x:v>
      </x:c>
      <x:c r="I584" s="6" t="n">
        <x:f>'Historical prices'!D584</x:f>
        <x:v>0.2226</x:v>
      </x:c>
      <x:c r="J584" s="13" t="n">
        <x:f>D584*I584*H584</x:f>
        <x:v>0.25764837</x:v>
      </x:c>
      <x:c r="K584" s="13" t="n">
        <x:f>E584*I584*H584</x:f>
        <x:v>0.25741464</x:v>
      </x:c>
      <x:c r="L584" s="1" t="str">
        <x:f>TEXT(A584,"mmm yyyy")</x:f>
        <x:v>May 2026</x:v>
      </x:c>
    </x:row>
    <x:row r="585" ht="21" customHeight="1">
      <x:c r="A585" s="10" t="n">
        <x:v>46160</x:v>
      </x:c>
      <x:c r="B585" s="1" t="n">
        <x:v>16.5</x:v>
      </x:c>
      <x:c r="C585" s="1" t="n">
        <x:v>6</x:v>
      </x:c>
      <x:c r="D585" s="12" t="n">
        <x:v>1.0535</x:v>
      </x:c>
      <x:c r="E585" s="12" t="n">
        <x:v>1.0545</x:v>
      </x:c>
      <x:c r="F585" s="12" t="n">
        <x:v>0</x:v>
      </x:c>
      <x:c r="G585" s="12" t="n">
        <x:v>0</x:v>
      </x:c>
      <x:c r="H585" s="1" t="n">
        <x:f>'Historical prices'!E585</x:f>
        <x:v>1.05</x:v>
      </x:c>
      <x:c r="I585" s="6" t="n">
        <x:f>'Historical prices'!D585</x:f>
        <x:v>0.2226</x:v>
      </x:c>
      <x:c r="J585" s="13" t="n">
        <x:f>D585*I585*H585</x:f>
        <x:v>0.24623455500000005</x:v>
      </x:c>
      <x:c r="K585" s="13" t="n">
        <x:f>E585*I585*H585</x:f>
        <x:v>0.246468285</x:v>
      </x:c>
      <x:c r="L585" s="1" t="str">
        <x:f>TEXT(A585,"mmm yyyy")</x:f>
        <x:v>May 2026</x:v>
      </x:c>
    </x:row>
    <x:row r="586" ht="21" customHeight="1">
      <x:c r="A586" s="10" t="n">
        <x:v>46160</x:v>
      </x:c>
      <x:c r="B586" s="1" t="n">
        <x:v>17</x:v>
      </x:c>
      <x:c r="C586" s="1" t="n">
        <x:v>6</x:v>
      </x:c>
      <x:c r="D586" s="12" t="n">
        <x:v>0.3584166666666666</x:v>
      </x:c>
      <x:c r="E586" s="12" t="n">
        <x:v>0.3594166666666666</x:v>
      </x:c>
      <x:c r="F586" s="12" t="n">
        <x:v>0</x:v>
      </x:c>
      <x:c r="G586" s="12" t="n">
        <x:v>0</x:v>
      </x:c>
      <x:c r="H586" s="1" t="n">
        <x:f>'Historical prices'!E586</x:f>
        <x:v>1.05</x:v>
      </x:c>
      <x:c r="I586" s="6" t="n">
        <x:f>'Historical prices'!D586</x:f>
        <x:v>0.2226</x:v>
      </x:c>
      <x:c r="J586" s="13" t="n">
        <x:f>D586*I586*H586</x:f>
        <x:v>0.08377272749999998</x:v>
      </x:c>
      <x:c r="K586" s="13" t="n">
        <x:f>E586*I586*H586</x:f>
        <x:v>0.08400645749999999</x:v>
      </x:c>
      <x:c r="L586" s="1" t="str">
        <x:f>TEXT(A586,"mmm yyyy")</x:f>
        <x:v>May 2026</x:v>
      </x:c>
    </x:row>
    <x:row r="587" ht="21" customHeight="1">
      <x:c r="A587" s="10" t="n">
        <x:v>46160</x:v>
      </x:c>
      <x:c r="B587" s="1" t="n">
        <x:v>17.5</x:v>
      </x:c>
      <x:c r="C587" s="1" t="n">
        <x:v>6</x:v>
      </x:c>
      <x:c r="D587" s="12" t="n">
        <x:v>0.4778333333333334</x:v>
      </x:c>
      <x:c r="E587" s="12" t="n">
        <x:v>0.4788333333333334</x:v>
      </x:c>
      <x:c r="F587" s="12" t="n">
        <x:v>0</x:v>
      </x:c>
      <x:c r="G587" s="12" t="n">
        <x:v>0</x:v>
      </x:c>
      <x:c r="H587" s="1" t="n">
        <x:f>'Historical prices'!E587</x:f>
        <x:v>1.05</x:v>
      </x:c>
      <x:c r="I587" s="6" t="n">
        <x:f>'Historical prices'!D587</x:f>
        <x:v>0.2226</x:v>
      </x:c>
      <x:c r="J587" s="13" t="n">
        <x:f>D587*I587*H587</x:f>
        <x:v>0.11168398500000001</x:v>
      </x:c>
      <x:c r="K587" s="13" t="n">
        <x:f>E587*I587*H587</x:f>
        <x:v>0.11191771500000001</x:v>
      </x:c>
      <x:c r="L587" s="1" t="str">
        <x:f>TEXT(A587,"mmm yyyy")</x:f>
        <x:v>May 2026</x:v>
      </x:c>
    </x:row>
    <x:row r="588" ht="21" customHeight="1">
      <x:c r="A588" s="10" t="n">
        <x:v>46160</x:v>
      </x:c>
      <x:c r="B588" s="1" t="n">
        <x:v>18</x:v>
      </x:c>
      <x:c r="C588" s="1" t="n">
        <x:v>6</x:v>
      </x:c>
      <x:c r="D588" s="12" t="n">
        <x:v>0.45433333333333337</x:v>
      </x:c>
      <x:c r="E588" s="12" t="n">
        <x:v>0.45333333333333337</x:v>
      </x:c>
      <x:c r="F588" s="12" t="n">
        <x:v>0</x:v>
      </x:c>
      <x:c r="G588" s="12" t="n">
        <x:v>0</x:v>
      </x:c>
      <x:c r="H588" s="1" t="n">
        <x:f>'Historical prices'!E588</x:f>
        <x:v>1.05</x:v>
      </x:c>
      <x:c r="I588" s="6" t="n">
        <x:f>'Historical prices'!D588</x:f>
        <x:v>0.2226</x:v>
      </x:c>
      <x:c r="J588" s="13" t="n">
        <x:f>D588*I588*H588</x:f>
        <x:v>0.10619133000000001</x:v>
      </x:c>
      <x:c r="K588" s="13" t="n">
        <x:f>E588*I588*H588</x:f>
        <x:v>0.10595760000000001</x:v>
      </x:c>
      <x:c r="L588" s="1" t="str">
        <x:f>TEXT(A588,"mmm yyyy")</x:f>
        <x:v>May 2026</x:v>
      </x:c>
    </x:row>
    <x:row r="589" ht="21" customHeight="1">
      <x:c r="A589" s="10" t="n">
        <x:v>46160</x:v>
      </x:c>
      <x:c r="B589" s="1" t="n">
        <x:v>18.5</x:v>
      </x:c>
      <x:c r="C589" s="1" t="n">
        <x:v>6</x:v>
      </x:c>
      <x:c r="D589" s="12" t="n">
        <x:v>0.6665</x:v>
      </x:c>
      <x:c r="E589" s="12" t="n">
        <x:v>0.6675</x:v>
      </x:c>
      <x:c r="F589" s="12" t="n">
        <x:v>0</x:v>
      </x:c>
      <x:c r="G589" s="12" t="n">
        <x:v>0</x:v>
      </x:c>
      <x:c r="H589" s="1" t="n">
        <x:f>'Historical prices'!E589</x:f>
        <x:v>1.05</x:v>
      </x:c>
      <x:c r="I589" s="6" t="n">
        <x:f>'Historical prices'!D589</x:f>
        <x:v>0.2226</x:v>
      </x:c>
      <x:c r="J589" s="13" t="n">
        <x:f>D589*I589*H589</x:f>
        <x:v>0.155781045</x:v>
      </x:c>
      <x:c r="K589" s="13" t="n">
        <x:f>E589*I589*H589</x:f>
        <x:v>0.156014775</x:v>
      </x:c>
      <x:c r="L589" s="1" t="str">
        <x:f>TEXT(A589,"mmm yyyy")</x:f>
        <x:v>May 2026</x:v>
      </x:c>
    </x:row>
    <x:row r="590" ht="21" customHeight="1">
      <x:c r="A590" s="10" t="n">
        <x:v>46160</x:v>
      </x:c>
      <x:c r="B590" s="1" t="n">
        <x:v>19</x:v>
      </x:c>
      <x:c r="C590" s="1" t="n">
        <x:v>6</x:v>
      </x:c>
      <x:c r="D590" s="12" t="n">
        <x:v>0.5016666666666667</x:v>
      </x:c>
      <x:c r="E590" s="12" t="n">
        <x:v>0.5016666666666667</x:v>
      </x:c>
      <x:c r="F590" s="12" t="n">
        <x:v>0</x:v>
      </x:c>
      <x:c r="G590" s="12" t="n">
        <x:v>0</x:v>
      </x:c>
      <x:c r="H590" s="1" t="n">
        <x:f>'Historical prices'!E590</x:f>
        <x:v>1.05</x:v>
      </x:c>
      <x:c r="I590" s="6" t="n">
        <x:f>'Historical prices'!D590</x:f>
        <x:v>0.2226</x:v>
      </x:c>
      <x:c r="J590" s="13" t="n">
        <x:f>D590*I590*H590</x:f>
        <x:v>0.11725455000000001</x:v>
      </x:c>
      <x:c r="K590" s="13" t="n">
        <x:f>E590*I590*H590</x:f>
        <x:v>0.11725455000000001</x:v>
      </x:c>
      <x:c r="L590" s="1" t="str">
        <x:f>TEXT(A590,"mmm yyyy")</x:f>
        <x:v>May 2026</x:v>
      </x:c>
    </x:row>
    <x:row r="591" ht="21" customHeight="1">
      <x:c r="A591" s="10" t="n">
        <x:v>46160</x:v>
      </x:c>
      <x:c r="B591" s="1" t="n">
        <x:v>19.5</x:v>
      </x:c>
      <x:c r="C591" s="1" t="n">
        <x:v>6</x:v>
      </x:c>
      <x:c r="D591" s="12" t="n">
        <x:v>0.5516666666666666</x:v>
      </x:c>
      <x:c r="E591" s="12" t="n">
        <x:v>0.5526666666666666</x:v>
      </x:c>
      <x:c r="F591" s="12" t="n">
        <x:v>0</x:v>
      </x:c>
      <x:c r="G591" s="12" t="n">
        <x:v>0</x:v>
      </x:c>
      <x:c r="H591" s="1" t="n">
        <x:f>'Historical prices'!E591</x:f>
        <x:v>1.05</x:v>
      </x:c>
      <x:c r="I591" s="6" t="n">
        <x:f>'Historical prices'!D591</x:f>
        <x:v>0.2226</x:v>
      </x:c>
      <x:c r="J591" s="13" t="n">
        <x:f>D591*I591*H591</x:f>
        <x:v>0.12894105</x:v>
      </x:c>
      <x:c r="K591" s="13" t="n">
        <x:f>E591*I591*H591</x:f>
        <x:v>0.12917478</x:v>
      </x:c>
      <x:c r="L591" s="1" t="str">
        <x:f>TEXT(A591,"mmm yyyy")</x:f>
        <x:v>May 2026</x:v>
      </x:c>
    </x:row>
    <x:row r="592" ht="21" customHeight="1">
      <x:c r="A592" s="10" t="n">
        <x:v>46160</x:v>
      </x:c>
      <x:c r="B592" s="1" t="n">
        <x:v>20</x:v>
      </x:c>
      <x:c r="C592" s="1" t="n">
        <x:v>6</x:v>
      </x:c>
      <x:c r="D592" s="12" t="n">
        <x:v>0.55325</x:v>
      </x:c>
      <x:c r="E592" s="12" t="n">
        <x:v>0.55225</x:v>
      </x:c>
      <x:c r="F592" s="12" t="n">
        <x:v>0</x:v>
      </x:c>
      <x:c r="G592" s="12" t="n">
        <x:v>0</x:v>
      </x:c>
      <x:c r="H592" s="1" t="n">
        <x:f>'Historical prices'!E592</x:f>
        <x:v>1.05</x:v>
      </x:c>
      <x:c r="I592" s="6" t="n">
        <x:f>'Historical prices'!D592</x:f>
        <x:v>0.2226</x:v>
      </x:c>
      <x:c r="J592" s="13" t="n">
        <x:f>D592*I592*H592</x:f>
        <x:v>0.12931112250000001</x:v>
      </x:c>
      <x:c r="K592" s="13" t="n">
        <x:f>E592*I592*H592</x:f>
        <x:v>0.1290773925</x:v>
      </x:c>
      <x:c r="L592" s="1" t="str">
        <x:f>TEXT(A592,"mmm yyyy")</x:f>
        <x:v>May 2026</x:v>
      </x:c>
    </x:row>
    <x:row r="593" ht="21" customHeight="1">
      <x:c r="A593" s="10" t="n">
        <x:v>46160</x:v>
      </x:c>
      <x:c r="B593" s="1" t="n">
        <x:v>20.5</x:v>
      </x:c>
      <x:c r="C593" s="1" t="n">
        <x:v>6</x:v>
      </x:c>
      <x:c r="D593" s="12" t="n">
        <x:v>0.5513333333333333</x:v>
      </x:c>
      <x:c r="E593" s="12" t="n">
        <x:v>0.5523333333333333</x:v>
      </x:c>
      <x:c r="F593" s="12" t="n">
        <x:v>0</x:v>
      </x:c>
      <x:c r="G593" s="12" t="n">
        <x:v>0</x:v>
      </x:c>
      <x:c r="H593" s="1" t="n">
        <x:f>'Historical prices'!E593</x:f>
        <x:v>1.05</x:v>
      </x:c>
      <x:c r="I593" s="6" t="n">
        <x:f>'Historical prices'!D593</x:f>
        <x:v>0.2226</x:v>
      </x:c>
      <x:c r="J593" s="13" t="n">
        <x:f>D593*I593*H593</x:f>
        <x:v>0.12886314000000001</x:v>
      </x:c>
      <x:c r="K593" s="13" t="n">
        <x:f>E593*I593*H593</x:f>
        <x:v>0.12909687</x:v>
      </x:c>
      <x:c r="L593" s="1" t="str">
        <x:f>TEXT(A593,"mmm yyyy")</x:f>
        <x:v>May 2026</x:v>
      </x:c>
    </x:row>
    <x:row r="594" ht="21" customHeight="1">
      <x:c r="A594" s="10" t="n">
        <x:v>46160</x:v>
      </x:c>
      <x:c r="B594" s="1" t="n">
        <x:v>21</x:v>
      </x:c>
      <x:c r="C594" s="1" t="n">
        <x:v>6</x:v>
      </x:c>
      <x:c r="D594" s="12" t="n">
        <x:v>0.6651666666666666</x:v>
      </x:c>
      <x:c r="E594" s="12" t="n">
        <x:v>0.6661666666666666</x:v>
      </x:c>
      <x:c r="F594" s="12" t="n">
        <x:v>0</x:v>
      </x:c>
      <x:c r="G594" s="12" t="n">
        <x:v>0</x:v>
      </x:c>
      <x:c r="H594" s="1" t="n">
        <x:f>'Historical prices'!E594</x:f>
        <x:v>1.05</x:v>
      </x:c>
      <x:c r="I594" s="6" t="n">
        <x:f>'Historical prices'!D594</x:f>
        <x:v>0.2226</x:v>
      </x:c>
      <x:c r="J594" s="13" t="n">
        <x:f>D594*I594*H594</x:f>
        <x:v>0.15546940499999998</x:v>
      </x:c>
      <x:c r="K594" s="13" t="n">
        <x:f>E594*I594*H594</x:f>
        <x:v>0.15570313499999996</x:v>
      </x:c>
      <x:c r="L594" s="1" t="str">
        <x:f>TEXT(A594,"mmm yyyy")</x:f>
        <x:v>May 2026</x:v>
      </x:c>
    </x:row>
    <x:row r="595" ht="21" customHeight="1">
      <x:c r="A595" s="10" t="n">
        <x:v>46160</x:v>
      </x:c>
      <x:c r="B595" s="1" t="n">
        <x:v>21.5</x:v>
      </x:c>
      <x:c r="C595" s="1" t="n">
        <x:v>6</x:v>
      </x:c>
      <x:c r="D595" s="12" t="n">
        <x:v>0.5665</x:v>
      </x:c>
      <x:c r="E595" s="12" t="n">
        <x:v>0.5665</x:v>
      </x:c>
      <x:c r="F595" s="12" t="n">
        <x:v>0</x:v>
      </x:c>
      <x:c r="G595" s="12" t="n">
        <x:v>0</x:v>
      </x:c>
      <x:c r="H595" s="1" t="n">
        <x:f>'Historical prices'!E595</x:f>
        <x:v>1.05</x:v>
      </x:c>
      <x:c r="I595" s="6" t="n">
        <x:f>'Historical prices'!D595</x:f>
        <x:v>0.2226</x:v>
      </x:c>
      <x:c r="J595" s="13" t="n">
        <x:f>D595*I595*H595</x:f>
        <x:v>0.132408045</x:v>
      </x:c>
      <x:c r="K595" s="13" t="n">
        <x:f>E595*I595*H595</x:f>
        <x:v>0.132408045</x:v>
      </x:c>
      <x:c r="L595" s="1" t="str">
        <x:f>TEXT(A595,"mmm yyyy")</x:f>
        <x:v>May 2026</x:v>
      </x:c>
    </x:row>
    <x:row r="596" ht="21" customHeight="1">
      <x:c r="A596" s="10" t="n">
        <x:v>46160</x:v>
      </x:c>
      <x:c r="B596" s="1" t="n">
        <x:v>22</x:v>
      </x:c>
      <x:c r="C596" s="1" t="n">
        <x:v>6</x:v>
      </x:c>
      <x:c r="D596" s="12" t="n">
        <x:v>0.6155833333333334</x:v>
      </x:c>
      <x:c r="E596" s="12" t="n">
        <x:v>0.6165833333333334</x:v>
      </x:c>
      <x:c r="F596" s="12" t="n">
        <x:v>0</x:v>
      </x:c>
      <x:c r="G596" s="12" t="n">
        <x:v>0</x:v>
      </x:c>
      <x:c r="H596" s="1" t="n">
        <x:f>'Historical prices'!E596</x:f>
        <x:v>1.05</x:v>
      </x:c>
      <x:c r="I596" s="6" t="n">
        <x:f>'Historical prices'!D596</x:f>
        <x:v>0.2226</x:v>
      </x:c>
      <x:c r="J596" s="13" t="n">
        <x:f>D596*I596*H596</x:f>
        <x:v>0.1438802925</x:v>
      </x:c>
      <x:c r="K596" s="13" t="n">
        <x:f>E596*I596*H596</x:f>
        <x:v>0.1441140225</x:v>
      </x:c>
      <x:c r="L596" s="1" t="str">
        <x:f>TEXT(A596,"mmm yyyy")</x:f>
        <x:v>May 2026</x:v>
      </x:c>
    </x:row>
    <x:row r="597" ht="21" customHeight="1">
      <x:c r="A597" s="10" t="n">
        <x:v>46160</x:v>
      </x:c>
      <x:c r="B597" s="1" t="n">
        <x:v>22.5</x:v>
      </x:c>
      <x:c r="C597" s="1" t="n">
        <x:v>6</x:v>
      </x:c>
      <x:c r="D597" s="12" t="n">
        <x:v>0.26508333333333334</x:v>
      </x:c>
      <x:c r="E597" s="12" t="n">
        <x:v>0.26508333333333334</x:v>
      </x:c>
      <x:c r="F597" s="12" t="n">
        <x:v>0</x:v>
      </x:c>
      <x:c r="G597" s="12" t="n">
        <x:v>0</x:v>
      </x:c>
      <x:c r="H597" s="1" t="n">
        <x:f>'Historical prices'!E597</x:f>
        <x:v>1.05</x:v>
      </x:c>
      <x:c r="I597" s="6" t="n">
        <x:f>'Historical prices'!D597</x:f>
        <x:v>0.2226</x:v>
      </x:c>
      <x:c r="J597" s="13" t="n">
        <x:f>D597*I597*H597</x:f>
        <x:v>0.0619579275</x:v>
      </x:c>
      <x:c r="K597" s="13" t="n">
        <x:f>E597*I597*H597</x:f>
        <x:v>0.0619579275</x:v>
      </x:c>
      <x:c r="L597" s="1" t="str">
        <x:f>TEXT(A597,"mmm yyyy")</x:f>
        <x:v>May 2026</x:v>
      </x:c>
    </x:row>
    <x:row r="598" ht="21" customHeight="1">
      <x:c r="A598" s="10" t="n">
        <x:v>46160</x:v>
      </x:c>
      <x:c r="B598" s="1" t="n">
        <x:v>23</x:v>
      </x:c>
      <x:c r="C598" s="1" t="n">
        <x:v>6</x:v>
      </x:c>
      <x:c r="D598" s="12" t="n">
        <x:v>0.27275</x:v>
      </x:c>
      <x:c r="E598" s="12" t="n">
        <x:v>0.27375</x:v>
      </x:c>
      <x:c r="F598" s="12" t="n">
        <x:v>0</x:v>
      </x:c>
      <x:c r="G598" s="12" t="n">
        <x:v>0</x:v>
      </x:c>
      <x:c r="H598" s="1" t="n">
        <x:f>'Historical prices'!E598</x:f>
        <x:v>1.05</x:v>
      </x:c>
      <x:c r="I598" s="6" t="n">
        <x:f>'Historical prices'!D598</x:f>
        <x:v>0.2226</x:v>
      </x:c>
      <x:c r="J598" s="13" t="n">
        <x:f>D598*I598*H598</x:f>
        <x:v>0.06374985749999999</x:v>
      </x:c>
      <x:c r="K598" s="13" t="n">
        <x:f>E598*I598*H598</x:f>
        <x:v>0.0639835875</x:v>
      </x:c>
      <x:c r="L598" s="1" t="str">
        <x:f>TEXT(A598,"mmm yyyy")</x:f>
        <x:v>May 2026</x:v>
      </x:c>
    </x:row>
    <x:row r="599" ht="21" customHeight="1">
      <x:c r="A599" s="10" t="n">
        <x:v>46160</x:v>
      </x:c>
      <x:c r="B599" s="1" t="n">
        <x:v>23.5</x:v>
      </x:c>
      <x:c r="C599" s="1" t="n">
        <x:v>6</x:v>
      </x:c>
      <x:c r="D599" s="12" t="n">
        <x:v>0.23458333333333334</x:v>
      </x:c>
      <x:c r="E599" s="12" t="n">
        <x:v>0.23458333333333334</x:v>
      </x:c>
      <x:c r="F599" s="12" t="n">
        <x:v>0</x:v>
      </x:c>
      <x:c r="G599" s="12" t="n">
        <x:v>0</x:v>
      </x:c>
      <x:c r="H599" s="1" t="n">
        <x:f>'Historical prices'!E599</x:f>
        <x:v>1.05</x:v>
      </x:c>
      <x:c r="I599" s="6" t="n">
        <x:f>'Historical prices'!D599</x:f>
        <x:v>0.2226</x:v>
      </x:c>
      <x:c r="J599" s="13" t="n">
        <x:f>D599*I599*H599</x:f>
        <x:v>0.0548291625</x:v>
      </x:c>
      <x:c r="K599" s="13" t="n">
        <x:f>E599*I599*H599</x:f>
        <x:v>0.0548291625</x:v>
      </x:c>
      <x:c r="L599" s="1" t="str">
        <x:f>TEXT(A599,"mmm yyyy")</x:f>
        <x:v>May 2026</x:v>
      </x:c>
    </x:row>
    <x:row r="600" ht="21" customHeight="1">
      <x:c r="A600" s="10" t="n">
        <x:v>46161</x:v>
      </x:c>
      <x:c r="B600" s="1" t="n">
        <x:v>0</x:v>
      </x:c>
      <x:c r="C600" s="1" t="n">
        <x:v>6</x:v>
      </x:c>
      <x:c r="D600" s="12" t="n">
        <x:v>0.6458333333333333</x:v>
      </x:c>
      <x:c r="E600" s="12" t="n">
        <x:v>0.6458333333333333</x:v>
      </x:c>
      <x:c r="F600" s="12" t="n">
        <x:v>0</x:v>
      </x:c>
      <x:c r="G600" s="12" t="n">
        <x:v>0</x:v>
      </x:c>
      <x:c r="H600" s="1" t="n">
        <x:f>'Historical prices'!E600</x:f>
        <x:v>1.05</x:v>
      </x:c>
      <x:c r="I600" s="6" t="n">
        <x:f>'Historical prices'!D600</x:f>
        <x:v>0.2226</x:v>
      </x:c>
      <x:c r="J600" s="13" t="n">
        <x:f>D600*I600*H600</x:f>
        <x:v>0.150950625</x:v>
      </x:c>
      <x:c r="K600" s="13" t="n">
        <x:f>E600*I600*H600</x:f>
        <x:v>0.150950625</x:v>
      </x:c>
      <x:c r="L600" s="1" t="str">
        <x:f>TEXT(A600,"mmm yyyy")</x:f>
        <x:v>May 2026</x:v>
      </x:c>
    </x:row>
    <x:row r="601" ht="21" customHeight="1">
      <x:c r="A601" s="10" t="n">
        <x:v>46161</x:v>
      </x:c>
      <x:c r="B601" s="1" t="n">
        <x:v>0.5</x:v>
      </x:c>
      <x:c r="C601" s="1" t="n">
        <x:v>6</x:v>
      </x:c>
      <x:c r="D601" s="12" t="n">
        <x:v>0.3454166666666667</x:v>
      </x:c>
      <x:c r="E601" s="12" t="n">
        <x:v>0.3454166666666667</x:v>
      </x:c>
      <x:c r="F601" s="12" t="n">
        <x:v>0</x:v>
      </x:c>
      <x:c r="G601" s="12" t="n">
        <x:v>0</x:v>
      </x:c>
      <x:c r="H601" s="1" t="n">
        <x:f>'Historical prices'!E601</x:f>
        <x:v>1.05</x:v>
      </x:c>
      <x:c r="I601" s="6" t="n">
        <x:f>'Historical prices'!D601</x:f>
        <x:v>0.2226</x:v>
      </x:c>
      <x:c r="J601" s="13" t="n">
        <x:f>D601*I601*H601</x:f>
        <x:v>0.08073423750000001</x:v>
      </x:c>
      <x:c r="K601" s="13" t="n">
        <x:f>E601*I601*H601</x:f>
        <x:v>0.08073423750000001</x:v>
      </x:c>
      <x:c r="L601" s="1" t="str">
        <x:f>TEXT(A601,"mmm yyyy")</x:f>
        <x:v>May 2026</x:v>
      </x:c>
    </x:row>
    <x:row r="602" ht="21" customHeight="1">
      <x:c r="A602" s="10" t="n">
        <x:v>46161</x:v>
      </x:c>
      <x:c r="B602" s="1" t="n">
        <x:v>1</x:v>
      </x:c>
      <x:c r="C602" s="1" t="n">
        <x:v>6</x:v>
      </x:c>
      <x:c r="D602" s="12" t="n">
        <x:v>0.255</x:v>
      </x:c>
      <x:c r="E602" s="12" t="n">
        <x:v>0.257</x:v>
      </x:c>
      <x:c r="F602" s="12" t="n">
        <x:v>0</x:v>
      </x:c>
      <x:c r="G602" s="12" t="n">
        <x:v>0</x:v>
      </x:c>
      <x:c r="H602" s="1" t="n">
        <x:f>'Historical prices'!E602</x:f>
        <x:v>1.05</x:v>
      </x:c>
      <x:c r="I602" s="6" t="n">
        <x:f>'Historical prices'!D602</x:f>
        <x:v>0.2226</x:v>
      </x:c>
      <x:c r="J602" s="13" t="n">
        <x:f>D602*I602*H602</x:f>
        <x:v>0.059601150000000006</x:v>
      </x:c>
      <x:c r="K602" s="13" t="n">
        <x:f>E602*I602*H602</x:f>
        <x:v>0.06006861</x:v>
      </x:c>
      <x:c r="L602" s="1" t="str">
        <x:f>TEXT(A602,"mmm yyyy")</x:f>
        <x:v>May 2026</x:v>
      </x:c>
    </x:row>
    <x:row r="603" ht="21" customHeight="1">
      <x:c r="A603" s="10" t="n">
        <x:v>46161</x:v>
      </x:c>
      <x:c r="B603" s="1" t="n">
        <x:v>1.5</x:v>
      </x:c>
      <x:c r="C603" s="1" t="n">
        <x:v>6</x:v>
      </x:c>
      <x:c r="D603" s="12" t="n">
        <x:v>0.22933333333333333</x:v>
      </x:c>
      <x:c r="E603" s="12" t="n">
        <x:v>0.22833333333333333</x:v>
      </x:c>
      <x:c r="F603" s="12" t="n">
        <x:v>0</x:v>
      </x:c>
      <x:c r="G603" s="12" t="n">
        <x:v>0</x:v>
      </x:c>
      <x:c r="H603" s="1" t="n">
        <x:f>'Historical prices'!E603</x:f>
        <x:v>1.05</x:v>
      </x:c>
      <x:c r="I603" s="6" t="n">
        <x:f>'Historical prices'!D603</x:f>
        <x:v>0.2226</x:v>
      </x:c>
      <x:c r="J603" s="13" t="n">
        <x:f>D603*I603*H603</x:f>
        <x:v>0.05360208</x:v>
      </x:c>
      <x:c r="K603" s="13" t="n">
        <x:f>E603*I603*H603</x:f>
        <x:v>0.05336835</x:v>
      </x:c>
      <x:c r="L603" s="1" t="str">
        <x:f>TEXT(A603,"mmm yyyy")</x:f>
        <x:v>May 2026</x:v>
      </x:c>
    </x:row>
    <x:row r="604" ht="21" customHeight="1">
      <x:c r="A604" s="10" t="n">
        <x:v>46161</x:v>
      </x:c>
      <x:c r="B604" s="1" t="n">
        <x:v>2</x:v>
      </x:c>
      <x:c r="C604" s="1" t="n">
        <x:v>6</x:v>
      </x:c>
      <x:c r="D604" s="12" t="n">
        <x:v>0.24225</x:v>
      </x:c>
      <x:c r="E604" s="12" t="n">
        <x:v>0.24325</x:v>
      </x:c>
      <x:c r="F604" s="12" t="n">
        <x:v>0</x:v>
      </x:c>
      <x:c r="G604" s="12" t="n">
        <x:v>0</x:v>
      </x:c>
      <x:c r="H604" s="1" t="n">
        <x:f>'Historical prices'!E604</x:f>
        <x:v>1.05</x:v>
      </x:c>
      <x:c r="I604" s="6" t="n">
        <x:f>'Historical prices'!D604</x:f>
        <x:v>0.2226</x:v>
      </x:c>
      <x:c r="J604" s="13" t="n">
        <x:f>D604*I604*H604</x:f>
        <x:v>0.0566210925</x:v>
      </x:c>
      <x:c r="K604" s="13" t="n">
        <x:f>E604*I604*H604</x:f>
        <x:v>0.0568548225</x:v>
      </x:c>
      <x:c r="L604" s="1" t="str">
        <x:f>TEXT(A604,"mmm yyyy")</x:f>
        <x:v>May 2026</x:v>
      </x:c>
    </x:row>
    <x:row r="605" ht="21" customHeight="1">
      <x:c r="A605" s="10" t="n">
        <x:v>46161</x:v>
      </x:c>
      <x:c r="B605" s="1" t="n">
        <x:v>2.5</x:v>
      </x:c>
      <x:c r="C605" s="1" t="n">
        <x:v>6</x:v>
      </x:c>
      <x:c r="D605" s="12" t="n">
        <x:v>0.22708333333333336</x:v>
      </x:c>
      <x:c r="E605" s="12" t="n">
        <x:v>0.22808333333333336</x:v>
      </x:c>
      <x:c r="F605" s="12" t="n">
        <x:v>0</x:v>
      </x:c>
      <x:c r="G605" s="12" t="n">
        <x:v>0</x:v>
      </x:c>
      <x:c r="H605" s="1" t="n">
        <x:f>'Historical prices'!E605</x:f>
        <x:v>1.05</x:v>
      </x:c>
      <x:c r="I605" s="6" t="n">
        <x:f>'Historical prices'!D605</x:f>
        <x:v>0.2226</x:v>
      </x:c>
      <x:c r="J605" s="13" t="n">
        <x:f>D605*I605*H605</x:f>
        <x:v>0.053076187500000004</x:v>
      </x:c>
      <x:c r="K605" s="13" t="n">
        <x:f>E605*I605*H605</x:f>
        <x:v>0.05330991750000001</x:v>
      </x:c>
      <x:c r="L605" s="1" t="str">
        <x:f>TEXT(A605,"mmm yyyy")</x:f>
        <x:v>May 2026</x:v>
      </x:c>
    </x:row>
    <x:row r="606" ht="21" customHeight="1">
      <x:c r="A606" s="10" t="n">
        <x:v>46161</x:v>
      </x:c>
      <x:c r="B606" s="1" t="n">
        <x:v>3</x:v>
      </x:c>
      <x:c r="C606" s="1" t="n">
        <x:v>6</x:v>
      </x:c>
      <x:c r="D606" s="12" t="n">
        <x:v>0.24458333333333332</x:v>
      </x:c>
      <x:c r="E606" s="12" t="n">
        <x:v>0.24458333333333332</x:v>
      </x:c>
      <x:c r="F606" s="12" t="n">
        <x:v>0</x:v>
      </x:c>
      <x:c r="G606" s="12" t="n">
        <x:v>0</x:v>
      </x:c>
      <x:c r="H606" s="1" t="n">
        <x:f>'Historical prices'!E606</x:f>
        <x:v>1.05</x:v>
      </x:c>
      <x:c r="I606" s="6" t="n">
        <x:f>'Historical prices'!D606</x:f>
        <x:v>0.2226</x:v>
      </x:c>
      <x:c r="J606" s="13" t="n">
        <x:f>D606*I606*H606</x:f>
        <x:v>0.057166462499999994</x:v>
      </x:c>
      <x:c r="K606" s="13" t="n">
        <x:f>E606*I606*H606</x:f>
        <x:v>0.057166462499999994</x:v>
      </x:c>
      <x:c r="L606" s="1" t="str">
        <x:f>TEXT(A606,"mmm yyyy")</x:f>
        <x:v>May 2026</x:v>
      </x:c>
    </x:row>
    <x:row r="607" ht="21" customHeight="1">
      <x:c r="A607" s="10" t="n">
        <x:v>46161</x:v>
      </x:c>
      <x:c r="B607" s="1" t="n">
        <x:v>3.5</x:v>
      </x:c>
      <x:c r="C607" s="1" t="n">
        <x:v>6</x:v>
      </x:c>
      <x:c r="D607" s="12" t="n">
        <x:v>0.20083333333333336</x:v>
      </x:c>
      <x:c r="E607" s="12" t="n">
        <x:v>0.20183333333333336</x:v>
      </x:c>
      <x:c r="F607" s="12" t="n">
        <x:v>0</x:v>
      </x:c>
      <x:c r="G607" s="12" t="n">
        <x:v>0</x:v>
      </x:c>
      <x:c r="H607" s="1" t="n">
        <x:f>'Historical prices'!E607</x:f>
        <x:v>1.05</x:v>
      </x:c>
      <x:c r="I607" s="6" t="n">
        <x:f>'Historical prices'!D607</x:f>
        <x:v>0.2226</x:v>
      </x:c>
      <x:c r="J607" s="13" t="n">
        <x:f>D607*I607*H607</x:f>
        <x:v>0.046940775000000004</x:v>
      </x:c>
      <x:c r="K607" s="13" t="n">
        <x:f>E607*I607*H607</x:f>
        <x:v>0.047174505000000005</x:v>
      </x:c>
      <x:c r="L607" s="1" t="str">
        <x:f>TEXT(A607,"mmm yyyy")</x:f>
        <x:v>May 2026</x:v>
      </x:c>
    </x:row>
    <x:row r="608" ht="21" customHeight="1">
      <x:c r="A608" s="10" t="n">
        <x:v>46161</x:v>
      </x:c>
      <x:c r="B608" s="1" t="n">
        <x:v>4</x:v>
      </x:c>
      <x:c r="C608" s="1" t="n">
        <x:v>6</x:v>
      </x:c>
      <x:c r="D608" s="12" t="n">
        <x:v>0.24749999999999997</x:v>
      </x:c>
      <x:c r="E608" s="12" t="n">
        <x:v>0.24749999999999997</x:v>
      </x:c>
      <x:c r="F608" s="12" t="n">
        <x:v>0</x:v>
      </x:c>
      <x:c r="G608" s="12" t="n">
        <x:v>0</x:v>
      </x:c>
      <x:c r="H608" s="1" t="n">
        <x:f>'Historical prices'!E608</x:f>
        <x:v>1.05</x:v>
      </x:c>
      <x:c r="I608" s="6" t="n">
        <x:f>'Historical prices'!D608</x:f>
        <x:v>0.2226</x:v>
      </x:c>
      <x:c r="J608" s="13" t="n">
        <x:f>D608*I608*H608</x:f>
        <x:v>0.057848174999999995</x:v>
      </x:c>
      <x:c r="K608" s="13" t="n">
        <x:f>E608*I608*H608</x:f>
        <x:v>0.057848174999999995</x:v>
      </x:c>
      <x:c r="L608" s="1" t="str">
        <x:f>TEXT(A608,"mmm yyyy")</x:f>
        <x:v>May 2026</x:v>
      </x:c>
    </x:row>
    <x:row r="609" ht="21" customHeight="1">
      <x:c r="A609" s="10" t="n">
        <x:v>46161</x:v>
      </x:c>
      <x:c r="B609" s="1" t="n">
        <x:v>4.5</x:v>
      </x:c>
      <x:c r="C609" s="1" t="n">
        <x:v>6</x:v>
      </x:c>
      <x:c r="D609" s="12" t="n">
        <x:v>0.30325</x:v>
      </x:c>
      <x:c r="E609" s="12" t="n">
        <x:v>0.30425</x:v>
      </x:c>
      <x:c r="F609" s="12" t="n">
        <x:v>0</x:v>
      </x:c>
      <x:c r="G609" s="12" t="n">
        <x:v>0</x:v>
      </x:c>
      <x:c r="H609" s="1" t="n">
        <x:f>'Historical prices'!E609</x:f>
        <x:v>1.05</x:v>
      </x:c>
      <x:c r="I609" s="6" t="n">
        <x:f>'Historical prices'!D609</x:f>
        <x:v>0.2226</x:v>
      </x:c>
      <x:c r="J609" s="13" t="n">
        <x:f>D609*I609*H609</x:f>
        <x:v>0.07087862250000002</x:v>
      </x:c>
      <x:c r="K609" s="13" t="n">
        <x:f>E609*I609*H609</x:f>
        <x:v>0.0711123525</x:v>
      </x:c>
      <x:c r="L609" s="1" t="str">
        <x:f>TEXT(A609,"mmm yyyy")</x:f>
        <x:v>May 2026</x:v>
      </x:c>
    </x:row>
    <x:row r="610" ht="21" customHeight="1">
      <x:c r="A610" s="10" t="n">
        <x:v>46161</x:v>
      </x:c>
      <x:c r="B610" s="1" t="n">
        <x:v>5</x:v>
      </x:c>
      <x:c r="C610" s="1" t="n">
        <x:v>6</x:v>
      </x:c>
      <x:c r="D610" s="12" t="n">
        <x:v>0.26499999999999996</x:v>
      </x:c>
      <x:c r="E610" s="12" t="n">
        <x:v>0.26399999999999996</x:v>
      </x:c>
      <x:c r="F610" s="12" t="n">
        <x:v>0</x:v>
      </x:c>
      <x:c r="G610" s="12" t="n">
        <x:v>0</x:v>
      </x:c>
      <x:c r="H610" s="1" t="n">
        <x:f>'Historical prices'!E610</x:f>
        <x:v>1.05</x:v>
      </x:c>
      <x:c r="I610" s="6" t="n">
        <x:f>'Historical prices'!D610</x:f>
        <x:v>0.2226</x:v>
      </x:c>
      <x:c r="J610" s="13" t="n">
        <x:f>D610*I610*H610</x:f>
        <x:v>0.061938449999999985</x:v>
      </x:c>
      <x:c r="K610" s="13" t="n">
        <x:f>E610*I610*H610</x:f>
        <x:v>0.06170471999999999</x:v>
      </x:c>
      <x:c r="L610" s="1" t="str">
        <x:f>TEXT(A610,"mmm yyyy")</x:f>
        <x:v>May 2026</x:v>
      </x:c>
    </x:row>
    <x:row r="611" ht="21" customHeight="1">
      <x:c r="A611" s="10" t="n">
        <x:v>46161</x:v>
      </x:c>
      <x:c r="B611" s="1" t="n">
        <x:v>5.5</x:v>
      </x:c>
      <x:c r="C611" s="1" t="n">
        <x:v>6</x:v>
      </x:c>
      <x:c r="D611" s="12" t="n">
        <x:v>0.3559166666666667</x:v>
      </x:c>
      <x:c r="E611" s="12" t="n">
        <x:v>0.3579166666666667</x:v>
      </x:c>
      <x:c r="F611" s="12" t="n">
        <x:v>0</x:v>
      </x:c>
      <x:c r="G611" s="12" t="n">
        <x:v>0</x:v>
      </x:c>
      <x:c r="H611" s="1" t="n">
        <x:f>'Historical prices'!E611</x:f>
        <x:v>1.05</x:v>
      </x:c>
      <x:c r="I611" s="6" t="n">
        <x:f>'Historical prices'!D611</x:f>
        <x:v>0.2226</x:v>
      </x:c>
      <x:c r="J611" s="13" t="n">
        <x:f>D611*I611*H611</x:f>
        <x:v>0.08318840250000001</x:v>
      </x:c>
      <x:c r="K611" s="13" t="n">
        <x:f>E611*I611*H611</x:f>
        <x:v>0.08365586250000002</x:v>
      </x:c>
      <x:c r="L611" s="1" t="str">
        <x:f>TEXT(A611,"mmm yyyy")</x:f>
        <x:v>May 2026</x:v>
      </x:c>
    </x:row>
    <x:row r="612" ht="21" customHeight="1">
      <x:c r="A612" s="10" t="n">
        <x:v>46161</x:v>
      </x:c>
      <x:c r="B612" s="1" t="n">
        <x:v>6</x:v>
      </x:c>
      <x:c r="C612" s="1" t="n">
        <x:v>6</x:v>
      </x:c>
      <x:c r="D612" s="12" t="n">
        <x:v>0.3190833333333333</x:v>
      </x:c>
      <x:c r="E612" s="12" t="n">
        <x:v>0.3180833333333333</x:v>
      </x:c>
      <x:c r="F612" s="12" t="n">
        <x:v>0</x:v>
      </x:c>
      <x:c r="G612" s="12" t="n">
        <x:v>0</x:v>
      </x:c>
      <x:c r="H612" s="1" t="n">
        <x:f>'Historical prices'!E612</x:f>
        <x:v>1.05</x:v>
      </x:c>
      <x:c r="I612" s="6" t="n">
        <x:f>'Historical prices'!D612</x:f>
        <x:v>0.2226</x:v>
      </x:c>
      <x:c r="J612" s="13" t="n">
        <x:f>D612*I612*H612</x:f>
        <x:v>0.07457934749999998</x:v>
      </x:c>
      <x:c r="K612" s="13" t="n">
        <x:f>E612*I612*H612</x:f>
        <x:v>0.07434561749999999</x:v>
      </x:c>
      <x:c r="L612" s="1" t="str">
        <x:f>TEXT(A612,"mmm yyyy")</x:f>
        <x:v>May 2026</x:v>
      </x:c>
    </x:row>
    <x:row r="613" ht="21" customHeight="1">
      <x:c r="A613" s="10" t="n">
        <x:v>46161</x:v>
      </x:c>
      <x:c r="B613" s="1" t="n">
        <x:v>6.5</x:v>
      </x:c>
      <x:c r="C613" s="1" t="n">
        <x:v>6</x:v>
      </x:c>
      <x:c r="D613" s="12" t="n">
        <x:v>0.46391666666666664</x:v>
      </x:c>
      <x:c r="E613" s="12" t="n">
        <x:v>0.46491666666666664</x:v>
      </x:c>
      <x:c r="F613" s="12" t="n">
        <x:v>0</x:v>
      </x:c>
      <x:c r="G613" s="12" t="n">
        <x:v>0</x:v>
      </x:c>
      <x:c r="H613" s="1" t="n">
        <x:f>'Historical prices'!E613</x:f>
        <x:v>1.05</x:v>
      </x:c>
      <x:c r="I613" s="6" t="n">
        <x:f>'Historical prices'!D613</x:f>
        <x:v>0.2226</x:v>
      </x:c>
      <x:c r="J613" s="13" t="n">
        <x:f>D613*I613*H613</x:f>
        <x:v>0.1084312425</x:v>
      </x:c>
      <x:c r="K613" s="13" t="n">
        <x:f>E613*I613*H613</x:f>
        <x:v>0.1086649725</x:v>
      </x:c>
      <x:c r="L613" s="1" t="str">
        <x:f>TEXT(A613,"mmm yyyy")</x:f>
        <x:v>May 2026</x:v>
      </x:c>
    </x:row>
    <x:row r="614" ht="21" customHeight="1">
      <x:c r="A614" s="10" t="n">
        <x:v>46161</x:v>
      </x:c>
      <x:c r="B614" s="1" t="n">
        <x:v>7</x:v>
      </x:c>
      <x:c r="C614" s="1" t="n">
        <x:v>6</x:v>
      </x:c>
      <x:c r="D614" s="12" t="n">
        <x:v>0.5454166666666667</x:v>
      </x:c>
      <x:c r="E614" s="12" t="n">
        <x:v>0.5454166666666667</x:v>
      </x:c>
      <x:c r="F614" s="12" t="n">
        <x:v>0</x:v>
      </x:c>
      <x:c r="G614" s="12" t="n">
        <x:v>0</x:v>
      </x:c>
      <x:c r="H614" s="1" t="n">
        <x:f>'Historical prices'!E614</x:f>
        <x:v>1.05</x:v>
      </x:c>
      <x:c r="I614" s="6" t="n">
        <x:f>'Historical prices'!D614</x:f>
        <x:v>0.2226</x:v>
      </x:c>
      <x:c r="J614" s="13" t="n">
        <x:f>D614*I614*H614</x:f>
        <x:v>0.1274802375</x:v>
      </x:c>
      <x:c r="K614" s="13" t="n">
        <x:f>E614*I614*H614</x:f>
        <x:v>0.1274802375</x:v>
      </x:c>
      <x:c r="L614" s="1" t="str">
        <x:f>TEXT(A614,"mmm yyyy")</x:f>
        <x:v>May 2026</x:v>
      </x:c>
    </x:row>
    <x:row r="615" ht="21" customHeight="1">
      <x:c r="A615" s="10" t="n">
        <x:v>46161</x:v>
      </x:c>
      <x:c r="B615" s="1" t="n">
        <x:v>7.5</x:v>
      </x:c>
      <x:c r="C615" s="1" t="n">
        <x:v>6</x:v>
      </x:c>
      <x:c r="D615" s="12" t="n">
        <x:v>0.6365833333333333</x:v>
      </x:c>
      <x:c r="E615" s="12" t="n">
        <x:v>0.6375833333333333</x:v>
      </x:c>
      <x:c r="F615" s="12" t="n">
        <x:v>0</x:v>
      </x:c>
      <x:c r="G615" s="12" t="n">
        <x:v>0</x:v>
      </x:c>
      <x:c r="H615" s="1" t="n">
        <x:f>'Historical prices'!E615</x:f>
        <x:v>1.05</x:v>
      </x:c>
      <x:c r="I615" s="6" t="n">
        <x:f>'Historical prices'!D615</x:f>
        <x:v>0.2226</x:v>
      </x:c>
      <x:c r="J615" s="13" t="n">
        <x:f>D615*I615*H615</x:f>
        <x:v>0.1487886225</x:v>
      </x:c>
      <x:c r="K615" s="13" t="n">
        <x:f>E615*I615*H615</x:f>
        <x:v>0.14902235249999998</x:v>
      </x:c>
      <x:c r="L615" s="1" t="str">
        <x:f>TEXT(A615,"mmm yyyy")</x:f>
        <x:v>May 2026</x:v>
      </x:c>
    </x:row>
    <x:row r="616" ht="21" customHeight="1">
      <x:c r="A616" s="10" t="n">
        <x:v>46161</x:v>
      </x:c>
      <x:c r="B616" s="1" t="n">
        <x:v>8</x:v>
      </x:c>
      <x:c r="C616" s="1" t="n">
        <x:v>6</x:v>
      </x:c>
      <x:c r="D616" s="12" t="n">
        <x:v>0.5309166666666667</x:v>
      </x:c>
      <x:c r="E616" s="12" t="n">
        <x:v>0.5309166666666667</x:v>
      </x:c>
      <x:c r="F616" s="12" t="n">
        <x:v>0</x:v>
      </x:c>
      <x:c r="G616" s="12" t="n">
        <x:v>0</x:v>
      </x:c>
      <x:c r="H616" s="1" t="n">
        <x:f>'Historical prices'!E616</x:f>
        <x:v>1.05</x:v>
      </x:c>
      <x:c r="I616" s="6" t="n">
        <x:f>'Historical prices'!D616</x:f>
        <x:v>0.2226</x:v>
      </x:c>
      <x:c r="J616" s="13" t="n">
        <x:f>D616*I616*H616</x:f>
        <x:v>0.12409115250000001</x:v>
      </x:c>
      <x:c r="K616" s="13" t="n">
        <x:f>E616*I616*H616</x:f>
        <x:v>0.12409115250000001</x:v>
      </x:c>
      <x:c r="L616" s="1" t="str">
        <x:f>TEXT(A616,"mmm yyyy")</x:f>
        <x:v>May 2026</x:v>
      </x:c>
    </x:row>
    <x:row r="617" ht="21" customHeight="1">
      <x:c r="A617" s="10" t="n">
        <x:v>46161</x:v>
      </x:c>
      <x:c r="B617" s="1" t="n">
        <x:v>8.5</x:v>
      </x:c>
      <x:c r="C617" s="1" t="n">
        <x:v>6</x:v>
      </x:c>
      <x:c r="D617" s="12" t="n">
        <x:v>2.1188333333333333</x:v>
      </x:c>
      <x:c r="E617" s="12" t="n">
        <x:v>2.1198333333333332</x:v>
      </x:c>
      <x:c r="F617" s="12" t="n">
        <x:v>0</x:v>
      </x:c>
      <x:c r="G617" s="12" t="n">
        <x:v>0</x:v>
      </x:c>
      <x:c r="H617" s="1" t="n">
        <x:f>'Historical prices'!E617</x:f>
        <x:v>1.05</x:v>
      </x:c>
      <x:c r="I617" s="6" t="n">
        <x:f>'Historical prices'!D617</x:f>
        <x:v>0.2226</x:v>
      </x:c>
      <x:c r="J617" s="13" t="n">
        <x:f>D617*I617*H617</x:f>
        <x:v>0.495234915</x:v>
      </x:c>
      <x:c r="K617" s="13" t="n">
        <x:f>E617*I617*H617</x:f>
        <x:v>0.495468645</x:v>
      </x:c>
      <x:c r="L617" s="1" t="str">
        <x:f>TEXT(A617,"mmm yyyy")</x:f>
        <x:v>May 2026</x:v>
      </x:c>
    </x:row>
    <x:row r="618" ht="21" customHeight="1">
      <x:c r="A618" s="10" t="n">
        <x:v>46161</x:v>
      </x:c>
      <x:c r="B618" s="1" t="n">
        <x:v>9</x:v>
      </x:c>
      <x:c r="C618" s="1" t="n">
        <x:v>6</x:v>
      </x:c>
      <x:c r="D618" s="12" t="n">
        <x:v>0.95625</x:v>
      </x:c>
      <x:c r="E618" s="12" t="n">
        <x:v>0.9552499999999999</x:v>
      </x:c>
      <x:c r="F618" s="12" t="n">
        <x:v>0</x:v>
      </x:c>
      <x:c r="G618" s="12" t="n">
        <x:v>0</x:v>
      </x:c>
      <x:c r="H618" s="1" t="n">
        <x:f>'Historical prices'!E618</x:f>
        <x:v>1.05</x:v>
      </x:c>
      <x:c r="I618" s="6" t="n">
        <x:f>'Historical prices'!D618</x:f>
        <x:v>0.2226</x:v>
      </x:c>
      <x:c r="J618" s="13" t="n">
        <x:f>D618*I618*H618</x:f>
        <x:v>0.22350431250000002</x:v>
      </x:c>
      <x:c r="K618" s="13" t="n">
        <x:f>E618*I618*H618</x:f>
        <x:v>0.22327058249999998</x:v>
      </x:c>
      <x:c r="L618" s="1" t="str">
        <x:f>TEXT(A618,"mmm yyyy")</x:f>
        <x:v>May 2026</x:v>
      </x:c>
    </x:row>
    <x:row r="619" ht="21" customHeight="1">
      <x:c r="A619" s="10" t="n">
        <x:v>46161</x:v>
      </x:c>
      <x:c r="B619" s="1" t="n">
        <x:v>9.5</x:v>
      </x:c>
      <x:c r="C619" s="1" t="n">
        <x:v>6</x:v>
      </x:c>
      <x:c r="D619" s="12" t="n">
        <x:v>0.8681666666666668</x:v>
      </x:c>
      <x:c r="E619" s="12" t="n">
        <x:v>0.8691666666666668</x:v>
      </x:c>
      <x:c r="F619" s="12" t="n">
        <x:v>0</x:v>
      </x:c>
      <x:c r="G619" s="12" t="n">
        <x:v>0</x:v>
      </x:c>
      <x:c r="H619" s="1" t="n">
        <x:f>'Historical prices'!E619</x:f>
        <x:v>1.05</x:v>
      </x:c>
      <x:c r="I619" s="6" t="n">
        <x:f>'Historical prices'!D619</x:f>
        <x:v>0.2226</x:v>
      </x:c>
      <x:c r="J619" s="13" t="n">
        <x:f>D619*I619*H619</x:f>
        <x:v>0.202916595</x:v>
      </x:c>
      <x:c r="K619" s="13" t="n">
        <x:f>E619*I619*H619</x:f>
        <x:v>0.20315032500000002</x:v>
      </x:c>
      <x:c r="L619" s="1" t="str">
        <x:f>TEXT(A619,"mmm yyyy")</x:f>
        <x:v>May 2026</x:v>
      </x:c>
    </x:row>
    <x:row r="620" ht="21" customHeight="1">
      <x:c r="A620" s="10" t="n">
        <x:v>46161</x:v>
      </x:c>
      <x:c r="B620" s="1" t="n">
        <x:v>10</x:v>
      </x:c>
      <x:c r="C620" s="1" t="n">
        <x:v>6</x:v>
      </x:c>
      <x:c r="D620" s="12" t="n">
        <x:v>0.5703333333333334</x:v>
      </x:c>
      <x:c r="E620" s="12" t="n">
        <x:v>0.5703333333333334</x:v>
      </x:c>
      <x:c r="F620" s="12" t="n">
        <x:v>0</x:v>
      </x:c>
      <x:c r="G620" s="12" t="n">
        <x:v>0</x:v>
      </x:c>
      <x:c r="H620" s="1" t="n">
        <x:f>'Historical prices'!E620</x:f>
        <x:v>1.05</x:v>
      </x:c>
      <x:c r="I620" s="6" t="n">
        <x:f>'Historical prices'!D620</x:f>
        <x:v>0.2226</x:v>
      </x:c>
      <x:c r="J620" s="13" t="n">
        <x:f>D620*I620*H620</x:f>
        <x:v>0.13330401</x:v>
      </x:c>
      <x:c r="K620" s="13" t="n">
        <x:f>E620*I620*H620</x:f>
        <x:v>0.13330401</x:v>
      </x:c>
      <x:c r="L620" s="1" t="str">
        <x:f>TEXT(A620,"mmm yyyy")</x:f>
        <x:v>May 2026</x:v>
      </x:c>
    </x:row>
    <x:row r="621" ht="21" customHeight="1">
      <x:c r="A621" s="10" t="n">
        <x:v>46161</x:v>
      </x:c>
      <x:c r="B621" s="1" t="n">
        <x:v>10.5</x:v>
      </x:c>
      <x:c r="C621" s="1" t="n">
        <x:v>6</x:v>
      </x:c>
      <x:c r="D621" s="12" t="n">
        <x:v>0.5237499999999999</x:v>
      </x:c>
      <x:c r="E621" s="12" t="n">
        <x:v>0.52475</x:v>
      </x:c>
      <x:c r="F621" s="12" t="n">
        <x:v>0</x:v>
      </x:c>
      <x:c r="G621" s="12" t="n">
        <x:v>0</x:v>
      </x:c>
      <x:c r="H621" s="1" t="n">
        <x:f>'Historical prices'!E621</x:f>
        <x:v>1.05</x:v>
      </x:c>
      <x:c r="I621" s="6" t="n">
        <x:f>'Historical prices'!D621</x:f>
        <x:v>0.2226</x:v>
      </x:c>
      <x:c r="J621" s="13" t="n">
        <x:f>D621*I621*H621</x:f>
        <x:v>0.12241608749999999</x:v>
      </x:c>
      <x:c r="K621" s="13" t="n">
        <x:f>E621*I621*H621</x:f>
        <x:v>0.12264981750000001</x:v>
      </x:c>
      <x:c r="L621" s="1" t="str">
        <x:f>TEXT(A621,"mmm yyyy")</x:f>
        <x:v>May 2026</x:v>
      </x:c>
    </x:row>
    <x:row r="622" ht="21" customHeight="1">
      <x:c r="A622" s="10" t="n">
        <x:v>46161</x:v>
      </x:c>
      <x:c r="B622" s="1" t="n">
        <x:v>11</x:v>
      </x:c>
      <x:c r="C622" s="1" t="n">
        <x:v>6</x:v>
      </x:c>
      <x:c r="D622" s="12" t="n">
        <x:v>0.6471666666666667</x:v>
      </x:c>
      <x:c r="E622" s="12" t="n">
        <x:v>0.6461666666666667</x:v>
      </x:c>
      <x:c r="F622" s="12" t="n">
        <x:v>0</x:v>
      </x:c>
      <x:c r="G622" s="12" t="n">
        <x:v>0</x:v>
      </x:c>
      <x:c r="H622" s="1" t="n">
        <x:f>'Historical prices'!E622</x:f>
        <x:v>1.05</x:v>
      </x:c>
      <x:c r="I622" s="6" t="n">
        <x:f>'Historical prices'!D622</x:f>
        <x:v>0.2226</x:v>
      </x:c>
      <x:c r="J622" s="13" t="n">
        <x:f>D622*I622*H622</x:f>
        <x:v>0.151262265</x:v>
      </x:c>
      <x:c r="K622" s="13" t="n">
        <x:f>E622*I622*H622</x:f>
        <x:v>0.151028535</x:v>
      </x:c>
      <x:c r="L622" s="1" t="str">
        <x:f>TEXT(A622,"mmm yyyy")</x:f>
        <x:v>May 2026</x:v>
      </x:c>
    </x:row>
    <x:row r="623" ht="21" customHeight="1">
      <x:c r="A623" s="10" t="n">
        <x:v>46161</x:v>
      </x:c>
      <x:c r="B623" s="1" t="n">
        <x:v>11.5</x:v>
      </x:c>
      <x:c r="C623" s="1" t="n">
        <x:v>6</x:v>
      </x:c>
      <x:c r="D623" s="12" t="n">
        <x:v>0.5004166666666667</x:v>
      </x:c>
      <x:c r="E623" s="12" t="n">
        <x:v>0.5014166666666666</x:v>
      </x:c>
      <x:c r="F623" s="12" t="n">
        <x:v>0</x:v>
      </x:c>
      <x:c r="G623" s="12" t="n">
        <x:v>0</x:v>
      </x:c>
      <x:c r="H623" s="1" t="n">
        <x:f>'Historical prices'!E623</x:f>
        <x:v>1.05</x:v>
      </x:c>
      <x:c r="I623" s="6" t="n">
        <x:f>'Historical prices'!D623</x:f>
        <x:v>0.2226</x:v>
      </x:c>
      <x:c r="J623" s="13" t="n">
        <x:f>D623*I623*H623</x:f>
        <x:v>0.11696238750000001</x:v>
      </x:c>
      <x:c r="K623" s="13" t="n">
        <x:f>E623*I623*H623</x:f>
        <x:v>0.11719611749999999</x:v>
      </x:c>
      <x:c r="L623" s="1" t="str">
        <x:f>TEXT(A623,"mmm yyyy")</x:f>
        <x:v>May 2026</x:v>
      </x:c>
    </x:row>
    <x:row r="624" ht="21" customHeight="1">
      <x:c r="A624" s="10" t="n">
        <x:v>46161</x:v>
      </x:c>
      <x:c r="B624" s="1" t="n">
        <x:v>12</x:v>
      </x:c>
      <x:c r="C624" s="1" t="n">
        <x:v>6</x:v>
      </x:c>
      <x:c r="D624" s="12" t="n">
        <x:v>0.5188333333333334</x:v>
      </x:c>
      <x:c r="E624" s="12" t="n">
        <x:v>0.5178333333333334</x:v>
      </x:c>
      <x:c r="F624" s="12" t="n">
        <x:v>0</x:v>
      </x:c>
      <x:c r="G624" s="12" t="n">
        <x:v>0</x:v>
      </x:c>
      <x:c r="H624" s="1" t="n">
        <x:f>'Historical prices'!E624</x:f>
        <x:v>1.05</x:v>
      </x:c>
      <x:c r="I624" s="6" t="n">
        <x:f>'Historical prices'!D624</x:f>
        <x:v>0.2226</x:v>
      </x:c>
      <x:c r="J624" s="13" t="n">
        <x:f>D624*I624*H624</x:f>
        <x:v>0.12126691500000002</x:v>
      </x:c>
      <x:c r="K624" s="13" t="n">
        <x:f>E624*I624*H624</x:f>
        <x:v>0.121033185</x:v>
      </x:c>
      <x:c r="L624" s="1" t="str">
        <x:f>TEXT(A624,"mmm yyyy")</x:f>
        <x:v>May 2026</x:v>
      </x:c>
    </x:row>
    <x:row r="625" ht="21" customHeight="1">
      <x:c r="A625" s="10" t="n">
        <x:v>46161</x:v>
      </x:c>
      <x:c r="B625" s="1" t="n">
        <x:v>12.5</x:v>
      </x:c>
      <x:c r="C625" s="1" t="n">
        <x:v>6</x:v>
      </x:c>
      <x:c r="D625" s="12" t="n">
        <x:v>0.48283333333333334</x:v>
      </x:c>
      <x:c r="E625" s="12" t="n">
        <x:v>0.48283333333333334</x:v>
      </x:c>
      <x:c r="F625" s="12" t="n">
        <x:v>0</x:v>
      </x:c>
      <x:c r="G625" s="12" t="n">
        <x:v>0</x:v>
      </x:c>
      <x:c r="H625" s="1" t="n">
        <x:f>'Historical prices'!E625</x:f>
        <x:v>1.05</x:v>
      </x:c>
      <x:c r="I625" s="6" t="n">
        <x:f>'Historical prices'!D625</x:f>
        <x:v>0.2226</x:v>
      </x:c>
      <x:c r="J625" s="13" t="n">
        <x:f>D625*I625*H625</x:f>
        <x:v>0.112852635</x:v>
      </x:c>
      <x:c r="K625" s="13" t="n">
        <x:f>E625*I625*H625</x:f>
        <x:v>0.112852635</x:v>
      </x:c>
      <x:c r="L625" s="1" t="str">
        <x:f>TEXT(A625,"mmm yyyy")</x:f>
        <x:v>May 2026</x:v>
      </x:c>
    </x:row>
    <x:row r="626" ht="21" customHeight="1">
      <x:c r="A626" s="10" t="n">
        <x:v>46161</x:v>
      </x:c>
      <x:c r="B626" s="1" t="n">
        <x:v>13</x:v>
      </x:c>
      <x:c r="C626" s="1" t="n">
        <x:v>6</x:v>
      </x:c>
      <x:c r="D626" s="12" t="n">
        <x:v>1.6135833333333336</x:v>
      </x:c>
      <x:c r="E626" s="12" t="n">
        <x:v>1.6145833333333335</x:v>
      </x:c>
      <x:c r="F626" s="12" t="n">
        <x:v>0</x:v>
      </x:c>
      <x:c r="G626" s="12" t="n">
        <x:v>0</x:v>
      </x:c>
      <x:c r="H626" s="1" t="n">
        <x:f>'Historical prices'!E626</x:f>
        <x:v>1.05</x:v>
      </x:c>
      <x:c r="I626" s="6" t="n">
        <x:f>'Historical prices'!D626</x:f>
        <x:v>0.2226</x:v>
      </x:c>
      <x:c r="J626" s="13" t="n">
        <x:f>D626*I626*H626</x:f>
        <x:v>0.3771428325</x:v>
      </x:c>
      <x:c r="K626" s="13" t="n">
        <x:f>E626*I626*H626</x:f>
        <x:v>0.37737656250000007</x:v>
      </x:c>
      <x:c r="L626" s="1" t="str">
        <x:f>TEXT(A626,"mmm yyyy")</x:f>
        <x:v>May 2026</x:v>
      </x:c>
    </x:row>
    <x:row r="627" ht="21" customHeight="1">
      <x:c r="A627" s="10" t="n">
        <x:v>46161</x:v>
      </x:c>
      <x:c r="B627" s="1" t="n">
        <x:v>13.5</x:v>
      </x:c>
      <x:c r="C627" s="1" t="n">
        <x:v>6</x:v>
      </x:c>
      <x:c r="D627" s="12" t="n">
        <x:v>0.47808333333333336</x:v>
      </x:c>
      <x:c r="E627" s="12" t="n">
        <x:v>0.47808333333333336</x:v>
      </x:c>
      <x:c r="F627" s="12" t="n">
        <x:v>0</x:v>
      </x:c>
      <x:c r="G627" s="12" t="n">
        <x:v>0</x:v>
      </x:c>
      <x:c r="H627" s="1" t="n">
        <x:f>'Historical prices'!E627</x:f>
        <x:v>1.05</x:v>
      </x:c>
      <x:c r="I627" s="6" t="n">
        <x:f>'Historical prices'!D627</x:f>
        <x:v>0.2226</x:v>
      </x:c>
      <x:c r="J627" s="13" t="n">
        <x:f>D627*I627*H627</x:f>
        <x:v>0.1117424175</x:v>
      </x:c>
      <x:c r="K627" s="13" t="n">
        <x:f>E627*I627*H627</x:f>
        <x:v>0.1117424175</x:v>
      </x:c>
      <x:c r="L627" s="1" t="str">
        <x:f>TEXT(A627,"mmm yyyy")</x:f>
        <x:v>May 2026</x:v>
      </x:c>
    </x:row>
    <x:row r="628" ht="21" customHeight="1">
      <x:c r="A628" s="10" t="n">
        <x:v>46161</x:v>
      </x:c>
      <x:c r="B628" s="1" t="n">
        <x:v>14</x:v>
      </x:c>
      <x:c r="C628" s="1" t="n">
        <x:v>6</x:v>
      </x:c>
      <x:c r="D628" s="12" t="n">
        <x:v>0.4175833333333333</x:v>
      </x:c>
      <x:c r="E628" s="12" t="n">
        <x:v>0.4175833333333333</x:v>
      </x:c>
      <x:c r="F628" s="12" t="n">
        <x:v>0</x:v>
      </x:c>
      <x:c r="G628" s="12" t="n">
        <x:v>0</x:v>
      </x:c>
      <x:c r="H628" s="1" t="n">
        <x:f>'Historical prices'!E628</x:f>
        <x:v>1.05</x:v>
      </x:c>
      <x:c r="I628" s="6" t="n">
        <x:f>'Historical prices'!D628</x:f>
        <x:v>0.2226</x:v>
      </x:c>
      <x:c r="J628" s="13" t="n">
        <x:f>D628*I628*H628</x:f>
        <x:v>0.0976017525</x:v>
      </x:c>
      <x:c r="K628" s="13" t="n">
        <x:f>E628*I628*H628</x:f>
        <x:v>0.0976017525</x:v>
      </x:c>
      <x:c r="L628" s="1" t="str">
        <x:f>TEXT(A628,"mmm yyyy")</x:f>
        <x:v>May 2026</x:v>
      </x:c>
    </x:row>
    <x:row r="629" ht="21" customHeight="1">
      <x:c r="A629" s="10" t="n">
        <x:v>46161</x:v>
      </x:c>
      <x:c r="B629" s="1" t="n">
        <x:v>14.5</x:v>
      </x:c>
      <x:c r="C629" s="1" t="n">
        <x:v>6</x:v>
      </x:c>
      <x:c r="D629" s="12" t="n">
        <x:v>0.61175</x:v>
      </x:c>
      <x:c r="E629" s="12" t="n">
        <x:v>0.61375</x:v>
      </x:c>
      <x:c r="F629" s="12" t="n">
        <x:v>0</x:v>
      </x:c>
      <x:c r="G629" s="12" t="n">
        <x:v>0</x:v>
      </x:c>
      <x:c r="H629" s="1" t="n">
        <x:f>'Historical prices'!E629</x:f>
        <x:v>1.05</x:v>
      </x:c>
      <x:c r="I629" s="6" t="n">
        <x:f>'Historical prices'!D629</x:f>
        <x:v>0.2226</x:v>
      </x:c>
      <x:c r="J629" s="13" t="n">
        <x:f>D629*I629*H629</x:f>
        <x:v>0.1429843275</x:v>
      </x:c>
      <x:c r="K629" s="13" t="n">
        <x:f>E629*I629*H629</x:f>
        <x:v>0.1434517875</x:v>
      </x:c>
      <x:c r="L629" s="1" t="str">
        <x:f>TEXT(A629,"mmm yyyy")</x:f>
        <x:v>May 2026</x:v>
      </x:c>
    </x:row>
    <x:row r="630" ht="21" customHeight="1">
      <x:c r="A630" s="10" t="n">
        <x:v>46161</x:v>
      </x:c>
      <x:c r="B630" s="1" t="n">
        <x:v>15</x:v>
      </x:c>
      <x:c r="C630" s="1" t="n">
        <x:v>6</x:v>
      </x:c>
      <x:c r="D630" s="12" t="n">
        <x:v>1.465</x:v>
      </x:c>
      <x:c r="E630" s="12" t="n">
        <x:v>1.4640000000000002</x:v>
      </x:c>
      <x:c r="F630" s="12" t="n">
        <x:v>0</x:v>
      </x:c>
      <x:c r="G630" s="12" t="n">
        <x:v>0</x:v>
      </x:c>
      <x:c r="H630" s="1" t="n">
        <x:f>'Historical prices'!E630</x:f>
        <x:v>1.05</x:v>
      </x:c>
      <x:c r="I630" s="6" t="n">
        <x:f>'Historical prices'!D630</x:f>
        <x:v>0.2226</x:v>
      </x:c>
      <x:c r="J630" s="13" t="n">
        <x:f>D630*I630*H630</x:f>
        <x:v>0.34241445</x:v>
      </x:c>
      <x:c r="K630" s="13" t="n">
        <x:f>E630*I630*H630</x:f>
        <x:v>0.34218072000000005</x:v>
      </x:c>
      <x:c r="L630" s="1" t="str">
        <x:f>TEXT(A630,"mmm yyyy")</x:f>
        <x:v>May 2026</x:v>
      </x:c>
    </x:row>
    <x:row r="631" ht="21" customHeight="1">
      <x:c r="A631" s="10" t="n">
        <x:v>46161</x:v>
      </x:c>
      <x:c r="B631" s="1" t="n">
        <x:v>15.5</x:v>
      </x:c>
      <x:c r="C631" s="1" t="n">
        <x:v>6</x:v>
      </x:c>
      <x:c r="D631" s="12" t="n">
        <x:v>0.5608333333333333</x:v>
      </x:c>
      <x:c r="E631" s="12" t="n">
        <x:v>0.5608333333333333</x:v>
      </x:c>
      <x:c r="F631" s="12" t="n">
        <x:v>0</x:v>
      </x:c>
      <x:c r="G631" s="12" t="n">
        <x:v>0</x:v>
      </x:c>
      <x:c r="H631" s="1" t="n">
        <x:f>'Historical prices'!E631</x:f>
        <x:v>1.05</x:v>
      </x:c>
      <x:c r="I631" s="6" t="n">
        <x:f>'Historical prices'!D631</x:f>
        <x:v>0.2226</x:v>
      </x:c>
      <x:c r="J631" s="13" t="n">
        <x:f>D631*I631*H631</x:f>
        <x:v>0.13108357499999998</x:v>
      </x:c>
      <x:c r="K631" s="13" t="n">
        <x:f>E631*I631*H631</x:f>
        <x:v>0.13108357499999998</x:v>
      </x:c>
      <x:c r="L631" s="1" t="str">
        <x:f>TEXT(A631,"mmm yyyy")</x:f>
        <x:v>May 2026</x:v>
      </x:c>
    </x:row>
    <x:row r="632" ht="21" customHeight="1">
      <x:c r="A632" s="10" t="n">
        <x:v>46161</x:v>
      </x:c>
      <x:c r="B632" s="1" t="n">
        <x:v>16</x:v>
      </x:c>
      <x:c r="C632" s="1" t="n">
        <x:v>6</x:v>
      </x:c>
      <x:c r="D632" s="12" t="n">
        <x:v>0.8020833333333333</x:v>
      </x:c>
      <x:c r="E632" s="12" t="n">
        <x:v>0.8030833333333334</x:v>
      </x:c>
      <x:c r="F632" s="12" t="n">
        <x:v>0</x:v>
      </x:c>
      <x:c r="G632" s="12" t="n">
        <x:v>0</x:v>
      </x:c>
      <x:c r="H632" s="1" t="n">
        <x:f>'Historical prices'!E632</x:f>
        <x:v>1.05</x:v>
      </x:c>
      <x:c r="I632" s="6" t="n">
        <x:f>'Historical prices'!D632</x:f>
        <x:v>0.2226</x:v>
      </x:c>
      <x:c r="J632" s="13" t="n">
        <x:f>D632*I632*H632</x:f>
        <x:v>0.1874709375</x:v>
      </x:c>
      <x:c r="K632" s="13" t="n">
        <x:f>E632*I632*H632</x:f>
        <x:v>0.1877046675</x:v>
      </x:c>
      <x:c r="L632" s="1" t="str">
        <x:f>TEXT(A632,"mmm yyyy")</x:f>
        <x:v>May 2026</x:v>
      </x:c>
    </x:row>
    <x:row r="633" ht="21" customHeight="1">
      <x:c r="A633" s="10" t="n">
        <x:v>46161</x:v>
      </x:c>
      <x:c r="B633" s="1" t="n">
        <x:v>16.5</x:v>
      </x:c>
      <x:c r="C633" s="1" t="n">
        <x:v>6</x:v>
      </x:c>
      <x:c r="D633" s="12" t="n">
        <x:v>0.7119166666666665</x:v>
      </x:c>
      <x:c r="E633" s="12" t="n">
        <x:v>0.7119166666666665</x:v>
      </x:c>
      <x:c r="F633" s="12" t="n">
        <x:v>0</x:v>
      </x:c>
      <x:c r="G633" s="12" t="n">
        <x:v>0</x:v>
      </x:c>
      <x:c r="H633" s="1" t="n">
        <x:f>'Historical prices'!E633</x:f>
        <x:v>1.05</x:v>
      </x:c>
      <x:c r="I633" s="6" t="n">
        <x:f>'Historical prices'!D633</x:f>
        <x:v>0.2226</x:v>
      </x:c>
      <x:c r="J633" s="13" t="n">
        <x:f>D633*I633*H633</x:f>
        <x:v>0.16639628249999996</x:v>
      </x:c>
      <x:c r="K633" s="13" t="n">
        <x:f>E633*I633*H633</x:f>
        <x:v>0.16639628249999996</x:v>
      </x:c>
      <x:c r="L633" s="1" t="str">
        <x:f>TEXT(A633,"mmm yyyy")</x:f>
        <x:v>May 2026</x:v>
      </x:c>
    </x:row>
    <x:row r="634" ht="21" customHeight="1">
      <x:c r="A634" s="10" t="n">
        <x:v>46161</x:v>
      </x:c>
      <x:c r="B634" s="1" t="n">
        <x:v>17</x:v>
      </x:c>
      <x:c r="C634" s="1" t="n">
        <x:v>6</x:v>
      </x:c>
      <x:c r="D634" s="12" t="n">
        <x:v>0.6739166666666667</x:v>
      </x:c>
      <x:c r="E634" s="12" t="n">
        <x:v>0.6749166666666666</x:v>
      </x:c>
      <x:c r="F634" s="12" t="n">
        <x:v>0</x:v>
      </x:c>
      <x:c r="G634" s="12" t="n">
        <x:v>0</x:v>
      </x:c>
      <x:c r="H634" s="1" t="n">
        <x:f>'Historical prices'!E634</x:f>
        <x:v>1.05</x:v>
      </x:c>
      <x:c r="I634" s="6" t="n">
        <x:f>'Historical prices'!D634</x:f>
        <x:v>0.2226</x:v>
      </x:c>
      <x:c r="J634" s="13" t="n">
        <x:f>D634*I634*H634</x:f>
        <x:v>0.15751454250000002</x:v>
      </x:c>
      <x:c r="K634" s="13" t="n">
        <x:f>E634*I634*H634</x:f>
        <x:v>0.1577482725</x:v>
      </x:c>
      <x:c r="L634" s="1" t="str">
        <x:f>TEXT(A634,"mmm yyyy")</x:f>
        <x:v>May 2026</x:v>
      </x:c>
    </x:row>
    <x:row r="635" ht="21" customHeight="1">
      <x:c r="A635" s="10" t="n">
        <x:v>46161</x:v>
      </x:c>
      <x:c r="B635" s="1" t="n">
        <x:v>17.5</x:v>
      </x:c>
      <x:c r="C635" s="1" t="n">
        <x:v>6</x:v>
      </x:c>
      <x:c r="D635" s="12" t="n">
        <x:v>0.40858333333333335</x:v>
      </x:c>
      <x:c r="E635" s="12" t="n">
        <x:v>0.40758333333333335</x:v>
      </x:c>
      <x:c r="F635" s="12" t="n">
        <x:v>0</x:v>
      </x:c>
      <x:c r="G635" s="12" t="n">
        <x:v>0</x:v>
      </x:c>
      <x:c r="H635" s="1" t="n">
        <x:f>'Historical prices'!E635</x:f>
        <x:v>1.05</x:v>
      </x:c>
      <x:c r="I635" s="6" t="n">
        <x:f>'Historical prices'!D635</x:f>
        <x:v>0.2226</x:v>
      </x:c>
      <x:c r="J635" s="13" t="n">
        <x:f>D635*I635*H635</x:f>
        <x:v>0.09549818250000001</x:v>
      </x:c>
      <x:c r="K635" s="13" t="n">
        <x:f>E635*I635*H635</x:f>
        <x:v>0.09526445250000001</x:v>
      </x:c>
      <x:c r="L635" s="1" t="str">
        <x:f>TEXT(A635,"mmm yyyy")</x:f>
        <x:v>May 2026</x:v>
      </x:c>
    </x:row>
    <x:row r="636" ht="21" customHeight="1">
      <x:c r="A636" s="10" t="n">
        <x:v>46161</x:v>
      </x:c>
      <x:c r="B636" s="1" t="n">
        <x:v>18</x:v>
      </x:c>
      <x:c r="C636" s="1" t="n">
        <x:v>6</x:v>
      </x:c>
      <x:c r="D636" s="12" t="n">
        <x:v>0.4509166666666667</x:v>
      </x:c>
      <x:c r="E636" s="12" t="n">
        <x:v>0.4519166666666667</x:v>
      </x:c>
      <x:c r="F636" s="12" t="n">
        <x:v>0</x:v>
      </x:c>
      <x:c r="G636" s="12" t="n">
        <x:v>0</x:v>
      </x:c>
      <x:c r="H636" s="1" t="n">
        <x:f>'Historical prices'!E636</x:f>
        <x:v>1.05</x:v>
      </x:c>
      <x:c r="I636" s="6" t="n">
        <x:f>'Historical prices'!D636</x:f>
        <x:v>0.2226</x:v>
      </x:c>
      <x:c r="J636" s="13" t="n">
        <x:f>D636*I636*H636</x:f>
        <x:v>0.1053927525</x:v>
      </x:c>
      <x:c r="K636" s="13" t="n">
        <x:f>E636*I636*H636</x:f>
        <x:v>0.1056264825</x:v>
      </x:c>
      <x:c r="L636" s="1" t="str">
        <x:f>TEXT(A636,"mmm yyyy")</x:f>
        <x:v>May 2026</x:v>
      </x:c>
    </x:row>
    <x:row r="637" ht="21" customHeight="1">
      <x:c r="A637" s="10" t="n">
        <x:v>46161</x:v>
      </x:c>
      <x:c r="B637" s="1" t="n">
        <x:v>18.5</x:v>
      </x:c>
      <x:c r="C637" s="1" t="n">
        <x:v>6</x:v>
      </x:c>
      <x:c r="D637" s="12" t="n">
        <x:v>0.55125</x:v>
      </x:c>
      <x:c r="E637" s="12" t="n">
        <x:v>0.55125</x:v>
      </x:c>
      <x:c r="F637" s="12" t="n">
        <x:v>0</x:v>
      </x:c>
      <x:c r="G637" s="12" t="n">
        <x:v>0</x:v>
      </x:c>
      <x:c r="H637" s="1" t="n">
        <x:f>'Historical prices'!E637</x:f>
        <x:v>1.05</x:v>
      </x:c>
      <x:c r="I637" s="6" t="n">
        <x:f>'Historical prices'!D637</x:f>
        <x:v>0.2226</x:v>
      </x:c>
      <x:c r="J637" s="13" t="n">
        <x:f>D637*I637*H637</x:f>
        <x:v>0.1288436625</x:v>
      </x:c>
      <x:c r="K637" s="13" t="n">
        <x:f>E637*I637*H637</x:f>
        <x:v>0.1288436625</x:v>
      </x:c>
      <x:c r="L637" s="1" t="str">
        <x:f>TEXT(A637,"mmm yyyy")</x:f>
        <x:v>May 2026</x:v>
      </x:c>
    </x:row>
    <x:row r="638" ht="21" customHeight="1">
      <x:c r="A638" s="10" t="n">
        <x:v>46161</x:v>
      </x:c>
      <x:c r="B638" s="1" t="n">
        <x:v>19</x:v>
      </x:c>
      <x:c r="C638" s="1" t="n">
        <x:v>6</x:v>
      </x:c>
      <x:c r="D638" s="12" t="n">
        <x:v>0.4895</x:v>
      </x:c>
      <x:c r="E638" s="12" t="n">
        <x:v>0.4905</x:v>
      </x:c>
      <x:c r="F638" s="12" t="n">
        <x:v>0</x:v>
      </x:c>
      <x:c r="G638" s="12" t="n">
        <x:v>0</x:v>
      </x:c>
      <x:c r="H638" s="1" t="n">
        <x:f>'Historical prices'!E638</x:f>
        <x:v>1.05</x:v>
      </x:c>
      <x:c r="I638" s="6" t="n">
        <x:f>'Historical prices'!D638</x:f>
        <x:v>0.2226</x:v>
      </x:c>
      <x:c r="J638" s="13" t="n">
        <x:f>D638*I638*H638</x:f>
        <x:v>0.114410835</x:v>
      </x:c>
      <x:c r="K638" s="13" t="n">
        <x:f>E638*I638*H638</x:f>
        <x:v>0.114644565</x:v>
      </x:c>
      <x:c r="L638" s="1" t="str">
        <x:f>TEXT(A638,"mmm yyyy")</x:f>
        <x:v>May 2026</x:v>
      </x:c>
    </x:row>
    <x:row r="639" ht="21" customHeight="1">
      <x:c r="A639" s="10" t="n">
        <x:v>46161</x:v>
      </x:c>
      <x:c r="B639" s="1" t="n">
        <x:v>19.5</x:v>
      </x:c>
      <x:c r="C639" s="1" t="n">
        <x:v>6</x:v>
      </x:c>
      <x:c r="D639" s="12" t="n">
        <x:v>0.7516666666666667</x:v>
      </x:c>
      <x:c r="E639" s="12" t="n">
        <x:v>0.7516666666666667</x:v>
      </x:c>
      <x:c r="F639" s="12" t="n">
        <x:v>0</x:v>
      </x:c>
      <x:c r="G639" s="12" t="n">
        <x:v>0</x:v>
      </x:c>
      <x:c r="H639" s="1" t="n">
        <x:f>'Historical prices'!E639</x:f>
        <x:v>1.05</x:v>
      </x:c>
      <x:c r="I639" s="6" t="n">
        <x:f>'Historical prices'!D639</x:f>
        <x:v>0.2226</x:v>
      </x:c>
      <x:c r="J639" s="13" t="n">
        <x:f>D639*I639*H639</x:f>
        <x:v>0.17568705</x:v>
      </x:c>
      <x:c r="K639" s="13" t="n">
        <x:f>E639*I639*H639</x:f>
        <x:v>0.17568705</x:v>
      </x:c>
      <x:c r="L639" s="1" t="str">
        <x:f>TEXT(A639,"mmm yyyy")</x:f>
        <x:v>May 2026</x:v>
      </x:c>
    </x:row>
    <x:row r="640" ht="21" customHeight="1">
      <x:c r="A640" s="10" t="n">
        <x:v>46161</x:v>
      </x:c>
      <x:c r="B640" s="1" t="n">
        <x:v>20</x:v>
      </x:c>
      <x:c r="C640" s="1" t="n">
        <x:v>6</x:v>
      </x:c>
      <x:c r="D640" s="12" t="n">
        <x:v>0.51825</x:v>
      </x:c>
      <x:c r="E640" s="12" t="n">
        <x:v>0.51825</x:v>
      </x:c>
      <x:c r="F640" s="12" t="n">
        <x:v>0</x:v>
      </x:c>
      <x:c r="G640" s="12" t="n">
        <x:v>0</x:v>
      </x:c>
      <x:c r="H640" s="1" t="n">
        <x:f>'Historical prices'!E640</x:f>
        <x:v>1.05</x:v>
      </x:c>
      <x:c r="I640" s="6" t="n">
        <x:f>'Historical prices'!D640</x:f>
        <x:v>0.2226</x:v>
      </x:c>
      <x:c r="J640" s="13" t="n">
        <x:f>D640*I640*H640</x:f>
        <x:v>0.12113057249999999</x:v>
      </x:c>
      <x:c r="K640" s="13" t="n">
        <x:f>E640*I640*H640</x:f>
        <x:v>0.12113057249999999</x:v>
      </x:c>
      <x:c r="L640" s="1" t="str">
        <x:f>TEXT(A640,"mmm yyyy")</x:f>
        <x:v>May 2026</x:v>
      </x:c>
    </x:row>
    <x:row r="641" ht="21" customHeight="1">
      <x:c r="A641" s="10" t="n">
        <x:v>46161</x:v>
      </x:c>
      <x:c r="B641" s="1" t="n">
        <x:v>20.5</x:v>
      </x:c>
      <x:c r="C641" s="1" t="n">
        <x:v>6</x:v>
      </x:c>
      <x:c r="D641" s="12" t="n">
        <x:v>0.47450000000000003</x:v>
      </x:c>
      <x:c r="E641" s="12" t="n">
        <x:v>0.47550000000000003</x:v>
      </x:c>
      <x:c r="F641" s="12" t="n">
        <x:v>0</x:v>
      </x:c>
      <x:c r="G641" s="12" t="n">
        <x:v>0</x:v>
      </x:c>
      <x:c r="H641" s="1" t="n">
        <x:f>'Historical prices'!E641</x:f>
        <x:v>1.05</x:v>
      </x:c>
      <x:c r="I641" s="6" t="n">
        <x:f>'Historical prices'!D641</x:f>
        <x:v>0.2226</x:v>
      </x:c>
      <x:c r="J641" s="13" t="n">
        <x:f>D641*I641*H641</x:f>
        <x:v>0.11090488500000001</x:v>
      </x:c>
      <x:c r="K641" s="13" t="n">
        <x:f>E641*I641*H641</x:f>
        <x:v>0.11113861500000001</x:v>
      </x:c>
      <x:c r="L641" s="1" t="str">
        <x:f>TEXT(A641,"mmm yyyy")</x:f>
        <x:v>May 2026</x:v>
      </x:c>
    </x:row>
    <x:row r="642" ht="21" customHeight="1">
      <x:c r="A642" s="10" t="n">
        <x:v>46161</x:v>
      </x:c>
      <x:c r="B642" s="1" t="n">
        <x:v>21</x:v>
      </x:c>
      <x:c r="C642" s="1" t="n">
        <x:v>6</x:v>
      </x:c>
      <x:c r="D642" s="12" t="n">
        <x:v>0.5976666666666667</x:v>
      </x:c>
      <x:c r="E642" s="12" t="n">
        <x:v>0.5976666666666667</x:v>
      </x:c>
      <x:c r="F642" s="12" t="n">
        <x:v>0</x:v>
      </x:c>
      <x:c r="G642" s="12" t="n">
        <x:v>0</x:v>
      </x:c>
      <x:c r="H642" s="1" t="n">
        <x:f>'Historical prices'!E642</x:f>
        <x:v>1.05</x:v>
      </x:c>
      <x:c r="I642" s="6" t="n">
        <x:f>'Historical prices'!D642</x:f>
        <x:v>0.2226</x:v>
      </x:c>
      <x:c r="J642" s="13" t="n">
        <x:f>D642*I642*H642</x:f>
        <x:v>0.13969263</x:v>
      </x:c>
      <x:c r="K642" s="13" t="n">
        <x:f>E642*I642*H642</x:f>
        <x:v>0.13969263</x:v>
      </x:c>
      <x:c r="L642" s="1" t="str">
        <x:f>TEXT(A642,"mmm yyyy")</x:f>
        <x:v>May 2026</x:v>
      </x:c>
    </x:row>
    <x:row r="643" ht="21" customHeight="1">
      <x:c r="A643" s="10" t="n">
        <x:v>46161</x:v>
      </x:c>
      <x:c r="B643" s="1" t="n">
        <x:v>21.5</x:v>
      </x:c>
      <x:c r="C643" s="1" t="n">
        <x:v>6</x:v>
      </x:c>
      <x:c r="D643" s="12" t="n">
        <x:v>1.0043333333333333</x:v>
      </x:c>
      <x:c r="E643" s="12" t="n">
        <x:v>1.0053333333333334</x:v>
      </x:c>
      <x:c r="F643" s="12" t="n">
        <x:v>0</x:v>
      </x:c>
      <x:c r="G643" s="12" t="n">
        <x:v>0</x:v>
      </x:c>
      <x:c r="H643" s="1" t="n">
        <x:f>'Historical prices'!E643</x:f>
        <x:v>1.05</x:v>
      </x:c>
      <x:c r="I643" s="6" t="n">
        <x:f>'Historical prices'!D643</x:f>
        <x:v>0.2226</x:v>
      </x:c>
      <x:c r="J643" s="13" t="n">
        <x:f>D643*I643*H643</x:f>
        <x:v>0.23474282999999999</x:v>
      </x:c>
      <x:c r="K643" s="13" t="n">
        <x:f>E643*I643*H643</x:f>
        <x:v>0.23497656000000003</x:v>
      </x:c>
      <x:c r="L643" s="1" t="str">
        <x:f>TEXT(A643,"mmm yyyy")</x:f>
        <x:v>May 2026</x:v>
      </x:c>
    </x:row>
    <x:row r="644" ht="21" customHeight="1">
      <x:c r="A644" s="10" t="n">
        <x:v>46161</x:v>
      </x:c>
      <x:c r="B644" s="1" t="n">
        <x:v>22</x:v>
      </x:c>
      <x:c r="C644" s="1" t="n">
        <x:v>6</x:v>
      </x:c>
      <x:c r="D644" s="12" t="n">
        <x:v>0.5075</x:v>
      </x:c>
      <x:c r="E644" s="12" t="n">
        <x:v>0.5075</x:v>
      </x:c>
      <x:c r="F644" s="12" t="n">
        <x:v>0</x:v>
      </x:c>
      <x:c r="G644" s="12" t="n">
        <x:v>0</x:v>
      </x:c>
      <x:c r="H644" s="1" t="n">
        <x:f>'Historical prices'!E644</x:f>
        <x:v>1.05</x:v>
      </x:c>
      <x:c r="I644" s="6" t="n">
        <x:f>'Historical prices'!D644</x:f>
        <x:v>0.2226</x:v>
      </x:c>
      <x:c r="J644" s="13" t="n">
        <x:f>D644*I644*H644</x:f>
        <x:v>0.11861797499999999</x:v>
      </x:c>
      <x:c r="K644" s="13" t="n">
        <x:f>E644*I644*H644</x:f>
        <x:v>0.11861797499999999</x:v>
      </x:c>
      <x:c r="L644" s="1" t="str">
        <x:f>TEXT(A644,"mmm yyyy")</x:f>
        <x:v>May 2026</x:v>
      </x:c>
    </x:row>
    <x:row r="645" ht="21" customHeight="1">
      <x:c r="A645" s="10" t="n">
        <x:v>46161</x:v>
      </x:c>
      <x:c r="B645" s="1" t="n">
        <x:v>22.5</x:v>
      </x:c>
      <x:c r="C645" s="1" t="n">
        <x:v>6</x:v>
      </x:c>
      <x:c r="D645" s="12" t="n">
        <x:v>0.20825</x:v>
      </x:c>
      <x:c r="E645" s="12" t="n">
        <x:v>0.20925</x:v>
      </x:c>
      <x:c r="F645" s="12" t="n">
        <x:v>0</x:v>
      </x:c>
      <x:c r="G645" s="12" t="n">
        <x:v>0</x:v>
      </x:c>
      <x:c r="H645" s="1" t="n">
        <x:f>'Historical prices'!E645</x:f>
        <x:v>1.05</x:v>
      </x:c>
      <x:c r="I645" s="6" t="n">
        <x:f>'Historical prices'!D645</x:f>
        <x:v>0.2226</x:v>
      </x:c>
      <x:c r="J645" s="13" t="n">
        <x:f>D645*I645*H645</x:f>
        <x:v>0.0486742725</x:v>
      </x:c>
      <x:c r="K645" s="13" t="n">
        <x:f>E645*I645*H645</x:f>
        <x:v>0.0489080025</x:v>
      </x:c>
      <x:c r="L645" s="1" t="str">
        <x:f>TEXT(A645,"mmm yyyy")</x:f>
        <x:v>May 2026</x:v>
      </x:c>
    </x:row>
    <x:row r="646" ht="21" customHeight="1">
      <x:c r="A646" s="10" t="n">
        <x:v>46161</x:v>
      </x:c>
      <x:c r="B646" s="1" t="n">
        <x:v>23</x:v>
      </x:c>
      <x:c r="C646" s="1" t="n">
        <x:v>6</x:v>
      </x:c>
      <x:c r="D646" s="12" t="n">
        <x:v>0.26016666666666666</x:v>
      </x:c>
      <x:c r="E646" s="12" t="n">
        <x:v>0.26016666666666666</x:v>
      </x:c>
      <x:c r="F646" s="12" t="n">
        <x:v>0</x:v>
      </x:c>
      <x:c r="G646" s="12" t="n">
        <x:v>0</x:v>
      </x:c>
      <x:c r="H646" s="1" t="n">
        <x:f>'Historical prices'!E646</x:f>
        <x:v>1.05</x:v>
      </x:c>
      <x:c r="I646" s="6" t="n">
        <x:f>'Historical prices'!D646</x:f>
        <x:v>0.2226</x:v>
      </x:c>
      <x:c r="J646" s="13" t="n">
        <x:f>D646*I646*H646</x:f>
        <x:v>0.060808755</x:v>
      </x:c>
      <x:c r="K646" s="13" t="n">
        <x:f>E646*I646*H646</x:f>
        <x:v>0.060808755</x:v>
      </x:c>
      <x:c r="L646" s="1" t="str">
        <x:f>TEXT(A646,"mmm yyyy")</x:f>
        <x:v>May 2026</x:v>
      </x:c>
    </x:row>
    <x:row r="647" ht="21" customHeight="1">
      <x:c r="A647" s="10" t="n">
        <x:v>46161</x:v>
      </x:c>
      <x:c r="B647" s="1" t="n">
        <x:v>23.5</x:v>
      </x:c>
      <x:c r="C647" s="1" t="n">
        <x:v>6</x:v>
      </x:c>
      <x:c r="D647" s="12" t="n">
        <x:v>0.26808333333333334</x:v>
      </x:c>
      <x:c r="E647" s="12" t="n">
        <x:v>0.27008333333333334</x:v>
      </x:c>
      <x:c r="F647" s="12" t="n">
        <x:v>0</x:v>
      </x:c>
      <x:c r="G647" s="12" t="n">
        <x:v>0</x:v>
      </x:c>
      <x:c r="H647" s="1" t="n">
        <x:f>'Historical prices'!E647</x:f>
        <x:v>1.05</x:v>
      </x:c>
      <x:c r="I647" s="6" t="n">
        <x:f>'Historical prices'!D647</x:f>
        <x:v>0.2226</x:v>
      </x:c>
      <x:c r="J647" s="13" t="n">
        <x:f>D647*I647*H647</x:f>
        <x:v>0.0626591175</x:v>
      </x:c>
      <x:c r="K647" s="13" t="n">
        <x:f>E647*I647*H647</x:f>
        <x:v>0.0631265775</x:v>
      </x:c>
      <x:c r="L647" s="1" t="str">
        <x:f>TEXT(A647,"mmm yyyy")</x:f>
        <x:v>May 2026</x:v>
      </x:c>
    </x:row>
    <x:row r="648" ht="21" customHeight="1">
      <x:c r="A648" s="10" t="n">
        <x:v>46162</x:v>
      </x:c>
      <x:c r="B648" s="1" t="n">
        <x:v>0</x:v>
      </x:c>
      <x:c r="C648" s="1" t="n">
        <x:v>6</x:v>
      </x:c>
      <x:c r="D648" s="12" t="n">
        <x:v>0.27258333333333334</x:v>
      </x:c>
      <x:c r="E648" s="12" t="n">
        <x:v>0.27158333333333334</x:v>
      </x:c>
      <x:c r="F648" s="12" t="n">
        <x:v>0</x:v>
      </x:c>
      <x:c r="G648" s="12" t="n">
        <x:v>0</x:v>
      </x:c>
      <x:c r="H648" s="1" t="n">
        <x:f>'Historical prices'!E648</x:f>
        <x:v>1.05</x:v>
      </x:c>
      <x:c r="I648" s="6" t="n">
        <x:f>'Historical prices'!D648</x:f>
        <x:v>0.2226</x:v>
      </x:c>
      <x:c r="J648" s="13" t="n">
        <x:f>D648*I648*H648</x:f>
        <x:v>0.0637109025</x:v>
      </x:c>
      <x:c r="K648" s="13" t="n">
        <x:f>E648*I648*H648</x:f>
        <x:v>0.0634771725</x:v>
      </x:c>
      <x:c r="L648" s="1" t="str">
        <x:f>TEXT(A648,"mmm yyyy")</x:f>
        <x:v>May 2026</x:v>
      </x:c>
    </x:row>
    <x:row r="649" ht="21" customHeight="1">
      <x:c r="A649" s="10" t="n">
        <x:v>46162</x:v>
      </x:c>
      <x:c r="B649" s="1" t="n">
        <x:v>0.5</x:v>
      </x:c>
      <x:c r="C649" s="1" t="n">
        <x:v>6</x:v>
      </x:c>
      <x:c r="D649" s="12" t="n">
        <x:v>0.2381666666666667</x:v>
      </x:c>
      <x:c r="E649" s="12" t="n">
        <x:v>0.2381666666666667</x:v>
      </x:c>
      <x:c r="F649" s="12" t="n">
        <x:v>0</x:v>
      </x:c>
      <x:c r="G649" s="12" t="n">
        <x:v>0</x:v>
      </x:c>
      <x:c r="H649" s="1" t="n">
        <x:f>'Historical prices'!E649</x:f>
        <x:v>1.05</x:v>
      </x:c>
      <x:c r="I649" s="6" t="n">
        <x:f>'Historical prices'!D649</x:f>
        <x:v>0.2226</x:v>
      </x:c>
      <x:c r="J649" s="13" t="n">
        <x:f>D649*I649*H649</x:f>
        <x:v>0.05566669500000001</x:v>
      </x:c>
      <x:c r="K649" s="13" t="n">
        <x:f>E649*I649*H649</x:f>
        <x:v>0.05566669500000001</x:v>
      </x:c>
      <x:c r="L649" s="1" t="str">
        <x:f>TEXT(A649,"mmm yyyy")</x:f>
        <x:v>May 2026</x:v>
      </x:c>
    </x:row>
    <x:row r="650" ht="21" customHeight="1">
      <x:c r="A650" s="10" t="n">
        <x:v>46162</x:v>
      </x:c>
      <x:c r="B650" s="1" t="n">
        <x:v>1</x:v>
      </x:c>
      <x:c r="C650" s="1" t="n">
        <x:v>6</x:v>
      </x:c>
      <x:c r="D650" s="12" t="n">
        <x:v>0.23133333333333334</x:v>
      </x:c>
      <x:c r="E650" s="12" t="n">
        <x:v>0.23333333333333336</x:v>
      </x:c>
      <x:c r="F650" s="12" t="n">
        <x:v>0</x:v>
      </x:c>
      <x:c r="G650" s="12" t="n">
        <x:v>0</x:v>
      </x:c>
      <x:c r="H650" s="1" t="n">
        <x:f>'Historical prices'!E650</x:f>
        <x:v>1.05</x:v>
      </x:c>
      <x:c r="I650" s="6" t="n">
        <x:f>'Historical prices'!D650</x:f>
        <x:v>0.2226</x:v>
      </x:c>
      <x:c r="J650" s="13" t="n">
        <x:f>D650*I650*H650</x:f>
        <x:v>0.05406954</x:v>
      </x:c>
      <x:c r="K650" s="13" t="n">
        <x:f>E650*I650*H650</x:f>
        <x:v>0.05453700000000001</x:v>
      </x:c>
      <x:c r="L650" s="1" t="str">
        <x:f>TEXT(A650,"mmm yyyy")</x:f>
        <x:v>May 2026</x:v>
      </x:c>
    </x:row>
    <x:row r="651" ht="21" customHeight="1">
      <x:c r="A651" s="10" t="n">
        <x:v>46162</x:v>
      </x:c>
      <x:c r="B651" s="1" t="n">
        <x:v>1.5</x:v>
      </x:c>
      <x:c r="C651" s="1" t="n">
        <x:v>6</x:v>
      </x:c>
      <x:c r="D651" s="12" t="n">
        <x:v>0.2781666666666667</x:v>
      </x:c>
      <x:c r="E651" s="12" t="n">
        <x:v>0.2771666666666667</x:v>
      </x:c>
      <x:c r="F651" s="12" t="n">
        <x:v>0</x:v>
      </x:c>
      <x:c r="G651" s="12" t="n">
        <x:v>0</x:v>
      </x:c>
      <x:c r="H651" s="1" t="n">
        <x:f>'Historical prices'!E651</x:f>
        <x:v>1.05</x:v>
      </x:c>
      <x:c r="I651" s="6" t="n">
        <x:f>'Historical prices'!D651</x:f>
        <x:v>0.2226</x:v>
      </x:c>
      <x:c r="J651" s="13" t="n">
        <x:f>D651*I651*H651</x:f>
        <x:v>0.065015895</x:v>
      </x:c>
      <x:c r="K651" s="13" t="n">
        <x:f>E651*I651*H651</x:f>
        <x:v>0.064782165</x:v>
      </x:c>
      <x:c r="L651" s="1" t="str">
        <x:f>TEXT(A651,"mmm yyyy")</x:f>
        <x:v>May 2026</x:v>
      </x:c>
    </x:row>
    <x:row r="652" ht="21" customHeight="1">
      <x:c r="A652" s="10" t="n">
        <x:v>46162</x:v>
      </x:c>
      <x:c r="B652" s="1" t="n">
        <x:v>2</x:v>
      </x:c>
      <x:c r="C652" s="1" t="n">
        <x:v>6</x:v>
      </x:c>
      <x:c r="D652" s="12" t="n">
        <x:v>0.24775</x:v>
      </x:c>
      <x:c r="E652" s="12" t="n">
        <x:v>0.24875</x:v>
      </x:c>
      <x:c r="F652" s="12" t="n">
        <x:v>0</x:v>
      </x:c>
      <x:c r="G652" s="12" t="n">
        <x:v>0</x:v>
      </x:c>
      <x:c r="H652" s="1" t="n">
        <x:f>'Historical prices'!E652</x:f>
        <x:v>1.05</x:v>
      </x:c>
      <x:c r="I652" s="6" t="n">
        <x:f>'Historical prices'!D652</x:f>
        <x:v>0.2226</x:v>
      </x:c>
      <x:c r="J652" s="13" t="n">
        <x:f>D652*I652*H652</x:f>
        <x:v>0.057906607500000006</x:v>
      </x:c>
      <x:c r="K652" s="13" t="n">
        <x:f>E652*I652*H652</x:f>
        <x:v>0.0581403375</x:v>
      </x:c>
      <x:c r="L652" s="1" t="str">
        <x:f>TEXT(A652,"mmm yyyy")</x:f>
        <x:v>May 2026</x:v>
      </x:c>
    </x:row>
    <x:row r="653" ht="21" customHeight="1">
      <x:c r="A653" s="10" t="n">
        <x:v>46162</x:v>
      </x:c>
      <x:c r="B653" s="1" t="n">
        <x:v>2.5</x:v>
      </x:c>
      <x:c r="C653" s="1" t="n">
        <x:v>6</x:v>
      </x:c>
      <x:c r="D653" s="12" t="n">
        <x:v>0.24583333333333335</x:v>
      </x:c>
      <x:c r="E653" s="12" t="n">
        <x:v>0.24683333333333335</x:v>
      </x:c>
      <x:c r="F653" s="12" t="n">
        <x:v>0</x:v>
      </x:c>
      <x:c r="G653" s="12" t="n">
        <x:v>0</x:v>
      </x:c>
      <x:c r="H653" s="1" t="n">
        <x:f>'Historical prices'!E653</x:f>
        <x:v>1.05</x:v>
      </x:c>
      <x:c r="I653" s="6" t="n">
        <x:f>'Historical prices'!D653</x:f>
        <x:v>0.2226</x:v>
      </x:c>
      <x:c r="J653" s="13" t="n">
        <x:f>D653*I653*H653</x:f>
        <x:v>0.057458625000000006</x:v>
      </x:c>
      <x:c r="K653" s="13" t="n">
        <x:f>E653*I653*H653</x:f>
        <x:v>0.05769235500000001</x:v>
      </x:c>
      <x:c r="L653" s="1" t="str">
        <x:f>TEXT(A653,"mmm yyyy")</x:f>
        <x:v>May 2026</x:v>
      </x:c>
    </x:row>
    <x:row r="654" ht="21" customHeight="1">
      <x:c r="A654" s="10" t="n">
        <x:v>46162</x:v>
      </x:c>
      <x:c r="B654" s="1" t="n">
        <x:v>3</x:v>
      </x:c>
      <x:c r="C654" s="1" t="n">
        <x:v>6</x:v>
      </x:c>
      <x:c r="D654" s="12" t="n">
        <x:v>0.21316666666666667</x:v>
      </x:c>
      <x:c r="E654" s="12" t="n">
        <x:v>0.2121666666666667</x:v>
      </x:c>
      <x:c r="F654" s="12" t="n">
        <x:v>0</x:v>
      </x:c>
      <x:c r="G654" s="12" t="n">
        <x:v>0</x:v>
      </x:c>
      <x:c r="H654" s="1" t="n">
        <x:f>'Historical prices'!E654</x:f>
        <x:v>1.05</x:v>
      </x:c>
      <x:c r="I654" s="6" t="n">
        <x:f>'Historical prices'!D654</x:f>
        <x:v>0.2226</x:v>
      </x:c>
      <x:c r="J654" s="13" t="n">
        <x:f>D654*I654*H654</x:f>
        <x:v>0.049823445</x:v>
      </x:c>
      <x:c r="K654" s="13" t="n">
        <x:f>E654*I654*H654</x:f>
        <x:v>0.04958971500000001</x:v>
      </x:c>
      <x:c r="L654" s="1" t="str">
        <x:f>TEXT(A654,"mmm yyyy")</x:f>
        <x:v>May 2026</x:v>
      </x:c>
    </x:row>
    <x:row r="655" ht="21" customHeight="1">
      <x:c r="A655" s="10" t="n">
        <x:v>46162</x:v>
      </x:c>
      <x:c r="B655" s="1" t="n">
        <x:v>3.5</x:v>
      </x:c>
      <x:c r="C655" s="1" t="n">
        <x:v>6</x:v>
      </x:c>
      <x:c r="D655" s="12" t="n">
        <x:v>0.20591666666666666</x:v>
      </x:c>
      <x:c r="E655" s="12" t="n">
        <x:v>0.20691666666666667</x:v>
      </x:c>
      <x:c r="F655" s="12" t="n">
        <x:v>0</x:v>
      </x:c>
      <x:c r="G655" s="12" t="n">
        <x:v>0</x:v>
      </x:c>
      <x:c r="H655" s="1" t="n">
        <x:f>'Historical prices'!E655</x:f>
        <x:v>1.05</x:v>
      </x:c>
      <x:c r="I655" s="6" t="n">
        <x:f>'Historical prices'!D655</x:f>
        <x:v>0.2226</x:v>
      </x:c>
      <x:c r="J655" s="13" t="n">
        <x:f>D655*I655*H655</x:f>
        <x:v>0.0481289025</x:v>
      </x:c>
      <x:c r="K655" s="13" t="n">
        <x:f>E655*I655*H655</x:f>
        <x:v>0.0483626325</x:v>
      </x:c>
      <x:c r="L655" s="1" t="str">
        <x:f>TEXT(A655,"mmm yyyy")</x:f>
        <x:v>May 2026</x:v>
      </x:c>
    </x:row>
    <x:row r="656" ht="21" customHeight="1">
      <x:c r="A656" s="10" t="n">
        <x:v>46162</x:v>
      </x:c>
      <x:c r="B656" s="1" t="n">
        <x:v>4</x:v>
      </x:c>
      <x:c r="C656" s="1" t="n">
        <x:v>6</x:v>
      </x:c>
      <x:c r="D656" s="12" t="n">
        <x:v>0.30008333333333337</x:v>
      </x:c>
      <x:c r="E656" s="12" t="n">
        <x:v>0.30108333333333337</x:v>
      </x:c>
      <x:c r="F656" s="12" t="n">
        <x:v>0</x:v>
      </x:c>
      <x:c r="G656" s="12" t="n">
        <x:v>0</x:v>
      </x:c>
      <x:c r="H656" s="1" t="n">
        <x:f>'Historical prices'!E656</x:f>
        <x:v>1.05</x:v>
      </x:c>
      <x:c r="I656" s="6" t="n">
        <x:f>'Historical prices'!D656</x:f>
        <x:v>0.2226</x:v>
      </x:c>
      <x:c r="J656" s="13" t="n">
        <x:f>D656*I656*H656</x:f>
        <x:v>0.07013847750000002</x:v>
      </x:c>
      <x:c r="K656" s="13" t="n">
        <x:f>E656*I656*H656</x:f>
        <x:v>0.0703722075</x:v>
      </x:c>
      <x:c r="L656" s="1" t="str">
        <x:f>TEXT(A656,"mmm yyyy")</x:f>
        <x:v>May 2026</x:v>
      </x:c>
    </x:row>
    <x:row r="657" ht="21" customHeight="1">
      <x:c r="A657" s="10" t="n">
        <x:v>46162</x:v>
      </x:c>
      <x:c r="B657" s="1" t="n">
        <x:v>4.5</x:v>
      </x:c>
      <x:c r="C657" s="1" t="n">
        <x:v>6</x:v>
      </x:c>
      <x:c r="D657" s="12" t="n">
        <x:v>0.2866666666666666</x:v>
      </x:c>
      <x:c r="E657" s="12" t="n">
        <x:v>0.2876666666666667</x:v>
      </x:c>
      <x:c r="F657" s="12" t="n">
        <x:v>0</x:v>
      </x:c>
      <x:c r="G657" s="12" t="n">
        <x:v>0</x:v>
      </x:c>
      <x:c r="H657" s="1" t="n">
        <x:f>'Historical prices'!E657</x:f>
        <x:v>1.05</x:v>
      </x:c>
      <x:c r="I657" s="6" t="n">
        <x:f>'Historical prices'!D657</x:f>
        <x:v>0.2226</x:v>
      </x:c>
      <x:c r="J657" s="13" t="n">
        <x:f>D657*I657*H657</x:f>
        <x:v>0.0670026</x:v>
      </x:c>
      <x:c r="K657" s="13" t="n">
        <x:f>E657*I657*H657</x:f>
        <x:v>0.06723633</x:v>
      </x:c>
      <x:c r="L657" s="1" t="str">
        <x:f>TEXT(A657,"mmm yyyy")</x:f>
        <x:v>May 2026</x:v>
      </x:c>
    </x:row>
    <x:row r="658" ht="21" customHeight="1">
      <x:c r="A658" s="10" t="n">
        <x:v>46162</x:v>
      </x:c>
      <x:c r="B658" s="1" t="n">
        <x:v>5</x:v>
      </x:c>
      <x:c r="C658" s="1" t="n">
        <x:v>6</x:v>
      </x:c>
      <x:c r="D658" s="12" t="n">
        <x:v>0.30474999999999997</x:v>
      </x:c>
      <x:c r="E658" s="12" t="n">
        <x:v>0.30474999999999997</x:v>
      </x:c>
      <x:c r="F658" s="12" t="n">
        <x:v>0</x:v>
      </x:c>
      <x:c r="G658" s="12" t="n">
        <x:v>0</x:v>
      </x:c>
      <x:c r="H658" s="1" t="n">
        <x:f>'Historical prices'!E658</x:f>
        <x:v>1.05</x:v>
      </x:c>
      <x:c r="I658" s="6" t="n">
        <x:f>'Historical prices'!D658</x:f>
        <x:v>0.2226</x:v>
      </x:c>
      <x:c r="J658" s="13" t="n">
        <x:f>D658*I658*H658</x:f>
        <x:v>0.0712292175</x:v>
      </x:c>
      <x:c r="K658" s="13" t="n">
        <x:f>E658*I658*H658</x:f>
        <x:v>0.0712292175</x:v>
      </x:c>
      <x:c r="L658" s="1" t="str">
        <x:f>TEXT(A658,"mmm yyyy")</x:f>
        <x:v>May 2026</x:v>
      </x:c>
    </x:row>
    <x:row r="659" ht="21" customHeight="1">
      <x:c r="A659" s="10" t="n">
        <x:v>46162</x:v>
      </x:c>
      <x:c r="B659" s="1" t="n">
        <x:v>5.5</x:v>
      </x:c>
      <x:c r="C659" s="1" t="n">
        <x:v>6</x:v>
      </x:c>
      <x:c r="D659" s="12" t="n">
        <x:v>0.3125833333333333</x:v>
      </x:c>
      <x:c r="E659" s="12" t="n">
        <x:v>0.3115833333333333</x:v>
      </x:c>
      <x:c r="F659" s="12" t="n">
        <x:v>0</x:v>
      </x:c>
      <x:c r="G659" s="12" t="n">
        <x:v>0</x:v>
      </x:c>
      <x:c r="H659" s="1" t="n">
        <x:f>'Historical prices'!E659</x:f>
        <x:v>1.05</x:v>
      </x:c>
      <x:c r="I659" s="6" t="n">
        <x:f>'Historical prices'!D659</x:f>
        <x:v>0.2226</x:v>
      </x:c>
      <x:c r="J659" s="13" t="n">
        <x:f>D659*I659*H659</x:f>
        <x:v>0.07306010249999999</x:v>
      </x:c>
      <x:c r="K659" s="13" t="n">
        <x:f>E659*I659*H659</x:f>
        <x:v>0.0728263725</x:v>
      </x:c>
      <x:c r="L659" s="1" t="str">
        <x:f>TEXT(A659,"mmm yyyy")</x:f>
        <x:v>May 2026</x:v>
      </x:c>
    </x:row>
    <x:row r="660" ht="21" customHeight="1">
      <x:c r="A660" s="10" t="n">
        <x:v>46162</x:v>
      </x:c>
      <x:c r="B660" s="1" t="n">
        <x:v>6</x:v>
      </x:c>
      <x:c r="C660" s="1" t="n">
        <x:v>6</x:v>
      </x:c>
      <x:c r="D660" s="12" t="n">
        <x:v>0.34458333333333335</x:v>
      </x:c>
      <x:c r="E660" s="12" t="n">
        <x:v>0.34758333333333336</x:v>
      </x:c>
      <x:c r="F660" s="12" t="n">
        <x:v>0</x:v>
      </x:c>
      <x:c r="G660" s="12" t="n">
        <x:v>0</x:v>
      </x:c>
      <x:c r="H660" s="1" t="n">
        <x:f>'Historical prices'!E660</x:f>
        <x:v>1.05</x:v>
      </x:c>
      <x:c r="I660" s="6" t="n">
        <x:f>'Historical prices'!D660</x:f>
        <x:v>0.2226</x:v>
      </x:c>
      <x:c r="J660" s="13" t="n">
        <x:f>D660*I660*H660</x:f>
        <x:v>0.0805394625</x:v>
      </x:c>
      <x:c r="K660" s="13" t="n">
        <x:f>E660*I660*H660</x:f>
        <x:v>0.0812406525</x:v>
      </x:c>
      <x:c r="L660" s="1" t="str">
        <x:f>TEXT(A660,"mmm yyyy")</x:f>
        <x:v>May 2026</x:v>
      </x:c>
    </x:row>
    <x:row r="661" ht="21" customHeight="1">
      <x:c r="A661" s="10" t="n">
        <x:v>46162</x:v>
      </x:c>
      <x:c r="B661" s="1" t="n">
        <x:v>6.5</x:v>
      </x:c>
      <x:c r="C661" s="1" t="n">
        <x:v>6</x:v>
      </x:c>
      <x:c r="D661" s="12" t="n">
        <x:v>0.5225833333333334</x:v>
      </x:c>
      <x:c r="E661" s="12" t="n">
        <x:v>0.5235833333333334</x:v>
      </x:c>
      <x:c r="F661" s="12" t="n">
        <x:v>0</x:v>
      </x:c>
      <x:c r="G661" s="12" t="n">
        <x:v>0</x:v>
      </x:c>
      <x:c r="H661" s="1" t="n">
        <x:f>'Historical prices'!E661</x:f>
        <x:v>1.05</x:v>
      </x:c>
      <x:c r="I661" s="6" t="n">
        <x:f>'Historical prices'!D661</x:f>
        <x:v>0.2226</x:v>
      </x:c>
      <x:c r="J661" s="13" t="n">
        <x:f>D661*I661*H661</x:f>
        <x:v>0.12214340250000003</x:v>
      </x:c>
      <x:c r="K661" s="13" t="n">
        <x:f>E661*I661*H661</x:f>
        <x:v>0.12237713250000001</x:v>
      </x:c>
      <x:c r="L661" s="1" t="str">
        <x:f>TEXT(A661,"mmm yyyy")</x:f>
        <x:v>May 2026</x:v>
      </x:c>
    </x:row>
    <x:row r="662" ht="21" customHeight="1">
      <x:c r="A662" s="10" t="n">
        <x:v>46162</x:v>
      </x:c>
      <x:c r="B662" s="1" t="n">
        <x:v>7</x:v>
      </x:c>
      <x:c r="C662" s="1" t="n">
        <x:v>6</x:v>
      </x:c>
      <x:c r="D662" s="12" t="n">
        <x:v>0.5220833333333333</x:v>
      </x:c>
      <x:c r="E662" s="12" t="n">
        <x:v>0.5220833333333333</x:v>
      </x:c>
      <x:c r="F662" s="12" t="n">
        <x:v>0</x:v>
      </x:c>
      <x:c r="G662" s="12" t="n">
        <x:v>0</x:v>
      </x:c>
      <x:c r="H662" s="1" t="n">
        <x:f>'Historical prices'!E662</x:f>
        <x:v>1.05</x:v>
      </x:c>
      <x:c r="I662" s="6" t="n">
        <x:f>'Historical prices'!D662</x:f>
        <x:v>0.2226</x:v>
      </x:c>
      <x:c r="J662" s="13" t="n">
        <x:f>D662*I662*H662</x:f>
        <x:v>0.1220265375</x:v>
      </x:c>
      <x:c r="K662" s="13" t="n">
        <x:f>E662*I662*H662</x:f>
        <x:v>0.1220265375</x:v>
      </x:c>
      <x:c r="L662" s="1" t="str">
        <x:f>TEXT(A662,"mmm yyyy")</x:f>
        <x:v>May 2026</x:v>
      </x:c>
    </x:row>
    <x:row r="663" ht="21" customHeight="1">
      <x:c r="A663" s="10" t="n">
        <x:v>46162</x:v>
      </x:c>
      <x:c r="B663" s="1" t="n">
        <x:v>7.5</x:v>
      </x:c>
      <x:c r="C663" s="1" t="n">
        <x:v>6</x:v>
      </x:c>
      <x:c r="D663" s="12" t="n">
        <x:v>1.37475</x:v>
      </x:c>
      <x:c r="E663" s="12" t="n">
        <x:v>1.37475</x:v>
      </x:c>
      <x:c r="F663" s="12" t="n">
        <x:v>0</x:v>
      </x:c>
      <x:c r="G663" s="12" t="n">
        <x:v>0</x:v>
      </x:c>
      <x:c r="H663" s="1" t="n">
        <x:f>'Historical prices'!E663</x:f>
        <x:v>1.05</x:v>
      </x:c>
      <x:c r="I663" s="6" t="n">
        <x:f>'Historical prices'!D663</x:f>
        <x:v>0.2226</x:v>
      </x:c>
      <x:c r="J663" s="13" t="n">
        <x:f>D663*I663*H663</x:f>
        <x:v>0.32132031749999995</x:v>
      </x:c>
      <x:c r="K663" s="13" t="n">
        <x:f>E663*I663*H663</x:f>
        <x:v>0.32132031749999995</x:v>
      </x:c>
      <x:c r="L663" s="1" t="str">
        <x:f>TEXT(A663,"mmm yyyy")</x:f>
        <x:v>May 2026</x:v>
      </x:c>
    </x:row>
    <x:row r="664" ht="21" customHeight="1">
      <x:c r="A664" s="10" t="n">
        <x:v>46162</x:v>
      </x:c>
      <x:c r="B664" s="1" t="n">
        <x:v>8</x:v>
      </x:c>
      <x:c r="C664" s="1" t="n">
        <x:v>6</x:v>
      </x:c>
      <x:c r="D664" s="12" t="n">
        <x:v>0.6040833333333333</x:v>
      </x:c>
      <x:c r="E664" s="12" t="n">
        <x:v>0.6040833333333333</x:v>
      </x:c>
      <x:c r="F664" s="12" t="n">
        <x:v>0</x:v>
      </x:c>
      <x:c r="G664" s="12" t="n">
        <x:v>0</x:v>
      </x:c>
      <x:c r="H664" s="1" t="n">
        <x:f>'Historical prices'!E664</x:f>
        <x:v>1.05</x:v>
      </x:c>
      <x:c r="I664" s="6" t="n">
        <x:f>'Historical prices'!D664</x:f>
        <x:v>0.2226</x:v>
      </x:c>
      <x:c r="J664" s="13" t="n">
        <x:f>D664*I664*H664</x:f>
        <x:v>0.14119239749999998</x:v>
      </x:c>
      <x:c r="K664" s="13" t="n">
        <x:f>E664*I664*H664</x:f>
        <x:v>0.14119239749999998</x:v>
      </x:c>
      <x:c r="L664" s="1" t="str">
        <x:f>TEXT(A664,"mmm yyyy")</x:f>
        <x:v>May 2026</x:v>
      </x:c>
    </x:row>
    <x:row r="665" ht="21" customHeight="1">
      <x:c r="A665" s="10" t="n">
        <x:v>46162</x:v>
      </x:c>
      <x:c r="B665" s="1" t="n">
        <x:v>8.5</x:v>
      </x:c>
      <x:c r="C665" s="1" t="n">
        <x:v>6</x:v>
      </x:c>
      <x:c r="D665" s="12" t="n">
        <x:v>1.9304999999999999</x:v>
      </x:c>
      <x:c r="E665" s="12" t="n">
        <x:v>1.9314999999999998</x:v>
      </x:c>
      <x:c r="F665" s="12" t="n">
        <x:v>0</x:v>
      </x:c>
      <x:c r="G665" s="12" t="n">
        <x:v>0</x:v>
      </x:c>
      <x:c r="H665" s="1" t="n">
        <x:f>'Historical prices'!E665</x:f>
        <x:v>1.05</x:v>
      </x:c>
      <x:c r="I665" s="6" t="n">
        <x:f>'Historical prices'!D665</x:f>
        <x:v>0.2226</x:v>
      </x:c>
      <x:c r="J665" s="13" t="n">
        <x:f>D665*I665*H665</x:f>
        <x:v>0.451215765</x:v>
      </x:c>
      <x:c r="K665" s="13" t="n">
        <x:f>E665*I665*H665</x:f>
        <x:v>0.451449495</x:v>
      </x:c>
      <x:c r="L665" s="1" t="str">
        <x:f>TEXT(A665,"mmm yyyy")</x:f>
        <x:v>May 2026</x:v>
      </x:c>
    </x:row>
    <x:row r="666" ht="21" customHeight="1">
      <x:c r="A666" s="10" t="n">
        <x:v>46162</x:v>
      </x:c>
      <x:c r="B666" s="1" t="n">
        <x:v>9</x:v>
      </x:c>
      <x:c r="C666" s="1" t="n">
        <x:v>6</x:v>
      </x:c>
      <x:c r="D666" s="12" t="n">
        <x:v>1.2725833333333334</x:v>
      </x:c>
      <x:c r="E666" s="12" t="n">
        <x:v>1.2735833333333333</x:v>
      </x:c>
      <x:c r="F666" s="12" t="n">
        <x:v>0</x:v>
      </x:c>
      <x:c r="G666" s="12" t="n">
        <x:v>0</x:v>
      </x:c>
      <x:c r="H666" s="1" t="n">
        <x:f>'Historical prices'!E666</x:f>
        <x:v>1.05</x:v>
      </x:c>
      <x:c r="I666" s="6" t="n">
        <x:f>'Historical prices'!D666</x:f>
        <x:v>0.2226</x:v>
      </x:c>
      <x:c r="J666" s="13" t="n">
        <x:f>D666*I666*H666</x:f>
        <x:v>0.29744090250000005</x:v>
      </x:c>
      <x:c r="K666" s="13" t="n">
        <x:f>E666*I666*H666</x:f>
        <x:v>0.2976746325</x:v>
      </x:c>
      <x:c r="L666" s="1" t="str">
        <x:f>TEXT(A666,"mmm yyyy")</x:f>
        <x:v>May 2026</x:v>
      </x:c>
    </x:row>
    <x:row r="667" ht="21" customHeight="1">
      <x:c r="A667" s="10" t="n">
        <x:v>46162</x:v>
      </x:c>
      <x:c r="B667" s="1" t="n">
        <x:v>9.5</x:v>
      </x:c>
      <x:c r="C667" s="1" t="n">
        <x:v>6</x:v>
      </x:c>
      <x:c r="D667" s="12" t="n">
        <x:v>0.8867499999999999</x:v>
      </x:c>
      <x:c r="E667" s="12" t="n">
        <x:v>0.8857499999999999</x:v>
      </x:c>
      <x:c r="F667" s="12" t="n">
        <x:v>0</x:v>
      </x:c>
      <x:c r="G667" s="12" t="n">
        <x:v>0</x:v>
      </x:c>
      <x:c r="H667" s="1" t="n">
        <x:f>'Historical prices'!E667</x:f>
        <x:v>1.05</x:v>
      </x:c>
      <x:c r="I667" s="6" t="n">
        <x:f>'Historical prices'!D667</x:f>
        <x:v>0.2226</x:v>
      </x:c>
      <x:c r="J667" s="13" t="n">
        <x:f>D667*I667*H667</x:f>
        <x:v>0.20726007749999997</x:v>
      </x:c>
      <x:c r="K667" s="13" t="n">
        <x:f>E667*I667*H667</x:f>
        <x:v>0.20702634749999999</x:v>
      </x:c>
      <x:c r="L667" s="1" t="str">
        <x:f>TEXT(A667,"mmm yyyy")</x:f>
        <x:v>May 2026</x:v>
      </x:c>
    </x:row>
    <x:row r="668" ht="21" customHeight="1">
      <x:c r="A668" s="10" t="n">
        <x:v>46162</x:v>
      </x:c>
      <x:c r="B668" s="1" t="n">
        <x:v>10</x:v>
      </x:c>
      <x:c r="C668" s="1" t="n">
        <x:v>6</x:v>
      </x:c>
      <x:c r="D668" s="12" t="n">
        <x:v>0.6184166666666666</x:v>
      </x:c>
      <x:c r="E668" s="12" t="n">
        <x:v>0.6184166666666666</x:v>
      </x:c>
      <x:c r="F668" s="12" t="n">
        <x:v>0</x:v>
      </x:c>
      <x:c r="G668" s="12" t="n">
        <x:v>0</x:v>
      </x:c>
      <x:c r="H668" s="1" t="n">
        <x:f>'Historical prices'!E668</x:f>
        <x:v>1.05</x:v>
      </x:c>
      <x:c r="I668" s="6" t="n">
        <x:f>'Historical prices'!D668</x:f>
        <x:v>0.2226</x:v>
      </x:c>
      <x:c r="J668" s="13" t="n">
        <x:f>D668*I668*H668</x:f>
        <x:v>0.1445425275</x:v>
      </x:c>
      <x:c r="K668" s="13" t="n">
        <x:f>E668*I668*H668</x:f>
        <x:v>0.1445425275</x:v>
      </x:c>
      <x:c r="L668" s="1" t="str">
        <x:f>TEXT(A668,"mmm yyyy")</x:f>
        <x:v>May 2026</x:v>
      </x:c>
    </x:row>
    <x:row r="669" ht="21" customHeight="1">
      <x:c r="A669" s="10" t="n">
        <x:v>46162</x:v>
      </x:c>
      <x:c r="B669" s="1" t="n">
        <x:v>10.5</x:v>
      </x:c>
      <x:c r="C669" s="1" t="n">
        <x:v>6</x:v>
      </x:c>
      <x:c r="D669" s="12" t="n">
        <x:v>1.071</x:v>
      </x:c>
      <x:c r="E669" s="12" t="n">
        <x:v>1.073</x:v>
      </x:c>
      <x:c r="F669" s="12" t="n">
        <x:v>0</x:v>
      </x:c>
      <x:c r="G669" s="12" t="n">
        <x:v>0</x:v>
      </x:c>
      <x:c r="H669" s="1" t="n">
        <x:f>'Historical prices'!E669</x:f>
        <x:v>1.05</x:v>
      </x:c>
      <x:c r="I669" s="6" t="n">
        <x:f>'Historical prices'!D669</x:f>
        <x:v>0.2226</x:v>
      </x:c>
      <x:c r="J669" s="13" t="n">
        <x:f>D669*I669*H669</x:f>
        <x:v>0.25032483</x:v>
      </x:c>
      <x:c r="K669" s="13" t="n">
        <x:f>E669*I669*H669</x:f>
        <x:v>0.25079229</x:v>
      </x:c>
      <x:c r="L669" s="1" t="str">
        <x:f>TEXT(A669,"mmm yyyy")</x:f>
        <x:v>May 2026</x:v>
      </x:c>
    </x:row>
    <x:row r="670" ht="21" customHeight="1">
      <x:c r="A670" s="10" t="n">
        <x:v>46162</x:v>
      </x:c>
      <x:c r="B670" s="1" t="n">
        <x:v>11</x:v>
      </x:c>
      <x:c r="C670" s="1" t="n">
        <x:v>6</x:v>
      </x:c>
      <x:c r="D670" s="12" t="n">
        <x:v>1.3025</x:v>
      </x:c>
      <x:c r="E670" s="12" t="n">
        <x:v>1.3005</x:v>
      </x:c>
      <x:c r="F670" s="12" t="n">
        <x:v>0</x:v>
      </x:c>
      <x:c r="G670" s="12" t="n">
        <x:v>0</x:v>
      </x:c>
      <x:c r="H670" s="1" t="n">
        <x:f>'Historical prices'!E670</x:f>
        <x:v>1.05</x:v>
      </x:c>
      <x:c r="I670" s="6" t="n">
        <x:f>'Historical prices'!D670</x:f>
        <x:v>0.2226</x:v>
      </x:c>
      <x:c r="J670" s="13" t="n">
        <x:f>D670*I670*H670</x:f>
        <x:v>0.304433325</x:v>
      </x:c>
      <x:c r="K670" s="13" t="n">
        <x:f>E670*I670*H670</x:f>
        <x:v>0.303965865</x:v>
      </x:c>
      <x:c r="L670" s="1" t="str">
        <x:f>TEXT(A670,"mmm yyyy")</x:f>
        <x:v>May 2026</x:v>
      </x:c>
    </x:row>
    <x:row r="671" ht="21" customHeight="1">
      <x:c r="A671" s="10" t="n">
        <x:v>46162</x:v>
      </x:c>
      <x:c r="B671" s="1" t="n">
        <x:v>11.5</x:v>
      </x:c>
      <x:c r="C671" s="1" t="n">
        <x:v>6</x:v>
      </x:c>
      <x:c r="D671" s="12" t="n">
        <x:v>0.70975</x:v>
      </x:c>
      <x:c r="E671" s="12" t="n">
        <x:v>0.71075</x:v>
      </x:c>
      <x:c r="F671" s="12" t="n">
        <x:v>0</x:v>
      </x:c>
      <x:c r="G671" s="12" t="n">
        <x:v>0</x:v>
      </x:c>
      <x:c r="H671" s="1" t="n">
        <x:f>'Historical prices'!E671</x:f>
        <x:v>1.05</x:v>
      </x:c>
      <x:c r="I671" s="6" t="n">
        <x:f>'Historical prices'!D671</x:f>
        <x:v>0.2226</x:v>
      </x:c>
      <x:c r="J671" s="13" t="n">
        <x:f>D671*I671*H671</x:f>
        <x:v>0.1658898675</x:v>
      </x:c>
      <x:c r="K671" s="13" t="n">
        <x:f>E671*I671*H671</x:f>
        <x:v>0.1661235975</x:v>
      </x:c>
      <x:c r="L671" s="1" t="str">
        <x:f>TEXT(A671,"mmm yyyy")</x:f>
        <x:v>May 2026</x:v>
      </x:c>
    </x:row>
    <x:row r="672" ht="21" customHeight="1">
      <x:c r="A672" s="10" t="n">
        <x:v>46162</x:v>
      </x:c>
      <x:c r="B672" s="1" t="n">
        <x:v>12</x:v>
      </x:c>
      <x:c r="C672" s="1" t="n">
        <x:v>6</x:v>
      </x:c>
      <x:c r="D672" s="12" t="n">
        <x:v>0.9454166666666666</x:v>
      </x:c>
      <x:c r="E672" s="12" t="n">
        <x:v>0.9464166666666666</x:v>
      </x:c>
      <x:c r="F672" s="12" t="n">
        <x:v>0</x:v>
      </x:c>
      <x:c r="G672" s="12" t="n">
        <x:v>0</x:v>
      </x:c>
      <x:c r="H672" s="1" t="n">
        <x:f>'Historical prices'!E672</x:f>
        <x:v>1.05</x:v>
      </x:c>
      <x:c r="I672" s="6" t="n">
        <x:f>'Historical prices'!D672</x:f>
        <x:v>0.2226</x:v>
      </x:c>
      <x:c r="J672" s="13" t="n">
        <x:f>D672*I672*H672</x:f>
        <x:v>0.22097223749999997</x:v>
      </x:c>
      <x:c r="K672" s="13" t="n">
        <x:f>E672*I672*H672</x:f>
        <x:v>0.2212059675</x:v>
      </x:c>
      <x:c r="L672" s="1" t="str">
        <x:f>TEXT(A672,"mmm yyyy")</x:f>
        <x:v>May 2026</x:v>
      </x:c>
    </x:row>
    <x:row r="673" ht="21" customHeight="1">
      <x:c r="A673" s="10" t="n">
        <x:v>46162</x:v>
      </x:c>
      <x:c r="B673" s="1" t="n">
        <x:v>12.5</x:v>
      </x:c>
      <x:c r="C673" s="1" t="n">
        <x:v>6</x:v>
      </x:c>
      <x:c r="D673" s="12" t="n">
        <x:v>0.6864166666666668</x:v>
      </x:c>
      <x:c r="E673" s="12" t="n">
        <x:v>0.6854166666666667</x:v>
      </x:c>
      <x:c r="F673" s="12" t="n">
        <x:v>0</x:v>
      </x:c>
      <x:c r="G673" s="12" t="n">
        <x:v>0</x:v>
      </x:c>
      <x:c r="H673" s="1" t="n">
        <x:f>'Historical prices'!E673</x:f>
        <x:v>1.05</x:v>
      </x:c>
      <x:c r="I673" s="6" t="n">
        <x:f>'Historical prices'!D673</x:f>
        <x:v>0.2226</x:v>
      </x:c>
      <x:c r="J673" s="13" t="n">
        <x:f>D673*I673*H673</x:f>
        <x:v>0.16043616750000003</x:v>
      </x:c>
      <x:c r="K673" s="13" t="n">
        <x:f>E673*I673*H673</x:f>
        <x:v>0.16020243750000002</x:v>
      </x:c>
      <x:c r="L673" s="1" t="str">
        <x:f>TEXT(A673,"mmm yyyy")</x:f>
        <x:v>May 2026</x:v>
      </x:c>
    </x:row>
    <x:row r="674" ht="21" customHeight="1">
      <x:c r="A674" s="10" t="n">
        <x:v>46162</x:v>
      </x:c>
      <x:c r="B674" s="1" t="n">
        <x:v>13</x:v>
      </x:c>
      <x:c r="C674" s="1" t="n">
        <x:v>6</x:v>
      </x:c>
      <x:c r="D674" s="12" t="n">
        <x:v>1.6275833333333334</x:v>
      </x:c>
      <x:c r="E674" s="12" t="n">
        <x:v>1.6275833333333334</x:v>
      </x:c>
      <x:c r="F674" s="12" t="n">
        <x:v>0</x:v>
      </x:c>
      <x:c r="G674" s="12" t="n">
        <x:v>0</x:v>
      </x:c>
      <x:c r="H674" s="1" t="n">
        <x:f>'Historical prices'!E674</x:f>
        <x:v>1.05</x:v>
      </x:c>
      <x:c r="I674" s="6" t="n">
        <x:f>'Historical prices'!D674</x:f>
        <x:v>0.2226</x:v>
      </x:c>
      <x:c r="J674" s="13" t="n">
        <x:f>D674*I674*H674</x:f>
        <x:v>0.3804150525</x:v>
      </x:c>
      <x:c r="K674" s="13" t="n">
        <x:f>E674*I674*H674</x:f>
        <x:v>0.3804150525</x:v>
      </x:c>
      <x:c r="L674" s="1" t="str">
        <x:f>TEXT(A674,"mmm yyyy")</x:f>
        <x:v>May 2026</x:v>
      </x:c>
    </x:row>
    <x:row r="675" ht="21" customHeight="1">
      <x:c r="A675" s="10" t="n">
        <x:v>46162</x:v>
      </x:c>
      <x:c r="B675" s="1" t="n">
        <x:v>13.5</x:v>
      </x:c>
      <x:c r="C675" s="1" t="n">
        <x:v>6</x:v>
      </x:c>
      <x:c r="D675" s="12" t="n">
        <x:v>0.7436666666666667</x:v>
      </x:c>
      <x:c r="E675" s="12" t="n">
        <x:v>0.7446666666666666</x:v>
      </x:c>
      <x:c r="F675" s="12" t="n">
        <x:v>0</x:v>
      </x:c>
      <x:c r="G675" s="12" t="n">
        <x:v>0</x:v>
      </x:c>
      <x:c r="H675" s="1" t="n">
        <x:f>'Historical prices'!E675</x:f>
        <x:v>1.05</x:v>
      </x:c>
      <x:c r="I675" s="6" t="n">
        <x:f>'Historical prices'!D675</x:f>
        <x:v>0.2226</x:v>
      </x:c>
      <x:c r="J675" s="13" t="n">
        <x:f>D675*I675*H675</x:f>
        <x:v>0.17381721</x:v>
      </x:c>
      <x:c r="K675" s="13" t="n">
        <x:f>E675*I675*H675</x:f>
        <x:v>0.17405094</x:v>
      </x:c>
      <x:c r="L675" s="1" t="str">
        <x:f>TEXT(A675,"mmm yyyy")</x:f>
        <x:v>May 2026</x:v>
      </x:c>
    </x:row>
    <x:row r="676" ht="21" customHeight="1">
      <x:c r="A676" s="10" t="n">
        <x:v>46162</x:v>
      </x:c>
      <x:c r="B676" s="1" t="n">
        <x:v>14</x:v>
      </x:c>
      <x:c r="C676" s="1" t="n">
        <x:v>6</x:v>
      </x:c>
      <x:c r="D676" s="12" t="n">
        <x:v>0.7596666666666667</x:v>
      </x:c>
      <x:c r="E676" s="12" t="n">
        <x:v>0.7586666666666667</x:v>
      </x:c>
      <x:c r="F676" s="12" t="n">
        <x:v>0</x:v>
      </x:c>
      <x:c r="G676" s="12" t="n">
        <x:v>0</x:v>
      </x:c>
      <x:c r="H676" s="1" t="n">
        <x:f>'Historical prices'!E676</x:f>
        <x:v>1.05</x:v>
      </x:c>
      <x:c r="I676" s="6" t="n">
        <x:f>'Historical prices'!D676</x:f>
        <x:v>0.2226</x:v>
      </x:c>
      <x:c r="J676" s="13" t="n">
        <x:f>D676*I676*H676</x:f>
        <x:v>0.17755689</x:v>
      </x:c>
      <x:c r="K676" s="13" t="n">
        <x:f>E676*I676*H676</x:f>
        <x:v>0.17732316</x:v>
      </x:c>
      <x:c r="L676" s="1" t="str">
        <x:f>TEXT(A676,"mmm yyyy")</x:f>
        <x:v>May 2026</x:v>
      </x:c>
    </x:row>
    <x:row r="677" ht="21" customHeight="1">
      <x:c r="A677" s="10" t="n">
        <x:v>46162</x:v>
      </x:c>
      <x:c r="B677" s="1" t="n">
        <x:v>14.5</x:v>
      </x:c>
      <x:c r="C677" s="1" t="n">
        <x:v>6</x:v>
      </x:c>
      <x:c r="D677" s="12" t="n">
        <x:v>0.6216666666666667</x:v>
      </x:c>
      <x:c r="E677" s="12" t="n">
        <x:v>0.6236666666666667</x:v>
      </x:c>
      <x:c r="F677" s="12" t="n">
        <x:v>0</x:v>
      </x:c>
      <x:c r="G677" s="12" t="n">
        <x:v>0</x:v>
      </x:c>
      <x:c r="H677" s="1" t="n">
        <x:f>'Historical prices'!E677</x:f>
        <x:v>1.05</x:v>
      </x:c>
      <x:c r="I677" s="6" t="n">
        <x:f>'Historical prices'!D677</x:f>
        <x:v>0.2226</x:v>
      </x:c>
      <x:c r="J677" s="13" t="n">
        <x:f>D677*I677*H677</x:f>
        <x:v>0.14530215000000002</x:v>
      </x:c>
      <x:c r="K677" s="13" t="n">
        <x:f>E677*I677*H677</x:f>
        <x:v>0.14576961000000002</x:v>
      </x:c>
      <x:c r="L677" s="1" t="str">
        <x:f>TEXT(A677,"mmm yyyy")</x:f>
        <x:v>May 2026</x:v>
      </x:c>
    </x:row>
    <x:row r="678" ht="21" customHeight="1">
      <x:c r="A678" s="10" t="n">
        <x:v>46162</x:v>
      </x:c>
      <x:c r="B678" s="1" t="n">
        <x:v>15</x:v>
      </x:c>
      <x:c r="C678" s="1" t="n">
        <x:v>6</x:v>
      </x:c>
      <x:c r="D678" s="12" t="n">
        <x:v>0.5975</x:v>
      </x:c>
      <x:c r="E678" s="12" t="n">
        <x:v>0.5975</x:v>
      </x:c>
      <x:c r="F678" s="12" t="n">
        <x:v>0</x:v>
      </x:c>
      <x:c r="G678" s="12" t="n">
        <x:v>0</x:v>
      </x:c>
      <x:c r="H678" s="1" t="n">
        <x:f>'Historical prices'!E678</x:f>
        <x:v>1.05</x:v>
      </x:c>
      <x:c r="I678" s="6" t="n">
        <x:f>'Historical prices'!D678</x:f>
        <x:v>0.2226</x:v>
      </x:c>
      <x:c r="J678" s="13" t="n">
        <x:f>D678*I678*H678</x:f>
        <x:v>0.139653675</x:v>
      </x:c>
      <x:c r="K678" s="13" t="n">
        <x:f>E678*I678*H678</x:f>
        <x:v>0.139653675</x:v>
      </x:c>
      <x:c r="L678" s="1" t="str">
        <x:f>TEXT(A678,"mmm yyyy")</x:f>
        <x:v>May 2026</x:v>
      </x:c>
    </x:row>
    <x:row r="679" ht="21" customHeight="1">
      <x:c r="A679" s="10" t="n">
        <x:v>46162</x:v>
      </x:c>
      <x:c r="B679" s="1" t="n">
        <x:v>15.5</x:v>
      </x:c>
      <x:c r="C679" s="1" t="n">
        <x:v>6</x:v>
      </x:c>
      <x:c r="D679" s="12" t="n">
        <x:v>0.45575000000000004</x:v>
      </x:c>
      <x:c r="E679" s="12" t="n">
        <x:v>0.45575000000000004</x:v>
      </x:c>
      <x:c r="F679" s="12" t="n">
        <x:v>0</x:v>
      </x:c>
      <x:c r="G679" s="12" t="n">
        <x:v>0</x:v>
      </x:c>
      <x:c r="H679" s="1" t="n">
        <x:f>'Historical prices'!E679</x:f>
        <x:v>1.05</x:v>
      </x:c>
      <x:c r="I679" s="6" t="n">
        <x:f>'Historical prices'!D679</x:f>
        <x:v>0.2226</x:v>
      </x:c>
      <x:c r="J679" s="13" t="n">
        <x:f>D679*I679*H679</x:f>
        <x:v>0.10652244750000002</x:v>
      </x:c>
      <x:c r="K679" s="13" t="n">
        <x:f>E679*I679*H679</x:f>
        <x:v>0.10652244750000002</x:v>
      </x:c>
      <x:c r="L679" s="1" t="str">
        <x:f>TEXT(A679,"mmm yyyy")</x:f>
        <x:v>May 2026</x:v>
      </x:c>
    </x:row>
    <x:row r="680" ht="21" customHeight="1">
      <x:c r="A680" s="10" t="n">
        <x:v>46162</x:v>
      </x:c>
      <x:c r="B680" s="1" t="n">
        <x:v>16</x:v>
      </x:c>
      <x:c r="C680" s="1" t="n">
        <x:v>6</x:v>
      </x:c>
      <x:c r="D680" s="12" t="n">
        <x:v>0.8382499999999999</x:v>
      </x:c>
      <x:c r="E680" s="12" t="n">
        <x:v>0.8382499999999999</x:v>
      </x:c>
      <x:c r="F680" s="12" t="n">
        <x:v>0</x:v>
      </x:c>
      <x:c r="G680" s="12" t="n">
        <x:v>0</x:v>
      </x:c>
      <x:c r="H680" s="1" t="n">
        <x:f>'Historical prices'!E680</x:f>
        <x:v>1.05</x:v>
      </x:c>
      <x:c r="I680" s="6" t="n">
        <x:f>'Historical prices'!D680</x:f>
        <x:v>0.2226</x:v>
      </x:c>
      <x:c r="J680" s="13" t="n">
        <x:f>D680*I680*H680</x:f>
        <x:v>0.19592417249999997</x:v>
      </x:c>
      <x:c r="K680" s="13" t="n">
        <x:f>E680*I680*H680</x:f>
        <x:v>0.19592417249999997</x:v>
      </x:c>
      <x:c r="L680" s="1" t="str">
        <x:f>TEXT(A680,"mmm yyyy")</x:f>
        <x:v>May 2026</x:v>
      </x:c>
    </x:row>
    <x:row r="681" ht="21" customHeight="1">
      <x:c r="A681" s="10" t="n">
        <x:v>46162</x:v>
      </x:c>
      <x:c r="B681" s="1" t="n">
        <x:v>16.5</x:v>
      </x:c>
      <x:c r="C681" s="1" t="n">
        <x:v>6</x:v>
      </x:c>
      <x:c r="D681" s="12" t="n">
        <x:v>0.6965833333333333</x:v>
      </x:c>
      <x:c r="E681" s="12" t="n">
        <x:v>0.6965833333333333</x:v>
      </x:c>
      <x:c r="F681" s="12" t="n">
        <x:v>0</x:v>
      </x:c>
      <x:c r="G681" s="12" t="n">
        <x:v>0</x:v>
      </x:c>
      <x:c r="H681" s="1" t="n">
        <x:f>'Historical prices'!E681</x:f>
        <x:v>1.05</x:v>
      </x:c>
      <x:c r="I681" s="6" t="n">
        <x:f>'Historical prices'!D681</x:f>
        <x:v>0.2226</x:v>
      </x:c>
      <x:c r="J681" s="13" t="n">
        <x:f>D681*I681*H681</x:f>
        <x:v>0.1628124225</x:v>
      </x:c>
      <x:c r="K681" s="13" t="n">
        <x:f>E681*I681*H681</x:f>
        <x:v>0.1628124225</x:v>
      </x:c>
      <x:c r="L681" s="1" t="str">
        <x:f>TEXT(A681,"mmm yyyy")</x:f>
        <x:v>May 2026</x:v>
      </x:c>
    </x:row>
    <x:row r="682" ht="21" customHeight="1">
      <x:c r="A682" s="10" t="n">
        <x:v>46162</x:v>
      </x:c>
      <x:c r="B682" s="1" t="n">
        <x:v>17</x:v>
      </x:c>
      <x:c r="C682" s="1" t="n">
        <x:v>6</x:v>
      </x:c>
      <x:c r="D682" s="12" t="n">
        <x:v>0.5256666666666667</x:v>
      </x:c>
      <x:c r="E682" s="12" t="n">
        <x:v>0.5256666666666667</x:v>
      </x:c>
      <x:c r="F682" s="12" t="n">
        <x:v>0</x:v>
      </x:c>
      <x:c r="G682" s="12" t="n">
        <x:v>0</x:v>
      </x:c>
      <x:c r="H682" s="1" t="n">
        <x:f>'Historical prices'!E682</x:f>
        <x:v>1.05</x:v>
      </x:c>
      <x:c r="I682" s="6" t="n">
        <x:f>'Historical prices'!D682</x:f>
        <x:v>0.2226</x:v>
      </x:c>
      <x:c r="J682" s="13" t="n">
        <x:f>D682*I682*H682</x:f>
        <x:v>0.12286407</x:v>
      </x:c>
      <x:c r="K682" s="13" t="n">
        <x:f>E682*I682*H682</x:f>
        <x:v>0.12286407</x:v>
      </x:c>
      <x:c r="L682" s="1" t="str">
        <x:f>TEXT(A682,"mmm yyyy")</x:f>
        <x:v>May 2026</x:v>
      </x:c>
    </x:row>
    <x:row r="683" ht="21" customHeight="1">
      <x:c r="A683" s="10" t="n">
        <x:v>46162</x:v>
      </x:c>
      <x:c r="B683" s="1" t="n">
        <x:v>17.5</x:v>
      </x:c>
      <x:c r="C683" s="1" t="n">
        <x:v>6</x:v>
      </x:c>
      <x:c r="D683" s="12" t="n">
        <x:v>0.52925</x:v>
      </x:c>
      <x:c r="E683" s="12" t="n">
        <x:v>0.53125</x:v>
      </x:c>
      <x:c r="F683" s="12" t="n">
        <x:v>0</x:v>
      </x:c>
      <x:c r="G683" s="12" t="n">
        <x:v>0</x:v>
      </x:c>
      <x:c r="H683" s="1" t="n">
        <x:f>'Historical prices'!E683</x:f>
        <x:v>1.05</x:v>
      </x:c>
      <x:c r="I683" s="6" t="n">
        <x:f>'Historical prices'!D683</x:f>
        <x:v>0.2226</x:v>
      </x:c>
      <x:c r="J683" s="13" t="n">
        <x:f>D683*I683*H683</x:f>
        <x:v>0.12370160250000001</x:v>
      </x:c>
      <x:c r="K683" s="13" t="n">
        <x:f>E683*I683*H683</x:f>
        <x:v>0.1241690625</x:v>
      </x:c>
      <x:c r="L683" s="1" t="str">
        <x:f>TEXT(A683,"mmm yyyy")</x:f>
        <x:v>May 2026</x:v>
      </x:c>
    </x:row>
    <x:row r="684" ht="21" customHeight="1">
      <x:c r="A684" s="10" t="n">
        <x:v>46162</x:v>
      </x:c>
      <x:c r="B684" s="1" t="n">
        <x:v>18</x:v>
      </x:c>
      <x:c r="C684" s="1" t="n">
        <x:v>6</x:v>
      </x:c>
      <x:c r="D684" s="12" t="n">
        <x:v>0.5943333333333333</x:v>
      </x:c>
      <x:c r="E684" s="12" t="n">
        <x:v>0.5943333333333333</x:v>
      </x:c>
      <x:c r="F684" s="12" t="n">
        <x:v>0</x:v>
      </x:c>
      <x:c r="G684" s="12" t="n">
        <x:v>0</x:v>
      </x:c>
      <x:c r="H684" s="1" t="n">
        <x:f>'Historical prices'!E684</x:f>
        <x:v>1.05</x:v>
      </x:c>
      <x:c r="I684" s="6" t="n">
        <x:f>'Historical prices'!D684</x:f>
        <x:v>0.2226</x:v>
      </x:c>
      <x:c r="J684" s="13" t="n">
        <x:f>D684*I684*H684</x:f>
        <x:v>0.13891353</x:v>
      </x:c>
      <x:c r="K684" s="13" t="n">
        <x:f>E684*I684*H684</x:f>
        <x:v>0.13891353</x:v>
      </x:c>
      <x:c r="L684" s="1" t="str">
        <x:f>TEXT(A684,"mmm yyyy")</x:f>
        <x:v>May 2026</x:v>
      </x:c>
    </x:row>
    <x:row r="685" ht="21" customHeight="1">
      <x:c r="A685" s="10" t="n">
        <x:v>46162</x:v>
      </x:c>
      <x:c r="B685" s="1" t="n">
        <x:v>18.5</x:v>
      </x:c>
      <x:c r="C685" s="1" t="n">
        <x:v>6</x:v>
      </x:c>
      <x:c r="D685" s="12" t="n">
        <x:v>1.5531666666666668</x:v>
      </x:c>
      <x:c r="E685" s="12" t="n">
        <x:v>1.5531666666666666</x:v>
      </x:c>
      <x:c r="F685" s="12" t="n">
        <x:v>0</x:v>
      </x:c>
      <x:c r="G685" s="12" t="n">
        <x:v>0</x:v>
      </x:c>
      <x:c r="H685" s="1" t="n">
        <x:f>'Historical prices'!E685</x:f>
        <x:v>1.05</x:v>
      </x:c>
      <x:c r="I685" s="6" t="n">
        <x:f>'Historical prices'!D685</x:f>
        <x:v>0.2226</x:v>
      </x:c>
      <x:c r="J685" s="13" t="n">
        <x:f>D685*I685*H685</x:f>
        <x:v>0.363021645</x:v>
      </x:c>
      <x:c r="K685" s="13" t="n">
        <x:f>E685*I685*H685</x:f>
        <x:v>0.36302164499999995</x:v>
      </x:c>
      <x:c r="L685" s="1" t="str">
        <x:f>TEXT(A685,"mmm yyyy")</x:f>
        <x:v>May 2026</x:v>
      </x:c>
    </x:row>
    <x:row r="686" ht="21" customHeight="1">
      <x:c r="A686" s="10" t="n">
        <x:v>46162</x:v>
      </x:c>
      <x:c r="B686" s="1" t="n">
        <x:v>19</x:v>
      </x:c>
      <x:c r="C686" s="1" t="n">
        <x:v>6</x:v>
      </x:c>
      <x:c r="D686" s="12" t="n">
        <x:v>0.47533333333333333</x:v>
      </x:c>
      <x:c r="E686" s="12" t="n">
        <x:v>0.47533333333333333</x:v>
      </x:c>
      <x:c r="F686" s="12" t="n">
        <x:v>0</x:v>
      </x:c>
      <x:c r="G686" s="12" t="n">
        <x:v>0</x:v>
      </x:c>
      <x:c r="H686" s="1" t="n">
        <x:f>'Historical prices'!E686</x:f>
        <x:v>1.05</x:v>
      </x:c>
      <x:c r="I686" s="6" t="n">
        <x:f>'Historical prices'!D686</x:f>
        <x:v>0.2226</x:v>
      </x:c>
      <x:c r="J686" s="13" t="n">
        <x:f>D686*I686*H686</x:f>
        <x:v>0.11109966</x:v>
      </x:c>
      <x:c r="K686" s="13" t="n">
        <x:f>E686*I686*H686</x:f>
        <x:v>0.11109966</x:v>
      </x:c>
      <x:c r="L686" s="1" t="str">
        <x:f>TEXT(A686,"mmm yyyy")</x:f>
        <x:v>May 2026</x:v>
      </x:c>
    </x:row>
    <x:row r="687" ht="21" customHeight="1">
      <x:c r="A687" s="10" t="n">
        <x:v>46162</x:v>
      </x:c>
      <x:c r="B687" s="1" t="n">
        <x:v>19.5</x:v>
      </x:c>
      <x:c r="C687" s="1" t="n">
        <x:v>6</x:v>
      </x:c>
      <x:c r="D687" s="12" t="n">
        <x:v>0.8802500000000001</x:v>
      </x:c>
      <x:c r="E687" s="12" t="n">
        <x:v>0.88125</x:v>
      </x:c>
      <x:c r="F687" s="12" t="n">
        <x:v>0</x:v>
      </x:c>
      <x:c r="G687" s="12" t="n">
        <x:v>0</x:v>
      </x:c>
      <x:c r="H687" s="1" t="n">
        <x:f>'Historical prices'!E687</x:f>
        <x:v>1.05</x:v>
      </x:c>
      <x:c r="I687" s="6" t="n">
        <x:f>'Historical prices'!D687</x:f>
        <x:v>0.2226</x:v>
      </x:c>
      <x:c r="J687" s="13" t="n">
        <x:f>D687*I687*H687</x:f>
        <x:v>0.20574083250000003</x:v>
      </x:c>
      <x:c r="K687" s="13" t="n">
        <x:f>E687*I687*H687</x:f>
        <x:v>0.20597456249999999</x:v>
      </x:c>
      <x:c r="L687" s="1" t="str">
        <x:f>TEXT(A687,"mmm yyyy")</x:f>
        <x:v>May 2026</x:v>
      </x:c>
    </x:row>
    <x:row r="688" ht="21" customHeight="1">
      <x:c r="A688" s="10" t="n">
        <x:v>46162</x:v>
      </x:c>
      <x:c r="B688" s="1" t="n">
        <x:v>20</x:v>
      </x:c>
      <x:c r="C688" s="1" t="n">
        <x:v>6</x:v>
      </x:c>
      <x:c r="D688" s="12" t="n">
        <x:v>0.6145833333333334</x:v>
      </x:c>
      <x:c r="E688" s="12" t="n">
        <x:v>0.6145833333333334</x:v>
      </x:c>
      <x:c r="F688" s="12" t="n">
        <x:v>0</x:v>
      </x:c>
      <x:c r="G688" s="12" t="n">
        <x:v>0</x:v>
      </x:c>
      <x:c r="H688" s="1" t="n">
        <x:f>'Historical prices'!E688</x:f>
        <x:v>1.05</x:v>
      </x:c>
      <x:c r="I688" s="6" t="n">
        <x:f>'Historical prices'!D688</x:f>
        <x:v>0.2226</x:v>
      </x:c>
      <x:c r="J688" s="13" t="n">
        <x:f>D688*I688*H688</x:f>
        <x:v>0.1436465625</x:v>
      </x:c>
      <x:c r="K688" s="13" t="n">
        <x:f>E688*I688*H688</x:f>
        <x:v>0.1436465625</x:v>
      </x:c>
      <x:c r="L688" s="1" t="str">
        <x:f>TEXT(A688,"mmm yyyy")</x:f>
        <x:v>May 2026</x:v>
      </x:c>
    </x:row>
    <x:row r="689" ht="21" customHeight="1">
      <x:c r="A689" s="10" t="n">
        <x:v>46162</x:v>
      </x:c>
      <x:c r="B689" s="1" t="n">
        <x:v>20.5</x:v>
      </x:c>
      <x:c r="C689" s="1" t="n">
        <x:v>6</x:v>
      </x:c>
      <x:c r="D689" s="12" t="n">
        <x:v>0.6370833333333333</x:v>
      </x:c>
      <x:c r="E689" s="12" t="n">
        <x:v>0.6380833333333333</x:v>
      </x:c>
      <x:c r="F689" s="12" t="n">
        <x:v>0</x:v>
      </x:c>
      <x:c r="G689" s="12" t="n">
        <x:v>0</x:v>
      </x:c>
      <x:c r="H689" s="1" t="n">
        <x:f>'Historical prices'!E689</x:f>
        <x:v>1.05</x:v>
      </x:c>
      <x:c r="I689" s="6" t="n">
        <x:f>'Historical prices'!D689</x:f>
        <x:v>0.2226</x:v>
      </x:c>
      <x:c r="J689" s="13" t="n">
        <x:f>D689*I689*H689</x:f>
        <x:v>0.1489054875</x:v>
      </x:c>
      <x:c r="K689" s="13" t="n">
        <x:f>E689*I689*H689</x:f>
        <x:v>0.1491392175</x:v>
      </x:c>
      <x:c r="L689" s="1" t="str">
        <x:f>TEXT(A689,"mmm yyyy")</x:f>
        <x:v>May 2026</x:v>
      </x:c>
    </x:row>
    <x:row r="690" ht="21" customHeight="1">
      <x:c r="A690" s="10" t="n">
        <x:v>46162</x:v>
      </x:c>
      <x:c r="B690" s="1" t="n">
        <x:v>21</x:v>
      </x:c>
      <x:c r="C690" s="1" t="n">
        <x:v>6</x:v>
      </x:c>
      <x:c r="D690" s="12" t="n">
        <x:v>0.5505833333333333</x:v>
      </x:c>
      <x:c r="E690" s="12" t="n">
        <x:v>0.5505833333333333</x:v>
      </x:c>
      <x:c r="F690" s="12" t="n">
        <x:v>0</x:v>
      </x:c>
      <x:c r="G690" s="12" t="n">
        <x:v>0</x:v>
      </x:c>
      <x:c r="H690" s="1" t="n">
        <x:f>'Historical prices'!E690</x:f>
        <x:v>1.05</x:v>
      </x:c>
      <x:c r="I690" s="6" t="n">
        <x:f>'Historical prices'!D690</x:f>
        <x:v>0.2226</x:v>
      </x:c>
      <x:c r="J690" s="13" t="n">
        <x:f>D690*I690*H690</x:f>
        <x:v>0.1286878425</x:v>
      </x:c>
      <x:c r="K690" s="13" t="n">
        <x:f>E690*I690*H690</x:f>
        <x:v>0.1286878425</x:v>
      </x:c>
      <x:c r="L690" s="1" t="str">
        <x:f>TEXT(A690,"mmm yyyy")</x:f>
        <x:v>May 2026</x:v>
      </x:c>
    </x:row>
    <x:row r="691" ht="21" customHeight="1">
      <x:c r="A691" s="10" t="n">
        <x:v>46162</x:v>
      </x:c>
      <x:c r="B691" s="1" t="n">
        <x:v>21.5</x:v>
      </x:c>
      <x:c r="C691" s="1" t="n">
        <x:v>6</x:v>
      </x:c>
      <x:c r="D691" s="12" t="n">
        <x:v>0.9965833333333334</x:v>
      </x:c>
      <x:c r="E691" s="12" t="n">
        <x:v>0.9975833333333333</x:v>
      </x:c>
      <x:c r="F691" s="12" t="n">
        <x:v>0</x:v>
      </x:c>
      <x:c r="G691" s="12" t="n">
        <x:v>0</x:v>
      </x:c>
      <x:c r="H691" s="1" t="n">
        <x:f>'Historical prices'!E691</x:f>
        <x:v>1.05</x:v>
      </x:c>
      <x:c r="I691" s="6" t="n">
        <x:f>'Historical prices'!D691</x:f>
        <x:v>0.2226</x:v>
      </x:c>
      <x:c r="J691" s="13" t="n">
        <x:f>D691*I691*H691</x:f>
        <x:v>0.2329314225</x:v>
      </x:c>
      <x:c r="K691" s="13" t="n">
        <x:f>E691*I691*H691</x:f>
        <x:v>0.2331651525</x:v>
      </x:c>
      <x:c r="L691" s="1" t="str">
        <x:f>TEXT(A691,"mmm yyyy")</x:f>
        <x:v>May 2026</x:v>
      </x:c>
    </x:row>
    <x:row r="692" ht="21" customHeight="1">
      <x:c r="A692" s="10" t="n">
        <x:v>46162</x:v>
      </x:c>
      <x:c r="B692" s="1" t="n">
        <x:v>22</x:v>
      </x:c>
      <x:c r="C692" s="1" t="n">
        <x:v>6</x:v>
      </x:c>
      <x:c r="D692" s="12" t="n">
        <x:v>0.30399999999999994</x:v>
      </x:c>
      <x:c r="E692" s="12" t="n">
        <x:v>0.30399999999999994</x:v>
      </x:c>
      <x:c r="F692" s="12" t="n">
        <x:v>0</x:v>
      </x:c>
      <x:c r="G692" s="12" t="n">
        <x:v>0</x:v>
      </x:c>
      <x:c r="H692" s="1" t="n">
        <x:f>'Historical prices'!E692</x:f>
        <x:v>1.05</x:v>
      </x:c>
      <x:c r="I692" s="6" t="n">
        <x:f>'Historical prices'!D692</x:f>
        <x:v>0.2226</x:v>
      </x:c>
      <x:c r="J692" s="13" t="n">
        <x:f>D692*I692*H692</x:f>
        <x:v>0.07105391999999998</x:v>
      </x:c>
      <x:c r="K692" s="13" t="n">
        <x:f>E692*I692*H692</x:f>
        <x:v>0.07105391999999998</x:v>
      </x:c>
      <x:c r="L692" s="1" t="str">
        <x:f>TEXT(A692,"mmm yyyy")</x:f>
        <x:v>May 2026</x:v>
      </x:c>
    </x:row>
    <x:row r="693" ht="21" customHeight="1">
      <x:c r="A693" s="10" t="n">
        <x:v>46162</x:v>
      </x:c>
      <x:c r="B693" s="1" t="n">
        <x:v>22.5</x:v>
      </x:c>
      <x:c r="C693" s="1" t="n">
        <x:v>6</x:v>
      </x:c>
      <x:c r="D693" s="12" t="n">
        <x:v>0.24333333333333332</x:v>
      </x:c>
      <x:c r="E693" s="12" t="n">
        <x:v>0.24433333333333332</x:v>
      </x:c>
      <x:c r="F693" s="12" t="n">
        <x:v>0</x:v>
      </x:c>
      <x:c r="G693" s="12" t="n">
        <x:v>0</x:v>
      </x:c>
      <x:c r="H693" s="1" t="n">
        <x:f>'Historical prices'!E693</x:f>
        <x:v>1.05</x:v>
      </x:c>
      <x:c r="I693" s="6" t="n">
        <x:f>'Historical prices'!D693</x:f>
        <x:v>0.2226</x:v>
      </x:c>
      <x:c r="J693" s="13" t="n">
        <x:f>D693*I693*H693</x:f>
        <x:v>0.056874299999999996</x:v>
      </x:c>
      <x:c r="K693" s="13" t="n">
        <x:f>E693*I693*H693</x:f>
        <x:v>0.05710803</x:v>
      </x:c>
      <x:c r="L693" s="1" t="str">
        <x:f>TEXT(A693,"mmm yyyy")</x:f>
        <x:v>May 2026</x:v>
      </x:c>
    </x:row>
    <x:row r="694" ht="21" customHeight="1">
      <x:c r="A694" s="10" t="n">
        <x:v>46162</x:v>
      </x:c>
      <x:c r="B694" s="1" t="n">
        <x:v>23</x:v>
      </x:c>
      <x:c r="C694" s="1" t="n">
        <x:v>6</x:v>
      </x:c>
      <x:c r="D694" s="12" t="n">
        <x:v>0.2634166666666667</x:v>
      </x:c>
      <x:c r="E694" s="12" t="n">
        <x:v>0.2634166666666667</x:v>
      </x:c>
      <x:c r="F694" s="12" t="n">
        <x:v>0</x:v>
      </x:c>
      <x:c r="G694" s="12" t="n">
        <x:v>0</x:v>
      </x:c>
      <x:c r="H694" s="1" t="n">
        <x:f>'Historical prices'!E694</x:f>
        <x:v>1.05</x:v>
      </x:c>
      <x:c r="I694" s="6" t="n">
        <x:f>'Historical prices'!D694</x:f>
        <x:v>0.2226</x:v>
      </x:c>
      <x:c r="J694" s="13" t="n">
        <x:f>D694*I694*H694</x:f>
        <x:v>0.06156837750000001</x:v>
      </x:c>
      <x:c r="K694" s="13" t="n">
        <x:f>E694*I694*H694</x:f>
        <x:v>0.06156837750000001</x:v>
      </x:c>
      <x:c r="L694" s="1" t="str">
        <x:f>TEXT(A694,"mmm yyyy")</x:f>
        <x:v>May 2026</x:v>
      </x:c>
    </x:row>
    <x:row r="695" ht="21" customHeight="1">
      <x:c r="A695" s="10" t="n">
        <x:v>46162</x:v>
      </x:c>
      <x:c r="B695" s="1" t="n">
        <x:v>23.5</x:v>
      </x:c>
      <x:c r="C695" s="1" t="n">
        <x:v>6</x:v>
      </x:c>
      <x:c r="D695" s="12" t="n">
        <x:v>0.27925</x:v>
      </x:c>
      <x:c r="E695" s="12" t="n">
        <x:v>0.27925</x:v>
      </x:c>
      <x:c r="F695" s="12" t="n">
        <x:v>0</x:v>
      </x:c>
      <x:c r="G695" s="12" t="n">
        <x:v>0</x:v>
      </x:c>
      <x:c r="H695" s="1" t="n">
        <x:f>'Historical prices'!E695</x:f>
        <x:v>1.05</x:v>
      </x:c>
      <x:c r="I695" s="6" t="n">
        <x:f>'Historical prices'!D695</x:f>
        <x:v>0.2226</x:v>
      </x:c>
      <x:c r="J695" s="13" t="n">
        <x:f>D695*I695*H695</x:f>
        <x:v>0.0652691025</x:v>
      </x:c>
      <x:c r="K695" s="13" t="n">
        <x:f>E695*I695*H695</x:f>
        <x:v>0.0652691025</x:v>
      </x:c>
      <x:c r="L695" s="1" t="str">
        <x:f>TEXT(A695,"mmm yyyy")</x:f>
        <x:v>May 2026</x:v>
      </x:c>
    </x:row>
    <x:row r="696" ht="21" customHeight="1">
      <x:c r="A696" s="10" t="n">
        <x:v>46163</x:v>
      </x:c>
      <x:c r="B696" s="1" t="n">
        <x:v>0</x:v>
      </x:c>
      <x:c r="C696" s="1" t="n">
        <x:v>6</x:v>
      </x:c>
      <x:c r="D696" s="12" t="n">
        <x:v>0.3299166666666667</x:v>
      </x:c>
      <x:c r="E696" s="12" t="n">
        <x:v>0.3319166666666667</x:v>
      </x:c>
      <x:c r="F696" s="12" t="n">
        <x:v>0</x:v>
      </x:c>
      <x:c r="G696" s="12" t="n">
        <x:v>0</x:v>
      </x:c>
      <x:c r="H696" s="1" t="n">
        <x:f>'Historical prices'!E696</x:f>
        <x:v>1.05</x:v>
      </x:c>
      <x:c r="I696" s="6" t="n">
        <x:f>'Historical prices'!D696</x:f>
        <x:v>0.2226</x:v>
      </x:c>
      <x:c r="J696" s="13" t="n">
        <x:f>D696*I696*H696</x:f>
        <x:v>0.07711142250000001</x:v>
      </x:c>
      <x:c r="K696" s="13" t="n">
        <x:f>E696*I696*H696</x:f>
        <x:v>0.07757888250000002</x:v>
      </x:c>
      <x:c r="L696" s="1" t="str">
        <x:f>TEXT(A696,"mmm yyyy")</x:f>
        <x:v>May 2026</x:v>
      </x:c>
    </x:row>
    <x:row r="697" ht="21" customHeight="1">
      <x:c r="A697" s="10" t="n">
        <x:v>46163</x:v>
      </x:c>
      <x:c r="B697" s="1" t="n">
        <x:v>0.5</x:v>
      </x:c>
      <x:c r="C697" s="1" t="n">
        <x:v>6</x:v>
      </x:c>
      <x:c r="D697" s="12" t="n">
        <x:v>0.22033333333333335</x:v>
      </x:c>
      <x:c r="E697" s="12" t="n">
        <x:v>0.21933333333333335</x:v>
      </x:c>
      <x:c r="F697" s="12" t="n">
        <x:v>0</x:v>
      </x:c>
      <x:c r="G697" s="12" t="n">
        <x:v>0</x:v>
      </x:c>
      <x:c r="H697" s="1" t="n">
        <x:f>'Historical prices'!E697</x:f>
        <x:v>1.05</x:v>
      </x:c>
      <x:c r="I697" s="6" t="n">
        <x:f>'Historical prices'!D697</x:f>
        <x:v>0.2226</x:v>
      </x:c>
      <x:c r="J697" s="13" t="n">
        <x:f>D697*I697*H697</x:f>
        <x:v>0.051498510000000004</x:v>
      </x:c>
      <x:c r="K697" s="13" t="n">
        <x:f>E697*I697*H697</x:f>
        <x:v>0.05126478</x:v>
      </x:c>
      <x:c r="L697" s="1" t="str">
        <x:f>TEXT(A697,"mmm yyyy")</x:f>
        <x:v>May 2026</x:v>
      </x:c>
    </x:row>
    <x:row r="698" ht="21" customHeight="1">
      <x:c r="A698" s="10" t="n">
        <x:v>46163</x:v>
      </x:c>
      <x:c r="B698" s="1" t="n">
        <x:v>1</x:v>
      </x:c>
      <x:c r="C698" s="1" t="n">
        <x:v>6</x:v>
      </x:c>
      <x:c r="D698" s="12" t="n">
        <x:v>0.2321666666666667</x:v>
      </x:c>
      <x:c r="E698" s="12" t="n">
        <x:v>0.2331666666666667</x:v>
      </x:c>
      <x:c r="F698" s="12" t="n">
        <x:v>0</x:v>
      </x:c>
      <x:c r="G698" s="12" t="n">
        <x:v>0</x:v>
      </x:c>
      <x:c r="H698" s="1" t="n">
        <x:f>'Historical prices'!E698</x:f>
        <x:v>1.05</x:v>
      </x:c>
      <x:c r="I698" s="6" t="n">
        <x:f>'Historical prices'!D698</x:f>
        <x:v>0.2226</x:v>
      </x:c>
      <x:c r="J698" s="13" t="n">
        <x:f>D698*I698*H698</x:f>
        <x:v>0.05426431500000001</x:v>
      </x:c>
      <x:c r="K698" s="13" t="n">
        <x:f>E698*I698*H698</x:f>
        <x:v>0.054498045</x:v>
      </x:c>
      <x:c r="L698" s="1" t="str">
        <x:f>TEXT(A698,"mmm yyyy")</x:f>
        <x:v>May 2026</x:v>
      </x:c>
    </x:row>
    <x:row r="699" ht="21" customHeight="1">
      <x:c r="A699" s="10" t="n">
        <x:v>46163</x:v>
      </x:c>
      <x:c r="B699" s="1" t="n">
        <x:v>1.5</x:v>
      </x:c>
      <x:c r="C699" s="1" t="n">
        <x:v>6</x:v>
      </x:c>
      <x:c r="D699" s="12" t="n">
        <x:v>0.2370833333333333</x:v>
      </x:c>
      <x:c r="E699" s="12" t="n">
        <x:v>0.2380833333333333</x:v>
      </x:c>
      <x:c r="F699" s="12" t="n">
        <x:v>0</x:v>
      </x:c>
      <x:c r="G699" s="12" t="n">
        <x:v>0</x:v>
      </x:c>
      <x:c r="H699" s="1" t="n">
        <x:f>'Historical prices'!E699</x:f>
        <x:v>1.05</x:v>
      </x:c>
      <x:c r="I699" s="6" t="n">
        <x:f>'Historical prices'!D699</x:f>
        <x:v>0.2226</x:v>
      </x:c>
      <x:c r="J699" s="13" t="n">
        <x:f>D699*I699*H699</x:f>
        <x:v>0.0554134875</x:v>
      </x:c>
      <x:c r="K699" s="13" t="n">
        <x:f>E699*I699*H699</x:f>
        <x:v>0.05564721749999999</x:v>
      </x:c>
      <x:c r="L699" s="1" t="str">
        <x:f>TEXT(A699,"mmm yyyy")</x:f>
        <x:v>May 2026</x:v>
      </x:c>
    </x:row>
    <x:row r="700" ht="21" customHeight="1">
      <x:c r="A700" s="10" t="n">
        <x:v>46163</x:v>
      </x:c>
      <x:c r="B700" s="1" t="n">
        <x:v>2</x:v>
      </x:c>
      <x:c r="C700" s="1" t="n">
        <x:v>6</x:v>
      </x:c>
      <x:c r="D700" s="12" t="n">
        <x:v>0.24708333333333332</x:v>
      </x:c>
      <x:c r="E700" s="12" t="n">
        <x:v>0.24808333333333335</x:v>
      </x:c>
      <x:c r="F700" s="12" t="n">
        <x:v>0</x:v>
      </x:c>
      <x:c r="G700" s="12" t="n">
        <x:v>0</x:v>
      </x:c>
      <x:c r="H700" s="1" t="n">
        <x:f>'Historical prices'!E700</x:f>
        <x:v>1.05</x:v>
      </x:c>
      <x:c r="I700" s="6" t="n">
        <x:f>'Historical prices'!D700</x:f>
        <x:v>0.2226</x:v>
      </x:c>
      <x:c r="J700" s="13" t="n">
        <x:f>D700*I700*H700</x:f>
        <x:v>0.0577507875</x:v>
      </x:c>
      <x:c r="K700" s="13" t="n">
        <x:f>E700*I700*H700</x:f>
        <x:v>0.057984517500000006</x:v>
      </x:c>
      <x:c r="L700" s="1" t="str">
        <x:f>TEXT(A700,"mmm yyyy")</x:f>
        <x:v>May 2026</x:v>
      </x:c>
    </x:row>
    <x:row r="701" ht="21" customHeight="1">
      <x:c r="A701" s="10" t="n">
        <x:v>46163</x:v>
      </x:c>
      <x:c r="B701" s="1" t="n">
        <x:v>2.5</x:v>
      </x:c>
      <x:c r="C701" s="1" t="n">
        <x:v>6</x:v>
      </x:c>
      <x:c r="D701" s="12" t="n">
        <x:v>0.24466666666666664</x:v>
      </x:c>
      <x:c r="E701" s="12" t="n">
        <x:v>0.24566666666666664</x:v>
      </x:c>
      <x:c r="F701" s="12" t="n">
        <x:v>0</x:v>
      </x:c>
      <x:c r="G701" s="12" t="n">
        <x:v>0</x:v>
      </x:c>
      <x:c r="H701" s="1" t="n">
        <x:f>'Historical prices'!E701</x:f>
        <x:v>1.05</x:v>
      </x:c>
      <x:c r="I701" s="6" t="n">
        <x:f>'Historical prices'!D701</x:f>
        <x:v>0.2226</x:v>
      </x:c>
      <x:c r="J701" s="13" t="n">
        <x:f>D701*I701*H701</x:f>
        <x:v>0.05718593999999999</x:v>
      </x:c>
      <x:c r="K701" s="13" t="n">
        <x:f>E701*I701*H701</x:f>
        <x:v>0.05741967</x:v>
      </x:c>
      <x:c r="L701" s="1" t="str">
        <x:f>TEXT(A701,"mmm yyyy")</x:f>
        <x:v>May 2026</x:v>
      </x:c>
    </x:row>
    <x:row r="702" ht="21" customHeight="1">
      <x:c r="A702" s="10" t="n">
        <x:v>46163</x:v>
      </x:c>
      <x:c r="B702" s="1" t="n">
        <x:v>3</x:v>
      </x:c>
      <x:c r="C702" s="1" t="n">
        <x:v>6</x:v>
      </x:c>
      <x:c r="D702" s="12" t="n">
        <x:v>0.23116666666666666</x:v>
      </x:c>
      <x:c r="E702" s="12" t="n">
        <x:v>0.23216666666666666</x:v>
      </x:c>
      <x:c r="F702" s="12" t="n">
        <x:v>0</x:v>
      </x:c>
      <x:c r="G702" s="12" t="n">
        <x:v>0</x:v>
      </x:c>
      <x:c r="H702" s="1" t="n">
        <x:f>'Historical prices'!E702</x:f>
        <x:v>1.05</x:v>
      </x:c>
      <x:c r="I702" s="6" t="n">
        <x:f>'Historical prices'!D702</x:f>
        <x:v>0.2226</x:v>
      </x:c>
      <x:c r="J702" s="13" t="n">
        <x:f>D702*I702*H702</x:f>
        <x:v>0.054030585</x:v>
      </x:c>
      <x:c r="K702" s="13" t="n">
        <x:f>E702*I702*H702</x:f>
        <x:v>0.054264315</x:v>
      </x:c>
      <x:c r="L702" s="1" t="str">
        <x:f>TEXT(A702,"mmm yyyy")</x:f>
        <x:v>May 2026</x:v>
      </x:c>
    </x:row>
    <x:row r="703" ht="21" customHeight="1">
      <x:c r="A703" s="10" t="n">
        <x:v>46163</x:v>
      </x:c>
      <x:c r="B703" s="1" t="n">
        <x:v>3.5</x:v>
      </x:c>
      <x:c r="C703" s="1" t="n">
        <x:v>6</x:v>
      </x:c>
      <x:c r="D703" s="12" t="n">
        <x:v>0.21166666666666667</x:v>
      </x:c>
      <x:c r="E703" s="12" t="n">
        <x:v>0.21066666666666667</x:v>
      </x:c>
      <x:c r="F703" s="12" t="n">
        <x:v>0</x:v>
      </x:c>
      <x:c r="G703" s="12" t="n">
        <x:v>0</x:v>
      </x:c>
      <x:c r="H703" s="1" t="n">
        <x:f>'Historical prices'!E703</x:f>
        <x:v>1.05</x:v>
      </x:c>
      <x:c r="I703" s="6" t="n">
        <x:f>'Historical prices'!D703</x:f>
        <x:v>0.2226</x:v>
      </x:c>
      <x:c r="J703" s="13" t="n">
        <x:f>D703*I703*H703</x:f>
        <x:v>0.04947285</x:v>
      </x:c>
      <x:c r="K703" s="13" t="n">
        <x:f>E703*I703*H703</x:f>
        <x:v>0.04923912</x:v>
      </x:c>
      <x:c r="L703" s="1" t="str">
        <x:f>TEXT(A703,"mmm yyyy")</x:f>
        <x:v>May 2026</x:v>
      </x:c>
    </x:row>
    <x:row r="704" ht="21" customHeight="1">
      <x:c r="A704" s="10" t="n">
        <x:v>46163</x:v>
      </x:c>
      <x:c r="B704" s="1" t="n">
        <x:v>4</x:v>
      </x:c>
      <x:c r="C704" s="1" t="n">
        <x:v>6</x:v>
      </x:c>
      <x:c r="D704" s="12" t="n">
        <x:v>0.3739166666666667</x:v>
      </x:c>
      <x:c r="E704" s="12" t="n">
        <x:v>0.3749166666666667</x:v>
      </x:c>
      <x:c r="F704" s="12" t="n">
        <x:v>0</x:v>
      </x:c>
      <x:c r="G704" s="12" t="n">
        <x:v>0</x:v>
      </x:c>
      <x:c r="H704" s="1" t="n">
        <x:f>'Historical prices'!E704</x:f>
        <x:v>1.05</x:v>
      </x:c>
      <x:c r="I704" s="6" t="n">
        <x:f>'Historical prices'!D704</x:f>
        <x:v>0.2226</x:v>
      </x:c>
      <x:c r="J704" s="13" t="n">
        <x:f>D704*I704*H704</x:f>
        <x:v>0.0873955425</x:v>
      </x:c>
      <x:c r="K704" s="13" t="n">
        <x:f>E704*I704*H704</x:f>
        <x:v>0.08762927250000001</x:v>
      </x:c>
      <x:c r="L704" s="1" t="str">
        <x:f>TEXT(A704,"mmm yyyy")</x:f>
        <x:v>May 2026</x:v>
      </x:c>
    </x:row>
    <x:row r="705" ht="21" customHeight="1">
      <x:c r="A705" s="10" t="n">
        <x:v>46163</x:v>
      </x:c>
      <x:c r="B705" s="1" t="n">
        <x:v>4.5</x:v>
      </x:c>
      <x:c r="C705" s="1" t="n">
        <x:v>6</x:v>
      </x:c>
      <x:c r="D705" s="12" t="n">
        <x:v>0.2894166666666667</x:v>
      </x:c>
      <x:c r="E705" s="12" t="n">
        <x:v>0.29041666666666666</x:v>
      </x:c>
      <x:c r="F705" s="12" t="n">
        <x:v>0</x:v>
      </x:c>
      <x:c r="G705" s="12" t="n">
        <x:v>0</x:v>
      </x:c>
      <x:c r="H705" s="1" t="n">
        <x:f>'Historical prices'!E705</x:f>
        <x:v>1.05</x:v>
      </x:c>
      <x:c r="I705" s="6" t="n">
        <x:f>'Historical prices'!D705</x:f>
        <x:v>0.2226</x:v>
      </x:c>
      <x:c r="J705" s="13" t="n">
        <x:f>D705*I705*H705</x:f>
        <x:v>0.06764535750000002</x:v>
      </x:c>
      <x:c r="K705" s="13" t="n">
        <x:f>E705*I705*H705</x:f>
        <x:v>0.06787908749999999</x:v>
      </x:c>
      <x:c r="L705" s="1" t="str">
        <x:f>TEXT(A705,"mmm yyyy")</x:f>
        <x:v>May 2026</x:v>
      </x:c>
    </x:row>
    <x:row r="706" ht="21" customHeight="1">
      <x:c r="A706" s="10" t="n">
        <x:v>46163</x:v>
      </x:c>
      <x:c r="B706" s="1" t="n">
        <x:v>5</x:v>
      </x:c>
      <x:c r="C706" s="1" t="n">
        <x:v>6</x:v>
      </x:c>
      <x:c r="D706" s="12" t="n">
        <x:v>0.27375</x:v>
      </x:c>
      <x:c r="E706" s="12" t="n">
        <x:v>0.27475</x:v>
      </x:c>
      <x:c r="F706" s="12" t="n">
        <x:v>0</x:v>
      </x:c>
      <x:c r="G706" s="12" t="n">
        <x:v>0</x:v>
      </x:c>
      <x:c r="H706" s="1" t="n">
        <x:f>'Historical prices'!E706</x:f>
        <x:v>1.05</x:v>
      </x:c>
      <x:c r="I706" s="6" t="n">
        <x:f>'Historical prices'!D706</x:f>
        <x:v>0.2226</x:v>
      </x:c>
      <x:c r="J706" s="13" t="n">
        <x:f>D706*I706*H706</x:f>
        <x:v>0.0639835875</x:v>
      </x:c>
      <x:c r="K706" s="13" t="n">
        <x:f>E706*I706*H706</x:f>
        <x:v>0.0642173175</x:v>
      </x:c>
      <x:c r="L706" s="1" t="str">
        <x:f>TEXT(A706,"mmm yyyy")</x:f>
        <x:v>May 2026</x:v>
      </x:c>
    </x:row>
    <x:row r="707" ht="21" customHeight="1">
      <x:c r="A707" s="10" t="n">
        <x:v>46163</x:v>
      </x:c>
      <x:c r="B707" s="1" t="n">
        <x:v>5.5</x:v>
      </x:c>
      <x:c r="C707" s="1" t="n">
        <x:v>6</x:v>
      </x:c>
      <x:c r="D707" s="12" t="n">
        <x:v>0.4058333333333333</x:v>
      </x:c>
      <x:c r="E707" s="12" t="n">
        <x:v>0.4038333333333333</x:v>
      </x:c>
      <x:c r="F707" s="12" t="n">
        <x:v>0</x:v>
      </x:c>
      <x:c r="G707" s="12" t="n">
        <x:v>0</x:v>
      </x:c>
      <x:c r="H707" s="1" t="n">
        <x:f>'Historical prices'!E707</x:f>
        <x:v>1.05</x:v>
      </x:c>
      <x:c r="I707" s="6" t="n">
        <x:f>'Historical prices'!D707</x:f>
        <x:v>0.2226</x:v>
      </x:c>
      <x:c r="J707" s="13" t="n">
        <x:f>D707*I707*H707</x:f>
        <x:v>0.094855425</x:v>
      </x:c>
      <x:c r="K707" s="13" t="n">
        <x:f>E707*I707*H707</x:f>
        <x:v>0.094387965</x:v>
      </x:c>
      <x:c r="L707" s="1" t="str">
        <x:f>TEXT(A707,"mmm yyyy")</x:f>
        <x:v>May 2026</x:v>
      </x:c>
    </x:row>
    <x:row r="708" ht="21" customHeight="1">
      <x:c r="A708" s="10" t="n">
        <x:v>46163</x:v>
      </x:c>
      <x:c r="B708" s="1" t="n">
        <x:v>6</x:v>
      </x:c>
      <x:c r="C708" s="1" t="n">
        <x:v>6</x:v>
      </x:c>
      <x:c r="D708" s="12" t="n">
        <x:v>0.47458333333333336</x:v>
      </x:c>
      <x:c r="E708" s="12" t="n">
        <x:v>0.47658333333333336</x:v>
      </x:c>
      <x:c r="F708" s="12" t="n">
        <x:v>0</x:v>
      </x:c>
      <x:c r="G708" s="12" t="n">
        <x:v>0</x:v>
      </x:c>
      <x:c r="H708" s="1" t="n">
        <x:f>'Historical prices'!E708</x:f>
        <x:v>1.05</x:v>
      </x:c>
      <x:c r="I708" s="6" t="n">
        <x:f>'Historical prices'!D708</x:f>
        <x:v>0.2226</x:v>
      </x:c>
      <x:c r="J708" s="13" t="n">
        <x:f>D708*I708*H708</x:f>
        <x:v>0.11092436250000001</x:v>
      </x:c>
      <x:c r="K708" s="13" t="n">
        <x:f>E708*I708*H708</x:f>
        <x:v>0.1113918225</x:v>
      </x:c>
      <x:c r="L708" s="1" t="str">
        <x:f>TEXT(A708,"mmm yyyy")</x:f>
        <x:v>May 2026</x:v>
      </x:c>
    </x:row>
    <x:row r="709" ht="21" customHeight="1">
      <x:c r="A709" s="10" t="n">
        <x:v>46163</x:v>
      </x:c>
      <x:c r="B709" s="1" t="n">
        <x:v>6.5</x:v>
      </x:c>
      <x:c r="C709" s="1" t="n">
        <x:v>6</x:v>
      </x:c>
      <x:c r="D709" s="12" t="n">
        <x:v>0.5720833333333334</x:v>
      </x:c>
      <x:c r="E709" s="12" t="n">
        <x:v>0.5720833333333334</x:v>
      </x:c>
      <x:c r="F709" s="12" t="n">
        <x:v>0</x:v>
      </x:c>
      <x:c r="G709" s="12" t="n">
        <x:v>0</x:v>
      </x:c>
      <x:c r="H709" s="1" t="n">
        <x:f>'Historical prices'!E709</x:f>
        <x:v>1.05</x:v>
      </x:c>
      <x:c r="I709" s="6" t="n">
        <x:f>'Historical prices'!D709</x:f>
        <x:v>0.2226</x:v>
      </x:c>
      <x:c r="J709" s="13" t="n">
        <x:f>D709*I709*H709</x:f>
        <x:v>0.13371303750000002</x:v>
      </x:c>
      <x:c r="K709" s="13" t="n">
        <x:f>E709*I709*H709</x:f>
        <x:v>0.13371303750000002</x:v>
      </x:c>
      <x:c r="L709" s="1" t="str">
        <x:f>TEXT(A709,"mmm yyyy")</x:f>
        <x:v>May 2026</x:v>
      </x:c>
    </x:row>
    <x:row r="710" ht="21" customHeight="1">
      <x:c r="A710" s="10" t="n">
        <x:v>46163</x:v>
      </x:c>
      <x:c r="B710" s="1" t="n">
        <x:v>7</x:v>
      </x:c>
      <x:c r="C710" s="1" t="n">
        <x:v>6</x:v>
      </x:c>
      <x:c r="D710" s="12" t="n">
        <x:v>0.47875</x:v>
      </x:c>
      <x:c r="E710" s="12" t="n">
        <x:v>0.47875</x:v>
      </x:c>
      <x:c r="F710" s="12" t="n">
        <x:v>0</x:v>
      </x:c>
      <x:c r="G710" s="12" t="n">
        <x:v>0</x:v>
      </x:c>
      <x:c r="H710" s="1" t="n">
        <x:f>'Historical prices'!E710</x:f>
        <x:v>1.05</x:v>
      </x:c>
      <x:c r="I710" s="6" t="n">
        <x:f>'Historical prices'!D710</x:f>
        <x:v>0.2226</x:v>
      </x:c>
      <x:c r="J710" s="13" t="n">
        <x:f>D710*I710*H710</x:f>
        <x:v>0.11189823750000001</x:v>
      </x:c>
      <x:c r="K710" s="13" t="n">
        <x:f>E710*I710*H710</x:f>
        <x:v>0.11189823750000001</x:v>
      </x:c>
      <x:c r="L710" s="1" t="str">
        <x:f>TEXT(A710,"mmm yyyy")</x:f>
        <x:v>May 2026</x:v>
      </x:c>
    </x:row>
    <x:row r="711" ht="21" customHeight="1">
      <x:c r="A711" s="10" t="n">
        <x:v>46163</x:v>
      </x:c>
      <x:c r="B711" s="1" t="n">
        <x:v>7.5</x:v>
      </x:c>
      <x:c r="C711" s="1" t="n">
        <x:v>6</x:v>
      </x:c>
      <x:c r="D711" s="12" t="n">
        <x:v>0.5408333333333333</x:v>
      </x:c>
      <x:c r="E711" s="12" t="n">
        <x:v>0.5408333333333333</x:v>
      </x:c>
      <x:c r="F711" s="12" t="n">
        <x:v>0</x:v>
      </x:c>
      <x:c r="G711" s="12" t="n">
        <x:v>0</x:v>
      </x:c>
      <x:c r="H711" s="1" t="n">
        <x:f>'Historical prices'!E711</x:f>
        <x:v>1.05</x:v>
      </x:c>
      <x:c r="I711" s="6" t="n">
        <x:f>'Historical prices'!D711</x:f>
        <x:v>0.2226</x:v>
      </x:c>
      <x:c r="J711" s="13" t="n">
        <x:f>D711*I711*H711</x:f>
        <x:v>0.12640897499999998</x:v>
      </x:c>
      <x:c r="K711" s="13" t="n">
        <x:f>E711*I711*H711</x:f>
        <x:v>0.12640897499999998</x:v>
      </x:c>
      <x:c r="L711" s="1" t="str">
        <x:f>TEXT(A711,"mmm yyyy")</x:f>
        <x:v>May 2026</x:v>
      </x:c>
    </x:row>
    <x:row r="712" ht="21" customHeight="1">
      <x:c r="A712" s="10" t="n">
        <x:v>46163</x:v>
      </x:c>
      <x:c r="B712" s="1" t="n">
        <x:v>8</x:v>
      </x:c>
      <x:c r="C712" s="1" t="n">
        <x:v>6</x:v>
      </x:c>
      <x:c r="D712" s="12" t="n">
        <x:v>0.6133333333333333</x:v>
      </x:c>
      <x:c r="E712" s="12" t="n">
        <x:v>0.6143333333333334</x:v>
      </x:c>
      <x:c r="F712" s="12" t="n">
        <x:v>0</x:v>
      </x:c>
      <x:c r="G712" s="12" t="n">
        <x:v>0</x:v>
      </x:c>
      <x:c r="H712" s="1" t="n">
        <x:f>'Historical prices'!E712</x:f>
        <x:v>1.05</x:v>
      </x:c>
      <x:c r="I712" s="6" t="n">
        <x:f>'Historical prices'!D712</x:f>
        <x:v>0.2226</x:v>
      </x:c>
      <x:c r="J712" s="13" t="n">
        <x:f>D712*I712*H712</x:f>
        <x:v>0.1433544</x:v>
      </x:c>
      <x:c r="K712" s="13" t="n">
        <x:f>E712*I712*H712</x:f>
        <x:v>0.14358813</x:v>
      </x:c>
      <x:c r="L712" s="1" t="str">
        <x:f>TEXT(A712,"mmm yyyy")</x:f>
        <x:v>May 2026</x:v>
      </x:c>
    </x:row>
    <x:row r="713" ht="21" customHeight="1">
      <x:c r="A713" s="10" t="n">
        <x:v>46163</x:v>
      </x:c>
      <x:c r="B713" s="1" t="n">
        <x:v>8.5</x:v>
      </x:c>
      <x:c r="C713" s="1" t="n">
        <x:v>6</x:v>
      </x:c>
      <x:c r="D713" s="12" t="n">
        <x:v>1.2915833333333335</x:v>
      </x:c>
      <x:c r="E713" s="12" t="n">
        <x:v>1.2925833333333334</x:v>
      </x:c>
      <x:c r="F713" s="12" t="n">
        <x:v>0</x:v>
      </x:c>
      <x:c r="G713" s="12" t="n">
        <x:v>0</x:v>
      </x:c>
      <x:c r="H713" s="1" t="n">
        <x:f>'Historical prices'!E713</x:f>
        <x:v>1.05</x:v>
      </x:c>
      <x:c r="I713" s="6" t="n">
        <x:f>'Historical prices'!D713</x:f>
        <x:v>0.2226</x:v>
      </x:c>
      <x:c r="J713" s="13" t="n">
        <x:f>D713*I713*H713</x:f>
        <x:v>0.30188177250000003</x:v>
      </x:c>
      <x:c r="K713" s="13" t="n">
        <x:f>E713*I713*H713</x:f>
        <x:v>0.3021155025</x:v>
      </x:c>
      <x:c r="L713" s="1" t="str">
        <x:f>TEXT(A713,"mmm yyyy")</x:f>
        <x:v>May 2026</x:v>
      </x:c>
    </x:row>
    <x:row r="714" ht="21" customHeight="1">
      <x:c r="A714" s="10" t="n">
        <x:v>46163</x:v>
      </x:c>
      <x:c r="B714" s="1" t="n">
        <x:v>9</x:v>
      </x:c>
      <x:c r="C714" s="1" t="n">
        <x:v>6</x:v>
      </x:c>
      <x:c r="D714" s="12" t="n">
        <x:v>0.493</x:v>
      </x:c>
      <x:c r="E714" s="12" t="n">
        <x:v>0.492</x:v>
      </x:c>
      <x:c r="F714" s="12" t="n">
        <x:v>0</x:v>
      </x:c>
      <x:c r="G714" s="12" t="n">
        <x:v>0</x:v>
      </x:c>
      <x:c r="H714" s="1" t="n">
        <x:f>'Historical prices'!E714</x:f>
        <x:v>1.05</x:v>
      </x:c>
      <x:c r="I714" s="6" t="n">
        <x:f>'Historical prices'!D714</x:f>
        <x:v>0.2226</x:v>
      </x:c>
      <x:c r="J714" s="13" t="n">
        <x:f>D714*I714*H714</x:f>
        <x:v>0.11522889</x:v>
      </x:c>
      <x:c r="K714" s="13" t="n">
        <x:f>E714*I714*H714</x:f>
        <x:v>0.11499516</x:v>
      </x:c>
      <x:c r="L714" s="1" t="str">
        <x:f>TEXT(A714,"mmm yyyy")</x:f>
        <x:v>May 2026</x:v>
      </x:c>
    </x:row>
    <x:row r="715" ht="21" customHeight="1">
      <x:c r="A715" s="10" t="n">
        <x:v>46163</x:v>
      </x:c>
      <x:c r="B715" s="1" t="n">
        <x:v>9.5</x:v>
      </x:c>
      <x:c r="C715" s="1" t="n">
        <x:v>6</x:v>
      </x:c>
      <x:c r="D715" s="12" t="n">
        <x:v>0.6204166666666666</x:v>
      </x:c>
      <x:c r="E715" s="12" t="n">
        <x:v>0.6204166666666666</x:v>
      </x:c>
      <x:c r="F715" s="12" t="n">
        <x:v>0</x:v>
      </x:c>
      <x:c r="G715" s="12" t="n">
        <x:v>0</x:v>
      </x:c>
      <x:c r="H715" s="1" t="n">
        <x:f>'Historical prices'!E715</x:f>
        <x:v>1.05</x:v>
      </x:c>
      <x:c r="I715" s="6" t="n">
        <x:f>'Historical prices'!D715</x:f>
        <x:v>0.2226</x:v>
      </x:c>
      <x:c r="J715" s="13" t="n">
        <x:f>D715*I715*H715</x:f>
        <x:v>0.14500998749999996</x:v>
      </x:c>
      <x:c r="K715" s="13" t="n">
        <x:f>E715*I715*H715</x:f>
        <x:v>0.14500998749999996</x:v>
      </x:c>
      <x:c r="L715" s="1" t="str">
        <x:f>TEXT(A715,"mmm yyyy")</x:f>
        <x:v>May 2026</x:v>
      </x:c>
    </x:row>
    <x:row r="716" ht="21" customHeight="1">
      <x:c r="A716" s="10" t="n">
        <x:v>46163</x:v>
      </x:c>
      <x:c r="B716" s="1" t="n">
        <x:v>10</x:v>
      </x:c>
      <x:c r="C716" s="1" t="n">
        <x:v>6</x:v>
      </x:c>
      <x:c r="D716" s="12" t="n">
        <x:v>0.57425</x:v>
      </x:c>
      <x:c r="E716" s="12" t="n">
        <x:v>0.57525</x:v>
      </x:c>
      <x:c r="F716" s="12" t="n">
        <x:v>0</x:v>
      </x:c>
      <x:c r="G716" s="12" t="n">
        <x:v>0</x:v>
      </x:c>
      <x:c r="H716" s="1" t="n">
        <x:f>'Historical prices'!E716</x:f>
        <x:v>1.05</x:v>
      </x:c>
      <x:c r="I716" s="6" t="n">
        <x:f>'Historical prices'!D716</x:f>
        <x:v>0.2226</x:v>
      </x:c>
      <x:c r="J716" s="13" t="n">
        <x:f>D716*I716*H716</x:f>
        <x:v>0.1342194525</x:v>
      </x:c>
      <x:c r="K716" s="13" t="n">
        <x:f>E716*I716*H716</x:f>
        <x:v>0.13445318250000002</x:v>
      </x:c>
      <x:c r="L716" s="1" t="str">
        <x:f>TEXT(A716,"mmm yyyy")</x:f>
        <x:v>May 2026</x:v>
      </x:c>
    </x:row>
    <x:row r="717" ht="21" customHeight="1">
      <x:c r="A717" s="10" t="n">
        <x:v>46163</x:v>
      </x:c>
      <x:c r="B717" s="1" t="n">
        <x:v>10.5</x:v>
      </x:c>
      <x:c r="C717" s="1" t="n">
        <x:v>6</x:v>
      </x:c>
      <x:c r="D717" s="12" t="n">
        <x:v>0.4395833333333333</x:v>
      </x:c>
      <x:c r="E717" s="12" t="n">
        <x:v>0.4385833333333333</x:v>
      </x:c>
      <x:c r="F717" s="12" t="n">
        <x:v>0</x:v>
      </x:c>
      <x:c r="G717" s="12" t="n">
        <x:v>0</x:v>
      </x:c>
      <x:c r="H717" s="1" t="n">
        <x:f>'Historical prices'!E717</x:f>
        <x:v>1.05</x:v>
      </x:c>
      <x:c r="I717" s="6" t="n">
        <x:f>'Historical prices'!D717</x:f>
        <x:v>0.2226</x:v>
      </x:c>
      <x:c r="J717" s="13" t="n">
        <x:f>D717*I717*H717</x:f>
        <x:v>0.1027438125</x:v>
      </x:c>
      <x:c r="K717" s="13" t="n">
        <x:f>E717*I717*H717</x:f>
        <x:v>0.1025100825</x:v>
      </x:c>
      <x:c r="L717" s="1" t="str">
        <x:f>TEXT(A717,"mmm yyyy")</x:f>
        <x:v>May 2026</x:v>
      </x:c>
    </x:row>
    <x:row r="718" ht="21" customHeight="1">
      <x:c r="A718" s="10" t="n">
        <x:v>46163</x:v>
      </x:c>
      <x:c r="B718" s="1" t="n">
        <x:v>11</x:v>
      </x:c>
      <x:c r="C718" s="1" t="n">
        <x:v>6</x:v>
      </x:c>
      <x:c r="D718" s="12" t="n">
        <x:v>0.4966666666666667</x:v>
      </x:c>
      <x:c r="E718" s="12" t="n">
        <x:v>0.4976666666666667</x:v>
      </x:c>
      <x:c r="F718" s="12" t="n">
        <x:v>0</x:v>
      </x:c>
      <x:c r="G718" s="12" t="n">
        <x:v>0</x:v>
      </x:c>
      <x:c r="H718" s="1" t="n">
        <x:f>'Historical prices'!E718</x:f>
        <x:v>1.05</x:v>
      </x:c>
      <x:c r="I718" s="6" t="n">
        <x:f>'Historical prices'!D718</x:f>
        <x:v>0.2226</x:v>
      </x:c>
      <x:c r="J718" s="13" t="n">
        <x:f>D718*I718*H718</x:f>
        <x:v>0.1160859</x:v>
      </x:c>
      <x:c r="K718" s="13" t="n">
        <x:f>E718*I718*H718</x:f>
        <x:v>0.11631963000000001</x:v>
      </x:c>
      <x:c r="L718" s="1" t="str">
        <x:f>TEXT(A718,"mmm yyyy")</x:f>
        <x:v>May 2026</x:v>
      </x:c>
    </x:row>
    <x:row r="719" ht="21" customHeight="1">
      <x:c r="A719" s="10" t="n">
        <x:v>46163</x:v>
      </x:c>
      <x:c r="B719" s="1" t="n">
        <x:v>11.5</x:v>
      </x:c>
      <x:c r="C719" s="1" t="n">
        <x:v>6</x:v>
      </x:c>
      <x:c r="D719" s="12" t="n">
        <x:v>0.5148333333333333</x:v>
      </x:c>
      <x:c r="E719" s="12" t="n">
        <x:v>0.5148333333333333</x:v>
      </x:c>
      <x:c r="F719" s="12" t="n">
        <x:v>0</x:v>
      </x:c>
      <x:c r="G719" s="12" t="n">
        <x:v>0</x:v>
      </x:c>
      <x:c r="H719" s="1" t="n">
        <x:f>'Historical prices'!E719</x:f>
        <x:v>1.05</x:v>
      </x:c>
      <x:c r="I719" s="6" t="n">
        <x:f>'Historical prices'!D719</x:f>
        <x:v>0.2226</x:v>
      </x:c>
      <x:c r="J719" s="13" t="n">
        <x:f>D719*I719*H719</x:f>
        <x:v>0.12033199499999998</x:v>
      </x:c>
      <x:c r="K719" s="13" t="n">
        <x:f>E719*I719*H719</x:f>
        <x:v>0.12033199499999998</x:v>
      </x:c>
      <x:c r="L719" s="1" t="str">
        <x:f>TEXT(A719,"mmm yyyy")</x:f>
        <x:v>May 2026</x:v>
      </x:c>
    </x:row>
    <x:row r="720" ht="21" customHeight="1">
      <x:c r="A720" s="10" t="n">
        <x:v>46163</x:v>
      </x:c>
      <x:c r="B720" s="1" t="n">
        <x:v>12</x:v>
      </x:c>
      <x:c r="C720" s="1" t="n">
        <x:v>6</x:v>
      </x:c>
      <x:c r="D720" s="12" t="n">
        <x:v>0.35091666666666665</x:v>
      </x:c>
      <x:c r="E720" s="12" t="n">
        <x:v>0.35091666666666665</x:v>
      </x:c>
      <x:c r="F720" s="12" t="n">
        <x:v>0</x:v>
      </x:c>
      <x:c r="G720" s="12" t="n">
        <x:v>0</x:v>
      </x:c>
      <x:c r="H720" s="1" t="n">
        <x:f>'Historical prices'!E720</x:f>
        <x:v>1.05</x:v>
      </x:c>
      <x:c r="I720" s="6" t="n">
        <x:f>'Historical prices'!D720</x:f>
        <x:v>0.2226</x:v>
      </x:c>
      <x:c r="J720" s="13" t="n">
        <x:f>D720*I720*H720</x:f>
        <x:v>0.08201975249999999</x:v>
      </x:c>
      <x:c r="K720" s="13" t="n">
        <x:f>E720*I720*H720</x:f>
        <x:v>0.08201975249999999</x:v>
      </x:c>
      <x:c r="L720" s="1" t="str">
        <x:f>TEXT(A720,"mmm yyyy")</x:f>
        <x:v>May 2026</x:v>
      </x:c>
    </x:row>
    <x:row r="721" ht="21" customHeight="1">
      <x:c r="A721" s="10" t="n">
        <x:v>46163</x:v>
      </x:c>
      <x:c r="B721" s="1" t="n">
        <x:v>12.5</x:v>
      </x:c>
      <x:c r="C721" s="1" t="n">
        <x:v>6</x:v>
      </x:c>
      <x:c r="D721" s="12" t="n">
        <x:v>0.29291666666666666</x:v>
      </x:c>
      <x:c r="E721" s="12" t="n">
        <x:v>0.29191666666666666</x:v>
      </x:c>
      <x:c r="F721" s="12" t="n">
        <x:v>0</x:v>
      </x:c>
      <x:c r="G721" s="12" t="n">
        <x:v>0</x:v>
      </x:c>
      <x:c r="H721" s="1" t="n">
        <x:f>'Historical prices'!E721</x:f>
        <x:v>1.05</x:v>
      </x:c>
      <x:c r="I721" s="6" t="n">
        <x:f>'Historical prices'!D721</x:f>
        <x:v>0.2226</x:v>
      </x:c>
      <x:c r="J721" s="13" t="n">
        <x:f>D721*I721*H721</x:f>
        <x:v>0.06846341249999999</x:v>
      </x:c>
      <x:c r="K721" s="13" t="n">
        <x:f>E721*I721*H721</x:f>
        <x:v>0.0682296825</x:v>
      </x:c>
      <x:c r="L721" s="1" t="str">
        <x:f>TEXT(A721,"mmm yyyy")</x:f>
        <x:v>May 2026</x:v>
      </x:c>
    </x:row>
    <x:row r="722" ht="21" customHeight="1">
      <x:c r="A722" s="10" t="n">
        <x:v>46163</x:v>
      </x:c>
      <x:c r="B722" s="1" t="n">
        <x:v>13</x:v>
      </x:c>
      <x:c r="C722" s="1" t="n">
        <x:v>6</x:v>
      </x:c>
      <x:c r="D722" s="12" t="n">
        <x:v>0.35416666666666663</x:v>
      </x:c>
      <x:c r="E722" s="12" t="n">
        <x:v>0.35616666666666663</x:v>
      </x:c>
      <x:c r="F722" s="12" t="n">
        <x:v>0</x:v>
      </x:c>
      <x:c r="G722" s="12" t="n">
        <x:v>0</x:v>
      </x:c>
      <x:c r="H722" s="1" t="n">
        <x:f>'Historical prices'!E722</x:f>
        <x:v>1.05</x:v>
      </x:c>
      <x:c r="I722" s="6" t="n">
        <x:f>'Historical prices'!D722</x:f>
        <x:v>0.2226</x:v>
      </x:c>
      <x:c r="J722" s="13" t="n">
        <x:f>D722*I722*H722</x:f>
        <x:v>0.08277937499999999</x:v>
      </x:c>
      <x:c r="K722" s="13" t="n">
        <x:f>E722*I722*H722</x:f>
        <x:v>0.08324683499999999</x:v>
      </x:c>
      <x:c r="L722" s="1" t="str">
        <x:f>TEXT(A722,"mmm yyyy")</x:f>
        <x:v>May 2026</x:v>
      </x:c>
    </x:row>
    <x:row r="723" ht="21" customHeight="1">
      <x:c r="A723" s="10" t="n">
        <x:v>46163</x:v>
      </x:c>
      <x:c r="B723" s="1" t="n">
        <x:v>13.5</x:v>
      </x:c>
      <x:c r="C723" s="1" t="n">
        <x:v>6</x:v>
      </x:c>
      <x:c r="D723" s="12" t="n">
        <x:v>0.38891666666666663</x:v>
      </x:c>
      <x:c r="E723" s="12" t="n">
        <x:v>0.38691666666666663</x:v>
      </x:c>
      <x:c r="F723" s="12" t="n">
        <x:v>0</x:v>
      </x:c>
      <x:c r="G723" s="12" t="n">
        <x:v>0</x:v>
      </x:c>
      <x:c r="H723" s="1" t="n">
        <x:f>'Historical prices'!E723</x:f>
        <x:v>1.05</x:v>
      </x:c>
      <x:c r="I723" s="6" t="n">
        <x:f>'Historical prices'!D723</x:f>
        <x:v>0.2226</x:v>
      </x:c>
      <x:c r="J723" s="13" t="n">
        <x:f>D723*I723*H723</x:f>
        <x:v>0.0909014925</x:v>
      </x:c>
      <x:c r="K723" s="13" t="n">
        <x:f>E723*I723*H723</x:f>
        <x:v>0.09043403249999998</x:v>
      </x:c>
      <x:c r="L723" s="1" t="str">
        <x:f>TEXT(A723,"mmm yyyy")</x:f>
        <x:v>May 2026</x:v>
      </x:c>
    </x:row>
    <x:row r="724" ht="21" customHeight="1">
      <x:c r="A724" s="10" t="n">
        <x:v>46163</x:v>
      </x:c>
      <x:c r="B724" s="1" t="n">
        <x:v>14</x:v>
      </x:c>
      <x:c r="C724" s="1" t="n">
        <x:v>6</x:v>
      </x:c>
      <x:c r="D724" s="12" t="n">
        <x:v>0.3050833333333333</x:v>
      </x:c>
      <x:c r="E724" s="12" t="n">
        <x:v>0.3070833333333333</x:v>
      </x:c>
      <x:c r="F724" s="12" t="n">
        <x:v>0</x:v>
      </x:c>
      <x:c r="G724" s="12" t="n">
        <x:v>0</x:v>
      </x:c>
      <x:c r="H724" s="1" t="n">
        <x:f>'Historical prices'!E724</x:f>
        <x:v>1.05</x:v>
      </x:c>
      <x:c r="I724" s="6" t="n">
        <x:f>'Historical prices'!D724</x:f>
        <x:v>0.2226</x:v>
      </x:c>
      <x:c r="J724" s="13" t="n">
        <x:f>D724*I724*H724</x:f>
        <x:v>0.07130712749999998</x:v>
      </x:c>
      <x:c r="K724" s="13" t="n">
        <x:f>E724*I724*H724</x:f>
        <x:v>0.0717745875</x:v>
      </x:c>
      <x:c r="L724" s="1" t="str">
        <x:f>TEXT(A724,"mmm yyyy")</x:f>
        <x:v>May 2026</x:v>
      </x:c>
    </x:row>
    <x:row r="725" ht="21" customHeight="1">
      <x:c r="A725" s="10" t="n">
        <x:v>46163</x:v>
      </x:c>
      <x:c r="B725" s="1" t="n">
        <x:v>14.5</x:v>
      </x:c>
      <x:c r="C725" s="1" t="n">
        <x:v>6</x:v>
      </x:c>
      <x:c r="D725" s="12" t="n">
        <x:v>0.34075</x:v>
      </x:c>
      <x:c r="E725" s="12" t="n">
        <x:v>0.33975</x:v>
      </x:c>
      <x:c r="F725" s="12" t="n">
        <x:v>0</x:v>
      </x:c>
      <x:c r="G725" s="12" t="n">
        <x:v>0</x:v>
      </x:c>
      <x:c r="H725" s="1" t="n">
        <x:f>'Historical prices'!E725</x:f>
        <x:v>1.05</x:v>
      </x:c>
      <x:c r="I725" s="6" t="n">
        <x:f>'Historical prices'!D725</x:f>
        <x:v>0.2226</x:v>
      </x:c>
      <x:c r="J725" s="13" t="n">
        <x:f>D725*I725*H725</x:f>
        <x:v>0.07964349750000001</x:v>
      </x:c>
      <x:c r="K725" s="13" t="n">
        <x:f>E725*I725*H725</x:f>
        <x:v>0.0794097675</x:v>
      </x:c>
      <x:c r="L725" s="1" t="str">
        <x:f>TEXT(A725,"mmm yyyy")</x:f>
        <x:v>May 2026</x:v>
      </x:c>
    </x:row>
    <x:row r="726" ht="21" customHeight="1">
      <x:c r="A726" s="10" t="n">
        <x:v>46163</x:v>
      </x:c>
      <x:c r="B726" s="1" t="n">
        <x:v>15</x:v>
      </x:c>
      <x:c r="C726" s="1" t="n">
        <x:v>6</x:v>
      </x:c>
      <x:c r="D726" s="12" t="n">
        <x:v>0.38541666666666663</x:v>
      </x:c>
      <x:c r="E726" s="12" t="n">
        <x:v>0.38641666666666663</x:v>
      </x:c>
      <x:c r="F726" s="12" t="n">
        <x:v>0</x:v>
      </x:c>
      <x:c r="G726" s="12" t="n">
        <x:v>0</x:v>
      </x:c>
      <x:c r="H726" s="1" t="n">
        <x:f>'Historical prices'!E726</x:f>
        <x:v>1.05</x:v>
      </x:c>
      <x:c r="I726" s="6" t="n">
        <x:f>'Historical prices'!D726</x:f>
        <x:v>0.2226</x:v>
      </x:c>
      <x:c r="J726" s="13" t="n">
        <x:f>D726*I726*H726</x:f>
        <x:v>0.09008343749999999</x:v>
      </x:c>
      <x:c r="K726" s="13" t="n">
        <x:f>E726*I726*H726</x:f>
        <x:v>0.09031716749999999</x:v>
      </x:c>
      <x:c r="L726" s="1" t="str">
        <x:f>TEXT(A726,"mmm yyyy")</x:f>
        <x:v>May 2026</x:v>
      </x:c>
    </x:row>
    <x:row r="727" ht="21" customHeight="1">
      <x:c r="A727" s="10" t="n">
        <x:v>46163</x:v>
      </x:c>
      <x:c r="B727" s="1" t="n">
        <x:v>15.5</x:v>
      </x:c>
      <x:c r="C727" s="1" t="n">
        <x:v>6</x:v>
      </x:c>
      <x:c r="D727" s="12" t="n">
        <x:v>0.5093333333333333</x:v>
      </x:c>
      <x:c r="E727" s="12" t="n">
        <x:v>0.5083333333333333</x:v>
      </x:c>
      <x:c r="F727" s="12" t="n">
        <x:v>0</x:v>
      </x:c>
      <x:c r="G727" s="12" t="n">
        <x:v>0</x:v>
      </x:c>
      <x:c r="H727" s="1" t="n">
        <x:f>'Historical prices'!E727</x:f>
        <x:v>1.05</x:v>
      </x:c>
      <x:c r="I727" s="6" t="n">
        <x:f>'Historical prices'!D727</x:f>
        <x:v>0.2226</x:v>
      </x:c>
      <x:c r="J727" s="13" t="n">
        <x:f>D727*I727*H727</x:f>
        <x:v>0.11904648</x:v>
      </x:c>
      <x:c r="K727" s="13" t="n">
        <x:f>E727*I727*H727</x:f>
        <x:v>0.11881275</x:v>
      </x:c>
      <x:c r="L727" s="1" t="str">
        <x:f>TEXT(A727,"mmm yyyy")</x:f>
        <x:v>May 2026</x:v>
      </x:c>
    </x:row>
    <x:row r="728" ht="21" customHeight="1">
      <x:c r="A728" s="10" t="n">
        <x:v>46163</x:v>
      </x:c>
      <x:c r="B728" s="1" t="n">
        <x:v>16</x:v>
      </x:c>
      <x:c r="C728" s="1" t="n">
        <x:v>6</x:v>
      </x:c>
      <x:c r="D728" s="12" t="n">
        <x:v>0.4385</x:v>
      </x:c>
      <x:c r="E728" s="12" t="n">
        <x:v>0.44049999999999995</x:v>
      </x:c>
      <x:c r="F728" s="12" t="n">
        <x:v>0</x:v>
      </x:c>
      <x:c r="G728" s="12" t="n">
        <x:v>0</x:v>
      </x:c>
      <x:c r="H728" s="1" t="n">
        <x:f>'Historical prices'!E728</x:f>
        <x:v>1.05</x:v>
      </x:c>
      <x:c r="I728" s="6" t="n">
        <x:f>'Historical prices'!D728</x:f>
        <x:v>0.2226</x:v>
      </x:c>
      <x:c r="J728" s="13" t="n">
        <x:f>D728*I728*H728</x:f>
        <x:v>0.102490605</x:v>
      </x:c>
      <x:c r="K728" s="13" t="n">
        <x:f>E728*I728*H728</x:f>
        <x:v>0.10295806499999999</x:v>
      </x:c>
      <x:c r="L728" s="1" t="str">
        <x:f>TEXT(A728,"mmm yyyy")</x:f>
        <x:v>May 2026</x:v>
      </x:c>
    </x:row>
    <x:row r="729" ht="21" customHeight="1">
      <x:c r="A729" s="10" t="n">
        <x:v>46163</x:v>
      </x:c>
      <x:c r="B729" s="1" t="n">
        <x:v>16.5</x:v>
      </x:c>
      <x:c r="C729" s="1" t="n">
        <x:v>6</x:v>
      </x:c>
      <x:c r="D729" s="12" t="n">
        <x:v>0.46558333333333335</x:v>
      </x:c>
      <x:c r="E729" s="12" t="n">
        <x:v>0.46458333333333335</x:v>
      </x:c>
      <x:c r="F729" s="12" t="n">
        <x:v>0</x:v>
      </x:c>
      <x:c r="G729" s="12" t="n">
        <x:v>0</x:v>
      </x:c>
      <x:c r="H729" s="1" t="n">
        <x:f>'Historical prices'!E729</x:f>
        <x:v>1.05</x:v>
      </x:c>
      <x:c r="I729" s="6" t="n">
        <x:f>'Historical prices'!D729</x:f>
        <x:v>0.2226</x:v>
      </x:c>
      <x:c r="J729" s="13" t="n">
        <x:f>D729*I729*H729</x:f>
        <x:v>0.10882079250000001</x:v>
      </x:c>
      <x:c r="K729" s="13" t="n">
        <x:f>E729*I729*H729</x:f>
        <x:v>0.10858706250000001</x:v>
      </x:c>
      <x:c r="L729" s="1" t="str">
        <x:f>TEXT(A729,"mmm yyyy")</x:f>
        <x:v>May 2026</x:v>
      </x:c>
    </x:row>
    <x:row r="730" ht="21" customHeight="1">
      <x:c r="A730" s="10" t="n">
        <x:v>46163</x:v>
      </x:c>
      <x:c r="B730" s="1" t="n">
        <x:v>17</x:v>
      </x:c>
      <x:c r="C730" s="1" t="n">
        <x:v>6</x:v>
      </x:c>
      <x:c r="D730" s="12" t="n">
        <x:v>0.9759166666666665</x:v>
      </x:c>
      <x:c r="E730" s="12" t="n">
        <x:v>0.9769166666666667</x:v>
      </x:c>
      <x:c r="F730" s="12" t="n">
        <x:v>0</x:v>
      </x:c>
      <x:c r="G730" s="12" t="n">
        <x:v>0</x:v>
      </x:c>
      <x:c r="H730" s="1" t="n">
        <x:f>'Historical prices'!E730</x:f>
        <x:v>1.05</x:v>
      </x:c>
      <x:c r="I730" s="6" t="n">
        <x:f>'Historical prices'!D730</x:f>
        <x:v>0.2226</x:v>
      </x:c>
      <x:c r="J730" s="13" t="n">
        <x:f>D730*I730*H730</x:f>
        <x:v>0.22810100249999996</x:v>
      </x:c>
      <x:c r="K730" s="13" t="n">
        <x:f>E730*I730*H730</x:f>
        <x:v>0.2283347325</x:v>
      </x:c>
      <x:c r="L730" s="1" t="str">
        <x:f>TEXT(A730,"mmm yyyy")</x:f>
        <x:v>May 2026</x:v>
      </x:c>
    </x:row>
    <x:row r="731" ht="21" customHeight="1">
      <x:c r="A731" s="10" t="n">
        <x:v>46163</x:v>
      </x:c>
      <x:c r="B731" s="1" t="n">
        <x:v>17.5</x:v>
      </x:c>
      <x:c r="C731" s="1" t="n">
        <x:v>6</x:v>
      </x:c>
      <x:c r="D731" s="12" t="n">
        <x:v>0.7118333333333333</x:v>
      </x:c>
      <x:c r="E731" s="12" t="n">
        <x:v>0.7108333333333333</x:v>
      </x:c>
      <x:c r="F731" s="12" t="n">
        <x:v>0</x:v>
      </x:c>
      <x:c r="G731" s="12" t="n">
        <x:v>0</x:v>
      </x:c>
      <x:c r="H731" s="1" t="n">
        <x:f>'Historical prices'!E731</x:f>
        <x:v>1.05</x:v>
      </x:c>
      <x:c r="I731" s="6" t="n">
        <x:f>'Historical prices'!D731</x:f>
        <x:v>0.2226</x:v>
      </x:c>
      <x:c r="J731" s="13" t="n">
        <x:f>D731*I731*H731</x:f>
        <x:v>0.166376805</x:v>
      </x:c>
      <x:c r="K731" s="13" t="n">
        <x:f>E731*I731*H731</x:f>
        <x:v>0.166143075</x:v>
      </x:c>
      <x:c r="L731" s="1" t="str">
        <x:f>TEXT(A731,"mmm yyyy")</x:f>
        <x:v>May 2026</x:v>
      </x:c>
    </x:row>
    <x:row r="732" ht="21" customHeight="1">
      <x:c r="A732" s="10" t="n">
        <x:v>46163</x:v>
      </x:c>
      <x:c r="B732" s="1" t="n">
        <x:v>18</x:v>
      </x:c>
      <x:c r="C732" s="1" t="n">
        <x:v>6</x:v>
      </x:c>
      <x:c r="D732" s="12" t="n">
        <x:v>0.4996666666666667</x:v>
      </x:c>
      <x:c r="E732" s="12" t="n">
        <x:v>0.5006666666666667</x:v>
      </x:c>
      <x:c r="F732" s="12" t="n">
        <x:v>0</x:v>
      </x:c>
      <x:c r="G732" s="12" t="n">
        <x:v>0</x:v>
      </x:c>
      <x:c r="H732" s="1" t="n">
        <x:f>'Historical prices'!E732</x:f>
        <x:v>1.05</x:v>
      </x:c>
      <x:c r="I732" s="6" t="n">
        <x:f>'Historical prices'!D732</x:f>
        <x:v>0.2226</x:v>
      </x:c>
      <x:c r="J732" s="13" t="n">
        <x:f>D732*I732*H732</x:f>
        <x:v>0.11678709000000001</x:v>
      </x:c>
      <x:c r="K732" s="13" t="n">
        <x:f>E732*I732*H732</x:f>
        <x:v>0.11702082000000001</x:v>
      </x:c>
      <x:c r="L732" s="1" t="str">
        <x:f>TEXT(A732,"mmm yyyy")</x:f>
        <x:v>May 2026</x:v>
      </x:c>
    </x:row>
    <x:row r="733" ht="21" customHeight="1">
      <x:c r="A733" s="10" t="n">
        <x:v>46163</x:v>
      </x:c>
      <x:c r="B733" s="1" t="n">
        <x:v>18.5</x:v>
      </x:c>
      <x:c r="C733" s="1" t="n">
        <x:v>6</x:v>
      </x:c>
      <x:c r="D733" s="12" t="n">
        <x:v>0.7935</x:v>
      </x:c>
      <x:c r="E733" s="12" t="n">
        <x:v>0.7945</x:v>
      </x:c>
      <x:c r="F733" s="12" t="n">
        <x:v>0</x:v>
      </x:c>
      <x:c r="G733" s="12" t="n">
        <x:v>0</x:v>
      </x:c>
      <x:c r="H733" s="1" t="n">
        <x:f>'Historical prices'!E733</x:f>
        <x:v>1.05</x:v>
      </x:c>
      <x:c r="I733" s="6" t="n">
        <x:f>'Historical prices'!D733</x:f>
        <x:v>0.2226</x:v>
      </x:c>
      <x:c r="J733" s="13" t="n">
        <x:f>D733*I733*H733</x:f>
        <x:v>0.18546475499999998</x:v>
      </x:c>
      <x:c r="K733" s="13" t="n">
        <x:f>E733*I733*H733</x:f>
        <x:v>0.185698485</x:v>
      </x:c>
      <x:c r="L733" s="1" t="str">
        <x:f>TEXT(A733,"mmm yyyy")</x:f>
        <x:v>May 2026</x:v>
      </x:c>
    </x:row>
    <x:row r="734" ht="21" customHeight="1">
      <x:c r="A734" s="10" t="n">
        <x:v>46163</x:v>
      </x:c>
      <x:c r="B734" s="1" t="n">
        <x:v>19</x:v>
      </x:c>
      <x:c r="C734" s="1" t="n">
        <x:v>6</x:v>
      </x:c>
      <x:c r="D734" s="12" t="n">
        <x:v>0.46208333333333335</x:v>
      </x:c>
      <x:c r="E734" s="12" t="n">
        <x:v>0.46208333333333335</x:v>
      </x:c>
      <x:c r="F734" s="12" t="n">
        <x:v>0</x:v>
      </x:c>
      <x:c r="G734" s="12" t="n">
        <x:v>0</x:v>
      </x:c>
      <x:c r="H734" s="1" t="n">
        <x:f>'Historical prices'!E734</x:f>
        <x:v>1.05</x:v>
      </x:c>
      <x:c r="I734" s="6" t="n">
        <x:f>'Historical prices'!D734</x:f>
        <x:v>0.2226</x:v>
      </x:c>
      <x:c r="J734" s="13" t="n">
        <x:f>D734*I734*H734</x:f>
        <x:v>0.1080027375</x:v>
      </x:c>
      <x:c r="K734" s="13" t="n">
        <x:f>E734*I734*H734</x:f>
        <x:v>0.1080027375</x:v>
      </x:c>
      <x:c r="L734" s="1" t="str">
        <x:f>TEXT(A734,"mmm yyyy")</x:f>
        <x:v>May 2026</x:v>
      </x:c>
    </x:row>
    <x:row r="735" ht="21" customHeight="1">
      <x:c r="A735" s="10" t="n">
        <x:v>46163</x:v>
      </x:c>
      <x:c r="B735" s="1" t="n">
        <x:v>19.5</x:v>
      </x:c>
      <x:c r="C735" s="1" t="n">
        <x:v>6</x:v>
      </x:c>
      <x:c r="D735" s="12" t="n">
        <x:v>0.7253333333333334</x:v>
      </x:c>
      <x:c r="E735" s="12" t="n">
        <x:v>0.7253333333333334</x:v>
      </x:c>
      <x:c r="F735" s="12" t="n">
        <x:v>0</x:v>
      </x:c>
      <x:c r="G735" s="12" t="n">
        <x:v>0</x:v>
      </x:c>
      <x:c r="H735" s="1" t="n">
        <x:f>'Historical prices'!E735</x:f>
        <x:v>1.05</x:v>
      </x:c>
      <x:c r="I735" s="6" t="n">
        <x:f>'Historical prices'!D735</x:f>
        <x:v>0.2226</x:v>
      </x:c>
      <x:c r="J735" s="13" t="n">
        <x:f>D735*I735*H735</x:f>
        <x:v>0.16953216000000002</x:v>
      </x:c>
      <x:c r="K735" s="13" t="n">
        <x:f>E735*I735*H735</x:f>
        <x:v>0.16953216000000002</x:v>
      </x:c>
      <x:c r="L735" s="1" t="str">
        <x:f>TEXT(A735,"mmm yyyy")</x:f>
        <x:v>May 2026</x:v>
      </x:c>
    </x:row>
    <x:row r="736" ht="21" customHeight="1">
      <x:c r="A736" s="10" t="n">
        <x:v>46163</x:v>
      </x:c>
      <x:c r="B736" s="1" t="n">
        <x:v>20</x:v>
      </x:c>
      <x:c r="C736" s="1" t="n">
        <x:v>6</x:v>
      </x:c>
      <x:c r="D736" s="12" t="n">
        <x:v>0.6085</x:v>
      </x:c>
      <x:c r="E736" s="12" t="n">
        <x:v>0.6085</x:v>
      </x:c>
      <x:c r="F736" s="12" t="n">
        <x:v>0</x:v>
      </x:c>
      <x:c r="G736" s="12" t="n">
        <x:v>0</x:v>
      </x:c>
      <x:c r="H736" s="1" t="n">
        <x:f>'Historical prices'!E736</x:f>
        <x:v>1.05</x:v>
      </x:c>
      <x:c r="I736" s="6" t="n">
        <x:f>'Historical prices'!D736</x:f>
        <x:v>0.2226</x:v>
      </x:c>
      <x:c r="J736" s="13" t="n">
        <x:f>D736*I736*H736</x:f>
        <x:v>0.142224705</x:v>
      </x:c>
      <x:c r="K736" s="13" t="n">
        <x:f>E736*I736*H736</x:f>
        <x:v>0.142224705</x:v>
      </x:c>
      <x:c r="L736" s="1" t="str">
        <x:f>TEXT(A736,"mmm yyyy")</x:f>
        <x:v>May 2026</x:v>
      </x:c>
    </x:row>
    <x:row r="737" ht="21" customHeight="1">
      <x:c r="A737" s="10" t="n">
        <x:v>46163</x:v>
      </x:c>
      <x:c r="B737" s="1" t="n">
        <x:v>20.5</x:v>
      </x:c>
      <x:c r="C737" s="1" t="n">
        <x:v>6</x:v>
      </x:c>
      <x:c r="D737" s="12" t="n">
        <x:v>0.5336666666666667</x:v>
      </x:c>
      <x:c r="E737" s="12" t="n">
        <x:v>0.5346666666666667</x:v>
      </x:c>
      <x:c r="F737" s="12" t="n">
        <x:v>0</x:v>
      </x:c>
      <x:c r="G737" s="12" t="n">
        <x:v>0</x:v>
      </x:c>
      <x:c r="H737" s="1" t="n">
        <x:f>'Historical prices'!E737</x:f>
        <x:v>1.05</x:v>
      </x:c>
      <x:c r="I737" s="6" t="n">
        <x:f>'Historical prices'!D737</x:f>
        <x:v>0.2226</x:v>
      </x:c>
      <x:c r="J737" s="13" t="n">
        <x:f>D737*I737*H737</x:f>
        <x:v>0.12473391000000002</x:v>
      </x:c>
      <x:c r="K737" s="13" t="n">
        <x:f>E737*I737*H737</x:f>
        <x:v>0.12496764</x:v>
      </x:c>
      <x:c r="L737" s="1" t="str">
        <x:f>TEXT(A737,"mmm yyyy")</x:f>
        <x:v>May 2026</x:v>
      </x:c>
    </x:row>
    <x:row r="738" ht="21" customHeight="1">
      <x:c r="A738" s="10" t="n">
        <x:v>46163</x:v>
      </x:c>
      <x:c r="B738" s="1" t="n">
        <x:v>21</x:v>
      </x:c>
      <x:c r="C738" s="1" t="n">
        <x:v>6</x:v>
      </x:c>
      <x:c r="D738" s="12" t="n">
        <x:v>0.48966666666666664</x:v>
      </x:c>
      <x:c r="E738" s="12" t="n">
        <x:v>0.48966666666666664</x:v>
      </x:c>
      <x:c r="F738" s="12" t="n">
        <x:v>0</x:v>
      </x:c>
      <x:c r="G738" s="12" t="n">
        <x:v>0</x:v>
      </x:c>
      <x:c r="H738" s="1" t="n">
        <x:f>'Historical prices'!E738</x:f>
        <x:v>1.05</x:v>
      </x:c>
      <x:c r="I738" s="6" t="n">
        <x:f>'Historical prices'!D738</x:f>
        <x:v>0.2226</x:v>
      </x:c>
      <x:c r="J738" s="13" t="n">
        <x:f>D738*I738*H738</x:f>
        <x:v>0.11444979</x:v>
      </x:c>
      <x:c r="K738" s="13" t="n">
        <x:f>E738*I738*H738</x:f>
        <x:v>0.11444979</x:v>
      </x:c>
      <x:c r="L738" s="1" t="str">
        <x:f>TEXT(A738,"mmm yyyy")</x:f>
        <x:v>May 2026</x:v>
      </x:c>
    </x:row>
    <x:row r="739" ht="21" customHeight="1">
      <x:c r="A739" s="10" t="n">
        <x:v>46163</x:v>
      </x:c>
      <x:c r="B739" s="1" t="n">
        <x:v>21.5</x:v>
      </x:c>
      <x:c r="C739" s="1" t="n">
        <x:v>6</x:v>
      </x:c>
      <x:c r="D739" s="12" t="n">
        <x:v>0.8555833333333334</x:v>
      </x:c>
      <x:c r="E739" s="12" t="n">
        <x:v>0.8565833333333333</x:v>
      </x:c>
      <x:c r="F739" s="12" t="n">
        <x:v>0</x:v>
      </x:c>
      <x:c r="G739" s="12" t="n">
        <x:v>0</x:v>
      </x:c>
      <x:c r="H739" s="1" t="n">
        <x:f>'Historical prices'!E739</x:f>
        <x:v>1.05</x:v>
      </x:c>
      <x:c r="I739" s="6" t="n">
        <x:f>'Historical prices'!D739</x:f>
        <x:v>0.2226</x:v>
      </x:c>
      <x:c r="J739" s="13" t="n">
        <x:f>D739*I739*H739</x:f>
        <x:v>0.19997549250000002</x:v>
      </x:c>
      <x:c r="K739" s="13" t="n">
        <x:f>E739*I739*H739</x:f>
        <x:v>0.20020922249999998</x:v>
      </x:c>
      <x:c r="L739" s="1" t="str">
        <x:f>TEXT(A739,"mmm yyyy")</x:f>
        <x:v>May 2026</x:v>
      </x:c>
    </x:row>
    <x:row r="740" ht="21" customHeight="1">
      <x:c r="A740" s="10" t="n">
        <x:v>46163</x:v>
      </x:c>
      <x:c r="B740" s="1" t="n">
        <x:v>22</x:v>
      </x:c>
      <x:c r="C740" s="1" t="n">
        <x:v>6</x:v>
      </x:c>
      <x:c r="D740" s="12" t="n">
        <x:v>0.3720833333333333</x:v>
      </x:c>
      <x:c r="E740" s="12" t="n">
        <x:v>0.3730833333333334</x:v>
      </x:c>
      <x:c r="F740" s="12" t="n">
        <x:v>0</x:v>
      </x:c>
      <x:c r="G740" s="12" t="n">
        <x:v>0</x:v>
      </x:c>
      <x:c r="H740" s="1" t="n">
        <x:f>'Historical prices'!E740</x:f>
        <x:v>1.05</x:v>
      </x:c>
      <x:c r="I740" s="6" t="n">
        <x:f>'Historical prices'!D740</x:f>
        <x:v>0.2226</x:v>
      </x:c>
      <x:c r="J740" s="13" t="n">
        <x:f>D740*I740*H740</x:f>
        <x:v>0.0869670375</x:v>
      </x:c>
      <x:c r="K740" s="13" t="n">
        <x:f>E740*I740*H740</x:f>
        <x:v>0.08720076750000001</x:v>
      </x:c>
      <x:c r="L740" s="1" t="str">
        <x:f>TEXT(A740,"mmm yyyy")</x:f>
        <x:v>May 2026</x:v>
      </x:c>
    </x:row>
    <x:row r="741" ht="21" customHeight="1">
      <x:c r="A741" s="10" t="n">
        <x:v>46163</x:v>
      </x:c>
      <x:c r="B741" s="1" t="n">
        <x:v>22.5</x:v>
      </x:c>
      <x:c r="C741" s="1" t="n">
        <x:v>6</x:v>
      </x:c>
      <x:c r="D741" s="12" t="n">
        <x:v>0.23591666666666666</x:v>
      </x:c>
      <x:c r="E741" s="12" t="n">
        <x:v>0.23691666666666666</x:v>
      </x:c>
      <x:c r="F741" s="12" t="n">
        <x:v>0</x:v>
      </x:c>
      <x:c r="G741" s="12" t="n">
        <x:v>0</x:v>
      </x:c>
      <x:c r="H741" s="1" t="n">
        <x:f>'Historical prices'!E741</x:f>
        <x:v>1.05</x:v>
      </x:c>
      <x:c r="I741" s="6" t="n">
        <x:f>'Historical prices'!D741</x:f>
        <x:v>0.2226</x:v>
      </x:c>
      <x:c r="J741" s="13" t="n">
        <x:f>D741*I741*H741</x:f>
        <x:v>0.0551408025</x:v>
      </x:c>
      <x:c r="K741" s="13" t="n">
        <x:f>E741*I741*H741</x:f>
        <x:v>0.0553745325</x:v>
      </x:c>
      <x:c r="L741" s="1" t="str">
        <x:f>TEXT(A741,"mmm yyyy")</x:f>
        <x:v>May 2026</x:v>
      </x:c>
    </x:row>
    <x:row r="742" ht="21" customHeight="1">
      <x:c r="A742" s="10" t="n">
        <x:v>46163</x:v>
      </x:c>
      <x:c r="B742" s="1" t="n">
        <x:v>23</x:v>
      </x:c>
      <x:c r="C742" s="1" t="n">
        <x:v>6</x:v>
      </x:c>
      <x:c r="D742" s="12" t="n">
        <x:v>0.2905833333333333</x:v>
      </x:c>
      <x:c r="E742" s="12" t="n">
        <x:v>0.2905833333333333</x:v>
      </x:c>
      <x:c r="F742" s="12" t="n">
        <x:v>0</x:v>
      </x:c>
      <x:c r="G742" s="12" t="n">
        <x:v>0</x:v>
      </x:c>
      <x:c r="H742" s="1" t="n">
        <x:f>'Historical prices'!E742</x:f>
        <x:v>1.05</x:v>
      </x:c>
      <x:c r="I742" s="6" t="n">
        <x:f>'Historical prices'!D742</x:f>
        <x:v>0.2226</x:v>
      </x:c>
      <x:c r="J742" s="13" t="n">
        <x:f>D742*I742*H742</x:f>
        <x:v>0.06791804249999998</x:v>
      </x:c>
      <x:c r="K742" s="13" t="n">
        <x:f>E742*I742*H742</x:f>
        <x:v>0.06791804249999998</x:v>
      </x:c>
      <x:c r="L742" s="1" t="str">
        <x:f>TEXT(A742,"mmm yyyy")</x:f>
        <x:v>May 2026</x:v>
      </x:c>
    </x:row>
    <x:row r="743" ht="21" customHeight="1">
      <x:c r="A743" s="10" t="n">
        <x:v>46163</x:v>
      </x:c>
      <x:c r="B743" s="1" t="n">
        <x:v>23.5</x:v>
      </x:c>
      <x:c r="C743" s="1" t="n">
        <x:v>6</x:v>
      </x:c>
      <x:c r="D743" s="12" t="n">
        <x:v>0.299</x:v>
      </x:c>
      <x:c r="E743" s="12" t="n">
        <x:v>0.3</x:v>
      </x:c>
      <x:c r="F743" s="12" t="n">
        <x:v>0</x:v>
      </x:c>
      <x:c r="G743" s="12" t="n">
        <x:v>0</x:v>
      </x:c>
      <x:c r="H743" s="1" t="n">
        <x:f>'Historical prices'!E743</x:f>
        <x:v>1.05</x:v>
      </x:c>
      <x:c r="I743" s="6" t="n">
        <x:f>'Historical prices'!D743</x:f>
        <x:v>0.2226</x:v>
      </x:c>
      <x:c r="J743" s="13" t="n">
        <x:f>D743*I743*H743</x:f>
        <x:v>0.06988526999999999</x:v>
      </x:c>
      <x:c r="K743" s="13" t="n">
        <x:f>E743*I743*H743</x:f>
        <x:v>0.070119</x:v>
      </x:c>
      <x:c r="L743" s="1" t="str">
        <x:f>TEXT(A743,"mmm yyyy")</x:f>
        <x:v>May 2026</x:v>
      </x:c>
    </x:row>
    <x:row r="744" ht="21" customHeight="1">
      <x:c r="A744" s="10" t="n">
        <x:v>46164</x:v>
      </x:c>
      <x:c r="B744" s="1" t="n">
        <x:v>0</x:v>
      </x:c>
      <x:c r="C744" s="1" t="n">
        <x:v>6</x:v>
      </x:c>
      <x:c r="D744" s="12" t="n">
        <x:v>0.261</x:v>
      </x:c>
      <x:c r="E744" s="12" t="n">
        <x:v>0.262</x:v>
      </x:c>
      <x:c r="F744" s="12" t="n">
        <x:v>0</x:v>
      </x:c>
      <x:c r="G744" s="12" t="n">
        <x:v>0</x:v>
      </x:c>
      <x:c r="H744" s="1" t="n">
        <x:f>'Historical prices'!E744</x:f>
        <x:v>1.05</x:v>
      </x:c>
      <x:c r="I744" s="6" t="n">
        <x:f>'Historical prices'!D744</x:f>
        <x:v>0.2226</x:v>
      </x:c>
      <x:c r="J744" s="13" t="n">
        <x:f>D744*I744*H744</x:f>
        <x:v>0.06100353</x:v>
      </x:c>
      <x:c r="K744" s="13" t="n">
        <x:f>E744*I744*H744</x:f>
        <x:v>0.06123726000000001</x:v>
      </x:c>
      <x:c r="L744" s="1" t="str">
        <x:f>TEXT(A744,"mmm yyyy")</x:f>
        <x:v>May 2026</x:v>
      </x:c>
    </x:row>
    <x:row r="745" ht="21" customHeight="1">
      <x:c r="A745" s="10" t="n">
        <x:v>46164</x:v>
      </x:c>
      <x:c r="B745" s="1" t="n">
        <x:v>0.5</x:v>
      </x:c>
      <x:c r="C745" s="1" t="n">
        <x:v>6</x:v>
      </x:c>
      <x:c r="D745" s="12" t="n">
        <x:v>0.2520833333333333</x:v>
      </x:c>
      <x:c r="E745" s="12" t="n">
        <x:v>0.2520833333333333</x:v>
      </x:c>
      <x:c r="F745" s="12" t="n">
        <x:v>0</x:v>
      </x:c>
      <x:c r="G745" s="12" t="n">
        <x:v>0</x:v>
      </x:c>
      <x:c r="H745" s="1" t="n">
        <x:f>'Historical prices'!E745</x:f>
        <x:v>1.05</x:v>
      </x:c>
      <x:c r="I745" s="6" t="n">
        <x:f>'Historical prices'!D745</x:f>
        <x:v>0.2226</x:v>
      </x:c>
      <x:c r="J745" s="13" t="n">
        <x:f>D745*I745*H745</x:f>
        <x:v>0.0589194375</x:v>
      </x:c>
      <x:c r="K745" s="13" t="n">
        <x:f>E745*I745*H745</x:f>
        <x:v>0.0589194375</x:v>
      </x:c>
      <x:c r="L745" s="1" t="str">
        <x:f>TEXT(A745,"mmm yyyy")</x:f>
        <x:v>May 2026</x:v>
      </x:c>
    </x:row>
    <x:row r="746" ht="21" customHeight="1">
      <x:c r="A746" s="10" t="n">
        <x:v>46164</x:v>
      </x:c>
      <x:c r="B746" s="1" t="n">
        <x:v>1</x:v>
      </x:c>
      <x:c r="C746" s="1" t="n">
        <x:v>6</x:v>
      </x:c>
      <x:c r="D746" s="12" t="n">
        <x:v>0.2563333333333333</x:v>
      </x:c>
      <x:c r="E746" s="12" t="n">
        <x:v>0.2563333333333333</x:v>
      </x:c>
      <x:c r="F746" s="12" t="n">
        <x:v>0</x:v>
      </x:c>
      <x:c r="G746" s="12" t="n">
        <x:v>0</x:v>
      </x:c>
      <x:c r="H746" s="1" t="n">
        <x:f>'Historical prices'!E746</x:f>
        <x:v>1.05</x:v>
      </x:c>
      <x:c r="I746" s="6" t="n">
        <x:f>'Historical prices'!D746</x:f>
        <x:v>0.2226</x:v>
      </x:c>
      <x:c r="J746" s="13" t="n">
        <x:f>D746*I746*H746</x:f>
        <x:v>0.059912789999999994</x:v>
      </x:c>
      <x:c r="K746" s="13" t="n">
        <x:f>E746*I746*H746</x:f>
        <x:v>0.059912789999999994</x:v>
      </x:c>
      <x:c r="L746" s="1" t="str">
        <x:f>TEXT(A746,"mmm yyyy")</x:f>
        <x:v>May 2026</x:v>
      </x:c>
    </x:row>
    <x:row r="747" ht="21" customHeight="1">
      <x:c r="A747" s="10" t="n">
        <x:v>46164</x:v>
      </x:c>
      <x:c r="B747" s="1" t="n">
        <x:v>1.5</x:v>
      </x:c>
      <x:c r="C747" s="1" t="n">
        <x:v>6</x:v>
      </x:c>
      <x:c r="D747" s="12" t="n">
        <x:v>0.2441666666666667</x:v>
      </x:c>
      <x:c r="E747" s="12" t="n">
        <x:v>0.2461666666666667</x:v>
      </x:c>
      <x:c r="F747" s="12" t="n">
        <x:v>0</x:v>
      </x:c>
      <x:c r="G747" s="12" t="n">
        <x:v>0</x:v>
      </x:c>
      <x:c r="H747" s="1" t="n">
        <x:f>'Historical prices'!E747</x:f>
        <x:v>1.05</x:v>
      </x:c>
      <x:c r="I747" s="6" t="n">
        <x:f>'Historical prices'!D747</x:f>
        <x:v>0.2226</x:v>
      </x:c>
      <x:c r="J747" s="13" t="n">
        <x:f>D747*I747*H747</x:f>
        <x:v>0.057069075000000004</x:v>
      </x:c>
      <x:c r="K747" s="13" t="n">
        <x:f>E747*I747*H747</x:f>
        <x:v>0.05753653500000001</x:v>
      </x:c>
      <x:c r="L747" s="1" t="str">
        <x:f>TEXT(A747,"mmm yyyy")</x:f>
        <x:v>May 2026</x:v>
      </x:c>
    </x:row>
    <x:row r="748" ht="21" customHeight="1">
      <x:c r="A748" s="10" t="n">
        <x:v>46164</x:v>
      </x:c>
      <x:c r="B748" s="1" t="n">
        <x:v>2</x:v>
      </x:c>
      <x:c r="C748" s="1" t="n">
        <x:v>6</x:v>
      </x:c>
      <x:c r="D748" s="12" t="n">
        <x:v>0.23166666666666666</x:v>
      </x:c>
      <x:c r="E748" s="12" t="n">
        <x:v>0.23266666666666666</x:v>
      </x:c>
      <x:c r="F748" s="12" t="n">
        <x:v>0</x:v>
      </x:c>
      <x:c r="G748" s="12" t="n">
        <x:v>0</x:v>
      </x:c>
      <x:c r="H748" s="1" t="n">
        <x:f>'Historical prices'!E748</x:f>
        <x:v>1.05</x:v>
      </x:c>
      <x:c r="I748" s="6" t="n">
        <x:f>'Historical prices'!D748</x:f>
        <x:v>0.2226</x:v>
      </x:c>
      <x:c r="J748" s="13" t="n">
        <x:f>D748*I748*H748</x:f>
        <x:v>0.05414745</x:v>
      </x:c>
      <x:c r="K748" s="13" t="n">
        <x:f>E748*I748*H748</x:f>
        <x:v>0.05438118</x:v>
      </x:c>
      <x:c r="L748" s="1" t="str">
        <x:f>TEXT(A748,"mmm yyyy")</x:f>
        <x:v>May 2026</x:v>
      </x:c>
    </x:row>
    <x:row r="749" ht="21" customHeight="1">
      <x:c r="A749" s="10" t="n">
        <x:v>46164</x:v>
      </x:c>
      <x:c r="B749" s="1" t="n">
        <x:v>2.5</x:v>
      </x:c>
      <x:c r="C749" s="1" t="n">
        <x:v>6</x:v>
      </x:c>
      <x:c r="D749" s="12" t="n">
        <x:v>0.2573333333333333</x:v>
      </x:c>
      <x:c r="E749" s="12" t="n">
        <x:v>0.2563333333333333</x:v>
      </x:c>
      <x:c r="F749" s="12" t="n">
        <x:v>0</x:v>
      </x:c>
      <x:c r="G749" s="12" t="n">
        <x:v>0</x:v>
      </x:c>
      <x:c r="H749" s="1" t="n">
        <x:f>'Historical prices'!E749</x:f>
        <x:v>1.05</x:v>
      </x:c>
      <x:c r="I749" s="6" t="n">
        <x:f>'Historical prices'!D749</x:f>
        <x:v>0.2226</x:v>
      </x:c>
      <x:c r="J749" s="13" t="n">
        <x:f>D749*I749*H749</x:f>
        <x:v>0.060146519999999995</x:v>
      </x:c>
      <x:c r="K749" s="13" t="n">
        <x:f>E749*I749*H749</x:f>
        <x:v>0.059912789999999994</x:v>
      </x:c>
      <x:c r="L749" s="1" t="str">
        <x:f>TEXT(A749,"mmm yyyy")</x:f>
        <x:v>May 2026</x:v>
      </x:c>
    </x:row>
    <x:row r="750" ht="21" customHeight="1">
      <x:c r="A750" s="10" t="n">
        <x:v>46164</x:v>
      </x:c>
      <x:c r="B750" s="1" t="n">
        <x:v>3</x:v>
      </x:c>
      <x:c r="C750" s="1" t="n">
        <x:v>6</x:v>
      </x:c>
      <x:c r="D750" s="12" t="n">
        <x:v>0.20941666666666667</x:v>
      </x:c>
      <x:c r="E750" s="12" t="n">
        <x:v>0.21041666666666667</x:v>
      </x:c>
      <x:c r="F750" s="12" t="n">
        <x:v>0</x:v>
      </x:c>
      <x:c r="G750" s="12" t="n">
        <x:v>0</x:v>
      </x:c>
      <x:c r="H750" s="1" t="n">
        <x:f>'Historical prices'!E750</x:f>
        <x:v>1.05</x:v>
      </x:c>
      <x:c r="I750" s="6" t="n">
        <x:f>'Historical prices'!D750</x:f>
        <x:v>0.2226</x:v>
      </x:c>
      <x:c r="J750" s="13" t="n">
        <x:f>D750*I750*H750</x:f>
        <x:v>0.048946957500000006</x:v>
      </x:c>
      <x:c r="K750" s="13" t="n">
        <x:f>E750*I750*H750</x:f>
        <x:v>0.0491806875</x:v>
      </x:c>
      <x:c r="L750" s="1" t="str">
        <x:f>TEXT(A750,"mmm yyyy")</x:f>
        <x:v>May 2026</x:v>
      </x:c>
    </x:row>
    <x:row r="751" ht="21" customHeight="1">
      <x:c r="A751" s="10" t="n">
        <x:v>46164</x:v>
      </x:c>
      <x:c r="B751" s="1" t="n">
        <x:v>3.5</x:v>
      </x:c>
      <x:c r="C751" s="1" t="n">
        <x:v>6</x:v>
      </x:c>
      <x:c r="D751" s="12" t="n">
        <x:v>0.2760833333333333</x:v>
      </x:c>
      <x:c r="E751" s="12" t="n">
        <x:v>0.27708333333333335</x:v>
      </x:c>
      <x:c r="F751" s="12" t="n">
        <x:v>0</x:v>
      </x:c>
      <x:c r="G751" s="12" t="n">
        <x:v>0</x:v>
      </x:c>
      <x:c r="H751" s="1" t="n">
        <x:f>'Historical prices'!E751</x:f>
        <x:v>1.05</x:v>
      </x:c>
      <x:c r="I751" s="6" t="n">
        <x:f>'Historical prices'!D751</x:f>
        <x:v>0.2226</x:v>
      </x:c>
      <x:c r="J751" s="13" t="n">
        <x:f>D751*I751*H751</x:f>
        <x:v>0.06452895749999998</x:v>
      </x:c>
      <x:c r="K751" s="13" t="n">
        <x:f>E751*I751*H751</x:f>
        <x:v>0.06476268750000001</x:v>
      </x:c>
      <x:c r="L751" s="1" t="str">
        <x:f>TEXT(A751,"mmm yyyy")</x:f>
        <x:v>May 2026</x:v>
      </x:c>
    </x:row>
    <x:row r="752" ht="21" customHeight="1">
      <x:c r="A752" s="10" t="n">
        <x:v>46164</x:v>
      </x:c>
      <x:c r="B752" s="1" t="n">
        <x:v>4</x:v>
      </x:c>
      <x:c r="C752" s="1" t="n">
        <x:v>6</x:v>
      </x:c>
      <x:c r="D752" s="12" t="n">
        <x:v>0.30008333333333337</x:v>
      </x:c>
      <x:c r="E752" s="12" t="n">
        <x:v>0.30008333333333337</x:v>
      </x:c>
      <x:c r="F752" s="12" t="n">
        <x:v>0</x:v>
      </x:c>
      <x:c r="G752" s="12" t="n">
        <x:v>0</x:v>
      </x:c>
      <x:c r="H752" s="1" t="n">
        <x:f>'Historical prices'!E752</x:f>
        <x:v>1.05</x:v>
      </x:c>
      <x:c r="I752" s="6" t="n">
        <x:f>'Historical prices'!D752</x:f>
        <x:v>0.2226</x:v>
      </x:c>
      <x:c r="J752" s="13" t="n">
        <x:f>D752*I752*H752</x:f>
        <x:v>0.07013847750000002</x:v>
      </x:c>
      <x:c r="K752" s="13" t="n">
        <x:f>E752*I752*H752</x:f>
        <x:v>0.07013847750000002</x:v>
      </x:c>
      <x:c r="L752" s="1" t="str">
        <x:f>TEXT(A752,"mmm yyyy")</x:f>
        <x:v>May 2026</x:v>
      </x:c>
    </x:row>
    <x:row r="753" ht="21" customHeight="1">
      <x:c r="A753" s="10" t="n">
        <x:v>46164</x:v>
      </x:c>
      <x:c r="B753" s="1" t="n">
        <x:v>4.5</x:v>
      </x:c>
      <x:c r="C753" s="1" t="n">
        <x:v>6</x:v>
      </x:c>
      <x:c r="D753" s="12" t="n">
        <x:v>0.2831666666666667</x:v>
      </x:c>
      <x:c r="E753" s="12" t="n">
        <x:v>0.2831666666666667</x:v>
      </x:c>
      <x:c r="F753" s="12" t="n">
        <x:v>0</x:v>
      </x:c>
      <x:c r="G753" s="12" t="n">
        <x:v>0</x:v>
      </x:c>
      <x:c r="H753" s="1" t="n">
        <x:f>'Historical prices'!E753</x:f>
        <x:v>1.05</x:v>
      </x:c>
      <x:c r="I753" s="6" t="n">
        <x:f>'Historical prices'!D753</x:f>
        <x:v>0.2226</x:v>
      </x:c>
      <x:c r="J753" s="13" t="n">
        <x:f>D753*I753*H753</x:f>
        <x:v>0.06618454500000001</x:v>
      </x:c>
      <x:c r="K753" s="13" t="n">
        <x:f>E753*I753*H753</x:f>
        <x:v>0.06618454500000001</x:v>
      </x:c>
      <x:c r="L753" s="1" t="str">
        <x:f>TEXT(A753,"mmm yyyy")</x:f>
        <x:v>May 2026</x:v>
      </x:c>
    </x:row>
    <x:row r="754" ht="21" customHeight="1">
      <x:c r="A754" s="10" t="n">
        <x:v>46164</x:v>
      </x:c>
      <x:c r="B754" s="1" t="n">
        <x:v>5</x:v>
      </x:c>
      <x:c r="C754" s="1" t="n">
        <x:v>6</x:v>
      </x:c>
      <x:c r="D754" s="12" t="n">
        <x:v>0.23016666666666669</x:v>
      </x:c>
      <x:c r="E754" s="12" t="n">
        <x:v>0.2311666666666667</x:v>
      </x:c>
      <x:c r="F754" s="12" t="n">
        <x:v>0</x:v>
      </x:c>
      <x:c r="G754" s="12" t="n">
        <x:v>0</x:v>
      </x:c>
      <x:c r="H754" s="1" t="n">
        <x:f>'Historical prices'!E754</x:f>
        <x:v>1.05</x:v>
      </x:c>
      <x:c r="I754" s="6" t="n">
        <x:f>'Historical prices'!D754</x:f>
        <x:v>0.2226</x:v>
      </x:c>
      <x:c r="J754" s="13" t="n">
        <x:f>D754*I754*H754</x:f>
        <x:v>0.05379685500000001</x:v>
      </x:c>
      <x:c r="K754" s="13" t="n">
        <x:f>E754*I754*H754</x:f>
        <x:v>0.054030585000000006</x:v>
      </x:c>
      <x:c r="L754" s="1" t="str">
        <x:f>TEXT(A754,"mmm yyyy")</x:f>
        <x:v>May 2026</x:v>
      </x:c>
    </x:row>
    <x:row r="755" ht="21" customHeight="1">
      <x:c r="A755" s="10" t="n">
        <x:v>46164</x:v>
      </x:c>
      <x:c r="B755" s="1" t="n">
        <x:v>5.5</x:v>
      </x:c>
      <x:c r="C755" s="1" t="n">
        <x:v>6</x:v>
      </x:c>
      <x:c r="D755" s="12" t="n">
        <x:v>0.32466666666666666</x:v>
      </x:c>
      <x:c r="E755" s="12" t="n">
        <x:v>0.32466666666666666</x:v>
      </x:c>
      <x:c r="F755" s="12" t="n">
        <x:v>0</x:v>
      </x:c>
      <x:c r="G755" s="12" t="n">
        <x:v>0</x:v>
      </x:c>
      <x:c r="H755" s="1" t="n">
        <x:f>'Historical prices'!E755</x:f>
        <x:v>1.05</x:v>
      </x:c>
      <x:c r="I755" s="6" t="n">
        <x:f>'Historical prices'!D755</x:f>
        <x:v>0.2226</x:v>
      </x:c>
      <x:c r="J755" s="13" t="n">
        <x:f>D755*I755*H755</x:f>
        <x:v>0.07588434</x:v>
      </x:c>
      <x:c r="K755" s="13" t="n">
        <x:f>E755*I755*H755</x:f>
        <x:v>0.07588434</x:v>
      </x:c>
      <x:c r="L755" s="1" t="str">
        <x:f>TEXT(A755,"mmm yyyy")</x:f>
        <x:v>May 2026</x:v>
      </x:c>
    </x:row>
    <x:row r="756" ht="21" customHeight="1">
      <x:c r="A756" s="10" t="n">
        <x:v>46164</x:v>
      </x:c>
      <x:c r="B756" s="1" t="n">
        <x:v>6</x:v>
      </x:c>
      <x:c r="C756" s="1" t="n">
        <x:v>6</x:v>
      </x:c>
      <x:c r="D756" s="12" t="n">
        <x:v>0.458</x:v>
      </x:c>
      <x:c r="E756" s="12" t="n">
        <x:v>0.458</x:v>
      </x:c>
      <x:c r="F756" s="12" t="n">
        <x:v>0</x:v>
      </x:c>
      <x:c r="G756" s="12" t="n">
        <x:v>0</x:v>
      </x:c>
      <x:c r="H756" s="1" t="n">
        <x:f>'Historical prices'!E756</x:f>
        <x:v>1.05</x:v>
      </x:c>
      <x:c r="I756" s="6" t="n">
        <x:f>'Historical prices'!D756</x:f>
        <x:v>0.2226</x:v>
      </x:c>
      <x:c r="J756" s="13" t="n">
        <x:f>D756*I756*H756</x:f>
        <x:v>0.10704833999999999</x:v>
      </x:c>
      <x:c r="K756" s="13" t="n">
        <x:f>E756*I756*H756</x:f>
        <x:v>0.10704833999999999</x:v>
      </x:c>
      <x:c r="L756" s="1" t="str">
        <x:f>TEXT(A756,"mmm yyyy")</x:f>
        <x:v>May 2026</x:v>
      </x:c>
    </x:row>
    <x:row r="757" ht="21" customHeight="1">
      <x:c r="A757" s="10" t="n">
        <x:v>46164</x:v>
      </x:c>
      <x:c r="B757" s="1" t="n">
        <x:v>6.5</x:v>
      </x:c>
      <x:c r="C757" s="1" t="n">
        <x:v>6</x:v>
      </x:c>
      <x:c r="D757" s="12" t="n">
        <x:v>0.4415</x:v>
      </x:c>
      <x:c r="E757" s="12" t="n">
        <x:v>0.4425</x:v>
      </x:c>
      <x:c r="F757" s="12" t="n">
        <x:v>0</x:v>
      </x:c>
      <x:c r="G757" s="12" t="n">
        <x:v>0</x:v>
      </x:c>
      <x:c r="H757" s="1" t="n">
        <x:f>'Historical prices'!E757</x:f>
        <x:v>1.05</x:v>
      </x:c>
      <x:c r="I757" s="6" t="n">
        <x:f>'Historical prices'!D757</x:f>
        <x:v>0.2226</x:v>
      </x:c>
      <x:c r="J757" s="13" t="n">
        <x:f>D757*I757*H757</x:f>
        <x:v>0.103191795</x:v>
      </x:c>
      <x:c r="K757" s="13" t="n">
        <x:f>E757*I757*H757</x:f>
        <x:v>0.10342552499999999</x:v>
      </x:c>
      <x:c r="L757" s="1" t="str">
        <x:f>TEXT(A757,"mmm yyyy")</x:f>
        <x:v>May 2026</x:v>
      </x:c>
    </x:row>
    <x:row r="758" ht="21" customHeight="1">
      <x:c r="A758" s="10" t="n">
        <x:v>46164</x:v>
      </x:c>
      <x:c r="B758" s="1" t="n">
        <x:v>7</x:v>
      </x:c>
      <x:c r="C758" s="1" t="n">
        <x:v>6</x:v>
      </x:c>
      <x:c r="D758" s="12" t="n">
        <x:v>0.49016666666666664</x:v>
      </x:c>
      <x:c r="E758" s="12" t="n">
        <x:v>0.49016666666666664</x:v>
      </x:c>
      <x:c r="F758" s="12" t="n">
        <x:v>0</x:v>
      </x:c>
      <x:c r="G758" s="12" t="n">
        <x:v>0</x:v>
      </x:c>
      <x:c r="H758" s="1" t="n">
        <x:f>'Historical prices'!E758</x:f>
        <x:v>1.05</x:v>
      </x:c>
      <x:c r="I758" s="6" t="n">
        <x:f>'Historical prices'!D758</x:f>
        <x:v>0.2226</x:v>
      </x:c>
      <x:c r="J758" s="13" t="n">
        <x:f>D758*I758*H758</x:f>
        <x:v>0.11456665499999999</x:v>
      </x:c>
      <x:c r="K758" s="13" t="n">
        <x:f>E758*I758*H758</x:f>
        <x:v>0.11456665499999999</x:v>
      </x:c>
      <x:c r="L758" s="1" t="str">
        <x:f>TEXT(A758,"mmm yyyy")</x:f>
        <x:v>May 2026</x:v>
      </x:c>
    </x:row>
    <x:row r="759" ht="21" customHeight="1">
      <x:c r="A759" s="10" t="n">
        <x:v>46164</x:v>
      </x:c>
      <x:c r="B759" s="1" t="n">
        <x:v>7.5</x:v>
      </x:c>
      <x:c r="C759" s="1" t="n">
        <x:v>6</x:v>
      </x:c>
      <x:c r="D759" s="12" t="n">
        <x:v>1.2579166666666668</x:v>
      </x:c>
      <x:c r="E759" s="12" t="n">
        <x:v>1.2589166666666667</x:v>
      </x:c>
      <x:c r="F759" s="12" t="n">
        <x:v>0</x:v>
      </x:c>
      <x:c r="G759" s="12" t="n">
        <x:v>0</x:v>
      </x:c>
      <x:c r="H759" s="1" t="n">
        <x:f>'Historical prices'!E759</x:f>
        <x:v>1.05</x:v>
      </x:c>
      <x:c r="I759" s="6" t="n">
        <x:f>'Historical prices'!D759</x:f>
        <x:v>0.2226</x:v>
      </x:c>
      <x:c r="J759" s="13" t="n">
        <x:f>D759*I759*H759</x:f>
        <x:v>0.2940128625</x:v>
      </x:c>
      <x:c r="K759" s="13" t="n">
        <x:f>E759*I759*H759</x:f>
        <x:v>0.2942465925</x:v>
      </x:c>
      <x:c r="L759" s="1" t="str">
        <x:f>TEXT(A759,"mmm yyyy")</x:f>
        <x:v>May 2026</x:v>
      </x:c>
    </x:row>
    <x:row r="760" ht="21" customHeight="1">
      <x:c r="A760" s="10" t="n">
        <x:v>46164</x:v>
      </x:c>
      <x:c r="B760" s="1" t="n">
        <x:v>8</x:v>
      </x:c>
      <x:c r="C760" s="1" t="n">
        <x:v>6</x:v>
      </x:c>
      <x:c r="D760" s="12" t="n">
        <x:v>0.6129166666666667</x:v>
      </x:c>
      <x:c r="E760" s="12" t="n">
        <x:v>0.6129166666666667</x:v>
      </x:c>
      <x:c r="F760" s="12" t="n">
        <x:v>0</x:v>
      </x:c>
      <x:c r="G760" s="12" t="n">
        <x:v>0</x:v>
      </x:c>
      <x:c r="H760" s="1" t="n">
        <x:f>'Historical prices'!E760</x:f>
        <x:v>1.05</x:v>
      </x:c>
      <x:c r="I760" s="6" t="n">
        <x:f>'Historical prices'!D760</x:f>
        <x:v>0.2226</x:v>
      </x:c>
      <x:c r="J760" s="13" t="n">
        <x:f>D760*I760*H760</x:f>
        <x:v>0.1432570125</x:v>
      </x:c>
      <x:c r="K760" s="13" t="n">
        <x:f>E760*I760*H760</x:f>
        <x:v>0.1432570125</x:v>
      </x:c>
      <x:c r="L760" s="1" t="str">
        <x:f>TEXT(A760,"mmm yyyy")</x:f>
        <x:v>May 2026</x:v>
      </x:c>
    </x:row>
    <x:row r="761" ht="21" customHeight="1">
      <x:c r="A761" s="10" t="n">
        <x:v>46164</x:v>
      </x:c>
      <x:c r="B761" s="1" t="n">
        <x:v>8.5</x:v>
      </x:c>
      <x:c r="C761" s="1" t="n">
        <x:v>6</x:v>
      </x:c>
      <x:c r="D761" s="12" t="n">
        <x:v>0.5291666666666667</x:v>
      </x:c>
      <x:c r="E761" s="12" t="n">
        <x:v>0.5281666666666667</x:v>
      </x:c>
      <x:c r="F761" s="12" t="n">
        <x:v>0</x:v>
      </x:c>
      <x:c r="G761" s="12" t="n">
        <x:v>0</x:v>
      </x:c>
      <x:c r="H761" s="1" t="n">
        <x:f>'Historical prices'!E761</x:f>
        <x:v>1.05</x:v>
      </x:c>
      <x:c r="I761" s="6" t="n">
        <x:f>'Historical prices'!D761</x:f>
        <x:v>0.2226</x:v>
      </x:c>
      <x:c r="J761" s="13" t="n">
        <x:f>D761*I761*H761</x:f>
        <x:v>0.123682125</x:v>
      </x:c>
      <x:c r="K761" s="13" t="n">
        <x:f>E761*I761*H761</x:f>
        <x:v>0.123448395</x:v>
      </x:c>
      <x:c r="L761" s="1" t="str">
        <x:f>TEXT(A761,"mmm yyyy")</x:f>
        <x:v>May 2026</x:v>
      </x:c>
    </x:row>
    <x:row r="762" ht="21" customHeight="1">
      <x:c r="A762" s="10" t="n">
        <x:v>46164</x:v>
      </x:c>
      <x:c r="B762" s="1" t="n">
        <x:v>9</x:v>
      </x:c>
      <x:c r="C762" s="1" t="n">
        <x:v>6</x:v>
      </x:c>
      <x:c r="D762" s="12" t="n">
        <x:v>3.695666666666667</x:v>
      </x:c>
      <x:c r="E762" s="12" t="n">
        <x:v>1.0836666666666666</x:v>
      </x:c>
      <x:c r="F762" s="12" t="n">
        <x:v>0</x:v>
      </x:c>
      <x:c r="G762" s="12" t="n">
        <x:v>2.614</x:v>
      </x:c>
      <x:c r="H762" s="1" t="n">
        <x:f>'Historical prices'!E762</x:f>
        <x:v>1.05</x:v>
      </x:c>
      <x:c r="I762" s="6" t="n">
        <x:f>'Historical prices'!D762</x:f>
        <x:v>0.2226</x:v>
      </x:c>
      <x:c r="J762" s="13" t="n">
        <x:f>D762*I762*H762</x:f>
        <x:v>0.8637881700000001</x:v>
      </x:c>
      <x:c r="K762" s="13" t="n">
        <x:f>E762*I762*H762</x:f>
        <x:v>0.25328541</x:v>
      </x:c>
      <x:c r="L762" s="1" t="str">
        <x:f>TEXT(A762,"mmm yyyy")</x:f>
        <x:v>May 2026</x:v>
      </x:c>
    </x:row>
    <x:row r="763" ht="21" customHeight="1">
      <x:c r="A763" s="10" t="n">
        <x:v>46164</x:v>
      </x:c>
      <x:c r="B763" s="1" t="n">
        <x:v>9.5</x:v>
      </x:c>
      <x:c r="C763" s="1" t="n">
        <x:v>6</x:v>
      </x:c>
      <x:c r="D763" s="12" t="n">
        <x:v>5.587583333333334</x:v>
      </x:c>
      <x:c r="E763" s="12" t="n">
        <x:v>1.0085833333333334</x:v>
      </x:c>
      <x:c r="F763" s="12" t="n">
        <x:v>0</x:v>
      </x:c>
      <x:c r="G763" s="12" t="n">
        <x:v>4.579000000000001</x:v>
      </x:c>
      <x:c r="H763" s="1" t="n">
        <x:f>'Historical prices'!E763</x:f>
        <x:v>1.05</x:v>
      </x:c>
      <x:c r="I763" s="6" t="n">
        <x:f>'Historical prices'!D763</x:f>
        <x:v>0.2226</x:v>
      </x:c>
      <x:c r="J763" s="13" t="n">
        <x:f>D763*I763*H763</x:f>
        <x:v>1.3059858525</x:v>
      </x:c>
      <x:c r="K763" s="13" t="n">
        <x:f>E763*I763*H763</x:f>
        <x:v>0.23573618250000003</x:v>
      </x:c>
      <x:c r="L763" s="1" t="str">
        <x:f>TEXT(A763,"mmm yyyy")</x:f>
        <x:v>May 2026</x:v>
      </x:c>
    </x:row>
    <x:row r="764" ht="21" customHeight="1">
      <x:c r="A764" s="10" t="n">
        <x:v>46164</x:v>
      </x:c>
      <x:c r="B764" s="1" t="n">
        <x:v>10</x:v>
      </x:c>
      <x:c r="C764" s="1" t="n">
        <x:v>6</x:v>
      </x:c>
      <x:c r="D764" s="12" t="n">
        <x:v>5.261583333333333</x:v>
      </x:c>
      <x:c r="E764" s="12" t="n">
        <x:v>0.8365833333333333</x:v>
      </x:c>
      <x:c r="F764" s="12" t="n">
        <x:v>0</x:v>
      </x:c>
      <x:c r="G764" s="12" t="n">
        <x:v>4.425</x:v>
      </x:c>
      <x:c r="H764" s="1" t="n">
        <x:f>'Historical prices'!E764</x:f>
        <x:v>1.05</x:v>
      </x:c>
      <x:c r="I764" s="6" t="n">
        <x:f>'Historical prices'!D764</x:f>
        <x:v>0.2226</x:v>
      </x:c>
      <x:c r="J764" s="13" t="n">
        <x:f>D764*I764*H764</x:f>
        <x:v>1.2297898724999998</x:v>
      </x:c>
      <x:c r="K764" s="13" t="n">
        <x:f>E764*I764*H764</x:f>
        <x:v>0.1955346225</x:v>
      </x:c>
      <x:c r="L764" s="1" t="str">
        <x:f>TEXT(A764,"mmm yyyy")</x:f>
        <x:v>May 2026</x:v>
      </x:c>
    </x:row>
    <x:row r="765" ht="21" customHeight="1">
      <x:c r="A765" s="10" t="n">
        <x:v>46164</x:v>
      </x:c>
      <x:c r="B765" s="1" t="n">
        <x:v>10.5</x:v>
      </x:c>
      <x:c r="C765" s="1" t="n">
        <x:v>6</x:v>
      </x:c>
      <x:c r="D765" s="12" t="n">
        <x:v>5.47725</x:v>
      </x:c>
      <x:c r="E765" s="12" t="n">
        <x:v>0.9452499999999999</x:v>
      </x:c>
      <x:c r="F765" s="12" t="n">
        <x:v>0</x:v>
      </x:c>
      <x:c r="G765" s="12" t="n">
        <x:v>4.532</x:v>
      </x:c>
      <x:c r="H765" s="1" t="n">
        <x:f>'Historical prices'!E765</x:f>
        <x:v>1.05</x:v>
      </x:c>
      <x:c r="I765" s="6" t="n">
        <x:f>'Historical prices'!D765</x:f>
        <x:v>0.2226</x:v>
      </x:c>
      <x:c r="J765" s="13" t="n">
        <x:f>D765*I765*H765</x:f>
        <x:v>1.2801976425</x:v>
      </x:c>
      <x:c r="K765" s="13" t="n">
        <x:f>E765*I765*H765</x:f>
        <x:v>0.2209332825</x:v>
      </x:c>
      <x:c r="L765" s="1" t="str">
        <x:f>TEXT(A765,"mmm yyyy")</x:f>
        <x:v>May 2026</x:v>
      </x:c>
    </x:row>
    <x:row r="766" ht="21" customHeight="1">
      <x:c r="A766" s="10" t="n">
        <x:v>46164</x:v>
      </x:c>
      <x:c r="B766" s="1" t="n">
        <x:v>11</x:v>
      </x:c>
      <x:c r="C766" s="1" t="n">
        <x:v>6</x:v>
      </x:c>
      <x:c r="D766" s="12" t="n">
        <x:v>5.539750000000001</x:v>
      </x:c>
      <x:c r="E766" s="12" t="n">
        <x:v>0.82775</x:v>
      </x:c>
      <x:c r="F766" s="12" t="n">
        <x:v>0</x:v>
      </x:c>
      <x:c r="G766" s="12" t="n">
        <x:v>4.712</x:v>
      </x:c>
      <x:c r="H766" s="1" t="n">
        <x:f>'Historical prices'!E766</x:f>
        <x:v>1.05</x:v>
      </x:c>
      <x:c r="I766" s="6" t="n">
        <x:f>'Historical prices'!D766</x:f>
        <x:v>0.2226</x:v>
      </x:c>
      <x:c r="J766" s="13" t="n">
        <x:f>D766*I766*H766</x:f>
        <x:v>1.2948057675</x:v>
      </x:c>
      <x:c r="K766" s="13" t="n">
        <x:f>E766*I766*H766</x:f>
        <x:v>0.19347000749999999</x:v>
      </x:c>
      <x:c r="L766" s="1" t="str">
        <x:f>TEXT(A766,"mmm yyyy")</x:f>
        <x:v>May 2026</x:v>
      </x:c>
    </x:row>
    <x:row r="767" ht="21" customHeight="1">
      <x:c r="A767" s="10" t="n">
        <x:v>46164</x:v>
      </x:c>
      <x:c r="B767" s="1" t="n">
        <x:v>11.5</x:v>
      </x:c>
      <x:c r="C767" s="1" t="n">
        <x:v>6</x:v>
      </x:c>
      <x:c r="D767" s="12" t="n">
        <x:v>5.370083333333333</x:v>
      </x:c>
      <x:c r="E767" s="12" t="n">
        <x:v>0.6870833333333334</x:v>
      </x:c>
      <x:c r="F767" s="12" t="n">
        <x:v>0</x:v>
      </x:c>
      <x:c r="G767" s="12" t="n">
        <x:v>4.683</x:v>
      </x:c>
      <x:c r="H767" s="1" t="n">
        <x:f>'Historical prices'!E767</x:f>
        <x:v>1.05</x:v>
      </x:c>
      <x:c r="I767" s="6" t="n">
        <x:f>'Historical prices'!D767</x:f>
        <x:v>0.2226</x:v>
      </x:c>
      <x:c r="J767" s="13" t="n">
        <x:f>D767*I767*H767</x:f>
        <x:v>1.2551495775</x:v>
      </x:c>
      <x:c r="K767" s="13" t="n">
        <x:f>E767*I767*H767</x:f>
        <x:v>0.16059198750000003</x:v>
      </x:c>
      <x:c r="L767" s="1" t="str">
        <x:f>TEXT(A767,"mmm yyyy")</x:f>
        <x:v>May 2026</x:v>
      </x:c>
    </x:row>
    <x:row r="768" ht="21" customHeight="1">
      <x:c r="A768" s="10" t="n">
        <x:v>46164</x:v>
      </x:c>
      <x:c r="B768" s="1" t="n">
        <x:v>12</x:v>
      </x:c>
      <x:c r="C768" s="1" t="n">
        <x:v>6</x:v>
      </x:c>
      <x:c r="D768" s="12" t="n">
        <x:v>4.413333333333334</x:v>
      </x:c>
      <x:c r="E768" s="12" t="n">
        <x:v>0.6473333333333334</x:v>
      </x:c>
      <x:c r="F768" s="12" t="n">
        <x:v>0</x:v>
      </x:c>
      <x:c r="G768" s="12" t="n">
        <x:v>3.766</x:v>
      </x:c>
      <x:c r="H768" s="1" t="n">
        <x:f>'Historical prices'!E768</x:f>
        <x:v>1.05</x:v>
      </x:c>
      <x:c r="I768" s="6" t="n">
        <x:f>'Historical prices'!D768</x:f>
        <x:v>0.2226</x:v>
      </x:c>
      <x:c r="J768" s="13" t="n">
        <x:f>D768*I768*H768</x:f>
        <x:v>1.0315284</x:v>
      </x:c>
      <x:c r="K768" s="13" t="n">
        <x:f>E768*I768*H768</x:f>
        <x:v>0.15130122000000001</x:v>
      </x:c>
      <x:c r="L768" s="1" t="str">
        <x:f>TEXT(A768,"mmm yyyy")</x:f>
        <x:v>May 2026</x:v>
      </x:c>
    </x:row>
    <x:row r="769" ht="21" customHeight="1">
      <x:c r="A769" s="10" t="n">
        <x:v>46164</x:v>
      </x:c>
      <x:c r="B769" s="1" t="n">
        <x:v>12.5</x:v>
      </x:c>
      <x:c r="C769" s="1" t="n">
        <x:v>6</x:v>
      </x:c>
      <x:c r="D769" s="12" t="n">
        <x:v>2.10525</x:v>
      </x:c>
      <x:c r="E769" s="12" t="n">
        <x:v>0.52925</x:v>
      </x:c>
      <x:c r="F769" s="12" t="n">
        <x:v>0</x:v>
      </x:c>
      <x:c r="G769" s="12" t="n">
        <x:v>1.5759999999999998</x:v>
      </x:c>
      <x:c r="H769" s="1" t="n">
        <x:f>'Historical prices'!E769</x:f>
        <x:v>1.05</x:v>
      </x:c>
      <x:c r="I769" s="6" t="n">
        <x:f>'Historical prices'!D769</x:f>
        <x:v>0.2226</x:v>
      </x:c>
      <x:c r="J769" s="13" t="n">
        <x:f>D769*I769*H769</x:f>
        <x:v>0.49206008249999994</x:v>
      </x:c>
      <x:c r="K769" s="13" t="n">
        <x:f>E769*I769*H769</x:f>
        <x:v>0.12370160250000001</x:v>
      </x:c>
      <x:c r="L769" s="1" t="str">
        <x:f>TEXT(A769,"mmm yyyy")</x:f>
        <x:v>May 2026</x:v>
      </x:c>
    </x:row>
    <x:row r="770" ht="21" customHeight="1">
      <x:c r="A770" s="10" t="n">
        <x:v>46164</x:v>
      </x:c>
      <x:c r="B770" s="1" t="n">
        <x:v>13</x:v>
      </x:c>
      <x:c r="C770" s="1" t="n">
        <x:v>6</x:v>
      </x:c>
      <x:c r="D770" s="12" t="n">
        <x:v>0.7809166666666667</x:v>
      </x:c>
      <x:c r="E770" s="12" t="n">
        <x:v>0.5029166666666667</x:v>
      </x:c>
      <x:c r="F770" s="12" t="n">
        <x:v>0</x:v>
      </x:c>
      <x:c r="G770" s="12" t="n">
        <x:v>0.278</x:v>
      </x:c>
      <x:c r="H770" s="1" t="n">
        <x:f>'Historical prices'!E770</x:f>
        <x:v>1.05</x:v>
      </x:c>
      <x:c r="I770" s="6" t="n">
        <x:f>'Historical prices'!D770</x:f>
        <x:v>0.2226</x:v>
      </x:c>
      <x:c r="J770" s="13" t="n">
        <x:f>D770*I770*H770</x:f>
        <x:v>0.18252365250000002</x:v>
      </x:c>
      <x:c r="K770" s="13" t="n">
        <x:f>E770*I770*H770</x:f>
        <x:v>0.11754671250000001</x:v>
      </x:c>
      <x:c r="L770" s="1" t="str">
        <x:f>TEXT(A770,"mmm yyyy")</x:f>
        <x:v>May 2026</x:v>
      </x:c>
    </x:row>
    <x:row r="771" ht="21" customHeight="1">
      <x:c r="A771" s="10" t="n">
        <x:v>46164</x:v>
      </x:c>
      <x:c r="B771" s="1" t="n">
        <x:v>13.5</x:v>
      </x:c>
      <x:c r="C771" s="1" t="n">
        <x:v>6</x:v>
      </x:c>
      <x:c r="D771" s="12" t="n">
        <x:v>0.41316666666666657</x:v>
      </x:c>
      <x:c r="E771" s="12" t="n">
        <x:v>0.4051666666666667</x:v>
      </x:c>
      <x:c r="F771" s="12" t="n">
        <x:v>0</x:v>
      </x:c>
      <x:c r="G771" s="12" t="n">
        <x:v>0.015</x:v>
      </x:c>
      <x:c r="H771" s="1" t="n">
        <x:f>'Historical prices'!E771</x:f>
        <x:v>1.05</x:v>
      </x:c>
      <x:c r="I771" s="6" t="n">
        <x:f>'Historical prices'!D771</x:f>
        <x:v>0.2226</x:v>
      </x:c>
      <x:c r="J771" s="13" t="n">
        <x:f>D771*I771*H771</x:f>
        <x:v>0.09656944499999999</x:v>
      </x:c>
      <x:c r="K771" s="13" t="n">
        <x:f>E771*I771*H771</x:f>
        <x:v>0.09469960499999999</x:v>
      </x:c>
      <x:c r="L771" s="1" t="str">
        <x:f>TEXT(A771,"mmm yyyy")</x:f>
        <x:v>May 2026</x:v>
      </x:c>
    </x:row>
    <x:row r="772" ht="21" customHeight="1">
      <x:c r="A772" s="10" t="n">
        <x:v>46164</x:v>
      </x:c>
      <x:c r="B772" s="1" t="n">
        <x:v>14</x:v>
      </x:c>
      <x:c r="C772" s="1" t="n">
        <x:v>6</x:v>
      </x:c>
      <x:c r="D772" s="12" t="n">
        <x:v>0.46691666666666665</x:v>
      </x:c>
      <x:c r="E772" s="12" t="n">
        <x:v>0.47991666666666666</x:v>
      </x:c>
      <x:c r="F772" s="12" t="n">
        <x:v>0</x:v>
      </x:c>
      <x:c r="G772" s="12" t="n">
        <x:v>0</x:v>
      </x:c>
      <x:c r="H772" s="1" t="n">
        <x:f>'Historical prices'!E772</x:f>
        <x:v>1.05</x:v>
      </x:c>
      <x:c r="I772" s="6" t="n">
        <x:f>'Historical prices'!D772</x:f>
        <x:v>0.2226</x:v>
      </x:c>
      <x:c r="J772" s="13" t="n">
        <x:f>D772*I772*H772</x:f>
        <x:v>0.1091324325</x:v>
      </x:c>
      <x:c r="K772" s="13" t="n">
        <x:f>E772*I772*H772</x:f>
        <x:v>0.11217092249999999</x:v>
      </x:c>
      <x:c r="L772" s="1" t="str">
        <x:f>TEXT(A772,"mmm yyyy")</x:f>
        <x:v>May 2026</x:v>
      </x:c>
    </x:row>
    <x:row r="773" ht="21" customHeight="1">
      <x:c r="A773" s="10" t="n">
        <x:v>46164</x:v>
      </x:c>
      <x:c r="B773" s="1" t="n">
        <x:v>14.5</x:v>
      </x:c>
      <x:c r="C773" s="1" t="n">
        <x:v>6</x:v>
      </x:c>
      <x:c r="D773" s="12" t="n">
        <x:v>0.4691666666666667</x:v>
      </x:c>
      <x:c r="E773" s="12" t="n">
        <x:v>0.4801666666666667</x:v>
      </x:c>
      <x:c r="F773" s="12" t="n">
        <x:v>0</x:v>
      </x:c>
      <x:c r="G773" s="12" t="n">
        <x:v>0</x:v>
      </x:c>
      <x:c r="H773" s="1" t="n">
        <x:f>'Historical prices'!E773</x:f>
        <x:v>1.05</x:v>
      </x:c>
      <x:c r="I773" s="6" t="n">
        <x:f>'Historical prices'!D773</x:f>
        <x:v>0.2226</x:v>
      </x:c>
      <x:c r="J773" s="13" t="n">
        <x:f>D773*I773*H773</x:f>
        <x:v>0.109658325</x:v>
      </x:c>
      <x:c r="K773" s="13" t="n">
        <x:f>E773*I773*H773</x:f>
        <x:v>0.112229355</x:v>
      </x:c>
      <x:c r="L773" s="1" t="str">
        <x:f>TEXT(A773,"mmm yyyy")</x:f>
        <x:v>May 2026</x:v>
      </x:c>
    </x:row>
    <x:row r="774" ht="21" customHeight="1">
      <x:c r="A774" s="10" t="n">
        <x:v>46164</x:v>
      </x:c>
      <x:c r="B774" s="1" t="n">
        <x:v>15</x:v>
      </x:c>
      <x:c r="C774" s="1" t="n">
        <x:v>6</x:v>
      </x:c>
      <x:c r="D774" s="12" t="n">
        <x:v>0.35791666666666666</x:v>
      </x:c>
      <x:c r="E774" s="12" t="n">
        <x:v>0.36891666666666667</x:v>
      </x:c>
      <x:c r="F774" s="12" t="n">
        <x:v>0</x:v>
      </x:c>
      <x:c r="G774" s="12" t="n">
        <x:v>0</x:v>
      </x:c>
      <x:c r="H774" s="1" t="n">
        <x:f>'Historical prices'!E774</x:f>
        <x:v>1.05</x:v>
      </x:c>
      <x:c r="I774" s="6" t="n">
        <x:f>'Historical prices'!D774</x:f>
        <x:v>0.2226</x:v>
      </x:c>
      <x:c r="J774" s="13" t="n">
        <x:f>D774*I774*H774</x:f>
        <x:v>0.0836558625</x:v>
      </x:c>
      <x:c r="K774" s="13" t="n">
        <x:f>E774*I774*H774</x:f>
        <x:v>0.0862268925</x:v>
      </x:c>
      <x:c r="L774" s="1" t="str">
        <x:f>TEXT(A774,"mmm yyyy")</x:f>
        <x:v>May 2026</x:v>
      </x:c>
    </x:row>
    <x:row r="775" ht="21" customHeight="1">
      <x:c r="A775" s="10" t="n">
        <x:v>46164</x:v>
      </x:c>
      <x:c r="B775" s="1" t="n">
        <x:v>15.5</x:v>
      </x:c>
      <x:c r="C775" s="1" t="n">
        <x:v>6</x:v>
      </x:c>
      <x:c r="D775" s="12" t="n">
        <x:v>0.40441666666666665</x:v>
      </x:c>
      <x:c r="E775" s="12" t="n">
        <x:v>0.41641666666666666</x:v>
      </x:c>
      <x:c r="F775" s="12" t="n">
        <x:v>0</x:v>
      </x:c>
      <x:c r="G775" s="12" t="n">
        <x:v>0</x:v>
      </x:c>
      <x:c r="H775" s="1" t="n">
        <x:f>'Historical prices'!E775</x:f>
        <x:v>1.05</x:v>
      </x:c>
      <x:c r="I775" s="6" t="n">
        <x:f>'Historical prices'!D775</x:f>
        <x:v>0.2226</x:v>
      </x:c>
      <x:c r="J775" s="13" t="n">
        <x:f>D775*I775*H775</x:f>
        <x:v>0.0945243075</x:v>
      </x:c>
      <x:c r="K775" s="13" t="n">
        <x:f>E775*I775*H775</x:f>
        <x:v>0.0973290675</x:v>
      </x:c>
      <x:c r="L775" s="1" t="str">
        <x:f>TEXT(A775,"mmm yyyy")</x:f>
        <x:v>May 2026</x:v>
      </x:c>
    </x:row>
    <x:row r="776" ht="21" customHeight="1">
      <x:c r="A776" s="10" t="n">
        <x:v>46164</x:v>
      </x:c>
      <x:c r="B776" s="1" t="n">
        <x:v>16</x:v>
      </x:c>
      <x:c r="C776" s="1" t="n">
        <x:v>6</x:v>
      </x:c>
      <x:c r="D776" s="12" t="n">
        <x:v>0.42116666666666663</x:v>
      </x:c>
      <x:c r="E776" s="12" t="n">
        <x:v>0.43216666666666664</x:v>
      </x:c>
      <x:c r="F776" s="12" t="n">
        <x:v>0</x:v>
      </x:c>
      <x:c r="G776" s="12" t="n">
        <x:v>0</x:v>
      </x:c>
      <x:c r="H776" s="1" t="n">
        <x:f>'Historical prices'!E776</x:f>
        <x:v>1.05</x:v>
      </x:c>
      <x:c r="I776" s="6" t="n">
        <x:f>'Historical prices'!D776</x:f>
        <x:v>0.2226</x:v>
      </x:c>
      <x:c r="J776" s="13" t="n">
        <x:f>D776*I776*H776</x:f>
        <x:v>0.098439285</x:v>
      </x:c>
      <x:c r="K776" s="13" t="n">
        <x:f>E776*I776*H776</x:f>
        <x:v>0.10101031499999999</x:v>
      </x:c>
      <x:c r="L776" s="1" t="str">
        <x:f>TEXT(A776,"mmm yyyy")</x:f>
        <x:v>May 2026</x:v>
      </x:c>
    </x:row>
    <x:row r="777" ht="21" customHeight="1">
      <x:c r="A777" s="10" t="n">
        <x:v>46164</x:v>
      </x:c>
      <x:c r="B777" s="1" t="n">
        <x:v>16.5</x:v>
      </x:c>
      <x:c r="C777" s="1" t="n">
        <x:v>6</x:v>
      </x:c>
      <x:c r="D777" s="12" t="n">
        <x:v>0.40049999999999997</x:v>
      </x:c>
      <x:c r="E777" s="12" t="n">
        <x:v>0.4125</x:v>
      </x:c>
      <x:c r="F777" s="12" t="n">
        <x:v>0</x:v>
      </x:c>
      <x:c r="G777" s="12" t="n">
        <x:v>0</x:v>
      </x:c>
      <x:c r="H777" s="1" t="n">
        <x:f>'Historical prices'!E777</x:f>
        <x:v>1.05</x:v>
      </x:c>
      <x:c r="I777" s="6" t="n">
        <x:f>'Historical prices'!D777</x:f>
        <x:v>0.2226</x:v>
      </x:c>
      <x:c r="J777" s="13" t="n">
        <x:f>D777*I777*H777</x:f>
        <x:v>0.09360886499999999</x:v>
      </x:c>
      <x:c r="K777" s="13" t="n">
        <x:f>E777*I777*H777</x:f>
        <x:v>0.09641362499999999</x:v>
      </x:c>
      <x:c r="L777" s="1" t="str">
        <x:f>TEXT(A777,"mmm yyyy")</x:f>
        <x:v>May 2026</x:v>
      </x:c>
    </x:row>
    <x:row r="778" ht="21" customHeight="1">
      <x:c r="A778" s="10" t="n">
        <x:v>46164</x:v>
      </x:c>
      <x:c r="B778" s="1" t="n">
        <x:v>17</x:v>
      </x:c>
      <x:c r="C778" s="1" t="n">
        <x:v>6</x:v>
      </x:c>
      <x:c r="D778" s="12" t="n">
        <x:v>0.3976666666666667</x:v>
      </x:c>
      <x:c r="E778" s="12" t="n">
        <x:v>0.4086666666666666</x:v>
      </x:c>
      <x:c r="F778" s="12" t="n">
        <x:v>0</x:v>
      </x:c>
      <x:c r="G778" s="12" t="n">
        <x:v>0</x:v>
      </x:c>
      <x:c r="H778" s="1" t="n">
        <x:f>'Historical prices'!E778</x:f>
        <x:v>1.05</x:v>
      </x:c>
      <x:c r="I778" s="6" t="n">
        <x:f>'Historical prices'!D778</x:f>
        <x:v>0.2226</x:v>
      </x:c>
      <x:c r="J778" s="13" t="n">
        <x:f>D778*I778*H778</x:f>
        <x:v>0.09294663</x:v>
      </x:c>
      <x:c r="K778" s="13" t="n">
        <x:f>E778*I778*H778</x:f>
        <x:v>0.09551765999999999</x:v>
      </x:c>
      <x:c r="L778" s="1" t="str">
        <x:f>TEXT(A778,"mmm yyyy")</x:f>
        <x:v>May 2026</x:v>
      </x:c>
    </x:row>
    <x:row r="779" ht="21" customHeight="1">
      <x:c r="A779" s="10" t="n">
        <x:v>46164</x:v>
      </x:c>
      <x:c r="B779" s="1" t="n">
        <x:v>17.5</x:v>
      </x:c>
      <x:c r="C779" s="1" t="n">
        <x:v>6</x:v>
      </x:c>
      <x:c r="D779" s="12" t="n">
        <x:v>0.4483333333333333</x:v>
      </x:c>
      <x:c r="E779" s="12" t="n">
        <x:v>0.4593333333333333</x:v>
      </x:c>
      <x:c r="F779" s="12" t="n">
        <x:v>0</x:v>
      </x:c>
      <x:c r="G779" s="12" t="n">
        <x:v>0</x:v>
      </x:c>
      <x:c r="H779" s="1" t="n">
        <x:f>'Historical prices'!E779</x:f>
        <x:v>1.05</x:v>
      </x:c>
      <x:c r="I779" s="6" t="n">
        <x:f>'Historical prices'!D779</x:f>
        <x:v>0.2226</x:v>
      </x:c>
      <x:c r="J779" s="13" t="n">
        <x:f>D779*I779*H779</x:f>
        <x:v>0.10478894999999999</x:v>
      </x:c>
      <x:c r="K779" s="13" t="n">
        <x:f>E779*I779*H779</x:f>
        <x:v>0.10735998</x:v>
      </x:c>
      <x:c r="L779" s="1" t="str">
        <x:f>TEXT(A779,"mmm yyyy")</x:f>
        <x:v>May 2026</x:v>
      </x:c>
    </x:row>
    <x:row r="780" ht="21" customHeight="1">
      <x:c r="A780" s="10" t="n">
        <x:v>46164</x:v>
      </x:c>
      <x:c r="B780" s="1" t="n">
        <x:v>18</x:v>
      </x:c>
      <x:c r="C780" s="1" t="n">
        <x:v>6</x:v>
      </x:c>
      <x:c r="D780" s="12" t="n">
        <x:v>0.48058333333333336</x:v>
      </x:c>
      <x:c r="E780" s="12" t="n">
        <x:v>0.4915833333333333</x:v>
      </x:c>
      <x:c r="F780" s="12" t="n">
        <x:v>0</x:v>
      </x:c>
      <x:c r="G780" s="12" t="n">
        <x:v>0</x:v>
      </x:c>
      <x:c r="H780" s="1" t="n">
        <x:f>'Historical prices'!E780</x:f>
        <x:v>1.05</x:v>
      </x:c>
      <x:c r="I780" s="6" t="n">
        <x:f>'Historical prices'!D780</x:f>
        <x:v>0.2226</x:v>
      </x:c>
      <x:c r="J780" s="13" t="n">
        <x:f>D780*I780*H780</x:f>
        <x:v>0.1123267425</x:v>
      </x:c>
      <x:c r="K780" s="13" t="n">
        <x:f>E780*I780*H780</x:f>
        <x:v>0.1148977725</x:v>
      </x:c>
      <x:c r="L780" s="1" t="str">
        <x:f>TEXT(A780,"mmm yyyy")</x:f>
        <x:v>May 2026</x:v>
      </x:c>
    </x:row>
    <x:row r="781" ht="21" customHeight="1">
      <x:c r="A781" s="10" t="n">
        <x:v>46164</x:v>
      </x:c>
      <x:c r="B781" s="1" t="n">
        <x:v>18.5</x:v>
      </x:c>
      <x:c r="C781" s="1" t="n">
        <x:v>6</x:v>
      </x:c>
      <x:c r="D781" s="12" t="n">
        <x:v>0.8845000000000001</x:v>
      </x:c>
      <x:c r="E781" s="12" t="n">
        <x:v>0.8955000000000001</x:v>
      </x:c>
      <x:c r="F781" s="12" t="n">
        <x:v>0</x:v>
      </x:c>
      <x:c r="G781" s="12" t="n">
        <x:v>0</x:v>
      </x:c>
      <x:c r="H781" s="1" t="n">
        <x:f>'Historical prices'!E781</x:f>
        <x:v>1.05</x:v>
      </x:c>
      <x:c r="I781" s="6" t="n">
        <x:f>'Historical prices'!D781</x:f>
        <x:v>0.2226</x:v>
      </x:c>
      <x:c r="J781" s="13" t="n">
        <x:f>D781*I781*H781</x:f>
        <x:v>0.20673418500000001</x:v>
      </x:c>
      <x:c r="K781" s="13" t="n">
        <x:f>E781*I781*H781</x:f>
        <x:v>0.20930521500000002</x:v>
      </x:c>
      <x:c r="L781" s="1" t="str">
        <x:f>TEXT(A781,"mmm yyyy")</x:f>
        <x:v>May 2026</x:v>
      </x:c>
    </x:row>
    <x:row r="782" ht="21" customHeight="1">
      <x:c r="A782" s="10" t="n">
        <x:v>46164</x:v>
      </x:c>
      <x:c r="B782" s="1" t="n">
        <x:v>19</x:v>
      </x:c>
      <x:c r="C782" s="1" t="n">
        <x:v>6</x:v>
      </x:c>
      <x:c r="D782" s="12" t="n">
        <x:v>0.448</x:v>
      </x:c>
      <x:c r="E782" s="12" t="n">
        <x:v>0.456</x:v>
      </x:c>
      <x:c r="F782" s="12" t="n">
        <x:v>0</x:v>
      </x:c>
      <x:c r="G782" s="12" t="n">
        <x:v>0</x:v>
      </x:c>
      <x:c r="H782" s="1" t="n">
        <x:f>'Historical prices'!E782</x:f>
        <x:v>1.05</x:v>
      </x:c>
      <x:c r="I782" s="6" t="n">
        <x:f>'Historical prices'!D782</x:f>
        <x:v>0.2226</x:v>
      </x:c>
      <x:c r="J782" s="13" t="n">
        <x:f>D782*I782*H782</x:f>
        <x:v>0.10471104</x:v>
      </x:c>
      <x:c r="K782" s="13" t="n">
        <x:f>E782*I782*H782</x:f>
        <x:v>0.10658088</x:v>
      </x:c>
      <x:c r="L782" s="1" t="str">
        <x:f>TEXT(A782,"mmm yyyy")</x:f>
        <x:v>May 2026</x:v>
      </x:c>
    </x:row>
    <x:row r="783" ht="21" customHeight="1">
      <x:c r="A783" s="10" t="n">
        <x:v>46164</x:v>
      </x:c>
      <x:c r="B783" s="1" t="n">
        <x:v>19.5</x:v>
      </x:c>
      <x:c r="C783" s="1" t="n">
        <x:v>6</x:v>
      </x:c>
      <x:c r="D783" s="12" t="n">
        <x:v>0.6636666666666666</x:v>
      </x:c>
      <x:c r="E783" s="12" t="n">
        <x:v>0.6746666666666666</x:v>
      </x:c>
      <x:c r="F783" s="12" t="n">
        <x:v>0</x:v>
      </x:c>
      <x:c r="G783" s="12" t="n">
        <x:v>0</x:v>
      </x:c>
      <x:c r="H783" s="1" t="n">
        <x:f>'Historical prices'!E783</x:f>
        <x:v>1.05</x:v>
      </x:c>
      <x:c r="I783" s="6" t="n">
        <x:f>'Historical prices'!D783</x:f>
        <x:v>0.2226</x:v>
      </x:c>
      <x:c r="J783" s="13" t="n">
        <x:f>D783*I783*H783</x:f>
        <x:v>0.15511881</x:v>
      </x:c>
      <x:c r="K783" s="13" t="n">
        <x:f>E783*I783*H783</x:f>
        <x:v>0.15768983999999997</x:v>
      </x:c>
      <x:c r="L783" s="1" t="str">
        <x:f>TEXT(A783,"mmm yyyy")</x:f>
        <x:v>May 2026</x:v>
      </x:c>
    </x:row>
    <x:row r="784" ht="21" customHeight="1">
      <x:c r="A784" s="10" t="n">
        <x:v>46164</x:v>
      </x:c>
      <x:c r="B784" s="1" t="n">
        <x:v>20</x:v>
      </x:c>
      <x:c r="C784" s="1" t="n">
        <x:v>6</x:v>
      </x:c>
      <x:c r="D784" s="12" t="n">
        <x:v>0.39258333333333334</x:v>
      </x:c>
      <x:c r="E784" s="12" t="n">
        <x:v>0.40358333333333335</x:v>
      </x:c>
      <x:c r="F784" s="12" t="n">
        <x:v>0</x:v>
      </x:c>
      <x:c r="G784" s="12" t="n">
        <x:v>0</x:v>
      </x:c>
      <x:c r="H784" s="1" t="n">
        <x:f>'Historical prices'!E784</x:f>
        <x:v>1.05</x:v>
      </x:c>
      <x:c r="I784" s="6" t="n">
        <x:f>'Historical prices'!D784</x:f>
        <x:v>0.2226</x:v>
      </x:c>
      <x:c r="J784" s="13" t="n">
        <x:f>D784*I784*H784</x:f>
        <x:v>0.0917585025</x:v>
      </x:c>
      <x:c r="K784" s="13" t="n">
        <x:f>E784*I784*H784</x:f>
        <x:v>0.09432953250000001</x:v>
      </x:c>
      <x:c r="L784" s="1" t="str">
        <x:f>TEXT(A784,"mmm yyyy")</x:f>
        <x:v>May 2026</x:v>
      </x:c>
    </x:row>
    <x:row r="785" ht="21" customHeight="1">
      <x:c r="A785" s="10" t="n">
        <x:v>46164</x:v>
      </x:c>
      <x:c r="B785" s="1" t="n">
        <x:v>20.5</x:v>
      </x:c>
      <x:c r="C785" s="1" t="n">
        <x:v>6</x:v>
      </x:c>
      <x:c r="D785" s="12" t="n">
        <x:v>0.3764166666666666</x:v>
      </x:c>
      <x:c r="E785" s="12" t="n">
        <x:v>0.38741666666666663</x:v>
      </x:c>
      <x:c r="F785" s="12" t="n">
        <x:v>0</x:v>
      </x:c>
      <x:c r="G785" s="12" t="n">
        <x:v>0</x:v>
      </x:c>
      <x:c r="H785" s="1" t="n">
        <x:f>'Historical prices'!E785</x:f>
        <x:v>1.05</x:v>
      </x:c>
      <x:c r="I785" s="6" t="n">
        <x:f>'Historical prices'!D785</x:f>
        <x:v>0.2226</x:v>
      </x:c>
      <x:c r="J785" s="13" t="n">
        <x:f>D785*I785*H785</x:f>
        <x:v>0.08797986749999999</x:v>
      </x:c>
      <x:c r="K785" s="13" t="n">
        <x:f>E785*I785*H785</x:f>
        <x:v>0.0905508975</x:v>
      </x:c>
      <x:c r="L785" s="1" t="str">
        <x:f>TEXT(A785,"mmm yyyy")</x:f>
        <x:v>May 2026</x:v>
      </x:c>
    </x:row>
    <x:row r="786" ht="21" customHeight="1">
      <x:c r="A786" s="10" t="n">
        <x:v>46164</x:v>
      </x:c>
      <x:c r="B786" s="1" t="n">
        <x:v>21</x:v>
      </x:c>
      <x:c r="C786" s="1" t="n">
        <x:v>6</x:v>
      </x:c>
      <x:c r="D786" s="12" t="n">
        <x:v>0.42466666666666664</x:v>
      </x:c>
      <x:c r="E786" s="12" t="n">
        <x:v>0.43466666666666665</x:v>
      </x:c>
      <x:c r="F786" s="12" t="n">
        <x:v>0</x:v>
      </x:c>
      <x:c r="G786" s="12" t="n">
        <x:v>0</x:v>
      </x:c>
      <x:c r="H786" s="1" t="n">
        <x:f>'Historical prices'!E786</x:f>
        <x:v>1.05</x:v>
      </x:c>
      <x:c r="I786" s="6" t="n">
        <x:f>'Historical prices'!D786</x:f>
        <x:v>0.2226</x:v>
      </x:c>
      <x:c r="J786" s="13" t="n">
        <x:f>D786*I786*H786</x:f>
        <x:v>0.09925733999999999</x:v>
      </x:c>
      <x:c r="K786" s="13" t="n">
        <x:f>E786*I786*H786</x:f>
        <x:v>0.10159464</x:v>
      </x:c>
      <x:c r="L786" s="1" t="str">
        <x:f>TEXT(A786,"mmm yyyy")</x:f>
        <x:v>May 2026</x:v>
      </x:c>
    </x:row>
    <x:row r="787" ht="21" customHeight="1">
      <x:c r="A787" s="10" t="n">
        <x:v>46164</x:v>
      </x:c>
      <x:c r="B787" s="1" t="n">
        <x:v>21.5</x:v>
      </x:c>
      <x:c r="C787" s="1" t="n">
        <x:v>6</x:v>
      </x:c>
      <x:c r="D787" s="12" t="n">
        <x:v>0.9445833333333333</x:v>
      </x:c>
      <x:c r="E787" s="12" t="n">
        <x:v>0.9565833333333333</x:v>
      </x:c>
      <x:c r="F787" s="12" t="n">
        <x:v>0</x:v>
      </x:c>
      <x:c r="G787" s="12" t="n">
        <x:v>0</x:v>
      </x:c>
      <x:c r="H787" s="1" t="n">
        <x:f>'Historical prices'!E787</x:f>
        <x:v>1.05</x:v>
      </x:c>
      <x:c r="I787" s="6" t="n">
        <x:f>'Historical prices'!D787</x:f>
        <x:v>0.2226</x:v>
      </x:c>
      <x:c r="J787" s="13" t="n">
        <x:f>D787*I787*H787</x:f>
        <x:v>0.2207774625</x:v>
      </x:c>
      <x:c r="K787" s="13" t="n">
        <x:f>E787*I787*H787</x:f>
        <x:v>0.2235822225</x:v>
      </x:c>
      <x:c r="L787" s="1" t="str">
        <x:f>TEXT(A787,"mmm yyyy")</x:f>
        <x:v>May 2026</x:v>
      </x:c>
    </x:row>
    <x:row r="788" ht="21" customHeight="1">
      <x:c r="A788" s="10" t="n">
        <x:v>46164</x:v>
      </x:c>
      <x:c r="B788" s="1" t="n">
        <x:v>22</x:v>
      </x:c>
      <x:c r="C788" s="1" t="n">
        <x:v>6</x:v>
      </x:c>
      <x:c r="D788" s="12" t="n">
        <x:v>0.3314166666666666</x:v>
      </x:c>
      <x:c r="E788" s="12" t="n">
        <x:v>0.3414166666666666</x:v>
      </x:c>
      <x:c r="F788" s="12" t="n">
        <x:v>0</x:v>
      </x:c>
      <x:c r="G788" s="12" t="n">
        <x:v>0</x:v>
      </x:c>
      <x:c r="H788" s="1" t="n">
        <x:f>'Historical prices'!E788</x:f>
        <x:v>1.05</x:v>
      </x:c>
      <x:c r="I788" s="6" t="n">
        <x:f>'Historical prices'!D788</x:f>
        <x:v>0.2226</x:v>
      </x:c>
      <x:c r="J788" s="13" t="n">
        <x:f>D788*I788*H788</x:f>
        <x:v>0.07746201749999998</x:v>
      </x:c>
      <x:c r="K788" s="13" t="n">
        <x:f>E788*I788*H788</x:f>
        <x:v>0.07979931749999998</x:v>
      </x:c>
      <x:c r="L788" s="1" t="str">
        <x:f>TEXT(A788,"mmm yyyy")</x:f>
        <x:v>May 2026</x:v>
      </x:c>
    </x:row>
    <x:row r="789" ht="21" customHeight="1">
      <x:c r="A789" s="10" t="n">
        <x:v>46164</x:v>
      </x:c>
      <x:c r="B789" s="1" t="n">
        <x:v>22.5</x:v>
      </x:c>
      <x:c r="C789" s="1" t="n">
        <x:v>6</x:v>
      </x:c>
      <x:c r="D789" s="12" t="n">
        <x:v>0.30025</x:v>
      </x:c>
      <x:c r="E789" s="12" t="n">
        <x:v>0.31125</x:v>
      </x:c>
      <x:c r="F789" s="12" t="n">
        <x:v>0</x:v>
      </x:c>
      <x:c r="G789" s="12" t="n">
        <x:v>0</x:v>
      </x:c>
      <x:c r="H789" s="1" t="n">
        <x:f>'Historical prices'!E789</x:f>
        <x:v>1.05</x:v>
      </x:c>
      <x:c r="I789" s="6" t="n">
        <x:f>'Historical prices'!D789</x:f>
        <x:v>0.2226</x:v>
      </x:c>
      <x:c r="J789" s="13" t="n">
        <x:f>D789*I789*H789</x:f>
        <x:v>0.0701774325</x:v>
      </x:c>
      <x:c r="K789" s="13" t="n">
        <x:f>E789*I789*H789</x:f>
        <x:v>0.07274846250000001</x:v>
      </x:c>
      <x:c r="L789" s="1" t="str">
        <x:f>TEXT(A789,"mmm yyyy")</x:f>
        <x:v>May 2026</x:v>
      </x:c>
    </x:row>
    <x:row r="790" ht="21" customHeight="1">
      <x:c r="A790" s="10" t="n">
        <x:v>46164</x:v>
      </x:c>
      <x:c r="B790" s="1" t="n">
        <x:v>23</x:v>
      </x:c>
      <x:c r="C790" s="1" t="n">
        <x:v>6</x:v>
      </x:c>
      <x:c r="D790" s="12" t="n">
        <x:v>0.243</x:v>
      </x:c>
      <x:c r="E790" s="12" t="n">
        <x:v>0.253</x:v>
      </x:c>
      <x:c r="F790" s="12" t="n">
        <x:v>0</x:v>
      </x:c>
      <x:c r="G790" s="12" t="n">
        <x:v>0</x:v>
      </x:c>
      <x:c r="H790" s="1" t="n">
        <x:f>'Historical prices'!E790</x:f>
        <x:v>1.05</x:v>
      </x:c>
      <x:c r="I790" s="6" t="n">
        <x:f>'Historical prices'!D790</x:f>
        <x:v>0.2226</x:v>
      </x:c>
      <x:c r="J790" s="13" t="n">
        <x:f>D790*I790*H790</x:f>
        <x:v>0.056796389999999995</x:v>
      </x:c>
      <x:c r="K790" s="13" t="n">
        <x:f>E790*I790*H790</x:f>
        <x:v>0.05913369</x:v>
      </x:c>
      <x:c r="L790" s="1" t="str">
        <x:f>TEXT(A790,"mmm yyyy")</x:f>
        <x:v>May 2026</x:v>
      </x:c>
    </x:row>
    <x:row r="791" ht="21" customHeight="1">
      <x:c r="A791" s="10" t="n">
        <x:v>46164</x:v>
      </x:c>
      <x:c r="B791" s="1" t="n">
        <x:v>23.5</x:v>
      </x:c>
      <x:c r="C791" s="1" t="n">
        <x:v>6</x:v>
      </x:c>
      <x:c r="D791" s="12" t="n">
        <x:v>0.2179166666666667</x:v>
      </x:c>
      <x:c r="E791" s="12" t="n">
        <x:v>0.22891666666666666</x:v>
      </x:c>
      <x:c r="F791" s="12" t="n">
        <x:v>0</x:v>
      </x:c>
      <x:c r="G791" s="12" t="n">
        <x:v>0</x:v>
      </x:c>
      <x:c r="H791" s="1" t="n">
        <x:f>'Historical prices'!E791</x:f>
        <x:v>1.05</x:v>
      </x:c>
      <x:c r="I791" s="6" t="n">
        <x:f>'Historical prices'!D791</x:f>
        <x:v>0.2226</x:v>
      </x:c>
      <x:c r="J791" s="13" t="n">
        <x:f>D791*I791*H791</x:f>
        <x:v>0.05093366250000001</x:v>
      </x:c>
      <x:c r="K791" s="13" t="n">
        <x:f>E791*I791*H791</x:f>
        <x:v>0.0535046925</x:v>
      </x:c>
      <x:c r="L791" s="1" t="str">
        <x:f>TEXT(A791,"mmm yyyy")</x:f>
        <x:v>May 2026</x:v>
      </x:c>
    </x:row>
    <x:row r="792" ht="21" customHeight="1">
      <x:c r="A792" s="10" t="n">
        <x:v>46165</x:v>
      </x:c>
      <x:c r="B792" s="1" t="n">
        <x:v>0</x:v>
      </x:c>
      <x:c r="C792" s="1" t="n">
        <x:v>6</x:v>
      </x:c>
      <x:c r="D792" s="12" t="n">
        <x:v>0.19375000000000003</x:v>
      </x:c>
      <x:c r="E792" s="12" t="n">
        <x:v>0.20375000000000004</x:v>
      </x:c>
      <x:c r="F792" s="12" t="n">
        <x:v>0</x:v>
      </x:c>
      <x:c r="G792" s="12" t="n">
        <x:v>0</x:v>
      </x:c>
      <x:c r="H792" s="1" t="n">
        <x:f>'Historical prices'!E792</x:f>
        <x:v>1.05</x:v>
      </x:c>
      <x:c r="I792" s="6" t="n">
        <x:f>'Historical prices'!D792</x:f>
        <x:v>0.18539999999999998</x:v>
      </x:c>
      <x:c r="J792" s="13" t="n">
        <x:f>D792*I792*H792</x:f>
        <x:v>0.0377173125</x:v>
      </x:c>
      <x:c r="K792" s="13" t="n">
        <x:f>E792*I792*H792</x:f>
        <x:v>0.039664012500000005</x:v>
      </x:c>
      <x:c r="L792" s="1" t="str">
        <x:f>TEXT(A792,"mmm yyyy")</x:f>
        <x:v>May 2026</x:v>
      </x:c>
    </x:row>
    <x:row r="793" ht="21" customHeight="1">
      <x:c r="A793" s="10" t="n">
        <x:v>46165</x:v>
      </x:c>
      <x:c r="B793" s="1" t="n">
        <x:v>0.5</x:v>
      </x:c>
      <x:c r="C793" s="1" t="n">
        <x:v>6</x:v>
      </x:c>
      <x:c r="D793" s="12" t="n">
        <x:v>0.27116666666666667</x:v>
      </x:c>
      <x:c r="E793" s="12" t="n">
        <x:v>0.2831666666666666</x:v>
      </x:c>
      <x:c r="F793" s="12" t="n">
        <x:v>0</x:v>
      </x:c>
      <x:c r="G793" s="12" t="n">
        <x:v>0</x:v>
      </x:c>
      <x:c r="H793" s="1" t="n">
        <x:f>'Historical prices'!E793</x:f>
        <x:v>1.05</x:v>
      </x:c>
      <x:c r="I793" s="6" t="n">
        <x:f>'Historical prices'!D793</x:f>
        <x:v>0.17620000000000002</x:v>
      </x:c>
      <x:c r="J793" s="13" t="n">
        <x:f>D793*I793*H793</x:f>
        <x:v>0.05016854500000001</x:v>
      </x:c>
      <x:c r="K793" s="13" t="n">
        <x:f>E793*I793*H793</x:f>
        <x:v>0.052388665</x:v>
      </x:c>
      <x:c r="L793" s="1" t="str">
        <x:f>TEXT(A793,"mmm yyyy")</x:f>
        <x:v>May 2026</x:v>
      </x:c>
    </x:row>
    <x:row r="794" ht="21" customHeight="1">
      <x:c r="A794" s="10" t="n">
        <x:v>46165</x:v>
      </x:c>
      <x:c r="B794" s="1" t="n">
        <x:v>1</x:v>
      </x:c>
      <x:c r="C794" s="1" t="n">
        <x:v>6</x:v>
      </x:c>
      <x:c r="D794" s="12" t="n">
        <x:v>0.23533333333333334</x:v>
      </x:c>
      <x:c r="E794" s="12" t="n">
        <x:v>0.2453333333333333</x:v>
      </x:c>
      <x:c r="F794" s="12" t="n">
        <x:v>0</x:v>
      </x:c>
      <x:c r="G794" s="12" t="n">
        <x:v>0</x:v>
      </x:c>
      <x:c r="H794" s="1" t="n">
        <x:f>'Historical prices'!E794</x:f>
        <x:v>1.05</x:v>
      </x:c>
      <x:c r="I794" s="6" t="n">
        <x:f>'Historical prices'!D794</x:f>
        <x:v>0.16820000000000002</x:v>
      </x:c>
      <x:c r="J794" s="13" t="n">
        <x:f>D794*I794*H794</x:f>
        <x:v>0.04156222000000001</x:v>
      </x:c>
      <x:c r="K794" s="13" t="n">
        <x:f>E794*I794*H794</x:f>
        <x:v>0.04332832</x:v>
      </x:c>
      <x:c r="L794" s="1" t="str">
        <x:f>TEXT(A794,"mmm yyyy")</x:f>
        <x:v>May 2026</x:v>
      </x:c>
    </x:row>
    <x:row r="795" ht="21" customHeight="1">
      <x:c r="A795" s="10" t="n">
        <x:v>46165</x:v>
      </x:c>
      <x:c r="B795" s="1" t="n">
        <x:v>1.5</x:v>
      </x:c>
      <x:c r="C795" s="1" t="n">
        <x:v>6</x:v>
      </x:c>
      <x:c r="D795" s="12" t="n">
        <x:v>0.16933333333333334</x:v>
      </x:c>
      <x:c r="E795" s="12" t="n">
        <x:v>0.18133333333333335</x:v>
      </x:c>
      <x:c r="F795" s="12" t="n">
        <x:v>0</x:v>
      </x:c>
      <x:c r="G795" s="12" t="n">
        <x:v>0</x:v>
      </x:c>
      <x:c r="H795" s="1" t="n">
        <x:f>'Historical prices'!E795</x:f>
        <x:v>1.05</x:v>
      </x:c>
      <x:c r="I795" s="6" t="n">
        <x:f>'Historical prices'!D795</x:f>
        <x:v>0.1745</x:v>
      </x:c>
      <x:c r="J795" s="13" t="n">
        <x:f>D795*I795*H795</x:f>
        <x:v>0.031026099999999997</x:v>
      </x:c>
      <x:c r="K795" s="13" t="n">
        <x:f>E795*I795*H795</x:f>
        <x:v>0.0332248</x:v>
      </x:c>
      <x:c r="L795" s="1" t="str">
        <x:f>TEXT(A795,"mmm yyyy")</x:f>
        <x:v>May 2026</x:v>
      </x:c>
    </x:row>
    <x:row r="796" ht="21" customHeight="1">
      <x:c r="A796" s="10" t="n">
        <x:v>46165</x:v>
      </x:c>
      <x:c r="B796" s="1" t="n">
        <x:v>2</x:v>
      </x:c>
      <x:c r="C796" s="1" t="n">
        <x:v>6</x:v>
      </x:c>
      <x:c r="D796" s="12" t="n">
        <x:v>0.19491666666666668</x:v>
      </x:c>
      <x:c r="E796" s="12" t="n">
        <x:v>0.2039166666666667</x:v>
      </x:c>
      <x:c r="F796" s="12" t="n">
        <x:v>0</x:v>
      </x:c>
      <x:c r="G796" s="12" t="n">
        <x:v>0</x:v>
      </x:c>
      <x:c r="H796" s="1" t="n">
        <x:f>'Historical prices'!E796</x:f>
        <x:v>1.05</x:v>
      </x:c>
      <x:c r="I796" s="6" t="n">
        <x:f>'Historical prices'!D796</x:f>
        <x:v>0.16820000000000002</x:v>
      </x:c>
      <x:c r="J796" s="13" t="n">
        <x:f>D796*I796*H796</x:f>
        <x:v>0.034424232500000006</x:v>
      </x:c>
      <x:c r="K796" s="13" t="n">
        <x:f>E796*I796*H796</x:f>
        <x:v>0.036013722500000005</x:v>
      </x:c>
      <x:c r="L796" s="1" t="str">
        <x:f>TEXT(A796,"mmm yyyy")</x:f>
        <x:v>May 2026</x:v>
      </x:c>
    </x:row>
    <x:row r="797" ht="21" customHeight="1">
      <x:c r="A797" s="10" t="n">
        <x:v>46165</x:v>
      </x:c>
      <x:c r="B797" s="1" t="n">
        <x:v>2.5</x:v>
      </x:c>
      <x:c r="C797" s="1" t="n">
        <x:v>6</x:v>
      </x:c>
      <x:c r="D797" s="12" t="n">
        <x:v>0.2696666666666667</x:v>
      </x:c>
      <x:c r="E797" s="12" t="n">
        <x:v>0.27966666666666673</x:v>
      </x:c>
      <x:c r="F797" s="12" t="n">
        <x:v>0</x:v>
      </x:c>
      <x:c r="G797" s="12" t="n">
        <x:v>0</x:v>
      </x:c>
      <x:c r="H797" s="1" t="n">
        <x:f>'Historical prices'!E797</x:f>
        <x:v>1.05</x:v>
      </x:c>
      <x:c r="I797" s="6" t="n">
        <x:f>'Historical prices'!D797</x:f>
        <x:v>0.15560000000000002</x:v>
      </x:c>
      <x:c r="J797" s="13" t="n">
        <x:f>D797*I797*H797</x:f>
        <x:v>0.04405814000000001</x:v>
      </x:c>
      <x:c r="K797" s="13" t="n">
        <x:f>E797*I797*H797</x:f>
        <x:v>0.045691940000000014</x:v>
      </x:c>
      <x:c r="L797" s="1" t="str">
        <x:f>TEXT(A797,"mmm yyyy")</x:f>
        <x:v>May 2026</x:v>
      </x:c>
    </x:row>
    <x:row r="798" ht="21" customHeight="1">
      <x:c r="A798" s="10" t="n">
        <x:v>46165</x:v>
      </x:c>
      <x:c r="B798" s="1" t="n">
        <x:v>3</x:v>
      </x:c>
      <x:c r="C798" s="1" t="n">
        <x:v>6</x:v>
      </x:c>
      <x:c r="D798" s="12" t="n">
        <x:v>0.21183333333333335</x:v>
      </x:c>
      <x:c r="E798" s="12" t="n">
        <x:v>0.22283333333333336</x:v>
      </x:c>
      <x:c r="F798" s="12" t="n">
        <x:v>0</x:v>
      </x:c>
      <x:c r="G798" s="12" t="n">
        <x:v>0</x:v>
      </x:c>
      <x:c r="H798" s="1" t="n">
        <x:f>'Historical prices'!E798</x:f>
        <x:v>1.05</x:v>
      </x:c>
      <x:c r="I798" s="6" t="n">
        <x:f>'Historical prices'!D798</x:f>
        <x:v>0.16399999999999998</x:v>
      </x:c>
      <x:c r="J798" s="13" t="n">
        <x:f>D798*I798*H798</x:f>
        <x:v>0.036477699999999995</x:v>
      </x:c>
      <x:c r="K798" s="13" t="n">
        <x:f>E798*I798*H798</x:f>
        <x:v>0.0383719</x:v>
      </x:c>
      <x:c r="L798" s="1" t="str">
        <x:f>TEXT(A798,"mmm yyyy")</x:f>
        <x:v>May 2026</x:v>
      </x:c>
    </x:row>
    <x:row r="799" ht="21" customHeight="1">
      <x:c r="A799" s="10" t="n">
        <x:v>46165</x:v>
      </x:c>
      <x:c r="B799" s="1" t="n">
        <x:v>3.5</x:v>
      </x:c>
      <x:c r="C799" s="1" t="n">
        <x:v>6</x:v>
      </x:c>
      <x:c r="D799" s="12" t="n">
        <x:v>0.17758333333333334</x:v>
      </x:c>
      <x:c r="E799" s="12" t="n">
        <x:v>0.18858333333333335</x:v>
      </x:c>
      <x:c r="F799" s="12" t="n">
        <x:v>0</x:v>
      </x:c>
      <x:c r="G799" s="12" t="n">
        <x:v>0</x:v>
      </x:c>
      <x:c r="H799" s="1" t="n">
        <x:f>'Historical prices'!E799</x:f>
        <x:v>1.05</x:v>
      </x:c>
      <x:c r="I799" s="6" t="n">
        <x:f>'Historical prices'!D799</x:f>
        <x:v>0.1515</x:v>
      </x:c>
      <x:c r="J799" s="13" t="n">
        <x:f>D799*I799*H799</x:f>
        <x:v>0.028249068750000002</x:v>
      </x:c>
      <x:c r="K799" s="13" t="n">
        <x:f>E799*I799*H799</x:f>
        <x:v>0.029998893750000002</x:v>
      </x:c>
      <x:c r="L799" s="1" t="str">
        <x:f>TEXT(A799,"mmm yyyy")</x:f>
        <x:v>May 2026</x:v>
      </x:c>
    </x:row>
    <x:row r="800" ht="21" customHeight="1">
      <x:c r="A800" s="10" t="n">
        <x:v>46165</x:v>
      </x:c>
      <x:c r="B800" s="1" t="n">
        <x:v>4</x:v>
      </x:c>
      <x:c r="C800" s="1" t="n">
        <x:v>6</x:v>
      </x:c>
      <x:c r="D800" s="12" t="n">
        <x:v>0.2425</x:v>
      </x:c>
      <x:c r="E800" s="12" t="n">
        <x:v>0.2525</x:v>
      </x:c>
      <x:c r="F800" s="12" t="n">
        <x:v>0</x:v>
      </x:c>
      <x:c r="G800" s="12" t="n">
        <x:v>0</x:v>
      </x:c>
      <x:c r="H800" s="1" t="n">
        <x:f>'Historical prices'!E800</x:f>
        <x:v>1.05</x:v>
      </x:c>
      <x:c r="I800" s="6" t="n">
        <x:f>'Historical prices'!D800</x:f>
        <x:v>0.159</x:v>
      </x:c>
      <x:c r="J800" s="13" t="n">
        <x:f>D800*I800*H800</x:f>
        <x:v>0.040485375000000004</x:v>
      </x:c>
      <x:c r="K800" s="13" t="n">
        <x:f>E800*I800*H800</x:f>
        <x:v>0.042154875</x:v>
      </x:c>
      <x:c r="L800" s="1" t="str">
        <x:f>TEXT(A800,"mmm yyyy")</x:f>
        <x:v>May 2026</x:v>
      </x:c>
    </x:row>
    <x:row r="801" ht="21" customHeight="1">
      <x:c r="A801" s="10" t="n">
        <x:v>46165</x:v>
      </x:c>
      <x:c r="B801" s="1" t="n">
        <x:v>4.5</x:v>
      </x:c>
      <x:c r="C801" s="1" t="n">
        <x:v>6</x:v>
      </x:c>
      <x:c r="D801" s="12" t="n">
        <x:v>0.2310833333333333</x:v>
      </x:c>
      <x:c r="E801" s="12" t="n">
        <x:v>0.24308333333333332</x:v>
      </x:c>
      <x:c r="F801" s="12" t="n">
        <x:v>0</x:v>
      </x:c>
      <x:c r="G801" s="12" t="n">
        <x:v>0</x:v>
      </x:c>
      <x:c r="H801" s="1" t="n">
        <x:f>'Historical prices'!E801</x:f>
        <x:v>1.05</x:v>
      </x:c>
      <x:c r="I801" s="6" t="n">
        <x:f>'Historical prices'!D801</x:f>
        <x:v>0.1653</x:v>
      </x:c>
      <x:c r="J801" s="13" t="n">
        <x:f>D801*I801*H801</x:f>
        <x:v>0.04010797875</x:v>
      </x:c>
      <x:c r="K801" s="13" t="n">
        <x:f>E801*I801*H801</x:f>
        <x:v>0.04219075875</x:v>
      </x:c>
      <x:c r="L801" s="1" t="str">
        <x:f>TEXT(A801,"mmm yyyy")</x:f>
        <x:v>May 2026</x:v>
      </x:c>
    </x:row>
    <x:row r="802" ht="21" customHeight="1">
      <x:c r="A802" s="10" t="n">
        <x:v>46165</x:v>
      </x:c>
      <x:c r="B802" s="1" t="n">
        <x:v>5</x:v>
      </x:c>
      <x:c r="C802" s="1" t="n">
        <x:v>6</x:v>
      </x:c>
      <x:c r="D802" s="12" t="n">
        <x:v>0.23916666666666664</x:v>
      </x:c>
      <x:c r="E802" s="12" t="n">
        <x:v>0.24916666666666665</x:v>
      </x:c>
      <x:c r="F802" s="12" t="n">
        <x:v>0</x:v>
      </x:c>
      <x:c r="G802" s="12" t="n">
        <x:v>0</x:v>
      </x:c>
      <x:c r="H802" s="1" t="n">
        <x:f>'Historical prices'!E802</x:f>
        <x:v>1.05</x:v>
      </x:c>
      <x:c r="I802" s="6" t="n">
        <x:f>'Historical prices'!D802</x:f>
        <x:v>0.163</x:v>
      </x:c>
      <x:c r="J802" s="13" t="n">
        <x:f>D802*I802*H802</x:f>
        <x:v>0.040933375</x:v>
      </x:c>
      <x:c r="K802" s="13" t="n">
        <x:f>E802*I802*H802</x:f>
        <x:v>0.042644875</x:v>
      </x:c>
      <x:c r="L802" s="1" t="str">
        <x:f>TEXT(A802,"mmm yyyy")</x:f>
        <x:v>May 2026</x:v>
      </x:c>
    </x:row>
    <x:row r="803" ht="21" customHeight="1">
      <x:c r="A803" s="10" t="n">
        <x:v>46165</x:v>
      </x:c>
      <x:c r="B803" s="1" t="n">
        <x:v>5.5</x:v>
      </x:c>
      <x:c r="C803" s="1" t="n">
        <x:v>6</x:v>
      </x:c>
      <x:c r="D803" s="12" t="n">
        <x:v>0.3139166666666667</x:v>
      </x:c>
      <x:c r="E803" s="12" t="n">
        <x:v>0.3249166666666667</x:v>
      </x:c>
      <x:c r="F803" s="12" t="n">
        <x:v>0</x:v>
      </x:c>
      <x:c r="G803" s="12" t="n">
        <x:v>0</x:v>
      </x:c>
      <x:c r="H803" s="1" t="n">
        <x:f>'Historical prices'!E803</x:f>
        <x:v>1.05</x:v>
      </x:c>
      <x:c r="I803" s="6" t="n">
        <x:f>'Historical prices'!D803</x:f>
        <x:v>0.165</x:v>
      </x:c>
      <x:c r="J803" s="13" t="n">
        <x:f>D803*I803*H803</x:f>
        <x:v>0.054386062500000006</x:v>
      </x:c>
      <x:c r="K803" s="13" t="n">
        <x:f>E803*I803*H803</x:f>
        <x:v>0.05629181250000001</x:v>
      </x:c>
      <x:c r="L803" s="1" t="str">
        <x:f>TEXT(A803,"mmm yyyy")</x:f>
        <x:v>May 2026</x:v>
      </x:c>
    </x:row>
    <x:row r="804" ht="21" customHeight="1">
      <x:c r="A804" s="10" t="n">
        <x:v>46165</x:v>
      </x:c>
      <x:c r="B804" s="1" t="n">
        <x:v>6</x:v>
      </x:c>
      <x:c r="C804" s="1" t="n">
        <x:v>6</x:v>
      </x:c>
      <x:c r="D804" s="12" t="n">
        <x:v>0.46225</x:v>
      </x:c>
      <x:c r="E804" s="12" t="n">
        <x:v>0.47225</x:v>
      </x:c>
      <x:c r="F804" s="12" t="n">
        <x:v>0</x:v>
      </x:c>
      <x:c r="G804" s="12" t="n">
        <x:v>0</x:v>
      </x:c>
      <x:c r="H804" s="1" t="n">
        <x:f>'Historical prices'!E804</x:f>
        <x:v>1.05</x:v>
      </x:c>
      <x:c r="I804" s="6" t="n">
        <x:f>'Historical prices'!D804</x:f>
        <x:v>0.15990000000000001</x:v>
      </x:c>
      <x:c r="J804" s="13" t="n">
        <x:f>D804*I804*H804</x:f>
        <x:v>0.07760946375000001</x:v>
      </x:c>
      <x:c r="K804" s="13" t="n">
        <x:f>E804*I804*H804</x:f>
        <x:v>0.07928841375000001</x:v>
      </x:c>
      <x:c r="L804" s="1" t="str">
        <x:f>TEXT(A804,"mmm yyyy")</x:f>
        <x:v>May 2026</x:v>
      </x:c>
    </x:row>
    <x:row r="805" ht="21" customHeight="1">
      <x:c r="A805" s="10" t="n">
        <x:v>46165</x:v>
      </x:c>
      <x:c r="B805" s="1" t="n">
        <x:v>6.5</x:v>
      </x:c>
      <x:c r="C805" s="1" t="n">
        <x:v>6</x:v>
      </x:c>
      <x:c r="D805" s="12" t="n">
        <x:v>0.39199999999999996</x:v>
      </x:c>
      <x:c r="E805" s="12" t="n">
        <x:v>0.40299999999999997</x:v>
      </x:c>
      <x:c r="F805" s="12" t="n">
        <x:v>0</x:v>
      </x:c>
      <x:c r="G805" s="12" t="n">
        <x:v>0</x:v>
      </x:c>
      <x:c r="H805" s="1" t="n">
        <x:f>'Historical prices'!E805</x:f>
        <x:v>1.05</x:v>
      </x:c>
      <x:c r="I805" s="6" t="n">
        <x:f>'Historical prices'!D805</x:f>
        <x:v>0.1697</x:v>
      </x:c>
      <x:c r="J805" s="13" t="n">
        <x:f>D805*I805*H805</x:f>
        <x:v>0.06984852</x:v>
      </x:c>
      <x:c r="K805" s="13" t="n">
        <x:f>E805*I805*H805</x:f>
        <x:v>0.071808555</x:v>
      </x:c>
      <x:c r="L805" s="1" t="str">
        <x:f>TEXT(A805,"mmm yyyy")</x:f>
        <x:v>May 2026</x:v>
      </x:c>
    </x:row>
    <x:row r="806" ht="21" customHeight="1">
      <x:c r="A806" s="10" t="n">
        <x:v>46165</x:v>
      </x:c>
      <x:c r="B806" s="1" t="n">
        <x:v>7</x:v>
      </x:c>
      <x:c r="C806" s="1" t="n">
        <x:v>6</x:v>
      </x:c>
      <x:c r="D806" s="12" t="n">
        <x:v>0.4559166666666667</x:v>
      </x:c>
      <x:c r="E806" s="12" t="n">
        <x:v>0.46591666666666665</x:v>
      </x:c>
      <x:c r="F806" s="12" t="n">
        <x:v>0</x:v>
      </x:c>
      <x:c r="G806" s="12" t="n">
        <x:v>0</x:v>
      </x:c>
      <x:c r="H806" s="1" t="n">
        <x:f>'Historical prices'!E806</x:f>
        <x:v>1.05</x:v>
      </x:c>
      <x:c r="I806" s="6" t="n">
        <x:f>'Historical prices'!D806</x:f>
        <x:v>0.1848</x:v>
      </x:c>
      <x:c r="J806" s="13" t="n">
        <x:f>D806*I806*H806</x:f>
        <x:v>0.08846607000000001</x:v>
      </x:c>
      <x:c r="K806" s="13" t="n">
        <x:f>E806*I806*H806</x:f>
        <x:v>0.09040647</x:v>
      </x:c>
      <x:c r="L806" s="1" t="str">
        <x:f>TEXT(A806,"mmm yyyy")</x:f>
        <x:v>May 2026</x:v>
      </x:c>
    </x:row>
    <x:row r="807" ht="21" customHeight="1">
      <x:c r="A807" s="10" t="n">
        <x:v>46165</x:v>
      </x:c>
      <x:c r="B807" s="1" t="n">
        <x:v>7.5</x:v>
      </x:c>
      <x:c r="C807" s="1" t="n">
        <x:v>6</x:v>
      </x:c>
      <x:c r="D807" s="12" t="n">
        <x:v>0.5387500000000001</x:v>
      </x:c>
      <x:c r="E807" s="12" t="n">
        <x:v>0.5507500000000001</x:v>
      </x:c>
      <x:c r="F807" s="12" t="n">
        <x:v>0</x:v>
      </x:c>
      <x:c r="G807" s="12" t="n">
        <x:v>0</x:v>
      </x:c>
      <x:c r="H807" s="1" t="n">
        <x:f>'Historical prices'!E807</x:f>
        <x:v>1.05</x:v>
      </x:c>
      <x:c r="I807" s="6" t="n">
        <x:f>'Historical prices'!D807</x:f>
        <x:v>0.1931</x:v>
      </x:c>
      <x:c r="J807" s="13" t="n">
        <x:f>D807*I807*H807</x:f>
        <x:v>0.10923425625000001</x:v>
      </x:c>
      <x:c r="K807" s="13" t="n">
        <x:f>E807*I807*H807</x:f>
        <x:v>0.11166731625000001</x:v>
      </x:c>
      <x:c r="L807" s="1" t="str">
        <x:f>TEXT(A807,"mmm yyyy")</x:f>
        <x:v>May 2026</x:v>
      </x:c>
    </x:row>
    <x:row r="808" ht="21" customHeight="1">
      <x:c r="A808" s="10" t="n">
        <x:v>46165</x:v>
      </x:c>
      <x:c r="B808" s="1" t="n">
        <x:v>8</x:v>
      </x:c>
      <x:c r="C808" s="1" t="n">
        <x:v>6</x:v>
      </x:c>
      <x:c r="D808" s="12" t="n">
        <x:v>1.1098333333333334</x:v>
      </x:c>
      <x:c r="E808" s="12" t="n">
        <x:v>1.1198333333333335</x:v>
      </x:c>
      <x:c r="F808" s="12" t="n">
        <x:v>0</x:v>
      </x:c>
      <x:c r="G808" s="12" t="n">
        <x:v>0</x:v>
      </x:c>
      <x:c r="H808" s="1" t="n">
        <x:f>'Historical prices'!E808</x:f>
        <x:v>1.05</x:v>
      </x:c>
      <x:c r="I808" s="6" t="n">
        <x:f>'Historical prices'!D808</x:f>
        <x:v>0.1913</x:v>
      </x:c>
      <x:c r="J808" s="13" t="n">
        <x:f>D808*I808*H808</x:f>
        <x:v>0.22292667250000003</x:v>
      </x:c>
      <x:c r="K808" s="13" t="n">
        <x:f>E808*I808*H808</x:f>
        <x:v>0.22493532250000003</x:v>
      </x:c>
      <x:c r="L808" s="1" t="str">
        <x:f>TEXT(A808,"mmm yyyy")</x:f>
        <x:v>May 2026</x:v>
      </x:c>
    </x:row>
    <x:row r="809" ht="21" customHeight="1">
      <x:c r="A809" s="10" t="n">
        <x:v>46165</x:v>
      </x:c>
      <x:c r="B809" s="1" t="n">
        <x:v>8.5</x:v>
      </x:c>
      <x:c r="C809" s="1" t="n">
        <x:v>6</x:v>
      </x:c>
      <x:c r="D809" s="12" t="n">
        <x:v>0.6203333333333333</x:v>
      </x:c>
      <x:c r="E809" s="12" t="n">
        <x:v>0.6303333333333333</x:v>
      </x:c>
      <x:c r="F809" s="12" t="n">
        <x:v>0</x:v>
      </x:c>
      <x:c r="G809" s="12" t="n">
        <x:v>0</x:v>
      </x:c>
      <x:c r="H809" s="1" t="n">
        <x:f>'Historical prices'!E809</x:f>
        <x:v>1.05</x:v>
      </x:c>
      <x:c r="I809" s="6" t="n">
        <x:f>'Historical prices'!D809</x:f>
        <x:v>0.1913</x:v>
      </x:c>
      <x:c r="J809" s="13" t="n">
        <x:f>D809*I809*H809</x:f>
        <x:v>0.124603255</x:v>
      </x:c>
      <x:c r="K809" s="13" t="n">
        <x:f>E809*I809*H809</x:f>
        <x:v>0.126611905</x:v>
      </x:c>
      <x:c r="L809" s="1" t="str">
        <x:f>TEXT(A809,"mmm yyyy")</x:f>
        <x:v>May 2026</x:v>
      </x:c>
    </x:row>
    <x:row r="810" ht="21" customHeight="1">
      <x:c r="A810" s="10" t="n">
        <x:v>46165</x:v>
      </x:c>
      <x:c r="B810" s="1" t="n">
        <x:v>9</x:v>
      </x:c>
      <x:c r="C810" s="1" t="n">
        <x:v>6</x:v>
      </x:c>
      <x:c r="D810" s="12" t="n">
        <x:v>0.07575</x:v>
      </x:c>
      <x:c r="E810" s="12" t="n">
        <x:v>0.9103333333333333</x:v>
      </x:c>
      <x:c r="F810" s="12" t="n">
        <x:v>0.82875</x:v>
      </x:c>
      <x:c r="G810" s="12" t="n">
        <x:v>0</x:v>
      </x:c>
      <x:c r="H810" s="1" t="n">
        <x:f>'Historical prices'!E810</x:f>
        <x:v>1.05</x:v>
      </x:c>
      <x:c r="I810" s="6" t="n">
        <x:f>'Historical prices'!D810</x:f>
        <x:v>0.1808</x:v>
      </x:c>
      <x:c r="J810" s="13" t="n">
        <x:f>D810*I810*H810</x:f>
        <x:v>0.01438038</x:v>
      </x:c>
      <x:c r="K810" s="13" t="n">
        <x:f>E810*I810*H810</x:f>
        <x:v>0.17281768</x:v>
      </x:c>
      <x:c r="L810" s="1" t="str">
        <x:f>TEXT(A810,"mmm yyyy")</x:f>
        <x:v>May 2026</x:v>
      </x:c>
    </x:row>
    <x:row r="811" ht="21" customHeight="1">
      <x:c r="A811" s="10" t="n">
        <x:v>46165</x:v>
      </x:c>
      <x:c r="B811" s="1" t="n">
        <x:v>9.5</x:v>
      </x:c>
      <x:c r="C811" s="1" t="n">
        <x:v>6</x:v>
      </x:c>
      <x:c r="D811" s="12" t="n">
        <x:v>0</x:v>
      </x:c>
      <x:c r="E811" s="12" t="n">
        <x:v>1.2605833333333334</x:v>
      </x:c>
      <x:c r="F811" s="12" t="n">
        <x:v>1.2604166666666665</x:v>
      </x:c>
      <x:c r="G811" s="12" t="n">
        <x:v>0</x:v>
      </x:c>
      <x:c r="H811" s="1" t="n">
        <x:f>'Historical prices'!E811</x:f>
        <x:v>1.05</x:v>
      </x:c>
      <x:c r="I811" s="6" t="n">
        <x:f>'Historical prices'!D811</x:f>
        <x:v>0.16760000000000003</x:v>
      </x:c>
      <x:c r="J811" s="13" t="n">
        <x:f>D811*I811*H811</x:f>
        <x:v>0</x:v>
      </x:c>
      <x:c r="K811" s="13" t="n">
        <x:f>E811*I811*H811</x:f>
        <x:v>0.22183745500000007</x:v>
      </x:c>
      <x:c r="L811" s="1" t="str">
        <x:f>TEXT(A811,"mmm yyyy")</x:f>
        <x:v>May 2026</x:v>
      </x:c>
    </x:row>
    <x:row r="812" ht="21" customHeight="1">
      <x:c r="A812" s="10" t="n">
        <x:v>46165</x:v>
      </x:c>
      <x:c r="B812" s="1" t="n">
        <x:v>10</x:v>
      </x:c>
      <x:c r="C812" s="1" t="n">
        <x:v>6</x:v>
      </x:c>
      <x:c r="D812" s="12" t="n">
        <x:v>0</x:v>
      </x:c>
      <x:c r="E812" s="12" t="n">
        <x:v>0.6879999999999998</x:v>
      </x:c>
      <x:c r="F812" s="12" t="n">
        <x:v>0.6878333333333332</x:v>
      </x:c>
      <x:c r="G812" s="12" t="n">
        <x:v>0</x:v>
      </x:c>
      <x:c r="H812" s="1" t="n">
        <x:f>'Historical prices'!E812</x:f>
        <x:v>1.05</x:v>
      </x:c>
      <x:c r="I812" s="6" t="n">
        <x:f>'Historical prices'!D812</x:f>
        <x:v>0.1514</x:v>
      </x:c>
      <x:c r="J812" s="13" t="n">
        <x:f>D812*I812*H812</x:f>
        <x:v>0</x:v>
      </x:c>
      <x:c r="K812" s="13" t="n">
        <x:f>E812*I812*H812</x:f>
        <x:v>0.10937135999999999</x:v>
      </x:c>
      <x:c r="L812" s="1" t="str">
        <x:f>TEXT(A812,"mmm yyyy")</x:f>
        <x:v>May 2026</x:v>
      </x:c>
    </x:row>
    <x:row r="813" ht="21" customHeight="1">
      <x:c r="A813" s="10" t="n">
        <x:v>46165</x:v>
      </x:c>
      <x:c r="B813" s="1" t="n">
        <x:v>10.5</x:v>
      </x:c>
      <x:c r="C813" s="1" t="n">
        <x:v>6</x:v>
      </x:c>
      <x:c r="D813" s="12" t="n">
        <x:v>0</x:v>
      </x:c>
      <x:c r="E813" s="12" t="n">
        <x:v>0.5085</x:v>
      </x:c>
      <x:c r="F813" s="12" t="n">
        <x:v>0.5085</x:v>
      </x:c>
      <x:c r="G813" s="12" t="n">
        <x:v>0</x:v>
      </x:c>
      <x:c r="H813" s="1" t="n">
        <x:f>'Historical prices'!E813</x:f>
        <x:v>1.05</x:v>
      </x:c>
      <x:c r="I813" s="6" t="n">
        <x:f>'Historical prices'!D813</x:f>
        <x:v>0.15560000000000002</x:v>
      </x:c>
      <x:c r="J813" s="13" t="n">
        <x:f>D813*I813*H813</x:f>
        <x:v>0</x:v>
      </x:c>
      <x:c r="K813" s="13" t="n">
        <x:f>E813*I813*H813</x:f>
        <x:v>0.08307873</x:v>
      </x:c>
      <x:c r="L813" s="1" t="str">
        <x:f>TEXT(A813,"mmm yyyy")</x:f>
        <x:v>May 2026</x:v>
      </x:c>
    </x:row>
    <x:row r="814" ht="21" customHeight="1">
      <x:c r="A814" s="10" t="n">
        <x:v>46165</x:v>
      </x:c>
      <x:c r="B814" s="1" t="n">
        <x:v>11</x:v>
      </x:c>
      <x:c r="C814" s="1" t="n">
        <x:v>6</x:v>
      </x:c>
      <x:c r="D814" s="12" t="n">
        <x:v>0</x:v>
      </x:c>
      <x:c r="E814" s="12" t="n">
        <x:v>0.49824999999999997</x:v>
      </x:c>
      <x:c r="F814" s="12" t="n">
        <x:v>0.4979166666666667</x:v>
      </x:c>
      <x:c r="G814" s="12" t="n">
        <x:v>0</x:v>
      </x:c>
      <x:c r="H814" s="1" t="n">
        <x:f>'Historical prices'!E814</x:f>
        <x:v>1.05</x:v>
      </x:c>
      <x:c r="I814" s="6" t="n">
        <x:f>'Historical prices'!D814</x:f>
        <x:v>0.1423</x:v>
      </x:c>
      <x:c r="J814" s="13" t="n">
        <x:f>D814*I814*H814</x:f>
        <x:v>0</x:v>
      </x:c>
      <x:c r="K814" s="13" t="n">
        <x:f>E814*I814*H814</x:f>
        <x:v>0.07444602375</x:v>
      </x:c>
      <x:c r="L814" s="1" t="str">
        <x:f>TEXT(A814,"mmm yyyy")</x:f>
        <x:v>May 2026</x:v>
      </x:c>
    </x:row>
    <x:row r="815" ht="21" customHeight="1">
      <x:c r="A815" s="10" t="n">
        <x:v>46165</x:v>
      </x:c>
      <x:c r="B815" s="1" t="n">
        <x:v>11.5</x:v>
      </x:c>
      <x:c r="C815" s="1" t="n">
        <x:v>6</x:v>
      </x:c>
      <x:c r="D815" s="12" t="n">
        <x:v>0</x:v>
      </x:c>
      <x:c r="E815" s="12" t="n">
        <x:v>0.4596666666666667</x:v>
      </x:c>
      <x:c r="F815" s="12" t="n">
        <x:v>0.4596666666666667</x:v>
      </x:c>
      <x:c r="G815" s="12" t="n">
        <x:v>0</x:v>
      </x:c>
      <x:c r="H815" s="1" t="n">
        <x:f>'Historical prices'!E815</x:f>
        <x:v>1.05</x:v>
      </x:c>
      <x:c r="I815" s="6" t="n">
        <x:f>'Historical prices'!D815</x:f>
        <x:v>0.1282</x:v>
      </x:c>
      <x:c r="J815" s="13" t="n">
        <x:f>D815*I815*H815</x:f>
        <x:v>0</x:v>
      </x:c>
      <x:c r="K815" s="13" t="n">
        <x:f>E815*I815*H815</x:f>
        <x:v>0.06187573000000002</x:v>
      </x:c>
      <x:c r="L815" s="1" t="str">
        <x:f>TEXT(A815,"mmm yyyy")</x:f>
        <x:v>May 2026</x:v>
      </x:c>
    </x:row>
    <x:row r="816" ht="21" customHeight="1">
      <x:c r="A816" s="10" t="n">
        <x:v>46165</x:v>
      </x:c>
      <x:c r="B816" s="1" t="n">
        <x:v>12</x:v>
      </x:c>
      <x:c r="C816" s="1" t="n">
        <x:v>6</x:v>
      </x:c>
      <x:c r="D816" s="12" t="n">
        <x:v>0</x:v>
      </x:c>
      <x:c r="E816" s="12" t="n">
        <x:v>0.42566666666666675</x:v>
      </x:c>
      <x:c r="F816" s="12" t="n">
        <x:v>0.42566666666666675</x:v>
      </x:c>
      <x:c r="G816" s="12" t="n">
        <x:v>0</x:v>
      </x:c>
      <x:c r="H816" s="1" t="n">
        <x:f>'Historical prices'!E816</x:f>
        <x:v>1.05</x:v>
      </x:c>
      <x:c r="I816" s="6" t="n">
        <x:f>'Historical prices'!D816</x:f>
        <x:v>0.1234</x:v>
      </x:c>
      <x:c r="J816" s="13" t="n">
        <x:f>D816*I816*H816</x:f>
        <x:v>0</x:v>
      </x:c>
      <x:c r="K816" s="13" t="n">
        <x:f>E816*I816*H816</x:f>
        <x:v>0.05515363000000001</x:v>
      </x:c>
      <x:c r="L816" s="1" t="str">
        <x:f>TEXT(A816,"mmm yyyy")</x:f>
        <x:v>May 2026</x:v>
      </x:c>
    </x:row>
    <x:row r="817" ht="21" customHeight="1">
      <x:c r="A817" s="10" t="n">
        <x:v>46165</x:v>
      </x:c>
      <x:c r="B817" s="1" t="n">
        <x:v>12.5</x:v>
      </x:c>
      <x:c r="C817" s="1" t="n">
        <x:v>6</x:v>
      </x:c>
      <x:c r="D817" s="12" t="n">
        <x:v>0</x:v>
      </x:c>
      <x:c r="E817" s="12" t="n">
        <x:v>0.46691666666666665</x:v>
      </x:c>
      <x:c r="F817" s="12" t="n">
        <x:v>0.46675</x:v>
      </x:c>
      <x:c r="G817" s="12" t="n">
        <x:v>0</x:v>
      </x:c>
      <x:c r="H817" s="1" t="n">
        <x:f>'Historical prices'!E817</x:f>
        <x:v>1.05</x:v>
      </x:c>
      <x:c r="I817" s="6" t="n">
        <x:f>'Historical prices'!D817</x:f>
        <x:v>0.12390000000000001</x:v>
      </x:c>
      <x:c r="J817" s="13" t="n">
        <x:f>D817*I817*H817</x:f>
        <x:v>0</x:v>
      </x:c>
      <x:c r="K817" s="13" t="n">
        <x:f>E817*I817*H817</x:f>
        <x:v>0.06074352375</x:v>
      </x:c>
      <x:c r="L817" s="1" t="str">
        <x:f>TEXT(A817,"mmm yyyy")</x:f>
        <x:v>May 2026</x:v>
      </x:c>
    </x:row>
    <x:row r="818" ht="21" customHeight="1">
      <x:c r="A818" s="10" t="n">
        <x:v>46165</x:v>
      </x:c>
      <x:c r="B818" s="1" t="n">
        <x:v>13</x:v>
      </x:c>
      <x:c r="C818" s="1" t="n">
        <x:v>6</x:v>
      </x:c>
      <x:c r="D818" s="12" t="n">
        <x:v>0</x:v>
      </x:c>
      <x:c r="E818" s="12" t="n">
        <x:v>0.4798333333333333</x:v>
      </x:c>
      <x:c r="F818" s="12" t="n">
        <x:v>0.4798333333333333</x:v>
      </x:c>
      <x:c r="G818" s="12" t="n">
        <x:v>0</x:v>
      </x:c>
      <x:c r="H818" s="1" t="n">
        <x:f>'Historical prices'!E818</x:f>
        <x:v>1.05</x:v>
      </x:c>
      <x:c r="I818" s="6" t="n">
        <x:f>'Historical prices'!D818</x:f>
        <x:v>0.1161</x:v>
      </x:c>
      <x:c r="J818" s="13" t="n">
        <x:f>D818*I818*H818</x:f>
        <x:v>0</x:v>
      </x:c>
      <x:c r="K818" s="13" t="n">
        <x:f>E818*I818*H818</x:f>
        <x:v>0.058494082499999996</x:v>
      </x:c>
      <x:c r="L818" s="1" t="str">
        <x:f>TEXT(A818,"mmm yyyy")</x:f>
        <x:v>May 2026</x:v>
      </x:c>
    </x:row>
    <x:row r="819" ht="21" customHeight="1">
      <x:c r="A819" s="10" t="n">
        <x:v>46165</x:v>
      </x:c>
      <x:c r="B819" s="1" t="n">
        <x:v>13.5</x:v>
      </x:c>
      <x:c r="C819" s="1" t="n">
        <x:v>6</x:v>
      </x:c>
      <x:c r="D819" s="12" t="n">
        <x:v>0</x:v>
      </x:c>
      <x:c r="E819" s="12" t="n">
        <x:v>0.39383333333333337</x:v>
      </x:c>
      <x:c r="F819" s="12" t="n">
        <x:v>0.39383333333333337</x:v>
      </x:c>
      <x:c r="G819" s="12" t="n">
        <x:v>0</x:v>
      </x:c>
      <x:c r="H819" s="1" t="n">
        <x:f>'Historical prices'!E819</x:f>
        <x:v>1.05</x:v>
      </x:c>
      <x:c r="I819" s="6" t="n">
        <x:f>'Historical prices'!D819</x:f>
        <x:v>0.10800000000000001</x:v>
      </x:c>
      <x:c r="J819" s="13" t="n">
        <x:f>D819*I819*H819</x:f>
        <x:v>0</x:v>
      </x:c>
      <x:c r="K819" s="13" t="n">
        <x:f>E819*I819*H819</x:f>
        <x:v>0.04466070000000001</x:v>
      </x:c>
      <x:c r="L819" s="1" t="str">
        <x:f>TEXT(A819,"mmm yyyy")</x:f>
        <x:v>May 2026</x:v>
      </x:c>
    </x:row>
    <x:row r="820" ht="21" customHeight="1">
      <x:c r="A820" s="10" t="n">
        <x:v>46165</x:v>
      </x:c>
      <x:c r="B820" s="1" t="n">
        <x:v>14</x:v>
      </x:c>
      <x:c r="C820" s="1" t="n">
        <x:v>6</x:v>
      </x:c>
      <x:c r="D820" s="12" t="n">
        <x:v>0</x:v>
      </x:c>
      <x:c r="E820" s="12" t="n">
        <x:v>0.44591666666666663</x:v>
      </x:c>
      <x:c r="F820" s="12" t="n">
        <x:v>0.4458333333333333</x:v>
      </x:c>
      <x:c r="G820" s="12" t="n">
        <x:v>0</x:v>
      </x:c>
      <x:c r="H820" s="1" t="n">
        <x:f>'Historical prices'!E820</x:f>
        <x:v>1.05</x:v>
      </x:c>
      <x:c r="I820" s="6" t="n">
        <x:f>'Historical prices'!D820</x:f>
        <x:v>0.10439999999999999</x:v>
      </x:c>
      <x:c r="J820" s="13" t="n">
        <x:f>D820*I820*H820</x:f>
        <x:v>0</x:v>
      </x:c>
      <x:c r="K820" s="13" t="n">
        <x:f>E820*I820*H820</x:f>
        <x:v>0.04888138499999999</x:v>
      </x:c>
      <x:c r="L820" s="1" t="str">
        <x:f>TEXT(A820,"mmm yyyy")</x:f>
        <x:v>May 2026</x:v>
      </x:c>
    </x:row>
    <x:row r="821" ht="21" customHeight="1">
      <x:c r="A821" s="10" t="n">
        <x:v>46165</x:v>
      </x:c>
      <x:c r="B821" s="1" t="n">
        <x:v>14.5</x:v>
      </x:c>
      <x:c r="C821" s="1" t="n">
        <x:v>6</x:v>
      </x:c>
      <x:c r="D821" s="12" t="n">
        <x:v>0.9814166666666666</x:v>
      </x:c>
      <x:c r="E821" s="12" t="n">
        <x:v>1.0714166666666665</x:v>
      </x:c>
      <x:c r="F821" s="12" t="n">
        <x:v>0.079</x:v>
      </x:c>
      <x:c r="G821" s="12" t="n">
        <x:v>0</x:v>
      </x:c>
      <x:c r="H821" s="1" t="n">
        <x:f>'Historical prices'!E821</x:f>
        <x:v>1.05</x:v>
      </x:c>
      <x:c r="I821" s="6" t="n">
        <x:f>'Historical prices'!D821</x:f>
        <x:v>0.1026</x:v>
      </x:c>
      <x:c r="J821" s="13" t="n">
        <x:f>D821*I821*H821</x:f>
        <x:v>0.1057280175</x:v>
      </x:c>
      <x:c r="K821" s="13" t="n">
        <x:f>E821*I821*H821</x:f>
        <x:v>0.11542371749999998</x:v>
      </x:c>
      <x:c r="L821" s="1" t="str">
        <x:f>TEXT(A821,"mmm yyyy")</x:f>
        <x:v>May 2026</x:v>
      </x:c>
    </x:row>
    <x:row r="822" ht="21" customHeight="1">
      <x:c r="A822" s="10" t="n">
        <x:v>46165</x:v>
      </x:c>
      <x:c r="B822" s="1" t="n">
        <x:v>15</x:v>
      </x:c>
      <x:c r="C822" s="1" t="n">
        <x:v>6</x:v>
      </x:c>
      <x:c r="D822" s="12" t="n">
        <x:v>0.06766666666666667</x:v>
      </x:c>
      <x:c r="E822" s="12" t="n">
        <x:v>0.44658333333333333</x:v>
      </x:c>
      <x:c r="F822" s="12" t="n">
        <x:v>0.37583333333333335</x:v>
      </x:c>
      <x:c r="G822" s="12" t="n">
        <x:v>0</x:v>
      </x:c>
      <x:c r="H822" s="1" t="n">
        <x:f>'Historical prices'!E822</x:f>
        <x:v>1.05</x:v>
      </x:c>
      <x:c r="I822" s="6" t="n">
        <x:f>'Historical prices'!D822</x:f>
        <x:v>0.11699999999999999</x:v>
      </x:c>
      <x:c r="J822" s="13" t="n">
        <x:f>D822*I822*H822</x:f>
        <x:v>0.008312849999999998</x:v>
      </x:c>
      <x:c r="K822" s="13" t="n">
        <x:f>E822*I822*H822</x:f>
        <x:v>0.0548627625</x:v>
      </x:c>
      <x:c r="L822" s="1" t="str">
        <x:f>TEXT(A822,"mmm yyyy")</x:f>
        <x:v>May 2026</x:v>
      </x:c>
    </x:row>
    <x:row r="823" ht="21" customHeight="1">
      <x:c r="A823" s="10" t="n">
        <x:v>46165</x:v>
      </x:c>
      <x:c r="B823" s="1" t="n">
        <x:v>15.5</x:v>
      </x:c>
      <x:c r="C823" s="1" t="n">
        <x:v>6</x:v>
      </x:c>
      <x:c r="D823" s="12" t="n">
        <x:v>0</x:v>
      </x:c>
      <x:c r="E823" s="12" t="n">
        <x:v>0.49983333333333335</x:v>
      </x:c>
      <x:c r="F823" s="12" t="n">
        <x:v>0.49983333333333335</x:v>
      </x:c>
      <x:c r="G823" s="12" t="n">
        <x:v>0</x:v>
      </x:c>
      <x:c r="H823" s="1" t="n">
        <x:f>'Historical prices'!E823</x:f>
        <x:v>1.05</x:v>
      </x:c>
      <x:c r="I823" s="6" t="n">
        <x:f>'Historical prices'!D823</x:f>
        <x:v>0.11789999999999999</x:v>
      </x:c>
      <x:c r="J823" s="13" t="n">
        <x:f>D823*I823*H823</x:f>
        <x:v>0</x:v>
      </x:c>
      <x:c r="K823" s="13" t="n">
        <x:f>E823*I823*H823</x:f>
        <x:v>0.0618768675</x:v>
      </x:c>
      <x:c r="L823" s="1" t="str">
        <x:f>TEXT(A823,"mmm yyyy")</x:f>
        <x:v>May 2026</x:v>
      </x:c>
    </x:row>
    <x:row r="824" ht="21" customHeight="1">
      <x:c r="A824" s="10" t="n">
        <x:v>46165</x:v>
      </x:c>
      <x:c r="B824" s="1" t="n">
        <x:v>16</x:v>
      </x:c>
      <x:c r="C824" s="1" t="n">
        <x:v>6</x:v>
      </x:c>
      <x:c r="D824" s="12" t="n">
        <x:v>0</x:v>
      </x:c>
      <x:c r="E824" s="12" t="n">
        <x:v>0.48875</x:v>
      </x:c>
      <x:c r="F824" s="12" t="n">
        <x:v>0.48875</x:v>
      </x:c>
      <x:c r="G824" s="12" t="n">
        <x:v>0</x:v>
      </x:c>
      <x:c r="H824" s="1" t="n">
        <x:f>'Historical prices'!E824</x:f>
        <x:v>1.05</x:v>
      </x:c>
      <x:c r="I824" s="6" t="n">
        <x:f>'Historical prices'!D824</x:f>
        <x:v>0.2756</x:v>
      </x:c>
      <x:c r="J824" s="13" t="n">
        <x:f>D824*I824*H824</x:f>
        <x:v>0</x:v>
      </x:c>
      <x:c r="K824" s="13" t="n">
        <x:f>E824*I824*H824</x:f>
        <x:v>0.141434475</x:v>
      </x:c>
      <x:c r="L824" s="1" t="str">
        <x:f>TEXT(A824,"mmm yyyy")</x:f>
        <x:v>May 2026</x:v>
      </x:c>
    </x:row>
    <x:row r="825" ht="21" customHeight="1">
      <x:c r="A825" s="10" t="n">
        <x:v>46165</x:v>
      </x:c>
      <x:c r="B825" s="1" t="n">
        <x:v>16.5</x:v>
      </x:c>
      <x:c r="C825" s="1" t="n">
        <x:v>6</x:v>
      </x:c>
      <x:c r="D825" s="12" t="n">
        <x:v>0</x:v>
      </x:c>
      <x:c r="E825" s="12" t="n">
        <x:v>0.49191666666666667</x:v>
      </x:c>
      <x:c r="F825" s="12" t="n">
        <x:v>0.49183333333333334</x:v>
      </x:c>
      <x:c r="G825" s="12" t="n">
        <x:v>0</x:v>
      </x:c>
      <x:c r="H825" s="1" t="n">
        <x:f>'Historical prices'!E825</x:f>
        <x:v>1.05</x:v>
      </x:c>
      <x:c r="I825" s="6" t="n">
        <x:f>'Historical prices'!D825</x:f>
        <x:v>0.2861</x:v>
      </x:c>
      <x:c r="J825" s="13" t="n">
        <x:f>D825*I825*H825</x:f>
        <x:v>0</x:v>
      </x:c>
      <x:c r="K825" s="13" t="n">
        <x:f>E825*I825*H825</x:f>
        <x:v>0.14777422625</x:v>
      </x:c>
      <x:c r="L825" s="1" t="str">
        <x:f>TEXT(A825,"mmm yyyy")</x:f>
        <x:v>May 2026</x:v>
      </x:c>
    </x:row>
    <x:row r="826" ht="21" customHeight="1">
      <x:c r="A826" s="10" t="n">
        <x:v>46165</x:v>
      </x:c>
      <x:c r="B826" s="1" t="n">
        <x:v>17</x:v>
      </x:c>
      <x:c r="C826" s="1" t="n">
        <x:v>6</x:v>
      </x:c>
      <x:c r="D826" s="12" t="n">
        <x:v>0</x:v>
      </x:c>
      <x:c r="E826" s="12" t="n">
        <x:v>0.45775</x:v>
      </x:c>
      <x:c r="F826" s="12" t="n">
        <x:v>0.45775</x:v>
      </x:c>
      <x:c r="G826" s="12" t="n">
        <x:v>0</x:v>
      </x:c>
      <x:c r="H826" s="1" t="n">
        <x:f>'Historical prices'!E826</x:f>
        <x:v>1.05</x:v>
      </x:c>
      <x:c r="I826" s="6" t="n">
        <x:f>'Historical prices'!D826</x:f>
        <x:v>0.304</x:v>
      </x:c>
      <x:c r="J826" s="13" t="n">
        <x:f>D826*I826*H826</x:f>
        <x:v>0</x:v>
      </x:c>
      <x:c r="K826" s="13" t="n">
        <x:f>E826*I826*H826</x:f>
        <x:v>0.14611380000000002</x:v>
      </x:c>
      <x:c r="L826" s="1" t="str">
        <x:f>TEXT(A826,"mmm yyyy")</x:f>
        <x:v>May 2026</x:v>
      </x:c>
    </x:row>
    <x:row r="827" ht="21" customHeight="1">
      <x:c r="A827" s="10" t="n">
        <x:v>46165</x:v>
      </x:c>
      <x:c r="B827" s="1" t="n">
        <x:v>17.5</x:v>
      </x:c>
      <x:c r="C827" s="1" t="n">
        <x:v>6</x:v>
      </x:c>
      <x:c r="D827" s="12" t="n">
        <x:v>0</x:v>
      </x:c>
      <x:c r="E827" s="12" t="n">
        <x:v>0.6196666666666667</x:v>
      </x:c>
      <x:c r="F827" s="12" t="n">
        <x:v>0.6196666666666667</x:v>
      </x:c>
      <x:c r="G827" s="12" t="n">
        <x:v>0</x:v>
      </x:c>
      <x:c r="H827" s="1" t="n">
        <x:f>'Historical prices'!E827</x:f>
        <x:v>1.05</x:v>
      </x:c>
      <x:c r="I827" s="6" t="n">
        <x:f>'Historical prices'!D827</x:f>
        <x:v>0.305</x:v>
      </x:c>
      <x:c r="J827" s="13" t="n">
        <x:f>D827*I827*H827</x:f>
        <x:v>0</x:v>
      </x:c>
      <x:c r="K827" s="13" t="n">
        <x:f>E827*I827*H827</x:f>
        <x:v>0.19844825000000002</x:v>
      </x:c>
      <x:c r="L827" s="1" t="str">
        <x:f>TEXT(A827,"mmm yyyy")</x:f>
        <x:v>May 2026</x:v>
      </x:c>
    </x:row>
    <x:row r="828" ht="21" customHeight="1">
      <x:c r="A828" s="10" t="n">
        <x:v>46165</x:v>
      </x:c>
      <x:c r="B828" s="1" t="n">
        <x:v>18</x:v>
      </x:c>
      <x:c r="C828" s="1" t="n">
        <x:v>6</x:v>
      </x:c>
      <x:c r="D828" s="12" t="n">
        <x:v>0</x:v>
      </x:c>
      <x:c r="E828" s="12" t="n">
        <x:v>0.5730000000000001</x:v>
      </x:c>
      <x:c r="F828" s="12" t="n">
        <x:v>0.5729166666666666</x:v>
      </x:c>
      <x:c r="G828" s="12" t="n">
        <x:v>0</x:v>
      </x:c>
      <x:c r="H828" s="1" t="n">
        <x:f>'Historical prices'!E828</x:f>
        <x:v>1.05</x:v>
      </x:c>
      <x:c r="I828" s="6" t="n">
        <x:f>'Historical prices'!D828</x:f>
        <x:v>0.3292</x:v>
      </x:c>
      <x:c r="J828" s="13" t="n">
        <x:f>D828*I828*H828</x:f>
        <x:v>0</x:v>
      </x:c>
      <x:c r="K828" s="13" t="n">
        <x:f>E828*I828*H828</x:f>
        <x:v>0.19806318000000003</x:v>
      </x:c>
      <x:c r="L828" s="1" t="str">
        <x:f>TEXT(A828,"mmm yyyy")</x:f>
        <x:v>May 2026</x:v>
      </x:c>
    </x:row>
    <x:row r="829" ht="21" customHeight="1">
      <x:c r="A829" s="10" t="n">
        <x:v>46165</x:v>
      </x:c>
      <x:c r="B829" s="1" t="n">
        <x:v>18.5</x:v>
      </x:c>
      <x:c r="C829" s="1" t="n">
        <x:v>6</x:v>
      </x:c>
      <x:c r="D829" s="12" t="n">
        <x:v>0</x:v>
      </x:c>
      <x:c r="E829" s="12" t="n">
        <x:v>0.8699166666666668</x:v>
      </x:c>
      <x:c r="F829" s="12" t="n">
        <x:v>0.8695</x:v>
      </x:c>
      <x:c r="G829" s="12" t="n">
        <x:v>0</x:v>
      </x:c>
      <x:c r="H829" s="1" t="n">
        <x:f>'Historical prices'!E829</x:f>
        <x:v>1.05</x:v>
      </x:c>
      <x:c r="I829" s="6" t="n">
        <x:f>'Historical prices'!D829</x:f>
        <x:v>0.3344</x:v>
      </x:c>
      <x:c r="J829" s="13" t="n">
        <x:f>D829*I829*H829</x:f>
        <x:v>0</x:v>
      </x:c>
      <x:c r="K829" s="13" t="n">
        <x:f>E829*I829*H829</x:f>
        <x:v>0.30544514000000006</x:v>
      </x:c>
      <x:c r="L829" s="1" t="str">
        <x:f>TEXT(A829,"mmm yyyy")</x:f>
        <x:v>May 2026</x:v>
      </x:c>
    </x:row>
    <x:row r="830" ht="21" customHeight="1">
      <x:c r="A830" s="10" t="n">
        <x:v>46165</x:v>
      </x:c>
      <x:c r="B830" s="1" t="n">
        <x:v>19</x:v>
      </x:c>
      <x:c r="C830" s="1" t="n">
        <x:v>6</x:v>
      </x:c>
      <x:c r="D830" s="12" t="n">
        <x:v>0</x:v>
      </x:c>
      <x:c r="E830" s="12" t="n">
        <x:v>0.6198333333333333</x:v>
      </x:c>
      <x:c r="F830" s="12" t="n">
        <x:v>0.6198333333333333</x:v>
      </x:c>
      <x:c r="G830" s="12" t="n">
        <x:v>0</x:v>
      </x:c>
      <x:c r="H830" s="1" t="n">
        <x:f>'Historical prices'!E830</x:f>
        <x:v>1.05</x:v>
      </x:c>
      <x:c r="I830" s="6" t="n">
        <x:f>'Historical prices'!D830</x:f>
        <x:v>0.2519</x:v>
      </x:c>
      <x:c r="J830" s="13" t="n">
        <x:f>D830*I830*H830</x:f>
        <x:v>0</x:v>
      </x:c>
      <x:c r="K830" s="13" t="n">
        <x:f>E830*I830*H830</x:f>
        <x:v>0.16394281750000003</x:v>
      </x:c>
      <x:c r="L830" s="1" t="str">
        <x:f>TEXT(A830,"mmm yyyy")</x:f>
        <x:v>May 2026</x:v>
      </x:c>
    </x:row>
    <x:row r="831" ht="21" customHeight="1">
      <x:c r="A831" s="10" t="n">
        <x:v>46165</x:v>
      </x:c>
      <x:c r="B831" s="1" t="n">
        <x:v>19.5</x:v>
      </x:c>
      <x:c r="C831" s="1" t="n">
        <x:v>6</x:v>
      </x:c>
      <x:c r="D831" s="12" t="n">
        <x:v>0</x:v>
      </x:c>
      <x:c r="E831" s="12" t="n">
        <x:v>0.7190833333333333</x:v>
      </x:c>
      <x:c r="F831" s="12" t="n">
        <x:v>0.7188333333333333</x:v>
      </x:c>
      <x:c r="G831" s="12" t="n">
        <x:v>0</x:v>
      </x:c>
      <x:c r="H831" s="1" t="n">
        <x:f>'Historical prices'!E831</x:f>
        <x:v>1.05</x:v>
      </x:c>
      <x:c r="I831" s="6" t="n">
        <x:f>'Historical prices'!D831</x:f>
        <x:v>0.25739999999999996</x:v>
      </x:c>
      <x:c r="J831" s="13" t="n">
        <x:f>D831*I831*H831</x:f>
        <x:v>0</x:v>
      </x:c>
      <x:c r="K831" s="13" t="n">
        <x:f>E831*I831*H831</x:f>
        <x:v>0.19434665249999997</x:v>
      </x:c>
      <x:c r="L831" s="1" t="str">
        <x:f>TEXT(A831,"mmm yyyy")</x:f>
        <x:v>May 2026</x:v>
      </x:c>
    </x:row>
    <x:row r="832" ht="21" customHeight="1">
      <x:c r="A832" s="10" t="n">
        <x:v>46165</x:v>
      </x:c>
      <x:c r="B832" s="1" t="n">
        <x:v>20</x:v>
      </x:c>
      <x:c r="C832" s="1" t="n">
        <x:v>6</x:v>
      </x:c>
      <x:c r="D832" s="12" t="n">
        <x:v>0</x:v>
      </x:c>
      <x:c r="E832" s="12" t="n">
        <x:v>0.5138333333333334</x:v>
      </x:c>
      <x:c r="F832" s="12" t="n">
        <x:v>0.5138333333333334</x:v>
      </x:c>
      <x:c r="G832" s="12" t="n">
        <x:v>0</x:v>
      </x:c>
      <x:c r="H832" s="1" t="n">
        <x:f>'Historical prices'!E832</x:f>
        <x:v>1.05</x:v>
      </x:c>
      <x:c r="I832" s="6" t="n">
        <x:f>'Historical prices'!D832</x:f>
        <x:v>0.25980000000000003</x:v>
      </x:c>
      <x:c r="J832" s="13" t="n">
        <x:f>D832*I832*H832</x:f>
        <x:v>0</x:v>
      </x:c>
      <x:c r="K832" s="13" t="n">
        <x:f>E832*I832*H832</x:f>
        <x:v>0.14016859500000003</x:v>
      </x:c>
      <x:c r="L832" s="1" t="str">
        <x:f>TEXT(A832,"mmm yyyy")</x:f>
        <x:v>May 2026</x:v>
      </x:c>
    </x:row>
    <x:row r="833" ht="21" customHeight="1">
      <x:c r="A833" s="10" t="n">
        <x:v>46165</x:v>
      </x:c>
      <x:c r="B833" s="1" t="n">
        <x:v>20.5</x:v>
      </x:c>
      <x:c r="C833" s="1" t="n">
        <x:v>6</x:v>
      </x:c>
      <x:c r="D833" s="12" t="n">
        <x:v>0</x:v>
      </x:c>
      <x:c r="E833" s="12" t="n">
        <x:v>0.44558333333333333</x:v>
      </x:c>
      <x:c r="F833" s="12" t="n">
        <x:v>0.44558333333333333</x:v>
      </x:c>
      <x:c r="G833" s="12" t="n">
        <x:v>0</x:v>
      </x:c>
      <x:c r="H833" s="1" t="n">
        <x:f>'Historical prices'!E833</x:f>
        <x:v>1.05</x:v>
      </x:c>
      <x:c r="I833" s="6" t="n">
        <x:f>'Historical prices'!D833</x:f>
        <x:v>0.2606</x:v>
      </x:c>
      <x:c r="J833" s="13" t="n">
        <x:f>D833*I833*H833</x:f>
        <x:v>0</x:v>
      </x:c>
      <x:c r="K833" s="13" t="n">
        <x:f>E833*I833*H833</x:f>
        <x:v>0.12192496750000001</x:v>
      </x:c>
      <x:c r="L833" s="1" t="str">
        <x:f>TEXT(A833,"mmm yyyy")</x:f>
        <x:v>May 2026</x:v>
      </x:c>
    </x:row>
    <x:row r="834" ht="21" customHeight="1">
      <x:c r="A834" s="10" t="n">
        <x:v>46165</x:v>
      </x:c>
      <x:c r="B834" s="1" t="n">
        <x:v>21</x:v>
      </x:c>
      <x:c r="C834" s="1" t="n">
        <x:v>6</x:v>
      </x:c>
      <x:c r="D834" s="12" t="n">
        <x:v>0</x:v>
      </x:c>
      <x:c r="E834" s="12" t="n">
        <x:v>0.5036666666666667</x:v>
      </x:c>
      <x:c r="F834" s="12" t="n">
        <x:v>0.5036666666666667</x:v>
      </x:c>
      <x:c r="G834" s="12" t="n">
        <x:v>0</x:v>
      </x:c>
      <x:c r="H834" s="1" t="n">
        <x:f>'Historical prices'!E834</x:f>
        <x:v>1.05</x:v>
      </x:c>
      <x:c r="I834" s="6" t="n">
        <x:f>'Historical prices'!D834</x:f>
        <x:v>0.23120000000000002</x:v>
      </x:c>
      <x:c r="J834" s="13" t="n">
        <x:f>D834*I834*H834</x:f>
        <x:v>0</x:v>
      </x:c>
      <x:c r="K834" s="13" t="n">
        <x:f>E834*I834*H834</x:f>
        <x:v>0.12227012000000002</x:v>
      </x:c>
      <x:c r="L834" s="1" t="str">
        <x:f>TEXT(A834,"mmm yyyy")</x:f>
        <x:v>May 2026</x:v>
      </x:c>
    </x:row>
    <x:row r="835" ht="21" customHeight="1">
      <x:c r="A835" s="10" t="n">
        <x:v>46165</x:v>
      </x:c>
      <x:c r="B835" s="1" t="n">
        <x:v>21.5</x:v>
      </x:c>
      <x:c r="C835" s="1" t="n">
        <x:v>6</x:v>
      </x:c>
      <x:c r="D835" s="12" t="n">
        <x:v>0</x:v>
      </x:c>
      <x:c r="E835" s="12" t="n">
        <x:v>0.8399999999999999</x:v>
      </x:c>
      <x:c r="F835" s="12" t="n">
        <x:v>0.8398333333333332</x:v>
      </x:c>
      <x:c r="G835" s="12" t="n">
        <x:v>0</x:v>
      </x:c>
      <x:c r="H835" s="1" t="n">
        <x:f>'Historical prices'!E835</x:f>
        <x:v>1.05</x:v>
      </x:c>
      <x:c r="I835" s="6" t="n">
        <x:f>'Historical prices'!D835</x:f>
        <x:v>0.2291</x:v>
      </x:c>
      <x:c r="J835" s="13" t="n">
        <x:f>D835*I835*H835</x:f>
        <x:v>0</x:v>
      </x:c>
      <x:c r="K835" s="13" t="n">
        <x:f>E835*I835*H835</x:f>
        <x:v>0.20206619999999997</x:v>
      </x:c>
      <x:c r="L835" s="1" t="str">
        <x:f>TEXT(A835,"mmm yyyy")</x:f>
        <x:v>May 2026</x:v>
      </x:c>
    </x:row>
    <x:row r="836" ht="21" customHeight="1">
      <x:c r="A836" s="10" t="n">
        <x:v>46165</x:v>
      </x:c>
      <x:c r="B836" s="1" t="n">
        <x:v>22</x:v>
      </x:c>
      <x:c r="C836" s="1" t="n">
        <x:v>6</x:v>
      </x:c>
      <x:c r="D836" s="12" t="n">
        <x:v>0</x:v>
      </x:c>
      <x:c r="E836" s="12" t="n">
        <x:v>0.5524166666666667</x:v>
      </x:c>
      <x:c r="F836" s="12" t="n">
        <x:v>0.5524166666666667</x:v>
      </x:c>
      <x:c r="G836" s="12" t="n">
        <x:v>0</x:v>
      </x:c>
      <x:c r="H836" s="1" t="n">
        <x:f>'Historical prices'!E836</x:f>
        <x:v>1.05</x:v>
      </x:c>
      <x:c r="I836" s="6" t="n">
        <x:f>'Historical prices'!D836</x:f>
        <x:v>0.2091</x:v>
      </x:c>
      <x:c r="J836" s="13" t="n">
        <x:f>D836*I836*H836</x:f>
        <x:v>0</x:v>
      </x:c>
      <x:c r="K836" s="13" t="n">
        <x:f>E836*I836*H836</x:f>
        <x:v>0.12128584125000001</x:v>
      </x:c>
      <x:c r="L836" s="1" t="str">
        <x:f>TEXT(A836,"mmm yyyy")</x:f>
        <x:v>May 2026</x:v>
      </x:c>
    </x:row>
    <x:row r="837" ht="21" customHeight="1">
      <x:c r="A837" s="10" t="n">
        <x:v>46165</x:v>
      </x:c>
      <x:c r="B837" s="1" t="n">
        <x:v>22.5</x:v>
      </x:c>
      <x:c r="C837" s="1" t="n">
        <x:v>6</x:v>
      </x:c>
      <x:c r="D837" s="12" t="n">
        <x:v>0</x:v>
      </x:c>
      <x:c r="E837" s="12" t="n">
        <x:v>0.362</x:v>
      </x:c>
      <x:c r="F837" s="12" t="n">
        <x:v>0.36191666666666666</x:v>
      </x:c>
      <x:c r="G837" s="12" t="n">
        <x:v>0</x:v>
      </x:c>
      <x:c r="H837" s="1" t="n">
        <x:f>'Historical prices'!E837</x:f>
        <x:v>1.05</x:v>
      </x:c>
      <x:c r="I837" s="6" t="n">
        <x:f>'Historical prices'!D837</x:f>
        <x:v>0.1895</x:v>
      </x:c>
      <x:c r="J837" s="13" t="n">
        <x:f>D837*I837*H837</x:f>
        <x:v>0</x:v>
      </x:c>
      <x:c r="K837" s="13" t="n">
        <x:f>E837*I837*H837</x:f>
        <x:v>0.07202895</x:v>
      </x:c>
      <x:c r="L837" s="1" t="str">
        <x:f>TEXT(A837,"mmm yyyy")</x:f>
        <x:v>May 2026</x:v>
      </x:c>
    </x:row>
    <x:row r="838" ht="21" customHeight="1">
      <x:c r="A838" s="10" t="n">
        <x:v>46165</x:v>
      </x:c>
      <x:c r="B838" s="1" t="n">
        <x:v>23</x:v>
      </x:c>
      <x:c r="C838" s="1" t="n">
        <x:v>6</x:v>
      </x:c>
      <x:c r="D838" s="12" t="n">
        <x:v>0</x:v>
      </x:c>
      <x:c r="E838" s="12" t="n">
        <x:v>0.39866666666666667</x:v>
      </x:c>
      <x:c r="F838" s="12" t="n">
        <x:v>0.39866666666666667</x:v>
      </x:c>
      <x:c r="G838" s="12" t="n">
        <x:v>0</x:v>
      </x:c>
      <x:c r="H838" s="1" t="n">
        <x:f>'Historical prices'!E838</x:f>
        <x:v>1.05</x:v>
      </x:c>
      <x:c r="I838" s="6" t="n">
        <x:f>'Historical prices'!D838</x:f>
        <x:v>0.2278</x:v>
      </x:c>
      <x:c r="J838" s="13" t="n">
        <x:f>D838*I838*H838</x:f>
        <x:v>0</x:v>
      </x:c>
      <x:c r="K838" s="13" t="n">
        <x:f>E838*I838*H838</x:f>
        <x:v>0.09535708000000001</x:v>
      </x:c>
      <x:c r="L838" s="1" t="str">
        <x:f>TEXT(A838,"mmm yyyy")</x:f>
        <x:v>May 2026</x:v>
      </x:c>
    </x:row>
    <x:row r="839" ht="21" customHeight="1">
      <x:c r="A839" s="10" t="n">
        <x:v>46165</x:v>
      </x:c>
      <x:c r="B839" s="1" t="n">
        <x:v>23.5</x:v>
      </x:c>
      <x:c r="C839" s="1" t="n">
        <x:v>6</x:v>
      </x:c>
      <x:c r="D839" s="12" t="n">
        <x:v>0</x:v>
      </x:c>
      <x:c r="E839" s="12" t="n">
        <x:v>0.32675</x:v>
      </x:c>
      <x:c r="F839" s="12" t="n">
        <x:v>0.32666666666666666</x:v>
      </x:c>
      <x:c r="G839" s="12" t="n">
        <x:v>0</x:v>
      </x:c>
      <x:c r="H839" s="1" t="n">
        <x:f>'Historical prices'!E839</x:f>
        <x:v>1.05</x:v>
      </x:c>
      <x:c r="I839" s="6" t="n">
        <x:f>'Historical prices'!D839</x:f>
        <x:v>0.2236</x:v>
      </x:c>
      <x:c r="J839" s="13" t="n">
        <x:f>D839*I839*H839</x:f>
        <x:v>0</x:v>
      </x:c>
      <x:c r="K839" s="13" t="n">
        <x:f>E839*I839*H839</x:f>
        <x:v>0.07671436499999999</x:v>
      </x:c>
      <x:c r="L839" s="1" t="str">
        <x:f>TEXT(A839,"mmm yyyy")</x:f>
        <x:v>May 2026</x:v>
      </x:c>
    </x:row>
    <x:row r="840" ht="21" customHeight="1">
      <x:c r="A840" s="10" t="n">
        <x:v>46166</x:v>
      </x:c>
      <x:c r="B840" s="1" t="n">
        <x:v>0</x:v>
      </x:c>
      <x:c r="C840" s="1" t="n">
        <x:v>6</x:v>
      </x:c>
      <x:c r="D840" s="12" t="n">
        <x:v>0</x:v>
      </x:c>
      <x:c r="E840" s="12" t="n">
        <x:v>0.30174999999999996</x:v>
      </x:c>
      <x:c r="F840" s="12" t="n">
        <x:v>0.30174999999999996</x:v>
      </x:c>
      <x:c r="G840" s="12" t="n">
        <x:v>0</x:v>
      </x:c>
      <x:c r="H840" s="1" t="n">
        <x:f>'Historical prices'!E840</x:f>
        <x:v>1.05</x:v>
      </x:c>
      <x:c r="I840" s="6" t="n">
        <x:f>'Historical prices'!D840</x:f>
        <x:v>0.22010000000000002</x:v>
      </x:c>
      <x:c r="J840" s="13" t="n">
        <x:f>D840*I840*H840</x:f>
        <x:v>0</x:v>
      </x:c>
      <x:c r="K840" s="13" t="n">
        <x:f>E840*I840*H840</x:f>
        <x:v>0.06973593374999999</x:v>
      </x:c>
      <x:c r="L840" s="1" t="str">
        <x:f>TEXT(A840,"mmm yyyy")</x:f>
        <x:v>May 2026</x:v>
      </x:c>
    </x:row>
    <x:row r="841" ht="21" customHeight="1">
      <x:c r="A841" s="10" t="n">
        <x:v>46166</x:v>
      </x:c>
      <x:c r="B841" s="1" t="n">
        <x:v>0.5</x:v>
      </x:c>
      <x:c r="C841" s="1" t="n">
        <x:v>6</x:v>
      </x:c>
      <x:c r="D841" s="12" t="n">
        <x:v>0</x:v>
      </x:c>
      <x:c r="E841" s="12" t="n">
        <x:v>0.25175</x:v>
      </x:c>
      <x:c r="F841" s="12" t="n">
        <x:v>0.25166666666666665</x:v>
      </x:c>
      <x:c r="G841" s="12" t="n">
        <x:v>0</x:v>
      </x:c>
      <x:c r="H841" s="1" t="n">
        <x:f>'Historical prices'!E841</x:f>
        <x:v>1.05</x:v>
      </x:c>
      <x:c r="I841" s="6" t="n">
        <x:f>'Historical prices'!D841</x:f>
        <x:v>0.2102</x:v>
      </x:c>
      <x:c r="J841" s="13" t="n">
        <x:f>D841*I841*H841</x:f>
        <x:v>0</x:v>
      </x:c>
      <x:c r="K841" s="13" t="n">
        <x:f>E841*I841*H841</x:f>
        <x:v>0.0555637425</x:v>
      </x:c>
      <x:c r="L841" s="1" t="str">
        <x:f>TEXT(A841,"mmm yyyy")</x:f>
        <x:v>May 2026</x:v>
      </x:c>
    </x:row>
    <x:row r="842" ht="21" customHeight="1">
      <x:c r="A842" s="10" t="n">
        <x:v>46166</x:v>
      </x:c>
      <x:c r="B842" s="1" t="n">
        <x:v>1</x:v>
      </x:c>
      <x:c r="C842" s="1" t="n">
        <x:v>6</x:v>
      </x:c>
      <x:c r="D842" s="12" t="n">
        <x:v>0.20600000000000002</x:v>
      </x:c>
      <x:c r="E842" s="12" t="n">
        <x:v>0.25608333333333333</x:v>
      </x:c>
      <x:c r="F842" s="12" t="n">
        <x:v>0.042</x:v>
      </x:c>
      <x:c r="G842" s="12" t="n">
        <x:v>0</x:v>
      </x:c>
      <x:c r="H842" s="1" t="n">
        <x:f>'Historical prices'!E842</x:f>
        <x:v>1.05</x:v>
      </x:c>
      <x:c r="I842" s="6" t="n">
        <x:f>'Historical prices'!D842</x:f>
        <x:v>0.1892</x:v>
      </x:c>
      <x:c r="J842" s="13" t="n">
        <x:f>D842*I842*H842</x:f>
        <x:v>0.04092396</x:v>
      </x:c>
      <x:c r="K842" s="13" t="n">
        <x:f>E842*I842*H842</x:f>
        <x:v>0.050873515</x:v>
      </x:c>
      <x:c r="L842" s="1" t="str">
        <x:f>TEXT(A842,"mmm yyyy")</x:f>
        <x:v>May 2026</x:v>
      </x:c>
    </x:row>
    <x:row r="843" ht="21" customHeight="1">
      <x:c r="A843" s="10" t="n">
        <x:v>46166</x:v>
      </x:c>
      <x:c r="B843" s="1" t="n">
        <x:v>1.5</x:v>
      </x:c>
      <x:c r="C843" s="1" t="n">
        <x:v>6</x:v>
      </x:c>
      <x:c r="D843" s="12" t="n">
        <x:v>0.27275000000000005</x:v>
      </x:c>
      <x:c r="E843" s="12" t="n">
        <x:v>0.28275000000000006</x:v>
      </x:c>
      <x:c r="F843" s="12" t="n">
        <x:v>0</x:v>
      </x:c>
      <x:c r="G843" s="12" t="n">
        <x:v>0</x:v>
      </x:c>
      <x:c r="H843" s="1" t="n">
        <x:f>'Historical prices'!E843</x:f>
        <x:v>1.05</x:v>
      </x:c>
      <x:c r="I843" s="6" t="n">
        <x:f>'Historical prices'!D843</x:f>
        <x:v>0.1945</x:v>
      </x:c>
      <x:c r="J843" s="13" t="n">
        <x:f>D843*I843*H843</x:f>
        <x:v>0.055702368750000016</x:v>
      </x:c>
      <x:c r="K843" s="13" t="n">
        <x:f>E843*I843*H843</x:f>
        <x:v>0.05774461875000002</x:v>
      </x:c>
      <x:c r="L843" s="1" t="str">
        <x:f>TEXT(A843,"mmm yyyy")</x:f>
        <x:v>May 2026</x:v>
      </x:c>
    </x:row>
    <x:row r="844" ht="21" customHeight="1">
      <x:c r="A844" s="10" t="n">
        <x:v>46166</x:v>
      </x:c>
      <x:c r="B844" s="1" t="n">
        <x:v>2</x:v>
      </x:c>
      <x:c r="C844" s="1" t="n">
        <x:v>6</x:v>
      </x:c>
      <x:c r="D844" s="12" t="n">
        <x:v>0.2530833333333334</x:v>
      </x:c>
      <x:c r="E844" s="12" t="n">
        <x:v>0.2650833333333333</x:v>
      </x:c>
      <x:c r="F844" s="12" t="n">
        <x:v>0</x:v>
      </x:c>
      <x:c r="G844" s="12" t="n">
        <x:v>0</x:v>
      </x:c>
      <x:c r="H844" s="1" t="n">
        <x:f>'Historical prices'!E844</x:f>
        <x:v>1.05</x:v>
      </x:c>
      <x:c r="I844" s="6" t="n">
        <x:f>'Historical prices'!D844</x:f>
        <x:v>0.1978</x:v>
      </x:c>
      <x:c r="J844" s="13" t="n">
        <x:f>D844*I844*H844</x:f>
        <x:v>0.052562877500000015</x:v>
      </x:c>
      <x:c r="K844" s="13" t="n">
        <x:f>E844*I844*H844</x:f>
        <x:v>0.05505515749999999</x:v>
      </x:c>
      <x:c r="L844" s="1" t="str">
        <x:f>TEXT(A844,"mmm yyyy")</x:f>
        <x:v>May 2026</x:v>
      </x:c>
    </x:row>
    <x:row r="845" ht="21" customHeight="1">
      <x:c r="A845" s="10" t="n">
        <x:v>46166</x:v>
      </x:c>
      <x:c r="B845" s="1" t="n">
        <x:v>2.5</x:v>
      </x:c>
      <x:c r="C845" s="1" t="n">
        <x:v>6</x:v>
      </x:c>
      <x:c r="D845" s="12" t="n">
        <x:v>0.25683333333333336</x:v>
      </x:c>
      <x:c r="E845" s="12" t="n">
        <x:v>0.26683333333333337</x:v>
      </x:c>
      <x:c r="F845" s="12" t="n">
        <x:v>0</x:v>
      </x:c>
      <x:c r="G845" s="12" t="n">
        <x:v>0</x:v>
      </x:c>
      <x:c r="H845" s="1" t="n">
        <x:f>'Historical prices'!E845</x:f>
        <x:v>1.05</x:v>
      </x:c>
      <x:c r="I845" s="6" t="n">
        <x:f>'Historical prices'!D845</x:f>
        <x:v>0.19469999999999998</x:v>
      </x:c>
      <x:c r="J845" s="13" t="n">
        <x:f>D845*I845*H845</x:f>
        <x:v>0.052505722500000004</x:v>
      </x:c>
      <x:c r="K845" s="13" t="n">
        <x:f>E845*I845*H845</x:f>
        <x:v>0.054550072500000005</x:v>
      </x:c>
      <x:c r="L845" s="1" t="str">
        <x:f>TEXT(A845,"mmm yyyy")</x:f>
        <x:v>May 2026</x:v>
      </x:c>
    </x:row>
    <x:row r="846" ht="21" customHeight="1">
      <x:c r="A846" s="10" t="n">
        <x:v>46166</x:v>
      </x:c>
      <x:c r="B846" s="1" t="n">
        <x:v>3</x:v>
      </x:c>
      <x:c r="C846" s="1" t="n">
        <x:v>6</x:v>
      </x:c>
      <x:c r="D846" s="12" t="n">
        <x:v>0.30233333333333334</x:v>
      </x:c>
      <x:c r="E846" s="12" t="n">
        <x:v>0.31233333333333335</x:v>
      </x:c>
      <x:c r="F846" s="12" t="n">
        <x:v>0</x:v>
      </x:c>
      <x:c r="G846" s="12" t="n">
        <x:v>0</x:v>
      </x:c>
      <x:c r="H846" s="1" t="n">
        <x:f>'Historical prices'!E846</x:f>
        <x:v>1.05</x:v>
      </x:c>
      <x:c r="I846" s="6" t="n">
        <x:f>'Historical prices'!D846</x:f>
        <x:v>0.1886</x:v>
      </x:c>
      <x:c r="J846" s="13" t="n">
        <x:f>D846*I846*H846</x:f>
        <x:v>0.059871070000000005</x:v>
      </x:c>
      <x:c r="K846" s="13" t="n">
        <x:f>E846*I846*H846</x:f>
        <x:v>0.06185137</x:v>
      </x:c>
      <x:c r="L846" s="1" t="str">
        <x:f>TEXT(A846,"mmm yyyy")</x:f>
        <x:v>May 2026</x:v>
      </x:c>
    </x:row>
    <x:row r="847" ht="21" customHeight="1">
      <x:c r="A847" s="10" t="n">
        <x:v>46166</x:v>
      </x:c>
      <x:c r="B847" s="1" t="n">
        <x:v>3.5</x:v>
      </x:c>
      <x:c r="C847" s="1" t="n">
        <x:v>6</x:v>
      </x:c>
      <x:c r="D847" s="12" t="n">
        <x:v>0.19608333333333333</x:v>
      </x:c>
      <x:c r="E847" s="12" t="n">
        <x:v>0.20508333333333334</x:v>
      </x:c>
      <x:c r="F847" s="12" t="n">
        <x:v>0</x:v>
      </x:c>
      <x:c r="G847" s="12" t="n">
        <x:v>0</x:v>
      </x:c>
      <x:c r="H847" s="1" t="n">
        <x:f>'Historical prices'!E847</x:f>
        <x:v>1.05</x:v>
      </x:c>
      <x:c r="I847" s="6" t="n">
        <x:f>'Historical prices'!D847</x:f>
        <x:v>0.1863</x:v>
      </x:c>
      <x:c r="J847" s="13" t="n">
        <x:f>D847*I847*H847</x:f>
        <x:v>0.038356841249999996</x:v>
      </x:c>
      <x:c r="K847" s="13" t="n">
        <x:f>E847*I847*H847</x:f>
        <x:v>0.04011737625</x:v>
      </x:c>
      <x:c r="L847" s="1" t="str">
        <x:f>TEXT(A847,"mmm yyyy")</x:f>
        <x:v>May 2026</x:v>
      </x:c>
    </x:row>
    <x:row r="848" ht="21" customHeight="1">
      <x:c r="A848" s="10" t="n">
        <x:v>46166</x:v>
      </x:c>
      <x:c r="B848" s="1" t="n">
        <x:v>4</x:v>
      </x:c>
      <x:c r="C848" s="1" t="n">
        <x:v>6</x:v>
      </x:c>
      <x:c r="D848" s="12" t="n">
        <x:v>0.2960833333333333</x:v>
      </x:c>
      <x:c r="E848" s="12" t="n">
        <x:v>0.30708333333333326</x:v>
      </x:c>
      <x:c r="F848" s="12" t="n">
        <x:v>0</x:v>
      </x:c>
      <x:c r="G848" s="12" t="n">
        <x:v>0</x:v>
      </x:c>
      <x:c r="H848" s="1" t="n">
        <x:f>'Historical prices'!E848</x:f>
        <x:v>1.05</x:v>
      </x:c>
      <x:c r="I848" s="6" t="n">
        <x:f>'Historical prices'!D848</x:f>
        <x:v>0.18489999999999998</x:v>
      </x:c>
      <x:c r="J848" s="13" t="n">
        <x:f>D848*I848*H848</x:f>
        <x:v>0.057483098749999996</x:v>
      </x:c>
      <x:c r="K848" s="13" t="n">
        <x:f>E848*I848*H848</x:f>
        <x:v>0.059618693749999986</x:v>
      </x:c>
      <x:c r="L848" s="1" t="str">
        <x:f>TEXT(A848,"mmm yyyy")</x:f>
        <x:v>May 2026</x:v>
      </x:c>
    </x:row>
    <x:row r="849" ht="21" customHeight="1">
      <x:c r="A849" s="10" t="n">
        <x:v>46166</x:v>
      </x:c>
      <x:c r="B849" s="1" t="n">
        <x:v>4.5</x:v>
      </x:c>
      <x:c r="C849" s="1" t="n">
        <x:v>6</x:v>
      </x:c>
      <x:c r="D849" s="12" t="n">
        <x:v>0.29841666666666666</x:v>
      </x:c>
      <x:c r="E849" s="12" t="n">
        <x:v>0.30741666666666667</x:v>
      </x:c>
      <x:c r="F849" s="12" t="n">
        <x:v>0</x:v>
      </x:c>
      <x:c r="G849" s="12" t="n">
        <x:v>0</x:v>
      </x:c>
      <x:c r="H849" s="1" t="n">
        <x:f>'Historical prices'!E849</x:f>
        <x:v>1.05</x:v>
      </x:c>
      <x:c r="I849" s="6" t="n">
        <x:f>'Historical prices'!D849</x:f>
        <x:v>0.1838</x:v>
      </x:c>
      <x:c r="J849" s="13" t="n">
        <x:f>D849*I849*H849</x:f>
        <x:v>0.0575914325</x:v>
      </x:c>
      <x:c r="K849" s="13" t="n">
        <x:f>E849*I849*H849</x:f>
        <x:v>0.0593283425</x:v>
      </x:c>
      <x:c r="L849" s="1" t="str">
        <x:f>TEXT(A849,"mmm yyyy")</x:f>
        <x:v>May 2026</x:v>
      </x:c>
    </x:row>
    <x:row r="850" ht="21" customHeight="1">
      <x:c r="A850" s="10" t="n">
        <x:v>46166</x:v>
      </x:c>
      <x:c r="B850" s="1" t="n">
        <x:v>5</x:v>
      </x:c>
      <x:c r="C850" s="1" t="n">
        <x:v>6</x:v>
      </x:c>
      <x:c r="D850" s="12" t="n">
        <x:v>0.2549166666666666</x:v>
      </x:c>
      <x:c r="E850" s="12" t="n">
        <x:v>0.26491666666666663</x:v>
      </x:c>
      <x:c r="F850" s="12" t="n">
        <x:v>0</x:v>
      </x:c>
      <x:c r="G850" s="12" t="n">
        <x:v>0</x:v>
      </x:c>
      <x:c r="H850" s="1" t="n">
        <x:f>'Historical prices'!E850</x:f>
        <x:v>1.05</x:v>
      </x:c>
      <x:c r="I850" s="6" t="n">
        <x:f>'Historical prices'!D850</x:f>
        <x:v>0.18170000000000003</x:v>
      </x:c>
      <x:c r="J850" s="13" t="n">
        <x:f>D850*I850*H850</x:f>
        <x:v>0.04863427625</x:v>
      </x:c>
      <x:c r="K850" s="13" t="n">
        <x:f>E850*I850*H850</x:f>
        <x:v>0.050542126250000007</x:v>
      </x:c>
      <x:c r="L850" s="1" t="str">
        <x:f>TEXT(A850,"mmm yyyy")</x:f>
        <x:v>May 2026</x:v>
      </x:c>
    </x:row>
    <x:row r="851" ht="21" customHeight="1">
      <x:c r="A851" s="10" t="n">
        <x:v>46166</x:v>
      </x:c>
      <x:c r="B851" s="1" t="n">
        <x:v>5.5</x:v>
      </x:c>
      <x:c r="C851" s="1" t="n">
        <x:v>6</x:v>
      </x:c>
      <x:c r="D851" s="12" t="n">
        <x:v>0.27925</x:v>
      </x:c>
      <x:c r="E851" s="12" t="n">
        <x:v>0.29225</x:v>
      </x:c>
      <x:c r="F851" s="12" t="n">
        <x:v>0</x:v>
      </x:c>
      <x:c r="G851" s="12" t="n">
        <x:v>0</x:v>
      </x:c>
      <x:c r="H851" s="1" t="n">
        <x:f>'Historical prices'!E851</x:f>
        <x:v>1.05</x:v>
      </x:c>
      <x:c r="I851" s="6" t="n">
        <x:f>'Historical prices'!D851</x:f>
        <x:v>0.1772</x:v>
      </x:c>
      <x:c r="J851" s="13" t="n">
        <x:f>D851*I851*H851</x:f>
        <x:v>0.05195725500000001</x:v>
      </x:c>
      <x:c r="K851" s="13" t="n">
        <x:f>E851*I851*H851</x:f>
        <x:v>0.054376035</x:v>
      </x:c>
      <x:c r="L851" s="1" t="str">
        <x:f>TEXT(A851,"mmm yyyy")</x:f>
        <x:v>May 2026</x:v>
      </x:c>
    </x:row>
    <x:row r="852" ht="21" customHeight="1">
      <x:c r="A852" s="10" t="n">
        <x:v>46166</x:v>
      </x:c>
      <x:c r="B852" s="1" t="n">
        <x:v>6</x:v>
      </x:c>
      <x:c r="C852" s="1" t="n">
        <x:v>6</x:v>
      </x:c>
      <x:c r="D852" s="12" t="n">
        <x:v>0.25616666666666665</x:v>
      </x:c>
      <x:c r="E852" s="12" t="n">
        <x:v>0.26716666666666666</x:v>
      </x:c>
      <x:c r="F852" s="12" t="n">
        <x:v>0</x:v>
      </x:c>
      <x:c r="G852" s="12" t="n">
        <x:v>0</x:v>
      </x:c>
      <x:c r="H852" s="1" t="n">
        <x:f>'Historical prices'!E852</x:f>
        <x:v>1.05</x:v>
      </x:c>
      <x:c r="I852" s="6" t="n">
        <x:f>'Historical prices'!D852</x:f>
        <x:v>0.17859999999999998</x:v>
      </x:c>
      <x:c r="J852" s="13" t="n">
        <x:f>D852*I852*H852</x:f>
        <x:v>0.048038935</x:v>
      </x:c>
      <x:c r="K852" s="13" t="n">
        <x:f>E852*I852*H852</x:f>
        <x:v>0.05010176499999999</x:v>
      </x:c>
      <x:c r="L852" s="1" t="str">
        <x:f>TEXT(A852,"mmm yyyy")</x:f>
        <x:v>May 2026</x:v>
      </x:c>
    </x:row>
    <x:row r="853" ht="21" customHeight="1">
      <x:c r="A853" s="10" t="n">
        <x:v>46166</x:v>
      </x:c>
      <x:c r="B853" s="1" t="n">
        <x:v>6.5</x:v>
      </x:c>
      <x:c r="C853" s="1" t="n">
        <x:v>6</x:v>
      </x:c>
      <x:c r="D853" s="12" t="n">
        <x:v>0.4598333333333333</x:v>
      </x:c>
      <x:c r="E853" s="12" t="n">
        <x:v>0.4688333333333333</x:v>
      </x:c>
      <x:c r="F853" s="12" t="n">
        <x:v>0</x:v>
      </x:c>
      <x:c r="G853" s="12" t="n">
        <x:v>0</x:v>
      </x:c>
      <x:c r="H853" s="1" t="n">
        <x:f>'Historical prices'!E853</x:f>
        <x:v>1.05</x:v>
      </x:c>
      <x:c r="I853" s="6" t="n">
        <x:f>'Historical prices'!D853</x:f>
        <x:v>0.177</x:v>
      </x:c>
      <x:c r="J853" s="13" t="n">
        <x:f>D853*I853*H853</x:f>
        <x:v>0.085460025</x:v>
      </x:c>
      <x:c r="K853" s="13" t="n">
        <x:f>E853*I853*H853</x:f>
        <x:v>0.08713267499999999</x:v>
      </x:c>
      <x:c r="L853" s="1" t="str">
        <x:f>TEXT(A853,"mmm yyyy")</x:f>
        <x:v>May 2026</x:v>
      </x:c>
    </x:row>
    <x:row r="854" ht="21" customHeight="1">
      <x:c r="A854" s="10" t="n">
        <x:v>46166</x:v>
      </x:c>
      <x:c r="B854" s="1" t="n">
        <x:v>7</x:v>
      </x:c>
      <x:c r="C854" s="1" t="n">
        <x:v>6</x:v>
      </x:c>
      <x:c r="D854" s="12" t="n">
        <x:v>0.5754166666666667</x:v>
      </x:c>
      <x:c r="E854" s="12" t="n">
        <x:v>0.5844166666666667</x:v>
      </x:c>
      <x:c r="F854" s="12" t="n">
        <x:v>0</x:v>
      </x:c>
      <x:c r="G854" s="12" t="n">
        <x:v>0</x:v>
      </x:c>
      <x:c r="H854" s="1" t="n">
        <x:f>'Historical prices'!E854</x:f>
        <x:v>1.05</x:v>
      </x:c>
      <x:c r="I854" s="6" t="n">
        <x:f>'Historical prices'!D854</x:f>
        <x:v>0.18460000000000001</x:v>
      </x:c>
      <x:c r="J854" s="13" t="n">
        <x:f>D854*I854*H854</x:f>
        <x:v>0.11153301250000001</x:v>
      </x:c>
      <x:c r="K854" s="13" t="n">
        <x:f>E854*I854*H854</x:f>
        <x:v>0.11327748250000003</x:v>
      </x:c>
      <x:c r="L854" s="1" t="str">
        <x:f>TEXT(A854,"mmm yyyy")</x:f>
        <x:v>May 2026</x:v>
      </x:c>
    </x:row>
    <x:row r="855" ht="21" customHeight="1">
      <x:c r="A855" s="10" t="n">
        <x:v>46166</x:v>
      </x:c>
      <x:c r="B855" s="1" t="n">
        <x:v>7.5</x:v>
      </x:c>
      <x:c r="C855" s="1" t="n">
        <x:v>6</x:v>
      </x:c>
      <x:c r="D855" s="12" t="n">
        <x:v>0.48483333333333334</x:v>
      </x:c>
      <x:c r="E855" s="12" t="n">
        <x:v>0.49483333333333335</x:v>
      </x:c>
      <x:c r="F855" s="12" t="n">
        <x:v>0</x:v>
      </x:c>
      <x:c r="G855" s="12" t="n">
        <x:v>0</x:v>
      </x:c>
      <x:c r="H855" s="1" t="n">
        <x:f>'Historical prices'!E855</x:f>
        <x:v>1.05</x:v>
      </x:c>
      <x:c r="I855" s="6" t="n">
        <x:f>'Historical prices'!D855</x:f>
        <x:v>0.1804</x:v>
      </x:c>
      <x:c r="J855" s="13" t="n">
        <x:f>D855*I855*H855</x:f>
        <x:v>0.09183713000000002</x:v>
      </x:c>
      <x:c r="K855" s="13" t="n">
        <x:f>E855*I855*H855</x:f>
        <x:v>0.09373133000000002</x:v>
      </x:c>
      <x:c r="L855" s="1" t="str">
        <x:f>TEXT(A855,"mmm yyyy")</x:f>
        <x:v>May 2026</x:v>
      </x:c>
    </x:row>
    <x:row r="856" ht="21" customHeight="1">
      <x:c r="A856" s="10" t="n">
        <x:v>46166</x:v>
      </x:c>
      <x:c r="B856" s="1" t="n">
        <x:v>8</x:v>
      </x:c>
      <x:c r="C856" s="1" t="n">
        <x:v>6</x:v>
      </x:c>
      <x:c r="D856" s="12" t="n">
        <x:v>0.5504166666666666</x:v>
      </x:c>
      <x:c r="E856" s="12" t="n">
        <x:v>0.5604166666666666</x:v>
      </x:c>
      <x:c r="F856" s="12" t="n">
        <x:v>0</x:v>
      </x:c>
      <x:c r="G856" s="12" t="n">
        <x:v>0</x:v>
      </x:c>
      <x:c r="H856" s="1" t="n">
        <x:f>'Historical prices'!E856</x:f>
        <x:v>1.05</x:v>
      </x:c>
      <x:c r="I856" s="6" t="n">
        <x:f>'Historical prices'!D856</x:f>
        <x:v>0.18309999999999998</x:v>
      </x:c>
      <x:c r="J856" s="13" t="n">
        <x:f>D856*I856*H856</x:f>
        <x:v>0.10582035624999997</x:v>
      </x:c>
      <x:c r="K856" s="13" t="n">
        <x:f>E856*I856*H856</x:f>
        <x:v>0.10774290624999996</x:v>
      </x:c>
      <x:c r="L856" s="1" t="str">
        <x:f>TEXT(A856,"mmm yyyy")</x:f>
        <x:v>May 2026</x:v>
      </x:c>
    </x:row>
    <x:row r="857" ht="21" customHeight="1">
      <x:c r="A857" s="10" t="n">
        <x:v>46166</x:v>
      </x:c>
      <x:c r="B857" s="1" t="n">
        <x:v>8.5</x:v>
      </x:c>
      <x:c r="C857" s="1" t="n">
        <x:v>6</x:v>
      </x:c>
      <x:c r="D857" s="12" t="n">
        <x:v>0.467</x:v>
      </x:c>
      <x:c r="E857" s="12" t="n">
        <x:v>0.47800000000000004</x:v>
      </x:c>
      <x:c r="F857" s="12" t="n">
        <x:v>0</x:v>
      </x:c>
      <x:c r="G857" s="12" t="n">
        <x:v>0</x:v>
      </x:c>
      <x:c r="H857" s="1" t="n">
        <x:f>'Historical prices'!E857</x:f>
        <x:v>1.05</x:v>
      </x:c>
      <x:c r="I857" s="6" t="n">
        <x:f>'Historical prices'!D857</x:f>
        <x:v>0.17800000000000002</x:v>
      </x:c>
      <x:c r="J857" s="13" t="n">
        <x:f>D857*I857*H857</x:f>
        <x:v>0.08728230000000002</x:v>
      </x:c>
      <x:c r="K857" s="13" t="n">
        <x:f>E857*I857*H857</x:f>
        <x:v>0.08933820000000002</x:v>
      </x:c>
      <x:c r="L857" s="1" t="str">
        <x:f>TEXT(A857,"mmm yyyy")</x:f>
        <x:v>May 2026</x:v>
      </x:c>
    </x:row>
    <x:row r="858" ht="21" customHeight="1">
      <x:c r="A858" s="10" t="n">
        <x:v>46166</x:v>
      </x:c>
      <x:c r="B858" s="1" t="n">
        <x:v>9</x:v>
      </x:c>
      <x:c r="C858" s="1" t="n">
        <x:v>6</x:v>
      </x:c>
      <x:c r="D858" s="12" t="n">
        <x:v>0.4448333333333333</x:v>
      </x:c>
      <x:c r="E858" s="12" t="n">
        <x:v>0.4548333333333333</x:v>
      </x:c>
      <x:c r="F858" s="12" t="n">
        <x:v>0</x:v>
      </x:c>
      <x:c r="G858" s="12" t="n">
        <x:v>0</x:v>
      </x:c>
      <x:c r="H858" s="1" t="n">
        <x:f>'Historical prices'!E858</x:f>
        <x:v>1.05</x:v>
      </x:c>
      <x:c r="I858" s="6" t="n">
        <x:f>'Historical prices'!D858</x:f>
        <x:v>0.1819</x:v>
      </x:c>
      <x:c r="J858" s="13" t="n">
        <x:f>D858*I858*H858</x:f>
        <x:v>0.08496094250000001</x:v>
      </x:c>
      <x:c r="K858" s="13" t="n">
        <x:f>E858*I858*H858</x:f>
        <x:v>0.0868708925</x:v>
      </x:c>
      <x:c r="L858" s="1" t="str">
        <x:f>TEXT(A858,"mmm yyyy")</x:f>
        <x:v>May 2026</x:v>
      </x:c>
    </x:row>
    <x:row r="859" ht="21" customHeight="1">
      <x:c r="A859" s="10" t="n">
        <x:v>46166</x:v>
      </x:c>
      <x:c r="B859" s="1" t="n">
        <x:v>9.5</x:v>
      </x:c>
      <x:c r="C859" s="1" t="n">
        <x:v>6</x:v>
      </x:c>
      <x:c r="D859" s="12" t="n">
        <x:v>0.50525</x:v>
      </x:c>
      <x:c r="E859" s="12" t="n">
        <x:v>0.51525</x:v>
      </x:c>
      <x:c r="F859" s="12" t="n">
        <x:v>0</x:v>
      </x:c>
      <x:c r="G859" s="12" t="n">
        <x:v>0</x:v>
      </x:c>
      <x:c r="H859" s="1" t="n">
        <x:f>'Historical prices'!E859</x:f>
        <x:v>1.05</x:v>
      </x:c>
      <x:c r="I859" s="6" t="n">
        <x:f>'Historical prices'!D859</x:f>
        <x:v>0.1724</x:v>
      </x:c>
      <x:c r="J859" s="13" t="n">
        <x:f>D859*I859*H859</x:f>
        <x:v>0.091460355</x:v>
      </x:c>
      <x:c r="K859" s="13" t="n">
        <x:f>E859*I859*H859</x:f>
        <x:v>0.09327055499999999</x:v>
      </x:c>
      <x:c r="L859" s="1" t="str">
        <x:f>TEXT(A859,"mmm yyyy")</x:f>
        <x:v>May 2026</x:v>
      </x:c>
    </x:row>
    <x:row r="860" ht="21" customHeight="1">
      <x:c r="A860" s="10" t="n">
        <x:v>46166</x:v>
      </x:c>
      <x:c r="B860" s="1" t="n">
        <x:v>10</x:v>
      </x:c>
      <x:c r="C860" s="1" t="n">
        <x:v>6</x:v>
      </x:c>
      <x:c r="D860" s="12" t="n">
        <x:v>0.46458333333333335</x:v>
      </x:c>
      <x:c r="E860" s="12" t="n">
        <x:v>0.47558333333333336</x:v>
      </x:c>
      <x:c r="F860" s="12" t="n">
        <x:v>0</x:v>
      </x:c>
      <x:c r="G860" s="12" t="n">
        <x:v>0</x:v>
      </x:c>
      <x:c r="H860" s="1" t="n">
        <x:f>'Historical prices'!E860</x:f>
        <x:v>1.05</x:v>
      </x:c>
      <x:c r="I860" s="6" t="n">
        <x:f>'Historical prices'!D860</x:f>
        <x:v>0.16570000000000001</x:v>
      </x:c>
      <x:c r="J860" s="13" t="n">
        <x:f>D860*I860*H860</x:f>
        <x:v>0.08083053125</x:v>
      </x:c>
      <x:c r="K860" s="13" t="n">
        <x:f>E860*I860*H860</x:f>
        <x:v>0.08274436625000002</x:v>
      </x:c>
      <x:c r="L860" s="1" t="str">
        <x:f>TEXT(A860,"mmm yyyy")</x:f>
        <x:v>May 2026</x:v>
      </x:c>
    </x:row>
    <x:row r="861" ht="21" customHeight="1">
      <x:c r="A861" s="10" t="n">
        <x:v>46166</x:v>
      </x:c>
      <x:c r="B861" s="1" t="n">
        <x:v>10.5</x:v>
      </x:c>
      <x:c r="C861" s="1" t="n">
        <x:v>6</x:v>
      </x:c>
      <x:c r="D861" s="12" t="n">
        <x:v>2.9005</x:v>
      </x:c>
      <x:c r="E861" s="12" t="n">
        <x:v>0.6005</x:v>
      </x:c>
      <x:c r="F861" s="12" t="n">
        <x:v>0</x:v>
      </x:c>
      <x:c r="G861" s="12" t="n">
        <x:v>2.3049999999999997</x:v>
      </x:c>
      <x:c r="H861" s="1" t="n">
        <x:f>'Historical prices'!E861</x:f>
        <x:v>1.05</x:v>
      </x:c>
      <x:c r="I861" s="6" t="n">
        <x:f>'Historical prices'!D861</x:f>
        <x:v>0.1577</x:v>
      </x:c>
      <x:c r="J861" s="13" t="n">
        <x:f>D861*I861*H861</x:f>
        <x:v>0.48027929250000007</x:v>
      </x:c>
      <x:c r="K861" s="13" t="n">
        <x:f>E861*I861*H861</x:f>
        <x:v>0.09943379250000002</x:v>
      </x:c>
      <x:c r="L861" s="1" t="str">
        <x:f>TEXT(A861,"mmm yyyy")</x:f>
        <x:v>May 2026</x:v>
      </x:c>
    </x:row>
    <x:row r="862" ht="21" customHeight="1">
      <x:c r="A862" s="10" t="n">
        <x:v>46166</x:v>
      </x:c>
      <x:c r="B862" s="1" t="n">
        <x:v>11</x:v>
      </x:c>
      <x:c r="C862" s="1" t="n">
        <x:v>6</x:v>
      </x:c>
      <x:c r="D862" s="12" t="n">
        <x:v>0.08975</x:v>
      </x:c>
      <x:c r="E862" s="12" t="n">
        <x:v>0.71075</x:v>
      </x:c>
      <x:c r="F862" s="12" t="n">
        <x:v>0.6189166666666667</x:v>
      </x:c>
      <x:c r="G862" s="12" t="n">
        <x:v>0</x:v>
      </x:c>
      <x:c r="H862" s="1" t="n">
        <x:f>'Historical prices'!E862</x:f>
        <x:v>1.05</x:v>
      </x:c>
      <x:c r="I862" s="6" t="n">
        <x:f>'Historical prices'!D862</x:f>
        <x:v>0.1598</x:v>
      </x:c>
      <x:c r="J862" s="13" t="n">
        <x:f>D862*I862*H862</x:f>
        <x:v>0.015059152499999999</x:v>
      </x:c>
      <x:c r="K862" s="13" t="n">
        <x:f>E862*I862*H862</x:f>
        <x:v>0.1192567425</x:v>
      </x:c>
      <x:c r="L862" s="1" t="str">
        <x:f>TEXT(A862,"mmm yyyy")</x:f>
        <x:v>May 2026</x:v>
      </x:c>
    </x:row>
    <x:row r="863" ht="21" customHeight="1">
      <x:c r="A863" s="10" t="n">
        <x:v>46166</x:v>
      </x:c>
      <x:c r="B863" s="1" t="n">
        <x:v>11.5</x:v>
      </x:c>
      <x:c r="C863" s="1" t="n">
        <x:v>6</x:v>
      </x:c>
      <x:c r="D863" s="12" t="n">
        <x:v>0</x:v>
      </x:c>
      <x:c r="E863" s="12" t="n">
        <x:v>0.5625833333333332</x:v>
      </x:c>
      <x:c r="F863" s="12" t="n">
        <x:v>0.5625833333333332</x:v>
      </x:c>
      <x:c r="G863" s="12" t="n">
        <x:v>0</x:v>
      </x:c>
      <x:c r="H863" s="1" t="n">
        <x:f>'Historical prices'!E863</x:f>
        <x:v>1.05</x:v>
      </x:c>
      <x:c r="I863" s="6" t="n">
        <x:f>'Historical prices'!D863</x:f>
        <x:v>0.1598</x:v>
      </x:c>
      <x:c r="J863" s="13" t="n">
        <x:f>D863*I863*H863</x:f>
        <x:v>0</x:v>
      </x:c>
      <x:c r="K863" s="13" t="n">
        <x:f>E863*I863*H863</x:f>
        <x:v>0.09439585749999999</x:v>
      </x:c>
      <x:c r="L863" s="1" t="str">
        <x:f>TEXT(A863,"mmm yyyy")</x:f>
        <x:v>May 2026</x:v>
      </x:c>
    </x:row>
    <x:row r="864" ht="21" customHeight="1">
      <x:c r="A864" s="10" t="n">
        <x:v>46166</x:v>
      </x:c>
      <x:c r="B864" s="1" t="n">
        <x:v>12</x:v>
      </x:c>
      <x:c r="C864" s="1" t="n">
        <x:v>6</x:v>
      </x:c>
      <x:c r="D864" s="12" t="n">
        <x:v>0.42233333333333334</x:v>
      </x:c>
      <x:c r="E864" s="12" t="n">
        <x:v>0.5183333333333333</x:v>
      </x:c>
      <x:c r="F864" s="12" t="n">
        <x:v>0.086</x:v>
      </x:c>
      <x:c r="G864" s="12" t="n">
        <x:v>0</x:v>
      </x:c>
      <x:c r="H864" s="1" t="n">
        <x:f>'Historical prices'!E864</x:f>
        <x:v>1.05</x:v>
      </x:c>
      <x:c r="I864" s="6" t="n">
        <x:f>'Historical prices'!D864</x:f>
        <x:v>0.1577</x:v>
      </x:c>
      <x:c r="J864" s="13" t="n">
        <x:f>D864*I864*H864</x:f>
        <x:v>0.069932065</x:v>
      </x:c>
      <x:c r="K864" s="13" t="n">
        <x:f>E864*I864*H864</x:f>
        <x:v>0.08582822500000001</x:v>
      </x:c>
      <x:c r="L864" s="1" t="str">
        <x:f>TEXT(A864,"mmm yyyy")</x:f>
        <x:v>May 2026</x:v>
      </x:c>
    </x:row>
    <x:row r="865" ht="21" customHeight="1">
      <x:c r="A865" s="10" t="n">
        <x:v>46166</x:v>
      </x:c>
      <x:c r="B865" s="1" t="n">
        <x:v>12.5</x:v>
      </x:c>
      <x:c r="C865" s="1" t="n">
        <x:v>6</x:v>
      </x:c>
      <x:c r="D865" s="12" t="n">
        <x:v>0.4213333333333333</x:v>
      </x:c>
      <x:c r="E865" s="12" t="n">
        <x:v>0.6143333333333333</x:v>
      </x:c>
      <x:c r="F865" s="12" t="n">
        <x:v>0.191</x:v>
      </x:c>
      <x:c r="G865" s="12" t="n">
        <x:v>0</x:v>
      </x:c>
      <x:c r="H865" s="1" t="n">
        <x:f>'Historical prices'!E865</x:f>
        <x:v>1.05</x:v>
      </x:c>
      <x:c r="I865" s="6" t="n">
        <x:f>'Historical prices'!D865</x:f>
        <x:v>0.1598</x:v>
      </x:c>
      <x:c r="J865" s="13" t="n">
        <x:f>D865*I865*H865</x:f>
        <x:v>0.07069552</x:v>
      </x:c>
      <x:c r="K865" s="13" t="n">
        <x:f>E865*I865*H865</x:f>
        <x:v>0.10307899</x:v>
      </x:c>
      <x:c r="L865" s="1" t="str">
        <x:f>TEXT(A865,"mmm yyyy")</x:f>
        <x:v>May 2026</x:v>
      </x:c>
    </x:row>
    <x:row r="866" ht="21" customHeight="1">
      <x:c r="A866" s="10" t="n">
        <x:v>46166</x:v>
      </x:c>
      <x:c r="B866" s="1" t="n">
        <x:v>13</x:v>
      </x:c>
      <x:c r="C866" s="1" t="n">
        <x:v>6</x:v>
      </x:c>
      <x:c r="D866" s="12" t="n">
        <x:v>0.017083333333333332</x:v>
      </x:c>
      <x:c r="E866" s="12" t="n">
        <x:v>0.5010833333333333</x:v>
      </x:c>
      <x:c r="F866" s="12" t="n">
        <x:v>0.484</x:v>
      </x:c>
      <x:c r="G866" s="12" t="n">
        <x:v>0</x:v>
      </x:c>
      <x:c r="H866" s="1" t="n">
        <x:f>'Historical prices'!E866</x:f>
        <x:v>1.05</x:v>
      </x:c>
      <x:c r="I866" s="6" t="n">
        <x:f>'Historical prices'!D866</x:f>
        <x:v>0.16269999999999998</x:v>
      </x:c>
      <x:c r="J866" s="13" t="n">
        <x:f>D866*I866*H866</x:f>
        <x:v>0.00291843125</x:v>
      </x:c>
      <x:c r="K866" s="13" t="n">
        <x:f>E866*I866*H866</x:f>
        <x:v>0.08560257125</x:v>
      </x:c>
      <x:c r="L866" s="1" t="str">
        <x:f>TEXT(A866,"mmm yyyy")</x:f>
        <x:v>May 2026</x:v>
      </x:c>
    </x:row>
    <x:row r="867" ht="21" customHeight="1">
      <x:c r="A867" s="10" t="n">
        <x:v>46166</x:v>
      </x:c>
      <x:c r="B867" s="1" t="n">
        <x:v>13.5</x:v>
      </x:c>
      <x:c r="C867" s="1" t="n">
        <x:v>6</x:v>
      </x:c>
      <x:c r="D867" s="12" t="n">
        <x:v>0</x:v>
      </x:c>
      <x:c r="E867" s="12" t="n">
        <x:v>0.52175</x:v>
      </x:c>
      <x:c r="F867" s="12" t="n">
        <x:v>0.52175</x:v>
      </x:c>
      <x:c r="G867" s="12" t="n">
        <x:v>0</x:v>
      </x:c>
      <x:c r="H867" s="1" t="n">
        <x:f>'Historical prices'!E867</x:f>
        <x:v>1.05</x:v>
      </x:c>
      <x:c r="I867" s="6" t="n">
        <x:f>'Historical prices'!D867</x:f>
        <x:v>0.1598</x:v>
      </x:c>
      <x:c r="J867" s="13" t="n">
        <x:f>D867*I867*H867</x:f>
        <x:v>0</x:v>
      </x:c>
      <x:c r="K867" s="13" t="n">
        <x:f>E867*I867*H867</x:f>
        <x:v>0.08754443250000002</x:v>
      </x:c>
      <x:c r="L867" s="1" t="str">
        <x:f>TEXT(A867,"mmm yyyy")</x:f>
        <x:v>May 2026</x:v>
      </x:c>
    </x:row>
    <x:row r="868" ht="21" customHeight="1">
      <x:c r="A868" s="10" t="n">
        <x:v>46166</x:v>
      </x:c>
      <x:c r="B868" s="1" t="n">
        <x:v>14</x:v>
      </x:c>
      <x:c r="C868" s="1" t="n">
        <x:v>6</x:v>
      </x:c>
      <x:c r="D868" s="12" t="n">
        <x:v>0.361</x:v>
      </x:c>
      <x:c r="E868" s="12" t="n">
        <x:v>0.461</x:v>
      </x:c>
      <x:c r="F868" s="12" t="n">
        <x:v>0.09</x:v>
      </x:c>
      <x:c r="G868" s="12" t="n">
        <x:v>0</x:v>
      </x:c>
      <x:c r="H868" s="1" t="n">
        <x:f>'Historical prices'!E868</x:f>
        <x:v>1.05</x:v>
      </x:c>
      <x:c r="I868" s="6" t="n">
        <x:f>'Historical prices'!D868</x:f>
        <x:v>0.15869999999999998</x:v>
      </x:c>
      <x:c r="J868" s="13" t="n">
        <x:f>D868*I868*H868</x:f>
        <x:v>0.060155234999999994</x:v>
      </x:c>
      <x:c r="K868" s="13" t="n">
        <x:f>E868*I868*H868</x:f>
        <x:v>0.076818735</x:v>
      </x:c>
      <x:c r="L868" s="1" t="str">
        <x:f>TEXT(A868,"mmm yyyy")</x:f>
        <x:v>May 2026</x:v>
      </x:c>
    </x:row>
    <x:row r="869" ht="21" customHeight="1">
      <x:c r="A869" s="10" t="n">
        <x:v>46166</x:v>
      </x:c>
      <x:c r="B869" s="1" t="n">
        <x:v>14.5</x:v>
      </x:c>
      <x:c r="C869" s="1" t="n">
        <x:v>6</x:v>
      </x:c>
      <x:c r="D869" s="12" t="n">
        <x:v>0.19425</x:v>
      </x:c>
      <x:c r="E869" s="12" t="n">
        <x:v>0.5469999999999999</x:v>
      </x:c>
      <x:c r="F869" s="12" t="n">
        <x:v>0.3470000000000001</x:v>
      </x:c>
      <x:c r="G869" s="12" t="n">
        <x:v>0</x:v>
      </x:c>
      <x:c r="H869" s="1" t="n">
        <x:f>'Historical prices'!E869</x:f>
        <x:v>1.05</x:v>
      </x:c>
      <x:c r="I869" s="6" t="n">
        <x:f>'Historical prices'!D869</x:f>
        <x:v>0.1598</x:v>
      </x:c>
      <x:c r="J869" s="13" t="n">
        <x:f>D869*I869*H869</x:f>
        <x:v>0.0325932075</x:v>
      </x:c>
      <x:c r="K869" s="13" t="n">
        <x:f>E869*I869*H869</x:f>
        <x:v>0.09178112999999999</x:v>
      </x:c>
      <x:c r="L869" s="1" t="str">
        <x:f>TEXT(A869,"mmm yyyy")</x:f>
        <x:v>May 2026</x:v>
      </x:c>
    </x:row>
    <x:row r="870" ht="21" customHeight="1">
      <x:c r="A870" s="10" t="n">
        <x:v>46166</x:v>
      </x:c>
      <x:c r="B870" s="1" t="n">
        <x:v>15</x:v>
      </x:c>
      <x:c r="C870" s="1" t="n">
        <x:v>6</x:v>
      </x:c>
      <x:c r="D870" s="12" t="n">
        <x:v>0.2599166666666667</x:v>
      </x:c>
      <x:c r="E870" s="12" t="n">
        <x:v>0.56975</x:v>
      </x:c>
      <x:c r="F870" s="12" t="n">
        <x:v>0.29691666666666666</x:v>
      </x:c>
      <x:c r="G870" s="12" t="n">
        <x:v>0</x:v>
      </x:c>
      <x:c r="H870" s="1" t="n">
        <x:f>'Historical prices'!E870</x:f>
        <x:v>1.05</x:v>
      </x:c>
      <x:c r="I870" s="6" t="n">
        <x:f>'Historical prices'!D870</x:f>
        <x:v>0.16399999999999998</x:v>
      </x:c>
      <x:c r="J870" s="13" t="n">
        <x:f>D870*I870*H870</x:f>
        <x:v>0.044757649999999996</x:v>
      </x:c>
      <x:c r="K870" s="13" t="n">
        <x:f>E870*I870*H870</x:f>
        <x:v>0.09811094999999999</x:v>
      </x:c>
      <x:c r="L870" s="1" t="str">
        <x:f>TEXT(A870,"mmm yyyy")</x:f>
        <x:v>May 2026</x:v>
      </x:c>
    </x:row>
    <x:row r="871" ht="21" customHeight="1">
      <x:c r="A871" s="10" t="n">
        <x:v>46166</x:v>
      </x:c>
      <x:c r="B871" s="1" t="n">
        <x:v>15.5</x:v>
      </x:c>
      <x:c r="C871" s="1" t="n">
        <x:v>6</x:v>
      </x:c>
      <x:c r="D871" s="12" t="n">
        <x:v>0.07425</x:v>
      </x:c>
      <x:c r="E871" s="12" t="n">
        <x:v>0.5155833333333333</x:v>
      </x:c>
      <x:c r="F871" s="12" t="n">
        <x:v>0.4318333333333333</x:v>
      </x:c>
      <x:c r="G871" s="12" t="n">
        <x:v>0</x:v>
      </x:c>
      <x:c r="H871" s="1" t="n">
        <x:f>'Historical prices'!E871</x:f>
        <x:v>1.05</x:v>
      </x:c>
      <x:c r="I871" s="6" t="n">
        <x:f>'Historical prices'!D871</x:f>
        <x:v>0.16399999999999998</x:v>
      </x:c>
      <x:c r="J871" s="13" t="n">
        <x:f>D871*I871*H871</x:f>
        <x:v>0.01278585</x:v>
      </x:c>
      <x:c r="K871" s="13" t="n">
        <x:f>E871*I871*H871</x:f>
        <x:v>0.08878344999999999</x:v>
      </x:c>
      <x:c r="L871" s="1" t="str">
        <x:f>TEXT(A871,"mmm yyyy")</x:f>
        <x:v>May 2026</x:v>
      </x:c>
    </x:row>
    <x:row r="872" ht="21" customHeight="1">
      <x:c r="A872" s="10" t="n">
        <x:v>46166</x:v>
      </x:c>
      <x:c r="B872" s="1" t="n">
        <x:v>16</x:v>
      </x:c>
      <x:c r="C872" s="1" t="n">
        <x:v>6</x:v>
      </x:c>
      <x:c r="D872" s="12" t="n">
        <x:v>0</x:v>
      </x:c>
      <x:c r="E872" s="12" t="n">
        <x:v>0.642</x:v>
      </x:c>
      <x:c r="F872" s="12" t="n">
        <x:v>0.6419166666666667</x:v>
      </x:c>
      <x:c r="G872" s="12" t="n">
        <x:v>0</x:v>
      </x:c>
      <x:c r="H872" s="1" t="n">
        <x:f>'Historical prices'!E872</x:f>
        <x:v>1.05</x:v>
      </x:c>
      <x:c r="I872" s="6" t="n">
        <x:f>'Historical prices'!D872</x:f>
        <x:v>0.3119</x:v>
      </x:c>
      <x:c r="J872" s="13" t="n">
        <x:f>D872*I872*H872</x:f>
        <x:v>0</x:v>
      </x:c>
      <x:c r="K872" s="13" t="n">
        <x:f>E872*I872*H872</x:f>
        <x:v>0.21025179000000002</x:v>
      </x:c>
      <x:c r="L872" s="1" t="str">
        <x:f>TEXT(A872,"mmm yyyy")</x:f>
        <x:v>May 2026</x:v>
      </x:c>
    </x:row>
    <x:row r="873" ht="21" customHeight="1">
      <x:c r="A873" s="10" t="n">
        <x:v>46166</x:v>
      </x:c>
      <x:c r="B873" s="1" t="n">
        <x:v>16.5</x:v>
      </x:c>
      <x:c r="C873" s="1" t="n">
        <x:v>6</x:v>
      </x:c>
      <x:c r="D873" s="12" t="n">
        <x:v>0</x:v>
      </x:c>
      <x:c r="E873" s="12" t="n">
        <x:v>0.581</x:v>
      </x:c>
      <x:c r="F873" s="12" t="n">
        <x:v>0.581</x:v>
      </x:c>
      <x:c r="G873" s="12" t="n">
        <x:v>0</x:v>
      </x:c>
      <x:c r="H873" s="1" t="n">
        <x:f>'Historical prices'!E873</x:f>
        <x:v>1.05</x:v>
      </x:c>
      <x:c r="I873" s="6" t="n">
        <x:f>'Historical prices'!D873</x:f>
        <x:v>0.3134</x:v>
      </x:c>
      <x:c r="J873" s="13" t="n">
        <x:f>D873*I873*H873</x:f>
        <x:v>0</x:v>
      </x:c>
      <x:c r="K873" s="13" t="n">
        <x:f>E873*I873*H873</x:f>
        <x:v>0.19118967</x:v>
      </x:c>
      <x:c r="L873" s="1" t="str">
        <x:f>TEXT(A873,"mmm yyyy")</x:f>
        <x:v>May 2026</x:v>
      </x:c>
    </x:row>
    <x:row r="874" ht="21" customHeight="1">
      <x:c r="A874" s="10" t="n">
        <x:v>46166</x:v>
      </x:c>
      <x:c r="B874" s="1" t="n">
        <x:v>17</x:v>
      </x:c>
      <x:c r="C874" s="1" t="n">
        <x:v>6</x:v>
      </x:c>
      <x:c r="D874" s="12" t="n">
        <x:v>0</x:v>
      </x:c>
      <x:c r="E874" s="12" t="n">
        <x:v>0.6138333333333333</x:v>
      </x:c>
      <x:c r="F874" s="12" t="n">
        <x:v>0.6135833333333334</x:v>
      </x:c>
      <x:c r="G874" s="12" t="n">
        <x:v>0</x:v>
      </x:c>
      <x:c r="H874" s="1" t="n">
        <x:f>'Historical prices'!E874</x:f>
        <x:v>1.05</x:v>
      </x:c>
      <x:c r="I874" s="6" t="n">
        <x:f>'Historical prices'!D874</x:f>
        <x:v>0.32299999999999995</x:v>
      </x:c>
      <x:c r="J874" s="13" t="n">
        <x:f>D874*I874*H874</x:f>
        <x:v>0</x:v>
      </x:c>
      <x:c r="K874" s="13" t="n">
        <x:f>E874*I874*H874</x:f>
        <x:v>0.20818157499999998</x:v>
      </x:c>
      <x:c r="L874" s="1" t="str">
        <x:f>TEXT(A874,"mmm yyyy")</x:f>
        <x:v>May 2026</x:v>
      </x:c>
    </x:row>
    <x:row r="875" ht="21" customHeight="1">
      <x:c r="A875" s="10" t="n">
        <x:v>46166</x:v>
      </x:c>
      <x:c r="B875" s="1" t="n">
        <x:v>17.5</x:v>
      </x:c>
      <x:c r="C875" s="1" t="n">
        <x:v>6</x:v>
      </x:c>
      <x:c r="D875" s="12" t="n">
        <x:v>0</x:v>
      </x:c>
      <x:c r="E875" s="12" t="n">
        <x:v>0.5929166666666666</x:v>
      </x:c>
      <x:c r="F875" s="12" t="n">
        <x:v>0.5928333333333333</x:v>
      </x:c>
      <x:c r="G875" s="12" t="n">
        <x:v>0</x:v>
      </x:c>
      <x:c r="H875" s="1" t="n">
        <x:f>'Historical prices'!E875</x:f>
        <x:v>1.05</x:v>
      </x:c>
      <x:c r="I875" s="6" t="n">
        <x:f>'Historical prices'!D875</x:f>
        <x:v>0.32659999999999995</x:v>
      </x:c>
      <x:c r="J875" s="13" t="n">
        <x:f>D875*I875*H875</x:f>
        <x:v>0</x:v>
      </x:c>
      <x:c r="K875" s="13" t="n">
        <x:f>E875*I875*H875</x:f>
        <x:v>0.20332891249999996</x:v>
      </x:c>
      <x:c r="L875" s="1" t="str">
        <x:f>TEXT(A875,"mmm yyyy")</x:f>
        <x:v>May 2026</x:v>
      </x:c>
    </x:row>
    <x:row r="876" ht="21" customHeight="1">
      <x:c r="A876" s="10" t="n">
        <x:v>46166</x:v>
      </x:c>
      <x:c r="B876" s="1" t="n">
        <x:v>18</x:v>
      </x:c>
      <x:c r="C876" s="1" t="n">
        <x:v>6</x:v>
      </x:c>
      <x:c r="D876" s="12" t="n">
        <x:v>0</x:v>
      </x:c>
      <x:c r="E876" s="12" t="n">
        <x:v>0.5758333333333333</x:v>
      </x:c>
      <x:c r="F876" s="12" t="n">
        <x:v>0.5758333333333333</x:v>
      </x:c>
      <x:c r="G876" s="12" t="n">
        <x:v>0</x:v>
      </x:c>
      <x:c r="H876" s="1" t="n">
        <x:f>'Historical prices'!E876</x:f>
        <x:v>1.05</x:v>
      </x:c>
      <x:c r="I876" s="6" t="n">
        <x:f>'Historical prices'!D876</x:f>
        <x:v>0.35609999999999997</x:v>
      </x:c>
      <x:c r="J876" s="13" t="n">
        <x:f>D876*I876*H876</x:f>
        <x:v>0</x:v>
      </x:c>
      <x:c r="K876" s="13" t="n">
        <x:f>E876*I876*H876</x:f>
        <x:v>0.21530696249999998</x:v>
      </x:c>
      <x:c r="L876" s="1" t="str">
        <x:f>TEXT(A876,"mmm yyyy")</x:f>
        <x:v>May 2026</x:v>
      </x:c>
    </x:row>
    <x:row r="877" ht="21" customHeight="1">
      <x:c r="A877" s="10" t="n">
        <x:v>46166</x:v>
      </x:c>
      <x:c r="B877" s="1" t="n">
        <x:v>18.5</x:v>
      </x:c>
      <x:c r="C877" s="1" t="n">
        <x:v>6</x:v>
      </x:c>
      <x:c r="D877" s="12" t="n">
        <x:v>0</x:v>
      </x:c>
      <x:c r="E877" s="12" t="n">
        <x:v>0.9619166666666668</x:v>
      </x:c>
      <x:c r="F877" s="12" t="n">
        <x:v>0.96175</x:v>
      </x:c>
      <x:c r="G877" s="12" t="n">
        <x:v>0</x:v>
      </x:c>
      <x:c r="H877" s="1" t="n">
        <x:f>'Historical prices'!E877</x:f>
        <x:v>1.05</x:v>
      </x:c>
      <x:c r="I877" s="6" t="n">
        <x:f>'Historical prices'!D877</x:f>
        <x:v>0.36329999999999996</x:v>
      </x:c>
      <x:c r="J877" s="13" t="n">
        <x:f>D877*I877*H877</x:f>
        <x:v>0</x:v>
      </x:c>
      <x:c r="K877" s="13" t="n">
        <x:f>E877*I877*H877</x:f>
        <x:v>0.36693754125</x:v>
      </x:c>
      <x:c r="L877" s="1" t="str">
        <x:f>TEXT(A877,"mmm yyyy")</x:f>
        <x:v>May 2026</x:v>
      </x:c>
    </x:row>
    <x:row r="878" ht="21" customHeight="1">
      <x:c r="A878" s="10" t="n">
        <x:v>46166</x:v>
      </x:c>
      <x:c r="B878" s="1" t="n">
        <x:v>19</x:v>
      </x:c>
      <x:c r="C878" s="1" t="n">
        <x:v>6</x:v>
      </x:c>
      <x:c r="D878" s="12" t="n">
        <x:v>0</x:v>
      </x:c>
      <x:c r="E878" s="12" t="n">
        <x:v>0.6026666666666667</x:v>
      </x:c>
      <x:c r="F878" s="12" t="n">
        <x:v>0.6024999999999999</x:v>
      </x:c>
      <x:c r="G878" s="12" t="n">
        <x:v>0</x:v>
      </x:c>
      <x:c r="H878" s="1" t="n">
        <x:f>'Historical prices'!E878</x:f>
        <x:v>1.05</x:v>
      </x:c>
      <x:c r="I878" s="6" t="n">
        <x:f>'Historical prices'!D878</x:f>
        <x:v>0.2531</x:v>
      </x:c>
      <x:c r="J878" s="13" t="n">
        <x:f>D878*I878*H878</x:f>
        <x:v>0</x:v>
      </x:c>
      <x:c r="K878" s="13" t="n">
        <x:f>E878*I878*H878</x:f>
        <x:v>0.16016168000000003</x:v>
      </x:c>
      <x:c r="L878" s="1" t="str">
        <x:f>TEXT(A878,"mmm yyyy")</x:f>
        <x:v>May 2026</x:v>
      </x:c>
    </x:row>
    <x:row r="879" ht="21" customHeight="1">
      <x:c r="A879" s="10" t="n">
        <x:v>46166</x:v>
      </x:c>
      <x:c r="B879" s="1" t="n">
        <x:v>19.5</x:v>
      </x:c>
      <x:c r="C879" s="1" t="n">
        <x:v>6</x:v>
      </x:c>
      <x:c r="D879" s="12" t="n">
        <x:v>0</x:v>
      </x:c>
      <x:c r="E879" s="12" t="n">
        <x:v>0.7979166666666666</x:v>
      </x:c>
      <x:c r="F879" s="12" t="n">
        <x:v>0.79775</x:v>
      </x:c>
      <x:c r="G879" s="12" t="n">
        <x:v>0</x:v>
      </x:c>
      <x:c r="H879" s="1" t="n">
        <x:f>'Historical prices'!E879</x:f>
        <x:v>1.05</x:v>
      </x:c>
      <x:c r="I879" s="6" t="n">
        <x:f>'Historical prices'!D879</x:f>
        <x:v>0.2527</x:v>
      </x:c>
      <x:c r="J879" s="13" t="n">
        <x:f>D879*I879*H879</x:f>
        <x:v>0</x:v>
      </x:c>
      <x:c r="K879" s="13" t="n">
        <x:f>E879*I879*H879</x:f>
        <x:v>0.21171521875</x:v>
      </x:c>
      <x:c r="L879" s="1" t="str">
        <x:f>TEXT(A879,"mmm yyyy")</x:f>
        <x:v>May 2026</x:v>
      </x:c>
    </x:row>
    <x:row r="880" ht="21" customHeight="1">
      <x:c r="A880" s="10" t="n">
        <x:v>46166</x:v>
      </x:c>
      <x:c r="B880" s="1" t="n">
        <x:v>20</x:v>
      </x:c>
      <x:c r="C880" s="1" t="n">
        <x:v>6</x:v>
      </x:c>
      <x:c r="D880" s="12" t="n">
        <x:v>0</x:v>
      </x:c>
      <x:c r="E880" s="12" t="n">
        <x:v>0.5299166666666667</x:v>
      </x:c>
      <x:c r="F880" s="12" t="n">
        <x:v>0.5297499999999999</x:v>
      </x:c>
      <x:c r="G880" s="12" t="n">
        <x:v>0</x:v>
      </x:c>
      <x:c r="H880" s="1" t="n">
        <x:f>'Historical prices'!E880</x:f>
        <x:v>1.05</x:v>
      </x:c>
      <x:c r="I880" s="6" t="n">
        <x:f>'Historical prices'!D880</x:f>
        <x:v>0.2501</x:v>
      </x:c>
      <x:c r="J880" s="13" t="n">
        <x:f>D880*I880*H880</x:f>
        <x:v>0</x:v>
      </x:c>
      <x:c r="K880" s="13" t="n">
        <x:f>E880*I880*H880</x:f>
        <x:v>0.13915876625</x:v>
      </x:c>
      <x:c r="L880" s="1" t="str">
        <x:f>TEXT(A880,"mmm yyyy")</x:f>
        <x:v>May 2026</x:v>
      </x:c>
    </x:row>
    <x:row r="881" ht="21" customHeight="1">
      <x:c r="A881" s="10" t="n">
        <x:v>46166</x:v>
      </x:c>
      <x:c r="B881" s="1" t="n">
        <x:v>20.5</x:v>
      </x:c>
      <x:c r="C881" s="1" t="n">
        <x:v>6</x:v>
      </x:c>
      <x:c r="D881" s="12" t="n">
        <x:v>0</x:v>
      </x:c>
      <x:c r="E881" s="12" t="n">
        <x:v>0.5407500000000001</x:v>
      </x:c>
      <x:c r="F881" s="12" t="n">
        <x:v>0.5405833333333333</x:v>
      </x:c>
      <x:c r="G881" s="12" t="n">
        <x:v>0</x:v>
      </x:c>
      <x:c r="H881" s="1" t="n">
        <x:f>'Historical prices'!E881</x:f>
        <x:v>1.05</x:v>
      </x:c>
      <x:c r="I881" s="6" t="n">
        <x:f>'Historical prices'!D881</x:f>
        <x:v>0.2501</x:v>
      </x:c>
      <x:c r="J881" s="13" t="n">
        <x:f>D881*I881*H881</x:f>
        <x:v>0</x:v>
      </x:c>
      <x:c r="K881" s="13" t="n">
        <x:f>E881*I881*H881</x:f>
        <x:v>0.14200365375000001</x:v>
      </x:c>
      <x:c r="L881" s="1" t="str">
        <x:f>TEXT(A881,"mmm yyyy")</x:f>
        <x:v>May 2026</x:v>
      </x:c>
    </x:row>
    <x:row r="882" ht="21" customHeight="1">
      <x:c r="A882" s="10" t="n">
        <x:v>46166</x:v>
      </x:c>
      <x:c r="B882" s="1" t="n">
        <x:v>21</x:v>
      </x:c>
      <x:c r="C882" s="1" t="n">
        <x:v>6</x:v>
      </x:c>
      <x:c r="D882" s="12" t="n">
        <x:v>0</x:v>
      </x:c>
      <x:c r="E882" s="12" t="n">
        <x:v>0.515</x:v>
      </x:c>
      <x:c r="F882" s="12" t="n">
        <x:v>0.5148333333333334</x:v>
      </x:c>
      <x:c r="G882" s="12" t="n">
        <x:v>0</x:v>
      </x:c>
      <x:c r="H882" s="1" t="n">
        <x:f>'Historical prices'!E882</x:f>
        <x:v>1.05</x:v>
      </x:c>
      <x:c r="I882" s="6" t="n">
        <x:f>'Historical prices'!D882</x:f>
        <x:v>0.2522</x:v>
      </x:c>
      <x:c r="J882" s="13" t="n">
        <x:f>D882*I882*H882</x:f>
        <x:v>0</x:v>
      </x:c>
      <x:c r="K882" s="13" t="n">
        <x:f>E882*I882*H882</x:f>
        <x:v>0.13637715</x:v>
      </x:c>
      <x:c r="L882" s="1" t="str">
        <x:f>TEXT(A882,"mmm yyyy")</x:f>
        <x:v>May 2026</x:v>
      </x:c>
    </x:row>
    <x:row r="883" ht="21" customHeight="1">
      <x:c r="A883" s="10" t="n">
        <x:v>46166</x:v>
      </x:c>
      <x:c r="B883" s="1" t="n">
        <x:v>21.5</x:v>
      </x:c>
      <x:c r="C883" s="1" t="n">
        <x:v>6</x:v>
      </x:c>
      <x:c r="D883" s="12" t="n">
        <x:v>0</x:v>
      </x:c>
      <x:c r="E883" s="12" t="n">
        <x:v>1.1068333333333333</x:v>
      </x:c>
      <x:c r="F883" s="12" t="n">
        <x:v>1.1066666666666667</x:v>
      </x:c>
      <x:c r="G883" s="12" t="n">
        <x:v>0</x:v>
      </x:c>
      <x:c r="H883" s="1" t="n">
        <x:f>'Historical prices'!E883</x:f>
        <x:v>1.05</x:v>
      </x:c>
      <x:c r="I883" s="6" t="n">
        <x:f>'Historical prices'!D883</x:f>
        <x:v>0.2501</x:v>
      </x:c>
      <x:c r="J883" s="13" t="n">
        <x:f>D883*I883*H883</x:f>
        <x:v>0</x:v>
      </x:c>
      <x:c r="K883" s="13" t="n">
        <x:f>E883*I883*H883</x:f>
        <x:v>0.2906599675</x:v>
      </x:c>
      <x:c r="L883" s="1" t="str">
        <x:f>TEXT(A883,"mmm yyyy")</x:f>
        <x:v>May 2026</x:v>
      </x:c>
    </x:row>
    <x:row r="884" ht="21" customHeight="1">
      <x:c r="A884" s="10" t="n">
        <x:v>46166</x:v>
      </x:c>
      <x:c r="B884" s="1" t="n">
        <x:v>22</x:v>
      </x:c>
      <x:c r="C884" s="1" t="n">
        <x:v>6</x:v>
      </x:c>
      <x:c r="D884" s="12" t="n">
        <x:v>0</x:v>
      </x:c>
      <x:c r="E884" s="12" t="n">
        <x:v>0.33191666666666664</x:v>
      </x:c>
      <x:c r="F884" s="12" t="n">
        <x:v>0.3318333333333333</x:v>
      </x:c>
      <x:c r="G884" s="12" t="n">
        <x:v>0</x:v>
      </x:c>
      <x:c r="H884" s="1" t="n">
        <x:f>'Historical prices'!E884</x:f>
        <x:v>1.05</x:v>
      </x:c>
      <x:c r="I884" s="6" t="n">
        <x:f>'Historical prices'!D884</x:f>
        <x:v>0.2459</x:v>
      </x:c>
      <x:c r="J884" s="13" t="n">
        <x:f>D884*I884*H884</x:f>
        <x:v>0</x:v>
      </x:c>
      <x:c r="K884" s="13" t="n">
        <x:f>E884*I884*H884</x:f>
        <x:v>0.08569922375</x:v>
      </x:c>
      <x:c r="L884" s="1" t="str">
        <x:f>TEXT(A884,"mmm yyyy")</x:f>
        <x:v>May 2026</x:v>
      </x:c>
    </x:row>
    <x:row r="885" ht="21" customHeight="1">
      <x:c r="A885" s="10" t="n">
        <x:v>46166</x:v>
      </x:c>
      <x:c r="B885" s="1" t="n">
        <x:v>22.5</x:v>
      </x:c>
      <x:c r="C885" s="1" t="n">
        <x:v>6</x:v>
      </x:c>
      <x:c r="D885" s="12" t="n">
        <x:v>0</x:v>
      </x:c>
      <x:c r="E885" s="12" t="n">
        <x:v>0.28875</x:v>
      </x:c>
      <x:c r="F885" s="12" t="n">
        <x:v>0.28875</x:v>
      </x:c>
      <x:c r="G885" s="12" t="n">
        <x:v>0</x:v>
      </x:c>
      <x:c r="H885" s="1" t="n">
        <x:f>'Historical prices'!E885</x:f>
        <x:v>1.05</x:v>
      </x:c>
      <x:c r="I885" s="6" t="n">
        <x:f>'Historical prices'!D885</x:f>
        <x:v>0.2341</x:v>
      </x:c>
      <x:c r="J885" s="13" t="n">
        <x:f>D885*I885*H885</x:f>
        <x:v>0</x:v>
      </x:c>
      <x:c r="K885" s="13" t="n">
        <x:f>E885*I885*H885</x:f>
        <x:v>0.07097619375</x:v>
      </x:c>
      <x:c r="L885" s="1" t="str">
        <x:f>TEXT(A885,"mmm yyyy")</x:f>
        <x:v>May 2026</x:v>
      </x:c>
    </x:row>
    <x:row r="886" ht="21" customHeight="1">
      <x:c r="A886" s="10" t="n">
        <x:v>46166</x:v>
      </x:c>
      <x:c r="B886" s="1" t="n">
        <x:v>23</x:v>
      </x:c>
      <x:c r="C886" s="1" t="n">
        <x:v>6</x:v>
      </x:c>
      <x:c r="D886" s="12" t="n">
        <x:v>0.19625</x:v>
      </x:c>
      <x:c r="E886" s="12" t="n">
        <x:v>0.2573333333333333</x:v>
      </x:c>
      <x:c r="F886" s="12" t="n">
        <x:v>0.051</x:v>
      </x:c>
      <x:c r="G886" s="12" t="n">
        <x:v>0</x:v>
      </x:c>
      <x:c r="H886" s="1" t="n">
        <x:f>'Historical prices'!E886</x:f>
        <x:v>1.05</x:v>
      </x:c>
      <x:c r="I886" s="6" t="n">
        <x:f>'Historical prices'!D886</x:f>
        <x:v>0.20370000000000002</x:v>
      </x:c>
      <x:c r="J886" s="13" t="n">
        <x:f>D886*I886*H886</x:f>
        <x:v>0.041974931250000014</x:v>
      </x:c>
      <x:c r="K886" s="13" t="n">
        <x:f>E886*I886*H886</x:f>
        <x:v>0.055039740000000004</x:v>
      </x:c>
      <x:c r="L886" s="1" t="str">
        <x:f>TEXT(A886,"mmm yyyy")</x:f>
        <x:v>May 2026</x:v>
      </x:c>
    </x:row>
    <x:row r="887" ht="21" customHeight="1">
      <x:c r="A887" s="10" t="n">
        <x:v>46166</x:v>
      </x:c>
      <x:c r="B887" s="1" t="n">
        <x:v>23.5</x:v>
      </x:c>
      <x:c r="C887" s="1" t="n">
        <x:v>6</x:v>
      </x:c>
      <x:c r="D887" s="12" t="n">
        <x:v>0.24074999999999996</x:v>
      </x:c>
      <x:c r="E887" s="12" t="n">
        <x:v>0.25075</x:v>
      </x:c>
      <x:c r="F887" s="12" t="n">
        <x:v>0</x:v>
      </x:c>
      <x:c r="G887" s="12" t="n">
        <x:v>0</x:v>
      </x:c>
      <x:c r="H887" s="1" t="n">
        <x:f>'Historical prices'!E887</x:f>
        <x:v>1.05</x:v>
      </x:c>
      <x:c r="I887" s="6" t="n">
        <x:f>'Historical prices'!D887</x:f>
        <x:v>0.185</x:v>
      </x:c>
      <x:c r="J887" s="13" t="n">
        <x:f>D887*I887*H887</x:f>
        <x:v>0.0467656875</x:v>
      </x:c>
      <x:c r="K887" s="13" t="n">
        <x:f>E887*I887*H887</x:f>
        <x:v>0.04870818749999999</x:v>
      </x:c>
      <x:c r="L887" s="1" t="str">
        <x:f>TEXT(A887,"mmm yyyy")</x:f>
        <x:v>May 2026</x:v>
      </x:c>
    </x:row>
    <x:row r="888" ht="21" customHeight="1">
      <x:c r="A888" s="10" t="n">
        <x:v>46167</x:v>
      </x:c>
      <x:c r="B888" s="1" t="n">
        <x:v>0</x:v>
      </x:c>
      <x:c r="C888" s="1" t="n">
        <x:v>6</x:v>
      </x:c>
      <x:c r="D888" s="12" t="n">
        <x:v>0.2589166666666667</x:v>
      </x:c>
      <x:c r="E888" s="12" t="n">
        <x:v>0.2699166666666667</x:v>
      </x:c>
      <x:c r="F888" s="12" t="n">
        <x:v>0</x:v>
      </x:c>
      <x:c r="G888" s="12" t="n">
        <x:v>0</x:v>
      </x:c>
      <x:c r="H888" s="1" t="n">
        <x:f>'Historical prices'!E888</x:f>
        <x:v>1.05</x:v>
      </x:c>
      <x:c r="I888" s="6" t="n">
        <x:f>'Historical prices'!D888</x:f>
        <x:v>0.185</x:v>
      </x:c>
      <x:c r="J888" s="13" t="n">
        <x:f>D888*I888*H888</x:f>
        <x:v>0.05029456250000001</x:v>
      </x:c>
      <x:c r="K888" s="13" t="n">
        <x:f>E888*I888*H888</x:f>
        <x:v>0.05243131250000001</x:v>
      </x:c>
      <x:c r="L888" s="1" t="str">
        <x:f>TEXT(A888,"mmm yyyy")</x:f>
        <x:v>May 2026</x:v>
      </x:c>
    </x:row>
    <x:row r="889" ht="21" customHeight="1">
      <x:c r="A889" s="10" t="n">
        <x:v>46167</x:v>
      </x:c>
      <x:c r="B889" s="1" t="n">
        <x:v>0.5</x:v>
      </x:c>
      <x:c r="C889" s="1" t="n">
        <x:v>6</x:v>
      </x:c>
      <x:c r="D889" s="12" t="n">
        <x:v>0.22574999999999998</x:v>
      </x:c>
      <x:c r="E889" s="12" t="n">
        <x:v>0.23675000000000002</x:v>
      </x:c>
      <x:c r="F889" s="12" t="n">
        <x:v>0</x:v>
      </x:c>
      <x:c r="G889" s="12" t="n">
        <x:v>0</x:v>
      </x:c>
      <x:c r="H889" s="1" t="n">
        <x:f>'Historical prices'!E889</x:f>
        <x:v>1.05</x:v>
      </x:c>
      <x:c r="I889" s="6" t="n">
        <x:f>'Historical prices'!D889</x:f>
        <x:v>0.1766</x:v>
      </x:c>
      <x:c r="J889" s="13" t="n">
        <x:f>D889*I889*H889</x:f>
        <x:v>0.0418608225</x:v>
      </x:c>
      <x:c r="K889" s="13" t="n">
        <x:f>E889*I889*H889</x:f>
        <x:v>0.0439005525</x:v>
      </x:c>
      <x:c r="L889" s="1" t="str">
        <x:f>TEXT(A889,"mmm yyyy")</x:f>
        <x:v>May 2026</x:v>
      </x:c>
    </x:row>
    <x:row r="890" ht="21" customHeight="1">
      <x:c r="A890" s="10" t="n">
        <x:v>46167</x:v>
      </x:c>
      <x:c r="B890" s="1" t="n">
        <x:v>1</x:v>
      </x:c>
      <x:c r="C890" s="1" t="n">
        <x:v>6</x:v>
      </x:c>
      <x:c r="D890" s="12" t="n">
        <x:v>0.18608333333333335</x:v>
      </x:c>
      <x:c r="E890" s="12" t="n">
        <x:v>0.19708333333333333</x:v>
      </x:c>
      <x:c r="F890" s="12" t="n">
        <x:v>0</x:v>
      </x:c>
      <x:c r="G890" s="12" t="n">
        <x:v>0</x:v>
      </x:c>
      <x:c r="H890" s="1" t="n">
        <x:f>'Historical prices'!E890</x:f>
        <x:v>1.05</x:v>
      </x:c>
      <x:c r="I890" s="6" t="n">
        <x:f>'Historical prices'!D890</x:f>
        <x:v>0.1808</x:v>
      </x:c>
      <x:c r="J890" s="13" t="n">
        <x:f>D890*I890*H890</x:f>
        <x:v>0.03532606</x:v>
      </x:c>
      <x:c r="K890" s="13" t="n">
        <x:f>E890*I890*H890</x:f>
        <x:v>0.037414300000000004</x:v>
      </x:c>
      <x:c r="L890" s="1" t="str">
        <x:f>TEXT(A890,"mmm yyyy")</x:f>
        <x:v>May 2026</x:v>
      </x:c>
    </x:row>
    <x:row r="891" ht="21" customHeight="1">
      <x:c r="A891" s="10" t="n">
        <x:v>46167</x:v>
      </x:c>
      <x:c r="B891" s="1" t="n">
        <x:v>1.5</x:v>
      </x:c>
      <x:c r="C891" s="1" t="n">
        <x:v>6</x:v>
      </x:c>
      <x:c r="D891" s="12" t="n">
        <x:v>0.1825</x:v>
      </x:c>
      <x:c r="E891" s="12" t="n">
        <x:v>0.1915</x:v>
      </x:c>
      <x:c r="F891" s="12" t="n">
        <x:v>0</x:v>
      </x:c>
      <x:c r="G891" s="12" t="n">
        <x:v>0</x:v>
      </x:c>
      <x:c r="H891" s="1" t="n">
        <x:f>'Historical prices'!E891</x:f>
        <x:v>1.05</x:v>
      </x:c>
      <x:c r="I891" s="6" t="n">
        <x:f>'Historical prices'!D891</x:f>
        <x:v>0.1892</x:v>
      </x:c>
      <x:c r="J891" s="13" t="n">
        <x:f>D891*I891*H891</x:f>
        <x:v>0.03625545</x:v>
      </x:c>
      <x:c r="K891" s="13" t="n">
        <x:f>E891*I891*H891</x:f>
        <x:v>0.03804339</x:v>
      </x:c>
      <x:c r="L891" s="1" t="str">
        <x:f>TEXT(A891,"mmm yyyy")</x:f>
        <x:v>May 2026</x:v>
      </x:c>
    </x:row>
    <x:row r="892" ht="21" customHeight="1">
      <x:c r="A892" s="10" t="n">
        <x:v>46167</x:v>
      </x:c>
      <x:c r="B892" s="1" t="n">
        <x:v>2</x:v>
      </x:c>
      <x:c r="C892" s="1" t="n">
        <x:v>6</x:v>
      </x:c>
      <x:c r="D892" s="12" t="n">
        <x:v>0.3200833333333334</x:v>
      </x:c>
      <x:c r="E892" s="12" t="n">
        <x:v>0.33208333333333334</x:v>
      </x:c>
      <x:c r="F892" s="12" t="n">
        <x:v>0</x:v>
      </x:c>
      <x:c r="G892" s="12" t="n">
        <x:v>0</x:v>
      </x:c>
      <x:c r="H892" s="1" t="n">
        <x:f>'Historical prices'!E892</x:f>
        <x:v>1.05</x:v>
      </x:c>
      <x:c r="I892" s="6" t="n">
        <x:f>'Historical prices'!D892</x:f>
        <x:v>0.1892</x:v>
      </x:c>
      <x:c r="J892" s="13" t="n">
        <x:f>D892*I892*H892</x:f>
        <x:v>0.06358775500000002</x:v>
      </x:c>
      <x:c r="K892" s="13" t="n">
        <x:f>E892*I892*H892</x:f>
        <x:v>0.06597167500000001</x:v>
      </x:c>
      <x:c r="L892" s="1" t="str">
        <x:f>TEXT(A892,"mmm yyyy")</x:f>
        <x:v>May 2026</x:v>
      </x:c>
    </x:row>
    <x:row r="893" ht="21" customHeight="1">
      <x:c r="A893" s="10" t="n">
        <x:v>46167</x:v>
      </x:c>
      <x:c r="B893" s="1" t="n">
        <x:v>2.5</x:v>
      </x:c>
      <x:c r="C893" s="1" t="n">
        <x:v>6</x:v>
      </x:c>
      <x:c r="D893" s="12" t="n">
        <x:v>0.25175</x:v>
      </x:c>
      <x:c r="E893" s="12" t="n">
        <x:v>0.26175</x:v>
      </x:c>
      <x:c r="F893" s="12" t="n">
        <x:v>0</x:v>
      </x:c>
      <x:c r="G893" s="12" t="n">
        <x:v>0</x:v>
      </x:c>
      <x:c r="H893" s="1" t="n">
        <x:f>'Historical prices'!E893</x:f>
        <x:v>1.05</x:v>
      </x:c>
      <x:c r="I893" s="6" t="n">
        <x:f>'Historical prices'!D893</x:f>
        <x:v>0.18710000000000002</x:v>
      </x:c>
      <x:c r="J893" s="13" t="n">
        <x:f>D893*I893*H893</x:f>
        <x:v>0.04945754625</x:v>
      </x:c>
      <x:c r="K893" s="13" t="n">
        <x:f>E893*I893*H893</x:f>
        <x:v>0.05142209625</x:v>
      </x:c>
      <x:c r="L893" s="1" t="str">
        <x:f>TEXT(A893,"mmm yyyy")</x:f>
        <x:v>May 2026</x:v>
      </x:c>
    </x:row>
    <x:row r="894" ht="21" customHeight="1">
      <x:c r="A894" s="10" t="n">
        <x:v>46167</x:v>
      </x:c>
      <x:c r="B894" s="1" t="n">
        <x:v>3</x:v>
      </x:c>
      <x:c r="C894" s="1" t="n">
        <x:v>6</x:v>
      </x:c>
      <x:c r="D894" s="12" t="n">
        <x:v>0.24725</x:v>
      </x:c>
      <x:c r="E894" s="12" t="n">
        <x:v>0.25925000000000004</x:v>
      </x:c>
      <x:c r="F894" s="12" t="n">
        <x:v>0</x:v>
      </x:c>
      <x:c r="G894" s="12" t="n">
        <x:v>0</x:v>
      </x:c>
      <x:c r="H894" s="1" t="n">
        <x:f>'Historical prices'!E894</x:f>
        <x:v>1.05</x:v>
      </x:c>
      <x:c r="I894" s="6" t="n">
        <x:f>'Historical prices'!D894</x:f>
        <x:v>0.18710000000000002</x:v>
      </x:c>
      <x:c r="J894" s="13" t="n">
        <x:f>D894*I894*H894</x:f>
        <x:v>0.048573498750000006</x:v>
      </x:c>
      <x:c r="K894" s="13" t="n">
        <x:f>E894*I894*H894</x:f>
        <x:v>0.05093095875000001</x:v>
      </x:c>
      <x:c r="L894" s="1" t="str">
        <x:f>TEXT(A894,"mmm yyyy")</x:f>
        <x:v>May 2026</x:v>
      </x:c>
    </x:row>
    <x:row r="895" ht="21" customHeight="1">
      <x:c r="A895" s="10" t="n">
        <x:v>46167</x:v>
      </x:c>
      <x:c r="B895" s="1" t="n">
        <x:v>3.5</x:v>
      </x:c>
      <x:c r="C895" s="1" t="n">
        <x:v>6</x:v>
      </x:c>
      <x:c r="D895" s="12" t="n">
        <x:v>0.2338333333333333</x:v>
      </x:c>
      <x:c r="E895" s="12" t="n">
        <x:v>0.24383333333333332</x:v>
      </x:c>
      <x:c r="F895" s="12" t="n">
        <x:v>0</x:v>
      </x:c>
      <x:c r="G895" s="12" t="n">
        <x:v>0</x:v>
      </x:c>
      <x:c r="H895" s="1" t="n">
        <x:f>'Historical prices'!E895</x:f>
        <x:v>1.05</x:v>
      </x:c>
      <x:c r="I895" s="6" t="n">
        <x:f>'Historical prices'!D895</x:f>
        <x:v>0.1787</x:v>
      </x:c>
      <x:c r="J895" s="13" t="n">
        <x:f>D895*I895*H895</x:f>
        <x:v>0.0438753175</x:v>
      </x:c>
      <x:c r="K895" s="13" t="n">
        <x:f>E895*I895*H895</x:f>
        <x:v>0.0457516675</x:v>
      </x:c>
      <x:c r="L895" s="1" t="str">
        <x:f>TEXT(A895,"mmm yyyy")</x:f>
        <x:v>May 2026</x:v>
      </x:c>
    </x:row>
    <x:row r="896" ht="21" customHeight="1">
      <x:c r="A896" s="10" t="n">
        <x:v>46167</x:v>
      </x:c>
      <x:c r="B896" s="1" t="n">
        <x:v>4</x:v>
      </x:c>
      <x:c r="C896" s="1" t="n">
        <x:v>6</x:v>
      </x:c>
      <x:c r="D896" s="12" t="n">
        <x:v>0.2195</x:v>
      </x:c>
      <x:c r="E896" s="12" t="n">
        <x:v>0.22949999999999998</x:v>
      </x:c>
      <x:c r="F896" s="12" t="n">
        <x:v>0</x:v>
      </x:c>
      <x:c r="G896" s="12" t="n">
        <x:v>0</x:v>
      </x:c>
      <x:c r="H896" s="1" t="n">
        <x:f>'Historical prices'!E896</x:f>
        <x:v>1.05</x:v>
      </x:c>
      <x:c r="I896" s="6" t="n">
        <x:f>'Historical prices'!D896</x:f>
        <x:v>0.18710000000000002</x:v>
      </x:c>
      <x:c r="J896" s="13" t="n">
        <x:f>D896*I896*H896</x:f>
        <x:v>0.043121872500000005</x:v>
      </x:c>
      <x:c r="K896" s="13" t="n">
        <x:f>E896*I896*H896</x:f>
        <x:v>0.0450864225</x:v>
      </x:c>
      <x:c r="L896" s="1" t="str">
        <x:f>TEXT(A896,"mmm yyyy")</x:f>
        <x:v>May 2026</x:v>
      </x:c>
    </x:row>
    <x:row r="897" ht="21" customHeight="1">
      <x:c r="A897" s="10" t="n">
        <x:v>46167</x:v>
      </x:c>
      <x:c r="B897" s="1" t="n">
        <x:v>4.5</x:v>
      </x:c>
      <x:c r="C897" s="1" t="n">
        <x:v>6</x:v>
      </x:c>
      <x:c r="D897" s="12" t="n">
        <x:v>0.30375</x:v>
      </x:c>
      <x:c r="E897" s="12" t="n">
        <x:v>0.31475000000000003</x:v>
      </x:c>
      <x:c r="F897" s="12" t="n">
        <x:v>0</x:v>
      </x:c>
      <x:c r="G897" s="12" t="n">
        <x:v>0</x:v>
      </x:c>
      <x:c r="H897" s="1" t="n">
        <x:f>'Historical prices'!E897</x:f>
        <x:v>1.05</x:v>
      </x:c>
      <x:c r="I897" s="6" t="n">
        <x:f>'Historical prices'!D897</x:f>
        <x:v>0.18539999999999998</x:v>
      </x:c>
      <x:c r="J897" s="13" t="n">
        <x:f>D897*I897*H897</x:f>
        <x:v>0.059131012499999996</x:v>
      </x:c>
      <x:c r="K897" s="13" t="n">
        <x:f>E897*I897*H897</x:f>
        <x:v>0.06127238250000001</x:v>
      </x:c>
      <x:c r="L897" s="1" t="str">
        <x:f>TEXT(A897,"mmm yyyy")</x:f>
        <x:v>May 2026</x:v>
      </x:c>
    </x:row>
    <x:row r="898" ht="21" customHeight="1">
      <x:c r="A898" s="10" t="n">
        <x:v>46167</x:v>
      </x:c>
      <x:c r="B898" s="1" t="n">
        <x:v>5</x:v>
      </x:c>
      <x:c r="C898" s="1" t="n">
        <x:v>6</x:v>
      </x:c>
      <x:c r="D898" s="12" t="n">
        <x:v>0.27658333333333335</x:v>
      </x:c>
      <x:c r="E898" s="12" t="n">
        <x:v>0.28758333333333336</x:v>
      </x:c>
      <x:c r="F898" s="12" t="n">
        <x:v>0</x:v>
      </x:c>
      <x:c r="G898" s="12" t="n">
        <x:v>0</x:v>
      </x:c>
      <x:c r="H898" s="1" t="n">
        <x:f>'Historical prices'!E898</x:f>
        <x:v>1.05</x:v>
      </x:c>
      <x:c r="I898" s="6" t="n">
        <x:f>'Historical prices'!D898</x:f>
        <x:v>0.1777</x:v>
      </x:c>
      <x:c r="J898" s="13" t="n">
        <x:f>D898*I898*H898</x:f>
        <x:v>0.05160630125000001</x:v>
      </x:c>
      <x:c r="K898" s="13" t="n">
        <x:f>E898*I898*H898</x:f>
        <x:v>0.053658736250000005</x:v>
      </x:c>
      <x:c r="L898" s="1" t="str">
        <x:f>TEXT(A898,"mmm yyyy")</x:f>
        <x:v>May 2026</x:v>
      </x:c>
    </x:row>
    <x:row r="899" ht="21" customHeight="1">
      <x:c r="A899" s="10" t="n">
        <x:v>46167</x:v>
      </x:c>
      <x:c r="B899" s="1" t="n">
        <x:v>5.5</x:v>
      </x:c>
      <x:c r="C899" s="1" t="n">
        <x:v>6</x:v>
      </x:c>
      <x:c r="D899" s="12" t="n">
        <x:v>0.3428333333333333</x:v>
      </x:c>
      <x:c r="E899" s="12" t="n">
        <x:v>0.35283333333333333</x:v>
      </x:c>
      <x:c r="F899" s="12" t="n">
        <x:v>0</x:v>
      </x:c>
      <x:c r="G899" s="12" t="n">
        <x:v>0</x:v>
      </x:c>
      <x:c r="H899" s="1" t="n">
        <x:f>'Historical prices'!E899</x:f>
        <x:v>1.05</x:v>
      </x:c>
      <x:c r="I899" s="6" t="n">
        <x:f>'Historical prices'!D899</x:f>
        <x:v>0.185</x:v>
      </x:c>
      <x:c r="J899" s="13" t="n">
        <x:f>D899*I899*H899</x:f>
        <x:v>0.06659537500000001</x:v>
      </x:c>
      <x:c r="K899" s="13" t="n">
        <x:f>E899*I899*H899</x:f>
        <x:v>0.068537875</x:v>
      </x:c>
      <x:c r="L899" s="1" t="str">
        <x:f>TEXT(A899,"mmm yyyy")</x:f>
        <x:v>May 2026</x:v>
      </x:c>
    </x:row>
    <x:row r="900" ht="21" customHeight="1">
      <x:c r="A900" s="10" t="n">
        <x:v>46167</x:v>
      </x:c>
      <x:c r="B900" s="1" t="n">
        <x:v>6</x:v>
      </x:c>
      <x:c r="C900" s="1" t="n">
        <x:v>6</x:v>
      </x:c>
      <x:c r="D900" s="12" t="n">
        <x:v>0.47450000000000003</x:v>
      </x:c>
      <x:c r="E900" s="12" t="n">
        <x:v>0.4865</x:v>
      </x:c>
      <x:c r="F900" s="12" t="n">
        <x:v>0</x:v>
      </x:c>
      <x:c r="G900" s="12" t="n">
        <x:v>0</x:v>
      </x:c>
      <x:c r="H900" s="1" t="n">
        <x:f>'Historical prices'!E900</x:f>
        <x:v>1.05</x:v>
      </x:c>
      <x:c r="I900" s="6" t="n">
        <x:f>'Historical prices'!D900</x:f>
        <x:v>0.182</x:v>
      </x:c>
      <x:c r="J900" s="13" t="n">
        <x:f>D900*I900*H900</x:f>
        <x:v>0.09067695</x:v>
      </x:c>
      <x:c r="K900" s="13" t="n">
        <x:f>E900*I900*H900</x:f>
        <x:v>0.09297015</x:v>
      </x:c>
      <x:c r="L900" s="1" t="str">
        <x:f>TEXT(A900,"mmm yyyy")</x:f>
        <x:v>May 2026</x:v>
      </x:c>
    </x:row>
    <x:row r="901" ht="21" customHeight="1">
      <x:c r="A901" s="10" t="n">
        <x:v>46167</x:v>
      </x:c>
      <x:c r="B901" s="1" t="n">
        <x:v>6.5</x:v>
      </x:c>
      <x:c r="C901" s="1" t="n">
        <x:v>6</x:v>
      </x:c>
      <x:c r="D901" s="12" t="n">
        <x:v>0.5707500000000001</x:v>
      </x:c>
      <x:c r="E901" s="12" t="n">
        <x:v>0.5807500000000001</x:v>
      </x:c>
      <x:c r="F901" s="12" t="n">
        <x:v>0</x:v>
      </x:c>
      <x:c r="G901" s="12" t="n">
        <x:v>0</x:v>
      </x:c>
      <x:c r="H901" s="1" t="n">
        <x:f>'Historical prices'!E901</x:f>
        <x:v>1.05</x:v>
      </x:c>
      <x:c r="I901" s="6" t="n">
        <x:f>'Historical prices'!D901</x:f>
        <x:v>0.1892</x:v>
      </x:c>
      <x:c r="J901" s="13" t="n">
        <x:f>D901*I901*H901</x:f>
        <x:v>0.11338519500000004</x:v>
      </x:c>
      <x:c r="K901" s="13" t="n">
        <x:f>E901*I901*H901</x:f>
        <x:v>0.11537179500000004</x:v>
      </x:c>
      <x:c r="L901" s="1" t="str">
        <x:f>TEXT(A901,"mmm yyyy")</x:f>
        <x:v>May 2026</x:v>
      </x:c>
    </x:row>
    <x:row r="902" ht="21" customHeight="1">
      <x:c r="A902" s="10" t="n">
        <x:v>46167</x:v>
      </x:c>
      <x:c r="B902" s="1" t="n">
        <x:v>7</x:v>
      </x:c>
      <x:c r="C902" s="1" t="n">
        <x:v>6</x:v>
      </x:c>
      <x:c r="D902" s="12" t="n">
        <x:v>0.46591666666666665</x:v>
      </x:c>
      <x:c r="E902" s="12" t="n">
        <x:v>0.47591666666666665</x:v>
      </x:c>
      <x:c r="F902" s="12" t="n">
        <x:v>0</x:v>
      </x:c>
      <x:c r="G902" s="12" t="n">
        <x:v>0</x:v>
      </x:c>
      <x:c r="H902" s="1" t="n">
        <x:f>'Historical prices'!E902</x:f>
        <x:v>1.05</x:v>
      </x:c>
      <x:c r="I902" s="6" t="n">
        <x:f>'Historical prices'!D902</x:f>
        <x:v>0.1931</x:v>
      </x:c>
      <x:c r="J902" s="13" t="n">
        <x:f>D902*I902*H902</x:f>
        <x:v>0.09446693375</x:v>
      </x:c>
      <x:c r="K902" s="13" t="n">
        <x:f>E902*I902*H902</x:f>
        <x:v>0.09649448375</x:v>
      </x:c>
      <x:c r="L902" s="1" t="str">
        <x:f>TEXT(A902,"mmm yyyy")</x:f>
        <x:v>May 2026</x:v>
      </x:c>
    </x:row>
    <x:row r="903" ht="21" customHeight="1">
      <x:c r="A903" s="10" t="n">
        <x:v>46167</x:v>
      </x:c>
      <x:c r="B903" s="1" t="n">
        <x:v>7.5</x:v>
      </x:c>
      <x:c r="C903" s="1" t="n">
        <x:v>6</x:v>
      </x:c>
      <x:c r="D903" s="12" t="n">
        <x:v>0.5234166666666666</x:v>
      </x:c>
      <x:c r="E903" s="12" t="n">
        <x:v>0.5344166666666667</x:v>
      </x:c>
      <x:c r="F903" s="12" t="n">
        <x:v>0</x:v>
      </x:c>
      <x:c r="G903" s="12" t="n">
        <x:v>0</x:v>
      </x:c>
      <x:c r="H903" s="1" t="n">
        <x:f>'Historical prices'!E903</x:f>
        <x:v>1.05</x:v>
      </x:c>
      <x:c r="I903" s="6" t="n">
        <x:f>'Historical prices'!D903</x:f>
        <x:v>0.1972</x:v>
      </x:c>
      <x:c r="J903" s="13" t="n">
        <x:f>D903*I903*H903</x:f>
        <x:v>0.10837865499999999</x:v>
      </x:c>
      <x:c r="K903" s="13" t="n">
        <x:f>E903*I903*H903</x:f>
        <x:v>0.11065631499999999</x:v>
      </x:c>
      <x:c r="L903" s="1" t="str">
        <x:f>TEXT(A903,"mmm yyyy")</x:f>
        <x:v>May 2026</x:v>
      </x:c>
    </x:row>
    <x:row r="904" ht="21" customHeight="1">
      <x:c r="A904" s="10" t="n">
        <x:v>46167</x:v>
      </x:c>
      <x:c r="B904" s="1" t="n">
        <x:v>8</x:v>
      </x:c>
      <x:c r="C904" s="1" t="n">
        <x:v>6</x:v>
      </x:c>
      <x:c r="D904" s="12" t="n">
        <x:v>0.37883333333333336</x:v>
      </x:c>
      <x:c r="E904" s="12" t="n">
        <x:v>0.38983333333333325</x:v>
      </x:c>
      <x:c r="F904" s="12" t="n">
        <x:v>0</x:v>
      </x:c>
      <x:c r="G904" s="12" t="n">
        <x:v>0</x:v>
      </x:c>
      <x:c r="H904" s="1" t="n">
        <x:f>'Historical prices'!E904</x:f>
        <x:v>1.05</x:v>
      </x:c>
      <x:c r="I904" s="6" t="n">
        <x:f>'Historical prices'!D904</x:f>
        <x:v>0.18309999999999998</x:v>
      </x:c>
      <x:c r="J904" s="13" t="n">
        <x:f>D904*I904*H904</x:f>
        <x:v>0.07283260250000001</x:v>
      </x:c>
      <x:c r="K904" s="13" t="n">
        <x:f>E904*I904*H904</x:f>
        <x:v>0.07494740749999998</x:v>
      </x:c>
      <x:c r="L904" s="1" t="str">
        <x:f>TEXT(A904,"mmm yyyy")</x:f>
        <x:v>May 2026</x:v>
      </x:c>
    </x:row>
    <x:row r="905" ht="21" customHeight="1">
      <x:c r="A905" s="10" t="n">
        <x:v>46167</x:v>
      </x:c>
      <x:c r="B905" s="1" t="n">
        <x:v>8.5</x:v>
      </x:c>
      <x:c r="C905" s="1" t="n">
        <x:v>6</x:v>
      </x:c>
      <x:c r="D905" s="12" t="n">
        <x:v>0.5339166666666666</x:v>
      </x:c>
      <x:c r="E905" s="12" t="n">
        <x:v>0.5449166666666666</x:v>
      </x:c>
      <x:c r="F905" s="12" t="n">
        <x:v>0</x:v>
      </x:c>
      <x:c r="G905" s="12" t="n">
        <x:v>0</x:v>
      </x:c>
      <x:c r="H905" s="1" t="n">
        <x:f>'Historical prices'!E905</x:f>
        <x:v>1.05</x:v>
      </x:c>
      <x:c r="I905" s="6" t="n">
        <x:f>'Historical prices'!D905</x:f>
        <x:v>0.1808</x:v>
      </x:c>
      <x:c r="J905" s="13" t="n">
        <x:f>D905*I905*H905</x:f>
        <x:v>0.10135873999999997</x:v>
      </x:c>
      <x:c r="K905" s="13" t="n">
        <x:f>E905*I905*H905</x:f>
        <x:v>0.10344697999999998</x:v>
      </x:c>
      <x:c r="L905" s="1" t="str">
        <x:f>TEXT(A905,"mmm yyyy")</x:f>
        <x:v>May 2026</x:v>
      </x:c>
    </x:row>
    <x:row r="906" ht="21" customHeight="1">
      <x:c r="A906" s="10" t="n">
        <x:v>46167</x:v>
      </x:c>
      <x:c r="B906" s="1" t="n">
        <x:v>9</x:v>
      </x:c>
      <x:c r="C906" s="1" t="n">
        <x:v>6</x:v>
      </x:c>
      <x:c r="D906" s="12" t="n">
        <x:v>0.5401666666666667</x:v>
      </x:c>
      <x:c r="E906" s="12" t="n">
        <x:v>0.5491666666666667</x:v>
      </x:c>
      <x:c r="F906" s="12" t="n">
        <x:v>0</x:v>
      </x:c>
      <x:c r="G906" s="12" t="n">
        <x:v>0</x:v>
      </x:c>
      <x:c r="H906" s="1" t="n">
        <x:f>'Historical prices'!E906</x:f>
        <x:v>1.05</x:v>
      </x:c>
      <x:c r="I906" s="6" t="n">
        <x:f>'Historical prices'!D906</x:f>
        <x:v>0.1793</x:v>
      </x:c>
      <x:c r="J906" s="13" t="n">
        <x:f>D906*I906*H906</x:f>
        <x:v>0.1016944775</x:v>
      </x:c>
      <x:c r="K906" s="13" t="n">
        <x:f>E906*I906*H906</x:f>
        <x:v>0.1033888625</x:v>
      </x:c>
      <x:c r="L906" s="1" t="str">
        <x:f>TEXT(A906,"mmm yyyy")</x:f>
        <x:v>May 2026</x:v>
      </x:c>
    </x:row>
    <x:row r="907" ht="21" customHeight="1">
      <x:c r="A907" s="10" t="n">
        <x:v>46167</x:v>
      </x:c>
      <x:c r="B907" s="1" t="n">
        <x:v>9.5</x:v>
      </x:c>
      <x:c r="C907" s="1" t="n">
        <x:v>6</x:v>
      </x:c>
      <x:c r="D907" s="12" t="n">
        <x:v>0.49624999999999997</x:v>
      </x:c>
      <x:c r="E907" s="12" t="n">
        <x:v>0.50725</x:v>
      </x:c>
      <x:c r="F907" s="12" t="n">
        <x:v>0</x:v>
      </x:c>
      <x:c r="G907" s="12" t="n">
        <x:v>0</x:v>
      </x:c>
      <x:c r="H907" s="1" t="n">
        <x:f>'Historical prices'!E907</x:f>
        <x:v>1.05</x:v>
      </x:c>
      <x:c r="I907" s="6" t="n">
        <x:f>'Historical prices'!D907</x:f>
        <x:v>0.1707</x:v>
      </x:c>
      <x:c r="J907" s="13" t="n">
        <x:f>D907*I907*H907</x:f>
        <x:v>0.08894536874999999</x:v>
      </x:c>
      <x:c r="K907" s="13" t="n">
        <x:f>E907*I907*H907</x:f>
        <x:v>0.09091695374999999</x:v>
      </x:c>
      <x:c r="L907" s="1" t="str">
        <x:f>TEXT(A907,"mmm yyyy")</x:f>
        <x:v>May 2026</x:v>
      </x:c>
    </x:row>
    <x:row r="908" ht="21" customHeight="1">
      <x:c r="A908" s="10" t="n">
        <x:v>46167</x:v>
      </x:c>
      <x:c r="B908" s="1" t="n">
        <x:v>10</x:v>
      </x:c>
      <x:c r="C908" s="1" t="n">
        <x:v>6</x:v>
      </x:c>
      <x:c r="D908" s="12" t="n">
        <x:v>4.7115</x:v>
      </x:c>
      <x:c r="E908" s="12" t="n">
        <x:v>0.7344999999999999</x:v>
      </x:c>
      <x:c r="F908" s="12" t="n">
        <x:v>0</x:v>
      </x:c>
      <x:c r="G908" s="12" t="n">
        <x:v>3.979</x:v>
      </x:c>
      <x:c r="H908" s="1" t="n">
        <x:f>'Historical prices'!E908</x:f>
        <x:v>1.05</x:v>
      </x:c>
      <x:c r="I908" s="6" t="n">
        <x:f>'Historical prices'!D908</x:f>
        <x:v>0.1606</x:v>
      </x:c>
      <x:c r="J908" s="13" t="n">
        <x:f>D908*I908*H908</x:f>
        <x:v>0.7945002449999999</x:v>
      </x:c>
      <x:c r="K908" s="13" t="n">
        <x:f>E908*I908*H908</x:f>
        <x:v>0.123858735</x:v>
      </x:c>
      <x:c r="L908" s="1" t="str">
        <x:f>TEXT(A908,"mmm yyyy")</x:f>
        <x:v>May 2026</x:v>
      </x:c>
    </x:row>
    <x:row r="909" ht="21" customHeight="1">
      <x:c r="A909" s="10" t="n">
        <x:v>46167</x:v>
      </x:c>
      <x:c r="B909" s="1" t="n">
        <x:v>10.5</x:v>
      </x:c>
      <x:c r="C909" s="1" t="n">
        <x:v>6</x:v>
      </x:c>
      <x:c r="D909" s="12" t="n">
        <x:v>1.3836666666666668</x:v>
      </x:c>
      <x:c r="E909" s="12" t="n">
        <x:v>0.5886666666666667</x:v>
      </x:c>
      <x:c r="F909" s="12" t="n">
        <x:v>0</x:v>
      </x:c>
      <x:c r="G909" s="12" t="n">
        <x:v>0.795</x:v>
      </x:c>
      <x:c r="H909" s="1" t="n">
        <x:f>'Historical prices'!E909</x:f>
        <x:v>1.05</x:v>
      </x:c>
      <x:c r="I909" s="6" t="n">
        <x:f>'Historical prices'!D909</x:f>
        <x:v>0.16570000000000001</x:v>
      </x:c>
      <x:c r="J909" s="13" t="n">
        <x:f>D909*I909*H909</x:f>
        <x:v>0.24073724500000004</x:v>
      </x:c>
      <x:c r="K909" s="13" t="n">
        <x:f>E909*I909*H909</x:f>
        <x:v>0.10241917000000002</x:v>
      </x:c>
      <x:c r="L909" s="1" t="str">
        <x:f>TEXT(A909,"mmm yyyy")</x:f>
        <x:v>May 2026</x:v>
      </x:c>
    </x:row>
    <x:row r="910" ht="21" customHeight="1">
      <x:c r="A910" s="10" t="n">
        <x:v>46167</x:v>
      </x:c>
      <x:c r="B910" s="1" t="n">
        <x:v>11</x:v>
      </x:c>
      <x:c r="C910" s="1" t="n">
        <x:v>6</x:v>
      </x:c>
      <x:c r="D910" s="12" t="n">
        <x:v>0.44875000000000004</x:v>
      </x:c>
      <x:c r="E910" s="12" t="n">
        <x:v>0.45975</x:v>
      </x:c>
      <x:c r="F910" s="12" t="n">
        <x:v>0</x:v>
      </x:c>
      <x:c r="G910" s="12" t="n">
        <x:v>0</x:v>
      </x:c>
      <x:c r="H910" s="1" t="n">
        <x:f>'Historical prices'!E910</x:f>
        <x:v>1.05</x:v>
      </x:c>
      <x:c r="I910" s="6" t="n">
        <x:f>'Historical prices'!D910</x:f>
        <x:v>0.1616</x:v>
      </x:c>
      <x:c r="J910" s="13" t="n">
        <x:f>D910*I910*H910</x:f>
        <x:v>0.0761439</x:v>
      </x:c>
      <x:c r="K910" s="13" t="n">
        <x:f>E910*I910*H910</x:f>
        <x:v>0.07801037999999999</x:v>
      </x:c>
      <x:c r="L910" s="1" t="str">
        <x:f>TEXT(A910,"mmm yyyy")</x:f>
        <x:v>May 2026</x:v>
      </x:c>
    </x:row>
    <x:row r="911" ht="21" customHeight="1">
      <x:c r="A911" s="10" t="n">
        <x:v>46167</x:v>
      </x:c>
      <x:c r="B911" s="1" t="n">
        <x:v>11.5</x:v>
      </x:c>
      <x:c r="C911" s="1" t="n">
        <x:v>6</x:v>
      </x:c>
      <x:c r="D911" s="12" t="n">
        <x:v>0.509</x:v>
      </x:c>
      <x:c r="E911" s="12" t="n">
        <x:v>0.52</x:v>
      </x:c>
      <x:c r="F911" s="12" t="n">
        <x:v>0</x:v>
      </x:c>
      <x:c r="G911" s="12" t="n">
        <x:v>0</x:v>
      </x:c>
      <x:c r="H911" s="1" t="n">
        <x:f>'Historical prices'!E911</x:f>
        <x:v>1.05</x:v>
      </x:c>
      <x:c r="I911" s="6" t="n">
        <x:f>'Historical prices'!D911</x:f>
        <x:v>0.1661</x:v>
      </x:c>
      <x:c r="J911" s="13" t="n">
        <x:f>D911*I911*H911</x:f>
        <x:v>0.08877214500000001</x:v>
      </x:c>
      <x:c r="K911" s="13" t="n">
        <x:f>E911*I911*H911</x:f>
        <x:v>0.09069060000000001</x:v>
      </x:c>
      <x:c r="L911" s="1" t="str">
        <x:f>TEXT(A911,"mmm yyyy")</x:f>
        <x:v>May 2026</x:v>
      </x:c>
    </x:row>
    <x:row r="912" ht="21" customHeight="1">
      <x:c r="A912" s="10" t="n">
        <x:v>46167</x:v>
      </x:c>
      <x:c r="B912" s="1" t="n">
        <x:v>12</x:v>
      </x:c>
      <x:c r="C912" s="1" t="n">
        <x:v>6</x:v>
      </x:c>
      <x:c r="D912" s="12" t="n">
        <x:v>0.7153333333333334</x:v>
      </x:c>
      <x:c r="E912" s="12" t="n">
        <x:v>0.7263333333333334</x:v>
      </x:c>
      <x:c r="F912" s="12" t="n">
        <x:v>0</x:v>
      </x:c>
      <x:c r="G912" s="12" t="n">
        <x:v>0</x:v>
      </x:c>
      <x:c r="H912" s="1" t="n">
        <x:f>'Historical prices'!E912</x:f>
        <x:v>1.05</x:v>
      </x:c>
      <x:c r="I912" s="6" t="n">
        <x:f>'Historical prices'!D912</x:f>
        <x:v>0.1635</x:v>
      </x:c>
      <x:c r="J912" s="13" t="n">
        <x:f>D912*I912*H912</x:f>
        <x:v>0.12280485000000001</x:v>
      </x:c>
      <x:c r="K912" s="13" t="n">
        <x:f>E912*I912*H912</x:f>
        <x:v>0.12469327500000002</x:v>
      </x:c>
      <x:c r="L912" s="1" t="str">
        <x:f>TEXT(A912,"mmm yyyy")</x:f>
        <x:v>May 2026</x:v>
      </x:c>
    </x:row>
    <x:row r="913" ht="21" customHeight="1">
      <x:c r="A913" s="10" t="n">
        <x:v>46167</x:v>
      </x:c>
      <x:c r="B913" s="1" t="n">
        <x:v>12.5</x:v>
      </x:c>
      <x:c r="C913" s="1" t="n">
        <x:v>6</x:v>
      </x:c>
      <x:c r="D913" s="12" t="n">
        <x:v>0.46275</x:v>
      </x:c>
      <x:c r="E913" s="12" t="n">
        <x:v>0.47375</x:v>
      </x:c>
      <x:c r="F913" s="12" t="n">
        <x:v>0</x:v>
      </x:c>
      <x:c r="G913" s="12" t="n">
        <x:v>0</x:v>
      </x:c>
      <x:c r="H913" s="1" t="n">
        <x:f>'Historical prices'!E913</x:f>
        <x:v>1.05</x:v>
      </x:c>
      <x:c r="I913" s="6" t="n">
        <x:f>'Historical prices'!D913</x:f>
        <x:v>0.16190000000000002</x:v>
      </x:c>
      <x:c r="J913" s="13" t="n">
        <x:f>D913*I913*H913</x:f>
        <x:v>0.07866518625</x:v>
      </x:c>
      <x:c r="K913" s="13" t="n">
        <x:f>E913*I913*H913</x:f>
        <x:v>0.08053513125000002</x:v>
      </x:c>
      <x:c r="L913" s="1" t="str">
        <x:f>TEXT(A913,"mmm yyyy")</x:f>
        <x:v>May 2026</x:v>
      </x:c>
    </x:row>
    <x:row r="914" ht="21" customHeight="1">
      <x:c r="A914" s="10" t="n">
        <x:v>46167</x:v>
      </x:c>
      <x:c r="B914" s="1" t="n">
        <x:v>13</x:v>
      </x:c>
      <x:c r="C914" s="1" t="n">
        <x:v>6</x:v>
      </x:c>
      <x:c r="D914" s="12" t="n">
        <x:v>0.49849999999999994</x:v>
      </x:c>
      <x:c r="E914" s="12" t="n">
        <x:v>0.5085</x:v>
      </x:c>
      <x:c r="F914" s="12" t="n">
        <x:v>0</x:v>
      </x:c>
      <x:c r="G914" s="12" t="n">
        <x:v>0</x:v>
      </x:c>
      <x:c r="H914" s="1" t="n">
        <x:f>'Historical prices'!E914</x:f>
        <x:v>1.05</x:v>
      </x:c>
      <x:c r="I914" s="6" t="n">
        <x:f>'Historical prices'!D914</x:f>
        <x:v>0.1617</x:v>
      </x:c>
      <x:c r="J914" s="13" t="n">
        <x:f>D914*I914*H914</x:f>
        <x:v>0.0846378225</x:v>
      </x:c>
      <x:c r="K914" s="13" t="n">
        <x:f>E914*I914*H914</x:f>
        <x:v>0.08633567249999999</x:v>
      </x:c>
      <x:c r="L914" s="1" t="str">
        <x:f>TEXT(A914,"mmm yyyy")</x:f>
        <x:v>May 2026</x:v>
      </x:c>
    </x:row>
    <x:row r="915" ht="21" customHeight="1">
      <x:c r="A915" s="10" t="n">
        <x:v>46167</x:v>
      </x:c>
      <x:c r="B915" s="1" t="n">
        <x:v>13.5</x:v>
      </x:c>
      <x:c r="C915" s="1" t="n">
        <x:v>6</x:v>
      </x:c>
      <x:c r="D915" s="12" t="n">
        <x:v>0.5045000000000001</x:v>
      </x:c>
      <x:c r="E915" s="12" t="n">
        <x:v>0.5155000000000001</x:v>
      </x:c>
      <x:c r="F915" s="12" t="n">
        <x:v>0</x:v>
      </x:c>
      <x:c r="G915" s="12" t="n">
        <x:v>0</x:v>
      </x:c>
      <x:c r="H915" s="1" t="n">
        <x:f>'Historical prices'!E915</x:f>
        <x:v>1.05</x:v>
      </x:c>
      <x:c r="I915" s="6" t="n">
        <x:f>'Historical prices'!D915</x:f>
        <x:v>0.1661</x:v>
      </x:c>
      <x:c r="J915" s="13" t="n">
        <x:f>D915*I915*H915</x:f>
        <x:v>0.08798732250000002</x:v>
      </x:c>
      <x:c r="K915" s="13" t="n">
        <x:f>E915*I915*H915</x:f>
        <x:v>0.0899057775</x:v>
      </x:c>
      <x:c r="L915" s="1" t="str">
        <x:f>TEXT(A915,"mmm yyyy")</x:f>
        <x:v>May 2026</x:v>
      </x:c>
    </x:row>
    <x:row r="916" ht="21" customHeight="1">
      <x:c r="A916" s="10" t="n">
        <x:v>46167</x:v>
      </x:c>
      <x:c r="B916" s="1" t="n">
        <x:v>14</x:v>
      </x:c>
      <x:c r="C916" s="1" t="n">
        <x:v>6</x:v>
      </x:c>
      <x:c r="D916" s="12" t="n">
        <x:v>0.457</x:v>
      </x:c>
      <x:c r="E916" s="12" t="n">
        <x:v>0.468</x:v>
      </x:c>
      <x:c r="F916" s="12" t="n">
        <x:v>0</x:v>
      </x:c>
      <x:c r="G916" s="12" t="n">
        <x:v>0</x:v>
      </x:c>
      <x:c r="H916" s="1" t="n">
        <x:f>'Historical prices'!E916</x:f>
        <x:v>1.05</x:v>
      </x:c>
      <x:c r="I916" s="6" t="n">
        <x:f>'Historical prices'!D916</x:f>
        <x:v>0.1661</x:v>
      </x:c>
      <x:c r="J916" s="13" t="n">
        <x:f>D916*I916*H916</x:f>
        <x:v>0.079703085</x:v>
      </x:c>
      <x:c r="K916" s="13" t="n">
        <x:f>E916*I916*H916</x:f>
        <x:v>0.08162154</x:v>
      </x:c>
      <x:c r="L916" s="1" t="str">
        <x:f>TEXT(A916,"mmm yyyy")</x:f>
        <x:v>May 2026</x:v>
      </x:c>
    </x:row>
    <x:row r="917" ht="21" customHeight="1">
      <x:c r="A917" s="10" t="n">
        <x:v>46167</x:v>
      </x:c>
      <x:c r="B917" s="1" t="n">
        <x:v>14.5</x:v>
      </x:c>
      <x:c r="C917" s="1" t="n">
        <x:v>6</x:v>
      </x:c>
      <x:c r="D917" s="12" t="n">
        <x:v>2.2704999999999997</x:v>
      </x:c>
      <x:c r="E917" s="12" t="n">
        <x:v>0.5595</x:v>
      </x:c>
      <x:c r="F917" s="12" t="n">
        <x:v>0</x:v>
      </x:c>
      <x:c r="G917" s="12" t="n">
        <x:v>1.7120000000000002</x:v>
      </x:c>
      <x:c r="H917" s="1" t="n">
        <x:f>'Historical prices'!E917</x:f>
        <x:v>1.05</x:v>
      </x:c>
      <x:c r="I917" s="6" t="n">
        <x:f>'Historical prices'!D917</x:f>
        <x:v>0.1594</x:v>
      </x:c>
      <x:c r="J917" s="13" t="n">
        <x:f>D917*I917*H917</x:f>
        <x:v>0.380013585</x:v>
      </x:c>
      <x:c r="K917" s="13" t="n">
        <x:f>E917*I917*H917</x:f>
        <x:v>0.093643515</x:v>
      </x:c>
      <x:c r="L917" s="1" t="str">
        <x:f>TEXT(A917,"mmm yyyy")</x:f>
        <x:v>May 2026</x:v>
      </x:c>
    </x:row>
    <x:row r="918" ht="21" customHeight="1">
      <x:c r="A918" s="10" t="n">
        <x:v>46167</x:v>
      </x:c>
      <x:c r="B918" s="1" t="n">
        <x:v>15</x:v>
      </x:c>
      <x:c r="C918" s="1" t="n">
        <x:v>6</x:v>
      </x:c>
      <x:c r="D918" s="12" t="n">
        <x:v>0.9025</x:v>
      </x:c>
      <x:c r="E918" s="12" t="n">
        <x:v>0.5195000000000001</x:v>
      </x:c>
      <x:c r="F918" s="12" t="n">
        <x:v>0</x:v>
      </x:c>
      <x:c r="G918" s="12" t="n">
        <x:v>0.383</x:v>
      </x:c>
      <x:c r="H918" s="1" t="n">
        <x:f>'Historical prices'!E918</x:f>
        <x:v>1.05</x:v>
      </x:c>
      <x:c r="I918" s="6" t="n">
        <x:f>'Historical prices'!D918</x:f>
        <x:v>0.1653</x:v>
      </x:c>
      <x:c r="J918" s="13" t="n">
        <x:f>D918*I918*H918</x:f>
        <x:v>0.1566424125</x:v>
      </x:c>
      <x:c r="K918" s="13" t="n">
        <x:f>E918*I918*H918</x:f>
        <x:v>0.09016701750000002</x:v>
      </x:c>
      <x:c r="L918" s="1" t="str">
        <x:f>TEXT(A918,"mmm yyyy")</x:f>
        <x:v>May 2026</x:v>
      </x:c>
    </x:row>
    <x:row r="919" ht="21" customHeight="1">
      <x:c r="A919" s="10" t="n">
        <x:v>46167</x:v>
      </x:c>
      <x:c r="B919" s="1" t="n">
        <x:v>15.5</x:v>
      </x:c>
      <x:c r="C919" s="1" t="n">
        <x:v>6</x:v>
      </x:c>
      <x:c r="D919" s="12" t="n">
        <x:v>0.54875</x:v>
      </x:c>
      <x:c r="E919" s="12" t="n">
        <x:v>0.48675</x:v>
      </x:c>
      <x:c r="F919" s="12" t="n">
        <x:v>0</x:v>
      </x:c>
      <x:c r="G919" s="12" t="n">
        <x:v>0.071</x:v>
      </x:c>
      <x:c r="H919" s="1" t="n">
        <x:f>'Historical prices'!E919</x:f>
        <x:v>1.05</x:v>
      </x:c>
      <x:c r="I919" s="6" t="n">
        <x:f>'Historical prices'!D919</x:f>
        <x:v>0.1764</x:v>
      </x:c>
      <x:c r="J919" s="13" t="n">
        <x:f>D919*I919*H919</x:f>
        <x:v>0.101639475</x:v>
      </x:c>
      <x:c r="K919" s="13" t="n">
        <x:f>E919*I919*H919</x:f>
        <x:v>0.090155835</x:v>
      </x:c>
      <x:c r="L919" s="1" t="str">
        <x:f>TEXT(A919,"mmm yyyy")</x:f>
        <x:v>May 2026</x:v>
      </x:c>
    </x:row>
    <x:row r="920" ht="21" customHeight="1">
      <x:c r="A920" s="10" t="n">
        <x:v>46167</x:v>
      </x:c>
      <x:c r="B920" s="1" t="n">
        <x:v>16</x:v>
      </x:c>
      <x:c r="C920" s="1" t="n">
        <x:v>6</x:v>
      </x:c>
      <x:c r="D920" s="12" t="n">
        <x:v>0.06141666666666667</x:v>
      </x:c>
      <x:c r="E920" s="12" t="n">
        <x:v>0.4734166666666666</x:v>
      </x:c>
      <x:c r="F920" s="12" t="n">
        <x:v>0.4106666666666666</x:v>
      </x:c>
      <x:c r="G920" s="12" t="n">
        <x:v>0</x:v>
      </x:c>
      <x:c r="H920" s="1" t="n">
        <x:f>'Historical prices'!E920</x:f>
        <x:v>1.05</x:v>
      </x:c>
      <x:c r="I920" s="6" t="n">
        <x:f>'Historical prices'!D920</x:f>
        <x:v>0.30079999999999996</x:v>
      </x:c>
      <x:c r="J920" s="13" t="n">
        <x:f>D920*I920*H920</x:f>
        <x:v>0.019397839999999996</x:v>
      </x:c>
      <x:c r="K920" s="13" t="n">
        <x:f>E920*I920*H920</x:f>
        <x:v>0.14952391999999995</x:v>
      </x:c>
      <x:c r="L920" s="1" t="str">
        <x:f>TEXT(A920,"mmm yyyy")</x:f>
        <x:v>May 2026</x:v>
      </x:c>
    </x:row>
    <x:row r="921" ht="21" customHeight="1">
      <x:c r="A921" s="10" t="n">
        <x:v>46167</x:v>
      </x:c>
      <x:c r="B921" s="1" t="n">
        <x:v>16.5</x:v>
      </x:c>
      <x:c r="C921" s="1" t="n">
        <x:v>6</x:v>
      </x:c>
      <x:c r="D921" s="12" t="n">
        <x:v>0</x:v>
      </x:c>
      <x:c r="E921" s="12" t="n">
        <x:v>0.6238333333333334</x:v>
      </x:c>
      <x:c r="F921" s="12" t="n">
        <x:v>0.6238333333333334</x:v>
      </x:c>
      <x:c r="G921" s="12" t="n">
        <x:v>0</x:v>
      </x:c>
      <x:c r="H921" s="1" t="n">
        <x:f>'Historical prices'!E921</x:f>
        <x:v>1.05</x:v>
      </x:c>
      <x:c r="I921" s="6" t="n">
        <x:f>'Historical prices'!D921</x:f>
        <x:v>0.29969999999999997</x:v>
      </x:c>
      <x:c r="J921" s="13" t="n">
        <x:f>D921*I921*H921</x:f>
        <x:v>0</x:v>
      </x:c>
      <x:c r="K921" s="13" t="n">
        <x:f>E921*I921*H921</x:f>
        <x:v>0.1963109925</x:v>
      </x:c>
      <x:c r="L921" s="1" t="str">
        <x:f>TEXT(A921,"mmm yyyy")</x:f>
        <x:v>May 2026</x:v>
      </x:c>
    </x:row>
    <x:row r="922" ht="21" customHeight="1">
      <x:c r="A922" s="10" t="n">
        <x:v>46167</x:v>
      </x:c>
      <x:c r="B922" s="1" t="n">
        <x:v>17</x:v>
      </x:c>
      <x:c r="C922" s="1" t="n">
        <x:v>6</x:v>
      </x:c>
      <x:c r="D922" s="12" t="n">
        <x:v>0</x:v>
      </x:c>
      <x:c r="E922" s="12" t="n">
        <x:v>0.4589166666666667</x:v>
      </x:c>
      <x:c r="F922" s="12" t="n">
        <x:v>0.45883333333333337</x:v>
      </x:c>
      <x:c r="G922" s="12" t="n">
        <x:v>0</x:v>
      </x:c>
      <x:c r="H922" s="1" t="n">
        <x:f>'Historical prices'!E922</x:f>
        <x:v>1.05</x:v>
      </x:c>
      <x:c r="I922" s="6" t="n">
        <x:f>'Historical prices'!D922</x:f>
        <x:v>0.3075</x:v>
      </x:c>
      <x:c r="J922" s="13" t="n">
        <x:f>D922*I922*H922</x:f>
        <x:v>0</x:v>
      </x:c>
      <x:c r="K922" s="13" t="n">
        <x:f>E922*I922*H922</x:f>
        <x:v>0.14817271875000002</x:v>
      </x:c>
      <x:c r="L922" s="1" t="str">
        <x:f>TEXT(A922,"mmm yyyy")</x:f>
        <x:v>May 2026</x:v>
      </x:c>
    </x:row>
    <x:row r="923" ht="21" customHeight="1">
      <x:c r="A923" s="10" t="n">
        <x:v>46167</x:v>
      </x:c>
      <x:c r="B923" s="1" t="n">
        <x:v>17.5</x:v>
      </x:c>
      <x:c r="C923" s="1" t="n">
        <x:v>6</x:v>
      </x:c>
      <x:c r="D923" s="12" t="n">
        <x:v>0</x:v>
      </x:c>
      <x:c r="E923" s="12" t="n">
        <x:v>0.48383333333333334</x:v>
      </x:c>
      <x:c r="F923" s="12" t="n">
        <x:v>0.48383333333333334</x:v>
      </x:c>
      <x:c r="G923" s="12" t="n">
        <x:v>0</x:v>
      </x:c>
      <x:c r="H923" s="1" t="n">
        <x:f>'Historical prices'!E923</x:f>
        <x:v>1.05</x:v>
      </x:c>
      <x:c r="I923" s="6" t="n">
        <x:f>'Historical prices'!D923</x:f>
        <x:v>0.326</x:v>
      </x:c>
      <x:c r="J923" s="13" t="n">
        <x:f>D923*I923*H923</x:f>
        <x:v>0</x:v>
      </x:c>
      <x:c r="K923" s="13" t="n">
        <x:f>E923*I923*H923</x:f>
        <x:v>0.16561615000000002</x:v>
      </x:c>
      <x:c r="L923" s="1" t="str">
        <x:f>TEXT(A923,"mmm yyyy")</x:f>
        <x:v>May 2026</x:v>
      </x:c>
    </x:row>
    <x:row r="924" ht="21" customHeight="1">
      <x:c r="A924" s="10" t="n">
        <x:v>46167</x:v>
      </x:c>
      <x:c r="B924" s="1" t="n">
        <x:v>18</x:v>
      </x:c>
      <x:c r="C924" s="1" t="n">
        <x:v>6</x:v>
      </x:c>
      <x:c r="D924" s="12" t="n">
        <x:v>0</x:v>
      </x:c>
      <x:c r="E924" s="12" t="n">
        <x:v>0.5448333333333333</x:v>
      </x:c>
      <x:c r="F924" s="12" t="n">
        <x:v>0.5448333333333333</x:v>
      </x:c>
      <x:c r="G924" s="12" t="n">
        <x:v>0</x:v>
      </x:c>
      <x:c r="H924" s="1" t="n">
        <x:f>'Historical prices'!E924</x:f>
        <x:v>1.05</x:v>
      </x:c>
      <x:c r="I924" s="6" t="n">
        <x:f>'Historical prices'!D924</x:f>
        <x:v>0.3533</x:v>
      </x:c>
      <x:c r="J924" s="13" t="n">
        <x:f>D924*I924*H924</x:f>
        <x:v>0</x:v>
      </x:c>
      <x:c r="K924" s="13" t="n">
        <x:f>E924*I924*H924</x:f>
        <x:v>0.20211409749999998</x:v>
      </x:c>
      <x:c r="L924" s="1" t="str">
        <x:f>TEXT(A924,"mmm yyyy")</x:f>
        <x:v>May 2026</x:v>
      </x:c>
    </x:row>
    <x:row r="925" ht="21" customHeight="1">
      <x:c r="A925" s="10" t="n">
        <x:v>46167</x:v>
      </x:c>
      <x:c r="B925" s="1" t="n">
        <x:v>18.5</x:v>
      </x:c>
      <x:c r="C925" s="1" t="n">
        <x:v>6</x:v>
      </x:c>
      <x:c r="D925" s="12" t="n">
        <x:v>0</x:v>
      </x:c>
      <x:c r="E925" s="12" t="n">
        <x:v>0.5708333333333333</x:v>
      </x:c>
      <x:c r="F925" s="12" t="n">
        <x:v>0.57075</x:v>
      </x:c>
      <x:c r="G925" s="12" t="n">
        <x:v>0</x:v>
      </x:c>
      <x:c r="H925" s="1" t="n">
        <x:f>'Historical prices'!E925</x:f>
        <x:v>1.05</x:v>
      </x:c>
      <x:c r="I925" s="6" t="n">
        <x:f>'Historical prices'!D925</x:f>
        <x:v>0.3554</x:v>
      </x:c>
      <x:c r="J925" s="13" t="n">
        <x:f>D925*I925*H925</x:f>
        <x:v>0</x:v>
      </x:c>
      <x:c r="K925" s="13" t="n">
        <x:f>E925*I925*H925</x:f>
        <x:v>0.213017875</x:v>
      </x:c>
      <x:c r="L925" s="1" t="str">
        <x:f>TEXT(A925,"mmm yyyy")</x:f>
        <x:v>May 2026</x:v>
      </x:c>
    </x:row>
    <x:row r="926" ht="21" customHeight="1">
      <x:c r="A926" s="10" t="n">
        <x:v>46167</x:v>
      </x:c>
      <x:c r="B926" s="1" t="n">
        <x:v>19</x:v>
      </x:c>
      <x:c r="C926" s="1" t="n">
        <x:v>6</x:v>
      </x:c>
      <x:c r="D926" s="12" t="n">
        <x:v>0</x:v>
      </x:c>
      <x:c r="E926" s="12" t="n">
        <x:v>0.49866666666666665</x:v>
      </x:c>
      <x:c r="F926" s="12" t="n">
        <x:v>0.49866666666666665</x:v>
      </x:c>
      <x:c r="G926" s="12" t="n">
        <x:v>0</x:v>
      </x:c>
      <x:c r="H926" s="1" t="n">
        <x:f>'Historical prices'!E926</x:f>
        <x:v>1.05</x:v>
      </x:c>
      <x:c r="I926" s="6" t="n">
        <x:f>'Historical prices'!D926</x:f>
        <x:v>0.2459</x:v>
      </x:c>
      <x:c r="J926" s="13" t="n">
        <x:f>D926*I926*H926</x:f>
        <x:v>0</x:v>
      </x:c>
      <x:c r="K926" s="13" t="n">
        <x:f>E926*I926*H926</x:f>
        <x:v>0.12875324</x:v>
      </x:c>
      <x:c r="L926" s="1" t="str">
        <x:f>TEXT(A926,"mmm yyyy")</x:f>
        <x:v>May 2026</x:v>
      </x:c>
    </x:row>
    <x:row r="927" ht="21" customHeight="1">
      <x:c r="A927" s="10" t="n">
        <x:v>46167</x:v>
      </x:c>
      <x:c r="B927" s="1" t="n">
        <x:v>19.5</x:v>
      </x:c>
      <x:c r="C927" s="1" t="n">
        <x:v>6</x:v>
      </x:c>
      <x:c r="D927" s="12" t="n">
        <x:v>0</x:v>
      </x:c>
      <x:c r="E927" s="12" t="n">
        <x:v>0.7969166666666667</x:v>
      </x:c>
      <x:c r="F927" s="12" t="n">
        <x:v>0.7966666666666666</x:v>
      </x:c>
      <x:c r="G927" s="12" t="n">
        <x:v>0</x:v>
      </x:c>
      <x:c r="H927" s="1" t="n">
        <x:f>'Historical prices'!E927</x:f>
        <x:v>1.05</x:v>
      </x:c>
      <x:c r="I927" s="6" t="n">
        <x:f>'Historical prices'!D927</x:f>
        <x:v>0.2438</x:v>
      </x:c>
      <x:c r="J927" s="13" t="n">
        <x:f>D927*I927*H927</x:f>
        <x:v>0</x:v>
      </x:c>
      <x:c r="K927" s="13" t="n">
        <x:f>E927*I927*H927</x:f>
        <x:v>0.20400269750000002</x:v>
      </x:c>
      <x:c r="L927" s="1" t="str">
        <x:f>TEXT(A927,"mmm yyyy")</x:f>
        <x:v>May 2026</x:v>
      </x:c>
    </x:row>
    <x:row r="928" ht="21" customHeight="1">
      <x:c r="A928" s="10" t="n">
        <x:v>46167</x:v>
      </x:c>
      <x:c r="B928" s="1" t="n">
        <x:v>20</x:v>
      </x:c>
      <x:c r="C928" s="1" t="n">
        <x:v>6</x:v>
      </x:c>
      <x:c r="D928" s="12" t="n">
        <x:v>0</x:v>
      </x:c>
      <x:c r="E928" s="12" t="n">
        <x:v>0.5710833333333333</x:v>
      </x:c>
      <x:c r="F928" s="12" t="n">
        <x:v>0.5709166666666666</x:v>
      </x:c>
      <x:c r="G928" s="12" t="n">
        <x:v>0</x:v>
      </x:c>
      <x:c r="H928" s="1" t="n">
        <x:f>'Historical prices'!E928</x:f>
        <x:v>1.05</x:v>
      </x:c>
      <x:c r="I928" s="6" t="n">
        <x:f>'Historical prices'!D928</x:f>
        <x:v>0.2484</x:v>
      </x:c>
      <x:c r="J928" s="13" t="n">
        <x:f>D928*I928*H928</x:f>
        <x:v>0</x:v>
      </x:c>
      <x:c r="K928" s="13" t="n">
        <x:f>E928*I928*H928</x:f>
        <x:v>0.148949955</x:v>
      </x:c>
      <x:c r="L928" s="1" t="str">
        <x:f>TEXT(A928,"mmm yyyy")</x:f>
        <x:v>May 2026</x:v>
      </x:c>
    </x:row>
    <x:row r="929" ht="21" customHeight="1">
      <x:c r="A929" s="10" t="n">
        <x:v>46167</x:v>
      </x:c>
      <x:c r="B929" s="1" t="n">
        <x:v>20.5</x:v>
      </x:c>
      <x:c r="C929" s="1" t="n">
        <x:v>6</x:v>
      </x:c>
      <x:c r="D929" s="12" t="n">
        <x:v>0</x:v>
      </x:c>
      <x:c r="E929" s="12" t="n">
        <x:v>0.6328333333333332</x:v>
      </x:c>
      <x:c r="F929" s="12" t="n">
        <x:v>0.6326666666666666</x:v>
      </x:c>
      <x:c r="G929" s="12" t="n">
        <x:v>0</x:v>
      </x:c>
      <x:c r="H929" s="1" t="n">
        <x:f>'Historical prices'!E929</x:f>
        <x:v>1.05</x:v>
      </x:c>
      <x:c r="I929" s="6" t="n">
        <x:f>'Historical prices'!D929</x:f>
        <x:v>0.2516</x:v>
      </x:c>
      <x:c r="J929" s="13" t="n">
        <x:f>D929*I929*H929</x:f>
        <x:v>0</x:v>
      </x:c>
      <x:c r="K929" s="13" t="n">
        <x:f>E929*I929*H929</x:f>
        <x:v>0.16718190999999996</x:v>
      </x:c>
      <x:c r="L929" s="1" t="str">
        <x:f>TEXT(A929,"mmm yyyy")</x:f>
        <x:v>May 2026</x:v>
      </x:c>
    </x:row>
    <x:row r="930" ht="21" customHeight="1">
      <x:c r="A930" s="10" t="n">
        <x:v>46167</x:v>
      </x:c>
      <x:c r="B930" s="1" t="n">
        <x:v>21</x:v>
      </x:c>
      <x:c r="C930" s="1" t="n">
        <x:v>6</x:v>
      </x:c>
      <x:c r="D930" s="12" t="n">
        <x:v>0</x:v>
      </x:c>
      <x:c r="E930" s="12" t="n">
        <x:v>0.5248333333333333</x:v>
      </x:c>
      <x:c r="F930" s="12" t="n">
        <x:v>0.5247499999999999</x:v>
      </x:c>
      <x:c r="G930" s="12" t="n">
        <x:v>0</x:v>
      </x:c>
      <x:c r="H930" s="1" t="n">
        <x:f>'Historical prices'!E930</x:f>
        <x:v>1.05</x:v>
      </x:c>
      <x:c r="I930" s="6" t="n">
        <x:f>'Historical prices'!D930</x:f>
        <x:v>0.2419</x:v>
      </x:c>
      <x:c r="J930" s="13" t="n">
        <x:f>D930*I930*H930</x:f>
        <x:v>0</x:v>
      </x:c>
      <x:c r="K930" s="13" t="n">
        <x:f>E930*I930*H930</x:f>
        <x:v>0.13330504249999997</x:v>
      </x:c>
      <x:c r="L930" s="1" t="str">
        <x:f>TEXT(A930,"mmm yyyy")</x:f>
        <x:v>May 2026</x:v>
      </x:c>
    </x:row>
    <x:row r="931" ht="21" customHeight="1">
      <x:c r="A931" s="10" t="n">
        <x:v>46167</x:v>
      </x:c>
      <x:c r="B931" s="1" t="n">
        <x:v>21.5</x:v>
      </x:c>
      <x:c r="C931" s="1" t="n">
        <x:v>6</x:v>
      </x:c>
      <x:c r="D931" s="12" t="n">
        <x:v>0</x:v>
      </x:c>
      <x:c r="E931" s="12" t="n">
        <x:v>0.9199166666666667</x:v>
      </x:c>
      <x:c r="F931" s="12" t="n">
        <x:v>0.9196666666666666</x:v>
      </x:c>
      <x:c r="G931" s="12" t="n">
        <x:v>0</x:v>
      </x:c>
      <x:c r="H931" s="1" t="n">
        <x:f>'Historical prices'!E931</x:f>
        <x:v>1.05</x:v>
      </x:c>
      <x:c r="I931" s="6" t="n">
        <x:f>'Historical prices'!D931</x:f>
        <x:v>0.23329999999999998</x:v>
      </x:c>
      <x:c r="J931" s="13" t="n">
        <x:f>D931*I931*H931</x:f>
        <x:v>0</x:v>
      </x:c>
      <x:c r="K931" s="13" t="n">
        <x:f>E931*I931*H931</x:f>
        <x:v>0.22534738625</x:v>
      </x:c>
      <x:c r="L931" s="1" t="str">
        <x:f>TEXT(A931,"mmm yyyy")</x:f>
        <x:v>May 2026</x:v>
      </x:c>
    </x:row>
    <x:row r="932" ht="21" customHeight="1">
      <x:c r="A932" s="10" t="n">
        <x:v>46167</x:v>
      </x:c>
      <x:c r="B932" s="1" t="n">
        <x:v>22</x:v>
      </x:c>
      <x:c r="C932" s="1" t="n">
        <x:v>6</x:v>
      </x:c>
      <x:c r="D932" s="12" t="n">
        <x:v>0</x:v>
      </x:c>
      <x:c r="E932" s="12" t="n">
        <x:v>0.29083333333333333</x:v>
      </x:c>
      <x:c r="F932" s="12" t="n">
        <x:v>0.29083333333333333</x:v>
      </x:c>
      <x:c r="G932" s="12" t="n">
        <x:v>0</x:v>
      </x:c>
      <x:c r="H932" s="1" t="n">
        <x:f>'Historical prices'!E932</x:f>
        <x:v>1.05</x:v>
      </x:c>
      <x:c r="I932" s="6" t="n">
        <x:f>'Historical prices'!D932</x:f>
        <x:v>0.22010000000000002</x:v>
      </x:c>
      <x:c r="J932" s="13" t="n">
        <x:f>D932*I932*H932</x:f>
        <x:v>0</x:v>
      </x:c>
      <x:c r="K932" s="13" t="n">
        <x:f>E932*I932*H932</x:f>
        <x:v>0.0672130375</x:v>
      </x:c>
      <x:c r="L932" s="1" t="str">
        <x:f>TEXT(A932,"mmm yyyy")</x:f>
        <x:v>May 2026</x:v>
      </x:c>
    </x:row>
    <x:row r="933" ht="21" customHeight="1">
      <x:c r="A933" s="10" t="n">
        <x:v>46167</x:v>
      </x:c>
      <x:c r="B933" s="1" t="n">
        <x:v>22.5</x:v>
      </x:c>
      <x:c r="C933" s="1" t="n">
        <x:v>6</x:v>
      </x:c>
      <x:c r="D933" s="12" t="n">
        <x:v>0</x:v>
      </x:c>
      <x:c r="E933" s="12" t="n">
        <x:v>0.25475</x:v>
      </x:c>
      <x:c r="F933" s="12" t="n">
        <x:v>0.25475</x:v>
      </x:c>
      <x:c r="G933" s="12" t="n">
        <x:v>0</x:v>
      </x:c>
      <x:c r="H933" s="1" t="n">
        <x:f>'Historical prices'!E933</x:f>
        <x:v>1.05</x:v>
      </x:c>
      <x:c r="I933" s="6" t="n">
        <x:f>'Historical prices'!D933</x:f>
        <x:v>0.21230000000000002</x:v>
      </x:c>
      <x:c r="J933" s="13" t="n">
        <x:f>D933*I933*H933</x:f>
        <x:v>0</x:v>
      </x:c>
      <x:c r="K933" s="13" t="n">
        <x:f>E933*I933*H933</x:f>
        <x:v>0.05678759625</x:v>
      </x:c>
      <x:c r="L933" s="1" t="str">
        <x:f>TEXT(A933,"mmm yyyy")</x:f>
        <x:v>May 2026</x:v>
      </x:c>
    </x:row>
    <x:row r="934" ht="21" customHeight="1">
      <x:c r="A934" s="10" t="n">
        <x:v>46167</x:v>
      </x:c>
      <x:c r="B934" s="1" t="n">
        <x:v>23</x:v>
      </x:c>
      <x:c r="C934" s="1" t="n">
        <x:v>6</x:v>
      </x:c>
      <x:c r="D934" s="12" t="n">
        <x:v>0.17783333333333334</x:v>
      </x:c>
      <x:c r="E934" s="12" t="n">
        <x:v>0.23075</x:v>
      </x:c>
      <x:c r="F934" s="12" t="n">
        <x:v>0.03991666666666667</x:v>
      </x:c>
      <x:c r="G934" s="12" t="n">
        <x:v>0</x:v>
      </x:c>
      <x:c r="H934" s="1" t="n">
        <x:f>'Historical prices'!E934</x:f>
        <x:v>1.05</x:v>
      </x:c>
      <x:c r="I934" s="6" t="n">
        <x:f>'Historical prices'!D934</x:f>
        <x:v>0.20809999999999998</x:v>
      </x:c>
      <x:c r="J934" s="13" t="n">
        <x:f>D934*I934*H934</x:f>
        <x:v>0.038857472500000004</x:v>
      </x:c>
      <x:c r="K934" s="13" t="n">
        <x:f>E934*I934*H934</x:f>
        <x:v>0.05042002875</x:v>
      </x:c>
      <x:c r="L934" s="1" t="str">
        <x:f>TEXT(A934,"mmm yyyy")</x:f>
        <x:v>May 2026</x:v>
      </x:c>
    </x:row>
    <x:row r="935" ht="21" customHeight="1">
      <x:c r="A935" s="10" t="n">
        <x:v>46167</x:v>
      </x:c>
      <x:c r="B935" s="1" t="n">
        <x:v>23.5</x:v>
      </x:c>
      <x:c r="C935" s="1" t="n">
        <x:v>6</x:v>
      </x:c>
      <x:c r="D935" s="12" t="n">
        <x:v>0.2639166666666667</x:v>
      </x:c>
      <x:c r="E935" s="12" t="n">
        <x:v>0.2799166666666667</x:v>
      </x:c>
      <x:c r="F935" s="12" t="n">
        <x:v>0</x:v>
      </x:c>
      <x:c r="G935" s="12" t="n">
        <x:v>0</x:v>
      </x:c>
      <x:c r="H935" s="1" t="n">
        <x:f>'Historical prices'!E935</x:f>
        <x:v>1.05</x:v>
      </x:c>
      <x:c r="I935" s="6" t="n">
        <x:f>'Historical prices'!D935</x:f>
        <x:v>0.1909</x:v>
      </x:c>
      <x:c r="J935" s="13" t="n">
        <x:f>D935*I935*H935</x:f>
        <x:v>0.05290077625</x:v>
      </x:c>
      <x:c r="K935" s="13" t="n">
        <x:f>E935*I935*H935</x:f>
        <x:v>0.056107896250000004</x:v>
      </x:c>
      <x:c r="L935" s="1" t="str">
        <x:f>TEXT(A935,"mmm yyyy")</x:f>
        <x:v>May 2026</x:v>
      </x:c>
    </x:row>
    <x:row r="936" ht="21" customHeight="1">
      <x:c r="A936" s="10" t="n">
        <x:v>46168</x:v>
      </x:c>
      <x:c r="B936" s="1" t="n">
        <x:v>0</x:v>
      </x:c>
      <x:c r="C936" s="1" t="n">
        <x:v>6</x:v>
      </x:c>
      <x:c r="D936" s="12" t="n">
        <x:v>0.2675</x:v>
      </x:c>
      <x:c r="E936" s="12" t="n">
        <x:v>0.2835</x:v>
      </x:c>
      <x:c r="F936" s="12" t="n">
        <x:v>0</x:v>
      </x:c>
      <x:c r="G936" s="12" t="n">
        <x:v>0</x:v>
      </x:c>
      <x:c r="H936" s="1" t="n">
        <x:f>'Historical prices'!E936</x:f>
        <x:v>1.05</x:v>
      </x:c>
      <x:c r="I936" s="6" t="n">
        <x:f>'Historical prices'!D936</x:f>
        <x:v>0.1867</x:v>
      </x:c>
      <x:c r="J936" s="13" t="n">
        <x:f>D936*I936*H936</x:f>
        <x:v>0.05243936250000001</x:v>
      </x:c>
      <x:c r="K936" s="13" t="n">
        <x:f>E936*I936*H936</x:f>
        <x:v>0.0555759225</x:v>
      </x:c>
      <x:c r="L936" s="1" t="str">
        <x:f>TEXT(A936,"mmm yyyy")</x:f>
        <x:v>May 2026</x:v>
      </x:c>
    </x:row>
    <x:row r="937" ht="21" customHeight="1">
      <x:c r="A937" s="10" t="n">
        <x:v>46168</x:v>
      </x:c>
      <x:c r="B937" s="1" t="n">
        <x:v>0.5</x:v>
      </x:c>
      <x:c r="C937" s="1" t="n">
        <x:v>6</x:v>
      </x:c>
      <x:c r="D937" s="12" t="n">
        <x:v>0.22133333333333333</x:v>
      </x:c>
      <x:c r="E937" s="12" t="n">
        <x:v>0.23733333333333334</x:v>
      </x:c>
      <x:c r="F937" s="12" t="n">
        <x:v>0</x:v>
      </x:c>
      <x:c r="G937" s="12" t="n">
        <x:v>0</x:v>
      </x:c>
      <x:c r="H937" s="1" t="n">
        <x:f>'Historical prices'!E937</x:f>
        <x:v>1.05</x:v>
      </x:c>
      <x:c r="I937" s="6" t="n">
        <x:f>'Historical prices'!D937</x:f>
        <x:v>0.19579999999999997</x:v>
      </x:c>
      <x:c r="J937" s="13" t="n">
        <x:f>D937*I937*H937</x:f>
        <x:v>0.045503919999999996</x:v>
      </x:c>
      <x:c r="K937" s="13" t="n">
        <x:f>E937*I937*H937</x:f>
        <x:v>0.04879336</x:v>
      </x:c>
      <x:c r="L937" s="1" t="str">
        <x:f>TEXT(A937,"mmm yyyy")</x:f>
        <x:v>May 2026</x:v>
      </x:c>
    </x:row>
    <x:row r="938" ht="21" customHeight="1">
      <x:c r="A938" s="10" t="n">
        <x:v>46168</x:v>
      </x:c>
      <x:c r="B938" s="1" t="n">
        <x:v>1</x:v>
      </x:c>
      <x:c r="C938" s="1" t="n">
        <x:v>6</x:v>
      </x:c>
      <x:c r="D938" s="12" t="n">
        <x:v>0.2929166666666666</x:v>
      </x:c>
      <x:c r="E938" s="12" t="n">
        <x:v>0.3099166666666666</x:v>
      </x:c>
      <x:c r="F938" s="12" t="n">
        <x:v>0</x:v>
      </x:c>
      <x:c r="G938" s="12" t="n">
        <x:v>0</x:v>
      </x:c>
      <x:c r="H938" s="1" t="n">
        <x:f>'Historical prices'!E938</x:f>
        <x:v>1.05</x:v>
      </x:c>
      <x:c r="I938" s="6" t="n">
        <x:f>'Historical prices'!D938</x:f>
        <x:v>0.1839</x:v>
      </x:c>
      <x:c r="J938" s="13" t="n">
        <x:f>D938*I938*H938</x:f>
        <x:v>0.05656074374999999</x:v>
      </x:c>
      <x:c r="K938" s="13" t="n">
        <x:f>E938*I938*H938</x:f>
        <x:v>0.05984335875</x:v>
      </x:c>
      <x:c r="L938" s="1" t="str">
        <x:f>TEXT(A938,"mmm yyyy")</x:f>
        <x:v>May 2026</x:v>
      </x:c>
    </x:row>
    <x:row r="939" ht="21" customHeight="1">
      <x:c r="A939" s="10" t="n">
        <x:v>46168</x:v>
      </x:c>
      <x:c r="B939" s="1" t="n">
        <x:v>1.5</x:v>
      </x:c>
      <x:c r="C939" s="1" t="n">
        <x:v>6</x:v>
      </x:c>
      <x:c r="D939" s="12" t="n">
        <x:v>0.21750000000000003</x:v>
      </x:c>
      <x:c r="E939" s="12" t="n">
        <x:v>0.23350000000000004</x:v>
      </x:c>
      <x:c r="F939" s="12" t="n">
        <x:v>0</x:v>
      </x:c>
      <x:c r="G939" s="12" t="n">
        <x:v>0</x:v>
      </x:c>
      <x:c r="H939" s="1" t="n">
        <x:f>'Historical prices'!E939</x:f>
        <x:v>1.05</x:v>
      </x:c>
      <x:c r="I939" s="6" t="n">
        <x:f>'Historical prices'!D939</x:f>
        <x:v>0.1984</x:v>
      </x:c>
      <x:c r="J939" s="13" t="n">
        <x:f>D939*I939*H939</x:f>
        <x:v>0.045309600000000005</x:v>
      </x:c>
      <x:c r="K939" s="13" t="n">
        <x:f>E939*I939*H939</x:f>
        <x:v>0.04864272000000001</x:v>
      </x:c>
      <x:c r="L939" s="1" t="str">
        <x:f>TEXT(A939,"mmm yyyy")</x:f>
        <x:v>May 2026</x:v>
      </x:c>
    </x:row>
    <x:row r="940" ht="21" customHeight="1">
      <x:c r="A940" s="10" t="n">
        <x:v>46168</x:v>
      </x:c>
      <x:c r="B940" s="1" t="n">
        <x:v>2</x:v>
      </x:c>
      <x:c r="C940" s="1" t="n">
        <x:v>6</x:v>
      </x:c>
      <x:c r="D940" s="12" t="n">
        <x:v>0.20266666666666663</x:v>
      </x:c>
      <x:c r="E940" s="12" t="n">
        <x:v>0.21866666666666665</x:v>
      </x:c>
      <x:c r="F940" s="12" t="n">
        <x:v>0</x:v>
      </x:c>
      <x:c r="G940" s="12" t="n">
        <x:v>0</x:v>
      </x:c>
      <x:c r="H940" s="1" t="n">
        <x:f>'Historical prices'!E940</x:f>
        <x:v>1.05</x:v>
      </x:c>
      <x:c r="I940" s="6" t="n">
        <x:f>'Historical prices'!D940</x:f>
        <x:v>0.1997</x:v>
      </x:c>
      <x:c r="J940" s="13" t="n">
        <x:f>D940*I940*H940</x:f>
        <x:v>0.04249615999999999</x:v>
      </x:c>
      <x:c r="K940" s="13" t="n">
        <x:f>E940*I940*H940</x:f>
        <x:v>0.045851119999999995</x:v>
      </x:c>
      <x:c r="L940" s="1" t="str">
        <x:f>TEXT(A940,"mmm yyyy")</x:f>
        <x:v>May 2026</x:v>
      </x:c>
    </x:row>
    <x:row r="941" ht="21" customHeight="1">
      <x:c r="A941" s="10" t="n">
        <x:v>46168</x:v>
      </x:c>
      <x:c r="B941" s="1" t="n">
        <x:v>2.5</x:v>
      </x:c>
      <x:c r="C941" s="1" t="n">
        <x:v>6</x:v>
      </x:c>
      <x:c r="D941" s="12" t="n">
        <x:v>0.16933333333333334</x:v>
      </x:c>
      <x:c r="E941" s="12" t="n">
        <x:v>0.18533333333333332</x:v>
      </x:c>
      <x:c r="F941" s="12" t="n">
        <x:v>0</x:v>
      </x:c>
      <x:c r="G941" s="12" t="n">
        <x:v>0</x:v>
      </x:c>
      <x:c r="H941" s="1" t="n">
        <x:f>'Historical prices'!E941</x:f>
        <x:v>1.05</x:v>
      </x:c>
      <x:c r="I941" s="6" t="n">
        <x:f>'Historical prices'!D941</x:f>
        <x:v>0.1913</x:v>
      </x:c>
      <x:c r="J941" s="13" t="n">
        <x:f>D941*I941*H941</x:f>
        <x:v>0.034013140000000004</x:v>
      </x:c>
      <x:c r="K941" s="13" t="n">
        <x:f>E941*I941*H941</x:f>
        <x:v>0.03722698</x:v>
      </x:c>
      <x:c r="L941" s="1" t="str">
        <x:f>TEXT(A941,"mmm yyyy")</x:f>
        <x:v>May 2026</x:v>
      </x:c>
    </x:row>
    <x:row r="942" ht="21" customHeight="1">
      <x:c r="A942" s="10" t="n">
        <x:v>46168</x:v>
      </x:c>
      <x:c r="B942" s="1" t="n">
        <x:v>3</x:v>
      </x:c>
      <x:c r="C942" s="1" t="n">
        <x:v>6</x:v>
      </x:c>
      <x:c r="D942" s="12" t="n">
        <x:v>0.17558333333333334</x:v>
      </x:c>
      <x:c r="E942" s="12" t="n">
        <x:v>0.19158333333333336</x:v>
      </x:c>
      <x:c r="F942" s="12" t="n">
        <x:v>0</x:v>
      </x:c>
      <x:c r="G942" s="12" t="n">
        <x:v>0</x:v>
      </x:c>
      <x:c r="H942" s="1" t="n">
        <x:f>'Historical prices'!E942</x:f>
        <x:v>1.05</x:v>
      </x:c>
      <x:c r="I942" s="6" t="n">
        <x:f>'Historical prices'!D942</x:f>
        <x:v>0.1766</x:v>
      </x:c>
      <x:c r="J942" s="13" t="n">
        <x:f>D942*I942*H942</x:f>
        <x:v>0.032558417500000006</x:v>
      </x:c>
      <x:c r="K942" s="13" t="n">
        <x:f>E942*I942*H942</x:f>
        <x:v>0.035525297500000004</x:v>
      </x:c>
      <x:c r="L942" s="1" t="str">
        <x:f>TEXT(A942,"mmm yyyy")</x:f>
        <x:v>May 2026</x:v>
      </x:c>
    </x:row>
    <x:row r="943" ht="21" customHeight="1">
      <x:c r="A943" s="10" t="n">
        <x:v>46168</x:v>
      </x:c>
      <x:c r="B943" s="1" t="n">
        <x:v>3.5</x:v>
      </x:c>
      <x:c r="C943" s="1" t="n">
        <x:v>6</x:v>
      </x:c>
      <x:c r="D943" s="12" t="n">
        <x:v>0.22949999999999998</x:v>
      </x:c>
      <x:c r="E943" s="12" t="n">
        <x:v>0.2445</x:v>
      </x:c>
      <x:c r="F943" s="12" t="n">
        <x:v>0</x:v>
      </x:c>
      <x:c r="G943" s="12" t="n">
        <x:v>0</x:v>
      </x:c>
      <x:c r="H943" s="1" t="n">
        <x:f>'Historical prices'!E943</x:f>
        <x:v>1.05</x:v>
      </x:c>
      <x:c r="I943" s="6" t="n">
        <x:f>'Historical prices'!D943</x:f>
        <x:v>0.1761</x:v>
      </x:c>
      <x:c r="J943" s="13" t="n">
        <x:f>D943*I943*H943</x:f>
        <x:v>0.0424356975</x:v>
      </x:c>
      <x:c r="K943" s="13" t="n">
        <x:f>E943*I943*H943</x:f>
        <x:v>0.04520927250000001</x:v>
      </x:c>
      <x:c r="L943" s="1" t="str">
        <x:f>TEXT(A943,"mmm yyyy")</x:f>
        <x:v>May 2026</x:v>
      </x:c>
    </x:row>
    <x:row r="944" ht="21" customHeight="1">
      <x:c r="A944" s="10" t="n">
        <x:v>46168</x:v>
      </x:c>
      <x:c r="B944" s="1" t="n">
        <x:v>4</x:v>
      </x:c>
      <x:c r="C944" s="1" t="n">
        <x:v>6</x:v>
      </x:c>
      <x:c r="D944" s="12" t="n">
        <x:v>1.7906666666666666</x:v>
      </x:c>
      <x:c r="E944" s="12" t="n">
        <x:v>0.4086666666666667</x:v>
      </x:c>
      <x:c r="F944" s="12" t="n">
        <x:v>0</x:v>
      </x:c>
      <x:c r="G944" s="12" t="n">
        <x:v>1.386</x:v>
      </x:c>
      <x:c r="H944" s="1" t="n">
        <x:f>'Historical prices'!E944</x:f>
        <x:v>1.05</x:v>
      </x:c>
      <x:c r="I944" s="6" t="n">
        <x:f>'Historical prices'!D944</x:f>
        <x:v>0.1677</x:v>
      </x:c>
      <x:c r="J944" s="13" t="n">
        <x:f>D944*I944*H944</x:f>
        <x:v>0.31530954</x:v>
      </x:c>
      <x:c r="K944" s="13" t="n">
        <x:f>E944*I944*H944</x:f>
        <x:v>0.07196007</x:v>
      </x:c>
      <x:c r="L944" s="1" t="str">
        <x:f>TEXT(A944,"mmm yyyy")</x:f>
        <x:v>May 2026</x:v>
      </x:c>
    </x:row>
    <x:row r="945" ht="21" customHeight="1">
      <x:c r="A945" s="10" t="n">
        <x:v>46168</x:v>
      </x:c>
      <x:c r="B945" s="1" t="n">
        <x:v>4.5</x:v>
      </x:c>
      <x:c r="C945" s="1" t="n">
        <x:v>6</x:v>
      </x:c>
      <x:c r="D945" s="12" t="n">
        <x:v>4.775666666666667</x:v>
      </x:c>
      <x:c r="E945" s="12" t="n">
        <x:v>0.4886666666666667</x:v>
      </x:c>
      <x:c r="F945" s="12" t="n">
        <x:v>0</x:v>
      </x:c>
      <x:c r="G945" s="12" t="n">
        <x:v>4.287</x:v>
      </x:c>
      <x:c r="H945" s="1" t="n">
        <x:f>'Historical prices'!E945</x:f>
        <x:v>1.05</x:v>
      </x:c>
      <x:c r="I945" s="6" t="n">
        <x:f>'Historical prices'!D945</x:f>
        <x:v>0.16399999999999998</x:v>
      </x:c>
      <x:c r="J945" s="13" t="n">
        <x:f>D945*I945*H945</x:f>
        <x:v>0.8223698</x:v>
      </x:c>
      <x:c r="K945" s="13" t="n">
        <x:f>E945*I945*H945</x:f>
        <x:v>0.0841484</x:v>
      </x:c>
      <x:c r="L945" s="1" t="str">
        <x:f>TEXT(A945,"mmm yyyy")</x:f>
        <x:v>May 2026</x:v>
      </x:c>
    </x:row>
    <x:row r="946" ht="21" customHeight="1">
      <x:c r="A946" s="10" t="n">
        <x:v>46168</x:v>
      </x:c>
      <x:c r="B946" s="1" t="n">
        <x:v>5</x:v>
      </x:c>
      <x:c r="C946" s="1" t="n">
        <x:v>6</x:v>
      </x:c>
      <x:c r="D946" s="12" t="n">
        <x:v>1.4928333333333332</x:v>
      </x:c>
      <x:c r="E946" s="12" t="n">
        <x:v>0.3168333333333333</x:v>
      </x:c>
      <x:c r="F946" s="12" t="n">
        <x:v>0</x:v>
      </x:c>
      <x:c r="G946" s="12" t="n">
        <x:v>1.1800000000000002</x:v>
      </x:c>
      <x:c r="H946" s="1" t="n">
        <x:f>'Historical prices'!E946</x:f>
        <x:v>1.05</x:v>
      </x:c>
      <x:c r="I946" s="6" t="n">
        <x:f>'Historical prices'!D946</x:f>
        <x:v>0.1696</x:v>
      </x:c>
      <x:c r="J946" s="13" t="n">
        <x:f>D946*I946*H946</x:f>
        <x:v>0.26584376</x:v>
      </x:c>
      <x:c r="K946" s="13" t="n">
        <x:f>E946*I946*H946</x:f>
        <x:v>0.056421679999999995</x:v>
      </x:c>
      <x:c r="L946" s="1" t="str">
        <x:f>TEXT(A946,"mmm yyyy")</x:f>
        <x:v>May 2026</x:v>
      </x:c>
    </x:row>
    <x:row r="947" ht="21" customHeight="1">
      <x:c r="A947" s="10" t="n">
        <x:v>46168</x:v>
      </x:c>
      <x:c r="B947" s="1" t="n">
        <x:v>5.5</x:v>
      </x:c>
      <x:c r="C947" s="1" t="n">
        <x:v>6</x:v>
      </x:c>
      <x:c r="D947" s="12" t="n">
        <x:v>0.3625</x:v>
      </x:c>
      <x:c r="E947" s="12" t="n">
        <x:v>0.3735</x:v>
      </x:c>
      <x:c r="F947" s="12" t="n">
        <x:v>0</x:v>
      </x:c>
      <x:c r="G947" s="12" t="n">
        <x:v>0</x:v>
      </x:c>
      <x:c r="H947" s="1" t="n">
        <x:f>'Historical prices'!E947</x:f>
        <x:v>1.05</x:v>
      </x:c>
      <x:c r="I947" s="6" t="n">
        <x:f>'Historical prices'!D947</x:f>
        <x:v>0.1776</x:v>
      </x:c>
      <x:c r="J947" s="13" t="n">
        <x:f>D947*I947*H947</x:f>
        <x:v>0.067599</x:v>
      </x:c>
      <x:c r="K947" s="13" t="n">
        <x:f>E947*I947*H947</x:f>
        <x:v>0.06965028000000001</x:v>
      </x:c>
      <x:c r="L947" s="1" t="str">
        <x:f>TEXT(A947,"mmm yyyy")</x:f>
        <x:v>May 2026</x:v>
      </x:c>
    </x:row>
    <x:row r="948" ht="21" customHeight="1">
      <x:c r="A948" s="10" t="n">
        <x:v>46168</x:v>
      </x:c>
      <x:c r="B948" s="1" t="n">
        <x:v>6</x:v>
      </x:c>
      <x:c r="C948" s="1" t="n">
        <x:v>6</x:v>
      </x:c>
      <x:c r="D948" s="12" t="n">
        <x:v>0.5525833333333333</x:v>
      </x:c>
      <x:c r="E948" s="12" t="n">
        <x:v>0.5635833333333332</x:v>
      </x:c>
      <x:c r="F948" s="12" t="n">
        <x:v>0</x:v>
      </x:c>
      <x:c r="G948" s="12" t="n">
        <x:v>0</x:v>
      </x:c>
      <x:c r="H948" s="1" t="n">
        <x:f>'Historical prices'!E948</x:f>
        <x:v>1.05</x:v>
      </x:c>
      <x:c r="I948" s="6" t="n">
        <x:f>'Historical prices'!D948</x:f>
        <x:v>0.21230000000000002</x:v>
      </x:c>
      <x:c r="J948" s="13" t="n">
        <x:f>D948*I948*H948</x:f>
        <x:v>0.12317911375000001</x:v>
      </x:c>
      <x:c r="K948" s="13" t="n">
        <x:f>E948*I948*H948</x:f>
        <x:v>0.12563117875</x:v>
      </x:c>
      <x:c r="L948" s="1" t="str">
        <x:f>TEXT(A948,"mmm yyyy")</x:f>
        <x:v>May 2026</x:v>
      </x:c>
    </x:row>
    <x:row r="949" ht="21" customHeight="1">
      <x:c r="A949" s="10" t="n">
        <x:v>46168</x:v>
      </x:c>
      <x:c r="B949" s="1" t="n">
        <x:v>6.5</x:v>
      </x:c>
      <x:c r="C949" s="1" t="n">
        <x:v>6</x:v>
      </x:c>
      <x:c r="D949" s="12" t="n">
        <x:v>0.06533333333333333</x:v>
      </x:c>
      <x:c r="E949" s="12" t="n">
        <x:v>0.5370833333333334</x:v>
      </x:c>
      <x:c r="F949" s="12" t="n">
        <x:v>0.46950000000000003</x:v>
      </x:c>
      <x:c r="G949" s="12" t="n">
        <x:v>0</x:v>
      </x:c>
      <x:c r="H949" s="1" t="n">
        <x:f>'Historical prices'!E949</x:f>
        <x:v>1.05</x:v>
      </x:c>
      <x:c r="I949" s="6" t="n">
        <x:f>'Historical prices'!D949</x:f>
        <x:v>0.2291</x:v>
      </x:c>
      <x:c r="J949" s="13" t="n">
        <x:f>D949*I949*H949</x:f>
        <x:v>0.01571626</x:v>
      </x:c>
      <x:c r="K949" s="13" t="n">
        <x:f>E949*I949*H949</x:f>
        <x:v>0.12919808125</x:v>
      </x:c>
      <x:c r="L949" s="1" t="str">
        <x:f>TEXT(A949,"mmm yyyy")</x:f>
        <x:v>May 2026</x:v>
      </x:c>
    </x:row>
    <x:row r="950" ht="21" customHeight="1">
      <x:c r="A950" s="10" t="n">
        <x:v>46168</x:v>
      </x:c>
      <x:c r="B950" s="1" t="n">
        <x:v>7</x:v>
      </x:c>
      <x:c r="C950" s="1" t="n">
        <x:v>6</x:v>
      </x:c>
      <x:c r="D950" s="12" t="n">
        <x:v>0</x:v>
      </x:c>
      <x:c r="E950" s="12" t="n">
        <x:v>0.47274999999999995</x:v>
      </x:c>
      <x:c r="F950" s="12" t="n">
        <x:v>0.4726666666666666</x:v>
      </x:c>
      <x:c r="G950" s="12" t="n">
        <x:v>0</x:v>
      </x:c>
      <x:c r="H950" s="1" t="n">
        <x:f>'Historical prices'!E950</x:f>
        <x:v>1.05</x:v>
      </x:c>
      <x:c r="I950" s="6" t="n">
        <x:f>'Historical prices'!D950</x:f>
        <x:v>0.218</x:v>
      </x:c>
      <x:c r="J950" s="13" t="n">
        <x:f>D950*I950*H950</x:f>
        <x:v>0</x:v>
      </x:c>
      <x:c r="K950" s="13" t="n">
        <x:f>E950*I950*H950</x:f>
        <x:v>0.10821247499999999</x:v>
      </x:c>
      <x:c r="L950" s="1" t="str">
        <x:f>TEXT(A950,"mmm yyyy")</x:f>
        <x:v>May 2026</x:v>
      </x:c>
    </x:row>
    <x:row r="951" ht="21" customHeight="1">
      <x:c r="A951" s="10" t="n">
        <x:v>46168</x:v>
      </x:c>
      <x:c r="B951" s="1" t="n">
        <x:v>7.5</x:v>
      </x:c>
      <x:c r="C951" s="1" t="n">
        <x:v>6</x:v>
      </x:c>
      <x:c r="D951" s="12" t="n">
        <x:v>0</x:v>
      </x:c>
      <x:c r="E951" s="12" t="n">
        <x:v>0.5535833333333333</x:v>
      </x:c>
      <x:c r="F951" s="12" t="n">
        <x:v>0.5535833333333333</x:v>
      </x:c>
      <x:c r="G951" s="12" t="n">
        <x:v>0</x:v>
      </x:c>
      <x:c r="H951" s="1" t="n">
        <x:f>'Historical prices'!E951</x:f>
        <x:v>1.05</x:v>
      </x:c>
      <x:c r="I951" s="6" t="n">
        <x:f>'Historical prices'!D951</x:f>
        <x:v>0.2198</x:v>
      </x:c>
      <x:c r="J951" s="13" t="n">
        <x:f>D951*I951*H951</x:f>
        <x:v>0</x:v>
      </x:c>
      <x:c r="K951" s="13" t="n">
        <x:f>E951*I951*H951</x:f>
        <x:v>0.1277614975</x:v>
      </x:c>
      <x:c r="L951" s="1" t="str">
        <x:f>TEXT(A951,"mmm yyyy")</x:f>
        <x:v>May 2026</x:v>
      </x:c>
    </x:row>
    <x:row r="952" ht="21" customHeight="1">
      <x:c r="A952" s="10" t="n">
        <x:v>46168</x:v>
      </x:c>
      <x:c r="B952" s="1" t="n">
        <x:v>8</x:v>
      </x:c>
      <x:c r="C952" s="1" t="n">
        <x:v>6</x:v>
      </x:c>
      <x:c r="D952" s="12" t="n">
        <x:v>0</x:v>
      </x:c>
      <x:c r="E952" s="12" t="n">
        <x:v>0.45775</x:v>
      </x:c>
      <x:c r="F952" s="12" t="n">
        <x:v>0.45775</x:v>
      </x:c>
      <x:c r="G952" s="12" t="n">
        <x:v>0</x:v>
      </x:c>
      <x:c r="H952" s="1" t="n">
        <x:f>'Historical prices'!E952</x:f>
        <x:v>1.05</x:v>
      </x:c>
      <x:c r="I952" s="6" t="n">
        <x:f>'Historical prices'!D952</x:f>
        <x:v>0.22030000000000002</x:v>
      </x:c>
      <x:c r="J952" s="13" t="n">
        <x:f>D952*I952*H952</x:f>
        <x:v>0</x:v>
      </x:c>
      <x:c r="K952" s="13" t="n">
        <x:f>E952*I952*H952</x:f>
        <x:v>0.10588444125000002</x:v>
      </x:c>
      <x:c r="L952" s="1" t="str">
        <x:f>TEXT(A952,"mmm yyyy")</x:f>
        <x:v>May 2026</x:v>
      </x:c>
    </x:row>
    <x:row r="953" ht="21" customHeight="1">
      <x:c r="A953" s="10" t="n">
        <x:v>46168</x:v>
      </x:c>
      <x:c r="B953" s="1" t="n">
        <x:v>8.5</x:v>
      </x:c>
      <x:c r="C953" s="1" t="n">
        <x:v>6</x:v>
      </x:c>
      <x:c r="D953" s="12" t="n">
        <x:v>0</x:v>
      </x:c>
      <x:c r="E953" s="12" t="n">
        <x:v>0.584</x:v>
      </x:c>
      <x:c r="F953" s="12" t="n">
        <x:v>0.58375</x:v>
      </x:c>
      <x:c r="G953" s="12" t="n">
        <x:v>0</x:v>
      </x:c>
      <x:c r="H953" s="1" t="n">
        <x:f>'Historical prices'!E953</x:f>
        <x:v>1.05</x:v>
      </x:c>
      <x:c r="I953" s="6" t="n">
        <x:f>'Historical prices'!D953</x:f>
        <x:v>0.21539999999999998</x:v>
      </x:c>
      <x:c r="J953" s="13" t="n">
        <x:f>D953*I953*H953</x:f>
        <x:v>0</x:v>
      </x:c>
      <x:c r="K953" s="13" t="n">
        <x:f>E953*I953*H953</x:f>
        <x:v>0.13208327999999997</x:v>
      </x:c>
      <x:c r="L953" s="1" t="str">
        <x:f>TEXT(A953,"mmm yyyy")</x:f>
        <x:v>May 2026</x:v>
      </x:c>
    </x:row>
    <x:row r="954" ht="21" customHeight="1">
      <x:c r="A954" s="10" t="n">
        <x:v>46168</x:v>
      </x:c>
      <x:c r="B954" s="1" t="n">
        <x:v>9</x:v>
      </x:c>
      <x:c r="C954" s="1" t="n">
        <x:v>6</x:v>
      </x:c>
      <x:c r="D954" s="12" t="n">
        <x:v>0</x:v>
      </x:c>
      <x:c r="E954" s="12" t="n">
        <x:v>0.6999166666666666</x:v>
      </x:c>
      <x:c r="F954" s="12" t="n">
        <x:v>0.69975</x:v>
      </x:c>
      <x:c r="G954" s="12" t="n">
        <x:v>0</x:v>
      </x:c>
      <x:c r="H954" s="1" t="n">
        <x:f>'Historical prices'!E954</x:f>
        <x:v>1.05</x:v>
      </x:c>
      <x:c r="I954" s="6" t="n">
        <x:f>'Historical prices'!D954</x:f>
        <x:v>0.2186</x:v>
      </x:c>
      <x:c r="J954" s="13" t="n">
        <x:f>D954*I954*H954</x:f>
        <x:v>0</x:v>
      </x:c>
      <x:c r="K954" s="13" t="n">
        <x:f>E954*I954*H954</x:f>
        <x:v>0.1606518725</x:v>
      </x:c>
      <x:c r="L954" s="1" t="str">
        <x:f>TEXT(A954,"mmm yyyy")</x:f>
        <x:v>May 2026</x:v>
      </x:c>
    </x:row>
    <x:row r="955" ht="21" customHeight="1">
      <x:c r="A955" s="10" t="n">
        <x:v>46168</x:v>
      </x:c>
      <x:c r="B955" s="1" t="n">
        <x:v>9.5</x:v>
      </x:c>
      <x:c r="C955" s="1" t="n">
        <x:v>6</x:v>
      </x:c>
      <x:c r="D955" s="12" t="n">
        <x:v>0.4979166666666667</x:v>
      </x:c>
      <x:c r="E955" s="12" t="n">
        <x:v>0.623</x:v>
      </x:c>
      <x:c r="F955" s="12" t="n">
        <x:v>0.114</x:v>
      </x:c>
      <x:c r="G955" s="12" t="n">
        <x:v>0</x:v>
      </x:c>
      <x:c r="H955" s="1" t="n">
        <x:f>'Historical prices'!E955</x:f>
        <x:v>1.05</x:v>
      </x:c>
      <x:c r="I955" s="6" t="n">
        <x:f>'Historical prices'!D955</x:f>
        <x:v>0.2102</x:v>
      </x:c>
      <x:c r="J955" s="13" t="n">
        <x:f>D955*I955*H955</x:f>
        <x:v>0.1098951875</x:v>
      </x:c>
      <x:c r="K955" s="13" t="n">
        <x:f>E955*I955*H955</x:f>
        <x:v>0.13750233</x:v>
      </x:c>
      <x:c r="L955" s="1" t="str">
        <x:f>TEXT(A955,"mmm yyyy")</x:f>
        <x:v>May 2026</x:v>
      </x:c>
    </x:row>
    <x:row r="956" ht="21" customHeight="1">
      <x:c r="A956" s="10" t="n">
        <x:v>46168</x:v>
      </x:c>
      <x:c r="B956" s="1" t="n">
        <x:v>10</x:v>
      </x:c>
      <x:c r="C956" s="1" t="n">
        <x:v>6</x:v>
      </x:c>
      <x:c r="D956" s="12" t="n">
        <x:v>0.63375</x:v>
      </x:c>
      <x:c r="E956" s="12" t="n">
        <x:v>0.6447499999999999</x:v>
      </x:c>
      <x:c r="F956" s="12" t="n">
        <x:v>0</x:v>
      </x:c>
      <x:c r="G956" s="12" t="n">
        <x:v>0</x:v>
      </x:c>
      <x:c r="H956" s="1" t="n">
        <x:f>'Historical prices'!E956</x:f>
        <x:v>1.05</x:v>
      </x:c>
      <x:c r="I956" s="6" t="n">
        <x:f>'Historical prices'!D956</x:f>
        <x:v>0.20190000000000002</x:v>
      </x:c>
      <x:c r="J956" s="13" t="n">
        <x:f>D956*I956*H956</x:f>
        <x:v>0.13435183125000003</x:v>
      </x:c>
      <x:c r="K956" s="13" t="n">
        <x:f>E956*I956*H956</x:f>
        <x:v>0.13668377625</x:v>
      </x:c>
      <x:c r="L956" s="1" t="str">
        <x:f>TEXT(A956,"mmm yyyy")</x:f>
        <x:v>May 2026</x:v>
      </x:c>
    </x:row>
    <x:row r="957" ht="21" customHeight="1">
      <x:c r="A957" s="10" t="n">
        <x:v>46168</x:v>
      </x:c>
      <x:c r="B957" s="1" t="n">
        <x:v>10.5</x:v>
      </x:c>
      <x:c r="C957" s="1" t="n">
        <x:v>6</x:v>
      </x:c>
      <x:c r="D957" s="12" t="n">
        <x:v>0.5124166666666667</x:v>
      </x:c>
      <x:c r="E957" s="12" t="n">
        <x:v>0.5234166666666666</x:v>
      </x:c>
      <x:c r="F957" s="12" t="n">
        <x:v>0</x:v>
      </x:c>
      <x:c r="G957" s="12" t="n">
        <x:v>0</x:v>
      </x:c>
      <x:c r="H957" s="1" t="n">
        <x:f>'Historical prices'!E957</x:f>
        <x:v>1.05</x:v>
      </x:c>
      <x:c r="I957" s="6" t="n">
        <x:f>'Historical prices'!D957</x:f>
        <x:v>0.19870000000000002</x:v>
      </x:c>
      <x:c r="J957" s="13" t="n">
        <x:f>D957*I957*H957</x:f>
        <x:v>0.10690805125000004</x:v>
      </x:c>
      <x:c r="K957" s="13" t="n">
        <x:f>E957*I957*H957</x:f>
        <x:v>0.10920303625000001</x:v>
      </x:c>
      <x:c r="L957" s="1" t="str">
        <x:f>TEXT(A957,"mmm yyyy")</x:f>
        <x:v>May 2026</x:v>
      </x:c>
    </x:row>
    <x:row r="958" ht="21" customHeight="1">
      <x:c r="A958" s="10" t="n">
        <x:v>46168</x:v>
      </x:c>
      <x:c r="B958" s="1" t="n">
        <x:v>11</x:v>
      </x:c>
      <x:c r="C958" s="1" t="n">
        <x:v>6</x:v>
      </x:c>
      <x:c r="D958" s="12" t="n">
        <x:v>0.5189166666666667</x:v>
      </x:c>
      <x:c r="E958" s="12" t="n">
        <x:v>0.5279166666666667</x:v>
      </x:c>
      <x:c r="F958" s="12" t="n">
        <x:v>0</x:v>
      </x:c>
      <x:c r="G958" s="12" t="n">
        <x:v>0</x:v>
      </x:c>
      <x:c r="H958" s="1" t="n">
        <x:f>'Historical prices'!E958</x:f>
        <x:v>1.05</x:v>
      </x:c>
      <x:c r="I958" s="6" t="n">
        <x:f>'Historical prices'!D958</x:f>
        <x:v>0.18539999999999998</x:v>
      </x:c>
      <x:c r="J958" s="13" t="n">
        <x:f>D958*I958*H958</x:f>
        <x:v>0.10101750749999999</x:v>
      </x:c>
      <x:c r="K958" s="13" t="n">
        <x:f>E958*I958*H958</x:f>
        <x:v>0.10276953750000001</x:v>
      </x:c>
      <x:c r="L958" s="1" t="str">
        <x:f>TEXT(A958,"mmm yyyy")</x:f>
        <x:v>May 2026</x:v>
      </x:c>
    </x:row>
    <x:row r="959" ht="21" customHeight="1">
      <x:c r="A959" s="10" t="n">
        <x:v>46168</x:v>
      </x:c>
      <x:c r="B959" s="1" t="n">
        <x:v>11.5</x:v>
      </x:c>
      <x:c r="C959" s="1" t="n">
        <x:v>6</x:v>
      </x:c>
      <x:c r="D959" s="12" t="n">
        <x:v>0.3770833333333333</x:v>
      </x:c>
      <x:c r="E959" s="12" t="n">
        <x:v>0.38808333333333334</x:v>
      </x:c>
      <x:c r="F959" s="12" t="n">
        <x:v>0</x:v>
      </x:c>
      <x:c r="G959" s="12" t="n">
        <x:v>0</x:v>
      </x:c>
      <x:c r="H959" s="1" t="n">
        <x:f>'Historical prices'!E959</x:f>
        <x:v>1.05</x:v>
      </x:c>
      <x:c r="I959" s="6" t="n">
        <x:f>'Historical prices'!D959</x:f>
        <x:v>0.1793</x:v>
      </x:c>
      <x:c r="J959" s="13" t="n">
        <x:f>D959*I959*H959</x:f>
        <x:v>0.07099159375</x:v>
      </x:c>
      <x:c r="K959" s="13" t="n">
        <x:f>E959*I959*H959</x:f>
        <x:v>0.07306250874999999</x:v>
      </x:c>
      <x:c r="L959" s="1" t="str">
        <x:f>TEXT(A959,"mmm yyyy")</x:f>
        <x:v>May 2026</x:v>
      </x:c>
    </x:row>
    <x:row r="960" ht="21" customHeight="1">
      <x:c r="A960" s="10" t="n">
        <x:v>46168</x:v>
      </x:c>
      <x:c r="B960" s="1" t="n">
        <x:v>12</x:v>
      </x:c>
      <x:c r="C960" s="1" t="n">
        <x:v>6</x:v>
      </x:c>
      <x:c r="D960" s="12" t="n">
        <x:v>0.6333333333333333</x:v>
      </x:c>
      <x:c r="E960" s="12" t="n">
        <x:v>0.6443333333333333</x:v>
      </x:c>
      <x:c r="F960" s="12" t="n">
        <x:v>0</x:v>
      </x:c>
      <x:c r="G960" s="12" t="n">
        <x:v>0</x:v>
      </x:c>
      <x:c r="H960" s="1" t="n">
        <x:f>'Historical prices'!E960</x:f>
        <x:v>1.05</x:v>
      </x:c>
      <x:c r="I960" s="6" t="n">
        <x:f>'Historical prices'!D960</x:f>
        <x:v>0.17559999999999998</x:v>
      </x:c>
      <x:c r="J960" s="13" t="n">
        <x:f>D960*I960*H960</x:f>
        <x:v>0.11677399999999999</x:v>
      </x:c>
      <x:c r="K960" s="13" t="n">
        <x:f>E960*I960*H960</x:f>
        <x:v>0.11880218</x:v>
      </x:c>
      <x:c r="L960" s="1" t="str">
        <x:f>TEXT(A960,"mmm yyyy")</x:f>
        <x:v>May 2026</x:v>
      </x:c>
    </x:row>
    <x:row r="961" ht="21" customHeight="1">
      <x:c r="A961" s="10" t="n">
        <x:v>46168</x:v>
      </x:c>
      <x:c r="B961" s="1" t="n">
        <x:v>12.5</x:v>
      </x:c>
      <x:c r="C961" s="1" t="n">
        <x:v>6</x:v>
      </x:c>
      <x:c r="D961" s="12" t="n">
        <x:v>0.8240833333333334</x:v>
      </x:c>
      <x:c r="E961" s="12" t="n">
        <x:v>0.8340833333333333</x:v>
      </x:c>
      <x:c r="F961" s="12" t="n">
        <x:v>0</x:v>
      </x:c>
      <x:c r="G961" s="12" t="n">
        <x:v>0</x:v>
      </x:c>
      <x:c r="H961" s="1" t="n">
        <x:f>'Historical prices'!E961</x:f>
        <x:v>1.05</x:v>
      </x:c>
      <x:c r="I961" s="6" t="n">
        <x:f>'Historical prices'!D961</x:f>
        <x:v>0.1747</x:v>
      </x:c>
      <x:c r="J961" s="13" t="n">
        <x:f>D961*I961*H961</x:f>
        <x:v>0.15116572625000002</x:v>
      </x:c>
      <x:c r="K961" s="13" t="n">
        <x:f>E961*I961*H961</x:f>
        <x:v>0.15300007625</x:v>
      </x:c>
      <x:c r="L961" s="1" t="str">
        <x:f>TEXT(A961,"mmm yyyy")</x:f>
        <x:v>May 2026</x:v>
      </x:c>
    </x:row>
    <x:row r="962" ht="21" customHeight="1">
      <x:c r="A962" s="10" t="n">
        <x:v>46168</x:v>
      </x:c>
      <x:c r="B962" s="1" t="n">
        <x:v>13</x:v>
      </x:c>
      <x:c r="C962" s="1" t="n">
        <x:v>6</x:v>
      </x:c>
      <x:c r="D962" s="12" t="n">
        <x:v>0.5225833333333334</x:v>
      </x:c>
      <x:c r="E962" s="12" t="n">
        <x:v>0.5335833333333333</x:v>
      </x:c>
      <x:c r="F962" s="12" t="n">
        <x:v>0</x:v>
      </x:c>
      <x:c r="G962" s="12" t="n">
        <x:v>0</x:v>
      </x:c>
      <x:c r="H962" s="1" t="n">
        <x:f>'Historical prices'!E962</x:f>
        <x:v>1.05</x:v>
      </x:c>
      <x:c r="I962" s="6" t="n">
        <x:f>'Historical prices'!D962</x:f>
        <x:v>0.1766</x:v>
      </x:c>
      <x:c r="J962" s="13" t="n">
        <x:f>D962*I962*H962</x:f>
        <x:v>0.09690262750000002</x:v>
      </x:c>
      <x:c r="K962" s="13" t="n">
        <x:f>E962*I962*H962</x:f>
        <x:v>0.0989423575</x:v>
      </x:c>
      <x:c r="L962" s="1" t="str">
        <x:f>TEXT(A962,"mmm yyyy")</x:f>
        <x:v>May 2026</x:v>
      </x:c>
    </x:row>
    <x:row r="963" ht="21" customHeight="1">
      <x:c r="A963" s="10" t="n">
        <x:v>46168</x:v>
      </x:c>
      <x:c r="B963" s="1" t="n">
        <x:v>13.5</x:v>
      </x:c>
      <x:c r="C963" s="1" t="n">
        <x:v>6</x:v>
      </x:c>
      <x:c r="D963" s="12" t="n">
        <x:v>1.6593333333333335</x:v>
      </x:c>
      <x:c r="E963" s="12" t="n">
        <x:v>1.6703333333333334</x:v>
      </x:c>
      <x:c r="F963" s="12" t="n">
        <x:v>0</x:v>
      </x:c>
      <x:c r="G963" s="12" t="n">
        <x:v>0</x:v>
      </x:c>
      <x:c r="H963" s="1" t="n">
        <x:f>'Historical prices'!E963</x:f>
        <x:v>1.05</x:v>
      </x:c>
      <x:c r="I963" s="6" t="n">
        <x:f>'Historical prices'!D963</x:f>
        <x:v>0.1699</x:v>
      </x:c>
      <x:c r="J963" s="13" t="n">
        <x:f>D963*I963*H963</x:f>
        <x:v>0.29601677000000004</x:v>
      </x:c>
      <x:c r="K963" s="13" t="n">
        <x:f>E963*I963*H963</x:f>
        <x:v>0.297979115</x:v>
      </x:c>
      <x:c r="L963" s="1" t="str">
        <x:f>TEXT(A963,"mmm yyyy")</x:f>
        <x:v>May 2026</x:v>
      </x:c>
    </x:row>
    <x:row r="964" ht="21" customHeight="1">
      <x:c r="A964" s="10" t="n">
        <x:v>46168</x:v>
      </x:c>
      <x:c r="B964" s="1" t="n">
        <x:v>14</x:v>
      </x:c>
      <x:c r="C964" s="1" t="n">
        <x:v>6</x:v>
      </x:c>
      <x:c r="D964" s="12" t="n">
        <x:v>4.7065</x:v>
      </x:c>
      <x:c r="E964" s="12" t="n">
        <x:v>0.7285</x:v>
      </x:c>
      <x:c r="F964" s="12" t="n">
        <x:v>0</x:v>
      </x:c>
      <x:c r="G964" s="12" t="n">
        <x:v>3.9800000000000004</x:v>
      </x:c>
      <x:c r="H964" s="1" t="n">
        <x:f>'Historical prices'!E964</x:f>
        <x:v>1.05</x:v>
      </x:c>
      <x:c r="I964" s="6" t="n">
        <x:f>'Historical prices'!D964</x:f>
        <x:v>0.1661</x:v>
      </x:c>
      <x:c r="J964" s="13" t="n">
        <x:f>D964*I964*H964</x:f>
        <x:v>0.8208371325</x:v>
      </x:c>
      <x:c r="K964" s="13" t="n">
        <x:f>E964*I964*H964</x:f>
        <x:v>0.12705404250000002</x:v>
      </x:c>
      <x:c r="L964" s="1" t="str">
        <x:f>TEXT(A964,"mmm yyyy")</x:f>
        <x:v>May 2026</x:v>
      </x:c>
    </x:row>
    <x:row r="965" ht="21" customHeight="1">
      <x:c r="A965" s="10" t="n">
        <x:v>46168</x:v>
      </x:c>
      <x:c r="B965" s="1" t="n">
        <x:v>14.5</x:v>
      </x:c>
      <x:c r="C965" s="1" t="n">
        <x:v>6</x:v>
      </x:c>
      <x:c r="D965" s="12" t="n">
        <x:v>2.82875</x:v>
      </x:c>
      <x:c r="E965" s="12" t="n">
        <x:v>1.06375</x:v>
      </x:c>
      <x:c r="F965" s="12" t="n">
        <x:v>0</x:v>
      </x:c>
      <x:c r="G965" s="12" t="n">
        <x:v>1.765</x:v>
      </x:c>
      <x:c r="H965" s="1" t="n">
        <x:f>'Historical prices'!E965</x:f>
        <x:v>1.05</x:v>
      </x:c>
      <x:c r="I965" s="6" t="n">
        <x:f>'Historical prices'!D965</x:f>
        <x:v>0.1661</x:v>
      </x:c>
      <x:c r="J965" s="13" t="n">
        <x:f>D965*I965*H965</x:f>
        <x:v>0.49334814374999997</x:v>
      </x:c>
      <x:c r="K965" s="13" t="n">
        <x:f>E965*I965*H965</x:f>
        <x:v>0.18552331875</x:v>
      </x:c>
      <x:c r="L965" s="1" t="str">
        <x:f>TEXT(A965,"mmm yyyy")</x:f>
        <x:v>May 2026</x:v>
      </x:c>
    </x:row>
    <x:row r="966" ht="21" customHeight="1">
      <x:c r="A966" s="10" t="n">
        <x:v>46168</x:v>
      </x:c>
      <x:c r="B966" s="1" t="n">
        <x:v>15</x:v>
      </x:c>
      <x:c r="C966" s="1" t="n">
        <x:v>6</x:v>
      </x:c>
      <x:c r="D966" s="12" t="n">
        <x:v>0.734</x:v>
      </x:c>
      <x:c r="E966" s="12" t="n">
        <x:v>0.5609999999999999</x:v>
      </x:c>
      <x:c r="F966" s="12" t="n">
        <x:v>0</x:v>
      </x:c>
      <x:c r="G966" s="12" t="n">
        <x:v>0.18</x:v>
      </x:c>
      <x:c r="H966" s="1" t="n">
        <x:f>'Historical prices'!E966</x:f>
        <x:v>1.05</x:v>
      </x:c>
      <x:c r="I966" s="6" t="n">
        <x:f>'Historical prices'!D966</x:f>
        <x:v>0.1766</x:v>
      </x:c>
      <x:c r="J966" s="13" t="n">
        <x:f>D966*I966*H966</x:f>
        <x:v>0.13610562</x:v>
      </x:c>
      <x:c r="K966" s="13" t="n">
        <x:f>E966*I966*H966</x:f>
        <x:v>0.10402623</x:v>
      </x:c>
      <x:c r="L966" s="1" t="str">
        <x:f>TEXT(A966,"mmm yyyy")</x:f>
        <x:v>May 2026</x:v>
      </x:c>
    </x:row>
    <x:row r="967" ht="21" customHeight="1">
      <x:c r="A967" s="10" t="n">
        <x:v>46168</x:v>
      </x:c>
      <x:c r="B967" s="1" t="n">
        <x:v>15.5</x:v>
      </x:c>
      <x:c r="C967" s="1" t="n">
        <x:v>6</x:v>
      </x:c>
      <x:c r="D967" s="12" t="n">
        <x:v>0.7705</x:v>
      </x:c>
      <x:c r="E967" s="12" t="n">
        <x:v>0.5035000000000001</x:v>
      </x:c>
      <x:c r="F967" s="12" t="n">
        <x:v>0</x:v>
      </x:c>
      <x:c r="G967" s="12" t="n">
        <x:v>0.275</x:v>
      </x:c>
      <x:c r="H967" s="1" t="n">
        <x:f>'Historical prices'!E967</x:f>
        <x:v>1.05</x:v>
      </x:c>
      <x:c r="I967" s="6" t="n">
        <x:f>'Historical prices'!D967</x:f>
        <x:v>0.1769</x:v>
      </x:c>
      <x:c r="J967" s="13" t="n">
        <x:f>D967*I967*H967</x:f>
        <x:v>0.1431165225</x:v>
      </x:c>
      <x:c r="K967" s="13" t="n">
        <x:f>E967*I967*H967</x:f>
        <x:v>0.09352260750000002</x:v>
      </x:c>
      <x:c r="L967" s="1" t="str">
        <x:f>TEXT(A967,"mmm yyyy")</x:f>
        <x:v>May 2026</x:v>
      </x:c>
    </x:row>
    <x:row r="968" ht="21" customHeight="1">
      <x:c r="A968" s="10" t="n">
        <x:v>46168</x:v>
      </x:c>
      <x:c r="B968" s="1" t="n">
        <x:v>16</x:v>
      </x:c>
      <x:c r="C968" s="1" t="n">
        <x:v>6</x:v>
      </x:c>
      <x:c r="D968" s="12" t="n">
        <x:v>0.2955833333333333</x:v>
      </x:c>
      <x:c r="E968" s="12" t="n">
        <x:v>0.5863333333333333</x:v>
      </x:c>
      <x:c r="F968" s="12" t="n">
        <x:v>0.43275</x:v>
      </x:c>
      <x:c r="G968" s="12" t="n">
        <x:v>0.142</x:v>
      </x:c>
      <x:c r="H968" s="1" t="n">
        <x:f>'Historical prices'!E968</x:f>
        <x:v>1.05</x:v>
      </x:c>
      <x:c r="I968" s="6" t="n">
        <x:f>'Historical prices'!D968</x:f>
        <x:v>0.30079999999999996</x:v>
      </x:c>
      <x:c r="J968" s="13" t="n">
        <x:f>D968*I968*H968</x:f>
        <x:v>0.09335703999999999</x:v>
      </x:c>
      <x:c r="K968" s="13" t="n">
        <x:f>E968*I968*H968</x:f>
        <x:v>0.18518751999999997</x:v>
      </x:c>
      <x:c r="L968" s="1" t="str">
        <x:f>TEXT(A968,"mmm yyyy")</x:f>
        <x:v>May 2026</x:v>
      </x:c>
    </x:row>
    <x:row r="969" ht="21" customHeight="1">
      <x:c r="A969" s="10" t="n">
        <x:v>46168</x:v>
      </x:c>
      <x:c r="B969" s="1" t="n">
        <x:v>16.5</x:v>
      </x:c>
      <x:c r="C969" s="1" t="n">
        <x:v>6</x:v>
      </x:c>
      <x:c r="D969" s="12" t="n">
        <x:v>0</x:v>
      </x:c>
      <x:c r="E969" s="12" t="n">
        <x:v>0.5108333333333334</x:v>
      </x:c>
      <x:c r="F969" s="12" t="n">
        <x:v>0.5108333333333334</x:v>
      </x:c>
      <x:c r="G969" s="12" t="n">
        <x:v>0</x:v>
      </x:c>
      <x:c r="H969" s="1" t="n">
        <x:f>'Historical prices'!E969</x:f>
        <x:v>1.05</x:v>
      </x:c>
      <x:c r="I969" s="6" t="n">
        <x:f>'Historical prices'!D969</x:f>
        <x:v>0.29410000000000003</x:v>
      </x:c>
      <x:c r="J969" s="13" t="n">
        <x:f>D969*I969*H969</x:f>
        <x:v>0</x:v>
      </x:c>
      <x:c r="K969" s="13" t="n">
        <x:f>E969*I969*H969</x:f>
        <x:v>0.15774788750000002</x:v>
      </x:c>
      <x:c r="L969" s="1" t="str">
        <x:f>TEXT(A969,"mmm yyyy")</x:f>
        <x:v>May 2026</x:v>
      </x:c>
    </x:row>
    <x:row r="970" ht="21" customHeight="1">
      <x:c r="A970" s="10" t="n">
        <x:v>46168</x:v>
      </x:c>
      <x:c r="B970" s="1" t="n">
        <x:v>17</x:v>
      </x:c>
      <x:c r="C970" s="1" t="n">
        <x:v>6</x:v>
      </x:c>
      <x:c r="D970" s="12" t="n">
        <x:v>0</x:v>
      </x:c>
      <x:c r="E970" s="12" t="n">
        <x:v>0.5605</x:v>
      </x:c>
      <x:c r="F970" s="12" t="n">
        <x:v>0.5605</x:v>
      </x:c>
      <x:c r="G970" s="12" t="n">
        <x:v>0</x:v>
      </x:c>
      <x:c r="H970" s="1" t="n">
        <x:f>'Historical prices'!E970</x:f>
        <x:v>1.05</x:v>
      </x:c>
      <x:c r="I970" s="6" t="n">
        <x:f>'Historical prices'!D970</x:f>
        <x:v>0.3208</x:v>
      </x:c>
      <x:c r="J970" s="13" t="n">
        <x:f>D970*I970*H970</x:f>
        <x:v>0</x:v>
      </x:c>
      <x:c r="K970" s="13" t="n">
        <x:f>E970*I970*H970</x:f>
        <x:v>0.18879881999999998</x:v>
      </x:c>
      <x:c r="L970" s="1" t="str">
        <x:f>TEXT(A970,"mmm yyyy")</x:f>
        <x:v>May 2026</x:v>
      </x:c>
    </x:row>
    <x:row r="971" ht="21" customHeight="1">
      <x:c r="A971" s="10" t="n">
        <x:v>46168</x:v>
      </x:c>
      <x:c r="B971" s="1" t="n">
        <x:v>17.5</x:v>
      </x:c>
      <x:c r="C971" s="1" t="n">
        <x:v>6</x:v>
      </x:c>
      <x:c r="D971" s="12" t="n">
        <x:v>0</x:v>
      </x:c>
      <x:c r="E971" s="12" t="n">
        <x:v>0.5618333333333333</x:v>
      </x:c>
      <x:c r="F971" s="12" t="n">
        <x:v>0.56175</x:v>
      </x:c>
      <x:c r="G971" s="12" t="n">
        <x:v>0</x:v>
      </x:c>
      <x:c r="H971" s="1" t="n">
        <x:f>'Historical prices'!E971</x:f>
        <x:v>1.05</x:v>
      </x:c>
      <x:c r="I971" s="6" t="n">
        <x:f>'Historical prices'!D971</x:f>
        <x:v>0.34490000000000004</x:v>
      </x:c>
      <x:c r="J971" s="13" t="n">
        <x:f>D971*I971*H971</x:f>
        <x:v>0</x:v>
      </x:c>
      <x:c r="K971" s="13" t="n">
        <x:f>E971*I971*H971</x:f>
        <x:v>0.2034651325</x:v>
      </x:c>
      <x:c r="L971" s="1" t="str">
        <x:f>TEXT(A971,"mmm yyyy")</x:f>
        <x:v>May 2026</x:v>
      </x:c>
    </x:row>
    <x:row r="972" ht="21" customHeight="1">
      <x:c r="A972" s="10" t="n">
        <x:v>46168</x:v>
      </x:c>
      <x:c r="B972" s="1" t="n">
        <x:v>18</x:v>
      </x:c>
      <x:c r="C972" s="1" t="n">
        <x:v>6</x:v>
      </x:c>
      <x:c r="D972" s="12" t="n">
        <x:v>0</x:v>
      </x:c>
      <x:c r="E972" s="12" t="n">
        <x:v>0.5489166666666666</x:v>
      </x:c>
      <x:c r="F972" s="12" t="n">
        <x:v>0.5488333333333333</x:v>
      </x:c>
      <x:c r="G972" s="12" t="n">
        <x:v>0</x:v>
      </x:c>
      <x:c r="H972" s="1" t="n">
        <x:f>'Historical prices'!E972</x:f>
        <x:v>1.05</x:v>
      </x:c>
      <x:c r="I972" s="6" t="n">
        <x:f>'Historical prices'!D972</x:f>
        <x:v>0.38060000000000005</x:v>
      </x:c>
      <x:c r="J972" s="13" t="n">
        <x:f>D972*I972*H972</x:f>
        <x:v>0</x:v>
      </x:c>
      <x:c r="K972" s="13" t="n">
        <x:f>E972*I972*H972</x:f>
        <x:v>0.2193635675</x:v>
      </x:c>
      <x:c r="L972" s="1" t="str">
        <x:f>TEXT(A972,"mmm yyyy")</x:f>
        <x:v>May 2026</x:v>
      </x:c>
    </x:row>
    <x:row r="973" ht="21" customHeight="1">
      <x:c r="A973" s="10" t="n">
        <x:v>46168</x:v>
      </x:c>
      <x:c r="B973" s="1" t="n">
        <x:v>18.5</x:v>
      </x:c>
      <x:c r="C973" s="1" t="n">
        <x:v>6</x:v>
      </x:c>
      <x:c r="D973" s="12" t="n">
        <x:v>0</x:v>
      </x:c>
      <x:c r="E973" s="12" t="n">
        <x:v>0.7589166666666667</x:v>
      </x:c>
      <x:c r="F973" s="12" t="n">
        <x:v>0.7578333333333334</x:v>
      </x:c>
      <x:c r="G973" s="12" t="n">
        <x:v>0</x:v>
      </x:c>
      <x:c r="H973" s="1" t="n">
        <x:f>'Historical prices'!E973</x:f>
        <x:v>1.05</x:v>
      </x:c>
      <x:c r="I973" s="6" t="n">
        <x:f>'Historical prices'!D973</x:f>
        <x:v>0.3893</x:v>
      </x:c>
      <x:c r="J973" s="13" t="n">
        <x:f>D973*I973*H973</x:f>
        <x:v>0</x:v>
      </x:c>
      <x:c r="K973" s="13" t="n">
        <x:f>E973*I973*H973</x:f>
        <x:v>0.31021857125</x:v>
      </x:c>
      <x:c r="L973" s="1" t="str">
        <x:f>TEXT(A973,"mmm yyyy")</x:f>
        <x:v>May 2026</x:v>
      </x:c>
    </x:row>
    <x:row r="974" ht="21" customHeight="1">
      <x:c r="A974" s="10" t="n">
        <x:v>46168</x:v>
      </x:c>
      <x:c r="B974" s="1" t="n">
        <x:v>19</x:v>
      </x:c>
      <x:c r="C974" s="1" t="n">
        <x:v>6</x:v>
      </x:c>
      <x:c r="D974" s="12" t="n">
        <x:v>0</x:v>
      </x:c>
      <x:c r="E974" s="12" t="n">
        <x:v>0.5806666666666667</x:v>
      </x:c>
      <x:c r="F974" s="12" t="n">
        <x:v>0.5806666666666667</x:v>
      </x:c>
      <x:c r="G974" s="12" t="n">
        <x:v>0</x:v>
      </x:c>
      <x:c r="H974" s="1" t="n">
        <x:f>'Historical prices'!E974</x:f>
        <x:v>1.05</x:v>
      </x:c>
      <x:c r="I974" s="6" t="n">
        <x:f>'Historical prices'!D974</x:f>
        <x:v>0.2501</x:v>
      </x:c>
      <x:c r="J974" s="13" t="n">
        <x:f>D974*I974*H974</x:f>
        <x:v>0</x:v>
      </x:c>
      <x:c r="K974" s="13" t="n">
        <x:f>E974*I974*H974</x:f>
        <x:v>0.15248597</x:v>
      </x:c>
      <x:c r="L974" s="1" t="str">
        <x:f>TEXT(A974,"mmm yyyy")</x:f>
        <x:v>May 2026</x:v>
      </x:c>
    </x:row>
    <x:row r="975" ht="21" customHeight="1">
      <x:c r="A975" s="10" t="n">
        <x:v>46168</x:v>
      </x:c>
      <x:c r="B975" s="1" t="n">
        <x:v>19.5</x:v>
      </x:c>
      <x:c r="C975" s="1" t="n">
        <x:v>6</x:v>
      </x:c>
      <x:c r="D975" s="12" t="n">
        <x:v>0</x:v>
      </x:c>
      <x:c r="E975" s="12" t="n">
        <x:v>0.8139166666666666</x:v>
      </x:c>
      <x:c r="F975" s="12" t="n">
        <x:v>0.8134166666666667</x:v>
      </x:c>
      <x:c r="G975" s="12" t="n">
        <x:v>0</x:v>
      </x:c>
      <x:c r="H975" s="1" t="n">
        <x:f>'Historical prices'!E975</x:f>
        <x:v>1.05</x:v>
      </x:c>
      <x:c r="I975" s="6" t="n">
        <x:f>'Historical prices'!D975</x:f>
        <x:v>0.2522</x:v>
      </x:c>
      <x:c r="J975" s="13" t="n">
        <x:f>D975*I975*H975</x:f>
        <x:v>0</x:v>
      </x:c>
      <x:c r="K975" s="13" t="n">
        <x:f>E975*I975*H975</x:f>
        <x:v>0.21553327249999998</x:v>
      </x:c>
      <x:c r="L975" s="1" t="str">
        <x:f>TEXT(A975,"mmm yyyy")</x:f>
        <x:v>May 2026</x:v>
      </x:c>
    </x:row>
    <x:row r="976" ht="21" customHeight="1">
      <x:c r="A976" s="10" t="n">
        <x:v>46168</x:v>
      </x:c>
      <x:c r="B976" s="1" t="n">
        <x:v>20</x:v>
      </x:c>
      <x:c r="C976" s="1" t="n">
        <x:v>6</x:v>
      </x:c>
      <x:c r="D976" s="12" t="n">
        <x:v>0</x:v>
      </x:c>
      <x:c r="E976" s="12" t="n">
        <x:v>0.5429166666666666</x:v>
      </x:c>
      <x:c r="F976" s="12" t="n">
        <x:v>0.5428333333333333</x:v>
      </x:c>
      <x:c r="G976" s="12" t="n">
        <x:v>0</x:v>
      </x:c>
      <x:c r="H976" s="1" t="n">
        <x:f>'Historical prices'!E976</x:f>
        <x:v>1.05</x:v>
      </x:c>
      <x:c r="I976" s="6" t="n">
        <x:f>'Historical prices'!D976</x:f>
        <x:v>0.2627</x:v>
      </x:c>
      <x:c r="J976" s="13" t="n">
        <x:f>D976*I976*H976</x:f>
        <x:v>0</x:v>
      </x:c>
      <x:c r="K976" s="13" t="n">
        <x:f>E976*I976*H976</x:f>
        <x:v>0.14975541874999998</x:v>
      </x:c>
      <x:c r="L976" s="1" t="str">
        <x:f>TEXT(A976,"mmm yyyy")</x:f>
        <x:v>May 2026</x:v>
      </x:c>
    </x:row>
    <x:row r="977" ht="21" customHeight="1">
      <x:c r="A977" s="10" t="n">
        <x:v>46168</x:v>
      </x:c>
      <x:c r="B977" s="1" t="n">
        <x:v>20.5</x:v>
      </x:c>
      <x:c r="C977" s="1" t="n">
        <x:v>6</x:v>
      </x:c>
      <x:c r="D977" s="12" t="n">
        <x:v>0</x:v>
      </x:c>
      <x:c r="E977" s="12" t="n">
        <x:v>0.6610833333333332</x:v>
      </x:c>
      <x:c r="F977" s="12" t="n">
        <x:v>0.66075</x:v>
      </x:c>
      <x:c r="G977" s="12" t="n">
        <x:v>0</x:v>
      </x:c>
      <x:c r="H977" s="1" t="n">
        <x:f>'Historical prices'!E977</x:f>
        <x:v>1.05</x:v>
      </x:c>
      <x:c r="I977" s="6" t="n">
        <x:f>'Historical prices'!D977</x:f>
        <x:v>0.2606</x:v>
      </x:c>
      <x:c r="J977" s="13" t="n">
        <x:f>D977*I977*H977</x:f>
        <x:v>0</x:v>
      </x:c>
      <x:c r="K977" s="13" t="n">
        <x:f>E977*I977*H977</x:f>
        <x:v>0.1808922325</x:v>
      </x:c>
      <x:c r="L977" s="1" t="str">
        <x:f>TEXT(A977,"mmm yyyy")</x:f>
        <x:v>May 2026</x:v>
      </x:c>
    </x:row>
    <x:row r="978" ht="21" customHeight="1">
      <x:c r="A978" s="10" t="n">
        <x:v>46168</x:v>
      </x:c>
      <x:c r="B978" s="1" t="n">
        <x:v>21</x:v>
      </x:c>
      <x:c r="C978" s="1" t="n">
        <x:v>6</x:v>
      </x:c>
      <x:c r="D978" s="12" t="n">
        <x:v>0</x:v>
      </x:c>
      <x:c r="E978" s="12" t="n">
        <x:v>0.5668333333333333</x:v>
      </x:c>
      <x:c r="F978" s="12" t="n">
        <x:v>0.56675</x:v>
      </x:c>
      <x:c r="G978" s="12" t="n">
        <x:v>0</x:v>
      </x:c>
      <x:c r="H978" s="1" t="n">
        <x:f>'Historical prices'!E978</x:f>
        <x:v>1.05</x:v>
      </x:c>
      <x:c r="I978" s="6" t="n">
        <x:f>'Historical prices'!D978</x:f>
        <x:v>0.2419</x:v>
      </x:c>
      <x:c r="J978" s="13" t="n">
        <x:f>D978*I978*H978</x:f>
        <x:v>0</x:v>
      </x:c>
      <x:c r="K978" s="13" t="n">
        <x:f>E978*I978*H978</x:f>
        <x:v>0.1439728325</x:v>
      </x:c>
      <x:c r="L978" s="1" t="str">
        <x:f>TEXT(A978,"mmm yyyy")</x:f>
        <x:v>May 2026</x:v>
      </x:c>
    </x:row>
    <x:row r="979" ht="21" customHeight="1">
      <x:c r="A979" s="10" t="n">
        <x:v>46168</x:v>
      </x:c>
      <x:c r="B979" s="1" t="n">
        <x:v>21.5</x:v>
      </x:c>
      <x:c r="C979" s="1" t="n">
        <x:v>6</x:v>
      </x:c>
      <x:c r="D979" s="12" t="n">
        <x:v>0</x:v>
      </x:c>
      <x:c r="E979" s="12" t="n">
        <x:v>0.9818333333333333</x:v>
      </x:c>
      <x:c r="F979" s="12" t="n">
        <x:v>0.9817499999999999</x:v>
      </x:c>
      <x:c r="G979" s="12" t="n">
        <x:v>0</x:v>
      </x:c>
      <x:c r="H979" s="1" t="n">
        <x:f>'Historical prices'!E979</x:f>
        <x:v>1.05</x:v>
      </x:c>
      <x:c r="I979" s="6" t="n">
        <x:f>'Historical prices'!D979</x:f>
        <x:v>0.2373</x:v>
      </x:c>
      <x:c r="J979" s="13" t="n">
        <x:f>D979*I979*H979</x:f>
        <x:v>0</x:v>
      </x:c>
      <x:c r="K979" s="13" t="n">
        <x:f>E979*I979*H979</x:f>
        <x:v>0.24463850250000002</x:v>
      </x:c>
      <x:c r="L979" s="1" t="str">
        <x:f>TEXT(A979,"mmm yyyy")</x:f>
        <x:v>May 2026</x:v>
      </x:c>
    </x:row>
    <x:row r="980" ht="21" customHeight="1">
      <x:c r="A980" s="10" t="n">
        <x:v>46168</x:v>
      </x:c>
      <x:c r="B980" s="1" t="n">
        <x:v>22</x:v>
      </x:c>
      <x:c r="C980" s="1" t="n">
        <x:v>6</x:v>
      </x:c>
      <x:c r="D980" s="12" t="n">
        <x:v>0</x:v>
      </x:c>
      <x:c r="E980" s="12" t="n">
        <x:v>0.3418333333333333</x:v>
      </x:c>
      <x:c r="F980" s="12" t="n">
        <x:v>0.3418333333333333</x:v>
      </x:c>
      <x:c r="G980" s="12" t="n">
        <x:v>0</x:v>
      </x:c>
      <x:c r="H980" s="1" t="n">
        <x:f>'Historical prices'!E980</x:f>
        <x:v>1.05</x:v>
      </x:c>
      <x:c r="I980" s="6" t="n">
        <x:f>'Historical prices'!D980</x:f>
        <x:v>0.2119</x:v>
      </x:c>
      <x:c r="J980" s="13" t="n">
        <x:f>D980*I980*H980</x:f>
        <x:v>0</x:v>
      </x:c>
      <x:c r="K980" s="13" t="n">
        <x:f>E980*I980*H980</x:f>
        <x:v>0.0760562075</x:v>
      </x:c>
      <x:c r="L980" s="1" t="str">
        <x:f>TEXT(A980,"mmm yyyy")</x:f>
        <x:v>May 2026</x:v>
      </x:c>
    </x:row>
    <x:row r="981" ht="21" customHeight="1">
      <x:c r="A981" s="10" t="n">
        <x:v>46168</x:v>
      </x:c>
      <x:c r="B981" s="1" t="n">
        <x:v>22.5</x:v>
      </x:c>
      <x:c r="C981" s="1" t="n">
        <x:v>6</x:v>
      </x:c>
      <x:c r="D981" s="12" t="n">
        <x:v>0.17175</x:v>
      </x:c>
      <x:c r="E981" s="12" t="n">
        <x:v>0.22683333333333336</x:v>
      </x:c>
      <x:c r="F981" s="12" t="n">
        <x:v>0.045</x:v>
      </x:c>
      <x:c r="G981" s="12" t="n">
        <x:v>0</x:v>
      </x:c>
      <x:c r="H981" s="1" t="n">
        <x:f>'Historical prices'!E981</x:f>
        <x:v>1.05</x:v>
      </x:c>
      <x:c r="I981" s="6" t="n">
        <x:f>'Historical prices'!D981</x:f>
        <x:v>0.20559999999999998</x:v>
      </x:c>
      <x:c r="J981" s="13" t="n">
        <x:f>D981*I981*H981</x:f>
        <x:v>0.03707739</x:v>
      </x:c>
      <x:c r="K981" s="13" t="n">
        <x:f>E981*I981*H981</x:f>
        <x:v>0.04896878</x:v>
      </x:c>
      <x:c r="L981" s="1" t="str">
        <x:f>TEXT(A981,"mmm yyyy")</x:f>
        <x:v>May 2026</x:v>
      </x:c>
    </x:row>
    <x:row r="982" ht="21" customHeight="1">
      <x:c r="A982" s="10" t="n">
        <x:v>46168</x:v>
      </x:c>
      <x:c r="B982" s="1" t="n">
        <x:v>23</x:v>
      </x:c>
      <x:c r="C982" s="1" t="n">
        <x:v>6</x:v>
      </x:c>
      <x:c r="D982" s="12" t="n">
        <x:v>0.12258333333333335</x:v>
      </x:c>
      <x:c r="E982" s="12" t="n">
        <x:v>0.28775</x:v>
      </x:c>
      <x:c r="F982" s="12" t="n">
        <x:v>0.158</x:v>
      </x:c>
      <x:c r="G982" s="12" t="n">
        <x:v>0</x:v>
      </x:c>
      <x:c r="H982" s="1" t="n">
        <x:f>'Historical prices'!E982</x:f>
        <x:v>1.05</x:v>
      </x:c>
      <x:c r="I982" s="6" t="n">
        <x:f>'Historical prices'!D982</x:f>
        <x:v>0.20809999999999998</x:v>
      </x:c>
      <x:c r="J982" s="13" t="n">
        <x:f>D982*I982*H982</x:f>
        <x:v>0.026785071250000004</x:v>
      </x:c>
      <x:c r="K982" s="13" t="n">
        <x:f>E982*I982*H982</x:f>
        <x:v>0.06287481375</x:v>
      </x:c>
      <x:c r="L982" s="1" t="str">
        <x:f>TEXT(A982,"mmm yyyy")</x:f>
        <x:v>May 2026</x:v>
      </x:c>
    </x:row>
    <x:row r="983" ht="21" customHeight="1">
      <x:c r="A983" s="10" t="n">
        <x:v>46168</x:v>
      </x:c>
      <x:c r="B983" s="1" t="n">
        <x:v>23.5</x:v>
      </x:c>
      <x:c r="C983" s="1" t="n">
        <x:v>6</x:v>
      </x:c>
      <x:c r="D983" s="12" t="n">
        <x:v>0.2771666666666667</x:v>
      </x:c>
      <x:c r="E983" s="12" t="n">
        <x:v>0.2881666666666667</x:v>
      </x:c>
      <x:c r="F983" s="12" t="n">
        <x:v>0</x:v>
      </x:c>
      <x:c r="G983" s="12" t="n">
        <x:v>0</x:v>
      </x:c>
      <x:c r="H983" s="1" t="n">
        <x:f>'Historical prices'!E983</x:f>
        <x:v>1.05</x:v>
      </x:c>
      <x:c r="I983" s="6" t="n">
        <x:f>'Historical prices'!D983</x:f>
        <x:v>0.2039</x:v>
      </x:c>
      <x:c r="J983" s="13" t="n">
        <x:f>D983*I983*H983</x:f>
        <x:v>0.0593399975</x:v>
      </x:c>
      <x:c r="K983" s="13" t="n">
        <x:f>E983*I983*H983</x:f>
        <x:v>0.061695042500000005</x:v>
      </x:c>
      <x:c r="L983" s="1" t="str">
        <x:f>TEXT(A983,"mmm yyyy")</x:f>
        <x:v>May 2026</x:v>
      </x:c>
    </x:row>
    <x:row r="984" ht="21" customHeight="1">
      <x:c r="A984" s="10" t="n">
        <x:v>46169</x:v>
      </x:c>
      <x:c r="B984" s="1" t="n">
        <x:v>0</x:v>
      </x:c>
      <x:c r="C984" s="1" t="n">
        <x:v>6</x:v>
      </x:c>
      <x:c r="D984" s="12" t="n">
        <x:v>0.2406666666666667</x:v>
      </x:c>
      <x:c r="E984" s="12" t="n">
        <x:v>0.2506666666666667</x:v>
      </x:c>
      <x:c r="F984" s="12" t="n">
        <x:v>0</x:v>
      </x:c>
      <x:c r="G984" s="12" t="n">
        <x:v>0</x:v>
      </x:c>
      <x:c r="H984" s="1" t="n">
        <x:f>'Historical prices'!E984</x:f>
        <x:v>1.05</x:v>
      </x:c>
      <x:c r="I984" s="6" t="n">
        <x:f>'Historical prices'!D984</x:f>
        <x:v>0.1955</x:v>
      </x:c>
      <x:c r="J984" s="13" t="n">
        <x:f>D984*I984*H984</x:f>
        <x:v>0.04940285000000001</x:v>
      </x:c>
      <x:c r="K984" s="13" t="n">
        <x:f>E984*I984*H984</x:f>
        <x:v>0.05145560000000002</x:v>
      </x:c>
      <x:c r="L984" s="1" t="str">
        <x:f>TEXT(A984,"mmm yyyy")</x:f>
        <x:v>May 2026</x:v>
      </x:c>
    </x:row>
    <x:row r="985" ht="21" customHeight="1">
      <x:c r="A985" s="10" t="n">
        <x:v>46169</x:v>
      </x:c>
      <x:c r="B985" s="1" t="n">
        <x:v>0.5</x:v>
      </x:c>
      <x:c r="C985" s="1" t="n">
        <x:v>6</x:v>
      </x:c>
      <x:c r="D985" s="12" t="n">
        <x:v>0.2359166666666667</x:v>
      </x:c>
      <x:c r="E985" s="12" t="n">
        <x:v>0.24691666666666665</x:v>
      </x:c>
      <x:c r="F985" s="12" t="n">
        <x:v>0</x:v>
      </x:c>
      <x:c r="G985" s="12" t="n">
        <x:v>0</x:v>
      </x:c>
      <x:c r="H985" s="1" t="n">
        <x:f>'Historical prices'!E985</x:f>
        <x:v>1.05</x:v>
      </x:c>
      <x:c r="I985" s="6" t="n">
        <x:f>'Historical prices'!D985</x:f>
        <x:v>0.1955</x:v>
      </x:c>
      <x:c r="J985" s="13" t="n">
        <x:f>D985*I985*H985</x:f>
        <x:v>0.04842779375</x:v>
      </x:c>
      <x:c r="K985" s="13" t="n">
        <x:f>E985*I985*H985</x:f>
        <x:v>0.05068581875</x:v>
      </x:c>
      <x:c r="L985" s="1" t="str">
        <x:f>TEXT(A985,"mmm yyyy")</x:f>
        <x:v>May 2026</x:v>
      </x:c>
    </x:row>
    <x:row r="986" ht="21" customHeight="1">
      <x:c r="A986" s="10" t="n">
        <x:v>46169</x:v>
      </x:c>
      <x:c r="B986" s="1" t="n">
        <x:v>1</x:v>
      </x:c>
      <x:c r="C986" s="1" t="n">
        <x:v>6</x:v>
      </x:c>
      <x:c r="D986" s="12" t="n">
        <x:v>0.28633333333333333</x:v>
      </x:c>
      <x:c r="E986" s="12" t="n">
        <x:v>0.2973333333333333</x:v>
      </x:c>
      <x:c r="F986" s="12" t="n">
        <x:v>0</x:v>
      </x:c>
      <x:c r="G986" s="12" t="n">
        <x:v>0</x:v>
      </x:c>
      <x:c r="H986" s="1" t="n">
        <x:f>'Historical prices'!E986</x:f>
        <x:v>1.05</x:v>
      </x:c>
      <x:c r="I986" s="6" t="n">
        <x:f>'Historical prices'!D986</x:f>
        <x:v>0.1787</x:v>
      </x:c>
      <x:c r="J986" s="13" t="n">
        <x:f>D986*I986*H986</x:f>
        <x:v>0.053726155</x:v>
      </x:c>
      <x:c r="K986" s="13" t="n">
        <x:f>E986*I986*H986</x:f>
        <x:v>0.055790139999999995</x:v>
      </x:c>
      <x:c r="L986" s="1" t="str">
        <x:f>TEXT(A986,"mmm yyyy")</x:f>
        <x:v>May 2026</x:v>
      </x:c>
    </x:row>
    <x:row r="987" ht="21" customHeight="1">
      <x:c r="A987" s="10" t="n">
        <x:v>46169</x:v>
      </x:c>
      <x:c r="B987" s="1" t="n">
        <x:v>1.5</x:v>
      </x:c>
      <x:c r="C987" s="1" t="n">
        <x:v>6</x:v>
      </x:c>
      <x:c r="D987" s="12" t="n">
        <x:v>0.29058333333333336</x:v>
      </x:c>
      <x:c r="E987" s="12" t="n">
        <x:v>0.30158333333333337</x:v>
      </x:c>
      <x:c r="F987" s="12" t="n">
        <x:v>0</x:v>
      </x:c>
      <x:c r="G987" s="12" t="n">
        <x:v>0</x:v>
      </x:c>
      <x:c r="H987" s="1" t="n">
        <x:f>'Historical prices'!E987</x:f>
        <x:v>1.05</x:v>
      </x:c>
      <x:c r="I987" s="6" t="n">
        <x:f>'Historical prices'!D987</x:f>
        <x:v>0.1766</x:v>
      </x:c>
      <x:c r="J987" s="13" t="n">
        <x:f>D987*I987*H987</x:f>
        <x:v>0.05388286750000001</x:v>
      </x:c>
      <x:c r="K987" s="13" t="n">
        <x:f>E987*I987*H987</x:f>
        <x:v>0.05592259750000001</x:v>
      </x:c>
      <x:c r="L987" s="1" t="str">
        <x:f>TEXT(A987,"mmm yyyy")</x:f>
        <x:v>May 2026</x:v>
      </x:c>
    </x:row>
    <x:row r="988" ht="21" customHeight="1">
      <x:c r="A988" s="10" t="n">
        <x:v>46169</x:v>
      </x:c>
      <x:c r="B988" s="1" t="n">
        <x:v>2</x:v>
      </x:c>
      <x:c r="C988" s="1" t="n">
        <x:v>6</x:v>
      </x:c>
      <x:c r="D988" s="12" t="n">
        <x:v>0.16491666666666668</x:v>
      </x:c>
      <x:c r="E988" s="12" t="n">
        <x:v>0.17491666666666666</x:v>
      </x:c>
      <x:c r="F988" s="12" t="n">
        <x:v>0</x:v>
      </x:c>
      <x:c r="G988" s="12" t="n">
        <x:v>0</x:v>
      </x:c>
      <x:c r="H988" s="1" t="n">
        <x:f>'Historical prices'!E988</x:f>
        <x:v>1.05</x:v>
      </x:c>
      <x:c r="I988" s="6" t="n">
        <x:f>'Historical prices'!D988</x:f>
        <x:v>0.1775</x:v>
      </x:c>
      <x:c r="J988" s="13" t="n">
        <x:f>D988*I988*H988</x:f>
        <x:v>0.030736343750000002</x:v>
      </x:c>
      <x:c r="K988" s="13" t="n">
        <x:f>E988*I988*H988</x:f>
        <x:v>0.032600093749999996</x:v>
      </x:c>
      <x:c r="L988" s="1" t="str">
        <x:f>TEXT(A988,"mmm yyyy")</x:f>
        <x:v>May 2026</x:v>
      </x:c>
    </x:row>
    <x:row r="989" ht="21" customHeight="1">
      <x:c r="A989" s="10" t="n">
        <x:v>46169</x:v>
      </x:c>
      <x:c r="B989" s="1" t="n">
        <x:v>2.5</x:v>
      </x:c>
      <x:c r="C989" s="1" t="n">
        <x:v>6</x:v>
      </x:c>
      <x:c r="D989" s="12" t="n">
        <x:v>0.20866666666666667</x:v>
      </x:c>
      <x:c r="E989" s="12" t="n">
        <x:v>0.21966666666666668</x:v>
      </x:c>
      <x:c r="F989" s="12" t="n">
        <x:v>0</x:v>
      </x:c>
      <x:c r="G989" s="12" t="n">
        <x:v>0</x:v>
      </x:c>
      <x:c r="H989" s="1" t="n">
        <x:f>'Historical prices'!E989</x:f>
        <x:v>1.05</x:v>
      </x:c>
      <x:c r="I989" s="6" t="n">
        <x:f>'Historical prices'!D989</x:f>
        <x:v>0.17370000000000002</x:v>
      </x:c>
      <x:c r="J989" s="13" t="n">
        <x:f>D989*I989*H989</x:f>
        <x:v>0.03805767000000001</x:v>
      </x:c>
      <x:c r="K989" s="13" t="n">
        <x:f>E989*I989*H989</x:f>
        <x:v>0.040063905000000004</x:v>
      </x:c>
      <x:c r="L989" s="1" t="str">
        <x:f>TEXT(A989,"mmm yyyy")</x:f>
        <x:v>May 2026</x:v>
      </x:c>
    </x:row>
    <x:row r="990" ht="21" customHeight="1">
      <x:c r="A990" s="10" t="n">
        <x:v>46169</x:v>
      </x:c>
      <x:c r="B990" s="1" t="n">
        <x:v>3</x:v>
      </x:c>
      <x:c r="C990" s="1" t="n">
        <x:v>6</x:v>
      </x:c>
      <x:c r="D990" s="12" t="n">
        <x:v>0.21541666666666665</x:v>
      </x:c>
      <x:c r="E990" s="12" t="n">
        <x:v>0.22641666666666665</x:v>
      </x:c>
      <x:c r="F990" s="12" t="n">
        <x:v>0</x:v>
      </x:c>
      <x:c r="G990" s="12" t="n">
        <x:v>0</x:v>
      </x:c>
      <x:c r="H990" s="1" t="n">
        <x:f>'Historical prices'!E990</x:f>
        <x:v>1.05</x:v>
      </x:c>
      <x:c r="I990" s="6" t="n">
        <x:f>'Historical prices'!D990</x:f>
        <x:v>0.172</x:v>
      </x:c>
      <x:c r="J990" s="13" t="n">
        <x:f>D990*I990*H990</x:f>
        <x:v>0.03890425</x:v>
      </x:c>
      <x:c r="K990" s="13" t="n">
        <x:f>E990*I990*H990</x:f>
        <x:v>0.04089084999999999</x:v>
      </x:c>
      <x:c r="L990" s="1" t="str">
        <x:f>TEXT(A990,"mmm yyyy")</x:f>
        <x:v>May 2026</x:v>
      </x:c>
    </x:row>
    <x:row r="991" ht="21" customHeight="1">
      <x:c r="A991" s="10" t="n">
        <x:v>46169</x:v>
      </x:c>
      <x:c r="B991" s="1" t="n">
        <x:v>3.5</x:v>
      </x:c>
      <x:c r="C991" s="1" t="n">
        <x:v>6</x:v>
      </x:c>
      <x:c r="D991" s="12" t="n">
        <x:v>0.24874999999999997</x:v>
      </x:c>
      <x:c r="E991" s="12" t="n">
        <x:v>0.25975</x:v>
      </x:c>
      <x:c r="F991" s="12" t="n">
        <x:v>0</x:v>
      </x:c>
      <x:c r="G991" s="12" t="n">
        <x:v>0</x:v>
      </x:c>
      <x:c r="H991" s="1" t="n">
        <x:f>'Historical prices'!E991</x:f>
        <x:v>1.05</x:v>
      </x:c>
      <x:c r="I991" s="6" t="n">
        <x:f>'Historical prices'!D991</x:f>
        <x:v>0.1703</x:v>
      </x:c>
      <x:c r="J991" s="13" t="n">
        <x:f>D991*I991*H991</x:f>
        <x:v>0.044480231249999995</x:v>
      </x:c>
      <x:c r="K991" s="13" t="n">
        <x:f>E991*I991*H991</x:f>
        <x:v>0.04644719625</x:v>
      </x:c>
      <x:c r="L991" s="1" t="str">
        <x:f>TEXT(A991,"mmm yyyy")</x:f>
        <x:v>May 2026</x:v>
      </x:c>
    </x:row>
    <x:row r="992" ht="21" customHeight="1">
      <x:c r="A992" s="10" t="n">
        <x:v>46169</x:v>
      </x:c>
      <x:c r="B992" s="1" t="n">
        <x:v>4</x:v>
      </x:c>
      <x:c r="C992" s="1" t="n">
        <x:v>6</x:v>
      </x:c>
      <x:c r="D992" s="12" t="n">
        <x:v>0.23616666666666666</x:v>
      </x:c>
      <x:c r="E992" s="12" t="n">
        <x:v>0.24616666666666667</x:v>
      </x:c>
      <x:c r="F992" s="12" t="n">
        <x:v>0</x:v>
      </x:c>
      <x:c r="G992" s="12" t="n">
        <x:v>0</x:v>
      </x:c>
      <x:c r="H992" s="1" t="n">
        <x:f>'Historical prices'!E992</x:f>
        <x:v>1.05</x:v>
      </x:c>
      <x:c r="I992" s="6" t="n">
        <x:f>'Historical prices'!D992</x:f>
        <x:v>0.1856</x:v>
      </x:c>
      <x:c r="J992" s="13" t="n">
        <x:f>D992*I992*H992</x:f>
        <x:v>0.04602416</x:v>
      </x:c>
      <x:c r="K992" s="13" t="n">
        <x:f>E992*I992*H992</x:f>
        <x:v>0.047972959999999995</x:v>
      </x:c>
      <x:c r="L992" s="1" t="str">
        <x:f>TEXT(A992,"mmm yyyy")</x:f>
        <x:v>May 2026</x:v>
      </x:c>
    </x:row>
    <x:row r="993" ht="21" customHeight="1">
      <x:c r="A993" s="10" t="n">
        <x:v>46169</x:v>
      </x:c>
      <x:c r="B993" s="1" t="n">
        <x:v>4.5</x:v>
      </x:c>
      <x:c r="C993" s="1" t="n">
        <x:v>6</x:v>
      </x:c>
      <x:c r="D993" s="12" t="n">
        <x:v>0.2901666666666667</x:v>
      </x:c>
      <x:c r="E993" s="12" t="n">
        <x:v>0.3011666666666667</x:v>
      </x:c>
      <x:c r="F993" s="12" t="n">
        <x:v>0</x:v>
      </x:c>
      <x:c r="G993" s="12" t="n">
        <x:v>0</x:v>
      </x:c>
      <x:c r="H993" s="1" t="n">
        <x:f>'Historical prices'!E993</x:f>
        <x:v>1.05</x:v>
      </x:c>
      <x:c r="I993" s="6" t="n">
        <x:f>'Historical prices'!D993</x:f>
        <x:v>0.17809999999999998</x:v>
      </x:c>
      <x:c r="J993" s="13" t="n">
        <x:f>D993*I993*H993</x:f>
        <x:v>0.0542626175</x:v>
      </x:c>
      <x:c r="K993" s="13" t="n">
        <x:f>E993*I993*H993</x:f>
        <x:v>0.0563196725</x:v>
      </x:c>
      <x:c r="L993" s="1" t="str">
        <x:f>TEXT(A993,"mmm yyyy")</x:f>
        <x:v>May 2026</x:v>
      </x:c>
    </x:row>
    <x:row r="994" ht="21" customHeight="1">
      <x:c r="A994" s="10" t="n">
        <x:v>46169</x:v>
      </x:c>
      <x:c r="B994" s="1" t="n">
        <x:v>5</x:v>
      </x:c>
      <x:c r="C994" s="1" t="n">
        <x:v>6</x:v>
      </x:c>
      <x:c r="D994" s="12" t="n">
        <x:v>0.25416666666666665</x:v>
      </x:c>
      <x:c r="E994" s="12" t="n">
        <x:v>0.26416666666666666</x:v>
      </x:c>
      <x:c r="F994" s="12" t="n">
        <x:v>0</x:v>
      </x:c>
      <x:c r="G994" s="12" t="n">
        <x:v>0</x:v>
      </x:c>
      <x:c r="H994" s="1" t="n">
        <x:f>'Historical prices'!E994</x:f>
        <x:v>1.05</x:v>
      </x:c>
      <x:c r="I994" s="6" t="n">
        <x:f>'Historical prices'!D994</x:f>
        <x:v>0.1875</x:v>
      </x:c>
      <x:c r="J994" s="13" t="n">
        <x:f>D994*I994*H994</x:f>
        <x:v>0.0500390625</x:v>
      </x:c>
      <x:c r="K994" s="13" t="n">
        <x:f>E994*I994*H994</x:f>
        <x:v>0.0520078125</x:v>
      </x:c>
      <x:c r="L994" s="1" t="str">
        <x:f>TEXT(A994,"mmm yyyy")</x:f>
        <x:v>May 2026</x:v>
      </x:c>
    </x:row>
    <x:row r="995" ht="21" customHeight="1">
      <x:c r="A995" s="10" t="n">
        <x:v>46169</x:v>
      </x:c>
      <x:c r="B995" s="1" t="n">
        <x:v>5.5</x:v>
      </x:c>
      <x:c r="C995" s="1" t="n">
        <x:v>6</x:v>
      </x:c>
      <x:c r="D995" s="12" t="n">
        <x:v>0.221</x:v>
      </x:c>
      <x:c r="E995" s="12" t="n">
        <x:v>0.232</x:v>
      </x:c>
      <x:c r="F995" s="12" t="n">
        <x:v>0</x:v>
      </x:c>
      <x:c r="G995" s="12" t="n">
        <x:v>0</x:v>
      </x:c>
      <x:c r="H995" s="1" t="n">
        <x:f>'Historical prices'!E995</x:f>
        <x:v>1.05</x:v>
      </x:c>
      <x:c r="I995" s="6" t="n">
        <x:f>'Historical prices'!D995</x:f>
        <x:v>0.1893</x:v>
      </x:c>
      <x:c r="J995" s="13" t="n">
        <x:f>D995*I995*H995</x:f>
        <x:v>0.043927065</x:v>
      </x:c>
      <x:c r="K995" s="13" t="n">
        <x:f>E995*I995*H995</x:f>
        <x:v>0.046113480000000005</x:v>
      </x:c>
      <x:c r="L995" s="1" t="str">
        <x:f>TEXT(A995,"mmm yyyy")</x:f>
        <x:v>May 2026</x:v>
      </x:c>
    </x:row>
    <x:row r="996" ht="21" customHeight="1">
      <x:c r="A996" s="10" t="n">
        <x:v>46169</x:v>
      </x:c>
      <x:c r="B996" s="1" t="n">
        <x:v>6</x:v>
      </x:c>
      <x:c r="C996" s="1" t="n">
        <x:v>6</x:v>
      </x:c>
      <x:c r="D996" s="12" t="n">
        <x:v>0.36175</x:v>
      </x:c>
      <x:c r="E996" s="12" t="n">
        <x:v>0.37275</x:v>
      </x:c>
      <x:c r="F996" s="12" t="n">
        <x:v>0</x:v>
      </x:c>
      <x:c r="G996" s="12" t="n">
        <x:v>0</x:v>
      </x:c>
      <x:c r="H996" s="1" t="n">
        <x:f>'Historical prices'!E996</x:f>
        <x:v>1.05</x:v>
      </x:c>
      <x:c r="I996" s="6" t="n">
        <x:f>'Historical prices'!D996</x:f>
        <x:v>0.19149999999999998</x:v>
      </x:c>
      <x:c r="J996" s="13" t="n">
        <x:f>D996*I996*H996</x:f>
        <x:v>0.07273888125</x:v>
      </x:c>
      <x:c r="K996" s="13" t="n">
        <x:f>E996*I996*H996</x:f>
        <x:v>0.07495070625</x:v>
      </x:c>
      <x:c r="L996" s="1" t="str">
        <x:f>TEXT(A996,"mmm yyyy")</x:f>
        <x:v>May 2026</x:v>
      </x:c>
    </x:row>
    <x:row r="997" ht="21" customHeight="1">
      <x:c r="A997" s="10" t="n">
        <x:v>46169</x:v>
      </x:c>
      <x:c r="B997" s="1" t="n">
        <x:v>6.5</x:v>
      </x:c>
      <x:c r="C997" s="1" t="n">
        <x:v>6</x:v>
      </x:c>
      <x:c r="D997" s="12" t="n">
        <x:v>0.0625</x:v>
      </x:c>
      <x:c r="E997" s="12" t="n">
        <x:v>0.5275</x:v>
      </x:c>
      <x:c r="F997" s="12" t="n">
        <x:v>0.4628333333333333</x:v>
      </x:c>
      <x:c r="G997" s="12" t="n">
        <x:v>0</x:v>
      </x:c>
      <x:c r="H997" s="1" t="n">
        <x:f>'Historical prices'!E997</x:f>
        <x:v>1.05</x:v>
      </x:c>
      <x:c r="I997" s="6" t="n">
        <x:f>'Historical prices'!D997</x:f>
        <x:v>0.2205</x:v>
      </x:c>
      <x:c r="J997" s="13" t="n">
        <x:f>D997*I997*H997</x:f>
        <x:v>0.0144703125</x:v>
      </x:c>
      <x:c r="K997" s="13" t="n">
        <x:f>E997*I997*H997</x:f>
        <x:v>0.1221294375</x:v>
      </x:c>
      <x:c r="L997" s="1" t="str">
        <x:f>TEXT(A997,"mmm yyyy")</x:f>
        <x:v>May 2026</x:v>
      </x:c>
    </x:row>
    <x:row r="998" ht="21" customHeight="1">
      <x:c r="A998" s="10" t="n">
        <x:v>46169</x:v>
      </x:c>
      <x:c r="B998" s="1" t="n">
        <x:v>7</x:v>
      </x:c>
      <x:c r="C998" s="1" t="n">
        <x:v>6</x:v>
      </x:c>
      <x:c r="D998" s="12" t="n">
        <x:v>0.5015</x:v>
      </x:c>
      <x:c r="E998" s="12" t="n">
        <x:v>0.6113333333333333</x:v>
      </x:c>
      <x:c r="F998" s="12" t="n">
        <x:v>0.09983333333333333</x:v>
      </x:c>
      <x:c r="G998" s="12" t="n">
        <x:v>0</x:v>
      </x:c>
      <x:c r="H998" s="1" t="n">
        <x:f>'Historical prices'!E998</x:f>
        <x:v>1.05</x:v>
      </x:c>
      <x:c r="I998" s="6" t="n">
        <x:f>'Historical prices'!D998</x:f>
        <x:v>0.19820000000000002</x:v>
      </x:c>
      <x:c r="J998" s="13" t="n">
        <x:f>D998*I998*H998</x:f>
        <x:v>0.104367165</x:v>
      </x:c>
      <x:c r="K998" s="13" t="n">
        <x:f>E998*I998*H998</x:f>
        <x:v>0.12722458</x:v>
      </x:c>
      <x:c r="L998" s="1" t="str">
        <x:f>TEXT(A998,"mmm yyyy")</x:f>
        <x:v>May 2026</x:v>
      </x:c>
    </x:row>
    <x:row r="999" ht="21" customHeight="1">
      <x:c r="A999" s="10" t="n">
        <x:v>46169</x:v>
      </x:c>
      <x:c r="B999" s="1" t="n">
        <x:v>7.5</x:v>
      </x:c>
      <x:c r="C999" s="1" t="n">
        <x:v>6</x:v>
      </x:c>
      <x:c r="D999" s="12" t="n">
        <x:v>0.09908333333333333</x:v>
      </x:c>
      <x:c r="E999" s="12" t="n">
        <x:v>0.5099166666666667</x:v>
      </x:c>
      <x:c r="F999" s="12" t="n">
        <x:v>0.40791666666666665</x:v>
      </x:c>
      <x:c r="G999" s="12" t="n">
        <x:v>0</x:v>
      </x:c>
      <x:c r="H999" s="1" t="n">
        <x:f>'Historical prices'!E999</x:f>
        <x:v>1.05</x:v>
      </x:c>
      <x:c r="I999" s="6" t="n">
        <x:f>'Historical prices'!D999</x:f>
        <x:v>0.21</x:v>
      </x:c>
      <x:c r="J999" s="13" t="n">
        <x:f>D999*I999*H999</x:f>
        <x:v>0.021847875</x:v>
      </x:c>
      <x:c r="K999" s="13" t="n">
        <x:f>E999*I999*H999</x:f>
        <x:v>0.112436625</x:v>
      </x:c>
      <x:c r="L999" s="1" t="str">
        <x:f>TEXT(A999,"mmm yyyy")</x:f>
        <x:v>May 2026</x:v>
      </x:c>
    </x:row>
    <x:row r="1000" ht="21" customHeight="1">
      <x:c r="A1000" s="10" t="n">
        <x:v>46169</x:v>
      </x:c>
      <x:c r="B1000" s="1" t="n">
        <x:v>8</x:v>
      </x:c>
      <x:c r="C1000" s="1" t="n">
        <x:v>6</x:v>
      </x:c>
      <x:c r="D1000" s="12" t="n">
        <x:v>0</x:v>
      </x:c>
      <x:c r="E1000" s="12" t="n">
        <x:v>0.47475</x:v>
      </x:c>
      <x:c r="F1000" s="12" t="n">
        <x:v>0.47458333333333336</x:v>
      </x:c>
      <x:c r="G1000" s="12" t="n">
        <x:v>0</x:v>
      </x:c>
      <x:c r="H1000" s="1" t="n">
        <x:f>'Historical prices'!E1000</x:f>
        <x:v>1.05</x:v>
      </x:c>
      <x:c r="I1000" s="6" t="n">
        <x:f>'Historical prices'!D1000</x:f>
        <x:v>0.2108</x:v>
      </x:c>
      <x:c r="J1000" s="13" t="n">
        <x:f>D1000*I1000*H1000</x:f>
        <x:v>0</x:v>
      </x:c>
      <x:c r="K1000" s="13" t="n">
        <x:f>E1000*I1000*H1000</x:f>
        <x:v>0.105081165</x:v>
      </x:c>
      <x:c r="L1000" s="1" t="str">
        <x:f>TEXT(A1000,"mmm yyyy")</x:f>
        <x:v>May 2026</x:v>
      </x:c>
    </x:row>
    <x:row r="1001" ht="21" customHeight="1">
      <x:c r="A1001" s="10" t="n">
        <x:v>46169</x:v>
      </x:c>
      <x:c r="B1001" s="1" t="n">
        <x:v>8.5</x:v>
      </x:c>
      <x:c r="C1001" s="1" t="n">
        <x:v>6</x:v>
      </x:c>
      <x:c r="D1001" s="12" t="n">
        <x:v>0</x:v>
      </x:c>
      <x:c r="E1001" s="12" t="n">
        <x:v>0.6021666666666666</x:v>
      </x:c>
      <x:c r="F1001" s="12" t="n">
        <x:v>0.5968333333333333</x:v>
      </x:c>
      <x:c r="G1001" s="12" t="n">
        <x:v>0</x:v>
      </x:c>
      <x:c r="H1001" s="1" t="n">
        <x:f>'Historical prices'!E1001</x:f>
        <x:v>1.05</x:v>
      </x:c>
      <x:c r="I1001" s="6" t="n">
        <x:f>'Historical prices'!D1001</x:f>
        <x:v>0.21</x:v>
      </x:c>
      <x:c r="J1001" s="13" t="n">
        <x:f>D1001*I1001*H1001</x:f>
        <x:v>0</x:v>
      </x:c>
      <x:c r="K1001" s="13" t="n">
        <x:f>E1001*I1001*H1001</x:f>
        <x:v>0.13277775</x:v>
      </x:c>
      <x:c r="L1001" s="1" t="str">
        <x:f>TEXT(A1001,"mmm yyyy")</x:f>
        <x:v>May 2026</x:v>
      </x:c>
    </x:row>
    <x:row r="1002" ht="21" customHeight="1">
      <x:c r="A1002" s="10" t="n">
        <x:v>46169</x:v>
      </x:c>
      <x:c r="B1002" s="1" t="n">
        <x:v>9</x:v>
      </x:c>
      <x:c r="C1002" s="1" t="n">
        <x:v>6</x:v>
      </x:c>
      <x:c r="D1002" s="12" t="n">
        <x:v>0.7985833333333334</x:v>
      </x:c>
      <x:c r="E1002" s="12" t="n">
        <x:v>0.8231666666666667</x:v>
      </x:c>
      <x:c r="F1002" s="12" t="n">
        <x:v>0.161</x:v>
      </x:c>
      <x:c r="G1002" s="12" t="n">
        <x:v>0.137</x:v>
      </x:c>
      <x:c r="H1002" s="1" t="n">
        <x:f>'Historical prices'!E1002</x:f>
        <x:v>1.05</x:v>
      </x:c>
      <x:c r="I1002" s="6" t="n">
        <x:f>'Historical prices'!D1002</x:f>
        <x:v>0.19829999999999998</x:v>
      </x:c>
      <x:c r="J1002" s="13" t="n">
        <x:f>D1002*I1002*H1002</x:f>
        <x:v>0.16627702875</x:v>
      </x:c>
      <x:c r="K1002" s="13" t="n">
        <x:f>E1002*I1002*H1002</x:f>
        <x:v>0.1713956475</x:v>
      </x:c>
      <x:c r="L1002" s="1" t="str">
        <x:f>TEXT(A1002,"mmm yyyy")</x:f>
        <x:v>May 2026</x:v>
      </x:c>
    </x:row>
    <x:row r="1003" ht="21" customHeight="1">
      <x:c r="A1003" s="10" t="n">
        <x:v>46169</x:v>
      </x:c>
      <x:c r="B1003" s="1" t="n">
        <x:v>9.5</x:v>
      </x:c>
      <x:c r="C1003" s="1" t="n">
        <x:v>6</x:v>
      </x:c>
      <x:c r="D1003" s="12" t="n">
        <x:v>0.43633333333333324</x:v>
      </x:c>
      <x:c r="E1003" s="12" t="n">
        <x:v>0.45133333333333325</x:v>
      </x:c>
      <x:c r="F1003" s="12" t="n">
        <x:v>0</x:v>
      </x:c>
      <x:c r="G1003" s="12" t="n">
        <x:v>0</x:v>
      </x:c>
      <x:c r="H1003" s="1" t="n">
        <x:f>'Historical prices'!E1003</x:f>
        <x:v>1.05</x:v>
      </x:c>
      <x:c r="I1003" s="6" t="n">
        <x:f>'Historical prices'!D1003</x:f>
        <x:v>0.1808</x:v>
      </x:c>
      <x:c r="J1003" s="13" t="n">
        <x:f>D1003*I1003*H1003</x:f>
        <x:v>0.08283351999999998</x:v>
      </x:c>
      <x:c r="K1003" s="13" t="n">
        <x:f>E1003*I1003*H1003</x:f>
        <x:v>0.08568111999999999</x:v>
      </x:c>
      <x:c r="L1003" s="1" t="str">
        <x:f>TEXT(A1003,"mmm yyyy")</x:f>
        <x:v>May 2026</x:v>
      </x:c>
    </x:row>
    <x:row r="1004" ht="21" customHeight="1">
      <x:c r="A1004" s="10" t="n">
        <x:v>46169</x:v>
      </x:c>
      <x:c r="B1004" s="1" t="n">
        <x:v>10</x:v>
      </x:c>
      <x:c r="C1004" s="1" t="n">
        <x:v>6</x:v>
      </x:c>
      <x:c r="D1004" s="12" t="n">
        <x:v>0.5171666666666667</x:v>
      </x:c>
      <x:c r="E1004" s="12" t="n">
        <x:v>0.5331666666666667</x:v>
      </x:c>
      <x:c r="F1004" s="12" t="n">
        <x:v>0</x:v>
      </x:c>
      <x:c r="G1004" s="12" t="n">
        <x:v>0</x:v>
      </x:c>
      <x:c r="H1004" s="1" t="n">
        <x:f>'Historical prices'!E1004</x:f>
        <x:v>1.05</x:v>
      </x:c>
      <x:c r="I1004" s="6" t="n">
        <x:f>'Historical prices'!D1004</x:f>
        <x:v>0.17579999999999998</x:v>
      </x:c>
      <x:c r="J1004" s="13" t="n">
        <x:f>D1004*I1004*H1004</x:f>
        <x:v>0.095463795</x:v>
      </x:c>
      <x:c r="K1004" s="13" t="n">
        <x:f>E1004*I1004*H1004</x:f>
        <x:v>0.098417235</x:v>
      </x:c>
      <x:c r="L1004" s="1" t="str">
        <x:f>TEXT(A1004,"mmm yyyy")</x:f>
        <x:v>May 2026</x:v>
      </x:c>
    </x:row>
    <x:row r="1005" ht="21" customHeight="1">
      <x:c r="A1005" s="10" t="n">
        <x:v>46169</x:v>
      </x:c>
      <x:c r="B1005" s="1" t="n">
        <x:v>10.5</x:v>
      </x:c>
      <x:c r="C1005" s="1" t="n">
        <x:v>6</x:v>
      </x:c>
      <x:c r="D1005" s="12" t="n">
        <x:v>0.5433333333333333</x:v>
      </x:c>
      <x:c r="E1005" s="12" t="n">
        <x:v>0.5573333333333333</x:v>
      </x:c>
      <x:c r="F1005" s="12" t="n">
        <x:v>0</x:v>
      </x:c>
      <x:c r="G1005" s="12" t="n">
        <x:v>0</x:v>
      </x:c>
      <x:c r="H1005" s="1" t="n">
        <x:f>'Historical prices'!E1005</x:f>
        <x:v>1.05</x:v>
      </x:c>
      <x:c r="I1005" s="6" t="n">
        <x:f>'Historical prices'!D1005</x:f>
        <x:v>0.1745</x:v>
      </x:c>
      <x:c r="J1005" s="13" t="n">
        <x:f>D1005*I1005*H1005</x:f>
        <x:v>0.09955225</x:v>
      </x:c>
      <x:c r="K1005" s="13" t="n">
        <x:f>E1005*I1005*H1005</x:f>
        <x:v>0.1021174</x:v>
      </x:c>
      <x:c r="L1005" s="1" t="str">
        <x:f>TEXT(A1005,"mmm yyyy")</x:f>
        <x:v>May 2026</x:v>
      </x:c>
    </x:row>
    <x:row r="1006" ht="21" customHeight="1">
      <x:c r="A1006" s="10" t="n">
        <x:v>46169</x:v>
      </x:c>
      <x:c r="B1006" s="1" t="n">
        <x:v>11</x:v>
      </x:c>
      <x:c r="C1006" s="1" t="n">
        <x:v>6</x:v>
      </x:c>
      <x:c r="D1006" s="12" t="n">
        <x:v>0.50575</x:v>
      </x:c>
      <x:c r="E1006" s="12" t="n">
        <x:v>0.5187499999999999</x:v>
      </x:c>
      <x:c r="F1006" s="12" t="n">
        <x:v>0</x:v>
      </x:c>
      <x:c r="G1006" s="12" t="n">
        <x:v>0</x:v>
      </x:c>
      <x:c r="H1006" s="1" t="n">
        <x:f>'Historical prices'!E1006</x:f>
        <x:v>1.05</x:v>
      </x:c>
      <x:c r="I1006" s="6" t="n">
        <x:f>'Historical prices'!D1006</x:f>
        <x:v>0.17579999999999998</x:v>
      </x:c>
      <x:c r="J1006" s="13" t="n">
        <x:f>D1006*I1006*H1006</x:f>
        <x:v>0.09335639250000001</x:v>
      </x:c>
      <x:c r="K1006" s="13" t="n">
        <x:f>E1006*I1006*H1006</x:f>
        <x:v>0.09575606249999997</x:v>
      </x:c>
      <x:c r="L1006" s="1" t="str">
        <x:f>TEXT(A1006,"mmm yyyy")</x:f>
        <x:v>May 2026</x:v>
      </x:c>
    </x:row>
    <x:row r="1007" ht="21" customHeight="1">
      <x:c r="A1007" s="10" t="n">
        <x:v>46169</x:v>
      </x:c>
      <x:c r="B1007" s="1" t="n">
        <x:v>11.5</x:v>
      </x:c>
      <x:c r="C1007" s="1" t="n">
        <x:v>6</x:v>
      </x:c>
      <x:c r="D1007" s="12" t="n">
        <x:v>0.497</x:v>
      </x:c>
      <x:c r="E1007" s="12" t="n">
        <x:v>0.508</x:v>
      </x:c>
      <x:c r="F1007" s="12" t="n">
        <x:v>0</x:v>
      </x:c>
      <x:c r="G1007" s="12" t="n">
        <x:v>0</x:v>
      </x:c>
      <x:c r="H1007" s="1" t="n">
        <x:f>'Historical prices'!E1007</x:f>
        <x:v>1.05</x:v>
      </x:c>
      <x:c r="I1007" s="6" t="n">
        <x:f>'Historical prices'!D1007</x:f>
        <x:v>0.1648</x:v>
      </x:c>
      <x:c r="J1007" s="13" t="n">
        <x:f>D1007*I1007*H1007</x:f>
        <x:v>0.08600088</x:v>
      </x:c>
      <x:c r="K1007" s="13" t="n">
        <x:f>E1007*I1007*H1007</x:f>
        <x:v>0.08790432000000001</x:v>
      </x:c>
      <x:c r="L1007" s="1" t="str">
        <x:f>TEXT(A1007,"mmm yyyy")</x:f>
        <x:v>May 2026</x:v>
      </x:c>
    </x:row>
    <x:row r="1008" ht="21" customHeight="1">
      <x:c r="A1008" s="10" t="n">
        <x:v>46169</x:v>
      </x:c>
      <x:c r="B1008" s="1" t="n">
        <x:v>12</x:v>
      </x:c>
      <x:c r="C1008" s="1" t="n">
        <x:v>6</x:v>
      </x:c>
      <x:c r="D1008" s="12" t="n">
        <x:v>0.4875833333333333</x:v>
      </x:c>
      <x:c r="E1008" s="12" t="n">
        <x:v>0.4975833333333333</x:v>
      </x:c>
      <x:c r="F1008" s="12" t="n">
        <x:v>0</x:v>
      </x:c>
      <x:c r="G1008" s="12" t="n">
        <x:v>0</x:v>
      </x:c>
      <x:c r="H1008" s="1" t="n">
        <x:f>'Historical prices'!E1008</x:f>
        <x:v>1.05</x:v>
      </x:c>
      <x:c r="I1008" s="6" t="n">
        <x:f>'Historical prices'!D1008</x:f>
        <x:v>0.1724</x:v>
      </x:c>
      <x:c r="J1008" s="13" t="n">
        <x:f>D1008*I1008*H1008</x:f>
        <x:v>0.088262335</x:v>
      </x:c>
      <x:c r="K1008" s="13" t="n">
        <x:f>E1008*I1008*H1008</x:f>
        <x:v>0.09007253500000001</x:v>
      </x:c>
      <x:c r="L1008" s="1" t="str">
        <x:f>TEXT(A1008,"mmm yyyy")</x:f>
        <x:v>May 2026</x:v>
      </x:c>
    </x:row>
    <x:row r="1009" ht="21" customHeight="1">
      <x:c r="A1009" s="10" t="n">
        <x:v>46169</x:v>
      </x:c>
      <x:c r="B1009" s="1" t="n">
        <x:v>12.5</x:v>
      </x:c>
      <x:c r="C1009" s="1" t="n">
        <x:v>6</x:v>
      </x:c>
      <x:c r="D1009" s="12" t="n">
        <x:v>0.43875</x:v>
      </x:c>
      <x:c r="E1009" s="12" t="n">
        <x:v>0.44975</x:v>
      </x:c>
      <x:c r="F1009" s="12" t="n">
        <x:v>0</x:v>
      </x:c>
      <x:c r="G1009" s="12" t="n">
        <x:v>0</x:v>
      </x:c>
      <x:c r="H1009" s="1" t="n">
        <x:f>'Historical prices'!E1009</x:f>
        <x:v>1.05</x:v>
      </x:c>
      <x:c r="I1009" s="6" t="n">
        <x:f>'Historical prices'!D1009</x:f>
        <x:v>0.16219999999999998</x:v>
      </x:c>
      <x:c r="J1009" s="13" t="n">
        <x:f>D1009*I1009*H1009</x:f>
        <x:v>0.07472351249999999</x:v>
      </x:c>
      <x:c r="K1009" s="13" t="n">
        <x:f>E1009*I1009*H1009</x:f>
        <x:v>0.07659692249999998</x:v>
      </x:c>
      <x:c r="L1009" s="1" t="str">
        <x:f>TEXT(A1009,"mmm yyyy")</x:f>
        <x:v>May 2026</x:v>
      </x:c>
    </x:row>
    <x:row r="1010" ht="21" customHeight="1">
      <x:c r="A1010" s="10" t="n">
        <x:v>46169</x:v>
      </x:c>
      <x:c r="B1010" s="1" t="n">
        <x:v>13</x:v>
      </x:c>
      <x:c r="C1010" s="1" t="n">
        <x:v>6</x:v>
      </x:c>
      <x:c r="D1010" s="12" t="n">
        <x:v>0.5085000000000001</x:v>
      </x:c>
      <x:c r="E1010" s="12" t="n">
        <x:v>0.5185</x:v>
      </x:c>
      <x:c r="F1010" s="12" t="n">
        <x:v>0</x:v>
      </x:c>
      <x:c r="G1010" s="12" t="n">
        <x:v>0</x:v>
      </x:c>
      <x:c r="H1010" s="1" t="n">
        <x:f>'Historical prices'!E1010</x:f>
        <x:v>1.05</x:v>
      </x:c>
      <x:c r="I1010" s="6" t="n">
        <x:f>'Historical prices'!D1010</x:f>
        <x:v>0.1606</x:v>
      </x:c>
      <x:c r="J1010" s="13" t="n">
        <x:f>D1010*I1010*H1010</x:f>
        <x:v>0.08574835500000001</x:v>
      </x:c>
      <x:c r="K1010" s="13" t="n">
        <x:f>E1010*I1010*H1010</x:f>
        <x:v>0.08743465499999999</x:v>
      </x:c>
      <x:c r="L1010" s="1" t="str">
        <x:f>TEXT(A1010,"mmm yyyy")</x:f>
        <x:v>May 2026</x:v>
      </x:c>
    </x:row>
    <x:row r="1011" ht="21" customHeight="1">
      <x:c r="A1011" s="10" t="n">
        <x:v>46169</x:v>
      </x:c>
      <x:c r="B1011" s="1" t="n">
        <x:v>13.5</x:v>
      </x:c>
      <x:c r="C1011" s="1" t="n">
        <x:v>6</x:v>
      </x:c>
      <x:c r="D1011" s="12" t="n">
        <x:v>4.634666666666667</x:v>
      </x:c>
      <x:c r="E1011" s="12" t="n">
        <x:v>0.6806666666666666</x:v>
      </x:c>
      <x:c r="F1011" s="12" t="n">
        <x:v>0</x:v>
      </x:c>
      <x:c r="G1011" s="12" t="n">
        <x:v>3.955</x:v>
      </x:c>
      <x:c r="H1011" s="1" t="n">
        <x:f>'Historical prices'!E1011</x:f>
        <x:v>1.05</x:v>
      </x:c>
      <x:c r="I1011" s="6" t="n">
        <x:f>'Historical prices'!D1011</x:f>
        <x:v>0.1566</x:v>
      </x:c>
      <x:c r="J1011" s="13" t="n">
        <x:f>D1011*I1011*H1011</x:f>
        <x:v>0.76207824</x:v>
      </x:c>
      <x:c r="K1011" s="13" t="n">
        <x:f>E1011*I1011*H1011</x:f>
        <x:v>0.11192202</x:v>
      </x:c>
      <x:c r="L1011" s="1" t="str">
        <x:f>TEXT(A1011,"mmm yyyy")</x:f>
        <x:v>May 2026</x:v>
      </x:c>
    </x:row>
    <x:row r="1012" ht="21" customHeight="1">
      <x:c r="A1012" s="10" t="n">
        <x:v>46169</x:v>
      </x:c>
      <x:c r="B1012" s="1" t="n">
        <x:v>14</x:v>
      </x:c>
      <x:c r="C1012" s="1" t="n">
        <x:v>6</x:v>
      </x:c>
      <x:c r="D1012" s="12" t="n">
        <x:v>1.2899166666666666</x:v>
      </x:c>
      <x:c r="E1012" s="12" t="n">
        <x:v>0.49391666666666667</x:v>
      </x:c>
      <x:c r="F1012" s="12" t="n">
        <x:v>0</x:v>
      </x:c>
      <x:c r="G1012" s="12" t="n">
        <x:v>0.798</x:v>
      </x:c>
      <x:c r="H1012" s="1" t="n">
        <x:f>'Historical prices'!E1012</x:f>
        <x:v>1.05</x:v>
      </x:c>
      <x:c r="I1012" s="6" t="n">
        <x:f>'Historical prices'!D1012</x:f>
        <x:v>0.16010000000000002</x:v>
      </x:c>
      <x:c r="J1012" s="13" t="n">
        <x:f>D1012*I1012*H1012</x:f>
        <x:v>0.21684144125000002</x:v>
      </x:c>
      <x:c r="K1012" s="13" t="n">
        <x:f>E1012*I1012*H1012</x:f>
        <x:v>0.08302986125</x:v>
      </x:c>
      <x:c r="L1012" s="1" t="str">
        <x:f>TEXT(A1012,"mmm yyyy")</x:f>
        <x:v>May 2026</x:v>
      </x:c>
    </x:row>
    <x:row r="1013" ht="21" customHeight="1">
      <x:c r="A1013" s="10" t="n">
        <x:v>46169</x:v>
      </x:c>
      <x:c r="B1013" s="1" t="n">
        <x:v>14.5</x:v>
      </x:c>
      <x:c r="C1013" s="1" t="n">
        <x:v>6</x:v>
      </x:c>
      <x:c r="D1013" s="12" t="n">
        <x:v>0.42925</x:v>
      </x:c>
      <x:c r="E1013" s="12" t="n">
        <x:v>0.44125000000000003</x:v>
      </x:c>
      <x:c r="F1013" s="12" t="n">
        <x:v>0</x:v>
      </x:c>
      <x:c r="G1013" s="12" t="n">
        <x:v>0</x:v>
      </x:c>
      <x:c r="H1013" s="1" t="n">
        <x:f>'Historical prices'!E1013</x:f>
        <x:v>1.05</x:v>
      </x:c>
      <x:c r="I1013" s="6" t="n">
        <x:f>'Historical prices'!D1013</x:f>
        <x:v>0.1594</x:v>
      </x:c>
      <x:c r="J1013" s="13" t="n">
        <x:f>D1013*I1013*H1013</x:f>
        <x:v>0.0718435725</x:v>
      </x:c>
      <x:c r="K1013" s="13" t="n">
        <x:f>E1013*I1013*H1013</x:f>
        <x:v>0.07385201250000001</x:v>
      </x:c>
      <x:c r="L1013" s="1" t="str">
        <x:f>TEXT(A1013,"mmm yyyy")</x:f>
        <x:v>May 2026</x:v>
      </x:c>
    </x:row>
    <x:row r="1014" ht="21" customHeight="1">
      <x:c r="A1014" s="10" t="n">
        <x:v>46169</x:v>
      </x:c>
      <x:c r="B1014" s="1" t="n">
        <x:v>15</x:v>
      </x:c>
      <x:c r="C1014" s="1" t="n">
        <x:v>6</x:v>
      </x:c>
      <x:c r="D1014" s="12" t="n">
        <x:v>3.9995833333333337</x:v>
      </x:c>
      <x:c r="E1014" s="12" t="n">
        <x:v>0.7195833333333334</x:v>
      </x:c>
      <x:c r="F1014" s="12" t="n">
        <x:v>0</x:v>
      </x:c>
      <x:c r="G1014" s="12" t="n">
        <x:v>3.281</x:v>
      </x:c>
      <x:c r="H1014" s="1" t="n">
        <x:f>'Historical prices'!E1014</x:f>
        <x:v>1.05</x:v>
      </x:c>
      <x:c r="I1014" s="6" t="n">
        <x:f>'Historical prices'!D1014</x:f>
        <x:v>0.15810000000000002</x:v>
      </x:c>
      <x:c r="J1014" s="13" t="n">
        <x:f>D1014*I1014*H1014</x:f>
        <x:v>0.6639508312500001</x:v>
      </x:c>
      <x:c r="K1014" s="13" t="n">
        <x:f>E1014*I1014*H1014</x:f>
        <x:v>0.11945443125000002</x:v>
      </x:c>
      <x:c r="L1014" s="1" t="str">
        <x:f>TEXT(A1014,"mmm yyyy")</x:f>
        <x:v>May 2026</x:v>
      </x:c>
    </x:row>
    <x:row r="1015" ht="21" customHeight="1">
      <x:c r="A1015" s="10" t="n">
        <x:v>46169</x:v>
      </x:c>
      <x:c r="B1015" s="1" t="n">
        <x:v>15.5</x:v>
      </x:c>
      <x:c r="C1015" s="1" t="n">
        <x:v>6</x:v>
      </x:c>
      <x:c r="D1015" s="12" t="n">
        <x:v>1.0515</x:v>
      </x:c>
      <x:c r="E1015" s="12" t="n">
        <x:v>0.5265</x:v>
      </x:c>
      <x:c r="F1015" s="12" t="n">
        <x:v>0</x:v>
      </x:c>
      <x:c r="G1015" s="12" t="n">
        <x:v>0.517</x:v>
      </x:c>
      <x:c r="H1015" s="1" t="n">
        <x:f>'Historical prices'!E1015</x:f>
        <x:v>1.05</x:v>
      </x:c>
      <x:c r="I1015" s="6" t="n">
        <x:f>'Historical prices'!D1015</x:f>
        <x:v>0.1595</x:v>
      </x:c>
      <x:c r="J1015" s="13" t="n">
        <x:f>D1015*I1015*H1015</x:f>
        <x:v>0.1760999625</x:v>
      </x:c>
      <x:c r="K1015" s="13" t="n">
        <x:f>E1015*I1015*H1015</x:f>
        <x:v>0.08817558750000001</x:v>
      </x:c>
      <x:c r="L1015" s="1" t="str">
        <x:f>TEXT(A1015,"mmm yyyy")</x:f>
        <x:v>May 2026</x:v>
      </x:c>
    </x:row>
    <x:row r="1016" ht="21" customHeight="1">
      <x:c r="A1016" s="10" t="n">
        <x:v>46169</x:v>
      </x:c>
      <x:c r="B1016" s="1" t="n">
        <x:v>16</x:v>
      </x:c>
      <x:c r="C1016" s="1" t="n">
        <x:v>6</x:v>
      </x:c>
      <x:c r="D1016" s="12" t="n">
        <x:v>0.1115</x:v>
      </x:c>
      <x:c r="E1016" s="12" t="n">
        <x:v>0.5403333333333333</x:v>
      </x:c>
      <x:c r="F1016" s="12" t="n">
        <x:v>0.45375</x:v>
      </x:c>
      <x:c r="G1016" s="12" t="n">
        <x:v>0.025</x:v>
      </x:c>
      <x:c r="H1016" s="1" t="n">
        <x:f>'Historical prices'!E1016</x:f>
        <x:v>1.05</x:v>
      </x:c>
      <x:c r="I1016" s="6" t="n">
        <x:f>'Historical prices'!D1016</x:f>
        <x:v>0.2777</x:v>
      </x:c>
      <x:c r="J1016" s="13" t="n">
        <x:f>D1016*I1016*H1016</x:f>
        <x:v>0.032511727500000004</x:v>
      </x:c>
      <x:c r="K1016" s="13" t="n">
        <x:f>E1016*I1016*H1016</x:f>
        <x:v>0.157553095</x:v>
      </x:c>
      <x:c r="L1016" s="1" t="str">
        <x:f>TEXT(A1016,"mmm yyyy")</x:f>
        <x:v>May 2026</x:v>
      </x:c>
    </x:row>
    <x:row r="1017" ht="21" customHeight="1">
      <x:c r="A1017" s="10" t="n">
        <x:v>46169</x:v>
      </x:c>
      <x:c r="B1017" s="1" t="n">
        <x:v>16.5</x:v>
      </x:c>
      <x:c r="C1017" s="1" t="n">
        <x:v>6</x:v>
      </x:c>
      <x:c r="D1017" s="12" t="n">
        <x:v>0</x:v>
      </x:c>
      <x:c r="E1017" s="12" t="n">
        <x:v>0.4499166666666667</x:v>
      </x:c>
      <x:c r="F1017" s="12" t="n">
        <x:v>0.44983333333333336</x:v>
      </x:c>
      <x:c r="G1017" s="12" t="n">
        <x:v>0</x:v>
      </x:c>
      <x:c r="H1017" s="1" t="n">
        <x:f>'Historical prices'!E1017</x:f>
        <x:v>1.05</x:v>
      </x:c>
      <x:c r="I1017" s="6" t="n">
        <x:f>'Historical prices'!D1017</x:f>
        <x:v>0.2818</x:v>
      </x:c>
      <x:c r="J1017" s="13" t="n">
        <x:f>D1017*I1017*H1017</x:f>
        <x:v>0</x:v>
      </x:c>
      <x:c r="K1017" s="13" t="n">
        <x:f>E1017*I1017*H1017</x:f>
        <x:v>0.13312584250000004</x:v>
      </x:c>
      <x:c r="L1017" s="1" t="str">
        <x:f>TEXT(A1017,"mmm yyyy")</x:f>
        <x:v>May 2026</x:v>
      </x:c>
    </x:row>
    <x:row r="1018" ht="21" customHeight="1">
      <x:c r="A1018" s="10" t="n">
        <x:v>46169</x:v>
      </x:c>
      <x:c r="B1018" s="1" t="n">
        <x:v>17</x:v>
      </x:c>
      <x:c r="C1018" s="1" t="n">
        <x:v>6</x:v>
      </x:c>
      <x:c r="D1018" s="12" t="n">
        <x:v>0.016583333333333332</x:v>
      </x:c>
      <x:c r="E1018" s="12" t="n">
        <x:v>1.1615</x:v>
      </x:c>
      <x:c r="F1018" s="12" t="n">
        <x:v>1.1445</x:v>
      </x:c>
      <x:c r="G1018" s="12" t="n">
        <x:v>0</x:v>
      </x:c>
      <x:c r="H1018" s="1" t="n">
        <x:f>'Historical prices'!E1018</x:f>
        <x:v>1.05</x:v>
      </x:c>
      <x:c r="I1018" s="6" t="n">
        <x:f>'Historical prices'!D1018</x:f>
        <x:v>0.2957</x:v>
      </x:c>
      <x:c r="J1018" s="13" t="n">
        <x:f>D1018*I1018*H1018</x:f>
        <x:v>0.00514887625</x:v>
      </x:c>
      <x:c r="K1018" s="13" t="n">
        <x:f>E1018*I1018*H1018</x:f>
        <x:v>0.3606283275</x:v>
      </x:c>
      <x:c r="L1018" s="1" t="str">
        <x:f>TEXT(A1018,"mmm yyyy")</x:f>
        <x:v>May 2026</x:v>
      </x:c>
    </x:row>
    <x:row r="1019" ht="21" customHeight="1">
      <x:c r="A1019" s="10" t="n">
        <x:v>46169</x:v>
      </x:c>
      <x:c r="B1019" s="1" t="n">
        <x:v>17.5</x:v>
      </x:c>
      <x:c r="C1019" s="1" t="n">
        <x:v>6</x:v>
      </x:c>
      <x:c r="D1019" s="12" t="n">
        <x:v>0</x:v>
      </x:c>
      <x:c r="E1019" s="12" t="n">
        <x:v>0.5358333333333333</x:v>
      </x:c>
      <x:c r="F1019" s="12" t="n">
        <x:v>0.5358333333333333</x:v>
      </x:c>
      <x:c r="G1019" s="12" t="n">
        <x:v>0</x:v>
      </x:c>
      <x:c r="H1019" s="1" t="n">
        <x:f>'Historical prices'!E1019</x:f>
        <x:v>1.05</x:v>
      </x:c>
      <x:c r="I1019" s="6" t="n">
        <x:f>'Historical prices'!D1019</x:f>
        <x:v>0.292</x:v>
      </x:c>
      <x:c r="J1019" s="13" t="n">
        <x:f>D1019*I1019*H1019</x:f>
        <x:v>0</x:v>
      </x:c>
      <x:c r="K1019" s="13" t="n">
        <x:f>E1019*I1019*H1019</x:f>
        <x:v>0.1642865</x:v>
      </x:c>
      <x:c r="L1019" s="1" t="str">
        <x:f>TEXT(A1019,"mmm yyyy")</x:f>
        <x:v>May 2026</x:v>
      </x:c>
    </x:row>
    <x:row r="1020" ht="21" customHeight="1">
      <x:c r="A1020" s="10" t="n">
        <x:v>46169</x:v>
      </x:c>
      <x:c r="B1020" s="1" t="n">
        <x:v>18</x:v>
      </x:c>
      <x:c r="C1020" s="1" t="n">
        <x:v>6</x:v>
      </x:c>
      <x:c r="D1020" s="12" t="n">
        <x:v>0</x:v>
      </x:c>
      <x:c r="E1020" s="12" t="n">
        <x:v>0.5619166666666666</x:v>
      </x:c>
      <x:c r="F1020" s="12" t="n">
        <x:v>0.5619166666666666</x:v>
      </x:c>
      <x:c r="G1020" s="12" t="n">
        <x:v>0</x:v>
      </x:c>
      <x:c r="H1020" s="1" t="n">
        <x:f>'Historical prices'!E1020</x:f>
        <x:v>1.05</x:v>
      </x:c>
      <x:c r="I1020" s="6" t="n">
        <x:f>'Historical prices'!D1020</x:f>
        <x:v>0.3281</x:v>
      </x:c>
      <x:c r="J1020" s="13" t="n">
        <x:f>D1020*I1020*H1020</x:f>
        <x:v>0</x:v>
      </x:c>
      <x:c r="K1020" s="13" t="n">
        <x:f>E1020*I1020*H1020</x:f>
        <x:v>0.19358310125</x:v>
      </x:c>
      <x:c r="L1020" s="1" t="str">
        <x:f>TEXT(A1020,"mmm yyyy")</x:f>
        <x:v>May 2026</x:v>
      </x:c>
    </x:row>
    <x:row r="1021" ht="21" customHeight="1">
      <x:c r="A1021" s="10" t="n">
        <x:v>46169</x:v>
      </x:c>
      <x:c r="B1021" s="1" t="n">
        <x:v>18.5</x:v>
      </x:c>
      <x:c r="C1021" s="1" t="n">
        <x:v>6</x:v>
      </x:c>
      <x:c r="D1021" s="12" t="n">
        <x:v>0</x:v>
      </x:c>
      <x:c r="E1021" s="12" t="n">
        <x:v>0.52975</x:v>
      </x:c>
      <x:c r="F1021" s="12" t="n">
        <x:v>0.52975</x:v>
      </x:c>
      <x:c r="G1021" s="12" t="n">
        <x:v>0</x:v>
      </x:c>
      <x:c r="H1021" s="1" t="n">
        <x:f>'Historical prices'!E1021</x:f>
        <x:v>1.05</x:v>
      </x:c>
      <x:c r="I1021" s="6" t="n">
        <x:f>'Historical prices'!D1021</x:f>
        <x:v>0.3321</x:v>
      </x:c>
      <x:c r="J1021" s="13" t="n">
        <x:f>D1021*I1021*H1021</x:f>
        <x:v>0</x:v>
      </x:c>
      <x:c r="K1021" s="13" t="n">
        <x:f>E1021*I1021*H1021</x:f>
        <x:v>0.18472647375000004</x:v>
      </x:c>
      <x:c r="L1021" s="1" t="str">
        <x:f>TEXT(A1021,"mmm yyyy")</x:f>
        <x:v>May 2026</x:v>
      </x:c>
    </x:row>
    <x:row r="1022" ht="21" customHeight="1">
      <x:c r="A1022" s="10" t="n">
        <x:v>46169</x:v>
      </x:c>
      <x:c r="B1022" s="1" t="n">
        <x:v>19</x:v>
      </x:c>
      <x:c r="C1022" s="1" t="n">
        <x:v>6</x:v>
      </x:c>
      <x:c r="D1022" s="12" t="n">
        <x:v>0</x:v>
      </x:c>
      <x:c r="E1022" s="12" t="n">
        <x:v>0.5599166666666667</x:v>
      </x:c>
      <x:c r="F1022" s="12" t="n">
        <x:v>0.55975</x:v>
      </x:c>
      <x:c r="G1022" s="12" t="n">
        <x:v>0</x:v>
      </x:c>
      <x:c r="H1022" s="1" t="n">
        <x:f>'Historical prices'!E1022</x:f>
        <x:v>1.05</x:v>
      </x:c>
      <x:c r="I1022" s="6" t="n">
        <x:f>'Historical prices'!D1022</x:f>
        <x:v>0.2324</x:v>
      </x:c>
      <x:c r="J1022" s="13" t="n">
        <x:f>D1022*I1022*H1022</x:f>
        <x:v>0</x:v>
      </x:c>
      <x:c r="K1022" s="13" t="n">
        <x:f>E1022*I1022*H1022</x:f>
        <x:v>0.13663086500000002</x:v>
      </x:c>
      <x:c r="L1022" s="1" t="str">
        <x:f>TEXT(A1022,"mmm yyyy")</x:f>
        <x:v>May 2026</x:v>
      </x:c>
    </x:row>
    <x:row r="1023" ht="21" customHeight="1">
      <x:c r="A1023" s="10" t="n">
        <x:v>46169</x:v>
      </x:c>
      <x:c r="B1023" s="1" t="n">
        <x:v>19.5</x:v>
      </x:c>
      <x:c r="C1023" s="1" t="n">
        <x:v>6</x:v>
      </x:c>
      <x:c r="D1023" s="12" t="n">
        <x:v>0</x:v>
      </x:c>
      <x:c r="E1023" s="12" t="n">
        <x:v>0.91975</x:v>
      </x:c>
      <x:c r="F1023" s="12" t="n">
        <x:v>0.9156666666666666</x:v>
      </x:c>
      <x:c r="G1023" s="12" t="n">
        <x:v>0</x:v>
      </x:c>
      <x:c r="H1023" s="1" t="n">
        <x:f>'Historical prices'!E1023</x:f>
        <x:v>1.05</x:v>
      </x:c>
      <x:c r="I1023" s="6" t="n">
        <x:f>'Historical prices'!D1023</x:f>
        <x:v>0.22870000000000001</x:v>
      </x:c>
      <x:c r="J1023" s="13" t="n">
        <x:f>D1023*I1023*H1023</x:f>
        <x:v>0</x:v>
      </x:c>
      <x:c r="K1023" s="13" t="n">
        <x:f>E1023*I1023*H1023</x:f>
        <x:v>0.22086416625000002</x:v>
      </x:c>
      <x:c r="L1023" s="1" t="str">
        <x:f>TEXT(A1023,"mmm yyyy")</x:f>
        <x:v>May 2026</x:v>
      </x:c>
    </x:row>
    <x:row r="1024" ht="21" customHeight="1">
      <x:c r="A1024" s="10" t="n">
        <x:v>46169</x:v>
      </x:c>
      <x:c r="B1024" s="1" t="n">
        <x:v>20</x:v>
      </x:c>
      <x:c r="C1024" s="1" t="n">
        <x:v>6</x:v>
      </x:c>
      <x:c r="D1024" s="12" t="n">
        <x:v>0</x:v>
      </x:c>
      <x:c r="E1024" s="12" t="n">
        <x:v>0.5740833333333333</x:v>
      </x:c>
      <x:c r="F1024" s="12" t="n">
        <x:v>0.574</x:v>
      </x:c>
      <x:c r="G1024" s="12" t="n">
        <x:v>0</x:v>
      </x:c>
      <x:c r="H1024" s="1" t="n">
        <x:f>'Historical prices'!E1024</x:f>
        <x:v>1.05</x:v>
      </x:c>
      <x:c r="I1024" s="6" t="n">
        <x:f>'Historical prices'!D1024</x:f>
        <x:v>0.23199999999999998</x:v>
      </x:c>
      <x:c r="J1024" s="13" t="n">
        <x:f>D1024*I1024*H1024</x:f>
        <x:v>0</x:v>
      </x:c>
      <x:c r="K1024" s="13" t="n">
        <x:f>E1024*I1024*H1024</x:f>
        <x:v>0.1398467</x:v>
      </x:c>
      <x:c r="L1024" s="1" t="str">
        <x:f>TEXT(A1024,"mmm yyyy")</x:f>
        <x:v>May 2026</x:v>
      </x:c>
    </x:row>
    <x:row r="1025" ht="21" customHeight="1">
      <x:c r="A1025" s="10" t="n">
        <x:v>46169</x:v>
      </x:c>
      <x:c r="B1025" s="1" t="n">
        <x:v>20.5</x:v>
      </x:c>
      <x:c r="C1025" s="1" t="n">
        <x:v>6</x:v>
      </x:c>
      <x:c r="D1025" s="12" t="n">
        <x:v>0</x:v>
      </x:c>
      <x:c r="E1025" s="12" t="n">
        <x:v>0.6268333333333334</x:v>
      </x:c>
      <x:c r="F1025" s="12" t="n">
        <x:v>0.62675</x:v>
      </x:c>
      <x:c r="G1025" s="12" t="n">
        <x:v>0</x:v>
      </x:c>
      <x:c r="H1025" s="1" t="n">
        <x:f>'Historical prices'!E1025</x:f>
        <x:v>1.05</x:v>
      </x:c>
      <x:c r="I1025" s="6" t="n">
        <x:f>'Historical prices'!D1025</x:f>
        <x:v>0.2293</x:v>
      </x:c>
      <x:c r="J1025" s="13" t="n">
        <x:f>D1025*I1025*H1025</x:f>
        <x:v>0</x:v>
      </x:c>
      <x:c r="K1025" s="13" t="n">
        <x:f>E1025*I1025*H1025</x:f>
        <x:v>0.1509195275</x:v>
      </x:c>
      <x:c r="L1025" s="1" t="str">
        <x:f>TEXT(A1025,"mmm yyyy")</x:f>
        <x:v>May 2026</x:v>
      </x:c>
    </x:row>
    <x:row r="1026" ht="21" customHeight="1">
      <x:c r="A1026" s="10" t="n">
        <x:v>46169</x:v>
      </x:c>
      <x:c r="B1026" s="1" t="n">
        <x:v>21</x:v>
      </x:c>
      <x:c r="C1026" s="1" t="n">
        <x:v>6</x:v>
      </x:c>
      <x:c r="D1026" s="12" t="n">
        <x:v>0</x:v>
      </x:c>
      <x:c r="E1026" s="12" t="n">
        <x:v>0.5708333333333333</x:v>
      </x:c>
      <x:c r="F1026" s="12" t="n">
        <x:v>0.57075</x:v>
      </x:c>
      <x:c r="G1026" s="12" t="n">
        <x:v>0</x:v>
      </x:c>
      <x:c r="H1026" s="1" t="n">
        <x:f>'Historical prices'!E1026</x:f>
        <x:v>1.05</x:v>
      </x:c>
      <x:c r="I1026" s="6" t="n">
        <x:f>'Historical prices'!D1026</x:f>
        <x:v>0.2361</x:v>
      </x:c>
      <x:c r="J1026" s="13" t="n">
        <x:f>D1026*I1026*H1026</x:f>
        <x:v>0</x:v>
      </x:c>
      <x:c r="K1026" s="13" t="n">
        <x:f>E1026*I1026*H1026</x:f>
        <x:v>0.1415124375</x:v>
      </x:c>
      <x:c r="L1026" s="1" t="str">
        <x:f>TEXT(A1026,"mmm yyyy")</x:f>
        <x:v>May 2026</x:v>
      </x:c>
    </x:row>
    <x:row r="1027" ht="21" customHeight="1">
      <x:c r="A1027" s="10" t="n">
        <x:v>46169</x:v>
      </x:c>
      <x:c r="B1027" s="1" t="n">
        <x:v>21.5</x:v>
      </x:c>
      <x:c r="C1027" s="1" t="n">
        <x:v>6</x:v>
      </x:c>
      <x:c r="D1027" s="12" t="n">
        <x:v>0</x:v>
      </x:c>
      <x:c r="E1027" s="12" t="n">
        <x:v>0.9678333333333333</x:v>
      </x:c>
      <x:c r="F1027" s="12" t="n">
        <x:v>0.9675833333333332</x:v>
      </x:c>
      <x:c r="G1027" s="12" t="n">
        <x:v>0</x:v>
      </x:c>
      <x:c r="H1027" s="1" t="n">
        <x:f>'Historical prices'!E1027</x:f>
        <x:v>1.05</x:v>
      </x:c>
      <x:c r="I1027" s="6" t="n">
        <x:f>'Historical prices'!D1027</x:f>
        <x:v>0.22899999999999998</x:v>
      </x:c>
      <x:c r="J1027" s="13" t="n">
        <x:f>D1027*I1027*H1027</x:f>
        <x:v>0</x:v>
      </x:c>
      <x:c r="K1027" s="13" t="n">
        <x:f>E1027*I1027*H1027</x:f>
        <x:v>0.23271552499999998</x:v>
      </x:c>
      <x:c r="L1027" s="1" t="str">
        <x:f>TEXT(A1027,"mmm yyyy")</x:f>
        <x:v>May 2026</x:v>
      </x:c>
    </x:row>
    <x:row r="1028" ht="21" customHeight="1">
      <x:c r="A1028" s="10" t="n">
        <x:v>46169</x:v>
      </x:c>
      <x:c r="B1028" s="1" t="n">
        <x:v>22</x:v>
      </x:c>
      <x:c r="C1028" s="1" t="n">
        <x:v>6</x:v>
      </x:c>
      <x:c r="D1028" s="12" t="n">
        <x:v>0</x:v>
      </x:c>
      <x:c r="E1028" s="12" t="n">
        <x:v>0.3158333333333333</x:v>
      </x:c>
      <x:c r="F1028" s="12" t="n">
        <x:v>0.3158333333333333</x:v>
      </x:c>
      <x:c r="G1028" s="12" t="n">
        <x:v>0</x:v>
      </x:c>
      <x:c r="H1028" s="1" t="n">
        <x:f>'Historical prices'!E1028</x:f>
        <x:v>1.05</x:v>
      </x:c>
      <x:c r="I1028" s="6" t="n">
        <x:f>'Historical prices'!D1028</x:f>
        <x:v>0.20629999999999998</x:v>
      </x:c>
      <x:c r="J1028" s="13" t="n">
        <x:f>D1028*I1028*H1028</x:f>
        <x:v>0</x:v>
      </x:c>
      <x:c r="K1028" s="13" t="n">
        <x:f>E1028*I1028*H1028</x:f>
        <x:v>0.0684142375</x:v>
      </x:c>
      <x:c r="L1028" s="1" t="str">
        <x:f>TEXT(A1028,"mmm yyyy")</x:f>
        <x:v>May 2026</x:v>
      </x:c>
    </x:row>
    <x:row r="1029" ht="21" customHeight="1">
      <x:c r="A1029" s="10" t="n">
        <x:v>46169</x:v>
      </x:c>
      <x:c r="B1029" s="1" t="n">
        <x:v>22.5</x:v>
      </x:c>
      <x:c r="C1029" s="1" t="n">
        <x:v>6</x:v>
      </x:c>
      <x:c r="D1029" s="12" t="n">
        <x:v>0.15533333333333335</x:v>
      </x:c>
      <x:c r="E1029" s="12" t="n">
        <x:v>0.21516666666666667</x:v>
      </x:c>
      <x:c r="F1029" s="12" t="n">
        <x:v>0.049833333333333334</x:v>
      </x:c>
      <x:c r="G1029" s="12" t="n">
        <x:v>0</x:v>
      </x:c>
      <x:c r="H1029" s="1" t="n">
        <x:f>'Historical prices'!E1029</x:f>
        <x:v>1.05</x:v>
      </x:c>
      <x:c r="I1029" s="6" t="n">
        <x:f>'Historical prices'!D1029</x:f>
        <x:v>0.193</x:v>
      </x:c>
      <x:c r="J1029" s="13" t="n">
        <x:f>D1029*I1029*H1029</x:f>
        <x:v>0.03147830000000001</x:v>
      </x:c>
      <x:c r="K1029" s="13" t="n">
        <x:f>E1029*I1029*H1029</x:f>
        <x:v>0.043603525000000004</x:v>
      </x:c>
      <x:c r="L1029" s="1" t="str">
        <x:f>TEXT(A1029,"mmm yyyy")</x:f>
        <x:v>May 2026</x:v>
      </x:c>
    </x:row>
    <x:row r="1030" ht="21" customHeight="1">
      <x:c r="A1030" s="10" t="n">
        <x:v>46169</x:v>
      </x:c>
      <x:c r="B1030" s="1" t="n">
        <x:v>23</x:v>
      </x:c>
      <x:c r="C1030" s="1" t="n">
        <x:v>6</x:v>
      </x:c>
      <x:c r="D1030" s="12" t="n">
        <x:v>0.22266666666666665</x:v>
      </x:c>
      <x:c r="E1030" s="12" t="n">
        <x:v>0.23366666666666666</x:v>
      </x:c>
      <x:c r="F1030" s="12" t="n">
        <x:v>0</x:v>
      </x:c>
      <x:c r="G1030" s="12" t="n">
        <x:v>0</x:v>
      </x:c>
      <x:c r="H1030" s="1" t="n">
        <x:f>'Historical prices'!E1030</x:f>
        <x:v>1.05</x:v>
      </x:c>
      <x:c r="I1030" s="6" t="n">
        <x:f>'Historical prices'!D1030</x:f>
        <x:v>0.1892</x:v>
      </x:c>
      <x:c r="J1030" s="13" t="n">
        <x:f>D1030*I1030*H1030</x:f>
        <x:v>0.04423496</x:v>
      </x:c>
      <x:c r="K1030" s="13" t="n">
        <x:f>E1030*I1030*H1030</x:f>
        <x:v>0.046420220000000005</x:v>
      </x:c>
      <x:c r="L1030" s="1" t="str">
        <x:f>TEXT(A1030,"mmm yyyy")</x:f>
        <x:v>May 2026</x:v>
      </x:c>
    </x:row>
    <x:row r="1031" ht="21" customHeight="1">
      <x:c r="A1031" s="10" t="n">
        <x:v>46169</x:v>
      </x:c>
      <x:c r="B1031" s="1" t="n">
        <x:v>23.5</x:v>
      </x:c>
      <x:c r="C1031" s="1" t="n">
        <x:v>6</x:v>
      </x:c>
      <x:c r="D1031" s="12" t="n">
        <x:v>0.27525</x:v>
      </x:c>
      <x:c r="E1031" s="12" t="n">
        <x:v>0.28625</x:v>
      </x:c>
      <x:c r="F1031" s="12" t="n">
        <x:v>0</x:v>
      </x:c>
      <x:c r="G1031" s="12" t="n">
        <x:v>0</x:v>
      </x:c>
      <x:c r="H1031" s="1" t="n">
        <x:f>'Historical prices'!E1031</x:f>
        <x:v>1.05</x:v>
      </x:c>
      <x:c r="I1031" s="6" t="n">
        <x:f>'Historical prices'!D1031</x:f>
        <x:v>0.20149999999999998</x:v>
      </x:c>
      <x:c r="J1031" s="13" t="n">
        <x:f>D1031*I1031*H1031</x:f>
        <x:v>0.05823601875</x:v>
      </x:c>
      <x:c r="K1031" s="13" t="n">
        <x:f>E1031*I1031*H1031</x:f>
        <x:v>0.06056334375</x:v>
      </x:c>
      <x:c r="L1031" s="1" t="str">
        <x:f>TEXT(A1031,"mmm yyyy")</x:f>
        <x:v>May 2026</x:v>
      </x:c>
    </x:row>
    <x:row r="1032" ht="21" customHeight="1">
      <x:c r="A1032" s="10" t="n">
        <x:v>46170</x:v>
      </x:c>
      <x:c r="B1032" s="1" t="n">
        <x:v>0</x:v>
      </x:c>
      <x:c r="C1032" s="1" t="n">
        <x:v>6</x:v>
      </x:c>
      <x:c r="D1032" s="12" t="n">
        <x:v>0.21033333333333334</x:v>
      </x:c>
      <x:c r="E1032" s="12" t="n">
        <x:v>0.22033333333333335</x:v>
      </x:c>
      <x:c r="F1032" s="12" t="n">
        <x:v>0</x:v>
      </x:c>
      <x:c r="G1032" s="12" t="n">
        <x:v>0</x:v>
      </x:c>
      <x:c r="H1032" s="1" t="n">
        <x:f>'Historical prices'!E1032</x:f>
        <x:v>1.05</x:v>
      </x:c>
      <x:c r="I1032" s="6" t="n">
        <x:f>'Historical prices'!D1032</x:f>
        <x:v>0.1934</x:v>
      </x:c>
      <x:c r="J1032" s="13" t="n">
        <x:f>D1032*I1032*H1032</x:f>
        <x:v>0.04271239</x:v>
      </x:c>
      <x:c r="K1032" s="13" t="n">
        <x:f>E1032*I1032*H1032</x:f>
        <x:v>0.044743090000000006</x:v>
      </x:c>
      <x:c r="L1032" s="1" t="str">
        <x:f>TEXT(A1032,"mmm yyyy")</x:f>
        <x:v>May 2026</x:v>
      </x:c>
    </x:row>
    <x:row r="1033" ht="21" customHeight="1">
      <x:c r="A1033" s="10" t="n">
        <x:v>46170</x:v>
      </x:c>
      <x:c r="B1033" s="1" t="n">
        <x:v>0.5</x:v>
      </x:c>
      <x:c r="C1033" s="1" t="n">
        <x:v>6</x:v>
      </x:c>
      <x:c r="D1033" s="12" t="n">
        <x:v>0.22691666666666668</x:v>
      </x:c>
      <x:c r="E1033" s="12" t="n">
        <x:v>0.2369166666666667</x:v>
      </x:c>
      <x:c r="F1033" s="12" t="n">
        <x:v>0</x:v>
      </x:c>
      <x:c r="G1033" s="12" t="n">
        <x:v>0</x:v>
      </x:c>
      <x:c r="H1033" s="1" t="n">
        <x:f>'Historical prices'!E1033</x:f>
        <x:v>1.05</x:v>
      </x:c>
      <x:c r="I1033" s="6" t="n">
        <x:f>'Historical prices'!D1033</x:f>
        <x:v>0.1809</x:v>
      </x:c>
      <x:c r="J1033" s="13" t="n">
        <x:f>D1033*I1033*H1033</x:f>
        <x:v>0.04310168625000001</x:v>
      </x:c>
      <x:c r="K1033" s="13" t="n">
        <x:f>E1033*I1033*H1033</x:f>
        <x:v>0.04500113625000001</x:v>
      </x:c>
      <x:c r="L1033" s="1" t="str">
        <x:f>TEXT(A1033,"mmm yyyy")</x:f>
        <x:v>May 2026</x:v>
      </x:c>
    </x:row>
    <x:row r="1034" ht="21" customHeight="1">
      <x:c r="A1034" s="10" t="n">
        <x:v>46170</x:v>
      </x:c>
      <x:c r="B1034" s="1" t="n">
        <x:v>1</x:v>
      </x:c>
      <x:c r="C1034" s="1" t="n">
        <x:v>6</x:v>
      </x:c>
      <x:c r="D1034" s="12" t="n">
        <x:v>0.17941666666666667</x:v>
      </x:c>
      <x:c r="E1034" s="12" t="n">
        <x:v>0.19041666666666668</x:v>
      </x:c>
      <x:c r="F1034" s="12" t="n">
        <x:v>0</x:v>
      </x:c>
      <x:c r="G1034" s="12" t="n">
        <x:v>0</x:v>
      </x:c>
      <x:c r="H1034" s="1" t="n">
        <x:f>'Historical prices'!E1034</x:f>
        <x:v>1.05</x:v>
      </x:c>
      <x:c r="I1034" s="6" t="n">
        <x:f>'Historical prices'!D1034</x:f>
        <x:v>0.17679999999999998</x:v>
      </x:c>
      <x:c r="J1034" s="13" t="n">
        <x:f>D1034*I1034*H1034</x:f>
        <x:v>0.03330691</x:v>
      </x:c>
      <x:c r="K1034" s="13" t="n">
        <x:f>E1034*I1034*H1034</x:f>
        <x:v>0.03534895</x:v>
      </x:c>
      <x:c r="L1034" s="1" t="str">
        <x:f>TEXT(A1034,"mmm yyyy")</x:f>
        <x:v>May 2026</x:v>
      </x:c>
    </x:row>
    <x:row r="1035" ht="21" customHeight="1">
      <x:c r="A1035" s="10" t="n">
        <x:v>46170</x:v>
      </x:c>
      <x:c r="B1035" s="1" t="n">
        <x:v>1.5</x:v>
      </x:c>
      <x:c r="C1035" s="1" t="n">
        <x:v>6</x:v>
      </x:c>
      <x:c r="D1035" s="12" t="n">
        <x:v>0.23433333333333337</x:v>
      </x:c>
      <x:c r="E1035" s="12" t="n">
        <x:v>0.24533333333333335</x:v>
      </x:c>
      <x:c r="F1035" s="12" t="n">
        <x:v>0</x:v>
      </x:c>
      <x:c r="G1035" s="12" t="n">
        <x:v>0</x:v>
      </x:c>
      <x:c r="H1035" s="1" t="n">
        <x:f>'Historical prices'!E1035</x:f>
        <x:v>1.05</x:v>
      </x:c>
      <x:c r="I1035" s="6" t="n">
        <x:f>'Historical prices'!D1035</x:f>
        <x:v>0.1741</x:v>
      </x:c>
      <x:c r="J1035" s="13" t="n">
        <x:f>D1035*I1035*H1035</x:f>
        <x:v>0.04283730500000001</x:v>
      </x:c>
      <x:c r="K1035" s="13" t="n">
        <x:f>E1035*I1035*H1035</x:f>
        <x:v>0.044848160000000005</x:v>
      </x:c>
      <x:c r="L1035" s="1" t="str">
        <x:f>TEXT(A1035,"mmm yyyy")</x:f>
        <x:v>May 2026</x:v>
      </x:c>
    </x:row>
    <x:row r="1036" ht="21" customHeight="1">
      <x:c r="A1036" s="10" t="n">
        <x:v>46170</x:v>
      </x:c>
      <x:c r="B1036" s="1" t="n">
        <x:v>2</x:v>
      </x:c>
      <x:c r="C1036" s="1" t="n">
        <x:v>6</x:v>
      </x:c>
      <x:c r="D1036" s="12" t="n">
        <x:v>0.2094166666666667</x:v>
      </x:c>
      <x:c r="E1036" s="12" t="n">
        <x:v>0.2214166666666667</x:v>
      </x:c>
      <x:c r="F1036" s="12" t="n">
        <x:v>0</x:v>
      </x:c>
      <x:c r="G1036" s="12" t="n">
        <x:v>0</x:v>
      </x:c>
      <x:c r="H1036" s="1" t="n">
        <x:f>'Historical prices'!E1036</x:f>
        <x:v>1.05</x:v>
      </x:c>
      <x:c r="I1036" s="6" t="n">
        <x:f>'Historical prices'!D1036</x:f>
        <x:v>0.1809</x:v>
      </x:c>
      <x:c r="J1036" s="13" t="n">
        <x:f>D1036*I1036*H1036</x:f>
        <x:v>0.039777648750000005</x:v>
      </x:c>
      <x:c r="K1036" s="13" t="n">
        <x:f>E1036*I1036*H1036</x:f>
        <x:v>0.04205698875000001</x:v>
      </x:c>
      <x:c r="L1036" s="1" t="str">
        <x:f>TEXT(A1036,"mmm yyyy")</x:f>
        <x:v>May 2026</x:v>
      </x:c>
    </x:row>
    <x:row r="1037" ht="21" customHeight="1">
      <x:c r="A1037" s="10" t="n">
        <x:v>46170</x:v>
      </x:c>
      <x:c r="B1037" s="1" t="n">
        <x:v>2.5</x:v>
      </x:c>
      <x:c r="C1037" s="1" t="n">
        <x:v>6</x:v>
      </x:c>
      <x:c r="D1037" s="12" t="n">
        <x:v>0.16558333333333333</x:v>
      </x:c>
      <x:c r="E1037" s="12" t="n">
        <x:v>0.17558333333333334</x:v>
      </x:c>
      <x:c r="F1037" s="12" t="n">
        <x:v>0</x:v>
      </x:c>
      <x:c r="G1037" s="12" t="n">
        <x:v>0</x:v>
      </x:c>
      <x:c r="H1037" s="1" t="n">
        <x:f>'Historical prices'!E1037</x:f>
        <x:v>1.05</x:v>
      </x:c>
      <x:c r="I1037" s="6" t="n">
        <x:f>'Historical prices'!D1037</x:f>
        <x:v>0.17679999999999998</x:v>
      </x:c>
      <x:c r="J1037" s="13" t="n">
        <x:f>D1037*I1037*H1037</x:f>
        <x:v>0.030738889999999998</x:v>
      </x:c>
      <x:c r="K1037" s="13" t="n">
        <x:f>E1037*I1037*H1037</x:f>
        <x:v>0.03259529</x:v>
      </x:c>
      <x:c r="L1037" s="1" t="str">
        <x:f>TEXT(A1037,"mmm yyyy")</x:f>
        <x:v>May 2026</x:v>
      </x:c>
    </x:row>
    <x:row r="1038" ht="21" customHeight="1">
      <x:c r="A1038" s="10" t="n">
        <x:v>46170</x:v>
      </x:c>
      <x:c r="B1038" s="1" t="n">
        <x:v>3</x:v>
      </x:c>
      <x:c r="C1038" s="1" t="n">
        <x:v>6</x:v>
      </x:c>
      <x:c r="D1038" s="12" t="n">
        <x:v>0.27316666666666667</x:v>
      </x:c>
      <x:c r="E1038" s="12" t="n">
        <x:v>0.24516666666666664</x:v>
      </x:c>
      <x:c r="F1038" s="12" t="n">
        <x:v>0</x:v>
      </x:c>
      <x:c r="G1038" s="12" t="n">
        <x:v>0.025</x:v>
      </x:c>
      <x:c r="H1038" s="1" t="n">
        <x:f>'Historical prices'!E1038</x:f>
        <x:v>1.05</x:v>
      </x:c>
      <x:c r="I1038" s="6" t="n">
        <x:f>'Historical prices'!D1038</x:f>
        <x:v>0.1641</x:v>
      </x:c>
      <x:c r="J1038" s="13" t="n">
        <x:f>D1038*I1038*H1038</x:f>
        <x:v>0.04706798250000001</x:v>
      </x:c>
      <x:c r="K1038" s="13" t="n">
        <x:f>E1038*I1038*H1038</x:f>
        <x:v>0.04224344249999999</x:v>
      </x:c>
      <x:c r="L1038" s="1" t="str">
        <x:f>TEXT(A1038,"mmm yyyy")</x:f>
        <x:v>May 2026</x:v>
      </x:c>
    </x:row>
    <x:row r="1039" ht="21" customHeight="1">
      <x:c r="A1039" s="10" t="n">
        <x:v>46170</x:v>
      </x:c>
      <x:c r="B1039" s="1" t="n">
        <x:v>3.5</x:v>
      </x:c>
      <x:c r="C1039" s="1" t="n">
        <x:v>6</x:v>
      </x:c>
      <x:c r="D1039" s="12" t="n">
        <x:v>1.1069166666666668</x:v>
      </x:c>
      <x:c r="E1039" s="12" t="n">
        <x:v>0.28091666666666665</x:v>
      </x:c>
      <x:c r="F1039" s="12" t="n">
        <x:v>0</x:v>
      </x:c>
      <x:c r="G1039" s="12" t="n">
        <x:v>0.827</x:v>
      </x:c>
      <x:c r="H1039" s="1" t="n">
        <x:f>'Historical prices'!E1039</x:f>
        <x:v>1.05</x:v>
      </x:c>
      <x:c r="I1039" s="6" t="n">
        <x:f>'Historical prices'!D1039</x:f>
        <x:v>0.1609</x:v>
      </x:c>
      <x:c r="J1039" s="13" t="n">
        <x:f>D1039*I1039*H1039</x:f>
        <x:v>0.18700803625</x:v>
      </x:c>
      <x:c r="K1039" s="13" t="n">
        <x:f>E1039*I1039*H1039</x:f>
        <x:v>0.04745946625</x:v>
      </x:c>
      <x:c r="L1039" s="1" t="str">
        <x:f>TEXT(A1039,"mmm yyyy")</x:f>
        <x:v>May 2026</x:v>
      </x:c>
    </x:row>
    <x:row r="1040" ht="21" customHeight="1">
      <x:c r="A1040" s="10" t="n">
        <x:v>46170</x:v>
      </x:c>
      <x:c r="B1040" s="1" t="n">
        <x:v>4</x:v>
      </x:c>
      <x:c r="C1040" s="1" t="n">
        <x:v>6</x:v>
      </x:c>
      <x:c r="D1040" s="12" t="n">
        <x:v>0.6346666666666668</x:v>
      </x:c>
      <x:c r="E1040" s="12" t="n">
        <x:v>0.22666666666666668</x:v>
      </x:c>
      <x:c r="F1040" s="12" t="n">
        <x:v>0</x:v>
      </x:c>
      <x:c r="G1040" s="12" t="n">
        <x:v>0.412</x:v>
      </x:c>
      <x:c r="H1040" s="1" t="n">
        <x:f>'Historical prices'!E1040</x:f>
        <x:v>1.05</x:v>
      </x:c>
      <x:c r="I1040" s="6" t="n">
        <x:f>'Historical prices'!D1040</x:f>
        <x:v>0.17379999999999998</x:v>
      </x:c>
      <x:c r="J1040" s="13" t="n">
        <x:f>D1040*I1040*H1040</x:f>
        <x:v>0.11582032000000003</x:v>
      </x:c>
      <x:c r="K1040" s="13" t="n">
        <x:f>E1040*I1040*H1040</x:f>
        <x:v>0.0413644</x:v>
      </x:c>
      <x:c r="L1040" s="1" t="str">
        <x:f>TEXT(A1040,"mmm yyyy")</x:f>
        <x:v>May 2026</x:v>
      </x:c>
    </x:row>
    <x:row r="1041" ht="21" customHeight="1">
      <x:c r="A1041" s="10" t="n">
        <x:v>46170</x:v>
      </x:c>
      <x:c r="B1041" s="1" t="n">
        <x:v>4.5</x:v>
      </x:c>
      <x:c r="C1041" s="1" t="n">
        <x:v>6</x:v>
      </x:c>
      <x:c r="D1041" s="12" t="n">
        <x:v>0.26591666666666663</x:v>
      </x:c>
      <x:c r="E1041" s="12" t="n">
        <x:v>0.27791666666666665</x:v>
      </x:c>
      <x:c r="F1041" s="12" t="n">
        <x:v>0</x:v>
      </x:c>
      <x:c r="G1041" s="12" t="n">
        <x:v>0</x:v>
      </x:c>
      <x:c r="H1041" s="1" t="n">
        <x:f>'Historical prices'!E1041</x:f>
        <x:v>1.05</x:v>
      </x:c>
      <x:c r="I1041" s="6" t="n">
        <x:f>'Historical prices'!D1041</x:f>
        <x:v>0.16949999999999998</x:v>
      </x:c>
      <x:c r="J1041" s="13" t="n">
        <x:f>D1041*I1041*H1041</x:f>
        <x:v>0.04732651874999999</x:v>
      </x:c>
      <x:c r="K1041" s="13" t="n">
        <x:f>E1041*I1041*H1041</x:f>
        <x:v>0.049462218749999995</x:v>
      </x:c>
      <x:c r="L1041" s="1" t="str">
        <x:f>TEXT(A1041,"mmm yyyy")</x:f>
        <x:v>May 2026</x:v>
      </x:c>
    </x:row>
    <x:row r="1042" ht="21" customHeight="1">
      <x:c r="A1042" s="10" t="n">
        <x:v>46170</x:v>
      </x:c>
      <x:c r="B1042" s="1" t="n">
        <x:v>5</x:v>
      </x:c>
      <x:c r="C1042" s="1" t="n">
        <x:v>6</x:v>
      </x:c>
      <x:c r="D1042" s="12" t="n">
        <x:v>0.3333333333333333</x:v>
      </x:c>
      <x:c r="E1042" s="12" t="n">
        <x:v>0.3433333333333333</x:v>
      </x:c>
      <x:c r="F1042" s="12" t="n">
        <x:v>0</x:v>
      </x:c>
      <x:c r="G1042" s="12" t="n">
        <x:v>0</x:v>
      </x:c>
      <x:c r="H1042" s="1" t="n">
        <x:f>'Historical prices'!E1042</x:f>
        <x:v>1.05</x:v>
      </x:c>
      <x:c r="I1042" s="6" t="n">
        <x:f>'Historical prices'!D1042</x:f>
        <x:v>0.1744</x:v>
      </x:c>
      <x:c r="J1042" s="13" t="n">
        <x:f>D1042*I1042*H1042</x:f>
        <x:v>0.06104</x:v>
      </x:c>
      <x:c r="K1042" s="13" t="n">
        <x:f>E1042*I1042*H1042</x:f>
        <x:v>0.0628712</x:v>
      </x:c>
      <x:c r="L1042" s="1" t="str">
        <x:f>TEXT(A1042,"mmm yyyy")</x:f>
        <x:v>May 2026</x:v>
      </x:c>
    </x:row>
    <x:row r="1043" ht="21" customHeight="1">
      <x:c r="A1043" s="10" t="n">
        <x:v>46170</x:v>
      </x:c>
      <x:c r="B1043" s="1" t="n">
        <x:v>5.5</x:v>
      </x:c>
      <x:c r="C1043" s="1" t="n">
        <x:v>6</x:v>
      </x:c>
      <x:c r="D1043" s="12" t="n">
        <x:v>0.21408333333333335</x:v>
      </x:c>
      <x:c r="E1043" s="12" t="n">
        <x:v>0.22408333333333333</x:v>
      </x:c>
      <x:c r="F1043" s="12" t="n">
        <x:v>0</x:v>
      </x:c>
      <x:c r="G1043" s="12" t="n">
        <x:v>0</x:v>
      </x:c>
      <x:c r="H1043" s="1" t="n">
        <x:f>'Historical prices'!E1043</x:f>
        <x:v>1.05</x:v>
      </x:c>
      <x:c r="I1043" s="6" t="n">
        <x:f>'Historical prices'!D1043</x:f>
        <x:v>0.1757</x:v>
      </x:c>
      <x:c r="J1043" s="13" t="n">
        <x:f>D1043*I1043*H1043</x:f>
        <x:v>0.03949516375</x:v>
      </x:c>
      <x:c r="K1043" s="13" t="n">
        <x:f>E1043*I1043*H1043</x:f>
        <x:v>0.04134001375</x:v>
      </x:c>
      <x:c r="L1043" s="1" t="str">
        <x:f>TEXT(A1043,"mmm yyyy")</x:f>
        <x:v>May 2026</x:v>
      </x:c>
    </x:row>
    <x:row r="1044" ht="21" customHeight="1">
      <x:c r="A1044" s="10" t="n">
        <x:v>46170</x:v>
      </x:c>
      <x:c r="B1044" s="1" t="n">
        <x:v>6</x:v>
      </x:c>
      <x:c r="C1044" s="1" t="n">
        <x:v>6</x:v>
      </x:c>
      <x:c r="D1044" s="12" t="n">
        <x:v>0.2125</x:v>
      </x:c>
      <x:c r="E1044" s="12" t="n">
        <x:v>0.3505</x:v>
      </x:c>
      <x:c r="F1044" s="12" t="n">
        <x:v>0.136</x:v>
      </x:c>
      <x:c r="G1044" s="12" t="n">
        <x:v>0</x:v>
      </x:c>
      <x:c r="H1044" s="1" t="n">
        <x:f>'Historical prices'!E1044</x:f>
        <x:v>1.05</x:v>
      </x:c>
      <x:c r="I1044" s="6" t="n">
        <x:f>'Historical prices'!D1044</x:f>
        <x:v>0.19820000000000002</x:v>
      </x:c>
      <x:c r="J1044" s="13" t="n">
        <x:f>D1044*I1044*H1044</x:f>
        <x:v>0.044223375</x:v>
      </x:c>
      <x:c r="K1044" s="13" t="n">
        <x:f>E1044*I1044*H1044</x:f>
        <x:v>0.072942555</x:v>
      </x:c>
      <x:c r="L1044" s="1" t="str">
        <x:f>TEXT(A1044,"mmm yyyy")</x:f>
        <x:v>May 2026</x:v>
      </x:c>
    </x:row>
    <x:row r="1045" ht="21" customHeight="1">
      <x:c r="A1045" s="10" t="n">
        <x:v>46170</x:v>
      </x:c>
      <x:c r="B1045" s="1" t="n">
        <x:v>6.5</x:v>
      </x:c>
      <x:c r="C1045" s="1" t="n">
        <x:v>6</x:v>
      </x:c>
      <x:c r="D1045" s="12" t="n">
        <x:v>0.06525</x:v>
      </x:c>
      <x:c r="E1045" s="12" t="n">
        <x:v>0.5873333333333333</x:v>
      </x:c>
      <x:c r="F1045" s="12" t="n">
        <x:v>0.5219999999999999</x:v>
      </x:c>
      <x:c r="G1045" s="12" t="n">
        <x:v>0</x:v>
      </x:c>
      <x:c r="H1045" s="1" t="n">
        <x:f>'Historical prices'!E1045</x:f>
        <x:v>1.05</x:v>
      </x:c>
      <x:c r="I1045" s="6" t="n">
        <x:f>'Historical prices'!D1045</x:f>
        <x:v>0.2165</x:v>
      </x:c>
      <x:c r="J1045" s="13" t="n">
        <x:f>D1045*I1045*H1045</x:f>
        <x:v>0.014832956250000001</x:v>
      </x:c>
      <x:c r="K1045" s="13" t="n">
        <x:f>E1045*I1045*H1045</x:f>
        <x:v>0.13351554999999998</x:v>
      </x:c>
      <x:c r="L1045" s="1" t="str">
        <x:f>TEXT(A1045,"mmm yyyy")</x:f>
        <x:v>May 2026</x:v>
      </x:c>
    </x:row>
    <x:row r="1046" ht="21" customHeight="1">
      <x:c r="A1046" s="10" t="n">
        <x:v>46170</x:v>
      </x:c>
      <x:c r="B1046" s="1" t="n">
        <x:v>7</x:v>
      </x:c>
      <x:c r="C1046" s="1" t="n">
        <x:v>6</x:v>
      </x:c>
      <x:c r="D1046" s="12" t="n">
        <x:v>0.38408333333333333</x:v>
      </x:c>
      <x:c r="E1046" s="12" t="n">
        <x:v>0.49075</x:v>
      </x:c>
      <x:c r="F1046" s="12" t="n">
        <x:v>0.09566666666666666</x:v>
      </x:c>
      <x:c r="G1046" s="12" t="n">
        <x:v>0</x:v>
      </x:c>
      <x:c r="H1046" s="1" t="n">
        <x:f>'Historical prices'!E1046</x:f>
        <x:v>1.05</x:v>
      </x:c>
      <x:c r="I1046" s="6" t="n">
        <x:f>'Historical prices'!D1046</x:f>
        <x:v>0.1892</x:v>
      </x:c>
      <x:c r="J1046" s="13" t="n">
        <x:f>D1046*I1046*H1046</x:f>
        <x:v>0.07630199500000001</x:v>
      </x:c>
      <x:c r="K1046" s="13" t="n">
        <x:f>E1046*I1046*H1046</x:f>
        <x:v>0.09749239500000002</x:v>
      </x:c>
      <x:c r="L1046" s="1" t="str">
        <x:f>TEXT(A1046,"mmm yyyy")</x:f>
        <x:v>May 2026</x:v>
      </x:c>
    </x:row>
    <x:row r="1047" ht="21" customHeight="1">
      <x:c r="A1047" s="10" t="n">
        <x:v>46170</x:v>
      </x:c>
      <x:c r="B1047" s="1" t="n">
        <x:v>7.5</x:v>
      </x:c>
      <x:c r="C1047" s="1" t="n">
        <x:v>6</x:v>
      </x:c>
      <x:c r="D1047" s="12" t="n">
        <x:v>0.38033333333333336</x:v>
      </x:c>
      <x:c r="E1047" s="12" t="n">
        <x:v>0.41733333333333333</x:v>
      </x:c>
      <x:c r="F1047" s="12" t="n">
        <x:v>0.028999999999999998</x:v>
      </x:c>
      <x:c r="G1047" s="12" t="n">
        <x:v>0</x:v>
      </x:c>
      <x:c r="H1047" s="1" t="n">
        <x:f>'Historical prices'!E1047</x:f>
        <x:v>1.05</x:v>
      </x:c>
      <x:c r="I1047" s="6" t="n">
        <x:f>'Historical prices'!D1047</x:f>
        <x:v>0.19440000000000002</x:v>
      </x:c>
      <x:c r="J1047" s="13" t="n">
        <x:f>D1047*I1047*H1047</x:f>
        <x:v>0.07763364000000002</x:v>
      </x:c>
      <x:c r="K1047" s="13" t="n">
        <x:f>E1047*I1047*H1047</x:f>
        <x:v>0.08518608000000001</x:v>
      </x:c>
      <x:c r="L1047" s="1" t="str">
        <x:f>TEXT(A1047,"mmm yyyy")</x:f>
        <x:v>May 2026</x:v>
      </x:c>
    </x:row>
    <x:row r="1048" ht="21" customHeight="1">
      <x:c r="A1048" s="10" t="n">
        <x:v>46170</x:v>
      </x:c>
      <x:c r="B1048" s="1" t="n">
        <x:v>8</x:v>
      </x:c>
      <x:c r="C1048" s="1" t="n">
        <x:v>6</x:v>
      </x:c>
      <x:c r="D1048" s="12" t="n">
        <x:v>0.04083333333333333</x:v>
      </x:c>
      <x:c r="E1048" s="12" t="n">
        <x:v>0.42475</x:v>
      </x:c>
      <x:c r="F1048" s="12" t="n">
        <x:v>0.38383333333333336</x:v>
      </x:c>
      <x:c r="G1048" s="12" t="n">
        <x:v>0</x:v>
      </x:c>
      <x:c r="H1048" s="1" t="n">
        <x:f>'Historical prices'!E1048</x:f>
        <x:v>1.05</x:v>
      </x:c>
      <x:c r="I1048" s="6" t="n">
        <x:f>'Historical prices'!D1048</x:f>
        <x:v>0.20420000000000002</x:v>
      </x:c>
      <x:c r="J1048" s="13" t="n">
        <x:f>D1048*I1048*H1048</x:f>
        <x:v>0.008755075000000001</x:v>
      </x:c>
      <x:c r="K1048" s="13" t="n">
        <x:f>E1048*I1048*H1048</x:f>
        <x:v>0.09107064750000002</x:v>
      </x:c>
      <x:c r="L1048" s="1" t="str">
        <x:f>TEXT(A1048,"mmm yyyy")</x:f>
        <x:v>May 2026</x:v>
      </x:c>
    </x:row>
    <x:row r="1049" ht="21" customHeight="1">
      <x:c r="A1049" s="10" t="n">
        <x:v>46170</x:v>
      </x:c>
      <x:c r="B1049" s="1" t="n">
        <x:v>8.5</x:v>
      </x:c>
      <x:c r="C1049" s="1" t="n">
        <x:v>6</x:v>
      </x:c>
      <x:c r="D1049" s="12" t="n">
        <x:v>0.43899999999999995</x:v>
      </x:c>
      <x:c r="E1049" s="12" t="n">
        <x:v>0.42000000000000004</x:v>
      </x:c>
      <x:c r="F1049" s="12" t="n">
        <x:v>0.072</x:v>
      </x:c>
      <x:c r="G1049" s="12" t="n">
        <x:v>0.087</x:v>
      </x:c>
      <x:c r="H1049" s="1" t="n">
        <x:f>'Historical prices'!E1049</x:f>
        <x:v>1.05</x:v>
      </x:c>
      <x:c r="I1049" s="6" t="n">
        <x:f>'Historical prices'!D1049</x:f>
        <x:v>0.1884</x:v>
      </x:c>
      <x:c r="J1049" s="13" t="n">
        <x:f>D1049*I1049*H1049</x:f>
        <x:v>0.08684298</x:v>
      </x:c>
      <x:c r="K1049" s="13" t="n">
        <x:f>E1049*I1049*H1049</x:f>
        <x:v>0.08308440000000002</x:v>
      </x:c>
      <x:c r="L1049" s="1" t="str">
        <x:f>TEXT(A1049,"mmm yyyy")</x:f>
        <x:v>May 2026</x:v>
      </x:c>
    </x:row>
    <x:row r="1050" ht="21" customHeight="1">
      <x:c r="A1050" s="10" t="n">
        <x:v>46170</x:v>
      </x:c>
      <x:c r="B1050" s="1" t="n">
        <x:v>9</x:v>
      </x:c>
      <x:c r="C1050" s="1" t="n">
        <x:v>6</x:v>
      </x:c>
      <x:c r="D1050" s="12" t="n">
        <x:v>0.48749999999999993</x:v>
      </x:c>
      <x:c r="E1050" s="12" t="n">
        <x:v>0.48749999999999993</x:v>
      </x:c>
      <x:c r="F1050" s="12" t="n">
        <x:v>0</x:v>
      </x:c>
      <x:c r="G1050" s="12" t="n">
        <x:v>0</x:v>
      </x:c>
      <x:c r="H1050" s="1" t="n">
        <x:f>'Historical prices'!E1050</x:f>
        <x:v>1.05</x:v>
      </x:c>
      <x:c r="I1050" s="6" t="n">
        <x:f>'Historical prices'!D1050</x:f>
        <x:v>0.1924</x:v>
      </x:c>
      <x:c r="J1050" s="13" t="n">
        <x:f>D1050*I1050*H1050</x:f>
        <x:v>0.09848474999999998</x:v>
      </x:c>
      <x:c r="K1050" s="13" t="n">
        <x:f>E1050*I1050*H1050</x:f>
        <x:v>0.09848474999999998</x:v>
      </x:c>
      <x:c r="L1050" s="1" t="str">
        <x:f>TEXT(A1050,"mmm yyyy")</x:f>
        <x:v>May 2026</x:v>
      </x:c>
    </x:row>
    <x:row r="1051" ht="21" customHeight="1">
      <x:c r="A1051" s="10" t="n">
        <x:v>46170</x:v>
      </x:c>
      <x:c r="B1051" s="1" t="n">
        <x:v>9.5</x:v>
      </x:c>
      <x:c r="C1051" s="1" t="n">
        <x:v>6</x:v>
      </x:c>
      <x:c r="D1051" s="12" t="n">
        <x:v>0.34408333333333335</x:v>
      </x:c>
      <x:c r="E1051" s="12" t="n">
        <x:v>0.34508333333333335</x:v>
      </x:c>
      <x:c r="F1051" s="12" t="n">
        <x:v>0</x:v>
      </x:c>
      <x:c r="G1051" s="12" t="n">
        <x:v>0</x:v>
      </x:c>
      <x:c r="H1051" s="1" t="n">
        <x:f>'Historical prices'!E1051</x:f>
        <x:v>1.05</x:v>
      </x:c>
      <x:c r="I1051" s="6" t="n">
        <x:f>'Historical prices'!D1051</x:f>
        <x:v>0.1745</x:v>
      </x:c>
      <x:c r="J1051" s="13" t="n">
        <x:f>D1051*I1051*H1051</x:f>
        <x:v>0.06304466875</x:v>
      </x:c>
      <x:c r="K1051" s="13" t="n">
        <x:f>E1051*I1051*H1051</x:f>
        <x:v>0.06322789375</x:v>
      </x:c>
      <x:c r="L1051" s="1" t="str">
        <x:f>TEXT(A1051,"mmm yyyy")</x:f>
        <x:v>May 2026</x:v>
      </x:c>
    </x:row>
    <x:row r="1052" ht="21" customHeight="1">
      <x:c r="A1052" s="10" t="n">
        <x:v>46170</x:v>
      </x:c>
      <x:c r="B1052" s="1" t="n">
        <x:v>10</x:v>
      </x:c>
      <x:c r="C1052" s="1" t="n">
        <x:v>6</x:v>
      </x:c>
      <x:c r="D1052" s="12" t="n">
        <x:v>0.31650000000000006</x:v>
      </x:c>
      <x:c r="E1052" s="12" t="n">
        <x:v>0.3175</x:v>
      </x:c>
      <x:c r="F1052" s="12" t="n">
        <x:v>0</x:v>
      </x:c>
      <x:c r="G1052" s="12" t="n">
        <x:v>0</x:v>
      </x:c>
      <x:c r="H1052" s="1" t="n">
        <x:f>'Historical prices'!E1052</x:f>
        <x:v>1.05</x:v>
      </x:c>
      <x:c r="I1052" s="6" t="n">
        <x:f>'Historical prices'!D1052</x:f>
        <x:v>0.1491</x:v>
      </x:c>
      <x:c r="J1052" s="13" t="n">
        <x:f>D1052*I1052*H1052</x:f>
        <x:v>0.04954965750000002</x:v>
      </x:c>
      <x:c r="K1052" s="13" t="n">
        <x:f>E1052*I1052*H1052</x:f>
        <x:v>0.049706212500000006</x:v>
      </x:c>
      <x:c r="L1052" s="1" t="str">
        <x:f>TEXT(A1052,"mmm yyyy")</x:f>
        <x:v>May 2026</x:v>
      </x:c>
    </x:row>
    <x:row r="1053" ht="21" customHeight="1">
      <x:c r="A1053" s="10" t="n">
        <x:v>46170</x:v>
      </x:c>
      <x:c r="B1053" s="1" t="n">
        <x:v>10.5</x:v>
      </x:c>
      <x:c r="C1053" s="1" t="n">
        <x:v>6</x:v>
      </x:c>
      <x:c r="D1053" s="12" t="n">
        <x:v>4.424916666666666</x:v>
      </x:c>
      <x:c r="E1053" s="12" t="n">
        <x:v>0.47091666666666665</x:v>
      </x:c>
      <x:c r="F1053" s="12" t="n">
        <x:v>0</x:v>
      </x:c>
      <x:c r="G1053" s="12" t="n">
        <x:v>3.9550000000000005</x:v>
      </x:c>
      <x:c r="H1053" s="1" t="n">
        <x:f>'Historical prices'!E1053</x:f>
        <x:v>1.05</x:v>
      </x:c>
      <x:c r="I1053" s="6" t="n">
        <x:f>'Historical prices'!D1053</x:f>
        <x:v>0.122</x:v>
      </x:c>
      <x:c r="J1053" s="13" t="n">
        <x:f>D1053*I1053*H1053</x:f>
        <x:v>0.566831825</x:v>
      </x:c>
      <x:c r="K1053" s="13" t="n">
        <x:f>E1053*I1053*H1053</x:f>
        <x:v>0.060324424999999994</x:v>
      </x:c>
      <x:c r="L1053" s="1" t="str">
        <x:f>TEXT(A1053,"mmm yyyy")</x:f>
        <x:v>May 2026</x:v>
      </x:c>
    </x:row>
    <x:row r="1054" ht="21" customHeight="1">
      <x:c r="A1054" s="10" t="n">
        <x:v>46170</x:v>
      </x:c>
      <x:c r="B1054" s="1" t="n">
        <x:v>11</x:v>
      </x:c>
      <x:c r="C1054" s="1" t="n">
        <x:v>6</x:v>
      </x:c>
      <x:c r="D1054" s="12" t="n">
        <x:v>1.0765</x:v>
      </x:c>
      <x:c r="E1054" s="12" t="n">
        <x:v>0.2845</x:v>
      </x:c>
      <x:c r="F1054" s="12" t="n">
        <x:v>0</x:v>
      </x:c>
      <x:c r="G1054" s="12" t="n">
        <x:v>0.799</x:v>
      </x:c>
      <x:c r="H1054" s="1" t="n">
        <x:f>'Historical prices'!E1054</x:f>
        <x:v>1.05</x:v>
      </x:c>
      <x:c r="I1054" s="6" t="n">
        <x:f>'Historical prices'!D1054</x:f>
        <x:v>0.1241</x:v>
      </x:c>
      <x:c r="J1054" s="13" t="n">
        <x:f>D1054*I1054*H1054</x:f>
        <x:v>0.14027333250000001</x:v>
      </x:c>
      <x:c r="K1054" s="13" t="n">
        <x:f>E1054*I1054*H1054</x:f>
        <x:v>0.037071772499999996</x:v>
      </x:c>
      <x:c r="L1054" s="1" t="str">
        <x:f>TEXT(A1054,"mmm yyyy")</x:f>
        <x:v>May 2026</x:v>
      </x:c>
    </x:row>
    <x:row r="1055" ht="21" customHeight="1">
      <x:c r="A1055" s="10" t="n">
        <x:v>46170</x:v>
      </x:c>
      <x:c r="B1055" s="1" t="n">
        <x:v>11.5</x:v>
      </x:c>
      <x:c r="C1055" s="1" t="n">
        <x:v>6</x:v>
      </x:c>
      <x:c r="D1055" s="12" t="n">
        <x:v>4.34075</x:v>
      </x:c>
      <x:c r="E1055" s="12" t="n">
        <x:v>0.60775</x:v>
      </x:c>
      <x:c r="F1055" s="12" t="n">
        <x:v>0</x:v>
      </x:c>
      <x:c r="G1055" s="12" t="n">
        <x:v>3.736</x:v>
      </x:c>
      <x:c r="H1055" s="1" t="n">
        <x:f>'Historical prices'!E1055</x:f>
        <x:v>1.05</x:v>
      </x:c>
      <x:c r="I1055" s="6" t="n">
        <x:f>'Historical prices'!D1055</x:f>
        <x:v>0.122</x:v>
      </x:c>
      <x:c r="J1055" s="13" t="n">
        <x:f>D1055*I1055*H1055</x:f>
        <x:v>0.556050075</x:v>
      </x:c>
      <x:c r="K1055" s="13" t="n">
        <x:f>E1055*I1055*H1055</x:f>
        <x:v>0.07785277500000001</x:v>
      </x:c>
      <x:c r="L1055" s="1" t="str">
        <x:f>TEXT(A1055,"mmm yyyy")</x:f>
        <x:v>May 2026</x:v>
      </x:c>
    </x:row>
    <x:row r="1056" ht="21" customHeight="1">
      <x:c r="A1056" s="10" t="n">
        <x:v>46170</x:v>
      </x:c>
      <x:c r="B1056" s="1" t="n">
        <x:v>12</x:v>
      </x:c>
      <x:c r="C1056" s="1" t="n">
        <x:v>6</x:v>
      </x:c>
      <x:c r="D1056" s="12" t="n">
        <x:v>1.0751666666666664</x:v>
      </x:c>
      <x:c r="E1056" s="12" t="n">
        <x:v>0.38316666666666666</x:v>
      </x:c>
      <x:c r="F1056" s="12" t="n">
        <x:v>0</x:v>
      </x:c>
      <x:c r="G1056" s="12" t="n">
        <x:v>0.683</x:v>
      </x:c>
      <x:c r="H1056" s="1" t="n">
        <x:f>'Historical prices'!E1056</x:f>
        <x:v>1.05</x:v>
      </x:c>
      <x:c r="I1056" s="6" t="n">
        <x:f>'Historical prices'!D1056</x:f>
        <x:v>0.122</x:v>
      </x:c>
      <x:c r="J1056" s="13" t="n">
        <x:f>D1056*I1056*H1056</x:f>
        <x:v>0.13772884999999999</x:v>
      </x:c>
      <x:c r="K1056" s="13" t="n">
        <x:f>E1056*I1056*H1056</x:f>
        <x:v>0.04908365</x:v>
      </x:c>
      <x:c r="L1056" s="1" t="str">
        <x:f>TEXT(A1056,"mmm yyyy")</x:f>
        <x:v>May 2026</x:v>
      </x:c>
    </x:row>
    <x:row r="1057" ht="21" customHeight="1">
      <x:c r="A1057" s="10" t="n">
        <x:v>46170</x:v>
      </x:c>
      <x:c r="B1057" s="1" t="n">
        <x:v>12.5</x:v>
      </x:c>
      <x:c r="C1057" s="1" t="n">
        <x:v>6</x:v>
      </x:c>
      <x:c r="D1057" s="12" t="n">
        <x:v>0.2798333333333333</x:v>
      </x:c>
      <x:c r="E1057" s="12" t="n">
        <x:v>0.29083333333333333</x:v>
      </x:c>
      <x:c r="F1057" s="12" t="n">
        <x:v>0</x:v>
      </x:c>
      <x:c r="G1057" s="12" t="n">
        <x:v>0</x:v>
      </x:c>
      <x:c r="H1057" s="1" t="n">
        <x:f>'Historical prices'!E1057</x:f>
        <x:v>1.05</x:v>
      </x:c>
      <x:c r="I1057" s="6" t="n">
        <x:f>'Historical prices'!D1057</x:f>
        <x:v>0.122</x:v>
      </x:c>
      <x:c r="J1057" s="13" t="n">
        <x:f>D1057*I1057*H1057</x:f>
        <x:v>0.03584665</x:v>
      </x:c>
      <x:c r="K1057" s="13" t="n">
        <x:f>E1057*I1057*H1057</x:f>
        <x:v>0.037255750000000004</x:v>
      </x:c>
      <x:c r="L1057" s="1" t="str">
        <x:f>TEXT(A1057,"mmm yyyy")</x:f>
        <x:v>May 2026</x:v>
      </x:c>
    </x:row>
    <x:row r="1058" ht="21" customHeight="1">
      <x:c r="A1058" s="10" t="n">
        <x:v>46170</x:v>
      </x:c>
      <x:c r="B1058" s="1" t="n">
        <x:v>13</x:v>
      </x:c>
      <x:c r="C1058" s="1" t="n">
        <x:v>6</x:v>
      </x:c>
      <x:c r="D1058" s="12" t="n">
        <x:v>0.3395</x:v>
      </x:c>
      <x:c r="E1058" s="12" t="n">
        <x:v>0.35150000000000003</x:v>
      </x:c>
      <x:c r="F1058" s="12" t="n">
        <x:v>0</x:v>
      </x:c>
      <x:c r="G1058" s="12" t="n">
        <x:v>0</x:v>
      </x:c>
      <x:c r="H1058" s="1" t="n">
        <x:f>'Historical prices'!E1058</x:f>
        <x:v>1.05</x:v>
      </x:c>
      <x:c r="I1058" s="6" t="n">
        <x:f>'Historical prices'!D1058</x:f>
        <x:v>0.122</x:v>
      </x:c>
      <x:c r="J1058" s="13" t="n">
        <x:f>D1058*I1058*H1058</x:f>
        <x:v>0.043489950000000006</x:v>
      </x:c>
      <x:c r="K1058" s="13" t="n">
        <x:f>E1058*I1058*H1058</x:f>
        <x:v>0.04502715000000001</x:v>
      </x:c>
      <x:c r="L1058" s="1" t="str">
        <x:f>TEXT(A1058,"mmm yyyy")</x:f>
        <x:v>May 2026</x:v>
      </x:c>
    </x:row>
    <x:row r="1059" ht="21" customHeight="1">
      <x:c r="A1059" s="10" t="n">
        <x:v>46170</x:v>
      </x:c>
      <x:c r="B1059" s="1" t="n">
        <x:v>13.5</x:v>
      </x:c>
      <x:c r="C1059" s="1" t="n">
        <x:v>6</x:v>
      </x:c>
      <x:c r="D1059" s="12" t="n">
        <x:v>0.37216666666666665</x:v>
      </x:c>
      <x:c r="E1059" s="12" t="n">
        <x:v>0.38316666666666666</x:v>
      </x:c>
      <x:c r="F1059" s="12" t="n">
        <x:v>0</x:v>
      </x:c>
      <x:c r="G1059" s="12" t="n">
        <x:v>0</x:v>
      </x:c>
      <x:c r="H1059" s="1" t="n">
        <x:f>'Historical prices'!E1059</x:f>
        <x:v>1.05</x:v>
      </x:c>
      <x:c r="I1059" s="6" t="n">
        <x:f>'Historical prices'!D1059</x:f>
        <x:v>0.122</x:v>
      </x:c>
      <x:c r="J1059" s="13" t="n">
        <x:f>D1059*I1059*H1059</x:f>
        <x:v>0.04767455</x:v>
      </x:c>
      <x:c r="K1059" s="13" t="n">
        <x:f>E1059*I1059*H1059</x:f>
        <x:v>0.04908365</x:v>
      </x:c>
      <x:c r="L1059" s="1" t="str">
        <x:f>TEXT(A1059,"mmm yyyy")</x:f>
        <x:v>May 2026</x:v>
      </x:c>
    </x:row>
    <x:row r="1060" ht="21" customHeight="1">
      <x:c r="A1060" s="10" t="n">
        <x:v>46170</x:v>
      </x:c>
      <x:c r="B1060" s="1" t="n">
        <x:v>14</x:v>
      </x:c>
      <x:c r="C1060" s="1" t="n">
        <x:v>6</x:v>
      </x:c>
      <x:c r="D1060" s="12" t="n">
        <x:v>0.28091666666666665</x:v>
      </x:c>
      <x:c r="E1060" s="12" t="n">
        <x:v>0.29191666666666666</x:v>
      </x:c>
      <x:c r="F1060" s="12" t="n">
        <x:v>0</x:v>
      </x:c>
      <x:c r="G1060" s="12" t="n">
        <x:v>0</x:v>
      </x:c>
      <x:c r="H1060" s="1" t="n">
        <x:f>'Historical prices'!E1060</x:f>
        <x:v>1.05</x:v>
      </x:c>
      <x:c r="I1060" s="6" t="n">
        <x:f>'Historical prices'!D1060</x:f>
        <x:v>0.122</x:v>
      </x:c>
      <x:c r="J1060" s="13" t="n">
        <x:f>D1060*I1060*H1060</x:f>
        <x:v>0.035985424999999994</x:v>
      </x:c>
      <x:c r="K1060" s="13" t="n">
        <x:f>E1060*I1060*H1060</x:f>
        <x:v>0.037394525</x:v>
      </x:c>
      <x:c r="L1060" s="1" t="str">
        <x:f>TEXT(A1060,"mmm yyyy")</x:f>
        <x:v>May 2026</x:v>
      </x:c>
    </x:row>
    <x:row r="1061" ht="21" customHeight="1">
      <x:c r="A1061" s="10" t="n">
        <x:v>46170</x:v>
      </x:c>
      <x:c r="B1061" s="1" t="n">
        <x:v>14.5</x:v>
      </x:c>
      <x:c r="C1061" s="1" t="n">
        <x:v>6</x:v>
      </x:c>
      <x:c r="D1061" s="12" t="n">
        <x:v>0.30041666666666667</x:v>
      </x:c>
      <x:c r="E1061" s="12" t="n">
        <x:v>0.3114166666666667</x:v>
      </x:c>
      <x:c r="F1061" s="12" t="n">
        <x:v>0</x:v>
      </x:c>
      <x:c r="G1061" s="12" t="n">
        <x:v>0</x:v>
      </x:c>
      <x:c r="H1061" s="1" t="n">
        <x:f>'Historical prices'!E1061</x:f>
        <x:v>1.05</x:v>
      </x:c>
      <x:c r="I1061" s="6" t="n">
        <x:f>'Historical prices'!D1061</x:f>
        <x:v>0.122</x:v>
      </x:c>
      <x:c r="J1061" s="13" t="n">
        <x:f>D1061*I1061*H1061</x:f>
        <x:v>0.038483375</x:v>
      </x:c>
      <x:c r="K1061" s="13" t="n">
        <x:f>E1061*I1061*H1061</x:f>
        <x:v>0.039892475000000004</x:v>
      </x:c>
      <x:c r="L1061" s="1" t="str">
        <x:f>TEXT(A1061,"mmm yyyy")</x:f>
        <x:v>May 2026</x:v>
      </x:c>
    </x:row>
    <x:row r="1062" ht="21" customHeight="1">
      <x:c r="A1062" s="10" t="n">
        <x:v>46170</x:v>
      </x:c>
      <x:c r="B1062" s="1" t="n">
        <x:v>15</x:v>
      </x:c>
      <x:c r="C1062" s="1" t="n">
        <x:v>6</x:v>
      </x:c>
      <x:c r="D1062" s="12" t="n">
        <x:v>0.12941666666666668</x:v>
      </x:c>
      <x:c r="E1062" s="12" t="n">
        <x:v>0.3874166666666667</x:v>
      </x:c>
      <x:c r="F1062" s="12" t="n">
        <x:v>0.256</x:v>
      </x:c>
      <x:c r="G1062" s="12" t="n">
        <x:v>0</x:v>
      </x:c>
      <x:c r="H1062" s="1" t="n">
        <x:f>'Historical prices'!E1062</x:f>
        <x:v>1.05</x:v>
      </x:c>
      <x:c r="I1062" s="6" t="n">
        <x:f>'Historical prices'!D1062</x:f>
        <x:v>0.1334</x:v>
      </x:c>
      <x:c r="J1062" s="13" t="n">
        <x:f>D1062*I1062*H1062</x:f>
        <x:v>0.018127392500000002</x:v>
      </x:c>
      <x:c r="K1062" s="13" t="n">
        <x:f>E1062*I1062*H1062</x:f>
        <x:v>0.0542654525</x:v>
      </x:c>
      <x:c r="L1062" s="1" t="str">
        <x:f>TEXT(A1062,"mmm yyyy")</x:f>
        <x:v>May 2026</x:v>
      </x:c>
    </x:row>
    <x:row r="1063" ht="21" customHeight="1">
      <x:c r="A1063" s="10" t="n">
        <x:v>46170</x:v>
      </x:c>
      <x:c r="B1063" s="1" t="n">
        <x:v>15.5</x:v>
      </x:c>
      <x:c r="C1063" s="1" t="n">
        <x:v>6</x:v>
      </x:c>
      <x:c r="D1063" s="12" t="n">
        <x:v>0.4414166666666667</x:v>
      </x:c>
      <x:c r="E1063" s="12" t="n">
        <x:v>0.91025</x:v>
      </x:c>
      <x:c r="F1063" s="12" t="n">
        <x:v>0.4686666666666667</x:v>
      </x:c>
      <x:c r="G1063" s="12" t="n">
        <x:v>0</x:v>
      </x:c>
      <x:c r="H1063" s="1" t="n">
        <x:f>'Historical prices'!E1063</x:f>
        <x:v>1.05</x:v>
      </x:c>
      <x:c r="I1063" s="6" t="n">
        <x:f>'Historical prices'!D1063</x:f>
        <x:v>0.14300000000000002</x:v>
      </x:c>
      <x:c r="J1063" s="13" t="n">
        <x:f>D1063*I1063*H1063</x:f>
        <x:v>0.06627871250000002</x:v>
      </x:c>
      <x:c r="K1063" s="13" t="n">
        <x:f>E1063*I1063*H1063</x:f>
        <x:v>0.13667403750000004</x:v>
      </x:c>
      <x:c r="L1063" s="1" t="str">
        <x:f>TEXT(A1063,"mmm yyyy")</x:f>
        <x:v>May 2026</x:v>
      </x:c>
    </x:row>
    <x:row r="1064" ht="21" customHeight="1">
      <x:c r="A1064" s="10" t="n">
        <x:v>46170</x:v>
      </x:c>
      <x:c r="B1064" s="1" t="n">
        <x:v>16</x:v>
      </x:c>
      <x:c r="C1064" s="1" t="n">
        <x:v>6</x:v>
      </x:c>
      <x:c r="D1064" s="12" t="n">
        <x:v>0</x:v>
      </x:c>
      <x:c r="E1064" s="12" t="n">
        <x:v>0.38883333333333336</x:v>
      </x:c>
      <x:c r="F1064" s="12" t="n">
        <x:v>0.38883333333333336</x:v>
      </x:c>
      <x:c r="G1064" s="12" t="n">
        <x:v>0</x:v>
      </x:c>
      <x:c r="H1064" s="1" t="n">
        <x:f>'Historical prices'!E1064</x:f>
        <x:v>1.05</x:v>
      </x:c>
      <x:c r="I1064" s="6" t="n">
        <x:f>'Historical prices'!D1064</x:f>
        <x:v>0.2693</x:v>
      </x:c>
      <x:c r="J1064" s="13" t="n">
        <x:f>D1064*I1064*H1064</x:f>
        <x:v>0</x:v>
      </x:c>
      <x:c r="K1064" s="13" t="n">
        <x:f>E1064*I1064*H1064</x:f>
        <x:v>0.1099484575</x:v>
      </x:c>
      <x:c r="L1064" s="1" t="str">
        <x:f>TEXT(A1064,"mmm yyyy")</x:f>
        <x:v>May 2026</x:v>
      </x:c>
    </x:row>
    <x:row r="1065" ht="21" customHeight="1">
      <x:c r="A1065" s="10" t="n">
        <x:v>46170</x:v>
      </x:c>
      <x:c r="B1065" s="1" t="n">
        <x:v>16.5</x:v>
      </x:c>
      <x:c r="C1065" s="1" t="n">
        <x:v>6</x:v>
      </x:c>
      <x:c r="D1065" s="12" t="n">
        <x:v>0.08641666666666667</x:v>
      </x:c>
      <x:c r="E1065" s="12" t="n">
        <x:v>0.95225</x:v>
      </x:c>
      <x:c r="F1065" s="12" t="n">
        <x:v>0.8658333333333333</x:v>
      </x:c>
      <x:c r="G1065" s="12" t="n">
        <x:v>0</x:v>
      </x:c>
      <x:c r="H1065" s="1" t="n">
        <x:f>'Historical prices'!E1065</x:f>
        <x:v>1.05</x:v>
      </x:c>
      <x:c r="I1065" s="6" t="n">
        <x:f>'Historical prices'!D1065</x:f>
        <x:v>0.2756</x:v>
      </x:c>
      <x:c r="J1065" s="13" t="n">
        <x:f>D1065*I1065*H1065</x:f>
        <x:v>0.025007255000000003</x:v>
      </x:c>
      <x:c r="K1065" s="13" t="n">
        <x:f>E1065*I1065*H1065</x:f>
        <x:v>0.275562105</x:v>
      </x:c>
      <x:c r="L1065" s="1" t="str">
        <x:f>TEXT(A1065,"mmm yyyy")</x:f>
        <x:v>May 2026</x:v>
      </x:c>
    </x:row>
    <x:row r="1066" ht="21" customHeight="1">
      <x:c r="A1066" s="10" t="n">
        <x:v>46170</x:v>
      </x:c>
      <x:c r="B1066" s="1" t="n">
        <x:v>17</x:v>
      </x:c>
      <x:c r="C1066" s="1" t="n">
        <x:v>6</x:v>
      </x:c>
      <x:c r="D1066" s="12" t="n">
        <x:v>0</x:v>
      </x:c>
      <x:c r="E1066" s="12" t="n">
        <x:v>0.6705833333333333</x:v>
      </x:c>
      <x:c r="F1066" s="12" t="n">
        <x:v>0.6705833333333333</x:v>
      </x:c>
      <x:c r="G1066" s="12" t="n">
        <x:v>0</x:v>
      </x:c>
      <x:c r="H1066" s="1" t="n">
        <x:f>'Historical prices'!E1066</x:f>
        <x:v>1.05</x:v>
      </x:c>
      <x:c r="I1066" s="6" t="n">
        <x:f>'Historical prices'!D1066</x:f>
        <x:v>0.3176</x:v>
      </x:c>
      <x:c r="J1066" s="13" t="n">
        <x:f>D1066*I1066*H1066</x:f>
        <x:v>0</x:v>
      </x:c>
      <x:c r="K1066" s="13" t="n">
        <x:f>E1066*I1066*H1066</x:f>
        <x:v>0.22362613</x:v>
      </x:c>
      <x:c r="L1066" s="1" t="str">
        <x:f>TEXT(A1066,"mmm yyyy")</x:f>
        <x:v>May 2026</x:v>
      </x:c>
    </x:row>
    <x:row r="1067" ht="21" customHeight="1">
      <x:c r="A1067" s="10" t="n">
        <x:v>46170</x:v>
      </x:c>
      <x:c r="B1067" s="1" t="n">
        <x:v>17.5</x:v>
      </x:c>
      <x:c r="C1067" s="1" t="n">
        <x:v>6</x:v>
      </x:c>
      <x:c r="D1067" s="12" t="n">
        <x:v>0</x:v>
      </x:c>
      <x:c r="E1067" s="12" t="n">
        <x:v>0.7828333333333333</x:v>
      </x:c>
      <x:c r="F1067" s="12" t="n">
        <x:v>0.7826666666666666</x:v>
      </x:c>
      <x:c r="G1067" s="12" t="n">
        <x:v>0</x:v>
      </x:c>
      <x:c r="H1067" s="1" t="n">
        <x:f>'Historical prices'!E1067</x:f>
        <x:v>1.05</x:v>
      </x:c>
      <x:c r="I1067" s="6" t="n">
        <x:f>'Historical prices'!D1067</x:f>
        <x:v>0.3218</x:v>
      </x:c>
      <x:c r="J1067" s="13" t="n">
        <x:f>D1067*I1067*H1067</x:f>
        <x:v>0</x:v>
      </x:c>
      <x:c r="K1067" s="13" t="n">
        <x:f>E1067*I1067*H1067</x:f>
        <x:v>0.264511555</x:v>
      </x:c>
      <x:c r="L1067" s="1" t="str">
        <x:f>TEXT(A1067,"mmm yyyy")</x:f>
        <x:v>May 2026</x:v>
      </x:c>
    </x:row>
    <x:row r="1068" ht="21" customHeight="1">
      <x:c r="A1068" s="10" t="n">
        <x:v>46170</x:v>
      </x:c>
      <x:c r="B1068" s="1" t="n">
        <x:v>18</x:v>
      </x:c>
      <x:c r="C1068" s="1" t="n">
        <x:v>6</x:v>
      </x:c>
      <x:c r="D1068" s="12" t="n">
        <x:v>0</x:v>
      </x:c>
      <x:c r="E1068" s="12" t="n">
        <x:v>0.53025</x:v>
      </x:c>
      <x:c r="F1068" s="12" t="n">
        <x:v>0.5299166666666667</x:v>
      </x:c>
      <x:c r="G1068" s="12" t="n">
        <x:v>0</x:v>
      </x:c>
      <x:c r="H1068" s="1" t="n">
        <x:f>'Historical prices'!E1068</x:f>
        <x:v>1.05</x:v>
      </x:c>
      <x:c r="I1068" s="6" t="n">
        <x:f>'Historical prices'!D1068</x:f>
        <x:v>0.3386</x:v>
      </x:c>
      <x:c r="J1068" s="13" t="n">
        <x:f>D1068*I1068*H1068</x:f>
        <x:v>0</x:v>
      </x:c>
      <x:c r="K1068" s="13" t="n">
        <x:f>E1068*I1068*H1068</x:f>
        <x:v>0.1885197825</x:v>
      </x:c>
      <x:c r="L1068" s="1" t="str">
        <x:f>TEXT(A1068,"mmm yyyy")</x:f>
        <x:v>May 2026</x:v>
      </x:c>
    </x:row>
    <x:row r="1069" ht="21" customHeight="1">
      <x:c r="A1069" s="10" t="n">
        <x:v>46170</x:v>
      </x:c>
      <x:c r="B1069" s="1" t="n">
        <x:v>18.5</x:v>
      </x:c>
      <x:c r="C1069" s="1" t="n">
        <x:v>6</x:v>
      </x:c>
      <x:c r="D1069" s="12" t="n">
        <x:v>0</x:v>
      </x:c>
      <x:c r="E1069" s="12" t="n">
        <x:v>0.5045833333333333</x:v>
      </x:c>
      <x:c r="F1069" s="12" t="n">
        <x:v>0.5045833333333333</x:v>
      </x:c>
      <x:c r="G1069" s="12" t="n">
        <x:v>0</x:v>
      </x:c>
      <x:c r="H1069" s="1" t="n">
        <x:f>'Historical prices'!E1069</x:f>
        <x:v>1.05</x:v>
      </x:c>
      <x:c r="I1069" s="6" t="n">
        <x:f>'Historical prices'!D1069</x:f>
        <x:v>0.3467</x:v>
      </x:c>
      <x:c r="J1069" s="13" t="n">
        <x:f>D1069*I1069*H1069</x:f>
        <x:v>0</x:v>
      </x:c>
      <x:c r="K1069" s="13" t="n">
        <x:f>E1069*I1069*H1069</x:f>
        <x:v>0.18368599375</x:v>
      </x:c>
      <x:c r="L1069" s="1" t="str">
        <x:f>TEXT(A1069,"mmm yyyy")</x:f>
        <x:v>May 2026</x:v>
      </x:c>
    </x:row>
    <x:row r="1070" ht="21" customHeight="1">
      <x:c r="A1070" s="10" t="n">
        <x:v>46170</x:v>
      </x:c>
      <x:c r="B1070" s="1" t="n">
        <x:v>19</x:v>
      </x:c>
      <x:c r="C1070" s="1" t="n">
        <x:v>6</x:v>
      </x:c>
      <x:c r="D1070" s="12" t="n">
        <x:v>0</x:v>
      </x:c>
      <x:c r="E1070" s="12" t="n">
        <x:v>0.4928333333333333</x:v>
      </x:c>
      <x:c r="F1070" s="12" t="n">
        <x:v>0.49266666666666664</x:v>
      </x:c>
      <x:c r="G1070" s="12" t="n">
        <x:v>0</x:v>
      </x:c>
      <x:c r="H1070" s="1" t="n">
        <x:f>'Historical prices'!E1070</x:f>
        <x:v>1.05</x:v>
      </x:c>
      <x:c r="I1070" s="6" t="n">
        <x:f>'Historical prices'!D1070</x:f>
        <x:v>0.23329999999999998</x:v>
      </x:c>
      <x:c r="J1070" s="13" t="n">
        <x:f>D1070*I1070*H1070</x:f>
        <x:v>0</x:v>
      </x:c>
      <x:c r="K1070" s="13" t="n">
        <x:f>E1070*I1070*H1070</x:f>
        <x:v>0.12072691749999998</x:v>
      </x:c>
      <x:c r="L1070" s="1" t="str">
        <x:f>TEXT(A1070,"mmm yyyy")</x:f>
        <x:v>May 2026</x:v>
      </x:c>
    </x:row>
    <x:row r="1071" ht="21" customHeight="1">
      <x:c r="A1071" s="10" t="n">
        <x:v>46170</x:v>
      </x:c>
      <x:c r="B1071" s="1" t="n">
        <x:v>19.5</x:v>
      </x:c>
      <x:c r="C1071" s="1" t="n">
        <x:v>6</x:v>
      </x:c>
      <x:c r="D1071" s="12" t="n">
        <x:v>0</x:v>
      </x:c>
      <x:c r="E1071" s="12" t="n">
        <x:v>0.74075</x:v>
      </x:c>
      <x:c r="F1071" s="12" t="n">
        <x:v>0.7405833333333334</x:v>
      </x:c>
      <x:c r="G1071" s="12" t="n">
        <x:v>0</x:v>
      </x:c>
      <x:c r="H1071" s="1" t="n">
        <x:f>'Historical prices'!E1071</x:f>
        <x:v>1.05</x:v>
      </x:c>
      <x:c r="I1071" s="6" t="n">
        <x:f>'Historical prices'!D1071</x:f>
        <x:v>0.23199999999999998</x:v>
      </x:c>
      <x:c r="J1071" s="13" t="n">
        <x:f>D1071*I1071*H1071</x:f>
        <x:v>0</x:v>
      </x:c>
      <x:c r="K1071" s="13" t="n">
        <x:f>E1071*I1071*H1071</x:f>
        <x:v>0.1804467</x:v>
      </x:c>
      <x:c r="L1071" s="1" t="str">
        <x:f>TEXT(A1071,"mmm yyyy")</x:f>
        <x:v>May 2026</x:v>
      </x:c>
    </x:row>
    <x:row r="1072" ht="21" customHeight="1">
      <x:c r="A1072" s="10" t="n">
        <x:v>46170</x:v>
      </x:c>
      <x:c r="B1072" s="1" t="n">
        <x:v>20</x:v>
      </x:c>
      <x:c r="C1072" s="1" t="n">
        <x:v>6</x:v>
      </x:c>
      <x:c r="D1072" s="12" t="n">
        <x:v>0</x:v>
      </x:c>
      <x:c r="E1072" s="12" t="n">
        <x:v>0.45275</x:v>
      </x:c>
      <x:c r="F1072" s="12" t="n">
        <x:v>0.45266666666666666</x:v>
      </x:c>
      <x:c r="G1072" s="12" t="n">
        <x:v>0</x:v>
      </x:c>
      <x:c r="H1072" s="1" t="n">
        <x:f>'Historical prices'!E1072</x:f>
        <x:v>1.05</x:v>
      </x:c>
      <x:c r="I1072" s="6" t="n">
        <x:f>'Historical prices'!D1072</x:f>
        <x:v>0.24559999999999998</x:v>
      </x:c>
      <x:c r="J1072" s="13" t="n">
        <x:f>D1072*I1072*H1072</x:f>
        <x:v>0</x:v>
      </x:c>
      <x:c r="K1072" s="13" t="n">
        <x:f>E1072*I1072*H1072</x:f>
        <x:v>0.11675516999999999</x:v>
      </x:c>
      <x:c r="L1072" s="1" t="str">
        <x:f>TEXT(A1072,"mmm yyyy")</x:f>
        <x:v>May 2026</x:v>
      </x:c>
    </x:row>
    <x:row r="1073" ht="21" customHeight="1">
      <x:c r="A1073" s="10" t="n">
        <x:v>46170</x:v>
      </x:c>
      <x:c r="B1073" s="1" t="n">
        <x:v>20.5</x:v>
      </x:c>
      <x:c r="C1073" s="1" t="n">
        <x:v>6</x:v>
      </x:c>
      <x:c r="D1073" s="12" t="n">
        <x:v>0</x:v>
      </x:c>
      <x:c r="E1073" s="12" t="n">
        <x:v>0.6138333333333333</x:v>
      </x:c>
      <x:c r="F1073" s="12" t="n">
        <x:v>0.6138333333333333</x:v>
      </x:c>
      <x:c r="G1073" s="12" t="n">
        <x:v>0</x:v>
      </x:c>
      <x:c r="H1073" s="1" t="n">
        <x:f>'Historical prices'!E1073</x:f>
        <x:v>1.05</x:v>
      </x:c>
      <x:c r="I1073" s="6" t="n">
        <x:f>'Historical prices'!D1073</x:f>
        <x:v>0.2396</x:v>
      </x:c>
      <x:c r="J1073" s="13" t="n">
        <x:f>D1073*I1073*H1073</x:f>
        <x:v>0</x:v>
      </x:c>
      <x:c r="K1073" s="13" t="n">
        <x:f>E1073*I1073*H1073</x:f>
        <x:v>0.15442819000000002</x:v>
      </x:c>
      <x:c r="L1073" s="1" t="str">
        <x:f>TEXT(A1073,"mmm yyyy")</x:f>
        <x:v>May 2026</x:v>
      </x:c>
    </x:row>
    <x:row r="1074" ht="21" customHeight="1">
      <x:c r="A1074" s="10" t="n">
        <x:v>46170</x:v>
      </x:c>
      <x:c r="B1074" s="1" t="n">
        <x:v>21</x:v>
      </x:c>
      <x:c r="C1074" s="1" t="n">
        <x:v>6</x:v>
      </x:c>
      <x:c r="D1074" s="12" t="n">
        <x:v>0</x:v>
      </x:c>
      <x:c r="E1074" s="12" t="n">
        <x:v>0.5576666666666666</x:v>
      </x:c>
      <x:c r="F1074" s="12" t="n">
        <x:v>0.5576666666666666</x:v>
      </x:c>
      <x:c r="G1074" s="12" t="n">
        <x:v>0</x:v>
      </x:c>
      <x:c r="H1074" s="1" t="n">
        <x:f>'Historical prices'!E1074</x:f>
        <x:v>1.05</x:v>
      </x:c>
      <x:c r="I1074" s="6" t="n">
        <x:f>'Historical prices'!D1074</x:f>
        <x:v>0.2354</x:v>
      </x:c>
      <x:c r="J1074" s="13" t="n">
        <x:f>D1074*I1074*H1074</x:f>
        <x:v>0</x:v>
      </x:c>
      <x:c r="K1074" s="13" t="n">
        <x:f>E1074*I1074*H1074</x:f>
        <x:v>0.13783847000000002</x:v>
      </x:c>
      <x:c r="L1074" s="1" t="str">
        <x:f>TEXT(A1074,"mmm yyyy")</x:f>
        <x:v>May 2026</x:v>
      </x:c>
    </x:row>
    <x:row r="1075" ht="21" customHeight="1">
      <x:c r="A1075" s="10" t="n">
        <x:v>46170</x:v>
      </x:c>
      <x:c r="B1075" s="1" t="n">
        <x:v>21.5</x:v>
      </x:c>
      <x:c r="C1075" s="1" t="n">
        <x:v>6</x:v>
      </x:c>
      <x:c r="D1075" s="12" t="n">
        <x:v>0</x:v>
      </x:c>
      <x:c r="E1075" s="12" t="n">
        <x:v>0.8827499999999999</x:v>
      </x:c>
      <x:c r="F1075" s="12" t="n">
        <x:v>0.8826666666666666</x:v>
      </x:c>
      <x:c r="G1075" s="12" t="n">
        <x:v>0</x:v>
      </x:c>
      <x:c r="H1075" s="1" t="n">
        <x:f>'Historical prices'!E1075</x:f>
        <x:v>1.05</x:v>
      </x:c>
      <x:c r="I1075" s="6" t="n">
        <x:f>'Historical prices'!D1075</x:f>
        <x:v>0.2274</x:v>
      </x:c>
      <x:c r="J1075" s="13" t="n">
        <x:f>D1075*I1075*H1075</x:f>
        <x:v>0</x:v>
      </x:c>
      <x:c r="K1075" s="13" t="n">
        <x:f>E1075*I1075*H1075</x:f>
        <x:v>0.2107742175</x:v>
      </x:c>
      <x:c r="L1075" s="1" t="str">
        <x:f>TEXT(A1075,"mmm yyyy")</x:f>
        <x:v>May 2026</x:v>
      </x:c>
    </x:row>
    <x:row r="1076" ht="21" customHeight="1">
      <x:c r="A1076" s="10" t="n">
        <x:v>46170</x:v>
      </x:c>
      <x:c r="B1076" s="1" t="n">
        <x:v>22</x:v>
      </x:c>
      <x:c r="C1076" s="1" t="n">
        <x:v>6</x:v>
      </x:c>
      <x:c r="D1076" s="12" t="n">
        <x:v>0.22733333333333333</x:v>
      </x:c>
      <x:c r="E1076" s="12" t="n">
        <x:v>0.29525</x:v>
      </x:c>
      <x:c r="F1076" s="12" t="n">
        <x:v>0.058916666666666666</x:v>
      </x:c>
      <x:c r="G1076" s="12" t="n">
        <x:v>0</x:v>
      </x:c>
      <x:c r="H1076" s="1" t="n">
        <x:f>'Historical prices'!E1076</x:f>
        <x:v>1.05</x:v>
      </x:c>
      <x:c r="I1076" s="6" t="n">
        <x:f>'Historical prices'!D1076</x:f>
        <x:v>0.2138</x:v>
      </x:c>
      <x:c r="J1076" s="13" t="n">
        <x:f>D1076*I1076*H1076</x:f>
        <x:v>0.05103406</x:v>
      </x:c>
      <x:c r="K1076" s="13" t="n">
        <x:f>E1076*I1076*H1076</x:f>
        <x:v>0.0662806725</x:v>
      </x:c>
      <x:c r="L1076" s="1" t="str">
        <x:f>TEXT(A1076,"mmm yyyy")</x:f>
        <x:v>May 2026</x:v>
      </x:c>
    </x:row>
    <x:row r="1077" ht="21" customHeight="1">
      <x:c r="A1077" s="10" t="n">
        <x:v>46170</x:v>
      </x:c>
      <x:c r="B1077" s="1" t="n">
        <x:v>22.5</x:v>
      </x:c>
      <x:c r="C1077" s="1" t="n">
        <x:v>6</x:v>
      </x:c>
      <x:c r="D1077" s="12" t="n">
        <x:v>0.3001666666666667</x:v>
      </x:c>
      <x:c r="E1077" s="12" t="n">
        <x:v>0.3111666666666667</x:v>
      </x:c>
      <x:c r="F1077" s="12" t="n">
        <x:v>0</x:v>
      </x:c>
      <x:c r="G1077" s="12" t="n">
        <x:v>0</x:v>
      </x:c>
      <x:c r="H1077" s="1" t="n">
        <x:f>'Historical prices'!E1077</x:f>
        <x:v>1.05</x:v>
      </x:c>
      <x:c r="I1077" s="6" t="n">
        <x:f>'Historical prices'!D1077</x:f>
        <x:v>0.2144</x:v>
      </x:c>
      <x:c r="J1077" s="13" t="n">
        <x:f>D1077*I1077*H1077</x:f>
        <x:v>0.06757352000000001</x:v>
      </x:c>
      <x:c r="K1077" s="13" t="n">
        <x:f>E1077*I1077*H1077</x:f>
        <x:v>0.07004984000000002</x:v>
      </x:c>
      <x:c r="L1077" s="1" t="str">
        <x:f>TEXT(A1077,"mmm yyyy")</x:f>
        <x:v>May 2026</x:v>
      </x:c>
    </x:row>
    <x:row r="1078" ht="21" customHeight="1">
      <x:c r="A1078" s="10" t="n">
        <x:v>46170</x:v>
      </x:c>
      <x:c r="B1078" s="1" t="n">
        <x:v>23</x:v>
      </x:c>
      <x:c r="C1078" s="1" t="n">
        <x:v>6</x:v>
      </x:c>
      <x:c r="D1078" s="12" t="n">
        <x:v>0.32491666666666663</x:v>
      </x:c>
      <x:c r="E1078" s="12" t="n">
        <x:v>0.33591666666666664</x:v>
      </x:c>
      <x:c r="F1078" s="12" t="n">
        <x:v>0</x:v>
      </x:c>
      <x:c r="G1078" s="12" t="n">
        <x:v>0</x:v>
      </x:c>
      <x:c r="H1078" s="1" t="n">
        <x:f>'Historical prices'!E1078</x:f>
        <x:v>1.05</x:v>
      </x:c>
      <x:c r="I1078" s="6" t="n">
        <x:f>'Historical prices'!D1078</x:f>
        <x:v>0.1892</x:v>
      </x:c>
      <x:c r="J1078" s="13" t="n">
        <x:f>D1078*I1078*H1078</x:f>
        <x:v>0.064547945</x:v>
      </x:c>
      <x:c r="K1078" s="13" t="n">
        <x:f>E1078*I1078*H1078</x:f>
        <x:v>0.066733205</x:v>
      </x:c>
      <x:c r="L1078" s="1" t="str">
        <x:f>TEXT(A1078,"mmm yyyy")</x:f>
        <x:v>May 2026</x:v>
      </x:c>
    </x:row>
    <x:row r="1079" ht="21" customHeight="1">
      <x:c r="A1079" s="10" t="n">
        <x:v>46170</x:v>
      </x:c>
      <x:c r="B1079" s="1" t="n">
        <x:v>23.5</x:v>
      </x:c>
      <x:c r="C1079" s="1" t="n">
        <x:v>6</x:v>
      </x:c>
      <x:c r="D1079" s="12" t="n">
        <x:v>0.22833333333333333</x:v>
      </x:c>
      <x:c r="E1079" s="12" t="n">
        <x:v>0.24033333333333334</x:v>
      </x:c>
      <x:c r="F1079" s="12" t="n">
        <x:v>0</x:v>
      </x:c>
      <x:c r="G1079" s="12" t="n">
        <x:v>0</x:v>
      </x:c>
      <x:c r="H1079" s="1" t="n">
        <x:f>'Historical prices'!E1079</x:f>
        <x:v>1.05</x:v>
      </x:c>
      <x:c r="I1079" s="6" t="n">
        <x:f>'Historical prices'!D1079</x:f>
        <x:v>0.1913</x:v>
      </x:c>
      <x:c r="J1079" s="13" t="n">
        <x:f>D1079*I1079*H1079</x:f>
        <x:v>0.045864175</x:v>
      </x:c>
      <x:c r="K1079" s="13" t="n">
        <x:f>E1079*I1079*H1079</x:f>
        <x:v>0.048274555000000004</x:v>
      </x:c>
      <x:c r="L1079" s="1" t="str">
        <x:f>TEXT(A1079,"mmm yyyy")</x:f>
        <x:v>May 2026</x:v>
      </x:c>
    </x:row>
    <x:row r="1080" ht="21" customHeight="1">
      <x:c r="A1080" s="10" t="n">
        <x:v>46171</x:v>
      </x:c>
      <x:c r="B1080" s="1" t="n">
        <x:v>0</x:v>
      </x:c>
      <x:c r="C1080" s="1" t="n">
        <x:v>6</x:v>
      </x:c>
      <x:c r="D1080" s="12" t="n">
        <x:v>0.22508333333333333</x:v>
      </x:c>
      <x:c r="E1080" s="12" t="n">
        <x:v>0.23508333333333334</x:v>
      </x:c>
      <x:c r="F1080" s="12" t="n">
        <x:v>0</x:v>
      </x:c>
      <x:c r="G1080" s="12" t="n">
        <x:v>0</x:v>
      </x:c>
      <x:c r="H1080" s="1" t="n">
        <x:f>'Historical prices'!E1080</x:f>
        <x:v>1.05</x:v>
      </x:c>
      <x:c r="I1080" s="6" t="n">
        <x:f>'Historical prices'!D1080</x:f>
        <x:v>0.21239999999999998</x:v>
      </x:c>
      <x:c r="J1080" s="13" t="n">
        <x:f>D1080*I1080*H1080</x:f>
        <x:v>0.050198084999999996</x:v>
      </x:c>
      <x:c r="K1080" s="13" t="n">
        <x:f>E1080*I1080*H1080</x:f>
        <x:v>0.052428285</x:v>
      </x:c>
      <x:c r="L1080" s="1" t="str">
        <x:f>TEXT(A1080,"mmm yyyy")</x:f>
        <x:v>May 2026</x:v>
      </x:c>
    </x:row>
    <x:row r="1081" ht="21" customHeight="1">
      <x:c r="A1081" s="10" t="n">
        <x:v>46171</x:v>
      </x:c>
      <x:c r="B1081" s="1" t="n">
        <x:v>0.5</x:v>
      </x:c>
      <x:c r="C1081" s="1" t="n">
        <x:v>6</x:v>
      </x:c>
      <x:c r="D1081" s="12" t="n">
        <x:v>0.2544166666666667</x:v>
      </x:c>
      <x:c r="E1081" s="12" t="n">
        <x:v>0.2634166666666667</x:v>
      </x:c>
      <x:c r="F1081" s="12" t="n">
        <x:v>0</x:v>
      </x:c>
      <x:c r="G1081" s="12" t="n">
        <x:v>0</x:v>
      </x:c>
      <x:c r="H1081" s="1" t="n">
        <x:f>'Historical prices'!E1081</x:f>
        <x:v>1.05</x:v>
      </x:c>
      <x:c r="I1081" s="6" t="n">
        <x:f>'Historical prices'!D1081</x:f>
        <x:v>0.204</x:v>
      </x:c>
      <x:c r="J1081" s="13" t="n">
        <x:f>D1081*I1081*H1081</x:f>
        <x:v>0.054496050000000004</x:v>
      </x:c>
      <x:c r="K1081" s="13" t="n">
        <x:f>E1081*I1081*H1081</x:f>
        <x:v>0.056423850000000005</x:v>
      </x:c>
      <x:c r="L1081" s="1" t="str">
        <x:f>TEXT(A1081,"mmm yyyy")</x:f>
        <x:v>May 2026</x:v>
      </x:c>
    </x:row>
    <x:row r="1082" ht="21" customHeight="1">
      <x:c r="A1082" s="10" t="n">
        <x:v>46171</x:v>
      </x:c>
      <x:c r="B1082" s="1" t="n">
        <x:v>1</x:v>
      </x:c>
      <x:c r="C1082" s="1" t="n">
        <x:v>6</x:v>
      </x:c>
      <x:c r="D1082" s="12" t="n">
        <x:v>0.25166666666666665</x:v>
      </x:c>
      <x:c r="E1082" s="12" t="n">
        <x:v>0.26366666666666666</x:v>
      </x:c>
      <x:c r="F1082" s="12" t="n">
        <x:v>0</x:v>
      </x:c>
      <x:c r="G1082" s="12" t="n">
        <x:v>0</x:v>
      </x:c>
      <x:c r="H1082" s="1" t="n">
        <x:f>'Historical prices'!E1082</x:f>
        <x:v>1.05</x:v>
      </x:c>
      <x:c r="I1082" s="6" t="n">
        <x:f>'Historical prices'!D1082</x:f>
        <x:v>0.1825</x:v>
      </x:c>
      <x:c r="J1082" s="13" t="n">
        <x:f>D1082*I1082*H1082</x:f>
        <x:v>0.048225624999999994</x:v>
      </x:c>
      <x:c r="K1082" s="13" t="n">
        <x:f>E1082*I1082*H1082</x:f>
        <x:v>0.050525125</x:v>
      </x:c>
      <x:c r="L1082" s="1" t="str">
        <x:f>TEXT(A1082,"mmm yyyy")</x:f>
        <x:v>May 2026</x:v>
      </x:c>
    </x:row>
    <x:row r="1083" ht="21" customHeight="1">
      <x:c r="A1083" s="10" t="n">
        <x:v>46171</x:v>
      </x:c>
      <x:c r="B1083" s="1" t="n">
        <x:v>1.5</x:v>
      </x:c>
      <x:c r="C1083" s="1" t="n">
        <x:v>6</x:v>
      </x:c>
      <x:c r="D1083" s="12" t="n">
        <x:v>0.21924999999999997</x:v>
      </x:c>
      <x:c r="E1083" s="12" t="n">
        <x:v>0.22924999999999998</x:v>
      </x:c>
      <x:c r="F1083" s="12" t="n">
        <x:v>0</x:v>
      </x:c>
      <x:c r="G1083" s="12" t="n">
        <x:v>0</x:v>
      </x:c>
      <x:c r="H1083" s="1" t="n">
        <x:f>'Historical prices'!E1083</x:f>
        <x:v>1.05</x:v>
      </x:c>
      <x:c r="I1083" s="6" t="n">
        <x:f>'Historical prices'!D1083</x:f>
        <x:v>0.18100000000000002</x:v>
      </x:c>
      <x:c r="J1083" s="13" t="n">
        <x:f>D1083*I1083*H1083</x:f>
        <x:v>0.041668462499999996</x:v>
      </x:c>
      <x:c r="K1083" s="13" t="n">
        <x:f>E1083*I1083*H1083</x:f>
        <x:v>0.0435689625</x:v>
      </x:c>
      <x:c r="L1083" s="1" t="str">
        <x:f>TEXT(A1083,"mmm yyyy")</x:f>
        <x:v>May 2026</x:v>
      </x:c>
    </x:row>
    <x:row r="1084" ht="21" customHeight="1">
      <x:c r="A1084" s="10" t="n">
        <x:v>46171</x:v>
      </x:c>
      <x:c r="B1084" s="1" t="n">
        <x:v>2</x:v>
      </x:c>
      <x:c r="C1084" s="1" t="n">
        <x:v>6</x:v>
      </x:c>
      <x:c r="D1084" s="12" t="n">
        <x:v>0.21066666666666667</x:v>
      </x:c>
      <x:c r="E1084" s="12" t="n">
        <x:v>0.22166666666666668</x:v>
      </x:c>
      <x:c r="F1084" s="12" t="n">
        <x:v>0</x:v>
      </x:c>
      <x:c r="G1084" s="12" t="n">
        <x:v>0</x:v>
      </x:c>
      <x:c r="H1084" s="1" t="n">
        <x:f>'Historical prices'!E1084</x:f>
        <x:v>1.05</x:v>
      </x:c>
      <x:c r="I1084" s="6" t="n">
        <x:f>'Historical prices'!D1084</x:f>
        <x:v>0.1743</x:v>
      </x:c>
      <x:c r="J1084" s="13" t="n">
        <x:f>D1084*I1084*H1084</x:f>
        <x:v>0.038555160000000005</x:v>
      </x:c>
      <x:c r="K1084" s="13" t="n">
        <x:f>E1084*I1084*H1084</x:f>
        <x:v>0.04056832500000001</x:v>
      </x:c>
      <x:c r="L1084" s="1" t="str">
        <x:f>TEXT(A1084,"mmm yyyy")</x:f>
        <x:v>May 2026</x:v>
      </x:c>
    </x:row>
    <x:row r="1085" ht="21" customHeight="1">
      <x:c r="A1085" s="10" t="n">
        <x:v>46171</x:v>
      </x:c>
      <x:c r="B1085" s="1" t="n">
        <x:v>2.5</x:v>
      </x:c>
      <x:c r="C1085" s="1" t="n">
        <x:v>6</x:v>
      </x:c>
      <x:c r="D1085" s="12" t="n">
        <x:v>0.20841666666666667</x:v>
      </x:c>
      <x:c r="E1085" s="12" t="n">
        <x:v>0.21841666666666668</x:v>
      </x:c>
      <x:c r="F1085" s="12" t="n">
        <x:v>0</x:v>
      </x:c>
      <x:c r="G1085" s="12" t="n">
        <x:v>0</x:v>
      </x:c>
      <x:c r="H1085" s="1" t="n">
        <x:f>'Historical prices'!E1085</x:f>
        <x:v>1.05</x:v>
      </x:c>
      <x:c r="I1085" s="6" t="n">
        <x:f>'Historical prices'!D1085</x:f>
        <x:v>0.1748</x:v>
      </x:c>
      <x:c r="J1085" s="13" t="n">
        <x:f>D1085*I1085*H1085</x:f>
        <x:v>0.038252795</x:v>
      </x:c>
      <x:c r="K1085" s="13" t="n">
        <x:f>E1085*I1085*H1085</x:f>
        <x:v>0.04008819500000001</x:v>
      </x:c>
      <x:c r="L1085" s="1" t="str">
        <x:f>TEXT(A1085,"mmm yyyy")</x:f>
        <x:v>May 2026</x:v>
      </x:c>
    </x:row>
    <x:row r="1086" ht="21" customHeight="1">
      <x:c r="A1086" s="10" t="n">
        <x:v>46171</x:v>
      </x:c>
      <x:c r="B1086" s="1" t="n">
        <x:v>3</x:v>
      </x:c>
      <x:c r="C1086" s="1" t="n">
        <x:v>6</x:v>
      </x:c>
      <x:c r="D1086" s="12" t="n">
        <x:v>0.18283333333333335</x:v>
      </x:c>
      <x:c r="E1086" s="12" t="n">
        <x:v>0.19383333333333336</x:v>
      </x:c>
      <x:c r="F1086" s="12" t="n">
        <x:v>0</x:v>
      </x:c>
      <x:c r="G1086" s="12" t="n">
        <x:v>0</x:v>
      </x:c>
      <x:c r="H1086" s="1" t="n">
        <x:f>'Historical prices'!E1086</x:f>
        <x:v>1.05</x:v>
      </x:c>
      <x:c r="I1086" s="6" t="n">
        <x:f>'Historical prices'!D1086</x:f>
        <x:v>0.185</x:v>
      </x:c>
      <x:c r="J1086" s="13" t="n">
        <x:f>D1086*I1086*H1086</x:f>
        <x:v>0.035515375</x:v>
      </x:c>
      <x:c r="K1086" s="13" t="n">
        <x:f>E1086*I1086*H1086</x:f>
        <x:v>0.03765212500000001</x:v>
      </x:c>
      <x:c r="L1086" s="1" t="str">
        <x:f>TEXT(A1086,"mmm yyyy")</x:f>
        <x:v>May 2026</x:v>
      </x:c>
    </x:row>
    <x:row r="1087" ht="21" customHeight="1">
      <x:c r="A1087" s="10" t="n">
        <x:v>46171</x:v>
      </x:c>
      <x:c r="B1087" s="1" t="n">
        <x:v>3.5</x:v>
      </x:c>
      <x:c r="C1087" s="1" t="n">
        <x:v>6</x:v>
      </x:c>
      <x:c r="D1087" s="12" t="n">
        <x:v>0.3225</x:v>
      </x:c>
      <x:c r="E1087" s="12" t="n">
        <x:v>0.3325</x:v>
      </x:c>
      <x:c r="F1087" s="12" t="n">
        <x:v>0</x:v>
      </x:c>
      <x:c r="G1087" s="12" t="n">
        <x:v>0</x:v>
      </x:c>
      <x:c r="H1087" s="1" t="n">
        <x:f>'Historical prices'!E1087</x:f>
        <x:v>1.05</x:v>
      </x:c>
      <x:c r="I1087" s="6" t="n">
        <x:f>'Historical prices'!D1087</x:f>
        <x:v>0.19039999999999999</x:v>
      </x:c>
      <x:c r="J1087" s="13" t="n">
        <x:f>D1087*I1087*H1087</x:f>
        <x:v>0.06447420000000001</x:v>
      </x:c>
      <x:c r="K1087" s="13" t="n">
        <x:f>E1087*I1087*H1087</x:f>
        <x:v>0.0664734</x:v>
      </x:c>
      <x:c r="L1087" s="1" t="str">
        <x:f>TEXT(A1087,"mmm yyyy")</x:f>
        <x:v>May 2026</x:v>
      </x:c>
    </x:row>
    <x:row r="1088" ht="21" customHeight="1">
      <x:c r="A1088" s="10" t="n">
        <x:v>46171</x:v>
      </x:c>
      <x:c r="B1088" s="1" t="n">
        <x:v>4</x:v>
      </x:c>
      <x:c r="C1088" s="1" t="n">
        <x:v>6</x:v>
      </x:c>
      <x:c r="D1088" s="12" t="n">
        <x:v>0.28825</x:v>
      </x:c>
      <x:c r="E1088" s="12" t="n">
        <x:v>0.29925</x:v>
      </x:c>
      <x:c r="F1088" s="12" t="n">
        <x:v>0</x:v>
      </x:c>
      <x:c r="G1088" s="12" t="n">
        <x:v>0</x:v>
      </x:c>
      <x:c r="H1088" s="1" t="n">
        <x:f>'Historical prices'!E1088</x:f>
        <x:v>1.05</x:v>
      </x:c>
      <x:c r="I1088" s="6" t="n">
        <x:f>'Historical prices'!D1088</x:f>
        <x:v>0.1923</x:v>
      </x:c>
      <x:c r="J1088" s="13" t="n">
        <x:f>D1088*I1088*H1088</x:f>
        <x:v>0.058201998750000004</x:v>
      </x:c>
      <x:c r="K1088" s="13" t="n">
        <x:f>E1088*I1088*H1088</x:f>
        <x:v>0.060423063750000006</x:v>
      </x:c>
      <x:c r="L1088" s="1" t="str">
        <x:f>TEXT(A1088,"mmm yyyy")</x:f>
        <x:v>May 2026</x:v>
      </x:c>
    </x:row>
    <x:row r="1089" ht="21" customHeight="1">
      <x:c r="A1089" s="10" t="n">
        <x:v>46171</x:v>
      </x:c>
      <x:c r="B1089" s="1" t="n">
        <x:v>4.5</x:v>
      </x:c>
      <x:c r="C1089" s="1" t="n">
        <x:v>6</x:v>
      </x:c>
      <x:c r="D1089" s="12" t="n">
        <x:v>0.23166666666666666</x:v>
      </x:c>
      <x:c r="E1089" s="12" t="n">
        <x:v>0.24266666666666667</x:v>
      </x:c>
      <x:c r="F1089" s="12" t="n">
        <x:v>0</x:v>
      </x:c>
      <x:c r="G1089" s="12" t="n">
        <x:v>0</x:v>
      </x:c>
      <x:c r="H1089" s="1" t="n">
        <x:f>'Historical prices'!E1089</x:f>
        <x:v>1.05</x:v>
      </x:c>
      <x:c r="I1089" s="6" t="n">
        <x:f>'Historical prices'!D1089</x:f>
        <x:v>0.1956</x:v>
      </x:c>
      <x:c r="J1089" s="13" t="n">
        <x:f>D1089*I1089*H1089</x:f>
        <x:v>0.0475797</x:v>
      </x:c>
      <x:c r="K1089" s="13" t="n">
        <x:f>E1089*I1089*H1089</x:f>
        <x:v>0.04983888</x:v>
      </x:c>
      <x:c r="L1089" s="1" t="str">
        <x:f>TEXT(A1089,"mmm yyyy")</x:f>
        <x:v>May 2026</x:v>
      </x:c>
    </x:row>
    <x:row r="1090" ht="21" customHeight="1">
      <x:c r="A1090" s="10" t="n">
        <x:v>46171</x:v>
      </x:c>
      <x:c r="B1090" s="1" t="n">
        <x:v>5</x:v>
      </x:c>
      <x:c r="C1090" s="1" t="n">
        <x:v>6</x:v>
      </x:c>
      <x:c r="D1090" s="12" t="n">
        <x:v>0.2224166666666667</x:v>
      </x:c>
      <x:c r="E1090" s="12" t="n">
        <x:v>0.2334166666666667</x:v>
      </x:c>
      <x:c r="F1090" s="12" t="n">
        <x:v>0</x:v>
      </x:c>
      <x:c r="G1090" s="12" t="n">
        <x:v>0</x:v>
      </x:c>
      <x:c r="H1090" s="1" t="n">
        <x:f>'Historical prices'!E1090</x:f>
        <x:v>1.05</x:v>
      </x:c>
      <x:c r="I1090" s="6" t="n">
        <x:f>'Historical prices'!D1090</x:f>
        <x:v>0.1934</x:v>
      </x:c>
      <x:c r="J1090" s="13" t="n">
        <x:f>D1090*I1090*H1090</x:f>
        <x:v>0.04516615250000001</x:v>
      </x:c>
      <x:c r="K1090" s="13" t="n">
        <x:f>E1090*I1090*H1090</x:f>
        <x:v>0.047399922500000004</x:v>
      </x:c>
      <x:c r="L1090" s="1" t="str">
        <x:f>TEXT(A1090,"mmm yyyy")</x:f>
        <x:v>May 2026</x:v>
      </x:c>
    </x:row>
    <x:row r="1091" ht="21" customHeight="1">
      <x:c r="A1091" s="10" t="n">
        <x:v>46171</x:v>
      </x:c>
      <x:c r="B1091" s="1" t="n">
        <x:v>5.5</x:v>
      </x:c>
      <x:c r="C1091" s="1" t="n">
        <x:v>6</x:v>
      </x:c>
      <x:c r="D1091" s="12" t="n">
        <x:v>0.30216666666666664</x:v>
      </x:c>
      <x:c r="E1091" s="12" t="n">
        <x:v>0.31316666666666665</x:v>
      </x:c>
      <x:c r="F1091" s="12" t="n">
        <x:v>0</x:v>
      </x:c>
      <x:c r="G1091" s="12" t="n">
        <x:v>0</x:v>
      </x:c>
      <x:c r="H1091" s="1" t="n">
        <x:f>'Historical prices'!E1091</x:f>
        <x:v>1.05</x:v>
      </x:c>
      <x:c r="I1091" s="6" t="n">
        <x:f>'Historical prices'!D1091</x:f>
        <x:v>0.20350000000000001</x:v>
      </x:c>
      <x:c r="J1091" s="13" t="n">
        <x:f>D1091*I1091*H1091</x:f>
        <x:v>0.0645654625</x:v>
      </x:c>
      <x:c r="K1091" s="13" t="n">
        <x:f>E1091*I1091*H1091</x:f>
        <x:v>0.0669158875</x:v>
      </x:c>
      <x:c r="L1091" s="1" t="str">
        <x:f>TEXT(A1091,"mmm yyyy")</x:f>
        <x:v>May 2026</x:v>
      </x:c>
    </x:row>
    <x:row r="1092" ht="21" customHeight="1">
      <x:c r="A1092" s="10" t="n">
        <x:v>46171</x:v>
      </x:c>
      <x:c r="B1092" s="1" t="n">
        <x:v>6</x:v>
      </x:c>
      <x:c r="C1092" s="1" t="n">
        <x:v>6</x:v>
      </x:c>
      <x:c r="D1092" s="12" t="n">
        <x:v>0.424</x:v>
      </x:c>
      <x:c r="E1092" s="12" t="n">
        <x:v>0.435</x:v>
      </x:c>
      <x:c r="F1092" s="12" t="n">
        <x:v>0</x:v>
      </x:c>
      <x:c r="G1092" s="12" t="n">
        <x:v>0</x:v>
      </x:c>
      <x:c r="H1092" s="1" t="n">
        <x:f>'Historical prices'!E1092</x:f>
        <x:v>1.05</x:v>
      </x:c>
      <x:c r="I1092" s="6" t="n">
        <x:f>'Historical prices'!D1092</x:f>
        <x:v>0.1934</x:v>
      </x:c>
      <x:c r="J1092" s="13" t="n">
        <x:f>D1092*I1092*H1092</x:f>
        <x:v>0.08610168</x:v>
      </x:c>
      <x:c r="K1092" s="13" t="n">
        <x:f>E1092*I1092*H1092</x:f>
        <x:v>0.08833545</x:v>
      </x:c>
      <x:c r="L1092" s="1" t="str">
        <x:f>TEXT(A1092,"mmm yyyy")</x:f>
        <x:v>May 2026</x:v>
      </x:c>
    </x:row>
    <x:row r="1093" ht="21" customHeight="1">
      <x:c r="A1093" s="10" t="n">
        <x:v>46171</x:v>
      </x:c>
      <x:c r="B1093" s="1" t="n">
        <x:v>6.5</x:v>
      </x:c>
      <x:c r="C1093" s="1" t="n">
        <x:v>6</x:v>
      </x:c>
      <x:c r="D1093" s="12" t="n">
        <x:v>0.46683333333333327</x:v>
      </x:c>
      <x:c r="E1093" s="12" t="n">
        <x:v>0.4768333333333333</x:v>
      </x:c>
      <x:c r="F1093" s="12" t="n">
        <x:v>0</x:v>
      </x:c>
      <x:c r="G1093" s="12" t="n">
        <x:v>0</x:v>
      </x:c>
      <x:c r="H1093" s="1" t="n">
        <x:f>'Historical prices'!E1093</x:f>
        <x:v>1.05</x:v>
      </x:c>
      <x:c r="I1093" s="6" t="n">
        <x:f>'Historical prices'!D1093</x:f>
        <x:v>0.20809999999999998</x:v>
      </x:c>
      <x:c r="J1093" s="13" t="n">
        <x:f>D1093*I1093*H1093</x:f>
        <x:v>0.10200541749999997</x:v>
      </x:c>
      <x:c r="K1093" s="13" t="n">
        <x:f>E1093*I1093*H1093</x:f>
        <x:v>0.10419046749999998</x:v>
      </x:c>
      <x:c r="L1093" s="1" t="str">
        <x:f>TEXT(A1093,"mmm yyyy")</x:f>
        <x:v>May 2026</x:v>
      </x:c>
    </x:row>
    <x:row r="1094" ht="21" customHeight="1">
      <x:c r="A1094" s="10" t="n">
        <x:v>46171</x:v>
      </x:c>
      <x:c r="B1094" s="1" t="n">
        <x:v>7</x:v>
      </x:c>
      <x:c r="C1094" s="1" t="n">
        <x:v>6</x:v>
      </x:c>
      <x:c r="D1094" s="12" t="n">
        <x:v>0.48391666666666666</x:v>
      </x:c>
      <x:c r="E1094" s="12" t="n">
        <x:v>0.49491666666666667</x:v>
      </x:c>
      <x:c r="F1094" s="12" t="n">
        <x:v>0</x:v>
      </x:c>
      <x:c r="G1094" s="12" t="n">
        <x:v>0</x:v>
      </x:c>
      <x:c r="H1094" s="1" t="n">
        <x:f>'Historical prices'!E1094</x:f>
        <x:v>1.05</x:v>
      </x:c>
      <x:c r="I1094" s="6" t="n">
        <x:f>'Historical prices'!D1094</x:f>
        <x:v>0.2086</x:v>
      </x:c>
      <x:c r="J1094" s="13" t="n">
        <x:f>D1094*I1094*H1094</x:f>
        <x:v>0.1059922675</x:v>
      </x:c>
      <x:c r="K1094" s="13" t="n">
        <x:f>E1094*I1094*H1094</x:f>
        <x:v>0.10840159750000002</x:v>
      </x:c>
      <x:c r="L1094" s="1" t="str">
        <x:f>TEXT(A1094,"mmm yyyy")</x:f>
        <x:v>May 2026</x:v>
      </x:c>
    </x:row>
    <x:row r="1095" ht="21" customHeight="1">
      <x:c r="A1095" s="10" t="n">
        <x:v>46171</x:v>
      </x:c>
      <x:c r="B1095" s="1" t="n">
        <x:v>7.5</x:v>
      </x:c>
      <x:c r="C1095" s="1" t="n">
        <x:v>6</x:v>
      </x:c>
      <x:c r="D1095" s="12" t="n">
        <x:v>0.08141666666666666</x:v>
      </x:c>
      <x:c r="E1095" s="12" t="n">
        <x:v>0.5054166666666666</x:v>
      </x:c>
      <x:c r="F1095" s="12" t="n">
        <x:v>0.4208333333333334</x:v>
      </x:c>
      <x:c r="G1095" s="12" t="n">
        <x:v>0</x:v>
      </x:c>
      <x:c r="H1095" s="1" t="n">
        <x:f>'Historical prices'!E1095</x:f>
        <x:v>1.05</x:v>
      </x:c>
      <x:c r="I1095" s="6" t="n">
        <x:f>'Historical prices'!D1095</x:f>
        <x:v>0.2186</x:v>
      </x:c>
      <x:c r="J1095" s="13" t="n">
        <x:f>D1095*I1095*H1095</x:f>
        <x:v>0.0186875675</x:v>
      </x:c>
      <x:c r="K1095" s="13" t="n">
        <x:f>E1095*I1095*H1095</x:f>
        <x:v>0.11600828749999999</x:v>
      </x:c>
      <x:c r="L1095" s="1" t="str">
        <x:f>TEXT(A1095,"mmm yyyy")</x:f>
        <x:v>May 2026</x:v>
      </x:c>
    </x:row>
    <x:row r="1096" ht="21" customHeight="1">
      <x:c r="A1096" s="10" t="n">
        <x:v>46171</x:v>
      </x:c>
      <x:c r="B1096" s="1" t="n">
        <x:v>8</x:v>
      </x:c>
      <x:c r="C1096" s="1" t="n">
        <x:v>6</x:v>
      </x:c>
      <x:c r="D1096" s="12" t="n">
        <x:v>0.7939166666666667</x:v>
      </x:c>
      <x:c r="E1096" s="12" t="n">
        <x:v>0.7139166666666666</x:v>
      </x:c>
      <x:c r="F1096" s="12" t="n">
        <x:v>0.051</x:v>
      </x:c>
      <x:c r="G1096" s="12" t="n">
        <x:v>0.129</x:v>
      </x:c>
      <x:c r="H1096" s="1" t="n">
        <x:f>'Historical prices'!E1096</x:f>
        <x:v>1.05</x:v>
      </x:c>
      <x:c r="I1096" s="6" t="n">
        <x:f>'Historical prices'!D1096</x:f>
        <x:v>0.2165</x:v>
      </x:c>
      <x:c r="J1096" s="13" t="n">
        <x:f>D1096*I1096*H1096</x:f>
        <x:v>0.18047710625000002</x:v>
      </x:c>
      <x:c r="K1096" s="13" t="n">
        <x:f>E1096*I1096*H1096</x:f>
        <x:v>0.16229110625</x:v>
      </x:c>
      <x:c r="L1096" s="1" t="str">
        <x:f>TEXT(A1096,"mmm yyyy")</x:f>
        <x:v>May 2026</x:v>
      </x:c>
    </x:row>
    <x:row r="1097" ht="21" customHeight="1">
      <x:c r="A1097" s="10" t="n">
        <x:v>46171</x:v>
      </x:c>
      <x:c r="B1097" s="1" t="n">
        <x:v>8.5</x:v>
      </x:c>
      <x:c r="C1097" s="1" t="n">
        <x:v>6</x:v>
      </x:c>
      <x:c r="D1097" s="12" t="n">
        <x:v>0.39075</x:v>
      </x:c>
      <x:c r="E1097" s="12" t="n">
        <x:v>0.39075</x:v>
      </x:c>
      <x:c r="F1097" s="12" t="n">
        <x:v>0</x:v>
      </x:c>
      <x:c r="G1097" s="12" t="n">
        <x:v>0</x:v>
      </x:c>
      <x:c r="H1097" s="1" t="n">
        <x:f>'Historical prices'!E1097</x:f>
        <x:v>1.05</x:v>
      </x:c>
      <x:c r="I1097" s="6" t="n">
        <x:f>'Historical prices'!D1097</x:f>
        <x:v>0.21420000000000003</x:v>
      </x:c>
      <x:c r="J1097" s="13" t="n">
        <x:f>D1097*I1097*H1097</x:f>
        <x:v>0.08788358250000002</x:v>
      </x:c>
      <x:c r="K1097" s="13" t="n">
        <x:f>E1097*I1097*H1097</x:f>
        <x:v>0.08788358250000002</x:v>
      </x:c>
      <x:c r="L1097" s="1" t="str">
        <x:f>TEXT(A1097,"mmm yyyy")</x:f>
        <x:v>May 2026</x:v>
      </x:c>
    </x:row>
    <x:row r="1098" ht="21" customHeight="1">
      <x:c r="A1098" s="10" t="n">
        <x:v>46171</x:v>
      </x:c>
      <x:c r="B1098" s="1" t="n">
        <x:v>9</x:v>
      </x:c>
      <x:c r="C1098" s="1" t="n">
        <x:v>6</x:v>
      </x:c>
      <x:c r="D1098" s="12" t="n">
        <x:v>0.37383333333333335</x:v>
      </x:c>
      <x:c r="E1098" s="12" t="n">
        <x:v>0.37583333333333335</x:v>
      </x:c>
      <x:c r="F1098" s="12" t="n">
        <x:v>0</x:v>
      </x:c>
      <x:c r="G1098" s="12" t="n">
        <x:v>0</x:v>
      </x:c>
      <x:c r="H1098" s="1" t="n">
        <x:f>'Historical prices'!E1098</x:f>
        <x:v>1.05</x:v>
      </x:c>
      <x:c r="I1098" s="6" t="n">
        <x:f>'Historical prices'!D1098</x:f>
        <x:v>0.1938</x:v>
      </x:c>
      <x:c r="J1098" s="13" t="n">
        <x:f>D1098*I1098*H1098</x:f>
        <x:v>0.076071345</x:v>
      </x:c>
      <x:c r="K1098" s="13" t="n">
        <x:f>E1098*I1098*H1098</x:f>
        <x:v>0.076478325</x:v>
      </x:c>
      <x:c r="L1098" s="1" t="str">
        <x:f>TEXT(A1098,"mmm yyyy")</x:f>
        <x:v>May 2026</x:v>
      </x:c>
    </x:row>
    <x:row r="1099" ht="21" customHeight="1">
      <x:c r="A1099" s="10" t="n">
        <x:v>46171</x:v>
      </x:c>
      <x:c r="B1099" s="1" t="n">
        <x:v>9.5</x:v>
      </x:c>
      <x:c r="C1099" s="1" t="n">
        <x:v>6</x:v>
      </x:c>
      <x:c r="D1099" s="12" t="n">
        <x:v>0.34674999999999995</x:v>
      </x:c>
      <x:c r="E1099" s="12" t="n">
        <x:v>0.34874999999999995</x:v>
      </x:c>
      <x:c r="F1099" s="12" t="n">
        <x:v>0</x:v>
      </x:c>
      <x:c r="G1099" s="12" t="n">
        <x:v>0</x:v>
      </x:c>
      <x:c r="H1099" s="1" t="n">
        <x:f>'Historical prices'!E1099</x:f>
        <x:v>1.05</x:v>
      </x:c>
      <x:c r="I1099" s="6" t="n">
        <x:f>'Historical prices'!D1099</x:f>
        <x:v>0.18239999999999998</x:v>
      </x:c>
      <x:c r="J1099" s="13" t="n">
        <x:f>D1099*I1099*H1099</x:f>
        <x:v>0.06640955999999999</x:v>
      </x:c>
      <x:c r="K1099" s="13" t="n">
        <x:f>E1099*I1099*H1099</x:f>
        <x:v>0.0667926</x:v>
      </x:c>
      <x:c r="L1099" s="1" t="str">
        <x:f>TEXT(A1099,"mmm yyyy")</x:f>
        <x:v>May 2026</x:v>
      </x:c>
    </x:row>
    <x:row r="1100" ht="21" customHeight="1">
      <x:c r="A1100" s="10" t="n">
        <x:v>46171</x:v>
      </x:c>
      <x:c r="B1100" s="1" t="n">
        <x:v>10</x:v>
      </x:c>
      <x:c r="C1100" s="1" t="n">
        <x:v>6</x:v>
      </x:c>
      <x:c r="D1100" s="12" t="n">
        <x:v>0.3111666666666667</x:v>
      </x:c>
      <x:c r="E1100" s="12" t="n">
        <x:v>0.3131666666666667</x:v>
      </x:c>
      <x:c r="F1100" s="12" t="n">
        <x:v>0</x:v>
      </x:c>
      <x:c r="G1100" s="12" t="n">
        <x:v>0</x:v>
      </x:c>
      <x:c r="H1100" s="1" t="n">
        <x:f>'Historical prices'!E1100</x:f>
        <x:v>1.05</x:v>
      </x:c>
      <x:c r="I1100" s="6" t="n">
        <x:f>'Historical prices'!D1100</x:f>
        <x:v>0.1722</x:v>
      </x:c>
      <x:c r="J1100" s="13" t="n">
        <x:f>D1100*I1100*H1100</x:f>
        <x:v>0.056262045000000004</x:v>
      </x:c>
      <x:c r="K1100" s="13" t="n">
        <x:f>E1100*I1100*H1100</x:f>
        <x:v>0.056623665000000004</x:v>
      </x:c>
      <x:c r="L1100" s="1" t="str">
        <x:f>TEXT(A1100,"mmm yyyy")</x:f>
        <x:v>May 2026</x:v>
      </x:c>
    </x:row>
    <x:row r="1101" ht="21" customHeight="1">
      <x:c r="A1101" s="10" t="n">
        <x:v>46171</x:v>
      </x:c>
      <x:c r="B1101" s="1" t="n">
        <x:v>10.5</x:v>
      </x:c>
      <x:c r="C1101" s="1" t="n">
        <x:v>6</x:v>
      </x:c>
      <x:c r="D1101" s="12" t="n">
        <x:v>0.27049999999999996</x:v>
      </x:c>
      <x:c r="E1101" s="12" t="n">
        <x:v>0.27249999999999996</x:v>
      </x:c>
      <x:c r="F1101" s="12" t="n">
        <x:v>0</x:v>
      </x:c>
      <x:c r="G1101" s="12" t="n">
        <x:v>0</x:v>
      </x:c>
      <x:c r="H1101" s="1" t="n">
        <x:f>'Historical prices'!E1101</x:f>
        <x:v>1.05</x:v>
      </x:c>
      <x:c r="I1101" s="6" t="n">
        <x:f>'Historical prices'!D1101</x:f>
        <x:v>0.158</x:v>
      </x:c>
      <x:c r="J1101" s="13" t="n">
        <x:f>D1101*I1101*H1101</x:f>
        <x:v>0.04487594999999999</x:v>
      </x:c>
      <x:c r="K1101" s="13" t="n">
        <x:f>E1101*I1101*H1101</x:f>
        <x:v>0.04520775</x:v>
      </x:c>
      <x:c r="L1101" s="1" t="str">
        <x:f>TEXT(A1101,"mmm yyyy")</x:f>
        <x:v>May 2026</x:v>
      </x:c>
    </x:row>
    <x:row r="1102" ht="21" customHeight="1">
      <x:c r="A1102" s="10" t="n">
        <x:v>46171</x:v>
      </x:c>
      <x:c r="B1102" s="1" t="n">
        <x:v>11</x:v>
      </x:c>
      <x:c r="C1102" s="1" t="n">
        <x:v>6</x:v>
      </x:c>
      <x:c r="D1102" s="12" t="n">
        <x:v>0.29150000000000004</x:v>
      </x:c>
      <x:c r="E1102" s="12" t="n">
        <x:v>0.29250000000000004</x:v>
      </x:c>
      <x:c r="F1102" s="12" t="n">
        <x:v>0</x:v>
      </x:c>
      <x:c r="G1102" s="12" t="n">
        <x:v>0</x:v>
      </x:c>
      <x:c r="H1102" s="1" t="n">
        <x:f>'Historical prices'!E1102</x:f>
        <x:v>1.05</x:v>
      </x:c>
      <x:c r="I1102" s="6" t="n">
        <x:f>'Historical prices'!D1102</x:f>
        <x:v>0.1423</x:v>
      </x:c>
      <x:c r="J1102" s="13" t="n">
        <x:f>D1102*I1102*H1102</x:f>
        <x:v>0.04355447250000001</x:v>
      </x:c>
      <x:c r="K1102" s="13" t="n">
        <x:f>E1102*I1102*H1102</x:f>
        <x:v>0.04370388750000001</x:v>
      </x:c>
      <x:c r="L1102" s="1" t="str">
        <x:f>TEXT(A1102,"mmm yyyy")</x:f>
        <x:v>May 2026</x:v>
      </x:c>
    </x:row>
    <x:row r="1103" ht="21" customHeight="1">
      <x:c r="A1103" s="10" t="n">
        <x:v>46171</x:v>
      </x:c>
      <x:c r="B1103" s="1" t="n">
        <x:v>11.5</x:v>
      </x:c>
      <x:c r="C1103" s="1" t="n">
        <x:v>6</x:v>
      </x:c>
      <x:c r="D1103" s="12" t="n">
        <x:v>0.26366666666666666</x:v>
      </x:c>
      <x:c r="E1103" s="12" t="n">
        <x:v>0.26466666666666666</x:v>
      </x:c>
      <x:c r="F1103" s="12" t="n">
        <x:v>0</x:v>
      </x:c>
      <x:c r="G1103" s="12" t="n">
        <x:v>0</x:v>
      </x:c>
      <x:c r="H1103" s="1" t="n">
        <x:f>'Historical prices'!E1103</x:f>
        <x:v>1.05</x:v>
      </x:c>
      <x:c r="I1103" s="6" t="n">
        <x:f>'Historical prices'!D1103</x:f>
        <x:v>0.133</x:v>
      </x:c>
      <x:c r="J1103" s="13" t="n">
        <x:f>D1103*I1103*H1103</x:f>
        <x:v>0.03682105000000001</x:v>
      </x:c>
      <x:c r="K1103" s="13" t="n">
        <x:f>E1103*I1103*H1103</x:f>
        <x:v>0.0369607</x:v>
      </x:c>
      <x:c r="L1103" s="1" t="str">
        <x:f>TEXT(A1103,"mmm yyyy")</x:f>
        <x:v>May 2026</x:v>
      </x:c>
    </x:row>
    <x:row r="1104" ht="21" customHeight="1">
      <x:c r="A1104" s="10" t="n">
        <x:v>46171</x:v>
      </x:c>
      <x:c r="B1104" s="1" t="n">
        <x:v>12</x:v>
      </x:c>
      <x:c r="C1104" s="1" t="n">
        <x:v>6</x:v>
      </x:c>
      <x:c r="D1104" s="12" t="n">
        <x:v>0.24258333333333332</x:v>
      </x:c>
      <x:c r="E1104" s="12" t="n">
        <x:v>0.24358333333333332</x:v>
      </x:c>
      <x:c r="F1104" s="12" t="n">
        <x:v>0</x:v>
      </x:c>
      <x:c r="G1104" s="12" t="n">
        <x:v>0</x:v>
      </x:c>
      <x:c r="H1104" s="1" t="n">
        <x:f>'Historical prices'!E1104</x:f>
        <x:v>1.05</x:v>
      </x:c>
      <x:c r="I1104" s="6" t="n">
        <x:f>'Historical prices'!D1104</x:f>
        <x:v>0.1304</x:v>
      </x:c>
      <x:c r="J1104" s="13" t="n">
        <x:f>D1104*I1104*H1104</x:f>
        <x:v>0.033214509999999996</x:v>
      </x:c>
      <x:c r="K1104" s="13" t="n">
        <x:f>E1104*I1104*H1104</x:f>
        <x:v>0.03335143</x:v>
      </x:c>
      <x:c r="L1104" s="1" t="str">
        <x:f>TEXT(A1104,"mmm yyyy")</x:f>
        <x:v>May 2026</x:v>
      </x:c>
    </x:row>
    <x:row r="1105" ht="21" customHeight="1">
      <x:c r="A1105" s="10" t="n">
        <x:v>46171</x:v>
      </x:c>
      <x:c r="B1105" s="1" t="n">
        <x:v>12.5</x:v>
      </x:c>
      <x:c r="C1105" s="1" t="n">
        <x:v>6</x:v>
      </x:c>
      <x:c r="D1105" s="12" t="n">
        <x:v>0.3939166666666667</x:v>
      </x:c>
      <x:c r="E1105" s="12" t="n">
        <x:v>0.3949166666666667</x:v>
      </x:c>
      <x:c r="F1105" s="12" t="n">
        <x:v>0</x:v>
      </x:c>
      <x:c r="G1105" s="12" t="n">
        <x:v>0</x:v>
      </x:c>
      <x:c r="H1105" s="1" t="n">
        <x:f>'Historical prices'!E1105</x:f>
        <x:v>1.05</x:v>
      </x:c>
      <x:c r="I1105" s="6" t="n">
        <x:f>'Historical prices'!D1105</x:f>
        <x:v>0.11779999999999999</x:v>
      </x:c>
      <x:c r="J1105" s="13" t="n">
        <x:f>D1105*I1105*H1105</x:f>
        <x:v>0.0487235525</x:v>
      </x:c>
      <x:c r="K1105" s="13" t="n">
        <x:f>E1105*I1105*H1105</x:f>
        <x:v>0.048847242500000006</x:v>
      </x:c>
      <x:c r="L1105" s="1" t="str">
        <x:f>TEXT(A1105,"mmm yyyy")</x:f>
        <x:v>May 2026</x:v>
      </x:c>
    </x:row>
    <x:row r="1106" ht="21" customHeight="1">
      <x:c r="A1106" s="10" t="n">
        <x:v>46171</x:v>
      </x:c>
      <x:c r="B1106" s="1" t="n">
        <x:v>13</x:v>
      </x:c>
      <x:c r="C1106" s="1" t="n">
        <x:v>6</x:v>
      </x:c>
      <x:c r="D1106" s="12" t="n">
        <x:v>4.440833333333334</x:v>
      </x:c>
      <x:c r="E1106" s="12" t="n">
        <x:v>0.4798333333333334</x:v>
      </x:c>
      <x:c r="F1106" s="12" t="n">
        <x:v>0</x:v>
      </x:c>
      <x:c r="G1106" s="12" t="n">
        <x:v>3.9619999999999997</x:v>
      </x:c>
      <x:c r="H1106" s="1" t="n">
        <x:f>'Historical prices'!E1106</x:f>
        <x:v>1.05</x:v>
      </x:c>
      <x:c r="I1106" s="6" t="n">
        <x:f>'Historical prices'!D1106</x:f>
        <x:v>0.1094</x:v>
      </x:c>
      <x:c r="J1106" s="13" t="n">
        <x:f>D1106*I1106*H1106</x:f>
        <x:v>0.5101185250000001</x:v>
      </x:c>
      <x:c r="K1106" s="13" t="n">
        <x:f>E1106*I1106*H1106</x:f>
        <x:v>0.055118455000000004</x:v>
      </x:c>
      <x:c r="L1106" s="1" t="str">
        <x:f>TEXT(A1106,"mmm yyyy")</x:f>
        <x:v>May 2026</x:v>
      </x:c>
    </x:row>
    <x:row r="1107" ht="21" customHeight="1">
      <x:c r="A1107" s="10" t="n">
        <x:v>46171</x:v>
      </x:c>
      <x:c r="B1107" s="1" t="n">
        <x:v>13.5</x:v>
      </x:c>
      <x:c r="C1107" s="1" t="n">
        <x:v>6</x:v>
      </x:c>
      <x:c r="D1107" s="12" t="n">
        <x:v>1.03475</x:v>
      </x:c>
      <x:c r="E1107" s="12" t="n">
        <x:v>0.24375000000000002</x:v>
      </x:c>
      <x:c r="F1107" s="12" t="n">
        <x:v>0</x:v>
      </x:c>
      <x:c r="G1107" s="12" t="n">
        <x:v>0.8</x:v>
      </x:c>
      <x:c r="H1107" s="1" t="n">
        <x:f>'Historical prices'!E1107</x:f>
        <x:v>1.05</x:v>
      </x:c>
      <x:c r="I1107" s="6" t="n">
        <x:f>'Historical prices'!D1107</x:f>
        <x:v>0.11320000000000001</x:v>
      </x:c>
      <x:c r="J1107" s="13" t="n">
        <x:f>D1107*I1107*H1107</x:f>
        <x:v>0.12299038500000002</x:v>
      </x:c>
      <x:c r="K1107" s="13" t="n">
        <x:f>E1107*I1107*H1107</x:f>
        <x:v>0.02897212500000001</x:v>
      </x:c>
      <x:c r="L1107" s="1" t="str">
        <x:f>TEXT(A1107,"mmm yyyy")</x:f>
        <x:v>May 2026</x:v>
      </x:c>
    </x:row>
    <x:row r="1108" ht="21" customHeight="1">
      <x:c r="A1108" s="10" t="n">
        <x:v>46171</x:v>
      </x:c>
      <x:c r="B1108" s="1" t="n">
        <x:v>14</x:v>
      </x:c>
      <x:c r="C1108" s="1" t="n">
        <x:v>6</x:v>
      </x:c>
      <x:c r="D1108" s="12" t="n">
        <x:v>4.239333333333334</x:v>
      </x:c>
      <x:c r="E1108" s="12" t="n">
        <x:v>0.44533333333333336</x:v>
      </x:c>
      <x:c r="F1108" s="12" t="n">
        <x:v>0</x:v>
      </x:c>
      <x:c r="G1108" s="12" t="n">
        <x:v>3.795</x:v>
      </x:c>
      <x:c r="H1108" s="1" t="n">
        <x:f>'Historical prices'!E1108</x:f>
        <x:v>1.05</x:v>
      </x:c>
      <x:c r="I1108" s="6" t="n">
        <x:f>'Historical prices'!D1108</x:f>
        <x:v>0.1094</x:v>
      </x:c>
      <x:c r="J1108" s="13" t="n">
        <x:f>D1108*I1108*H1108</x:f>
        <x:v>0.48697222000000007</x:v>
      </x:c>
      <x:c r="K1108" s="13" t="n">
        <x:f>E1108*I1108*H1108</x:f>
        <x:v>0.05115544</x:v>
      </x:c>
      <x:c r="L1108" s="1" t="str">
        <x:f>TEXT(A1108,"mmm yyyy")</x:f>
        <x:v>May 2026</x:v>
      </x:c>
    </x:row>
    <x:row r="1109" ht="21" customHeight="1">
      <x:c r="A1109" s="10" t="n">
        <x:v>46171</x:v>
      </x:c>
      <x:c r="B1109" s="1" t="n">
        <x:v>14.5</x:v>
      </x:c>
      <x:c r="C1109" s="1" t="n">
        <x:v>6</x:v>
      </x:c>
      <x:c r="D1109" s="12" t="n">
        <x:v>1.1162500000000002</x:v>
      </x:c>
      <x:c r="E1109" s="12" t="n">
        <x:v>0.31025</x:v>
      </x:c>
      <x:c r="F1109" s="12" t="n">
        <x:v>0</x:v>
      </x:c>
      <x:c r="G1109" s="12" t="n">
        <x:v>0.811</x:v>
      </x:c>
      <x:c r="H1109" s="1" t="n">
        <x:f>'Historical prices'!E1109</x:f>
        <x:v>1.05</x:v>
      </x:c>
      <x:c r="I1109" s="6" t="n">
        <x:f>'Historical prices'!D1109</x:f>
        <x:v>0.1094</x:v>
      </x:c>
      <x:c r="J1109" s="13" t="n">
        <x:f>D1109*I1109*H1109</x:f>
        <x:v>0.12822363750000002</x:v>
      </x:c>
      <x:c r="K1109" s="13" t="n">
        <x:f>E1109*I1109*H1109</x:f>
        <x:v>0.035638417500000005</x:v>
      </x:c>
      <x:c r="L1109" s="1" t="str">
        <x:f>TEXT(A1109,"mmm yyyy")</x:f>
        <x:v>May 2026</x:v>
      </x:c>
    </x:row>
    <x:row r="1110" ht="21" customHeight="1">
      <x:c r="A1110" s="10" t="n">
        <x:v>46171</x:v>
      </x:c>
      <x:c r="B1110" s="1" t="n">
        <x:v>15</x:v>
      </x:c>
      <x:c r="C1110" s="1" t="n">
        <x:v>6</x:v>
      </x:c>
      <x:c r="D1110" s="12" t="n">
        <x:v>0.1374166666666667</x:v>
      </x:c>
      <x:c r="E1110" s="12" t="n">
        <x:v>0.23783333333333329</x:v>
      </x:c>
      <x:c r="F1110" s="12" t="n">
        <x:v>0.092</x:v>
      </x:c>
      <x:c r="G1110" s="12" t="n">
        <x:v>0</x:v>
      </x:c>
      <x:c r="H1110" s="1" t="n">
        <x:f>'Historical prices'!E1110</x:f>
        <x:v>1.05</x:v>
      </x:c>
      <x:c r="I1110" s="6" t="n">
        <x:f>'Historical prices'!D1110</x:f>
        <x:v>0.1376</x:v>
      </x:c>
      <x:c r="J1110" s="13" t="n">
        <x:f>D1110*I1110*H1110</x:f>
        <x:v>0.019853960000000004</x:v>
      </x:c>
      <x:c r="K1110" s="13" t="n">
        <x:f>E1110*I1110*H1110</x:f>
        <x:v>0.034362159999999996</x:v>
      </x:c>
      <x:c r="L1110" s="1" t="str">
        <x:f>TEXT(A1110,"mmm yyyy")</x:f>
        <x:v>May 2026</x:v>
      </x:c>
    </x:row>
    <x:row r="1111" ht="21" customHeight="1">
      <x:c r="A1111" s="10" t="n">
        <x:v>46171</x:v>
      </x:c>
      <x:c r="B1111" s="1" t="n">
        <x:v>15.5</x:v>
      </x:c>
      <x:c r="C1111" s="1" t="n">
        <x:v>6</x:v>
      </x:c>
      <x:c r="D1111" s="12" t="n">
        <x:v>0</x:v>
      </x:c>
      <x:c r="E1111" s="12" t="n">
        <x:v>0.32566666666666666</x:v>
      </x:c>
      <x:c r="F1111" s="12" t="n">
        <x:v>0.32566666666666666</x:v>
      </x:c>
      <x:c r="G1111" s="12" t="n">
        <x:v>0</x:v>
      </x:c>
      <x:c r="H1111" s="1" t="n">
        <x:f>'Historical prices'!E1111</x:f>
        <x:v>1.05</x:v>
      </x:c>
      <x:c r="I1111" s="6" t="n">
        <x:f>'Historical prices'!D1111</x:f>
        <x:v>0.16940000000000002</x:v>
      </x:c>
      <x:c r="J1111" s="13" t="n">
        <x:f>D1111*I1111*H1111</x:f>
        <x:v>0</x:v>
      </x:c>
      <x:c r="K1111" s="13" t="n">
        <x:f>E1111*I1111*H1111</x:f>
        <x:v>0.05792633000000001</x:v>
      </x:c>
      <x:c r="L1111" s="1" t="str">
        <x:f>TEXT(A1111,"mmm yyyy")</x:f>
        <x:v>May 2026</x:v>
      </x:c>
    </x:row>
    <x:row r="1112" ht="21" customHeight="1">
      <x:c r="A1112" s="10" t="n">
        <x:v>46171</x:v>
      </x:c>
      <x:c r="B1112" s="1" t="n">
        <x:v>16</x:v>
      </x:c>
      <x:c r="C1112" s="1" t="n">
        <x:v>6</x:v>
      </x:c>
      <x:c r="D1112" s="12" t="n">
        <x:v>0</x:v>
      </x:c>
      <x:c r="E1112" s="12" t="n">
        <x:v>0.29974999999999996</x:v>
      </x:c>
      <x:c r="F1112" s="12" t="n">
        <x:v>0.29974999999999996</x:v>
      </x:c>
      <x:c r="G1112" s="12" t="n">
        <x:v>0</x:v>
      </x:c>
      <x:c r="H1112" s="1" t="n">
        <x:f>'Historical prices'!E1112</x:f>
        <x:v>1.05</x:v>
      </x:c>
      <x:c r="I1112" s="6" t="n">
        <x:f>'Historical prices'!D1112</x:f>
        <x:v>0.2748</x:v>
      </x:c>
      <x:c r="J1112" s="13" t="n">
        <x:f>D1112*I1112*H1112</x:f>
        <x:v>0</x:v>
      </x:c>
      <x:c r="K1112" s="13" t="n">
        <x:f>E1112*I1112*H1112</x:f>
        <x:v>0.08648986499999999</x:v>
      </x:c>
      <x:c r="L1112" s="1" t="str">
        <x:f>TEXT(A1112,"mmm yyyy")</x:f>
        <x:v>May 2026</x:v>
      </x:c>
    </x:row>
    <x:row r="1113" ht="21" customHeight="1">
      <x:c r="A1113" s="10" t="n">
        <x:v>46171</x:v>
      </x:c>
      <x:c r="B1113" s="1" t="n">
        <x:v>16.5</x:v>
      </x:c>
      <x:c r="C1113" s="1" t="n">
        <x:v>6</x:v>
      </x:c>
      <x:c r="D1113" s="12" t="n">
        <x:v>0</x:v>
      </x:c>
      <x:c r="E1113" s="12" t="n">
        <x:v>0.25475</x:v>
      </x:c>
      <x:c r="F1113" s="12" t="n">
        <x:v>0.25475</x:v>
      </x:c>
      <x:c r="G1113" s="12" t="n">
        <x:v>0</x:v>
      </x:c>
      <x:c r="H1113" s="1" t="n">
        <x:f>'Historical prices'!E1113</x:f>
        <x:v>1.05</x:v>
      </x:c>
      <x:c r="I1113" s="6" t="n">
        <x:f>'Historical prices'!D1113</x:f>
        <x:v>0.2748</x:v>
      </x:c>
      <x:c r="J1113" s="13" t="n">
        <x:f>D1113*I1113*H1113</x:f>
        <x:v>0</x:v>
      </x:c>
      <x:c r="K1113" s="13" t="n">
        <x:f>E1113*I1113*H1113</x:f>
        <x:v>0.073505565</x:v>
      </x:c>
      <x:c r="L1113" s="1" t="str">
        <x:f>TEXT(A1113,"mmm yyyy")</x:f>
        <x:v>May 2026</x:v>
      </x:c>
    </x:row>
    <x:row r="1114" ht="21" customHeight="1">
      <x:c r="A1114" s="10" t="n">
        <x:v>46171</x:v>
      </x:c>
      <x:c r="B1114" s="1" t="n">
        <x:v>17</x:v>
      </x:c>
      <x:c r="C1114" s="1" t="n">
        <x:v>6</x:v>
      </x:c>
      <x:c r="D1114" s="12" t="n">
        <x:v>0</x:v>
      </x:c>
      <x:c r="E1114" s="12" t="n">
        <x:v>0.25508333333333333</x:v>
      </x:c>
      <x:c r="F1114" s="12" t="n">
        <x:v>0.2549166666666666</x:v>
      </x:c>
      <x:c r="G1114" s="12" t="n">
        <x:v>0</x:v>
      </x:c>
      <x:c r="H1114" s="1" t="n">
        <x:f>'Historical prices'!E1114</x:f>
        <x:v>1.05</x:v>
      </x:c>
      <x:c r="I1114" s="6" t="n">
        <x:f>'Historical prices'!D1114</x:f>
        <x:v>0.3009</x:v>
      </x:c>
      <x:c r="J1114" s="13" t="n">
        <x:f>D1114*I1114*H1114</x:f>
        <x:v>0</x:v>
      </x:c>
      <x:c r="K1114" s="13" t="n">
        <x:f>E1114*I1114*H1114</x:f>
        <x:v>0.08059230375000001</x:v>
      </x:c>
      <x:c r="L1114" s="1" t="str">
        <x:f>TEXT(A1114,"mmm yyyy")</x:f>
        <x:v>May 2026</x:v>
      </x:c>
    </x:row>
    <x:row r="1115" ht="21" customHeight="1">
      <x:c r="A1115" s="10" t="n">
        <x:v>46171</x:v>
      </x:c>
      <x:c r="B1115" s="1" t="n">
        <x:v>17.5</x:v>
      </x:c>
      <x:c r="C1115" s="1" t="n">
        <x:v>6</x:v>
      </x:c>
      <x:c r="D1115" s="12" t="n">
        <x:v>0</x:v>
      </x:c>
      <x:c r="E1115" s="12" t="n">
        <x:v>0.29874999999999996</x:v>
      </x:c>
      <x:c r="F1115" s="12" t="n">
        <x:v>0.29874999999999996</x:v>
      </x:c>
      <x:c r="G1115" s="12" t="n">
        <x:v>0</x:v>
      </x:c>
      <x:c r="H1115" s="1" t="n">
        <x:f>'Historical prices'!E1115</x:f>
        <x:v>1.05</x:v>
      </x:c>
      <x:c r="I1115" s="6" t="n">
        <x:f>'Historical prices'!D1115</x:f>
        <x:v>0.299</x:v>
      </x:c>
      <x:c r="J1115" s="13" t="n">
        <x:f>D1115*I1115*H1115</x:f>
        <x:v>0</x:v>
      </x:c>
      <x:c r="K1115" s="13" t="n">
        <x:f>E1115*I1115*H1115</x:f>
        <x:v>0.09379256249999998</x:v>
      </x:c>
      <x:c r="L1115" s="1" t="str">
        <x:f>TEXT(A1115,"mmm yyyy")</x:f>
        <x:v>May 2026</x:v>
      </x:c>
    </x:row>
    <x:row r="1116" ht="21" customHeight="1">
      <x:c r="A1116" s="10" t="n">
        <x:v>46171</x:v>
      </x:c>
      <x:c r="B1116" s="1" t="n">
        <x:v>18</x:v>
      </x:c>
      <x:c r="C1116" s="1" t="n">
        <x:v>6</x:v>
      </x:c>
      <x:c r="D1116" s="12" t="n">
        <x:v>0</x:v>
      </x:c>
      <x:c r="E1116" s="12" t="n">
        <x:v>0.3739166666666667</x:v>
      </x:c>
      <x:c r="F1116" s="12" t="n">
        <x:v>0.3739166666666667</x:v>
      </x:c>
      <x:c r="G1116" s="12" t="n">
        <x:v>0</x:v>
      </x:c>
      <x:c r="H1116" s="1" t="n">
        <x:f>'Historical prices'!E1116</x:f>
        <x:v>1.05</x:v>
      </x:c>
      <x:c r="I1116" s="6" t="n">
        <x:f>'Historical prices'!D1116</x:f>
        <x:v>0.3184</x:v>
      </x:c>
      <x:c r="J1116" s="13" t="n">
        <x:f>D1116*I1116*H1116</x:f>
        <x:v>0</x:v>
      </x:c>
      <x:c r="K1116" s="13" t="n">
        <x:f>E1116*I1116*H1116</x:f>
        <x:v>0.12500782000000002</x:v>
      </x:c>
      <x:c r="L1116" s="1" t="str">
        <x:f>TEXT(A1116,"mmm yyyy")</x:f>
        <x:v>May 2026</x:v>
      </x:c>
    </x:row>
    <x:row r="1117" ht="21" customHeight="1">
      <x:c r="A1117" s="10" t="n">
        <x:v>46171</x:v>
      </x:c>
      <x:c r="B1117" s="1" t="n">
        <x:v>18.5</x:v>
      </x:c>
      <x:c r="C1117" s="1" t="n">
        <x:v>6</x:v>
      </x:c>
      <x:c r="D1117" s="12" t="n">
        <x:v>0</x:v>
      </x:c>
      <x:c r="E1117" s="12" t="n">
        <x:v>0.6118333333333332</x:v>
      </x:c>
      <x:c r="F1117" s="12" t="n">
        <x:v>0.6118333333333332</x:v>
      </x:c>
      <x:c r="G1117" s="12" t="n">
        <x:v>0</x:v>
      </x:c>
      <x:c r="H1117" s="1" t="n">
        <x:f>'Historical prices'!E1117</x:f>
        <x:v>1.05</x:v>
      </x:c>
      <x:c r="I1117" s="6" t="n">
        <x:f>'Historical prices'!D1117</x:f>
        <x:v>0.3281</x:v>
      </x:c>
      <x:c r="J1117" s="13" t="n">
        <x:f>D1117*I1117*H1117</x:f>
        <x:v>0</x:v>
      </x:c>
      <x:c r="K1117" s="13" t="n">
        <x:f>E1117*I1117*H1117</x:f>
        <x:v>0.21077964249999995</x:v>
      </x:c>
      <x:c r="L1117" s="1" t="str">
        <x:f>TEXT(A1117,"mmm yyyy")</x:f>
        <x:v>May 2026</x:v>
      </x:c>
    </x:row>
    <x:row r="1118" ht="21" customHeight="1">
      <x:c r="A1118" s="10" t="n">
        <x:v>46171</x:v>
      </x:c>
      <x:c r="B1118" s="1" t="n">
        <x:v>19</x:v>
      </x:c>
      <x:c r="C1118" s="1" t="n">
        <x:v>6</x:v>
      </x:c>
      <x:c r="D1118" s="12" t="n">
        <x:v>0</x:v>
      </x:c>
      <x:c r="E1118" s="12" t="n">
        <x:v>0.6688333333333333</x:v>
      </x:c>
      <x:c r="F1118" s="12" t="n">
        <x:v>0.6687500000000001</x:v>
      </x:c>
      <x:c r="G1118" s="12" t="n">
        <x:v>0</x:v>
      </x:c>
      <x:c r="H1118" s="1" t="n">
        <x:f>'Historical prices'!E1118</x:f>
        <x:v>1.05</x:v>
      </x:c>
      <x:c r="I1118" s="6" t="n">
        <x:f>'Historical prices'!D1118</x:f>
        <x:v>0.2186</x:v>
      </x:c>
      <x:c r="J1118" s="13" t="n">
        <x:f>D1118*I1118*H1118</x:f>
        <x:v>0</x:v>
      </x:c>
      <x:c r="K1118" s="13" t="n">
        <x:f>E1118*I1118*H1118</x:f>
        <x:v>0.153517315</x:v>
      </x:c>
      <x:c r="L1118" s="1" t="str">
        <x:f>TEXT(A1118,"mmm yyyy")</x:f>
        <x:v>May 2026</x:v>
      </x:c>
    </x:row>
    <x:row r="1119" ht="21" customHeight="1">
      <x:c r="A1119" s="10" t="n">
        <x:v>46171</x:v>
      </x:c>
      <x:c r="B1119" s="1" t="n">
        <x:v>19.5</x:v>
      </x:c>
      <x:c r="C1119" s="1" t="n">
        <x:v>6</x:v>
      </x:c>
      <x:c r="D1119" s="12" t="n">
        <x:v>0</x:v>
      </x:c>
      <x:c r="E1119" s="12" t="n">
        <x:v>0.48583333333333334</x:v>
      </x:c>
      <x:c r="F1119" s="12" t="n">
        <x:v>0.48575</x:v>
      </x:c>
      <x:c r="G1119" s="12" t="n">
        <x:v>0</x:v>
      </x:c>
      <x:c r="H1119" s="1" t="n">
        <x:f>'Historical prices'!E1119</x:f>
        <x:v>1.05</x:v>
      </x:c>
      <x:c r="I1119" s="6" t="n">
        <x:f>'Historical prices'!D1119</x:f>
        <x:v>0.22699999999999998</x:v>
      </x:c>
      <x:c r="J1119" s="13" t="n">
        <x:f>D1119*I1119*H1119</x:f>
        <x:v>0</x:v>
      </x:c>
      <x:c r="K1119" s="13" t="n">
        <x:f>E1119*I1119*H1119</x:f>
        <x:v>0.115798375</x:v>
      </x:c>
      <x:c r="L1119" s="1" t="str">
        <x:f>TEXT(A1119,"mmm yyyy")</x:f>
        <x:v>May 2026</x:v>
      </x:c>
    </x:row>
    <x:row r="1120" ht="21" customHeight="1">
      <x:c r="A1120" s="10" t="n">
        <x:v>46171</x:v>
      </x:c>
      <x:c r="B1120" s="1" t="n">
        <x:v>20</x:v>
      </x:c>
      <x:c r="C1120" s="1" t="n">
        <x:v>6</x:v>
      </x:c>
      <x:c r="D1120" s="12" t="n">
        <x:v>0</x:v>
      </x:c>
      <x:c r="E1120" s="12" t="n">
        <x:v>0.7729166666666666</x:v>
      </x:c>
      <x:c r="F1120" s="12" t="n">
        <x:v>0.7726666666666666</x:v>
      </x:c>
      <x:c r="G1120" s="12" t="n">
        <x:v>0</x:v>
      </x:c>
      <x:c r="H1120" s="1" t="n">
        <x:f>'Historical prices'!E1120</x:f>
        <x:v>1.05</x:v>
      </x:c>
      <x:c r="I1120" s="6" t="n">
        <x:f>'Historical prices'!D1120</x:f>
        <x:v>0.2364</x:v>
      </x:c>
      <x:c r="J1120" s="13" t="n">
        <x:f>D1120*I1120*H1120</x:f>
        <x:v>0</x:v>
      </x:c>
      <x:c r="K1120" s="13" t="n">
        <x:f>E1120*I1120*H1120</x:f>
        <x:v>0.191853375</x:v>
      </x:c>
      <x:c r="L1120" s="1" t="str">
        <x:f>TEXT(A1120,"mmm yyyy")</x:f>
        <x:v>May 2026</x:v>
      </x:c>
    </x:row>
    <x:row r="1121" ht="21" customHeight="1">
      <x:c r="A1121" s="10" t="n">
        <x:v>46171</x:v>
      </x:c>
      <x:c r="B1121" s="1" t="n">
        <x:v>20.5</x:v>
      </x:c>
      <x:c r="C1121" s="1" t="n">
        <x:v>6</x:v>
      </x:c>
      <x:c r="D1121" s="12" t="n">
        <x:v>0</x:v>
      </x:c>
      <x:c r="E1121" s="12" t="n">
        <x:v>0.5579166666666666</x:v>
      </x:c>
      <x:c r="F1121" s="12" t="n">
        <x:v>0.5578333333333333</x:v>
      </x:c>
      <x:c r="G1121" s="12" t="n">
        <x:v>0</x:v>
      </x:c>
      <x:c r="H1121" s="1" t="n">
        <x:f>'Historical prices'!E1121</x:f>
        <x:v>1.05</x:v>
      </x:c>
      <x:c r="I1121" s="6" t="n">
        <x:f>'Historical prices'!D1121</x:f>
        <x:v>0.2309</x:v>
      </x:c>
      <x:c r="J1121" s="13" t="n">
        <x:f>D1121*I1121*H1121</x:f>
        <x:v>0</x:v>
      </x:c>
      <x:c r="K1121" s="13" t="n">
        <x:f>E1121*I1121*H1121</x:f>
        <x:v>0.13526410625</x:v>
      </x:c>
      <x:c r="L1121" s="1" t="str">
        <x:f>TEXT(A1121,"mmm yyyy")</x:f>
        <x:v>May 2026</x:v>
      </x:c>
    </x:row>
    <x:row r="1122" ht="21" customHeight="1">
      <x:c r="A1122" s="10" t="n">
        <x:v>46171</x:v>
      </x:c>
      <x:c r="B1122" s="1" t="n">
        <x:v>21</x:v>
      </x:c>
      <x:c r="C1122" s="1" t="n">
        <x:v>6</x:v>
      </x:c>
      <x:c r="D1122" s="12" t="n">
        <x:v>0</x:v>
      </x:c>
      <x:c r="E1122" s="12" t="n">
        <x:v>0.545</x:v>
      </x:c>
      <x:c r="F1122" s="12" t="n">
        <x:v>0.5448333333333334</x:v>
      </x:c>
      <x:c r="G1122" s="12" t="n">
        <x:v>0</x:v>
      </x:c>
      <x:c r="H1122" s="1" t="n">
        <x:f>'Historical prices'!E1122</x:f>
        <x:v>1.05</x:v>
      </x:c>
      <x:c r="I1122" s="6" t="n">
        <x:f>'Historical prices'!D1122</x:f>
        <x:v>0.2293</x:v>
      </x:c>
      <x:c r="J1122" s="13" t="n">
        <x:f>D1122*I1122*H1122</x:f>
        <x:v>0</x:v>
      </x:c>
      <x:c r="K1122" s="13" t="n">
        <x:f>E1122*I1122*H1122</x:f>
        <x:v>0.131216925</x:v>
      </x:c>
      <x:c r="L1122" s="1" t="str">
        <x:f>TEXT(A1122,"mmm yyyy")</x:f>
        <x:v>May 2026</x:v>
      </x:c>
    </x:row>
    <x:row r="1123" ht="21" customHeight="1">
      <x:c r="A1123" s="10" t="n">
        <x:v>46171</x:v>
      </x:c>
      <x:c r="B1123" s="1" t="n">
        <x:v>21.5</x:v>
      </x:c>
      <x:c r="C1123" s="1" t="n">
        <x:v>6</x:v>
      </x:c>
      <x:c r="D1123" s="12" t="n">
        <x:v>0</x:v>
      </x:c>
      <x:c r="E1123" s="12" t="n">
        <x:v>0.5238333333333334</x:v>
      </x:c>
      <x:c r="F1123" s="12" t="n">
        <x:v>0.52375</x:v>
      </x:c>
      <x:c r="G1123" s="12" t="n">
        <x:v>0</x:v>
      </x:c>
      <x:c r="H1123" s="1" t="n">
        <x:f>'Historical prices'!E1123</x:f>
        <x:v>1.05</x:v>
      </x:c>
      <x:c r="I1123" s="6" t="n">
        <x:f>'Historical prices'!D1123</x:f>
        <x:v>0.23559999999999998</x:v>
      </x:c>
      <x:c r="J1123" s="13" t="n">
        <x:f>D1123*I1123*H1123</x:f>
        <x:v>0</x:v>
      </x:c>
      <x:c r="K1123" s="13" t="n">
        <x:f>E1123*I1123*H1123</x:f>
        <x:v>0.12958589</x:v>
      </x:c>
      <x:c r="L1123" s="1" t="str">
        <x:f>TEXT(A1123,"mmm yyyy")</x:f>
        <x:v>May 2026</x:v>
      </x:c>
    </x:row>
    <x:row r="1124" ht="21" customHeight="1">
      <x:c r="A1124" s="10" t="n">
        <x:v>46171</x:v>
      </x:c>
      <x:c r="B1124" s="1" t="n">
        <x:v>22</x:v>
      </x:c>
      <x:c r="C1124" s="1" t="n">
        <x:v>6</x:v>
      </x:c>
      <x:c r="D1124" s="12" t="n">
        <x:v>0</x:v>
      </x:c>
      <x:c r="E1124" s="12" t="n">
        <x:v>0.6846666666666668</x:v>
      </x:c>
      <x:c r="F1124" s="12" t="n">
        <x:v>0.6845000000000001</x:v>
      </x:c>
      <x:c r="G1124" s="12" t="n">
        <x:v>0</x:v>
      </x:c>
      <x:c r="H1124" s="1" t="n">
        <x:f>'Historical prices'!E1124</x:f>
        <x:v>1.05</x:v>
      </x:c>
      <x:c r="I1124" s="6" t="n">
        <x:f>'Historical prices'!D1124</x:f>
        <x:v>0.22260000000000002</x:v>
      </x:c>
      <x:c r="J1124" s="13" t="n">
        <x:f>D1124*I1124*H1124</x:f>
        <x:v>0</x:v>
      </x:c>
      <x:c r="K1124" s="13" t="n">
        <x:f>E1124*I1124*H1124</x:f>
        <x:v>0.16002714000000004</x:v>
      </x:c>
      <x:c r="L1124" s="1" t="str">
        <x:f>TEXT(A1124,"mmm yyyy")</x:f>
        <x:v>May 2026</x:v>
      </x:c>
    </x:row>
    <x:row r="1125" ht="21" customHeight="1">
      <x:c r="A1125" s="10" t="n">
        <x:v>46171</x:v>
      </x:c>
      <x:c r="B1125" s="1" t="n">
        <x:v>22.5</x:v>
      </x:c>
      <x:c r="C1125" s="1" t="n">
        <x:v>6</x:v>
      </x:c>
      <x:c r="D1125" s="12" t="n">
        <x:v>0</x:v>
      </x:c>
      <x:c r="E1125" s="12" t="n">
        <x:v>0.2679166666666667</x:v>
      </x:c>
      <x:c r="F1125" s="12" t="n">
        <x:v>0.26783333333333337</x:v>
      </x:c>
      <x:c r="G1125" s="12" t="n">
        <x:v>0</x:v>
      </x:c>
      <x:c r="H1125" s="1" t="n">
        <x:f>'Historical prices'!E1125</x:f>
        <x:v>1.05</x:v>
      </x:c>
      <x:c r="I1125" s="6" t="n">
        <x:f>'Historical prices'!D1125</x:f>
        <x:v>0.2354</x:v>
      </x:c>
      <x:c r="J1125" s="13" t="n">
        <x:f>D1125*I1125*H1125</x:f>
        <x:v>0</x:v>
      </x:c>
      <x:c r="K1125" s="13" t="n">
        <x:f>E1125*I1125*H1125</x:f>
        <x:v>0.06622096250000001</x:v>
      </x:c>
      <x:c r="L1125" s="1" t="str">
        <x:f>TEXT(A1125,"mmm yyyy")</x:f>
        <x:v>May 2026</x:v>
      </x:c>
    </x:row>
    <x:row r="1126" ht="21" customHeight="1">
      <x:c r="A1126" s="10" t="n">
        <x:v>46171</x:v>
      </x:c>
      <x:c r="B1126" s="1" t="n">
        <x:v>23</x:v>
      </x:c>
      <x:c r="C1126" s="1" t="n">
        <x:v>6</x:v>
      </x:c>
      <x:c r="D1126" s="12" t="n">
        <x:v>0</x:v>
      </x:c>
      <x:c r="E1126" s="12" t="n">
        <x:v>0.35391666666666666</x:v>
      </x:c>
      <x:c r="F1126" s="12" t="n">
        <x:v>0.35383333333333333</x:v>
      </x:c>
      <x:c r="G1126" s="12" t="n">
        <x:v>0</x:v>
      </x:c>
      <x:c r="H1126" s="1" t="n">
        <x:f>'Historical prices'!E1126</x:f>
        <x:v>1.05</x:v>
      </x:c>
      <x:c r="I1126" s="6" t="n">
        <x:f>'Historical prices'!D1126</x:f>
        <x:v>0.21350000000000002</x:v>
      </x:c>
      <x:c r="J1126" s="13" t="n">
        <x:f>D1126*I1126*H1126</x:f>
        <x:v>0</x:v>
      </x:c>
      <x:c r="K1126" s="13" t="n">
        <x:f>E1126*I1126*H1126</x:f>
        <x:v>0.07933926875000001</x:v>
      </x:c>
      <x:c r="L1126" s="1" t="str">
        <x:f>TEXT(A1126,"mmm yyyy")</x:f>
        <x:v>May 2026</x:v>
      </x:c>
    </x:row>
    <x:row r="1127" ht="21" customHeight="1">
      <x:c r="A1127" s="10" t="n">
        <x:v>46171</x:v>
      </x:c>
      <x:c r="B1127" s="1" t="n">
        <x:v>23.5</x:v>
      </x:c>
      <x:c r="C1127" s="1" t="n">
        <x:v>6</x:v>
      </x:c>
      <x:c r="D1127" s="12" t="n">
        <x:v>0</x:v>
      </x:c>
      <x:c r="E1127" s="12" t="n">
        <x:v>0.34091666666666665</x:v>
      </x:c>
      <x:c r="F1127" s="12" t="n">
        <x:v>0.34075</x:v>
      </x:c>
      <x:c r="G1127" s="12" t="n">
        <x:v>0</x:v>
      </x:c>
      <x:c r="H1127" s="1" t="n">
        <x:f>'Historical prices'!E1127</x:f>
        <x:v>1.05</x:v>
      </x:c>
      <x:c r="I1127" s="6" t="n">
        <x:f>'Historical prices'!D1127</x:f>
        <x:v>0.2148</x:v>
      </x:c>
      <x:c r="J1127" s="13" t="n">
        <x:f>D1127*I1127*H1127</x:f>
        <x:v>0</x:v>
      </x:c>
      <x:c r="K1127" s="13" t="n">
        <x:f>E1127*I1127*H1127</x:f>
        <x:v>0.07689034499999998</x:v>
      </x:c>
      <x:c r="L1127" s="1" t="str">
        <x:f>TEXT(A1127,"mmm yyyy")</x:f>
        <x:v>May 2026</x:v>
      </x:c>
    </x:row>
    <x:row r="1128" ht="21" customHeight="1">
      <x:c r="A1128" s="10" t="n">
        <x:v>46172</x:v>
      </x:c>
      <x:c r="B1128" s="1" t="n">
        <x:v>0</x:v>
      </x:c>
      <x:c r="C1128" s="1" t="n">
        <x:v>6</x:v>
      </x:c>
      <x:c r="D1128" s="12" t="n">
        <x:v>0</x:v>
      </x:c>
      <x:c r="E1128" s="12" t="n">
        <x:v>0.28383333333333327</x:v>
      </x:c>
      <x:c r="F1128" s="12" t="n">
        <x:v>0.2836666666666666</x:v>
      </x:c>
      <x:c r="G1128" s="12" t="n">
        <x:v>0</x:v>
      </x:c>
      <x:c r="H1128" s="1" t="n">
        <x:f>'Historical prices'!E1128</x:f>
        <x:v>1.05</x:v>
      </x:c>
      <x:c r="I1128" s="6" t="n">
        <x:f>'Historical prices'!D1128</x:f>
        <x:v>0.2018</x:v>
      </x:c>
      <x:c r="J1128" s="13" t="n">
        <x:f>D1128*I1128*H1128</x:f>
        <x:v>0</x:v>
      </x:c>
      <x:c r="K1128" s="13" t="n">
        <x:f>E1128*I1128*H1128</x:f>
        <x:v>0.06014144499999999</x:v>
      </x:c>
      <x:c r="L1128" s="1" t="str">
        <x:f>TEXT(A1128,"mmm yyyy")</x:f>
        <x:v>May 2026</x:v>
      </x:c>
    </x:row>
    <x:row r="1129" ht="21" customHeight="1">
      <x:c r="A1129" s="10" t="n">
        <x:v>46172</x:v>
      </x:c>
      <x:c r="B1129" s="1" t="n">
        <x:v>0.5</x:v>
      </x:c>
      <x:c r="C1129" s="1" t="n">
        <x:v>6</x:v>
      </x:c>
      <x:c r="D1129" s="12" t="n">
        <x:v>0</x:v>
      </x:c>
      <x:c r="E1129" s="12" t="n">
        <x:v>0.24466666666666667</x:v>
      </x:c>
      <x:c r="F1129" s="12" t="n">
        <x:v>0.24466666666666667</x:v>
      </x:c>
      <x:c r="G1129" s="12" t="n">
        <x:v>0</x:v>
      </x:c>
      <x:c r="H1129" s="1" t="n">
        <x:f>'Historical prices'!E1129</x:f>
        <x:v>1.05</x:v>
      </x:c>
      <x:c r="I1129" s="6" t="n">
        <x:f>'Historical prices'!D1129</x:f>
        <x:v>0.2102</x:v>
      </x:c>
      <x:c r="J1129" s="13" t="n">
        <x:f>D1129*I1129*H1129</x:f>
        <x:v>0</x:v>
      </x:c>
      <x:c r="K1129" s="13" t="n">
        <x:f>E1129*I1129*H1129</x:f>
        <x:v>0.05400038000000001</x:v>
      </x:c>
      <x:c r="L1129" s="1" t="str">
        <x:f>TEXT(A1129,"mmm yyyy")</x:f>
        <x:v>May 2026</x:v>
      </x:c>
    </x:row>
    <x:row r="1130" ht="21" customHeight="1">
      <x:c r="A1130" s="10" t="n">
        <x:v>46172</x:v>
      </x:c>
      <x:c r="B1130" s="1" t="n">
        <x:v>1</x:v>
      </x:c>
      <x:c r="C1130" s="1" t="n">
        <x:v>6</x:v>
      </x:c>
      <x:c r="D1130" s="12" t="n">
        <x:v>0</x:v>
      </x:c>
      <x:c r="E1130" s="12" t="n">
        <x:v>0.254</x:v>
      </x:c>
      <x:c r="F1130" s="12" t="n">
        <x:v>0.2539166666666667</x:v>
      </x:c>
      <x:c r="G1130" s="12" t="n">
        <x:v>0</x:v>
      </x:c>
      <x:c r="H1130" s="1" t="n">
        <x:f>'Historical prices'!E1130</x:f>
        <x:v>1.05</x:v>
      </x:c>
      <x:c r="I1130" s="6" t="n">
        <x:f>'Historical prices'!D1130</x:f>
        <x:v>0.20079999999999998</x:v>
      </x:c>
      <x:c r="J1130" s="13" t="n">
        <x:f>D1130*I1130*H1130</x:f>
        <x:v>0</x:v>
      </x:c>
      <x:c r="K1130" s="13" t="n">
        <x:f>E1130*I1130*H1130</x:f>
        <x:v>0.05355336</x:v>
      </x:c>
      <x:c r="L1130" s="1" t="str">
        <x:f>TEXT(A1130,"mmm yyyy")</x:f>
        <x:v>May 2026</x:v>
      </x:c>
    </x:row>
    <x:row r="1131" ht="21" customHeight="1">
      <x:c r="A1131" s="10" t="n">
        <x:v>46172</x:v>
      </x:c>
      <x:c r="B1131" s="1" t="n">
        <x:v>1.5</x:v>
      </x:c>
      <x:c r="C1131" s="1" t="n">
        <x:v>6</x:v>
      </x:c>
      <x:c r="D1131" s="12" t="n">
        <x:v>0</x:v>
      </x:c>
      <x:c r="E1131" s="12" t="n">
        <x:v>0.25775</x:v>
      </x:c>
      <x:c r="F1131" s="12" t="n">
        <x:v>0.25758333333333333</x:v>
      </x:c>
      <x:c r="G1131" s="12" t="n">
        <x:v>0</x:v>
      </x:c>
      <x:c r="H1131" s="1" t="n">
        <x:f>'Historical prices'!E1131</x:f>
        <x:v>1.05</x:v>
      </x:c>
      <x:c r="I1131" s="6" t="n">
        <x:f>'Historical prices'!D1131</x:f>
        <x:v>0.20809999999999998</x:v>
      </x:c>
      <x:c r="J1131" s="13" t="n">
        <x:f>D1131*I1131*H1131</x:f>
        <x:v>0</x:v>
      </x:c>
      <x:c r="K1131" s="13" t="n">
        <x:f>E1131*I1131*H1131</x:f>
        <x:v>0.05631966374999999</x:v>
      </x:c>
      <x:c r="L1131" s="1" t="str">
        <x:f>TEXT(A1131,"mmm yyyy")</x:f>
        <x:v>May 2026</x:v>
      </x:c>
    </x:row>
    <x:row r="1132" ht="21" customHeight="1">
      <x:c r="A1132" s="10" t="n">
        <x:v>46172</x:v>
      </x:c>
      <x:c r="B1132" s="1" t="n">
        <x:v>2</x:v>
      </x:c>
      <x:c r="C1132" s="1" t="n">
        <x:v>6</x:v>
      </x:c>
      <x:c r="D1132" s="12" t="n">
        <x:v>0</x:v>
      </x:c>
      <x:c r="E1132" s="12" t="n">
        <x:v>0.20708333333333334</x:v>
      </x:c>
      <x:c r="F1132" s="12" t="n">
        <x:v>0.20683333333333334</x:v>
      </x:c>
      <x:c r="G1132" s="12" t="n">
        <x:v>0</x:v>
      </x:c>
      <x:c r="H1132" s="1" t="n">
        <x:f>'Historical prices'!E1132</x:f>
        <x:v>1.05</x:v>
      </x:c>
      <x:c r="I1132" s="6" t="n">
        <x:f>'Historical prices'!D1132</x:f>
        <x:v>0.1997</x:v>
      </x:c>
      <x:c r="J1132" s="13" t="n">
        <x:f>D1132*I1132*H1132</x:f>
        <x:v>0</x:v>
      </x:c>
      <x:c r="K1132" s="13" t="n">
        <x:f>E1132*I1132*H1132</x:f>
        <x:v>0.043422268750000007</x:v>
      </x:c>
      <x:c r="L1132" s="1" t="str">
        <x:f>TEXT(A1132,"mmm yyyy")</x:f>
        <x:v>May 2026</x:v>
      </x:c>
    </x:row>
    <x:row r="1133" ht="21" customHeight="1">
      <x:c r="A1133" s="10" t="n">
        <x:v>46172</x:v>
      </x:c>
      <x:c r="B1133" s="1" t="n">
        <x:v>2.5</x:v>
      </x:c>
      <x:c r="C1133" s="1" t="n">
        <x:v>6</x:v>
      </x:c>
      <x:c r="D1133" s="12" t="n">
        <x:v>0.15300000000000002</x:v>
      </x:c>
      <x:c r="E1133" s="12" t="n">
        <x:v>0.19691666666666663</x:v>
      </x:c>
      <x:c r="F1133" s="12" t="n">
        <x:v>0.032916666666666664</x:v>
      </x:c>
      <x:c r="G1133" s="12" t="n">
        <x:v>0</x:v>
      </x:c>
      <x:c r="H1133" s="1" t="n">
        <x:f>'Historical prices'!E1133</x:f>
        <x:v>1.05</x:v>
      </x:c>
      <x:c r="I1133" s="6" t="n">
        <x:f>'Historical prices'!D1133</x:f>
        <x:v>0.1905</x:v>
      </x:c>
      <x:c r="J1133" s="13" t="n">
        <x:f>D1133*I1133*H1133</x:f>
        <x:v>0.030603825000000008</x:v>
      </x:c>
      <x:c r="K1133" s="13" t="n">
        <x:f>E1133*I1133*H1133</x:f>
        <x:v>0.039388256249999996</x:v>
      </x:c>
      <x:c r="L1133" s="1" t="str">
        <x:f>TEXT(A1133,"mmm yyyy")</x:f>
        <x:v>May 2026</x:v>
      </x:c>
    </x:row>
    <x:row r="1134" ht="21" customHeight="1">
      <x:c r="A1134" s="10" t="n">
        <x:v>46172</x:v>
      </x:c>
      <x:c r="B1134" s="1" t="n">
        <x:v>3</x:v>
      </x:c>
      <x:c r="C1134" s="1" t="n">
        <x:v>6</x:v>
      </x:c>
      <x:c r="D1134" s="12" t="n">
        <x:v>0.18133333333333335</x:v>
      </x:c>
      <x:c r="E1134" s="12" t="n">
        <x:v>0.2909166666666667</x:v>
      </x:c>
      <x:c r="F1134" s="12" t="n">
        <x:v>0.15291666666666667</x:v>
      </x:c>
      <x:c r="G1134" s="12" t="n">
        <x:v>0.049</x:v>
      </x:c>
      <x:c r="H1134" s="1" t="n">
        <x:f>'Historical prices'!E1134</x:f>
        <x:v>1.05</x:v>
      </x:c>
      <x:c r="I1134" s="6" t="n">
        <x:f>'Historical prices'!D1134</x:f>
        <x:v>0.19820000000000002</x:v>
      </x:c>
      <x:c r="J1134" s="13" t="n">
        <x:f>D1134*I1134*H1134</x:f>
        <x:v>0.037737280000000005</x:v>
      </x:c>
      <x:c r="K1134" s="13" t="n">
        <x:f>E1134*I1134*H1134</x:f>
        <x:v>0.060542667500000015</x:v>
      </x:c>
      <x:c r="L1134" s="1" t="str">
        <x:f>TEXT(A1134,"mmm yyyy")</x:f>
        <x:v>May 2026</x:v>
      </x:c>
    </x:row>
    <x:row r="1135" ht="21" customHeight="1">
      <x:c r="A1135" s="10" t="n">
        <x:v>46172</x:v>
      </x:c>
      <x:c r="B1135" s="1" t="n">
        <x:v>3.5</x:v>
      </x:c>
      <x:c r="C1135" s="1" t="n">
        <x:v>6</x:v>
      </x:c>
      <x:c r="D1135" s="12" t="n">
        <x:v>0.4046666666666667</x:v>
      </x:c>
      <x:c r="E1135" s="12" t="n">
        <x:v>0.3436666666666667</x:v>
      </x:c>
      <x:c r="F1135" s="12" t="n">
        <x:v>0</x:v>
      </x:c>
      <x:c r="G1135" s="12" t="n">
        <x:v>0.06</x:v>
      </x:c>
      <x:c r="H1135" s="1" t="n">
        <x:f>'Historical prices'!E1135</x:f>
        <x:v>1.05</x:v>
      </x:c>
      <x:c r="I1135" s="6" t="n">
        <x:f>'Historical prices'!D1135</x:f>
        <x:v>0.1916</x:v>
      </x:c>
      <x:c r="J1135" s="13" t="n">
        <x:f>D1135*I1135*H1135</x:f>
        <x:v>0.08141084000000001</x:v>
      </x:c>
      <x:c r="K1135" s="13" t="n">
        <x:f>E1135*I1135*H1135</x:f>
        <x:v>0.06913886</x:v>
      </x:c>
      <x:c r="L1135" s="1" t="str">
        <x:f>TEXT(A1135,"mmm yyyy")</x:f>
        <x:v>May 2026</x:v>
      </x:c>
    </x:row>
    <x:row r="1136" ht="21" customHeight="1">
      <x:c r="A1136" s="10" t="n">
        <x:v>46172</x:v>
      </x:c>
      <x:c r="B1136" s="1" t="n">
        <x:v>4</x:v>
      </x:c>
      <x:c r="C1136" s="1" t="n">
        <x:v>6</x:v>
      </x:c>
      <x:c r="D1136" s="12" t="n">
        <x:v>0.29033333333333333</x:v>
      </x:c>
      <x:c r="E1136" s="12" t="n">
        <x:v>0.29233333333333333</x:v>
      </x:c>
      <x:c r="F1136" s="12" t="n">
        <x:v>0</x:v>
      </x:c>
      <x:c r="G1136" s="12" t="n">
        <x:v>0</x:v>
      </x:c>
      <x:c r="H1136" s="1" t="n">
        <x:f>'Historical prices'!E1136</x:f>
        <x:v>1.05</x:v>
      </x:c>
      <x:c r="I1136" s="6" t="n">
        <x:f>'Historical prices'!D1136</x:f>
        <x:v>0.1974</x:v>
      </x:c>
      <x:c r="J1136" s="13" t="n">
        <x:f>D1136*I1136*H1136</x:f>
        <x:v>0.06017739</x:v>
      </x:c>
      <x:c r="K1136" s="13" t="n">
        <x:f>E1136*I1136*H1136</x:f>
        <x:v>0.06059193</x:v>
      </x:c>
      <x:c r="L1136" s="1" t="str">
        <x:f>TEXT(A1136,"mmm yyyy")</x:f>
        <x:v>May 2026</x:v>
      </x:c>
    </x:row>
    <x:row r="1137" ht="21" customHeight="1">
      <x:c r="A1137" s="10" t="n">
        <x:v>46172</x:v>
      </x:c>
      <x:c r="B1137" s="1" t="n">
        <x:v>4.5</x:v>
      </x:c>
      <x:c r="C1137" s="1" t="n">
        <x:v>6</x:v>
      </x:c>
      <x:c r="D1137" s="12" t="n">
        <x:v>0.269</x:v>
      </x:c>
      <x:c r="E1137" s="12" t="n">
        <x:v>0.271</x:v>
      </x:c>
      <x:c r="F1137" s="12" t="n">
        <x:v>0</x:v>
      </x:c>
      <x:c r="G1137" s="12" t="n">
        <x:v>0</x:v>
      </x:c>
      <x:c r="H1137" s="1" t="n">
        <x:f>'Historical prices'!E1137</x:f>
        <x:v>1.05</x:v>
      </x:c>
      <x:c r="I1137" s="6" t="n">
        <x:f>'Historical prices'!D1137</x:f>
        <x:v>0.1955</x:v>
      </x:c>
      <x:c r="J1137" s="13" t="n">
        <x:f>D1137*I1137*H1137</x:f>
        <x:v>0.055218975000000003</x:v>
      </x:c>
      <x:c r="K1137" s="13" t="n">
        <x:f>E1137*I1137*H1137</x:f>
        <x:v>0.055629525000000006</x:v>
      </x:c>
      <x:c r="L1137" s="1" t="str">
        <x:f>TEXT(A1137,"mmm yyyy")</x:f>
        <x:v>May 2026</x:v>
      </x:c>
    </x:row>
    <x:row r="1138" ht="21" customHeight="1">
      <x:c r="A1138" s="10" t="n">
        <x:v>46172</x:v>
      </x:c>
      <x:c r="B1138" s="1" t="n">
        <x:v>5</x:v>
      </x:c>
      <x:c r="C1138" s="1" t="n">
        <x:v>6</x:v>
      </x:c>
      <x:c r="D1138" s="12" t="n">
        <x:v>0.22358333333333336</x:v>
      </x:c>
      <x:c r="E1138" s="12" t="n">
        <x:v>0.22758333333333336</x:v>
      </x:c>
      <x:c r="F1138" s="12" t="n">
        <x:v>0</x:v>
      </x:c>
      <x:c r="G1138" s="12" t="n">
        <x:v>0</x:v>
      </x:c>
      <x:c r="H1138" s="1" t="n">
        <x:f>'Historical prices'!E1138</x:f>
        <x:v>1.05</x:v>
      </x:c>
      <x:c r="I1138" s="6" t="n">
        <x:f>'Historical prices'!D1138</x:f>
        <x:v>0.1892</x:v>
      </x:c>
      <x:c r="J1138" s="13" t="n">
        <x:f>D1138*I1138*H1138</x:f>
        <x:v>0.044417065000000006</x:v>
      </x:c>
      <x:c r="K1138" s="13" t="n">
        <x:f>E1138*I1138*H1138</x:f>
        <x:v>0.045211705000000005</x:v>
      </x:c>
      <x:c r="L1138" s="1" t="str">
        <x:f>TEXT(A1138,"mmm yyyy")</x:f>
        <x:v>May 2026</x:v>
      </x:c>
    </x:row>
    <x:row r="1139" ht="21" customHeight="1">
      <x:c r="A1139" s="10" t="n">
        <x:v>46172</x:v>
      </x:c>
      <x:c r="B1139" s="1" t="n">
        <x:v>5.5</x:v>
      </x:c>
      <x:c r="C1139" s="1" t="n">
        <x:v>6</x:v>
      </x:c>
      <x:c r="D1139" s="12" t="n">
        <x:v>0.2519166666666667</x:v>
      </x:c>
      <x:c r="E1139" s="12" t="n">
        <x:v>0.2529166666666667</x:v>
      </x:c>
      <x:c r="F1139" s="12" t="n">
        <x:v>0</x:v>
      </x:c>
      <x:c r="G1139" s="12" t="n">
        <x:v>0</x:v>
      </x:c>
      <x:c r="H1139" s="1" t="n">
        <x:f>'Historical prices'!E1139</x:f>
        <x:v>1.05</x:v>
      </x:c>
      <x:c r="I1139" s="6" t="n">
        <x:f>'Historical prices'!D1139</x:f>
        <x:v>0.1888</x:v>
      </x:c>
      <x:c r="J1139" s="13" t="n">
        <x:f>D1139*I1139*H1139</x:f>
        <x:v>0.049939960000000005</x:v>
      </x:c>
      <x:c r="K1139" s="13" t="n">
        <x:f>E1139*I1139*H1139</x:f>
        <x:v>0.05013820000000001</x:v>
      </x:c>
      <x:c r="L1139" s="1" t="str">
        <x:f>TEXT(A1139,"mmm yyyy")</x:f>
        <x:v>May 2026</x:v>
      </x:c>
    </x:row>
    <x:row r="1140" ht="21" customHeight="1">
      <x:c r="A1140" s="10" t="n">
        <x:v>46172</x:v>
      </x:c>
      <x:c r="B1140" s="1" t="n">
        <x:v>6</x:v>
      </x:c>
      <x:c r="C1140" s="1" t="n">
        <x:v>6</x:v>
      </x:c>
      <x:c r="D1140" s="12" t="n">
        <x:v>0.496</x:v>
      </x:c>
      <x:c r="E1140" s="12" t="n">
        <x:v>0.496</x:v>
      </x:c>
      <x:c r="F1140" s="12" t="n">
        <x:v>0</x:v>
      </x:c>
      <x:c r="G1140" s="12" t="n">
        <x:v>0</x:v>
      </x:c>
      <x:c r="H1140" s="1" t="n">
        <x:f>'Historical prices'!E1140</x:f>
        <x:v>1.05</x:v>
      </x:c>
      <x:c r="I1140" s="6" t="n">
        <x:f>'Historical prices'!D1140</x:f>
        <x:v>0.18460000000000001</x:v>
      </x:c>
      <x:c r="J1140" s="13" t="n">
        <x:f>D1140*I1140*H1140</x:f>
        <x:v>0.09613968</x:v>
      </x:c>
      <x:c r="K1140" s="13" t="n">
        <x:f>E1140*I1140*H1140</x:f>
        <x:v>0.09613968</x:v>
      </x:c>
      <x:c r="L1140" s="1" t="str">
        <x:f>TEXT(A1140,"mmm yyyy")</x:f>
        <x:v>May 2026</x:v>
      </x:c>
    </x:row>
    <x:row r="1141" ht="21" customHeight="1">
      <x:c r="A1141" s="10" t="n">
        <x:v>46172</x:v>
      </x:c>
      <x:c r="B1141" s="1" t="n">
        <x:v>6.5</x:v>
      </x:c>
      <x:c r="C1141" s="1" t="n">
        <x:v>6</x:v>
      </x:c>
      <x:c r="D1141" s="12" t="n">
        <x:v>0.5535</x:v>
      </x:c>
      <x:c r="E1141" s="12" t="n">
        <x:v>0.5555</x:v>
      </x:c>
      <x:c r="F1141" s="12" t="n">
        <x:v>0</x:v>
      </x:c>
      <x:c r="G1141" s="12" t="n">
        <x:v>0</x:v>
      </x:c>
      <x:c r="H1141" s="1" t="n">
        <x:f>'Historical prices'!E1141</x:f>
        <x:v>1.05</x:v>
      </x:c>
      <x:c r="I1141" s="6" t="n">
        <x:f>'Historical prices'!D1141</x:f>
        <x:v>0.1941</x:v>
      </x:c>
      <x:c r="J1141" s="13" t="n">
        <x:f>D1141*I1141*H1141</x:f>
        <x:v>0.1128060675</x:v>
      </x:c>
      <x:c r="K1141" s="13" t="n">
        <x:f>E1141*I1141*H1141</x:f>
        <x:v>0.1132136775</x:v>
      </x:c>
      <x:c r="L1141" s="1" t="str">
        <x:f>TEXT(A1141,"mmm yyyy")</x:f>
        <x:v>May 2026</x:v>
      </x:c>
    </x:row>
    <x:row r="1142" ht="21" customHeight="1">
      <x:c r="A1142" s="10" t="n">
        <x:v>46172</x:v>
      </x:c>
      <x:c r="B1142" s="1" t="n">
        <x:v>7</x:v>
      </x:c>
      <x:c r="C1142" s="1" t="n">
        <x:v>6</x:v>
      </x:c>
      <x:c r="D1142" s="12" t="n">
        <x:v>0.5266666666666667</x:v>
      </x:c>
      <x:c r="E1142" s="12" t="n">
        <x:v>0.5286666666666667</x:v>
      </x:c>
      <x:c r="F1142" s="12" t="n">
        <x:v>0</x:v>
      </x:c>
      <x:c r="G1142" s="12" t="n">
        <x:v>0</x:v>
      </x:c>
      <x:c r="H1142" s="1" t="n">
        <x:f>'Historical prices'!E1142</x:f>
        <x:v>1.05</x:v>
      </x:c>
      <x:c r="I1142" s="6" t="n">
        <x:f>'Historical prices'!D1142</x:f>
        <x:v>0.1808</x:v>
      </x:c>
      <x:c r="J1142" s="13" t="n">
        <x:f>D1142*I1142*H1142</x:f>
        <x:v>0.09998240000000001</x:v>
      </x:c>
      <x:c r="K1142" s="13" t="n">
        <x:f>E1142*I1142*H1142</x:f>
        <x:v>0.10036208000000002</x:v>
      </x:c>
      <x:c r="L1142" s="1" t="str">
        <x:f>TEXT(A1142,"mmm yyyy")</x:f>
        <x:v>May 2026</x:v>
      </x:c>
    </x:row>
    <x:row r="1143" ht="21" customHeight="1">
      <x:c r="A1143" s="10" t="n">
        <x:v>46172</x:v>
      </x:c>
      <x:c r="B1143" s="1" t="n">
        <x:v>7.5</x:v>
      </x:c>
      <x:c r="C1143" s="1" t="n">
        <x:v>6</x:v>
      </x:c>
      <x:c r="D1143" s="12" t="n">
        <x:v>1.1432499999999999</x:v>
      </x:c>
      <x:c r="E1143" s="12" t="n">
        <x:v>1.14425</x:v>
      </x:c>
      <x:c r="F1143" s="12" t="n">
        <x:v>0</x:v>
      </x:c>
      <x:c r="G1143" s="12" t="n">
        <x:v>0</x:v>
      </x:c>
      <x:c r="H1143" s="1" t="n">
        <x:f>'Historical prices'!E1143</x:f>
        <x:v>1.05</x:v>
      </x:c>
      <x:c r="I1143" s="6" t="n">
        <x:f>'Historical prices'!D1143</x:f>
        <x:v>0.1844</x:v>
      </x:c>
      <x:c r="J1143" s="13" t="n">
        <x:f>D1143*I1143*H1143</x:f>
        <x:v>0.221356065</x:v>
      </x:c>
      <x:c r="K1143" s="13" t="n">
        <x:f>E1143*I1143*H1143</x:f>
        <x:v>0.22154968500000002</x:v>
      </x:c>
      <x:c r="L1143" s="1" t="str">
        <x:f>TEXT(A1143,"mmm yyyy")</x:f>
        <x:v>May 2026</x:v>
      </x:c>
    </x:row>
    <x:row r="1144" ht="21" customHeight="1">
      <x:c r="A1144" s="10" t="n">
        <x:v>46172</x:v>
      </x:c>
      <x:c r="B1144" s="1" t="n">
        <x:v>8</x:v>
      </x:c>
      <x:c r="C1144" s="1" t="n">
        <x:v>6</x:v>
      </x:c>
      <x:c r="D1144" s="12" t="n">
        <x:v>0.53725</x:v>
      </x:c>
      <x:c r="E1144" s="12" t="n">
        <x:v>0.53825</x:v>
      </x:c>
      <x:c r="F1144" s="12" t="n">
        <x:v>0</x:v>
      </x:c>
      <x:c r="G1144" s="12" t="n">
        <x:v>0</x:v>
      </x:c>
      <x:c r="H1144" s="1" t="n">
        <x:f>'Historical prices'!E1144</x:f>
        <x:v>1.05</x:v>
      </x:c>
      <x:c r="I1144" s="6" t="n">
        <x:f>'Historical prices'!D1144</x:f>
        <x:v>0.187</x:v>
      </x:c>
      <x:c r="J1144" s="13" t="n">
        <x:f>D1144*I1144*H1144</x:f>
        <x:v>0.10548903750000001</x:v>
      </x:c>
      <x:c r="K1144" s="13" t="n">
        <x:f>E1144*I1144*H1144</x:f>
        <x:v>0.1056853875</x:v>
      </x:c>
      <x:c r="L1144" s="1" t="str">
        <x:f>TEXT(A1144,"mmm yyyy")</x:f>
        <x:v>May 2026</x:v>
      </x:c>
    </x:row>
    <x:row r="1145" ht="21" customHeight="1">
      <x:c r="A1145" s="10" t="n">
        <x:v>46172</x:v>
      </x:c>
      <x:c r="B1145" s="1" t="n">
        <x:v>8.5</x:v>
      </x:c>
      <x:c r="C1145" s="1" t="n">
        <x:v>6</x:v>
      </x:c>
      <x:c r="D1145" s="12" t="n">
        <x:v>0.5945833333333334</x:v>
      </x:c>
      <x:c r="E1145" s="12" t="n">
        <x:v>0.5955833333333334</x:v>
      </x:c>
      <x:c r="F1145" s="12" t="n">
        <x:v>0</x:v>
      </x:c>
      <x:c r="G1145" s="12" t="n">
        <x:v>0</x:v>
      </x:c>
      <x:c r="H1145" s="1" t="n">
        <x:f>'Historical prices'!E1145</x:f>
        <x:v>1.05</x:v>
      </x:c>
      <x:c r="I1145" s="6" t="n">
        <x:f>'Historical prices'!D1145</x:f>
        <x:v>0.182</x:v>
      </x:c>
      <x:c r="J1145" s="13" t="n">
        <x:f>D1145*I1145*H1145</x:f>
        <x:v>0.113624875</x:v>
      </x:c>
      <x:c r="K1145" s="13" t="n">
        <x:f>E1145*I1145*H1145</x:f>
        <x:v>0.113815975</x:v>
      </x:c>
      <x:c r="L1145" s="1" t="str">
        <x:f>TEXT(A1145,"mmm yyyy")</x:f>
        <x:v>May 2026</x:v>
      </x:c>
    </x:row>
    <x:row r="1146" ht="21" customHeight="1">
      <x:c r="A1146" s="10" t="n">
        <x:v>46172</x:v>
      </x:c>
      <x:c r="B1146" s="1" t="n">
        <x:v>9</x:v>
      </x:c>
      <x:c r="C1146" s="1" t="n">
        <x:v>6</x:v>
      </x:c>
      <x:c r="D1146" s="12" t="n">
        <x:v>4.437416666666667</x:v>
      </x:c>
      <x:c r="E1146" s="12" t="n">
        <x:v>0.6294166666666666</x:v>
      </x:c>
      <x:c r="F1146" s="12" t="n">
        <x:v>0</x:v>
      </x:c>
      <x:c r="G1146" s="12" t="n">
        <x:v>3.8070000000000004</x:v>
      </x:c>
      <x:c r="H1146" s="1" t="n">
        <x:f>'Historical prices'!E1146</x:f>
        <x:v>1.05</x:v>
      </x:c>
      <x:c r="I1146" s="6" t="n">
        <x:f>'Historical prices'!D1146</x:f>
        <x:v>0.154</x:v>
      </x:c>
      <x:c r="J1146" s="13" t="n">
        <x:f>D1146*I1146*H1146</x:f>
        <x:v>0.717530275</x:v>
      </x:c>
      <x:c r="K1146" s="13" t="n">
        <x:f>E1146*I1146*H1146</x:f>
        <x:v>0.101776675</x:v>
      </x:c>
      <x:c r="L1146" s="1" t="str">
        <x:f>TEXT(A1146,"mmm yyyy")</x:f>
        <x:v>May 2026</x:v>
      </x:c>
    </x:row>
    <x:row r="1147" ht="21" customHeight="1">
      <x:c r="A1147" s="10" t="n">
        <x:v>46172</x:v>
      </x:c>
      <x:c r="B1147" s="1" t="n">
        <x:v>9.5</x:v>
      </x:c>
      <x:c r="C1147" s="1" t="n">
        <x:v>6</x:v>
      </x:c>
      <x:c r="D1147" s="12" t="n">
        <x:v>1.1125833333333333</x:v>
      </x:c>
      <x:c r="E1147" s="12" t="n">
        <x:v>0.3835833333333334</x:v>
      </x:c>
      <x:c r="F1147" s="12" t="n">
        <x:v>0</x:v>
      </x:c>
      <x:c r="G1147" s="12" t="n">
        <x:v>0.733</x:v>
      </x:c>
      <x:c r="H1147" s="1" t="n">
        <x:f>'Historical prices'!E1147</x:f>
        <x:v>1.05</x:v>
      </x:c>
      <x:c r="I1147" s="6" t="n">
        <x:f>'Historical prices'!D1147</x:f>
        <x:v>0.16820000000000002</x:v>
      </x:c>
      <x:c r="J1147" s="13" t="n">
        <x:f>D1147*I1147*H1147</x:f>
        <x:v>0.1964933425</x:v>
      </x:c>
      <x:c r="K1147" s="13" t="n">
        <x:f>E1147*I1147*H1147</x:f>
        <x:v>0.06774465250000002</x:v>
      </x:c>
      <x:c r="L1147" s="1" t="str">
        <x:f>TEXT(A1147,"mmm yyyy")</x:f>
        <x:v>May 2026</x:v>
      </x:c>
    </x:row>
    <x:row r="1148" ht="21" customHeight="1">
      <x:c r="A1148" s="10" t="n">
        <x:v>46172</x:v>
      </x:c>
      <x:c r="B1148" s="1" t="n">
        <x:v>10</x:v>
      </x:c>
      <x:c r="C1148" s="1" t="n">
        <x:v>6</x:v>
      </x:c>
      <x:c r="D1148" s="12" t="n">
        <x:v>0.7315833333333334</x:v>
      </x:c>
      <x:c r="E1148" s="12" t="n">
        <x:v>0.7425833333333334</x:v>
      </x:c>
      <x:c r="F1148" s="12" t="n">
        <x:v>0</x:v>
      </x:c>
      <x:c r="G1148" s="12" t="n">
        <x:v>0</x:v>
      </x:c>
      <x:c r="H1148" s="1" t="n">
        <x:f>'Historical prices'!E1148</x:f>
        <x:v>1.05</x:v>
      </x:c>
      <x:c r="I1148" s="6" t="n">
        <x:f>'Historical prices'!D1148</x:f>
        <x:v>0.1858</x:v>
      </x:c>
      <x:c r="J1148" s="13" t="n">
        <x:f>D1148*I1148*H1148</x:f>
        <x:v>0.14272459250000002</x:v>
      </x:c>
      <x:c r="K1148" s="13" t="n">
        <x:f>E1148*I1148*H1148</x:f>
        <x:v>0.1448705825</x:v>
      </x:c>
      <x:c r="L1148" s="1" t="str">
        <x:f>TEXT(A1148,"mmm yyyy")</x:f>
        <x:v>May 2026</x:v>
      </x:c>
    </x:row>
    <x:row r="1149" ht="21" customHeight="1">
      <x:c r="A1149" s="10" t="n">
        <x:v>46172</x:v>
      </x:c>
      <x:c r="B1149" s="1" t="n">
        <x:v>10.5</x:v>
      </x:c>
      <x:c r="C1149" s="1" t="n">
        <x:v>6</x:v>
      </x:c>
      <x:c r="D1149" s="12" t="n">
        <x:v>0.43241666666666667</x:v>
      </x:c>
      <x:c r="E1149" s="12" t="n">
        <x:v>0.4434166666666667</x:v>
      </x:c>
      <x:c r="F1149" s="12" t="n">
        <x:v>0</x:v>
      </x:c>
      <x:c r="G1149" s="12" t="n">
        <x:v>0</x:v>
      </x:c>
      <x:c r="H1149" s="1" t="n">
        <x:f>'Historical prices'!E1149</x:f>
        <x:v>1.05</x:v>
      </x:c>
      <x:c r="I1149" s="6" t="n">
        <x:f>'Historical prices'!D1149</x:f>
        <x:v>0.1752</x:v>
      </x:c>
      <x:c r="J1149" s="13" t="n">
        <x:f>D1149*I1149*H1149</x:f>
        <x:v>0.07954737</x:v>
      </x:c>
      <x:c r="K1149" s="13" t="n">
        <x:f>E1149*I1149*H1149</x:f>
        <x:v>0.08157093</x:v>
      </x:c>
      <x:c r="L1149" s="1" t="str">
        <x:f>TEXT(A1149,"mmm yyyy")</x:f>
        <x:v>May 2026</x:v>
      </x:c>
    </x:row>
    <x:row r="1150" ht="21" customHeight="1">
      <x:c r="A1150" s="10" t="n">
        <x:v>46172</x:v>
      </x:c>
      <x:c r="B1150" s="1" t="n">
        <x:v>11</x:v>
      </x:c>
      <x:c r="C1150" s="1" t="n">
        <x:v>6</x:v>
      </x:c>
      <x:c r="D1150" s="12" t="n">
        <x:v>0.41608333333333325</x:v>
      </x:c>
      <x:c r="E1150" s="12" t="n">
        <x:v>0.42808333333333326</x:v>
      </x:c>
      <x:c r="F1150" s="12" t="n">
        <x:v>0</x:v>
      </x:c>
      <x:c r="G1150" s="12" t="n">
        <x:v>0</x:v>
      </x:c>
      <x:c r="H1150" s="1" t="n">
        <x:f>'Historical prices'!E1150</x:f>
        <x:v>1.05</x:v>
      </x:c>
      <x:c r="I1150" s="6" t="n">
        <x:f>'Historical prices'!D1150</x:f>
        <x:v>0.1724</x:v>
      </x:c>
      <x:c r="J1150" s="13" t="n">
        <x:f>D1150*I1150*H1150</x:f>
        <x:v>0.07531940499999999</x:v>
      </x:c>
      <x:c r="K1150" s="13" t="n">
        <x:f>E1150*I1150*H1150</x:f>
        <x:v>0.07749164499999998</x:v>
      </x:c>
      <x:c r="L1150" s="1" t="str">
        <x:f>TEXT(A1150,"mmm yyyy")</x:f>
        <x:v>May 2026</x:v>
      </x:c>
    </x:row>
    <x:row r="1151" ht="21" customHeight="1">
      <x:c r="A1151" s="10" t="n">
        <x:v>46172</x:v>
      </x:c>
      <x:c r="B1151" s="1" t="n">
        <x:v>11.5</x:v>
      </x:c>
      <x:c r="C1151" s="1" t="n">
        <x:v>6</x:v>
      </x:c>
      <x:c r="D1151" s="12" t="n">
        <x:v>0.39108333333333334</x:v>
      </x:c>
      <x:c r="E1151" s="12" t="n">
        <x:v>0.40208333333333335</x:v>
      </x:c>
      <x:c r="F1151" s="12" t="n">
        <x:v>0</x:v>
      </x:c>
      <x:c r="G1151" s="12" t="n">
        <x:v>0</x:v>
      </x:c>
      <x:c r="H1151" s="1" t="n">
        <x:f>'Historical prices'!E1151</x:f>
        <x:v>1.05</x:v>
      </x:c>
      <x:c r="I1151" s="6" t="n">
        <x:f>'Historical prices'!D1151</x:f>
        <x:v>0.16210000000000002</x:v>
      </x:c>
      <x:c r="J1151" s="13" t="n">
        <x:f>D1151*I1151*H1151</x:f>
        <x:v>0.06656433875000001</x:v>
      </x:c>
      <x:c r="K1151" s="13" t="n">
        <x:f>E1151*I1151*H1151</x:f>
        <x:v>0.06843659375000002</x:v>
      </x:c>
      <x:c r="L1151" s="1" t="str">
        <x:f>TEXT(A1151,"mmm yyyy")</x:f>
        <x:v>May 2026</x:v>
      </x:c>
    </x:row>
    <x:row r="1152" ht="21" customHeight="1">
      <x:c r="A1152" s="10" t="n">
        <x:v>46172</x:v>
      </x:c>
      <x:c r="B1152" s="1" t="n">
        <x:v>12</x:v>
      </x:c>
      <x:c r="C1152" s="1" t="n">
        <x:v>6</x:v>
      </x:c>
      <x:c r="D1152" s="12" t="n">
        <x:v>0.3375</x:v>
      </x:c>
      <x:c r="E1152" s="12" t="n">
        <x:v>0.3465</x:v>
      </x:c>
      <x:c r="F1152" s="12" t="n">
        <x:v>0</x:v>
      </x:c>
      <x:c r="G1152" s="12" t="n">
        <x:v>0</x:v>
      </x:c>
      <x:c r="H1152" s="1" t="n">
        <x:f>'Historical prices'!E1152</x:f>
        <x:v>1.05</x:v>
      </x:c>
      <x:c r="I1152" s="6" t="n">
        <x:f>'Historical prices'!D1152</x:f>
        <x:v>0.1646</x:v>
      </x:c>
      <x:c r="J1152" s="13" t="n">
        <x:f>D1152*I1152*H1152</x:f>
        <x:v>0.05833012500000001</x:v>
      </x:c>
      <x:c r="K1152" s="13" t="n">
        <x:f>E1152*I1152*H1152</x:f>
        <x:v>0.05988559499999999</x:v>
      </x:c>
      <x:c r="L1152" s="1" t="str">
        <x:f>TEXT(A1152,"mmm yyyy")</x:f>
        <x:v>May 2026</x:v>
      </x:c>
    </x:row>
    <x:row r="1153" ht="21" customHeight="1">
      <x:c r="A1153" s="10" t="n">
        <x:v>46172</x:v>
      </x:c>
      <x:c r="B1153" s="1" t="n">
        <x:v>12.5</x:v>
      </x:c>
      <x:c r="C1153" s="1" t="n">
        <x:v>6</x:v>
      </x:c>
      <x:c r="D1153" s="12" t="n">
        <x:v>0.368</x:v>
      </x:c>
      <x:c r="E1153" s="12" t="n">
        <x:v>0.379</x:v>
      </x:c>
      <x:c r="F1153" s="12" t="n">
        <x:v>0</x:v>
      </x:c>
      <x:c r="G1153" s="12" t="n">
        <x:v>0</x:v>
      </x:c>
      <x:c r="H1153" s="1" t="n">
        <x:f>'Historical prices'!E1153</x:f>
        <x:v>1.05</x:v>
      </x:c>
      <x:c r="I1153" s="6" t="n">
        <x:f>'Historical prices'!D1153</x:f>
        <x:v>0.159</x:v>
      </x:c>
      <x:c r="J1153" s="13" t="n">
        <x:f>D1153*I1153*H1153</x:f>
        <x:v>0.0614376</x:v>
      </x:c>
      <x:c r="K1153" s="13" t="n">
        <x:f>E1153*I1153*H1153</x:f>
        <x:v>0.06327405</x:v>
      </x:c>
      <x:c r="L1153" s="1" t="str">
        <x:f>TEXT(A1153,"mmm yyyy")</x:f>
        <x:v>May 2026</x:v>
      </x:c>
    </x:row>
    <x:row r="1154" ht="21" customHeight="1">
      <x:c r="A1154" s="10" t="n">
        <x:v>46172</x:v>
      </x:c>
      <x:c r="B1154" s="1" t="n">
        <x:v>13</x:v>
      </x:c>
      <x:c r="C1154" s="1" t="n">
        <x:v>6</x:v>
      </x:c>
      <x:c r="D1154" s="12" t="n">
        <x:v>0.44675000000000004</x:v>
      </x:c>
      <x:c r="E1154" s="12" t="n">
        <x:v>0.45674999999999993</x:v>
      </x:c>
      <x:c r="F1154" s="12" t="n">
        <x:v>0</x:v>
      </x:c>
      <x:c r="G1154" s="12" t="n">
        <x:v>0</x:v>
      </x:c>
      <x:c r="H1154" s="1" t="n">
        <x:f>'Historical prices'!E1154</x:f>
        <x:v>1.05</x:v>
      </x:c>
      <x:c r="I1154" s="6" t="n">
        <x:f>'Historical prices'!D1154</x:f>
        <x:v>0.1604</x:v>
      </x:c>
      <x:c r="J1154" s="13" t="n">
        <x:f>D1154*I1154*H1154</x:f>
        <x:v>0.07524163500000002</x:v>
      </x:c>
      <x:c r="K1154" s="13" t="n">
        <x:f>E1154*I1154*H1154</x:f>
        <x:v>0.07692583499999998</x:v>
      </x:c>
      <x:c r="L1154" s="1" t="str">
        <x:f>TEXT(A1154,"mmm yyyy")</x:f>
        <x:v>May 2026</x:v>
      </x:c>
    </x:row>
    <x:row r="1155" ht="21" customHeight="1">
      <x:c r="A1155" s="10" t="n">
        <x:v>46172</x:v>
      </x:c>
      <x:c r="B1155" s="1" t="n">
        <x:v>13.5</x:v>
      </x:c>
      <x:c r="C1155" s="1" t="n">
        <x:v>6</x:v>
      </x:c>
      <x:c r="D1155" s="12" t="n">
        <x:v>0.3148333333333333</x:v>
      </x:c>
      <x:c r="E1155" s="12" t="n">
        <x:v>0.3258333333333333</x:v>
      </x:c>
      <x:c r="F1155" s="12" t="n">
        <x:v>0</x:v>
      </x:c>
      <x:c r="G1155" s="12" t="n">
        <x:v>0</x:v>
      </x:c>
      <x:c r="H1155" s="1" t="n">
        <x:f>'Historical prices'!E1155</x:f>
        <x:v>1.05</x:v>
      </x:c>
      <x:c r="I1155" s="6" t="n">
        <x:f>'Historical prices'!D1155</x:f>
        <x:v>0.1604</x:v>
      </x:c>
      <x:c r="J1155" s="13" t="n">
        <x:f>D1155*I1155*H1155</x:f>
        <x:v>0.05302423</x:v>
      </x:c>
      <x:c r="K1155" s="13" t="n">
        <x:f>E1155*I1155*H1155</x:f>
        <x:v>0.05487685</x:v>
      </x:c>
      <x:c r="L1155" s="1" t="str">
        <x:f>TEXT(A1155,"mmm yyyy")</x:f>
        <x:v>May 2026</x:v>
      </x:c>
    </x:row>
    <x:row r="1156" ht="21" customHeight="1">
      <x:c r="A1156" s="10" t="n">
        <x:v>46172</x:v>
      </x:c>
      <x:c r="B1156" s="1" t="n">
        <x:v>14</x:v>
      </x:c>
      <x:c r="C1156" s="1" t="n">
        <x:v>6</x:v>
      </x:c>
      <x:c r="D1156" s="12" t="n">
        <x:v>0.358</x:v>
      </x:c>
      <x:c r="E1156" s="12" t="n">
        <x:v>0.368</x:v>
      </x:c>
      <x:c r="F1156" s="12" t="n">
        <x:v>0</x:v>
      </x:c>
      <x:c r="G1156" s="12" t="n">
        <x:v>0</x:v>
      </x:c>
      <x:c r="H1156" s="1" t="n">
        <x:f>'Historical prices'!E1156</x:f>
        <x:v>1.05</x:v>
      </x:c>
      <x:c r="I1156" s="6" t="n">
        <x:f>'Historical prices'!D1156</x:f>
        <x:v>0.1612</x:v>
      </x:c>
      <x:c r="J1156" s="13" t="n">
        <x:f>D1156*I1156*H1156</x:f>
        <x:v>0.06059508</x:v>
      </x:c>
      <x:c r="K1156" s="13" t="n">
        <x:f>E1156*I1156*H1156</x:f>
        <x:v>0.062287680000000005</x:v>
      </x:c>
      <x:c r="L1156" s="1" t="str">
        <x:f>TEXT(A1156,"mmm yyyy")</x:f>
        <x:v>May 2026</x:v>
      </x:c>
    </x:row>
    <x:row r="1157" ht="21" customHeight="1">
      <x:c r="A1157" s="10" t="n">
        <x:v>46172</x:v>
      </x:c>
      <x:c r="B1157" s="1" t="n">
        <x:v>14.5</x:v>
      </x:c>
      <x:c r="C1157" s="1" t="n">
        <x:v>6</x:v>
      </x:c>
      <x:c r="D1157" s="12" t="n">
        <x:v>0.8596666666666666</x:v>
      </x:c>
      <x:c r="E1157" s="12" t="n">
        <x:v>0.8676666666666667</x:v>
      </x:c>
      <x:c r="F1157" s="12" t="n">
        <x:v>0</x:v>
      </x:c>
      <x:c r="G1157" s="12" t="n">
        <x:v>0</x:v>
      </x:c>
      <x:c r="H1157" s="1" t="n">
        <x:f>'Historical prices'!E1157</x:f>
        <x:v>1.05</x:v>
      </x:c>
      <x:c r="I1157" s="6" t="n">
        <x:f>'Historical prices'!D1157</x:f>
        <x:v>0.157</x:v>
      </x:c>
      <x:c r="J1157" s="13" t="n">
        <x:f>D1157*I1157*H1157</x:f>
        <x:v>0.14171604999999998</x:v>
      </x:c>
      <x:c r="K1157" s="13" t="n">
        <x:f>E1157*I1157*H1157</x:f>
        <x:v>0.14303485</x:v>
      </x:c>
      <x:c r="L1157" s="1" t="str">
        <x:f>TEXT(A1157,"mmm yyyy")</x:f>
        <x:v>May 2026</x:v>
      </x:c>
    </x:row>
    <x:row r="1158" ht="21" customHeight="1">
      <x:c r="A1158" s="10" t="n">
        <x:v>46172</x:v>
      </x:c>
      <x:c r="B1158" s="1" t="n">
        <x:v>15</x:v>
      </x:c>
      <x:c r="C1158" s="1" t="n">
        <x:v>6</x:v>
      </x:c>
      <x:c r="D1158" s="12" t="n">
        <x:v>4.4535</x:v>
      </x:c>
      <x:c r="E1158" s="12" t="n">
        <x:v>0.6355000000000001</x:v>
      </x:c>
      <x:c r="F1158" s="12" t="n">
        <x:v>0</x:v>
      </x:c>
      <x:c r="G1158" s="12" t="n">
        <x:v>3.819</x:v>
      </x:c>
      <x:c r="H1158" s="1" t="n">
        <x:f>'Historical prices'!E1158</x:f>
        <x:v>1.05</x:v>
      </x:c>
      <x:c r="I1158" s="6" t="n">
        <x:f>'Historical prices'!D1158</x:f>
        <x:v>0.1567</x:v>
      </x:c>
      <x:c r="J1158" s="13" t="n">
        <x:f>D1158*I1158*H1158</x:f>
        <x:v>0.7327566225000001</x:v>
      </x:c>
      <x:c r="K1158" s="13" t="n">
        <x:f>E1158*I1158*H1158</x:f>
        <x:v>0.10456199250000002</x:v>
      </x:c>
      <x:c r="L1158" s="1" t="str">
        <x:f>TEXT(A1158,"mmm yyyy")</x:f>
        <x:v>May 2026</x:v>
      </x:c>
    </x:row>
    <x:row r="1159" ht="21" customHeight="1">
      <x:c r="A1159" s="10" t="n">
        <x:v>46172</x:v>
      </x:c>
      <x:c r="B1159" s="1" t="n">
        <x:v>15.5</x:v>
      </x:c>
      <x:c r="C1159" s="1" t="n">
        <x:v>6</x:v>
      </x:c>
      <x:c r="D1159" s="12" t="n">
        <x:v>1.4994999999999998</x:v>
      </x:c>
      <x:c r="E1159" s="12" t="n">
        <x:v>0.6675</x:v>
      </x:c>
      <x:c r="F1159" s="12" t="n">
        <x:v>0.133</x:v>
      </x:c>
      <x:c r="G1159" s="12" t="n">
        <x:v>0.9649999999999999</x:v>
      </x:c>
      <x:c r="H1159" s="1" t="n">
        <x:f>'Historical prices'!E1159</x:f>
        <x:v>1.05</x:v>
      </x:c>
      <x:c r="I1159" s="6" t="n">
        <x:f>'Historical prices'!D1159</x:f>
        <x:v>0.1598</x:v>
      </x:c>
      <x:c r="J1159" s="13" t="n">
        <x:f>D1159*I1159*H1159</x:f>
        <x:v>0.251601105</x:v>
      </x:c>
      <x:c r="K1159" s="13" t="n">
        <x:f>E1159*I1159*H1159</x:f>
        <x:v>0.111999825</x:v>
      </x:c>
      <x:c r="L1159" s="1" t="str">
        <x:f>TEXT(A1159,"mmm yyyy")</x:f>
        <x:v>May 2026</x:v>
      </x:c>
    </x:row>
    <x:row r="1160" ht="21" customHeight="1">
      <x:c r="A1160" s="10" t="n">
        <x:v>46172</x:v>
      </x:c>
      <x:c r="B1160" s="1" t="n">
        <x:v>16</x:v>
      </x:c>
      <x:c r="C1160" s="1" t="n">
        <x:v>6</x:v>
      </x:c>
      <x:c r="D1160" s="12" t="n">
        <x:v>0</x:v>
      </x:c>
      <x:c r="E1160" s="12" t="n">
        <x:v>0.48000000000000004</x:v>
      </x:c>
      <x:c r="F1160" s="12" t="n">
        <x:v>0.4749166666666667</x:v>
      </x:c>
      <x:c r="G1160" s="12" t="n">
        <x:v>0</x:v>
      </x:c>
      <x:c r="H1160" s="1" t="n">
        <x:f>'Historical prices'!E1160</x:f>
        <x:v>1.05</x:v>
      </x:c>
      <x:c r="I1160" s="6" t="n">
        <x:f>'Historical prices'!D1160</x:f>
        <x:v>0.2939</x:v>
      </x:c>
      <x:c r="J1160" s="13" t="n">
        <x:f>D1160*I1160*H1160</x:f>
        <x:v>0</x:v>
      </x:c>
      <x:c r="K1160" s="13" t="n">
        <x:f>E1160*I1160*H1160</x:f>
        <x:v>0.1481256</x:v>
      </x:c>
      <x:c r="L1160" s="1" t="str">
        <x:f>TEXT(A1160,"mmm yyyy")</x:f>
        <x:v>May 2026</x:v>
      </x:c>
    </x:row>
    <x:row r="1161" ht="21" customHeight="1">
      <x:c r="A1161" s="10" t="n">
        <x:v>46172</x:v>
      </x:c>
      <x:c r="B1161" s="1" t="n">
        <x:v>16.5</x:v>
      </x:c>
      <x:c r="C1161" s="1" t="n">
        <x:v>6</x:v>
      </x:c>
      <x:c r="D1161" s="12" t="n">
        <x:v>0</x:v>
      </x:c>
      <x:c r="E1161" s="12" t="n">
        <x:v>0.57175</x:v>
      </x:c>
      <x:c r="F1161" s="12" t="n">
        <x:v>0.57175</x:v>
      </x:c>
      <x:c r="G1161" s="12" t="n">
        <x:v>0</x:v>
      </x:c>
      <x:c r="H1161" s="1" t="n">
        <x:f>'Historical prices'!E1161</x:f>
        <x:v>1.05</x:v>
      </x:c>
      <x:c r="I1161" s="6" t="n">
        <x:f>'Historical prices'!D1161</x:f>
        <x:v>0.2882</x:v>
      </x:c>
      <x:c r="J1161" s="13" t="n">
        <x:f>D1161*I1161*H1161</x:f>
        <x:v>0</x:v>
      </x:c>
      <x:c r="K1161" s="13" t="n">
        <x:f>E1161*I1161*H1161</x:f>
        <x:v>0.1730172675</x:v>
      </x:c>
      <x:c r="L1161" s="1" t="str">
        <x:f>TEXT(A1161,"mmm yyyy")</x:f>
        <x:v>May 2026</x:v>
      </x:c>
    </x:row>
    <x:row r="1162" ht="21" customHeight="1">
      <x:c r="A1162" s="10" t="n">
        <x:v>46172</x:v>
      </x:c>
      <x:c r="B1162" s="1" t="n">
        <x:v>17</x:v>
      </x:c>
      <x:c r="C1162" s="1" t="n">
        <x:v>6</x:v>
      </x:c>
      <x:c r="D1162" s="12" t="n">
        <x:v>0</x:v>
      </x:c>
      <x:c r="E1162" s="12" t="n">
        <x:v>0.5999166666666665</x:v>
      </x:c>
      <x:c r="F1162" s="12" t="n">
        <x:v>0.5998333333333332</x:v>
      </x:c>
      <x:c r="G1162" s="12" t="n">
        <x:v>0</x:v>
      </x:c>
      <x:c r="H1162" s="1" t="n">
        <x:f>'Historical prices'!E1162</x:f>
        <x:v>1.05</x:v>
      </x:c>
      <x:c r="I1162" s="6" t="n">
        <x:f>'Historical prices'!D1162</x:f>
        <x:v>0.3114</x:v>
      </x:c>
      <x:c r="J1162" s="13" t="n">
        <x:f>D1162*I1162*H1162</x:f>
        <x:v>0</x:v>
      </x:c>
      <x:c r="K1162" s="13" t="n">
        <x:f>E1162*I1162*H1162</x:f>
        <x:v>0.19615475249999995</x:v>
      </x:c>
      <x:c r="L1162" s="1" t="str">
        <x:f>TEXT(A1162,"mmm yyyy")</x:f>
        <x:v>May 2026</x:v>
      </x:c>
    </x:row>
    <x:row r="1163" ht="21" customHeight="1">
      <x:c r="A1163" s="10" t="n">
        <x:v>46172</x:v>
      </x:c>
      <x:c r="B1163" s="1" t="n">
        <x:v>17.5</x:v>
      </x:c>
      <x:c r="C1163" s="1" t="n">
        <x:v>6</x:v>
      </x:c>
      <x:c r="D1163" s="12" t="n">
        <x:v>0</x:v>
      </x:c>
      <x:c r="E1163" s="12" t="n">
        <x:v>0.5408333333333334</x:v>
      </x:c>
      <x:c r="F1163" s="12" t="n">
        <x:v>0.5408333333333334</x:v>
      </x:c>
      <x:c r="G1163" s="12" t="n">
        <x:v>0</x:v>
      </x:c>
      <x:c r="H1163" s="1" t="n">
        <x:f>'Historical prices'!E1163</x:f>
        <x:v>1.05</x:v>
      </x:c>
      <x:c r="I1163" s="6" t="n">
        <x:f>'Historical prices'!D1163</x:f>
        <x:v>0.30079999999999996</x:v>
      </x:c>
      <x:c r="J1163" s="13" t="n">
        <x:f>D1163*I1163*H1163</x:f>
        <x:v>0</x:v>
      </x:c>
      <x:c r="K1163" s="13" t="n">
        <x:f>E1163*I1163*H1163</x:f>
        <x:v>0.17081680000000002</x:v>
      </x:c>
      <x:c r="L1163" s="1" t="str">
        <x:f>TEXT(A1163,"mmm yyyy")</x:f>
        <x:v>May 2026</x:v>
      </x:c>
    </x:row>
    <x:row r="1164" ht="21" customHeight="1">
      <x:c r="A1164" s="10" t="n">
        <x:v>46172</x:v>
      </x:c>
      <x:c r="B1164" s="1" t="n">
        <x:v>18</x:v>
      </x:c>
      <x:c r="C1164" s="1" t="n">
        <x:v>6</x:v>
      </x:c>
      <x:c r="D1164" s="12" t="n">
        <x:v>0</x:v>
      </x:c>
      <x:c r="E1164" s="12" t="n">
        <x:v>0.44491666666666674</x:v>
      </x:c>
      <x:c r="F1164" s="12" t="n">
        <x:v>0.4448333333333334</x:v>
      </x:c>
      <x:c r="G1164" s="12" t="n">
        <x:v>0</x:v>
      </x:c>
      <x:c r="H1164" s="1" t="n">
        <x:f>'Historical prices'!E1164</x:f>
        <x:v>1.05</x:v>
      </x:c>
      <x:c r="I1164" s="6" t="n">
        <x:f>'Historical prices'!D1164</x:f>
        <x:v>0.327</x:v>
      </x:c>
      <x:c r="J1164" s="13" t="n">
        <x:f>D1164*I1164*H1164</x:f>
        <x:v>0</x:v>
      </x:c>
      <x:c r="K1164" s="13" t="n">
        <x:f>E1164*I1164*H1164</x:f>
        <x:v>0.15276213750000003</x:v>
      </x:c>
      <x:c r="L1164" s="1" t="str">
        <x:f>TEXT(A1164,"mmm yyyy")</x:f>
        <x:v>May 2026</x:v>
      </x:c>
    </x:row>
    <x:row r="1165" ht="21" customHeight="1">
      <x:c r="A1165" s="10" t="n">
        <x:v>46172</x:v>
      </x:c>
      <x:c r="B1165" s="1" t="n">
        <x:v>18.5</x:v>
      </x:c>
      <x:c r="C1165" s="1" t="n">
        <x:v>6</x:v>
      </x:c>
      <x:c r="D1165" s="12" t="n">
        <x:v>0</x:v>
      </x:c>
      <x:c r="E1165" s="12" t="n">
        <x:v>0.5707500000000001</x:v>
      </x:c>
      <x:c r="F1165" s="12" t="n">
        <x:v>0.5707500000000001</x:v>
      </x:c>
      <x:c r="G1165" s="12" t="n">
        <x:v>0</x:v>
      </x:c>
      <x:c r="H1165" s="1" t="n">
        <x:f>'Historical prices'!E1165</x:f>
        <x:v>1.05</x:v>
      </x:c>
      <x:c r="I1165" s="6" t="n">
        <x:f>'Historical prices'!D1165</x:f>
        <x:v>0.3386</x:v>
      </x:c>
      <x:c r="J1165" s="13" t="n">
        <x:f>D1165*I1165*H1165</x:f>
        <x:v>0</x:v>
      </x:c>
      <x:c r="K1165" s="13" t="n">
        <x:f>E1165*I1165*H1165</x:f>
        <x:v>0.20291874750000005</x:v>
      </x:c>
      <x:c r="L1165" s="1" t="str">
        <x:f>TEXT(A1165,"mmm yyyy")</x:f>
        <x:v>May 2026</x:v>
      </x:c>
    </x:row>
    <x:row r="1166" ht="21" customHeight="1">
      <x:c r="A1166" s="10" t="n">
        <x:v>46172</x:v>
      </x:c>
      <x:c r="B1166" s="1" t="n">
        <x:v>19</x:v>
      </x:c>
      <x:c r="C1166" s="1" t="n">
        <x:v>6</x:v>
      </x:c>
      <x:c r="D1166" s="12" t="n">
        <x:v>0</x:v>
      </x:c>
      <x:c r="E1166" s="12" t="n">
        <x:v>0.47991666666666666</x:v>
      </x:c>
      <x:c r="F1166" s="12" t="n">
        <x:v>0.4796666666666667</x:v>
      </x:c>
      <x:c r="G1166" s="12" t="n">
        <x:v>0</x:v>
      </x:c>
      <x:c r="H1166" s="1" t="n">
        <x:f>'Historical prices'!E1166</x:f>
        <x:v>1.05</x:v>
      </x:c>
      <x:c r="I1166" s="6" t="n">
        <x:f>'Historical prices'!D1166</x:f>
        <x:v>0.2207</x:v>
      </x:c>
      <x:c r="J1166" s="13" t="n">
        <x:f>D1166*I1166*H1166</x:f>
        <x:v>0</x:v>
      </x:c>
      <x:c r="K1166" s="13" t="n">
        <x:f>E1166*I1166*H1166</x:f>
        <x:v>0.11121348875</x:v>
      </x:c>
      <x:c r="L1166" s="1" t="str">
        <x:f>TEXT(A1166,"mmm yyyy")</x:f>
        <x:v>May 2026</x:v>
      </x:c>
    </x:row>
    <x:row r="1167" ht="21" customHeight="1">
      <x:c r="A1167" s="10" t="n">
        <x:v>46172</x:v>
      </x:c>
      <x:c r="B1167" s="1" t="n">
        <x:v>19.5</x:v>
      </x:c>
      <x:c r="C1167" s="1" t="n">
        <x:v>6</x:v>
      </x:c>
      <x:c r="D1167" s="12" t="n">
        <x:v>0</x:v>
      </x:c>
      <x:c r="E1167" s="12" t="n">
        <x:v>0.7399166666666666</x:v>
      </x:c>
      <x:c r="F1167" s="12" t="n">
        <x:v>0.7388333333333332</x:v>
      </x:c>
      <x:c r="G1167" s="12" t="n">
        <x:v>0</x:v>
      </x:c>
      <x:c r="H1167" s="1" t="n">
        <x:f>'Historical prices'!E1167</x:f>
        <x:v>1.05</x:v>
      </x:c>
      <x:c r="I1167" s="6" t="n">
        <x:f>'Historical prices'!D1167</x:f>
        <x:v>0.2291</x:v>
      </x:c>
      <x:c r="J1167" s="13" t="n">
        <x:f>D1167*I1167*H1167</x:f>
        <x:v>0</x:v>
      </x:c>
      <x:c r="K1167" s="13" t="n">
        <x:f>E1167*I1167*H1167</x:f>
        <x:v>0.17799065374999998</x:v>
      </x:c>
      <x:c r="L1167" s="1" t="str">
        <x:f>TEXT(A1167,"mmm yyyy")</x:f>
        <x:v>May 2026</x:v>
      </x:c>
    </x:row>
    <x:row r="1168" ht="21" customHeight="1">
      <x:c r="A1168" s="10" t="n">
        <x:v>46172</x:v>
      </x:c>
      <x:c r="B1168" s="1" t="n">
        <x:v>20</x:v>
      </x:c>
      <x:c r="C1168" s="1" t="n">
        <x:v>6</x:v>
      </x:c>
      <x:c r="D1168" s="12" t="n">
        <x:v>0</x:v>
      </x:c>
      <x:c r="E1168" s="12" t="n">
        <x:v>0.5119166666666667</x:v>
      </x:c>
      <x:c r="F1168" s="12" t="n">
        <x:v>0.5118333333333334</x:v>
      </x:c>
      <x:c r="G1168" s="12" t="n">
        <x:v>0</x:v>
      </x:c>
      <x:c r="H1168" s="1" t="n">
        <x:f>'Historical prices'!E1168</x:f>
        <x:v>1.05</x:v>
      </x:c>
      <x:c r="I1168" s="6" t="n">
        <x:f>'Historical prices'!D1168</x:f>
        <x:v>0.2325</x:v>
      </x:c>
      <x:c r="J1168" s="13" t="n">
        <x:f>D1168*I1168*H1168</x:f>
        <x:v>0</x:v>
      </x:c>
      <x:c r="K1168" s="13" t="n">
        <x:f>E1168*I1168*H1168</x:f>
        <x:v>0.12497165625000001</x:v>
      </x:c>
      <x:c r="L1168" s="1" t="str">
        <x:f>TEXT(A1168,"mmm yyyy")</x:f>
        <x:v>May 2026</x:v>
      </x:c>
    </x:row>
    <x:row r="1169" ht="21" customHeight="1">
      <x:c r="A1169" s="10" t="n">
        <x:v>46172</x:v>
      </x:c>
      <x:c r="B1169" s="1" t="n">
        <x:v>20.5</x:v>
      </x:c>
      <x:c r="C1169" s="1" t="n">
        <x:v>6</x:v>
      </x:c>
      <x:c r="D1169" s="12" t="n">
        <x:v>0</x:v>
      </x:c>
      <x:c r="E1169" s="12" t="n">
        <x:v>0.5429999999999999</x:v>
      </x:c>
      <x:c r="F1169" s="12" t="n">
        <x:v>0.5428333333333333</x:v>
      </x:c>
      <x:c r="G1169" s="12" t="n">
        <x:v>0</x:v>
      </x:c>
      <x:c r="H1169" s="1" t="n">
        <x:f>'Historical prices'!E1169</x:f>
        <x:v>1.05</x:v>
      </x:c>
      <x:c r="I1169" s="6" t="n">
        <x:f>'Historical prices'!D1169</x:f>
        <x:v>0.2366</x:v>
      </x:c>
      <x:c r="J1169" s="13" t="n">
        <x:f>D1169*I1169*H1169</x:f>
        <x:v>0</x:v>
      </x:c>
      <x:c r="K1169" s="13" t="n">
        <x:f>E1169*I1169*H1169</x:f>
        <x:v>0.13489749</x:v>
      </x:c>
      <x:c r="L1169" s="1" t="str">
        <x:f>TEXT(A1169,"mmm yyyy")</x:f>
        <x:v>May 2026</x:v>
      </x:c>
    </x:row>
    <x:row r="1170" ht="21" customHeight="1">
      <x:c r="A1170" s="10" t="n">
        <x:v>46172</x:v>
      </x:c>
      <x:c r="B1170" s="1" t="n">
        <x:v>21</x:v>
      </x:c>
      <x:c r="C1170" s="1" t="n">
        <x:v>6</x:v>
      </x:c>
      <x:c r="D1170" s="12" t="n">
        <x:v>0</x:v>
      </x:c>
      <x:c r="E1170" s="12" t="n">
        <x:v>0.47275</x:v>
      </x:c>
      <x:c r="F1170" s="12" t="n">
        <x:v>0.4726666666666667</x:v>
      </x:c>
      <x:c r="G1170" s="12" t="n">
        <x:v>0</x:v>
      </x:c>
      <x:c r="H1170" s="1" t="n">
        <x:f>'Historical prices'!E1170</x:f>
        <x:v>1.05</x:v>
      </x:c>
      <x:c r="I1170" s="6" t="n">
        <x:f>'Historical prices'!D1170</x:f>
        <x:v>0.2357</x:v>
      </x:c>
      <x:c r="J1170" s="13" t="n">
        <x:f>D1170*I1170*H1170</x:f>
        <x:v>0</x:v>
      </x:c>
      <x:c r="K1170" s="13" t="n">
        <x:f>E1170*I1170*H1170</x:f>
        <x:v>0.11699853375000001</x:v>
      </x:c>
      <x:c r="L1170" s="1" t="str">
        <x:f>TEXT(A1170,"mmm yyyy")</x:f>
        <x:v>May 2026</x:v>
      </x:c>
    </x:row>
    <x:row r="1171" ht="21" customHeight="1">
      <x:c r="A1171" s="10" t="n">
        <x:v>46172</x:v>
      </x:c>
      <x:c r="B1171" s="1" t="n">
        <x:v>21.5</x:v>
      </x:c>
      <x:c r="C1171" s="1" t="n">
        <x:v>6</x:v>
      </x:c>
      <x:c r="D1171" s="12" t="n">
        <x:v>0</x:v>
      </x:c>
      <x:c r="E1171" s="12" t="n">
        <x:v>0.9089166666666666</x:v>
      </x:c>
      <x:c r="F1171" s="12" t="n">
        <x:v>0.9085833333333333</x:v>
      </x:c>
      <x:c r="G1171" s="12" t="n">
        <x:v>0</x:v>
      </x:c>
      <x:c r="H1171" s="1" t="n">
        <x:f>'Historical prices'!E1171</x:f>
        <x:v>1.05</x:v>
      </x:c>
      <x:c r="I1171" s="6" t="n">
        <x:f>'Historical prices'!D1171</x:f>
        <x:v>0.2408</x:v>
      </x:c>
      <x:c r="J1171" s="13" t="n">
        <x:f>D1171*I1171*H1171</x:f>
        <x:v>0</x:v>
      </x:c>
      <x:c r="K1171" s="13" t="n">
        <x:f>E1171*I1171*H1171</x:f>
        <x:v>0.22981048999999998</x:v>
      </x:c>
      <x:c r="L1171" s="1" t="str">
        <x:f>TEXT(A1171,"mmm yyyy")</x:f>
        <x:v>May 2026</x:v>
      </x:c>
    </x:row>
    <x:row r="1172" ht="21" customHeight="1">
      <x:c r="A1172" s="10" t="n">
        <x:v>46172</x:v>
      </x:c>
      <x:c r="B1172" s="1" t="n">
        <x:v>22</x:v>
      </x:c>
      <x:c r="C1172" s="1" t="n">
        <x:v>6</x:v>
      </x:c>
      <x:c r="D1172" s="12" t="n">
        <x:v>0</x:v>
      </x:c>
      <x:c r="E1172" s="12" t="n">
        <x:v>0.289</x:v>
      </x:c>
      <x:c r="F1172" s="12" t="n">
        <x:v>0.28891666666666665</x:v>
      </x:c>
      <x:c r="G1172" s="12" t="n">
        <x:v>0</x:v>
      </x:c>
      <x:c r="H1172" s="1" t="n">
        <x:f>'Historical prices'!E1172</x:f>
        <x:v>1.05</x:v>
      </x:c>
      <x:c r="I1172" s="6" t="n">
        <x:f>'Historical prices'!D1172</x:f>
        <x:v>0.2228</x:v>
      </x:c>
      <x:c r="J1172" s="13" t="n">
        <x:f>D1172*I1172*H1172</x:f>
        <x:v>0</x:v>
      </x:c>
      <x:c r="K1172" s="13" t="n">
        <x:f>E1172*I1172*H1172</x:f>
        <x:v>0.06760866</x:v>
      </x:c>
      <x:c r="L1172" s="1" t="str">
        <x:f>TEXT(A1172,"mmm yyyy")</x:f>
        <x:v>May 2026</x:v>
      </x:c>
    </x:row>
    <x:row r="1173" ht="21" customHeight="1">
      <x:c r="A1173" s="10" t="n">
        <x:v>46172</x:v>
      </x:c>
      <x:c r="B1173" s="1" t="n">
        <x:v>22.5</x:v>
      </x:c>
      <x:c r="C1173" s="1" t="n">
        <x:v>6</x:v>
      </x:c>
      <x:c r="D1173" s="12" t="n">
        <x:v>0</x:v>
      </x:c>
      <x:c r="E1173" s="12" t="n">
        <x:v>0.30474999999999997</x:v>
      </x:c>
      <x:c r="F1173" s="12" t="n">
        <x:v>0.30466666666666664</x:v>
      </x:c>
      <x:c r="G1173" s="12" t="n">
        <x:v>0</x:v>
      </x:c>
      <x:c r="H1173" s="1" t="n">
        <x:f>'Historical prices'!E1173</x:f>
        <x:v>1.05</x:v>
      </x:c>
      <x:c r="I1173" s="6" t="n">
        <x:f>'Historical prices'!D1173</x:f>
        <x:v>0.2186</x:v>
      </x:c>
      <x:c r="J1173" s="13" t="n">
        <x:f>D1173*I1173*H1173</x:f>
        <x:v>0</x:v>
      </x:c>
      <x:c r="K1173" s="13" t="n">
        <x:f>E1173*I1173*H1173</x:f>
        <x:v>0.0699492675</x:v>
      </x:c>
      <x:c r="L1173" s="1" t="str">
        <x:f>TEXT(A1173,"mmm yyyy")</x:f>
        <x:v>May 2026</x:v>
      </x:c>
    </x:row>
    <x:row r="1174" ht="21" customHeight="1">
      <x:c r="A1174" s="10" t="n">
        <x:v>46172</x:v>
      </x:c>
      <x:c r="B1174" s="1" t="n">
        <x:v>23</x:v>
      </x:c>
      <x:c r="C1174" s="1" t="n">
        <x:v>6</x:v>
      </x:c>
      <x:c r="D1174" s="12" t="n">
        <x:v>0</x:v>
      </x:c>
      <x:c r="E1174" s="12" t="n">
        <x:v>0.286</x:v>
      </x:c>
      <x:c r="F1174" s="12" t="n">
        <x:v>0.28591666666666665</x:v>
      </x:c>
      <x:c r="G1174" s="12" t="n">
        <x:v>0</x:v>
      </x:c>
      <x:c r="H1174" s="1" t="n">
        <x:f>'Historical prices'!E1174</x:f>
        <x:v>1.05</x:v>
      </x:c>
      <x:c r="I1174" s="6" t="n">
        <x:f>'Historical prices'!D1174</x:f>
        <x:v>0.1984</x:v>
      </x:c>
      <x:c r="J1174" s="13" t="n">
        <x:f>D1174*I1174*H1174</x:f>
        <x:v>0</x:v>
      </x:c>
      <x:c r="K1174" s="13" t="n">
        <x:f>E1174*I1174*H1174</x:f>
        <x:v>0.05957952</x:v>
      </x:c>
      <x:c r="L1174" s="1" t="str">
        <x:f>TEXT(A1174,"mmm yyyy")</x:f>
        <x:v>May 2026</x:v>
      </x:c>
    </x:row>
    <x:row r="1175" ht="21" customHeight="1">
      <x:c r="A1175" s="10" t="n">
        <x:v>46172</x:v>
      </x:c>
      <x:c r="B1175" s="1" t="n">
        <x:v>23.5</x:v>
      </x:c>
      <x:c r="C1175" s="1" t="n">
        <x:v>6</x:v>
      </x:c>
      <x:c r="D1175" s="12" t="n">
        <x:v>0</x:v>
      </x:c>
      <x:c r="E1175" s="12" t="n">
        <x:v>0.32366666666666666</x:v>
      </x:c>
      <x:c r="F1175" s="12" t="n">
        <x:v>0.32366666666666666</x:v>
      </x:c>
      <x:c r="G1175" s="12" t="n">
        <x:v>0</x:v>
      </x:c>
      <x:c r="H1175" s="1" t="n">
        <x:f>'Historical prices'!E1175</x:f>
        <x:v>1.05</x:v>
      </x:c>
      <x:c r="I1175" s="6" t="n">
        <x:f>'Historical prices'!D1175</x:f>
        <x:v>0.20809999999999998</x:v>
      </x:c>
      <x:c r="J1175" s="13" t="n">
        <x:f>D1175*I1175*H1175</x:f>
        <x:v>0</x:v>
      </x:c>
      <x:c r="K1175" s="13" t="n">
        <x:f>E1175*I1175*H1175</x:f>
        <x:v>0.070722785</x:v>
      </x:c>
      <x:c r="L1175" s="1" t="str">
        <x:f>TEXT(A1175,"mmm yyyy")</x:f>
        <x:v>May 2026</x:v>
      </x:c>
    </x:row>
    <x:row r="1176" ht="21" customHeight="1">
      <x:c r="A1176" s="10" t="n">
        <x:v>46173</x:v>
      </x:c>
      <x:c r="B1176" s="1" t="n">
        <x:v>0</x:v>
      </x:c>
      <x:c r="C1176" s="1" t="n">
        <x:v>6</x:v>
      </x:c>
      <x:c r="D1176" s="12" t="n">
        <x:v>0</x:v>
      </x:c>
      <x:c r="E1176" s="12" t="n">
        <x:v>0.24175000000000002</x:v>
      </x:c>
      <x:c r="F1176" s="12" t="n">
        <x:v>0.24175000000000002</x:v>
      </x:c>
      <x:c r="G1176" s="12" t="n">
        <x:v>0</x:v>
      </x:c>
      <x:c r="H1176" s="1" t="n">
        <x:f>'Historical prices'!E1176</x:f>
        <x:v>1.05</x:v>
      </x:c>
      <x:c r="I1176" s="6" t="n">
        <x:f>'Historical prices'!D1176</x:f>
        <x:v>0.19140000000000001</x:v>
      </x:c>
      <x:c r="J1176" s="13" t="n">
        <x:f>D1176*I1176*H1176</x:f>
        <x:v>0</x:v>
      </x:c>
      <x:c r="K1176" s="13" t="n">
        <x:f>E1176*I1176*H1176</x:f>
        <x:v>0.048584497500000004</x:v>
      </x:c>
      <x:c r="L1176" s="1" t="str">
        <x:f>TEXT(A1176,"mmm yyyy")</x:f>
        <x:v>May 2026</x:v>
      </x:c>
    </x:row>
    <x:row r="1177" ht="21" customHeight="1">
      <x:c r="A1177" s="10" t="n">
        <x:v>46173</x:v>
      </x:c>
      <x:c r="B1177" s="1" t="n">
        <x:v>0.5</x:v>
      </x:c>
      <x:c r="C1177" s="1" t="n">
        <x:v>6</x:v>
      </x:c>
      <x:c r="D1177" s="12" t="n">
        <x:v>0.15716666666666668</x:v>
      </x:c>
      <x:c r="E1177" s="12" t="n">
        <x:v>0.2041666666666667</x:v>
      </x:c>
      <x:c r="F1177" s="12" t="n">
        <x:v>0.038</x:v>
      </x:c>
      <x:c r="G1177" s="12" t="n">
        <x:v>0</x:v>
      </x:c>
      <x:c r="H1177" s="1" t="n">
        <x:f>'Historical prices'!E1177</x:f>
        <x:v>1.05</x:v>
      </x:c>
      <x:c r="I1177" s="6" t="n">
        <x:f>'Historical prices'!D1177</x:f>
        <x:v>0.1787</x:v>
      </x:c>
      <x:c r="J1177" s="13" t="n">
        <x:f>D1177*I1177*H1177</x:f>
        <x:v>0.029489967500000002</x:v>
      </x:c>
      <x:c r="K1177" s="13" t="n">
        <x:f>E1177*I1177*H1177</x:f>
        <x:v>0.038308812500000004</x:v>
      </x:c>
      <x:c r="L1177" s="1" t="str">
        <x:f>TEXT(A1177,"mmm yyyy")</x:f>
        <x:v>May 2026</x:v>
      </x:c>
    </x:row>
    <x:row r="1178" ht="21" customHeight="1">
      <x:c r="A1178" s="10" t="n">
        <x:v>46173</x:v>
      </x:c>
      <x:c r="B1178" s="1" t="n">
        <x:v>1</x:v>
      </x:c>
      <x:c r="C1178" s="1" t="n">
        <x:v>6</x:v>
      </x:c>
      <x:c r="D1178" s="12" t="n">
        <x:v>0.21058333333333332</x:v>
      </x:c>
      <x:c r="E1178" s="12" t="n">
        <x:v>0.22258333333333333</x:v>
      </x:c>
      <x:c r="F1178" s="12" t="n">
        <x:v>0</x:v>
      </x:c>
      <x:c r="G1178" s="12" t="n">
        <x:v>0</x:v>
      </x:c>
      <x:c r="H1178" s="1" t="n">
        <x:f>'Historical prices'!E1178</x:f>
        <x:v>1.05</x:v>
      </x:c>
      <x:c r="I1178" s="6" t="n">
        <x:f>'Historical prices'!D1178</x:f>
        <x:v>0.18239999999999998</x:v>
      </x:c>
      <x:c r="J1178" s="13" t="n">
        <x:f>D1178*I1178*H1178</x:f>
        <x:v>0.04033091999999999</x:v>
      </x:c>
      <x:c r="K1178" s="13" t="n">
        <x:f>E1178*I1178*H1178</x:f>
        <x:v>0.04262916</x:v>
      </x:c>
      <x:c r="L1178" s="1" t="str">
        <x:f>TEXT(A1178,"mmm yyyy")</x:f>
        <x:v>May 2026</x:v>
      </x:c>
    </x:row>
    <x:row r="1179" ht="21" customHeight="1">
      <x:c r="A1179" s="10" t="n">
        <x:v>46173</x:v>
      </x:c>
      <x:c r="B1179" s="1" t="n">
        <x:v>1.5</x:v>
      </x:c>
      <x:c r="C1179" s="1" t="n">
        <x:v>6</x:v>
      </x:c>
      <x:c r="D1179" s="12" t="n">
        <x:v>0.18433333333333335</x:v>
      </x:c>
      <x:c r="E1179" s="12" t="n">
        <x:v>0.19333333333333333</x:v>
      </x:c>
      <x:c r="F1179" s="12" t="n">
        <x:v>0</x:v>
      </x:c>
      <x:c r="G1179" s="12" t="n">
        <x:v>0</x:v>
      </x:c>
      <x:c r="H1179" s="1" t="n">
        <x:f>'Historical prices'!E1179</x:f>
        <x:v>1.05</x:v>
      </x:c>
      <x:c r="I1179" s="6" t="n">
        <x:f>'Historical prices'!D1179</x:f>
        <x:v>0.1858</x:v>
      </x:c>
      <x:c r="J1179" s="13" t="n">
        <x:f>D1179*I1179*H1179</x:f>
        <x:v>0.03596159</x:v>
      </x:c>
      <x:c r="K1179" s="13" t="n">
        <x:f>E1179*I1179*H1179</x:f>
        <x:v>0.0377174</x:v>
      </x:c>
      <x:c r="L1179" s="1" t="str">
        <x:f>TEXT(A1179,"mmm yyyy")</x:f>
        <x:v>May 2026</x:v>
      </x:c>
    </x:row>
    <x:row r="1180" ht="21" customHeight="1">
      <x:c r="A1180" s="10" t="n">
        <x:v>46173</x:v>
      </x:c>
      <x:c r="B1180" s="1" t="n">
        <x:v>2</x:v>
      </x:c>
      <x:c r="C1180" s="1" t="n">
        <x:v>6</x:v>
      </x:c>
      <x:c r="D1180" s="12" t="n">
        <x:v>0.21925000000000003</x:v>
      </x:c>
      <x:c r="E1180" s="12" t="n">
        <x:v>0.23024999999999998</x:v>
      </x:c>
      <x:c r="F1180" s="12" t="n">
        <x:v>0</x:v>
      </x:c>
      <x:c r="G1180" s="12" t="n">
        <x:v>0</x:v>
      </x:c>
      <x:c r="H1180" s="1" t="n">
        <x:f>'Historical prices'!E1180</x:f>
        <x:v>1.05</x:v>
      </x:c>
      <x:c r="I1180" s="6" t="n">
        <x:f>'Historical prices'!D1180</x:f>
        <x:v>0.1838</x:v>
      </x:c>
      <x:c r="J1180" s="13" t="n">
        <x:f>D1180*I1180*H1180</x:f>
        <x:v>0.04231305750000001</x:v>
      </x:c>
      <x:c r="K1180" s="13" t="n">
        <x:f>E1180*I1180*H1180</x:f>
        <x:v>0.044435947499999996</x:v>
      </x:c>
      <x:c r="L1180" s="1" t="str">
        <x:f>TEXT(A1180,"mmm yyyy")</x:f>
        <x:v>May 2026</x:v>
      </x:c>
    </x:row>
    <x:row r="1181" ht="21" customHeight="1">
      <x:c r="A1181" s="10" t="n">
        <x:v>46173</x:v>
      </x:c>
      <x:c r="B1181" s="1" t="n">
        <x:v>2.5</x:v>
      </x:c>
      <x:c r="C1181" s="1" t="n">
        <x:v>6</x:v>
      </x:c>
      <x:c r="D1181" s="12" t="n">
        <x:v>0.2230833333333333</x:v>
      </x:c>
      <x:c r="E1181" s="12" t="n">
        <x:v>0.2350833333333333</x:v>
      </x:c>
      <x:c r="F1181" s="12" t="n">
        <x:v>0</x:v>
      </x:c>
      <x:c r="G1181" s="12" t="n">
        <x:v>0</x:v>
      </x:c>
      <x:c r="H1181" s="1" t="n">
        <x:f>'Historical prices'!E1181</x:f>
        <x:v>1.05</x:v>
      </x:c>
      <x:c r="I1181" s="6" t="n">
        <x:f>'Historical prices'!D1181</x:f>
        <x:v>0.17120000000000002</x:v>
      </x:c>
      <x:c r="J1181" s="13" t="n">
        <x:f>D1181*I1181*H1181</x:f>
        <x:v>0.04010146</x:v>
      </x:c>
      <x:c r="K1181" s="13" t="n">
        <x:f>E1181*I1181*H1181</x:f>
        <x:v>0.042258580000000004</x:v>
      </x:c>
      <x:c r="L1181" s="1" t="str">
        <x:f>TEXT(A1181,"mmm yyyy")</x:f>
        <x:v>May 2026</x:v>
      </x:c>
    </x:row>
    <x:row r="1182" ht="21" customHeight="1">
      <x:c r="A1182" s="10" t="n">
        <x:v>46173</x:v>
      </x:c>
      <x:c r="B1182" s="1" t="n">
        <x:v>3</x:v>
      </x:c>
      <x:c r="C1182" s="1" t="n">
        <x:v>6</x:v>
      </x:c>
      <x:c r="D1182" s="12" t="n">
        <x:v>0.26349999999999996</x:v>
      </x:c>
      <x:c r="E1182" s="12" t="n">
        <x:v>0.27349999999999997</x:v>
      </x:c>
      <x:c r="F1182" s="12" t="n">
        <x:v>0</x:v>
      </x:c>
      <x:c r="G1182" s="12" t="n">
        <x:v>0</x:v>
      </x:c>
      <x:c r="H1182" s="1" t="n">
        <x:f>'Historical prices'!E1182</x:f>
        <x:v>1.05</x:v>
      </x:c>
      <x:c r="I1182" s="6" t="n">
        <x:f>'Historical prices'!D1182</x:f>
        <x:v>0.1766</x:v>
      </x:c>
      <x:c r="J1182" s="13" t="n">
        <x:f>D1182*I1182*H1182</x:f>
        <x:v>0.04886080499999999</x:v>
      </x:c>
      <x:c r="K1182" s="13" t="n">
        <x:f>E1182*I1182*H1182</x:f>
        <x:v>0.050715105</x:v>
      </x:c>
      <x:c r="L1182" s="1" t="str">
        <x:f>TEXT(A1182,"mmm yyyy")</x:f>
        <x:v>May 2026</x:v>
      </x:c>
    </x:row>
    <x:row r="1183" ht="21" customHeight="1">
      <x:c r="A1183" s="10" t="n">
        <x:v>46173</x:v>
      </x:c>
      <x:c r="B1183" s="1" t="n">
        <x:v>3.5</x:v>
      </x:c>
      <x:c r="C1183" s="1" t="n">
        <x:v>6</x:v>
      </x:c>
      <x:c r="D1183" s="12" t="n">
        <x:v>0.1766666666666667</x:v>
      </x:c>
      <x:c r="E1183" s="12" t="n">
        <x:v>0.1876666666666667</x:v>
      </x:c>
      <x:c r="F1183" s="12" t="n">
        <x:v>0</x:v>
      </x:c>
      <x:c r="G1183" s="12" t="n">
        <x:v>0</x:v>
      </x:c>
      <x:c r="H1183" s="1" t="n">
        <x:f>'Historical prices'!E1183</x:f>
        <x:v>1.05</x:v>
      </x:c>
      <x:c r="I1183" s="6" t="n">
        <x:f>'Historical prices'!D1183</x:f>
        <x:v>0.1698</x:v>
      </x:c>
      <x:c r="J1183" s="13" t="n">
        <x:f>D1183*I1183*H1183</x:f>
        <x:v>0.03149790000000001</x:v>
      </x:c>
      <x:c r="K1183" s="13" t="n">
        <x:f>E1183*I1183*H1183</x:f>
        <x:v>0.03345909000000001</x:v>
      </x:c>
      <x:c r="L1183" s="1" t="str">
        <x:f>TEXT(A1183,"mmm yyyy")</x:f>
        <x:v>May 2026</x:v>
      </x:c>
    </x:row>
    <x:row r="1184" ht="21" customHeight="1">
      <x:c r="A1184" s="10" t="n">
        <x:v>46173</x:v>
      </x:c>
      <x:c r="B1184" s="1" t="n">
        <x:v>4</x:v>
      </x:c>
      <x:c r="C1184" s="1" t="n">
        <x:v>6</x:v>
      </x:c>
      <x:c r="D1184" s="12" t="n">
        <x:v>0.26125</x:v>
      </x:c>
      <x:c r="E1184" s="12" t="n">
        <x:v>0.27125</x:v>
      </x:c>
      <x:c r="F1184" s="12" t="n">
        <x:v>0</x:v>
      </x:c>
      <x:c r="G1184" s="12" t="n">
        <x:v>0</x:v>
      </x:c>
      <x:c r="H1184" s="1" t="n">
        <x:f>'Historical prices'!E1184</x:f>
        <x:v>1.05</x:v>
      </x:c>
      <x:c r="I1184" s="6" t="n">
        <x:f>'Historical prices'!D1184</x:f>
        <x:v>0.1783</x:v>
      </x:c>
      <x:c r="J1184" s="13" t="n">
        <x:f>D1184*I1184*H1184</x:f>
        <x:v>0.048909918749999996</x:v>
      </x:c>
      <x:c r="K1184" s="13" t="n">
        <x:f>E1184*I1184*H1184</x:f>
        <x:v>0.05078206874999999</x:v>
      </x:c>
      <x:c r="L1184" s="1" t="str">
        <x:f>TEXT(A1184,"mmm yyyy")</x:f>
        <x:v>May 2026</x:v>
      </x:c>
    </x:row>
    <x:row r="1185" ht="21" customHeight="1">
      <x:c r="A1185" s="10" t="n">
        <x:v>46173</x:v>
      </x:c>
      <x:c r="B1185" s="1" t="n">
        <x:v>4.5</x:v>
      </x:c>
      <x:c r="C1185" s="1" t="n">
        <x:v>6</x:v>
      </x:c>
      <x:c r="D1185" s="12" t="n">
        <x:v>0.2896666666666667</x:v>
      </x:c>
      <x:c r="E1185" s="12" t="n">
        <x:v>0.3006666666666667</x:v>
      </x:c>
      <x:c r="F1185" s="12" t="n">
        <x:v>0</x:v>
      </x:c>
      <x:c r="G1185" s="12" t="n">
        <x:v>0</x:v>
      </x:c>
      <x:c r="H1185" s="1" t="n">
        <x:f>'Historical prices'!E1185</x:f>
        <x:v>1.05</x:v>
      </x:c>
      <x:c r="I1185" s="6" t="n">
        <x:f>'Historical prices'!D1185</x:f>
        <x:v>0.1818</x:v>
      </x:c>
      <x:c r="J1185" s="13" t="n">
        <x:f>D1185*I1185*H1185</x:f>
        <x:v>0.05529447</x:v>
      </x:c>
      <x:c r="K1185" s="13" t="n">
        <x:f>E1185*I1185*H1185</x:f>
        <x:v>0.05739426</x:v>
      </x:c>
      <x:c r="L1185" s="1" t="str">
        <x:f>TEXT(A1185,"mmm yyyy")</x:f>
        <x:v>May 2026</x:v>
      </x:c>
    </x:row>
    <x:row r="1186" ht="21" customHeight="1">
      <x:c r="A1186" s="10" t="n">
        <x:v>46173</x:v>
      </x:c>
      <x:c r="B1186" s="1" t="n">
        <x:v>5</x:v>
      </x:c>
      <x:c r="C1186" s="1" t="n">
        <x:v>6</x:v>
      </x:c>
      <x:c r="D1186" s="12" t="n">
        <x:v>0.22475</x:v>
      </x:c>
      <x:c r="E1186" s="12" t="n">
        <x:v>0.23574999999999996</x:v>
      </x:c>
      <x:c r="F1186" s="12" t="n">
        <x:v>0</x:v>
      </x:c>
      <x:c r="G1186" s="12" t="n">
        <x:v>0</x:v>
      </x:c>
      <x:c r="H1186" s="1" t="n">
        <x:f>'Historical prices'!E1186</x:f>
        <x:v>1.05</x:v>
      </x:c>
      <x:c r="I1186" s="6" t="n">
        <x:f>'Historical prices'!D1186</x:f>
        <x:v>0.1674</x:v>
      </x:c>
      <x:c r="J1186" s="13" t="n">
        <x:f>D1186*I1186*H1186</x:f>
        <x:v>0.0395043075</x:v>
      </x:c>
      <x:c r="K1186" s="13" t="n">
        <x:f>E1186*I1186*H1186</x:f>
        <x:v>0.041437777499999995</x:v>
      </x:c>
      <x:c r="L1186" s="1" t="str">
        <x:f>TEXT(A1186,"mmm yyyy")</x:f>
        <x:v>May 2026</x:v>
      </x:c>
    </x:row>
    <x:row r="1187" ht="21" customHeight="1">
      <x:c r="A1187" s="10" t="n">
        <x:v>46173</x:v>
      </x:c>
      <x:c r="B1187" s="1" t="n">
        <x:v>5.5</x:v>
      </x:c>
      <x:c r="C1187" s="1" t="n">
        <x:v>6</x:v>
      </x:c>
      <x:c r="D1187" s="12" t="n">
        <x:v>0.26166666666666666</x:v>
      </x:c>
      <x:c r="E1187" s="12" t="n">
        <x:v>0.2726666666666666</x:v>
      </x:c>
      <x:c r="F1187" s="12" t="n">
        <x:v>0</x:v>
      </x:c>
      <x:c r="G1187" s="12" t="n">
        <x:v>0</x:v>
      </x:c>
      <x:c r="H1187" s="1" t="n">
        <x:f>'Historical prices'!E1187</x:f>
        <x:v>1.05</x:v>
      </x:c>
      <x:c r="I1187" s="6" t="n">
        <x:f>'Historical prices'!D1187</x:f>
        <x:v>0.162</x:v>
      </x:c>
      <x:c r="J1187" s="13" t="n">
        <x:f>D1187*I1187*H1187</x:f>
        <x:v>0.0445095</x:v>
      </x:c>
      <x:c r="K1187" s="13" t="n">
        <x:f>E1187*I1187*H1187</x:f>
        <x:v>0.0463806</x:v>
      </x:c>
      <x:c r="L1187" s="1" t="str">
        <x:f>TEXT(A1187,"mmm yyyy")</x:f>
        <x:v>May 2026</x:v>
      </x:c>
    </x:row>
    <x:row r="1188" ht="21" customHeight="1">
      <x:c r="A1188" s="10" t="n">
        <x:v>46173</x:v>
      </x:c>
      <x:c r="B1188" s="1" t="n">
        <x:v>6</x:v>
      </x:c>
      <x:c r="C1188" s="1" t="n">
        <x:v>6</x:v>
      </x:c>
      <x:c r="D1188" s="12" t="n">
        <x:v>0.35833333333333334</x:v>
      </x:c>
      <x:c r="E1188" s="12" t="n">
        <x:v>0.37033333333333335</x:v>
      </x:c>
      <x:c r="F1188" s="12" t="n">
        <x:v>0</x:v>
      </x:c>
      <x:c r="G1188" s="12" t="n">
        <x:v>0</x:v>
      </x:c>
      <x:c r="H1188" s="1" t="n">
        <x:f>'Historical prices'!E1188</x:f>
        <x:v>1.05</x:v>
      </x:c>
      <x:c r="I1188" s="6" t="n">
        <x:f>'Historical prices'!D1188</x:f>
        <x:v>0.1724</x:v>
      </x:c>
      <x:c r="J1188" s="13" t="n">
        <x:f>D1188*I1188*H1188</x:f>
        <x:v>0.0648655</x:v>
      </x:c>
      <x:c r="K1188" s="13" t="n">
        <x:f>E1188*I1188*H1188</x:f>
        <x:v>0.06703774000000001</x:v>
      </x:c>
      <x:c r="L1188" s="1" t="str">
        <x:f>TEXT(A1188,"mmm yyyy")</x:f>
        <x:v>May 2026</x:v>
      </x:c>
    </x:row>
    <x:row r="1189" ht="21" customHeight="1">
      <x:c r="A1189" s="10" t="n">
        <x:v>46173</x:v>
      </x:c>
      <x:c r="B1189" s="1" t="n">
        <x:v>6.5</x:v>
      </x:c>
      <x:c r="C1189" s="1" t="n">
        <x:v>6</x:v>
      </x:c>
      <x:c r="D1189" s="12" t="n">
        <x:v>0.4959166666666667</x:v>
      </x:c>
      <x:c r="E1189" s="12" t="n">
        <x:v>0.5059166666666667</x:v>
      </x:c>
      <x:c r="F1189" s="12" t="n">
        <x:v>0</x:v>
      </x:c>
      <x:c r="G1189" s="12" t="n">
        <x:v>0</x:v>
      </x:c>
      <x:c r="H1189" s="1" t="n">
        <x:f>'Historical prices'!E1189</x:f>
        <x:v>1.05</x:v>
      </x:c>
      <x:c r="I1189" s="6" t="n">
        <x:f>'Historical prices'!D1189</x:f>
        <x:v>0.1745</x:v>
      </x:c>
      <x:c r="J1189" s="13" t="n">
        <x:f>D1189*I1189*H1189</x:f>
        <x:v>0.09086433125</x:v>
      </x:c>
      <x:c r="K1189" s="13" t="n">
        <x:f>E1189*I1189*H1189</x:f>
        <x:v>0.09269658124999999</x:v>
      </x:c>
      <x:c r="L1189" s="1" t="str">
        <x:f>TEXT(A1189,"mmm yyyy")</x:f>
        <x:v>May 2026</x:v>
      </x:c>
    </x:row>
    <x:row r="1190" ht="21" customHeight="1">
      <x:c r="A1190" s="10" t="n">
        <x:v>46173</x:v>
      </x:c>
      <x:c r="B1190" s="1" t="n">
        <x:v>7</x:v>
      </x:c>
      <x:c r="C1190" s="1" t="n">
        <x:v>6</x:v>
      </x:c>
      <x:c r="D1190" s="12" t="n">
        <x:v>0.5546666666666666</x:v>
      </x:c>
      <x:c r="E1190" s="12" t="n">
        <x:v>0.5666666666666667</x:v>
      </x:c>
      <x:c r="F1190" s="12" t="n">
        <x:v>0</x:v>
      </x:c>
      <x:c r="G1190" s="12" t="n">
        <x:v>0</x:v>
      </x:c>
      <x:c r="H1190" s="1" t="n">
        <x:f>'Historical prices'!E1190</x:f>
        <x:v>1.05</x:v>
      </x:c>
      <x:c r="I1190" s="6" t="n">
        <x:f>'Historical prices'!D1190</x:f>
        <x:v>0.1808</x:v>
      </x:c>
      <x:c r="J1190" s="13" t="n">
        <x:f>D1190*I1190*H1190</x:f>
        <x:v>0.10529791999999999</x:v>
      </x:c>
      <x:c r="K1190" s="13" t="n">
        <x:f>E1190*I1190*H1190</x:f>
        <x:v>0.10757599999999999</x:v>
      </x:c>
      <x:c r="L1190" s="1" t="str">
        <x:f>TEXT(A1190,"mmm yyyy")</x:f>
        <x:v>May 2026</x:v>
      </x:c>
    </x:row>
    <x:row r="1191" ht="21" customHeight="1">
      <x:c r="A1191" s="10" t="n">
        <x:v>46173</x:v>
      </x:c>
      <x:c r="B1191" s="1" t="n">
        <x:v>7.5</x:v>
      </x:c>
      <x:c r="C1191" s="1" t="n">
        <x:v>6</x:v>
      </x:c>
      <x:c r="D1191" s="12" t="n">
        <x:v>0.6229166666666667</x:v>
      </x:c>
      <x:c r="E1191" s="12" t="n">
        <x:v>0.6319166666666667</x:v>
      </x:c>
      <x:c r="F1191" s="12" t="n">
        <x:v>0</x:v>
      </x:c>
      <x:c r="G1191" s="12" t="n">
        <x:v>0</x:v>
      </x:c>
      <x:c r="H1191" s="1" t="n">
        <x:f>'Historical prices'!E1191</x:f>
        <x:v>1.05</x:v>
      </x:c>
      <x:c r="I1191" s="6" t="n">
        <x:f>'Historical prices'!D1191</x:f>
        <x:v>0.1822</x:v>
      </x:c>
      <x:c r="J1191" s="13" t="n">
        <x:f>D1191*I1191*H1191</x:f>
        <x:v>0.11917018750000001</x:v>
      </x:c>
      <x:c r="K1191" s="13" t="n">
        <x:f>E1191*I1191*H1191</x:f>
        <x:v>0.1208919775</x:v>
      </x:c>
      <x:c r="L1191" s="1" t="str">
        <x:f>TEXT(A1191,"mmm yyyy")</x:f>
        <x:v>May 2026</x:v>
      </x:c>
    </x:row>
    <x:row r="1192" ht="21" customHeight="1">
      <x:c r="A1192" s="10" t="n">
        <x:v>46173</x:v>
      </x:c>
      <x:c r="B1192" s="1" t="n">
        <x:v>8</x:v>
      </x:c>
      <x:c r="C1192" s="1" t="n">
        <x:v>6</x:v>
      </x:c>
      <x:c r="D1192" s="12" t="n">
        <x:v>1.1331666666666664</x:v>
      </x:c>
      <x:c r="E1192" s="12" t="n">
        <x:v>1.1441666666666666</x:v>
      </x:c>
      <x:c r="F1192" s="12" t="n">
        <x:v>0</x:v>
      </x:c>
      <x:c r="G1192" s="12" t="n">
        <x:v>0</x:v>
      </x:c>
      <x:c r="H1192" s="1" t="n">
        <x:f>'Historical prices'!E1192</x:f>
        <x:v>1.05</x:v>
      </x:c>
      <x:c r="I1192" s="6" t="n">
        <x:f>'Historical prices'!D1192</x:f>
        <x:v>0.1736</x:v>
      </x:c>
      <x:c r="J1192" s="13" t="n">
        <x:f>D1192*I1192*H1192</x:f>
        <x:v>0.20655362</x:v>
      </x:c>
      <x:c r="K1192" s="13" t="n">
        <x:f>E1192*I1192*H1192</x:f>
        <x:v>0.20855869999999999</x:v>
      </x:c>
      <x:c r="L1192" s="1" t="str">
        <x:f>TEXT(A1192,"mmm yyyy")</x:f>
        <x:v>May 2026</x:v>
      </x:c>
    </x:row>
    <x:row r="1193" ht="21" customHeight="1">
      <x:c r="A1193" s="10" t="n">
        <x:v>46173</x:v>
      </x:c>
      <x:c r="B1193" s="1" t="n">
        <x:v>8.5</x:v>
      </x:c>
      <x:c r="C1193" s="1" t="n">
        <x:v>6</x:v>
      </x:c>
      <x:c r="D1193" s="12" t="n">
        <x:v>0.5351666666666667</x:v>
      </x:c>
      <x:c r="E1193" s="12" t="n">
        <x:v>0.5461666666666667</x:v>
      </x:c>
      <x:c r="F1193" s="12" t="n">
        <x:v>0</x:v>
      </x:c>
      <x:c r="G1193" s="12" t="n">
        <x:v>0</x:v>
      </x:c>
      <x:c r="H1193" s="1" t="n">
        <x:f>'Historical prices'!E1193</x:f>
        <x:v>1.05</x:v>
      </x:c>
      <x:c r="I1193" s="6" t="n">
        <x:f>'Historical prices'!D1193</x:f>
        <x:v>0.17739999999999997</x:v>
      </x:c>
      <x:c r="J1193" s="13" t="n">
        <x:f>D1193*I1193*H1193</x:f>
        <x:v>0.09968549499999999</x:v>
      </x:c>
      <x:c r="K1193" s="13" t="n">
        <x:f>E1193*I1193*H1193</x:f>
        <x:v>0.101734465</x:v>
      </x:c>
      <x:c r="L1193" s="1" t="str">
        <x:f>TEXT(A1193,"mmm yyyy")</x:f>
        <x:v>May 2026</x:v>
      </x:c>
    </x:row>
    <x:row r="1194" ht="21" customHeight="1">
      <x:c r="A1194" s="10" t="n">
        <x:v>46173</x:v>
      </x:c>
      <x:c r="B1194" s="1" t="n">
        <x:v>9</x:v>
      </x:c>
      <x:c r="C1194" s="1" t="n">
        <x:v>6</x:v>
      </x:c>
      <x:c r="D1194" s="12" t="n">
        <x:v>0.4029166666666667</x:v>
      </x:c>
      <x:c r="E1194" s="12" t="n">
        <x:v>0.4139166666666667</x:v>
      </x:c>
      <x:c r="F1194" s="12" t="n">
        <x:v>0</x:v>
      </x:c>
      <x:c r="G1194" s="12" t="n">
        <x:v>0</x:v>
      </x:c>
      <x:c r="H1194" s="1" t="n">
        <x:f>'Historical prices'!E1194</x:f>
        <x:v>1.05</x:v>
      </x:c>
      <x:c r="I1194" s="6" t="n">
        <x:f>'Historical prices'!D1194</x:f>
        <x:v>0.1766</x:v>
      </x:c>
      <x:c r="J1194" s="13" t="n">
        <x:f>D1194*I1194*H1194</x:f>
        <x:v>0.07471283750000002</x:v>
      </x:c>
      <x:c r="K1194" s="13" t="n">
        <x:f>E1194*I1194*H1194</x:f>
        <x:v>0.07675256750000001</x:v>
      </x:c>
      <x:c r="L1194" s="1" t="str">
        <x:f>TEXT(A1194,"mmm yyyy")</x:f>
        <x:v>May 2026</x:v>
      </x:c>
    </x:row>
    <x:row r="1195" ht="21" customHeight="1">
      <x:c r="A1195" s="10" t="n">
        <x:v>46173</x:v>
      </x:c>
      <x:c r="B1195" s="1" t="n">
        <x:v>9.5</x:v>
      </x:c>
      <x:c r="C1195" s="1" t="n">
        <x:v>6</x:v>
      </x:c>
      <x:c r="D1195" s="12" t="n">
        <x:v>0.8460833333333333</x:v>
      </x:c>
      <x:c r="E1195" s="12" t="n">
        <x:v>0.8570833333333333</x:v>
      </x:c>
      <x:c r="F1195" s="12" t="n">
        <x:v>0</x:v>
      </x:c>
      <x:c r="G1195" s="12" t="n">
        <x:v>0</x:v>
      </x:c>
      <x:c r="H1195" s="1" t="n">
        <x:f>'Historical prices'!E1195</x:f>
        <x:v>1.05</x:v>
      </x:c>
      <x:c r="I1195" s="6" t="n">
        <x:f>'Historical prices'!D1195</x:f>
        <x:v>0.1745</x:v>
      </x:c>
      <x:c r="J1195" s="13" t="n">
        <x:f>D1195*I1195*H1195</x:f>
        <x:v>0.15502361874999998</x:v>
      </x:c>
      <x:c r="K1195" s="13" t="n">
        <x:f>E1195*I1195*H1195</x:f>
        <x:v>0.15703909374999997</x:v>
      </x:c>
      <x:c r="L1195" s="1" t="str">
        <x:f>TEXT(A1195,"mmm yyyy")</x:f>
        <x:v>May 2026</x:v>
      </x:c>
    </x:row>
    <x:row r="1196" ht="21" customHeight="1">
      <x:c r="A1196" s="10" t="n">
        <x:v>46173</x:v>
      </x:c>
      <x:c r="B1196" s="1" t="n">
        <x:v>10</x:v>
      </x:c>
      <x:c r="C1196" s="1" t="n">
        <x:v>6</x:v>
      </x:c>
      <x:c r="D1196" s="12" t="n">
        <x:v>1.2975</x:v>
      </x:c>
      <x:c r="E1196" s="12" t="n">
        <x:v>1.3085</x:v>
      </x:c>
      <x:c r="F1196" s="12" t="n">
        <x:v>0</x:v>
      </x:c>
      <x:c r="G1196" s="12" t="n">
        <x:v>0</x:v>
      </x:c>
      <x:c r="H1196" s="1" t="n">
        <x:f>'Historical prices'!E1196</x:f>
        <x:v>1.05</x:v>
      </x:c>
      <x:c r="I1196" s="6" t="n">
        <x:f>'Historical prices'!D1196</x:f>
        <x:v>0.1674</x:v>
      </x:c>
      <x:c r="J1196" s="13" t="n">
        <x:f>D1196*I1196*H1196</x:f>
        <x:v>0.22806157500000002</x:v>
      </x:c>
      <x:c r="K1196" s="13" t="n">
        <x:f>E1196*I1196*H1196</x:f>
        <x:v>0.22999504499999998</x:v>
      </x:c>
      <x:c r="L1196" s="1" t="str">
        <x:f>TEXT(A1196,"mmm yyyy")</x:f>
        <x:v>May 2026</x:v>
      </x:c>
    </x:row>
    <x:row r="1197" ht="21" customHeight="1">
      <x:c r="A1197" s="10" t="n">
        <x:v>46173</x:v>
      </x:c>
      <x:c r="B1197" s="1" t="n">
        <x:v>10.5</x:v>
      </x:c>
      <x:c r="C1197" s="1" t="n">
        <x:v>6</x:v>
      </x:c>
      <x:c r="D1197" s="12" t="n">
        <x:v>0.5321666666666667</x:v>
      </x:c>
      <x:c r="E1197" s="12" t="n">
        <x:v>0.5431666666666667</x:v>
      </x:c>
      <x:c r="F1197" s="12" t="n">
        <x:v>0</x:v>
      </x:c>
      <x:c r="G1197" s="12" t="n">
        <x:v>0</x:v>
      </x:c>
      <x:c r="H1197" s="1" t="n">
        <x:f>'Historical prices'!E1197</x:f>
        <x:v>1.05</x:v>
      </x:c>
      <x:c r="I1197" s="6" t="n">
        <x:f>'Historical prices'!D1197</x:f>
        <x:v>0.1632</x:v>
      </x:c>
      <x:c r="J1197" s="13" t="n">
        <x:f>D1197*I1197*H1197</x:f>
        <x:v>0.09119208000000002</x:v>
      </x:c>
      <x:c r="K1197" s="13" t="n">
        <x:f>E1197*I1197*H1197</x:f>
        <x:v>0.09307704000000001</x:v>
      </x:c>
      <x:c r="L1197" s="1" t="str">
        <x:f>TEXT(A1197,"mmm yyyy")</x:f>
        <x:v>May 2026</x:v>
      </x:c>
    </x:row>
    <x:row r="1198" ht="21" customHeight="1">
      <x:c r="A1198" s="10" t="n">
        <x:v>46173</x:v>
      </x:c>
      <x:c r="B1198" s="1" t="n">
        <x:v>11</x:v>
      </x:c>
      <x:c r="C1198" s="1" t="n">
        <x:v>6</x:v>
      </x:c>
      <x:c r="D1198" s="12" t="n">
        <x:v>0.4783333333333333</x:v>
      </x:c>
      <x:c r="E1198" s="12" t="n">
        <x:v>0.4893333333333333</x:v>
      </x:c>
      <x:c r="F1198" s="12" t="n">
        <x:v>0</x:v>
      </x:c>
      <x:c r="G1198" s="12" t="n">
        <x:v>0</x:v>
      </x:c>
      <x:c r="H1198" s="1" t="n">
        <x:f>'Historical prices'!E1198</x:f>
        <x:v>1.05</x:v>
      </x:c>
      <x:c r="I1198" s="6" t="n">
        <x:f>'Historical prices'!D1198</x:f>
        <x:v>0.171</x:v>
      </x:c>
      <x:c r="J1198" s="13" t="n">
        <x:f>D1198*I1198*H1198</x:f>
        <x:v>0.08588475</x:v>
      </x:c>
      <x:c r="K1198" s="13" t="n">
        <x:f>E1198*I1198*H1198</x:f>
        <x:v>0.0878598</x:v>
      </x:c>
      <x:c r="L1198" s="1" t="str">
        <x:f>TEXT(A1198,"mmm yyyy")</x:f>
        <x:v>May 2026</x:v>
      </x:c>
    </x:row>
    <x:row r="1199" ht="21" customHeight="1">
      <x:c r="A1199" s="10" t="n">
        <x:v>46173</x:v>
      </x:c>
      <x:c r="B1199" s="1" t="n">
        <x:v>11.5</x:v>
      </x:c>
      <x:c r="C1199" s="1" t="n">
        <x:v>6</x:v>
      </x:c>
      <x:c r="D1199" s="12" t="n">
        <x:v>0.84075</x:v>
      </x:c>
      <x:c r="E1199" s="12" t="n">
        <x:v>0.85075</x:v>
      </x:c>
      <x:c r="F1199" s="12" t="n">
        <x:v>0</x:v>
      </x:c>
      <x:c r="G1199" s="12" t="n">
        <x:v>0</x:v>
      </x:c>
      <x:c r="H1199" s="1" t="n">
        <x:f>'Historical prices'!E1199</x:f>
        <x:v>1.05</x:v>
      </x:c>
      <x:c r="I1199" s="6" t="n">
        <x:f>'Historical prices'!D1199</x:f>
        <x:v>0.16440000000000002</x:v>
      </x:c>
      <x:c r="J1199" s="13" t="n">
        <x:f>D1199*I1199*H1199</x:f>
        <x:v>0.14513026500000004</x:v>
      </x:c>
      <x:c r="K1199" s="13" t="n">
        <x:f>E1199*I1199*H1199</x:f>
        <x:v>0.14685646500000002</x:v>
      </x:c>
      <x:c r="L1199" s="1" t="str">
        <x:f>TEXT(A1199,"mmm yyyy")</x:f>
        <x:v>May 2026</x:v>
      </x:c>
    </x:row>
    <x:row r="1200" ht="21" customHeight="1">
      <x:c r="A1200" s="10" t="n">
        <x:v>46173</x:v>
      </x:c>
      <x:c r="B1200" s="1" t="n">
        <x:v>12</x:v>
      </x:c>
      <x:c r="C1200" s="1" t="n">
        <x:v>6</x:v>
      </x:c>
      <x:c r="D1200" s="12" t="n">
        <x:v>0.6011666666666666</x:v>
      </x:c>
      <x:c r="E1200" s="12" t="n">
        <x:v>0.6131666666666666</x:v>
      </x:c>
      <x:c r="F1200" s="12" t="n">
        <x:v>0</x:v>
      </x:c>
      <x:c r="G1200" s="12" t="n">
        <x:v>0</x:v>
      </x:c>
      <x:c r="H1200" s="1" t="n">
        <x:f>'Historical prices'!E1200</x:f>
        <x:v>1.05</x:v>
      </x:c>
      <x:c r="I1200" s="6" t="n">
        <x:f>'Historical prices'!D1200</x:f>
        <x:v>0.17190000000000003</x:v>
      </x:c>
      <x:c r="J1200" s="13" t="n">
        <x:f>D1200*I1200*H1200</x:f>
        <x:v>0.10850757750000001</x:v>
      </x:c>
      <x:c r="K1200" s="13" t="n">
        <x:f>E1200*I1200*H1200</x:f>
        <x:v>0.11067351750000001</x:v>
      </x:c>
      <x:c r="L1200" s="1" t="str">
        <x:f>TEXT(A1200,"mmm yyyy")</x:f>
        <x:v>May 2026</x:v>
      </x:c>
    </x:row>
    <x:row r="1201" ht="21" customHeight="1">
      <x:c r="A1201" s="10" t="n">
        <x:v>46173</x:v>
      </x:c>
      <x:c r="B1201" s="1" t="n">
        <x:v>12.5</x:v>
      </x:c>
      <x:c r="C1201" s="1" t="n">
        <x:v>6</x:v>
      </x:c>
      <x:c r="D1201" s="12" t="n">
        <x:v>0.42175000000000007</x:v>
      </x:c>
      <x:c r="E1201" s="12" t="n">
        <x:v>0.43274999999999997</x:v>
      </x:c>
      <x:c r="F1201" s="12" t="n">
        <x:v>0</x:v>
      </x:c>
      <x:c r="G1201" s="12" t="n">
        <x:v>0</x:v>
      </x:c>
      <x:c r="H1201" s="1" t="n">
        <x:f>'Historical prices'!E1201</x:f>
        <x:v>1.05</x:v>
      </x:c>
      <x:c r="I1201" s="6" t="n">
        <x:f>'Historical prices'!D1201</x:f>
        <x:v>0.1635</x:v>
      </x:c>
      <x:c r="J1201" s="13" t="n">
        <x:f>D1201*I1201*H1201</x:f>
        <x:v>0.07240393125000003</x:v>
      </x:c>
      <x:c r="K1201" s="13" t="n">
        <x:f>E1201*I1201*H1201</x:f>
        <x:v>0.07429235625000001</x:v>
      </x:c>
      <x:c r="L1201" s="1" t="str">
        <x:f>TEXT(A1201,"mmm yyyy")</x:f>
        <x:v>May 2026</x:v>
      </x:c>
    </x:row>
    <x:row r="1202" ht="21" customHeight="1">
      <x:c r="A1202" s="10" t="n">
        <x:v>46173</x:v>
      </x:c>
      <x:c r="B1202" s="1" t="n">
        <x:v>13</x:v>
      </x:c>
      <x:c r="C1202" s="1" t="n">
        <x:v>6</x:v>
      </x:c>
      <x:c r="D1202" s="12" t="n">
        <x:v>0.40325</x:v>
      </x:c>
      <x:c r="E1202" s="12" t="n">
        <x:v>0.41425</x:v>
      </x:c>
      <x:c r="F1202" s="12" t="n">
        <x:v>0</x:v>
      </x:c>
      <x:c r="G1202" s="12" t="n">
        <x:v>0</x:v>
      </x:c>
      <x:c r="H1202" s="1" t="n">
        <x:f>'Historical prices'!E1202</x:f>
        <x:v>1.05</x:v>
      </x:c>
      <x:c r="I1202" s="6" t="n">
        <x:f>'Historical prices'!D1202</x:f>
        <x:v>0.1661</x:v>
      </x:c>
      <x:c r="J1202" s="13" t="n">
        <x:f>D1202*I1202*H1202</x:f>
        <x:v>0.07032881625</x:v>
      </x:c>
      <x:c r="K1202" s="13" t="n">
        <x:f>E1202*I1202*H1202</x:f>
        <x:v>0.07224727125000001</x:v>
      </x:c>
      <x:c r="L1202" s="1" t="str">
        <x:f>TEXT(A1202,"mmm yyyy")</x:f>
        <x:v>May 2026</x:v>
      </x:c>
    </x:row>
    <x:row r="1203" ht="21" customHeight="1">
      <x:c r="A1203" s="10" t="n">
        <x:v>46173</x:v>
      </x:c>
      <x:c r="B1203" s="1" t="n">
        <x:v>13.5</x:v>
      </x:c>
      <x:c r="C1203" s="1" t="n">
        <x:v>6</x:v>
      </x:c>
      <x:c r="D1203" s="12" t="n">
        <x:v>0.9556666666666667</x:v>
      </x:c>
      <x:c r="E1203" s="12" t="n">
        <x:v>0.4716666666666667</x:v>
      </x:c>
      <x:c r="F1203" s="12" t="n">
        <x:v>0</x:v>
      </x:c>
      <x:c r="G1203" s="12" t="n">
        <x:v>0.486</x:v>
      </x:c>
      <x:c r="H1203" s="1" t="n">
        <x:f>'Historical prices'!E1203</x:f>
        <x:v>1.05</x:v>
      </x:c>
      <x:c r="I1203" s="6" t="n">
        <x:f>'Historical prices'!D1203</x:f>
        <x:v>0.1476</x:v>
      </x:c>
      <x:c r="J1203" s="13" t="n">
        <x:f>D1203*I1203*H1203</x:f>
        <x:v>0.14810922</x:v>
      </x:c>
      <x:c r="K1203" s="13" t="n">
        <x:f>E1203*I1203*H1203</x:f>
        <x:v>0.07309890000000001</x:v>
      </x:c>
      <x:c r="L1203" s="1" t="str">
        <x:f>TEXT(A1203,"mmm yyyy")</x:f>
        <x:v>May 2026</x:v>
      </x:c>
    </x:row>
    <x:row r="1204" ht="21" customHeight="1">
      <x:c r="A1204" s="10" t="n">
        <x:v>46173</x:v>
      </x:c>
      <x:c r="B1204" s="1" t="n">
        <x:v>14</x:v>
      </x:c>
      <x:c r="C1204" s="1" t="n">
        <x:v>6</x:v>
      </x:c>
      <x:c r="D1204" s="12" t="n">
        <x:v>4.841</x:v>
      </x:c>
      <x:c r="E1204" s="12" t="n">
        <x:v>0.7710000000000001</x:v>
      </x:c>
      <x:c r="F1204" s="12" t="n">
        <x:v>0</x:v>
      </x:c>
      <x:c r="G1204" s="12" t="n">
        <x:v>4.07</x:v>
      </x:c>
      <x:c r="H1204" s="1" t="n">
        <x:f>'Historical prices'!E1204</x:f>
        <x:v>1.05</x:v>
      </x:c>
      <x:c r="I1204" s="6" t="n">
        <x:f>'Historical prices'!D1204</x:f>
        <x:v>0.1472</x:v>
      </x:c>
      <x:c r="J1204" s="13" t="n">
        <x:f>D1204*I1204*H1204</x:f>
        <x:v>0.74822496</x:v>
      </x:c>
      <x:c r="K1204" s="13" t="n">
        <x:f>E1204*I1204*H1204</x:f>
        <x:v>0.11916576000000002</x:v>
      </x:c>
      <x:c r="L1204" s="1" t="str">
        <x:f>TEXT(A1204,"mmm yyyy")</x:f>
        <x:v>May 2026</x:v>
      </x:c>
    </x:row>
    <x:row r="1205" ht="21" customHeight="1">
      <x:c r="A1205" s="10" t="n">
        <x:v>46173</x:v>
      </x:c>
      <x:c r="B1205" s="1" t="n">
        <x:v>14.5</x:v>
      </x:c>
      <x:c r="C1205" s="1" t="n">
        <x:v>6</x:v>
      </x:c>
      <x:c r="D1205" s="12" t="n">
        <x:v>1.4525</x:v>
      </x:c>
      <x:c r="E1205" s="12" t="n">
        <x:v>0.5335</x:v>
      </x:c>
      <x:c r="F1205" s="12" t="n">
        <x:v>0</x:v>
      </x:c>
      <x:c r="G1205" s="12" t="n">
        <x:v>0.9220000000000002</x:v>
      </x:c>
      <x:c r="H1205" s="1" t="n">
        <x:f>'Historical prices'!E1205</x:f>
        <x:v>1.05</x:v>
      </x:c>
      <x:c r="I1205" s="6" t="n">
        <x:f>'Historical prices'!D1205</x:f>
        <x:v>0.1524</x:v>
      </x:c>
      <x:c r="J1205" s="13" t="n">
        <x:f>D1205*I1205*H1205</x:f>
        <x:v>0.23242905000000003</x:v>
      </x:c>
      <x:c r="K1205" s="13" t="n">
        <x:f>E1205*I1205*H1205</x:f>
        <x:v>0.08537067000000001</x:v>
      </x:c>
      <x:c r="L1205" s="1" t="str">
        <x:f>TEXT(A1205,"mmm yyyy")</x:f>
        <x:v>May 2026</x:v>
      </x:c>
    </x:row>
    <x:row r="1206" ht="21" customHeight="1">
      <x:c r="A1206" s="10" t="n">
        <x:v>46173</x:v>
      </x:c>
      <x:c r="B1206" s="1" t="n">
        <x:v>15</x:v>
      </x:c>
      <x:c r="C1206" s="1" t="n">
        <x:v>6</x:v>
      </x:c>
      <x:c r="D1206" s="12" t="n">
        <x:v>4.624666666666666</x:v>
      </x:c>
      <x:c r="E1206" s="12" t="n">
        <x:v>0.7046666666666667</x:v>
      </x:c>
      <x:c r="F1206" s="12" t="n">
        <x:v>0</x:v>
      </x:c>
      <x:c r="G1206" s="12" t="n">
        <x:v>3.9240000000000004</x:v>
      </x:c>
      <x:c r="H1206" s="1" t="n">
        <x:f>'Historical prices'!E1206</x:f>
        <x:v>1.05</x:v>
      </x:c>
      <x:c r="I1206" s="6" t="n">
        <x:f>'Historical prices'!D1206</x:f>
        <x:v>0.1474</x:v>
      </x:c>
      <x:c r="J1206" s="13" t="n">
        <x:f>D1206*I1206*H1206</x:f>
        <x:v>0.7157596599999999</x:v>
      </x:c>
      <x:c r="K1206" s="13" t="n">
        <x:f>E1206*I1206*H1206</x:f>
        <x:v>0.10906126000000001</x:v>
      </x:c>
      <x:c r="L1206" s="1" t="str">
        <x:f>TEXT(A1206,"mmm yyyy")</x:f>
        <x:v>May 2026</x:v>
      </x:c>
    </x:row>
    <x:row r="1207" ht="21" customHeight="1">
      <x:c r="A1207" s="10" t="n">
        <x:v>46173</x:v>
      </x:c>
      <x:c r="B1207" s="1" t="n">
        <x:v>15.5</x:v>
      </x:c>
      <x:c r="C1207" s="1" t="n">
        <x:v>6</x:v>
      </x:c>
      <x:c r="D1207" s="12" t="n">
        <x:v>1.5710833333333334</x:v>
      </x:c>
      <x:c r="E1207" s="12" t="n">
        <x:v>0.6450833333333333</x:v>
      </x:c>
      <x:c r="F1207" s="12" t="n">
        <x:v>0.147</x:v>
      </x:c>
      <x:c r="G1207" s="12" t="n">
        <x:v>1.073</x:v>
      </x:c>
      <x:c r="H1207" s="1" t="n">
        <x:f>'Historical prices'!E1207</x:f>
        <x:v>1.05</x:v>
      </x:c>
      <x:c r="I1207" s="6" t="n">
        <x:f>'Historical prices'!D1207</x:f>
        <x:v>0.15560000000000002</x:v>
      </x:c>
      <x:c r="J1207" s="13" t="n">
        <x:f>D1207*I1207*H1207</x:f>
        <x:v>0.25668359500000004</x:v>
      </x:c>
      <x:c r="K1207" s="13" t="n">
        <x:f>E1207*I1207*H1207</x:f>
        <x:v>0.10539371500000001</x:v>
      </x:c>
      <x:c r="L1207" s="1" t="str">
        <x:f>TEXT(A1207,"mmm yyyy")</x:f>
        <x:v>May 2026</x:v>
      </x:c>
    </x:row>
    <x:row r="1208" ht="21" customHeight="1">
      <x:c r="A1208" s="10" t="n">
        <x:v>46173</x:v>
      </x:c>
      <x:c r="B1208" s="1" t="n">
        <x:v>16</x:v>
      </x:c>
      <x:c r="C1208" s="1" t="n">
        <x:v>6</x:v>
      </x:c>
      <x:c r="D1208" s="12" t="n">
        <x:v>0</x:v>
      </x:c>
      <x:c r="E1208" s="12" t="n">
        <x:v>0.5460833333333333</x:v>
      </x:c>
      <x:c r="F1208" s="12" t="n">
        <x:v>0.53875</x:v>
      </x:c>
      <x:c r="G1208" s="12" t="n">
        <x:v>0</x:v>
      </x:c>
      <x:c r="H1208" s="1" t="n">
        <x:f>'Historical prices'!E1208</x:f>
        <x:v>1.05</x:v>
      </x:c>
      <x:c r="I1208" s="6" t="n">
        <x:f>'Historical prices'!D1208</x:f>
        <x:v>0.2861</x:v>
      </x:c>
      <x:c r="J1208" s="13" t="n">
        <x:f>D1208*I1208*H1208</x:f>
        <x:v>0</x:v>
      </x:c>
      <x:c r="K1208" s="13" t="n">
        <x:f>E1208*I1208*H1208</x:f>
        <x:v>0.16404616375</x:v>
      </x:c>
      <x:c r="L1208" s="1" t="str">
        <x:f>TEXT(A1208,"mmm yyyy")</x:f>
        <x:v>May 2026</x:v>
      </x:c>
    </x:row>
    <x:row r="1209" ht="21" customHeight="1">
      <x:c r="A1209" s="10" t="n">
        <x:v>46173</x:v>
      </x:c>
      <x:c r="B1209" s="1" t="n">
        <x:v>16.5</x:v>
      </x:c>
      <x:c r="C1209" s="1" t="n">
        <x:v>6</x:v>
      </x:c>
      <x:c r="D1209" s="12" t="n">
        <x:v>0</x:v>
      </x:c>
      <x:c r="E1209" s="12" t="n">
        <x:v>0.5589999999999999</x:v>
      </x:c>
      <x:c r="F1209" s="12" t="n">
        <x:v>0.5588333333333333</x:v>
      </x:c>
      <x:c r="G1209" s="12" t="n">
        <x:v>0</x:v>
      </x:c>
      <x:c r="H1209" s="1" t="n">
        <x:f>'Historical prices'!E1209</x:f>
        <x:v>1.05</x:v>
      </x:c>
      <x:c r="I1209" s="6" t="n">
        <x:f>'Historical prices'!D1209</x:f>
        <x:v>0.2861</x:v>
      </x:c>
      <x:c r="J1209" s="13" t="n">
        <x:f>D1209*I1209*H1209</x:f>
        <x:v>0</x:v>
      </x:c>
      <x:c r="K1209" s="13" t="n">
        <x:f>E1209*I1209*H1209</x:f>
        <x:v>0.167926395</x:v>
      </x:c>
      <x:c r="L1209" s="1" t="str">
        <x:f>TEXT(A1209,"mmm yyyy")</x:f>
        <x:v>May 2026</x:v>
      </x:c>
    </x:row>
    <x:row r="1210" ht="21" customHeight="1">
      <x:c r="A1210" s="10" t="n">
        <x:v>46173</x:v>
      </x:c>
      <x:c r="B1210" s="1" t="n">
        <x:v>17</x:v>
      </x:c>
      <x:c r="C1210" s="1" t="n">
        <x:v>6</x:v>
      </x:c>
      <x:c r="D1210" s="12" t="n">
        <x:v>0</x:v>
      </x:c>
      <x:c r="E1210" s="12" t="n">
        <x:v>0.5317500000000001</x:v>
      </x:c>
      <x:c r="F1210" s="12" t="n">
        <x:v>0.5317500000000001</x:v>
      </x:c>
      <x:c r="G1210" s="12" t="n">
        <x:v>0</x:v>
      </x:c>
      <x:c r="H1210" s="1" t="n">
        <x:f>'Historical prices'!E1210</x:f>
        <x:v>1.05</x:v>
      </x:c>
      <x:c r="I1210" s="6" t="n">
        <x:f>'Historical prices'!D1210</x:f>
        <x:v>0.30010000000000003</x:v>
      </x:c>
      <x:c r="J1210" s="13" t="n">
        <x:f>D1210*I1210*H1210</x:f>
        <x:v>0</x:v>
      </x:c>
      <x:c r="K1210" s="13" t="n">
        <x:f>E1210*I1210*H1210</x:f>
        <x:v>0.16755708375000006</x:v>
      </x:c>
      <x:c r="L1210" s="1" t="str">
        <x:f>TEXT(A1210,"mmm yyyy")</x:f>
        <x:v>May 2026</x:v>
      </x:c>
    </x:row>
    <x:row r="1211" ht="21" customHeight="1">
      <x:c r="A1211" s="10" t="n">
        <x:v>46173</x:v>
      </x:c>
      <x:c r="B1211" s="1" t="n">
        <x:v>17.5</x:v>
      </x:c>
      <x:c r="C1211" s="1" t="n">
        <x:v>6</x:v>
      </x:c>
      <x:c r="D1211" s="12" t="n">
        <x:v>0</x:v>
      </x:c>
      <x:c r="E1211" s="12" t="n">
        <x:v>0.4196666666666667</x:v>
      </x:c>
      <x:c r="F1211" s="12" t="n">
        <x:v>0.4196666666666667</x:v>
      </x:c>
      <x:c r="G1211" s="12" t="n">
        <x:v>0</x:v>
      </x:c>
      <x:c r="H1211" s="1" t="n">
        <x:f>'Historical prices'!E1211</x:f>
        <x:v>1.05</x:v>
      </x:c>
      <x:c r="I1211" s="6" t="n">
        <x:f>'Historical prices'!D1211</x:f>
        <x:v>0.2914</x:v>
      </x:c>
      <x:c r="J1211" s="13" t="n">
        <x:f>D1211*I1211*H1211</x:f>
        <x:v>0</x:v>
      </x:c>
      <x:c r="K1211" s="13" t="n">
        <x:f>E1211*I1211*H1211</x:f>
        <x:v>0.12840541</x:v>
      </x:c>
      <x:c r="L1211" s="1" t="str">
        <x:f>TEXT(A1211,"mmm yyyy")</x:f>
        <x:v>May 2026</x:v>
      </x:c>
    </x:row>
    <x:row r="1212" ht="21" customHeight="1">
      <x:c r="A1212" s="10" t="n">
        <x:v>46173</x:v>
      </x:c>
      <x:c r="B1212" s="1" t="n">
        <x:v>18</x:v>
      </x:c>
      <x:c r="C1212" s="1" t="n">
        <x:v>6</x:v>
      </x:c>
      <x:c r="D1212" s="12" t="n">
        <x:v>0</x:v>
      </x:c>
      <x:c r="E1212" s="12" t="n">
        <x:v>0.4529166666666667</x:v>
      </x:c>
      <x:c r="F1212" s="12" t="n">
        <x:v>0.45283333333333337</x:v>
      </x:c>
      <x:c r="G1212" s="12" t="n">
        <x:v>0</x:v>
      </x:c>
      <x:c r="H1212" s="1" t="n">
        <x:f>'Historical prices'!E1212</x:f>
        <x:v>1.05</x:v>
      </x:c>
      <x:c r="I1212" s="6" t="n">
        <x:f>'Historical prices'!D1212</x:f>
        <x:v>0.31989999999999996</x:v>
      </x:c>
      <x:c r="J1212" s="13" t="n">
        <x:f>D1212*I1212*H1212</x:f>
        <x:v>0</x:v>
      </x:c>
      <x:c r="K1212" s="13" t="n">
        <x:f>E1212*I1212*H1212</x:f>
        <x:v>0.15213244375</x:v>
      </x:c>
      <x:c r="L1212" s="1" t="str">
        <x:f>TEXT(A1212,"mmm yyyy")</x:f>
        <x:v>May 2026</x:v>
      </x:c>
    </x:row>
    <x:row r="1213" ht="21" customHeight="1">
      <x:c r="A1213" s="10" t="n">
        <x:v>46173</x:v>
      </x:c>
      <x:c r="B1213" s="1" t="n">
        <x:v>18.5</x:v>
      </x:c>
      <x:c r="C1213" s="1" t="n">
        <x:v>6</x:v>
      </x:c>
      <x:c r="D1213" s="12" t="n">
        <x:v>0.08816666666666667</x:v>
      </x:c>
      <x:c r="E1213" s="12" t="n">
        <x:v>1.8581666666666665</x:v>
      </x:c>
      <x:c r="F1213" s="12" t="n">
        <x:v>1.766</x:v>
      </x:c>
      <x:c r="G1213" s="12" t="n">
        <x:v>0</x:v>
      </x:c>
      <x:c r="H1213" s="1" t="n">
        <x:f>'Historical prices'!E1213</x:f>
        <x:v>1.05</x:v>
      </x:c>
      <x:c r="I1213" s="6" t="n">
        <x:f>'Historical prices'!D1213</x:f>
        <x:v>0.3436</x:v>
      </x:c>
      <x:c r="J1213" s="13" t="n">
        <x:f>D1213*I1213*H1213</x:f>
        <x:v>0.03180877000000001</x:v>
      </x:c>
      <x:c r="K1213" s="13" t="n">
        <x:f>E1213*I1213*H1213</x:f>
        <x:v>0.67038937</x:v>
      </x:c>
      <x:c r="L1213" s="1" t="str">
        <x:f>TEXT(A1213,"mmm yyyy")</x:f>
        <x:v>May 2026</x:v>
      </x:c>
    </x:row>
    <x:row r="1214" ht="21" customHeight="1">
      <x:c r="A1214" s="10" t="n">
        <x:v>46173</x:v>
      </x:c>
      <x:c r="B1214" s="1" t="n">
        <x:v>19</x:v>
      </x:c>
      <x:c r="C1214" s="1" t="n">
        <x:v>6</x:v>
      </x:c>
      <x:c r="D1214" s="12" t="n">
        <x:v>0</x:v>
      </x:c>
      <x:c r="E1214" s="12" t="n">
        <x:v>0.8387499999999999</x:v>
      </x:c>
      <x:c r="F1214" s="12" t="n">
        <x:v>0.8379999999999999</x:v>
      </x:c>
      <x:c r="G1214" s="12" t="n">
        <x:v>0</x:v>
      </x:c>
      <x:c r="H1214" s="1" t="n">
        <x:f>'Historical prices'!E1214</x:f>
        <x:v>1.05</x:v>
      </x:c>
      <x:c r="I1214" s="6" t="n">
        <x:f>'Historical prices'!D1214</x:f>
        <x:v>0.2341</x:v>
      </x:c>
      <x:c r="J1214" s="13" t="n">
        <x:f>D1214*I1214*H1214</x:f>
        <x:v>0</x:v>
      </x:c>
      <x:c r="K1214" s="13" t="n">
        <x:f>E1214*I1214*H1214</x:f>
        <x:v>0.20616894374999997</x:v>
      </x:c>
      <x:c r="L1214" s="1" t="str">
        <x:f>TEXT(A1214,"mmm yyyy")</x:f>
        <x:v>May 2026</x:v>
      </x:c>
    </x:row>
    <x:row r="1215" ht="21" customHeight="1">
      <x:c r="A1215" s="10" t="n">
        <x:v>46173</x:v>
      </x:c>
      <x:c r="B1215" s="1" t="n">
        <x:v>19.5</x:v>
      </x:c>
      <x:c r="C1215" s="1" t="n">
        <x:v>6</x:v>
      </x:c>
      <x:c r="D1215" s="12" t="n">
        <x:v>0</x:v>
      </x:c>
      <x:c r="E1215" s="12" t="n">
        <x:v>0.8118333333333334</x:v>
      </x:c>
      <x:c r="F1215" s="12" t="n">
        <x:v>0.8115833333333334</x:v>
      </x:c>
      <x:c r="G1215" s="12" t="n">
        <x:v>0</x:v>
      </x:c>
      <x:c r="H1215" s="1" t="n">
        <x:f>'Historical prices'!E1215</x:f>
        <x:v>1.05</x:v>
      </x:c>
      <x:c r="I1215" s="6" t="n">
        <x:f>'Historical prices'!D1215</x:f>
        <x:v>0.2396</x:v>
      </x:c>
      <x:c r="J1215" s="13" t="n">
        <x:f>D1215*I1215*H1215</x:f>
        <x:v>0</x:v>
      </x:c>
      <x:c r="K1215" s="13" t="n">
        <x:f>E1215*I1215*H1215</x:f>
        <x:v>0.20424103000000002</x:v>
      </x:c>
      <x:c r="L1215" s="1" t="str">
        <x:f>TEXT(A1215,"mmm yyyy")</x:f>
        <x:v>May 2026</x:v>
      </x:c>
    </x:row>
    <x:row r="1216" ht="21" customHeight="1">
      <x:c r="A1216" s="10" t="n">
        <x:v>46173</x:v>
      </x:c>
      <x:c r="B1216" s="1" t="n">
        <x:v>20</x:v>
      </x:c>
      <x:c r="C1216" s="1" t="n">
        <x:v>6</x:v>
      </x:c>
      <x:c r="D1216" s="12" t="n">
        <x:v>0</x:v>
      </x:c>
      <x:c r="E1216" s="12" t="n">
        <x:v>0.56175</x:v>
      </x:c>
      <x:c r="F1216" s="12" t="n">
        <x:v>0.56175</x:v>
      </x:c>
      <x:c r="G1216" s="12" t="n">
        <x:v>0</x:v>
      </x:c>
      <x:c r="H1216" s="1" t="n">
        <x:f>'Historical prices'!E1216</x:f>
        <x:v>1.05</x:v>
      </x:c>
      <x:c r="I1216" s="6" t="n">
        <x:f>'Historical prices'!D1216</x:f>
        <x:v>0.23600000000000002</x:v>
      </x:c>
      <x:c r="J1216" s="13" t="n">
        <x:f>D1216*I1216*H1216</x:f>
        <x:v>0</x:v>
      </x:c>
      <x:c r="K1216" s="13" t="n">
        <x:f>E1216*I1216*H1216</x:f>
        <x:v>0.13920165</x:v>
      </x:c>
      <x:c r="L1216" s="1" t="str">
        <x:f>TEXT(A1216,"mmm yyyy")</x:f>
        <x:v>May 2026</x:v>
      </x:c>
    </x:row>
    <x:row r="1217" ht="21" customHeight="1">
      <x:c r="A1217" s="10" t="n">
        <x:v>46173</x:v>
      </x:c>
      <x:c r="B1217" s="1" t="n">
        <x:v>20.5</x:v>
      </x:c>
      <x:c r="C1217" s="1" t="n">
        <x:v>6</x:v>
      </x:c>
      <x:c r="D1217" s="12" t="n">
        <x:v>0</x:v>
      </x:c>
      <x:c r="E1217" s="12" t="n">
        <x:v>0.49191666666666667</x:v>
      </x:c>
      <x:c r="F1217" s="12" t="n">
        <x:v>0.49183333333333334</x:v>
      </x:c>
      <x:c r="G1217" s="12" t="n">
        <x:v>0</x:v>
      </x:c>
      <x:c r="H1217" s="1" t="n">
        <x:f>'Historical prices'!E1217</x:f>
        <x:v>1.05</x:v>
      </x:c>
      <x:c r="I1217" s="6" t="n">
        <x:f>'Historical prices'!D1217</x:f>
        <x:v>0.2394</x:v>
      </x:c>
      <x:c r="J1217" s="13" t="n">
        <x:f>D1217*I1217*H1217</x:f>
        <x:v>0</x:v>
      </x:c>
      <x:c r="K1217" s="13" t="n">
        <x:f>E1217*I1217*H1217</x:f>
        <x:v>0.1236530925</x:v>
      </x:c>
      <x:c r="L1217" s="1" t="str">
        <x:f>TEXT(A1217,"mmm yyyy")</x:f>
        <x:v>May 2026</x:v>
      </x:c>
    </x:row>
    <x:row r="1218" ht="21" customHeight="1">
      <x:c r="A1218" s="10" t="n">
        <x:v>46173</x:v>
      </x:c>
      <x:c r="B1218" s="1" t="n">
        <x:v>21</x:v>
      </x:c>
      <x:c r="C1218" s="1" t="n">
        <x:v>6</x:v>
      </x:c>
      <x:c r="D1218" s="12" t="n">
        <x:v>0</x:v>
      </x:c>
      <x:c r="E1218" s="12" t="n">
        <x:v>0.4768333333333334</x:v>
      </x:c>
      <x:c r="F1218" s="12" t="n">
        <x:v>0.4768333333333334</x:v>
      </x:c>
      <x:c r="G1218" s="12" t="n">
        <x:v>0</x:v>
      </x:c>
      <x:c r="H1218" s="1" t="n">
        <x:f>'Historical prices'!E1218</x:f>
        <x:v>1.05</x:v>
      </x:c>
      <x:c r="I1218" s="6" t="n">
        <x:f>'Historical prices'!D1218</x:f>
        <x:v>0.2409</x:v>
      </x:c>
      <x:c r="J1218" s="13" t="n">
        <x:f>D1218*I1218*H1218</x:f>
        <x:v>0</x:v>
      </x:c>
      <x:c r="K1218" s="13" t="n">
        <x:f>E1218*I1218*H1218</x:f>
        <x:v>0.12061260750000002</x:v>
      </x:c>
      <x:c r="L1218" s="1" t="str">
        <x:f>TEXT(A1218,"mmm yyyy")</x:f>
        <x:v>May 2026</x:v>
      </x:c>
    </x:row>
    <x:row r="1219" ht="21" customHeight="1">
      <x:c r="A1219" s="10" t="n">
        <x:v>46173</x:v>
      </x:c>
      <x:c r="B1219" s="1" t="n">
        <x:v>21.5</x:v>
      </x:c>
      <x:c r="C1219" s="1" t="n">
        <x:v>6</x:v>
      </x:c>
      <x:c r="D1219" s="12" t="n">
        <x:v>0</x:v>
      </x:c>
      <x:c r="E1219" s="12" t="n">
        <x:v>0.9316666666666668</x:v>
      </x:c>
      <x:c r="F1219" s="12" t="n">
        <x:v>0.9206666666666667</x:v>
      </x:c>
      <x:c r="G1219" s="12" t="n">
        <x:v>0</x:v>
      </x:c>
      <x:c r="H1219" s="1" t="n">
        <x:f>'Historical prices'!E1219</x:f>
        <x:v>1.05</x:v>
      </x:c>
      <x:c r="I1219" s="6" t="n">
        <x:f>'Historical prices'!D1219</x:f>
        <x:v>0.2408</x:v>
      </x:c>
      <x:c r="J1219" s="13" t="n">
        <x:f>D1219*I1219*H1219</x:f>
        <x:v>0</x:v>
      </x:c>
      <x:c r="K1219" s="13" t="n">
        <x:f>E1219*I1219*H1219</x:f>
        <x:v>0.2355626</x:v>
      </x:c>
      <x:c r="L1219" s="1" t="str">
        <x:f>TEXT(A1219,"mmm yyyy")</x:f>
        <x:v>May 2026</x:v>
      </x:c>
    </x:row>
    <x:row r="1220" ht="21" customHeight="1">
      <x:c r="A1220" s="10" t="n">
        <x:v>46173</x:v>
      </x:c>
      <x:c r="B1220" s="1" t="n">
        <x:v>22</x:v>
      </x:c>
      <x:c r="C1220" s="1" t="n">
        <x:v>6</x:v>
      </x:c>
      <x:c r="D1220" s="12" t="n">
        <x:v>0.324</x:v>
      </x:c>
      <x:c r="E1220" s="12" t="n">
        <x:v>0.41500000000000004</x:v>
      </x:c>
      <x:c r="F1220" s="12" t="n">
        <x:v>0.08</x:v>
      </x:c>
      <x:c r="G1220" s="12" t="n">
        <x:v>0</x:v>
      </x:c>
      <x:c r="H1220" s="1" t="n">
        <x:f>'Historical prices'!E1220</x:f>
        <x:v>1.05</x:v>
      </x:c>
      <x:c r="I1220" s="6" t="n">
        <x:f>'Historical prices'!D1220</x:f>
        <x:v>0.222</x:v>
      </x:c>
      <x:c r="J1220" s="13" t="n">
        <x:f>D1220*I1220*H1220</x:f>
        <x:v>0.0755244</x:v>
      </x:c>
      <x:c r="K1220" s="13" t="n">
        <x:f>E1220*I1220*H1220</x:f>
        <x:v>0.0967365</x:v>
      </x:c>
      <x:c r="L1220" s="1" t="str">
        <x:f>TEXT(A1220,"mmm yyyy")</x:f>
        <x:v>May 2026</x:v>
      </x:c>
    </x:row>
    <x:row r="1221" ht="21" customHeight="1">
      <x:c r="A1221" s="10" t="n">
        <x:v>46173</x:v>
      </x:c>
      <x:c r="B1221" s="1" t="n">
        <x:v>22.5</x:v>
      </x:c>
      <x:c r="C1221" s="1" t="n">
        <x:v>6</x:v>
      </x:c>
      <x:c r="D1221" s="12" t="n">
        <x:v>0.057166666666666664</x:v>
      </x:c>
      <x:c r="E1221" s="12" t="n">
        <x:v>0.3193333333333333</x:v>
      </x:c>
      <x:c r="F1221" s="12" t="n">
        <x:v>0.2558333333333333</x:v>
      </x:c>
      <x:c r="G1221" s="12" t="n">
        <x:v>0</x:v>
      </x:c>
      <x:c r="H1221" s="1" t="n">
        <x:f>'Historical prices'!E1221</x:f>
        <x:v>1.05</x:v>
      </x:c>
      <x:c r="I1221" s="6" t="n">
        <x:f>'Historical prices'!D1221</x:f>
        <x:v>0.22519999999999998</x:v>
      </x:c>
      <x:c r="J1221" s="13" t="n">
        <x:f>D1221*I1221*H1221</x:f>
        <x:v>0.01351763</x:v>
      </x:c>
      <x:c r="K1221" s="13" t="n">
        <x:f>E1221*I1221*H1221</x:f>
        <x:v>0.07550955999999999</x:v>
      </x:c>
      <x:c r="L1221" s="1" t="str">
        <x:f>TEXT(A1221,"mmm yyyy")</x:f>
        <x:v>May 2026</x:v>
      </x:c>
    </x:row>
    <x:row r="1222" ht="21" customHeight="1">
      <x:c r="A1222" s="10" t="n">
        <x:v>46173</x:v>
      </x:c>
      <x:c r="B1222" s="1" t="n">
        <x:v>23</x:v>
      </x:c>
      <x:c r="C1222" s="1" t="n">
        <x:v>6</x:v>
      </x:c>
      <x:c r="D1222" s="12" t="n">
        <x:v>0</x:v>
      </x:c>
      <x:c r="E1222" s="12" t="n">
        <x:v>0.3150833333333333</x:v>
      </x:c>
      <x:c r="F1222" s="12" t="n">
        <x:v>0.31483333333333335</x:v>
      </x:c>
      <x:c r="G1222" s="12" t="n">
        <x:v>0</x:v>
      </x:c>
      <x:c r="H1222" s="1" t="n">
        <x:f>'Historical prices'!E1222</x:f>
        <x:v>1.05</x:v>
      </x:c>
      <x:c r="I1222" s="6" t="n">
        <x:f>'Historical prices'!D1222</x:f>
        <x:v>0.2354</x:v>
      </x:c>
      <x:c r="J1222" s="13" t="n">
        <x:f>D1222*I1222*H1222</x:f>
        <x:v>0</x:v>
      </x:c>
      <x:c r="K1222" s="13" t="n">
        <x:f>E1222*I1222*H1222</x:f>
        <x:v>0.0778791475</x:v>
      </x:c>
      <x:c r="L1222" s="1" t="str">
        <x:f>TEXT(A1222,"mmm yyyy")</x:f>
        <x:v>May 2026</x:v>
      </x:c>
    </x:row>
    <x:row r="1223" ht="21" customHeight="1">
      <x:c r="A1223" s="10" t="n">
        <x:v>46173</x:v>
      </x:c>
      <x:c r="B1223" s="1" t="n">
        <x:v>23.5</x:v>
      </x:c>
      <x:c r="C1223" s="1" t="n">
        <x:v>6</x:v>
      </x:c>
      <x:c r="D1223" s="12" t="n">
        <x:v>0.20741666666666667</x:v>
      </x:c>
      <x:c r="E1223" s="12" t="n">
        <x:v>0.2693333333333333</x:v>
      </x:c>
      <x:c r="F1223" s="12" t="n">
        <x:v>0.050916666666666666</x:v>
      </x:c>
      <x:c r="G1223" s="12" t="n">
        <x:v>0</x:v>
      </x:c>
      <x:c r="H1223" s="1" t="n">
        <x:f>'Historical prices'!E1223</x:f>
        <x:v>1.05</x:v>
      </x:c>
      <x:c r="I1223" s="6" t="n">
        <x:f>'Historical prices'!D1223</x:f>
        <x:v>0.21710000000000002</x:v>
      </x:c>
      <x:c r="J1223" s="13" t="n">
        <x:f>D1223*I1223*H1223</x:f>
        <x:v>0.04728166625</x:v>
      </x:c>
      <x:c r="K1223" s="13" t="n">
        <x:f>E1223*I1223*H1223</x:f>
        <x:v>0.06139588000000001</x:v>
      </x:c>
      <x:c r="L1223" s="1" t="str">
        <x:f>TEXT(A1223,"mmm yyyy")</x:f>
        <x:v>May 2026</x:v>
      </x:c>
    </x:row>
    <x:row r="1224" ht="21" customHeight="1">
      <x:c r="A1224" s="10" t="n">
        <x:v>46174</x:v>
      </x:c>
      <x:c r="B1224" s="1" t="n">
        <x:v>0</x:v>
      </x:c>
      <x:c r="C1224" s="1" t="n">
        <x:v>6</x:v>
      </x:c>
      <x:c r="D1224" s="12" t="n">
        <x:v>0.24625000000000002</x:v>
      </x:c>
      <x:c r="E1224" s="12" t="n">
        <x:v>0.25625000000000003</x:v>
      </x:c>
      <x:c r="F1224" s="12" t="n">
        <x:v>0</x:v>
      </x:c>
      <x:c r="G1224" s="12" t="n">
        <x:v>0</x:v>
      </x:c>
      <x:c r="H1224" s="1" t="n">
        <x:f>'Historical prices'!E1224</x:f>
        <x:v>1.05</x:v>
      </x:c>
      <x:c r="I1224" s="6" t="n">
        <x:f>'Historical prices'!D1224</x:f>
        <x:v>0.2057</x:v>
      </x:c>
      <x:c r="J1224" s="13" t="n">
        <x:f>D1224*I1224*H1224</x:f>
        <x:v>0.05318630625</x:v>
      </x:c>
      <x:c r="K1224" s="13" t="n">
        <x:f>E1224*I1224*H1224</x:f>
        <x:v>0.05534615625000001</x:v>
      </x:c>
      <x:c r="L1224" s="1" t="str">
        <x:f>TEXT(A1224,"mmm yyyy")</x:f>
        <x:v>Jun 2026</x:v>
      </x:c>
    </x:row>
    <x:row r="1225" ht="21" customHeight="1">
      <x:c r="A1225" s="10" t="n">
        <x:v>46174</x:v>
      </x:c>
      <x:c r="B1225" s="1" t="n">
        <x:v>0.5</x:v>
      </x:c>
      <x:c r="C1225" s="1" t="n">
        <x:v>6</x:v>
      </x:c>
      <x:c r="D1225" s="12" t="n">
        <x:v>0.21550000000000002</x:v>
      </x:c>
      <x:c r="E1225" s="12" t="n">
        <x:v>0.22650000000000003</x:v>
      </x:c>
      <x:c r="F1225" s="12" t="n">
        <x:v>0</x:v>
      </x:c>
      <x:c r="G1225" s="12" t="n">
        <x:v>0</x:v>
      </x:c>
      <x:c r="H1225" s="1" t="n">
        <x:f>'Historical prices'!E1225</x:f>
        <x:v>1.05</x:v>
      </x:c>
      <x:c r="I1225" s="6" t="n">
        <x:f>'Historical prices'!D1225</x:f>
        <x:v>0.19390000000000002</x:v>
      </x:c>
      <x:c r="J1225" s="13" t="n">
        <x:f>D1225*I1225*H1225</x:f>
        <x:v>0.04387472250000001</x:v>
      </x:c>
      <x:c r="K1225" s="13" t="n">
        <x:f>E1225*I1225*H1225</x:f>
        <x:v>0.046114267500000014</x:v>
      </x:c>
      <x:c r="L1225" s="1" t="str">
        <x:f>TEXT(A1225,"mmm yyyy")</x:f>
        <x:v>Jun 2026</x:v>
      </x:c>
    </x:row>
    <x:row r="1226" ht="21" customHeight="1">
      <x:c r="A1226" s="10" t="n">
        <x:v>46174</x:v>
      </x:c>
      <x:c r="B1226" s="1" t="n">
        <x:v>1</x:v>
      </x:c>
      <x:c r="C1226" s="1" t="n">
        <x:v>6</x:v>
      </x:c>
      <x:c r="D1226" s="12" t="n">
        <x:v>0.21783333333333332</x:v>
      </x:c>
      <x:c r="E1226" s="12" t="n">
        <x:v>0.22883333333333333</x:v>
      </x:c>
      <x:c r="F1226" s="12" t="n">
        <x:v>0</x:v>
      </x:c>
      <x:c r="G1226" s="12" t="n">
        <x:v>0</x:v>
      </x:c>
      <x:c r="H1226" s="1" t="n">
        <x:f>'Historical prices'!E1226</x:f>
        <x:v>1.05</x:v>
      </x:c>
      <x:c r="I1226" s="6" t="n">
        <x:f>'Historical prices'!D1226</x:f>
        <x:v>0.1885</x:v>
      </x:c>
      <x:c r="J1226" s="13" t="n">
        <x:f>D1226*I1226*H1226</x:f>
        <x:v>0.0431146625</x:v>
      </x:c>
      <x:c r="K1226" s="13" t="n">
        <x:f>E1226*I1226*H1226</x:f>
        <x:v>0.0452918375</x:v>
      </x:c>
      <x:c r="L1226" s="1" t="str">
        <x:f>TEXT(A1226,"mmm yyyy")</x:f>
        <x:v>Jun 2026</x:v>
      </x:c>
    </x:row>
    <x:row r="1227" ht="21" customHeight="1">
      <x:c r="A1227" s="10" t="n">
        <x:v>46174</x:v>
      </x:c>
      <x:c r="B1227" s="1" t="n">
        <x:v>1.5</x:v>
      </x:c>
      <x:c r="C1227" s="1" t="n">
        <x:v>6</x:v>
      </x:c>
      <x:c r="D1227" s="12" t="n">
        <x:v>0.19958333333333333</x:v>
      </x:c>
      <x:c r="E1227" s="12" t="n">
        <x:v>0.21058333333333334</x:v>
      </x:c>
      <x:c r="F1227" s="12" t="n">
        <x:v>0</x:v>
      </x:c>
      <x:c r="G1227" s="12" t="n">
        <x:v>0</x:v>
      </x:c>
      <x:c r="H1227" s="1" t="n">
        <x:f>'Historical prices'!E1227</x:f>
        <x:v>1.05</x:v>
      </x:c>
      <x:c r="I1227" s="6" t="n">
        <x:f>'Historical prices'!D1227</x:f>
        <x:v>0.19690000000000002</x:v>
      </x:c>
      <x:c r="J1227" s="13" t="n">
        <x:f>D1227*I1227*H1227</x:f>
        <x:v>0.04126285625</x:v>
      </x:c>
      <x:c r="K1227" s="13" t="n">
        <x:f>E1227*I1227*H1227</x:f>
        <x:v>0.04353705125000001</x:v>
      </x:c>
      <x:c r="L1227" s="1" t="str">
        <x:f>TEXT(A1227,"mmm yyyy")</x:f>
        <x:v>Jun 2026</x:v>
      </x:c>
    </x:row>
    <x:row r="1228" ht="21" customHeight="1">
      <x:c r="A1228" s="10" t="n">
        <x:v>46174</x:v>
      </x:c>
      <x:c r="B1228" s="1" t="n">
        <x:v>2</x:v>
      </x:c>
      <x:c r="C1228" s="1" t="n">
        <x:v>6</x:v>
      </x:c>
      <x:c r="D1228" s="12" t="n">
        <x:v>0.158</x:v>
      </x:c>
      <x:c r="E1228" s="12" t="n">
        <x:v>0.168</x:v>
      </x:c>
      <x:c r="F1228" s="12" t="n">
        <x:v>0</x:v>
      </x:c>
      <x:c r="G1228" s="12" t="n">
        <x:v>0</x:v>
      </x:c>
      <x:c r="H1228" s="1" t="n">
        <x:f>'Historical prices'!E1228</x:f>
        <x:v>1.05</x:v>
      </x:c>
      <x:c r="I1228" s="6" t="n">
        <x:f>'Historical prices'!D1228</x:f>
        <x:v>0.1885</x:v>
      </x:c>
      <x:c r="J1228" s="13" t="n">
        <x:f>D1228*I1228*H1228</x:f>
        <x:v>0.03127215</x:v>
      </x:c>
      <x:c r="K1228" s="13" t="n">
        <x:f>E1228*I1228*H1228</x:f>
        <x:v>0.0332514</x:v>
      </x:c>
      <x:c r="L1228" s="1" t="str">
        <x:f>TEXT(A1228,"mmm yyyy")</x:f>
        <x:v>Jun 2026</x:v>
      </x:c>
    </x:row>
    <x:row r="1229" ht="21" customHeight="1">
      <x:c r="A1229" s="10" t="n">
        <x:v>46174</x:v>
      </x:c>
      <x:c r="B1229" s="1" t="n">
        <x:v>2.5</x:v>
      </x:c>
      <x:c r="C1229" s="1" t="n">
        <x:v>6</x:v>
      </x:c>
      <x:c r="D1229" s="12" t="n">
        <x:v>0.2335833333333333</x:v>
      </x:c>
      <x:c r="E1229" s="12" t="n">
        <x:v>0.24458333333333332</x:v>
      </x:c>
      <x:c r="F1229" s="12" t="n">
        <x:v>0</x:v>
      </x:c>
      <x:c r="G1229" s="12" t="n">
        <x:v>0</x:v>
      </x:c>
      <x:c r="H1229" s="1" t="n">
        <x:f>'Historical prices'!E1229</x:f>
        <x:v>1.05</x:v>
      </x:c>
      <x:c r="I1229" s="6" t="n">
        <x:f>'Historical prices'!D1229</x:f>
        <x:v>0.18460000000000001</x:v>
      </x:c>
      <x:c r="J1229" s="13" t="n">
        <x:f>D1229*I1229*H1229</x:f>
        <x:v>0.045275457500000005</x:v>
      </x:c>
      <x:c r="K1229" s="13" t="n">
        <x:f>E1229*I1229*H1229</x:f>
        <x:v>0.0474075875</x:v>
      </x:c>
      <x:c r="L1229" s="1" t="str">
        <x:f>TEXT(A1229,"mmm yyyy")</x:f>
        <x:v>Jun 2026</x:v>
      </x:c>
    </x:row>
    <x:row r="1230" ht="21" customHeight="1">
      <x:c r="A1230" s="10" t="n">
        <x:v>46174</x:v>
      </x:c>
      <x:c r="B1230" s="1" t="n">
        <x:v>3</x:v>
      </x:c>
      <x:c r="C1230" s="1" t="n">
        <x:v>6</x:v>
      </x:c>
      <x:c r="D1230" s="12" t="n">
        <x:v>0.27225</x:v>
      </x:c>
      <x:c r="E1230" s="12" t="n">
        <x:v>0.28325</x:v>
      </x:c>
      <x:c r="F1230" s="12" t="n">
        <x:v>0</x:v>
      </x:c>
      <x:c r="G1230" s="12" t="n">
        <x:v>0</x:v>
      </x:c>
      <x:c r="H1230" s="1" t="n">
        <x:f>'Historical prices'!E1230</x:f>
        <x:v>1.05</x:v>
      </x:c>
      <x:c r="I1230" s="6" t="n">
        <x:f>'Historical prices'!D1230</x:f>
        <x:v>0.185</x:v>
      </x:c>
      <x:c r="J1230" s="13" t="n">
        <x:f>D1230*I1230*H1230</x:f>
        <x:v>0.0528845625</x:v>
      </x:c>
      <x:c r="K1230" s="13" t="n">
        <x:f>E1230*I1230*H1230</x:f>
        <x:v>0.055021312499999996</x:v>
      </x:c>
      <x:c r="L1230" s="1" t="str">
        <x:f>TEXT(A1230,"mmm yyyy")</x:f>
        <x:v>Jun 2026</x:v>
      </x:c>
    </x:row>
    <x:row r="1231" ht="21" customHeight="1">
      <x:c r="A1231" s="10" t="n">
        <x:v>46174</x:v>
      </x:c>
      <x:c r="B1231" s="1" t="n">
        <x:v>3.5</x:v>
      </x:c>
      <x:c r="C1231" s="1" t="n">
        <x:v>6</x:v>
      </x:c>
      <x:c r="D1231" s="12" t="n">
        <x:v>0.15941666666666668</x:v>
      </x:c>
      <x:c r="E1231" s="12" t="n">
        <x:v>0.16841666666666666</x:v>
      </x:c>
      <x:c r="F1231" s="12" t="n">
        <x:v>0</x:v>
      </x:c>
      <x:c r="G1231" s="12" t="n">
        <x:v>0</x:v>
      </x:c>
      <x:c r="H1231" s="1" t="n">
        <x:f>'Historical prices'!E1231</x:f>
        <x:v>1.05</x:v>
      </x:c>
      <x:c r="I1231" s="6" t="n">
        <x:f>'Historical prices'!D1231</x:f>
        <x:v>0.1838</x:v>
      </x:c>
      <x:c r="J1231" s="13" t="n">
        <x:f>D1231*I1231*H1231</x:f>
        <x:v>0.0307658225</x:v>
      </x:c>
      <x:c r="K1231" s="13" t="n">
        <x:f>E1231*I1231*H1231</x:f>
        <x:v>0.0325027325</x:v>
      </x:c>
      <x:c r="L1231" s="1" t="str">
        <x:f>TEXT(A1231,"mmm yyyy")</x:f>
        <x:v>Jun 2026</x:v>
      </x:c>
    </x:row>
    <x:row r="1232" ht="21" customHeight="1">
      <x:c r="A1232" s="10" t="n">
        <x:v>46174</x:v>
      </x:c>
      <x:c r="B1232" s="1" t="n">
        <x:v>4</x:v>
      </x:c>
      <x:c r="C1232" s="1" t="n">
        <x:v>6</x:v>
      </x:c>
      <x:c r="D1232" s="12" t="n">
        <x:v>0.2244166666666667</x:v>
      </x:c>
      <x:c r="E1232" s="12" t="n">
        <x:v>0.23641666666666666</x:v>
      </x:c>
      <x:c r="F1232" s="12" t="n">
        <x:v>0</x:v>
      </x:c>
      <x:c r="G1232" s="12" t="n">
        <x:v>0</x:v>
      </x:c>
      <x:c r="H1232" s="1" t="n">
        <x:f>'Historical prices'!E1232</x:f>
        <x:v>1.05</x:v>
      </x:c>
      <x:c r="I1232" s="6" t="n">
        <x:f>'Historical prices'!D1232</x:f>
        <x:v>0.19210000000000002</x:v>
      </x:c>
      <x:c r="J1232" s="13" t="n">
        <x:f>D1232*I1232*H1232</x:f>
        <x:v>0.04526596375000001</x:v>
      </x:c>
      <x:c r="K1232" s="13" t="n">
        <x:f>E1232*I1232*H1232</x:f>
        <x:v>0.047686423750000005</x:v>
      </x:c>
      <x:c r="L1232" s="1" t="str">
        <x:f>TEXT(A1232,"mmm yyyy")</x:f>
        <x:v>Jun 2026</x:v>
      </x:c>
    </x:row>
    <x:row r="1233" ht="21" customHeight="1">
      <x:c r="A1233" s="10" t="n">
        <x:v>46174</x:v>
      </x:c>
      <x:c r="B1233" s="1" t="n">
        <x:v>4.5</x:v>
      </x:c>
      <x:c r="C1233" s="1" t="n">
        <x:v>6</x:v>
      </x:c>
      <x:c r="D1233" s="12" t="n">
        <x:v>0.3108333333333333</x:v>
      </x:c>
      <x:c r="E1233" s="12" t="n">
        <x:v>0.3208333333333333</x:v>
      </x:c>
      <x:c r="F1233" s="12" t="n">
        <x:v>0</x:v>
      </x:c>
      <x:c r="G1233" s="12" t="n">
        <x:v>0</x:v>
      </x:c>
      <x:c r="H1233" s="1" t="n">
        <x:f>'Historical prices'!E1233</x:f>
        <x:v>1.05</x:v>
      </x:c>
      <x:c r="I1233" s="6" t="n">
        <x:f>'Historical prices'!D1233</x:f>
        <x:v>0.1905</x:v>
      </x:c>
      <x:c r="J1233" s="13" t="n">
        <x:f>D1233*I1233*H1233</x:f>
        <x:v>0.0621744375</x:v>
      </x:c>
      <x:c r="K1233" s="13" t="n">
        <x:f>E1233*I1233*H1233</x:f>
        <x:v>0.0641746875</x:v>
      </x:c>
      <x:c r="L1233" s="1" t="str">
        <x:f>TEXT(A1233,"mmm yyyy")</x:f>
        <x:v>Jun 2026</x:v>
      </x:c>
    </x:row>
    <x:row r="1234" ht="21" customHeight="1">
      <x:c r="A1234" s="10" t="n">
        <x:v>46174</x:v>
      </x:c>
      <x:c r="B1234" s="1" t="n">
        <x:v>5</x:v>
      </x:c>
      <x:c r="C1234" s="1" t="n">
        <x:v>6</x:v>
      </x:c>
      <x:c r="D1234" s="12" t="n">
        <x:v>0.2344166666666667</x:v>
      </x:c>
      <x:c r="E1234" s="12" t="n">
        <x:v>0.2464166666666667</x:v>
      </x:c>
      <x:c r="F1234" s="12" t="n">
        <x:v>0</x:v>
      </x:c>
      <x:c r="G1234" s="12" t="n">
        <x:v>0</x:v>
      </x:c>
      <x:c r="H1234" s="1" t="n">
        <x:f>'Historical prices'!E1234</x:f>
        <x:v>1.05</x:v>
      </x:c>
      <x:c r="I1234" s="6" t="n">
        <x:f>'Historical prices'!D1234</x:f>
        <x:v>0.2018</x:v>
      </x:c>
      <x:c r="J1234" s="13" t="n">
        <x:f>D1234*I1234*H1234</x:f>
        <x:v>0.04967054750000001</x:v>
      </x:c>
      <x:c r="K1234" s="13" t="n">
        <x:f>E1234*I1234*H1234</x:f>
        <x:v>0.05221322750000001</x:v>
      </x:c>
      <x:c r="L1234" s="1" t="str">
        <x:f>TEXT(A1234,"mmm yyyy")</x:f>
        <x:v>Jun 2026</x:v>
      </x:c>
    </x:row>
    <x:row r="1235" ht="21" customHeight="1">
      <x:c r="A1235" s="10" t="n">
        <x:v>46174</x:v>
      </x:c>
      <x:c r="B1235" s="1" t="n">
        <x:v>5.5</x:v>
      </x:c>
      <x:c r="C1235" s="1" t="n">
        <x:v>6</x:v>
      </x:c>
      <x:c r="D1235" s="12" t="n">
        <x:v>0.37925</x:v>
      </x:c>
      <x:c r="E1235" s="12" t="n">
        <x:v>0.38925</x:v>
      </x:c>
      <x:c r="F1235" s="12" t="n">
        <x:v>0</x:v>
      </x:c>
      <x:c r="G1235" s="12" t="n">
        <x:v>0</x:v>
      </x:c>
      <x:c r="H1235" s="1" t="n">
        <x:f>'Historical prices'!E1235</x:f>
        <x:v>1.05</x:v>
      </x:c>
      <x:c r="I1235" s="6" t="n">
        <x:f>'Historical prices'!D1235</x:f>
        <x:v>0.19760000000000003</x:v>
      </x:c>
      <x:c r="J1235" s="13" t="n">
        <x:f>D1235*I1235*H1235</x:f>
        <x:v>0.07868679</x:v>
      </x:c>
      <x:c r="K1235" s="13" t="n">
        <x:f>E1235*I1235*H1235</x:f>
        <x:v>0.08076159000000001</x:v>
      </x:c>
      <x:c r="L1235" s="1" t="str">
        <x:f>TEXT(A1235,"mmm yyyy")</x:f>
        <x:v>Jun 2026</x:v>
      </x:c>
    </x:row>
    <x:row r="1236" ht="21" customHeight="1">
      <x:c r="A1236" s="10" t="n">
        <x:v>46174</x:v>
      </x:c>
      <x:c r="B1236" s="1" t="n">
        <x:v>6</x:v>
      </x:c>
      <x:c r="C1236" s="1" t="n">
        <x:v>6</x:v>
      </x:c>
      <x:c r="D1236" s="12" t="n">
        <x:v>0.5758333333333334</x:v>
      </x:c>
      <x:c r="E1236" s="12" t="n">
        <x:v>0.5868333333333333</x:v>
      </x:c>
      <x:c r="F1236" s="12" t="n">
        <x:v>0</x:v>
      </x:c>
      <x:c r="G1236" s="12" t="n">
        <x:v>0</x:v>
      </x:c>
      <x:c r="H1236" s="1" t="n">
        <x:f>'Historical prices'!E1236</x:f>
        <x:v>1.05</x:v>
      </x:c>
      <x:c r="I1236" s="6" t="n">
        <x:f>'Historical prices'!D1236</x:f>
        <x:v>0.2228</x:v>
      </x:c>
      <x:c r="J1236" s="13" t="n">
        <x:f>D1236*I1236*H1236</x:f>
        <x:v>0.13471045000000004</x:v>
      </x:c>
      <x:c r="K1236" s="13" t="n">
        <x:f>E1236*I1236*H1236</x:f>
        <x:v>0.13728379000000002</x:v>
      </x:c>
      <x:c r="L1236" s="1" t="str">
        <x:f>TEXT(A1236,"mmm yyyy")</x:f>
        <x:v>Jun 2026</x:v>
      </x:c>
    </x:row>
    <x:row r="1237" ht="21" customHeight="1">
      <x:c r="A1237" s="10" t="n">
        <x:v>46174</x:v>
      </x:c>
      <x:c r="B1237" s="1" t="n">
        <x:v>6.5</x:v>
      </x:c>
      <x:c r="C1237" s="1" t="n">
        <x:v>6</x:v>
      </x:c>
      <x:c r="D1237" s="12" t="n">
        <x:v>0.08725</x:v>
      </x:c>
      <x:c r="E1237" s="12" t="n">
        <x:v>0.68625</x:v>
      </x:c>
      <x:c r="F1237" s="12" t="n">
        <x:v>0.5965833333333334</x:v>
      </x:c>
      <x:c r="G1237" s="12" t="n">
        <x:v>0</x:v>
      </x:c>
      <x:c r="H1237" s="1" t="n">
        <x:f>'Historical prices'!E1237</x:f>
        <x:v>1.05</x:v>
      </x:c>
      <x:c r="I1237" s="6" t="n">
        <x:f>'Historical prices'!D1237</x:f>
        <x:v>0.24100000000000002</x:v>
      </x:c>
      <x:c r="J1237" s="13" t="n">
        <x:f>D1237*I1237*H1237</x:f>
        <x:v>0.0220786125</x:v>
      </x:c>
      <x:c r="K1237" s="13" t="n">
        <x:f>E1237*I1237*H1237</x:f>
        <x:v>0.17365556250000003</x:v>
      </x:c>
      <x:c r="L1237" s="1" t="str">
        <x:f>TEXT(A1237,"mmm yyyy")</x:f>
        <x:v>Jun 2026</x:v>
      </x:c>
    </x:row>
    <x:row r="1238" ht="21" customHeight="1">
      <x:c r="A1238" s="10" t="n">
        <x:v>46174</x:v>
      </x:c>
      <x:c r="B1238" s="1" t="n">
        <x:v>7</x:v>
      </x:c>
      <x:c r="C1238" s="1" t="n">
        <x:v>6</x:v>
      </x:c>
      <x:c r="D1238" s="12" t="n">
        <x:v>0.5346666666666666</x:v>
      </x:c>
      <x:c r="E1238" s="12" t="n">
        <x:v>0.6356666666666666</x:v>
      </x:c>
      <x:c r="F1238" s="12" t="n">
        <x:v>0.091</x:v>
      </x:c>
      <x:c r="G1238" s="12" t="n">
        <x:v>0</x:v>
      </x:c>
      <x:c r="H1238" s="1" t="n">
        <x:f>'Historical prices'!E1238</x:f>
        <x:v>1.05</x:v>
      </x:c>
      <x:c r="I1238" s="6" t="n">
        <x:f>'Historical prices'!D1238</x:f>
        <x:v>0.2228</x:v>
      </x:c>
      <x:c r="J1238" s="13" t="n">
        <x:f>D1238*I1238*H1238</x:f>
        <x:v>0.12507992</x:v>
      </x:c>
      <x:c r="K1238" s="13" t="n">
        <x:f>E1238*I1238*H1238</x:f>
        <x:v>0.14870785999999997</x:v>
      </x:c>
      <x:c r="L1238" s="1" t="str">
        <x:f>TEXT(A1238,"mmm yyyy")</x:f>
        <x:v>Jun 2026</x:v>
      </x:c>
    </x:row>
    <x:row r="1239" ht="21" customHeight="1">
      <x:c r="A1239" s="10" t="n">
        <x:v>46174</x:v>
      </x:c>
      <x:c r="B1239" s="1" t="n">
        <x:v>7.5</x:v>
      </x:c>
      <x:c r="C1239" s="1" t="n">
        <x:v>6</x:v>
      </x:c>
      <x:c r="D1239" s="12" t="n">
        <x:v>0.308</x:v>
      </x:c>
      <x:c r="E1239" s="12" t="n">
        <x:v>0.5339999999999999</x:v>
      </x:c>
      <x:c r="F1239" s="12" t="n">
        <x:v>0.2679166666666667</x:v>
      </x:c>
      <x:c r="G1239" s="12" t="n">
        <x:v>0.039</x:v>
      </x:c>
      <x:c r="H1239" s="1" t="n">
        <x:f>'Historical prices'!E1239</x:f>
        <x:v>1.05</x:v>
      </x:c>
      <x:c r="I1239" s="6" t="n">
        <x:f>'Historical prices'!D1239</x:f>
        <x:v>0.2288</x:v>
      </x:c>
      <x:c r="J1239" s="13" t="n">
        <x:f>D1239*I1239*H1239</x:f>
        <x:v>0.07399392</x:v>
      </x:c>
      <x:c r="K1239" s="13" t="n">
        <x:f>E1239*I1239*H1239</x:f>
        <x:v>0.12828815999999998</x:v>
      </x:c>
      <x:c r="L1239" s="1" t="str">
        <x:f>TEXT(A1239,"mmm yyyy")</x:f>
        <x:v>Jun 2026</x:v>
      </x:c>
    </x:row>
    <x:row r="1240" ht="21" customHeight="1">
      <x:c r="A1240" s="10" t="n">
        <x:v>46174</x:v>
      </x:c>
      <x:c r="B1240" s="1" t="n">
        <x:v>8</x:v>
      </x:c>
      <x:c r="C1240" s="1" t="n">
        <x:v>6</x:v>
      </x:c>
      <x:c r="D1240" s="12" t="n">
        <x:v>0.5335833333333333</x:v>
      </x:c>
      <x:c r="E1240" s="12" t="n">
        <x:v>0.5045833333333333</x:v>
      </x:c>
      <x:c r="F1240" s="12" t="n">
        <x:v>0</x:v>
      </x:c>
      <x:c r="G1240" s="12" t="n">
        <x:v>0.028</x:v>
      </x:c>
      <x:c r="H1240" s="1" t="n">
        <x:f>'Historical prices'!E1240</x:f>
        <x:v>1.05</x:v>
      </x:c>
      <x:c r="I1240" s="6" t="n">
        <x:f>'Historical prices'!D1240</x:f>
        <x:v>0.198</x:v>
      </x:c>
      <x:c r="J1240" s="13" t="n">
        <x:f>D1240*I1240*H1240</x:f>
        <x:v>0.110931975</x:v>
      </x:c>
      <x:c r="K1240" s="13" t="n">
        <x:f>E1240*I1240*H1240</x:f>
        <x:v>0.104902875</x:v>
      </x:c>
      <x:c r="L1240" s="1" t="str">
        <x:f>TEXT(A1240,"mmm yyyy")</x:f>
        <x:v>Jun 2026</x:v>
      </x:c>
    </x:row>
    <x:row r="1241" ht="21" customHeight="1">
      <x:c r="A1241" s="10" t="n">
        <x:v>46174</x:v>
      </x:c>
      <x:c r="B1241" s="1" t="n">
        <x:v>8.5</x:v>
      </x:c>
      <x:c r="C1241" s="1" t="n">
        <x:v>6</x:v>
      </x:c>
      <x:c r="D1241" s="12" t="n">
        <x:v>0.47200000000000003</x:v>
      </x:c>
      <x:c r="E1241" s="12" t="n">
        <x:v>0.47700000000000004</x:v>
      </x:c>
      <x:c r="F1241" s="12" t="n">
        <x:v>0</x:v>
      </x:c>
      <x:c r="G1241" s="12" t="n">
        <x:v>0</x:v>
      </x:c>
      <x:c r="H1241" s="1" t="n">
        <x:f>'Historical prices'!E1241</x:f>
        <x:v>1.05</x:v>
      </x:c>
      <x:c r="I1241" s="6" t="n">
        <x:f>'Historical prices'!D1241</x:f>
        <x:v>0.18969999999999998</x:v>
      </x:c>
      <x:c r="J1241" s="13" t="n">
        <x:f>D1241*I1241*H1241</x:f>
        <x:v>0.09401532</x:v>
      </x:c>
      <x:c r="K1241" s="13" t="n">
        <x:f>E1241*I1241*H1241</x:f>
        <x:v>0.095011245</x:v>
      </x:c>
      <x:c r="L1241" s="1" t="str">
        <x:f>TEXT(A1241,"mmm yyyy")</x:f>
        <x:v>Jun 2026</x:v>
      </x:c>
    </x:row>
    <x:row r="1242" ht="21" customHeight="1">
      <x:c r="A1242" s="10" t="n">
        <x:v>46174</x:v>
      </x:c>
      <x:c r="B1242" s="1" t="n">
        <x:v>9</x:v>
      </x:c>
      <x:c r="C1242" s="1" t="n">
        <x:v>6</x:v>
      </x:c>
      <x:c r="D1242" s="12" t="n">
        <x:v>0.7609166666666666</x:v>
      </x:c>
      <x:c r="E1242" s="12" t="n">
        <x:v>0.7629166666666666</x:v>
      </x:c>
      <x:c r="F1242" s="12" t="n">
        <x:v>0</x:v>
      </x:c>
      <x:c r="G1242" s="12" t="n">
        <x:v>0</x:v>
      </x:c>
      <x:c r="H1242" s="1" t="n">
        <x:f>'Historical prices'!E1242</x:f>
        <x:v>1.05</x:v>
      </x:c>
      <x:c r="I1242" s="6" t="n">
        <x:f>'Historical prices'!D1242</x:f>
        <x:v>0.1787</x:v>
      </x:c>
      <x:c r="J1242" s="13" t="n">
        <x:f>D1242*I1242*H1242</x:f>
        <x:v>0.14277459874999998</x:v>
      </x:c>
      <x:c r="K1242" s="13" t="n">
        <x:f>E1242*I1242*H1242</x:f>
        <x:v>0.14314986875</x:v>
      </x:c>
      <x:c r="L1242" s="1" t="str">
        <x:f>TEXT(A1242,"mmm yyyy")</x:f>
        <x:v>Jun 2026</x:v>
      </x:c>
    </x:row>
    <x:row r="1243" ht="21" customHeight="1">
      <x:c r="A1243" s="10" t="n">
        <x:v>46174</x:v>
      </x:c>
      <x:c r="B1243" s="1" t="n">
        <x:v>9.5</x:v>
      </x:c>
      <x:c r="C1243" s="1" t="n">
        <x:v>6</x:v>
      </x:c>
      <x:c r="D1243" s="12" t="n">
        <x:v>0.9339999999999999</x:v>
      </x:c>
      <x:c r="E1243" s="12" t="n">
        <x:v>0.9369999999999999</x:v>
      </x:c>
      <x:c r="F1243" s="12" t="n">
        <x:v>0</x:v>
      </x:c>
      <x:c r="G1243" s="12" t="n">
        <x:v>0</x:v>
      </x:c>
      <x:c r="H1243" s="1" t="n">
        <x:f>'Historical prices'!E1243</x:f>
        <x:v>1.05</x:v>
      </x:c>
      <x:c r="I1243" s="6" t="n">
        <x:f>'Historical prices'!D1243</x:f>
        <x:v>0.1697</x:v>
      </x:c>
      <x:c r="J1243" s="13" t="n">
        <x:f>D1243*I1243*H1243</x:f>
        <x:v>0.16642478999999996</x:v>
      </x:c>
      <x:c r="K1243" s="13" t="n">
        <x:f>E1243*I1243*H1243</x:f>
        <x:v>0.16695934499999998</x:v>
      </x:c>
      <x:c r="L1243" s="1" t="str">
        <x:f>TEXT(A1243,"mmm yyyy")</x:f>
        <x:v>Jun 2026</x:v>
      </x:c>
    </x:row>
    <x:row r="1244" ht="21" customHeight="1">
      <x:c r="A1244" s="10" t="n">
        <x:v>46174</x:v>
      </x:c>
      <x:c r="B1244" s="1" t="n">
        <x:v>10</x:v>
      </x:c>
      <x:c r="C1244" s="1" t="n">
        <x:v>6</x:v>
      </x:c>
      <x:c r="D1244" s="12" t="n">
        <x:v>0.8306666666666667</x:v>
      </x:c>
      <x:c r="E1244" s="12" t="n">
        <x:v>0.8326666666666667</x:v>
      </x:c>
      <x:c r="F1244" s="12" t="n">
        <x:v>0</x:v>
      </x:c>
      <x:c r="G1244" s="12" t="n">
        <x:v>0</x:v>
      </x:c>
      <x:c r="H1244" s="1" t="n">
        <x:f>'Historical prices'!E1244</x:f>
        <x:v>1.05</x:v>
      </x:c>
      <x:c r="I1244" s="6" t="n">
        <x:f>'Historical prices'!D1244</x:f>
        <x:v>0.17809999999999998</x:v>
      </x:c>
      <x:c r="J1244" s="13" t="n">
        <x:f>D1244*I1244*H1244</x:f>
        <x:v>0.15533882</x:v>
      </x:c>
      <x:c r="K1244" s="13" t="n">
        <x:f>E1244*I1244*H1244</x:f>
        <x:v>0.15571283</x:v>
      </x:c>
      <x:c r="L1244" s="1" t="str">
        <x:f>TEXT(A1244,"mmm yyyy")</x:f>
        <x:v>Jun 2026</x:v>
      </x:c>
    </x:row>
    <x:row r="1245" ht="21" customHeight="1">
      <x:c r="A1245" s="10" t="n">
        <x:v>46174</x:v>
      </x:c>
      <x:c r="B1245" s="1" t="n">
        <x:v>10.5</x:v>
      </x:c>
      <x:c r="C1245" s="1" t="n">
        <x:v>6</x:v>
      </x:c>
      <x:c r="D1245" s="12" t="n">
        <x:v>0.8329166666666666</x:v>
      </x:c>
      <x:c r="E1245" s="12" t="n">
        <x:v>0.8349166666666666</x:v>
      </x:c>
      <x:c r="F1245" s="12" t="n">
        <x:v>0</x:v>
      </x:c>
      <x:c r="G1245" s="12" t="n">
        <x:v>0</x:v>
      </x:c>
      <x:c r="H1245" s="1" t="n">
        <x:f>'Historical prices'!E1245</x:f>
        <x:v>1.05</x:v>
      </x:c>
      <x:c r="I1245" s="6" t="n">
        <x:f>'Historical prices'!D1245</x:f>
        <x:v>0.1728</x:v>
      </x:c>
      <x:c r="J1245" s="13" t="n">
        <x:f>D1245*I1245*H1245</x:f>
        <x:v>0.15112440000000002</x:v>
      </x:c>
      <x:c r="K1245" s="13" t="n">
        <x:f>E1245*I1245*H1245</x:f>
        <x:v>0.15148728</x:v>
      </x:c>
      <x:c r="L1245" s="1" t="str">
        <x:f>TEXT(A1245,"mmm yyyy")</x:f>
        <x:v>Jun 2026</x:v>
      </x:c>
    </x:row>
    <x:row r="1246" ht="21" customHeight="1">
      <x:c r="A1246" s="10" t="n">
        <x:v>46174</x:v>
      </x:c>
      <x:c r="B1246" s="1" t="n">
        <x:v>11</x:v>
      </x:c>
      <x:c r="C1246" s="1" t="n">
        <x:v>6</x:v>
      </x:c>
      <x:c r="D1246" s="12" t="n">
        <x:v>0.7910833333333334</x:v>
      </x:c>
      <x:c r="E1246" s="12" t="n">
        <x:v>0.7920833333333334</x:v>
      </x:c>
      <x:c r="F1246" s="12" t="n">
        <x:v>0</x:v>
      </x:c>
      <x:c r="G1246" s="12" t="n">
        <x:v>0</x:v>
      </x:c>
      <x:c r="H1246" s="1" t="n">
        <x:f>'Historical prices'!E1246</x:f>
        <x:v>1.05</x:v>
      </x:c>
      <x:c r="I1246" s="6" t="n">
        <x:f>'Historical prices'!D1246</x:f>
        <x:v>0.1728</x:v>
      </x:c>
      <x:c r="J1246" s="13" t="n">
        <x:f>D1246*I1246*H1246</x:f>
        <x:v>0.14353416000000002</x:v>
      </x:c>
      <x:c r="K1246" s="13" t="n">
        <x:f>E1246*I1246*H1246</x:f>
        <x:v>0.14371560000000003</x:v>
      </x:c>
      <x:c r="L1246" s="1" t="str">
        <x:f>TEXT(A1246,"mmm yyyy")</x:f>
        <x:v>Jun 2026</x:v>
      </x:c>
    </x:row>
    <x:row r="1247" ht="21" customHeight="1">
      <x:c r="A1247" s="10" t="n">
        <x:v>46174</x:v>
      </x:c>
      <x:c r="B1247" s="1" t="n">
        <x:v>11.5</x:v>
      </x:c>
      <x:c r="C1247" s="1" t="n">
        <x:v>6</x:v>
      </x:c>
      <x:c r="D1247" s="12" t="n">
        <x:v>0.7491666666666666</x:v>
      </x:c>
      <x:c r="E1247" s="12" t="n">
        <x:v>0.7501666666666666</x:v>
      </x:c>
      <x:c r="F1247" s="12" t="n">
        <x:v>0</x:v>
      </x:c>
      <x:c r="G1247" s="12" t="n">
        <x:v>0</x:v>
      </x:c>
      <x:c r="H1247" s="1" t="n">
        <x:f>'Historical prices'!E1247</x:f>
        <x:v>1.05</x:v>
      </x:c>
      <x:c r="I1247" s="6" t="n">
        <x:f>'Historical prices'!D1247</x:f>
        <x:v>0.16399999999999998</x:v>
      </x:c>
      <x:c r="J1247" s="13" t="n">
        <x:f>D1247*I1247*H1247</x:f>
        <x:v>0.12900649999999997</x:v>
      </x:c>
      <x:c r="K1247" s="13" t="n">
        <x:f>E1247*I1247*H1247</x:f>
        <x:v>0.12917869999999998</x:v>
      </x:c>
      <x:c r="L1247" s="1" t="str">
        <x:f>TEXT(A1247,"mmm yyyy")</x:f>
        <x:v>Jun 2026</x:v>
      </x:c>
    </x:row>
    <x:row r="1248" ht="21" customHeight="1">
      <x:c r="A1248" s="10" t="n">
        <x:v>46174</x:v>
      </x:c>
      <x:c r="B1248" s="1" t="n">
        <x:v>12</x:v>
      </x:c>
      <x:c r="C1248" s="1" t="n">
        <x:v>6</x:v>
      </x:c>
      <x:c r="D1248" s="12" t="n">
        <x:v>0.5801666666666666</x:v>
      </x:c>
      <x:c r="E1248" s="12" t="n">
        <x:v>0.5801666666666666</x:v>
      </x:c>
      <x:c r="F1248" s="12" t="n">
        <x:v>0</x:v>
      </x:c>
      <x:c r="G1248" s="12" t="n">
        <x:v>0</x:v>
      </x:c>
      <x:c r="H1248" s="1" t="n">
        <x:f>'Historical prices'!E1248</x:f>
        <x:v>1.05</x:v>
      </x:c>
      <x:c r="I1248" s="6" t="n">
        <x:f>'Historical prices'!D1248</x:f>
        <x:v>0.1643</x:v>
      </x:c>
      <x:c r="J1248" s="13" t="n">
        <x:f>D1248*I1248*H1248</x:f>
        <x:v>0.1000874525</x:v>
      </x:c>
      <x:c r="K1248" s="13" t="n">
        <x:f>E1248*I1248*H1248</x:f>
        <x:v>0.1000874525</x:v>
      </x:c>
      <x:c r="L1248" s="1" t="str">
        <x:f>TEXT(A1248,"mmm yyyy")</x:f>
        <x:v>Jun 2026</x:v>
      </x:c>
    </x:row>
    <x:row r="1249" ht="21" customHeight="1">
      <x:c r="A1249" s="10" t="n">
        <x:v>46174</x:v>
      </x:c>
      <x:c r="B1249" s="1" t="n">
        <x:v>12.5</x:v>
      </x:c>
      <x:c r="C1249" s="1" t="n">
        <x:v>6</x:v>
      </x:c>
      <x:c r="D1249" s="12" t="n">
        <x:v>4.67775</x:v>
      </x:c>
      <x:c r="E1249" s="12" t="n">
        <x:v>0.77275</x:v>
      </x:c>
      <x:c r="F1249" s="12" t="n">
        <x:v>0</x:v>
      </x:c>
      <x:c r="G1249" s="12" t="n">
        <x:v>3.906</x:v>
      </x:c>
      <x:c r="H1249" s="1" t="n">
        <x:f>'Historical prices'!E1249</x:f>
        <x:v>1.05</x:v>
      </x:c>
      <x:c r="I1249" s="6" t="n">
        <x:f>'Historical prices'!D1249</x:f>
        <x:v>0.1617</x:v>
      </x:c>
      <x:c r="J1249" s="13" t="n">
        <x:f>D1249*I1249*H1249</x:f>
        <x:v>0.79421178375</x:v>
      </x:c>
      <x:c r="K1249" s="13" t="n">
        <x:f>E1249*I1249*H1249</x:f>
        <x:v>0.13120135875000002</x:v>
      </x:c>
      <x:c r="L1249" s="1" t="str">
        <x:f>TEXT(A1249,"mmm yyyy")</x:f>
        <x:v>Jun 2026</x:v>
      </x:c>
    </x:row>
    <x:row r="1250" ht="21" customHeight="1">
      <x:c r="A1250" s="10" t="n">
        <x:v>46174</x:v>
      </x:c>
      <x:c r="B1250" s="1" t="n">
        <x:v>13</x:v>
      </x:c>
      <x:c r="C1250" s="1" t="n">
        <x:v>6</x:v>
      </x:c>
      <x:c r="D1250" s="12" t="n">
        <x:v>1.32325</x:v>
      </x:c>
      <x:c r="E1250" s="12" t="n">
        <x:v>0.56125</x:v>
      </x:c>
      <x:c r="F1250" s="12" t="n">
        <x:v>0</x:v>
      </x:c>
      <x:c r="G1250" s="12" t="n">
        <x:v>0.77</x:v>
      </x:c>
      <x:c r="H1250" s="1" t="n">
        <x:f>'Historical prices'!E1250</x:f>
        <x:v>1.05</x:v>
      </x:c>
      <x:c r="I1250" s="6" t="n">
        <x:f>'Historical prices'!D1250</x:f>
        <x:v>0.16519999999999999</x:v>
      </x:c>
      <x:c r="J1250" s="13" t="n">
        <x:f>D1250*I1250*H1250</x:f>
        <x:v>0.229530945</x:v>
      </x:c>
      <x:c r="K1250" s="13" t="n">
        <x:f>E1250*I1250*H1250</x:f>
        <x:v>0.097354425</x:v>
      </x:c>
      <x:c r="L1250" s="1" t="str">
        <x:f>TEXT(A1250,"mmm yyyy")</x:f>
        <x:v>Jun 2026</x:v>
      </x:c>
    </x:row>
    <x:row r="1251" ht="21" customHeight="1">
      <x:c r="A1251" s="10" t="n">
        <x:v>46174</x:v>
      </x:c>
      <x:c r="B1251" s="1" t="n">
        <x:v>13.5</x:v>
      </x:c>
      <x:c r="C1251" s="1" t="n">
        <x:v>6</x:v>
      </x:c>
      <x:c r="D1251" s="12" t="n">
        <x:v>1.1826666666666665</x:v>
      </x:c>
      <x:c r="E1251" s="12" t="n">
        <x:v>0.6286666666666666</x:v>
      </x:c>
      <x:c r="F1251" s="12" t="n">
        <x:v>0</x:v>
      </x:c>
      <x:c r="G1251" s="12" t="n">
        <x:v>0.563</x:v>
      </x:c>
      <x:c r="H1251" s="1" t="n">
        <x:f>'Historical prices'!E1251</x:f>
        <x:v>1.05</x:v>
      </x:c>
      <x:c r="I1251" s="6" t="n">
        <x:f>'Historical prices'!D1251</x:f>
        <x:v>0.1623</x:v>
      </x:c>
      <x:c r="J1251" s="13" t="n">
        <x:f>D1251*I1251*H1251</x:f>
        <x:v>0.20154413999999998</x:v>
      </x:c>
      <x:c r="K1251" s="13" t="n">
        <x:f>E1251*I1251*H1251</x:f>
        <x:v>0.10713423</x:v>
      </x:c>
      <x:c r="L1251" s="1" t="str">
        <x:f>TEXT(A1251,"mmm yyyy")</x:f>
        <x:v>Jun 2026</x:v>
      </x:c>
    </x:row>
    <x:row r="1252" ht="21" customHeight="1">
      <x:c r="A1252" s="10" t="n">
        <x:v>46174</x:v>
      </x:c>
      <x:c r="B1252" s="1" t="n">
        <x:v>14</x:v>
      </x:c>
      <x:c r="C1252" s="1" t="n">
        <x:v>6</x:v>
      </x:c>
      <x:c r="D1252" s="12" t="n">
        <x:v>0.5029166666666667</x:v>
      </x:c>
      <x:c r="E1252" s="12" t="n">
        <x:v>0.5169166666666667</x:v>
      </x:c>
      <x:c r="F1252" s="12" t="n">
        <x:v>0</x:v>
      </x:c>
      <x:c r="G1252" s="12" t="n">
        <x:v>0</x:v>
      </x:c>
      <x:c r="H1252" s="1" t="n">
        <x:f>'Historical prices'!E1252</x:f>
        <x:v>1.05</x:v>
      </x:c>
      <x:c r="I1252" s="6" t="n">
        <x:f>'Historical prices'!D1252</x:f>
        <x:v>0.1629</x:v>
      </x:c>
      <x:c r="J1252" s="13" t="n">
        <x:f>D1252*I1252*H1252</x:f>
        <x:v>0.08602138125</x:v>
      </x:c>
      <x:c r="K1252" s="13" t="n">
        <x:f>E1252*I1252*H1252</x:f>
        <x:v>0.08841601125</x:v>
      </x:c>
      <x:c r="L1252" s="1" t="str">
        <x:f>TEXT(A1252,"mmm yyyy")</x:f>
        <x:v>Jun 2026</x:v>
      </x:c>
    </x:row>
    <x:row r="1253" ht="21" customHeight="1">
      <x:c r="A1253" s="10" t="n">
        <x:v>46174</x:v>
      </x:c>
      <x:c r="B1253" s="1" t="n">
        <x:v>14.5</x:v>
      </x:c>
      <x:c r="C1253" s="1" t="n">
        <x:v>6</x:v>
      </x:c>
      <x:c r="D1253" s="12" t="n">
        <x:v>4.563083333333333</x:v>
      </x:c>
      <x:c r="E1253" s="12" t="n">
        <x:v>0.7430833333333333</x:v>
      </x:c>
      <x:c r="F1253" s="12" t="n">
        <x:v>0</x:v>
      </x:c>
      <x:c r="G1253" s="12" t="n">
        <x:v>3.8220000000000005</x:v>
      </x:c>
      <x:c r="H1253" s="1" t="n">
        <x:f>'Historical prices'!E1253</x:f>
        <x:v>1.05</x:v>
      </x:c>
      <x:c r="I1253" s="6" t="n">
        <x:f>'Historical prices'!D1253</x:f>
        <x:v>0.1598</x:v>
      </x:c>
      <x:c r="J1253" s="13" t="n">
        <x:f>D1253*I1253*H1253</x:f>
        <x:v>0.7656397524999999</x:v>
      </x:c>
      <x:c r="K1253" s="13" t="n">
        <x:f>E1253*I1253*H1253</x:f>
        <x:v>0.1246819525</x:v>
      </x:c>
      <x:c r="L1253" s="1" t="str">
        <x:f>TEXT(A1253,"mmm yyyy")</x:f>
        <x:v>Jun 2026</x:v>
      </x:c>
    </x:row>
    <x:row r="1254" ht="21" customHeight="1">
      <x:c r="A1254" s="10" t="n">
        <x:v>46174</x:v>
      </x:c>
      <x:c r="B1254" s="1" t="n">
        <x:v>15</x:v>
      </x:c>
      <x:c r="C1254" s="1" t="n">
        <x:v>6</x:v>
      </x:c>
      <x:c r="D1254" s="12" t="n">
        <x:v>1.82425</x:v>
      </x:c>
      <x:c r="E1254" s="12" t="n">
        <x:v>0.6202500000000001</x:v>
      </x:c>
      <x:c r="F1254" s="12" t="n">
        <x:v>0</x:v>
      </x:c>
      <x:c r="G1254" s="12" t="n">
        <x:v>1.206</x:v>
      </x:c>
      <x:c r="H1254" s="1" t="n">
        <x:f>'Historical prices'!E1254</x:f>
        <x:v>1.05</x:v>
      </x:c>
      <x:c r="I1254" s="6" t="n">
        <x:f>'Historical prices'!D1254</x:f>
        <x:v>0.172</x:v>
      </x:c>
      <x:c r="J1254" s="13" t="n">
        <x:f>D1254*I1254*H1254</x:f>
        <x:v>0.32945955</x:v>
      </x:c>
      <x:c r="K1254" s="13" t="n">
        <x:f>E1254*I1254*H1254</x:f>
        <x:v>0.11201715000000001</x:v>
      </x:c>
      <x:c r="L1254" s="1" t="str">
        <x:f>TEXT(A1254,"mmm yyyy")</x:f>
        <x:v>Jun 2026</x:v>
      </x:c>
    </x:row>
    <x:row r="1255" ht="21" customHeight="1">
      <x:c r="A1255" s="10" t="n">
        <x:v>46174</x:v>
      </x:c>
      <x:c r="B1255" s="1" t="n">
        <x:v>15.5</x:v>
      </x:c>
      <x:c r="C1255" s="1" t="n">
        <x:v>6</x:v>
      </x:c>
      <x:c r="D1255" s="12" t="n">
        <x:v>0.5563333333333333</x:v>
      </x:c>
      <x:c r="E1255" s="12" t="n">
        <x:v>0.5493333333333333</x:v>
      </x:c>
      <x:c r="F1255" s="12" t="n">
        <x:v>0</x:v>
      </x:c>
      <x:c r="G1255" s="12" t="n">
        <x:v>0</x:v>
      </x:c>
      <x:c r="H1255" s="1" t="n">
        <x:f>'Historical prices'!E1255</x:f>
        <x:v>1.05</x:v>
      </x:c>
      <x:c r="I1255" s="6" t="n">
        <x:f>'Historical prices'!D1255</x:f>
        <x:v>0.1728</x:v>
      </x:c>
      <x:c r="J1255" s="13" t="n">
        <x:f>D1255*I1255*H1255</x:f>
        <x:v>0.10094112000000001</x:v>
      </x:c>
      <x:c r="K1255" s="13" t="n">
        <x:f>E1255*I1255*H1255</x:f>
        <x:v>0.09967104</x:v>
      </x:c>
      <x:c r="L1255" s="1" t="str">
        <x:f>TEXT(A1255,"mmm yyyy")</x:f>
        <x:v>Jun 2026</x:v>
      </x:c>
    </x:row>
    <x:row r="1256" ht="21" customHeight="1">
      <x:c r="A1256" s="10" t="n">
        <x:v>46174</x:v>
      </x:c>
      <x:c r="B1256" s="1" t="n">
        <x:v>16</x:v>
      </x:c>
      <x:c r="C1256" s="1" t="n">
        <x:v>6</x:v>
      </x:c>
      <x:c r="D1256" s="12" t="n">
        <x:v>0.09658333333333333</x:v>
      </x:c>
      <x:c r="E1256" s="12" t="n">
        <x:v>0.6184166666666666</x:v>
      </x:c>
      <x:c r="F1256" s="12" t="n">
        <x:v>0.5278333333333333</x:v>
      </x:c>
      <x:c r="G1256" s="12" t="n">
        <x:v>0</x:v>
      </x:c>
      <x:c r="H1256" s="1" t="n">
        <x:f>'Historical prices'!E1256</x:f>
        <x:v>1.05</x:v>
      </x:c>
      <x:c r="I1256" s="6" t="n">
        <x:f>'Historical prices'!D1256</x:f>
        <x:v>0.322</x:v>
      </x:c>
      <x:c r="J1256" s="13" t="n">
        <x:f>D1256*I1256*H1256</x:f>
        <x:v>0.032654825</x:v>
      </x:c>
      <x:c r="K1256" s="13" t="n">
        <x:f>E1256*I1256*H1256</x:f>
        <x:v>0.209086675</x:v>
      </x:c>
      <x:c r="L1256" s="1" t="str">
        <x:f>TEXT(A1256,"mmm yyyy")</x:f>
        <x:v>Jun 2026</x:v>
      </x:c>
    </x:row>
    <x:row r="1257" ht="21" customHeight="1">
      <x:c r="A1257" s="10" t="n">
        <x:v>46174</x:v>
      </x:c>
      <x:c r="B1257" s="1" t="n">
        <x:v>16.5</x:v>
      </x:c>
      <x:c r="C1257" s="1" t="n">
        <x:v>6</x:v>
      </x:c>
      <x:c r="D1257" s="12" t="n">
        <x:v>0</x:v>
      </x:c>
      <x:c r="E1257" s="12" t="n">
        <x:v>0.5539999999999999</x:v>
      </x:c>
      <x:c r="F1257" s="12" t="n">
        <x:v>0.5538333333333333</x:v>
      </x:c>
      <x:c r="G1257" s="12" t="n">
        <x:v>0</x:v>
      </x:c>
      <x:c r="H1257" s="1" t="n">
        <x:f>'Historical prices'!E1257</x:f>
        <x:v>1.05</x:v>
      </x:c>
      <x:c r="I1257" s="6" t="n">
        <x:f>'Historical prices'!D1257</x:f>
        <x:v>0.3268</x:v>
      </x:c>
      <x:c r="J1257" s="13" t="n">
        <x:f>D1257*I1257*H1257</x:f>
        <x:v>0</x:v>
      </x:c>
      <x:c r="K1257" s="13" t="n">
        <x:f>E1257*I1257*H1257</x:f>
        <x:v>0.19009955999999997</x:v>
      </x:c>
      <x:c r="L1257" s="1" t="str">
        <x:f>TEXT(A1257,"mmm yyyy")</x:f>
        <x:v>Jun 2026</x:v>
      </x:c>
    </x:row>
    <x:row r="1258" ht="21" customHeight="1">
      <x:c r="A1258" s="10" t="n">
        <x:v>46174</x:v>
      </x:c>
      <x:c r="B1258" s="1" t="n">
        <x:v>17</x:v>
      </x:c>
      <x:c r="C1258" s="1" t="n">
        <x:v>6</x:v>
      </x:c>
      <x:c r="D1258" s="12" t="n">
        <x:v>0</x:v>
      </x:c>
      <x:c r="E1258" s="12" t="n">
        <x:v>0.5748333333333333</x:v>
      </x:c>
      <x:c r="F1258" s="12" t="n">
        <x:v>0.57475</x:v>
      </x:c>
      <x:c r="G1258" s="12" t="n">
        <x:v>0</x:v>
      </x:c>
      <x:c r="H1258" s="1" t="n">
        <x:f>'Historical prices'!E1258</x:f>
        <x:v>1.05</x:v>
      </x:c>
      <x:c r="I1258" s="6" t="n">
        <x:f>'Historical prices'!D1258</x:f>
        <x:v>0.35259999999999997</x:v>
      </x:c>
      <x:c r="J1258" s="13" t="n">
        <x:f>D1258*I1258*H1258</x:f>
        <x:v>0</x:v>
      </x:c>
      <x:c r="K1258" s="13" t="n">
        <x:f>E1258*I1258*H1258</x:f>
        <x:v>0.21282054499999997</x:v>
      </x:c>
      <x:c r="L1258" s="1" t="str">
        <x:f>TEXT(A1258,"mmm yyyy")</x:f>
        <x:v>Jun 2026</x:v>
      </x:c>
    </x:row>
    <x:row r="1259" ht="21" customHeight="1">
      <x:c r="A1259" s="10" t="n">
        <x:v>46174</x:v>
      </x:c>
      <x:c r="B1259" s="1" t="n">
        <x:v>17.5</x:v>
      </x:c>
      <x:c r="C1259" s="1" t="n">
        <x:v>6</x:v>
      </x:c>
      <x:c r="D1259" s="12" t="n">
        <x:v>0</x:v>
      </x:c>
      <x:c r="E1259" s="12" t="n">
        <x:v>0.528</x:v>
      </x:c>
      <x:c r="F1259" s="12" t="n">
        <x:v>0.5278333333333334</x:v>
      </x:c>
      <x:c r="G1259" s="12" t="n">
        <x:v>0</x:v>
      </x:c>
      <x:c r="H1259" s="1" t="n">
        <x:f>'Historical prices'!E1259</x:f>
        <x:v>1.05</x:v>
      </x:c>
      <x:c r="I1259" s="6" t="n">
        <x:f>'Historical prices'!D1259</x:f>
        <x:v>0.36210000000000003</x:v>
      </x:c>
      <x:c r="J1259" s="13" t="n">
        <x:f>D1259*I1259*H1259</x:f>
        <x:v>0</x:v>
      </x:c>
      <x:c r="K1259" s="13" t="n">
        <x:f>E1259*I1259*H1259</x:f>
        <x:v>0.20074824000000002</x:v>
      </x:c>
      <x:c r="L1259" s="1" t="str">
        <x:f>TEXT(A1259,"mmm yyyy")</x:f>
        <x:v>Jun 2026</x:v>
      </x:c>
    </x:row>
    <x:row r="1260" ht="21" customHeight="1">
      <x:c r="A1260" s="10" t="n">
        <x:v>46174</x:v>
      </x:c>
      <x:c r="B1260" s="1" t="n">
        <x:v>18</x:v>
      </x:c>
      <x:c r="C1260" s="1" t="n">
        <x:v>6</x:v>
      </x:c>
      <x:c r="D1260" s="12" t="n">
        <x:v>0</x:v>
      </x:c>
      <x:c r="E1260" s="12" t="n">
        <x:v>1.1315</x:v>
      </x:c>
      <x:c r="F1260" s="12" t="n">
        <x:v>1.1313333333333335</x:v>
      </x:c>
      <x:c r="G1260" s="12" t="n">
        <x:v>0</x:v>
      </x:c>
      <x:c r="H1260" s="1" t="n">
        <x:f>'Historical prices'!E1260</x:f>
        <x:v>1.05</x:v>
      </x:c>
      <x:c r="I1260" s="6" t="n">
        <x:f>'Historical prices'!D1260</x:f>
        <x:v>0.3743</x:v>
      </x:c>
      <x:c r="J1260" s="13" t="n">
        <x:f>D1260*I1260*H1260</x:f>
        <x:v>0</x:v>
      </x:c>
      <x:c r="K1260" s="13" t="n">
        <x:f>E1260*I1260*H1260</x:f>
        <x:v>0.4446964725</x:v>
      </x:c>
      <x:c r="L1260" s="1" t="str">
        <x:f>TEXT(A1260,"mmm yyyy")</x:f>
        <x:v>Jun 2026</x:v>
      </x:c>
    </x:row>
    <x:row r="1261" ht="21" customHeight="1">
      <x:c r="A1261" s="10" t="n">
        <x:v>46174</x:v>
      </x:c>
      <x:c r="B1261" s="1" t="n">
        <x:v>18.5</x:v>
      </x:c>
      <x:c r="C1261" s="1" t="n">
        <x:v>6</x:v>
      </x:c>
      <x:c r="D1261" s="12" t="n">
        <x:v>0.0165</x:v>
      </x:c>
      <x:c r="E1261" s="12" t="n">
        <x:v>1.1181666666666668</x:v>
      </x:c>
      <x:c r="F1261" s="12" t="n">
        <x:v>1.1015</x:v>
      </x:c>
      <x:c r="G1261" s="12" t="n">
        <x:v>0</x:v>
      </x:c>
      <x:c r="H1261" s="1" t="n">
        <x:f>'Historical prices'!E1261</x:f>
        <x:v>1.05</x:v>
      </x:c>
      <x:c r="I1261" s="6" t="n">
        <x:f>'Historical prices'!D1261</x:f>
        <x:v>0.3743</x:v>
      </x:c>
      <x:c r="J1261" s="13" t="n">
        <x:f>D1261*I1261*H1261</x:f>
        <x:v>0.0064847475000000005</x:v>
      </x:c>
      <x:c r="K1261" s="13" t="n">
        <x:f>E1261*I1261*H1261</x:f>
        <x:v>0.4394562725000001</x:v>
      </x:c>
      <x:c r="L1261" s="1" t="str">
        <x:f>TEXT(A1261,"mmm yyyy")</x:f>
        <x:v>Jun 2026</x:v>
      </x:c>
    </x:row>
    <x:row r="1262" ht="21" customHeight="1">
      <x:c r="A1262" s="10" t="n">
        <x:v>46174</x:v>
      </x:c>
      <x:c r="B1262" s="1" t="n">
        <x:v>19</x:v>
      </x:c>
      <x:c r="C1262" s="1" t="n">
        <x:v>6</x:v>
      </x:c>
      <x:c r="D1262" s="12" t="n">
        <x:v>0</x:v>
      </x:c>
      <x:c r="E1262" s="12" t="n">
        <x:v>0.6718333333333333</x:v>
      </x:c>
      <x:c r="F1262" s="12" t="n">
        <x:v>0.6718333333333333</x:v>
      </x:c>
      <x:c r="G1262" s="12" t="n">
        <x:v>0</x:v>
      </x:c>
      <x:c r="H1262" s="1" t="n">
        <x:f>'Historical prices'!E1262</x:f>
        <x:v>1.05</x:v>
      </x:c>
      <x:c r="I1262" s="6" t="n">
        <x:f>'Historical prices'!D1262</x:f>
        <x:v>0.2606</x:v>
      </x:c>
      <x:c r="J1262" s="13" t="n">
        <x:f>D1262*I1262*H1262</x:f>
        <x:v>0</x:v>
      </x:c>
      <x:c r="K1262" s="13" t="n">
        <x:f>E1262*I1262*H1262</x:f>
        <x:v>0.18383375500000002</x:v>
      </x:c>
      <x:c r="L1262" s="1" t="str">
        <x:f>TEXT(A1262,"mmm yyyy")</x:f>
        <x:v>Jun 2026</x:v>
      </x:c>
    </x:row>
    <x:row r="1263" ht="21" customHeight="1">
      <x:c r="A1263" s="10" t="n">
        <x:v>46174</x:v>
      </x:c>
      <x:c r="B1263" s="1" t="n">
        <x:v>19.5</x:v>
      </x:c>
      <x:c r="C1263" s="1" t="n">
        <x:v>6</x:v>
      </x:c>
      <x:c r="D1263" s="12" t="n">
        <x:v>0</x:v>
      </x:c>
      <x:c r="E1263" s="12" t="n">
        <x:v>0.8940833333333333</x:v>
      </x:c>
      <x:c r="F1263" s="12" t="n">
        <x:v>0.8937499999999998</x:v>
      </x:c>
      <x:c r="G1263" s="12" t="n">
        <x:v>0</x:v>
      </x:c>
      <x:c r="H1263" s="1" t="n">
        <x:f>'Historical prices'!E1263</x:f>
        <x:v>1.05</x:v>
      </x:c>
      <x:c r="I1263" s="6" t="n">
        <x:f>'Historical prices'!D1263</x:f>
        <x:v>0.2606</x:v>
      </x:c>
      <x:c r="J1263" s="13" t="n">
        <x:f>D1263*I1263*H1263</x:f>
        <x:v>0</x:v>
      </x:c>
      <x:c r="K1263" s="13" t="n">
        <x:f>E1263*I1263*H1263</x:f>
        <x:v>0.2446480225</x:v>
      </x:c>
      <x:c r="L1263" s="1" t="str">
        <x:f>TEXT(A1263,"mmm yyyy")</x:f>
        <x:v>Jun 2026</x:v>
      </x:c>
    </x:row>
    <x:row r="1264" ht="21" customHeight="1">
      <x:c r="A1264" s="10" t="n">
        <x:v>46174</x:v>
      </x:c>
      <x:c r="B1264" s="1" t="n">
        <x:v>20</x:v>
      </x:c>
      <x:c r="C1264" s="1" t="n">
        <x:v>6</x:v>
      </x:c>
      <x:c r="D1264" s="12" t="n">
        <x:v>0</x:v>
      </x:c>
      <x:c r="E1264" s="12" t="n">
        <x:v>0.6566666666666667</x:v>
      </x:c>
      <x:c r="F1264" s="12" t="n">
        <x:v>0.6566666666666667</x:v>
      </x:c>
      <x:c r="G1264" s="12" t="n">
        <x:v>0</x:v>
      </x:c>
      <x:c r="H1264" s="1" t="n">
        <x:f>'Historical prices'!E1264</x:f>
        <x:v>1.05</x:v>
      </x:c>
      <x:c r="I1264" s="6" t="n">
        <x:f>'Historical prices'!D1264</x:f>
        <x:v>0.26039999999999996</x:v>
      </x:c>
      <x:c r="J1264" s="13" t="n">
        <x:f>D1264*I1264*H1264</x:f>
        <x:v>0</x:v>
      </x:c>
      <x:c r="K1264" s="13" t="n">
        <x:f>E1264*I1264*H1264</x:f>
        <x:v>0.17954579999999998</x:v>
      </x:c>
      <x:c r="L1264" s="1" t="str">
        <x:f>TEXT(A1264,"mmm yyyy")</x:f>
        <x:v>Jun 2026</x:v>
      </x:c>
    </x:row>
    <x:row r="1265" ht="21" customHeight="1">
      <x:c r="A1265" s="10" t="n">
        <x:v>46174</x:v>
      </x:c>
      <x:c r="B1265" s="1" t="n">
        <x:v>20.5</x:v>
      </x:c>
      <x:c r="C1265" s="1" t="n">
        <x:v>6</x:v>
      </x:c>
      <x:c r="D1265" s="12" t="n">
        <x:v>0</x:v>
      </x:c>
      <x:c r="E1265" s="12" t="n">
        <x:v>0.739</x:v>
      </x:c>
      <x:c r="F1265" s="12" t="n">
        <x:v>0.7388333333333333</x:v>
      </x:c>
      <x:c r="G1265" s="12" t="n">
        <x:v>0</x:v>
      </x:c>
      <x:c r="H1265" s="1" t="n">
        <x:f>'Historical prices'!E1265</x:f>
        <x:v>1.05</x:v>
      </x:c>
      <x:c r="I1265" s="6" t="n">
        <x:f>'Historical prices'!D1265</x:f>
        <x:v>0.2606</x:v>
      </x:c>
      <x:c r="J1265" s="13" t="n">
        <x:f>D1265*I1265*H1265</x:f>
        <x:v>0</x:v>
      </x:c>
      <x:c r="K1265" s="13" t="n">
        <x:f>E1265*I1265*H1265</x:f>
        <x:v>0.20221257</x:v>
      </x:c>
      <x:c r="L1265" s="1" t="str">
        <x:f>TEXT(A1265,"mmm yyyy")</x:f>
        <x:v>Jun 2026</x:v>
      </x:c>
    </x:row>
    <x:row r="1266" ht="21" customHeight="1">
      <x:c r="A1266" s="10" t="n">
        <x:v>46174</x:v>
      </x:c>
      <x:c r="B1266" s="1" t="n">
        <x:v>21</x:v>
      </x:c>
      <x:c r="C1266" s="1" t="n">
        <x:v>6</x:v>
      </x:c>
      <x:c r="D1266" s="12" t="n">
        <x:v>0</x:v>
      </x:c>
      <x:c r="E1266" s="12" t="n">
        <x:v>0.6519166666666667</x:v>
      </x:c>
      <x:c r="F1266" s="12" t="n">
        <x:v>0.6516666666666667</x:v>
      </x:c>
      <x:c r="G1266" s="12" t="n">
        <x:v>0</x:v>
      </x:c>
      <x:c r="H1266" s="1" t="n">
        <x:f>'Historical prices'!E1266</x:f>
        <x:v>1.05</x:v>
      </x:c>
      <x:c r="I1266" s="6" t="n">
        <x:f>'Historical prices'!D1266</x:f>
        <x:v>0.25429999999999997</x:v>
      </x:c>
      <x:c r="J1266" s="13" t="n">
        <x:f>D1266*I1266*H1266</x:f>
        <x:v>0</x:v>
      </x:c>
      <x:c r="K1266" s="13" t="n">
        <x:f>E1266*I1266*H1266</x:f>
        <x:v>0.17407152875</x:v>
      </x:c>
      <x:c r="L1266" s="1" t="str">
        <x:f>TEXT(A1266,"mmm yyyy")</x:f>
        <x:v>Jun 2026</x:v>
      </x:c>
    </x:row>
    <x:row r="1267" ht="21" customHeight="1">
      <x:c r="A1267" s="10" t="n">
        <x:v>46174</x:v>
      </x:c>
      <x:c r="B1267" s="1" t="n">
        <x:v>21.5</x:v>
      </x:c>
      <x:c r="C1267" s="1" t="n">
        <x:v>6</x:v>
      </x:c>
      <x:c r="D1267" s="12" t="n">
        <x:v>0</x:v>
      </x:c>
      <x:c r="E1267" s="12" t="n">
        <x:v>1.06</x:v>
      </x:c>
      <x:c r="F1267" s="12" t="n">
        <x:v>1.0596666666666668</x:v>
      </x:c>
      <x:c r="G1267" s="12" t="n">
        <x:v>0</x:v>
      </x:c>
      <x:c r="H1267" s="1" t="n">
        <x:f>'Historical prices'!E1267</x:f>
        <x:v>1.05</x:v>
      </x:c>
      <x:c r="I1267" s="6" t="n">
        <x:f>'Historical prices'!D1267</x:f>
        <x:v>0.2409</x:v>
      </x:c>
      <x:c r="J1267" s="13" t="n">
        <x:f>D1267*I1267*H1267</x:f>
        <x:v>0</x:v>
      </x:c>
      <x:c r="K1267" s="13" t="n">
        <x:f>E1267*I1267*H1267</x:f>
        <x:v>0.2681217</x:v>
      </x:c>
      <x:c r="L1267" s="1" t="str">
        <x:f>TEXT(A1267,"mmm yyyy")</x:f>
        <x:v>Jun 2026</x:v>
      </x:c>
    </x:row>
    <x:row r="1268" ht="21" customHeight="1">
      <x:c r="A1268" s="10" t="n">
        <x:v>46174</x:v>
      </x:c>
      <x:c r="B1268" s="1" t="n">
        <x:v>22</x:v>
      </x:c>
      <x:c r="C1268" s="1" t="n">
        <x:v>6</x:v>
      </x:c>
      <x:c r="D1268" s="12" t="n">
        <x:v>0.17650000000000002</x:v>
      </x:c>
      <x:c r="E1268" s="12" t="n">
        <x:v>0.2544166666666666</x:v>
      </x:c>
      <x:c r="F1268" s="12" t="n">
        <x:v>0.06891666666666667</x:v>
      </x:c>
      <x:c r="G1268" s="12" t="n">
        <x:v>0</x:v>
      </x:c>
      <x:c r="H1268" s="1" t="n">
        <x:f>'Historical prices'!E1268</x:f>
        <x:v>1.05</x:v>
      </x:c>
      <x:c r="I1268" s="6" t="n">
        <x:f>'Historical prices'!D1268</x:f>
        <x:v>0.21760000000000002</x:v>
      </x:c>
      <x:c r="J1268" s="13" t="n">
        <x:f>D1268*I1268*H1268</x:f>
        <x:v>0.04032672000000001</x:v>
      </x:c>
      <x:c r="K1268" s="13" t="n">
        <x:f>E1268*I1268*H1268</x:f>
        <x:v>0.05812911999999999</x:v>
      </x:c>
      <x:c r="L1268" s="1" t="str">
        <x:f>TEXT(A1268,"mmm yyyy")</x:f>
        <x:v>Jun 2026</x:v>
      </x:c>
    </x:row>
    <x:row r="1269" ht="21" customHeight="1">
      <x:c r="A1269" s="10" t="n">
        <x:v>46174</x:v>
      </x:c>
      <x:c r="B1269" s="1" t="n">
        <x:v>22.5</x:v>
      </x:c>
      <x:c r="C1269" s="1" t="n">
        <x:v>6</x:v>
      </x:c>
      <x:c r="D1269" s="12" t="n">
        <x:v>0.20274999999999999</x:v>
      </x:c>
      <x:c r="E1269" s="12" t="n">
        <x:v>0.21375</x:v>
      </x:c>
      <x:c r="F1269" s="12" t="n">
        <x:v>0</x:v>
      </x:c>
      <x:c r="G1269" s="12" t="n">
        <x:v>0</x:v>
      </x:c>
      <x:c r="H1269" s="1" t="n">
        <x:f>'Historical prices'!E1269</x:f>
        <x:v>1.05</x:v>
      </x:c>
      <x:c r="I1269" s="6" t="n">
        <x:f>'Historical prices'!D1269</x:f>
        <x:v>0.2211</x:v>
      </x:c>
      <x:c r="J1269" s="13" t="n">
        <x:f>D1269*I1269*H1269</x:f>
        <x:v>0.04706942625</x:v>
      </x:c>
      <x:c r="K1269" s="13" t="n">
        <x:f>E1269*I1269*H1269</x:f>
        <x:v>0.04962313125</x:v>
      </x:c>
      <x:c r="L1269" s="1" t="str">
        <x:f>TEXT(A1269,"mmm yyyy")</x:f>
        <x:v>Jun 2026</x:v>
      </x:c>
    </x:row>
    <x:row r="1270" ht="21" customHeight="1">
      <x:c r="A1270" s="10" t="n">
        <x:v>46174</x:v>
      </x:c>
      <x:c r="B1270" s="1" t="n">
        <x:v>23</x:v>
      </x:c>
      <x:c r="C1270" s="1" t="n">
        <x:v>6</x:v>
      </x:c>
      <x:c r="D1270" s="12" t="n">
        <x:v>0.24750000000000003</x:v>
      </x:c>
      <x:c r="E1270" s="12" t="n">
        <x:v>0.2585</x:v>
      </x:c>
      <x:c r="F1270" s="12" t="n">
        <x:v>0</x:v>
      </x:c>
      <x:c r="G1270" s="12" t="n">
        <x:v>0</x:v>
      </x:c>
      <x:c r="H1270" s="1" t="n">
        <x:f>'Historical prices'!E1270</x:f>
        <x:v>1.05</x:v>
      </x:c>
      <x:c r="I1270" s="6" t="n">
        <x:f>'Historical prices'!D1270</x:f>
        <x:v>0.2184</x:v>
      </x:c>
      <x:c r="J1270" s="13" t="n">
        <x:f>D1270*I1270*H1270</x:f>
        <x:v>0.05675670000000001</x:v>
      </x:c>
      <x:c r="K1270" s="13" t="n">
        <x:f>E1270*I1270*H1270</x:f>
        <x:v>0.05927922000000001</x:v>
      </x:c>
      <x:c r="L1270" s="1" t="str">
        <x:f>TEXT(A1270,"mmm yyyy")</x:f>
        <x:v>Jun 2026</x:v>
      </x:c>
    </x:row>
    <x:row r="1271" ht="21" customHeight="1">
      <x:c r="A1271" s="10" t="n">
        <x:v>46174</x:v>
      </x:c>
      <x:c r="B1271" s="1" t="n">
        <x:v>23.5</x:v>
      </x:c>
      <x:c r="C1271" s="1" t="n">
        <x:v>6</x:v>
      </x:c>
      <x:c r="D1271" s="12" t="n">
        <x:v>0.035666666666666666</x:v>
      </x:c>
      <x:c r="E1271" s="12" t="n">
        <x:v>0.25975000000000004</x:v>
      </x:c>
      <x:c r="F1271" s="12" t="n">
        <x:v>0.22175</x:v>
      </x:c>
      <x:c r="G1271" s="12" t="n">
        <x:v>0</x:v>
      </x:c>
      <x:c r="H1271" s="1" t="n">
        <x:f>'Historical prices'!E1271</x:f>
        <x:v>1.05</x:v>
      </x:c>
      <x:c r="I1271" s="6" t="n">
        <x:f>'Historical prices'!D1271</x:f>
        <x:v>0.2281</x:v>
      </x:c>
      <x:c r="J1271" s="13" t="n">
        <x:f>D1271*I1271*H1271</x:f>
        <x:v>0.008542345</x:v>
      </x:c>
      <x:c r="K1271" s="13" t="n">
        <x:f>E1271*I1271*H1271</x:f>
        <x:v>0.062211423750000015</x:v>
      </x:c>
      <x:c r="L1271" s="1" t="str">
        <x:f>TEXT(A1271,"mmm yyyy")</x:f>
        <x:v>Jun 2026</x:v>
      </x:c>
    </x:row>
    <x:row r="1272" ht="21" customHeight="1">
      <x:c r="A1272" s="10" t="n">
        <x:v>46175</x:v>
      </x:c>
      <x:c r="B1272" s="1" t="n">
        <x:v>0</x:v>
      </x:c>
      <x:c r="C1272" s="1" t="n">
        <x:v>6</x:v>
      </x:c>
      <x:c r="D1272" s="12" t="n">
        <x:v>0.1325</x:v>
      </x:c>
      <x:c r="E1272" s="12" t="n">
        <x:v>0.17541666666666667</x:v>
      </x:c>
      <x:c r="F1272" s="12" t="n">
        <x:v>0.034916666666666665</x:v>
      </x:c>
      <x:c r="G1272" s="12" t="n">
        <x:v>0</x:v>
      </x:c>
      <x:c r="H1272" s="1" t="n">
        <x:f>'Historical prices'!E1272</x:f>
        <x:v>1.05</x:v>
      </x:c>
      <x:c r="I1272" s="6" t="n">
        <x:f>'Historical prices'!D1272</x:f>
        <x:v>0.20489999999999997</x:v>
      </x:c>
      <x:c r="J1272" s="13" t="n">
        <x:f>D1272*I1272*H1272</x:f>
        <x:v>0.028506712499999996</x:v>
      </x:c>
      <x:c r="K1272" s="13" t="n">
        <x:f>E1272*I1272*H1272</x:f>
        <x:v>0.03774001874999999</x:v>
      </x:c>
      <x:c r="L1272" s="1" t="str">
        <x:f>TEXT(A1272,"mmm yyyy")</x:f>
        <x:v>Jun 2026</x:v>
      </x:c>
    </x:row>
    <x:row r="1273" ht="21" customHeight="1">
      <x:c r="A1273" s="10" t="n">
        <x:v>46175</x:v>
      </x:c>
      <x:c r="B1273" s="1" t="n">
        <x:v>0.5</x:v>
      </x:c>
      <x:c r="C1273" s="1" t="n">
        <x:v>6</x:v>
      </x:c>
      <x:c r="D1273" s="12" t="n">
        <x:v>0.18641666666666665</x:v>
      </x:c>
      <x:c r="E1273" s="12" t="n">
        <x:v>0.19841666666666666</x:v>
      </x:c>
      <x:c r="F1273" s="12" t="n">
        <x:v>0</x:v>
      </x:c>
      <x:c r="G1273" s="12" t="n">
        <x:v>0</x:v>
      </x:c>
      <x:c r="H1273" s="1" t="n">
        <x:f>'Historical prices'!E1273</x:f>
        <x:v>1.05</x:v>
      </x:c>
      <x:c r="I1273" s="6" t="n">
        <x:f>'Historical prices'!D1273</x:f>
        <x:v>0.19640000000000002</x:v>
      </x:c>
      <x:c r="J1273" s="13" t="n">
        <x:f>D1273*I1273*H1273</x:f>
        <x:v>0.038442845</x:v>
      </x:c>
      <x:c r="K1273" s="13" t="n">
        <x:f>E1273*I1273*H1273</x:f>
        <x:v>0.040917485</x:v>
      </x:c>
      <x:c r="L1273" s="1" t="str">
        <x:f>TEXT(A1273,"mmm yyyy")</x:f>
        <x:v>Jun 2026</x:v>
      </x:c>
    </x:row>
    <x:row r="1274" ht="21" customHeight="1">
      <x:c r="A1274" s="10" t="n">
        <x:v>46175</x:v>
      </x:c>
      <x:c r="B1274" s="1" t="n">
        <x:v>1</x:v>
      </x:c>
      <x:c r="C1274" s="1" t="n">
        <x:v>6</x:v>
      </x:c>
      <x:c r="D1274" s="12" t="n">
        <x:v>0.2006666666666667</x:v>
      </x:c>
      <x:c r="E1274" s="12" t="n">
        <x:v>0.21166666666666667</x:v>
      </x:c>
      <x:c r="F1274" s="12" t="n">
        <x:v>0</x:v>
      </x:c>
      <x:c r="G1274" s="12" t="n">
        <x:v>0</x:v>
      </x:c>
      <x:c r="H1274" s="1" t="n">
        <x:f>'Historical prices'!E1274</x:f>
        <x:v>1.05</x:v>
      </x:c>
      <x:c r="I1274" s="6" t="n">
        <x:f>'Historical prices'!D1274</x:f>
        <x:v>0.1833</x:v>
      </x:c>
      <x:c r="J1274" s="13" t="n">
        <x:f>D1274*I1274*H1274</x:f>
        <x:v>0.038621310000000006</x:v>
      </x:c>
      <x:c r="K1274" s="13" t="n">
        <x:f>E1274*I1274*H1274</x:f>
        <x:v>0.040738425</x:v>
      </x:c>
      <x:c r="L1274" s="1" t="str">
        <x:f>TEXT(A1274,"mmm yyyy")</x:f>
        <x:v>Jun 2026</x:v>
      </x:c>
    </x:row>
    <x:row r="1275" ht="21" customHeight="1">
      <x:c r="A1275" s="10" t="n">
        <x:v>46175</x:v>
      </x:c>
      <x:c r="B1275" s="1" t="n">
        <x:v>1.5</x:v>
      </x:c>
      <x:c r="C1275" s="1" t="n">
        <x:v>6</x:v>
      </x:c>
      <x:c r="D1275" s="12" t="n">
        <x:v>0.246</x:v>
      </x:c>
      <x:c r="E1275" s="12" t="n">
        <x:v>0.256</x:v>
      </x:c>
      <x:c r="F1275" s="12" t="n">
        <x:v>0</x:v>
      </x:c>
      <x:c r="G1275" s="12" t="n">
        <x:v>0</x:v>
      </x:c>
      <x:c r="H1275" s="1" t="n">
        <x:f>'Historical prices'!E1275</x:f>
        <x:v>1.05</x:v>
      </x:c>
      <x:c r="I1275" s="6" t="n">
        <x:f>'Historical prices'!D1275</x:f>
        <x:v>0.1845</x:v>
      </x:c>
      <x:c r="J1275" s="13" t="n">
        <x:f>D1275*I1275*H1275</x:f>
        <x:v>0.04765635</x:v>
      </x:c>
      <x:c r="K1275" s="13" t="n">
        <x:f>E1275*I1275*H1275</x:f>
        <x:v>0.04959360000000001</x:v>
      </x:c>
      <x:c r="L1275" s="1" t="str">
        <x:f>TEXT(A1275,"mmm yyyy")</x:f>
        <x:v>Jun 2026</x:v>
      </x:c>
    </x:row>
    <x:row r="1276" ht="21" customHeight="1">
      <x:c r="A1276" s="10" t="n">
        <x:v>46175</x:v>
      </x:c>
      <x:c r="B1276" s="1" t="n">
        <x:v>2</x:v>
      </x:c>
      <x:c r="C1276" s="1" t="n">
        <x:v>6</x:v>
      </x:c>
      <x:c r="D1276" s="12" t="n">
        <x:v>0.7116666666666667</x:v>
      </x:c>
      <x:c r="E1276" s="12" t="n">
        <x:v>0.22166666666666668</x:v>
      </x:c>
      <x:c r="F1276" s="12" t="n">
        <x:v>0</x:v>
      </x:c>
      <x:c r="G1276" s="12" t="n">
        <x:v>0.498</x:v>
      </x:c>
      <x:c r="H1276" s="1" t="n">
        <x:f>'Historical prices'!E1276</x:f>
        <x:v>1.05</x:v>
      </x:c>
      <x:c r="I1276" s="6" t="n">
        <x:f>'Historical prices'!D1276</x:f>
        <x:v>0.18059999999999998</x:v>
      </x:c>
      <x:c r="J1276" s="13" t="n">
        <x:f>D1276*I1276*H1276</x:f>
        <x:v>0.13495334999999997</x:v>
      </x:c>
      <x:c r="K1276" s="13" t="n">
        <x:f>E1276*I1276*H1276</x:f>
        <x:v>0.04203465</x:v>
      </x:c>
      <x:c r="L1276" s="1" t="str">
        <x:f>TEXT(A1276,"mmm yyyy")</x:f>
        <x:v>Jun 2026</x:v>
      </x:c>
    </x:row>
    <x:row r="1277" ht="21" customHeight="1">
      <x:c r="A1277" s="10" t="n">
        <x:v>46175</x:v>
      </x:c>
      <x:c r="B1277" s="1" t="n">
        <x:v>2.5</x:v>
      </x:c>
      <x:c r="C1277" s="1" t="n">
        <x:v>6</x:v>
      </x:c>
      <x:c r="D1277" s="12" t="n">
        <x:v>0.4318333333333334</x:v>
      </x:c>
      <x:c r="E1277" s="12" t="n">
        <x:v>0.19283333333333336</x:v>
      </x:c>
      <x:c r="F1277" s="12" t="n">
        <x:v>0</x:v>
      </x:c>
      <x:c r="G1277" s="12" t="n">
        <x:v>0.246</x:v>
      </x:c>
      <x:c r="H1277" s="1" t="n">
        <x:f>'Historical prices'!E1277</x:f>
        <x:v>1.05</x:v>
      </x:c>
      <x:c r="I1277" s="6" t="n">
        <x:f>'Historical prices'!D1277</x:f>
        <x:v>0.1838</x:v>
      </x:c>
      <x:c r="J1277" s="13" t="n">
        <x:f>D1277*I1277*H1277</x:f>
        <x:v>0.08333951500000002</x:v>
      </x:c>
      <x:c r="K1277" s="13" t="n">
        <x:f>E1277*I1277*H1277</x:f>
        <x:v>0.037214905</x:v>
      </x:c>
      <x:c r="L1277" s="1" t="str">
        <x:f>TEXT(A1277,"mmm yyyy")</x:f>
        <x:v>Jun 2026</x:v>
      </x:c>
    </x:row>
    <x:row r="1278" ht="21" customHeight="1">
      <x:c r="A1278" s="10" t="n">
        <x:v>46175</x:v>
      </x:c>
      <x:c r="B1278" s="1" t="n">
        <x:v>3</x:v>
      </x:c>
      <x:c r="C1278" s="1" t="n">
        <x:v>6</x:v>
      </x:c>
      <x:c r="D1278" s="12" t="n">
        <x:v>0.14258333333333334</x:v>
      </x:c>
      <x:c r="E1278" s="12" t="n">
        <x:v>0.15358333333333335</x:v>
      </x:c>
      <x:c r="F1278" s="12" t="n">
        <x:v>0</x:v>
      </x:c>
      <x:c r="G1278" s="12" t="n">
        <x:v>0</x:v>
      </x:c>
      <x:c r="H1278" s="1" t="n">
        <x:f>'Historical prices'!E1278</x:f>
        <x:v>1.05</x:v>
      </x:c>
      <x:c r="I1278" s="6" t="n">
        <x:f>'Historical prices'!D1278</x:f>
        <x:v>0.1816</x:v>
      </x:c>
      <x:c r="J1278" s="13" t="n">
        <x:f>D1278*I1278*H1278</x:f>
        <x:v>0.027187790000000003</x:v>
      </x:c>
      <x:c r="K1278" s="13" t="n">
        <x:f>E1278*I1278*H1278</x:f>
        <x:v>0.029285270000000006</x:v>
      </x:c>
      <x:c r="L1278" s="1" t="str">
        <x:f>TEXT(A1278,"mmm yyyy")</x:f>
        <x:v>Jun 2026</x:v>
      </x:c>
    </x:row>
    <x:row r="1279" ht="21" customHeight="1">
      <x:c r="A1279" s="10" t="n">
        <x:v>46175</x:v>
      </x:c>
      <x:c r="B1279" s="1" t="n">
        <x:v>3.5</x:v>
      </x:c>
      <x:c r="C1279" s="1" t="n">
        <x:v>6</x:v>
      </x:c>
      <x:c r="D1279" s="12" t="n">
        <x:v>4.122916666666667</x:v>
      </x:c>
      <x:c r="E1279" s="12" t="n">
        <x:v>0.4489166666666667</x:v>
      </x:c>
      <x:c r="F1279" s="12" t="n">
        <x:v>0</x:v>
      </x:c>
      <x:c r="G1279" s="12" t="n">
        <x:v>3.676</x:v>
      </x:c>
      <x:c r="H1279" s="1" t="n">
        <x:f>'Historical prices'!E1279</x:f>
        <x:v>1.05</x:v>
      </x:c>
      <x:c r="I1279" s="6" t="n">
        <x:f>'Historical prices'!D1279</x:f>
        <x:v>0.1787</x:v>
      </x:c>
      <x:c r="J1279" s="13" t="n">
        <x:f>D1279*I1279*H1279</x:f>
        <x:v>0.7736034687500001</x:v>
      </x:c>
      <x:c r="K1279" s="13" t="n">
        <x:f>E1279*I1279*H1279</x:f>
        <x:v>0.08423247875</x:v>
      </x:c>
      <x:c r="L1279" s="1" t="str">
        <x:f>TEXT(A1279,"mmm yyyy")</x:f>
        <x:v>Jun 2026</x:v>
      </x:c>
    </x:row>
    <x:row r="1280" ht="21" customHeight="1">
      <x:c r="A1280" s="10" t="n">
        <x:v>46175</x:v>
      </x:c>
      <x:c r="B1280" s="1" t="n">
        <x:v>4</x:v>
      </x:c>
      <x:c r="C1280" s="1" t="n">
        <x:v>6</x:v>
      </x:c>
      <x:c r="D1280" s="12" t="n">
        <x:v>1.0610833333333334</x:v>
      </x:c>
      <x:c r="E1280" s="12" t="n">
        <x:v>0.26308333333333334</x:v>
      </x:c>
      <x:c r="F1280" s="12" t="n">
        <x:v>0</x:v>
      </x:c>
      <x:c r="G1280" s="12" t="n">
        <x:v>0.798</x:v>
      </x:c>
      <x:c r="H1280" s="1" t="n">
        <x:f>'Historical prices'!E1280</x:f>
        <x:v>1.05</x:v>
      </x:c>
      <x:c r="I1280" s="6" t="n">
        <x:f>'Historical prices'!D1280</x:f>
        <x:v>0.18539999999999998</x:v>
      </x:c>
      <x:c r="J1280" s="13" t="n">
        <x:f>D1280*I1280*H1280</x:f>
        <x:v>0.2065610925</x:v>
      </x:c>
      <x:c r="K1280" s="13" t="n">
        <x:f>E1280*I1280*H1280</x:f>
        <x:v>0.0512144325</x:v>
      </x:c>
      <x:c r="L1280" s="1" t="str">
        <x:f>TEXT(A1280,"mmm yyyy")</x:f>
        <x:v>Jun 2026</x:v>
      </x:c>
    </x:row>
    <x:row r="1281" ht="21" customHeight="1">
      <x:c r="A1281" s="10" t="n">
        <x:v>46175</x:v>
      </x:c>
      <x:c r="B1281" s="1" t="n">
        <x:v>4.5</x:v>
      </x:c>
      <x:c r="C1281" s="1" t="n">
        <x:v>6</x:v>
      </x:c>
      <x:c r="D1281" s="12" t="n">
        <x:v>0.24283333333333332</x:v>
      </x:c>
      <x:c r="E1281" s="12" t="n">
        <x:v>0.25183333333333335</x:v>
      </x:c>
      <x:c r="F1281" s="12" t="n">
        <x:v>0</x:v>
      </x:c>
      <x:c r="G1281" s="12" t="n">
        <x:v>0</x:v>
      </x:c>
      <x:c r="H1281" s="1" t="n">
        <x:f>'Historical prices'!E1281</x:f>
        <x:v>1.05</x:v>
      </x:c>
      <x:c r="I1281" s="6" t="n">
        <x:f>'Historical prices'!D1281</x:f>
        <x:v>0.18489999999999998</x:v>
      </x:c>
      <x:c r="J1281" s="13" t="n">
        <x:f>D1281*I1281*H1281</x:f>
        <x:v>0.047144877499999994</x:v>
      </x:c>
      <x:c r="K1281" s="13" t="n">
        <x:f>E1281*I1281*H1281</x:f>
        <x:v>0.0488921825</x:v>
      </x:c>
      <x:c r="L1281" s="1" t="str">
        <x:f>TEXT(A1281,"mmm yyyy")</x:f>
        <x:v>Jun 2026</x:v>
      </x:c>
    </x:row>
    <x:row r="1282" ht="21" customHeight="1">
      <x:c r="A1282" s="10" t="n">
        <x:v>46175</x:v>
      </x:c>
      <x:c r="B1282" s="1" t="n">
        <x:v>5</x:v>
      </x:c>
      <x:c r="C1282" s="1" t="n">
        <x:v>6</x:v>
      </x:c>
      <x:c r="D1282" s="12" t="n">
        <x:v>0.22991666666666666</x:v>
      </x:c>
      <x:c r="E1282" s="12" t="n">
        <x:v>0.23991666666666667</x:v>
      </x:c>
      <x:c r="F1282" s="12" t="n">
        <x:v>0</x:v>
      </x:c>
      <x:c r="G1282" s="12" t="n">
        <x:v>0</x:v>
      </x:c>
      <x:c r="H1282" s="1" t="n">
        <x:f>'Historical prices'!E1282</x:f>
        <x:v>1.05</x:v>
      </x:c>
      <x:c r="I1282" s="6" t="n">
        <x:f>'Historical prices'!D1282</x:f>
        <x:v>0.20190000000000002</x:v>
      </x:c>
      <x:c r="J1282" s="13" t="n">
        <x:f>D1282*I1282*H1282</x:f>
        <x:v>0.04874118375</x:v>
      </x:c>
      <x:c r="K1282" s="13" t="n">
        <x:f>E1282*I1282*H1282</x:f>
        <x:v>0.05086113375000001</x:v>
      </x:c>
      <x:c r="L1282" s="1" t="str">
        <x:f>TEXT(A1282,"mmm yyyy")</x:f>
        <x:v>Jun 2026</x:v>
      </x:c>
    </x:row>
    <x:row r="1283" ht="21" customHeight="1">
      <x:c r="A1283" s="10" t="n">
        <x:v>46175</x:v>
      </x:c>
      <x:c r="B1283" s="1" t="n">
        <x:v>5.5</x:v>
      </x:c>
      <x:c r="C1283" s="1" t="n">
        <x:v>6</x:v>
      </x:c>
      <x:c r="D1283" s="12" t="n">
        <x:v>0.035333333333333335</x:v>
      </x:c>
      <x:c r="E1283" s="12" t="n">
        <x:v>0.3133333333333333</x:v>
      </x:c>
      <x:c r="F1283" s="12" t="n">
        <x:v>0.27475</x:v>
      </x:c>
      <x:c r="G1283" s="12" t="n">
        <x:v>0</x:v>
      </x:c>
      <x:c r="H1283" s="1" t="n">
        <x:f>'Historical prices'!E1283</x:f>
        <x:v>1.05</x:v>
      </x:c>
      <x:c r="I1283" s="6" t="n">
        <x:f>'Historical prices'!D1283</x:f>
        <x:v>0.2101</x:v>
      </x:c>
      <x:c r="J1283" s="13" t="n">
        <x:f>D1283*I1283*H1283</x:f>
        <x:v>0.007794710000000001</x:v>
      </x:c>
      <x:c r="K1283" s="13" t="n">
        <x:f>E1283*I1283*H1283</x:f>
        <x:v>0.0691229</x:v>
      </x:c>
      <x:c r="L1283" s="1" t="str">
        <x:f>TEXT(A1283,"mmm yyyy")</x:f>
        <x:v>Jun 2026</x:v>
      </x:c>
    </x:row>
    <x:row r="1284" ht="21" customHeight="1">
      <x:c r="A1284" s="10" t="n">
        <x:v>46175</x:v>
      </x:c>
      <x:c r="B1284" s="1" t="n">
        <x:v>6</x:v>
      </x:c>
      <x:c r="C1284" s="1" t="n">
        <x:v>6</x:v>
      </x:c>
      <x:c r="D1284" s="12" t="n">
        <x:v>0.13016666666666665</x:v>
      </x:c>
      <x:c r="E1284" s="12" t="n">
        <x:v>0.5091666666666667</x:v>
      </x:c>
      <x:c r="F1284" s="12" t="n">
        <x:v>0.3709166666666667</x:v>
      </x:c>
      <x:c r="G1284" s="12" t="n">
        <x:v>0</x:v>
      </x:c>
      <x:c r="H1284" s="1" t="n">
        <x:f>'Historical prices'!E1284</x:f>
        <x:v>1.05</x:v>
      </x:c>
      <x:c r="I1284" s="6" t="n">
        <x:f>'Historical prices'!D1284</x:f>
        <x:v>0.20980000000000001</x:v>
      </x:c>
      <x:c r="J1284" s="13" t="n">
        <x:f>D1284*I1284*H1284</x:f>
        <x:v>0.028674415</x:v>
      </x:c>
      <x:c r="K1284" s="13" t="n">
        <x:f>E1284*I1284*H1284</x:f>
        <x:v>0.11216432500000001</x:v>
      </x:c>
      <x:c r="L1284" s="1" t="str">
        <x:f>TEXT(A1284,"mmm yyyy")</x:f>
        <x:v>Jun 2026</x:v>
      </x:c>
    </x:row>
    <x:row r="1285" ht="21" customHeight="1">
      <x:c r="A1285" s="10" t="n">
        <x:v>46175</x:v>
      </x:c>
      <x:c r="B1285" s="1" t="n">
        <x:v>6.5</x:v>
      </x:c>
      <x:c r="C1285" s="1" t="n">
        <x:v>6</x:v>
      </x:c>
      <x:c r="D1285" s="12" t="n">
        <x:v>0.3846666666666666</x:v>
      </x:c>
      <x:c r="E1285" s="12" t="n">
        <x:v>0.3956666666666666</x:v>
      </x:c>
      <x:c r="F1285" s="12" t="n">
        <x:v>0</x:v>
      </x:c>
      <x:c r="G1285" s="12" t="n">
        <x:v>0</x:v>
      </x:c>
      <x:c r="H1285" s="1" t="n">
        <x:f>'Historical prices'!E1285</x:f>
        <x:v>1.05</x:v>
      </x:c>
      <x:c r="I1285" s="6" t="n">
        <x:f>'Historical prices'!D1285</x:f>
        <x:v>0.2274</x:v>
      </x:c>
      <x:c r="J1285" s="13" t="n">
        <x:f>D1285*I1285*H1285</x:f>
        <x:v>0.09184685999999999</x:v>
      </x:c>
      <x:c r="K1285" s="13" t="n">
        <x:f>E1285*I1285*H1285</x:f>
        <x:v>0.09447333</x:v>
      </x:c>
      <x:c r="L1285" s="1" t="str">
        <x:f>TEXT(A1285,"mmm yyyy")</x:f>
        <x:v>Jun 2026</x:v>
      </x:c>
    </x:row>
    <x:row r="1286" ht="21" customHeight="1">
      <x:c r="A1286" s="10" t="n">
        <x:v>46175</x:v>
      </x:c>
      <x:c r="B1286" s="1" t="n">
        <x:v>7</x:v>
      </x:c>
      <x:c r="C1286" s="1" t="n">
        <x:v>6</x:v>
      </x:c>
      <x:c r="D1286" s="12" t="n">
        <x:v>0.41008333333333336</x:v>
      </x:c>
      <x:c r="E1286" s="12" t="n">
        <x:v>0.4200833333333333</x:v>
      </x:c>
      <x:c r="F1286" s="12" t="n">
        <x:v>0</x:v>
      </x:c>
      <x:c r="G1286" s="12" t="n">
        <x:v>0</x:v>
      </x:c>
      <x:c r="H1286" s="1" t="n">
        <x:f>'Historical prices'!E1286</x:f>
        <x:v>1.05</x:v>
      </x:c>
      <x:c r="I1286" s="6" t="n">
        <x:f>'Historical prices'!D1286</x:f>
        <x:v>0.2354</x:v>
      </x:c>
      <x:c r="J1286" s="13" t="n">
        <x:f>D1286*I1286*H1286</x:f>
        <x:v>0.1013602975</x:v>
      </x:c>
      <x:c r="K1286" s="13" t="n">
        <x:f>E1286*I1286*H1286</x:f>
        <x:v>0.1038319975</x:v>
      </x:c>
      <x:c r="L1286" s="1" t="str">
        <x:f>TEXT(A1286,"mmm yyyy")</x:f>
        <x:v>Jun 2026</x:v>
      </x:c>
    </x:row>
    <x:row r="1287" ht="21" customHeight="1">
      <x:c r="A1287" s="10" t="n">
        <x:v>46175</x:v>
      </x:c>
      <x:c r="B1287" s="1" t="n">
        <x:v>7.5</x:v>
      </x:c>
      <x:c r="C1287" s="1" t="n">
        <x:v>6</x:v>
      </x:c>
      <x:c r="D1287" s="12" t="n">
        <x:v>0.06916666666666667</x:v>
      </x:c>
      <x:c r="E1287" s="12" t="n">
        <x:v>0.5275</x:v>
      </x:c>
      <x:c r="F1287" s="12" t="n">
        <x:v>0.45575</x:v>
      </x:c>
      <x:c r="G1287" s="12" t="n">
        <x:v>0</x:v>
      </x:c>
      <x:c r="H1287" s="1" t="n">
        <x:f>'Historical prices'!E1287</x:f>
        <x:v>1.05</x:v>
      </x:c>
      <x:c r="I1287" s="6" t="n">
        <x:f>'Historical prices'!D1287</x:f>
        <x:v>0.2396</x:v>
      </x:c>
      <x:c r="J1287" s="13" t="n">
        <x:f>D1287*I1287*H1287</x:f>
        <x:v>0.017400950000000002</x:v>
      </x:c>
      <x:c r="K1287" s="13" t="n">
        <x:f>E1287*I1287*H1287</x:f>
        <x:v>0.13270845</x:v>
      </x:c>
      <x:c r="L1287" s="1" t="str">
        <x:f>TEXT(A1287,"mmm yyyy")</x:f>
        <x:v>Jun 2026</x:v>
      </x:c>
    </x:row>
    <x:row r="1288" ht="21" customHeight="1">
      <x:c r="A1288" s="10" t="n">
        <x:v>46175</x:v>
      </x:c>
      <x:c r="B1288" s="1" t="n">
        <x:v>8</x:v>
      </x:c>
      <x:c r="C1288" s="1" t="n">
        <x:v>6</x:v>
      </x:c>
      <x:c r="D1288" s="12" t="n">
        <x:v>0</x:v>
      </x:c>
      <x:c r="E1288" s="12" t="n">
        <x:v>0.47508333333333336</x:v>
      </x:c>
      <x:c r="F1288" s="12" t="n">
        <x:v>0.47500000000000003</x:v>
      </x:c>
      <x:c r="G1288" s="12" t="n">
        <x:v>0</x:v>
      </x:c>
      <x:c r="H1288" s="1" t="n">
        <x:f>'Historical prices'!E1288</x:f>
        <x:v>1.05</x:v>
      </x:c>
      <x:c r="I1288" s="6" t="n">
        <x:f>'Historical prices'!D1288</x:f>
        <x:v>0.24789999999999998</x:v>
      </x:c>
      <x:c r="J1288" s="13" t="n">
        <x:f>D1288*I1288*H1288</x:f>
        <x:v>0</x:v>
      </x:c>
      <x:c r="K1288" s="13" t="n">
        <x:f>E1288*I1288*H1288</x:f>
        <x:v>0.12366181625000001</x:v>
      </x:c>
      <x:c r="L1288" s="1" t="str">
        <x:f>TEXT(A1288,"mmm yyyy")</x:f>
        <x:v>Jun 2026</x:v>
      </x:c>
    </x:row>
    <x:row r="1289" ht="21" customHeight="1">
      <x:c r="A1289" s="10" t="n">
        <x:v>46175</x:v>
      </x:c>
      <x:c r="B1289" s="1" t="n">
        <x:v>8.5</x:v>
      </x:c>
      <x:c r="C1289" s="1" t="n">
        <x:v>6</x:v>
      </x:c>
      <x:c r="D1289" s="12" t="n">
        <x:v>0</x:v>
      </x:c>
      <x:c r="E1289" s="12" t="n">
        <x:v>0.57575</x:v>
      </x:c>
      <x:c r="F1289" s="12" t="n">
        <x:v>0.5756666666666667</x:v>
      </x:c>
      <x:c r="G1289" s="12" t="n">
        <x:v>0</x:v>
      </x:c>
      <x:c r="H1289" s="1" t="n">
        <x:f>'Historical prices'!E1289</x:f>
        <x:v>1.05</x:v>
      </x:c>
      <x:c r="I1289" s="6" t="n">
        <x:f>'Historical prices'!D1289</x:f>
        <x:v>0.2415</x:v>
      </x:c>
      <x:c r="J1289" s="13" t="n">
        <x:f>D1289*I1289*H1289</x:f>
        <x:v>0</x:v>
      </x:c>
      <x:c r="K1289" s="13" t="n">
        <x:f>E1289*I1289*H1289</x:f>
        <x:v>0.14599580625</x:v>
      </x:c>
      <x:c r="L1289" s="1" t="str">
        <x:f>TEXT(A1289,"mmm yyyy")</x:f>
        <x:v>Jun 2026</x:v>
      </x:c>
    </x:row>
    <x:row r="1290" ht="21" customHeight="1">
      <x:c r="A1290" s="10" t="n">
        <x:v>46175</x:v>
      </x:c>
      <x:c r="B1290" s="1" t="n">
        <x:v>9</x:v>
      </x:c>
      <x:c r="C1290" s="1" t="n">
        <x:v>6</x:v>
      </x:c>
      <x:c r="D1290" s="12" t="n">
        <x:v>0</x:v>
      </x:c>
      <x:c r="E1290" s="12" t="n">
        <x:v>1.0089166666666667</x:v>
      </x:c>
      <x:c r="F1290" s="12" t="n">
        <x:v>1.0086666666666666</x:v>
      </x:c>
      <x:c r="G1290" s="12" t="n">
        <x:v>0</x:v>
      </x:c>
      <x:c r="H1290" s="1" t="n">
        <x:f>'Historical prices'!E1290</x:f>
        <x:v>1.05</x:v>
      </x:c>
      <x:c r="I1290" s="6" t="n">
        <x:f>'Historical prices'!D1290</x:f>
        <x:v>0.2438</x:v>
      </x:c>
      <x:c r="J1290" s="13" t="n">
        <x:f>D1290*I1290*H1290</x:f>
        <x:v>0</x:v>
      </x:c>
      <x:c r="K1290" s="13" t="n">
        <x:f>E1290*I1290*H1290</x:f>
        <x:v>0.2582725775</x:v>
      </x:c>
      <x:c r="L1290" s="1" t="str">
        <x:f>TEXT(A1290,"mmm yyyy")</x:f>
        <x:v>Jun 2026</x:v>
      </x:c>
    </x:row>
    <x:row r="1291" ht="21" customHeight="1">
      <x:c r="A1291" s="10" t="n">
        <x:v>46175</x:v>
      </x:c>
      <x:c r="B1291" s="1" t="n">
        <x:v>9.5</x:v>
      </x:c>
      <x:c r="C1291" s="1" t="n">
        <x:v>6</x:v>
      </x:c>
      <x:c r="D1291" s="12" t="n">
        <x:v>0</x:v>
      </x:c>
      <x:c r="E1291" s="12" t="n">
        <x:v>1.0348333333333333</x:v>
      </x:c>
      <x:c r="F1291" s="12" t="n">
        <x:v>1.0348333333333333</x:v>
      </x:c>
      <x:c r="G1291" s="12" t="n">
        <x:v>0</x:v>
      </x:c>
      <x:c r="H1291" s="1" t="n">
        <x:f>'Historical prices'!E1291</x:f>
        <x:v>1.05</x:v>
      </x:c>
      <x:c r="I1291" s="6" t="n">
        <x:f>'Historical prices'!D1291</x:f>
        <x:v>0.2396</x:v>
      </x:c>
      <x:c r="J1291" s="13" t="n">
        <x:f>D1291*I1291*H1291</x:f>
        <x:v>0</x:v>
      </x:c>
      <x:c r="K1291" s="13" t="n">
        <x:f>E1291*I1291*H1291</x:f>
        <x:v>0.26034337</x:v>
      </x:c>
      <x:c r="L1291" s="1" t="str">
        <x:f>TEXT(A1291,"mmm yyyy")</x:f>
        <x:v>Jun 2026</x:v>
      </x:c>
    </x:row>
    <x:row r="1292" ht="21" customHeight="1">
      <x:c r="A1292" s="10" t="n">
        <x:v>46175</x:v>
      </x:c>
      <x:c r="B1292" s="1" t="n">
        <x:v>10</x:v>
      </x:c>
      <x:c r="C1292" s="1" t="n">
        <x:v>6</x:v>
      </x:c>
      <x:c r="D1292" s="12" t="n">
        <x:v>0.74875</x:v>
      </x:c>
      <x:c r="E1292" s="12" t="n">
        <x:v>0.8686666666666667</x:v>
      </x:c>
      <x:c r="F1292" s="12" t="n">
        <x:v>0.10991666666666666</x:v>
      </x:c>
      <x:c r="G1292" s="12" t="n">
        <x:v>0</x:v>
      </x:c>
      <x:c r="H1292" s="1" t="n">
        <x:f>'Historical prices'!E1292</x:f>
        <x:v>1.05</x:v>
      </x:c>
      <x:c r="I1292" s="6" t="n">
        <x:f>'Historical prices'!D1292</x:f>
        <x:v>0.1996</x:v>
      </x:c>
      <x:c r="J1292" s="13" t="n">
        <x:f>D1292*I1292*H1292</x:f>
        <x:v>0.15692302500000002</x:v>
      </x:c>
      <x:c r="K1292" s="13" t="n">
        <x:f>E1292*I1292*H1292</x:f>
        <x:v>0.18205516</x:v>
      </x:c>
      <x:c r="L1292" s="1" t="str">
        <x:f>TEXT(A1292,"mmm yyyy")</x:f>
        <x:v>Jun 2026</x:v>
      </x:c>
    </x:row>
    <x:row r="1293" ht="21" customHeight="1">
      <x:c r="A1293" s="10" t="n">
        <x:v>46175</x:v>
      </x:c>
      <x:c r="B1293" s="1" t="n">
        <x:v>10.5</x:v>
      </x:c>
      <x:c r="C1293" s="1" t="n">
        <x:v>6</x:v>
      </x:c>
      <x:c r="D1293" s="12" t="n">
        <x:v>1.5117500000000001</x:v>
      </x:c>
      <x:c r="E1293" s="12" t="n">
        <x:v>1.52275</x:v>
      </x:c>
      <x:c r="F1293" s="12" t="n">
        <x:v>0</x:v>
      </x:c>
      <x:c r="G1293" s="12" t="n">
        <x:v>0</x:v>
      </x:c>
      <x:c r="H1293" s="1" t="n">
        <x:f>'Historical prices'!E1293</x:f>
        <x:v>1.05</x:v>
      </x:c>
      <x:c r="I1293" s="6" t="n">
        <x:f>'Historical prices'!D1293</x:f>
        <x:v>0.18350000000000002</x:v>
      </x:c>
      <x:c r="J1293" s="13" t="n">
        <x:f>D1293*I1293*H1293</x:f>
        <x:v>0.2912764312500001</x:v>
      </x:c>
      <x:c r="K1293" s="13" t="n">
        <x:f>E1293*I1293*H1293</x:f>
        <x:v>0.29339585625000003</x:v>
      </x:c>
      <x:c r="L1293" s="1" t="str">
        <x:f>TEXT(A1293,"mmm yyyy")</x:f>
        <x:v>Jun 2026</x:v>
      </x:c>
    </x:row>
    <x:row r="1294" ht="21" customHeight="1">
      <x:c r="A1294" s="10" t="n">
        <x:v>46175</x:v>
      </x:c>
      <x:c r="B1294" s="1" t="n">
        <x:v>11</x:v>
      </x:c>
      <x:c r="C1294" s="1" t="n">
        <x:v>6</x:v>
      </x:c>
      <x:c r="D1294" s="12" t="n">
        <x:v>0.6694999999999999</x:v>
      </x:c>
      <x:c r="E1294" s="12" t="n">
        <x:v>0.6805</x:v>
      </x:c>
      <x:c r="F1294" s="12" t="n">
        <x:v>0</x:v>
      </x:c>
      <x:c r="G1294" s="12" t="n">
        <x:v>0</x:v>
      </x:c>
      <x:c r="H1294" s="1" t="n">
        <x:f>'Historical prices'!E1294</x:f>
        <x:v>1.05</x:v>
      </x:c>
      <x:c r="I1294" s="6" t="n">
        <x:f>'Historical prices'!D1294</x:f>
        <x:v>0.1766</x:v>
      </x:c>
      <x:c r="J1294" s="13" t="n">
        <x:f>D1294*I1294*H1294</x:f>
        <x:v>0.12414538499999998</x:v>
      </x:c>
      <x:c r="K1294" s="13" t="n">
        <x:f>E1294*I1294*H1294</x:f>
        <x:v>0.12618511500000001</x:v>
      </x:c>
      <x:c r="L1294" s="1" t="str">
        <x:f>TEXT(A1294,"mmm yyyy")</x:f>
        <x:v>Jun 2026</x:v>
      </x:c>
    </x:row>
    <x:row r="1295" ht="21" customHeight="1">
      <x:c r="A1295" s="10" t="n">
        <x:v>46175</x:v>
      </x:c>
      <x:c r="B1295" s="1" t="n">
        <x:v>11.5</x:v>
      </x:c>
      <x:c r="C1295" s="1" t="n">
        <x:v>6</x:v>
      </x:c>
      <x:c r="D1295" s="12" t="n">
        <x:v>0.79125</x:v>
      </x:c>
      <x:c r="E1295" s="12" t="n">
        <x:v>0.80325</x:v>
      </x:c>
      <x:c r="F1295" s="12" t="n">
        <x:v>0</x:v>
      </x:c>
      <x:c r="G1295" s="12" t="n">
        <x:v>0</x:v>
      </x:c>
      <x:c r="H1295" s="1" t="n">
        <x:f>'Historical prices'!E1295</x:f>
        <x:v>1.05</x:v>
      </x:c>
      <x:c r="I1295" s="6" t="n">
        <x:f>'Historical prices'!D1295</x:f>
        <x:v>0.1722</x:v>
      </x:c>
      <x:c r="J1295" s="13" t="n">
        <x:f>D1295*I1295*H1295</x:f>
        <x:v>0.1430659125</x:v>
      </x:c>
      <x:c r="K1295" s="13" t="n">
        <x:f>E1295*I1295*H1295</x:f>
        <x:v>0.1452356325</x:v>
      </x:c>
      <x:c r="L1295" s="1" t="str">
        <x:f>TEXT(A1295,"mmm yyyy")</x:f>
        <x:v>Jun 2026</x:v>
      </x:c>
    </x:row>
    <x:row r="1296" ht="21" customHeight="1">
      <x:c r="A1296" s="10" t="n">
        <x:v>46175</x:v>
      </x:c>
      <x:c r="B1296" s="1" t="n">
        <x:v>12</x:v>
      </x:c>
      <x:c r="C1296" s="1" t="n">
        <x:v>6</x:v>
      </x:c>
      <x:c r="D1296" s="12" t="n">
        <x:v>0.81625</x:v>
      </x:c>
      <x:c r="E1296" s="12" t="n">
        <x:v>0.82725</x:v>
      </x:c>
      <x:c r="F1296" s="12" t="n">
        <x:v>0</x:v>
      </x:c>
      <x:c r="G1296" s="12" t="n">
        <x:v>0</x:v>
      </x:c>
      <x:c r="H1296" s="1" t="n">
        <x:f>'Historical prices'!E1296</x:f>
        <x:v>1.05</x:v>
      </x:c>
      <x:c r="I1296" s="6" t="n">
        <x:f>'Historical prices'!D1296</x:f>
        <x:v>0.16820000000000002</x:v>
      </x:c>
      <x:c r="J1296" s="13" t="n">
        <x:f>D1296*I1296*H1296</x:f>
        <x:v>0.1441579125</x:v>
      </x:c>
      <x:c r="K1296" s="13" t="n">
        <x:f>E1296*I1296*H1296</x:f>
        <x:v>0.14610062250000003</x:v>
      </x:c>
      <x:c r="L1296" s="1" t="str">
        <x:f>TEXT(A1296,"mmm yyyy")</x:f>
        <x:v>Jun 2026</x:v>
      </x:c>
    </x:row>
    <x:row r="1297" ht="21" customHeight="1">
      <x:c r="A1297" s="10" t="n">
        <x:v>46175</x:v>
      </x:c>
      <x:c r="B1297" s="1" t="n">
        <x:v>12.5</x:v>
      </x:c>
      <x:c r="C1297" s="1" t="n">
        <x:v>6</x:v>
      </x:c>
      <x:c r="D1297" s="12" t="n">
        <x:v>0.4806666666666667</x:v>
      </x:c>
      <x:c r="E1297" s="12" t="n">
        <x:v>0.4906666666666667</x:v>
      </x:c>
      <x:c r="F1297" s="12" t="n">
        <x:v>0</x:v>
      </x:c>
      <x:c r="G1297" s="12" t="n">
        <x:v>0</x:v>
      </x:c>
      <x:c r="H1297" s="1" t="n">
        <x:f>'Historical prices'!E1297</x:f>
        <x:v>1.05</x:v>
      </x:c>
      <x:c r="I1297" s="6" t="n">
        <x:f>'Historical prices'!D1297</x:f>
        <x:v>0.1637</x:v>
      </x:c>
      <x:c r="J1297" s="13" t="n">
        <x:f>D1297*I1297*H1297</x:f>
        <x:v>0.08261939000000001</x:v>
      </x:c>
      <x:c r="K1297" s="13" t="n">
        <x:f>E1297*I1297*H1297</x:f>
        <x:v>0.08433824000000002</x:v>
      </x:c>
      <x:c r="L1297" s="1" t="str">
        <x:f>TEXT(A1297,"mmm yyyy")</x:f>
        <x:v>Jun 2026</x:v>
      </x:c>
    </x:row>
    <x:row r="1298" ht="21" customHeight="1">
      <x:c r="A1298" s="10" t="n">
        <x:v>46175</x:v>
      </x:c>
      <x:c r="B1298" s="1" t="n">
        <x:v>13</x:v>
      </x:c>
      <x:c r="C1298" s="1" t="n">
        <x:v>6</x:v>
      </x:c>
      <x:c r="D1298" s="12" t="n">
        <x:v>0.5275833333333333</x:v>
      </x:c>
      <x:c r="E1298" s="12" t="n">
        <x:v>0.5395833333333333</x:v>
      </x:c>
      <x:c r="F1298" s="12" t="n">
        <x:v>0</x:v>
      </x:c>
      <x:c r="G1298" s="12" t="n">
        <x:v>0</x:v>
      </x:c>
      <x:c r="H1298" s="1" t="n">
        <x:f>'Historical prices'!E1298</x:f>
        <x:v>1.05</x:v>
      </x:c>
      <x:c r="I1298" s="6" t="n">
        <x:f>'Historical prices'!D1298</x:f>
        <x:v>0.16140000000000002</x:v>
      </x:c>
      <x:c r="J1298" s="13" t="n">
        <x:f>D1298*I1298*H1298</x:f>
        <x:v>0.0894095475</x:v>
      </x:c>
      <x:c r="K1298" s="13" t="n">
        <x:f>E1298*I1298*H1298</x:f>
        <x:v>0.09144318750000001</x:v>
      </x:c>
      <x:c r="L1298" s="1" t="str">
        <x:f>TEXT(A1298,"mmm yyyy")</x:f>
        <x:v>Jun 2026</x:v>
      </x:c>
    </x:row>
    <x:row r="1299" ht="21" customHeight="1">
      <x:c r="A1299" s="10" t="n">
        <x:v>46175</x:v>
      </x:c>
      <x:c r="B1299" s="1" t="n">
        <x:v>13.5</x:v>
      </x:c>
      <x:c r="C1299" s="1" t="n">
        <x:v>6</x:v>
      </x:c>
      <x:c r="D1299" s="12" t="n">
        <x:v>4.668416666666666</x:v>
      </x:c>
      <x:c r="E1299" s="12" t="n">
        <x:v>0.7854166666666668</x:v>
      </x:c>
      <x:c r="F1299" s="12" t="n">
        <x:v>0</x:v>
      </x:c>
      <x:c r="G1299" s="12" t="n">
        <x:v>3.8839999999999995</x:v>
      </x:c>
      <x:c r="H1299" s="1" t="n">
        <x:f>'Historical prices'!E1299</x:f>
        <x:v>1.05</x:v>
      </x:c>
      <x:c r="I1299" s="6" t="n">
        <x:f>'Historical prices'!D1299</x:f>
        <x:v>0.1594</x:v>
      </x:c>
      <x:c r="J1299" s="13" t="n">
        <x:f>D1299*I1299*H1299</x:f>
        <x:v>0.7813528974999999</x:v>
      </x:c>
      <x:c r="K1299" s="13" t="n">
        <x:f>E1299*I1299*H1299</x:f>
        <x:v>0.13145518750000001</x:v>
      </x:c>
      <x:c r="L1299" s="1" t="str">
        <x:f>TEXT(A1299,"mmm yyyy")</x:f>
        <x:v>Jun 2026</x:v>
      </x:c>
    </x:row>
    <x:row r="1300" ht="21" customHeight="1">
      <x:c r="A1300" s="10" t="n">
        <x:v>46175</x:v>
      </x:c>
      <x:c r="B1300" s="1" t="n">
        <x:v>14</x:v>
      </x:c>
      <x:c r="C1300" s="1" t="n">
        <x:v>6</x:v>
      </x:c>
      <x:c r="D1300" s="12" t="n">
        <x:v>1.24875</x:v>
      </x:c>
      <x:c r="E1300" s="12" t="n">
        <x:v>0.47475</x:v>
      </x:c>
      <x:c r="F1300" s="12" t="n">
        <x:v>0</x:v>
      </x:c>
      <x:c r="G1300" s="12" t="n">
        <x:v>0.775</x:v>
      </x:c>
      <x:c r="H1300" s="1" t="n">
        <x:f>'Historical prices'!E1300</x:f>
        <x:v>1.05</x:v>
      </x:c>
      <x:c r="I1300" s="6" t="n">
        <x:f>'Historical prices'!D1300</x:f>
        <x:v>0.16399999999999998</x:v>
      </x:c>
      <x:c r="J1300" s="13" t="n">
        <x:f>D1300*I1300*H1300</x:f>
        <x:v>0.21503475</x:v>
      </x:c>
      <x:c r="K1300" s="13" t="n">
        <x:f>E1300*I1300*H1300</x:f>
        <x:v>0.08175195</x:v>
      </x:c>
      <x:c r="L1300" s="1" t="str">
        <x:f>TEXT(A1300,"mmm yyyy")</x:f>
        <x:v>Jun 2026</x:v>
      </x:c>
    </x:row>
    <x:row r="1301" ht="21" customHeight="1">
      <x:c r="A1301" s="10" t="n">
        <x:v>46175</x:v>
      </x:c>
      <x:c r="B1301" s="1" t="n">
        <x:v>14.5</x:v>
      </x:c>
      <x:c r="C1301" s="1" t="n">
        <x:v>6</x:v>
      </x:c>
      <x:c r="D1301" s="12" t="n">
        <x:v>4.46925</x:v>
      </x:c>
      <x:c r="E1301" s="12" t="n">
        <x:v>0.63925</x:v>
      </x:c>
      <x:c r="F1301" s="12" t="n">
        <x:v>0</x:v>
      </x:c>
      <x:c r="G1301" s="12" t="n">
        <x:v>3.8320000000000003</x:v>
      </x:c>
      <x:c r="H1301" s="1" t="n">
        <x:f>'Historical prices'!E1301</x:f>
        <x:v>1.05</x:v>
      </x:c>
      <x:c r="I1301" s="6" t="n">
        <x:f>'Historical prices'!D1301</x:f>
        <x:v>0.1562</x:v>
      </x:c>
      <x:c r="J1301" s="13" t="n">
        <x:f>D1301*I1301*H1301</x:f>
        <x:v>0.7330016925</x:v>
      </x:c>
      <x:c r="K1301" s="13" t="n">
        <x:f>E1301*I1301*H1301</x:f>
        <x:v>0.10484339250000001</x:v>
      </x:c>
      <x:c r="L1301" s="1" t="str">
        <x:f>TEXT(A1301,"mmm yyyy")</x:f>
        <x:v>Jun 2026</x:v>
      </x:c>
    </x:row>
    <x:row r="1302" ht="21" customHeight="1">
      <x:c r="A1302" s="10" t="n">
        <x:v>46175</x:v>
      </x:c>
      <x:c r="B1302" s="1" t="n">
        <x:v>15</x:v>
      </x:c>
      <x:c r="C1302" s="1" t="n">
        <x:v>6</x:v>
      </x:c>
      <x:c r="D1302" s="12" t="n">
        <x:v>1.3114166666666667</x:v>
      </x:c>
      <x:c r="E1302" s="12" t="n">
        <x:v>0.4944166666666666</x:v>
      </x:c>
      <x:c r="F1302" s="12" t="n">
        <x:v>0</x:v>
      </x:c>
      <x:c r="G1302" s="12" t="n">
        <x:v>0.8210000000000001</x:v>
      </x:c>
      <x:c r="H1302" s="1" t="n">
        <x:f>'Historical prices'!E1302</x:f>
        <x:v>1.05</x:v>
      </x:c>
      <x:c r="I1302" s="6" t="n">
        <x:f>'Historical prices'!D1302</x:f>
        <x:v>0.1638</x:v>
      </x:c>
      <x:c r="J1302" s="13" t="n">
        <x:f>D1302*I1302*H1302</x:f>
        <x:v>0.2255505525</x:v>
      </x:c>
      <x:c r="K1302" s="13" t="n">
        <x:f>E1302*I1302*H1302</x:f>
        <x:v>0.08503472249999999</x:v>
      </x:c>
      <x:c r="L1302" s="1" t="str">
        <x:f>TEXT(A1302,"mmm yyyy")</x:f>
        <x:v>Jun 2026</x:v>
      </x:c>
    </x:row>
    <x:row r="1303" ht="21" customHeight="1">
      <x:c r="A1303" s="10" t="n">
        <x:v>46175</x:v>
      </x:c>
      <x:c r="B1303" s="1" t="n">
        <x:v>15.5</x:v>
      </x:c>
      <x:c r="C1303" s="1" t="n">
        <x:v>6</x:v>
      </x:c>
      <x:c r="D1303" s="12" t="n">
        <x:v>0.41633333333333333</x:v>
      </x:c>
      <x:c r="E1303" s="12" t="n">
        <x:v>0.4673333333333333</x:v>
      </x:c>
      <x:c r="F1303" s="12" t="n">
        <x:v>0.044</x:v>
      </x:c>
      <x:c r="G1303" s="12" t="n">
        <x:v>0</x:v>
      </x:c>
      <x:c r="H1303" s="1" t="n">
        <x:f>'Historical prices'!E1303</x:f>
        <x:v>1.05</x:v>
      </x:c>
      <x:c r="I1303" s="6" t="n">
        <x:f>'Historical prices'!D1303</x:f>
        <x:v>0.16440000000000002</x:v>
      </x:c>
      <x:c r="J1303" s="13" t="n">
        <x:f>D1303*I1303*H1303</x:f>
        <x:v>0.07186746000000002</x:v>
      </x:c>
      <x:c r="K1303" s="13" t="n">
        <x:f>E1303*I1303*H1303</x:f>
        <x:v>0.08067108000000002</x:v>
      </x:c>
      <x:c r="L1303" s="1" t="str">
        <x:f>TEXT(A1303,"mmm yyyy")</x:f>
        <x:v>Jun 2026</x:v>
      </x:c>
    </x:row>
    <x:row r="1304" ht="21" customHeight="1">
      <x:c r="A1304" s="10" t="n">
        <x:v>46175</x:v>
      </x:c>
      <x:c r="B1304" s="1" t="n">
        <x:v>16</x:v>
      </x:c>
      <x:c r="C1304" s="1" t="n">
        <x:v>6</x:v>
      </x:c>
      <x:c r="D1304" s="12" t="n">
        <x:v>0.05591666666666667</x:v>
      </x:c>
      <x:c r="E1304" s="12" t="n">
        <x:v>0.4989166666666667</x:v>
      </x:c>
      <x:c r="F1304" s="12" t="n">
        <x:v>0.44275000000000003</x:v>
      </x:c>
      <x:c r="G1304" s="12" t="n">
        <x:v>0</x:v>
      </x:c>
      <x:c r="H1304" s="1" t="n">
        <x:f>'Historical prices'!E1304</x:f>
        <x:v>1.05</x:v>
      </x:c>
      <x:c r="I1304" s="6" t="n">
        <x:f>'Historical prices'!D1304</x:f>
        <x:v>0.306</x:v>
      </x:c>
      <x:c r="J1304" s="13" t="n">
        <x:f>D1304*I1304*H1304</x:f>
        <x:v>0.017966025</x:v>
      </x:c>
      <x:c r="K1304" s="13" t="n">
        <x:f>E1304*I1304*H1304</x:f>
        <x:v>0.160301925</x:v>
      </x:c>
      <x:c r="L1304" s="1" t="str">
        <x:f>TEXT(A1304,"mmm yyyy")</x:f>
        <x:v>Jun 2026</x:v>
      </x:c>
    </x:row>
    <x:row r="1305" ht="21" customHeight="1">
      <x:c r="A1305" s="10" t="n">
        <x:v>46175</x:v>
      </x:c>
      <x:c r="B1305" s="1" t="n">
        <x:v>16.5</x:v>
      </x:c>
      <x:c r="C1305" s="1" t="n">
        <x:v>6</x:v>
      </x:c>
      <x:c r="D1305" s="12" t="n">
        <x:v>0</x:v>
      </x:c>
      <x:c r="E1305" s="12" t="n">
        <x:v>0.6008333333333332</x:v>
      </x:c>
      <x:c r="F1305" s="12" t="n">
        <x:v>0.6008333333333332</x:v>
      </x:c>
      <x:c r="G1305" s="12" t="n">
        <x:v>0</x:v>
      </x:c>
      <x:c r="H1305" s="1" t="n">
        <x:f>'Historical prices'!E1305</x:f>
        <x:v>1.05</x:v>
      </x:c>
      <x:c r="I1305" s="6" t="n">
        <x:f>'Historical prices'!D1305</x:f>
        <x:v>0.3134</x:v>
      </x:c>
      <x:c r="J1305" s="13" t="n">
        <x:f>D1305*I1305*H1305</x:f>
        <x:v>0</x:v>
      </x:c>
      <x:c r="K1305" s="13" t="n">
        <x:f>E1305*I1305*H1305</x:f>
        <x:v>0.19771622499999997</x:v>
      </x:c>
      <x:c r="L1305" s="1" t="str">
        <x:f>TEXT(A1305,"mmm yyyy")</x:f>
        <x:v>Jun 2026</x:v>
      </x:c>
    </x:row>
    <x:row r="1306" ht="21" customHeight="1">
      <x:c r="A1306" s="10" t="n">
        <x:v>46175</x:v>
      </x:c>
      <x:c r="B1306" s="1" t="n">
        <x:v>17</x:v>
      </x:c>
      <x:c r="C1306" s="1" t="n">
        <x:v>6</x:v>
      </x:c>
      <x:c r="D1306" s="12" t="n">
        <x:v>0</x:v>
      </x:c>
      <x:c r="E1306" s="12" t="n">
        <x:v>0.4615</x:v>
      </x:c>
      <x:c r="F1306" s="12" t="n">
        <x:v>0.4615</x:v>
      </x:c>
      <x:c r="G1306" s="12" t="n">
        <x:v>0</x:v>
      </x:c>
      <x:c r="H1306" s="1" t="n">
        <x:f>'Historical prices'!E1306</x:f>
        <x:v>1.05</x:v>
      </x:c>
      <x:c r="I1306" s="6" t="n">
        <x:f>'Historical prices'!D1306</x:f>
        <x:v>0.326</x:v>
      </x:c>
      <x:c r="J1306" s="13" t="n">
        <x:f>D1306*I1306*H1306</x:f>
        <x:v>0</x:v>
      </x:c>
      <x:c r="K1306" s="13" t="n">
        <x:f>E1306*I1306*H1306</x:f>
        <x:v>0.15797145</x:v>
      </x:c>
      <x:c r="L1306" s="1" t="str">
        <x:f>TEXT(A1306,"mmm yyyy")</x:f>
        <x:v>Jun 2026</x:v>
      </x:c>
    </x:row>
    <x:row r="1307" ht="21" customHeight="1">
      <x:c r="A1307" s="10" t="n">
        <x:v>46175</x:v>
      </x:c>
      <x:c r="B1307" s="1" t="n">
        <x:v>17.5</x:v>
      </x:c>
      <x:c r="C1307" s="1" t="n">
        <x:v>6</x:v>
      </x:c>
      <x:c r="D1307" s="12" t="n">
        <x:v>0</x:v>
      </x:c>
      <x:c r="E1307" s="12" t="n">
        <x:v>0.4388333333333334</x:v>
      </x:c>
      <x:c r="F1307" s="12" t="n">
        <x:v>0.4387500000000001</x:v>
      </x:c>
      <x:c r="G1307" s="12" t="n">
        <x:v>0</x:v>
      </x:c>
      <x:c r="H1307" s="1" t="n">
        <x:f>'Historical prices'!E1307</x:f>
        <x:v>1.05</x:v>
      </x:c>
      <x:c r="I1307" s="6" t="n">
        <x:f>'Historical prices'!D1307</x:f>
        <x:v>0.3337</x:v>
      </x:c>
      <x:c r="J1307" s="13" t="n">
        <x:f>D1307*I1307*H1307</x:f>
        <x:v>0</x:v>
      </x:c>
      <x:c r="K1307" s="13" t="n">
        <x:f>E1307*I1307*H1307</x:f>
        <x:v>0.15376061750000003</x:v>
      </x:c>
      <x:c r="L1307" s="1" t="str">
        <x:f>TEXT(A1307,"mmm yyyy")</x:f>
        <x:v>Jun 2026</x:v>
      </x:c>
    </x:row>
    <x:row r="1308" ht="21" customHeight="1">
      <x:c r="A1308" s="10" t="n">
        <x:v>46175</x:v>
      </x:c>
      <x:c r="B1308" s="1" t="n">
        <x:v>18</x:v>
      </x:c>
      <x:c r="C1308" s="1" t="n">
        <x:v>6</x:v>
      </x:c>
      <x:c r="D1308" s="12" t="n">
        <x:v>0</x:v>
      </x:c>
      <x:c r="E1308" s="12" t="n">
        <x:v>0.8436666666666668</x:v>
      </x:c>
      <x:c r="F1308" s="12" t="n">
        <x:v>0.8434166666666667</x:v>
      </x:c>
      <x:c r="G1308" s="12" t="n">
        <x:v>0</x:v>
      </x:c>
      <x:c r="H1308" s="1" t="n">
        <x:f>'Historical prices'!E1308</x:f>
        <x:v>1.05</x:v>
      </x:c>
      <x:c r="I1308" s="6" t="n">
        <x:f>'Historical prices'!D1308</x:f>
        <x:v>0.3678</x:v>
      </x:c>
      <x:c r="J1308" s="13" t="n">
        <x:f>D1308*I1308*H1308</x:f>
        <x:v>0</x:v>
      </x:c>
      <x:c r="K1308" s="13" t="n">
        <x:f>E1308*I1308*H1308</x:f>
        <x:v>0.3258156300000001</x:v>
      </x:c>
      <x:c r="L1308" s="1" t="str">
        <x:f>TEXT(A1308,"mmm yyyy")</x:f>
        <x:v>Jun 2026</x:v>
      </x:c>
    </x:row>
    <x:row r="1309" ht="21" customHeight="1">
      <x:c r="A1309" s="10" t="n">
        <x:v>46175</x:v>
      </x:c>
      <x:c r="B1309" s="1" t="n">
        <x:v>18.5</x:v>
      </x:c>
      <x:c r="C1309" s="1" t="n">
        <x:v>6</x:v>
      </x:c>
      <x:c r="D1309" s="12" t="n">
        <x:v>0</x:v>
      </x:c>
      <x:c r="E1309" s="12" t="n">
        <x:v>1.2296666666666667</x:v>
      </x:c>
      <x:c r="F1309" s="12" t="n">
        <x:v>1.2294166666666668</x:v>
      </x:c>
      <x:c r="G1309" s="12" t="n">
        <x:v>0</x:v>
      </x:c>
      <x:c r="H1309" s="1" t="n">
        <x:f>'Historical prices'!E1309</x:f>
        <x:v>1.05</x:v>
      </x:c>
      <x:c r="I1309" s="6" t="n">
        <x:f>'Historical prices'!D1309</x:f>
        <x:v>0.36590000000000006</x:v>
      </x:c>
      <x:c r="J1309" s="13" t="n">
        <x:f>D1309*I1309*H1309</x:f>
        <x:v>0</x:v>
      </x:c>
      <x:c r="K1309" s="13" t="n">
        <x:f>E1309*I1309*H1309</x:f>
        <x:v>0.4724317850000001</x:v>
      </x:c>
      <x:c r="L1309" s="1" t="str">
        <x:f>TEXT(A1309,"mmm yyyy")</x:f>
        <x:v>Jun 2026</x:v>
      </x:c>
    </x:row>
    <x:row r="1310" ht="21" customHeight="1">
      <x:c r="A1310" s="10" t="n">
        <x:v>46175</x:v>
      </x:c>
      <x:c r="B1310" s="1" t="n">
        <x:v>19</x:v>
      </x:c>
      <x:c r="C1310" s="1" t="n">
        <x:v>6</x:v>
      </x:c>
      <x:c r="D1310" s="12" t="n">
        <x:v>0</x:v>
      </x:c>
      <x:c r="E1310" s="12" t="n">
        <x:v>0.7366666666666666</x:v>
      </x:c>
      <x:c r="F1310" s="12" t="n">
        <x:v>0.7364999999999999</x:v>
      </x:c>
      <x:c r="G1310" s="12" t="n">
        <x:v>0</x:v>
      </x:c>
      <x:c r="H1310" s="1" t="n">
        <x:f>'Historical prices'!E1310</x:f>
        <x:v>1.05</x:v>
      </x:c>
      <x:c r="I1310" s="6" t="n">
        <x:f>'Historical prices'!D1310</x:f>
        <x:v>0.24350000000000002</x:v>
      </x:c>
      <x:c r="J1310" s="13" t="n">
        <x:f>D1310*I1310*H1310</x:f>
        <x:v>0</x:v>
      </x:c>
      <x:c r="K1310" s="13" t="n">
        <x:f>E1310*I1310*H1310</x:f>
        <x:v>0.18834725000000002</x:v>
      </x:c>
      <x:c r="L1310" s="1" t="str">
        <x:f>TEXT(A1310,"mmm yyyy")</x:f>
        <x:v>Jun 2026</x:v>
      </x:c>
    </x:row>
    <x:row r="1311" ht="21" customHeight="1">
      <x:c r="A1311" s="10" t="n">
        <x:v>46175</x:v>
      </x:c>
      <x:c r="B1311" s="1" t="n">
        <x:v>19.5</x:v>
      </x:c>
      <x:c r="C1311" s="1" t="n">
        <x:v>6</x:v>
      </x:c>
      <x:c r="D1311" s="12" t="n">
        <x:v>0</x:v>
      </x:c>
      <x:c r="E1311" s="12" t="n">
        <x:v>0.93775</x:v>
      </x:c>
      <x:c r="F1311" s="12" t="n">
        <x:v>0.9375833333333332</x:v>
      </x:c>
      <x:c r="G1311" s="12" t="n">
        <x:v>0</x:v>
      </x:c>
      <x:c r="H1311" s="1" t="n">
        <x:f>'Historical prices'!E1311</x:f>
        <x:v>1.05</x:v>
      </x:c>
      <x:c r="I1311" s="6" t="n">
        <x:f>'Historical prices'!D1311</x:f>
        <x:v>0.2443</x:v>
      </x:c>
      <x:c r="J1311" s="13" t="n">
        <x:f>D1311*I1311*H1311</x:f>
        <x:v>0</x:v>
      </x:c>
      <x:c r="K1311" s="13" t="n">
        <x:f>E1311*I1311*H1311</x:f>
        <x:v>0.24054694125</x:v>
      </x:c>
      <x:c r="L1311" s="1" t="str">
        <x:f>TEXT(A1311,"mmm yyyy")</x:f>
        <x:v>Jun 2026</x:v>
      </x:c>
    </x:row>
    <x:row r="1312" ht="21" customHeight="1">
      <x:c r="A1312" s="10" t="n">
        <x:v>46175</x:v>
      </x:c>
      <x:c r="B1312" s="1" t="n">
        <x:v>20</x:v>
      </x:c>
      <x:c r="C1312" s="1" t="n">
        <x:v>6</x:v>
      </x:c>
      <x:c r="D1312" s="12" t="n">
        <x:v>0</x:v>
      </x:c>
      <x:c r="E1312" s="12" t="n">
        <x:v>0.5848333333333333</x:v>
      </x:c>
      <x:c r="F1312" s="12" t="n">
        <x:v>0.5848333333333333</x:v>
      </x:c>
      <x:c r="G1312" s="12" t="n">
        <x:v>0</x:v>
      </x:c>
      <x:c r="H1312" s="1" t="n">
        <x:f>'Historical prices'!E1312</x:f>
        <x:v>1.05</x:v>
      </x:c>
      <x:c r="I1312" s="6" t="n">
        <x:f>'Historical prices'!D1312</x:f>
        <x:v>0.2438</x:v>
      </x:c>
      <x:c r="J1312" s="13" t="n">
        <x:f>D1312*I1312*H1312</x:f>
        <x:v>0</x:v>
      </x:c>
      <x:c r="K1312" s="13" t="n">
        <x:f>E1312*I1312*H1312</x:f>
        <x:v>0.149711485</x:v>
      </x:c>
      <x:c r="L1312" s="1" t="str">
        <x:f>TEXT(A1312,"mmm yyyy")</x:f>
        <x:v>Jun 2026</x:v>
      </x:c>
    </x:row>
    <x:row r="1313" ht="21" customHeight="1">
      <x:c r="A1313" s="10" t="n">
        <x:v>46175</x:v>
      </x:c>
      <x:c r="B1313" s="1" t="n">
        <x:v>20.5</x:v>
      </x:c>
      <x:c r="C1313" s="1" t="n">
        <x:v>6</x:v>
      </x:c>
      <x:c r="D1313" s="12" t="n">
        <x:v>0</x:v>
      </x:c>
      <x:c r="E1313" s="12" t="n">
        <x:v>0.5316666666666666</x:v>
      </x:c>
      <x:c r="F1313" s="12" t="n">
        <x:v>0.5316666666666666</x:v>
      </x:c>
      <x:c r="G1313" s="12" t="n">
        <x:v>0</x:v>
      </x:c>
      <x:c r="H1313" s="1" t="n">
        <x:f>'Historical prices'!E1313</x:f>
        <x:v>1.05</x:v>
      </x:c>
      <x:c r="I1313" s="6" t="n">
        <x:f>'Historical prices'!D1313</x:f>
        <x:v>0.24489999999999998</x:v>
      </x:c>
      <x:c r="J1313" s="13" t="n">
        <x:f>D1313*I1313*H1313</x:f>
        <x:v>0</x:v>
      </x:c>
      <x:c r="K1313" s="13" t="n">
        <x:f>E1313*I1313*H1313</x:f>
        <x:v>0.136715425</x:v>
      </x:c>
      <x:c r="L1313" s="1" t="str">
        <x:f>TEXT(A1313,"mmm yyyy")</x:f>
        <x:v>Jun 2026</x:v>
      </x:c>
    </x:row>
    <x:row r="1314" ht="21" customHeight="1">
      <x:c r="A1314" s="10" t="n">
        <x:v>46175</x:v>
      </x:c>
      <x:c r="B1314" s="1" t="n">
        <x:v>21</x:v>
      </x:c>
      <x:c r="C1314" s="1" t="n">
        <x:v>6</x:v>
      </x:c>
      <x:c r="D1314" s="12" t="n">
        <x:v>0</x:v>
      </x:c>
      <x:c r="E1314" s="12" t="n">
        <x:v>0.6489166666666667</x:v>
      </x:c>
      <x:c r="F1314" s="12" t="n">
        <x:v>0.6489166666666667</x:v>
      </x:c>
      <x:c r="G1314" s="12" t="n">
        <x:v>0</x:v>
      </x:c>
      <x:c r="H1314" s="1" t="n">
        <x:f>'Historical prices'!E1314</x:f>
        <x:v>1.05</x:v>
      </x:c>
      <x:c r="I1314" s="6" t="n">
        <x:f>'Historical prices'!D1314</x:f>
        <x:v>0.2438</x:v>
      </x:c>
      <x:c r="J1314" s="13" t="n">
        <x:f>D1314*I1314*H1314</x:f>
        <x:v>0</x:v>
      </x:c>
      <x:c r="K1314" s="13" t="n">
        <x:f>E1314*I1314*H1314</x:f>
        <x:v>0.1661161775</x:v>
      </x:c>
      <x:c r="L1314" s="1" t="str">
        <x:f>TEXT(A1314,"mmm yyyy")</x:f>
        <x:v>Jun 2026</x:v>
      </x:c>
    </x:row>
    <x:row r="1315" ht="21" customHeight="1">
      <x:c r="A1315" s="10" t="n">
        <x:v>46175</x:v>
      </x:c>
      <x:c r="B1315" s="1" t="n">
        <x:v>21.5</x:v>
      </x:c>
      <x:c r="C1315" s="1" t="n">
        <x:v>6</x:v>
      </x:c>
      <x:c r="D1315" s="12" t="n">
        <x:v>0</x:v>
      </x:c>
      <x:c r="E1315" s="12" t="n">
        <x:v>0.9599166666666666</x:v>
      </x:c>
      <x:c r="F1315" s="12" t="n">
        <x:v>0.9596666666666666</x:v>
      </x:c>
      <x:c r="G1315" s="12" t="n">
        <x:v>0</x:v>
      </x:c>
      <x:c r="H1315" s="1" t="n">
        <x:f>'Historical prices'!E1315</x:f>
        <x:v>1.05</x:v>
      </x:c>
      <x:c r="I1315" s="6" t="n">
        <x:f>'Historical prices'!D1315</x:f>
        <x:v>0.22699999999999998</x:v>
      </x:c>
      <x:c r="J1315" s="13" t="n">
        <x:f>D1315*I1315*H1315</x:f>
        <x:v>0</x:v>
      </x:c>
      <x:c r="K1315" s="13" t="n">
        <x:f>E1315*I1315*H1315</x:f>
        <x:v>0.22879613749999997</x:v>
      </x:c>
      <x:c r="L1315" s="1" t="str">
        <x:f>TEXT(A1315,"mmm yyyy")</x:f>
        <x:v>Jun 2026</x:v>
      </x:c>
    </x:row>
    <x:row r="1316" ht="21" customHeight="1">
      <x:c r="A1316" s="10" t="n">
        <x:v>46175</x:v>
      </x:c>
      <x:c r="B1316" s="1" t="n">
        <x:v>22</x:v>
      </x:c>
      <x:c r="C1316" s="1" t="n">
        <x:v>6</x:v>
      </x:c>
      <x:c r="D1316" s="12" t="n">
        <x:v>0.16366666666666668</x:v>
      </x:c>
      <x:c r="E1316" s="12" t="n">
        <x:v>0.2325</x:v>
      </x:c>
      <x:c r="F1316" s="12" t="n">
        <x:v>0.057833333333333334</x:v>
      </x:c>
      <x:c r="G1316" s="12" t="n">
        <x:v>0</x:v>
      </x:c>
      <x:c r="H1316" s="1" t="n">
        <x:f>'Historical prices'!E1316</x:f>
        <x:v>1.05</x:v>
      </x:c>
      <x:c r="I1316" s="6" t="n">
        <x:f>'Historical prices'!D1316</x:f>
        <x:v>0.2119</x:v>
      </x:c>
      <x:c r="J1316" s="13" t="n">
        <x:f>D1316*I1316*H1316</x:f>
        <x:v>0.03641501500000001</x:v>
      </x:c>
      <x:c r="K1316" s="13" t="n">
        <x:f>E1316*I1316*H1316</x:f>
        <x:v>0.05173008750000001</x:v>
      </x:c>
      <x:c r="L1316" s="1" t="str">
        <x:f>TEXT(A1316,"mmm yyyy")</x:f>
        <x:v>Jun 2026</x:v>
      </x:c>
    </x:row>
    <x:row r="1317" ht="21" customHeight="1">
      <x:c r="A1317" s="10" t="n">
        <x:v>46175</x:v>
      </x:c>
      <x:c r="B1317" s="1" t="n">
        <x:v>22.5</x:v>
      </x:c>
      <x:c r="C1317" s="1" t="n">
        <x:v>6</x:v>
      </x:c>
      <x:c r="D1317" s="12" t="n">
        <x:v>0.24791666666666667</x:v>
      </x:c>
      <x:c r="E1317" s="12" t="n">
        <x:v>0.2589166666666667</x:v>
      </x:c>
      <x:c r="F1317" s="12" t="n">
        <x:v>0</x:v>
      </x:c>
      <x:c r="G1317" s="12" t="n">
        <x:v>0</x:v>
      </x:c>
      <x:c r="H1317" s="1" t="n">
        <x:f>'Historical prices'!E1317</x:f>
        <x:v>1.05</x:v>
      </x:c>
      <x:c r="I1317" s="6" t="n">
        <x:f>'Historical prices'!D1317</x:f>
        <x:v>0.1997</x:v>
      </x:c>
      <x:c r="J1317" s="13" t="n">
        <x:f>D1317*I1317*H1317</x:f>
        <x:v>0.051984406250000004</x:v>
      </x:c>
      <x:c r="K1317" s="13" t="n">
        <x:f>E1317*I1317*H1317</x:f>
        <x:v>0.05429094125</x:v>
      </x:c>
      <x:c r="L1317" s="1" t="str">
        <x:f>TEXT(A1317,"mmm yyyy")</x:f>
        <x:v>Jun 2026</x:v>
      </x:c>
    </x:row>
    <x:row r="1318" ht="21" customHeight="1">
      <x:c r="A1318" s="10" t="n">
        <x:v>46175</x:v>
      </x:c>
      <x:c r="B1318" s="1" t="n">
        <x:v>23</x:v>
      </x:c>
      <x:c r="C1318" s="1" t="n">
        <x:v>6</x:v>
      </x:c>
      <x:c r="D1318" s="12" t="n">
        <x:v>0.20716666666666667</x:v>
      </x:c>
      <x:c r="E1318" s="12" t="n">
        <x:v>0.21716666666666667</x:v>
      </x:c>
      <x:c r="F1318" s="12" t="n">
        <x:v>0</x:v>
      </x:c>
      <x:c r="G1318" s="12" t="n">
        <x:v>0</x:v>
      </x:c>
      <x:c r="H1318" s="1" t="n">
        <x:f>'Historical prices'!E1318</x:f>
        <x:v>1.05</x:v>
      </x:c>
      <x:c r="I1318" s="6" t="n">
        <x:f>'Historical prices'!D1318</x:f>
        <x:v>0.1882</x:v>
      </x:c>
      <x:c r="J1318" s="13" t="n">
        <x:f>D1318*I1318*H1318</x:f>
        <x:v>0.040938205000000005</x:v>
      </x:c>
      <x:c r="K1318" s="13" t="n">
        <x:f>E1318*I1318*H1318</x:f>
        <x:v>0.04291430500000001</x:v>
      </x:c>
      <x:c r="L1318" s="1" t="str">
        <x:f>TEXT(A1318,"mmm yyyy")</x:f>
        <x:v>Jun 2026</x:v>
      </x:c>
    </x:row>
    <x:row r="1319" ht="21" customHeight="1">
      <x:c r="A1319" s="10" t="n">
        <x:v>46175</x:v>
      </x:c>
      <x:c r="B1319" s="1" t="n">
        <x:v>23.5</x:v>
      </x:c>
      <x:c r="C1319" s="1" t="n">
        <x:v>6</x:v>
      </x:c>
      <x:c r="D1319" s="12" t="n">
        <x:v>0.17375000000000002</x:v>
      </x:c>
      <x:c r="E1319" s="12" t="n">
        <x:v>0.18475</x:v>
      </x:c>
      <x:c r="F1319" s="12" t="n">
        <x:v>0</x:v>
      </x:c>
      <x:c r="G1319" s="12" t="n">
        <x:v>0</x:v>
      </x:c>
      <x:c r="H1319" s="1" t="n">
        <x:f>'Historical prices'!E1319</x:f>
        <x:v>1.05</x:v>
      </x:c>
      <x:c r="I1319" s="6" t="n">
        <x:f>'Historical prices'!D1319</x:f>
        <x:v>0.1937</x:v>
      </x:c>
      <x:c r="J1319" s="13" t="n">
        <x:f>D1319*I1319*H1319</x:f>
        <x:v>0.03533814375000001</x:v>
      </x:c>
      <x:c r="K1319" s="13" t="n">
        <x:f>E1319*I1319*H1319</x:f>
        <x:v>0.03757537875</x:v>
      </x:c>
      <x:c r="L1319" s="1" t="str">
        <x:f>TEXT(A1319,"mmm yyyy")</x:f>
        <x:v>Jun 2026</x:v>
      </x:c>
    </x:row>
    <x:row r="1320" ht="21" customHeight="1">
      <x:c r="A1320" s="10" t="n">
        <x:v>46176</x:v>
      </x:c>
      <x:c r="B1320" s="1" t="n">
        <x:v>0</x:v>
      </x:c>
      <x:c r="C1320" s="1" t="n">
        <x:v>6</x:v>
      </x:c>
      <x:c r="D1320" s="12" t="n">
        <x:v>0.22391666666666665</x:v>
      </x:c>
      <x:c r="E1320" s="12" t="n">
        <x:v>0.23491666666666666</x:v>
      </x:c>
      <x:c r="F1320" s="12" t="n">
        <x:v>0</x:v>
      </x:c>
      <x:c r="G1320" s="12" t="n">
        <x:v>0</x:v>
      </x:c>
      <x:c r="H1320" s="1" t="n">
        <x:f>'Historical prices'!E1320</x:f>
        <x:v>1.05</x:v>
      </x:c>
      <x:c r="I1320" s="6" t="n">
        <x:f>'Historical prices'!D1320</x:f>
        <x:v>0.1821</x:v>
      </x:c>
      <x:c r="J1320" s="13" t="n">
        <x:f>D1320*I1320*H1320</x:f>
        <x:v>0.04281398625</x:v>
      </x:c>
      <x:c r="K1320" s="13" t="n">
        <x:f>E1320*I1320*H1320</x:f>
        <x:v>0.04491724125</x:v>
      </x:c>
      <x:c r="L1320" s="1" t="str">
        <x:f>TEXT(A1320,"mmm yyyy")</x:f>
        <x:v>Jun 2026</x:v>
      </x:c>
    </x:row>
    <x:row r="1321" ht="21" customHeight="1">
      <x:c r="A1321" s="10" t="n">
        <x:v>46176</x:v>
      </x:c>
      <x:c r="B1321" s="1" t="n">
        <x:v>0.5</x:v>
      </x:c>
      <x:c r="C1321" s="1" t="n">
        <x:v>6</x:v>
      </x:c>
      <x:c r="D1321" s="12" t="n">
        <x:v>0.24758333333333335</x:v>
      </x:c>
      <x:c r="E1321" s="12" t="n">
        <x:v>0.25758333333333333</x:v>
      </x:c>
      <x:c r="F1321" s="12" t="n">
        <x:v>0</x:v>
      </x:c>
      <x:c r="G1321" s="12" t="n">
        <x:v>0</x:v>
      </x:c>
      <x:c r="H1321" s="1" t="n">
        <x:f>'Historical prices'!E1321</x:f>
        <x:v>1.05</x:v>
      </x:c>
      <x:c r="I1321" s="6" t="n">
        <x:f>'Historical prices'!D1321</x:f>
        <x:v>0.1808</x:v>
      </x:c>
      <x:c r="J1321" s="13" t="n">
        <x:f>D1321*I1321*H1321</x:f>
        <x:v>0.047001219999999996</x:v>
      </x:c>
      <x:c r="K1321" s="13" t="n">
        <x:f>E1321*I1321*H1321</x:f>
        <x:v>0.04889962</x:v>
      </x:c>
      <x:c r="L1321" s="1" t="str">
        <x:f>TEXT(A1321,"mmm yyyy")</x:f>
        <x:v>Jun 2026</x:v>
      </x:c>
    </x:row>
    <x:row r="1322" ht="21" customHeight="1">
      <x:c r="A1322" s="10" t="n">
        <x:v>46176</x:v>
      </x:c>
      <x:c r="B1322" s="1" t="n">
        <x:v>1</x:v>
      </x:c>
      <x:c r="C1322" s="1" t="n">
        <x:v>6</x:v>
      </x:c>
      <x:c r="D1322" s="12" t="n">
        <x:v>0.18633333333333332</x:v>
      </x:c>
      <x:c r="E1322" s="12" t="n">
        <x:v>0.19733333333333333</x:v>
      </x:c>
      <x:c r="F1322" s="12" t="n">
        <x:v>0</x:v>
      </x:c>
      <x:c r="G1322" s="12" t="n">
        <x:v>0</x:v>
      </x:c>
      <x:c r="H1322" s="1" t="n">
        <x:f>'Historical prices'!E1322</x:f>
        <x:v>1.05</x:v>
      </x:c>
      <x:c r="I1322" s="6" t="n">
        <x:f>'Historical prices'!D1322</x:f>
        <x:v>0.1787</x:v>
      </x:c>
      <x:c r="J1322" s="13" t="n">
        <x:f>D1322*I1322*H1322</x:f>
        <x:v>0.034962655</x:v>
      </x:c>
      <x:c r="K1322" s="13" t="n">
        <x:f>E1322*I1322*H1322</x:f>
        <x:v>0.03702664</x:v>
      </x:c>
      <x:c r="L1322" s="1" t="str">
        <x:f>TEXT(A1322,"mmm yyyy")</x:f>
        <x:v>Jun 2026</x:v>
      </x:c>
    </x:row>
    <x:row r="1323" ht="21" customHeight="1">
      <x:c r="A1323" s="10" t="n">
        <x:v>46176</x:v>
      </x:c>
      <x:c r="B1323" s="1" t="n">
        <x:v>1.5</x:v>
      </x:c>
      <x:c r="C1323" s="1" t="n">
        <x:v>6</x:v>
      </x:c>
      <x:c r="D1323" s="12" t="n">
        <x:v>0.27299999999999996</x:v>
      </x:c>
      <x:c r="E1323" s="12" t="n">
        <x:v>0.283</x:v>
      </x:c>
      <x:c r="F1323" s="12" t="n">
        <x:v>0</x:v>
      </x:c>
      <x:c r="G1323" s="12" t="n">
        <x:v>0</x:v>
      </x:c>
      <x:c r="H1323" s="1" t="n">
        <x:f>'Historical prices'!E1323</x:f>
        <x:v>1.05</x:v>
      </x:c>
      <x:c r="I1323" s="6" t="n">
        <x:f>'Historical prices'!D1323</x:f>
        <x:v>0.18030000000000002</x:v>
      </x:c>
      <x:c r="J1323" s="13" t="n">
        <x:f>D1323*I1323*H1323</x:f>
        <x:v>0.051682995</x:v>
      </x:c>
      <x:c r="K1323" s="13" t="n">
        <x:f>E1323*I1323*H1323</x:f>
        <x:v>0.053576145</x:v>
      </x:c>
      <x:c r="L1323" s="1" t="str">
        <x:f>TEXT(A1323,"mmm yyyy")</x:f>
        <x:v>Jun 2026</x:v>
      </x:c>
    </x:row>
    <x:row r="1324" ht="21" customHeight="1">
      <x:c r="A1324" s="10" t="n">
        <x:v>46176</x:v>
      </x:c>
      <x:c r="B1324" s="1" t="n">
        <x:v>2</x:v>
      </x:c>
      <x:c r="C1324" s="1" t="n">
        <x:v>6</x:v>
      </x:c>
      <x:c r="D1324" s="12" t="n">
        <x:v>0.19266666666666668</x:v>
      </x:c>
      <x:c r="E1324" s="12" t="n">
        <x:v>0.20366666666666663</x:v>
      </x:c>
      <x:c r="F1324" s="12" t="n">
        <x:v>0</x:v>
      </x:c>
      <x:c r="G1324" s="12" t="n">
        <x:v>0</x:v>
      </x:c>
      <x:c r="H1324" s="1" t="n">
        <x:f>'Historical prices'!E1324</x:f>
        <x:v>1.05</x:v>
      </x:c>
      <x:c r="I1324" s="6" t="n">
        <x:f>'Historical prices'!D1324</x:f>
        <x:v>0.183</x:v>
      </x:c>
      <x:c r="J1324" s="13" t="n">
        <x:f>D1324*I1324*H1324</x:f>
        <x:v>0.03702090000000001</x:v>
      </x:c>
      <x:c r="K1324" s="13" t="n">
        <x:f>E1324*I1324*H1324</x:f>
        <x:v>0.03913454999999999</x:v>
      </x:c>
      <x:c r="L1324" s="1" t="str">
        <x:f>TEXT(A1324,"mmm yyyy")</x:f>
        <x:v>Jun 2026</x:v>
      </x:c>
    </x:row>
    <x:row r="1325" ht="21" customHeight="1">
      <x:c r="A1325" s="10" t="n">
        <x:v>46176</x:v>
      </x:c>
      <x:c r="B1325" s="1" t="n">
        <x:v>2.5</x:v>
      </x:c>
      <x:c r="C1325" s="1" t="n">
        <x:v>6</x:v>
      </x:c>
      <x:c r="D1325" s="12" t="n">
        <x:v>0.14975</x:v>
      </x:c>
      <x:c r="E1325" s="12" t="n">
        <x:v>0.16175</x:v>
      </x:c>
      <x:c r="F1325" s="12" t="n">
        <x:v>0</x:v>
      </x:c>
      <x:c r="G1325" s="12" t="n">
        <x:v>0</x:v>
      </x:c>
      <x:c r="H1325" s="1" t="n">
        <x:f>'Historical prices'!E1325</x:f>
        <x:v>1.05</x:v>
      </x:c>
      <x:c r="I1325" s="6" t="n">
        <x:f>'Historical prices'!D1325</x:f>
        <x:v>0.1808</x:v>
      </x:c>
      <x:c r="J1325" s="13" t="n">
        <x:f>D1325*I1325*H1325</x:f>
        <x:v>0.02842854</x:v>
      </x:c>
      <x:c r="K1325" s="13" t="n">
        <x:f>E1325*I1325*H1325</x:f>
        <x:v>0.03070662</x:v>
      </x:c>
      <x:c r="L1325" s="1" t="str">
        <x:f>TEXT(A1325,"mmm yyyy")</x:f>
        <x:v>Jun 2026</x:v>
      </x:c>
    </x:row>
    <x:row r="1326" ht="21" customHeight="1">
      <x:c r="A1326" s="10" t="n">
        <x:v>46176</x:v>
      </x:c>
      <x:c r="B1326" s="1" t="n">
        <x:v>3</x:v>
      </x:c>
      <x:c r="C1326" s="1" t="n">
        <x:v>6</x:v>
      </x:c>
      <x:c r="D1326" s="12" t="n">
        <x:v>0.21083333333333332</x:v>
      </x:c>
      <x:c r="E1326" s="12" t="n">
        <x:v>0.22083333333333333</x:v>
      </x:c>
      <x:c r="F1326" s="12" t="n">
        <x:v>0</x:v>
      </x:c>
      <x:c r="G1326" s="12" t="n">
        <x:v>0</x:v>
      </x:c>
      <x:c r="H1326" s="1" t="n">
        <x:f>'Historical prices'!E1326</x:f>
        <x:v>1.05</x:v>
      </x:c>
      <x:c r="I1326" s="6" t="n">
        <x:f>'Historical prices'!D1326</x:f>
        <x:v>0.175</x:v>
      </x:c>
      <x:c r="J1326" s="13" t="n">
        <x:f>D1326*I1326*H1326</x:f>
        <x:v>0.038740624999999994</x:v>
      </x:c>
      <x:c r="K1326" s="13" t="n">
        <x:f>E1326*I1326*H1326</x:f>
        <x:v>0.040578125</x:v>
      </x:c>
      <x:c r="L1326" s="1" t="str">
        <x:f>TEXT(A1326,"mmm yyyy")</x:f>
        <x:v>Jun 2026</x:v>
      </x:c>
    </x:row>
    <x:row r="1327" ht="21" customHeight="1">
      <x:c r="A1327" s="10" t="n">
        <x:v>46176</x:v>
      </x:c>
      <x:c r="B1327" s="1" t="n">
        <x:v>3.5</x:v>
      </x:c>
      <x:c r="C1327" s="1" t="n">
        <x:v>6</x:v>
      </x:c>
      <x:c r="D1327" s="12" t="n">
        <x:v>1.1045833333333333</x:v>
      </x:c>
      <x:c r="E1327" s="12" t="n">
        <x:v>0.24658333333333335</x:v>
      </x:c>
      <x:c r="F1327" s="12" t="n">
        <x:v>0</x:v>
      </x:c>
      <x:c r="G1327" s="12" t="n">
        <x:v>0.865</x:v>
      </x:c>
      <x:c r="H1327" s="1" t="n">
        <x:f>'Historical prices'!E1327</x:f>
        <x:v>1.05</x:v>
      </x:c>
      <x:c r="I1327" s="6" t="n">
        <x:f>'Historical prices'!D1327</x:f>
        <x:v>0.16920000000000002</x:v>
      </x:c>
      <x:c r="J1327" s="13" t="n">
        <x:f>D1327*I1327*H1327</x:f>
        <x:v>0.196240275</x:v>
      </x:c>
      <x:c r="K1327" s="13" t="n">
        <x:f>E1327*I1327*H1327</x:f>
        <x:v>0.04380799500000001</x:v>
      </x:c>
      <x:c r="L1327" s="1" t="str">
        <x:f>TEXT(A1327,"mmm yyyy")</x:f>
        <x:v>Jun 2026</x:v>
      </x:c>
    </x:row>
    <x:row r="1328" ht="21" customHeight="1">
      <x:c r="A1328" s="10" t="n">
        <x:v>46176</x:v>
      </x:c>
      <x:c r="B1328" s="1" t="n">
        <x:v>4</x:v>
      </x:c>
      <x:c r="C1328" s="1" t="n">
        <x:v>6</x:v>
      </x:c>
      <x:c r="D1328" s="12" t="n">
        <x:v>0.6515833333333333</x:v>
      </x:c>
      <x:c r="E1328" s="12" t="n">
        <x:v>0.22058333333333333</x:v>
      </x:c>
      <x:c r="F1328" s="12" t="n">
        <x:v>0</x:v>
      </x:c>
      <x:c r="G1328" s="12" t="n">
        <x:v>0.438</x:v>
      </x:c>
      <x:c r="H1328" s="1" t="n">
        <x:f>'Historical prices'!E1328</x:f>
        <x:v>1.05</x:v>
      </x:c>
      <x:c r="I1328" s="6" t="n">
        <x:f>'Historical prices'!D1328</x:f>
        <x:v>0.1718</x:v>
      </x:c>
      <x:c r="J1328" s="13" t="n">
        <x:f>D1328*I1328*H1328</x:f>
        <x:v>0.11753911750000001</x:v>
      </x:c>
      <x:c r="K1328" s="13" t="n">
        <x:f>E1328*I1328*H1328</x:f>
        <x:v>0.039791027500000006</x:v>
      </x:c>
      <x:c r="L1328" s="1" t="str">
        <x:f>TEXT(A1328,"mmm yyyy")</x:f>
        <x:v>Jun 2026</x:v>
      </x:c>
    </x:row>
    <x:row r="1329" ht="21" customHeight="1">
      <x:c r="A1329" s="10" t="n">
        <x:v>46176</x:v>
      </x:c>
      <x:c r="B1329" s="1" t="n">
        <x:v>4.5</x:v>
      </x:c>
      <x:c r="C1329" s="1" t="n">
        <x:v>6</x:v>
      </x:c>
      <x:c r="D1329" s="12" t="n">
        <x:v>0.21741666666666665</x:v>
      </x:c>
      <x:c r="E1329" s="12" t="n">
        <x:v>0.22741666666666666</x:v>
      </x:c>
      <x:c r="F1329" s="12" t="n">
        <x:v>0</x:v>
      </x:c>
      <x:c r="G1329" s="12" t="n">
        <x:v>0</x:v>
      </x:c>
      <x:c r="H1329" s="1" t="n">
        <x:f>'Historical prices'!E1329</x:f>
        <x:v>1.05</x:v>
      </x:c>
      <x:c r="I1329" s="6" t="n">
        <x:f>'Historical prices'!D1329</x:f>
        <x:v>0.1724</x:v>
      </x:c>
      <x:c r="J1329" s="13" t="n">
        <x:f>D1329*I1329*H1329</x:f>
        <x:v>0.039356764999999995</x:v>
      </x:c>
      <x:c r="K1329" s="13" t="n">
        <x:f>E1329*I1329*H1329</x:f>
        <x:v>0.041166965</x:v>
      </x:c>
      <x:c r="L1329" s="1" t="str">
        <x:f>TEXT(A1329,"mmm yyyy")</x:f>
        <x:v>Jun 2026</x:v>
      </x:c>
    </x:row>
    <x:row r="1330" ht="21" customHeight="1">
      <x:c r="A1330" s="10" t="n">
        <x:v>46176</x:v>
      </x:c>
      <x:c r="B1330" s="1" t="n">
        <x:v>5</x:v>
      </x:c>
      <x:c r="C1330" s="1" t="n">
        <x:v>6</x:v>
      </x:c>
      <x:c r="D1330" s="12" t="n">
        <x:v>0.2515833333333333</x:v>
      </x:c>
      <x:c r="E1330" s="12" t="n">
        <x:v>0.26258333333333334</x:v>
      </x:c>
      <x:c r="F1330" s="12" t="n">
        <x:v>0</x:v>
      </x:c>
      <x:c r="G1330" s="12" t="n">
        <x:v>0</x:v>
      </x:c>
      <x:c r="H1330" s="1" t="n">
        <x:f>'Historical prices'!E1330</x:f>
        <x:v>1.05</x:v>
      </x:c>
      <x:c r="I1330" s="6" t="n">
        <x:f>'Historical prices'!D1330</x:f>
        <x:v>0.1892</x:v>
      </x:c>
      <x:c r="J1330" s="13" t="n">
        <x:f>D1330*I1330*H1330</x:f>
        <x:v>0.04997954500000001</x:v>
      </x:c>
      <x:c r="K1330" s="13" t="n">
        <x:f>E1330*I1330*H1330</x:f>
        <x:v>0.052164805</x:v>
      </x:c>
      <x:c r="L1330" s="1" t="str">
        <x:f>TEXT(A1330,"mmm yyyy")</x:f>
        <x:v>Jun 2026</x:v>
      </x:c>
    </x:row>
    <x:row r="1331" ht="21" customHeight="1">
      <x:c r="A1331" s="10" t="n">
        <x:v>46176</x:v>
      </x:c>
      <x:c r="B1331" s="1" t="n">
        <x:v>5.5</x:v>
      </x:c>
      <x:c r="C1331" s="1" t="n">
        <x:v>6</x:v>
      </x:c>
      <x:c r="D1331" s="12" t="n">
        <x:v>0.2719166666666667</x:v>
      </x:c>
      <x:c r="E1331" s="12" t="n">
        <x:v>0.2829166666666667</x:v>
      </x:c>
      <x:c r="F1331" s="12" t="n">
        <x:v>0</x:v>
      </x:c>
      <x:c r="G1331" s="12" t="n">
        <x:v>0</x:v>
      </x:c>
      <x:c r="H1331" s="1" t="n">
        <x:f>'Historical prices'!E1331</x:f>
        <x:v>1.05</x:v>
      </x:c>
      <x:c r="I1331" s="6" t="n">
        <x:f>'Historical prices'!D1331</x:f>
        <x:v>0.19690000000000002</x:v>
      </x:c>
      <x:c r="J1331" s="13" t="n">
        <x:f>D1331*I1331*H1331</x:f>
        <x:v>0.056217411250000016</x:v>
      </x:c>
      <x:c r="K1331" s="13" t="n">
        <x:f>E1331*I1331*H1331</x:f>
        <x:v>0.058491606250000015</x:v>
      </x:c>
      <x:c r="L1331" s="1" t="str">
        <x:f>TEXT(A1331,"mmm yyyy")</x:f>
        <x:v>Jun 2026</x:v>
      </x:c>
    </x:row>
    <x:row r="1332" ht="21" customHeight="1">
      <x:c r="A1332" s="10" t="n">
        <x:v>46176</x:v>
      </x:c>
      <x:c r="B1332" s="1" t="n">
        <x:v>6</x:v>
      </x:c>
      <x:c r="C1332" s="1" t="n">
        <x:v>6</x:v>
      </x:c>
      <x:c r="D1332" s="12" t="n">
        <x:v>0.021916666666666668</x:v>
      </x:c>
      <x:c r="E1332" s="12" t="n">
        <x:v>0.2801666666666667</x:v>
      </x:c>
      <x:c r="F1332" s="12" t="n">
        <x:v>0.2559166666666667</x:v>
      </x:c>
      <x:c r="G1332" s="12" t="n">
        <x:v>0</x:v>
      </x:c>
      <x:c r="H1332" s="1" t="n">
        <x:f>'Historical prices'!E1332</x:f>
        <x:v>1.05</x:v>
      </x:c>
      <x:c r="I1332" s="6" t="n">
        <x:f>'Historical prices'!D1332</x:f>
        <x:v>0.21280000000000002</x:v>
      </x:c>
      <x:c r="J1332" s="13" t="n">
        <x:f>D1332*I1332*H1332</x:f>
        <x:v>0.004897060000000001</x:v>
      </x:c>
      <x:c r="K1332" s="13" t="n">
        <x:f>E1332*I1332*H1332</x:f>
        <x:v>0.06260044000000001</x:v>
      </x:c>
      <x:c r="L1332" s="1" t="str">
        <x:f>TEXT(A1332,"mmm yyyy")</x:f>
        <x:v>Jun 2026</x:v>
      </x:c>
    </x:row>
    <x:row r="1333" ht="21" customHeight="1">
      <x:c r="A1333" s="10" t="n">
        <x:v>46176</x:v>
      </x:c>
      <x:c r="B1333" s="1" t="n">
        <x:v>6.5</x:v>
      </x:c>
      <x:c r="C1333" s="1" t="n">
        <x:v>6</x:v>
      </x:c>
      <x:c r="D1333" s="12" t="n">
        <x:v>0</x:v>
      </x:c>
      <x:c r="E1333" s="12" t="n">
        <x:v>0.5119166666666667</x:v>
      </x:c>
      <x:c r="F1333" s="12" t="n">
        <x:v>0.51175</x:v>
      </x:c>
      <x:c r="G1333" s="12" t="n">
        <x:v>0</x:v>
      </x:c>
      <x:c r="H1333" s="1" t="n">
        <x:f>'Historical prices'!E1333</x:f>
        <x:v>1.05</x:v>
      </x:c>
      <x:c r="I1333" s="6" t="n">
        <x:f>'Historical prices'!D1333</x:f>
        <x:v>0.23170000000000002</x:v>
      </x:c>
      <x:c r="J1333" s="13" t="n">
        <x:f>D1333*I1333*H1333</x:f>
        <x:v>0</x:v>
      </x:c>
      <x:c r="K1333" s="13" t="n">
        <x:f>E1333*I1333*H1333</x:f>
        <x:v>0.12454164625000003</x:v>
      </x:c>
      <x:c r="L1333" s="1" t="str">
        <x:f>TEXT(A1333,"mmm yyyy")</x:f>
        <x:v>Jun 2026</x:v>
      </x:c>
    </x:row>
    <x:row r="1334" ht="21" customHeight="1">
      <x:c r="A1334" s="10" t="n">
        <x:v>46176</x:v>
      </x:c>
      <x:c r="B1334" s="1" t="n">
        <x:v>7</x:v>
      </x:c>
      <x:c r="C1334" s="1" t="n">
        <x:v>6</x:v>
      </x:c>
      <x:c r="D1334" s="12" t="n">
        <x:v>0.41666666666666663</x:v>
      </x:c>
      <x:c r="E1334" s="12" t="n">
        <x:v>0.5035833333333334</x:v>
      </x:c>
      <x:c r="F1334" s="12" t="n">
        <x:v>0.07691666666666666</x:v>
      </x:c>
      <x:c r="G1334" s="12" t="n">
        <x:v>0</x:v>
      </x:c>
      <x:c r="H1334" s="1" t="n">
        <x:f>'Historical prices'!E1334</x:f>
        <x:v>1.05</x:v>
      </x:c>
      <x:c r="I1334" s="6" t="n">
        <x:f>'Historical prices'!D1334</x:f>
        <x:v>0.20809999999999998</x:v>
      </x:c>
      <x:c r="J1334" s="13" t="n">
        <x:f>D1334*I1334*H1334</x:f>
        <x:v>0.09104374999999999</x:v>
      </x:c>
      <x:c r="K1334" s="13" t="n">
        <x:f>E1334*I1334*H1334</x:f>
        <x:v>0.11003547625</x:v>
      </x:c>
      <x:c r="L1334" s="1" t="str">
        <x:f>TEXT(A1334,"mmm yyyy")</x:f>
        <x:v>Jun 2026</x:v>
      </x:c>
    </x:row>
    <x:row r="1335" ht="21" customHeight="1">
      <x:c r="A1335" s="10" t="n">
        <x:v>46176</x:v>
      </x:c>
      <x:c r="B1335" s="1" t="n">
        <x:v>7.5</x:v>
      </x:c>
      <x:c r="C1335" s="1" t="n">
        <x:v>6</x:v>
      </x:c>
      <x:c r="D1335" s="12" t="n">
        <x:v>0.09841666666666667</x:v>
      </x:c>
      <x:c r="E1335" s="12" t="n">
        <x:v>0.5956666666666667</x:v>
      </x:c>
      <x:c r="F1335" s="12" t="n">
        <x:v>0.49574999999999997</x:v>
      </x:c>
      <x:c r="G1335" s="12" t="n">
        <x:v>0</x:v>
      </x:c>
      <x:c r="H1335" s="1" t="n">
        <x:f>'Historical prices'!E1335</x:f>
        <x:v>1.05</x:v>
      </x:c>
      <x:c r="I1335" s="6" t="n">
        <x:f>'Historical prices'!D1335</x:f>
        <x:v>0.2187</x:v>
      </x:c>
      <x:c r="J1335" s="13" t="n">
        <x:f>D1335*I1335*H1335</x:f>
        <x:v>0.02259991125</x:v>
      </x:c>
      <x:c r="K1335" s="13" t="n">
        <x:f>E1335*I1335*H1335</x:f>
        <x:v>0.136785915</x:v>
      </x:c>
      <x:c r="L1335" s="1" t="str">
        <x:f>TEXT(A1335,"mmm yyyy")</x:f>
        <x:v>Jun 2026</x:v>
      </x:c>
    </x:row>
    <x:row r="1336" ht="21" customHeight="1">
      <x:c r="A1336" s="10" t="n">
        <x:v>46176</x:v>
      </x:c>
      <x:c r="B1336" s="1" t="n">
        <x:v>8</x:v>
      </x:c>
      <x:c r="C1336" s="1" t="n">
        <x:v>6</x:v>
      </x:c>
      <x:c r="D1336" s="12" t="n">
        <x:v>0.49233333333333335</x:v>
      </x:c>
      <x:c r="E1336" s="12" t="n">
        <x:v>0.6033333333333334</x:v>
      </x:c>
      <x:c r="F1336" s="12" t="n">
        <x:v>0.1</x:v>
      </x:c>
      <x:c r="G1336" s="12" t="n">
        <x:v>0</x:v>
      </x:c>
      <x:c r="H1336" s="1" t="n">
        <x:f>'Historical prices'!E1336</x:f>
        <x:v>1.05</x:v>
      </x:c>
      <x:c r="I1336" s="6" t="n">
        <x:f>'Historical prices'!D1336</x:f>
        <x:v>0.2089</x:v>
      </x:c>
      <x:c r="J1336" s="13" t="n">
        <x:f>D1336*I1336*H1336</x:f>
        <x:v>0.10799085500000001</x:v>
      </x:c>
      <x:c r="K1336" s="13" t="n">
        <x:f>E1336*I1336*H1336</x:f>
        <x:v>0.13233815000000002</x:v>
      </x:c>
      <x:c r="L1336" s="1" t="str">
        <x:f>TEXT(A1336,"mmm yyyy")</x:f>
        <x:v>Jun 2026</x:v>
      </x:c>
    </x:row>
    <x:row r="1337" ht="21" customHeight="1">
      <x:c r="A1337" s="10" t="n">
        <x:v>46176</x:v>
      </x:c>
      <x:c r="B1337" s="1" t="n">
        <x:v>8.5</x:v>
      </x:c>
      <x:c r="C1337" s="1" t="n">
        <x:v>6</x:v>
      </x:c>
      <x:c r="D1337" s="12" t="n">
        <x:v>0.44933333333333336</x:v>
      </x:c>
      <x:c r="E1337" s="12" t="n">
        <x:v>0.6033333333333333</x:v>
      </x:c>
      <x:c r="F1337" s="12" t="n">
        <x:v>0.146</x:v>
      </x:c>
      <x:c r="G1337" s="12" t="n">
        <x:v>0</x:v>
      </x:c>
      <x:c r="H1337" s="1" t="n">
        <x:f>'Historical prices'!E1337</x:f>
        <x:v>1.05</x:v>
      </x:c>
      <x:c r="I1337" s="6" t="n">
        <x:f>'Historical prices'!D1337</x:f>
        <x:v>0.2113</x:v>
      </x:c>
      <x:c r="J1337" s="13" t="n">
        <x:f>D1337*I1337*H1337</x:f>
        <x:v>0.09969134</x:v>
      </x:c>
      <x:c r="K1337" s="13" t="n">
        <x:f>E1337*I1337*H1337</x:f>
        <x:v>0.13385855</x:v>
      </x:c>
      <x:c r="L1337" s="1" t="str">
        <x:f>TEXT(A1337,"mmm yyyy")</x:f>
        <x:v>Jun 2026</x:v>
      </x:c>
    </x:row>
    <x:row r="1338" ht="21" customHeight="1">
      <x:c r="A1338" s="10" t="n">
        <x:v>46176</x:v>
      </x:c>
      <x:c r="B1338" s="1" t="n">
        <x:v>9</x:v>
      </x:c>
      <x:c r="C1338" s="1" t="n">
        <x:v>6</x:v>
      </x:c>
      <x:c r="D1338" s="12" t="n">
        <x:v>0.0585</x:v>
      </x:c>
      <x:c r="E1338" s="12" t="n">
        <x:v>0.6955000000000001</x:v>
      </x:c>
      <x:c r="F1338" s="12" t="n">
        <x:v>0.6339166666666667</x:v>
      </x:c>
      <x:c r="G1338" s="12" t="n">
        <x:v>0</x:v>
      </x:c>
      <x:c r="H1338" s="1" t="n">
        <x:f>'Historical prices'!E1338</x:f>
        <x:v>1.05</x:v>
      </x:c>
      <x:c r="I1338" s="6" t="n">
        <x:f>'Historical prices'!D1338</x:f>
        <x:v>0.21739999999999998</x:v>
      </x:c>
      <x:c r="J1338" s="13" t="n">
        <x:f>D1338*I1338*H1338</x:f>
        <x:v>0.013353795</x:v>
      </x:c>
      <x:c r="K1338" s="13" t="n">
        <x:f>E1338*I1338*H1338</x:f>
        <x:v>0.15876178500000002</x:v>
      </x:c>
      <x:c r="L1338" s="1" t="str">
        <x:f>TEXT(A1338,"mmm yyyy")</x:f>
        <x:v>Jun 2026</x:v>
      </x:c>
    </x:row>
    <x:row r="1339" ht="21" customHeight="1">
      <x:c r="A1339" s="10" t="n">
        <x:v>46176</x:v>
      </x:c>
      <x:c r="B1339" s="1" t="n">
        <x:v>9.5</x:v>
      </x:c>
      <x:c r="C1339" s="1" t="n">
        <x:v>6</x:v>
      </x:c>
      <x:c r="D1339" s="12" t="n">
        <x:v>0.6799166666666667</x:v>
      </x:c>
      <x:c r="E1339" s="12" t="n">
        <x:v>0.9789166666666667</x:v>
      </x:c>
      <x:c r="F1339" s="12" t="n">
        <x:v>0.41</x:v>
      </x:c>
      <x:c r="G1339" s="12" t="n">
        <x:v>0.11299999999999999</x:v>
      </x:c>
      <x:c r="H1339" s="1" t="n">
        <x:f>'Historical prices'!E1339</x:f>
        <x:v>1.05</x:v>
      </x:c>
      <x:c r="I1339" s="6" t="n">
        <x:f>'Historical prices'!D1339</x:f>
        <x:v>0.19699999999999998</x:v>
      </x:c>
      <x:c r="J1339" s="13" t="n">
        <x:f>D1339*I1339*H1339</x:f>
        <x:v>0.14064076250000002</x:v>
      </x:c>
      <x:c r="K1339" s="13" t="n">
        <x:f>E1339*I1339*H1339</x:f>
        <x:v>0.2024889125</x:v>
      </x:c>
      <x:c r="L1339" s="1" t="str">
        <x:f>TEXT(A1339,"mmm yyyy")</x:f>
        <x:v>Jun 2026</x:v>
      </x:c>
    </x:row>
    <x:row r="1340" ht="21" customHeight="1">
      <x:c r="A1340" s="10" t="n">
        <x:v>46176</x:v>
      </x:c>
      <x:c r="B1340" s="1" t="n">
        <x:v>10</x:v>
      </x:c>
      <x:c r="C1340" s="1" t="n">
        <x:v>6</x:v>
      </x:c>
      <x:c r="D1340" s="12" t="n">
        <x:v>0.9464166666666667</x:v>
      </x:c>
      <x:c r="E1340" s="12" t="n">
        <x:v>0.9144166666666667</x:v>
      </x:c>
      <x:c r="F1340" s="12" t="n">
        <x:v>0</x:v>
      </x:c>
      <x:c r="G1340" s="12" t="n">
        <x:v>0.03</x:v>
      </x:c>
      <x:c r="H1340" s="1" t="n">
        <x:f>'Historical prices'!E1340</x:f>
        <x:v>1.05</x:v>
      </x:c>
      <x:c r="I1340" s="6" t="n">
        <x:f>'Historical prices'!D1340</x:f>
        <x:v>0.1923</x:v>
      </x:c>
      <x:c r="J1340" s="13" t="n">
        <x:f>D1340*I1340*H1340</x:f>
        <x:v>0.19109572125000002</x:v>
      </x:c>
      <x:c r="K1340" s="13" t="n">
        <x:f>E1340*I1340*H1340</x:f>
        <x:v>0.18463444125</x:v>
      </x:c>
      <x:c r="L1340" s="1" t="str">
        <x:f>TEXT(A1340,"mmm yyyy")</x:f>
        <x:v>Jun 2026</x:v>
      </x:c>
    </x:row>
    <x:row r="1341" ht="21" customHeight="1">
      <x:c r="A1341" s="10" t="n">
        <x:v>46176</x:v>
      </x:c>
      <x:c r="B1341" s="1" t="n">
        <x:v>10.5</x:v>
      </x:c>
      <x:c r="C1341" s="1" t="n">
        <x:v>6</x:v>
      </x:c>
      <x:c r="D1341" s="12" t="n">
        <x:v>0.8125</x:v>
      </x:c>
      <x:c r="E1341" s="12" t="n">
        <x:v>0.8175</x:v>
      </x:c>
      <x:c r="F1341" s="12" t="n">
        <x:v>0</x:v>
      </x:c>
      <x:c r="G1341" s="12" t="n">
        <x:v>0</x:v>
      </x:c>
      <x:c r="H1341" s="1" t="n">
        <x:f>'Historical prices'!E1341</x:f>
        <x:v>1.05</x:v>
      </x:c>
      <x:c r="I1341" s="6" t="n">
        <x:f>'Historical prices'!D1341</x:f>
        <x:v>0.1884</x:v>
      </x:c>
      <x:c r="J1341" s="13" t="n">
        <x:f>D1341*I1341*H1341</x:f>
        <x:v>0.16072875000000003</x:v>
      </x:c>
      <x:c r="K1341" s="13" t="n">
        <x:f>E1341*I1341*H1341</x:f>
        <x:v>0.16171785000000002</x:v>
      </x:c>
      <x:c r="L1341" s="1" t="str">
        <x:f>TEXT(A1341,"mmm yyyy")</x:f>
        <x:v>Jun 2026</x:v>
      </x:c>
    </x:row>
    <x:row r="1342" ht="21" customHeight="1">
      <x:c r="A1342" s="10" t="n">
        <x:v>46176</x:v>
      </x:c>
      <x:c r="B1342" s="1" t="n">
        <x:v>11</x:v>
      </x:c>
      <x:c r="C1342" s="1" t="n">
        <x:v>6</x:v>
      </x:c>
      <x:c r="D1342" s="12" t="n">
        <x:v>0.539</x:v>
      </x:c>
      <x:c r="E1342" s="12" t="n">
        <x:v>0.543</x:v>
      </x:c>
      <x:c r="F1342" s="12" t="n">
        <x:v>0</x:v>
      </x:c>
      <x:c r="G1342" s="12" t="n">
        <x:v>0</x:v>
      </x:c>
      <x:c r="H1342" s="1" t="n">
        <x:f>'Historical prices'!E1342</x:f>
        <x:v>1.05</x:v>
      </x:c>
      <x:c r="I1342" s="6" t="n">
        <x:f>'Historical prices'!D1342</x:f>
        <x:v>0.1661</x:v>
      </x:c>
      <x:c r="J1342" s="13" t="n">
        <x:f>D1342*I1342*H1342</x:f>
        <x:v>0.09400429500000002</x:v>
      </x:c>
      <x:c r="K1342" s="13" t="n">
        <x:f>E1342*I1342*H1342</x:f>
        <x:v>0.09470191500000001</x:v>
      </x:c>
      <x:c r="L1342" s="1" t="str">
        <x:f>TEXT(A1342,"mmm yyyy")</x:f>
        <x:v>Jun 2026</x:v>
      </x:c>
    </x:row>
    <x:row r="1343" ht="21" customHeight="1">
      <x:c r="A1343" s="10" t="n">
        <x:v>46176</x:v>
      </x:c>
      <x:c r="B1343" s="1" t="n">
        <x:v>11.5</x:v>
      </x:c>
      <x:c r="C1343" s="1" t="n">
        <x:v>6</x:v>
      </x:c>
      <x:c r="D1343" s="12" t="n">
        <x:v>0.53375</x:v>
      </x:c>
      <x:c r="E1343" s="12" t="n">
        <x:v>0.53875</x:v>
      </x:c>
      <x:c r="F1343" s="12" t="n">
        <x:v>0</x:v>
      </x:c>
      <x:c r="G1343" s="12" t="n">
        <x:v>0</x:v>
      </x:c>
      <x:c r="H1343" s="1" t="n">
        <x:f>'Historical prices'!E1343</x:f>
        <x:v>1.05</x:v>
      </x:c>
      <x:c r="I1343" s="6" t="n">
        <x:f>'Historical prices'!D1343</x:f>
        <x:v>0.1661</x:v>
      </x:c>
      <x:c r="J1343" s="13" t="n">
        <x:f>D1343*I1343*H1343</x:f>
        <x:v>0.09308866874999999</x:v>
      </x:c>
      <x:c r="K1343" s="13" t="n">
        <x:f>E1343*I1343*H1343</x:f>
        <x:v>0.09396069374999999</x:v>
      </x:c>
      <x:c r="L1343" s="1" t="str">
        <x:f>TEXT(A1343,"mmm yyyy")</x:f>
        <x:v>Jun 2026</x:v>
      </x:c>
    </x:row>
    <x:row r="1344" ht="21" customHeight="1">
      <x:c r="A1344" s="10" t="n">
        <x:v>46176</x:v>
      </x:c>
      <x:c r="B1344" s="1" t="n">
        <x:v>12</x:v>
      </x:c>
      <x:c r="C1344" s="1" t="n">
        <x:v>6</x:v>
      </x:c>
      <x:c r="D1344" s="12" t="n">
        <x:v>0.39216666666666666</x:v>
      </x:c>
      <x:c r="E1344" s="12" t="n">
        <x:v>0.39416666666666667</x:v>
      </x:c>
      <x:c r="F1344" s="12" t="n">
        <x:v>0</x:v>
      </x:c>
      <x:c r="G1344" s="12" t="n">
        <x:v>0</x:v>
      </x:c>
      <x:c r="H1344" s="1" t="n">
        <x:f>'Historical prices'!E1344</x:f>
        <x:v>1.05</x:v>
      </x:c>
      <x:c r="I1344" s="6" t="n">
        <x:f>'Historical prices'!D1344</x:f>
        <x:v>0.1702</x:v>
      </x:c>
      <x:c r="J1344" s="13" t="n">
        <x:f>D1344*I1344*H1344</x:f>
        <x:v>0.07008410500000001</x:v>
      </x:c>
      <x:c r="K1344" s="13" t="n">
        <x:f>E1344*I1344*H1344</x:f>
        <x:v>0.07044152499999999</x:v>
      </x:c>
      <x:c r="L1344" s="1" t="str">
        <x:f>TEXT(A1344,"mmm yyyy")</x:f>
        <x:v>Jun 2026</x:v>
      </x:c>
    </x:row>
    <x:row r="1345" ht="21" customHeight="1">
      <x:c r="A1345" s="10" t="n">
        <x:v>46176</x:v>
      </x:c>
      <x:c r="B1345" s="1" t="n">
        <x:v>12.5</x:v>
      </x:c>
      <x:c r="C1345" s="1" t="n">
        <x:v>6</x:v>
      </x:c>
      <x:c r="D1345" s="12" t="n">
        <x:v>0.39749999999999996</x:v>
      </x:c>
      <x:c r="E1345" s="12" t="n">
        <x:v>0.39949999999999997</x:v>
      </x:c>
      <x:c r="F1345" s="12" t="n">
        <x:v>0</x:v>
      </x:c>
      <x:c r="G1345" s="12" t="n">
        <x:v>0</x:v>
      </x:c>
      <x:c r="H1345" s="1" t="n">
        <x:f>'Historical prices'!E1345</x:f>
        <x:v>1.05</x:v>
      </x:c>
      <x:c r="I1345" s="6" t="n">
        <x:f>'Historical prices'!D1345</x:f>
        <x:v>0.1518</x:v>
      </x:c>
      <x:c r="J1345" s="13" t="n">
        <x:f>D1345*I1345*H1345</x:f>
        <x:v>0.063357525</x:v>
      </x:c>
      <x:c r="K1345" s="13" t="n">
        <x:f>E1345*I1345*H1345</x:f>
        <x:v>0.06367630499999999</x:v>
      </x:c>
      <x:c r="L1345" s="1" t="str">
        <x:f>TEXT(A1345,"mmm yyyy")</x:f>
        <x:v>Jun 2026</x:v>
      </x:c>
    </x:row>
    <x:row r="1346" ht="21" customHeight="1">
      <x:c r="A1346" s="10" t="n">
        <x:v>46176</x:v>
      </x:c>
      <x:c r="B1346" s="1" t="n">
        <x:v>13</x:v>
      </x:c>
      <x:c r="C1346" s="1" t="n">
        <x:v>6</x:v>
      </x:c>
      <x:c r="D1346" s="12" t="n">
        <x:v>0.4593333333333333</x:v>
      </x:c>
      <x:c r="E1346" s="12" t="n">
        <x:v>0.4603333333333333</x:v>
      </x:c>
      <x:c r="F1346" s="12" t="n">
        <x:v>0</x:v>
      </x:c>
      <x:c r="G1346" s="12" t="n">
        <x:v>0</x:v>
      </x:c>
      <x:c r="H1346" s="1" t="n">
        <x:f>'Historical prices'!E1346</x:f>
        <x:v>1.05</x:v>
      </x:c>
      <x:c r="I1346" s="6" t="n">
        <x:f>'Historical prices'!D1346</x:f>
        <x:v>0.1388</x:v>
      </x:c>
      <x:c r="J1346" s="13" t="n">
        <x:f>D1346*I1346*H1346</x:f>
        <x:v>0.06694324</x:v>
      </x:c>
      <x:c r="K1346" s="13" t="n">
        <x:f>E1346*I1346*H1346</x:f>
        <x:v>0.06708898</x:v>
      </x:c>
      <x:c r="L1346" s="1" t="str">
        <x:f>TEXT(A1346,"mmm yyyy")</x:f>
        <x:v>Jun 2026</x:v>
      </x:c>
    </x:row>
    <x:row r="1347" ht="21" customHeight="1">
      <x:c r="A1347" s="10" t="n">
        <x:v>46176</x:v>
      </x:c>
      <x:c r="B1347" s="1" t="n">
        <x:v>13.5</x:v>
      </x:c>
      <x:c r="C1347" s="1" t="n">
        <x:v>6</x:v>
      </x:c>
      <x:c r="D1347" s="12" t="n">
        <x:v>0.42216666666666663</x:v>
      </x:c>
      <x:c r="E1347" s="12" t="n">
        <x:v>0.4231666666666667</x:v>
      </x:c>
      <x:c r="F1347" s="12" t="n">
        <x:v>0</x:v>
      </x:c>
      <x:c r="G1347" s="12" t="n">
        <x:v>0</x:v>
      </x:c>
      <x:c r="H1347" s="1" t="n">
        <x:f>'Historical prices'!E1347</x:f>
        <x:v>1.05</x:v>
      </x:c>
      <x:c r="I1347" s="6" t="n">
        <x:f>'Historical prices'!D1347</x:f>
        <x:v>0.1306</x:v>
      </x:c>
      <x:c r="J1347" s="13" t="n">
        <x:f>D1347*I1347*H1347</x:f>
        <x:v>0.057891714999999996</x:v>
      </x:c>
      <x:c r="K1347" s="13" t="n">
        <x:f>E1347*I1347*H1347</x:f>
        <x:v>0.058028845</x:v>
      </x:c>
      <x:c r="L1347" s="1" t="str">
        <x:f>TEXT(A1347,"mmm yyyy")</x:f>
        <x:v>Jun 2026</x:v>
      </x:c>
    </x:row>
    <x:row r="1348" ht="21" customHeight="1">
      <x:c r="A1348" s="10" t="n">
        <x:v>46176</x:v>
      </x:c>
      <x:c r="B1348" s="1" t="n">
        <x:v>14</x:v>
      </x:c>
      <x:c r="C1348" s="1" t="n">
        <x:v>6</x:v>
      </x:c>
      <x:c r="D1348" s="12" t="n">
        <x:v>4.47625</x:v>
      </x:c>
      <x:c r="E1348" s="12" t="n">
        <x:v>0.65325</x:v>
      </x:c>
      <x:c r="F1348" s="12" t="n">
        <x:v>0</x:v>
      </x:c>
      <x:c r="G1348" s="12" t="n">
        <x:v>3.8240000000000003</x:v>
      </x:c>
      <x:c r="H1348" s="1" t="n">
        <x:f>'Historical prices'!E1348</x:f>
        <x:v>1.05</x:v>
      </x:c>
      <x:c r="I1348" s="6" t="n">
        <x:f>'Historical prices'!D1348</x:f>
        <x:v>0.1056</x:v>
      </x:c>
      <x:c r="J1348" s="13" t="n">
        <x:f>D1348*I1348*H1348</x:f>
        <x:v>0.4963266</x:v>
      </x:c>
      <x:c r="K1348" s="13" t="n">
        <x:f>E1348*I1348*H1348</x:f>
        <x:v>0.07243236</x:v>
      </x:c>
      <x:c r="L1348" s="1" t="str">
        <x:f>TEXT(A1348,"mmm yyyy")</x:f>
        <x:v>Jun 2026</x:v>
      </x:c>
    </x:row>
    <x:row r="1349" ht="21" customHeight="1">
      <x:c r="A1349" s="10" t="n">
        <x:v>46176</x:v>
      </x:c>
      <x:c r="B1349" s="1" t="n">
        <x:v>14.5</x:v>
      </x:c>
      <x:c r="C1349" s="1" t="n">
        <x:v>6</x:v>
      </x:c>
      <x:c r="D1349" s="12" t="n">
        <x:v>5.329</x:v>
      </x:c>
      <x:c r="E1349" s="12" t="n">
        <x:v>0.757</x:v>
      </x:c>
      <x:c r="F1349" s="12" t="n">
        <x:v>0</x:v>
      </x:c>
      <x:c r="G1349" s="12" t="n">
        <x:v>4.572</x:v>
      </x:c>
      <x:c r="H1349" s="1" t="n">
        <x:f>'Historical prices'!E1349</x:f>
        <x:v>1.05</x:v>
      </x:c>
      <x:c r="I1349" s="6" t="n">
        <x:f>'Historical prices'!D1349</x:f>
        <x:v>0.09970000000000001</x:v>
      </x:c>
      <x:c r="J1349" s="13" t="n">
        <x:f>D1349*I1349*H1349</x:f>
        <x:v>0.557866365</x:v>
      </x:c>
      <x:c r="K1349" s="13" t="n">
        <x:f>E1349*I1349*H1349</x:f>
        <x:v>0.07924654500000002</x:v>
      </x:c>
      <x:c r="L1349" s="1" t="str">
        <x:f>TEXT(A1349,"mmm yyyy")</x:f>
        <x:v>Jun 2026</x:v>
      </x:c>
    </x:row>
    <x:row r="1350" ht="21" customHeight="1">
      <x:c r="A1350" s="10" t="n">
        <x:v>46176</x:v>
      </x:c>
      <x:c r="B1350" s="1" t="n">
        <x:v>15</x:v>
      </x:c>
      <x:c r="C1350" s="1" t="n">
        <x:v>6</x:v>
      </x:c>
      <x:c r="D1350" s="12" t="n">
        <x:v>1.2114166666666668</x:v>
      </x:c>
      <x:c r="E1350" s="12" t="n">
        <x:v>0.45641666666666664</x:v>
      </x:c>
      <x:c r="F1350" s="12" t="n">
        <x:v>0</x:v>
      </x:c>
      <x:c r="G1350" s="12" t="n">
        <x:v>0.761</x:v>
      </x:c>
      <x:c r="H1350" s="1" t="n">
        <x:f>'Historical prices'!E1350</x:f>
        <x:v>1.05</x:v>
      </x:c>
      <x:c r="I1350" s="6" t="n">
        <x:f>'Historical prices'!D1350</x:f>
        <x:v>0.1304</x:v>
      </x:c>
      <x:c r="J1350" s="13" t="n">
        <x:f>D1350*I1350*H1350</x:f>
        <x:v>0.16586717</x:v>
      </x:c>
      <x:c r="K1350" s="13" t="n">
        <x:f>E1350*I1350*H1350</x:f>
        <x:v>0.06249256999999999</x:v>
      </x:c>
      <x:c r="L1350" s="1" t="str">
        <x:f>TEXT(A1350,"mmm yyyy")</x:f>
        <x:v>Jun 2026</x:v>
      </x:c>
    </x:row>
    <x:row r="1351" ht="21" customHeight="1">
      <x:c r="A1351" s="10" t="n">
        <x:v>46176</x:v>
      </x:c>
      <x:c r="B1351" s="1" t="n">
        <x:v>15.5</x:v>
      </x:c>
      <x:c r="C1351" s="1" t="n">
        <x:v>6</x:v>
      </x:c>
      <x:c r="D1351" s="12" t="n">
        <x:v>0.4405833333333333</x:v>
      </x:c>
      <x:c r="E1351" s="12" t="n">
        <x:v>0.48858333333333337</x:v>
      </x:c>
      <x:c r="F1351" s="12" t="n">
        <x:v>0.041999999999999996</x:v>
      </x:c>
      <x:c r="G1351" s="12" t="n">
        <x:v>0</x:v>
      </x:c>
      <x:c r="H1351" s="1" t="n">
        <x:f>'Historical prices'!E1351</x:f>
        <x:v>1.05</x:v>
      </x:c>
      <x:c r="I1351" s="6" t="n">
        <x:f>'Historical prices'!D1351</x:f>
        <x:v>0.1396</x:v>
      </x:c>
      <x:c r="J1351" s="13" t="n">
        <x:f>D1351*I1351*H1351</x:f>
        <x:v>0.064580705</x:v>
      </x:c>
      <x:c r="K1351" s="13" t="n">
        <x:f>E1351*I1351*H1351</x:f>
        <x:v>0.071616545</x:v>
      </x:c>
      <x:c r="L1351" s="1" t="str">
        <x:f>TEXT(A1351,"mmm yyyy")</x:f>
        <x:v>Jun 2026</x:v>
      </x:c>
    </x:row>
    <x:row r="1352" ht="21" customHeight="1">
      <x:c r="A1352" s="10" t="n">
        <x:v>46176</x:v>
      </x:c>
      <x:c r="B1352" s="1" t="n">
        <x:v>16</x:v>
      </x:c>
      <x:c r="C1352" s="1" t="n">
        <x:v>6</x:v>
      </x:c>
      <x:c r="D1352" s="12" t="n">
        <x:v>0.05416666666666667</x:v>
      </x:c>
      <x:c r="E1352" s="12" t="n">
        <x:v>0.5091666666666667</x:v>
      </x:c>
      <x:c r="F1352" s="12" t="n">
        <x:v>0.4548333333333333</x:v>
      </x:c>
      <x:c r="G1352" s="12" t="n">
        <x:v>0</x:v>
      </x:c>
      <x:c r="H1352" s="1" t="n">
        <x:f>'Historical prices'!E1352</x:f>
        <x:v>1.05</x:v>
      </x:c>
      <x:c r="I1352" s="6" t="n">
        <x:f>'Historical prices'!D1352</x:f>
        <x:v>0.2646</x:v>
      </x:c>
      <x:c r="J1352" s="13" t="n">
        <x:f>D1352*I1352*H1352</x:f>
        <x:v>0.015049125</x:v>
      </x:c>
      <x:c r="K1352" s="13" t="n">
        <x:f>E1352*I1352*H1352</x:f>
        <x:v>0.141461775</x:v>
      </x:c>
      <x:c r="L1352" s="1" t="str">
        <x:f>TEXT(A1352,"mmm yyyy")</x:f>
        <x:v>Jun 2026</x:v>
      </x:c>
    </x:row>
    <x:row r="1353" ht="21" customHeight="1">
      <x:c r="A1353" s="10" t="n">
        <x:v>46176</x:v>
      </x:c>
      <x:c r="B1353" s="1" t="n">
        <x:v>16.5</x:v>
      </x:c>
      <x:c r="C1353" s="1" t="n">
        <x:v>6</x:v>
      </x:c>
      <x:c r="D1353" s="12" t="n">
        <x:v>0</x:v>
      </x:c>
      <x:c r="E1353" s="12" t="n">
        <x:v>0.6599166666666667</x:v>
      </x:c>
      <x:c r="F1353" s="12" t="n">
        <x:v>0.6599166666666667</x:v>
      </x:c>
      <x:c r="G1353" s="12" t="n">
        <x:v>0</x:v>
      </x:c>
      <x:c r="H1353" s="1" t="n">
        <x:f>'Historical prices'!E1353</x:f>
        <x:v>1.05</x:v>
      </x:c>
      <x:c r="I1353" s="6" t="n">
        <x:f>'Historical prices'!D1353</x:f>
        <x:v>0.2756</x:v>
      </x:c>
      <x:c r="J1353" s="13" t="n">
        <x:f>D1353*I1353*H1353</x:f>
        <x:v>0</x:v>
      </x:c>
      <x:c r="K1353" s="13" t="n">
        <x:f>E1353*I1353*H1353</x:f>
        <x:v>0.19096668500000002</x:v>
      </x:c>
      <x:c r="L1353" s="1" t="str">
        <x:f>TEXT(A1353,"mmm yyyy")</x:f>
        <x:v>Jun 2026</x:v>
      </x:c>
    </x:row>
    <x:row r="1354" ht="21" customHeight="1">
      <x:c r="A1354" s="10" t="n">
        <x:v>46176</x:v>
      </x:c>
      <x:c r="B1354" s="1" t="n">
        <x:v>17</x:v>
      </x:c>
      <x:c r="C1354" s="1" t="n">
        <x:v>6</x:v>
      </x:c>
      <x:c r="D1354" s="12" t="n">
        <x:v>0</x:v>
      </x:c>
      <x:c r="E1354" s="12" t="n">
        <x:v>0.6006666666666667</x:v>
      </x:c>
      <x:c r="F1354" s="12" t="n">
        <x:v>0.6005833333333332</x:v>
      </x:c>
      <x:c r="G1354" s="12" t="n">
        <x:v>0</x:v>
      </x:c>
      <x:c r="H1354" s="1" t="n">
        <x:f>'Historical prices'!E1354</x:f>
        <x:v>1.05</x:v>
      </x:c>
      <x:c r="I1354" s="6" t="n">
        <x:f>'Historical prices'!D1354</x:f>
        <x:v>0.2799</x:v>
      </x:c>
      <x:c r="J1354" s="13" t="n">
        <x:f>D1354*I1354*H1354</x:f>
        <x:v>0</x:v>
      </x:c>
      <x:c r="K1354" s="13" t="n">
        <x:f>E1354*I1354*H1354</x:f>
        <x:v>0.17653293</x:v>
      </x:c>
      <x:c r="L1354" s="1" t="str">
        <x:f>TEXT(A1354,"mmm yyyy")</x:f>
        <x:v>Jun 2026</x:v>
      </x:c>
    </x:row>
    <x:row r="1355" ht="21" customHeight="1">
      <x:c r="A1355" s="10" t="n">
        <x:v>46176</x:v>
      </x:c>
      <x:c r="B1355" s="1" t="n">
        <x:v>17.5</x:v>
      </x:c>
      <x:c r="C1355" s="1" t="n">
        <x:v>6</x:v>
      </x:c>
      <x:c r="D1355" s="12" t="n">
        <x:v>0</x:v>
      </x:c>
      <x:c r="E1355" s="12" t="n">
        <x:v>0.5749166666666667</x:v>
      </x:c>
      <x:c r="F1355" s="12" t="n">
        <x:v>0.5748333333333333</x:v>
      </x:c>
      <x:c r="G1355" s="12" t="n">
        <x:v>0</x:v>
      </x:c>
      <x:c r="H1355" s="1" t="n">
        <x:f>'Historical prices'!E1355</x:f>
        <x:v>1.05</x:v>
      </x:c>
      <x:c r="I1355" s="6" t="n">
        <x:f>'Historical prices'!D1355</x:f>
        <x:v>0.2992</x:v>
      </x:c>
      <x:c r="J1355" s="13" t="n">
        <x:f>D1355*I1355*H1355</x:f>
        <x:v>0</x:v>
      </x:c>
      <x:c r="K1355" s="13" t="n">
        <x:f>E1355*I1355*H1355</x:f>
        <x:v>0.18061582000000004</x:v>
      </x:c>
      <x:c r="L1355" s="1" t="str">
        <x:f>TEXT(A1355,"mmm yyyy")</x:f>
        <x:v>Jun 2026</x:v>
      </x:c>
    </x:row>
    <x:row r="1356" ht="21" customHeight="1">
      <x:c r="A1356" s="10" t="n">
        <x:v>46176</x:v>
      </x:c>
      <x:c r="B1356" s="1" t="n">
        <x:v>18</x:v>
      </x:c>
      <x:c r="C1356" s="1" t="n">
        <x:v>6</x:v>
      </x:c>
      <x:c r="D1356" s="12" t="n">
        <x:v>0</x:v>
      </x:c>
      <x:c r="E1356" s="12" t="n">
        <x:v>0.5368333333333334</x:v>
      </x:c>
      <x:c r="F1356" s="12" t="n">
        <x:v>0.5368333333333334</x:v>
      </x:c>
      <x:c r="G1356" s="12" t="n">
        <x:v>0</x:v>
      </x:c>
      <x:c r="H1356" s="1" t="n">
        <x:f>'Historical prices'!E1356</x:f>
        <x:v>1.05</x:v>
      </x:c>
      <x:c r="I1356" s="6" t="n">
        <x:f>'Historical prices'!D1356</x:f>
        <x:v>0.326</x:v>
      </x:c>
      <x:c r="J1356" s="13" t="n">
        <x:f>D1356*I1356*H1356</x:f>
        <x:v>0</x:v>
      </x:c>
      <x:c r="K1356" s="13" t="n">
        <x:f>E1356*I1356*H1356</x:f>
        <x:v>0.18375805000000003</x:v>
      </x:c>
      <x:c r="L1356" s="1" t="str">
        <x:f>TEXT(A1356,"mmm yyyy")</x:f>
        <x:v>Jun 2026</x:v>
      </x:c>
    </x:row>
    <x:row r="1357" ht="21" customHeight="1">
      <x:c r="A1357" s="10" t="n">
        <x:v>46176</x:v>
      </x:c>
      <x:c r="B1357" s="1" t="n">
        <x:v>18.5</x:v>
      </x:c>
      <x:c r="C1357" s="1" t="n">
        <x:v>6</x:v>
      </x:c>
      <x:c r="D1357" s="12" t="n">
        <x:v>0</x:v>
      </x:c>
      <x:c r="E1357" s="12" t="n">
        <x:v>0.45975</x:v>
      </x:c>
      <x:c r="F1357" s="12" t="n">
        <x:v>0.45458333333333334</x:v>
      </x:c>
      <x:c r="G1357" s="12" t="n">
        <x:v>0</x:v>
      </x:c>
      <x:c r="H1357" s="1" t="n">
        <x:f>'Historical prices'!E1357</x:f>
        <x:v>1.05</x:v>
      </x:c>
      <x:c r="I1357" s="6" t="n">
        <x:f>'Historical prices'!D1357</x:f>
        <x:v>0.3264</x:v>
      </x:c>
      <x:c r="J1357" s="13" t="n">
        <x:f>D1357*I1357*H1357</x:f>
        <x:v>0</x:v>
      </x:c>
      <x:c r="K1357" s="13" t="n">
        <x:f>E1357*I1357*H1357</x:f>
        <x:v>0.15756552000000001</x:v>
      </x:c>
      <x:c r="L1357" s="1" t="str">
        <x:f>TEXT(A1357,"mmm yyyy")</x:f>
        <x:v>Jun 2026</x:v>
      </x:c>
    </x:row>
    <x:row r="1358" ht="21" customHeight="1">
      <x:c r="A1358" s="10" t="n">
        <x:v>46176</x:v>
      </x:c>
      <x:c r="B1358" s="1" t="n">
        <x:v>19</x:v>
      </x:c>
      <x:c r="C1358" s="1" t="n">
        <x:v>6</x:v>
      </x:c>
      <x:c r="D1358" s="12" t="n">
        <x:v>0</x:v>
      </x:c>
      <x:c r="E1358" s="12" t="n">
        <x:v>0.4578333333333333</x:v>
      </x:c>
      <x:c r="F1358" s="12" t="n">
        <x:v>0.4578333333333333</x:v>
      </x:c>
      <x:c r="G1358" s="12" t="n">
        <x:v>0</x:v>
      </x:c>
      <x:c r="H1358" s="1" t="n">
        <x:f>'Historical prices'!E1358</x:f>
        <x:v>1.05</x:v>
      </x:c>
      <x:c r="I1358" s="6" t="n">
        <x:f>'Historical prices'!D1358</x:f>
        <x:v>0.2089</x:v>
      </x:c>
      <x:c r="J1358" s="13" t="n">
        <x:f>D1358*I1358*H1358</x:f>
        <x:v>0</x:v>
      </x:c>
      <x:c r="K1358" s="13" t="n">
        <x:f>E1358*I1358*H1358</x:f>
        <x:v>0.1004234525</x:v>
      </x:c>
      <x:c r="L1358" s="1" t="str">
        <x:f>TEXT(A1358,"mmm yyyy")</x:f>
        <x:v>Jun 2026</x:v>
      </x:c>
    </x:row>
    <x:row r="1359" ht="21" customHeight="1">
      <x:c r="A1359" s="10" t="n">
        <x:v>46176</x:v>
      </x:c>
      <x:c r="B1359" s="1" t="n">
        <x:v>19.5</x:v>
      </x:c>
      <x:c r="C1359" s="1" t="n">
        <x:v>6</x:v>
      </x:c>
      <x:c r="D1359" s="12" t="n">
        <x:v>0</x:v>
      </x:c>
      <x:c r="E1359" s="12" t="n">
        <x:v>0.42374999999999996</x:v>
      </x:c>
      <x:c r="F1359" s="12" t="n">
        <x:v>0.42374999999999996</x:v>
      </x:c>
      <x:c r="G1359" s="12" t="n">
        <x:v>0</x:v>
      </x:c>
      <x:c r="H1359" s="1" t="n">
        <x:f>'Historical prices'!E1359</x:f>
        <x:v>1.05</x:v>
      </x:c>
      <x:c r="I1359" s="6" t="n">
        <x:f>'Historical prices'!D1359</x:f>
        <x:v>0.2141</x:v>
      </x:c>
      <x:c r="J1359" s="13" t="n">
        <x:f>D1359*I1359*H1359</x:f>
        <x:v>0</x:v>
      </x:c>
      <x:c r="K1359" s="13" t="n">
        <x:f>E1359*I1359*H1359</x:f>
        <x:v>0.09526111875</x:v>
      </x:c>
      <x:c r="L1359" s="1" t="str">
        <x:f>TEXT(A1359,"mmm yyyy")</x:f>
        <x:v>Jun 2026</x:v>
      </x:c>
    </x:row>
    <x:row r="1360" ht="21" customHeight="1">
      <x:c r="A1360" s="10" t="n">
        <x:v>46176</x:v>
      </x:c>
      <x:c r="B1360" s="1" t="n">
        <x:v>20</x:v>
      </x:c>
      <x:c r="C1360" s="1" t="n">
        <x:v>6</x:v>
      </x:c>
      <x:c r="D1360" s="12" t="n">
        <x:v>0</x:v>
      </x:c>
      <x:c r="E1360" s="12" t="n">
        <x:v>0.41700000000000004</x:v>
      </x:c>
      <x:c r="F1360" s="12" t="n">
        <x:v>0.4169166666666667</x:v>
      </x:c>
      <x:c r="G1360" s="12" t="n">
        <x:v>0</x:v>
      </x:c>
      <x:c r="H1360" s="1" t="n">
        <x:f>'Historical prices'!E1360</x:f>
        <x:v>1.05</x:v>
      </x:c>
      <x:c r="I1360" s="6" t="n">
        <x:f>'Historical prices'!D1360</x:f>
        <x:v>0.20809999999999998</x:v>
      </x:c>
      <x:c r="J1360" s="13" t="n">
        <x:f>D1360*I1360*H1360</x:f>
        <x:v>0</x:v>
      </x:c>
      <x:c r="K1360" s="13" t="n">
        <x:f>E1360*I1360*H1360</x:f>
        <x:v>0.091116585</x:v>
      </x:c>
      <x:c r="L1360" s="1" t="str">
        <x:f>TEXT(A1360,"mmm yyyy")</x:f>
        <x:v>Jun 2026</x:v>
      </x:c>
    </x:row>
    <x:row r="1361" ht="21" customHeight="1">
      <x:c r="A1361" s="10" t="n">
        <x:v>46176</x:v>
      </x:c>
      <x:c r="B1361" s="1" t="n">
        <x:v>20.5</x:v>
      </x:c>
      <x:c r="C1361" s="1" t="n">
        <x:v>6</x:v>
      </x:c>
      <x:c r="D1361" s="12" t="n">
        <x:v>0</x:v>
      </x:c>
      <x:c r="E1361" s="12" t="n">
        <x:v>0.5117499999999999</x:v>
      </x:c>
      <x:c r="F1361" s="12" t="n">
        <x:v>0.5117499999999999</x:v>
      </x:c>
      <x:c r="G1361" s="12" t="n">
        <x:v>0</x:v>
      </x:c>
      <x:c r="H1361" s="1" t="n">
        <x:f>'Historical prices'!E1361</x:f>
        <x:v>1.05</x:v>
      </x:c>
      <x:c r="I1361" s="6" t="n">
        <x:f>'Historical prices'!D1361</x:f>
        <x:v>0.2104</x:v>
      </x:c>
      <x:c r="J1361" s="13" t="n">
        <x:f>D1361*I1361*H1361</x:f>
        <x:v>0</x:v>
      </x:c>
      <x:c r="K1361" s="13" t="n">
        <x:f>E1361*I1361*H1361</x:f>
        <x:v>0.11305580999999998</x:v>
      </x:c>
      <x:c r="L1361" s="1" t="str">
        <x:f>TEXT(A1361,"mmm yyyy")</x:f>
        <x:v>Jun 2026</x:v>
      </x:c>
    </x:row>
    <x:row r="1362" ht="21" customHeight="1">
      <x:c r="A1362" s="10" t="n">
        <x:v>46176</x:v>
      </x:c>
      <x:c r="B1362" s="1" t="n">
        <x:v>21</x:v>
      </x:c>
      <x:c r="C1362" s="1" t="n">
        <x:v>6</x:v>
      </x:c>
      <x:c r="D1362" s="12" t="n">
        <x:v>0</x:v>
      </x:c>
      <x:c r="E1362" s="12" t="n">
        <x:v>0.47391666666666665</x:v>
      </x:c>
      <x:c r="F1362" s="12" t="n">
        <x:v>0.47275</x:v>
      </x:c>
      <x:c r="G1362" s="12" t="n">
        <x:v>0</x:v>
      </x:c>
      <x:c r="H1362" s="1" t="n">
        <x:f>'Historical prices'!E1362</x:f>
        <x:v>1.05</x:v>
      </x:c>
      <x:c r="I1362" s="6" t="n">
        <x:f>'Historical prices'!D1362</x:f>
        <x:v>0.20809999999999998</x:v>
      </x:c>
      <x:c r="J1362" s="13" t="n">
        <x:f>D1362*I1362*H1362</x:f>
        <x:v>0</x:v>
      </x:c>
      <x:c r="K1362" s="13" t="n">
        <x:f>E1362*I1362*H1362</x:f>
        <x:v>0.10355316124999998</x:v>
      </x:c>
      <x:c r="L1362" s="1" t="str">
        <x:f>TEXT(A1362,"mmm yyyy")</x:f>
        <x:v>Jun 2026</x:v>
      </x:c>
    </x:row>
    <x:row r="1363" ht="21" customHeight="1">
      <x:c r="A1363" s="10" t="n">
        <x:v>46176</x:v>
      </x:c>
      <x:c r="B1363" s="1" t="n">
        <x:v>21.5</x:v>
      </x:c>
      <x:c r="C1363" s="1" t="n">
        <x:v>6</x:v>
      </x:c>
      <x:c r="D1363" s="12" t="n">
        <x:v>0</x:v>
      </x:c>
      <x:c r="E1363" s="12" t="n">
        <x:v>0.7266666666666667</x:v>
      </x:c>
      <x:c r="F1363" s="12" t="n">
        <x:v>0.7266666666666667</x:v>
      </x:c>
      <x:c r="G1363" s="12" t="n">
        <x:v>0</x:v>
      </x:c>
      <x:c r="H1363" s="1" t="n">
        <x:f>'Historical prices'!E1363</x:f>
        <x:v>1.05</x:v>
      </x:c>
      <x:c r="I1363" s="6" t="n">
        <x:f>'Historical prices'!D1363</x:f>
        <x:v>0.1913</x:v>
      </x:c>
      <x:c r="J1363" s="13" t="n">
        <x:f>D1363*I1363*H1363</x:f>
        <x:v>0</x:v>
      </x:c>
      <x:c r="K1363" s="13" t="n">
        <x:f>E1363*I1363*H1363</x:f>
        <x:v>0.14596190000000003</x:v>
      </x:c>
      <x:c r="L1363" s="1" t="str">
        <x:f>TEXT(A1363,"mmm yyyy")</x:f>
        <x:v>Jun 2026</x:v>
      </x:c>
    </x:row>
    <x:row r="1364" ht="21" customHeight="1">
      <x:c r="A1364" s="10" t="n">
        <x:v>46176</x:v>
      </x:c>
      <x:c r="B1364" s="1" t="n">
        <x:v>22</x:v>
      </x:c>
      <x:c r="C1364" s="1" t="n">
        <x:v>6</x:v>
      </x:c>
      <x:c r="D1364" s="12" t="n">
        <x:v>0</x:v>
      </x:c>
      <x:c r="E1364" s="12" t="n">
        <x:v>0.70825</x:v>
      </x:c>
      <x:c r="F1364" s="12" t="n">
        <x:v>0.708</x:v>
      </x:c>
      <x:c r="G1364" s="12" t="n">
        <x:v>0</x:v>
      </x:c>
      <x:c r="H1364" s="1" t="n">
        <x:f>'Historical prices'!E1364</x:f>
        <x:v>1.05</x:v>
      </x:c>
      <x:c r="I1364" s="6" t="n">
        <x:f>'Historical prices'!D1364</x:f>
        <x:v>0.1734</x:v>
      </x:c>
      <x:c r="J1364" s="13" t="n">
        <x:f>D1364*I1364*H1364</x:f>
        <x:v>0</x:v>
      </x:c>
      <x:c r="K1364" s="13" t="n">
        <x:f>E1364*I1364*H1364</x:f>
        <x:v>0.1289510775</x:v>
      </x:c>
      <x:c r="L1364" s="1" t="str">
        <x:f>TEXT(A1364,"mmm yyyy")</x:f>
        <x:v>Jun 2026</x:v>
      </x:c>
    </x:row>
    <x:row r="1365" ht="21" customHeight="1">
      <x:c r="A1365" s="10" t="n">
        <x:v>46176</x:v>
      </x:c>
      <x:c r="B1365" s="1" t="n">
        <x:v>22.5</x:v>
      </x:c>
      <x:c r="C1365" s="1" t="n">
        <x:v>6</x:v>
      </x:c>
      <x:c r="D1365" s="12" t="n">
        <x:v>0</x:v>
      </x:c>
      <x:c r="E1365" s="12" t="n">
        <x:v>0.6060833333333334</x:v>
      </x:c>
      <x:c r="F1365" s="12" t="n">
        <x:v>0.6057500000000001</x:v>
      </x:c>
      <x:c r="G1365" s="12" t="n">
        <x:v>0</x:v>
      </x:c>
      <x:c r="H1365" s="1" t="n">
        <x:f>'Historical prices'!E1365</x:f>
        <x:v>1.05</x:v>
      </x:c>
      <x:c r="I1365" s="6" t="n">
        <x:f>'Historical prices'!D1365</x:f>
        <x:v>0.142</x:v>
      </x:c>
      <x:c r="J1365" s="13" t="n">
        <x:f>D1365*I1365*H1365</x:f>
        <x:v>0</x:v>
      </x:c>
      <x:c r="K1365" s="13" t="n">
        <x:f>E1365*I1365*H1365</x:f>
        <x:v>0.090367025</x:v>
      </x:c>
      <x:c r="L1365" s="1" t="str">
        <x:f>TEXT(A1365,"mmm yyyy")</x:f>
        <x:v>Jun 2026</x:v>
      </x:c>
    </x:row>
    <x:row r="1366" ht="21" customHeight="1">
      <x:c r="A1366" s="10" t="n">
        <x:v>46176</x:v>
      </x:c>
      <x:c r="B1366" s="1" t="n">
        <x:v>23</x:v>
      </x:c>
      <x:c r="C1366" s="1" t="n">
        <x:v>6</x:v>
      </x:c>
      <x:c r="D1366" s="12" t="n">
        <x:v>0</x:v>
      </x:c>
      <x:c r="E1366" s="12" t="n">
        <x:v>0.29366666666666663</x:v>
      </x:c>
      <x:c r="F1366" s="12" t="n">
        <x:v>0.29366666666666663</x:v>
      </x:c>
      <x:c r="G1366" s="12" t="n">
        <x:v>0</x:v>
      </x:c>
      <x:c r="H1366" s="1" t="n">
        <x:f>'Historical prices'!E1366</x:f>
        <x:v>1.05</x:v>
      </x:c>
      <x:c r="I1366" s="6" t="n">
        <x:f>'Historical prices'!D1366</x:f>
        <x:v>0.11779999999999999</x:v>
      </x:c>
      <x:c r="J1366" s="13" t="n">
        <x:f>D1366*I1366*H1366</x:f>
        <x:v>0</x:v>
      </x:c>
      <x:c r="K1366" s="13" t="n">
        <x:f>E1366*I1366*H1366</x:f>
        <x:v>0.036323629999999996</x:v>
      </x:c>
      <x:c r="L1366" s="1" t="str">
        <x:f>TEXT(A1366,"mmm yyyy")</x:f>
        <x:v>Jun 2026</x:v>
      </x:c>
    </x:row>
    <x:row r="1367" ht="21" customHeight="1">
      <x:c r="A1367" s="10" t="n">
        <x:v>46176</x:v>
      </x:c>
      <x:c r="B1367" s="1" t="n">
        <x:v>23.5</x:v>
      </x:c>
      <x:c r="C1367" s="1" t="n">
        <x:v>6</x:v>
      </x:c>
      <x:c r="D1367" s="12" t="n">
        <x:v>0</x:v>
      </x:c>
      <x:c r="E1367" s="12" t="n">
        <x:v>0.306</x:v>
      </x:c>
      <x:c r="F1367" s="12" t="n">
        <x:v>0.3058333333333333</x:v>
      </x:c>
      <x:c r="G1367" s="12" t="n">
        <x:v>0</x:v>
      </x:c>
      <x:c r="H1367" s="1" t="n">
        <x:f>'Historical prices'!E1367</x:f>
        <x:v>1.05</x:v>
      </x:c>
      <x:c r="I1367" s="6" t="n">
        <x:f>'Historical prices'!D1367</x:f>
        <x:v>0.1107</x:v>
      </x:c>
      <x:c r="J1367" s="13" t="n">
        <x:f>D1367*I1367*H1367</x:f>
        <x:v>0</x:v>
      </x:c>
      <x:c r="K1367" s="13" t="n">
        <x:f>E1367*I1367*H1367</x:f>
        <x:v>0.03556791</x:v>
      </x:c>
      <x:c r="L1367" s="1" t="str">
        <x:f>TEXT(A1367,"mmm yyyy")</x:f>
        <x:v>Jun 2026</x:v>
      </x:c>
    </x:row>
    <x:row r="1368" ht="21" customHeight="1">
      <x:c r="A1368" s="10" t="n">
        <x:v>46177</x:v>
      </x:c>
      <x:c r="B1368" s="1" t="n">
        <x:v>0</x:v>
      </x:c>
      <x:c r="C1368" s="1" t="n">
        <x:v>6</x:v>
      </x:c>
      <x:c r="D1368" s="12" t="n">
        <x:v>0.1615</x:v>
      </x:c>
      <x:c r="E1368" s="12" t="n">
        <x:v>0.21550000000000002</x:v>
      </x:c>
      <x:c r="F1368" s="12" t="n">
        <x:v>0.046</x:v>
      </x:c>
      <x:c r="G1368" s="12" t="n">
        <x:v>0</x:v>
      </x:c>
      <x:c r="H1368" s="1" t="n">
        <x:f>'Historical prices'!E1368</x:f>
        <x:v>1.05</x:v>
      </x:c>
      <x:c r="I1368" s="6" t="n">
        <x:f>'Historical prices'!D1368</x:f>
        <x:v>0.0817</x:v>
      </x:c>
      <x:c r="J1368" s="13" t="n">
        <x:f>D1368*I1368*H1368</x:f>
        <x:v>0.0138542775</x:v>
      </x:c>
      <x:c r="K1368" s="13" t="n">
        <x:f>E1368*I1368*H1368</x:f>
        <x:v>0.0184866675</x:v>
      </x:c>
      <x:c r="L1368" s="1" t="str">
        <x:f>TEXT(A1368,"mmm yyyy")</x:f>
        <x:v>Jun 2026</x:v>
      </x:c>
    </x:row>
    <x:row r="1369" ht="21" customHeight="1">
      <x:c r="A1369" s="10" t="n">
        <x:v>46177</x:v>
      </x:c>
      <x:c r="B1369" s="1" t="n">
        <x:v>0.5</x:v>
      </x:c>
      <x:c r="C1369" s="1" t="n">
        <x:v>6</x:v>
      </x:c>
      <x:c r="D1369" s="12" t="n">
        <x:v>4.44575</x:v>
      </x:c>
      <x:c r="E1369" s="12" t="n">
        <x:v>0.7977500000000001</x:v>
      </x:c>
      <x:c r="F1369" s="12" t="n">
        <x:v>0</x:v>
      </x:c>
      <x:c r="G1369" s="12" t="n">
        <x:v>3.6500000000000004</x:v>
      </x:c>
      <x:c r="H1369" s="1" t="n">
        <x:f>'Historical prices'!E1369</x:f>
        <x:v>1.05</x:v>
      </x:c>
      <x:c r="I1369" s="6" t="n">
        <x:f>'Historical prices'!D1369</x:f>
        <x:v>0.0775</x:v>
      </x:c>
      <x:c r="J1369" s="13" t="n">
        <x:f>D1369*I1369*H1369</x:f>
        <x:v>0.36177290625</x:v>
      </x:c>
      <x:c r="K1369" s="13" t="n">
        <x:f>E1369*I1369*H1369</x:f>
        <x:v>0.06491690625</x:v>
      </x:c>
      <x:c r="L1369" s="1" t="str">
        <x:f>TEXT(A1369,"mmm yyyy")</x:f>
        <x:v>Jun 2026</x:v>
      </x:c>
    </x:row>
    <x:row r="1370" ht="21" customHeight="1">
      <x:c r="A1370" s="10" t="n">
        <x:v>46177</x:v>
      </x:c>
      <x:c r="B1370" s="1" t="n">
        <x:v>1</x:v>
      </x:c>
      <x:c r="C1370" s="1" t="n">
        <x:v>6</x:v>
      </x:c>
      <x:c r="D1370" s="12" t="n">
        <x:v>0.9940833333333334</x:v>
      </x:c>
      <x:c r="E1370" s="12" t="n">
        <x:v>0.26308333333333334</x:v>
      </x:c>
      <x:c r="F1370" s="12" t="n">
        <x:v>0</x:v>
      </x:c>
      <x:c r="G1370" s="12" t="n">
        <x:v>0.734</x:v>
      </x:c>
      <x:c r="H1370" s="1" t="n">
        <x:f>'Historical prices'!E1370</x:f>
        <x:v>1.05</x:v>
      </x:c>
      <x:c r="I1370" s="6" t="n">
        <x:f>'Historical prices'!D1370</x:f>
        <x:v>0.0892</x:v>
      </x:c>
      <x:c r="J1370" s="13" t="n">
        <x:f>D1370*I1370*H1370</x:f>
        <x:v>0.09310584500000002</x:v>
      </x:c>
      <x:c r="K1370" s="13" t="n">
        <x:f>E1370*I1370*H1370</x:f>
        <x:v>0.024640385000000004</x:v>
      </x:c>
      <x:c r="L1370" s="1" t="str">
        <x:f>TEXT(A1370,"mmm yyyy")</x:f>
        <x:v>Jun 2026</x:v>
      </x:c>
    </x:row>
    <x:row r="1371" ht="21" customHeight="1">
      <x:c r="A1371" s="10" t="n">
        <x:v>46177</x:v>
      </x:c>
      <x:c r="B1371" s="1" t="n">
        <x:v>1.5</x:v>
      </x:c>
      <x:c r="C1371" s="1" t="n">
        <x:v>6</x:v>
      </x:c>
      <x:c r="D1371" s="12" t="n">
        <x:v>0.2255</x:v>
      </x:c>
      <x:c r="E1371" s="12" t="n">
        <x:v>0.23750000000000002</x:v>
      </x:c>
      <x:c r="F1371" s="12" t="n">
        <x:v>0</x:v>
      </x:c>
      <x:c r="G1371" s="12" t="n">
        <x:v>0</x:v>
      </x:c>
      <x:c r="H1371" s="1" t="n">
        <x:f>'Historical prices'!E1371</x:f>
        <x:v>1.05</x:v>
      </x:c>
      <x:c r="I1371" s="6" t="n">
        <x:f>'Historical prices'!D1371</x:f>
        <x:v>0.0926</x:v>
      </x:c>
      <x:c r="J1371" s="13" t="n">
        <x:f>D1371*I1371*H1371</x:f>
        <x:v>0.021925365000000002</x:v>
      </x:c>
      <x:c r="K1371" s="13" t="n">
        <x:f>E1371*I1371*H1371</x:f>
        <x:v>0.023092125</x:v>
      </x:c>
      <x:c r="L1371" s="1" t="str">
        <x:f>TEXT(A1371,"mmm yyyy")</x:f>
        <x:v>Jun 2026</x:v>
      </x:c>
    </x:row>
    <x:row r="1372" ht="21" customHeight="1">
      <x:c r="A1372" s="10" t="n">
        <x:v>46177</x:v>
      </x:c>
      <x:c r="B1372" s="1" t="n">
        <x:v>2</x:v>
      </x:c>
      <x:c r="C1372" s="1" t="n">
        <x:v>6</x:v>
      </x:c>
      <x:c r="D1372" s="12" t="n">
        <x:v>0.20158333333333334</x:v>
      </x:c>
      <x:c r="E1372" s="12" t="n">
        <x:v>0.21158333333333335</x:v>
      </x:c>
      <x:c r="F1372" s="12" t="n">
        <x:v>0</x:v>
      </x:c>
      <x:c r="G1372" s="12" t="n">
        <x:v>0</x:v>
      </x:c>
      <x:c r="H1372" s="1" t="n">
        <x:f>'Historical prices'!E1372</x:f>
        <x:v>1.05</x:v>
      </x:c>
      <x:c r="I1372" s="6" t="n">
        <x:f>'Historical prices'!D1372</x:f>
        <x:v>0.0917</x:v>
      </x:c>
      <x:c r="J1372" s="13" t="n">
        <x:f>D1372*I1372*H1372</x:f>
        <x:v>0.01940945125</x:v>
      </x:c>
      <x:c r="K1372" s="13" t="n">
        <x:f>E1372*I1372*H1372</x:f>
        <x:v>0.020372301250000002</x:v>
      </x:c>
      <x:c r="L1372" s="1" t="str">
        <x:f>TEXT(A1372,"mmm yyyy")</x:f>
        <x:v>Jun 2026</x:v>
      </x:c>
    </x:row>
    <x:row r="1373" ht="21" customHeight="1">
      <x:c r="A1373" s="10" t="n">
        <x:v>46177</x:v>
      </x:c>
      <x:c r="B1373" s="1" t="n">
        <x:v>2.5</x:v>
      </x:c>
      <x:c r="C1373" s="1" t="n">
        <x:v>6</x:v>
      </x:c>
      <x:c r="D1373" s="12" t="n">
        <x:v>0.16208333333333333</x:v>
      </x:c>
      <x:c r="E1373" s="12" t="n">
        <x:v>0.17408333333333334</x:v>
      </x:c>
      <x:c r="F1373" s="12" t="n">
        <x:v>0</x:v>
      </x:c>
      <x:c r="G1373" s="12" t="n">
        <x:v>0</x:v>
      </x:c>
      <x:c r="H1373" s="1" t="n">
        <x:f>'Historical prices'!E1373</x:f>
        <x:v>1.05</x:v>
      </x:c>
      <x:c r="I1373" s="6" t="n">
        <x:f>'Historical prices'!D1373</x:f>
        <x:v>0.0859</x:v>
      </x:c>
      <x:c r="J1373" s="13" t="n">
        <x:f>D1373*I1373*H1373</x:f>
        <x:v>0.014619106250000001</x:v>
      </x:c>
      <x:c r="K1373" s="13" t="n">
        <x:f>E1373*I1373*H1373</x:f>
        <x:v>0.01570144625</x:v>
      </x:c>
      <x:c r="L1373" s="1" t="str">
        <x:f>TEXT(A1373,"mmm yyyy")</x:f>
        <x:v>Jun 2026</x:v>
      </x:c>
    </x:row>
    <x:row r="1374" ht="21" customHeight="1">
      <x:c r="A1374" s="10" t="n">
        <x:v>46177</x:v>
      </x:c>
      <x:c r="B1374" s="1" t="n">
        <x:v>3</x:v>
      </x:c>
      <x:c r="C1374" s="1" t="n">
        <x:v>6</x:v>
      </x:c>
      <x:c r="D1374" s="12" t="n">
        <x:v>0.18825000000000003</x:v>
      </x:c>
      <x:c r="E1374" s="12" t="n">
        <x:v>0.19925</x:v>
      </x:c>
      <x:c r="F1374" s="12" t="n">
        <x:v>0</x:v>
      </x:c>
      <x:c r="G1374" s="12" t="n">
        <x:v>0</x:v>
      </x:c>
      <x:c r="H1374" s="1" t="n">
        <x:f>'Historical prices'!E1374</x:f>
        <x:v>1.05</x:v>
      </x:c>
      <x:c r="I1374" s="6" t="n">
        <x:f>'Historical prices'!D1374</x:f>
        <x:v>0.0849</x:v>
      </x:c>
      <x:c r="J1374" s="13" t="n">
        <x:f>D1374*I1374*H1374</x:f>
        <x:v>0.01678154625</x:v>
      </x:c>
      <x:c r="K1374" s="13" t="n">
        <x:f>E1374*I1374*H1374</x:f>
        <x:v>0.017762141250000005</x:v>
      </x:c>
      <x:c r="L1374" s="1" t="str">
        <x:f>TEXT(A1374,"mmm yyyy")</x:f>
        <x:v>Jun 2026</x:v>
      </x:c>
    </x:row>
    <x:row r="1375" ht="21" customHeight="1">
      <x:c r="A1375" s="10" t="n">
        <x:v>46177</x:v>
      </x:c>
      <x:c r="B1375" s="1" t="n">
        <x:v>3.5</x:v>
      </x:c>
      <x:c r="C1375" s="1" t="n">
        <x:v>6</x:v>
      </x:c>
      <x:c r="D1375" s="12" t="n">
        <x:v>0.18958333333333333</x:v>
      </x:c>
      <x:c r="E1375" s="12" t="n">
        <x:v>0.19958333333333333</x:v>
      </x:c>
      <x:c r="F1375" s="12" t="n">
        <x:v>0</x:v>
      </x:c>
      <x:c r="G1375" s="12" t="n">
        <x:v>0</x:v>
      </x:c>
      <x:c r="H1375" s="1" t="n">
        <x:f>'Historical prices'!E1375</x:f>
        <x:v>1.05</x:v>
      </x:c>
      <x:c r="I1375" s="6" t="n">
        <x:f>'Historical prices'!D1375</x:f>
        <x:v>0.0842</x:v>
      </x:c>
      <x:c r="J1375" s="13" t="n">
        <x:f>D1375*I1375*H1375</x:f>
        <x:v>0.0167610625</x:v>
      </x:c>
      <x:c r="K1375" s="13" t="n">
        <x:f>E1375*I1375*H1375</x:f>
        <x:v>0.0176451625</x:v>
      </x:c>
      <x:c r="L1375" s="1" t="str">
        <x:f>TEXT(A1375,"mmm yyyy")</x:f>
        <x:v>Jun 2026</x:v>
      </x:c>
    </x:row>
    <x:row r="1376" ht="21" customHeight="1">
      <x:c r="A1376" s="10" t="n">
        <x:v>46177</x:v>
      </x:c>
      <x:c r="B1376" s="1" t="n">
        <x:v>4</x:v>
      </x:c>
      <x:c r="C1376" s="1" t="n">
        <x:v>6</x:v>
      </x:c>
      <x:c r="D1376" s="12" t="n">
        <x:v>0.22958333333333336</x:v>
      </x:c>
      <x:c r="E1376" s="12" t="n">
        <x:v>0.24158333333333332</x:v>
      </x:c>
      <x:c r="F1376" s="12" t="n">
        <x:v>0</x:v>
      </x:c>
      <x:c r="G1376" s="12" t="n">
        <x:v>0</x:v>
      </x:c>
      <x:c r="H1376" s="1" t="n">
        <x:f>'Historical prices'!E1376</x:f>
        <x:v>1.05</x:v>
      </x:c>
      <x:c r="I1376" s="6" t="n">
        <x:f>'Historical prices'!D1376</x:f>
        <x:v>0.0858</x:v>
      </x:c>
      <x:c r="J1376" s="13" t="n">
        <x:f>D1376*I1376*H1376</x:f>
        <x:v>0.020683162500000005</x:v>
      </x:c>
      <x:c r="K1376" s="13" t="n">
        <x:f>E1376*I1376*H1376</x:f>
        <x:v>0.0217642425</x:v>
      </x:c>
      <x:c r="L1376" s="1" t="str">
        <x:f>TEXT(A1376,"mmm yyyy")</x:f>
        <x:v>Jun 2026</x:v>
      </x:c>
    </x:row>
    <x:row r="1377" ht="21" customHeight="1">
      <x:c r="A1377" s="10" t="n">
        <x:v>46177</x:v>
      </x:c>
      <x:c r="B1377" s="1" t="n">
        <x:v>4.5</x:v>
      </x:c>
      <x:c r="C1377" s="1" t="n">
        <x:v>6</x:v>
      </x:c>
      <x:c r="D1377" s="12" t="n">
        <x:v>0.21325000000000002</x:v>
      </x:c>
      <x:c r="E1377" s="12" t="n">
        <x:v>0.22424999999999998</x:v>
      </x:c>
      <x:c r="F1377" s="12" t="n">
        <x:v>0</x:v>
      </x:c>
      <x:c r="G1377" s="12" t="n">
        <x:v>0</x:v>
      </x:c>
      <x:c r="H1377" s="1" t="n">
        <x:f>'Historical prices'!E1377</x:f>
        <x:v>1.05</x:v>
      </x:c>
      <x:c r="I1377" s="6" t="n">
        <x:f>'Historical prices'!D1377</x:f>
        <x:v>0.0863</x:v>
      </x:c>
      <x:c r="J1377" s="13" t="n">
        <x:f>D1377*I1377*H1377</x:f>
        <x:v>0.019323648750000002</x:v>
      </x:c>
      <x:c r="K1377" s="13" t="n">
        <x:f>E1377*I1377*H1377</x:f>
        <x:v>0.02032041375</x:v>
      </x:c>
      <x:c r="L1377" s="1" t="str">
        <x:f>TEXT(A1377,"mmm yyyy")</x:f>
        <x:v>Jun 2026</x:v>
      </x:c>
    </x:row>
    <x:row r="1378" ht="21" customHeight="1">
      <x:c r="A1378" s="10" t="n">
        <x:v>46177</x:v>
      </x:c>
      <x:c r="B1378" s="1" t="n">
        <x:v>5</x:v>
      </x:c>
      <x:c r="C1378" s="1" t="n">
        <x:v>6</x:v>
      </x:c>
      <x:c r="D1378" s="12" t="n">
        <x:v>0.19658333333333336</x:v>
      </x:c>
      <x:c r="E1378" s="12" t="n">
        <x:v>0.2065833333333333</x:v>
      </x:c>
      <x:c r="F1378" s="12" t="n">
        <x:v>0</x:v>
      </x:c>
      <x:c r="G1378" s="12" t="n">
        <x:v>0</x:v>
      </x:c>
      <x:c r="H1378" s="1" t="n">
        <x:f>'Historical prices'!E1378</x:f>
        <x:v>1.05</x:v>
      </x:c>
      <x:c r="I1378" s="6" t="n">
        <x:f>'Historical prices'!D1378</x:f>
        <x:v>0.0832</x:v>
      </x:c>
      <x:c r="J1378" s="13" t="n">
        <x:f>D1378*I1378*H1378</x:f>
        <x:v>0.01717352</x:v>
      </x:c>
      <x:c r="K1378" s="13" t="n">
        <x:f>E1378*I1378*H1378</x:f>
        <x:v>0.018047119999999996</x:v>
      </x:c>
      <x:c r="L1378" s="1" t="str">
        <x:f>TEXT(A1378,"mmm yyyy")</x:f>
        <x:v>Jun 2026</x:v>
      </x:c>
    </x:row>
    <x:row r="1379" ht="21" customHeight="1">
      <x:c r="A1379" s="10" t="n">
        <x:v>46177</x:v>
      </x:c>
      <x:c r="B1379" s="1" t="n">
        <x:v>5.5</x:v>
      </x:c>
      <x:c r="C1379" s="1" t="n">
        <x:v>6</x:v>
      </x:c>
      <x:c r="D1379" s="12" t="n">
        <x:v>0.8641666666666666</x:v>
      </x:c>
      <x:c r="E1379" s="12" t="n">
        <x:v>0.2521666666666667</x:v>
      </x:c>
      <x:c r="F1379" s="12" t="n">
        <x:v>0</x:v>
      </x:c>
      <x:c r="G1379" s="12" t="n">
        <x:v>0.619</x:v>
      </x:c>
      <x:c r="H1379" s="1" t="n">
        <x:f>'Historical prices'!E1379</x:f>
        <x:v>1.05</x:v>
      </x:c>
      <x:c r="I1379" s="6" t="n">
        <x:f>'Historical prices'!D1379</x:f>
        <x:v>0.0821</x:v>
      </x:c>
      <x:c r="J1379" s="13" t="n">
        <x:f>D1379*I1379*H1379</x:f>
        <x:v>0.07449548750000001</x:v>
      </x:c>
      <x:c r="K1379" s="13" t="n">
        <x:f>E1379*I1379*H1379</x:f>
        <x:v>0.021738027500000007</x:v>
      </x:c>
      <x:c r="L1379" s="1" t="str">
        <x:f>TEXT(A1379,"mmm yyyy")</x:f>
        <x:v>Jun 2026</x:v>
      </x:c>
    </x:row>
    <x:row r="1380" ht="21" customHeight="1">
      <x:c r="A1380" s="10" t="n">
        <x:v>46177</x:v>
      </x:c>
      <x:c r="B1380" s="1" t="n">
        <x:v>6</x:v>
      </x:c>
      <x:c r="C1380" s="1" t="n">
        <x:v>6</x:v>
      </x:c>
      <x:c r="D1380" s="12" t="n">
        <x:v>0.6979166666666666</x:v>
      </x:c>
      <x:c r="E1380" s="12" t="n">
        <x:v>0.39591666666666664</x:v>
      </x:c>
      <x:c r="F1380" s="12" t="n">
        <x:v>0</x:v>
      </x:c>
      <x:c r="G1380" s="12" t="n">
        <x:v>0.306</x:v>
      </x:c>
      <x:c r="H1380" s="1" t="n">
        <x:f>'Historical prices'!E1380</x:f>
        <x:v>1.05</x:v>
      </x:c>
      <x:c r="I1380" s="6" t="n">
        <x:f>'Historical prices'!D1380</x:f>
        <x:v>0.0876</x:v>
      </x:c>
      <x:c r="J1380" s="13" t="n">
        <x:f>D1380*I1380*H1380</x:f>
        <x:v>0.064194375</x:v>
      </x:c>
      <x:c r="K1380" s="13" t="n">
        <x:f>E1380*I1380*H1380</x:f>
        <x:v>0.036416415</x:v>
      </x:c>
      <x:c r="L1380" s="1" t="str">
        <x:f>TEXT(A1380,"mmm yyyy")</x:f>
        <x:v>Jun 2026</x:v>
      </x:c>
    </x:row>
    <x:row r="1381" ht="21" customHeight="1">
      <x:c r="A1381" s="10" t="n">
        <x:v>46177</x:v>
      </x:c>
      <x:c r="B1381" s="1" t="n">
        <x:v>6.5</x:v>
      </x:c>
      <x:c r="C1381" s="1" t="n">
        <x:v>6</x:v>
      </x:c>
      <x:c r="D1381" s="12" t="n">
        <x:v>0.06516666666666666</x:v>
      </x:c>
      <x:c r="E1381" s="12" t="n">
        <x:v>0.49391666666666667</x:v>
      </x:c>
      <x:c r="F1381" s="12" t="n">
        <x:v>0.4265</x:v>
      </x:c>
      <x:c r="G1381" s="12" t="n">
        <x:v>0</x:v>
      </x:c>
      <x:c r="H1381" s="1" t="n">
        <x:f>'Historical prices'!E1381</x:f>
        <x:v>1.05</x:v>
      </x:c>
      <x:c r="I1381" s="6" t="n">
        <x:f>'Historical prices'!D1381</x:f>
        <x:v>0.12210000000000001</x:v>
      </x:c>
      <x:c r="J1381" s="13" t="n">
        <x:f>D1381*I1381*H1381</x:f>
        <x:v>0.008354692500000002</x:v>
      </x:c>
      <x:c r="K1381" s="13" t="n">
        <x:f>E1381*I1381*H1381</x:f>
        <x:v>0.06332258625000001</x:v>
      </x:c>
      <x:c r="L1381" s="1" t="str">
        <x:f>TEXT(A1381,"mmm yyyy")</x:f>
        <x:v>Jun 2026</x:v>
      </x:c>
    </x:row>
    <x:row r="1382" ht="21" customHeight="1">
      <x:c r="A1382" s="10" t="n">
        <x:v>46177</x:v>
      </x:c>
      <x:c r="B1382" s="1" t="n">
        <x:v>7</x:v>
      </x:c>
      <x:c r="C1382" s="1" t="n">
        <x:v>6</x:v>
      </x:c>
      <x:c r="D1382" s="12" t="n">
        <x:v>0</x:v>
      </x:c>
      <x:c r="E1382" s="12" t="n">
        <x:v>0.49200000000000005</x:v>
      </x:c>
      <x:c r="F1382" s="12" t="n">
        <x:v>0.4919166666666667</x:v>
      </x:c>
      <x:c r="G1382" s="12" t="n">
        <x:v>0</x:v>
      </x:c>
      <x:c r="H1382" s="1" t="n">
        <x:f>'Historical prices'!E1382</x:f>
        <x:v>1.05</x:v>
      </x:c>
      <x:c r="I1382" s="6" t="n">
        <x:f>'Historical prices'!D1382</x:f>
        <x:v>0.122</x:v>
      </x:c>
      <x:c r="J1382" s="13" t="n">
        <x:f>D1382*I1382*H1382</x:f>
        <x:v>0</x:v>
      </x:c>
      <x:c r="K1382" s="13" t="n">
        <x:f>E1382*I1382*H1382</x:f>
        <x:v>0.06302520000000002</x:v>
      </x:c>
      <x:c r="L1382" s="1" t="str">
        <x:f>TEXT(A1382,"mmm yyyy")</x:f>
        <x:v>Jun 2026</x:v>
      </x:c>
    </x:row>
    <x:row r="1383" ht="21" customHeight="1">
      <x:c r="A1383" s="10" t="n">
        <x:v>46177</x:v>
      </x:c>
      <x:c r="B1383" s="1" t="n">
        <x:v>7.5</x:v>
      </x:c>
      <x:c r="C1383" s="1" t="n">
        <x:v>6</x:v>
      </x:c>
      <x:c r="D1383" s="12" t="n">
        <x:v>0</x:v>
      </x:c>
      <x:c r="E1383" s="12" t="n">
        <x:v>1.1610000000000003</x:v>
      </x:c>
      <x:c r="F1383" s="12" t="n">
        <x:v>1.1609166666666668</x:v>
      </x:c>
      <x:c r="G1383" s="12" t="n">
        <x:v>0</x:v>
      </x:c>
      <x:c r="H1383" s="1" t="n">
        <x:f>'Historical prices'!E1383</x:f>
        <x:v>1.05</x:v>
      </x:c>
      <x:c r="I1383" s="6" t="n">
        <x:f>'Historical prices'!D1383</x:f>
        <x:v>0.12619999999999998</x:v>
      </x:c>
      <x:c r="J1383" s="13" t="n">
        <x:f>D1383*I1383*H1383</x:f>
        <x:v>0</x:v>
      </x:c>
      <x:c r="K1383" s="13" t="n">
        <x:f>E1383*I1383*H1383</x:f>
        <x:v>0.15384411000000003</x:v>
      </x:c>
      <x:c r="L1383" s="1" t="str">
        <x:f>TEXT(A1383,"mmm yyyy")</x:f>
        <x:v>Jun 2026</x:v>
      </x:c>
    </x:row>
    <x:row r="1384" ht="21" customHeight="1">
      <x:c r="A1384" s="10" t="n">
        <x:v>46177</x:v>
      </x:c>
      <x:c r="B1384" s="1" t="n">
        <x:v>8</x:v>
      </x:c>
      <x:c r="C1384" s="1" t="n">
        <x:v>6</x:v>
      </x:c>
      <x:c r="D1384" s="12" t="n">
        <x:v>0.557</x:v>
      </x:c>
      <x:c r="E1384" s="12" t="n">
        <x:v>0.679</x:v>
      </x:c>
      <x:c r="F1384" s="12" t="n">
        <x:v>0.11599999999999999</x:v>
      </x:c>
      <x:c r="G1384" s="12" t="n">
        <x:v>0</x:v>
      </x:c>
      <x:c r="H1384" s="1" t="n">
        <x:f>'Historical prices'!E1384</x:f>
        <x:v>1.05</x:v>
      </x:c>
      <x:c r="I1384" s="6" t="n">
        <x:f>'Historical prices'!D1384</x:f>
        <x:v>0.1231</x:v>
      </x:c>
      <x:c r="J1384" s="13" t="n">
        <x:f>D1384*I1384*H1384</x:f>
        <x:v>0.07199503500000001</x:v>
      </x:c>
      <x:c r="K1384" s="13" t="n">
        <x:f>E1384*I1384*H1384</x:f>
        <x:v>0.087764145</x:v>
      </x:c>
      <x:c r="L1384" s="1" t="str">
        <x:f>TEXT(A1384,"mmm yyyy")</x:f>
        <x:v>Jun 2026</x:v>
      </x:c>
    </x:row>
    <x:row r="1385" ht="21" customHeight="1">
      <x:c r="A1385" s="10" t="n">
        <x:v>46177</x:v>
      </x:c>
      <x:c r="B1385" s="1" t="n">
        <x:v>8.5</x:v>
      </x:c>
      <x:c r="C1385" s="1" t="n">
        <x:v>6</x:v>
      </x:c>
      <x:c r="D1385" s="12" t="n">
        <x:v>0.11016666666666668</x:v>
      </x:c>
      <x:c r="E1385" s="12" t="n">
        <x:v>1.1953333333333334</x:v>
      </x:c>
      <x:c r="F1385" s="12" t="n">
        <x:v>1.0829166666666667</x:v>
      </x:c>
      <x:c r="G1385" s="12" t="n">
        <x:v>0</x:v>
      </x:c>
      <x:c r="H1385" s="1" t="n">
        <x:f>'Historical prices'!E1385</x:f>
        <x:v>1.05</x:v>
      </x:c>
      <x:c r="I1385" s="6" t="n">
        <x:f>'Historical prices'!D1385</x:f>
        <x:v>0.1241</x:v>
      </x:c>
      <x:c r="J1385" s="13" t="n">
        <x:f>D1385*I1385*H1385</x:f>
        <x:v>0.014355267500000003</x:v>
      </x:c>
      <x:c r="K1385" s="13" t="n">
        <x:f>E1385*I1385*H1385</x:f>
        <x:v>0.15575791000000003</x:v>
      </x:c>
      <x:c r="L1385" s="1" t="str">
        <x:f>TEXT(A1385,"mmm yyyy")</x:f>
        <x:v>Jun 2026</x:v>
      </x:c>
    </x:row>
    <x:row r="1386" ht="21" customHeight="1">
      <x:c r="A1386" s="10" t="n">
        <x:v>46177</x:v>
      </x:c>
      <x:c r="B1386" s="1" t="n">
        <x:v>9</x:v>
      </x:c>
      <x:c r="C1386" s="1" t="n">
        <x:v>6</x:v>
      </x:c>
      <x:c r="D1386" s="12" t="n">
        <x:v>0</x:v>
      </x:c>
      <x:c r="E1386" s="12" t="n">
        <x:v>0.9106666666666666</x:v>
      </x:c>
      <x:c r="F1386" s="12" t="n">
        <x:v>0.9106666666666666</x:v>
      </x:c>
      <x:c r="G1386" s="12" t="n">
        <x:v>0</x:v>
      </x:c>
      <x:c r="H1386" s="1" t="n">
        <x:f>'Historical prices'!E1386</x:f>
        <x:v>1.05</x:v>
      </x:c>
      <x:c r="I1386" s="6" t="n">
        <x:f>'Historical prices'!D1386</x:f>
        <x:v>0.142</x:v>
      </x:c>
      <x:c r="J1386" s="13" t="n">
        <x:f>D1386*I1386*H1386</x:f>
        <x:v>0</x:v>
      </x:c>
      <x:c r="K1386" s="13" t="n">
        <x:f>E1386*I1386*H1386</x:f>
        <x:v>0.1357804</x:v>
      </x:c>
      <x:c r="L1386" s="1" t="str">
        <x:f>TEXT(A1386,"mmm yyyy")</x:f>
        <x:v>Jun 2026</x:v>
      </x:c>
    </x:row>
    <x:row r="1387" ht="21" customHeight="1">
      <x:c r="A1387" s="10" t="n">
        <x:v>46177</x:v>
      </x:c>
      <x:c r="B1387" s="1" t="n">
        <x:v>9.5</x:v>
      </x:c>
      <x:c r="C1387" s="1" t="n">
        <x:v>6</x:v>
      </x:c>
      <x:c r="D1387" s="12" t="n">
        <x:v>0</x:v>
      </x:c>
      <x:c r="E1387" s="12" t="n">
        <x:v>0.7639166666666666</x:v>
      </x:c>
      <x:c r="F1387" s="12" t="n">
        <x:v>0.7638333333333333</x:v>
      </x:c>
      <x:c r="G1387" s="12" t="n">
        <x:v>0</x:v>
      </x:c>
      <x:c r="H1387" s="1" t="n">
        <x:f>'Historical prices'!E1387</x:f>
        <x:v>1.05</x:v>
      </x:c>
      <x:c r="I1387" s="6" t="n">
        <x:f>'Historical prices'!D1387</x:f>
        <x:v>0.1283</x:v>
      </x:c>
      <x:c r="J1387" s="13" t="n">
        <x:f>D1387*I1387*H1387</x:f>
        <x:v>0</x:v>
      </x:c>
      <x:c r="K1387" s="13" t="n">
        <x:f>E1387*I1387*H1387</x:f>
        <x:v>0.10291103374999999</x:v>
      </x:c>
      <x:c r="L1387" s="1" t="str">
        <x:f>TEXT(A1387,"mmm yyyy")</x:f>
        <x:v>Jun 2026</x:v>
      </x:c>
    </x:row>
    <x:row r="1388" ht="21" customHeight="1">
      <x:c r="A1388" s="10" t="n">
        <x:v>46177</x:v>
      </x:c>
      <x:c r="B1388" s="1" t="n">
        <x:v>10</x:v>
      </x:c>
      <x:c r="C1388" s="1" t="n">
        <x:v>6</x:v>
      </x:c>
      <x:c r="D1388" s="12" t="n">
        <x:v>0.06841666666666667</x:v>
      </x:c>
      <x:c r="E1388" s="12" t="n">
        <x:v>0.7175</x:v>
      </x:c>
      <x:c r="F1388" s="12" t="n">
        <x:v>0.6488333333333333</x:v>
      </x:c>
      <x:c r="G1388" s="12" t="n">
        <x:v>0</x:v>
      </x:c>
      <x:c r="H1388" s="1" t="n">
        <x:f>'Historical prices'!E1388</x:f>
        <x:v>1.05</x:v>
      </x:c>
      <x:c r="I1388" s="6" t="n">
        <x:f>'Historical prices'!D1388</x:f>
        <x:v>0.1207</x:v>
      </x:c>
      <x:c r="J1388" s="13" t="n">
        <x:f>D1388*I1388*H1388</x:f>
        <x:v>0.00867078625</x:v>
      </x:c>
      <x:c r="K1388" s="13" t="n">
        <x:f>E1388*I1388*H1388</x:f>
        <x:v>0.09093236250000002</x:v>
      </x:c>
      <x:c r="L1388" s="1" t="str">
        <x:f>TEXT(A1388,"mmm yyyy")</x:f>
        <x:v>Jun 2026</x:v>
      </x:c>
    </x:row>
    <x:row r="1389" ht="21" customHeight="1">
      <x:c r="A1389" s="10" t="n">
        <x:v>46177</x:v>
      </x:c>
      <x:c r="B1389" s="1" t="n">
        <x:v>10.5</x:v>
      </x:c>
      <x:c r="C1389" s="1" t="n">
        <x:v>6</x:v>
      </x:c>
      <x:c r="D1389" s="12" t="n">
        <x:v>0.8064166666666667</x:v>
      </x:c>
      <x:c r="E1389" s="12" t="n">
        <x:v>0.7124166666666667</x:v>
      </x:c>
      <x:c r="F1389" s="12" t="n">
        <x:v>0.054</x:v>
      </x:c>
      <x:c r="G1389" s="12" t="n">
        <x:v>0.14200000000000002</x:v>
      </x:c>
      <x:c r="H1389" s="1" t="n">
        <x:f>'Historical prices'!E1389</x:f>
        <x:v>1.05</x:v>
      </x:c>
      <x:c r="I1389" s="6" t="n">
        <x:f>'Historical prices'!D1389</x:f>
        <x:v>0.0949</x:v>
      </x:c>
      <x:c r="J1389" s="13" t="n">
        <x:f>D1389*I1389*H1389</x:f>
        <x:v>0.08035538875</x:v>
      </x:c>
      <x:c r="K1389" s="13" t="n">
        <x:f>E1389*I1389*H1389</x:f>
        <x:v>0.07098875875</x:v>
      </x:c>
      <x:c r="L1389" s="1" t="str">
        <x:f>TEXT(A1389,"mmm yyyy")</x:f>
        <x:v>Jun 2026</x:v>
      </x:c>
    </x:row>
    <x:row r="1390" ht="21" customHeight="1">
      <x:c r="A1390" s="10" t="n">
        <x:v>46177</x:v>
      </x:c>
      <x:c r="B1390" s="1" t="n">
        <x:v>11</x:v>
      </x:c>
      <x:c r="C1390" s="1" t="n">
        <x:v>6</x:v>
      </x:c>
      <x:c r="D1390" s="12" t="n">
        <x:v>0.5485833333333333</x:v>
      </x:c>
      <x:c r="E1390" s="12" t="n">
        <x:v>0.5505833333333333</x:v>
      </x:c>
      <x:c r="F1390" s="12" t="n">
        <x:v>0</x:v>
      </x:c>
      <x:c r="G1390" s="12" t="n">
        <x:v>0</x:v>
      </x:c>
      <x:c r="H1390" s="1" t="n">
        <x:f>'Historical prices'!E1390</x:f>
        <x:v>1.05</x:v>
      </x:c>
      <x:c r="I1390" s="6" t="n">
        <x:f>'Historical prices'!D1390</x:f>
        <x:v>0.0695</x:v>
      </x:c>
      <x:c r="J1390" s="13" t="n">
        <x:f>D1390*I1390*H1390</x:f>
        <x:v>0.04003286875</x:v>
      </x:c>
      <x:c r="K1390" s="13" t="n">
        <x:f>E1390*I1390*H1390</x:f>
        <x:v>0.040178818750000005</x:v>
      </x:c>
      <x:c r="L1390" s="1" t="str">
        <x:f>TEXT(A1390,"mmm yyyy")</x:f>
        <x:v>Jun 2026</x:v>
      </x:c>
    </x:row>
    <x:row r="1391" ht="21" customHeight="1">
      <x:c r="A1391" s="10" t="n">
        <x:v>46177</x:v>
      </x:c>
      <x:c r="B1391" s="1" t="n">
        <x:v>11.5</x:v>
      </x:c>
      <x:c r="C1391" s="1" t="n">
        <x:v>6</x:v>
      </x:c>
      <x:c r="D1391" s="12" t="n">
        <x:v>0.5011666666666666</x:v>
      </x:c>
      <x:c r="E1391" s="12" t="n">
        <x:v>0.5041666666666667</x:v>
      </x:c>
      <x:c r="F1391" s="12" t="n">
        <x:v>0</x:v>
      </x:c>
      <x:c r="G1391" s="12" t="n">
        <x:v>0</x:v>
      </x:c>
      <x:c r="H1391" s="1" t="n">
        <x:f>'Historical prices'!E1391</x:f>
        <x:v>1.05</x:v>
      </x:c>
      <x:c r="I1391" s="6" t="n">
        <x:f>'Historical prices'!D1391</x:f>
        <x:v>0.0691</x:v>
      </x:c>
      <x:c r="J1391" s="13" t="n">
        <x:f>D1391*I1391*H1391</x:f>
        <x:v>0.0363621475</x:v>
      </x:c>
      <x:c r="K1391" s="13" t="n">
        <x:f>E1391*I1391*H1391</x:f>
        <x:v>0.036579812499999996</x:v>
      </x:c>
      <x:c r="L1391" s="1" t="str">
        <x:f>TEXT(A1391,"mmm yyyy")</x:f>
        <x:v>Jun 2026</x:v>
      </x:c>
    </x:row>
    <x:row r="1392" ht="21" customHeight="1">
      <x:c r="A1392" s="10" t="n">
        <x:v>46177</x:v>
      </x:c>
      <x:c r="B1392" s="1" t="n">
        <x:v>12</x:v>
      </x:c>
      <x:c r="C1392" s="1" t="n">
        <x:v>6</x:v>
      </x:c>
      <x:c r="D1392" s="12" t="n">
        <x:v>0.49000000000000005</x:v>
      </x:c>
      <x:c r="E1392" s="12" t="n">
        <x:v>0.49300000000000005</x:v>
      </x:c>
      <x:c r="F1392" s="12" t="n">
        <x:v>0</x:v>
      </x:c>
      <x:c r="G1392" s="12" t="n">
        <x:v>0</x:v>
      </x:c>
      <x:c r="H1392" s="1" t="n">
        <x:f>'Historical prices'!E1392</x:f>
        <x:v>1.05</x:v>
      </x:c>
      <x:c r="I1392" s="6" t="n">
        <x:f>'Historical prices'!D1392</x:f>
        <x:v>0.0541</x:v>
      </x:c>
      <x:c r="J1392" s="13" t="n">
        <x:f>D1392*I1392*H1392</x:f>
        <x:v>0.027834450000000007</x:v>
      </x:c>
      <x:c r="K1392" s="13" t="n">
        <x:f>E1392*I1392*H1392</x:f>
        <x:v>0.028004865000000007</x:v>
      </x:c>
      <x:c r="L1392" s="1" t="str">
        <x:f>TEXT(A1392,"mmm yyyy")</x:f>
        <x:v>Jun 2026</x:v>
      </x:c>
    </x:row>
    <x:row r="1393" ht="21" customHeight="1">
      <x:c r="A1393" s="10" t="n">
        <x:v>46177</x:v>
      </x:c>
      <x:c r="B1393" s="1" t="n">
        <x:v>12.5</x:v>
      </x:c>
      <x:c r="C1393" s="1" t="n">
        <x:v>6</x:v>
      </x:c>
      <x:c r="D1393" s="12" t="n">
        <x:v>0.39275</x:v>
      </x:c>
      <x:c r="E1393" s="12" t="n">
        <x:v>0.39575</x:v>
      </x:c>
      <x:c r="F1393" s="12" t="n">
        <x:v>0</x:v>
      </x:c>
      <x:c r="G1393" s="12" t="n">
        <x:v>0</x:v>
      </x:c>
      <x:c r="H1393" s="1" t="n">
        <x:f>'Historical prices'!E1393</x:f>
        <x:v>1.05</x:v>
      </x:c>
      <x:c r="I1393" s="6" t="n">
        <x:f>'Historical prices'!D1393</x:f>
        <x:v>0.0352</x:v>
      </x:c>
      <x:c r="J1393" s="13" t="n">
        <x:f>D1393*I1393*H1393</x:f>
        <x:v>0.014516040000000001</x:v>
      </x:c>
      <x:c r="K1393" s="13" t="n">
        <x:f>E1393*I1393*H1393</x:f>
        <x:v>0.014626920000000002</x:v>
      </x:c>
      <x:c r="L1393" s="1" t="str">
        <x:f>TEXT(A1393,"mmm yyyy")</x:f>
        <x:v>Jun 2026</x:v>
      </x:c>
    </x:row>
    <x:row r="1394" ht="21" customHeight="1">
      <x:c r="A1394" s="10" t="n">
        <x:v>46177</x:v>
      </x:c>
      <x:c r="B1394" s="1" t="n">
        <x:v>13</x:v>
      </x:c>
      <x:c r="C1394" s="1" t="n">
        <x:v>6</x:v>
      </x:c>
      <x:c r="D1394" s="12" t="n">
        <x:v>1.1255</x:v>
      </x:c>
      <x:c r="E1394" s="12" t="n">
        <x:v>0.42850000000000005</x:v>
      </x:c>
      <x:c r="F1394" s="12" t="n">
        <x:v>0</x:v>
      </x:c>
      <x:c r="G1394" s="12" t="n">
        <x:v>0.697</x:v>
      </x:c>
      <x:c r="H1394" s="1" t="n">
        <x:f>'Historical prices'!E1394</x:f>
        <x:v>1.05</x:v>
      </x:c>
      <x:c r="I1394" s="6" t="n">
        <x:f>'Historical prices'!D1394</x:f>
        <x:v>0.0189</x:v>
      </x:c>
      <x:c r="J1394" s="13" t="n">
        <x:f>D1394*I1394*H1394</x:f>
        <x:v>0.022335547499999997</x:v>
      </x:c>
      <x:c r="K1394" s="13" t="n">
        <x:f>E1394*I1394*H1394</x:f>
        <x:v>0.0085035825</x:v>
      </x:c>
      <x:c r="L1394" s="1" t="str">
        <x:f>TEXT(A1394,"mmm yyyy")</x:f>
        <x:v>Jun 2026</x:v>
      </x:c>
    </x:row>
    <x:row r="1395" ht="21" customHeight="1">
      <x:c r="A1395" s="10" t="n">
        <x:v>46177</x:v>
      </x:c>
      <x:c r="B1395" s="1" t="n">
        <x:v>13.5</x:v>
      </x:c>
      <x:c r="C1395" s="1" t="n">
        <x:v>6</x:v>
      </x:c>
      <x:c r="D1395" s="12" t="n">
        <x:v>4.832750000000001</x:v>
      </x:c>
      <x:c r="E1395" s="12" t="n">
        <x:v>0.63075</x:v>
      </x:c>
      <x:c r="F1395" s="12" t="n">
        <x:v>0</x:v>
      </x:c>
      <x:c r="G1395" s="12" t="n">
        <x:v>4.202</x:v>
      </x:c>
      <x:c r="H1395" s="1" t="n">
        <x:f>'Historical prices'!E1395</x:f>
        <x:v>1.05</x:v>
      </x:c>
      <x:c r="I1395" s="6" t="n">
        <x:f>'Historical prices'!D1395</x:f>
        <x:v>-0.0032</x:v>
      </x:c>
      <x:c r="J1395" s="13" t="n">
        <x:f>D1395*I1395*H1395</x:f>
        <x:v>-0.016238040000000002</x:v>
      </x:c>
      <x:c r="K1395" s="13" t="n">
        <x:f>E1395*I1395*H1395</x:f>
        <x:v>-0.00211932</x:v>
      </x:c>
      <x:c r="L1395" s="1" t="str">
        <x:f>TEXT(A1395,"mmm yyyy")</x:f>
        <x:v>Jun 2026</x:v>
      </x:c>
    </x:row>
    <x:row r="1396" ht="21" customHeight="1">
      <x:c r="A1396" s="10" t="n">
        <x:v>46177</x:v>
      </x:c>
      <x:c r="B1396" s="1" t="n">
        <x:v>14</x:v>
      </x:c>
      <x:c r="C1396" s="1" t="n">
        <x:v>6</x:v>
      </x:c>
      <x:c r="D1396" s="12" t="n">
        <x:v>5.381166666666667</x:v>
      </x:c>
      <x:c r="E1396" s="12" t="n">
        <x:v>0.7801666666666667</x:v>
      </x:c>
      <x:c r="F1396" s="12" t="n">
        <x:v>0</x:v>
      </x:c>
      <x:c r="G1396" s="12" t="n">
        <x:v>4.601000000000001</x:v>
      </x:c>
      <x:c r="H1396" s="1" t="n">
        <x:f>'Historical prices'!E1396</x:f>
        <x:v>1.05</x:v>
      </x:c>
      <x:c r="I1396" s="6" t="n">
        <x:f>'Historical prices'!D1396</x:f>
        <x:v>0.0073</x:v>
      </x:c>
      <x:c r="J1396" s="13" t="n">
        <x:f>D1396*I1396*H1396</x:f>
        <x:v>0.04124664250000001</x:v>
      </x:c>
      <x:c r="K1396" s="13" t="n">
        <x:f>E1396*I1396*H1396</x:f>
        <x:v>0.005979977500000001</x:v>
      </x:c>
      <x:c r="L1396" s="1" t="str">
        <x:f>TEXT(A1396,"mmm yyyy")</x:f>
        <x:v>Jun 2026</x:v>
      </x:c>
    </x:row>
    <x:row r="1397" ht="21" customHeight="1">
      <x:c r="A1397" s="10" t="n">
        <x:v>46177</x:v>
      </x:c>
      <x:c r="B1397" s="1" t="n">
        <x:v>14.5</x:v>
      </x:c>
      <x:c r="C1397" s="1" t="n">
        <x:v>6</x:v>
      </x:c>
      <x:c r="D1397" s="12" t="n">
        <x:v>5.271916666666667</x:v>
      </x:c>
      <x:c r="E1397" s="12" t="n">
        <x:v>0.7899166666666667</x:v>
      </x:c>
      <x:c r="F1397" s="12" t="n">
        <x:v>0</x:v>
      </x:c>
      <x:c r="G1397" s="12" t="n">
        <x:v>4.482</x:v>
      </x:c>
      <x:c r="H1397" s="1" t="n">
        <x:f>'Historical prices'!E1397</x:f>
        <x:v>1.05</x:v>
      </x:c>
      <x:c r="I1397" s="6" t="n">
        <x:f>'Historical prices'!D1397</x:f>
        <x:v>-0.0124</x:v>
      </x:c>
      <x:c r="J1397" s="13" t="n">
        <x:f>D1397*I1397*H1397</x:f>
        <x:v>-0.068640355</x:v>
      </x:c>
      <x:c r="K1397" s="13" t="n">
        <x:f>E1397*I1397*H1397</x:f>
        <x:v>-0.010284715</x:v>
      </x:c>
      <x:c r="L1397" s="1" t="str">
        <x:f>TEXT(A1397,"mmm yyyy")</x:f>
        <x:v>Jun 2026</x:v>
      </x:c>
    </x:row>
    <x:row r="1398" ht="21" customHeight="1">
      <x:c r="A1398" s="10" t="n">
        <x:v>46177</x:v>
      </x:c>
      <x:c r="B1398" s="1" t="n">
        <x:v>15</x:v>
      </x:c>
      <x:c r="C1398" s="1" t="n">
        <x:v>6</x:v>
      </x:c>
      <x:c r="D1398" s="12" t="n">
        <x:v>5.476083333333333</x:v>
      </x:c>
      <x:c r="E1398" s="12" t="n">
        <x:v>0.7200833333333334</x:v>
      </x:c>
      <x:c r="F1398" s="12" t="n">
        <x:v>0</x:v>
      </x:c>
      <x:c r="G1398" s="12" t="n">
        <x:v>4.756</x:v>
      </x:c>
      <x:c r="H1398" s="1" t="n">
        <x:f>'Historical prices'!E1398</x:f>
        <x:v>1.05</x:v>
      </x:c>
      <x:c r="I1398" s="6" t="n">
        <x:f>'Historical prices'!D1398</x:f>
        <x:v>-0.008199999999999999</x:v>
      </x:c>
      <x:c r="J1398" s="13" t="n">
        <x:f>D1398*I1398*H1398</x:f>
        <x:v>-0.04714907749999999</x:v>
      </x:c>
      <x:c r="K1398" s="13" t="n">
        <x:f>E1398*I1398*H1398</x:f>
        <x:v>-0.0061999175</x:v>
      </x:c>
      <x:c r="L1398" s="1" t="str">
        <x:f>TEXT(A1398,"mmm yyyy")</x:f>
        <x:v>Jun 2026</x:v>
      </x:c>
    </x:row>
    <x:row r="1399" ht="21" customHeight="1">
      <x:c r="A1399" s="10" t="n">
        <x:v>46177</x:v>
      </x:c>
      <x:c r="B1399" s="1" t="n">
        <x:v>15.5</x:v>
      </x:c>
      <x:c r="C1399" s="1" t="n">
        <x:v>6</x:v>
      </x:c>
      <x:c r="D1399" s="12" t="n">
        <x:v>5.459333333333333</x:v>
      </x:c>
      <x:c r="E1399" s="12" t="n">
        <x:v>0.6683333333333333</x:v>
      </x:c>
      <x:c r="F1399" s="12" t="n">
        <x:v>0</x:v>
      </x:c>
      <x:c r="G1399" s="12" t="n">
        <x:v>4.791</x:v>
      </x:c>
      <x:c r="H1399" s="1" t="n">
        <x:f>'Historical prices'!E1399</x:f>
        <x:v>1.05</x:v>
      </x:c>
      <x:c r="I1399" s="6" t="n">
        <x:f>'Historical prices'!D1399</x:f>
        <x:v>0.0048</x:v>
      </x:c>
      <x:c r="J1399" s="13" t="n">
        <x:f>D1399*I1399*H1399</x:f>
        <x:v>0.027515039999999998</x:v>
      </x:c>
      <x:c r="K1399" s="13" t="n">
        <x:f>E1399*I1399*H1399</x:f>
        <x:v>0.0033684</x:v>
      </x:c>
      <x:c r="L1399" s="1" t="str">
        <x:f>TEXT(A1399,"mmm yyyy")</x:f>
        <x:v>Jun 2026</x:v>
      </x:c>
    </x:row>
    <x:row r="1400" ht="21" customHeight="1">
      <x:c r="A1400" s="10" t="n">
        <x:v>46177</x:v>
      </x:c>
      <x:c r="B1400" s="1" t="n">
        <x:v>16</x:v>
      </x:c>
      <x:c r="C1400" s="1" t="n">
        <x:v>6</x:v>
      </x:c>
      <x:c r="D1400" s="12" t="n">
        <x:v>0.9109166666666667</x:v>
      </x:c>
      <x:c r="E1400" s="12" t="n">
        <x:v>0.4535</x:v>
      </x:c>
      <x:c r="F1400" s="12" t="n">
        <x:v>0.32975000000000004</x:v>
      </x:c>
      <x:c r="G1400" s="12" t="n">
        <x:v>0.789</x:v>
      </x:c>
      <x:c r="H1400" s="1" t="n">
        <x:f>'Historical prices'!E1400</x:f>
        <x:v>1.05</x:v>
      </x:c>
      <x:c r="I1400" s="6" t="n">
        <x:f>'Historical prices'!D1400</x:f>
        <x:v>0.1334</x:v>
      </x:c>
      <x:c r="J1400" s="13" t="n">
        <x:f>D1400*I1400*H1400</x:f>
        <x:v>0.1275920975</x:v>
      </x:c>
      <x:c r="K1400" s="13" t="n">
        <x:f>E1400*I1400*H1400</x:f>
        <x:v>0.063521745</x:v>
      </x:c>
      <x:c r="L1400" s="1" t="str">
        <x:f>TEXT(A1400,"mmm yyyy")</x:f>
        <x:v>Jun 2026</x:v>
      </x:c>
    </x:row>
    <x:row r="1401" ht="21" customHeight="1">
      <x:c r="A1401" s="10" t="n">
        <x:v>46177</x:v>
      </x:c>
      <x:c r="B1401" s="1" t="n">
        <x:v>16.5</x:v>
      </x:c>
      <x:c r="C1401" s="1" t="n">
        <x:v>6</x:v>
      </x:c>
      <x:c r="D1401" s="12" t="n">
        <x:v>0</x:v>
      </x:c>
      <x:c r="E1401" s="12" t="n">
        <x:v>0.9808333333333333</x:v>
      </x:c>
      <x:c r="F1401" s="12" t="n">
        <x:v>0.98</x:v>
      </x:c>
      <x:c r="G1401" s="12" t="n">
        <x:v>0</x:v>
      </x:c>
      <x:c r="H1401" s="1" t="n">
        <x:f>'Historical prices'!E1401</x:f>
        <x:v>1.05</x:v>
      </x:c>
      <x:c r="I1401" s="6" t="n">
        <x:f>'Historical prices'!D1401</x:f>
        <x:v>0.18739999999999998</x:v>
      </x:c>
      <x:c r="J1401" s="13" t="n">
        <x:f>D1401*I1401*H1401</x:f>
        <x:v>0</x:v>
      </x:c>
      <x:c r="K1401" s="13" t="n">
        <x:f>E1401*I1401*H1401</x:f>
        <x:v>0.192998575</x:v>
      </x:c>
      <x:c r="L1401" s="1" t="str">
        <x:f>TEXT(A1401,"mmm yyyy")</x:f>
        <x:v>Jun 2026</x:v>
      </x:c>
    </x:row>
    <x:row r="1402" ht="21" customHeight="1">
      <x:c r="A1402" s="10" t="n">
        <x:v>46177</x:v>
      </x:c>
      <x:c r="B1402" s="1" t="n">
        <x:v>17</x:v>
      </x:c>
      <x:c r="C1402" s="1" t="n">
        <x:v>6</x:v>
      </x:c>
      <x:c r="D1402" s="12" t="n">
        <x:v>0</x:v>
      </x:c>
      <x:c r="E1402" s="12" t="n">
        <x:v>0.8988333333333334</x:v>
      </x:c>
      <x:c r="F1402" s="12" t="n">
        <x:v>0.8985833333333334</x:v>
      </x:c>
      <x:c r="G1402" s="12" t="n">
        <x:v>0</x:v>
      </x:c>
      <x:c r="H1402" s="1" t="n">
        <x:f>'Historical prices'!E1402</x:f>
        <x:v>1.05</x:v>
      </x:c>
      <x:c r="I1402" s="6" t="n">
        <x:f>'Historical prices'!D1402</x:f>
        <x:v>0.242</x:v>
      </x:c>
      <x:c r="J1402" s="13" t="n">
        <x:f>D1402*I1402*H1402</x:f>
        <x:v>0</x:v>
      </x:c>
      <x:c r="K1402" s="13" t="n">
        <x:f>E1402*I1402*H1402</x:f>
        <x:v>0.22839355</x:v>
      </x:c>
      <x:c r="L1402" s="1" t="str">
        <x:f>TEXT(A1402,"mmm yyyy")</x:f>
        <x:v>Jun 2026</x:v>
      </x:c>
    </x:row>
    <x:row r="1403" ht="21" customHeight="1">
      <x:c r="A1403" s="10" t="n">
        <x:v>46177</x:v>
      </x:c>
      <x:c r="B1403" s="1" t="n">
        <x:v>17.5</x:v>
      </x:c>
      <x:c r="C1403" s="1" t="n">
        <x:v>6</x:v>
      </x:c>
      <x:c r="D1403" s="12" t="n">
        <x:v>0</x:v>
      </x:c>
      <x:c r="E1403" s="12" t="n">
        <x:v>0.754</x:v>
      </x:c>
      <x:c r="F1403" s="12" t="n">
        <x:v>0.75375</x:v>
      </x:c>
      <x:c r="G1403" s="12" t="n">
        <x:v>0</x:v>
      </x:c>
      <x:c r="H1403" s="1" t="n">
        <x:f>'Historical prices'!E1403</x:f>
        <x:v>1.05</x:v>
      </x:c>
      <x:c r="I1403" s="6" t="n">
        <x:f>'Historical prices'!D1403</x:f>
        <x:v>0.2632</x:v>
      </x:c>
      <x:c r="J1403" s="13" t="n">
        <x:f>D1403*I1403*H1403</x:f>
        <x:v>0</x:v>
      </x:c>
      <x:c r="K1403" s="13" t="n">
        <x:f>E1403*I1403*H1403</x:f>
        <x:v>0.20837544</x:v>
      </x:c>
      <x:c r="L1403" s="1" t="str">
        <x:f>TEXT(A1403,"mmm yyyy")</x:f>
        <x:v>Jun 2026</x:v>
      </x:c>
    </x:row>
    <x:row r="1404" ht="21" customHeight="1">
      <x:c r="A1404" s="10" t="n">
        <x:v>46177</x:v>
      </x:c>
      <x:c r="B1404" s="1" t="n">
        <x:v>18</x:v>
      </x:c>
      <x:c r="C1404" s="1" t="n">
        <x:v>6</x:v>
      </x:c>
      <x:c r="D1404" s="12" t="n">
        <x:v>0</x:v>
      </x:c>
      <x:c r="E1404" s="12" t="n">
        <x:v>0.6169166666666667</x:v>
      </x:c>
      <x:c r="F1404" s="12" t="n">
        <x:v>0.61675</x:v>
      </x:c>
      <x:c r="G1404" s="12" t="n">
        <x:v>0</x:v>
      </x:c>
      <x:c r="H1404" s="1" t="n">
        <x:f>'Historical prices'!E1404</x:f>
        <x:v>1.05</x:v>
      </x:c>
      <x:c r="I1404" s="6" t="n">
        <x:f>'Historical prices'!D1404</x:f>
        <x:v>0.2848</x:v>
      </x:c>
      <x:c r="J1404" s="13" t="n">
        <x:f>D1404*I1404*H1404</x:f>
        <x:v>0</x:v>
      </x:c>
      <x:c r="K1404" s="13" t="n">
        <x:f>E1404*I1404*H1404</x:f>
        <x:v>0.18448276000000002</x:v>
      </x:c>
      <x:c r="L1404" s="1" t="str">
        <x:f>TEXT(A1404,"mmm yyyy")</x:f>
        <x:v>Jun 2026</x:v>
      </x:c>
    </x:row>
    <x:row r="1405" ht="21" customHeight="1">
      <x:c r="A1405" s="10" t="n">
        <x:v>46177</x:v>
      </x:c>
      <x:c r="B1405" s="1" t="n">
        <x:v>18.5</x:v>
      </x:c>
      <x:c r="C1405" s="1" t="n">
        <x:v>6</x:v>
      </x:c>
      <x:c r="D1405" s="12" t="n">
        <x:v>0</x:v>
      </x:c>
      <x:c r="E1405" s="12" t="n">
        <x:v>0.5015</x:v>
      </x:c>
      <x:c r="F1405" s="12" t="n">
        <x:v>0.5015</x:v>
      </x:c>
      <x:c r="G1405" s="12" t="n">
        <x:v>0</x:v>
      </x:c>
      <x:c r="H1405" s="1" t="n">
        <x:f>'Historical prices'!E1405</x:f>
        <x:v>1.05</x:v>
      </x:c>
      <x:c r="I1405" s="6" t="n">
        <x:f>'Historical prices'!D1405</x:f>
        <x:v>0.2919</x:v>
      </x:c>
      <x:c r="J1405" s="13" t="n">
        <x:f>D1405*I1405*H1405</x:f>
        <x:v>0</x:v>
      </x:c>
      <x:c r="K1405" s="13" t="n">
        <x:f>E1405*I1405*H1405</x:f>
        <x:v>0.15370724249999998</x:v>
      </x:c>
      <x:c r="L1405" s="1" t="str">
        <x:f>TEXT(A1405,"mmm yyyy")</x:f>
        <x:v>Jun 2026</x:v>
      </x:c>
    </x:row>
    <x:row r="1406" ht="21" customHeight="1">
      <x:c r="A1406" s="10" t="n">
        <x:v>46177</x:v>
      </x:c>
      <x:c r="B1406" s="1" t="n">
        <x:v>19</x:v>
      </x:c>
      <x:c r="C1406" s="1" t="n">
        <x:v>6</x:v>
      </x:c>
      <x:c r="D1406" s="12" t="n">
        <x:v>0</x:v>
      </x:c>
      <x:c r="E1406" s="12" t="n">
        <x:v>0.46641666666666665</x:v>
      </x:c>
      <x:c r="F1406" s="12" t="n">
        <x:v>0.4663333333333333</x:v>
      </x:c>
      <x:c r="G1406" s="12" t="n">
        <x:v>0</x:v>
      </x:c>
      <x:c r="H1406" s="1" t="n">
        <x:f>'Historical prices'!E1406</x:f>
        <x:v>1.05</x:v>
      </x:c>
      <x:c r="I1406" s="6" t="n">
        <x:f>'Historical prices'!D1406</x:f>
        <x:v>0.1573</x:v>
      </x:c>
      <x:c r="J1406" s="13" t="n">
        <x:f>D1406*I1406*H1406</x:f>
        <x:v>0</x:v>
      </x:c>
      <x:c r="K1406" s="13" t="n">
        <x:f>E1406*I1406*H1406</x:f>
        <x:v>0.07703570874999999</x:v>
      </x:c>
      <x:c r="L1406" s="1" t="str">
        <x:f>TEXT(A1406,"mmm yyyy")</x:f>
        <x:v>Jun 2026</x:v>
      </x:c>
    </x:row>
    <x:row r="1407" ht="21" customHeight="1">
      <x:c r="A1407" s="10" t="n">
        <x:v>46177</x:v>
      </x:c>
      <x:c r="B1407" s="1" t="n">
        <x:v>19.5</x:v>
      </x:c>
      <x:c r="C1407" s="1" t="n">
        <x:v>6</x:v>
      </x:c>
      <x:c r="D1407" s="12" t="n">
        <x:v>0</x:v>
      </x:c>
      <x:c r="E1407" s="12" t="n">
        <x:v>0.6469166666666666</x:v>
      </x:c>
      <x:c r="F1407" s="12" t="n">
        <x:v>0.6466666666666666</x:v>
      </x:c>
      <x:c r="G1407" s="12" t="n">
        <x:v>0</x:v>
      </x:c>
      <x:c r="H1407" s="1" t="n">
        <x:f>'Historical prices'!E1407</x:f>
        <x:v>1.05</x:v>
      </x:c>
      <x:c r="I1407" s="6" t="n">
        <x:f>'Historical prices'!D1407</x:f>
        <x:v>0.1617</x:v>
      </x:c>
      <x:c r="J1407" s="13" t="n">
        <x:f>D1407*I1407*H1407</x:f>
        <x:v>0</x:v>
      </x:c>
      <x:c r="K1407" s="13" t="n">
        <x:f>E1407*I1407*H1407</x:f>
        <x:v>0.10983674624999999</x:v>
      </x:c>
      <x:c r="L1407" s="1" t="str">
        <x:f>TEXT(A1407,"mmm yyyy")</x:f>
        <x:v>Jun 2026</x:v>
      </x:c>
    </x:row>
    <x:row r="1408" ht="21" customHeight="1">
      <x:c r="A1408" s="10" t="n">
        <x:v>46177</x:v>
      </x:c>
      <x:c r="B1408" s="1" t="n">
        <x:v>20</x:v>
      </x:c>
      <x:c r="C1408" s="1" t="n">
        <x:v>6</x:v>
      </x:c>
      <x:c r="D1408" s="12" t="n">
        <x:v>0</x:v>
      </x:c>
      <x:c r="E1408" s="12" t="n">
        <x:v>0.6186666666666666</x:v>
      </x:c>
      <x:c r="F1408" s="12" t="n">
        <x:v>0.6186666666666666</x:v>
      </x:c>
      <x:c r="G1408" s="12" t="n">
        <x:v>0</x:v>
      </x:c>
      <x:c r="H1408" s="1" t="n">
        <x:f>'Historical prices'!E1408</x:f>
        <x:v>1.05</x:v>
      </x:c>
      <x:c r="I1408" s="6" t="n">
        <x:f>'Historical prices'!D1408</x:f>
        <x:v>0.1808</x:v>
      </x:c>
      <x:c r="J1408" s="13" t="n">
        <x:f>D1408*I1408*H1408</x:f>
        <x:v>0</x:v>
      </x:c>
      <x:c r="K1408" s="13" t="n">
        <x:f>E1408*I1408*H1408</x:f>
        <x:v>0.11744767999999998</x:v>
      </x:c>
      <x:c r="L1408" s="1" t="str">
        <x:f>TEXT(A1408,"mmm yyyy")</x:f>
        <x:v>Jun 2026</x:v>
      </x:c>
    </x:row>
    <x:row r="1409" ht="21" customHeight="1">
      <x:c r="A1409" s="10" t="n">
        <x:v>46177</x:v>
      </x:c>
      <x:c r="B1409" s="1" t="n">
        <x:v>20.5</x:v>
      </x:c>
      <x:c r="C1409" s="1" t="n">
        <x:v>6</x:v>
      </x:c>
      <x:c r="D1409" s="12" t="n">
        <x:v>0</x:v>
      </x:c>
      <x:c r="E1409" s="12" t="n">
        <x:v>0.46683333333333327</x:v>
      </x:c>
      <x:c r="F1409" s="12" t="n">
        <x:v>0.46683333333333327</x:v>
      </x:c>
      <x:c r="G1409" s="12" t="n">
        <x:v>0</x:v>
      </x:c>
      <x:c r="H1409" s="1" t="n">
        <x:f>'Historical prices'!E1409</x:f>
        <x:v>1.05</x:v>
      </x:c>
      <x:c r="I1409" s="6" t="n">
        <x:f>'Historical prices'!D1409</x:f>
        <x:v>0.1818</x:v>
      </x:c>
      <x:c r="J1409" s="13" t="n">
        <x:f>D1409*I1409*H1409</x:f>
        <x:v>0</x:v>
      </x:c>
      <x:c r="K1409" s="13" t="n">
        <x:f>E1409*I1409*H1409</x:f>
        <x:v>0.08911381499999999</x:v>
      </x:c>
      <x:c r="L1409" s="1" t="str">
        <x:f>TEXT(A1409,"mmm yyyy")</x:f>
        <x:v>Jun 2026</x:v>
      </x:c>
    </x:row>
    <x:row r="1410" ht="21" customHeight="1">
      <x:c r="A1410" s="10" t="n">
        <x:v>46177</x:v>
      </x:c>
      <x:c r="B1410" s="1" t="n">
        <x:v>21</x:v>
      </x:c>
      <x:c r="C1410" s="1" t="n">
        <x:v>6</x:v>
      </x:c>
      <x:c r="D1410" s="12" t="n">
        <x:v>0</x:v>
      </x:c>
      <x:c r="E1410" s="12" t="n">
        <x:v>0.42783333333333334</x:v>
      </x:c>
      <x:c r="F1410" s="12" t="n">
        <x:v>0.42775</x:v>
      </x:c>
      <x:c r="G1410" s="12" t="n">
        <x:v>0</x:v>
      </x:c>
      <x:c r="H1410" s="1" t="n">
        <x:f>'Historical prices'!E1410</x:f>
        <x:v>1.05</x:v>
      </x:c>
      <x:c r="I1410" s="6" t="n">
        <x:f>'Historical prices'!D1410</x:f>
        <x:v>0.16829999999999998</x:v>
      </x:c>
      <x:c r="J1410" s="13" t="n">
        <x:f>D1410*I1410*H1410</x:f>
        <x:v>0</x:v>
      </x:c>
      <x:c r="K1410" s="13" t="n">
        <x:f>E1410*I1410*H1410</x:f>
        <x:v>0.0756045675</x:v>
      </x:c>
      <x:c r="L1410" s="1" t="str">
        <x:f>TEXT(A1410,"mmm yyyy")</x:f>
        <x:v>Jun 2026</x:v>
      </x:c>
    </x:row>
    <x:row r="1411" ht="21" customHeight="1">
      <x:c r="A1411" s="10" t="n">
        <x:v>46177</x:v>
      </x:c>
      <x:c r="B1411" s="1" t="n">
        <x:v>21.5</x:v>
      </x:c>
      <x:c r="C1411" s="1" t="n">
        <x:v>6</x:v>
      </x:c>
      <x:c r="D1411" s="12" t="n">
        <x:v>0</x:v>
      </x:c>
      <x:c r="E1411" s="12" t="n">
        <x:v>0.3799166666666667</x:v>
      </x:c>
      <x:c r="F1411" s="12" t="n">
        <x:v>0.3799166666666667</x:v>
      </x:c>
      <x:c r="G1411" s="12" t="n">
        <x:v>0</x:v>
      </x:c>
      <x:c r="H1411" s="1" t="n">
        <x:f>'Historical prices'!E1411</x:f>
        <x:v>1.05</x:v>
      </x:c>
      <x:c r="I1411" s="6" t="n">
        <x:f>'Historical prices'!D1411</x:f>
        <x:v>0.16260000000000002</x:v>
      </x:c>
      <x:c r="J1411" s="13" t="n">
        <x:f>D1411*I1411*H1411</x:f>
        <x:v>0</x:v>
      </x:c>
      <x:c r="K1411" s="13" t="n">
        <x:f>E1411*I1411*H1411</x:f>
        <x:v>0.06486317250000001</x:v>
      </x:c>
      <x:c r="L1411" s="1" t="str">
        <x:f>TEXT(A1411,"mmm yyyy")</x:f>
        <x:v>Jun 2026</x:v>
      </x:c>
    </x:row>
    <x:row r="1412" ht="21" customHeight="1">
      <x:c r="A1412" s="10" t="n">
        <x:v>46177</x:v>
      </x:c>
      <x:c r="B1412" s="1" t="n">
        <x:v>22</x:v>
      </x:c>
      <x:c r="C1412" s="1" t="n">
        <x:v>6</x:v>
      </x:c>
      <x:c r="D1412" s="12" t="n">
        <x:v>0</x:v>
      </x:c>
      <x:c r="E1412" s="12" t="n">
        <x:v>0.467</x:v>
      </x:c>
      <x:c r="F1412" s="12" t="n">
        <x:v>0.46675000000000005</x:v>
      </x:c>
      <x:c r="G1412" s="12" t="n">
        <x:v>0</x:v>
      </x:c>
      <x:c r="H1412" s="1" t="n">
        <x:f>'Historical prices'!E1412</x:f>
        <x:v>1.05</x:v>
      </x:c>
      <x:c r="I1412" s="6" t="n">
        <x:f>'Historical prices'!D1412</x:f>
        <x:v>0.16579999999999998</x:v>
      </x:c>
      <x:c r="J1412" s="13" t="n">
        <x:f>D1412*I1412*H1412</x:f>
        <x:v>0</x:v>
      </x:c>
      <x:c r="K1412" s="13" t="n">
        <x:f>E1412*I1412*H1412</x:f>
        <x:v>0.08130003</x:v>
      </x:c>
      <x:c r="L1412" s="1" t="str">
        <x:f>TEXT(A1412,"mmm yyyy")</x:f>
        <x:v>Jun 2026</x:v>
      </x:c>
    </x:row>
    <x:row r="1413" ht="21" customHeight="1">
      <x:c r="A1413" s="10" t="n">
        <x:v>46177</x:v>
      </x:c>
      <x:c r="B1413" s="1" t="n">
        <x:v>22.5</x:v>
      </x:c>
      <x:c r="C1413" s="1" t="n">
        <x:v>6</x:v>
      </x:c>
      <x:c r="D1413" s="12" t="n">
        <x:v>0.044083333333333335</x:v>
      </x:c>
      <x:c r="E1413" s="12" t="n">
        <x:v>0.4288333333333333</x:v>
      </x:c>
      <x:c r="F1413" s="12" t="n">
        <x:v>0.38475</x:v>
      </x:c>
      <x:c r="G1413" s="12" t="n">
        <x:v>0</x:v>
      </x:c>
      <x:c r="H1413" s="1" t="n">
        <x:f>'Historical prices'!E1413</x:f>
        <x:v>1.05</x:v>
      </x:c>
      <x:c r="I1413" s="6" t="n">
        <x:f>'Historical prices'!D1413</x:f>
        <x:v>0.1346</x:v>
      </x:c>
      <x:c r="J1413" s="13" t="n">
        <x:f>D1413*I1413*H1413</x:f>
        <x:v>0.006230297500000001</x:v>
      </x:c>
      <x:c r="K1413" s="13" t="n">
        <x:f>E1413*I1413*H1413</x:f>
        <x:v>0.06060701499999999</x:v>
      </x:c>
      <x:c r="L1413" s="1" t="str">
        <x:f>TEXT(A1413,"mmm yyyy")</x:f>
        <x:v>Jun 2026</x:v>
      </x:c>
    </x:row>
    <x:row r="1414" ht="21" customHeight="1">
      <x:c r="A1414" s="10" t="n">
        <x:v>46177</x:v>
      </x:c>
      <x:c r="B1414" s="1" t="n">
        <x:v>23</x:v>
      </x:c>
      <x:c r="C1414" s="1" t="n">
        <x:v>6</x:v>
      </x:c>
      <x:c r="D1414" s="12" t="n">
        <x:v>0.3805833333333333</x:v>
      </x:c>
      <x:c r="E1414" s="12" t="n">
        <x:v>0.4375833333333333</x:v>
      </x:c>
      <x:c r="F1414" s="12" t="n">
        <x:v>0.047</x:v>
      </x:c>
      <x:c r="G1414" s="12" t="n">
        <x:v>0</x:v>
      </x:c>
      <x:c r="H1414" s="1" t="n">
        <x:f>'Historical prices'!E1414</x:f>
        <x:v>1.05</x:v>
      </x:c>
      <x:c r="I1414" s="6" t="n">
        <x:f>'Historical prices'!D1414</x:f>
        <x:v>0.127</x:v>
      </x:c>
      <x:c r="J1414" s="13" t="n">
        <x:f>D1414*I1414*H1414</x:f>
        <x:v>0.05075078749999999</x:v>
      </x:c>
      <x:c r="K1414" s="13" t="n">
        <x:f>E1414*I1414*H1414</x:f>
        <x:v>0.05835173750000001</x:v>
      </x:c>
      <x:c r="L1414" s="1" t="str">
        <x:f>TEXT(A1414,"mmm yyyy")</x:f>
        <x:v>Jun 2026</x:v>
      </x:c>
    </x:row>
    <x:row r="1415" ht="21" customHeight="1">
      <x:c r="A1415" s="10" t="n">
        <x:v>46177</x:v>
      </x:c>
      <x:c r="B1415" s="1" t="n">
        <x:v>23.5</x:v>
      </x:c>
      <x:c r="C1415" s="1" t="n">
        <x:v>6</x:v>
      </x:c>
      <x:c r="D1415" s="12" t="n">
        <x:v>0.32983333333333337</x:v>
      </x:c>
      <x:c r="E1415" s="12" t="n">
        <x:v>0.3408333333333334</x:v>
      </x:c>
      <x:c r="F1415" s="12" t="n">
        <x:v>0</x:v>
      </x:c>
      <x:c r="G1415" s="12" t="n">
        <x:v>0</x:v>
      </x:c>
      <x:c r="H1415" s="1" t="n">
        <x:f>'Historical prices'!E1415</x:f>
        <x:v>1.05</x:v>
      </x:c>
      <x:c r="I1415" s="6" t="n">
        <x:f>'Historical prices'!D1415</x:f>
        <x:v>0.1104</x:v>
      </x:c>
      <x:c r="J1415" s="13" t="n">
        <x:f>D1415*I1415*H1415</x:f>
        <x:v>0.03823428000000001</x:v>
      </x:c>
      <x:c r="K1415" s="13" t="n">
        <x:f>E1415*I1415*H1415</x:f>
        <x:v>0.0395094</x:v>
      </x:c>
      <x:c r="L1415" s="1" t="str">
        <x:f>TEXT(A1415,"mmm yyyy")</x:f>
        <x:v>Jun 2026</x:v>
      </x:c>
    </x:row>
    <x:row r="1416" ht="21" customHeight="1">
      <x:c r="A1416" s="10" t="n">
        <x:v>46178</x:v>
      </x:c>
      <x:c r="B1416" s="1" t="n">
        <x:v>0</x:v>
      </x:c>
      <x:c r="C1416" s="1" t="n">
        <x:v>6</x:v>
      </x:c>
      <x:c r="D1416" s="12" t="n">
        <x:v>0.17491666666666666</x:v>
      </x:c>
      <x:c r="E1416" s="12" t="n">
        <x:v>0.18591666666666667</x:v>
      </x:c>
      <x:c r="F1416" s="12" t="n">
        <x:v>0</x:v>
      </x:c>
      <x:c r="G1416" s="12" t="n">
        <x:v>0</x:v>
      </x:c>
      <x:c r="H1416" s="1" t="n">
        <x:f>'Historical prices'!E1416</x:f>
        <x:v>1.05</x:v>
      </x:c>
      <x:c r="I1416" s="6" t="n">
        <x:f>'Historical prices'!D1416</x:f>
        <x:v>0.1104</x:v>
      </x:c>
      <x:c r="J1416" s="13" t="n">
        <x:f>D1416*I1416*H1416</x:f>
        <x:v>0.02027634</x:v>
      </x:c>
      <x:c r="K1416" s="13" t="n">
        <x:f>E1416*I1416*H1416</x:f>
        <x:v>0.02155146</x:v>
      </x:c>
      <x:c r="L1416" s="1" t="str">
        <x:f>TEXT(A1416,"mmm yyyy")</x:f>
        <x:v>Jun 2026</x:v>
      </x:c>
    </x:row>
    <x:row r="1417" ht="21" customHeight="1">
      <x:c r="A1417" s="10" t="n">
        <x:v>46178</x:v>
      </x:c>
      <x:c r="B1417" s="1" t="n">
        <x:v>0.5</x:v>
      </x:c>
      <x:c r="C1417" s="1" t="n">
        <x:v>6</x:v>
      </x:c>
      <x:c r="D1417" s="12" t="n">
        <x:v>0.12525</x:v>
      </x:c>
      <x:c r="E1417" s="12" t="n">
        <x:v>0.13524999999999998</x:v>
      </x:c>
      <x:c r="F1417" s="12" t="n">
        <x:v>0</x:v>
      </x:c>
      <x:c r="G1417" s="12" t="n">
        <x:v>0</x:v>
      </x:c>
      <x:c r="H1417" s="1" t="n">
        <x:f>'Historical prices'!E1417</x:f>
        <x:v>1.05</x:v>
      </x:c>
      <x:c r="I1417" s="6" t="n">
        <x:f>'Historical prices'!D1417</x:f>
        <x:v>0.1104</x:v>
      </x:c>
      <x:c r="J1417" s="13" t="n">
        <x:f>D1417*I1417*H1417</x:f>
        <x:v>0.01451898</x:v>
      </x:c>
      <x:c r="K1417" s="13" t="n">
        <x:f>E1417*I1417*H1417</x:f>
        <x:v>0.01567818</x:v>
      </x:c>
      <x:c r="L1417" s="1" t="str">
        <x:f>TEXT(A1417,"mmm yyyy")</x:f>
        <x:v>Jun 2026</x:v>
      </x:c>
    </x:row>
    <x:row r="1418" ht="21" customHeight="1">
      <x:c r="A1418" s="10" t="n">
        <x:v>46178</x:v>
      </x:c>
      <x:c r="B1418" s="1" t="n">
        <x:v>1</x:v>
      </x:c>
      <x:c r="C1418" s="1" t="n">
        <x:v>6</x:v>
      </x:c>
      <x:c r="D1418" s="12" t="n">
        <x:v>0.19741666666666666</x:v>
      </x:c>
      <x:c r="E1418" s="12" t="n">
        <x:v>0.20841666666666667</x:v>
      </x:c>
      <x:c r="F1418" s="12" t="n">
        <x:v>0</x:v>
      </x:c>
      <x:c r="G1418" s="12" t="n">
        <x:v>0</x:v>
      </x:c>
      <x:c r="H1418" s="1" t="n">
        <x:f>'Historical prices'!E1418</x:f>
        <x:v>1.05</x:v>
      </x:c>
      <x:c r="I1418" s="6" t="n">
        <x:f>'Historical prices'!D1418</x:f>
        <x:v>0.1104</x:v>
      </x:c>
      <x:c r="J1418" s="13" t="n">
        <x:f>D1418*I1418*H1418</x:f>
        <x:v>0.022884540000000002</x:v>
      </x:c>
      <x:c r="K1418" s="13" t="n">
        <x:f>E1418*I1418*H1418</x:f>
        <x:v>0.024159660000000003</x:v>
      </x:c>
      <x:c r="L1418" s="1" t="str">
        <x:f>TEXT(A1418,"mmm yyyy")</x:f>
        <x:v>Jun 2026</x:v>
      </x:c>
    </x:row>
    <x:row r="1419" ht="21" customHeight="1">
      <x:c r="A1419" s="10" t="n">
        <x:v>46178</x:v>
      </x:c>
      <x:c r="B1419" s="1" t="n">
        <x:v>1.5</x:v>
      </x:c>
      <x:c r="C1419" s="1" t="n">
        <x:v>6</x:v>
      </x:c>
      <x:c r="D1419" s="12" t="n">
        <x:v>0.1913333333333333</x:v>
      </x:c>
      <x:c r="E1419" s="12" t="n">
        <x:v>0.2013333333333333</x:v>
      </x:c>
      <x:c r="F1419" s="12" t="n">
        <x:v>0</x:v>
      </x:c>
      <x:c r="G1419" s="12" t="n">
        <x:v>0</x:v>
      </x:c>
      <x:c r="H1419" s="1" t="n">
        <x:f>'Historical prices'!E1419</x:f>
        <x:v>1.05</x:v>
      </x:c>
      <x:c r="I1419" s="6" t="n">
        <x:f>'Historical prices'!D1419</x:f>
        <x:v>0.1104</x:v>
      </x:c>
      <x:c r="J1419" s="13" t="n">
        <x:f>D1419*I1419*H1419</x:f>
        <x:v>0.022179359999999995</x:v>
      </x:c>
      <x:c r="K1419" s="13" t="n">
        <x:f>E1419*I1419*H1419</x:f>
        <x:v>0.023338559999999998</x:v>
      </x:c>
      <x:c r="L1419" s="1" t="str">
        <x:f>TEXT(A1419,"mmm yyyy")</x:f>
        <x:v>Jun 2026</x:v>
      </x:c>
    </x:row>
    <x:row r="1420" ht="21" customHeight="1">
      <x:c r="A1420" s="10" t="n">
        <x:v>46178</x:v>
      </x:c>
      <x:c r="B1420" s="1" t="n">
        <x:v>2</x:v>
      </x:c>
      <x:c r="C1420" s="1" t="n">
        <x:v>6</x:v>
      </x:c>
      <x:c r="D1420" s="12" t="n">
        <x:v>0.14150000000000001</x:v>
      </x:c>
      <x:c r="E1420" s="12" t="n">
        <x:v>0.15150000000000002</x:v>
      </x:c>
      <x:c r="F1420" s="12" t="n">
        <x:v>0</x:v>
      </x:c>
      <x:c r="G1420" s="12" t="n">
        <x:v>0</x:v>
      </x:c>
      <x:c r="H1420" s="1" t="n">
        <x:f>'Historical prices'!E1420</x:f>
        <x:v>1.05</x:v>
      </x:c>
      <x:c r="I1420" s="6" t="n">
        <x:f>'Historical prices'!D1420</x:f>
        <x:v>0.1094</x:v>
      </x:c>
      <x:c r="J1420" s="13" t="n">
        <x:f>D1420*I1420*H1420</x:f>
        <x:v>0.016254105</x:v>
      </x:c>
      <x:c r="K1420" s="13" t="n">
        <x:f>E1420*I1420*H1420</x:f>
        <x:v>0.017402805000000004</x:v>
      </x:c>
      <x:c r="L1420" s="1" t="str">
        <x:f>TEXT(A1420,"mmm yyyy")</x:f>
        <x:v>Jun 2026</x:v>
      </x:c>
    </x:row>
    <x:row r="1421" ht="21" customHeight="1">
      <x:c r="A1421" s="10" t="n">
        <x:v>46178</x:v>
      </x:c>
      <x:c r="B1421" s="1" t="n">
        <x:v>2.5</x:v>
      </x:c>
      <x:c r="C1421" s="1" t="n">
        <x:v>6</x:v>
      </x:c>
      <x:c r="D1421" s="12" t="n">
        <x:v>0.25925</x:v>
      </x:c>
      <x:c r="E1421" s="12" t="n">
        <x:v>0.27025</x:v>
      </x:c>
      <x:c r="F1421" s="12" t="n">
        <x:v>0</x:v>
      </x:c>
      <x:c r="G1421" s="12" t="n">
        <x:v>0</x:v>
      </x:c>
      <x:c r="H1421" s="1" t="n">
        <x:f>'Historical prices'!E1421</x:f>
        <x:v>1.05</x:v>
      </x:c>
      <x:c r="I1421" s="6" t="n">
        <x:f>'Historical prices'!D1421</x:f>
        <x:v>0.1104</x:v>
      </x:c>
      <x:c r="J1421" s="13" t="n">
        <x:f>D1421*I1421*H1421</x:f>
        <x:v>0.030052259999999997</x:v>
      </x:c>
      <x:c r="K1421" s="13" t="n">
        <x:f>E1421*I1421*H1421</x:f>
        <x:v>0.031327379999999995</x:v>
      </x:c>
      <x:c r="L1421" s="1" t="str">
        <x:f>TEXT(A1421,"mmm yyyy")</x:f>
        <x:v>Jun 2026</x:v>
      </x:c>
    </x:row>
    <x:row r="1422" ht="21" customHeight="1">
      <x:c r="A1422" s="10" t="n">
        <x:v>46178</x:v>
      </x:c>
      <x:c r="B1422" s="1" t="n">
        <x:v>3</x:v>
      </x:c>
      <x:c r="C1422" s="1" t="n">
        <x:v>6</x:v>
      </x:c>
      <x:c r="D1422" s="12" t="n">
        <x:v>3.5019166666666663</x:v>
      </x:c>
      <x:c r="E1422" s="12" t="n">
        <x:v>0.39691666666666664</x:v>
      </x:c>
      <x:c r="F1422" s="12" t="n">
        <x:v>0</x:v>
      </x:c>
      <x:c r="G1422" s="12" t="n">
        <x:v>3.108</x:v>
      </x:c>
      <x:c r="H1422" s="1" t="n">
        <x:f>'Historical prices'!E1422</x:f>
        <x:v>1.05</x:v>
      </x:c>
      <x:c r="I1422" s="6" t="n">
        <x:f>'Historical prices'!D1422</x:f>
        <x:v>0.0968</x:v>
      </x:c>
      <x:c r="J1422" s="13" t="n">
        <x:f>D1422*I1422*H1422</x:f>
        <x:v>0.35593481</x:v>
      </x:c>
      <x:c r="K1422" s="13" t="n">
        <x:f>E1422*I1422*H1422</x:f>
        <x:v>0.040342609999999994</x:v>
      </x:c>
      <x:c r="L1422" s="1" t="str">
        <x:f>TEXT(A1422,"mmm yyyy")</x:f>
        <x:v>Jun 2026</x:v>
      </x:c>
    </x:row>
    <x:row r="1423" ht="21" customHeight="1">
      <x:c r="A1423" s="10" t="n">
        <x:v>46178</x:v>
      </x:c>
      <x:c r="B1423" s="1" t="n">
        <x:v>3.5</x:v>
      </x:c>
      <x:c r="C1423" s="1" t="n">
        <x:v>6</x:v>
      </x:c>
      <x:c r="D1423" s="12" t="n">
        <x:v>4.037833333333333</x:v>
      </x:c>
      <x:c r="E1423" s="12" t="n">
        <x:v>0.4478333333333333</x:v>
      </x:c>
      <x:c r="F1423" s="12" t="n">
        <x:v>0</x:v>
      </x:c>
      <x:c r="G1423" s="12" t="n">
        <x:v>3.59</x:v>
      </x:c>
      <x:c r="H1423" s="1" t="n">
        <x:f>'Historical prices'!E1423</x:f>
        <x:v>1.05</x:v>
      </x:c>
      <x:c r="I1423" s="6" t="n">
        <x:f>'Historical prices'!D1423</x:f>
        <x:v>0.0842</x:v>
      </x:c>
      <x:c r="J1423" s="13" t="n">
        <x:f>D1423*I1423*H1423</x:f>
        <x:v>0.35698484500000005</x:v>
      </x:c>
      <x:c r="K1423" s="13" t="n">
        <x:f>E1423*I1423*H1423</x:f>
        <x:v>0.039592945</x:v>
      </x:c>
      <x:c r="L1423" s="1" t="str">
        <x:f>TEXT(A1423,"mmm yyyy")</x:f>
        <x:v>Jun 2026</x:v>
      </x:c>
    </x:row>
    <x:row r="1424" ht="21" customHeight="1">
      <x:c r="A1424" s="10" t="n">
        <x:v>46178</x:v>
      </x:c>
      <x:c r="B1424" s="1" t="n">
        <x:v>4</x:v>
      </x:c>
      <x:c r="C1424" s="1" t="n">
        <x:v>6</x:v>
      </x:c>
      <x:c r="D1424" s="12" t="n">
        <x:v>3.602</x:v>
      </x:c>
      <x:c r="E1424" s="12" t="n">
        <x:v>0.40299999999999997</x:v>
      </x:c>
      <x:c r="F1424" s="12" t="n">
        <x:v>0</x:v>
      </x:c>
      <x:c r="G1424" s="12" t="n">
        <x:v>3.199</x:v>
      </x:c>
      <x:c r="H1424" s="1" t="n">
        <x:f>'Historical prices'!E1424</x:f>
        <x:v>1.05</x:v>
      </x:c>
      <x:c r="I1424" s="6" t="n">
        <x:f>'Historical prices'!D1424</x:f>
        <x:v>0.1094</x:v>
      </x:c>
      <x:c r="J1424" s="13" t="n">
        <x:f>D1424*I1424*H1424</x:f>
        <x:v>0.41376174</x:v>
      </x:c>
      <x:c r="K1424" s="13" t="n">
        <x:f>E1424*I1424*H1424</x:f>
        <x:v>0.04629261</x:v>
      </x:c>
      <x:c r="L1424" s="1" t="str">
        <x:f>TEXT(A1424,"mmm yyyy")</x:f>
        <x:v>Jun 2026</x:v>
      </x:c>
    </x:row>
    <x:row r="1425" ht="21" customHeight="1">
      <x:c r="A1425" s="10" t="n">
        <x:v>46178</x:v>
      </x:c>
      <x:c r="B1425" s="1" t="n">
        <x:v>4.5</x:v>
      </x:c>
      <x:c r="C1425" s="1" t="n">
        <x:v>6</x:v>
      </x:c>
      <x:c r="D1425" s="12" t="n">
        <x:v>1.0587499999999999</x:v>
      </x:c>
      <x:c r="E1425" s="12" t="n">
        <x:v>0.24975000000000003</x:v>
      </x:c>
      <x:c r="F1425" s="12" t="n">
        <x:v>0</x:v>
      </x:c>
      <x:c r="G1425" s="12" t="n">
        <x:v>0.8119999999999999</x:v>
      </x:c>
      <x:c r="H1425" s="1" t="n">
        <x:f>'Historical prices'!E1425</x:f>
        <x:v>1.05</x:v>
      </x:c>
      <x:c r="I1425" s="6" t="n">
        <x:f>'Historical prices'!D1425</x:f>
        <x:v>0.1094</x:v>
      </x:c>
      <x:c r="J1425" s="13" t="n">
        <x:f>D1425*I1425*H1425</x:f>
        <x:v>0.12161861249999999</x:v>
      </x:c>
      <x:c r="K1425" s="13" t="n">
        <x:f>E1425*I1425*H1425</x:f>
        <x:v>0.028688782500000006</x:v>
      </x:c>
      <x:c r="L1425" s="1" t="str">
        <x:f>TEXT(A1425,"mmm yyyy")</x:f>
        <x:v>Jun 2026</x:v>
      </x:c>
    </x:row>
    <x:row r="1426" ht="21" customHeight="1">
      <x:c r="A1426" s="10" t="n">
        <x:v>46178</x:v>
      </x:c>
      <x:c r="B1426" s="1" t="n">
        <x:v>5</x:v>
      </x:c>
      <x:c r="C1426" s="1" t="n">
        <x:v>6</x:v>
      </x:c>
      <x:c r="D1426" s="12" t="n">
        <x:v>0.1165</x:v>
      </x:c>
      <x:c r="E1426" s="12" t="n">
        <x:v>0.33141666666666664</x:v>
      </x:c>
      <x:c r="F1426" s="12" t="n">
        <x:v>0.21283333333333332</x:v>
      </x:c>
      <x:c r="G1426" s="12" t="n">
        <x:v>0</x:v>
      </x:c>
      <x:c r="H1426" s="1" t="n">
        <x:f>'Historical prices'!E1426</x:f>
        <x:v>1.05</x:v>
      </x:c>
      <x:c r="I1426" s="6" t="n">
        <x:f>'Historical prices'!D1426</x:f>
        <x:v>0.1613</x:v>
      </x:c>
      <x:c r="J1426" s="13" t="n">
        <x:f>D1426*I1426*H1426</x:f>
        <x:v>0.0197310225</x:v>
      </x:c>
      <x:c r="K1426" s="13" t="n">
        <x:f>E1426*I1426*H1426</x:f>
        <x:v>0.05613038375</x:v>
      </x:c>
      <x:c r="L1426" s="1" t="str">
        <x:f>TEXT(A1426,"mmm yyyy")</x:f>
        <x:v>Jun 2026</x:v>
      </x:c>
    </x:row>
    <x:row r="1427" ht="21" customHeight="1">
      <x:c r="A1427" s="10" t="n">
        <x:v>46178</x:v>
      </x:c>
      <x:c r="B1427" s="1" t="n">
        <x:v>5.5</x:v>
      </x:c>
      <x:c r="C1427" s="1" t="n">
        <x:v>6</x:v>
      </x:c>
      <x:c r="D1427" s="12" t="n">
        <x:v>0</x:v>
      </x:c>
      <x:c r="E1427" s="12" t="n">
        <x:v>0.374</x:v>
      </x:c>
      <x:c r="F1427" s="12" t="n">
        <x:v>0.37383333333333335</x:v>
      </x:c>
      <x:c r="G1427" s="12" t="n">
        <x:v>0</x:v>
      </x:c>
      <x:c r="H1427" s="1" t="n">
        <x:f>'Historical prices'!E1427</x:f>
        <x:v>1.05</x:v>
      </x:c>
      <x:c r="I1427" s="6" t="n">
        <x:f>'Historical prices'!D1427</x:f>
        <x:v>0.17850000000000002</x:v>
      </x:c>
      <x:c r="J1427" s="13" t="n">
        <x:f>D1427*I1427*H1427</x:f>
        <x:v>0</x:v>
      </x:c>
      <x:c r="K1427" s="13" t="n">
        <x:f>E1427*I1427*H1427</x:f>
        <x:v>0.07009695000000002</x:v>
      </x:c>
      <x:c r="L1427" s="1" t="str">
        <x:f>TEXT(A1427,"mmm yyyy")</x:f>
        <x:v>Jun 2026</x:v>
      </x:c>
    </x:row>
    <x:row r="1428" ht="21" customHeight="1">
      <x:c r="A1428" s="10" t="n">
        <x:v>46178</x:v>
      </x:c>
      <x:c r="B1428" s="1" t="n">
        <x:v>6</x:v>
      </x:c>
      <x:c r="C1428" s="1" t="n">
        <x:v>6</x:v>
      </x:c>
      <x:c r="D1428" s="12" t="n">
        <x:v>0.052000000000000005</x:v>
      </x:c>
      <x:c r="E1428" s="12" t="n">
        <x:v>0.2525</x:v>
      </x:c>
      <x:c r="F1428" s="12" t="n">
        <x:v>0.19383333333333336</x:v>
      </x:c>
      <x:c r="G1428" s="12" t="n">
        <x:v>0</x:v>
      </x:c>
      <x:c r="H1428" s="1" t="n">
        <x:f>'Historical prices'!E1428</x:f>
        <x:v>1.05</x:v>
      </x:c>
      <x:c r="I1428" s="6" t="n">
        <x:f>'Historical prices'!D1428</x:f>
        <x:v>0.1707</x:v>
      </x:c>
      <x:c r="J1428" s="13" t="n">
        <x:f>D1428*I1428*H1428</x:f>
        <x:v>0.00932022</x:v>
      </x:c>
      <x:c r="K1428" s="13" t="n">
        <x:f>E1428*I1428*H1428</x:f>
        <x:v>0.0452568375</x:v>
      </x:c>
      <x:c r="L1428" s="1" t="str">
        <x:f>TEXT(A1428,"mmm yyyy")</x:f>
        <x:v>Jun 2026</x:v>
      </x:c>
    </x:row>
    <x:row r="1429" ht="21" customHeight="1">
      <x:c r="A1429" s="10" t="n">
        <x:v>46178</x:v>
      </x:c>
      <x:c r="B1429" s="1" t="n">
        <x:v>6.5</x:v>
      </x:c>
      <x:c r="C1429" s="1" t="n">
        <x:v>6</x:v>
      </x:c>
      <x:c r="D1429" s="12" t="n">
        <x:v>0.026</x:v>
      </x:c>
      <x:c r="E1429" s="12" t="n">
        <x:v>0.31908333333333333</x:v>
      </x:c>
      <x:c r="F1429" s="12" t="n">
        <x:v>0.29075</x:v>
      </x:c>
      <x:c r="G1429" s="12" t="n">
        <x:v>0</x:v>
      </x:c>
      <x:c r="H1429" s="1" t="n">
        <x:f>'Historical prices'!E1429</x:f>
        <x:v>1.05</x:v>
      </x:c>
      <x:c r="I1429" s="6" t="n">
        <x:f>'Historical prices'!D1429</x:f>
        <x:v>0.20800000000000002</x:v>
      </x:c>
      <x:c r="J1429" s="13" t="n">
        <x:f>D1429*I1429*H1429</x:f>
        <x:v>0.005678400000000001</x:v>
      </x:c>
      <x:c r="K1429" s="13" t="n">
        <x:f>E1429*I1429*H1429</x:f>
        <x:v>0.06968780000000001</x:v>
      </x:c>
      <x:c r="L1429" s="1" t="str">
        <x:f>TEXT(A1429,"mmm yyyy")</x:f>
        <x:v>Jun 2026</x:v>
      </x:c>
    </x:row>
    <x:row r="1430" ht="21" customHeight="1">
      <x:c r="A1430" s="10" t="n">
        <x:v>46178</x:v>
      </x:c>
      <x:c r="B1430" s="1" t="n">
        <x:v>7</x:v>
      </x:c>
      <x:c r="C1430" s="1" t="n">
        <x:v>6</x:v>
      </x:c>
      <x:c r="D1430" s="12" t="n">
        <x:v>0</x:v>
      </x:c>
      <x:c r="E1430" s="12" t="n">
        <x:v>0.47908333333333336</x:v>
      </x:c>
      <x:c r="F1430" s="12" t="n">
        <x:v>0.4786666666666667</x:v>
      </x:c>
      <x:c r="G1430" s="12" t="n">
        <x:v>0</x:v>
      </x:c>
      <x:c r="H1430" s="1" t="n">
        <x:f>'Historical prices'!E1430</x:f>
        <x:v>1.05</x:v>
      </x:c>
      <x:c r="I1430" s="6" t="n">
        <x:f>'Historical prices'!D1430</x:f>
        <x:v>0.20600000000000002</x:v>
      </x:c>
      <x:c r="J1430" s="13" t="n">
        <x:f>D1430*I1430*H1430</x:f>
        <x:v>0</x:v>
      </x:c>
      <x:c r="K1430" s="13" t="n">
        <x:f>E1430*I1430*H1430</x:f>
        <x:v>0.10362572500000002</x:v>
      </x:c>
      <x:c r="L1430" s="1" t="str">
        <x:f>TEXT(A1430,"mmm yyyy")</x:f>
        <x:v>Jun 2026</x:v>
      </x:c>
    </x:row>
    <x:row r="1431" ht="21" customHeight="1">
      <x:c r="A1431" s="10" t="n">
        <x:v>46178</x:v>
      </x:c>
      <x:c r="B1431" s="1" t="n">
        <x:v>7.5</x:v>
      </x:c>
      <x:c r="C1431" s="1" t="n">
        <x:v>6</x:v>
      </x:c>
      <x:c r="D1431" s="12" t="n">
        <x:v>0</x:v>
      </x:c>
      <x:c r="E1431" s="12" t="n">
        <x:v>0.6679166666666666</x:v>
      </x:c>
      <x:c r="F1431" s="12" t="n">
        <x:v>0.66775</x:v>
      </x:c>
      <x:c r="G1431" s="12" t="n">
        <x:v>0</x:v>
      </x:c>
      <x:c r="H1431" s="1" t="n">
        <x:f>'Historical prices'!E1431</x:f>
        <x:v>1.05</x:v>
      </x:c>
      <x:c r="I1431" s="6" t="n">
        <x:f>'Historical prices'!D1431</x:f>
        <x:v>0.2228</x:v>
      </x:c>
      <x:c r="J1431" s="13" t="n">
        <x:f>D1431*I1431*H1431</x:f>
        <x:v>0</x:v>
      </x:c>
      <x:c r="K1431" s="13" t="n">
        <x:f>E1431*I1431*H1431</x:f>
        <x:v>0.15625242499999997</x:v>
      </x:c>
      <x:c r="L1431" s="1" t="str">
        <x:f>TEXT(A1431,"mmm yyyy")</x:f>
        <x:v>Jun 2026</x:v>
      </x:c>
    </x:row>
    <x:row r="1432" ht="21" customHeight="1">
      <x:c r="A1432" s="10" t="n">
        <x:v>46178</x:v>
      </x:c>
      <x:c r="B1432" s="1" t="n">
        <x:v>8</x:v>
      </x:c>
      <x:c r="C1432" s="1" t="n">
        <x:v>6</x:v>
      </x:c>
      <x:c r="D1432" s="12" t="n">
        <x:v>0</x:v>
      </x:c>
      <x:c r="E1432" s="12" t="n">
        <x:v>0.46375</x:v>
      </x:c>
      <x:c r="F1432" s="12" t="n">
        <x:v>0.46366666666666667</x:v>
      </x:c>
      <x:c r="G1432" s="12" t="n">
        <x:v>0</x:v>
      </x:c>
      <x:c r="H1432" s="1" t="n">
        <x:f>'Historical prices'!E1432</x:f>
        <x:v>1.05</x:v>
      </x:c>
      <x:c r="I1432" s="6" t="n">
        <x:f>'Historical prices'!D1432</x:f>
        <x:v>0.2064</x:v>
      </x:c>
      <x:c r="J1432" s="13" t="n">
        <x:f>D1432*I1432*H1432</x:f>
        <x:v>0</x:v>
      </x:c>
      <x:c r="K1432" s="13" t="n">
        <x:f>E1432*I1432*H1432</x:f>
        <x:v>0.10050390000000001</x:v>
      </x:c>
      <x:c r="L1432" s="1" t="str">
        <x:f>TEXT(A1432,"mmm yyyy")</x:f>
        <x:v>Jun 2026</x:v>
      </x:c>
    </x:row>
    <x:row r="1433" ht="21" customHeight="1">
      <x:c r="A1433" s="10" t="n">
        <x:v>46178</x:v>
      </x:c>
      <x:c r="B1433" s="1" t="n">
        <x:v>8.5</x:v>
      </x:c>
      <x:c r="C1433" s="1" t="n">
        <x:v>6</x:v>
      </x:c>
      <x:c r="D1433" s="12" t="n">
        <x:v>0</x:v>
      </x:c>
      <x:c r="E1433" s="12" t="n">
        <x:v>0.499</x:v>
      </x:c>
      <x:c r="F1433" s="12" t="n">
        <x:v>0.49883333333333335</x:v>
      </x:c>
      <x:c r="G1433" s="12" t="n">
        <x:v>0</x:v>
      </x:c>
      <x:c r="H1433" s="1" t="n">
        <x:f>'Historical prices'!E1433</x:f>
        <x:v>1.05</x:v>
      </x:c>
      <x:c r="I1433" s="6" t="n">
        <x:f>'Historical prices'!D1433</x:f>
        <x:v>0.185</x:v>
      </x:c>
      <x:c r="J1433" s="13" t="n">
        <x:f>D1433*I1433*H1433</x:f>
        <x:v>0</x:v>
      </x:c>
      <x:c r="K1433" s="13" t="n">
        <x:f>E1433*I1433*H1433</x:f>
        <x:v>0.09693075</x:v>
      </x:c>
      <x:c r="L1433" s="1" t="str">
        <x:f>TEXT(A1433,"mmm yyyy")</x:f>
        <x:v>Jun 2026</x:v>
      </x:c>
    </x:row>
    <x:row r="1434" ht="21" customHeight="1">
      <x:c r="A1434" s="10" t="n">
        <x:v>46178</x:v>
      </x:c>
      <x:c r="B1434" s="1" t="n">
        <x:v>9</x:v>
      </x:c>
      <x:c r="C1434" s="1" t="n">
        <x:v>6</x:v>
      </x:c>
      <x:c r="D1434" s="12" t="n">
        <x:v>0</x:v>
      </x:c>
      <x:c r="E1434" s="12" t="n">
        <x:v>0.5456666666666666</x:v>
      </x:c>
      <x:c r="F1434" s="12" t="n">
        <x:v>0.5456666666666666</x:v>
      </x:c>
      <x:c r="G1434" s="12" t="n">
        <x:v>0</x:v>
      </x:c>
      <x:c r="H1434" s="1" t="n">
        <x:f>'Historical prices'!E1434</x:f>
        <x:v>1.05</x:v>
      </x:c>
      <x:c r="I1434" s="6" t="n">
        <x:f>'Historical prices'!D1434</x:f>
        <x:v>0.1892</x:v>
      </x:c>
      <x:c r="J1434" s="13" t="n">
        <x:f>D1434*I1434*H1434</x:f>
        <x:v>0</x:v>
      </x:c>
      <x:c r="K1434" s="13" t="n">
        <x:f>E1434*I1434*H1434</x:f>
        <x:v>0.10840214000000001</x:v>
      </x:c>
      <x:c r="L1434" s="1" t="str">
        <x:f>TEXT(A1434,"mmm yyyy")</x:f>
        <x:v>Jun 2026</x:v>
      </x:c>
    </x:row>
    <x:row r="1435" ht="21" customHeight="1">
      <x:c r="A1435" s="10" t="n">
        <x:v>46178</x:v>
      </x:c>
      <x:c r="B1435" s="1" t="n">
        <x:v>9.5</x:v>
      </x:c>
      <x:c r="C1435" s="1" t="n">
        <x:v>6</x:v>
      </x:c>
      <x:c r="D1435" s="12" t="n">
        <x:v>0</x:v>
      </x:c>
      <x:c r="E1435" s="12" t="n">
        <x:v>0.5090833333333333</x:v>
      </x:c>
      <x:c r="F1435" s="12" t="n">
        <x:v>0.5089166666666667</x:v>
      </x:c>
      <x:c r="G1435" s="12" t="n">
        <x:v>0</x:v>
      </x:c>
      <x:c r="H1435" s="1" t="n">
        <x:f>'Historical prices'!E1435</x:f>
        <x:v>1.05</x:v>
      </x:c>
      <x:c r="I1435" s="6" t="n">
        <x:f>'Historical prices'!D1435</x:f>
        <x:v>0.1766</x:v>
      </x:c>
      <x:c r="J1435" s="13" t="n">
        <x:f>D1435*I1435*H1435</x:f>
        <x:v>0</x:v>
      </x:c>
      <x:c r="K1435" s="13" t="n">
        <x:f>E1435*I1435*H1435</x:f>
        <x:v>0.09439932250000001</x:v>
      </x:c>
      <x:c r="L1435" s="1" t="str">
        <x:f>TEXT(A1435,"mmm yyyy")</x:f>
        <x:v>Jun 2026</x:v>
      </x:c>
    </x:row>
    <x:row r="1436" ht="21" customHeight="1">
      <x:c r="A1436" s="10" t="n">
        <x:v>46178</x:v>
      </x:c>
      <x:c r="B1436" s="1" t="n">
        <x:v>10</x:v>
      </x:c>
      <x:c r="C1436" s="1" t="n">
        <x:v>6</x:v>
      </x:c>
      <x:c r="D1436" s="12" t="n">
        <x:v>0</x:v>
      </x:c>
      <x:c r="E1436" s="12" t="n">
        <x:v>0.44991666666666674</x:v>
      </x:c>
      <x:c r="F1436" s="12" t="n">
        <x:v>0.44983333333333336</x:v>
      </x:c>
      <x:c r="G1436" s="12" t="n">
        <x:v>0</x:v>
      </x:c>
      <x:c r="H1436" s="1" t="n">
        <x:f>'Historical prices'!E1436</x:f>
        <x:v>1.05</x:v>
      </x:c>
      <x:c r="I1436" s="6" t="n">
        <x:f>'Historical prices'!D1436</x:f>
        <x:v>0.1881</x:v>
      </x:c>
      <x:c r="J1436" s="13" t="n">
        <x:f>D1436*I1436*H1436</x:f>
        <x:v>0</x:v>
      </x:c>
      <x:c r="K1436" s="13" t="n">
        <x:f>E1436*I1436*H1436</x:f>
        <x:v>0.08886079125000002</x:v>
      </x:c>
      <x:c r="L1436" s="1" t="str">
        <x:f>TEXT(A1436,"mmm yyyy")</x:f>
        <x:v>Jun 2026</x:v>
      </x:c>
    </x:row>
    <x:row r="1437" ht="21" customHeight="1">
      <x:c r="A1437" s="10" t="n">
        <x:v>46178</x:v>
      </x:c>
      <x:c r="B1437" s="1" t="n">
        <x:v>10.5</x:v>
      </x:c>
      <x:c r="C1437" s="1" t="n">
        <x:v>6</x:v>
      </x:c>
      <x:c r="D1437" s="12" t="n">
        <x:v>0</x:v>
      </x:c>
      <x:c r="E1437" s="12" t="n">
        <x:v>0.477</x:v>
      </x:c>
      <x:c r="F1437" s="12" t="n">
        <x:v>0.47691666666666666</x:v>
      </x:c>
      <x:c r="G1437" s="12" t="n">
        <x:v>0</x:v>
      </x:c>
      <x:c r="H1437" s="1" t="n">
        <x:f>'Historical prices'!E1437</x:f>
        <x:v>1.05</x:v>
      </x:c>
      <x:c r="I1437" s="6" t="n">
        <x:f>'Historical prices'!D1437</x:f>
        <x:v>0.1868</x:v>
      </x:c>
      <x:c r="J1437" s="13" t="n">
        <x:f>D1437*I1437*H1437</x:f>
        <x:v>0</x:v>
      </x:c>
      <x:c r="K1437" s="13" t="n">
        <x:f>E1437*I1437*H1437</x:f>
        <x:v>0.09355878</x:v>
      </x:c>
      <x:c r="L1437" s="1" t="str">
        <x:f>TEXT(A1437,"mmm yyyy")</x:f>
        <x:v>Jun 2026</x:v>
      </x:c>
    </x:row>
    <x:row r="1438" ht="21" customHeight="1">
      <x:c r="A1438" s="10" t="n">
        <x:v>46178</x:v>
      </x:c>
      <x:c r="B1438" s="1" t="n">
        <x:v>11</x:v>
      </x:c>
      <x:c r="C1438" s="1" t="n">
        <x:v>6</x:v>
      </x:c>
      <x:c r="D1438" s="12" t="n">
        <x:v>0</x:v>
      </x:c>
      <x:c r="E1438" s="12" t="n">
        <x:v>0.5288333333333333</x:v>
      </x:c>
      <x:c r="F1438" s="12" t="n">
        <x:v>0.5287499999999999</x:v>
      </x:c>
      <x:c r="G1438" s="12" t="n">
        <x:v>0</x:v>
      </x:c>
      <x:c r="H1438" s="1" t="n">
        <x:f>'Historical prices'!E1438</x:f>
        <x:v>1.05</x:v>
      </x:c>
      <x:c r="I1438" s="6" t="n">
        <x:f>'Historical prices'!D1438</x:f>
        <x:v>0.198</x:v>
      </x:c>
      <x:c r="J1438" s="13" t="n">
        <x:f>D1438*I1438*H1438</x:f>
        <x:v>0</x:v>
      </x:c>
      <x:c r="K1438" s="13" t="n">
        <x:f>E1438*I1438*H1438</x:f>
        <x:v>0.10994445</x:v>
      </x:c>
      <x:c r="L1438" s="1" t="str">
        <x:f>TEXT(A1438,"mmm yyyy")</x:f>
        <x:v>Jun 2026</x:v>
      </x:c>
    </x:row>
    <x:row r="1439" ht="21" customHeight="1">
      <x:c r="A1439" s="10" t="n">
        <x:v>46178</x:v>
      </x:c>
      <x:c r="B1439" s="1" t="n">
        <x:v>11.5</x:v>
      </x:c>
      <x:c r="C1439" s="1" t="n">
        <x:v>6</x:v>
      </x:c>
      <x:c r="D1439" s="12" t="n">
        <x:v>0</x:v>
      </x:c>
      <x:c r="E1439" s="12" t="n">
        <x:v>1.3779166666666665</x:v>
      </x:c>
      <x:c r="F1439" s="12" t="n">
        <x:v>1.3776666666666666</x:v>
      </x:c>
      <x:c r="G1439" s="12" t="n">
        <x:v>0</x:v>
      </x:c>
      <x:c r="H1439" s="1" t="n">
        <x:f>'Historical prices'!E1439</x:f>
        <x:v>1.05</x:v>
      </x:c>
      <x:c r="I1439" s="6" t="n">
        <x:f>'Historical prices'!D1439</x:f>
        <x:v>0.1934</x:v>
      </x:c>
      <x:c r="J1439" s="13" t="n">
        <x:f>D1439*I1439*H1439</x:f>
        <x:v>0</x:v>
      </x:c>
      <x:c r="K1439" s="13" t="n">
        <x:f>E1439*I1439*H1439</x:f>
        <x:v>0.27981353749999993</x:v>
      </x:c>
      <x:c r="L1439" s="1" t="str">
        <x:f>TEXT(A1439,"mmm yyyy")</x:f>
        <x:v>Jun 2026</x:v>
      </x:c>
    </x:row>
    <x:row r="1440" ht="21" customHeight="1">
      <x:c r="A1440" s="10" t="n">
        <x:v>46178</x:v>
      </x:c>
      <x:c r="B1440" s="1" t="n">
        <x:v>12</x:v>
      </x:c>
      <x:c r="C1440" s="1" t="n">
        <x:v>6</x:v>
      </x:c>
      <x:c r="D1440" s="12" t="n">
        <x:v>0</x:v>
      </x:c>
      <x:c r="E1440" s="12" t="n">
        <x:v>0.5328333333333334</x:v>
      </x:c>
      <x:c r="F1440" s="12" t="n">
        <x:v>0.5327500000000001</x:v>
      </x:c>
      <x:c r="G1440" s="12" t="n">
        <x:v>0</x:v>
      </x:c>
      <x:c r="H1440" s="1" t="n">
        <x:f>'Historical prices'!E1440</x:f>
        <x:v>1.05</x:v>
      </x:c>
      <x:c r="I1440" s="6" t="n">
        <x:f>'Historical prices'!D1440</x:f>
        <x:v>0.2227</x:v>
      </x:c>
      <x:c r="J1440" s="13" t="n">
        <x:f>D1440*I1440*H1440</x:f>
        <x:v>0</x:v>
      </x:c>
      <x:c r="K1440" s="13" t="n">
        <x:f>E1440*I1440*H1440</x:f>
        <x:v>0.12459508250000002</x:v>
      </x:c>
      <x:c r="L1440" s="1" t="str">
        <x:f>TEXT(A1440,"mmm yyyy")</x:f>
        <x:v>Jun 2026</x:v>
      </x:c>
    </x:row>
    <x:row r="1441" ht="21" customHeight="1">
      <x:c r="A1441" s="10" t="n">
        <x:v>46178</x:v>
      </x:c>
      <x:c r="B1441" s="1" t="n">
        <x:v>12.5</x:v>
      </x:c>
      <x:c r="C1441" s="1" t="n">
        <x:v>6</x:v>
      </x:c>
      <x:c r="D1441" s="12" t="n">
        <x:v>0</x:v>
      </x:c>
      <x:c r="E1441" s="12" t="n">
        <x:v>0.7286666666666667</x:v>
      </x:c>
      <x:c r="F1441" s="12" t="n">
        <x:v>0.7286666666666667</x:v>
      </x:c>
      <x:c r="G1441" s="12" t="n">
        <x:v>0</x:v>
      </x:c>
      <x:c r="H1441" s="1" t="n">
        <x:f>'Historical prices'!E1441</x:f>
        <x:v>1.05</x:v>
      </x:c>
      <x:c r="I1441" s="6" t="n">
        <x:f>'Historical prices'!D1441</x:f>
        <x:v>0.2107</x:v>
      </x:c>
      <x:c r="J1441" s="13" t="n">
        <x:f>D1441*I1441*H1441</x:f>
        <x:v>0</x:v>
      </x:c>
      <x:c r="K1441" s="13" t="n">
        <x:f>E1441*I1441*H1441</x:f>
        <x:v>0.16120657</x:v>
      </x:c>
      <x:c r="L1441" s="1" t="str">
        <x:f>TEXT(A1441,"mmm yyyy")</x:f>
        <x:v>Jun 2026</x:v>
      </x:c>
    </x:row>
    <x:row r="1442" ht="21" customHeight="1">
      <x:c r="A1442" s="10" t="n">
        <x:v>46178</x:v>
      </x:c>
      <x:c r="B1442" s="1" t="n">
        <x:v>13</x:v>
      </x:c>
      <x:c r="C1442" s="1" t="n">
        <x:v>6</x:v>
      </x:c>
      <x:c r="D1442" s="12" t="n">
        <x:v>0</x:v>
      </x:c>
      <x:c r="E1442" s="12" t="n">
        <x:v>0.398</x:v>
      </x:c>
      <x:c r="F1442" s="12" t="n">
        <x:v>0.39783333333333337</x:v>
      </x:c>
      <x:c r="G1442" s="12" t="n">
        <x:v>0</x:v>
      </x:c>
      <x:c r="H1442" s="1" t="n">
        <x:f>'Historical prices'!E1442</x:f>
        <x:v>1.05</x:v>
      </x:c>
      <x:c r="I1442" s="6" t="n">
        <x:f>'Historical prices'!D1442</x:f>
        <x:v>0.19399999999999998</x:v>
      </x:c>
      <x:c r="J1442" s="13" t="n">
        <x:f>D1442*I1442*H1442</x:f>
        <x:v>0</x:v>
      </x:c>
      <x:c r="K1442" s="13" t="n">
        <x:f>E1442*I1442*H1442</x:f>
        <x:v>0.0810726</x:v>
      </x:c>
      <x:c r="L1442" s="1" t="str">
        <x:f>TEXT(A1442,"mmm yyyy")</x:f>
        <x:v>Jun 2026</x:v>
      </x:c>
    </x:row>
    <x:row r="1443" ht="21" customHeight="1">
      <x:c r="A1443" s="10" t="n">
        <x:v>46178</x:v>
      </x:c>
      <x:c r="B1443" s="1" t="n">
        <x:v>13.5</x:v>
      </x:c>
      <x:c r="C1443" s="1" t="n">
        <x:v>6</x:v>
      </x:c>
      <x:c r="D1443" s="12" t="n">
        <x:v>0</x:v>
      </x:c>
      <x:c r="E1443" s="12" t="n">
        <x:v>0.42175</x:v>
      </x:c>
      <x:c r="F1443" s="12" t="n">
        <x:v>0.42175</x:v>
      </x:c>
      <x:c r="G1443" s="12" t="n">
        <x:v>0</x:v>
      </x:c>
      <x:c r="H1443" s="1" t="n">
        <x:f>'Historical prices'!E1443</x:f>
        <x:v>1.05</x:v>
      </x:c>
      <x:c r="I1443" s="6" t="n">
        <x:f>'Historical prices'!D1443</x:f>
        <x:v>0.1892</x:v>
      </x:c>
      <x:c r="J1443" s="13" t="n">
        <x:f>D1443*I1443*H1443</x:f>
        <x:v>0</x:v>
      </x:c>
      <x:c r="K1443" s="13" t="n">
        <x:f>E1443*I1443*H1443</x:f>
        <x:v>0.083784855</x:v>
      </x:c>
      <x:c r="L1443" s="1" t="str">
        <x:f>TEXT(A1443,"mmm yyyy")</x:f>
        <x:v>Jun 2026</x:v>
      </x:c>
    </x:row>
    <x:row r="1444" ht="21" customHeight="1">
      <x:c r="A1444" s="10" t="n">
        <x:v>46178</x:v>
      </x:c>
      <x:c r="B1444" s="1" t="n">
        <x:v>14</x:v>
      </x:c>
      <x:c r="C1444" s="1" t="n">
        <x:v>6</x:v>
      </x:c>
      <x:c r="D1444" s="12" t="n">
        <x:v>0</x:v>
      </x:c>
      <x:c r="E1444" s="12" t="n">
        <x:v>0.40700000000000003</x:v>
      </x:c>
      <x:c r="F1444" s="12" t="n">
        <x:v>0.40675000000000006</x:v>
      </x:c>
      <x:c r="G1444" s="12" t="n">
        <x:v>0</x:v>
      </x:c>
      <x:c r="H1444" s="1" t="n">
        <x:f>'Historical prices'!E1444</x:f>
        <x:v>1.05</x:v>
      </x:c>
      <x:c r="I1444" s="6" t="n">
        <x:f>'Historical prices'!D1444</x:f>
        <x:v>0.1893</x:v>
      </x:c>
      <x:c r="J1444" s="13" t="n">
        <x:f>D1444*I1444*H1444</x:f>
        <x:v>0</x:v>
      </x:c>
      <x:c r="K1444" s="13" t="n">
        <x:f>E1444*I1444*H1444</x:f>
        <x:v>0.080897355</x:v>
      </x:c>
      <x:c r="L1444" s="1" t="str">
        <x:f>TEXT(A1444,"mmm yyyy")</x:f>
        <x:v>Jun 2026</x:v>
      </x:c>
    </x:row>
    <x:row r="1445" ht="21" customHeight="1">
      <x:c r="A1445" s="10" t="n">
        <x:v>46178</x:v>
      </x:c>
      <x:c r="B1445" s="1" t="n">
        <x:v>14.5</x:v>
      </x:c>
      <x:c r="C1445" s="1" t="n">
        <x:v>6</x:v>
      </x:c>
      <x:c r="D1445" s="12" t="n">
        <x:v>0</x:v>
      </x:c>
      <x:c r="E1445" s="12" t="n">
        <x:v>0.40950000000000003</x:v>
      </x:c>
      <x:c r="F1445" s="12" t="n">
        <x:v>0.40950000000000003</x:v>
      </x:c>
      <x:c r="G1445" s="12" t="n">
        <x:v>0</x:v>
      </x:c>
      <x:c r="H1445" s="1" t="n">
        <x:f>'Historical prices'!E1445</x:f>
        <x:v>1.05</x:v>
      </x:c>
      <x:c r="I1445" s="6" t="n">
        <x:f>'Historical prices'!D1445</x:f>
        <x:v>0.18289999999999998</x:v>
      </x:c>
      <x:c r="J1445" s="13" t="n">
        <x:f>D1445*I1445*H1445</x:f>
        <x:v>0</x:v>
      </x:c>
      <x:c r="K1445" s="13" t="n">
        <x:f>E1445*I1445*H1445</x:f>
        <x:v>0.0786424275</x:v>
      </x:c>
      <x:c r="L1445" s="1" t="str">
        <x:f>TEXT(A1445,"mmm yyyy")</x:f>
        <x:v>Jun 2026</x:v>
      </x:c>
    </x:row>
    <x:row r="1446" ht="21" customHeight="1">
      <x:c r="A1446" s="10" t="n">
        <x:v>46178</x:v>
      </x:c>
      <x:c r="B1446" s="1" t="n">
        <x:v>15</x:v>
      </x:c>
      <x:c r="C1446" s="1" t="n">
        <x:v>6</x:v>
      </x:c>
      <x:c r="D1446" s="12" t="n">
        <x:v>0</x:v>
      </x:c>
      <x:c r="E1446" s="12" t="n">
        <x:v>0.4089166666666667</x:v>
      </x:c>
      <x:c r="F1446" s="12" t="n">
        <x:v>0.4089166666666667</x:v>
      </x:c>
      <x:c r="G1446" s="12" t="n">
        <x:v>0</x:v>
      </x:c>
      <x:c r="H1446" s="1" t="n">
        <x:f>'Historical prices'!E1446</x:f>
        <x:v>1.05</x:v>
      </x:c>
      <x:c r="I1446" s="6" t="n">
        <x:f>'Historical prices'!D1446</x:f>
        <x:v>0.185</x:v>
      </x:c>
      <x:c r="J1446" s="13" t="n">
        <x:f>D1446*I1446*H1446</x:f>
        <x:v>0</x:v>
      </x:c>
      <x:c r="K1446" s="13" t="n">
        <x:f>E1446*I1446*H1446</x:f>
        <x:v>0.07943206250000001</x:v>
      </x:c>
      <x:c r="L1446" s="1" t="str">
        <x:f>TEXT(A1446,"mmm yyyy")</x:f>
        <x:v>Jun 2026</x:v>
      </x:c>
    </x:row>
    <x:row r="1447" ht="21" customHeight="1">
      <x:c r="A1447" s="10" t="n">
        <x:v>46178</x:v>
      </x:c>
      <x:c r="B1447" s="1" t="n">
        <x:v>15.5</x:v>
      </x:c>
      <x:c r="C1447" s="1" t="n">
        <x:v>6</x:v>
      </x:c>
      <x:c r="D1447" s="12" t="n">
        <x:v>0</x:v>
      </x:c>
      <x:c r="E1447" s="12" t="n">
        <x:v>0.4068333333333334</x:v>
      </x:c>
      <x:c r="F1447" s="12" t="n">
        <x:v>0.40658333333333335</x:v>
      </x:c>
      <x:c r="G1447" s="12" t="n">
        <x:v>0</x:v>
      </x:c>
      <x:c r="H1447" s="1" t="n">
        <x:f>'Historical prices'!E1447</x:f>
        <x:v>1.05</x:v>
      </x:c>
      <x:c r="I1447" s="6" t="n">
        <x:f>'Historical prices'!D1447</x:f>
        <x:v>0.18530000000000002</x:v>
      </x:c>
      <x:c r="J1447" s="13" t="n">
        <x:f>D1447*I1447*H1447</x:f>
        <x:v>0</x:v>
      </x:c>
      <x:c r="K1447" s="13" t="n">
        <x:f>E1447*I1447*H1447</x:f>
        <x:v>0.07915552750000002</x:v>
      </x:c>
      <x:c r="L1447" s="1" t="str">
        <x:f>TEXT(A1447,"mmm yyyy")</x:f>
        <x:v>Jun 2026</x:v>
      </x:c>
    </x:row>
    <x:row r="1448" ht="21" customHeight="1">
      <x:c r="A1448" s="10" t="n">
        <x:v>46178</x:v>
      </x:c>
      <x:c r="B1448" s="1" t="n">
        <x:v>16</x:v>
      </x:c>
      <x:c r="C1448" s="1" t="n">
        <x:v>6</x:v>
      </x:c>
      <x:c r="D1448" s="12" t="n">
        <x:v>0</x:v>
      </x:c>
      <x:c r="E1448" s="12" t="n">
        <x:v>0.41575</x:v>
      </x:c>
      <x:c r="F1448" s="12" t="n">
        <x:v>0.41575</x:v>
      </x:c>
      <x:c r="G1448" s="12" t="n">
        <x:v>0</x:v>
      </x:c>
      <x:c r="H1448" s="1" t="n">
        <x:f>'Historical prices'!E1448</x:f>
        <x:v>1.05</x:v>
      </x:c>
      <x:c r="I1448" s="6" t="n">
        <x:f>'Historical prices'!D1448</x:f>
        <x:v>0.3134</x:v>
      </x:c>
      <x:c r="J1448" s="13" t="n">
        <x:f>D1448*I1448*H1448</x:f>
        <x:v>0</x:v>
      </x:c>
      <x:c r="K1448" s="13" t="n">
        <x:f>E1448*I1448*H1448</x:f>
        <x:v>0.1368108525</x:v>
      </x:c>
      <x:c r="L1448" s="1" t="str">
        <x:f>TEXT(A1448,"mmm yyyy")</x:f>
        <x:v>Jun 2026</x:v>
      </x:c>
    </x:row>
    <x:row r="1449" ht="21" customHeight="1">
      <x:c r="A1449" s="10" t="n">
        <x:v>46178</x:v>
      </x:c>
      <x:c r="B1449" s="1" t="n">
        <x:v>16.5</x:v>
      </x:c>
      <x:c r="C1449" s="1" t="n">
        <x:v>6</x:v>
      </x:c>
      <x:c r="D1449" s="12" t="n">
        <x:v>0</x:v>
      </x:c>
      <x:c r="E1449" s="12" t="n">
        <x:v>0.43183333333333335</x:v>
      </x:c>
      <x:c r="F1449" s="12" t="n">
        <x:v>0.43175</x:v>
      </x:c>
      <x:c r="G1449" s="12" t="n">
        <x:v>0</x:v>
      </x:c>
      <x:c r="H1449" s="1" t="n">
        <x:f>'Historical prices'!E1449</x:f>
        <x:v>1.05</x:v>
      </x:c>
      <x:c r="I1449" s="6" t="n">
        <x:f>'Historical prices'!D1449</x:f>
        <x:v>0.30920000000000003</x:v>
      </x:c>
      <x:c r="J1449" s="13" t="n">
        <x:f>D1449*I1449*H1449</x:f>
        <x:v>0</x:v>
      </x:c>
      <x:c r="K1449" s="13" t="n">
        <x:f>E1449*I1449*H1449</x:f>
        <x:v>0.14019901</x:v>
      </x:c>
      <x:c r="L1449" s="1" t="str">
        <x:f>TEXT(A1449,"mmm yyyy")</x:f>
        <x:v>Jun 2026</x:v>
      </x:c>
    </x:row>
    <x:row r="1450" ht="21" customHeight="1">
      <x:c r="A1450" s="10" t="n">
        <x:v>46178</x:v>
      </x:c>
      <x:c r="B1450" s="1" t="n">
        <x:v>17</x:v>
      </x:c>
      <x:c r="C1450" s="1" t="n">
        <x:v>6</x:v>
      </x:c>
      <x:c r="D1450" s="12" t="n">
        <x:v>0</x:v>
      </x:c>
      <x:c r="E1450" s="12" t="n">
        <x:v>0.3915</x:v>
      </x:c>
      <x:c r="F1450" s="12" t="n">
        <x:v>0.38983333333333337</x:v>
      </x:c>
      <x:c r="G1450" s="12" t="n">
        <x:v>0</x:v>
      </x:c>
      <x:c r="H1450" s="1" t="n">
        <x:f>'Historical prices'!E1450</x:f>
        <x:v>1.05</x:v>
      </x:c>
      <x:c r="I1450" s="6" t="n">
        <x:f>'Historical prices'!D1450</x:f>
        <x:v>0.32439999999999997</x:v>
      </x:c>
      <x:c r="J1450" s="13" t="n">
        <x:f>D1450*I1450*H1450</x:f>
        <x:v>0</x:v>
      </x:c>
      <x:c r="K1450" s="13" t="n">
        <x:f>E1450*I1450*H1450</x:f>
        <x:v>0.13335273</x:v>
      </x:c>
      <x:c r="L1450" s="1" t="str">
        <x:f>TEXT(A1450,"mmm yyyy")</x:f>
        <x:v>Jun 2026</x:v>
      </x:c>
    </x:row>
    <x:row r="1451" ht="21" customHeight="1">
      <x:c r="A1451" s="10" t="n">
        <x:v>46178</x:v>
      </x:c>
      <x:c r="B1451" s="1" t="n">
        <x:v>17.5</x:v>
      </x:c>
      <x:c r="C1451" s="1" t="n">
        <x:v>6</x:v>
      </x:c>
      <x:c r="D1451" s="12" t="n">
        <x:v>0</x:v>
      </x:c>
      <x:c r="E1451" s="12" t="n">
        <x:v>0.43041666666666667</x:v>
      </x:c>
      <x:c r="F1451" s="12" t="n">
        <x:v>0.43025</x:v>
      </x:c>
      <x:c r="G1451" s="12" t="n">
        <x:v>0</x:v>
      </x:c>
      <x:c r="H1451" s="1" t="n">
        <x:f>'Historical prices'!E1451</x:f>
        <x:v>1.05</x:v>
      </x:c>
      <x:c r="I1451" s="6" t="n">
        <x:f>'Historical prices'!D1451</x:f>
        <x:v>0.3261</x:v>
      </x:c>
      <x:c r="J1451" s="13" t="n">
        <x:f>D1451*I1451*H1451</x:f>
        <x:v>0</x:v>
      </x:c>
      <x:c r="K1451" s="13" t="n">
        <x:f>E1451*I1451*H1451</x:f>
        <x:v>0.14737681875</x:v>
      </x:c>
      <x:c r="L1451" s="1" t="str">
        <x:f>TEXT(A1451,"mmm yyyy")</x:f>
        <x:v>Jun 2026</x:v>
      </x:c>
    </x:row>
    <x:row r="1452" ht="21" customHeight="1">
      <x:c r="A1452" s="10" t="n">
        <x:v>46178</x:v>
      </x:c>
      <x:c r="B1452" s="1" t="n">
        <x:v>18</x:v>
      </x:c>
      <x:c r="C1452" s="1" t="n">
        <x:v>6</x:v>
      </x:c>
      <x:c r="D1452" s="12" t="n">
        <x:v>0</x:v>
      </x:c>
      <x:c r="E1452" s="12" t="n">
        <x:v>0.32675</x:v>
      </x:c>
      <x:c r="F1452" s="12" t="n">
        <x:v>0.32666666666666666</x:v>
      </x:c>
      <x:c r="G1452" s="12" t="n">
        <x:v>0</x:v>
      </x:c>
      <x:c r="H1452" s="1" t="n">
        <x:f>'Historical prices'!E1452</x:f>
        <x:v>1.05</x:v>
      </x:c>
      <x:c r="I1452" s="6" t="n">
        <x:f>'Historical prices'!D1452</x:f>
        <x:v>0.3492</x:v>
      </x:c>
      <x:c r="J1452" s="13" t="n">
        <x:f>D1452*I1452*H1452</x:f>
        <x:v>0</x:v>
      </x:c>
      <x:c r="K1452" s="13" t="n">
        <x:f>E1452*I1452*H1452</x:f>
        <x:v>0.119806155</x:v>
      </x:c>
      <x:c r="L1452" s="1" t="str">
        <x:f>TEXT(A1452,"mmm yyyy")</x:f>
        <x:v>Jun 2026</x:v>
      </x:c>
    </x:row>
    <x:row r="1453" ht="21" customHeight="1">
      <x:c r="A1453" s="10" t="n">
        <x:v>46178</x:v>
      </x:c>
      <x:c r="B1453" s="1" t="n">
        <x:v>18.5</x:v>
      </x:c>
      <x:c r="C1453" s="1" t="n">
        <x:v>6</x:v>
      </x:c>
      <x:c r="D1453" s="12" t="n">
        <x:v>0</x:v>
      </x:c>
      <x:c r="E1453" s="12" t="n">
        <x:v>0.5409166666666666</x:v>
      </x:c>
      <x:c r="F1453" s="12" t="n">
        <x:v>0.54075</x:v>
      </x:c>
      <x:c r="G1453" s="12" t="n">
        <x:v>0</x:v>
      </x:c>
      <x:c r="H1453" s="1" t="n">
        <x:f>'Historical prices'!E1453</x:f>
        <x:v>1.05</x:v>
      </x:c>
      <x:c r="I1453" s="6" t="n">
        <x:f>'Historical prices'!D1453</x:f>
        <x:v>0.3638</x:v>
      </x:c>
      <x:c r="J1453" s="13" t="n">
        <x:f>D1453*I1453*H1453</x:f>
        <x:v>0</x:v>
      </x:c>
      <x:c r="K1453" s="13" t="n">
        <x:f>E1453*I1453*H1453</x:f>
        <x:v>0.20662475749999998</x:v>
      </x:c>
      <x:c r="L1453" s="1" t="str">
        <x:f>TEXT(A1453,"mmm yyyy")</x:f>
        <x:v>Jun 2026</x:v>
      </x:c>
    </x:row>
    <x:row r="1454" ht="21" customHeight="1">
      <x:c r="A1454" s="10" t="n">
        <x:v>46178</x:v>
      </x:c>
      <x:c r="B1454" s="1" t="n">
        <x:v>19</x:v>
      </x:c>
      <x:c r="C1454" s="1" t="n">
        <x:v>6</x:v>
      </x:c>
      <x:c r="D1454" s="12" t="n">
        <x:v>0</x:v>
      </x:c>
      <x:c r="E1454" s="12" t="n">
        <x:v>0.5758333333333333</x:v>
      </x:c>
      <x:c r="F1454" s="12" t="n">
        <x:v>0.57575</x:v>
      </x:c>
      <x:c r="G1454" s="12" t="n">
        <x:v>0</x:v>
      </x:c>
      <x:c r="H1454" s="1" t="n">
        <x:f>'Historical prices'!E1454</x:f>
        <x:v>1.05</x:v>
      </x:c>
      <x:c r="I1454" s="6" t="n">
        <x:f>'Historical prices'!D1454</x:f>
        <x:v>0.26280000000000003</x:v>
      </x:c>
      <x:c r="J1454" s="13" t="n">
        <x:f>D1454*I1454*H1454</x:f>
        <x:v>0</x:v>
      </x:c>
      <x:c r="K1454" s="13" t="n">
        <x:f>E1454*I1454*H1454</x:f>
        <x:v>0.15889545000000002</x:v>
      </x:c>
      <x:c r="L1454" s="1" t="str">
        <x:f>TEXT(A1454,"mmm yyyy")</x:f>
        <x:v>Jun 2026</x:v>
      </x:c>
    </x:row>
    <x:row r="1455" ht="21" customHeight="1">
      <x:c r="A1455" s="10" t="n">
        <x:v>46178</x:v>
      </x:c>
      <x:c r="B1455" s="1" t="n">
        <x:v>19.5</x:v>
      </x:c>
      <x:c r="C1455" s="1" t="n">
        <x:v>6</x:v>
      </x:c>
      <x:c r="D1455" s="12" t="n">
        <x:v>0</x:v>
      </x:c>
      <x:c r="E1455" s="12" t="n">
        <x:v>0.6579166666666667</x:v>
      </x:c>
      <x:c r="F1455" s="12" t="n">
        <x:v>0.6577500000000001</x:v>
      </x:c>
      <x:c r="G1455" s="12" t="n">
        <x:v>0</x:v>
      </x:c>
      <x:c r="H1455" s="1" t="n">
        <x:f>'Historical prices'!E1455</x:f>
        <x:v>1.05</x:v>
      </x:c>
      <x:c r="I1455" s="6" t="n">
        <x:f>'Historical prices'!D1455</x:f>
        <x:v>0.2606</x:v>
      </x:c>
      <x:c r="J1455" s="13" t="n">
        <x:f>D1455*I1455*H1455</x:f>
        <x:v>0</x:v>
      </x:c>
      <x:c r="K1455" s="13" t="n">
        <x:f>E1455*I1455*H1455</x:f>
        <x:v>0.1800257375</x:v>
      </x:c>
      <x:c r="L1455" s="1" t="str">
        <x:f>TEXT(A1455,"mmm yyyy")</x:f>
        <x:v>Jun 2026</x:v>
      </x:c>
    </x:row>
    <x:row r="1456" ht="21" customHeight="1">
      <x:c r="A1456" s="10" t="n">
        <x:v>46178</x:v>
      </x:c>
      <x:c r="B1456" s="1" t="n">
        <x:v>20</x:v>
      </x:c>
      <x:c r="C1456" s="1" t="n">
        <x:v>6</x:v>
      </x:c>
      <x:c r="D1456" s="12" t="n">
        <x:v>0</x:v>
      </x:c>
      <x:c r="E1456" s="12" t="n">
        <x:v>0.5655833333333333</x:v>
      </x:c>
      <x:c r="F1456" s="12" t="n">
        <x:v>0.5655833333333333</x:v>
      </x:c>
      <x:c r="G1456" s="12" t="n">
        <x:v>0</x:v>
      </x:c>
      <x:c r="H1456" s="1" t="n">
        <x:f>'Historical prices'!E1456</x:f>
        <x:v>1.05</x:v>
      </x:c>
      <x:c r="I1456" s="6" t="n">
        <x:f>'Historical prices'!D1456</x:f>
        <x:v>0.2553</x:v>
      </x:c>
      <x:c r="J1456" s="13" t="n">
        <x:f>D1456*I1456*H1456</x:f>
        <x:v>0</x:v>
      </x:c>
      <x:c r="K1456" s="13" t="n">
        <x:f>E1456*I1456*H1456</x:f>
        <x:v>0.15161309625000002</x:v>
      </x:c>
      <x:c r="L1456" s="1" t="str">
        <x:f>TEXT(A1456,"mmm yyyy")</x:f>
        <x:v>Jun 2026</x:v>
      </x:c>
    </x:row>
    <x:row r="1457" ht="21" customHeight="1">
      <x:c r="A1457" s="10" t="n">
        <x:v>46178</x:v>
      </x:c>
      <x:c r="B1457" s="1" t="n">
        <x:v>20.5</x:v>
      </x:c>
      <x:c r="C1457" s="1" t="n">
        <x:v>6</x:v>
      </x:c>
      <x:c r="D1457" s="12" t="n">
        <x:v>0</x:v>
      </x:c>
      <x:c r="E1457" s="12" t="n">
        <x:v>0.5328333333333333</x:v>
      </x:c>
      <x:c r="F1457" s="12" t="n">
        <x:v>0.53275</x:v>
      </x:c>
      <x:c r="G1457" s="12" t="n">
        <x:v>0</x:v>
      </x:c>
      <x:c r="H1457" s="1" t="n">
        <x:f>'Historical prices'!E1457</x:f>
        <x:v>1.05</x:v>
      </x:c>
      <x:c r="I1457" s="6" t="n">
        <x:f>'Historical prices'!D1457</x:f>
        <x:v>0.2536</x:v>
      </x:c>
      <x:c r="J1457" s="13" t="n">
        <x:f>D1457*I1457*H1457</x:f>
        <x:v>0</x:v>
      </x:c>
      <x:c r="K1457" s="13" t="n">
        <x:f>E1457*I1457*H1457</x:f>
        <x:v>0.14188286</x:v>
      </x:c>
      <x:c r="L1457" s="1" t="str">
        <x:f>TEXT(A1457,"mmm yyyy")</x:f>
        <x:v>Jun 2026</x:v>
      </x:c>
    </x:row>
    <x:row r="1458" ht="21" customHeight="1">
      <x:c r="A1458" s="10" t="n">
        <x:v>46178</x:v>
      </x:c>
      <x:c r="B1458" s="1" t="n">
        <x:v>21</x:v>
      </x:c>
      <x:c r="C1458" s="1" t="n">
        <x:v>6</x:v>
      </x:c>
      <x:c r="D1458" s="12" t="n">
        <x:v>0</x:v>
      </x:c>
      <x:c r="E1458" s="12" t="n">
        <x:v>0.4779166666666667</x:v>
      </x:c>
      <x:c r="F1458" s="12" t="n">
        <x:v>0.47783333333333333</x:v>
      </x:c>
      <x:c r="G1458" s="12" t="n">
        <x:v>0</x:v>
      </x:c>
      <x:c r="H1458" s="1" t="n">
        <x:f>'Historical prices'!E1458</x:f>
        <x:v>1.05</x:v>
      </x:c>
      <x:c r="I1458" s="6" t="n">
        <x:f>'Historical prices'!D1458</x:f>
        <x:v>0.2662</x:v>
      </x:c>
      <x:c r="J1458" s="13" t="n">
        <x:f>D1458*I1458*H1458</x:f>
        <x:v>0</x:v>
      </x:c>
      <x:c r="K1458" s="13" t="n">
        <x:f>E1458*I1458*H1458</x:f>
        <x:v>0.1335824875</x:v>
      </x:c>
      <x:c r="L1458" s="1" t="str">
        <x:f>TEXT(A1458,"mmm yyyy")</x:f>
        <x:v>Jun 2026</x:v>
      </x:c>
    </x:row>
    <x:row r="1459" ht="21" customHeight="1">
      <x:c r="A1459" s="10" t="n">
        <x:v>46178</x:v>
      </x:c>
      <x:c r="B1459" s="1" t="n">
        <x:v>21.5</x:v>
      </x:c>
      <x:c r="C1459" s="1" t="n">
        <x:v>6</x:v>
      </x:c>
      <x:c r="D1459" s="12" t="n">
        <x:v>0</x:v>
      </x:c>
      <x:c r="E1459" s="12" t="n">
        <x:v>0.8718333333333333</x:v>
      </x:c>
      <x:c r="F1459" s="12" t="n">
        <x:v>0.8715</x:v>
      </x:c>
      <x:c r="G1459" s="12" t="n">
        <x:v>0</x:v>
      </x:c>
      <x:c r="H1459" s="1" t="n">
        <x:f>'Historical prices'!E1459</x:f>
        <x:v>1.05</x:v>
      </x:c>
      <x:c r="I1459" s="6" t="n">
        <x:f>'Historical prices'!D1459</x:f>
        <x:v>0.2545</x:v>
      </x:c>
      <x:c r="J1459" s="13" t="n">
        <x:f>D1459*I1459*H1459</x:f>
        <x:v>0</x:v>
      </x:c>
      <x:c r="K1459" s="13" t="n">
        <x:f>E1459*I1459*H1459</x:f>
        <x:v>0.23297566250000004</x:v>
      </x:c>
      <x:c r="L1459" s="1" t="str">
        <x:f>TEXT(A1459,"mmm yyyy")</x:f>
        <x:v>Jun 2026</x:v>
      </x:c>
    </x:row>
    <x:row r="1460" ht="21" customHeight="1">
      <x:c r="A1460" s="10" t="n">
        <x:v>46178</x:v>
      </x:c>
      <x:c r="B1460" s="1" t="n">
        <x:v>22</x:v>
      </x:c>
      <x:c r="C1460" s="1" t="n">
        <x:v>6</x:v>
      </x:c>
      <x:c r="D1460" s="12" t="n">
        <x:v>0</x:v>
      </x:c>
      <x:c r="E1460" s="12" t="n">
        <x:v>0.27283333333333337</x:v>
      </x:c>
      <x:c r="F1460" s="12" t="n">
        <x:v>0.27283333333333337</x:v>
      </x:c>
      <x:c r="G1460" s="12" t="n">
        <x:v>0</x:v>
      </x:c>
      <x:c r="H1460" s="1" t="n">
        <x:f>'Historical prices'!E1460</x:f>
        <x:v>1.05</x:v>
      </x:c>
      <x:c r="I1460" s="6" t="n">
        <x:f>'Historical prices'!D1460</x:f>
        <x:v>0.24050000000000002</x:v>
      </x:c>
      <x:c r="J1460" s="13" t="n">
        <x:f>D1460*I1460*H1460</x:f>
        <x:v>0</x:v>
      </x:c>
      <x:c r="K1460" s="13" t="n">
        <x:f>E1460*I1460*H1460</x:f>
        <x:v>0.06889723750000001</x:v>
      </x:c>
      <x:c r="L1460" s="1" t="str">
        <x:f>TEXT(A1460,"mmm yyyy")</x:f>
        <x:v>Jun 2026</x:v>
      </x:c>
    </x:row>
    <x:row r="1461" ht="21" customHeight="1">
      <x:c r="A1461" s="10" t="n">
        <x:v>46178</x:v>
      </x:c>
      <x:c r="B1461" s="1" t="n">
        <x:v>22.5</x:v>
      </x:c>
      <x:c r="C1461" s="1" t="n">
        <x:v>6</x:v>
      </x:c>
      <x:c r="D1461" s="12" t="n">
        <x:v>0</x:v>
      </x:c>
      <x:c r="E1461" s="12" t="n">
        <x:v>0.23874999999999996</x:v>
      </x:c>
      <x:c r="F1461" s="12" t="n">
        <x:v>0.23866666666666664</x:v>
      </x:c>
      <x:c r="G1461" s="12" t="n">
        <x:v>0</x:v>
      </x:c>
      <x:c r="H1461" s="1" t="n">
        <x:f>'Historical prices'!E1461</x:f>
        <x:v>1.05</x:v>
      </x:c>
      <x:c r="I1461" s="6" t="n">
        <x:f>'Historical prices'!D1461</x:f>
        <x:v>0.2348</x:v>
      </x:c>
      <x:c r="J1461" s="13" t="n">
        <x:f>D1461*I1461*H1461</x:f>
        <x:v>0</x:v>
      </x:c>
      <x:c r="K1461" s="13" t="n">
        <x:f>E1461*I1461*H1461</x:f>
        <x:v>0.058861424999999995</x:v>
      </x:c>
      <x:c r="L1461" s="1" t="str">
        <x:f>TEXT(A1461,"mmm yyyy")</x:f>
        <x:v>Jun 2026</x:v>
      </x:c>
    </x:row>
    <x:row r="1462" ht="21" customHeight="1">
      <x:c r="A1462" s="10" t="n">
        <x:v>46178</x:v>
      </x:c>
      <x:c r="B1462" s="1" t="n">
        <x:v>23</x:v>
      </x:c>
      <x:c r="C1462" s="1" t="n">
        <x:v>6</x:v>
      </x:c>
      <x:c r="D1462" s="12" t="n">
        <x:v>0</x:v>
      </x:c>
      <x:c r="E1462" s="12" t="n">
        <x:v>0.3175</x:v>
      </x:c>
      <x:c r="F1462" s="12" t="n">
        <x:v>0.3175</x:v>
      </x:c>
      <x:c r="G1462" s="12" t="n">
        <x:v>0</x:v>
      </x:c>
      <x:c r="H1462" s="1" t="n">
        <x:f>'Historical prices'!E1462</x:f>
        <x:v>1.05</x:v>
      </x:c>
      <x:c r="I1462" s="6" t="n">
        <x:f>'Historical prices'!D1462</x:f>
        <x:v>0.21230000000000002</x:v>
      </x:c>
      <x:c r="J1462" s="13" t="n">
        <x:f>D1462*I1462*H1462</x:f>
        <x:v>0</x:v>
      </x:c>
      <x:c r="K1462" s="13" t="n">
        <x:f>E1462*I1462*H1462</x:f>
        <x:v>0.0707755125</x:v>
      </x:c>
      <x:c r="L1462" s="1" t="str">
        <x:f>TEXT(A1462,"mmm yyyy")</x:f>
        <x:v>Jun 2026</x:v>
      </x:c>
    </x:row>
    <x:row r="1463" ht="21" customHeight="1">
      <x:c r="A1463" s="10" t="n">
        <x:v>46178</x:v>
      </x:c>
      <x:c r="B1463" s="1" t="n">
        <x:v>23.5</x:v>
      </x:c>
      <x:c r="C1463" s="1" t="n">
        <x:v>6</x:v>
      </x:c>
      <x:c r="D1463" s="12" t="n">
        <x:v>0</x:v>
      </x:c>
      <x:c r="E1463" s="12" t="n">
        <x:v>0.2758333333333333</x:v>
      </x:c>
      <x:c r="F1463" s="12" t="n">
        <x:v>0.27575</x:v>
      </x:c>
      <x:c r="G1463" s="12" t="n">
        <x:v>0</x:v>
      </x:c>
      <x:c r="H1463" s="1" t="n">
        <x:f>'Historical prices'!E1463</x:f>
        <x:v>1.05</x:v>
      </x:c>
      <x:c r="I1463" s="6" t="n">
        <x:f>'Historical prices'!D1463</x:f>
        <x:v>0.2018</x:v>
      </x:c>
      <x:c r="J1463" s="13" t="n">
        <x:f>D1463*I1463*H1463</x:f>
        <x:v>0</x:v>
      </x:c>
      <x:c r="K1463" s="13" t="n">
        <x:f>E1463*I1463*H1463</x:f>
        <x:v>0.058446325</x:v>
      </x:c>
      <x:c r="L1463" s="1" t="str">
        <x:f>TEXT(A1463,"mmm yyyy")</x:f>
        <x:v>Jun 2026</x:v>
      </x:c>
    </x:row>
    <x:row r="1464" ht="21" customHeight="1">
      <x:c r="A1464" s="10" t="n">
        <x:v>46179</x:v>
      </x:c>
      <x:c r="B1464" s="1" t="n">
        <x:v>0</x:v>
      </x:c>
      <x:c r="C1464" s="1" t="n">
        <x:v>6</x:v>
      </x:c>
      <x:c r="D1464" s="12" t="n">
        <x:v>0</x:v>
      </x:c>
      <x:c r="E1464" s="12" t="n">
        <x:v>0.33208333333333334</x:v>
      </x:c>
      <x:c r="F1464" s="12" t="n">
        <x:v>0.33166666666666667</x:v>
      </x:c>
      <x:c r="G1464" s="12" t="n">
        <x:v>0</x:v>
      </x:c>
      <x:c r="H1464" s="1" t="n">
        <x:f>'Historical prices'!E1464</x:f>
        <x:v>1.05</x:v>
      </x:c>
      <x:c r="I1464" s="6" t="n">
        <x:f>'Historical prices'!D1464</x:f>
        <x:v>0.1766</x:v>
      </x:c>
      <x:c r="J1464" s="13" t="n">
        <x:f>D1464*I1464*H1464</x:f>
        <x:v>0</x:v>
      </x:c>
      <x:c r="K1464" s="13" t="n">
        <x:f>E1464*I1464*H1464</x:f>
        <x:v>0.06157821250000001</x:v>
      </x:c>
      <x:c r="L1464" s="1" t="str">
        <x:f>TEXT(A1464,"mmm yyyy")</x:f>
        <x:v>Jun 2026</x:v>
      </x:c>
    </x:row>
    <x:row r="1465" ht="21" customHeight="1">
      <x:c r="A1465" s="10" t="n">
        <x:v>46179</x:v>
      </x:c>
      <x:c r="B1465" s="1" t="n">
        <x:v>0.5</x:v>
      </x:c>
      <x:c r="C1465" s="1" t="n">
        <x:v>6</x:v>
      </x:c>
      <x:c r="D1465" s="12" t="n">
        <x:v>0</x:v>
      </x:c>
      <x:c r="E1465" s="12" t="n">
        <x:v>0.22083333333333333</x:v>
      </x:c>
      <x:c r="F1465" s="12" t="n">
        <x:v>0.22083333333333333</x:v>
      </x:c>
      <x:c r="G1465" s="12" t="n">
        <x:v>0</x:v>
      </x:c>
      <x:c r="H1465" s="1" t="n">
        <x:f>'Historical prices'!E1465</x:f>
        <x:v>1.05</x:v>
      </x:c>
      <x:c r="I1465" s="6" t="n">
        <x:f>'Historical prices'!D1465</x:f>
        <x:v>0.1766</x:v>
      </x:c>
      <x:c r="J1465" s="13" t="n">
        <x:f>D1465*I1465*H1465</x:f>
        <x:v>0</x:v>
      </x:c>
      <x:c r="K1465" s="13" t="n">
        <x:f>E1465*I1465*H1465</x:f>
        <x:v>0.040949125</x:v>
      </x:c>
      <x:c r="L1465" s="1" t="str">
        <x:f>TEXT(A1465,"mmm yyyy")</x:f>
        <x:v>Jun 2026</x:v>
      </x:c>
    </x:row>
    <x:row r="1466" ht="21" customHeight="1">
      <x:c r="A1466" s="10" t="n">
        <x:v>46179</x:v>
      </x:c>
      <x:c r="B1466" s="1" t="n">
        <x:v>1</x:v>
      </x:c>
      <x:c r="C1466" s="1" t="n">
        <x:v>6</x:v>
      </x:c>
      <x:c r="D1466" s="12" t="n">
        <x:v>0</x:v>
      </x:c>
      <x:c r="E1466" s="12" t="n">
        <x:v>0.28400000000000003</x:v>
      </x:c>
      <x:c r="F1466" s="12" t="n">
        <x:v>0.2838333333333333</x:v>
      </x:c>
      <x:c r="G1466" s="12" t="n">
        <x:v>0</x:v>
      </x:c>
      <x:c r="H1466" s="1" t="n">
        <x:f>'Historical prices'!E1466</x:f>
        <x:v>1.05</x:v>
      </x:c>
      <x:c r="I1466" s="6" t="n">
        <x:f>'Historical prices'!D1466</x:f>
        <x:v>0.19219999999999998</x:v>
      </x:c>
      <x:c r="J1466" s="13" t="n">
        <x:f>D1466*I1466*H1466</x:f>
        <x:v>0</x:v>
      </x:c>
      <x:c r="K1466" s="13" t="n">
        <x:f>E1466*I1466*H1466</x:f>
        <x:v>0.057314040000000004</x:v>
      </x:c>
      <x:c r="L1466" s="1" t="str">
        <x:f>TEXT(A1466,"mmm yyyy")</x:f>
        <x:v>Jun 2026</x:v>
      </x:c>
    </x:row>
    <x:row r="1467" ht="21" customHeight="1">
      <x:c r="A1467" s="10" t="n">
        <x:v>46179</x:v>
      </x:c>
      <x:c r="B1467" s="1" t="n">
        <x:v>1.5</x:v>
      </x:c>
      <x:c r="C1467" s="1" t="n">
        <x:v>6</x:v>
      </x:c>
      <x:c r="D1467" s="12" t="n">
        <x:v>0</x:v>
      </x:c>
      <x:c r="E1467" s="12" t="n">
        <x:v>0.21300000000000002</x:v>
      </x:c>
      <x:c r="F1467" s="12" t="n">
        <x:v>0.2129166666666667</x:v>
      </x:c>
      <x:c r="G1467" s="12" t="n">
        <x:v>0</x:v>
      </x:c>
      <x:c r="H1467" s="1" t="n">
        <x:f>'Historical prices'!E1467</x:f>
        <x:v>1.05</x:v>
      </x:c>
      <x:c r="I1467" s="6" t="n">
        <x:f>'Historical prices'!D1467</x:f>
        <x:v>0.1883</x:v>
      </x:c>
      <x:c r="J1467" s="13" t="n">
        <x:f>D1467*I1467*H1467</x:f>
        <x:v>0</x:v>
      </x:c>
      <x:c r="K1467" s="13" t="n">
        <x:f>E1467*I1467*H1467</x:f>
        <x:v>0.042113295</x:v>
      </x:c>
      <x:c r="L1467" s="1" t="str">
        <x:f>TEXT(A1467,"mmm yyyy")</x:f>
        <x:v>Jun 2026</x:v>
      </x:c>
    </x:row>
    <x:row r="1468" ht="21" customHeight="1">
      <x:c r="A1468" s="10" t="n">
        <x:v>46179</x:v>
      </x:c>
      <x:c r="B1468" s="1" t="n">
        <x:v>2</x:v>
      </x:c>
      <x:c r="C1468" s="1" t="n">
        <x:v>6</x:v>
      </x:c>
      <x:c r="D1468" s="12" t="n">
        <x:v>0</x:v>
      </x:c>
      <x:c r="E1468" s="12" t="n">
        <x:v>0.22091666666666668</x:v>
      </x:c>
      <x:c r="F1468" s="12" t="n">
        <x:v>0.22075000000000003</x:v>
      </x:c>
      <x:c r="G1468" s="12" t="n">
        <x:v>0</x:v>
      </x:c>
      <x:c r="H1468" s="1" t="n">
        <x:f>'Historical prices'!E1468</x:f>
        <x:v>1.05</x:v>
      </x:c>
      <x:c r="I1468" s="6" t="n">
        <x:f>'Historical prices'!D1468</x:f>
        <x:v>0.1856</x:v>
      </x:c>
      <x:c r="J1468" s="13" t="n">
        <x:f>D1468*I1468*H1468</x:f>
        <x:v>0</x:v>
      </x:c>
      <x:c r="K1468" s="13" t="n">
        <x:f>E1468*I1468*H1468</x:f>
        <x:v>0.04305224</x:v>
      </x:c>
      <x:c r="L1468" s="1" t="str">
        <x:f>TEXT(A1468,"mmm yyyy")</x:f>
        <x:v>Jun 2026</x:v>
      </x:c>
    </x:row>
    <x:row r="1469" ht="21" customHeight="1">
      <x:c r="A1469" s="10" t="n">
        <x:v>46179</x:v>
      </x:c>
      <x:c r="B1469" s="1" t="n">
        <x:v>2.5</x:v>
      </x:c>
      <x:c r="C1469" s="1" t="n">
        <x:v>6</x:v>
      </x:c>
      <x:c r="D1469" s="12" t="n">
        <x:v>0</x:v>
      </x:c>
      <x:c r="E1469" s="12" t="n">
        <x:v>0.24975</x:v>
      </x:c>
      <x:c r="F1469" s="12" t="n">
        <x:v>0.24975</x:v>
      </x:c>
      <x:c r="G1469" s="12" t="n">
        <x:v>0</x:v>
      </x:c>
      <x:c r="H1469" s="1" t="n">
        <x:f>'Historical prices'!E1469</x:f>
        <x:v>1.05</x:v>
      </x:c>
      <x:c r="I1469" s="6" t="n">
        <x:f>'Historical prices'!D1469</x:f>
        <x:v>0.1873</x:v>
      </x:c>
      <x:c r="J1469" s="13" t="n">
        <x:f>D1469*I1469*H1469</x:f>
        <x:v>0</x:v>
      </x:c>
      <x:c r="K1469" s="13" t="n">
        <x:f>E1469*I1469*H1469</x:f>
        <x:v>0.04911708375</x:v>
      </x:c>
      <x:c r="L1469" s="1" t="str">
        <x:f>TEXT(A1469,"mmm yyyy")</x:f>
        <x:v>Jun 2026</x:v>
      </x:c>
    </x:row>
    <x:row r="1470" ht="21" customHeight="1">
      <x:c r="A1470" s="10" t="n">
        <x:v>46179</x:v>
      </x:c>
      <x:c r="B1470" s="1" t="n">
        <x:v>3</x:v>
      </x:c>
      <x:c r="C1470" s="1" t="n">
        <x:v>6</x:v>
      </x:c>
      <x:c r="D1470" s="12" t="n">
        <x:v>0</x:v>
      </x:c>
      <x:c r="E1470" s="12" t="n">
        <x:v>0.27858333333333335</x:v>
      </x:c>
      <x:c r="F1470" s="12" t="n">
        <x:v>0.27858333333333335</x:v>
      </x:c>
      <x:c r="G1470" s="12" t="n">
        <x:v>0</x:v>
      </x:c>
      <x:c r="H1470" s="1" t="n">
        <x:f>'Historical prices'!E1470</x:f>
        <x:v>1.05</x:v>
      </x:c>
      <x:c r="I1470" s="6" t="n">
        <x:f>'Historical prices'!D1470</x:f>
        <x:v>0.1808</x:v>
      </x:c>
      <x:c r="J1470" s="13" t="n">
        <x:f>D1470*I1470*H1470</x:f>
        <x:v>0</x:v>
      </x:c>
      <x:c r="K1470" s="13" t="n">
        <x:f>E1470*I1470*H1470</x:f>
        <x:v>0.05288626</x:v>
      </x:c>
      <x:c r="L1470" s="1" t="str">
        <x:f>TEXT(A1470,"mmm yyyy")</x:f>
        <x:v>Jun 2026</x:v>
      </x:c>
    </x:row>
    <x:row r="1471" ht="21" customHeight="1">
      <x:c r="A1471" s="10" t="n">
        <x:v>46179</x:v>
      </x:c>
      <x:c r="B1471" s="1" t="n">
        <x:v>3.5</x:v>
      </x:c>
      <x:c r="C1471" s="1" t="n">
        <x:v>6</x:v>
      </x:c>
      <x:c r="D1471" s="12" t="n">
        <x:v>0</x:v>
      </x:c>
      <x:c r="E1471" s="12" t="n">
        <x:v>0.252</x:v>
      </x:c>
      <x:c r="F1471" s="12" t="n">
        <x:v>0.25175000000000003</x:v>
      </x:c>
      <x:c r="G1471" s="12" t="n">
        <x:v>0</x:v>
      </x:c>
      <x:c r="H1471" s="1" t="n">
        <x:f>'Historical prices'!E1471</x:f>
        <x:v>1.05</x:v>
      </x:c>
      <x:c r="I1471" s="6" t="n">
        <x:f>'Historical prices'!D1471</x:f>
        <x:v>0.18109999999999998</x:v>
      </x:c>
      <x:c r="J1471" s="13" t="n">
        <x:f>D1471*I1471*H1471</x:f>
        <x:v>0</x:v>
      </x:c>
      <x:c r="K1471" s="13" t="n">
        <x:f>E1471*I1471*H1471</x:f>
        <x:v>0.04791906</x:v>
      </x:c>
      <x:c r="L1471" s="1" t="str">
        <x:f>TEXT(A1471,"mmm yyyy")</x:f>
        <x:v>Jun 2026</x:v>
      </x:c>
    </x:row>
    <x:row r="1472" ht="21" customHeight="1">
      <x:c r="A1472" s="10" t="n">
        <x:v>46179</x:v>
      </x:c>
      <x:c r="B1472" s="1" t="n">
        <x:v>4</x:v>
      </x:c>
      <x:c r="C1472" s="1" t="n">
        <x:v>6</x:v>
      </x:c>
      <x:c r="D1472" s="12" t="n">
        <x:v>0</x:v>
      </x:c>
      <x:c r="E1472" s="12" t="n">
        <x:v>0.31366666666666665</x:v>
      </x:c>
      <x:c r="F1472" s="12" t="n">
        <x:v>0.31366666666666665</x:v>
      </x:c>
      <x:c r="G1472" s="12" t="n">
        <x:v>0</x:v>
      </x:c>
      <x:c r="H1472" s="1" t="n">
        <x:f>'Historical prices'!E1472</x:f>
        <x:v>1.05</x:v>
      </x:c>
      <x:c r="I1472" s="6" t="n">
        <x:f>'Historical prices'!D1472</x:f>
        <x:v>0.1895</x:v>
      </x:c>
      <x:c r="J1472" s="13" t="n">
        <x:f>D1472*I1472*H1472</x:f>
        <x:v>0</x:v>
      </x:c>
      <x:c r="K1472" s="13" t="n">
        <x:f>E1472*I1472*H1472</x:f>
        <x:v>0.062411825</x:v>
      </x:c>
      <x:c r="L1472" s="1" t="str">
        <x:f>TEXT(A1472,"mmm yyyy")</x:f>
        <x:v>Jun 2026</x:v>
      </x:c>
    </x:row>
    <x:row r="1473" ht="21" customHeight="1">
      <x:c r="A1473" s="10" t="n">
        <x:v>46179</x:v>
      </x:c>
      <x:c r="B1473" s="1" t="n">
        <x:v>4.5</x:v>
      </x:c>
      <x:c r="C1473" s="1" t="n">
        <x:v>6</x:v>
      </x:c>
      <x:c r="D1473" s="12" t="n">
        <x:v>0</x:v>
      </x:c>
      <x:c r="E1473" s="12" t="n">
        <x:v>0.343</x:v>
      </x:c>
      <x:c r="F1473" s="12" t="n">
        <x:v>0.3429166666666667</x:v>
      </x:c>
      <x:c r="G1473" s="12" t="n">
        <x:v>0</x:v>
      </x:c>
      <x:c r="H1473" s="1" t="n">
        <x:f>'Historical prices'!E1473</x:f>
        <x:v>1.05</x:v>
      </x:c>
      <x:c r="I1473" s="6" t="n">
        <x:f>'Historical prices'!D1473</x:f>
        <x:v>0.1808</x:v>
      </x:c>
      <x:c r="J1473" s="13" t="n">
        <x:f>D1473*I1473*H1473</x:f>
        <x:v>0</x:v>
      </x:c>
      <x:c r="K1473" s="13" t="n">
        <x:f>E1473*I1473*H1473</x:f>
        <x:v>0.06511512000000001</x:v>
      </x:c>
      <x:c r="L1473" s="1" t="str">
        <x:f>TEXT(A1473,"mmm yyyy")</x:f>
        <x:v>Jun 2026</x:v>
      </x:c>
    </x:row>
    <x:row r="1474" ht="21" customHeight="1">
      <x:c r="A1474" s="10" t="n">
        <x:v>46179</x:v>
      </x:c>
      <x:c r="B1474" s="1" t="n">
        <x:v>5</x:v>
      </x:c>
      <x:c r="C1474" s="1" t="n">
        <x:v>6</x:v>
      </x:c>
      <x:c r="D1474" s="12" t="n">
        <x:v>0</x:v>
      </x:c>
      <x:c r="E1474" s="12" t="n">
        <x:v>0.26175</x:v>
      </x:c>
      <x:c r="F1474" s="12" t="n">
        <x:v>0.26175</x:v>
      </x:c>
      <x:c r="G1474" s="12" t="n">
        <x:v>0</x:v>
      </x:c>
      <x:c r="H1474" s="1" t="n">
        <x:f>'Historical prices'!E1474</x:f>
        <x:v>1.05</x:v>
      </x:c>
      <x:c r="I1474" s="6" t="n">
        <x:f>'Historical prices'!D1474</x:f>
        <x:v>0.16579999999999998</x:v>
      </x:c>
      <x:c r="J1474" s="13" t="n">
        <x:f>D1474*I1474*H1474</x:f>
        <x:v>0</x:v>
      </x:c>
      <x:c r="K1474" s="13" t="n">
        <x:f>E1474*I1474*H1474</x:f>
        <x:v>0.04556805749999999</x:v>
      </x:c>
      <x:c r="L1474" s="1" t="str">
        <x:f>TEXT(A1474,"mmm yyyy")</x:f>
        <x:v>Jun 2026</x:v>
      </x:c>
    </x:row>
    <x:row r="1475" ht="21" customHeight="1">
      <x:c r="A1475" s="10" t="n">
        <x:v>46179</x:v>
      </x:c>
      <x:c r="B1475" s="1" t="n">
        <x:v>5.5</x:v>
      </x:c>
      <x:c r="C1475" s="1" t="n">
        <x:v>6</x:v>
      </x:c>
      <x:c r="D1475" s="12" t="n">
        <x:v>0</x:v>
      </x:c>
      <x:c r="E1475" s="12" t="n">
        <x:v>0.3426666666666667</x:v>
      </x:c>
      <x:c r="F1475" s="12" t="n">
        <x:v>0.3426666666666667</x:v>
      </x:c>
      <x:c r="G1475" s="12" t="n">
        <x:v>0</x:v>
      </x:c>
      <x:c r="H1475" s="1" t="n">
        <x:f>'Historical prices'!E1475</x:f>
        <x:v>1.05</x:v>
      </x:c>
      <x:c r="I1475" s="6" t="n">
        <x:f>'Historical prices'!D1475</x:f>
        <x:v>0.14800000000000002</x:v>
      </x:c>
      <x:c r="J1475" s="13" t="n">
        <x:f>D1475*I1475*H1475</x:f>
        <x:v>0</x:v>
      </x:c>
      <x:c r="K1475" s="13" t="n">
        <x:f>E1475*I1475*H1475</x:f>
        <x:v>0.05325040000000001</x:v>
      </x:c>
      <x:c r="L1475" s="1" t="str">
        <x:f>TEXT(A1475,"mmm yyyy")</x:f>
        <x:v>Jun 2026</x:v>
      </x:c>
    </x:row>
    <x:row r="1476" ht="21" customHeight="1">
      <x:c r="A1476" s="10" t="n">
        <x:v>46179</x:v>
      </x:c>
      <x:c r="B1476" s="1" t="n">
        <x:v>6</x:v>
      </x:c>
      <x:c r="C1476" s="1" t="n">
        <x:v>6</x:v>
      </x:c>
      <x:c r="D1476" s="12" t="n">
        <x:v>0.17766666666666664</x:v>
      </x:c>
      <x:c r="E1476" s="12" t="n">
        <x:v>0.2356666666666667</x:v>
      </x:c>
      <x:c r="F1476" s="12" t="n">
        <x:v>0.049</x:v>
      </x:c>
      <x:c r="G1476" s="12" t="n">
        <x:v>0</x:v>
      </x:c>
      <x:c r="H1476" s="1" t="n">
        <x:f>'Historical prices'!E1476</x:f>
        <x:v>1.05</x:v>
      </x:c>
      <x:c r="I1476" s="6" t="n">
        <x:f>'Historical prices'!D1476</x:f>
        <x:v>0.0944</x:v>
      </x:c>
      <x:c r="J1476" s="13" t="n">
        <x:f>D1476*I1476*H1476</x:f>
        <x:v>0.01761032</x:v>
      </x:c>
      <x:c r="K1476" s="13" t="n">
        <x:f>E1476*I1476*H1476</x:f>
        <x:v>0.023359280000000003</x:v>
      </x:c>
      <x:c r="L1476" s="1" t="str">
        <x:f>TEXT(A1476,"mmm yyyy")</x:f>
        <x:v>Jun 2026</x:v>
      </x:c>
    </x:row>
    <x:row r="1477" ht="21" customHeight="1">
      <x:c r="A1477" s="10" t="n">
        <x:v>46179</x:v>
      </x:c>
      <x:c r="B1477" s="1" t="n">
        <x:v>6.5</x:v>
      </x:c>
      <x:c r="C1477" s="1" t="n">
        <x:v>6</x:v>
      </x:c>
      <x:c r="D1477" s="12" t="n">
        <x:v>0.03</x:v>
      </x:c>
      <x:c r="E1477" s="12" t="n">
        <x:v>0.322</x:v>
      </x:c>
      <x:c r="F1477" s="12" t="n">
        <x:v>0.28983333333333333</x:v>
      </x:c>
      <x:c r="G1477" s="12" t="n">
        <x:v>0</x:v>
      </x:c>
      <x:c r="H1477" s="1" t="n">
        <x:f>'Historical prices'!E1477</x:f>
        <x:v>1.05</x:v>
      </x:c>
      <x:c r="I1477" s="6" t="n">
        <x:f>'Historical prices'!D1477</x:f>
        <x:v>0.11779999999999999</x:v>
      </x:c>
      <x:c r="J1477" s="13" t="n">
        <x:f>D1477*I1477*H1477</x:f>
        <x:v>0.0037106999999999995</x:v>
      </x:c>
      <x:c r="K1477" s="13" t="n">
        <x:f>E1477*I1477*H1477</x:f>
        <x:v>0.03982818</x:v>
      </x:c>
      <x:c r="L1477" s="1" t="str">
        <x:f>TEXT(A1477,"mmm yyyy")</x:f>
        <x:v>Jun 2026</x:v>
      </x:c>
    </x:row>
    <x:row r="1478" ht="21" customHeight="1">
      <x:c r="A1478" s="10" t="n">
        <x:v>46179</x:v>
      </x:c>
      <x:c r="B1478" s="1" t="n">
        <x:v>7</x:v>
      </x:c>
      <x:c r="C1478" s="1" t="n">
        <x:v>6</x:v>
      </x:c>
      <x:c r="D1478" s="12" t="n">
        <x:v>4.21225</x:v>
      </x:c>
      <x:c r="E1478" s="12" t="n">
        <x:v>0.6322500000000001</x:v>
      </x:c>
      <x:c r="F1478" s="12" t="n">
        <x:v>0.063</x:v>
      </x:c>
      <x:c r="G1478" s="12" t="n">
        <x:v>3.643</x:v>
      </x:c>
      <x:c r="H1478" s="1" t="n">
        <x:f>'Historical prices'!E1478</x:f>
        <x:v>1.05</x:v>
      </x:c>
      <x:c r="I1478" s="6" t="n">
        <x:f>'Historical prices'!D1478</x:f>
        <x:v>0.0536</x:v>
      </x:c>
      <x:c r="J1478" s="13" t="n">
        <x:f>D1478*I1478*H1478</x:f>
        <x:v>0.23706543000000002</x:v>
      </x:c>
      <x:c r="K1478" s="13" t="n">
        <x:f>E1478*I1478*H1478</x:f>
        <x:v>0.03558303000000001</x:v>
      </x:c>
      <x:c r="L1478" s="1" t="str">
        <x:f>TEXT(A1478,"mmm yyyy")</x:f>
        <x:v>Jun 2026</x:v>
      </x:c>
    </x:row>
    <x:row r="1479" ht="21" customHeight="1">
      <x:c r="A1479" s="10" t="n">
        <x:v>46179</x:v>
      </x:c>
      <x:c r="B1479" s="1" t="n">
        <x:v>7.5</x:v>
      </x:c>
      <x:c r="C1479" s="1" t="n">
        <x:v>6</x:v>
      </x:c>
      <x:c r="D1479" s="12" t="n">
        <x:v>0.8949166666666667</x:v>
      </x:c>
      <x:c r="E1479" s="12" t="n">
        <x:v>0.6349166666666666</x:v>
      </x:c>
      <x:c r="F1479" s="12" t="n">
        <x:v>0.44266666666666676</x:v>
      </x:c>
      <x:c r="G1479" s="12" t="n">
        <x:v>0.707</x:v>
      </x:c>
      <x:c r="H1479" s="1" t="n">
        <x:f>'Historical prices'!E1479</x:f>
        <x:v>1.05</x:v>
      </x:c>
      <x:c r="I1479" s="6" t="n">
        <x:f>'Historical prices'!D1479</x:f>
        <x:v>0.122</x:v>
      </x:c>
      <x:c r="J1479" s="13" t="n">
        <x:f>D1479*I1479*H1479</x:f>
        <x:v>0.11463882500000001</x:v>
      </x:c>
      <x:c r="K1479" s="13" t="n">
        <x:f>E1479*I1479*H1479</x:f>
        <x:v>0.081332825</x:v>
      </x:c>
      <x:c r="L1479" s="1" t="str">
        <x:f>TEXT(A1479,"mmm yyyy")</x:f>
        <x:v>Jun 2026</x:v>
      </x:c>
    </x:row>
    <x:row r="1480" ht="21" customHeight="1">
      <x:c r="A1480" s="10" t="n">
        <x:v>46179</x:v>
      </x:c>
      <x:c r="B1480" s="1" t="n">
        <x:v>8</x:v>
      </x:c>
      <x:c r="C1480" s="1" t="n">
        <x:v>6</x:v>
      </x:c>
      <x:c r="D1480" s="12" t="n">
        <x:v>0.30675</x:v>
      </x:c>
      <x:c r="E1480" s="12" t="n">
        <x:v>0.38575</x:v>
      </x:c>
      <x:c r="F1480" s="12" t="n">
        <x:v>0.07</x:v>
      </x:c>
      <x:c r="G1480" s="12" t="n">
        <x:v>0</x:v>
      </x:c>
      <x:c r="H1480" s="1" t="n">
        <x:f>'Historical prices'!E1480</x:f>
        <x:v>1.05</x:v>
      </x:c>
      <x:c r="I1480" s="6" t="n">
        <x:f>'Historical prices'!D1480</x:f>
        <x:v>0.1</x:v>
      </x:c>
      <x:c r="J1480" s="13" t="n">
        <x:f>D1480*I1480*H1480</x:f>
        <x:v>0.03220875000000001</x:v>
      </x:c>
      <x:c r="K1480" s="13" t="n">
        <x:f>E1480*I1480*H1480</x:f>
        <x:v>0.04050375</x:v>
      </x:c>
      <x:c r="L1480" s="1" t="str">
        <x:f>TEXT(A1480,"mmm yyyy")</x:f>
        <x:v>Jun 2026</x:v>
      </x:c>
    </x:row>
    <x:row r="1481" ht="21" customHeight="1">
      <x:c r="A1481" s="10" t="n">
        <x:v>46179</x:v>
      </x:c>
      <x:c r="B1481" s="1" t="n">
        <x:v>8.5</x:v>
      </x:c>
      <x:c r="C1481" s="1" t="n">
        <x:v>6</x:v>
      </x:c>
      <x:c r="D1481" s="12" t="n">
        <x:v>0.4225833333333333</x:v>
      </x:c>
      <x:c r="E1481" s="12" t="n">
        <x:v>0.4345833333333333</x:v>
      </x:c>
      <x:c r="F1481" s="12" t="n">
        <x:v>0</x:v>
      </x:c>
      <x:c r="G1481" s="12" t="n">
        <x:v>0</x:v>
      </x:c>
      <x:c r="H1481" s="1" t="n">
        <x:f>'Historical prices'!E1481</x:f>
        <x:v>1.05</x:v>
      </x:c>
      <x:c r="I1481" s="6" t="n">
        <x:f>'Historical prices'!D1481</x:f>
        <x:v>0.10640000000000001</x:v>
      </x:c>
      <x:c r="J1481" s="13" t="n">
        <x:f>D1481*I1481*H1481</x:f>
        <x:v>0.047211010000000005</x:v>
      </x:c>
      <x:c r="K1481" s="13" t="n">
        <x:f>E1481*I1481*H1481</x:f>
        <x:v>0.04855165000000001</x:v>
      </x:c>
      <x:c r="L1481" s="1" t="str">
        <x:f>TEXT(A1481,"mmm yyyy")</x:f>
        <x:v>Jun 2026</x:v>
      </x:c>
    </x:row>
    <x:row r="1482" ht="21" customHeight="1">
      <x:c r="A1482" s="10" t="n">
        <x:v>46179</x:v>
      </x:c>
      <x:c r="B1482" s="1" t="n">
        <x:v>9</x:v>
      </x:c>
      <x:c r="C1482" s="1" t="n">
        <x:v>6</x:v>
      </x:c>
      <x:c r="D1482" s="12" t="n">
        <x:v>1.3264999999999998</x:v>
      </x:c>
      <x:c r="E1482" s="12" t="n">
        <x:v>1.3375</x:v>
      </x:c>
      <x:c r="F1482" s="12" t="n">
        <x:v>0</x:v>
      </x:c>
      <x:c r="G1482" s="12" t="n">
        <x:v>0</x:v>
      </x:c>
      <x:c r="H1482" s="1" t="n">
        <x:f>'Historical prices'!E1482</x:f>
        <x:v>1.05</x:v>
      </x:c>
      <x:c r="I1482" s="6" t="n">
        <x:f>'Historical prices'!D1482</x:f>
        <x:v>0.0842</x:v>
      </x:c>
      <x:c r="J1482" s="13" t="n">
        <x:f>D1482*I1482*H1482</x:f>
        <x:v>0.11727586499999998</x:v>
      </x:c>
      <x:c r="K1482" s="13" t="n">
        <x:f>E1482*I1482*H1482</x:f>
        <x:v>0.118248375</x:v>
      </x:c>
      <x:c r="L1482" s="1" t="str">
        <x:f>TEXT(A1482,"mmm yyyy")</x:f>
        <x:v>Jun 2026</x:v>
      </x:c>
    </x:row>
    <x:row r="1483" ht="21" customHeight="1">
      <x:c r="A1483" s="10" t="n">
        <x:v>46179</x:v>
      </x:c>
      <x:c r="B1483" s="1" t="n">
        <x:v>9.5</x:v>
      </x:c>
      <x:c r="C1483" s="1" t="n">
        <x:v>6</x:v>
      </x:c>
      <x:c r="D1483" s="12" t="n">
        <x:v>0.63375</x:v>
      </x:c>
      <x:c r="E1483" s="12" t="n">
        <x:v>0.6457499999999999</x:v>
      </x:c>
      <x:c r="F1483" s="12" t="n">
        <x:v>0</x:v>
      </x:c>
      <x:c r="G1483" s="12" t="n">
        <x:v>0</x:v>
      </x:c>
      <x:c r="H1483" s="1" t="n">
        <x:f>'Historical prices'!E1483</x:f>
        <x:v>1.05</x:v>
      </x:c>
      <x:c r="I1483" s="6" t="n">
        <x:f>'Historical prices'!D1483</x:f>
        <x:v>0.08839999999999999</x:v>
      </x:c>
      <x:c r="J1483" s="13" t="n">
        <x:f>D1483*I1483*H1483</x:f>
        <x:v>0.058824675</x:v>
      </x:c>
      <x:c r="K1483" s="13" t="n">
        <x:f>E1483*I1483*H1483</x:f>
        <x:v>0.05993851499999999</x:v>
      </x:c>
      <x:c r="L1483" s="1" t="str">
        <x:f>TEXT(A1483,"mmm yyyy")</x:f>
        <x:v>Jun 2026</x:v>
      </x:c>
    </x:row>
    <x:row r="1484" ht="21" customHeight="1">
      <x:c r="A1484" s="10" t="n">
        <x:v>46179</x:v>
      </x:c>
      <x:c r="B1484" s="1" t="n">
        <x:v>10</x:v>
      </x:c>
      <x:c r="C1484" s="1" t="n">
        <x:v>6</x:v>
      </x:c>
      <x:c r="D1484" s="12" t="n">
        <x:v>1.0730833333333334</x:v>
      </x:c>
      <x:c r="E1484" s="12" t="n">
        <x:v>1.0840833333333335</x:v>
      </x:c>
      <x:c r="F1484" s="12" t="n">
        <x:v>0</x:v>
      </x:c>
      <x:c r="G1484" s="12" t="n">
        <x:v>0</x:v>
      </x:c>
      <x:c r="H1484" s="1" t="n">
        <x:f>'Historical prices'!E1484</x:f>
        <x:v>1.05</x:v>
      </x:c>
      <x:c r="I1484" s="6" t="n">
        <x:f>'Historical prices'!D1484</x:f>
        <x:v>0.0842</x:v>
      </x:c>
      <x:c r="J1484" s="13" t="n">
        <x:f>D1484*I1484*H1484</x:f>
        <x:v>0.09487129750000001</x:v>
      </x:c>
      <x:c r="K1484" s="13" t="n">
        <x:f>E1484*I1484*H1484</x:f>
        <x:v>0.09584380750000002</x:v>
      </x:c>
      <x:c r="L1484" s="1" t="str">
        <x:f>TEXT(A1484,"mmm yyyy")</x:f>
        <x:v>Jun 2026</x:v>
      </x:c>
    </x:row>
    <x:row r="1485" ht="21" customHeight="1">
      <x:c r="A1485" s="10" t="n">
        <x:v>46179</x:v>
      </x:c>
      <x:c r="B1485" s="1" t="n">
        <x:v>10.5</x:v>
      </x:c>
      <x:c r="C1485" s="1" t="n">
        <x:v>6</x:v>
      </x:c>
      <x:c r="D1485" s="12" t="n">
        <x:v>4.324333333333334</x:v>
      </x:c>
      <x:c r="E1485" s="12" t="n">
        <x:v>0.8803333333333332</x:v>
      </x:c>
      <x:c r="F1485" s="12" t="n">
        <x:v>0</x:v>
      </x:c>
      <x:c r="G1485" s="12" t="n">
        <x:v>3.446</x:v>
      </x:c>
      <x:c r="H1485" s="1" t="n">
        <x:f>'Historical prices'!E1485</x:f>
        <x:v>1.05</x:v>
      </x:c>
      <x:c r="I1485" s="6" t="n">
        <x:f>'Historical prices'!D1485</x:f>
        <x:v>0.0674</x:v>
      </x:c>
      <x:c r="J1485" s="13" t="n">
        <x:f>D1485*I1485*H1485</x:f>
        <x:v>0.30603307</x:v>
      </x:c>
      <x:c r="K1485" s="13" t="n">
        <x:f>E1485*I1485*H1485</x:f>
        <x:v>0.06230119</x:v>
      </x:c>
      <x:c r="L1485" s="1" t="str">
        <x:f>TEXT(A1485,"mmm yyyy")</x:f>
        <x:v>Jun 2026</x:v>
      </x:c>
    </x:row>
    <x:row r="1486" ht="21" customHeight="1">
      <x:c r="A1486" s="10" t="n">
        <x:v>46179</x:v>
      </x:c>
      <x:c r="B1486" s="1" t="n">
        <x:v>11</x:v>
      </x:c>
      <x:c r="C1486" s="1" t="n">
        <x:v>6</x:v>
      </x:c>
      <x:c r="D1486" s="12" t="n">
        <x:v>1.3425833333333332</x:v>
      </x:c>
      <x:c r="E1486" s="12" t="n">
        <x:v>0.6455833333333333</x:v>
      </x:c>
      <x:c r="F1486" s="12" t="n">
        <x:v>0</x:v>
      </x:c>
      <x:c r="G1486" s="12" t="n">
        <x:v>0.698</x:v>
      </x:c>
      <x:c r="H1486" s="1" t="n">
        <x:f>'Historical prices'!E1486</x:f>
        <x:v>1.05</x:v>
      </x:c>
      <x:c r="I1486" s="6" t="n">
        <x:f>'Historical prices'!D1486</x:f>
        <x:v>0.0876</x:v>
      </x:c>
      <x:c r="J1486" s="13" t="n">
        <x:f>D1486*I1486*H1486</x:f>
        <x:v>0.12349081499999999</x:v>
      </x:c>
      <x:c r="K1486" s="13" t="n">
        <x:f>E1486*I1486*H1486</x:f>
        <x:v>0.059380755</x:v>
      </x:c>
      <x:c r="L1486" s="1" t="str">
        <x:f>TEXT(A1486,"mmm yyyy")</x:f>
        <x:v>Jun 2026</x:v>
      </x:c>
    </x:row>
    <x:row r="1487" ht="21" customHeight="1">
      <x:c r="A1487" s="10" t="n">
        <x:v>46179</x:v>
      </x:c>
      <x:c r="B1487" s="1" t="n">
        <x:v>11.5</x:v>
      </x:c>
      <x:c r="C1487" s="1" t="n">
        <x:v>6</x:v>
      </x:c>
      <x:c r="D1487" s="12" t="n">
        <x:v>0.9155000000000001</x:v>
      </x:c>
      <x:c r="E1487" s="12" t="n">
        <x:v>0.9275000000000001</x:v>
      </x:c>
      <x:c r="F1487" s="12" t="n">
        <x:v>0</x:v>
      </x:c>
      <x:c r="G1487" s="12" t="n">
        <x:v>0</x:v>
      </x:c>
      <x:c r="H1487" s="1" t="n">
        <x:f>'Historical prices'!E1487</x:f>
        <x:v>1.05</x:v>
      </x:c>
      <x:c r="I1487" s="6" t="n">
        <x:f>'Historical prices'!D1487</x:f>
        <x:v>0.0928</x:v>
      </x:c>
      <x:c r="J1487" s="13" t="n">
        <x:f>D1487*I1487*H1487</x:f>
        <x:v>0.08920632</x:v>
      </x:c>
      <x:c r="K1487" s="13" t="n">
        <x:f>E1487*I1487*H1487</x:f>
        <x:v>0.09037560000000001</x:v>
      </x:c>
      <x:c r="L1487" s="1" t="str">
        <x:f>TEXT(A1487,"mmm yyyy")</x:f>
        <x:v>Jun 2026</x:v>
      </x:c>
    </x:row>
    <x:row r="1488" ht="21" customHeight="1">
      <x:c r="A1488" s="10" t="n">
        <x:v>46179</x:v>
      </x:c>
      <x:c r="B1488" s="1" t="n">
        <x:v>12</x:v>
      </x:c>
      <x:c r="C1488" s="1" t="n">
        <x:v>6</x:v>
      </x:c>
      <x:c r="D1488" s="12" t="n">
        <x:v>0.4271666666666667</x:v>
      </x:c>
      <x:c r="E1488" s="12" t="n">
        <x:v>0.4381666666666667</x:v>
      </x:c>
      <x:c r="F1488" s="12" t="n">
        <x:v>0</x:v>
      </x:c>
      <x:c r="G1488" s="12" t="n">
        <x:v>0</x:v>
      </x:c>
      <x:c r="H1488" s="1" t="n">
        <x:f>'Historical prices'!E1488</x:f>
        <x:v>1.05</x:v>
      </x:c>
      <x:c r="I1488" s="6" t="n">
        <x:f>'Historical prices'!D1488</x:f>
        <x:v>0.08410000000000001</x:v>
      </x:c>
      <x:c r="J1488" s="13" t="n">
        <x:f>D1488*I1488*H1488</x:f>
        <x:v>0.03772095250000001</x:v>
      </x:c>
      <x:c r="K1488" s="13" t="n">
        <x:f>E1488*I1488*H1488</x:f>
        <x:v>0.03869230750000001</x:v>
      </x:c>
      <x:c r="L1488" s="1" t="str">
        <x:f>TEXT(A1488,"mmm yyyy")</x:f>
        <x:v>Jun 2026</x:v>
      </x:c>
    </x:row>
    <x:row r="1489" ht="21" customHeight="1">
      <x:c r="A1489" s="10" t="n">
        <x:v>46179</x:v>
      </x:c>
      <x:c r="B1489" s="1" t="n">
        <x:v>12.5</x:v>
      </x:c>
      <x:c r="C1489" s="1" t="n">
        <x:v>6</x:v>
      </x:c>
      <x:c r="D1489" s="12" t="n">
        <x:v>0.44333333333333336</x:v>
      </x:c>
      <x:c r="E1489" s="12" t="n">
        <x:v>0.45533333333333337</x:v>
      </x:c>
      <x:c r="F1489" s="12" t="n">
        <x:v>0</x:v>
      </x:c>
      <x:c r="G1489" s="12" t="n">
        <x:v>0</x:v>
      </x:c>
      <x:c r="H1489" s="1" t="n">
        <x:f>'Historical prices'!E1489</x:f>
        <x:v>1.05</x:v>
      </x:c>
      <x:c r="I1489" s="6" t="n">
        <x:f>'Historical prices'!D1489</x:f>
        <x:v>0.0842</x:v>
      </x:c>
      <x:c r="J1489" s="13" t="n">
        <x:f>D1489*I1489*H1489</x:f>
        <x:v>0.039195100000000004</x:v>
      </x:c>
      <x:c r="K1489" s="13" t="n">
        <x:f>E1489*I1489*H1489</x:f>
        <x:v>0.04025602</x:v>
      </x:c>
      <x:c r="L1489" s="1" t="str">
        <x:f>TEXT(A1489,"mmm yyyy")</x:f>
        <x:v>Jun 2026</x:v>
      </x:c>
    </x:row>
    <x:row r="1490" ht="21" customHeight="1">
      <x:c r="A1490" s="10" t="n">
        <x:v>46179</x:v>
      </x:c>
      <x:c r="B1490" s="1" t="n">
        <x:v>13</x:v>
      </x:c>
      <x:c r="C1490" s="1" t="n">
        <x:v>6</x:v>
      </x:c>
      <x:c r="D1490" s="12" t="n">
        <x:v>0.33441666666666664</x:v>
      </x:c>
      <x:c r="E1490" s="12" t="n">
        <x:v>0.34541666666666665</x:v>
      </x:c>
      <x:c r="F1490" s="12" t="n">
        <x:v>0</x:v>
      </x:c>
      <x:c r="G1490" s="12" t="n">
        <x:v>0</x:v>
      </x:c>
      <x:c r="H1490" s="1" t="n">
        <x:f>'Historical prices'!E1490</x:f>
        <x:v>1.05</x:v>
      </x:c>
      <x:c r="I1490" s="6" t="n">
        <x:f>'Historical prices'!D1490</x:f>
        <x:v>0.0861</x:v>
      </x:c>
      <x:c r="J1490" s="13" t="n">
        <x:f>D1490*I1490*H1490</x:f>
        <x:v>0.030232938749999997</x:v>
      </x:c>
      <x:c r="K1490" s="13" t="n">
        <x:f>E1490*I1490*H1490</x:f>
        <x:v>0.03122739375</x:v>
      </x:c>
      <x:c r="L1490" s="1" t="str">
        <x:f>TEXT(A1490,"mmm yyyy")</x:f>
        <x:v>Jun 2026</x:v>
      </x:c>
    </x:row>
    <x:row r="1491" ht="21" customHeight="1">
      <x:c r="A1491" s="10" t="n">
        <x:v>46179</x:v>
      </x:c>
      <x:c r="B1491" s="1" t="n">
        <x:v>13.5</x:v>
      </x:c>
      <x:c r="C1491" s="1" t="n">
        <x:v>6</x:v>
      </x:c>
      <x:c r="D1491" s="12" t="n">
        <x:v>0.815</x:v>
      </x:c>
      <x:c r="E1491" s="12" t="n">
        <x:v>0.429</x:v>
      </x:c>
      <x:c r="F1491" s="12" t="n">
        <x:v>0</x:v>
      </x:c>
      <x:c r="G1491" s="12" t="n">
        <x:v>0.392</x:v>
      </x:c>
      <x:c r="H1491" s="1" t="n">
        <x:f>'Historical prices'!E1491</x:f>
        <x:v>1.05</x:v>
      </x:c>
      <x:c r="I1491" s="6" t="n">
        <x:f>'Historical prices'!D1491</x:f>
        <x:v>0.0809</x:v>
      </x:c>
      <x:c r="J1491" s="13" t="n">
        <x:f>D1491*I1491*H1491</x:f>
        <x:v>0.06923017499999999</x:v>
      </x:c>
      <x:c r="K1491" s="13" t="n">
        <x:f>E1491*I1491*H1491</x:f>
        <x:v>0.036441404999999996</x:v>
      </x:c>
      <x:c r="L1491" s="1" t="str">
        <x:f>TEXT(A1491,"mmm yyyy")</x:f>
        <x:v>Jun 2026</x:v>
      </x:c>
    </x:row>
    <x:row r="1492" ht="21" customHeight="1">
      <x:c r="A1492" s="10" t="n">
        <x:v>46179</x:v>
      </x:c>
      <x:c r="B1492" s="1" t="n">
        <x:v>14</x:v>
      </x:c>
      <x:c r="C1492" s="1" t="n">
        <x:v>6</x:v>
      </x:c>
      <x:c r="D1492" s="12" t="n">
        <x:v>0.3829166666666666</x:v>
      </x:c>
      <x:c r="E1492" s="12" t="n">
        <x:v>0.39291666666666664</x:v>
      </x:c>
      <x:c r="F1492" s="12" t="n">
        <x:v>0</x:v>
      </x:c>
      <x:c r="G1492" s="12" t="n">
        <x:v>0</x:v>
      </x:c>
      <x:c r="H1492" s="1" t="n">
        <x:f>'Historical prices'!E1492</x:f>
        <x:v>1.05</x:v>
      </x:c>
      <x:c r="I1492" s="6" t="n">
        <x:f>'Historical prices'!D1492</x:f>
        <x:v>0.0824</x:v>
      </x:c>
      <x:c r="J1492" s="13" t="n">
        <x:f>D1492*I1492*H1492</x:f>
        <x:v>0.03312995</x:v>
      </x:c>
      <x:c r="K1492" s="13" t="n">
        <x:f>E1492*I1492*H1492</x:f>
        <x:v>0.03399515</x:v>
      </x:c>
      <x:c r="L1492" s="1" t="str">
        <x:f>TEXT(A1492,"mmm yyyy")</x:f>
        <x:v>Jun 2026</x:v>
      </x:c>
    </x:row>
    <x:row r="1493" ht="21" customHeight="1">
      <x:c r="A1493" s="10" t="n">
        <x:v>46179</x:v>
      </x:c>
      <x:c r="B1493" s="1" t="n">
        <x:v>14.5</x:v>
      </x:c>
      <x:c r="C1493" s="1" t="n">
        <x:v>6</x:v>
      </x:c>
      <x:c r="D1493" s="12" t="n">
        <x:v>0.24225000000000002</x:v>
      </x:c>
      <x:c r="E1493" s="12" t="n">
        <x:v>0.39208333333333334</x:v>
      </x:c>
      <x:c r="F1493" s="12" t="n">
        <x:v>0.14083333333333334</x:v>
      </x:c>
      <x:c r="G1493" s="12" t="n">
        <x:v>0</x:v>
      </x:c>
      <x:c r="H1493" s="1" t="n">
        <x:f>'Historical prices'!E1493</x:f>
        <x:v>1.05</x:v>
      </x:c>
      <x:c r="I1493" s="6" t="n">
        <x:f>'Historical prices'!D1493</x:f>
        <x:v>0.08779999999999999</x:v>
      </x:c>
      <x:c r="J1493" s="13" t="n">
        <x:f>D1493*I1493*H1493</x:f>
        <x:v>0.022333027499999998</x:v>
      </x:c>
      <x:c r="K1493" s="13" t="n">
        <x:f>E1493*I1493*H1493</x:f>
        <x:v>0.0361461625</x:v>
      </x:c>
      <x:c r="L1493" s="1" t="str">
        <x:f>TEXT(A1493,"mmm yyyy")</x:f>
        <x:v>Jun 2026</x:v>
      </x:c>
    </x:row>
    <x:row r="1494" ht="21" customHeight="1">
      <x:c r="A1494" s="10" t="n">
        <x:v>46179</x:v>
      </x:c>
      <x:c r="B1494" s="1" t="n">
        <x:v>15</x:v>
      </x:c>
      <x:c r="C1494" s="1" t="n">
        <x:v>6</x:v>
      </x:c>
      <x:c r="D1494" s="12" t="n">
        <x:v>0</x:v>
      </x:c>
      <x:c r="E1494" s="12" t="n">
        <x:v>0.49216666666666664</x:v>
      </x:c>
      <x:c r="F1494" s="12" t="n">
        <x:v>0.4877499999999999</x:v>
      </x:c>
      <x:c r="G1494" s="12" t="n">
        <x:v>0</x:v>
      </x:c>
      <x:c r="H1494" s="1" t="n">
        <x:f>'Historical prices'!E1494</x:f>
        <x:v>1.05</x:v>
      </x:c>
      <x:c r="I1494" s="6" t="n">
        <x:f>'Historical prices'!D1494</x:f>
        <x:v>0.11449999999999999</x:v>
      </x:c>
      <x:c r="J1494" s="13" t="n">
        <x:f>D1494*I1494*H1494</x:f>
        <x:v>0</x:v>
      </x:c>
      <x:c r="K1494" s="13" t="n">
        <x:f>E1494*I1494*H1494</x:f>
        <x:v>0.059170737499999994</x:v>
      </x:c>
      <x:c r="L1494" s="1" t="str">
        <x:f>TEXT(A1494,"mmm yyyy")</x:f>
        <x:v>Jun 2026</x:v>
      </x:c>
    </x:row>
    <x:row r="1495" ht="21" customHeight="1">
      <x:c r="A1495" s="10" t="n">
        <x:v>46179</x:v>
      </x:c>
      <x:c r="B1495" s="1" t="n">
        <x:v>15.5</x:v>
      </x:c>
      <x:c r="C1495" s="1" t="n">
        <x:v>6</x:v>
      </x:c>
      <x:c r="D1495" s="12" t="n">
        <x:v>0</x:v>
      </x:c>
      <x:c r="E1495" s="12" t="n">
        <x:v>0.5155</x:v>
      </x:c>
      <x:c r="F1495" s="12" t="n">
        <x:v>0.5155</x:v>
      </x:c>
      <x:c r="G1495" s="12" t="n">
        <x:v>0</x:v>
      </x:c>
      <x:c r="H1495" s="1" t="n">
        <x:f>'Historical prices'!E1495</x:f>
        <x:v>1.05</x:v>
      </x:c>
      <x:c r="I1495" s="6" t="n">
        <x:f>'Historical prices'!D1495</x:f>
        <x:v>0.133</x:v>
      </x:c>
      <x:c r="J1495" s="13" t="n">
        <x:f>D1495*I1495*H1495</x:f>
        <x:v>0</x:v>
      </x:c>
      <x:c r="K1495" s="13" t="n">
        <x:f>E1495*I1495*H1495</x:f>
        <x:v>0.071989575</x:v>
      </x:c>
      <x:c r="L1495" s="1" t="str">
        <x:f>TEXT(A1495,"mmm yyyy")</x:f>
        <x:v>Jun 2026</x:v>
      </x:c>
    </x:row>
    <x:row r="1496" ht="21" customHeight="1">
      <x:c r="A1496" s="10" t="n">
        <x:v>46179</x:v>
      </x:c>
      <x:c r="B1496" s="1" t="n">
        <x:v>16</x:v>
      </x:c>
      <x:c r="C1496" s="1" t="n">
        <x:v>6</x:v>
      </x:c>
      <x:c r="D1496" s="12" t="n">
        <x:v>0</x:v>
      </x:c>
      <x:c r="E1496" s="12" t="n">
        <x:v>0.5087499999999999</x:v>
      </x:c>
      <x:c r="F1496" s="12" t="n">
        <x:v>0.5086666666666666</x:v>
      </x:c>
      <x:c r="G1496" s="12" t="n">
        <x:v>0</x:v>
      </x:c>
      <x:c r="H1496" s="1" t="n">
        <x:f>'Historical prices'!E1496</x:f>
        <x:v>1.05</x:v>
      </x:c>
      <x:c r="I1496" s="6" t="n">
        <x:f>'Historical prices'!D1496</x:f>
        <x:v>0.2651</x:v>
      </x:c>
      <x:c r="J1496" s="13" t="n">
        <x:f>D1496*I1496*H1496</x:f>
        <x:v>0</x:v>
      </x:c>
      <x:c r="K1496" s="13" t="n">
        <x:f>E1496*I1496*H1496</x:f>
        <x:v>0.14161310625</x:v>
      </x:c>
      <x:c r="L1496" s="1" t="str">
        <x:f>TEXT(A1496,"mmm yyyy")</x:f>
        <x:v>Jun 2026</x:v>
      </x:c>
    </x:row>
    <x:row r="1497" ht="21" customHeight="1">
      <x:c r="A1497" s="10" t="n">
        <x:v>46179</x:v>
      </x:c>
      <x:c r="B1497" s="1" t="n">
        <x:v>16.5</x:v>
      </x:c>
      <x:c r="C1497" s="1" t="n">
        <x:v>6</x:v>
      </x:c>
      <x:c r="D1497" s="12" t="n">
        <x:v>0</x:v>
      </x:c>
      <x:c r="E1497" s="12" t="n">
        <x:v>0.6837499999999999</x:v>
      </x:c>
      <x:c r="F1497" s="12" t="n">
        <x:v>0.6834166666666666</x:v>
      </x:c>
      <x:c r="G1497" s="12" t="n">
        <x:v>0</x:v>
      </x:c>
      <x:c r="H1497" s="1" t="n">
        <x:f>'Historical prices'!E1497</x:f>
        <x:v>1.05</x:v>
      </x:c>
      <x:c r="I1497" s="6" t="n">
        <x:f>'Historical prices'!D1497</x:f>
        <x:v>0.27140000000000003</x:v>
      </x:c>
      <x:c r="J1497" s="13" t="n">
        <x:f>D1497*I1497*H1497</x:f>
        <x:v>0</x:v>
      </x:c>
      <x:c r="K1497" s="13" t="n">
        <x:f>E1497*I1497*H1497</x:f>
        <x:v>0.1948482375</x:v>
      </x:c>
      <x:c r="L1497" s="1" t="str">
        <x:f>TEXT(A1497,"mmm yyyy")</x:f>
        <x:v>Jun 2026</x:v>
      </x:c>
    </x:row>
    <x:row r="1498" ht="21" customHeight="1">
      <x:c r="A1498" s="10" t="n">
        <x:v>46179</x:v>
      </x:c>
      <x:c r="B1498" s="1" t="n">
        <x:v>17</x:v>
      </x:c>
      <x:c r="C1498" s="1" t="n">
        <x:v>6</x:v>
      </x:c>
      <x:c r="D1498" s="12" t="n">
        <x:v>0</x:v>
      </x:c>
      <x:c r="E1498" s="12" t="n">
        <x:v>0.6284166666666666</x:v>
      </x:c>
      <x:c r="F1498" s="12" t="n">
        <x:v>0.6274166666666666</x:v>
      </x:c>
      <x:c r="G1498" s="12" t="n">
        <x:v>0</x:v>
      </x:c>
      <x:c r="H1498" s="1" t="n">
        <x:f>'Historical prices'!E1498</x:f>
        <x:v>1.05</x:v>
      </x:c>
      <x:c r="I1498" s="6" t="n">
        <x:f>'Historical prices'!D1498</x:f>
        <x:v>0.3102</x:v>
      </x:c>
      <x:c r="J1498" s="13" t="n">
        <x:f>D1498*I1498*H1498</x:f>
        <x:v>0</x:v>
      </x:c>
      <x:c r="K1498" s="13" t="n">
        <x:f>E1498*I1498*H1498</x:f>
        <x:v>0.20468159249999998</x:v>
      </x:c>
      <x:c r="L1498" s="1" t="str">
        <x:f>TEXT(A1498,"mmm yyyy")</x:f>
        <x:v>Jun 2026</x:v>
      </x:c>
    </x:row>
    <x:row r="1499" ht="21" customHeight="1">
      <x:c r="A1499" s="10" t="n">
        <x:v>46179</x:v>
      </x:c>
      <x:c r="B1499" s="1" t="n">
        <x:v>17.5</x:v>
      </x:c>
      <x:c r="C1499" s="1" t="n">
        <x:v>6</x:v>
      </x:c>
      <x:c r="D1499" s="12" t="n">
        <x:v>0</x:v>
      </x:c>
      <x:c r="E1499" s="12" t="n">
        <x:v>0.61575</x:v>
      </x:c>
      <x:c r="F1499" s="12" t="n">
        <x:v>0.61575</x:v>
      </x:c>
      <x:c r="G1499" s="12" t="n">
        <x:v>0</x:v>
      </x:c>
      <x:c r="H1499" s="1" t="n">
        <x:f>'Historical prices'!E1499</x:f>
        <x:v>1.05</x:v>
      </x:c>
      <x:c r="I1499" s="6" t="n">
        <x:f>'Historical prices'!D1499</x:f>
        <x:v>0.3176</x:v>
      </x:c>
      <x:c r="J1499" s="13" t="n">
        <x:f>D1499*I1499*H1499</x:f>
        <x:v>0</x:v>
      </x:c>
      <x:c r="K1499" s="13" t="n">
        <x:f>E1499*I1499*H1499</x:f>
        <x:v>0.20534031</x:v>
      </x:c>
      <x:c r="L1499" s="1" t="str">
        <x:f>TEXT(A1499,"mmm yyyy")</x:f>
        <x:v>Jun 2026</x:v>
      </x:c>
    </x:row>
    <x:row r="1500" ht="21" customHeight="1">
      <x:c r="A1500" s="10" t="n">
        <x:v>46179</x:v>
      </x:c>
      <x:c r="B1500" s="1" t="n">
        <x:v>18</x:v>
      </x:c>
      <x:c r="C1500" s="1" t="n">
        <x:v>6</x:v>
      </x:c>
      <x:c r="D1500" s="12" t="n">
        <x:v>0</x:v>
      </x:c>
      <x:c r="E1500" s="12" t="n">
        <x:v>0.59275</x:v>
      </x:c>
      <x:c r="F1500" s="12" t="n">
        <x:v>0.59275</x:v>
      </x:c>
      <x:c r="G1500" s="12" t="n">
        <x:v>0</x:v>
      </x:c>
      <x:c r="H1500" s="1" t="n">
        <x:f>'Historical prices'!E1500</x:f>
        <x:v>1.05</x:v>
      </x:c>
      <x:c r="I1500" s="6" t="n">
        <x:f>'Historical prices'!D1500</x:f>
        <x:v>0.3386</x:v>
      </x:c>
      <x:c r="J1500" s="13" t="n">
        <x:f>D1500*I1500*H1500</x:f>
        <x:v>0</x:v>
      </x:c>
      <x:c r="K1500" s="13" t="n">
        <x:f>E1500*I1500*H1500</x:f>
        <x:v>0.2107404075</x:v>
      </x:c>
      <x:c r="L1500" s="1" t="str">
        <x:f>TEXT(A1500,"mmm yyyy")</x:f>
        <x:v>Jun 2026</x:v>
      </x:c>
    </x:row>
    <x:row r="1501" ht="21" customHeight="1">
      <x:c r="A1501" s="10" t="n">
        <x:v>46179</x:v>
      </x:c>
      <x:c r="B1501" s="1" t="n">
        <x:v>18.5</x:v>
      </x:c>
      <x:c r="C1501" s="1" t="n">
        <x:v>6</x:v>
      </x:c>
      <x:c r="D1501" s="12" t="n">
        <x:v>0</x:v>
      </x:c>
      <x:c r="E1501" s="12" t="n">
        <x:v>1.1469166666666666</x:v>
      </x:c>
      <x:c r="F1501" s="12" t="n">
        <x:v>1.14675</x:v>
      </x:c>
      <x:c r="G1501" s="12" t="n">
        <x:v>0</x:v>
      </x:c>
      <x:c r="H1501" s="1" t="n">
        <x:f>'Historical prices'!E1501</x:f>
        <x:v>1.05</x:v>
      </x:c>
      <x:c r="I1501" s="6" t="n">
        <x:f>'Historical prices'!D1501</x:f>
        <x:v>0.3408</x:v>
      </x:c>
      <x:c r="J1501" s="13" t="n">
        <x:f>D1501*I1501*H1501</x:f>
        <x:v>0</x:v>
      </x:c>
      <x:c r="K1501" s="13" t="n">
        <x:f>E1501*I1501*H1501</x:f>
        <x:v>0.41041266</x:v>
      </x:c>
      <x:c r="L1501" s="1" t="str">
        <x:f>TEXT(A1501,"mmm yyyy")</x:f>
        <x:v>Jun 2026</x:v>
      </x:c>
    </x:row>
    <x:row r="1502" ht="21" customHeight="1">
      <x:c r="A1502" s="10" t="n">
        <x:v>46179</x:v>
      </x:c>
      <x:c r="B1502" s="1" t="n">
        <x:v>19</x:v>
      </x:c>
      <x:c r="C1502" s="1" t="n">
        <x:v>6</x:v>
      </x:c>
      <x:c r="D1502" s="12" t="n">
        <x:v>0</x:v>
      </x:c>
      <x:c r="E1502" s="12" t="n">
        <x:v>0.5698333333333333</x:v>
      </x:c>
      <x:c r="F1502" s="12" t="n">
        <x:v>0.56975</x:v>
      </x:c>
      <x:c r="G1502" s="12" t="n">
        <x:v>0</x:v>
      </x:c>
      <x:c r="H1502" s="1" t="n">
        <x:f>'Historical prices'!E1502</x:f>
        <x:v>1.05</x:v>
      </x:c>
      <x:c r="I1502" s="6" t="n">
        <x:f>'Historical prices'!D1502</x:f>
        <x:v>0.22870000000000001</x:v>
      </x:c>
      <x:c r="J1502" s="13" t="n">
        <x:f>D1502*I1502*H1502</x:f>
        <x:v>0</x:v>
      </x:c>
      <x:c r="K1502" s="13" t="n">
        <x:f>E1502*I1502*H1502</x:f>
        <x:v>0.1368369275</x:v>
      </x:c>
      <x:c r="L1502" s="1" t="str">
        <x:f>TEXT(A1502,"mmm yyyy")</x:f>
        <x:v>Jun 2026</x:v>
      </x:c>
    </x:row>
    <x:row r="1503" ht="21" customHeight="1">
      <x:c r="A1503" s="10" t="n">
        <x:v>46179</x:v>
      </x:c>
      <x:c r="B1503" s="1" t="n">
        <x:v>19.5</x:v>
      </x:c>
      <x:c r="C1503" s="1" t="n">
        <x:v>6</x:v>
      </x:c>
      <x:c r="D1503" s="12" t="n">
        <x:v>0.013583333333333333</x:v>
      </x:c>
      <x:c r="E1503" s="12" t="n">
        <x:v>0.6608333333333334</x:v>
      </x:c>
      <x:c r="F1503" s="12" t="n">
        <x:v>0.6469166666666667</x:v>
      </x:c>
      <x:c r="G1503" s="12" t="n">
        <x:v>0</x:v>
      </x:c>
      <x:c r="H1503" s="1" t="n">
        <x:f>'Historical prices'!E1503</x:f>
        <x:v>1.05</x:v>
      </x:c>
      <x:c r="I1503" s="6" t="n">
        <x:f>'Historical prices'!D1503</x:f>
        <x:v>0.2371</x:v>
      </x:c>
      <x:c r="J1503" s="13" t="n">
        <x:f>D1503*I1503*H1503</x:f>
        <x:v>0.0033816387500000002</x:v>
      </x:c>
      <x:c r="K1503" s="13" t="n">
        <x:f>E1503*I1503*H1503</x:f>
        <x:v>0.16451776250000003</x:v>
      </x:c>
      <x:c r="L1503" s="1" t="str">
        <x:f>TEXT(A1503,"mmm yyyy")</x:f>
        <x:v>Jun 2026</x:v>
      </x:c>
    </x:row>
    <x:row r="1504" ht="21" customHeight="1">
      <x:c r="A1504" s="10" t="n">
        <x:v>46179</x:v>
      </x:c>
      <x:c r="B1504" s="1" t="n">
        <x:v>20</x:v>
      </x:c>
      <x:c r="C1504" s="1" t="n">
        <x:v>6</x:v>
      </x:c>
      <x:c r="D1504" s="12" t="n">
        <x:v>0</x:v>
      </x:c>
      <x:c r="E1504" s="12" t="n">
        <x:v>0.6035833333333332</x:v>
      </x:c>
      <x:c r="F1504" s="12" t="n">
        <x:v>0.6035833333333332</x:v>
      </x:c>
      <x:c r="G1504" s="12" t="n">
        <x:v>0</x:v>
      </x:c>
      <x:c r="H1504" s="1" t="n">
        <x:f>'Historical prices'!E1504</x:f>
        <x:v>1.05</x:v>
      </x:c>
      <x:c r="I1504" s="6" t="n">
        <x:f>'Historical prices'!D1504</x:f>
        <x:v>0.2254</x:v>
      </x:c>
      <x:c r="J1504" s="13" t="n">
        <x:f>D1504*I1504*H1504</x:f>
        <x:v>0</x:v>
      </x:c>
      <x:c r="K1504" s="13" t="n">
        <x:f>E1504*I1504*H1504</x:f>
        <x:v>0.14285006749999998</x:v>
      </x:c>
      <x:c r="L1504" s="1" t="str">
        <x:f>TEXT(A1504,"mmm yyyy")</x:f>
        <x:v>Jun 2026</x:v>
      </x:c>
    </x:row>
    <x:row r="1505" ht="21" customHeight="1">
      <x:c r="A1505" s="10" t="n">
        <x:v>46179</x:v>
      </x:c>
      <x:c r="B1505" s="1" t="n">
        <x:v>20.5</x:v>
      </x:c>
      <x:c r="C1505" s="1" t="n">
        <x:v>6</x:v>
      </x:c>
      <x:c r="D1505" s="12" t="n">
        <x:v>0</x:v>
      </x:c>
      <x:c r="E1505" s="12" t="n">
        <x:v>0.665</x:v>
      </x:c>
      <x:c r="F1505" s="12" t="n">
        <x:v>0.66275</x:v>
      </x:c>
      <x:c r="G1505" s="12" t="n">
        <x:v>0</x:v>
      </x:c>
      <x:c r="H1505" s="1" t="n">
        <x:f>'Historical prices'!E1505</x:f>
        <x:v>1.05</x:v>
      </x:c>
      <x:c r="I1505" s="6" t="n">
        <x:f>'Historical prices'!D1505</x:f>
        <x:v>0.2257</x:v>
      </x:c>
      <x:c r="J1505" s="13" t="n">
        <x:f>D1505*I1505*H1505</x:f>
        <x:v>0</x:v>
      </x:c>
      <x:c r="K1505" s="13" t="n">
        <x:f>E1505*I1505*H1505</x:f>
        <x:v>0.15759502500000003</x:v>
      </x:c>
      <x:c r="L1505" s="1" t="str">
        <x:f>TEXT(A1505,"mmm yyyy")</x:f>
        <x:v>Jun 2026</x:v>
      </x:c>
    </x:row>
    <x:row r="1506" ht="21" customHeight="1">
      <x:c r="A1506" s="10" t="n">
        <x:v>46179</x:v>
      </x:c>
      <x:c r="B1506" s="1" t="n">
        <x:v>21</x:v>
      </x:c>
      <x:c r="C1506" s="1" t="n">
        <x:v>6</x:v>
      </x:c>
      <x:c r="D1506" s="12" t="n">
        <x:v>0</x:v>
      </x:c>
      <x:c r="E1506" s="12" t="n">
        <x:v>0.5479999999999999</x:v>
      </x:c>
      <x:c r="F1506" s="12" t="n">
        <x:v>0.5479999999999999</x:v>
      </x:c>
      <x:c r="G1506" s="12" t="n">
        <x:v>0</x:v>
      </x:c>
      <x:c r="H1506" s="1" t="n">
        <x:f>'Historical prices'!E1506</x:f>
        <x:v>1.05</x:v>
      </x:c>
      <x:c r="I1506" s="6" t="n">
        <x:f>'Historical prices'!D1506</x:f>
        <x:v>0.2279</x:v>
      </x:c>
      <x:c r="J1506" s="13" t="n">
        <x:f>D1506*I1506*H1506</x:f>
        <x:v>0</x:v>
      </x:c>
      <x:c r="K1506" s="13" t="n">
        <x:f>E1506*I1506*H1506</x:f>
        <x:v>0.13113365999999999</x:v>
      </x:c>
      <x:c r="L1506" s="1" t="str">
        <x:f>TEXT(A1506,"mmm yyyy")</x:f>
        <x:v>Jun 2026</x:v>
      </x:c>
    </x:row>
    <x:row r="1507" ht="21" customHeight="1">
      <x:c r="A1507" s="10" t="n">
        <x:v>46179</x:v>
      </x:c>
      <x:c r="B1507" s="1" t="n">
        <x:v>21.5</x:v>
      </x:c>
      <x:c r="C1507" s="1" t="n">
        <x:v>6</x:v>
      </x:c>
      <x:c r="D1507" s="12" t="n">
        <x:v>0</x:v>
      </x:c>
      <x:c r="E1507" s="12" t="n">
        <x:v>0.7056666666666667</x:v>
      </x:c>
      <x:c r="F1507" s="12" t="n">
        <x:v>0.7055833333333333</x:v>
      </x:c>
      <x:c r="G1507" s="12" t="n">
        <x:v>0</x:v>
      </x:c>
      <x:c r="H1507" s="1" t="n">
        <x:f>'Historical prices'!E1507</x:f>
        <x:v>1.05</x:v>
      </x:c>
      <x:c r="I1507" s="6" t="n">
        <x:f>'Historical prices'!D1507</x:f>
        <x:v>0.21719999999999998</x:v>
      </x:c>
      <x:c r="J1507" s="13" t="n">
        <x:f>D1507*I1507*H1507</x:f>
        <x:v>0</x:v>
      </x:c>
      <x:c r="K1507" s="13" t="n">
        <x:f>E1507*I1507*H1507</x:f>
        <x:v>0.16093433999999998</x:v>
      </x:c>
      <x:c r="L1507" s="1" t="str">
        <x:f>TEXT(A1507,"mmm yyyy")</x:f>
        <x:v>Jun 2026</x:v>
      </x:c>
    </x:row>
    <x:row r="1508" ht="21" customHeight="1">
      <x:c r="A1508" s="10" t="n">
        <x:v>46179</x:v>
      </x:c>
      <x:c r="B1508" s="1" t="n">
        <x:v>22</x:v>
      </x:c>
      <x:c r="C1508" s="1" t="n">
        <x:v>6</x:v>
      </x:c>
      <x:c r="D1508" s="12" t="n">
        <x:v>0</x:v>
      </x:c>
      <x:c r="E1508" s="12" t="n">
        <x:v>0.41966666666666663</x:v>
      </x:c>
      <x:c r="F1508" s="12" t="n">
        <x:v>0.41958333333333325</x:v>
      </x:c>
      <x:c r="G1508" s="12" t="n">
        <x:v>0</x:v>
      </x:c>
      <x:c r="H1508" s="1" t="n">
        <x:f>'Historical prices'!E1508</x:f>
        <x:v>1.05</x:v>
      </x:c>
      <x:c r="I1508" s="6" t="n">
        <x:f>'Historical prices'!D1508</x:f>
        <x:v>0.1892</x:v>
      </x:c>
      <x:c r="J1508" s="13" t="n">
        <x:f>D1508*I1508*H1508</x:f>
        <x:v>0</x:v>
      </x:c>
      <x:c r="K1508" s="13" t="n">
        <x:f>E1508*I1508*H1508</x:f>
        <x:v>0.08337098</x:v>
      </x:c>
      <x:c r="L1508" s="1" t="str">
        <x:f>TEXT(A1508,"mmm yyyy")</x:f>
        <x:v>Jun 2026</x:v>
      </x:c>
    </x:row>
    <x:row r="1509" ht="21" customHeight="1">
      <x:c r="A1509" s="10" t="n">
        <x:v>46179</x:v>
      </x:c>
      <x:c r="B1509" s="1" t="n">
        <x:v>22.5</x:v>
      </x:c>
      <x:c r="C1509" s="1" t="n">
        <x:v>6</x:v>
      </x:c>
      <x:c r="D1509" s="12" t="n">
        <x:v>0</x:v>
      </x:c>
      <x:c r="E1509" s="12" t="n">
        <x:v>0.2715833333333333</x:v>
      </x:c>
      <x:c r="F1509" s="12" t="n">
        <x:v>0.2715833333333333</x:v>
      </x:c>
      <x:c r="G1509" s="12" t="n">
        <x:v>0</x:v>
      </x:c>
      <x:c r="H1509" s="1" t="n">
        <x:f>'Historical prices'!E1509</x:f>
        <x:v>1.05</x:v>
      </x:c>
      <x:c r="I1509" s="6" t="n">
        <x:f>'Historical prices'!D1509</x:f>
        <x:v>0.1724</x:v>
      </x:c>
      <x:c r="J1509" s="13" t="n">
        <x:f>D1509*I1509*H1509</x:f>
        <x:v>0</x:v>
      </x:c>
      <x:c r="K1509" s="13" t="n">
        <x:f>E1509*I1509*H1509</x:f>
        <x:v>0.04916201499999999</x:v>
      </x:c>
      <x:c r="L1509" s="1" t="str">
        <x:f>TEXT(A1509,"mmm yyyy")</x:f>
        <x:v>Jun 2026</x:v>
      </x:c>
    </x:row>
    <x:row r="1510" ht="21" customHeight="1">
      <x:c r="A1510" s="10" t="n">
        <x:v>46179</x:v>
      </x:c>
      <x:c r="B1510" s="1" t="n">
        <x:v>23</x:v>
      </x:c>
      <x:c r="C1510" s="1" t="n">
        <x:v>6</x:v>
      </x:c>
      <x:c r="D1510" s="12" t="n">
        <x:v>0</x:v>
      </x:c>
      <x:c r="E1510" s="12" t="n">
        <x:v>0.2838333333333333</x:v>
      </x:c>
      <x:c r="F1510" s="12" t="n">
        <x:v>0.2838333333333333</x:v>
      </x:c>
      <x:c r="G1510" s="12" t="n">
        <x:v>0</x:v>
      </x:c>
      <x:c r="H1510" s="1" t="n">
        <x:f>'Historical prices'!E1510</x:f>
        <x:v>1.05</x:v>
      </x:c>
      <x:c r="I1510" s="6" t="n">
        <x:f>'Historical prices'!D1510</x:f>
        <x:v>0.1892</x:v>
      </x:c>
      <x:c r="J1510" s="13" t="n">
        <x:f>D1510*I1510*H1510</x:f>
        <x:v>0</x:v>
      </x:c>
      <x:c r="K1510" s="13" t="n">
        <x:f>E1510*I1510*H1510</x:f>
        <x:v>0.056386330000000005</x:v>
      </x:c>
      <x:c r="L1510" s="1" t="str">
        <x:f>TEXT(A1510,"mmm yyyy")</x:f>
        <x:v>Jun 2026</x:v>
      </x:c>
    </x:row>
    <x:row r="1511" ht="21" customHeight="1">
      <x:c r="A1511" s="10" t="n">
        <x:v>46179</x:v>
      </x:c>
      <x:c r="B1511" s="1" t="n">
        <x:v>23.5</x:v>
      </x:c>
      <x:c r="C1511" s="1" t="n">
        <x:v>6</x:v>
      </x:c>
      <x:c r="D1511" s="12" t="n">
        <x:v>0</x:v>
      </x:c>
      <x:c r="E1511" s="12" t="n">
        <x:v>0.20566666666666664</x:v>
      </x:c>
      <x:c r="F1511" s="12" t="n">
        <x:v>0.20566666666666664</x:v>
      </x:c>
      <x:c r="G1511" s="12" t="n">
        <x:v>0</x:v>
      </x:c>
      <x:c r="H1511" s="1" t="n">
        <x:f>'Historical prices'!E1511</x:f>
        <x:v>1.05</x:v>
      </x:c>
      <x:c r="I1511" s="6" t="n">
        <x:f>'Historical prices'!D1511</x:f>
        <x:v>0.1801</x:v>
      </x:c>
      <x:c r="J1511" s="13" t="n">
        <x:f>D1511*I1511*H1511</x:f>
        <x:v>0</x:v>
      </x:c>
      <x:c r="K1511" s="13" t="n">
        <x:f>E1511*I1511*H1511</x:f>
        <x:v>0.038892594999999995</x:v>
      </x:c>
      <x:c r="L1511" s="1" t="str">
        <x:f>TEXT(A1511,"mmm yyyy")</x:f>
        <x:v>Jun 2026</x:v>
      </x:c>
    </x:row>
    <x:row r="1512" ht="21" customHeight="1">
      <x:c r="A1512" s="10" t="n">
        <x:v>46180</x:v>
      </x:c>
      <x:c r="B1512" s="1" t="n">
        <x:v>0</x:v>
      </x:c>
      <x:c r="C1512" s="1" t="n">
        <x:v>6</x:v>
      </x:c>
      <x:c r="D1512" s="12" t="n">
        <x:v>0</x:v>
      </x:c>
      <x:c r="E1512" s="12" t="n">
        <x:v>0.24191666666666667</x:v>
      </x:c>
      <x:c r="F1512" s="12" t="n">
        <x:v>0.24191666666666667</x:v>
      </x:c>
      <x:c r="G1512" s="12" t="n">
        <x:v>0</x:v>
      </x:c>
      <x:c r="H1512" s="1" t="n">
        <x:f>'Historical prices'!E1512</x:f>
        <x:v>1.05</x:v>
      </x:c>
      <x:c r="I1512" s="6" t="n">
        <x:f>'Historical prices'!D1512</x:f>
        <x:v>0.16399999999999998</x:v>
      </x:c>
      <x:c r="J1512" s="13" t="n">
        <x:f>D1512*I1512*H1512</x:f>
        <x:v>0</x:v>
      </x:c>
      <x:c r="K1512" s="13" t="n">
        <x:f>E1512*I1512*H1512</x:f>
        <x:v>0.041658049999999995</x:v>
      </x:c>
      <x:c r="L1512" s="1" t="str">
        <x:f>TEXT(A1512,"mmm yyyy")</x:f>
        <x:v>Jun 2026</x:v>
      </x:c>
    </x:row>
    <x:row r="1513" ht="21" customHeight="1">
      <x:c r="A1513" s="10" t="n">
        <x:v>46180</x:v>
      </x:c>
      <x:c r="B1513" s="1" t="n">
        <x:v>0.5</x:v>
      </x:c>
      <x:c r="C1513" s="1" t="n">
        <x:v>6</x:v>
      </x:c>
      <x:c r="D1513" s="12" t="n">
        <x:v>0</x:v>
      </x:c>
      <x:c r="E1513" s="12" t="n">
        <x:v>0.35683333333333334</x:v>
      </x:c>
      <x:c r="F1513" s="12" t="n">
        <x:v>0.3565</x:v>
      </x:c>
      <x:c r="G1513" s="12" t="n">
        <x:v>0</x:v>
      </x:c>
      <x:c r="H1513" s="1" t="n">
        <x:f>'Historical prices'!E1513</x:f>
        <x:v>1.05</x:v>
      </x:c>
      <x:c r="I1513" s="6" t="n">
        <x:f>'Historical prices'!D1513</x:f>
        <x:v>0.1435</x:v>
      </x:c>
      <x:c r="J1513" s="13" t="n">
        <x:f>D1513*I1513*H1513</x:f>
        <x:v>0</x:v>
      </x:c>
      <x:c r="K1513" s="13" t="n">
        <x:f>E1513*I1513*H1513</x:f>
        <x:v>0.053765862500000004</x:v>
      </x:c>
      <x:c r="L1513" s="1" t="str">
        <x:f>TEXT(A1513,"mmm yyyy")</x:f>
        <x:v>Jun 2026</x:v>
      </x:c>
    </x:row>
    <x:row r="1514" ht="21" customHeight="1">
      <x:c r="A1514" s="10" t="n">
        <x:v>46180</x:v>
      </x:c>
      <x:c r="B1514" s="1" t="n">
        <x:v>1</x:v>
      </x:c>
      <x:c r="C1514" s="1" t="n">
        <x:v>6</x:v>
      </x:c>
      <x:c r="D1514" s="12" t="n">
        <x:v>0</x:v>
      </x:c>
      <x:c r="E1514" s="12" t="n">
        <x:v>0.26575</x:v>
      </x:c>
      <x:c r="F1514" s="12" t="n">
        <x:v>0.26575</x:v>
      </x:c>
      <x:c r="G1514" s="12" t="n">
        <x:v>0</x:v>
      </x:c>
      <x:c r="H1514" s="1" t="n">
        <x:f>'Historical prices'!E1514</x:f>
        <x:v>1.05</x:v>
      </x:c>
      <x:c r="I1514" s="6" t="n">
        <x:f>'Historical prices'!D1514</x:f>
        <x:v>0.1409</x:v>
      </x:c>
      <x:c r="J1514" s="13" t="n">
        <x:f>D1514*I1514*H1514</x:f>
        <x:v>0</x:v>
      </x:c>
      <x:c r="K1514" s="13" t="n">
        <x:f>E1514*I1514*H1514</x:f>
        <x:v>0.039316383749999996</x:v>
      </x:c>
      <x:c r="L1514" s="1" t="str">
        <x:f>TEXT(A1514,"mmm yyyy")</x:f>
        <x:v>Jun 2026</x:v>
      </x:c>
    </x:row>
    <x:row r="1515" ht="21" customHeight="1">
      <x:c r="A1515" s="10" t="n">
        <x:v>46180</x:v>
      </x:c>
      <x:c r="B1515" s="1" t="n">
        <x:v>1.5</x:v>
      </x:c>
      <x:c r="C1515" s="1" t="n">
        <x:v>6</x:v>
      </x:c>
      <x:c r="D1515" s="12" t="n">
        <x:v>0</x:v>
      </x:c>
      <x:c r="E1515" s="12" t="n">
        <x:v>0.24075</x:v>
      </x:c>
      <x:c r="F1515" s="12" t="n">
        <x:v>0.24066666666666664</x:v>
      </x:c>
      <x:c r="G1515" s="12" t="n">
        <x:v>0</x:v>
      </x:c>
      <x:c r="H1515" s="1" t="n">
        <x:f>'Historical prices'!E1515</x:f>
        <x:v>1.05</x:v>
      </x:c>
      <x:c r="I1515" s="6" t="n">
        <x:f>'Historical prices'!D1515</x:f>
        <x:v>0.1295</x:v>
      </x:c>
      <x:c r="J1515" s="13" t="n">
        <x:f>D1515*I1515*H1515</x:f>
        <x:v>0</x:v>
      </x:c>
      <x:c r="K1515" s="13" t="n">
        <x:f>E1515*I1515*H1515</x:f>
        <x:v>0.032735981250000004</x:v>
      </x:c>
      <x:c r="L1515" s="1" t="str">
        <x:f>TEXT(A1515,"mmm yyyy")</x:f>
        <x:v>Jun 2026</x:v>
      </x:c>
    </x:row>
    <x:row r="1516" ht="21" customHeight="1">
      <x:c r="A1516" s="10" t="n">
        <x:v>46180</x:v>
      </x:c>
      <x:c r="B1516" s="1" t="n">
        <x:v>2</x:v>
      </x:c>
      <x:c r="C1516" s="1" t="n">
        <x:v>6</x:v>
      </x:c>
      <x:c r="D1516" s="12" t="n">
        <x:v>0</x:v>
      </x:c>
      <x:c r="E1516" s="12" t="n">
        <x:v>0.2549166666666667</x:v>
      </x:c>
      <x:c r="F1516" s="12" t="n">
        <x:v>0.25483333333333336</x:v>
      </x:c>
      <x:c r="G1516" s="12" t="n">
        <x:v>0</x:v>
      </x:c>
      <x:c r="H1516" s="1" t="n">
        <x:f>'Historical prices'!E1516</x:f>
        <x:v>1.05</x:v>
      </x:c>
      <x:c r="I1516" s="6" t="n">
        <x:f>'Historical prices'!D1516</x:f>
        <x:v>0.1199</x:v>
      </x:c>
      <x:c r="J1516" s="13" t="n">
        <x:f>D1516*I1516*H1516</x:f>
        <x:v>0</x:v>
      </x:c>
      <x:c r="K1516" s="13" t="n">
        <x:f>E1516*I1516*H1516</x:f>
        <x:v>0.032092733750000005</x:v>
      </x:c>
      <x:c r="L1516" s="1" t="str">
        <x:f>TEXT(A1516,"mmm yyyy")</x:f>
        <x:v>Jun 2026</x:v>
      </x:c>
    </x:row>
    <x:row r="1517" ht="21" customHeight="1">
      <x:c r="A1517" s="10" t="n">
        <x:v>46180</x:v>
      </x:c>
      <x:c r="B1517" s="1" t="n">
        <x:v>2.5</x:v>
      </x:c>
      <x:c r="C1517" s="1" t="n">
        <x:v>6</x:v>
      </x:c>
      <x:c r="D1517" s="12" t="n">
        <x:v>0</x:v>
      </x:c>
      <x:c r="E1517" s="12" t="n">
        <x:v>0.22783333333333336</x:v>
      </x:c>
      <x:c r="F1517" s="12" t="n">
        <x:v>0.22774999999999998</x:v>
      </x:c>
      <x:c r="G1517" s="12" t="n">
        <x:v>0</x:v>
      </x:c>
      <x:c r="H1517" s="1" t="n">
        <x:f>'Historical prices'!E1517</x:f>
        <x:v>1.05</x:v>
      </x:c>
      <x:c r="I1517" s="6" t="n">
        <x:f>'Historical prices'!D1517</x:f>
        <x:v>0.10310000000000001</x:v>
      </x:c>
      <x:c r="J1517" s="13" t="n">
        <x:f>D1517*I1517*H1517</x:f>
        <x:v>0</x:v>
      </x:c>
      <x:c r="K1517" s="13" t="n">
        <x:f>E1517*I1517*H1517</x:f>
        <x:v>0.024664097500000006</x:v>
      </x:c>
      <x:c r="L1517" s="1" t="str">
        <x:f>TEXT(A1517,"mmm yyyy")</x:f>
        <x:v>Jun 2026</x:v>
      </x:c>
    </x:row>
    <x:row r="1518" ht="21" customHeight="1">
      <x:c r="A1518" s="10" t="n">
        <x:v>46180</x:v>
      </x:c>
      <x:c r="B1518" s="1" t="n">
        <x:v>3</x:v>
      </x:c>
      <x:c r="C1518" s="1" t="n">
        <x:v>6</x:v>
      </x:c>
      <x:c r="D1518" s="12" t="n">
        <x:v>0.12733333333333333</x:v>
      </x:c>
      <x:c r="E1518" s="12" t="n">
        <x:v>0.24633333333333338</x:v>
      </x:c>
      <x:c r="F1518" s="12" t="n">
        <x:v>0.16383333333333336</x:v>
      </x:c>
      <x:c r="G1518" s="12" t="n">
        <x:v>0.049</x:v>
      </x:c>
      <x:c r="H1518" s="1" t="n">
        <x:f>'Historical prices'!E1518</x:f>
        <x:v>1.05</x:v>
      </x:c>
      <x:c r="I1518" s="6" t="n">
        <x:f>'Historical prices'!D1518</x:f>
        <x:v>0.0933</x:v>
      </x:c>
      <x:c r="J1518" s="13" t="n">
        <x:f>D1518*I1518*H1518</x:f>
        <x:v>0.01247421</x:v>
      </x:c>
      <x:c r="K1518" s="13" t="n">
        <x:f>E1518*I1518*H1518</x:f>
        <x:v>0.024132045000000005</x:v>
      </x:c>
      <x:c r="L1518" s="1" t="str">
        <x:f>TEXT(A1518,"mmm yyyy")</x:f>
        <x:v>Jun 2026</x:v>
      </x:c>
    </x:row>
    <x:row r="1519" ht="21" customHeight="1">
      <x:c r="A1519" s="10" t="n">
        <x:v>46180</x:v>
      </x:c>
      <x:c r="B1519" s="1" t="n">
        <x:v>3.5</x:v>
      </x:c>
      <x:c r="C1519" s="1" t="n">
        <x:v>6</x:v>
      </x:c>
      <x:c r="D1519" s="12" t="n">
        <x:v>0.26799999999999996</x:v>
      </x:c>
      <x:c r="E1519" s="12" t="n">
        <x:v>0.24999999999999997</x:v>
      </x:c>
      <x:c r="F1519" s="12" t="n">
        <x:v>0</x:v>
      </x:c>
      <x:c r="G1519" s="12" t="n">
        <x:v>0.022</x:v>
      </x:c>
      <x:c r="H1519" s="1" t="n">
        <x:f>'Historical prices'!E1519</x:f>
        <x:v>1.05</x:v>
      </x:c>
      <x:c r="I1519" s="6" t="n">
        <x:f>'Historical prices'!D1519</x:f>
        <x:v>0.08</x:v>
      </x:c>
      <x:c r="J1519" s="13" t="n">
        <x:f>D1519*I1519*H1519</x:f>
        <x:v>0.022511999999999997</x:v>
      </x:c>
      <x:c r="K1519" s="13" t="n">
        <x:f>E1519*I1519*H1519</x:f>
        <x:v>0.020999999999999998</x:v>
      </x:c>
      <x:c r="L1519" s="1" t="str">
        <x:f>TEXT(A1519,"mmm yyyy")</x:f>
        <x:v>Jun 2026</x:v>
      </x:c>
    </x:row>
    <x:row r="1520" ht="21" customHeight="1">
      <x:c r="A1520" s="10" t="n">
        <x:v>46180</x:v>
      </x:c>
      <x:c r="B1520" s="1" t="n">
        <x:v>4</x:v>
      </x:c>
      <x:c r="C1520" s="1" t="n">
        <x:v>6</x:v>
      </x:c>
      <x:c r="D1520" s="12" t="n">
        <x:v>0.2558333333333333</x:v>
      </x:c>
      <x:c r="E1520" s="12" t="n">
        <x:v>0.2638333333333333</x:v>
      </x:c>
      <x:c r="F1520" s="12" t="n">
        <x:v>0</x:v>
      </x:c>
      <x:c r="G1520" s="12" t="n">
        <x:v>0</x:v>
      </x:c>
      <x:c r="H1520" s="1" t="n">
        <x:f>'Historical prices'!E1520</x:f>
        <x:v>1.05</x:v>
      </x:c>
      <x:c r="I1520" s="6" t="n">
        <x:f>'Historical prices'!D1520</x:f>
        <x:v>0.0506</x:v>
      </x:c>
      <x:c r="J1520" s="13" t="n">
        <x:f>D1520*I1520*H1520</x:f>
        <x:v>0.013592425</x:v>
      </x:c>
      <x:c r="K1520" s="13" t="n">
        <x:f>E1520*I1520*H1520</x:f>
        <x:v>0.014017465</x:v>
      </x:c>
      <x:c r="L1520" s="1" t="str">
        <x:f>TEXT(A1520,"mmm yyyy")</x:f>
        <x:v>Jun 2026</x:v>
      </x:c>
    </x:row>
    <x:row r="1521" ht="21" customHeight="1">
      <x:c r="A1521" s="10" t="n">
        <x:v>46180</x:v>
      </x:c>
      <x:c r="B1521" s="1" t="n">
        <x:v>4.5</x:v>
      </x:c>
      <x:c r="C1521" s="1" t="n">
        <x:v>6</x:v>
      </x:c>
      <x:c r="D1521" s="12" t="n">
        <x:v>0.21975</x:v>
      </x:c>
      <x:c r="E1521" s="12" t="n">
        <x:v>0.22475</x:v>
      </x:c>
      <x:c r="F1521" s="12" t="n">
        <x:v>0</x:v>
      </x:c>
      <x:c r="G1521" s="12" t="n">
        <x:v>0</x:v>
      </x:c>
      <x:c r="H1521" s="1" t="n">
        <x:f>'Historical prices'!E1521</x:f>
        <x:v>1.05</x:v>
      </x:c>
      <x:c r="I1521" s="6" t="n">
        <x:f>'Historical prices'!D1521</x:f>
        <x:v>0.021099999999999997</x:v>
      </x:c>
      <x:c r="J1521" s="13" t="n">
        <x:f>D1521*I1521*H1521</x:f>
        <x:v>0.004868561249999999</x:v>
      </x:c>
      <x:c r="K1521" s="13" t="n">
        <x:f>E1521*I1521*H1521</x:f>
        <x:v>0.004979336249999999</x:v>
      </x:c>
      <x:c r="L1521" s="1" t="str">
        <x:f>TEXT(A1521,"mmm yyyy")</x:f>
        <x:v>Jun 2026</x:v>
      </x:c>
    </x:row>
    <x:row r="1522" ht="21" customHeight="1">
      <x:c r="A1522" s="10" t="n">
        <x:v>46180</x:v>
      </x:c>
      <x:c r="B1522" s="1" t="n">
        <x:v>5</x:v>
      </x:c>
      <x:c r="C1522" s="1" t="n">
        <x:v>6</x:v>
      </x:c>
      <x:c r="D1522" s="12" t="n">
        <x:v>0.2813333333333333</x:v>
      </x:c>
      <x:c r="E1522" s="12" t="n">
        <x:v>0.28733333333333333</x:v>
      </x:c>
      <x:c r="F1522" s="12" t="n">
        <x:v>0</x:v>
      </x:c>
      <x:c r="G1522" s="12" t="n">
        <x:v>0</x:v>
      </x:c>
      <x:c r="H1522" s="1" t="n">
        <x:f>'Historical prices'!E1522</x:f>
        <x:v>1.05</x:v>
      </x:c>
      <x:c r="I1522" s="6" t="n">
        <x:f>'Historical prices'!D1522</x:f>
        <x:v>-0.003</x:v>
      </x:c>
      <x:c r="J1522" s="13" t="n">
        <x:f>D1522*I1522*H1522</x:f>
        <x:v>-0.0008862000000000001</x:v>
      </x:c>
      <x:c r="K1522" s="13" t="n">
        <x:f>E1522*I1522*H1522</x:f>
        <x:v>-0.0009051</x:v>
      </x:c>
      <x:c r="L1522" s="1" t="str">
        <x:f>TEXT(A1522,"mmm yyyy")</x:f>
        <x:v>Jun 2026</x:v>
      </x:c>
    </x:row>
    <x:row r="1523" ht="21" customHeight="1">
      <x:c r="A1523" s="10" t="n">
        <x:v>46180</x:v>
      </x:c>
      <x:c r="B1523" s="1" t="n">
        <x:v>5.5</x:v>
      </x:c>
      <x:c r="C1523" s="1" t="n">
        <x:v>6</x:v>
      </x:c>
      <x:c r="D1523" s="12" t="n">
        <x:v>4.3505</x:v>
      </x:c>
      <x:c r="E1523" s="12" t="n">
        <x:v>0.5805</x:v>
      </x:c>
      <x:c r="F1523" s="12" t="n">
        <x:v>0</x:v>
      </x:c>
      <x:c r="G1523" s="12" t="n">
        <x:v>3.7700000000000005</x:v>
      </x:c>
      <x:c r="H1523" s="1" t="n">
        <x:f>'Historical prices'!E1523</x:f>
        <x:v>1.05</x:v>
      </x:c>
      <x:c r="I1523" s="6" t="n">
        <x:f>'Historical prices'!D1523</x:f>
        <x:v>-0.0355</x:v>
      </x:c>
      <x:c r="J1523" s="13" t="n">
        <x:f>D1523*I1523*H1523</x:f>
        <x:v>-0.1621648875</x:v>
      </x:c>
      <x:c r="K1523" s="13" t="n">
        <x:f>E1523*I1523*H1523</x:f>
        <x:v>-0.021638137499999998</x:v>
      </x:c>
      <x:c r="L1523" s="1" t="str">
        <x:f>TEXT(A1523,"mmm yyyy")</x:f>
        <x:v>Jun 2026</x:v>
      </x:c>
    </x:row>
    <x:row r="1524" ht="21" customHeight="1">
      <x:c r="A1524" s="10" t="n">
        <x:v>46180</x:v>
      </x:c>
      <x:c r="B1524" s="1" t="n">
        <x:v>6</x:v>
      </x:c>
      <x:c r="C1524" s="1" t="n">
        <x:v>6</x:v>
      </x:c>
      <x:c r="D1524" s="12" t="n">
        <x:v>0.8424166666666667</x:v>
      </x:c>
      <x:c r="E1524" s="12" t="n">
        <x:v>0.29974999999999996</x:v>
      </x:c>
      <x:c r="F1524" s="12" t="n">
        <x:v>0.22683333333333333</x:v>
      </x:c>
      <x:c r="G1524" s="12" t="n">
        <x:v>0.771</x:v>
      </x:c>
      <x:c r="H1524" s="1" t="n">
        <x:f>'Historical prices'!E1524</x:f>
        <x:v>1.05</x:v>
      </x:c>
      <x:c r="I1524" s="6" t="n">
        <x:f>'Historical prices'!D1524</x:f>
        <x:v>-0.0106</x:v>
      </x:c>
      <x:c r="J1524" s="13" t="n">
        <x:f>D1524*I1524*H1524</x:f>
        <x:v>-0.009376097500000001</x:v>
      </x:c>
      <x:c r="K1524" s="13" t="n">
        <x:f>E1524*I1524*H1524</x:f>
        <x:v>-0.0033362175</x:v>
      </x:c>
      <x:c r="L1524" s="1" t="str">
        <x:f>TEXT(A1524,"mmm yyyy")</x:f>
        <x:v>Jun 2026</x:v>
      </x:c>
    </x:row>
    <x:row r="1525" ht="21" customHeight="1">
      <x:c r="A1525" s="10" t="n">
        <x:v>46180</x:v>
      </x:c>
      <x:c r="B1525" s="1" t="n">
        <x:v>6.5</x:v>
      </x:c>
      <x:c r="C1525" s="1" t="n">
        <x:v>6</x:v>
      </x:c>
      <x:c r="D1525" s="12" t="n">
        <x:v>0</x:v>
      </x:c>
      <x:c r="E1525" s="12" t="n">
        <x:v>0.5110833333333333</x:v>
      </x:c>
      <x:c r="F1525" s="12" t="n">
        <x:v>0.5108333333333334</x:v>
      </x:c>
      <x:c r="G1525" s="12" t="n">
        <x:v>0</x:v>
      </x:c>
      <x:c r="H1525" s="1" t="n">
        <x:f>'Historical prices'!E1525</x:f>
        <x:v>1.05</x:v>
      </x:c>
      <x:c r="I1525" s="6" t="n">
        <x:f>'Historical prices'!D1525</x:f>
        <x:v>-0.0166</x:v>
      </x:c>
      <x:c r="J1525" s="13" t="n">
        <x:f>D1525*I1525*H1525</x:f>
        <x:v>0</x:v>
      </x:c>
      <x:c r="K1525" s="13" t="n">
        <x:f>E1525*I1525*H1525</x:f>
        <x:v>-0.0089081825</x:v>
      </x:c>
      <x:c r="L1525" s="1" t="str">
        <x:f>TEXT(A1525,"mmm yyyy")</x:f>
        <x:v>Jun 2026</x:v>
      </x:c>
    </x:row>
    <x:row r="1526" ht="21" customHeight="1">
      <x:c r="A1526" s="10" t="n">
        <x:v>46180</x:v>
      </x:c>
      <x:c r="B1526" s="1" t="n">
        <x:v>7</x:v>
      </x:c>
      <x:c r="C1526" s="1" t="n">
        <x:v>6</x:v>
      </x:c>
      <x:c r="D1526" s="12" t="n">
        <x:v>0</x:v>
      </x:c>
      <x:c r="E1526" s="12" t="n">
        <x:v>0.6509166666666667</x:v>
      </x:c>
      <x:c r="F1526" s="12" t="n">
        <x:v>0.6508333333333334</x:v>
      </x:c>
      <x:c r="G1526" s="12" t="n">
        <x:v>0</x:v>
      </x:c>
      <x:c r="H1526" s="1" t="n">
        <x:f>'Historical prices'!E1526</x:f>
        <x:v>1.05</x:v>
      </x:c>
      <x:c r="I1526" s="6" t="n">
        <x:f>'Historical prices'!D1526</x:f>
        <x:v>-0.026000000000000002</x:v>
      </x:c>
      <x:c r="J1526" s="13" t="n">
        <x:f>D1526*I1526*H1526</x:f>
        <x:v>0</x:v>
      </x:c>
      <x:c r="K1526" s="13" t="n">
        <x:f>E1526*I1526*H1526</x:f>
        <x:v>-0.017770025000000002</x:v>
      </x:c>
      <x:c r="L1526" s="1" t="str">
        <x:f>TEXT(A1526,"mmm yyyy")</x:f>
        <x:v>Jun 2026</x:v>
      </x:c>
    </x:row>
    <x:row r="1527" ht="21" customHeight="1">
      <x:c r="A1527" s="10" t="n">
        <x:v>46180</x:v>
      </x:c>
      <x:c r="B1527" s="1" t="n">
        <x:v>7.5</x:v>
      </x:c>
      <x:c r="C1527" s="1" t="n">
        <x:v>6</x:v>
      </x:c>
      <x:c r="D1527" s="12" t="n">
        <x:v>0.42774999999999996</x:v>
      </x:c>
      <x:c r="E1527" s="12" t="n">
        <x:v>0.6506666666666666</x:v>
      </x:c>
      <x:c r="F1527" s="12" t="n">
        <x:v>0.21891666666666668</x:v>
      </x:c>
      <x:c r="G1527" s="12" t="n">
        <x:v>0</x:v>
      </x:c>
      <x:c r="H1527" s="1" t="n">
        <x:f>'Historical prices'!E1527</x:f>
        <x:v>1.05</x:v>
      </x:c>
      <x:c r="I1527" s="6" t="n">
        <x:f>'Historical prices'!D1527</x:f>
        <x:v>-0.028300000000000002</x:v>
      </x:c>
      <x:c r="J1527" s="13" t="n">
        <x:f>D1527*I1527*H1527</x:f>
        <x:v>-0.01271059125</x:v>
      </x:c>
      <x:c r="K1527" s="13" t="n">
        <x:f>E1527*I1527*H1527</x:f>
        <x:v>-0.01933456</x:v>
      </x:c>
      <x:c r="L1527" s="1" t="str">
        <x:f>TEXT(A1527,"mmm yyyy")</x:f>
        <x:v>Jun 2026</x:v>
      </x:c>
    </x:row>
    <x:row r="1528" ht="21" customHeight="1">
      <x:c r="A1528" s="10" t="n">
        <x:v>46180</x:v>
      </x:c>
      <x:c r="B1528" s="1" t="n">
        <x:v>8</x:v>
      </x:c>
      <x:c r="C1528" s="1" t="n">
        <x:v>6</x:v>
      </x:c>
      <x:c r="D1528" s="12" t="n">
        <x:v>0.15</x:v>
      </x:c>
      <x:c r="E1528" s="12" t="n">
        <x:v>0.45983333333333337</x:v>
      </x:c>
      <x:c r="F1528" s="12" t="n">
        <x:v>0.3098333333333333</x:v>
      </x:c>
      <x:c r="G1528" s="12" t="n">
        <x:v>0</x:v>
      </x:c>
      <x:c r="H1528" s="1" t="n">
        <x:f>'Historical prices'!E1528</x:f>
        <x:v>1.05</x:v>
      </x:c>
      <x:c r="I1528" s="6" t="n">
        <x:f>'Historical prices'!D1528</x:f>
        <x:v>-0.0274</x:v>
      </x:c>
      <x:c r="J1528" s="13" t="n">
        <x:f>D1528*I1528*H1528</x:f>
        <x:v>-0.0043155</x:v>
      </x:c>
      <x:c r="K1528" s="13" t="n">
        <x:f>E1528*I1528*H1528</x:f>
        <x:v>-0.013229405000000003</x:v>
      </x:c>
      <x:c r="L1528" s="1" t="str">
        <x:f>TEXT(A1528,"mmm yyyy")</x:f>
        <x:v>Jun 2026</x:v>
      </x:c>
    </x:row>
    <x:row r="1529" ht="21" customHeight="1">
      <x:c r="A1529" s="10" t="n">
        <x:v>46180</x:v>
      </x:c>
      <x:c r="B1529" s="1" t="n">
        <x:v>8.5</x:v>
      </x:c>
      <x:c r="C1529" s="1" t="n">
        <x:v>6</x:v>
      </x:c>
      <x:c r="D1529" s="12" t="n">
        <x:v>0.059083333333333335</x:v>
      </x:c>
      <x:c r="E1529" s="12" t="n">
        <x:v>0.5198333333333333</x:v>
      </x:c>
      <x:c r="F1529" s="12" t="n">
        <x:v>0.4606666666666666</x:v>
      </x:c>
      <x:c r="G1529" s="12" t="n">
        <x:v>0</x:v>
      </x:c>
      <x:c r="H1529" s="1" t="n">
        <x:f>'Historical prices'!E1529</x:f>
        <x:v>1.05</x:v>
      </x:c>
      <x:c r="I1529" s="6" t="n">
        <x:f>'Historical prices'!D1529</x:f>
        <x:v>-0.024</x:v>
      </x:c>
      <x:c r="J1529" s="13" t="n">
        <x:f>D1529*I1529*H1529</x:f>
        <x:v>-0.0014889</x:v>
      </x:c>
      <x:c r="K1529" s="13" t="n">
        <x:f>E1529*I1529*H1529</x:f>
        <x:v>-0.0130998</x:v>
      </x:c>
      <x:c r="L1529" s="1" t="str">
        <x:f>TEXT(A1529,"mmm yyyy")</x:f>
        <x:v>Jun 2026</x:v>
      </x:c>
    </x:row>
    <x:row r="1530" ht="21" customHeight="1">
      <x:c r="A1530" s="10" t="n">
        <x:v>46180</x:v>
      </x:c>
      <x:c r="B1530" s="1" t="n">
        <x:v>9</x:v>
      </x:c>
      <x:c r="C1530" s="1" t="n">
        <x:v>6</x:v>
      </x:c>
      <x:c r="D1530" s="12" t="n">
        <x:v>0</x:v>
      </x:c>
      <x:c r="E1530" s="12" t="n">
        <x:v>0.4965833333333334</x:v>
      </x:c>
      <x:c r="F1530" s="12" t="n">
        <x:v>0.49650000000000005</x:v>
      </x:c>
      <x:c r="G1530" s="12" t="n">
        <x:v>0</x:v>
      </x:c>
      <x:c r="H1530" s="1" t="n">
        <x:f>'Historical prices'!E1530</x:f>
        <x:v>1.05</x:v>
      </x:c>
      <x:c r="I1530" s="6" t="n">
        <x:f>'Historical prices'!D1530</x:f>
        <x:v>-0.0252</x:v>
      </x:c>
      <x:c r="J1530" s="13" t="n">
        <x:f>D1530*I1530*H1530</x:f>
        <x:v>0</x:v>
      </x:c>
      <x:c r="K1530" s="13" t="n">
        <x:f>E1530*I1530*H1530</x:f>
        <x:v>-0.013139595000000002</x:v>
      </x:c>
      <x:c r="L1530" s="1" t="str">
        <x:f>TEXT(A1530,"mmm yyyy")</x:f>
        <x:v>Jun 2026</x:v>
      </x:c>
    </x:row>
    <x:row r="1531" ht="21" customHeight="1">
      <x:c r="A1531" s="10" t="n">
        <x:v>46180</x:v>
      </x:c>
      <x:c r="B1531" s="1" t="n">
        <x:v>9.5</x:v>
      </x:c>
      <x:c r="C1531" s="1" t="n">
        <x:v>6</x:v>
      </x:c>
      <x:c r="D1531" s="12" t="n">
        <x:v>0</x:v>
      </x:c>
      <x:c r="E1531" s="12" t="n">
        <x:v>0.5135833333333334</x:v>
      </x:c>
      <x:c r="F1531" s="12" t="n">
        <x:v>0.5133333333333334</x:v>
      </x:c>
      <x:c r="G1531" s="12" t="n">
        <x:v>0</x:v>
      </x:c>
      <x:c r="H1531" s="1" t="n">
        <x:f>'Historical prices'!E1531</x:f>
        <x:v>1.05</x:v>
      </x:c>
      <x:c r="I1531" s="6" t="n">
        <x:f>'Historical prices'!D1531</x:f>
        <x:v>-0.028999999999999998</x:v>
      </x:c>
      <x:c r="J1531" s="13" t="n">
        <x:f>D1531*I1531*H1531</x:f>
        <x:v>0</x:v>
      </x:c>
      <x:c r="K1531" s="13" t="n">
        <x:f>E1531*I1531*H1531</x:f>
        <x:v>-0.015638612500000003</x:v>
      </x:c>
      <x:c r="L1531" s="1" t="str">
        <x:f>TEXT(A1531,"mmm yyyy")</x:f>
        <x:v>Jun 2026</x:v>
      </x:c>
    </x:row>
    <x:row r="1532" ht="21" customHeight="1">
      <x:c r="A1532" s="10" t="n">
        <x:v>46180</x:v>
      </x:c>
      <x:c r="B1532" s="1" t="n">
        <x:v>10</x:v>
      </x:c>
      <x:c r="C1532" s="1" t="n">
        <x:v>6</x:v>
      </x:c>
      <x:c r="D1532" s="12" t="n">
        <x:v>0.2951666666666667</x:v>
      </x:c>
      <x:c r="E1532" s="12" t="n">
        <x:v>0.3651666666666667</x:v>
      </x:c>
      <x:c r="F1532" s="12" t="n">
        <x:v>0.062</x:v>
      </x:c>
      <x:c r="G1532" s="12" t="n">
        <x:v>0</x:v>
      </x:c>
      <x:c r="H1532" s="1" t="n">
        <x:f>'Historical prices'!E1532</x:f>
        <x:v>1.05</x:v>
      </x:c>
      <x:c r="I1532" s="6" t="n">
        <x:f>'Historical prices'!D1532</x:f>
        <x:v>-0.0334</x:v>
      </x:c>
      <x:c r="J1532" s="13" t="n">
        <x:f>D1532*I1532*H1532</x:f>
        <x:v>-0.010351495</x:v>
      </x:c>
      <x:c r="K1532" s="13" t="n">
        <x:f>E1532*I1532*H1532</x:f>
        <x:v>-0.012806395000000002</x:v>
      </x:c>
      <x:c r="L1532" s="1" t="str">
        <x:f>TEXT(A1532,"mmm yyyy")</x:f>
        <x:v>Jun 2026</x:v>
      </x:c>
    </x:row>
    <x:row r="1533" ht="21" customHeight="1">
      <x:c r="A1533" s="10" t="n">
        <x:v>46180</x:v>
      </x:c>
      <x:c r="B1533" s="1" t="n">
        <x:v>10.5</x:v>
      </x:c>
      <x:c r="C1533" s="1" t="n">
        <x:v>6</x:v>
      </x:c>
      <x:c r="D1533" s="12" t="n">
        <x:v>0.48783333333333334</x:v>
      </x:c>
      <x:c r="E1533" s="12" t="n">
        <x:v>0.4988333333333333</x:v>
      </x:c>
      <x:c r="F1533" s="12" t="n">
        <x:v>0</x:v>
      </x:c>
      <x:c r="G1533" s="12" t="n">
        <x:v>0</x:v>
      </x:c>
      <x:c r="H1533" s="1" t="n">
        <x:f>'Historical prices'!E1533</x:f>
        <x:v>1.05</x:v>
      </x:c>
      <x:c r="I1533" s="6" t="n">
        <x:f>'Historical prices'!D1533</x:f>
        <x:v>-0.0334</x:v>
      </x:c>
      <x:c r="J1533" s="13" t="n">
        <x:f>D1533*I1533*H1533</x:f>
        <x:v>-0.017108315</x:v>
      </x:c>
      <x:c r="K1533" s="13" t="n">
        <x:f>E1533*I1533*H1533</x:f>
        <x:v>-0.017494085</x:v>
      </x:c>
      <x:c r="L1533" s="1" t="str">
        <x:f>TEXT(A1533,"mmm yyyy")</x:f>
        <x:v>Jun 2026</x:v>
      </x:c>
    </x:row>
    <x:row r="1534" ht="21" customHeight="1">
      <x:c r="A1534" s="10" t="n">
        <x:v>46180</x:v>
      </x:c>
      <x:c r="B1534" s="1" t="n">
        <x:v>11</x:v>
      </x:c>
      <x:c r="C1534" s="1" t="n">
        <x:v>6</x:v>
      </x:c>
      <x:c r="D1534" s="12" t="n">
        <x:v>1.0069166666666667</x:v>
      </x:c>
      <x:c r="E1534" s="12" t="n">
        <x:v>0.46791666666666665</x:v>
      </x:c>
      <x:c r="F1534" s="12" t="n">
        <x:v>0</x:v>
      </x:c>
      <x:c r="G1534" s="12" t="n">
        <x:v>0.546</x:v>
      </x:c>
      <x:c r="H1534" s="1" t="n">
        <x:f>'Historical prices'!E1534</x:f>
        <x:v>1.05</x:v>
      </x:c>
      <x:c r="I1534" s="6" t="n">
        <x:f>'Historical prices'!D1534</x:f>
        <x:v>-0.037599999999999995</x:v>
      </x:c>
      <x:c r="J1534" s="13" t="n">
        <x:f>D1534*I1534*H1534</x:f>
        <x:v>-0.03975307</x:v>
      </x:c>
      <x:c r="K1534" s="13" t="n">
        <x:f>E1534*I1534*H1534</x:f>
        <x:v>-0.018473349999999996</x:v>
      </x:c>
      <x:c r="L1534" s="1" t="str">
        <x:f>TEXT(A1534,"mmm yyyy")</x:f>
        <x:v>Jun 2026</x:v>
      </x:c>
    </x:row>
    <x:row r="1535" ht="21" customHeight="1">
      <x:c r="A1535" s="10" t="n">
        <x:v>46180</x:v>
      </x:c>
      <x:c r="B1535" s="1" t="n">
        <x:v>11.5</x:v>
      </x:c>
      <x:c r="C1535" s="1" t="n">
        <x:v>6</x:v>
      </x:c>
      <x:c r="D1535" s="12" t="n">
        <x:v>0.38075</x:v>
      </x:c>
      <x:c r="E1535" s="12" t="n">
        <x:v>0.44266666666666665</x:v>
      </x:c>
      <x:c r="F1535" s="12" t="n">
        <x:v>0.35983333333333334</x:v>
      </x:c>
      <x:c r="G1535" s="12" t="n">
        <x:v>0.298</x:v>
      </x:c>
      <x:c r="H1535" s="1" t="n">
        <x:f>'Historical prices'!E1535</x:f>
        <x:v>1.05</x:v>
      </x:c>
      <x:c r="I1535" s="6" t="n">
        <x:f>'Historical prices'!D1535</x:f>
        <x:v>-0.0313</x:v>
      </x:c>
      <x:c r="J1535" s="13" t="n">
        <x:f>D1535*I1535*H1535</x:f>
        <x:v>-0.01251334875</x:v>
      </x:c>
      <x:c r="K1535" s="13" t="n">
        <x:f>E1535*I1535*H1535</x:f>
        <x:v>-0.01454824</x:v>
      </x:c>
      <x:c r="L1535" s="1" t="str">
        <x:f>TEXT(A1535,"mmm yyyy")</x:f>
        <x:v>Jun 2026</x:v>
      </x:c>
    </x:row>
    <x:row r="1536" ht="21" customHeight="1">
      <x:c r="A1536" s="10" t="n">
        <x:v>46180</x:v>
      </x:c>
      <x:c r="B1536" s="1" t="n">
        <x:v>12</x:v>
      </x:c>
      <x:c r="C1536" s="1" t="n">
        <x:v>6</x:v>
      </x:c>
      <x:c r="D1536" s="12" t="n">
        <x:v>4.26125</x:v>
      </x:c>
      <x:c r="E1536" s="12" t="n">
        <x:v>0.61425</x:v>
      </x:c>
      <x:c r="F1536" s="12" t="n">
        <x:v>0.077</x:v>
      </x:c>
      <x:c r="G1536" s="12" t="n">
        <x:v>3.724</x:v>
      </x:c>
      <x:c r="H1536" s="1" t="n">
        <x:f>'Historical prices'!E1536</x:f>
        <x:v>1.05</x:v>
      </x:c>
      <x:c r="I1536" s="6" t="n">
        <x:f>'Historical prices'!D1536</x:f>
        <x:v>-0.037599999999999995</x:v>
      </x:c>
      <x:c r="J1536" s="13" t="n">
        <x:f>D1536*I1536*H1536</x:f>
        <x:v>-0.16823415</x:v>
      </x:c>
      <x:c r="K1536" s="13" t="n">
        <x:f>E1536*I1536*H1536</x:f>
        <x:v>-0.024250589999999995</x:v>
      </x:c>
      <x:c r="L1536" s="1" t="str">
        <x:f>TEXT(A1536,"mmm yyyy")</x:f>
        <x:v>Jun 2026</x:v>
      </x:c>
    </x:row>
    <x:row r="1537" ht="21" customHeight="1">
      <x:c r="A1537" s="10" t="n">
        <x:v>46180</x:v>
      </x:c>
      <x:c r="B1537" s="1" t="n">
        <x:v>12.5</x:v>
      </x:c>
      <x:c r="C1537" s="1" t="n">
        <x:v>6</x:v>
      </x:c>
      <x:c r="D1537" s="12" t="n">
        <x:v>5.142166666666666</x:v>
      </x:c>
      <x:c r="E1537" s="12" t="n">
        <x:v>0.5901666666666667</x:v>
      </x:c>
      <x:c r="F1537" s="12" t="n">
        <x:v>0</x:v>
      </x:c>
      <x:c r="G1537" s="12" t="n">
        <x:v>4.552</x:v>
      </x:c>
      <x:c r="H1537" s="1" t="n">
        <x:f>'Historical prices'!E1537</x:f>
        <x:v>1.05</x:v>
      </x:c>
      <x:c r="I1537" s="6" t="n">
        <x:f>'Historical prices'!D1537</x:f>
        <x:v>-0.045599999999999995</x:v>
      </x:c>
      <x:c r="J1537" s="13" t="n">
        <x:f>D1537*I1537*H1537</x:f>
        <x:v>-0.24620693999999999</x:v>
      </x:c>
      <x:c r="K1537" s="13" t="n">
        <x:f>E1537*I1537*H1537</x:f>
        <x:v>-0.028257180000000003</x:v>
      </x:c>
      <x:c r="L1537" s="1" t="str">
        <x:f>TEXT(A1537,"mmm yyyy")</x:f>
        <x:v>Jun 2026</x:v>
      </x:c>
    </x:row>
    <x:row r="1538" ht="21" customHeight="1">
      <x:c r="A1538" s="10" t="n">
        <x:v>46180</x:v>
      </x:c>
      <x:c r="B1538" s="1" t="n">
        <x:v>13</x:v>
      </x:c>
      <x:c r="C1538" s="1" t="n">
        <x:v>6</x:v>
      </x:c>
      <x:c r="D1538" s="12" t="n">
        <x:v>5.089666666666666</x:v>
      </x:c>
      <x:c r="E1538" s="12" t="n">
        <x:v>0.6596666666666666</x:v>
      </x:c>
      <x:c r="F1538" s="12" t="n">
        <x:v>0</x:v>
      </x:c>
      <x:c r="G1538" s="12" t="n">
        <x:v>4.43</x:v>
      </x:c>
      <x:c r="H1538" s="1" t="n">
        <x:f>'Historical prices'!E1538</x:f>
        <x:v>1.05</x:v>
      </x:c>
      <x:c r="I1538" s="6" t="n">
        <x:f>'Historical prices'!D1538</x:f>
        <x:v>-0.0416</x:v>
      </x:c>
      <x:c r="J1538" s="13" t="n">
        <x:f>D1538*I1538*H1538</x:f>
        <x:v>-0.22231663999999995</x:v>
      </x:c>
      <x:c r="K1538" s="13" t="n">
        <x:f>E1538*I1538*H1538</x:f>
        <x:v>-0.028814239999999998</x:v>
      </x:c>
      <x:c r="L1538" s="1" t="str">
        <x:f>TEXT(A1538,"mmm yyyy")</x:f>
        <x:v>Jun 2026</x:v>
      </x:c>
    </x:row>
    <x:row r="1539" ht="21" customHeight="1">
      <x:c r="A1539" s="10" t="n">
        <x:v>46180</x:v>
      </x:c>
      <x:c r="B1539" s="1" t="n">
        <x:v>13.5</x:v>
      </x:c>
      <x:c r="C1539" s="1" t="n">
        <x:v>6</x:v>
      </x:c>
      <x:c r="D1539" s="12" t="n">
        <x:v>5.444083333333333</x:v>
      </x:c>
      <x:c r="E1539" s="12" t="n">
        <x:v>0.6810833333333333</x:v>
      </x:c>
      <x:c r="F1539" s="12" t="n">
        <x:v>0</x:v>
      </x:c>
      <x:c r="G1539" s="12" t="n">
        <x:v>4.763000000000001</x:v>
      </x:c>
      <x:c r="H1539" s="1" t="n">
        <x:f>'Historical prices'!E1539</x:f>
        <x:v>1.05</x:v>
      </x:c>
      <x:c r="I1539" s="6" t="n">
        <x:f>'Historical prices'!D1539</x:f>
        <x:v>-0.038</x:v>
      </x:c>
      <x:c r="J1539" s="13" t="n">
        <x:f>D1539*I1539*H1539</x:f>
        <x:v>-0.217218925</x:v>
      </x:c>
      <x:c r="K1539" s="13" t="n">
        <x:f>E1539*I1539*H1539</x:f>
        <x:v>-0.027175224999999997</x:v>
      </x:c>
      <x:c r="L1539" s="1" t="str">
        <x:f>TEXT(A1539,"mmm yyyy")</x:f>
        <x:v>Jun 2026</x:v>
      </x:c>
    </x:row>
    <x:row r="1540" ht="21" customHeight="1">
      <x:c r="A1540" s="10" t="n">
        <x:v>46180</x:v>
      </x:c>
      <x:c r="B1540" s="1" t="n">
        <x:v>14</x:v>
      </x:c>
      <x:c r="C1540" s="1" t="n">
        <x:v>6</x:v>
      </x:c>
      <x:c r="D1540" s="12" t="n">
        <x:v>5.381833333333334</x:v>
      </x:c>
      <x:c r="E1540" s="12" t="n">
        <x:v>0.6568333333333334</x:v>
      </x:c>
      <x:c r="F1540" s="12" t="n">
        <x:v>0</x:v>
      </x:c>
      <x:c r="G1540" s="12" t="n">
        <x:v>4.7250000000000005</x:v>
      </x:c>
      <x:c r="H1540" s="1" t="n">
        <x:f>'Historical prices'!E1540</x:f>
        <x:v>1.05</x:v>
      </x:c>
      <x:c r="I1540" s="6" t="n">
        <x:f>'Historical prices'!D1540</x:f>
        <x:v>-0.037599999999999995</x:v>
      </x:c>
      <x:c r="J1540" s="13" t="n">
        <x:f>D1540*I1540*H1540</x:f>
        <x:v>-0.21247478</x:v>
      </x:c>
      <x:c r="K1540" s="13" t="n">
        <x:f>E1540*I1540*H1540</x:f>
        <x:v>-0.025931779999999998</x:v>
      </x:c>
      <x:c r="L1540" s="1" t="str">
        <x:f>TEXT(A1540,"mmm yyyy")</x:f>
        <x:v>Jun 2026</x:v>
      </x:c>
    </x:row>
    <x:row r="1541" ht="21" customHeight="1">
      <x:c r="A1541" s="10" t="n">
        <x:v>46180</x:v>
      </x:c>
      <x:c r="B1541" s="1" t="n">
        <x:v>14.5</x:v>
      </x:c>
      <x:c r="C1541" s="1" t="n">
        <x:v>6</x:v>
      </x:c>
      <x:c r="D1541" s="12" t="n">
        <x:v>5.06925</x:v>
      </x:c>
      <x:c r="E1541" s="12" t="n">
        <x:v>0.59325</x:v>
      </x:c>
      <x:c r="F1541" s="12" t="n">
        <x:v>0</x:v>
      </x:c>
      <x:c r="G1541" s="12" t="n">
        <x:v>4.476</x:v>
      </x:c>
      <x:c r="H1541" s="1" t="n">
        <x:f>'Historical prices'!E1541</x:f>
        <x:v>1.05</x:v>
      </x:c>
      <x:c r="I1541" s="6" t="n">
        <x:f>'Historical prices'!D1541</x:f>
        <x:v>-0.037599999999999995</x:v>
      </x:c>
      <x:c r="J1541" s="13" t="n">
        <x:f>D1541*I1541*H1541</x:f>
        <x:v>-0.20013399</x:v>
      </x:c>
      <x:c r="K1541" s="13" t="n">
        <x:f>E1541*I1541*H1541</x:f>
        <x:v>-0.02342151</x:v>
      </x:c>
      <x:c r="L1541" s="1" t="str">
        <x:f>TEXT(A1541,"mmm yyyy")</x:f>
        <x:v>Jun 2026</x:v>
      </x:c>
    </x:row>
    <x:row r="1542" ht="21" customHeight="1">
      <x:c r="A1542" s="10" t="n">
        <x:v>46180</x:v>
      </x:c>
      <x:c r="B1542" s="1" t="n">
        <x:v>15</x:v>
      </x:c>
      <x:c r="C1542" s="1" t="n">
        <x:v>6</x:v>
      </x:c>
      <x:c r="D1542" s="12" t="n">
        <x:v>2.7274166666666666</x:v>
      </x:c>
      <x:c r="E1542" s="12" t="n">
        <x:v>0.4224166666666667</x:v>
      </x:c>
      <x:c r="F1542" s="12" t="n">
        <x:v>0</x:v>
      </x:c>
      <x:c r="G1542" s="12" t="n">
        <x:v>2.305</x:v>
      </x:c>
      <x:c r="H1542" s="1" t="n">
        <x:f>'Historical prices'!E1542</x:f>
        <x:v>1.05</x:v>
      </x:c>
      <x:c r="I1542" s="6" t="n">
        <x:f>'Historical prices'!D1542</x:f>
        <x:v>-0.0313</x:v>
      </x:c>
      <x:c r="J1542" s="13" t="n">
        <x:f>D1542*I1542*H1542</x:f>
        <x:v>-0.08963654875000002</x:v>
      </x:c>
      <x:c r="K1542" s="13" t="n">
        <x:f>E1542*I1542*H1542</x:f>
        <x:v>-0.013882723750000003</x:v>
      </x:c>
      <x:c r="L1542" s="1" t="str">
        <x:f>TEXT(A1542,"mmm yyyy")</x:f>
        <x:v>Jun 2026</x:v>
      </x:c>
    </x:row>
    <x:row r="1543" ht="21" customHeight="1">
      <x:c r="A1543" s="10" t="n">
        <x:v>46180</x:v>
      </x:c>
      <x:c r="B1543" s="1" t="n">
        <x:v>15.5</x:v>
      </x:c>
      <x:c r="C1543" s="1" t="n">
        <x:v>6</x:v>
      </x:c>
      <x:c r="D1543" s="12" t="n">
        <x:v>1.04775</x:v>
      </x:c>
      <x:c r="E1543" s="12" t="n">
        <x:v>0.43374999999999997</x:v>
      </x:c>
      <x:c r="F1543" s="12" t="n">
        <x:v>0</x:v>
      </x:c>
      <x:c r="G1543" s="12" t="n">
        <x:v>0.6140000000000001</x:v>
      </x:c>
      <x:c r="H1543" s="1" t="n">
        <x:f>'Historical prices'!E1543</x:f>
        <x:v>1.05</x:v>
      </x:c>
      <x:c r="I1543" s="6" t="n">
        <x:f>'Historical prices'!D1543</x:f>
        <x:v>-0.0265</x:v>
      </x:c>
      <x:c r="J1543" s="13" t="n">
        <x:f>D1543*I1543*H1543</x:f>
        <x:v>-0.02915364375</x:v>
      </x:c>
      <x:c r="K1543" s="13" t="n">
        <x:f>E1543*I1543*H1543</x:f>
        <x:v>-0.012069093749999999</x:v>
      </x:c>
      <x:c r="L1543" s="1" t="str">
        <x:f>TEXT(A1543,"mmm yyyy")</x:f>
        <x:v>Jun 2026</x:v>
      </x:c>
    </x:row>
    <x:row r="1544" ht="21" customHeight="1">
      <x:c r="A1544" s="10" t="n">
        <x:v>46180</x:v>
      </x:c>
      <x:c r="B1544" s="1" t="n">
        <x:v>16</x:v>
      </x:c>
      <x:c r="C1544" s="1" t="n">
        <x:v>6</x:v>
      </x:c>
      <x:c r="D1544" s="12" t="n">
        <x:v>0.3208333333333333</x:v>
      </x:c>
      <x:c r="E1544" s="12" t="n">
        <x:v>0.30383333333333334</x:v>
      </x:c>
      <x:c r="F1544" s="12" t="n">
        <x:v>0</x:v>
      </x:c>
      <x:c r="G1544" s="12" t="n">
        <x:v>0.026</x:v>
      </x:c>
      <x:c r="H1544" s="1" t="n">
        <x:f>'Historical prices'!E1544</x:f>
        <x:v>1.05</x:v>
      </x:c>
      <x:c r="I1544" s="6" t="n">
        <x:f>'Historical prices'!D1544</x:f>
        <x:v>0.09369999999999999</x:v>
      </x:c>
      <x:c r="J1544" s="13" t="n">
        <x:f>D1544*I1544*H1544</x:f>
        <x:v>0.031565187499999994</x:v>
      </x:c>
      <x:c r="K1544" s="13" t="n">
        <x:f>E1544*I1544*H1544</x:f>
        <x:v>0.0298926425</x:v>
      </x:c>
      <x:c r="L1544" s="1" t="str">
        <x:f>TEXT(A1544,"mmm yyyy")</x:f>
        <x:v>Jun 2026</x:v>
      </x:c>
    </x:row>
    <x:row r="1545" ht="21" customHeight="1">
      <x:c r="A1545" s="10" t="n">
        <x:v>46180</x:v>
      </x:c>
      <x:c r="B1545" s="1" t="n">
        <x:v>16.5</x:v>
      </x:c>
      <x:c r="C1545" s="1" t="n">
        <x:v>6</x:v>
      </x:c>
      <x:c r="D1545" s="12" t="n">
        <x:v>0.28208333333333335</x:v>
      </x:c>
      <x:c r="E1545" s="12" t="n">
        <x:v>0.29608333333333337</x:v>
      </x:c>
      <x:c r="F1545" s="12" t="n">
        <x:v>0</x:v>
      </x:c>
      <x:c r="G1545" s="12" t="n">
        <x:v>0</x:v>
      </x:c>
      <x:c r="H1545" s="1" t="n">
        <x:f>'Historical prices'!E1545</x:f>
        <x:v>1.05</x:v>
      </x:c>
      <x:c r="I1545" s="6" t="n">
        <x:f>'Historical prices'!D1545</x:f>
        <x:v>0.17059999999999997</x:v>
      </x:c>
      <x:c r="J1545" s="13" t="n">
        <x:f>D1545*I1545*H1545</x:f>
        <x:v>0.050529587499999994</x:v>
      </x:c>
      <x:c r="K1545" s="13" t="n">
        <x:f>E1545*I1545*H1545</x:f>
        <x:v>0.0530374075</x:v>
      </x:c>
      <x:c r="L1545" s="1" t="str">
        <x:f>TEXT(A1545,"mmm yyyy")</x:f>
        <x:v>Jun 2026</x:v>
      </x:c>
    </x:row>
    <x:row r="1546" ht="21" customHeight="1">
      <x:c r="A1546" s="10" t="n">
        <x:v>46180</x:v>
      </x:c>
      <x:c r="B1546" s="1" t="n">
        <x:v>17</x:v>
      </x:c>
      <x:c r="C1546" s="1" t="n">
        <x:v>6</x:v>
      </x:c>
      <x:c r="D1546" s="12" t="n">
        <x:v>0.05458333333333333</x:v>
      </x:c>
      <x:c r="E1546" s="12" t="n">
        <x:v>0.4925833333333333</x:v>
      </x:c>
      <x:c r="F1546" s="12" t="n">
        <x:v>0.4349166666666667</x:v>
      </x:c>
      <x:c r="G1546" s="12" t="n">
        <x:v>0</x:v>
      </x:c>
      <x:c r="H1546" s="1" t="n">
        <x:f>'Historical prices'!E1546</x:f>
        <x:v>1.05</x:v>
      </x:c>
      <x:c r="I1546" s="6" t="n">
        <x:f>'Historical prices'!D1546</x:f>
        <x:v>0.22519999999999998</x:v>
      </x:c>
      <x:c r="J1546" s="13" t="n">
        <x:f>D1546*I1546*H1546</x:f>
        <x:v>0.012906774999999999</x:v>
      </x:c>
      <x:c r="K1546" s="13" t="n">
        <x:f>E1546*I1546*H1546</x:f>
        <x:v>0.11647625499999999</x:v>
      </x:c>
      <x:c r="L1546" s="1" t="str">
        <x:f>TEXT(A1546,"mmm yyyy")</x:f>
        <x:v>Jun 2026</x:v>
      </x:c>
    </x:row>
    <x:row r="1547" ht="21" customHeight="1">
      <x:c r="A1547" s="10" t="n">
        <x:v>46180</x:v>
      </x:c>
      <x:c r="B1547" s="1" t="n">
        <x:v>17.5</x:v>
      </x:c>
      <x:c r="C1547" s="1" t="n">
        <x:v>6</x:v>
      </x:c>
      <x:c r="D1547" s="12" t="n">
        <x:v>0</x:v>
      </x:c>
      <x:c r="E1547" s="12" t="n">
        <x:v>0.43583333333333335</x:v>
      </x:c>
      <x:c r="F1547" s="12" t="n">
        <x:v>0.43583333333333335</x:v>
      </x:c>
      <x:c r="G1547" s="12" t="n">
        <x:v>0</x:v>
      </x:c>
      <x:c r="H1547" s="1" t="n">
        <x:f>'Historical prices'!E1547</x:f>
        <x:v>1.05</x:v>
      </x:c>
      <x:c r="I1547" s="6" t="n">
        <x:f>'Historical prices'!D1547</x:f>
        <x:v>0.27140000000000003</x:v>
      </x:c>
      <x:c r="J1547" s="13" t="n">
        <x:f>D1547*I1547*H1547</x:f>
        <x:v>0</x:v>
      </x:c>
      <x:c r="K1547" s="13" t="n">
        <x:f>E1547*I1547*H1547</x:f>
        <x:v>0.12419942500000003</x:v>
      </x:c>
      <x:c r="L1547" s="1" t="str">
        <x:f>TEXT(A1547,"mmm yyyy")</x:f>
        <x:v>Jun 2026</x:v>
      </x:c>
    </x:row>
    <x:row r="1548" ht="21" customHeight="1">
      <x:c r="A1548" s="10" t="n">
        <x:v>46180</x:v>
      </x:c>
      <x:c r="B1548" s="1" t="n">
        <x:v>18</x:v>
      </x:c>
      <x:c r="C1548" s="1" t="n">
        <x:v>6</x:v>
      </x:c>
      <x:c r="D1548" s="12" t="n">
        <x:v>0</x:v>
      </x:c>
      <x:c r="E1548" s="12" t="n">
        <x:v>0.44283333333333336</x:v>
      </x:c>
      <x:c r="F1548" s="12" t="n">
        <x:v>0.44275000000000003</x:v>
      </x:c>
      <x:c r="G1548" s="12" t="n">
        <x:v>0</x:v>
      </x:c>
      <x:c r="H1548" s="1" t="n">
        <x:f>'Historical prices'!E1548</x:f>
        <x:v>1.05</x:v>
      </x:c>
      <x:c r="I1548" s="6" t="n">
        <x:f>'Historical prices'!D1548</x:f>
        <x:v>0.2899</x:v>
      </x:c>
      <x:c r="J1548" s="13" t="n">
        <x:f>D1548*I1548*H1548</x:f>
        <x:v>0</x:v>
      </x:c>
      <x:c r="K1548" s="13" t="n">
        <x:f>E1548*I1548*H1548</x:f>
        <x:v>0.13479625250000002</x:v>
      </x:c>
      <x:c r="L1548" s="1" t="str">
        <x:f>TEXT(A1548,"mmm yyyy")</x:f>
        <x:v>Jun 2026</x:v>
      </x:c>
    </x:row>
    <x:row r="1549" ht="21" customHeight="1">
      <x:c r="A1549" s="10" t="n">
        <x:v>46180</x:v>
      </x:c>
      <x:c r="B1549" s="1" t="n">
        <x:v>18.5</x:v>
      </x:c>
      <x:c r="C1549" s="1" t="n">
        <x:v>6</x:v>
      </x:c>
      <x:c r="D1549" s="12" t="n">
        <x:v>0</x:v>
      </x:c>
      <x:c r="E1549" s="12" t="n">
        <x:v>1.5588333333333333</x:v>
      </x:c>
      <x:c r="F1549" s="12" t="n">
        <x:v>1.5585</x:v>
      </x:c>
      <x:c r="G1549" s="12" t="n">
        <x:v>0</x:v>
      </x:c>
      <x:c r="H1549" s="1" t="n">
        <x:f>'Historical prices'!E1549</x:f>
        <x:v>1.05</x:v>
      </x:c>
      <x:c r="I1549" s="6" t="n">
        <x:f>'Historical prices'!D1549</x:f>
        <x:v>0.2899</x:v>
      </x:c>
      <x:c r="J1549" s="13" t="n">
        <x:f>D1549*I1549*H1549</x:f>
        <x:v>0</x:v>
      </x:c>
      <x:c r="K1549" s="13" t="n">
        <x:f>E1549*I1549*H1549</x:f>
        <x:v>0.4745010725</x:v>
      </x:c>
      <x:c r="L1549" s="1" t="str">
        <x:f>TEXT(A1549,"mmm yyyy")</x:f>
        <x:v>Jun 2026</x:v>
      </x:c>
    </x:row>
    <x:row r="1550" ht="21" customHeight="1">
      <x:c r="A1550" s="10" t="n">
        <x:v>46180</x:v>
      </x:c>
      <x:c r="B1550" s="1" t="n">
        <x:v>19</x:v>
      </x:c>
      <x:c r="C1550" s="1" t="n">
        <x:v>6</x:v>
      </x:c>
      <x:c r="D1550" s="12" t="n">
        <x:v>0</x:v>
      </x:c>
      <x:c r="E1550" s="12" t="n">
        <x:v>0.6944166666666666</x:v>
      </x:c>
      <x:c r="F1550" s="12" t="n">
        <x:v>0.6943333333333332</x:v>
      </x:c>
      <x:c r="G1550" s="12" t="n">
        <x:v>0</x:v>
      </x:c>
      <x:c r="H1550" s="1" t="n">
        <x:f>'Historical prices'!E1550</x:f>
        <x:v>1.05</x:v>
      </x:c>
      <x:c r="I1550" s="6" t="n">
        <x:f>'Historical prices'!D1550</x:f>
        <x:v>0.20600000000000002</x:v>
      </x:c>
      <x:c r="J1550" s="13" t="n">
        <x:f>D1550*I1550*H1550</x:f>
        <x:v>0</x:v>
      </x:c>
      <x:c r="K1550" s="13" t="n">
        <x:f>E1550*I1550*H1550</x:f>
        <x:v>0.150202325</x:v>
      </x:c>
      <x:c r="L1550" s="1" t="str">
        <x:f>TEXT(A1550,"mmm yyyy")</x:f>
        <x:v>Jun 2026</x:v>
      </x:c>
    </x:row>
    <x:row r="1551" ht="21" customHeight="1">
      <x:c r="A1551" s="10" t="n">
        <x:v>46180</x:v>
      </x:c>
      <x:c r="B1551" s="1" t="n">
        <x:v>19.5</x:v>
      </x:c>
      <x:c r="C1551" s="1" t="n">
        <x:v>6</x:v>
      </x:c>
      <x:c r="D1551" s="12" t="n">
        <x:v>0</x:v>
      </x:c>
      <x:c r="E1551" s="12" t="n">
        <x:v>0.7869999999999999</x:v>
      </x:c>
      <x:c r="F1551" s="12" t="n">
        <x:v>0.7868333333333333</x:v>
      </x:c>
      <x:c r="G1551" s="12" t="n">
        <x:v>0</x:v>
      </x:c>
      <x:c r="H1551" s="1" t="n">
        <x:f>'Historical prices'!E1551</x:f>
        <x:v>1.05</x:v>
      </x:c>
      <x:c r="I1551" s="6" t="n">
        <x:f>'Historical prices'!D1551</x:f>
        <x:v>0.2236</x:v>
      </x:c>
      <x:c r="J1551" s="13" t="n">
        <x:f>D1551*I1551*H1551</x:f>
        <x:v>0</x:v>
      </x:c>
      <x:c r="K1551" s="13" t="n">
        <x:f>E1551*I1551*H1551</x:f>
        <x:v>0.18477185999999998</x:v>
      </x:c>
      <x:c r="L1551" s="1" t="str">
        <x:f>TEXT(A1551,"mmm yyyy")</x:f>
        <x:v>Jun 2026</x:v>
      </x:c>
    </x:row>
    <x:row r="1552" ht="21" customHeight="1">
      <x:c r="A1552" s="10" t="n">
        <x:v>46180</x:v>
      </x:c>
      <x:c r="B1552" s="1" t="n">
        <x:v>20</x:v>
      </x:c>
      <x:c r="C1552" s="1" t="n">
        <x:v>6</x:v>
      </x:c>
      <x:c r="D1552" s="12" t="n">
        <x:v>0</x:v>
      </x:c>
      <x:c r="E1552" s="12" t="n">
        <x:v>0.4355</x:v>
      </x:c>
      <x:c r="F1552" s="12" t="n">
        <x:v>0.4355</x:v>
      </x:c>
      <x:c r="G1552" s="12" t="n">
        <x:v>0</x:v>
      </x:c>
      <x:c r="H1552" s="1" t="n">
        <x:f>'Historical prices'!E1552</x:f>
        <x:v>1.05</x:v>
      </x:c>
      <x:c r="I1552" s="6" t="n">
        <x:f>'Historical prices'!D1552</x:f>
        <x:v>0.2163</x:v>
      </x:c>
      <x:c r="J1552" s="13" t="n">
        <x:f>D1552*I1552*H1552</x:f>
        <x:v>0</x:v>
      </x:c>
      <x:c r="K1552" s="13" t="n">
        <x:f>E1552*I1552*H1552</x:f>
        <x:v>0.0989085825</x:v>
      </x:c>
      <x:c r="L1552" s="1" t="str">
        <x:f>TEXT(A1552,"mmm yyyy")</x:f>
        <x:v>Jun 2026</x:v>
      </x:c>
    </x:row>
    <x:row r="1553" ht="21" customHeight="1">
      <x:c r="A1553" s="10" t="n">
        <x:v>46180</x:v>
      </x:c>
      <x:c r="B1553" s="1" t="n">
        <x:v>20.5</x:v>
      </x:c>
      <x:c r="C1553" s="1" t="n">
        <x:v>6</x:v>
      </x:c>
      <x:c r="D1553" s="12" t="n">
        <x:v>0</x:v>
      </x:c>
      <x:c r="E1553" s="12" t="n">
        <x:v>0.5121666666666668</x:v>
      </x:c>
      <x:c r="F1553" s="12" t="n">
        <x:v>0.5088333333333332</x:v>
      </x:c>
      <x:c r="G1553" s="12" t="n">
        <x:v>0</x:v>
      </x:c>
      <x:c r="H1553" s="1" t="n">
        <x:f>'Historical prices'!E1553</x:f>
        <x:v>1.05</x:v>
      </x:c>
      <x:c r="I1553" s="6" t="n">
        <x:f>'Historical prices'!D1553</x:f>
        <x:v>0.2291</x:v>
      </x:c>
      <x:c r="J1553" s="13" t="n">
        <x:f>D1553*I1553*H1553</x:f>
        <x:v>0</x:v>
      </x:c>
      <x:c r="K1553" s="13" t="n">
        <x:f>E1553*I1553*H1553</x:f>
        <x:v>0.12320425250000003</x:v>
      </x:c>
      <x:c r="L1553" s="1" t="str">
        <x:f>TEXT(A1553,"mmm yyyy")</x:f>
        <x:v>Jun 2026</x:v>
      </x:c>
    </x:row>
    <x:row r="1554" ht="21" customHeight="1">
      <x:c r="A1554" s="10" t="n">
        <x:v>46180</x:v>
      </x:c>
      <x:c r="B1554" s="1" t="n">
        <x:v>21</x:v>
      </x:c>
      <x:c r="C1554" s="1" t="n">
        <x:v>6</x:v>
      </x:c>
      <x:c r="D1554" s="12" t="n">
        <x:v>0</x:v>
      </x:c>
      <x:c r="E1554" s="12" t="n">
        <x:v>0.5218333333333334</x:v>
      </x:c>
      <x:c r="F1554" s="12" t="n">
        <x:v>0.5218333333333334</x:v>
      </x:c>
      <x:c r="G1554" s="12" t="n">
        <x:v>0</x:v>
      </x:c>
      <x:c r="H1554" s="1" t="n">
        <x:f>'Historical prices'!E1554</x:f>
        <x:v>1.05</x:v>
      </x:c>
      <x:c r="I1554" s="6" t="n">
        <x:f>'Historical prices'!D1554</x:f>
        <x:v>0.2162</x:v>
      </x:c>
      <x:c r="J1554" s="13" t="n">
        <x:f>D1554*I1554*H1554</x:f>
        <x:v>0</x:v>
      </x:c>
      <x:c r="K1554" s="13" t="n">
        <x:f>E1554*I1554*H1554</x:f>
        <x:v>0.11846138500000002</x:v>
      </x:c>
      <x:c r="L1554" s="1" t="str">
        <x:f>TEXT(A1554,"mmm yyyy")</x:f>
        <x:v>Jun 2026</x:v>
      </x:c>
    </x:row>
    <x:row r="1555" ht="21" customHeight="1">
      <x:c r="A1555" s="10" t="n">
        <x:v>46180</x:v>
      </x:c>
      <x:c r="B1555" s="1" t="n">
        <x:v>21.5</x:v>
      </x:c>
      <x:c r="C1555" s="1" t="n">
        <x:v>6</x:v>
      </x:c>
      <x:c r="D1555" s="12" t="n">
        <x:v>0</x:v>
      </x:c>
      <x:c r="E1555" s="12" t="n">
        <x:v>0.9620000000000001</x:v>
      </x:c>
      <x:c r="F1555" s="12" t="n">
        <x:v>0.96175</x:v>
      </x:c>
      <x:c r="G1555" s="12" t="n">
        <x:v>0</x:v>
      </x:c>
      <x:c r="H1555" s="1" t="n">
        <x:f>'Historical prices'!E1555</x:f>
        <x:v>1.05</x:v>
      </x:c>
      <x:c r="I1555" s="6" t="n">
        <x:f>'Historical prices'!D1555</x:f>
        <x:v>0.2152</x:v>
      </x:c>
      <x:c r="J1555" s="13" t="n">
        <x:f>D1555*I1555*H1555</x:f>
        <x:v>0</x:v>
      </x:c>
      <x:c r="K1555" s="13" t="n">
        <x:f>E1555*I1555*H1555</x:f>
        <x:v>0.21737352000000004</x:v>
      </x:c>
      <x:c r="L1555" s="1" t="str">
        <x:f>TEXT(A1555,"mmm yyyy")</x:f>
        <x:v>Jun 2026</x:v>
      </x:c>
    </x:row>
    <x:row r="1556" ht="21" customHeight="1">
      <x:c r="A1556" s="10" t="n">
        <x:v>46180</x:v>
      </x:c>
      <x:c r="B1556" s="1" t="n">
        <x:v>22</x:v>
      </x:c>
      <x:c r="C1556" s="1" t="n">
        <x:v>6</x:v>
      </x:c>
      <x:c r="D1556" s="12" t="n">
        <x:v>0</x:v>
      </x:c>
      <x:c r="E1556" s="12" t="n">
        <x:v>0.2886666666666666</x:v>
      </x:c>
      <x:c r="F1556" s="12" t="n">
        <x:v>0.2886666666666666</x:v>
      </x:c>
      <x:c r="G1556" s="12" t="n">
        <x:v>0</x:v>
      </x:c>
      <x:c r="H1556" s="1" t="n">
        <x:f>'Historical prices'!E1556</x:f>
        <x:v>1.05</x:v>
      </x:c>
      <x:c r="I1556" s="6" t="n">
        <x:f>'Historical prices'!D1556</x:f>
        <x:v>0.22699999999999998</x:v>
      </x:c>
      <x:c r="J1556" s="13" t="n">
        <x:f>D1556*I1556*H1556</x:f>
        <x:v>0</x:v>
      </x:c>
      <x:c r="K1556" s="13" t="n">
        <x:f>E1556*I1556*H1556</x:f>
        <x:v>0.06880369999999998</x:v>
      </x:c>
      <x:c r="L1556" s="1" t="str">
        <x:f>TEXT(A1556,"mmm yyyy")</x:f>
        <x:v>Jun 2026</x:v>
      </x:c>
    </x:row>
    <x:row r="1557" ht="21" customHeight="1">
      <x:c r="A1557" s="10" t="n">
        <x:v>46180</x:v>
      </x:c>
      <x:c r="B1557" s="1" t="n">
        <x:v>22.5</x:v>
      </x:c>
      <x:c r="C1557" s="1" t="n">
        <x:v>6</x:v>
      </x:c>
      <x:c r="D1557" s="12" t="n">
        <x:v>0</x:v>
      </x:c>
      <x:c r="E1557" s="12" t="n">
        <x:v>0.27974999999999994</x:v>
      </x:c>
      <x:c r="F1557" s="12" t="n">
        <x:v>0.27974999999999994</x:v>
      </x:c>
      <x:c r="G1557" s="12" t="n">
        <x:v>0</x:v>
      </x:c>
      <x:c r="H1557" s="1" t="n">
        <x:f>'Historical prices'!E1557</x:f>
        <x:v>1.05</x:v>
      </x:c>
      <x:c r="I1557" s="6" t="n">
        <x:f>'Historical prices'!D1557</x:f>
        <x:v>0.21539999999999998</x:v>
      </x:c>
      <x:c r="J1557" s="13" t="n">
        <x:f>D1557*I1557*H1557</x:f>
        <x:v>0</x:v>
      </x:c>
      <x:c r="K1557" s="13" t="n">
        <x:f>E1557*I1557*H1557</x:f>
        <x:v>0.06327105749999998</x:v>
      </x:c>
      <x:c r="L1557" s="1" t="str">
        <x:f>TEXT(A1557,"mmm yyyy")</x:f>
        <x:v>Jun 2026</x:v>
      </x:c>
    </x:row>
    <x:row r="1558" ht="21" customHeight="1">
      <x:c r="A1558" s="10" t="n">
        <x:v>46180</x:v>
      </x:c>
      <x:c r="B1558" s="1" t="n">
        <x:v>23</x:v>
      </x:c>
      <x:c r="C1558" s="1" t="n">
        <x:v>6</x:v>
      </x:c>
      <x:c r="D1558" s="12" t="n">
        <x:v>0</x:v>
      </x:c>
      <x:c r="E1558" s="12" t="n">
        <x:v>0.2849166666666667</x:v>
      </x:c>
      <x:c r="F1558" s="12" t="n">
        <x:v>0.2848333333333333</x:v>
      </x:c>
      <x:c r="G1558" s="12" t="n">
        <x:v>0</x:v>
      </x:c>
      <x:c r="H1558" s="1" t="n">
        <x:f>'Historical prices'!E1558</x:f>
        <x:v>1.05</x:v>
      </x:c>
      <x:c r="I1558" s="6" t="n">
        <x:f>'Historical prices'!D1558</x:f>
        <x:v>0.21850000000000003</x:v>
      </x:c>
      <x:c r="J1558" s="13" t="n">
        <x:f>D1558*I1558*H1558</x:f>
        <x:v>0</x:v>
      </x:c>
      <x:c r="K1558" s="13" t="n">
        <x:f>E1558*I1558*H1558</x:f>
        <x:v>0.06536700625000003</x:v>
      </x:c>
      <x:c r="L1558" s="1" t="str">
        <x:f>TEXT(A1558,"mmm yyyy")</x:f>
        <x:v>Jun 2026</x:v>
      </x:c>
    </x:row>
    <x:row r="1559" ht="21" customHeight="1">
      <x:c r="A1559" s="10" t="n">
        <x:v>46180</x:v>
      </x:c>
      <x:c r="B1559" s="1" t="n">
        <x:v>23.5</x:v>
      </x:c>
      <x:c r="C1559" s="1" t="n">
        <x:v>6</x:v>
      </x:c>
      <x:c r="D1559" s="12" t="n">
        <x:v>0.16041666666666668</x:v>
      </x:c>
      <x:c r="E1559" s="12" t="n">
        <x:v>0.22133333333333335</x:v>
      </x:c>
      <x:c r="F1559" s="12" t="n">
        <x:v>0.050916666666666666</x:v>
      </x:c>
      <x:c r="G1559" s="12" t="n">
        <x:v>0</x:v>
      </x:c>
      <x:c r="H1559" s="1" t="n">
        <x:f>'Historical prices'!E1559</x:f>
        <x:v>1.05</x:v>
      </x:c>
      <x:c r="I1559" s="6" t="n">
        <x:f>'Historical prices'!D1559</x:f>
        <x:v>0.18289999999999998</x:v>
      </x:c>
      <x:c r="J1559" s="13" t="n">
        <x:f>D1559*I1559*H1559</x:f>
        <x:v>0.03080721875</x:v>
      </x:c>
      <x:c r="K1559" s="13" t="n">
        <x:f>E1559*I1559*H1559</x:f>
        <x:v>0.04250596</x:v>
      </x:c>
      <x:c r="L1559" s="1" t="str">
        <x:f>TEXT(A1559,"mmm yyyy")</x:f>
        <x:v>Jun 2026</x:v>
      </x:c>
    </x:row>
    <x:row r="1560" ht="21" customHeight="1">
      <x:c r="A1560" s="10" t="n">
        <x:v>46181</x:v>
      </x:c>
      <x:c r="B1560" s="1" t="n">
        <x:v>0</x:v>
      </x:c>
      <x:c r="C1560" s="1" t="n">
        <x:v>6</x:v>
      </x:c>
      <x:c r="D1560" s="12" t="n">
        <x:v>0.16799999999999998</x:v>
      </x:c>
      <x:c r="E1560" s="12" t="n">
        <x:v>0.178</x:v>
      </x:c>
      <x:c r="F1560" s="12" t="n">
        <x:v>0</x:v>
      </x:c>
      <x:c r="G1560" s="12" t="n">
        <x:v>0</x:v>
      </x:c>
      <x:c r="H1560" s="1" t="n">
        <x:f>'Historical prices'!E1560</x:f>
        <x:v>1.05</x:v>
      </x:c>
      <x:c r="I1560" s="6" t="n">
        <x:f>'Historical prices'!D1560</x:f>
        <x:v>0.18289999999999998</x:v>
      </x:c>
      <x:c r="J1560" s="13" t="n">
        <x:f>D1560*I1560*H1560</x:f>
        <x:v>0.03226356</x:v>
      </x:c>
      <x:c r="K1560" s="13" t="n">
        <x:f>E1560*I1560*H1560</x:f>
        <x:v>0.034184009999999994</x:v>
      </x:c>
      <x:c r="L1560" s="1" t="str">
        <x:f>TEXT(A1560,"mmm yyyy")</x:f>
        <x:v>Jun 2026</x:v>
      </x:c>
    </x:row>
    <x:row r="1561" ht="21" customHeight="1">
      <x:c r="A1561" s="10" t="n">
        <x:v>46181</x:v>
      </x:c>
      <x:c r="B1561" s="1" t="n">
        <x:v>0.5</x:v>
      </x:c>
      <x:c r="C1561" s="1" t="n">
        <x:v>6</x:v>
      </x:c>
      <x:c r="D1561" s="12" t="n">
        <x:v>0.19033333333333333</x:v>
      </x:c>
      <x:c r="E1561" s="12" t="n">
        <x:v>0.20233333333333334</x:v>
      </x:c>
      <x:c r="F1561" s="12" t="n">
        <x:v>0</x:v>
      </x:c>
      <x:c r="G1561" s="12" t="n">
        <x:v>0</x:v>
      </x:c>
      <x:c r="H1561" s="1" t="n">
        <x:f>'Historical prices'!E1561</x:f>
        <x:v>1.05</x:v>
      </x:c>
      <x:c r="I1561" s="6" t="n">
        <x:f>'Historical prices'!D1561</x:f>
        <x:v>0.1867</x:v>
      </x:c>
      <x:c r="J1561" s="13" t="n">
        <x:f>D1561*I1561*H1561</x:f>
        <x:v>0.037311995</x:v>
      </x:c>
      <x:c r="K1561" s="13" t="n">
        <x:f>E1561*I1561*H1561</x:f>
        <x:v>0.039664415</x:v>
      </x:c>
      <x:c r="L1561" s="1" t="str">
        <x:f>TEXT(A1561,"mmm yyyy")</x:f>
        <x:v>Jun 2026</x:v>
      </x:c>
    </x:row>
    <x:row r="1562" ht="21" customHeight="1">
      <x:c r="A1562" s="10" t="n">
        <x:v>46181</x:v>
      </x:c>
      <x:c r="B1562" s="1" t="n">
        <x:v>1</x:v>
      </x:c>
      <x:c r="C1562" s="1" t="n">
        <x:v>6</x:v>
      </x:c>
      <x:c r="D1562" s="12" t="n">
        <x:v>0.16516666666666668</x:v>
      </x:c>
      <x:c r="E1562" s="12" t="n">
        <x:v>0.17616666666666667</x:v>
      </x:c>
      <x:c r="F1562" s="12" t="n">
        <x:v>0</x:v>
      </x:c>
      <x:c r="G1562" s="12" t="n">
        <x:v>0</x:v>
      </x:c>
      <x:c r="H1562" s="1" t="n">
        <x:f>'Historical prices'!E1562</x:f>
        <x:v>1.05</x:v>
      </x:c>
      <x:c r="I1562" s="6" t="n">
        <x:f>'Historical prices'!D1562</x:f>
        <x:v>0.1766</x:v>
      </x:c>
      <x:c r="J1562" s="13" t="n">
        <x:f>D1562*I1562*H1562</x:f>
        <x:v>0.030626855000000005</x:v>
      </x:c>
      <x:c r="K1562" s="13" t="n">
        <x:f>E1562*I1562*H1562</x:f>
        <x:v>0.032666585</x:v>
      </x:c>
      <x:c r="L1562" s="1" t="str">
        <x:f>TEXT(A1562,"mmm yyyy")</x:f>
        <x:v>Jun 2026</x:v>
      </x:c>
    </x:row>
    <x:row r="1563" ht="21" customHeight="1">
      <x:c r="A1563" s="10" t="n">
        <x:v>46181</x:v>
      </x:c>
      <x:c r="B1563" s="1" t="n">
        <x:v>1.5</x:v>
      </x:c>
      <x:c r="C1563" s="1" t="n">
        <x:v>6</x:v>
      </x:c>
      <x:c r="D1563" s="12" t="n">
        <x:v>0.2380833333333333</x:v>
      </x:c>
      <x:c r="E1563" s="12" t="n">
        <x:v>0.24908333333333332</x:v>
      </x:c>
      <x:c r="F1563" s="12" t="n">
        <x:v>0</x:v>
      </x:c>
      <x:c r="G1563" s="12" t="n">
        <x:v>0</x:v>
      </x:c>
      <x:c r="H1563" s="1" t="n">
        <x:f>'Historical prices'!E1563</x:f>
        <x:v>1.05</x:v>
      </x:c>
      <x:c r="I1563" s="6" t="n">
        <x:f>'Historical prices'!D1563</x:f>
        <x:v>0.1724</x:v>
      </x:c>
      <x:c r="J1563" s="13" t="n">
        <x:f>D1563*I1563*H1563</x:f>
        <x:v>0.043097845</x:v>
      </x:c>
      <x:c r="K1563" s="13" t="n">
        <x:f>E1563*I1563*H1563</x:f>
        <x:v>0.045089065</x:v>
      </x:c>
      <x:c r="L1563" s="1" t="str">
        <x:f>TEXT(A1563,"mmm yyyy")</x:f>
        <x:v>Jun 2026</x:v>
      </x:c>
    </x:row>
    <x:row r="1564" ht="21" customHeight="1">
      <x:c r="A1564" s="10" t="n">
        <x:v>46181</x:v>
      </x:c>
      <x:c r="B1564" s="1" t="n">
        <x:v>2</x:v>
      </x:c>
      <x:c r="C1564" s="1" t="n">
        <x:v>6</x:v>
      </x:c>
      <x:c r="D1564" s="12" t="n">
        <x:v>0.18325</x:v>
      </x:c>
      <x:c r="E1564" s="12" t="n">
        <x:v>0.19224999999999998</x:v>
      </x:c>
      <x:c r="F1564" s="12" t="n">
        <x:v>0</x:v>
      </x:c>
      <x:c r="G1564" s="12" t="n">
        <x:v>0</x:v>
      </x:c>
      <x:c r="H1564" s="1" t="n">
        <x:f>'Historical prices'!E1564</x:f>
        <x:v>1.05</x:v>
      </x:c>
      <x:c r="I1564" s="6" t="n">
        <x:f>'Historical prices'!D1564</x:f>
        <x:v>0.1766</x:v>
      </x:c>
      <x:c r="J1564" s="13" t="n">
        <x:f>D1564*I1564*H1564</x:f>
        <x:v>0.0339800475</x:v>
      </x:c>
      <x:c r="K1564" s="13" t="n">
        <x:f>E1564*I1564*H1564</x:f>
        <x:v>0.0356489175</x:v>
      </x:c>
      <x:c r="L1564" s="1" t="str">
        <x:f>TEXT(A1564,"mmm yyyy")</x:f>
        <x:v>Jun 2026</x:v>
      </x:c>
    </x:row>
    <x:row r="1565" ht="21" customHeight="1">
      <x:c r="A1565" s="10" t="n">
        <x:v>46181</x:v>
      </x:c>
      <x:c r="B1565" s="1" t="n">
        <x:v>2.5</x:v>
      </x:c>
      <x:c r="C1565" s="1" t="n">
        <x:v>6</x:v>
      </x:c>
      <x:c r="D1565" s="12" t="n">
        <x:v>0.16258333333333336</x:v>
      </x:c>
      <x:c r="E1565" s="12" t="n">
        <x:v>0.17258333333333334</x:v>
      </x:c>
      <x:c r="F1565" s="12" t="n">
        <x:v>0</x:v>
      </x:c>
      <x:c r="G1565" s="12" t="n">
        <x:v>0</x:v>
      </x:c>
      <x:c r="H1565" s="1" t="n">
        <x:f>'Historical prices'!E1565</x:f>
        <x:v>1.05</x:v>
      </x:c>
      <x:c r="I1565" s="6" t="n">
        <x:f>'Historical prices'!D1565</x:f>
        <x:v>0.1787</x:v>
      </x:c>
      <x:c r="J1565" s="13" t="n">
        <x:f>D1565*I1565*H1565</x:f>
        <x:v>0.030506323750000005</x:v>
      </x:c>
      <x:c r="K1565" s="13" t="n">
        <x:f>E1565*I1565*H1565</x:f>
        <x:v>0.03238267375</x:v>
      </x:c>
      <x:c r="L1565" s="1" t="str">
        <x:f>TEXT(A1565,"mmm yyyy")</x:f>
        <x:v>Jun 2026</x:v>
      </x:c>
    </x:row>
    <x:row r="1566" ht="21" customHeight="1">
      <x:c r="A1566" s="10" t="n">
        <x:v>46181</x:v>
      </x:c>
      <x:c r="B1566" s="1" t="n">
        <x:v>3</x:v>
      </x:c>
      <x:c r="C1566" s="1" t="n">
        <x:v>6</x:v>
      </x:c>
      <x:c r="D1566" s="12" t="n">
        <x:v>0.14658333333333334</x:v>
      </x:c>
      <x:c r="E1566" s="12" t="n">
        <x:v>0.15758333333333333</x:v>
      </x:c>
      <x:c r="F1566" s="12" t="n">
        <x:v>0</x:v>
      </x:c>
      <x:c r="G1566" s="12" t="n">
        <x:v>0</x:v>
      </x:c>
      <x:c r="H1566" s="1" t="n">
        <x:f>'Historical prices'!E1566</x:f>
        <x:v>1.05</x:v>
      </x:c>
      <x:c r="I1566" s="6" t="n">
        <x:f>'Historical prices'!D1566</x:f>
        <x:v>0.1745</x:v>
      </x:c>
      <x:c r="J1566" s="13" t="n">
        <x:f>D1566*I1566*H1566</x:f>
        <x:v>0.02685773125</x:v>
      </x:c>
      <x:c r="K1566" s="13" t="n">
        <x:f>E1566*I1566*H1566</x:f>
        <x:v>0.02887320625</x:v>
      </x:c>
      <x:c r="L1566" s="1" t="str">
        <x:f>TEXT(A1566,"mmm yyyy")</x:f>
        <x:v>Jun 2026</x:v>
      </x:c>
    </x:row>
    <x:row r="1567" ht="21" customHeight="1">
      <x:c r="A1567" s="10" t="n">
        <x:v>46181</x:v>
      </x:c>
      <x:c r="B1567" s="1" t="n">
        <x:v>3.5</x:v>
      </x:c>
      <x:c r="C1567" s="1" t="n">
        <x:v>6</x:v>
      </x:c>
      <x:c r="D1567" s="12" t="n">
        <x:v>0.19824999999999998</x:v>
      </x:c>
      <x:c r="E1567" s="12" t="n">
        <x:v>0.20925</x:v>
      </x:c>
      <x:c r="F1567" s="12" t="n">
        <x:v>0</x:v>
      </x:c>
      <x:c r="G1567" s="12" t="n">
        <x:v>0</x:v>
      </x:c>
      <x:c r="H1567" s="1" t="n">
        <x:f>'Historical prices'!E1567</x:f>
        <x:v>1.05</x:v>
      </x:c>
      <x:c r="I1567" s="6" t="n">
        <x:f>'Historical prices'!D1567</x:f>
        <x:v>0.1745</x:v>
      </x:c>
      <x:c r="J1567" s="13" t="n">
        <x:f>D1567*I1567*H1567</x:f>
        <x:v>0.036324356249999995</x:v>
      </x:c>
      <x:c r="K1567" s="13" t="n">
        <x:f>E1567*I1567*H1567</x:f>
        <x:v>0.03833983125</x:v>
      </x:c>
      <x:c r="L1567" s="1" t="str">
        <x:f>TEXT(A1567,"mmm yyyy")</x:f>
        <x:v>Jun 2026</x:v>
      </x:c>
    </x:row>
    <x:row r="1568" ht="21" customHeight="1">
      <x:c r="A1568" s="10" t="n">
        <x:v>46181</x:v>
      </x:c>
      <x:c r="B1568" s="1" t="n">
        <x:v>4</x:v>
      </x:c>
      <x:c r="C1568" s="1" t="n">
        <x:v>6</x:v>
      </x:c>
      <x:c r="D1568" s="12" t="n">
        <x:v>0.19974999999999998</x:v>
      </x:c>
      <x:c r="E1568" s="12" t="n">
        <x:v>0.21075</x:v>
      </x:c>
      <x:c r="F1568" s="12" t="n">
        <x:v>0</x:v>
      </x:c>
      <x:c r="G1568" s="12" t="n">
        <x:v>0</x:v>
      </x:c>
      <x:c r="H1568" s="1" t="n">
        <x:f>'Historical prices'!E1568</x:f>
        <x:v>1.05</x:v>
      </x:c>
      <x:c r="I1568" s="6" t="n">
        <x:f>'Historical prices'!D1568</x:f>
        <x:v>0.185</x:v>
      </x:c>
      <x:c r="J1568" s="13" t="n">
        <x:f>D1568*I1568*H1568</x:f>
        <x:v>0.038801437499999994</x:v>
      </x:c>
      <x:c r="K1568" s="13" t="n">
        <x:f>E1568*I1568*H1568</x:f>
        <x:v>0.040938187499999994</x:v>
      </x:c>
      <x:c r="L1568" s="1" t="str">
        <x:f>TEXT(A1568,"mmm yyyy")</x:f>
        <x:v>Jun 2026</x:v>
      </x:c>
    </x:row>
    <x:row r="1569" ht="21" customHeight="1">
      <x:c r="A1569" s="10" t="n">
        <x:v>46181</x:v>
      </x:c>
      <x:c r="B1569" s="1" t="n">
        <x:v>4.5</x:v>
      </x:c>
      <x:c r="C1569" s="1" t="n">
        <x:v>6</x:v>
      </x:c>
      <x:c r="D1569" s="12" t="n">
        <x:v>0.15791666666666665</x:v>
      </x:c>
      <x:c r="E1569" s="12" t="n">
        <x:v>0.16891666666666666</x:v>
      </x:c>
      <x:c r="F1569" s="12" t="n">
        <x:v>0</x:v>
      </x:c>
      <x:c r="G1569" s="12" t="n">
        <x:v>0</x:v>
      </x:c>
      <x:c r="H1569" s="1" t="n">
        <x:f>'Historical prices'!E1569</x:f>
        <x:v>1.05</x:v>
      </x:c>
      <x:c r="I1569" s="6" t="n">
        <x:f>'Historical prices'!D1569</x:f>
        <x:v>0.185</x:v>
      </x:c>
      <x:c r="J1569" s="13" t="n">
        <x:f>D1569*I1569*H1569</x:f>
        <x:v>0.030675312499999996</x:v>
      </x:c>
      <x:c r="K1569" s="13" t="n">
        <x:f>E1569*I1569*H1569</x:f>
        <x:v>0.032812062499999996</x:v>
      </x:c>
      <x:c r="L1569" s="1" t="str">
        <x:f>TEXT(A1569,"mmm yyyy")</x:f>
        <x:v>Jun 2026</x:v>
      </x:c>
    </x:row>
    <x:row r="1570" ht="21" customHeight="1">
      <x:c r="A1570" s="10" t="n">
        <x:v>46181</x:v>
      </x:c>
      <x:c r="B1570" s="1" t="n">
        <x:v>5</x:v>
      </x:c>
      <x:c r="C1570" s="1" t="n">
        <x:v>6</x:v>
      </x:c>
      <x:c r="D1570" s="12" t="n">
        <x:v>0.026</x:v>
      </x:c>
      <x:c r="E1570" s="12" t="n">
        <x:v>0.26708333333333334</x:v>
      </x:c>
      <x:c r="F1570" s="12" t="n">
        <x:v>0.23883333333333331</x:v>
      </x:c>
      <x:c r="G1570" s="12" t="n">
        <x:v>0</x:v>
      </x:c>
      <x:c r="H1570" s="1" t="n">
        <x:f>'Historical prices'!E1570</x:f>
        <x:v>1.05</x:v>
      </x:c>
      <x:c r="I1570" s="6" t="n">
        <x:f>'Historical prices'!D1570</x:f>
        <x:v>0.20600000000000002</x:v>
      </x:c>
      <x:c r="J1570" s="13" t="n">
        <x:f>D1570*I1570*H1570</x:f>
        <x:v>0.005623800000000001</x:v>
      </x:c>
      <x:c r="K1570" s="13" t="n">
        <x:f>E1570*I1570*H1570</x:f>
        <x:v>0.05777012500000001</x:v>
      </x:c>
      <x:c r="L1570" s="1" t="str">
        <x:f>TEXT(A1570,"mmm yyyy")</x:f>
        <x:v>Jun 2026</x:v>
      </x:c>
    </x:row>
    <x:row r="1571" ht="21" customHeight="1">
      <x:c r="A1571" s="10" t="n">
        <x:v>46181</x:v>
      </x:c>
      <x:c r="B1571" s="1" t="n">
        <x:v>5.5</x:v>
      </x:c>
      <x:c r="C1571" s="1" t="n">
        <x:v>6</x:v>
      </x:c>
      <x:c r="D1571" s="12" t="n">
        <x:v>0</x:v>
      </x:c>
      <x:c r="E1571" s="12" t="n">
        <x:v>0.42816666666666664</x:v>
      </x:c>
      <x:c r="F1571" s="12" t="n">
        <x:v>0.42791666666666667</x:v>
      </x:c>
      <x:c r="G1571" s="12" t="n">
        <x:v>0</x:v>
      </x:c>
      <x:c r="H1571" s="1" t="n">
        <x:f>'Historical prices'!E1571</x:f>
        <x:v>1.05</x:v>
      </x:c>
      <x:c r="I1571" s="6" t="n">
        <x:f>'Historical prices'!D1571</x:f>
        <x:v>0.2045</x:v>
      </x:c>
      <x:c r="J1571" s="13" t="n">
        <x:f>D1571*I1571*H1571</x:f>
        <x:v>0</x:v>
      </x:c>
      <x:c r="K1571" s="13" t="n">
        <x:f>E1571*I1571*H1571</x:f>
        <x:v>0.09193808749999999</x:v>
      </x:c>
      <x:c r="L1571" s="1" t="str">
        <x:f>TEXT(A1571,"mmm yyyy")</x:f>
        <x:v>Jun 2026</x:v>
      </x:c>
    </x:row>
    <x:row r="1572" ht="21" customHeight="1">
      <x:c r="A1572" s="10" t="n">
        <x:v>46181</x:v>
      </x:c>
      <x:c r="B1572" s="1" t="n">
        <x:v>6</x:v>
      </x:c>
      <x:c r="C1572" s="1" t="n">
        <x:v>6</x:v>
      </x:c>
      <x:c r="D1572" s="12" t="n">
        <x:v>0</x:v>
      </x:c>
      <x:c r="E1572" s="12" t="n">
        <x:v>0.36000000000000004</x:v>
      </x:c>
      <x:c r="F1572" s="12" t="n">
        <x:v>0.35975</x:v>
      </x:c>
      <x:c r="G1572" s="12" t="n">
        <x:v>0</x:v>
      </x:c>
      <x:c r="H1572" s="1" t="n">
        <x:f>'Historical prices'!E1572</x:f>
        <x:v>1.05</x:v>
      </x:c>
      <x:c r="I1572" s="6" t="n">
        <x:f>'Historical prices'!D1572</x:f>
        <x:v>0.2066</x:v>
      </x:c>
      <x:c r="J1572" s="13" t="n">
        <x:f>D1572*I1572*H1572</x:f>
        <x:v>0</x:v>
      </x:c>
      <x:c r="K1572" s="13" t="n">
        <x:f>E1572*I1572*H1572</x:f>
        <x:v>0.07809480000000002</x:v>
      </x:c>
      <x:c r="L1572" s="1" t="str">
        <x:f>TEXT(A1572,"mmm yyyy")</x:f>
        <x:v>Jun 2026</x:v>
      </x:c>
    </x:row>
    <x:row r="1573" ht="21" customHeight="1">
      <x:c r="A1573" s="10" t="n">
        <x:v>46181</x:v>
      </x:c>
      <x:c r="B1573" s="1" t="n">
        <x:v>6.5</x:v>
      </x:c>
      <x:c r="C1573" s="1" t="n">
        <x:v>6</x:v>
      </x:c>
      <x:c r="D1573" s="12" t="n">
        <x:v>0.011916666666666667</x:v>
      </x:c>
      <x:c r="E1573" s="12" t="n">
        <x:v>0.6407499999999999</x:v>
      </x:c>
      <x:c r="F1573" s="12" t="n">
        <x:v>0.6288333333333332</x:v>
      </x:c>
      <x:c r="G1573" s="12" t="n">
        <x:v>0</x:v>
      </x:c>
      <x:c r="H1573" s="1" t="n">
        <x:f>'Historical prices'!E1573</x:f>
        <x:v>1.05</x:v>
      </x:c>
      <x:c r="I1573" s="6" t="n">
        <x:f>'Historical prices'!D1573</x:f>
        <x:v>0.2234</x:v>
      </x:c>
      <x:c r="J1573" s="13" t="n">
        <x:f>D1573*I1573*H1573</x:f>
        <x:v>0.0027952925</x:v>
      </x:c>
      <x:c r="K1573" s="13" t="n">
        <x:f>E1573*I1573*H1573</x:f>
        <x:v>0.15030072749999998</x:v>
      </x:c>
      <x:c r="L1573" s="1" t="str">
        <x:f>TEXT(A1573,"mmm yyyy")</x:f>
        <x:v>Jun 2026</x:v>
      </x:c>
    </x:row>
    <x:row r="1574" ht="21" customHeight="1">
      <x:c r="A1574" s="10" t="n">
        <x:v>46181</x:v>
      </x:c>
      <x:c r="B1574" s="1" t="n">
        <x:v>7</x:v>
      </x:c>
      <x:c r="C1574" s="1" t="n">
        <x:v>6</x:v>
      </x:c>
      <x:c r="D1574" s="12" t="n">
        <x:v>0</x:v>
      </x:c>
      <x:c r="E1574" s="12" t="n">
        <x:v>0.6576666666666666</x:v>
      </x:c>
      <x:c r="F1574" s="12" t="n">
        <x:v>0.6575833333333333</x:v>
      </x:c>
      <x:c r="G1574" s="12" t="n">
        <x:v>0</x:v>
      </x:c>
      <x:c r="H1574" s="1" t="n">
        <x:f>'Historical prices'!E1574</x:f>
        <x:v>1.05</x:v>
      </x:c>
      <x:c r="I1574" s="6" t="n">
        <x:f>'Historical prices'!D1574</x:f>
        <x:v>0.2006</x:v>
      </x:c>
      <x:c r="J1574" s="13" t="n">
        <x:f>D1574*I1574*H1574</x:f>
        <x:v>0</x:v>
      </x:c>
      <x:c r="K1574" s="13" t="n">
        <x:f>E1574*I1574*H1574</x:f>
        <x:v>0.13852433</x:v>
      </x:c>
      <x:c r="L1574" s="1" t="str">
        <x:f>TEXT(A1574,"mmm yyyy")</x:f>
        <x:v>Jun 2026</x:v>
      </x:c>
    </x:row>
    <x:row r="1575" ht="21" customHeight="1">
      <x:c r="A1575" s="10" t="n">
        <x:v>46181</x:v>
      </x:c>
      <x:c r="B1575" s="1" t="n">
        <x:v>7.5</x:v>
      </x:c>
      <x:c r="C1575" s="1" t="n">
        <x:v>6</x:v>
      </x:c>
      <x:c r="D1575" s="12" t="n">
        <x:v>0.08608333333333333</x:v>
      </x:c>
      <x:c r="E1575" s="12" t="n">
        <x:v>0.6990833333333333</x:v>
      </x:c>
      <x:c r="F1575" s="12" t="n">
        <x:v>0.6129166666666667</x:v>
      </x:c>
      <x:c r="G1575" s="12" t="n">
        <x:v>0</x:v>
      </x:c>
      <x:c r="H1575" s="1" t="n">
        <x:f>'Historical prices'!E1575</x:f>
        <x:v>1.05</x:v>
      </x:c>
      <x:c r="I1575" s="6" t="n">
        <x:f>'Historical prices'!D1575</x:f>
        <x:v>0.2329</x:v>
      </x:c>
      <x:c r="J1575" s="13" t="n">
        <x:f>D1575*I1575*H1575</x:f>
        <x:v>0.021051248749999998</x:v>
      </x:c>
      <x:c r="K1575" s="13" t="n">
        <x:f>E1575*I1575*H1575</x:f>
        <x:v>0.17095733374999997</x:v>
      </x:c>
      <x:c r="L1575" s="1" t="str">
        <x:f>TEXT(A1575,"mmm yyyy")</x:f>
        <x:v>Jun 2026</x:v>
      </x:c>
    </x:row>
    <x:row r="1576" ht="21" customHeight="1">
      <x:c r="A1576" s="10" t="n">
        <x:v>46181</x:v>
      </x:c>
      <x:c r="B1576" s="1" t="n">
        <x:v>8</x:v>
      </x:c>
      <x:c r="C1576" s="1" t="n">
        <x:v>6</x:v>
      </x:c>
      <x:c r="D1576" s="12" t="n">
        <x:v>0</x:v>
      </x:c>
      <x:c r="E1576" s="12" t="n">
        <x:v>0.49600000000000005</x:v>
      </x:c>
      <x:c r="F1576" s="12" t="n">
        <x:v>0.49583333333333335</x:v>
      </x:c>
      <x:c r="G1576" s="12" t="n">
        <x:v>0</x:v>
      </x:c>
      <x:c r="H1576" s="1" t="n">
        <x:f>'Historical prices'!E1576</x:f>
        <x:v>1.05</x:v>
      </x:c>
      <x:c r="I1576" s="6" t="n">
        <x:f>'Historical prices'!D1576</x:f>
        <x:v>0.2238</x:v>
      </x:c>
      <x:c r="J1576" s="13" t="n">
        <x:f>D1576*I1576*H1576</x:f>
        <x:v>0</x:v>
      </x:c>
      <x:c r="K1576" s="13" t="n">
        <x:f>E1576*I1576*H1576</x:f>
        <x:v>0.11655504000000003</x:v>
      </x:c>
      <x:c r="L1576" s="1" t="str">
        <x:f>TEXT(A1576,"mmm yyyy")</x:f>
        <x:v>Jun 2026</x:v>
      </x:c>
    </x:row>
    <x:row r="1577" ht="21" customHeight="1">
      <x:c r="A1577" s="10" t="n">
        <x:v>46181</x:v>
      </x:c>
      <x:c r="B1577" s="1" t="n">
        <x:v>8.5</x:v>
      </x:c>
      <x:c r="C1577" s="1" t="n">
        <x:v>6</x:v>
      </x:c>
      <x:c r="D1577" s="12" t="n">
        <x:v>0</x:v>
      </x:c>
      <x:c r="E1577" s="12" t="n">
        <x:v>0.5259166666666666</x:v>
      </x:c>
      <x:c r="F1577" s="12" t="n">
        <x:v>0.5255833333333333</x:v>
      </x:c>
      <x:c r="G1577" s="12" t="n">
        <x:v>0</x:v>
      </x:c>
      <x:c r="H1577" s="1" t="n">
        <x:f>'Historical prices'!E1577</x:f>
        <x:v>1.05</x:v>
      </x:c>
      <x:c r="I1577" s="6" t="n">
        <x:f>'Historical prices'!D1577</x:f>
        <x:v>0.2238</x:v>
      </x:c>
      <x:c r="J1577" s="13" t="n">
        <x:f>D1577*I1577*H1577</x:f>
        <x:v>0</x:v>
      </x:c>
      <x:c r="K1577" s="13" t="n">
        <x:f>E1577*I1577*H1577</x:f>
        <x:v>0.12358515749999997</x:v>
      </x:c>
      <x:c r="L1577" s="1" t="str">
        <x:f>TEXT(A1577,"mmm yyyy")</x:f>
        <x:v>Jun 2026</x:v>
      </x:c>
    </x:row>
    <x:row r="1578" ht="21" customHeight="1">
      <x:c r="A1578" s="10" t="n">
        <x:v>46181</x:v>
      </x:c>
      <x:c r="B1578" s="1" t="n">
        <x:v>9</x:v>
      </x:c>
      <x:c r="C1578" s="1" t="n">
        <x:v>6</x:v>
      </x:c>
      <x:c r="D1578" s="12" t="n">
        <x:v>0</x:v>
      </x:c>
      <x:c r="E1578" s="12" t="n">
        <x:v>0.5519166666666666</x:v>
      </x:c>
      <x:c r="F1578" s="12" t="n">
        <x:v>0.5518333333333333</x:v>
      </x:c>
      <x:c r="G1578" s="12" t="n">
        <x:v>0</x:v>
      </x:c>
      <x:c r="H1578" s="1" t="n">
        <x:f>'Historical prices'!E1578</x:f>
        <x:v>1.05</x:v>
      </x:c>
      <x:c r="I1578" s="6" t="n">
        <x:f>'Historical prices'!D1578</x:f>
        <x:v>0.2144</x:v>
      </x:c>
      <x:c r="J1578" s="13" t="n">
        <x:f>D1578*I1578*H1578</x:f>
        <x:v>0</x:v>
      </x:c>
      <x:c r="K1578" s="13" t="n">
        <x:f>E1578*I1578*H1578</x:f>
        <x:v>0.12424748</x:v>
      </x:c>
      <x:c r="L1578" s="1" t="str">
        <x:f>TEXT(A1578,"mmm yyyy")</x:f>
        <x:v>Jun 2026</x:v>
      </x:c>
    </x:row>
    <x:row r="1579" ht="21" customHeight="1">
      <x:c r="A1579" s="10" t="n">
        <x:v>46181</x:v>
      </x:c>
      <x:c r="B1579" s="1" t="n">
        <x:v>9.5</x:v>
      </x:c>
      <x:c r="C1579" s="1" t="n">
        <x:v>6</x:v>
      </x:c>
      <x:c r="D1579" s="12" t="n">
        <x:v>0</x:v>
      </x:c>
      <x:c r="E1579" s="12" t="n">
        <x:v>0.5349166666666667</x:v>
      </x:c>
      <x:c r="F1579" s="12" t="n">
        <x:v>0.5349166666666667</x:v>
      </x:c>
      <x:c r="G1579" s="12" t="n">
        <x:v>0</x:v>
      </x:c>
      <x:c r="H1579" s="1" t="n">
        <x:f>'Historical prices'!E1579</x:f>
        <x:v>1.05</x:v>
      </x:c>
      <x:c r="I1579" s="6" t="n">
        <x:f>'Historical prices'!D1579</x:f>
        <x:v>0.21760000000000002</x:v>
      </x:c>
      <x:c r="J1579" s="13" t="n">
        <x:f>D1579*I1579*H1579</x:f>
        <x:v>0</x:v>
      </x:c>
      <x:c r="K1579" s="13" t="n">
        <x:f>E1579*I1579*H1579</x:f>
        <x:v>0.12221776000000002</x:v>
      </x:c>
      <x:c r="L1579" s="1" t="str">
        <x:f>TEXT(A1579,"mmm yyyy")</x:f>
        <x:v>Jun 2026</x:v>
      </x:c>
    </x:row>
    <x:row r="1580" ht="21" customHeight="1">
      <x:c r="A1580" s="10" t="n">
        <x:v>46181</x:v>
      </x:c>
      <x:c r="B1580" s="1" t="n">
        <x:v>10</x:v>
      </x:c>
      <x:c r="C1580" s="1" t="n">
        <x:v>6</x:v>
      </x:c>
      <x:c r="D1580" s="12" t="n">
        <x:v>0</x:v>
      </x:c>
      <x:c r="E1580" s="12" t="n">
        <x:v>0.591</x:v>
      </x:c>
      <x:c r="F1580" s="12" t="n">
        <x:v>0.5906666666666667</x:v>
      </x:c>
      <x:c r="G1580" s="12" t="n">
        <x:v>0</x:v>
      </x:c>
      <x:c r="H1580" s="1" t="n">
        <x:f>'Historical prices'!E1580</x:f>
        <x:v>1.05</x:v>
      </x:c>
      <x:c r="I1580" s="6" t="n">
        <x:f>'Historical prices'!D1580</x:f>
        <x:v>0.20739999999999997</x:v>
      </x:c>
      <x:c r="J1580" s="13" t="n">
        <x:f>D1580*I1580*H1580</x:f>
        <x:v>0</x:v>
      </x:c>
      <x:c r="K1580" s="13" t="n">
        <x:f>E1580*I1580*H1580</x:f>
        <x:v>0.12870206999999997</x:v>
      </x:c>
      <x:c r="L1580" s="1" t="str">
        <x:f>TEXT(A1580,"mmm yyyy")</x:f>
        <x:v>Jun 2026</x:v>
      </x:c>
    </x:row>
    <x:row r="1581" ht="21" customHeight="1">
      <x:c r="A1581" s="10" t="n">
        <x:v>46181</x:v>
      </x:c>
      <x:c r="B1581" s="1" t="n">
        <x:v>10.5</x:v>
      </x:c>
      <x:c r="C1581" s="1" t="n">
        <x:v>6</x:v>
      </x:c>
      <x:c r="D1581" s="12" t="n">
        <x:v>0</x:v>
      </x:c>
      <x:c r="E1581" s="12" t="n">
        <x:v>0.5378333333333334</x:v>
      </x:c>
      <x:c r="F1581" s="12" t="n">
        <x:v>0.5376666666666666</x:v>
      </x:c>
      <x:c r="G1581" s="12" t="n">
        <x:v>0</x:v>
      </x:c>
      <x:c r="H1581" s="1" t="n">
        <x:f>'Historical prices'!E1581</x:f>
        <x:v>1.05</x:v>
      </x:c>
      <x:c r="I1581" s="6" t="n">
        <x:f>'Historical prices'!D1581</x:f>
        <x:v>0.2024</x:v>
      </x:c>
      <x:c r="J1581" s="13" t="n">
        <x:f>D1581*I1581*H1581</x:f>
        <x:v>0</x:v>
      </x:c>
      <x:c r="K1581" s="13" t="n">
        <x:f>E1581*I1581*H1581</x:f>
        <x:v>0.11430034000000001</x:v>
      </x:c>
      <x:c r="L1581" s="1" t="str">
        <x:f>TEXT(A1581,"mmm yyyy")</x:f>
        <x:v>Jun 2026</x:v>
      </x:c>
    </x:row>
    <x:row r="1582" ht="21" customHeight="1">
      <x:c r="A1582" s="10" t="n">
        <x:v>46181</x:v>
      </x:c>
      <x:c r="B1582" s="1" t="n">
        <x:v>11</x:v>
      </x:c>
      <x:c r="C1582" s="1" t="n">
        <x:v>6</x:v>
      </x:c>
      <x:c r="D1582" s="12" t="n">
        <x:v>0</x:v>
      </x:c>
      <x:c r="E1582" s="12" t="n">
        <x:v>0.7725</x:v>
      </x:c>
      <x:c r="F1582" s="12" t="n">
        <x:v>0.7725</x:v>
      </x:c>
      <x:c r="G1582" s="12" t="n">
        <x:v>0</x:v>
      </x:c>
      <x:c r="H1582" s="1" t="n">
        <x:f>'Historical prices'!E1582</x:f>
        <x:v>1.05</x:v>
      </x:c>
      <x:c r="I1582" s="6" t="n">
        <x:f>'Historical prices'!D1582</x:f>
        <x:v>0.19760000000000003</x:v>
      </x:c>
      <x:c r="J1582" s="13" t="n">
        <x:f>D1582*I1582*H1582</x:f>
        <x:v>0</x:v>
      </x:c>
      <x:c r="K1582" s="13" t="n">
        <x:f>E1582*I1582*H1582</x:f>
        <x:v>0.1602783</x:v>
      </x:c>
      <x:c r="L1582" s="1" t="str">
        <x:f>TEXT(A1582,"mmm yyyy")</x:f>
        <x:v>Jun 2026</x:v>
      </x:c>
    </x:row>
    <x:row r="1583" ht="21" customHeight="1">
      <x:c r="A1583" s="10" t="n">
        <x:v>46181</x:v>
      </x:c>
      <x:c r="B1583" s="1" t="n">
        <x:v>11.5</x:v>
      </x:c>
      <x:c r="C1583" s="1" t="n">
        <x:v>6</x:v>
      </x:c>
      <x:c r="D1583" s="12" t="n">
        <x:v>0</x:v>
      </x:c>
      <x:c r="E1583" s="12" t="n">
        <x:v>0.6655833333333333</x:v>
      </x:c>
      <x:c r="F1583" s="12" t="n">
        <x:v>0.6655</x:v>
      </x:c>
      <x:c r="G1583" s="12" t="n">
        <x:v>0</x:v>
      </x:c>
      <x:c r="H1583" s="1" t="n">
        <x:f>'Historical prices'!E1583</x:f>
        <x:v>1.05</x:v>
      </x:c>
      <x:c r="I1583" s="6" t="n">
        <x:f>'Historical prices'!D1583</x:f>
        <x:v>0.18710000000000002</x:v>
      </x:c>
      <x:c r="J1583" s="13" t="n">
        <x:f>D1583*I1583*H1583</x:f>
        <x:v>0</x:v>
      </x:c>
      <x:c r="K1583" s="13" t="n">
        <x:f>E1583*I1583*H1583</x:f>
        <x:v>0.13075717375</x:v>
      </x:c>
      <x:c r="L1583" s="1" t="str">
        <x:f>TEXT(A1583,"mmm yyyy")</x:f>
        <x:v>Jun 2026</x:v>
      </x:c>
    </x:row>
    <x:row r="1584" ht="21" customHeight="1">
      <x:c r="A1584" s="10" t="n">
        <x:v>46181</x:v>
      </x:c>
      <x:c r="B1584" s="1" t="n">
        <x:v>12</x:v>
      </x:c>
      <x:c r="C1584" s="1" t="n">
        <x:v>6</x:v>
      </x:c>
      <x:c r="D1584" s="12" t="n">
        <x:v>0.02575</x:v>
      </x:c>
      <x:c r="E1584" s="12" t="n">
        <x:v>0.39866666666666667</x:v>
      </x:c>
      <x:c r="F1584" s="12" t="n">
        <x:v>0.36783333333333335</x:v>
      </x:c>
      <x:c r="G1584" s="12" t="n">
        <x:v>0</x:v>
      </x:c>
      <x:c r="H1584" s="1" t="n">
        <x:f>'Historical prices'!E1584</x:f>
        <x:v>1.05</x:v>
      </x:c>
      <x:c r="I1584" s="6" t="n">
        <x:f>'Historical prices'!D1584</x:f>
        <x:v>0.1812</x:v>
      </x:c>
      <x:c r="J1584" s="13" t="n">
        <x:f>D1584*I1584*H1584</x:f>
        <x:v>0.004899195</x:v>
      </x:c>
      <x:c r="K1584" s="13" t="n">
        <x:f>E1584*I1584*H1584</x:f>
        <x:v>0.07585032</x:v>
      </x:c>
      <x:c r="L1584" s="1" t="str">
        <x:f>TEXT(A1584,"mmm yyyy")</x:f>
        <x:v>Jun 2026</x:v>
      </x:c>
    </x:row>
    <x:row r="1585" ht="21" customHeight="1">
      <x:c r="A1585" s="10" t="n">
        <x:v>46181</x:v>
      </x:c>
      <x:c r="B1585" s="1" t="n">
        <x:v>12.5</x:v>
      </x:c>
      <x:c r="C1585" s="1" t="n">
        <x:v>6</x:v>
      </x:c>
      <x:c r="D1585" s="12" t="n">
        <x:v>0</x:v>
      </x:c>
      <x:c r="E1585" s="12" t="n">
        <x:v>0.36433333333333334</x:v>
      </x:c>
      <x:c r="F1585" s="12" t="n">
        <x:v>0.36400000000000005</x:v>
      </x:c>
      <x:c r="G1585" s="12" t="n">
        <x:v>0</x:v>
      </x:c>
      <x:c r="H1585" s="1" t="n">
        <x:f>'Historical prices'!E1585</x:f>
        <x:v>1.05</x:v>
      </x:c>
      <x:c r="I1585" s="6" t="n">
        <x:f>'Historical prices'!D1585</x:f>
        <x:v>0.1703</x:v>
      </x:c>
      <x:c r="J1585" s="13" t="n">
        <x:f>D1585*I1585*H1585</x:f>
        <x:v>0</x:v>
      </x:c>
      <x:c r="K1585" s="13" t="n">
        <x:f>E1585*I1585*H1585</x:f>
        <x:v>0.065148265</x:v>
      </x:c>
      <x:c r="L1585" s="1" t="str">
        <x:f>TEXT(A1585,"mmm yyyy")</x:f>
        <x:v>Jun 2026</x:v>
      </x:c>
    </x:row>
    <x:row r="1586" ht="21" customHeight="1">
      <x:c r="A1586" s="10" t="n">
        <x:v>46181</x:v>
      </x:c>
      <x:c r="B1586" s="1" t="n">
        <x:v>13</x:v>
      </x:c>
      <x:c r="C1586" s="1" t="n">
        <x:v>6</x:v>
      </x:c>
      <x:c r="D1586" s="12" t="n">
        <x:v>0</x:v>
      </x:c>
      <x:c r="E1586" s="12" t="n">
        <x:v>0.5309166666666667</x:v>
      </x:c>
      <x:c r="F1586" s="12" t="n">
        <x:v>0.5307499999999999</x:v>
      </x:c>
      <x:c r="G1586" s="12" t="n">
        <x:v>0</x:v>
      </x:c>
      <x:c r="H1586" s="1" t="n">
        <x:f>'Historical prices'!E1586</x:f>
        <x:v>1.05</x:v>
      </x:c>
      <x:c r="I1586" s="6" t="n">
        <x:f>'Historical prices'!D1586</x:f>
        <x:v>0.147</x:v>
      </x:c>
      <x:c r="J1586" s="13" t="n">
        <x:f>D1586*I1586*H1586</x:f>
        <x:v>0</x:v>
      </x:c>
      <x:c r="K1586" s="13" t="n">
        <x:f>E1586*I1586*H1586</x:f>
        <x:v>0.0819469875</x:v>
      </x:c>
      <x:c r="L1586" s="1" t="str">
        <x:f>TEXT(A1586,"mmm yyyy")</x:f>
        <x:v>Jun 2026</x:v>
      </x:c>
    </x:row>
    <x:row r="1587" ht="21" customHeight="1">
      <x:c r="A1587" s="10" t="n">
        <x:v>46181</x:v>
      </x:c>
      <x:c r="B1587" s="1" t="n">
        <x:v>13.5</x:v>
      </x:c>
      <x:c r="C1587" s="1" t="n">
        <x:v>6</x:v>
      </x:c>
      <x:c r="D1587" s="12" t="n">
        <x:v>0</x:v>
      </x:c>
      <x:c r="E1587" s="12" t="n">
        <x:v>0.46875000000000006</x:v>
      </x:c>
      <x:c r="F1587" s="12" t="n">
        <x:v>0.4686666666666667</x:v>
      </x:c>
      <x:c r="G1587" s="12" t="n">
        <x:v>0</x:v>
      </x:c>
      <x:c r="H1587" s="1" t="n">
        <x:f>'Historical prices'!E1587</x:f>
        <x:v>1.05</x:v>
      </x:c>
      <x:c r="I1587" s="6" t="n">
        <x:f>'Historical prices'!D1587</x:f>
        <x:v>0.147</x:v>
      </x:c>
      <x:c r="J1587" s="13" t="n">
        <x:f>D1587*I1587*H1587</x:f>
        <x:v>0</x:v>
      </x:c>
      <x:c r="K1587" s="13" t="n">
        <x:f>E1587*I1587*H1587</x:f>
        <x:v>0.07235156250000001</x:v>
      </x:c>
      <x:c r="L1587" s="1" t="str">
        <x:f>TEXT(A1587,"mmm yyyy")</x:f>
        <x:v>Jun 2026</x:v>
      </x:c>
    </x:row>
    <x:row r="1588" ht="21" customHeight="1">
      <x:c r="A1588" s="10" t="n">
        <x:v>46181</x:v>
      </x:c>
      <x:c r="B1588" s="1" t="n">
        <x:v>14</x:v>
      </x:c>
      <x:c r="C1588" s="1" t="n">
        <x:v>6</x:v>
      </x:c>
      <x:c r="D1588" s="12" t="n">
        <x:v>0</x:v>
      </x:c>
      <x:c r="E1588" s="12" t="n">
        <x:v>0.3868333333333333</x:v>
      </x:c>
      <x:c r="F1588" s="12" t="n">
        <x:v>0.38675</x:v>
      </x:c>
      <x:c r="G1588" s="12" t="n">
        <x:v>0</x:v>
      </x:c>
      <x:c r="H1588" s="1" t="n">
        <x:f>'Historical prices'!E1588</x:f>
        <x:v>1.05</x:v>
      </x:c>
      <x:c r="I1588" s="6" t="n">
        <x:f>'Historical prices'!D1588</x:f>
        <x:v>0.147</x:v>
      </x:c>
      <x:c r="J1588" s="13" t="n">
        <x:f>D1588*I1588*H1588</x:f>
        <x:v>0</x:v>
      </x:c>
      <x:c r="K1588" s="13" t="n">
        <x:f>E1588*I1588*H1588</x:f>
        <x:v>0.059707724999999996</x:v>
      </x:c>
      <x:c r="L1588" s="1" t="str">
        <x:f>TEXT(A1588,"mmm yyyy")</x:f>
        <x:v>Jun 2026</x:v>
      </x:c>
    </x:row>
    <x:row r="1589" ht="21" customHeight="1">
      <x:c r="A1589" s="10" t="n">
        <x:v>46181</x:v>
      </x:c>
      <x:c r="B1589" s="1" t="n">
        <x:v>14.5</x:v>
      </x:c>
      <x:c r="C1589" s="1" t="n">
        <x:v>6</x:v>
      </x:c>
      <x:c r="D1589" s="12" t="n">
        <x:v>0</x:v>
      </x:c>
      <x:c r="E1589" s="12" t="n">
        <x:v>0.47174999999999995</x:v>
      </x:c>
      <x:c r="F1589" s="12" t="n">
        <x:v>0.47174999999999995</x:v>
      </x:c>
      <x:c r="G1589" s="12" t="n">
        <x:v>0</x:v>
      </x:c>
      <x:c r="H1589" s="1" t="n">
        <x:f>'Historical prices'!E1589</x:f>
        <x:v>1.05</x:v>
      </x:c>
      <x:c r="I1589" s="6" t="n">
        <x:f>'Historical prices'!D1589</x:f>
        <x:v>0.147</x:v>
      </x:c>
      <x:c r="J1589" s="13" t="n">
        <x:f>D1589*I1589*H1589</x:f>
        <x:v>0</x:v>
      </x:c>
      <x:c r="K1589" s="13" t="n">
        <x:f>E1589*I1589*H1589</x:f>
        <x:v>0.07281461249999999</x:v>
      </x:c>
      <x:c r="L1589" s="1" t="str">
        <x:f>TEXT(A1589,"mmm yyyy")</x:f>
        <x:v>Jun 2026</x:v>
      </x:c>
    </x:row>
    <x:row r="1590" ht="21" customHeight="1">
      <x:c r="A1590" s="10" t="n">
        <x:v>46181</x:v>
      </x:c>
      <x:c r="B1590" s="1" t="n">
        <x:v>15</x:v>
      </x:c>
      <x:c r="C1590" s="1" t="n">
        <x:v>6</x:v>
      </x:c>
      <x:c r="D1590" s="12" t="n">
        <x:v>0</x:v>
      </x:c>
      <x:c r="E1590" s="12" t="n">
        <x:v>0.692</x:v>
      </x:c>
      <x:c r="F1590" s="12" t="n">
        <x:v>0.69175</x:v>
      </x:c>
      <x:c r="G1590" s="12" t="n">
        <x:v>0</x:v>
      </x:c>
      <x:c r="H1590" s="1" t="n">
        <x:f>'Historical prices'!E1590</x:f>
        <x:v>1.05</x:v>
      </x:c>
      <x:c r="I1590" s="6" t="n">
        <x:f>'Historical prices'!D1590</x:f>
        <x:v>0.1522</x:v>
      </x:c>
      <x:c r="J1590" s="13" t="n">
        <x:f>D1590*I1590*H1590</x:f>
        <x:v>0</x:v>
      </x:c>
      <x:c r="K1590" s="13" t="n">
        <x:f>E1590*I1590*H1590</x:f>
        <x:v>0.11058852</x:v>
      </x:c>
      <x:c r="L1590" s="1" t="str">
        <x:f>TEXT(A1590,"mmm yyyy")</x:f>
        <x:v>Jun 2026</x:v>
      </x:c>
    </x:row>
    <x:row r="1591" ht="21" customHeight="1">
      <x:c r="A1591" s="10" t="n">
        <x:v>46181</x:v>
      </x:c>
      <x:c r="B1591" s="1" t="n">
        <x:v>15.5</x:v>
      </x:c>
      <x:c r="C1591" s="1" t="n">
        <x:v>6</x:v>
      </x:c>
      <x:c r="D1591" s="12" t="n">
        <x:v>0</x:v>
      </x:c>
      <x:c r="E1591" s="12" t="n">
        <x:v>0.6259166666666667</x:v>
      </x:c>
      <x:c r="F1591" s="12" t="n">
        <x:v>0.6259166666666667</x:v>
      </x:c>
      <x:c r="G1591" s="12" t="n">
        <x:v>0</x:v>
      </x:c>
      <x:c r="H1591" s="1" t="n">
        <x:f>'Historical prices'!E1591</x:f>
        <x:v>1.05</x:v>
      </x:c>
      <x:c r="I1591" s="6" t="n">
        <x:f>'Historical prices'!D1591</x:f>
        <x:v>0.147</x:v>
      </x:c>
      <x:c r="J1591" s="13" t="n">
        <x:f>D1591*I1591*H1591</x:f>
        <x:v>0</x:v>
      </x:c>
      <x:c r="K1591" s="13" t="n">
        <x:f>E1591*I1591*H1591</x:f>
        <x:v>0.0966102375</x:v>
      </x:c>
      <x:c r="L1591" s="1" t="str">
        <x:f>TEXT(A1591,"mmm yyyy")</x:f>
        <x:v>Jun 2026</x:v>
      </x:c>
    </x:row>
    <x:row r="1592" ht="21" customHeight="1">
      <x:c r="A1592" s="10" t="n">
        <x:v>46181</x:v>
      </x:c>
      <x:c r="B1592" s="1" t="n">
        <x:v>16</x:v>
      </x:c>
      <x:c r="C1592" s="1" t="n">
        <x:v>6</x:v>
      </x:c>
      <x:c r="D1592" s="12" t="n">
        <x:v>0</x:v>
      </x:c>
      <x:c r="E1592" s="12" t="n">
        <x:v>0.6745</x:v>
      </x:c>
      <x:c r="F1592" s="12" t="n">
        <x:v>0.6745</x:v>
      </x:c>
      <x:c r="G1592" s="12" t="n">
        <x:v>0</x:v>
      </x:c>
      <x:c r="H1592" s="1" t="n">
        <x:f>'Historical prices'!E1592</x:f>
        <x:v>1.05</x:v>
      </x:c>
      <x:c r="I1592" s="6" t="n">
        <x:f>'Historical prices'!D1592</x:f>
        <x:v>0.2945</x:v>
      </x:c>
      <x:c r="J1592" s="13" t="n">
        <x:f>D1592*I1592*H1592</x:f>
        <x:v>0</x:v>
      </x:c>
      <x:c r="K1592" s="13" t="n">
        <x:f>E1592*I1592*H1592</x:f>
        <x:v>0.2085722625</x:v>
      </x:c>
      <x:c r="L1592" s="1" t="str">
        <x:f>TEXT(A1592,"mmm yyyy")</x:f>
        <x:v>Jun 2026</x:v>
      </x:c>
    </x:row>
    <x:row r="1593" ht="21" customHeight="1">
      <x:c r="A1593" s="10" t="n">
        <x:v>46181</x:v>
      </x:c>
      <x:c r="B1593" s="1" t="n">
        <x:v>16.5</x:v>
      </x:c>
      <x:c r="C1593" s="1" t="n">
        <x:v>6</x:v>
      </x:c>
      <x:c r="D1593" s="12" t="n">
        <x:v>0</x:v>
      </x:c>
      <x:c r="E1593" s="12" t="n">
        <x:v>0.5458333333333334</x:v>
      </x:c>
      <x:c r="F1593" s="12" t="n">
        <x:v>0.5456666666666666</x:v>
      </x:c>
      <x:c r="G1593" s="12" t="n">
        <x:v>0</x:v>
      </x:c>
      <x:c r="H1593" s="1" t="n">
        <x:f>'Historical prices'!E1593</x:f>
        <x:v>1.05</x:v>
      </x:c>
      <x:c r="I1593" s="6" t="n">
        <x:f>'Historical prices'!D1593</x:f>
        <x:v>0.2967</x:v>
      </x:c>
      <x:c r="J1593" s="13" t="n">
        <x:f>D1593*I1593*H1593</x:f>
        <x:v>0</x:v>
      </x:c>
      <x:c r="K1593" s="13" t="n">
        <x:f>E1593*I1593*H1593</x:f>
        <x:v>0.17004618750000003</x:v>
      </x:c>
      <x:c r="L1593" s="1" t="str">
        <x:f>TEXT(A1593,"mmm yyyy")</x:f>
        <x:v>Jun 2026</x:v>
      </x:c>
    </x:row>
    <x:row r="1594" ht="21" customHeight="1">
      <x:c r="A1594" s="10" t="n">
        <x:v>46181</x:v>
      </x:c>
      <x:c r="B1594" s="1" t="n">
        <x:v>17</x:v>
      </x:c>
      <x:c r="C1594" s="1" t="n">
        <x:v>6</x:v>
      </x:c>
      <x:c r="D1594" s="12" t="n">
        <x:v>0</x:v>
      </x:c>
      <x:c r="E1594" s="12" t="n">
        <x:v>0.4300833333333334</x:v>
      </x:c>
      <x:c r="F1594" s="12" t="n">
        <x:v>0.4299166666666667</x:v>
      </x:c>
      <x:c r="G1594" s="12" t="n">
        <x:v>0</x:v>
      </x:c>
      <x:c r="H1594" s="1" t="n">
        <x:f>'Historical prices'!E1594</x:f>
        <x:v>1.05</x:v>
      </x:c>
      <x:c r="I1594" s="6" t="n">
        <x:f>'Historical prices'!D1594</x:f>
        <x:v>0.33020000000000005</x:v>
      </x:c>
      <x:c r="J1594" s="13" t="n">
        <x:f>D1594*I1594*H1594</x:f>
        <x:v>0</x:v>
      </x:c>
      <x:c r="K1594" s="13" t="n">
        <x:f>E1594*I1594*H1594</x:f>
        <x:v>0.14911419250000005</x:v>
      </x:c>
      <x:c r="L1594" s="1" t="str">
        <x:f>TEXT(A1594,"mmm yyyy")</x:f>
        <x:v>Jun 2026</x:v>
      </x:c>
    </x:row>
    <x:row r="1595" ht="21" customHeight="1">
      <x:c r="A1595" s="10" t="n">
        <x:v>46181</x:v>
      </x:c>
      <x:c r="B1595" s="1" t="n">
        <x:v>17.5</x:v>
      </x:c>
      <x:c r="C1595" s="1" t="n">
        <x:v>6</x:v>
      </x:c>
      <x:c r="D1595" s="12" t="n">
        <x:v>0</x:v>
      </x:c>
      <x:c r="E1595" s="12" t="n">
        <x:v>0.47583333333333333</x:v>
      </x:c>
      <x:c r="F1595" s="12" t="n">
        <x:v>0.47550000000000003</x:v>
      </x:c>
      <x:c r="G1595" s="12" t="n">
        <x:v>0</x:v>
      </x:c>
      <x:c r="H1595" s="1" t="n">
        <x:f>'Historical prices'!E1595</x:f>
        <x:v>1.05</x:v>
      </x:c>
      <x:c r="I1595" s="6" t="n">
        <x:f>'Historical prices'!D1595</x:f>
        <x:v>0.3422</x:v>
      </x:c>
      <x:c r="J1595" s="13" t="n">
        <x:f>D1595*I1595*H1595</x:f>
        <x:v>0</x:v>
      </x:c>
      <x:c r="K1595" s="13" t="n">
        <x:f>E1595*I1595*H1595</x:f>
        <x:v>0.17097167500000002</x:v>
      </x:c>
      <x:c r="L1595" s="1" t="str">
        <x:f>TEXT(A1595,"mmm yyyy")</x:f>
        <x:v>Jun 2026</x:v>
      </x:c>
    </x:row>
    <x:row r="1596" ht="21" customHeight="1">
      <x:c r="A1596" s="10" t="n">
        <x:v>46181</x:v>
      </x:c>
      <x:c r="B1596" s="1" t="n">
        <x:v>18</x:v>
      </x:c>
      <x:c r="C1596" s="1" t="n">
        <x:v>6</x:v>
      </x:c>
      <x:c r="D1596" s="12" t="n">
        <x:v>0</x:v>
      </x:c>
      <x:c r="E1596" s="12" t="n">
        <x:v>0.5509166666666666</x:v>
      </x:c>
      <x:c r="F1596" s="12" t="n">
        <x:v>0.5508333333333333</x:v>
      </x:c>
      <x:c r="G1596" s="12" t="n">
        <x:v>0</x:v>
      </x:c>
      <x:c r="H1596" s="1" t="n">
        <x:f>'Historical prices'!E1596</x:f>
        <x:v>1.05</x:v>
      </x:c>
      <x:c r="I1596" s="6" t="n">
        <x:f>'Historical prices'!D1596</x:f>
        <x:v>0.3544</x:v>
      </x:c>
      <x:c r="J1596" s="13" t="n">
        <x:f>D1596*I1596*H1596</x:f>
        <x:v>0</x:v>
      </x:c>
      <x:c r="K1596" s="13" t="n">
        <x:f>E1596*I1596*H1596</x:f>
        <x:v>0.20500711</x:v>
      </x:c>
      <x:c r="L1596" s="1" t="str">
        <x:f>TEXT(A1596,"mmm yyyy")</x:f>
        <x:v>Jun 2026</x:v>
      </x:c>
    </x:row>
    <x:row r="1597" ht="21" customHeight="1">
      <x:c r="A1597" s="10" t="n">
        <x:v>46181</x:v>
      </x:c>
      <x:c r="B1597" s="1" t="n">
        <x:v>18.5</x:v>
      </x:c>
      <x:c r="C1597" s="1" t="n">
        <x:v>6</x:v>
      </x:c>
      <x:c r="D1597" s="12" t="n">
        <x:v>0.008333333333333333</x:v>
      </x:c>
      <x:c r="E1597" s="12" t="n">
        <x:v>1.55575</x:v>
      </x:c>
      <x:c r="F1597" s="12" t="n">
        <x:v>1.547</x:v>
      </x:c>
      <x:c r="G1597" s="12" t="n">
        <x:v>0</x:v>
      </x:c>
      <x:c r="H1597" s="1" t="n">
        <x:f>'Historical prices'!E1597</x:f>
        <x:v>1.05</x:v>
      </x:c>
      <x:c r="I1597" s="6" t="n">
        <x:f>'Historical prices'!D1597</x:f>
        <x:v>0.35960000000000003</x:v>
      </x:c>
      <x:c r="J1597" s="13" t="n">
        <x:f>D1597*I1597*H1597</x:f>
        <x:v>0.0031465000000000004</x:v>
      </x:c>
      <x:c r="K1597" s="13" t="n">
        <x:f>E1597*I1597*H1597</x:f>
        <x:v>0.587420085</x:v>
      </x:c>
      <x:c r="L1597" s="1" t="str">
        <x:f>TEXT(A1597,"mmm yyyy")</x:f>
        <x:v>Jun 2026</x:v>
      </x:c>
    </x:row>
    <x:row r="1598" ht="21" customHeight="1">
      <x:c r="A1598" s="10" t="n">
        <x:v>46181</x:v>
      </x:c>
      <x:c r="B1598" s="1" t="n">
        <x:v>19</x:v>
      </x:c>
      <x:c r="C1598" s="1" t="n">
        <x:v>6</x:v>
      </x:c>
      <x:c r="D1598" s="12" t="n">
        <x:v>0</x:v>
      </x:c>
      <x:c r="E1598" s="12" t="n">
        <x:v>0.9670833333333332</x:v>
      </x:c>
      <x:c r="F1598" s="12" t="n">
        <x:v>0.9670833333333332</x:v>
      </x:c>
      <x:c r="G1598" s="12" t="n">
        <x:v>0</x:v>
      </x:c>
      <x:c r="H1598" s="1" t="n">
        <x:f>'Historical prices'!E1598</x:f>
        <x:v>1.05</x:v>
      </x:c>
      <x:c r="I1598" s="6" t="n">
        <x:f>'Historical prices'!D1598</x:f>
        <x:v>0.2396</x:v>
      </x:c>
      <x:c r="J1598" s="13" t="n">
        <x:f>D1598*I1598*H1598</x:f>
        <x:v>0</x:v>
      </x:c>
      <x:c r="K1598" s="13" t="n">
        <x:f>E1598*I1598*H1598</x:f>
        <x:v>0.24329882499999997</x:v>
      </x:c>
      <x:c r="L1598" s="1" t="str">
        <x:f>TEXT(A1598,"mmm yyyy")</x:f>
        <x:v>Jun 2026</x:v>
      </x:c>
    </x:row>
    <x:row r="1599" ht="21" customHeight="1">
      <x:c r="A1599" s="10" t="n">
        <x:v>46181</x:v>
      </x:c>
      <x:c r="B1599" s="1" t="n">
        <x:v>19.5</x:v>
      </x:c>
      <x:c r="C1599" s="1" t="n">
        <x:v>6</x:v>
      </x:c>
      <x:c r="D1599" s="12" t="n">
        <x:v>0</x:v>
      </x:c>
      <x:c r="E1599" s="12" t="n">
        <x:v>0.7349166666666667</x:v>
      </x:c>
      <x:c r="F1599" s="12" t="n">
        <x:v>0.73475</x:v>
      </x:c>
      <x:c r="G1599" s="12" t="n">
        <x:v>0</x:v>
      </x:c>
      <x:c r="H1599" s="1" t="n">
        <x:f>'Historical prices'!E1599</x:f>
        <x:v>1.05</x:v>
      </x:c>
      <x:c r="I1599" s="6" t="n">
        <x:f>'Historical prices'!D1599</x:f>
        <x:v>0.2396</x:v>
      </x:c>
      <x:c r="J1599" s="13" t="n">
        <x:f>D1599*I1599*H1599</x:f>
        <x:v>0</x:v>
      </x:c>
      <x:c r="K1599" s="13" t="n">
        <x:f>E1599*I1599*H1599</x:f>
        <x:v>0.18489033500000002</x:v>
      </x:c>
      <x:c r="L1599" s="1" t="str">
        <x:f>TEXT(A1599,"mmm yyyy")</x:f>
        <x:v>Jun 2026</x:v>
      </x:c>
    </x:row>
    <x:row r="1600" ht="21" customHeight="1">
      <x:c r="A1600" s="10" t="n">
        <x:v>46181</x:v>
      </x:c>
      <x:c r="B1600" s="1" t="n">
        <x:v>20</x:v>
      </x:c>
      <x:c r="C1600" s="1" t="n">
        <x:v>6</x:v>
      </x:c>
      <x:c r="D1600" s="12" t="n">
        <x:v>0</x:v>
      </x:c>
      <x:c r="E1600" s="12" t="n">
        <x:v>0.6255000000000001</x:v>
      </x:c>
      <x:c r="F1600" s="12" t="n">
        <x:v>0.6255000000000001</x:v>
      </x:c>
      <x:c r="G1600" s="12" t="n">
        <x:v>0</x:v>
      </x:c>
      <x:c r="H1600" s="1" t="n">
        <x:f>'Historical prices'!E1600</x:f>
        <x:v>1.05</x:v>
      </x:c>
      <x:c r="I1600" s="6" t="n">
        <x:f>'Historical prices'!D1600</x:f>
        <x:v>0.2422</x:v>
      </x:c>
      <x:c r="J1600" s="13" t="n">
        <x:f>D1600*I1600*H1600</x:f>
        <x:v>0</x:v>
      </x:c>
      <x:c r="K1600" s="13" t="n">
        <x:f>E1600*I1600*H1600</x:f>
        <x:v>0.15907090500000004</x:v>
      </x:c>
      <x:c r="L1600" s="1" t="str">
        <x:f>TEXT(A1600,"mmm yyyy")</x:f>
        <x:v>Jun 2026</x:v>
      </x:c>
    </x:row>
    <x:row r="1601" ht="21" customHeight="1">
      <x:c r="A1601" s="10" t="n">
        <x:v>46181</x:v>
      </x:c>
      <x:c r="B1601" s="1" t="n">
        <x:v>20.5</x:v>
      </x:c>
      <x:c r="C1601" s="1" t="n">
        <x:v>6</x:v>
      </x:c>
      <x:c r="D1601" s="12" t="n">
        <x:v>0</x:v>
      </x:c>
      <x:c r="E1601" s="12" t="n">
        <x:v>0.49091666666666667</x:v>
      </x:c>
      <x:c r="F1601" s="12" t="n">
        <x:v>0.49091666666666667</x:v>
      </x:c>
      <x:c r="G1601" s="12" t="n">
        <x:v>0</x:v>
      </x:c>
      <x:c r="H1601" s="1" t="n">
        <x:f>'Historical prices'!E1601</x:f>
        <x:v>1.05</x:v>
      </x:c>
      <x:c r="I1601" s="6" t="n">
        <x:f>'Historical prices'!D1601</x:f>
        <x:v>0.2414</x:v>
      </x:c>
      <x:c r="J1601" s="13" t="n">
        <x:f>D1601*I1601*H1601</x:f>
        <x:v>0</x:v>
      </x:c>
      <x:c r="K1601" s="13" t="n">
        <x:f>E1601*I1601*H1601</x:f>
        <x:v>0.12443264750000001</x:v>
      </x:c>
      <x:c r="L1601" s="1" t="str">
        <x:f>TEXT(A1601,"mmm yyyy")</x:f>
        <x:v>Jun 2026</x:v>
      </x:c>
    </x:row>
    <x:row r="1602" ht="21" customHeight="1">
      <x:c r="A1602" s="10" t="n">
        <x:v>46181</x:v>
      </x:c>
      <x:c r="B1602" s="1" t="n">
        <x:v>21</x:v>
      </x:c>
      <x:c r="C1602" s="1" t="n">
        <x:v>6</x:v>
      </x:c>
      <x:c r="D1602" s="12" t="n">
        <x:v>0</x:v>
      </x:c>
      <x:c r="E1602" s="12" t="n">
        <x:v>0.5428333333333333</x:v>
      </x:c>
      <x:c r="F1602" s="12" t="n">
        <x:v>0.5428333333333333</x:v>
      </x:c>
      <x:c r="G1602" s="12" t="n">
        <x:v>0</x:v>
      </x:c>
      <x:c r="H1602" s="1" t="n">
        <x:f>'Historical prices'!E1602</x:f>
        <x:v>1.05</x:v>
      </x:c>
      <x:c r="I1602" s="6" t="n">
        <x:f>'Historical prices'!D1602</x:f>
        <x:v>0.2364</x:v>
      </x:c>
      <x:c r="J1602" s="13" t="n">
        <x:f>D1602*I1602*H1602</x:f>
        <x:v>0</x:v>
      </x:c>
      <x:c r="K1602" s="13" t="n">
        <x:f>E1602*I1602*H1602</x:f>
        <x:v>0.13474209</x:v>
      </x:c>
      <x:c r="L1602" s="1" t="str">
        <x:f>TEXT(A1602,"mmm yyyy")</x:f>
        <x:v>Jun 2026</x:v>
      </x:c>
    </x:row>
    <x:row r="1603" ht="21" customHeight="1">
      <x:c r="A1603" s="10" t="n">
        <x:v>46181</x:v>
      </x:c>
      <x:c r="B1603" s="1" t="n">
        <x:v>21.5</x:v>
      </x:c>
      <x:c r="C1603" s="1" t="n">
        <x:v>6</x:v>
      </x:c>
      <x:c r="D1603" s="12" t="n">
        <x:v>0</x:v>
      </x:c>
      <x:c r="E1603" s="12" t="n">
        <x:v>0.8239166666666666</x:v>
      </x:c>
      <x:c r="F1603" s="12" t="n">
        <x:v>0.82375</x:v>
      </x:c>
      <x:c r="G1603" s="12" t="n">
        <x:v>0</x:v>
      </x:c>
      <x:c r="H1603" s="1" t="n">
        <x:f>'Historical prices'!E1603</x:f>
        <x:v>1.05</x:v>
      </x:c>
      <x:c r="I1603" s="6" t="n">
        <x:f>'Historical prices'!D1603</x:f>
        <x:v>0.23440000000000003</x:v>
      </x:c>
      <x:c r="J1603" s="13" t="n">
        <x:f>D1603*I1603*H1603</x:f>
        <x:v>0</x:v>
      </x:c>
      <x:c r="K1603" s="13" t="n">
        <x:f>E1603*I1603*H1603</x:f>
        <x:v>0.20278237000000002</x:v>
      </x:c>
      <x:c r="L1603" s="1" t="str">
        <x:f>TEXT(A1603,"mmm yyyy")</x:f>
        <x:v>Jun 2026</x:v>
      </x:c>
    </x:row>
    <x:row r="1604" ht="21" customHeight="1">
      <x:c r="A1604" s="10" t="n">
        <x:v>46181</x:v>
      </x:c>
      <x:c r="B1604" s="1" t="n">
        <x:v>22</x:v>
      </x:c>
      <x:c r="C1604" s="1" t="n">
        <x:v>6</x:v>
      </x:c>
      <x:c r="D1604" s="12" t="n">
        <x:v>0.1755</x:v>
      </x:c>
      <x:c r="E1604" s="12" t="n">
        <x:v>0.39525</x:v>
      </x:c>
      <x:c r="F1604" s="12" t="n">
        <x:v>0.20775</x:v>
      </x:c>
      <x:c r="G1604" s="12" t="n">
        <x:v>0</x:v>
      </x:c>
      <x:c r="H1604" s="1" t="n">
        <x:f>'Historical prices'!E1604</x:f>
        <x:v>1.05</x:v>
      </x:c>
      <x:c r="I1604" s="6" t="n">
        <x:f>'Historical prices'!D1604</x:f>
        <x:v>0.20350000000000001</x:v>
      </x:c>
      <x:c r="J1604" s="13" t="n">
        <x:f>D1604*I1604*H1604</x:f>
        <x:v>0.037499962500000004</x:v>
      </x:c>
      <x:c r="K1604" s="13" t="n">
        <x:f>E1604*I1604*H1604</x:f>
        <x:v>0.08445504375</x:v>
      </x:c>
      <x:c r="L1604" s="1" t="str">
        <x:f>TEXT(A1604,"mmm yyyy")</x:f>
        <x:v>Jun 2026</x:v>
      </x:c>
    </x:row>
    <x:row r="1605" ht="21" customHeight="1">
      <x:c r="A1605" s="10" t="n">
        <x:v>46181</x:v>
      </x:c>
      <x:c r="B1605" s="1" t="n">
        <x:v>22.5</x:v>
      </x:c>
      <x:c r="C1605" s="1" t="n">
        <x:v>6</x:v>
      </x:c>
      <x:c r="D1605" s="12" t="n">
        <x:v>0.21041666666666664</x:v>
      </x:c>
      <x:c r="E1605" s="12" t="n">
        <x:v>0.22541666666666665</x:v>
      </x:c>
      <x:c r="F1605" s="12" t="n">
        <x:v>0</x:v>
      </x:c>
      <x:c r="G1605" s="12" t="n">
        <x:v>0</x:v>
      </x:c>
      <x:c r="H1605" s="1" t="n">
        <x:f>'Historical prices'!E1605</x:f>
        <x:v>1.05</x:v>
      </x:c>
      <x:c r="I1605" s="6" t="n">
        <x:f>'Historical prices'!D1605</x:f>
        <x:v>0.1942</x:v>
      </x:c>
      <x:c r="J1605" s="13" t="n">
        <x:f>D1605*I1605*H1605</x:f>
        <x:v>0.0429060625</x:v>
      </x:c>
      <x:c r="K1605" s="13" t="n">
        <x:f>E1605*I1605*H1605</x:f>
        <x:v>0.0459647125</x:v>
      </x:c>
      <x:c r="L1605" s="1" t="str">
        <x:f>TEXT(A1605,"mmm yyyy")</x:f>
        <x:v>Jun 2026</x:v>
      </x:c>
    </x:row>
    <x:row r="1606" ht="21" customHeight="1">
      <x:c r="A1606" s="10" t="n">
        <x:v>46181</x:v>
      </x:c>
      <x:c r="B1606" s="1" t="n">
        <x:v>23</x:v>
      </x:c>
      <x:c r="C1606" s="1" t="n">
        <x:v>6</x:v>
      </x:c>
      <x:c r="D1606" s="12" t="n">
        <x:v>0.21158333333333335</x:v>
      </x:c>
      <x:c r="E1606" s="12" t="n">
        <x:v>0.22858333333333336</x:v>
      </x:c>
      <x:c r="F1606" s="12" t="n">
        <x:v>0</x:v>
      </x:c>
      <x:c r="G1606" s="12" t="n">
        <x:v>0</x:v>
      </x:c>
      <x:c r="H1606" s="1" t="n">
        <x:f>'Historical prices'!E1606</x:f>
        <x:v>1.05</x:v>
      </x:c>
      <x:c r="I1606" s="6" t="n">
        <x:f>'Historical prices'!D1606</x:f>
        <x:v>0.19760000000000003</x:v>
      </x:c>
      <x:c r="J1606" s="13" t="n">
        <x:f>D1606*I1606*H1606</x:f>
        <x:v>0.04389931000000001</x:v>
      </x:c>
      <x:c r="K1606" s="13" t="n">
        <x:f>E1606*I1606*H1606</x:f>
        <x:v>0.04742647000000002</x:v>
      </x:c>
      <x:c r="L1606" s="1" t="str">
        <x:f>TEXT(A1606,"mmm yyyy")</x:f>
        <x:v>Jun 2026</x:v>
      </x:c>
    </x:row>
    <x:row r="1607" ht="21" customHeight="1">
      <x:c r="A1607" s="10" t="n">
        <x:v>46181</x:v>
      </x:c>
      <x:c r="B1607" s="1" t="n">
        <x:v>23.5</x:v>
      </x:c>
      <x:c r="C1607" s="1" t="n">
        <x:v>6</x:v>
      </x:c>
      <x:c r="D1607" s="12" t="n">
        <x:v>0.24191666666666667</x:v>
      </x:c>
      <x:c r="E1607" s="12" t="n">
        <x:v>0.2589166666666667</x:v>
      </x:c>
      <x:c r="F1607" s="12" t="n">
        <x:v>0</x:v>
      </x:c>
      <x:c r="G1607" s="12" t="n">
        <x:v>0</x:v>
      </x:c>
      <x:c r="H1607" s="1" t="n">
        <x:f>'Historical prices'!E1607</x:f>
        <x:v>1.05</x:v>
      </x:c>
      <x:c r="I1607" s="6" t="n">
        <x:f>'Historical prices'!D1607</x:f>
        <x:v>0.1955</x:v>
      </x:c>
      <x:c r="J1607" s="13" t="n">
        <x:f>D1607*I1607*H1607</x:f>
        <x:v>0.049659443750000004</x:v>
      </x:c>
      <x:c r="K1607" s="13" t="n">
        <x:f>E1607*I1607*H1607</x:f>
        <x:v>0.05314911875000001</x:v>
      </x:c>
      <x:c r="L1607" s="1" t="str">
        <x:f>TEXT(A1607,"mmm yyyy")</x:f>
        <x:v>Jun 2026</x:v>
      </x:c>
    </x:row>
    <x:row r="1608" ht="21" customHeight="1">
      <x:c r="A1608" s="10" t="n">
        <x:v>46182</x:v>
      </x:c>
      <x:c r="B1608" s="1" t="n">
        <x:v>0</x:v>
      </x:c>
      <x:c r="C1608" s="1" t="n">
        <x:v>6</x:v>
      </x:c>
      <x:c r="D1608" s="12" t="n">
        <x:v>0.19916666666666666</x:v>
      </x:c>
      <x:c r="E1608" s="12" t="n">
        <x:v>0.21516666666666664</x:v>
      </x:c>
      <x:c r="F1608" s="12" t="n">
        <x:v>0</x:v>
      </x:c>
      <x:c r="G1608" s="12" t="n">
        <x:v>0</x:v>
      </x:c>
      <x:c r="H1608" s="1" t="n">
        <x:f>'Historical prices'!E1608</x:f>
        <x:v>1.05</x:v>
      </x:c>
      <x:c r="I1608" s="6" t="n">
        <x:f>'Historical prices'!D1608</x:f>
        <x:v>0.1892</x:v>
      </x:c>
      <x:c r="J1608" s="13" t="n">
        <x:f>D1608*I1608*H1608</x:f>
        <x:v>0.03956645</x:v>
      </x:c>
      <x:c r="K1608" s="13" t="n">
        <x:f>E1608*I1608*H1608</x:f>
        <x:v>0.04274501</x:v>
      </x:c>
      <x:c r="L1608" s="1" t="str">
        <x:f>TEXT(A1608,"mmm yyyy")</x:f>
        <x:v>Jun 2026</x:v>
      </x:c>
    </x:row>
    <x:row r="1609" ht="21" customHeight="1">
      <x:c r="A1609" s="10" t="n">
        <x:v>46182</x:v>
      </x:c>
      <x:c r="B1609" s="1" t="n">
        <x:v>0.5</x:v>
      </x:c>
      <x:c r="C1609" s="1" t="n">
        <x:v>6</x:v>
      </x:c>
      <x:c r="D1609" s="12" t="n">
        <x:v>0.21333333333333332</x:v>
      </x:c>
      <x:c r="E1609" s="12" t="n">
        <x:v>0.2303333333333333</x:v>
      </x:c>
      <x:c r="F1609" s="12" t="n">
        <x:v>0</x:v>
      </x:c>
      <x:c r="G1609" s="12" t="n">
        <x:v>0</x:v>
      </x:c>
      <x:c r="H1609" s="1" t="n">
        <x:f>'Historical prices'!E1609</x:f>
        <x:v>1.05</x:v>
      </x:c>
      <x:c r="I1609" s="6" t="n">
        <x:f>'Historical prices'!D1609</x:f>
        <x:v>0.1999</x:v>
      </x:c>
      <x:c r="J1609" s="13" t="n">
        <x:f>D1609*I1609*H1609</x:f>
        <x:v>0.044777599999999994</x:v>
      </x:c>
      <x:c r="K1609" s="13" t="n">
        <x:f>E1609*I1609*H1609</x:f>
        <x:v>0.04834581499999999</x:v>
      </x:c>
      <x:c r="L1609" s="1" t="str">
        <x:f>TEXT(A1609,"mmm yyyy")</x:f>
        <x:v>Jun 2026</x:v>
      </x:c>
    </x:row>
    <x:row r="1610" ht="21" customHeight="1">
      <x:c r="A1610" s="10" t="n">
        <x:v>46182</x:v>
      </x:c>
      <x:c r="B1610" s="1" t="n">
        <x:v>1</x:v>
      </x:c>
      <x:c r="C1610" s="1" t="n">
        <x:v>6</x:v>
      </x:c>
      <x:c r="D1610" s="12" t="n">
        <x:v>0.1335</x:v>
      </x:c>
      <x:c r="E1610" s="12" t="n">
        <x:v>0.14950000000000002</x:v>
      </x:c>
      <x:c r="F1610" s="12" t="n">
        <x:v>0</x:v>
      </x:c>
      <x:c r="G1610" s="12" t="n">
        <x:v>0</x:v>
      </x:c>
      <x:c r="H1610" s="1" t="n">
        <x:f>'Historical prices'!E1610</x:f>
        <x:v>1.05</x:v>
      </x:c>
      <x:c r="I1610" s="6" t="n">
        <x:f>'Historical prices'!D1610</x:f>
        <x:v>0.1985</x:v>
      </x:c>
      <x:c r="J1610" s="13" t="n">
        <x:f>D1610*I1610*H1610</x:f>
        <x:v>0.027824737500000005</x:v>
      </x:c>
      <x:c r="K1610" s="13" t="n">
        <x:f>E1610*I1610*H1610</x:f>
        <x:v>0.031159537500000004</x:v>
      </x:c>
      <x:c r="L1610" s="1" t="str">
        <x:f>TEXT(A1610,"mmm yyyy")</x:f>
        <x:v>Jun 2026</x:v>
      </x:c>
    </x:row>
    <x:row r="1611" ht="21" customHeight="1">
      <x:c r="A1611" s="10" t="n">
        <x:v>46182</x:v>
      </x:c>
      <x:c r="B1611" s="1" t="n">
        <x:v>1.5</x:v>
      </x:c>
      <x:c r="C1611" s="1" t="n">
        <x:v>6</x:v>
      </x:c>
      <x:c r="D1611" s="12" t="n">
        <x:v>0.14300000000000002</x:v>
      </x:c>
      <x:c r="E1611" s="12" t="n">
        <x:v>0.15800000000000003</x:v>
      </x:c>
      <x:c r="F1611" s="12" t="n">
        <x:v>0</x:v>
      </x:c>
      <x:c r="G1611" s="12" t="n">
        <x:v>0</x:v>
      </x:c>
      <x:c r="H1611" s="1" t="n">
        <x:f>'Historical prices'!E1611</x:f>
        <x:v>1.05</x:v>
      </x:c>
      <x:c r="I1611" s="6" t="n">
        <x:f>'Historical prices'!D1611</x:f>
        <x:v>0.18789999999999998</x:v>
      </x:c>
      <x:c r="J1611" s="13" t="n">
        <x:f>D1611*I1611*H1611</x:f>
        <x:v>0.028213185</x:v>
      </x:c>
      <x:c r="K1611" s="13" t="n">
        <x:f>E1611*I1611*H1611</x:f>
        <x:v>0.031172610000000003</x:v>
      </x:c>
      <x:c r="L1611" s="1" t="str">
        <x:f>TEXT(A1611,"mmm yyyy")</x:f>
        <x:v>Jun 2026</x:v>
      </x:c>
    </x:row>
    <x:row r="1612" ht="21" customHeight="1">
      <x:c r="A1612" s="10" t="n">
        <x:v>46182</x:v>
      </x:c>
      <x:c r="B1612" s="1" t="n">
        <x:v>2</x:v>
      </x:c>
      <x:c r="C1612" s="1" t="n">
        <x:v>6</x:v>
      </x:c>
      <x:c r="D1612" s="12" t="n">
        <x:v>0.21508333333333335</x:v>
      </x:c>
      <x:c r="E1612" s="12" t="n">
        <x:v>0.23208333333333334</x:v>
      </x:c>
      <x:c r="F1612" s="12" t="n">
        <x:v>0</x:v>
      </x:c>
      <x:c r="G1612" s="12" t="n">
        <x:v>0</x:v>
      </x:c>
      <x:c r="H1612" s="1" t="n">
        <x:f>'Historical prices'!E1612</x:f>
        <x:v>1.05</x:v>
      </x:c>
      <x:c r="I1612" s="6" t="n">
        <x:f>'Historical prices'!D1612</x:f>
        <x:v>0.18420000000000003</x:v>
      </x:c>
      <x:c r="J1612" s="13" t="n">
        <x:f>D1612*I1612*H1612</x:f>
        <x:v>0.041599267500000016</x:v>
      </x:c>
      <x:c r="K1612" s="13" t="n">
        <x:f>E1612*I1612*H1612</x:f>
        <x:v>0.04488723750000001</x:v>
      </x:c>
      <x:c r="L1612" s="1" t="str">
        <x:f>TEXT(A1612,"mmm yyyy")</x:f>
        <x:v>Jun 2026</x:v>
      </x:c>
    </x:row>
    <x:row r="1613" ht="21" customHeight="1">
      <x:c r="A1613" s="10" t="n">
        <x:v>46182</x:v>
      </x:c>
      <x:c r="B1613" s="1" t="n">
        <x:v>2.5</x:v>
      </x:c>
      <x:c r="C1613" s="1" t="n">
        <x:v>6</x:v>
      </x:c>
      <x:c r="D1613" s="12" t="n">
        <x:v>0.18975</x:v>
      </x:c>
      <x:c r="E1613" s="12" t="n">
        <x:v>0.20575</x:v>
      </x:c>
      <x:c r="F1613" s="12" t="n">
        <x:v>0</x:v>
      </x:c>
      <x:c r="G1613" s="12" t="n">
        <x:v>0</x:v>
      </x:c>
      <x:c r="H1613" s="1" t="n">
        <x:f>'Historical prices'!E1613</x:f>
        <x:v>1.05</x:v>
      </x:c>
      <x:c r="I1613" s="6" t="n">
        <x:f>'Historical prices'!D1613</x:f>
        <x:v>0.1834</x:v>
      </x:c>
      <x:c r="J1613" s="13" t="n">
        <x:f>D1613*I1613*H1613</x:f>
        <x:v>0.0365401575</x:v>
      </x:c>
      <x:c r="K1613" s="13" t="n">
        <x:f>E1613*I1613*H1613</x:f>
        <x:v>0.0396212775</x:v>
      </x:c>
      <x:c r="L1613" s="1" t="str">
        <x:f>TEXT(A1613,"mmm yyyy")</x:f>
        <x:v>Jun 2026</x:v>
      </x:c>
    </x:row>
    <x:row r="1614" ht="21" customHeight="1">
      <x:c r="A1614" s="10" t="n">
        <x:v>46182</x:v>
      </x:c>
      <x:c r="B1614" s="1" t="n">
        <x:v>3</x:v>
      </x:c>
      <x:c r="C1614" s="1" t="n">
        <x:v>6</x:v>
      </x:c>
      <x:c r="D1614" s="12" t="n">
        <x:v>0.12625</x:v>
      </x:c>
      <x:c r="E1614" s="12" t="n">
        <x:v>0.13625</x:v>
      </x:c>
      <x:c r="F1614" s="12" t="n">
        <x:v>0</x:v>
      </x:c>
      <x:c r="G1614" s="12" t="n">
        <x:v>0</x:v>
      </x:c>
      <x:c r="H1614" s="1" t="n">
        <x:f>'Historical prices'!E1614</x:f>
        <x:v>1.05</x:v>
      </x:c>
      <x:c r="I1614" s="6" t="n">
        <x:f>'Historical prices'!D1614</x:f>
        <x:v>0.1783</x:v>
      </x:c>
      <x:c r="J1614" s="13" t="n">
        <x:f>D1614*I1614*H1614</x:f>
        <x:v>0.02363589375</x:v>
      </x:c>
      <x:c r="K1614" s="13" t="n">
        <x:f>E1614*I1614*H1614</x:f>
        <x:v>0.02550804375</x:v>
      </x:c>
      <x:c r="L1614" s="1" t="str">
        <x:f>TEXT(A1614,"mmm yyyy")</x:f>
        <x:v>Jun 2026</x:v>
      </x:c>
    </x:row>
    <x:row r="1615" ht="21" customHeight="1">
      <x:c r="A1615" s="10" t="n">
        <x:v>46182</x:v>
      </x:c>
      <x:c r="B1615" s="1" t="n">
        <x:v>3.5</x:v>
      </x:c>
      <x:c r="C1615" s="1" t="n">
        <x:v>6</x:v>
      </x:c>
      <x:c r="D1615" s="12" t="n">
        <x:v>0.24708333333333332</x:v>
      </x:c>
      <x:c r="E1615" s="12" t="n">
        <x:v>0.25908333333333333</x:v>
      </x:c>
      <x:c r="F1615" s="12" t="n">
        <x:v>0</x:v>
      </x:c>
      <x:c r="G1615" s="12" t="n">
        <x:v>0</x:v>
      </x:c>
      <x:c r="H1615" s="1" t="n">
        <x:f>'Historical prices'!E1615</x:f>
        <x:v>1.05</x:v>
      </x:c>
      <x:c r="I1615" s="6" t="n">
        <x:f>'Historical prices'!D1615</x:f>
        <x:v>0.17559999999999998</x:v>
      </x:c>
      <x:c r="J1615" s="13" t="n">
        <x:f>D1615*I1615*H1615</x:f>
        <x:v>0.04555722499999999</x:v>
      </x:c>
      <x:c r="K1615" s="13" t="n">
        <x:f>E1615*I1615*H1615</x:f>
        <x:v>0.047769785</x:v>
      </x:c>
      <x:c r="L1615" s="1" t="str">
        <x:f>TEXT(A1615,"mmm yyyy")</x:f>
        <x:v>Jun 2026</x:v>
      </x:c>
    </x:row>
    <x:row r="1616" ht="21" customHeight="1">
      <x:c r="A1616" s="10" t="n">
        <x:v>46182</x:v>
      </x:c>
      <x:c r="B1616" s="1" t="n">
        <x:v>4</x:v>
      </x:c>
      <x:c r="C1616" s="1" t="n">
        <x:v>6</x:v>
      </x:c>
      <x:c r="D1616" s="12" t="n">
        <x:v>0.25066666666666665</x:v>
      </x:c>
      <x:c r="E1616" s="12" t="n">
        <x:v>0.25966666666666666</x:v>
      </x:c>
      <x:c r="F1616" s="12" t="n">
        <x:v>0</x:v>
      </x:c>
      <x:c r="G1616" s="12" t="n">
        <x:v>0</x:v>
      </x:c>
      <x:c r="H1616" s="1" t="n">
        <x:f>'Historical prices'!E1616</x:f>
        <x:v>1.05</x:v>
      </x:c>
      <x:c r="I1616" s="6" t="n">
        <x:f>'Historical prices'!D1616</x:f>
        <x:v>0.1815</x:v>
      </x:c>
      <x:c r="J1616" s="13" t="n">
        <x:f>D1616*I1616*H1616</x:f>
        <x:v>0.047770799999999995</x:v>
      </x:c>
      <x:c r="K1616" s="13" t="n">
        <x:f>E1616*I1616*H1616</x:f>
        <x:v>0.049485975</x:v>
      </x:c>
      <x:c r="L1616" s="1" t="str">
        <x:f>TEXT(A1616,"mmm yyyy")</x:f>
        <x:v>Jun 2026</x:v>
      </x:c>
    </x:row>
    <x:row r="1617" ht="21" customHeight="1">
      <x:c r="A1617" s="10" t="n">
        <x:v>46182</x:v>
      </x:c>
      <x:c r="B1617" s="1" t="n">
        <x:v>4.5</x:v>
      </x:c>
      <x:c r="C1617" s="1" t="n">
        <x:v>6</x:v>
      </x:c>
      <x:c r="D1617" s="12" t="n">
        <x:v>0.20825</x:v>
      </x:c>
      <x:c r="E1617" s="12" t="n">
        <x:v>0.22024999999999997</x:v>
      </x:c>
      <x:c r="F1617" s="12" t="n">
        <x:v>0</x:v>
      </x:c>
      <x:c r="G1617" s="12" t="n">
        <x:v>0</x:v>
      </x:c>
      <x:c r="H1617" s="1" t="n">
        <x:f>'Historical prices'!E1617</x:f>
        <x:v>1.05</x:v>
      </x:c>
      <x:c r="I1617" s="6" t="n">
        <x:f>'Historical prices'!D1617</x:f>
        <x:v>0.17980000000000002</x:v>
      </x:c>
      <x:c r="J1617" s="13" t="n">
        <x:f>D1617*I1617*H1617</x:f>
        <x:v>0.0393155175</x:v>
      </x:c>
      <x:c r="K1617" s="13" t="n">
        <x:f>E1617*I1617*H1617</x:f>
        <x:v>0.041580997499999994</x:v>
      </x:c>
      <x:c r="L1617" s="1" t="str">
        <x:f>TEXT(A1617,"mmm yyyy")</x:f>
        <x:v>Jun 2026</x:v>
      </x:c>
    </x:row>
    <x:row r="1618" ht="21" customHeight="1">
      <x:c r="A1618" s="10" t="n">
        <x:v>46182</x:v>
      </x:c>
      <x:c r="B1618" s="1" t="n">
        <x:v>5</x:v>
      </x:c>
      <x:c r="C1618" s="1" t="n">
        <x:v>6</x:v>
      </x:c>
      <x:c r="D1618" s="12" t="n">
        <x:v>0.19</x:v>
      </x:c>
      <x:c r="E1618" s="12" t="n">
        <x:v>0.20099999999999998</x:v>
      </x:c>
      <x:c r="F1618" s="12" t="n">
        <x:v>0</x:v>
      </x:c>
      <x:c r="G1618" s="12" t="n">
        <x:v>0</x:v>
      </x:c>
      <x:c r="H1618" s="1" t="n">
        <x:f>'Historical prices'!E1618</x:f>
        <x:v>1.05</x:v>
      </x:c>
      <x:c r="I1618" s="6" t="n">
        <x:f>'Historical prices'!D1618</x:f>
        <x:v>0.187</x:v>
      </x:c>
      <x:c r="J1618" s="13" t="n">
        <x:f>D1618*I1618*H1618</x:f>
        <x:v>0.0373065</x:v>
      </x:c>
      <x:c r="K1618" s="13" t="n">
        <x:f>E1618*I1618*H1618</x:f>
        <x:v>0.03946635</x:v>
      </x:c>
      <x:c r="L1618" s="1" t="str">
        <x:f>TEXT(A1618,"mmm yyyy")</x:f>
        <x:v>Jun 2026</x:v>
      </x:c>
    </x:row>
    <x:row r="1619" ht="21" customHeight="1">
      <x:c r="A1619" s="10" t="n">
        <x:v>46182</x:v>
      </x:c>
      <x:c r="B1619" s="1" t="n">
        <x:v>5.5</x:v>
      </x:c>
      <x:c r="C1619" s="1" t="n">
        <x:v>6</x:v>
      </x:c>
      <x:c r="D1619" s="12" t="n">
        <x:v>0.24341666666666667</x:v>
      </x:c>
      <x:c r="E1619" s="12" t="n">
        <x:v>0.2534166666666666</x:v>
      </x:c>
      <x:c r="F1619" s="12" t="n">
        <x:v>0</x:v>
      </x:c>
      <x:c r="G1619" s="12" t="n">
        <x:v>0</x:v>
      </x:c>
      <x:c r="H1619" s="1" t="n">
        <x:f>'Historical prices'!E1619</x:f>
        <x:v>1.05</x:v>
      </x:c>
      <x:c r="I1619" s="6" t="n">
        <x:f>'Historical prices'!D1619</x:f>
        <x:v>0.1894</x:v>
      </x:c>
      <x:c r="J1619" s="13" t="n">
        <x:f>D1619*I1619*H1619</x:f>
        <x:v>0.04840827250000001</x:v>
      </x:c>
      <x:c r="K1619" s="13" t="n">
        <x:f>E1619*I1619*H1619</x:f>
        <x:v>0.05039697249999999</x:v>
      </x:c>
      <x:c r="L1619" s="1" t="str">
        <x:f>TEXT(A1619,"mmm yyyy")</x:f>
        <x:v>Jun 2026</x:v>
      </x:c>
    </x:row>
    <x:row r="1620" ht="21" customHeight="1">
      <x:c r="A1620" s="10" t="n">
        <x:v>46182</x:v>
      </x:c>
      <x:c r="B1620" s="1" t="n">
        <x:v>6</x:v>
      </x:c>
      <x:c r="C1620" s="1" t="n">
        <x:v>6</x:v>
      </x:c>
      <x:c r="D1620" s="12" t="n">
        <x:v>0.266</x:v>
      </x:c>
      <x:c r="E1620" s="12" t="n">
        <x:v>0.277</x:v>
      </x:c>
      <x:c r="F1620" s="12" t="n">
        <x:v>0</x:v>
      </x:c>
      <x:c r="G1620" s="12" t="n">
        <x:v>0</x:v>
      </x:c>
      <x:c r="H1620" s="1" t="n">
        <x:f>'Historical prices'!E1620</x:f>
        <x:v>1.05</x:v>
      </x:c>
      <x:c r="I1620" s="6" t="n">
        <x:f>'Historical prices'!D1620</x:f>
        <x:v>0.191</x:v>
      </x:c>
      <x:c r="J1620" s="13" t="n">
        <x:f>D1620*I1620*H1620</x:f>
        <x:v>0.053346300000000006</x:v>
      </x:c>
      <x:c r="K1620" s="13" t="n">
        <x:f>E1620*I1620*H1620</x:f>
        <x:v>0.05555235000000001</x:v>
      </x:c>
      <x:c r="L1620" s="1" t="str">
        <x:f>TEXT(A1620,"mmm yyyy")</x:f>
        <x:v>Jun 2026</x:v>
      </x:c>
    </x:row>
    <x:row r="1621" ht="21" customHeight="1">
      <x:c r="A1621" s="10" t="n">
        <x:v>46182</x:v>
      </x:c>
      <x:c r="B1621" s="1" t="n">
        <x:v>6.5</x:v>
      </x:c>
      <x:c r="C1621" s="1" t="n">
        <x:v>6</x:v>
      </x:c>
      <x:c r="D1621" s="12" t="n">
        <x:v>0.06333333333333334</x:v>
      </x:c>
      <x:c r="E1621" s="12" t="n">
        <x:v>0.46916666666666673</x:v>
      </x:c>
      <x:c r="F1621" s="12" t="n">
        <x:v>0.40475</x:v>
      </x:c>
      <x:c r="G1621" s="12" t="n">
        <x:v>0</x:v>
      </x:c>
      <x:c r="H1621" s="1" t="n">
        <x:f>'Historical prices'!E1621</x:f>
        <x:v>1.05</x:v>
      </x:c>
      <x:c r="I1621" s="6" t="n">
        <x:f>'Historical prices'!D1621</x:f>
        <x:v>0.2115</x:v>
      </x:c>
      <x:c r="J1621" s="13" t="n">
        <x:f>D1621*I1621*H1621</x:f>
        <x:v>0.01406475</x:v>
      </x:c>
      <x:c r="K1621" s="13" t="n">
        <x:f>E1621*I1621*H1621</x:f>
        <x:v>0.1041901875</x:v>
      </x:c>
      <x:c r="L1621" s="1" t="str">
        <x:f>TEXT(A1621,"mmm yyyy")</x:f>
        <x:v>Jun 2026</x:v>
      </x:c>
    </x:row>
    <x:row r="1622" ht="21" customHeight="1">
      <x:c r="A1622" s="10" t="n">
        <x:v>46182</x:v>
      </x:c>
      <x:c r="B1622" s="1" t="n">
        <x:v>7</x:v>
      </x:c>
      <x:c r="C1622" s="1" t="n">
        <x:v>6</x:v>
      </x:c>
      <x:c r="D1622" s="12" t="n">
        <x:v>0.1695833333333333</x:v>
      </x:c>
      <x:c r="E1622" s="12" t="n">
        <x:v>0.5314166666666666</x:v>
      </x:c>
      <x:c r="F1622" s="12" t="n">
        <x:v>0.35458333333333336</x:v>
      </x:c>
      <x:c r="G1622" s="12" t="n">
        <x:v>0</x:v>
      </x:c>
      <x:c r="H1622" s="1" t="n">
        <x:f>'Historical prices'!E1622</x:f>
        <x:v>1.05</x:v>
      </x:c>
      <x:c r="I1622" s="6" t="n">
        <x:f>'Historical prices'!D1622</x:f>
        <x:v>0.20809999999999998</x:v>
      </x:c>
      <x:c r="J1622" s="13" t="n">
        <x:f>D1622*I1622*H1622</x:f>
        <x:v>0.037054806249999996</x:v>
      </x:c>
      <x:c r="K1622" s="13" t="n">
        <x:f>E1622*I1622*H1622</x:f>
        <x:v>0.11611719874999998</x:v>
      </x:c>
      <x:c r="L1622" s="1" t="str">
        <x:f>TEXT(A1622,"mmm yyyy")</x:f>
        <x:v>Jun 2026</x:v>
      </x:c>
    </x:row>
    <x:row r="1623" ht="21" customHeight="1">
      <x:c r="A1623" s="10" t="n">
        <x:v>46182</x:v>
      </x:c>
      <x:c r="B1623" s="1" t="n">
        <x:v>7.5</x:v>
      </x:c>
      <x:c r="C1623" s="1" t="n">
        <x:v>6</x:v>
      </x:c>
      <x:c r="D1623" s="12" t="n">
        <x:v>0.13825</x:v>
      </x:c>
      <x:c r="E1623" s="12" t="n">
        <x:v>0.5783333333333334</x:v>
      </x:c>
      <x:c r="F1623" s="12" t="n">
        <x:v>0.4378333333333333</x:v>
      </x:c>
      <x:c r="G1623" s="12" t="n">
        <x:v>0</x:v>
      </x:c>
      <x:c r="H1623" s="1" t="n">
        <x:f>'Historical prices'!E1623</x:f>
        <x:v>1.05</x:v>
      </x:c>
      <x:c r="I1623" s="6" t="n">
        <x:f>'Historical prices'!D1623</x:f>
        <x:v>0.2144</x:v>
      </x:c>
      <x:c r="J1623" s="13" t="n">
        <x:f>D1623*I1623*H1623</x:f>
        <x:v>0.031122840000000002</x:v>
      </x:c>
      <x:c r="K1623" s="13" t="n">
        <x:f>E1623*I1623*H1623</x:f>
        <x:v>0.13019440000000002</x:v>
      </x:c>
      <x:c r="L1623" s="1" t="str">
        <x:f>TEXT(A1623,"mmm yyyy")</x:f>
        <x:v>Jun 2026</x:v>
      </x:c>
    </x:row>
    <x:row r="1624" ht="21" customHeight="1">
      <x:c r="A1624" s="10" t="n">
        <x:v>46182</x:v>
      </x:c>
      <x:c r="B1624" s="1" t="n">
        <x:v>8</x:v>
      </x:c>
      <x:c r="C1624" s="1" t="n">
        <x:v>6</x:v>
      </x:c>
      <x:c r="D1624" s="12" t="n">
        <x:v>0.030666666666666665</x:v>
      </x:c>
      <x:c r="E1624" s="12" t="n">
        <x:v>0.46508333333333335</x:v>
      </x:c>
      <x:c r="F1624" s="12" t="n">
        <x:v>0.4328333333333334</x:v>
      </x:c>
      <x:c r="G1624" s="12" t="n">
        <x:v>0</x:v>
      </x:c>
      <x:c r="H1624" s="1" t="n">
        <x:f>'Historical prices'!E1624</x:f>
        <x:v>1.05</x:v>
      </x:c>
      <x:c r="I1624" s="6" t="n">
        <x:f>'Historical prices'!D1624</x:f>
        <x:v>0.2145</x:v>
      </x:c>
      <x:c r="J1624" s="13" t="n">
        <x:f>D1624*I1624*H1624</x:f>
        <x:v>0.0069069</x:v>
      </x:c>
      <x:c r="K1624" s="13" t="n">
        <x:f>E1624*I1624*H1624</x:f>
        <x:v>0.10474839375</x:v>
      </x:c>
      <x:c r="L1624" s="1" t="str">
        <x:f>TEXT(A1624,"mmm yyyy")</x:f>
        <x:v>Jun 2026</x:v>
      </x:c>
    </x:row>
    <x:row r="1625" ht="21" customHeight="1">
      <x:c r="A1625" s="10" t="n">
        <x:v>46182</x:v>
      </x:c>
      <x:c r="B1625" s="1" t="n">
        <x:v>8.5</x:v>
      </x:c>
      <x:c r="C1625" s="1" t="n">
        <x:v>6</x:v>
      </x:c>
      <x:c r="D1625" s="12" t="n">
        <x:v>1.4213333333333333</x:v>
      </x:c>
      <x:c r="E1625" s="12" t="n">
        <x:v>1.3243333333333334</x:v>
      </x:c>
      <x:c r="F1625" s="12" t="n">
        <x:v>0</x:v>
      </x:c>
      <x:c r="G1625" s="12" t="n">
        <x:v>0.102</x:v>
      </x:c>
      <x:c r="H1625" s="1" t="n">
        <x:f>'Historical prices'!E1625</x:f>
        <x:v>1.05</x:v>
      </x:c>
      <x:c r="I1625" s="6" t="n">
        <x:f>'Historical prices'!D1625</x:f>
        <x:v>0.20170000000000002</x:v>
      </x:c>
      <x:c r="J1625" s="13" t="n">
        <x:f>D1625*I1625*H1625</x:f>
        <x:v>0.30101708</x:v>
      </x:c>
      <x:c r="K1625" s="13" t="n">
        <x:f>E1625*I1625*H1625</x:f>
        <x:v>0.280473935</x:v>
      </x:c>
      <x:c r="L1625" s="1" t="str">
        <x:f>TEXT(A1625,"mmm yyyy")</x:f>
        <x:v>Jun 2026</x:v>
      </x:c>
    </x:row>
    <x:row r="1626" ht="21" customHeight="1">
      <x:c r="A1626" s="10" t="n">
        <x:v>46182</x:v>
      </x:c>
      <x:c r="B1626" s="1" t="n">
        <x:v>9</x:v>
      </x:c>
      <x:c r="C1626" s="1" t="n">
        <x:v>6</x:v>
      </x:c>
      <x:c r="D1626" s="12" t="n">
        <x:v>0.5824166666666667</x:v>
      </x:c>
      <x:c r="E1626" s="12" t="n">
        <x:v>0.6024166666666666</x:v>
      </x:c>
      <x:c r="F1626" s="12" t="n">
        <x:v>0</x:v>
      </x:c>
      <x:c r="G1626" s="12" t="n">
        <x:v>0</x:v>
      </x:c>
      <x:c r="H1626" s="1" t="n">
        <x:f>'Historical prices'!E1626</x:f>
        <x:v>1.05</x:v>
      </x:c>
      <x:c r="I1626" s="6" t="n">
        <x:f>'Historical prices'!D1626</x:f>
        <x:v>0.1857</x:v>
      </x:c>
      <x:c r="J1626" s="13" t="n">
        <x:f>D1626*I1626*H1626</x:f>
        <x:v>0.11356251375000001</x:v>
      </x:c>
      <x:c r="K1626" s="13" t="n">
        <x:f>E1626*I1626*H1626</x:f>
        <x:v>0.11746221374999999</x:v>
      </x:c>
      <x:c r="L1626" s="1" t="str">
        <x:f>TEXT(A1626,"mmm yyyy")</x:f>
        <x:v>Jun 2026</x:v>
      </x:c>
    </x:row>
    <x:row r="1627" ht="21" customHeight="1">
      <x:c r="A1627" s="10" t="n">
        <x:v>46182</x:v>
      </x:c>
      <x:c r="B1627" s="1" t="n">
        <x:v>9.5</x:v>
      </x:c>
      <x:c r="C1627" s="1" t="n">
        <x:v>6</x:v>
      </x:c>
      <x:c r="D1627" s="12" t="n">
        <x:v>0.5019166666666667</x:v>
      </x:c>
      <x:c r="E1627" s="12" t="n">
        <x:v>0.5219166666666667</x:v>
      </x:c>
      <x:c r="F1627" s="12" t="n">
        <x:v>0</x:v>
      </x:c>
      <x:c r="G1627" s="12" t="n">
        <x:v>0</x:v>
      </x:c>
      <x:c r="H1627" s="1" t="n">
        <x:f>'Historical prices'!E1627</x:f>
        <x:v>1.05</x:v>
      </x:c>
      <x:c r="I1627" s="6" t="n">
        <x:f>'Historical prices'!D1627</x:f>
        <x:v>0.17670000000000002</x:v>
      </x:c>
      <x:c r="J1627" s="13" t="n">
        <x:f>D1627*I1627*H1627</x:f>
        <x:v>0.09312310875000002</x:v>
      </x:c>
      <x:c r="K1627" s="13" t="n">
        <x:f>E1627*I1627*H1627</x:f>
        <x:v>0.09683380875000003</x:v>
      </x:c>
      <x:c r="L1627" s="1" t="str">
        <x:f>TEXT(A1627,"mmm yyyy")</x:f>
        <x:v>Jun 2026</x:v>
      </x:c>
    </x:row>
    <x:row r="1628" ht="21" customHeight="1">
      <x:c r="A1628" s="10" t="n">
        <x:v>46182</x:v>
      </x:c>
      <x:c r="B1628" s="1" t="n">
        <x:v>10</x:v>
      </x:c>
      <x:c r="C1628" s="1" t="n">
        <x:v>6</x:v>
      </x:c>
      <x:c r="D1628" s="12" t="n">
        <x:v>0.5175833333333333</x:v>
      </x:c>
      <x:c r="E1628" s="12" t="n">
        <x:v>0.5355833333333333</x:v>
      </x:c>
      <x:c r="F1628" s="12" t="n">
        <x:v>0</x:v>
      </x:c>
      <x:c r="G1628" s="12" t="n">
        <x:v>0</x:v>
      </x:c>
      <x:c r="H1628" s="1" t="n">
        <x:f>'Historical prices'!E1628</x:f>
        <x:v>1.05</x:v>
      </x:c>
      <x:c r="I1628" s="6" t="n">
        <x:f>'Historical prices'!D1628</x:f>
        <x:v>0.16579999999999998</x:v>
      </x:c>
      <x:c r="J1628" s="13" t="n">
        <x:f>D1628*I1628*H1628</x:f>
        <x:v>0.09010608249999998</x:v>
      </x:c>
      <x:c r="K1628" s="13" t="n">
        <x:f>E1628*I1628*H1628</x:f>
        <x:v>0.0932397025</x:v>
      </x:c>
      <x:c r="L1628" s="1" t="str">
        <x:f>TEXT(A1628,"mmm yyyy")</x:f>
        <x:v>Jun 2026</x:v>
      </x:c>
    </x:row>
    <x:row r="1629" ht="21" customHeight="1">
      <x:c r="A1629" s="10" t="n">
        <x:v>46182</x:v>
      </x:c>
      <x:c r="B1629" s="1" t="n">
        <x:v>10.5</x:v>
      </x:c>
      <x:c r="C1629" s="1" t="n">
        <x:v>6</x:v>
      </x:c>
      <x:c r="D1629" s="12" t="n">
        <x:v>0.6881666666666666</x:v>
      </x:c>
      <x:c r="E1629" s="12" t="n">
        <x:v>0.7001666666666666</x:v>
      </x:c>
      <x:c r="F1629" s="12" t="n">
        <x:v>0</x:v>
      </x:c>
      <x:c r="G1629" s="12" t="n">
        <x:v>0</x:v>
      </x:c>
      <x:c r="H1629" s="1" t="n">
        <x:f>'Historical prices'!E1629</x:f>
        <x:v>1.05</x:v>
      </x:c>
      <x:c r="I1629" s="6" t="n">
        <x:f>'Historical prices'!D1629</x:f>
        <x:v>0.1553</x:v>
      </x:c>
      <x:c r="J1629" s="13" t="n">
        <x:f>D1629*I1629*H1629</x:f>
        <x:v>0.1122158975</x:v>
      </x:c>
      <x:c r="K1629" s="13" t="n">
        <x:f>E1629*I1629*H1629</x:f>
        <x:v>0.1141726775</x:v>
      </x:c>
      <x:c r="L1629" s="1" t="str">
        <x:f>TEXT(A1629,"mmm yyyy")</x:f>
        <x:v>Jun 2026</x:v>
      </x:c>
    </x:row>
    <x:row r="1630" ht="21" customHeight="1">
      <x:c r="A1630" s="10" t="n">
        <x:v>46182</x:v>
      </x:c>
      <x:c r="B1630" s="1" t="n">
        <x:v>11</x:v>
      </x:c>
      <x:c r="C1630" s="1" t="n">
        <x:v>6</x:v>
      </x:c>
      <x:c r="D1630" s="12" t="n">
        <x:v>1.0379166666666668</x:v>
      </x:c>
      <x:c r="E1630" s="12" t="n">
        <x:v>1.0519166666666666</x:v>
      </x:c>
      <x:c r="F1630" s="12" t="n">
        <x:v>0</x:v>
      </x:c>
      <x:c r="G1630" s="12" t="n">
        <x:v>0</x:v>
      </x:c>
      <x:c r="H1630" s="1" t="n">
        <x:f>'Historical prices'!E1630</x:f>
        <x:v>1.05</x:v>
      </x:c>
      <x:c r="I1630" s="6" t="n">
        <x:f>'Historical prices'!D1630</x:f>
        <x:v>0.147</x:v>
      </x:c>
      <x:c r="J1630" s="13" t="n">
        <x:f>D1630*I1630*H1630</x:f>
        <x:v>0.16020243750000002</x:v>
      </x:c>
      <x:c r="K1630" s="13" t="n">
        <x:f>E1630*I1630*H1630</x:f>
        <x:v>0.16236333749999998</x:v>
      </x:c>
      <x:c r="L1630" s="1" t="str">
        <x:f>TEXT(A1630,"mmm yyyy")</x:f>
        <x:v>Jun 2026</x:v>
      </x:c>
    </x:row>
    <x:row r="1631" ht="21" customHeight="1">
      <x:c r="A1631" s="10" t="n">
        <x:v>46182</x:v>
      </x:c>
      <x:c r="B1631" s="1" t="n">
        <x:v>11.5</x:v>
      </x:c>
      <x:c r="C1631" s="1" t="n">
        <x:v>6</x:v>
      </x:c>
      <x:c r="D1631" s="12" t="n">
        <x:v>0.8424166666666667</x:v>
      </x:c>
      <x:c r="E1631" s="12" t="n">
        <x:v>0.8544166666666667</x:v>
      </x:c>
      <x:c r="F1631" s="12" t="n">
        <x:v>0</x:v>
      </x:c>
      <x:c r="G1631" s="12" t="n">
        <x:v>0</x:v>
      </x:c>
      <x:c r="H1631" s="1" t="n">
        <x:f>'Historical prices'!E1631</x:f>
        <x:v>1.05</x:v>
      </x:c>
      <x:c r="I1631" s="6" t="n">
        <x:f>'Historical prices'!D1631</x:f>
        <x:v>0.1426</x:v>
      </x:c>
      <x:c r="J1631" s="13" t="n">
        <x:f>D1631*I1631*H1631</x:f>
        <x:v>0.1261350475</x:v>
      </x:c>
      <x:c r="K1631" s="13" t="n">
        <x:f>E1631*I1631*H1631</x:f>
        <x:v>0.12793180750000002</x:v>
      </x:c>
      <x:c r="L1631" s="1" t="str">
        <x:f>TEXT(A1631,"mmm yyyy")</x:f>
        <x:v>Jun 2026</x:v>
      </x:c>
    </x:row>
    <x:row r="1632" ht="21" customHeight="1">
      <x:c r="A1632" s="10" t="n">
        <x:v>46182</x:v>
      </x:c>
      <x:c r="B1632" s="1" t="n">
        <x:v>12</x:v>
      </x:c>
      <x:c r="C1632" s="1" t="n">
        <x:v>6</x:v>
      </x:c>
      <x:c r="D1632" s="12" t="n">
        <x:v>0.5880833333333334</x:v>
      </x:c>
      <x:c r="E1632" s="12" t="n">
        <x:v>0.5980833333333334</x:v>
      </x:c>
      <x:c r="F1632" s="12" t="n">
        <x:v>0</x:v>
      </x:c>
      <x:c r="G1632" s="12" t="n">
        <x:v>0</x:v>
      </x:c>
      <x:c r="H1632" s="1" t="n">
        <x:f>'Historical prices'!E1632</x:f>
        <x:v>1.05</x:v>
      </x:c>
      <x:c r="I1632" s="6" t="n">
        <x:f>'Historical prices'!D1632</x:f>
        <x:v>0.1492</x:v>
      </x:c>
      <x:c r="J1632" s="13" t="n">
        <x:f>D1632*I1632*H1632</x:f>
        <x:v>0.09212913500000001</x:v>
      </x:c>
      <x:c r="K1632" s="13" t="n">
        <x:f>E1632*I1632*H1632</x:f>
        <x:v>0.09369573500000002</x:v>
      </x:c>
      <x:c r="L1632" s="1" t="str">
        <x:f>TEXT(A1632,"mmm yyyy")</x:f>
        <x:v>Jun 2026</x:v>
      </x:c>
    </x:row>
    <x:row r="1633" ht="21" customHeight="1">
      <x:c r="A1633" s="10" t="n">
        <x:v>46182</x:v>
      </x:c>
      <x:c r="B1633" s="1" t="n">
        <x:v>12.5</x:v>
      </x:c>
      <x:c r="C1633" s="1" t="n">
        <x:v>6</x:v>
      </x:c>
      <x:c r="D1633" s="12" t="n">
        <x:v>1.0283333333333333</x:v>
      </x:c>
      <x:c r="E1633" s="12" t="n">
        <x:v>1.040333333333333</x:v>
      </x:c>
      <x:c r="F1633" s="12" t="n">
        <x:v>0</x:v>
      </x:c>
      <x:c r="G1633" s="12" t="n">
        <x:v>0</x:v>
      </x:c>
      <x:c r="H1633" s="1" t="n">
        <x:f>'Historical prices'!E1633</x:f>
        <x:v>1.05</x:v>
      </x:c>
      <x:c r="I1633" s="6" t="n">
        <x:f>'Historical prices'!D1633</x:f>
        <x:v>0.138</x:v>
      </x:c>
      <x:c r="J1633" s="13" t="n">
        <x:f>D1633*I1633*H1633</x:f>
        <x:v>0.1490055</x:v>
      </x:c>
      <x:c r="K1633" s="13" t="n">
        <x:f>E1633*I1633*H1633</x:f>
        <x:v>0.15074429999999997</x:v>
      </x:c>
      <x:c r="L1633" s="1" t="str">
        <x:f>TEXT(A1633,"mmm yyyy")</x:f>
        <x:v>Jun 2026</x:v>
      </x:c>
    </x:row>
    <x:row r="1634" ht="21" customHeight="1">
      <x:c r="A1634" s="10" t="n">
        <x:v>46182</x:v>
      </x:c>
      <x:c r="B1634" s="1" t="n">
        <x:v>13</x:v>
      </x:c>
      <x:c r="C1634" s="1" t="n">
        <x:v>6</x:v>
      </x:c>
      <x:c r="D1634" s="12" t="n">
        <x:v>0.45425</x:v>
      </x:c>
      <x:c r="E1634" s="12" t="n">
        <x:v>0.46125</x:v>
      </x:c>
      <x:c r="F1634" s="12" t="n">
        <x:v>0</x:v>
      </x:c>
      <x:c r="G1634" s="12" t="n">
        <x:v>0</x:v>
      </x:c>
      <x:c r="H1634" s="1" t="n">
        <x:f>'Historical prices'!E1634</x:f>
        <x:v>1.05</x:v>
      </x:c>
      <x:c r="I1634" s="6" t="n">
        <x:f>'Historical prices'!D1634</x:f>
        <x:v>0.1346</x:v>
      </x:c>
      <x:c r="J1634" s="13" t="n">
        <x:f>D1634*I1634*H1634</x:f>
        <x:v>0.0641991525</x:v>
      </x:c>
      <x:c r="K1634" s="13" t="n">
        <x:f>E1634*I1634*H1634</x:f>
        <x:v>0.0651884625</x:v>
      </x:c>
      <x:c r="L1634" s="1" t="str">
        <x:f>TEXT(A1634,"mmm yyyy")</x:f>
        <x:v>Jun 2026</x:v>
      </x:c>
    </x:row>
    <x:row r="1635" ht="21" customHeight="1">
      <x:c r="A1635" s="10" t="n">
        <x:v>46182</x:v>
      </x:c>
      <x:c r="B1635" s="1" t="n">
        <x:v>13.5</x:v>
      </x:c>
      <x:c r="C1635" s="1" t="n">
        <x:v>6</x:v>
      </x:c>
      <x:c r="D1635" s="12" t="n">
        <x:v>0.6295</x:v>
      </x:c>
      <x:c r="E1635" s="12" t="n">
        <x:v>0.6335</x:v>
      </x:c>
      <x:c r="F1635" s="12" t="n">
        <x:v>0</x:v>
      </x:c>
      <x:c r="G1635" s="12" t="n">
        <x:v>0</x:v>
      </x:c>
      <x:c r="H1635" s="1" t="n">
        <x:f>'Historical prices'!E1635</x:f>
        <x:v>1.05</x:v>
      </x:c>
      <x:c r="I1635" s="6" t="n">
        <x:f>'Historical prices'!D1635</x:f>
        <x:v>0.1307</x:v>
      </x:c>
      <x:c r="J1635" s="13" t="n">
        <x:f>D1635*I1635*H1635</x:f>
        <x:v>0.08638943250000002</x:v>
      </x:c>
      <x:c r="K1635" s="13" t="n">
        <x:f>E1635*I1635*H1635</x:f>
        <x:v>0.0869383725</x:v>
      </x:c>
      <x:c r="L1635" s="1" t="str">
        <x:f>TEXT(A1635,"mmm yyyy")</x:f>
        <x:v>Jun 2026</x:v>
      </x:c>
    </x:row>
    <x:row r="1636" ht="21" customHeight="1">
      <x:c r="A1636" s="10" t="n">
        <x:v>46182</x:v>
      </x:c>
      <x:c r="B1636" s="1" t="n">
        <x:v>14</x:v>
      </x:c>
      <x:c r="C1636" s="1" t="n">
        <x:v>6</x:v>
      </x:c>
      <x:c r="D1636" s="12" t="n">
        <x:v>4.633666666666667</x:v>
      </x:c>
      <x:c r="E1636" s="12" t="n">
        <x:v>0.8346666666666667</x:v>
      </x:c>
      <x:c r="F1636" s="12" t="n">
        <x:v>0</x:v>
      </x:c>
      <x:c r="G1636" s="12" t="n">
        <x:v>3.8000000000000003</x:v>
      </x:c>
      <x:c r="H1636" s="1" t="n">
        <x:f>'Historical prices'!E1636</x:f>
        <x:v>1.05</x:v>
      </x:c>
      <x:c r="I1636" s="6" t="n">
        <x:f>'Historical prices'!D1636</x:f>
        <x:v>0.122</x:v>
      </x:c>
      <x:c r="J1636" s="13" t="n">
        <x:f>D1636*I1636*H1636</x:f>
        <x:v>0.5935727</x:v>
      </x:c>
      <x:c r="K1636" s="13" t="n">
        <x:f>E1636*I1636*H1636</x:f>
        <x:v>0.1069208</x:v>
      </x:c>
      <x:c r="L1636" s="1" t="str">
        <x:f>TEXT(A1636,"mmm yyyy")</x:f>
        <x:v>Jun 2026</x:v>
      </x:c>
    </x:row>
    <x:row r="1637" ht="21" customHeight="1">
      <x:c r="A1637" s="10" t="n">
        <x:v>46182</x:v>
      </x:c>
      <x:c r="B1637" s="1" t="n">
        <x:v>14.5</x:v>
      </x:c>
      <x:c r="C1637" s="1" t="n">
        <x:v>6</x:v>
      </x:c>
      <x:c r="D1637" s="12" t="n">
        <x:v>5.360166666666667</x:v>
      </x:c>
      <x:c r="E1637" s="12" t="n">
        <x:v>0.8101666666666667</x:v>
      </x:c>
      <x:c r="F1637" s="12" t="n">
        <x:v>0</x:v>
      </x:c>
      <x:c r="G1637" s="12" t="n">
        <x:v>4.55</x:v>
      </x:c>
      <x:c r="H1637" s="1" t="n">
        <x:f>'Historical prices'!E1637</x:f>
        <x:v>1.05</x:v>
      </x:c>
      <x:c r="I1637" s="6" t="n">
        <x:f>'Historical prices'!D1637</x:f>
        <x:v>0.12119999999999999</x:v>
      </x:c>
      <x:c r="J1637" s="13" t="n">
        <x:f>D1637*I1637*H1637</x:f>
        <x:v>0.6821348100000001</x:v>
      </x:c>
      <x:c r="K1637" s="13" t="n">
        <x:f>E1637*I1637*H1637</x:f>
        <x:v>0.10310181</x:v>
      </x:c>
      <x:c r="L1637" s="1" t="str">
        <x:f>TEXT(A1637,"mmm yyyy")</x:f>
        <x:v>Jun 2026</x:v>
      </x:c>
    </x:row>
    <x:row r="1638" ht="21" customHeight="1">
      <x:c r="A1638" s="10" t="n">
        <x:v>46182</x:v>
      </x:c>
      <x:c r="B1638" s="1" t="n">
        <x:v>15</x:v>
      </x:c>
      <x:c r="C1638" s="1" t="n">
        <x:v>6</x:v>
      </x:c>
      <x:c r="D1638" s="12" t="n">
        <x:v>3.125583333333333</x:v>
      </x:c>
      <x:c r="E1638" s="12" t="n">
        <x:v>0.6595833333333333</x:v>
      </x:c>
      <x:c r="F1638" s="12" t="n">
        <x:v>0</x:v>
      </x:c>
      <x:c r="G1638" s="12" t="n">
        <x:v>2.4659999999999997</x:v>
      </x:c>
      <x:c r="H1638" s="1" t="n">
        <x:f>'Historical prices'!E1638</x:f>
        <x:v>1.05</x:v>
      </x:c>
      <x:c r="I1638" s="6" t="n">
        <x:f>'Historical prices'!D1638</x:f>
        <x:v>0.1257</x:v>
      </x:c>
      <x:c r="J1638" s="13" t="n">
        <x:f>D1638*I1638*H1638</x:f>
        <x:v>0.41253011625</x:v>
      </x:c>
      <x:c r="K1638" s="13" t="n">
        <x:f>E1638*I1638*H1638</x:f>
        <x:v>0.08705510625</x:v>
      </x:c>
      <x:c r="L1638" s="1" t="str">
        <x:f>TEXT(A1638,"mmm yyyy")</x:f>
        <x:v>Jun 2026</x:v>
      </x:c>
    </x:row>
    <x:row r="1639" ht="21" customHeight="1">
      <x:c r="A1639" s="10" t="n">
        <x:v>46182</x:v>
      </x:c>
      <x:c r="B1639" s="1" t="n">
        <x:v>15.5</x:v>
      </x:c>
      <x:c r="C1639" s="1" t="n">
        <x:v>6</x:v>
      </x:c>
      <x:c r="D1639" s="12" t="n">
        <x:v>0.46799999999999997</x:v>
      </x:c>
      <x:c r="E1639" s="12" t="n">
        <x:v>0.527</x:v>
      </x:c>
      <x:c r="F1639" s="12" t="n">
        <x:v>0.147</x:v>
      </x:c>
      <x:c r="G1639" s="12" t="n">
        <x:v>0.093</x:v>
      </x:c>
      <x:c r="H1639" s="1" t="n">
        <x:f>'Historical prices'!E1639</x:f>
        <x:v>1.05</x:v>
      </x:c>
      <x:c r="I1639" s="6" t="n">
        <x:f>'Historical prices'!D1639</x:f>
        <x:v>0.1338</x:v>
      </x:c>
      <x:c r="J1639" s="13" t="n">
        <x:f>D1639*I1639*H1639</x:f>
        <x:v>0.06574932</x:v>
      </x:c>
      <x:c r="K1639" s="13" t="n">
        <x:f>E1639*I1639*H1639</x:f>
        <x:v>0.07403823000000001</x:v>
      </x:c>
      <x:c r="L1639" s="1" t="str">
        <x:f>TEXT(A1639,"mmm yyyy")</x:f>
        <x:v>Jun 2026</x:v>
      </x:c>
    </x:row>
    <x:row r="1640" ht="21" customHeight="1">
      <x:c r="A1640" s="10" t="n">
        <x:v>46182</x:v>
      </x:c>
      <x:c r="B1640" s="1" t="n">
        <x:v>16</x:v>
      </x:c>
      <x:c r="C1640" s="1" t="n">
        <x:v>6</x:v>
      </x:c>
      <x:c r="D1640" s="12" t="n">
        <x:v>0</x:v>
      </x:c>
      <x:c r="E1640" s="12" t="n">
        <x:v>0.4495</x:v>
      </x:c>
      <x:c r="F1640" s="12" t="n">
        <x:v>0.44175</x:v>
      </x:c>
      <x:c r="G1640" s="12" t="n">
        <x:v>0</x:v>
      </x:c>
      <x:c r="H1640" s="1" t="n">
        <x:f>'Historical prices'!E1640</x:f>
        <x:v>1.05</x:v>
      </x:c>
      <x:c r="I1640" s="6" t="n">
        <x:f>'Historical prices'!D1640</x:f>
        <x:v>0.26489999999999997</x:v>
      </x:c>
      <x:c r="J1640" s="13" t="n">
        <x:f>D1640*I1640*H1640</x:f>
        <x:v>0</x:v>
      </x:c>
      <x:c r="K1640" s="13" t="n">
        <x:f>E1640*I1640*H1640</x:f>
        <x:v>0.1250261775</x:v>
      </x:c>
      <x:c r="L1640" s="1" t="str">
        <x:f>TEXT(A1640,"mmm yyyy")</x:f>
        <x:v>Jun 2026</x:v>
      </x:c>
    </x:row>
    <x:row r="1641" ht="21" customHeight="1">
      <x:c r="A1641" s="10" t="n">
        <x:v>46182</x:v>
      </x:c>
      <x:c r="B1641" s="1" t="n">
        <x:v>16.5</x:v>
      </x:c>
      <x:c r="C1641" s="1" t="n">
        <x:v>6</x:v>
      </x:c>
      <x:c r="D1641" s="12" t="n">
        <x:v>0</x:v>
      </x:c>
      <x:c r="E1641" s="12" t="n">
        <x:v>0.41483333333333333</x:v>
      </x:c>
      <x:c r="F1641" s="12" t="n">
        <x:v>0.4146666666666667</x:v>
      </x:c>
      <x:c r="G1641" s="12" t="n">
        <x:v>0</x:v>
      </x:c>
      <x:c r="H1641" s="1" t="n">
        <x:f>'Historical prices'!E1641</x:f>
        <x:v>1.05</x:v>
      </x:c>
      <x:c r="I1641" s="6" t="n">
        <x:f>'Historical prices'!D1641</x:f>
        <x:v>0.2961</x:v>
      </x:c>
      <x:c r="J1641" s="13" t="n">
        <x:f>D1641*I1641*H1641</x:f>
        <x:v>0</x:v>
      </x:c>
      <x:c r="K1641" s="13" t="n">
        <x:f>E1641*I1641*H1641</x:f>
        <x:v>0.12897375749999998</x:v>
      </x:c>
      <x:c r="L1641" s="1" t="str">
        <x:f>TEXT(A1641,"mmm yyyy")</x:f>
        <x:v>Jun 2026</x:v>
      </x:c>
    </x:row>
    <x:row r="1642" ht="21" customHeight="1">
      <x:c r="A1642" s="10" t="n">
        <x:v>46182</x:v>
      </x:c>
      <x:c r="B1642" s="1" t="n">
        <x:v>17</x:v>
      </x:c>
      <x:c r="C1642" s="1" t="n">
        <x:v>6</x:v>
      </x:c>
      <x:c r="D1642" s="12" t="n">
        <x:v>0</x:v>
      </x:c>
      <x:c r="E1642" s="12" t="n">
        <x:v>0.4285</x:v>
      </x:c>
      <x:c r="F1642" s="12" t="n">
        <x:v>0.42833333333333334</x:v>
      </x:c>
      <x:c r="G1642" s="12" t="n">
        <x:v>0</x:v>
      </x:c>
      <x:c r="H1642" s="1" t="n">
        <x:f>'Historical prices'!E1642</x:f>
        <x:v>1.05</x:v>
      </x:c>
      <x:c r="I1642" s="6" t="n">
        <x:f>'Historical prices'!D1642</x:f>
        <x:v>0.30920000000000003</x:v>
      </x:c>
      <x:c r="J1642" s="13" t="n">
        <x:f>D1642*I1642*H1642</x:f>
        <x:v>0</x:v>
      </x:c>
      <x:c r="K1642" s="13" t="n">
        <x:f>E1642*I1642*H1642</x:f>
        <x:v>0.13911681</x:v>
      </x:c>
      <x:c r="L1642" s="1" t="str">
        <x:f>TEXT(A1642,"mmm yyyy")</x:f>
        <x:v>Jun 2026</x:v>
      </x:c>
    </x:row>
    <x:row r="1643" ht="21" customHeight="1">
      <x:c r="A1643" s="10" t="n">
        <x:v>46182</x:v>
      </x:c>
      <x:c r="B1643" s="1" t="n">
        <x:v>17.5</x:v>
      </x:c>
      <x:c r="C1643" s="1" t="n">
        <x:v>6</x:v>
      </x:c>
      <x:c r="D1643" s="12" t="n">
        <x:v>0</x:v>
      </x:c>
      <x:c r="E1643" s="12" t="n">
        <x:v>0.5538333333333334</x:v>
      </x:c>
      <x:c r="F1643" s="12" t="n">
        <x:v>0.55375</x:v>
      </x:c>
      <x:c r="G1643" s="12" t="n">
        <x:v>0</x:v>
      </x:c>
      <x:c r="H1643" s="1" t="n">
        <x:f>'Historical prices'!E1643</x:f>
        <x:v>1.05</x:v>
      </x:c>
      <x:c r="I1643" s="6" t="n">
        <x:f>'Historical prices'!D1643</x:f>
        <x:v>0.3207</x:v>
      </x:c>
      <x:c r="J1643" s="13" t="n">
        <x:f>D1643*I1643*H1643</x:f>
        <x:v>0</x:v>
      </x:c>
      <x:c r="K1643" s="13" t="n">
        <x:f>E1643*I1643*H1643</x:f>
        <x:v>0.1864950675</x:v>
      </x:c>
      <x:c r="L1643" s="1" t="str">
        <x:f>TEXT(A1643,"mmm yyyy")</x:f>
        <x:v>Jun 2026</x:v>
      </x:c>
    </x:row>
    <x:row r="1644" ht="21" customHeight="1">
      <x:c r="A1644" s="10" t="n">
        <x:v>46182</x:v>
      </x:c>
      <x:c r="B1644" s="1" t="n">
        <x:v>18</x:v>
      </x:c>
      <x:c r="C1644" s="1" t="n">
        <x:v>6</x:v>
      </x:c>
      <x:c r="D1644" s="12" t="n">
        <x:v>0</x:v>
      </x:c>
      <x:c r="E1644" s="12" t="n">
        <x:v>0.5420833333333333</x:v>
      </x:c>
      <x:c r="F1644" s="12" t="n">
        <x:v>0.5416666666666666</x:v>
      </x:c>
      <x:c r="G1644" s="12" t="n">
        <x:v>0</x:v>
      </x:c>
      <x:c r="H1644" s="1" t="n">
        <x:f>'Historical prices'!E1644</x:f>
        <x:v>1.05</x:v>
      </x:c>
      <x:c r="I1644" s="6" t="n">
        <x:f>'Historical prices'!D1644</x:f>
        <x:v>0.326</x:v>
      </x:c>
      <x:c r="J1644" s="13" t="n">
        <x:f>D1644*I1644*H1644</x:f>
        <x:v>0</x:v>
      </x:c>
      <x:c r="K1644" s="13" t="n">
        <x:f>E1644*I1644*H1644</x:f>
        <x:v>0.185555125</x:v>
      </x:c>
      <x:c r="L1644" s="1" t="str">
        <x:f>TEXT(A1644,"mmm yyyy")</x:f>
        <x:v>Jun 2026</x:v>
      </x:c>
    </x:row>
    <x:row r="1645" ht="21" customHeight="1">
      <x:c r="A1645" s="10" t="n">
        <x:v>46182</x:v>
      </x:c>
      <x:c r="B1645" s="1" t="n">
        <x:v>18.5</x:v>
      </x:c>
      <x:c r="C1645" s="1" t="n">
        <x:v>6</x:v>
      </x:c>
      <x:c r="D1645" s="12" t="n">
        <x:v>0</x:v>
      </x:c>
      <x:c r="E1645" s="12" t="n">
        <x:v>1.3155000000000001</x:v>
      </x:c>
      <x:c r="F1645" s="12" t="n">
        <x:v>1.3148333333333335</x:v>
      </x:c>
      <x:c r="G1645" s="12" t="n">
        <x:v>0</x:v>
      </x:c>
      <x:c r="H1645" s="1" t="n">
        <x:f>'Historical prices'!E1645</x:f>
        <x:v>1.05</x:v>
      </x:c>
      <x:c r="I1645" s="6" t="n">
        <x:f>'Historical prices'!D1645</x:f>
        <x:v>0.33649999999999997</x:v>
      </x:c>
      <x:c r="J1645" s="13" t="n">
        <x:f>D1645*I1645*H1645</x:f>
        <x:v>0</x:v>
      </x:c>
      <x:c r="K1645" s="13" t="n">
        <x:f>E1645*I1645*H1645</x:f>
        <x:v>0.4647990375</x:v>
      </x:c>
      <x:c r="L1645" s="1" t="str">
        <x:f>TEXT(A1645,"mmm yyyy")</x:f>
        <x:v>Jun 2026</x:v>
      </x:c>
    </x:row>
    <x:row r="1646" ht="21" customHeight="1">
      <x:c r="A1646" s="10" t="n">
        <x:v>46182</x:v>
      </x:c>
      <x:c r="B1646" s="1" t="n">
        <x:v>19</x:v>
      </x:c>
      <x:c r="C1646" s="1" t="n">
        <x:v>6</x:v>
      </x:c>
      <x:c r="D1646" s="12" t="n">
        <x:v>0</x:v>
      </x:c>
      <x:c r="E1646" s="12" t="n">
        <x:v>0.613</x:v>
      </x:c>
      <x:c r="F1646" s="12" t="n">
        <x:v>0.6125833333333334</x:v>
      </x:c>
      <x:c r="G1646" s="12" t="n">
        <x:v>0</x:v>
      </x:c>
      <x:c r="H1646" s="1" t="n">
        <x:f>'Historical prices'!E1646</x:f>
        <x:v>1.05</x:v>
      </x:c>
      <x:c r="I1646" s="6" t="n">
        <x:f>'Historical prices'!D1646</x:f>
        <x:v>0.2304</x:v>
      </x:c>
      <x:c r="J1646" s="13" t="n">
        <x:f>D1646*I1646*H1646</x:f>
        <x:v>0</x:v>
      </x:c>
      <x:c r="K1646" s="13" t="n">
        <x:f>E1646*I1646*H1646</x:f>
        <x:v>0.14829696</x:v>
      </x:c>
      <x:c r="L1646" s="1" t="str">
        <x:f>TEXT(A1646,"mmm yyyy")</x:f>
        <x:v>Jun 2026</x:v>
      </x:c>
    </x:row>
    <x:row r="1647" ht="21" customHeight="1">
      <x:c r="A1647" s="10" t="n">
        <x:v>46182</x:v>
      </x:c>
      <x:c r="B1647" s="1" t="n">
        <x:v>19.5</x:v>
      </x:c>
      <x:c r="C1647" s="1" t="n">
        <x:v>6</x:v>
      </x:c>
      <x:c r="D1647" s="12" t="n">
        <x:v>0</x:v>
      </x:c>
      <x:c r="E1647" s="12" t="n">
        <x:v>0.5118333333333333</x:v>
      </x:c>
      <x:c r="F1647" s="12" t="n">
        <x:v>0.5116666666666666</x:v>
      </x:c>
      <x:c r="G1647" s="12" t="n">
        <x:v>0</x:v>
      </x:c>
      <x:c r="H1647" s="1" t="n">
        <x:f>'Historical prices'!E1647</x:f>
        <x:v>1.05</x:v>
      </x:c>
      <x:c r="I1647" s="6" t="n">
        <x:f>'Historical prices'!D1647</x:f>
        <x:v>0.23309999999999997</x:v>
      </x:c>
      <x:c r="J1647" s="13" t="n">
        <x:f>D1647*I1647*H1647</x:f>
        <x:v>0</x:v>
      </x:c>
      <x:c r="K1647" s="13" t="n">
        <x:f>E1647*I1647*H1647</x:f>
        <x:v>0.12527376749999997</x:v>
      </x:c>
      <x:c r="L1647" s="1" t="str">
        <x:f>TEXT(A1647,"mmm yyyy")</x:f>
        <x:v>Jun 2026</x:v>
      </x:c>
    </x:row>
    <x:row r="1648" ht="21" customHeight="1">
      <x:c r="A1648" s="10" t="n">
        <x:v>46182</x:v>
      </x:c>
      <x:c r="B1648" s="1" t="n">
        <x:v>20</x:v>
      </x:c>
      <x:c r="C1648" s="1" t="n">
        <x:v>6</x:v>
      </x:c>
      <x:c r="D1648" s="12" t="n">
        <x:v>0</x:v>
      </x:c>
      <x:c r="E1648" s="12" t="n">
        <x:v>0.7728333333333333</x:v>
      </x:c>
      <x:c r="F1648" s="12" t="n">
        <x:v>0.7724166666666665</x:v>
      </x:c>
      <x:c r="G1648" s="12" t="n">
        <x:v>0</x:v>
      </x:c>
      <x:c r="H1648" s="1" t="n">
        <x:f>'Historical prices'!E1648</x:f>
        <x:v>1.05</x:v>
      </x:c>
      <x:c r="I1648" s="6" t="n">
        <x:f>'Historical prices'!D1648</x:f>
        <x:v>0.2396</x:v>
      </x:c>
      <x:c r="J1648" s="13" t="n">
        <x:f>D1648*I1648*H1648</x:f>
        <x:v>0</x:v>
      </x:c>
      <x:c r="K1648" s="13" t="n">
        <x:f>E1648*I1648*H1648</x:f>
        <x:v>0.19442941</x:v>
      </x:c>
      <x:c r="L1648" s="1" t="str">
        <x:f>TEXT(A1648,"mmm yyyy")</x:f>
        <x:v>Jun 2026</x:v>
      </x:c>
    </x:row>
    <x:row r="1649" ht="21" customHeight="1">
      <x:c r="A1649" s="10" t="n">
        <x:v>46182</x:v>
      </x:c>
      <x:c r="B1649" s="1" t="n">
        <x:v>20.5</x:v>
      </x:c>
      <x:c r="C1649" s="1" t="n">
        <x:v>6</x:v>
      </x:c>
      <x:c r="D1649" s="12" t="n">
        <x:v>0</x:v>
      </x:c>
      <x:c r="E1649" s="12" t="n">
        <x:v>0.44283333333333336</x:v>
      </x:c>
      <x:c r="F1649" s="12" t="n">
        <x:v>0.4426666666666667</x:v>
      </x:c>
      <x:c r="G1649" s="12" t="n">
        <x:v>0</x:v>
      </x:c>
      <x:c r="H1649" s="1" t="n">
        <x:f>'Historical prices'!E1649</x:f>
        <x:v>1.05</x:v>
      </x:c>
      <x:c r="I1649" s="6" t="n">
        <x:f>'Historical prices'!D1649</x:f>
        <x:v>0.2396</x:v>
      </x:c>
      <x:c r="J1649" s="13" t="n">
        <x:f>D1649*I1649*H1649</x:f>
        <x:v>0</x:v>
      </x:c>
      <x:c r="K1649" s="13" t="n">
        <x:f>E1649*I1649*H1649</x:f>
        <x:v>0.11140801</x:v>
      </x:c>
      <x:c r="L1649" s="1" t="str">
        <x:f>TEXT(A1649,"mmm yyyy")</x:f>
        <x:v>Jun 2026</x:v>
      </x:c>
    </x:row>
    <x:row r="1650" ht="21" customHeight="1">
      <x:c r="A1650" s="10" t="n">
        <x:v>46182</x:v>
      </x:c>
      <x:c r="B1650" s="1" t="n">
        <x:v>21</x:v>
      </x:c>
      <x:c r="C1650" s="1" t="n">
        <x:v>6</x:v>
      </x:c>
      <x:c r="D1650" s="12" t="n">
        <x:v>0</x:v>
      </x:c>
      <x:c r="E1650" s="12" t="n">
        <x:v>0.49658333333333327</x:v>
      </x:c>
      <x:c r="F1650" s="12" t="n">
        <x:v>0.49649999999999994</x:v>
      </x:c>
      <x:c r="G1650" s="12" t="n">
        <x:v>0</x:v>
      </x:c>
      <x:c r="H1650" s="1" t="n">
        <x:f>'Historical prices'!E1650</x:f>
        <x:v>1.05</x:v>
      </x:c>
      <x:c r="I1650" s="6" t="n">
        <x:f>'Historical prices'!D1650</x:f>
        <x:v>0.23879999999999998</x:v>
      </x:c>
      <x:c r="J1650" s="13" t="n">
        <x:f>D1650*I1650*H1650</x:f>
        <x:v>0</x:v>
      </x:c>
      <x:c r="K1650" s="13" t="n">
        <x:f>E1650*I1650*H1650</x:f>
        <x:v>0.12451330499999998</x:v>
      </x:c>
      <x:c r="L1650" s="1" t="str">
        <x:f>TEXT(A1650,"mmm yyyy")</x:f>
        <x:v>Jun 2026</x:v>
      </x:c>
    </x:row>
    <x:row r="1651" ht="21" customHeight="1">
      <x:c r="A1651" s="10" t="n">
        <x:v>46182</x:v>
      </x:c>
      <x:c r="B1651" s="1" t="n">
        <x:v>21.5</x:v>
      </x:c>
      <x:c r="C1651" s="1" t="n">
        <x:v>6</x:v>
      </x:c>
      <x:c r="D1651" s="12" t="n">
        <x:v>0</x:v>
      </x:c>
      <x:c r="E1651" s="12" t="n">
        <x:v>0.49249999999999994</x:v>
      </x:c>
      <x:c r="F1651" s="12" t="n">
        <x:v>0.49249999999999994</x:v>
      </x:c>
      <x:c r="G1651" s="12" t="n">
        <x:v>0</x:v>
      </x:c>
      <x:c r="H1651" s="1" t="n">
        <x:f>'Historical prices'!E1651</x:f>
        <x:v>1.05</x:v>
      </x:c>
      <x:c r="I1651" s="6" t="n">
        <x:f>'Historical prices'!D1651</x:f>
        <x:v>0.24</x:v>
      </x:c>
      <x:c r="J1651" s="13" t="n">
        <x:f>D1651*I1651*H1651</x:f>
        <x:v>0</x:v>
      </x:c>
      <x:c r="K1651" s="13" t="n">
        <x:f>E1651*I1651*H1651</x:f>
        <x:v>0.12410999999999998</x:v>
      </x:c>
      <x:c r="L1651" s="1" t="str">
        <x:f>TEXT(A1651,"mmm yyyy")</x:f>
        <x:v>Jun 2026</x:v>
      </x:c>
    </x:row>
    <x:row r="1652" ht="21" customHeight="1">
      <x:c r="A1652" s="10" t="n">
        <x:v>46182</x:v>
      </x:c>
      <x:c r="B1652" s="1" t="n">
        <x:v>22</x:v>
      </x:c>
      <x:c r="C1652" s="1" t="n">
        <x:v>6</x:v>
      </x:c>
      <x:c r="D1652" s="12" t="n">
        <x:v>0</x:v>
      </x:c>
      <x:c r="E1652" s="12" t="n">
        <x:v>0.8739166666666667</x:v>
      </x:c>
      <x:c r="F1652" s="12" t="n">
        <x:v>0.8736666666666667</x:v>
      </x:c>
      <x:c r="G1652" s="12" t="n">
        <x:v>0</x:v>
      </x:c>
      <x:c r="H1652" s="1" t="n">
        <x:f>'Historical prices'!E1652</x:f>
        <x:v>1.05</x:v>
      </x:c>
      <x:c r="I1652" s="6" t="n">
        <x:f>'Historical prices'!D1652</x:f>
        <x:v>0.218</x:v>
      </x:c>
      <x:c r="J1652" s="13" t="n">
        <x:f>D1652*I1652*H1652</x:f>
        <x:v>0</x:v>
      </x:c>
      <x:c r="K1652" s="13" t="n">
        <x:f>E1652*I1652*H1652</x:f>
        <x:v>0.200039525</x:v>
      </x:c>
      <x:c r="L1652" s="1" t="str">
        <x:f>TEXT(A1652,"mmm yyyy")</x:f>
        <x:v>Jun 2026</x:v>
      </x:c>
    </x:row>
    <x:row r="1653" ht="21" customHeight="1">
      <x:c r="A1653" s="10" t="n">
        <x:v>46182</x:v>
      </x:c>
      <x:c r="B1653" s="1" t="n">
        <x:v>22.5</x:v>
      </x:c>
      <x:c r="C1653" s="1" t="n">
        <x:v>6</x:v>
      </x:c>
      <x:c r="D1653" s="12" t="n">
        <x:v>0.19533333333333336</x:v>
      </x:c>
      <x:c r="E1653" s="12" t="n">
        <x:v>0.25525</x:v>
      </x:c>
      <x:c r="F1653" s="12" t="n">
        <x:v>0.050916666666666666</x:v>
      </x:c>
      <x:c r="G1653" s="12" t="n">
        <x:v>0</x:v>
      </x:c>
      <x:c r="H1653" s="1" t="n">
        <x:f>'Historical prices'!E1653</x:f>
        <x:v>1.05</x:v>
      </x:c>
      <x:c r="I1653" s="6" t="n">
        <x:f>'Historical prices'!D1653</x:f>
        <x:v>0.1955</x:v>
      </x:c>
      <x:c r="J1653" s="13" t="n">
        <x:f>D1653*I1653*H1653</x:f>
        <x:v>0.04009705000000001</x:v>
      </x:c>
      <x:c r="K1653" s="13" t="n">
        <x:f>E1653*I1653*H1653</x:f>
        <x:v>0.05239644375</x:v>
      </x:c>
      <x:c r="L1653" s="1" t="str">
        <x:f>TEXT(A1653,"mmm yyyy")</x:f>
        <x:v>Jun 2026</x:v>
      </x:c>
    </x:row>
    <x:row r="1654" ht="21" customHeight="1">
      <x:c r="A1654" s="10" t="n">
        <x:v>46182</x:v>
      </x:c>
      <x:c r="B1654" s="1" t="n">
        <x:v>23</x:v>
      </x:c>
      <x:c r="C1654" s="1" t="n">
        <x:v>6</x:v>
      </x:c>
      <x:c r="D1654" s="12" t="n">
        <x:v>0.19683333333333333</x:v>
      </x:c>
      <x:c r="E1654" s="12" t="n">
        <x:v>0.20783333333333334</x:v>
      </x:c>
      <x:c r="F1654" s="12" t="n">
        <x:v>0</x:v>
      </x:c>
      <x:c r="G1654" s="12" t="n">
        <x:v>0</x:v>
      </x:c>
      <x:c r="H1654" s="1" t="n">
        <x:f>'Historical prices'!E1654</x:f>
        <x:v>1.05</x:v>
      </x:c>
      <x:c r="I1654" s="6" t="n">
        <x:f>'Historical prices'!D1654</x:f>
        <x:v>0.2018</x:v>
      </x:c>
      <x:c r="J1654" s="13" t="n">
        <x:f>D1654*I1654*H1654</x:f>
        <x:v>0.04170701500000001</x:v>
      </x:c>
      <x:c r="K1654" s="13" t="n">
        <x:f>E1654*I1654*H1654</x:f>
        <x:v>0.044037805000000006</x:v>
      </x:c>
      <x:c r="L1654" s="1" t="str">
        <x:f>TEXT(A1654,"mmm yyyy")</x:f>
        <x:v>Jun 2026</x:v>
      </x:c>
    </x:row>
    <x:row r="1655" ht="21" customHeight="1">
      <x:c r="A1655" s="10" t="n">
        <x:v>46182</x:v>
      </x:c>
      <x:c r="B1655" s="1" t="n">
        <x:v>23.5</x:v>
      </x:c>
      <x:c r="C1655" s="1" t="n">
        <x:v>6</x:v>
      </x:c>
      <x:c r="D1655" s="12" t="n">
        <x:v>0.2186666666666667</x:v>
      </x:c>
      <x:c r="E1655" s="12" t="n">
        <x:v>0.23066666666666666</x:v>
      </x:c>
      <x:c r="F1655" s="12" t="n">
        <x:v>0</x:v>
      </x:c>
      <x:c r="G1655" s="12" t="n">
        <x:v>0</x:v>
      </x:c>
      <x:c r="H1655" s="1" t="n">
        <x:f>'Historical prices'!E1655</x:f>
        <x:v>1.05</x:v>
      </x:c>
      <x:c r="I1655" s="6" t="n">
        <x:f>'Historical prices'!D1655</x:f>
        <x:v>0.195</x:v>
      </x:c>
      <x:c r="J1655" s="13" t="n">
        <x:f>D1655*I1655*H1655</x:f>
        <x:v>0.04477200000000001</x:v>
      </x:c>
      <x:c r="K1655" s="13" t="n">
        <x:f>E1655*I1655*H1655</x:f>
        <x:v>0.047229</x:v>
      </x:c>
      <x:c r="L1655" s="1" t="str">
        <x:f>TEXT(A1655,"mmm yyyy")</x:f>
        <x:v>Jun 2026</x:v>
      </x:c>
    </x:row>
    <x:row r="1656" ht="21" customHeight="1">
      <x:c r="A1656" s="10" t="n">
        <x:v>46183</x:v>
      </x:c>
      <x:c r="B1656" s="1" t="n">
        <x:v>0</x:v>
      </x:c>
      <x:c r="C1656" s="1" t="n">
        <x:v>6</x:v>
      </x:c>
      <x:c r="D1656" s="12" t="n">
        <x:v>0.23641666666666666</x:v>
      </x:c>
      <x:c r="E1656" s="12" t="n">
        <x:v>0.24441666666666667</x:v>
      </x:c>
      <x:c r="F1656" s="12" t="n">
        <x:v>0</x:v>
      </x:c>
      <x:c r="G1656" s="12" t="n">
        <x:v>0</x:v>
      </x:c>
      <x:c r="H1656" s="1" t="n">
        <x:f>'Historical prices'!E1656</x:f>
        <x:v>1.05</x:v>
      </x:c>
      <x:c r="I1656" s="6" t="n">
        <x:f>'Historical prices'!D1656</x:f>
        <x:v>0.1929</x:v>
      </x:c>
      <x:c r="J1656" s="13" t="n">
        <x:f>D1656*I1656*H1656</x:f>
        <x:v>0.04788501375</x:v>
      </x:c>
      <x:c r="K1656" s="13" t="n">
        <x:f>E1656*I1656*H1656</x:f>
        <x:v>0.04950537375</x:v>
      </x:c>
      <x:c r="L1656" s="1" t="str">
        <x:f>TEXT(A1656,"mmm yyyy")</x:f>
        <x:v>Jun 2026</x:v>
      </x:c>
    </x:row>
    <x:row r="1657" ht="21" customHeight="1">
      <x:c r="A1657" s="10" t="n">
        <x:v>46183</x:v>
      </x:c>
      <x:c r="B1657" s="1" t="n">
        <x:v>0.5</x:v>
      </x:c>
      <x:c r="C1657" s="1" t="n">
        <x:v>6</x:v>
      </x:c>
      <x:c r="D1657" s="12" t="n">
        <x:v>0.18958333333333335</x:v>
      </x:c>
      <x:c r="E1657" s="12" t="n">
        <x:v>0.20058333333333336</x:v>
      </x:c>
      <x:c r="F1657" s="12" t="n">
        <x:v>0</x:v>
      </x:c>
      <x:c r="G1657" s="12" t="n">
        <x:v>0</x:v>
      </x:c>
      <x:c r="H1657" s="1" t="n">
        <x:f>'Historical prices'!E1657</x:f>
        <x:v>1.05</x:v>
      </x:c>
      <x:c r="I1657" s="6" t="n">
        <x:f>'Historical prices'!D1657</x:f>
        <x:v>0.18969999999999998</x:v>
      </x:c>
      <x:c r="J1657" s="13" t="n">
        <x:f>D1657*I1657*H1657</x:f>
        <x:v>0.03776215625</x:v>
      </x:c>
      <x:c r="K1657" s="13" t="n">
        <x:f>E1657*I1657*H1657</x:f>
        <x:v>0.039953191250000006</x:v>
      </x:c>
      <x:c r="L1657" s="1" t="str">
        <x:f>TEXT(A1657,"mmm yyyy")</x:f>
        <x:v>Jun 2026</x:v>
      </x:c>
    </x:row>
    <x:row r="1658" ht="21" customHeight="1">
      <x:c r="A1658" s="10" t="n">
        <x:v>46183</x:v>
      </x:c>
      <x:c r="B1658" s="1" t="n">
        <x:v>1</x:v>
      </x:c>
      <x:c r="C1658" s="1" t="n">
        <x:v>6</x:v>
      </x:c>
      <x:c r="D1658" s="12" t="n">
        <x:v>0.127</x:v>
      </x:c>
      <x:c r="E1658" s="12" t="n">
        <x:v>0.13799999999999998</x:v>
      </x:c>
      <x:c r="F1658" s="12" t="n">
        <x:v>0</x:v>
      </x:c>
      <x:c r="G1658" s="12" t="n">
        <x:v>0</x:v>
      </x:c>
      <x:c r="H1658" s="1" t="n">
        <x:f>'Historical prices'!E1658</x:f>
        <x:v>1.05</x:v>
      </x:c>
      <x:c r="I1658" s="6" t="n">
        <x:f>'Historical prices'!D1658</x:f>
        <x:v>0.1805</x:v>
      </x:c>
      <x:c r="J1658" s="13" t="n">
        <x:f>D1658*I1658*H1658</x:f>
        <x:v>0.024069675</x:v>
      </x:c>
      <x:c r="K1658" s="13" t="n">
        <x:f>E1658*I1658*H1658</x:f>
        <x:v>0.02615445</x:v>
      </x:c>
      <x:c r="L1658" s="1" t="str">
        <x:f>TEXT(A1658,"mmm yyyy")</x:f>
        <x:v>Jun 2026</x:v>
      </x:c>
    </x:row>
    <x:row r="1659" ht="21" customHeight="1">
      <x:c r="A1659" s="10" t="n">
        <x:v>46183</x:v>
      </x:c>
      <x:c r="B1659" s="1" t="n">
        <x:v>1.5</x:v>
      </x:c>
      <x:c r="C1659" s="1" t="n">
        <x:v>6</x:v>
      </x:c>
      <x:c r="D1659" s="12" t="n">
        <x:v>0.19041666666666668</x:v>
      </x:c>
      <x:c r="E1659" s="12" t="n">
        <x:v>0.20141666666666666</x:v>
      </x:c>
      <x:c r="F1659" s="12" t="n">
        <x:v>0</x:v>
      </x:c>
      <x:c r="G1659" s="12" t="n">
        <x:v>0</x:v>
      </x:c>
      <x:c r="H1659" s="1" t="n">
        <x:f>'Historical prices'!E1659</x:f>
        <x:v>1.05</x:v>
      </x:c>
      <x:c r="I1659" s="6" t="n">
        <x:f>'Historical prices'!D1659</x:f>
        <x:v>0.17579999999999998</x:v>
      </x:c>
      <x:c r="J1659" s="13" t="n">
        <x:f>D1659*I1659*H1659</x:f>
        <x:v>0.0351490125</x:v>
      </x:c>
      <x:c r="K1659" s="13" t="n">
        <x:f>E1659*I1659*H1659</x:f>
        <x:v>0.037179502499999996</x:v>
      </x:c>
      <x:c r="L1659" s="1" t="str">
        <x:f>TEXT(A1659,"mmm yyyy")</x:f>
        <x:v>Jun 2026</x:v>
      </x:c>
    </x:row>
    <x:row r="1660" ht="21" customHeight="1">
      <x:c r="A1660" s="10" t="n">
        <x:v>46183</x:v>
      </x:c>
      <x:c r="B1660" s="1" t="n">
        <x:v>2</x:v>
      </x:c>
      <x:c r="C1660" s="1" t="n">
        <x:v>6</x:v>
      </x:c>
      <x:c r="D1660" s="12" t="n">
        <x:v>4.287083333333333</x:v>
      </x:c>
      <x:c r="E1660" s="12" t="n">
        <x:v>0.5400833333333334</x:v>
      </x:c>
      <x:c r="F1660" s="12" t="n">
        <x:v>0</x:v>
      </x:c>
      <x:c r="G1660" s="12" t="n">
        <x:v>3.7489999999999997</x:v>
      </x:c>
      <x:c r="H1660" s="1" t="n">
        <x:f>'Historical prices'!E1660</x:f>
        <x:v>1.05</x:v>
      </x:c>
      <x:c r="I1660" s="6" t="n">
        <x:f>'Historical prices'!D1660</x:f>
        <x:v>0.1646</x:v>
      </x:c>
      <x:c r="J1660" s="13" t="n">
        <x:f>D1660*I1660*H1660</x:f>
        <x:v>0.7409366125</x:v>
      </x:c>
      <x:c r="K1660" s="13" t="n">
        <x:f>E1660*I1660*H1660</x:f>
        <x:v>0.09334260250000001</x:v>
      </x:c>
      <x:c r="L1660" s="1" t="str">
        <x:f>TEXT(A1660,"mmm yyyy")</x:f>
        <x:v>Jun 2026</x:v>
      </x:c>
    </x:row>
    <x:row r="1661" ht="21" customHeight="1">
      <x:c r="A1661" s="10" t="n">
        <x:v>46183</x:v>
      </x:c>
      <x:c r="B1661" s="1" t="n">
        <x:v>2.5</x:v>
      </x:c>
      <x:c r="C1661" s="1" t="n">
        <x:v>6</x:v>
      </x:c>
      <x:c r="D1661" s="12" t="n">
        <x:v>0.9447500000000001</x:v>
      </x:c>
      <x:c r="E1661" s="12" t="n">
        <x:v>0.21075000000000002</x:v>
      </x:c>
      <x:c r="F1661" s="12" t="n">
        <x:v>0</x:v>
      </x:c>
      <x:c r="G1661" s="12" t="n">
        <x:v>0.737</x:v>
      </x:c>
      <x:c r="H1661" s="1" t="n">
        <x:f>'Historical prices'!E1661</x:f>
        <x:v>1.05</x:v>
      </x:c>
      <x:c r="I1661" s="6" t="n">
        <x:f>'Historical prices'!D1661</x:f>
        <x:v>0.17129999999999998</x:v>
      </x:c>
      <x:c r="J1661" s="13" t="n">
        <x:f>D1661*I1661*H1661</x:f>
        <x:v>0.16992745874999998</x:v>
      </x:c>
      <x:c r="K1661" s="13" t="n">
        <x:f>E1661*I1661*H1661</x:f>
        <x:v>0.037906548750000005</x:v>
      </x:c>
      <x:c r="L1661" s="1" t="str">
        <x:f>TEXT(A1661,"mmm yyyy")</x:f>
        <x:v>Jun 2026</x:v>
      </x:c>
    </x:row>
    <x:row r="1662" ht="21" customHeight="1">
      <x:c r="A1662" s="10" t="n">
        <x:v>46183</x:v>
      </x:c>
      <x:c r="B1662" s="1" t="n">
        <x:v>3</x:v>
      </x:c>
      <x:c r="C1662" s="1" t="n">
        <x:v>6</x:v>
      </x:c>
      <x:c r="D1662" s="12" t="n">
        <x:v>0.12725</x:v>
      </x:c>
      <x:c r="E1662" s="12" t="n">
        <x:v>0.13925</x:v>
      </x:c>
      <x:c r="F1662" s="12" t="n">
        <x:v>0</x:v>
      </x:c>
      <x:c r="G1662" s="12" t="n">
        <x:v>0</x:v>
      </x:c>
      <x:c r="H1662" s="1" t="n">
        <x:f>'Historical prices'!E1662</x:f>
        <x:v>1.05</x:v>
      </x:c>
      <x:c r="I1662" s="6" t="n">
        <x:f>'Historical prices'!D1662</x:f>
        <x:v>0.17629999999999998</x:v>
      </x:c>
      <x:c r="J1662" s="13" t="n">
        <x:f>D1662*I1662*H1662</x:f>
        <x:v>0.02355588375</x:v>
      </x:c>
      <x:c r="K1662" s="13" t="n">
        <x:f>E1662*I1662*H1662</x:f>
        <x:v>0.02577726375</x:v>
      </x:c>
      <x:c r="L1662" s="1" t="str">
        <x:f>TEXT(A1662,"mmm yyyy")</x:f>
        <x:v>Jun 2026</x:v>
      </x:c>
    </x:row>
    <x:row r="1663" ht="21" customHeight="1">
      <x:c r="A1663" s="10" t="n">
        <x:v>46183</x:v>
      </x:c>
      <x:c r="B1663" s="1" t="n">
        <x:v>3.5</x:v>
      </x:c>
      <x:c r="C1663" s="1" t="n">
        <x:v>6</x:v>
      </x:c>
      <x:c r="D1663" s="12" t="n">
        <x:v>0.2309166666666667</x:v>
      </x:c>
      <x:c r="E1663" s="12" t="n">
        <x:v>0.24191666666666667</x:v>
      </x:c>
      <x:c r="F1663" s="12" t="n">
        <x:v>0</x:v>
      </x:c>
      <x:c r="G1663" s="12" t="n">
        <x:v>0</x:v>
      </x:c>
      <x:c r="H1663" s="1" t="n">
        <x:f>'Historical prices'!E1663</x:f>
        <x:v>1.05</x:v>
      </x:c>
      <x:c r="I1663" s="6" t="n">
        <x:f>'Historical prices'!D1663</x:f>
        <x:v>0.1783</x:v>
      </x:c>
      <x:c r="J1663" s="13" t="n">
        <x:f>D1663*I1663*H1663</x:f>
        <x:v>0.04323106375000001</x:v>
      </x:c>
      <x:c r="K1663" s="13" t="n">
        <x:f>E1663*I1663*H1663</x:f>
        <x:v>0.04529042875</x:v>
      </x:c>
      <x:c r="L1663" s="1" t="str">
        <x:f>TEXT(A1663,"mmm yyyy")</x:f>
        <x:v>Jun 2026</x:v>
      </x:c>
    </x:row>
    <x:row r="1664" ht="21" customHeight="1">
      <x:c r="A1664" s="10" t="n">
        <x:v>46183</x:v>
      </x:c>
      <x:c r="B1664" s="1" t="n">
        <x:v>4</x:v>
      </x:c>
      <x:c r="C1664" s="1" t="n">
        <x:v>6</x:v>
      </x:c>
      <x:c r="D1664" s="12" t="n">
        <x:v>0.21941666666666668</x:v>
      </x:c>
      <x:c r="E1664" s="12" t="n">
        <x:v>0.22941666666666669</x:v>
      </x:c>
      <x:c r="F1664" s="12" t="n">
        <x:v>0</x:v>
      </x:c>
      <x:c r="G1664" s="12" t="n">
        <x:v>0</x:v>
      </x:c>
      <x:c r="H1664" s="1" t="n">
        <x:f>'Historical prices'!E1664</x:f>
        <x:v>1.05</x:v>
      </x:c>
      <x:c r="I1664" s="6" t="n">
        <x:f>'Historical prices'!D1664</x:f>
        <x:v>0.1745</x:v>
      </x:c>
      <x:c r="J1664" s="13" t="n">
        <x:f>D1664*I1664*H1664</x:f>
        <x:v>0.040202618749999995</x:v>
      </x:c>
      <x:c r="K1664" s="13" t="n">
        <x:f>E1664*I1664*H1664</x:f>
        <x:v>0.04203486875</x:v>
      </x:c>
      <x:c r="L1664" s="1" t="str">
        <x:f>TEXT(A1664,"mmm yyyy")</x:f>
        <x:v>Jun 2026</x:v>
      </x:c>
    </x:row>
    <x:row r="1665" ht="21" customHeight="1">
      <x:c r="A1665" s="10" t="n">
        <x:v>46183</x:v>
      </x:c>
      <x:c r="B1665" s="1" t="n">
        <x:v>4.5</x:v>
      </x:c>
      <x:c r="C1665" s="1" t="n">
        <x:v>6</x:v>
      </x:c>
      <x:c r="D1665" s="12" t="n">
        <x:v>0.1716666666666667</x:v>
      </x:c>
      <x:c r="E1665" s="12" t="n">
        <x:v>0.1816666666666667</x:v>
      </x:c>
      <x:c r="F1665" s="12" t="n">
        <x:v>0</x:v>
      </x:c>
      <x:c r="G1665" s="12" t="n">
        <x:v>0</x:v>
      </x:c>
      <x:c r="H1665" s="1" t="n">
        <x:f>'Historical prices'!E1665</x:f>
        <x:v>1.05</x:v>
      </x:c>
      <x:c r="I1665" s="6" t="n">
        <x:f>'Historical prices'!D1665</x:f>
        <x:v>0.1761</x:v>
      </x:c>
      <x:c r="J1665" s="13" t="n">
        <x:f>D1665*I1665*H1665</x:f>
        <x:v>0.03174202500000001</x:v>
      </x:c>
      <x:c r="K1665" s="13" t="n">
        <x:f>E1665*I1665*H1665</x:f>
        <x:v>0.033591075000000005</x:v>
      </x:c>
      <x:c r="L1665" s="1" t="str">
        <x:f>TEXT(A1665,"mmm yyyy")</x:f>
        <x:v>Jun 2026</x:v>
      </x:c>
    </x:row>
    <x:row r="1666" ht="21" customHeight="1">
      <x:c r="A1666" s="10" t="n">
        <x:v>46183</x:v>
      </x:c>
      <x:c r="B1666" s="1" t="n">
        <x:v>5</x:v>
      </x:c>
      <x:c r="C1666" s="1" t="n">
        <x:v>6</x:v>
      </x:c>
      <x:c r="D1666" s="12" t="n">
        <x:v>0.2005</x:v>
      </x:c>
      <x:c r="E1666" s="12" t="n">
        <x:v>0.21150000000000002</x:v>
      </x:c>
      <x:c r="F1666" s="12" t="n">
        <x:v>0</x:v>
      </x:c>
      <x:c r="G1666" s="12" t="n">
        <x:v>0</x:v>
      </x:c>
      <x:c r="H1666" s="1" t="n">
        <x:f>'Historical prices'!E1666</x:f>
        <x:v>1.05</x:v>
      </x:c>
      <x:c r="I1666" s="6" t="n">
        <x:f>'Historical prices'!D1666</x:f>
        <x:v>0.183</x:v>
      </x:c>
      <x:c r="J1666" s="13" t="n">
        <x:f>D1666*I1666*H1666</x:f>
        <x:v>0.03852607500000001</x:v>
      </x:c>
      <x:c r="K1666" s="13" t="n">
        <x:f>E1666*I1666*H1666</x:f>
        <x:v>0.040639725</x:v>
      </x:c>
      <x:c r="L1666" s="1" t="str">
        <x:f>TEXT(A1666,"mmm yyyy")</x:f>
        <x:v>Jun 2026</x:v>
      </x:c>
    </x:row>
    <x:row r="1667" ht="21" customHeight="1">
      <x:c r="A1667" s="10" t="n">
        <x:v>46183</x:v>
      </x:c>
      <x:c r="B1667" s="1" t="n">
        <x:v>5.5</x:v>
      </x:c>
      <x:c r="C1667" s="1" t="n">
        <x:v>6</x:v>
      </x:c>
      <x:c r="D1667" s="12" t="n">
        <x:v>0.438</x:v>
      </x:c>
      <x:c r="E1667" s="12" t="n">
        <x:v>0.449</x:v>
      </x:c>
      <x:c r="F1667" s="12" t="n">
        <x:v>0</x:v>
      </x:c>
      <x:c r="G1667" s="12" t="n">
        <x:v>0</x:v>
      </x:c>
      <x:c r="H1667" s="1" t="n">
        <x:f>'Historical prices'!E1667</x:f>
        <x:v>1.05</x:v>
      </x:c>
      <x:c r="I1667" s="6" t="n">
        <x:f>'Historical prices'!D1667</x:f>
        <x:v>0.18289999999999998</x:v>
      </x:c>
      <x:c r="J1667" s="13" t="n">
        <x:f>D1667*I1667*H1667</x:f>
        <x:v>0.08411571</x:v>
      </x:c>
      <x:c r="K1667" s="13" t="n">
        <x:f>E1667*I1667*H1667</x:f>
        <x:v>0.08622820499999999</x:v>
      </x:c>
      <x:c r="L1667" s="1" t="str">
        <x:f>TEXT(A1667,"mmm yyyy")</x:f>
        <x:v>Jun 2026</x:v>
      </x:c>
    </x:row>
    <x:row r="1668" ht="21" customHeight="1">
      <x:c r="A1668" s="10" t="n">
        <x:v>46183</x:v>
      </x:c>
      <x:c r="B1668" s="1" t="n">
        <x:v>6</x:v>
      </x:c>
      <x:c r="C1668" s="1" t="n">
        <x:v>6</x:v>
      </x:c>
      <x:c r="D1668" s="12" t="n">
        <x:v>0.43074999999999997</x:v>
      </x:c>
      <x:c r="E1668" s="12" t="n">
        <x:v>0.44075</x:v>
      </x:c>
      <x:c r="F1668" s="12" t="n">
        <x:v>0</x:v>
      </x:c>
      <x:c r="G1668" s="12" t="n">
        <x:v>0</x:v>
      </x:c>
      <x:c r="H1668" s="1" t="n">
        <x:f>'Historical prices'!E1668</x:f>
        <x:v>1.05</x:v>
      </x:c>
      <x:c r="I1668" s="6" t="n">
        <x:f>'Historical prices'!D1668</x:f>
        <x:v>0.18780000000000002</x:v>
      </x:c>
      <x:c r="J1668" s="13" t="n">
        <x:f>D1668*I1668*H1668</x:f>
        <x:v>0.08493959250000001</x:v>
      </x:c>
      <x:c r="K1668" s="13" t="n">
        <x:f>E1668*I1668*H1668</x:f>
        <x:v>0.0869114925</x:v>
      </x:c>
      <x:c r="L1668" s="1" t="str">
        <x:f>TEXT(A1668,"mmm yyyy")</x:f>
        <x:v>Jun 2026</x:v>
      </x:c>
    </x:row>
    <x:row r="1669" ht="21" customHeight="1">
      <x:c r="A1669" s="10" t="n">
        <x:v>46183</x:v>
      </x:c>
      <x:c r="B1669" s="1" t="n">
        <x:v>6.5</x:v>
      </x:c>
      <x:c r="C1669" s="1" t="n">
        <x:v>6</x:v>
      </x:c>
      <x:c r="D1669" s="12" t="n">
        <x:v>0.0555</x:v>
      </x:c>
      <x:c r="E1669" s="12" t="n">
        <x:v>0.4445</x:v>
      </x:c>
      <x:c r="F1669" s="12" t="n">
        <x:v>0.386</x:v>
      </x:c>
      <x:c r="G1669" s="12" t="n">
        <x:v>0</x:v>
      </x:c>
      <x:c r="H1669" s="1" t="n">
        <x:f>'Historical prices'!E1669</x:f>
        <x:v>1.05</x:v>
      </x:c>
      <x:c r="I1669" s="6" t="n">
        <x:f>'Historical prices'!D1669</x:f>
        <x:v>0.21539999999999998</x:v>
      </x:c>
      <x:c r="J1669" s="13" t="n">
        <x:f>D1669*I1669*H1669</x:f>
        <x:v>0.012552434999999999</x:v>
      </x:c>
      <x:c r="K1669" s="13" t="n">
        <x:f>E1669*I1669*H1669</x:f>
        <x:v>0.10053256499999999</x:v>
      </x:c>
      <x:c r="L1669" s="1" t="str">
        <x:f>TEXT(A1669,"mmm yyyy")</x:f>
        <x:v>Jun 2026</x:v>
      </x:c>
    </x:row>
    <x:row r="1670" ht="21" customHeight="1">
      <x:c r="A1670" s="10" t="n">
        <x:v>46183</x:v>
      </x:c>
      <x:c r="B1670" s="1" t="n">
        <x:v>7</x:v>
      </x:c>
      <x:c r="C1670" s="1" t="n">
        <x:v>6</x:v>
      </x:c>
      <x:c r="D1670" s="12" t="n">
        <x:v>0</x:v>
      </x:c>
      <x:c r="E1670" s="12" t="n">
        <x:v>0.523</x:v>
      </x:c>
      <x:c r="F1670" s="12" t="n">
        <x:v>0.5226666666666666</x:v>
      </x:c>
      <x:c r="G1670" s="12" t="n">
        <x:v>0</x:v>
      </x:c>
      <x:c r="H1670" s="1" t="n">
        <x:f>'Historical prices'!E1670</x:f>
        <x:v>1.05</x:v>
      </x:c>
      <x:c r="I1670" s="6" t="n">
        <x:f>'Historical prices'!D1670</x:f>
        <x:v>0.2198</x:v>
      </x:c>
      <x:c r="J1670" s="13" t="n">
        <x:f>D1670*I1670*H1670</x:f>
        <x:v>0</x:v>
      </x:c>
      <x:c r="K1670" s="13" t="n">
        <x:f>E1670*I1670*H1670</x:f>
        <x:v>0.12070317</x:v>
      </x:c>
      <x:c r="L1670" s="1" t="str">
        <x:f>TEXT(A1670,"mmm yyyy")</x:f>
        <x:v>Jun 2026</x:v>
      </x:c>
    </x:row>
    <x:row r="1671" ht="21" customHeight="1">
      <x:c r="A1671" s="10" t="n">
        <x:v>46183</x:v>
      </x:c>
      <x:c r="B1671" s="1" t="n">
        <x:v>7.5</x:v>
      </x:c>
      <x:c r="C1671" s="1" t="n">
        <x:v>6</x:v>
      </x:c>
      <x:c r="D1671" s="12" t="n">
        <x:v>0</x:v>
      </x:c>
      <x:c r="E1671" s="12" t="n">
        <x:v>0.6279166666666667</x:v>
      </x:c>
      <x:c r="F1671" s="12" t="n">
        <x:v>0.6277499999999999</x:v>
      </x:c>
      <x:c r="G1671" s="12" t="n">
        <x:v>0</x:v>
      </x:c>
      <x:c r="H1671" s="1" t="n">
        <x:f>'Historical prices'!E1671</x:f>
        <x:v>1.05</x:v>
      </x:c>
      <x:c r="I1671" s="6" t="n">
        <x:f>'Historical prices'!D1671</x:f>
        <x:v>0.2207</x:v>
      </x:c>
      <x:c r="J1671" s="13" t="n">
        <x:f>D1671*I1671*H1671</x:f>
        <x:v>0</x:v>
      </x:c>
      <x:c r="K1671" s="13" t="n">
        <x:f>E1671*I1671*H1671</x:f>
        <x:v>0.14551026875</x:v>
      </x:c>
      <x:c r="L1671" s="1" t="str">
        <x:f>TEXT(A1671,"mmm yyyy")</x:f>
        <x:v>Jun 2026</x:v>
      </x:c>
    </x:row>
    <x:row r="1672" ht="21" customHeight="1">
      <x:c r="A1672" s="10" t="n">
        <x:v>46183</x:v>
      </x:c>
      <x:c r="B1672" s="1" t="n">
        <x:v>8</x:v>
      </x:c>
      <x:c r="C1672" s="1" t="n">
        <x:v>6</x:v>
      </x:c>
      <x:c r="D1672" s="12" t="n">
        <x:v>0</x:v>
      </x:c>
      <x:c r="E1672" s="12" t="n">
        <x:v>0.5519166666666666</x:v>
      </x:c>
      <x:c r="F1672" s="12" t="n">
        <x:v>0.5519166666666666</x:v>
      </x:c>
      <x:c r="G1672" s="12" t="n">
        <x:v>0</x:v>
      </x:c>
      <x:c r="H1672" s="1" t="n">
        <x:f>'Historical prices'!E1672</x:f>
        <x:v>1.05</x:v>
      </x:c>
      <x:c r="I1672" s="6" t="n">
        <x:f>'Historical prices'!D1672</x:f>
        <x:v>0.21530000000000002</x:v>
      </x:c>
      <x:c r="J1672" s="13" t="n">
        <x:f>D1672*I1672*H1672</x:f>
        <x:v>0</x:v>
      </x:c>
      <x:c r="K1672" s="13" t="n">
        <x:f>E1672*I1672*H1672</x:f>
        <x:v>0.12476904125</x:v>
      </x:c>
      <x:c r="L1672" s="1" t="str">
        <x:f>TEXT(A1672,"mmm yyyy")</x:f>
        <x:v>Jun 2026</x:v>
      </x:c>
    </x:row>
    <x:row r="1673" ht="21" customHeight="1">
      <x:c r="A1673" s="10" t="n">
        <x:v>46183</x:v>
      </x:c>
      <x:c r="B1673" s="1" t="n">
        <x:v>8.5</x:v>
      </x:c>
      <x:c r="C1673" s="1" t="n">
        <x:v>6</x:v>
      </x:c>
      <x:c r="D1673" s="12" t="n">
        <x:v>0</x:v>
      </x:c>
      <x:c r="E1673" s="12" t="n">
        <x:v>1.467083333333333</x:v>
      </x:c>
      <x:c r="F1673" s="12" t="n">
        <x:v>1.4665</x:v>
      </x:c>
      <x:c r="G1673" s="12" t="n">
        <x:v>0</x:v>
      </x:c>
      <x:c r="H1673" s="1" t="n">
        <x:f>'Historical prices'!E1673</x:f>
        <x:v>1.05</x:v>
      </x:c>
      <x:c r="I1673" s="6" t="n">
        <x:f>'Historical prices'!D1673</x:f>
        <x:v>0.2165</x:v>
      </x:c>
      <x:c r="J1673" s="13" t="n">
        <x:f>D1673*I1673*H1673</x:f>
        <x:v>0</x:v>
      </x:c>
      <x:c r="K1673" s="13" t="n">
        <x:f>E1673*I1673*H1673</x:f>
        <x:v>0.33350471875</x:v>
      </x:c>
      <x:c r="L1673" s="1" t="str">
        <x:f>TEXT(A1673,"mmm yyyy")</x:f>
        <x:v>Jun 2026</x:v>
      </x:c>
    </x:row>
    <x:row r="1674" ht="21" customHeight="1">
      <x:c r="A1674" s="10" t="n">
        <x:v>46183</x:v>
      </x:c>
      <x:c r="B1674" s="1" t="n">
        <x:v>9</x:v>
      </x:c>
      <x:c r="C1674" s="1" t="n">
        <x:v>6</x:v>
      </x:c>
      <x:c r="D1674" s="12" t="n">
        <x:v>0</x:v>
      </x:c>
      <x:c r="E1674" s="12" t="n">
        <x:v>0.6958333333333333</x:v>
      </x:c>
      <x:c r="F1674" s="12" t="n">
        <x:v>0.6956666666666665</x:v>
      </x:c>
      <x:c r="G1674" s="12" t="n">
        <x:v>0</x:v>
      </x:c>
      <x:c r="H1674" s="1" t="n">
        <x:f>'Historical prices'!E1674</x:f>
        <x:v>1.05</x:v>
      </x:c>
      <x:c r="I1674" s="6" t="n">
        <x:f>'Historical prices'!D1674</x:f>
        <x:v>0.2165</x:v>
      </x:c>
      <x:c r="J1674" s="13" t="n">
        <x:f>D1674*I1674*H1674</x:f>
        <x:v>0</x:v>
      </x:c>
      <x:c r="K1674" s="13" t="n">
        <x:f>E1674*I1674*H1674</x:f>
        <x:v>0.1581803125</x:v>
      </x:c>
      <x:c r="L1674" s="1" t="str">
        <x:f>TEXT(A1674,"mmm yyyy")</x:f>
        <x:v>Jun 2026</x:v>
      </x:c>
    </x:row>
    <x:row r="1675" ht="21" customHeight="1">
      <x:c r="A1675" s="10" t="n">
        <x:v>46183</x:v>
      </x:c>
      <x:c r="B1675" s="1" t="n">
        <x:v>9.5</x:v>
      </x:c>
      <x:c r="C1675" s="1" t="n">
        <x:v>6</x:v>
      </x:c>
      <x:c r="D1675" s="12" t="n">
        <x:v>0.38466666666666666</x:v>
      </x:c>
      <x:c r="E1675" s="12" t="n">
        <x:v>0.4935</x:v>
      </x:c>
      <x:c r="F1675" s="12" t="n">
        <x:v>0.09883333333333333</x:v>
      </x:c>
      <x:c r="G1675" s="12" t="n">
        <x:v>0</x:v>
      </x:c>
      <x:c r="H1675" s="1" t="n">
        <x:f>'Historical prices'!E1675</x:f>
        <x:v>1.05</x:v>
      </x:c>
      <x:c r="I1675" s="6" t="n">
        <x:f>'Historical prices'!D1675</x:f>
        <x:v>0.20350000000000001</x:v>
      </x:c>
      <x:c r="J1675" s="13" t="n">
        <x:f>D1675*I1675*H1675</x:f>
        <x:v>0.08219365000000001</x:v>
      </x:c>
      <x:c r="K1675" s="13" t="n">
        <x:f>E1675*I1675*H1675</x:f>
        <x:v>0.10544861250000001</x:v>
      </x:c>
      <x:c r="L1675" s="1" t="str">
        <x:f>TEXT(A1675,"mmm yyyy")</x:f>
        <x:v>Jun 2026</x:v>
      </x:c>
    </x:row>
    <x:row r="1676" ht="21" customHeight="1">
      <x:c r="A1676" s="10" t="n">
        <x:v>46183</x:v>
      </x:c>
      <x:c r="B1676" s="1" t="n">
        <x:v>10</x:v>
      </x:c>
      <x:c r="C1676" s="1" t="n">
        <x:v>6</x:v>
      </x:c>
      <x:c r="D1676" s="12" t="n">
        <x:v>0.5086666666666666</x:v>
      </x:c>
      <x:c r="E1676" s="12" t="n">
        <x:v>0.5206666666666666</x:v>
      </x:c>
      <x:c r="F1676" s="12" t="n">
        <x:v>0</x:v>
      </x:c>
      <x:c r="G1676" s="12" t="n">
        <x:v>0</x:v>
      </x:c>
      <x:c r="H1676" s="1" t="n">
        <x:f>'Historical prices'!E1676</x:f>
        <x:v>1.05</x:v>
      </x:c>
      <x:c r="I1676" s="6" t="n">
        <x:f>'Historical prices'!D1676</x:f>
        <x:v>0.2075</x:v>
      </x:c>
      <x:c r="J1676" s="13" t="n">
        <x:f>D1676*I1676*H1676</x:f>
        <x:v>0.11082574999999999</x:v>
      </x:c>
      <x:c r="K1676" s="13" t="n">
        <x:f>E1676*I1676*H1676</x:f>
        <x:v>0.11344024999999999</x:v>
      </x:c>
      <x:c r="L1676" s="1" t="str">
        <x:f>TEXT(A1676,"mmm yyyy")</x:f>
        <x:v>Jun 2026</x:v>
      </x:c>
    </x:row>
    <x:row r="1677" ht="21" customHeight="1">
      <x:c r="A1677" s="10" t="n">
        <x:v>46183</x:v>
      </x:c>
      <x:c r="B1677" s="1" t="n">
        <x:v>10.5</x:v>
      </x:c>
      <x:c r="C1677" s="1" t="n">
        <x:v>6</x:v>
      </x:c>
      <x:c r="D1677" s="12" t="n">
        <x:v>0.47025</x:v>
      </x:c>
      <x:c r="E1677" s="12" t="n">
        <x:v>0.48125</x:v>
      </x:c>
      <x:c r="F1677" s="12" t="n">
        <x:v>0</x:v>
      </x:c>
      <x:c r="G1677" s="12" t="n">
        <x:v>0</x:v>
      </x:c>
      <x:c r="H1677" s="1" t="n">
        <x:f>'Historical prices'!E1677</x:f>
        <x:v>1.05</x:v>
      </x:c>
      <x:c r="I1677" s="6" t="n">
        <x:f>'Historical prices'!D1677</x:f>
        <x:v>0.201</x:v>
      </x:c>
      <x:c r="J1677" s="13" t="n">
        <x:f>D1677*I1677*H1677</x:f>
        <x:v>0.0992462625</x:v>
      </x:c>
      <x:c r="K1677" s="13" t="n">
        <x:f>E1677*I1677*H1677</x:f>
        <x:v>0.10156781250000001</x:v>
      </x:c>
      <x:c r="L1677" s="1" t="str">
        <x:f>TEXT(A1677,"mmm yyyy")</x:f>
        <x:v>Jun 2026</x:v>
      </x:c>
    </x:row>
    <x:row r="1678" ht="21" customHeight="1">
      <x:c r="A1678" s="10" t="n">
        <x:v>46183</x:v>
      </x:c>
      <x:c r="B1678" s="1" t="n">
        <x:v>11</x:v>
      </x:c>
      <x:c r="C1678" s="1" t="n">
        <x:v>6</x:v>
      </x:c>
      <x:c r="D1678" s="12" t="n">
        <x:v>0.4225</x:v>
      </x:c>
      <x:c r="E1678" s="12" t="n">
        <x:v>0.4335</x:v>
      </x:c>
      <x:c r="F1678" s="12" t="n">
        <x:v>0</x:v>
      </x:c>
      <x:c r="G1678" s="12" t="n">
        <x:v>0</x:v>
      </x:c>
      <x:c r="H1678" s="1" t="n">
        <x:f>'Historical prices'!E1678</x:f>
        <x:v>1.05</x:v>
      </x:c>
      <x:c r="I1678" s="6" t="n">
        <x:f>'Historical prices'!D1678</x:f>
        <x:v>0.1863</x:v>
      </x:c>
      <x:c r="J1678" s="13" t="n">
        <x:f>D1678*I1678*H1678</x:f>
        <x:v>0.0826473375</x:v>
      </x:c>
      <x:c r="K1678" s="13" t="n">
        <x:f>E1678*I1678*H1678</x:f>
        <x:v>0.0847991025</x:v>
      </x:c>
      <x:c r="L1678" s="1" t="str">
        <x:f>TEXT(A1678,"mmm yyyy")</x:f>
        <x:v>Jun 2026</x:v>
      </x:c>
    </x:row>
    <x:row r="1679" ht="21" customHeight="1">
      <x:c r="A1679" s="10" t="n">
        <x:v>46183</x:v>
      </x:c>
      <x:c r="B1679" s="1" t="n">
        <x:v>11.5</x:v>
      </x:c>
      <x:c r="C1679" s="1" t="n">
        <x:v>6</x:v>
      </x:c>
      <x:c r="D1679" s="12" t="n">
        <x:v>0.3808333333333333</x:v>
      </x:c>
      <x:c r="E1679" s="12" t="n">
        <x:v>0.39183333333333337</x:v>
      </x:c>
      <x:c r="F1679" s="12" t="n">
        <x:v>0</x:v>
      </x:c>
      <x:c r="G1679" s="12" t="n">
        <x:v>0</x:v>
      </x:c>
      <x:c r="H1679" s="1" t="n">
        <x:f>'Historical prices'!E1679</x:f>
        <x:v>1.05</x:v>
      </x:c>
      <x:c r="I1679" s="6" t="n">
        <x:f>'Historical prices'!D1679</x:f>
        <x:v>0.18289999999999998</x:v>
      </x:c>
      <x:c r="J1679" s="13" t="n">
        <x:f>D1679*I1679*H1679</x:f>
        <x:v>0.07313713749999999</x:v>
      </x:c>
      <x:c r="K1679" s="13" t="n">
        <x:f>E1679*I1679*H1679</x:f>
        <x:v>0.0752496325</x:v>
      </x:c>
      <x:c r="L1679" s="1" t="str">
        <x:f>TEXT(A1679,"mmm yyyy")</x:f>
        <x:v>Jun 2026</x:v>
      </x:c>
    </x:row>
    <x:row r="1680" ht="21" customHeight="1">
      <x:c r="A1680" s="10" t="n">
        <x:v>46183</x:v>
      </x:c>
      <x:c r="B1680" s="1" t="n">
        <x:v>12</x:v>
      </x:c>
      <x:c r="C1680" s="1" t="n">
        <x:v>6</x:v>
      </x:c>
      <x:c r="D1680" s="12" t="n">
        <x:v>0.4699166666666666</x:v>
      </x:c>
      <x:c r="E1680" s="12" t="n">
        <x:v>0.4799166666666666</x:v>
      </x:c>
      <x:c r="F1680" s="12" t="n">
        <x:v>0</x:v>
      </x:c>
      <x:c r="G1680" s="12" t="n">
        <x:v>0</x:v>
      </x:c>
      <x:c r="H1680" s="1" t="n">
        <x:f>'Historical prices'!E1680</x:f>
        <x:v>1.05</x:v>
      </x:c>
      <x:c r="I1680" s="6" t="n">
        <x:f>'Historical prices'!D1680</x:f>
        <x:v>0.1848</x:v>
      </x:c>
      <x:c r="J1680" s="13" t="n">
        <x:f>D1680*I1680*H1680</x:f>
        <x:v>0.09118262999999997</x:v>
      </x:c>
      <x:c r="K1680" s="13" t="n">
        <x:f>E1680*I1680*H1680</x:f>
        <x:v>0.09312302999999998</x:v>
      </x:c>
      <x:c r="L1680" s="1" t="str">
        <x:f>TEXT(A1680,"mmm yyyy")</x:f>
        <x:v>Jun 2026</x:v>
      </x:c>
    </x:row>
    <x:row r="1681" ht="21" customHeight="1">
      <x:c r="A1681" s="10" t="n">
        <x:v>46183</x:v>
      </x:c>
      <x:c r="B1681" s="1" t="n">
        <x:v>12.5</x:v>
      </x:c>
      <x:c r="C1681" s="1" t="n">
        <x:v>6</x:v>
      </x:c>
      <x:c r="D1681" s="12" t="n">
        <x:v>0.38158333333333333</x:v>
      </x:c>
      <x:c r="E1681" s="12" t="n">
        <x:v>0.39158333333333334</x:v>
      </x:c>
      <x:c r="F1681" s="12" t="n">
        <x:v>0</x:v>
      </x:c>
      <x:c r="G1681" s="12" t="n">
        <x:v>0</x:v>
      </x:c>
      <x:c r="H1681" s="1" t="n">
        <x:f>'Historical prices'!E1681</x:f>
        <x:v>1.05</x:v>
      </x:c>
      <x:c r="I1681" s="6" t="n">
        <x:f>'Historical prices'!D1681</x:f>
        <x:v>0.17739999999999997</x:v>
      </x:c>
      <x:c r="J1681" s="13" t="n">
        <x:f>D1681*I1681*H1681</x:f>
        <x:v>0.0710775275</x:v>
      </x:c>
      <x:c r="K1681" s="13" t="n">
        <x:f>E1681*I1681*H1681</x:f>
        <x:v>0.0729402275</x:v>
      </x:c>
      <x:c r="L1681" s="1" t="str">
        <x:f>TEXT(A1681,"mmm yyyy")</x:f>
        <x:v>Jun 2026</x:v>
      </x:c>
    </x:row>
    <x:row r="1682" ht="21" customHeight="1">
      <x:c r="A1682" s="10" t="n">
        <x:v>46183</x:v>
      </x:c>
      <x:c r="B1682" s="1" t="n">
        <x:v>13</x:v>
      </x:c>
      <x:c r="C1682" s="1" t="n">
        <x:v>6</x:v>
      </x:c>
      <x:c r="D1682" s="12" t="n">
        <x:v>0.5193333333333333</x:v>
      </x:c>
      <x:c r="E1682" s="12" t="n">
        <x:v>0.5303333333333333</x:v>
      </x:c>
      <x:c r="F1682" s="12" t="n">
        <x:v>0</x:v>
      </x:c>
      <x:c r="G1682" s="12" t="n">
        <x:v>0</x:v>
      </x:c>
      <x:c r="H1682" s="1" t="n">
        <x:f>'Historical prices'!E1682</x:f>
        <x:v>1.05</x:v>
      </x:c>
      <x:c r="I1682" s="6" t="n">
        <x:f>'Historical prices'!D1682</x:f>
        <x:v>0.18</x:v>
      </x:c>
      <x:c r="J1682" s="13" t="n">
        <x:f>D1682*I1682*H1682</x:f>
        <x:v>0.09815399999999999</x:v>
      </x:c>
      <x:c r="K1682" s="13" t="n">
        <x:f>E1682*I1682*H1682</x:f>
        <x:v>0.10023299999999999</x:v>
      </x:c>
      <x:c r="L1682" s="1" t="str">
        <x:f>TEXT(A1682,"mmm yyyy")</x:f>
        <x:v>Jun 2026</x:v>
      </x:c>
    </x:row>
    <x:row r="1683" ht="21" customHeight="1">
      <x:c r="A1683" s="10" t="n">
        <x:v>46183</x:v>
      </x:c>
      <x:c r="B1683" s="1" t="n">
        <x:v>13.5</x:v>
      </x:c>
      <x:c r="C1683" s="1" t="n">
        <x:v>6</x:v>
      </x:c>
      <x:c r="D1683" s="12" t="n">
        <x:v>0.37166666666666665</x:v>
      </x:c>
      <x:c r="E1683" s="12" t="n">
        <x:v>0.38366666666666666</x:v>
      </x:c>
      <x:c r="F1683" s="12" t="n">
        <x:v>0</x:v>
      </x:c>
      <x:c r="G1683" s="12" t="n">
        <x:v>0</x:v>
      </x:c>
      <x:c r="H1683" s="1" t="n">
        <x:f>'Historical prices'!E1683</x:f>
        <x:v>1.05</x:v>
      </x:c>
      <x:c r="I1683" s="6" t="n">
        <x:f>'Historical prices'!D1683</x:f>
        <x:v>0.1724</x:v>
      </x:c>
      <x:c r="J1683" s="13" t="n">
        <x:f>D1683*I1683*H1683</x:f>
        <x:v>0.0672791</x:v>
      </x:c>
      <x:c r="K1683" s="13" t="n">
        <x:f>E1683*I1683*H1683</x:f>
        <x:v>0.06945134</x:v>
      </x:c>
      <x:c r="L1683" s="1" t="str">
        <x:f>TEXT(A1683,"mmm yyyy")</x:f>
        <x:v>Jun 2026</x:v>
      </x:c>
    </x:row>
    <x:row r="1684" ht="21" customHeight="1">
      <x:c r="A1684" s="10" t="n">
        <x:v>46183</x:v>
      </x:c>
      <x:c r="B1684" s="1" t="n">
        <x:v>14</x:v>
      </x:c>
      <x:c r="C1684" s="1" t="n">
        <x:v>6</x:v>
      </x:c>
      <x:c r="D1684" s="12" t="n">
        <x:v>0.45183333333333336</x:v>
      </x:c>
      <x:c r="E1684" s="12" t="n">
        <x:v>0.4618333333333334</x:v>
      </x:c>
      <x:c r="F1684" s="12" t="n">
        <x:v>0</x:v>
      </x:c>
      <x:c r="G1684" s="12" t="n">
        <x:v>0</x:v>
      </x:c>
      <x:c r="H1684" s="1" t="n">
        <x:f>'Historical prices'!E1684</x:f>
        <x:v>1.05</x:v>
      </x:c>
      <x:c r="I1684" s="6" t="n">
        <x:f>'Historical prices'!D1684</x:f>
        <x:v>0.1684</x:v>
      </x:c>
      <x:c r="J1684" s="13" t="n">
        <x:f>D1684*I1684*H1684</x:f>
        <x:v>0.07989317000000001</x:v>
      </x:c>
      <x:c r="K1684" s="13" t="n">
        <x:f>E1684*I1684*H1684</x:f>
        <x:v>0.08166137000000001</x:v>
      </x:c>
      <x:c r="L1684" s="1" t="str">
        <x:f>TEXT(A1684,"mmm yyyy")</x:f>
        <x:v>Jun 2026</x:v>
      </x:c>
    </x:row>
    <x:row r="1685" ht="21" customHeight="1">
      <x:c r="A1685" s="10" t="n">
        <x:v>46183</x:v>
      </x:c>
      <x:c r="B1685" s="1" t="n">
        <x:v>14.5</x:v>
      </x:c>
      <x:c r="C1685" s="1" t="n">
        <x:v>6</x:v>
      </x:c>
      <x:c r="D1685" s="12" t="n">
        <x:v>1.9695833333333332</x:v>
      </x:c>
      <x:c r="E1685" s="12" t="n">
        <x:v>0.4095833333333334</x:v>
      </x:c>
      <x:c r="F1685" s="12" t="n">
        <x:v>0</x:v>
      </x:c>
      <x:c r="G1685" s="12" t="n">
        <x:v>1.558</x:v>
      </x:c>
      <x:c r="H1685" s="1" t="n">
        <x:f>'Historical prices'!E1685</x:f>
        <x:v>1.05</x:v>
      </x:c>
      <x:c r="I1685" s="6" t="n">
        <x:f>'Historical prices'!D1685</x:f>
        <x:v>0.1661</x:v>
      </x:c>
      <x:c r="J1685" s="13" t="n">
        <x:f>D1685*I1685*H1685</x:f>
        <x:v>0.34350518124999996</x:v>
      </x:c>
      <x:c r="K1685" s="13" t="n">
        <x:f>E1685*I1685*H1685</x:f>
        <x:v>0.07143338125000001</x:v>
      </x:c>
      <x:c r="L1685" s="1" t="str">
        <x:f>TEXT(A1685,"mmm yyyy")</x:f>
        <x:v>Jun 2026</x:v>
      </x:c>
    </x:row>
    <x:row r="1686" ht="21" customHeight="1">
      <x:c r="A1686" s="10" t="n">
        <x:v>46183</x:v>
      </x:c>
      <x:c r="B1686" s="1" t="n">
        <x:v>15</x:v>
      </x:c>
      <x:c r="C1686" s="1" t="n">
        <x:v>6</x:v>
      </x:c>
      <x:c r="D1686" s="12" t="n">
        <x:v>4.418083333333334</x:v>
      </x:c>
      <x:c r="E1686" s="12" t="n">
        <x:v>0.5610833333333334</x:v>
      </x:c>
      <x:c r="F1686" s="12" t="n">
        <x:v>0</x:v>
      </x:c>
      <x:c r="G1686" s="12" t="n">
        <x:v>3.859</x:v>
      </x:c>
      <x:c r="H1686" s="1" t="n">
        <x:f>'Historical prices'!E1686</x:f>
        <x:v>1.05</x:v>
      </x:c>
      <x:c r="I1686" s="6" t="n">
        <x:f>'Historical prices'!D1686</x:f>
        <x:v>0.1641</x:v>
      </x:c>
      <x:c r="J1686" s="13" t="n">
        <x:f>D1686*I1686*H1686</x:f>
        <x:v>0.7612578487500001</x:v>
      </x:c>
      <x:c r="K1686" s="13" t="n">
        <x:f>E1686*I1686*H1686</x:f>
        <x:v>0.09667746375000001</x:v>
      </x:c>
      <x:c r="L1686" s="1" t="str">
        <x:f>TEXT(A1686,"mmm yyyy")</x:f>
        <x:v>Jun 2026</x:v>
      </x:c>
    </x:row>
    <x:row r="1687" ht="21" customHeight="1">
      <x:c r="A1687" s="10" t="n">
        <x:v>46183</x:v>
      </x:c>
      <x:c r="B1687" s="1" t="n">
        <x:v>15.5</x:v>
      </x:c>
      <x:c r="C1687" s="1" t="n">
        <x:v>6</x:v>
      </x:c>
      <x:c r="D1687" s="12" t="n">
        <x:v>1.5525833333333334</x:v>
      </x:c>
      <x:c r="E1687" s="12" t="n">
        <x:v>0.44858333333333333</x:v>
      </x:c>
      <x:c r="F1687" s="12" t="n">
        <x:v>0</x:v>
      </x:c>
      <x:c r="G1687" s="12" t="n">
        <x:v>1.1039999999999999</x:v>
      </x:c>
      <x:c r="H1687" s="1" t="n">
        <x:f>'Historical prices'!E1687</x:f>
        <x:v>1.05</x:v>
      </x:c>
      <x:c r="I1687" s="6" t="n">
        <x:f>'Historical prices'!D1687</x:f>
        <x:v>0.1704</x:v>
      </x:c>
      <x:c r="J1687" s="13" t="n">
        <x:f>D1687*I1687*H1687</x:f>
        <x:v>0.27778821000000004</x:v>
      </x:c>
      <x:c r="K1687" s="13" t="n">
        <x:f>E1687*I1687*H1687</x:f>
        <x:v>0.08026053</x:v>
      </x:c>
      <x:c r="L1687" s="1" t="str">
        <x:f>TEXT(A1687,"mmm yyyy")</x:f>
        <x:v>Jun 2026</x:v>
      </x:c>
    </x:row>
    <x:row r="1688" ht="21" customHeight="1">
      <x:c r="A1688" s="10" t="n">
        <x:v>46183</x:v>
      </x:c>
      <x:c r="B1688" s="1" t="n">
        <x:v>16</x:v>
      </x:c>
      <x:c r="C1688" s="1" t="n">
        <x:v>6</x:v>
      </x:c>
      <x:c r="D1688" s="12" t="n">
        <x:v>0.08575</x:v>
      </x:c>
      <x:c r="E1688" s="12" t="n">
        <x:v>0.43391666666666673</x:v>
      </x:c>
      <x:c r="F1688" s="12" t="n">
        <x:v>0.36583333333333334</x:v>
      </x:c>
      <x:c r="G1688" s="12" t="n">
        <x:v>0.018</x:v>
      </x:c>
      <x:c r="H1688" s="1" t="n">
        <x:f>'Historical prices'!E1688</x:f>
        <x:v>1.05</x:v>
      </x:c>
      <x:c r="I1688" s="6" t="n">
        <x:f>'Historical prices'!D1688</x:f>
        <x:v>0.3122</x:v>
      </x:c>
      <x:c r="J1688" s="13" t="n">
        <x:f>D1688*I1688*H1688</x:f>
        <x:v>0.0281097075</x:v>
      </x:c>
      <x:c r="K1688" s="13" t="n">
        <x:f>E1688*I1688*H1688</x:f>
        <x:v>0.14224222250000002</x:v>
      </x:c>
      <x:c r="L1688" s="1" t="str">
        <x:f>TEXT(A1688,"mmm yyyy")</x:f>
        <x:v>Jun 2026</x:v>
      </x:c>
    </x:row>
    <x:row r="1689" ht="21" customHeight="1">
      <x:c r="A1689" s="10" t="n">
        <x:v>46183</x:v>
      </x:c>
      <x:c r="B1689" s="1" t="n">
        <x:v>16.5</x:v>
      </x:c>
      <x:c r="C1689" s="1" t="n">
        <x:v>6</x:v>
      </x:c>
      <x:c r="D1689" s="12" t="n">
        <x:v>0</x:v>
      </x:c>
      <x:c r="E1689" s="12" t="n">
        <x:v>0.38375000000000004</x:v>
      </x:c>
      <x:c r="F1689" s="12" t="n">
        <x:v>0.38375000000000004</x:v>
      </x:c>
      <x:c r="G1689" s="12" t="n">
        <x:v>0</x:v>
      </x:c>
      <x:c r="H1689" s="1" t="n">
        <x:f>'Historical prices'!E1689</x:f>
        <x:v>1.05</x:v>
      </x:c>
      <x:c r="I1689" s="6" t="n">
        <x:f>'Historical prices'!D1689</x:f>
        <x:v>0.3141</x:v>
      </x:c>
      <x:c r="J1689" s="13" t="n">
        <x:f>D1689*I1689*H1689</x:f>
        <x:v>0</x:v>
      </x:c>
      <x:c r="K1689" s="13" t="n">
        <x:f>E1689*I1689*H1689</x:f>
        <x:v>0.12656266875</x:v>
      </x:c>
      <x:c r="L1689" s="1" t="str">
        <x:f>TEXT(A1689,"mmm yyyy")</x:f>
        <x:v>Jun 2026</x:v>
      </x:c>
    </x:row>
    <x:row r="1690" ht="21" customHeight="1">
      <x:c r="A1690" s="10" t="n">
        <x:v>46183</x:v>
      </x:c>
      <x:c r="B1690" s="1" t="n">
        <x:v>17</x:v>
      </x:c>
      <x:c r="C1690" s="1" t="n">
        <x:v>6</x:v>
      </x:c>
      <x:c r="D1690" s="12" t="n">
        <x:v>0</x:v>
      </x:c>
      <x:c r="E1690" s="12" t="n">
        <x:v>0.3929166666666667</x:v>
      </x:c>
      <x:c r="F1690" s="12" t="n">
        <x:v>0.3929166666666667</x:v>
      </x:c>
      <x:c r="G1690" s="12" t="n">
        <x:v>0</x:v>
      </x:c>
      <x:c r="H1690" s="1" t="n">
        <x:f>'Historical prices'!E1690</x:f>
        <x:v>1.05</x:v>
      </x:c>
      <x:c r="I1690" s="6" t="n">
        <x:f>'Historical prices'!D1690</x:f>
        <x:v>0.3268</x:v>
      </x:c>
      <x:c r="J1690" s="13" t="n">
        <x:f>D1690*I1690*H1690</x:f>
        <x:v>0</x:v>
      </x:c>
      <x:c r="K1690" s="13" t="n">
        <x:f>E1690*I1690*H1690</x:f>
        <x:v>0.134825425</x:v>
      </x:c>
      <x:c r="L1690" s="1" t="str">
        <x:f>TEXT(A1690,"mmm yyyy")</x:f>
        <x:v>Jun 2026</x:v>
      </x:c>
    </x:row>
    <x:row r="1691" ht="21" customHeight="1">
      <x:c r="A1691" s="10" t="n">
        <x:v>46183</x:v>
      </x:c>
      <x:c r="B1691" s="1" t="n">
        <x:v>17.5</x:v>
      </x:c>
      <x:c r="C1691" s="1" t="n">
        <x:v>6</x:v>
      </x:c>
      <x:c r="D1691" s="12" t="n">
        <x:v>0</x:v>
      </x:c>
      <x:c r="E1691" s="12" t="n">
        <x:v>0.6348333333333334</x:v>
      </x:c>
      <x:c r="F1691" s="12" t="n">
        <x:v>0.63475</x:v>
      </x:c>
      <x:c r="G1691" s="12" t="n">
        <x:v>0</x:v>
      </x:c>
      <x:c r="H1691" s="1" t="n">
        <x:f>'Historical prices'!E1691</x:f>
        <x:v>1.05</x:v>
      </x:c>
      <x:c r="I1691" s="6" t="n">
        <x:f>'Historical prices'!D1691</x:f>
        <x:v>0.3381</x:v>
      </x:c>
      <x:c r="J1691" s="13" t="n">
        <x:f>D1691*I1691*H1691</x:f>
        <x:v>0</x:v>
      </x:c>
      <x:c r="K1691" s="13" t="n">
        <x:f>E1691*I1691*H1691</x:f>
        <x:v>0.22536900750000002</x:v>
      </x:c>
      <x:c r="L1691" s="1" t="str">
        <x:f>TEXT(A1691,"mmm yyyy")</x:f>
        <x:v>Jun 2026</x:v>
      </x:c>
    </x:row>
    <x:row r="1692" ht="21" customHeight="1">
      <x:c r="A1692" s="10" t="n">
        <x:v>46183</x:v>
      </x:c>
      <x:c r="B1692" s="1" t="n">
        <x:v>18</x:v>
      </x:c>
      <x:c r="C1692" s="1" t="n">
        <x:v>6</x:v>
      </x:c>
      <x:c r="D1692" s="12" t="n">
        <x:v>0</x:v>
      </x:c>
      <x:c r="E1692" s="12" t="n">
        <x:v>0.55175</x:v>
      </x:c>
      <x:c r="F1692" s="12" t="n">
        <x:v>0.55175</x:v>
      </x:c>
      <x:c r="G1692" s="12" t="n">
        <x:v>0</x:v>
      </x:c>
      <x:c r="H1692" s="1" t="n">
        <x:f>'Historical prices'!E1692</x:f>
        <x:v>1.05</x:v>
      </x:c>
      <x:c r="I1692" s="6" t="n">
        <x:f>'Historical prices'!D1692</x:f>
        <x:v>0.3617</x:v>
      </x:c>
      <x:c r="J1692" s="13" t="n">
        <x:f>D1692*I1692*H1692</x:f>
        <x:v>0</x:v>
      </x:c>
      <x:c r="K1692" s="13" t="n">
        <x:f>E1692*I1692*H1692</x:f>
        <x:v>0.20954637375000001</x:v>
      </x:c>
      <x:c r="L1692" s="1" t="str">
        <x:f>TEXT(A1692,"mmm yyyy")</x:f>
        <x:v>Jun 2026</x:v>
      </x:c>
    </x:row>
    <x:row r="1693" ht="21" customHeight="1">
      <x:c r="A1693" s="10" t="n">
        <x:v>46183</x:v>
      </x:c>
      <x:c r="B1693" s="1" t="n">
        <x:v>18.5</x:v>
      </x:c>
      <x:c r="C1693" s="1" t="n">
        <x:v>6</x:v>
      </x:c>
      <x:c r="D1693" s="12" t="n">
        <x:v>0</x:v>
      </x:c>
      <x:c r="E1693" s="12" t="n">
        <x:v>0.9908333333333333</x:v>
      </x:c>
      <x:c r="F1693" s="12" t="n">
        <x:v>0.9906666666666667</x:v>
      </x:c>
      <x:c r="G1693" s="12" t="n">
        <x:v>0</x:v>
      </x:c>
      <x:c r="H1693" s="1" t="n">
        <x:f>'Historical prices'!E1693</x:f>
        <x:v>1.05</x:v>
      </x:c>
      <x:c r="I1693" s="6" t="n">
        <x:f>'Historical prices'!D1693</x:f>
        <x:v>0.368</x:v>
      </x:c>
      <x:c r="J1693" s="13" t="n">
        <x:f>D1693*I1693*H1693</x:f>
        <x:v>0</x:v>
      </x:c>
      <x:c r="K1693" s="13" t="n">
        <x:f>E1693*I1693*H1693</x:f>
        <x:v>0.382858</x:v>
      </x:c>
      <x:c r="L1693" s="1" t="str">
        <x:f>TEXT(A1693,"mmm yyyy")</x:f>
        <x:v>Jun 2026</x:v>
      </x:c>
    </x:row>
    <x:row r="1694" ht="21" customHeight="1">
      <x:c r="A1694" s="10" t="n">
        <x:v>46183</x:v>
      </x:c>
      <x:c r="B1694" s="1" t="n">
        <x:v>19</x:v>
      </x:c>
      <x:c r="C1694" s="1" t="n">
        <x:v>6</x:v>
      </x:c>
      <x:c r="D1694" s="12" t="n">
        <x:v>0</x:v>
      </x:c>
      <x:c r="E1694" s="12" t="n">
        <x:v>0.6369166666666666</x:v>
      </x:c>
      <x:c r="F1694" s="12" t="n">
        <x:v>0.6367499999999999</x:v>
      </x:c>
      <x:c r="G1694" s="12" t="n">
        <x:v>0</x:v>
      </x:c>
      <x:c r="H1694" s="1" t="n">
        <x:f>'Historical prices'!E1694</x:f>
        <x:v>1.05</x:v>
      </x:c>
      <x:c r="I1694" s="6" t="n">
        <x:f>'Historical prices'!D1694</x:f>
        <x:v>0.2809</x:v>
      </x:c>
      <x:c r="J1694" s="13" t="n">
        <x:f>D1694*I1694*H1694</x:f>
        <x:v>0</x:v>
      </x:c>
      <x:c r="K1694" s="13" t="n">
        <x:f>E1694*I1694*H1694</x:f>
        <x:v>0.18785538624999998</x:v>
      </x:c>
      <x:c r="L1694" s="1" t="str">
        <x:f>TEXT(A1694,"mmm yyyy")</x:f>
        <x:v>Jun 2026</x:v>
      </x:c>
    </x:row>
    <x:row r="1695" ht="21" customHeight="1">
      <x:c r="A1695" s="10" t="n">
        <x:v>46183</x:v>
      </x:c>
      <x:c r="B1695" s="1" t="n">
        <x:v>19.5</x:v>
      </x:c>
      <x:c r="C1695" s="1" t="n">
        <x:v>6</x:v>
      </x:c>
      <x:c r="D1695" s="12" t="n">
        <x:v>0</x:v>
      </x:c>
      <x:c r="E1695" s="12" t="n">
        <x:v>0.75875</x:v>
      </x:c>
      <x:c r="F1695" s="12" t="n">
        <x:v>0.7585000000000001</x:v>
      </x:c>
      <x:c r="G1695" s="12" t="n">
        <x:v>0</x:v>
      </x:c>
      <x:c r="H1695" s="1" t="n">
        <x:f>'Historical prices'!E1695</x:f>
        <x:v>1.05</x:v>
      </x:c>
      <x:c r="I1695" s="6" t="n">
        <x:f>'Historical prices'!D1695</x:f>
        <x:v>0.2724</x:v>
      </x:c>
      <x:c r="J1695" s="13" t="n">
        <x:f>D1695*I1695*H1695</x:f>
        <x:v>0</x:v>
      </x:c>
      <x:c r="K1695" s="13" t="n">
        <x:f>E1695*I1695*H1695</x:f>
        <x:v>0.217017675</x:v>
      </x:c>
      <x:c r="L1695" s="1" t="str">
        <x:f>TEXT(A1695,"mmm yyyy")</x:f>
        <x:v>Jun 2026</x:v>
      </x:c>
    </x:row>
    <x:row r="1696" ht="21" customHeight="1">
      <x:c r="A1696" s="10" t="n">
        <x:v>46183</x:v>
      </x:c>
      <x:c r="B1696" s="1" t="n">
        <x:v>20</x:v>
      </x:c>
      <x:c r="C1696" s="1" t="n">
        <x:v>6</x:v>
      </x:c>
      <x:c r="D1696" s="12" t="n">
        <x:v>0</x:v>
      </x:c>
      <x:c r="E1696" s="12" t="n">
        <x:v>0.46191666666666664</x:v>
      </x:c>
      <x:c r="F1696" s="12" t="n">
        <x:v>0.4618333333333333</x:v>
      </x:c>
      <x:c r="G1696" s="12" t="n">
        <x:v>0</x:v>
      </x:c>
      <x:c r="H1696" s="1" t="n">
        <x:f>'Historical prices'!E1696</x:f>
        <x:v>1.05</x:v>
      </x:c>
      <x:c r="I1696" s="6" t="n">
        <x:f>'Historical prices'!D1696</x:f>
        <x:v>0.28309999999999996</x:v>
      </x:c>
      <x:c r="J1696" s="13" t="n">
        <x:f>D1696*I1696*H1696</x:f>
        <x:v>0</x:v>
      </x:c>
      <x:c r="K1696" s="13" t="n">
        <x:f>E1696*I1696*H1696</x:f>
        <x:v>0.13730703875</x:v>
      </x:c>
      <x:c r="L1696" s="1" t="str">
        <x:f>TEXT(A1696,"mmm yyyy")</x:f>
        <x:v>Jun 2026</x:v>
      </x:c>
    </x:row>
    <x:row r="1697" ht="21" customHeight="1">
      <x:c r="A1697" s="10" t="n">
        <x:v>46183</x:v>
      </x:c>
      <x:c r="B1697" s="1" t="n">
        <x:v>20.5</x:v>
      </x:c>
      <x:c r="C1697" s="1" t="n">
        <x:v>6</x:v>
      </x:c>
      <x:c r="D1697" s="12" t="n">
        <x:v>0</x:v>
      </x:c>
      <x:c r="E1697" s="12" t="n">
        <x:v>0.58475</x:v>
      </x:c>
      <x:c r="F1697" s="12" t="n">
        <x:v>0.58475</x:v>
      </x:c>
      <x:c r="G1697" s="12" t="n">
        <x:v>0</x:v>
      </x:c>
      <x:c r="H1697" s="1" t="n">
        <x:f>'Historical prices'!E1697</x:f>
        <x:v>1.05</x:v>
      </x:c>
      <x:c r="I1697" s="6" t="n">
        <x:f>'Historical prices'!D1697</x:f>
        <x:v>0.2756</x:v>
      </x:c>
      <x:c r="J1697" s="13" t="n">
        <x:f>D1697*I1697*H1697</x:f>
        <x:v>0</x:v>
      </x:c>
      <x:c r="K1697" s="13" t="n">
        <x:f>E1697*I1697*H1697</x:f>
        <x:v>0.169214955</x:v>
      </x:c>
      <x:c r="L1697" s="1" t="str">
        <x:f>TEXT(A1697,"mmm yyyy")</x:f>
        <x:v>Jun 2026</x:v>
      </x:c>
    </x:row>
    <x:row r="1698" ht="21" customHeight="1">
      <x:c r="A1698" s="10" t="n">
        <x:v>46183</x:v>
      </x:c>
      <x:c r="B1698" s="1" t="n">
        <x:v>21</x:v>
      </x:c>
      <x:c r="C1698" s="1" t="n">
        <x:v>6</x:v>
      </x:c>
      <x:c r="D1698" s="12" t="n">
        <x:v>0</x:v>
      </x:c>
      <x:c r="E1698" s="12" t="n">
        <x:v>0.5658333333333333</x:v>
      </x:c>
      <x:c r="F1698" s="12" t="n">
        <x:v>0.5658333333333333</x:v>
      </x:c>
      <x:c r="G1698" s="12" t="n">
        <x:v>0</x:v>
      </x:c>
      <x:c r="H1698" s="1" t="n">
        <x:f>'Historical prices'!E1698</x:f>
        <x:v>1.05</x:v>
      </x:c>
      <x:c r="I1698" s="6" t="n">
        <x:f>'Historical prices'!D1698</x:f>
        <x:v>0.2686</x:v>
      </x:c>
      <x:c r="J1698" s="13" t="n">
        <x:f>D1698*I1698*H1698</x:f>
        <x:v>0</x:v>
      </x:c>
      <x:c r="K1698" s="13" t="n">
        <x:f>E1698*I1698*H1698</x:f>
        <x:v>0.159581975</x:v>
      </x:c>
      <x:c r="L1698" s="1" t="str">
        <x:f>TEXT(A1698,"mmm yyyy")</x:f>
        <x:v>Jun 2026</x:v>
      </x:c>
    </x:row>
    <x:row r="1699" ht="21" customHeight="1">
      <x:c r="A1699" s="10" t="n">
        <x:v>46183</x:v>
      </x:c>
      <x:c r="B1699" s="1" t="n">
        <x:v>21.5</x:v>
      </x:c>
      <x:c r="C1699" s="1" t="n">
        <x:v>6</x:v>
      </x:c>
      <x:c r="D1699" s="12" t="n">
        <x:v>0</x:v>
      </x:c>
      <x:c r="E1699" s="12" t="n">
        <x:v>1.02575</x:v>
      </x:c>
      <x:c r="F1699" s="12" t="n">
        <x:v>1.0255833333333333</x:v>
      </x:c>
      <x:c r="G1699" s="12" t="n">
        <x:v>0</x:v>
      </x:c>
      <x:c r="H1699" s="1" t="n">
        <x:f>'Historical prices'!E1699</x:f>
        <x:v>1.05</x:v>
      </x:c>
      <x:c r="I1699" s="6" t="n">
        <x:f>'Historical prices'!D1699</x:f>
        <x:v>0.2658</x:v>
      </x:c>
      <x:c r="J1699" s="13" t="n">
        <x:f>D1699*I1699*H1699</x:f>
        <x:v>0</x:v>
      </x:c>
      <x:c r="K1699" s="13" t="n">
        <x:f>E1699*I1699*H1699</x:f>
        <x:v>0.28627656749999997</x:v>
      </x:c>
      <x:c r="L1699" s="1" t="str">
        <x:f>TEXT(A1699,"mmm yyyy")</x:f>
        <x:v>Jun 2026</x:v>
      </x:c>
    </x:row>
    <x:row r="1700" ht="21" customHeight="1">
      <x:c r="A1700" s="10" t="n">
        <x:v>46183</x:v>
      </x:c>
      <x:c r="B1700" s="1" t="n">
        <x:v>22</x:v>
      </x:c>
      <x:c r="C1700" s="1" t="n">
        <x:v>6</x:v>
      </x:c>
      <x:c r="D1700" s="12" t="n">
        <x:v>0</x:v>
      </x:c>
      <x:c r="E1700" s="12" t="n">
        <x:v>0.31675</x:v>
      </x:c>
      <x:c r="F1700" s="12" t="n">
        <x:v>0.31666666666666665</x:v>
      </x:c>
      <x:c r="G1700" s="12" t="n">
        <x:v>0</x:v>
      </x:c>
      <x:c r="H1700" s="1" t="n">
        <x:f>'Historical prices'!E1700</x:f>
        <x:v>1.05</x:v>
      </x:c>
      <x:c r="I1700" s="6" t="n">
        <x:f>'Historical prices'!D1700</x:f>
        <x:v>0.22769999999999999</x:v>
      </x:c>
      <x:c r="J1700" s="13" t="n">
        <x:f>D1700*I1700*H1700</x:f>
        <x:v>0</x:v>
      </x:c>
      <x:c r="K1700" s="13" t="n">
        <x:f>E1700*I1700*H1700</x:f>
        <x:v>0.07573017374999999</x:v>
      </x:c>
      <x:c r="L1700" s="1" t="str">
        <x:f>TEXT(A1700,"mmm yyyy")</x:f>
        <x:v>Jun 2026</x:v>
      </x:c>
    </x:row>
    <x:row r="1701" ht="21" customHeight="1">
      <x:c r="A1701" s="10" t="n">
        <x:v>46183</x:v>
      </x:c>
      <x:c r="B1701" s="1" t="n">
        <x:v>22.5</x:v>
      </x:c>
      <x:c r="C1701" s="1" t="n">
        <x:v>6</x:v>
      </x:c>
      <x:c r="D1701" s="12" t="n">
        <x:v>0</x:v>
      </x:c>
      <x:c r="E1701" s="12" t="n">
        <x:v>0.3408333333333333</x:v>
      </x:c>
      <x:c r="F1701" s="12" t="n">
        <x:v>0.3408333333333333</x:v>
      </x:c>
      <x:c r="G1701" s="12" t="n">
        <x:v>0</x:v>
      </x:c>
      <x:c r="H1701" s="1" t="n">
        <x:f>'Historical prices'!E1701</x:f>
        <x:v>1.05</x:v>
      </x:c>
      <x:c r="I1701" s="6" t="n">
        <x:f>'Historical prices'!D1701</x:f>
        <x:v>0.2274</x:v>
      </x:c>
      <x:c r="J1701" s="13" t="n">
        <x:f>D1701*I1701*H1701</x:f>
        <x:v>0</x:v>
      </x:c>
      <x:c r="K1701" s="13" t="n">
        <x:f>E1701*I1701*H1701</x:f>
        <x:v>0.08138077499999999</x:v>
      </x:c>
      <x:c r="L1701" s="1" t="str">
        <x:f>TEXT(A1701,"mmm yyyy")</x:f>
        <x:v>Jun 2026</x:v>
      </x:c>
    </x:row>
    <x:row r="1702" ht="21" customHeight="1">
      <x:c r="A1702" s="10" t="n">
        <x:v>46183</x:v>
      </x:c>
      <x:c r="B1702" s="1" t="n">
        <x:v>23</x:v>
      </x:c>
      <x:c r="C1702" s="1" t="n">
        <x:v>6</x:v>
      </x:c>
      <x:c r="D1702" s="12" t="n">
        <x:v>0</x:v>
      </x:c>
      <x:c r="E1702" s="12" t="n">
        <x:v>0.27691666666666664</x:v>
      </x:c>
      <x:c r="F1702" s="12" t="n">
        <x:v>0.27658333333333335</x:v>
      </x:c>
      <x:c r="G1702" s="12" t="n">
        <x:v>0</x:v>
      </x:c>
      <x:c r="H1702" s="1" t="n">
        <x:f>'Historical prices'!E1702</x:f>
        <x:v>1.05</x:v>
      </x:c>
      <x:c r="I1702" s="6" t="n">
        <x:f>'Historical prices'!D1702</x:f>
        <x:v>0.2254</x:v>
      </x:c>
      <x:c r="J1702" s="13" t="n">
        <x:f>D1702*I1702*H1702</x:f>
        <x:v>0</x:v>
      </x:c>
      <x:c r="K1702" s="13" t="n">
        <x:f>E1702*I1702*H1702</x:f>
        <x:v>0.0655378675</x:v>
      </x:c>
      <x:c r="L1702" s="1" t="str">
        <x:f>TEXT(A1702,"mmm yyyy")</x:f>
        <x:v>Jun 2026</x:v>
      </x:c>
    </x:row>
    <x:row r="1703" ht="21" customHeight="1">
      <x:c r="A1703" s="10" t="n">
        <x:v>46183</x:v>
      </x:c>
      <x:c r="B1703" s="1" t="n">
        <x:v>23.5</x:v>
      </x:c>
      <x:c r="C1703" s="1" t="n">
        <x:v>6</x:v>
      </x:c>
      <x:c r="D1703" s="12" t="n">
        <x:v>0</x:v>
      </x:c>
      <x:c r="E1703" s="12" t="n">
        <x:v>0.23425</x:v>
      </x:c>
      <x:c r="F1703" s="12" t="n">
        <x:v>0.2339166666666667</x:v>
      </x:c>
      <x:c r="G1703" s="12" t="n">
        <x:v>0</x:v>
      </x:c>
      <x:c r="H1703" s="1" t="n">
        <x:f>'Historical prices'!E1703</x:f>
        <x:v>1.05</x:v>
      </x:c>
      <x:c r="I1703" s="6" t="n">
        <x:f>'Historical prices'!D1703</x:f>
        <x:v>0.2231</x:v>
      </x:c>
      <x:c r="J1703" s="13" t="n">
        <x:f>D1703*I1703*H1703</x:f>
        <x:v>0</x:v>
      </x:c>
      <x:c r="K1703" s="13" t="n">
        <x:f>E1703*I1703*H1703</x:f>
        <x:v>0.05487423375</x:v>
      </x:c>
      <x:c r="L1703" s="1" t="str">
        <x:f>TEXT(A1703,"mmm yyyy")</x:f>
        <x:v>Jun 2026</x:v>
      </x:c>
    </x:row>
    <x:row r="1704" ht="21" customHeight="1">
      <x:c r="A1704" s="10" t="n">
        <x:v>46184</x:v>
      </x:c>
      <x:c r="B1704" s="1" t="n">
        <x:v>0</x:v>
      </x:c>
      <x:c r="C1704" s="1" t="n">
        <x:v>6</x:v>
      </x:c>
      <x:c r="D1704" s="12" t="n">
        <x:v>0.2935</x:v>
      </x:c>
      <x:c r="E1704" s="12" t="n">
        <x:v>0.22549999999999998</x:v>
      </x:c>
      <x:c r="F1704" s="12" t="n">
        <x:v>0</x:v>
      </x:c>
      <x:c r="G1704" s="12" t="n">
        <x:v>0.063</x:v>
      </x:c>
      <x:c r="H1704" s="1" t="n">
        <x:f>'Historical prices'!E1704</x:f>
        <x:v>1.05</x:v>
      </x:c>
      <x:c r="I1704" s="6" t="n">
        <x:f>'Historical prices'!D1704</x:f>
        <x:v>0.2138</x:v>
      </x:c>
      <x:c r="J1704" s="13" t="n">
        <x:f>D1704*I1704*H1704</x:f>
        <x:v>0.065887815</x:v>
      </x:c>
      <x:c r="K1704" s="13" t="n">
        <x:f>E1704*I1704*H1704</x:f>
        <x:v>0.050622494999999997</x:v>
      </x:c>
      <x:c r="L1704" s="1" t="str">
        <x:f>TEXT(A1704,"mmm yyyy")</x:f>
        <x:v>Jun 2026</x:v>
      </x:c>
    </x:row>
    <x:row r="1705" ht="21" customHeight="1">
      <x:c r="A1705" s="10" t="n">
        <x:v>46184</x:v>
      </x:c>
      <x:c r="B1705" s="1" t="n">
        <x:v>0.5</x:v>
      </x:c>
      <x:c r="C1705" s="1" t="n">
        <x:v>6</x:v>
      </x:c>
      <x:c r="D1705" s="12" t="n">
        <x:v>0.2695</x:v>
      </x:c>
      <x:c r="E1705" s="12" t="n">
        <x:v>0.2735</x:v>
      </x:c>
      <x:c r="F1705" s="12" t="n">
        <x:v>0</x:v>
      </x:c>
      <x:c r="G1705" s="12" t="n">
        <x:v>0</x:v>
      </x:c>
      <x:c r="H1705" s="1" t="n">
        <x:f>'Historical prices'!E1705</x:f>
        <x:v>1.05</x:v>
      </x:c>
      <x:c r="I1705" s="6" t="n">
        <x:f>'Historical prices'!D1705</x:f>
        <x:v>0.2108</x:v>
      </x:c>
      <x:c r="J1705" s="13" t="n">
        <x:f>D1705*I1705*H1705</x:f>
        <x:v>0.059651130000000004</x:v>
      </x:c>
      <x:c r="K1705" s="13" t="n">
        <x:f>E1705*I1705*H1705</x:f>
        <x:v>0.06053649</x:v>
      </x:c>
      <x:c r="L1705" s="1" t="str">
        <x:f>TEXT(A1705,"mmm yyyy")</x:f>
        <x:v>Jun 2026</x:v>
      </x:c>
    </x:row>
    <x:row r="1706" ht="21" customHeight="1">
      <x:c r="A1706" s="10" t="n">
        <x:v>46184</x:v>
      </x:c>
      <x:c r="B1706" s="1" t="n">
        <x:v>1</x:v>
      </x:c>
      <x:c r="C1706" s="1" t="n">
        <x:v>6</x:v>
      </x:c>
      <x:c r="D1706" s="12" t="n">
        <x:v>0.20233333333333334</x:v>
      </x:c>
      <x:c r="E1706" s="12" t="n">
        <x:v>0.20833333333333334</x:v>
      </x:c>
      <x:c r="F1706" s="12" t="n">
        <x:v>0</x:v>
      </x:c>
      <x:c r="G1706" s="12" t="n">
        <x:v>0</x:v>
      </x:c>
      <x:c r="H1706" s="1" t="n">
        <x:f>'Historical prices'!E1706</x:f>
        <x:v>1.05</x:v>
      </x:c>
      <x:c r="I1706" s="6" t="n">
        <x:f>'Historical prices'!D1706</x:f>
        <x:v>0.2076</x:v>
      </x:c>
      <x:c r="J1706" s="13" t="n">
        <x:f>D1706*I1706*H1706</x:f>
        <x:v>0.044104620000000004</x:v>
      </x:c>
      <x:c r="K1706" s="13" t="n">
        <x:f>E1706*I1706*H1706</x:f>
        <x:v>0.04541250000000001</x:v>
      </x:c>
      <x:c r="L1706" s="1" t="str">
        <x:f>TEXT(A1706,"mmm yyyy")</x:f>
        <x:v>Jun 2026</x:v>
      </x:c>
    </x:row>
    <x:row r="1707" ht="21" customHeight="1">
      <x:c r="A1707" s="10" t="n">
        <x:v>46184</x:v>
      </x:c>
      <x:c r="B1707" s="1" t="n">
        <x:v>1.5</x:v>
      </x:c>
      <x:c r="C1707" s="1" t="n">
        <x:v>6</x:v>
      </x:c>
      <x:c r="D1707" s="12" t="n">
        <x:v>0.2841666666666667</x:v>
      </x:c>
      <x:c r="E1707" s="12" t="n">
        <x:v>0.2871666666666667</x:v>
      </x:c>
      <x:c r="F1707" s="12" t="n">
        <x:v>0</x:v>
      </x:c>
      <x:c r="G1707" s="12" t="n">
        <x:v>0</x:v>
      </x:c>
      <x:c r="H1707" s="1" t="n">
        <x:f>'Historical prices'!E1707</x:f>
        <x:v>1.05</x:v>
      </x:c>
      <x:c r="I1707" s="6" t="n">
        <x:f>'Historical prices'!D1707</x:f>
        <x:v>0.1968</x:v>
      </x:c>
      <x:c r="J1707" s="13" t="n">
        <x:f>D1707*I1707*H1707</x:f>
        <x:v>0.05872020000000001</x:v>
      </x:c>
      <x:c r="K1707" s="13" t="n">
        <x:f>E1707*I1707*H1707</x:f>
        <x:v>0.05934012000000001</x:v>
      </x:c>
      <x:c r="L1707" s="1" t="str">
        <x:f>TEXT(A1707,"mmm yyyy")</x:f>
        <x:v>Jun 2026</x:v>
      </x:c>
    </x:row>
    <x:row r="1708" ht="21" customHeight="1">
      <x:c r="A1708" s="10" t="n">
        <x:v>46184</x:v>
      </x:c>
      <x:c r="B1708" s="1" t="n">
        <x:v>2</x:v>
      </x:c>
      <x:c r="C1708" s="1" t="n">
        <x:v>6</x:v>
      </x:c>
      <x:c r="D1708" s="12" t="n">
        <x:v>0.2375</x:v>
      </x:c>
      <x:c r="E1708" s="12" t="n">
        <x:v>0.2415</x:v>
      </x:c>
      <x:c r="F1708" s="12" t="n">
        <x:v>0</x:v>
      </x:c>
      <x:c r="G1708" s="12" t="n">
        <x:v>0</x:v>
      </x:c>
      <x:c r="H1708" s="1" t="n">
        <x:f>'Historical prices'!E1708</x:f>
        <x:v>1.05</x:v>
      </x:c>
      <x:c r="I1708" s="6" t="n">
        <x:f>'Historical prices'!D1708</x:f>
        <x:v>0.1955</x:v>
      </x:c>
      <x:c r="J1708" s="13" t="n">
        <x:f>D1708*I1708*H1708</x:f>
        <x:v>0.0487528125</x:v>
      </x:c>
      <x:c r="K1708" s="13" t="n">
        <x:f>E1708*I1708*H1708</x:f>
        <x:v>0.0495739125</x:v>
      </x:c>
      <x:c r="L1708" s="1" t="str">
        <x:f>TEXT(A1708,"mmm yyyy")</x:f>
        <x:v>Jun 2026</x:v>
      </x:c>
    </x:row>
    <x:row r="1709" ht="21" customHeight="1">
      <x:c r="A1709" s="10" t="n">
        <x:v>46184</x:v>
      </x:c>
      <x:c r="B1709" s="1" t="n">
        <x:v>2.5</x:v>
      </x:c>
      <x:c r="C1709" s="1" t="n">
        <x:v>6</x:v>
      </x:c>
      <x:c r="D1709" s="12" t="n">
        <x:v>0.22358333333333336</x:v>
      </x:c>
      <x:c r="E1709" s="12" t="n">
        <x:v>0.22558333333333336</x:v>
      </x:c>
      <x:c r="F1709" s="12" t="n">
        <x:v>0</x:v>
      </x:c>
      <x:c r="G1709" s="12" t="n">
        <x:v>0</x:v>
      </x:c>
      <x:c r="H1709" s="1" t="n">
        <x:f>'Historical prices'!E1709</x:f>
        <x:v>1.05</x:v>
      </x:c>
      <x:c r="I1709" s="6" t="n">
        <x:f>'Historical prices'!D1709</x:f>
        <x:v>0.1865</x:v>
      </x:c>
      <x:c r="J1709" s="13" t="n">
        <x:f>D1709*I1709*H1709</x:f>
        <x:v>0.043783206250000005</x:v>
      </x:c>
      <x:c r="K1709" s="13" t="n">
        <x:f>E1709*I1709*H1709</x:f>
        <x:v>0.044174856250000005</x:v>
      </x:c>
      <x:c r="L1709" s="1" t="str">
        <x:f>TEXT(A1709,"mmm yyyy")</x:f>
        <x:v>Jun 2026</x:v>
      </x:c>
    </x:row>
    <x:row r="1710" ht="21" customHeight="1">
      <x:c r="A1710" s="10" t="n">
        <x:v>46184</x:v>
      </x:c>
      <x:c r="B1710" s="1" t="n">
        <x:v>3</x:v>
      </x:c>
      <x:c r="C1710" s="1" t="n">
        <x:v>6</x:v>
      </x:c>
      <x:c r="D1710" s="12" t="n">
        <x:v>0.19025</x:v>
      </x:c>
      <x:c r="E1710" s="12" t="n">
        <x:v>0.19125</x:v>
      </x:c>
      <x:c r="F1710" s="12" t="n">
        <x:v>0</x:v>
      </x:c>
      <x:c r="G1710" s="12" t="n">
        <x:v>0</x:v>
      </x:c>
      <x:c r="H1710" s="1" t="n">
        <x:f>'Historical prices'!E1710</x:f>
        <x:v>1.05</x:v>
      </x:c>
      <x:c r="I1710" s="6" t="n">
        <x:f>'Historical prices'!D1710</x:f>
        <x:v>0.18420000000000003</x:v>
      </x:c>
      <x:c r="J1710" s="13" t="n">
        <x:f>D1710*I1710*H1710</x:f>
        <x:v>0.03679625250000001</x:v>
      </x:c>
      <x:c r="K1710" s="13" t="n">
        <x:f>E1710*I1710*H1710</x:f>
        <x:v>0.03698966250000001</x:v>
      </x:c>
      <x:c r="L1710" s="1" t="str">
        <x:f>TEXT(A1710,"mmm yyyy")</x:f>
        <x:v>Jun 2026</x:v>
      </x:c>
    </x:row>
    <x:row r="1711" ht="21" customHeight="1">
      <x:c r="A1711" s="10" t="n">
        <x:v>46184</x:v>
      </x:c>
      <x:c r="B1711" s="1" t="n">
        <x:v>3.5</x:v>
      </x:c>
      <x:c r="C1711" s="1" t="n">
        <x:v>6</x:v>
      </x:c>
      <x:c r="D1711" s="12" t="n">
        <x:v>0.24866666666666667</x:v>
      </x:c>
      <x:c r="E1711" s="12" t="n">
        <x:v>0.25166666666666665</x:v>
      </x:c>
      <x:c r="F1711" s="12" t="n">
        <x:v>0</x:v>
      </x:c>
      <x:c r="G1711" s="12" t="n">
        <x:v>0</x:v>
      </x:c>
      <x:c r="H1711" s="1" t="n">
        <x:f>'Historical prices'!E1711</x:f>
        <x:v>1.05</x:v>
      </x:c>
      <x:c r="I1711" s="6" t="n">
        <x:f>'Historical prices'!D1711</x:f>
        <x:v>0.1772</x:v>
      </x:c>
      <x:c r="J1711" s="13" t="n">
        <x:f>D1711*I1711*H1711</x:f>
        <x:v>0.04626692</x:v>
      </x:c>
      <x:c r="K1711" s="13" t="n">
        <x:f>E1711*I1711*H1711</x:f>
        <x:v>0.046825099999999995</x:v>
      </x:c>
      <x:c r="L1711" s="1" t="str">
        <x:f>TEXT(A1711,"mmm yyyy")</x:f>
        <x:v>Jun 2026</x:v>
      </x:c>
    </x:row>
    <x:row r="1712" ht="21" customHeight="1">
      <x:c r="A1712" s="10" t="n">
        <x:v>46184</x:v>
      </x:c>
      <x:c r="B1712" s="1" t="n">
        <x:v>4</x:v>
      </x:c>
      <x:c r="C1712" s="1" t="n">
        <x:v>6</x:v>
      </x:c>
      <x:c r="D1712" s="12" t="n">
        <x:v>0.26108333333333333</x:v>
      </x:c>
      <x:c r="E1712" s="12" t="n">
        <x:v>0.26308333333333334</x:v>
      </x:c>
      <x:c r="F1712" s="12" t="n">
        <x:v>0</x:v>
      </x:c>
      <x:c r="G1712" s="12" t="n">
        <x:v>0</x:v>
      </x:c>
      <x:c r="H1712" s="1" t="n">
        <x:f>'Historical prices'!E1712</x:f>
        <x:v>1.05</x:v>
      </x:c>
      <x:c r="I1712" s="6" t="n">
        <x:f>'Historical prices'!D1712</x:f>
        <x:v>0.184</x:v>
      </x:c>
      <x:c r="J1712" s="13" t="n">
        <x:f>D1712*I1712*H1712</x:f>
        <x:v>0.0504413</x:v>
      </x:c>
      <x:c r="K1712" s="13" t="n">
        <x:f>E1712*I1712*H1712</x:f>
        <x:v>0.050827699999999996</x:v>
      </x:c>
      <x:c r="L1712" s="1" t="str">
        <x:f>TEXT(A1712,"mmm yyyy")</x:f>
        <x:v>Jun 2026</x:v>
      </x:c>
    </x:row>
    <x:row r="1713" ht="21" customHeight="1">
      <x:c r="A1713" s="10" t="n">
        <x:v>46184</x:v>
      </x:c>
      <x:c r="B1713" s="1" t="n">
        <x:v>4.5</x:v>
      </x:c>
      <x:c r="C1713" s="1" t="n">
        <x:v>6</x:v>
      </x:c>
      <x:c r="D1713" s="12" t="n">
        <x:v>0.25966666666666666</x:v>
      </x:c>
      <x:c r="E1713" s="12" t="n">
        <x:v>0.26166666666666666</x:v>
      </x:c>
      <x:c r="F1713" s="12" t="n">
        <x:v>0</x:v>
      </x:c>
      <x:c r="G1713" s="12" t="n">
        <x:v>0</x:v>
      </x:c>
      <x:c r="H1713" s="1" t="n">
        <x:f>'Historical prices'!E1713</x:f>
        <x:v>1.05</x:v>
      </x:c>
      <x:c r="I1713" s="6" t="n">
        <x:f>'Historical prices'!D1713</x:f>
        <x:v>0.18</x:v>
      </x:c>
      <x:c r="J1713" s="13" t="n">
        <x:f>D1713*I1713*H1713</x:f>
        <x:v>0.049076999999999996</x:v>
      </x:c>
      <x:c r="K1713" s="13" t="n">
        <x:f>E1713*I1713*H1713</x:f>
        <x:v>0.049455</x:v>
      </x:c>
      <x:c r="L1713" s="1" t="str">
        <x:f>TEXT(A1713,"mmm yyyy")</x:f>
        <x:v>Jun 2026</x:v>
      </x:c>
    </x:row>
    <x:row r="1714" ht="21" customHeight="1">
      <x:c r="A1714" s="10" t="n">
        <x:v>46184</x:v>
      </x:c>
      <x:c r="B1714" s="1" t="n">
        <x:v>5</x:v>
      </x:c>
      <x:c r="C1714" s="1" t="n">
        <x:v>6</x:v>
      </x:c>
      <x:c r="D1714" s="12" t="n">
        <x:v>0.24816666666666665</x:v>
      </x:c>
      <x:c r="E1714" s="12" t="n">
        <x:v>0.24816666666666665</x:v>
      </x:c>
      <x:c r="F1714" s="12" t="n">
        <x:v>0</x:v>
      </x:c>
      <x:c r="G1714" s="12" t="n">
        <x:v>0</x:v>
      </x:c>
      <x:c r="H1714" s="1" t="n">
        <x:f>'Historical prices'!E1714</x:f>
        <x:v>1.05</x:v>
      </x:c>
      <x:c r="I1714" s="6" t="n">
        <x:f>'Historical prices'!D1714</x:f>
        <x:v>0.198</x:v>
      </x:c>
      <x:c r="J1714" s="13" t="n">
        <x:f>D1714*I1714*H1714</x:f>
        <x:v>0.051593850000000004</x:v>
      </x:c>
      <x:c r="K1714" s="13" t="n">
        <x:f>E1714*I1714*H1714</x:f>
        <x:v>0.051593850000000004</x:v>
      </x:c>
      <x:c r="L1714" s="1" t="str">
        <x:f>TEXT(A1714,"mmm yyyy")</x:f>
        <x:v>Jun 2026</x:v>
      </x:c>
    </x:row>
    <x:row r="1715" ht="21" customHeight="1">
      <x:c r="A1715" s="10" t="n">
        <x:v>46184</x:v>
      </x:c>
      <x:c r="B1715" s="1" t="n">
        <x:v>5.5</x:v>
      </x:c>
      <x:c r="C1715" s="1" t="n">
        <x:v>6</x:v>
      </x:c>
      <x:c r="D1715" s="12" t="n">
        <x:v>0.3804166666666667</x:v>
      </x:c>
      <x:c r="E1715" s="12" t="n">
        <x:v>0.3824166666666667</x:v>
      </x:c>
      <x:c r="F1715" s="12" t="n">
        <x:v>0</x:v>
      </x:c>
      <x:c r="G1715" s="12" t="n">
        <x:v>0</x:v>
      </x:c>
      <x:c r="H1715" s="1" t="n">
        <x:f>'Historical prices'!E1715</x:f>
        <x:v>1.05</x:v>
      </x:c>
      <x:c r="I1715" s="6" t="n">
        <x:f>'Historical prices'!D1715</x:f>
        <x:v>0.1999</x:v>
      </x:c>
      <x:c r="J1715" s="13" t="n">
        <x:f>D1715*I1715*H1715</x:f>
        <x:v>0.07984755625</x:v>
      </x:c>
      <x:c r="K1715" s="13" t="n">
        <x:f>E1715*I1715*H1715</x:f>
        <x:v>0.08026734625000001</x:v>
      </x:c>
      <x:c r="L1715" s="1" t="str">
        <x:f>TEXT(A1715,"mmm yyyy")</x:f>
        <x:v>Jun 2026</x:v>
      </x:c>
    </x:row>
    <x:row r="1716" ht="21" customHeight="1">
      <x:c r="A1716" s="10" t="n">
        <x:v>46184</x:v>
      </x:c>
      <x:c r="B1716" s="1" t="n">
        <x:v>6</x:v>
      </x:c>
      <x:c r="C1716" s="1" t="n">
        <x:v>6</x:v>
      </x:c>
      <x:c r="D1716" s="12" t="n">
        <x:v>0.25733333333333336</x:v>
      </x:c>
      <x:c r="E1716" s="12" t="n">
        <x:v>0.25833333333333336</x:v>
      </x:c>
      <x:c r="F1716" s="12" t="n">
        <x:v>0</x:v>
      </x:c>
      <x:c r="G1716" s="12" t="n">
        <x:v>0</x:v>
      </x:c>
      <x:c r="H1716" s="1" t="n">
        <x:f>'Historical prices'!E1716</x:f>
        <x:v>1.05</x:v>
      </x:c>
      <x:c r="I1716" s="6" t="n">
        <x:f>'Historical prices'!D1716</x:f>
        <x:v>0.1953</x:v>
      </x:c>
      <x:c r="J1716" s="13" t="n">
        <x:f>D1716*I1716*H1716</x:f>
        <x:v>0.05277006000000001</x:v>
      </x:c>
      <x:c r="K1716" s="13" t="n">
        <x:f>E1716*I1716*H1716</x:f>
        <x:v>0.052975125000000005</x:v>
      </x:c>
      <x:c r="L1716" s="1" t="str">
        <x:f>TEXT(A1716,"mmm yyyy")</x:f>
        <x:v>Jun 2026</x:v>
      </x:c>
    </x:row>
    <x:row r="1717" ht="21" customHeight="1">
      <x:c r="A1717" s="10" t="n">
        <x:v>46184</x:v>
      </x:c>
      <x:c r="B1717" s="1" t="n">
        <x:v>6.5</x:v>
      </x:c>
      <x:c r="C1717" s="1" t="n">
        <x:v>6</x:v>
      </x:c>
      <x:c r="D1717" s="12" t="n">
        <x:v>0.4589166666666667</x:v>
      </x:c>
      <x:c r="E1717" s="12" t="n">
        <x:v>0.4599166666666667</x:v>
      </x:c>
      <x:c r="F1717" s="12" t="n">
        <x:v>0</x:v>
      </x:c>
      <x:c r="G1717" s="12" t="n">
        <x:v>0</x:v>
      </x:c>
      <x:c r="H1717" s="1" t="n">
        <x:f>'Historical prices'!E1717</x:f>
        <x:v>1.05</x:v>
      </x:c>
      <x:c r="I1717" s="6" t="n">
        <x:f>'Historical prices'!D1717</x:f>
        <x:v>0.2144</x:v>
      </x:c>
      <x:c r="J1717" s="13" t="n">
        <x:f>D1717*I1717*H1717</x:f>
        <x:v>0.10331132000000001</x:v>
      </x:c>
      <x:c r="K1717" s="13" t="n">
        <x:f>E1717*I1717*H1717</x:f>
        <x:v>0.10353644000000002</x:v>
      </x:c>
      <x:c r="L1717" s="1" t="str">
        <x:f>TEXT(A1717,"mmm yyyy")</x:f>
        <x:v>Jun 2026</x:v>
      </x:c>
    </x:row>
    <x:row r="1718" ht="21" customHeight="1">
      <x:c r="A1718" s="10" t="n">
        <x:v>46184</x:v>
      </x:c>
      <x:c r="B1718" s="1" t="n">
        <x:v>7</x:v>
      </x:c>
      <x:c r="C1718" s="1" t="n">
        <x:v>6</x:v>
      </x:c>
      <x:c r="D1718" s="12" t="n">
        <x:v>0.48708333333333337</x:v>
      </x:c>
      <x:c r="E1718" s="12" t="n">
        <x:v>0.48808333333333337</x:v>
      </x:c>
      <x:c r="F1718" s="12" t="n">
        <x:v>0</x:v>
      </x:c>
      <x:c r="G1718" s="12" t="n">
        <x:v>0</x:v>
      </x:c>
      <x:c r="H1718" s="1" t="n">
        <x:f>'Historical prices'!E1718</x:f>
        <x:v>1.05</x:v>
      </x:c>
      <x:c r="I1718" s="6" t="n">
        <x:f>'Historical prices'!D1718</x:f>
        <x:v>0.19870000000000002</x:v>
      </x:c>
      <x:c r="J1718" s="13" t="n">
        <x:f>D1718*I1718*H1718</x:f>
        <x:v>0.10162263125000003</x:v>
      </x:c>
      <x:c r="K1718" s="13" t="n">
        <x:f>E1718*I1718*H1718</x:f>
        <x:v>0.10183126625000002</x:v>
      </x:c>
      <x:c r="L1718" s="1" t="str">
        <x:f>TEXT(A1718,"mmm yyyy")</x:f>
        <x:v>Jun 2026</x:v>
      </x:c>
    </x:row>
    <x:row r="1719" ht="21" customHeight="1">
      <x:c r="A1719" s="10" t="n">
        <x:v>46184</x:v>
      </x:c>
      <x:c r="B1719" s="1" t="n">
        <x:v>7.5</x:v>
      </x:c>
      <x:c r="C1719" s="1" t="n">
        <x:v>6</x:v>
      </x:c>
      <x:c r="D1719" s="12" t="n">
        <x:v>0.50975</x:v>
      </x:c>
      <x:c r="E1719" s="12" t="n">
        <x:v>0.51175</x:v>
      </x:c>
      <x:c r="F1719" s="12" t="n">
        <x:v>0</x:v>
      </x:c>
      <x:c r="G1719" s="12" t="n">
        <x:v>0</x:v>
      </x:c>
      <x:c r="H1719" s="1" t="n">
        <x:f>'Historical prices'!E1719</x:f>
        <x:v>1.05</x:v>
      </x:c>
      <x:c r="I1719" s="6" t="n">
        <x:f>'Historical prices'!D1719</x:f>
        <x:v>0.22089999999999999</x:v>
      </x:c>
      <x:c r="J1719" s="13" t="n">
        <x:f>D1719*I1719*H1719</x:f>
        <x:v>0.11823396375</x:v>
      </x:c>
      <x:c r="K1719" s="13" t="n">
        <x:f>E1719*I1719*H1719</x:f>
        <x:v>0.11869785375</x:v>
      </x:c>
      <x:c r="L1719" s="1" t="str">
        <x:f>TEXT(A1719,"mmm yyyy")</x:f>
        <x:v>Jun 2026</x:v>
      </x:c>
    </x:row>
    <x:row r="1720" ht="21" customHeight="1">
      <x:c r="A1720" s="10" t="n">
        <x:v>46184</x:v>
      </x:c>
      <x:c r="B1720" s="1" t="n">
        <x:v>8</x:v>
      </x:c>
      <x:c r="C1720" s="1" t="n">
        <x:v>6</x:v>
      </x:c>
      <x:c r="D1720" s="12" t="n">
        <x:v>0.5057499999999999</x:v>
      </x:c>
      <x:c r="E1720" s="12" t="n">
        <x:v>0.5057499999999999</x:v>
      </x:c>
      <x:c r="F1720" s="12" t="n">
        <x:v>0</x:v>
      </x:c>
      <x:c r="G1720" s="12" t="n">
        <x:v>0</x:v>
      </x:c>
      <x:c r="H1720" s="1" t="n">
        <x:f>'Historical prices'!E1720</x:f>
        <x:v>1.05</x:v>
      </x:c>
      <x:c r="I1720" s="6" t="n">
        <x:f>'Historical prices'!D1720</x:f>
        <x:v>0.20600000000000002</x:v>
      </x:c>
      <x:c r="J1720" s="13" t="n">
        <x:f>D1720*I1720*H1720</x:f>
        <x:v>0.10939372499999998</x:v>
      </x:c>
      <x:c r="K1720" s="13" t="n">
        <x:f>E1720*I1720*H1720</x:f>
        <x:v>0.10939372499999998</x:v>
      </x:c>
      <x:c r="L1720" s="1" t="str">
        <x:f>TEXT(A1720,"mmm yyyy")</x:f>
        <x:v>Jun 2026</x:v>
      </x:c>
    </x:row>
    <x:row r="1721" ht="21" customHeight="1">
      <x:c r="A1721" s="10" t="n">
        <x:v>46184</x:v>
      </x:c>
      <x:c r="B1721" s="1" t="n">
        <x:v>8.5</x:v>
      </x:c>
      <x:c r="C1721" s="1" t="n">
        <x:v>6</x:v>
      </x:c>
      <x:c r="D1721" s="12" t="n">
        <x:v>1.289166666666667</x:v>
      </x:c>
      <x:c r="E1721" s="12" t="n">
        <x:v>1.2901666666666667</x:v>
      </x:c>
      <x:c r="F1721" s="12" t="n">
        <x:v>0</x:v>
      </x:c>
      <x:c r="G1721" s="12" t="n">
        <x:v>0</x:v>
      </x:c>
      <x:c r="H1721" s="1" t="n">
        <x:f>'Historical prices'!E1721</x:f>
        <x:v>1.05</x:v>
      </x:c>
      <x:c r="I1721" s="6" t="n">
        <x:f>'Historical prices'!D1721</x:f>
        <x:v>0.20079999999999998</x:v>
      </x:c>
      <x:c r="J1721" s="13" t="n">
        <x:f>D1721*I1721*H1721</x:f>
        <x:v>0.27180790000000005</x:v>
      </x:c>
      <x:c r="K1721" s="13" t="n">
        <x:f>E1721*I1721*H1721</x:f>
        <x:v>0.27201874</x:v>
      </x:c>
      <x:c r="L1721" s="1" t="str">
        <x:f>TEXT(A1721,"mmm yyyy")</x:f>
        <x:v>Jun 2026</x:v>
      </x:c>
    </x:row>
    <x:row r="1722" ht="21" customHeight="1">
      <x:c r="A1722" s="10" t="n">
        <x:v>46184</x:v>
      </x:c>
      <x:c r="B1722" s="1" t="n">
        <x:v>9</x:v>
      </x:c>
      <x:c r="C1722" s="1" t="n">
        <x:v>6</x:v>
      </x:c>
      <x:c r="D1722" s="12" t="n">
        <x:v>0.5654166666666667</x:v>
      </x:c>
      <x:c r="E1722" s="12" t="n">
        <x:v>0.5654166666666667</x:v>
      </x:c>
      <x:c r="F1722" s="12" t="n">
        <x:v>0</x:v>
      </x:c>
      <x:c r="G1722" s="12" t="n">
        <x:v>0</x:v>
      </x:c>
      <x:c r="H1722" s="1" t="n">
        <x:f>'Historical prices'!E1722</x:f>
        <x:v>1.05</x:v>
      </x:c>
      <x:c r="I1722" s="6" t="n">
        <x:f>'Historical prices'!D1722</x:f>
        <x:v>0.20600000000000002</x:v>
      </x:c>
      <x:c r="J1722" s="13" t="n">
        <x:f>D1722*I1722*H1722</x:f>
        <x:v>0.12229962500000002</x:v>
      </x:c>
      <x:c r="K1722" s="13" t="n">
        <x:f>E1722*I1722*H1722</x:f>
        <x:v>0.12229962500000002</x:v>
      </x:c>
      <x:c r="L1722" s="1" t="str">
        <x:f>TEXT(A1722,"mmm yyyy")</x:f>
        <x:v>Jun 2026</x:v>
      </x:c>
    </x:row>
    <x:row r="1723" ht="21" customHeight="1">
      <x:c r="A1723" s="10" t="n">
        <x:v>46184</x:v>
      </x:c>
      <x:c r="B1723" s="1" t="n">
        <x:v>9.5</x:v>
      </x:c>
      <x:c r="C1723" s="1" t="n">
        <x:v>6</x:v>
      </x:c>
      <x:c r="D1723" s="12" t="n">
        <x:v>0.6138333333333333</x:v>
      </x:c>
      <x:c r="E1723" s="12" t="n">
        <x:v>0.6138333333333333</x:v>
      </x:c>
      <x:c r="F1723" s="12" t="n">
        <x:v>0</x:v>
      </x:c>
      <x:c r="G1723" s="12" t="n">
        <x:v>0</x:v>
      </x:c>
      <x:c r="H1723" s="1" t="n">
        <x:f>'Historical prices'!E1723</x:f>
        <x:v>1.05</x:v>
      </x:c>
      <x:c r="I1723" s="6" t="n">
        <x:f>'Historical prices'!D1723</x:f>
        <x:v>0.1945</x:v>
      </x:c>
      <x:c r="J1723" s="13" t="n">
        <x:f>D1723*I1723*H1723</x:f>
        <x:v>0.1253601125</x:v>
      </x:c>
      <x:c r="K1723" s="13" t="n">
        <x:f>E1723*I1723*H1723</x:f>
        <x:v>0.1253601125</x:v>
      </x:c>
      <x:c r="L1723" s="1" t="str">
        <x:f>TEXT(A1723,"mmm yyyy")</x:f>
        <x:v>Jun 2026</x:v>
      </x:c>
    </x:row>
    <x:row r="1724" ht="21" customHeight="1">
      <x:c r="A1724" s="10" t="n">
        <x:v>46184</x:v>
      </x:c>
      <x:c r="B1724" s="1" t="n">
        <x:v>10</x:v>
      </x:c>
      <x:c r="C1724" s="1" t="n">
        <x:v>6</x:v>
      </x:c>
      <x:c r="D1724" s="12" t="n">
        <x:v>0.6330833333333334</x:v>
      </x:c>
      <x:c r="E1724" s="12" t="n">
        <x:v>0.6350833333333334</x:v>
      </x:c>
      <x:c r="F1724" s="12" t="n">
        <x:v>0</x:v>
      </x:c>
      <x:c r="G1724" s="12" t="n">
        <x:v>0</x:v>
      </x:c>
      <x:c r="H1724" s="1" t="n">
        <x:f>'Historical prices'!E1724</x:f>
        <x:v>1.05</x:v>
      </x:c>
      <x:c r="I1724" s="6" t="n">
        <x:f>'Historical prices'!D1724</x:f>
        <x:v>0.1942</x:v>
      </x:c>
      <x:c r="J1724" s="13" t="n">
        <x:f>D1724*I1724*H1724</x:f>
        <x:v>0.12909202250000004</x:v>
      </x:c>
      <x:c r="K1724" s="13" t="n">
        <x:f>E1724*I1724*H1724</x:f>
        <x:v>0.12949984250000005</x:v>
      </x:c>
      <x:c r="L1724" s="1" t="str">
        <x:f>TEXT(A1724,"mmm yyyy")</x:f>
        <x:v>Jun 2026</x:v>
      </x:c>
    </x:row>
    <x:row r="1725" ht="21" customHeight="1">
      <x:c r="A1725" s="10" t="n">
        <x:v>46184</x:v>
      </x:c>
      <x:c r="B1725" s="1" t="n">
        <x:v>10.5</x:v>
      </x:c>
      <x:c r="C1725" s="1" t="n">
        <x:v>6</x:v>
      </x:c>
      <x:c r="D1725" s="12" t="n">
        <x:v>0.6545000000000001</x:v>
      </x:c>
      <x:c r="E1725" s="12" t="n">
        <x:v>0.6555000000000001</x:v>
      </x:c>
      <x:c r="F1725" s="12" t="n">
        <x:v>0</x:v>
      </x:c>
      <x:c r="G1725" s="12" t="n">
        <x:v>0</x:v>
      </x:c>
      <x:c r="H1725" s="1" t="n">
        <x:f>'Historical prices'!E1725</x:f>
        <x:v>1.05</x:v>
      </x:c>
      <x:c r="I1725" s="6" t="n">
        <x:f>'Historical prices'!D1725</x:f>
        <x:v>0.1838</x:v>
      </x:c>
      <x:c r="J1725" s="13" t="n">
        <x:f>D1725*I1725*H1725</x:f>
        <x:v>0.126311955</x:v>
      </x:c>
      <x:c r="K1725" s="13" t="n">
        <x:f>E1725*I1725*H1725</x:f>
        <x:v>0.12650494500000004</x:v>
      </x:c>
      <x:c r="L1725" s="1" t="str">
        <x:f>TEXT(A1725,"mmm yyyy")</x:f>
        <x:v>Jun 2026</x:v>
      </x:c>
    </x:row>
    <x:row r="1726" ht="21" customHeight="1">
      <x:c r="A1726" s="10" t="n">
        <x:v>46184</x:v>
      </x:c>
      <x:c r="B1726" s="1" t="n">
        <x:v>11</x:v>
      </x:c>
      <x:c r="C1726" s="1" t="n">
        <x:v>6</x:v>
      </x:c>
      <x:c r="D1726" s="12" t="n">
        <x:v>0.5284166666666666</x:v>
      </x:c>
      <x:c r="E1726" s="12" t="n">
        <x:v>0.5284166666666668</x:v>
      </x:c>
      <x:c r="F1726" s="12" t="n">
        <x:v>0</x:v>
      </x:c>
      <x:c r="G1726" s="12" t="n">
        <x:v>0</x:v>
      </x:c>
      <x:c r="H1726" s="1" t="n">
        <x:f>'Historical prices'!E1726</x:f>
        <x:v>1.05</x:v>
      </x:c>
      <x:c r="I1726" s="6" t="n">
        <x:f>'Historical prices'!D1726</x:f>
        <x:v>0.1766</x:v>
      </x:c>
      <x:c r="J1726" s="13" t="n">
        <x:f>D1726*I1726*H1726</x:f>
        <x:v>0.09798430250000001</x:v>
      </x:c>
      <x:c r="K1726" s="13" t="n">
        <x:f>E1726*I1726*H1726</x:f>
        <x:v>0.09798430250000002</x:v>
      </x:c>
      <x:c r="L1726" s="1" t="str">
        <x:f>TEXT(A1726,"mmm yyyy")</x:f>
        <x:v>Jun 2026</x:v>
      </x:c>
    </x:row>
    <x:row r="1727" ht="21" customHeight="1">
      <x:c r="A1727" s="10" t="n">
        <x:v>46184</x:v>
      </x:c>
      <x:c r="B1727" s="1" t="n">
        <x:v>11.5</x:v>
      </x:c>
      <x:c r="C1727" s="1" t="n">
        <x:v>6</x:v>
      </x:c>
      <x:c r="D1727" s="12" t="n">
        <x:v>0.5038333333333332</x:v>
      </x:c>
      <x:c r="E1727" s="12" t="n">
        <x:v>0.5038333333333334</x:v>
      </x:c>
      <x:c r="F1727" s="12" t="n">
        <x:v>0</x:v>
      </x:c>
      <x:c r="G1727" s="12" t="n">
        <x:v>0</x:v>
      </x:c>
      <x:c r="H1727" s="1" t="n">
        <x:f>'Historical prices'!E1727</x:f>
        <x:v>1.05</x:v>
      </x:c>
      <x:c r="I1727" s="6" t="n">
        <x:f>'Historical prices'!D1727</x:f>
        <x:v>0.1787</x:v>
      </x:c>
      <x:c r="J1727" s="13" t="n">
        <x:f>D1727*I1727*H1727</x:f>
        <x:v>0.09453676749999998</x:v>
      </x:c>
      <x:c r="K1727" s="13" t="n">
        <x:f>E1727*I1727*H1727</x:f>
        <x:v>0.09453676750000001</x:v>
      </x:c>
      <x:c r="L1727" s="1" t="str">
        <x:f>TEXT(A1727,"mmm yyyy")</x:f>
        <x:v>Jun 2026</x:v>
      </x:c>
    </x:row>
    <x:row r="1728" ht="21" customHeight="1">
      <x:c r="A1728" s="10" t="n">
        <x:v>46184</x:v>
      </x:c>
      <x:c r="B1728" s="1" t="n">
        <x:v>12</x:v>
      </x:c>
      <x:c r="C1728" s="1" t="n">
        <x:v>6</x:v>
      </x:c>
      <x:c r="D1728" s="12" t="n">
        <x:v>0.6238333333333334</x:v>
      </x:c>
      <x:c r="E1728" s="12" t="n">
        <x:v>0.6258333333333334</x:v>
      </x:c>
      <x:c r="F1728" s="12" t="n">
        <x:v>0</x:v>
      </x:c>
      <x:c r="G1728" s="12" t="n">
        <x:v>0</x:v>
      </x:c>
      <x:c r="H1728" s="1" t="n">
        <x:f>'Historical prices'!E1728</x:f>
        <x:v>1.05</x:v>
      </x:c>
      <x:c r="I1728" s="6" t="n">
        <x:f>'Historical prices'!D1728</x:f>
        <x:v>0.185</x:v>
      </x:c>
      <x:c r="J1728" s="13" t="n">
        <x:f>D1728*I1728*H1728</x:f>
        <x:v>0.12117962500000001</x:v>
      </x:c>
      <x:c r="K1728" s="13" t="n">
        <x:f>E1728*I1728*H1728</x:f>
        <x:v>0.12156812500000001</x:v>
      </x:c>
      <x:c r="L1728" s="1" t="str">
        <x:f>TEXT(A1728,"mmm yyyy")</x:f>
        <x:v>Jun 2026</x:v>
      </x:c>
    </x:row>
    <x:row r="1729" ht="21" customHeight="1">
      <x:c r="A1729" s="10" t="n">
        <x:v>46184</x:v>
      </x:c>
      <x:c r="B1729" s="1" t="n">
        <x:v>12.5</x:v>
      </x:c>
      <x:c r="C1729" s="1" t="n">
        <x:v>6</x:v>
      </x:c>
      <x:c r="D1729" s="12" t="n">
        <x:v>0.571</x:v>
      </x:c>
      <x:c r="E1729" s="12" t="n">
        <x:v>0.571</x:v>
      </x:c>
      <x:c r="F1729" s="12" t="n">
        <x:v>0</x:v>
      </x:c>
      <x:c r="G1729" s="12" t="n">
        <x:v>0</x:v>
      </x:c>
      <x:c r="H1729" s="1" t="n">
        <x:f>'Historical prices'!E1729</x:f>
        <x:v>1.05</x:v>
      </x:c>
      <x:c r="I1729" s="6" t="n">
        <x:f>'Historical prices'!D1729</x:f>
        <x:v>0.1936</x:v>
      </x:c>
      <x:c r="J1729" s="13" t="n">
        <x:f>D1729*I1729*H1729</x:f>
        <x:v>0.11607288</x:v>
      </x:c>
      <x:c r="K1729" s="13" t="n">
        <x:f>E1729*I1729*H1729</x:f>
        <x:v>0.11607288</x:v>
      </x:c>
      <x:c r="L1729" s="1" t="str">
        <x:f>TEXT(A1729,"mmm yyyy")</x:f>
        <x:v>Jun 2026</x:v>
      </x:c>
    </x:row>
    <x:row r="1730" ht="21" customHeight="1">
      <x:c r="A1730" s="10" t="n">
        <x:v>46184</x:v>
      </x:c>
      <x:c r="B1730" s="1" t="n">
        <x:v>13</x:v>
      </x:c>
      <x:c r="C1730" s="1" t="n">
        <x:v>6</x:v>
      </x:c>
      <x:c r="D1730" s="12" t="n">
        <x:v>0.8008333333333334</x:v>
      </x:c>
      <x:c r="E1730" s="12" t="n">
        <x:v>0.8018333333333334</x:v>
      </x:c>
      <x:c r="F1730" s="12" t="n">
        <x:v>0</x:v>
      </x:c>
      <x:c r="G1730" s="12" t="n">
        <x:v>0</x:v>
      </x:c>
      <x:c r="H1730" s="1" t="n">
        <x:f>'Historical prices'!E1730</x:f>
        <x:v>1.05</x:v>
      </x:c>
      <x:c r="I1730" s="6" t="n">
        <x:f>'Historical prices'!D1730</x:f>
        <x:v>0.1886</x:v>
      </x:c>
      <x:c r="J1730" s="13" t="n">
        <x:f>D1730*I1730*H1730</x:f>
        <x:v>0.158589025</x:v>
      </x:c>
      <x:c r="K1730" s="13" t="n">
        <x:f>E1730*I1730*H1730</x:f>
        <x:v>0.158787055</x:v>
      </x:c>
      <x:c r="L1730" s="1" t="str">
        <x:f>TEXT(A1730,"mmm yyyy")</x:f>
        <x:v>Jun 2026</x:v>
      </x:c>
    </x:row>
    <x:row r="1731" ht="21" customHeight="1">
      <x:c r="A1731" s="10" t="n">
        <x:v>46184</x:v>
      </x:c>
      <x:c r="B1731" s="1" t="n">
        <x:v>13.5</x:v>
      </x:c>
      <x:c r="C1731" s="1" t="n">
        <x:v>6</x:v>
      </x:c>
      <x:c r="D1731" s="12" t="n">
        <x:v>0.7433333333333333</x:v>
      </x:c>
      <x:c r="E1731" s="12" t="n">
        <x:v>0.7443333333333333</x:v>
      </x:c>
      <x:c r="F1731" s="12" t="n">
        <x:v>0</x:v>
      </x:c>
      <x:c r="G1731" s="12" t="n">
        <x:v>0</x:v>
      </x:c>
      <x:c r="H1731" s="1" t="n">
        <x:f>'Historical prices'!E1731</x:f>
        <x:v>1.05</x:v>
      </x:c>
      <x:c r="I1731" s="6" t="n">
        <x:f>'Historical prices'!D1731</x:f>
        <x:v>0.1759</x:v>
      </x:c>
      <x:c r="J1731" s="13" t="n">
        <x:f>D1731*I1731*H1731</x:f>
        <x:v>0.13728995</x:v>
      </x:c>
      <x:c r="K1731" s="13" t="n">
        <x:f>E1731*I1731*H1731</x:f>
        <x:v>0.137474645</x:v>
      </x:c>
      <x:c r="L1731" s="1" t="str">
        <x:f>TEXT(A1731,"mmm yyyy")</x:f>
        <x:v>Jun 2026</x:v>
      </x:c>
    </x:row>
    <x:row r="1732" ht="21" customHeight="1">
      <x:c r="A1732" s="10" t="n">
        <x:v>46184</x:v>
      </x:c>
      <x:c r="B1732" s="1" t="n">
        <x:v>14</x:v>
      </x:c>
      <x:c r="C1732" s="1" t="n">
        <x:v>6</x:v>
      </x:c>
      <x:c r="D1732" s="12" t="n">
        <x:v>0.6639999999999999</x:v>
      </x:c>
      <x:c r="E1732" s="12" t="n">
        <x:v>0.6629999999999999</x:v>
      </x:c>
      <x:c r="F1732" s="12" t="n">
        <x:v>0</x:v>
      </x:c>
      <x:c r="G1732" s="12" t="n">
        <x:v>0</x:v>
      </x:c>
      <x:c r="H1732" s="1" t="n">
        <x:f>'Historical prices'!E1732</x:f>
        <x:v>1.05</x:v>
      </x:c>
      <x:c r="I1732" s="6" t="n">
        <x:f>'Historical prices'!D1732</x:f>
        <x:v>0.16149999999999998</x:v>
      </x:c>
      <x:c r="J1732" s="13" t="n">
        <x:f>D1732*I1732*H1732</x:f>
        <x:v>0.11259779999999997</x:v>
      </x:c>
      <x:c r="K1732" s="13" t="n">
        <x:f>E1732*I1732*H1732</x:f>
        <x:v>0.11242822499999998</x:v>
      </x:c>
      <x:c r="L1732" s="1" t="str">
        <x:f>TEXT(A1732,"mmm yyyy")</x:f>
        <x:v>Jun 2026</x:v>
      </x:c>
    </x:row>
    <x:row r="1733" ht="21" customHeight="1">
      <x:c r="A1733" s="10" t="n">
        <x:v>46184</x:v>
      </x:c>
      <x:c r="B1733" s="1" t="n">
        <x:v>14.5</x:v>
      </x:c>
      <x:c r="C1733" s="1" t="n">
        <x:v>6</x:v>
      </x:c>
      <x:c r="D1733" s="12" t="n">
        <x:v>0.6685</x:v>
      </x:c>
      <x:c r="E1733" s="12" t="n">
        <x:v>0.6705</x:v>
      </x:c>
      <x:c r="F1733" s="12" t="n">
        <x:v>0</x:v>
      </x:c>
      <x:c r="G1733" s="12" t="n">
        <x:v>0</x:v>
      </x:c>
      <x:c r="H1733" s="1" t="n">
        <x:f>'Historical prices'!E1733</x:f>
        <x:v>1.05</x:v>
      </x:c>
      <x:c r="I1733" s="6" t="n">
        <x:f>'Historical prices'!D1733</x:f>
        <x:v>0.1631</x:v>
      </x:c>
      <x:c r="J1733" s="13" t="n">
        <x:f>D1733*I1733*H1733</x:f>
        <x:v>0.1144839675</x:v>
      </x:c>
      <x:c r="K1733" s="13" t="n">
        <x:f>E1733*I1733*H1733</x:f>
        <x:v>0.11482647750000001</x:v>
      </x:c>
      <x:c r="L1733" s="1" t="str">
        <x:f>TEXT(A1733,"mmm yyyy")</x:f>
        <x:v>Jun 2026</x:v>
      </x:c>
    </x:row>
    <x:row r="1734" ht="21" customHeight="1">
      <x:c r="A1734" s="10" t="n">
        <x:v>46184</x:v>
      </x:c>
      <x:c r="B1734" s="1" t="n">
        <x:v>15</x:v>
      </x:c>
      <x:c r="C1734" s="1" t="n">
        <x:v>6</x:v>
      </x:c>
      <x:c r="D1734" s="12" t="n">
        <x:v>4.412166666666667</x:v>
      </x:c>
      <x:c r="E1734" s="12" t="n">
        <x:v>0.6371666666666667</x:v>
      </x:c>
      <x:c r="F1734" s="12" t="n">
        <x:v>0</x:v>
      </x:c>
      <x:c r="G1734" s="12" t="n">
        <x:v>3.775</x:v>
      </x:c>
      <x:c r="H1734" s="1" t="n">
        <x:f>'Historical prices'!E1734</x:f>
        <x:v>1.05</x:v>
      </x:c>
      <x:c r="I1734" s="6" t="n">
        <x:f>'Historical prices'!D1734</x:f>
        <x:v>0.1493</x:v>
      </x:c>
      <x:c r="J1734" s="13" t="n">
        <x:f>D1734*I1734*H1734</x:f>
        <x:v>0.6916733075</x:v>
      </x:c>
      <x:c r="K1734" s="13" t="n">
        <x:f>E1734*I1734*H1734</x:f>
        <x:v>0.0998854325</x:v>
      </x:c>
      <x:c r="L1734" s="1" t="str">
        <x:f>TEXT(A1734,"mmm yyyy")</x:f>
        <x:v>Jun 2026</x:v>
      </x:c>
    </x:row>
    <x:row r="1735" ht="21" customHeight="1">
      <x:c r="A1735" s="10" t="n">
        <x:v>46184</x:v>
      </x:c>
      <x:c r="B1735" s="1" t="n">
        <x:v>15.5</x:v>
      </x:c>
      <x:c r="C1735" s="1" t="n">
        <x:v>6</x:v>
      </x:c>
      <x:c r="D1735" s="12" t="n">
        <x:v>5.139916666666666</x:v>
      </x:c>
      <x:c r="E1735" s="12" t="n">
        <x:v>0.7379166666666666</x:v>
      </x:c>
      <x:c r="F1735" s="12" t="n">
        <x:v>0</x:v>
      </x:c>
      <x:c r="G1735" s="12" t="n">
        <x:v>4.401999999999999</x:v>
      </x:c>
      <x:c r="H1735" s="1" t="n">
        <x:f>'Historical prices'!E1735</x:f>
        <x:v>1.05</x:v>
      </x:c>
      <x:c r="I1735" s="6" t="n">
        <x:f>'Historical prices'!D1735</x:f>
        <x:v>0.15289999999999998</x:v>
      </x:c>
      <x:c r="J1735" s="13" t="n">
        <x:f>D1735*I1735*H1735</x:f>
        <x:v>0.8251879212499998</x:v>
      </x:c>
      <x:c r="K1735" s="13" t="n">
        <x:f>E1735*I1735*H1735</x:f>
        <x:v>0.11846883124999996</x:v>
      </x:c>
      <x:c r="L1735" s="1" t="str">
        <x:f>TEXT(A1735,"mmm yyyy")</x:f>
        <x:v>Jun 2026</x:v>
      </x:c>
    </x:row>
    <x:row r="1736" ht="21" customHeight="1">
      <x:c r="A1736" s="10" t="n">
        <x:v>46184</x:v>
      </x:c>
      <x:c r="B1736" s="1" t="n">
        <x:v>16</x:v>
      </x:c>
      <x:c r="C1736" s="1" t="n">
        <x:v>6</x:v>
      </x:c>
      <x:c r="D1736" s="12" t="n">
        <x:v>0.8286666666666667</x:v>
      </x:c>
      <x:c r="E1736" s="12" t="n">
        <x:v>0.7153333333333334</x:v>
      </x:c>
      <x:c r="F1736" s="12" t="n">
        <x:v>0.6059166666666667</x:v>
      </x:c>
      <x:c r="G1736" s="12" t="n">
        <x:v>0.722</x:v>
      </x:c>
      <x:c r="H1736" s="1" t="n">
        <x:f>'Historical prices'!E1736</x:f>
        <x:v>1.05</x:v>
      </x:c>
      <x:c r="I1736" s="6" t="n">
        <x:f>'Historical prices'!D1736</x:f>
        <x:v>0.28300000000000003</x:v>
      </x:c>
      <x:c r="J1736" s="13" t="n">
        <x:f>D1736*I1736*H1736</x:f>
        <x:v>0.24623830000000005</x:v>
      </x:c>
      <x:c r="K1736" s="13" t="n">
        <x:f>E1736*I1736*H1736</x:f>
        <x:v>0.21256130000000004</x:v>
      </x:c>
      <x:c r="L1736" s="1" t="str">
        <x:f>TEXT(A1736,"mmm yyyy")</x:f>
        <x:v>Jun 2026</x:v>
      </x:c>
    </x:row>
    <x:row r="1737" ht="21" customHeight="1">
      <x:c r="A1737" s="10" t="n">
        <x:v>46184</x:v>
      </x:c>
      <x:c r="B1737" s="1" t="n">
        <x:v>16.5</x:v>
      </x:c>
      <x:c r="C1737" s="1" t="n">
        <x:v>6</x:v>
      </x:c>
      <x:c r="D1737" s="12" t="n">
        <x:v>0</x:v>
      </x:c>
      <x:c r="E1737" s="12" t="n">
        <x:v>0.44775</x:v>
      </x:c>
      <x:c r="F1737" s="12" t="n">
        <x:v>0.44758333333333333</x:v>
      </x:c>
      <x:c r="G1737" s="12" t="n">
        <x:v>0</x:v>
      </x:c>
      <x:c r="H1737" s="1" t="n">
        <x:f>'Historical prices'!E1737</x:f>
        <x:v>1.05</x:v>
      </x:c>
      <x:c r="I1737" s="6" t="n">
        <x:f>'Historical prices'!D1737</x:f>
        <x:v>0.2924</x:v>
      </x:c>
      <x:c r="J1737" s="13" t="n">
        <x:f>D1737*I1737*H1737</x:f>
        <x:v>0</x:v>
      </x:c>
      <x:c r="K1737" s="13" t="n">
        <x:f>E1737*I1737*H1737</x:f>
        <x:v>0.13746820499999998</x:v>
      </x:c>
      <x:c r="L1737" s="1" t="str">
        <x:f>TEXT(A1737,"mmm yyyy")</x:f>
        <x:v>Jun 2026</x:v>
      </x:c>
    </x:row>
    <x:row r="1738" ht="21" customHeight="1">
      <x:c r="A1738" s="10" t="n">
        <x:v>46184</x:v>
      </x:c>
      <x:c r="B1738" s="1" t="n">
        <x:v>17</x:v>
      </x:c>
      <x:c r="C1738" s="1" t="n">
        <x:v>6</x:v>
      </x:c>
      <x:c r="D1738" s="12" t="n">
        <x:v>0</x:v>
      </x:c>
      <x:c r="E1738" s="12" t="n">
        <x:v>0.4059166666666667</x:v>
      </x:c>
      <x:c r="F1738" s="12" t="n">
        <x:v>0.4058333333333334</x:v>
      </x:c>
      <x:c r="G1738" s="12" t="n">
        <x:v>0</x:v>
      </x:c>
      <x:c r="H1738" s="1" t="n">
        <x:f>'Historical prices'!E1738</x:f>
        <x:v>1.05</x:v>
      </x:c>
      <x:c r="I1738" s="6" t="n">
        <x:f>'Historical prices'!D1738</x:f>
        <x:v>0.3104</x:v>
      </x:c>
      <x:c r="J1738" s="13" t="n">
        <x:f>D1738*I1738*H1738</x:f>
        <x:v>0</x:v>
      </x:c>
      <x:c r="K1738" s="13" t="n">
        <x:f>E1738*I1738*H1738</x:f>
        <x:v>0.13229636000000003</x:v>
      </x:c>
      <x:c r="L1738" s="1" t="str">
        <x:f>TEXT(A1738,"mmm yyyy")</x:f>
        <x:v>Jun 2026</x:v>
      </x:c>
    </x:row>
    <x:row r="1739" ht="21" customHeight="1">
      <x:c r="A1739" s="10" t="n">
        <x:v>46184</x:v>
      </x:c>
      <x:c r="B1739" s="1" t="n">
        <x:v>17.5</x:v>
      </x:c>
      <x:c r="C1739" s="1" t="n">
        <x:v>6</x:v>
      </x:c>
      <x:c r="D1739" s="12" t="n">
        <x:v>0</x:v>
      </x:c>
      <x:c r="E1739" s="12" t="n">
        <x:v>0.45975</x:v>
      </x:c>
      <x:c r="F1739" s="12" t="n">
        <x:v>0.45975</x:v>
      </x:c>
      <x:c r="G1739" s="12" t="n">
        <x:v>0</x:v>
      </x:c>
      <x:c r="H1739" s="1" t="n">
        <x:f>'Historical prices'!E1739</x:f>
        <x:v>1.05</x:v>
      </x:c>
      <x:c r="I1739" s="6" t="n">
        <x:f>'Historical prices'!D1739</x:f>
        <x:v>0.3169</x:v>
      </x:c>
      <x:c r="J1739" s="13" t="n">
        <x:f>D1739*I1739*H1739</x:f>
        <x:v>0</x:v>
      </x:c>
      <x:c r="K1739" s="13" t="n">
        <x:f>E1739*I1739*H1739</x:f>
        <x:v>0.15297951375000002</x:v>
      </x:c>
      <x:c r="L1739" s="1" t="str">
        <x:f>TEXT(A1739,"mmm yyyy")</x:f>
        <x:v>Jun 2026</x:v>
      </x:c>
    </x:row>
    <x:row r="1740" ht="21" customHeight="1">
      <x:c r="A1740" s="10" t="n">
        <x:v>46184</x:v>
      </x:c>
      <x:c r="B1740" s="1" t="n">
        <x:v>18</x:v>
      </x:c>
      <x:c r="C1740" s="1" t="n">
        <x:v>6</x:v>
      </x:c>
      <x:c r="D1740" s="12" t="n">
        <x:v>0</x:v>
      </x:c>
      <x:c r="E1740" s="12" t="n">
        <x:v>0.5187499999999999</x:v>
      </x:c>
      <x:c r="F1740" s="12" t="n">
        <x:v>0.5187499999999999</x:v>
      </x:c>
      <x:c r="G1740" s="12" t="n">
        <x:v>0</x:v>
      </x:c>
      <x:c r="H1740" s="1" t="n">
        <x:f>'Historical prices'!E1740</x:f>
        <x:v>1.05</x:v>
      </x:c>
      <x:c r="I1740" s="6" t="n">
        <x:f>'Historical prices'!D1740</x:f>
        <x:v>0.34909999999999997</x:v>
      </x:c>
      <x:c r="J1740" s="13" t="n">
        <x:f>D1740*I1740*H1740</x:f>
        <x:v>0</x:v>
      </x:c>
      <x:c r="K1740" s="13" t="n">
        <x:f>E1740*I1740*H1740</x:f>
        <x:v>0.19015040624999996</x:v>
      </x:c>
      <x:c r="L1740" s="1" t="str">
        <x:f>TEXT(A1740,"mmm yyyy")</x:f>
        <x:v>Jun 2026</x:v>
      </x:c>
    </x:row>
    <x:row r="1741" ht="21" customHeight="1">
      <x:c r="A1741" s="10" t="n">
        <x:v>46184</x:v>
      </x:c>
      <x:c r="B1741" s="1" t="n">
        <x:v>18.5</x:v>
      </x:c>
      <x:c r="C1741" s="1" t="n">
        <x:v>6</x:v>
      </x:c>
      <x:c r="D1741" s="12" t="n">
        <x:v>0</x:v>
      </x:c>
      <x:c r="E1741" s="12" t="n">
        <x:v>0.5388333333333334</x:v>
      </x:c>
      <x:c r="F1741" s="12" t="n">
        <x:v>0.5388333333333334</x:v>
      </x:c>
      <x:c r="G1741" s="12" t="n">
        <x:v>0</x:v>
      </x:c>
      <x:c r="H1741" s="1" t="n">
        <x:f>'Historical prices'!E1741</x:f>
        <x:v>1.05</x:v>
      </x:c>
      <x:c r="I1741" s="6" t="n">
        <x:f>'Historical prices'!D1741</x:f>
        <x:v>0.345</x:v>
      </x:c>
      <x:c r="J1741" s="13" t="n">
        <x:f>D1741*I1741*H1741</x:f>
        <x:v>0</x:v>
      </x:c>
      <x:c r="K1741" s="13" t="n">
        <x:f>E1741*I1741*H1741</x:f>
        <x:v>0.195192375</x:v>
      </x:c>
      <x:c r="L1741" s="1" t="str">
        <x:f>TEXT(A1741,"mmm yyyy")</x:f>
        <x:v>Jun 2026</x:v>
      </x:c>
    </x:row>
    <x:row r="1742" ht="21" customHeight="1">
      <x:c r="A1742" s="10" t="n">
        <x:v>46184</x:v>
      </x:c>
      <x:c r="B1742" s="1" t="n">
        <x:v>19</x:v>
      </x:c>
      <x:c r="C1742" s="1" t="n">
        <x:v>6</x:v>
      </x:c>
      <x:c r="D1742" s="12" t="n">
        <x:v>0</x:v>
      </x:c>
      <x:c r="E1742" s="12" t="n">
        <x:v>0.5629166666666666</x:v>
      </x:c>
      <x:c r="F1742" s="12" t="n">
        <x:v>0.5628333333333333</x:v>
      </x:c>
      <x:c r="G1742" s="12" t="n">
        <x:v>0</x:v>
      </x:c>
      <x:c r="H1742" s="1" t="n">
        <x:f>'Historical prices'!E1742</x:f>
        <x:v>1.05</x:v>
      </x:c>
      <x:c r="I1742" s="6" t="n">
        <x:f>'Historical prices'!D1742</x:f>
        <x:v>0.2274</x:v>
      </x:c>
      <x:c r="J1742" s="13" t="n">
        <x:f>D1742*I1742*H1742</x:f>
        <x:v>0</x:v>
      </x:c>
      <x:c r="K1742" s="13" t="n">
        <x:f>E1742*I1742*H1742</x:f>
        <x:v>0.1344076125</x:v>
      </x:c>
      <x:c r="L1742" s="1" t="str">
        <x:f>TEXT(A1742,"mmm yyyy")</x:f>
        <x:v>Jun 2026</x:v>
      </x:c>
    </x:row>
    <x:row r="1743" ht="21" customHeight="1">
      <x:c r="A1743" s="10" t="n">
        <x:v>46184</x:v>
      </x:c>
      <x:c r="B1743" s="1" t="n">
        <x:v>19.5</x:v>
      </x:c>
      <x:c r="C1743" s="1" t="n">
        <x:v>6</x:v>
      </x:c>
      <x:c r="D1743" s="12" t="n">
        <x:v>0</x:v>
      </x:c>
      <x:c r="E1743" s="12" t="n">
        <x:v>0.8008333333333333</x:v>
      </x:c>
      <x:c r="F1743" s="12" t="n">
        <x:v>0.8005833333333333</x:v>
      </x:c>
      <x:c r="G1743" s="12" t="n">
        <x:v>0</x:v>
      </x:c>
      <x:c r="H1743" s="1" t="n">
        <x:f>'Historical prices'!E1743</x:f>
        <x:v>1.05</x:v>
      </x:c>
      <x:c r="I1743" s="6" t="n">
        <x:f>'Historical prices'!D1743</x:f>
        <x:v>0.2266</x:v>
      </x:c>
      <x:c r="J1743" s="13" t="n">
        <x:f>D1743*I1743*H1743</x:f>
        <x:v>0</x:v>
      </x:c>
      <x:c r="K1743" s="13" t="n">
        <x:f>E1743*I1743*H1743</x:f>
        <x:v>0.190542275</x:v>
      </x:c>
      <x:c r="L1743" s="1" t="str">
        <x:f>TEXT(A1743,"mmm yyyy")</x:f>
        <x:v>Jun 2026</x:v>
      </x:c>
    </x:row>
    <x:row r="1744" ht="21" customHeight="1">
      <x:c r="A1744" s="10" t="n">
        <x:v>46184</x:v>
      </x:c>
      <x:c r="B1744" s="1" t="n">
        <x:v>20</x:v>
      </x:c>
      <x:c r="C1744" s="1" t="n">
        <x:v>6</x:v>
      </x:c>
      <x:c r="D1744" s="12" t="n">
        <x:v>0</x:v>
      </x:c>
      <x:c r="E1744" s="12" t="n">
        <x:v>0.46575000000000005</x:v>
      </x:c>
      <x:c r="F1744" s="12" t="n">
        <x:v>0.4656666666666666</x:v>
      </x:c>
      <x:c r="G1744" s="12" t="n">
        <x:v>0</x:v>
      </x:c>
      <x:c r="H1744" s="1" t="n">
        <x:f>'Historical prices'!E1744</x:f>
        <x:v>1.05</x:v>
      </x:c>
      <x:c r="I1744" s="6" t="n">
        <x:f>'Historical prices'!D1744</x:f>
        <x:v>0.2225</x:v>
      </x:c>
      <x:c r="J1744" s="13" t="n">
        <x:f>D1744*I1744*H1744</x:f>
        <x:v>0</x:v>
      </x:c>
      <x:c r="K1744" s="13" t="n">
        <x:f>E1744*I1744*H1744</x:f>
        <x:v>0.10881084375000001</x:v>
      </x:c>
      <x:c r="L1744" s="1" t="str">
        <x:f>TEXT(A1744,"mmm yyyy")</x:f>
        <x:v>Jun 2026</x:v>
      </x:c>
    </x:row>
    <x:row r="1745" ht="21" customHeight="1">
      <x:c r="A1745" s="10" t="n">
        <x:v>46184</x:v>
      </x:c>
      <x:c r="B1745" s="1" t="n">
        <x:v>20.5</x:v>
      </x:c>
      <x:c r="C1745" s="1" t="n">
        <x:v>6</x:v>
      </x:c>
      <x:c r="D1745" s="12" t="n">
        <x:v>0</x:v>
      </x:c>
      <x:c r="E1745" s="12" t="n">
        <x:v>0.5118333333333333</x:v>
      </x:c>
      <x:c r="F1745" s="12" t="n">
        <x:v>0.5118333333333333</x:v>
      </x:c>
      <x:c r="G1745" s="12" t="n">
        <x:v>0</x:v>
      </x:c>
      <x:c r="H1745" s="1" t="n">
        <x:f>'Historical prices'!E1745</x:f>
        <x:v>1.05</x:v>
      </x:c>
      <x:c r="I1745" s="6" t="n">
        <x:f>'Historical prices'!D1745</x:f>
        <x:v>0.2225</x:v>
      </x:c>
      <x:c r="J1745" s="13" t="n">
        <x:f>D1745*I1745*H1745</x:f>
        <x:v>0</x:v>
      </x:c>
      <x:c r="K1745" s="13" t="n">
        <x:f>E1745*I1745*H1745</x:f>
        <x:v>0.1195770625</x:v>
      </x:c>
      <x:c r="L1745" s="1" t="str">
        <x:f>TEXT(A1745,"mmm yyyy")</x:f>
        <x:v>Jun 2026</x:v>
      </x:c>
    </x:row>
    <x:row r="1746" ht="21" customHeight="1">
      <x:c r="A1746" s="10" t="n">
        <x:v>46184</x:v>
      </x:c>
      <x:c r="B1746" s="1" t="n">
        <x:v>21</x:v>
      </x:c>
      <x:c r="C1746" s="1" t="n">
        <x:v>6</x:v>
      </x:c>
      <x:c r="D1746" s="12" t="n">
        <x:v>0</x:v>
      </x:c>
      <x:c r="E1746" s="12" t="n">
        <x:v>0.5228333333333333</x:v>
      </x:c>
      <x:c r="F1746" s="12" t="n">
        <x:v>0.5227499999999999</x:v>
      </x:c>
      <x:c r="G1746" s="12" t="n">
        <x:v>0</x:v>
      </x:c>
      <x:c r="H1746" s="1" t="n">
        <x:f>'Historical prices'!E1746</x:f>
        <x:v>1.05</x:v>
      </x:c>
      <x:c r="I1746" s="6" t="n">
        <x:f>'Historical prices'!D1746</x:f>
        <x:v>0.21420000000000003</x:v>
      </x:c>
      <x:c r="J1746" s="13" t="n">
        <x:f>D1746*I1746*H1746</x:f>
        <x:v>0</x:v>
      </x:c>
      <x:c r="K1746" s="13" t="n">
        <x:f>E1746*I1746*H1746</x:f>
        <x:v>0.11759044500000002</x:v>
      </x:c>
      <x:c r="L1746" s="1" t="str">
        <x:f>TEXT(A1746,"mmm yyyy")</x:f>
        <x:v>Jun 2026</x:v>
      </x:c>
    </x:row>
    <x:row r="1747" ht="21" customHeight="1">
      <x:c r="A1747" s="10" t="n">
        <x:v>46184</x:v>
      </x:c>
      <x:c r="B1747" s="1" t="n">
        <x:v>21.5</x:v>
      </x:c>
      <x:c r="C1747" s="1" t="n">
        <x:v>6</x:v>
      </x:c>
      <x:c r="D1747" s="12" t="n">
        <x:v>0</x:v>
      </x:c>
      <x:c r="E1747" s="12" t="n">
        <x:v>0.8998333333333334</x:v>
      </x:c>
      <x:c r="F1747" s="12" t="n">
        <x:v>0.8996666666666667</x:v>
      </x:c>
      <x:c r="G1747" s="12" t="n">
        <x:v>0</x:v>
      </x:c>
      <x:c r="H1747" s="1" t="n">
        <x:f>'Historical prices'!E1747</x:f>
        <x:v>1.05</x:v>
      </x:c>
      <x:c r="I1747" s="6" t="n">
        <x:f>'Historical prices'!D1747</x:f>
        <x:v>0.1913</x:v>
      </x:c>
      <x:c r="J1747" s="13" t="n">
        <x:f>D1747*I1747*H1747</x:f>
        <x:v>0</x:v>
      </x:c>
      <x:c r="K1747" s="13" t="n">
        <x:f>E1747*I1747*H1747</x:f>
        <x:v>0.18074502250000002</x:v>
      </x:c>
      <x:c r="L1747" s="1" t="str">
        <x:f>TEXT(A1747,"mmm yyyy")</x:f>
        <x:v>Jun 2026</x:v>
      </x:c>
    </x:row>
    <x:row r="1748" ht="21" customHeight="1">
      <x:c r="A1748" s="10" t="n">
        <x:v>46184</x:v>
      </x:c>
      <x:c r="B1748" s="1" t="n">
        <x:v>22</x:v>
      </x:c>
      <x:c r="C1748" s="1" t="n">
        <x:v>6</x:v>
      </x:c>
      <x:c r="D1748" s="12" t="n">
        <x:v>0.30424999999999996</x:v>
      </x:c>
      <x:c r="E1748" s="12" t="n">
        <x:v>0.38925</x:v>
      </x:c>
      <x:c r="F1748" s="12" t="n">
        <x:v>0.075</x:v>
      </x:c>
      <x:c r="G1748" s="12" t="n">
        <x:v>0</x:v>
      </x:c>
      <x:c r="H1748" s="1" t="n">
        <x:f>'Historical prices'!E1748</x:f>
        <x:v>1.05</x:v>
      </x:c>
      <x:c r="I1748" s="6" t="n">
        <x:f>'Historical prices'!D1748</x:f>
        <x:v>0.1661</x:v>
      </x:c>
      <x:c r="J1748" s="13" t="n">
        <x:f>D1748*I1748*H1748</x:f>
        <x:v>0.05306272125</x:v>
      </x:c>
      <x:c r="K1748" s="13" t="n">
        <x:f>E1748*I1748*H1748</x:f>
        <x:v>0.06788714625</x:v>
      </x:c>
      <x:c r="L1748" s="1" t="str">
        <x:f>TEXT(A1748,"mmm yyyy")</x:f>
        <x:v>Jun 2026</x:v>
      </x:c>
    </x:row>
    <x:row r="1749" ht="21" customHeight="1">
      <x:c r="A1749" s="10" t="n">
        <x:v>46184</x:v>
      </x:c>
      <x:c r="B1749" s="1" t="n">
        <x:v>22.5</x:v>
      </x:c>
      <x:c r="C1749" s="1" t="n">
        <x:v>6</x:v>
      </x:c>
      <x:c r="D1749" s="12" t="n">
        <x:v>0.21891666666666668</x:v>
      </x:c>
      <x:c r="E1749" s="12" t="n">
        <x:v>0.22991666666666666</x:v>
      </x:c>
      <x:c r="F1749" s="12" t="n">
        <x:v>0</x:v>
      </x:c>
      <x:c r="G1749" s="12" t="n">
        <x:v>0</x:v>
      </x:c>
      <x:c r="H1749" s="1" t="n">
        <x:f>'Historical prices'!E1749</x:f>
        <x:v>1.05</x:v>
      </x:c>
      <x:c r="I1749" s="6" t="n">
        <x:f>'Historical prices'!D1749</x:f>
        <x:v>0.1463</x:v>
      </x:c>
      <x:c r="J1749" s="13" t="n">
        <x:f>D1749*I1749*H1749</x:f>
        <x:v>0.033628883750000005</x:v>
      </x:c>
      <x:c r="K1749" s="13" t="n">
        <x:f>E1749*I1749*H1749</x:f>
        <x:v>0.03531864875000001</x:v>
      </x:c>
      <x:c r="L1749" s="1" t="str">
        <x:f>TEXT(A1749,"mmm yyyy")</x:f>
        <x:v>Jun 2026</x:v>
      </x:c>
    </x:row>
    <x:row r="1750" ht="21" customHeight="1">
      <x:c r="A1750" s="10" t="n">
        <x:v>46184</x:v>
      </x:c>
      <x:c r="B1750" s="1" t="n">
        <x:v>23</x:v>
      </x:c>
      <x:c r="C1750" s="1" t="n">
        <x:v>6</x:v>
      </x:c>
      <x:c r="D1750" s="12" t="n">
        <x:v>0.03308333333333333</x:v>
      </x:c>
      <x:c r="E1750" s="12" t="n">
        <x:v>0.22108333333333333</x:v>
      </x:c>
      <x:c r="F1750" s="12" t="n">
        <x:v>0.18583333333333332</x:v>
      </x:c>
      <x:c r="G1750" s="12" t="n">
        <x:v>0</x:v>
      </x:c>
      <x:c r="H1750" s="1" t="n">
        <x:f>'Historical prices'!E1750</x:f>
        <x:v>1.05</x:v>
      </x:c>
      <x:c r="I1750" s="6" t="n">
        <x:f>'Historical prices'!D1750</x:f>
        <x:v>0.2144</x:v>
      </x:c>
      <x:c r="J1750" s="13" t="n">
        <x:f>D1750*I1750*H1750</x:f>
        <x:v>0.0074477200000000006</x:v>
      </x:c>
      <x:c r="K1750" s="13" t="n">
        <x:f>E1750*I1750*H1750</x:f>
        <x:v>0.04977028000000001</x:v>
      </x:c>
      <x:c r="L1750" s="1" t="str">
        <x:f>TEXT(A1750,"mmm yyyy")</x:f>
        <x:v>Jun 2026</x:v>
      </x:c>
    </x:row>
    <x:row r="1751" ht="21" customHeight="1">
      <x:c r="A1751" s="10" t="n">
        <x:v>46184</x:v>
      </x:c>
      <x:c r="B1751" s="1" t="n">
        <x:v>23.5</x:v>
      </x:c>
      <x:c r="C1751" s="1" t="n">
        <x:v>6</x:v>
      </x:c>
      <x:c r="D1751" s="12" t="n">
        <x:v>0</x:v>
      </x:c>
      <x:c r="E1751" s="12" t="n">
        <x:v>0.26008333333333333</x:v>
      </x:c>
      <x:c r="F1751" s="12" t="n">
        <x:v>0.25991666666666663</x:v>
      </x:c>
      <x:c r="G1751" s="12" t="n">
        <x:v>0</x:v>
      </x:c>
      <x:c r="H1751" s="1" t="n">
        <x:f>'Historical prices'!E1751</x:f>
        <x:v>1.05</x:v>
      </x:c>
      <x:c r="I1751" s="6" t="n">
        <x:f>'Historical prices'!D1751</x:f>
        <x:v>0.20079999999999998</x:v>
      </x:c>
      <x:c r="J1751" s="13" t="n">
        <x:f>D1751*I1751*H1751</x:f>
        <x:v>0</x:v>
      </x:c>
      <x:c r="K1751" s="13" t="n">
        <x:f>E1751*I1751*H1751</x:f>
        <x:v>0.05483597</x:v>
      </x:c>
      <x:c r="L1751" s="1" t="str">
        <x:f>TEXT(A1751,"mmm yyyy")</x:f>
        <x:v>Jun 2026</x:v>
      </x:c>
    </x:row>
    <x:row r="1752" ht="21" customHeight="1">
      <x:c r="A1752" s="10" t="n">
        <x:v>46185</x:v>
      </x:c>
      <x:c r="B1752" s="1" t="n">
        <x:v>0</x:v>
      </x:c>
      <x:c r="C1752" s="1" t="n">
        <x:v>6</x:v>
      </x:c>
      <x:c r="D1752" s="12" t="n">
        <x:v>0</x:v>
      </x:c>
      <x:c r="E1752" s="12" t="n">
        <x:v>0.3308333333333333</x:v>
      </x:c>
      <x:c r="F1752" s="12" t="n">
        <x:v>0.33075</x:v>
      </x:c>
      <x:c r="G1752" s="12" t="n">
        <x:v>0</x:v>
      </x:c>
      <x:c r="H1752" s="1" t="n">
        <x:f>'Historical prices'!E1752</x:f>
        <x:v>1.05</x:v>
      </x:c>
      <x:c r="I1752" s="6" t="n">
        <x:f>'Historical prices'!D1752</x:f>
        <x:v>0.1766</x:v>
      </x:c>
      <x:c r="J1752" s="13" t="n">
        <x:f>D1752*I1752*H1752</x:f>
        <x:v>0</x:v>
      </x:c>
      <x:c r="K1752" s="13" t="n">
        <x:f>E1752*I1752*H1752</x:f>
        <x:v>0.061346425</x:v>
      </x:c>
      <x:c r="L1752" s="1" t="str">
        <x:f>TEXT(A1752,"mmm yyyy")</x:f>
        <x:v>Jun 2026</x:v>
      </x:c>
    </x:row>
    <x:row r="1753" ht="21" customHeight="1">
      <x:c r="A1753" s="10" t="n">
        <x:v>46185</x:v>
      </x:c>
      <x:c r="B1753" s="1" t="n">
        <x:v>0.5</x:v>
      </x:c>
      <x:c r="C1753" s="1" t="n">
        <x:v>6</x:v>
      </x:c>
      <x:c r="D1753" s="12" t="n">
        <x:v>0.13658333333333333</x:v>
      </x:c>
      <x:c r="E1753" s="12" t="n">
        <x:v>0.19458333333333336</x:v>
      </x:c>
      <x:c r="F1753" s="12" t="n">
        <x:v>0.05</x:v>
      </x:c>
      <x:c r="G1753" s="12" t="n">
        <x:v>0</x:v>
      </x:c>
      <x:c r="H1753" s="1" t="n">
        <x:f>'Historical prices'!E1753</x:f>
        <x:v>1.05</x:v>
      </x:c>
      <x:c r="I1753" s="6" t="n">
        <x:f>'Historical prices'!D1753</x:f>
        <x:v>0.1582</x:v>
      </x:c>
      <x:c r="J1753" s="13" t="n">
        <x:f>D1753*I1753*H1753</x:f>
        <x:v>0.022687857500000002</x:v>
      </x:c>
      <x:c r="K1753" s="13" t="n">
        <x:f>E1753*I1753*H1753</x:f>
        <x:v>0.03232223750000001</x:v>
      </x:c>
      <x:c r="L1753" s="1" t="str">
        <x:f>TEXT(A1753,"mmm yyyy")</x:f>
        <x:v>Jun 2026</x:v>
      </x:c>
    </x:row>
    <x:row r="1754" ht="21" customHeight="1">
      <x:c r="A1754" s="10" t="n">
        <x:v>46185</x:v>
      </x:c>
      <x:c r="B1754" s="1" t="n">
        <x:v>1</x:v>
      </x:c>
      <x:c r="C1754" s="1" t="n">
        <x:v>6</x:v>
      </x:c>
      <x:c r="D1754" s="12" t="n">
        <x:v>0.16625</x:v>
      </x:c>
      <x:c r="E1754" s="12" t="n">
        <x:v>0.17725</x:v>
      </x:c>
      <x:c r="F1754" s="12" t="n">
        <x:v>0</x:v>
      </x:c>
      <x:c r="G1754" s="12" t="n">
        <x:v>0</x:v>
      </x:c>
      <x:c r="H1754" s="1" t="n">
        <x:f>'Historical prices'!E1754</x:f>
        <x:v>1.05</x:v>
      </x:c>
      <x:c r="I1754" s="6" t="n">
        <x:f>'Historical prices'!D1754</x:f>
        <x:v>0.1367</x:v>
      </x:c>
      <x:c r="J1754" s="13" t="n">
        <x:f>D1754*I1754*H1754</x:f>
        <x:v>0.02386269375</x:v>
      </x:c>
      <x:c r="K1754" s="13" t="n">
        <x:f>E1754*I1754*H1754</x:f>
        <x:v>0.02544157875</x:v>
      </x:c>
      <x:c r="L1754" s="1" t="str">
        <x:f>TEXT(A1754,"mmm yyyy")</x:f>
        <x:v>Jun 2026</x:v>
      </x:c>
    </x:row>
    <x:row r="1755" ht="21" customHeight="1">
      <x:c r="A1755" s="10" t="n">
        <x:v>46185</x:v>
      </x:c>
      <x:c r="B1755" s="1" t="n">
        <x:v>1.5</x:v>
      </x:c>
      <x:c r="C1755" s="1" t="n">
        <x:v>6</x:v>
      </x:c>
      <x:c r="D1755" s="12" t="n">
        <x:v>0.22449999999999998</x:v>
      </x:c>
      <x:c r="E1755" s="12" t="n">
        <x:v>0.2355</x:v>
      </x:c>
      <x:c r="F1755" s="12" t="n">
        <x:v>0</x:v>
      </x:c>
      <x:c r="G1755" s="12" t="n">
        <x:v>0</x:v>
      </x:c>
      <x:c r="H1755" s="1" t="n">
        <x:f>'Historical prices'!E1755</x:f>
        <x:v>1.05</x:v>
      </x:c>
      <x:c r="I1755" s="6" t="n">
        <x:f>'Historical prices'!D1755</x:f>
        <x:v>0.1445</x:v>
      </x:c>
      <x:c r="J1755" s="13" t="n">
        <x:f>D1755*I1755*H1755</x:f>
        <x:v>0.034062262499999996</x:v>
      </x:c>
      <x:c r="K1755" s="13" t="n">
        <x:f>E1755*I1755*H1755</x:f>
        <x:v>0.0357312375</x:v>
      </x:c>
      <x:c r="L1755" s="1" t="str">
        <x:f>TEXT(A1755,"mmm yyyy")</x:f>
        <x:v>Jun 2026</x:v>
      </x:c>
    </x:row>
    <x:row r="1756" ht="21" customHeight="1">
      <x:c r="A1756" s="10" t="n">
        <x:v>46185</x:v>
      </x:c>
      <x:c r="B1756" s="1" t="n">
        <x:v>2</x:v>
      </x:c>
      <x:c r="C1756" s="1" t="n">
        <x:v>6</x:v>
      </x:c>
      <x:c r="D1756" s="12" t="n">
        <x:v>0.23575000000000002</x:v>
      </x:c>
      <x:c r="E1756" s="12" t="n">
        <x:v>0.24574999999999997</x:v>
      </x:c>
      <x:c r="F1756" s="12" t="n">
        <x:v>0</x:v>
      </x:c>
      <x:c r="G1756" s="12" t="n">
        <x:v>0</x:v>
      </x:c>
      <x:c r="H1756" s="1" t="n">
        <x:f>'Historical prices'!E1756</x:f>
        <x:v>1.05</x:v>
      </x:c>
      <x:c r="I1756" s="6" t="n">
        <x:f>'Historical prices'!D1756</x:f>
        <x:v>0.1421</x:v>
      </x:c>
      <x:c r="J1756" s="13" t="n">
        <x:f>D1756*I1756*H1756</x:f>
        <x:v>0.035175078750000005</x:v>
      </x:c>
      <x:c r="K1756" s="13" t="n">
        <x:f>E1756*I1756*H1756</x:f>
        <x:v>0.03666712875</x:v>
      </x:c>
      <x:c r="L1756" s="1" t="str">
        <x:f>TEXT(A1756,"mmm yyyy")</x:f>
        <x:v>Jun 2026</x:v>
      </x:c>
    </x:row>
    <x:row r="1757" ht="21" customHeight="1">
      <x:c r="A1757" s="10" t="n">
        <x:v>46185</x:v>
      </x:c>
      <x:c r="B1757" s="1" t="n">
        <x:v>2.5</x:v>
      </x:c>
      <x:c r="C1757" s="1" t="n">
        <x:v>6</x:v>
      </x:c>
      <x:c r="D1757" s="12" t="n">
        <x:v>0.2633333333333333</x:v>
      </x:c>
      <x:c r="E1757" s="12" t="n">
        <x:v>0.2713333333333333</x:v>
      </x:c>
      <x:c r="F1757" s="12" t="n">
        <x:v>0</x:v>
      </x:c>
      <x:c r="G1757" s="12" t="n">
        <x:v>0</x:v>
      </x:c>
      <x:c r="H1757" s="1" t="n">
        <x:f>'Historical prices'!E1757</x:f>
        <x:v>1.05</x:v>
      </x:c>
      <x:c r="I1757" s="6" t="n">
        <x:f>'Historical prices'!D1757</x:f>
        <x:v>0.1388</x:v>
      </x:c>
      <x:c r="J1757" s="13" t="n">
        <x:f>D1757*I1757*H1757</x:f>
        <x:v>0.038378199999999994</x:v>
      </x:c>
      <x:c r="K1757" s="13" t="n">
        <x:f>E1757*I1757*H1757</x:f>
        <x:v>0.03954412</x:v>
      </x:c>
      <x:c r="L1757" s="1" t="str">
        <x:f>TEXT(A1757,"mmm yyyy")</x:f>
        <x:v>Jun 2026</x:v>
      </x:c>
    </x:row>
    <x:row r="1758" ht="21" customHeight="1">
      <x:c r="A1758" s="10" t="n">
        <x:v>46185</x:v>
      </x:c>
      <x:c r="B1758" s="1" t="n">
        <x:v>3</x:v>
      </x:c>
      <x:c r="C1758" s="1" t="n">
        <x:v>6</x:v>
      </x:c>
      <x:c r="D1758" s="12" t="n">
        <x:v>4.1978333333333335</x:v>
      </x:c>
      <x:c r="E1758" s="12" t="n">
        <x:v>0.3918333333333333</x:v>
      </x:c>
      <x:c r="F1758" s="12" t="n">
        <x:v>0</x:v>
      </x:c>
      <x:c r="G1758" s="12" t="n">
        <x:v>3.8080000000000003</x:v>
      </x:c>
      <x:c r="H1758" s="1" t="n">
        <x:f>'Historical prices'!E1758</x:f>
        <x:v>1.05</x:v>
      </x:c>
      <x:c r="I1758" s="6" t="n">
        <x:f>'Historical prices'!D1758</x:f>
        <x:v>0.1351</x:v>
      </x:c>
      <x:c r="J1758" s="13" t="n">
        <x:f>D1758*I1758*H1758</x:f>
        <x:v>0.5954836475</x:v>
      </x:c>
      <x:c r="K1758" s="13" t="n">
        <x:f>E1758*I1758*H1758</x:f>
        <x:v>0.0555835175</x:v>
      </x:c>
      <x:c r="L1758" s="1" t="str">
        <x:f>TEXT(A1758,"mmm yyyy")</x:f>
        <x:v>Jun 2026</x:v>
      </x:c>
    </x:row>
    <x:row r="1759" ht="21" customHeight="1">
      <x:c r="A1759" s="10" t="n">
        <x:v>46185</x:v>
      </x:c>
      <x:c r="B1759" s="1" t="n">
        <x:v>3.5</x:v>
      </x:c>
      <x:c r="C1759" s="1" t="n">
        <x:v>6</x:v>
      </x:c>
      <x:c r="D1759" s="12" t="n">
        <x:v>1.0525833333333332</x:v>
      </x:c>
      <x:c r="E1759" s="12" t="n">
        <x:v>0.26058333333333333</x:v>
      </x:c>
      <x:c r="F1759" s="12" t="n">
        <x:v>0</x:v>
      </x:c>
      <x:c r="G1759" s="12" t="n">
        <x:v>0.794</x:v>
      </x:c>
      <x:c r="H1759" s="1" t="n">
        <x:f>'Historical prices'!E1759</x:f>
        <x:v>1.05</x:v>
      </x:c>
      <x:c r="I1759" s="6" t="n">
        <x:f>'Historical prices'!D1759</x:f>
        <x:v>0.1404</x:v>
      </x:c>
      <x:c r="J1759" s="13" t="n">
        <x:f>D1759*I1759*H1759</x:f>
        <x:v>0.155171835</x:v>
      </x:c>
      <x:c r="K1759" s="13" t="n">
        <x:f>E1759*I1759*H1759</x:f>
        <x:v>0.038415195</x:v>
      </x:c>
      <x:c r="L1759" s="1" t="str">
        <x:f>TEXT(A1759,"mmm yyyy")</x:f>
        <x:v>Jun 2026</x:v>
      </x:c>
    </x:row>
    <x:row r="1760" ht="21" customHeight="1">
      <x:c r="A1760" s="10" t="n">
        <x:v>46185</x:v>
      </x:c>
      <x:c r="B1760" s="1" t="n">
        <x:v>4</x:v>
      </x:c>
      <x:c r="C1760" s="1" t="n">
        <x:v>6</x:v>
      </x:c>
      <x:c r="D1760" s="12" t="n">
        <x:v>0.22666666666666666</x:v>
      </x:c>
      <x:c r="E1760" s="12" t="n">
        <x:v>0.23666666666666664</x:v>
      </x:c>
      <x:c r="F1760" s="12" t="n">
        <x:v>0</x:v>
      </x:c>
      <x:c r="G1760" s="12" t="n">
        <x:v>0</x:v>
      </x:c>
      <x:c r="H1760" s="1" t="n">
        <x:f>'Historical prices'!E1760</x:f>
        <x:v>1.05</x:v>
      </x:c>
      <x:c r="I1760" s="6" t="n">
        <x:f>'Historical prices'!D1760</x:f>
        <x:v>0.1434</x:v>
      </x:c>
      <x:c r="J1760" s="13" t="n">
        <x:f>D1760*I1760*H1760</x:f>
        <x:v>0.0341292</x:v>
      </x:c>
      <x:c r="K1760" s="13" t="n">
        <x:f>E1760*I1760*H1760</x:f>
        <x:v>0.0356349</x:v>
      </x:c>
      <x:c r="L1760" s="1" t="str">
        <x:f>TEXT(A1760,"mmm yyyy")</x:f>
        <x:v>Jun 2026</x:v>
      </x:c>
    </x:row>
    <x:row r="1761" ht="21" customHeight="1">
      <x:c r="A1761" s="10" t="n">
        <x:v>46185</x:v>
      </x:c>
      <x:c r="B1761" s="1" t="n">
        <x:v>4.5</x:v>
      </x:c>
      <x:c r="C1761" s="1" t="n">
        <x:v>6</x:v>
      </x:c>
      <x:c r="D1761" s="12" t="n">
        <x:v>0.19558333333333333</x:v>
      </x:c>
      <x:c r="E1761" s="12" t="n">
        <x:v>0.20758333333333334</x:v>
      </x:c>
      <x:c r="F1761" s="12" t="n">
        <x:v>0</x:v>
      </x:c>
      <x:c r="G1761" s="12" t="n">
        <x:v>0</x:v>
      </x:c>
      <x:c r="H1761" s="1" t="n">
        <x:f>'Historical prices'!E1761</x:f>
        <x:v>1.05</x:v>
      </x:c>
      <x:c r="I1761" s="6" t="n">
        <x:f>'Historical prices'!D1761</x:f>
        <x:v>0.1543</x:v>
      </x:c>
      <x:c r="J1761" s="13" t="n">
        <x:f>D1761*I1761*H1761</x:f>
        <x:v>0.03168743375</x:v>
      </x:c>
      <x:c r="K1761" s="13" t="n">
        <x:f>E1761*I1761*H1761</x:f>
        <x:v>0.033631613750000004</x:v>
      </x:c>
      <x:c r="L1761" s="1" t="str">
        <x:f>TEXT(A1761,"mmm yyyy")</x:f>
        <x:v>Jun 2026</x:v>
      </x:c>
    </x:row>
    <x:row r="1762" ht="21" customHeight="1">
      <x:c r="A1762" s="10" t="n">
        <x:v>46185</x:v>
      </x:c>
      <x:c r="B1762" s="1" t="n">
        <x:v>5</x:v>
      </x:c>
      <x:c r="C1762" s="1" t="n">
        <x:v>6</x:v>
      </x:c>
      <x:c r="D1762" s="12" t="n">
        <x:v>0.23725000000000002</x:v>
      </x:c>
      <x:c r="E1762" s="12" t="n">
        <x:v>0.24925</x:v>
      </x:c>
      <x:c r="F1762" s="12" t="n">
        <x:v>0</x:v>
      </x:c>
      <x:c r="G1762" s="12" t="n">
        <x:v>0</x:v>
      </x:c>
      <x:c r="H1762" s="1" t="n">
        <x:f>'Historical prices'!E1762</x:f>
        <x:v>1.05</x:v>
      </x:c>
      <x:c r="I1762" s="6" t="n">
        <x:f>'Historical prices'!D1762</x:f>
        <x:v>0.1564</x:v>
      </x:c>
      <x:c r="J1762" s="13" t="n">
        <x:f>D1762*I1762*H1762</x:f>
        <x:v>0.038961195000000004</x:v>
      </x:c>
      <x:c r="K1762" s="13" t="n">
        <x:f>E1762*I1762*H1762</x:f>
        <x:v>0.04093183500000001</x:v>
      </x:c>
      <x:c r="L1762" s="1" t="str">
        <x:f>TEXT(A1762,"mmm yyyy")</x:f>
        <x:v>Jun 2026</x:v>
      </x:c>
    </x:row>
    <x:row r="1763" ht="21" customHeight="1">
      <x:c r="A1763" s="10" t="n">
        <x:v>46185</x:v>
      </x:c>
      <x:c r="B1763" s="1" t="n">
        <x:v>5.5</x:v>
      </x:c>
      <x:c r="C1763" s="1" t="n">
        <x:v>6</x:v>
      </x:c>
      <x:c r="D1763" s="12" t="n">
        <x:v>0.23249999999999998</x:v>
      </x:c>
      <x:c r="E1763" s="12" t="n">
        <x:v>0.2425</x:v>
      </x:c>
      <x:c r="F1763" s="12" t="n">
        <x:v>0</x:v>
      </x:c>
      <x:c r="G1763" s="12" t="n">
        <x:v>0</x:v>
      </x:c>
      <x:c r="H1763" s="1" t="n">
        <x:f>'Historical prices'!E1763</x:f>
        <x:v>1.05</x:v>
      </x:c>
      <x:c r="I1763" s="6" t="n">
        <x:f>'Historical prices'!D1763</x:f>
        <x:v>0.1734</x:v>
      </x:c>
      <x:c r="J1763" s="13" t="n">
        <x:f>D1763*I1763*H1763</x:f>
        <x:v>0.042331275</x:v>
      </x:c>
      <x:c r="K1763" s="13" t="n">
        <x:f>E1763*I1763*H1763</x:f>
        <x:v>0.044151974999999996</x:v>
      </x:c>
      <x:c r="L1763" s="1" t="str">
        <x:f>TEXT(A1763,"mmm yyyy")</x:f>
        <x:v>Jun 2026</x:v>
      </x:c>
    </x:row>
    <x:row r="1764" ht="21" customHeight="1">
      <x:c r="A1764" s="10" t="n">
        <x:v>46185</x:v>
      </x:c>
      <x:c r="B1764" s="1" t="n">
        <x:v>6</x:v>
      </x:c>
      <x:c r="C1764" s="1" t="n">
        <x:v>6</x:v>
      </x:c>
      <x:c r="D1764" s="12" t="n">
        <x:v>0.035</x:v>
      </x:c>
      <x:c r="E1764" s="12" t="n">
        <x:v>0.3400833333333333</x:v>
      </x:c>
      <x:c r="F1764" s="12" t="n">
        <x:v>0.3029166666666666</x:v>
      </x:c>
      <x:c r="G1764" s="12" t="n">
        <x:v>0</x:v>
      </x:c>
      <x:c r="H1764" s="1" t="n">
        <x:f>'Historical prices'!E1764</x:f>
        <x:v>1.05</x:v>
      </x:c>
      <x:c r="I1764" s="6" t="n">
        <x:f>'Historical prices'!D1764</x:f>
        <x:v>0.1832</x:v>
      </x:c>
      <x:c r="J1764" s="13" t="n">
        <x:f>D1764*I1764*H1764</x:f>
        <x:v>0.006732600000000002</x:v>
      </x:c>
      <x:c r="K1764" s="13" t="n">
        <x:f>E1764*I1764*H1764</x:f>
        <x:v>0.06541843</x:v>
      </x:c>
      <x:c r="L1764" s="1" t="str">
        <x:f>TEXT(A1764,"mmm yyyy")</x:f>
        <x:v>Jun 2026</x:v>
      </x:c>
    </x:row>
    <x:row r="1765" ht="21" customHeight="1">
      <x:c r="A1765" s="10" t="n">
        <x:v>46185</x:v>
      </x:c>
      <x:c r="B1765" s="1" t="n">
        <x:v>6.5</x:v>
      </x:c>
      <x:c r="C1765" s="1" t="n">
        <x:v>6</x:v>
      </x:c>
      <x:c r="D1765" s="12" t="n">
        <x:v>0</x:v>
      </x:c>
      <x:c r="E1765" s="12" t="n">
        <x:v>0.588</x:v>
      </x:c>
      <x:c r="F1765" s="12" t="n">
        <x:v>0.58775</x:v>
      </x:c>
      <x:c r="G1765" s="12" t="n">
        <x:v>0</x:v>
      </x:c>
      <x:c r="H1765" s="1" t="n">
        <x:f>'Historical prices'!E1765</x:f>
        <x:v>1.05</x:v>
      </x:c>
      <x:c r="I1765" s="6" t="n">
        <x:f>'Historical prices'!D1765</x:f>
        <x:v>0.2186</x:v>
      </x:c>
      <x:c r="J1765" s="13" t="n">
        <x:f>D1765*I1765*H1765</x:f>
        <x:v>0</x:v>
      </x:c>
      <x:c r="K1765" s="13" t="n">
        <x:f>E1765*I1765*H1765</x:f>
        <x:v>0.13496364</x:v>
      </x:c>
      <x:c r="L1765" s="1" t="str">
        <x:f>TEXT(A1765,"mmm yyyy")</x:f>
        <x:v>Jun 2026</x:v>
      </x:c>
    </x:row>
    <x:row r="1766" ht="21" customHeight="1">
      <x:c r="A1766" s="10" t="n">
        <x:v>46185</x:v>
      </x:c>
      <x:c r="B1766" s="1" t="n">
        <x:v>7</x:v>
      </x:c>
      <x:c r="C1766" s="1" t="n">
        <x:v>6</x:v>
      </x:c>
      <x:c r="D1766" s="12" t="n">
        <x:v>0</x:v>
      </x:c>
      <x:c r="E1766" s="12" t="n">
        <x:v>0.5025</x:v>
      </x:c>
      <x:c r="F1766" s="12" t="n">
        <x:v>0.5024166666666666</x:v>
      </x:c>
      <x:c r="G1766" s="12" t="n">
        <x:v>0</x:v>
      </x:c>
      <x:c r="H1766" s="1" t="n">
        <x:f>'Historical prices'!E1766</x:f>
        <x:v>1.05</x:v>
      </x:c>
      <x:c r="I1766" s="6" t="n">
        <x:f>'Historical prices'!D1766</x:f>
        <x:v>0.201</x:v>
      </x:c>
      <x:c r="J1766" s="13" t="n">
        <x:f>D1766*I1766*H1766</x:f>
        <x:v>0</x:v>
      </x:c>
      <x:c r="K1766" s="13" t="n">
        <x:f>E1766*I1766*H1766</x:f>
        <x:v>0.106052625</x:v>
      </x:c>
      <x:c r="L1766" s="1" t="str">
        <x:f>TEXT(A1766,"mmm yyyy")</x:f>
        <x:v>Jun 2026</x:v>
      </x:c>
    </x:row>
    <x:row r="1767" ht="21" customHeight="1">
      <x:c r="A1767" s="10" t="n">
        <x:v>46185</x:v>
      </x:c>
      <x:c r="B1767" s="1" t="n">
        <x:v>7.5</x:v>
      </x:c>
      <x:c r="C1767" s="1" t="n">
        <x:v>6</x:v>
      </x:c>
      <x:c r="D1767" s="12" t="n">
        <x:v>0</x:v>
      </x:c>
      <x:c r="E1767" s="12" t="n">
        <x:v>1.3146666666666669</x:v>
      </x:c>
      <x:c r="F1767" s="12" t="n">
        <x:v>1.3145833333333334</x:v>
      </x:c>
      <x:c r="G1767" s="12" t="n">
        <x:v>0</x:v>
      </x:c>
      <x:c r="H1767" s="1" t="n">
        <x:f>'Historical prices'!E1767</x:f>
        <x:v>1.05</x:v>
      </x:c>
      <x:c r="I1767" s="6" t="n">
        <x:f>'Historical prices'!D1767</x:f>
        <x:v>0.2177</x:v>
      </x:c>
      <x:c r="J1767" s="13" t="n">
        <x:f>D1767*I1767*H1767</x:f>
        <x:v>0</x:v>
      </x:c>
      <x:c r="K1767" s="13" t="n">
        <x:f>E1767*I1767*H1767</x:f>
        <x:v>0.3005130800000001</x:v>
      </x:c>
      <x:c r="L1767" s="1" t="str">
        <x:f>TEXT(A1767,"mmm yyyy")</x:f>
        <x:v>Jun 2026</x:v>
      </x:c>
    </x:row>
    <x:row r="1768" ht="21" customHeight="1">
      <x:c r="A1768" s="10" t="n">
        <x:v>46185</x:v>
      </x:c>
      <x:c r="B1768" s="1" t="n">
        <x:v>8</x:v>
      </x:c>
      <x:c r="C1768" s="1" t="n">
        <x:v>6</x:v>
      </x:c>
      <x:c r="D1768" s="12" t="n">
        <x:v>0</x:v>
      </x:c>
      <x:c r="E1768" s="12" t="n">
        <x:v>0.642</x:v>
      </x:c>
      <x:c r="F1768" s="12" t="n">
        <x:v>0.6416666666666667</x:v>
      </x:c>
      <x:c r="G1768" s="12" t="n">
        <x:v>0</x:v>
      </x:c>
      <x:c r="H1768" s="1" t="n">
        <x:f>'Historical prices'!E1768</x:f>
        <x:v>1.05</x:v>
      </x:c>
      <x:c r="I1768" s="6" t="n">
        <x:f>'Historical prices'!D1768</x:f>
        <x:v>0.1989</x:v>
      </x:c>
      <x:c r="J1768" s="13" t="n">
        <x:f>D1768*I1768*H1768</x:f>
        <x:v>0</x:v>
      </x:c>
      <x:c r="K1768" s="13" t="n">
        <x:f>E1768*I1768*H1768</x:f>
        <x:v>0.13407849</x:v>
      </x:c>
      <x:c r="L1768" s="1" t="str">
        <x:f>TEXT(A1768,"mmm yyyy")</x:f>
        <x:v>Jun 2026</x:v>
      </x:c>
    </x:row>
    <x:row r="1769" ht="21" customHeight="1">
      <x:c r="A1769" s="10" t="n">
        <x:v>46185</x:v>
      </x:c>
      <x:c r="B1769" s="1" t="n">
        <x:v>8.5</x:v>
      </x:c>
      <x:c r="C1769" s="1" t="n">
        <x:v>6</x:v>
      </x:c>
      <x:c r="D1769" s="12" t="n">
        <x:v>0.012416666666666666</x:v>
      </x:c>
      <x:c r="E1769" s="12" t="n">
        <x:v>1.6949166666666666</x:v>
      </x:c>
      <x:c r="F1769" s="12" t="n">
        <x:v>1.6785833333333333</x:v>
      </x:c>
      <x:c r="G1769" s="12" t="n">
        <x:v>0</x:v>
      </x:c>
      <x:c r="H1769" s="1" t="n">
        <x:f>'Historical prices'!E1769</x:f>
        <x:v>1.05</x:v>
      </x:c>
      <x:c r="I1769" s="6" t="n">
        <x:f>'Historical prices'!D1769</x:f>
        <x:v>0.19190000000000002</x:v>
      </x:c>
      <x:c r="J1769" s="13" t="n">
        <x:f>D1769*I1769*H1769</x:f>
        <x:v>0.0025018962500000003</x:v>
      </x:c>
      <x:c r="K1769" s="13" t="n">
        <x:f>E1769*I1769*H1769</x:f>
        <x:v>0.34151723375000004</x:v>
      </x:c>
      <x:c r="L1769" s="1" t="str">
        <x:f>TEXT(A1769,"mmm yyyy")</x:f>
        <x:v>Jun 2026</x:v>
      </x:c>
    </x:row>
    <x:row r="1770" ht="21" customHeight="1">
      <x:c r="A1770" s="10" t="n">
        <x:v>46185</x:v>
      </x:c>
      <x:c r="B1770" s="1" t="n">
        <x:v>9</x:v>
      </x:c>
      <x:c r="C1770" s="1" t="n">
        <x:v>6</x:v>
      </x:c>
      <x:c r="D1770" s="12" t="n">
        <x:v>0.8285000000000001</x:v>
      </x:c>
      <x:c r="E1770" s="12" t="n">
        <x:v>0.9995</x:v>
      </x:c>
      <x:c r="F1770" s="12" t="n">
        <x:v>0.202</x:v>
      </x:c>
      <x:c r="G1770" s="12" t="n">
        <x:v>0.036</x:v>
      </x:c>
      <x:c r="H1770" s="1" t="n">
        <x:f>'Historical prices'!E1770</x:f>
        <x:v>1.05</x:v>
      </x:c>
      <x:c r="I1770" s="6" t="n">
        <x:f>'Historical prices'!D1770</x:f>
        <x:v>0.1787</x:v>
      </x:c>
      <x:c r="J1770" s="13" t="n">
        <x:f>D1770*I1770*H1770</x:f>
        <x:v>0.15545559750000001</x:v>
      </x:c>
      <x:c r="K1770" s="13" t="n">
        <x:f>E1770*I1770*H1770</x:f>
        <x:v>0.18754118250000001</x:v>
      </x:c>
      <x:c r="L1770" s="1" t="str">
        <x:f>TEXT(A1770,"mmm yyyy")</x:f>
        <x:v>Jun 2026</x:v>
      </x:c>
    </x:row>
    <x:row r="1771" ht="21" customHeight="1">
      <x:c r="A1771" s="10" t="n">
        <x:v>46185</x:v>
      </x:c>
      <x:c r="B1771" s="1" t="n">
        <x:v>9.5</x:v>
      </x:c>
      <x:c r="C1771" s="1" t="n">
        <x:v>6</x:v>
      </x:c>
      <x:c r="D1771" s="12" t="n">
        <x:v>0.45933333333333337</x:v>
      </x:c>
      <x:c r="E1771" s="12" t="n">
        <x:v>0.4723333333333334</x:v>
      </x:c>
      <x:c r="F1771" s="12" t="n">
        <x:v>0</x:v>
      </x:c>
      <x:c r="G1771" s="12" t="n">
        <x:v>0</x:v>
      </x:c>
      <x:c r="H1771" s="1" t="n">
        <x:f>'Historical prices'!E1771</x:f>
        <x:v>1.05</x:v>
      </x:c>
      <x:c r="I1771" s="6" t="n">
        <x:f>'Historical prices'!D1771</x:f>
        <x:v>0.1499</x:v>
      </x:c>
      <x:c r="J1771" s="13" t="n">
        <x:f>D1771*I1771*H1771</x:f>
        <x:v>0.07229677000000001</x:v>
      </x:c>
      <x:c r="K1771" s="13" t="n">
        <x:f>E1771*I1771*H1771</x:f>
        <x:v>0.07434290500000001</x:v>
      </x:c>
      <x:c r="L1771" s="1" t="str">
        <x:f>TEXT(A1771,"mmm yyyy")</x:f>
        <x:v>Jun 2026</x:v>
      </x:c>
    </x:row>
    <x:row r="1772" ht="21" customHeight="1">
      <x:c r="A1772" s="10" t="n">
        <x:v>46185</x:v>
      </x:c>
      <x:c r="B1772" s="1" t="n">
        <x:v>10</x:v>
      </x:c>
      <x:c r="C1772" s="1" t="n">
        <x:v>6</x:v>
      </x:c>
      <x:c r="D1772" s="12" t="n">
        <x:v>1.23325</x:v>
      </x:c>
      <x:c r="E1772" s="12" t="n">
        <x:v>1.2382499999999999</x:v>
      </x:c>
      <x:c r="F1772" s="12" t="n">
        <x:v>0</x:v>
      </x:c>
      <x:c r="G1772" s="12" t="n">
        <x:v>0</x:v>
      </x:c>
      <x:c r="H1772" s="1" t="n">
        <x:f>'Historical prices'!E1772</x:f>
        <x:v>1.05</x:v>
      </x:c>
      <x:c r="I1772" s="6" t="n">
        <x:f>'Historical prices'!D1772</x:f>
        <x:v>0.1476</x:v>
      </x:c>
      <x:c r="J1772" s="13" t="n">
        <x:f>D1772*I1772*H1772</x:f>
        <x:v>0.19112908500000003</x:v>
      </x:c>
      <x:c r="K1772" s="13" t="n">
        <x:f>E1772*I1772*H1772</x:f>
        <x:v>0.19190398499999997</x:v>
      </x:c>
      <x:c r="L1772" s="1" t="str">
        <x:f>TEXT(A1772,"mmm yyyy")</x:f>
        <x:v>Jun 2026</x:v>
      </x:c>
    </x:row>
    <x:row r="1773" ht="21" customHeight="1">
      <x:c r="A1773" s="10" t="n">
        <x:v>46185</x:v>
      </x:c>
      <x:c r="B1773" s="1" t="n">
        <x:v>10.5</x:v>
      </x:c>
      <x:c r="C1773" s="1" t="n">
        <x:v>6</x:v>
      </x:c>
      <x:c r="D1773" s="12" t="n">
        <x:v>0.504</x:v>
      </x:c>
      <x:c r="E1773" s="12" t="n">
        <x:v>0.508</x:v>
      </x:c>
      <x:c r="F1773" s="12" t="n">
        <x:v>0</x:v>
      </x:c>
      <x:c r="G1773" s="12" t="n">
        <x:v>0</x:v>
      </x:c>
      <x:c r="H1773" s="1" t="n">
        <x:f>'Historical prices'!E1773</x:f>
        <x:v>1.05</x:v>
      </x:c>
      <x:c r="I1773" s="6" t="n">
        <x:f>'Historical prices'!D1773</x:f>
        <x:v>0.1278</x:v>
      </x:c>
      <x:c r="J1773" s="13" t="n">
        <x:f>D1773*I1773*H1773</x:f>
        <x:v>0.06763176</x:v>
      </x:c>
      <x:c r="K1773" s="13" t="n">
        <x:f>E1773*I1773*H1773</x:f>
        <x:v>0.06816852000000001</x:v>
      </x:c>
      <x:c r="L1773" s="1" t="str">
        <x:f>TEXT(A1773,"mmm yyyy")</x:f>
        <x:v>Jun 2026</x:v>
      </x:c>
    </x:row>
    <x:row r="1774" ht="21" customHeight="1">
      <x:c r="A1774" s="10" t="n">
        <x:v>46185</x:v>
      </x:c>
      <x:c r="B1774" s="1" t="n">
        <x:v>11</x:v>
      </x:c>
      <x:c r="C1774" s="1" t="n">
        <x:v>6</x:v>
      </x:c>
      <x:c r="D1774" s="12" t="n">
        <x:v>0.9833333333333333</x:v>
      </x:c>
      <x:c r="E1774" s="12" t="n">
        <x:v>0.9843333333333333</x:v>
      </x:c>
      <x:c r="F1774" s="12" t="n">
        <x:v>0</x:v>
      </x:c>
      <x:c r="G1774" s="12" t="n">
        <x:v>0</x:v>
      </x:c>
      <x:c r="H1774" s="1" t="n">
        <x:f>'Historical prices'!E1774</x:f>
        <x:v>1.05</x:v>
      </x:c>
      <x:c r="I1774" s="6" t="n">
        <x:f>'Historical prices'!D1774</x:f>
        <x:v>0.1159</x:v>
      </x:c>
      <x:c r="J1774" s="13" t="n">
        <x:f>D1774*I1774*H1774</x:f>
        <x:v>0.11966675</x:v>
      </x:c>
      <x:c r="K1774" s="13" t="n">
        <x:f>E1774*I1774*H1774</x:f>
        <x:v>0.119788445</x:v>
      </x:c>
      <x:c r="L1774" s="1" t="str">
        <x:f>TEXT(A1774,"mmm yyyy")</x:f>
        <x:v>Jun 2026</x:v>
      </x:c>
    </x:row>
    <x:row r="1775" ht="21" customHeight="1">
      <x:c r="A1775" s="10" t="n">
        <x:v>46185</x:v>
      </x:c>
      <x:c r="B1775" s="1" t="n">
        <x:v>11.5</x:v>
      </x:c>
      <x:c r="C1775" s="1" t="n">
        <x:v>6</x:v>
      </x:c>
      <x:c r="D1775" s="12" t="n">
        <x:v>0.7908333333333333</x:v>
      </x:c>
      <x:c r="E1775" s="12" t="n">
        <x:v>0.7938333333333334</x:v>
      </x:c>
      <x:c r="F1775" s="12" t="n">
        <x:v>0</x:v>
      </x:c>
      <x:c r="G1775" s="12" t="n">
        <x:v>0</x:v>
      </x:c>
      <x:c r="H1775" s="1" t="n">
        <x:f>'Historical prices'!E1775</x:f>
        <x:v>1.05</x:v>
      </x:c>
      <x:c r="I1775" s="6" t="n">
        <x:f>'Historical prices'!D1775</x:f>
        <x:v>0.09029999999999999</x:v>
      </x:c>
      <x:c r="J1775" s="13" t="n">
        <x:f>D1775*I1775*H1775</x:f>
        <x:v>0.07498286249999998</x:v>
      </x:c>
      <x:c r="K1775" s="13" t="n">
        <x:f>E1775*I1775*H1775</x:f>
        <x:v>0.0752673075</x:v>
      </x:c>
      <x:c r="L1775" s="1" t="str">
        <x:f>TEXT(A1775,"mmm yyyy")</x:f>
        <x:v>Jun 2026</x:v>
      </x:c>
    </x:row>
    <x:row r="1776" ht="21" customHeight="1">
      <x:c r="A1776" s="10" t="n">
        <x:v>46185</x:v>
      </x:c>
      <x:c r="B1776" s="1" t="n">
        <x:v>12</x:v>
      </x:c>
      <x:c r="C1776" s="1" t="n">
        <x:v>6</x:v>
      </x:c>
      <x:c r="D1776" s="12" t="n">
        <x:v>0.3733333333333333</x:v>
      </x:c>
      <x:c r="E1776" s="12" t="n">
        <x:v>0.3743333333333333</x:v>
      </x:c>
      <x:c r="F1776" s="12" t="n">
        <x:v>0</x:v>
      </x:c>
      <x:c r="G1776" s="12" t="n">
        <x:v>0</x:v>
      </x:c>
      <x:c r="H1776" s="1" t="n">
        <x:f>'Historical prices'!E1776</x:f>
        <x:v>1.05</x:v>
      </x:c>
      <x:c r="I1776" s="6" t="n">
        <x:f>'Historical prices'!D1776</x:f>
        <x:v>0.09050000000000001</x:v>
      </x:c>
      <x:c r="J1776" s="13" t="n">
        <x:f>D1776*I1776*H1776</x:f>
        <x:v>0.035476</x:v>
      </x:c>
      <x:c r="K1776" s="13" t="n">
        <x:f>E1776*I1776*H1776</x:f>
        <x:v>0.035571025</x:v>
      </x:c>
      <x:c r="L1776" s="1" t="str">
        <x:f>TEXT(A1776,"mmm yyyy")</x:f>
        <x:v>Jun 2026</x:v>
      </x:c>
    </x:row>
    <x:row r="1777" ht="21" customHeight="1">
      <x:c r="A1777" s="10" t="n">
        <x:v>46185</x:v>
      </x:c>
      <x:c r="B1777" s="1" t="n">
        <x:v>12.5</x:v>
      </x:c>
      <x:c r="C1777" s="1" t="n">
        <x:v>6</x:v>
      </x:c>
      <x:c r="D1777" s="12" t="n">
        <x:v>0.3435</x:v>
      </x:c>
      <x:c r="E1777" s="12" t="n">
        <x:v>0.3435</x:v>
      </x:c>
      <x:c r="F1777" s="12" t="n">
        <x:v>0</x:v>
      </x:c>
      <x:c r="G1777" s="12" t="n">
        <x:v>0</x:v>
      </x:c>
      <x:c r="H1777" s="1" t="n">
        <x:f>'Historical prices'!E1777</x:f>
        <x:v>1.05</x:v>
      </x:c>
      <x:c r="I1777" s="6" t="n">
        <x:f>'Historical prices'!D1777</x:f>
        <x:v>0.0702</x:v>
      </x:c>
      <x:c r="J1777" s="13" t="n">
        <x:f>D1777*I1777*H1777</x:f>
        <x:v>0.025319385000000003</x:v>
      </x:c>
      <x:c r="K1777" s="13" t="n">
        <x:f>E1777*I1777*H1777</x:f>
        <x:v>0.025319385000000003</x:v>
      </x:c>
      <x:c r="L1777" s="1" t="str">
        <x:f>TEXT(A1777,"mmm yyyy")</x:f>
        <x:v>Jun 2026</x:v>
      </x:c>
    </x:row>
    <x:row r="1778" ht="21" customHeight="1">
      <x:c r="A1778" s="10" t="n">
        <x:v>46185</x:v>
      </x:c>
      <x:c r="B1778" s="1" t="n">
        <x:v>13</x:v>
      </x:c>
      <x:c r="C1778" s="1" t="n">
        <x:v>6</x:v>
      </x:c>
      <x:c r="D1778" s="12" t="n">
        <x:v>0.3193333333333333</x:v>
      </x:c>
      <x:c r="E1778" s="12" t="n">
        <x:v>0.3203333333333333</x:v>
      </x:c>
      <x:c r="F1778" s="12" t="n">
        <x:v>0</x:v>
      </x:c>
      <x:c r="G1778" s="12" t="n">
        <x:v>0</x:v>
      </x:c>
      <x:c r="H1778" s="1" t="n">
        <x:f>'Historical prices'!E1778</x:f>
        <x:v>1.05</x:v>
      </x:c>
      <x:c r="I1778" s="6" t="n">
        <x:f>'Historical prices'!D1778</x:f>
        <x:v>0.07429999999999999</x:v>
      </x:c>
      <x:c r="J1778" s="13" t="n">
        <x:f>D1778*I1778*H1778</x:f>
        <x:v>0.024912789999999994</x:v>
      </x:c>
      <x:c r="K1778" s="13" t="n">
        <x:f>E1778*I1778*H1778</x:f>
        <x:v>0.024990804999999994</x:v>
      </x:c>
      <x:c r="L1778" s="1" t="str">
        <x:f>TEXT(A1778,"mmm yyyy")</x:f>
        <x:v>Jun 2026</x:v>
      </x:c>
    </x:row>
    <x:row r="1779" ht="21" customHeight="1">
      <x:c r="A1779" s="10" t="n">
        <x:v>46185</x:v>
      </x:c>
      <x:c r="B1779" s="1" t="n">
        <x:v>13.5</x:v>
      </x:c>
      <x:c r="C1779" s="1" t="n">
        <x:v>6</x:v>
      </x:c>
      <x:c r="D1779" s="12" t="n">
        <x:v>4.512666666666667</x:v>
      </x:c>
      <x:c r="E1779" s="12" t="n">
        <x:v>0.6676666666666667</x:v>
      </x:c>
      <x:c r="F1779" s="12" t="n">
        <x:v>0</x:v>
      </x:c>
      <x:c r="G1779" s="12" t="n">
        <x:v>3.846</x:v>
      </x:c>
      <x:c r="H1779" s="1" t="n">
        <x:f>'Historical prices'!E1779</x:f>
        <x:v>1.05</x:v>
      </x:c>
      <x:c r="I1779" s="6" t="n">
        <x:f>'Historical prices'!D1779</x:f>
        <x:v>0.0481</x:v>
      </x:c>
      <x:c r="J1779" s="13" t="n">
        <x:f>D1779*I1779*H1779</x:f>
        <x:v>0.22791223000000002</x:v>
      </x:c>
      <x:c r="K1779" s="13" t="n">
        <x:f>E1779*I1779*H1779</x:f>
        <x:v>0.033720505000000005</x:v>
      </x:c>
      <x:c r="L1779" s="1" t="str">
        <x:f>TEXT(A1779,"mmm yyyy")</x:f>
        <x:v>Jun 2026</x:v>
      </x:c>
    </x:row>
    <x:row r="1780" ht="21" customHeight="1">
      <x:c r="A1780" s="10" t="n">
        <x:v>46185</x:v>
      </x:c>
      <x:c r="B1780" s="1" t="n">
        <x:v>14</x:v>
      </x:c>
      <x:c r="C1780" s="1" t="n">
        <x:v>6</x:v>
      </x:c>
      <x:c r="D1780" s="12" t="n">
        <x:v>3.616916666666666</x:v>
      </x:c>
      <x:c r="E1780" s="12" t="n">
        <x:v>0.48191666666666666</x:v>
      </x:c>
      <x:c r="F1780" s="12" t="n">
        <x:v>0</x:v>
      </x:c>
      <x:c r="G1780" s="12" t="n">
        <x:v>3.132</x:v>
      </x:c>
      <x:c r="H1780" s="1" t="n">
        <x:f>'Historical prices'!E1780</x:f>
        <x:v>1.05</x:v>
      </x:c>
      <x:c r="I1780" s="6" t="n">
        <x:f>'Historical prices'!D1780</x:f>
        <x:v>0.0507</x:v>
      </x:c>
      <x:c r="J1780" s="13" t="n">
        <x:f>D1780*I1780*H1780</x:f>
        <x:v>0.19254655874999999</x:v>
      </x:c>
      <x:c r="K1780" s="13" t="n">
        <x:f>E1780*I1780*H1780</x:f>
        <x:v>0.02565483375</x:v>
      </x:c>
      <x:c r="L1780" s="1" t="str">
        <x:f>TEXT(A1780,"mmm yyyy")</x:f>
        <x:v>Jun 2026</x:v>
      </x:c>
    </x:row>
    <x:row r="1781" ht="21" customHeight="1">
      <x:c r="A1781" s="10" t="n">
        <x:v>46185</x:v>
      </x:c>
      <x:c r="B1781" s="1" t="n">
        <x:v>14.5</x:v>
      </x:c>
      <x:c r="C1781" s="1" t="n">
        <x:v>6</x:v>
      </x:c>
      <x:c r="D1781" s="12" t="n">
        <x:v>3.483</x:v>
      </x:c>
      <x:c r="E1781" s="12" t="n">
        <x:v>0.504</x:v>
      </x:c>
      <x:c r="F1781" s="12" t="n">
        <x:v>0</x:v>
      </x:c>
      <x:c r="G1781" s="12" t="n">
        <x:v>2.982</x:v>
      </x:c>
      <x:c r="H1781" s="1" t="n">
        <x:f>'Historical prices'!E1781</x:f>
        <x:v>1.05</x:v>
      </x:c>
      <x:c r="I1781" s="6" t="n">
        <x:f>'Historical prices'!D1781</x:f>
        <x:v>0.0403</x:v>
      </x:c>
      <x:c r="J1781" s="13" t="n">
        <x:f>D1781*I1781*H1781</x:f>
        <x:v>0.14738314500000002</x:v>
      </x:c>
      <x:c r="K1781" s="13" t="n">
        <x:f>E1781*I1781*H1781</x:f>
        <x:v>0.021326760000000004</x:v>
      </x:c>
      <x:c r="L1781" s="1" t="str">
        <x:f>TEXT(A1781,"mmm yyyy")</x:f>
        <x:v>Jun 2026</x:v>
      </x:c>
    </x:row>
    <x:row r="1782" ht="21" customHeight="1">
      <x:c r="A1782" s="10" t="n">
        <x:v>46185</x:v>
      </x:c>
      <x:c r="B1782" s="1" t="n">
        <x:v>15</x:v>
      </x:c>
      <x:c r="C1782" s="1" t="n">
        <x:v>6</x:v>
      </x:c>
      <x:c r="D1782" s="12" t="n">
        <x:v>0.6815</x:v>
      </x:c>
      <x:c r="E1782" s="12" t="n">
        <x:v>0.4877500000000001</x:v>
      </x:c>
      <x:c r="F1782" s="12" t="n">
        <x:v>0.126</x:v>
      </x:c>
      <x:c r="G1782" s="12" t="n">
        <x:v>0.325</x:v>
      </x:c>
      <x:c r="H1782" s="1" t="n">
        <x:f>'Historical prices'!E1782</x:f>
        <x:v>1.05</x:v>
      </x:c>
      <x:c r="I1782" s="6" t="n">
        <x:f>'Historical prices'!D1782</x:f>
        <x:v>0.059000000000000004</x:v>
      </x:c>
      <x:c r="J1782" s="13" t="n">
        <x:f>D1782*I1782*H1782</x:f>
        <x:v>0.042218925000000004</x:v>
      </x:c>
      <x:c r="K1782" s="13" t="n">
        <x:f>E1782*I1782*H1782</x:f>
        <x:v>0.03021611250000001</x:v>
      </x:c>
      <x:c r="L1782" s="1" t="str">
        <x:f>TEXT(A1782,"mmm yyyy")</x:f>
        <x:v>Jun 2026</x:v>
      </x:c>
    </x:row>
    <x:row r="1783" ht="21" customHeight="1">
      <x:c r="A1783" s="10" t="n">
        <x:v>46185</x:v>
      </x:c>
      <x:c r="B1783" s="1" t="n">
        <x:v>15.5</x:v>
      </x:c>
      <x:c r="C1783" s="1" t="n">
        <x:v>6</x:v>
      </x:c>
      <x:c r="D1783" s="12" t="n">
        <x:v>0.21483333333333335</x:v>
      </x:c>
      <x:c r="E1783" s="12" t="n">
        <x:v>0.35575</x:v>
      </x:c>
      <x:c r="F1783" s="12" t="n">
        <x:v>0.13491666666666666</x:v>
      </x:c>
      <x:c r="G1783" s="12" t="n">
        <x:v>0</x:v>
      </x:c>
      <x:c r="H1783" s="1" t="n">
        <x:f>'Historical prices'!E1783</x:f>
        <x:v>1.05</x:v>
      </x:c>
      <x:c r="I1783" s="6" t="n">
        <x:f>'Historical prices'!D1783</x:f>
        <x:v>0.0552</x:v>
      </x:c>
      <x:c r="J1783" s="13" t="n">
        <x:f>D1783*I1783*H1783</x:f>
        <x:v>0.012451740000000001</x:v>
      </x:c>
      <x:c r="K1783" s="13" t="n">
        <x:f>E1783*I1783*H1783</x:f>
        <x:v>0.02061927</x:v>
      </x:c>
      <x:c r="L1783" s="1" t="str">
        <x:f>TEXT(A1783,"mmm yyyy")</x:f>
        <x:v>Jun 2026</x:v>
      </x:c>
    </x:row>
    <x:row r="1784" ht="21" customHeight="1">
      <x:c r="A1784" s="10" t="n">
        <x:v>46185</x:v>
      </x:c>
      <x:c r="B1784" s="1" t="n">
        <x:v>16</x:v>
      </x:c>
      <x:c r="C1784" s="1" t="n">
        <x:v>6</x:v>
      </x:c>
      <x:c r="D1784" s="12" t="n">
        <x:v>0.022833333333333334</x:v>
      </x:c>
      <x:c r="E1784" s="12" t="n">
        <x:v>0.35983333333333334</x:v>
      </x:c>
      <x:c r="F1784" s="12" t="n">
        <x:v>0.3369166666666667</x:v>
      </x:c>
      <x:c r="G1784" s="12" t="n">
        <x:v>0</x:v>
      </x:c>
      <x:c r="H1784" s="1" t="n">
        <x:f>'Historical prices'!E1784</x:f>
        <x:v>1.05</x:v>
      </x:c>
      <x:c r="I1784" s="6" t="n">
        <x:f>'Historical prices'!D1784</x:f>
        <x:v>0.1643</x:v>
      </x:c>
      <x:c r="J1784" s="13" t="n">
        <x:f>D1784*I1784*H1784</x:f>
        <x:v>0.0039390925000000005</x:v>
      </x:c>
      <x:c r="K1784" s="13" t="n">
        <x:f>E1784*I1784*H1784</x:f>
        <x:v>0.062076647500000005</x:v>
      </x:c>
      <x:c r="L1784" s="1" t="str">
        <x:f>TEXT(A1784,"mmm yyyy")</x:f>
        <x:v>Jun 2026</x:v>
      </x:c>
    </x:row>
    <x:row r="1785" ht="21" customHeight="1">
      <x:c r="A1785" s="10" t="n">
        <x:v>46185</x:v>
      </x:c>
      <x:c r="B1785" s="1" t="n">
        <x:v>16.5</x:v>
      </x:c>
      <x:c r="C1785" s="1" t="n">
        <x:v>6</x:v>
      </x:c>
      <x:c r="D1785" s="12" t="n">
        <x:v>0</x:v>
      </x:c>
      <x:c r="E1785" s="12" t="n">
        <x:v>0.5226666666666666</x:v>
      </x:c>
      <x:c r="F1785" s="12" t="n">
        <x:v>0.5226666666666666</x:v>
      </x:c>
      <x:c r="G1785" s="12" t="n">
        <x:v>0</x:v>
      </x:c>
      <x:c r="H1785" s="1" t="n">
        <x:f>'Historical prices'!E1785</x:f>
        <x:v>1.05</x:v>
      </x:c>
      <x:c r="I1785" s="6" t="n">
        <x:f>'Historical prices'!D1785</x:f>
        <x:v>0.19920000000000002</x:v>
      </x:c>
      <x:c r="J1785" s="13" t="n">
        <x:f>D1785*I1785*H1785</x:f>
        <x:v>0</x:v>
      </x:c>
      <x:c r="K1785" s="13" t="n">
        <x:f>E1785*I1785*H1785</x:f>
        <x:v>0.10932096</x:v>
      </x:c>
      <x:c r="L1785" s="1" t="str">
        <x:f>TEXT(A1785,"mmm yyyy")</x:f>
        <x:v>Jun 2026</x:v>
      </x:c>
    </x:row>
    <x:row r="1786" ht="21" customHeight="1">
      <x:c r="A1786" s="10" t="n">
        <x:v>46185</x:v>
      </x:c>
      <x:c r="B1786" s="1" t="n">
        <x:v>17</x:v>
      </x:c>
      <x:c r="C1786" s="1" t="n">
        <x:v>6</x:v>
      </x:c>
      <x:c r="D1786" s="12" t="n">
        <x:v>0</x:v>
      </x:c>
      <x:c r="E1786" s="12" t="n">
        <x:v>0.42275</x:v>
      </x:c>
      <x:c r="F1786" s="12" t="n">
        <x:v>0.42275</x:v>
      </x:c>
      <x:c r="G1786" s="12" t="n">
        <x:v>0</x:v>
      </x:c>
      <x:c r="H1786" s="1" t="n">
        <x:f>'Historical prices'!E1786</x:f>
        <x:v>1.05</x:v>
      </x:c>
      <x:c r="I1786" s="6" t="n">
        <x:f>'Historical prices'!D1786</x:f>
        <x:v>0.20920000000000002</x:v>
      </x:c>
      <x:c r="J1786" s="13" t="n">
        <x:f>D1786*I1786*H1786</x:f>
        <x:v>0</x:v>
      </x:c>
      <x:c r="K1786" s="13" t="n">
        <x:f>E1786*I1786*H1786</x:f>
        <x:v>0.09286126500000001</x:v>
      </x:c>
      <x:c r="L1786" s="1" t="str">
        <x:f>TEXT(A1786,"mmm yyyy")</x:f>
        <x:v>Jun 2026</x:v>
      </x:c>
    </x:row>
    <x:row r="1787" ht="21" customHeight="1">
      <x:c r="A1787" s="10" t="n">
        <x:v>46185</x:v>
      </x:c>
      <x:c r="B1787" s="1" t="n">
        <x:v>17.5</x:v>
      </x:c>
      <x:c r="C1787" s="1" t="n">
        <x:v>6</x:v>
      </x:c>
      <x:c r="D1787" s="12" t="n">
        <x:v>0</x:v>
      </x:c>
      <x:c r="E1787" s="12" t="n">
        <x:v>0.4079166666666667</x:v>
      </x:c>
      <x:c r="F1787" s="12" t="n">
        <x:v>0.4079166666666667</x:v>
      </x:c>
      <x:c r="G1787" s="12" t="n">
        <x:v>0</x:v>
      </x:c>
      <x:c r="H1787" s="1" t="n">
        <x:f>'Historical prices'!E1787</x:f>
        <x:v>1.05</x:v>
      </x:c>
      <x:c r="I1787" s="6" t="n">
        <x:f>'Historical prices'!D1787</x:f>
        <x:v>0.2357</x:v>
      </x:c>
      <x:c r="J1787" s="13" t="n">
        <x:f>D1787*I1787*H1787</x:f>
        <x:v>0</x:v>
      </x:c>
      <x:c r="K1787" s="13" t="n">
        <x:f>E1787*I1787*H1787</x:f>
        <x:v>0.10095325625000001</x:v>
      </x:c>
      <x:c r="L1787" s="1" t="str">
        <x:f>TEXT(A1787,"mmm yyyy")</x:f>
        <x:v>Jun 2026</x:v>
      </x:c>
    </x:row>
    <x:row r="1788" ht="21" customHeight="1">
      <x:c r="A1788" s="10" t="n">
        <x:v>46185</x:v>
      </x:c>
      <x:c r="B1788" s="1" t="n">
        <x:v>18</x:v>
      </x:c>
      <x:c r="C1788" s="1" t="n">
        <x:v>6</x:v>
      </x:c>
      <x:c r="D1788" s="12" t="n">
        <x:v>0</x:v>
      </x:c>
      <x:c r="E1788" s="12" t="n">
        <x:v>0.47400000000000003</x:v>
      </x:c>
      <x:c r="F1788" s="12" t="n">
        <x:v>0.47400000000000003</x:v>
      </x:c>
      <x:c r="G1788" s="12" t="n">
        <x:v>0</x:v>
      </x:c>
      <x:c r="H1788" s="1" t="n">
        <x:f>'Historical prices'!E1788</x:f>
        <x:v>1.05</x:v>
      </x:c>
      <x:c r="I1788" s="6" t="n">
        <x:f>'Historical prices'!D1788</x:f>
        <x:v>0.2439</x:v>
      </x:c>
      <x:c r="J1788" s="13" t="n">
        <x:f>D1788*I1788*H1788</x:f>
        <x:v>0</x:v>
      </x:c>
      <x:c r="K1788" s="13" t="n">
        <x:f>E1788*I1788*H1788</x:f>
        <x:v>0.12138903000000001</x:v>
      </x:c>
      <x:c r="L1788" s="1" t="str">
        <x:f>TEXT(A1788,"mmm yyyy")</x:f>
        <x:v>Jun 2026</x:v>
      </x:c>
    </x:row>
    <x:row r="1789" ht="21" customHeight="1">
      <x:c r="A1789" s="10" t="n">
        <x:v>46185</x:v>
      </x:c>
      <x:c r="B1789" s="1" t="n">
        <x:v>18.5</x:v>
      </x:c>
      <x:c r="C1789" s="1" t="n">
        <x:v>6</x:v>
      </x:c>
      <x:c r="D1789" s="12" t="n">
        <x:v>0</x:v>
      </x:c>
      <x:c r="E1789" s="12" t="n">
        <x:v>0.4448333333333333</x:v>
      </x:c>
      <x:c r="F1789" s="12" t="n">
        <x:v>0.44458333333333333</x:v>
      </x:c>
      <x:c r="G1789" s="12" t="n">
        <x:v>0</x:v>
      </x:c>
      <x:c r="H1789" s="1" t="n">
        <x:f>'Historical prices'!E1789</x:f>
        <x:v>1.05</x:v>
      </x:c>
      <x:c r="I1789" s="6" t="n">
        <x:f>'Historical prices'!D1789</x:f>
        <x:v>0.2588</x:v>
      </x:c>
      <x:c r="J1789" s="13" t="n">
        <x:f>D1789*I1789*H1789</x:f>
        <x:v>0</x:v>
      </x:c>
      <x:c r="K1789" s="13" t="n">
        <x:f>E1789*I1789*H1789</x:f>
        <x:v>0.12087900999999998</x:v>
      </x:c>
      <x:c r="L1789" s="1" t="str">
        <x:f>TEXT(A1789,"mmm yyyy")</x:f>
        <x:v>Jun 2026</x:v>
      </x:c>
    </x:row>
    <x:row r="1790" ht="21" customHeight="1">
      <x:c r="A1790" s="10" t="n">
        <x:v>46185</x:v>
      </x:c>
      <x:c r="B1790" s="1" t="n">
        <x:v>19</x:v>
      </x:c>
      <x:c r="C1790" s="1" t="n">
        <x:v>6</x:v>
      </x:c>
      <x:c r="D1790" s="12" t="n">
        <x:v>0</x:v>
      </x:c>
      <x:c r="E1790" s="12" t="n">
        <x:v>0.4968333333333334</x:v>
      </x:c>
      <x:c r="F1790" s="12" t="n">
        <x:v>0.49674999999999997</x:v>
      </x:c>
      <x:c r="G1790" s="12" t="n">
        <x:v>0</x:v>
      </x:c>
      <x:c r="H1790" s="1" t="n">
        <x:f>'Historical prices'!E1790</x:f>
        <x:v>1.05</x:v>
      </x:c>
      <x:c r="I1790" s="6" t="n">
        <x:f>'Historical prices'!D1790</x:f>
        <x:v>0.1433</x:v>
      </x:c>
      <x:c r="J1790" s="13" t="n">
        <x:f>D1790*I1790*H1790</x:f>
        <x:v>0</x:v>
      </x:c>
      <x:c r="K1790" s="13" t="n">
        <x:f>E1790*I1790*H1790</x:f>
        <x:v>0.07475602750000003</x:v>
      </x:c>
      <x:c r="L1790" s="1" t="str">
        <x:f>TEXT(A1790,"mmm yyyy")</x:f>
        <x:v>Jun 2026</x:v>
      </x:c>
    </x:row>
    <x:row r="1791" ht="21" customHeight="1">
      <x:c r="A1791" s="10" t="n">
        <x:v>46185</x:v>
      </x:c>
      <x:c r="B1791" s="1" t="n">
        <x:v>19.5</x:v>
      </x:c>
      <x:c r="C1791" s="1" t="n">
        <x:v>6</x:v>
      </x:c>
      <x:c r="D1791" s="12" t="n">
        <x:v>0</x:v>
      </x:c>
      <x:c r="E1791" s="12" t="n">
        <x:v>0.7979166666666666</x:v>
      </x:c>
      <x:c r="F1791" s="12" t="n">
        <x:v>0.79775</x:v>
      </x:c>
      <x:c r="G1791" s="12" t="n">
        <x:v>0</x:v>
      </x:c>
      <x:c r="H1791" s="1" t="n">
        <x:f>'Historical prices'!E1791</x:f>
        <x:v>1.05</x:v>
      </x:c>
      <x:c r="I1791" s="6" t="n">
        <x:f>'Historical prices'!D1791</x:f>
        <x:v>0.1517</x:v>
      </x:c>
      <x:c r="J1791" s="13" t="n">
        <x:f>D1791*I1791*H1791</x:f>
        <x:v>0</x:v>
      </x:c>
      <x:c r="K1791" s="13" t="n">
        <x:f>E1791*I1791*H1791</x:f>
        <x:v>0.12709615625</x:v>
      </x:c>
      <x:c r="L1791" s="1" t="str">
        <x:f>TEXT(A1791,"mmm yyyy")</x:f>
        <x:v>Jun 2026</x:v>
      </x:c>
    </x:row>
    <x:row r="1792" ht="21" customHeight="1">
      <x:c r="A1792" s="10" t="n">
        <x:v>46185</x:v>
      </x:c>
      <x:c r="B1792" s="1" t="n">
        <x:v>20</x:v>
      </x:c>
      <x:c r="C1792" s="1" t="n">
        <x:v>6</x:v>
      </x:c>
      <x:c r="D1792" s="12" t="n">
        <x:v>0</x:v>
      </x:c>
      <x:c r="E1792" s="12" t="n">
        <x:v>0.5407500000000001</x:v>
      </x:c>
      <x:c r="F1792" s="12" t="n">
        <x:v>0.5406666666666666</x:v>
      </x:c>
      <x:c r="G1792" s="12" t="n">
        <x:v>0</x:v>
      </x:c>
      <x:c r="H1792" s="1" t="n">
        <x:f>'Historical prices'!E1792</x:f>
        <x:v>1.05</x:v>
      </x:c>
      <x:c r="I1792" s="6" t="n">
        <x:f>'Historical prices'!D1792</x:f>
        <x:v>0.1583</x:v>
      </x:c>
      <x:c r="J1792" s="13" t="n">
        <x:f>D1792*I1792*H1792</x:f>
        <x:v>0</x:v>
      </x:c>
      <x:c r="K1792" s="13" t="n">
        <x:f>E1792*I1792*H1792</x:f>
        <x:v>0.08988076125000001</x:v>
      </x:c>
      <x:c r="L1792" s="1" t="str">
        <x:f>TEXT(A1792,"mmm yyyy")</x:f>
        <x:v>Jun 2026</x:v>
      </x:c>
    </x:row>
    <x:row r="1793" ht="21" customHeight="1">
      <x:c r="A1793" s="10" t="n">
        <x:v>46185</x:v>
      </x:c>
      <x:c r="B1793" s="1" t="n">
        <x:v>20.5</x:v>
      </x:c>
      <x:c r="C1793" s="1" t="n">
        <x:v>6</x:v>
      </x:c>
      <x:c r="D1793" s="12" t="n">
        <x:v>0</x:v>
      </x:c>
      <x:c r="E1793" s="12" t="n">
        <x:v>0.4810833333333333</x:v>
      </x:c>
      <x:c r="F1793" s="12" t="n">
        <x:v>0.48083333333333333</x:v>
      </x:c>
      <x:c r="G1793" s="12" t="n">
        <x:v>0</x:v>
      </x:c>
      <x:c r="H1793" s="1" t="n">
        <x:f>'Historical prices'!E1793</x:f>
        <x:v>1.05</x:v>
      </x:c>
      <x:c r="I1793" s="6" t="n">
        <x:f>'Historical prices'!D1793</x:f>
        <x:v>0.16570000000000001</x:v>
      </x:c>
      <x:c r="J1793" s="13" t="n">
        <x:f>D1793*I1793*H1793</x:f>
        <x:v>0</x:v>
      </x:c>
      <x:c r="K1793" s="13" t="n">
        <x:f>E1793*I1793*H1793</x:f>
        <x:v>0.08370128375000001</x:v>
      </x:c>
      <x:c r="L1793" s="1" t="str">
        <x:f>TEXT(A1793,"mmm yyyy")</x:f>
        <x:v>Jun 2026</x:v>
      </x:c>
    </x:row>
    <x:row r="1794" ht="21" customHeight="1">
      <x:c r="A1794" s="10" t="n">
        <x:v>46185</x:v>
      </x:c>
      <x:c r="B1794" s="1" t="n">
        <x:v>21</x:v>
      </x:c>
      <x:c r="C1794" s="1" t="n">
        <x:v>6</x:v>
      </x:c>
      <x:c r="D1794" s="12" t="n">
        <x:v>0</x:v>
      </x:c>
      <x:c r="E1794" s="12" t="n">
        <x:v>0.542</x:v>
      </x:c>
      <x:c r="F1794" s="12" t="n">
        <x:v>0.5418333333333333</x:v>
      </x:c>
      <x:c r="G1794" s="12" t="n">
        <x:v>0</x:v>
      </x:c>
      <x:c r="H1794" s="1" t="n">
        <x:f>'Historical prices'!E1794</x:f>
        <x:v>1.05</x:v>
      </x:c>
      <x:c r="I1794" s="6" t="n">
        <x:f>'Historical prices'!D1794</x:f>
        <x:v>0.17190000000000003</x:v>
      </x:c>
      <x:c r="J1794" s="13" t="n">
        <x:f>D1794*I1794*H1794</x:f>
        <x:v>0</x:v>
      </x:c>
      <x:c r="K1794" s="13" t="n">
        <x:f>E1794*I1794*H1794</x:f>
        <x:v>0.09782829000000003</x:v>
      </x:c>
      <x:c r="L1794" s="1" t="str">
        <x:f>TEXT(A1794,"mmm yyyy")</x:f>
        <x:v>Jun 2026</x:v>
      </x:c>
    </x:row>
    <x:row r="1795" ht="21" customHeight="1">
      <x:c r="A1795" s="10" t="n">
        <x:v>46185</x:v>
      </x:c>
      <x:c r="B1795" s="1" t="n">
        <x:v>21.5</x:v>
      </x:c>
      <x:c r="C1795" s="1" t="n">
        <x:v>6</x:v>
      </x:c>
      <x:c r="D1795" s="12" t="n">
        <x:v>0</x:v>
      </x:c>
      <x:c r="E1795" s="12" t="n">
        <x:v>0.9018333333333334</x:v>
      </x:c>
      <x:c r="F1795" s="12" t="n">
        <x:v>0.9015833333333334</x:v>
      </x:c>
      <x:c r="G1795" s="12" t="n">
        <x:v>0</x:v>
      </x:c>
      <x:c r="H1795" s="1" t="n">
        <x:f>'Historical prices'!E1795</x:f>
        <x:v>1.05</x:v>
      </x:c>
      <x:c r="I1795" s="6" t="n">
        <x:f>'Historical prices'!D1795</x:f>
        <x:v>0.1729</x:v>
      </x:c>
      <x:c r="J1795" s="13" t="n">
        <x:f>D1795*I1795*H1795</x:f>
        <x:v>0</x:v>
      </x:c>
      <x:c r="K1795" s="13" t="n">
        <x:f>E1795*I1795*H1795</x:f>
        <x:v>0.1637233325</x:v>
      </x:c>
      <x:c r="L1795" s="1" t="str">
        <x:f>TEXT(A1795,"mmm yyyy")</x:f>
        <x:v>Jun 2026</x:v>
      </x:c>
    </x:row>
    <x:row r="1796" ht="21" customHeight="1">
      <x:c r="A1796" s="10" t="n">
        <x:v>46185</x:v>
      </x:c>
      <x:c r="B1796" s="1" t="n">
        <x:v>22</x:v>
      </x:c>
      <x:c r="C1796" s="1" t="n">
        <x:v>6</x:v>
      </x:c>
      <x:c r="D1796" s="12" t="n">
        <x:v>0</x:v>
      </x:c>
      <x:c r="E1796" s="12" t="n">
        <x:v>0.46858333333333335</x:v>
      </x:c>
      <x:c r="F1796" s="12" t="n">
        <x:v>0.46858333333333335</x:v>
      </x:c>
      <x:c r="G1796" s="12" t="n">
        <x:v>0</x:v>
      </x:c>
      <x:c r="H1796" s="1" t="n">
        <x:f>'Historical prices'!E1796</x:f>
        <x:v>1.05</x:v>
      </x:c>
      <x:c r="I1796" s="6" t="n">
        <x:f>'Historical prices'!D1796</x:f>
        <x:v>0.1724</x:v>
      </x:c>
      <x:c r="J1796" s="13" t="n">
        <x:f>D1796*I1796*H1796</x:f>
        <x:v>0</x:v>
      </x:c>
      <x:c r="K1796" s="13" t="n">
        <x:f>E1796*I1796*H1796</x:f>
        <x:v>0.084822955</x:v>
      </x:c>
      <x:c r="L1796" s="1" t="str">
        <x:f>TEXT(A1796,"mmm yyyy")</x:f>
        <x:v>Jun 2026</x:v>
      </x:c>
    </x:row>
    <x:row r="1797" ht="21" customHeight="1">
      <x:c r="A1797" s="10" t="n">
        <x:v>46185</x:v>
      </x:c>
      <x:c r="B1797" s="1" t="n">
        <x:v>22.5</x:v>
      </x:c>
      <x:c r="C1797" s="1" t="n">
        <x:v>6</x:v>
      </x:c>
      <x:c r="D1797" s="12" t="n">
        <x:v>0</x:v>
      </x:c>
      <x:c r="E1797" s="12" t="n">
        <x:v>0.24308333333333332</x:v>
      </x:c>
      <x:c r="F1797" s="12" t="n">
        <x:v>0.243</x:v>
      </x:c>
      <x:c r="G1797" s="12" t="n">
        <x:v>0</x:v>
      </x:c>
      <x:c r="H1797" s="1" t="n">
        <x:f>'Historical prices'!E1797</x:f>
        <x:v>1.05</x:v>
      </x:c>
      <x:c r="I1797" s="6" t="n">
        <x:f>'Historical prices'!D1797</x:f>
        <x:v>0.1542</x:v>
      </x:c>
      <x:c r="J1797" s="13" t="n">
        <x:f>D1797*I1797*H1797</x:f>
        <x:v>0</x:v>
      </x:c>
      <x:c r="K1797" s="13" t="n">
        <x:f>E1797*I1797*H1797</x:f>
        <x:v>0.0393576225</x:v>
      </x:c>
      <x:c r="L1797" s="1" t="str">
        <x:f>TEXT(A1797,"mmm yyyy")</x:f>
        <x:v>Jun 2026</x:v>
      </x:c>
    </x:row>
    <x:row r="1798" ht="21" customHeight="1">
      <x:c r="A1798" s="10" t="n">
        <x:v>46185</x:v>
      </x:c>
      <x:c r="B1798" s="1" t="n">
        <x:v>23</x:v>
      </x:c>
      <x:c r="C1798" s="1" t="n">
        <x:v>6</x:v>
      </x:c>
      <x:c r="D1798" s="12" t="n">
        <x:v>0</x:v>
      </x:c>
      <x:c r="E1798" s="12" t="n">
        <x:v>0.23783333333333329</x:v>
      </x:c>
      <x:c r="F1798" s="12" t="n">
        <x:v>0.23783333333333329</x:v>
      </x:c>
      <x:c r="G1798" s="12" t="n">
        <x:v>0</x:v>
      </x:c>
      <x:c r="H1798" s="1" t="n">
        <x:f>'Historical prices'!E1798</x:f>
        <x:v>1.05</x:v>
      </x:c>
      <x:c r="I1798" s="6" t="n">
        <x:f>'Historical prices'!D1798</x:f>
        <x:v>0.1366</x:v>
      </x:c>
      <x:c r="J1798" s="13" t="n">
        <x:f>D1798*I1798*H1798</x:f>
        <x:v>0</x:v>
      </x:c>
      <x:c r="K1798" s="13" t="n">
        <x:f>E1798*I1798*H1798</x:f>
        <x:v>0.034112434999999997</x:v>
      </x:c>
      <x:c r="L1798" s="1" t="str">
        <x:f>TEXT(A1798,"mmm yyyy")</x:f>
        <x:v>Jun 2026</x:v>
      </x:c>
    </x:row>
    <x:row r="1799" ht="21" customHeight="1">
      <x:c r="A1799" s="10" t="n">
        <x:v>46185</x:v>
      </x:c>
      <x:c r="B1799" s="1" t="n">
        <x:v>23.5</x:v>
      </x:c>
      <x:c r="C1799" s="1" t="n">
        <x:v>6</x:v>
      </x:c>
      <x:c r="D1799" s="12" t="n">
        <x:v>0</x:v>
      </x:c>
      <x:c r="E1799" s="12" t="n">
        <x:v>0.26875</x:v>
      </x:c>
      <x:c r="F1799" s="12" t="n">
        <x:v>0.26875</x:v>
      </x:c>
      <x:c r="G1799" s="12" t="n">
        <x:v>0</x:v>
      </x:c>
      <x:c r="H1799" s="1" t="n">
        <x:f>'Historical prices'!E1799</x:f>
        <x:v>1.05</x:v>
      </x:c>
      <x:c r="I1799" s="6" t="n">
        <x:f>'Historical prices'!D1799</x:f>
        <x:v>0.1116</x:v>
      </x:c>
      <x:c r="J1799" s="13" t="n">
        <x:f>D1799*I1799*H1799</x:f>
        <x:v>0</x:v>
      </x:c>
      <x:c r="K1799" s="13" t="n">
        <x:f>E1799*I1799*H1799</x:f>
        <x:v>0.031492125</x:v>
      </x:c>
      <x:c r="L1799" s="1" t="str">
        <x:f>TEXT(A1799,"mmm yyyy")</x:f>
        <x:v>Jun 2026</x:v>
      </x:c>
    </x:row>
    <x:row r="1800" ht="21" customHeight="1">
      <x:c r="A1800" s="10" t="n">
        <x:v>46186</x:v>
      </x:c>
      <x:c r="B1800" s="1" t="n">
        <x:v>0</x:v>
      </x:c>
      <x:c r="C1800" s="1" t="n">
        <x:v>6</x:v>
      </x:c>
      <x:c r="D1800" s="12" t="n">
        <x:v>0</x:v>
      </x:c>
      <x:c r="E1800" s="12" t="n">
        <x:v>0.25983333333333336</x:v>
      </x:c>
      <x:c r="F1800" s="12" t="n">
        <x:v>0.25983333333333336</x:v>
      </x:c>
      <x:c r="G1800" s="12" t="n">
        <x:v>0</x:v>
      </x:c>
      <x:c r="H1800" s="1" t="n">
        <x:f>'Historical prices'!E1800</x:f>
        <x:v>1.05</x:v>
      </x:c>
      <x:c r="I1800" s="6" t="n">
        <x:f>'Historical prices'!D1800</x:f>
        <x:v>0.11359999999999999</x:v>
      </x:c>
      <x:c r="J1800" s="13" t="n">
        <x:f>D1800*I1800*H1800</x:f>
        <x:v>0</x:v>
      </x:c>
      <x:c r="K1800" s="13" t="n">
        <x:f>E1800*I1800*H1800</x:f>
        <x:v>0.030992920000000004</x:v>
      </x:c>
      <x:c r="L1800" s="1" t="str">
        <x:f>TEXT(A1800,"mmm yyyy")</x:f>
        <x:v>Jun 2026</x:v>
      </x:c>
    </x:row>
    <x:row r="1801" ht="21" customHeight="1">
      <x:c r="A1801" s="10" t="n">
        <x:v>46186</x:v>
      </x:c>
      <x:c r="B1801" s="1" t="n">
        <x:v>0.5</x:v>
      </x:c>
      <x:c r="C1801" s="1" t="n">
        <x:v>6</x:v>
      </x:c>
      <x:c r="D1801" s="12" t="n">
        <x:v>0</x:v>
      </x:c>
      <x:c r="E1801" s="12" t="n">
        <x:v>0.23591666666666666</x:v>
      </x:c>
      <x:c r="F1801" s="12" t="n">
        <x:v>0.23583333333333334</x:v>
      </x:c>
      <x:c r="G1801" s="12" t="n">
        <x:v>0</x:v>
      </x:c>
      <x:c r="H1801" s="1" t="n">
        <x:f>'Historical prices'!E1801</x:f>
        <x:v>1.05</x:v>
      </x:c>
      <x:c r="I1801" s="6" t="n">
        <x:f>'Historical prices'!D1801</x:f>
        <x:v>0.09539999999999998</x:v>
      </x:c>
      <x:c r="J1801" s="13" t="n">
        <x:f>D1801*I1801*H1801</x:f>
        <x:v>0</x:v>
      </x:c>
      <x:c r="K1801" s="13" t="n">
        <x:f>E1801*I1801*H1801</x:f>
        <x:v>0.0236317725</x:v>
      </x:c>
      <x:c r="L1801" s="1" t="str">
        <x:f>TEXT(A1801,"mmm yyyy")</x:f>
        <x:v>Jun 2026</x:v>
      </x:c>
    </x:row>
    <x:row r="1802" ht="21" customHeight="1">
      <x:c r="A1802" s="10" t="n">
        <x:v>46186</x:v>
      </x:c>
      <x:c r="B1802" s="1" t="n">
        <x:v>1</x:v>
      </x:c>
      <x:c r="C1802" s="1" t="n">
        <x:v>6</x:v>
      </x:c>
      <x:c r="D1802" s="12" t="n">
        <x:v>0</x:v>
      </x:c>
      <x:c r="E1802" s="12" t="n">
        <x:v>0.33275</x:v>
      </x:c>
      <x:c r="F1802" s="12" t="n">
        <x:v>0.33249999999999996</x:v>
      </x:c>
      <x:c r="G1802" s="12" t="n">
        <x:v>0</x:v>
      </x:c>
      <x:c r="H1802" s="1" t="n">
        <x:f>'Historical prices'!E1802</x:f>
        <x:v>1.05</x:v>
      </x:c>
      <x:c r="I1802" s="6" t="n">
        <x:f>'Historical prices'!D1802</x:f>
        <x:v>0.0808</x:v>
      </x:c>
      <x:c r="J1802" s="13" t="n">
        <x:f>D1802*I1802*H1802</x:f>
        <x:v>0</x:v>
      </x:c>
      <x:c r="K1802" s="13" t="n">
        <x:f>E1802*I1802*H1802</x:f>
        <x:v>0.02823051</x:v>
      </x:c>
      <x:c r="L1802" s="1" t="str">
        <x:f>TEXT(A1802,"mmm yyyy")</x:f>
        <x:v>Jun 2026</x:v>
      </x:c>
    </x:row>
    <x:row r="1803" ht="21" customHeight="1">
      <x:c r="A1803" s="10" t="n">
        <x:v>46186</x:v>
      </x:c>
      <x:c r="B1803" s="1" t="n">
        <x:v>1.5</x:v>
      </x:c>
      <x:c r="C1803" s="1" t="n">
        <x:v>6</x:v>
      </x:c>
      <x:c r="D1803" s="12" t="n">
        <x:v>0</x:v>
      </x:c>
      <x:c r="E1803" s="12" t="n">
        <x:v>0.23474999999999996</x:v>
      </x:c>
      <x:c r="F1803" s="12" t="n">
        <x:v>0.23474999999999996</x:v>
      </x:c>
      <x:c r="G1803" s="12" t="n">
        <x:v>0</x:v>
      </x:c>
      <x:c r="H1803" s="1" t="n">
        <x:f>'Historical prices'!E1803</x:f>
        <x:v>1.05</x:v>
      </x:c>
      <x:c r="I1803" s="6" t="n">
        <x:f>'Historical prices'!D1803</x:f>
        <x:v>0.0717</x:v>
      </x:c>
      <x:c r="J1803" s="13" t="n">
        <x:f>D1803*I1803*H1803</x:f>
        <x:v>0</x:v>
      </x:c>
      <x:c r="K1803" s="13" t="n">
        <x:f>E1803*I1803*H1803</x:f>
        <x:v>0.01767315375</x:v>
      </x:c>
      <x:c r="L1803" s="1" t="str">
        <x:f>TEXT(A1803,"mmm yyyy")</x:f>
        <x:v>Jun 2026</x:v>
      </x:c>
    </x:row>
    <x:row r="1804" ht="21" customHeight="1">
      <x:c r="A1804" s="10" t="n">
        <x:v>46186</x:v>
      </x:c>
      <x:c r="B1804" s="1" t="n">
        <x:v>2</x:v>
      </x:c>
      <x:c r="C1804" s="1" t="n">
        <x:v>6</x:v>
      </x:c>
      <x:c r="D1804" s="12" t="n">
        <x:v>0</x:v>
      </x:c>
      <x:c r="E1804" s="12" t="n">
        <x:v>0.26175</x:v>
      </x:c>
      <x:c r="F1804" s="12" t="n">
        <x:v>0.26175</x:v>
      </x:c>
      <x:c r="G1804" s="12" t="n">
        <x:v>0</x:v>
      </x:c>
      <x:c r="H1804" s="1" t="n">
        <x:f>'Historical prices'!E1804</x:f>
        <x:v>1.05</x:v>
      </x:c>
      <x:c r="I1804" s="6" t="n">
        <x:f>'Historical prices'!D1804</x:f>
        <x:v>0.0603</x:v>
      </x:c>
      <x:c r="J1804" s="13" t="n">
        <x:f>D1804*I1804*H1804</x:f>
        <x:v>0</x:v>
      </x:c>
      <x:c r="K1804" s="13" t="n">
        <x:f>E1804*I1804*H1804</x:f>
        <x:v>0.016572701250000002</x:v>
      </x:c>
      <x:c r="L1804" s="1" t="str">
        <x:f>TEXT(A1804,"mmm yyyy")</x:f>
        <x:v>Jun 2026</x:v>
      </x:c>
    </x:row>
    <x:row r="1805" ht="21" customHeight="1">
      <x:c r="A1805" s="10" t="n">
        <x:v>46186</x:v>
      </x:c>
      <x:c r="B1805" s="1" t="n">
        <x:v>2.5</x:v>
      </x:c>
      <x:c r="C1805" s="1" t="n">
        <x:v>6</x:v>
      </x:c>
      <x:c r="D1805" s="12" t="n">
        <x:v>0.12150000000000001</x:v>
      </x:c>
      <x:c r="E1805" s="12" t="n">
        <x:v>0.22141666666666665</x:v>
      </x:c>
      <x:c r="F1805" s="12" t="n">
        <x:v>0.09591666666666666</x:v>
      </x:c>
      <x:c r="G1805" s="12" t="n">
        <x:v>0</x:v>
      </x:c>
      <x:c r="H1805" s="1" t="n">
        <x:f>'Historical prices'!E1805</x:f>
        <x:v>1.05</x:v>
      </x:c>
      <x:c r="I1805" s="6" t="n">
        <x:f>'Historical prices'!D1805</x:f>
        <x:v>0.0429</x:v>
      </x:c>
      <x:c r="J1805" s="13" t="n">
        <x:f>D1805*I1805*H1805</x:f>
        <x:v>0.0054729675</x:v>
      </x:c>
      <x:c r="K1805" s="13" t="n">
        <x:f>E1805*I1805*H1805</x:f>
        <x:v>0.00997371375</x:v>
      </x:c>
      <x:c r="L1805" s="1" t="str">
        <x:f>TEXT(A1805,"mmm yyyy")</x:f>
        <x:v>Jun 2026</x:v>
      </x:c>
    </x:row>
    <x:row r="1806" ht="21" customHeight="1">
      <x:c r="A1806" s="10" t="n">
        <x:v>46186</x:v>
      </x:c>
      <x:c r="B1806" s="1" t="n">
        <x:v>3</x:v>
      </x:c>
      <x:c r="C1806" s="1" t="n">
        <x:v>6</x:v>
      </x:c>
      <x:c r="D1806" s="12" t="n">
        <x:v>0.03325</x:v>
      </x:c>
      <x:c r="E1806" s="12" t="n">
        <x:v>0.22616666666666668</x:v>
      </x:c>
      <x:c r="F1806" s="12" t="n">
        <x:v>0.1908333333333333</x:v>
      </x:c>
      <x:c r="G1806" s="12" t="n">
        <x:v>0</x:v>
      </x:c>
      <x:c r="H1806" s="1" t="n">
        <x:f>'Historical prices'!E1806</x:f>
        <x:v>1.05</x:v>
      </x:c>
      <x:c r="I1806" s="6" t="n">
        <x:f>'Historical prices'!D1806</x:f>
        <x:v>0.0513</x:v>
      </x:c>
      <x:c r="J1806" s="13" t="n">
        <x:f>D1806*I1806*H1806</x:f>
        <x:v>0.00179101125</x:v>
      </x:c>
      <x:c r="K1806" s="13" t="n">
        <x:f>E1806*I1806*H1806</x:f>
        <x:v>0.012182467500000002</x:v>
      </x:c>
      <x:c r="L1806" s="1" t="str">
        <x:f>TEXT(A1806,"mmm yyyy")</x:f>
        <x:v>Jun 2026</x:v>
      </x:c>
    </x:row>
    <x:row r="1807" ht="21" customHeight="1">
      <x:c r="A1807" s="10" t="n">
        <x:v>46186</x:v>
      </x:c>
      <x:c r="B1807" s="1" t="n">
        <x:v>3.5</x:v>
      </x:c>
      <x:c r="C1807" s="1" t="n">
        <x:v>6</x:v>
      </x:c>
      <x:c r="D1807" s="12" t="n">
        <x:v>0</x:v>
      </x:c>
      <x:c r="E1807" s="12" t="n">
        <x:v>0.22633333333333333</x:v>
      </x:c>
      <x:c r="F1807" s="12" t="n">
        <x:v>0.22591666666666668</x:v>
      </x:c>
      <x:c r="G1807" s="12" t="n">
        <x:v>0</x:v>
      </x:c>
      <x:c r="H1807" s="1" t="n">
        <x:f>'Historical prices'!E1807</x:f>
        <x:v>1.05</x:v>
      </x:c>
      <x:c r="I1807" s="6" t="n">
        <x:f>'Historical prices'!D1807</x:f>
        <x:v>0.0431</x:v>
      </x:c>
      <x:c r="J1807" s="13" t="n">
        <x:f>D1807*I1807*H1807</x:f>
        <x:v>0</x:v>
      </x:c>
      <x:c r="K1807" s="13" t="n">
        <x:f>E1807*I1807*H1807</x:f>
        <x:v>0.010242715000000001</x:v>
      </x:c>
      <x:c r="L1807" s="1" t="str">
        <x:f>TEXT(A1807,"mmm yyyy")</x:f>
        <x:v>Jun 2026</x:v>
      </x:c>
    </x:row>
    <x:row r="1808" ht="21" customHeight="1">
      <x:c r="A1808" s="10" t="n">
        <x:v>46186</x:v>
      </x:c>
      <x:c r="B1808" s="1" t="n">
        <x:v>4</x:v>
      </x:c>
      <x:c r="C1808" s="1" t="n">
        <x:v>6</x:v>
      </x:c>
      <x:c r="D1808" s="12" t="n">
        <x:v>0</x:v>
      </x:c>
      <x:c r="E1808" s="12" t="n">
        <x:v>0.3388333333333333</x:v>
      </x:c>
      <x:c r="F1808" s="12" t="n">
        <x:v>0.3388333333333333</x:v>
      </x:c>
      <x:c r="G1808" s="12" t="n">
        <x:v>0</x:v>
      </x:c>
      <x:c r="H1808" s="1" t="n">
        <x:f>'Historical prices'!E1808</x:f>
        <x:v>1.05</x:v>
      </x:c>
      <x:c r="I1808" s="6" t="n">
        <x:f>'Historical prices'!D1808</x:f>
        <x:v>0.045</x:v>
      </x:c>
      <x:c r="J1808" s="13" t="n">
        <x:f>D1808*I1808*H1808</x:f>
        <x:v>0</x:v>
      </x:c>
      <x:c r="K1808" s="13" t="n">
        <x:f>E1808*I1808*H1808</x:f>
        <x:v>0.016009875</x:v>
      </x:c>
      <x:c r="L1808" s="1" t="str">
        <x:f>TEXT(A1808,"mmm yyyy")</x:f>
        <x:v>Jun 2026</x:v>
      </x:c>
    </x:row>
    <x:row r="1809" ht="21" customHeight="1">
      <x:c r="A1809" s="10" t="n">
        <x:v>46186</x:v>
      </x:c>
      <x:c r="B1809" s="1" t="n">
        <x:v>4.5</x:v>
      </x:c>
      <x:c r="C1809" s="1" t="n">
        <x:v>6</x:v>
      </x:c>
      <x:c r="D1809" s="12" t="n">
        <x:v>0.34249999999999997</x:v>
      </x:c>
      <x:c r="E1809" s="12" t="n">
        <x:v>0.2625</x:v>
      </x:c>
      <x:c r="F1809" s="12" t="n">
        <x:v>0.022</x:v>
      </x:c>
      <x:c r="G1809" s="12" t="n">
        <x:v>0.099</x:v>
      </x:c>
      <x:c r="H1809" s="1" t="n">
        <x:f>'Historical prices'!E1809</x:f>
        <x:v>1.05</x:v>
      </x:c>
      <x:c r="I1809" s="6" t="n">
        <x:f>'Historical prices'!D1809</x:f>
        <x:v>0.0374</x:v>
      </x:c>
      <x:c r="J1809" s="13" t="n">
        <x:f>D1809*I1809*H1809</x:f>
        <x:v>0.013449975</x:v>
      </x:c>
      <x:c r="K1809" s="13" t="n">
        <x:f>E1809*I1809*H1809</x:f>
        <x:v>0.010308375000000002</x:v>
      </x:c>
      <x:c r="L1809" s="1" t="str">
        <x:f>TEXT(A1809,"mmm yyyy")</x:f>
        <x:v>Jun 2026</x:v>
      </x:c>
    </x:row>
    <x:row r="1810" ht="21" customHeight="1">
      <x:c r="A1810" s="10" t="n">
        <x:v>46186</x:v>
      </x:c>
      <x:c r="B1810" s="1" t="n">
        <x:v>5</x:v>
      </x:c>
      <x:c r="C1810" s="1" t="n">
        <x:v>6</x:v>
      </x:c>
      <x:c r="D1810" s="12" t="n">
        <x:v>0.30191666666666667</x:v>
      </x:c>
      <x:c r="E1810" s="12" t="n">
        <x:v>0.30691666666666667</x:v>
      </x:c>
      <x:c r="F1810" s="12" t="n">
        <x:v>0</x:v>
      </x:c>
      <x:c r="G1810" s="12" t="n">
        <x:v>0</x:v>
      </x:c>
      <x:c r="H1810" s="1" t="n">
        <x:f>'Historical prices'!E1810</x:f>
        <x:v>1.05</x:v>
      </x:c>
      <x:c r="I1810" s="6" t="n">
        <x:f>'Historical prices'!D1810</x:f>
        <x:v>0.0353</x:v>
      </x:c>
      <x:c r="J1810" s="13" t="n">
        <x:f>D1810*I1810*H1810</x:f>
        <x:v>0.01119054125</x:v>
      </x:c>
      <x:c r="K1810" s="13" t="n">
        <x:f>E1810*I1810*H1810</x:f>
        <x:v>0.01137586625</x:v>
      </x:c>
      <x:c r="L1810" s="1" t="str">
        <x:f>TEXT(A1810,"mmm yyyy")</x:f>
        <x:v>Jun 2026</x:v>
      </x:c>
    </x:row>
    <x:row r="1811" ht="21" customHeight="1">
      <x:c r="A1811" s="10" t="n">
        <x:v>46186</x:v>
      </x:c>
      <x:c r="B1811" s="1" t="n">
        <x:v>5.5</x:v>
      </x:c>
      <x:c r="C1811" s="1" t="n">
        <x:v>6</x:v>
      </x:c>
      <x:c r="D1811" s="12" t="n">
        <x:v>0.2543333333333333</x:v>
      </x:c>
      <x:c r="E1811" s="12" t="n">
        <x:v>0.2583333333333333</x:v>
      </x:c>
      <x:c r="F1811" s="12" t="n">
        <x:v>0</x:v>
      </x:c>
      <x:c r="G1811" s="12" t="n">
        <x:v>0</x:v>
      </x:c>
      <x:c r="H1811" s="1" t="n">
        <x:f>'Historical prices'!E1811</x:f>
        <x:v>1.05</x:v>
      </x:c>
      <x:c r="I1811" s="6" t="n">
        <x:f>'Historical prices'!D1811</x:f>
        <x:v>0.0296</x:v>
      </x:c>
      <x:c r="J1811" s="13" t="n">
        <x:f>D1811*I1811*H1811</x:f>
        <x:v>0.007904679999999999</x:v>
      </x:c>
      <x:c r="K1811" s="13" t="n">
        <x:f>E1811*I1811*H1811</x:f>
        <x:v>0.008029</x:v>
      </x:c>
      <x:c r="L1811" s="1" t="str">
        <x:f>TEXT(A1811,"mmm yyyy")</x:f>
        <x:v>Jun 2026</x:v>
      </x:c>
    </x:row>
    <x:row r="1812" ht="21" customHeight="1">
      <x:c r="A1812" s="10" t="n">
        <x:v>46186</x:v>
      </x:c>
      <x:c r="B1812" s="1" t="n">
        <x:v>6</x:v>
      </x:c>
      <x:c r="C1812" s="1" t="n">
        <x:v>6</x:v>
      </x:c>
      <x:c r="D1812" s="12" t="n">
        <x:v>0.4043333333333334</x:v>
      </x:c>
      <x:c r="E1812" s="12" t="n">
        <x:v>0.4063333333333333</x:v>
      </x:c>
      <x:c r="F1812" s="12" t="n">
        <x:v>0</x:v>
      </x:c>
      <x:c r="G1812" s="12" t="n">
        <x:v>0</x:v>
      </x:c>
      <x:c r="H1812" s="1" t="n">
        <x:f>'Historical prices'!E1812</x:f>
        <x:v>1.05</x:v>
      </x:c>
      <x:c r="I1812" s="6" t="n">
        <x:f>'Historical prices'!D1812</x:f>
        <x:v>0.0109</x:v>
      </x:c>
      <x:c r="J1812" s="13" t="n">
        <x:f>D1812*I1812*H1812</x:f>
        <x:v>0.004627595000000001</x:v>
      </x:c>
      <x:c r="K1812" s="13" t="n">
        <x:f>E1812*I1812*H1812</x:f>
        <x:v>0.004650484999999999</x:v>
      </x:c>
      <x:c r="L1812" s="1" t="str">
        <x:f>TEXT(A1812,"mmm yyyy")</x:f>
        <x:v>Jun 2026</x:v>
      </x:c>
    </x:row>
    <x:row r="1813" ht="21" customHeight="1">
      <x:c r="A1813" s="10" t="n">
        <x:v>46186</x:v>
      </x:c>
      <x:c r="B1813" s="1" t="n">
        <x:v>6.5</x:v>
      </x:c>
      <x:c r="C1813" s="1" t="n">
        <x:v>6</x:v>
      </x:c>
      <x:c r="D1813" s="12" t="n">
        <x:v>0.38008333333333333</x:v>
      </x:c>
      <x:c r="E1813" s="12" t="n">
        <x:v>0.38308333333333333</x:v>
      </x:c>
      <x:c r="F1813" s="12" t="n">
        <x:v>0</x:v>
      </x:c>
      <x:c r="G1813" s="12" t="n">
        <x:v>0</x:v>
      </x:c>
      <x:c r="H1813" s="1" t="n">
        <x:f>'Historical prices'!E1813</x:f>
        <x:v>1.05</x:v>
      </x:c>
      <x:c r="I1813" s="6" t="n">
        <x:f>'Historical prices'!D1813</x:f>
        <x:v>0.0147</x:v>
      </x:c>
      <x:c r="J1813" s="13" t="n">
        <x:f>D1813*I1813*H1813</x:f>
        <x:v>0.00586658625</x:v>
      </x:c>
      <x:c r="K1813" s="13" t="n">
        <x:f>E1813*I1813*H1813</x:f>
        <x:v>0.00591289125</x:v>
      </x:c>
      <x:c r="L1813" s="1" t="str">
        <x:f>TEXT(A1813,"mmm yyyy")</x:f>
        <x:v>Jun 2026</x:v>
      </x:c>
    </x:row>
    <x:row r="1814" ht="21" customHeight="1">
      <x:c r="A1814" s="10" t="n">
        <x:v>46186</x:v>
      </x:c>
      <x:c r="B1814" s="1" t="n">
        <x:v>7</x:v>
      </x:c>
      <x:c r="C1814" s="1" t="n">
        <x:v>6</x:v>
      </x:c>
      <x:c r="D1814" s="12" t="n">
        <x:v>0.4275833333333333</x:v>
      </x:c>
      <x:c r="E1814" s="12" t="n">
        <x:v>0.4285833333333333</x:v>
      </x:c>
      <x:c r="F1814" s="12" t="n">
        <x:v>0</x:v>
      </x:c>
      <x:c r="G1814" s="12" t="n">
        <x:v>0</x:v>
      </x:c>
      <x:c r="H1814" s="1" t="n">
        <x:f>'Historical prices'!E1814</x:f>
        <x:v>1.05</x:v>
      </x:c>
      <x:c r="I1814" s="6" t="n">
        <x:f>'Historical prices'!D1814</x:f>
        <x:v>-0.0208</x:v>
      </x:c>
      <x:c r="J1814" s="13" t="n">
        <x:f>D1814*I1814*H1814</x:f>
        <x:v>-0.00933842</x:v>
      </x:c>
      <x:c r="K1814" s="13" t="n">
        <x:f>E1814*I1814*H1814</x:f>
        <x:v>-0.009360259999999999</x:v>
      </x:c>
      <x:c r="L1814" s="1" t="str">
        <x:f>TEXT(A1814,"mmm yyyy")</x:f>
        <x:v>Jun 2026</x:v>
      </x:c>
    </x:row>
    <x:row r="1815" ht="21" customHeight="1">
      <x:c r="A1815" s="10" t="n">
        <x:v>46186</x:v>
      </x:c>
      <x:c r="B1815" s="1" t="n">
        <x:v>7.5</x:v>
      </x:c>
      <x:c r="C1815" s="1" t="n">
        <x:v>6</x:v>
      </x:c>
      <x:c r="D1815" s="12" t="n">
        <x:v>2.625166666666667</x:v>
      </x:c>
      <x:c r="E1815" s="12" t="n">
        <x:v>0.42616666666666664</x:v>
      </x:c>
      <x:c r="F1815" s="12" t="n">
        <x:v>0</x:v>
      </x:c>
      <x:c r="G1815" s="12" t="n">
        <x:v>2.2</x:v>
      </x:c>
      <x:c r="H1815" s="1" t="n">
        <x:f>'Historical prices'!E1815</x:f>
        <x:v>1.05</x:v>
      </x:c>
      <x:c r="I1815" s="6" t="n">
        <x:f>'Historical prices'!D1815</x:f>
        <x:v>-0.0264</x:v>
      </x:c>
      <x:c r="J1815" s="13" t="n">
        <x:f>D1815*I1815*H1815</x:f>
        <x:v>-0.07276962000000001</x:v>
      </x:c>
      <x:c r="K1815" s="13" t="n">
        <x:f>E1815*I1815*H1815</x:f>
        <x:v>-0.01181334</x:v>
      </x:c>
      <x:c r="L1815" s="1" t="str">
        <x:f>TEXT(A1815,"mmm yyyy")</x:f>
        <x:v>Jun 2026</x:v>
      </x:c>
    </x:row>
    <x:row r="1816" ht="21" customHeight="1">
      <x:c r="A1816" s="10" t="n">
        <x:v>46186</x:v>
      </x:c>
      <x:c r="B1816" s="1" t="n">
        <x:v>8</x:v>
      </x:c>
      <x:c r="C1816" s="1" t="n">
        <x:v>6</x:v>
      </x:c>
      <x:c r="D1816" s="12" t="n">
        <x:v>1.0749166666666667</x:v>
      </x:c>
      <x:c r="E1816" s="12" t="n">
        <x:v>0.49474999999999997</x:v>
      </x:c>
      <x:c r="F1816" s="12" t="n">
        <x:v>0.1399166666666667</x:v>
      </x:c>
      <x:c r="G1816" s="12" t="n">
        <x:v>0.727</x:v>
      </x:c>
      <x:c r="H1816" s="1" t="n">
        <x:f>'Historical prices'!E1816</x:f>
        <x:v>1.05</x:v>
      </x:c>
      <x:c r="I1816" s="6" t="n">
        <x:f>'Historical prices'!D1816</x:f>
        <x:v>-0.0168</x:v>
      </x:c>
      <x:c r="J1816" s="13" t="n">
        <x:f>D1816*I1816*H1816</x:f>
        <x:v>-0.01896153</x:v>
      </x:c>
      <x:c r="K1816" s="13" t="n">
        <x:f>E1816*I1816*H1816</x:f>
        <x:v>-0.00872739</x:v>
      </x:c>
      <x:c r="L1816" s="1" t="str">
        <x:f>TEXT(A1816,"mmm yyyy")</x:f>
        <x:v>Jun 2026</x:v>
      </x:c>
    </x:row>
    <x:row r="1817" ht="21" customHeight="1">
      <x:c r="A1817" s="10" t="n">
        <x:v>46186</x:v>
      </x:c>
      <x:c r="B1817" s="1" t="n">
        <x:v>8.5</x:v>
      </x:c>
      <x:c r="C1817" s="1" t="n">
        <x:v>6</x:v>
      </x:c>
      <x:c r="D1817" s="12" t="n">
        <x:v>0</x:v>
      </x:c>
      <x:c r="E1817" s="12" t="n">
        <x:v>0.45099999999999996</x:v>
      </x:c>
      <x:c r="F1817" s="12" t="n">
        <x:v>0.4508333333333333</x:v>
      </x:c>
      <x:c r="G1817" s="12" t="n">
        <x:v>0</x:v>
      </x:c>
      <x:c r="H1817" s="1" t="n">
        <x:f>'Historical prices'!E1817</x:f>
        <x:v>1.05</x:v>
      </x:c>
      <x:c r="I1817" s="6" t="n">
        <x:f>'Historical prices'!D1817</x:f>
        <x:v>-0.016</x:v>
      </x:c>
      <x:c r="J1817" s="13" t="n">
        <x:f>D1817*I1817*H1817</x:f>
        <x:v>0</x:v>
      </x:c>
      <x:c r="K1817" s="13" t="n">
        <x:f>E1817*I1817*H1817</x:f>
        <x:v>-0.0075768</x:v>
      </x:c>
      <x:c r="L1817" s="1" t="str">
        <x:f>TEXT(A1817,"mmm yyyy")</x:f>
        <x:v>Jun 2026</x:v>
      </x:c>
    </x:row>
    <x:row r="1818" ht="21" customHeight="1">
      <x:c r="A1818" s="10" t="n">
        <x:v>46186</x:v>
      </x:c>
      <x:c r="B1818" s="1" t="n">
        <x:v>9</x:v>
      </x:c>
      <x:c r="C1818" s="1" t="n">
        <x:v>6</x:v>
      </x:c>
      <x:c r="D1818" s="12" t="n">
        <x:v>0</x:v>
      </x:c>
      <x:c r="E1818" s="12" t="n">
        <x:v>0.6139166666666666</x:v>
      </x:c>
      <x:c r="F1818" s="12" t="n">
        <x:v>0.6135833333333333</x:v>
      </x:c>
      <x:c r="G1818" s="12" t="n">
        <x:v>0</x:v>
      </x:c>
      <x:c r="H1818" s="1" t="n">
        <x:f>'Historical prices'!E1818</x:f>
        <x:v>1.05</x:v>
      </x:c>
      <x:c r="I1818" s="6" t="n">
        <x:f>'Historical prices'!D1818</x:f>
        <x:v>-0.0123</x:v>
      </x:c>
      <x:c r="J1818" s="13" t="n">
        <x:f>D1818*I1818*H1818</x:f>
        <x:v>0</x:v>
      </x:c>
      <x:c r="K1818" s="13" t="n">
        <x:f>E1818*I1818*H1818</x:f>
        <x:v>-0.007928733749999998</x:v>
      </x:c>
      <x:c r="L1818" s="1" t="str">
        <x:f>TEXT(A1818,"mmm yyyy")</x:f>
        <x:v>Jun 2026</x:v>
      </x:c>
    </x:row>
    <x:row r="1819" ht="21" customHeight="1">
      <x:c r="A1819" s="10" t="n">
        <x:v>46186</x:v>
      </x:c>
      <x:c r="B1819" s="1" t="n">
        <x:v>9.5</x:v>
      </x:c>
      <x:c r="C1819" s="1" t="n">
        <x:v>6</x:v>
      </x:c>
      <x:c r="D1819" s="12" t="n">
        <x:v>0</x:v>
      </x:c>
      <x:c r="E1819" s="12" t="n">
        <x:v>0.4620833333333334</x:v>
      </x:c>
      <x:c r="F1819" s="12" t="n">
        <x:v>0.4618333333333333</x:v>
      </x:c>
      <x:c r="G1819" s="12" t="n">
        <x:v>0</x:v>
      </x:c>
      <x:c r="H1819" s="1" t="n">
        <x:f>'Historical prices'!E1819</x:f>
        <x:v>1.05</x:v>
      </x:c>
      <x:c r="I1819" s="6" t="n">
        <x:f>'Historical prices'!D1819</x:f>
        <x:v>-0.0154</x:v>
      </x:c>
      <x:c r="J1819" s="13" t="n">
        <x:f>D1819*I1819*H1819</x:f>
        <x:v>0</x:v>
      </x:c>
      <x:c r="K1819" s="13" t="n">
        <x:f>E1819*I1819*H1819</x:f>
        <x:v>-0.0074718875000000014</x:v>
      </x:c>
      <x:c r="L1819" s="1" t="str">
        <x:f>TEXT(A1819,"mmm yyyy")</x:f>
        <x:v>Jun 2026</x:v>
      </x:c>
    </x:row>
    <x:row r="1820" ht="21" customHeight="1">
      <x:c r="A1820" s="10" t="n">
        <x:v>46186</x:v>
      </x:c>
      <x:c r="B1820" s="1" t="n">
        <x:v>10</x:v>
      </x:c>
      <x:c r="C1820" s="1" t="n">
        <x:v>6</x:v>
      </x:c>
      <x:c r="D1820" s="12" t="n">
        <x:v>0</x:v>
      </x:c>
      <x:c r="E1820" s="12" t="n">
        <x:v>0.45166666666666666</x:v>
      </x:c>
      <x:c r="F1820" s="12" t="n">
        <x:v>0.45158333333333334</x:v>
      </x:c>
      <x:c r="G1820" s="12" t="n">
        <x:v>0</x:v>
      </x:c>
      <x:c r="H1820" s="1" t="n">
        <x:f>'Historical prices'!E1820</x:f>
        <x:v>1.05</x:v>
      </x:c>
      <x:c r="I1820" s="6" t="n">
        <x:f>'Historical prices'!D1820</x:f>
        <x:v>-0.0401</x:v>
      </x:c>
      <x:c r="J1820" s="13" t="n">
        <x:f>D1820*I1820*H1820</x:f>
        <x:v>0</x:v>
      </x:c>
      <x:c r="K1820" s="13" t="n">
        <x:f>E1820*I1820*H1820</x:f>
        <x:v>-0.019017424999999998</x:v>
      </x:c>
      <x:c r="L1820" s="1" t="str">
        <x:f>TEXT(A1820,"mmm yyyy")</x:f>
        <x:v>Jun 2026</x:v>
      </x:c>
    </x:row>
    <x:row r="1821" ht="21" customHeight="1">
      <x:c r="A1821" s="10" t="n">
        <x:v>46186</x:v>
      </x:c>
      <x:c r="B1821" s="1" t="n">
        <x:v>10.5</x:v>
      </x:c>
      <x:c r="C1821" s="1" t="n">
        <x:v>6</x:v>
      </x:c>
      <x:c r="D1821" s="12" t="n">
        <x:v>0</x:v>
      </x:c>
      <x:c r="E1821" s="12" t="n">
        <x:v>0.44216666666666665</x:v>
      </x:c>
      <x:c r="F1821" s="12" t="n">
        <x:v>0.44083333333333335</x:v>
      </x:c>
      <x:c r="G1821" s="12" t="n">
        <x:v>0</x:v>
      </x:c>
      <x:c r="H1821" s="1" t="n">
        <x:f>'Historical prices'!E1821</x:f>
        <x:v>1.05</x:v>
      </x:c>
      <x:c r="I1821" s="6" t="n">
        <x:f>'Historical prices'!D1821</x:f>
        <x:v>-0.0555</x:v>
      </x:c>
      <x:c r="J1821" s="13" t="n">
        <x:f>D1821*I1821*H1821</x:f>
        <x:v>0</x:v>
      </x:c>
      <x:c r="K1821" s="13" t="n">
        <x:f>E1821*I1821*H1821</x:f>
        <x:v>-0.025767262500000002</x:v>
      </x:c>
      <x:c r="L1821" s="1" t="str">
        <x:f>TEXT(A1821,"mmm yyyy")</x:f>
        <x:v>Jun 2026</x:v>
      </x:c>
    </x:row>
    <x:row r="1822" ht="21" customHeight="1">
      <x:c r="A1822" s="10" t="n">
        <x:v>46186</x:v>
      </x:c>
      <x:c r="B1822" s="1" t="n">
        <x:v>11</x:v>
      </x:c>
      <x:c r="C1822" s="1" t="n">
        <x:v>6</x:v>
      </x:c>
      <x:c r="D1822" s="12" t="n">
        <x:v>4.290333333333334</x:v>
      </x:c>
      <x:c r="E1822" s="12" t="n">
        <x:v>0.6184166666666667</x:v>
      </x:c>
      <x:c r="F1822" s="12" t="n">
        <x:v>0.076</x:v>
      </x:c>
      <x:c r="G1822" s="12" t="n">
        <x:v>3.748</x:v>
      </x:c>
      <x:c r="H1822" s="1" t="n">
        <x:f>'Historical prices'!E1822</x:f>
        <x:v>1.05</x:v>
      </x:c>
      <x:c r="I1822" s="6" t="n">
        <x:f>'Historical prices'!D1822</x:f>
        <x:v>-0.06559999999999999</x:v>
      </x:c>
      <x:c r="J1822" s="13" t="n">
        <x:f>D1822*I1822*H1822</x:f>
        <x:v>-0.29551816</x:v>
      </x:c>
      <x:c r="K1822" s="13" t="n">
        <x:f>E1822*I1822*H1822</x:f>
        <x:v>-0.04259654</x:v>
      </x:c>
      <x:c r="L1822" s="1" t="str">
        <x:f>TEXT(A1822,"mmm yyyy")</x:f>
        <x:v>Jun 2026</x:v>
      </x:c>
    </x:row>
    <x:row r="1823" ht="21" customHeight="1">
      <x:c r="A1823" s="10" t="n">
        <x:v>46186</x:v>
      </x:c>
      <x:c r="B1823" s="1" t="n">
        <x:v>11.5</x:v>
      </x:c>
      <x:c r="C1823" s="1" t="n">
        <x:v>6</x:v>
      </x:c>
      <x:c r="D1823" s="12" t="n">
        <x:v>2.555416666666667</x:v>
      </x:c>
      <x:c r="E1823" s="12" t="n">
        <x:v>0.47541666666666665</x:v>
      </x:c>
      <x:c r="F1823" s="12" t="n">
        <x:v>0.016</x:v>
      </x:c>
      <x:c r="G1823" s="12" t="n">
        <x:v>2.098</x:v>
      </x:c>
      <x:c r="H1823" s="1" t="n">
        <x:f>'Historical prices'!E1823</x:f>
        <x:v>1.05</x:v>
      </x:c>
      <x:c r="I1823" s="6" t="n">
        <x:f>'Historical prices'!D1823</x:f>
        <x:v>-0.06280000000000001</x:v>
      </x:c>
      <x:c r="J1823" s="13" t="n">
        <x:f>D1823*I1823*H1823</x:f>
        <x:v>-0.16850417500000003</x:v>
      </x:c>
      <x:c r="K1823" s="13" t="n">
        <x:f>E1823*I1823*H1823</x:f>
        <x:v>-0.031348975</x:v>
      </x:c>
      <x:c r="L1823" s="1" t="str">
        <x:f>TEXT(A1823,"mmm yyyy")</x:f>
        <x:v>Jun 2026</x:v>
      </x:c>
    </x:row>
    <x:row r="1824" ht="21" customHeight="1">
      <x:c r="A1824" s="10" t="n">
        <x:v>46186</x:v>
      </x:c>
      <x:c r="B1824" s="1" t="n">
        <x:v>12</x:v>
      </x:c>
      <x:c r="C1824" s="1" t="n">
        <x:v>6</x:v>
      </x:c>
      <x:c r="D1824" s="12" t="n">
        <x:v>5.053583333333333</x:v>
      </x:c>
      <x:c r="E1824" s="12" t="n">
        <x:v>0.6445833333333333</x:v>
      </x:c>
      <x:c r="F1824" s="12" t="n">
        <x:v>0</x:v>
      </x:c>
      <x:c r="G1824" s="12" t="n">
        <x:v>4.409</x:v>
      </x:c>
      <x:c r="H1824" s="1" t="n">
        <x:f>'Historical prices'!E1824</x:f>
        <x:v>1.05</x:v>
      </x:c>
      <x:c r="I1824" s="6" t="n">
        <x:f>'Historical prices'!D1824</x:f>
        <x:v>-0.0796</x:v>
      </x:c>
      <x:c r="J1824" s="13" t="n">
        <x:f>D1824*I1824*H1824</x:f>
        <x:v>-0.422378495</x:v>
      </x:c>
      <x:c r="K1824" s="13" t="n">
        <x:f>E1824*I1824*H1824</x:f>
        <x:v>-0.053874275</x:v>
      </x:c>
      <x:c r="L1824" s="1" t="str">
        <x:f>TEXT(A1824,"mmm yyyy")</x:f>
        <x:v>Jun 2026</x:v>
      </x:c>
    </x:row>
    <x:row r="1825" ht="21" customHeight="1">
      <x:c r="A1825" s="10" t="n">
        <x:v>46186</x:v>
      </x:c>
      <x:c r="B1825" s="1" t="n">
        <x:v>12.5</x:v>
      </x:c>
      <x:c r="C1825" s="1" t="n">
        <x:v>6</x:v>
      </x:c>
      <x:c r="D1825" s="12" t="n">
        <x:v>5.014833333333334</x:v>
      </x:c>
      <x:c r="E1825" s="12" t="n">
        <x:v>0.6138333333333333</x:v>
      </x:c>
      <x:c r="F1825" s="12" t="n">
        <x:v>0</x:v>
      </x:c>
      <x:c r="G1825" s="12" t="n">
        <x:v>4.401</x:v>
      </x:c>
      <x:c r="H1825" s="1" t="n">
        <x:f>'Historical prices'!E1825</x:f>
        <x:v>1.05</x:v>
      </x:c>
      <x:c r="I1825" s="6" t="n">
        <x:f>'Historical prices'!D1825</x:f>
        <x:v>-0.0837</x:v>
      </x:c>
      <x:c r="J1825" s="13" t="n">
        <x:f>D1825*I1825*H1825</x:f>
        <x:v>-0.4407286275</x:v>
      </x:c>
      <x:c r="K1825" s="13" t="n">
        <x:f>E1825*I1825*H1825</x:f>
        <x:v>-0.0539467425</x:v>
      </x:c>
      <x:c r="L1825" s="1" t="str">
        <x:f>TEXT(A1825,"mmm yyyy")</x:f>
        <x:v>Jun 2026</x:v>
      </x:c>
    </x:row>
    <x:row r="1826" ht="21" customHeight="1">
      <x:c r="A1826" s="10" t="n">
        <x:v>46186</x:v>
      </x:c>
      <x:c r="B1826" s="1" t="n">
        <x:v>13</x:v>
      </x:c>
      <x:c r="C1826" s="1" t="n">
        <x:v>6</x:v>
      </x:c>
      <x:c r="D1826" s="12" t="n">
        <x:v>5.4904166666666665</x:v>
      </x:c>
      <x:c r="E1826" s="12" t="n">
        <x:v>0.7154166666666666</x:v>
      </x:c>
      <x:c r="F1826" s="12" t="n">
        <x:v>0</x:v>
      </x:c>
      <x:c r="G1826" s="12" t="n">
        <x:v>4.775</x:v>
      </x:c>
      <x:c r="H1826" s="1" t="n">
        <x:f>'Historical prices'!E1826</x:f>
        <x:v>1.05</x:v>
      </x:c>
      <x:c r="I1826" s="6" t="n">
        <x:f>'Historical prices'!D1826</x:f>
        <x:v>-0.0832</x:v>
      </x:c>
      <x:c r="J1826" s="13" t="n">
        <x:f>D1826*I1826*H1826</x:f>
        <x:v>-0.4796428</x:v>
      </x:c>
      <x:c r="K1826" s="13" t="n">
        <x:f>E1826*I1826*H1826</x:f>
        <x:v>-0.062498799999999986</x:v>
      </x:c>
      <x:c r="L1826" s="1" t="str">
        <x:f>TEXT(A1826,"mmm yyyy")</x:f>
        <x:v>Jun 2026</x:v>
      </x:c>
    </x:row>
    <x:row r="1827" ht="21" customHeight="1">
      <x:c r="A1827" s="10" t="n">
        <x:v>46186</x:v>
      </x:c>
      <x:c r="B1827" s="1" t="n">
        <x:v>13.5</x:v>
      </x:c>
      <x:c r="C1827" s="1" t="n">
        <x:v>6</x:v>
      </x:c>
      <x:c r="D1827" s="12" t="n">
        <x:v>5.298833333333333</x:v>
      </x:c>
      <x:c r="E1827" s="12" t="n">
        <x:v>0.6228333333333333</x:v>
      </x:c>
      <x:c r="F1827" s="12" t="n">
        <x:v>0</x:v>
      </x:c>
      <x:c r="G1827" s="12" t="n">
        <x:v>4.676</x:v>
      </x:c>
      <x:c r="H1827" s="1" t="n">
        <x:f>'Historical prices'!E1827</x:f>
        <x:v>1.05</x:v>
      </x:c>
      <x:c r="I1827" s="6" t="n">
        <x:f>'Historical prices'!D1827</x:f>
        <x:v>-0.0755</x:v>
      </x:c>
      <x:c r="J1827" s="13" t="n">
        <x:f>D1827*I1827*H1827</x:f>
        <x:v>-0.42006501249999995</x:v>
      </x:c>
      <x:c r="K1827" s="13" t="n">
        <x:f>E1827*I1827*H1827</x:f>
        <x:v>-0.0493751125</x:v>
      </x:c>
      <x:c r="L1827" s="1" t="str">
        <x:f>TEXT(A1827,"mmm yyyy")</x:f>
        <x:v>Jun 2026</x:v>
      </x:c>
    </x:row>
    <x:row r="1828" ht="21" customHeight="1">
      <x:c r="A1828" s="10" t="n">
        <x:v>46186</x:v>
      </x:c>
      <x:c r="B1828" s="1" t="n">
        <x:v>14</x:v>
      </x:c>
      <x:c r="C1828" s="1" t="n">
        <x:v>6</x:v>
      </x:c>
      <x:c r="D1828" s="12" t="n">
        <x:v>1.9533333333333331</x:v>
      </x:c>
      <x:c r="E1828" s="12" t="n">
        <x:v>0.5613333333333334</x:v>
      </x:c>
      <x:c r="F1828" s="12" t="n">
        <x:v>0</x:v>
      </x:c>
      <x:c r="G1828" s="12" t="n">
        <x:v>1.403</x:v>
      </x:c>
      <x:c r="H1828" s="1" t="n">
        <x:f>'Historical prices'!E1828</x:f>
        <x:v>1.05</x:v>
      </x:c>
      <x:c r="I1828" s="6" t="n">
        <x:f>'Historical prices'!D1828</x:f>
        <x:v>-0.061799999999999994</x:v>
      </x:c>
      <x:c r="J1828" s="13" t="n">
        <x:f>D1828*I1828*H1828</x:f>
        <x:v>-0.12675179999999997</x:v>
      </x:c>
      <x:c r="K1828" s="13" t="n">
        <x:f>E1828*I1828*H1828</x:f>
        <x:v>-0.03642492</x:v>
      </x:c>
      <x:c r="L1828" s="1" t="str">
        <x:f>TEXT(A1828,"mmm yyyy")</x:f>
        <x:v>Jun 2026</x:v>
      </x:c>
    </x:row>
    <x:row r="1829" ht="21" customHeight="1">
      <x:c r="A1829" s="10" t="n">
        <x:v>46186</x:v>
      </x:c>
      <x:c r="B1829" s="1" t="n">
        <x:v>14.5</x:v>
      </x:c>
      <x:c r="C1829" s="1" t="n">
        <x:v>6</x:v>
      </x:c>
      <x:c r="D1829" s="12" t="n">
        <x:v>3.9215833333333334</x:v>
      </x:c>
      <x:c r="E1829" s="12" t="n">
        <x:v>0.5705833333333333</x:v>
      </x:c>
      <x:c r="F1829" s="12" t="n">
        <x:v>0</x:v>
      </x:c>
      <x:c r="G1829" s="12" t="n">
        <x:v>3.351</x:v>
      </x:c>
      <x:c r="H1829" s="1" t="n">
        <x:f>'Historical prices'!E1829</x:f>
        <x:v>1.05</x:v>
      </x:c>
      <x:c r="I1829" s="6" t="n">
        <x:f>'Historical prices'!D1829</x:f>
        <x:v>-0.0672</x:v>
      </x:c>
      <x:c r="J1829" s="13" t="n">
        <x:f>D1829*I1829*H1829</x:f>
        <x:v>-0.27670692</x:v>
      </x:c>
      <x:c r="K1829" s="13" t="n">
        <x:f>E1829*I1829*H1829</x:f>
        <x:v>-0.04026036</x:v>
      </x:c>
      <x:c r="L1829" s="1" t="str">
        <x:f>TEXT(A1829,"mmm yyyy")</x:f>
        <x:v>Jun 2026</x:v>
      </x:c>
    </x:row>
    <x:row r="1830" ht="21" customHeight="1">
      <x:c r="A1830" s="10" t="n">
        <x:v>46186</x:v>
      </x:c>
      <x:c r="B1830" s="1" t="n">
        <x:v>15</x:v>
      </x:c>
      <x:c r="C1830" s="1" t="n">
        <x:v>6</x:v>
      </x:c>
      <x:c r="D1830" s="12" t="n">
        <x:v>2.2375000000000003</x:v>
      </x:c>
      <x:c r="E1830" s="12" t="n">
        <x:v>0.6255000000000001</x:v>
      </x:c>
      <x:c r="F1830" s="12" t="n">
        <x:v>0</x:v>
      </x:c>
      <x:c r="G1830" s="12" t="n">
        <x:v>1.6119999999999999</x:v>
      </x:c>
      <x:c r="H1830" s="1" t="n">
        <x:f>'Historical prices'!E1830</x:f>
        <x:v>1.05</x:v>
      </x:c>
      <x:c r="I1830" s="6" t="n">
        <x:f>'Historical prices'!D1830</x:f>
        <x:v>-0.0444</x:v>
      </x:c>
      <x:c r="J1830" s="13" t="n">
        <x:f>D1830*I1830*H1830</x:f>
        <x:v>-0.10431225000000002</x:v>
      </x:c>
      <x:c r="K1830" s="13" t="n">
        <x:f>E1830*I1830*H1830</x:f>
        <x:v>-0.029160810000000006</x:v>
      </x:c>
      <x:c r="L1830" s="1" t="str">
        <x:f>TEXT(A1830,"mmm yyyy")</x:f>
        <x:v>Jun 2026</x:v>
      </x:c>
    </x:row>
    <x:row r="1831" ht="21" customHeight="1">
      <x:c r="A1831" s="10" t="n">
        <x:v>46186</x:v>
      </x:c>
      <x:c r="B1831" s="1" t="n">
        <x:v>15.5</x:v>
      </x:c>
      <x:c r="C1831" s="1" t="n">
        <x:v>6</x:v>
      </x:c>
      <x:c r="D1831" s="12" t="n">
        <x:v>1.240416666666667</x:v>
      </x:c>
      <x:c r="E1831" s="12" t="n">
        <x:v>0.9794166666666666</x:v>
      </x:c>
      <x:c r="F1831" s="12" t="n">
        <x:v>0</x:v>
      </x:c>
      <x:c r="G1831" s="12" t="n">
        <x:v>0.257</x:v>
      </x:c>
      <x:c r="H1831" s="1" t="n">
        <x:f>'Historical prices'!E1831</x:f>
        <x:v>1.05</x:v>
      </x:c>
      <x:c r="I1831" s="6" t="n">
        <x:f>'Historical prices'!D1831</x:f>
        <x:v>-0.04</x:v>
      </x:c>
      <x:c r="J1831" s="13" t="n">
        <x:f>D1831*I1831*H1831</x:f>
        <x:v>-0.05209750000000001</x:v>
      </x:c>
      <x:c r="K1831" s="13" t="n">
        <x:f>E1831*I1831*H1831</x:f>
        <x:v>-0.0411355</x:v>
      </x:c>
      <x:c r="L1831" s="1" t="str">
        <x:f>TEXT(A1831,"mmm yyyy")</x:f>
        <x:v>Jun 2026</x:v>
      </x:c>
    </x:row>
    <x:row r="1832" ht="21" customHeight="1">
      <x:c r="A1832" s="10" t="n">
        <x:v>46186</x:v>
      </x:c>
      <x:c r="B1832" s="1" t="n">
        <x:v>16</x:v>
      </x:c>
      <x:c r="C1832" s="1" t="n">
        <x:v>6</x:v>
      </x:c>
      <x:c r="D1832" s="12" t="n">
        <x:v>0.07441666666666667</x:v>
      </x:c>
      <x:c r="E1832" s="12" t="n">
        <x:v>0.5214166666666666</x:v>
      </x:c>
      <x:c r="F1832" s="12" t="n">
        <x:v>0.4449166666666667</x:v>
      </x:c>
      <x:c r="G1832" s="12" t="n">
        <x:v>0</x:v>
      </x:c>
      <x:c r="H1832" s="1" t="n">
        <x:f>'Historical prices'!E1832</x:f>
        <x:v>1.05</x:v>
      </x:c>
      <x:c r="I1832" s="6" t="n">
        <x:f>'Historical prices'!D1832</x:f>
        <x:v>0.09630000000000001</x:v>
      </x:c>
      <x:c r="J1832" s="13" t="n">
        <x:f>D1832*I1832*H1832</x:f>
        <x:v>0.007524641250000002</x:v>
      </x:c>
      <x:c r="K1832" s="13" t="n">
        <x:f>E1832*I1832*H1832</x:f>
        <x:v>0.05272304625000001</x:v>
      </x:c>
      <x:c r="L1832" s="1" t="str">
        <x:f>TEXT(A1832,"mmm yyyy")</x:f>
        <x:v>Jun 2026</x:v>
      </x:c>
    </x:row>
    <x:row r="1833" ht="21" customHeight="1">
      <x:c r="A1833" s="10" t="n">
        <x:v>46186</x:v>
      </x:c>
      <x:c r="B1833" s="1" t="n">
        <x:v>16.5</x:v>
      </x:c>
      <x:c r="C1833" s="1" t="n">
        <x:v>6</x:v>
      </x:c>
      <x:c r="D1833" s="12" t="n">
        <x:v>0</x:v>
      </x:c>
      <x:c r="E1833" s="12" t="n">
        <x:v>0.5715</x:v>
      </x:c>
      <x:c r="F1833" s="12" t="n">
        <x:v>0.5715</x:v>
      </x:c>
      <x:c r="G1833" s="12" t="n">
        <x:v>0</x:v>
      </x:c>
      <x:c r="H1833" s="1" t="n">
        <x:f>'Historical prices'!E1833</x:f>
        <x:v>1.05</x:v>
      </x:c>
      <x:c r="I1833" s="6" t="n">
        <x:f>'Historical prices'!D1833</x:f>
        <x:v>0.15810000000000002</x:v>
      </x:c>
      <x:c r="J1833" s="13" t="n">
        <x:f>D1833*I1833*H1833</x:f>
        <x:v>0</x:v>
      </x:c>
      <x:c r="K1833" s="13" t="n">
        <x:f>E1833*I1833*H1833</x:f>
        <x:v>0.09487185750000002</x:v>
      </x:c>
      <x:c r="L1833" s="1" t="str">
        <x:f>TEXT(A1833,"mmm yyyy")</x:f>
        <x:v>Jun 2026</x:v>
      </x:c>
    </x:row>
    <x:row r="1834" ht="21" customHeight="1">
      <x:c r="A1834" s="10" t="n">
        <x:v>46186</x:v>
      </x:c>
      <x:c r="B1834" s="1" t="n">
        <x:v>17</x:v>
      </x:c>
      <x:c r="C1834" s="1" t="n">
        <x:v>6</x:v>
      </x:c>
      <x:c r="D1834" s="12" t="n">
        <x:v>0</x:v>
      </x:c>
      <x:c r="E1834" s="12" t="n">
        <x:v>0.533</x:v>
      </x:c>
      <x:c r="F1834" s="12" t="n">
        <x:v>0.5328333333333334</x:v>
      </x:c>
      <x:c r="G1834" s="12" t="n">
        <x:v>0</x:v>
      </x:c>
      <x:c r="H1834" s="1" t="n">
        <x:f>'Historical prices'!E1834</x:f>
        <x:v>1.05</x:v>
      </x:c>
      <x:c r="I1834" s="6" t="n">
        <x:f>'Historical prices'!D1834</x:f>
        <x:v>0.0992</x:v>
      </x:c>
      <x:c r="J1834" s="13" t="n">
        <x:f>D1834*I1834*H1834</x:f>
        <x:v>0</x:v>
      </x:c>
      <x:c r="K1834" s="13" t="n">
        <x:f>E1834*I1834*H1834</x:f>
        <x:v>0.05551728</x:v>
      </x:c>
      <x:c r="L1834" s="1" t="str">
        <x:f>TEXT(A1834,"mmm yyyy")</x:f>
        <x:v>Jun 2026</x:v>
      </x:c>
    </x:row>
    <x:row r="1835" ht="21" customHeight="1">
      <x:c r="A1835" s="10" t="n">
        <x:v>46186</x:v>
      </x:c>
      <x:c r="B1835" s="1" t="n">
        <x:v>17.5</x:v>
      </x:c>
      <x:c r="C1835" s="1" t="n">
        <x:v>6</x:v>
      </x:c>
      <x:c r="D1835" s="12" t="n">
        <x:v>0</x:v>
      </x:c>
      <x:c r="E1835" s="12" t="n">
        <x:v>0.6071666666666666</x:v>
      </x:c>
      <x:c r="F1835" s="12" t="n">
        <x:v>0.6069166666666667</x:v>
      </x:c>
      <x:c r="G1835" s="12" t="n">
        <x:v>0</x:v>
      </x:c>
      <x:c r="H1835" s="1" t="n">
        <x:f>'Historical prices'!E1835</x:f>
        <x:v>1.05</x:v>
      </x:c>
      <x:c r="I1835" s="6" t="n">
        <x:f>'Historical prices'!D1835</x:f>
        <x:v>0.1454</x:v>
      </x:c>
      <x:c r="J1835" s="13" t="n">
        <x:f>D1835*I1835*H1835</x:f>
        <x:v>0</x:v>
      </x:c>
      <x:c r="K1835" s="13" t="n">
        <x:f>E1835*I1835*H1835</x:f>
        <x:v>0.092696135</x:v>
      </x:c>
      <x:c r="L1835" s="1" t="str">
        <x:f>TEXT(A1835,"mmm yyyy")</x:f>
        <x:v>Jun 2026</x:v>
      </x:c>
    </x:row>
    <x:row r="1836" ht="21" customHeight="1">
      <x:c r="A1836" s="10" t="n">
        <x:v>46186</x:v>
      </x:c>
      <x:c r="B1836" s="1" t="n">
        <x:v>18</x:v>
      </x:c>
      <x:c r="C1836" s="1" t="n">
        <x:v>6</x:v>
      </x:c>
      <x:c r="D1836" s="12" t="n">
        <x:v>0</x:v>
      </x:c>
      <x:c r="E1836" s="12" t="n">
        <x:v>0.473</x:v>
      </x:c>
      <x:c r="F1836" s="12" t="n">
        <x:v>0.47275</x:v>
      </x:c>
      <x:c r="G1836" s="12" t="n">
        <x:v>0</x:v>
      </x:c>
      <x:c r="H1836" s="1" t="n">
        <x:f>'Historical prices'!E1836</x:f>
        <x:v>1.05</x:v>
      </x:c>
      <x:c r="I1836" s="6" t="n">
        <x:f>'Historical prices'!D1836</x:f>
        <x:v>0.1246</x:v>
      </x:c>
      <x:c r="J1836" s="13" t="n">
        <x:f>D1836*I1836*H1836</x:f>
        <x:v>0</x:v>
      </x:c>
      <x:c r="K1836" s="13" t="n">
        <x:f>E1836*I1836*H1836</x:f>
        <x:v>0.06188259</x:v>
      </x:c>
      <x:c r="L1836" s="1" t="str">
        <x:f>TEXT(A1836,"mmm yyyy")</x:f>
        <x:v>Jun 2026</x:v>
      </x:c>
    </x:row>
    <x:row r="1837" ht="21" customHeight="1">
      <x:c r="A1837" s="10" t="n">
        <x:v>46186</x:v>
      </x:c>
      <x:c r="B1837" s="1" t="n">
        <x:v>18.5</x:v>
      </x:c>
      <x:c r="C1837" s="1" t="n">
        <x:v>6</x:v>
      </x:c>
      <x:c r="D1837" s="12" t="n">
        <x:v>0</x:v>
      </x:c>
      <x:c r="E1837" s="12" t="n">
        <x:v>0.5500833333333334</x:v>
      </x:c>
      <x:c r="F1837" s="12" t="n">
        <x:v>0.5499166666666667</x:v>
      </x:c>
      <x:c r="G1837" s="12" t="n">
        <x:v>0</x:v>
      </x:c>
      <x:c r="H1837" s="1" t="n">
        <x:f>'Historical prices'!E1837</x:f>
        <x:v>1.05</x:v>
      </x:c>
      <x:c r="I1837" s="6" t="n">
        <x:f>'Historical prices'!D1837</x:f>
        <x:v>0.17670000000000002</x:v>
      </x:c>
      <x:c r="J1837" s="13" t="n">
        <x:f>D1837*I1837*H1837</x:f>
        <x:v>0</x:v>
      </x:c>
      <x:c r="K1837" s="13" t="n">
        <x:f>E1837*I1837*H1837</x:f>
        <x:v>0.10205971125000002</x:v>
      </x:c>
      <x:c r="L1837" s="1" t="str">
        <x:f>TEXT(A1837,"mmm yyyy")</x:f>
        <x:v>Jun 2026</x:v>
      </x:c>
    </x:row>
    <x:row r="1838" ht="21" customHeight="1">
      <x:c r="A1838" s="10" t="n">
        <x:v>46186</x:v>
      </x:c>
      <x:c r="B1838" s="1" t="n">
        <x:v>19</x:v>
      </x:c>
      <x:c r="C1838" s="1" t="n">
        <x:v>6</x:v>
      </x:c>
      <x:c r="D1838" s="12" t="n">
        <x:v>0</x:v>
      </x:c>
      <x:c r="E1838" s="12" t="n">
        <x:v>0.7216666666666667</x:v>
      </x:c>
      <x:c r="F1838" s="12" t="n">
        <x:v>0.7215833333333332</x:v>
      </x:c>
      <x:c r="G1838" s="12" t="n">
        <x:v>0</x:v>
      </x:c>
      <x:c r="H1838" s="1" t="n">
        <x:f>'Historical prices'!E1838</x:f>
        <x:v>1.05</x:v>
      </x:c>
      <x:c r="I1838" s="6" t="n">
        <x:f>'Historical prices'!D1838</x:f>
        <x:v>0.15560000000000002</x:v>
      </x:c>
      <x:c r="J1838" s="13" t="n">
        <x:f>D1838*I1838*H1838</x:f>
        <x:v>0</x:v>
      </x:c>
      <x:c r="K1838" s="13" t="n">
        <x:f>E1838*I1838*H1838</x:f>
        <x:v>0.11790590000000001</x:v>
      </x:c>
      <x:c r="L1838" s="1" t="str">
        <x:f>TEXT(A1838,"mmm yyyy")</x:f>
        <x:v>Jun 2026</x:v>
      </x:c>
    </x:row>
    <x:row r="1839" ht="21" customHeight="1">
      <x:c r="A1839" s="10" t="n">
        <x:v>46186</x:v>
      </x:c>
      <x:c r="B1839" s="1" t="n">
        <x:v>19.5</x:v>
      </x:c>
      <x:c r="C1839" s="1" t="n">
        <x:v>6</x:v>
      </x:c>
      <x:c r="D1839" s="12" t="n">
        <x:v>0</x:v>
      </x:c>
      <x:c r="E1839" s="12" t="n">
        <x:v>0.8099999999999999</x:v>
      </x:c>
      <x:c r="F1839" s="12" t="n">
        <x:v>0.8095833333333333</x:v>
      </x:c>
      <x:c r="G1839" s="12" t="n">
        <x:v>0</x:v>
      </x:c>
      <x:c r="H1839" s="1" t="n">
        <x:f>'Historical prices'!E1839</x:f>
        <x:v>1.05</x:v>
      </x:c>
      <x:c r="I1839" s="6" t="n">
        <x:f>'Historical prices'!D1839</x:f>
        <x:v>0.1697</x:v>
      </x:c>
      <x:c r="J1839" s="13" t="n">
        <x:f>D1839*I1839*H1839</x:f>
        <x:v>0</x:v>
      </x:c>
      <x:c r="K1839" s="13" t="n">
        <x:f>E1839*I1839*H1839</x:f>
        <x:v>0.14432984999999998</x:v>
      </x:c>
      <x:c r="L1839" s="1" t="str">
        <x:f>TEXT(A1839,"mmm yyyy")</x:f>
        <x:v>Jun 2026</x:v>
      </x:c>
    </x:row>
    <x:row r="1840" ht="21" customHeight="1">
      <x:c r="A1840" s="10" t="n">
        <x:v>46186</x:v>
      </x:c>
      <x:c r="B1840" s="1" t="n">
        <x:v>20</x:v>
      </x:c>
      <x:c r="C1840" s="1" t="n">
        <x:v>6</x:v>
      </x:c>
      <x:c r="D1840" s="12" t="n">
        <x:v>0</x:v>
      </x:c>
      <x:c r="E1840" s="12" t="n">
        <x:v>0.39583333333333337</x:v>
      </x:c>
      <x:c r="F1840" s="12" t="n">
        <x:v>0.39575000000000005</x:v>
      </x:c>
      <x:c r="G1840" s="12" t="n">
        <x:v>0</x:v>
      </x:c>
      <x:c r="H1840" s="1" t="n">
        <x:f>'Historical prices'!E1840</x:f>
        <x:v>1.05</x:v>
      </x:c>
      <x:c r="I1840" s="6" t="n">
        <x:f>'Historical prices'!D1840</x:f>
        <x:v>0.1892</x:v>
      </x:c>
      <x:c r="J1840" s="13" t="n">
        <x:f>D1840*I1840*H1840</x:f>
        <x:v>0</x:v>
      </x:c>
      <x:c r="K1840" s="13" t="n">
        <x:f>E1840*I1840*H1840</x:f>
        <x:v>0.07863625000000002</x:v>
      </x:c>
      <x:c r="L1840" s="1" t="str">
        <x:f>TEXT(A1840,"mmm yyyy")</x:f>
        <x:v>Jun 2026</x:v>
      </x:c>
    </x:row>
    <x:row r="1841" ht="21" customHeight="1">
      <x:c r="A1841" s="10" t="n">
        <x:v>46186</x:v>
      </x:c>
      <x:c r="B1841" s="1" t="n">
        <x:v>20.5</x:v>
      </x:c>
      <x:c r="C1841" s="1" t="n">
        <x:v>6</x:v>
      </x:c>
      <x:c r="D1841" s="12" t="n">
        <x:v>0</x:v>
      </x:c>
      <x:c r="E1841" s="12" t="n">
        <x:v>0.48783333333333334</x:v>
      </x:c>
      <x:c r="F1841" s="12" t="n">
        <x:v>0.48783333333333334</x:v>
      </x:c>
      <x:c r="G1841" s="12" t="n">
        <x:v>0</x:v>
      </x:c>
      <x:c r="H1841" s="1" t="n">
        <x:f>'Historical prices'!E1841</x:f>
        <x:v>1.05</x:v>
      </x:c>
      <x:c r="I1841" s="6" t="n">
        <x:f>'Historical prices'!D1841</x:f>
        <x:v>0.1815</x:v>
      </x:c>
      <x:c r="J1841" s="13" t="n">
        <x:f>D1841*I1841*H1841</x:f>
        <x:v>0</x:v>
      </x:c>
      <x:c r="K1841" s="13" t="n">
        <x:f>E1841*I1841*H1841</x:f>
        <x:v>0.09296883750000001</x:v>
      </x:c>
      <x:c r="L1841" s="1" t="str">
        <x:f>TEXT(A1841,"mmm yyyy")</x:f>
        <x:v>Jun 2026</x:v>
      </x:c>
    </x:row>
    <x:row r="1842" ht="21" customHeight="1">
      <x:c r="A1842" s="10" t="n">
        <x:v>46186</x:v>
      </x:c>
      <x:c r="B1842" s="1" t="n">
        <x:v>21</x:v>
      </x:c>
      <x:c r="C1842" s="1" t="n">
        <x:v>6</x:v>
      </x:c>
      <x:c r="D1842" s="12" t="n">
        <x:v>0</x:v>
      </x:c>
      <x:c r="E1842" s="12" t="n">
        <x:v>0.6100833333333332</x:v>
      </x:c>
      <x:c r="F1842" s="12" t="n">
        <x:v>0.6098333333333332</x:v>
      </x:c>
      <x:c r="G1842" s="12" t="n">
        <x:v>0</x:v>
      </x:c>
      <x:c r="H1842" s="1" t="n">
        <x:f>'Historical prices'!E1842</x:f>
        <x:v>1.05</x:v>
      </x:c>
      <x:c r="I1842" s="6" t="n">
        <x:f>'Historical prices'!D1842</x:f>
        <x:v>0.18</x:v>
      </x:c>
      <x:c r="J1842" s="13" t="n">
        <x:f>D1842*I1842*H1842</x:f>
        <x:v>0</x:v>
      </x:c>
      <x:c r="K1842" s="13" t="n">
        <x:f>E1842*I1842*H1842</x:f>
        <x:v>0.11530574999999997</x:v>
      </x:c>
      <x:c r="L1842" s="1" t="str">
        <x:f>TEXT(A1842,"mmm yyyy")</x:f>
        <x:v>Jun 2026</x:v>
      </x:c>
    </x:row>
    <x:row r="1843" ht="21" customHeight="1">
      <x:c r="A1843" s="10" t="n">
        <x:v>46186</x:v>
      </x:c>
      <x:c r="B1843" s="1" t="n">
        <x:v>21.5</x:v>
      </x:c>
      <x:c r="C1843" s="1" t="n">
        <x:v>6</x:v>
      </x:c>
      <x:c r="D1843" s="12" t="n">
        <x:v>0</x:v>
      </x:c>
      <x:c r="E1843" s="12" t="n">
        <x:v>0.8918333333333333</x:v>
      </x:c>
      <x:c r="F1843" s="12" t="n">
        <x:v>0.8916666666666666</x:v>
      </x:c>
      <x:c r="G1843" s="12" t="n">
        <x:v>0</x:v>
      </x:c>
      <x:c r="H1843" s="1" t="n">
        <x:f>'Historical prices'!E1843</x:f>
        <x:v>1.05</x:v>
      </x:c>
      <x:c r="I1843" s="6" t="n">
        <x:f>'Historical prices'!D1843</x:f>
        <x:v>0.17739999999999997</x:v>
      </x:c>
      <x:c r="J1843" s="13" t="n">
        <x:f>D1843*I1843*H1843</x:f>
        <x:v>0</x:v>
      </x:c>
      <x:c r="K1843" s="13" t="n">
        <x:f>E1843*I1843*H1843</x:f>
        <x:v>0.16612179499999996</x:v>
      </x:c>
      <x:c r="L1843" s="1" t="str">
        <x:f>TEXT(A1843,"mmm yyyy")</x:f>
        <x:v>Jun 2026</x:v>
      </x:c>
    </x:row>
    <x:row r="1844" ht="21" customHeight="1">
      <x:c r="A1844" s="10" t="n">
        <x:v>46186</x:v>
      </x:c>
      <x:c r="B1844" s="1" t="n">
        <x:v>22</x:v>
      </x:c>
      <x:c r="C1844" s="1" t="n">
        <x:v>6</x:v>
      </x:c>
      <x:c r="D1844" s="12" t="n">
        <x:v>0</x:v>
      </x:c>
      <x:c r="E1844" s="12" t="n">
        <x:v>0.34091666666666665</x:v>
      </x:c>
      <x:c r="F1844" s="12" t="n">
        <x:v>0.3408333333333333</x:v>
      </x:c>
      <x:c r="G1844" s="12" t="n">
        <x:v>0</x:v>
      </x:c>
      <x:c r="H1844" s="1" t="n">
        <x:f>'Historical prices'!E1844</x:f>
        <x:v>1.05</x:v>
      </x:c>
      <x:c r="I1844" s="6" t="n">
        <x:f>'Historical prices'!D1844</x:f>
        <x:v>0.1598</x:v>
      </x:c>
      <x:c r="J1844" s="13" t="n">
        <x:f>D1844*I1844*H1844</x:f>
        <x:v>0</x:v>
      </x:c>
      <x:c r="K1844" s="13" t="n">
        <x:f>E1844*I1844*H1844</x:f>
        <x:v>0.057202407499999997</x:v>
      </x:c>
      <x:c r="L1844" s="1" t="str">
        <x:f>TEXT(A1844,"mmm yyyy")</x:f>
        <x:v>Jun 2026</x:v>
      </x:c>
    </x:row>
    <x:row r="1845" ht="21" customHeight="1">
      <x:c r="A1845" s="10" t="n">
        <x:v>46186</x:v>
      </x:c>
      <x:c r="B1845" s="1" t="n">
        <x:v>22.5</x:v>
      </x:c>
      <x:c r="C1845" s="1" t="n">
        <x:v>6</x:v>
      </x:c>
      <x:c r="D1845" s="12" t="n">
        <x:v>0</x:v>
      </x:c>
      <x:c r="E1845" s="12" t="n">
        <x:v>0.258</x:v>
      </x:c>
      <x:c r="F1845" s="12" t="n">
        <x:v>0.2579166666666666</x:v>
      </x:c>
      <x:c r="G1845" s="12" t="n">
        <x:v>0</x:v>
      </x:c>
      <x:c r="H1845" s="1" t="n">
        <x:f>'Historical prices'!E1845</x:f>
        <x:v>1.05</x:v>
      </x:c>
      <x:c r="I1845" s="6" t="n">
        <x:f>'Historical prices'!D1845</x:f>
        <x:v>0.15960000000000002</x:v>
      </x:c>
      <x:c r="J1845" s="13" t="n">
        <x:f>D1845*I1845*H1845</x:f>
        <x:v>0</x:v>
      </x:c>
      <x:c r="K1845" s="13" t="n">
        <x:f>E1845*I1845*H1845</x:f>
        <x:v>0.043235640000000006</x:v>
      </x:c>
      <x:c r="L1845" s="1" t="str">
        <x:f>TEXT(A1845,"mmm yyyy")</x:f>
        <x:v>Jun 2026</x:v>
      </x:c>
    </x:row>
    <x:row r="1846" ht="21" customHeight="1">
      <x:c r="A1846" s="10" t="n">
        <x:v>46186</x:v>
      </x:c>
      <x:c r="B1846" s="1" t="n">
        <x:v>23</x:v>
      </x:c>
      <x:c r="C1846" s="1" t="n">
        <x:v>6</x:v>
      </x:c>
      <x:c r="D1846" s="12" t="n">
        <x:v>0</x:v>
      </x:c>
      <x:c r="E1846" s="12" t="n">
        <x:v>0.22333333333333333</x:v>
      </x:c>
      <x:c r="F1846" s="12" t="n">
        <x:v>0.22300000000000003</x:v>
      </x:c>
      <x:c r="G1846" s="12" t="n">
        <x:v>0</x:v>
      </x:c>
      <x:c r="H1846" s="1" t="n">
        <x:f>'Historical prices'!E1846</x:f>
        <x:v>1.05</x:v>
      </x:c>
      <x:c r="I1846" s="6" t="n">
        <x:f>'Historical prices'!D1846</x:f>
        <x:v>0.1011</x:v>
      </x:c>
      <x:c r="J1846" s="13" t="n">
        <x:f>D1846*I1846*H1846</x:f>
        <x:v>0</x:v>
      </x:c>
      <x:c r="K1846" s="13" t="n">
        <x:f>E1846*I1846*H1846</x:f>
        <x:v>0.02370795</x:v>
      </x:c>
      <x:c r="L1846" s="1" t="str">
        <x:f>TEXT(A1846,"mmm yyyy")</x:f>
        <x:v>Jun 2026</x:v>
      </x:c>
    </x:row>
    <x:row r="1847" ht="21" customHeight="1">
      <x:c r="A1847" s="10" t="n">
        <x:v>46186</x:v>
      </x:c>
      <x:c r="B1847" s="1" t="n">
        <x:v>23.5</x:v>
      </x:c>
      <x:c r="C1847" s="1" t="n">
        <x:v>6</x:v>
      </x:c>
      <x:c r="D1847" s="12" t="n">
        <x:v>0</x:v>
      </x:c>
      <x:c r="E1847" s="12" t="n">
        <x:v>0.23091666666666666</x:v>
      </x:c>
      <x:c r="F1847" s="12" t="n">
        <x:v>0.23083333333333333</x:v>
      </x:c>
      <x:c r="G1847" s="12" t="n">
        <x:v>0</x:v>
      </x:c>
      <x:c r="H1847" s="1" t="n">
        <x:f>'Historical prices'!E1847</x:f>
        <x:v>1.05</x:v>
      </x:c>
      <x:c r="I1847" s="6" t="n">
        <x:f>'Historical prices'!D1847</x:f>
        <x:v>0.0812</x:v>
      </x:c>
      <x:c r="J1847" s="13" t="n">
        <x:f>D1847*I1847*H1847</x:f>
        <x:v>0</x:v>
      </x:c>
      <x:c r="K1847" s="13" t="n">
        <x:f>E1847*I1847*H1847</x:f>
        <x:v>0.019687954999999997</x:v>
      </x:c>
      <x:c r="L1847" s="1" t="str">
        <x:f>TEXT(A1847,"mmm yyyy")</x:f>
        <x:v>Jun 2026</x:v>
      </x:c>
    </x:row>
    <x:row r="1848" ht="21" customHeight="1">
      <x:c r="A1848" s="10" t="n">
        <x:v>46187</x:v>
      </x:c>
      <x:c r="B1848" s="1" t="n">
        <x:v>0</x:v>
      </x:c>
      <x:c r="C1848" s="1" t="n">
        <x:v>6</x:v>
      </x:c>
      <x:c r="D1848" s="12" t="n">
        <x:v>0</x:v>
      </x:c>
      <x:c r="E1848" s="12" t="n">
        <x:v>0.27799999999999997</x:v>
      </x:c>
      <x:c r="F1848" s="12" t="n">
        <x:v>0.27791666666666665</x:v>
      </x:c>
      <x:c r="G1848" s="12" t="n">
        <x:v>0</x:v>
      </x:c>
      <x:c r="H1848" s="1" t="n">
        <x:f>'Historical prices'!E1848</x:f>
        <x:v>1.05</x:v>
      </x:c>
      <x:c r="I1848" s="6" t="n">
        <x:f>'Historical prices'!D1848</x:f>
        <x:v>0.035</x:v>
      </x:c>
      <x:c r="J1848" s="13" t="n">
        <x:f>D1848*I1848*H1848</x:f>
        <x:v>0</x:v>
      </x:c>
      <x:c r="K1848" s="13" t="n">
        <x:f>E1848*I1848*H1848</x:f>
        <x:v>0.0102165</x:v>
      </x:c>
      <x:c r="L1848" s="1" t="str">
        <x:f>TEXT(A1848,"mmm yyyy")</x:f>
        <x:v>Jun 2026</x:v>
      </x:c>
    </x:row>
    <x:row r="1849" ht="21" customHeight="1">
      <x:c r="A1849" s="10" t="n">
        <x:v>46187</x:v>
      </x:c>
      <x:c r="B1849" s="1" t="n">
        <x:v>0.5</x:v>
      </x:c>
      <x:c r="C1849" s="1" t="n">
        <x:v>6</x:v>
      </x:c>
      <x:c r="D1849" s="12" t="n">
        <x:v>0</x:v>
      </x:c>
      <x:c r="E1849" s="12" t="n">
        <x:v>0.23</x:v>
      </x:c>
      <x:c r="F1849" s="12" t="n">
        <x:v>0.22991666666666669</x:v>
      </x:c>
      <x:c r="G1849" s="12" t="n">
        <x:v>0</x:v>
      </x:c>
      <x:c r="H1849" s="1" t="n">
        <x:f>'Historical prices'!E1849</x:f>
        <x:v>1.05</x:v>
      </x:c>
      <x:c r="I1849" s="6" t="n">
        <x:f>'Historical prices'!D1849</x:f>
        <x:v>0.0393</x:v>
      </x:c>
      <x:c r="J1849" s="13" t="n">
        <x:f>D1849*I1849*H1849</x:f>
        <x:v>0</x:v>
      </x:c>
      <x:c r="K1849" s="13" t="n">
        <x:f>E1849*I1849*H1849</x:f>
        <x:v>0.00949095</x:v>
      </x:c>
      <x:c r="L1849" s="1" t="str">
        <x:f>TEXT(A1849,"mmm yyyy")</x:f>
        <x:v>Jun 2026</x:v>
      </x:c>
    </x:row>
    <x:row r="1850" ht="21" customHeight="1">
      <x:c r="A1850" s="10" t="n">
        <x:v>46187</x:v>
      </x:c>
      <x:c r="B1850" s="1" t="n">
        <x:v>1</x:v>
      </x:c>
      <x:c r="C1850" s="1" t="n">
        <x:v>6</x:v>
      </x:c>
      <x:c r="D1850" s="12" t="n">
        <x:v>3.9950833333333335</x:v>
      </x:c>
      <x:c r="E1850" s="12" t="n">
        <x:v>0.4251666666666667</x:v>
      </x:c>
      <x:c r="F1850" s="12" t="n">
        <x:v>0.031</x:v>
      </x:c>
      <x:c r="G1850" s="12" t="n">
        <x:v>3.601</x:v>
      </x:c>
      <x:c r="H1850" s="1" t="n">
        <x:f>'Historical prices'!E1850</x:f>
        <x:v>1.05</x:v>
      </x:c>
      <x:c r="I1850" s="6" t="n">
        <x:f>'Historical prices'!D1850</x:f>
        <x:v>0.013500000000000002</x:v>
      </x:c>
      <x:c r="J1850" s="13" t="n">
        <x:f>D1850*I1850*H1850</x:f>
        <x:v>0.056630306250000005</x:v>
      </x:c>
      <x:c r="K1850" s="13" t="n">
        <x:f>E1850*I1850*H1850</x:f>
        <x:v>0.006026737500000001</x:v>
      </x:c>
      <x:c r="L1850" s="1" t="str">
        <x:f>TEXT(A1850,"mmm yyyy")</x:f>
        <x:v>Jun 2026</x:v>
      </x:c>
    </x:row>
    <x:row r="1851" ht="21" customHeight="1">
      <x:c r="A1851" s="10" t="n">
        <x:v>46187</x:v>
      </x:c>
      <x:c r="B1851" s="1" t="n">
        <x:v>1.5</x:v>
      </x:c>
      <x:c r="C1851" s="1" t="n">
        <x:v>6</x:v>
      </x:c>
      <x:c r="D1851" s="12" t="n">
        <x:v>0.9954166666666666</x:v>
      </x:c>
      <x:c r="E1851" s="12" t="n">
        <x:v>0.2894166666666667</x:v>
      </x:c>
      <x:c r="F1851" s="12" t="n">
        <x:v>0</x:v>
      </x:c>
      <x:c r="G1851" s="12" t="n">
        <x:v>0.712</x:v>
      </x:c>
      <x:c r="H1851" s="1" t="n">
        <x:f>'Historical prices'!E1851</x:f>
        <x:v>1.05</x:v>
      </x:c>
      <x:c r="I1851" s="6" t="n">
        <x:f>'Historical prices'!D1851</x:f>
        <x:v>0.032799999999999996</x:v>
      </x:c>
      <x:c r="J1851" s="13" t="n">
        <x:f>D1851*I1851*H1851</x:f>
        <x:v>0.03428215</x:v>
      </x:c>
      <x:c r="K1851" s="13" t="n">
        <x:f>E1851*I1851*H1851</x:f>
        <x:v>0.00996751</x:v>
      </x:c>
      <x:c r="L1851" s="1" t="str">
        <x:f>TEXT(A1851,"mmm yyyy")</x:f>
        <x:v>Jun 2026</x:v>
      </x:c>
    </x:row>
    <x:row r="1852" ht="21" customHeight="1">
      <x:c r="A1852" s="10" t="n">
        <x:v>46187</x:v>
      </x:c>
      <x:c r="B1852" s="1" t="n">
        <x:v>2</x:v>
      </x:c>
      <x:c r="C1852" s="1" t="n">
        <x:v>6</x:v>
      </x:c>
      <x:c r="D1852" s="12" t="n">
        <x:v>0.27508333333333335</x:v>
      </x:c>
      <x:c r="E1852" s="12" t="n">
        <x:v>0.28608333333333336</x:v>
      </x:c>
      <x:c r="F1852" s="12" t="n">
        <x:v>0</x:v>
      </x:c>
      <x:c r="G1852" s="12" t="n">
        <x:v>0</x:v>
      </x:c>
      <x:c r="H1852" s="1" t="n">
        <x:f>'Historical prices'!E1852</x:f>
        <x:v>1.05</x:v>
      </x:c>
      <x:c r="I1852" s="6" t="n">
        <x:f>'Historical prices'!D1852</x:f>
        <x:v>0.030600000000000002</x:v>
      </x:c>
      <x:c r="J1852" s="13" t="n">
        <x:f>D1852*I1852*H1852</x:f>
        <x:v>0.0088384275</x:v>
      </x:c>
      <x:c r="K1852" s="13" t="n">
        <x:f>E1852*I1852*H1852</x:f>
        <x:v>0.009191857500000001</x:v>
      </x:c>
      <x:c r="L1852" s="1" t="str">
        <x:f>TEXT(A1852,"mmm yyyy")</x:f>
        <x:v>Jun 2026</x:v>
      </x:c>
    </x:row>
    <x:row r="1853" ht="21" customHeight="1">
      <x:c r="A1853" s="10" t="n">
        <x:v>46187</x:v>
      </x:c>
      <x:c r="B1853" s="1" t="n">
        <x:v>2.5</x:v>
      </x:c>
      <x:c r="C1853" s="1" t="n">
        <x:v>6</x:v>
      </x:c>
      <x:c r="D1853" s="12" t="n">
        <x:v>0.186</x:v>
      </x:c>
      <x:c r="E1853" s="12" t="n">
        <x:v>0.197</x:v>
      </x:c>
      <x:c r="F1853" s="12" t="n">
        <x:v>0</x:v>
      </x:c>
      <x:c r="G1853" s="12" t="n">
        <x:v>0</x:v>
      </x:c>
      <x:c r="H1853" s="1" t="n">
        <x:f>'Historical prices'!E1853</x:f>
        <x:v>1.05</x:v>
      </x:c>
      <x:c r="I1853" s="6" t="n">
        <x:f>'Historical prices'!D1853</x:f>
        <x:v>0.0178</x:v>
      </x:c>
      <x:c r="J1853" s="13" t="n">
        <x:f>D1853*I1853*H1853</x:f>
        <x:v>0.00347634</x:v>
      </x:c>
      <x:c r="K1853" s="13" t="n">
        <x:f>E1853*I1853*H1853</x:f>
        <x:v>0.00368193</x:v>
      </x:c>
      <x:c r="L1853" s="1" t="str">
        <x:f>TEXT(A1853,"mmm yyyy")</x:f>
        <x:v>Jun 2026</x:v>
      </x:c>
    </x:row>
    <x:row r="1854" ht="21" customHeight="1">
      <x:c r="A1854" s="10" t="n">
        <x:v>46187</x:v>
      </x:c>
      <x:c r="B1854" s="1" t="n">
        <x:v>3</x:v>
      </x:c>
      <x:c r="C1854" s="1" t="n">
        <x:v>6</x:v>
      </x:c>
      <x:c r="D1854" s="12" t="n">
        <x:v>0.0335</x:v>
      </x:c>
      <x:c r="E1854" s="12" t="n">
        <x:v>0.22133333333333333</x:v>
      </x:c>
      <x:c r="F1854" s="12" t="n">
        <x:v>0.18574999999999997</x:v>
      </x:c>
      <x:c r="G1854" s="12" t="n">
        <x:v>0</x:v>
      </x:c>
      <x:c r="H1854" s="1" t="n">
        <x:f>'Historical prices'!E1854</x:f>
        <x:v>1.05</x:v>
      </x:c>
      <x:c r="I1854" s="6" t="n">
        <x:f>'Historical prices'!D1854</x:f>
        <x:v>0.0405</x:v>
      </x:c>
      <x:c r="J1854" s="13" t="n">
        <x:f>D1854*I1854*H1854</x:f>
        <x:v>0.0014245875000000001</x:v>
      </x:c>
      <x:c r="K1854" s="13" t="n">
        <x:f>E1854*I1854*H1854</x:f>
        <x:v>0.0094122</x:v>
      </x:c>
      <x:c r="L1854" s="1" t="str">
        <x:f>TEXT(A1854,"mmm yyyy")</x:f>
        <x:v>Jun 2026</x:v>
      </x:c>
    </x:row>
    <x:row r="1855" ht="21" customHeight="1">
      <x:c r="A1855" s="10" t="n">
        <x:v>46187</x:v>
      </x:c>
      <x:c r="B1855" s="1" t="n">
        <x:v>3.5</x:v>
      </x:c>
      <x:c r="C1855" s="1" t="n">
        <x:v>6</x:v>
      </x:c>
      <x:c r="D1855" s="12" t="n">
        <x:v>0.17683333333333334</x:v>
      </x:c>
      <x:c r="E1855" s="12" t="n">
        <x:v>0.22183333333333333</x:v>
      </x:c>
      <x:c r="F1855" s="12" t="n">
        <x:v>0.037</x:v>
      </x:c>
      <x:c r="G1855" s="12" t="n">
        <x:v>0</x:v>
      </x:c>
      <x:c r="H1855" s="1" t="n">
        <x:f>'Historical prices'!E1855</x:f>
        <x:v>1.05</x:v>
      </x:c>
      <x:c r="I1855" s="6" t="n">
        <x:f>'Historical prices'!D1855</x:f>
        <x:v>0.03</x:v>
      </x:c>
      <x:c r="J1855" s="13" t="n">
        <x:f>D1855*I1855*H1855</x:f>
        <x:v>0.00557025</x:v>
      </x:c>
      <x:c r="K1855" s="13" t="n">
        <x:f>E1855*I1855*H1855</x:f>
        <x:v>0.00698775</x:v>
      </x:c>
      <x:c r="L1855" s="1" t="str">
        <x:f>TEXT(A1855,"mmm yyyy")</x:f>
        <x:v>Jun 2026</x:v>
      </x:c>
    </x:row>
    <x:row r="1856" ht="21" customHeight="1">
      <x:c r="A1856" s="10" t="n">
        <x:v>46187</x:v>
      </x:c>
      <x:c r="B1856" s="1" t="n">
        <x:v>4</x:v>
      </x:c>
      <x:c r="C1856" s="1" t="n">
        <x:v>6</x:v>
      </x:c>
      <x:c r="D1856" s="12" t="n">
        <x:v>0.048</x:v>
      </x:c>
      <x:c r="E1856" s="12" t="n">
        <x:v>0.29650000000000004</x:v>
      </x:c>
      <x:c r="F1856" s="12" t="n">
        <x:v>0.246</x:v>
      </x:c>
      <x:c r="G1856" s="12" t="n">
        <x:v>0</x:v>
      </x:c>
      <x:c r="H1856" s="1" t="n">
        <x:f>'Historical prices'!E1856</x:f>
        <x:v>1.05</x:v>
      </x:c>
      <x:c r="I1856" s="6" t="n">
        <x:f>'Historical prices'!D1856</x:f>
        <x:v>0.0506</x:v>
      </x:c>
      <x:c r="J1856" s="13" t="n">
        <x:f>D1856*I1856*H1856</x:f>
        <x:v>0.00255024</x:v>
      </x:c>
      <x:c r="K1856" s="13" t="n">
        <x:f>E1856*I1856*H1856</x:f>
        <x:v>0.015753045000000004</x:v>
      </x:c>
      <x:c r="L1856" s="1" t="str">
        <x:f>TEXT(A1856,"mmm yyyy")</x:f>
        <x:v>Jun 2026</x:v>
      </x:c>
    </x:row>
    <x:row r="1857" ht="21" customHeight="1">
      <x:c r="A1857" s="10" t="n">
        <x:v>46187</x:v>
      </x:c>
      <x:c r="B1857" s="1" t="n">
        <x:v>4.5</x:v>
      </x:c>
      <x:c r="C1857" s="1" t="n">
        <x:v>6</x:v>
      </x:c>
      <x:c r="D1857" s="12" t="n">
        <x:v>0</x:v>
      </x:c>
      <x:c r="E1857" s="12" t="n">
        <x:v>0.29966666666666664</x:v>
      </x:c>
      <x:c r="F1857" s="12" t="n">
        <x:v>0.29966666666666664</x:v>
      </x:c>
      <x:c r="G1857" s="12" t="n">
        <x:v>0</x:v>
      </x:c>
      <x:c r="H1857" s="1" t="n">
        <x:f>'Historical prices'!E1857</x:f>
        <x:v>1.05</x:v>
      </x:c>
      <x:c r="I1857" s="6" t="n">
        <x:f>'Historical prices'!D1857</x:f>
        <x:v>0.056900000000000006</x:v>
      </x:c>
      <x:c r="J1857" s="13" t="n">
        <x:f>D1857*I1857*H1857</x:f>
        <x:v>0</x:v>
      </x:c>
      <x:c r="K1857" s="13" t="n">
        <x:f>E1857*I1857*H1857</x:f>
        <x:v>0.017903585</x:v>
      </x:c>
      <x:c r="L1857" s="1" t="str">
        <x:f>TEXT(A1857,"mmm yyyy")</x:f>
        <x:v>Jun 2026</x:v>
      </x:c>
    </x:row>
    <x:row r="1858" ht="21" customHeight="1">
      <x:c r="A1858" s="10" t="n">
        <x:v>46187</x:v>
      </x:c>
      <x:c r="B1858" s="1" t="n">
        <x:v>5</x:v>
      </x:c>
      <x:c r="C1858" s="1" t="n">
        <x:v>6</x:v>
      </x:c>
      <x:c r="D1858" s="12" t="n">
        <x:v>0</x:v>
      </x:c>
      <x:c r="E1858" s="12" t="n">
        <x:v>0.263</x:v>
      </x:c>
      <x:c r="F1858" s="12" t="n">
        <x:v>0.2629166666666667</x:v>
      </x:c>
      <x:c r="G1858" s="12" t="n">
        <x:v>0</x:v>
      </x:c>
      <x:c r="H1858" s="1" t="n">
        <x:f>'Historical prices'!E1858</x:f>
        <x:v>1.05</x:v>
      </x:c>
      <x:c r="I1858" s="6" t="n">
        <x:f>'Historical prices'!D1858</x:f>
        <x:v>0.0716</x:v>
      </x:c>
      <x:c r="J1858" s="13" t="n">
        <x:f>D1858*I1858*H1858</x:f>
        <x:v>0</x:v>
      </x:c>
      <x:c r="K1858" s="13" t="n">
        <x:f>E1858*I1858*H1858</x:f>
        <x:v>0.019772340000000003</x:v>
      </x:c>
      <x:c r="L1858" s="1" t="str">
        <x:f>TEXT(A1858,"mmm yyyy")</x:f>
        <x:v>Jun 2026</x:v>
      </x:c>
    </x:row>
    <x:row r="1859" ht="21" customHeight="1">
      <x:c r="A1859" s="10" t="n">
        <x:v>46187</x:v>
      </x:c>
      <x:c r="B1859" s="1" t="n">
        <x:v>5.5</x:v>
      </x:c>
      <x:c r="C1859" s="1" t="n">
        <x:v>6</x:v>
      </x:c>
      <x:c r="D1859" s="12" t="n">
        <x:v>0</x:v>
      </x:c>
      <x:c r="E1859" s="12" t="n">
        <x:v>0.3110833333333333</x:v>
      </x:c>
      <x:c r="F1859" s="12" t="n">
        <x:v>0.3109166666666667</x:v>
      </x:c>
      <x:c r="G1859" s="12" t="n">
        <x:v>0</x:v>
      </x:c>
      <x:c r="H1859" s="1" t="n">
        <x:f>'Historical prices'!E1859</x:f>
        <x:v>1.05</x:v>
      </x:c>
      <x:c r="I1859" s="6" t="n">
        <x:f>'Historical prices'!D1859</x:f>
        <x:v>0.0704</x:v>
      </x:c>
      <x:c r="J1859" s="13" t="n">
        <x:f>D1859*I1859*H1859</x:f>
        <x:v>0</x:v>
      </x:c>
      <x:c r="K1859" s="13" t="n">
        <x:f>E1859*I1859*H1859</x:f>
        <x:v>0.022995280000000003</x:v>
      </x:c>
      <x:c r="L1859" s="1" t="str">
        <x:f>TEXT(A1859,"mmm yyyy")</x:f>
        <x:v>Jun 2026</x:v>
      </x:c>
    </x:row>
    <x:row r="1860" ht="21" customHeight="1">
      <x:c r="A1860" s="10" t="n">
        <x:v>46187</x:v>
      </x:c>
      <x:c r="B1860" s="1" t="n">
        <x:v>6</x:v>
      </x:c>
      <x:c r="C1860" s="1" t="n">
        <x:v>6</x:v>
      </x:c>
      <x:c r="D1860" s="12" t="n">
        <x:v>0</x:v>
      </x:c>
      <x:c r="E1860" s="12" t="n">
        <x:v>0.3988333333333333</x:v>
      </x:c>
      <x:c r="F1860" s="12" t="n">
        <x:v>0.39875</x:v>
      </x:c>
      <x:c r="G1860" s="12" t="n">
        <x:v>0</x:v>
      </x:c>
      <x:c r="H1860" s="1" t="n">
        <x:f>'Historical prices'!E1860</x:f>
        <x:v>1.05</x:v>
      </x:c>
      <x:c r="I1860" s="6" t="n">
        <x:f>'Historical prices'!D1860</x:f>
        <x:v>0.0438</x:v>
      </x:c>
      <x:c r="J1860" s="13" t="n">
        <x:f>D1860*I1860*H1860</x:f>
        <x:v>0</x:v>
      </x:c>
      <x:c r="K1860" s="13" t="n">
        <x:f>E1860*I1860*H1860</x:f>
        <x:v>0.018342345</x:v>
      </x:c>
      <x:c r="L1860" s="1" t="str">
        <x:f>TEXT(A1860,"mmm yyyy")</x:f>
        <x:v>Jun 2026</x:v>
      </x:c>
    </x:row>
    <x:row r="1861" ht="21" customHeight="1">
      <x:c r="A1861" s="10" t="n">
        <x:v>46187</x:v>
      </x:c>
      <x:c r="B1861" s="1" t="n">
        <x:v>6.5</x:v>
      </x:c>
      <x:c r="C1861" s="1" t="n">
        <x:v>6</x:v>
      </x:c>
      <x:c r="D1861" s="12" t="n">
        <x:v>0.6554166666666666</x:v>
      </x:c>
      <x:c r="E1861" s="12" t="n">
        <x:v>0.5284166666666668</x:v>
      </x:c>
      <x:c r="F1861" s="12" t="n">
        <x:v>0.088</x:v>
      </x:c>
      <x:c r="G1861" s="12" t="n">
        <x:v>0.22</x:v>
      </x:c>
      <x:c r="H1861" s="1" t="n">
        <x:f>'Historical prices'!E1861</x:f>
        <x:v>1.05</x:v>
      </x:c>
      <x:c r="I1861" s="6" t="n">
        <x:f>'Historical prices'!D1861</x:f>
        <x:v>0.0239</x:v>
      </x:c>
      <x:c r="J1861" s="13" t="n">
        <x:f>D1861*I1861*H1861</x:f>
        <x:v>0.01644768125</x:v>
      </x:c>
      <x:c r="K1861" s="13" t="n">
        <x:f>E1861*I1861*H1861</x:f>
        <x:v>0.013260616250000004</x:v>
      </x:c>
      <x:c r="L1861" s="1" t="str">
        <x:f>TEXT(A1861,"mmm yyyy")</x:f>
        <x:v>Jun 2026</x:v>
      </x:c>
    </x:row>
    <x:row r="1862" ht="21" customHeight="1">
      <x:c r="A1862" s="10" t="n">
        <x:v>46187</x:v>
      </x:c>
      <x:c r="B1862" s="1" t="n">
        <x:v>7</x:v>
      </x:c>
      <x:c r="C1862" s="1" t="n">
        <x:v>6</x:v>
      </x:c>
      <x:c r="D1862" s="12" t="n">
        <x:v>0.39349999999999996</x:v>
      </x:c>
      <x:c r="E1862" s="12" t="n">
        <x:v>0.5007499999999999</x:v>
      </x:c>
      <x:c r="F1862" s="12" t="n">
        <x:v>0.22691666666666666</x:v>
      </x:c>
      <x:c r="G1862" s="12" t="n">
        <x:v>0.129</x:v>
      </x:c>
      <x:c r="H1862" s="1" t="n">
        <x:f>'Historical prices'!E1862</x:f>
        <x:v>1.05</x:v>
      </x:c>
      <x:c r="I1862" s="6" t="n">
        <x:f>'Historical prices'!D1862</x:f>
        <x:v>0.0821</x:v>
      </x:c>
      <x:c r="J1862" s="13" t="n">
        <x:f>D1862*I1862*H1862</x:f>
        <x:v>0.0339216675</x:v>
      </x:c>
      <x:c r="K1862" s="13" t="n">
        <x:f>E1862*I1862*H1862</x:f>
        <x:v>0.04316715375</x:v>
      </x:c>
      <x:c r="L1862" s="1" t="str">
        <x:f>TEXT(A1862,"mmm yyyy")</x:f>
        <x:v>Jun 2026</x:v>
      </x:c>
    </x:row>
    <x:row r="1863" ht="21" customHeight="1">
      <x:c r="A1863" s="10" t="n">
        <x:v>46187</x:v>
      </x:c>
      <x:c r="B1863" s="1" t="n">
        <x:v>7.5</x:v>
      </x:c>
      <x:c r="C1863" s="1" t="n">
        <x:v>6</x:v>
      </x:c>
      <x:c r="D1863" s="12" t="n">
        <x:v>0.4895</x:v>
      </x:c>
      <x:c r="E1863" s="12" t="n">
        <x:v>0.6124166666666667</x:v>
      </x:c>
      <x:c r="F1863" s="12" t="n">
        <x:v>0.10491666666666667</x:v>
      </x:c>
      <x:c r="G1863" s="12" t="n">
        <x:v>0</x:v>
      </x:c>
      <x:c r="H1863" s="1" t="n">
        <x:f>'Historical prices'!E1863</x:f>
        <x:v>1.05</x:v>
      </x:c>
      <x:c r="I1863" s="6" t="n">
        <x:f>'Historical prices'!D1863</x:f>
        <x:v>0.0821</x:v>
      </x:c>
      <x:c r="J1863" s="13" t="n">
        <x:f>D1863*I1863*H1863</x:f>
        <x:v>0.0421973475</x:v>
      </x:c>
      <x:c r="K1863" s="13" t="n">
        <x:f>E1863*I1863*H1863</x:f>
        <x:v>0.052793378750000015</x:v>
      </x:c>
      <x:c r="L1863" s="1" t="str">
        <x:f>TEXT(A1863,"mmm yyyy")</x:f>
        <x:v>Jun 2026</x:v>
      </x:c>
    </x:row>
    <x:row r="1864" ht="21" customHeight="1">
      <x:c r="A1864" s="10" t="n">
        <x:v>46187</x:v>
      </x:c>
      <x:c r="B1864" s="1" t="n">
        <x:v>8</x:v>
      </x:c>
      <x:c r="C1864" s="1" t="n">
        <x:v>6</x:v>
      </x:c>
      <x:c r="D1864" s="12" t="n">
        <x:v>0.10416666666666667</x:v>
      </x:c>
      <x:c r="E1864" s="12" t="n">
        <x:v>0.46</x:v>
      </x:c>
      <x:c r="F1864" s="12" t="n">
        <x:v>0.34591666666666665</x:v>
      </x:c>
      <x:c r="G1864" s="12" t="n">
        <x:v>0</x:v>
      </x:c>
      <x:c r="H1864" s="1" t="n">
        <x:f>'Historical prices'!E1864</x:f>
        <x:v>1.05</x:v>
      </x:c>
      <x:c r="I1864" s="6" t="n">
        <x:f>'Historical prices'!D1864</x:f>
        <x:v>0.092</x:v>
      </x:c>
      <x:c r="J1864" s="13" t="n">
        <x:f>D1864*I1864*H1864</x:f>
        <x:v>0.010062500000000002</x:v>
      </x:c>
      <x:c r="K1864" s="13" t="n">
        <x:f>E1864*I1864*H1864</x:f>
        <x:v>0.044436</x:v>
      </x:c>
      <x:c r="L1864" s="1" t="str">
        <x:f>TEXT(A1864,"mmm yyyy")</x:f>
        <x:v>Jun 2026</x:v>
      </x:c>
    </x:row>
    <x:row r="1865" ht="21" customHeight="1">
      <x:c r="A1865" s="10" t="n">
        <x:v>46187</x:v>
      </x:c>
      <x:c r="B1865" s="1" t="n">
        <x:v>8.5</x:v>
      </x:c>
      <x:c r="C1865" s="1" t="n">
        <x:v>6</x:v>
      </x:c>
      <x:c r="D1865" s="12" t="n">
        <x:v>0</x:v>
      </x:c>
      <x:c r="E1865" s="12" t="n">
        <x:v>0.37975000000000003</x:v>
      </x:c>
      <x:c r="F1865" s="12" t="n">
        <x:v>0.37975000000000003</x:v>
      </x:c>
      <x:c r="G1865" s="12" t="n">
        <x:v>0</x:v>
      </x:c>
      <x:c r="H1865" s="1" t="n">
        <x:f>'Historical prices'!E1865</x:f>
        <x:v>1.05</x:v>
      </x:c>
      <x:c r="I1865" s="6" t="n">
        <x:f>'Historical prices'!D1865</x:f>
        <x:v>0.0966</x:v>
      </x:c>
      <x:c r="J1865" s="13" t="n">
        <x:f>D1865*I1865*H1865</x:f>
        <x:v>0</x:v>
      </x:c>
      <x:c r="K1865" s="13" t="n">
        <x:f>E1865*I1865*H1865</x:f>
        <x:v>0.03851804250000001</x:v>
      </x:c>
      <x:c r="L1865" s="1" t="str">
        <x:f>TEXT(A1865,"mmm yyyy")</x:f>
        <x:v>Jun 2026</x:v>
      </x:c>
    </x:row>
    <x:row r="1866" ht="21" customHeight="1">
      <x:c r="A1866" s="10" t="n">
        <x:v>46187</x:v>
      </x:c>
      <x:c r="B1866" s="1" t="n">
        <x:v>9</x:v>
      </x:c>
      <x:c r="C1866" s="1" t="n">
        <x:v>6</x:v>
      </x:c>
      <x:c r="D1866" s="12" t="n">
        <x:v>0</x:v>
      </x:c>
      <x:c r="E1866" s="12" t="n">
        <x:v>0.41908333333333336</x:v>
      </x:c>
      <x:c r="F1866" s="12" t="n">
        <x:v>0.4189166666666667</x:v>
      </x:c>
      <x:c r="G1866" s="12" t="n">
        <x:v>0</x:v>
      </x:c>
      <x:c r="H1866" s="1" t="n">
        <x:f>'Historical prices'!E1866</x:f>
        <x:v>1.05</x:v>
      </x:c>
      <x:c r="I1866" s="6" t="n">
        <x:f>'Historical prices'!D1866</x:f>
        <x:v>0.1157</x:v>
      </x:c>
      <x:c r="J1866" s="13" t="n">
        <x:f>D1866*I1866*H1866</x:f>
        <x:v>0</x:v>
      </x:c>
      <x:c r="K1866" s="13" t="n">
        <x:f>E1866*I1866*H1866</x:f>
        <x:v>0.05091233875</x:v>
      </x:c>
      <x:c r="L1866" s="1" t="str">
        <x:f>TEXT(A1866,"mmm yyyy")</x:f>
        <x:v>Jun 2026</x:v>
      </x:c>
    </x:row>
    <x:row r="1867" ht="21" customHeight="1">
      <x:c r="A1867" s="10" t="n">
        <x:v>46187</x:v>
      </x:c>
      <x:c r="B1867" s="1" t="n">
        <x:v>9.5</x:v>
      </x:c>
      <x:c r="C1867" s="1" t="n">
        <x:v>6</x:v>
      </x:c>
      <x:c r="D1867" s="12" t="n">
        <x:v>0</x:v>
      </x:c>
      <x:c r="E1867" s="12" t="n">
        <x:v>0.40241666666666664</x:v>
      </x:c>
      <x:c r="F1867" s="12" t="n">
        <x:v>0.40066666666666667</x:v>
      </x:c>
      <x:c r="G1867" s="12" t="n">
        <x:v>0</x:v>
      </x:c>
      <x:c r="H1867" s="1" t="n">
        <x:f>'Historical prices'!E1867</x:f>
        <x:v>1.05</x:v>
      </x:c>
      <x:c r="I1867" s="6" t="n">
        <x:f>'Historical prices'!D1867</x:f>
        <x:v>0.1157</x:v>
      </x:c>
      <x:c r="J1867" s="13" t="n">
        <x:f>D1867*I1867*H1867</x:f>
        <x:v>0</x:v>
      </x:c>
      <x:c r="K1867" s="13" t="n">
        <x:f>E1867*I1867*H1867</x:f>
        <x:v>0.048887588749999995</x:v>
      </x:c>
      <x:c r="L1867" s="1" t="str">
        <x:f>TEXT(A1867,"mmm yyyy")</x:f>
        <x:v>Jun 2026</x:v>
      </x:c>
    </x:row>
    <x:row r="1868" ht="21" customHeight="1">
      <x:c r="A1868" s="10" t="n">
        <x:v>46187</x:v>
      </x:c>
      <x:c r="B1868" s="1" t="n">
        <x:v>10</x:v>
      </x:c>
      <x:c r="C1868" s="1" t="n">
        <x:v>6</x:v>
      </x:c>
      <x:c r="D1868" s="12" t="n">
        <x:v>0</x:v>
      </x:c>
      <x:c r="E1868" s="12" t="n">
        <x:v>0.39308333333333334</x:v>
      </x:c>
      <x:c r="F1868" s="12" t="n">
        <x:v>0.39283333333333337</x:v>
      </x:c>
      <x:c r="G1868" s="12" t="n">
        <x:v>0</x:v>
      </x:c>
      <x:c r="H1868" s="1" t="n">
        <x:f>'Historical prices'!E1868</x:f>
        <x:v>1.05</x:v>
      </x:c>
      <x:c r="I1868" s="6" t="n">
        <x:f>'Historical prices'!D1868</x:f>
        <x:v>0.1409</x:v>
      </x:c>
      <x:c r="J1868" s="13" t="n">
        <x:f>D1868*I1868*H1868</x:f>
        <x:v>0</x:v>
      </x:c>
      <x:c r="K1868" s="13" t="n">
        <x:f>E1868*I1868*H1868</x:f>
        <x:v>0.05815471375</x:v>
      </x:c>
      <x:c r="L1868" s="1" t="str">
        <x:f>TEXT(A1868,"mmm yyyy")</x:f>
        <x:v>Jun 2026</x:v>
      </x:c>
    </x:row>
    <x:row r="1869" ht="21" customHeight="1">
      <x:c r="A1869" s="10" t="n">
        <x:v>46187</x:v>
      </x:c>
      <x:c r="B1869" s="1" t="n">
        <x:v>10.5</x:v>
      </x:c>
      <x:c r="C1869" s="1" t="n">
        <x:v>6</x:v>
      </x:c>
      <x:c r="D1869" s="12" t="n">
        <x:v>0</x:v>
      </x:c>
      <x:c r="E1869" s="12" t="n">
        <x:v>0.3819166666666667</x:v>
      </x:c>
      <x:c r="F1869" s="12" t="n">
        <x:v>0.38175000000000003</x:v>
      </x:c>
      <x:c r="G1869" s="12" t="n">
        <x:v>0</x:v>
      </x:c>
      <x:c r="H1869" s="1" t="n">
        <x:f>'Historical prices'!E1869</x:f>
        <x:v>1.05</x:v>
      </x:c>
      <x:c r="I1869" s="6" t="n">
        <x:f>'Historical prices'!D1869</x:f>
        <x:v>0.1409</x:v>
      </x:c>
      <x:c r="J1869" s="13" t="n">
        <x:f>D1869*I1869*H1869</x:f>
        <x:v>0</x:v>
      </x:c>
      <x:c r="K1869" s="13" t="n">
        <x:f>E1869*I1869*H1869</x:f>
        <x:v>0.05650266125</x:v>
      </x:c>
      <x:c r="L1869" s="1" t="str">
        <x:f>TEXT(A1869,"mmm yyyy")</x:f>
        <x:v>Jun 2026</x:v>
      </x:c>
    </x:row>
    <x:row r="1870" ht="21" customHeight="1">
      <x:c r="A1870" s="10" t="n">
        <x:v>46187</x:v>
      </x:c>
      <x:c r="B1870" s="1" t="n">
        <x:v>11</x:v>
      </x:c>
      <x:c r="C1870" s="1" t="n">
        <x:v>6</x:v>
      </x:c>
      <x:c r="D1870" s="12" t="n">
        <x:v>0</x:v>
      </x:c>
      <x:c r="E1870" s="12" t="n">
        <x:v>0.4166666666666667</x:v>
      </x:c>
      <x:c r="F1870" s="12" t="n">
        <x:v>0.4166666666666667</x:v>
      </x:c>
      <x:c r="G1870" s="12" t="n">
        <x:v>0</x:v>
      </x:c>
      <x:c r="H1870" s="1" t="n">
        <x:f>'Historical prices'!E1870</x:f>
        <x:v>1.05</x:v>
      </x:c>
      <x:c r="I1870" s="6" t="n">
        <x:f>'Historical prices'!D1870</x:f>
        <x:v>0.1451</x:v>
      </x:c>
      <x:c r="J1870" s="13" t="n">
        <x:f>D1870*I1870*H1870</x:f>
        <x:v>0</x:v>
      </x:c>
      <x:c r="K1870" s="13" t="n">
        <x:f>E1870*I1870*H1870</x:f>
        <x:v>0.06348125</x:v>
      </x:c>
      <x:c r="L1870" s="1" t="str">
        <x:f>TEXT(A1870,"mmm yyyy")</x:f>
        <x:v>Jun 2026</x:v>
      </x:c>
    </x:row>
    <x:row r="1871" ht="21" customHeight="1">
      <x:c r="A1871" s="10" t="n">
        <x:v>46187</x:v>
      </x:c>
      <x:c r="B1871" s="1" t="n">
        <x:v>11.5</x:v>
      </x:c>
      <x:c r="C1871" s="1" t="n">
        <x:v>6</x:v>
      </x:c>
      <x:c r="D1871" s="12" t="n">
        <x:v>0</x:v>
      </x:c>
      <x:c r="E1871" s="12" t="n">
        <x:v>0.3348333333333333</x:v>
      </x:c>
      <x:c r="F1871" s="12" t="n">
        <x:v>0.33475</x:v>
      </x:c>
      <x:c r="G1871" s="12" t="n">
        <x:v>0</x:v>
      </x:c>
      <x:c r="H1871" s="1" t="n">
        <x:f>'Historical prices'!E1871</x:f>
        <x:v>1.05</x:v>
      </x:c>
      <x:c r="I1871" s="6" t="n">
        <x:f>'Historical prices'!D1871</x:f>
        <x:v>0.1241</x:v>
      </x:c>
      <x:c r="J1871" s="13" t="n">
        <x:f>D1871*I1871*H1871</x:f>
        <x:v>0</x:v>
      </x:c>
      <x:c r="K1871" s="13" t="n">
        <x:f>E1871*I1871*H1871</x:f>
        <x:v>0.043630457500000004</x:v>
      </x:c>
      <x:c r="L1871" s="1" t="str">
        <x:f>TEXT(A1871,"mmm yyyy")</x:f>
        <x:v>Jun 2026</x:v>
      </x:c>
    </x:row>
    <x:row r="1872" ht="21" customHeight="1">
      <x:c r="A1872" s="10" t="n">
        <x:v>46187</x:v>
      </x:c>
      <x:c r="B1872" s="1" t="n">
        <x:v>12</x:v>
      </x:c>
      <x:c r="C1872" s="1" t="n">
        <x:v>6</x:v>
      </x:c>
      <x:c r="D1872" s="12" t="n">
        <x:v>0</x:v>
      </x:c>
      <x:c r="E1872" s="12" t="n">
        <x:v>0.3309166666666667</x:v>
      </x:c>
      <x:c r="F1872" s="12" t="n">
        <x:v>0.33083333333333337</x:v>
      </x:c>
      <x:c r="G1872" s="12" t="n">
        <x:v>0</x:v>
      </x:c>
      <x:c r="H1872" s="1" t="n">
        <x:f>'Historical prices'!E1872</x:f>
        <x:v>1.05</x:v>
      </x:c>
      <x:c r="I1872" s="6" t="n">
        <x:f>'Historical prices'!D1872</x:f>
        <x:v>0.12390000000000001</x:v>
      </x:c>
      <x:c r="J1872" s="13" t="n">
        <x:f>D1872*I1872*H1872</x:f>
        <x:v>0</x:v>
      </x:c>
      <x:c r="K1872" s="13" t="n">
        <x:f>E1872*I1872*H1872</x:f>
        <x:v>0.043050603750000006</x:v>
      </x:c>
      <x:c r="L1872" s="1" t="str">
        <x:f>TEXT(A1872,"mmm yyyy")</x:f>
        <x:v>Jun 2026</x:v>
      </x:c>
    </x:row>
    <x:row r="1873" ht="21" customHeight="1">
      <x:c r="A1873" s="10" t="n">
        <x:v>46187</x:v>
      </x:c>
      <x:c r="B1873" s="1" t="n">
        <x:v>12.5</x:v>
      </x:c>
      <x:c r="C1873" s="1" t="n">
        <x:v>6</x:v>
      </x:c>
      <x:c r="D1873" s="12" t="n">
        <x:v>0</x:v>
      </x:c>
      <x:c r="E1873" s="12" t="n">
        <x:v>0.358</x:v>
      </x:c>
      <x:c r="F1873" s="12" t="n">
        <x:v>0.35791666666666666</x:v>
      </x:c>
      <x:c r="G1873" s="12" t="n">
        <x:v>0</x:v>
      </x:c>
      <x:c r="H1873" s="1" t="n">
        <x:f>'Historical prices'!E1873</x:f>
        <x:v>1.05</x:v>
      </x:c>
      <x:c r="I1873" s="6" t="n">
        <x:f>'Historical prices'!D1873</x:f>
        <x:v>0.1285</x:v>
      </x:c>
      <x:c r="J1873" s="13" t="n">
        <x:f>D1873*I1873*H1873</x:f>
        <x:v>0</x:v>
      </x:c>
      <x:c r="K1873" s="13" t="n">
        <x:f>E1873*I1873*H1873</x:f>
        <x:v>0.04830315</x:v>
      </x:c>
      <x:c r="L1873" s="1" t="str">
        <x:f>TEXT(A1873,"mmm yyyy")</x:f>
        <x:v>Jun 2026</x:v>
      </x:c>
    </x:row>
    <x:row r="1874" ht="21" customHeight="1">
      <x:c r="A1874" s="10" t="n">
        <x:v>46187</x:v>
      </x:c>
      <x:c r="B1874" s="1" t="n">
        <x:v>13</x:v>
      </x:c>
      <x:c r="C1874" s="1" t="n">
        <x:v>6</x:v>
      </x:c>
      <x:c r="D1874" s="12" t="n">
        <x:v>0</x:v>
      </x:c>
      <x:c r="E1874" s="12" t="n">
        <x:v>0.33108333333333334</x:v>
      </x:c>
      <x:c r="F1874" s="12" t="n">
        <x:v>0.33091666666666664</x:v>
      </x:c>
      <x:c r="G1874" s="12" t="n">
        <x:v>0</x:v>
      </x:c>
      <x:c r="H1874" s="1" t="n">
        <x:f>'Historical prices'!E1874</x:f>
        <x:v>1.05</x:v>
      </x:c>
      <x:c r="I1874" s="6" t="n">
        <x:f>'Historical prices'!D1874</x:f>
        <x:v>0.1392</x:v>
      </x:c>
      <x:c r="J1874" s="13" t="n">
        <x:f>D1874*I1874*H1874</x:f>
        <x:v>0</x:v>
      </x:c>
      <x:c r="K1874" s="13" t="n">
        <x:f>E1874*I1874*H1874</x:f>
        <x:v>0.04839114</x:v>
      </x:c>
      <x:c r="L1874" s="1" t="str">
        <x:f>TEXT(A1874,"mmm yyyy")</x:f>
        <x:v>Jun 2026</x:v>
      </x:c>
    </x:row>
    <x:row r="1875" ht="21" customHeight="1">
      <x:c r="A1875" s="10" t="n">
        <x:v>46187</x:v>
      </x:c>
      <x:c r="B1875" s="1" t="n">
        <x:v>13.5</x:v>
      </x:c>
      <x:c r="C1875" s="1" t="n">
        <x:v>6</x:v>
      </x:c>
      <x:c r="D1875" s="12" t="n">
        <x:v>0</x:v>
      </x:c>
      <x:c r="E1875" s="12" t="n">
        <x:v>0.5108333333333334</x:v>
      </x:c>
      <x:c r="F1875" s="12" t="n">
        <x:v>0.5108333333333334</x:v>
      </x:c>
      <x:c r="G1875" s="12" t="n">
        <x:v>0</x:v>
      </x:c>
      <x:c r="H1875" s="1" t="n">
        <x:f>'Historical prices'!E1875</x:f>
        <x:v>1.05</x:v>
      </x:c>
      <x:c r="I1875" s="6" t="n">
        <x:f>'Historical prices'!D1875</x:f>
        <x:v>0.1367</x:v>
      </x:c>
      <x:c r="J1875" s="13" t="n">
        <x:f>D1875*I1875*H1875</x:f>
        <x:v>0</x:v>
      </x:c>
      <x:c r="K1875" s="13" t="n">
        <x:f>E1875*I1875*H1875</x:f>
        <x:v>0.07332246249999999</x:v>
      </x:c>
      <x:c r="L1875" s="1" t="str">
        <x:f>TEXT(A1875,"mmm yyyy")</x:f>
        <x:v>Jun 2026</x:v>
      </x:c>
    </x:row>
    <x:row r="1876" ht="21" customHeight="1">
      <x:c r="A1876" s="10" t="n">
        <x:v>46187</x:v>
      </x:c>
      <x:c r="B1876" s="1" t="n">
        <x:v>14</x:v>
      </x:c>
      <x:c r="C1876" s="1" t="n">
        <x:v>6</x:v>
      </x:c>
      <x:c r="D1876" s="12" t="n">
        <x:v>0</x:v>
      </x:c>
      <x:c r="E1876" s="12" t="n">
        <x:v>0.5298333333333334</x:v>
      </x:c>
      <x:c r="F1876" s="12" t="n">
        <x:v>0.5296666666666667</x:v>
      </x:c>
      <x:c r="G1876" s="12" t="n">
        <x:v>0</x:v>
      </x:c>
      <x:c r="H1876" s="1" t="n">
        <x:f>'Historical prices'!E1876</x:f>
        <x:v>1.05</x:v>
      </x:c>
      <x:c r="I1876" s="6" t="n">
        <x:f>'Historical prices'!D1876</x:f>
        <x:v>0.1409</x:v>
      </x:c>
      <x:c r="J1876" s="13" t="n">
        <x:f>D1876*I1876*H1876</x:f>
        <x:v>0</x:v>
      </x:c>
      <x:c r="K1876" s="13" t="n">
        <x:f>E1876*I1876*H1876</x:f>
        <x:v>0.07838619250000001</x:v>
      </x:c>
      <x:c r="L1876" s="1" t="str">
        <x:f>TEXT(A1876,"mmm yyyy")</x:f>
        <x:v>Jun 2026</x:v>
      </x:c>
    </x:row>
    <x:row r="1877" ht="21" customHeight="1">
      <x:c r="A1877" s="10" t="n">
        <x:v>46187</x:v>
      </x:c>
      <x:c r="B1877" s="1" t="n">
        <x:v>14.5</x:v>
      </x:c>
      <x:c r="C1877" s="1" t="n">
        <x:v>6</x:v>
      </x:c>
      <x:c r="D1877" s="12" t="n">
        <x:v>0</x:v>
      </x:c>
      <x:c r="E1877" s="12" t="n">
        <x:v>0.41683333333333333</x:v>
      </x:c>
      <x:c r="F1877" s="12" t="n">
        <x:v>0.41675</x:v>
      </x:c>
      <x:c r="G1877" s="12" t="n">
        <x:v>0</x:v>
      </x:c>
      <x:c r="H1877" s="1" t="n">
        <x:f>'Historical prices'!E1877</x:f>
        <x:v>1.05</x:v>
      </x:c>
      <x:c r="I1877" s="6" t="n">
        <x:f>'Historical prices'!D1877</x:f>
        <x:v>0.1471</x:v>
      </x:c>
      <x:c r="J1877" s="13" t="n">
        <x:f>D1877*I1877*H1877</x:f>
        <x:v>0</x:v>
      </x:c>
      <x:c r="K1877" s="13" t="n">
        <x:f>E1877*I1877*H1877</x:f>
        <x:v>0.06438199250000001</x:v>
      </x:c>
      <x:c r="L1877" s="1" t="str">
        <x:f>TEXT(A1877,"mmm yyyy")</x:f>
        <x:v>Jun 2026</x:v>
      </x:c>
    </x:row>
    <x:row r="1878" ht="21" customHeight="1">
      <x:c r="A1878" s="10" t="n">
        <x:v>46187</x:v>
      </x:c>
      <x:c r="B1878" s="1" t="n">
        <x:v>15</x:v>
      </x:c>
      <x:c r="C1878" s="1" t="n">
        <x:v>6</x:v>
      </x:c>
      <x:c r="D1878" s="12" t="n">
        <x:v>0</x:v>
      </x:c>
      <x:c r="E1878" s="12" t="n">
        <x:v>0.42408333333333337</x:v>
      </x:c>
      <x:c r="F1878" s="12" t="n">
        <x:v>0.4238333333333334</x:v>
      </x:c>
      <x:c r="G1878" s="12" t="n">
        <x:v>0</x:v>
      </x:c>
      <x:c r="H1878" s="1" t="n">
        <x:f>'Historical prices'!E1878</x:f>
        <x:v>1.05</x:v>
      </x:c>
      <x:c r="I1878" s="6" t="n">
        <x:f>'Historical prices'!D1878</x:f>
        <x:v>0.1472</x:v>
      </x:c>
      <x:c r="J1878" s="13" t="n">
        <x:f>D1878*I1878*H1878</x:f>
        <x:v>0</x:v>
      </x:c>
      <x:c r="K1878" s="13" t="n">
        <x:f>E1878*I1878*H1878</x:f>
        <x:v>0.06554632</x:v>
      </x:c>
      <x:c r="L1878" s="1" t="str">
        <x:f>TEXT(A1878,"mmm yyyy")</x:f>
        <x:v>Jun 2026</x:v>
      </x:c>
    </x:row>
    <x:row r="1879" ht="21" customHeight="1">
      <x:c r="A1879" s="10" t="n">
        <x:v>46187</x:v>
      </x:c>
      <x:c r="B1879" s="1" t="n">
        <x:v>15.5</x:v>
      </x:c>
      <x:c r="C1879" s="1" t="n">
        <x:v>6</x:v>
      </x:c>
      <x:c r="D1879" s="12" t="n">
        <x:v>0</x:v>
      </x:c>
      <x:c r="E1879" s="12" t="n">
        <x:v>0.5798333333333332</x:v>
      </x:c>
      <x:c r="F1879" s="12" t="n">
        <x:v>0.5797499999999999</x:v>
      </x:c>
      <x:c r="G1879" s="12" t="n">
        <x:v>0</x:v>
      </x:c>
      <x:c r="H1879" s="1" t="n">
        <x:f>'Historical prices'!E1879</x:f>
        <x:v>1.05</x:v>
      </x:c>
      <x:c r="I1879" s="6" t="n">
        <x:f>'Historical prices'!D1879</x:f>
        <x:v>0.1589</x:v>
      </x:c>
      <x:c r="J1879" s="13" t="n">
        <x:f>D1879*I1879*H1879</x:f>
        <x:v>0</x:v>
      </x:c>
      <x:c r="K1879" s="13" t="n">
        <x:f>E1879*I1879*H1879</x:f>
        <x:v>0.0967422925</x:v>
      </x:c>
      <x:c r="L1879" s="1" t="str">
        <x:f>TEXT(A1879,"mmm yyyy")</x:f>
        <x:v>Jun 2026</x:v>
      </x:c>
    </x:row>
    <x:row r="1880" ht="21" customHeight="1">
      <x:c r="A1880" s="10" t="n">
        <x:v>46187</x:v>
      </x:c>
      <x:c r="B1880" s="1" t="n">
        <x:v>16</x:v>
      </x:c>
      <x:c r="C1880" s="1" t="n">
        <x:v>6</x:v>
      </x:c>
      <x:c r="D1880" s="12" t="n">
        <x:v>0</x:v>
      </x:c>
      <x:c r="E1880" s="12" t="n">
        <x:v>0.5046666666666667</x:v>
      </x:c>
      <x:c r="F1880" s="12" t="n">
        <x:v>0.5045000000000001</x:v>
      </x:c>
      <x:c r="G1880" s="12" t="n">
        <x:v>0</x:v>
      </x:c>
      <x:c r="H1880" s="1" t="n">
        <x:f>'Historical prices'!E1880</x:f>
        <x:v>1.05</x:v>
      </x:c>
      <x:c r="I1880" s="6" t="n">
        <x:f>'Historical prices'!D1880</x:f>
        <x:v>0.3095</x:v>
      </x:c>
      <x:c r="J1880" s="13" t="n">
        <x:f>D1880*I1880*H1880</x:f>
        <x:v>0</x:v>
      </x:c>
      <x:c r="K1880" s="13" t="n">
        <x:f>E1880*I1880*H1880</x:f>
        <x:v>0.16400405</x:v>
      </x:c>
      <x:c r="L1880" s="1" t="str">
        <x:f>TEXT(A1880,"mmm yyyy")</x:f>
        <x:v>Jun 2026</x:v>
      </x:c>
    </x:row>
    <x:row r="1881" ht="21" customHeight="1">
      <x:c r="A1881" s="10" t="n">
        <x:v>46187</x:v>
      </x:c>
      <x:c r="B1881" s="1" t="n">
        <x:v>16.5</x:v>
      </x:c>
      <x:c r="C1881" s="1" t="n">
        <x:v>6</x:v>
      </x:c>
      <x:c r="D1881" s="12" t="n">
        <x:v>0</x:v>
      </x:c>
      <x:c r="E1881" s="12" t="n">
        <x:v>0.40608333333333335</x:v>
      </x:c>
      <x:c r="F1881" s="12" t="n">
        <x:v>0.406</x:v>
      </x:c>
      <x:c r="G1881" s="12" t="n">
        <x:v>0</x:v>
      </x:c>
      <x:c r="H1881" s="1" t="n">
        <x:f>'Historical prices'!E1881</x:f>
        <x:v>1.05</x:v>
      </x:c>
      <x:c r="I1881" s="6" t="n">
        <x:f>'Historical prices'!D1881</x:f>
        <x:v>0.3146</x:v>
      </x:c>
      <x:c r="J1881" s="13" t="n">
        <x:f>D1881*I1881*H1881</x:f>
        <x:v>0</x:v>
      </x:c>
      <x:c r="K1881" s="13" t="n">
        <x:f>E1881*I1881*H1881</x:f>
        <x:v>0.1341415075</x:v>
      </x:c>
      <x:c r="L1881" s="1" t="str">
        <x:f>TEXT(A1881,"mmm yyyy")</x:f>
        <x:v>Jun 2026</x:v>
      </x:c>
    </x:row>
    <x:row r="1882" ht="21" customHeight="1">
      <x:c r="A1882" s="10" t="n">
        <x:v>46187</x:v>
      </x:c>
      <x:c r="B1882" s="1" t="n">
        <x:v>17</x:v>
      </x:c>
      <x:c r="C1882" s="1" t="n">
        <x:v>6</x:v>
      </x:c>
      <x:c r="D1882" s="12" t="n">
        <x:v>0</x:v>
      </x:c>
      <x:c r="E1882" s="12" t="n">
        <x:v>0.4746666666666667</x:v>
      </x:c>
      <x:c r="F1882" s="12" t="n">
        <x:v>0.4746666666666667</x:v>
      </x:c>
      <x:c r="G1882" s="12" t="n">
        <x:v>0</x:v>
      </x:c>
      <x:c r="H1882" s="1" t="n">
        <x:f>'Historical prices'!E1882</x:f>
        <x:v>1.05</x:v>
      </x:c>
      <x:c r="I1882" s="6" t="n">
        <x:f>'Historical prices'!D1882</x:f>
        <x:v>0.3281</x:v>
      </x:c>
      <x:c r="J1882" s="13" t="n">
        <x:f>D1882*I1882*H1882</x:f>
        <x:v>0</x:v>
      </x:c>
      <x:c r="K1882" s="13" t="n">
        <x:f>E1882*I1882*H1882</x:f>
        <x:v>0.16352504</x:v>
      </x:c>
      <x:c r="L1882" s="1" t="str">
        <x:f>TEXT(A1882,"mmm yyyy")</x:f>
        <x:v>Jun 2026</x:v>
      </x:c>
    </x:row>
    <x:row r="1883" ht="21" customHeight="1">
      <x:c r="A1883" s="10" t="n">
        <x:v>46187</x:v>
      </x:c>
      <x:c r="B1883" s="1" t="n">
        <x:v>17.5</x:v>
      </x:c>
      <x:c r="C1883" s="1" t="n">
        <x:v>6</x:v>
      </x:c>
      <x:c r="D1883" s="12" t="n">
        <x:v>0</x:v>
      </x:c>
      <x:c r="E1883" s="12" t="n">
        <x:v>1.2235</x:v>
      </x:c>
      <x:c r="F1883" s="12" t="n">
        <x:v>1.223</x:v>
      </x:c>
      <x:c r="G1883" s="12" t="n">
        <x:v>0</x:v>
      </x:c>
      <x:c r="H1883" s="1" t="n">
        <x:f>'Historical prices'!E1883</x:f>
        <x:v>1.05</x:v>
      </x:c>
      <x:c r="I1883" s="6" t="n">
        <x:f>'Historical prices'!D1883</x:f>
        <x:v>0.3378</x:v>
      </x:c>
      <x:c r="J1883" s="13" t="n">
        <x:f>D1883*I1883*H1883</x:f>
        <x:v>0</x:v>
      </x:c>
      <x:c r="K1883" s="13" t="n">
        <x:f>E1883*I1883*H1883</x:f>
        <x:v>0.433963215</x:v>
      </x:c>
      <x:c r="L1883" s="1" t="str">
        <x:f>TEXT(A1883,"mmm yyyy")</x:f>
        <x:v>Jun 2026</x:v>
      </x:c>
    </x:row>
    <x:row r="1884" ht="21" customHeight="1">
      <x:c r="A1884" s="10" t="n">
        <x:v>46187</x:v>
      </x:c>
      <x:c r="B1884" s="1" t="n">
        <x:v>18</x:v>
      </x:c>
      <x:c r="C1884" s="1" t="n">
        <x:v>6</x:v>
      </x:c>
      <x:c r="D1884" s="12" t="n">
        <x:v>0</x:v>
      </x:c>
      <x:c r="E1884" s="12" t="n">
        <x:v>1.0469166666666667</x:v>
      </x:c>
      <x:c r="F1884" s="12" t="n">
        <x:v>1.0465</x:v>
      </x:c>
      <x:c r="G1884" s="12" t="n">
        <x:v>0</x:v>
      </x:c>
      <x:c r="H1884" s="1" t="n">
        <x:f>'Historical prices'!E1884</x:f>
        <x:v>1.05</x:v>
      </x:c>
      <x:c r="I1884" s="6" t="n">
        <x:f>'Historical prices'!D1884</x:f>
        <x:v>0.34380000000000005</x:v>
      </x:c>
      <x:c r="J1884" s="13" t="n">
        <x:f>D1884*I1884*H1884</x:f>
        <x:v>0</x:v>
      </x:c>
      <x:c r="K1884" s="13" t="n">
        <x:f>E1884*I1884*H1884</x:f>
        <x:v>0.3779264475000001</x:v>
      </x:c>
      <x:c r="L1884" s="1" t="str">
        <x:f>TEXT(A1884,"mmm yyyy")</x:f>
        <x:v>Jun 2026</x:v>
      </x:c>
    </x:row>
    <x:row r="1885" ht="21" customHeight="1">
      <x:c r="A1885" s="10" t="n">
        <x:v>46187</x:v>
      </x:c>
      <x:c r="B1885" s="1" t="n">
        <x:v>18.5</x:v>
      </x:c>
      <x:c r="C1885" s="1" t="n">
        <x:v>6</x:v>
      </x:c>
      <x:c r="D1885" s="12" t="n">
        <x:v>0</x:v>
      </x:c>
      <x:c r="E1885" s="12" t="n">
        <x:v>1.2991666666666668</x:v>
      </x:c>
      <x:c r="F1885" s="12" t="n">
        <x:v>1.29825</x:v>
      </x:c>
      <x:c r="G1885" s="12" t="n">
        <x:v>0</x:v>
      </x:c>
      <x:c r="H1885" s="1" t="n">
        <x:f>'Historical prices'!E1885</x:f>
        <x:v>1.05</x:v>
      </x:c>
      <x:c r="I1885" s="6" t="n">
        <x:f>'Historical prices'!D1885</x:f>
        <x:v>0.33020000000000005</x:v>
      </x:c>
      <x:c r="J1885" s="13" t="n">
        <x:f>D1885*I1885*H1885</x:f>
        <x:v>0</x:v>
      </x:c>
      <x:c r="K1885" s="13" t="n">
        <x:f>E1885*I1885*H1885</x:f>
        <x:v>0.4504340750000001</x:v>
      </x:c>
      <x:c r="L1885" s="1" t="str">
        <x:f>TEXT(A1885,"mmm yyyy")</x:f>
        <x:v>Jun 2026</x:v>
      </x:c>
    </x:row>
    <x:row r="1886" ht="21" customHeight="1">
      <x:c r="A1886" s="10" t="n">
        <x:v>46187</x:v>
      </x:c>
      <x:c r="B1886" s="1" t="n">
        <x:v>19</x:v>
      </x:c>
      <x:c r="C1886" s="1" t="n">
        <x:v>6</x:v>
      </x:c>
      <x:c r="D1886" s="12" t="n">
        <x:v>0</x:v>
      </x:c>
      <x:c r="E1886" s="12" t="n">
        <x:v>0.6295833333333333</x:v>
      </x:c>
      <x:c r="F1886" s="12" t="n">
        <x:v>0.6295</x:v>
      </x:c>
      <x:c r="G1886" s="12" t="n">
        <x:v>0</x:v>
      </x:c>
      <x:c r="H1886" s="1" t="n">
        <x:f>'Historical prices'!E1886</x:f>
        <x:v>1.05</x:v>
      </x:c>
      <x:c r="I1886" s="6" t="n">
        <x:f>'Historical prices'!D1886</x:f>
        <x:v>0.2207</x:v>
      </x:c>
      <x:c r="J1886" s="13" t="n">
        <x:f>D1886*I1886*H1886</x:f>
        <x:v>0</x:v>
      </x:c>
      <x:c r="K1886" s="13" t="n">
        <x:f>E1886*I1886*H1886</x:f>
        <x:v>0.14589649375</x:v>
      </x:c>
      <x:c r="L1886" s="1" t="str">
        <x:f>TEXT(A1886,"mmm yyyy")</x:f>
        <x:v>Jun 2026</x:v>
      </x:c>
    </x:row>
    <x:row r="1887" ht="21" customHeight="1">
      <x:c r="A1887" s="10" t="n">
        <x:v>46187</x:v>
      </x:c>
      <x:c r="B1887" s="1" t="n">
        <x:v>19.5</x:v>
      </x:c>
      <x:c r="C1887" s="1" t="n">
        <x:v>6</x:v>
      </x:c>
      <x:c r="D1887" s="12" t="n">
        <x:v>0</x:v>
      </x:c>
      <x:c r="E1887" s="12" t="n">
        <x:v>0.67075</x:v>
      </x:c>
      <x:c r="F1887" s="12" t="n">
        <x:v>0.67075</x:v>
      </x:c>
      <x:c r="G1887" s="12" t="n">
        <x:v>0</x:v>
      </x:c>
      <x:c r="H1887" s="1" t="n">
        <x:f>'Historical prices'!E1887</x:f>
        <x:v>1.05</x:v>
      </x:c>
      <x:c r="I1887" s="6" t="n">
        <x:f>'Historical prices'!D1887</x:f>
        <x:v>0.22769999999999999</x:v>
      </x:c>
      <x:c r="J1887" s="13" t="n">
        <x:f>D1887*I1887*H1887</x:f>
        <x:v>0</x:v>
      </x:c>
      <x:c r="K1887" s="13" t="n">
        <x:f>E1887*I1887*H1887</x:f>
        <x:v>0.16036626375</x:v>
      </x:c>
      <x:c r="L1887" s="1" t="str">
        <x:f>TEXT(A1887,"mmm yyyy")</x:f>
        <x:v>Jun 2026</x:v>
      </x:c>
    </x:row>
    <x:row r="1888" ht="21" customHeight="1">
      <x:c r="A1888" s="10" t="n">
        <x:v>46187</x:v>
      </x:c>
      <x:c r="B1888" s="1" t="n">
        <x:v>20</x:v>
      </x:c>
      <x:c r="C1888" s="1" t="n">
        <x:v>6</x:v>
      </x:c>
      <x:c r="D1888" s="12" t="n">
        <x:v>0</x:v>
      </x:c>
      <x:c r="E1888" s="12" t="n">
        <x:v>0.5589999999999999</x:v>
      </x:c>
      <x:c r="F1888" s="12" t="n">
        <x:v>0.5586666666666666</x:v>
      </x:c>
      <x:c r="G1888" s="12" t="n">
        <x:v>0</x:v>
      </x:c>
      <x:c r="H1888" s="1" t="n">
        <x:f>'Historical prices'!E1888</x:f>
        <x:v>1.05</x:v>
      </x:c>
      <x:c r="I1888" s="6" t="n">
        <x:f>'Historical prices'!D1888</x:f>
        <x:v>0.2368</x:v>
      </x:c>
      <x:c r="J1888" s="13" t="n">
        <x:f>D1888*I1888*H1888</x:f>
        <x:v>0</x:v>
      </x:c>
      <x:c r="K1888" s="13" t="n">
        <x:f>E1888*I1888*H1888</x:f>
        <x:v>0.13898976</x:v>
      </x:c>
      <x:c r="L1888" s="1" t="str">
        <x:f>TEXT(A1888,"mmm yyyy")</x:f>
        <x:v>Jun 2026</x:v>
      </x:c>
    </x:row>
    <x:row r="1889" ht="21" customHeight="1">
      <x:c r="A1889" s="10" t="n">
        <x:v>46187</x:v>
      </x:c>
      <x:c r="B1889" s="1" t="n">
        <x:v>20.5</x:v>
      </x:c>
      <x:c r="C1889" s="1" t="n">
        <x:v>6</x:v>
      </x:c>
      <x:c r="D1889" s="12" t="n">
        <x:v>0</x:v>
      </x:c>
      <x:c r="E1889" s="12" t="n">
        <x:v>0.50475</x:v>
      </x:c>
      <x:c r="F1889" s="12" t="n">
        <x:v>0.50475</x:v>
      </x:c>
      <x:c r="G1889" s="12" t="n">
        <x:v>0</x:v>
      </x:c>
      <x:c r="H1889" s="1" t="n">
        <x:f>'Historical prices'!E1889</x:f>
        <x:v>1.05</x:v>
      </x:c>
      <x:c r="I1889" s="6" t="n">
        <x:f>'Historical prices'!D1889</x:f>
        <x:v>0.23800000000000002</x:v>
      </x:c>
      <x:c r="J1889" s="13" t="n">
        <x:f>D1889*I1889*H1889</x:f>
        <x:v>0</x:v>
      </x:c>
      <x:c r="K1889" s="13" t="n">
        <x:f>E1889*I1889*H1889</x:f>
        <x:v>0.126137025</x:v>
      </x:c>
      <x:c r="L1889" s="1" t="str">
        <x:f>TEXT(A1889,"mmm yyyy")</x:f>
        <x:v>Jun 2026</x:v>
      </x:c>
    </x:row>
    <x:row r="1890" ht="21" customHeight="1">
      <x:c r="A1890" s="10" t="n">
        <x:v>46187</x:v>
      </x:c>
      <x:c r="B1890" s="1" t="n">
        <x:v>21</x:v>
      </x:c>
      <x:c r="C1890" s="1" t="n">
        <x:v>6</x:v>
      </x:c>
      <x:c r="D1890" s="12" t="n">
        <x:v>0</x:v>
      </x:c>
      <x:c r="E1890" s="12" t="n">
        <x:v>0.5597500000000001</x:v>
      </x:c>
      <x:c r="F1890" s="12" t="n">
        <x:v>0.5596666666666666</x:v>
      </x:c>
      <x:c r="G1890" s="12" t="n">
        <x:v>0</x:v>
      </x:c>
      <x:c r="H1890" s="1" t="n">
        <x:f>'Historical prices'!E1890</x:f>
        <x:v>1.05</x:v>
      </x:c>
      <x:c r="I1890" s="6" t="n">
        <x:f>'Historical prices'!D1890</x:f>
        <x:v>0.2255</x:v>
      </x:c>
      <x:c r="J1890" s="13" t="n">
        <x:f>D1890*I1890*H1890</x:f>
        <x:v>0</x:v>
      </x:c>
      <x:c r="K1890" s="13" t="n">
        <x:f>E1890*I1890*H1890</x:f>
        <x:v>0.13253480625000005</x:v>
      </x:c>
      <x:c r="L1890" s="1" t="str">
        <x:f>TEXT(A1890,"mmm yyyy")</x:f>
        <x:v>Jun 2026</x:v>
      </x:c>
    </x:row>
    <x:row r="1891" ht="21" customHeight="1">
      <x:c r="A1891" s="10" t="n">
        <x:v>46187</x:v>
      </x:c>
      <x:c r="B1891" s="1" t="n">
        <x:v>21.5</x:v>
      </x:c>
      <x:c r="C1891" s="1" t="n">
        <x:v>6</x:v>
      </x:c>
      <x:c r="D1891" s="12" t="n">
        <x:v>0</x:v>
      </x:c>
      <x:c r="E1891" s="12" t="n">
        <x:v>0.643</x:v>
      </x:c>
      <x:c r="F1891" s="12" t="n">
        <x:v>0.64275</x:v>
      </x:c>
      <x:c r="G1891" s="12" t="n">
        <x:v>0</x:v>
      </x:c>
      <x:c r="H1891" s="1" t="n">
        <x:f>'Historical prices'!E1891</x:f>
        <x:v>1.05</x:v>
      </x:c>
      <x:c r="I1891" s="6" t="n">
        <x:f>'Historical prices'!D1891</x:f>
        <x:v>0.2266</x:v>
      </x:c>
      <x:c r="J1891" s="13" t="n">
        <x:f>D1891*I1891*H1891</x:f>
        <x:v>0</x:v>
      </x:c>
      <x:c r="K1891" s="13" t="n">
        <x:f>E1891*I1891*H1891</x:f>
        <x:v>0.15298899</x:v>
      </x:c>
      <x:c r="L1891" s="1" t="str">
        <x:f>TEXT(A1891,"mmm yyyy")</x:f>
        <x:v>Jun 2026</x:v>
      </x:c>
    </x:row>
    <x:row r="1892" ht="21" customHeight="1">
      <x:c r="A1892" s="10" t="n">
        <x:v>46187</x:v>
      </x:c>
      <x:c r="B1892" s="1" t="n">
        <x:v>22</x:v>
      </x:c>
      <x:c r="C1892" s="1" t="n">
        <x:v>6</x:v>
      </x:c>
      <x:c r="D1892" s="12" t="n">
        <x:v>0</x:v>
      </x:c>
      <x:c r="E1892" s="12" t="n">
        <x:v>0.6528333333333335</x:v>
      </x:c>
      <x:c r="F1892" s="12" t="n">
        <x:v>0.6527500000000002</x:v>
      </x:c>
      <x:c r="G1892" s="12" t="n">
        <x:v>0</x:v>
      </x:c>
      <x:c r="H1892" s="1" t="n">
        <x:f>'Historical prices'!E1892</x:f>
        <x:v>1.05</x:v>
      </x:c>
      <x:c r="I1892" s="6" t="n">
        <x:f>'Historical prices'!D1892</x:f>
        <x:v>0.2241</x:v>
      </x:c>
      <x:c r="J1892" s="13" t="n">
        <x:f>D1892*I1892*H1892</x:f>
        <x:v>0</x:v>
      </x:c>
      <x:c r="K1892" s="13" t="n">
        <x:f>E1892*I1892*H1892</x:f>
        <x:v>0.15361494750000004</x:v>
      </x:c>
      <x:c r="L1892" s="1" t="str">
        <x:f>TEXT(A1892,"mmm yyyy")</x:f>
        <x:v>Jun 2026</x:v>
      </x:c>
    </x:row>
    <x:row r="1893" ht="21" customHeight="1">
      <x:c r="A1893" s="10" t="n">
        <x:v>46187</x:v>
      </x:c>
      <x:c r="B1893" s="1" t="n">
        <x:v>22.5</x:v>
      </x:c>
      <x:c r="C1893" s="1" t="n">
        <x:v>6</x:v>
      </x:c>
      <x:c r="D1893" s="12" t="n">
        <x:v>0</x:v>
      </x:c>
      <x:c r="E1893" s="12" t="n">
        <x:v>0.23900000000000002</x:v>
      </x:c>
      <x:c r="F1893" s="12" t="n">
        <x:v>0.23683333333333334</x:v>
      </x:c>
      <x:c r="G1893" s="12" t="n">
        <x:v>0</x:v>
      </x:c>
      <x:c r="H1893" s="1" t="n">
        <x:f>'Historical prices'!E1893</x:f>
        <x:v>1.05</x:v>
      </x:c>
      <x:c r="I1893" s="6" t="n">
        <x:f>'Historical prices'!D1893</x:f>
        <x:v>0.2165</x:v>
      </x:c>
      <x:c r="J1893" s="13" t="n">
        <x:f>D1893*I1893*H1893</x:f>
        <x:v>0</x:v>
      </x:c>
      <x:c r="K1893" s="13" t="n">
        <x:f>E1893*I1893*H1893</x:f>
        <x:v>0.05433067500000001</x:v>
      </x:c>
      <x:c r="L1893" s="1" t="str">
        <x:f>TEXT(A1893,"mmm yyyy")</x:f>
        <x:v>Jun 2026</x:v>
      </x:c>
    </x:row>
    <x:row r="1894" ht="21" customHeight="1">
      <x:c r="A1894" s="10" t="n">
        <x:v>46187</x:v>
      </x:c>
      <x:c r="B1894" s="1" t="n">
        <x:v>23</x:v>
      </x:c>
      <x:c r="C1894" s="1" t="n">
        <x:v>6</x:v>
      </x:c>
      <x:c r="D1894" s="12" t="n">
        <x:v>0.23025</x:v>
      </x:c>
      <x:c r="E1894" s="12" t="n">
        <x:v>0.28933333333333333</x:v>
      </x:c>
      <x:c r="F1894" s="12" t="n">
        <x:v>0.048</x:v>
      </x:c>
      <x:c r="G1894" s="12" t="n">
        <x:v>0</x:v>
      </x:c>
      <x:c r="H1894" s="1" t="n">
        <x:f>'Historical prices'!E1894</x:f>
        <x:v>1.05</x:v>
      </x:c>
      <x:c r="I1894" s="6" t="n">
        <x:f>'Historical prices'!D1894</x:f>
        <x:v>0.18289999999999998</x:v>
      </x:c>
      <x:c r="J1894" s="13" t="n">
        <x:f>D1894*I1894*H1894</x:f>
        <x:v>0.04421836125</x:v>
      </x:c>
      <x:c r="K1894" s="13" t="n">
        <x:f>E1894*I1894*H1894</x:f>
        <x:v>0.05556501999999999</x:v>
      </x:c>
      <x:c r="L1894" s="1" t="str">
        <x:f>TEXT(A1894,"mmm yyyy")</x:f>
        <x:v>Jun 2026</x:v>
      </x:c>
    </x:row>
    <x:row r="1895" ht="21" customHeight="1">
      <x:c r="A1895" s="10" t="n">
        <x:v>46187</x:v>
      </x:c>
      <x:c r="B1895" s="1" t="n">
        <x:v>23.5</x:v>
      </x:c>
      <x:c r="C1895" s="1" t="n">
        <x:v>6</x:v>
      </x:c>
      <x:c r="D1895" s="12" t="n">
        <x:v>0.23083333333333333</x:v>
      </x:c>
      <x:c r="E1895" s="12" t="n">
        <x:v>0.24083333333333334</x:v>
      </x:c>
      <x:c r="F1895" s="12" t="n">
        <x:v>0</x:v>
      </x:c>
      <x:c r="G1895" s="12" t="n">
        <x:v>0</x:v>
      </x:c>
      <x:c r="H1895" s="1" t="n">
        <x:f>'Historical prices'!E1895</x:f>
        <x:v>1.05</x:v>
      </x:c>
      <x:c r="I1895" s="6" t="n">
        <x:f>'Historical prices'!D1895</x:f>
        <x:v>0.16820000000000002</x:v>
      </x:c>
      <x:c r="J1895" s="13" t="n">
        <x:f>D1895*I1895*H1895</x:f>
        <x:v>0.040767475000000004</x:v>
      </x:c>
      <x:c r="K1895" s="13" t="n">
        <x:f>E1895*I1895*H1895</x:f>
        <x:v>0.042533575000000004</x:v>
      </x:c>
      <x:c r="L1895" s="1" t="str">
        <x:f>TEXT(A1895,"mmm yyyy")</x:f>
        <x:v>Jun 2026</x:v>
      </x:c>
    </x:row>
    <x:row r="1896" ht="21" customHeight="1">
      <x:c r="A1896" s="10" t="n">
        <x:v>46188</x:v>
      </x:c>
      <x:c r="B1896" s="1" t="n">
        <x:v>0</x:v>
      </x:c>
      <x:c r="C1896" s="1" t="n">
        <x:v>6</x:v>
      </x:c>
      <x:c r="D1896" s="12" t="n">
        <x:v>0.20600000000000002</x:v>
      </x:c>
      <x:c r="E1896" s="12" t="n">
        <x:v>0.21800000000000003</x:v>
      </x:c>
      <x:c r="F1896" s="12" t="n">
        <x:v>0</x:v>
      </x:c>
      <x:c r="G1896" s="12" t="n">
        <x:v>0</x:v>
      </x:c>
      <x:c r="H1896" s="1" t="n">
        <x:f>'Historical prices'!E1896</x:f>
        <x:v>1.05</x:v>
      </x:c>
      <x:c r="I1896" s="6" t="n">
        <x:f>'Historical prices'!D1896</x:f>
        <x:v>0.1707</x:v>
      </x:c>
      <x:c r="J1896" s="13" t="n">
        <x:f>D1896*I1896*H1896</x:f>
        <x:v>0.03692241</x:v>
      </x:c>
      <x:c r="K1896" s="13" t="n">
        <x:f>E1896*I1896*H1896</x:f>
        <x:v>0.03907323000000001</x:v>
      </x:c>
      <x:c r="L1896" s="1" t="str">
        <x:f>TEXT(A1896,"mmm yyyy")</x:f>
        <x:v>Jun 2026</x:v>
      </x:c>
    </x:row>
    <x:row r="1897" ht="21" customHeight="1">
      <x:c r="A1897" s="10" t="n">
        <x:v>46188</x:v>
      </x:c>
      <x:c r="B1897" s="1" t="n">
        <x:v>0.5</x:v>
      </x:c>
      <x:c r="C1897" s="1" t="n">
        <x:v>6</x:v>
      </x:c>
      <x:c r="D1897" s="12" t="n">
        <x:v>0.15941666666666668</x:v>
      </x:c>
      <x:c r="E1897" s="12" t="n">
        <x:v>0.17041666666666666</x:v>
      </x:c>
      <x:c r="F1897" s="12" t="n">
        <x:v>0</x:v>
      </x:c>
      <x:c r="G1897" s="12" t="n">
        <x:v>0</x:v>
      </x:c>
      <x:c r="H1897" s="1" t="n">
        <x:f>'Historical prices'!E1897</x:f>
        <x:v>1.05</x:v>
      </x:c>
      <x:c r="I1897" s="6" t="n">
        <x:f>'Historical prices'!D1897</x:f>
        <x:v>0.1629</x:v>
      </x:c>
      <x:c r="J1897" s="13" t="n">
        <x:f>D1897*I1897*H1897</x:f>
        <x:v>0.027267423750000002</x:v>
      </x:c>
      <x:c r="K1897" s="13" t="n">
        <x:f>E1897*I1897*H1897</x:f>
        <x:v>0.02914891875</x:v>
      </x:c>
      <x:c r="L1897" s="1" t="str">
        <x:f>TEXT(A1897,"mmm yyyy")</x:f>
        <x:v>Jun 2026</x:v>
      </x:c>
    </x:row>
    <x:row r="1898" ht="21" customHeight="1">
      <x:c r="A1898" s="10" t="n">
        <x:v>46188</x:v>
      </x:c>
      <x:c r="B1898" s="1" t="n">
        <x:v>1</x:v>
      </x:c>
      <x:c r="C1898" s="1" t="n">
        <x:v>6</x:v>
      </x:c>
      <x:c r="D1898" s="12" t="n">
        <x:v>0.2150833333333333</x:v>
      </x:c>
      <x:c r="E1898" s="12" t="n">
        <x:v>0.2260833333333333</x:v>
      </x:c>
      <x:c r="F1898" s="12" t="n">
        <x:v>0</x:v>
      </x:c>
      <x:c r="G1898" s="12" t="n">
        <x:v>0</x:v>
      </x:c>
      <x:c r="H1898" s="1" t="n">
        <x:f>'Historical prices'!E1898</x:f>
        <x:v>1.05</x:v>
      </x:c>
      <x:c r="I1898" s="6" t="n">
        <x:f>'Historical prices'!D1898</x:f>
        <x:v>0.1577</x:v>
      </x:c>
      <x:c r="J1898" s="13" t="n">
        <x:f>D1898*I1898*H1898</x:f>
        <x:v>0.035614573749999996</x:v>
      </x:c>
      <x:c r="K1898" s="13" t="n">
        <x:f>E1898*I1898*H1898</x:f>
        <x:v>0.03743600875</x:v>
      </x:c>
      <x:c r="L1898" s="1" t="str">
        <x:f>TEXT(A1898,"mmm yyyy")</x:f>
        <x:v>Jun 2026</x:v>
      </x:c>
    </x:row>
    <x:row r="1899" ht="21" customHeight="1">
      <x:c r="A1899" s="10" t="n">
        <x:v>46188</x:v>
      </x:c>
      <x:c r="B1899" s="1" t="n">
        <x:v>1.5</x:v>
      </x:c>
      <x:c r="C1899" s="1" t="n">
        <x:v>6</x:v>
      </x:c>
      <x:c r="D1899" s="12" t="n">
        <x:v>0.21116666666666664</x:v>
      </x:c>
      <x:c r="E1899" s="12" t="n">
        <x:v>0.22216666666666665</x:v>
      </x:c>
      <x:c r="F1899" s="12" t="n">
        <x:v>0</x:v>
      </x:c>
      <x:c r="G1899" s="12" t="n">
        <x:v>0</x:v>
      </x:c>
      <x:c r="H1899" s="1" t="n">
        <x:f>'Historical prices'!E1899</x:f>
        <x:v>1.05</x:v>
      </x:c>
      <x:c r="I1899" s="6" t="n">
        <x:f>'Historical prices'!D1899</x:f>
        <x:v>0.1577</x:v>
      </x:c>
      <x:c r="J1899" s="13" t="n">
        <x:f>D1899*I1899*H1899</x:f>
        <x:v>0.0349660325</x:v>
      </x:c>
      <x:c r="K1899" s="13" t="n">
        <x:f>E1899*I1899*H1899</x:f>
        <x:v>0.0367874675</x:v>
      </x:c>
      <x:c r="L1899" s="1" t="str">
        <x:f>TEXT(A1899,"mmm yyyy")</x:f>
        <x:v>Jun 2026</x:v>
      </x:c>
    </x:row>
    <x:row r="1900" ht="21" customHeight="1">
      <x:c r="A1900" s="10" t="n">
        <x:v>46188</x:v>
      </x:c>
      <x:c r="B1900" s="1" t="n">
        <x:v>2</x:v>
      </x:c>
      <x:c r="C1900" s="1" t="n">
        <x:v>6</x:v>
      </x:c>
      <x:c r="D1900" s="12" t="n">
        <x:v>0.2585</x:v>
      </x:c>
      <x:c r="E1900" s="12" t="n">
        <x:v>0.2695</x:v>
      </x:c>
      <x:c r="F1900" s="12" t="n">
        <x:v>0</x:v>
      </x:c>
      <x:c r="G1900" s="12" t="n">
        <x:v>0</x:v>
      </x:c>
      <x:c r="H1900" s="1" t="n">
        <x:f>'Historical prices'!E1900</x:f>
        <x:v>1.05</x:v>
      </x:c>
      <x:c r="I1900" s="6" t="n">
        <x:f>'Historical prices'!D1900</x:f>
        <x:v>0.1618</x:v>
      </x:c>
      <x:c r="J1900" s="13" t="n">
        <x:f>D1900*I1900*H1900</x:f>
        <x:v>0.043916565000000005</x:v>
      </x:c>
      <x:c r="K1900" s="13" t="n">
        <x:f>E1900*I1900*H1900</x:f>
        <x:v>0.045785355</x:v>
      </x:c>
      <x:c r="L1900" s="1" t="str">
        <x:f>TEXT(A1900,"mmm yyyy")</x:f>
        <x:v>Jun 2026</x:v>
      </x:c>
    </x:row>
    <x:row r="1901" ht="21" customHeight="1">
      <x:c r="A1901" s="10" t="n">
        <x:v>46188</x:v>
      </x:c>
      <x:c r="B1901" s="1" t="n">
        <x:v>2.5</x:v>
      </x:c>
      <x:c r="C1901" s="1" t="n">
        <x:v>6</x:v>
      </x:c>
      <x:c r="D1901" s="12" t="n">
        <x:v>0.166</x:v>
      </x:c>
      <x:c r="E1901" s="12" t="n">
        <x:v>0.177</x:v>
      </x:c>
      <x:c r="F1901" s="12" t="n">
        <x:v>0</x:v>
      </x:c>
      <x:c r="G1901" s="12" t="n">
        <x:v>0</x:v>
      </x:c>
      <x:c r="H1901" s="1" t="n">
        <x:f>'Historical prices'!E1901</x:f>
        <x:v>1.05</x:v>
      </x:c>
      <x:c r="I1901" s="6" t="n">
        <x:f>'Historical prices'!D1901</x:f>
        <x:v>0.156</x:v>
      </x:c>
      <x:c r="J1901" s="13" t="n">
        <x:f>D1901*I1901*H1901</x:f>
        <x:v>0.027190800000000005</x:v>
      </x:c>
      <x:c r="K1901" s="13" t="n">
        <x:f>E1901*I1901*H1901</x:f>
        <x:v>0.0289926</x:v>
      </x:c>
      <x:c r="L1901" s="1" t="str">
        <x:f>TEXT(A1901,"mmm yyyy")</x:f>
        <x:v>Jun 2026</x:v>
      </x:c>
    </x:row>
    <x:row r="1902" ht="21" customHeight="1">
      <x:c r="A1902" s="10" t="n">
        <x:v>46188</x:v>
      </x:c>
      <x:c r="B1902" s="1" t="n">
        <x:v>3</x:v>
      </x:c>
      <x:c r="C1902" s="1" t="n">
        <x:v>6</x:v>
      </x:c>
      <x:c r="D1902" s="12" t="n">
        <x:v>0.25</x:v>
      </x:c>
      <x:c r="E1902" s="12" t="n">
        <x:v>0.261</x:v>
      </x:c>
      <x:c r="F1902" s="12" t="n">
        <x:v>0</x:v>
      </x:c>
      <x:c r="G1902" s="12" t="n">
        <x:v>0</x:v>
      </x:c>
      <x:c r="H1902" s="1" t="n">
        <x:f>'Historical prices'!E1902</x:f>
        <x:v>1.05</x:v>
      </x:c>
      <x:c r="I1902" s="6" t="n">
        <x:f>'Historical prices'!D1902</x:f>
        <x:v>0.1514</x:v>
      </x:c>
      <x:c r="J1902" s="13" t="n">
        <x:f>D1902*I1902*H1902</x:f>
        <x:v>0.0397425</x:v>
      </x:c>
      <x:c r="K1902" s="13" t="n">
        <x:f>E1902*I1902*H1902</x:f>
        <x:v>0.04149117000000001</x:v>
      </x:c>
      <x:c r="L1902" s="1" t="str">
        <x:f>TEXT(A1902,"mmm yyyy")</x:f>
        <x:v>Jun 2026</x:v>
      </x:c>
    </x:row>
    <x:row r="1903" ht="21" customHeight="1">
      <x:c r="A1903" s="10" t="n">
        <x:v>46188</x:v>
      </x:c>
      <x:c r="B1903" s="1" t="n">
        <x:v>3.5</x:v>
      </x:c>
      <x:c r="C1903" s="1" t="n">
        <x:v>6</x:v>
      </x:c>
      <x:c r="D1903" s="12" t="n">
        <x:v>0.19533333333333333</x:v>
      </x:c>
      <x:c r="E1903" s="12" t="n">
        <x:v>0.20633333333333334</x:v>
      </x:c>
      <x:c r="F1903" s="12" t="n">
        <x:v>0</x:v>
      </x:c>
      <x:c r="G1903" s="12" t="n">
        <x:v>0</x:v>
      </x:c>
      <x:c r="H1903" s="1" t="n">
        <x:f>'Historical prices'!E1903</x:f>
        <x:v>1.05</x:v>
      </x:c>
      <x:c r="I1903" s="6" t="n">
        <x:f>'Historical prices'!D1903</x:f>
        <x:v>0.1577</x:v>
      </x:c>
      <x:c r="J1903" s="13" t="n">
        <x:f>D1903*I1903*H1903</x:f>
        <x:v>0.03234427</x:v>
      </x:c>
      <x:c r="K1903" s="13" t="n">
        <x:f>E1903*I1903*H1903</x:f>
        <x:v>0.034165705000000005</x:v>
      </x:c>
      <x:c r="L1903" s="1" t="str">
        <x:f>TEXT(A1903,"mmm yyyy")</x:f>
        <x:v>Jun 2026</x:v>
      </x:c>
    </x:row>
    <x:row r="1904" ht="21" customHeight="1">
      <x:c r="A1904" s="10" t="n">
        <x:v>46188</x:v>
      </x:c>
      <x:c r="B1904" s="1" t="n">
        <x:v>4</x:v>
      </x:c>
      <x:c r="C1904" s="1" t="n">
        <x:v>6</x:v>
      </x:c>
      <x:c r="D1904" s="12" t="n">
        <x:v>0.1845</x:v>
      </x:c>
      <x:c r="E1904" s="12" t="n">
        <x:v>0.19649999999999998</x:v>
      </x:c>
      <x:c r="F1904" s="12" t="n">
        <x:v>0</x:v>
      </x:c>
      <x:c r="G1904" s="12" t="n">
        <x:v>0</x:v>
      </x:c>
      <x:c r="H1904" s="1" t="n">
        <x:f>'Historical prices'!E1904</x:f>
        <x:v>1.05</x:v>
      </x:c>
      <x:c r="I1904" s="6" t="n">
        <x:f>'Historical prices'!D1904</x:f>
        <x:v>0.15380000000000002</x:v>
      </x:c>
      <x:c r="J1904" s="13" t="n">
        <x:f>D1904*I1904*H1904</x:f>
        <x:v>0.029794905000000007</x:v>
      </x:c>
      <x:c r="K1904" s="13" t="n">
        <x:f>E1904*I1904*H1904</x:f>
        <x:v>0.031732785</x:v>
      </x:c>
      <x:c r="L1904" s="1" t="str">
        <x:f>TEXT(A1904,"mmm yyyy")</x:f>
        <x:v>Jun 2026</x:v>
      </x:c>
    </x:row>
    <x:row r="1905" ht="21" customHeight="1">
      <x:c r="A1905" s="10" t="n">
        <x:v>46188</x:v>
      </x:c>
      <x:c r="B1905" s="1" t="n">
        <x:v>4.5</x:v>
      </x:c>
      <x:c r="C1905" s="1" t="n">
        <x:v>6</x:v>
      </x:c>
      <x:c r="D1905" s="12" t="n">
        <x:v>0.23616666666666666</x:v>
      </x:c>
      <x:c r="E1905" s="12" t="n">
        <x:v>0.24616666666666667</x:v>
      </x:c>
      <x:c r="F1905" s="12" t="n">
        <x:v>0</x:v>
      </x:c>
      <x:c r="G1905" s="12" t="n">
        <x:v>0</x:v>
      </x:c>
      <x:c r="H1905" s="1" t="n">
        <x:f>'Historical prices'!E1905</x:f>
        <x:v>1.05</x:v>
      </x:c>
      <x:c r="I1905" s="6" t="n">
        <x:f>'Historical prices'!D1905</x:f>
        <x:v>0.1496</x:v>
      </x:c>
      <x:c r="J1905" s="13" t="n">
        <x:f>D1905*I1905*H1905</x:f>
        <x:v>0.03709706000000001</x:v>
      </x:c>
      <x:c r="K1905" s="13" t="n">
        <x:f>E1905*I1905*H1905</x:f>
        <x:v>0.038667860000000005</x:v>
      </x:c>
      <x:c r="L1905" s="1" t="str">
        <x:f>TEXT(A1905,"mmm yyyy")</x:f>
        <x:v>Jun 2026</x:v>
      </x:c>
    </x:row>
    <x:row r="1906" ht="21" customHeight="1">
      <x:c r="A1906" s="10" t="n">
        <x:v>46188</x:v>
      </x:c>
      <x:c r="B1906" s="1" t="n">
        <x:v>5</x:v>
      </x:c>
      <x:c r="C1906" s="1" t="n">
        <x:v>6</x:v>
      </x:c>
      <x:c r="D1906" s="12" t="n">
        <x:v>0.29300000000000004</x:v>
      </x:c>
      <x:c r="E1906" s="12" t="n">
        <x:v>0.304</x:v>
      </x:c>
      <x:c r="F1906" s="12" t="n">
        <x:v>0</x:v>
      </x:c>
      <x:c r="G1906" s="12" t="n">
        <x:v>0</x:v>
      </x:c>
      <x:c r="H1906" s="1" t="n">
        <x:f>'Historical prices'!E1906</x:f>
        <x:v>1.05</x:v>
      </x:c>
      <x:c r="I1906" s="6" t="n">
        <x:f>'Historical prices'!D1906</x:f>
        <x:v>0.1629</x:v>
      </x:c>
      <x:c r="J1906" s="13" t="n">
        <x:f>D1906*I1906*H1906</x:f>
        <x:v>0.050116185</x:v>
      </x:c>
      <x:c r="K1906" s="13" t="n">
        <x:f>E1906*I1906*H1906</x:f>
        <x:v>0.051997680000000004</x:v>
      </x:c>
      <x:c r="L1906" s="1" t="str">
        <x:f>TEXT(A1906,"mmm yyyy")</x:f>
        <x:v>Jun 2026</x:v>
      </x:c>
    </x:row>
    <x:row r="1907" ht="21" customHeight="1">
      <x:c r="A1907" s="10" t="n">
        <x:v>46188</x:v>
      </x:c>
      <x:c r="B1907" s="1" t="n">
        <x:v>5.5</x:v>
      </x:c>
      <x:c r="C1907" s="1" t="n">
        <x:v>6</x:v>
      </x:c>
      <x:c r="D1907" s="12" t="n">
        <x:v>0.18500000000000003</x:v>
      </x:c>
      <x:c r="E1907" s="12" t="n">
        <x:v>0.196</x:v>
      </x:c>
      <x:c r="F1907" s="12" t="n">
        <x:v>0</x:v>
      </x:c>
      <x:c r="G1907" s="12" t="n">
        <x:v>0</x:v>
      </x:c>
      <x:c r="H1907" s="1" t="n">
        <x:f>'Historical prices'!E1907</x:f>
        <x:v>1.05</x:v>
      </x:c>
      <x:c r="I1907" s="6" t="n">
        <x:f>'Historical prices'!D1907</x:f>
        <x:v>0.15960000000000002</x:v>
      </x:c>
      <x:c r="J1907" s="13" t="n">
        <x:f>D1907*I1907*H1907</x:f>
        <x:v>0.03100230000000001</x:v>
      </x:c>
      <x:c r="K1907" s="13" t="n">
        <x:f>E1907*I1907*H1907</x:f>
        <x:v>0.03284568000000001</x:v>
      </x:c>
      <x:c r="L1907" s="1" t="str">
        <x:f>TEXT(A1907,"mmm yyyy")</x:f>
        <x:v>Jun 2026</x:v>
      </x:c>
    </x:row>
    <x:row r="1908" ht="21" customHeight="1">
      <x:c r="A1908" s="10" t="n">
        <x:v>46188</x:v>
      </x:c>
      <x:c r="B1908" s="1" t="n">
        <x:v>6</x:v>
      </x:c>
      <x:c r="C1908" s="1" t="n">
        <x:v>6</x:v>
      </x:c>
      <x:c r="D1908" s="12" t="n">
        <x:v>0.26683333333333337</x:v>
      </x:c>
      <x:c r="E1908" s="12" t="n">
        <x:v>0.2778333333333334</x:v>
      </x:c>
      <x:c r="F1908" s="12" t="n">
        <x:v>0</x:v>
      </x:c>
      <x:c r="G1908" s="12" t="n">
        <x:v>0</x:v>
      </x:c>
      <x:c r="H1908" s="1" t="n">
        <x:f>'Historical prices'!E1908</x:f>
        <x:v>1.05</x:v>
      </x:c>
      <x:c r="I1908" s="6" t="n">
        <x:f>'Historical prices'!D1908</x:f>
        <x:v>0.1646</x:v>
      </x:c>
      <x:c r="J1908" s="13" t="n">
        <x:f>D1908*I1908*H1908</x:f>
        <x:v>0.04611680500000001</x:v>
      </x:c>
      <x:c r="K1908" s="13" t="n">
        <x:f>E1908*I1908*H1908</x:f>
        <x:v>0.04801793500000001</x:v>
      </x:c>
      <x:c r="L1908" s="1" t="str">
        <x:f>TEXT(A1908,"mmm yyyy")</x:f>
        <x:v>Jun 2026</x:v>
      </x:c>
    </x:row>
    <x:row r="1909" ht="21" customHeight="1">
      <x:c r="A1909" s="10" t="n">
        <x:v>46188</x:v>
      </x:c>
      <x:c r="B1909" s="1" t="n">
        <x:v>6.5</x:v>
      </x:c>
      <x:c r="C1909" s="1" t="n">
        <x:v>6</x:v>
      </x:c>
      <x:c r="D1909" s="12" t="n">
        <x:v>0.06291666666666666</x:v>
      </x:c>
      <x:c r="E1909" s="12" t="n">
        <x:v>0.48083333333333333</x:v>
      </x:c>
      <x:c r="F1909" s="12" t="n">
        <x:v>0.4149166666666667</x:v>
      </x:c>
      <x:c r="G1909" s="12" t="n">
        <x:v>0</x:v>
      </x:c>
      <x:c r="H1909" s="1" t="n">
        <x:f>'Historical prices'!E1909</x:f>
        <x:v>1.05</x:v>
      </x:c>
      <x:c r="I1909" s="6" t="n">
        <x:f>'Historical prices'!D1909</x:f>
        <x:v>0.2004</x:v>
      </x:c>
      <x:c r="J1909" s="13" t="n">
        <x:f>D1909*I1909*H1909</x:f>
        <x:v>0.013238924999999999</x:v>
      </x:c>
      <x:c r="K1909" s="13" t="n">
        <x:f>E1909*I1909*H1909</x:f>
        <x:v>0.10117695</x:v>
      </x:c>
      <x:c r="L1909" s="1" t="str">
        <x:f>TEXT(A1909,"mmm yyyy")</x:f>
        <x:v>Jun 2026</x:v>
      </x:c>
    </x:row>
    <x:row r="1910" ht="21" customHeight="1">
      <x:c r="A1910" s="10" t="n">
        <x:v>46188</x:v>
      </x:c>
      <x:c r="B1910" s="1" t="n">
        <x:v>7</x:v>
      </x:c>
      <x:c r="C1910" s="1" t="n">
        <x:v>6</x:v>
      </x:c>
      <x:c r="D1910" s="12" t="n">
        <x:v>0</x:v>
      </x:c>
      <x:c r="E1910" s="12" t="n">
        <x:v>0.6793333333333333</x:v>
      </x:c>
      <x:c r="F1910" s="12" t="n">
        <x:v>0.6793333333333333</x:v>
      </x:c>
      <x:c r="G1910" s="12" t="n">
        <x:v>0</x:v>
      </x:c>
      <x:c r="H1910" s="1" t="n">
        <x:f>'Historical prices'!E1910</x:f>
        <x:v>1.05</x:v>
      </x:c>
      <x:c r="I1910" s="6" t="n">
        <x:f>'Historical prices'!D1910</x:f>
        <x:v>0.21539999999999998</x:v>
      </x:c>
      <x:c r="J1910" s="13" t="n">
        <x:f>D1910*I1910*H1910</x:f>
        <x:v>0</x:v>
      </x:c>
      <x:c r="K1910" s="13" t="n">
        <x:f>E1910*I1910*H1910</x:f>
        <x:v>0.15364482000000002</x:v>
      </x:c>
      <x:c r="L1910" s="1" t="str">
        <x:f>TEXT(A1910,"mmm yyyy")</x:f>
        <x:v>Jun 2026</x:v>
      </x:c>
    </x:row>
    <x:row r="1911" ht="21" customHeight="1">
      <x:c r="A1911" s="10" t="n">
        <x:v>46188</x:v>
      </x:c>
      <x:c r="B1911" s="1" t="n">
        <x:v>7.5</x:v>
      </x:c>
      <x:c r="C1911" s="1" t="n">
        <x:v>6</x:v>
      </x:c>
      <x:c r="D1911" s="12" t="n">
        <x:v>0</x:v>
      </x:c>
      <x:c r="E1911" s="12" t="n">
        <x:v>0.532</x:v>
      </x:c>
      <x:c r="F1911" s="12" t="n">
        <x:v>0.5318333333333334</x:v>
      </x:c>
      <x:c r="G1911" s="12" t="n">
        <x:v>0</x:v>
      </x:c>
      <x:c r="H1911" s="1" t="n">
        <x:f>'Historical prices'!E1911</x:f>
        <x:v>1.05</x:v>
      </x:c>
      <x:c r="I1911" s="6" t="n">
        <x:f>'Historical prices'!D1911</x:f>
        <x:v>0.2186</x:v>
      </x:c>
      <x:c r="J1911" s="13" t="n">
        <x:f>D1911*I1911*H1911</x:f>
        <x:v>0</x:v>
      </x:c>
      <x:c r="K1911" s="13" t="n">
        <x:f>E1911*I1911*H1911</x:f>
        <x:v>0.12210996</x:v>
      </x:c>
      <x:c r="L1911" s="1" t="str">
        <x:f>TEXT(A1911,"mmm yyyy")</x:f>
        <x:v>Jun 2026</x:v>
      </x:c>
    </x:row>
    <x:row r="1912" ht="21" customHeight="1">
      <x:c r="A1912" s="10" t="n">
        <x:v>46188</x:v>
      </x:c>
      <x:c r="B1912" s="1" t="n">
        <x:v>8</x:v>
      </x:c>
      <x:c r="C1912" s="1" t="n">
        <x:v>6</x:v>
      </x:c>
      <x:c r="D1912" s="12" t="n">
        <x:v>0</x:v>
      </x:c>
      <x:c r="E1912" s="12" t="n">
        <x:v>0.54075</x:v>
      </x:c>
      <x:c r="F1912" s="12" t="n">
        <x:v>0.5405</x:v>
      </x:c>
      <x:c r="G1912" s="12" t="n">
        <x:v>0</x:v>
      </x:c>
      <x:c r="H1912" s="1" t="n">
        <x:f>'Historical prices'!E1912</x:f>
        <x:v>1.05</x:v>
      </x:c>
      <x:c r="I1912" s="6" t="n">
        <x:f>'Historical prices'!D1912</x:f>
        <x:v>0.20579999999999998</x:v>
      </x:c>
      <x:c r="J1912" s="13" t="n">
        <x:f>D1912*I1912*H1912</x:f>
        <x:v>0</x:v>
      </x:c>
      <x:c r="K1912" s="13" t="n">
        <x:f>E1912*I1912*H1912</x:f>
        <x:v>0.11685066749999998</x:v>
      </x:c>
      <x:c r="L1912" s="1" t="str">
        <x:f>TEXT(A1912,"mmm yyyy")</x:f>
        <x:v>Jun 2026</x:v>
      </x:c>
    </x:row>
    <x:row r="1913" ht="21" customHeight="1">
      <x:c r="A1913" s="10" t="n">
        <x:v>46188</x:v>
      </x:c>
      <x:c r="B1913" s="1" t="n">
        <x:v>8.5</x:v>
      </x:c>
      <x:c r="C1913" s="1" t="n">
        <x:v>6</x:v>
      </x:c>
      <x:c r="D1913" s="12" t="n">
        <x:v>0</x:v>
      </x:c>
      <x:c r="E1913" s="12" t="n">
        <x:v>0.8128333333333334</x:v>
      </x:c>
      <x:c r="F1913" s="12" t="n">
        <x:v>0.8127500000000001</x:v>
      </x:c>
      <x:c r="G1913" s="12" t="n">
        <x:v>0</x:v>
      </x:c>
      <x:c r="H1913" s="1" t="n">
        <x:f>'Historical prices'!E1913</x:f>
        <x:v>1.05</x:v>
      </x:c>
      <x:c r="I1913" s="6" t="n">
        <x:f>'Historical prices'!D1913</x:f>
        <x:v>0.1911</x:v>
      </x:c>
      <x:c r="J1913" s="13" t="n">
        <x:f>D1913*I1913*H1913</x:f>
        <x:v>0</x:v>
      </x:c>
      <x:c r="K1913" s="13" t="n">
        <x:f>E1913*I1913*H1913</x:f>
        <x:v>0.16309907250000003</x:v>
      </x:c>
      <x:c r="L1913" s="1" t="str">
        <x:f>TEXT(A1913,"mmm yyyy")</x:f>
        <x:v>Jun 2026</x:v>
      </x:c>
    </x:row>
    <x:row r="1914" ht="21" customHeight="1">
      <x:c r="A1914" s="10" t="n">
        <x:v>46188</x:v>
      </x:c>
      <x:c r="B1914" s="1" t="n">
        <x:v>9</x:v>
      </x:c>
      <x:c r="C1914" s="1" t="n">
        <x:v>6</x:v>
      </x:c>
      <x:c r="D1914" s="12" t="n">
        <x:v>0</x:v>
      </x:c>
      <x:c r="E1914" s="12" t="n">
        <x:v>0.6981666666666666</x:v>
      </x:c>
      <x:c r="F1914" s="12" t="n">
        <x:v>0.698</x:v>
      </x:c>
      <x:c r="G1914" s="12" t="n">
        <x:v>0</x:v>
      </x:c>
      <x:c r="H1914" s="1" t="n">
        <x:f>'Historical prices'!E1914</x:f>
        <x:v>1.05</x:v>
      </x:c>
      <x:c r="I1914" s="6" t="n">
        <x:f>'Historical prices'!D1914</x:f>
        <x:v>0.1973</x:v>
      </x:c>
      <x:c r="J1914" s="13" t="n">
        <x:f>D1914*I1914*H1914</x:f>
        <x:v>0</x:v>
      </x:c>
      <x:c r="K1914" s="13" t="n">
        <x:f>E1914*I1914*H1914</x:f>
        <x:v>0.1446356975</x:v>
      </x:c>
      <x:c r="L1914" s="1" t="str">
        <x:f>TEXT(A1914,"mmm yyyy")</x:f>
        <x:v>Jun 2026</x:v>
      </x:c>
    </x:row>
    <x:row r="1915" ht="21" customHeight="1">
      <x:c r="A1915" s="10" t="n">
        <x:v>46188</x:v>
      </x:c>
      <x:c r="B1915" s="1" t="n">
        <x:v>9.5</x:v>
      </x:c>
      <x:c r="C1915" s="1" t="n">
        <x:v>6</x:v>
      </x:c>
      <x:c r="D1915" s="12" t="n">
        <x:v>0.5538333333333333</x:v>
      </x:c>
      <x:c r="E1915" s="12" t="n">
        <x:v>0.6769166666666666</x:v>
      </x:c>
      <x:c r="F1915" s="12" t="n">
        <x:v>0.113</x:v>
      </x:c>
      <x:c r="G1915" s="12" t="n">
        <x:v>0</x:v>
      </x:c>
      <x:c r="H1915" s="1" t="n">
        <x:f>'Historical prices'!E1915</x:f>
        <x:v>1.05</x:v>
      </x:c>
      <x:c r="I1915" s="6" t="n">
        <x:f>'Historical prices'!D1915</x:f>
        <x:v>0.17920000000000003</x:v>
      </x:c>
      <x:c r="J1915" s="13" t="n">
        <x:f>D1915*I1915*H1915</x:f>
        <x:v>0.10420928000000002</x:v>
      </x:c>
      <x:c r="K1915" s="13" t="n">
        <x:f>E1915*I1915*H1915</x:f>
        <x:v>0.12736864</x:v>
      </x:c>
      <x:c r="L1915" s="1" t="str">
        <x:f>TEXT(A1915,"mmm yyyy")</x:f>
        <x:v>Jun 2026</x:v>
      </x:c>
    </x:row>
    <x:row r="1916" ht="21" customHeight="1">
      <x:c r="A1916" s="10" t="n">
        <x:v>46188</x:v>
      </x:c>
      <x:c r="B1916" s="1" t="n">
        <x:v>10</x:v>
      </x:c>
      <x:c r="C1916" s="1" t="n">
        <x:v>6</x:v>
      </x:c>
      <x:c r="D1916" s="12" t="n">
        <x:v>0.6224166666666667</x:v>
      </x:c>
      <x:c r="E1916" s="12" t="n">
        <x:v>0.6344166666666667</x:v>
      </x:c>
      <x:c r="F1916" s="12" t="n">
        <x:v>0</x:v>
      </x:c>
      <x:c r="G1916" s="12" t="n">
        <x:v>0</x:v>
      </x:c>
      <x:c r="H1916" s="1" t="n">
        <x:f>'Historical prices'!E1916</x:f>
        <x:v>1.05</x:v>
      </x:c>
      <x:c r="I1916" s="6" t="n">
        <x:f>'Historical prices'!D1916</x:f>
        <x:v>0.1613</x:v>
      </x:c>
      <x:c r="J1916" s="13" t="n">
        <x:f>D1916*I1916*H1916</x:f>
        <x:v>0.10541559875</x:v>
      </x:c>
      <x:c r="K1916" s="13" t="n">
        <x:f>E1916*I1916*H1916</x:f>
        <x:v>0.10744797875000002</x:v>
      </x:c>
      <x:c r="L1916" s="1" t="str">
        <x:f>TEXT(A1916,"mmm yyyy")</x:f>
        <x:v>Jun 2026</x:v>
      </x:c>
    </x:row>
    <x:row r="1917" ht="21" customHeight="1">
      <x:c r="A1917" s="10" t="n">
        <x:v>46188</x:v>
      </x:c>
      <x:c r="B1917" s="1" t="n">
        <x:v>10.5</x:v>
      </x:c>
      <x:c r="C1917" s="1" t="n">
        <x:v>6</x:v>
      </x:c>
      <x:c r="D1917" s="12" t="n">
        <x:v>4.552583333333334</x:v>
      </x:c>
      <x:c r="E1917" s="12" t="n">
        <x:v>0.7385833333333334</x:v>
      </x:c>
      <x:c r="F1917" s="12" t="n">
        <x:v>0</x:v>
      </x:c>
      <x:c r="G1917" s="12" t="n">
        <x:v>3.815</x:v>
      </x:c>
      <x:c r="H1917" s="1" t="n">
        <x:f>'Historical prices'!E1917</x:f>
        <x:v>1.05</x:v>
      </x:c>
      <x:c r="I1917" s="6" t="n">
        <x:f>'Historical prices'!D1917</x:f>
        <x:v>0.14529999999999998</x:v>
      </x:c>
      <x:c r="J1917" s="13" t="n">
        <x:f>D1917*I1917*H1917</x:f>
        <x:v>0.6945648762500001</x:v>
      </x:c>
      <x:c r="K1917" s="13" t="n">
        <x:f>E1917*I1917*H1917</x:f>
        <x:v>0.11268196625</x:v>
      </x:c>
      <x:c r="L1917" s="1" t="str">
        <x:f>TEXT(A1917,"mmm yyyy")</x:f>
        <x:v>Jun 2026</x:v>
      </x:c>
    </x:row>
    <x:row r="1918" ht="21" customHeight="1">
      <x:c r="A1918" s="10" t="n">
        <x:v>46188</x:v>
      </x:c>
      <x:c r="B1918" s="1" t="n">
        <x:v>11</x:v>
      </x:c>
      <x:c r="C1918" s="1" t="n">
        <x:v>6</x:v>
      </x:c>
      <x:c r="D1918" s="12" t="n">
        <x:v>1.39425</x:v>
      </x:c>
      <x:c r="E1918" s="12" t="n">
        <x:v>0.65025</x:v>
      </x:c>
      <x:c r="F1918" s="12" t="n">
        <x:v>0</x:v>
      </x:c>
      <x:c r="G1918" s="12" t="n">
        <x:v>0.747</x:v>
      </x:c>
      <x:c r="H1918" s="1" t="n">
        <x:f>'Historical prices'!E1918</x:f>
        <x:v>1.05</x:v>
      </x:c>
      <x:c r="I1918" s="6" t="n">
        <x:f>'Historical prices'!D1918</x:f>
        <x:v>0.1522</x:v>
      </x:c>
      <x:c r="J1918" s="13" t="n">
        <x:f>D1918*I1918*H1918</x:f>
        <x:v>0.2228150925</x:v>
      </x:c>
      <x:c r="K1918" s="13" t="n">
        <x:f>E1918*I1918*H1918</x:f>
        <x:v>0.1039164525</x:v>
      </x:c>
      <x:c r="L1918" s="1" t="str">
        <x:f>TEXT(A1918,"mmm yyyy")</x:f>
        <x:v>Jun 2026</x:v>
      </x:c>
    </x:row>
    <x:row r="1919" ht="21" customHeight="1">
      <x:c r="A1919" s="10" t="n">
        <x:v>46188</x:v>
      </x:c>
      <x:c r="B1919" s="1" t="n">
        <x:v>11.5</x:v>
      </x:c>
      <x:c r="C1919" s="1" t="n">
        <x:v>6</x:v>
      </x:c>
      <x:c r="D1919" s="12" t="n">
        <x:v>0.4790833333333333</x:v>
      </x:c>
      <x:c r="E1919" s="12" t="n">
        <x:v>0.4890833333333333</x:v>
      </x:c>
      <x:c r="F1919" s="12" t="n">
        <x:v>0</x:v>
      </x:c>
      <x:c r="G1919" s="12" t="n">
        <x:v>0</x:v>
      </x:c>
      <x:c r="H1919" s="1" t="n">
        <x:f>'Historical prices'!E1919</x:f>
        <x:v>1.05</x:v>
      </x:c>
      <x:c r="I1919" s="6" t="n">
        <x:f>'Historical prices'!D1919</x:f>
        <x:v>0.1447</x:v>
      </x:c>
      <x:c r="J1919" s="13" t="n">
        <x:f>D1919*I1919*H1919</x:f>
        <x:v>0.07278952624999999</x:v>
      </x:c>
      <x:c r="K1919" s="13" t="n">
        <x:f>E1919*I1919*H1919</x:f>
        <x:v>0.07430887624999999</x:v>
      </x:c>
      <x:c r="L1919" s="1" t="str">
        <x:f>TEXT(A1919,"mmm yyyy")</x:f>
        <x:v>Jun 2026</x:v>
      </x:c>
    </x:row>
    <x:row r="1920" ht="21" customHeight="1">
      <x:c r="A1920" s="10" t="n">
        <x:v>46188</x:v>
      </x:c>
      <x:c r="B1920" s="1" t="n">
        <x:v>12</x:v>
      </x:c>
      <x:c r="C1920" s="1" t="n">
        <x:v>6</x:v>
      </x:c>
      <x:c r="D1920" s="12" t="n">
        <x:v>0.4480833333333334</x:v>
      </x:c>
      <x:c r="E1920" s="12" t="n">
        <x:v>0.4600833333333333</x:v>
      </x:c>
      <x:c r="F1920" s="12" t="n">
        <x:v>0</x:v>
      </x:c>
      <x:c r="G1920" s="12" t="n">
        <x:v>0</x:v>
      </x:c>
      <x:c r="H1920" s="1" t="n">
        <x:f>'Historical prices'!E1920</x:f>
        <x:v>1.05</x:v>
      </x:c>
      <x:c r="I1920" s="6" t="n">
        <x:f>'Historical prices'!D1920</x:f>
        <x:v>0.1542</x:v>
      </x:c>
      <x:c r="J1920" s="13" t="n">
        <x:f>D1920*I1920*H1920</x:f>
        <x:v>0.07254917250000002</x:v>
      </x:c>
      <x:c r="K1920" s="13" t="n">
        <x:f>E1920*I1920*H1920</x:f>
        <x:v>0.0744920925</x:v>
      </x:c>
      <x:c r="L1920" s="1" t="str">
        <x:f>TEXT(A1920,"mmm yyyy")</x:f>
        <x:v>Jun 2026</x:v>
      </x:c>
    </x:row>
    <x:row r="1921" ht="21" customHeight="1">
      <x:c r="A1921" s="10" t="n">
        <x:v>46188</x:v>
      </x:c>
      <x:c r="B1921" s="1" t="n">
        <x:v>12.5</x:v>
      </x:c>
      <x:c r="C1921" s="1" t="n">
        <x:v>6</x:v>
      </x:c>
      <x:c r="D1921" s="12" t="n">
        <x:v>0.49683333333333335</x:v>
      </x:c>
      <x:c r="E1921" s="12" t="n">
        <x:v>0.5078333333333332</x:v>
      </x:c>
      <x:c r="F1921" s="12" t="n">
        <x:v>0</x:v>
      </x:c>
      <x:c r="G1921" s="12" t="n">
        <x:v>0</x:v>
      </x:c>
      <x:c r="H1921" s="1" t="n">
        <x:f>'Historical prices'!E1921</x:f>
        <x:v>1.05</x:v>
      </x:c>
      <x:c r="I1921" s="6" t="n">
        <x:f>'Historical prices'!D1921</x:f>
        <x:v>0.15289999999999998</x:v>
      </x:c>
      <x:c r="J1921" s="13" t="n">
        <x:f>D1921*I1921*H1921</x:f>
        <x:v>0.0797641075</x:v>
      </x:c>
      <x:c r="K1921" s="13" t="n">
        <x:f>E1921*I1921*H1921</x:f>
        <x:v>0.08153010249999998</x:v>
      </x:c>
      <x:c r="L1921" s="1" t="str">
        <x:f>TEXT(A1921,"mmm yyyy")</x:f>
        <x:v>Jun 2026</x:v>
      </x:c>
    </x:row>
    <x:row r="1922" ht="21" customHeight="1">
      <x:c r="A1922" s="10" t="n">
        <x:v>46188</x:v>
      </x:c>
      <x:c r="B1922" s="1" t="n">
        <x:v>13</x:v>
      </x:c>
      <x:c r="C1922" s="1" t="n">
        <x:v>6</x:v>
      </x:c>
      <x:c r="D1922" s="12" t="n">
        <x:v>0.5481666666666666</x:v>
      </x:c>
      <x:c r="E1922" s="12" t="n">
        <x:v>0.5591666666666666</x:v>
      </x:c>
      <x:c r="F1922" s="12" t="n">
        <x:v>0</x:v>
      </x:c>
      <x:c r="G1922" s="12" t="n">
        <x:v>0</x:v>
      </x:c>
      <x:c r="H1922" s="1" t="n">
        <x:f>'Historical prices'!E1922</x:f>
        <x:v>1.05</x:v>
      </x:c>
      <x:c r="I1922" s="6" t="n">
        <x:f>'Historical prices'!D1922</x:f>
        <x:v>0.155</x:v>
      </x:c>
      <x:c r="J1922" s="13" t="n">
        <x:f>D1922*I1922*H1922</x:f>
        <x:v>0.08921412499999999</x:v>
      </x:c>
      <x:c r="K1922" s="13" t="n">
        <x:f>E1922*I1922*H1922</x:f>
        <x:v>0.091004375</x:v>
      </x:c>
      <x:c r="L1922" s="1" t="str">
        <x:f>TEXT(A1922,"mmm yyyy")</x:f>
        <x:v>Jun 2026</x:v>
      </x:c>
    </x:row>
    <x:row r="1923" ht="21" customHeight="1">
      <x:c r="A1923" s="10" t="n">
        <x:v>46188</x:v>
      </x:c>
      <x:c r="B1923" s="1" t="n">
        <x:v>13.5</x:v>
      </x:c>
      <x:c r="C1923" s="1" t="n">
        <x:v>6</x:v>
      </x:c>
      <x:c r="D1923" s="12" t="n">
        <x:v>1.9194166666666668</x:v>
      </x:c>
      <x:c r="E1923" s="12" t="n">
        <x:v>0.5414166666666667</x:v>
      </x:c>
      <x:c r="F1923" s="12" t="n">
        <x:v>0</x:v>
      </x:c>
      <x:c r="G1923" s="12" t="n">
        <x:v>1.38</x:v>
      </x:c>
      <x:c r="H1923" s="1" t="n">
        <x:f>'Historical prices'!E1923</x:f>
        <x:v>1.05</x:v>
      </x:c>
      <x:c r="I1923" s="6" t="n">
        <x:f>'Historical prices'!D1923</x:f>
        <x:v>0.14400000000000002</x:v>
      </x:c>
      <x:c r="J1923" s="13" t="n">
        <x:f>D1923*I1923*H1923</x:f>
        <x:v>0.2902158</x:v>
      </x:c>
      <x:c r="K1923" s="13" t="n">
        <x:f>E1923*I1923*H1923</x:f>
        <x:v>0.08186220000000001</x:v>
      </x:c>
      <x:c r="L1923" s="1" t="str">
        <x:f>TEXT(A1923,"mmm yyyy")</x:f>
        <x:v>Jun 2026</x:v>
      </x:c>
    </x:row>
    <x:row r="1924" ht="21" customHeight="1">
      <x:c r="A1924" s="10" t="n">
        <x:v>46188</x:v>
      </x:c>
      <x:c r="B1924" s="1" t="n">
        <x:v>14</x:v>
      </x:c>
      <x:c r="C1924" s="1" t="n">
        <x:v>6</x:v>
      </x:c>
      <x:c r="D1924" s="12" t="n">
        <x:v>0.5280833333333333</x:v>
      </x:c>
      <x:c r="E1924" s="12" t="n">
        <x:v>0.5040833333333333</x:v>
      </x:c>
      <x:c r="F1924" s="12" t="n">
        <x:v>0</x:v>
      </x:c>
      <x:c r="G1924" s="12" t="n">
        <x:v>0.035</x:v>
      </x:c>
      <x:c r="H1924" s="1" t="n">
        <x:f>'Historical prices'!E1924</x:f>
        <x:v>1.05</x:v>
      </x:c>
      <x:c r="I1924" s="6" t="n">
        <x:f>'Historical prices'!D1924</x:f>
        <x:v>0.15039999999999998</x:v>
      </x:c>
      <x:c r="J1924" s="13" t="n">
        <x:f>D1924*I1924*H1924</x:f>
        <x:v>0.08339492</x:v>
      </x:c>
      <x:c r="K1924" s="13" t="n">
        <x:f>E1924*I1924*H1924</x:f>
        <x:v>0.07960484</x:v>
      </x:c>
      <x:c r="L1924" s="1" t="str">
        <x:f>TEXT(A1924,"mmm yyyy")</x:f>
        <x:v>Jun 2026</x:v>
      </x:c>
    </x:row>
    <x:row r="1925" ht="21" customHeight="1">
      <x:c r="A1925" s="10" t="n">
        <x:v>46188</x:v>
      </x:c>
      <x:c r="B1925" s="1" t="n">
        <x:v>14.5</x:v>
      </x:c>
      <x:c r="C1925" s="1" t="n">
        <x:v>6</x:v>
      </x:c>
      <x:c r="D1925" s="12" t="n">
        <x:v>0.51425</x:v>
      </x:c>
      <x:c r="E1925" s="12" t="n">
        <x:v>0.50725</x:v>
      </x:c>
      <x:c r="F1925" s="12" t="n">
        <x:v>0</x:v>
      </x:c>
      <x:c r="G1925" s="12" t="n">
        <x:v>0</x:v>
      </x:c>
      <x:c r="H1925" s="1" t="n">
        <x:f>'Historical prices'!E1925</x:f>
        <x:v>1.05</x:v>
      </x:c>
      <x:c r="I1925" s="6" t="n">
        <x:f>'Historical prices'!D1925</x:f>
        <x:v>0.1477</x:v>
      </x:c>
      <x:c r="J1925" s="13" t="n">
        <x:f>D1925*I1925*H1925</x:f>
        <x:v>0.07975246125</x:v>
      </x:c>
      <x:c r="K1925" s="13" t="n">
        <x:f>E1925*I1925*H1925</x:f>
        <x:v>0.07866686625</x:v>
      </x:c>
      <x:c r="L1925" s="1" t="str">
        <x:f>TEXT(A1925,"mmm yyyy")</x:f>
        <x:v>Jun 2026</x:v>
      </x:c>
    </x:row>
    <x:row r="1926" ht="21" customHeight="1">
      <x:c r="A1926" s="10" t="n">
        <x:v>46188</x:v>
      </x:c>
      <x:c r="B1926" s="1" t="n">
        <x:v>15</x:v>
      </x:c>
      <x:c r="C1926" s="1" t="n">
        <x:v>6</x:v>
      </x:c>
      <x:c r="D1926" s="12" t="n">
        <x:v>0.5859166666666668</x:v>
      </x:c>
      <x:c r="E1926" s="12" t="n">
        <x:v>0.5979166666666668</x:v>
      </x:c>
      <x:c r="F1926" s="12" t="n">
        <x:v>0</x:v>
      </x:c>
      <x:c r="G1926" s="12" t="n">
        <x:v>0</x:v>
      </x:c>
      <x:c r="H1926" s="1" t="n">
        <x:f>'Historical prices'!E1926</x:f>
        <x:v>1.05</x:v>
      </x:c>
      <x:c r="I1926" s="6" t="n">
        <x:f>'Historical prices'!D1926</x:f>
        <x:v>0.1491</x:v>
      </x:c>
      <x:c r="J1926" s="13" t="n">
        <x:f>D1926*I1926*H1926</x:f>
        <x:v>0.09172818375000001</x:v>
      </x:c>
      <x:c r="K1926" s="13" t="n">
        <x:f>E1926*I1926*H1926</x:f>
        <x:v>0.09360684375000002</x:v>
      </x:c>
      <x:c r="L1926" s="1" t="str">
        <x:f>TEXT(A1926,"mmm yyyy")</x:f>
        <x:v>Jun 2026</x:v>
      </x:c>
    </x:row>
    <x:row r="1927" ht="21" customHeight="1">
      <x:c r="A1927" s="10" t="n">
        <x:v>46188</x:v>
      </x:c>
      <x:c r="B1927" s="1" t="n">
        <x:v>15.5</x:v>
      </x:c>
      <x:c r="C1927" s="1" t="n">
        <x:v>6</x:v>
      </x:c>
      <x:c r="D1927" s="12" t="n">
        <x:v>0.34391666666666665</x:v>
      </x:c>
      <x:c r="E1927" s="12" t="n">
        <x:v>0.4449166666666667</x:v>
      </x:c>
      <x:c r="F1927" s="12" t="n">
        <x:v>0.094</x:v>
      </x:c>
      <x:c r="G1927" s="12" t="n">
        <x:v>0</x:v>
      </x:c>
      <x:c r="H1927" s="1" t="n">
        <x:f>'Historical prices'!E1927</x:f>
        <x:v>1.05</x:v>
      </x:c>
      <x:c r="I1927" s="6" t="n">
        <x:f>'Historical prices'!D1927</x:f>
        <x:v>0.1632</x:v>
      </x:c>
      <x:c r="J1927" s="13" t="n">
        <x:f>D1927*I1927*H1927</x:f>
        <x:v>0.05893356</x:v>
      </x:c>
      <x:c r="K1927" s="13" t="n">
        <x:f>E1927*I1927*H1927</x:f>
        <x:v>0.07624092</x:v>
      </x:c>
      <x:c r="L1927" s="1" t="str">
        <x:f>TEXT(A1927,"mmm yyyy")</x:f>
        <x:v>Jun 2026</x:v>
      </x:c>
    </x:row>
    <x:row r="1928" ht="21" customHeight="1">
      <x:c r="A1928" s="10" t="n">
        <x:v>46188</x:v>
      </x:c>
      <x:c r="B1928" s="1" t="n">
        <x:v>16</x:v>
      </x:c>
      <x:c r="C1928" s="1" t="n">
        <x:v>6</x:v>
      </x:c>
      <x:c r="D1928" s="12" t="n">
        <x:v>0.031083333333333334</x:v>
      </x:c>
      <x:c r="E1928" s="12" t="n">
        <x:v>0.4496666666666667</x:v>
      </x:c>
      <x:c r="F1928" s="12" t="n">
        <x:v>0.41858333333333336</x:v>
      </x:c>
      <x:c r="G1928" s="12" t="n">
        <x:v>0</x:v>
      </x:c>
      <x:c r="H1928" s="1" t="n">
        <x:f>'Historical prices'!E1928</x:f>
        <x:v>1.05</x:v>
      </x:c>
      <x:c r="I1928" s="6" t="n">
        <x:f>'Historical prices'!D1928</x:f>
        <x:v>0.2945</x:v>
      </x:c>
      <x:c r="J1928" s="13" t="n">
        <x:f>D1928*I1928*H1928</x:f>
        <x:v>0.00961174375</x:v>
      </x:c>
      <x:c r="K1928" s="13" t="n">
        <x:f>E1928*I1928*H1928</x:f>
        <x:v>0.139048175</x:v>
      </x:c>
      <x:c r="L1928" s="1" t="str">
        <x:f>TEXT(A1928,"mmm yyyy")</x:f>
        <x:v>Jun 2026</x:v>
      </x:c>
    </x:row>
    <x:row r="1929" ht="21" customHeight="1">
      <x:c r="A1929" s="10" t="n">
        <x:v>46188</x:v>
      </x:c>
      <x:c r="B1929" s="1" t="n">
        <x:v>16.5</x:v>
      </x:c>
      <x:c r="C1929" s="1" t="n">
        <x:v>6</x:v>
      </x:c>
      <x:c r="D1929" s="12" t="n">
        <x:v>0</x:v>
      </x:c>
      <x:c r="E1929" s="12" t="n">
        <x:v>0.4646666666666667</x:v>
      </x:c>
      <x:c r="F1929" s="12" t="n">
        <x:v>0.46458333333333324</x:v>
      </x:c>
      <x:c r="G1929" s="12" t="n">
        <x:v>0</x:v>
      </x:c>
      <x:c r="H1929" s="1" t="n">
        <x:f>'Historical prices'!E1929</x:f>
        <x:v>1.05</x:v>
      </x:c>
      <x:c r="I1929" s="6" t="n">
        <x:f>'Historical prices'!D1929</x:f>
        <x:v>0.3155</x:v>
      </x:c>
      <x:c r="J1929" s="13" t="n">
        <x:f>D1929*I1929*H1929</x:f>
        <x:v>0</x:v>
      </x:c>
      <x:c r="K1929" s="13" t="n">
        <x:f>E1929*I1929*H1929</x:f>
        <x:v>0.15393245</x:v>
      </x:c>
      <x:c r="L1929" s="1" t="str">
        <x:f>TEXT(A1929,"mmm yyyy")</x:f>
        <x:v>Jun 2026</x:v>
      </x:c>
    </x:row>
    <x:row r="1930" ht="21" customHeight="1">
      <x:c r="A1930" s="10" t="n">
        <x:v>46188</x:v>
      </x:c>
      <x:c r="B1930" s="1" t="n">
        <x:v>17</x:v>
      </x:c>
      <x:c r="C1930" s="1" t="n">
        <x:v>6</x:v>
      </x:c>
      <x:c r="D1930" s="12" t="n">
        <x:v>0</x:v>
      </x:c>
      <x:c r="E1930" s="12" t="n">
        <x:v>0.5229166666666667</x:v>
      </x:c>
      <x:c r="F1930" s="12" t="n">
        <x:v>0.5228333333333334</x:v>
      </x:c>
      <x:c r="G1930" s="12" t="n">
        <x:v>0</x:v>
      </x:c>
      <x:c r="H1930" s="1" t="n">
        <x:f>'Historical prices'!E1930</x:f>
        <x:v>1.05</x:v>
      </x:c>
      <x:c r="I1930" s="6" t="n">
        <x:f>'Historical prices'!D1930</x:f>
        <x:v>0.32159999999999994</x:v>
      </x:c>
      <x:c r="J1930" s="13" t="n">
        <x:f>D1930*I1930*H1930</x:f>
        <x:v>0</x:v>
      </x:c>
      <x:c r="K1930" s="13" t="n">
        <x:f>E1930*I1930*H1930</x:f>
        <x:v>0.1765785</x:v>
      </x:c>
      <x:c r="L1930" s="1" t="str">
        <x:f>TEXT(A1930,"mmm yyyy")</x:f>
        <x:v>Jun 2026</x:v>
      </x:c>
    </x:row>
    <x:row r="1931" ht="21" customHeight="1">
      <x:c r="A1931" s="10" t="n">
        <x:v>46188</x:v>
      </x:c>
      <x:c r="B1931" s="1" t="n">
        <x:v>17.5</x:v>
      </x:c>
      <x:c r="C1931" s="1" t="n">
        <x:v>6</x:v>
      </x:c>
      <x:c r="D1931" s="12" t="n">
        <x:v>0</x:v>
      </x:c>
      <x:c r="E1931" s="12" t="n">
        <x:v>0.47583333333333333</x:v>
      </x:c>
      <x:c r="F1931" s="12" t="n">
        <x:v>0.47575</x:v>
      </x:c>
      <x:c r="G1931" s="12" t="n">
        <x:v>0</x:v>
      </x:c>
      <x:c r="H1931" s="1" t="n">
        <x:f>'Historical prices'!E1931</x:f>
        <x:v>1.05</x:v>
      </x:c>
      <x:c r="I1931" s="6" t="n">
        <x:f>'Historical prices'!D1931</x:f>
        <x:v>0.3539</x:v>
      </x:c>
      <x:c r="J1931" s="13" t="n">
        <x:f>D1931*I1931*H1931</x:f>
        <x:v>0</x:v>
      </x:c>
      <x:c r="K1931" s="13" t="n">
        <x:f>E1931*I1931*H1931</x:f>
        <x:v>0.1768172875</x:v>
      </x:c>
      <x:c r="L1931" s="1" t="str">
        <x:f>TEXT(A1931,"mmm yyyy")</x:f>
        <x:v>Jun 2026</x:v>
      </x:c>
    </x:row>
    <x:row r="1932" ht="21" customHeight="1">
      <x:c r="A1932" s="10" t="n">
        <x:v>46188</x:v>
      </x:c>
      <x:c r="B1932" s="1" t="n">
        <x:v>18</x:v>
      </x:c>
      <x:c r="C1932" s="1" t="n">
        <x:v>6</x:v>
      </x:c>
      <x:c r="D1932" s="12" t="n">
        <x:v>0</x:v>
      </x:c>
      <x:c r="E1932" s="12" t="n">
        <x:v>0.44183333333333336</x:v>
      </x:c>
      <x:c r="F1932" s="12" t="n">
        <x:v>0.44183333333333336</x:v>
      </x:c>
      <x:c r="G1932" s="12" t="n">
        <x:v>0</x:v>
      </x:c>
      <x:c r="H1932" s="1" t="n">
        <x:f>'Historical prices'!E1932</x:f>
        <x:v>1.05</x:v>
      </x:c>
      <x:c r="I1932" s="6" t="n">
        <x:f>'Historical prices'!D1932</x:f>
        <x:v>0.35960000000000003</x:v>
      </x:c>
      <x:c r="J1932" s="13" t="n">
        <x:f>D1932*I1932*H1932</x:f>
        <x:v>0</x:v>
      </x:c>
      <x:c r="K1932" s="13" t="n">
        <x:f>E1932*I1932*H1932</x:f>
        <x:v>0.16682743000000003</x:v>
      </x:c>
      <x:c r="L1932" s="1" t="str">
        <x:f>TEXT(A1932,"mmm yyyy")</x:f>
        <x:v>Jun 2026</x:v>
      </x:c>
    </x:row>
    <x:row r="1933" ht="21" customHeight="1">
      <x:c r="A1933" s="10" t="n">
        <x:v>46188</x:v>
      </x:c>
      <x:c r="B1933" s="1" t="n">
        <x:v>18.5</x:v>
      </x:c>
      <x:c r="C1933" s="1" t="n">
        <x:v>6</x:v>
      </x:c>
      <x:c r="D1933" s="12" t="n">
        <x:v>0</x:v>
      </x:c>
      <x:c r="E1933" s="12" t="n">
        <x:v>0.683</x:v>
      </x:c>
      <x:c r="F1933" s="12" t="n">
        <x:v>0.68275</x:v>
      </x:c>
      <x:c r="G1933" s="12" t="n">
        <x:v>0</x:v>
      </x:c>
      <x:c r="H1933" s="1" t="n">
        <x:f>'Historical prices'!E1933</x:f>
        <x:v>1.05</x:v>
      </x:c>
      <x:c r="I1933" s="6" t="n">
        <x:f>'Historical prices'!D1933</x:f>
        <x:v>0.36920000000000003</x:v>
      </x:c>
      <x:c r="J1933" s="13" t="n">
        <x:f>D1933*I1933*H1933</x:f>
        <x:v>0</x:v>
      </x:c>
      <x:c r="K1933" s="13" t="n">
        <x:f>E1933*I1933*H1933</x:f>
        <x:v>0.26477178000000007</x:v>
      </x:c>
      <x:c r="L1933" s="1" t="str">
        <x:f>TEXT(A1933,"mmm yyyy")</x:f>
        <x:v>Jun 2026</x:v>
      </x:c>
    </x:row>
    <x:row r="1934" ht="21" customHeight="1">
      <x:c r="A1934" s="10" t="n">
        <x:v>46188</x:v>
      </x:c>
      <x:c r="B1934" s="1" t="n">
        <x:v>19</x:v>
      </x:c>
      <x:c r="C1934" s="1" t="n">
        <x:v>6</x:v>
      </x:c>
      <x:c r="D1934" s="12" t="n">
        <x:v>0.009333333333333334</x:v>
      </x:c>
      <x:c r="E1934" s="12" t="n">
        <x:v>0.6231666666666666</x:v>
      </x:c>
      <x:c r="F1934" s="12" t="n">
        <x:v>0.6106666666666667</x:v>
      </x:c>
      <x:c r="G1934" s="12" t="n">
        <x:v>0</x:v>
      </x:c>
      <x:c r="H1934" s="1" t="n">
        <x:f>'Historical prices'!E1934</x:f>
        <x:v>1.05</x:v>
      </x:c>
      <x:c r="I1934" s="6" t="n">
        <x:f>'Historical prices'!D1934</x:f>
        <x:v>0.2492</x:v>
      </x:c>
      <x:c r="J1934" s="13" t="n">
        <x:f>D1934*I1934*H1934</x:f>
        <x:v>0.0024421600000000005</x:v>
      </x:c>
      <x:c r="K1934" s="13" t="n">
        <x:f>E1934*I1934*H1934</x:f>
        <x:v>0.16305779</x:v>
      </x:c>
      <x:c r="L1934" s="1" t="str">
        <x:f>TEXT(A1934,"mmm yyyy")</x:f>
        <x:v>Jun 2026</x:v>
      </x:c>
    </x:row>
    <x:row r="1935" ht="21" customHeight="1">
      <x:c r="A1935" s="10" t="n">
        <x:v>46188</x:v>
      </x:c>
      <x:c r="B1935" s="1" t="n">
        <x:v>19.5</x:v>
      </x:c>
      <x:c r="C1935" s="1" t="n">
        <x:v>6</x:v>
      </x:c>
      <x:c r="D1935" s="12" t="n">
        <x:v>0</x:v>
      </x:c>
      <x:c r="E1935" s="12" t="n">
        <x:v>0.5107499999999999</x:v>
      </x:c>
      <x:c r="F1935" s="12" t="n">
        <x:v>0.5106666666666666</x:v>
      </x:c>
      <x:c r="G1935" s="12" t="n">
        <x:v>0</x:v>
      </x:c>
      <x:c r="H1935" s="1" t="n">
        <x:f>'Historical prices'!E1935</x:f>
        <x:v>1.05</x:v>
      </x:c>
      <x:c r="I1935" s="6" t="n">
        <x:f>'Historical prices'!D1935</x:f>
        <x:v>0.2489</x:v>
      </x:c>
      <x:c r="J1935" s="13" t="n">
        <x:f>D1935*I1935*H1935</x:f>
        <x:v>0</x:v>
      </x:c>
      <x:c r="K1935" s="13" t="n">
        <x:f>E1935*I1935*H1935</x:f>
        <x:v>0.13348195875</x:v>
      </x:c>
      <x:c r="L1935" s="1" t="str">
        <x:f>TEXT(A1935,"mmm yyyy")</x:f>
        <x:v>Jun 2026</x:v>
      </x:c>
    </x:row>
    <x:row r="1936" ht="21" customHeight="1">
      <x:c r="A1936" s="10" t="n">
        <x:v>46188</x:v>
      </x:c>
      <x:c r="B1936" s="1" t="n">
        <x:v>20</x:v>
      </x:c>
      <x:c r="C1936" s="1" t="n">
        <x:v>6</x:v>
      </x:c>
      <x:c r="D1936" s="12" t="n">
        <x:v>0</x:v>
      </x:c>
      <x:c r="E1936" s="12" t="n">
        <x:v>0.5575833333333333</x:v>
      </x:c>
      <x:c r="F1936" s="12" t="n">
        <x:v>0.5575833333333333</x:v>
      </x:c>
      <x:c r="G1936" s="12" t="n">
        <x:v>0</x:v>
      </x:c>
      <x:c r="H1936" s="1" t="n">
        <x:f>'Historical prices'!E1936</x:f>
        <x:v>1.05</x:v>
      </x:c>
      <x:c r="I1936" s="6" t="n">
        <x:f>'Historical prices'!D1936</x:f>
        <x:v>0.255</x:v>
      </x:c>
      <x:c r="J1936" s="13" t="n">
        <x:f>D1936*I1936*H1936</x:f>
        <x:v>0</x:v>
      </x:c>
      <x:c r="K1936" s="13" t="n">
        <x:f>E1936*I1936*H1936</x:f>
        <x:v>0.1492929375</x:v>
      </x:c>
      <x:c r="L1936" s="1" t="str">
        <x:f>TEXT(A1936,"mmm yyyy")</x:f>
        <x:v>Jun 2026</x:v>
      </x:c>
    </x:row>
    <x:row r="1937" ht="21" customHeight="1">
      <x:c r="A1937" s="10" t="n">
        <x:v>46188</x:v>
      </x:c>
      <x:c r="B1937" s="1" t="n">
        <x:v>20.5</x:v>
      </x:c>
      <x:c r="C1937" s="1" t="n">
        <x:v>6</x:v>
      </x:c>
      <x:c r="D1937" s="12" t="n">
        <x:v>0</x:v>
      </x:c>
      <x:c r="E1937" s="12" t="n">
        <x:v>0.5735</x:v>
      </x:c>
      <x:c r="F1937" s="12" t="n">
        <x:v>0.57075</x:v>
      </x:c>
      <x:c r="G1937" s="12" t="n">
        <x:v>0</x:v>
      </x:c>
      <x:c r="H1937" s="1" t="n">
        <x:f>'Historical prices'!E1937</x:f>
        <x:v>1.05</x:v>
      </x:c>
      <x:c r="I1937" s="6" t="n">
        <x:f>'Historical prices'!D1937</x:f>
        <x:v>0.2557</x:v>
      </x:c>
      <x:c r="J1937" s="13" t="n">
        <x:f>D1937*I1937*H1937</x:f>
        <x:v>0</x:v>
      </x:c>
      <x:c r="K1937" s="13" t="n">
        <x:f>E1937*I1937*H1937</x:f>
        <x:v>0.1539761475</x:v>
      </x:c>
      <x:c r="L1937" s="1" t="str">
        <x:f>TEXT(A1937,"mmm yyyy")</x:f>
        <x:v>Jun 2026</x:v>
      </x:c>
    </x:row>
    <x:row r="1938" ht="21" customHeight="1">
      <x:c r="A1938" s="10" t="n">
        <x:v>46188</x:v>
      </x:c>
      <x:c r="B1938" s="1" t="n">
        <x:v>21</x:v>
      </x:c>
      <x:c r="C1938" s="1" t="n">
        <x:v>6</x:v>
      </x:c>
      <x:c r="D1938" s="12" t="n">
        <x:v>0</x:v>
      </x:c>
      <x:c r="E1938" s="12" t="n">
        <x:v>0.5965833333333334</x:v>
      </x:c>
      <x:c r="F1938" s="12" t="n">
        <x:v>0.5965833333333334</x:v>
      </x:c>
      <x:c r="G1938" s="12" t="n">
        <x:v>0</x:v>
      </x:c>
      <x:c r="H1938" s="1" t="n">
        <x:f>'Historical prices'!E1938</x:f>
        <x:v>1.05</x:v>
      </x:c>
      <x:c r="I1938" s="6" t="n">
        <x:f>'Historical prices'!D1938</x:f>
        <x:v>0.2482</x:v>
      </x:c>
      <x:c r="J1938" s="13" t="n">
        <x:f>D1938*I1938*H1938</x:f>
        <x:v>0</x:v>
      </x:c>
      <x:c r="K1938" s="13" t="n">
        <x:f>E1938*I1938*H1938</x:f>
        <x:v>0.15547558250000001</x:v>
      </x:c>
      <x:c r="L1938" s="1" t="str">
        <x:f>TEXT(A1938,"mmm yyyy")</x:f>
        <x:v>Jun 2026</x:v>
      </x:c>
    </x:row>
    <x:row r="1939" ht="21" customHeight="1">
      <x:c r="A1939" s="10" t="n">
        <x:v>46188</x:v>
      </x:c>
      <x:c r="B1939" s="1" t="n">
        <x:v>21.5</x:v>
      </x:c>
      <x:c r="C1939" s="1" t="n">
        <x:v>6</x:v>
      </x:c>
      <x:c r="D1939" s="12" t="n">
        <x:v>0</x:v>
      </x:c>
      <x:c r="E1939" s="12" t="n">
        <x:v>0.594</x:v>
      </x:c>
      <x:c r="F1939" s="12" t="n">
        <x:v>0.5938333333333333</x:v>
      </x:c>
      <x:c r="G1939" s="12" t="n">
        <x:v>0</x:v>
      </x:c>
      <x:c r="H1939" s="1" t="n">
        <x:f>'Historical prices'!E1939</x:f>
        <x:v>1.05</x:v>
      </x:c>
      <x:c r="I1939" s="6" t="n">
        <x:f>'Historical prices'!D1939</x:f>
        <x:v>0.24710000000000001</x:v>
      </x:c>
      <x:c r="J1939" s="13" t="n">
        <x:f>D1939*I1939*H1939</x:f>
        <x:v>0</x:v>
      </x:c>
      <x:c r="K1939" s="13" t="n">
        <x:f>E1939*I1939*H1939</x:f>
        <x:v>0.15411627</x:v>
      </x:c>
      <x:c r="L1939" s="1" t="str">
        <x:f>TEXT(A1939,"mmm yyyy")</x:f>
        <x:v>Jun 2026</x:v>
      </x:c>
    </x:row>
    <x:row r="1940" ht="21" customHeight="1">
      <x:c r="A1940" s="10" t="n">
        <x:v>46188</x:v>
      </x:c>
      <x:c r="B1940" s="1" t="n">
        <x:v>22</x:v>
      </x:c>
      <x:c r="C1940" s="1" t="n">
        <x:v>6</x:v>
      </x:c>
      <x:c r="D1940" s="12" t="n">
        <x:v>0</x:v>
      </x:c>
      <x:c r="E1940" s="12" t="n">
        <x:v>0.5680833333333334</x:v>
      </x:c>
      <x:c r="F1940" s="12" t="n">
        <x:v>0.5676666666666668</x:v>
      </x:c>
      <x:c r="G1940" s="12" t="n">
        <x:v>0</x:v>
      </x:c>
      <x:c r="H1940" s="1" t="n">
        <x:f>'Historical prices'!E1940</x:f>
        <x:v>1.05</x:v>
      </x:c>
      <x:c r="I1940" s="6" t="n">
        <x:f>'Historical prices'!D1940</x:f>
        <x:v>0.23079999999999998</x:v>
      </x:c>
      <x:c r="J1940" s="13" t="n">
        <x:f>D1940*I1940*H1940</x:f>
        <x:v>0</x:v>
      </x:c>
      <x:c r="K1940" s="13" t="n">
        <x:f>E1940*I1940*H1940</x:f>
        <x:v>0.13766931500000001</x:v>
      </x:c>
      <x:c r="L1940" s="1" t="str">
        <x:f>TEXT(A1940,"mmm yyyy")</x:f>
        <x:v>Jun 2026</x:v>
      </x:c>
    </x:row>
    <x:row r="1941" ht="21" customHeight="1">
      <x:c r="A1941" s="10" t="n">
        <x:v>46188</x:v>
      </x:c>
      <x:c r="B1941" s="1" t="n">
        <x:v>22.5</x:v>
      </x:c>
      <x:c r="C1941" s="1" t="n">
        <x:v>6</x:v>
      </x:c>
      <x:c r="D1941" s="12" t="n">
        <x:v>0</x:v>
      </x:c>
      <x:c r="E1941" s="12" t="n">
        <x:v>0.26708333333333334</x:v>
      </x:c>
      <x:c r="F1941" s="12" t="n">
        <x:v>0.2668333333333333</x:v>
      </x:c>
      <x:c r="G1941" s="12" t="n">
        <x:v>0</x:v>
      </x:c>
      <x:c r="H1941" s="1" t="n">
        <x:f>'Historical prices'!E1941</x:f>
        <x:v>1.05</x:v>
      </x:c>
      <x:c r="I1941" s="6" t="n">
        <x:f>'Historical prices'!D1941</x:f>
        <x:v>0.2232</x:v>
      </x:c>
      <x:c r="J1941" s="13" t="n">
        <x:f>D1941*I1941*H1941</x:f>
        <x:v>0</x:v>
      </x:c>
      <x:c r="K1941" s="13" t="n">
        <x:f>E1941*I1941*H1941</x:f>
        <x:v>0.06259365000000001</x:v>
      </x:c>
      <x:c r="L1941" s="1" t="str">
        <x:f>TEXT(A1941,"mmm yyyy")</x:f>
        <x:v>Jun 2026</x:v>
      </x:c>
    </x:row>
    <x:row r="1942" ht="21" customHeight="1">
      <x:c r="A1942" s="10" t="n">
        <x:v>46188</x:v>
      </x:c>
      <x:c r="B1942" s="1" t="n">
        <x:v>23</x:v>
      </x:c>
      <x:c r="C1942" s="1" t="n">
        <x:v>6</x:v>
      </x:c>
      <x:c r="D1942" s="12" t="n">
        <x:v>0.30641666666666667</x:v>
      </x:c>
      <x:c r="E1942" s="12" t="n">
        <x:v>0.3764166666666666</x:v>
      </x:c>
      <x:c r="F1942" s="12" t="n">
        <x:v>0.055</x:v>
      </x:c>
      <x:c r="G1942" s="12" t="n">
        <x:v>0</x:v>
      </x:c>
      <x:c r="H1942" s="1" t="n">
        <x:f>'Historical prices'!E1942</x:f>
        <x:v>1.05</x:v>
      </x:c>
      <x:c r="I1942" s="6" t="n">
        <x:f>'Historical prices'!D1942</x:f>
        <x:v>0.20829999999999999</x:v>
      </x:c>
      <x:c r="J1942" s="13" t="n">
        <x:f>D1942*I1942*H1942</x:f>
        <x:v>0.06701792125</x:v>
      </x:c>
      <x:c r="K1942" s="13" t="n">
        <x:f>E1942*I1942*H1942</x:f>
        <x:v>0.08232797124999999</x:v>
      </x:c>
      <x:c r="L1942" s="1" t="str">
        <x:f>TEXT(A1942,"mmm yyyy")</x:f>
        <x:v>Jun 2026</x:v>
      </x:c>
    </x:row>
    <x:row r="1943" ht="21" customHeight="1">
      <x:c r="A1943" s="10" t="n">
        <x:v>46188</x:v>
      </x:c>
      <x:c r="B1943" s="1" t="n">
        <x:v>23.5</x:v>
      </x:c>
      <x:c r="C1943" s="1" t="n">
        <x:v>6</x:v>
      </x:c>
      <x:c r="D1943" s="12" t="n">
        <x:v>0.19658333333333333</x:v>
      </x:c>
      <x:c r="E1943" s="12" t="n">
        <x:v>0.2135833333333333</x:v>
      </x:c>
      <x:c r="F1943" s="12" t="n">
        <x:v>0</x:v>
      </x:c>
      <x:c r="G1943" s="12" t="n">
        <x:v>0</x:v>
      </x:c>
      <x:c r="H1943" s="1" t="n">
        <x:f>'Historical prices'!E1943</x:f>
        <x:v>1.05</x:v>
      </x:c>
      <x:c r="I1943" s="6" t="n">
        <x:f>'Historical prices'!D1943</x:f>
        <x:v>0.1941</x:v>
      </x:c>
      <x:c r="J1943" s="13" t="n">
        <x:f>D1943*I1943*H1943</x:f>
        <x:v>0.04006466625</x:v>
      </x:c>
      <x:c r="K1943" s="13" t="n">
        <x:f>E1943*I1943*H1943</x:f>
        <x:v>0.043529351249999994</x:v>
      </x:c>
      <x:c r="L1943" s="1" t="str">
        <x:f>TEXT(A1943,"mmm yyyy")</x:f>
        <x:v>Jun 2026</x:v>
      </x:c>
    </x:row>
    <x:row r="1944" ht="21" customHeight="1">
      <x:c r="A1944" s="10" t="n">
        <x:v>46189</x:v>
      </x:c>
      <x:c r="B1944" s="1" t="n">
        <x:v>0</x:v>
      </x:c>
      <x:c r="C1944" s="1" t="n">
        <x:v>6</x:v>
      </x:c>
      <x:c r="D1944" s="12" t="n">
        <x:v>0.6009166666666667</x:v>
      </x:c>
      <x:c r="E1944" s="12" t="n">
        <x:v>0.6169166666666667</x:v>
      </x:c>
      <x:c r="F1944" s="12" t="n">
        <x:v>0</x:v>
      </x:c>
      <x:c r="G1944" s="12" t="n">
        <x:v>0</x:v>
      </x:c>
      <x:c r="H1944" s="1" t="n">
        <x:f>'Historical prices'!E1944</x:f>
        <x:v>1.05</x:v>
      </x:c>
      <x:c r="I1944" s="6" t="n">
        <x:f>'Historical prices'!D1944</x:f>
        <x:v>0.1948</x:v>
      </x:c>
      <x:c r="J1944" s="13" t="n">
        <x:f>D1944*I1944*H1944</x:f>
        <x:v>0.12291149500000001</x:v>
      </x:c>
      <x:c r="K1944" s="13" t="n">
        <x:f>E1944*I1944*H1944</x:f>
        <x:v>0.126184135</x:v>
      </x:c>
      <x:c r="L1944" s="1" t="str">
        <x:f>TEXT(A1944,"mmm yyyy")</x:f>
        <x:v>Jun 2026</x:v>
      </x:c>
    </x:row>
    <x:row r="1945" ht="21" customHeight="1">
      <x:c r="A1945" s="10" t="n">
        <x:v>46189</x:v>
      </x:c>
      <x:c r="B1945" s="1" t="n">
        <x:v>0.5</x:v>
      </x:c>
      <x:c r="C1945" s="1" t="n">
        <x:v>6</x:v>
      </x:c>
      <x:c r="D1945" s="12" t="n">
        <x:v>0.20766666666666667</x:v>
      </x:c>
      <x:c r="E1945" s="12" t="n">
        <x:v>0.22366666666666668</x:v>
      </x:c>
      <x:c r="F1945" s="12" t="n">
        <x:v>0</x:v>
      </x:c>
      <x:c r="G1945" s="12" t="n">
        <x:v>0</x:v>
      </x:c>
      <x:c r="H1945" s="1" t="n">
        <x:f>'Historical prices'!E1945</x:f>
        <x:v>1.05</x:v>
      </x:c>
      <x:c r="I1945" s="6" t="n">
        <x:f>'Historical prices'!D1945</x:f>
        <x:v>0.1935</x:v>
      </x:c>
      <x:c r="J1945" s="13" t="n">
        <x:f>D1945*I1945*H1945</x:f>
        <x:v>0.042192675000000006</x:v>
      </x:c>
      <x:c r="K1945" s="13" t="n">
        <x:f>E1945*I1945*H1945</x:f>
        <x:v>0.04544347500000001</x:v>
      </x:c>
      <x:c r="L1945" s="1" t="str">
        <x:f>TEXT(A1945,"mmm yyyy")</x:f>
        <x:v>Jun 2026</x:v>
      </x:c>
    </x:row>
    <x:row r="1946" ht="21" customHeight="1">
      <x:c r="A1946" s="10" t="n">
        <x:v>46189</x:v>
      </x:c>
      <x:c r="B1946" s="1" t="n">
        <x:v>1</x:v>
      </x:c>
      <x:c r="C1946" s="1" t="n">
        <x:v>6</x:v>
      </x:c>
      <x:c r="D1946" s="12" t="n">
        <x:v>3.3345000000000002</x:v>
      </x:c>
      <x:c r="E1946" s="12" t="n">
        <x:v>0.3785</x:v>
      </x:c>
      <x:c r="F1946" s="12" t="n">
        <x:v>0</x:v>
      </x:c>
      <x:c r="G1946" s="12" t="n">
        <x:v>2.9579999999999997</x:v>
      </x:c>
      <x:c r="H1946" s="1" t="n">
        <x:f>'Historical prices'!E1946</x:f>
        <x:v>1.05</x:v>
      </x:c>
      <x:c r="I1946" s="6" t="n">
        <x:f>'Historical prices'!D1946</x:f>
        <x:v>0.1663</x:v>
      </x:c>
      <x:c r="J1946" s="13" t="n">
        <x:f>D1946*I1946*H1946</x:f>
        <x:v>0.5822537175000001</x:v>
      </x:c>
      <x:c r="K1946" s="13" t="n">
        <x:f>E1946*I1946*H1946</x:f>
        <x:v>0.0660917775</x:v>
      </x:c>
      <x:c r="L1946" s="1" t="str">
        <x:f>TEXT(A1946,"mmm yyyy")</x:f>
        <x:v>Jun 2026</x:v>
      </x:c>
    </x:row>
    <x:row r="1947" ht="21" customHeight="1">
      <x:c r="A1947" s="10" t="n">
        <x:v>46189</x:v>
      </x:c>
      <x:c r="B1947" s="1" t="n">
        <x:v>1.5</x:v>
      </x:c>
      <x:c r="C1947" s="1" t="n">
        <x:v>6</x:v>
      </x:c>
      <x:c r="D1947" s="12" t="n">
        <x:v>1.0661666666666667</x:v>
      </x:c>
      <x:c r="E1947" s="12" t="n">
        <x:v>0.25716666666666665</x:v>
      </x:c>
      <x:c r="F1947" s="12" t="n">
        <x:v>0</x:v>
      </x:c>
      <x:c r="G1947" s="12" t="n">
        <x:v>0.791</x:v>
      </x:c>
      <x:c r="H1947" s="1" t="n">
        <x:f>'Historical prices'!E1947</x:f>
        <x:v>1.05</x:v>
      </x:c>
      <x:c r="I1947" s="6" t="n">
        <x:f>'Historical prices'!D1947</x:f>
        <x:v>0.16820000000000002</x:v>
      </x:c>
      <x:c r="J1947" s="13" t="n">
        <x:f>D1947*I1947*H1947</x:f>
        <x:v>0.18829569500000004</x:v>
      </x:c>
      <x:c r="K1947" s="13" t="n">
        <x:f>E1947*I1947*H1947</x:f>
        <x:v>0.045418205</x:v>
      </x:c>
      <x:c r="L1947" s="1" t="str">
        <x:f>TEXT(A1947,"mmm yyyy")</x:f>
        <x:v>Jun 2026</x:v>
      </x:c>
    </x:row>
    <x:row r="1948" ht="21" customHeight="1">
      <x:c r="A1948" s="10" t="n">
        <x:v>46189</x:v>
      </x:c>
      <x:c r="B1948" s="1" t="n">
        <x:v>2</x:v>
      </x:c>
      <x:c r="C1948" s="1" t="n">
        <x:v>6</x:v>
      </x:c>
      <x:c r="D1948" s="12" t="n">
        <x:v>0.17658333333333334</x:v>
      </x:c>
      <x:c r="E1948" s="12" t="n">
        <x:v>0.18158333333333335</x:v>
      </x:c>
      <x:c r="F1948" s="12" t="n">
        <x:v>0</x:v>
      </x:c>
      <x:c r="G1948" s="12" t="n">
        <x:v>0</x:v>
      </x:c>
      <x:c r="H1948" s="1" t="n">
        <x:f>'Historical prices'!E1948</x:f>
        <x:v>1.05</x:v>
      </x:c>
      <x:c r="I1948" s="6" t="n">
        <x:f>'Historical prices'!D1948</x:f>
        <x:v>0.1766</x:v>
      </x:c>
      <x:c r="J1948" s="13" t="n">
        <x:f>D1948*I1948*H1948</x:f>
        <x:v>0.032743847500000006</x:v>
      </x:c>
      <x:c r="K1948" s="13" t="n">
        <x:f>E1948*I1948*H1948</x:f>
        <x:v>0.03367099750000001</x:v>
      </x:c>
      <x:c r="L1948" s="1" t="str">
        <x:f>TEXT(A1948,"mmm yyyy")</x:f>
        <x:v>Jun 2026</x:v>
      </x:c>
    </x:row>
    <x:row r="1949" ht="21" customHeight="1">
      <x:c r="A1949" s="10" t="n">
        <x:v>46189</x:v>
      </x:c>
      <x:c r="B1949" s="1" t="n">
        <x:v>2.5</x:v>
      </x:c>
      <x:c r="C1949" s="1" t="n">
        <x:v>6</x:v>
      </x:c>
      <x:c r="D1949" s="12" t="n">
        <x:v>0.14475</x:v>
      </x:c>
      <x:c r="E1949" s="12" t="n">
        <x:v>0.15575</x:v>
      </x:c>
      <x:c r="F1949" s="12" t="n">
        <x:v>0</x:v>
      </x:c>
      <x:c r="G1949" s="12" t="n">
        <x:v>0</x:v>
      </x:c>
      <x:c r="H1949" s="1" t="n">
        <x:f>'Historical prices'!E1949</x:f>
        <x:v>1.05</x:v>
      </x:c>
      <x:c r="I1949" s="6" t="n">
        <x:f>'Historical prices'!D1949</x:f>
        <x:v>0.1728</x:v>
      </x:c>
      <x:c r="J1949" s="13" t="n">
        <x:f>D1949*I1949*H1949</x:f>
        <x:v>0.02626344</x:v>
      </x:c>
      <x:c r="K1949" s="13" t="n">
        <x:f>E1949*I1949*H1949</x:f>
        <x:v>0.028259280000000005</x:v>
      </x:c>
      <x:c r="L1949" s="1" t="str">
        <x:f>TEXT(A1949,"mmm yyyy")</x:f>
        <x:v>Jun 2026</x:v>
      </x:c>
    </x:row>
    <x:row r="1950" ht="21" customHeight="1">
      <x:c r="A1950" s="10" t="n">
        <x:v>46189</x:v>
      </x:c>
      <x:c r="B1950" s="1" t="n">
        <x:v>3</x:v>
      </x:c>
      <x:c r="C1950" s="1" t="n">
        <x:v>6</x:v>
      </x:c>
      <x:c r="D1950" s="12" t="n">
        <x:v>0.28558333333333336</x:v>
      </x:c>
      <x:c r="E1950" s="12" t="n">
        <x:v>0.29558333333333336</x:v>
      </x:c>
      <x:c r="F1950" s="12" t="n">
        <x:v>0</x:v>
      </x:c>
      <x:c r="G1950" s="12" t="n">
        <x:v>0</x:v>
      </x:c>
      <x:c r="H1950" s="1" t="n">
        <x:f>'Historical prices'!E1950</x:f>
        <x:v>1.05</x:v>
      </x:c>
      <x:c r="I1950" s="6" t="n">
        <x:f>'Historical prices'!D1950</x:f>
        <x:v>0.1766</x:v>
      </x:c>
      <x:c r="J1950" s="13" t="n">
        <x:f>D1950*I1950*H1950</x:f>
        <x:v>0.052955717500000006</x:v>
      </x:c>
      <x:c r="K1950" s="13" t="n">
        <x:f>E1950*I1950*H1950</x:f>
        <x:v>0.05481001750000001</x:v>
      </x:c>
      <x:c r="L1950" s="1" t="str">
        <x:f>TEXT(A1950,"mmm yyyy")</x:f>
        <x:v>Jun 2026</x:v>
      </x:c>
    </x:row>
    <x:row r="1951" ht="21" customHeight="1">
      <x:c r="A1951" s="10" t="n">
        <x:v>46189</x:v>
      </x:c>
      <x:c r="B1951" s="1" t="n">
        <x:v>3.5</x:v>
      </x:c>
      <x:c r="C1951" s="1" t="n">
        <x:v>6</x:v>
      </x:c>
      <x:c r="D1951" s="12" t="n">
        <x:v>0.19466666666666665</x:v>
      </x:c>
      <x:c r="E1951" s="12" t="n">
        <x:v>0.20566666666666666</x:v>
      </x:c>
      <x:c r="F1951" s="12" t="n">
        <x:v>0</x:v>
      </x:c>
      <x:c r="G1951" s="12" t="n">
        <x:v>0</x:v>
      </x:c>
      <x:c r="H1951" s="1" t="n">
        <x:f>'Historical prices'!E1951</x:f>
        <x:v>1.05</x:v>
      </x:c>
      <x:c r="I1951" s="6" t="n">
        <x:f>'Historical prices'!D1951</x:f>
        <x:v>0.17579999999999998</x:v>
      </x:c>
      <x:c r="J1951" s="13" t="n">
        <x:f>D1951*I1951*H1951</x:f>
        <x:v>0.03593352</x:v>
      </x:c>
      <x:c r="K1951" s="13" t="n">
        <x:f>E1951*I1951*H1951</x:f>
        <x:v>0.03796401</x:v>
      </x:c>
      <x:c r="L1951" s="1" t="str">
        <x:f>TEXT(A1951,"mmm yyyy")</x:f>
        <x:v>Jun 2026</x:v>
      </x:c>
    </x:row>
    <x:row r="1952" ht="21" customHeight="1">
      <x:c r="A1952" s="10" t="n">
        <x:v>46189</x:v>
      </x:c>
      <x:c r="B1952" s="1" t="n">
        <x:v>4</x:v>
      </x:c>
      <x:c r="C1952" s="1" t="n">
        <x:v>6</x:v>
      </x:c>
      <x:c r="D1952" s="12" t="n">
        <x:v>0.1714166666666667</x:v>
      </x:c>
      <x:c r="E1952" s="12" t="n">
        <x:v>0.18241666666666667</x:v>
      </x:c>
      <x:c r="F1952" s="12" t="n">
        <x:v>0</x:v>
      </x:c>
      <x:c r="G1952" s="12" t="n">
        <x:v>0</x:v>
      </x:c>
      <x:c r="H1952" s="1" t="n">
        <x:f>'Historical prices'!E1952</x:f>
        <x:v>1.05</x:v>
      </x:c>
      <x:c r="I1952" s="6" t="n">
        <x:f>'Historical prices'!D1952</x:f>
        <x:v>0.185</x:v>
      </x:c>
      <x:c r="J1952" s="13" t="n">
        <x:f>D1952*I1952*H1952</x:f>
        <x:v>0.033297687500000006</x:v>
      </x:c>
      <x:c r="K1952" s="13" t="n">
        <x:f>E1952*I1952*H1952</x:f>
        <x:v>0.035434437500000006</x:v>
      </x:c>
      <x:c r="L1952" s="1" t="str">
        <x:f>TEXT(A1952,"mmm yyyy")</x:f>
        <x:v>Jun 2026</x:v>
      </x:c>
    </x:row>
    <x:row r="1953" ht="21" customHeight="1">
      <x:c r="A1953" s="10" t="n">
        <x:v>46189</x:v>
      </x:c>
      <x:c r="B1953" s="1" t="n">
        <x:v>4.5</x:v>
      </x:c>
      <x:c r="C1953" s="1" t="n">
        <x:v>6</x:v>
      </x:c>
      <x:c r="D1953" s="12" t="n">
        <x:v>0.22725</x:v>
      </x:c>
      <x:c r="E1953" s="12" t="n">
        <x:v>0.23725000000000002</x:v>
      </x:c>
      <x:c r="F1953" s="12" t="n">
        <x:v>0</x:v>
      </x:c>
      <x:c r="G1953" s="12" t="n">
        <x:v>0</x:v>
      </x:c>
      <x:c r="H1953" s="1" t="n">
        <x:f>'Historical prices'!E1953</x:f>
        <x:v>1.05</x:v>
      </x:c>
      <x:c r="I1953" s="6" t="n">
        <x:f>'Historical prices'!D1953</x:f>
        <x:v>0.17620000000000002</x:v>
      </x:c>
      <x:c r="J1953" s="13" t="n">
        <x:f>D1953*I1953*H1953</x:f>
        <x:v>0.042043522500000007</x:v>
      </x:c>
      <x:c r="K1953" s="13" t="n">
        <x:f>E1953*I1953*H1953</x:f>
        <x:v>0.04389362250000001</x:v>
      </x:c>
      <x:c r="L1953" s="1" t="str">
        <x:f>TEXT(A1953,"mmm yyyy")</x:f>
        <x:v>Jun 2026</x:v>
      </x:c>
    </x:row>
    <x:row r="1954" ht="21" customHeight="1">
      <x:c r="A1954" s="10" t="n">
        <x:v>46189</x:v>
      </x:c>
      <x:c r="B1954" s="1" t="n">
        <x:v>5</x:v>
      </x:c>
      <x:c r="C1954" s="1" t="n">
        <x:v>6</x:v>
      </x:c>
      <x:c r="D1954" s="12" t="n">
        <x:v>0.23783333333333334</x:v>
      </x:c>
      <x:c r="E1954" s="12" t="n">
        <x:v>0.24783333333333335</x:v>
      </x:c>
      <x:c r="F1954" s="12" t="n">
        <x:v>0</x:v>
      </x:c>
      <x:c r="G1954" s="12" t="n">
        <x:v>0</x:v>
      </x:c>
      <x:c r="H1954" s="1" t="n">
        <x:f>'Historical prices'!E1954</x:f>
        <x:v>1.05</x:v>
      </x:c>
      <x:c r="I1954" s="6" t="n">
        <x:f>'Historical prices'!D1954</x:f>
        <x:v>0.20199999999999999</x:v>
      </x:c>
      <x:c r="J1954" s="13" t="n">
        <x:f>D1954*I1954*H1954</x:f>
        <x:v>0.05044445</x:v>
      </x:c>
      <x:c r="K1954" s="13" t="n">
        <x:f>E1954*I1954*H1954</x:f>
        <x:v>0.05256545</x:v>
      </x:c>
      <x:c r="L1954" s="1" t="str">
        <x:f>TEXT(A1954,"mmm yyyy")</x:f>
        <x:v>Jun 2026</x:v>
      </x:c>
    </x:row>
    <x:row r="1955" ht="21" customHeight="1">
      <x:c r="A1955" s="10" t="n">
        <x:v>46189</x:v>
      </x:c>
      <x:c r="B1955" s="1" t="n">
        <x:v>5.5</x:v>
      </x:c>
      <x:c r="C1955" s="1" t="n">
        <x:v>6</x:v>
      </x:c>
      <x:c r="D1955" s="12" t="n">
        <x:v>0.18216666666666667</x:v>
      </x:c>
      <x:c r="E1955" s="12" t="n">
        <x:v>0.19216666666666668</x:v>
      </x:c>
      <x:c r="F1955" s="12" t="n">
        <x:v>0</x:v>
      </x:c>
      <x:c r="G1955" s="12" t="n">
        <x:v>0</x:v>
      </x:c>
      <x:c r="H1955" s="1" t="n">
        <x:f>'Historical prices'!E1955</x:f>
        <x:v>1.05</x:v>
      </x:c>
      <x:c r="I1955" s="6" t="n">
        <x:f>'Historical prices'!D1955</x:f>
        <x:v>0.2082</x:v>
      </x:c>
      <x:c r="J1955" s="13" t="n">
        <x:f>D1955*I1955*H1955</x:f>
        <x:v>0.039823455</x:v>
      </x:c>
      <x:c r="K1955" s="13" t="n">
        <x:f>E1955*I1955*H1955</x:f>
        <x:v>0.042009555000000004</x:v>
      </x:c>
      <x:c r="L1955" s="1" t="str">
        <x:f>TEXT(A1955,"mmm yyyy")</x:f>
        <x:v>Jun 2026</x:v>
      </x:c>
    </x:row>
    <x:row r="1956" ht="21" customHeight="1">
      <x:c r="A1956" s="10" t="n">
        <x:v>46189</x:v>
      </x:c>
      <x:c r="B1956" s="1" t="n">
        <x:v>6</x:v>
      </x:c>
      <x:c r="C1956" s="1" t="n">
        <x:v>6</x:v>
      </x:c>
      <x:c r="D1956" s="12" t="n">
        <x:v>0.026416666666666668</x:v>
      </x:c>
      <x:c r="E1956" s="12" t="n">
        <x:v>0.2523333333333333</x:v>
      </x:c>
      <x:c r="F1956" s="12" t="n">
        <x:v>0.22383333333333333</x:v>
      </x:c>
      <x:c r="G1956" s="12" t="n">
        <x:v>0</x:v>
      </x:c>
      <x:c r="H1956" s="1" t="n">
        <x:f>'Historical prices'!E1956</x:f>
        <x:v>1.05</x:v>
      </x:c>
      <x:c r="I1956" s="6" t="n">
        <x:f>'Historical prices'!D1956</x:f>
        <x:v>0.2183</x:v>
      </x:c>
      <x:c r="J1956" s="13" t="n">
        <x:f>D1956*I1956*H1956</x:f>
        <x:v>0.00605509625</x:v>
      </x:c>
      <x:c r="K1956" s="13" t="n">
        <x:f>E1956*I1956*H1956</x:f>
        <x:v>0.05783858499999999</x:v>
      </x:c>
      <x:c r="L1956" s="1" t="str">
        <x:f>TEXT(A1956,"mmm yyyy")</x:f>
        <x:v>Jun 2026</x:v>
      </x:c>
    </x:row>
    <x:row r="1957" ht="21" customHeight="1">
      <x:c r="A1957" s="10" t="n">
        <x:v>46189</x:v>
      </x:c>
      <x:c r="B1957" s="1" t="n">
        <x:v>6.5</x:v>
      </x:c>
      <x:c r="C1957" s="1" t="n">
        <x:v>6</x:v>
      </x:c>
      <x:c r="D1957" s="12" t="n">
        <x:v>0</x:v>
      </x:c>
      <x:c r="E1957" s="12" t="n">
        <x:v>0.43933333333333335</x:v>
      </x:c>
      <x:c r="F1957" s="12" t="n">
        <x:v>0.43775000000000003</x:v>
      </x:c>
      <x:c r="G1957" s="12" t="n">
        <x:v>0</x:v>
      </x:c>
      <x:c r="H1957" s="1" t="n">
        <x:f>'Historical prices'!E1957</x:f>
        <x:v>1.05</x:v>
      </x:c>
      <x:c r="I1957" s="6" t="n">
        <x:f>'Historical prices'!D1957</x:f>
        <x:v>0.2322</x:v>
      </x:c>
      <x:c r="J1957" s="13" t="n">
        <x:f>D1957*I1957*H1957</x:f>
        <x:v>0</x:v>
      </x:c>
      <x:c r="K1957" s="13" t="n">
        <x:f>E1957*I1957*H1957</x:f>
        <x:v>0.10711386</x:v>
      </x:c>
      <x:c r="L1957" s="1" t="str">
        <x:f>TEXT(A1957,"mmm yyyy")</x:f>
        <x:v>Jun 2026</x:v>
      </x:c>
    </x:row>
    <x:row r="1958" ht="21" customHeight="1">
      <x:c r="A1958" s="10" t="n">
        <x:v>46189</x:v>
      </x:c>
      <x:c r="B1958" s="1" t="n">
        <x:v>7</x:v>
      </x:c>
      <x:c r="C1958" s="1" t="n">
        <x:v>6</x:v>
      </x:c>
      <x:c r="D1958" s="12" t="n">
        <x:v>0</x:v>
      </x:c>
      <x:c r="E1958" s="12" t="n">
        <x:v>0.5588333333333333</x:v>
      </x:c>
      <x:c r="F1958" s="12" t="n">
        <x:v>0.5588333333333333</x:v>
      </x:c>
      <x:c r="G1958" s="12" t="n">
        <x:v>0</x:v>
      </x:c>
      <x:c r="H1958" s="1" t="n">
        <x:f>'Historical prices'!E1958</x:f>
        <x:v>1.05</x:v>
      </x:c>
      <x:c r="I1958" s="6" t="n">
        <x:f>'Historical prices'!D1958</x:f>
        <x:v>0.22210000000000002</x:v>
      </x:c>
      <x:c r="J1958" s="13" t="n">
        <x:f>D1958*I1958*H1958</x:f>
        <x:v>0</x:v>
      </x:c>
      <x:c r="K1958" s="13" t="n">
        <x:f>E1958*I1958*H1958</x:f>
        <x:v>0.1303227275</x:v>
      </x:c>
      <x:c r="L1958" s="1" t="str">
        <x:f>TEXT(A1958,"mmm yyyy")</x:f>
        <x:v>Jun 2026</x:v>
      </x:c>
    </x:row>
    <x:row r="1959" ht="21" customHeight="1">
      <x:c r="A1959" s="10" t="n">
        <x:v>46189</x:v>
      </x:c>
      <x:c r="B1959" s="1" t="n">
        <x:v>7.5</x:v>
      </x:c>
      <x:c r="C1959" s="1" t="n">
        <x:v>6</x:v>
      </x:c>
      <x:c r="D1959" s="12" t="n">
        <x:v>0</x:v>
      </x:c>
      <x:c r="E1959" s="12" t="n">
        <x:v>0.5478333333333333</x:v>
      </x:c>
      <x:c r="F1959" s="12" t="n">
        <x:v>0.5475</x:v>
      </x:c>
      <x:c r="G1959" s="12" t="n">
        <x:v>0</x:v>
      </x:c>
      <x:c r="H1959" s="1" t="n">
        <x:f>'Historical prices'!E1959</x:f>
        <x:v>1.05</x:v>
      </x:c>
      <x:c r="I1959" s="6" t="n">
        <x:f>'Historical prices'!D1959</x:f>
        <x:v>0.2228</x:v>
      </x:c>
      <x:c r="J1959" s="13" t="n">
        <x:f>D1959*I1959*H1959</x:f>
        <x:v>0</x:v>
      </x:c>
      <x:c r="K1959" s="13" t="n">
        <x:f>E1959*I1959*H1959</x:f>
        <x:v>0.12816012999999998</x:v>
      </x:c>
      <x:c r="L1959" s="1" t="str">
        <x:f>TEXT(A1959,"mmm yyyy")</x:f>
        <x:v>Jun 2026</x:v>
      </x:c>
    </x:row>
    <x:row r="1960" ht="21" customHeight="1">
      <x:c r="A1960" s="10" t="n">
        <x:v>46189</x:v>
      </x:c>
      <x:c r="B1960" s="1" t="n">
        <x:v>8</x:v>
      </x:c>
      <x:c r="C1960" s="1" t="n">
        <x:v>6</x:v>
      </x:c>
      <x:c r="D1960" s="12" t="n">
        <x:v>0</x:v>
      </x:c>
      <x:c r="E1960" s="12" t="n">
        <x:v>0.42191666666666666</x:v>
      </x:c>
      <x:c r="F1960" s="12" t="n">
        <x:v>0.42183333333333334</x:v>
      </x:c>
      <x:c r="G1960" s="12" t="n">
        <x:v>0</x:v>
      </x:c>
      <x:c r="H1960" s="1" t="n">
        <x:f>'Historical prices'!E1960</x:f>
        <x:v>1.05</x:v>
      </x:c>
      <x:c r="I1960" s="6" t="n">
        <x:f>'Historical prices'!D1960</x:f>
        <x:v>0.22260000000000002</x:v>
      </x:c>
      <x:c r="J1960" s="13" t="n">
        <x:f>D1960*I1960*H1960</x:f>
        <x:v>0</x:v>
      </x:c>
      <x:c r="K1960" s="13" t="n">
        <x:f>E1960*I1960*H1960</x:f>
        <x:v>0.0986145825</x:v>
      </x:c>
      <x:c r="L1960" s="1" t="str">
        <x:f>TEXT(A1960,"mmm yyyy")</x:f>
        <x:v>Jun 2026</x:v>
      </x:c>
    </x:row>
    <x:row r="1961" ht="21" customHeight="1">
      <x:c r="A1961" s="10" t="n">
        <x:v>46189</x:v>
      </x:c>
      <x:c r="B1961" s="1" t="n">
        <x:v>8.5</x:v>
      </x:c>
      <x:c r="C1961" s="1" t="n">
        <x:v>6</x:v>
      </x:c>
      <x:c r="D1961" s="12" t="n">
        <x:v>0</x:v>
      </x:c>
      <x:c r="E1961" s="12" t="n">
        <x:v>0.44391666666666674</x:v>
      </x:c>
      <x:c r="F1961" s="12" t="n">
        <x:v>0.4438333333333334</x:v>
      </x:c>
      <x:c r="G1961" s="12" t="n">
        <x:v>0</x:v>
      </x:c>
      <x:c r="H1961" s="1" t="n">
        <x:f>'Historical prices'!E1961</x:f>
        <x:v>1.05</x:v>
      </x:c>
      <x:c r="I1961" s="6" t="n">
        <x:f>'Historical prices'!D1961</x:f>
        <x:v>0.2169</x:v>
      </x:c>
      <x:c r="J1961" s="13" t="n">
        <x:f>D1961*I1961*H1961</x:f>
        <x:v>0</x:v>
      </x:c>
      <x:c r="K1961" s="13" t="n">
        <x:f>E1961*I1961*H1961</x:f>
        <x:v>0.10109980125000002</x:v>
      </x:c>
      <x:c r="L1961" s="1" t="str">
        <x:f>TEXT(A1961,"mmm yyyy")</x:f>
        <x:v>Jun 2026</x:v>
      </x:c>
    </x:row>
    <x:row r="1962" ht="21" customHeight="1">
      <x:c r="A1962" s="10" t="n">
        <x:v>46189</x:v>
      </x:c>
      <x:c r="B1962" s="1" t="n">
        <x:v>9</x:v>
      </x:c>
      <x:c r="C1962" s="1" t="n">
        <x:v>6</x:v>
      </x:c>
      <x:c r="D1962" s="12" t="n">
        <x:v>0</x:v>
      </x:c>
      <x:c r="E1962" s="12" t="n">
        <x:v>0.5549166666666666</x:v>
      </x:c>
      <x:c r="F1962" s="12" t="n">
        <x:v>0.5548333333333333</x:v>
      </x:c>
      <x:c r="G1962" s="12" t="n">
        <x:v>0</x:v>
      </x:c>
      <x:c r="H1962" s="1" t="n">
        <x:f>'Historical prices'!E1962</x:f>
        <x:v>1.05</x:v>
      </x:c>
      <x:c r="I1962" s="6" t="n">
        <x:f>'Historical prices'!D1962</x:f>
        <x:v>0.21030000000000001</x:v>
      </x:c>
      <x:c r="J1962" s="13" t="n">
        <x:f>D1962*I1962*H1962</x:f>
        <x:v>0</x:v>
      </x:c>
      <x:c r="K1962" s="13" t="n">
        <x:f>E1962*I1962*H1962</x:f>
        <x:v>0.12253392375</x:v>
      </x:c>
      <x:c r="L1962" s="1" t="str">
        <x:f>TEXT(A1962,"mmm yyyy")</x:f>
        <x:v>Jun 2026</x:v>
      </x:c>
    </x:row>
    <x:row r="1963" ht="21" customHeight="1">
      <x:c r="A1963" s="10" t="n">
        <x:v>46189</x:v>
      </x:c>
      <x:c r="B1963" s="1" t="n">
        <x:v>9.5</x:v>
      </x:c>
      <x:c r="C1963" s="1" t="n">
        <x:v>6</x:v>
      </x:c>
      <x:c r="D1963" s="12" t="n">
        <x:v>0</x:v>
      </x:c>
      <x:c r="E1963" s="12" t="n">
        <x:v>0.5827499999999999</x:v>
      </x:c>
      <x:c r="F1963" s="12" t="n">
        <x:v>0.5827499999999999</x:v>
      </x:c>
      <x:c r="G1963" s="12" t="n">
        <x:v>0</x:v>
      </x:c>
      <x:c r="H1963" s="1" t="n">
        <x:f>'Historical prices'!E1963</x:f>
        <x:v>1.05</x:v>
      </x:c>
      <x:c r="I1963" s="6" t="n">
        <x:f>'Historical prices'!D1963</x:f>
        <x:v>0.1931</x:v>
      </x:c>
      <x:c r="J1963" s="13" t="n">
        <x:f>D1963*I1963*H1963</x:f>
        <x:v>0</x:v>
      </x:c>
      <x:c r="K1963" s="13" t="n">
        <x:f>E1963*I1963*H1963</x:f>
        <x:v>0.11815547624999997</x:v>
      </x:c>
      <x:c r="L1963" s="1" t="str">
        <x:f>TEXT(A1963,"mmm yyyy")</x:f>
        <x:v>Jun 2026</x:v>
      </x:c>
    </x:row>
    <x:row r="1964" ht="21" customHeight="1">
      <x:c r="A1964" s="10" t="n">
        <x:v>46189</x:v>
      </x:c>
      <x:c r="B1964" s="1" t="n">
        <x:v>10</x:v>
      </x:c>
      <x:c r="C1964" s="1" t="n">
        <x:v>6</x:v>
      </x:c>
      <x:c r="D1964" s="12" t="n">
        <x:v>0.3144166666666667</x:v>
      </x:c>
      <x:c r="E1964" s="12" t="n">
        <x:v>0.39941666666666664</x:v>
      </x:c>
      <x:c r="F1964" s="12" t="n">
        <x:v>0.074</x:v>
      </x:c>
      <x:c r="G1964" s="12" t="n">
        <x:v>0</x:v>
      </x:c>
      <x:c r="H1964" s="1" t="n">
        <x:f>'Historical prices'!E1964</x:f>
        <x:v>1.05</x:v>
      </x:c>
      <x:c r="I1964" s="6" t="n">
        <x:f>'Historical prices'!D1964</x:f>
        <x:v>0.185</x:v>
      </x:c>
      <x:c r="J1964" s="13" t="n">
        <x:f>D1964*I1964*H1964</x:f>
        <x:v>0.0610754375</x:v>
      </x:c>
      <x:c r="K1964" s="13" t="n">
        <x:f>E1964*I1964*H1964</x:f>
        <x:v>0.0775866875</x:v>
      </x:c>
      <x:c r="L1964" s="1" t="str">
        <x:f>TEXT(A1964,"mmm yyyy")</x:f>
        <x:v>Jun 2026</x:v>
      </x:c>
    </x:row>
    <x:row r="1965" ht="21" customHeight="1">
      <x:c r="A1965" s="10" t="n">
        <x:v>46189</x:v>
      </x:c>
      <x:c r="B1965" s="1" t="n">
        <x:v>10.5</x:v>
      </x:c>
      <x:c r="C1965" s="1" t="n">
        <x:v>6</x:v>
      </x:c>
      <x:c r="D1965" s="12" t="n">
        <x:v>0.3964166666666667</x:v>
      </x:c>
      <x:c r="E1965" s="12" t="n">
        <x:v>0.4134166666666667</x:v>
      </x:c>
      <x:c r="F1965" s="12" t="n">
        <x:v>0</x:v>
      </x:c>
      <x:c r="G1965" s="12" t="n">
        <x:v>0</x:v>
      </x:c>
      <x:c r="H1965" s="1" t="n">
        <x:f>'Historical prices'!E1965</x:f>
        <x:v>1.05</x:v>
      </x:c>
      <x:c r="I1965" s="6" t="n">
        <x:f>'Historical prices'!D1965</x:f>
        <x:v>0.1746</x:v>
      </x:c>
      <x:c r="J1965" s="13" t="n">
        <x:f>D1965*I1965*H1965</x:f>
        <x:v>0.07267506750000001</x:v>
      </x:c>
      <x:c r="K1965" s="13" t="n">
        <x:f>E1965*I1965*H1965</x:f>
        <x:v>0.07579167750000002</x:v>
      </x:c>
      <x:c r="L1965" s="1" t="str">
        <x:f>TEXT(A1965,"mmm yyyy")</x:f>
        <x:v>Jun 2026</x:v>
      </x:c>
    </x:row>
    <x:row r="1966" ht="21" customHeight="1">
      <x:c r="A1966" s="10" t="n">
        <x:v>46189</x:v>
      </x:c>
      <x:c r="B1966" s="1" t="n">
        <x:v>11</x:v>
      </x:c>
      <x:c r="C1966" s="1" t="n">
        <x:v>6</x:v>
      </x:c>
      <x:c r="D1966" s="12" t="n">
        <x:v>0.38266666666666665</x:v>
      </x:c>
      <x:c r="E1966" s="12" t="n">
        <x:v>0.39966666666666667</x:v>
      </x:c>
      <x:c r="F1966" s="12" t="n">
        <x:v>0</x:v>
      </x:c>
      <x:c r="G1966" s="12" t="n">
        <x:v>0</x:v>
      </x:c>
      <x:c r="H1966" s="1" t="n">
        <x:f>'Historical prices'!E1966</x:f>
        <x:v>1.05</x:v>
      </x:c>
      <x:c r="I1966" s="6" t="n">
        <x:f>'Historical prices'!D1966</x:f>
        <x:v>0.15560000000000002</x:v>
      </x:c>
      <x:c r="J1966" s="13" t="n">
        <x:f>D1966*I1966*H1966</x:f>
        <x:v>0.06252008</x:v>
      </x:c>
      <x:c r="K1966" s="13" t="n">
        <x:f>E1966*I1966*H1966</x:f>
        <x:v>0.06529754000000002</x:v>
      </x:c>
      <x:c r="L1966" s="1" t="str">
        <x:f>TEXT(A1966,"mmm yyyy")</x:f>
        <x:v>Jun 2026</x:v>
      </x:c>
    </x:row>
    <x:row r="1967" ht="21" customHeight="1">
      <x:c r="A1967" s="10" t="n">
        <x:v>46189</x:v>
      </x:c>
      <x:c r="B1967" s="1" t="n">
        <x:v>11.5</x:v>
      </x:c>
      <x:c r="C1967" s="1" t="n">
        <x:v>6</x:v>
      </x:c>
      <x:c r="D1967" s="12" t="n">
        <x:v>4.334583333333334</x:v>
      </x:c>
      <x:c r="E1967" s="12" t="n">
        <x:v>0.5045833333333334</x:v>
      </x:c>
      <x:c r="F1967" s="12" t="n">
        <x:v>0</x:v>
      </x:c>
      <x:c r="G1967" s="12" t="n">
        <x:v>3.832</x:v>
      </x:c>
      <x:c r="H1967" s="1" t="n">
        <x:f>'Historical prices'!E1967</x:f>
        <x:v>1.05</x:v>
      </x:c>
      <x:c r="I1967" s="6" t="n">
        <x:f>'Historical prices'!D1967</x:f>
        <x:v>0.1463</x:v>
      </x:c>
      <x:c r="J1967" s="13" t="n">
        <x:f>D1967*I1967*H1967</x:f>
        <x:v>0.6658570187500001</x:v>
      </x:c>
      <x:c r="K1967" s="13" t="n">
        <x:f>E1967*I1967*H1967</x:f>
        <x:v>0.07751156875000002</x:v>
      </x:c>
      <x:c r="L1967" s="1" t="str">
        <x:f>TEXT(A1967,"mmm yyyy")</x:f>
        <x:v>Jun 2026</x:v>
      </x:c>
    </x:row>
    <x:row r="1968" ht="21" customHeight="1">
      <x:c r="A1968" s="10" t="n">
        <x:v>46189</x:v>
      </x:c>
      <x:c r="B1968" s="1" t="n">
        <x:v>12</x:v>
      </x:c>
      <x:c r="C1968" s="1" t="n">
        <x:v>6</x:v>
      </x:c>
      <x:c r="D1968" s="12" t="n">
        <x:v>1.1274166666666667</x:v>
      </x:c>
      <x:c r="E1968" s="12" t="n">
        <x:v>0.34741666666666665</x:v>
      </x:c>
      <x:c r="F1968" s="12" t="n">
        <x:v>0</x:v>
      </x:c>
      <x:c r="G1968" s="12" t="n">
        <x:v>0.784</x:v>
      </x:c>
      <x:c r="H1968" s="1" t="n">
        <x:f>'Historical prices'!E1968</x:f>
        <x:v>1.05</x:v>
      </x:c>
      <x:c r="I1968" s="6" t="n">
        <x:f>'Historical prices'!D1968</x:f>
        <x:v>0.1493</x:v>
      </x:c>
      <x:c r="J1968" s="13" t="n">
        <x:f>D1968*I1968*H1968</x:f>
        <x:v>0.17673947375000001</x:v>
      </x:c>
      <x:c r="K1968" s="13" t="n">
        <x:f>E1968*I1968*H1968</x:f>
        <x:v>0.05446277375</x:v>
      </x:c>
      <x:c r="L1968" s="1" t="str">
        <x:f>TEXT(A1968,"mmm yyyy")</x:f>
        <x:v>Jun 2026</x:v>
      </x:c>
    </x:row>
    <x:row r="1969" ht="21" customHeight="1">
      <x:c r="A1969" s="10" t="n">
        <x:v>46189</x:v>
      </x:c>
      <x:c r="B1969" s="1" t="n">
        <x:v>12.5</x:v>
      </x:c>
      <x:c r="C1969" s="1" t="n">
        <x:v>6</x:v>
      </x:c>
      <x:c r="D1969" s="12" t="n">
        <x:v>0.21208333333333335</x:v>
      </x:c>
      <x:c r="E1969" s="12" t="n">
        <x:v>0.2230833333333333</x:v>
      </x:c>
      <x:c r="F1969" s="12" t="n">
        <x:v>0</x:v>
      </x:c>
      <x:c r="G1969" s="12" t="n">
        <x:v>0</x:v>
      </x:c>
      <x:c r="H1969" s="1" t="n">
        <x:f>'Historical prices'!E1969</x:f>
        <x:v>1.05</x:v>
      </x:c>
      <x:c r="I1969" s="6" t="n">
        <x:f>'Historical prices'!D1969</x:f>
        <x:v>0.1493</x:v>
      </x:c>
      <x:c r="J1969" s="13" t="n">
        <x:f>D1969*I1969*H1969</x:f>
        <x:v>0.033247243749999995</x:v>
      </x:c>
      <x:c r="K1969" s="13" t="n">
        <x:f>E1969*I1969*H1969</x:f>
        <x:v>0.03497165874999999</x:v>
      </x:c>
      <x:c r="L1969" s="1" t="str">
        <x:f>TEXT(A1969,"mmm yyyy")</x:f>
        <x:v>Jun 2026</x:v>
      </x:c>
    </x:row>
    <x:row r="1970" ht="21" customHeight="1">
      <x:c r="A1970" s="10" t="n">
        <x:v>46189</x:v>
      </x:c>
      <x:c r="B1970" s="1" t="n">
        <x:v>13</x:v>
      </x:c>
      <x:c r="C1970" s="1" t="n">
        <x:v>6</x:v>
      </x:c>
      <x:c r="D1970" s="12" t="n">
        <x:v>0.2685</x:v>
      </x:c>
      <x:c r="E1970" s="12" t="n">
        <x:v>0.2805</x:v>
      </x:c>
      <x:c r="F1970" s="12" t="n">
        <x:v>0</x:v>
      </x:c>
      <x:c r="G1970" s="12" t="n">
        <x:v>0</x:v>
      </x:c>
      <x:c r="H1970" s="1" t="n">
        <x:f>'Historical prices'!E1970</x:f>
        <x:v>1.05</x:v>
      </x:c>
      <x:c r="I1970" s="6" t="n">
        <x:f>'Historical prices'!D1970</x:f>
        <x:v>0.1493</x:v>
      </x:c>
      <x:c r="J1970" s="13" t="n">
        <x:f>D1970*I1970*H1970</x:f>
        <x:v>0.0420914025</x:v>
      </x:c>
      <x:c r="K1970" s="13" t="n">
        <x:f>E1970*I1970*H1970</x:f>
        <x:v>0.0439725825</x:v>
      </x:c>
      <x:c r="L1970" s="1" t="str">
        <x:f>TEXT(A1970,"mmm yyyy")</x:f>
        <x:v>Jun 2026</x:v>
      </x:c>
    </x:row>
    <x:row r="1971" ht="21" customHeight="1">
      <x:c r="A1971" s="10" t="n">
        <x:v>46189</x:v>
      </x:c>
      <x:c r="B1971" s="1" t="n">
        <x:v>13.5</x:v>
      </x:c>
      <x:c r="C1971" s="1" t="n">
        <x:v>6</x:v>
      </x:c>
      <x:c r="D1971" s="12" t="n">
        <x:v>0.27416666666666667</x:v>
      </x:c>
      <x:c r="E1971" s="12" t="n">
        <x:v>0.2841666666666667</x:v>
      </x:c>
      <x:c r="F1971" s="12" t="n">
        <x:v>0</x:v>
      </x:c>
      <x:c r="G1971" s="12" t="n">
        <x:v>0</x:v>
      </x:c>
      <x:c r="H1971" s="1" t="n">
        <x:f>'Historical prices'!E1971</x:f>
        <x:v>1.05</x:v>
      </x:c>
      <x:c r="I1971" s="6" t="n">
        <x:f>'Historical prices'!D1971</x:f>
        <x:v>0.1493</x:v>
      </x:c>
      <x:c r="J1971" s="13" t="n">
        <x:f>D1971*I1971*H1971</x:f>
        <x:v>0.0429797375</x:v>
      </x:c>
      <x:c r="K1971" s="13" t="n">
        <x:f>E1971*I1971*H1971</x:f>
        <x:v>0.0445473875</x:v>
      </x:c>
      <x:c r="L1971" s="1" t="str">
        <x:f>TEXT(A1971,"mmm yyyy")</x:f>
        <x:v>Jun 2026</x:v>
      </x:c>
    </x:row>
    <x:row r="1972" ht="21" customHeight="1">
      <x:c r="A1972" s="10" t="n">
        <x:v>46189</x:v>
      </x:c>
      <x:c r="B1972" s="1" t="n">
        <x:v>14</x:v>
      </x:c>
      <x:c r="C1972" s="1" t="n">
        <x:v>6</x:v>
      </x:c>
      <x:c r="D1972" s="12" t="n">
        <x:v>0.27616666666666667</x:v>
      </x:c>
      <x:c r="E1972" s="12" t="n">
        <x:v>0.2871666666666667</x:v>
      </x:c>
      <x:c r="F1972" s="12" t="n">
        <x:v>0</x:v>
      </x:c>
      <x:c r="G1972" s="12" t="n">
        <x:v>0</x:v>
      </x:c>
      <x:c r="H1972" s="1" t="n">
        <x:f>'Historical prices'!E1972</x:f>
        <x:v>1.05</x:v>
      </x:c>
      <x:c r="I1972" s="6" t="n">
        <x:f>'Historical prices'!D1972</x:f>
        <x:v>0.1493</x:v>
      </x:c>
      <x:c r="J1972" s="13" t="n">
        <x:f>D1972*I1972*H1972</x:f>
        <x:v>0.0432932675</x:v>
      </x:c>
      <x:c r="K1972" s="13" t="n">
        <x:f>E1972*I1972*H1972</x:f>
        <x:v>0.045017682499999996</x:v>
      </x:c>
      <x:c r="L1972" s="1" t="str">
        <x:f>TEXT(A1972,"mmm yyyy")</x:f>
        <x:v>Jun 2026</x:v>
      </x:c>
    </x:row>
    <x:row r="1973" ht="21" customHeight="1">
      <x:c r="A1973" s="10" t="n">
        <x:v>46189</x:v>
      </x:c>
      <x:c r="B1973" s="1" t="n">
        <x:v>14.5</x:v>
      </x:c>
      <x:c r="C1973" s="1" t="n">
        <x:v>6</x:v>
      </x:c>
      <x:c r="D1973" s="12" t="n">
        <x:v>2.9595</x:v>
      </x:c>
      <x:c r="E1973" s="12" t="n">
        <x:v>0.47850000000000004</x:v>
      </x:c>
      <x:c r="F1973" s="12" t="n">
        <x:v>0</x:v>
      </x:c>
      <x:c r="G1973" s="12" t="n">
        <x:v>2.4830000000000005</x:v>
      </x:c>
      <x:c r="H1973" s="1" t="n">
        <x:f>'Historical prices'!E1973</x:f>
        <x:v>1.05</x:v>
      </x:c>
      <x:c r="I1973" s="6" t="n">
        <x:f>'Historical prices'!D1973</x:f>
        <x:v>0.1472</x:v>
      </x:c>
      <x:c r="J1973" s="13" t="n">
        <x:f>D1973*I1973*H1973</x:f>
        <x:v>0.45742032</x:v>
      </x:c>
      <x:c r="K1973" s="13" t="n">
        <x:f>E1973*I1973*H1973</x:f>
        <x:v>0.07395696</x:v>
      </x:c>
      <x:c r="L1973" s="1" t="str">
        <x:f>TEXT(A1973,"mmm yyyy")</x:f>
        <x:v>Jun 2026</x:v>
      </x:c>
    </x:row>
    <x:row r="1974" ht="21" customHeight="1">
      <x:c r="A1974" s="10" t="n">
        <x:v>46189</x:v>
      </x:c>
      <x:c r="B1974" s="1" t="n">
        <x:v>15</x:v>
      </x:c>
      <x:c r="C1974" s="1" t="n">
        <x:v>6</x:v>
      </x:c>
      <x:c r="D1974" s="12" t="n">
        <x:v>1.1660000000000001</x:v>
      </x:c>
      <x:c r="E1974" s="12" t="n">
        <x:v>1.131</x:v>
      </x:c>
      <x:c r="F1974" s="12" t="n">
        <x:v>0</x:v>
      </x:c>
      <x:c r="G1974" s="12" t="n">
        <x:v>0.042</x:v>
      </x:c>
      <x:c r="H1974" s="1" t="n">
        <x:f>'Historical prices'!E1974</x:f>
        <x:v>1.05</x:v>
      </x:c>
      <x:c r="I1974" s="6" t="n">
        <x:f>'Historical prices'!D1974</x:f>
        <x:v>0.1497</x:v>
      </x:c>
      <x:c r="J1974" s="13" t="n">
        <x:f>D1974*I1974*H1974</x:f>
        <x:v>0.18327771000000004</x:v>
      </x:c>
      <x:c r="K1974" s="13" t="n">
        <x:f>E1974*I1974*H1974</x:f>
        <x:v>0.177776235</x:v>
      </x:c>
      <x:c r="L1974" s="1" t="str">
        <x:f>TEXT(A1974,"mmm yyyy")</x:f>
        <x:v>Jun 2026</x:v>
      </x:c>
    </x:row>
    <x:row r="1975" ht="21" customHeight="1">
      <x:c r="A1975" s="10" t="n">
        <x:v>46189</x:v>
      </x:c>
      <x:c r="B1975" s="1" t="n">
        <x:v>15.5</x:v>
      </x:c>
      <x:c r="C1975" s="1" t="n">
        <x:v>6</x:v>
      </x:c>
      <x:c r="D1975" s="12" t="n">
        <x:v>0.3145</x:v>
      </x:c>
      <x:c r="E1975" s="12" t="n">
        <x:v>0.3815</x:v>
      </x:c>
      <x:c r="F1975" s="12" t="n">
        <x:v>0.058</x:v>
      </x:c>
      <x:c r="G1975" s="12" t="n">
        <x:v>0</x:v>
      </x:c>
      <x:c r="H1975" s="1" t="n">
        <x:f>'Historical prices'!E1975</x:f>
        <x:v>1.05</x:v>
      </x:c>
      <x:c r="I1975" s="6" t="n">
        <x:f>'Historical prices'!D1975</x:f>
        <x:v>0.1543</x:v>
      </x:c>
      <x:c r="J1975" s="13" t="n">
        <x:f>D1975*I1975*H1975</x:f>
        <x:v>0.0509537175</x:v>
      </x:c>
      <x:c r="K1975" s="13" t="n">
        <x:f>E1975*I1975*H1975</x:f>
        <x:v>0.0618087225</x:v>
      </x:c>
      <x:c r="L1975" s="1" t="str">
        <x:f>TEXT(A1975,"mmm yyyy")</x:f>
        <x:v>Jun 2026</x:v>
      </x:c>
    </x:row>
    <x:row r="1976" ht="21" customHeight="1">
      <x:c r="A1976" s="10" t="n">
        <x:v>46189</x:v>
      </x:c>
      <x:c r="B1976" s="1" t="n">
        <x:v>16</x:v>
      </x:c>
      <x:c r="C1976" s="1" t="n">
        <x:v>6</x:v>
      </x:c>
      <x:c r="D1976" s="12" t="n">
        <x:v>0.04741666666666667</x:v>
      </x:c>
      <x:c r="E1976" s="12" t="n">
        <x:v>0.4554166666666667</x:v>
      </x:c>
      <x:c r="F1976" s="12" t="n">
        <x:v>0.4078333333333334</x:v>
      </x:c>
      <x:c r="G1976" s="12" t="n">
        <x:v>0</x:v>
      </x:c>
      <x:c r="H1976" s="1" t="n">
        <x:f>'Historical prices'!E1976</x:f>
        <x:v>1.05</x:v>
      </x:c>
      <x:c r="I1976" s="6" t="n">
        <x:f>'Historical prices'!D1976</x:f>
        <x:v>0.2895</x:v>
      </x:c>
      <x:c r="J1976" s="13" t="n">
        <x:f>D1976*I1976*H1976</x:f>
        <x:v>0.01441348125</x:v>
      </x:c>
      <x:c r="K1976" s="13" t="n">
        <x:f>E1976*I1976*H1976</x:f>
        <x:v>0.13843528125000001</x:v>
      </x:c>
      <x:c r="L1976" s="1" t="str">
        <x:f>TEXT(A1976,"mmm yyyy")</x:f>
        <x:v>Jun 2026</x:v>
      </x:c>
    </x:row>
    <x:row r="1977" ht="21" customHeight="1">
      <x:c r="A1977" s="10" t="n">
        <x:v>46189</x:v>
      </x:c>
      <x:c r="B1977" s="1" t="n">
        <x:v>16.5</x:v>
      </x:c>
      <x:c r="C1977" s="1" t="n">
        <x:v>6</x:v>
      </x:c>
      <x:c r="D1977" s="12" t="n">
        <x:v>0</x:v>
      </x:c>
      <x:c r="E1977" s="12" t="n">
        <x:v>0.456</x:v>
      </x:c>
      <x:c r="F1977" s="12" t="n">
        <x:v>0.4559166666666667</x:v>
      </x:c>
      <x:c r="G1977" s="12" t="n">
        <x:v>0</x:v>
      </x:c>
      <x:c r="H1977" s="1" t="n">
        <x:f>'Historical prices'!E1977</x:f>
        <x:v>1.05</x:v>
      </x:c>
      <x:c r="I1977" s="6" t="n">
        <x:f>'Historical prices'!D1977</x:f>
        <x:v>0.2902</x:v>
      </x:c>
      <x:c r="J1977" s="13" t="n">
        <x:f>D1977*I1977*H1977</x:f>
        <x:v>0</x:v>
      </x:c>
      <x:c r="K1977" s="13" t="n">
        <x:f>E1977*I1977*H1977</x:f>
        <x:v>0.13894776</x:v>
      </x:c>
      <x:c r="L1977" s="1" t="str">
        <x:f>TEXT(A1977,"mmm yyyy")</x:f>
        <x:v>Jun 2026</x:v>
      </x:c>
    </x:row>
    <x:row r="1978" ht="21" customHeight="1">
      <x:c r="A1978" s="10" t="n">
        <x:v>46189</x:v>
      </x:c>
      <x:c r="B1978" s="1" t="n">
        <x:v>17</x:v>
      </x:c>
      <x:c r="C1978" s="1" t="n">
        <x:v>6</x:v>
      </x:c>
      <x:c r="D1978" s="12" t="n">
        <x:v>0</x:v>
      </x:c>
      <x:c r="E1978" s="12" t="n">
        <x:v>0.44975</x:v>
      </x:c>
      <x:c r="F1978" s="12" t="n">
        <x:v>0.44975</x:v>
      </x:c>
      <x:c r="G1978" s="12" t="n">
        <x:v>0</x:v>
      </x:c>
      <x:c r="H1978" s="1" t="n">
        <x:f>'Historical prices'!E1978</x:f>
        <x:v>1.05</x:v>
      </x:c>
      <x:c r="I1978" s="6" t="n">
        <x:f>'Historical prices'!D1978</x:f>
        <x:v>0.3243</x:v>
      </x:c>
      <x:c r="J1978" s="13" t="n">
        <x:f>D1978*I1978*H1978</x:f>
        <x:v>0</x:v>
      </x:c>
      <x:c r="K1978" s="13" t="n">
        <x:f>E1978*I1978*H1978</x:f>
        <x:v>0.15314662125</x:v>
      </x:c>
      <x:c r="L1978" s="1" t="str">
        <x:f>TEXT(A1978,"mmm yyyy")</x:f>
        <x:v>Jun 2026</x:v>
      </x:c>
    </x:row>
    <x:row r="1979" ht="21" customHeight="1">
      <x:c r="A1979" s="10" t="n">
        <x:v>46189</x:v>
      </x:c>
      <x:c r="B1979" s="1" t="n">
        <x:v>17.5</x:v>
      </x:c>
      <x:c r="C1979" s="1" t="n">
        <x:v>6</x:v>
      </x:c>
      <x:c r="D1979" s="12" t="n">
        <x:v>0</x:v>
      </x:c>
      <x:c r="E1979" s="12" t="n">
        <x:v>0.44783333333333336</x:v>
      </x:c>
      <x:c r="F1979" s="12" t="n">
        <x:v>0.44783333333333336</x:v>
      </x:c>
      <x:c r="G1979" s="12" t="n">
        <x:v>0</x:v>
      </x:c>
      <x:c r="H1979" s="1" t="n">
        <x:f>'Historical prices'!E1979</x:f>
        <x:v>1.05</x:v>
      </x:c>
      <x:c r="I1979" s="6" t="n">
        <x:f>'Historical prices'!D1979</x:f>
        <x:v>0.3354</x:v>
      </x:c>
      <x:c r="J1979" s="13" t="n">
        <x:f>D1979*I1979*H1979</x:f>
        <x:v>0</x:v>
      </x:c>
      <x:c r="K1979" s="13" t="n">
        <x:f>E1979*I1979*H1979</x:f>
        <x:v>0.15771346500000002</x:v>
      </x:c>
      <x:c r="L1979" s="1" t="str">
        <x:f>TEXT(A1979,"mmm yyyy")</x:f>
        <x:v>Jun 2026</x:v>
      </x:c>
    </x:row>
    <x:row r="1980" ht="21" customHeight="1">
      <x:c r="A1980" s="10" t="n">
        <x:v>46189</x:v>
      </x:c>
      <x:c r="B1980" s="1" t="n">
        <x:v>18</x:v>
      </x:c>
      <x:c r="C1980" s="1" t="n">
        <x:v>6</x:v>
      </x:c>
      <x:c r="D1980" s="12" t="n">
        <x:v>0</x:v>
      </x:c>
      <x:c r="E1980" s="12" t="n">
        <x:v>0.9369999999999999</x:v>
      </x:c>
      <x:c r="F1980" s="12" t="n">
        <x:v>0.9365833333333333</x:v>
      </x:c>
      <x:c r="G1980" s="12" t="n">
        <x:v>0</x:v>
      </x:c>
      <x:c r="H1980" s="1" t="n">
        <x:f>'Historical prices'!E1980</x:f>
        <x:v>1.05</x:v>
      </x:c>
      <x:c r="I1980" s="6" t="n">
        <x:f>'Historical prices'!D1980</x:f>
        <x:v>0.36560000000000004</x:v>
      </x:c>
      <x:c r="J1980" s="13" t="n">
        <x:f>D1980*I1980*H1980</x:f>
        <x:v>0</x:v>
      </x:c>
      <x:c r="K1980" s="13" t="n">
        <x:f>E1980*I1980*H1980</x:f>
        <x:v>0.35969556</x:v>
      </x:c>
      <x:c r="L1980" s="1" t="str">
        <x:f>TEXT(A1980,"mmm yyyy")</x:f>
        <x:v>Jun 2026</x:v>
      </x:c>
    </x:row>
    <x:row r="1981" ht="21" customHeight="1">
      <x:c r="A1981" s="10" t="n">
        <x:v>46189</x:v>
      </x:c>
      <x:c r="B1981" s="1" t="n">
        <x:v>18.5</x:v>
      </x:c>
      <x:c r="C1981" s="1" t="n">
        <x:v>6</x:v>
      </x:c>
      <x:c r="D1981" s="12" t="n">
        <x:v>0</x:v>
      </x:c>
      <x:c r="E1981" s="12" t="n">
        <x:v>0.9063333333333334</x:v>
      </x:c>
      <x:c r="F1981" s="12" t="n">
        <x:v>0.9045833333333333</x:v>
      </x:c>
      <x:c r="G1981" s="12" t="n">
        <x:v>0</x:v>
      </x:c>
      <x:c r="H1981" s="1" t="n">
        <x:f>'Historical prices'!E1981</x:f>
        <x:v>1.05</x:v>
      </x:c>
      <x:c r="I1981" s="6" t="n">
        <x:f>'Historical prices'!D1981</x:f>
        <x:v>0.3761</x:v>
      </x:c>
      <x:c r="J1981" s="13" t="n">
        <x:f>D1981*I1981*H1981</x:f>
        <x:v>0</x:v>
      </x:c>
      <x:c r="K1981" s="13" t="n">
        <x:f>E1981*I1981*H1981</x:f>
        <x:v>0.35791556500000005</x:v>
      </x:c>
      <x:c r="L1981" s="1" t="str">
        <x:f>TEXT(A1981,"mmm yyyy")</x:f>
        <x:v>Jun 2026</x:v>
      </x:c>
    </x:row>
    <x:row r="1982" ht="21" customHeight="1">
      <x:c r="A1982" s="10" t="n">
        <x:v>46189</x:v>
      </x:c>
      <x:c r="B1982" s="1" t="n">
        <x:v>19</x:v>
      </x:c>
      <x:c r="C1982" s="1" t="n">
        <x:v>6</x:v>
      </x:c>
      <x:c r="D1982" s="12" t="n">
        <x:v>0</x:v>
      </x:c>
      <x:c r="E1982" s="12" t="n">
        <x:v>0.7149166666666665</x:v>
      </x:c>
      <x:c r="F1982" s="12" t="n">
        <x:v>0.7147499999999999</x:v>
      </x:c>
      <x:c r="G1982" s="12" t="n">
        <x:v>0</x:v>
      </x:c>
      <x:c r="H1982" s="1" t="n">
        <x:f>'Historical prices'!E1982</x:f>
        <x:v>1.05</x:v>
      </x:c>
      <x:c r="I1982" s="6" t="n">
        <x:f>'Historical prices'!D1982</x:f>
        <x:v>0.26899999999999996</x:v>
      </x:c>
      <x:c r="J1982" s="13" t="n">
        <x:f>D1982*I1982*H1982</x:f>
        <x:v>0</x:v>
      </x:c>
      <x:c r="K1982" s="13" t="n">
        <x:f>E1982*I1982*H1982</x:f>
        <x:v>0.20192821249999993</x:v>
      </x:c>
      <x:c r="L1982" s="1" t="str">
        <x:f>TEXT(A1982,"mmm yyyy")</x:f>
        <x:v>Jun 2026</x:v>
      </x:c>
    </x:row>
    <x:row r="1983" ht="21" customHeight="1">
      <x:c r="A1983" s="10" t="n">
        <x:v>46189</x:v>
      </x:c>
      <x:c r="B1983" s="1" t="n">
        <x:v>19.5</x:v>
      </x:c>
      <x:c r="C1983" s="1" t="n">
        <x:v>6</x:v>
      </x:c>
      <x:c r="D1983" s="12" t="n">
        <x:v>0</x:v>
      </x:c>
      <x:c r="E1983" s="12" t="n">
        <x:v>0.47858333333333336</x:v>
      </x:c>
      <x:c r="F1983" s="12" t="n">
        <x:v>0.47850000000000004</x:v>
      </x:c>
      <x:c r="G1983" s="12" t="n">
        <x:v>0</x:v>
      </x:c>
      <x:c r="H1983" s="1" t="n">
        <x:f>'Historical prices'!E1983</x:f>
        <x:v>1.05</x:v>
      </x:c>
      <x:c r="I1983" s="6" t="n">
        <x:f>'Historical prices'!D1983</x:f>
        <x:v>0.2606</x:v>
      </x:c>
      <x:c r="J1983" s="13" t="n">
        <x:f>D1983*I1983*H1983</x:f>
        <x:v>0</x:v>
      </x:c>
      <x:c r="K1983" s="13" t="n">
        <x:f>E1983*I1983*H1983</x:f>
        <x:v>0.13095475750000002</x:v>
      </x:c>
      <x:c r="L1983" s="1" t="str">
        <x:f>TEXT(A1983,"mmm yyyy")</x:f>
        <x:v>Jun 2026</x:v>
      </x:c>
    </x:row>
    <x:row r="1984" ht="21" customHeight="1">
      <x:c r="A1984" s="10" t="n">
        <x:v>46189</x:v>
      </x:c>
      <x:c r="B1984" s="1" t="n">
        <x:v>20</x:v>
      </x:c>
      <x:c r="C1984" s="1" t="n">
        <x:v>6</x:v>
      </x:c>
      <x:c r="D1984" s="12" t="n">
        <x:v>0</x:v>
      </x:c>
      <x:c r="E1984" s="12" t="n">
        <x:v>0.394</x:v>
      </x:c>
      <x:c r="F1984" s="12" t="n">
        <x:v>0.3939166666666667</x:v>
      </x:c>
      <x:c r="G1984" s="12" t="n">
        <x:v>0</x:v>
      </x:c>
      <x:c r="H1984" s="1" t="n">
        <x:f>'Historical prices'!E1984</x:f>
        <x:v>1.05</x:v>
      </x:c>
      <x:c r="I1984" s="6" t="n">
        <x:f>'Historical prices'!D1984</x:f>
        <x:v>0.2639</x:v>
      </x:c>
      <x:c r="J1984" s="13" t="n">
        <x:f>D1984*I1984*H1984</x:f>
        <x:v>0</x:v>
      </x:c>
      <x:c r="K1984" s="13" t="n">
        <x:f>E1984*I1984*H1984</x:f>
        <x:v>0.10917543000000002</x:v>
      </x:c>
      <x:c r="L1984" s="1" t="str">
        <x:f>TEXT(A1984,"mmm yyyy")</x:f>
        <x:v>Jun 2026</x:v>
      </x:c>
    </x:row>
    <x:row r="1985" ht="21" customHeight="1">
      <x:c r="A1985" s="10" t="n">
        <x:v>46189</x:v>
      </x:c>
      <x:c r="B1985" s="1" t="n">
        <x:v>20.5</x:v>
      </x:c>
      <x:c r="C1985" s="1" t="n">
        <x:v>6</x:v>
      </x:c>
      <x:c r="D1985" s="12" t="n">
        <x:v>0</x:v>
      </x:c>
      <x:c r="E1985" s="12" t="n">
        <x:v>0.4758333333333334</x:v>
      </x:c>
      <x:c r="F1985" s="12" t="n">
        <x:v>0.4758333333333334</x:v>
      </x:c>
      <x:c r="G1985" s="12" t="n">
        <x:v>0</x:v>
      </x:c>
      <x:c r="H1985" s="1" t="n">
        <x:f>'Historical prices'!E1985</x:f>
        <x:v>1.05</x:v>
      </x:c>
      <x:c r="I1985" s="6" t="n">
        <x:f>'Historical prices'!D1985</x:f>
        <x:v>0.2627</x:v>
      </x:c>
      <x:c r="J1985" s="13" t="n">
        <x:f>D1985*I1985*H1985</x:f>
        <x:v>0</x:v>
      </x:c>
      <x:c r="K1985" s="13" t="n">
        <x:f>E1985*I1985*H1985</x:f>
        <x:v>0.1312514875</x:v>
      </x:c>
      <x:c r="L1985" s="1" t="str">
        <x:f>TEXT(A1985,"mmm yyyy")</x:f>
        <x:v>Jun 2026</x:v>
      </x:c>
    </x:row>
    <x:row r="1986" ht="21" customHeight="1">
      <x:c r="A1986" s="10" t="n">
        <x:v>46189</x:v>
      </x:c>
      <x:c r="B1986" s="1" t="n">
        <x:v>21</x:v>
      </x:c>
      <x:c r="C1986" s="1" t="n">
        <x:v>6</x:v>
      </x:c>
      <x:c r="D1986" s="12" t="n">
        <x:v>0</x:v>
      </x:c>
      <x:c r="E1986" s="12" t="n">
        <x:v>0.48083333333333333</x:v>
      </x:c>
      <x:c r="F1986" s="12" t="n">
        <x:v>0.48083333333333333</x:v>
      </x:c>
      <x:c r="G1986" s="12" t="n">
        <x:v>0</x:v>
      </x:c>
      <x:c r="H1986" s="1" t="n">
        <x:f>'Historical prices'!E1986</x:f>
        <x:v>1.05</x:v>
      </x:c>
      <x:c r="I1986" s="6" t="n">
        <x:f>'Historical prices'!D1986</x:f>
        <x:v>0.2563</x:v>
      </x:c>
      <x:c r="J1986" s="13" t="n">
        <x:f>D1986*I1986*H1986</x:f>
        <x:v>0</x:v>
      </x:c>
      <x:c r="K1986" s="13" t="n">
        <x:f>E1986*I1986*H1986</x:f>
        <x:v>0.12939946249999998</x:v>
      </x:c>
      <x:c r="L1986" s="1" t="str">
        <x:f>TEXT(A1986,"mmm yyyy")</x:f>
        <x:v>Jun 2026</x:v>
      </x:c>
    </x:row>
    <x:row r="1987" ht="21" customHeight="1">
      <x:c r="A1987" s="10" t="n">
        <x:v>46189</x:v>
      </x:c>
      <x:c r="B1987" s="1" t="n">
        <x:v>21.5</x:v>
      </x:c>
      <x:c r="C1987" s="1" t="n">
        <x:v>6</x:v>
      </x:c>
      <x:c r="D1987" s="12" t="n">
        <x:v>0</x:v>
      </x:c>
      <x:c r="E1987" s="12" t="n">
        <x:v>0.465</x:v>
      </x:c>
      <x:c r="F1987" s="12" t="n">
        <x:v>0.4649166666666667</x:v>
      </x:c>
      <x:c r="G1987" s="12" t="n">
        <x:v>0</x:v>
      </x:c>
      <x:c r="H1987" s="1" t="n">
        <x:f>'Historical prices'!E1987</x:f>
        <x:v>1.05</x:v>
      </x:c>
      <x:c r="I1987" s="6" t="n">
        <x:f>'Historical prices'!D1987</x:f>
        <x:v>0.2606</x:v>
      </x:c>
      <x:c r="J1987" s="13" t="n">
        <x:f>D1987*I1987*H1987</x:f>
        <x:v>0</x:v>
      </x:c>
      <x:c r="K1987" s="13" t="n">
        <x:f>E1987*I1987*H1987</x:f>
        <x:v>0.12723795000000002</x:v>
      </x:c>
      <x:c r="L1987" s="1" t="str">
        <x:f>TEXT(A1987,"mmm yyyy")</x:f>
        <x:v>Jun 2026</x:v>
      </x:c>
    </x:row>
    <x:row r="1988" ht="21" customHeight="1">
      <x:c r="A1988" s="10" t="n">
        <x:v>46189</x:v>
      </x:c>
      <x:c r="B1988" s="1" t="n">
        <x:v>22</x:v>
      </x:c>
      <x:c r="C1988" s="1" t="n">
        <x:v>6</x:v>
      </x:c>
      <x:c r="D1988" s="12" t="n">
        <x:v>0</x:v>
      </x:c>
      <x:c r="E1988" s="12" t="n">
        <x:v>0.35374999999999995</x:v>
      </x:c>
      <x:c r="F1988" s="12" t="n">
        <x:v>0.35374999999999995</x:v>
      </x:c>
      <x:c r="G1988" s="12" t="n">
        <x:v>0</x:v>
      </x:c>
      <x:c r="H1988" s="1" t="n">
        <x:f>'Historical prices'!E1988</x:f>
        <x:v>1.05</x:v>
      </x:c>
      <x:c r="I1988" s="6" t="n">
        <x:f>'Historical prices'!D1988</x:f>
        <x:v>0.2334</x:v>
      </x:c>
      <x:c r="J1988" s="13" t="n">
        <x:f>D1988*I1988*H1988</x:f>
        <x:v>0</x:v>
      </x:c>
      <x:c r="K1988" s="13" t="n">
        <x:f>E1988*I1988*H1988</x:f>
        <x:v>0.0866935125</x:v>
      </x:c>
      <x:c r="L1988" s="1" t="str">
        <x:f>TEXT(A1988,"mmm yyyy")</x:f>
        <x:v>Jun 2026</x:v>
      </x:c>
    </x:row>
    <x:row r="1989" ht="21" customHeight="1">
      <x:c r="A1989" s="10" t="n">
        <x:v>46189</x:v>
      </x:c>
      <x:c r="B1989" s="1" t="n">
        <x:v>22.5</x:v>
      </x:c>
      <x:c r="C1989" s="1" t="n">
        <x:v>6</x:v>
      </x:c>
      <x:c r="D1989" s="12" t="n">
        <x:v>0</x:v>
      </x:c>
      <x:c r="E1989" s="12" t="n">
        <x:v>0.2659166666666667</x:v>
      </x:c>
      <x:c r="F1989" s="12" t="n">
        <x:v>0.2659166666666667</x:v>
      </x:c>
      <x:c r="G1989" s="12" t="n">
        <x:v>0</x:v>
      </x:c>
      <x:c r="H1989" s="1" t="n">
        <x:f>'Historical prices'!E1989</x:f>
        <x:v>1.05</x:v>
      </x:c>
      <x:c r="I1989" s="6" t="n">
        <x:f>'Historical prices'!D1989</x:f>
        <x:v>0.2413</x:v>
      </x:c>
      <x:c r="J1989" s="13" t="n">
        <x:f>D1989*I1989*H1989</x:f>
        <x:v>0</x:v>
      </x:c>
      <x:c r="K1989" s="13" t="n">
        <x:f>E1989*I1989*H1989</x:f>
        <x:v>0.06737397625</x:v>
      </x:c>
      <x:c r="L1989" s="1" t="str">
        <x:f>TEXT(A1989,"mmm yyyy")</x:f>
        <x:v>Jun 2026</x:v>
      </x:c>
    </x:row>
    <x:row r="1990" ht="21" customHeight="1">
      <x:c r="A1990" s="10" t="n">
        <x:v>46189</x:v>
      </x:c>
      <x:c r="B1990" s="1" t="n">
        <x:v>23</x:v>
      </x:c>
      <x:c r="C1990" s="1" t="n">
        <x:v>6</x:v>
      </x:c>
      <x:c r="D1990" s="12" t="n">
        <x:v>0</x:v>
      </x:c>
      <x:c r="E1990" s="12" t="n">
        <x:v>0.30874999999999997</x:v>
      </x:c>
      <x:c r="F1990" s="12" t="n">
        <x:v>0.30866666666666664</x:v>
      </x:c>
      <x:c r="G1990" s="12" t="n">
        <x:v>0</x:v>
      </x:c>
      <x:c r="H1990" s="1" t="n">
        <x:f>'Historical prices'!E1990</x:f>
        <x:v>1.05</x:v>
      </x:c>
      <x:c r="I1990" s="6" t="n">
        <x:f>'Historical prices'!D1990</x:f>
        <x:v>0.2281</x:v>
      </x:c>
      <x:c r="J1990" s="13" t="n">
        <x:f>D1990*I1990*H1990</x:f>
        <x:v>0</x:v>
      </x:c>
      <x:c r="K1990" s="13" t="n">
        <x:f>E1990*I1990*H1990</x:f>
        <x:v>0.07394716875</x:v>
      </x:c>
      <x:c r="L1990" s="1" t="str">
        <x:f>TEXT(A1990,"mmm yyyy")</x:f>
        <x:v>Jun 2026</x:v>
      </x:c>
    </x:row>
    <x:row r="1991" ht="21" customHeight="1">
      <x:c r="A1991" s="10" t="n">
        <x:v>46189</x:v>
      </x:c>
      <x:c r="B1991" s="1" t="n">
        <x:v>23.5</x:v>
      </x:c>
      <x:c r="C1991" s="1" t="n">
        <x:v>6</x:v>
      </x:c>
      <x:c r="D1991" s="12" t="n">
        <x:v>0</x:v>
      </x:c>
      <x:c r="E1991" s="12" t="n">
        <x:v>0.2849166666666667</x:v>
      </x:c>
      <x:c r="F1991" s="12" t="n">
        <x:v>0.28475</x:v>
      </x:c>
      <x:c r="G1991" s="12" t="n">
        <x:v>0</x:v>
      </x:c>
      <x:c r="H1991" s="1" t="n">
        <x:f>'Historical prices'!E1991</x:f>
        <x:v>1.05</x:v>
      </x:c>
      <x:c r="I1991" s="6" t="n">
        <x:f>'Historical prices'!D1991</x:f>
        <x:v>0.2211</x:v>
      </x:c>
      <x:c r="J1991" s="13" t="n">
        <x:f>D1991*I1991*H1991</x:f>
        <x:v>0</x:v>
      </x:c>
      <x:c r="K1991" s="13" t="n">
        <x:f>E1991*I1991*H1991</x:f>
        <x:v>0.06614482875000001</x:v>
      </x:c>
      <x:c r="L1991" s="1" t="str">
        <x:f>TEXT(A1991,"mmm yyyy")</x:f>
        <x:v>Jun 2026</x:v>
      </x:c>
    </x:row>
    <x:row r="1992" ht="21" customHeight="1">
      <x:c r="A1992" s="10" t="n">
        <x:v>46190</x:v>
      </x:c>
      <x:c r="B1992" s="1" t="n">
        <x:v>0</x:v>
      </x:c>
      <x:c r="C1992" s="1" t="n">
        <x:v>6</x:v>
      </x:c>
      <x:c r="D1992" s="12" t="n">
        <x:v>0</x:v>
      </x:c>
      <x:c r="E1992" s="12" t="n">
        <x:v>0.27608333333333335</x:v>
      </x:c>
      <x:c r="F1992" s="12" t="n">
        <x:v>0.272</x:v>
      </x:c>
      <x:c r="G1992" s="12" t="n">
        <x:v>0</x:v>
      </x:c>
      <x:c r="H1992" s="1" t="n">
        <x:f>'Historical prices'!E1992</x:f>
        <x:v>1.05</x:v>
      </x:c>
      <x:c r="I1992" s="6" t="n">
        <x:f>'Historical prices'!D1992</x:f>
        <x:v>0.2094</x:v>
      </x:c>
      <x:c r="J1992" s="13" t="n">
        <x:f>D1992*I1992*H1992</x:f>
        <x:v>0</x:v>
      </x:c>
      <x:c r="K1992" s="13" t="n">
        <x:f>E1992*I1992*H1992</x:f>
        <x:v>0.06070244250000001</x:v>
      </x:c>
      <x:c r="L1992" s="1" t="str">
        <x:f>TEXT(A1992,"mmm yyyy")</x:f>
        <x:v>Jun 2026</x:v>
      </x:c>
    </x:row>
    <x:row r="1993" ht="21" customHeight="1">
      <x:c r="A1993" s="10" t="n">
        <x:v>46190</x:v>
      </x:c>
      <x:c r="B1993" s="1" t="n">
        <x:v>0.5</x:v>
      </x:c>
      <x:c r="C1993" s="1" t="n">
        <x:v>6</x:v>
      </x:c>
      <x:c r="D1993" s="12" t="n">
        <x:v>0.18225</x:v>
      </x:c>
      <x:c r="E1993" s="12" t="n">
        <x:v>0.20733333333333334</x:v>
      </x:c>
      <x:c r="F1993" s="12" t="n">
        <x:v>0.07200000000000001</x:v>
      </x:c>
      <x:c r="G1993" s="12" t="n">
        <x:v>0.056</x:v>
      </x:c>
      <x:c r="H1993" s="1" t="n">
        <x:f>'Historical prices'!E1993</x:f>
        <x:v>1.05</x:v>
      </x:c>
      <x:c r="I1993" s="6" t="n">
        <x:f>'Historical prices'!D1993</x:f>
        <x:v>0.2116</x:v>
      </x:c>
      <x:c r="J1993" s="13" t="n">
        <x:f>D1993*I1993*H1993</x:f>
        <x:v>0.040492305000000006</x:v>
      </x:c>
      <x:c r="K1993" s="13" t="n">
        <x:f>E1993*I1993*H1993</x:f>
        <x:v>0.04606532000000001</x:v>
      </x:c>
      <x:c r="L1993" s="1" t="str">
        <x:f>TEXT(A1993,"mmm yyyy")</x:f>
        <x:v>Jun 2026</x:v>
      </x:c>
    </x:row>
    <x:row r="1994" ht="21" customHeight="1">
      <x:c r="A1994" s="10" t="n">
        <x:v>46190</x:v>
      </x:c>
      <x:c r="B1994" s="1" t="n">
        <x:v>1</x:v>
      </x:c>
      <x:c r="C1994" s="1" t="n">
        <x:v>6</x:v>
      </x:c>
      <x:c r="D1994" s="12" t="n">
        <x:v>0.22941666666666666</x:v>
      </x:c>
      <x:c r="E1994" s="12" t="n">
        <x:v>0.24741666666666665</x:v>
      </x:c>
      <x:c r="F1994" s="12" t="n">
        <x:v>0</x:v>
      </x:c>
      <x:c r="G1994" s="12" t="n">
        <x:v>0</x:v>
      </x:c>
      <x:c r="H1994" s="1" t="n">
        <x:f>'Historical prices'!E1994</x:f>
        <x:v>1.05</x:v>
      </x:c>
      <x:c r="I1994" s="6" t="n">
        <x:f>'Historical prices'!D1994</x:f>
        <x:v>0.19899999999999998</x:v>
      </x:c>
      <x:c r="J1994" s="13" t="n">
        <x:f>D1994*I1994*H1994</x:f>
        <x:v>0.047936612499999996</x:v>
      </x:c>
      <x:c r="K1994" s="13" t="n">
        <x:f>E1994*I1994*H1994</x:f>
        <x:v>0.05169771249999999</x:v>
      </x:c>
      <x:c r="L1994" s="1" t="str">
        <x:f>TEXT(A1994,"mmm yyyy")</x:f>
        <x:v>Jun 2026</x:v>
      </x:c>
    </x:row>
    <x:row r="1995" ht="21" customHeight="1">
      <x:c r="A1995" s="10" t="n">
        <x:v>46190</x:v>
      </x:c>
      <x:c r="B1995" s="1" t="n">
        <x:v>1.5</x:v>
      </x:c>
      <x:c r="C1995" s="1" t="n">
        <x:v>6</x:v>
      </x:c>
      <x:c r="D1995" s="12" t="n">
        <x:v>0.21900000000000003</x:v>
      </x:c>
      <x:c r="E1995" s="12" t="n">
        <x:v>0.236</x:v>
      </x:c>
      <x:c r="F1995" s="12" t="n">
        <x:v>0</x:v>
      </x:c>
      <x:c r="G1995" s="12" t="n">
        <x:v>0</x:v>
      </x:c>
      <x:c r="H1995" s="1" t="n">
        <x:f>'Historical prices'!E1995</x:f>
        <x:v>1.05</x:v>
      </x:c>
      <x:c r="I1995" s="6" t="n">
        <x:f>'Historical prices'!D1995</x:f>
        <x:v>0.1978</x:v>
      </x:c>
      <x:c r="J1995" s="13" t="n">
        <x:f>D1995*I1995*H1995</x:f>
        <x:v>0.04548411000000001</x:v>
      </x:c>
      <x:c r="K1995" s="13" t="n">
        <x:f>E1995*I1995*H1995</x:f>
        <x:v>0.049014840000000004</x:v>
      </x:c>
      <x:c r="L1995" s="1" t="str">
        <x:f>TEXT(A1995,"mmm yyyy")</x:f>
        <x:v>Jun 2026</x:v>
      </x:c>
    </x:row>
    <x:row r="1996" ht="21" customHeight="1">
      <x:c r="A1996" s="10" t="n">
        <x:v>46190</x:v>
      </x:c>
      <x:c r="B1996" s="1" t="n">
        <x:v>2</x:v>
      </x:c>
      <x:c r="C1996" s="1" t="n">
        <x:v>6</x:v>
      </x:c>
      <x:c r="D1996" s="12" t="n">
        <x:v>0.235</x:v>
      </x:c>
      <x:c r="E1996" s="12" t="n">
        <x:v>0.249</x:v>
      </x:c>
      <x:c r="F1996" s="12" t="n">
        <x:v>0</x:v>
      </x:c>
      <x:c r="G1996" s="12" t="n">
        <x:v>0</x:v>
      </x:c>
      <x:c r="H1996" s="1" t="n">
        <x:f>'Historical prices'!E1996</x:f>
        <x:v>1.05</x:v>
      </x:c>
      <x:c r="I1996" s="6" t="n">
        <x:f>'Historical prices'!D1996</x:f>
        <x:v>0.19519999999999998</x:v>
      </x:c>
      <x:c r="J1996" s="13" t="n">
        <x:f>D1996*I1996*H1996</x:f>
        <x:v>0.048165599999999996</x:v>
      </x:c>
      <x:c r="K1996" s="13" t="n">
        <x:f>E1996*I1996*H1996</x:f>
        <x:v>0.05103504</x:v>
      </x:c>
      <x:c r="L1996" s="1" t="str">
        <x:f>TEXT(A1996,"mmm yyyy")</x:f>
        <x:v>Jun 2026</x:v>
      </x:c>
    </x:row>
    <x:row r="1997" ht="21" customHeight="1">
      <x:c r="A1997" s="10" t="n">
        <x:v>46190</x:v>
      </x:c>
      <x:c r="B1997" s="1" t="n">
        <x:v>2.5</x:v>
      </x:c>
      <x:c r="C1997" s="1" t="n">
        <x:v>6</x:v>
      </x:c>
      <x:c r="D1997" s="12" t="n">
        <x:v>0.2821666666666667</x:v>
      </x:c>
      <x:c r="E1997" s="12" t="n">
        <x:v>0.2951666666666667</x:v>
      </x:c>
      <x:c r="F1997" s="12" t="n">
        <x:v>0</x:v>
      </x:c>
      <x:c r="G1997" s="12" t="n">
        <x:v>0</x:v>
      </x:c>
      <x:c r="H1997" s="1" t="n">
        <x:f>'Historical prices'!E1997</x:f>
        <x:v>1.05</x:v>
      </x:c>
      <x:c r="I1997" s="6" t="n">
        <x:f>'Historical prices'!D1997</x:f>
        <x:v>0.1863</x:v>
      </x:c>
      <x:c r="J1997" s="13" t="n">
        <x:f>D1997*I1997*H1997</x:f>
        <x:v>0.055196032500000006</x:v>
      </x:c>
      <x:c r="K1997" s="13" t="n">
        <x:f>E1997*I1997*H1997</x:f>
        <x:v>0.057739027500000005</x:v>
      </x:c>
      <x:c r="L1997" s="1" t="str">
        <x:f>TEXT(A1997,"mmm yyyy")</x:f>
        <x:v>Jun 2026</x:v>
      </x:c>
    </x:row>
    <x:row r="1998" ht="21" customHeight="1">
      <x:c r="A1998" s="10" t="n">
        <x:v>46190</x:v>
      </x:c>
      <x:c r="B1998" s="1" t="n">
        <x:v>3</x:v>
      </x:c>
      <x:c r="C1998" s="1" t="n">
        <x:v>6</x:v>
      </x:c>
      <x:c r="D1998" s="12" t="n">
        <x:v>0.274</x:v>
      </x:c>
      <x:c r="E1998" s="12" t="n">
        <x:v>0.28600000000000003</x:v>
      </x:c>
      <x:c r="F1998" s="12" t="n">
        <x:v>0</x:v>
      </x:c>
      <x:c r="G1998" s="12" t="n">
        <x:v>0</x:v>
      </x:c>
      <x:c r="H1998" s="1" t="n">
        <x:f>'Historical prices'!E1998</x:f>
        <x:v>1.05</x:v>
      </x:c>
      <x:c r="I1998" s="6" t="n">
        <x:f>'Historical prices'!D1998</x:f>
        <x:v>0.18109999999999998</x:v>
      </x:c>
      <x:c r="J1998" s="13" t="n">
        <x:f>D1998*I1998*H1998</x:f>
        <x:v>0.05210247</x:v>
      </x:c>
      <x:c r="K1998" s="13" t="n">
        <x:f>E1998*I1998*H1998</x:f>
        <x:v>0.05438433000000001</x:v>
      </x:c>
      <x:c r="L1998" s="1" t="str">
        <x:f>TEXT(A1998,"mmm yyyy")</x:f>
        <x:v>Jun 2026</x:v>
      </x:c>
    </x:row>
    <x:row r="1999" ht="21" customHeight="1">
      <x:c r="A1999" s="10" t="n">
        <x:v>46190</x:v>
      </x:c>
      <x:c r="B1999" s="1" t="n">
        <x:v>3.5</x:v>
      </x:c>
      <x:c r="C1999" s="1" t="n">
        <x:v>6</x:v>
      </x:c>
      <x:c r="D1999" s="12" t="n">
        <x:v>0.1925</x:v>
      </x:c>
      <x:c r="E1999" s="12" t="n">
        <x:v>0.20350000000000001</x:v>
      </x:c>
      <x:c r="F1999" s="12" t="n">
        <x:v>0</x:v>
      </x:c>
      <x:c r="G1999" s="12" t="n">
        <x:v>0</x:v>
      </x:c>
      <x:c r="H1999" s="1" t="n">
        <x:f>'Historical prices'!E1999</x:f>
        <x:v>1.05</x:v>
      </x:c>
      <x:c r="I1999" s="6" t="n">
        <x:f>'Historical prices'!D1999</x:f>
        <x:v>0.18100000000000002</x:v>
      </x:c>
      <x:c r="J1999" s="13" t="n">
        <x:f>D1999*I1999*H1999</x:f>
        <x:v>0.03658462500000001</x:v>
      </x:c>
      <x:c r="K1999" s="13" t="n">
        <x:f>E1999*I1999*H1999</x:f>
        <x:v>0.038675175000000006</x:v>
      </x:c>
      <x:c r="L1999" s="1" t="str">
        <x:f>TEXT(A1999,"mmm yyyy")</x:f>
        <x:v>Jun 2026</x:v>
      </x:c>
    </x:row>
    <x:row r="2000" ht="21" customHeight="1">
      <x:c r="A2000" s="10" t="n">
        <x:v>46190</x:v>
      </x:c>
      <x:c r="B2000" s="1" t="n">
        <x:v>4</x:v>
      </x:c>
      <x:c r="C2000" s="1" t="n">
        <x:v>6</x:v>
      </x:c>
      <x:c r="D2000" s="12" t="n">
        <x:v>0.29050000000000004</x:v>
      </x:c>
      <x:c r="E2000" s="12" t="n">
        <x:v>0.3015</x:v>
      </x:c>
      <x:c r="F2000" s="12" t="n">
        <x:v>0</x:v>
      </x:c>
      <x:c r="G2000" s="12" t="n">
        <x:v>0</x:v>
      </x:c>
      <x:c r="H2000" s="1" t="n">
        <x:f>'Historical prices'!E2000</x:f>
        <x:v>1.05</x:v>
      </x:c>
      <x:c r="I2000" s="6" t="n">
        <x:f>'Historical prices'!D2000</x:f>
        <x:v>0.1808</x:v>
      </x:c>
      <x:c r="J2000" s="13" t="n">
        <x:f>D2000*I2000*H2000</x:f>
        <x:v>0.055148520000000006</x:v>
      </x:c>
      <x:c r="K2000" s="13" t="n">
        <x:f>E2000*I2000*H2000</x:f>
        <x:v>0.05723676</x:v>
      </x:c>
      <x:c r="L2000" s="1" t="str">
        <x:f>TEXT(A2000,"mmm yyyy")</x:f>
        <x:v>Jun 2026</x:v>
      </x:c>
    </x:row>
    <x:row r="2001" ht="21" customHeight="1">
      <x:c r="A2001" s="10" t="n">
        <x:v>46190</x:v>
      </x:c>
      <x:c r="B2001" s="1" t="n">
        <x:v>4.5</x:v>
      </x:c>
      <x:c r="C2001" s="1" t="n">
        <x:v>6</x:v>
      </x:c>
      <x:c r="D2001" s="12" t="n">
        <x:v>0.28300000000000003</x:v>
      </x:c>
      <x:c r="E2001" s="12" t="n">
        <x:v>0.29400000000000004</x:v>
      </x:c>
      <x:c r="F2001" s="12" t="n">
        <x:v>0</x:v>
      </x:c>
      <x:c r="G2001" s="12" t="n">
        <x:v>0</x:v>
      </x:c>
      <x:c r="H2001" s="1" t="n">
        <x:f>'Historical prices'!E2001</x:f>
        <x:v>1.05</x:v>
      </x:c>
      <x:c r="I2001" s="6" t="n">
        <x:f>'Historical prices'!D2001</x:f>
        <x:v>0.17620000000000002</x:v>
      </x:c>
      <x:c r="J2001" s="13" t="n">
        <x:f>D2001*I2001*H2001</x:f>
        <x:v>0.052357830000000015</x:v>
      </x:c>
      <x:c r="K2001" s="13" t="n">
        <x:f>E2001*I2001*H2001</x:f>
        <x:v>0.05439294000000002</x:v>
      </x:c>
      <x:c r="L2001" s="1" t="str">
        <x:f>TEXT(A2001,"mmm yyyy")</x:f>
        <x:v>Jun 2026</x:v>
      </x:c>
    </x:row>
    <x:row r="2002" ht="21" customHeight="1">
      <x:c r="A2002" s="10" t="n">
        <x:v>46190</x:v>
      </x:c>
      <x:c r="B2002" s="1" t="n">
        <x:v>5</x:v>
      </x:c>
      <x:c r="C2002" s="1" t="n">
        <x:v>6</x:v>
      </x:c>
      <x:c r="D2002" s="12" t="n">
        <x:v>0.2290833333333333</x:v>
      </x:c>
      <x:c r="E2002" s="12" t="n">
        <x:v>0.2380833333333333</x:v>
      </x:c>
      <x:c r="F2002" s="12" t="n">
        <x:v>0</x:v>
      </x:c>
      <x:c r="G2002" s="12" t="n">
        <x:v>0</x:v>
      </x:c>
      <x:c r="H2002" s="1" t="n">
        <x:f>'Historical prices'!E2002</x:f>
        <x:v>1.05</x:v>
      </x:c>
      <x:c r="I2002" s="6" t="n">
        <x:f>'Historical prices'!D2002</x:f>
        <x:v>0.18739999999999998</x:v>
      </x:c>
      <x:c r="J2002" s="13" t="n">
        <x:f>D2002*I2002*H2002</x:f>
        <x:v>0.0450767275</x:v>
      </x:c>
      <x:c r="K2002" s="13" t="n">
        <x:f>E2002*I2002*H2002</x:f>
        <x:v>0.046847657499999994</x:v>
      </x:c>
      <x:c r="L2002" s="1" t="str">
        <x:f>TEXT(A2002,"mmm yyyy")</x:f>
        <x:v>Jun 2026</x:v>
      </x:c>
    </x:row>
    <x:row r="2003" ht="21" customHeight="1">
      <x:c r="A2003" s="10" t="n">
        <x:v>46190</x:v>
      </x:c>
      <x:c r="B2003" s="1" t="n">
        <x:v>5.5</x:v>
      </x:c>
      <x:c r="C2003" s="1" t="n">
        <x:v>6</x:v>
      </x:c>
      <x:c r="D2003" s="12" t="n">
        <x:v>0.25166666666666665</x:v>
      </x:c>
      <x:c r="E2003" s="12" t="n">
        <x:v>0.26266666666666666</x:v>
      </x:c>
      <x:c r="F2003" s="12" t="n">
        <x:v>0</x:v>
      </x:c>
      <x:c r="G2003" s="12" t="n">
        <x:v>0</x:v>
      </x:c>
      <x:c r="H2003" s="1" t="n">
        <x:f>'Historical prices'!E2003</x:f>
        <x:v>1.05</x:v>
      </x:c>
      <x:c r="I2003" s="6" t="n">
        <x:f>'Historical prices'!D2003</x:f>
        <x:v>0.1888</x:v>
      </x:c>
      <x:c r="J2003" s="13" t="n">
        <x:f>D2003*I2003*H2003</x:f>
        <x:v>0.0498904</x:v>
      </x:c>
      <x:c r="K2003" s="13" t="n">
        <x:f>E2003*I2003*H2003</x:f>
        <x:v>0.052071040000000006</x:v>
      </x:c>
      <x:c r="L2003" s="1" t="str">
        <x:f>TEXT(A2003,"mmm yyyy")</x:f>
        <x:v>Jun 2026</x:v>
      </x:c>
    </x:row>
    <x:row r="2004" ht="21" customHeight="1">
      <x:c r="A2004" s="10" t="n">
        <x:v>46190</x:v>
      </x:c>
      <x:c r="B2004" s="1" t="n">
        <x:v>6</x:v>
      </x:c>
      <x:c r="C2004" s="1" t="n">
        <x:v>6</x:v>
      </x:c>
      <x:c r="D2004" s="12" t="n">
        <x:v>0.41400000000000003</x:v>
      </x:c>
      <x:c r="E2004" s="12" t="n">
        <x:v>0.423</x:v>
      </x:c>
      <x:c r="F2004" s="12" t="n">
        <x:v>0</x:v>
      </x:c>
      <x:c r="G2004" s="12" t="n">
        <x:v>0</x:v>
      </x:c>
      <x:c r="H2004" s="1" t="n">
        <x:f>'Historical prices'!E2004</x:f>
        <x:v>1.05</x:v>
      </x:c>
      <x:c r="I2004" s="6" t="n">
        <x:f>'Historical prices'!D2004</x:f>
        <x:v>0.1802</x:v>
      </x:c>
      <x:c r="J2004" s="13" t="n">
        <x:f>D2004*I2004*H2004</x:f>
        <x:v>0.07833294000000002</x:v>
      </x:c>
      <x:c r="K2004" s="13" t="n">
        <x:f>E2004*I2004*H2004</x:f>
        <x:v>0.08003583</x:v>
      </x:c>
      <x:c r="L2004" s="1" t="str">
        <x:f>TEXT(A2004,"mmm yyyy")</x:f>
        <x:v>Jun 2026</x:v>
      </x:c>
    </x:row>
    <x:row r="2005" ht="21" customHeight="1">
      <x:c r="A2005" s="10" t="n">
        <x:v>46190</x:v>
      </x:c>
      <x:c r="B2005" s="1" t="n">
        <x:v>6.5</x:v>
      </x:c>
      <x:c r="C2005" s="1" t="n">
        <x:v>6</x:v>
      </x:c>
      <x:c r="D2005" s="12" t="n">
        <x:v>1.2621666666666664</x:v>
      </x:c>
      <x:c r="E2005" s="12" t="n">
        <x:v>1.2731666666666668</x:v>
      </x:c>
      <x:c r="F2005" s="12" t="n">
        <x:v>0</x:v>
      </x:c>
      <x:c r="G2005" s="12" t="n">
        <x:v>0</x:v>
      </x:c>
      <x:c r="H2005" s="1" t="n">
        <x:f>'Historical prices'!E2005</x:f>
        <x:v>1.05</x:v>
      </x:c>
      <x:c r="I2005" s="6" t="n">
        <x:f>'Historical prices'!D2005</x:f>
        <x:v>0.1978</x:v>
      </x:c>
      <x:c r="J2005" s="13" t="n">
        <x:f>D2005*I2005*H2005</x:f>
        <x:v>0.262139395</x:v>
      </x:c>
      <x:c r="K2005" s="13" t="n">
        <x:f>E2005*I2005*H2005</x:f>
        <x:v>0.26442398500000003</x:v>
      </x:c>
      <x:c r="L2005" s="1" t="str">
        <x:f>TEXT(A2005,"mmm yyyy")</x:f>
        <x:v>Jun 2026</x:v>
      </x:c>
    </x:row>
    <x:row r="2006" ht="21" customHeight="1">
      <x:c r="A2006" s="10" t="n">
        <x:v>46190</x:v>
      </x:c>
      <x:c r="B2006" s="1" t="n">
        <x:v>7</x:v>
      </x:c>
      <x:c r="C2006" s="1" t="n">
        <x:v>6</x:v>
      </x:c>
      <x:c r="D2006" s="12" t="n">
        <x:v>0.8991666666666667</x:v>
      </x:c>
      <x:c r="E2006" s="12" t="n">
        <x:v>0.9081666666666667</x:v>
      </x:c>
      <x:c r="F2006" s="12" t="n">
        <x:v>0</x:v>
      </x:c>
      <x:c r="G2006" s="12" t="n">
        <x:v>0</x:v>
      </x:c>
      <x:c r="H2006" s="1" t="n">
        <x:f>'Historical prices'!E2006</x:f>
        <x:v>1.05</x:v>
      </x:c>
      <x:c r="I2006" s="6" t="n">
        <x:f>'Historical prices'!D2006</x:f>
        <x:v>0.1852</x:v>
      </x:c>
      <x:c r="J2006" s="13" t="n">
        <x:f>D2006*I2006*H2006</x:f>
        <x:v>0.17485195000000003</x:v>
      </x:c>
      <x:c r="K2006" s="13" t="n">
        <x:f>E2006*I2006*H2006</x:f>
        <x:v>0.17660209000000002</x:v>
      </x:c>
      <x:c r="L2006" s="1" t="str">
        <x:f>TEXT(A2006,"mmm yyyy")</x:f>
        <x:v>Jun 2026</x:v>
      </x:c>
    </x:row>
    <x:row r="2007" ht="21" customHeight="1">
      <x:c r="A2007" s="10" t="n">
        <x:v>46190</x:v>
      </x:c>
      <x:c r="B2007" s="1" t="n">
        <x:v>7.5</x:v>
      </x:c>
      <x:c r="C2007" s="1" t="n">
        <x:v>6</x:v>
      </x:c>
      <x:c r="D2007" s="12" t="n">
        <x:v>1.4921666666666669</x:v>
      </x:c>
      <x:c r="E2007" s="12" t="n">
        <x:v>1.4961666666666669</x:v>
      </x:c>
      <x:c r="F2007" s="12" t="n">
        <x:v>0</x:v>
      </x:c>
      <x:c r="G2007" s="12" t="n">
        <x:v>0</x:v>
      </x:c>
      <x:c r="H2007" s="1" t="n">
        <x:f>'Historical prices'!E2007</x:f>
        <x:v>1.05</x:v>
      </x:c>
      <x:c r="I2007" s="6" t="n">
        <x:f>'Historical prices'!D2007</x:f>
        <x:v>0.1917</x:v>
      </x:c>
      <x:c r="J2007" s="13" t="n">
        <x:f>D2007*I2007*H2007</x:f>
        <x:v>0.30035076750000006</x:v>
      </x:c>
      <x:c r="K2007" s="13" t="n">
        <x:f>E2007*I2007*H2007</x:f>
        <x:v>0.3011559075000001</x:v>
      </x:c>
      <x:c r="L2007" s="1" t="str">
        <x:f>TEXT(A2007,"mmm yyyy")</x:f>
        <x:v>Jun 2026</x:v>
      </x:c>
    </x:row>
    <x:row r="2008" ht="21" customHeight="1">
      <x:c r="A2008" s="10" t="n">
        <x:v>46190</x:v>
      </x:c>
      <x:c r="B2008" s="1" t="n">
        <x:v>8</x:v>
      </x:c>
      <x:c r="C2008" s="1" t="n">
        <x:v>6</x:v>
      </x:c>
      <x:c r="D2008" s="12" t="n">
        <x:v>0.6696666666666667</x:v>
      </x:c>
      <x:c r="E2008" s="12" t="n">
        <x:v>0.6726666666666667</x:v>
      </x:c>
      <x:c r="F2008" s="12" t="n">
        <x:v>0</x:v>
      </x:c>
      <x:c r="G2008" s="12" t="n">
        <x:v>0</x:v>
      </x:c>
      <x:c r="H2008" s="1" t="n">
        <x:f>'Historical prices'!E2008</x:f>
        <x:v>1.05</x:v>
      </x:c>
      <x:c r="I2008" s="6" t="n">
        <x:f>'Historical prices'!D2008</x:f>
        <x:v>0.1705</x:v>
      </x:c>
      <x:c r="J2008" s="13" t="n">
        <x:f>D2008*I2008*H2008</x:f>
        <x:v>0.11988707500000004</x:v>
      </x:c>
      <x:c r="K2008" s="13" t="n">
        <x:f>E2008*I2008*H2008</x:f>
        <x:v>0.12042415000000004</x:v>
      </x:c>
      <x:c r="L2008" s="1" t="str">
        <x:f>TEXT(A2008,"mmm yyyy")</x:f>
        <x:v>Jun 2026</x:v>
      </x:c>
    </x:row>
    <x:row r="2009" ht="21" customHeight="1">
      <x:c r="A2009" s="10" t="n">
        <x:v>46190</x:v>
      </x:c>
      <x:c r="B2009" s="1" t="n">
        <x:v>8.5</x:v>
      </x:c>
      <x:c r="C2009" s="1" t="n">
        <x:v>6</x:v>
      </x:c>
      <x:c r="D2009" s="12" t="n">
        <x:v>1.4971666666666668</x:v>
      </x:c>
      <x:c r="E2009" s="12" t="n">
        <x:v>1.5001666666666666</x:v>
      </x:c>
      <x:c r="F2009" s="12" t="n">
        <x:v>0</x:v>
      </x:c>
      <x:c r="G2009" s="12" t="n">
        <x:v>0</x:v>
      </x:c>
      <x:c r="H2009" s="1" t="n">
        <x:f>'Historical prices'!E2009</x:f>
        <x:v>1.05</x:v>
      </x:c>
      <x:c r="I2009" s="6" t="n">
        <x:f>'Historical prices'!D2009</x:f>
        <x:v>0.1674</x:v>
      </x:c>
      <x:c r="J2009" s="13" t="n">
        <x:f>D2009*I2009*H2009</x:f>
        <x:v>0.263156985</x:v>
      </x:c>
      <x:c r="K2009" s="13" t="n">
        <x:f>E2009*I2009*H2009</x:f>
        <x:v>0.26368429499999996</x:v>
      </x:c>
      <x:c r="L2009" s="1" t="str">
        <x:f>TEXT(A2009,"mmm yyyy")</x:f>
        <x:v>Jun 2026</x:v>
      </x:c>
    </x:row>
    <x:row r="2010" ht="21" customHeight="1">
      <x:c r="A2010" s="10" t="n">
        <x:v>46190</x:v>
      </x:c>
      <x:c r="B2010" s="1" t="n">
        <x:v>9</x:v>
      </x:c>
      <x:c r="C2010" s="1" t="n">
        <x:v>6</x:v>
      </x:c>
      <x:c r="D2010" s="12" t="n">
        <x:v>0.9024166666666666</x:v>
      </x:c>
      <x:c r="E2010" s="12" t="n">
        <x:v>0.9044166666666666</x:v>
      </x:c>
      <x:c r="F2010" s="12" t="n">
        <x:v>0</x:v>
      </x:c>
      <x:c r="G2010" s="12" t="n">
        <x:v>0</x:v>
      </x:c>
      <x:c r="H2010" s="1" t="n">
        <x:f>'Historical prices'!E2010</x:f>
        <x:v>1.05</x:v>
      </x:c>
      <x:c r="I2010" s="6" t="n">
        <x:f>'Historical prices'!D2010</x:f>
        <x:v>0.1696</x:v>
      </x:c>
      <x:c r="J2010" s="13" t="n">
        <x:f>D2010*I2010*H2010</x:f>
        <x:v>0.16070236000000002</x:v>
      </x:c>
      <x:c r="K2010" s="13" t="n">
        <x:f>E2010*I2010*H2010</x:f>
        <x:v>0.16105851999999998</x:v>
      </x:c>
      <x:c r="L2010" s="1" t="str">
        <x:f>TEXT(A2010,"mmm yyyy")</x:f>
        <x:v>Jun 2026</x:v>
      </x:c>
    </x:row>
    <x:row r="2011" ht="21" customHeight="1">
      <x:c r="A2011" s="10" t="n">
        <x:v>46190</x:v>
      </x:c>
      <x:c r="B2011" s="1" t="n">
        <x:v>9.5</x:v>
      </x:c>
      <x:c r="C2011" s="1" t="n">
        <x:v>6</x:v>
      </x:c>
      <x:c r="D2011" s="12" t="n">
        <x:v>1.0065</x:v>
      </x:c>
      <x:c r="E2011" s="12" t="n">
        <x:v>1.0075</x:v>
      </x:c>
      <x:c r="F2011" s="12" t="n">
        <x:v>0</x:v>
      </x:c>
      <x:c r="G2011" s="12" t="n">
        <x:v>0</x:v>
      </x:c>
      <x:c r="H2011" s="1" t="n">
        <x:f>'Historical prices'!E2011</x:f>
        <x:v>1.05</x:v>
      </x:c>
      <x:c r="I2011" s="6" t="n">
        <x:f>'Historical prices'!D2011</x:f>
        <x:v>0.1703</x:v>
      </x:c>
      <x:c r="J2011" s="13" t="n">
        <x:f>D2011*I2011*H2011</x:f>
        <x:v>0.17997729750000002</x:v>
      </x:c>
      <x:c r="K2011" s="13" t="n">
        <x:f>E2011*I2011*H2011</x:f>
        <x:v>0.18015611250000002</x:v>
      </x:c>
      <x:c r="L2011" s="1" t="str">
        <x:f>TEXT(A2011,"mmm yyyy")</x:f>
        <x:v>Jun 2026</x:v>
      </x:c>
    </x:row>
    <x:row r="2012" ht="21" customHeight="1">
      <x:c r="A2012" s="10" t="n">
        <x:v>46190</x:v>
      </x:c>
      <x:c r="B2012" s="1" t="n">
        <x:v>10</x:v>
      </x:c>
      <x:c r="C2012" s="1" t="n">
        <x:v>6</x:v>
      </x:c>
      <x:c r="D2012" s="12" t="n">
        <x:v>0.6315</x:v>
      </x:c>
      <x:c r="E2012" s="12" t="n">
        <x:v>0.6335</x:v>
      </x:c>
      <x:c r="F2012" s="12" t="n">
        <x:v>0</x:v>
      </x:c>
      <x:c r="G2012" s="12" t="n">
        <x:v>0</x:v>
      </x:c>
      <x:c r="H2012" s="1" t="n">
        <x:f>'Historical prices'!E2012</x:f>
        <x:v>1.05</x:v>
      </x:c>
      <x:c r="I2012" s="6" t="n">
        <x:f>'Historical prices'!D2012</x:f>
        <x:v>0.15560000000000002</x:v>
      </x:c>
      <x:c r="J2012" s="13" t="n">
        <x:f>D2012*I2012*H2012</x:f>
        <x:v>0.10317447</x:v>
      </x:c>
      <x:c r="K2012" s="13" t="n">
        <x:f>E2012*I2012*H2012</x:f>
        <x:v>0.10350123</x:v>
      </x:c>
      <x:c r="L2012" s="1" t="str">
        <x:f>TEXT(A2012,"mmm yyyy")</x:f>
        <x:v>Jun 2026</x:v>
      </x:c>
    </x:row>
    <x:row r="2013" ht="21" customHeight="1">
      <x:c r="A2013" s="10" t="n">
        <x:v>46190</x:v>
      </x:c>
      <x:c r="B2013" s="1" t="n">
        <x:v>10.5</x:v>
      </x:c>
      <x:c r="C2013" s="1" t="n">
        <x:v>6</x:v>
      </x:c>
      <x:c r="D2013" s="12" t="n">
        <x:v>0.6674166666666667</x:v>
      </x:c>
      <x:c r="E2013" s="12" t="n">
        <x:v>0.6674166666666667</x:v>
      </x:c>
      <x:c r="F2013" s="12" t="n">
        <x:v>0</x:v>
      </x:c>
      <x:c r="G2013" s="12" t="n">
        <x:v>0</x:v>
      </x:c>
      <x:c r="H2013" s="1" t="n">
        <x:f>'Historical prices'!E2013</x:f>
        <x:v>1.05</x:v>
      </x:c>
      <x:c r="I2013" s="6" t="n">
        <x:f>'Historical prices'!D2013</x:f>
        <x:v>0.1517</x:v>
      </x:c>
      <x:c r="J2013" s="13" t="n">
        <x:f>D2013*I2013*H2013</x:f>
        <x:v>0.10630946375000001</x:v>
      </x:c>
      <x:c r="K2013" s="13" t="n">
        <x:f>E2013*I2013*H2013</x:f>
        <x:v>0.10630946375000001</x:v>
      </x:c>
      <x:c r="L2013" s="1" t="str">
        <x:f>TEXT(A2013,"mmm yyyy")</x:f>
        <x:v>Jun 2026</x:v>
      </x:c>
    </x:row>
    <x:row r="2014" ht="21" customHeight="1">
      <x:c r="A2014" s="10" t="n">
        <x:v>46190</x:v>
      </x:c>
      <x:c r="B2014" s="1" t="n">
        <x:v>11</x:v>
      </x:c>
      <x:c r="C2014" s="1" t="n">
        <x:v>6</x:v>
      </x:c>
      <x:c r="D2014" s="12" t="n">
        <x:v>0.6920000000000001</x:v>
      </x:c>
      <x:c r="E2014" s="12" t="n">
        <x:v>0.6930000000000001</x:v>
      </x:c>
      <x:c r="F2014" s="12" t="n">
        <x:v>0</x:v>
      </x:c>
      <x:c r="G2014" s="12" t="n">
        <x:v>0</x:v>
      </x:c>
      <x:c r="H2014" s="1" t="n">
        <x:f>'Historical prices'!E2014</x:f>
        <x:v>1.05</x:v>
      </x:c>
      <x:c r="I2014" s="6" t="n">
        <x:f>'Historical prices'!D2014</x:f>
        <x:v>0.15560000000000002</x:v>
      </x:c>
      <x:c r="J2014" s="13" t="n">
        <x:f>D2014*I2014*H2014</x:f>
        <x:v>0.11305896000000003</x:v>
      </x:c>
      <x:c r="K2014" s="13" t="n">
        <x:f>E2014*I2014*H2014</x:f>
        <x:v>0.11322234000000002</x:v>
      </x:c>
      <x:c r="L2014" s="1" t="str">
        <x:f>TEXT(A2014,"mmm yyyy")</x:f>
        <x:v>Jun 2026</x:v>
      </x:c>
    </x:row>
    <x:row r="2015" ht="21" customHeight="1">
      <x:c r="A2015" s="10" t="n">
        <x:v>46190</x:v>
      </x:c>
      <x:c r="B2015" s="1" t="n">
        <x:v>11.5</x:v>
      </x:c>
      <x:c r="C2015" s="1" t="n">
        <x:v>6</x:v>
      </x:c>
      <x:c r="D2015" s="12" t="n">
        <x:v>0.44516666666666665</x:v>
      </x:c>
      <x:c r="E2015" s="12" t="n">
        <x:v>0.44516666666666665</x:v>
      </x:c>
      <x:c r="F2015" s="12" t="n">
        <x:v>0</x:v>
      </x:c>
      <x:c r="G2015" s="12" t="n">
        <x:v>0</x:v>
      </x:c>
      <x:c r="H2015" s="1" t="n">
        <x:f>'Historical prices'!E2015</x:f>
        <x:v>1.05</x:v>
      </x:c>
      <x:c r="I2015" s="6" t="n">
        <x:f>'Historical prices'!D2015</x:f>
        <x:v>0.1459</x:v>
      </x:c>
      <x:c r="J2015" s="13" t="n">
        <x:f>D2015*I2015*H2015</x:f>
        <x:v>0.0681973075</x:v>
      </x:c>
      <x:c r="K2015" s="13" t="n">
        <x:f>E2015*I2015*H2015</x:f>
        <x:v>0.0681973075</x:v>
      </x:c>
      <x:c r="L2015" s="1" t="str">
        <x:f>TEXT(A2015,"mmm yyyy")</x:f>
        <x:v>Jun 2026</x:v>
      </x:c>
    </x:row>
    <x:row r="2016" ht="21" customHeight="1">
      <x:c r="A2016" s="10" t="n">
        <x:v>46190</x:v>
      </x:c>
      <x:c r="B2016" s="1" t="n">
        <x:v>12</x:v>
      </x:c>
      <x:c r="C2016" s="1" t="n">
        <x:v>6</x:v>
      </x:c>
      <x:c r="D2016" s="12" t="n">
        <x:v>0.5141666666666667</x:v>
      </x:c>
      <x:c r="E2016" s="12" t="n">
        <x:v>0.5151666666666667</x:v>
      </x:c>
      <x:c r="F2016" s="12" t="n">
        <x:v>0</x:v>
      </x:c>
      <x:c r="G2016" s="12" t="n">
        <x:v>0</x:v>
      </x:c>
      <x:c r="H2016" s="1" t="n">
        <x:f>'Historical prices'!E2016</x:f>
        <x:v>1.05</x:v>
      </x:c>
      <x:c r="I2016" s="6" t="n">
        <x:f>'Historical prices'!D2016</x:f>
        <x:v>0.1533</x:v>
      </x:c>
      <x:c r="J2016" s="13" t="n">
        <x:f>D2016*I2016*H2016</x:f>
        <x:v>0.0827628375</x:v>
      </x:c>
      <x:c r="K2016" s="13" t="n">
        <x:f>E2016*I2016*H2016</x:f>
        <x:v>0.08292380249999999</x:v>
      </x:c>
      <x:c r="L2016" s="1" t="str">
        <x:f>TEXT(A2016,"mmm yyyy")</x:f>
        <x:v>Jun 2026</x:v>
      </x:c>
    </x:row>
    <x:row r="2017" ht="21" customHeight="1">
      <x:c r="A2017" s="10" t="n">
        <x:v>46190</x:v>
      </x:c>
      <x:c r="B2017" s="1" t="n">
        <x:v>12.5</x:v>
      </x:c>
      <x:c r="C2017" s="1" t="n">
        <x:v>6</x:v>
      </x:c>
      <x:c r="D2017" s="12" t="n">
        <x:v>0.49674999999999997</x:v>
      </x:c>
      <x:c r="E2017" s="12" t="n">
        <x:v>0.49774999999999997</x:v>
      </x:c>
      <x:c r="F2017" s="12" t="n">
        <x:v>0</x:v>
      </x:c>
      <x:c r="G2017" s="12" t="n">
        <x:v>0</x:v>
      </x:c>
      <x:c r="H2017" s="1" t="n">
        <x:f>'Historical prices'!E2017</x:f>
        <x:v>1.05</x:v>
      </x:c>
      <x:c r="I2017" s="6" t="n">
        <x:f>'Historical prices'!D2017</x:f>
        <x:v>0.1476</x:v>
      </x:c>
      <x:c r="J2017" s="13" t="n">
        <x:f>D2017*I2017*H2017</x:f>
        <x:v>0.07698631500000001</x:v>
      </x:c>
      <x:c r="K2017" s="13" t="n">
        <x:f>E2017*I2017*H2017</x:f>
        <x:v>0.07714129500000001</x:v>
      </x:c>
      <x:c r="L2017" s="1" t="str">
        <x:f>TEXT(A2017,"mmm yyyy")</x:f>
        <x:v>Jun 2026</x:v>
      </x:c>
    </x:row>
    <x:row r="2018" ht="21" customHeight="1">
      <x:c r="A2018" s="10" t="n">
        <x:v>46190</x:v>
      </x:c>
      <x:c r="B2018" s="1" t="n">
        <x:v>13</x:v>
      </x:c>
      <x:c r="C2018" s="1" t="n">
        <x:v>6</x:v>
      </x:c>
      <x:c r="D2018" s="12" t="n">
        <x:v>0.5215</x:v>
      </x:c>
      <x:c r="E2018" s="12" t="n">
        <x:v>0.5225</x:v>
      </x:c>
      <x:c r="F2018" s="12" t="n">
        <x:v>0</x:v>
      </x:c>
      <x:c r="G2018" s="12" t="n">
        <x:v>0</x:v>
      </x:c>
      <x:c r="H2018" s="1" t="n">
        <x:f>'Historical prices'!E2018</x:f>
        <x:v>1.05</x:v>
      </x:c>
      <x:c r="I2018" s="6" t="n">
        <x:f>'Historical prices'!D2018</x:f>
        <x:v>0.1388</x:v>
      </x:c>
      <x:c r="J2018" s="13" t="n">
        <x:f>D2018*I2018*H2018</x:f>
        <x:v>0.07600341</x:v>
      </x:c>
      <x:c r="K2018" s="13" t="n">
        <x:f>E2018*I2018*H2018</x:f>
        <x:v>0.07614915000000001</x:v>
      </x:c>
      <x:c r="L2018" s="1" t="str">
        <x:f>TEXT(A2018,"mmm yyyy")</x:f>
        <x:v>Jun 2026</x:v>
      </x:c>
    </x:row>
    <x:row r="2019" ht="21" customHeight="1">
      <x:c r="A2019" s="10" t="n">
        <x:v>46190</x:v>
      </x:c>
      <x:c r="B2019" s="1" t="n">
        <x:v>13.5</x:v>
      </x:c>
      <x:c r="C2019" s="1" t="n">
        <x:v>6</x:v>
      </x:c>
      <x:c r="D2019" s="12" t="n">
        <x:v>1.8688333333333333</x:v>
      </x:c>
      <x:c r="E2019" s="12" t="n">
        <x:v>0.5468333333333334</x:v>
      </x:c>
      <x:c r="F2019" s="12" t="n">
        <x:v>0</x:v>
      </x:c>
      <x:c r="G2019" s="12" t="n">
        <x:v>1.322</x:v>
      </x:c>
      <x:c r="H2019" s="1" t="n">
        <x:f>'Historical prices'!E2019</x:f>
        <x:v>1.05</x:v>
      </x:c>
      <x:c r="I2019" s="6" t="n">
        <x:f>'Historical prices'!D2019</x:f>
        <x:v>0.1252</x:v>
      </x:c>
      <x:c r="J2019" s="13" t="n">
        <x:f>D2019*I2019*H2019</x:f>
        <x:v>0.24567683</x:v>
      </x:c>
      <x:c r="K2019" s="13" t="n">
        <x:f>E2019*I2019*H2019</x:f>
        <x:v>0.07188671</x:v>
      </x:c>
      <x:c r="L2019" s="1" t="str">
        <x:f>TEXT(A2019,"mmm yyyy")</x:f>
        <x:v>Jun 2026</x:v>
      </x:c>
    </x:row>
    <x:row r="2020" ht="21" customHeight="1">
      <x:c r="A2020" s="10" t="n">
        <x:v>46190</x:v>
      </x:c>
      <x:c r="B2020" s="1" t="n">
        <x:v>14</x:v>
      </x:c>
      <x:c r="C2020" s="1" t="n">
        <x:v>6</x:v>
      </x:c>
      <x:c r="D2020" s="12" t="n">
        <x:v>3.970916666666666</x:v>
      </x:c>
      <x:c r="E2020" s="12" t="n">
        <x:v>0.5789166666666667</x:v>
      </x:c>
      <x:c r="F2020" s="12" t="n">
        <x:v>0</x:v>
      </x:c>
      <x:c r="G2020" s="12" t="n">
        <x:v>3.3920000000000003</x:v>
      </x:c>
      <x:c r="H2020" s="1" t="n">
        <x:f>'Historical prices'!E2020</x:f>
        <x:v>1.05</x:v>
      </x:c>
      <x:c r="I2020" s="6" t="n">
        <x:f>'Historical prices'!D2020</x:f>
        <x:v>0.1183</x:v>
      </x:c>
      <x:c r="J2020" s="13" t="n">
        <x:f>D2020*I2020*H2020</x:f>
        <x:v>0.49324741375</x:v>
      </x:c>
      <x:c r="K2020" s="13" t="n">
        <x:f>E2020*I2020*H2020</x:f>
        <x:v>0.07191013375000001</x:v>
      </x:c>
      <x:c r="L2020" s="1" t="str">
        <x:f>TEXT(A2020,"mmm yyyy")</x:f>
        <x:v>Jun 2026</x:v>
      </x:c>
    </x:row>
    <x:row r="2021" ht="21" customHeight="1">
      <x:c r="A2021" s="10" t="n">
        <x:v>46190</x:v>
      </x:c>
      <x:c r="B2021" s="1" t="n">
        <x:v>14.5</x:v>
      </x:c>
      <x:c r="C2021" s="1" t="n">
        <x:v>6</x:v>
      </x:c>
      <x:c r="D2021" s="12" t="n">
        <x:v>4.9286666666666665</x:v>
      </x:c>
      <x:c r="E2021" s="12" t="n">
        <x:v>0.6476666666666667</x:v>
      </x:c>
      <x:c r="F2021" s="12" t="n">
        <x:v>0</x:v>
      </x:c>
      <x:c r="G2021" s="12" t="n">
        <x:v>4.281000000000001</x:v>
      </x:c>
      <x:c r="H2021" s="1" t="n">
        <x:f>'Historical prices'!E2021</x:f>
        <x:v>1.05</x:v>
      </x:c>
      <x:c r="I2021" s="6" t="n">
        <x:f>'Historical prices'!D2021</x:f>
        <x:v>0.1173</x:v>
      </x:c>
      <x:c r="J2021" s="13" t="n">
        <x:f>D2021*I2021*H2021</x:f>
        <x:v>0.60703923</x:v>
      </x:c>
      <x:c r="K2021" s="13" t="n">
        <x:f>E2021*I2021*H2021</x:f>
        <x:v>0.07976986500000001</x:v>
      </x:c>
      <x:c r="L2021" s="1" t="str">
        <x:f>TEXT(A2021,"mmm yyyy")</x:f>
        <x:v>Jun 2026</x:v>
      </x:c>
    </x:row>
    <x:row r="2022" ht="21" customHeight="1">
      <x:c r="A2022" s="10" t="n">
        <x:v>46190</x:v>
      </x:c>
      <x:c r="B2022" s="1" t="n">
        <x:v>15</x:v>
      </x:c>
      <x:c r="C2022" s="1" t="n">
        <x:v>6</x:v>
      </x:c>
      <x:c r="D2022" s="12" t="n">
        <x:v>1.2288333333333332</x:v>
      </x:c>
      <x:c r="E2022" s="12" t="n">
        <x:v>0.5028333333333334</x:v>
      </x:c>
      <x:c r="F2022" s="12" t="n">
        <x:v>0</x:v>
      </x:c>
      <x:c r="G2022" s="12" t="n">
        <x:v>0.733</x:v>
      </x:c>
      <x:c r="H2022" s="1" t="n">
        <x:f>'Historical prices'!E2022</x:f>
        <x:v>1.05</x:v>
      </x:c>
      <x:c r="I2022" s="6" t="n">
        <x:f>'Historical prices'!D2022</x:f>
        <x:v>0.1355</x:v>
      </x:c>
      <x:c r="J2022" s="13" t="n">
        <x:f>D2022*I2022*H2022</x:f>
        <x:v>0.1748322625</x:v>
      </x:c>
      <x:c r="K2022" s="13" t="n">
        <x:f>E2022*I2022*H2022</x:f>
        <x:v>0.0715406125</x:v>
      </x:c>
      <x:c r="L2022" s="1" t="str">
        <x:f>TEXT(A2022,"mmm yyyy")</x:f>
        <x:v>Jun 2026</x:v>
      </x:c>
    </x:row>
    <x:row r="2023" ht="21" customHeight="1">
      <x:c r="A2023" s="10" t="n">
        <x:v>46190</x:v>
      </x:c>
      <x:c r="B2023" s="1" t="n">
        <x:v>15.5</x:v>
      </x:c>
      <x:c r="C2023" s="1" t="n">
        <x:v>6</x:v>
      </x:c>
      <x:c r="D2023" s="12" t="n">
        <x:v>0.2723333333333333</x:v>
      </x:c>
      <x:c r="E2023" s="12" t="n">
        <x:v>0.4293333333333333</x:v>
      </x:c>
      <x:c r="F2023" s="12" t="n">
        <x:v>0.137</x:v>
      </x:c>
      <x:c r="G2023" s="12" t="n">
        <x:v>0</x:v>
      </x:c>
      <x:c r="H2023" s="1" t="n">
        <x:f>'Historical prices'!E2023</x:f>
        <x:v>1.05</x:v>
      </x:c>
      <x:c r="I2023" s="6" t="n">
        <x:f>'Historical prices'!D2023</x:f>
        <x:v>0.14150000000000001</x:v>
      </x:c>
      <x:c r="J2023" s="13" t="n">
        <x:f>D2023*I2023*H2023</x:f>
        <x:v>0.040461925</x:v>
      </x:c>
      <x:c r="K2023" s="13" t="n">
        <x:f>E2023*I2023*H2023</x:f>
        <x:v>0.0637882</x:v>
      </x:c>
      <x:c r="L2023" s="1" t="str">
        <x:f>TEXT(A2023,"mmm yyyy")</x:f>
        <x:v>Jun 2026</x:v>
      </x:c>
    </x:row>
    <x:row r="2024" ht="21" customHeight="1">
      <x:c r="A2024" s="10" t="n">
        <x:v>46190</x:v>
      </x:c>
      <x:c r="B2024" s="1" t="n">
        <x:v>16</x:v>
      </x:c>
      <x:c r="C2024" s="1" t="n">
        <x:v>6</x:v>
      </x:c>
      <x:c r="D2024" s="12" t="n">
        <x:v>0</x:v>
      </x:c>
      <x:c r="E2024" s="12" t="n">
        <x:v>0.5355833333333333</x:v>
      </x:c>
      <x:c r="F2024" s="12" t="n">
        <x:v>0.53125</x:v>
      </x:c>
      <x:c r="G2024" s="12" t="n">
        <x:v>0</x:v>
      </x:c>
      <x:c r="H2024" s="1" t="n">
        <x:f>'Historical prices'!E2024</x:f>
        <x:v>1.05</x:v>
      </x:c>
      <x:c r="I2024" s="6" t="n">
        <x:f>'Historical prices'!D2024</x:f>
        <x:v>0.2761</x:v>
      </x:c>
      <x:c r="J2024" s="13" t="n">
        <x:f>D2024*I2024*H2024</x:f>
        <x:v>0</x:v>
      </x:c>
      <x:c r="K2024" s="13" t="n">
        <x:f>E2024*I2024*H2024</x:f>
        <x:v>0.15526828625</x:v>
      </x:c>
      <x:c r="L2024" s="1" t="str">
        <x:f>TEXT(A2024,"mmm yyyy")</x:f>
        <x:v>Jun 2026</x:v>
      </x:c>
    </x:row>
    <x:row r="2025" ht="21" customHeight="1">
      <x:c r="A2025" s="10" t="n">
        <x:v>46190</x:v>
      </x:c>
      <x:c r="B2025" s="1" t="n">
        <x:v>16.5</x:v>
      </x:c>
      <x:c r="C2025" s="1" t="n">
        <x:v>6</x:v>
      </x:c>
      <x:c r="D2025" s="12" t="n">
        <x:v>0</x:v>
      </x:c>
      <x:c r="E2025" s="12" t="n">
        <x:v>0.4061666666666667</x:v>
      </x:c>
      <x:c r="F2025" s="12" t="n">
        <x:v>0.4056666666666667</x:v>
      </x:c>
      <x:c r="G2025" s="12" t="n">
        <x:v>0</x:v>
      </x:c>
      <x:c r="H2025" s="1" t="n">
        <x:f>'Historical prices'!E2025</x:f>
        <x:v>1.05</x:v>
      </x:c>
      <x:c r="I2025" s="6" t="n">
        <x:f>'Historical prices'!D2025</x:f>
        <x:v>0.2756</x:v>
      </x:c>
      <x:c r="J2025" s="13" t="n">
        <x:f>D2025*I2025*H2025</x:f>
        <x:v>0</x:v>
      </x:c>
      <x:c r="K2025" s="13" t="n">
        <x:f>E2025*I2025*H2025</x:f>
        <x:v>0.11753651000000001</x:v>
      </x:c>
      <x:c r="L2025" s="1" t="str">
        <x:f>TEXT(A2025,"mmm yyyy")</x:f>
        <x:v>Jun 2026</x:v>
      </x:c>
    </x:row>
    <x:row r="2026" ht="21" customHeight="1">
      <x:c r="A2026" s="10" t="n">
        <x:v>46190</x:v>
      </x:c>
      <x:c r="B2026" s="1" t="n">
        <x:v>17</x:v>
      </x:c>
      <x:c r="C2026" s="1" t="n">
        <x:v>6</x:v>
      </x:c>
      <x:c r="D2026" s="12" t="n">
        <x:v>0</x:v>
      </x:c>
      <x:c r="E2026" s="12" t="n">
        <x:v>0.43366666666666664</x:v>
      </x:c>
      <x:c r="F2026" s="12" t="n">
        <x:v>0.43366666666666664</x:v>
      </x:c>
      <x:c r="G2026" s="12" t="n">
        <x:v>0</x:v>
      </x:c>
      <x:c r="H2026" s="1" t="n">
        <x:f>'Historical prices'!E2026</x:f>
        <x:v>1.05</x:v>
      </x:c>
      <x:c r="I2026" s="6" t="n">
        <x:f>'Historical prices'!D2026</x:f>
        <x:v>0.27140000000000003</x:v>
      </x:c>
      <x:c r="J2026" s="13" t="n">
        <x:f>D2026*I2026*H2026</x:f>
        <x:v>0</x:v>
      </x:c>
      <x:c r="K2026" s="13" t="n">
        <x:f>E2026*I2026*H2026</x:f>
        <x:v>0.12358199000000002</x:v>
      </x:c>
      <x:c r="L2026" s="1" t="str">
        <x:f>TEXT(A2026,"mmm yyyy")</x:f>
        <x:v>Jun 2026</x:v>
      </x:c>
    </x:row>
    <x:row r="2027" ht="21" customHeight="1">
      <x:c r="A2027" s="10" t="n">
        <x:v>46190</x:v>
      </x:c>
      <x:c r="B2027" s="1" t="n">
        <x:v>17.5</x:v>
      </x:c>
      <x:c r="C2027" s="1" t="n">
        <x:v>6</x:v>
      </x:c>
      <x:c r="D2027" s="12" t="n">
        <x:v>0</x:v>
      </x:c>
      <x:c r="E2027" s="12" t="n">
        <x:v>0.5529999999999999</x:v>
      </x:c>
      <x:c r="F2027" s="12" t="n">
        <x:v>0.5529166666666666</x:v>
      </x:c>
      <x:c r="G2027" s="12" t="n">
        <x:v>0</x:v>
      </x:c>
      <x:c r="H2027" s="1" t="n">
        <x:f>'Historical prices'!E2027</x:f>
        <x:v>1.05</x:v>
      </x:c>
      <x:c r="I2027" s="6" t="n">
        <x:f>'Historical prices'!D2027</x:f>
        <x:v>0.2853</x:v>
      </x:c>
      <x:c r="J2027" s="13" t="n">
        <x:f>D2027*I2027*H2027</x:f>
        <x:v>0</x:v>
      </x:c>
      <x:c r="K2027" s="13" t="n">
        <x:f>E2027*I2027*H2027</x:f>
        <x:v>0.165659445</x:v>
      </x:c>
      <x:c r="L2027" s="1" t="str">
        <x:f>TEXT(A2027,"mmm yyyy")</x:f>
        <x:v>Jun 2026</x:v>
      </x:c>
    </x:row>
    <x:row r="2028" ht="21" customHeight="1">
      <x:c r="A2028" s="10" t="n">
        <x:v>46190</x:v>
      </x:c>
      <x:c r="B2028" s="1" t="n">
        <x:v>18</x:v>
      </x:c>
      <x:c r="C2028" s="1" t="n">
        <x:v>6</x:v>
      </x:c>
      <x:c r="D2028" s="12" t="n">
        <x:v>0</x:v>
      </x:c>
      <x:c r="E2028" s="12" t="n">
        <x:v>0.6091666666666666</x:v>
      </x:c>
      <x:c r="F2028" s="12" t="n">
        <x:v>0.6089166666666668</x:v>
      </x:c>
      <x:c r="G2028" s="12" t="n">
        <x:v>0</x:v>
      </x:c>
      <x:c r="H2028" s="1" t="n">
        <x:f>'Historical prices'!E2028</x:f>
        <x:v>1.05</x:v>
      </x:c>
      <x:c r="I2028" s="6" t="n">
        <x:f>'Historical prices'!D2028</x:f>
        <x:v>0.32289999999999996</x:v>
      </x:c>
      <x:c r="J2028" s="13" t="n">
        <x:f>D2028*I2028*H2028</x:f>
        <x:v>0</x:v>
      </x:c>
      <x:c r="K2028" s="13" t="n">
        <x:f>E2028*I2028*H2028</x:f>
        <x:v>0.20653491249999997</x:v>
      </x:c>
      <x:c r="L2028" s="1" t="str">
        <x:f>TEXT(A2028,"mmm yyyy")</x:f>
        <x:v>Jun 2026</x:v>
      </x:c>
    </x:row>
    <x:row r="2029" ht="21" customHeight="1">
      <x:c r="A2029" s="10" t="n">
        <x:v>46190</x:v>
      </x:c>
      <x:c r="B2029" s="1" t="n">
        <x:v>18.5</x:v>
      </x:c>
      <x:c r="C2029" s="1" t="n">
        <x:v>6</x:v>
      </x:c>
      <x:c r="D2029" s="12" t="n">
        <x:v>0</x:v>
      </x:c>
      <x:c r="E2029" s="12" t="n">
        <x:v>1.2983333333333336</x:v>
      </x:c>
      <x:c r="F2029" s="12" t="n">
        <x:v>1.2979166666666666</x:v>
      </x:c>
      <x:c r="G2029" s="12" t="n">
        <x:v>0</x:v>
      </x:c>
      <x:c r="H2029" s="1" t="n">
        <x:f>'Historical prices'!E2029</x:f>
        <x:v>1.05</x:v>
      </x:c>
      <x:c r="I2029" s="6" t="n">
        <x:f>'Historical prices'!D2029</x:f>
        <x:v>0.33340000000000003</x:v>
      </x:c>
      <x:c r="J2029" s="13" t="n">
        <x:f>D2029*I2029*H2029</x:f>
        <x:v>0</x:v>
      </x:c>
      <x:c r="K2029" s="13" t="n">
        <x:f>E2029*I2029*H2029</x:f>
        <x:v>0.45450755000000015</x:v>
      </x:c>
      <x:c r="L2029" s="1" t="str">
        <x:f>TEXT(A2029,"mmm yyyy")</x:f>
        <x:v>Jun 2026</x:v>
      </x:c>
    </x:row>
    <x:row r="2030" ht="21" customHeight="1">
      <x:c r="A2030" s="10" t="n">
        <x:v>46190</x:v>
      </x:c>
      <x:c r="B2030" s="1" t="n">
        <x:v>19</x:v>
      </x:c>
      <x:c r="C2030" s="1" t="n">
        <x:v>6</x:v>
      </x:c>
      <x:c r="D2030" s="12" t="n">
        <x:v>0</x:v>
      </x:c>
      <x:c r="E2030" s="12" t="n">
        <x:v>0.6386666666666665</x:v>
      </x:c>
      <x:c r="F2030" s="12" t="n">
        <x:v>0.6384999999999998</x:v>
      </x:c>
      <x:c r="G2030" s="12" t="n">
        <x:v>0</x:v>
      </x:c>
      <x:c r="H2030" s="1" t="n">
        <x:f>'Historical prices'!E2030</x:f>
        <x:v>1.05</x:v>
      </x:c>
      <x:c r="I2030" s="6" t="n">
        <x:f>'Historical prices'!D2030</x:f>
        <x:v>0.2477</x:v>
      </x:c>
      <x:c r="J2030" s="13" t="n">
        <x:f>D2030*I2030*H2030</x:f>
        <x:v>0</x:v>
      </x:c>
      <x:c r="K2030" s="13" t="n">
        <x:f>E2030*I2030*H2030</x:f>
        <x:v>0.16610761999999996</x:v>
      </x:c>
      <x:c r="L2030" s="1" t="str">
        <x:f>TEXT(A2030,"mmm yyyy")</x:f>
        <x:v>Jun 2026</x:v>
      </x:c>
    </x:row>
    <x:row r="2031" ht="21" customHeight="1">
      <x:c r="A2031" s="10" t="n">
        <x:v>46190</x:v>
      </x:c>
      <x:c r="B2031" s="1" t="n">
        <x:v>19.5</x:v>
      </x:c>
      <x:c r="C2031" s="1" t="n">
        <x:v>6</x:v>
      </x:c>
      <x:c r="D2031" s="12" t="n">
        <x:v>0</x:v>
      </x:c>
      <x:c r="E2031" s="12" t="n">
        <x:v>0.7271666666666666</x:v>
      </x:c>
      <x:c r="F2031" s="12" t="n">
        <x:v>0.72675</x:v>
      </x:c>
      <x:c r="G2031" s="12" t="n">
        <x:v>0</x:v>
      </x:c>
      <x:c r="H2031" s="1" t="n">
        <x:f>'Historical prices'!E2031</x:f>
        <x:v>1.05</x:v>
      </x:c>
      <x:c r="I2031" s="6" t="n">
        <x:f>'Historical prices'!D2031</x:f>
        <x:v>0.2554</x:v>
      </x:c>
      <x:c r="J2031" s="13" t="n">
        <x:f>D2031*I2031*H2031</x:f>
        <x:v>0</x:v>
      </x:c>
      <x:c r="K2031" s="13" t="n">
        <x:f>E2031*I2031*H2031</x:f>
        <x:v>0.195004285</x:v>
      </x:c>
      <x:c r="L2031" s="1" t="str">
        <x:f>TEXT(A2031,"mmm yyyy")</x:f>
        <x:v>Jun 2026</x:v>
      </x:c>
    </x:row>
    <x:row r="2032" ht="21" customHeight="1">
      <x:c r="A2032" s="10" t="n">
        <x:v>46190</x:v>
      </x:c>
      <x:c r="B2032" s="1" t="n">
        <x:v>20</x:v>
      </x:c>
      <x:c r="C2032" s="1" t="n">
        <x:v>6</x:v>
      </x:c>
      <x:c r="D2032" s="12" t="n">
        <x:v>0</x:v>
      </x:c>
      <x:c r="E2032" s="12" t="n">
        <x:v>0.6418333333333333</x:v>
      </x:c>
      <x:c r="F2032" s="12" t="n">
        <x:v>0.6415833333333333</x:v>
      </x:c>
      <x:c r="G2032" s="12" t="n">
        <x:v>0</x:v>
      </x:c>
      <x:c r="H2032" s="1" t="n">
        <x:f>'Historical prices'!E2032</x:f>
        <x:v>1.05</x:v>
      </x:c>
      <x:c r="I2032" s="6" t="n">
        <x:f>'Historical prices'!D2032</x:f>
        <x:v>0.2554</x:v>
      </x:c>
      <x:c r="J2032" s="13" t="n">
        <x:f>D2032*I2032*H2032</x:f>
        <x:v>0</x:v>
      </x:c>
      <x:c r="K2032" s="13" t="n">
        <x:f>E2032*I2032*H2032</x:f>
        <x:v>0.172120445</x:v>
      </x:c>
      <x:c r="L2032" s="1" t="str">
        <x:f>TEXT(A2032,"mmm yyyy")</x:f>
        <x:v>Jun 2026</x:v>
      </x:c>
    </x:row>
    <x:row r="2033" ht="21" customHeight="1">
      <x:c r="A2033" s="10" t="n">
        <x:v>46190</x:v>
      </x:c>
      <x:c r="B2033" s="1" t="n">
        <x:v>20.5</x:v>
      </x:c>
      <x:c r="C2033" s="1" t="n">
        <x:v>6</x:v>
      </x:c>
      <x:c r="D2033" s="12" t="n">
        <x:v>0</x:v>
      </x:c>
      <x:c r="E2033" s="12" t="n">
        <x:v>0.6574166666666668</x:v>
      </x:c>
      <x:c r="F2033" s="12" t="n">
        <x:v>0.6573333333333333</x:v>
      </x:c>
      <x:c r="G2033" s="12" t="n">
        <x:v>0</x:v>
      </x:c>
      <x:c r="H2033" s="1" t="n">
        <x:f>'Historical prices'!E2033</x:f>
        <x:v>1.05</x:v>
      </x:c>
      <x:c r="I2033" s="6" t="n">
        <x:f>'Historical prices'!D2033</x:f>
        <x:v>0.2556</x:v>
      </x:c>
      <x:c r="J2033" s="13" t="n">
        <x:f>D2033*I2033*H2033</x:f>
        <x:v>0</x:v>
      </x:c>
      <x:c r="K2033" s="13" t="n">
        <x:f>E2033*I2033*H2033</x:f>
        <x:v>0.176437485</x:v>
      </x:c>
      <x:c r="L2033" s="1" t="str">
        <x:f>TEXT(A2033,"mmm yyyy")</x:f>
        <x:v>Jun 2026</x:v>
      </x:c>
    </x:row>
    <x:row r="2034" ht="21" customHeight="1">
      <x:c r="A2034" s="10" t="n">
        <x:v>46190</x:v>
      </x:c>
      <x:c r="B2034" s="1" t="n">
        <x:v>21</x:v>
      </x:c>
      <x:c r="C2034" s="1" t="n">
        <x:v>6</x:v>
      </x:c>
      <x:c r="D2034" s="12" t="n">
        <x:v>0</x:v>
      </x:c>
      <x:c r="E2034" s="12" t="n">
        <x:v>0.634</x:v>
      </x:c>
      <x:c r="F2034" s="12" t="n">
        <x:v>0.6338333333333334</x:v>
      </x:c>
      <x:c r="G2034" s="12" t="n">
        <x:v>0</x:v>
      </x:c>
      <x:c r="H2034" s="1" t="n">
        <x:f>'Historical prices'!E2034</x:f>
        <x:v>1.05</x:v>
      </x:c>
      <x:c r="I2034" s="6" t="n">
        <x:f>'Historical prices'!D2034</x:f>
        <x:v>0.249</x:v>
      </x:c>
      <x:c r="J2034" s="13" t="n">
        <x:f>D2034*I2034*H2034</x:f>
        <x:v>0</x:v>
      </x:c>
      <x:c r="K2034" s="13" t="n">
        <x:f>E2034*I2034*H2034</x:f>
        <x:v>0.16575930000000003</x:v>
      </x:c>
      <x:c r="L2034" s="1" t="str">
        <x:f>TEXT(A2034,"mmm yyyy")</x:f>
        <x:v>Jun 2026</x:v>
      </x:c>
    </x:row>
    <x:row r="2035" ht="21" customHeight="1">
      <x:c r="A2035" s="10" t="n">
        <x:v>46190</x:v>
      </x:c>
      <x:c r="B2035" s="1" t="n">
        <x:v>21.5</x:v>
      </x:c>
      <x:c r="C2035" s="1" t="n">
        <x:v>6</x:v>
      </x:c>
      <x:c r="D2035" s="12" t="n">
        <x:v>0</x:v>
      </x:c>
      <x:c r="E2035" s="12" t="n">
        <x:v>1.0341666666666667</x:v>
      </x:c>
      <x:c r="F2035" s="12" t="n">
        <x:v>1.0338333333333334</x:v>
      </x:c>
      <x:c r="G2035" s="12" t="n">
        <x:v>0</x:v>
      </x:c>
      <x:c r="H2035" s="1" t="n">
        <x:f>'Historical prices'!E2035</x:f>
        <x:v>1.05</x:v>
      </x:c>
      <x:c r="I2035" s="6" t="n">
        <x:f>'Historical prices'!D2035</x:f>
        <x:v>0.2554</x:v>
      </x:c>
      <x:c r="J2035" s="13" t="n">
        <x:f>D2035*I2035*H2035</x:f>
        <x:v>0</x:v>
      </x:c>
      <x:c r="K2035" s="13" t="n">
        <x:f>E2035*I2035*H2035</x:f>
        <x:v>0.277332475</x:v>
      </x:c>
      <x:c r="L2035" s="1" t="str">
        <x:f>TEXT(A2035,"mmm yyyy")</x:f>
        <x:v>Jun 2026</x:v>
      </x:c>
    </x:row>
    <x:row r="2036" ht="21" customHeight="1">
      <x:c r="A2036" s="10" t="n">
        <x:v>46190</x:v>
      </x:c>
      <x:c r="B2036" s="1" t="n">
        <x:v>22</x:v>
      </x:c>
      <x:c r="C2036" s="1" t="n">
        <x:v>6</x:v>
      </x:c>
      <x:c r="D2036" s="12" t="n">
        <x:v>0</x:v>
      </x:c>
      <x:c r="E2036" s="12" t="n">
        <x:v>0.4036666666666667</x:v>
      </x:c>
      <x:c r="F2036" s="12" t="n">
        <x:v>0.4035833333333333</x:v>
      </x:c>
      <x:c r="G2036" s="12" t="n">
        <x:v>0</x:v>
      </x:c>
      <x:c r="H2036" s="1" t="n">
        <x:f>'Historical prices'!E2036</x:f>
        <x:v>1.05</x:v>
      </x:c>
      <x:c r="I2036" s="6" t="n">
        <x:f>'Historical prices'!D2036</x:f>
        <x:v>0.2266</x:v>
      </x:c>
      <x:c r="J2036" s="13" t="n">
        <x:f>D2036*I2036*H2036</x:f>
        <x:v>0</x:v>
      </x:c>
      <x:c r="K2036" s="13" t="n">
        <x:f>E2036*I2036*H2036</x:f>
        <x:v>0.09604441</x:v>
      </x:c>
      <x:c r="L2036" s="1" t="str">
        <x:f>TEXT(A2036,"mmm yyyy")</x:f>
        <x:v>Jun 2026</x:v>
      </x:c>
    </x:row>
    <x:row r="2037" ht="21" customHeight="1">
      <x:c r="A2037" s="10" t="n">
        <x:v>46190</x:v>
      </x:c>
      <x:c r="B2037" s="1" t="n">
        <x:v>22.5</x:v>
      </x:c>
      <x:c r="C2037" s="1" t="n">
        <x:v>6</x:v>
      </x:c>
      <x:c r="D2037" s="12" t="n">
        <x:v>0</x:v>
      </x:c>
      <x:c r="E2037" s="12" t="n">
        <x:v>0.26374999999999993</x:v>
      </x:c>
      <x:c r="F2037" s="12" t="n">
        <x:v>0.2635833333333333</x:v>
      </x:c>
      <x:c r="G2037" s="12" t="n">
        <x:v>0</x:v>
      </x:c>
      <x:c r="H2037" s="1" t="n">
        <x:f>'Historical prices'!E2037</x:f>
        <x:v>1.05</x:v>
      </x:c>
      <x:c r="I2037" s="6" t="n">
        <x:f>'Historical prices'!D2037</x:f>
        <x:v>0.23120000000000002</x:v>
      </x:c>
      <x:c r="J2037" s="13" t="n">
        <x:f>D2037*I2037*H2037</x:f>
        <x:v>0</x:v>
      </x:c>
      <x:c r="K2037" s="13" t="n">
        <x:f>E2037*I2037*H2037</x:f>
        <x:v>0.06402794999999999</x:v>
      </x:c>
      <x:c r="L2037" s="1" t="str">
        <x:f>TEXT(A2037,"mmm yyyy")</x:f>
        <x:v>Jun 2026</x:v>
      </x:c>
    </x:row>
    <x:row r="2038" ht="21" customHeight="1">
      <x:c r="A2038" s="10" t="n">
        <x:v>46190</x:v>
      </x:c>
      <x:c r="B2038" s="1" t="n">
        <x:v>23</x:v>
      </x:c>
      <x:c r="C2038" s="1" t="n">
        <x:v>6</x:v>
      </x:c>
      <x:c r="D2038" s="12" t="n">
        <x:v>0</x:v>
      </x:c>
      <x:c r="E2038" s="12" t="n">
        <x:v>0.18608333333333332</x:v>
      </x:c>
      <x:c r="F2038" s="12" t="n">
        <x:v>0.18575</x:v>
      </x:c>
      <x:c r="G2038" s="12" t="n">
        <x:v>0</x:v>
      </x:c>
      <x:c r="H2038" s="1" t="n">
        <x:f>'Historical prices'!E2038</x:f>
        <x:v>1.05</x:v>
      </x:c>
      <x:c r="I2038" s="6" t="n">
        <x:f>'Historical prices'!D2038</x:f>
        <x:v>0.2213</x:v>
      </x:c>
      <x:c r="J2038" s="13" t="n">
        <x:f>D2038*I2038*H2038</x:f>
        <x:v>0</x:v>
      </x:c>
      <x:c r="K2038" s="13" t="n">
        <x:f>E2038*I2038*H2038</x:f>
        <x:v>0.04323925375</x:v>
      </x:c>
      <x:c r="L2038" s="1" t="str">
        <x:f>TEXT(A2038,"mmm yyyy")</x:f>
        <x:v>Jun 2026</x:v>
      </x:c>
    </x:row>
    <x:row r="2039" ht="21" customHeight="1">
      <x:c r="A2039" s="10" t="n">
        <x:v>46190</x:v>
      </x:c>
      <x:c r="B2039" s="1" t="n">
        <x:v>23.5</x:v>
      </x:c>
      <x:c r="C2039" s="1" t="n">
        <x:v>6</x:v>
      </x:c>
      <x:c r="D2039" s="12" t="n">
        <x:v>0.15908333333333335</x:v>
      </x:c>
      <x:c r="E2039" s="12" t="n">
        <x:v>0.2049166666666667</x:v>
      </x:c>
      <x:c r="F2039" s="12" t="n">
        <x:v>0.035833333333333335</x:v>
      </x:c>
      <x:c r="G2039" s="12" t="n">
        <x:v>0</x:v>
      </x:c>
      <x:c r="H2039" s="1" t="n">
        <x:f>'Historical prices'!E2039</x:f>
        <x:v>1.05</x:v>
      </x:c>
      <x:c r="I2039" s="6" t="n">
        <x:f>'Historical prices'!D2039</x:f>
        <x:v>0.1916</x:v>
      </x:c>
      <x:c r="J2039" s="13" t="n">
        <x:f>D2039*I2039*H2039</x:f>
        <x:v>0.032004385</x:v>
      </x:c>
      <x:c r="K2039" s="13" t="n">
        <x:f>E2039*I2039*H2039</x:f>
        <x:v>0.041225135</x:v>
      </x:c>
      <x:c r="L2039" s="1" t="str">
        <x:f>TEXT(A2039,"mmm yyyy")</x:f>
        <x:v>Jun 2026</x:v>
      </x:c>
    </x:row>
    <x:row r="2040" ht="21" customHeight="1">
      <x:c r="A2040" s="10" t="n">
        <x:v>46191</x:v>
      </x:c>
      <x:c r="B2040" s="1" t="n">
        <x:v>0</x:v>
      </x:c>
      <x:c r="C2040" s="1" t="n">
        <x:v>6</x:v>
      </x:c>
      <x:c r="D2040" s="12" t="n">
        <x:v>0.21991666666666668</x:v>
      </x:c>
      <x:c r="E2040" s="12" t="n">
        <x:v>0.22991666666666666</x:v>
      </x:c>
      <x:c r="F2040" s="12" t="n">
        <x:v>0</x:v>
      </x:c>
      <x:c r="G2040" s="12" t="n">
        <x:v>0</x:v>
      </x:c>
      <x:c r="H2040" s="1" t="n">
        <x:f>'Historical prices'!E2040</x:f>
        <x:v>1.05</x:v>
      </x:c>
      <x:c r="I2040" s="6" t="n">
        <x:f>'Historical prices'!D2040</x:f>
        <x:v>0.20600000000000002</x:v>
      </x:c>
      <x:c r="J2040" s="13" t="n">
        <x:f>D2040*I2040*H2040</x:f>
        <x:v>0.04756797500000001</x:v>
      </x:c>
      <x:c r="K2040" s="13" t="n">
        <x:f>E2040*I2040*H2040</x:f>
        <x:v>0.049730975000000004</x:v>
      </x:c>
      <x:c r="L2040" s="1" t="str">
        <x:f>TEXT(A2040,"mmm yyyy")</x:f>
        <x:v>Jun 2026</x:v>
      </x:c>
    </x:row>
    <x:row r="2041" ht="21" customHeight="1">
      <x:c r="A2041" s="10" t="n">
        <x:v>46191</x:v>
      </x:c>
      <x:c r="B2041" s="1" t="n">
        <x:v>0.5</x:v>
      </x:c>
      <x:c r="C2041" s="1" t="n">
        <x:v>6</x:v>
      </x:c>
      <x:c r="D2041" s="12" t="n">
        <x:v>0.24824999999999997</x:v>
      </x:c>
      <x:c r="E2041" s="12" t="n">
        <x:v>0.25925</x:v>
      </x:c>
      <x:c r="F2041" s="12" t="n">
        <x:v>0</x:v>
      </x:c>
      <x:c r="G2041" s="12" t="n">
        <x:v>0</x:v>
      </x:c>
      <x:c r="H2041" s="1" t="n">
        <x:f>'Historical prices'!E2041</x:f>
        <x:v>1.05</x:v>
      </x:c>
      <x:c r="I2041" s="6" t="n">
        <x:f>'Historical prices'!D2041</x:f>
        <x:v>0.19760000000000003</x:v>
      </x:c>
      <x:c r="J2041" s="13" t="n">
        <x:f>D2041*I2041*H2041</x:f>
        <x:v>0.05150691</x:v>
      </x:c>
      <x:c r="K2041" s="13" t="n">
        <x:f>E2041*I2041*H2041</x:f>
        <x:v>0.05378919000000001</x:v>
      </x:c>
      <x:c r="L2041" s="1" t="str">
        <x:f>TEXT(A2041,"mmm yyyy")</x:f>
        <x:v>Jun 2026</x:v>
      </x:c>
    </x:row>
    <x:row r="2042" ht="21" customHeight="1">
      <x:c r="A2042" s="10" t="n">
        <x:v>46191</x:v>
      </x:c>
      <x:c r="B2042" s="1" t="n">
        <x:v>1</x:v>
      </x:c>
      <x:c r="C2042" s="1" t="n">
        <x:v>6</x:v>
      </x:c>
      <x:c r="D2042" s="12" t="n">
        <x:v>0.19291666666666668</x:v>
      </x:c>
      <x:c r="E2042" s="12" t="n">
        <x:v>0.20291666666666666</x:v>
      </x:c>
      <x:c r="F2042" s="12" t="n">
        <x:v>0</x:v>
      </x:c>
      <x:c r="G2042" s="12" t="n">
        <x:v>0</x:v>
      </x:c>
      <x:c r="H2042" s="1" t="n">
        <x:f>'Historical prices'!E2042</x:f>
        <x:v>1.05</x:v>
      </x:c>
      <x:c r="I2042" s="6" t="n">
        <x:f>'Historical prices'!D2042</x:f>
        <x:v>0.1934</x:v>
      </x:c>
      <x:c r="J2042" s="13" t="n">
        <x:f>D2042*I2042*H2042</x:f>
        <x:v>0.039175587500000005</x:v>
      </x:c>
      <x:c r="K2042" s="13" t="n">
        <x:f>E2042*I2042*H2042</x:f>
        <x:v>0.0412062875</x:v>
      </x:c>
      <x:c r="L2042" s="1" t="str">
        <x:f>TEXT(A2042,"mmm yyyy")</x:f>
        <x:v>Jun 2026</x:v>
      </x:c>
    </x:row>
    <x:row r="2043" ht="21" customHeight="1">
      <x:c r="A2043" s="10" t="n">
        <x:v>46191</x:v>
      </x:c>
      <x:c r="B2043" s="1" t="n">
        <x:v>1.5</x:v>
      </x:c>
      <x:c r="C2043" s="1" t="n">
        <x:v>6</x:v>
      </x:c>
      <x:c r="D2043" s="12" t="n">
        <x:v>0.14533333333333334</x:v>
      </x:c>
      <x:c r="E2043" s="12" t="n">
        <x:v>0.15633333333333335</x:v>
      </x:c>
      <x:c r="F2043" s="12" t="n">
        <x:v>0</x:v>
      </x:c>
      <x:c r="G2043" s="12" t="n">
        <x:v>0</x:v>
      </x:c>
      <x:c r="H2043" s="1" t="n">
        <x:f>'Historical prices'!E2043</x:f>
        <x:v>1.05</x:v>
      </x:c>
      <x:c r="I2043" s="6" t="n">
        <x:f>'Historical prices'!D2043</x:f>
        <x:v>0.1892</x:v>
      </x:c>
      <x:c r="J2043" s="13" t="n">
        <x:f>D2043*I2043*H2043</x:f>
        <x:v>0.028871920000000006</x:v>
      </x:c>
      <x:c r="K2043" s="13" t="n">
        <x:f>E2043*I2043*H2043</x:f>
        <x:v>0.031057180000000007</x:v>
      </x:c>
      <x:c r="L2043" s="1" t="str">
        <x:f>TEXT(A2043,"mmm yyyy")</x:f>
        <x:v>Jun 2026</x:v>
      </x:c>
    </x:row>
    <x:row r="2044" ht="21" customHeight="1">
      <x:c r="A2044" s="10" t="n">
        <x:v>46191</x:v>
      </x:c>
      <x:c r="B2044" s="1" t="n">
        <x:v>2</x:v>
      </x:c>
      <x:c r="C2044" s="1" t="n">
        <x:v>6</x:v>
      </x:c>
      <x:c r="D2044" s="12" t="n">
        <x:v>0.1736666666666667</x:v>
      </x:c>
      <x:c r="E2044" s="12" t="n">
        <x:v>0.1836666666666667</x:v>
      </x:c>
      <x:c r="F2044" s="12" t="n">
        <x:v>0</x:v>
      </x:c>
      <x:c r="G2044" s="12" t="n">
        <x:v>0</x:v>
      </x:c>
      <x:c r="H2044" s="1" t="n">
        <x:f>'Historical prices'!E2044</x:f>
        <x:v>1.05</x:v>
      </x:c>
      <x:c r="I2044" s="6" t="n">
        <x:f>'Historical prices'!D2044</x:f>
        <x:v>0.1805</x:v>
      </x:c>
      <x:c r="J2044" s="13" t="n">
        <x:f>D2044*I2044*H2044</x:f>
        <x:v>0.032914175000000004</x:v>
      </x:c>
      <x:c r="K2044" s="13" t="n">
        <x:f>E2044*I2044*H2044</x:f>
        <x:v>0.034809425000000005</x:v>
      </x:c>
      <x:c r="L2044" s="1" t="str">
        <x:f>TEXT(A2044,"mmm yyyy")</x:f>
        <x:v>Jun 2026</x:v>
      </x:c>
    </x:row>
    <x:row r="2045" ht="21" customHeight="1">
      <x:c r="A2045" s="10" t="n">
        <x:v>46191</x:v>
      </x:c>
      <x:c r="B2045" s="1" t="n">
        <x:v>2.5</x:v>
      </x:c>
      <x:c r="C2045" s="1" t="n">
        <x:v>6</x:v>
      </x:c>
      <x:c r="D2045" s="12" t="n">
        <x:v>0.21683333333333332</x:v>
      </x:c>
      <x:c r="E2045" s="12" t="n">
        <x:v>0.22783333333333333</x:v>
      </x:c>
      <x:c r="F2045" s="12" t="n">
        <x:v>0</x:v>
      </x:c>
      <x:c r="G2045" s="12" t="n">
        <x:v>0</x:v>
      </x:c>
      <x:c r="H2045" s="1" t="n">
        <x:f>'Historical prices'!E2045</x:f>
        <x:v>1.05</x:v>
      </x:c>
      <x:c r="I2045" s="6" t="n">
        <x:f>'Historical prices'!D2045</x:f>
        <x:v>0.17600000000000002</x:v>
      </x:c>
      <x:c r="J2045" s="13" t="n">
        <x:f>D2045*I2045*H2045</x:f>
        <x:v>0.040070800000000004</x:v>
      </x:c>
      <x:c r="K2045" s="13" t="n">
        <x:f>E2045*I2045*H2045</x:f>
        <x:v>0.042103600000000005</x:v>
      </x:c>
      <x:c r="L2045" s="1" t="str">
        <x:f>TEXT(A2045,"mmm yyyy")</x:f>
        <x:v>Jun 2026</x:v>
      </x:c>
    </x:row>
    <x:row r="2046" ht="21" customHeight="1">
      <x:c r="A2046" s="10" t="n">
        <x:v>46191</x:v>
      </x:c>
      <x:c r="B2046" s="1" t="n">
        <x:v>3</x:v>
      </x:c>
      <x:c r="C2046" s="1" t="n">
        <x:v>6</x:v>
      </x:c>
      <x:c r="D2046" s="12" t="n">
        <x:v>0.17833333333333334</x:v>
      </x:c>
      <x:c r="E2046" s="12" t="n">
        <x:v>0.18933333333333335</x:v>
      </x:c>
      <x:c r="F2046" s="12" t="n">
        <x:v>0</x:v>
      </x:c>
      <x:c r="G2046" s="12" t="n">
        <x:v>0</x:v>
      </x:c>
      <x:c r="H2046" s="1" t="n">
        <x:f>'Historical prices'!E2046</x:f>
        <x:v>1.05</x:v>
      </x:c>
      <x:c r="I2046" s="6" t="n">
        <x:f>'Historical prices'!D2046</x:f>
        <x:v>0.1787</x:v>
      </x:c>
      <x:c r="J2046" s="13" t="n">
        <x:f>D2046*I2046*H2046</x:f>
        <x:v>0.03346157500000001</x:v>
      </x:c>
      <x:c r="K2046" s="13" t="n">
        <x:f>E2046*I2046*H2046</x:f>
        <x:v>0.035525560000000005</x:v>
      </x:c>
      <x:c r="L2046" s="1" t="str">
        <x:f>TEXT(A2046,"mmm yyyy")</x:f>
        <x:v>Jun 2026</x:v>
      </x:c>
    </x:row>
    <x:row r="2047" ht="21" customHeight="1">
      <x:c r="A2047" s="10" t="n">
        <x:v>46191</x:v>
      </x:c>
      <x:c r="B2047" s="1" t="n">
        <x:v>3.5</x:v>
      </x:c>
      <x:c r="C2047" s="1" t="n">
        <x:v>6</x:v>
      </x:c>
      <x:c r="D2047" s="12" t="n">
        <x:v>0.22666666666666668</x:v>
      </x:c>
      <x:c r="E2047" s="12" t="n">
        <x:v>0.23666666666666666</x:v>
      </x:c>
      <x:c r="F2047" s="12" t="n">
        <x:v>0</x:v>
      </x:c>
      <x:c r="G2047" s="12" t="n">
        <x:v>0</x:v>
      </x:c>
      <x:c r="H2047" s="1" t="n">
        <x:f>'Historical prices'!E2047</x:f>
        <x:v>1.05</x:v>
      </x:c>
      <x:c r="I2047" s="6" t="n">
        <x:f>'Historical prices'!D2047</x:f>
        <x:v>0.1734</x:v>
      </x:c>
      <x:c r="J2047" s="13" t="n">
        <x:f>D2047*I2047*H2047</x:f>
        <x:v>0.041269200000000006</x:v>
      </x:c>
      <x:c r="K2047" s="13" t="n">
        <x:f>E2047*I2047*H2047</x:f>
        <x:v>0.0430899</x:v>
      </x:c>
      <x:c r="L2047" s="1" t="str">
        <x:f>TEXT(A2047,"mmm yyyy")</x:f>
        <x:v>Jun 2026</x:v>
      </x:c>
    </x:row>
    <x:row r="2048" ht="21" customHeight="1">
      <x:c r="A2048" s="10" t="n">
        <x:v>46191</x:v>
      </x:c>
      <x:c r="B2048" s="1" t="n">
        <x:v>4</x:v>
      </x:c>
      <x:c r="C2048" s="1" t="n">
        <x:v>6</x:v>
      </x:c>
      <x:c r="D2048" s="12" t="n">
        <x:v>0.21233333333333335</x:v>
      </x:c>
      <x:c r="E2048" s="12" t="n">
        <x:v>0.22333333333333333</x:v>
      </x:c>
      <x:c r="F2048" s="12" t="n">
        <x:v>0</x:v>
      </x:c>
      <x:c r="G2048" s="12" t="n">
        <x:v>0</x:v>
      </x:c>
      <x:c r="H2048" s="1" t="n">
        <x:f>'Historical prices'!E2048</x:f>
        <x:v>1.05</x:v>
      </x:c>
      <x:c r="I2048" s="6" t="n">
        <x:f>'Historical prices'!D2048</x:f>
        <x:v>0.1826</x:v>
      </x:c>
      <x:c r="J2048" s="13" t="n">
        <x:f>D2048*I2048*H2048</x:f>
        <x:v>0.04071067000000001</x:v>
      </x:c>
      <x:c r="K2048" s="13" t="n">
        <x:f>E2048*I2048*H2048</x:f>
        <x:v>0.0428197</x:v>
      </x:c>
      <x:c r="L2048" s="1" t="str">
        <x:f>TEXT(A2048,"mmm yyyy")</x:f>
        <x:v>Jun 2026</x:v>
      </x:c>
    </x:row>
    <x:row r="2049" ht="21" customHeight="1">
      <x:c r="A2049" s="10" t="n">
        <x:v>46191</x:v>
      </x:c>
      <x:c r="B2049" s="1" t="n">
        <x:v>4.5</x:v>
      </x:c>
      <x:c r="C2049" s="1" t="n">
        <x:v>6</x:v>
      </x:c>
      <x:c r="D2049" s="12" t="n">
        <x:v>0.25966666666666666</x:v>
      </x:c>
      <x:c r="E2049" s="12" t="n">
        <x:v>0.26966666666666667</x:v>
      </x:c>
      <x:c r="F2049" s="12" t="n">
        <x:v>0</x:v>
      </x:c>
      <x:c r="G2049" s="12" t="n">
        <x:v>0</x:v>
      </x:c>
      <x:c r="H2049" s="1" t="n">
        <x:f>'Historical prices'!E2049</x:f>
        <x:v>1.05</x:v>
      </x:c>
      <x:c r="I2049" s="6" t="n">
        <x:f>'Historical prices'!D2049</x:f>
        <x:v>0.1777</x:v>
      </x:c>
      <x:c r="J2049" s="13" t="n">
        <x:f>D2049*I2049*H2049</x:f>
        <x:v>0.048449904999999995</x:v>
      </x:c>
      <x:c r="K2049" s="13" t="n">
        <x:f>E2049*I2049*H2049</x:f>
        <x:v>0.050315755000000004</x:v>
      </x:c>
      <x:c r="L2049" s="1" t="str">
        <x:f>TEXT(A2049,"mmm yyyy")</x:f>
        <x:v>Jun 2026</x:v>
      </x:c>
    </x:row>
    <x:row r="2050" ht="21" customHeight="1">
      <x:c r="A2050" s="10" t="n">
        <x:v>46191</x:v>
      </x:c>
      <x:c r="B2050" s="1" t="n">
        <x:v>5</x:v>
      </x:c>
      <x:c r="C2050" s="1" t="n">
        <x:v>6</x:v>
      </x:c>
      <x:c r="D2050" s="12" t="n">
        <x:v>0.2915</x:v>
      </x:c>
      <x:c r="E2050" s="12" t="n">
        <x:v>0.30249999999999994</x:v>
      </x:c>
      <x:c r="F2050" s="12" t="n">
        <x:v>0</x:v>
      </x:c>
      <x:c r="G2050" s="12" t="n">
        <x:v>0</x:v>
      </x:c>
      <x:c r="H2050" s="1" t="n">
        <x:f>'Historical prices'!E2050</x:f>
        <x:v>1.05</x:v>
      </x:c>
      <x:c r="I2050" s="6" t="n">
        <x:f>'Historical prices'!D2050</x:f>
        <x:v>0.1955</x:v>
      </x:c>
      <x:c r="J2050" s="13" t="n">
        <x:f>D2050*I2050*H2050</x:f>
        <x:v>0.0598376625</x:v>
      </x:c>
      <x:c r="K2050" s="13" t="n">
        <x:f>E2050*I2050*H2050</x:f>
        <x:v>0.06209568749999999</x:v>
      </x:c>
      <x:c r="L2050" s="1" t="str">
        <x:f>TEXT(A2050,"mmm yyyy")</x:f>
        <x:v>Jun 2026</x:v>
      </x:c>
    </x:row>
    <x:row r="2051" ht="21" customHeight="1">
      <x:c r="A2051" s="10" t="n">
        <x:v>46191</x:v>
      </x:c>
      <x:c r="B2051" s="1" t="n">
        <x:v>5.5</x:v>
      </x:c>
      <x:c r="C2051" s="1" t="n">
        <x:v>6</x:v>
      </x:c>
      <x:c r="D2051" s="12" t="n">
        <x:v>0.17841666666666667</x:v>
      </x:c>
      <x:c r="E2051" s="12" t="n">
        <x:v>0.18941666666666665</x:v>
      </x:c>
      <x:c r="F2051" s="12" t="n">
        <x:v>0</x:v>
      </x:c>
      <x:c r="G2051" s="12" t="n">
        <x:v>0</x:v>
      </x:c>
      <x:c r="H2051" s="1" t="n">
        <x:f>'Historical prices'!E2051</x:f>
        <x:v>1.05</x:v>
      </x:c>
      <x:c r="I2051" s="6" t="n">
        <x:f>'Historical prices'!D2051</x:f>
        <x:v>0.2051</x:v>
      </x:c>
      <x:c r="J2051" s="13" t="n">
        <x:f>D2051*I2051*H2051</x:f>
        <x:v>0.038422921250000006</x:v>
      </x:c>
      <x:c r="K2051" s="13" t="n">
        <x:f>E2051*I2051*H2051</x:f>
        <x:v>0.04079182625</x:v>
      </x:c>
      <x:c r="L2051" s="1" t="str">
        <x:f>TEXT(A2051,"mmm yyyy")</x:f>
        <x:v>Jun 2026</x:v>
      </x:c>
    </x:row>
    <x:row r="2052" ht="21" customHeight="1">
      <x:c r="A2052" s="10" t="n">
        <x:v>46191</x:v>
      </x:c>
      <x:c r="B2052" s="1" t="n">
        <x:v>6</x:v>
      </x:c>
      <x:c r="C2052" s="1" t="n">
        <x:v>6</x:v>
      </x:c>
      <x:c r="D2052" s="12" t="n">
        <x:v>0.21800000000000003</x:v>
      </x:c>
      <x:c r="E2052" s="12" t="n">
        <x:v>0.22799999999999998</x:v>
      </x:c>
      <x:c r="F2052" s="12" t="n">
        <x:v>0</x:v>
      </x:c>
      <x:c r="G2052" s="12" t="n">
        <x:v>0</x:v>
      </x:c>
      <x:c r="H2052" s="1" t="n">
        <x:f>'Historical prices'!E2052</x:f>
        <x:v>1.05</x:v>
      </x:c>
      <x:c r="I2052" s="6" t="n">
        <x:f>'Historical prices'!D2052</x:f>
        <x:v>0.19399999999999998</x:v>
      </x:c>
      <x:c r="J2052" s="13" t="n">
        <x:f>D2052*I2052*H2052</x:f>
        <x:v>0.044406600000000004</x:v>
      </x:c>
      <x:c r="K2052" s="13" t="n">
        <x:f>E2052*I2052*H2052</x:f>
        <x:v>0.046443599999999995</x:v>
      </x:c>
      <x:c r="L2052" s="1" t="str">
        <x:f>TEXT(A2052,"mmm yyyy")</x:f>
        <x:v>Jun 2026</x:v>
      </x:c>
    </x:row>
    <x:row r="2053" ht="21" customHeight="1">
      <x:c r="A2053" s="10" t="n">
        <x:v>46191</x:v>
      </x:c>
      <x:c r="B2053" s="1" t="n">
        <x:v>6.5</x:v>
      </x:c>
      <x:c r="C2053" s="1" t="n">
        <x:v>6</x:v>
      </x:c>
      <x:c r="D2053" s="12" t="n">
        <x:v>0.28600000000000003</x:v>
      </x:c>
      <x:c r="E2053" s="12" t="n">
        <x:v>0.4760833333333333</x:v>
      </x:c>
      <x:c r="F2053" s="12" t="n">
        <x:v>0.24991666666666665</x:v>
      </x:c>
      <x:c r="G2053" s="12" t="n">
        <x:v>0.062</x:v>
      </x:c>
      <x:c r="H2053" s="1" t="n">
        <x:f>'Historical prices'!E2053</x:f>
        <x:v>1.05</x:v>
      </x:c>
      <x:c r="I2053" s="6" t="n">
        <x:f>'Historical prices'!D2053</x:f>
        <x:v>0.21530000000000002</x:v>
      </x:c>
      <x:c r="J2053" s="13" t="n">
        <x:f>D2053*I2053*H2053</x:f>
        <x:v>0.06465459000000001</x:v>
      </x:c>
      <x:c r="K2053" s="13" t="n">
        <x:f>E2053*I2053*H2053</x:f>
        <x:v>0.10762577875000001</x:v>
      </x:c>
      <x:c r="L2053" s="1" t="str">
        <x:f>TEXT(A2053,"mmm yyyy")</x:f>
        <x:v>Jun 2026</x:v>
      </x:c>
    </x:row>
    <x:row r="2054" ht="21" customHeight="1">
      <x:c r="A2054" s="10" t="n">
        <x:v>46191</x:v>
      </x:c>
      <x:c r="B2054" s="1" t="n">
        <x:v>7</x:v>
      </x:c>
      <x:c r="C2054" s="1" t="n">
        <x:v>6</x:v>
      </x:c>
      <x:c r="D2054" s="12" t="n">
        <x:v>0.7215</x:v>
      </x:c>
      <x:c r="E2054" s="12" t="n">
        <x:v>0.6325000000000001</x:v>
      </x:c>
      <x:c r="F2054" s="12" t="n">
        <x:v>0</x:v>
      </x:c>
      <x:c r="G2054" s="12" t="n">
        <x:v>0.087</x:v>
      </x:c>
      <x:c r="H2054" s="1" t="n">
        <x:f>'Historical prices'!E2054</x:f>
        <x:v>1.05</x:v>
      </x:c>
      <x:c r="I2054" s="6" t="n">
        <x:f>'Historical prices'!D2054</x:f>
        <x:v>0.18960000000000002</x:v>
      </x:c>
      <x:c r="J2054" s="13" t="n">
        <x:f>D2054*I2054*H2054</x:f>
        <x:v>0.14363622</x:v>
      </x:c>
      <x:c r="K2054" s="13" t="n">
        <x:f>E2054*I2054*H2054</x:f>
        <x:v>0.12591810000000003</x:v>
      </x:c>
      <x:c r="L2054" s="1" t="str">
        <x:f>TEXT(A2054,"mmm yyyy")</x:f>
        <x:v>Jun 2026</x:v>
      </x:c>
    </x:row>
    <x:row r="2055" ht="21" customHeight="1">
      <x:c r="A2055" s="10" t="n">
        <x:v>46191</x:v>
      </x:c>
      <x:c r="B2055" s="1" t="n">
        <x:v>7.5</x:v>
      </x:c>
      <x:c r="C2055" s="1" t="n">
        <x:v>6</x:v>
      </x:c>
      <x:c r="D2055" s="12" t="n">
        <x:v>0.6695</x:v>
      </x:c>
      <x:c r="E2055" s="12" t="n">
        <x:v>0.6705</x:v>
      </x:c>
      <x:c r="F2055" s="12" t="n">
        <x:v>0</x:v>
      </x:c>
      <x:c r="G2055" s="12" t="n">
        <x:v>0</x:v>
      </x:c>
      <x:c r="H2055" s="1" t="n">
        <x:f>'Historical prices'!E2055</x:f>
        <x:v>1.05</x:v>
      </x:c>
      <x:c r="I2055" s="6" t="n">
        <x:f>'Historical prices'!D2055</x:f>
        <x:v>0.20809999999999998</x:v>
      </x:c>
      <x:c r="J2055" s="13" t="n">
        <x:f>D2055*I2055*H2055</x:f>
        <x:v>0.14628909749999996</x:v>
      </x:c>
      <x:c r="K2055" s="13" t="n">
        <x:f>E2055*I2055*H2055</x:f>
        <x:v>0.1465076025</x:v>
      </x:c>
      <x:c r="L2055" s="1" t="str">
        <x:f>TEXT(A2055,"mmm yyyy")</x:f>
        <x:v>Jun 2026</x:v>
      </x:c>
    </x:row>
    <x:row r="2056" ht="21" customHeight="1">
      <x:c r="A2056" s="10" t="n">
        <x:v>46191</x:v>
      </x:c>
      <x:c r="B2056" s="1" t="n">
        <x:v>8</x:v>
      </x:c>
      <x:c r="C2056" s="1" t="n">
        <x:v>6</x:v>
      </x:c>
      <x:c r="D2056" s="12" t="n">
        <x:v>0.5503333333333333</x:v>
      </x:c>
      <x:c r="E2056" s="12" t="n">
        <x:v>0.5503333333333333</x:v>
      </x:c>
      <x:c r="F2056" s="12" t="n">
        <x:v>0</x:v>
      </x:c>
      <x:c r="G2056" s="12" t="n">
        <x:v>0</x:v>
      </x:c>
      <x:c r="H2056" s="1" t="n">
        <x:f>'Historical prices'!E2056</x:f>
        <x:v>1.05</x:v>
      </x:c>
      <x:c r="I2056" s="6" t="n">
        <x:f>'Historical prices'!D2056</x:f>
        <x:v>0.2026</x:v>
      </x:c>
      <x:c r="J2056" s="13" t="n">
        <x:f>D2056*I2056*H2056</x:f>
        <x:v>0.11707241000000002</x:v>
      </x:c>
      <x:c r="K2056" s="13" t="n">
        <x:f>E2056*I2056*H2056</x:f>
        <x:v>0.11707241000000002</x:v>
      </x:c>
      <x:c r="L2056" s="1" t="str">
        <x:f>TEXT(A2056,"mmm yyyy")</x:f>
        <x:v>Jun 2026</x:v>
      </x:c>
    </x:row>
    <x:row r="2057" ht="21" customHeight="1">
      <x:c r="A2057" s="10" t="n">
        <x:v>46191</x:v>
      </x:c>
      <x:c r="B2057" s="1" t="n">
        <x:v>8.5</x:v>
      </x:c>
      <x:c r="C2057" s="1" t="n">
        <x:v>6</x:v>
      </x:c>
      <x:c r="D2057" s="12" t="n">
        <x:v>0.5809166666666666</x:v>
      </x:c>
      <x:c r="E2057" s="12" t="n">
        <x:v>0.5819166666666666</x:v>
      </x:c>
      <x:c r="F2057" s="12" t="n">
        <x:v>0</x:v>
      </x:c>
      <x:c r="G2057" s="12" t="n">
        <x:v>0</x:v>
      </x:c>
      <x:c r="H2057" s="1" t="n">
        <x:f>'Historical prices'!E2057</x:f>
        <x:v>1.05</x:v>
      </x:c>
      <x:c r="I2057" s="6" t="n">
        <x:f>'Historical prices'!D2057</x:f>
        <x:v>0.18760000000000002</x:v>
      </x:c>
      <x:c r="J2057" s="13" t="n">
        <x:f>D2057*I2057*H2057</x:f>
        <x:v>0.11442896500000001</x:v>
      </x:c>
      <x:c r="K2057" s="13" t="n">
        <x:f>E2057*I2057*H2057</x:f>
        <x:v>0.114625945</x:v>
      </x:c>
      <x:c r="L2057" s="1" t="str">
        <x:f>TEXT(A2057,"mmm yyyy")</x:f>
        <x:v>Jun 2026</x:v>
      </x:c>
    </x:row>
    <x:row r="2058" ht="21" customHeight="1">
      <x:c r="A2058" s="10" t="n">
        <x:v>46191</x:v>
      </x:c>
      <x:c r="B2058" s="1" t="n">
        <x:v>9</x:v>
      </x:c>
      <x:c r="C2058" s="1" t="n">
        <x:v>6</x:v>
      </x:c>
      <x:c r="D2058" s="12" t="n">
        <x:v>0.5166666666666666</x:v>
      </x:c>
      <x:c r="E2058" s="12" t="n">
        <x:v>0.5196666666666667</x:v>
      </x:c>
      <x:c r="F2058" s="12" t="n">
        <x:v>0</x:v>
      </x:c>
      <x:c r="G2058" s="12" t="n">
        <x:v>0</x:v>
      </x:c>
      <x:c r="H2058" s="1" t="n">
        <x:f>'Historical prices'!E2058</x:f>
        <x:v>1.05</x:v>
      </x:c>
      <x:c r="I2058" s="6" t="n">
        <x:f>'Historical prices'!D2058</x:f>
        <x:v>0.1707</x:v>
      </x:c>
      <x:c r="J2058" s="13" t="n">
        <x:f>D2058*I2058*H2058</x:f>
        <x:v>0.09260474999999999</x:v>
      </x:c>
      <x:c r="K2058" s="13" t="n">
        <x:f>E2058*I2058*H2058</x:f>
        <x:v>0.09314245500000001</x:v>
      </x:c>
      <x:c r="L2058" s="1" t="str">
        <x:f>TEXT(A2058,"mmm yyyy")</x:f>
        <x:v>Jun 2026</x:v>
      </x:c>
    </x:row>
    <x:row r="2059" ht="21" customHeight="1">
      <x:c r="A2059" s="10" t="n">
        <x:v>46191</x:v>
      </x:c>
      <x:c r="B2059" s="1" t="n">
        <x:v>9.5</x:v>
      </x:c>
      <x:c r="C2059" s="1" t="n">
        <x:v>6</x:v>
      </x:c>
      <x:c r="D2059" s="12" t="n">
        <x:v>0.4578333333333333</x:v>
      </x:c>
      <x:c r="E2059" s="12" t="n">
        <x:v>0.4578333333333333</x:v>
      </x:c>
      <x:c r="F2059" s="12" t="n">
        <x:v>0</x:v>
      </x:c>
      <x:c r="G2059" s="12" t="n">
        <x:v>0</x:v>
      </x:c>
      <x:c r="H2059" s="1" t="n">
        <x:f>'Historical prices'!E2059</x:f>
        <x:v>1.05</x:v>
      </x:c>
      <x:c r="I2059" s="6" t="n">
        <x:f>'Historical prices'!D2059</x:f>
        <x:v>0.1807</x:v>
      </x:c>
      <x:c r="J2059" s="13" t="n">
        <x:f>D2059*I2059*H2059</x:f>
        <x:v>0.0868670075</x:v>
      </x:c>
      <x:c r="K2059" s="13" t="n">
        <x:f>E2059*I2059*H2059</x:f>
        <x:v>0.0868670075</x:v>
      </x:c>
      <x:c r="L2059" s="1" t="str">
        <x:f>TEXT(A2059,"mmm yyyy")</x:f>
        <x:v>Jun 2026</x:v>
      </x:c>
    </x:row>
    <x:row r="2060" ht="21" customHeight="1">
      <x:c r="A2060" s="10" t="n">
        <x:v>46191</x:v>
      </x:c>
      <x:c r="B2060" s="1" t="n">
        <x:v>10</x:v>
      </x:c>
      <x:c r="C2060" s="1" t="n">
        <x:v>6</x:v>
      </x:c>
      <x:c r="D2060" s="12" t="n">
        <x:v>0.5640833333333334</x:v>
      </x:c>
      <x:c r="E2060" s="12" t="n">
        <x:v>0.5640833333333334</x:v>
      </x:c>
      <x:c r="F2060" s="12" t="n">
        <x:v>0</x:v>
      </x:c>
      <x:c r="G2060" s="12" t="n">
        <x:v>0</x:v>
      </x:c>
      <x:c r="H2060" s="1" t="n">
        <x:f>'Historical prices'!E2060</x:f>
        <x:v>1.05</x:v>
      </x:c>
      <x:c r="I2060" s="6" t="n">
        <x:f>'Historical prices'!D2060</x:f>
        <x:v>0.1751</x:v>
      </x:c>
      <x:c r="J2060" s="13" t="n">
        <x:f>D2060*I2060*H2060</x:f>
        <x:v>0.10370954125000002</x:v>
      </x:c>
      <x:c r="K2060" s="13" t="n">
        <x:f>E2060*I2060*H2060</x:f>
        <x:v>0.10370954125000002</x:v>
      </x:c>
      <x:c r="L2060" s="1" t="str">
        <x:f>TEXT(A2060,"mmm yyyy")</x:f>
        <x:v>Jun 2026</x:v>
      </x:c>
    </x:row>
    <x:row r="2061" ht="21" customHeight="1">
      <x:c r="A2061" s="10" t="n">
        <x:v>46191</x:v>
      </x:c>
      <x:c r="B2061" s="1" t="n">
        <x:v>10.5</x:v>
      </x:c>
      <x:c r="C2061" s="1" t="n">
        <x:v>6</x:v>
      </x:c>
      <x:c r="D2061" s="12" t="n">
        <x:v>0.46675000000000005</x:v>
      </x:c>
      <x:c r="E2061" s="12" t="n">
        <x:v>0.46875000000000006</x:v>
      </x:c>
      <x:c r="F2061" s="12" t="n">
        <x:v>0</x:v>
      </x:c>
      <x:c r="G2061" s="12" t="n">
        <x:v>0</x:v>
      </x:c>
      <x:c r="H2061" s="1" t="n">
        <x:f>'Historical prices'!E2061</x:f>
        <x:v>1.05</x:v>
      </x:c>
      <x:c r="I2061" s="6" t="n">
        <x:f>'Historical prices'!D2061</x:f>
        <x:v>0.16670000000000001</x:v>
      </x:c>
      <x:c r="J2061" s="13" t="n">
        <x:f>D2061*I2061*H2061</x:f>
        <x:v>0.08169758625000002</x:v>
      </x:c>
      <x:c r="K2061" s="13" t="n">
        <x:f>E2061*I2061*H2061</x:f>
        <x:v>0.08204765625000002</x:v>
      </x:c>
      <x:c r="L2061" s="1" t="str">
        <x:f>TEXT(A2061,"mmm yyyy")</x:f>
        <x:v>Jun 2026</x:v>
      </x:c>
    </x:row>
    <x:row r="2062" ht="21" customHeight="1">
      <x:c r="A2062" s="10" t="n">
        <x:v>46191</x:v>
      </x:c>
      <x:c r="B2062" s="1" t="n">
        <x:v>11</x:v>
      </x:c>
      <x:c r="C2062" s="1" t="n">
        <x:v>6</x:v>
      </x:c>
      <x:c r="D2062" s="12" t="n">
        <x:v>0.49316666666666664</x:v>
      </x:c>
      <x:c r="E2062" s="12" t="n">
        <x:v>0.49316666666666664</x:v>
      </x:c>
      <x:c r="F2062" s="12" t="n">
        <x:v>0</x:v>
      </x:c>
      <x:c r="G2062" s="12" t="n">
        <x:v>0</x:v>
      </x:c>
      <x:c r="H2062" s="1" t="n">
        <x:f>'Historical prices'!E2062</x:f>
        <x:v>1.05</x:v>
      </x:c>
      <x:c r="I2062" s="6" t="n">
        <x:f>'Historical prices'!D2062</x:f>
        <x:v>0.15560000000000002</x:v>
      </x:c>
      <x:c r="J2062" s="13" t="n">
        <x:f>D2062*I2062*H2062</x:f>
        <x:v>0.08057357000000001</x:v>
      </x:c>
      <x:c r="K2062" s="13" t="n">
        <x:f>E2062*I2062*H2062</x:f>
        <x:v>0.08057357000000001</x:v>
      </x:c>
      <x:c r="L2062" s="1" t="str">
        <x:f>TEXT(A2062,"mmm yyyy")</x:f>
        <x:v>Jun 2026</x:v>
      </x:c>
    </x:row>
    <x:row r="2063" ht="21" customHeight="1">
      <x:c r="A2063" s="10" t="n">
        <x:v>46191</x:v>
      </x:c>
      <x:c r="B2063" s="1" t="n">
        <x:v>11.5</x:v>
      </x:c>
      <x:c r="C2063" s="1" t="n">
        <x:v>6</x:v>
      </x:c>
      <x:c r="D2063" s="12" t="n">
        <x:v>0.4770833333333333</x:v>
      </x:c>
      <x:c r="E2063" s="12" t="n">
        <x:v>0.4770833333333333</x:v>
      </x:c>
      <x:c r="F2063" s="12" t="n">
        <x:v>0</x:v>
      </x:c>
      <x:c r="G2063" s="12" t="n">
        <x:v>0</x:v>
      </x:c>
      <x:c r="H2063" s="1" t="n">
        <x:f>'Historical prices'!E2063</x:f>
        <x:v>1.05</x:v>
      </x:c>
      <x:c r="I2063" s="6" t="n">
        <x:f>'Historical prices'!D2063</x:f>
        <x:v>0.1543</x:v>
      </x:c>
      <x:c r="J2063" s="13" t="n">
        <x:f>D2063*I2063*H2063</x:f>
        <x:v>0.07729465625</x:v>
      </x:c>
      <x:c r="K2063" s="13" t="n">
        <x:f>E2063*I2063*H2063</x:f>
        <x:v>0.07729465625</x:v>
      </x:c>
      <x:c r="L2063" s="1" t="str">
        <x:f>TEXT(A2063,"mmm yyyy")</x:f>
        <x:v>Jun 2026</x:v>
      </x:c>
    </x:row>
    <x:row r="2064" ht="21" customHeight="1">
      <x:c r="A2064" s="10" t="n">
        <x:v>46191</x:v>
      </x:c>
      <x:c r="B2064" s="1" t="n">
        <x:v>12</x:v>
      </x:c>
      <x:c r="C2064" s="1" t="n">
        <x:v>6</x:v>
      </x:c>
      <x:c r="D2064" s="12" t="n">
        <x:v>0.4350833333333334</x:v>
      </x:c>
      <x:c r="E2064" s="12" t="n">
        <x:v>0.4360833333333334</x:v>
      </x:c>
      <x:c r="F2064" s="12" t="n">
        <x:v>0</x:v>
      </x:c>
      <x:c r="G2064" s="12" t="n">
        <x:v>0</x:v>
      </x:c>
      <x:c r="H2064" s="1" t="n">
        <x:f>'Historical prices'!E2064</x:f>
        <x:v>1.05</x:v>
      </x:c>
      <x:c r="I2064" s="6" t="n">
        <x:f>'Historical prices'!D2064</x:f>
        <x:v>0.13470000000000001</x:v>
      </x:c>
      <x:c r="J2064" s="13" t="n">
        <x:f>D2064*I2064*H2064</x:f>
        <x:v>0.061536011250000015</x:v>
      </x:c>
      <x:c r="K2064" s="13" t="n">
        <x:f>E2064*I2064*H2064</x:f>
        <x:v>0.06167744625000002</x:v>
      </x:c>
      <x:c r="L2064" s="1" t="str">
        <x:f>TEXT(A2064,"mmm yyyy")</x:f>
        <x:v>Jun 2026</x:v>
      </x:c>
    </x:row>
    <x:row r="2065" ht="21" customHeight="1">
      <x:c r="A2065" s="10" t="n">
        <x:v>46191</x:v>
      </x:c>
      <x:c r="B2065" s="1" t="n">
        <x:v>12.5</x:v>
      </x:c>
      <x:c r="C2065" s="1" t="n">
        <x:v>6</x:v>
      </x:c>
      <x:c r="D2065" s="12" t="n">
        <x:v>0.39908333333333323</x:v>
      </x:c>
      <x:c r="E2065" s="12" t="n">
        <x:v>0.39908333333333323</x:v>
      </x:c>
      <x:c r="F2065" s="12" t="n">
        <x:v>0</x:v>
      </x:c>
      <x:c r="G2065" s="12" t="n">
        <x:v>0</x:v>
      </x:c>
      <x:c r="H2065" s="1" t="n">
        <x:f>'Historical prices'!E2065</x:f>
        <x:v>1.05</x:v>
      </x:c>
      <x:c r="I2065" s="6" t="n">
        <x:f>'Historical prices'!D2065</x:f>
        <x:v>0.1346</x:v>
      </x:c>
      <x:c r="J2065" s="13" t="n">
        <x:f>D2065*I2065*H2065</x:f>
        <x:v>0.05640244749999999</x:v>
      </x:c>
      <x:c r="K2065" s="13" t="n">
        <x:f>E2065*I2065*H2065</x:f>
        <x:v>0.05640244749999999</x:v>
      </x:c>
      <x:c r="L2065" s="1" t="str">
        <x:f>TEXT(A2065,"mmm yyyy")</x:f>
        <x:v>Jun 2026</x:v>
      </x:c>
    </x:row>
    <x:row r="2066" ht="21" customHeight="1">
      <x:c r="A2066" s="10" t="n">
        <x:v>46191</x:v>
      </x:c>
      <x:c r="B2066" s="1" t="n">
        <x:v>13</x:v>
      </x:c>
      <x:c r="C2066" s="1" t="n">
        <x:v>6</x:v>
      </x:c>
      <x:c r="D2066" s="12" t="n">
        <x:v>0.43174999999999997</x:v>
      </x:c>
      <x:c r="E2066" s="12" t="n">
        <x:v>0.43375</x:v>
      </x:c>
      <x:c r="F2066" s="12" t="n">
        <x:v>0</x:v>
      </x:c>
      <x:c r="G2066" s="12" t="n">
        <x:v>0</x:v>
      </x:c>
      <x:c r="H2066" s="1" t="n">
        <x:f>'Historical prices'!E2066</x:f>
        <x:v>1.05</x:v>
      </x:c>
      <x:c r="I2066" s="6" t="n">
        <x:f>'Historical prices'!D2066</x:f>
        <x:v>0.1304</x:v>
      </x:c>
      <x:c r="J2066" s="13" t="n">
        <x:f>D2066*I2066*H2066</x:f>
        <x:v>0.05911520999999999</x:v>
      </x:c>
      <x:c r="K2066" s="13" t="n">
        <x:f>E2066*I2066*H2066</x:f>
        <x:v>0.059389050000000006</x:v>
      </x:c>
      <x:c r="L2066" s="1" t="str">
        <x:f>TEXT(A2066,"mmm yyyy")</x:f>
        <x:v>Jun 2026</x:v>
      </x:c>
    </x:row>
    <x:row r="2067" ht="21" customHeight="1">
      <x:c r="A2067" s="10" t="n">
        <x:v>46191</x:v>
      </x:c>
      <x:c r="B2067" s="1" t="n">
        <x:v>13.5</x:v>
      </x:c>
      <x:c r="C2067" s="1" t="n">
        <x:v>6</x:v>
      </x:c>
      <x:c r="D2067" s="12" t="n">
        <x:v>0.4055833333333334</x:v>
      </x:c>
      <x:c r="E2067" s="12" t="n">
        <x:v>0.4055833333333334</x:v>
      </x:c>
      <x:c r="F2067" s="12" t="n">
        <x:v>0</x:v>
      </x:c>
      <x:c r="G2067" s="12" t="n">
        <x:v>0</x:v>
      </x:c>
      <x:c r="H2067" s="1" t="n">
        <x:f>'Historical prices'!E2067</x:f>
        <x:v>1.05</x:v>
      </x:c>
      <x:c r="I2067" s="6" t="n">
        <x:f>'Historical prices'!D2067</x:f>
        <x:v>0.11779999999999999</x:v>
      </x:c>
      <x:c r="J2067" s="13" t="n">
        <x:f>D2067*I2067*H2067</x:f>
        <x:v>0.050166602500000004</x:v>
      </x:c>
      <x:c r="K2067" s="13" t="n">
        <x:f>E2067*I2067*H2067</x:f>
        <x:v>0.050166602500000004</x:v>
      </x:c>
      <x:c r="L2067" s="1" t="str">
        <x:f>TEXT(A2067,"mmm yyyy")</x:f>
        <x:v>Jun 2026</x:v>
      </x:c>
    </x:row>
    <x:row r="2068" ht="21" customHeight="1">
      <x:c r="A2068" s="10" t="n">
        <x:v>46191</x:v>
      </x:c>
      <x:c r="B2068" s="1" t="n">
        <x:v>14</x:v>
      </x:c>
      <x:c r="C2068" s="1" t="n">
        <x:v>6</x:v>
      </x:c>
      <x:c r="D2068" s="12" t="n">
        <x:v>4.06675</x:v>
      </x:c>
      <x:c r="E2068" s="12" t="n">
        <x:v>0.58875</x:v>
      </x:c>
      <x:c r="F2068" s="12" t="n">
        <x:v>0</x:v>
      </x:c>
      <x:c r="G2068" s="12" t="n">
        <x:v>3.4780000000000006</x:v>
      </x:c>
      <x:c r="H2068" s="1" t="n">
        <x:f>'Historical prices'!E2068</x:f>
        <x:v>1.05</x:v>
      </x:c>
      <x:c r="I2068" s="6" t="n">
        <x:f>'Historical prices'!D2068</x:f>
        <x:v>0.11599999999999999</x:v>
      </x:c>
      <x:c r="J2068" s="13" t="n">
        <x:f>D2068*I2068*H2068</x:f>
        <x:v>0.49533014999999997</x:v>
      </x:c>
      <x:c r="K2068" s="13" t="n">
        <x:f>E2068*I2068*H2068</x:f>
        <x:v>0.07170975</x:v>
      </x:c>
      <x:c r="L2068" s="1" t="str">
        <x:f>TEXT(A2068,"mmm yyyy")</x:f>
        <x:v>Jun 2026</x:v>
      </x:c>
    </x:row>
    <x:row r="2069" ht="21" customHeight="1">
      <x:c r="A2069" s="10" t="n">
        <x:v>46191</x:v>
      </x:c>
      <x:c r="B2069" s="1" t="n">
        <x:v>14.5</x:v>
      </x:c>
      <x:c r="C2069" s="1" t="n">
        <x:v>6</x:v>
      </x:c>
      <x:c r="D2069" s="12" t="n">
        <x:v>5.092833333333333</x:v>
      </x:c>
      <x:c r="E2069" s="12" t="n">
        <x:v>0.6458333333333333</x:v>
      </x:c>
      <x:c r="F2069" s="12" t="n">
        <x:v>0</x:v>
      </x:c>
      <x:c r="G2069" s="12" t="n">
        <x:v>4.447</x:v>
      </x:c>
      <x:c r="H2069" s="1" t="n">
        <x:f>'Historical prices'!E2069</x:f>
        <x:v>1.05</x:v>
      </x:c>
      <x:c r="I2069" s="6" t="n">
        <x:f>'Historical prices'!D2069</x:f>
        <x:v>0.11539999999999999</x:v>
      </x:c>
      <x:c r="J2069" s="13" t="n">
        <x:f>D2069*I2069*H2069</x:f>
        <x:v>0.617098615</x:v>
      </x:c>
      <x:c r="K2069" s="13" t="n">
        <x:f>E2069*I2069*H2069</x:f>
        <x:v>0.07825562499999998</x:v>
      </x:c>
      <x:c r="L2069" s="1" t="str">
        <x:f>TEXT(A2069,"mmm yyyy")</x:f>
        <x:v>Jun 2026</x:v>
      </x:c>
    </x:row>
    <x:row r="2070" ht="21" customHeight="1">
      <x:c r="A2070" s="10" t="n">
        <x:v>46191</x:v>
      </x:c>
      <x:c r="B2070" s="1" t="n">
        <x:v>15</x:v>
      </x:c>
      <x:c r="C2070" s="1" t="n">
        <x:v>6</x:v>
      </x:c>
      <x:c r="D2070" s="12" t="n">
        <x:v>1.3853333333333335</x:v>
      </x:c>
      <x:c r="E2070" s="12" t="n">
        <x:v>0.5483333333333333</x:v>
      </x:c>
      <x:c r="F2070" s="12" t="n">
        <x:v>0</x:v>
      </x:c>
      <x:c r="G2070" s="12" t="n">
        <x:v>0.8340000000000001</x:v>
      </x:c>
      <x:c r="H2070" s="1" t="n">
        <x:f>'Historical prices'!E2070</x:f>
        <x:v>1.05</x:v>
      </x:c>
      <x:c r="I2070" s="6" t="n">
        <x:f>'Historical prices'!D2070</x:f>
        <x:v>0.12789999999999999</x:v>
      </x:c>
      <x:c r="J2070" s="13" t="n">
        <x:f>D2070*I2070*H2070</x:f>
        <x:v>0.18604334</x:v>
      </x:c>
      <x:c r="K2070" s="13" t="n">
        <x:f>E2070*I2070*H2070</x:f>
        <x:v>0.073638425</x:v>
      </x:c>
      <x:c r="L2070" s="1" t="str">
        <x:f>TEXT(A2070,"mmm yyyy")</x:f>
        <x:v>Jun 2026</x:v>
      </x:c>
    </x:row>
    <x:row r="2071" ht="21" customHeight="1">
      <x:c r="A2071" s="10" t="n">
        <x:v>46191</x:v>
      </x:c>
      <x:c r="B2071" s="1" t="n">
        <x:v>15.5</x:v>
      </x:c>
      <x:c r="C2071" s="1" t="n">
        <x:v>6</x:v>
      </x:c>
      <x:c r="D2071" s="12" t="n">
        <x:v>0.55325</x:v>
      </x:c>
      <x:c r="E2071" s="12" t="n">
        <x:v>0.36525</x:v>
      </x:c>
      <x:c r="F2071" s="12" t="n">
        <x:v>0</x:v>
      </x:c>
      <x:c r="G2071" s="12" t="n">
        <x:v>0.188</x:v>
      </x:c>
      <x:c r="H2071" s="1" t="n">
        <x:f>'Historical prices'!E2071</x:f>
        <x:v>1.05</x:v>
      </x:c>
      <x:c r="I2071" s="6" t="n">
        <x:f>'Historical prices'!D2071</x:f>
        <x:v>0.1298</x:v>
      </x:c>
      <x:c r="J2071" s="13" t="n">
        <x:f>D2071*I2071*H2071</x:f>
        <x:v>0.0754024425</x:v>
      </x:c>
      <x:c r="K2071" s="13" t="n">
        <x:f>E2071*I2071*H2071</x:f>
        <x:v>0.049779922500000004</x:v>
      </x:c>
      <x:c r="L2071" s="1" t="str">
        <x:f>TEXT(A2071,"mmm yyyy")</x:f>
        <x:v>Jun 2026</x:v>
      </x:c>
    </x:row>
    <x:row r="2072" ht="21" customHeight="1">
      <x:c r="A2072" s="10" t="n">
        <x:v>46191</x:v>
      </x:c>
      <x:c r="B2072" s="1" t="n">
        <x:v>16</x:v>
      </x:c>
      <x:c r="C2072" s="1" t="n">
        <x:v>6</x:v>
      </x:c>
      <x:c r="D2072" s="12" t="n">
        <x:v>0.091</x:v>
      </x:c>
      <x:c r="E2072" s="12" t="n">
        <x:v>0.42941666666666667</x:v>
      </x:c>
      <x:c r="F2072" s="12" t="n">
        <x:v>0.3639166666666667</x:v>
      </x:c>
      <x:c r="G2072" s="12" t="n">
        <x:v>0.026</x:v>
      </x:c>
      <x:c r="H2072" s="1" t="n">
        <x:f>'Historical prices'!E2072</x:f>
        <x:v>1.05</x:v>
      </x:c>
      <x:c r="I2072" s="6" t="n">
        <x:f>'Historical prices'!D2072</x:f>
        <x:v>0.2867</x:v>
      </x:c>
      <x:c r="J2072" s="13" t="n">
        <x:f>D2072*I2072*H2072</x:f>
        <x:v>0.027394185</x:v>
      </x:c>
      <x:c r="K2072" s="13" t="n">
        <x:f>E2072*I2072*H2072</x:f>
        <x:v>0.12926944625</x:v>
      </x:c>
      <x:c r="L2072" s="1" t="str">
        <x:f>TEXT(A2072,"mmm yyyy")</x:f>
        <x:v>Jun 2026</x:v>
      </x:c>
    </x:row>
    <x:row r="2073" ht="21" customHeight="1">
      <x:c r="A2073" s="10" t="n">
        <x:v>46191</x:v>
      </x:c>
      <x:c r="B2073" s="1" t="n">
        <x:v>16.5</x:v>
      </x:c>
      <x:c r="C2073" s="1" t="n">
        <x:v>6</x:v>
      </x:c>
      <x:c r="D2073" s="12" t="n">
        <x:v>0</x:v>
      </x:c>
      <x:c r="E2073" s="12" t="n">
        <x:v>0.46575</x:v>
      </x:c>
      <x:c r="F2073" s="12" t="n">
        <x:v>0.4656666666666667</x:v>
      </x:c>
      <x:c r="G2073" s="12" t="n">
        <x:v>0</x:v>
      </x:c>
      <x:c r="H2073" s="1" t="n">
        <x:f>'Historical prices'!E2073</x:f>
        <x:v>1.05</x:v>
      </x:c>
      <x:c r="I2073" s="6" t="n">
        <x:f>'Historical prices'!D2073</x:f>
        <x:v>0.2735</x:v>
      </x:c>
      <x:c r="J2073" s="13" t="n">
        <x:f>D2073*I2073*H2073</x:f>
        <x:v>0</x:v>
      </x:c>
      <x:c r="K2073" s="13" t="n">
        <x:f>E2073*I2073*H2073</x:f>
        <x:v>0.13375175625</x:v>
      </x:c>
      <x:c r="L2073" s="1" t="str">
        <x:f>TEXT(A2073,"mmm yyyy")</x:f>
        <x:v>Jun 2026</x:v>
      </x:c>
    </x:row>
    <x:row r="2074" ht="21" customHeight="1">
      <x:c r="A2074" s="10" t="n">
        <x:v>46191</x:v>
      </x:c>
      <x:c r="B2074" s="1" t="n">
        <x:v>17</x:v>
      </x:c>
      <x:c r="C2074" s="1" t="n">
        <x:v>6</x:v>
      </x:c>
      <x:c r="D2074" s="12" t="n">
        <x:v>0</x:v>
      </x:c>
      <x:c r="E2074" s="12" t="n">
        <x:v>0.5898333333333333</x:v>
      </x:c>
      <x:c r="F2074" s="12" t="n">
        <x:v>0.5895</x:v>
      </x:c>
      <x:c r="G2074" s="12" t="n">
        <x:v>0</x:v>
      </x:c>
      <x:c r="H2074" s="1" t="n">
        <x:f>'Historical prices'!E2074</x:f>
        <x:v>1.05</x:v>
      </x:c>
      <x:c r="I2074" s="6" t="n">
        <x:f>'Historical prices'!D2074</x:f>
        <x:v>0.32789999999999997</x:v>
      </x:c>
      <x:c r="J2074" s="13" t="n">
        <x:f>D2074*I2074*H2074</x:f>
        <x:v>0</x:v>
      </x:c>
      <x:c r="K2074" s="13" t="n">
        <x:f>E2074*I2074*H2074</x:f>
        <x:v>0.20307666749999997</x:v>
      </x:c>
      <x:c r="L2074" s="1" t="str">
        <x:f>TEXT(A2074,"mmm yyyy")</x:f>
        <x:v>Jun 2026</x:v>
      </x:c>
    </x:row>
    <x:row r="2075" ht="21" customHeight="1">
      <x:c r="A2075" s="10" t="n">
        <x:v>46191</x:v>
      </x:c>
      <x:c r="B2075" s="1" t="n">
        <x:v>17.5</x:v>
      </x:c>
      <x:c r="C2075" s="1" t="n">
        <x:v>6</x:v>
      </x:c>
      <x:c r="D2075" s="12" t="n">
        <x:v>0</x:v>
      </x:c>
      <x:c r="E2075" s="12" t="n">
        <x:v>0.54375</x:v>
      </x:c>
      <x:c r="F2075" s="12" t="n">
        <x:v>0.54375</x:v>
      </x:c>
      <x:c r="G2075" s="12" t="n">
        <x:v>0</x:v>
      </x:c>
      <x:c r="H2075" s="1" t="n">
        <x:f>'Historical prices'!E2075</x:f>
        <x:v>1.05</x:v>
      </x:c>
      <x:c r="I2075" s="6" t="n">
        <x:f>'Historical prices'!D2075</x:f>
        <x:v>0.3346</x:v>
      </x:c>
      <x:c r="J2075" s="13" t="n">
        <x:f>D2075*I2075*H2075</x:f>
        <x:v>0</x:v>
      </x:c>
      <x:c r="K2075" s="13" t="n">
        <x:f>E2075*I2075*H2075</x:f>
        <x:v>0.1910356875</x:v>
      </x:c>
      <x:c r="L2075" s="1" t="str">
        <x:f>TEXT(A2075,"mmm yyyy")</x:f>
        <x:v>Jun 2026</x:v>
      </x:c>
    </x:row>
    <x:row r="2076" ht="21" customHeight="1">
      <x:c r="A2076" s="10" t="n">
        <x:v>46191</x:v>
      </x:c>
      <x:c r="B2076" s="1" t="n">
        <x:v>18</x:v>
      </x:c>
      <x:c r="C2076" s="1" t="n">
        <x:v>6</x:v>
      </x:c>
      <x:c r="D2076" s="12" t="n">
        <x:v>0</x:v>
      </x:c>
      <x:c r="E2076" s="12" t="n">
        <x:v>0.5029166666666667</x:v>
      </x:c>
      <x:c r="F2076" s="12" t="n">
        <x:v>0.5029166666666667</x:v>
      </x:c>
      <x:c r="G2076" s="12" t="n">
        <x:v>0</x:v>
      </x:c>
      <x:c r="H2076" s="1" t="n">
        <x:f>'Historical prices'!E2076</x:f>
        <x:v>1.05</x:v>
      </x:c>
      <x:c r="I2076" s="6" t="n">
        <x:f>'Historical prices'!D2076</x:f>
        <x:v>0.368</x:v>
      </x:c>
      <x:c r="J2076" s="13" t="n">
        <x:f>D2076*I2076*H2076</x:f>
        <x:v>0</x:v>
      </x:c>
      <x:c r="K2076" s="13" t="n">
        <x:f>E2076*I2076*H2076</x:f>
        <x:v>0.19432700000000003</x:v>
      </x:c>
      <x:c r="L2076" s="1" t="str">
        <x:f>TEXT(A2076,"mmm yyyy")</x:f>
        <x:v>Jun 2026</x:v>
      </x:c>
    </x:row>
    <x:row r="2077" ht="21" customHeight="1">
      <x:c r="A2077" s="10" t="n">
        <x:v>46191</x:v>
      </x:c>
      <x:c r="B2077" s="1" t="n">
        <x:v>18.5</x:v>
      </x:c>
      <x:c r="C2077" s="1" t="n">
        <x:v>6</x:v>
      </x:c>
      <x:c r="D2077" s="12" t="n">
        <x:v>0</x:v>
      </x:c>
      <x:c r="E2077" s="12" t="n">
        <x:v>0.5656666666666667</x:v>
      </x:c>
      <x:c r="F2077" s="12" t="n">
        <x:v>0.5655833333333333</x:v>
      </x:c>
      <x:c r="G2077" s="12" t="n">
        <x:v>0</x:v>
      </x:c>
      <x:c r="H2077" s="1" t="n">
        <x:f>'Historical prices'!E2077</x:f>
        <x:v>1.05</x:v>
      </x:c>
      <x:c r="I2077" s="6" t="n">
        <x:f>'Historical prices'!D2077</x:f>
        <x:v>0.39590000000000003</x:v>
      </x:c>
      <x:c r="J2077" s="13" t="n">
        <x:f>D2077*I2077*H2077</x:f>
        <x:v>0</x:v>
      </x:c>
      <x:c r="K2077" s="13" t="n">
        <x:f>E2077*I2077*H2077</x:f>
        <x:v>0.235144805</x:v>
      </x:c>
      <x:c r="L2077" s="1" t="str">
        <x:f>TEXT(A2077,"mmm yyyy")</x:f>
        <x:v>Jun 2026</x:v>
      </x:c>
    </x:row>
    <x:row r="2078" ht="21" customHeight="1">
      <x:c r="A2078" s="10" t="n">
        <x:v>46191</x:v>
      </x:c>
      <x:c r="B2078" s="1" t="n">
        <x:v>19</x:v>
      </x:c>
      <x:c r="C2078" s="1" t="n">
        <x:v>6</x:v>
      </x:c>
      <x:c r="D2078" s="12" t="n">
        <x:v>0</x:v>
      </x:c>
      <x:c r="E2078" s="12" t="n">
        <x:v>0.42908333333333337</x:v>
      </x:c>
      <x:c r="F2078" s="12" t="n">
        <x:v>0.42875</x:v>
      </x:c>
      <x:c r="G2078" s="12" t="n">
        <x:v>0</x:v>
      </x:c>
      <x:c r="H2078" s="1" t="n">
        <x:f>'Historical prices'!E2078</x:f>
        <x:v>1.05</x:v>
      </x:c>
      <x:c r="I2078" s="6" t="n">
        <x:f>'Historical prices'!D2078</x:f>
        <x:v>0.3005</x:v>
      </x:c>
      <x:c r="J2078" s="13" t="n">
        <x:f>D2078*I2078*H2078</x:f>
        <x:v>0</x:v>
      </x:c>
      <x:c r="K2078" s="13" t="n">
        <x:f>E2078*I2078*H2078</x:f>
        <x:v>0.13538651875000002</x:v>
      </x:c>
      <x:c r="L2078" s="1" t="str">
        <x:f>TEXT(A2078,"mmm yyyy")</x:f>
        <x:v>Jun 2026</x:v>
      </x:c>
    </x:row>
    <x:row r="2079" ht="21" customHeight="1">
      <x:c r="A2079" s="10" t="n">
        <x:v>46191</x:v>
      </x:c>
      <x:c r="B2079" s="1" t="n">
        <x:v>19.5</x:v>
      </x:c>
      <x:c r="C2079" s="1" t="n">
        <x:v>6</x:v>
      </x:c>
      <x:c r="D2079" s="12" t="n">
        <x:v>0</x:v>
      </x:c>
      <x:c r="E2079" s="12" t="n">
        <x:v>0.3746666666666667</x:v>
      </x:c>
      <x:c r="F2079" s="12" t="n">
        <x:v>0.37450000000000006</x:v>
      </x:c>
      <x:c r="G2079" s="12" t="n">
        <x:v>0</x:v>
      </x:c>
      <x:c r="H2079" s="1" t="n">
        <x:f>'Historical prices'!E2079</x:f>
        <x:v>1.05</x:v>
      </x:c>
      <x:c r="I2079" s="6" t="n">
        <x:f>'Historical prices'!D2079</x:f>
        <x:v>0.2988</x:v>
      </x:c>
      <x:c r="J2079" s="13" t="n">
        <x:f>D2079*I2079*H2079</x:f>
        <x:v>0</x:v>
      </x:c>
      <x:c r="K2079" s="13" t="n">
        <x:f>E2079*I2079*H2079</x:f>
        <x:v>0.11754792000000003</x:v>
      </x:c>
      <x:c r="L2079" s="1" t="str">
        <x:f>TEXT(A2079,"mmm yyyy")</x:f>
        <x:v>Jun 2026</x:v>
      </x:c>
    </x:row>
    <x:row r="2080" ht="21" customHeight="1">
      <x:c r="A2080" s="10" t="n">
        <x:v>46191</x:v>
      </x:c>
      <x:c r="B2080" s="1" t="n">
        <x:v>20</x:v>
      </x:c>
      <x:c r="C2080" s="1" t="n">
        <x:v>6</x:v>
      </x:c>
      <x:c r="D2080" s="12" t="n">
        <x:v>0</x:v>
      </x:c>
      <x:c r="E2080" s="12" t="n">
        <x:v>0.42208333333333337</x:v>
      </x:c>
      <x:c r="F2080" s="12" t="n">
        <x:v>0.4218333333333334</x:v>
      </x:c>
      <x:c r="G2080" s="12" t="n">
        <x:v>0</x:v>
      </x:c>
      <x:c r="H2080" s="1" t="n">
        <x:f>'Historical prices'!E2080</x:f>
        <x:v>1.05</x:v>
      </x:c>
      <x:c r="I2080" s="6" t="n">
        <x:f>'Historical prices'!D2080</x:f>
        <x:v>0.2952</x:v>
      </x:c>
      <x:c r="J2080" s="13" t="n">
        <x:f>D2080*I2080*H2080</x:f>
        <x:v>0</x:v>
      </x:c>
      <x:c r="K2080" s="13" t="n">
        <x:f>E2080*I2080*H2080</x:f>
        <x:v>0.13082895000000003</x:v>
      </x:c>
      <x:c r="L2080" s="1" t="str">
        <x:f>TEXT(A2080,"mmm yyyy")</x:f>
        <x:v>Jun 2026</x:v>
      </x:c>
    </x:row>
    <x:row r="2081" ht="21" customHeight="1">
      <x:c r="A2081" s="10" t="n">
        <x:v>46191</x:v>
      </x:c>
      <x:c r="B2081" s="1" t="n">
        <x:v>20.5</x:v>
      </x:c>
      <x:c r="C2081" s="1" t="n">
        <x:v>6</x:v>
      </x:c>
      <x:c r="D2081" s="12" t="n">
        <x:v>0</x:v>
      </x:c>
      <x:c r="E2081" s="12" t="n">
        <x:v>0.46175</x:v>
      </x:c>
      <x:c r="F2081" s="12" t="n">
        <x:v>0.46166666666666667</x:v>
      </x:c>
      <x:c r="G2081" s="12" t="n">
        <x:v>0</x:v>
      </x:c>
      <x:c r="H2081" s="1" t="n">
        <x:f>'Historical prices'!E2081</x:f>
        <x:v>1.05</x:v>
      </x:c>
      <x:c r="I2081" s="6" t="n">
        <x:f>'Historical prices'!D2081</x:f>
        <x:v>0.289</x:v>
      </x:c>
      <x:c r="J2081" s="13" t="n">
        <x:f>D2081*I2081*H2081</x:f>
        <x:v>0</x:v>
      </x:c>
      <x:c r="K2081" s="13" t="n">
        <x:f>E2081*I2081*H2081</x:f>
        <x:v>0.14011803750000001</x:v>
      </x:c>
      <x:c r="L2081" s="1" t="str">
        <x:f>TEXT(A2081,"mmm yyyy")</x:f>
        <x:v>Jun 2026</x:v>
      </x:c>
    </x:row>
    <x:row r="2082" ht="21" customHeight="1">
      <x:c r="A2082" s="10" t="n">
        <x:v>46191</x:v>
      </x:c>
      <x:c r="B2082" s="1" t="n">
        <x:v>21</x:v>
      </x:c>
      <x:c r="C2082" s="1" t="n">
        <x:v>6</x:v>
      </x:c>
      <x:c r="D2082" s="12" t="n">
        <x:v>0</x:v>
      </x:c>
      <x:c r="E2082" s="12" t="n">
        <x:v>0.44783333333333336</x:v>
      </x:c>
      <x:c r="F2082" s="12" t="n">
        <x:v>0.44766666666666666</x:v>
      </x:c>
      <x:c r="G2082" s="12" t="n">
        <x:v>0</x:v>
      </x:c>
      <x:c r="H2082" s="1" t="n">
        <x:f>'Historical prices'!E2082</x:f>
        <x:v>1.05</x:v>
      </x:c>
      <x:c r="I2082" s="6" t="n">
        <x:f>'Historical prices'!D2082</x:f>
        <x:v>0.276</x:v>
      </x:c>
      <x:c r="J2082" s="13" t="n">
        <x:f>D2082*I2082*H2082</x:f>
        <x:v>0</x:v>
      </x:c>
      <x:c r="K2082" s="13" t="n">
        <x:f>E2082*I2082*H2082</x:f>
        <x:v>0.1297821</x:v>
      </x:c>
      <x:c r="L2082" s="1" t="str">
        <x:f>TEXT(A2082,"mmm yyyy")</x:f>
        <x:v>Jun 2026</x:v>
      </x:c>
    </x:row>
    <x:row r="2083" ht="21" customHeight="1">
      <x:c r="A2083" s="10" t="n">
        <x:v>46191</x:v>
      </x:c>
      <x:c r="B2083" s="1" t="n">
        <x:v>21.5</x:v>
      </x:c>
      <x:c r="C2083" s="1" t="n">
        <x:v>6</x:v>
      </x:c>
      <x:c r="D2083" s="12" t="n">
        <x:v>0</x:v>
      </x:c>
      <x:c r="E2083" s="12" t="n">
        <x:v>0.42783333333333334</x:v>
      </x:c>
      <x:c r="F2083" s="12" t="n">
        <x:v>0.42775</x:v>
      </x:c>
      <x:c r="G2083" s="12" t="n">
        <x:v>0</x:v>
      </x:c>
      <x:c r="H2083" s="1" t="n">
        <x:f>'Historical prices'!E2083</x:f>
        <x:v>1.05</x:v>
      </x:c>
      <x:c r="I2083" s="6" t="n">
        <x:f>'Historical prices'!D2083</x:f>
        <x:v>0.2713</x:v>
      </x:c>
      <x:c r="J2083" s="13" t="n">
        <x:f>D2083*I2083*H2083</x:f>
        <x:v>0</x:v>
      </x:c>
      <x:c r="K2083" s="13" t="n">
        <x:f>E2083*I2083*H2083</x:f>
        <x:v>0.1218747425</x:v>
      </x:c>
      <x:c r="L2083" s="1" t="str">
        <x:f>TEXT(A2083,"mmm yyyy")</x:f>
        <x:v>Jun 2026</x:v>
      </x:c>
    </x:row>
    <x:row r="2084" ht="21" customHeight="1">
      <x:c r="A2084" s="10" t="n">
        <x:v>46191</x:v>
      </x:c>
      <x:c r="B2084" s="1" t="n">
        <x:v>22</x:v>
      </x:c>
      <x:c r="C2084" s="1" t="n">
        <x:v>6</x:v>
      </x:c>
      <x:c r="D2084" s="12" t="n">
        <x:v>0</x:v>
      </x:c>
      <x:c r="E2084" s="12" t="n">
        <x:v>0.4109166666666667</x:v>
      </x:c>
      <x:c r="F2084" s="12" t="n">
        <x:v>0.4108333333333334</x:v>
      </x:c>
      <x:c r="G2084" s="12" t="n">
        <x:v>0</x:v>
      </x:c>
      <x:c r="H2084" s="1" t="n">
        <x:f>'Historical prices'!E2084</x:f>
        <x:v>1.05</x:v>
      </x:c>
      <x:c r="I2084" s="6" t="n">
        <x:f>'Historical prices'!D2084</x:f>
        <x:v>0.2438</x:v>
      </x:c>
      <x:c r="J2084" s="13" t="n">
        <x:f>D2084*I2084*H2084</x:f>
        <x:v>0</x:v>
      </x:c>
      <x:c r="K2084" s="13" t="n">
        <x:f>E2084*I2084*H2084</x:f>
        <x:v>0.1051905575</x:v>
      </x:c>
      <x:c r="L2084" s="1" t="str">
        <x:f>TEXT(A2084,"mmm yyyy")</x:f>
        <x:v>Jun 2026</x:v>
      </x:c>
    </x:row>
    <x:row r="2085" ht="21" customHeight="1">
      <x:c r="A2085" s="10" t="n">
        <x:v>46191</x:v>
      </x:c>
      <x:c r="B2085" s="1" t="n">
        <x:v>22.5</x:v>
      </x:c>
      <x:c r="C2085" s="1" t="n">
        <x:v>6</x:v>
      </x:c>
      <x:c r="D2085" s="12" t="n">
        <x:v>0</x:v>
      </x:c>
      <x:c r="E2085" s="12" t="n">
        <x:v>0.5458333333333334</x:v>
      </x:c>
      <x:c r="F2085" s="12" t="n">
        <x:v>0.5455</x:v>
      </x:c>
      <x:c r="G2085" s="12" t="n">
        <x:v>0</x:v>
      </x:c>
      <x:c r="H2085" s="1" t="n">
        <x:f>'Historical prices'!E2085</x:f>
        <x:v>1.05</x:v>
      </x:c>
      <x:c r="I2085" s="6" t="n">
        <x:f>'Historical prices'!D2085</x:f>
        <x:v>0.2564</x:v>
      </x:c>
      <x:c r="J2085" s="13" t="n">
        <x:f>D2085*I2085*H2085</x:f>
        <x:v>0</x:v>
      </x:c>
      <x:c r="K2085" s="13" t="n">
        <x:f>E2085*I2085*H2085</x:f>
        <x:v>0.14694925000000003</x:v>
      </x:c>
      <x:c r="L2085" s="1" t="str">
        <x:f>TEXT(A2085,"mmm yyyy")</x:f>
        <x:v>Jun 2026</x:v>
      </x:c>
    </x:row>
    <x:row r="2086" ht="21" customHeight="1">
      <x:c r="A2086" s="10" t="n">
        <x:v>46191</x:v>
      </x:c>
      <x:c r="B2086" s="1" t="n">
        <x:v>23</x:v>
      </x:c>
      <x:c r="C2086" s="1" t="n">
        <x:v>6</x:v>
      </x:c>
      <x:c r="D2086" s="12" t="n">
        <x:v>0</x:v>
      </x:c>
      <x:c r="E2086" s="12" t="n">
        <x:v>0.6285833333333333</x:v>
      </x:c>
      <x:c r="F2086" s="12" t="n">
        <x:v>0.6284166666666666</x:v>
      </x:c>
      <x:c r="G2086" s="12" t="n">
        <x:v>0</x:v>
      </x:c>
      <x:c r="H2086" s="1" t="n">
        <x:f>'Historical prices'!E2086</x:f>
        <x:v>1.05</x:v>
      </x:c>
      <x:c r="I2086" s="6" t="n">
        <x:f>'Historical prices'!D2086</x:f>
        <x:v>0.20809999999999998</x:v>
      </x:c>
      <x:c r="J2086" s="13" t="n">
        <x:f>D2086*I2086*H2086</x:f>
        <x:v>0</x:v>
      </x:c>
      <x:c r="K2086" s="13" t="n">
        <x:f>E2086*I2086*H2086</x:f>
        <x:v>0.13734860124999998</x:v>
      </x:c>
      <x:c r="L2086" s="1" t="str">
        <x:f>TEXT(A2086,"mmm yyyy")</x:f>
        <x:v>Jun 2026</x:v>
      </x:c>
    </x:row>
    <x:row r="2087" ht="21" customHeight="1">
      <x:c r="A2087" s="10" t="n">
        <x:v>46191</x:v>
      </x:c>
      <x:c r="B2087" s="1" t="n">
        <x:v>23.5</x:v>
      </x:c>
      <x:c r="C2087" s="1" t="n">
        <x:v>6</x:v>
      </x:c>
      <x:c r="D2087" s="12" t="n">
        <x:v>0</x:v>
      </x:c>
      <x:c r="E2087" s="12" t="n">
        <x:v>0.3506666666666666</x:v>
      </x:c>
      <x:c r="F2087" s="12" t="n">
        <x:v>0.3505833333333333</x:v>
      </x:c>
      <x:c r="G2087" s="12" t="n">
        <x:v>0</x:v>
      </x:c>
      <x:c r="H2087" s="1" t="n">
        <x:f>'Historical prices'!E2087</x:f>
        <x:v>1.05</x:v>
      </x:c>
      <x:c r="I2087" s="6" t="n">
        <x:f>'Historical prices'!D2087</x:f>
        <x:v>0.19760000000000003</x:v>
      </x:c>
      <x:c r="J2087" s="13" t="n">
        <x:f>D2087*I2087*H2087</x:f>
        <x:v>0</x:v>
      </x:c>
      <x:c r="K2087" s="13" t="n">
        <x:f>E2087*I2087*H2087</x:f>
        <x:v>0.07275632000000001</x:v>
      </x:c>
      <x:c r="L2087" s="1" t="str">
        <x:f>TEXT(A2087,"mmm yyyy")</x:f>
        <x:v>Jun 2026</x:v>
      </x:c>
    </x:row>
    <x:row r="2088" ht="21" customHeight="1">
      <x:c r="A2088" s="10" t="n">
        <x:v>46192</x:v>
      </x:c>
      <x:c r="B2088" s="1" t="n">
        <x:v>0</x:v>
      </x:c>
      <x:c r="C2088" s="1" t="n">
        <x:v>6</x:v>
      </x:c>
      <x:c r="D2088" s="12" t="n">
        <x:v>0.21458333333333335</x:v>
      </x:c>
      <x:c r="E2088" s="12" t="n">
        <x:v>0.2825833333333333</x:v>
      </x:c>
      <x:c r="F2088" s="12" t="n">
        <x:v>0.054</x:v>
      </x:c>
      <x:c r="G2088" s="12" t="n">
        <x:v>0</x:v>
      </x:c>
      <x:c r="H2088" s="1" t="n">
        <x:f>'Historical prices'!E2088</x:f>
        <x:v>1.05</x:v>
      </x:c>
      <x:c r="I2088" s="6" t="n">
        <x:f>'Historical prices'!D2088</x:f>
        <x:v>0.18420000000000003</x:v>
      </x:c>
      <x:c r="J2088" s="13" t="n">
        <x:f>D2088*I2088*H2088</x:f>
        <x:v>0.041502562500000006</x:v>
      </x:c>
      <x:c r="K2088" s="13" t="n">
        <x:f>E2088*I2088*H2088</x:f>
        <x:v>0.054654442500000004</x:v>
      </x:c>
      <x:c r="L2088" s="1" t="str">
        <x:f>TEXT(A2088,"mmm yyyy")</x:f>
        <x:v>Jun 2026</x:v>
      </x:c>
    </x:row>
    <x:row r="2089" ht="21" customHeight="1">
      <x:c r="A2089" s="10" t="n">
        <x:v>46192</x:v>
      </x:c>
      <x:c r="B2089" s="1" t="n">
        <x:v>0.5</x:v>
      </x:c>
      <x:c r="C2089" s="1" t="n">
        <x:v>6</x:v>
      </x:c>
      <x:c r="D2089" s="12" t="n">
        <x:v>0.05816666666666667</x:v>
      </x:c>
      <x:c r="E2089" s="12" t="n">
        <x:v>0.2323333333333333</x:v>
      </x:c>
      <x:c r="F2089" s="12" t="n">
        <x:v>0.1728333333333333</x:v>
      </x:c>
      <x:c r="G2089" s="12" t="n">
        <x:v>0</x:v>
      </x:c>
      <x:c r="H2089" s="1" t="n">
        <x:f>'Historical prices'!E2089</x:f>
        <x:v>1.05</x:v>
      </x:c>
      <x:c r="I2089" s="6" t="n">
        <x:f>'Historical prices'!D2089</x:f>
        <x:v>0.1852</x:v>
      </x:c>
      <x:c r="J2089" s="13" t="n">
        <x:f>D2089*I2089*H2089</x:f>
        <x:v>0.011311090000000001</x:v>
      </x:c>
      <x:c r="K2089" s="13" t="n">
        <x:f>E2089*I2089*H2089</x:f>
        <x:v>0.04517954</x:v>
      </x:c>
      <x:c r="L2089" s="1" t="str">
        <x:f>TEXT(A2089,"mmm yyyy")</x:f>
        <x:v>Jun 2026</x:v>
      </x:c>
    </x:row>
    <x:row r="2090" ht="21" customHeight="1">
      <x:c r="A2090" s="10" t="n">
        <x:v>46192</x:v>
      </x:c>
      <x:c r="B2090" s="1" t="n">
        <x:v>1</x:v>
      </x:c>
      <x:c r="C2090" s="1" t="n">
        <x:v>6</x:v>
      </x:c>
      <x:c r="D2090" s="12" t="n">
        <x:v>0.5206666666666667</x:v>
      </x:c>
      <x:c r="E2090" s="12" t="n">
        <x:v>0.5556666666666666</x:v>
      </x:c>
      <x:c r="F2090" s="12" t="n">
        <x:v>0.026</x:v>
      </x:c>
      <x:c r="G2090" s="12" t="n">
        <x:v>0</x:v>
      </x:c>
      <x:c r="H2090" s="1" t="n">
        <x:f>'Historical prices'!E2090</x:f>
        <x:v>1.05</x:v>
      </x:c>
      <x:c r="I2090" s="6" t="n">
        <x:f>'Historical prices'!D2090</x:f>
        <x:v>0.17679999999999998</x:v>
      </x:c>
      <x:c r="J2090" s="13" t="n">
        <x:f>D2090*I2090*H2090</x:f>
        <x:v>0.09665656</x:v>
      </x:c>
      <x:c r="K2090" s="13" t="n">
        <x:f>E2090*I2090*H2090</x:f>
        <x:v>0.10315395999999999</x:v>
      </x:c>
      <x:c r="L2090" s="1" t="str">
        <x:f>TEXT(A2090,"mmm yyyy")</x:f>
        <x:v>Jun 2026</x:v>
      </x:c>
    </x:row>
    <x:row r="2091" ht="21" customHeight="1">
      <x:c r="A2091" s="10" t="n">
        <x:v>46192</x:v>
      </x:c>
      <x:c r="B2091" s="1" t="n">
        <x:v>1.5</x:v>
      </x:c>
      <x:c r="C2091" s="1" t="n">
        <x:v>6</x:v>
      </x:c>
      <x:c r="D2091" s="12" t="n">
        <x:v>0.2536666666666667</x:v>
      </x:c>
      <x:c r="E2091" s="12" t="n">
        <x:v>0.2646666666666666</x:v>
      </x:c>
      <x:c r="F2091" s="12" t="n">
        <x:v>0</x:v>
      </x:c>
      <x:c r="G2091" s="12" t="n">
        <x:v>0</x:v>
      </x:c>
      <x:c r="H2091" s="1" t="n">
        <x:f>'Historical prices'!E2091</x:f>
        <x:v>1.05</x:v>
      </x:c>
      <x:c r="I2091" s="6" t="n">
        <x:f>'Historical prices'!D2091</x:f>
        <x:v>0.1812</x:v>
      </x:c>
      <x:c r="J2091" s="13" t="n">
        <x:f>D2091*I2091*H2091</x:f>
        <x:v>0.04826262000000001</x:v>
      </x:c>
      <x:c r="K2091" s="13" t="n">
        <x:f>E2091*I2091*H2091</x:f>
        <x:v>0.050355479999999994</x:v>
      </x:c>
      <x:c r="L2091" s="1" t="str">
        <x:f>TEXT(A2091,"mmm yyyy")</x:f>
        <x:v>Jun 2026</x:v>
      </x:c>
    </x:row>
    <x:row r="2092" ht="21" customHeight="1">
      <x:c r="A2092" s="10" t="n">
        <x:v>46192</x:v>
      </x:c>
      <x:c r="B2092" s="1" t="n">
        <x:v>2</x:v>
      </x:c>
      <x:c r="C2092" s="1" t="n">
        <x:v>6</x:v>
      </x:c>
      <x:c r="D2092" s="12" t="n">
        <x:v>0.15033333333333335</x:v>
      </x:c>
      <x:c r="E2092" s="12" t="n">
        <x:v>0.16133333333333336</x:v>
      </x:c>
      <x:c r="F2092" s="12" t="n">
        <x:v>0</x:v>
      </x:c>
      <x:c r="G2092" s="12" t="n">
        <x:v>0</x:v>
      </x:c>
      <x:c r="H2092" s="1" t="n">
        <x:f>'Historical prices'!E2092</x:f>
        <x:v>1.05</x:v>
      </x:c>
      <x:c r="I2092" s="6" t="n">
        <x:f>'Historical prices'!D2092</x:f>
        <x:v>0.1753</x:v>
      </x:c>
      <x:c r="J2092" s="13" t="n">
        <x:f>D2092*I2092*H2092</x:f>
        <x:v>0.027671105000000005</x:v>
      </x:c>
      <x:c r="K2092" s="13" t="n">
        <x:f>E2092*I2092*H2092</x:f>
        <x:v>0.029695820000000008</x:v>
      </x:c>
      <x:c r="L2092" s="1" t="str">
        <x:f>TEXT(A2092,"mmm yyyy")</x:f>
        <x:v>Jun 2026</x:v>
      </x:c>
    </x:row>
    <x:row r="2093" ht="21" customHeight="1">
      <x:c r="A2093" s="10" t="n">
        <x:v>46192</x:v>
      </x:c>
      <x:c r="B2093" s="1" t="n">
        <x:v>2.5</x:v>
      </x:c>
      <x:c r="C2093" s="1" t="n">
        <x:v>6</x:v>
      </x:c>
      <x:c r="D2093" s="12" t="n">
        <x:v>0.19141666666666668</x:v>
      </x:c>
      <x:c r="E2093" s="12" t="n">
        <x:v>0.2014166666666667</x:v>
      </x:c>
      <x:c r="F2093" s="12" t="n">
        <x:v>0</x:v>
      </x:c>
      <x:c r="G2093" s="12" t="n">
        <x:v>0</x:v>
      </x:c>
      <x:c r="H2093" s="1" t="n">
        <x:f>'Historical prices'!E2093</x:f>
        <x:v>1.05</x:v>
      </x:c>
      <x:c r="I2093" s="6" t="n">
        <x:f>'Historical prices'!D2093</x:f>
        <x:v>0.17129999999999998</x:v>
      </x:c>
      <x:c r="J2093" s="13" t="n">
        <x:f>D2093*I2093*H2093</x:f>
        <x:v>0.03442915875</x:v>
      </x:c>
      <x:c r="K2093" s="13" t="n">
        <x:f>E2093*I2093*H2093</x:f>
        <x:v>0.03622780875</x:v>
      </x:c>
      <x:c r="L2093" s="1" t="str">
        <x:f>TEXT(A2093,"mmm yyyy")</x:f>
        <x:v>Jun 2026</x:v>
      </x:c>
    </x:row>
    <x:row r="2094" ht="21" customHeight="1">
      <x:c r="A2094" s="10" t="n">
        <x:v>46192</x:v>
      </x:c>
      <x:c r="B2094" s="1" t="n">
        <x:v>3</x:v>
      </x:c>
      <x:c r="C2094" s="1" t="n">
        <x:v>6</x:v>
      </x:c>
      <x:c r="D2094" s="12" t="n">
        <x:v>0.2604166666666667</x:v>
      </x:c>
      <x:c r="E2094" s="12" t="n">
        <x:v>0.2704166666666667</x:v>
      </x:c>
      <x:c r="F2094" s="12" t="n">
        <x:v>0</x:v>
      </x:c>
      <x:c r="G2094" s="12" t="n">
        <x:v>0</x:v>
      </x:c>
      <x:c r="H2094" s="1" t="n">
        <x:f>'Historical prices'!E2094</x:f>
        <x:v>1.05</x:v>
      </x:c>
      <x:c r="I2094" s="6" t="n">
        <x:f>'Historical prices'!D2094</x:f>
        <x:v>0.1653</x:v>
      </x:c>
      <x:c r="J2094" s="13" t="n">
        <x:f>D2094*I2094*H2094</x:f>
        <x:v>0.045199218750000006</x:v>
      </x:c>
      <x:c r="K2094" s="13" t="n">
        <x:f>E2094*I2094*H2094</x:f>
        <x:v>0.04693486875000001</x:v>
      </x:c>
      <x:c r="L2094" s="1" t="str">
        <x:f>TEXT(A2094,"mmm yyyy")</x:f>
        <x:v>Jun 2026</x:v>
      </x:c>
    </x:row>
    <x:row r="2095" ht="21" customHeight="1">
      <x:c r="A2095" s="10" t="n">
        <x:v>46192</x:v>
      </x:c>
      <x:c r="B2095" s="1" t="n">
        <x:v>3.5</x:v>
      </x:c>
      <x:c r="C2095" s="1" t="n">
        <x:v>6</x:v>
      </x:c>
      <x:c r="D2095" s="12" t="n">
        <x:v>0.21366666666666667</x:v>
      </x:c>
      <x:c r="E2095" s="12" t="n">
        <x:v>0.22566666666666668</x:v>
      </x:c>
      <x:c r="F2095" s="12" t="n">
        <x:v>0</x:v>
      </x:c>
      <x:c r="G2095" s="12" t="n">
        <x:v>0</x:v>
      </x:c>
      <x:c r="H2095" s="1" t="n">
        <x:f>'Historical prices'!E2095</x:f>
        <x:v>1.05</x:v>
      </x:c>
      <x:c r="I2095" s="6" t="n">
        <x:f>'Historical prices'!D2095</x:f>
        <x:v>0.16440000000000002</x:v>
      </x:c>
      <x:c r="J2095" s="13" t="n">
        <x:f>D2095*I2095*H2095</x:f>
        <x:v>0.03688314000000001</x:v>
      </x:c>
      <x:c r="K2095" s="13" t="n">
        <x:f>E2095*I2095*H2095</x:f>
        <x:v>0.03895458</x:v>
      </x:c>
      <x:c r="L2095" s="1" t="str">
        <x:f>TEXT(A2095,"mmm yyyy")</x:f>
        <x:v>Jun 2026</x:v>
      </x:c>
    </x:row>
    <x:row r="2096" ht="21" customHeight="1">
      <x:c r="A2096" s="10" t="n">
        <x:v>46192</x:v>
      </x:c>
      <x:c r="B2096" s="1" t="n">
        <x:v>4</x:v>
      </x:c>
      <x:c r="C2096" s="1" t="n">
        <x:v>6</x:v>
      </x:c>
      <x:c r="D2096" s="12" t="n">
        <x:v>0.2340833333333333</x:v>
      </x:c>
      <x:c r="E2096" s="12" t="n">
        <x:v>0.24408333333333332</x:v>
      </x:c>
      <x:c r="F2096" s="12" t="n">
        <x:v>0</x:v>
      </x:c>
      <x:c r="G2096" s="12" t="n">
        <x:v>0</x:v>
      </x:c>
      <x:c r="H2096" s="1" t="n">
        <x:f>'Historical prices'!E2096</x:f>
        <x:v>1.05</x:v>
      </x:c>
      <x:c r="I2096" s="6" t="n">
        <x:f>'Historical prices'!D2096</x:f>
        <x:v>0.1602</x:v>
      </x:c>
      <x:c r="J2096" s="13" t="n">
        <x:f>D2096*I2096*H2096</x:f>
        <x:v>0.0393751575</x:v>
      </x:c>
      <x:c r="K2096" s="13" t="n">
        <x:f>E2096*I2096*H2096</x:f>
        <x:v>0.041057257500000006</x:v>
      </x:c>
      <x:c r="L2096" s="1" t="str">
        <x:f>TEXT(A2096,"mmm yyyy")</x:f>
        <x:v>Jun 2026</x:v>
      </x:c>
    </x:row>
    <x:row r="2097" ht="21" customHeight="1">
      <x:c r="A2097" s="10" t="n">
        <x:v>46192</x:v>
      </x:c>
      <x:c r="B2097" s="1" t="n">
        <x:v>4.5</x:v>
      </x:c>
      <x:c r="C2097" s="1" t="n">
        <x:v>6</x:v>
      </x:c>
      <x:c r="D2097" s="12" t="n">
        <x:v>0.20466666666666666</x:v>
      </x:c>
      <x:c r="E2097" s="12" t="n">
        <x:v>0.21566666666666667</x:v>
      </x:c>
      <x:c r="F2097" s="12" t="n">
        <x:v>0</x:v>
      </x:c>
      <x:c r="G2097" s="12" t="n">
        <x:v>0</x:v>
      </x:c>
      <x:c r="H2097" s="1" t="n">
        <x:f>'Historical prices'!E2097</x:f>
        <x:v>1.05</x:v>
      </x:c>
      <x:c r="I2097" s="6" t="n">
        <x:f>'Historical prices'!D2097</x:f>
        <x:v>0.1493</x:v>
      </x:c>
      <x:c r="J2097" s="13" t="n">
        <x:f>D2097*I2097*H2097</x:f>
        <x:v>0.03208457</x:v>
      </x:c>
      <x:c r="K2097" s="13" t="n">
        <x:f>E2097*I2097*H2097</x:f>
        <x:v>0.03380898500000001</x:v>
      </x:c>
      <x:c r="L2097" s="1" t="str">
        <x:f>TEXT(A2097,"mmm yyyy")</x:f>
        <x:v>Jun 2026</x:v>
      </x:c>
    </x:row>
    <x:row r="2098" ht="21" customHeight="1">
      <x:c r="A2098" s="10" t="n">
        <x:v>46192</x:v>
      </x:c>
      <x:c r="B2098" s="1" t="n">
        <x:v>5</x:v>
      </x:c>
      <x:c r="C2098" s="1" t="n">
        <x:v>6</x:v>
      </x:c>
      <x:c r="D2098" s="12" t="n">
        <x:v>0.26858333333333334</x:v>
      </x:c>
      <x:c r="E2098" s="12" t="n">
        <x:v>0.27858333333333335</x:v>
      </x:c>
      <x:c r="F2098" s="12" t="n">
        <x:v>0</x:v>
      </x:c>
      <x:c r="G2098" s="12" t="n">
        <x:v>0</x:v>
      </x:c>
      <x:c r="H2098" s="1" t="n">
        <x:f>'Historical prices'!E2098</x:f>
        <x:v>1.05</x:v>
      </x:c>
      <x:c r="I2098" s="6" t="n">
        <x:f>'Historical prices'!D2098</x:f>
        <x:v>0.1514</x:v>
      </x:c>
      <x:c r="J2098" s="13" t="n">
        <x:f>D2098*I2098*H2098</x:f>
        <x:v>0.04269669250000001</x:v>
      </x:c>
      <x:c r="K2098" s="13" t="n">
        <x:f>E2098*I2098*H2098</x:f>
        <x:v>0.04428639250000001</x:v>
      </x:c>
      <x:c r="L2098" s="1" t="str">
        <x:f>TEXT(A2098,"mmm yyyy")</x:f>
        <x:v>Jun 2026</x:v>
      </x:c>
    </x:row>
    <x:row r="2099" ht="21" customHeight="1">
      <x:c r="A2099" s="10" t="n">
        <x:v>46192</x:v>
      </x:c>
      <x:c r="B2099" s="1" t="n">
        <x:v>5.5</x:v>
      </x:c>
      <x:c r="C2099" s="1" t="n">
        <x:v>6</x:v>
      </x:c>
      <x:c r="D2099" s="12" t="n">
        <x:v>0.21491666666666667</x:v>
      </x:c>
      <x:c r="E2099" s="12" t="n">
        <x:v>0.22691666666666668</x:v>
      </x:c>
      <x:c r="F2099" s="12" t="n">
        <x:v>0</x:v>
      </x:c>
      <x:c r="G2099" s="12" t="n">
        <x:v>0</x:v>
      </x:c>
      <x:c r="H2099" s="1" t="n">
        <x:f>'Historical prices'!E2099</x:f>
        <x:v>1.05</x:v>
      </x:c>
      <x:c r="I2099" s="6" t="n">
        <x:f>'Historical prices'!D2099</x:f>
        <x:v>0.15789999999999998</x:v>
      </x:c>
      <x:c r="J2099" s="13" t="n">
        <x:f>D2099*I2099*H2099</x:f>
        <x:v>0.03563210875</x:v>
      </x:c>
      <x:c r="K2099" s="13" t="n">
        <x:f>E2099*I2099*H2099</x:f>
        <x:v>0.03762164875000001</x:v>
      </x:c>
      <x:c r="L2099" s="1" t="str">
        <x:f>TEXT(A2099,"mmm yyyy")</x:f>
        <x:v>Jun 2026</x:v>
      </x:c>
    </x:row>
    <x:row r="2100" ht="21" customHeight="1">
      <x:c r="A2100" s="10" t="n">
        <x:v>46192</x:v>
      </x:c>
      <x:c r="B2100" s="1" t="n">
        <x:v>6</x:v>
      </x:c>
      <x:c r="C2100" s="1" t="n">
        <x:v>6</x:v>
      </x:c>
      <x:c r="D2100" s="12" t="n">
        <x:v>0.23358333333333334</x:v>
      </x:c>
      <x:c r="E2100" s="12" t="n">
        <x:v>0.24358333333333335</x:v>
      </x:c>
      <x:c r="F2100" s="12" t="n">
        <x:v>0</x:v>
      </x:c>
      <x:c r="G2100" s="12" t="n">
        <x:v>0</x:v>
      </x:c>
      <x:c r="H2100" s="1" t="n">
        <x:f>'Historical prices'!E2100</x:f>
        <x:v>1.05</x:v>
      </x:c>
      <x:c r="I2100" s="6" t="n">
        <x:f>'Historical prices'!D2100</x:f>
        <x:v>0.16210000000000002</x:v>
      </x:c>
      <x:c r="J2100" s="13" t="n">
        <x:f>D2100*I2100*H2100</x:f>
        <x:v>0.03975705125000001</x:v>
      </x:c>
      <x:c r="K2100" s="13" t="n">
        <x:f>E2100*I2100*H2100</x:f>
        <x:v>0.041459101250000005</x:v>
      </x:c>
      <x:c r="L2100" s="1" t="str">
        <x:f>TEXT(A2100,"mmm yyyy")</x:f>
        <x:v>Jun 2026</x:v>
      </x:c>
    </x:row>
    <x:row r="2101" ht="21" customHeight="1">
      <x:c r="A2101" s="10" t="n">
        <x:v>46192</x:v>
      </x:c>
      <x:c r="B2101" s="1" t="n">
        <x:v>6.5</x:v>
      </x:c>
      <x:c r="C2101" s="1" t="n">
        <x:v>6</x:v>
      </x:c>
      <x:c r="D2101" s="12" t="n">
        <x:v>0.07541666666666667</x:v>
      </x:c>
      <x:c r="E2101" s="12" t="n">
        <x:v>0.5387500000000001</x:v>
      </x:c>
      <x:c r="F2101" s="12" t="n">
        <x:v>0.4610000000000001</x:v>
      </x:c>
      <x:c r="G2101" s="12" t="n">
        <x:v>0</x:v>
      </x:c>
      <x:c r="H2101" s="1" t="n">
        <x:f>'Historical prices'!E2101</x:f>
        <x:v>1.05</x:v>
      </x:c>
      <x:c r="I2101" s="6" t="n">
        <x:f>'Historical prices'!D2101</x:f>
        <x:v>0.19519999999999998</x:v>
      </x:c>
      <x:c r="J2101" s="13" t="n">
        <x:f>D2101*I2101*H2101</x:f>
        <x:v>0.0154574</x:v>
      </x:c>
      <x:c r="K2101" s="13" t="n">
        <x:f>E2101*I2101*H2101</x:f>
        <x:v>0.11042220000000001</x:v>
      </x:c>
      <x:c r="L2101" s="1" t="str">
        <x:f>TEXT(A2101,"mmm yyyy")</x:f>
        <x:v>Jun 2026</x:v>
      </x:c>
    </x:row>
    <x:row r="2102" ht="21" customHeight="1">
      <x:c r="A2102" s="10" t="n">
        <x:v>46192</x:v>
      </x:c>
      <x:c r="B2102" s="1" t="n">
        <x:v>7</x:v>
      </x:c>
      <x:c r="C2102" s="1" t="n">
        <x:v>6</x:v>
      </x:c>
      <x:c r="D2102" s="12" t="n">
        <x:v>0.5005</x:v>
      </x:c>
      <x:c r="E2102" s="12" t="n">
        <x:v>0.5864166666666667</x:v>
      </x:c>
      <x:c r="F2102" s="12" t="n">
        <x:v>0.07591666666666666</x:v>
      </x:c>
      <x:c r="G2102" s="12" t="n">
        <x:v>0</x:v>
      </x:c>
      <x:c r="H2102" s="1" t="n">
        <x:f>'Historical prices'!E2102</x:f>
        <x:v>1.05</x:v>
      </x:c>
      <x:c r="I2102" s="6" t="n">
        <x:f>'Historical prices'!D2102</x:f>
        <x:v>0.16820000000000002</x:v>
      </x:c>
      <x:c r="J2102" s="13" t="n">
        <x:f>D2102*I2102*H2102</x:f>
        <x:v>0.088393305</x:v>
      </x:c>
      <x:c r="K2102" s="13" t="n">
        <x:f>E2102*I2102*H2102</x:f>
        <x:v>0.10356704750000002</x:v>
      </x:c>
      <x:c r="L2102" s="1" t="str">
        <x:f>TEXT(A2102,"mmm yyyy")</x:f>
        <x:v>Jun 2026</x:v>
      </x:c>
    </x:row>
    <x:row r="2103" ht="21" customHeight="1">
      <x:c r="A2103" s="10" t="n">
        <x:v>46192</x:v>
      </x:c>
      <x:c r="B2103" s="1" t="n">
        <x:v>7.5</x:v>
      </x:c>
      <x:c r="C2103" s="1" t="n">
        <x:v>6</x:v>
      </x:c>
      <x:c r="D2103" s="12" t="n">
        <x:v>0.81225</x:v>
      </x:c>
      <x:c r="E2103" s="12" t="n">
        <x:v>1.16025</x:v>
      </x:c>
      <x:c r="F2103" s="12" t="n">
        <x:v>0.392</x:v>
      </x:c>
      <x:c r="G2103" s="12" t="n">
        <x:v>0.046</x:v>
      </x:c>
      <x:c r="H2103" s="1" t="n">
        <x:f>'Historical prices'!E2103</x:f>
        <x:v>1.05</x:v>
      </x:c>
      <x:c r="I2103" s="6" t="n">
        <x:f>'Historical prices'!D2103</x:f>
        <x:v>0.1724</x:v>
      </x:c>
      <x:c r="J2103" s="13" t="n">
        <x:f>D2103*I2103*H2103</x:f>
        <x:v>0.14703349500000001</x:v>
      </x:c>
      <x:c r="K2103" s="13" t="n">
        <x:f>E2103*I2103*H2103</x:f>
        <x:v>0.210028455</x:v>
      </x:c>
      <x:c r="L2103" s="1" t="str">
        <x:f>TEXT(A2103,"mmm yyyy")</x:f>
        <x:v>Jun 2026</x:v>
      </x:c>
    </x:row>
    <x:row r="2104" ht="21" customHeight="1">
      <x:c r="A2104" s="10" t="n">
        <x:v>46192</x:v>
      </x:c>
      <x:c r="B2104" s="1" t="n">
        <x:v>8</x:v>
      </x:c>
      <x:c r="C2104" s="1" t="n">
        <x:v>6</x:v>
      </x:c>
      <x:c r="D2104" s="12" t="n">
        <x:v>0.6855833333333334</x:v>
      </x:c>
      <x:c r="E2104" s="12" t="n">
        <x:v>0.5835833333333333</x:v>
      </x:c>
      <x:c r="F2104" s="12" t="n">
        <x:v>0</x:v>
      </x:c>
      <x:c r="G2104" s="12" t="n">
        <x:v>0.099</x:v>
      </x:c>
      <x:c r="H2104" s="1" t="n">
        <x:f>'Historical prices'!E2104</x:f>
        <x:v>1.05</x:v>
      </x:c>
      <x:c r="I2104" s="6" t="n">
        <x:f>'Historical prices'!D2104</x:f>
        <x:v>0.1519</x:v>
      </x:c>
      <x:c r="J2104" s="13" t="n">
        <x:f>D2104*I2104*H2104</x:f>
        <x:v>0.10934711375000003</x:v>
      </x:c>
      <x:c r="K2104" s="13" t="n">
        <x:f>E2104*I2104*H2104</x:f>
        <x:v>0.09307862375</x:v>
      </x:c>
      <x:c r="L2104" s="1" t="str">
        <x:f>TEXT(A2104,"mmm yyyy")</x:f>
        <x:v>Jun 2026</x:v>
      </x:c>
    </x:row>
    <x:row r="2105" ht="21" customHeight="1">
      <x:c r="A2105" s="10" t="n">
        <x:v>46192</x:v>
      </x:c>
      <x:c r="B2105" s="1" t="n">
        <x:v>8.5</x:v>
      </x:c>
      <x:c r="C2105" s="1" t="n">
        <x:v>6</x:v>
      </x:c>
      <x:c r="D2105" s="12" t="n">
        <x:v>1.13425</x:v>
      </x:c>
      <x:c r="E2105" s="12" t="n">
        <x:v>1.1382500000000002</x:v>
      </x:c>
      <x:c r="F2105" s="12" t="n">
        <x:v>0</x:v>
      </x:c>
      <x:c r="G2105" s="12" t="n">
        <x:v>0</x:v>
      </x:c>
      <x:c r="H2105" s="1" t="n">
        <x:f>'Historical prices'!E2105</x:f>
        <x:v>1.05</x:v>
      </x:c>
      <x:c r="I2105" s="6" t="n">
        <x:f>'Historical prices'!D2105</x:f>
        <x:v>0.1684</x:v>
      </x:c>
      <x:c r="J2105" s="13" t="n">
        <x:f>D2105*I2105*H2105</x:f>
        <x:v>0.20055808500000002</x:v>
      </x:c>
      <x:c r="K2105" s="13" t="n">
        <x:f>E2105*I2105*H2105</x:f>
        <x:v>0.20126536500000003</x:v>
      </x:c>
      <x:c r="L2105" s="1" t="str">
        <x:f>TEXT(A2105,"mmm yyyy")</x:f>
        <x:v>Jun 2026</x:v>
      </x:c>
    </x:row>
    <x:row r="2106" ht="21" customHeight="1">
      <x:c r="A2106" s="10" t="n">
        <x:v>46192</x:v>
      </x:c>
      <x:c r="B2106" s="1" t="n">
        <x:v>9</x:v>
      </x:c>
      <x:c r="C2106" s="1" t="n">
        <x:v>6</x:v>
      </x:c>
      <x:c r="D2106" s="12" t="n">
        <x:v>0.9059166666666665</x:v>
      </x:c>
      <x:c r="E2106" s="12" t="n">
        <x:v>0.9079166666666665</x:v>
      </x:c>
      <x:c r="F2106" s="12" t="n">
        <x:v>0</x:v>
      </x:c>
      <x:c r="G2106" s="12" t="n">
        <x:v>0</x:v>
      </x:c>
      <x:c r="H2106" s="1" t="n">
        <x:f>'Historical prices'!E2106</x:f>
        <x:v>1.05</x:v>
      </x:c>
      <x:c r="I2106" s="6" t="n">
        <x:f>'Historical prices'!D2106</x:f>
        <x:v>0.1535</x:v>
      </x:c>
      <x:c r="J2106" s="13" t="n">
        <x:f>D2106*I2106*H2106</x:f>
        <x:v>0.14601111874999997</x:v>
      </x:c>
      <x:c r="K2106" s="13" t="n">
        <x:f>E2106*I2106*H2106</x:f>
        <x:v>0.14633346874999997</x:v>
      </x:c>
      <x:c r="L2106" s="1" t="str">
        <x:f>TEXT(A2106,"mmm yyyy")</x:f>
        <x:v>Jun 2026</x:v>
      </x:c>
    </x:row>
    <x:row r="2107" ht="21" customHeight="1">
      <x:c r="A2107" s="10" t="n">
        <x:v>46192</x:v>
      </x:c>
      <x:c r="B2107" s="1" t="n">
        <x:v>9.5</x:v>
      </x:c>
      <x:c r="C2107" s="1" t="n">
        <x:v>6</x:v>
      </x:c>
      <x:c r="D2107" s="12" t="n">
        <x:v>0.9800833333333334</x:v>
      </x:c>
      <x:c r="E2107" s="12" t="n">
        <x:v>0.9820833333333334</x:v>
      </x:c>
      <x:c r="F2107" s="12" t="n">
        <x:v>0</x:v>
      </x:c>
      <x:c r="G2107" s="12" t="n">
        <x:v>0</x:v>
      </x:c>
      <x:c r="H2107" s="1" t="n">
        <x:f>'Historical prices'!E2107</x:f>
        <x:v>1.05</x:v>
      </x:c>
      <x:c r="I2107" s="6" t="n">
        <x:f>'Historical prices'!D2107</x:f>
        <x:v>0.141</x:v>
      </x:c>
      <x:c r="J2107" s="13" t="n">
        <x:f>D2107*I2107*H2107</x:f>
        <x:v>0.1451013375</x:v>
      </x:c>
      <x:c r="K2107" s="13" t="n">
        <x:f>E2107*I2107*H2107</x:f>
        <x:v>0.1453974375</x:v>
      </x:c>
      <x:c r="L2107" s="1" t="str">
        <x:f>TEXT(A2107,"mmm yyyy")</x:f>
        <x:v>Jun 2026</x:v>
      </x:c>
    </x:row>
    <x:row r="2108" ht="21" customHeight="1">
      <x:c r="A2108" s="10" t="n">
        <x:v>46192</x:v>
      </x:c>
      <x:c r="B2108" s="1" t="n">
        <x:v>10</x:v>
      </x:c>
      <x:c r="C2108" s="1" t="n">
        <x:v>6</x:v>
      </x:c>
      <x:c r="D2108" s="12" t="n">
        <x:v>1.0613333333333335</x:v>
      </x:c>
      <x:c r="E2108" s="12" t="n">
        <x:v>1.0613333333333335</x:v>
      </x:c>
      <x:c r="F2108" s="12" t="n">
        <x:v>0</x:v>
      </x:c>
      <x:c r="G2108" s="12" t="n">
        <x:v>0</x:v>
      </x:c>
      <x:c r="H2108" s="1" t="n">
        <x:f>'Historical prices'!E2108</x:f>
        <x:v>1.05</x:v>
      </x:c>
      <x:c r="I2108" s="6" t="n">
        <x:f>'Historical prices'!D2108</x:f>
        <x:v>0.1065</x:v>
      </x:c>
      <x:c r="J2108" s="13" t="n">
        <x:f>D2108*I2108*H2108</x:f>
        <x:v>0.11868360000000001</x:v>
      </x:c>
      <x:c r="K2108" s="13" t="n">
        <x:f>E2108*I2108*H2108</x:f>
        <x:v>0.11868360000000001</x:v>
      </x:c>
      <x:c r="L2108" s="1" t="str">
        <x:f>TEXT(A2108,"mmm yyyy")</x:f>
        <x:v>Jun 2026</x:v>
      </x:c>
    </x:row>
    <x:row r="2109" ht="21" customHeight="1">
      <x:c r="A2109" s="10" t="n">
        <x:v>46192</x:v>
      </x:c>
      <x:c r="B2109" s="1" t="n">
        <x:v>10.5</x:v>
      </x:c>
      <x:c r="C2109" s="1" t="n">
        <x:v>6</x:v>
      </x:c>
      <x:c r="D2109" s="12" t="n">
        <x:v>1.0045833333333334</x:v>
      </x:c>
      <x:c r="E2109" s="12" t="n">
        <x:v>1.0075833333333333</x:v>
      </x:c>
      <x:c r="F2109" s="12" t="n">
        <x:v>0</x:v>
      </x:c>
      <x:c r="G2109" s="12" t="n">
        <x:v>0</x:v>
      </x:c>
      <x:c r="H2109" s="1" t="n">
        <x:f>'Historical prices'!E2109</x:f>
        <x:v>1.05</x:v>
      </x:c>
      <x:c r="I2109" s="6" t="n">
        <x:f>'Historical prices'!D2109</x:f>
        <x:v>0.1009</x:v>
      </x:c>
      <x:c r="J2109" s="13" t="n">
        <x:f>D2109*I2109*H2109</x:f>
        <x:v>0.10643058125</x:v>
      </x:c>
      <x:c r="K2109" s="13" t="n">
        <x:f>E2109*I2109*H2109</x:f>
        <x:v>0.10674841624999999</x:v>
      </x:c>
      <x:c r="L2109" s="1" t="str">
        <x:f>TEXT(A2109,"mmm yyyy")</x:f>
        <x:v>Jun 2026</x:v>
      </x:c>
    </x:row>
    <x:row r="2110" ht="21" customHeight="1">
      <x:c r="A2110" s="10" t="n">
        <x:v>46192</x:v>
      </x:c>
      <x:c r="B2110" s="1" t="n">
        <x:v>11</x:v>
      </x:c>
      <x:c r="C2110" s="1" t="n">
        <x:v>6</x:v>
      </x:c>
      <x:c r="D2110" s="12" t="n">
        <x:v>1.6365833333333333</x:v>
      </x:c>
      <x:c r="E2110" s="12" t="n">
        <x:v>1.6365833333333335</x:v>
      </x:c>
      <x:c r="F2110" s="12" t="n">
        <x:v>0</x:v>
      </x:c>
      <x:c r="G2110" s="12" t="n">
        <x:v>0</x:v>
      </x:c>
      <x:c r="H2110" s="1" t="n">
        <x:f>'Historical prices'!E2110</x:f>
        <x:v>1.05</x:v>
      </x:c>
      <x:c r="I2110" s="6" t="n">
        <x:f>'Historical prices'!D2110</x:f>
        <x:v>0.1038</x:v>
      </x:c>
      <x:c r="J2110" s="13" t="n">
        <x:f>D2110*I2110*H2110</x:f>
        <x:v>0.1783712175</x:v>
      </x:c>
      <x:c r="K2110" s="13" t="n">
        <x:f>E2110*I2110*H2110</x:f>
        <x:v>0.1783712175</x:v>
      </x:c>
      <x:c r="L2110" s="1" t="str">
        <x:f>TEXT(A2110,"mmm yyyy")</x:f>
        <x:v>Jun 2026</x:v>
      </x:c>
    </x:row>
    <x:row r="2111" ht="21" customHeight="1">
      <x:c r="A2111" s="10" t="n">
        <x:v>46192</x:v>
      </x:c>
      <x:c r="B2111" s="1" t="n">
        <x:v>11.5</x:v>
      </x:c>
      <x:c r="C2111" s="1" t="n">
        <x:v>6</x:v>
      </x:c>
      <x:c r="D2111" s="12" t="n">
        <x:v>2.8090833333333336</x:v>
      </x:c>
      <x:c r="E2111" s="12" t="n">
        <x:v>0.9040833333333332</x:v>
      </x:c>
      <x:c r="F2111" s="12" t="n">
        <x:v>0</x:v>
      </x:c>
      <x:c r="G2111" s="12" t="n">
        <x:v>1.9010000000000002</x:v>
      </x:c>
      <x:c r="H2111" s="1" t="n">
        <x:f>'Historical prices'!E2111</x:f>
        <x:v>1.05</x:v>
      </x:c>
      <x:c r="I2111" s="6" t="n">
        <x:f>'Historical prices'!D2111</x:f>
        <x:v>0.0973</x:v>
      </x:c>
      <x:c r="J2111" s="13" t="n">
        <x:f>D2111*I2111*H2111</x:f>
        <x:v>0.28698999875000003</x:v>
      </x:c>
      <x:c r="K2111" s="13" t="n">
        <x:f>E2111*I2111*H2111</x:f>
        <x:v>0.09236567375</x:v>
      </x:c>
      <x:c r="L2111" s="1" t="str">
        <x:f>TEXT(A2111,"mmm yyyy")</x:f>
        <x:v>Jun 2026</x:v>
      </x:c>
    </x:row>
    <x:row r="2112" ht="21" customHeight="1">
      <x:c r="A2112" s="10" t="n">
        <x:v>46192</x:v>
      </x:c>
      <x:c r="B2112" s="1" t="n">
        <x:v>12</x:v>
      </x:c>
      <x:c r="C2112" s="1" t="n">
        <x:v>6</x:v>
      </x:c>
      <x:c r="D2112" s="12" t="n">
        <x:v>0.4164166666666667</x:v>
      </x:c>
      <x:c r="E2112" s="12" t="n">
        <x:v>0.4264166666666667</x:v>
      </x:c>
      <x:c r="F2112" s="12" t="n">
        <x:v>0</x:v>
      </x:c>
      <x:c r="G2112" s="12" t="n">
        <x:v>0</x:v>
      </x:c>
      <x:c r="H2112" s="1" t="n">
        <x:f>'Historical prices'!E2112</x:f>
        <x:v>1.05</x:v>
      </x:c>
      <x:c r="I2112" s="6" t="n">
        <x:f>'Historical prices'!D2112</x:f>
        <x:v>0.10300000000000001</x:v>
      </x:c>
      <x:c r="J2112" s="13" t="n">
        <x:f>D2112*I2112*H2112</x:f>
        <x:v>0.04503546250000001</x:v>
      </x:c>
      <x:c r="K2112" s="13" t="n">
        <x:f>E2112*I2112*H2112</x:f>
        <x:v>0.04611696250000001</x:v>
      </x:c>
      <x:c r="L2112" s="1" t="str">
        <x:f>TEXT(A2112,"mmm yyyy")</x:f>
        <x:v>Jun 2026</x:v>
      </x:c>
    </x:row>
    <x:row r="2113" ht="21" customHeight="1">
      <x:c r="A2113" s="10" t="n">
        <x:v>46192</x:v>
      </x:c>
      <x:c r="B2113" s="1" t="n">
        <x:v>12.5</x:v>
      </x:c>
      <x:c r="C2113" s="1" t="n">
        <x:v>6</x:v>
      </x:c>
      <x:c r="D2113" s="12" t="n">
        <x:v>0.9085</x:v>
      </x:c>
      <x:c r="E2113" s="12" t="n">
        <x:v>0.47450000000000003</x:v>
      </x:c>
      <x:c r="F2113" s="12" t="n">
        <x:v>0</x:v>
      </x:c>
      <x:c r="G2113" s="12" t="n">
        <x:v>0.43699999999999994</x:v>
      </x:c>
      <x:c r="H2113" s="1" t="n">
        <x:f>'Historical prices'!E2113</x:f>
        <x:v>1.05</x:v>
      </x:c>
      <x:c r="I2113" s="6" t="n">
        <x:f>'Historical prices'!D2113</x:f>
        <x:v>0.0978</x:v>
      </x:c>
      <x:c r="J2113" s="13" t="n">
        <x:f>D2113*I2113*H2113</x:f>
        <x:v>0.093293865</x:v>
      </x:c>
      <x:c r="K2113" s="13" t="n">
        <x:f>E2113*I2113*H2113</x:f>
        <x:v>0.04872640500000001</x:v>
      </x:c>
      <x:c r="L2113" s="1" t="str">
        <x:f>TEXT(A2113,"mmm yyyy")</x:f>
        <x:v>Jun 2026</x:v>
      </x:c>
    </x:row>
    <x:row r="2114" ht="21" customHeight="1">
      <x:c r="A2114" s="10" t="n">
        <x:v>46192</x:v>
      </x:c>
      <x:c r="B2114" s="1" t="n">
        <x:v>13</x:v>
      </x:c>
      <x:c r="C2114" s="1" t="n">
        <x:v>6</x:v>
      </x:c>
      <x:c r="D2114" s="12" t="n">
        <x:v>4.658916666666666</x:v>
      </x:c>
      <x:c r="E2114" s="12" t="n">
        <x:v>0.6789166666666666</x:v>
      </x:c>
      <x:c r="F2114" s="12" t="n">
        <x:v>0</x:v>
      </x:c>
      <x:c r="G2114" s="12" t="n">
        <x:v>3.982</x:v>
      </x:c>
      <x:c r="H2114" s="1" t="n">
        <x:f>'Historical prices'!E2114</x:f>
        <x:v>1.05</x:v>
      </x:c>
      <x:c r="I2114" s="6" t="n">
        <x:f>'Historical prices'!D2114</x:f>
        <x:v>0.0947</x:v>
      </x:c>
      <x:c r="J2114" s="13" t="n">
        <x:f>D2114*I2114*H2114</x:f>
        <x:v>0.46325937875</x:v>
      </x:c>
      <x:c r="K2114" s="13" t="n">
        <x:f>E2114*I2114*H2114</x:f>
        <x:v>0.06750807875</x:v>
      </x:c>
      <x:c r="L2114" s="1" t="str">
        <x:f>TEXT(A2114,"mmm yyyy")</x:f>
        <x:v>Jun 2026</x:v>
      </x:c>
    </x:row>
    <x:row r="2115" ht="21" customHeight="1">
      <x:c r="A2115" s="10" t="n">
        <x:v>46192</x:v>
      </x:c>
      <x:c r="B2115" s="1" t="n">
        <x:v>13.5</x:v>
      </x:c>
      <x:c r="C2115" s="1" t="n">
        <x:v>6</x:v>
      </x:c>
      <x:c r="D2115" s="12" t="n">
        <x:v>1.386</x:v>
      </x:c>
      <x:c r="E2115" s="12" t="n">
        <x:v>0.587</x:v>
      </x:c>
      <x:c r="F2115" s="12" t="n">
        <x:v>0</x:v>
      </x:c>
      <x:c r="G2115" s="12" t="n">
        <x:v>0.804</x:v>
      </x:c>
      <x:c r="H2115" s="1" t="n">
        <x:f>'Historical prices'!E2115</x:f>
        <x:v>1.05</x:v>
      </x:c>
      <x:c r="I2115" s="6" t="n">
        <x:f>'Historical prices'!D2115</x:f>
        <x:v>0.1018</x:v>
      </x:c>
      <x:c r="J2115" s="13" t="n">
        <x:f>D2115*I2115*H2115</x:f>
        <x:v>0.14814954</x:v>
      </x:c>
      <x:c r="K2115" s="13" t="n">
        <x:f>E2115*I2115*H2115</x:f>
        <x:v>0.06274443</x:v>
      </x:c>
      <x:c r="L2115" s="1" t="str">
        <x:f>TEXT(A2115,"mmm yyyy")</x:f>
        <x:v>Jun 2026</x:v>
      </x:c>
    </x:row>
    <x:row r="2116" ht="21" customHeight="1">
      <x:c r="A2116" s="10" t="n">
        <x:v>46192</x:v>
      </x:c>
      <x:c r="B2116" s="1" t="n">
        <x:v>14</x:v>
      </x:c>
      <x:c r="C2116" s="1" t="n">
        <x:v>6</x:v>
      </x:c>
      <x:c r="D2116" s="12" t="n">
        <x:v>4.563916666666667</x:v>
      </x:c>
      <x:c r="E2116" s="12" t="n">
        <x:v>0.7169166666666668</x:v>
      </x:c>
      <x:c r="F2116" s="12" t="n">
        <x:v>0</x:v>
      </x:c>
      <x:c r="G2116" s="12" t="n">
        <x:v>3.849</x:v>
      </x:c>
      <x:c r="H2116" s="1" t="n">
        <x:f>'Historical prices'!E2116</x:f>
        <x:v>1.05</x:v>
      </x:c>
      <x:c r="I2116" s="6" t="n">
        <x:f>'Historical prices'!D2116</x:f>
        <x:v>0.09050000000000001</x:v>
      </x:c>
      <x:c r="J2116" s="13" t="n">
        <x:f>D2116*I2116*H2116</x:f>
        <x:v>0.43368618125</x:v>
      </x:c>
      <x:c r="K2116" s="13" t="n">
        <x:f>E2116*I2116*H2116</x:f>
        <x:v>0.06812500625000002</x:v>
      </x:c>
      <x:c r="L2116" s="1" t="str">
        <x:f>TEXT(A2116,"mmm yyyy")</x:f>
        <x:v>Jun 2026</x:v>
      </x:c>
    </x:row>
    <x:row r="2117" ht="21" customHeight="1">
      <x:c r="A2117" s="10" t="n">
        <x:v>46192</x:v>
      </x:c>
      <x:c r="B2117" s="1" t="n">
        <x:v>14.5</x:v>
      </x:c>
      <x:c r="C2117" s="1" t="n">
        <x:v>6</x:v>
      </x:c>
      <x:c r="D2117" s="12" t="n">
        <x:v>2.656166666666667</x:v>
      </x:c>
      <x:c r="E2117" s="12" t="n">
        <x:v>0.4621666666666666</x:v>
      </x:c>
      <x:c r="F2117" s="12" t="n">
        <x:v>0</x:v>
      </x:c>
      <x:c r="G2117" s="12" t="n">
        <x:v>2.1919999999999997</x:v>
      </x:c>
      <x:c r="H2117" s="1" t="n">
        <x:f>'Historical prices'!E2117</x:f>
        <x:v>1.05</x:v>
      </x:c>
      <x:c r="I2117" s="6" t="n">
        <x:f>'Historical prices'!D2117</x:f>
        <x:v>0.10099999999999999</x:v>
      </x:c>
      <x:c r="J2117" s="13" t="n">
        <x:f>D2117*I2117*H2117</x:f>
        <x:v>0.28168647500000005</x:v>
      </x:c>
      <x:c r="K2117" s="13" t="n">
        <x:f>E2117*I2117*H2117</x:f>
        <x:v>0.04901277499999999</x:v>
      </x:c>
      <x:c r="L2117" s="1" t="str">
        <x:f>TEXT(A2117,"mmm yyyy")</x:f>
        <x:v>Jun 2026</x:v>
      </x:c>
    </x:row>
    <x:row r="2118" ht="21" customHeight="1">
      <x:c r="A2118" s="10" t="n">
        <x:v>46192</x:v>
      </x:c>
      <x:c r="B2118" s="1" t="n">
        <x:v>15</x:v>
      </x:c>
      <x:c r="C2118" s="1" t="n">
        <x:v>6</x:v>
      </x:c>
      <x:c r="D2118" s="12" t="n">
        <x:v>0.057666666666666665</x:v>
      </x:c>
      <x:c r="E2118" s="12" t="n">
        <x:v>0.49958333333333327</x:v>
      </x:c>
      <x:c r="F2118" s="12" t="n">
        <x:v>0.43975</x:v>
      </x:c>
      <x:c r="G2118" s="12" t="n">
        <x:v>0</x:v>
      </x:c>
      <x:c r="H2118" s="1" t="n">
        <x:f>'Historical prices'!E2118</x:f>
        <x:v>1.05</x:v>
      </x:c>
      <x:c r="I2118" s="6" t="n">
        <x:f>'Historical prices'!D2118</x:f>
        <x:v>0.1577</x:v>
      </x:c>
      <x:c r="J2118" s="13" t="n">
        <x:f>D2118*I2118*H2118</x:f>
        <x:v>0.009548735</x:v>
      </x:c>
      <x:c r="K2118" s="13" t="n">
        <x:f>E2118*I2118*H2118</x:f>
        <x:v>0.08272350625</x:v>
      </x:c>
      <x:c r="L2118" s="1" t="str">
        <x:f>TEXT(A2118,"mmm yyyy")</x:f>
        <x:v>Jun 2026</x:v>
      </x:c>
    </x:row>
    <x:row r="2119" ht="21" customHeight="1">
      <x:c r="A2119" s="10" t="n">
        <x:v>46192</x:v>
      </x:c>
      <x:c r="B2119" s="1" t="n">
        <x:v>15.5</x:v>
      </x:c>
      <x:c r="C2119" s="1" t="n">
        <x:v>6</x:v>
      </x:c>
      <x:c r="D2119" s="12" t="n">
        <x:v>0.08616666666666667</x:v>
      </x:c>
      <x:c r="E2119" s="12" t="n">
        <x:v>0.7099166666666666</x:v>
      </x:c>
      <x:c r="F2119" s="12" t="n">
        <x:v>0.6237499999999999</x:v>
      </x:c>
      <x:c r="G2119" s="12" t="n">
        <x:v>0</x:v>
      </x:c>
      <x:c r="H2119" s="1" t="n">
        <x:f>'Historical prices'!E2119</x:f>
        <x:v>1.05</x:v>
      </x:c>
      <x:c r="I2119" s="6" t="n">
        <x:f>'Historical prices'!D2119</x:f>
        <x:v>0.16329999999999997</x:v>
      </x:c>
      <x:c r="J2119" s="13" t="n">
        <x:f>D2119*I2119*H2119</x:f>
        <x:v>0.014774567499999999</x:v>
      </x:c>
      <x:c r="K2119" s="13" t="n">
        <x:f>E2119*I2119*H2119</x:f>
        <x:v>0.12172586124999998</x:v>
      </x:c>
      <x:c r="L2119" s="1" t="str">
        <x:f>TEXT(A2119,"mmm yyyy")</x:f>
        <x:v>Jun 2026</x:v>
      </x:c>
    </x:row>
    <x:row r="2120" ht="21" customHeight="1">
      <x:c r="A2120" s="10" t="n">
        <x:v>46192</x:v>
      </x:c>
      <x:c r="B2120" s="1" t="n">
        <x:v>16</x:v>
      </x:c>
      <x:c r="C2120" s="1" t="n">
        <x:v>6</x:v>
      </x:c>
      <x:c r="D2120" s="12" t="n">
        <x:v>0</x:v>
      </x:c>
      <x:c r="E2120" s="12" t="n">
        <x:v>0.4785833333333333</x:v>
      </x:c>
      <x:c r="F2120" s="12" t="n">
        <x:v>0.4785</x:v>
      </x:c>
      <x:c r="G2120" s="12" t="n">
        <x:v>0</x:v>
      </x:c>
      <x:c r="H2120" s="1" t="n">
        <x:f>'Historical prices'!E2120</x:f>
        <x:v>1.05</x:v>
      </x:c>
      <x:c r="I2120" s="6" t="n">
        <x:f>'Historical prices'!D2120</x:f>
        <x:v>0.2898</x:v>
      </x:c>
      <x:c r="J2120" s="13" t="n">
        <x:f>D2120*I2120*H2120</x:f>
        <x:v>0</x:v>
      </x:c>
      <x:c r="K2120" s="13" t="n">
        <x:f>E2120*I2120*H2120</x:f>
        <x:v>0.1456281225</x:v>
      </x:c>
      <x:c r="L2120" s="1" t="str">
        <x:f>TEXT(A2120,"mmm yyyy")</x:f>
        <x:v>Jun 2026</x:v>
      </x:c>
    </x:row>
    <x:row r="2121" ht="21" customHeight="1">
      <x:c r="A2121" s="10" t="n">
        <x:v>46192</x:v>
      </x:c>
      <x:c r="B2121" s="1" t="n">
        <x:v>16.5</x:v>
      </x:c>
      <x:c r="C2121" s="1" t="n">
        <x:v>6</x:v>
      </x:c>
      <x:c r="D2121" s="12" t="n">
        <x:v>0</x:v>
      </x:c>
      <x:c r="E2121" s="12" t="n">
        <x:v>0.46275</x:v>
      </x:c>
      <x:c r="F2121" s="12" t="n">
        <x:v>0.46266666666666667</x:v>
      </x:c>
      <x:c r="G2121" s="12" t="n">
        <x:v>0</x:v>
      </x:c>
      <x:c r="H2121" s="1" t="n">
        <x:f>'Historical prices'!E2121</x:f>
        <x:v>1.05</x:v>
      </x:c>
      <x:c r="I2121" s="6" t="n">
        <x:f>'Historical prices'!D2121</x:f>
        <x:v>0.284</x:v>
      </x:c>
      <x:c r="J2121" s="13" t="n">
        <x:f>D2121*I2121*H2121</x:f>
        <x:v>0</x:v>
      </x:c>
      <x:c r="K2121" s="13" t="n">
        <x:f>E2121*I2121*H2121</x:f>
        <x:v>0.13799204999999998</x:v>
      </x:c>
      <x:c r="L2121" s="1" t="str">
        <x:f>TEXT(A2121,"mmm yyyy")</x:f>
        <x:v>Jun 2026</x:v>
      </x:c>
    </x:row>
    <x:row r="2122" ht="21" customHeight="1">
      <x:c r="A2122" s="10" t="n">
        <x:v>46192</x:v>
      </x:c>
      <x:c r="B2122" s="1" t="n">
        <x:v>17</x:v>
      </x:c>
      <x:c r="C2122" s="1" t="n">
        <x:v>6</x:v>
      </x:c>
      <x:c r="D2122" s="12" t="n">
        <x:v>0</x:v>
      </x:c>
      <x:c r="E2122" s="12" t="n">
        <x:v>0.46191666666666664</x:v>
      </x:c>
      <x:c r="F2122" s="12" t="n">
        <x:v>0.46166666666666667</x:v>
      </x:c>
      <x:c r="G2122" s="12" t="n">
        <x:v>0</x:v>
      </x:c>
      <x:c r="H2122" s="1" t="n">
        <x:f>'Historical prices'!E2122</x:f>
        <x:v>1.05</x:v>
      </x:c>
      <x:c r="I2122" s="6" t="n">
        <x:f>'Historical prices'!D2122</x:f>
        <x:v>0.3056</x:v>
      </x:c>
      <x:c r="J2122" s="13" t="n">
        <x:f>D2122*I2122*H2122</x:f>
        <x:v>0</x:v>
      </x:c>
      <x:c r="K2122" s="13" t="n">
        <x:f>E2122*I2122*H2122</x:f>
        <x:v>0.14821982</x:v>
      </x:c>
      <x:c r="L2122" s="1" t="str">
        <x:f>TEXT(A2122,"mmm yyyy")</x:f>
        <x:v>Jun 2026</x:v>
      </x:c>
    </x:row>
    <x:row r="2123" ht="21" customHeight="1">
      <x:c r="A2123" s="10" t="n">
        <x:v>46192</x:v>
      </x:c>
      <x:c r="B2123" s="1" t="n">
        <x:v>17.5</x:v>
      </x:c>
      <x:c r="C2123" s="1" t="n">
        <x:v>6</x:v>
      </x:c>
      <x:c r="D2123" s="12" t="n">
        <x:v>0</x:v>
      </x:c>
      <x:c r="E2123" s="12" t="n">
        <x:v>0.5858333333333333</x:v>
      </x:c>
      <x:c r="F2123" s="12" t="n">
        <x:v>0.5855833333333333</x:v>
      </x:c>
      <x:c r="G2123" s="12" t="n">
        <x:v>0</x:v>
      </x:c>
      <x:c r="H2123" s="1" t="n">
        <x:f>'Historical prices'!E2123</x:f>
        <x:v>1.05</x:v>
      </x:c>
      <x:c r="I2123" s="6" t="n">
        <x:f>'Historical prices'!D2123</x:f>
        <x:v>0.2966</x:v>
      </x:c>
      <x:c r="J2123" s="13" t="n">
        <x:f>D2123*I2123*H2123</x:f>
        <x:v>0</x:v>
      </x:c>
      <x:c r="K2123" s="13" t="n">
        <x:f>E2123*I2123*H2123</x:f>
        <x:v>0.18244607499999999</x:v>
      </x:c>
      <x:c r="L2123" s="1" t="str">
        <x:f>TEXT(A2123,"mmm yyyy")</x:f>
        <x:v>Jun 2026</x:v>
      </x:c>
    </x:row>
    <x:row r="2124" ht="21" customHeight="1">
      <x:c r="A2124" s="10" t="n">
        <x:v>46192</x:v>
      </x:c>
      <x:c r="B2124" s="1" t="n">
        <x:v>18</x:v>
      </x:c>
      <x:c r="C2124" s="1" t="n">
        <x:v>6</x:v>
      </x:c>
      <x:c r="D2124" s="12" t="n">
        <x:v>0</x:v>
      </x:c>
      <x:c r="E2124" s="12" t="n">
        <x:v>0.5159166666666667</x:v>
      </x:c>
      <x:c r="F2124" s="12" t="n">
        <x:v>0.5158333333333334</x:v>
      </x:c>
      <x:c r="G2124" s="12" t="n">
        <x:v>0</x:v>
      </x:c>
      <x:c r="H2124" s="1" t="n">
        <x:f>'Historical prices'!E2124</x:f>
        <x:v>1.05</x:v>
      </x:c>
      <x:c r="I2124" s="6" t="n">
        <x:f>'Historical prices'!D2124</x:f>
        <x:v>0.3281</x:v>
      </x:c>
      <x:c r="J2124" s="13" t="n">
        <x:f>D2124*I2124*H2124</x:f>
        <x:v>0</x:v>
      </x:c>
      <x:c r="K2124" s="13" t="n">
        <x:f>E2124*I2124*H2124</x:f>
        <x:v>0.17773587125</x:v>
      </x:c>
      <x:c r="L2124" s="1" t="str">
        <x:f>TEXT(A2124,"mmm yyyy")</x:f>
        <x:v>Jun 2026</x:v>
      </x:c>
    </x:row>
    <x:row r="2125" ht="21" customHeight="1">
      <x:c r="A2125" s="10" t="n">
        <x:v>46192</x:v>
      </x:c>
      <x:c r="B2125" s="1" t="n">
        <x:v>18.5</x:v>
      </x:c>
      <x:c r="C2125" s="1" t="n">
        <x:v>6</x:v>
      </x:c>
      <x:c r="D2125" s="12" t="n">
        <x:v>0</x:v>
      </x:c>
      <x:c r="E2125" s="12" t="n">
        <x:v>0.5399166666666667</x:v>
      </x:c>
      <x:c r="F2125" s="12" t="n">
        <x:v>0.5397500000000001</x:v>
      </x:c>
      <x:c r="G2125" s="12" t="n">
        <x:v>0</x:v>
      </x:c>
      <x:c r="H2125" s="1" t="n">
        <x:f>'Historical prices'!E2125</x:f>
        <x:v>1.05</x:v>
      </x:c>
      <x:c r="I2125" s="6" t="n">
        <x:f>'Historical prices'!D2125</x:f>
        <x:v>0.3531</x:v>
      </x:c>
      <x:c r="J2125" s="13" t="n">
        <x:f>D2125*I2125*H2125</x:f>
        <x:v>0</x:v>
      </x:c>
      <x:c r="K2125" s="13" t="n">
        <x:f>E2125*I2125*H2125</x:f>
        <x:v>0.20017680375000005</x:v>
      </x:c>
      <x:c r="L2125" s="1" t="str">
        <x:f>TEXT(A2125,"mmm yyyy")</x:f>
        <x:v>Jun 2026</x:v>
      </x:c>
    </x:row>
    <x:row r="2126" ht="21" customHeight="1">
      <x:c r="A2126" s="10" t="n">
        <x:v>46192</x:v>
      </x:c>
      <x:c r="B2126" s="1" t="n">
        <x:v>19</x:v>
      </x:c>
      <x:c r="C2126" s="1" t="n">
        <x:v>6</x:v>
      </x:c>
      <x:c r="D2126" s="12" t="n">
        <x:v>0</x:v>
      </x:c>
      <x:c r="E2126" s="12" t="n">
        <x:v>0.5429166666666667</x:v>
      </x:c>
      <x:c r="F2126" s="12" t="n">
        <x:v>0.54275</x:v>
      </x:c>
      <x:c r="G2126" s="12" t="n">
        <x:v>0</x:v>
      </x:c>
      <x:c r="H2126" s="1" t="n">
        <x:f>'Historical prices'!E2126</x:f>
        <x:v>1.05</x:v>
      </x:c>
      <x:c r="I2126" s="6" t="n">
        <x:f>'Historical prices'!D2126</x:f>
        <x:v>0.252</x:v>
      </x:c>
      <x:c r="J2126" s="13" t="n">
        <x:f>D2126*I2126*H2126</x:f>
        <x:v>0</x:v>
      </x:c>
      <x:c r="K2126" s="13" t="n">
        <x:f>E2126*I2126*H2126</x:f>
        <x:v>0.14365575000000003</x:v>
      </x:c>
      <x:c r="L2126" s="1" t="str">
        <x:f>TEXT(A2126,"mmm yyyy")</x:f>
        <x:v>Jun 2026</x:v>
      </x:c>
    </x:row>
    <x:row r="2127" ht="21" customHeight="1">
      <x:c r="A2127" s="10" t="n">
        <x:v>46192</x:v>
      </x:c>
      <x:c r="B2127" s="1" t="n">
        <x:v>19.5</x:v>
      </x:c>
      <x:c r="C2127" s="1" t="n">
        <x:v>6</x:v>
      </x:c>
      <x:c r="D2127" s="12" t="n">
        <x:v>0</x:v>
      </x:c>
      <x:c r="E2127" s="12" t="n">
        <x:v>0.48008333333333336</x:v>
      </x:c>
      <x:c r="F2127" s="12" t="n">
        <x:v>0.4798333333333332</x:v>
      </x:c>
      <x:c r="G2127" s="12" t="n">
        <x:v>0</x:v>
      </x:c>
      <x:c r="H2127" s="1" t="n">
        <x:f>'Historical prices'!E2127</x:f>
        <x:v>1.05</x:v>
      </x:c>
      <x:c r="I2127" s="6" t="n">
        <x:f>'Historical prices'!D2127</x:f>
        <x:v>0.2589</x:v>
      </x:c>
      <x:c r="J2127" s="13" t="n">
        <x:f>D2127*I2127*H2127</x:f>
        <x:v>0</x:v>
      </x:c>
      <x:c r="K2127" s="13" t="n">
        <x:f>E2127*I2127*H2127</x:f>
        <x:v>0.13050825375000003</x:v>
      </x:c>
      <x:c r="L2127" s="1" t="str">
        <x:f>TEXT(A2127,"mmm yyyy")</x:f>
        <x:v>Jun 2026</x:v>
      </x:c>
    </x:row>
    <x:row r="2128" ht="21" customHeight="1">
      <x:c r="A2128" s="10" t="n">
        <x:v>46192</x:v>
      </x:c>
      <x:c r="B2128" s="1" t="n">
        <x:v>20</x:v>
      </x:c>
      <x:c r="C2128" s="1" t="n">
        <x:v>6</x:v>
      </x:c>
      <x:c r="D2128" s="12" t="n">
        <x:v>0</x:v>
      </x:c>
      <x:c r="E2128" s="12" t="n">
        <x:v>0.7986666666666665</x:v>
      </x:c>
      <x:c r="F2128" s="12" t="n">
        <x:v>0.7984999999999999</x:v>
      </x:c>
      <x:c r="G2128" s="12" t="n">
        <x:v>0</x:v>
      </x:c>
      <x:c r="H2128" s="1" t="n">
        <x:f>'Historical prices'!E2128</x:f>
        <x:v>1.05</x:v>
      </x:c>
      <x:c r="I2128" s="6" t="n">
        <x:f>'Historical prices'!D2128</x:f>
        <x:v>0.2522</x:v>
      </x:c>
      <x:c r="J2128" s="13" t="n">
        <x:f>D2128*I2128*H2128</x:f>
        <x:v>0</x:v>
      </x:c>
      <x:c r="K2128" s="13" t="n">
        <x:f>E2128*I2128*H2128</x:f>
        <x:v>0.21149491999999995</x:v>
      </x:c>
      <x:c r="L2128" s="1" t="str">
        <x:f>TEXT(A2128,"mmm yyyy")</x:f>
        <x:v>Jun 2026</x:v>
      </x:c>
    </x:row>
    <x:row r="2129" ht="21" customHeight="1">
      <x:c r="A2129" s="10" t="n">
        <x:v>46192</x:v>
      </x:c>
      <x:c r="B2129" s="1" t="n">
        <x:v>20.5</x:v>
      </x:c>
      <x:c r="C2129" s="1" t="n">
        <x:v>6</x:v>
      </x:c>
      <x:c r="D2129" s="12" t="n">
        <x:v>0</x:v>
      </x:c>
      <x:c r="E2129" s="12" t="n">
        <x:v>0.5047499999999999</x:v>
      </x:c>
      <x:c r="F2129" s="12" t="n">
        <x:v>0.5047499999999999</x:v>
      </x:c>
      <x:c r="G2129" s="12" t="n">
        <x:v>0</x:v>
      </x:c>
      <x:c r="H2129" s="1" t="n">
        <x:f>'Historical prices'!E2129</x:f>
        <x:v>1.05</x:v>
      </x:c>
      <x:c r="I2129" s="6" t="n">
        <x:f>'Historical prices'!D2129</x:f>
        <x:v>0.2522</x:v>
      </x:c>
      <x:c r="J2129" s="13" t="n">
        <x:f>D2129*I2129*H2129</x:f>
        <x:v>0</x:v>
      </x:c>
      <x:c r="K2129" s="13" t="n">
        <x:f>E2129*I2129*H2129</x:f>
        <x:v>0.13366284749999996</x:v>
      </x:c>
      <x:c r="L2129" s="1" t="str">
        <x:f>TEXT(A2129,"mmm yyyy")</x:f>
        <x:v>Jun 2026</x:v>
      </x:c>
    </x:row>
    <x:row r="2130" ht="21" customHeight="1">
      <x:c r="A2130" s="10" t="n">
        <x:v>46192</x:v>
      </x:c>
      <x:c r="B2130" s="1" t="n">
        <x:v>21</x:v>
      </x:c>
      <x:c r="C2130" s="1" t="n">
        <x:v>6</x:v>
      </x:c>
      <x:c r="D2130" s="12" t="n">
        <x:v>0</x:v>
      </x:c>
      <x:c r="E2130" s="12" t="n">
        <x:v>0.5469999999999999</x:v>
      </x:c>
      <x:c r="F2130" s="12" t="n">
        <x:v>0.54675</x:v>
      </x:c>
      <x:c r="G2130" s="12" t="n">
        <x:v>0</x:v>
      </x:c>
      <x:c r="H2130" s="1" t="n">
        <x:f>'Historical prices'!E2130</x:f>
        <x:v>1.05</x:v>
      </x:c>
      <x:c r="I2130" s="6" t="n">
        <x:f>'Historical prices'!D2130</x:f>
        <x:v>0.2522</x:v>
      </x:c>
      <x:c r="J2130" s="13" t="n">
        <x:f>D2130*I2130*H2130</x:f>
        <x:v>0</x:v>
      </x:c>
      <x:c r="K2130" s="13" t="n">
        <x:f>E2130*I2130*H2130</x:f>
        <x:v>0.14485106999999997</x:v>
      </x:c>
      <x:c r="L2130" s="1" t="str">
        <x:f>TEXT(A2130,"mmm yyyy")</x:f>
        <x:v>Jun 2026</x:v>
      </x:c>
    </x:row>
    <x:row r="2131" ht="21" customHeight="1">
      <x:c r="A2131" s="10" t="n">
        <x:v>46192</x:v>
      </x:c>
      <x:c r="B2131" s="1" t="n">
        <x:v>21.5</x:v>
      </x:c>
      <x:c r="C2131" s="1" t="n">
        <x:v>6</x:v>
      </x:c>
      <x:c r="D2131" s="12" t="n">
        <x:v>0</x:v>
      </x:c>
      <x:c r="E2131" s="12" t="n">
        <x:v>0.5585</x:v>
      </x:c>
      <x:c r="F2131" s="12" t="n">
        <x:v>0.5584166666666667</x:v>
      </x:c>
      <x:c r="G2131" s="12" t="n">
        <x:v>0</x:v>
      </x:c>
      <x:c r="H2131" s="1" t="n">
        <x:f>'Historical prices'!E2131</x:f>
        <x:v>1.05</x:v>
      </x:c>
      <x:c r="I2131" s="6" t="n">
        <x:f>'Historical prices'!D2131</x:f>
        <x:v>0.24719999999999998</x:v>
      </x:c>
      <x:c r="J2131" s="13" t="n">
        <x:f>D2131*I2131*H2131</x:f>
        <x:v>0</x:v>
      </x:c>
      <x:c r="K2131" s="13" t="n">
        <x:f>E2131*I2131*H2131</x:f>
        <x:v>0.14496426</x:v>
      </x:c>
      <x:c r="L2131" s="1" t="str">
        <x:f>TEXT(A2131,"mmm yyyy")</x:f>
        <x:v>Jun 2026</x:v>
      </x:c>
    </x:row>
    <x:row r="2132" ht="21" customHeight="1">
      <x:c r="A2132" s="10" t="n">
        <x:v>46192</x:v>
      </x:c>
      <x:c r="B2132" s="1" t="n">
        <x:v>22</x:v>
      </x:c>
      <x:c r="C2132" s="1" t="n">
        <x:v>6</x:v>
      </x:c>
      <x:c r="D2132" s="12" t="n">
        <x:v>0</x:v>
      </x:c>
      <x:c r="E2132" s="12" t="n">
        <x:v>0.7866666666666667</x:v>
      </x:c>
      <x:c r="F2132" s="12" t="n">
        <x:v>0.7865000000000001</x:v>
      </x:c>
      <x:c r="G2132" s="12" t="n">
        <x:v>0</x:v>
      </x:c>
      <x:c r="H2132" s="1" t="n">
        <x:f>'Historical prices'!E2132</x:f>
        <x:v>1.05</x:v>
      </x:c>
      <x:c r="I2132" s="6" t="n">
        <x:f>'Historical prices'!D2132</x:f>
        <x:v>0.2137</x:v>
      </x:c>
      <x:c r="J2132" s="13" t="n">
        <x:f>D2132*I2132*H2132</x:f>
        <x:v>0</x:v>
      </x:c>
      <x:c r="K2132" s="13" t="n">
        <x:f>E2132*I2132*H2132</x:f>
        <x:v>0.17651620000000004</x:v>
      </x:c>
      <x:c r="L2132" s="1" t="str">
        <x:f>TEXT(A2132,"mmm yyyy")</x:f>
        <x:v>Jun 2026</x:v>
      </x:c>
    </x:row>
    <x:row r="2133" ht="21" customHeight="1">
      <x:c r="A2133" s="10" t="n">
        <x:v>46192</x:v>
      </x:c>
      <x:c r="B2133" s="1" t="n">
        <x:v>22.5</x:v>
      </x:c>
      <x:c r="C2133" s="1" t="n">
        <x:v>6</x:v>
      </x:c>
      <x:c r="D2133" s="12" t="n">
        <x:v>0</x:v>
      </x:c>
      <x:c r="E2133" s="12" t="n">
        <x:v>0.36516666666666664</x:v>
      </x:c>
      <x:c r="F2133" s="12" t="n">
        <x:v>0.36491666666666667</x:v>
      </x:c>
      <x:c r="G2133" s="12" t="n">
        <x:v>0</x:v>
      </x:c>
      <x:c r="H2133" s="1" t="n">
        <x:f>'Historical prices'!E2133</x:f>
        <x:v>1.05</x:v>
      </x:c>
      <x:c r="I2133" s="6" t="n">
        <x:f>'Historical prices'!D2133</x:f>
        <x:v>0.2182</x:v>
      </x:c>
      <x:c r="J2133" s="13" t="n">
        <x:f>D2133*I2133*H2133</x:f>
        <x:v>0</x:v>
      </x:c>
      <x:c r="K2133" s="13" t="n">
        <x:f>E2133*I2133*H2133</x:f>
        <x:v>0.083663335</x:v>
      </x:c>
      <x:c r="L2133" s="1" t="str">
        <x:f>TEXT(A2133,"mmm yyyy")</x:f>
        <x:v>Jun 2026</x:v>
      </x:c>
    </x:row>
    <x:row r="2134" ht="21" customHeight="1">
      <x:c r="A2134" s="10" t="n">
        <x:v>46192</x:v>
      </x:c>
      <x:c r="B2134" s="1" t="n">
        <x:v>23</x:v>
      </x:c>
      <x:c r="C2134" s="1" t="n">
        <x:v>6</x:v>
      </x:c>
      <x:c r="D2134" s="12" t="n">
        <x:v>0</x:v>
      </x:c>
      <x:c r="E2134" s="12" t="n">
        <x:v>0.31475000000000003</x:v>
      </x:c>
      <x:c r="F2134" s="12" t="n">
        <x:v>0.31466666666666665</x:v>
      </x:c>
      <x:c r="G2134" s="12" t="n">
        <x:v>0</x:v>
      </x:c>
      <x:c r="H2134" s="1" t="n">
        <x:f>'Historical prices'!E2134</x:f>
        <x:v>1.05</x:v>
      </x:c>
      <x:c r="I2134" s="6" t="n">
        <x:f>'Historical prices'!D2134</x:f>
        <x:v>0.1898</x:v>
      </x:c>
      <x:c r="J2134" s="13" t="n">
        <x:f>D2134*I2134*H2134</x:f>
        <x:v>0</x:v>
      </x:c>
      <x:c r="K2134" s="13" t="n">
        <x:f>E2134*I2134*H2134</x:f>
        <x:v>0.0627265275</x:v>
      </x:c>
      <x:c r="L2134" s="1" t="str">
        <x:f>TEXT(A2134,"mmm yyyy")</x:f>
        <x:v>Jun 2026</x:v>
      </x:c>
    </x:row>
    <x:row r="2135" ht="21" customHeight="1">
      <x:c r="A2135" s="10" t="n">
        <x:v>46192</x:v>
      </x:c>
      <x:c r="B2135" s="1" t="n">
        <x:v>23.5</x:v>
      </x:c>
      <x:c r="C2135" s="1" t="n">
        <x:v>6</x:v>
      </x:c>
      <x:c r="D2135" s="12" t="n">
        <x:v>0</x:v>
      </x:c>
      <x:c r="E2135" s="12" t="n">
        <x:v>0.26791666666666664</x:v>
      </x:c>
      <x:c r="F2135" s="12" t="n">
        <x:v>0.26766666666666666</x:v>
      </x:c>
      <x:c r="G2135" s="12" t="n">
        <x:v>0</x:v>
      </x:c>
      <x:c r="H2135" s="1" t="n">
        <x:f>'Historical prices'!E2135</x:f>
        <x:v>1.05</x:v>
      </x:c>
      <x:c r="I2135" s="6" t="n">
        <x:f>'Historical prices'!D2135</x:f>
        <x:v>0.1909</x:v>
      </x:c>
      <x:c r="J2135" s="13" t="n">
        <x:f>D2135*I2135*H2135</x:f>
        <x:v>0</x:v>
      </x:c>
      <x:c r="K2135" s="13" t="n">
        <x:f>E2135*I2135*H2135</x:f>
        <x:v>0.05370255624999999</x:v>
      </x:c>
      <x:c r="L2135" s="1" t="str">
        <x:f>TEXT(A2135,"mmm yyyy")</x:f>
        <x:v>Jun 2026</x:v>
      </x:c>
    </x:row>
    <x:row r="2136" ht="21" customHeight="1">
      <x:c r="A2136" s="10" t="n">
        <x:v>46193</x:v>
      </x:c>
      <x:c r="B2136" s="1" t="n">
        <x:v>0</x:v>
      </x:c>
      <x:c r="C2136" s="1" t="n">
        <x:v>6</x:v>
      </x:c>
      <x:c r="D2136" s="12" t="n">
        <x:v>0</x:v>
      </x:c>
      <x:c r="E2136" s="12" t="n">
        <x:v>0.241</x:v>
      </x:c>
      <x:c r="F2136" s="12" t="n">
        <x:v>0.24083333333333334</x:v>
      </x:c>
      <x:c r="G2136" s="12" t="n">
        <x:v>0</x:v>
      </x:c>
      <x:c r="H2136" s="1" t="n">
        <x:f>'Historical prices'!E2136</x:f>
        <x:v>1.05</x:v>
      </x:c>
      <x:c r="I2136" s="6" t="n">
        <x:f>'Historical prices'!D2136</x:f>
        <x:v>0.1934</x:v>
      </x:c>
      <x:c r="J2136" s="13" t="n">
        <x:f>D2136*I2136*H2136</x:f>
        <x:v>0</x:v>
      </x:c>
      <x:c r="K2136" s="13" t="n">
        <x:f>E2136*I2136*H2136</x:f>
        <x:v>0.048939869999999996</x:v>
      </x:c>
      <x:c r="L2136" s="1" t="str">
        <x:f>TEXT(A2136,"mmm yyyy")</x:f>
        <x:v>Jun 2026</x:v>
      </x:c>
    </x:row>
    <x:row r="2137" ht="21" customHeight="1">
      <x:c r="A2137" s="10" t="n">
        <x:v>46193</x:v>
      </x:c>
      <x:c r="B2137" s="1" t="n">
        <x:v>0.5</x:v>
      </x:c>
      <x:c r="C2137" s="1" t="n">
        <x:v>6</x:v>
      </x:c>
      <x:c r="D2137" s="12" t="n">
        <x:v>0</x:v>
      </x:c>
      <x:c r="E2137" s="12" t="n">
        <x:v>0.3138333333333333</x:v>
      </x:c>
      <x:c r="F2137" s="12" t="n">
        <x:v>0.3135833333333333</x:v>
      </x:c>
      <x:c r="G2137" s="12" t="n">
        <x:v>0</x:v>
      </x:c>
      <x:c r="H2137" s="1" t="n">
        <x:f>'Historical prices'!E2137</x:f>
        <x:v>1.05</x:v>
      </x:c>
      <x:c r="I2137" s="6" t="n">
        <x:f>'Historical prices'!D2137</x:f>
        <x:v>0.1881</x:v>
      </x:c>
      <x:c r="J2137" s="13" t="n">
        <x:f>D2137*I2137*H2137</x:f>
        <x:v>0</x:v>
      </x:c>
      <x:c r="K2137" s="13" t="n">
        <x:f>E2137*I2137*H2137</x:f>
        <x:v>0.06198365249999999</x:v>
      </x:c>
      <x:c r="L2137" s="1" t="str">
        <x:f>TEXT(A2137,"mmm yyyy")</x:f>
        <x:v>Jun 2026</x:v>
      </x:c>
    </x:row>
    <x:row r="2138" ht="21" customHeight="1">
      <x:c r="A2138" s="10" t="n">
        <x:v>46193</x:v>
      </x:c>
      <x:c r="B2138" s="1" t="n">
        <x:v>1</x:v>
      </x:c>
      <x:c r="C2138" s="1" t="n">
        <x:v>6</x:v>
      </x:c>
      <x:c r="D2138" s="12" t="n">
        <x:v>0</x:v>
      </x:c>
      <x:c r="E2138" s="12" t="n">
        <x:v>0.27291666666666664</x:v>
      </x:c>
      <x:c r="F2138" s="12" t="n">
        <x:v>0.27275</x:v>
      </x:c>
      <x:c r="G2138" s="12" t="n">
        <x:v>0</x:v>
      </x:c>
      <x:c r="H2138" s="1" t="n">
        <x:f>'Historical prices'!E2138</x:f>
        <x:v>1.05</x:v>
      </x:c>
      <x:c r="I2138" s="6" t="n">
        <x:f>'Historical prices'!D2138</x:f>
        <x:v>0.18230000000000002</x:v>
      </x:c>
      <x:c r="J2138" s="13" t="n">
        <x:f>D2138*I2138*H2138</x:f>
        <x:v>0</x:v>
      </x:c>
      <x:c r="K2138" s="13" t="n">
        <x:f>E2138*I2138*H2138</x:f>
        <x:v>0.05224034375</x:v>
      </x:c>
      <x:c r="L2138" s="1" t="str">
        <x:f>TEXT(A2138,"mmm yyyy")</x:f>
        <x:v>Jun 2026</x:v>
      </x:c>
    </x:row>
    <x:row r="2139" ht="21" customHeight="1">
      <x:c r="A2139" s="10" t="n">
        <x:v>46193</x:v>
      </x:c>
      <x:c r="B2139" s="1" t="n">
        <x:v>1.5</x:v>
      </x:c>
      <x:c r="C2139" s="1" t="n">
        <x:v>6</x:v>
      </x:c>
      <x:c r="D2139" s="12" t="n">
        <x:v>0</x:v>
      </x:c>
      <x:c r="E2139" s="12" t="n">
        <x:v>0.21875</x:v>
      </x:c>
      <x:c r="F2139" s="12" t="n">
        <x:v>0.21875</x:v>
      </x:c>
      <x:c r="G2139" s="12" t="n">
        <x:v>0</x:v>
      </x:c>
      <x:c r="H2139" s="1" t="n">
        <x:f>'Historical prices'!E2139</x:f>
        <x:v>1.05</x:v>
      </x:c>
      <x:c r="I2139" s="6" t="n">
        <x:f>'Historical prices'!D2139</x:f>
        <x:v>0.1773</x:v>
      </x:c>
      <x:c r="J2139" s="13" t="n">
        <x:f>D2139*I2139*H2139</x:f>
        <x:v>0</x:v>
      </x:c>
      <x:c r="K2139" s="13" t="n">
        <x:f>E2139*I2139*H2139</x:f>
        <x:v>0.04072359375</x:v>
      </x:c>
      <x:c r="L2139" s="1" t="str">
        <x:f>TEXT(A2139,"mmm yyyy")</x:f>
        <x:v>Jun 2026</x:v>
      </x:c>
    </x:row>
    <x:row r="2140" ht="21" customHeight="1">
      <x:c r="A2140" s="10" t="n">
        <x:v>46193</x:v>
      </x:c>
      <x:c r="B2140" s="1" t="n">
        <x:v>2</x:v>
      </x:c>
      <x:c r="C2140" s="1" t="n">
        <x:v>6</x:v>
      </x:c>
      <x:c r="D2140" s="12" t="n">
        <x:v>0.16816666666666666</x:v>
      </x:c>
      <x:c r="E2140" s="12" t="n">
        <x:v>0.2171666666666667</x:v>
      </x:c>
      <x:c r="F2140" s="12" t="n">
        <x:v>0.04</x:v>
      </x:c>
      <x:c r="G2140" s="12" t="n">
        <x:v>0</x:v>
      </x:c>
      <x:c r="H2140" s="1" t="n">
        <x:f>'Historical prices'!E2140</x:f>
        <x:v>1.05</x:v>
      </x:c>
      <x:c r="I2140" s="6" t="n">
        <x:f>'Historical prices'!D2140</x:f>
        <x:v>0.1686</x:v>
      </x:c>
      <x:c r="J2140" s="13" t="n">
        <x:f>D2140*I2140*H2140</x:f>
        <x:v>0.029770545000000002</x:v>
      </x:c>
      <x:c r="K2140" s="13" t="n">
        <x:f>E2140*I2140*H2140</x:f>
        <x:v>0.03844501500000001</x:v>
      </x:c>
      <x:c r="L2140" s="1" t="str">
        <x:f>TEXT(A2140,"mmm yyyy")</x:f>
        <x:v>Jun 2026</x:v>
      </x:c>
    </x:row>
    <x:row r="2141" ht="21" customHeight="1">
      <x:c r="A2141" s="10" t="n">
        <x:v>46193</x:v>
      </x:c>
      <x:c r="B2141" s="1" t="n">
        <x:v>2.5</x:v>
      </x:c>
      <x:c r="C2141" s="1" t="n">
        <x:v>6</x:v>
      </x:c>
      <x:c r="D2141" s="12" t="n">
        <x:v>0.21583333333333332</x:v>
      </x:c>
      <x:c r="E2141" s="12" t="n">
        <x:v>0.22583333333333333</x:v>
      </x:c>
      <x:c r="F2141" s="12" t="n">
        <x:v>0</x:v>
      </x:c>
      <x:c r="G2141" s="12" t="n">
        <x:v>0</x:v>
      </x:c>
      <x:c r="H2141" s="1" t="n">
        <x:f>'Historical prices'!E2141</x:f>
        <x:v>1.05</x:v>
      </x:c>
      <x:c r="I2141" s="6" t="n">
        <x:f>'Historical prices'!D2141</x:f>
        <x:v>0.156</x:v>
      </x:c>
      <x:c r="J2141" s="13" t="n">
        <x:f>D2141*I2141*H2141</x:f>
        <x:v>0.0353535</x:v>
      </x:c>
      <x:c r="K2141" s="13" t="n">
        <x:f>E2141*I2141*H2141</x:f>
        <x:v>0.0369915</x:v>
      </x:c>
      <x:c r="L2141" s="1" t="str">
        <x:f>TEXT(A2141,"mmm yyyy")</x:f>
        <x:v>Jun 2026</x:v>
      </x:c>
    </x:row>
    <x:row r="2142" ht="21" customHeight="1">
      <x:c r="A2142" s="10" t="n">
        <x:v>46193</x:v>
      </x:c>
      <x:c r="B2142" s="1" t="n">
        <x:v>3</x:v>
      </x:c>
      <x:c r="C2142" s="1" t="n">
        <x:v>6</x:v>
      </x:c>
      <x:c r="D2142" s="12" t="n">
        <x:v>0.03741666666666667</x:v>
      </x:c>
      <x:c r="E2142" s="12" t="n">
        <x:v>0.35233333333333333</x:v>
      </x:c>
      <x:c r="F2142" s="12" t="n">
        <x:v>0.31233333333333335</x:v>
      </x:c>
      <x:c r="G2142" s="12" t="n">
        <x:v>0</x:v>
      </x:c>
      <x:c r="H2142" s="1" t="n">
        <x:f>'Historical prices'!E2142</x:f>
        <x:v>1.05</x:v>
      </x:c>
      <x:c r="I2142" s="6" t="n">
        <x:f>'Historical prices'!D2142</x:f>
        <x:v>0.1802</x:v>
      </x:c>
      <x:c r="J2142" s="13" t="n">
        <x:f>D2142*I2142*H2142</x:f>
        <x:v>0.0070796075000000005</x:v>
      </x:c>
      <x:c r="K2142" s="13" t="n">
        <x:f>E2142*I2142*H2142</x:f>
        <x:v>0.06666499</x:v>
      </x:c>
      <x:c r="L2142" s="1" t="str">
        <x:f>TEXT(A2142,"mmm yyyy")</x:f>
        <x:v>Jun 2026</x:v>
      </x:c>
    </x:row>
    <x:row r="2143" ht="21" customHeight="1">
      <x:c r="A2143" s="10" t="n">
        <x:v>46193</x:v>
      </x:c>
      <x:c r="B2143" s="1" t="n">
        <x:v>3.5</x:v>
      </x:c>
      <x:c r="C2143" s="1" t="n">
        <x:v>6</x:v>
      </x:c>
      <x:c r="D2143" s="12" t="n">
        <x:v>0</x:v>
      </x:c>
      <x:c r="E2143" s="12" t="n">
        <x:v>0.31174999999999997</x:v>
      </x:c>
      <x:c r="F2143" s="12" t="n">
        <x:v>0.31166666666666665</x:v>
      </x:c>
      <x:c r="G2143" s="12" t="n">
        <x:v>0</x:v>
      </x:c>
      <x:c r="H2143" s="1" t="n">
        <x:f>'Historical prices'!E2143</x:f>
        <x:v>1.05</x:v>
      </x:c>
      <x:c r="I2143" s="6" t="n">
        <x:f>'Historical prices'!D2143</x:f>
        <x:v>0.1759</x:v>
      </x:c>
      <x:c r="J2143" s="13" t="n">
        <x:f>D2143*I2143*H2143</x:f>
        <x:v>0</x:v>
      </x:c>
      <x:c r="K2143" s="13" t="n">
        <x:f>E2143*I2143*H2143</x:f>
        <x:v>0.057578666249999993</x:v>
      </x:c>
      <x:c r="L2143" s="1" t="str">
        <x:f>TEXT(A2143,"mmm yyyy")</x:f>
        <x:v>Jun 2026</x:v>
      </x:c>
    </x:row>
    <x:row r="2144" ht="21" customHeight="1">
      <x:c r="A2144" s="10" t="n">
        <x:v>46193</x:v>
      </x:c>
      <x:c r="B2144" s="1" t="n">
        <x:v>4</x:v>
      </x:c>
      <x:c r="C2144" s="1" t="n">
        <x:v>6</x:v>
      </x:c>
      <x:c r="D2144" s="12" t="n">
        <x:v>0</x:v>
      </x:c>
      <x:c r="E2144" s="12" t="n">
        <x:v>0.32499999999999996</x:v>
      </x:c>
      <x:c r="F2144" s="12" t="n">
        <x:v>0.32475</x:v>
      </x:c>
      <x:c r="G2144" s="12" t="n">
        <x:v>0</x:v>
      </x:c>
      <x:c r="H2144" s="1" t="n">
        <x:f>'Historical prices'!E2144</x:f>
        <x:v>1.05</x:v>
      </x:c>
      <x:c r="I2144" s="6" t="n">
        <x:f>'Historical prices'!D2144</x:f>
        <x:v>0.17679999999999998</x:v>
      </x:c>
      <x:c r="J2144" s="13" t="n">
        <x:f>D2144*I2144*H2144</x:f>
        <x:v>0</x:v>
      </x:c>
      <x:c r="K2144" s="13" t="n">
        <x:f>E2144*I2144*H2144</x:f>
        <x:v>0.06033299999999999</x:v>
      </x:c>
      <x:c r="L2144" s="1" t="str">
        <x:f>TEXT(A2144,"mmm yyyy")</x:f>
        <x:v>Jun 2026</x:v>
      </x:c>
    </x:row>
    <x:row r="2145" ht="21" customHeight="1">
      <x:c r="A2145" s="10" t="n">
        <x:v>46193</x:v>
      </x:c>
      <x:c r="B2145" s="1" t="n">
        <x:v>4.5</x:v>
      </x:c>
      <x:c r="C2145" s="1" t="n">
        <x:v>6</x:v>
      </x:c>
      <x:c r="D2145" s="12" t="n">
        <x:v>0</x:v>
      </x:c>
      <x:c r="E2145" s="12" t="n">
        <x:v>0.2838333333333333</x:v>
      </x:c>
      <x:c r="F2145" s="12" t="n">
        <x:v>0.2836666666666667</x:v>
      </x:c>
      <x:c r="G2145" s="12" t="n">
        <x:v>0</x:v>
      </x:c>
      <x:c r="H2145" s="1" t="n">
        <x:f>'Historical prices'!E2145</x:f>
        <x:v>1.05</x:v>
      </x:c>
      <x:c r="I2145" s="6" t="n">
        <x:f>'Historical prices'!D2145</x:f>
        <x:v>0.1778</x:v>
      </x:c>
      <x:c r="J2145" s="13" t="n">
        <x:f>D2145*I2145*H2145</x:f>
        <x:v>0</x:v>
      </x:c>
      <x:c r="K2145" s="13" t="n">
        <x:f>E2145*I2145*H2145</x:f>
        <x:v>0.05298884500000001</x:v>
      </x:c>
      <x:c r="L2145" s="1" t="str">
        <x:f>TEXT(A2145,"mmm yyyy")</x:f>
        <x:v>Jun 2026</x:v>
      </x:c>
    </x:row>
    <x:row r="2146" ht="21" customHeight="1">
      <x:c r="A2146" s="10" t="n">
        <x:v>46193</x:v>
      </x:c>
      <x:c r="B2146" s="1" t="n">
        <x:v>5</x:v>
      </x:c>
      <x:c r="C2146" s="1" t="n">
        <x:v>6</x:v>
      </x:c>
      <x:c r="D2146" s="12" t="n">
        <x:v>0</x:v>
      </x:c>
      <x:c r="E2146" s="12" t="n">
        <x:v>0.33216666666666667</x:v>
      </x:c>
      <x:c r="F2146" s="12" t="n">
        <x:v>0.3318333333333333</x:v>
      </x:c>
      <x:c r="G2146" s="12" t="n">
        <x:v>0</x:v>
      </x:c>
      <x:c r="H2146" s="1" t="n">
        <x:f>'Historical prices'!E2146</x:f>
        <x:v>1.05</x:v>
      </x:c>
      <x:c r="I2146" s="6" t="n">
        <x:f>'Historical prices'!D2146</x:f>
        <x:v>0.1739</x:v>
      </x:c>
      <x:c r="J2146" s="13" t="n">
        <x:f>D2146*I2146*H2146</x:f>
        <x:v>0</x:v>
      </x:c>
      <x:c r="K2146" s="13" t="n">
        <x:f>E2146*I2146*H2146</x:f>
        <x:v>0.0606519725</x:v>
      </x:c>
      <x:c r="L2146" s="1" t="str">
        <x:f>TEXT(A2146,"mmm yyyy")</x:f>
        <x:v>Jun 2026</x:v>
      </x:c>
    </x:row>
    <x:row r="2147" ht="21" customHeight="1">
      <x:c r="A2147" s="10" t="n">
        <x:v>46193</x:v>
      </x:c>
      <x:c r="B2147" s="1" t="n">
        <x:v>5.5</x:v>
      </x:c>
      <x:c r="C2147" s="1" t="n">
        <x:v>6</x:v>
      </x:c>
      <x:c r="D2147" s="12" t="n">
        <x:v>0.25458333333333333</x:v>
      </x:c>
      <x:c r="E2147" s="12" t="n">
        <x:v>0.32558333333333334</x:v>
      </x:c>
      <x:c r="F2147" s="12" t="n">
        <x:v>0.062</x:v>
      </x:c>
      <x:c r="G2147" s="12" t="n">
        <x:v>0</x:v>
      </x:c>
      <x:c r="H2147" s="1" t="n">
        <x:f>'Historical prices'!E2147</x:f>
        <x:v>1.05</x:v>
      </x:c>
      <x:c r="I2147" s="6" t="n">
        <x:f>'Historical prices'!D2147</x:f>
        <x:v>0.1686</x:v>
      </x:c>
      <x:c r="J2147" s="13" t="n">
        <x:f>D2147*I2147*H2147</x:f>
        <x:v>0.045068887499999995</x:v>
      </x:c>
      <x:c r="K2147" s="13" t="n">
        <x:f>E2147*I2147*H2147</x:f>
        <x:v>0.057638017500000006</x:v>
      </x:c>
      <x:c r="L2147" s="1" t="str">
        <x:f>TEXT(A2147,"mmm yyyy")</x:f>
        <x:v>Jun 2026</x:v>
      </x:c>
    </x:row>
    <x:row r="2148" ht="21" customHeight="1">
      <x:c r="A2148" s="10" t="n">
        <x:v>46193</x:v>
      </x:c>
      <x:c r="B2148" s="1" t="n">
        <x:v>6</x:v>
      </x:c>
      <x:c r="C2148" s="1" t="n">
        <x:v>6</x:v>
      </x:c>
      <x:c r="D2148" s="12" t="n">
        <x:v>0.17675000000000002</x:v>
      </x:c>
      <x:c r="E2148" s="12" t="n">
        <x:v>0.18774999999999997</x:v>
      </x:c>
      <x:c r="F2148" s="12" t="n">
        <x:v>0</x:v>
      </x:c>
      <x:c r="G2148" s="12" t="n">
        <x:v>0</x:v>
      </x:c>
      <x:c r="H2148" s="1" t="n">
        <x:f>'Historical prices'!E2148</x:f>
        <x:v>1.05</x:v>
      </x:c>
      <x:c r="I2148" s="6" t="n">
        <x:f>'Historical prices'!D2148</x:f>
        <x:v>0.1594</x:v>
      </x:c>
      <x:c r="J2148" s="13" t="n">
        <x:f>D2148*I2148*H2148</x:f>
        <x:v>0.0295826475</x:v>
      </x:c>
      <x:c r="K2148" s="13" t="n">
        <x:f>E2148*I2148*H2148</x:f>
        <x:v>0.03142371749999999</x:v>
      </x:c>
      <x:c r="L2148" s="1" t="str">
        <x:f>TEXT(A2148,"mmm yyyy")</x:f>
        <x:v>Jun 2026</x:v>
      </x:c>
    </x:row>
    <x:row r="2149" ht="21" customHeight="1">
      <x:c r="A2149" s="10" t="n">
        <x:v>46193</x:v>
      </x:c>
      <x:c r="B2149" s="1" t="n">
        <x:v>6.5</x:v>
      </x:c>
      <x:c r="C2149" s="1" t="n">
        <x:v>6</x:v>
      </x:c>
      <x:c r="D2149" s="12" t="n">
        <x:v>0.04125</x:v>
      </x:c>
      <x:c r="E2149" s="12" t="n">
        <x:v>0.4614166666666667</x:v>
      </x:c>
      <x:c r="F2149" s="12" t="n">
        <x:v>0.4178333333333334</x:v>
      </x:c>
      <x:c r="G2149" s="12" t="n">
        <x:v>0</x:v>
      </x:c>
      <x:c r="H2149" s="1" t="n">
        <x:f>'Historical prices'!E2149</x:f>
        <x:v>1.05</x:v>
      </x:c>
      <x:c r="I2149" s="6" t="n">
        <x:f>'Historical prices'!D2149</x:f>
        <x:v>0.1707</x:v>
      </x:c>
      <x:c r="J2149" s="13" t="n">
        <x:f>D2149*I2149*H2149</x:f>
        <x:v>0.00739344375</x:v>
      </x:c>
      <x:c r="K2149" s="13" t="n">
        <x:f>E2149*I2149*H2149</x:f>
        <x:v>0.08270201625</x:v>
      </x:c>
      <x:c r="L2149" s="1" t="str">
        <x:f>TEXT(A2149,"mmm yyyy")</x:f>
        <x:v>Jun 2026</x:v>
      </x:c>
    </x:row>
    <x:row r="2150" ht="21" customHeight="1">
      <x:c r="A2150" s="10" t="n">
        <x:v>46193</x:v>
      </x:c>
      <x:c r="B2150" s="1" t="n">
        <x:v>7</x:v>
      </x:c>
      <x:c r="C2150" s="1" t="n">
        <x:v>6</x:v>
      </x:c>
      <x:c r="D2150" s="12" t="n">
        <x:v>0.4100833333333333</x:v>
      </x:c>
      <x:c r="E2150" s="12" t="n">
        <x:v>0.5040833333333333</x:v>
      </x:c>
      <x:c r="F2150" s="12" t="n">
        <x:v>0.085</x:v>
      </x:c>
      <x:c r="G2150" s="12" t="n">
        <x:v>0</x:v>
      </x:c>
      <x:c r="H2150" s="1" t="n">
        <x:f>'Historical prices'!E2150</x:f>
        <x:v>1.05</x:v>
      </x:c>
      <x:c r="I2150" s="6" t="n">
        <x:f>'Historical prices'!D2150</x:f>
        <x:v>0.1606</x:v>
      </x:c>
      <x:c r="J2150" s="13" t="n">
        <x:f>D2150*I2150*H2150</x:f>
        <x:v>0.0691523525</x:v>
      </x:c>
      <x:c r="K2150" s="13" t="n">
        <x:f>E2150*I2150*H2150</x:f>
        <x:v>0.0850035725</x:v>
      </x:c>
      <x:c r="L2150" s="1" t="str">
        <x:f>TEXT(A2150,"mmm yyyy")</x:f>
        <x:v>Jun 2026</x:v>
      </x:c>
    </x:row>
    <x:row r="2151" ht="21" customHeight="1">
      <x:c r="A2151" s="10" t="n">
        <x:v>46193</x:v>
      </x:c>
      <x:c r="B2151" s="1" t="n">
        <x:v>7.5</x:v>
      </x:c>
      <x:c r="C2151" s="1" t="n">
        <x:v>6</x:v>
      </x:c>
      <x:c r="D2151" s="12" t="n">
        <x:v>0.22575</x:v>
      </x:c>
      <x:c r="E2151" s="12" t="n">
        <x:v>0.5419166666666666</x:v>
      </x:c>
      <x:c r="F2151" s="12" t="n">
        <x:v>0.3479166666666667</x:v>
      </x:c>
      <x:c r="G2151" s="12" t="n">
        <x:v>0.034</x:v>
      </x:c>
      <x:c r="H2151" s="1" t="n">
        <x:f>'Historical prices'!E2151</x:f>
        <x:v>1.05</x:v>
      </x:c>
      <x:c r="I2151" s="6" t="n">
        <x:f>'Historical prices'!D2151</x:f>
        <x:v>0.1703</x:v>
      </x:c>
      <x:c r="J2151" s="13" t="n">
        <x:f>D2151*I2151*H2151</x:f>
        <x:v>0.04036748625</x:v>
      </x:c>
      <x:c r="K2151" s="13" t="n">
        <x:f>E2151*I2151*H2151</x:f>
        <x:v>0.09690282874999999</x:v>
      </x:c>
      <x:c r="L2151" s="1" t="str">
        <x:f>TEXT(A2151,"mmm yyyy")</x:f>
        <x:v>Jun 2026</x:v>
      </x:c>
    </x:row>
    <x:row r="2152" ht="21" customHeight="1">
      <x:c r="A2152" s="10" t="n">
        <x:v>46193</x:v>
      </x:c>
      <x:c r="B2152" s="1" t="n">
        <x:v>8</x:v>
      </x:c>
      <x:c r="C2152" s="1" t="n">
        <x:v>6</x:v>
      </x:c>
      <x:c r="D2152" s="12" t="n">
        <x:v>0.54125</x:v>
      </x:c>
      <x:c r="E2152" s="12" t="n">
        <x:v>0.45624999999999993</x:v>
      </x:c>
      <x:c r="F2152" s="12" t="n">
        <x:v>0</x:v>
      </x:c>
      <x:c r="G2152" s="12" t="n">
        <x:v>0.077</x:v>
      </x:c>
      <x:c r="H2152" s="1" t="n">
        <x:f>'Historical prices'!E2152</x:f>
        <x:v>1.05</x:v>
      </x:c>
      <x:c r="I2152" s="6" t="n">
        <x:f>'Historical prices'!D2152</x:f>
        <x:v>0.1432</x:v>
      </x:c>
      <x:c r="J2152" s="13" t="n">
        <x:f>D2152*I2152*H2152</x:f>
        <x:v>0.08138234999999999</x:v>
      </x:c>
      <x:c r="K2152" s="13" t="n">
        <x:f>E2152*I2152*H2152</x:f>
        <x:v>0.06860174999999999</x:v>
      </x:c>
      <x:c r="L2152" s="1" t="str">
        <x:f>TEXT(A2152,"mmm yyyy")</x:f>
        <x:v>Jun 2026</x:v>
      </x:c>
    </x:row>
    <x:row r="2153" ht="21" customHeight="1">
      <x:c r="A2153" s="10" t="n">
        <x:v>46193</x:v>
      </x:c>
      <x:c r="B2153" s="1" t="n">
        <x:v>8.5</x:v>
      </x:c>
      <x:c r="C2153" s="1" t="n">
        <x:v>6</x:v>
      </x:c>
      <x:c r="D2153" s="12" t="n">
        <x:v>0.47591666666666665</x:v>
      </x:c>
      <x:c r="E2153" s="12" t="n">
        <x:v>0.48191666666666666</x:v>
      </x:c>
      <x:c r="F2153" s="12" t="n">
        <x:v>0</x:v>
      </x:c>
      <x:c r="G2153" s="12" t="n">
        <x:v>0</x:v>
      </x:c>
      <x:c r="H2153" s="1" t="n">
        <x:f>'Historical prices'!E2153</x:f>
        <x:v>1.05</x:v>
      </x:c>
      <x:c r="I2153" s="6" t="n">
        <x:f>'Historical prices'!D2153</x:f>
        <x:v>0.1514</x:v>
      </x:c>
      <x:c r="J2153" s="13" t="n">
        <x:f>D2153*I2153*H2153</x:f>
        <x:v>0.0756564725</x:v>
      </x:c>
      <x:c r="K2153" s="13" t="n">
        <x:f>E2153*I2153*H2153</x:f>
        <x:v>0.0766102925</x:v>
      </x:c>
      <x:c r="L2153" s="1" t="str">
        <x:f>TEXT(A2153,"mmm yyyy")</x:f>
        <x:v>Jun 2026</x:v>
      </x:c>
    </x:row>
    <x:row r="2154" ht="21" customHeight="1">
      <x:c r="A2154" s="10" t="n">
        <x:v>46193</x:v>
      </x:c>
      <x:c r="B2154" s="1" t="n">
        <x:v>9</x:v>
      </x:c>
      <x:c r="C2154" s="1" t="n">
        <x:v>6</x:v>
      </x:c>
      <x:c r="D2154" s="12" t="n">
        <x:v>0.39116666666666666</x:v>
      </x:c>
      <x:c r="E2154" s="12" t="n">
        <x:v>0.39316666666666666</x:v>
      </x:c>
      <x:c r="F2154" s="12" t="n">
        <x:v>0</x:v>
      </x:c>
      <x:c r="G2154" s="12" t="n">
        <x:v>0</x:v>
      </x:c>
      <x:c r="H2154" s="1" t="n">
        <x:f>'Historical prices'!E2154</x:f>
        <x:v>1.05</x:v>
      </x:c>
      <x:c r="I2154" s="6" t="n">
        <x:f>'Historical prices'!D2154</x:f>
        <x:v>0.1536</x:v>
      </x:c>
      <x:c r="J2154" s="13" t="n">
        <x:f>D2154*I2154*H2154</x:f>
        <x:v>0.06308736</x:v>
      </x:c>
      <x:c r="K2154" s="13" t="n">
        <x:f>E2154*I2154*H2154</x:f>
        <x:v>0.06340992</x:v>
      </x:c>
      <x:c r="L2154" s="1" t="str">
        <x:f>TEXT(A2154,"mmm yyyy")</x:f>
        <x:v>Jun 2026</x:v>
      </x:c>
    </x:row>
    <x:row r="2155" ht="21" customHeight="1">
      <x:c r="A2155" s="10" t="n">
        <x:v>46193</x:v>
      </x:c>
      <x:c r="B2155" s="1" t="n">
        <x:v>9.5</x:v>
      </x:c>
      <x:c r="C2155" s="1" t="n">
        <x:v>6</x:v>
      </x:c>
      <x:c r="D2155" s="12" t="n">
        <x:v>0.39916666666666667</x:v>
      </x:c>
      <x:c r="E2155" s="12" t="n">
        <x:v>0.4011666666666666</x:v>
      </x:c>
      <x:c r="F2155" s="12" t="n">
        <x:v>0</x:v>
      </x:c>
      <x:c r="G2155" s="12" t="n">
        <x:v>0</x:v>
      </x:c>
      <x:c r="H2155" s="1" t="n">
        <x:f>'Historical prices'!E2155</x:f>
        <x:v>1.05</x:v>
      </x:c>
      <x:c r="I2155" s="6" t="n">
        <x:f>'Historical prices'!D2155</x:f>
        <x:v>0.1404</x:v>
      </x:c>
      <x:c r="J2155" s="13" t="n">
        <x:f>D2155*I2155*H2155</x:f>
        <x:v>0.058845150000000006</x:v>
      </x:c>
      <x:c r="K2155" s="13" t="n">
        <x:f>E2155*I2155*H2155</x:f>
        <x:v>0.059139989999999996</x:v>
      </x:c>
      <x:c r="L2155" s="1" t="str">
        <x:f>TEXT(A2155,"mmm yyyy")</x:f>
        <x:v>Jun 2026</x:v>
      </x:c>
    </x:row>
    <x:row r="2156" ht="21" customHeight="1">
      <x:c r="A2156" s="10" t="n">
        <x:v>46193</x:v>
      </x:c>
      <x:c r="B2156" s="1" t="n">
        <x:v>10</x:v>
      </x:c>
      <x:c r="C2156" s="1" t="n">
        <x:v>6</x:v>
      </x:c>
      <x:c r="D2156" s="12" t="n">
        <x:v>0.41625</x:v>
      </x:c>
      <x:c r="E2156" s="12" t="n">
        <x:v>0.41825</x:v>
      </x:c>
      <x:c r="F2156" s="12" t="n">
        <x:v>0</x:v>
      </x:c>
      <x:c r="G2156" s="12" t="n">
        <x:v>0</x:v>
      </x:c>
      <x:c r="H2156" s="1" t="n">
        <x:f>'Historical prices'!E2156</x:f>
        <x:v>1.05</x:v>
      </x:c>
      <x:c r="I2156" s="6" t="n">
        <x:f>'Historical prices'!D2156</x:f>
        <x:v>0.14880000000000002</x:v>
      </x:c>
      <x:c r="J2156" s="13" t="n">
        <x:f>D2156*I2156*H2156</x:f>
        <x:v>0.0650349</x:v>
      </x:c>
      <x:c r="K2156" s="13" t="n">
        <x:f>E2156*I2156*H2156</x:f>
        <x:v>0.06534738000000001</x:v>
      </x:c>
      <x:c r="L2156" s="1" t="str">
        <x:f>TEXT(A2156,"mmm yyyy")</x:f>
        <x:v>Jun 2026</x:v>
      </x:c>
    </x:row>
    <x:row r="2157" ht="21" customHeight="1">
      <x:c r="A2157" s="10" t="n">
        <x:v>46193</x:v>
      </x:c>
      <x:c r="B2157" s="1" t="n">
        <x:v>10.5</x:v>
      </x:c>
      <x:c r="C2157" s="1" t="n">
        <x:v>6</x:v>
      </x:c>
      <x:c r="D2157" s="12" t="n">
        <x:v>0.42650000000000005</x:v>
      </x:c>
      <x:c r="E2157" s="12" t="n">
        <x:v>0.4285</x:v>
      </x:c>
      <x:c r="F2157" s="12" t="n">
        <x:v>0</x:v>
      </x:c>
      <x:c r="G2157" s="12" t="n">
        <x:v>0</x:v>
      </x:c>
      <x:c r="H2157" s="1" t="n">
        <x:f>'Historical prices'!E2157</x:f>
        <x:v>1.05</x:v>
      </x:c>
      <x:c r="I2157" s="6" t="n">
        <x:f>'Historical prices'!D2157</x:f>
        <x:v>0.1422</x:v>
      </x:c>
      <x:c r="J2157" s="13" t="n">
        <x:f>D2157*I2157*H2157</x:f>
        <x:v>0.063680715</x:v>
      </x:c>
      <x:c r="K2157" s="13" t="n">
        <x:f>E2157*I2157*H2157</x:f>
        <x:v>0.063979335</x:v>
      </x:c>
      <x:c r="L2157" s="1" t="str">
        <x:f>TEXT(A2157,"mmm yyyy")</x:f>
        <x:v>Jun 2026</x:v>
      </x:c>
    </x:row>
    <x:row r="2158" ht="21" customHeight="1">
      <x:c r="A2158" s="10" t="n">
        <x:v>46193</x:v>
      </x:c>
      <x:c r="B2158" s="1" t="n">
        <x:v>11</x:v>
      </x:c>
      <x:c r="C2158" s="1" t="n">
        <x:v>6</x:v>
      </x:c>
      <x:c r="D2158" s="12" t="n">
        <x:v>4.4910000000000005</x:v>
      </x:c>
      <x:c r="E2158" s="12" t="n">
        <x:v>0.6150000000000001</x:v>
      </x:c>
      <x:c r="F2158" s="12" t="n">
        <x:v>0</x:v>
      </x:c>
      <x:c r="G2158" s="12" t="n">
        <x:v>3.876</x:v>
      </x:c>
      <x:c r="H2158" s="1" t="n">
        <x:f>'Historical prices'!E2158</x:f>
        <x:v>1.05</x:v>
      </x:c>
      <x:c r="I2158" s="6" t="n">
        <x:f>'Historical prices'!D2158</x:f>
        <x:v>0.12539999999999998</x:v>
      </x:c>
      <x:c r="J2158" s="13" t="n">
        <x:f>D2158*I2158*H2158</x:f>
        <x:v>0.59132997</x:v>
      </x:c>
      <x:c r="K2158" s="13" t="n">
        <x:f>E2158*I2158*H2158</x:f>
        <x:v>0.08097705000000001</x:v>
      </x:c>
      <x:c r="L2158" s="1" t="str">
        <x:f>TEXT(A2158,"mmm yyyy")</x:f>
        <x:v>Jun 2026</x:v>
      </x:c>
    </x:row>
    <x:row r="2159" ht="21" customHeight="1">
      <x:c r="A2159" s="10" t="n">
        <x:v>46193</x:v>
      </x:c>
      <x:c r="B2159" s="1" t="n">
        <x:v>11.5</x:v>
      </x:c>
      <x:c r="C2159" s="1" t="n">
        <x:v>6</x:v>
      </x:c>
      <x:c r="D2159" s="12" t="n">
        <x:v>5.244916666666667</x:v>
      </x:c>
      <x:c r="E2159" s="12" t="n">
        <x:v>0.6099166666666667</x:v>
      </x:c>
      <x:c r="F2159" s="12" t="n">
        <x:v>0</x:v>
      </x:c>
      <x:c r="G2159" s="12" t="n">
        <x:v>4.635</x:v>
      </x:c>
      <x:c r="H2159" s="1" t="n">
        <x:f>'Historical prices'!E2159</x:f>
        <x:v>1.05</x:v>
      </x:c>
      <x:c r="I2159" s="6" t="n">
        <x:f>'Historical prices'!D2159</x:f>
        <x:v>0.1281</x:v>
      </x:c>
      <x:c r="J2159" s="13" t="n">
        <x:f>D2159*I2159*H2159</x:f>
        <x:v>0.7054675162499999</x:v>
      </x:c>
      <x:c r="K2159" s="13" t="n">
        <x:f>E2159*I2159*H2159</x:f>
        <x:v>0.08203684125</x:v>
      </x:c>
      <x:c r="L2159" s="1" t="str">
        <x:f>TEXT(A2159,"mmm yyyy")</x:f>
        <x:v>Jun 2026</x:v>
      </x:c>
    </x:row>
    <x:row r="2160" ht="21" customHeight="1">
      <x:c r="A2160" s="10" t="n">
        <x:v>46193</x:v>
      </x:c>
      <x:c r="B2160" s="1" t="n">
        <x:v>12</x:v>
      </x:c>
      <x:c r="C2160" s="1" t="n">
        <x:v>6</x:v>
      </x:c>
      <x:c r="D2160" s="12" t="n">
        <x:v>1.2193333333333334</x:v>
      </x:c>
      <x:c r="E2160" s="12" t="n">
        <x:v>0.4733333333333333</x:v>
      </x:c>
      <x:c r="F2160" s="12" t="n">
        <x:v>0</x:v>
      </x:c>
      <x:c r="G2160" s="12" t="n">
        <x:v>0.748</x:v>
      </x:c>
      <x:c r="H2160" s="1" t="n">
        <x:f>'Historical prices'!E2160</x:f>
        <x:v>1.05</x:v>
      </x:c>
      <x:c r="I2160" s="6" t="n">
        <x:f>'Historical prices'!D2160</x:f>
        <x:v>0.1346</x:v>
      </x:c>
      <x:c r="J2160" s="13" t="n">
        <x:f>D2160*I2160*H2160</x:f>
        <x:v>0.17232838000000003</x:v>
      </x:c>
      <x:c r="K2160" s="13" t="n">
        <x:f>E2160*I2160*H2160</x:f>
        <x:v>0.06689619999999999</x:v>
      </x:c>
      <x:c r="L2160" s="1" t="str">
        <x:f>TEXT(A2160,"mmm yyyy")</x:f>
        <x:v>Jun 2026</x:v>
      </x:c>
    </x:row>
    <x:row r="2161" ht="21" customHeight="1">
      <x:c r="A2161" s="10" t="n">
        <x:v>46193</x:v>
      </x:c>
      <x:c r="B2161" s="1" t="n">
        <x:v>12.5</x:v>
      </x:c>
      <x:c r="C2161" s="1" t="n">
        <x:v>6</x:v>
      </x:c>
      <x:c r="D2161" s="12" t="n">
        <x:v>0.307</x:v>
      </x:c>
      <x:c r="E2161" s="12" t="n">
        <x:v>0.319</x:v>
      </x:c>
      <x:c r="F2161" s="12" t="n">
        <x:v>0</x:v>
      </x:c>
      <x:c r="G2161" s="12" t="n">
        <x:v>0</x:v>
      </x:c>
      <x:c r="H2161" s="1" t="n">
        <x:f>'Historical prices'!E2161</x:f>
        <x:v>1.05</x:v>
      </x:c>
      <x:c r="I2161" s="6" t="n">
        <x:f>'Historical prices'!D2161</x:f>
        <x:v>0.13140000000000002</x:v>
      </x:c>
      <x:c r="J2161" s="13" t="n">
        <x:f>D2161*I2161*H2161</x:f>
        <x:v>0.042356790000000005</x:v>
      </x:c>
      <x:c r="K2161" s="13" t="n">
        <x:f>E2161*I2161*H2161</x:f>
        <x:v>0.044012430000000005</x:v>
      </x:c>
      <x:c r="L2161" s="1" t="str">
        <x:f>TEXT(A2161,"mmm yyyy")</x:f>
        <x:v>Jun 2026</x:v>
      </x:c>
    </x:row>
    <x:row r="2162" ht="21" customHeight="1">
      <x:c r="A2162" s="10" t="n">
        <x:v>46193</x:v>
      </x:c>
      <x:c r="B2162" s="1" t="n">
        <x:v>13</x:v>
      </x:c>
      <x:c r="C2162" s="1" t="n">
        <x:v>6</x:v>
      </x:c>
      <x:c r="D2162" s="12" t="n">
        <x:v>0.3413333333333333</x:v>
      </x:c>
      <x:c r="E2162" s="12" t="n">
        <x:v>0.35233333333333333</x:v>
      </x:c>
      <x:c r="F2162" s="12" t="n">
        <x:v>0</x:v>
      </x:c>
      <x:c r="G2162" s="12" t="n">
        <x:v>0</x:v>
      </x:c>
      <x:c r="H2162" s="1" t="n">
        <x:f>'Historical prices'!E2162</x:f>
        <x:v>1.05</x:v>
      </x:c>
      <x:c r="I2162" s="6" t="n">
        <x:f>'Historical prices'!D2162</x:f>
        <x:v>0.1304</x:v>
      </x:c>
      <x:c r="J2162" s="13" t="n">
        <x:f>D2162*I2162*H2162</x:f>
        <x:v>0.04673536</x:v>
      </x:c>
      <x:c r="K2162" s="13" t="n">
        <x:f>E2162*I2162*H2162</x:f>
        <x:v>0.048241479999999996</x:v>
      </x:c>
      <x:c r="L2162" s="1" t="str">
        <x:f>TEXT(A2162,"mmm yyyy")</x:f>
        <x:v>Jun 2026</x:v>
      </x:c>
    </x:row>
    <x:row r="2163" ht="21" customHeight="1">
      <x:c r="A2163" s="10" t="n">
        <x:v>46193</x:v>
      </x:c>
      <x:c r="B2163" s="1" t="n">
        <x:v>13.5</x:v>
      </x:c>
      <x:c r="C2163" s="1" t="n">
        <x:v>6</x:v>
      </x:c>
      <x:c r="D2163" s="12" t="n">
        <x:v>0.44641666666666663</x:v>
      </x:c>
      <x:c r="E2163" s="12" t="n">
        <x:v>0.3874166666666667</x:v>
      </x:c>
      <x:c r="F2163" s="12" t="n">
        <x:v>0</x:v>
      </x:c>
      <x:c r="G2163" s="12" t="n">
        <x:v>0.066</x:v>
      </x:c>
      <x:c r="H2163" s="1" t="n">
        <x:f>'Historical prices'!E2163</x:f>
        <x:v>1.05</x:v>
      </x:c>
      <x:c r="I2163" s="6" t="n">
        <x:f>'Historical prices'!D2163</x:f>
        <x:v>0.1304</x:v>
      </x:c>
      <x:c r="J2163" s="13" t="n">
        <x:f>D2163*I2163*H2163</x:f>
        <x:v>0.06112336999999999</x:v>
      </x:c>
      <x:c r="K2163" s="13" t="n">
        <x:f>E2163*I2163*H2163</x:f>
        <x:v>0.05304509</x:v>
      </x:c>
      <x:c r="L2163" s="1" t="str">
        <x:f>TEXT(A2163,"mmm yyyy")</x:f>
        <x:v>Jun 2026</x:v>
      </x:c>
    </x:row>
    <x:row r="2164" ht="21" customHeight="1">
      <x:c r="A2164" s="10" t="n">
        <x:v>46193</x:v>
      </x:c>
      <x:c r="B2164" s="1" t="n">
        <x:v>14</x:v>
      </x:c>
      <x:c r="C2164" s="1" t="n">
        <x:v>6</x:v>
      </x:c>
      <x:c r="D2164" s="12" t="n">
        <x:v>0.3739166666666667</x:v>
      </x:c>
      <x:c r="E2164" s="12" t="n">
        <x:v>0.34891666666666665</x:v>
      </x:c>
      <x:c r="F2164" s="12" t="n">
        <x:v>0</x:v>
      </x:c>
      <x:c r="G2164" s="12" t="n">
        <x:v>0.032</x:v>
      </x:c>
      <x:c r="H2164" s="1" t="n">
        <x:f>'Historical prices'!E2164</x:f>
        <x:v>1.05</x:v>
      </x:c>
      <x:c r="I2164" s="6" t="n">
        <x:f>'Historical prices'!D2164</x:f>
        <x:v>0.13269999999999998</x:v>
      </x:c>
      <x:c r="J2164" s="13" t="n">
        <x:f>D2164*I2164*H2164</x:f>
        <x:v>0.052099678749999996</x:v>
      </x:c>
      <x:c r="K2164" s="13" t="n">
        <x:f>E2164*I2164*H2164</x:f>
        <x:v>0.04861630374999999</x:v>
      </x:c>
      <x:c r="L2164" s="1" t="str">
        <x:f>TEXT(A2164,"mmm yyyy")</x:f>
        <x:v>Jun 2026</x:v>
      </x:c>
    </x:row>
    <x:row r="2165" ht="21" customHeight="1">
      <x:c r="A2165" s="10" t="n">
        <x:v>46193</x:v>
      </x:c>
      <x:c r="B2165" s="1" t="n">
        <x:v>14.5</x:v>
      </x:c>
      <x:c r="C2165" s="1" t="n">
        <x:v>6</x:v>
      </x:c>
      <x:c r="D2165" s="12" t="n">
        <x:v>0.7286666666666667</x:v>
      </x:c>
      <x:c r="E2165" s="12" t="n">
        <x:v>0.6656666666666667</x:v>
      </x:c>
      <x:c r="F2165" s="12" t="n">
        <x:v>0</x:v>
      </x:c>
      <x:c r="G2165" s="12" t="n">
        <x:v>0.069</x:v>
      </x:c>
      <x:c r="H2165" s="1" t="n">
        <x:f>'Historical prices'!E2165</x:f>
        <x:v>1.05</x:v>
      </x:c>
      <x:c r="I2165" s="6" t="n">
        <x:f>'Historical prices'!D2165</x:f>
        <x:v>0.1304</x:v>
      </x:c>
      <x:c r="J2165" s="13" t="n">
        <x:f>D2165*I2165*H2165</x:f>
        <x:v>0.09976903999999999</x:v>
      </x:c>
      <x:c r="K2165" s="13" t="n">
        <x:f>E2165*I2165*H2165</x:f>
        <x:v>0.09114308</x:v>
      </x:c>
      <x:c r="L2165" s="1" t="str">
        <x:f>TEXT(A2165,"mmm yyyy")</x:f>
        <x:v>Jun 2026</x:v>
      </x:c>
    </x:row>
    <x:row r="2166" ht="21" customHeight="1">
      <x:c r="A2166" s="10" t="n">
        <x:v>46193</x:v>
      </x:c>
      <x:c r="B2166" s="1" t="n">
        <x:v>15</x:v>
      </x:c>
      <x:c r="C2166" s="1" t="n">
        <x:v>6</x:v>
      </x:c>
      <x:c r="D2166" s="12" t="n">
        <x:v>0.42033333333333334</x:v>
      </x:c>
      <x:c r="E2166" s="12" t="n">
        <x:v>0.43133333333333335</x:v>
      </x:c>
      <x:c r="F2166" s="12" t="n">
        <x:v>0</x:v>
      </x:c>
      <x:c r="G2166" s="12" t="n">
        <x:v>0</x:v>
      </x:c>
      <x:c r="H2166" s="1" t="n">
        <x:f>'Historical prices'!E2166</x:f>
        <x:v>1.05</x:v>
      </x:c>
      <x:c r="I2166" s="6" t="n">
        <x:f>'Historical prices'!D2166</x:f>
        <x:v>0.1304</x:v>
      </x:c>
      <x:c r="J2166" s="13" t="n">
        <x:f>D2166*I2166*H2166</x:f>
        <x:v>0.05755204</x:v>
      </x:c>
      <x:c r="K2166" s="13" t="n">
        <x:f>E2166*I2166*H2166</x:f>
        <x:v>0.05905816</x:v>
      </x:c>
      <x:c r="L2166" s="1" t="str">
        <x:f>TEXT(A2166,"mmm yyyy")</x:f>
        <x:v>Jun 2026</x:v>
      </x:c>
    </x:row>
    <x:row r="2167" ht="21" customHeight="1">
      <x:c r="A2167" s="10" t="n">
        <x:v>46193</x:v>
      </x:c>
      <x:c r="B2167" s="1" t="n">
        <x:v>15.5</x:v>
      </x:c>
      <x:c r="C2167" s="1" t="n">
        <x:v>6</x:v>
      </x:c>
      <x:c r="D2167" s="12" t="n">
        <x:v>0.10016666666666667</x:v>
      </x:c>
      <x:c r="E2167" s="12" t="n">
        <x:v>0.69975</x:v>
      </x:c>
      <x:c r="F2167" s="12" t="n">
        <x:v>0.5969166666666667</x:v>
      </x:c>
      <x:c r="G2167" s="12" t="n">
        <x:v>0</x:v>
      </x:c>
      <x:c r="H2167" s="1" t="n">
        <x:f>'Historical prices'!E2167</x:f>
        <x:v>1.05</x:v>
      </x:c>
      <x:c r="I2167" s="6" t="n">
        <x:f>'Historical prices'!D2167</x:f>
        <x:v>0.13849999999999998</x:v>
      </x:c>
      <x:c r="J2167" s="13" t="n">
        <x:f>D2167*I2167*H2167</x:f>
        <x:v>0.0145667375</x:v>
      </x:c>
      <x:c r="K2167" s="13" t="n">
        <x:f>E2167*I2167*H2167</x:f>
        <x:v>0.10176114374999999</x:v>
      </x:c>
      <x:c r="L2167" s="1" t="str">
        <x:f>TEXT(A2167,"mmm yyyy")</x:f>
        <x:v>Jun 2026</x:v>
      </x:c>
    </x:row>
    <x:row r="2168" ht="21" customHeight="1">
      <x:c r="A2168" s="10" t="n">
        <x:v>46193</x:v>
      </x:c>
      <x:c r="B2168" s="1" t="n">
        <x:v>16</x:v>
      </x:c>
      <x:c r="C2168" s="1" t="n">
        <x:v>6</x:v>
      </x:c>
      <x:c r="D2168" s="12" t="n">
        <x:v>0</x:v>
      </x:c>
      <x:c r="E2168" s="12" t="n">
        <x:v>0.48075</x:v>
      </x:c>
      <x:c r="F2168" s="12" t="n">
        <x:v>0.4806666666666667</x:v>
      </x:c>
      <x:c r="G2168" s="12" t="n">
        <x:v>0</x:v>
      </x:c>
      <x:c r="H2168" s="1" t="n">
        <x:f>'Historical prices'!E2168</x:f>
        <x:v>1.05</x:v>
      </x:c>
      <x:c r="I2168" s="6" t="n">
        <x:f>'Historical prices'!D2168</x:f>
        <x:v>0.27399999999999997</x:v>
      </x:c>
      <x:c r="J2168" s="13" t="n">
        <x:f>D2168*I2168*H2168</x:f>
        <x:v>0</x:v>
      </x:c>
      <x:c r="K2168" s="13" t="n">
        <x:f>E2168*I2168*H2168</x:f>
        <x:v>0.138311775</x:v>
      </x:c>
      <x:c r="L2168" s="1" t="str">
        <x:f>TEXT(A2168,"mmm yyyy")</x:f>
        <x:v>Jun 2026</x:v>
      </x:c>
    </x:row>
    <x:row r="2169" ht="21" customHeight="1">
      <x:c r="A2169" s="10" t="n">
        <x:v>46193</x:v>
      </x:c>
      <x:c r="B2169" s="1" t="n">
        <x:v>16.5</x:v>
      </x:c>
      <x:c r="C2169" s="1" t="n">
        <x:v>6</x:v>
      </x:c>
      <x:c r="D2169" s="12" t="n">
        <x:v>0</x:v>
      </x:c>
      <x:c r="E2169" s="12" t="n">
        <x:v>0.6018333333333333</x:v>
      </x:c>
      <x:c r="F2169" s="12" t="n">
        <x:v>0.6016666666666667</x:v>
      </x:c>
      <x:c r="G2169" s="12" t="n">
        <x:v>0</x:v>
      </x:c>
      <x:c r="H2169" s="1" t="n">
        <x:f>'Historical prices'!E2169</x:f>
        <x:v>1.05</x:v>
      </x:c>
      <x:c r="I2169" s="6" t="n">
        <x:f>'Historical prices'!D2169</x:f>
        <x:v>0.2609</x:v>
      </x:c>
      <x:c r="J2169" s="13" t="n">
        <x:f>D2169*I2169*H2169</x:f>
        <x:v>0</x:v>
      </x:c>
      <x:c r="K2169" s="13" t="n">
        <x:f>E2169*I2169*H2169</x:f>
        <x:v>0.16486923250000002</x:v>
      </x:c>
      <x:c r="L2169" s="1" t="str">
        <x:f>TEXT(A2169,"mmm yyyy")</x:f>
        <x:v>Jun 2026</x:v>
      </x:c>
    </x:row>
    <x:row r="2170" ht="21" customHeight="1">
      <x:c r="A2170" s="10" t="n">
        <x:v>46193</x:v>
      </x:c>
      <x:c r="B2170" s="1" t="n">
        <x:v>17</x:v>
      </x:c>
      <x:c r="C2170" s="1" t="n">
        <x:v>6</x:v>
      </x:c>
      <x:c r="D2170" s="12" t="n">
        <x:v>0</x:v>
      </x:c>
      <x:c r="E2170" s="12" t="n">
        <x:v>0.5608333333333333</x:v>
      </x:c>
      <x:c r="F2170" s="12" t="n">
        <x:v>0.5608333333333333</x:v>
      </x:c>
      <x:c r="G2170" s="12" t="n">
        <x:v>0</x:v>
      </x:c>
      <x:c r="H2170" s="1" t="n">
        <x:f>'Historical prices'!E2170</x:f>
        <x:v>1.05</x:v>
      </x:c>
      <x:c r="I2170" s="6" t="n">
        <x:f>'Historical prices'!D2170</x:f>
        <x:v>0.2966</x:v>
      </x:c>
      <x:c r="J2170" s="13" t="n">
        <x:f>D2170*I2170*H2170</x:f>
        <x:v>0</x:v>
      </x:c>
      <x:c r="K2170" s="13" t="n">
        <x:f>E2170*I2170*H2170</x:f>
        <x:v>0.174660325</x:v>
      </x:c>
      <x:c r="L2170" s="1" t="str">
        <x:f>TEXT(A2170,"mmm yyyy")</x:f>
        <x:v>Jun 2026</x:v>
      </x:c>
    </x:row>
    <x:row r="2171" ht="21" customHeight="1">
      <x:c r="A2171" s="10" t="n">
        <x:v>46193</x:v>
      </x:c>
      <x:c r="B2171" s="1" t="n">
        <x:v>17.5</x:v>
      </x:c>
      <x:c r="C2171" s="1" t="n">
        <x:v>6</x:v>
      </x:c>
      <x:c r="D2171" s="12" t="n">
        <x:v>0</x:v>
      </x:c>
      <x:c r="E2171" s="12" t="n">
        <x:v>0.9388333333333333</x:v>
      </x:c>
      <x:c r="F2171" s="12" t="n">
        <x:v>0.9386666666666666</x:v>
      </x:c>
      <x:c r="G2171" s="12" t="n">
        <x:v>0</x:v>
      </x:c>
      <x:c r="H2171" s="1" t="n">
        <x:f>'Historical prices'!E2171</x:f>
        <x:v>1.05</x:v>
      </x:c>
      <x:c r="I2171" s="6" t="n">
        <x:f>'Historical prices'!D2171</x:f>
        <x:v>0.2924</x:v>
      </x:c>
      <x:c r="J2171" s="13" t="n">
        <x:f>D2171*I2171*H2171</x:f>
        <x:v>0</x:v>
      </x:c>
      <x:c r="K2171" s="13" t="n">
        <x:f>E2171*I2171*H2171</x:f>
        <x:v>0.28824060999999995</x:v>
      </x:c>
      <x:c r="L2171" s="1" t="str">
        <x:f>TEXT(A2171,"mmm yyyy")</x:f>
        <x:v>Jun 2026</x:v>
      </x:c>
    </x:row>
    <x:row r="2172" ht="21" customHeight="1">
      <x:c r="A2172" s="10" t="n">
        <x:v>46193</x:v>
      </x:c>
      <x:c r="B2172" s="1" t="n">
        <x:v>18</x:v>
      </x:c>
      <x:c r="C2172" s="1" t="n">
        <x:v>6</x:v>
      </x:c>
      <x:c r="D2172" s="12" t="n">
        <x:v>0</x:v>
      </x:c>
      <x:c r="E2172" s="12" t="n">
        <x:v>0.5170833333333333</x:v>
      </x:c>
      <x:c r="F2172" s="12" t="n">
        <x:v>0.51675</x:v>
      </x:c>
      <x:c r="G2172" s="12" t="n">
        <x:v>0</x:v>
      </x:c>
      <x:c r="H2172" s="1" t="n">
        <x:f>'Historical prices'!E2172</x:f>
        <x:v>1.05</x:v>
      </x:c>
      <x:c r="I2172" s="6" t="n">
        <x:f>'Historical prices'!D2172</x:f>
        <x:v>0.33270000000000005</x:v>
      </x:c>
      <x:c r="J2172" s="13" t="n">
        <x:f>D2172*I2172*H2172</x:f>
        <x:v>0</x:v>
      </x:c>
      <x:c r="K2172" s="13" t="n">
        <x:f>E2172*I2172*H2172</x:f>
        <x:v>0.18063530625000004</x:v>
      </x:c>
      <x:c r="L2172" s="1" t="str">
        <x:f>TEXT(A2172,"mmm yyyy")</x:f>
        <x:v>Jun 2026</x:v>
      </x:c>
    </x:row>
    <x:row r="2173" ht="21" customHeight="1">
      <x:c r="A2173" s="10" t="n">
        <x:v>46193</x:v>
      </x:c>
      <x:c r="B2173" s="1" t="n">
        <x:v>18.5</x:v>
      </x:c>
      <x:c r="C2173" s="1" t="n">
        <x:v>6</x:v>
      </x:c>
      <x:c r="D2173" s="12" t="n">
        <x:v>0</x:v>
      </x:c>
      <x:c r="E2173" s="12" t="n">
        <x:v>1.1825833333333333</x:v>
      </x:c>
      <x:c r="F2173" s="12" t="n">
        <x:v>1.17475</x:v>
      </x:c>
      <x:c r="G2173" s="12" t="n">
        <x:v>0</x:v>
      </x:c>
      <x:c r="H2173" s="1" t="n">
        <x:f>'Historical prices'!E2173</x:f>
        <x:v>1.05</x:v>
      </x:c>
      <x:c r="I2173" s="6" t="n">
        <x:f>'Historical prices'!D2173</x:f>
        <x:v>0.3479</x:v>
      </x:c>
      <x:c r="J2173" s="13" t="n">
        <x:f>D2173*I2173*H2173</x:f>
        <x:v>0</x:v>
      </x:c>
      <x:c r="K2173" s="13" t="n">
        <x:f>E2173*I2173*H2173</x:f>
        <x:v>0.43199177875</x:v>
      </x:c>
      <x:c r="L2173" s="1" t="str">
        <x:f>TEXT(A2173,"mmm yyyy")</x:f>
        <x:v>Jun 2026</x:v>
      </x:c>
    </x:row>
    <x:row r="2174" ht="21" customHeight="1">
      <x:c r="A2174" s="10" t="n">
        <x:v>46193</x:v>
      </x:c>
      <x:c r="B2174" s="1" t="n">
        <x:v>19</x:v>
      </x:c>
      <x:c r="C2174" s="1" t="n">
        <x:v>6</x:v>
      </x:c>
      <x:c r="D2174" s="12" t="n">
        <x:v>0</x:v>
      </x:c>
      <x:c r="E2174" s="12" t="n">
        <x:v>0.9594999999999999</x:v>
      </x:c>
      <x:c r="F2174" s="12" t="n">
        <x:v>0.9594999999999999</x:v>
      </x:c>
      <x:c r="G2174" s="12" t="n">
        <x:v>0</x:v>
      </x:c>
      <x:c r="H2174" s="1" t="n">
        <x:f>'Historical prices'!E2174</x:f>
        <x:v>1.05</x:v>
      </x:c>
      <x:c r="I2174" s="6" t="n">
        <x:f>'Historical prices'!D2174</x:f>
        <x:v>0.2648</x:v>
      </x:c>
      <x:c r="J2174" s="13" t="n">
        <x:f>D2174*I2174*H2174</x:f>
        <x:v>0</x:v>
      </x:c>
      <x:c r="K2174" s="13" t="n">
        <x:f>E2174*I2174*H2174</x:f>
        <x:v>0.26677937999999995</x:v>
      </x:c>
      <x:c r="L2174" s="1" t="str">
        <x:f>TEXT(A2174,"mmm yyyy")</x:f>
        <x:v>Jun 2026</x:v>
      </x:c>
    </x:row>
    <x:row r="2175" ht="21" customHeight="1">
      <x:c r="A2175" s="10" t="n">
        <x:v>46193</x:v>
      </x:c>
      <x:c r="B2175" s="1" t="n">
        <x:v>19.5</x:v>
      </x:c>
      <x:c r="C2175" s="1" t="n">
        <x:v>6</x:v>
      </x:c>
      <x:c r="D2175" s="12" t="n">
        <x:v>0</x:v>
      </x:c>
      <x:c r="E2175" s="12" t="n">
        <x:v>0.5458333333333333</x:v>
      </x:c>
      <x:c r="F2175" s="12" t="n">
        <x:v>0.5456666666666666</x:v>
      </x:c>
      <x:c r="G2175" s="12" t="n">
        <x:v>0</x:v>
      </x:c>
      <x:c r="H2175" s="1" t="n">
        <x:f>'Historical prices'!E2175</x:f>
        <x:v>1.05</x:v>
      </x:c>
      <x:c r="I2175" s="6" t="n">
        <x:f>'Historical prices'!D2175</x:f>
        <x:v>0.2589</x:v>
      </x:c>
      <x:c r="J2175" s="13" t="n">
        <x:f>D2175*I2175*H2175</x:f>
        <x:v>0</x:v>
      </x:c>
      <x:c r="K2175" s="13" t="n">
        <x:f>E2175*I2175*H2175</x:f>
        <x:v>0.14838206250000002</x:v>
      </x:c>
      <x:c r="L2175" s="1" t="str">
        <x:f>TEXT(A2175,"mmm yyyy")</x:f>
        <x:v>Jun 2026</x:v>
      </x:c>
    </x:row>
    <x:row r="2176" ht="21" customHeight="1">
      <x:c r="A2176" s="10" t="n">
        <x:v>46193</x:v>
      </x:c>
      <x:c r="B2176" s="1" t="n">
        <x:v>20</x:v>
      </x:c>
      <x:c r="C2176" s="1" t="n">
        <x:v>6</x:v>
      </x:c>
      <x:c r="D2176" s="12" t="n">
        <x:v>0</x:v>
      </x:c>
      <x:c r="E2176" s="12" t="n">
        <x:v>0.8356666666666666</x:v>
      </x:c>
      <x:c r="F2176" s="12" t="n">
        <x:v>0.8354166666666666</x:v>
      </x:c>
      <x:c r="G2176" s="12" t="n">
        <x:v>0</x:v>
      </x:c>
      <x:c r="H2176" s="1" t="n">
        <x:f>'Historical prices'!E2176</x:f>
        <x:v>1.05</x:v>
      </x:c>
      <x:c r="I2176" s="6" t="n">
        <x:f>'Historical prices'!D2176</x:f>
        <x:v>0.261</x:v>
      </x:c>
      <x:c r="J2176" s="13" t="n">
        <x:f>D2176*I2176*H2176</x:f>
        <x:v>0</x:v>
      </x:c>
      <x:c r="K2176" s="13" t="n">
        <x:f>E2176*I2176*H2176</x:f>
        <x:v>0.22901444999999998</x:v>
      </x:c>
      <x:c r="L2176" s="1" t="str">
        <x:f>TEXT(A2176,"mmm yyyy")</x:f>
        <x:v>Jun 2026</x:v>
      </x:c>
    </x:row>
    <x:row r="2177" ht="21" customHeight="1">
      <x:c r="A2177" s="10" t="n">
        <x:v>46193</x:v>
      </x:c>
      <x:c r="B2177" s="1" t="n">
        <x:v>20.5</x:v>
      </x:c>
      <x:c r="C2177" s="1" t="n">
        <x:v>6</x:v>
      </x:c>
      <x:c r="D2177" s="12" t="n">
        <x:v>0</x:v>
      </x:c>
      <x:c r="E2177" s="12" t="n">
        <x:v>0.6085833333333334</x:v>
      </x:c>
      <x:c r="F2177" s="12" t="n">
        <x:v>0.6084166666666666</x:v>
      </x:c>
      <x:c r="G2177" s="12" t="n">
        <x:v>0</x:v>
      </x:c>
      <x:c r="H2177" s="1" t="n">
        <x:f>'Historical prices'!E2177</x:f>
        <x:v>1.05</x:v>
      </x:c>
      <x:c r="I2177" s="6" t="n">
        <x:f>'Historical prices'!D2177</x:f>
        <x:v>0.2646</x:v>
      </x:c>
      <x:c r="J2177" s="13" t="n">
        <x:f>D2177*I2177*H2177</x:f>
        <x:v>0</x:v>
      </x:c>
      <x:c r="K2177" s="13" t="n">
        <x:f>E2177*I2177*H2177</x:f>
        <x:v>0.1690827075</x:v>
      </x:c>
      <x:c r="L2177" s="1" t="str">
        <x:f>TEXT(A2177,"mmm yyyy")</x:f>
        <x:v>Jun 2026</x:v>
      </x:c>
    </x:row>
    <x:row r="2178" ht="21" customHeight="1">
      <x:c r="A2178" s="10" t="n">
        <x:v>46193</x:v>
      </x:c>
      <x:c r="B2178" s="1" t="n">
        <x:v>21</x:v>
      </x:c>
      <x:c r="C2178" s="1" t="n">
        <x:v>6</x:v>
      </x:c>
      <x:c r="D2178" s="12" t="n">
        <x:v>0.3329166666666667</x:v>
      </x:c>
      <x:c r="E2178" s="12" t="n">
        <x:v>0.622</x:v>
      </x:c>
      <x:c r="F2178" s="12" t="n">
        <x:v>0.289</x:v>
      </x:c>
      <x:c r="G2178" s="12" t="n">
        <x:v>0</x:v>
      </x:c>
      <x:c r="H2178" s="1" t="n">
        <x:f>'Historical prices'!E2178</x:f>
        <x:v>1.05</x:v>
      </x:c>
      <x:c r="I2178" s="6" t="n">
        <x:f>'Historical prices'!D2178</x:f>
        <x:v>0.2581</x:v>
      </x:c>
      <x:c r="J2178" s="13" t="n">
        <x:f>D2178*I2178*H2178</x:f>
        <x:v>0.09022208125</x:v>
      </x:c>
      <x:c r="K2178" s="13" t="n">
        <x:f>E2178*I2178*H2178</x:f>
        <x:v>0.16856511</x:v>
      </x:c>
      <x:c r="L2178" s="1" t="str">
        <x:f>TEXT(A2178,"mmm yyyy")</x:f>
        <x:v>Jun 2026</x:v>
      </x:c>
    </x:row>
    <x:row r="2179" ht="21" customHeight="1">
      <x:c r="A2179" s="10" t="n">
        <x:v>46193</x:v>
      </x:c>
      <x:c r="B2179" s="1" t="n">
        <x:v>21.5</x:v>
      </x:c>
      <x:c r="C2179" s="1" t="n">
        <x:v>6</x:v>
      </x:c>
      <x:c r="D2179" s="12" t="n">
        <x:v>0.05675</x:v>
      </x:c>
      <x:c r="E2179" s="12" t="n">
        <x:v>0.5860833333333333</x:v>
      </x:c>
      <x:c r="F2179" s="12" t="n">
        <x:v>0.529</x:v>
      </x:c>
      <x:c r="G2179" s="12" t="n">
        <x:v>0</x:v>
      </x:c>
      <x:c r="H2179" s="1" t="n">
        <x:f>'Historical prices'!E2179</x:f>
        <x:v>1.05</x:v>
      </x:c>
      <x:c r="I2179" s="6" t="n">
        <x:f>'Historical prices'!D2179</x:f>
        <x:v>0.2635</x:v>
      </x:c>
      <x:c r="J2179" s="13" t="n">
        <x:f>D2179*I2179*H2179</x:f>
        <x:v>0.01570130625</x:v>
      </x:c>
      <x:c r="K2179" s="13" t="n">
        <x:f>E2179*I2179*H2179</x:f>
        <x:v>0.16215460625000003</x:v>
      </x:c>
      <x:c r="L2179" s="1" t="str">
        <x:f>TEXT(A2179,"mmm yyyy")</x:f>
        <x:v>Jun 2026</x:v>
      </x:c>
    </x:row>
    <x:row r="2180" ht="21" customHeight="1">
      <x:c r="A2180" s="10" t="n">
        <x:v>46193</x:v>
      </x:c>
      <x:c r="B2180" s="1" t="n">
        <x:v>22</x:v>
      </x:c>
      <x:c r="C2180" s="1" t="n">
        <x:v>6</x:v>
      </x:c>
      <x:c r="D2180" s="12" t="n">
        <x:v>0.3085</x:v>
      </x:c>
      <x:c r="E2180" s="12" t="n">
        <x:v>0.7213333333333334</x:v>
      </x:c>
      <x:c r="F2180" s="12" t="n">
        <x:v>0.48483333333333334</x:v>
      </x:c>
      <x:c r="G2180" s="12" t="n">
        <x:v>0.073</x:v>
      </x:c>
      <x:c r="H2180" s="1" t="n">
        <x:f>'Historical prices'!E2180</x:f>
        <x:v>1.05</x:v>
      </x:c>
      <x:c r="I2180" s="6" t="n">
        <x:f>'Historical prices'!D2180</x:f>
        <x:v>0.2327</x:v>
      </x:c>
      <x:c r="J2180" s="13" t="n">
        <x:f>D2180*I2180*H2180</x:f>
        <x:v>0.0753773475</x:v>
      </x:c>
      <x:c r="K2180" s="13" t="n">
        <x:f>E2180*I2180*H2180</x:f>
        <x:v>0.17624698</x:v>
      </x:c>
      <x:c r="L2180" s="1" t="str">
        <x:f>TEXT(A2180,"mmm yyyy")</x:f>
        <x:v>Jun 2026</x:v>
      </x:c>
    </x:row>
    <x:row r="2181" ht="21" customHeight="1">
      <x:c r="A2181" s="10" t="n">
        <x:v>46193</x:v>
      </x:c>
      <x:c r="B2181" s="1" t="n">
        <x:v>22.5</x:v>
      </x:c>
      <x:c r="C2181" s="1" t="n">
        <x:v>6</x:v>
      </x:c>
      <x:c r="D2181" s="12" t="n">
        <x:v>0.3009166666666667</x:v>
      </x:c>
      <x:c r="E2181" s="12" t="n">
        <x:v>0.31391666666666673</x:v>
      </x:c>
      <x:c r="F2181" s="12" t="n">
        <x:v>0</x:v>
      </x:c>
      <x:c r="G2181" s="12" t="n">
        <x:v>0</x:v>
      </x:c>
      <x:c r="H2181" s="1" t="n">
        <x:f>'Historical prices'!E2181</x:f>
        <x:v>1.05</x:v>
      </x:c>
      <x:c r="I2181" s="6" t="n">
        <x:f>'Historical prices'!D2181</x:f>
        <x:v>0.2259</x:v>
      </x:c>
      <x:c r="J2181" s="13" t="n">
        <x:f>D2181*I2181*H2181</x:f>
        <x:v>0.07137592875000001</x:v>
      </x:c>
      <x:c r="K2181" s="13" t="n">
        <x:f>E2181*I2181*H2181</x:f>
        <x:v>0.07445946375000001</x:v>
      </x:c>
      <x:c r="L2181" s="1" t="str">
        <x:f>TEXT(A2181,"mmm yyyy")</x:f>
        <x:v>Jun 2026</x:v>
      </x:c>
    </x:row>
    <x:row r="2182" ht="21" customHeight="1">
      <x:c r="A2182" s="10" t="n">
        <x:v>46193</x:v>
      </x:c>
      <x:c r="B2182" s="1" t="n">
        <x:v>23</x:v>
      </x:c>
      <x:c r="C2182" s="1" t="n">
        <x:v>6</x:v>
      </x:c>
      <x:c r="D2182" s="12" t="n">
        <x:v>0.3248333333333333</x:v>
      </x:c>
      <x:c r="E2182" s="12" t="n">
        <x:v>0.3308333333333333</x:v>
      </x:c>
      <x:c r="F2182" s="12" t="n">
        <x:v>0</x:v>
      </x:c>
      <x:c r="G2182" s="12" t="n">
        <x:v>0</x:v>
      </x:c>
      <x:c r="H2182" s="1" t="n">
        <x:f>'Historical prices'!E2182</x:f>
        <x:v>1.05</x:v>
      </x:c>
      <x:c r="I2182" s="6" t="n">
        <x:f>'Historical prices'!D2182</x:f>
        <x:v>0.22469999999999998</x:v>
      </x:c>
      <x:c r="J2182" s="13" t="n">
        <x:f>D2182*I2182*H2182</x:f>
        <x:v>0.07663955249999999</x:v>
      </x:c>
      <x:c r="K2182" s="13" t="n">
        <x:f>E2182*I2182*H2182</x:f>
        <x:v>0.0780551625</x:v>
      </x:c>
      <x:c r="L2182" s="1" t="str">
        <x:f>TEXT(A2182,"mmm yyyy")</x:f>
        <x:v>Jun 2026</x:v>
      </x:c>
    </x:row>
    <x:row r="2183" ht="21" customHeight="1">
      <x:c r="A2183" s="10" t="n">
        <x:v>46193</x:v>
      </x:c>
      <x:c r="B2183" s="1" t="n">
        <x:v>23.5</x:v>
      </x:c>
      <x:c r="C2183" s="1" t="n">
        <x:v>6</x:v>
      </x:c>
      <x:c r="D2183" s="12" t="n">
        <x:v>0.3255</x:v>
      </x:c>
      <x:c r="E2183" s="12" t="n">
        <x:v>0.3295</x:v>
      </x:c>
      <x:c r="F2183" s="12" t="n">
        <x:v>0</x:v>
      </x:c>
      <x:c r="G2183" s="12" t="n">
        <x:v>0</x:v>
      </x:c>
      <x:c r="H2183" s="1" t="n">
        <x:f>'Historical prices'!E2183</x:f>
        <x:v>1.05</x:v>
      </x:c>
      <x:c r="I2183" s="6" t="n">
        <x:f>'Historical prices'!D2183</x:f>
        <x:v>0.21780000000000002</x:v>
      </x:c>
      <x:c r="J2183" s="13" t="n">
        <x:f>D2183*I2183*H2183</x:f>
        <x:v>0.07443859500000001</x:v>
      </x:c>
      <x:c r="K2183" s="13" t="n">
        <x:f>E2183*I2183*H2183</x:f>
        <x:v>0.07535335500000001</x:v>
      </x:c>
      <x:c r="L2183" s="1" t="str">
        <x:f>TEXT(A2183,"mmm yyyy")</x:f>
        <x:v>Jun 2026</x:v>
      </x:c>
    </x:row>
    <x:row r="2184" ht="21" customHeight="1">
      <x:c r="A2184" s="10" t="n">
        <x:v>46194</x:v>
      </x:c>
      <x:c r="B2184" s="1" t="n">
        <x:v>0</x:v>
      </x:c>
      <x:c r="C2184" s="1" t="n">
        <x:v>6</x:v>
      </x:c>
      <x:c r="D2184" s="12" t="n">
        <x:v>0.2853333333333333</x:v>
      </x:c>
      <x:c r="E2184" s="12" t="n">
        <x:v>0.28733333333333333</x:v>
      </x:c>
      <x:c r="F2184" s="12" t="n">
        <x:v>0</x:v>
      </x:c>
      <x:c r="G2184" s="12" t="n">
        <x:v>0</x:v>
      </x:c>
      <x:c r="H2184" s="1" t="n">
        <x:f>'Historical prices'!E2184</x:f>
        <x:v>1.05</x:v>
      </x:c>
      <x:c r="I2184" s="6" t="n">
        <x:f>'Historical prices'!D2184</x:f>
        <x:v>0.2157</x:v>
      </x:c>
      <x:c r="J2184" s="13" t="n">
        <x:f>D2184*I2184*H2184</x:f>
        <x:v>0.06462372000000001</x:v>
      </x:c>
      <x:c r="K2184" s="13" t="n">
        <x:f>E2184*I2184*H2184</x:f>
        <x:v>0.06507669</x:v>
      </x:c>
      <x:c r="L2184" s="1" t="str">
        <x:f>TEXT(A2184,"mmm yyyy")</x:f>
        <x:v>Jun 2026</x:v>
      </x:c>
    </x:row>
    <x:row r="2185" ht="21" customHeight="1">
      <x:c r="A2185" s="10" t="n">
        <x:v>46194</x:v>
      </x:c>
      <x:c r="B2185" s="1" t="n">
        <x:v>0.5</x:v>
      </x:c>
      <x:c r="C2185" s="1" t="n">
        <x:v>6</x:v>
      </x:c>
      <x:c r="D2185" s="12" t="n">
        <x:v>0.2366666666666667</x:v>
      </x:c>
      <x:c r="E2185" s="12" t="n">
        <x:v>0.2396666666666667</x:v>
      </x:c>
      <x:c r="F2185" s="12" t="n">
        <x:v>0</x:v>
      </x:c>
      <x:c r="G2185" s="12" t="n">
        <x:v>0</x:v>
      </x:c>
      <x:c r="H2185" s="1" t="n">
        <x:f>'Historical prices'!E2185</x:f>
        <x:v>1.05</x:v>
      </x:c>
      <x:c r="I2185" s="6" t="n">
        <x:f>'Historical prices'!D2185</x:f>
        <x:v>0.2079</x:v>
      </x:c>
      <x:c r="J2185" s="13" t="n">
        <x:f>D2185*I2185*H2185</x:f>
        <x:v>0.051663150000000005</x:v>
      </x:c>
      <x:c r="K2185" s="13" t="n">
        <x:f>E2185*I2185*H2185</x:f>
        <x:v>0.05231803500000001</x:v>
      </x:c>
      <x:c r="L2185" s="1" t="str">
        <x:f>TEXT(A2185,"mmm yyyy")</x:f>
        <x:v>Jun 2026</x:v>
      </x:c>
    </x:row>
    <x:row r="2186" ht="21" customHeight="1">
      <x:c r="A2186" s="10" t="n">
        <x:v>46194</x:v>
      </x:c>
      <x:c r="B2186" s="1" t="n">
        <x:v>1</x:v>
      </x:c>
      <x:c r="C2186" s="1" t="n">
        <x:v>6</x:v>
      </x:c>
      <x:c r="D2186" s="12" t="n">
        <x:v>0.26175</x:v>
      </x:c>
      <x:c r="E2186" s="12" t="n">
        <x:v>0.26275</x:v>
      </x:c>
      <x:c r="F2186" s="12" t="n">
        <x:v>0</x:v>
      </x:c>
      <x:c r="G2186" s="12" t="n">
        <x:v>0</x:v>
      </x:c>
      <x:c r="H2186" s="1" t="n">
        <x:f>'Historical prices'!E2186</x:f>
        <x:v>1.05</x:v>
      </x:c>
      <x:c r="I2186" s="6" t="n">
        <x:f>'Historical prices'!D2186</x:f>
        <x:v>0.19949999999999998</x:v>
      </x:c>
      <x:c r="J2186" s="13" t="n">
        <x:f>D2186*I2186*H2186</x:f>
        <x:v>0.054830081249999996</x:v>
      </x:c>
      <x:c r="K2186" s="13" t="n">
        <x:f>E2186*I2186*H2186</x:f>
        <x:v>0.05503955624999999</x:v>
      </x:c>
      <x:c r="L2186" s="1" t="str">
        <x:f>TEXT(A2186,"mmm yyyy")</x:f>
        <x:v>Jun 2026</x:v>
      </x:c>
    </x:row>
    <x:row r="2187" ht="21" customHeight="1">
      <x:c r="A2187" s="10" t="n">
        <x:v>46194</x:v>
      </x:c>
      <x:c r="B2187" s="1" t="n">
        <x:v>1.5</x:v>
      </x:c>
      <x:c r="C2187" s="1" t="n">
        <x:v>6</x:v>
      </x:c>
      <x:c r="D2187" s="12" t="n">
        <x:v>0.3720833333333333</x:v>
      </x:c>
      <x:c r="E2187" s="12" t="n">
        <x:v>0.3740833333333333</x:v>
      </x:c>
      <x:c r="F2187" s="12" t="n">
        <x:v>0</x:v>
      </x:c>
      <x:c r="G2187" s="12" t="n">
        <x:v>0</x:v>
      </x:c>
      <x:c r="H2187" s="1" t="n">
        <x:f>'Historical prices'!E2187</x:f>
        <x:v>1.05</x:v>
      </x:c>
      <x:c r="I2187" s="6" t="n">
        <x:f>'Historical prices'!D2187</x:f>
        <x:v>0.19640000000000002</x:v>
      </x:c>
      <x:c r="J2187" s="13" t="n">
        <x:f>D2187*I2187*H2187</x:f>
        <x:v>0.07673102500000001</x:v>
      </x:c>
      <x:c r="K2187" s="13" t="n">
        <x:f>E2187*I2187*H2187</x:f>
        <x:v>0.07714346500000001</x:v>
      </x:c>
      <x:c r="L2187" s="1" t="str">
        <x:f>TEXT(A2187,"mmm yyyy")</x:f>
        <x:v>Jun 2026</x:v>
      </x:c>
    </x:row>
    <x:row r="2188" ht="21" customHeight="1">
      <x:c r="A2188" s="10" t="n">
        <x:v>46194</x:v>
      </x:c>
      <x:c r="B2188" s="1" t="n">
        <x:v>2</x:v>
      </x:c>
      <x:c r="C2188" s="1" t="n">
        <x:v>6</x:v>
      </x:c>
      <x:c r="D2188" s="12" t="n">
        <x:v>0.26458333333333334</x:v>
      </x:c>
      <x:c r="E2188" s="12" t="n">
        <x:v>0.26658333333333334</x:v>
      </x:c>
      <x:c r="F2188" s="12" t="n">
        <x:v>0</x:v>
      </x:c>
      <x:c r="G2188" s="12" t="n">
        <x:v>0</x:v>
      </x:c>
      <x:c r="H2188" s="1" t="n">
        <x:f>'Historical prices'!E2188</x:f>
        <x:v>1.05</x:v>
      </x:c>
      <x:c r="I2188" s="6" t="n">
        <x:f>'Historical prices'!D2188</x:f>
        <x:v>0.1955</x:v>
      </x:c>
      <x:c r="J2188" s="13" t="n">
        <x:f>D2188*I2188*H2188</x:f>
        <x:v>0.054312343750000006</x:v>
      </x:c>
      <x:c r="K2188" s="13" t="n">
        <x:f>E2188*I2188*H2188</x:f>
        <x:v>0.05472289375000001</x:v>
      </x:c>
      <x:c r="L2188" s="1" t="str">
        <x:f>TEXT(A2188,"mmm yyyy")</x:f>
        <x:v>Jun 2026</x:v>
      </x:c>
    </x:row>
    <x:row r="2189" ht="21" customHeight="1">
      <x:c r="A2189" s="10" t="n">
        <x:v>46194</x:v>
      </x:c>
      <x:c r="B2189" s="1" t="n">
        <x:v>2.5</x:v>
      </x:c>
      <x:c r="C2189" s="1" t="n">
        <x:v>6</x:v>
      </x:c>
      <x:c r="D2189" s="12" t="n">
        <x:v>0.27225</x:v>
      </x:c>
      <x:c r="E2189" s="12" t="n">
        <x:v>0.27225</x:v>
      </x:c>
      <x:c r="F2189" s="12" t="n">
        <x:v>0</x:v>
      </x:c>
      <x:c r="G2189" s="12" t="n">
        <x:v>0</x:v>
      </x:c>
      <x:c r="H2189" s="1" t="n">
        <x:f>'Historical prices'!E2189</x:f>
        <x:v>1.05</x:v>
      </x:c>
      <x:c r="I2189" s="6" t="n">
        <x:f>'Historical prices'!D2189</x:f>
        <x:v>0.185</x:v>
      </x:c>
      <x:c r="J2189" s="13" t="n">
        <x:f>D2189*I2189*H2189</x:f>
        <x:v>0.0528845625</x:v>
      </x:c>
      <x:c r="K2189" s="13" t="n">
        <x:f>E2189*I2189*H2189</x:f>
        <x:v>0.0528845625</x:v>
      </x:c>
      <x:c r="L2189" s="1" t="str">
        <x:f>TEXT(A2189,"mmm yyyy")</x:f>
        <x:v>Jun 2026</x:v>
      </x:c>
    </x:row>
    <x:row r="2190" ht="21" customHeight="1">
      <x:c r="A2190" s="10" t="n">
        <x:v>46194</x:v>
      </x:c>
      <x:c r="B2190" s="1" t="n">
        <x:v>3</x:v>
      </x:c>
      <x:c r="C2190" s="1" t="n">
        <x:v>6</x:v>
      </x:c>
      <x:c r="D2190" s="12" t="n">
        <x:v>0.2715</x:v>
      </x:c>
      <x:c r="E2190" s="12" t="n">
        <x:v>0.2735</x:v>
      </x:c>
      <x:c r="F2190" s="12" t="n">
        <x:v>0</x:v>
      </x:c>
      <x:c r="G2190" s="12" t="n">
        <x:v>0</x:v>
      </x:c>
      <x:c r="H2190" s="1" t="n">
        <x:f>'Historical prices'!E2190</x:f>
        <x:v>1.05</x:v>
      </x:c>
      <x:c r="I2190" s="6" t="n">
        <x:f>'Historical prices'!D2190</x:f>
        <x:v>0.1766</x:v>
      </x:c>
      <x:c r="J2190" s="13" t="n">
        <x:f>D2190*I2190*H2190</x:f>
        <x:v>0.05034424500000001</x:v>
      </x:c>
      <x:c r="K2190" s="13" t="n">
        <x:f>E2190*I2190*H2190</x:f>
        <x:v>0.05071510500000001</x:v>
      </x:c>
      <x:c r="L2190" s="1" t="str">
        <x:f>TEXT(A2190,"mmm yyyy")</x:f>
        <x:v>Jun 2026</x:v>
      </x:c>
    </x:row>
    <x:row r="2191" ht="21" customHeight="1">
      <x:c r="A2191" s="10" t="n">
        <x:v>46194</x:v>
      </x:c>
      <x:c r="B2191" s="1" t="n">
        <x:v>3.5</x:v>
      </x:c>
      <x:c r="C2191" s="1" t="n">
        <x:v>6</x:v>
      </x:c>
      <x:c r="D2191" s="12" t="n">
        <x:v>0.23983333333333334</x:v>
      </x:c>
      <x:c r="E2191" s="12" t="n">
        <x:v>0.24083333333333334</x:v>
      </x:c>
      <x:c r="F2191" s="12" t="n">
        <x:v>0</x:v>
      </x:c>
      <x:c r="G2191" s="12" t="n">
        <x:v>0</x:v>
      </x:c>
      <x:c r="H2191" s="1" t="n">
        <x:f>'Historical prices'!E2191</x:f>
        <x:v>1.05</x:v>
      </x:c>
      <x:c r="I2191" s="6" t="n">
        <x:f>'Historical prices'!D2191</x:f>
        <x:v>0.1825</x:v>
      </x:c>
      <x:c r="J2191" s="13" t="n">
        <x:f>D2191*I2191*H2191</x:f>
        <x:v>0.0459580625</x:v>
      </x:c>
      <x:c r="K2191" s="13" t="n">
        <x:f>E2191*I2191*H2191</x:f>
        <x:v>0.0461496875</x:v>
      </x:c>
      <x:c r="L2191" s="1" t="str">
        <x:f>TEXT(A2191,"mmm yyyy")</x:f>
        <x:v>Jun 2026</x:v>
      </x:c>
    </x:row>
    <x:row r="2192" ht="21" customHeight="1">
      <x:c r="A2192" s="10" t="n">
        <x:v>46194</x:v>
      </x:c>
      <x:c r="B2192" s="1" t="n">
        <x:v>4</x:v>
      </x:c>
      <x:c r="C2192" s="1" t="n">
        <x:v>6</x:v>
      </x:c>
      <x:c r="D2192" s="12" t="n">
        <x:v>0.34575</x:v>
      </x:c>
      <x:c r="E2192" s="12" t="n">
        <x:v>0.34675</x:v>
      </x:c>
      <x:c r="F2192" s="12" t="n">
        <x:v>0</x:v>
      </x:c>
      <x:c r="G2192" s="12" t="n">
        <x:v>0</x:v>
      </x:c>
      <x:c r="H2192" s="1" t="n">
        <x:f>'Historical prices'!E2192</x:f>
        <x:v>1.05</x:v>
      </x:c>
      <x:c r="I2192" s="6" t="n">
        <x:f>'Historical prices'!D2192</x:f>
        <x:v>0.17620000000000002</x:v>
      </x:c>
      <x:c r="J2192" s="13" t="n">
        <x:f>D2192*I2192*H2192</x:f>
        <x:v>0.06396720750000001</x:v>
      </x:c>
      <x:c r="K2192" s="13" t="n">
        <x:f>E2192*I2192*H2192</x:f>
        <x:v>0.06415221750000001</x:v>
      </x:c>
      <x:c r="L2192" s="1" t="str">
        <x:f>TEXT(A2192,"mmm yyyy")</x:f>
        <x:v>Jun 2026</x:v>
      </x:c>
    </x:row>
    <x:row r="2193" ht="21" customHeight="1">
      <x:c r="A2193" s="10" t="n">
        <x:v>46194</x:v>
      </x:c>
      <x:c r="B2193" s="1" t="n">
        <x:v>4.5</x:v>
      </x:c>
      <x:c r="C2193" s="1" t="n">
        <x:v>6</x:v>
      </x:c>
      <x:c r="D2193" s="12" t="n">
        <x:v>0.30291666666666667</x:v>
      </x:c>
      <x:c r="E2193" s="12" t="n">
        <x:v>0.30391666666666667</x:v>
      </x:c>
      <x:c r="F2193" s="12" t="n">
        <x:v>0</x:v>
      </x:c>
      <x:c r="G2193" s="12" t="n">
        <x:v>0</x:v>
      </x:c>
      <x:c r="H2193" s="1" t="n">
        <x:f>'Historical prices'!E2193</x:f>
        <x:v>1.05</x:v>
      </x:c>
      <x:c r="I2193" s="6" t="n">
        <x:f>'Historical prices'!D2193</x:f>
        <x:v>0.1787</x:v>
      </x:c>
      <x:c r="J2193" s="13" t="n">
        <x:f>D2193*I2193*H2193</x:f>
        <x:v>0.05683776875</x:v>
      </x:c>
      <x:c r="K2193" s="13" t="n">
        <x:f>E2193*I2193*H2193</x:f>
        <x:v>0.05702540375</x:v>
      </x:c>
      <x:c r="L2193" s="1" t="str">
        <x:f>TEXT(A2193,"mmm yyyy")</x:f>
        <x:v>Jun 2026</x:v>
      </x:c>
    </x:row>
    <x:row r="2194" ht="21" customHeight="1">
      <x:c r="A2194" s="10" t="n">
        <x:v>46194</x:v>
      </x:c>
      <x:c r="B2194" s="1" t="n">
        <x:v>5</x:v>
      </x:c>
      <x:c r="C2194" s="1" t="n">
        <x:v>6</x:v>
      </x:c>
      <x:c r="D2194" s="12" t="n">
        <x:v>0.26133333333333336</x:v>
      </x:c>
      <x:c r="E2194" s="12" t="n">
        <x:v>0.26233333333333336</x:v>
      </x:c>
      <x:c r="F2194" s="12" t="n">
        <x:v>0</x:v>
      </x:c>
      <x:c r="G2194" s="12" t="n">
        <x:v>0</x:v>
      </x:c>
      <x:c r="H2194" s="1" t="n">
        <x:f>'Historical prices'!E2194</x:f>
        <x:v>1.05</x:v>
      </x:c>
      <x:c r="I2194" s="6" t="n">
        <x:f>'Historical prices'!D2194</x:f>
        <x:v>0.17559999999999998</x:v>
      </x:c>
      <x:c r="J2194" s="13" t="n">
        <x:f>D2194*I2194*H2194</x:f>
        <x:v>0.04818464</x:v>
      </x:c>
      <x:c r="K2194" s="13" t="n">
        <x:f>E2194*I2194*H2194</x:f>
        <x:v>0.04836902</x:v>
      </x:c>
      <x:c r="L2194" s="1" t="str">
        <x:f>TEXT(A2194,"mmm yyyy")</x:f>
        <x:v>Jun 2026</x:v>
      </x:c>
    </x:row>
    <x:row r="2195" ht="21" customHeight="1">
      <x:c r="A2195" s="10" t="n">
        <x:v>46194</x:v>
      </x:c>
      <x:c r="B2195" s="1" t="n">
        <x:v>5.5</x:v>
      </x:c>
      <x:c r="C2195" s="1" t="n">
        <x:v>6</x:v>
      </x:c>
      <x:c r="D2195" s="12" t="n">
        <x:v>0.29133333333333333</x:v>
      </x:c>
      <x:c r="E2195" s="12" t="n">
        <x:v>0.29233333333333333</x:v>
      </x:c>
      <x:c r="F2195" s="12" t="n">
        <x:v>0</x:v>
      </x:c>
      <x:c r="G2195" s="12" t="n">
        <x:v>0</x:v>
      </x:c>
      <x:c r="H2195" s="1" t="n">
        <x:f>'Historical prices'!E2195</x:f>
        <x:v>1.05</x:v>
      </x:c>
      <x:c r="I2195" s="6" t="n">
        <x:f>'Historical prices'!D2195</x:f>
        <x:v>0.1776</x:v>
      </x:c>
      <x:c r="J2195" s="13" t="n">
        <x:f>D2195*I2195*H2195</x:f>
        <x:v>0.05432784000000001</x:v>
      </x:c>
      <x:c r="K2195" s="13" t="n">
        <x:f>E2195*I2195*H2195</x:f>
        <x:v>0.054514320000000005</x:v>
      </x:c>
      <x:c r="L2195" s="1" t="str">
        <x:f>TEXT(A2195,"mmm yyyy")</x:f>
        <x:v>Jun 2026</x:v>
      </x:c>
    </x:row>
    <x:row r="2196" ht="21" customHeight="1">
      <x:c r="A2196" s="10" t="n">
        <x:v>46194</x:v>
      </x:c>
      <x:c r="B2196" s="1" t="n">
        <x:v>6</x:v>
      </x:c>
      <x:c r="C2196" s="1" t="n">
        <x:v>6</x:v>
      </x:c>
      <x:c r="D2196" s="12" t="n">
        <x:v>0.36041666666666666</x:v>
      </x:c>
      <x:c r="E2196" s="12" t="n">
        <x:v>0.36041666666666666</x:v>
      </x:c>
      <x:c r="F2196" s="12" t="n">
        <x:v>0</x:v>
      </x:c>
      <x:c r="G2196" s="12" t="n">
        <x:v>0</x:v>
      </x:c>
      <x:c r="H2196" s="1" t="n">
        <x:f>'Historical prices'!E2196</x:f>
        <x:v>1.05</x:v>
      </x:c>
      <x:c r="I2196" s="6" t="n">
        <x:f>'Historical prices'!D2196</x:f>
        <x:v>0.1745</x:v>
      </x:c>
      <x:c r="J2196" s="13" t="n">
        <x:f>D2196*I2196*H2196</x:f>
        <x:v>0.06603734374999999</x:v>
      </x:c>
      <x:c r="K2196" s="13" t="n">
        <x:f>E2196*I2196*H2196</x:f>
        <x:v>0.06603734374999999</x:v>
      </x:c>
      <x:c r="L2196" s="1" t="str">
        <x:f>TEXT(A2196,"mmm yyyy")</x:f>
        <x:v>Jun 2026</x:v>
      </x:c>
    </x:row>
    <x:row r="2197" ht="21" customHeight="1">
      <x:c r="A2197" s="10" t="n">
        <x:v>46194</x:v>
      </x:c>
      <x:c r="B2197" s="1" t="n">
        <x:v>6.5</x:v>
      </x:c>
      <x:c r="C2197" s="1" t="n">
        <x:v>6</x:v>
      </x:c>
      <x:c r="D2197" s="12" t="n">
        <x:v>0.4574166666666667</x:v>
      </x:c>
      <x:c r="E2197" s="12" t="n">
        <x:v>0.4594166666666667</x:v>
      </x:c>
      <x:c r="F2197" s="12" t="n">
        <x:v>0</x:v>
      </x:c>
      <x:c r="G2197" s="12" t="n">
        <x:v>0</x:v>
      </x:c>
      <x:c r="H2197" s="1" t="n">
        <x:f>'Historical prices'!E2197</x:f>
        <x:v>1.05</x:v>
      </x:c>
      <x:c r="I2197" s="6" t="n">
        <x:f>'Historical prices'!D2197</x:f>
        <x:v>0.1745</x:v>
      </x:c>
      <x:c r="J2197" s="13" t="n">
        <x:f>D2197*I2197*H2197</x:f>
        <x:v>0.08381016875000001</x:v>
      </x:c>
      <x:c r="K2197" s="13" t="n">
        <x:f>E2197*I2197*H2197</x:f>
        <x:v>0.08417661875000002</x:v>
      </x:c>
      <x:c r="L2197" s="1" t="str">
        <x:f>TEXT(A2197,"mmm yyyy")</x:f>
        <x:v>Jun 2026</x:v>
      </x:c>
    </x:row>
    <x:row r="2198" ht="21" customHeight="1">
      <x:c r="A2198" s="10" t="n">
        <x:v>46194</x:v>
      </x:c>
      <x:c r="B2198" s="1" t="n">
        <x:v>7</x:v>
      </x:c>
      <x:c r="C2198" s="1" t="n">
        <x:v>6</x:v>
      </x:c>
      <x:c r="D2198" s="12" t="n">
        <x:v>0.4990833333333333</x:v>
      </x:c>
      <x:c r="E2198" s="12" t="n">
        <x:v>0.4990833333333333</x:v>
      </x:c>
      <x:c r="F2198" s="12" t="n">
        <x:v>0</x:v>
      </x:c>
      <x:c r="G2198" s="12" t="n">
        <x:v>0</x:v>
      </x:c>
      <x:c r="H2198" s="1" t="n">
        <x:f>'Historical prices'!E2198</x:f>
        <x:v>1.05</x:v>
      </x:c>
      <x:c r="I2198" s="6" t="n">
        <x:f>'Historical prices'!D2198</x:f>
        <x:v>0.15960000000000002</x:v>
      </x:c>
      <x:c r="J2198" s="13" t="n">
        <x:f>D2198*I2198*H2198</x:f>
        <x:v>0.08363638500000001</x:v>
      </x:c>
      <x:c r="K2198" s="13" t="n">
        <x:f>E2198*I2198*H2198</x:f>
        <x:v>0.08363638500000001</x:v>
      </x:c>
      <x:c r="L2198" s="1" t="str">
        <x:f>TEXT(A2198,"mmm yyyy")</x:f>
        <x:v>Jun 2026</x:v>
      </x:c>
    </x:row>
    <x:row r="2199" ht="21" customHeight="1">
      <x:c r="A2199" s="10" t="n">
        <x:v>46194</x:v>
      </x:c>
      <x:c r="B2199" s="1" t="n">
        <x:v>7.5</x:v>
      </x:c>
      <x:c r="C2199" s="1" t="n">
        <x:v>6</x:v>
      </x:c>
      <x:c r="D2199" s="12" t="n">
        <x:v>0.51075</x:v>
      </x:c>
      <x:c r="E2199" s="12" t="n">
        <x:v>0.5117499999999999</x:v>
      </x:c>
      <x:c r="F2199" s="12" t="n">
        <x:v>0</x:v>
      </x:c>
      <x:c r="G2199" s="12" t="n">
        <x:v>0</x:v>
      </x:c>
      <x:c r="H2199" s="1" t="n">
        <x:f>'Historical prices'!E2199</x:f>
        <x:v>1.05</x:v>
      </x:c>
      <x:c r="I2199" s="6" t="n">
        <x:f>'Historical prices'!D2199</x:f>
        <x:v>0.1653</x:v>
      </x:c>
      <x:c r="J2199" s="13" t="n">
        <x:f>D2199*I2199*H2199</x:f>
        <x:v>0.08864832375000001</x:v>
      </x:c>
      <x:c r="K2199" s="13" t="n">
        <x:f>E2199*I2199*H2199</x:f>
        <x:v>0.08882188875</x:v>
      </x:c>
      <x:c r="L2199" s="1" t="str">
        <x:f>TEXT(A2199,"mmm yyyy")</x:f>
        <x:v>Jun 2026</x:v>
      </x:c>
    </x:row>
    <x:row r="2200" ht="21" customHeight="1">
      <x:c r="A2200" s="10" t="n">
        <x:v>46194</x:v>
      </x:c>
      <x:c r="B2200" s="1" t="n">
        <x:v>8</x:v>
      </x:c>
      <x:c r="C2200" s="1" t="n">
        <x:v>6</x:v>
      </x:c>
      <x:c r="D2200" s="12" t="n">
        <x:v>4.478000000000001</x:v>
      </x:c>
      <x:c r="E2200" s="12" t="n">
        <x:v>0.627</x:v>
      </x:c>
      <x:c r="F2200" s="12" t="n">
        <x:v>0</x:v>
      </x:c>
      <x:c r="G2200" s="12" t="n">
        <x:v>3.8510000000000004</x:v>
      </x:c>
      <x:c r="H2200" s="1" t="n">
        <x:f>'Historical prices'!E2200</x:f>
        <x:v>1.05</x:v>
      </x:c>
      <x:c r="I2200" s="6" t="n">
        <x:f>'Historical prices'!D2200</x:f>
        <x:v>0.15539999999999998</x:v>
      </x:c>
      <x:c r="J2200" s="13" t="n">
        <x:f>D2200*I2200*H2200</x:f>
        <x:v>0.73067526</x:v>
      </x:c>
      <x:c r="K2200" s="13" t="n">
        <x:f>E2200*I2200*H2200</x:f>
        <x:v>0.10230758999999999</x:v>
      </x:c>
      <x:c r="L2200" s="1" t="str">
        <x:f>TEXT(A2200,"mmm yyyy")</x:f>
        <x:v>Jun 2026</x:v>
      </x:c>
    </x:row>
    <x:row r="2201" ht="21" customHeight="1">
      <x:c r="A2201" s="10" t="n">
        <x:v>46194</x:v>
      </x:c>
      <x:c r="B2201" s="1" t="n">
        <x:v>8.5</x:v>
      </x:c>
      <x:c r="C2201" s="1" t="n">
        <x:v>6</x:v>
      </x:c>
      <x:c r="D2201" s="12" t="n">
        <x:v>1.2242499999999998</x:v>
      </x:c>
      <x:c r="E2201" s="12" t="n">
        <x:v>0.48725000000000007</x:v>
      </x:c>
      <x:c r="F2201" s="12" t="n">
        <x:v>0</x:v>
      </x:c>
      <x:c r="G2201" s="12" t="n">
        <x:v>0.744</x:v>
      </x:c>
      <x:c r="H2201" s="1" t="n">
        <x:f>'Historical prices'!E2201</x:f>
        <x:v>1.05</x:v>
      </x:c>
      <x:c r="I2201" s="6" t="n">
        <x:f>'Historical prices'!D2201</x:f>
        <x:v>0.1612</x:v>
      </x:c>
      <x:c r="J2201" s="13" t="n">
        <x:f>D2201*I2201*H2201</x:f>
        <x:v>0.207216555</x:v>
      </x:c>
      <x:c r="K2201" s="13" t="n">
        <x:f>E2201*I2201*H2201</x:f>
        <x:v>0.08247193500000002</x:v>
      </x:c>
      <x:c r="L2201" s="1" t="str">
        <x:f>TEXT(A2201,"mmm yyyy")</x:f>
        <x:v>Jun 2026</x:v>
      </x:c>
    </x:row>
    <x:row r="2202" ht="21" customHeight="1">
      <x:c r="A2202" s="10" t="n">
        <x:v>46194</x:v>
      </x:c>
      <x:c r="B2202" s="1" t="n">
        <x:v>9</x:v>
      </x:c>
      <x:c r="C2202" s="1" t="n">
        <x:v>6</x:v>
      </x:c>
      <x:c r="D2202" s="12" t="n">
        <x:v>0.5648333333333334</x:v>
      </x:c>
      <x:c r="E2202" s="12" t="n">
        <x:v>0.5768333333333334</x:v>
      </x:c>
      <x:c r="F2202" s="12" t="n">
        <x:v>0</x:v>
      </x:c>
      <x:c r="G2202" s="12" t="n">
        <x:v>0</x:v>
      </x:c>
      <x:c r="H2202" s="1" t="n">
        <x:f>'Historical prices'!E2202</x:f>
        <x:v>1.05</x:v>
      </x:c>
      <x:c r="I2202" s="6" t="n">
        <x:f>'Historical prices'!D2202</x:f>
        <x:v>0.1598</x:v>
      </x:c>
      <x:c r="J2202" s="13" t="n">
        <x:f>D2202*I2202*H2202</x:f>
        <x:v>0.09477338500000002</x:v>
      </x:c>
      <x:c r="K2202" s="13" t="n">
        <x:f>E2202*I2202*H2202</x:f>
        <x:v>0.09678686500000001</x:v>
      </x:c>
      <x:c r="L2202" s="1" t="str">
        <x:f>TEXT(A2202,"mmm yyyy")</x:f>
        <x:v>Jun 2026</x:v>
      </x:c>
    </x:row>
    <x:row r="2203" ht="21" customHeight="1">
      <x:c r="A2203" s="10" t="n">
        <x:v>46194</x:v>
      </x:c>
      <x:c r="B2203" s="1" t="n">
        <x:v>9.5</x:v>
      </x:c>
      <x:c r="C2203" s="1" t="n">
        <x:v>6</x:v>
      </x:c>
      <x:c r="D2203" s="12" t="n">
        <x:v>0.4821666666666667</x:v>
      </x:c>
      <x:c r="E2203" s="12" t="n">
        <x:v>0.49316666666666664</x:v>
      </x:c>
      <x:c r="F2203" s="12" t="n">
        <x:v>0</x:v>
      </x:c>
      <x:c r="G2203" s="12" t="n">
        <x:v>0</x:v>
      </x:c>
      <x:c r="H2203" s="1" t="n">
        <x:f>'Historical prices'!E2203</x:f>
        <x:v>1.05</x:v>
      </x:c>
      <x:c r="I2203" s="6" t="n">
        <x:f>'Historical prices'!D2203</x:f>
        <x:v>0.16469999999999999</x:v>
      </x:c>
      <x:c r="J2203" s="13" t="n">
        <x:f>D2203*I2203*H2203</x:f>
        <x:v>0.0833834925</x:v>
      </x:c>
      <x:c r="K2203" s="13" t="n">
        <x:f>E2203*I2203*H2203</x:f>
        <x:v>0.08528577749999999</x:v>
      </x:c>
      <x:c r="L2203" s="1" t="str">
        <x:f>TEXT(A2203,"mmm yyyy")</x:f>
        <x:v>Jun 2026</x:v>
      </x:c>
    </x:row>
    <x:row r="2204" ht="21" customHeight="1">
      <x:c r="A2204" s="10" t="n">
        <x:v>46194</x:v>
      </x:c>
      <x:c r="B2204" s="1" t="n">
        <x:v>10</x:v>
      </x:c>
      <x:c r="C2204" s="1" t="n">
        <x:v>6</x:v>
      </x:c>
      <x:c r="D2204" s="12" t="n">
        <x:v>0.5995</x:v>
      </x:c>
      <x:c r="E2204" s="12" t="n">
        <x:v>0.6105</x:v>
      </x:c>
      <x:c r="F2204" s="12" t="n">
        <x:v>0</x:v>
      </x:c>
      <x:c r="G2204" s="12" t="n">
        <x:v>0</x:v>
      </x:c>
      <x:c r="H2204" s="1" t="n">
        <x:f>'Historical prices'!E2204</x:f>
        <x:v>1.05</x:v>
      </x:c>
      <x:c r="I2204" s="6" t="n">
        <x:f>'Historical prices'!D2204</x:f>
        <x:v>0.1641</x:v>
      </x:c>
      <x:c r="J2204" s="13" t="n">
        <x:f>D2204*I2204*H2204</x:f>
        <x:v>0.10329684750000001</x:v>
      </x:c>
      <x:c r="K2204" s="13" t="n">
        <x:f>E2204*I2204*H2204</x:f>
        <x:v>0.10519220250000001</x:v>
      </x:c>
      <x:c r="L2204" s="1" t="str">
        <x:f>TEXT(A2204,"mmm yyyy")</x:f>
        <x:v>Jun 2026</x:v>
      </x:c>
    </x:row>
    <x:row r="2205" ht="21" customHeight="1">
      <x:c r="A2205" s="10" t="n">
        <x:v>46194</x:v>
      </x:c>
      <x:c r="B2205" s="1" t="n">
        <x:v>10.5</x:v>
      </x:c>
      <x:c r="C2205" s="1" t="n">
        <x:v>6</x:v>
      </x:c>
      <x:c r="D2205" s="12" t="n">
        <x:v>0.577</x:v>
      </x:c>
      <x:c r="E2205" s="12" t="n">
        <x:v>0.587</x:v>
      </x:c>
      <x:c r="F2205" s="12" t="n">
        <x:v>0</x:v>
      </x:c>
      <x:c r="G2205" s="12" t="n">
        <x:v>0</x:v>
      </x:c>
      <x:c r="H2205" s="1" t="n">
        <x:f>'Historical prices'!E2205</x:f>
        <x:v>1.05</x:v>
      </x:c>
      <x:c r="I2205" s="6" t="n">
        <x:f>'Historical prices'!D2205</x:f>
        <x:v>0.1613</x:v>
      </x:c>
      <x:c r="J2205" s="13" t="n">
        <x:f>D2205*I2205*H2205</x:f>
        <x:v>0.09772360499999999</x:v>
      </x:c>
      <x:c r="K2205" s="13" t="n">
        <x:f>E2205*I2205*H2205</x:f>
        <x:v>0.099417255</x:v>
      </x:c>
      <x:c r="L2205" s="1" t="str">
        <x:f>TEXT(A2205,"mmm yyyy")</x:f>
        <x:v>Jun 2026</x:v>
      </x:c>
    </x:row>
    <x:row r="2206" ht="21" customHeight="1">
      <x:c r="A2206" s="10" t="n">
        <x:v>46194</x:v>
      </x:c>
      <x:c r="B2206" s="1" t="n">
        <x:v>11</x:v>
      </x:c>
      <x:c r="C2206" s="1" t="n">
        <x:v>6</x:v>
      </x:c>
      <x:c r="D2206" s="12" t="n">
        <x:v>0.4204166666666667</x:v>
      </x:c>
      <x:c r="E2206" s="12" t="n">
        <x:v>0.43141666666666667</x:v>
      </x:c>
      <x:c r="F2206" s="12" t="n">
        <x:v>0</x:v>
      </x:c>
      <x:c r="G2206" s="12" t="n">
        <x:v>0</x:v>
      </x:c>
      <x:c r="H2206" s="1" t="n">
        <x:f>'Historical prices'!E2206</x:f>
        <x:v>1.05</x:v>
      </x:c>
      <x:c r="I2206" s="6" t="n">
        <x:f>'Historical prices'!D2206</x:f>
        <x:v>0.16699999999999998</x:v>
      </x:c>
      <x:c r="J2206" s="13" t="n">
        <x:f>D2206*I2206*H2206</x:f>
        <x:v>0.0737200625</x:v>
      </x:c>
      <x:c r="K2206" s="13" t="n">
        <x:f>E2206*I2206*H2206</x:f>
        <x:v>0.0756489125</x:v>
      </x:c>
      <x:c r="L2206" s="1" t="str">
        <x:f>TEXT(A2206,"mmm yyyy")</x:f>
        <x:v>Jun 2026</x:v>
      </x:c>
    </x:row>
    <x:row r="2207" ht="21" customHeight="1">
      <x:c r="A2207" s="10" t="n">
        <x:v>46194</x:v>
      </x:c>
      <x:c r="B2207" s="1" t="n">
        <x:v>11.5</x:v>
      </x:c>
      <x:c r="C2207" s="1" t="n">
        <x:v>6</x:v>
      </x:c>
      <x:c r="D2207" s="12" t="n">
        <x:v>0.4696666666666667</x:v>
      </x:c>
      <x:c r="E2207" s="12" t="n">
        <x:v>0.4806666666666667</x:v>
      </x:c>
      <x:c r="F2207" s="12" t="n">
        <x:v>0</x:v>
      </x:c>
      <x:c r="G2207" s="12" t="n">
        <x:v>0</x:v>
      </x:c>
      <x:c r="H2207" s="1" t="n">
        <x:f>'Historical prices'!E2207</x:f>
        <x:v>1.05</x:v>
      </x:c>
      <x:c r="I2207" s="6" t="n">
        <x:f>'Historical prices'!D2207</x:f>
        <x:v>0.16390000000000002</x:v>
      </x:c>
      <x:c r="J2207" s="13" t="n">
        <x:f>D2207*I2207*H2207</x:f>
        <x:v>0.08082728500000001</x:v>
      </x:c>
      <x:c r="K2207" s="13" t="n">
        <x:f>E2207*I2207*H2207</x:f>
        <x:v>0.08272033000000002</x:v>
      </x:c>
      <x:c r="L2207" s="1" t="str">
        <x:f>TEXT(A2207,"mmm yyyy")</x:f>
        <x:v>Jun 2026</x:v>
      </x:c>
    </x:row>
    <x:row r="2208" ht="21" customHeight="1">
      <x:c r="A2208" s="10" t="n">
        <x:v>46194</x:v>
      </x:c>
      <x:c r="B2208" s="1" t="n">
        <x:v>12</x:v>
      </x:c>
      <x:c r="C2208" s="1" t="n">
        <x:v>6</x:v>
      </x:c>
      <x:c r="D2208" s="12" t="n">
        <x:v>0.40108333333333335</x:v>
      </x:c>
      <x:c r="E2208" s="12" t="n">
        <x:v>0.41108333333333336</x:v>
      </x:c>
      <x:c r="F2208" s="12" t="n">
        <x:v>0</x:v>
      </x:c>
      <x:c r="G2208" s="12" t="n">
        <x:v>0</x:v>
      </x:c>
      <x:c r="H2208" s="1" t="n">
        <x:f>'Historical prices'!E2208</x:f>
        <x:v>1.05</x:v>
      </x:c>
      <x:c r="I2208" s="6" t="n">
        <x:f>'Historical prices'!D2208</x:f>
        <x:v>0.16269999999999998</x:v>
      </x:c>
      <x:c r="J2208" s="13" t="n">
        <x:f>D2208*I2208*H2208</x:f>
        <x:v>0.06851907125</x:v>
      </x:c>
      <x:c r="K2208" s="13" t="n">
        <x:f>E2208*I2208*H2208</x:f>
        <x:v>0.07022742125</x:v>
      </x:c>
      <x:c r="L2208" s="1" t="str">
        <x:f>TEXT(A2208,"mmm yyyy")</x:f>
        <x:v>Jun 2026</x:v>
      </x:c>
    </x:row>
    <x:row r="2209" ht="21" customHeight="1">
      <x:c r="A2209" s="10" t="n">
        <x:v>46194</x:v>
      </x:c>
      <x:c r="B2209" s="1" t="n">
        <x:v>12.5</x:v>
      </x:c>
      <x:c r="C2209" s="1" t="n">
        <x:v>6</x:v>
      </x:c>
      <x:c r="D2209" s="12" t="n">
        <x:v>0.34591666666666665</x:v>
      </x:c>
      <x:c r="E2209" s="12" t="n">
        <x:v>0.35691666666666666</x:v>
      </x:c>
      <x:c r="F2209" s="12" t="n">
        <x:v>0</x:v>
      </x:c>
      <x:c r="G2209" s="12" t="n">
        <x:v>0</x:v>
      </x:c>
      <x:c r="H2209" s="1" t="n">
        <x:f>'Historical prices'!E2209</x:f>
        <x:v>1.05</x:v>
      </x:c>
      <x:c r="I2209" s="6" t="n">
        <x:f>'Historical prices'!D2209</x:f>
        <x:v>0.1598</x:v>
      </x:c>
      <x:c r="J2209" s="13" t="n">
        <x:f>D2209*I2209*H2209</x:f>
        <x:v>0.058041357499999995</x:v>
      </x:c>
      <x:c r="K2209" s="13" t="n">
        <x:f>E2209*I2209*H2209</x:f>
        <x:v>0.0598870475</x:v>
      </x:c>
      <x:c r="L2209" s="1" t="str">
        <x:f>TEXT(A2209,"mmm yyyy")</x:f>
        <x:v>Jun 2026</x:v>
      </x:c>
    </x:row>
    <x:row r="2210" ht="21" customHeight="1">
      <x:c r="A2210" s="10" t="n">
        <x:v>46194</x:v>
      </x:c>
      <x:c r="B2210" s="1" t="n">
        <x:v>13</x:v>
      </x:c>
      <x:c r="C2210" s="1" t="n">
        <x:v>6</x:v>
      </x:c>
      <x:c r="D2210" s="12" t="n">
        <x:v>0.4506666666666667</x:v>
      </x:c>
      <x:c r="E2210" s="12" t="n">
        <x:v>0.46166666666666667</x:v>
      </x:c>
      <x:c r="F2210" s="12" t="n">
        <x:v>0</x:v>
      </x:c>
      <x:c r="G2210" s="12" t="n">
        <x:v>0</x:v>
      </x:c>
      <x:c r="H2210" s="1" t="n">
        <x:f>'Historical prices'!E2210</x:f>
        <x:v>1.05</x:v>
      </x:c>
      <x:c r="I2210" s="6" t="n">
        <x:f>'Historical prices'!D2210</x:f>
        <x:v>0.16399999999999998</x:v>
      </x:c>
      <x:c r="J2210" s="13" t="n">
        <x:f>D2210*I2210*H2210</x:f>
        <x:v>0.0776048</x:v>
      </x:c>
      <x:c r="K2210" s="13" t="n">
        <x:f>E2210*I2210*H2210</x:f>
        <x:v>0.079499</x:v>
      </x:c>
      <x:c r="L2210" s="1" t="str">
        <x:f>TEXT(A2210,"mmm yyyy")</x:f>
        <x:v>Jun 2026</x:v>
      </x:c>
    </x:row>
    <x:row r="2211" ht="21" customHeight="1">
      <x:c r="A2211" s="10" t="n">
        <x:v>46194</x:v>
      </x:c>
      <x:c r="B2211" s="1" t="n">
        <x:v>13.5</x:v>
      </x:c>
      <x:c r="C2211" s="1" t="n">
        <x:v>6</x:v>
      </x:c>
      <x:c r="D2211" s="12" t="n">
        <x:v>0.4342499999999999</x:v>
      </x:c>
      <x:c r="E2211" s="12" t="n">
        <x:v>0.4442499999999999</x:v>
      </x:c>
      <x:c r="F2211" s="12" t="n">
        <x:v>0</x:v>
      </x:c>
      <x:c r="G2211" s="12" t="n">
        <x:v>0</x:v>
      </x:c>
      <x:c r="H2211" s="1" t="n">
        <x:f>'Historical prices'!E2211</x:f>
        <x:v>1.05</x:v>
      </x:c>
      <x:c r="I2211" s="6" t="n">
        <x:f>'Historical prices'!D2211</x:f>
        <x:v>0.163</x:v>
      </x:c>
      <x:c r="J2211" s="13" t="n">
        <x:f>D2211*I2211*H2211</x:f>
        <x:v>0.07432188749999999</x:v>
      </x:c>
      <x:c r="K2211" s="13" t="n">
        <x:f>E2211*I2211*H2211</x:f>
        <x:v>0.07603338749999998</x:v>
      </x:c>
      <x:c r="L2211" s="1" t="str">
        <x:f>TEXT(A2211,"mmm yyyy")</x:f>
        <x:v>Jun 2026</x:v>
      </x:c>
    </x:row>
    <x:row r="2212" ht="21" customHeight="1">
      <x:c r="A2212" s="10" t="n">
        <x:v>46194</x:v>
      </x:c>
      <x:c r="B2212" s="1" t="n">
        <x:v>14</x:v>
      </x:c>
      <x:c r="C2212" s="1" t="n">
        <x:v>6</x:v>
      </x:c>
      <x:c r="D2212" s="12" t="n">
        <x:v>0.45833333333333337</x:v>
      </x:c>
      <x:c r="E2212" s="12" t="n">
        <x:v>0.4683333333333333</x:v>
      </x:c>
      <x:c r="F2212" s="12" t="n">
        <x:v>0</x:v>
      </x:c>
      <x:c r="G2212" s="12" t="n">
        <x:v>0</x:v>
      </x:c>
      <x:c r="H2212" s="1" t="n">
        <x:f>'Historical prices'!E2212</x:f>
        <x:v>1.05</x:v>
      </x:c>
      <x:c r="I2212" s="6" t="n">
        <x:f>'Historical prices'!D2212</x:f>
        <x:v>0.1663</x:v>
      </x:c>
      <x:c r="J2212" s="13" t="n">
        <x:f>D2212*I2212*H2212</x:f>
        <x:v>0.080031875</x:v>
      </x:c>
      <x:c r="K2212" s="13" t="n">
        <x:f>E2212*I2212*H2212</x:f>
        <x:v>0.081778025</x:v>
      </x:c>
      <x:c r="L2212" s="1" t="str">
        <x:f>TEXT(A2212,"mmm yyyy")</x:f>
        <x:v>Jun 2026</x:v>
      </x:c>
    </x:row>
    <x:row r="2213" ht="21" customHeight="1">
      <x:c r="A2213" s="10" t="n">
        <x:v>46194</x:v>
      </x:c>
      <x:c r="B2213" s="1" t="n">
        <x:v>14.5</x:v>
      </x:c>
      <x:c r="C2213" s="1" t="n">
        <x:v>6</x:v>
      </x:c>
      <x:c r="D2213" s="12" t="n">
        <x:v>0.5642499999999999</x:v>
      </x:c>
      <x:c r="E2213" s="12" t="n">
        <x:v>0.57525</x:v>
      </x:c>
      <x:c r="F2213" s="12" t="n">
        <x:v>0</x:v>
      </x:c>
      <x:c r="G2213" s="12" t="n">
        <x:v>0</x:v>
      </x:c>
      <x:c r="H2213" s="1" t="n">
        <x:f>'Historical prices'!E2213</x:f>
        <x:v>1.05</x:v>
      </x:c>
      <x:c r="I2213" s="6" t="n">
        <x:f>'Historical prices'!D2213</x:f>
        <x:v>0.16820000000000002</x:v>
      </x:c>
      <x:c r="J2213" s="13" t="n">
        <x:f>D2213*I2213*H2213</x:f>
        <x:v>0.0996521925</x:v>
      </x:c>
      <x:c r="K2213" s="13" t="n">
        <x:f>E2213*I2213*H2213</x:f>
        <x:v>0.10159490250000001</x:v>
      </x:c>
      <x:c r="L2213" s="1" t="str">
        <x:f>TEXT(A2213,"mmm yyyy")</x:f>
        <x:v>Jun 2026</x:v>
      </x:c>
    </x:row>
    <x:row r="2214" ht="21" customHeight="1">
      <x:c r="A2214" s="10" t="n">
        <x:v>46194</x:v>
      </x:c>
      <x:c r="B2214" s="1" t="n">
        <x:v>15</x:v>
      </x:c>
      <x:c r="C2214" s="1" t="n">
        <x:v>6</x:v>
      </x:c>
      <x:c r="D2214" s="12" t="n">
        <x:v>0.5348333333333333</x:v>
      </x:c>
      <x:c r="E2214" s="12" t="n">
        <x:v>0.5498333333333334</x:v>
      </x:c>
      <x:c r="F2214" s="12" t="n">
        <x:v>0</x:v>
      </x:c>
      <x:c r="G2214" s="12" t="n">
        <x:v>0</x:v>
      </x:c>
      <x:c r="H2214" s="1" t="n">
        <x:f>'Historical prices'!E2214</x:f>
        <x:v>1.05</x:v>
      </x:c>
      <x:c r="I2214" s="6" t="n">
        <x:f>'Historical prices'!D2214</x:f>
        <x:v>0.1588</x:v>
      </x:c>
      <x:c r="J2214" s="13" t="n">
        <x:f>D2214*I2214*H2214</x:f>
        <x:v>0.08917810999999999</x:v>
      </x:c>
      <x:c r="K2214" s="13" t="n">
        <x:f>E2214*I2214*H2214</x:f>
        <x:v>0.09167921000000001</x:v>
      </x:c>
      <x:c r="L2214" s="1" t="str">
        <x:f>TEXT(A2214,"mmm yyyy")</x:f>
        <x:v>Jun 2026</x:v>
      </x:c>
    </x:row>
    <x:row r="2215" ht="21" customHeight="1">
      <x:c r="A2215" s="10" t="n">
        <x:v>46194</x:v>
      </x:c>
      <x:c r="B2215" s="1" t="n">
        <x:v>15.5</x:v>
      </x:c>
      <x:c r="C2215" s="1" t="n">
        <x:v>6</x:v>
      </x:c>
      <x:c r="D2215" s="12" t="n">
        <x:v>4.692583333333333</x:v>
      </x:c>
      <x:c r="E2215" s="12" t="n">
        <x:v>0.7175833333333332</x:v>
      </x:c>
      <x:c r="F2215" s="12" t="n">
        <x:v>0</x:v>
      </x:c>
      <x:c r="G2215" s="12" t="n">
        <x:v>3.9810000000000003</x:v>
      </x:c>
      <x:c r="H2215" s="1" t="n">
        <x:f>'Historical prices'!E2215</x:f>
        <x:v>1.05</x:v>
      </x:c>
      <x:c r="I2215" s="6" t="n">
        <x:f>'Historical prices'!D2215</x:f>
        <x:v>0.15560000000000002</x:v>
      </x:c>
      <x:c r="J2215" s="13" t="n">
        <x:f>D2215*I2215*H2215</x:f>
        <x:v>0.7666742650000001</x:v>
      </x:c>
      <x:c r="K2215" s="13" t="n">
        <x:f>E2215*I2215*H2215</x:f>
        <x:v>0.117238765</x:v>
      </x:c>
      <x:c r="L2215" s="1" t="str">
        <x:f>TEXT(A2215,"mmm yyyy")</x:f>
        <x:v>Jun 2026</x:v>
      </x:c>
    </x:row>
    <x:row r="2216" ht="21" customHeight="1">
      <x:c r="A2216" s="10" t="n">
        <x:v>46194</x:v>
      </x:c>
      <x:c r="B2216" s="1" t="n">
        <x:v>16</x:v>
      </x:c>
      <x:c r="C2216" s="1" t="n">
        <x:v>6</x:v>
      </x:c>
      <x:c r="D2216" s="12" t="n">
        <x:v>0.92825</x:v>
      </x:c>
      <x:c r="E2216" s="12" t="n">
        <x:v>0.6245833333333333</x:v>
      </x:c>
      <x:c r="F2216" s="12" t="n">
        <x:v>0.5</x:v>
      </x:c>
      <x:c r="G2216" s="12" t="n">
        <x:v>0.806</x:v>
      </x:c>
      <x:c r="H2216" s="1" t="n">
        <x:f>'Historical prices'!E2216</x:f>
        <x:v>1.05</x:v>
      </x:c>
      <x:c r="I2216" s="6" t="n">
        <x:f>'Historical prices'!D2216</x:f>
        <x:v>0.284</x:v>
      </x:c>
      <x:c r="J2216" s="13" t="n">
        <x:f>D2216*I2216*H2216</x:f>
        <x:v>0.27680415</x:v>
      </x:c>
      <x:c r="K2216" s="13" t="n">
        <x:f>E2216*I2216*H2216</x:f>
        <x:v>0.18625074999999996</x:v>
      </x:c>
      <x:c r="L2216" s="1" t="str">
        <x:f>TEXT(A2216,"mmm yyyy")</x:f>
        <x:v>Jun 2026</x:v>
      </x:c>
    </x:row>
    <x:row r="2217" ht="21" customHeight="1">
      <x:c r="A2217" s="10" t="n">
        <x:v>46194</x:v>
      </x:c>
      <x:c r="B2217" s="1" t="n">
        <x:v>16.5</x:v>
      </x:c>
      <x:c r="C2217" s="1" t="n">
        <x:v>6</x:v>
      </x:c>
      <x:c r="D2217" s="12" t="n">
        <x:v>0</x:v>
      </x:c>
      <x:c r="E2217" s="12" t="n">
        <x:v>0.5507500000000001</x:v>
      </x:c>
      <x:c r="F2217" s="12" t="n">
        <x:v>0.5505833333333333</x:v>
      </x:c>
      <x:c r="G2217" s="12" t="n">
        <x:v>0</x:v>
      </x:c>
      <x:c r="H2217" s="1" t="n">
        <x:f>'Historical prices'!E2217</x:f>
        <x:v>1.05</x:v>
      </x:c>
      <x:c r="I2217" s="6" t="n">
        <x:f>'Historical prices'!D2217</x:f>
        <x:v>0.289</x:v>
      </x:c>
      <x:c r="J2217" s="13" t="n">
        <x:f>D2217*I2217*H2217</x:f>
        <x:v>0</x:v>
      </x:c>
      <x:c r="K2217" s="13" t="n">
        <x:f>E2217*I2217*H2217</x:f>
        <x:v>0.1671250875</x:v>
      </x:c>
      <x:c r="L2217" s="1" t="str">
        <x:f>TEXT(A2217,"mmm yyyy")</x:f>
        <x:v>Jun 2026</x:v>
      </x:c>
    </x:row>
    <x:row r="2218" ht="21" customHeight="1">
      <x:c r="A2218" s="10" t="n">
        <x:v>46194</x:v>
      </x:c>
      <x:c r="B2218" s="1" t="n">
        <x:v>17</x:v>
      </x:c>
      <x:c r="C2218" s="1" t="n">
        <x:v>6</x:v>
      </x:c>
      <x:c r="D2218" s="12" t="n">
        <x:v>0</x:v>
      </x:c>
      <x:c r="E2218" s="12" t="n">
        <x:v>0.45875000000000005</x:v>
      </x:c>
      <x:c r="F2218" s="12" t="n">
        <x:v>0.457</x:v>
      </x:c>
      <x:c r="G2218" s="12" t="n">
        <x:v>0</x:v>
      </x:c>
      <x:c r="H2218" s="1" t="n">
        <x:f>'Historical prices'!E2218</x:f>
        <x:v>1.05</x:v>
      </x:c>
      <x:c r="I2218" s="6" t="n">
        <x:f>'Historical prices'!D2218</x:f>
        <x:v>0.2942</x:v>
      </x:c>
      <x:c r="J2218" s="13" t="n">
        <x:f>D2218*I2218*H2218</x:f>
        <x:v>0</x:v>
      </x:c>
      <x:c r="K2218" s="13" t="n">
        <x:f>E2218*I2218*H2218</x:f>
        <x:v>0.14171246250000002</x:v>
      </x:c>
      <x:c r="L2218" s="1" t="str">
        <x:f>TEXT(A2218,"mmm yyyy")</x:f>
        <x:v>Jun 2026</x:v>
      </x:c>
    </x:row>
    <x:row r="2219" ht="21" customHeight="1">
      <x:c r="A2219" s="10" t="n">
        <x:v>46194</x:v>
      </x:c>
      <x:c r="B2219" s="1" t="n">
        <x:v>17.5</x:v>
      </x:c>
      <x:c r="C2219" s="1" t="n">
        <x:v>6</x:v>
      </x:c>
      <x:c r="D2219" s="12" t="n">
        <x:v>0</x:v>
      </x:c>
      <x:c r="E2219" s="12" t="n">
        <x:v>0.5199166666666667</x:v>
      </x:c>
      <x:c r="F2219" s="12" t="n">
        <x:v>0.5197499999999999</x:v>
      </x:c>
      <x:c r="G2219" s="12" t="n">
        <x:v>0</x:v>
      </x:c>
      <x:c r="H2219" s="1" t="n">
        <x:f>'Historical prices'!E2219</x:f>
        <x:v>1.05</x:v>
      </x:c>
      <x:c r="I2219" s="6" t="n">
        <x:f>'Historical prices'!D2219</x:f>
        <x:v>0.2966</x:v>
      </x:c>
      <x:c r="J2219" s="13" t="n">
        <x:f>D2219*I2219*H2219</x:f>
        <x:v>0</x:v>
      </x:c>
      <x:c r="K2219" s="13" t="n">
        <x:f>E2219*I2219*H2219</x:f>
        <x:v>0.1619176475</x:v>
      </x:c>
      <x:c r="L2219" s="1" t="str">
        <x:f>TEXT(A2219,"mmm yyyy")</x:f>
        <x:v>Jun 2026</x:v>
      </x:c>
    </x:row>
    <x:row r="2220" ht="21" customHeight="1">
      <x:c r="A2220" s="10" t="n">
        <x:v>46194</x:v>
      </x:c>
      <x:c r="B2220" s="1" t="n">
        <x:v>18</x:v>
      </x:c>
      <x:c r="C2220" s="1" t="n">
        <x:v>6</x:v>
      </x:c>
      <x:c r="D2220" s="12" t="n">
        <x:v>0</x:v>
      </x:c>
      <x:c r="E2220" s="12" t="n">
        <x:v>0.528</x:v>
      </x:c>
      <x:c r="F2220" s="12" t="n">
        <x:v>0.5279166666666666</x:v>
      </x:c>
      <x:c r="G2220" s="12" t="n">
        <x:v>0</x:v>
      </x:c>
      <x:c r="H2220" s="1" t="n">
        <x:f>'Historical prices'!E2220</x:f>
        <x:v>1.05</x:v>
      </x:c>
      <x:c r="I2220" s="6" t="n">
        <x:f>'Historical prices'!D2220</x:f>
        <x:v>0.3178</x:v>
      </x:c>
      <x:c r="J2220" s="13" t="n">
        <x:f>D2220*I2220*H2220</x:f>
        <x:v>0</x:v>
      </x:c>
      <x:c r="K2220" s="13" t="n">
        <x:f>E2220*I2220*H2220</x:f>
        <x:v>0.17618832</x:v>
      </x:c>
      <x:c r="L2220" s="1" t="str">
        <x:f>TEXT(A2220,"mmm yyyy")</x:f>
        <x:v>Jun 2026</x:v>
      </x:c>
    </x:row>
    <x:row r="2221" ht="21" customHeight="1">
      <x:c r="A2221" s="10" t="n">
        <x:v>46194</x:v>
      </x:c>
      <x:c r="B2221" s="1" t="n">
        <x:v>18.5</x:v>
      </x:c>
      <x:c r="C2221" s="1" t="n">
        <x:v>6</x:v>
      </x:c>
      <x:c r="D2221" s="12" t="n">
        <x:v>0</x:v>
      </x:c>
      <x:c r="E2221" s="12" t="n">
        <x:v>0.49283333333333335</x:v>
      </x:c>
      <x:c r="F2221" s="12" t="n">
        <x:v>0.4926666666666667</x:v>
      </x:c>
      <x:c r="G2221" s="12" t="n">
        <x:v>0</x:v>
      </x:c>
      <x:c r="H2221" s="1" t="n">
        <x:f>'Historical prices'!E2221</x:f>
        <x:v>1.05</x:v>
      </x:c>
      <x:c r="I2221" s="6" t="n">
        <x:f>'Historical prices'!D2221</x:f>
        <x:v>0.33899999999999997</x:v>
      </x:c>
      <x:c r="J2221" s="13" t="n">
        <x:f>D2221*I2221*H2221</x:f>
        <x:v>0</x:v>
      </x:c>
      <x:c r="K2221" s="13" t="n">
        <x:f>E2221*I2221*H2221</x:f>
        <x:v>0.17542402499999998</x:v>
      </x:c>
      <x:c r="L2221" s="1" t="str">
        <x:f>TEXT(A2221,"mmm yyyy")</x:f>
        <x:v>Jun 2026</x:v>
      </x:c>
    </x:row>
    <x:row r="2222" ht="21" customHeight="1">
      <x:c r="A2222" s="10" t="n">
        <x:v>46194</x:v>
      </x:c>
      <x:c r="B2222" s="1" t="n">
        <x:v>19</x:v>
      </x:c>
      <x:c r="C2222" s="1" t="n">
        <x:v>6</x:v>
      </x:c>
      <x:c r="D2222" s="12" t="n">
        <x:v>0</x:v>
      </x:c>
      <x:c r="E2222" s="12" t="n">
        <x:v>0.5578333333333334</x:v>
      </x:c>
      <x:c r="F2222" s="12" t="n">
        <x:v>0.5575833333333334</x:v>
      </x:c>
      <x:c r="G2222" s="12" t="n">
        <x:v>0</x:v>
      </x:c>
      <x:c r="H2222" s="1" t="n">
        <x:f>'Historical prices'!E2222</x:f>
        <x:v>1.05</x:v>
      </x:c>
      <x:c r="I2222" s="6" t="n">
        <x:f>'Historical prices'!D2222</x:f>
        <x:v>0.23579999999999998</x:v>
      </x:c>
      <x:c r="J2222" s="13" t="n">
        <x:f>D2222*I2222*H2222</x:f>
        <x:v>0</x:v>
      </x:c>
      <x:c r="K2222" s="13" t="n">
        <x:f>E2222*I2222*H2222</x:f>
        <x:v>0.13811395500000004</x:v>
      </x:c>
      <x:c r="L2222" s="1" t="str">
        <x:f>TEXT(A2222,"mmm yyyy")</x:f>
        <x:v>Jun 2026</x:v>
      </x:c>
    </x:row>
    <x:row r="2223" ht="21" customHeight="1">
      <x:c r="A2223" s="10" t="n">
        <x:v>46194</x:v>
      </x:c>
      <x:c r="B2223" s="1" t="n">
        <x:v>19.5</x:v>
      </x:c>
      <x:c r="C2223" s="1" t="n">
        <x:v>6</x:v>
      </x:c>
      <x:c r="D2223" s="12" t="n">
        <x:v>0</x:v>
      </x:c>
      <x:c r="E2223" s="12" t="n">
        <x:v>0.7063333333333334</x:v>
      </x:c>
      <x:c r="F2223" s="12" t="n">
        <x:v>0.7058333333333333</x:v>
      </x:c>
      <x:c r="G2223" s="12" t="n">
        <x:v>0</x:v>
      </x:c>
      <x:c r="H2223" s="1" t="n">
        <x:f>'Historical prices'!E2223</x:f>
        <x:v>1.05</x:v>
      </x:c>
      <x:c r="I2223" s="6" t="n">
        <x:f>'Historical prices'!D2223</x:f>
        <x:v>0.2375</x:v>
      </x:c>
      <x:c r="J2223" s="13" t="n">
        <x:f>D2223*I2223*H2223</x:f>
        <x:v>0</x:v>
      </x:c>
      <x:c r="K2223" s="13" t="n">
        <x:f>E2223*I2223*H2223</x:f>
        <x:v>0.17614187500000003</x:v>
      </x:c>
      <x:c r="L2223" s="1" t="str">
        <x:f>TEXT(A2223,"mmm yyyy")</x:f>
        <x:v>Jun 2026</x:v>
      </x:c>
    </x:row>
    <x:row r="2224" ht="21" customHeight="1">
      <x:c r="A2224" s="10" t="n">
        <x:v>46194</x:v>
      </x:c>
      <x:c r="B2224" s="1" t="n">
        <x:v>20</x:v>
      </x:c>
      <x:c r="C2224" s="1" t="n">
        <x:v>6</x:v>
      </x:c>
      <x:c r="D2224" s="12" t="n">
        <x:v>0</x:v>
      </x:c>
      <x:c r="E2224" s="12" t="n">
        <x:v>0.5313333333333333</x:v>
      </x:c>
      <x:c r="F2224" s="12" t="n">
        <x:v>0.5313333333333333</x:v>
      </x:c>
      <x:c r="G2224" s="12" t="n">
        <x:v>0</x:v>
      </x:c>
      <x:c r="H2224" s="1" t="n">
        <x:f>'Historical prices'!E2224</x:f>
        <x:v>1.05</x:v>
      </x:c>
      <x:c r="I2224" s="6" t="n">
        <x:f>'Historical prices'!D2224</x:f>
        <x:v>0.2341</x:v>
      </x:c>
      <x:c r="J2224" s="13" t="n">
        <x:f>D2224*I2224*H2224</x:f>
        <x:v>0</x:v>
      </x:c>
      <x:c r="K2224" s="13" t="n">
        <x:f>E2224*I2224*H2224</x:f>
        <x:v>0.13060439</x:v>
      </x:c>
      <x:c r="L2224" s="1" t="str">
        <x:f>TEXT(A2224,"mmm yyyy")</x:f>
        <x:v>Jun 2026</x:v>
      </x:c>
    </x:row>
    <x:row r="2225" ht="21" customHeight="1">
      <x:c r="A2225" s="10" t="n">
        <x:v>46194</x:v>
      </x:c>
      <x:c r="B2225" s="1" t="n">
        <x:v>20.5</x:v>
      </x:c>
      <x:c r="C2225" s="1" t="n">
        <x:v>6</x:v>
      </x:c>
      <x:c r="D2225" s="12" t="n">
        <x:v>0</x:v>
      </x:c>
      <x:c r="E2225" s="12" t="n">
        <x:v>0.5899166666666666</x:v>
      </x:c>
      <x:c r="F2225" s="12" t="n">
        <x:v>0.5898333333333333</x:v>
      </x:c>
      <x:c r="G2225" s="12" t="n">
        <x:v>0</x:v>
      </x:c>
      <x:c r="H2225" s="1" t="n">
        <x:f>'Historical prices'!E2225</x:f>
        <x:v>1.05</x:v>
      </x:c>
      <x:c r="I2225" s="6" t="n">
        <x:f>'Historical prices'!D2225</x:f>
        <x:v>0.2375</x:v>
      </x:c>
      <x:c r="J2225" s="13" t="n">
        <x:f>D2225*I2225*H2225</x:f>
        <x:v>0</x:v>
      </x:c>
      <x:c r="K2225" s="13" t="n">
        <x:f>E2225*I2225*H2225</x:f>
        <x:v>0.14711046874999997</x:v>
      </x:c>
      <x:c r="L2225" s="1" t="str">
        <x:f>TEXT(A2225,"mmm yyyy")</x:f>
        <x:v>Jun 2026</x:v>
      </x:c>
    </x:row>
    <x:row r="2226" ht="21" customHeight="1">
      <x:c r="A2226" s="10" t="n">
        <x:v>46194</x:v>
      </x:c>
      <x:c r="B2226" s="1" t="n">
        <x:v>21</x:v>
      </x:c>
      <x:c r="C2226" s="1" t="n">
        <x:v>6</x:v>
      </x:c>
      <x:c r="D2226" s="12" t="n">
        <x:v>0</x:v>
      </x:c>
      <x:c r="E2226" s="12" t="n">
        <x:v>0.5759166666666666</x:v>
      </x:c>
      <x:c r="F2226" s="12" t="n">
        <x:v>0.5758333333333333</x:v>
      </x:c>
      <x:c r="G2226" s="12" t="n">
        <x:v>0</x:v>
      </x:c>
      <x:c r="H2226" s="1" t="n">
        <x:f>'Historical prices'!E2226</x:f>
        <x:v>1.05</x:v>
      </x:c>
      <x:c r="I2226" s="6" t="n">
        <x:f>'Historical prices'!D2226</x:f>
        <x:v>0.23370000000000002</x:v>
      </x:c>
      <x:c r="J2226" s="13" t="n">
        <x:f>D2226*I2226*H2226</x:f>
        <x:v>0</x:v>
      </x:c>
      <x:c r="K2226" s="13" t="n">
        <x:f>E2226*I2226*H2226</x:f>
        <x:v>0.14132131125</x:v>
      </x:c>
      <x:c r="L2226" s="1" t="str">
        <x:f>TEXT(A2226,"mmm yyyy")</x:f>
        <x:v>Jun 2026</x:v>
      </x:c>
    </x:row>
    <x:row r="2227" ht="21" customHeight="1">
      <x:c r="A2227" s="10" t="n">
        <x:v>46194</x:v>
      </x:c>
      <x:c r="B2227" s="1" t="n">
        <x:v>21.5</x:v>
      </x:c>
      <x:c r="C2227" s="1" t="n">
        <x:v>6</x:v>
      </x:c>
      <x:c r="D2227" s="12" t="n">
        <x:v>0</x:v>
      </x:c>
      <x:c r="E2227" s="12" t="n">
        <x:v>0.8478333333333333</x:v>
      </x:c>
      <x:c r="F2227" s="12" t="n">
        <x:v>0.8476666666666667</x:v>
      </x:c>
      <x:c r="G2227" s="12" t="n">
        <x:v>0</x:v>
      </x:c>
      <x:c r="H2227" s="1" t="n">
        <x:f>'Historical prices'!E2227</x:f>
        <x:v>1.05</x:v>
      </x:c>
      <x:c r="I2227" s="6" t="n">
        <x:f>'Historical prices'!D2227</x:f>
        <x:v>0.23370000000000002</x:v>
      </x:c>
      <x:c r="J2227" s="13" t="n">
        <x:f>D2227*I2227*H2227</x:f>
        <x:v>0</x:v>
      </x:c>
      <x:c r="K2227" s="13" t="n">
        <x:f>E2227*I2227*H2227</x:f>
        <x:v>0.20804558250000005</x:v>
      </x:c>
      <x:c r="L2227" s="1" t="str">
        <x:f>TEXT(A2227,"mmm yyyy")</x:f>
        <x:v>Jun 2026</x:v>
      </x:c>
    </x:row>
    <x:row r="2228" ht="21" customHeight="1">
      <x:c r="A2228" s="10" t="n">
        <x:v>46194</x:v>
      </x:c>
      <x:c r="B2228" s="1" t="n">
        <x:v>22</x:v>
      </x:c>
      <x:c r="C2228" s="1" t="n">
        <x:v>6</x:v>
      </x:c>
      <x:c r="D2228" s="12" t="n">
        <x:v>0</x:v>
      </x:c>
      <x:c r="E2228" s="12" t="n">
        <x:v>0.3398333333333333</x:v>
      </x:c>
      <x:c r="F2228" s="12" t="n">
        <x:v>0.3396666666666666</x:v>
      </x:c>
      <x:c r="G2228" s="12" t="n">
        <x:v>0</x:v>
      </x:c>
      <x:c r="H2228" s="1" t="n">
        <x:f>'Historical prices'!E2228</x:f>
        <x:v>1.05</x:v>
      </x:c>
      <x:c r="I2228" s="6" t="n">
        <x:f>'Historical prices'!D2228</x:f>
        <x:v>0.2184</x:v>
      </x:c>
      <x:c r="J2228" s="13" t="n">
        <x:f>D2228*I2228*H2228</x:f>
        <x:v>0</x:v>
      </x:c>
      <x:c r="K2228" s="13" t="n">
        <x:f>E2228*I2228*H2228</x:f>
        <x:v>0.07793058</x:v>
      </x:c>
      <x:c r="L2228" s="1" t="str">
        <x:f>TEXT(A2228,"mmm yyyy")</x:f>
        <x:v>Jun 2026</x:v>
      </x:c>
    </x:row>
    <x:row r="2229" ht="21" customHeight="1">
      <x:c r="A2229" s="10" t="n">
        <x:v>46194</x:v>
      </x:c>
      <x:c r="B2229" s="1" t="n">
        <x:v>22.5</x:v>
      </x:c>
      <x:c r="C2229" s="1" t="n">
        <x:v>6</x:v>
      </x:c>
      <x:c r="D2229" s="12" t="n">
        <x:v>0</x:v>
      </x:c>
      <x:c r="E2229" s="12" t="n">
        <x:v>0.28975</x:v>
      </x:c>
      <x:c r="F2229" s="12" t="n">
        <x:v>0.2896666666666667</x:v>
      </x:c>
      <x:c r="G2229" s="12" t="n">
        <x:v>0</x:v>
      </x:c>
      <x:c r="H2229" s="1" t="n">
        <x:f>'Historical prices'!E2229</x:f>
        <x:v>1.05</x:v>
      </x:c>
      <x:c r="I2229" s="6" t="n">
        <x:f>'Historical prices'!D2229</x:f>
        <x:v>0.2184</x:v>
      </x:c>
      <x:c r="J2229" s="13" t="n">
        <x:f>D2229*I2229*H2229</x:f>
        <x:v>0</x:v>
      </x:c>
      <x:c r="K2229" s="13" t="n">
        <x:f>E2229*I2229*H2229</x:f>
        <x:v>0.06644547</x:v>
      </x:c>
      <x:c r="L2229" s="1" t="str">
        <x:f>TEXT(A2229,"mmm yyyy")</x:f>
        <x:v>Jun 2026</x:v>
      </x:c>
    </x:row>
    <x:row r="2230" ht="21" customHeight="1">
      <x:c r="A2230" s="10" t="n">
        <x:v>46194</x:v>
      </x:c>
      <x:c r="B2230" s="1" t="n">
        <x:v>23</x:v>
      </x:c>
      <x:c r="C2230" s="1" t="n">
        <x:v>6</x:v>
      </x:c>
      <x:c r="D2230" s="12" t="n">
        <x:v>0.047</x:v>
      </x:c>
      <x:c r="E2230" s="12" t="n">
        <x:v>0.29891666666666666</x:v>
      </x:c>
      <x:c r="F2230" s="12" t="n">
        <x:v>0.25175000000000003</x:v>
      </x:c>
      <x:c r="G2230" s="12" t="n">
        <x:v>0</x:v>
      </x:c>
      <x:c r="H2230" s="1" t="n">
        <x:f>'Historical prices'!E2230</x:f>
        <x:v>1.05</x:v>
      </x:c>
      <x:c r="I2230" s="6" t="n">
        <x:f>'Historical prices'!D2230</x:f>
        <x:v>0.19510000000000002</x:v>
      </x:c>
      <x:c r="J2230" s="13" t="n">
        <x:f>D2230*I2230*H2230</x:f>
        <x:v>0.009628185000000001</x:v>
      </x:c>
      <x:c r="K2230" s="13" t="n">
        <x:f>E2230*I2230*H2230</x:f>
        <x:v>0.06123457375000001</x:v>
      </x:c>
      <x:c r="L2230" s="1" t="str">
        <x:f>TEXT(A2230,"mmm yyyy")</x:f>
        <x:v>Jun 2026</x:v>
      </x:c>
    </x:row>
    <x:row r="2231" ht="21" customHeight="1">
      <x:c r="A2231" s="10" t="n">
        <x:v>46194</x:v>
      </x:c>
      <x:c r="B2231" s="1" t="n">
        <x:v>23.5</x:v>
      </x:c>
      <x:c r="C2231" s="1" t="n">
        <x:v>6</x:v>
      </x:c>
      <x:c r="D2231" s="12" t="n">
        <x:v>0.3254166666666667</x:v>
      </x:c>
      <x:c r="E2231" s="12" t="n">
        <x:v>0.3684166666666667</x:v>
      </x:c>
      <x:c r="F2231" s="12" t="n">
        <x:v>0.032</x:v>
      </x:c>
      <x:c r="G2231" s="12" t="n">
        <x:v>0</x:v>
      </x:c>
      <x:c r="H2231" s="1" t="n">
        <x:f>'Historical prices'!E2231</x:f>
        <x:v>1.05</x:v>
      </x:c>
      <x:c r="I2231" s="6" t="n">
        <x:f>'Historical prices'!D2231</x:f>
        <x:v>0.1924</x:v>
      </x:c>
      <x:c r="J2231" s="13" t="n">
        <x:f>D2231*I2231*H2231</x:f>
        <x:v>0.065740675</x:v>
      </x:c>
      <x:c r="K2231" s="13" t="n">
        <x:f>E2231*I2231*H2231</x:f>
        <x:v>0.074427535</x:v>
      </x:c>
      <x:c r="L2231" s="1" t="str">
        <x:f>TEXT(A2231,"mmm yyyy")</x:f>
        <x:v>Jun 2026</x:v>
      </x:c>
    </x:row>
    <x:row r="2232" ht="21" customHeight="1">
      <x:c r="A2232" s="10" t="n">
        <x:v>46195</x:v>
      </x:c>
      <x:c r="B2232" s="1" t="n">
        <x:v>0</x:v>
      </x:c>
      <x:c r="C2232" s="1" t="n">
        <x:v>6</x:v>
      </x:c>
      <x:c r="D2232" s="12" t="n">
        <x:v>0.20441666666666666</x:v>
      </x:c>
      <x:c r="E2232" s="12" t="n">
        <x:v>0.21441666666666667</x:v>
      </x:c>
      <x:c r="F2232" s="12" t="n">
        <x:v>0</x:v>
      </x:c>
      <x:c r="G2232" s="12" t="n">
        <x:v>0</x:v>
      </x:c>
      <x:c r="H2232" s="1" t="n">
        <x:f>'Historical prices'!E2232</x:f>
        <x:v>1.05</x:v>
      </x:c>
      <x:c r="I2232" s="6" t="n">
        <x:f>'Historical prices'!D2232</x:f>
        <x:v>0.18600000000000003</x:v>
      </x:c>
      <x:c r="J2232" s="13" t="n">
        <x:f>D2232*I2232*H2232</x:f>
        <x:v>0.03992257500000001</x:v>
      </x:c>
      <x:c r="K2232" s="13" t="n">
        <x:f>E2232*I2232*H2232</x:f>
        <x:v>0.04187557500000001</x:v>
      </x:c>
      <x:c r="L2232" s="1" t="str">
        <x:f>TEXT(A2232,"mmm yyyy")</x:f>
        <x:v>Jun 2026</x:v>
      </x:c>
    </x:row>
    <x:row r="2233" ht="21" customHeight="1">
      <x:c r="A2233" s="10" t="n">
        <x:v>46195</x:v>
      </x:c>
      <x:c r="B2233" s="1" t="n">
        <x:v>0.5</x:v>
      </x:c>
      <x:c r="C2233" s="1" t="n">
        <x:v>6</x:v>
      </x:c>
      <x:c r="D2233" s="12" t="n">
        <x:v>0.17133333333333334</x:v>
      </x:c>
      <x:c r="E2233" s="12" t="n">
        <x:v>0.18233333333333335</x:v>
      </x:c>
      <x:c r="F2233" s="12" t="n">
        <x:v>0</x:v>
      </x:c>
      <x:c r="G2233" s="12" t="n">
        <x:v>0</x:v>
      </x:c>
      <x:c r="H2233" s="1" t="n">
        <x:f>'Historical prices'!E2233</x:f>
        <x:v>1.05</x:v>
      </x:c>
      <x:c r="I2233" s="6" t="n">
        <x:f>'Historical prices'!D2233</x:f>
        <x:v>0.1815</x:v>
      </x:c>
      <x:c r="J2233" s="13" t="n">
        <x:f>D2233*I2233*H2233</x:f>
        <x:v>0.03265185</x:v>
      </x:c>
      <x:c r="K2233" s="13" t="n">
        <x:f>E2233*I2233*H2233</x:f>
        <x:v>0.034748175000000006</x:v>
      </x:c>
      <x:c r="L2233" s="1" t="str">
        <x:f>TEXT(A2233,"mmm yyyy")</x:f>
        <x:v>Jun 2026</x:v>
      </x:c>
    </x:row>
    <x:row r="2234" ht="21" customHeight="1">
      <x:c r="A2234" s="10" t="n">
        <x:v>46195</x:v>
      </x:c>
      <x:c r="B2234" s="1" t="n">
        <x:v>1</x:v>
      </x:c>
      <x:c r="C2234" s="1" t="n">
        <x:v>6</x:v>
      </x:c>
      <x:c r="D2234" s="12" t="n">
        <x:v>0.20933333333333332</x:v>
      </x:c>
      <x:c r="E2234" s="12" t="n">
        <x:v>0.21933333333333332</x:v>
      </x:c>
      <x:c r="F2234" s="12" t="n">
        <x:v>0</x:v>
      </x:c>
      <x:c r="G2234" s="12" t="n">
        <x:v>0</x:v>
      </x:c>
      <x:c r="H2234" s="1" t="n">
        <x:f>'Historical prices'!E2234</x:f>
        <x:v>1.05</x:v>
      </x:c>
      <x:c r="I2234" s="6" t="n">
        <x:f>'Historical prices'!D2234</x:f>
        <x:v>0.1722</x:v>
      </x:c>
      <x:c r="J2234" s="13" t="n">
        <x:f>D2234*I2234*H2234</x:f>
        <x:v>0.03784956</x:v>
      </x:c>
      <x:c r="K2234" s="13" t="n">
        <x:f>E2234*I2234*H2234</x:f>
        <x:v>0.03965766</x:v>
      </x:c>
      <x:c r="L2234" s="1" t="str">
        <x:f>TEXT(A2234,"mmm yyyy")</x:f>
        <x:v>Jun 2026</x:v>
      </x:c>
    </x:row>
    <x:row r="2235" ht="21" customHeight="1">
      <x:c r="A2235" s="10" t="n">
        <x:v>46195</x:v>
      </x:c>
      <x:c r="B2235" s="1" t="n">
        <x:v>1.5</x:v>
      </x:c>
      <x:c r="C2235" s="1" t="n">
        <x:v>6</x:v>
      </x:c>
      <x:c r="D2235" s="12" t="n">
        <x:v>0.22875000000000004</x:v>
      </x:c>
      <x:c r="E2235" s="12" t="n">
        <x:v>0.23975</x:v>
      </x:c>
      <x:c r="F2235" s="12" t="n">
        <x:v>0</x:v>
      </x:c>
      <x:c r="G2235" s="12" t="n">
        <x:v>0</x:v>
      </x:c>
      <x:c r="H2235" s="1" t="n">
        <x:f>'Historical prices'!E2235</x:f>
        <x:v>1.05</x:v>
      </x:c>
      <x:c r="I2235" s="6" t="n">
        <x:f>'Historical prices'!D2235</x:f>
        <x:v>0.172</x:v>
      </x:c>
      <x:c r="J2235" s="13" t="n">
        <x:f>D2235*I2235*H2235</x:f>
        <x:v>0.04131225000000001</x:v>
      </x:c>
      <x:c r="K2235" s="13" t="n">
        <x:f>E2235*I2235*H2235</x:f>
        <x:v>0.04329885</x:v>
      </x:c>
      <x:c r="L2235" s="1" t="str">
        <x:f>TEXT(A2235,"mmm yyyy")</x:f>
        <x:v>Jun 2026</x:v>
      </x:c>
    </x:row>
    <x:row r="2236" ht="21" customHeight="1">
      <x:c r="A2236" s="10" t="n">
        <x:v>46195</x:v>
      </x:c>
      <x:c r="B2236" s="1" t="n">
        <x:v>2</x:v>
      </x:c>
      <x:c r="C2236" s="1" t="n">
        <x:v>6</x:v>
      </x:c>
      <x:c r="D2236" s="12" t="n">
        <x:v>0.18683333333333335</x:v>
      </x:c>
      <x:c r="E2236" s="12" t="n">
        <x:v>0.19683333333333336</x:v>
      </x:c>
      <x:c r="F2236" s="12" t="n">
        <x:v>0</x:v>
      </x:c>
      <x:c r="G2236" s="12" t="n">
        <x:v>0</x:v>
      </x:c>
      <x:c r="H2236" s="1" t="n">
        <x:f>'Historical prices'!E2236</x:f>
        <x:v>1.05</x:v>
      </x:c>
      <x:c r="I2236" s="6" t="n">
        <x:f>'Historical prices'!D2236</x:f>
        <x:v>0.1779</x:v>
      </x:c>
      <x:c r="J2236" s="13" t="n">
        <x:f>D2236*I2236*H2236</x:f>
        <x:v>0.034899532500000004</x:v>
      </x:c>
      <x:c r="K2236" s="13" t="n">
        <x:f>E2236*I2236*H2236</x:f>
        <x:v>0.036767482500000004</x:v>
      </x:c>
      <x:c r="L2236" s="1" t="str">
        <x:f>TEXT(A2236,"mmm yyyy")</x:f>
        <x:v>Jun 2026</x:v>
      </x:c>
    </x:row>
    <x:row r="2237" ht="21" customHeight="1">
      <x:c r="A2237" s="10" t="n">
        <x:v>46195</x:v>
      </x:c>
      <x:c r="B2237" s="1" t="n">
        <x:v>2.5</x:v>
      </x:c>
      <x:c r="C2237" s="1" t="n">
        <x:v>6</x:v>
      </x:c>
      <x:c r="D2237" s="12" t="n">
        <x:v>0.21225</x:v>
      </x:c>
      <x:c r="E2237" s="12" t="n">
        <x:v>0.22325</x:v>
      </x:c>
      <x:c r="F2237" s="12" t="n">
        <x:v>0</x:v>
      </x:c>
      <x:c r="G2237" s="12" t="n">
        <x:v>0</x:v>
      </x:c>
      <x:c r="H2237" s="1" t="n">
        <x:f>'Historical prices'!E2237</x:f>
        <x:v>1.05</x:v>
      </x:c>
      <x:c r="I2237" s="6" t="n">
        <x:f>'Historical prices'!D2237</x:f>
        <x:v>0.1686</x:v>
      </x:c>
      <x:c r="J2237" s="13" t="n">
        <x:f>D2237*I2237*H2237</x:f>
        <x:v>0.037574617500000004</x:v>
      </x:c>
      <x:c r="K2237" s="13" t="n">
        <x:f>E2237*I2237*H2237</x:f>
        <x:v>0.0395219475</x:v>
      </x:c>
      <x:c r="L2237" s="1" t="str">
        <x:f>TEXT(A2237,"mmm yyyy")</x:f>
        <x:v>Jun 2026</x:v>
      </x:c>
    </x:row>
    <x:row r="2238" ht="21" customHeight="1">
      <x:c r="A2238" s="10" t="n">
        <x:v>46195</x:v>
      </x:c>
      <x:c r="B2238" s="1" t="n">
        <x:v>3</x:v>
      </x:c>
      <x:c r="C2238" s="1" t="n">
        <x:v>6</x:v>
      </x:c>
      <x:c r="D2238" s="12" t="n">
        <x:v>0.20983333333333334</x:v>
      </x:c>
      <x:c r="E2238" s="12" t="n">
        <x:v>0.21983333333333333</x:v>
      </x:c>
      <x:c r="F2238" s="12" t="n">
        <x:v>0</x:v>
      </x:c>
      <x:c r="G2238" s="12" t="n">
        <x:v>0</x:v>
      </x:c>
      <x:c r="H2238" s="1" t="n">
        <x:f>'Historical prices'!E2238</x:f>
        <x:v>1.05</x:v>
      </x:c>
      <x:c r="I2238" s="6" t="n">
        <x:f>'Historical prices'!D2238</x:f>
        <x:v>0.1724</x:v>
      </x:c>
      <x:c r="J2238" s="13" t="n">
        <x:f>D2238*I2238*H2238</x:f>
        <x:v>0.03798403000000001</x:v>
      </x:c>
      <x:c r="K2238" s="13" t="n">
        <x:f>E2238*I2238*H2238</x:f>
        <x:v>0.03979423</x:v>
      </x:c>
      <x:c r="L2238" s="1" t="str">
        <x:f>TEXT(A2238,"mmm yyyy")</x:f>
        <x:v>Jun 2026</x:v>
      </x:c>
    </x:row>
    <x:row r="2239" ht="21" customHeight="1">
      <x:c r="A2239" s="10" t="n">
        <x:v>46195</x:v>
      </x:c>
      <x:c r="B2239" s="1" t="n">
        <x:v>3.5</x:v>
      </x:c>
      <x:c r="C2239" s="1" t="n">
        <x:v>6</x:v>
      </x:c>
      <x:c r="D2239" s="12" t="n">
        <x:v>0.29075</x:v>
      </x:c>
      <x:c r="E2239" s="12" t="n">
        <x:v>0.30075</x:v>
      </x:c>
      <x:c r="F2239" s="12" t="n">
        <x:v>0</x:v>
      </x:c>
      <x:c r="G2239" s="12" t="n">
        <x:v>0</x:v>
      </x:c>
      <x:c r="H2239" s="1" t="n">
        <x:f>'Historical prices'!E2239</x:f>
        <x:v>1.05</x:v>
      </x:c>
      <x:c r="I2239" s="6" t="n">
        <x:f>'Historical prices'!D2239</x:f>
        <x:v>0.17370000000000002</x:v>
      </x:c>
      <x:c r="J2239" s="13" t="n">
        <x:f>D2239*I2239*H2239</x:f>
        <x:v>0.05302843875000001</x:v>
      </x:c>
      <x:c r="K2239" s="13" t="n">
        <x:f>E2239*I2239*H2239</x:f>
        <x:v>0.05485228875000001</x:v>
      </x:c>
      <x:c r="L2239" s="1" t="str">
        <x:f>TEXT(A2239,"mmm yyyy")</x:f>
        <x:v>Jun 2026</x:v>
      </x:c>
    </x:row>
    <x:row r="2240" ht="21" customHeight="1">
      <x:c r="A2240" s="10" t="n">
        <x:v>46195</x:v>
      </x:c>
      <x:c r="B2240" s="1" t="n">
        <x:v>4</x:v>
      </x:c>
      <x:c r="C2240" s="1" t="n">
        <x:v>6</x:v>
      </x:c>
      <x:c r="D2240" s="12" t="n">
        <x:v>0.33</x:v>
      </x:c>
      <x:c r="E2240" s="12" t="n">
        <x:v>0.34099999999999997</x:v>
      </x:c>
      <x:c r="F2240" s="12" t="n">
        <x:v>0</x:v>
      </x:c>
      <x:c r="G2240" s="12" t="n">
        <x:v>0</x:v>
      </x:c>
      <x:c r="H2240" s="1" t="n">
        <x:f>'Historical prices'!E2240</x:f>
        <x:v>1.05</x:v>
      </x:c>
      <x:c r="I2240" s="6" t="n">
        <x:f>'Historical prices'!D2240</x:f>
        <x:v>0.1841</x:v>
      </x:c>
      <x:c r="J2240" s="13" t="n">
        <x:f>D2240*I2240*H2240</x:f>
        <x:v>0.06379065000000002</x:v>
      </x:c>
      <x:c r="K2240" s="13" t="n">
        <x:f>E2240*I2240*H2240</x:f>
        <x:v>0.065917005</x:v>
      </x:c>
      <x:c r="L2240" s="1" t="str">
        <x:f>TEXT(A2240,"mmm yyyy")</x:f>
        <x:v>Jun 2026</x:v>
      </x:c>
    </x:row>
    <x:row r="2241" ht="21" customHeight="1">
      <x:c r="A2241" s="10" t="n">
        <x:v>46195</x:v>
      </x:c>
      <x:c r="B2241" s="1" t="n">
        <x:v>4.5</x:v>
      </x:c>
      <x:c r="C2241" s="1" t="n">
        <x:v>6</x:v>
      </x:c>
      <x:c r="D2241" s="12" t="n">
        <x:v>0.2558333333333333</x:v>
      </x:c>
      <x:c r="E2241" s="12" t="n">
        <x:v>0.2668333333333333</x:v>
      </x:c>
      <x:c r="F2241" s="12" t="n">
        <x:v>0</x:v>
      </x:c>
      <x:c r="G2241" s="12" t="n">
        <x:v>0</x:v>
      </x:c>
      <x:c r="H2241" s="1" t="n">
        <x:f>'Historical prices'!E2241</x:f>
        <x:v>1.05</x:v>
      </x:c>
      <x:c r="I2241" s="6" t="n">
        <x:f>'Historical prices'!D2241</x:f>
        <x:v>0.1766</x:v>
      </x:c>
      <x:c r="J2241" s="13" t="n">
        <x:f>D2241*I2241*H2241</x:f>
        <x:v>0.04743917499999999</x:v>
      </x:c>
      <x:c r="K2241" s="13" t="n">
        <x:f>E2241*I2241*H2241</x:f>
        <x:v>0.049478905</x:v>
      </x:c>
      <x:c r="L2241" s="1" t="str">
        <x:f>TEXT(A2241,"mmm yyyy")</x:f>
        <x:v>Jun 2026</x:v>
      </x:c>
    </x:row>
    <x:row r="2242" ht="21" customHeight="1">
      <x:c r="A2242" s="10" t="n">
        <x:v>46195</x:v>
      </x:c>
      <x:c r="B2242" s="1" t="n">
        <x:v>5</x:v>
      </x:c>
      <x:c r="C2242" s="1" t="n">
        <x:v>6</x:v>
      </x:c>
      <x:c r="D2242" s="12" t="n">
        <x:v>0.26408333333333334</x:v>
      </x:c>
      <x:c r="E2242" s="12" t="n">
        <x:v>0.27408333333333335</x:v>
      </x:c>
      <x:c r="F2242" s="12" t="n">
        <x:v>0</x:v>
      </x:c>
      <x:c r="G2242" s="12" t="n">
        <x:v>0</x:v>
      </x:c>
      <x:c r="H2242" s="1" t="n">
        <x:f>'Historical prices'!E2242</x:f>
        <x:v>1.05</x:v>
      </x:c>
      <x:c r="I2242" s="6" t="n">
        <x:f>'Historical prices'!D2242</x:f>
        <x:v>0.1934</x:v>
      </x:c>
      <x:c r="J2242" s="13" t="n">
        <x:f>D2242*I2242*H2242</x:f>
        <x:v>0.0536274025</x:v>
      </x:c>
      <x:c r="K2242" s="13" t="n">
        <x:f>E2242*I2242*H2242</x:f>
        <x:v>0.0556581025</x:v>
      </x:c>
      <x:c r="L2242" s="1" t="str">
        <x:f>TEXT(A2242,"mmm yyyy")</x:f>
        <x:v>Jun 2026</x:v>
      </x:c>
    </x:row>
    <x:row r="2243" ht="21" customHeight="1">
      <x:c r="A2243" s="10" t="n">
        <x:v>46195</x:v>
      </x:c>
      <x:c r="B2243" s="1" t="n">
        <x:v>5.5</x:v>
      </x:c>
      <x:c r="C2243" s="1" t="n">
        <x:v>6</x:v>
      </x:c>
      <x:c r="D2243" s="12" t="n">
        <x:v>0.22458333333333336</x:v>
      </x:c>
      <x:c r="E2243" s="12" t="n">
        <x:v>0.2355833333333333</x:v>
      </x:c>
      <x:c r="F2243" s="12" t="n">
        <x:v>0</x:v>
      </x:c>
      <x:c r="G2243" s="12" t="n">
        <x:v>0</x:v>
      </x:c>
      <x:c r="H2243" s="1" t="n">
        <x:f>'Historical prices'!E2243</x:f>
        <x:v>1.05</x:v>
      </x:c>
      <x:c r="I2243" s="6" t="n">
        <x:f>'Historical prices'!D2243</x:f>
        <x:v>0.1955</x:v>
      </x:c>
      <x:c r="J2243" s="13" t="n">
        <x:f>D2243*I2243*H2243</x:f>
        <x:v>0.04610134375000001</x:v>
      </x:c>
      <x:c r="K2243" s="13" t="n">
        <x:f>E2243*I2243*H2243</x:f>
        <x:v>0.04835936875</x:v>
      </x:c>
      <x:c r="L2243" s="1" t="str">
        <x:f>TEXT(A2243,"mmm yyyy")</x:f>
        <x:v>Jun 2026</x:v>
      </x:c>
    </x:row>
    <x:row r="2244" ht="21" customHeight="1">
      <x:c r="A2244" s="10" t="n">
        <x:v>46195</x:v>
      </x:c>
      <x:c r="B2244" s="1" t="n">
        <x:v>6</x:v>
      </x:c>
      <x:c r="C2244" s="1" t="n">
        <x:v>6</x:v>
      </x:c>
      <x:c r="D2244" s="12" t="n">
        <x:v>0.035916666666666666</x:v>
      </x:c>
      <x:c r="E2244" s="12" t="n">
        <x:v>0.44566666666666666</x:v>
      </x:c>
      <x:c r="F2244" s="12" t="n">
        <x:v>0.40775</x:v>
      </x:c>
      <x:c r="G2244" s="12" t="n">
        <x:v>0</x:v>
      </x:c>
      <x:c r="H2244" s="1" t="n">
        <x:f>'Historical prices'!E2244</x:f>
        <x:v>1.05</x:v>
      </x:c>
      <x:c r="I2244" s="6" t="n">
        <x:f>'Historical prices'!D2244</x:f>
        <x:v>0.21</x:v>
      </x:c>
      <x:c r="J2244" s="13" t="n">
        <x:f>D2244*I2244*H2244</x:f>
        <x:v>0.007919625</x:v>
      </x:c>
      <x:c r="K2244" s="13" t="n">
        <x:f>E2244*I2244*H2244</x:f>
        <x:v>0.0982695</x:v>
      </x:c>
      <x:c r="L2244" s="1" t="str">
        <x:f>TEXT(A2244,"mmm yyyy")</x:f>
        <x:v>Jun 2026</x:v>
      </x:c>
    </x:row>
    <x:row r="2245" ht="21" customHeight="1">
      <x:c r="A2245" s="10" t="n">
        <x:v>46195</x:v>
      </x:c>
      <x:c r="B2245" s="1" t="n">
        <x:v>6.5</x:v>
      </x:c>
      <x:c r="C2245" s="1" t="n">
        <x:v>6</x:v>
      </x:c>
      <x:c r="D2245" s="12" t="n">
        <x:v>0</x:v>
      </x:c>
      <x:c r="E2245" s="12" t="n">
        <x:v>0.5360833333333334</x:v>
      </x:c>
      <x:c r="F2245" s="12" t="n">
        <x:v>0.5355833333333333</x:v>
      </x:c>
      <x:c r="G2245" s="12" t="n">
        <x:v>0</x:v>
      </x:c>
      <x:c r="H2245" s="1" t="n">
        <x:f>'Historical prices'!E2245</x:f>
        <x:v>1.05</x:v>
      </x:c>
      <x:c r="I2245" s="6" t="n">
        <x:f>'Historical prices'!D2245</x:f>
        <x:v>0.2144</x:v>
      </x:c>
      <x:c r="J2245" s="13" t="n">
        <x:f>D2245*I2245*H2245</x:f>
        <x:v>0</x:v>
      </x:c>
      <x:c r="K2245" s="13" t="n">
        <x:f>E2245*I2245*H2245</x:f>
        <x:v>0.12068308000000001</x:v>
      </x:c>
      <x:c r="L2245" s="1" t="str">
        <x:f>TEXT(A2245,"mmm yyyy")</x:f>
        <x:v>Jun 2026</x:v>
      </x:c>
    </x:row>
    <x:row r="2246" ht="21" customHeight="1">
      <x:c r="A2246" s="10" t="n">
        <x:v>46195</x:v>
      </x:c>
      <x:c r="B2246" s="1" t="n">
        <x:v>7</x:v>
      </x:c>
      <x:c r="C2246" s="1" t="n">
        <x:v>6</x:v>
      </x:c>
      <x:c r="D2246" s="12" t="n">
        <x:v>0.38875000000000004</x:v>
      </x:c>
      <x:c r="E2246" s="12" t="n">
        <x:v>0.47791666666666666</x:v>
      </x:c>
      <x:c r="F2246" s="12" t="n">
        <x:v>0.18791666666666668</x:v>
      </x:c>
      <x:c r="G2246" s="12" t="n">
        <x:v>0.1</x:v>
      </x:c>
      <x:c r="H2246" s="1" t="n">
        <x:f>'Historical prices'!E2246</x:f>
        <x:v>1.05</x:v>
      </x:c>
      <x:c r="I2246" s="6" t="n">
        <x:f>'Historical prices'!D2246</x:f>
        <x:v>0.1898</x:v>
      </x:c>
      <x:c r="J2246" s="13" t="n">
        <x:f>D2246*I2246*H2246</x:f>
        <x:v>0.07747398750000001</x:v>
      </x:c>
      <x:c r="K2246" s="13" t="n">
        <x:f>E2246*I2246*H2246</x:f>
        <x:v>0.0952440125</x:v>
      </x:c>
      <x:c r="L2246" s="1" t="str">
        <x:f>TEXT(A2246,"mmm yyyy")</x:f>
        <x:v>Jun 2026</x:v>
      </x:c>
    </x:row>
    <x:row r="2247" ht="21" customHeight="1">
      <x:c r="A2247" s="10" t="n">
        <x:v>46195</x:v>
      </x:c>
      <x:c r="B2247" s="1" t="n">
        <x:v>7.5</x:v>
      </x:c>
      <x:c r="C2247" s="1" t="n">
        <x:v>6</x:v>
      </x:c>
      <x:c r="D2247" s="12" t="n">
        <x:v>0.5389166666666666</x:v>
      </x:c>
      <x:c r="E2247" s="12" t="n">
        <x:v>0.5309166666666667</x:v>
      </x:c>
      <x:c r="F2247" s="12" t="n">
        <x:v>0</x:v>
      </x:c>
      <x:c r="G2247" s="12" t="n">
        <x:v>0.011</x:v>
      </x:c>
      <x:c r="H2247" s="1" t="n">
        <x:f>'Historical prices'!E2247</x:f>
        <x:v>1.05</x:v>
      </x:c>
      <x:c r="I2247" s="6" t="n">
        <x:f>'Historical prices'!D2247</x:f>
        <x:v>0.1893</x:v>
      </x:c>
      <x:c r="J2247" s="13" t="n">
        <x:f>D2247*I2247*H2247</x:f>
        <x:v>0.10711777124999998</x:v>
      </x:c>
      <x:c r="K2247" s="13" t="n">
        <x:f>E2247*I2247*H2247</x:f>
        <x:v>0.10552765125000002</x:v>
      </x:c>
      <x:c r="L2247" s="1" t="str">
        <x:f>TEXT(A2247,"mmm yyyy")</x:f>
        <x:v>Jun 2026</x:v>
      </x:c>
    </x:row>
    <x:row r="2248" ht="21" customHeight="1">
      <x:c r="A2248" s="10" t="n">
        <x:v>46195</x:v>
      </x:c>
      <x:c r="B2248" s="1" t="n">
        <x:v>8</x:v>
      </x:c>
      <x:c r="C2248" s="1" t="n">
        <x:v>6</x:v>
      </x:c>
      <x:c r="D2248" s="12" t="n">
        <x:v>0.44100000000000006</x:v>
      </x:c>
      <x:c r="E2248" s="12" t="n">
        <x:v>0.44300000000000006</x:v>
      </x:c>
      <x:c r="F2248" s="12" t="n">
        <x:v>0</x:v>
      </x:c>
      <x:c r="G2248" s="12" t="n">
        <x:v>0</x:v>
      </x:c>
      <x:c r="H2248" s="1" t="n">
        <x:f>'Historical prices'!E2248</x:f>
        <x:v>1.05</x:v>
      </x:c>
      <x:c r="I2248" s="6" t="n">
        <x:f>'Historical prices'!D2248</x:f>
        <x:v>0.17</x:v>
      </x:c>
      <x:c r="J2248" s="13" t="n">
        <x:f>D2248*I2248*H2248</x:f>
        <x:v>0.07871850000000001</x:v>
      </x:c>
      <x:c r="K2248" s="13" t="n">
        <x:f>E2248*I2248*H2248</x:f>
        <x:v>0.07907550000000002</x:v>
      </x:c>
      <x:c r="L2248" s="1" t="str">
        <x:f>TEXT(A2248,"mmm yyyy")</x:f>
        <x:v>Jun 2026</x:v>
      </x:c>
    </x:row>
    <x:row r="2249" ht="21" customHeight="1">
      <x:c r="A2249" s="10" t="n">
        <x:v>46195</x:v>
      </x:c>
      <x:c r="B2249" s="1" t="n">
        <x:v>8.5</x:v>
      </x:c>
      <x:c r="C2249" s="1" t="n">
        <x:v>6</x:v>
      </x:c>
      <x:c r="D2249" s="12" t="n">
        <x:v>0.4765833333333333</x:v>
      </x:c>
      <x:c r="E2249" s="12" t="n">
        <x:v>0.4795833333333333</x:v>
      </x:c>
      <x:c r="F2249" s="12" t="n">
        <x:v>0</x:v>
      </x:c>
      <x:c r="G2249" s="12" t="n">
        <x:v>0</x:v>
      </x:c>
      <x:c r="H2249" s="1" t="n">
        <x:f>'Historical prices'!E2249</x:f>
        <x:v>1.05</x:v>
      </x:c>
      <x:c r="I2249" s="6" t="n">
        <x:f>'Historical prices'!D2249</x:f>
        <x:v>0.1654</x:v>
      </x:c>
      <x:c r="J2249" s="13" t="n">
        <x:f>D2249*I2249*H2249</x:f>
        <x:v>0.08276822749999999</x:v>
      </x:c>
      <x:c r="K2249" s="13" t="n">
        <x:f>E2249*I2249*H2249</x:f>
        <x:v>0.08328923749999999</x:v>
      </x:c>
      <x:c r="L2249" s="1" t="str">
        <x:f>TEXT(A2249,"mmm yyyy")</x:f>
        <x:v>Jun 2026</x:v>
      </x:c>
    </x:row>
    <x:row r="2250" ht="21" customHeight="1">
      <x:c r="A2250" s="10" t="n">
        <x:v>46195</x:v>
      </x:c>
      <x:c r="B2250" s="1" t="n">
        <x:v>9</x:v>
      </x:c>
      <x:c r="C2250" s="1" t="n">
        <x:v>6</x:v>
      </x:c>
      <x:c r="D2250" s="12" t="n">
        <x:v>0.2843333333333333</x:v>
      </x:c>
      <x:c r="E2250" s="12" t="n">
        <x:v>0.28733333333333333</x:v>
      </x:c>
      <x:c r="F2250" s="12" t="n">
        <x:v>0</x:v>
      </x:c>
      <x:c r="G2250" s="12" t="n">
        <x:v>0</x:v>
      </x:c>
      <x:c r="H2250" s="1" t="n">
        <x:f>'Historical prices'!E2250</x:f>
        <x:v>1.05</x:v>
      </x:c>
      <x:c r="I2250" s="6" t="n">
        <x:f>'Historical prices'!D2250</x:f>
        <x:v>0.1656</x:v>
      </x:c>
      <x:c r="J2250" s="13" t="n">
        <x:f>D2250*I2250*H2250</x:f>
        <x:v>0.04943988</x:v>
      </x:c>
      <x:c r="K2250" s="13" t="n">
        <x:f>E2250*I2250*H2250</x:f>
        <x:v>0.04996152</x:v>
      </x:c>
      <x:c r="L2250" s="1" t="str">
        <x:f>TEXT(A2250,"mmm yyyy")</x:f>
        <x:v>Jun 2026</x:v>
      </x:c>
    </x:row>
    <x:row r="2251" ht="21" customHeight="1">
      <x:c r="A2251" s="10" t="n">
        <x:v>46195</x:v>
      </x:c>
      <x:c r="B2251" s="1" t="n">
        <x:v>9.5</x:v>
      </x:c>
      <x:c r="C2251" s="1" t="n">
        <x:v>6</x:v>
      </x:c>
      <x:c r="D2251" s="12" t="n">
        <x:v>0.25475</x:v>
      </x:c>
      <x:c r="E2251" s="12" t="n">
        <x:v>0.25475</x:v>
      </x:c>
      <x:c r="F2251" s="12" t="n">
        <x:v>0</x:v>
      </x:c>
      <x:c r="G2251" s="12" t="n">
        <x:v>0</x:v>
      </x:c>
      <x:c r="H2251" s="1" t="n">
        <x:f>'Historical prices'!E2251</x:f>
        <x:v>1.05</x:v>
      </x:c>
      <x:c r="I2251" s="6" t="n">
        <x:f>'Historical prices'!D2251</x:f>
        <x:v>0.15560000000000002</x:v>
      </x:c>
      <x:c r="J2251" s="13" t="n">
        <x:f>D2251*I2251*H2251</x:f>
        <x:v>0.041621055000000004</x:v>
      </x:c>
      <x:c r="K2251" s="13" t="n">
        <x:f>E2251*I2251*H2251</x:f>
        <x:v>0.041621055000000004</x:v>
      </x:c>
      <x:c r="L2251" s="1" t="str">
        <x:f>TEXT(A2251,"mmm yyyy")</x:f>
        <x:v>Jun 2026</x:v>
      </x:c>
    </x:row>
    <x:row r="2252" ht="21" customHeight="1">
      <x:c r="A2252" s="10" t="n">
        <x:v>46195</x:v>
      </x:c>
      <x:c r="B2252" s="1" t="n">
        <x:v>10</x:v>
      </x:c>
      <x:c r="C2252" s="1" t="n">
        <x:v>6</x:v>
      </x:c>
      <x:c r="D2252" s="12" t="n">
        <x:v>0.22191666666666665</x:v>
      </x:c>
      <x:c r="E2252" s="12" t="n">
        <x:v>0.22391666666666665</x:v>
      </x:c>
      <x:c r="F2252" s="12" t="n">
        <x:v>0</x:v>
      </x:c>
      <x:c r="G2252" s="12" t="n">
        <x:v>0</x:v>
      </x:c>
      <x:c r="H2252" s="1" t="n">
        <x:f>'Historical prices'!E2252</x:f>
        <x:v>1.05</x:v>
      </x:c>
      <x:c r="I2252" s="6" t="n">
        <x:f>'Historical prices'!D2252</x:f>
        <x:v>0.16190000000000002</x:v>
      </x:c>
      <x:c r="J2252" s="13" t="n">
        <x:f>D2252*I2252*H2252</x:f>
        <x:v>0.03772472375</x:v>
      </x:c>
      <x:c r="K2252" s="13" t="n">
        <x:f>E2252*I2252*H2252</x:f>
        <x:v>0.03806471375</x:v>
      </x:c>
      <x:c r="L2252" s="1" t="str">
        <x:f>TEXT(A2252,"mmm yyyy")</x:f>
        <x:v>Jun 2026</x:v>
      </x:c>
    </x:row>
    <x:row r="2253" ht="21" customHeight="1">
      <x:c r="A2253" s="10" t="n">
        <x:v>46195</x:v>
      </x:c>
      <x:c r="B2253" s="1" t="n">
        <x:v>10.5</x:v>
      </x:c>
      <x:c r="C2253" s="1" t="n">
        <x:v>6</x:v>
      </x:c>
      <x:c r="D2253" s="12" t="n">
        <x:v>0.2308333333333333</x:v>
      </x:c>
      <x:c r="E2253" s="12" t="n">
        <x:v>0.2318333333333333</x:v>
      </x:c>
      <x:c r="F2253" s="12" t="n">
        <x:v>0</x:v>
      </x:c>
      <x:c r="G2253" s="12" t="n">
        <x:v>0</x:v>
      </x:c>
      <x:c r="H2253" s="1" t="n">
        <x:f>'Historical prices'!E2253</x:f>
        <x:v>1.05</x:v>
      </x:c>
      <x:c r="I2253" s="6" t="n">
        <x:f>'Historical prices'!D2253</x:f>
        <x:v>0.1542</x:v>
      </x:c>
      <x:c r="J2253" s="13" t="n">
        <x:f>D2253*I2253*H2253</x:f>
        <x:v>0.037374225</x:v>
      </x:c>
      <x:c r="K2253" s="13" t="n">
        <x:f>E2253*I2253*H2253</x:f>
        <x:v>0.037536135</x:v>
      </x:c>
      <x:c r="L2253" s="1" t="str">
        <x:f>TEXT(A2253,"mmm yyyy")</x:f>
        <x:v>Jun 2026</x:v>
      </x:c>
    </x:row>
    <x:row r="2254" ht="21" customHeight="1">
      <x:c r="A2254" s="10" t="n">
        <x:v>46195</x:v>
      </x:c>
      <x:c r="B2254" s="1" t="n">
        <x:v>11</x:v>
      </x:c>
      <x:c r="C2254" s="1" t="n">
        <x:v>6</x:v>
      </x:c>
      <x:c r="D2254" s="12" t="n">
        <x:v>0.289</x:v>
      </x:c>
      <x:c r="E2254" s="12" t="n">
        <x:v>0.29</x:v>
      </x:c>
      <x:c r="F2254" s="12" t="n">
        <x:v>0</x:v>
      </x:c>
      <x:c r="G2254" s="12" t="n">
        <x:v>0</x:v>
      </x:c>
      <x:c r="H2254" s="1" t="n">
        <x:f>'Historical prices'!E2254</x:f>
        <x:v>1.05</x:v>
      </x:c>
      <x:c r="I2254" s="6" t="n">
        <x:f>'Historical prices'!D2254</x:f>
        <x:v>0.1515</x:v>
      </x:c>
      <x:c r="J2254" s="13" t="n">
        <x:f>D2254*I2254*H2254</x:f>
        <x:v>0.045972675</x:v>
      </x:c>
      <x:c r="K2254" s="13" t="n">
        <x:f>E2254*I2254*H2254</x:f>
        <x:v>0.04613175</x:v>
      </x:c>
      <x:c r="L2254" s="1" t="str">
        <x:f>TEXT(A2254,"mmm yyyy")</x:f>
        <x:v>Jun 2026</x:v>
      </x:c>
    </x:row>
    <x:row r="2255" ht="21" customHeight="1">
      <x:c r="A2255" s="10" t="n">
        <x:v>46195</x:v>
      </x:c>
      <x:c r="B2255" s="1" t="n">
        <x:v>11.5</x:v>
      </x:c>
      <x:c r="C2255" s="1" t="n">
        <x:v>6</x:v>
      </x:c>
      <x:c r="D2255" s="12" t="n">
        <x:v>0.27425</x:v>
      </x:c>
      <x:c r="E2255" s="12" t="n">
        <x:v>0.27425</x:v>
      </x:c>
      <x:c r="F2255" s="12" t="n">
        <x:v>0</x:v>
      </x:c>
      <x:c r="G2255" s="12" t="n">
        <x:v>0</x:v>
      </x:c>
      <x:c r="H2255" s="1" t="n">
        <x:f>'Historical prices'!E2255</x:f>
        <x:v>1.05</x:v>
      </x:c>
      <x:c r="I2255" s="6" t="n">
        <x:f>'Historical prices'!D2255</x:f>
        <x:v>0.1457</x:v>
      </x:c>
      <x:c r="J2255" s="13" t="n">
        <x:f>D2255*I2255*H2255</x:f>
        <x:v>0.041956136250000005</x:v>
      </x:c>
      <x:c r="K2255" s="13" t="n">
        <x:f>E2255*I2255*H2255</x:f>
        <x:v>0.041956136250000005</x:v>
      </x:c>
      <x:c r="L2255" s="1" t="str">
        <x:f>TEXT(A2255,"mmm yyyy")</x:f>
        <x:v>Jun 2026</x:v>
      </x:c>
    </x:row>
    <x:row r="2256" ht="21" customHeight="1">
      <x:c r="A2256" s="10" t="n">
        <x:v>46195</x:v>
      </x:c>
      <x:c r="B2256" s="1" t="n">
        <x:v>12</x:v>
      </x:c>
      <x:c r="C2256" s="1" t="n">
        <x:v>6</x:v>
      </x:c>
      <x:c r="D2256" s="12" t="n">
        <x:v>0.2061666666666667</x:v>
      </x:c>
      <x:c r="E2256" s="12" t="n">
        <x:v>0.20816666666666667</x:v>
      </x:c>
      <x:c r="F2256" s="12" t="n">
        <x:v>0</x:v>
      </x:c>
      <x:c r="G2256" s="12" t="n">
        <x:v>0</x:v>
      </x:c>
      <x:c r="H2256" s="1" t="n">
        <x:f>'Historical prices'!E2256</x:f>
        <x:v>1.05</x:v>
      </x:c>
      <x:c r="I2256" s="6" t="n">
        <x:f>'Historical prices'!D2256</x:f>
        <x:v>0.1562</x:v>
      </x:c>
      <x:c r="J2256" s="13" t="n">
        <x:f>D2256*I2256*H2256</x:f>
        <x:v>0.033813395</x:v>
      </x:c>
      <x:c r="K2256" s="13" t="n">
        <x:f>E2256*I2256*H2256</x:f>
        <x:v>0.034141415</x:v>
      </x:c>
      <x:c r="L2256" s="1" t="str">
        <x:f>TEXT(A2256,"mmm yyyy")</x:f>
        <x:v>Jun 2026</x:v>
      </x:c>
    </x:row>
    <x:row r="2257" ht="21" customHeight="1">
      <x:c r="A2257" s="10" t="n">
        <x:v>46195</x:v>
      </x:c>
      <x:c r="B2257" s="1" t="n">
        <x:v>12.5</x:v>
      </x:c>
      <x:c r="C2257" s="1" t="n">
        <x:v>6</x:v>
      </x:c>
      <x:c r="D2257" s="12" t="n">
        <x:v>0.24291666666666667</x:v>
      </x:c>
      <x:c r="E2257" s="12" t="n">
        <x:v>0.24291666666666667</x:v>
      </x:c>
      <x:c r="F2257" s="12" t="n">
        <x:v>0</x:v>
      </x:c>
      <x:c r="G2257" s="12" t="n">
        <x:v>0</x:v>
      </x:c>
      <x:c r="H2257" s="1" t="n">
        <x:f>'Historical prices'!E2257</x:f>
        <x:v>1.05</x:v>
      </x:c>
      <x:c r="I2257" s="6" t="n">
        <x:f>'Historical prices'!D2257</x:f>
        <x:v>0.1506</x:v>
      </x:c>
      <x:c r="J2257" s="13" t="n">
        <x:f>D2257*I2257*H2257</x:f>
        <x:v>0.03841241250000001</x:v>
      </x:c>
      <x:c r="K2257" s="13" t="n">
        <x:f>E2257*I2257*H2257</x:f>
        <x:v>0.03841241250000001</x:v>
      </x:c>
      <x:c r="L2257" s="1" t="str">
        <x:f>TEXT(A2257,"mmm yyyy")</x:f>
        <x:v>Jun 2026</x:v>
      </x:c>
    </x:row>
    <x:row r="2258" ht="21" customHeight="1">
      <x:c r="A2258" s="10" t="n">
        <x:v>46195</x:v>
      </x:c>
      <x:c r="B2258" s="1" t="n">
        <x:v>13</x:v>
      </x:c>
      <x:c r="C2258" s="1" t="n">
        <x:v>6</x:v>
      </x:c>
      <x:c r="D2258" s="12" t="n">
        <x:v>4.504583333333334</x:v>
      </x:c>
      <x:c r="E2258" s="12" t="n">
        <x:v>0.5285833333333333</x:v>
      </x:c>
      <x:c r="F2258" s="12" t="n">
        <x:v>0</x:v>
      </x:c>
      <x:c r="G2258" s="12" t="n">
        <x:v>3.976</x:v>
      </x:c>
      <x:c r="H2258" s="1" t="n">
        <x:f>'Historical prices'!E2258</x:f>
        <x:v>1.05</x:v>
      </x:c>
      <x:c r="I2258" s="6" t="n">
        <x:f>'Historical prices'!D2258</x:f>
        <x:v>0.1431</x:v>
      </x:c>
      <x:c r="J2258" s="13" t="n">
        <x:f>D2258*I2258*H2258</x:f>
        <x:v>0.6768361687500002</x:v>
      </x:c>
      <x:c r="K2258" s="13" t="n">
        <x:f>E2258*I2258*H2258</x:f>
        <x:v>0.07942228875</x:v>
      </x:c>
      <x:c r="L2258" s="1" t="str">
        <x:f>TEXT(A2258,"mmm yyyy")</x:f>
        <x:v>Jun 2026</x:v>
      </x:c>
    </x:row>
    <x:row r="2259" ht="21" customHeight="1">
      <x:c r="A2259" s="10" t="n">
        <x:v>46195</x:v>
      </x:c>
      <x:c r="B2259" s="1" t="n">
        <x:v>13.5</x:v>
      </x:c>
      <x:c r="C2259" s="1" t="n">
        <x:v>6</x:v>
      </x:c>
      <x:c r="D2259" s="12" t="n">
        <x:v>3.9558333333333335</x:v>
      </x:c>
      <x:c r="E2259" s="12" t="n">
        <x:v>0.4088333333333333</x:v>
      </x:c>
      <x:c r="F2259" s="12" t="n">
        <x:v>0</x:v>
      </x:c>
      <x:c r="G2259" s="12" t="n">
        <x:v>3.547</x:v>
      </x:c>
      <x:c r="H2259" s="1" t="n">
        <x:f>'Historical prices'!E2259</x:f>
        <x:v>1.05</x:v>
      </x:c>
      <x:c r="I2259" s="6" t="n">
        <x:f>'Historical prices'!D2259</x:f>
        <x:v>0.1437</x:v>
      </x:c>
      <x:c r="J2259" s="13" t="n">
        <x:f>D2259*I2259*H2259</x:f>
        <x:v>0.5968759125</x:v>
      </x:c>
      <x:c r="K2259" s="13" t="n">
        <x:f>E2259*I2259*H2259</x:f>
        <x:v>0.061686817500000005</x:v>
      </x:c>
      <x:c r="L2259" s="1" t="str">
        <x:f>TEXT(A2259,"mmm yyyy")</x:f>
        <x:v>Jun 2026</x:v>
      </x:c>
    </x:row>
    <x:row r="2260" ht="21" customHeight="1">
      <x:c r="A2260" s="10" t="n">
        <x:v>46195</x:v>
      </x:c>
      <x:c r="B2260" s="1" t="n">
        <x:v>14</x:v>
      </x:c>
      <x:c r="C2260" s="1" t="n">
        <x:v>6</x:v>
      </x:c>
      <x:c r="D2260" s="12" t="n">
        <x:v>0.37083333333333335</x:v>
      </x:c>
      <x:c r="E2260" s="12" t="n">
        <x:v>0.20583333333333334</x:v>
      </x:c>
      <x:c r="F2260" s="12" t="n">
        <x:v>0</x:v>
      </x:c>
      <x:c r="G2260" s="12" t="n">
        <x:v>0.174</x:v>
      </x:c>
      <x:c r="H2260" s="1" t="n">
        <x:f>'Historical prices'!E2260</x:f>
        <x:v>1.05</x:v>
      </x:c>
      <x:c r="I2260" s="6" t="n">
        <x:f>'Historical prices'!D2260</x:f>
        <x:v>0.1514</x:v>
      </x:c>
      <x:c r="J2260" s="13" t="n">
        <x:f>D2260*I2260*H2260</x:f>
        <x:v>0.05895137500000001</x:v>
      </x:c>
      <x:c r="K2260" s="13" t="n">
        <x:f>E2260*I2260*H2260</x:f>
        <x:v>0.032721325</x:v>
      </x:c>
      <x:c r="L2260" s="1" t="str">
        <x:f>TEXT(A2260,"mmm yyyy")</x:f>
        <x:v>Jun 2026</x:v>
      </x:c>
    </x:row>
    <x:row r="2261" ht="21" customHeight="1">
      <x:c r="A2261" s="10" t="n">
        <x:v>46195</x:v>
      </x:c>
      <x:c r="B2261" s="1" t="n">
        <x:v>14.5</x:v>
      </x:c>
      <x:c r="C2261" s="1" t="n">
        <x:v>6</x:v>
      </x:c>
      <x:c r="D2261" s="12" t="n">
        <x:v>0.5135000000000001</x:v>
      </x:c>
      <x:c r="E2261" s="12" t="n">
        <x:v>0.2345</x:v>
      </x:c>
      <x:c r="F2261" s="12" t="n">
        <x:v>0</x:v>
      </x:c>
      <x:c r="G2261" s="12" t="n">
        <x:v>0.28099999999999997</x:v>
      </x:c>
      <x:c r="H2261" s="1" t="n">
        <x:f>'Historical prices'!E2261</x:f>
        <x:v>1.05</x:v>
      </x:c>
      <x:c r="I2261" s="6" t="n">
        <x:f>'Historical prices'!D2261</x:f>
        <x:v>0.1535</x:v>
      </x:c>
      <x:c r="J2261" s="13" t="n">
        <x:f>D2261*I2261*H2261</x:f>
        <x:v>0.08276336250000002</x:v>
      </x:c>
      <x:c r="K2261" s="13" t="n">
        <x:f>E2261*I2261*H2261</x:f>
        <x:v>0.037795537500000004</x:v>
      </x:c>
      <x:c r="L2261" s="1" t="str">
        <x:f>TEXT(A2261,"mmm yyyy")</x:f>
        <x:v>Jun 2026</x:v>
      </x:c>
    </x:row>
    <x:row r="2262" ht="21" customHeight="1">
      <x:c r="A2262" s="10" t="n">
        <x:v>46195</x:v>
      </x:c>
      <x:c r="B2262" s="1" t="n">
        <x:v>15</x:v>
      </x:c>
      <x:c r="C2262" s="1" t="n">
        <x:v>6</x:v>
      </x:c>
      <x:c r="D2262" s="12" t="n">
        <x:v>0.33575</x:v>
      </x:c>
      <x:c r="E2262" s="12" t="n">
        <x:v>0.19675</x:v>
      </x:c>
      <x:c r="F2262" s="12" t="n">
        <x:v>0</x:v>
      </x:c>
      <x:c r="G2262" s="12" t="n">
        <x:v>0.14200000000000002</x:v>
      </x:c>
      <x:c r="H2262" s="1" t="n">
        <x:f>'Historical prices'!E2262</x:f>
        <x:v>1.05</x:v>
      </x:c>
      <x:c r="I2262" s="6" t="n">
        <x:f>'Historical prices'!D2262</x:f>
        <x:v>0.1535</x:v>
      </x:c>
      <x:c r="J2262" s="13" t="n">
        <x:f>D2262*I2262*H2262</x:f>
        <x:v>0.05411450625</x:v>
      </x:c>
      <x:c r="K2262" s="13" t="n">
        <x:f>E2262*I2262*H2262</x:f>
        <x:v>0.031711181250000005</x:v>
      </x:c>
      <x:c r="L2262" s="1" t="str">
        <x:f>TEXT(A2262,"mmm yyyy")</x:f>
        <x:v>Jun 2026</x:v>
      </x:c>
    </x:row>
    <x:row r="2263" ht="21" customHeight="1">
      <x:c r="A2263" s="10" t="n">
        <x:v>46195</x:v>
      </x:c>
      <x:c r="B2263" s="1" t="n">
        <x:v>15.5</x:v>
      </x:c>
      <x:c r="C2263" s="1" t="n">
        <x:v>6</x:v>
      </x:c>
      <x:c r="D2263" s="12" t="n">
        <x:v>0.15483333333333335</x:v>
      </x:c>
      <x:c r="E2263" s="12" t="n">
        <x:v>0.26558333333333334</x:v>
      </x:c>
      <x:c r="F2263" s="12" t="n">
        <x:v>0.098</x:v>
      </x:c>
      <x:c r="G2263" s="12" t="n">
        <x:v>0</x:v>
      </x:c>
      <x:c r="H2263" s="1" t="n">
        <x:f>'Historical prices'!E2263</x:f>
        <x:v>1.05</x:v>
      </x:c>
      <x:c r="I2263" s="6" t="n">
        <x:f>'Historical prices'!D2263</x:f>
        <x:v>0.15689999999999998</x:v>
      </x:c>
      <x:c r="J2263" s="13" t="n">
        <x:f>D2263*I2263*H2263</x:f>
        <x:v>0.025508017500000004</x:v>
      </x:c>
      <x:c r="K2263" s="13" t="n">
        <x:f>E2263*I2263*H2263</x:f>
        <x:v>0.04375352625</x:v>
      </x:c>
      <x:c r="L2263" s="1" t="str">
        <x:f>TEXT(A2263,"mmm yyyy")</x:f>
        <x:v>Jun 2026</x:v>
      </x:c>
    </x:row>
    <x:row r="2264" ht="21" customHeight="1">
      <x:c r="A2264" s="10" t="n">
        <x:v>46195</x:v>
      </x:c>
      <x:c r="B2264" s="1" t="n">
        <x:v>16</x:v>
      </x:c>
      <x:c r="C2264" s="1" t="n">
        <x:v>6</x:v>
      </x:c>
      <x:c r="D2264" s="12" t="n">
        <x:v>0</x:v>
      </x:c>
      <x:c r="E2264" s="12" t="n">
        <x:v>0.271</x:v>
      </x:c>
      <x:c r="F2264" s="12" t="n">
        <x:v>0.27075</x:v>
      </x:c>
      <x:c r="G2264" s="12" t="n">
        <x:v>0</x:v>
      </x:c>
      <x:c r="H2264" s="1" t="n">
        <x:f>'Historical prices'!E2264</x:f>
        <x:v>1.05</x:v>
      </x:c>
      <x:c r="I2264" s="6" t="n">
        <x:f>'Historical prices'!D2264</x:f>
        <x:v>0.2966</x:v>
      </x:c>
      <x:c r="J2264" s="13" t="n">
        <x:f>D2264*I2264*H2264</x:f>
        <x:v>0</x:v>
      </x:c>
      <x:c r="K2264" s="13" t="n">
        <x:f>E2264*I2264*H2264</x:f>
        <x:v>0.08439753</x:v>
      </x:c>
      <x:c r="L2264" s="1" t="str">
        <x:f>TEXT(A2264,"mmm yyyy")</x:f>
        <x:v>Jun 2026</x:v>
      </x:c>
    </x:row>
    <x:row r="2265" ht="21" customHeight="1">
      <x:c r="A2265" s="10" t="n">
        <x:v>46195</x:v>
      </x:c>
      <x:c r="B2265" s="1" t="n">
        <x:v>16.5</x:v>
      </x:c>
      <x:c r="C2265" s="1" t="n">
        <x:v>6</x:v>
      </x:c>
      <x:c r="D2265" s="12" t="n">
        <x:v>0</x:v>
      </x:c>
      <x:c r="E2265" s="12" t="n">
        <x:v>0.24574999999999997</x:v>
      </x:c>
      <x:c r="F2265" s="12" t="n">
        <x:v>0.24566666666666664</x:v>
      </x:c>
      <x:c r="G2265" s="12" t="n">
        <x:v>0</x:v>
      </x:c>
      <x:c r="H2265" s="1" t="n">
        <x:f>'Historical prices'!E2265</x:f>
        <x:v>1.05</x:v>
      </x:c>
      <x:c r="I2265" s="6" t="n">
        <x:f>'Historical prices'!D2265</x:f>
        <x:v>0.2965</x:v>
      </x:c>
      <x:c r="J2265" s="13" t="n">
        <x:f>D2265*I2265*H2265</x:f>
        <x:v>0</x:v>
      </x:c>
      <x:c r="K2265" s="13" t="n">
        <x:f>E2265*I2265*H2265</x:f>
        <x:v>0.07650811874999998</x:v>
      </x:c>
      <x:c r="L2265" s="1" t="str">
        <x:f>TEXT(A2265,"mmm yyyy")</x:f>
        <x:v>Jun 2026</x:v>
      </x:c>
    </x:row>
    <x:row r="2266" ht="21" customHeight="1">
      <x:c r="A2266" s="10" t="n">
        <x:v>46195</x:v>
      </x:c>
      <x:c r="B2266" s="1" t="n">
        <x:v>17</x:v>
      </x:c>
      <x:c r="C2266" s="1" t="n">
        <x:v>6</x:v>
      </x:c>
      <x:c r="D2266" s="12" t="n">
        <x:v>0</x:v>
      </x:c>
      <x:c r="E2266" s="12" t="n">
        <x:v>0.26983333333333337</x:v>
      </x:c>
      <x:c r="F2266" s="12" t="n">
        <x:v>0.26966666666666667</x:v>
      </x:c>
      <x:c r="G2266" s="12" t="n">
        <x:v>0</x:v>
      </x:c>
      <x:c r="H2266" s="1" t="n">
        <x:f>'Historical prices'!E2266</x:f>
        <x:v>1.05</x:v>
      </x:c>
      <x:c r="I2266" s="6" t="n">
        <x:f>'Historical prices'!D2266</x:f>
        <x:v>0.3592</x:v>
      </x:c>
      <x:c r="J2266" s="13" t="n">
        <x:f>D2266*I2266*H2266</x:f>
        <x:v>0</x:v>
      </x:c>
      <x:c r="K2266" s="13" t="n">
        <x:f>E2266*I2266*H2266</x:f>
        <x:v>0.10177034000000003</x:v>
      </x:c>
      <x:c r="L2266" s="1" t="str">
        <x:f>TEXT(A2266,"mmm yyyy")</x:f>
        <x:v>Jun 2026</x:v>
      </x:c>
    </x:row>
    <x:row r="2267" ht="21" customHeight="1">
      <x:c r="A2267" s="10" t="n">
        <x:v>46195</x:v>
      </x:c>
      <x:c r="B2267" s="1" t="n">
        <x:v>17.5</x:v>
      </x:c>
      <x:c r="C2267" s="1" t="n">
        <x:v>6</x:v>
      </x:c>
      <x:c r="D2267" s="12" t="n">
        <x:v>0</x:v>
      </x:c>
      <x:c r="E2267" s="12" t="n">
        <x:v>0.33691666666666664</x:v>
      </x:c>
      <x:c r="F2267" s="12" t="n">
        <x:v>0.33674999999999994</x:v>
      </x:c>
      <x:c r="G2267" s="12" t="n">
        <x:v>0</x:v>
      </x:c>
      <x:c r="H2267" s="1" t="n">
        <x:f>'Historical prices'!E2267</x:f>
        <x:v>1.05</x:v>
      </x:c>
      <x:c r="I2267" s="6" t="n">
        <x:f>'Historical prices'!D2267</x:f>
        <x:v>0.3946</x:v>
      </x:c>
      <x:c r="J2267" s="13" t="n">
        <x:f>D2267*I2267*H2267</x:f>
        <x:v>0</x:v>
      </x:c>
      <x:c r="K2267" s="13" t="n">
        <x:f>E2267*I2267*H2267</x:f>
        <x:v>0.13959468249999998</x:v>
      </x:c>
      <x:c r="L2267" s="1" t="str">
        <x:f>TEXT(A2267,"mmm yyyy")</x:f>
        <x:v>Jun 2026</x:v>
      </x:c>
    </x:row>
    <x:row r="2268" ht="21" customHeight="1">
      <x:c r="A2268" s="10" t="n">
        <x:v>46195</x:v>
      </x:c>
      <x:c r="B2268" s="1" t="n">
        <x:v>18</x:v>
      </x:c>
      <x:c r="C2268" s="1" t="n">
        <x:v>6</x:v>
      </x:c>
      <x:c r="D2268" s="12" t="n">
        <x:v>0</x:v>
      </x:c>
      <x:c r="E2268" s="12" t="n">
        <x:v>0.25</x:v>
      </x:c>
      <x:c r="F2268" s="12" t="n">
        <x:v>0.24974999999999997</x:v>
      </x:c>
      <x:c r="G2268" s="12" t="n">
        <x:v>0</x:v>
      </x:c>
      <x:c r="H2268" s="1" t="n">
        <x:f>'Historical prices'!E2268</x:f>
        <x:v>1.05</x:v>
      </x:c>
      <x:c r="I2268" s="6" t="n">
        <x:f>'Historical prices'!D2268</x:f>
        <x:v>0.43310000000000004</x:v>
      </x:c>
      <x:c r="J2268" s="13" t="n">
        <x:f>D2268*I2268*H2268</x:f>
        <x:v>0</x:v>
      </x:c>
      <x:c r="K2268" s="13" t="n">
        <x:f>E2268*I2268*H2268</x:f>
        <x:v>0.11368875000000002</x:v>
      </x:c>
      <x:c r="L2268" s="1" t="str">
        <x:f>TEXT(A2268,"mmm yyyy")</x:f>
        <x:v>Jun 2026</x:v>
      </x:c>
    </x:row>
    <x:row r="2269" ht="21" customHeight="1">
      <x:c r="A2269" s="10" t="n">
        <x:v>46195</x:v>
      </x:c>
      <x:c r="B2269" s="1" t="n">
        <x:v>18.5</x:v>
      </x:c>
      <x:c r="C2269" s="1" t="n">
        <x:v>6</x:v>
      </x:c>
      <x:c r="D2269" s="12" t="n">
        <x:v>0</x:v>
      </x:c>
      <x:c r="E2269" s="12" t="n">
        <x:v>0.24275</x:v>
      </x:c>
      <x:c r="F2269" s="12" t="n">
        <x:v>0.24266666666666667</x:v>
      </x:c>
      <x:c r="G2269" s="12" t="n">
        <x:v>0</x:v>
      </x:c>
      <x:c r="H2269" s="1" t="n">
        <x:f>'Historical prices'!E2269</x:f>
        <x:v>1.05</x:v>
      </x:c>
      <x:c r="I2269" s="6" t="n">
        <x:f>'Historical prices'!D2269</x:f>
        <x:v>0.47090000000000004</x:v>
      </x:c>
      <x:c r="J2269" s="13" t="n">
        <x:f>D2269*I2269*H2269</x:f>
        <x:v>0</x:v>
      </x:c>
      <x:c r="K2269" s="13" t="n">
        <x:f>E2269*I2269*H2269</x:f>
        <x:v>0.12002652375000002</x:v>
      </x:c>
      <x:c r="L2269" s="1" t="str">
        <x:f>TEXT(A2269,"mmm yyyy")</x:f>
        <x:v>Jun 2026</x:v>
      </x:c>
    </x:row>
    <x:row r="2270" ht="21" customHeight="1">
      <x:c r="A2270" s="10" t="n">
        <x:v>46195</x:v>
      </x:c>
      <x:c r="B2270" s="1" t="n">
        <x:v>19</x:v>
      </x:c>
      <x:c r="C2270" s="1" t="n">
        <x:v>6</x:v>
      </x:c>
      <x:c r="D2270" s="12" t="n">
        <x:v>0</x:v>
      </x:c>
      <x:c r="E2270" s="12" t="n">
        <x:v>0.21183333333333332</x:v>
      </x:c>
      <x:c r="F2270" s="12" t="n">
        <x:v>0.21166666666666667</x:v>
      </x:c>
      <x:c r="G2270" s="12" t="n">
        <x:v>0</x:v>
      </x:c>
      <x:c r="H2270" s="1" t="n">
        <x:f>'Historical prices'!E2270</x:f>
        <x:v>1.05</x:v>
      </x:c>
      <x:c r="I2270" s="6" t="n">
        <x:f>'Historical prices'!D2270</x:f>
        <x:v>0.36460000000000004</x:v>
      </x:c>
      <x:c r="J2270" s="13" t="n">
        <x:f>D2270*I2270*H2270</x:f>
        <x:v>0</x:v>
      </x:c>
      <x:c r="K2270" s="13" t="n">
        <x:f>E2270*I2270*H2270</x:f>
        <x:v>0.081096155</x:v>
      </x:c>
      <x:c r="L2270" s="1" t="str">
        <x:f>TEXT(A2270,"mmm yyyy")</x:f>
        <x:v>Jun 2026</x:v>
      </x:c>
    </x:row>
    <x:row r="2271" ht="21" customHeight="1">
      <x:c r="A2271" s="10" t="n">
        <x:v>46195</x:v>
      </x:c>
      <x:c r="B2271" s="1" t="n">
        <x:v>19.5</x:v>
      </x:c>
      <x:c r="C2271" s="1" t="n">
        <x:v>6</x:v>
      </x:c>
      <x:c r="D2271" s="12" t="n">
        <x:v>0</x:v>
      </x:c>
      <x:c r="E2271" s="12" t="n">
        <x:v>0.2519166666666667</x:v>
      </x:c>
      <x:c r="F2271" s="12" t="n">
        <x:v>0.25175</x:v>
      </x:c>
      <x:c r="G2271" s="12" t="n">
        <x:v>0</x:v>
      </x:c>
      <x:c r="H2271" s="1" t="n">
        <x:f>'Historical prices'!E2271</x:f>
        <x:v>1.05</x:v>
      </x:c>
      <x:c r="I2271" s="6" t="n">
        <x:f>'Historical prices'!D2271</x:f>
        <x:v>0.3383</x:v>
      </x:c>
      <x:c r="J2271" s="13" t="n">
        <x:f>D2271*I2271*H2271</x:f>
        <x:v>0</x:v>
      </x:c>
      <x:c r="K2271" s="13" t="n">
        <x:f>E2271*I2271*H2271</x:f>
        <x:v>0.08948457875</x:v>
      </x:c>
      <x:c r="L2271" s="1" t="str">
        <x:f>TEXT(A2271,"mmm yyyy")</x:f>
        <x:v>Jun 2026</x:v>
      </x:c>
    </x:row>
    <x:row r="2272" ht="21" customHeight="1">
      <x:c r="A2272" s="10" t="n">
        <x:v>46195</x:v>
      </x:c>
      <x:c r="B2272" s="1" t="n">
        <x:v>20</x:v>
      </x:c>
      <x:c r="C2272" s="1" t="n">
        <x:v>6</x:v>
      </x:c>
      <x:c r="D2272" s="12" t="n">
        <x:v>0</x:v>
      </x:c>
      <x:c r="E2272" s="12" t="n">
        <x:v>0.2959166666666666</x:v>
      </x:c>
      <x:c r="F2272" s="12" t="n">
        <x:v>0.2959166666666666</x:v>
      </x:c>
      <x:c r="G2272" s="12" t="n">
        <x:v>0</x:v>
      </x:c>
      <x:c r="H2272" s="1" t="n">
        <x:f>'Historical prices'!E2272</x:f>
        <x:v>1.05</x:v>
      </x:c>
      <x:c r="I2272" s="6" t="n">
        <x:f>'Historical prices'!D2272</x:f>
        <x:v>0.3386</x:v>
      </x:c>
      <x:c r="J2272" s="13" t="n">
        <x:f>D2272*I2272*H2272</x:f>
        <x:v>0</x:v>
      </x:c>
      <x:c r="K2272" s="13" t="n">
        <x:f>E2272*I2272*H2272</x:f>
        <x:v>0.10520725249999999</x:v>
      </x:c>
      <x:c r="L2272" s="1" t="str">
        <x:f>TEXT(A2272,"mmm yyyy")</x:f>
        <x:v>Jun 2026</x:v>
      </x:c>
    </x:row>
    <x:row r="2273" ht="21" customHeight="1">
      <x:c r="A2273" s="10" t="n">
        <x:v>46195</x:v>
      </x:c>
      <x:c r="B2273" s="1" t="n">
        <x:v>20.5</x:v>
      </x:c>
      <x:c r="C2273" s="1" t="n">
        <x:v>6</x:v>
      </x:c>
      <x:c r="D2273" s="12" t="n">
        <x:v>0</x:v>
      </x:c>
      <x:c r="E2273" s="12" t="n">
        <x:v>0.24191666666666667</x:v>
      </x:c>
      <x:c r="F2273" s="12" t="n">
        <x:v>0.24166666666666667</x:v>
      </x:c>
      <x:c r="G2273" s="12" t="n">
        <x:v>0</x:v>
      </x:c>
      <x:c r="H2273" s="1" t="n">
        <x:f>'Historical prices'!E2273</x:f>
        <x:v>1.05</x:v>
      </x:c>
      <x:c r="I2273" s="6" t="n">
        <x:f>'Historical prices'!D2273</x:f>
        <x:v>0.33039999999999997</x:v>
      </x:c>
      <x:c r="J2273" s="13" t="n">
        <x:f>D2273*I2273*H2273</x:f>
        <x:v>0</x:v>
      </x:c>
      <x:c r="K2273" s="13" t="n">
        <x:f>E2273*I2273*H2273</x:f>
        <x:v>0.08392573</x:v>
      </x:c>
      <x:c r="L2273" s="1" t="str">
        <x:f>TEXT(A2273,"mmm yyyy")</x:f>
        <x:v>Jun 2026</x:v>
      </x:c>
    </x:row>
    <x:row r="2274" ht="21" customHeight="1">
      <x:c r="A2274" s="10" t="n">
        <x:v>46195</x:v>
      </x:c>
      <x:c r="B2274" s="1" t="n">
        <x:v>21</x:v>
      </x:c>
      <x:c r="C2274" s="1" t="n">
        <x:v>6</x:v>
      </x:c>
      <x:c r="D2274" s="12" t="n">
        <x:v>0</x:v>
      </x:c>
      <x:c r="E2274" s="12" t="n">
        <x:v>0.28400000000000003</x:v>
      </x:c>
      <x:c r="F2274" s="12" t="n">
        <x:v>0.28375</x:v>
      </x:c>
      <x:c r="G2274" s="12" t="n">
        <x:v>0</x:v>
      </x:c>
      <x:c r="H2274" s="1" t="n">
        <x:f>'Historical prices'!E2274</x:f>
        <x:v>1.05</x:v>
      </x:c>
      <x:c r="I2274" s="6" t="n">
        <x:f>'Historical prices'!D2274</x:f>
        <x:v>0.3299</x:v>
      </x:c>
      <x:c r="J2274" s="13" t="n">
        <x:f>D2274*I2274*H2274</x:f>
        <x:v>0</x:v>
      </x:c>
      <x:c r="K2274" s="13" t="n">
        <x:f>E2274*I2274*H2274</x:f>
        <x:v>0.09837618000000002</x:v>
      </x:c>
      <x:c r="L2274" s="1" t="str">
        <x:f>TEXT(A2274,"mmm yyyy")</x:f>
        <x:v>Jun 2026</x:v>
      </x:c>
    </x:row>
    <x:row r="2275" ht="21" customHeight="1">
      <x:c r="A2275" s="10" t="n">
        <x:v>46195</x:v>
      </x:c>
      <x:c r="B2275" s="1" t="n">
        <x:v>21.5</x:v>
      </x:c>
      <x:c r="C2275" s="1" t="n">
        <x:v>6</x:v>
      </x:c>
      <x:c r="D2275" s="12" t="n">
        <x:v>0</x:v>
      </x:c>
      <x:c r="E2275" s="12" t="n">
        <x:v>0.36575</x:v>
      </x:c>
      <x:c r="F2275" s="12" t="n">
        <x:v>0.36575</x:v>
      </x:c>
      <x:c r="G2275" s="12" t="n">
        <x:v>0</x:v>
      </x:c>
      <x:c r="H2275" s="1" t="n">
        <x:f>'Historical prices'!E2275</x:f>
        <x:v>1.05</x:v>
      </x:c>
      <x:c r="I2275" s="6" t="n">
        <x:f>'Historical prices'!D2275</x:f>
        <x:v>0.3131</x:v>
      </x:c>
      <x:c r="J2275" s="13" t="n">
        <x:f>D2275*I2275*H2275</x:f>
        <x:v>0</x:v>
      </x:c>
      <x:c r="K2275" s="13" t="n">
        <x:f>E2275*I2275*H2275</x:f>
        <x:v>0.12024214125</x:v>
      </x:c>
      <x:c r="L2275" s="1" t="str">
        <x:f>TEXT(A2275,"mmm yyyy")</x:f>
        <x:v>Jun 2026</x:v>
      </x:c>
    </x:row>
    <x:row r="2276" ht="21" customHeight="1">
      <x:c r="A2276" s="10" t="n">
        <x:v>46195</x:v>
      </x:c>
      <x:c r="B2276" s="1" t="n">
        <x:v>22</x:v>
      </x:c>
      <x:c r="C2276" s="1" t="n">
        <x:v>6</x:v>
      </x:c>
      <x:c r="D2276" s="12" t="n">
        <x:v>0</x:v>
      </x:c>
      <x:c r="E2276" s="12" t="n">
        <x:v>0.4429166666666667</x:v>
      </x:c>
      <x:c r="F2276" s="12" t="n">
        <x:v>0.44275000000000003</x:v>
      </x:c>
      <x:c r="G2276" s="12" t="n">
        <x:v>0</x:v>
      </x:c>
      <x:c r="H2276" s="1" t="n">
        <x:f>'Historical prices'!E2276</x:f>
        <x:v>1.05</x:v>
      </x:c>
      <x:c r="I2276" s="6" t="n">
        <x:f>'Historical prices'!D2276</x:f>
        <x:v>0.27</x:v>
      </x:c>
      <x:c r="J2276" s="13" t="n">
        <x:f>D2276*I2276*H2276</x:f>
        <x:v>0</x:v>
      </x:c>
      <x:c r="K2276" s="13" t="n">
        <x:f>E2276*I2276*H2276</x:f>
        <x:v>0.12556687500000002</x:v>
      </x:c>
      <x:c r="L2276" s="1" t="str">
        <x:f>TEXT(A2276,"mmm yyyy")</x:f>
        <x:v>Jun 2026</x:v>
      </x:c>
    </x:row>
    <x:row r="2277" ht="21" customHeight="1">
      <x:c r="A2277" s="10" t="n">
        <x:v>46195</x:v>
      </x:c>
      <x:c r="B2277" s="1" t="n">
        <x:v>22.5</x:v>
      </x:c>
      <x:c r="C2277" s="1" t="n">
        <x:v>6</x:v>
      </x:c>
      <x:c r="D2277" s="12" t="n">
        <x:v>0</x:v>
      </x:c>
      <x:c r="E2277" s="12" t="n">
        <x:v>0.402</x:v>
      </x:c>
      <x:c r="F2277" s="12" t="n">
        <x:v>0.4018333333333333</x:v>
      </x:c>
      <x:c r="G2277" s="12" t="n">
        <x:v>0</x:v>
      </x:c>
      <x:c r="H2277" s="1" t="n">
        <x:f>'Historical prices'!E2277</x:f>
        <x:v>1.05</x:v>
      </x:c>
      <x:c r="I2277" s="6" t="n">
        <x:f>'Historical prices'!D2277</x:f>
        <x:v>0.2585</x:v>
      </x:c>
      <x:c r="J2277" s="13" t="n">
        <x:f>D2277*I2277*H2277</x:f>
        <x:v>0</x:v>
      </x:c>
      <x:c r="K2277" s="13" t="n">
        <x:f>E2277*I2277*H2277</x:f>
        <x:v>0.10911285000000001</x:v>
      </x:c>
      <x:c r="L2277" s="1" t="str">
        <x:f>TEXT(A2277,"mmm yyyy")</x:f>
        <x:v>Jun 2026</x:v>
      </x:c>
    </x:row>
    <x:row r="2278" ht="21" customHeight="1">
      <x:c r="A2278" s="10" t="n">
        <x:v>46195</x:v>
      </x:c>
      <x:c r="B2278" s="1" t="n">
        <x:v>23</x:v>
      </x:c>
      <x:c r="C2278" s="1" t="n">
        <x:v>6</x:v>
      </x:c>
      <x:c r="D2278" s="12" t="n">
        <x:v>0</x:v>
      </x:c>
      <x:c r="E2278" s="12" t="n">
        <x:v>0.3088333333333333</x:v>
      </x:c>
      <x:c r="F2278" s="12" t="n">
        <x:v>0.3085833333333333</x:v>
      </x:c>
      <x:c r="G2278" s="12" t="n">
        <x:v>0</x:v>
      </x:c>
      <x:c r="H2278" s="1" t="n">
        <x:f>'Historical prices'!E2278</x:f>
        <x:v>1.05</x:v>
      </x:c>
      <x:c r="I2278" s="6" t="n">
        <x:f>'Historical prices'!D2278</x:f>
        <x:v>0.2274</x:v>
      </x:c>
      <x:c r="J2278" s="13" t="n">
        <x:f>D2278*I2278*H2278</x:f>
        <x:v>0</x:v>
      </x:c>
      <x:c r="K2278" s="13" t="n">
        <x:f>E2278*I2278*H2278</x:f>
        <x:v>0.073740135</x:v>
      </x:c>
      <x:c r="L2278" s="1" t="str">
        <x:f>TEXT(A2278,"mmm yyyy")</x:f>
        <x:v>Jun 2026</x:v>
      </x:c>
    </x:row>
    <x:row r="2279" ht="21" customHeight="1">
      <x:c r="A2279" s="10" t="n">
        <x:v>46195</x:v>
      </x:c>
      <x:c r="B2279" s="1" t="n">
        <x:v>23.5</x:v>
      </x:c>
      <x:c r="C2279" s="1" t="n">
        <x:v>6</x:v>
      </x:c>
      <x:c r="D2279" s="12" t="n">
        <x:v>0</x:v>
      </x:c>
      <x:c r="E2279" s="12" t="n">
        <x:v>0.2821666666666667</x:v>
      </x:c>
      <x:c r="F2279" s="12" t="n">
        <x:v>0.2818333333333333</x:v>
      </x:c>
      <x:c r="G2279" s="12" t="n">
        <x:v>0</x:v>
      </x:c>
      <x:c r="H2279" s="1" t="n">
        <x:f>'Historical prices'!E2279</x:f>
        <x:v>1.05</x:v>
      </x:c>
      <x:c r="I2279" s="6" t="n">
        <x:f>'Historical prices'!D2279</x:f>
        <x:v>0.20809999999999998</x:v>
      </x:c>
      <x:c r="J2279" s="13" t="n">
        <x:f>D2279*I2279*H2279</x:f>
        <x:v>0</x:v>
      </x:c>
      <x:c r="K2279" s="13" t="n">
        <x:f>E2279*I2279*H2279</x:f>
        <x:v>0.0616548275</x:v>
      </x:c>
      <x:c r="L2279" s="1" t="str">
        <x:f>TEXT(A2279,"mmm yyyy")</x:f>
        <x:v>Jun 2026</x:v>
      </x:c>
    </x:row>
    <x:row r="2280" ht="21" customHeight="1">
      <x:c r="A2280" s="10" t="n">
        <x:v>46196</x:v>
      </x:c>
      <x:c r="B2280" s="1" t="n">
        <x:v>0</x:v>
      </x:c>
      <x:c r="C2280" s="1" t="n">
        <x:v>6</x:v>
      </x:c>
      <x:c r="D2280" s="12" t="n">
        <x:v>0.18733333333333335</x:v>
      </x:c>
      <x:c r="E2280" s="12" t="n">
        <x:v>0.24433333333333332</x:v>
      </x:c>
      <x:c r="F2280" s="12" t="n">
        <x:v>0.046</x:v>
      </x:c>
      <x:c r="G2280" s="12" t="n">
        <x:v>0</x:v>
      </x:c>
      <x:c r="H2280" s="1" t="n">
        <x:f>'Historical prices'!E2280</x:f>
        <x:v>1.05</x:v>
      </x:c>
      <x:c r="I2280" s="6" t="n">
        <x:f>'Historical prices'!D2280</x:f>
        <x:v>0.2004</x:v>
      </x:c>
      <x:c r="J2280" s="13" t="n">
        <x:f>D2280*I2280*H2280</x:f>
        <x:v>0.039418680000000005</x:v>
      </x:c>
      <x:c r="K2280" s="13" t="n">
        <x:f>E2280*I2280*H2280</x:f>
        <x:v>0.05141262</x:v>
      </x:c>
      <x:c r="L2280" s="1" t="str">
        <x:f>TEXT(A2280,"mmm yyyy")</x:f>
        <x:v>Jun 2026</x:v>
      </x:c>
    </x:row>
    <x:row r="2281" ht="21" customHeight="1">
      <x:c r="A2281" s="10" t="n">
        <x:v>46196</x:v>
      </x:c>
      <x:c r="B2281" s="1" t="n">
        <x:v>0.5</x:v>
      </x:c>
      <x:c r="C2281" s="1" t="n">
        <x:v>6</x:v>
      </x:c>
      <x:c r="D2281" s="12" t="n">
        <x:v>0.03941666666666667</x:v>
      </x:c>
      <x:c r="E2281" s="12" t="n">
        <x:v>0.27625</x:v>
      </x:c>
      <x:c r="F2281" s="12" t="n">
        <x:v>0.23583333333333334</x:v>
      </x:c>
      <x:c r="G2281" s="12" t="n">
        <x:v>0</x:v>
      </x:c>
      <x:c r="H2281" s="1" t="n">
        <x:f>'Historical prices'!E2281</x:f>
        <x:v>1.05</x:v>
      </x:c>
      <x:c r="I2281" s="6" t="n">
        <x:f>'Historical prices'!D2281</x:f>
        <x:v>0.20809999999999998</x:v>
      </x:c>
      <x:c r="J2281" s="13" t="n">
        <x:f>D2281*I2281*H2281</x:f>
        <x:v>0.00861273875</x:v>
      </x:c>
      <x:c r="K2281" s="13" t="n">
        <x:f>E2281*I2281*H2281</x:f>
        <x:v>0.060362006249999996</x:v>
      </x:c>
      <x:c r="L2281" s="1" t="str">
        <x:f>TEXT(A2281,"mmm yyyy")</x:f>
        <x:v>Jun 2026</x:v>
      </x:c>
    </x:row>
    <x:row r="2282" ht="21" customHeight="1">
      <x:c r="A2282" s="10" t="n">
        <x:v>46196</x:v>
      </x:c>
      <x:c r="B2282" s="1" t="n">
        <x:v>1</x:v>
      </x:c>
      <x:c r="C2282" s="1" t="n">
        <x:v>6</x:v>
      </x:c>
      <x:c r="D2282" s="12" t="n">
        <x:v>0.10891666666666668</x:v>
      </x:c>
      <x:c r="E2282" s="12" t="n">
        <x:v>0.153</x:v>
      </x:c>
      <x:c r="F2282" s="12" t="n">
        <x:v>0.034</x:v>
      </x:c>
      <x:c r="G2282" s="12" t="n">
        <x:v>0</x:v>
      </x:c>
      <x:c r="H2282" s="1" t="n">
        <x:f>'Historical prices'!E2282</x:f>
        <x:v>1.05</x:v>
      </x:c>
      <x:c r="I2282" s="6" t="n">
        <x:f>'Historical prices'!D2282</x:f>
        <x:v>0.20329999999999998</x:v>
      </x:c>
      <x:c r="J2282" s="13" t="n">
        <x:f>D2282*I2282*H2282</x:f>
        <x:v>0.02324989625</x:v>
      </x:c>
      <x:c r="K2282" s="13" t="n">
        <x:f>E2282*I2282*H2282</x:f>
        <x:v>0.032660145</x:v>
      </x:c>
      <x:c r="L2282" s="1" t="str">
        <x:f>TEXT(A2282,"mmm yyyy")</x:f>
        <x:v>Jun 2026</x:v>
      </x:c>
    </x:row>
    <x:row r="2283" ht="21" customHeight="1">
      <x:c r="A2283" s="10" t="n">
        <x:v>46196</x:v>
      </x:c>
      <x:c r="B2283" s="1" t="n">
        <x:v>1.5</x:v>
      </x:c>
      <x:c r="C2283" s="1" t="n">
        <x:v>6</x:v>
      </x:c>
      <x:c r="D2283" s="12" t="n">
        <x:v>0.17408333333333334</x:v>
      </x:c>
      <x:c r="E2283" s="12" t="n">
        <x:v>0.18408333333333335</x:v>
      </x:c>
      <x:c r="F2283" s="12" t="n">
        <x:v>0</x:v>
      </x:c>
      <x:c r="G2283" s="12" t="n">
        <x:v>0</x:v>
      </x:c>
      <x:c r="H2283" s="1" t="n">
        <x:f>'Historical prices'!E2283</x:f>
        <x:v>1.05</x:v>
      </x:c>
      <x:c r="I2283" s="6" t="n">
        <x:f>'Historical prices'!D2283</x:f>
        <x:v>0.19399999999999998</x:v>
      </x:c>
      <x:c r="J2283" s="13" t="n">
        <x:f>D2283*I2283*H2283</x:f>
        <x:v>0.035460775</x:v>
      </x:c>
      <x:c r="K2283" s="13" t="n">
        <x:f>E2283*I2283*H2283</x:f>
        <x:v>0.037497775</x:v>
      </x:c>
      <x:c r="L2283" s="1" t="str">
        <x:f>TEXT(A2283,"mmm yyyy")</x:f>
        <x:v>Jun 2026</x:v>
      </x:c>
    </x:row>
    <x:row r="2284" ht="21" customHeight="1">
      <x:c r="A2284" s="10" t="n">
        <x:v>46196</x:v>
      </x:c>
      <x:c r="B2284" s="1" t="n">
        <x:v>2</x:v>
      </x:c>
      <x:c r="C2284" s="1" t="n">
        <x:v>6</x:v>
      </x:c>
      <x:c r="D2284" s="12" t="n">
        <x:v>0.18641666666666665</x:v>
      </x:c>
      <x:c r="E2284" s="12" t="n">
        <x:v>0.19641666666666666</x:v>
      </x:c>
      <x:c r="F2284" s="12" t="n">
        <x:v>0</x:v>
      </x:c>
      <x:c r="G2284" s="12" t="n">
        <x:v>0</x:v>
      </x:c>
      <x:c r="H2284" s="1" t="n">
        <x:f>'Historical prices'!E2284</x:f>
        <x:v>1.05</x:v>
      </x:c>
      <x:c r="I2284" s="6" t="n">
        <x:f>'Historical prices'!D2284</x:f>
        <x:v>0.1938</x:v>
      </x:c>
      <x:c r="J2284" s="13" t="n">
        <x:f>D2284*I2284*H2284</x:f>
        <x:v>0.0379339275</x:v>
      </x:c>
      <x:c r="K2284" s="13" t="n">
        <x:f>E2284*I2284*H2284</x:f>
        <x:v>0.0399688275</x:v>
      </x:c>
      <x:c r="L2284" s="1" t="str">
        <x:f>TEXT(A2284,"mmm yyyy")</x:f>
        <x:v>Jun 2026</x:v>
      </x:c>
    </x:row>
    <x:row r="2285" ht="21" customHeight="1">
      <x:c r="A2285" s="10" t="n">
        <x:v>46196</x:v>
      </x:c>
      <x:c r="B2285" s="1" t="n">
        <x:v>2.5</x:v>
      </x:c>
      <x:c r="C2285" s="1" t="n">
        <x:v>6</x:v>
      </x:c>
      <x:c r="D2285" s="12" t="n">
        <x:v>0.26175000000000004</x:v>
      </x:c>
      <x:c r="E2285" s="12" t="n">
        <x:v>0.27275000000000005</x:v>
      </x:c>
      <x:c r="F2285" s="12" t="n">
        <x:v>0</x:v>
      </x:c>
      <x:c r="G2285" s="12" t="n">
        <x:v>0</x:v>
      </x:c>
      <x:c r="H2285" s="1" t="n">
        <x:f>'Historical prices'!E2285</x:f>
        <x:v>1.05</x:v>
      </x:c>
      <x:c r="I2285" s="6" t="n">
        <x:f>'Historical prices'!D2285</x:f>
        <x:v>0.19260000000000002</x:v>
      </x:c>
      <x:c r="J2285" s="13" t="n">
        <x:f>D2285*I2285*H2285</x:f>
        <x:v>0.05293370250000002</x:v>
      </x:c>
      <x:c r="K2285" s="13" t="n">
        <x:f>E2285*I2285*H2285</x:f>
        <x:v>0.055158232500000015</x:v>
      </x:c>
      <x:c r="L2285" s="1" t="str">
        <x:f>TEXT(A2285,"mmm yyyy")</x:f>
        <x:v>Jun 2026</x:v>
      </x:c>
    </x:row>
    <x:row r="2286" ht="21" customHeight="1">
      <x:c r="A2286" s="10" t="n">
        <x:v>46196</x:v>
      </x:c>
      <x:c r="B2286" s="1" t="n">
        <x:v>3</x:v>
      </x:c>
      <x:c r="C2286" s="1" t="n">
        <x:v>6</x:v>
      </x:c>
      <x:c r="D2286" s="12" t="n">
        <x:v>0.03991666666666667</x:v>
      </x:c>
      <x:c r="E2286" s="12" t="n">
        <x:v>0.27083333333333337</x:v>
      </x:c>
      <x:c r="F2286" s="12" t="n">
        <x:v>0.22883333333333333</x:v>
      </x:c>
      <x:c r="G2286" s="12" t="n">
        <x:v>0</x:v>
      </x:c>
      <x:c r="H2286" s="1" t="n">
        <x:f>'Historical prices'!E2286</x:f>
        <x:v>1.05</x:v>
      </x:c>
      <x:c r="I2286" s="6" t="n">
        <x:f>'Historical prices'!D2286</x:f>
        <x:v>0.21289999999999998</x:v>
      </x:c>
      <x:c r="J2286" s="13" t="n">
        <x:f>D2286*I2286*H2286</x:f>
        <x:v>0.00892317125</x:v>
      </x:c>
      <x:c r="K2286" s="13" t="n">
        <x:f>E2286*I2286*H2286</x:f>
        <x:v>0.0605434375</x:v>
      </x:c>
      <x:c r="L2286" s="1" t="str">
        <x:f>TEXT(A2286,"mmm yyyy")</x:f>
        <x:v>Jun 2026</x:v>
      </x:c>
    </x:row>
    <x:row r="2287" ht="21" customHeight="1">
      <x:c r="A2287" s="10" t="n">
        <x:v>46196</x:v>
      </x:c>
      <x:c r="B2287" s="1" t="n">
        <x:v>3.5</x:v>
      </x:c>
      <x:c r="C2287" s="1" t="n">
        <x:v>6</x:v>
      </x:c>
      <x:c r="D2287" s="12" t="n">
        <x:v>0.10458333333333333</x:v>
      </x:c>
      <x:c r="E2287" s="12" t="n">
        <x:v>0.20858333333333334</x:v>
      </x:c>
      <x:c r="F2287" s="12" t="n">
        <x:v>0.099</x:v>
      </x:c>
      <x:c r="G2287" s="12" t="n">
        <x:v>0</x:v>
      </x:c>
      <x:c r="H2287" s="1" t="n">
        <x:f>'Historical prices'!E2287</x:f>
        <x:v>1.05</x:v>
      </x:c>
      <x:c r="I2287" s="6" t="n">
        <x:f>'Historical prices'!D2287</x:f>
        <x:v>0.20629999999999998</x:v>
      </x:c>
      <x:c r="J2287" s="13" t="n">
        <x:f>D2287*I2287*H2287</x:f>
        <x:v>0.02265431875</x:v>
      </x:c>
      <x:c r="K2287" s="13" t="n">
        <x:f>E2287*I2287*H2287</x:f>
        <x:v>0.04518227875</x:v>
      </x:c>
      <x:c r="L2287" s="1" t="str">
        <x:f>TEXT(A2287,"mmm yyyy")</x:f>
        <x:v>Jun 2026</x:v>
      </x:c>
    </x:row>
    <x:row r="2288" ht="21" customHeight="1">
      <x:c r="A2288" s="10" t="n">
        <x:v>46196</x:v>
      </x:c>
      <x:c r="B2288" s="1" t="n">
        <x:v>4</x:v>
      </x:c>
      <x:c r="C2288" s="1" t="n">
        <x:v>6</x:v>
      </x:c>
      <x:c r="D2288" s="12" t="n">
        <x:v>0.17858333333333334</x:v>
      </x:c>
      <x:c r="E2288" s="12" t="n">
        <x:v>0.18858333333333335</x:v>
      </x:c>
      <x:c r="F2288" s="12" t="n">
        <x:v>0</x:v>
      </x:c>
      <x:c r="G2288" s="12" t="n">
        <x:v>0</x:v>
      </x:c>
      <x:c r="H2288" s="1" t="n">
        <x:f>'Historical prices'!E2288</x:f>
        <x:v>1.05</x:v>
      </x:c>
      <x:c r="I2288" s="6" t="n">
        <x:f>'Historical prices'!D2288</x:f>
        <x:v>0.1934</x:v>
      </x:c>
      <x:c r="J2288" s="13" t="n">
        <x:f>D2288*I2288*H2288</x:f>
        <x:v>0.0362649175</x:v>
      </x:c>
      <x:c r="K2288" s="13" t="n">
        <x:f>E2288*I2288*H2288</x:f>
        <x:v>0.038295617500000004</x:v>
      </x:c>
      <x:c r="L2288" s="1" t="str">
        <x:f>TEXT(A2288,"mmm yyyy")</x:f>
        <x:v>Jun 2026</x:v>
      </x:c>
    </x:row>
    <x:row r="2289" ht="21" customHeight="1">
      <x:c r="A2289" s="10" t="n">
        <x:v>46196</x:v>
      </x:c>
      <x:c r="B2289" s="1" t="n">
        <x:v>4.5</x:v>
      </x:c>
      <x:c r="C2289" s="1" t="n">
        <x:v>6</x:v>
      </x:c>
      <x:c r="D2289" s="12" t="n">
        <x:v>0.27183333333333337</x:v>
      </x:c>
      <x:c r="E2289" s="12" t="n">
        <x:v>0.2828333333333334</x:v>
      </x:c>
      <x:c r="F2289" s="12" t="n">
        <x:v>0</x:v>
      </x:c>
      <x:c r="G2289" s="12" t="n">
        <x:v>0</x:v>
      </x:c>
      <x:c r="H2289" s="1" t="n">
        <x:f>'Historical prices'!E2289</x:f>
        <x:v>1.05</x:v>
      </x:c>
      <x:c r="I2289" s="6" t="n">
        <x:f>'Historical prices'!D2289</x:f>
        <x:v>0.1894</x:v>
      </x:c>
      <x:c r="J2289" s="13" t="n">
        <x:f>D2289*I2289*H2289</x:f>
        <x:v>0.05405949500000001</x:v>
      </x:c>
      <x:c r="K2289" s="13" t="n">
        <x:f>E2289*I2289*H2289</x:f>
        <x:v>0.05624706500000001</x:v>
      </x:c>
      <x:c r="L2289" s="1" t="str">
        <x:f>TEXT(A2289,"mmm yyyy")</x:f>
        <x:v>Jun 2026</x:v>
      </x:c>
    </x:row>
    <x:row r="2290" ht="21" customHeight="1">
      <x:c r="A2290" s="10" t="n">
        <x:v>46196</x:v>
      </x:c>
      <x:c r="B2290" s="1" t="n">
        <x:v>5</x:v>
      </x:c>
      <x:c r="C2290" s="1" t="n">
        <x:v>6</x:v>
      </x:c>
      <x:c r="D2290" s="12" t="n">
        <x:v>0.2500833333333333</x:v>
      </x:c>
      <x:c r="E2290" s="12" t="n">
        <x:v>0.2600833333333333</x:v>
      </x:c>
      <x:c r="F2290" s="12" t="n">
        <x:v>0</x:v>
      </x:c>
      <x:c r="G2290" s="12" t="n">
        <x:v>0</x:v>
      </x:c>
      <x:c r="H2290" s="1" t="n">
        <x:f>'Historical prices'!E2290</x:f>
        <x:v>1.05</x:v>
      </x:c>
      <x:c r="I2290" s="6" t="n">
        <x:f>'Historical prices'!D2290</x:f>
        <x:v>0.2018</x:v>
      </x:c>
      <x:c r="J2290" s="13" t="n">
        <x:f>D2290*I2290*H2290</x:f>
        <x:v>0.0529901575</x:v>
      </x:c>
      <x:c r="K2290" s="13" t="n">
        <x:f>E2290*I2290*H2290</x:f>
        <x:v>0.05510905749999999</x:v>
      </x:c>
      <x:c r="L2290" s="1" t="str">
        <x:f>TEXT(A2290,"mmm yyyy")</x:f>
        <x:v>Jun 2026</x:v>
      </x:c>
    </x:row>
    <x:row r="2291" ht="21" customHeight="1">
      <x:c r="A2291" s="10" t="n">
        <x:v>46196</x:v>
      </x:c>
      <x:c r="B2291" s="1" t="n">
        <x:v>5.5</x:v>
      </x:c>
      <x:c r="C2291" s="1" t="n">
        <x:v>6</x:v>
      </x:c>
      <x:c r="D2291" s="12" t="n">
        <x:v>0.030666666666666665</x:v>
      </x:c>
      <x:c r="E2291" s="12" t="n">
        <x:v>0.22274999999999998</x:v>
      </x:c>
      <x:c r="F2291" s="12" t="n">
        <x:v>0.167</x:v>
      </x:c>
      <x:c r="G2291" s="12" t="n">
        <x:v>0</x:v>
      </x:c>
      <x:c r="H2291" s="1" t="n">
        <x:f>'Historical prices'!E2291</x:f>
        <x:v>1.05</x:v>
      </x:c>
      <x:c r="I2291" s="6" t="n">
        <x:f>'Historical prices'!D2291</x:f>
        <x:v>0.2076</x:v>
      </x:c>
      <x:c r="J2291" s="13" t="n">
        <x:f>D2291*I2291*H2291</x:f>
        <x:v>0.00668472</x:v>
      </x:c>
      <x:c r="K2291" s="13" t="n">
        <x:f>E2291*I2291*H2291</x:f>
        <x:v>0.048555045</x:v>
      </x:c>
      <x:c r="L2291" s="1" t="str">
        <x:f>TEXT(A2291,"mmm yyyy")</x:f>
        <x:v>Jun 2026</x:v>
      </x:c>
    </x:row>
    <x:row r="2292" ht="21" customHeight="1">
      <x:c r="A2292" s="10" t="n">
        <x:v>46196</x:v>
      </x:c>
      <x:c r="B2292" s="1" t="n">
        <x:v>6</x:v>
      </x:c>
      <x:c r="C2292" s="1" t="n">
        <x:v>6</x:v>
      </x:c>
      <x:c r="D2292" s="12" t="n">
        <x:v>0</x:v>
      </x:c>
      <x:c r="E2292" s="12" t="n">
        <x:v>0.2338333333333333</x:v>
      </x:c>
      <x:c r="F2292" s="12" t="n">
        <x:v>0.23374999999999999</x:v>
      </x:c>
      <x:c r="G2292" s="12" t="n">
        <x:v>0</x:v>
      </x:c>
      <x:c r="H2292" s="1" t="n">
        <x:f>'Historical prices'!E2292</x:f>
        <x:v>1.05</x:v>
      </x:c>
      <x:c r="I2292" s="6" t="n">
        <x:f>'Historical prices'!D2292</x:f>
        <x:v>0.2207</x:v>
      </x:c>
      <x:c r="J2292" s="13" t="n">
        <x:f>D2292*I2292*H2292</x:f>
        <x:v>0</x:v>
      </x:c>
      <x:c r="K2292" s="13" t="n">
        <x:f>E2292*I2292*H2292</x:f>
        <x:v>0.0541873675</x:v>
      </x:c>
      <x:c r="L2292" s="1" t="str">
        <x:f>TEXT(A2292,"mmm yyyy")</x:f>
        <x:v>Jun 2026</x:v>
      </x:c>
    </x:row>
    <x:row r="2293" ht="21" customHeight="1">
      <x:c r="A2293" s="10" t="n">
        <x:v>46196</x:v>
      </x:c>
      <x:c r="B2293" s="1" t="n">
        <x:v>6.5</x:v>
      </x:c>
      <x:c r="C2293" s="1" t="n">
        <x:v>6</x:v>
      </x:c>
      <x:c r="D2293" s="12" t="n">
        <x:v>0</x:v>
      </x:c>
      <x:c r="E2293" s="12" t="n">
        <x:v>0.268</x:v>
      </x:c>
      <x:c r="F2293" s="12" t="n">
        <x:v>0.26775</x:v>
      </x:c>
      <x:c r="G2293" s="12" t="n">
        <x:v>0</x:v>
      </x:c>
      <x:c r="H2293" s="1" t="n">
        <x:f>'Historical prices'!E2293</x:f>
        <x:v>1.05</x:v>
      </x:c>
      <x:c r="I2293" s="6" t="n">
        <x:f>'Historical prices'!D2293</x:f>
        <x:v>0.237</x:v>
      </x:c>
      <x:c r="J2293" s="13" t="n">
        <x:f>D2293*I2293*H2293</x:f>
        <x:v>0</x:v>
      </x:c>
      <x:c r="K2293" s="13" t="n">
        <x:f>E2293*I2293*H2293</x:f>
        <x:v>0.06669180000000001</x:v>
      </x:c>
      <x:c r="L2293" s="1" t="str">
        <x:f>TEXT(A2293,"mmm yyyy")</x:f>
        <x:v>Jun 2026</x:v>
      </x:c>
    </x:row>
    <x:row r="2294" ht="21" customHeight="1">
      <x:c r="A2294" s="10" t="n">
        <x:v>46196</x:v>
      </x:c>
      <x:c r="B2294" s="1" t="n">
        <x:v>7</x:v>
      </x:c>
      <x:c r="C2294" s="1" t="n">
        <x:v>6</x:v>
      </x:c>
      <x:c r="D2294" s="12" t="n">
        <x:v>0</x:v>
      </x:c>
      <x:c r="E2294" s="12" t="n">
        <x:v>0.34675</x:v>
      </x:c>
      <x:c r="F2294" s="12" t="n">
        <x:v>0.3466666666666666</x:v>
      </x:c>
      <x:c r="G2294" s="12" t="n">
        <x:v>0</x:v>
      </x:c>
      <x:c r="H2294" s="1" t="n">
        <x:f>'Historical prices'!E2294</x:f>
        <x:v>1.05</x:v>
      </x:c>
      <x:c r="I2294" s="6" t="n">
        <x:f>'Historical prices'!D2294</x:f>
        <x:v>0.20809999999999998</x:v>
      </x:c>
      <x:c r="J2294" s="13" t="n">
        <x:f>D2294*I2294*H2294</x:f>
        <x:v>0</x:v>
      </x:c>
      <x:c r="K2294" s="13" t="n">
        <x:f>E2294*I2294*H2294</x:f>
        <x:v>0.07576660874999999</x:v>
      </x:c>
      <x:c r="L2294" s="1" t="str">
        <x:f>TEXT(A2294,"mmm yyyy")</x:f>
        <x:v>Jun 2026</x:v>
      </x:c>
    </x:row>
    <x:row r="2295" ht="21" customHeight="1">
      <x:c r="A2295" s="10" t="n">
        <x:v>46196</x:v>
      </x:c>
      <x:c r="B2295" s="1" t="n">
        <x:v>7.5</x:v>
      </x:c>
      <x:c r="C2295" s="1" t="n">
        <x:v>6</x:v>
      </x:c>
      <x:c r="D2295" s="12" t="n">
        <x:v>0</x:v>
      </x:c>
      <x:c r="E2295" s="12" t="n">
        <x:v>0.2691666666666666</x:v>
      </x:c>
      <x:c r="F2295" s="12" t="n">
        <x:v>0.26899999999999996</x:v>
      </x:c>
      <x:c r="G2295" s="12" t="n">
        <x:v>0</x:v>
      </x:c>
      <x:c r="H2295" s="1" t="n">
        <x:f>'Historical prices'!E2295</x:f>
        <x:v>1.05</x:v>
      </x:c>
      <x:c r="I2295" s="6" t="n">
        <x:f>'Historical prices'!D2295</x:f>
        <x:v>0.22149999999999997</x:v>
      </x:c>
      <x:c r="J2295" s="13" t="n">
        <x:f>D2295*I2295*H2295</x:f>
        <x:v>0</x:v>
      </x:c>
      <x:c r="K2295" s="13" t="n">
        <x:f>E2295*I2295*H2295</x:f>
        <x:v>0.06260143749999998</x:v>
      </x:c>
      <x:c r="L2295" s="1" t="str">
        <x:f>TEXT(A2295,"mmm yyyy")</x:f>
        <x:v>Jun 2026</x:v>
      </x:c>
    </x:row>
    <x:row r="2296" ht="21" customHeight="1">
      <x:c r="A2296" s="10" t="n">
        <x:v>46196</x:v>
      </x:c>
      <x:c r="B2296" s="1" t="n">
        <x:v>8</x:v>
      </x:c>
      <x:c r="C2296" s="1" t="n">
        <x:v>6</x:v>
      </x:c>
      <x:c r="D2296" s="12" t="n">
        <x:v>0.12991666666666668</x:v>
      </x:c>
      <x:c r="E2296" s="12" t="n">
        <x:v>0.18291666666666667</x:v>
      </x:c>
      <x:c r="F2296" s="12" t="n">
        <x:v>0.044</x:v>
      </x:c>
      <x:c r="G2296" s="12" t="n">
        <x:v>0</x:v>
      </x:c>
      <x:c r="H2296" s="1" t="n">
        <x:f>'Historical prices'!E2296</x:f>
        <x:v>1.05</x:v>
      </x:c>
      <x:c r="I2296" s="6" t="n">
        <x:f>'Historical prices'!D2296</x:f>
        <x:v>0.185</x:v>
      </x:c>
      <x:c r="J2296" s="13" t="n">
        <x:f>D2296*I2296*H2296</x:f>
        <x:v>0.025236312500000004</x:v>
      </x:c>
      <x:c r="K2296" s="13" t="n">
        <x:f>E2296*I2296*H2296</x:f>
        <x:v>0.0355315625</x:v>
      </x:c>
      <x:c r="L2296" s="1" t="str">
        <x:f>TEXT(A2296,"mmm yyyy")</x:f>
        <x:v>Jun 2026</x:v>
      </x:c>
    </x:row>
    <x:row r="2297" ht="21" customHeight="1">
      <x:c r="A2297" s="10" t="n">
        <x:v>46196</x:v>
      </x:c>
      <x:c r="B2297" s="1" t="n">
        <x:v>8.5</x:v>
      </x:c>
      <x:c r="C2297" s="1" t="n">
        <x:v>6</x:v>
      </x:c>
      <x:c r="D2297" s="12" t="n">
        <x:v>0.15541666666666665</x:v>
      </x:c>
      <x:c r="E2297" s="12" t="n">
        <x:v>0.16541666666666666</x:v>
      </x:c>
      <x:c r="F2297" s="12" t="n">
        <x:v>0</x:v>
      </x:c>
      <x:c r="G2297" s="12" t="n">
        <x:v>0</x:v>
      </x:c>
      <x:c r="H2297" s="1" t="n">
        <x:f>'Historical prices'!E2297</x:f>
        <x:v>1.05</x:v>
      </x:c>
      <x:c r="I2297" s="6" t="n">
        <x:f>'Historical prices'!D2297</x:f>
        <x:v>0.1766</x:v>
      </x:c>
      <x:c r="J2297" s="13" t="n">
        <x:f>D2297*I2297*H2297</x:f>
        <x:v>0.0288189125</x:v>
      </x:c>
      <x:c r="K2297" s="13" t="n">
        <x:f>E2297*I2297*H2297</x:f>
        <x:v>0.0306732125</x:v>
      </x:c>
      <x:c r="L2297" s="1" t="str">
        <x:f>TEXT(A2297,"mmm yyyy")</x:f>
        <x:v>Jun 2026</x:v>
      </x:c>
    </x:row>
    <x:row r="2298" ht="21" customHeight="1">
      <x:c r="A2298" s="10" t="n">
        <x:v>46196</x:v>
      </x:c>
      <x:c r="B2298" s="1" t="n">
        <x:v>9</x:v>
      </x:c>
      <x:c r="C2298" s="1" t="n">
        <x:v>6</x:v>
      </x:c>
      <x:c r="D2298" s="12" t="n">
        <x:v>4.386333333333333</x:v>
      </x:c>
      <x:c r="E2298" s="12" t="n">
        <x:v>0.48533333333333334</x:v>
      </x:c>
      <x:c r="F2298" s="12" t="n">
        <x:v>0</x:v>
      </x:c>
      <x:c r="G2298" s="12" t="n">
        <x:v>3.903</x:v>
      </x:c>
      <x:c r="H2298" s="1" t="n">
        <x:f>'Historical prices'!E2298</x:f>
        <x:v>1.05</x:v>
      </x:c>
      <x:c r="I2298" s="6" t="n">
        <x:f>'Historical prices'!D2298</x:f>
        <x:v>0.1514</x:v>
      </x:c>
      <x:c r="J2298" s="13" t="n">
        <x:f>D2298*I2298*H2298</x:f>
        <x:v>0.69729541</x:v>
      </x:c>
      <x:c r="K2298" s="13" t="n">
        <x:f>E2298*I2298*H2298</x:f>
        <x:v>0.07715344</x:v>
      </x:c>
      <x:c r="L2298" s="1" t="str">
        <x:f>TEXT(A2298,"mmm yyyy")</x:f>
        <x:v>Jun 2026</x:v>
      </x:c>
    </x:row>
    <x:row r="2299" ht="21" customHeight="1">
      <x:c r="A2299" s="10" t="n">
        <x:v>46196</x:v>
      </x:c>
      <x:c r="B2299" s="1" t="n">
        <x:v>9.5</x:v>
      </x:c>
      <x:c r="C2299" s="1" t="n">
        <x:v>6</x:v>
      </x:c>
      <x:c r="D2299" s="12" t="n">
        <x:v>1.5257500000000002</x:v>
      </x:c>
      <x:c r="E2299" s="12" t="n">
        <x:v>0.27875</x:v>
      </x:c>
      <x:c r="F2299" s="12" t="n">
        <x:v>0</x:v>
      </x:c>
      <x:c r="G2299" s="12" t="n">
        <x:v>1.249</x:v>
      </x:c>
      <x:c r="H2299" s="1" t="n">
        <x:f>'Historical prices'!E2299</x:f>
        <x:v>1.05</x:v>
      </x:c>
      <x:c r="I2299" s="6" t="n">
        <x:f>'Historical prices'!D2299</x:f>
        <x:v>0.1535</x:v>
      </x:c>
      <x:c r="J2299" s="13" t="n">
        <x:f>D2299*I2299*H2299</x:f>
        <x:v>0.24591275625000003</x:v>
      </x:c>
      <x:c r="K2299" s="13" t="n">
        <x:f>E2299*I2299*H2299</x:f>
        <x:v>0.04492753125</x:v>
      </x:c>
      <x:c r="L2299" s="1" t="str">
        <x:f>TEXT(A2299,"mmm yyyy")</x:f>
        <x:v>Jun 2026</x:v>
      </x:c>
    </x:row>
    <x:row r="2300" ht="21" customHeight="1">
      <x:c r="A2300" s="10" t="n">
        <x:v>46196</x:v>
      </x:c>
      <x:c r="B2300" s="1" t="n">
        <x:v>10</x:v>
      </x:c>
      <x:c r="C2300" s="1" t="n">
        <x:v>6</x:v>
      </x:c>
      <x:c r="D2300" s="12" t="n">
        <x:v>0.1595</x:v>
      </x:c>
      <x:c r="E2300" s="12" t="n">
        <x:v>0.17149999999999999</x:v>
      </x:c>
      <x:c r="F2300" s="12" t="n">
        <x:v>0</x:v>
      </x:c>
      <x:c r="G2300" s="12" t="n">
        <x:v>0</x:v>
      </x:c>
      <x:c r="H2300" s="1" t="n">
        <x:f>'Historical prices'!E2300</x:f>
        <x:v>1.05</x:v>
      </x:c>
      <x:c r="I2300" s="6" t="n">
        <x:f>'Historical prices'!D2300</x:f>
        <x:v>0.1539</x:v>
      </x:c>
      <x:c r="J2300" s="13" t="n">
        <x:f>D2300*I2300*H2300</x:f>
        <x:v>0.0257744025</x:v>
      </x:c>
      <x:c r="K2300" s="13" t="n">
        <x:f>E2300*I2300*H2300</x:f>
        <x:v>0.0277135425</x:v>
      </x:c>
      <x:c r="L2300" s="1" t="str">
        <x:f>TEXT(A2300,"mmm yyyy")</x:f>
        <x:v>Jun 2026</x:v>
      </x:c>
    </x:row>
    <x:row r="2301" ht="21" customHeight="1">
      <x:c r="A2301" s="10" t="n">
        <x:v>46196</x:v>
      </x:c>
      <x:c r="B2301" s="1" t="n">
        <x:v>10.5</x:v>
      </x:c>
      <x:c r="C2301" s="1" t="n">
        <x:v>6</x:v>
      </x:c>
      <x:c r="D2301" s="12" t="n">
        <x:v>0.17741666666666667</x:v>
      </x:c>
      <x:c r="E2301" s="12" t="n">
        <x:v>0.18841666666666668</x:v>
      </x:c>
      <x:c r="F2301" s="12" t="n">
        <x:v>0</x:v>
      </x:c>
      <x:c r="G2301" s="12" t="n">
        <x:v>0</x:v>
      </x:c>
      <x:c r="H2301" s="1" t="n">
        <x:f>'Historical prices'!E2301</x:f>
        <x:v>1.05</x:v>
      </x:c>
      <x:c r="I2301" s="6" t="n">
        <x:f>'Historical prices'!D2301</x:f>
        <x:v>0.16399999999999998</x:v>
      </x:c>
      <x:c r="J2301" s="13" t="n">
        <x:f>D2301*I2301*H2301</x:f>
        <x:v>0.030551149999999996</x:v>
      </x:c>
      <x:c r="K2301" s="13" t="n">
        <x:f>E2301*I2301*H2301</x:f>
        <x:v>0.03244535</x:v>
      </x:c>
      <x:c r="L2301" s="1" t="str">
        <x:f>TEXT(A2301,"mmm yyyy")</x:f>
        <x:v>Jun 2026</x:v>
      </x:c>
    </x:row>
    <x:row r="2302" ht="21" customHeight="1">
      <x:c r="A2302" s="10" t="n">
        <x:v>46196</x:v>
      </x:c>
      <x:c r="B2302" s="1" t="n">
        <x:v>11</x:v>
      </x:c>
      <x:c r="C2302" s="1" t="n">
        <x:v>6</x:v>
      </x:c>
      <x:c r="D2302" s="12" t="n">
        <x:v>0.21041666666666667</x:v>
      </x:c>
      <x:c r="E2302" s="12" t="n">
        <x:v>0.22141666666666668</x:v>
      </x:c>
      <x:c r="F2302" s="12" t="n">
        <x:v>0</x:v>
      </x:c>
      <x:c r="G2302" s="12" t="n">
        <x:v>0</x:v>
      </x:c>
      <x:c r="H2302" s="1" t="n">
        <x:f>'Historical prices'!E2302</x:f>
        <x:v>1.05</x:v>
      </x:c>
      <x:c r="I2302" s="6" t="n">
        <x:f>'Historical prices'!D2302</x:f>
        <x:v>0.159</x:v>
      </x:c>
      <x:c r="J2302" s="13" t="n">
        <x:f>D2302*I2302*H2302</x:f>
        <x:v>0.0351290625</x:v>
      </x:c>
      <x:c r="K2302" s="13" t="n">
        <x:f>E2302*I2302*H2302</x:f>
        <x:v>0.0369655125</x:v>
      </x:c>
      <x:c r="L2302" s="1" t="str">
        <x:f>TEXT(A2302,"mmm yyyy")</x:f>
        <x:v>Jun 2026</x:v>
      </x:c>
    </x:row>
    <x:row r="2303" ht="21" customHeight="1">
      <x:c r="A2303" s="10" t="n">
        <x:v>46196</x:v>
      </x:c>
      <x:c r="B2303" s="1" t="n">
        <x:v>11.5</x:v>
      </x:c>
      <x:c r="C2303" s="1" t="n">
        <x:v>6</x:v>
      </x:c>
      <x:c r="D2303" s="12" t="n">
        <x:v>1.5260833333333332</x:v>
      </x:c>
      <x:c r="E2303" s="12" t="n">
        <x:v>0.33008333333333334</x:v>
      </x:c>
      <x:c r="F2303" s="12" t="n">
        <x:v>0</x:v>
      </x:c>
      <x:c r="G2303" s="12" t="n">
        <x:v>1.201</x:v>
      </x:c>
      <x:c r="H2303" s="1" t="n">
        <x:f>'Historical prices'!E2303</x:f>
        <x:v>1.05</x:v>
      </x:c>
      <x:c r="I2303" s="6" t="n">
        <x:f>'Historical prices'!D2303</x:f>
        <x:v>0.1518</x:v>
      </x:c>
      <x:c r="J2303" s="13" t="n">
        <x:f>D2303*I2303*H2303</x:f>
        <x:v>0.24324242249999997</x:v>
      </x:c>
      <x:c r="K2303" s="13" t="n">
        <x:f>E2303*I2303*H2303</x:f>
        <x:v>0.052611982499999994</x:v>
      </x:c>
      <x:c r="L2303" s="1" t="str">
        <x:f>TEXT(A2303,"mmm yyyy")</x:f>
        <x:v>Jun 2026</x:v>
      </x:c>
    </x:row>
    <x:row r="2304" ht="21" customHeight="1">
      <x:c r="A2304" s="10" t="n">
        <x:v>46196</x:v>
      </x:c>
      <x:c r="B2304" s="1" t="n">
        <x:v>12</x:v>
      </x:c>
      <x:c r="C2304" s="1" t="n">
        <x:v>6</x:v>
      </x:c>
      <x:c r="D2304" s="12" t="n">
        <x:v>0.1753333333333333</x:v>
      </x:c>
      <x:c r="E2304" s="12" t="n">
        <x:v>0.18933333333333335</x:v>
      </x:c>
      <x:c r="F2304" s="12" t="n">
        <x:v>0</x:v>
      </x:c>
      <x:c r="G2304" s="12" t="n">
        <x:v>0</x:v>
      </x:c>
      <x:c r="H2304" s="1" t="n">
        <x:f>'Historical prices'!E2304</x:f>
        <x:v>1.05</x:v>
      </x:c>
      <x:c r="I2304" s="6" t="n">
        <x:f>'Historical prices'!D2304</x:f>
        <x:v>0.15560000000000002</x:v>
      </x:c>
      <x:c r="J2304" s="13" t="n">
        <x:f>D2304*I2304*H2304</x:f>
        <x:v>0.028645959999999998</x:v>
      </x:c>
      <x:c r="K2304" s="13" t="n">
        <x:f>E2304*I2304*H2304</x:f>
        <x:v>0.030933280000000007</x:v>
      </x:c>
      <x:c r="L2304" s="1" t="str">
        <x:f>TEXT(A2304,"mmm yyyy")</x:f>
        <x:v>Jun 2026</x:v>
      </x:c>
    </x:row>
    <x:row r="2305" ht="21" customHeight="1">
      <x:c r="A2305" s="10" t="n">
        <x:v>46196</x:v>
      </x:c>
      <x:c r="B2305" s="1" t="n">
        <x:v>12.5</x:v>
      </x:c>
      <x:c r="C2305" s="1" t="n">
        <x:v>6</x:v>
      </x:c>
      <x:c r="D2305" s="12" t="n">
        <x:v>0.1395</x:v>
      </x:c>
      <x:c r="E2305" s="12" t="n">
        <x:v>0.1505</x:v>
      </x:c>
      <x:c r="F2305" s="12" t="n">
        <x:v>0</x:v>
      </x:c>
      <x:c r="G2305" s="12" t="n">
        <x:v>0</x:v>
      </x:c>
      <x:c r="H2305" s="1" t="n">
        <x:f>'Historical prices'!E2305</x:f>
        <x:v>1.05</x:v>
      </x:c>
      <x:c r="I2305" s="6" t="n">
        <x:f>'Historical prices'!D2305</x:f>
        <x:v>0.1539</x:v>
      </x:c>
      <x:c r="J2305" s="13" t="n">
        <x:f>D2305*I2305*H2305</x:f>
        <x:v>0.022542502500000006</x:v>
      </x:c>
      <x:c r="K2305" s="13" t="n">
        <x:f>E2305*I2305*H2305</x:f>
        <x:v>0.0243200475</x:v>
      </x:c>
      <x:c r="L2305" s="1" t="str">
        <x:f>TEXT(A2305,"mmm yyyy")</x:f>
        <x:v>Jun 2026</x:v>
      </x:c>
    </x:row>
    <x:row r="2306" ht="21" customHeight="1">
      <x:c r="A2306" s="10" t="n">
        <x:v>46196</x:v>
      </x:c>
      <x:c r="B2306" s="1" t="n">
        <x:v>13</x:v>
      </x:c>
      <x:c r="C2306" s="1" t="n">
        <x:v>6</x:v>
      </x:c>
      <x:c r="D2306" s="12" t="n">
        <x:v>0.15416666666666667</x:v>
      </x:c>
      <x:c r="E2306" s="12" t="n">
        <x:v>0.16416666666666668</x:v>
      </x:c>
      <x:c r="F2306" s="12" t="n">
        <x:v>0</x:v>
      </x:c>
      <x:c r="G2306" s="12" t="n">
        <x:v>0</x:v>
      </x:c>
      <x:c r="H2306" s="1" t="n">
        <x:f>'Historical prices'!E2306</x:f>
        <x:v>1.05</x:v>
      </x:c>
      <x:c r="I2306" s="6" t="n">
        <x:f>'Historical prices'!D2306</x:f>
        <x:v>0.1518</x:v>
      </x:c>
      <x:c r="J2306" s="13" t="n">
        <x:f>D2306*I2306*H2306</x:f>
        <x:v>0.024572625</x:v>
      </x:c>
      <x:c r="K2306" s="13" t="n">
        <x:f>E2306*I2306*H2306</x:f>
        <x:v>0.026166525000000003</x:v>
      </x:c>
      <x:c r="L2306" s="1" t="str">
        <x:f>TEXT(A2306,"mmm yyyy")</x:f>
        <x:v>Jun 2026</x:v>
      </x:c>
    </x:row>
    <x:row r="2307" ht="21" customHeight="1">
      <x:c r="A2307" s="10" t="n">
        <x:v>46196</x:v>
      </x:c>
      <x:c r="B2307" s="1" t="n">
        <x:v>13.5</x:v>
      </x:c>
      <x:c r="C2307" s="1" t="n">
        <x:v>6</x:v>
      </x:c>
      <x:c r="D2307" s="12" t="n">
        <x:v>0.21358333333333335</x:v>
      </x:c>
      <x:c r="E2307" s="12" t="n">
        <x:v>0.22358333333333333</x:v>
      </x:c>
      <x:c r="F2307" s="12" t="n">
        <x:v>0</x:v>
      </x:c>
      <x:c r="G2307" s="12" t="n">
        <x:v>0</x:v>
      </x:c>
      <x:c r="H2307" s="1" t="n">
        <x:f>'Historical prices'!E2307</x:f>
        <x:v>1.05</x:v>
      </x:c>
      <x:c r="I2307" s="6" t="n">
        <x:f>'Historical prices'!D2307</x:f>
        <x:v>0.1518</x:v>
      </x:c>
      <x:c r="J2307" s="13" t="n">
        <x:f>D2307*I2307*H2307</x:f>
        <x:v>0.0340430475</x:v>
      </x:c>
      <x:c r="K2307" s="13" t="n">
        <x:f>E2307*I2307*H2307</x:f>
        <x:v>0.035636947499999995</x:v>
      </x:c>
      <x:c r="L2307" s="1" t="str">
        <x:f>TEXT(A2307,"mmm yyyy")</x:f>
        <x:v>Jun 2026</x:v>
      </x:c>
    </x:row>
    <x:row r="2308" ht="21" customHeight="1">
      <x:c r="A2308" s="10" t="n">
        <x:v>46196</x:v>
      </x:c>
      <x:c r="B2308" s="1" t="n">
        <x:v>14</x:v>
      </x:c>
      <x:c r="C2308" s="1" t="n">
        <x:v>6</x:v>
      </x:c>
      <x:c r="D2308" s="12" t="n">
        <x:v>0.1555</x:v>
      </x:c>
      <x:c r="E2308" s="12" t="n">
        <x:v>0.1665</x:v>
      </x:c>
      <x:c r="F2308" s="12" t="n">
        <x:v>0</x:v>
      </x:c>
      <x:c r="G2308" s="12" t="n">
        <x:v>0</x:v>
      </x:c>
      <x:c r="H2308" s="1" t="n">
        <x:f>'Historical prices'!E2308</x:f>
        <x:v>1.05</x:v>
      </x:c>
      <x:c r="I2308" s="6" t="n">
        <x:f>'Historical prices'!D2308</x:f>
        <x:v>0.1518</x:v>
      </x:c>
      <x:c r="J2308" s="13" t="n">
        <x:f>D2308*I2308*H2308</x:f>
        <x:v>0.024785144999999998</x:v>
      </x:c>
      <x:c r="K2308" s="13" t="n">
        <x:f>E2308*I2308*H2308</x:f>
        <x:v>0.026538435000000003</x:v>
      </x:c>
      <x:c r="L2308" s="1" t="str">
        <x:f>TEXT(A2308,"mmm yyyy")</x:f>
        <x:v>Jun 2026</x:v>
      </x:c>
    </x:row>
    <x:row r="2309" ht="21" customHeight="1">
      <x:c r="A2309" s="10" t="n">
        <x:v>46196</x:v>
      </x:c>
      <x:c r="B2309" s="1" t="n">
        <x:v>14.5</x:v>
      </x:c>
      <x:c r="C2309" s="1" t="n">
        <x:v>6</x:v>
      </x:c>
      <x:c r="D2309" s="12" t="n">
        <x:v>0.1575</x:v>
      </x:c>
      <x:c r="E2309" s="12" t="n">
        <x:v>0.1675</x:v>
      </x:c>
      <x:c r="F2309" s="12" t="n">
        <x:v>0</x:v>
      </x:c>
      <x:c r="G2309" s="12" t="n">
        <x:v>0</x:v>
      </x:c>
      <x:c r="H2309" s="1" t="n">
        <x:f>'Historical prices'!E2309</x:f>
        <x:v>1.05</x:v>
      </x:c>
      <x:c r="I2309" s="6" t="n">
        <x:f>'Historical prices'!D2309</x:f>
        <x:v>0.1518</x:v>
      </x:c>
      <x:c r="J2309" s="13" t="n">
        <x:f>D2309*I2309*H2309</x:f>
        <x:v>0.025103925</x:v>
      </x:c>
      <x:c r="K2309" s="13" t="n">
        <x:f>E2309*I2309*H2309</x:f>
        <x:v>0.026697825</x:v>
      </x:c>
      <x:c r="L2309" s="1" t="str">
        <x:f>TEXT(A2309,"mmm yyyy")</x:f>
        <x:v>Jun 2026</x:v>
      </x:c>
    </x:row>
    <x:row r="2310" ht="21" customHeight="1">
      <x:c r="A2310" s="10" t="n">
        <x:v>46196</x:v>
      </x:c>
      <x:c r="B2310" s="1" t="n">
        <x:v>15</x:v>
      </x:c>
      <x:c r="C2310" s="1" t="n">
        <x:v>6</x:v>
      </x:c>
      <x:c r="D2310" s="12" t="n">
        <x:v>0.15016666666666667</x:v>
      </x:c>
      <x:c r="E2310" s="12" t="n">
        <x:v>0.2584166666666667</x:v>
      </x:c>
      <x:c r="F2310" s="12" t="n">
        <x:v>0.101</x:v>
      </x:c>
      <x:c r="G2310" s="12" t="n">
        <x:v>0</x:v>
      </x:c>
      <x:c r="H2310" s="1" t="n">
        <x:f>'Historical prices'!E2310</x:f>
        <x:v>1.05</x:v>
      </x:c>
      <x:c r="I2310" s="6" t="n">
        <x:f>'Historical prices'!D2310</x:f>
        <x:v>0.16399999999999998</x:v>
      </x:c>
      <x:c r="J2310" s="13" t="n">
        <x:f>D2310*I2310*H2310</x:f>
        <x:v>0.0258587</x:v>
      </x:c>
      <x:c r="K2310" s="13" t="n">
        <x:f>E2310*I2310*H2310</x:f>
        <x:v>0.04449935</x:v>
      </x:c>
      <x:c r="L2310" s="1" t="str">
        <x:f>TEXT(A2310,"mmm yyyy")</x:f>
        <x:v>Jun 2026</x:v>
      </x:c>
    </x:row>
    <x:row r="2311" ht="21" customHeight="1">
      <x:c r="A2311" s="10" t="n">
        <x:v>46196</x:v>
      </x:c>
      <x:c r="B2311" s="1" t="n">
        <x:v>15.5</x:v>
      </x:c>
      <x:c r="C2311" s="1" t="n">
        <x:v>6</x:v>
      </x:c>
      <x:c r="D2311" s="12" t="n">
        <x:v>0</x:v>
      </x:c>
      <x:c r="E2311" s="12" t="n">
        <x:v>0.28025</x:v>
      </x:c>
      <x:c r="F2311" s="12" t="n">
        <x:v>0.27591666666666664</x:v>
      </x:c>
      <x:c r="G2311" s="12" t="n">
        <x:v>0</x:v>
      </x:c>
      <x:c r="H2311" s="1" t="n">
        <x:f>'Historical prices'!E2311</x:f>
        <x:v>1.05</x:v>
      </x:c>
      <x:c r="I2311" s="6" t="n">
        <x:f>'Historical prices'!D2311</x:f>
        <x:v>0.1671</x:v>
      </x:c>
      <x:c r="J2311" s="13" t="n">
        <x:f>D2311*I2311*H2311</x:f>
        <x:v>0</x:v>
      </x:c>
      <x:c r="K2311" s="13" t="n">
        <x:f>E2311*I2311*H2311</x:f>
        <x:v>0.04917126375</x:v>
      </x:c>
      <x:c r="L2311" s="1" t="str">
        <x:f>TEXT(A2311,"mmm yyyy")</x:f>
        <x:v>Jun 2026</x:v>
      </x:c>
    </x:row>
    <x:row r="2312" ht="21" customHeight="1">
      <x:c r="A2312" s="10" t="n">
        <x:v>46196</x:v>
      </x:c>
      <x:c r="B2312" s="1" t="n">
        <x:v>16</x:v>
      </x:c>
      <x:c r="C2312" s="1" t="n">
        <x:v>6</x:v>
      </x:c>
      <x:c r="D2312" s="12" t="n">
        <x:v>0</x:v>
      </x:c>
      <x:c r="E2312" s="12" t="n">
        <x:v>0.33358333333333334</x:v>
      </x:c>
      <x:c r="F2312" s="12" t="n">
        <x:v>0.33325</x:v>
      </x:c>
      <x:c r="G2312" s="12" t="n">
        <x:v>0</x:v>
      </x:c>
      <x:c r="H2312" s="1" t="n">
        <x:f>'Historical prices'!E2312</x:f>
        <x:v>1.05</x:v>
      </x:c>
      <x:c r="I2312" s="6" t="n">
        <x:f>'Historical prices'!D2312</x:f>
        <x:v>0.33159999999999995</x:v>
      </x:c>
      <x:c r="J2312" s="13" t="n">
        <x:f>D2312*I2312*H2312</x:f>
        <x:v>0</x:v>
      </x:c>
      <x:c r="K2312" s="13" t="n">
        <x:f>E2312*I2312*H2312</x:f>
        <x:v>0.11614704499999999</x:v>
      </x:c>
      <x:c r="L2312" s="1" t="str">
        <x:f>TEXT(A2312,"mmm yyyy")</x:f>
        <x:v>Jun 2026</x:v>
      </x:c>
    </x:row>
    <x:row r="2313" ht="21" customHeight="1">
      <x:c r="A2313" s="10" t="n">
        <x:v>46196</x:v>
      </x:c>
      <x:c r="B2313" s="1" t="n">
        <x:v>16.5</x:v>
      </x:c>
      <x:c r="C2313" s="1" t="n">
        <x:v>6</x:v>
      </x:c>
      <x:c r="D2313" s="12" t="n">
        <x:v>0</x:v>
      </x:c>
      <x:c r="E2313" s="12" t="n">
        <x:v>0.25875000000000004</x:v>
      </x:c>
      <x:c r="F2313" s="12" t="n">
        <x:v>0.25866666666666666</x:v>
      </x:c>
      <x:c r="G2313" s="12" t="n">
        <x:v>0</x:v>
      </x:c>
      <x:c r="H2313" s="1" t="n">
        <x:f>'Historical prices'!E2313</x:f>
        <x:v>1.05</x:v>
      </x:c>
      <x:c r="I2313" s="6" t="n">
        <x:f>'Historical prices'!D2313</x:f>
        <x:v>0.3281</x:v>
      </x:c>
      <x:c r="J2313" s="13" t="n">
        <x:f>D2313*I2313*H2313</x:f>
        <x:v>0</x:v>
      </x:c>
      <x:c r="K2313" s="13" t="n">
        <x:f>E2313*I2313*H2313</x:f>
        <x:v>0.08914066875000001</x:v>
      </x:c>
      <x:c r="L2313" s="1" t="str">
        <x:f>TEXT(A2313,"mmm yyyy")</x:f>
        <x:v>Jun 2026</x:v>
      </x:c>
    </x:row>
    <x:row r="2314" ht="21" customHeight="1">
      <x:c r="A2314" s="10" t="n">
        <x:v>46196</x:v>
      </x:c>
      <x:c r="B2314" s="1" t="n">
        <x:v>17</x:v>
      </x:c>
      <x:c r="C2314" s="1" t="n">
        <x:v>6</x:v>
      </x:c>
      <x:c r="D2314" s="12" t="n">
        <x:v>0</x:v>
      </x:c>
      <x:c r="E2314" s="12" t="n">
        <x:v>0.23491666666666666</x:v>
      </x:c>
      <x:c r="F2314" s="12" t="n">
        <x:v>0.23475000000000001</x:v>
      </x:c>
      <x:c r="G2314" s="12" t="n">
        <x:v>0</x:v>
      </x:c>
      <x:c r="H2314" s="1" t="n">
        <x:f>'Historical prices'!E2314</x:f>
        <x:v>1.05</x:v>
      </x:c>
      <x:c r="I2314" s="6" t="n">
        <x:f>'Historical prices'!D2314</x:f>
        <x:v>0.4028</x:v>
      </x:c>
      <x:c r="J2314" s="13" t="n">
        <x:f>D2314*I2314*H2314</x:f>
        <x:v>0</x:v>
      </x:c>
      <x:c r="K2314" s="13" t="n">
        <x:f>E2314*I2314*H2314</x:f>
        <x:v>0.099355655</x:v>
      </x:c>
      <x:c r="L2314" s="1" t="str">
        <x:f>TEXT(A2314,"mmm yyyy")</x:f>
        <x:v>Jun 2026</x:v>
      </x:c>
    </x:row>
    <x:row r="2315" ht="21" customHeight="1">
      <x:c r="A2315" s="10" t="n">
        <x:v>46196</x:v>
      </x:c>
      <x:c r="B2315" s="1" t="n">
        <x:v>17.5</x:v>
      </x:c>
      <x:c r="C2315" s="1" t="n">
        <x:v>6</x:v>
      </x:c>
      <x:c r="D2315" s="12" t="n">
        <x:v>0</x:v>
      </x:c>
      <x:c r="E2315" s="12" t="n">
        <x:v>0.22691666666666666</x:v>
      </x:c>
      <x:c r="F2315" s="12" t="n">
        <x:v>0.22658333333333333</x:v>
      </x:c>
      <x:c r="G2315" s="12" t="n">
        <x:v>0</x:v>
      </x:c>
      <x:c r="H2315" s="1" t="n">
        <x:f>'Historical prices'!E2315</x:f>
        <x:v>1.05</x:v>
      </x:c>
      <x:c r="I2315" s="6" t="n">
        <x:f>'Historical prices'!D2315</x:f>
        <x:v>0.4499</x:v>
      </x:c>
      <x:c r="J2315" s="13" t="n">
        <x:f>D2315*I2315*H2315</x:f>
        <x:v>0</x:v>
      </x:c>
      <x:c r="K2315" s="13" t="n">
        <x:f>E2315*I2315*H2315</x:f>
        <x:v>0.10719429875000001</x:v>
      </x:c>
      <x:c r="L2315" s="1" t="str">
        <x:f>TEXT(A2315,"mmm yyyy")</x:f>
        <x:v>Jun 2026</x:v>
      </x:c>
    </x:row>
    <x:row r="2316" ht="21" customHeight="1">
      <x:c r="A2316" s="10" t="n">
        <x:v>46196</x:v>
      </x:c>
      <x:c r="B2316" s="1" t="n">
        <x:v>18</x:v>
      </x:c>
      <x:c r="C2316" s="1" t="n">
        <x:v>6</x:v>
      </x:c>
      <x:c r="D2316" s="12" t="n">
        <x:v>0</x:v>
      </x:c>
      <x:c r="E2316" s="12" t="n">
        <x:v>0.27899999999999997</x:v>
      </x:c>
      <x:c r="F2316" s="12" t="n">
        <x:v>0.2788333333333333</x:v>
      </x:c>
      <x:c r="G2316" s="12" t="n">
        <x:v>0</x:v>
      </x:c>
      <x:c r="H2316" s="1" t="n">
        <x:f>'Historical prices'!E2316</x:f>
        <x:v>1.05</x:v>
      </x:c>
      <x:c r="I2316" s="6" t="n">
        <x:f>'Historical prices'!D2316</x:f>
        <x:v>0.528</x:v>
      </x:c>
      <x:c r="J2316" s="13" t="n">
        <x:f>D2316*I2316*H2316</x:f>
        <x:v>0</x:v>
      </x:c>
      <x:c r="K2316" s="13" t="n">
        <x:f>E2316*I2316*H2316</x:f>
        <x:v>0.1546776</x:v>
      </x:c>
      <x:c r="L2316" s="1" t="str">
        <x:f>TEXT(A2316,"mmm yyyy")</x:f>
        <x:v>Jun 2026</x:v>
      </x:c>
    </x:row>
    <x:row r="2317" ht="21" customHeight="1">
      <x:c r="A2317" s="10" t="n">
        <x:v>46196</x:v>
      </x:c>
      <x:c r="B2317" s="1" t="n">
        <x:v>18.5</x:v>
      </x:c>
      <x:c r="C2317" s="1" t="n">
        <x:v>6</x:v>
      </x:c>
      <x:c r="D2317" s="12" t="n">
        <x:v>0</x:v>
      </x:c>
      <x:c r="E2317" s="12" t="n">
        <x:v>0.26791666666666664</x:v>
      </x:c>
      <x:c r="F2317" s="12" t="n">
        <x:v>0.26774999999999993</x:v>
      </x:c>
      <x:c r="G2317" s="12" t="n">
        <x:v>0</x:v>
      </x:c>
      <x:c r="H2317" s="1" t="n">
        <x:f>'Historical prices'!E2317</x:f>
        <x:v>1.05</x:v>
      </x:c>
      <x:c r="I2317" s="6" t="n">
        <x:f>'Historical prices'!D2317</x:f>
        <x:v>0.5801</x:v>
      </x:c>
      <x:c r="J2317" s="13" t="n">
        <x:f>D2317*I2317*H2317</x:f>
        <x:v>0</x:v>
      </x:c>
      <x:c r="K2317" s="13" t="n">
        <x:f>E2317*I2317*H2317</x:f>
        <x:v>0.16318938125</x:v>
      </x:c>
      <x:c r="L2317" s="1" t="str">
        <x:f>TEXT(A2317,"mmm yyyy")</x:f>
        <x:v>Jun 2026</x:v>
      </x:c>
    </x:row>
    <x:row r="2318" ht="21" customHeight="1">
      <x:c r="A2318" s="10" t="n">
        <x:v>46196</x:v>
      </x:c>
      <x:c r="B2318" s="1" t="n">
        <x:v>19</x:v>
      </x:c>
      <x:c r="C2318" s="1" t="n">
        <x:v>6</x:v>
      </x:c>
      <x:c r="D2318" s="12" t="n">
        <x:v>0</x:v>
      </x:c>
      <x:c r="E2318" s="12" t="n">
        <x:v>0.21183333333333335</x:v>
      </x:c>
      <x:c r="F2318" s="12" t="n">
        <x:v>0.21166666666666664</x:v>
      </x:c>
      <x:c r="G2318" s="12" t="n">
        <x:v>0</x:v>
      </x:c>
      <x:c r="H2318" s="1" t="n">
        <x:f>'Historical prices'!E2318</x:f>
        <x:v>1.05</x:v>
      </x:c>
      <x:c r="I2318" s="6" t="n">
        <x:f>'Historical prices'!D2318</x:f>
        <x:v>0.49369999999999997</x:v>
      </x:c>
      <x:c r="J2318" s="13" t="n">
        <x:f>D2318*I2318*H2318</x:f>
        <x:v>0</x:v>
      </x:c>
      <x:c r="K2318" s="13" t="n">
        <x:f>E2318*I2318*H2318</x:f>
        <x:v>0.10981122250000001</x:v>
      </x:c>
      <x:c r="L2318" s="1" t="str">
        <x:f>TEXT(A2318,"mmm yyyy")</x:f>
        <x:v>Jun 2026</x:v>
      </x:c>
    </x:row>
    <x:row r="2319" ht="21" customHeight="1">
      <x:c r="A2319" s="10" t="n">
        <x:v>46196</x:v>
      </x:c>
      <x:c r="B2319" s="1" t="n">
        <x:v>19.5</x:v>
      </x:c>
      <x:c r="C2319" s="1" t="n">
        <x:v>6</x:v>
      </x:c>
      <x:c r="D2319" s="12" t="n">
        <x:v>0</x:v>
      </x:c>
      <x:c r="E2319" s="12" t="n">
        <x:v>0.255</x:v>
      </x:c>
      <x:c r="F2319" s="12" t="n">
        <x:v>0.25475000000000003</x:v>
      </x:c>
      <x:c r="G2319" s="12" t="n">
        <x:v>0</x:v>
      </x:c>
      <x:c r="H2319" s="1" t="n">
        <x:f>'Historical prices'!E2319</x:f>
        <x:v>1.05</x:v>
      </x:c>
      <x:c r="I2319" s="6" t="n">
        <x:f>'Historical prices'!D2319</x:f>
        <x:v>0.49979999999999997</x:v>
      </x:c>
      <x:c r="J2319" s="13" t="n">
        <x:f>D2319*I2319*H2319</x:f>
        <x:v>0</x:v>
      </x:c>
      <x:c r="K2319" s="13" t="n">
        <x:f>E2319*I2319*H2319</x:f>
        <x:v>0.13382145</x:v>
      </x:c>
      <x:c r="L2319" s="1" t="str">
        <x:f>TEXT(A2319,"mmm yyyy")</x:f>
        <x:v>Jun 2026</x:v>
      </x:c>
    </x:row>
    <x:row r="2320" ht="21" customHeight="1">
      <x:c r="A2320" s="10" t="n">
        <x:v>46196</x:v>
      </x:c>
      <x:c r="B2320" s="1" t="n">
        <x:v>20</x:v>
      </x:c>
      <x:c r="C2320" s="1" t="n">
        <x:v>6</x:v>
      </x:c>
      <x:c r="D2320" s="12" t="n">
        <x:v>0</x:v>
      </x:c>
      <x:c r="E2320" s="12" t="n">
        <x:v>0.26225</x:v>
      </x:c>
      <x:c r="F2320" s="12" t="n">
        <x:v>0.25975</x:v>
      </x:c>
      <x:c r="G2320" s="12" t="n">
        <x:v>0</x:v>
      </x:c>
      <x:c r="H2320" s="1" t="n">
        <x:f>'Historical prices'!E2320</x:f>
        <x:v>1.05</x:v>
      </x:c>
      <x:c r="I2320" s="6" t="n">
        <x:f>'Historical prices'!D2320</x:f>
        <x:v>0.4928</x:v>
      </x:c>
      <x:c r="J2320" s="13" t="n">
        <x:f>D2320*I2320*H2320</x:f>
        <x:v>0</x:v>
      </x:c>
      <x:c r="K2320" s="13" t="n">
        <x:f>E2320*I2320*H2320</x:f>
        <x:v>0.13569863999999998</x:v>
      </x:c>
      <x:c r="L2320" s="1" t="str">
        <x:f>TEXT(A2320,"mmm yyyy")</x:f>
        <x:v>Jun 2026</x:v>
      </x:c>
    </x:row>
    <x:row r="2321" ht="21" customHeight="1">
      <x:c r="A2321" s="10" t="n">
        <x:v>46196</x:v>
      </x:c>
      <x:c r="B2321" s="1" t="n">
        <x:v>20.5</x:v>
      </x:c>
      <x:c r="C2321" s="1" t="n">
        <x:v>6</x:v>
      </x:c>
      <x:c r="D2321" s="12" t="n">
        <x:v>0</x:v>
      </x:c>
      <x:c r="E2321" s="12" t="n">
        <x:v>0.27608333333333335</x:v>
      </x:c>
      <x:c r="F2321" s="12" t="n">
        <x:v>0.27575</x:v>
      </x:c>
      <x:c r="G2321" s="12" t="n">
        <x:v>0</x:v>
      </x:c>
      <x:c r="H2321" s="1" t="n">
        <x:f>'Historical prices'!E2321</x:f>
        <x:v>1.05</x:v>
      </x:c>
      <x:c r="I2321" s="6" t="n">
        <x:f>'Historical prices'!D2321</x:f>
        <x:v>0.5042</x:v>
      </x:c>
      <x:c r="J2321" s="13" t="n">
        <x:f>D2321*I2321*H2321</x:f>
        <x:v>0</x:v>
      </x:c>
      <x:c r="K2321" s="13" t="n">
        <x:f>E2321*I2321*H2321</x:f>
        <x:v>0.1461612775</x:v>
      </x:c>
      <x:c r="L2321" s="1" t="str">
        <x:f>TEXT(A2321,"mmm yyyy")</x:f>
        <x:v>Jun 2026</x:v>
      </x:c>
    </x:row>
    <x:row r="2322" ht="21" customHeight="1">
      <x:c r="A2322" s="10" t="n">
        <x:v>46196</x:v>
      </x:c>
      <x:c r="B2322" s="1" t="n">
        <x:v>21</x:v>
      </x:c>
      <x:c r="C2322" s="1" t="n">
        <x:v>6</x:v>
      </x:c>
      <x:c r="D2322" s="12" t="n">
        <x:v>0</x:v>
      </x:c>
      <x:c r="E2322" s="12" t="n">
        <x:v>0.38383333333333336</x:v>
      </x:c>
      <x:c r="F2322" s="12" t="n">
        <x:v>0.38375</x:v>
      </x:c>
      <x:c r="G2322" s="12" t="n">
        <x:v>0</x:v>
      </x:c>
      <x:c r="H2322" s="1" t="n">
        <x:f>'Historical prices'!E2322</x:f>
        <x:v>1.05</x:v>
      </x:c>
      <x:c r="I2322" s="6" t="n">
        <x:f>'Historical prices'!D2322</x:f>
        <x:v>0.4622</x:v>
      </x:c>
      <x:c r="J2322" s="13" t="n">
        <x:f>D2322*I2322*H2322</x:f>
        <x:v>0</x:v>
      </x:c>
      <x:c r="K2322" s="13" t="n">
        <x:f>E2322*I2322*H2322</x:f>
        <x:v>0.18627815500000003</x:v>
      </x:c>
      <x:c r="L2322" s="1" t="str">
        <x:f>TEXT(A2322,"mmm yyyy")</x:f>
        <x:v>Jun 2026</x:v>
      </x:c>
    </x:row>
    <x:row r="2323" ht="21" customHeight="1">
      <x:c r="A2323" s="10" t="n">
        <x:v>46196</x:v>
      </x:c>
      <x:c r="B2323" s="1" t="n">
        <x:v>21.5</x:v>
      </x:c>
      <x:c r="C2323" s="1" t="n">
        <x:v>6</x:v>
      </x:c>
      <x:c r="D2323" s="12" t="n">
        <x:v>0</x:v>
      </x:c>
      <x:c r="E2323" s="12" t="n">
        <x:v>0.3770833333333333</x:v>
      </x:c>
      <x:c r="F2323" s="12" t="n">
        <x:v>0.3766666666666667</x:v>
      </x:c>
      <x:c r="G2323" s="12" t="n">
        <x:v>0</x:v>
      </x:c>
      <x:c r="H2323" s="1" t="n">
        <x:f>'Historical prices'!E2323</x:f>
        <x:v>1.05</x:v>
      </x:c>
      <x:c r="I2323" s="6" t="n">
        <x:f>'Historical prices'!D2323</x:f>
        <x:v>0.4307</x:v>
      </x:c>
      <x:c r="J2323" s="13" t="n">
        <x:f>D2323*I2323*H2323</x:f>
        <x:v>0</x:v>
      </x:c>
      <x:c r="K2323" s="13" t="n">
        <x:f>E2323*I2323*H2323</x:f>
        <x:v>0.17053028125</x:v>
      </x:c>
      <x:c r="L2323" s="1" t="str">
        <x:f>TEXT(A2323,"mmm yyyy")</x:f>
        <x:v>Jun 2026</x:v>
      </x:c>
    </x:row>
    <x:row r="2324" ht="21" customHeight="1">
      <x:c r="A2324" s="10" t="n">
        <x:v>46196</x:v>
      </x:c>
      <x:c r="B2324" s="1" t="n">
        <x:v>22</x:v>
      </x:c>
      <x:c r="C2324" s="1" t="n">
        <x:v>6</x:v>
      </x:c>
      <x:c r="D2324" s="12" t="n">
        <x:v>0</x:v>
      </x:c>
      <x:c r="E2324" s="12" t="n">
        <x:v>0.3361666666666667</x:v>
      </x:c>
      <x:c r="F2324" s="12" t="n">
        <x:v>0.33575</x:v>
      </x:c>
      <x:c r="G2324" s="12" t="n">
        <x:v>0</x:v>
      </x:c>
      <x:c r="H2324" s="1" t="n">
        <x:f>'Historical prices'!E2324</x:f>
        <x:v>1.05</x:v>
      </x:c>
      <x:c r="I2324" s="6" t="n">
        <x:f>'Historical prices'!D2324</x:f>
        <x:v>0.38439999999999996</x:v>
      </x:c>
      <x:c r="J2324" s="13" t="n">
        <x:f>D2324*I2324*H2324</x:f>
        <x:v>0</x:v>
      </x:c>
      <x:c r="K2324" s="13" t="n">
        <x:f>E2324*I2324*H2324</x:f>
        <x:v>0.13568359000000002</x:v>
      </x:c>
      <x:c r="L2324" s="1" t="str">
        <x:f>TEXT(A2324,"mmm yyyy")</x:f>
        <x:v>Jun 2026</x:v>
      </x:c>
    </x:row>
    <x:row r="2325" ht="21" customHeight="1">
      <x:c r="A2325" s="10" t="n">
        <x:v>46196</x:v>
      </x:c>
      <x:c r="B2325" s="1" t="n">
        <x:v>22.5</x:v>
      </x:c>
      <x:c r="C2325" s="1" t="n">
        <x:v>6</x:v>
      </x:c>
      <x:c r="D2325" s="12" t="n">
        <x:v>0</x:v>
      </x:c>
      <x:c r="E2325" s="12" t="n">
        <x:v>0.40700000000000003</x:v>
      </x:c>
      <x:c r="F2325" s="12" t="n">
        <x:v>0.40675000000000006</x:v>
      </x:c>
      <x:c r="G2325" s="12" t="n">
        <x:v>0</x:v>
      </x:c>
      <x:c r="H2325" s="1" t="n">
        <x:f>'Historical prices'!E2325</x:f>
        <x:v>1.05</x:v>
      </x:c>
      <x:c r="I2325" s="6" t="n">
        <x:f>'Historical prices'!D2325</x:f>
        <x:v>0.35240000000000005</x:v>
      </x:c>
      <x:c r="J2325" s="13" t="n">
        <x:f>D2325*I2325*H2325</x:f>
        <x:v>0</x:v>
      </x:c>
      <x:c r="K2325" s="13" t="n">
        <x:f>E2325*I2325*H2325</x:f>
        <x:v>0.15059814000000002</x:v>
      </x:c>
      <x:c r="L2325" s="1" t="str">
        <x:f>TEXT(A2325,"mmm yyyy")</x:f>
        <x:v>Jun 2026</x:v>
      </x:c>
    </x:row>
    <x:row r="2326" ht="21" customHeight="1">
      <x:c r="A2326" s="10" t="n">
        <x:v>46196</x:v>
      </x:c>
      <x:c r="B2326" s="1" t="n">
        <x:v>23</x:v>
      </x:c>
      <x:c r="C2326" s="1" t="n">
        <x:v>6</x:v>
      </x:c>
      <x:c r="D2326" s="12" t="n">
        <x:v>0</x:v>
      </x:c>
      <x:c r="E2326" s="12" t="n">
        <x:v>0.368</x:v>
      </x:c>
      <x:c r="F2326" s="12" t="n">
        <x:v>0.36783333333333335</x:v>
      </x:c>
      <x:c r="G2326" s="12" t="n">
        <x:v>0</x:v>
      </x:c>
      <x:c r="H2326" s="1" t="n">
        <x:f>'Historical prices'!E2326</x:f>
        <x:v>1.05</x:v>
      </x:c>
      <x:c r="I2326" s="6" t="n">
        <x:f>'Historical prices'!D2326</x:f>
        <x:v>0.2638</x:v>
      </x:c>
      <x:c r="J2326" s="13" t="n">
        <x:f>D2326*I2326*H2326</x:f>
        <x:v>0</x:v>
      </x:c>
      <x:c r="K2326" s="13" t="n">
        <x:f>E2326*I2326*H2326</x:f>
        <x:v>0.10193231999999999</x:v>
      </x:c>
      <x:c r="L2326" s="1" t="str">
        <x:f>TEXT(A2326,"mmm yyyy")</x:f>
        <x:v>Jun 2026</x:v>
      </x:c>
    </x:row>
    <x:row r="2327" ht="21" customHeight="1">
      <x:c r="A2327" s="10" t="n">
        <x:v>46196</x:v>
      </x:c>
      <x:c r="B2327" s="1" t="n">
        <x:v>23.5</x:v>
      </x:c>
      <x:c r="C2327" s="1" t="n">
        <x:v>6</x:v>
      </x:c>
      <x:c r="D2327" s="12" t="n">
        <x:v>0</x:v>
      </x:c>
      <x:c r="E2327" s="12" t="n">
        <x:v>0.2910833333333333</x:v>
      </x:c>
      <x:c r="F2327" s="12" t="n">
        <x:v>0.29083333333333333</x:v>
      </x:c>
      <x:c r="G2327" s="12" t="n">
        <x:v>0</x:v>
      </x:c>
      <x:c r="H2327" s="1" t="n">
        <x:f>'Historical prices'!E2327</x:f>
        <x:v>1.05</x:v>
      </x:c>
      <x:c r="I2327" s="6" t="n">
        <x:f>'Historical prices'!D2327</x:f>
        <x:v>0.2426</x:v>
      </x:c>
      <x:c r="J2327" s="13" t="n">
        <x:f>D2327*I2327*H2327</x:f>
        <x:v>0</x:v>
      </x:c>
      <x:c r="K2327" s="13" t="n">
        <x:f>E2327*I2327*H2327</x:f>
        <x:v>0.0741476575</x:v>
      </x:c>
      <x:c r="L2327" s="1" t="str">
        <x:f>TEXT(A2327,"mmm yyyy")</x:f>
        <x:v>Jun 2026</x:v>
      </x:c>
    </x:row>
    <x:row r="2328" ht="21" customHeight="1">
      <x:c r="A2328" s="10" t="n">
        <x:v>46197</x:v>
      </x:c>
      <x:c r="B2328" s="1" t="n">
        <x:v>0</x:v>
      </x:c>
      <x:c r="C2328" s="1" t="n">
        <x:v>6</x:v>
      </x:c>
      <x:c r="D2328" s="12" t="n">
        <x:v>0</x:v>
      </x:c>
      <x:c r="E2328" s="12" t="n">
        <x:v>0.253</x:v>
      </x:c>
      <x:c r="F2328" s="12" t="n">
        <x:v>0.25275</x:v>
      </x:c>
      <x:c r="G2328" s="12" t="n">
        <x:v>0</x:v>
      </x:c>
      <x:c r="H2328" s="1" t="n">
        <x:f>'Historical prices'!E2328</x:f>
        <x:v>1.05</x:v>
      </x:c>
      <x:c r="I2328" s="6" t="n">
        <x:f>'Historical prices'!D2328</x:f>
        <x:v>0.2236</x:v>
      </x:c>
      <x:c r="J2328" s="13" t="n">
        <x:f>D2328*I2328*H2328</x:f>
        <x:v>0</x:v>
      </x:c>
      <x:c r="K2328" s="13" t="n">
        <x:f>E2328*I2328*H2328</x:f>
        <x:v>0.05939934</x:v>
      </x:c>
      <x:c r="L2328" s="1" t="str">
        <x:f>TEXT(A2328,"mmm yyyy")</x:f>
        <x:v>Jun 2026</x:v>
      </x:c>
    </x:row>
    <x:row r="2329" ht="21" customHeight="1">
      <x:c r="A2329" s="10" t="n">
        <x:v>46197</x:v>
      </x:c>
      <x:c r="B2329" s="1" t="n">
        <x:v>0.5</x:v>
      </x:c>
      <x:c r="C2329" s="1" t="n">
        <x:v>6</x:v>
      </x:c>
      <x:c r="D2329" s="12" t="n">
        <x:v>0.0595</x:v>
      </x:c>
      <x:c r="E2329" s="12" t="n">
        <x:v>0.23233333333333334</x:v>
      </x:c>
      <x:c r="F2329" s="12" t="n">
        <x:v>0.16575</x:v>
      </x:c>
      <x:c r="G2329" s="12" t="n">
        <x:v>0</x:v>
      </x:c>
      <x:c r="H2329" s="1" t="n">
        <x:f>'Historical prices'!E2329</x:f>
        <x:v>1.05</x:v>
      </x:c>
      <x:c r="I2329" s="6" t="n">
        <x:f>'Historical prices'!D2329</x:f>
        <x:v>0.222</x:v>
      </x:c>
      <x:c r="J2329" s="13" t="n">
        <x:f>D2329*I2329*H2329</x:f>
        <x:v>0.01386945</x:v>
      </x:c>
      <x:c r="K2329" s="13" t="n">
        <x:f>E2329*I2329*H2329</x:f>
        <x:v>0.0541569</x:v>
      </x:c>
      <x:c r="L2329" s="1" t="str">
        <x:f>TEXT(A2329,"mmm yyyy")</x:f>
        <x:v>Jun 2026</x:v>
      </x:c>
    </x:row>
    <x:row r="2330" ht="21" customHeight="1">
      <x:c r="A2330" s="10" t="n">
        <x:v>46197</x:v>
      </x:c>
      <x:c r="B2330" s="1" t="n">
        <x:v>1</x:v>
      </x:c>
      <x:c r="C2330" s="1" t="n">
        <x:v>6</x:v>
      </x:c>
      <x:c r="D2330" s="12" t="n">
        <x:v>0.19091666666666668</x:v>
      </x:c>
      <x:c r="E2330" s="12" t="n">
        <x:v>0.20191666666666663</x:v>
      </x:c>
      <x:c r="F2330" s="12" t="n">
        <x:v>0</x:v>
      </x:c>
      <x:c r="G2330" s="12" t="n">
        <x:v>0</x:v>
      </x:c>
      <x:c r="H2330" s="1" t="n">
        <x:f>'Historical prices'!E2330</x:f>
        <x:v>1.05</x:v>
      </x:c>
      <x:c r="I2330" s="6" t="n">
        <x:f>'Historical prices'!D2330</x:f>
        <x:v>0.2094</x:v>
      </x:c>
      <x:c r="J2330" s="13" t="n">
        <x:f>D2330*I2330*H2330</x:f>
        <x:v>0.041976847500000004</x:v>
      </x:c>
      <x:c r="K2330" s="13" t="n">
        <x:f>E2330*I2330*H2330</x:f>
        <x:v>0.0443954175</x:v>
      </x:c>
      <x:c r="L2330" s="1" t="str">
        <x:f>TEXT(A2330,"mmm yyyy")</x:f>
        <x:v>Jun 2026</x:v>
      </x:c>
    </x:row>
    <x:row r="2331" ht="21" customHeight="1">
      <x:c r="A2331" s="10" t="n">
        <x:v>46197</x:v>
      </x:c>
      <x:c r="B2331" s="1" t="n">
        <x:v>1.5</x:v>
      </x:c>
      <x:c r="C2331" s="1" t="n">
        <x:v>6</x:v>
      </x:c>
      <x:c r="D2331" s="12" t="n">
        <x:v>0.27075</x:v>
      </x:c>
      <x:c r="E2331" s="12" t="n">
        <x:v>0.28175</x:v>
      </x:c>
      <x:c r="F2331" s="12" t="n">
        <x:v>0</x:v>
      </x:c>
      <x:c r="G2331" s="12" t="n">
        <x:v>0</x:v>
      </x:c>
      <x:c r="H2331" s="1" t="n">
        <x:f>'Historical prices'!E2331</x:f>
        <x:v>1.05</x:v>
      </x:c>
      <x:c r="I2331" s="6" t="n">
        <x:f>'Historical prices'!D2331</x:f>
        <x:v>0.2152</x:v>
      </x:c>
      <x:c r="J2331" s="13" t="n">
        <x:f>D2331*I2331*H2331</x:f>
        <x:v>0.061178670000000004</x:v>
      </x:c>
      <x:c r="K2331" s="13" t="n">
        <x:f>E2331*I2331*H2331</x:f>
        <x:v>0.06366423</x:v>
      </x:c>
      <x:c r="L2331" s="1" t="str">
        <x:f>TEXT(A2331,"mmm yyyy")</x:f>
        <x:v>Jun 2026</x:v>
      </x:c>
    </x:row>
    <x:row r="2332" ht="21" customHeight="1">
      <x:c r="A2332" s="10" t="n">
        <x:v>46197</x:v>
      </x:c>
      <x:c r="B2332" s="1" t="n">
        <x:v>2</x:v>
      </x:c>
      <x:c r="C2332" s="1" t="n">
        <x:v>6</x:v>
      </x:c>
      <x:c r="D2332" s="12" t="n">
        <x:v>0.18200000000000002</x:v>
      </x:c>
      <x:c r="E2332" s="12" t="n">
        <x:v>0.193</x:v>
      </x:c>
      <x:c r="F2332" s="12" t="n">
        <x:v>0</x:v>
      </x:c>
      <x:c r="G2332" s="12" t="n">
        <x:v>0</x:v>
      </x:c>
      <x:c r="H2332" s="1" t="n">
        <x:f>'Historical prices'!E2332</x:f>
        <x:v>1.05</x:v>
      </x:c>
      <x:c r="I2332" s="6" t="n">
        <x:f>'Historical prices'!D2332</x:f>
        <x:v>0.20350000000000001</x:v>
      </x:c>
      <x:c r="J2332" s="13" t="n">
        <x:f>D2332*I2332*H2332</x:f>
        <x:v>0.03888885000000001</x:v>
      </x:c>
      <x:c r="K2332" s="13" t="n">
        <x:f>E2332*I2332*H2332</x:f>
        <x:v>0.041239275000000006</x:v>
      </x:c>
      <x:c r="L2332" s="1" t="str">
        <x:f>TEXT(A2332,"mmm yyyy")</x:f>
        <x:v>Jun 2026</x:v>
      </x:c>
    </x:row>
    <x:row r="2333" ht="21" customHeight="1">
      <x:c r="A2333" s="10" t="n">
        <x:v>46197</x:v>
      </x:c>
      <x:c r="B2333" s="1" t="n">
        <x:v>2.5</x:v>
      </x:c>
      <x:c r="C2333" s="1" t="n">
        <x:v>6</x:v>
      </x:c>
      <x:c r="D2333" s="12" t="n">
        <x:v>0.14491666666666667</x:v>
      </x:c>
      <x:c r="E2333" s="12" t="n">
        <x:v>0.15591666666666668</x:v>
      </x:c>
      <x:c r="F2333" s="12" t="n">
        <x:v>0</x:v>
      </x:c>
      <x:c r="G2333" s="12" t="n">
        <x:v>0</x:v>
      </x:c>
      <x:c r="H2333" s="1" t="n">
        <x:f>'Historical prices'!E2333</x:f>
        <x:v>1.05</x:v>
      </x:c>
      <x:c r="I2333" s="6" t="n">
        <x:f>'Historical prices'!D2333</x:f>
        <x:v>0.2026</x:v>
      </x:c>
      <x:c r="J2333" s="13" t="n">
        <x:f>D2333*I2333*H2333</x:f>
        <x:v>0.030828122500000003</x:v>
      </x:c>
      <x:c r="K2333" s="13" t="n">
        <x:f>E2333*I2333*H2333</x:f>
        <x:v>0.033168152500000006</x:v>
      </x:c>
      <x:c r="L2333" s="1" t="str">
        <x:f>TEXT(A2333,"mmm yyyy")</x:f>
        <x:v>Jun 2026</x:v>
      </x:c>
    </x:row>
    <x:row r="2334" ht="21" customHeight="1">
      <x:c r="A2334" s="10" t="n">
        <x:v>46197</x:v>
      </x:c>
      <x:c r="B2334" s="1" t="n">
        <x:v>3</x:v>
      </x:c>
      <x:c r="C2334" s="1" t="n">
        <x:v>6</x:v>
      </x:c>
      <x:c r="D2334" s="12" t="n">
        <x:v>0.17991666666666667</x:v>
      </x:c>
      <x:c r="E2334" s="12" t="n">
        <x:v>0.18991666666666668</x:v>
      </x:c>
      <x:c r="F2334" s="12" t="n">
        <x:v>0</x:v>
      </x:c>
      <x:c r="G2334" s="12" t="n">
        <x:v>0</x:v>
      </x:c>
      <x:c r="H2334" s="1" t="n">
        <x:f>'Historical prices'!E2334</x:f>
        <x:v>1.05</x:v>
      </x:c>
      <x:c r="I2334" s="6" t="n">
        <x:f>'Historical prices'!D2334</x:f>
        <x:v>0.20350000000000001</x:v>
      </x:c>
      <x:c r="J2334" s="13" t="n">
        <x:f>D2334*I2334*H2334</x:f>
        <x:v>0.03844369375000001</x:v>
      </x:c>
      <x:c r="K2334" s="13" t="n">
        <x:f>E2334*I2334*H2334</x:f>
        <x:v>0.04058044375000001</x:v>
      </x:c>
      <x:c r="L2334" s="1" t="str">
        <x:f>TEXT(A2334,"mmm yyyy")</x:f>
        <x:v>Jun 2026</x:v>
      </x:c>
    </x:row>
    <x:row r="2335" ht="21" customHeight="1">
      <x:c r="A2335" s="10" t="n">
        <x:v>46197</x:v>
      </x:c>
      <x:c r="B2335" s="1" t="n">
        <x:v>3.5</x:v>
      </x:c>
      <x:c r="C2335" s="1" t="n">
        <x:v>6</x:v>
      </x:c>
      <x:c r="D2335" s="12" t="n">
        <x:v>0.23866666666666664</x:v>
      </x:c>
      <x:c r="E2335" s="12" t="n">
        <x:v>0.24866666666666665</x:v>
      </x:c>
      <x:c r="F2335" s="12" t="n">
        <x:v>0</x:v>
      </x:c>
      <x:c r="G2335" s="12" t="n">
        <x:v>0</x:v>
      </x:c>
      <x:c r="H2335" s="1" t="n">
        <x:f>'Historical prices'!E2335</x:f>
        <x:v>1.05</x:v>
      </x:c>
      <x:c r="I2335" s="6" t="n">
        <x:f>'Historical prices'!D2335</x:f>
        <x:v>0.2053</x:v>
      </x:c>
      <x:c r="J2335" s="13" t="n">
        <x:f>D2335*I2335*H2335</x:f>
        <x:v>0.05144818</x:v>
      </x:c>
      <x:c r="K2335" s="13" t="n">
        <x:f>E2335*I2335*H2335</x:f>
        <x:v>0.05360383</x:v>
      </x:c>
      <x:c r="L2335" s="1" t="str">
        <x:f>TEXT(A2335,"mmm yyyy")</x:f>
        <x:v>Jun 2026</x:v>
      </x:c>
    </x:row>
    <x:row r="2336" ht="21" customHeight="1">
      <x:c r="A2336" s="10" t="n">
        <x:v>46197</x:v>
      </x:c>
      <x:c r="B2336" s="1" t="n">
        <x:v>4</x:v>
      </x:c>
      <x:c r="C2336" s="1" t="n">
        <x:v>6</x:v>
      </x:c>
      <x:c r="D2336" s="12" t="n">
        <x:v>0.19875000000000004</x:v>
      </x:c>
      <x:c r="E2336" s="12" t="n">
        <x:v>0.20875</x:v>
      </x:c>
      <x:c r="F2336" s="12" t="n">
        <x:v>0</x:v>
      </x:c>
      <x:c r="G2336" s="12" t="n">
        <x:v>0</x:v>
      </x:c>
      <x:c r="H2336" s="1" t="n">
        <x:f>'Historical prices'!E2336</x:f>
        <x:v>1.05</x:v>
      </x:c>
      <x:c r="I2336" s="6" t="n">
        <x:f>'Historical prices'!D2336</x:f>
        <x:v>0.2052</x:v>
      </x:c>
      <x:c r="J2336" s="13" t="n">
        <x:f>D2336*I2336*H2336</x:f>
        <x:v>0.04282267500000001</x:v>
      </x:c>
      <x:c r="K2336" s="13" t="n">
        <x:f>E2336*I2336*H2336</x:f>
        <x:v>0.044977275</x:v>
      </x:c>
      <x:c r="L2336" s="1" t="str">
        <x:f>TEXT(A2336,"mmm yyyy")</x:f>
        <x:v>Jun 2026</x:v>
      </x:c>
    </x:row>
    <x:row r="2337" ht="21" customHeight="1">
      <x:c r="A2337" s="10" t="n">
        <x:v>46197</x:v>
      </x:c>
      <x:c r="B2337" s="1" t="n">
        <x:v>4.5</x:v>
      </x:c>
      <x:c r="C2337" s="1" t="n">
        <x:v>6</x:v>
      </x:c>
      <x:c r="D2337" s="12" t="n">
        <x:v>0.2104166666666667</x:v>
      </x:c>
      <x:c r="E2337" s="12" t="n">
        <x:v>0.22141666666666665</x:v>
      </x:c>
      <x:c r="F2337" s="12" t="n">
        <x:v>0</x:v>
      </x:c>
      <x:c r="G2337" s="12" t="n">
        <x:v>0</x:v>
      </x:c>
      <x:c r="H2337" s="1" t="n">
        <x:f>'Historical prices'!E2337</x:f>
        <x:v>1.05</x:v>
      </x:c>
      <x:c r="I2337" s="6" t="n">
        <x:f>'Historical prices'!D2337</x:f>
        <x:v>0.20809999999999998</x:v>
      </x:c>
      <x:c r="J2337" s="13" t="n">
        <x:f>D2337*I2337*H2337</x:f>
        <x:v>0.04597709375</x:v>
      </x:c>
      <x:c r="K2337" s="13" t="n">
        <x:f>E2337*I2337*H2337</x:f>
        <x:v>0.04838064874999999</x:v>
      </x:c>
      <x:c r="L2337" s="1" t="str">
        <x:f>TEXT(A2337,"mmm yyyy")</x:f>
        <x:v>Jun 2026</x:v>
      </x:c>
    </x:row>
    <x:row r="2338" ht="21" customHeight="1">
      <x:c r="A2338" s="10" t="n">
        <x:v>46197</x:v>
      </x:c>
      <x:c r="B2338" s="1" t="n">
        <x:v>5</x:v>
      </x:c>
      <x:c r="C2338" s="1" t="n">
        <x:v>6</x:v>
      </x:c>
      <x:c r="D2338" s="12" t="n">
        <x:v>0.23091666666666666</x:v>
      </x:c>
      <x:c r="E2338" s="12" t="n">
        <x:v>0.24091666666666667</x:v>
      </x:c>
      <x:c r="F2338" s="12" t="n">
        <x:v>0</x:v>
      </x:c>
      <x:c r="G2338" s="12" t="n">
        <x:v>0</x:v>
      </x:c>
      <x:c r="H2338" s="1" t="n">
        <x:f>'Historical prices'!E2338</x:f>
        <x:v>1.05</x:v>
      </x:c>
      <x:c r="I2338" s="6" t="n">
        <x:f>'Historical prices'!D2338</x:f>
        <x:v>0.21899999999999997</x:v>
      </x:c>
      <x:c r="J2338" s="13" t="n">
        <x:f>D2338*I2338*H2338</x:f>
        <x:v>0.053099287499999995</x:v>
      </x:c>
      <x:c r="K2338" s="13" t="n">
        <x:f>E2338*I2338*H2338</x:f>
        <x:v>0.0553987875</x:v>
      </x:c>
      <x:c r="L2338" s="1" t="str">
        <x:f>TEXT(A2338,"mmm yyyy")</x:f>
        <x:v>Jun 2026</x:v>
      </x:c>
    </x:row>
    <x:row r="2339" ht="21" customHeight="1">
      <x:c r="A2339" s="10" t="n">
        <x:v>46197</x:v>
      </x:c>
      <x:c r="B2339" s="1" t="n">
        <x:v>5.5</x:v>
      </x:c>
      <x:c r="C2339" s="1" t="n">
        <x:v>6</x:v>
      </x:c>
      <x:c r="D2339" s="12" t="n">
        <x:v>0.19200000000000003</x:v>
      </x:c>
      <x:c r="E2339" s="12" t="n">
        <x:v>0.20299999999999999</x:v>
      </x:c>
      <x:c r="F2339" s="12" t="n">
        <x:v>0</x:v>
      </x:c>
      <x:c r="G2339" s="12" t="n">
        <x:v>0</x:v>
      </x:c>
      <x:c r="H2339" s="1" t="n">
        <x:f>'Historical prices'!E2339</x:f>
        <x:v>1.05</x:v>
      </x:c>
      <x:c r="I2339" s="6" t="n">
        <x:f>'Historical prices'!D2339</x:f>
        <x:v>0.222</x:v>
      </x:c>
      <x:c r="J2339" s="13" t="n">
        <x:f>D2339*I2339*H2339</x:f>
        <x:v>0.04475520000000001</x:v>
      </x:c>
      <x:c r="K2339" s="13" t="n">
        <x:f>E2339*I2339*H2339</x:f>
        <x:v>0.047319299999999995</x:v>
      </x:c>
      <x:c r="L2339" s="1" t="str">
        <x:f>TEXT(A2339,"mmm yyyy")</x:f>
        <x:v>Jun 2026</x:v>
      </x:c>
    </x:row>
    <x:row r="2340" ht="21" customHeight="1">
      <x:c r="A2340" s="10" t="n">
        <x:v>46197</x:v>
      </x:c>
      <x:c r="B2340" s="1" t="n">
        <x:v>6</x:v>
      </x:c>
      <x:c r="C2340" s="1" t="n">
        <x:v>6</x:v>
      </x:c>
      <x:c r="D2340" s="12" t="n">
        <x:v>0.042666666666666665</x:v>
      </x:c>
      <x:c r="E2340" s="12" t="n">
        <x:v>0.38766666666666666</x:v>
      </x:c>
      <x:c r="F2340" s="12" t="n">
        <x:v>0.3425833333333333</x:v>
      </x:c>
      <x:c r="G2340" s="12" t="n">
        <x:v>0</x:v>
      </x:c>
      <x:c r="H2340" s="1" t="n">
        <x:f>'Historical prices'!E2340</x:f>
        <x:v>1.05</x:v>
      </x:c>
      <x:c r="I2340" s="6" t="n">
        <x:f>'Historical prices'!D2340</x:f>
        <x:v>0.239</x:v>
      </x:c>
      <x:c r="J2340" s="13" t="n">
        <x:f>D2340*I2340*H2340</x:f>
        <x:v>0.0107072</x:v>
      </x:c>
      <x:c r="K2340" s="13" t="n">
        <x:f>E2340*I2340*H2340</x:f>
        <x:v>0.09728495</x:v>
      </x:c>
      <x:c r="L2340" s="1" t="str">
        <x:f>TEXT(A2340,"mmm yyyy")</x:f>
        <x:v>Jun 2026</x:v>
      </x:c>
    </x:row>
    <x:row r="2341" ht="21" customHeight="1">
      <x:c r="A2341" s="10" t="n">
        <x:v>46197</x:v>
      </x:c>
      <x:c r="B2341" s="1" t="n">
        <x:v>6.5</x:v>
      </x:c>
      <x:c r="C2341" s="1" t="n">
        <x:v>6</x:v>
      </x:c>
      <x:c r="D2341" s="12" t="n">
        <x:v>0</x:v>
      </x:c>
      <x:c r="E2341" s="12" t="n">
        <x:v>0.2980833333333333</x:v>
      </x:c>
      <x:c r="F2341" s="12" t="n">
        <x:v>0.298</x:v>
      </x:c>
      <x:c r="G2341" s="12" t="n">
        <x:v>0</x:v>
      </x:c>
      <x:c r="H2341" s="1" t="n">
        <x:f>'Historical prices'!E2341</x:f>
        <x:v>1.05</x:v>
      </x:c>
      <x:c r="I2341" s="6" t="n">
        <x:f>'Historical prices'!D2341</x:f>
        <x:v>0.2587</x:v>
      </x:c>
      <x:c r="J2341" s="13" t="n">
        <x:f>D2341*I2341*H2341</x:f>
        <x:v>0</x:v>
      </x:c>
      <x:c r="K2341" s="13" t="n">
        <x:f>E2341*I2341*H2341</x:f>
        <x:v>0.08096986625</x:v>
      </x:c>
      <x:c r="L2341" s="1" t="str">
        <x:f>TEXT(A2341,"mmm yyyy")</x:f>
        <x:v>Jun 2026</x:v>
      </x:c>
    </x:row>
    <x:row r="2342" ht="21" customHeight="1">
      <x:c r="A2342" s="10" t="n">
        <x:v>46197</x:v>
      </x:c>
      <x:c r="B2342" s="1" t="n">
        <x:v>7</x:v>
      </x:c>
      <x:c r="C2342" s="1" t="n">
        <x:v>6</x:v>
      </x:c>
      <x:c r="D2342" s="12" t="n">
        <x:v>0</x:v>
      </x:c>
      <x:c r="E2342" s="12" t="n">
        <x:v>0.23358333333333334</x:v>
      </x:c>
      <x:c r="F2342" s="12" t="n">
        <x:v>0.23191666666666666</x:v>
      </x:c>
      <x:c r="G2342" s="12" t="n">
        <x:v>0</x:v>
      </x:c>
      <x:c r="H2342" s="1" t="n">
        <x:f>'Historical prices'!E2342</x:f>
        <x:v>1.05</x:v>
      </x:c>
      <x:c r="I2342" s="6" t="n">
        <x:f>'Historical prices'!D2342</x:f>
        <x:v>0.2332</x:v>
      </x:c>
      <x:c r="J2342" s="13" t="n">
        <x:f>D2342*I2342*H2342</x:f>
        <x:v>0</x:v>
      </x:c>
      <x:c r="K2342" s="13" t="n">
        <x:f>E2342*I2342*H2342</x:f>
        <x:v>0.057195215</x:v>
      </x:c>
      <x:c r="L2342" s="1" t="str">
        <x:f>TEXT(A2342,"mmm yyyy")</x:f>
        <x:v>Jun 2026</x:v>
      </x:c>
    </x:row>
    <x:row r="2343" ht="21" customHeight="1">
      <x:c r="A2343" s="10" t="n">
        <x:v>46197</x:v>
      </x:c>
      <x:c r="B2343" s="1" t="n">
        <x:v>7.5</x:v>
      </x:c>
      <x:c r="C2343" s="1" t="n">
        <x:v>6</x:v>
      </x:c>
      <x:c r="D2343" s="12" t="n">
        <x:v>0</x:v>
      </x:c>
      <x:c r="E2343" s="12" t="n">
        <x:v>0.23266666666666666</x:v>
      </x:c>
      <x:c r="F2343" s="12" t="n">
        <x:v>0.2325</x:v>
      </x:c>
      <x:c r="G2343" s="12" t="n">
        <x:v>0</x:v>
      </x:c>
      <x:c r="H2343" s="1" t="n">
        <x:f>'Historical prices'!E2343</x:f>
        <x:v>1.05</x:v>
      </x:c>
      <x:c r="I2343" s="6" t="n">
        <x:f>'Historical prices'!D2343</x:f>
        <x:v>0.2432</x:v>
      </x:c>
      <x:c r="J2343" s="13" t="n">
        <x:f>D2343*I2343*H2343</x:f>
        <x:v>0</x:v>
      </x:c>
      <x:c r="K2343" s="13" t="n">
        <x:f>E2343*I2343*H2343</x:f>
        <x:v>0.05941376</x:v>
      </x:c>
      <x:c r="L2343" s="1" t="str">
        <x:f>TEXT(A2343,"mmm yyyy")</x:f>
        <x:v>Jun 2026</x:v>
      </x:c>
    </x:row>
    <x:row r="2344" ht="21" customHeight="1">
      <x:c r="A2344" s="10" t="n">
        <x:v>46197</x:v>
      </x:c>
      <x:c r="B2344" s="1" t="n">
        <x:v>8</x:v>
      </x:c>
      <x:c r="C2344" s="1" t="n">
        <x:v>6</x:v>
      </x:c>
      <x:c r="D2344" s="12" t="n">
        <x:v>0.19300000000000003</x:v>
      </x:c>
      <x:c r="E2344" s="12" t="n">
        <x:v>0.243</x:v>
      </x:c>
      <x:c r="F2344" s="12" t="n">
        <x:v>0.04</x:v>
      </x:c>
      <x:c r="G2344" s="12" t="n">
        <x:v>0</x:v>
      </x:c>
      <x:c r="H2344" s="1" t="n">
        <x:f>'Historical prices'!E2344</x:f>
        <x:v>1.05</x:v>
      </x:c>
      <x:c r="I2344" s="6" t="n">
        <x:f>'Historical prices'!D2344</x:f>
        <x:v>0.1928</x:v>
      </x:c>
      <x:c r="J2344" s="13" t="n">
        <x:f>D2344*I2344*H2344</x:f>
        <x:v>0.03907092000000001</x:v>
      </x:c>
      <x:c r="K2344" s="13" t="n">
        <x:f>E2344*I2344*H2344</x:f>
        <x:v>0.04919292</x:v>
      </x:c>
      <x:c r="L2344" s="1" t="str">
        <x:f>TEXT(A2344,"mmm yyyy")</x:f>
        <x:v>Jun 2026</x:v>
      </x:c>
    </x:row>
    <x:row r="2345" ht="21" customHeight="1">
      <x:c r="A2345" s="10" t="n">
        <x:v>46197</x:v>
      </x:c>
      <x:c r="B2345" s="1" t="n">
        <x:v>8.5</x:v>
      </x:c>
      <x:c r="C2345" s="1" t="n">
        <x:v>6</x:v>
      </x:c>
      <x:c r="D2345" s="12" t="n">
        <x:v>0.2070833333333333</x:v>
      </x:c>
      <x:c r="E2345" s="12" t="n">
        <x:v>0.21808333333333332</x:v>
      </x:c>
      <x:c r="F2345" s="12" t="n">
        <x:v>0</x:v>
      </x:c>
      <x:c r="G2345" s="12" t="n">
        <x:v>0</x:v>
      </x:c>
      <x:c r="H2345" s="1" t="n">
        <x:f>'Historical prices'!E2345</x:f>
        <x:v>1.05</x:v>
      </x:c>
      <x:c r="I2345" s="6" t="n">
        <x:f>'Historical prices'!D2345</x:f>
        <x:v>0.1838</x:v>
      </x:c>
      <x:c r="J2345" s="13" t="n">
        <x:f>D2345*I2345*H2345</x:f>
        <x:v>0.039965012499999994</x:v>
      </x:c>
      <x:c r="K2345" s="13" t="n">
        <x:f>E2345*I2345*H2345</x:f>
        <x:v>0.0420879025</x:v>
      </x:c>
      <x:c r="L2345" s="1" t="str">
        <x:f>TEXT(A2345,"mmm yyyy")</x:f>
        <x:v>Jun 2026</x:v>
      </x:c>
    </x:row>
    <x:row r="2346" ht="21" customHeight="1">
      <x:c r="A2346" s="10" t="n">
        <x:v>46197</x:v>
      </x:c>
      <x:c r="B2346" s="1" t="n">
        <x:v>9</x:v>
      </x:c>
      <x:c r="C2346" s="1" t="n">
        <x:v>6</x:v>
      </x:c>
      <x:c r="D2346" s="12" t="n">
        <x:v>0.029</x:v>
      </x:c>
      <x:c r="E2346" s="12" t="n">
        <x:v>0.241</x:v>
      </x:c>
      <x:c r="F2346" s="12" t="n">
        <x:v>0.20975</x:v>
      </x:c>
      <x:c r="G2346" s="12" t="n">
        <x:v>0</x:v>
      </x:c>
      <x:c r="H2346" s="1" t="n">
        <x:f>'Historical prices'!E2346</x:f>
        <x:v>1.05</x:v>
      </x:c>
      <x:c r="I2346" s="6" t="n">
        <x:f>'Historical prices'!D2346</x:f>
        <x:v>0.1934</x:v>
      </x:c>
      <x:c r="J2346" s="13" t="n">
        <x:f>D2346*I2346*H2346</x:f>
        <x:v>0.00588903</x:v>
      </x:c>
      <x:c r="K2346" s="13" t="n">
        <x:f>E2346*I2346*H2346</x:f>
        <x:v>0.048939869999999996</x:v>
      </x:c>
      <x:c r="L2346" s="1" t="str">
        <x:f>TEXT(A2346,"mmm yyyy")</x:f>
        <x:v>Jun 2026</x:v>
      </x:c>
    </x:row>
    <x:row r="2347" ht="21" customHeight="1">
      <x:c r="A2347" s="10" t="n">
        <x:v>46197</x:v>
      </x:c>
      <x:c r="B2347" s="1" t="n">
        <x:v>9.5</x:v>
      </x:c>
      <x:c r="C2347" s="1" t="n">
        <x:v>6</x:v>
      </x:c>
      <x:c r="D2347" s="12" t="n">
        <x:v>0.2519166666666667</x:v>
      </x:c>
      <x:c r="E2347" s="12" t="n">
        <x:v>0.2611666666666667</x:v>
      </x:c>
      <x:c r="F2347" s="12" t="n">
        <x:v>0.09083333333333334</x:v>
      </x:c>
      <x:c r="G2347" s="12" t="n">
        <x:v>0.083</x:v>
      </x:c>
      <x:c r="H2347" s="1" t="n">
        <x:f>'Historical prices'!E2347</x:f>
        <x:v>1.05</x:v>
      </x:c>
      <x:c r="I2347" s="6" t="n">
        <x:f>'Historical prices'!D2347</x:f>
        <x:v>0.185</x:v>
      </x:c>
      <x:c r="J2347" s="13" t="n">
        <x:f>D2347*I2347*H2347</x:f>
        <x:v>0.04893481250000001</x:v>
      </x:c>
      <x:c r="K2347" s="13" t="n">
        <x:f>E2347*I2347*H2347</x:f>
        <x:v>0.05073162500000001</x:v>
      </x:c>
      <x:c r="L2347" s="1" t="str">
        <x:f>TEXT(A2347,"mmm yyyy")</x:f>
        <x:v>Jun 2026</x:v>
      </x:c>
    </x:row>
    <x:row r="2348" ht="21" customHeight="1">
      <x:c r="A2348" s="10" t="n">
        <x:v>46197</x:v>
      </x:c>
      <x:c r="B2348" s="1" t="n">
        <x:v>10</x:v>
      </x:c>
      <x:c r="C2348" s="1" t="n">
        <x:v>6</x:v>
      </x:c>
      <x:c r="D2348" s="12" t="n">
        <x:v>0.19658333333333333</x:v>
      </x:c>
      <x:c r="E2348" s="12" t="n">
        <x:v>0.19858333333333333</x:v>
      </x:c>
      <x:c r="F2348" s="12" t="n">
        <x:v>0</x:v>
      </x:c>
      <x:c r="G2348" s="12" t="n">
        <x:v>0</x:v>
      </x:c>
      <x:c r="H2348" s="1" t="n">
        <x:f>'Historical prices'!E2348</x:f>
        <x:v>1.05</x:v>
      </x:c>
      <x:c r="I2348" s="6" t="n">
        <x:f>'Historical prices'!D2348</x:f>
        <x:v>0.1534</x:v>
      </x:c>
      <x:c r="J2348" s="13" t="n">
        <x:f>D2348*I2348*H2348</x:f>
        <x:v>0.0316636775</x:v>
      </x:c>
      <x:c r="K2348" s="13" t="n">
        <x:f>E2348*I2348*H2348</x:f>
        <x:v>0.0319858175</x:v>
      </x:c>
      <x:c r="L2348" s="1" t="str">
        <x:f>TEXT(A2348,"mmm yyyy")</x:f>
        <x:v>Jun 2026</x:v>
      </x:c>
    </x:row>
    <x:row r="2349" ht="21" customHeight="1">
      <x:c r="A2349" s="10" t="n">
        <x:v>46197</x:v>
      </x:c>
      <x:c r="B2349" s="1" t="n">
        <x:v>10.5</x:v>
      </x:c>
      <x:c r="C2349" s="1" t="n">
        <x:v>6</x:v>
      </x:c>
      <x:c r="D2349" s="12" t="n">
        <x:v>0.2555</x:v>
      </x:c>
      <x:c r="E2349" s="12" t="n">
        <x:v>0.2595</x:v>
      </x:c>
      <x:c r="F2349" s="12" t="n">
        <x:v>0</x:v>
      </x:c>
      <x:c r="G2349" s="12" t="n">
        <x:v>0</x:v>
      </x:c>
      <x:c r="H2349" s="1" t="n">
        <x:f>'Historical prices'!E2349</x:f>
        <x:v>1.05</x:v>
      </x:c>
      <x:c r="I2349" s="6" t="n">
        <x:f>'Historical prices'!D2349</x:f>
        <x:v>0.1577</x:v>
      </x:c>
      <x:c r="J2349" s="13" t="n">
        <x:f>D2349*I2349*H2349</x:f>
        <x:v>0.04230696750000001</x:v>
      </x:c>
      <x:c r="K2349" s="13" t="n">
        <x:f>E2349*I2349*H2349</x:f>
        <x:v>0.042969307500000005</x:v>
      </x:c>
      <x:c r="L2349" s="1" t="str">
        <x:f>TEXT(A2349,"mmm yyyy")</x:f>
        <x:v>Jun 2026</x:v>
      </x:c>
    </x:row>
    <x:row r="2350" ht="21" customHeight="1">
      <x:c r="A2350" s="10" t="n">
        <x:v>46197</x:v>
      </x:c>
      <x:c r="B2350" s="1" t="n">
        <x:v>11</x:v>
      </x:c>
      <x:c r="C2350" s="1" t="n">
        <x:v>6</x:v>
      </x:c>
      <x:c r="D2350" s="12" t="n">
        <x:v>1.5117500000000001</x:v>
      </x:c>
      <x:c r="E2350" s="12" t="n">
        <x:v>0.41874999999999996</x:v>
      </x:c>
      <x:c r="F2350" s="12" t="n">
        <x:v>0</x:v>
      </x:c>
      <x:c r="G2350" s="12" t="n">
        <x:v>1.0939999999999999</x:v>
      </x:c>
      <x:c r="H2350" s="1" t="n">
        <x:f>'Historical prices'!E2350</x:f>
        <x:v>1.05</x:v>
      </x:c>
      <x:c r="I2350" s="6" t="n">
        <x:f>'Historical prices'!D2350</x:f>
        <x:v>0.1451</x:v>
      </x:c>
      <x:c r="J2350" s="13" t="n">
        <x:f>D2350*I2350*H2350</x:f>
        <x:v>0.23032267125000006</x:v>
      </x:c>
      <x:c r="K2350" s="13" t="n">
        <x:f>E2350*I2350*H2350</x:f>
        <x:v>0.06379865625</x:v>
      </x:c>
      <x:c r="L2350" s="1" t="str">
        <x:f>TEXT(A2350,"mmm yyyy")</x:f>
        <x:v>Jun 2026</x:v>
      </x:c>
    </x:row>
    <x:row r="2351" ht="21" customHeight="1">
      <x:c r="A2351" s="10" t="n">
        <x:v>46197</x:v>
      </x:c>
      <x:c r="B2351" s="1" t="n">
        <x:v>11.5</x:v>
      </x:c>
      <x:c r="C2351" s="1" t="n">
        <x:v>6</x:v>
      </x:c>
      <x:c r="D2351" s="12" t="n">
        <x:v>0.7578333333333334</x:v>
      </x:c>
      <x:c r="E2351" s="12" t="n">
        <x:v>0.19583333333333333</x:v>
      </x:c>
      <x:c r="F2351" s="12" t="n">
        <x:v>0</x:v>
      </x:c>
      <x:c r="G2351" s="12" t="n">
        <x:v>0.568</x:v>
      </x:c>
      <x:c r="H2351" s="1" t="n">
        <x:f>'Historical prices'!E2351</x:f>
        <x:v>1.05</x:v>
      </x:c>
      <x:c r="I2351" s="6" t="n">
        <x:f>'Historical prices'!D2351</x:f>
        <x:v>0.1451</x:v>
      </x:c>
      <x:c r="J2351" s="13" t="n">
        <x:f>D2351*I2351*H2351</x:f>
        <x:v>0.11545969750000001</x:v>
      </x:c>
      <x:c r="K2351" s="13" t="n">
        <x:f>E2351*I2351*H2351</x:f>
        <x:v>0.029836187500000003</x:v>
      </x:c>
      <x:c r="L2351" s="1" t="str">
        <x:f>TEXT(A2351,"mmm yyyy")</x:f>
        <x:v>Jun 2026</x:v>
      </x:c>
    </x:row>
    <x:row r="2352" ht="21" customHeight="1">
      <x:c r="A2352" s="10" t="n">
        <x:v>46197</x:v>
      </x:c>
      <x:c r="B2352" s="1" t="n">
        <x:v>12</x:v>
      </x:c>
      <x:c r="C2352" s="1" t="n">
        <x:v>6</x:v>
      </x:c>
      <x:c r="D2352" s="12" t="n">
        <x:v>0.16475</x:v>
      </x:c>
      <x:c r="E2352" s="12" t="n">
        <x:v>0.17575</x:v>
      </x:c>
      <x:c r="F2352" s="12" t="n">
        <x:v>0</x:v>
      </x:c>
      <x:c r="G2352" s="12" t="n">
        <x:v>0</x:v>
      </x:c>
      <x:c r="H2352" s="1" t="n">
        <x:f>'Historical prices'!E2352</x:f>
        <x:v>1.05</x:v>
      </x:c>
      <x:c r="I2352" s="6" t="n">
        <x:f>'Historical prices'!D2352</x:f>
        <x:v>0.1451</x:v>
      </x:c>
      <x:c r="J2352" s="13" t="n">
        <x:f>D2352*I2352*H2352</x:f>
        <x:v>0.025100486250000005</x:v>
      </x:c>
      <x:c r="K2352" s="13" t="n">
        <x:f>E2352*I2352*H2352</x:f>
        <x:v>0.02677639125</x:v>
      </x:c>
      <x:c r="L2352" s="1" t="str">
        <x:f>TEXT(A2352,"mmm yyyy")</x:f>
        <x:v>Jun 2026</x:v>
      </x:c>
    </x:row>
    <x:row r="2353" ht="21" customHeight="1">
      <x:c r="A2353" s="10" t="n">
        <x:v>46197</x:v>
      </x:c>
      <x:c r="B2353" s="1" t="n">
        <x:v>12.5</x:v>
      </x:c>
      <x:c r="C2353" s="1" t="n">
        <x:v>6</x:v>
      </x:c>
      <x:c r="D2353" s="12" t="n">
        <x:v>0.17883333333333334</x:v>
      </x:c>
      <x:c r="E2353" s="12" t="n">
        <x:v>0.18883333333333335</x:v>
      </x:c>
      <x:c r="F2353" s="12" t="n">
        <x:v>0</x:v>
      </x:c>
      <x:c r="G2353" s="12" t="n">
        <x:v>0</x:v>
      </x:c>
      <x:c r="H2353" s="1" t="n">
        <x:f>'Historical prices'!E2353</x:f>
        <x:v>1.05</x:v>
      </x:c>
      <x:c r="I2353" s="6" t="n">
        <x:f>'Historical prices'!D2353</x:f>
        <x:v>0.1451</x:v>
      </x:c>
      <x:c r="J2353" s="13" t="n">
        <x:f>D2353*I2353*H2353</x:f>
        <x:v>0.027246152500000006</x:v>
      </x:c>
      <x:c r="K2353" s="13" t="n">
        <x:f>E2353*I2353*H2353</x:f>
        <x:v>0.028769702500000004</x:v>
      </x:c>
      <x:c r="L2353" s="1" t="str">
        <x:f>TEXT(A2353,"mmm yyyy")</x:f>
        <x:v>Jun 2026</x:v>
      </x:c>
    </x:row>
    <x:row r="2354" ht="21" customHeight="1">
      <x:c r="A2354" s="10" t="n">
        <x:v>46197</x:v>
      </x:c>
      <x:c r="B2354" s="1" t="n">
        <x:v>13</x:v>
      </x:c>
      <x:c r="C2354" s="1" t="n">
        <x:v>6</x:v>
      </x:c>
      <x:c r="D2354" s="12" t="n">
        <x:v>0.2358333333333333</x:v>
      </x:c>
      <x:c r="E2354" s="12" t="n">
        <x:v>0.22183333333333335</x:v>
      </x:c>
      <x:c r="F2354" s="12" t="n">
        <x:v>0</x:v>
      </x:c>
      <x:c r="G2354" s="12" t="n">
        <x:v>0.020999999999999998</x:v>
      </x:c>
      <x:c r="H2354" s="1" t="n">
        <x:f>'Historical prices'!E2354</x:f>
        <x:v>1.05</x:v>
      </x:c>
      <x:c r="I2354" s="6" t="n">
        <x:f>'Historical prices'!D2354</x:f>
        <x:v>0.1451</x:v>
      </x:c>
      <x:c r="J2354" s="13" t="n">
        <x:f>D2354*I2354*H2354</x:f>
        <x:v>0.035930387499999994</x:v>
      </x:c>
      <x:c r="K2354" s="13" t="n">
        <x:f>E2354*I2354*H2354</x:f>
        <x:v>0.03379741750000001</x:v>
      </x:c>
      <x:c r="L2354" s="1" t="str">
        <x:f>TEXT(A2354,"mmm yyyy")</x:f>
        <x:v>Jun 2026</x:v>
      </x:c>
    </x:row>
    <x:row r="2355" ht="21" customHeight="1">
      <x:c r="A2355" s="10" t="n">
        <x:v>46197</x:v>
      </x:c>
      <x:c r="B2355" s="1" t="n">
        <x:v>13.5</x:v>
      </x:c>
      <x:c r="C2355" s="1" t="n">
        <x:v>6</x:v>
      </x:c>
      <x:c r="D2355" s="12" t="n">
        <x:v>4.448583333333334</x:v>
      </x:c>
      <x:c r="E2355" s="12" t="n">
        <x:v>0.45658333333333334</x:v>
      </x:c>
      <x:c r="F2355" s="12" t="n">
        <x:v>0</x:v>
      </x:c>
      <x:c r="G2355" s="12" t="n">
        <x:v>3.992</x:v>
      </x:c>
      <x:c r="H2355" s="1" t="n">
        <x:f>'Historical prices'!E2355</x:f>
        <x:v>1.05</x:v>
      </x:c>
      <x:c r="I2355" s="6" t="n">
        <x:f>'Historical prices'!D2355</x:f>
        <x:v>0.1409</x:v>
      </x:c>
      <x:c r="J2355" s="13" t="n">
        <x:f>D2355*I2355*H2355</x:f>
        <x:v>0.6581456612500001</x:v>
      </x:c>
      <x:c r="K2355" s="13" t="n">
        <x:f>E2355*I2355*H2355</x:f>
        <x:v>0.06754922125</x:v>
      </x:c>
      <x:c r="L2355" s="1" t="str">
        <x:f>TEXT(A2355,"mmm yyyy")</x:f>
        <x:v>Jun 2026</x:v>
      </x:c>
    </x:row>
    <x:row r="2356" ht="21" customHeight="1">
      <x:c r="A2356" s="10" t="n">
        <x:v>46197</x:v>
      </x:c>
      <x:c r="B2356" s="1" t="n">
        <x:v>14</x:v>
      </x:c>
      <x:c r="C2356" s="1" t="n">
        <x:v>6</x:v>
      </x:c>
      <x:c r="D2356" s="12" t="n">
        <x:v>1.10575</x:v>
      </x:c>
      <x:c r="E2356" s="12" t="n">
        <x:v>0.26775000000000004</x:v>
      </x:c>
      <x:c r="F2356" s="12" t="n">
        <x:v>0</x:v>
      </x:c>
      <x:c r="G2356" s="12" t="n">
        <x:v>0.8420000000000001</x:v>
      </x:c>
      <x:c r="H2356" s="1" t="n">
        <x:f>'Historical prices'!E2356</x:f>
        <x:v>1.05</x:v>
      </x:c>
      <x:c r="I2356" s="6" t="n">
        <x:f>'Historical prices'!D2356</x:f>
        <x:v>0.1451</x:v>
      </x:c>
      <x:c r="J2356" s="13" t="n">
        <x:f>D2356*I2356*H2356</x:f>
        <x:v>0.16846654125000002</x:v>
      </x:c>
      <x:c r="K2356" s="13" t="n">
        <x:f>E2356*I2356*H2356</x:f>
        <x:v>0.04079305125000001</x:v>
      </x:c>
      <x:c r="L2356" s="1" t="str">
        <x:f>TEXT(A2356,"mmm yyyy")</x:f>
        <x:v>Jun 2026</x:v>
      </x:c>
    </x:row>
    <x:row r="2357" ht="21" customHeight="1">
      <x:c r="A2357" s="10" t="n">
        <x:v>46197</x:v>
      </x:c>
      <x:c r="B2357" s="1" t="n">
        <x:v>14.5</x:v>
      </x:c>
      <x:c r="C2357" s="1" t="n">
        <x:v>6</x:v>
      </x:c>
      <x:c r="D2357" s="12" t="n">
        <x:v>0.16416666666666666</x:v>
      </x:c>
      <x:c r="E2357" s="12" t="n">
        <x:v>0.17516666666666666</x:v>
      </x:c>
      <x:c r="F2357" s="12" t="n">
        <x:v>0</x:v>
      </x:c>
      <x:c r="G2357" s="12" t="n">
        <x:v>0</x:v>
      </x:c>
      <x:c r="H2357" s="1" t="n">
        <x:f>'Historical prices'!E2357</x:f>
        <x:v>1.05</x:v>
      </x:c>
      <x:c r="I2357" s="6" t="n">
        <x:f>'Historical prices'!D2357</x:f>
        <x:v>0.1451</x:v>
      </x:c>
      <x:c r="J2357" s="13" t="n">
        <x:f>D2357*I2357*H2357</x:f>
        <x:v>0.0250116125</x:v>
      </x:c>
      <x:c r="K2357" s="13" t="n">
        <x:f>E2357*I2357*H2357</x:f>
        <x:v>0.026687517500000004</x:v>
      </x:c>
      <x:c r="L2357" s="1" t="str">
        <x:f>TEXT(A2357,"mmm yyyy")</x:f>
        <x:v>Jun 2026</x:v>
      </x:c>
    </x:row>
    <x:row r="2358" ht="21" customHeight="1">
      <x:c r="A2358" s="10" t="n">
        <x:v>46197</x:v>
      </x:c>
      <x:c r="B2358" s="1" t="n">
        <x:v>15</x:v>
      </x:c>
      <x:c r="C2358" s="1" t="n">
        <x:v>6</x:v>
      </x:c>
      <x:c r="D2358" s="12" t="n">
        <x:v>0.08375</x:v>
      </x:c>
      <x:c r="E2358" s="12" t="n">
        <x:v>0.15791666666666668</x:v>
      </x:c>
      <x:c r="F2358" s="12" t="n">
        <x:v>0.065</x:v>
      </x:c>
      <x:c r="G2358" s="12" t="n">
        <x:v>0</x:v>
      </x:c>
      <x:c r="H2358" s="1" t="n">
        <x:f>'Historical prices'!E2358</x:f>
        <x:v>1.05</x:v>
      </x:c>
      <x:c r="I2358" s="6" t="n">
        <x:f>'Historical prices'!D2358</x:f>
        <x:v>0.1734</x:v>
      </x:c>
      <x:c r="J2358" s="13" t="n">
        <x:f>D2358*I2358*H2358</x:f>
        <x:v>0.015248362500000001</x:v>
      </x:c>
      <x:c r="K2358" s="13" t="n">
        <x:f>E2358*I2358*H2358</x:f>
        <x:v>0.028751887500000003</x:v>
      </x:c>
      <x:c r="L2358" s="1" t="str">
        <x:f>TEXT(A2358,"mmm yyyy")</x:f>
        <x:v>Jun 2026</x:v>
      </x:c>
    </x:row>
    <x:row r="2359" ht="21" customHeight="1">
      <x:c r="A2359" s="10" t="n">
        <x:v>46197</x:v>
      </x:c>
      <x:c r="B2359" s="1" t="n">
        <x:v>15.5</x:v>
      </x:c>
      <x:c r="C2359" s="1" t="n">
        <x:v>6</x:v>
      </x:c>
      <x:c r="D2359" s="12" t="n">
        <x:v>0.10891666666666666</x:v>
      </x:c>
      <x:c r="E2359" s="12" t="n">
        <x:v>0.24691666666666667</x:v>
      </x:c>
      <x:c r="F2359" s="12" t="n">
        <x:v>0.13191666666666668</x:v>
      </x:c>
      <x:c r="G2359" s="12" t="n">
        <x:v>0</x:v>
      </x:c>
      <x:c r="H2359" s="1" t="n">
        <x:f>'Historical prices'!E2359</x:f>
        <x:v>1.05</x:v>
      </x:c>
      <x:c r="I2359" s="6" t="n">
        <x:f>'Historical prices'!D2359</x:f>
        <x:v>0.1641</x:v>
      </x:c>
      <x:c r="J2359" s="13" t="n">
        <x:f>D2359*I2359*H2359</x:f>
        <x:v>0.01876688625</x:v>
      </x:c>
      <x:c r="K2359" s="13" t="n">
        <x:f>E2359*I2359*H2359</x:f>
        <x:v>0.042544976250000005</x:v>
      </x:c>
      <x:c r="L2359" s="1" t="str">
        <x:f>TEXT(A2359,"mmm yyyy")</x:f>
        <x:v>Jun 2026</x:v>
      </x:c>
    </x:row>
    <x:row r="2360" ht="21" customHeight="1">
      <x:c r="A2360" s="10" t="n">
        <x:v>46197</x:v>
      </x:c>
      <x:c r="B2360" s="1" t="n">
        <x:v>16</x:v>
      </x:c>
      <x:c r="C2360" s="1" t="n">
        <x:v>6</x:v>
      </x:c>
      <x:c r="D2360" s="12" t="n">
        <x:v>0</x:v>
      </x:c>
      <x:c r="E2360" s="12" t="n">
        <x:v>0.35958333333333337</x:v>
      </x:c>
      <x:c r="F2360" s="12" t="n">
        <x:v>0.35958333333333337</x:v>
      </x:c>
      <x:c r="G2360" s="12" t="n">
        <x:v>0</x:v>
      </x:c>
      <x:c r="H2360" s="1" t="n">
        <x:f>'Historical prices'!E2360</x:f>
        <x:v>1.05</x:v>
      </x:c>
      <x:c r="I2360" s="6" t="n">
        <x:f>'Historical prices'!D2360</x:f>
        <x:v>0.305</x:v>
      </x:c>
      <x:c r="J2360" s="13" t="n">
        <x:f>D2360*I2360*H2360</x:f>
        <x:v>0</x:v>
      </x:c>
      <x:c r="K2360" s="13" t="n">
        <x:f>E2360*I2360*H2360</x:f>
        <x:v>0.11515656250000002</x:v>
      </x:c>
      <x:c r="L2360" s="1" t="str">
        <x:f>TEXT(A2360,"mmm yyyy")</x:f>
        <x:v>Jun 2026</x:v>
      </x:c>
    </x:row>
    <x:row r="2361" ht="21" customHeight="1">
      <x:c r="A2361" s="10" t="n">
        <x:v>46197</x:v>
      </x:c>
      <x:c r="B2361" s="1" t="n">
        <x:v>16.5</x:v>
      </x:c>
      <x:c r="C2361" s="1" t="n">
        <x:v>6</x:v>
      </x:c>
      <x:c r="D2361" s="12" t="n">
        <x:v>0</x:v>
      </x:c>
      <x:c r="E2361" s="12" t="n">
        <x:v>0.241</x:v>
      </x:c>
      <x:c r="F2361" s="12" t="n">
        <x:v>0.24083333333333334</x:v>
      </x:c>
      <x:c r="G2361" s="12" t="n">
        <x:v>0</x:v>
      </x:c>
      <x:c r="H2361" s="1" t="n">
        <x:f>'Historical prices'!E2361</x:f>
        <x:v>1.05</x:v>
      </x:c>
      <x:c r="I2361" s="6" t="n">
        <x:f>'Historical prices'!D2361</x:f>
        <x:v>0.32939999999999997</x:v>
      </x:c>
      <x:c r="J2361" s="13" t="n">
        <x:f>D2361*I2361*H2361</x:f>
        <x:v>0</x:v>
      </x:c>
      <x:c r="K2361" s="13" t="n">
        <x:f>E2361*I2361*H2361</x:f>
        <x:v>0.08335466999999999</x:v>
      </x:c>
      <x:c r="L2361" s="1" t="str">
        <x:f>TEXT(A2361,"mmm yyyy")</x:f>
        <x:v>Jun 2026</x:v>
      </x:c>
    </x:row>
    <x:row r="2362" ht="21" customHeight="1">
      <x:c r="A2362" s="10" t="n">
        <x:v>46197</x:v>
      </x:c>
      <x:c r="B2362" s="1" t="n">
        <x:v>17</x:v>
      </x:c>
      <x:c r="C2362" s="1" t="n">
        <x:v>6</x:v>
      </x:c>
      <x:c r="D2362" s="12" t="n">
        <x:v>0</x:v>
      </x:c>
      <x:c r="E2362" s="12" t="n">
        <x:v>0.23483333333333334</x:v>
      </x:c>
      <x:c r="F2362" s="12" t="n">
        <x:v>0.2346666666666667</x:v>
      </x:c>
      <x:c r="G2362" s="12" t="n">
        <x:v>0</x:v>
      </x:c>
      <x:c r="H2362" s="1" t="n">
        <x:f>'Historical prices'!E2362</x:f>
        <x:v>1.05</x:v>
      </x:c>
      <x:c r="I2362" s="6" t="n">
        <x:f>'Historical prices'!D2362</x:f>
        <x:v>0.42719999999999997</x:v>
      </x:c>
      <x:c r="J2362" s="13" t="n">
        <x:f>D2362*I2362*H2362</x:f>
        <x:v>0</x:v>
      </x:c>
      <x:c r="K2362" s="13" t="n">
        <x:f>E2362*I2362*H2362</x:f>
        <x:v>0.10533684</x:v>
      </x:c>
      <x:c r="L2362" s="1" t="str">
        <x:f>TEXT(A2362,"mmm yyyy")</x:f>
        <x:v>Jun 2026</x:v>
      </x:c>
    </x:row>
    <x:row r="2363" ht="21" customHeight="1">
      <x:c r="A2363" s="10" t="n">
        <x:v>46197</x:v>
      </x:c>
      <x:c r="B2363" s="1" t="n">
        <x:v>17.5</x:v>
      </x:c>
      <x:c r="C2363" s="1" t="n">
        <x:v>6</x:v>
      </x:c>
      <x:c r="D2363" s="12" t="n">
        <x:v>0</x:v>
      </x:c>
      <x:c r="E2363" s="12" t="n">
        <x:v>0.25175000000000003</x:v>
      </x:c>
      <x:c r="F2363" s="12" t="n">
        <x:v>0.25166666666666665</x:v>
      </x:c>
      <x:c r="G2363" s="12" t="n">
        <x:v>0</x:v>
      </x:c>
      <x:c r="H2363" s="1" t="n">
        <x:f>'Historical prices'!E2363</x:f>
        <x:v>1.05</x:v>
      </x:c>
      <x:c r="I2363" s="6" t="n">
        <x:f>'Historical prices'!D2363</x:f>
        <x:v>0.5045000000000001</x:v>
      </x:c>
      <x:c r="J2363" s="13" t="n">
        <x:f>D2363*I2363*H2363</x:f>
        <x:v>0</x:v>
      </x:c>
      <x:c r="K2363" s="13" t="n">
        <x:f>E2363*I2363*H2363</x:f>
        <x:v>0.13335826875000004</x:v>
      </x:c>
      <x:c r="L2363" s="1" t="str">
        <x:f>TEXT(A2363,"mmm yyyy")</x:f>
        <x:v>Jun 2026</x:v>
      </x:c>
    </x:row>
    <x:row r="2364" ht="21" customHeight="1">
      <x:c r="A2364" s="10" t="n">
        <x:v>46197</x:v>
      </x:c>
      <x:c r="B2364" s="1" t="n">
        <x:v>18</x:v>
      </x:c>
      <x:c r="C2364" s="1" t="n">
        <x:v>6</x:v>
      </x:c>
      <x:c r="D2364" s="12" t="n">
        <x:v>0</x:v>
      </x:c>
      <x:c r="E2364" s="12" t="n">
        <x:v>0.29491666666666666</x:v>
      </x:c>
      <x:c r="F2364" s="12" t="n">
        <x:v>0.29474999999999996</x:v>
      </x:c>
      <x:c r="G2364" s="12" t="n">
        <x:v>0</x:v>
      </x:c>
      <x:c r="H2364" s="1" t="n">
        <x:f>'Historical prices'!E2364</x:f>
        <x:v>1.05</x:v>
      </x:c>
      <x:c r="I2364" s="6" t="n">
        <x:f>'Historical prices'!D2364</x:f>
        <x:v>0.7166</x:v>
      </x:c>
      <x:c r="J2364" s="13" t="n">
        <x:f>D2364*I2364*H2364</x:f>
        <x:v>0</x:v>
      </x:c>
      <x:c r="K2364" s="13" t="n">
        <x:f>E2364*I2364*H2364</x:f>
        <x:v>0.22190414749999998</x:v>
      </x:c>
      <x:c r="L2364" s="1" t="str">
        <x:f>TEXT(A2364,"mmm yyyy")</x:f>
        <x:v>Jun 2026</x:v>
      </x:c>
    </x:row>
    <x:row r="2365" ht="21" customHeight="1">
      <x:c r="A2365" s="10" t="n">
        <x:v>46197</x:v>
      </x:c>
      <x:c r="B2365" s="1" t="n">
        <x:v>18.5</x:v>
      </x:c>
      <x:c r="C2365" s="1" t="n">
        <x:v>6</x:v>
      </x:c>
      <x:c r="D2365" s="12" t="n">
        <x:v>0</x:v>
      </x:c>
      <x:c r="E2365" s="12" t="n">
        <x:v>0.25891666666666663</x:v>
      </x:c>
      <x:c r="F2365" s="12" t="n">
        <x:v>0.25875</x:v>
      </x:c>
      <x:c r="G2365" s="12" t="n">
        <x:v>0</x:v>
      </x:c>
      <x:c r="H2365" s="1" t="n">
        <x:f>'Historical prices'!E2365</x:f>
        <x:v>1.05</x:v>
      </x:c>
      <x:c r="I2365" s="6" t="n">
        <x:f>'Historical prices'!D2365</x:f>
        <x:v>0.7559999999999999</x:v>
      </x:c>
      <x:c r="J2365" s="13" t="n">
        <x:f>D2365*I2365*H2365</x:f>
        <x:v>0</x:v>
      </x:c>
      <x:c r="K2365" s="13" t="n">
        <x:f>E2365*I2365*H2365</x:f>
        <x:v>0.20552804999999996</x:v>
      </x:c>
      <x:c r="L2365" s="1" t="str">
        <x:f>TEXT(A2365,"mmm yyyy")</x:f>
        <x:v>Jun 2026</x:v>
      </x:c>
    </x:row>
    <x:row r="2366" ht="21" customHeight="1">
      <x:c r="A2366" s="10" t="n">
        <x:v>46197</x:v>
      </x:c>
      <x:c r="B2366" s="1" t="n">
        <x:v>19</x:v>
      </x:c>
      <x:c r="C2366" s="1" t="n">
        <x:v>6</x:v>
      </x:c>
      <x:c r="D2366" s="12" t="n">
        <x:v>0</x:v>
      </x:c>
      <x:c r="E2366" s="12" t="n">
        <x:v>0.28291666666666665</x:v>
      </x:c>
      <x:c r="F2366" s="12" t="n">
        <x:v>0.28283333333333327</x:v>
      </x:c>
      <x:c r="G2366" s="12" t="n">
        <x:v>0</x:v>
      </x:c>
      <x:c r="H2366" s="1" t="n">
        <x:f>'Historical prices'!E2366</x:f>
        <x:v>1.05</x:v>
      </x:c>
      <x:c r="I2366" s="6" t="n">
        <x:f>'Historical prices'!D2366</x:f>
        <x:v>0.726</x:v>
      </x:c>
      <x:c r="J2366" s="13" t="n">
        <x:f>D2366*I2366*H2366</x:f>
        <x:v>0</x:v>
      </x:c>
      <x:c r="K2366" s="13" t="n">
        <x:f>E2366*I2366*H2366</x:f>
        <x:v>0.215667375</x:v>
      </x:c>
      <x:c r="L2366" s="1" t="str">
        <x:f>TEXT(A2366,"mmm yyyy")</x:f>
        <x:v>Jun 2026</x:v>
      </x:c>
    </x:row>
    <x:row r="2367" ht="21" customHeight="1">
      <x:c r="A2367" s="10" t="n">
        <x:v>46197</x:v>
      </x:c>
      <x:c r="B2367" s="1" t="n">
        <x:v>19.5</x:v>
      </x:c>
      <x:c r="C2367" s="1" t="n">
        <x:v>6</x:v>
      </x:c>
      <x:c r="D2367" s="12" t="n">
        <x:v>0</x:v>
      </x:c>
      <x:c r="E2367" s="12" t="n">
        <x:v>0.2579166666666666</x:v>
      </x:c>
      <x:c r="F2367" s="12" t="n">
        <x:v>0.2578333333333333</x:v>
      </x:c>
      <x:c r="G2367" s="12" t="n">
        <x:v>0</x:v>
      </x:c>
      <x:c r="H2367" s="1" t="n">
        <x:f>'Historical prices'!E2367</x:f>
        <x:v>1.05</x:v>
      </x:c>
      <x:c r="I2367" s="6" t="n">
        <x:f>'Historical prices'!D2367</x:f>
        <x:v>0.7021999999999999</x:v>
      </x:c>
      <x:c r="J2367" s="13" t="n">
        <x:f>D2367*I2367*H2367</x:f>
        <x:v>0</x:v>
      </x:c>
      <x:c r="K2367" s="13" t="n">
        <x:f>E2367*I2367*H2367</x:f>
        <x:v>0.19016453749999995</x:v>
      </x:c>
      <x:c r="L2367" s="1" t="str">
        <x:f>TEXT(A2367,"mmm yyyy")</x:f>
        <x:v>Jun 2026</x:v>
      </x:c>
    </x:row>
    <x:row r="2368" ht="21" customHeight="1">
      <x:c r="A2368" s="10" t="n">
        <x:v>46197</x:v>
      </x:c>
      <x:c r="B2368" s="1" t="n">
        <x:v>20</x:v>
      </x:c>
      <x:c r="C2368" s="1" t="n">
        <x:v>6</x:v>
      </x:c>
      <x:c r="D2368" s="12" t="n">
        <x:v>0</x:v>
      </x:c>
      <x:c r="E2368" s="12" t="n">
        <x:v>0.215</x:v>
      </x:c>
      <x:c r="F2368" s="12" t="n">
        <x:v>0.21475000000000002</x:v>
      </x:c>
      <x:c r="G2368" s="12" t="n">
        <x:v>0</x:v>
      </x:c>
      <x:c r="H2368" s="1" t="n">
        <x:f>'Historical prices'!E2368</x:f>
        <x:v>1.05</x:v>
      </x:c>
      <x:c r="I2368" s="6" t="n">
        <x:f>'Historical prices'!D2368</x:f>
        <x:v>0.7334999999999999</x:v>
      </x:c>
      <x:c r="J2368" s="13" t="n">
        <x:f>D2368*I2368*H2368</x:f>
        <x:v>0</x:v>
      </x:c>
      <x:c r="K2368" s="13" t="n">
        <x:f>E2368*I2368*H2368</x:f>
        <x:v>0.16558762500000002</x:v>
      </x:c>
      <x:c r="L2368" s="1" t="str">
        <x:f>TEXT(A2368,"mmm yyyy")</x:f>
        <x:v>Jun 2026</x:v>
      </x:c>
    </x:row>
    <x:row r="2369" ht="21" customHeight="1">
      <x:c r="A2369" s="10" t="n">
        <x:v>46197</x:v>
      </x:c>
      <x:c r="B2369" s="1" t="n">
        <x:v>20.5</x:v>
      </x:c>
      <x:c r="C2369" s="1" t="n">
        <x:v>6</x:v>
      </x:c>
      <x:c r="D2369" s="12" t="n">
        <x:v>0</x:v>
      </x:c>
      <x:c r="E2369" s="12" t="n">
        <x:v>0.30466666666666664</x:v>
      </x:c>
      <x:c r="F2369" s="12" t="n">
        <x:v>0.30466666666666664</x:v>
      </x:c>
      <x:c r="G2369" s="12" t="n">
        <x:v>0</x:v>
      </x:c>
      <x:c r="H2369" s="1" t="n">
        <x:f>'Historical prices'!E2369</x:f>
        <x:v>1.05</x:v>
      </x:c>
      <x:c r="I2369" s="6" t="n">
        <x:f>'Historical prices'!D2369</x:f>
        <x:v>0.7417</x:v>
      </x:c>
      <x:c r="J2369" s="13" t="n">
        <x:f>D2369*I2369*H2369</x:f>
        <x:v>0</x:v>
      </x:c>
      <x:c r="K2369" s="13" t="n">
        <x:f>E2369*I2369*H2369</x:f>
        <x:v>0.23726983</x:v>
      </x:c>
      <x:c r="L2369" s="1" t="str">
        <x:f>TEXT(A2369,"mmm yyyy")</x:f>
        <x:v>Jun 2026</x:v>
      </x:c>
    </x:row>
    <x:row r="2370" ht="21" customHeight="1">
      <x:c r="A2370" s="10" t="n">
        <x:v>46197</x:v>
      </x:c>
      <x:c r="B2370" s="1" t="n">
        <x:v>21</x:v>
      </x:c>
      <x:c r="C2370" s="1" t="n">
        <x:v>6</x:v>
      </x:c>
      <x:c r="D2370" s="12" t="n">
        <x:v>0</x:v>
      </x:c>
      <x:c r="E2370" s="12" t="n">
        <x:v>0.4200833333333333</x:v>
      </x:c>
      <x:c r="F2370" s="12" t="n">
        <x:v>0.4196666666666667</x:v>
      </x:c>
      <x:c r="G2370" s="12" t="n">
        <x:v>0</x:v>
      </x:c>
      <x:c r="H2370" s="1" t="n">
        <x:f>'Historical prices'!E2370</x:f>
        <x:v>1.05</x:v>
      </x:c>
      <x:c r="I2370" s="6" t="n">
        <x:f>'Historical prices'!D2370</x:f>
        <x:v>0.7667</x:v>
      </x:c>
      <x:c r="J2370" s="13" t="n">
        <x:f>D2370*I2370*H2370</x:f>
        <x:v>0</x:v>
      </x:c>
      <x:c r="K2370" s="13" t="n">
        <x:f>E2370*I2370*H2370</x:f>
        <x:v>0.33818178625</x:v>
      </x:c>
      <x:c r="L2370" s="1" t="str">
        <x:f>TEXT(A2370,"mmm yyyy")</x:f>
        <x:v>Jun 2026</x:v>
      </x:c>
    </x:row>
    <x:row r="2371" ht="21" customHeight="1">
      <x:c r="A2371" s="10" t="n">
        <x:v>46197</x:v>
      </x:c>
      <x:c r="B2371" s="1" t="n">
        <x:v>21.5</x:v>
      </x:c>
      <x:c r="C2371" s="1" t="n">
        <x:v>6</x:v>
      </x:c>
      <x:c r="D2371" s="12" t="n">
        <x:v>0</x:v>
      </x:c>
      <x:c r="E2371" s="12" t="n">
        <x:v>0.3476666666666667</x:v>
      </x:c>
      <x:c r="F2371" s="12" t="n">
        <x:v>0.3476666666666667</x:v>
      </x:c>
      <x:c r="G2371" s="12" t="n">
        <x:v>0</x:v>
      </x:c>
      <x:c r="H2371" s="1" t="n">
        <x:f>'Historical prices'!E2371</x:f>
        <x:v>1.05</x:v>
      </x:c>
      <x:c r="I2371" s="6" t="n">
        <x:f>'Historical prices'!D2371</x:f>
        <x:v>0.7415</x:v>
      </x:c>
      <x:c r="J2371" s="13" t="n">
        <x:f>D2371*I2371*H2371</x:f>
        <x:v>0</x:v>
      </x:c>
      <x:c r="K2371" s="13" t="n">
        <x:f>E2371*I2371*H2371</x:f>
        <x:v>0.27068457500000004</x:v>
      </x:c>
      <x:c r="L2371" s="1" t="str">
        <x:f>TEXT(A2371,"mmm yyyy")</x:f>
        <x:v>Jun 2026</x:v>
      </x:c>
    </x:row>
    <x:row r="2372" ht="21" customHeight="1">
      <x:c r="A2372" s="10" t="n">
        <x:v>46197</x:v>
      </x:c>
      <x:c r="B2372" s="1" t="n">
        <x:v>22</x:v>
      </x:c>
      <x:c r="C2372" s="1" t="n">
        <x:v>6</x:v>
      </x:c>
      <x:c r="D2372" s="12" t="n">
        <x:v>0</x:v>
      </x:c>
      <x:c r="E2372" s="12" t="n">
        <x:v>0.3650833333333333</x:v>
      </x:c>
      <x:c r="F2372" s="12" t="n">
        <x:v>0.36483333333333334</x:v>
      </x:c>
      <x:c r="G2372" s="12" t="n">
        <x:v>0</x:v>
      </x:c>
      <x:c r="H2372" s="1" t="n">
        <x:f>'Historical prices'!E2372</x:f>
        <x:v>1.05</x:v>
      </x:c>
      <x:c r="I2372" s="6" t="n">
        <x:f>'Historical prices'!D2372</x:f>
        <x:v>0.4916</x:v>
      </x:c>
      <x:c r="J2372" s="13" t="n">
        <x:f>D2372*I2372*H2372</x:f>
        <x:v>0</x:v>
      </x:c>
      <x:c r="K2372" s="13" t="n">
        <x:f>E2372*I2372*H2372</x:f>
        <x:v>0.188448715</x:v>
      </x:c>
      <x:c r="L2372" s="1" t="str">
        <x:f>TEXT(A2372,"mmm yyyy")</x:f>
        <x:v>Jun 2026</x:v>
      </x:c>
    </x:row>
    <x:row r="2373" ht="21" customHeight="1">
      <x:c r="A2373" s="10" t="n">
        <x:v>46197</x:v>
      </x:c>
      <x:c r="B2373" s="1" t="n">
        <x:v>22.5</x:v>
      </x:c>
      <x:c r="C2373" s="1" t="n">
        <x:v>6</x:v>
      </x:c>
      <x:c r="D2373" s="12" t="n">
        <x:v>0</x:v>
      </x:c>
      <x:c r="E2373" s="12" t="n">
        <x:v>0.3821666666666667</x:v>
      </x:c>
      <x:c r="F2373" s="12" t="n">
        <x:v>0.38025000000000003</x:v>
      </x:c>
      <x:c r="G2373" s="12" t="n">
        <x:v>0</x:v>
      </x:c>
      <x:c r="H2373" s="1" t="n">
        <x:f>'Historical prices'!E2373</x:f>
        <x:v>1.05</x:v>
      </x:c>
      <x:c r="I2373" s="6" t="n">
        <x:f>'Historical prices'!D2373</x:f>
        <x:v>0.4575</x:v>
      </x:c>
      <x:c r="J2373" s="13" t="n">
        <x:f>D2373*I2373*H2373</x:f>
        <x:v>0</x:v>
      </x:c>
      <x:c r="K2373" s="13" t="n">
        <x:f>E2373*I2373*H2373</x:f>
        <x:v>0.18358331250000004</x:v>
      </x:c>
      <x:c r="L2373" s="1" t="str">
        <x:f>TEXT(A2373,"mmm yyyy")</x:f>
        <x:v>Jun 2026</x:v>
      </x:c>
    </x:row>
    <x:row r="2374" ht="21" customHeight="1">
      <x:c r="A2374" s="10" t="n">
        <x:v>46197</x:v>
      </x:c>
      <x:c r="B2374" s="1" t="n">
        <x:v>23</x:v>
      </x:c>
      <x:c r="C2374" s="1" t="n">
        <x:v>6</x:v>
      </x:c>
      <x:c r="D2374" s="12" t="n">
        <x:v>0</x:v>
      </x:c>
      <x:c r="E2374" s="12" t="n">
        <x:v>0.33975</x:v>
      </x:c>
      <x:c r="F2374" s="12" t="n">
        <x:v>0.3396666666666667</x:v>
      </x:c>
      <x:c r="G2374" s="12" t="n">
        <x:v>0</x:v>
      </x:c>
      <x:c r="H2374" s="1" t="n">
        <x:f>'Historical prices'!E2374</x:f>
        <x:v>1.05</x:v>
      </x:c>
      <x:c r="I2374" s="6" t="n">
        <x:f>'Historical prices'!D2374</x:f>
        <x:v>0.2942</x:v>
      </x:c>
      <x:c r="J2374" s="13" t="n">
        <x:f>D2374*I2374*H2374</x:f>
        <x:v>0</x:v>
      </x:c>
      <x:c r="K2374" s="13" t="n">
        <x:f>E2374*I2374*H2374</x:f>
        <x:v>0.10495217250000001</x:v>
      </x:c>
      <x:c r="L2374" s="1" t="str">
        <x:f>TEXT(A2374,"mmm yyyy")</x:f>
        <x:v>Jun 2026</x:v>
      </x:c>
    </x:row>
    <x:row r="2375" ht="21" customHeight="1">
      <x:c r="A2375" s="10" t="n">
        <x:v>46197</x:v>
      </x:c>
      <x:c r="B2375" s="1" t="n">
        <x:v>23.5</x:v>
      </x:c>
      <x:c r="C2375" s="1" t="n">
        <x:v>6</x:v>
      </x:c>
      <x:c r="D2375" s="12" t="n">
        <x:v>0</x:v>
      </x:c>
      <x:c r="E2375" s="12" t="n">
        <x:v>0.36291666666666667</x:v>
      </x:c>
      <x:c r="F2375" s="12" t="n">
        <x:v>0.36275</x:v>
      </x:c>
      <x:c r="G2375" s="12" t="n">
        <x:v>0</x:v>
      </x:c>
      <x:c r="H2375" s="1" t="n">
        <x:f>'Historical prices'!E2375</x:f>
        <x:v>1.05</x:v>
      </x:c>
      <x:c r="I2375" s="6" t="n">
        <x:f>'Historical prices'!D2375</x:f>
        <x:v>0.2585</x:v>
      </x:c>
      <x:c r="J2375" s="13" t="n">
        <x:f>D2375*I2375*H2375</x:f>
        <x:v>0</x:v>
      </x:c>
      <x:c r="K2375" s="13" t="n">
        <x:f>E2375*I2375*H2375</x:f>
        <x:v>0.09850465625</x:v>
      </x:c>
      <x:c r="L2375" s="1" t="str">
        <x:f>TEXT(A2375,"mmm yyyy")</x:f>
        <x:v>Jun 2026</x:v>
      </x:c>
    </x:row>
    <x:row r="2376" ht="21" customHeight="1">
      <x:c r="A2376" s="10" t="n">
        <x:v>46198</x:v>
      </x:c>
      <x:c r="B2376" s="1" t="n">
        <x:v>0</x:v>
      </x:c>
      <x:c r="C2376" s="1" t="n">
        <x:v>6</x:v>
      </x:c>
      <x:c r="D2376" s="12" t="n">
        <x:v>0</x:v>
      </x:c>
      <x:c r="E2376" s="12" t="n">
        <x:v>0.2911666666666667</x:v>
      </x:c>
      <x:c r="F2376" s="12" t="n">
        <x:v>0.2909166666666666</x:v>
      </x:c>
      <x:c r="G2376" s="12" t="n">
        <x:v>0</x:v>
      </x:c>
      <x:c r="H2376" s="1" t="n">
        <x:f>'Historical prices'!E2376</x:f>
        <x:v>1.05</x:v>
      </x:c>
      <x:c r="I2376" s="6" t="n">
        <x:f>'Historical prices'!D2376</x:f>
        <x:v>0.2483</x:v>
      </x:c>
      <x:c r="J2376" s="13" t="n">
        <x:f>D2376*I2376*H2376</x:f>
        <x:v>0</x:v>
      </x:c>
      <x:c r="K2376" s="13" t="n">
        <x:f>E2376*I2376*H2376</x:f>
        <x:v>0.0759115175</x:v>
      </x:c>
      <x:c r="L2376" s="1" t="str">
        <x:f>TEXT(A2376,"mmm yyyy")</x:f>
        <x:v>Jun 2026</x:v>
      </x:c>
    </x:row>
    <x:row r="2377" ht="21" customHeight="1">
      <x:c r="A2377" s="10" t="n">
        <x:v>46198</x:v>
      </x:c>
      <x:c r="B2377" s="1" t="n">
        <x:v>0.5</x:v>
      </x:c>
      <x:c r="C2377" s="1" t="n">
        <x:v>6</x:v>
      </x:c>
      <x:c r="D2377" s="12" t="n">
        <x:v>0</x:v>
      </x:c>
      <x:c r="E2377" s="12" t="n">
        <x:v>0.19683333333333333</x:v>
      </x:c>
      <x:c r="F2377" s="12" t="n">
        <x:v>0.19675</x:v>
      </x:c>
      <x:c r="G2377" s="12" t="n">
        <x:v>0</x:v>
      </x:c>
      <x:c r="H2377" s="1" t="n">
        <x:f>'Historical prices'!E2377</x:f>
        <x:v>1.05</x:v>
      </x:c>
      <x:c r="I2377" s="6" t="n">
        <x:f>'Historical prices'!D2377</x:f>
        <x:v>0.2353</x:v>
      </x:c>
      <x:c r="J2377" s="13" t="n">
        <x:f>D2377*I2377*H2377</x:f>
        <x:v>0</x:v>
      </x:c>
      <x:c r="K2377" s="13" t="n">
        <x:f>E2377*I2377*H2377</x:f>
        <x:v>0.0486306275</x:v>
      </x:c>
      <x:c r="L2377" s="1" t="str">
        <x:f>TEXT(A2377,"mmm yyyy")</x:f>
        <x:v>Jun 2026</x:v>
      </x:c>
    </x:row>
    <x:row r="2378" ht="21" customHeight="1">
      <x:c r="A2378" s="10" t="n">
        <x:v>46198</x:v>
      </x:c>
      <x:c r="B2378" s="1" t="n">
        <x:v>1</x:v>
      </x:c>
      <x:c r="C2378" s="1" t="n">
        <x:v>6</x:v>
      </x:c>
      <x:c r="D2378" s="12" t="n">
        <x:v>0.04158333333333333</x:v>
      </x:c>
      <x:c r="E2378" s="12" t="n">
        <x:v>0.2285</x:v>
      </x:c>
      <x:c r="F2378" s="12" t="n">
        <x:v>0.18483333333333332</x:v>
      </x:c>
      <x:c r="G2378" s="12" t="n">
        <x:v>0</x:v>
      </x:c>
      <x:c r="H2378" s="1" t="n">
        <x:f>'Historical prices'!E2378</x:f>
        <x:v>1.05</x:v>
      </x:c>
      <x:c r="I2378" s="6" t="n">
        <x:f>'Historical prices'!D2378</x:f>
        <x:v>0.21539999999999998</x:v>
      </x:c>
      <x:c r="J2378" s="13" t="n">
        <x:f>D2378*I2378*H2378</x:f>
        <x:v>0.0094049025</x:v>
      </x:c>
      <x:c r="K2378" s="13" t="n">
        <x:f>E2378*I2378*H2378</x:f>
        <x:v>0.051679844999999995</x:v>
      </x:c>
      <x:c r="L2378" s="1" t="str">
        <x:f>TEXT(A2378,"mmm yyyy")</x:f>
        <x:v>Jun 2026</x:v>
      </x:c>
    </x:row>
    <x:row r="2379" ht="21" customHeight="1">
      <x:c r="A2379" s="10" t="n">
        <x:v>46198</x:v>
      </x:c>
      <x:c r="B2379" s="1" t="n">
        <x:v>1.5</x:v>
      </x:c>
      <x:c r="C2379" s="1" t="n">
        <x:v>6</x:v>
      </x:c>
      <x:c r="D2379" s="12" t="n">
        <x:v>0.247</x:v>
      </x:c>
      <x:c r="E2379" s="12" t="n">
        <x:v>0.27699999999999997</x:v>
      </x:c>
      <x:c r="F2379" s="12" t="n">
        <x:v>0.022</x:v>
      </x:c>
      <x:c r="G2379" s="12" t="n">
        <x:v>0</x:v>
      </x:c>
      <x:c r="H2379" s="1" t="n">
        <x:f>'Historical prices'!E2379</x:f>
        <x:v>1.05</x:v>
      </x:c>
      <x:c r="I2379" s="6" t="n">
        <x:f>'Historical prices'!D2379</x:f>
        <x:v>0.2102</x:v>
      </x:c>
      <x:c r="J2379" s="13" t="n">
        <x:f>D2379*I2379*H2379</x:f>
        <x:v>0.05451537</x:v>
      </x:c>
      <x:c r="K2379" s="13" t="n">
        <x:f>E2379*I2379*H2379</x:f>
        <x:v>0.06113666999999999</x:v>
      </x:c>
      <x:c r="L2379" s="1" t="str">
        <x:f>TEXT(A2379,"mmm yyyy")</x:f>
        <x:v>Jun 2026</x:v>
      </x:c>
    </x:row>
    <x:row r="2380" ht="21" customHeight="1">
      <x:c r="A2380" s="10" t="n">
        <x:v>46198</x:v>
      </x:c>
      <x:c r="B2380" s="1" t="n">
        <x:v>2</x:v>
      </x:c>
      <x:c r="C2380" s="1" t="n">
        <x:v>6</x:v>
      </x:c>
      <x:c r="D2380" s="12" t="n">
        <x:v>0.20375000000000001</x:v>
      </x:c>
      <x:c r="E2380" s="12" t="n">
        <x:v>0.21475</x:v>
      </x:c>
      <x:c r="F2380" s="12" t="n">
        <x:v>0</x:v>
      </x:c>
      <x:c r="G2380" s="12" t="n">
        <x:v>0</x:v>
      </x:c>
      <x:c r="H2380" s="1" t="n">
        <x:f>'Historical prices'!E2380</x:f>
        <x:v>1.05</x:v>
      </x:c>
      <x:c r="I2380" s="6" t="n">
        <x:f>'Historical prices'!D2380</x:f>
        <x:v>0.2079</x:v>
      </x:c>
      <x:c r="J2380" s="13" t="n">
        <x:f>D2380*I2380*H2380</x:f>
        <x:v>0.04447760625000001</x:v>
      </x:c>
      <x:c r="K2380" s="13" t="n">
        <x:f>E2380*I2380*H2380</x:f>
        <x:v>0.04687885125</x:v>
      </x:c>
      <x:c r="L2380" s="1" t="str">
        <x:f>TEXT(A2380,"mmm yyyy")</x:f>
        <x:v>Jun 2026</x:v>
      </x:c>
    </x:row>
    <x:row r="2381" ht="21" customHeight="1">
      <x:c r="A2381" s="10" t="n">
        <x:v>46198</x:v>
      </x:c>
      <x:c r="B2381" s="1" t="n">
        <x:v>2.5</x:v>
      </x:c>
      <x:c r="C2381" s="1" t="n">
        <x:v>6</x:v>
      </x:c>
      <x:c r="D2381" s="12" t="n">
        <x:v>0.20058333333333334</x:v>
      </x:c>
      <x:c r="E2381" s="12" t="n">
        <x:v>0.21158333333333335</x:v>
      </x:c>
      <x:c r="F2381" s="12" t="n">
        <x:v>0</x:v>
      </x:c>
      <x:c r="G2381" s="12" t="n">
        <x:v>0</x:v>
      </x:c>
      <x:c r="H2381" s="1" t="n">
        <x:f>'Historical prices'!E2381</x:f>
        <x:v>1.05</x:v>
      </x:c>
      <x:c r="I2381" s="6" t="n">
        <x:f>'Historical prices'!D2381</x:f>
        <x:v>0.1997</x:v>
      </x:c>
      <x:c r="J2381" s="13" t="n">
        <x:f>D2381*I2381*H2381</x:f>
        <x:v>0.04205931625</x:v>
      </x:c>
      <x:c r="K2381" s="13" t="n">
        <x:f>E2381*I2381*H2381</x:f>
        <x:v>0.044365851250000005</x:v>
      </x:c>
      <x:c r="L2381" s="1" t="str">
        <x:f>TEXT(A2381,"mmm yyyy")</x:f>
        <x:v>Jun 2026</x:v>
      </x:c>
    </x:row>
    <x:row r="2382" ht="21" customHeight="1">
      <x:c r="A2382" s="10" t="n">
        <x:v>46198</x:v>
      </x:c>
      <x:c r="B2382" s="1" t="n">
        <x:v>3</x:v>
      </x:c>
      <x:c r="C2382" s="1" t="n">
        <x:v>6</x:v>
      </x:c>
      <x:c r="D2382" s="12" t="n">
        <x:v>0.17983333333333332</x:v>
      </x:c>
      <x:c r="E2382" s="12" t="n">
        <x:v>0.18983333333333333</x:v>
      </x:c>
      <x:c r="F2382" s="12" t="n">
        <x:v>0</x:v>
      </x:c>
      <x:c r="G2382" s="12" t="n">
        <x:v>0</x:v>
      </x:c>
      <x:c r="H2382" s="1" t="n">
        <x:f>'Historical prices'!E2382</x:f>
        <x:v>1.05</x:v>
      </x:c>
      <x:c r="I2382" s="6" t="n">
        <x:f>'Historical prices'!D2382</x:f>
        <x:v>0.2028</x:v>
      </x:c>
      <x:c r="J2382" s="13" t="n">
        <x:f>D2382*I2382*H2382</x:f>
        <x:v>0.03829371</x:v>
      </x:c>
      <x:c r="K2382" s="13" t="n">
        <x:f>E2382*I2382*H2382</x:f>
        <x:v>0.040423110000000005</x:v>
      </x:c>
      <x:c r="L2382" s="1" t="str">
        <x:f>TEXT(A2382,"mmm yyyy")</x:f>
        <x:v>Jun 2026</x:v>
      </x:c>
    </x:row>
    <x:row r="2383" ht="21" customHeight="1">
      <x:c r="A2383" s="10" t="n">
        <x:v>46198</x:v>
      </x:c>
      <x:c r="B2383" s="1" t="n">
        <x:v>3.5</x:v>
      </x:c>
      <x:c r="C2383" s="1" t="n">
        <x:v>6</x:v>
      </x:c>
      <x:c r="D2383" s="12" t="n">
        <x:v>0.17175</x:v>
      </x:c>
      <x:c r="E2383" s="12" t="n">
        <x:v>0.18175000000000002</x:v>
      </x:c>
      <x:c r="F2383" s="12" t="n">
        <x:v>0</x:v>
      </x:c>
      <x:c r="G2383" s="12" t="n">
        <x:v>0</x:v>
      </x:c>
      <x:c r="H2383" s="1" t="n">
        <x:f>'Historical prices'!E2383</x:f>
        <x:v>1.05</x:v>
      </x:c>
      <x:c r="I2383" s="6" t="n">
        <x:f>'Historical prices'!D2383</x:f>
        <x:v>0.19440000000000002</x:v>
      </x:c>
      <x:c r="J2383" s="13" t="n">
        <x:f>D2383*I2383*H2383</x:f>
        <x:v>0.03505761000000001</x:v>
      </x:c>
      <x:c r="K2383" s="13" t="n">
        <x:f>E2383*I2383*H2383</x:f>
        <x:v>0.03709881000000001</x:v>
      </x:c>
      <x:c r="L2383" s="1" t="str">
        <x:f>TEXT(A2383,"mmm yyyy")</x:f>
        <x:v>Jun 2026</x:v>
      </x:c>
    </x:row>
    <x:row r="2384" ht="21" customHeight="1">
      <x:c r="A2384" s="10" t="n">
        <x:v>46198</x:v>
      </x:c>
      <x:c r="B2384" s="1" t="n">
        <x:v>4</x:v>
      </x:c>
      <x:c r="C2384" s="1" t="n">
        <x:v>6</x:v>
      </x:c>
      <x:c r="D2384" s="12" t="n">
        <x:v>0.2015</x:v>
      </x:c>
      <x:c r="E2384" s="12" t="n">
        <x:v>0.21250000000000002</x:v>
      </x:c>
      <x:c r="F2384" s="12" t="n">
        <x:v>0</x:v>
      </x:c>
      <x:c r="G2384" s="12" t="n">
        <x:v>0</x:v>
      </x:c>
      <x:c r="H2384" s="1" t="n">
        <x:f>'Historical prices'!E2384</x:f>
        <x:v>1.05</x:v>
      </x:c>
      <x:c r="I2384" s="6" t="n">
        <x:f>'Historical prices'!D2384</x:f>
        <x:v>0.19940000000000002</x:v>
      </x:c>
      <x:c r="J2384" s="13" t="n">
        <x:f>D2384*I2384*H2384</x:f>
        <x:v>0.04218805500000001</x:v>
      </x:c>
      <x:c r="K2384" s="13" t="n">
        <x:f>E2384*I2384*H2384</x:f>
        <x:v>0.044491125000000006</x:v>
      </x:c>
      <x:c r="L2384" s="1" t="str">
        <x:f>TEXT(A2384,"mmm yyyy")</x:f>
        <x:v>Jun 2026</x:v>
      </x:c>
    </x:row>
    <x:row r="2385" ht="21" customHeight="1">
      <x:c r="A2385" s="10" t="n">
        <x:v>46198</x:v>
      </x:c>
      <x:c r="B2385" s="1" t="n">
        <x:v>4.5</x:v>
      </x:c>
      <x:c r="C2385" s="1" t="n">
        <x:v>6</x:v>
      </x:c>
      <x:c r="D2385" s="12" t="n">
        <x:v>0.26616666666666666</x:v>
      </x:c>
      <x:c r="E2385" s="12" t="n">
        <x:v>0.27616666666666667</x:v>
      </x:c>
      <x:c r="F2385" s="12" t="n">
        <x:v>0</x:v>
      </x:c>
      <x:c r="G2385" s="12" t="n">
        <x:v>0</x:v>
      </x:c>
      <x:c r="H2385" s="1" t="n">
        <x:f>'Historical prices'!E2385</x:f>
        <x:v>1.05</x:v>
      </x:c>
      <x:c r="I2385" s="6" t="n">
        <x:f>'Historical prices'!D2385</x:f>
        <x:v>0.19260000000000002</x:v>
      </x:c>
      <x:c r="J2385" s="13" t="n">
        <x:f>D2385*I2385*H2385</x:f>
        <x:v>0.053826885000000005</x:v>
      </x:c>
      <x:c r="K2385" s="13" t="n">
        <x:f>E2385*I2385*H2385</x:f>
        <x:v>0.05584918500000001</x:v>
      </x:c>
      <x:c r="L2385" s="1" t="str">
        <x:f>TEXT(A2385,"mmm yyyy")</x:f>
        <x:v>Jun 2026</x:v>
      </x:c>
    </x:row>
    <x:row r="2386" ht="21" customHeight="1">
      <x:c r="A2386" s="10" t="n">
        <x:v>46198</x:v>
      </x:c>
      <x:c r="B2386" s="1" t="n">
        <x:v>5</x:v>
      </x:c>
      <x:c r="C2386" s="1" t="n">
        <x:v>6</x:v>
      </x:c>
      <x:c r="D2386" s="12" t="n">
        <x:v>0.23833333333333334</x:v>
      </x:c>
      <x:c r="E2386" s="12" t="n">
        <x:v>0.24933333333333335</x:v>
      </x:c>
      <x:c r="F2386" s="12" t="n">
        <x:v>0</x:v>
      </x:c>
      <x:c r="G2386" s="12" t="n">
        <x:v>0</x:v>
      </x:c>
      <x:c r="H2386" s="1" t="n">
        <x:f>'Historical prices'!E2386</x:f>
        <x:v>1.05</x:v>
      </x:c>
      <x:c r="I2386" s="6" t="n">
        <x:f>'Historical prices'!D2386</x:f>
        <x:v>0.1943</x:v>
      </x:c>
      <x:c r="J2386" s="13" t="n">
        <x:f>D2386*I2386*H2386</x:f>
        <x:v>0.04862357500000001</x:v>
      </x:c>
      <x:c r="K2386" s="13" t="n">
        <x:f>E2386*I2386*H2386</x:f>
        <x:v>0.05086774000000001</x:v>
      </x:c>
      <x:c r="L2386" s="1" t="str">
        <x:f>TEXT(A2386,"mmm yyyy")</x:f>
        <x:v>Jun 2026</x:v>
      </x:c>
    </x:row>
    <x:row r="2387" ht="21" customHeight="1">
      <x:c r="A2387" s="10" t="n">
        <x:v>46198</x:v>
      </x:c>
      <x:c r="B2387" s="1" t="n">
        <x:v>5.5</x:v>
      </x:c>
      <x:c r="C2387" s="1" t="n">
        <x:v>6</x:v>
      </x:c>
      <x:c r="D2387" s="12" t="n">
        <x:v>0.18191666666666667</x:v>
      </x:c>
      <x:c r="E2387" s="12" t="n">
        <x:v>0.19191666666666668</x:v>
      </x:c>
      <x:c r="F2387" s="12" t="n">
        <x:v>0</x:v>
      </x:c>
      <x:c r="G2387" s="12" t="n">
        <x:v>0</x:v>
      </x:c>
      <x:c r="H2387" s="1" t="n">
        <x:f>'Historical prices'!E2387</x:f>
        <x:v>1.05</x:v>
      </x:c>
      <x:c r="I2387" s="6" t="n">
        <x:f>'Historical prices'!D2387</x:f>
        <x:v>0.1966</x:v>
      </x:c>
      <x:c r="J2387" s="13" t="n">
        <x:f>D2387*I2387*H2387</x:f>
        <x:v>0.0375530575</x:v>
      </x:c>
      <x:c r="K2387" s="13" t="n">
        <x:f>E2387*I2387*H2387</x:f>
        <x:v>0.0396173575</x:v>
      </x:c>
      <x:c r="L2387" s="1" t="str">
        <x:f>TEXT(A2387,"mmm yyyy")</x:f>
        <x:v>Jun 2026</x:v>
      </x:c>
    </x:row>
    <x:row r="2388" ht="21" customHeight="1">
      <x:c r="A2388" s="10" t="n">
        <x:v>46198</x:v>
      </x:c>
      <x:c r="B2388" s="1" t="n">
        <x:v>6</x:v>
      </x:c>
      <x:c r="C2388" s="1" t="n">
        <x:v>6</x:v>
      </x:c>
      <x:c r="D2388" s="12" t="n">
        <x:v>0.25633333333333336</x:v>
      </x:c>
      <x:c r="E2388" s="12" t="n">
        <x:v>0.2673333333333333</x:v>
      </x:c>
      <x:c r="F2388" s="12" t="n">
        <x:v>0</x:v>
      </x:c>
      <x:c r="G2388" s="12" t="n">
        <x:v>0</x:v>
      </x:c>
      <x:c r="H2388" s="1" t="n">
        <x:f>'Historical prices'!E2388</x:f>
        <x:v>1.05</x:v>
      </x:c>
      <x:c r="I2388" s="6" t="n">
        <x:f>'Historical prices'!D2388</x:f>
        <x:v>0.201</x:v>
      </x:c>
      <x:c r="J2388" s="13" t="n">
        <x:f>D2388*I2388*H2388</x:f>
        <x:v>0.054099150000000006</x:v>
      </x:c>
      <x:c r="K2388" s="13" t="n">
        <x:f>E2388*I2388*H2388</x:f>
        <x:v>0.0564207</x:v>
      </x:c>
      <x:c r="L2388" s="1" t="str">
        <x:f>TEXT(A2388,"mmm yyyy")</x:f>
        <x:v>Jun 2026</x:v>
      </x:c>
    </x:row>
    <x:row r="2389" ht="21" customHeight="1">
      <x:c r="A2389" s="10" t="n">
        <x:v>46198</x:v>
      </x:c>
      <x:c r="B2389" s="1" t="n">
        <x:v>6.5</x:v>
      </x:c>
      <x:c r="C2389" s="1" t="n">
        <x:v>6</x:v>
      </x:c>
      <x:c r="D2389" s="12" t="n">
        <x:v>0.03166666666666667</x:v>
      </x:c>
      <x:c r="E2389" s="12" t="n">
        <x:v>0.22666666666666668</x:v>
      </x:c>
      <x:c r="F2389" s="12" t="n">
        <x:v>0.19283333333333333</x:v>
      </x:c>
      <x:c r="G2389" s="12" t="n">
        <x:v>0</x:v>
      </x:c>
      <x:c r="H2389" s="1" t="n">
        <x:f>'Historical prices'!E2389</x:f>
        <x:v>1.05</x:v>
      </x:c>
      <x:c r="I2389" s="6" t="n">
        <x:f>'Historical prices'!D2389</x:f>
        <x:v>0.222</x:v>
      </x:c>
      <x:c r="J2389" s="13" t="n">
        <x:f>D2389*I2389*H2389</x:f>
        <x:v>0.007381500000000001</x:v>
      </x:c>
      <x:c r="K2389" s="13" t="n">
        <x:f>E2389*I2389*H2389</x:f>
        <x:v>0.05283600000000001</x:v>
      </x:c>
      <x:c r="L2389" s="1" t="str">
        <x:f>TEXT(A2389,"mmm yyyy")</x:f>
        <x:v>Jun 2026</x:v>
      </x:c>
    </x:row>
    <x:row r="2390" ht="21" customHeight="1">
      <x:c r="A2390" s="10" t="n">
        <x:v>46198</x:v>
      </x:c>
      <x:c r="B2390" s="1" t="n">
        <x:v>7</x:v>
      </x:c>
      <x:c r="C2390" s="1" t="n">
        <x:v>6</x:v>
      </x:c>
      <x:c r="D2390" s="12" t="n">
        <x:v>0.07408333333333333</x:v>
      </x:c>
      <x:c r="E2390" s="12" t="n">
        <x:v>0.26725000000000004</x:v>
      </x:c>
      <x:c r="F2390" s="12" t="n">
        <x:v>0.19083333333333335</x:v>
      </x:c>
      <x:c r="G2390" s="12" t="n">
        <x:v>0</x:v>
      </x:c>
      <x:c r="H2390" s="1" t="n">
        <x:f>'Historical prices'!E2390</x:f>
        <x:v>1.05</x:v>
      </x:c>
      <x:c r="I2390" s="6" t="n">
        <x:f>'Historical prices'!D2390</x:f>
        <x:v>0.1791</x:v>
      </x:c>
      <x:c r="J2390" s="13" t="n">
        <x:f>D2390*I2390*H2390</x:f>
        <x:v>0.01393174125</x:v>
      </x:c>
      <x:c r="K2390" s="13" t="n">
        <x:f>E2390*I2390*H2390</x:f>
        <x:v>0.05025769875000001</x:v>
      </x:c>
      <x:c r="L2390" s="1" t="str">
        <x:f>TEXT(A2390,"mmm yyyy")</x:f>
        <x:v>Jun 2026</x:v>
      </x:c>
    </x:row>
    <x:row r="2391" ht="21" customHeight="1">
      <x:c r="A2391" s="10" t="n">
        <x:v>46198</x:v>
      </x:c>
      <x:c r="B2391" s="1" t="n">
        <x:v>7.5</x:v>
      </x:c>
      <x:c r="C2391" s="1" t="n">
        <x:v>6</x:v>
      </x:c>
      <x:c r="D2391" s="12" t="n">
        <x:v>0.299</x:v>
      </x:c>
      <x:c r="E2391" s="12" t="n">
        <x:v>0.294</x:v>
      </x:c>
      <x:c r="F2391" s="12" t="n">
        <x:v>0.089</x:v>
      </x:c>
      <x:c r="G2391" s="12" t="n">
        <x:v>0.091</x:v>
      </x:c>
      <x:c r="H2391" s="1" t="n">
        <x:f>'Historical prices'!E2391</x:f>
        <x:v>1.05</x:v>
      </x:c>
      <x:c r="I2391" s="6" t="n">
        <x:f>'Historical prices'!D2391</x:f>
        <x:v>0.19</x:v>
      </x:c>
      <x:c r="J2391" s="13" t="n">
        <x:f>D2391*I2391*H2391</x:f>
        <x:v>0.0596505</x:v>
      </x:c>
      <x:c r="K2391" s="13" t="n">
        <x:f>E2391*I2391*H2391</x:f>
        <x:v>0.058653000000000004</x:v>
      </x:c>
      <x:c r="L2391" s="1" t="str">
        <x:f>TEXT(A2391,"mmm yyyy")</x:f>
        <x:v>Jun 2026</x:v>
      </x:c>
    </x:row>
    <x:row r="2392" ht="21" customHeight="1">
      <x:c r="A2392" s="10" t="n">
        <x:v>46198</x:v>
      </x:c>
      <x:c r="B2392" s="1" t="n">
        <x:v>8</x:v>
      </x:c>
      <x:c r="C2392" s="1" t="n">
        <x:v>6</x:v>
      </x:c>
      <x:c r="D2392" s="12" t="n">
        <x:v>0.20475000000000002</x:v>
      </x:c>
      <x:c r="E2392" s="12" t="n">
        <x:v>0.20675000000000002</x:v>
      </x:c>
      <x:c r="F2392" s="12" t="n">
        <x:v>0</x:v>
      </x:c>
      <x:c r="G2392" s="12" t="n">
        <x:v>0</x:v>
      </x:c>
      <x:c r="H2392" s="1" t="n">
        <x:f>'Historical prices'!E2392</x:f>
        <x:v>1.05</x:v>
      </x:c>
      <x:c r="I2392" s="6" t="n">
        <x:f>'Historical prices'!D2392</x:f>
        <x:v>0.1703</x:v>
      </x:c>
      <x:c r="J2392" s="13" t="n">
        <x:f>D2392*I2392*H2392</x:f>
        <x:v>0.036612371250000005</x:v>
      </x:c>
      <x:c r="K2392" s="13" t="n">
        <x:f>E2392*I2392*H2392</x:f>
        <x:v>0.03697000125000001</x:v>
      </x:c>
      <x:c r="L2392" s="1" t="str">
        <x:f>TEXT(A2392,"mmm yyyy")</x:f>
        <x:v>Jun 2026</x:v>
      </x:c>
    </x:row>
    <x:row r="2393" ht="21" customHeight="1">
      <x:c r="A2393" s="10" t="n">
        <x:v>46198</x:v>
      </x:c>
      <x:c r="B2393" s="1" t="n">
        <x:v>8.5</x:v>
      </x:c>
      <x:c r="C2393" s="1" t="n">
        <x:v>6</x:v>
      </x:c>
      <x:c r="D2393" s="12" t="n">
        <x:v>0.2194166666666667</x:v>
      </x:c>
      <x:c r="E2393" s="12" t="n">
        <x:v>0.22441666666666668</x:v>
      </x:c>
      <x:c r="F2393" s="12" t="n">
        <x:v>0</x:v>
      </x:c>
      <x:c r="G2393" s="12" t="n">
        <x:v>0</x:v>
      </x:c>
      <x:c r="H2393" s="1" t="n">
        <x:f>'Historical prices'!E2393</x:f>
        <x:v>1.05</x:v>
      </x:c>
      <x:c r="I2393" s="6" t="n">
        <x:f>'Historical prices'!D2393</x:f>
        <x:v>0.16760000000000003</x:v>
      </x:c>
      <x:c r="J2393" s="13" t="n">
        <x:f>D2393*I2393*H2393</x:f>
        <x:v>0.03861294500000001</x:v>
      </x:c>
      <x:c r="K2393" s="13" t="n">
        <x:f>E2393*I2393*H2393</x:f>
        <x:v>0.03949284500000001</x:v>
      </x:c>
      <x:c r="L2393" s="1" t="str">
        <x:f>TEXT(A2393,"mmm yyyy")</x:f>
        <x:v>Jun 2026</x:v>
      </x:c>
    </x:row>
    <x:row r="2394" ht="21" customHeight="1">
      <x:c r="A2394" s="10" t="n">
        <x:v>46198</x:v>
      </x:c>
      <x:c r="B2394" s="1" t="n">
        <x:v>9</x:v>
      </x:c>
      <x:c r="C2394" s="1" t="n">
        <x:v>6</x:v>
      </x:c>
      <x:c r="D2394" s="12" t="n">
        <x:v>0.25049999999999994</x:v>
      </x:c>
      <x:c r="E2394" s="12" t="n">
        <x:v>0.2525</x:v>
      </x:c>
      <x:c r="F2394" s="12" t="n">
        <x:v>0</x:v>
      </x:c>
      <x:c r="G2394" s="12" t="n">
        <x:v>0</x:v>
      </x:c>
      <x:c r="H2394" s="1" t="n">
        <x:f>'Historical prices'!E2394</x:f>
        <x:v>1.05</x:v>
      </x:c>
      <x:c r="I2394" s="6" t="n">
        <x:f>'Historical prices'!D2394</x:f>
        <x:v>0.1598</x:v>
      </x:c>
      <x:c r="J2394" s="13" t="n">
        <x:f>D2394*I2394*H2394</x:f>
        <x:v>0.04203139499999999</x:v>
      </x:c>
      <x:c r="K2394" s="13" t="n">
        <x:f>E2394*I2394*H2394</x:f>
        <x:v>0.042366975</x:v>
      </x:c>
      <x:c r="L2394" s="1" t="str">
        <x:f>TEXT(A2394,"mmm yyyy")</x:f>
        <x:v>Jun 2026</x:v>
      </x:c>
    </x:row>
    <x:row r="2395" ht="21" customHeight="1">
      <x:c r="A2395" s="10" t="n">
        <x:v>46198</x:v>
      </x:c>
      <x:c r="B2395" s="1" t="n">
        <x:v>9.5</x:v>
      </x:c>
      <x:c r="C2395" s="1" t="n">
        <x:v>6</x:v>
      </x:c>
      <x:c r="D2395" s="12" t="n">
        <x:v>0.264</x:v>
      </x:c>
      <x:c r="E2395" s="12" t="n">
        <x:v>0.264</x:v>
      </x:c>
      <x:c r="F2395" s="12" t="n">
        <x:v>0</x:v>
      </x:c>
      <x:c r="G2395" s="12" t="n">
        <x:v>0</x:v>
      </x:c>
      <x:c r="H2395" s="1" t="n">
        <x:f>'Historical prices'!E2395</x:f>
        <x:v>1.05</x:v>
      </x:c>
      <x:c r="I2395" s="6" t="n">
        <x:f>'Historical prices'!D2395</x:f>
        <x:v>0.1714</x:v>
      </x:c>
      <x:c r="J2395" s="13" t="n">
        <x:f>D2395*I2395*H2395</x:f>
        <x:v>0.047512080000000005</x:v>
      </x:c>
      <x:c r="K2395" s="13" t="n">
        <x:f>E2395*I2395*H2395</x:f>
        <x:v>0.047512080000000005</x:v>
      </x:c>
      <x:c r="L2395" s="1" t="str">
        <x:f>TEXT(A2395,"mmm yyyy")</x:f>
        <x:v>Jun 2026</x:v>
      </x:c>
    </x:row>
    <x:row r="2396" ht="21" customHeight="1">
      <x:c r="A2396" s="10" t="n">
        <x:v>46198</x:v>
      </x:c>
      <x:c r="B2396" s="1" t="n">
        <x:v>10</x:v>
      </x:c>
      <x:c r="C2396" s="1" t="n">
        <x:v>6</x:v>
      </x:c>
      <x:c r="D2396" s="12" t="n">
        <x:v>0.25183333333333335</x:v>
      </x:c>
      <x:c r="E2396" s="12" t="n">
        <x:v>0.25483333333333336</x:v>
      </x:c>
      <x:c r="F2396" s="12" t="n">
        <x:v>0</x:v>
      </x:c>
      <x:c r="G2396" s="12" t="n">
        <x:v>0</x:v>
      </x:c>
      <x:c r="H2396" s="1" t="n">
        <x:f>'Historical prices'!E2396</x:f>
        <x:v>1.05</x:v>
      </x:c>
      <x:c r="I2396" s="6" t="n">
        <x:f>'Historical prices'!D2396</x:f>
        <x:v>0.1577</x:v>
      </x:c>
      <x:c r="J2396" s="13" t="n">
        <x:f>D2396*I2396*H2396</x:f>
        <x:v>0.04169982250000001</x:v>
      </x:c>
      <x:c r="K2396" s="13" t="n">
        <x:f>E2396*I2396*H2396</x:f>
        <x:v>0.042196577500000006</x:v>
      </x:c>
      <x:c r="L2396" s="1" t="str">
        <x:f>TEXT(A2396,"mmm yyyy")</x:f>
        <x:v>Jun 2026</x:v>
      </x:c>
    </x:row>
    <x:row r="2397" ht="21" customHeight="1">
      <x:c r="A2397" s="10" t="n">
        <x:v>46198</x:v>
      </x:c>
      <x:c r="B2397" s="1" t="n">
        <x:v>10.5</x:v>
      </x:c>
      <x:c r="C2397" s="1" t="n">
        <x:v>6</x:v>
      </x:c>
      <x:c r="D2397" s="12" t="n">
        <x:v>0.25233333333333335</x:v>
      </x:c>
      <x:c r="E2397" s="12" t="n">
        <x:v>0.25233333333333335</x:v>
      </x:c>
      <x:c r="F2397" s="12" t="n">
        <x:v>0</x:v>
      </x:c>
      <x:c r="G2397" s="12" t="n">
        <x:v>0</x:v>
      </x:c>
      <x:c r="H2397" s="1" t="n">
        <x:f>'Historical prices'!E2397</x:f>
        <x:v>1.05</x:v>
      </x:c>
      <x:c r="I2397" s="6" t="n">
        <x:f>'Historical prices'!D2397</x:f>
        <x:v>0.15259999999999999</x:v>
      </x:c>
      <x:c r="J2397" s="13" t="n">
        <x:f>D2397*I2397*H2397</x:f>
        <x:v>0.04043137</x:v>
      </x:c>
      <x:c r="K2397" s="13" t="n">
        <x:f>E2397*I2397*H2397</x:f>
        <x:v>0.04043137</x:v>
      </x:c>
      <x:c r="L2397" s="1" t="str">
        <x:f>TEXT(A2397,"mmm yyyy")</x:f>
        <x:v>Jun 2026</x:v>
      </x:c>
    </x:row>
    <x:row r="2398" ht="21" customHeight="1">
      <x:c r="A2398" s="10" t="n">
        <x:v>46198</x:v>
      </x:c>
      <x:c r="B2398" s="1" t="n">
        <x:v>11</x:v>
      </x:c>
      <x:c r="C2398" s="1" t="n">
        <x:v>6</x:v>
      </x:c>
      <x:c r="D2398" s="12" t="n">
        <x:v>0.29500000000000004</x:v>
      </x:c>
      <x:c r="E2398" s="12" t="n">
        <x:v>0.29600000000000004</x:v>
      </x:c>
      <x:c r="F2398" s="12" t="n">
        <x:v>0</x:v>
      </x:c>
      <x:c r="G2398" s="12" t="n">
        <x:v>0</x:v>
      </x:c>
      <x:c r="H2398" s="1" t="n">
        <x:f>'Historical prices'!E2398</x:f>
        <x:v>1.05</x:v>
      </x:c>
      <x:c r="I2398" s="6" t="n">
        <x:f>'Historical prices'!D2398</x:f>
        <x:v>0.1501</x:v>
      </x:c>
      <x:c r="J2398" s="13" t="n">
        <x:f>D2398*I2398*H2398</x:f>
        <x:v>0.046493475000000006</x:v>
      </x:c>
      <x:c r="K2398" s="13" t="n">
        <x:f>E2398*I2398*H2398</x:f>
        <x:v>0.04665108000000001</x:v>
      </x:c>
      <x:c r="L2398" s="1" t="str">
        <x:f>TEXT(A2398,"mmm yyyy")</x:f>
        <x:v>Jun 2026</x:v>
      </x:c>
    </x:row>
    <x:row r="2399" ht="21" customHeight="1">
      <x:c r="A2399" s="10" t="n">
        <x:v>46198</x:v>
      </x:c>
      <x:c r="B2399" s="1" t="n">
        <x:v>11.5</x:v>
      </x:c>
      <x:c r="C2399" s="1" t="n">
        <x:v>6</x:v>
      </x:c>
      <x:c r="D2399" s="12" t="n">
        <x:v>0.2039166666666667</x:v>
      </x:c>
      <x:c r="E2399" s="12" t="n">
        <x:v>0.2049166666666667</x:v>
      </x:c>
      <x:c r="F2399" s="12" t="n">
        <x:v>0</x:v>
      </x:c>
      <x:c r="G2399" s="12" t="n">
        <x:v>0</x:v>
      </x:c>
      <x:c r="H2399" s="1" t="n">
        <x:f>'Historical prices'!E2399</x:f>
        <x:v>1.05</x:v>
      </x:c>
      <x:c r="I2399" s="6" t="n">
        <x:f>'Historical prices'!D2399</x:f>
        <x:v>0.1461</x:v>
      </x:c>
      <x:c r="J2399" s="13" t="n">
        <x:f>D2399*I2399*H2399</x:f>
        <x:v>0.03128183625000001</x:v>
      </x:c>
      <x:c r="K2399" s="13" t="n">
        <x:f>E2399*I2399*H2399</x:f>
        <x:v>0.03143524125000001</x:v>
      </x:c>
      <x:c r="L2399" s="1" t="str">
        <x:f>TEXT(A2399,"mmm yyyy")</x:f>
        <x:v>Jun 2026</x:v>
      </x:c>
    </x:row>
    <x:row r="2400" ht="21" customHeight="1">
      <x:c r="A2400" s="10" t="n">
        <x:v>46198</x:v>
      </x:c>
      <x:c r="B2400" s="1" t="n">
        <x:v>12</x:v>
      </x:c>
      <x:c r="C2400" s="1" t="n">
        <x:v>6</x:v>
      </x:c>
      <x:c r="D2400" s="12" t="n">
        <x:v>0.26058333333333333</x:v>
      </x:c>
      <x:c r="E2400" s="12" t="n">
        <x:v>0.26158333333333333</x:v>
      </x:c>
      <x:c r="F2400" s="12" t="n">
        <x:v>0</x:v>
      </x:c>
      <x:c r="G2400" s="12" t="n">
        <x:v>0</x:v>
      </x:c>
      <x:c r="H2400" s="1" t="n">
        <x:f>'Historical prices'!E2400</x:f>
        <x:v>1.05</x:v>
      </x:c>
      <x:c r="I2400" s="6" t="n">
        <x:f>'Historical prices'!D2400</x:f>
        <x:v>0.1461</x:v>
      </x:c>
      <x:c r="J2400" s="13" t="n">
        <x:f>D2400*I2400*H2400</x:f>
        <x:v>0.039974786250000005</x:v>
      </x:c>
      <x:c r="K2400" s="13" t="n">
        <x:f>E2400*I2400*H2400</x:f>
        <x:v>0.04012819125000001</x:v>
      </x:c>
      <x:c r="L2400" s="1" t="str">
        <x:f>TEXT(A2400,"mmm yyyy")</x:f>
        <x:v>Jun 2026</x:v>
      </x:c>
    </x:row>
    <x:row r="2401" ht="21" customHeight="1">
      <x:c r="A2401" s="10" t="n">
        <x:v>46198</x:v>
      </x:c>
      <x:c r="B2401" s="1" t="n">
        <x:v>12.5</x:v>
      </x:c>
      <x:c r="C2401" s="1" t="n">
        <x:v>6</x:v>
      </x:c>
      <x:c r="D2401" s="12" t="n">
        <x:v>0.26575</x:v>
      </x:c>
      <x:c r="E2401" s="12" t="n">
        <x:v>0.26575</x:v>
      </x:c>
      <x:c r="F2401" s="12" t="n">
        <x:v>0</x:v>
      </x:c>
      <x:c r="G2401" s="12" t="n">
        <x:v>0</x:v>
      </x:c>
      <x:c r="H2401" s="1" t="n">
        <x:f>'Historical prices'!E2401</x:f>
        <x:v>1.05</x:v>
      </x:c>
      <x:c r="I2401" s="6" t="n">
        <x:f>'Historical prices'!D2401</x:f>
        <x:v>0.1461</x:v>
      </x:c>
      <x:c r="J2401" s="13" t="n">
        <x:f>D2401*I2401*H2401</x:f>
        <x:v>0.040767378750000006</x:v>
      </x:c>
      <x:c r="K2401" s="13" t="n">
        <x:f>E2401*I2401*H2401</x:f>
        <x:v>0.040767378750000006</x:v>
      </x:c>
      <x:c r="L2401" s="1" t="str">
        <x:f>TEXT(A2401,"mmm yyyy")</x:f>
        <x:v>Jun 2026</x:v>
      </x:c>
    </x:row>
    <x:row r="2402" ht="21" customHeight="1">
      <x:c r="A2402" s="10" t="n">
        <x:v>46198</x:v>
      </x:c>
      <x:c r="B2402" s="1" t="n">
        <x:v>13</x:v>
      </x:c>
      <x:c r="C2402" s="1" t="n">
        <x:v>6</x:v>
      </x:c>
      <x:c r="D2402" s="12" t="n">
        <x:v>0.22216666666666665</x:v>
      </x:c>
      <x:c r="E2402" s="12" t="n">
        <x:v>0.22416666666666665</x:v>
      </x:c>
      <x:c r="F2402" s="12" t="n">
        <x:v>0</x:v>
      </x:c>
      <x:c r="G2402" s="12" t="n">
        <x:v>0</x:v>
      </x:c>
      <x:c r="H2402" s="1" t="n">
        <x:f>'Historical prices'!E2402</x:f>
        <x:v>1.05</x:v>
      </x:c>
      <x:c r="I2402" s="6" t="n">
        <x:f>'Historical prices'!D2402</x:f>
        <x:v>0.1419</x:v>
      </x:c>
      <x:c r="J2402" s="13" t="n">
        <x:f>D2402*I2402*H2402</x:f>
        <x:v>0.0331017225</x:v>
      </x:c>
      <x:c r="K2402" s="13" t="n">
        <x:f>E2402*I2402*H2402</x:f>
        <x:v>0.0333997125</x:v>
      </x:c>
      <x:c r="L2402" s="1" t="str">
        <x:f>TEXT(A2402,"mmm yyyy")</x:f>
        <x:v>Jun 2026</x:v>
      </x:c>
    </x:row>
    <x:row r="2403" ht="21" customHeight="1">
      <x:c r="A2403" s="10" t="n">
        <x:v>46198</x:v>
      </x:c>
      <x:c r="B2403" s="1" t="n">
        <x:v>13.5</x:v>
      </x:c>
      <x:c r="C2403" s="1" t="n">
        <x:v>6</x:v>
      </x:c>
      <x:c r="D2403" s="12" t="n">
        <x:v>0.24508333333333332</x:v>
      </x:c>
      <x:c r="E2403" s="12" t="n">
        <x:v>0.24508333333333332</x:v>
      </x:c>
      <x:c r="F2403" s="12" t="n">
        <x:v>0</x:v>
      </x:c>
      <x:c r="G2403" s="12" t="n">
        <x:v>0</x:v>
      </x:c>
      <x:c r="H2403" s="1" t="n">
        <x:f>'Historical prices'!E2403</x:f>
        <x:v>1.05</x:v>
      </x:c>
      <x:c r="I2403" s="6" t="n">
        <x:f>'Historical prices'!D2403</x:f>
        <x:v>0.1399</x:v>
      </x:c>
      <x:c r="J2403" s="13" t="n">
        <x:f>D2403*I2403*H2403</x:f>
        <x:v>0.03600151625</x:v>
      </x:c>
      <x:c r="K2403" s="13" t="n">
        <x:f>E2403*I2403*H2403</x:f>
        <x:v>0.03600151625</x:v>
      </x:c>
      <x:c r="L2403" s="1" t="str">
        <x:f>TEXT(A2403,"mmm yyyy")</x:f>
        <x:v>Jun 2026</x:v>
      </x:c>
    </x:row>
    <x:row r="2404" ht="21" customHeight="1">
      <x:c r="A2404" s="10" t="n">
        <x:v>46198</x:v>
      </x:c>
      <x:c r="B2404" s="1" t="n">
        <x:v>14</x:v>
      </x:c>
      <x:c r="C2404" s="1" t="n">
        <x:v>6</x:v>
      </x:c>
      <x:c r="D2404" s="12" t="n">
        <x:v>1.6395000000000002</x:v>
      </x:c>
      <x:c r="E2404" s="12" t="n">
        <x:v>0.26449999999999996</x:v>
      </x:c>
      <x:c r="F2404" s="12" t="n">
        <x:v>0</x:v>
      </x:c>
      <x:c r="G2404" s="12" t="n">
        <x:v>1.375</x:v>
      </x:c>
      <x:c r="H2404" s="1" t="n">
        <x:f>'Historical prices'!E2404</x:f>
        <x:v>1.05</x:v>
      </x:c>
      <x:c r="I2404" s="6" t="n">
        <x:f>'Historical prices'!D2404</x:f>
        <x:v>0.13949999999999999</x:v>
      </x:c>
      <x:c r="J2404" s="13" t="n">
        <x:f>D2404*I2404*H2404</x:f>
        <x:v>0.24014576250000003</x:v>
      </x:c>
      <x:c r="K2404" s="13" t="n">
        <x:f>E2404*I2404*H2404</x:f>
        <x:v>0.038742637499999996</x:v>
      </x:c>
      <x:c r="L2404" s="1" t="str">
        <x:f>TEXT(A2404,"mmm yyyy")</x:f>
        <x:v>Jun 2026</x:v>
      </x:c>
    </x:row>
    <x:row r="2405" ht="21" customHeight="1">
      <x:c r="A2405" s="10" t="n">
        <x:v>46198</x:v>
      </x:c>
      <x:c r="B2405" s="1" t="n">
        <x:v>14.5</x:v>
      </x:c>
      <x:c r="C2405" s="1" t="n">
        <x:v>6</x:v>
      </x:c>
      <x:c r="D2405" s="12" t="n">
        <x:v>4.335916666666667</x:v>
      </x:c>
      <x:c r="E2405" s="12" t="n">
        <x:v>0.3829166666666667</x:v>
      </x:c>
      <x:c r="F2405" s="12" t="n">
        <x:v>0</x:v>
      </x:c>
      <x:c r="G2405" s="12" t="n">
        <x:v>3.955</x:v>
      </x:c>
      <x:c r="H2405" s="1" t="n">
        <x:f>'Historical prices'!E2405</x:f>
        <x:v>1.05</x:v>
      </x:c>
      <x:c r="I2405" s="6" t="n">
        <x:f>'Historical prices'!D2405</x:f>
        <x:v>0.1367</x:v>
      </x:c>
      <x:c r="J2405" s="13" t="n">
        <x:f>D2405*I2405*H2405</x:f>
        <x:v>0.6223557987499999</x:v>
      </x:c>
      <x:c r="K2405" s="13" t="n">
        <x:f>E2405*I2405*H2405</x:f>
        <x:v>0.05496194375</x:v>
      </x:c>
      <x:c r="L2405" s="1" t="str">
        <x:f>TEXT(A2405,"mmm yyyy")</x:f>
        <x:v>Jun 2026</x:v>
      </x:c>
    </x:row>
    <x:row r="2406" ht="21" customHeight="1">
      <x:c r="A2406" s="10" t="n">
        <x:v>46198</x:v>
      </x:c>
      <x:c r="B2406" s="1" t="n">
        <x:v>15</x:v>
      </x:c>
      <x:c r="C2406" s="1" t="n">
        <x:v>6</x:v>
      </x:c>
      <x:c r="D2406" s="12" t="n">
        <x:v>1.0609166666666665</x:v>
      </x:c>
      <x:c r="E2406" s="12" t="n">
        <x:v>0.2699166666666667</x:v>
      </x:c>
      <x:c r="F2406" s="12" t="n">
        <x:v>0</x:v>
      </x:c>
      <x:c r="G2406" s="12" t="n">
        <x:v>0.796</x:v>
      </x:c>
      <x:c r="H2406" s="1" t="n">
        <x:f>'Historical prices'!E2406</x:f>
        <x:v>1.05</x:v>
      </x:c>
      <x:c r="I2406" s="6" t="n">
        <x:f>'Historical prices'!D2406</x:f>
        <x:v>0.1423</x:v>
      </x:c>
      <x:c r="J2406" s="13" t="n">
        <x:f>D2406*I2406*H2406</x:f>
        <x:v>0.15851686375</x:v>
      </x:c>
      <x:c r="K2406" s="13" t="n">
        <x:f>E2406*I2406*H2406</x:f>
        <x:v>0.04032959875000001</x:v>
      </x:c>
      <x:c r="L2406" s="1" t="str">
        <x:f>TEXT(A2406,"mmm yyyy")</x:f>
        <x:v>Jun 2026</x:v>
      </x:c>
    </x:row>
    <x:row r="2407" ht="21" customHeight="1">
      <x:c r="A2407" s="10" t="n">
        <x:v>46198</x:v>
      </x:c>
      <x:c r="B2407" s="1" t="n">
        <x:v>15.5</x:v>
      </x:c>
      <x:c r="C2407" s="1" t="n">
        <x:v>6</x:v>
      </x:c>
      <x:c r="D2407" s="12" t="n">
        <x:v>0.26341666666666663</x:v>
      </x:c>
      <x:c r="E2407" s="12" t="n">
        <x:v>0.33141666666666664</x:v>
      </x:c>
      <x:c r="F2407" s="12" t="n">
        <x:v>0.086</x:v>
      </x:c>
      <x:c r="G2407" s="12" t="n">
        <x:v>0.012</x:v>
      </x:c>
      <x:c r="H2407" s="1" t="n">
        <x:f>'Historical prices'!E2407</x:f>
        <x:v>1.05</x:v>
      </x:c>
      <x:c r="I2407" s="6" t="n">
        <x:f>'Historical prices'!D2407</x:f>
        <x:v>0.1451</x:v>
      </x:c>
      <x:c r="J2407" s="13" t="n">
        <x:f>D2407*I2407*H2407</x:f>
        <x:v>0.04013284624999999</x:v>
      </x:c>
      <x:c r="K2407" s="13" t="n">
        <x:f>E2407*I2407*H2407</x:f>
        <x:v>0.050492986249999997</x:v>
      </x:c>
      <x:c r="L2407" s="1" t="str">
        <x:f>TEXT(A2407,"mmm yyyy")</x:f>
        <x:v>Jun 2026</x:v>
      </x:c>
    </x:row>
    <x:row r="2408" ht="21" customHeight="1">
      <x:c r="A2408" s="10" t="n">
        <x:v>46198</x:v>
      </x:c>
      <x:c r="B2408" s="1" t="n">
        <x:v>16</x:v>
      </x:c>
      <x:c r="C2408" s="1" t="n">
        <x:v>6</x:v>
      </x:c>
      <x:c r="D2408" s="12" t="n">
        <x:v>0.04841666666666666</x:v>
      </x:c>
      <x:c r="E2408" s="12" t="n">
        <x:v>0.22933333333333336</x:v>
      </x:c>
      <x:c r="F2408" s="12" t="n">
        <x:v>0.19191666666666668</x:v>
      </x:c>
      <x:c r="G2408" s="12" t="n">
        <x:v>0.011</x:v>
      </x:c>
      <x:c r="H2408" s="1" t="n">
        <x:f>'Historical prices'!E2408</x:f>
        <x:v>1.05</x:v>
      </x:c>
      <x:c r="I2408" s="6" t="n">
        <x:f>'Historical prices'!D2408</x:f>
        <x:v>0.2903</x:v>
      </x:c>
      <x:c r="J2408" s="13" t="n">
        <x:f>D2408*I2408*H2408</x:f>
        <x:v>0.01475812625</x:v>
      </x:c>
      <x:c r="K2408" s="13" t="n">
        <x:f>E2408*I2408*H2408</x:f>
        <x:v>0.06990424000000002</x:v>
      </x:c>
      <x:c r="L2408" s="1" t="str">
        <x:f>TEXT(A2408,"mmm yyyy")</x:f>
        <x:v>Jun 2026</x:v>
      </x:c>
    </x:row>
    <x:row r="2409" ht="21" customHeight="1">
      <x:c r="A2409" s="10" t="n">
        <x:v>46198</x:v>
      </x:c>
      <x:c r="B2409" s="1" t="n">
        <x:v>16.5</x:v>
      </x:c>
      <x:c r="C2409" s="1" t="n">
        <x:v>6</x:v>
      </x:c>
      <x:c r="D2409" s="12" t="n">
        <x:v>0</x:v>
      </x:c>
      <x:c r="E2409" s="12" t="n">
        <x:v>0.27808333333333335</x:v>
      </x:c>
      <x:c r="F2409" s="12" t="n">
        <x:v>0.27775</x:v>
      </x:c>
      <x:c r="G2409" s="12" t="n">
        <x:v>0</x:v>
      </x:c>
      <x:c r="H2409" s="1" t="n">
        <x:f>'Historical prices'!E2409</x:f>
        <x:v>1.05</x:v>
      </x:c>
      <x:c r="I2409" s="6" t="n">
        <x:f>'Historical prices'!D2409</x:f>
        <x:v>0.2933</x:v>
      </x:c>
      <x:c r="J2409" s="13" t="n">
        <x:f>D2409*I2409*H2409</x:f>
        <x:v>0</x:v>
      </x:c>
      <x:c r="K2409" s="13" t="n">
        <x:f>E2409*I2409*H2409</x:f>
        <x:v>0.08563993375000001</x:v>
      </x:c>
      <x:c r="L2409" s="1" t="str">
        <x:f>TEXT(A2409,"mmm yyyy")</x:f>
        <x:v>Jun 2026</x:v>
      </x:c>
    </x:row>
    <x:row r="2410" ht="21" customHeight="1">
      <x:c r="A2410" s="10" t="n">
        <x:v>46198</x:v>
      </x:c>
      <x:c r="B2410" s="1" t="n">
        <x:v>17</x:v>
      </x:c>
      <x:c r="C2410" s="1" t="n">
        <x:v>6</x:v>
      </x:c>
      <x:c r="D2410" s="12" t="n">
        <x:v>0</x:v>
      </x:c>
      <x:c r="E2410" s="12" t="n">
        <x:v>0.24991666666666668</x:v>
      </x:c>
      <x:c r="F2410" s="12" t="n">
        <x:v>0.24975000000000003</x:v>
      </x:c>
      <x:c r="G2410" s="12" t="n">
        <x:v>0</x:v>
      </x:c>
      <x:c r="H2410" s="1" t="n">
        <x:f>'Historical prices'!E2410</x:f>
        <x:v>1.05</x:v>
      </x:c>
      <x:c r="I2410" s="6" t="n">
        <x:f>'Historical prices'!D2410</x:f>
        <x:v>0.3143</x:v>
      </x:c>
      <x:c r="J2410" s="13" t="n">
        <x:f>D2410*I2410*H2410</x:f>
        <x:v>0</x:v>
      </x:c>
      <x:c r="K2410" s="13" t="n">
        <x:f>E2410*I2410*H2410</x:f>
        <x:v>0.08247624875000002</x:v>
      </x:c>
      <x:c r="L2410" s="1" t="str">
        <x:f>TEXT(A2410,"mmm yyyy")</x:f>
        <x:v>Jun 2026</x:v>
      </x:c>
    </x:row>
    <x:row r="2411" ht="21" customHeight="1">
      <x:c r="A2411" s="10" t="n">
        <x:v>46198</x:v>
      </x:c>
      <x:c r="B2411" s="1" t="n">
        <x:v>17.5</x:v>
      </x:c>
      <x:c r="C2411" s="1" t="n">
        <x:v>6</x:v>
      </x:c>
      <x:c r="D2411" s="12" t="n">
        <x:v>0</x:v>
      </x:c>
      <x:c r="E2411" s="12" t="n">
        <x:v>0.205</x:v>
      </x:c>
      <x:c r="F2411" s="12" t="n">
        <x:v>0.20483333333333334</x:v>
      </x:c>
      <x:c r="G2411" s="12" t="n">
        <x:v>0</x:v>
      </x:c>
      <x:c r="H2411" s="1" t="n">
        <x:f>'Historical prices'!E2411</x:f>
        <x:v>1.05</x:v>
      </x:c>
      <x:c r="I2411" s="6" t="n">
        <x:f>'Historical prices'!D2411</x:f>
        <x:v>0.3423</x:v>
      </x:c>
      <x:c r="J2411" s="13" t="n">
        <x:f>D2411*I2411*H2411</x:f>
        <x:v>0</x:v>
      </x:c>
      <x:c r="K2411" s="13" t="n">
        <x:f>E2411*I2411*H2411</x:f>
        <x:v>0.073680075</x:v>
      </x:c>
      <x:c r="L2411" s="1" t="str">
        <x:f>TEXT(A2411,"mmm yyyy")</x:f>
        <x:v>Jun 2026</x:v>
      </x:c>
    </x:row>
    <x:row r="2412" ht="21" customHeight="1">
      <x:c r="A2412" s="10" t="n">
        <x:v>46198</x:v>
      </x:c>
      <x:c r="B2412" s="1" t="n">
        <x:v>18</x:v>
      </x:c>
      <x:c r="C2412" s="1" t="n">
        <x:v>6</x:v>
      </x:c>
      <x:c r="D2412" s="12" t="n">
        <x:v>0</x:v>
      </x:c>
      <x:c r="E2412" s="12" t="n">
        <x:v>0.24533333333333335</x:v>
      </x:c>
      <x:c r="F2412" s="12" t="n">
        <x:v>0.24475000000000002</x:v>
      </x:c>
      <x:c r="G2412" s="12" t="n">
        <x:v>0</x:v>
      </x:c>
      <x:c r="H2412" s="1" t="n">
        <x:f>'Historical prices'!E2412</x:f>
        <x:v>1.05</x:v>
      </x:c>
      <x:c r="I2412" s="6" t="n">
        <x:f>'Historical prices'!D2412</x:f>
        <x:v>0.4353</x:v>
      </x:c>
      <x:c r="J2412" s="13" t="n">
        <x:f>D2412*I2412*H2412</x:f>
        <x:v>0</x:v>
      </x:c>
      <x:c r="K2412" s="13" t="n">
        <x:f>E2412*I2412*H2412</x:f>
        <x:v>0.11213328000000002</x:v>
      </x:c>
      <x:c r="L2412" s="1" t="str">
        <x:f>TEXT(A2412,"mmm yyyy")</x:f>
        <x:v>Jun 2026</x:v>
      </x:c>
    </x:row>
    <x:row r="2413" ht="21" customHeight="1">
      <x:c r="A2413" s="10" t="n">
        <x:v>46198</x:v>
      </x:c>
      <x:c r="B2413" s="1" t="n">
        <x:v>18.5</x:v>
      </x:c>
      <x:c r="C2413" s="1" t="n">
        <x:v>6</x:v>
      </x:c>
      <x:c r="D2413" s="12" t="n">
        <x:v>0</x:v>
      </x:c>
      <x:c r="E2413" s="12" t="n">
        <x:v>0.2826666666666666</x:v>
      </x:c>
      <x:c r="F2413" s="12" t="n">
        <x:v>0.2826666666666666</x:v>
      </x:c>
      <x:c r="G2413" s="12" t="n">
        <x:v>0</x:v>
      </x:c>
      <x:c r="H2413" s="1" t="n">
        <x:f>'Historical prices'!E2413</x:f>
        <x:v>1.05</x:v>
      </x:c>
      <x:c r="I2413" s="6" t="n">
        <x:f>'Historical prices'!D2413</x:f>
        <x:v>0.4435</x:v>
      </x:c>
      <x:c r="J2413" s="13" t="n">
        <x:f>D2413*I2413*H2413</x:f>
        <x:v>0</x:v>
      </x:c>
      <x:c r="K2413" s="13" t="n">
        <x:f>E2413*I2413*H2413</x:f>
        <x:v>0.1316308</x:v>
      </x:c>
      <x:c r="L2413" s="1" t="str">
        <x:f>TEXT(A2413,"mmm yyyy")</x:f>
        <x:v>Jun 2026</x:v>
      </x:c>
    </x:row>
    <x:row r="2414" ht="21" customHeight="1">
      <x:c r="A2414" s="10" t="n">
        <x:v>46198</x:v>
      </x:c>
      <x:c r="B2414" s="1" t="n">
        <x:v>19</x:v>
      </x:c>
      <x:c r="C2414" s="1" t="n">
        <x:v>6</x:v>
      </x:c>
      <x:c r="D2414" s="12" t="n">
        <x:v>0</x:v>
      </x:c>
      <x:c r="E2414" s="12" t="n">
        <x:v>0.23583333333333334</x:v>
      </x:c>
      <x:c r="F2414" s="12" t="n">
        <x:v>0.23566666666666666</x:v>
      </x:c>
      <x:c r="G2414" s="12" t="n">
        <x:v>0</x:v>
      </x:c>
      <x:c r="H2414" s="1" t="n">
        <x:f>'Historical prices'!E2414</x:f>
        <x:v>1.05</x:v>
      </x:c>
      <x:c r="I2414" s="6" t="n">
        <x:f>'Historical prices'!D2414</x:f>
        <x:v>0.30469999999999997</x:v>
      </x:c>
      <x:c r="J2414" s="13" t="n">
        <x:f>D2414*I2414*H2414</x:f>
        <x:v>0</x:v>
      </x:c>
      <x:c r="K2414" s="13" t="n">
        <x:f>E2414*I2414*H2414</x:f>
        <x:v>0.0754513375</x:v>
      </x:c>
      <x:c r="L2414" s="1" t="str">
        <x:f>TEXT(A2414,"mmm yyyy")</x:f>
        <x:v>Jun 2026</x:v>
      </x:c>
    </x:row>
    <x:row r="2415" ht="21" customHeight="1">
      <x:c r="A2415" s="10" t="n">
        <x:v>46198</x:v>
      </x:c>
      <x:c r="B2415" s="1" t="n">
        <x:v>19.5</x:v>
      </x:c>
      <x:c r="C2415" s="1" t="n">
        <x:v>6</x:v>
      </x:c>
      <x:c r="D2415" s="12" t="n">
        <x:v>0</x:v>
      </x:c>
      <x:c r="E2415" s="12" t="n">
        <x:v>0.26116666666666666</x:v>
      </x:c>
      <x:c r="F2415" s="12" t="n">
        <x:v>0.2608333333333333</x:v>
      </x:c>
      <x:c r="G2415" s="12" t="n">
        <x:v>0</x:v>
      </x:c>
      <x:c r="H2415" s="1" t="n">
        <x:f>'Historical prices'!E2415</x:f>
        <x:v>1.05</x:v>
      </x:c>
      <x:c r="I2415" s="6" t="n">
        <x:f>'Historical prices'!D2415</x:f>
        <x:v>0.3152</x:v>
      </x:c>
      <x:c r="J2415" s="13" t="n">
        <x:f>D2415*I2415*H2415</x:f>
        <x:v>0</x:v>
      </x:c>
      <x:c r="K2415" s="13" t="n">
        <x:f>E2415*I2415*H2415</x:f>
        <x:v>0.08643572</x:v>
      </x:c>
      <x:c r="L2415" s="1" t="str">
        <x:f>TEXT(A2415,"mmm yyyy")</x:f>
        <x:v>Jun 2026</x:v>
      </x:c>
    </x:row>
    <x:row r="2416" ht="21" customHeight="1">
      <x:c r="A2416" s="10" t="n">
        <x:v>46198</x:v>
      </x:c>
      <x:c r="B2416" s="1" t="n">
        <x:v>20</x:v>
      </x:c>
      <x:c r="C2416" s="1" t="n">
        <x:v>6</x:v>
      </x:c>
      <x:c r="D2416" s="12" t="n">
        <x:v>0</x:v>
      </x:c>
      <x:c r="E2416" s="12" t="n">
        <x:v>0.24991666666666665</x:v>
      </x:c>
      <x:c r="F2416" s="12" t="n">
        <x:v>0.24975</x:v>
      </x:c>
      <x:c r="G2416" s="12" t="n">
        <x:v>0</x:v>
      </x:c>
      <x:c r="H2416" s="1" t="n">
        <x:f>'Historical prices'!E2416</x:f>
        <x:v>1.05</x:v>
      </x:c>
      <x:c r="I2416" s="6" t="n">
        <x:f>'Historical prices'!D2416</x:f>
        <x:v>0.30670000000000003</x:v>
      </x:c>
      <x:c r="J2416" s="13" t="n">
        <x:f>D2416*I2416*H2416</x:f>
        <x:v>0</x:v>
      </x:c>
      <x:c r="K2416" s="13" t="n">
        <x:f>E2416*I2416*H2416</x:f>
        <x:v>0.08048191375</x:v>
      </x:c>
      <x:c r="L2416" s="1" t="str">
        <x:f>TEXT(A2416,"mmm yyyy")</x:f>
        <x:v>Jun 2026</x:v>
      </x:c>
    </x:row>
    <x:row r="2417" ht="21" customHeight="1">
      <x:c r="A2417" s="10" t="n">
        <x:v>46198</x:v>
      </x:c>
      <x:c r="B2417" s="1" t="n">
        <x:v>20.5</x:v>
      </x:c>
      <x:c r="C2417" s="1" t="n">
        <x:v>6</x:v>
      </x:c>
      <x:c r="D2417" s="12" t="n">
        <x:v>0</x:v>
      </x:c>
      <x:c r="E2417" s="12" t="n">
        <x:v>0.3291666666666667</x:v>
      </x:c>
      <x:c r="F2417" s="12" t="n">
        <x:v>0.32758333333333334</x:v>
      </x:c>
      <x:c r="G2417" s="12" t="n">
        <x:v>0</x:v>
      </x:c>
      <x:c r="H2417" s="1" t="n">
        <x:f>'Historical prices'!E2417</x:f>
        <x:v>1.05</x:v>
      </x:c>
      <x:c r="I2417" s="6" t="n">
        <x:f>'Historical prices'!D2417</x:f>
        <x:v>0.2989</x:v>
      </x:c>
      <x:c r="J2417" s="13" t="n">
        <x:f>D2417*I2417*H2417</x:f>
        <x:v>0</x:v>
      </x:c>
      <x:c r="K2417" s="13" t="n">
        <x:f>E2417*I2417*H2417</x:f>
        <x:v>0.10330731250000003</x:v>
      </x:c>
      <x:c r="L2417" s="1" t="str">
        <x:f>TEXT(A2417,"mmm yyyy")</x:f>
        <x:v>Jun 2026</x:v>
      </x:c>
    </x:row>
    <x:row r="2418" ht="21" customHeight="1">
      <x:c r="A2418" s="10" t="n">
        <x:v>46198</x:v>
      </x:c>
      <x:c r="B2418" s="1" t="n">
        <x:v>21</x:v>
      </x:c>
      <x:c r="C2418" s="1" t="n">
        <x:v>6</x:v>
      </x:c>
      <x:c r="D2418" s="12" t="n">
        <x:v>0</x:v>
      </x:c>
      <x:c r="E2418" s="12" t="n">
        <x:v>0.28191666666666665</x:v>
      </x:c>
      <x:c r="F2418" s="12" t="n">
        <x:v>0.2818333333333333</x:v>
      </x:c>
      <x:c r="G2418" s="12" t="n">
        <x:v>0</x:v>
      </x:c>
      <x:c r="H2418" s="1" t="n">
        <x:f>'Historical prices'!E2418</x:f>
        <x:v>1.05</x:v>
      </x:c>
      <x:c r="I2418" s="6" t="n">
        <x:f>'Historical prices'!D2418</x:f>
        <x:v>0.28309999999999996</x:v>
      </x:c>
      <x:c r="J2418" s="13" t="n">
        <x:f>D2418*I2418*H2418</x:f>
        <x:v>0</x:v>
      </x:c>
      <x:c r="K2418" s="13" t="n">
        <x:f>E2418*I2418*H2418</x:f>
        <x:v>0.08380113874999999</x:v>
      </x:c>
      <x:c r="L2418" s="1" t="str">
        <x:f>TEXT(A2418,"mmm yyyy")</x:f>
        <x:v>Jun 2026</x:v>
      </x:c>
    </x:row>
    <x:row r="2419" ht="21" customHeight="1">
      <x:c r="A2419" s="10" t="n">
        <x:v>46198</x:v>
      </x:c>
      <x:c r="B2419" s="1" t="n">
        <x:v>21.5</x:v>
      </x:c>
      <x:c r="C2419" s="1" t="n">
        <x:v>6</x:v>
      </x:c>
      <x:c r="D2419" s="12" t="n">
        <x:v>0</x:v>
      </x:c>
      <x:c r="E2419" s="12" t="n">
        <x:v>0.405</x:v>
      </x:c>
      <x:c r="F2419" s="12" t="n">
        <x:v>0.4049166666666667</x:v>
      </x:c>
      <x:c r="G2419" s="12" t="n">
        <x:v>0</x:v>
      </x:c>
      <x:c r="H2419" s="1" t="n">
        <x:f>'Historical prices'!E2419</x:f>
        <x:v>1.05</x:v>
      </x:c>
      <x:c r="I2419" s="6" t="n">
        <x:f>'Historical prices'!D2419</x:f>
        <x:v>0.2793</x:v>
      </x:c>
      <x:c r="J2419" s="13" t="n">
        <x:f>D2419*I2419*H2419</x:f>
        <x:v>0</x:v>
      </x:c>
      <x:c r="K2419" s="13" t="n">
        <x:f>E2419*I2419*H2419</x:f>
        <x:v>0.11877232500000001</x:v>
      </x:c>
      <x:c r="L2419" s="1" t="str">
        <x:f>TEXT(A2419,"mmm yyyy")</x:f>
        <x:v>Jun 2026</x:v>
      </x:c>
    </x:row>
    <x:row r="2420" ht="21" customHeight="1">
      <x:c r="A2420" s="10" t="n">
        <x:v>46198</x:v>
      </x:c>
      <x:c r="B2420" s="1" t="n">
        <x:v>22</x:v>
      </x:c>
      <x:c r="C2420" s="1" t="n">
        <x:v>6</x:v>
      </x:c>
      <x:c r="D2420" s="12" t="n">
        <x:v>0</x:v>
      </x:c>
      <x:c r="E2420" s="12" t="n">
        <x:v>0.3998333333333333</x:v>
      </x:c>
      <x:c r="F2420" s="12" t="n">
        <x:v>0.39975</x:v>
      </x:c>
      <x:c r="G2420" s="12" t="n">
        <x:v>0</x:v>
      </x:c>
      <x:c r="H2420" s="1" t="n">
        <x:f>'Historical prices'!E2420</x:f>
        <x:v>1.05</x:v>
      </x:c>
      <x:c r="I2420" s="6" t="n">
        <x:f>'Historical prices'!D2420</x:f>
        <x:v>0.2249</x:v>
      </x:c>
      <x:c r="J2420" s="13" t="n">
        <x:f>D2420*I2420*H2420</x:f>
        <x:v>0</x:v>
      </x:c>
      <x:c r="K2420" s="13" t="n">
        <x:f>E2420*I2420*H2420</x:f>
        <x:v>0.0944186425</x:v>
      </x:c>
      <x:c r="L2420" s="1" t="str">
        <x:f>TEXT(A2420,"mmm yyyy")</x:f>
        <x:v>Jun 2026</x:v>
      </x:c>
    </x:row>
    <x:row r="2421" ht="21" customHeight="1">
      <x:c r="A2421" s="10" t="n">
        <x:v>46198</x:v>
      </x:c>
      <x:c r="B2421" s="1" t="n">
        <x:v>22.5</x:v>
      </x:c>
      <x:c r="C2421" s="1" t="n">
        <x:v>6</x:v>
      </x:c>
      <x:c r="D2421" s="12" t="n">
        <x:v>0</x:v>
      </x:c>
      <x:c r="E2421" s="12" t="n">
        <x:v>0.4028333333333334</x:v>
      </x:c>
      <x:c r="F2421" s="12" t="n">
        <x:v>0.40275000000000005</x:v>
      </x:c>
      <x:c r="G2421" s="12" t="n">
        <x:v>0</x:v>
      </x:c>
      <x:c r="H2421" s="1" t="n">
        <x:f>'Historical prices'!E2421</x:f>
        <x:v>1.05</x:v>
      </x:c>
      <x:c r="I2421" s="6" t="n">
        <x:f>'Historical prices'!D2421</x:f>
        <x:v>0.1955</x:v>
      </x:c>
      <x:c r="J2421" s="13" t="n">
        <x:f>D2421*I2421*H2421</x:f>
        <x:v>0</x:v>
      </x:c>
      <x:c r="K2421" s="13" t="n">
        <x:f>E2421*I2421*H2421</x:f>
        <x:v>0.08269161250000001</x:v>
      </x:c>
      <x:c r="L2421" s="1" t="str">
        <x:f>TEXT(A2421,"mmm yyyy")</x:f>
        <x:v>Jun 2026</x:v>
      </x:c>
    </x:row>
    <x:row r="2422" ht="21" customHeight="1">
      <x:c r="A2422" s="10" t="n">
        <x:v>46198</x:v>
      </x:c>
      <x:c r="B2422" s="1" t="n">
        <x:v>23</x:v>
      </x:c>
      <x:c r="C2422" s="1" t="n">
        <x:v>6</x:v>
      </x:c>
      <x:c r="D2422" s="12" t="n">
        <x:v>0.24158333333333332</x:v>
      </x:c>
      <x:c r="E2422" s="12" t="n">
        <x:v>0.32458333333333333</x:v>
      </x:c>
      <x:c r="F2422" s="12" t="n">
        <x:v>0.069</x:v>
      </x:c>
      <x:c r="G2422" s="12" t="n">
        <x:v>0</x:v>
      </x:c>
      <x:c r="H2422" s="1" t="n">
        <x:f>'Historical prices'!E2422</x:f>
        <x:v>1.05</x:v>
      </x:c>
      <x:c r="I2422" s="6" t="n">
        <x:f>'Historical prices'!D2422</x:f>
        <x:v>0.1739</x:v>
      </x:c>
      <x:c r="J2422" s="13" t="n">
        <x:f>D2422*I2422*H2422</x:f>
        <x:v>0.044111908750000005</x:v>
      </x:c>
      <x:c r="K2422" s="13" t="n">
        <x:f>E2422*I2422*H2422</x:f>
        <x:v>0.059267293750000005</x:v>
      </x:c>
      <x:c r="L2422" s="1" t="str">
        <x:f>TEXT(A2422,"mmm yyyy")</x:f>
        <x:v>Jun 2026</x:v>
      </x:c>
    </x:row>
    <x:row r="2423" ht="21" customHeight="1">
      <x:c r="A2423" s="10" t="n">
        <x:v>46198</x:v>
      </x:c>
      <x:c r="B2423" s="1" t="n">
        <x:v>23.5</x:v>
      </x:c>
      <x:c r="C2423" s="1" t="n">
        <x:v>6</x:v>
      </x:c>
      <x:c r="D2423" s="12" t="n">
        <x:v>0.2555</x:v>
      </x:c>
      <x:c r="E2423" s="12" t="n">
        <x:v>0.2655</x:v>
      </x:c>
      <x:c r="F2423" s="12" t="n">
        <x:v>0</x:v>
      </x:c>
      <x:c r="G2423" s="12" t="n">
        <x:v>0</x:v>
      </x:c>
      <x:c r="H2423" s="1" t="n">
        <x:f>'Historical prices'!E2423</x:f>
        <x:v>1.05</x:v>
      </x:c>
      <x:c r="I2423" s="6" t="n">
        <x:f>'Historical prices'!D2423</x:f>
        <x:v>0.1752</x:v>
      </x:c>
      <x:c r="J2423" s="13" t="n">
        <x:f>D2423*I2423*H2423</x:f>
        <x:v>0.04700178</x:v>
      </x:c>
      <x:c r="K2423" s="13" t="n">
        <x:f>E2423*I2423*H2423</x:f>
        <x:v>0.048841380000000004</x:v>
      </x:c>
      <x:c r="L2423" s="1" t="str">
        <x:f>TEXT(A2423,"mmm yyyy")</x:f>
        <x:v>Jun 2026</x:v>
      </x:c>
    </x:row>
    <x:row r="2424" ht="21" customHeight="1">
      <x:c r="A2424" s="10" t="n">
        <x:v>46199</x:v>
      </x:c>
      <x:c r="B2424" s="1" t="n">
        <x:v>0</x:v>
      </x:c>
      <x:c r="C2424" s="1" t="n">
        <x:v>6</x:v>
      </x:c>
      <x:c r="D2424" s="12" t="n">
        <x:v>0.16849999999999998</x:v>
      </x:c>
      <x:c r="E2424" s="12" t="n">
        <x:v>0.1785</x:v>
      </x:c>
      <x:c r="F2424" s="12" t="n">
        <x:v>0</x:v>
      </x:c>
      <x:c r="G2424" s="12" t="n">
        <x:v>0</x:v>
      </x:c>
      <x:c r="H2424" s="1" t="n">
        <x:f>'Historical prices'!E2424</x:f>
        <x:v>1.05</x:v>
      </x:c>
      <x:c r="I2424" s="6" t="n">
        <x:f>'Historical prices'!D2424</x:f>
        <x:v>0.1732</x:v>
      </x:c>
      <x:c r="J2424" s="13" t="n">
        <x:f>D2424*I2424*H2424</x:f>
        <x:v>0.03064341</x:v>
      </x:c>
      <x:c r="K2424" s="13" t="n">
        <x:f>E2424*I2424*H2424</x:f>
        <x:v>0.03246201</x:v>
      </x:c>
      <x:c r="L2424" s="1" t="str">
        <x:f>TEXT(A2424,"mmm yyyy")</x:f>
        <x:v>Jun 2026</x:v>
      </x:c>
    </x:row>
    <x:row r="2425" ht="21" customHeight="1">
      <x:c r="A2425" s="10" t="n">
        <x:v>46199</x:v>
      </x:c>
      <x:c r="B2425" s="1" t="n">
        <x:v>0.5</x:v>
      </x:c>
      <x:c r="C2425" s="1" t="n">
        <x:v>6</x:v>
      </x:c>
      <x:c r="D2425" s="12" t="n">
        <x:v>0.19174999999999998</x:v>
      </x:c>
      <x:c r="E2425" s="12" t="n">
        <x:v>0.20274999999999999</x:v>
      </x:c>
      <x:c r="F2425" s="12" t="n">
        <x:v>0</x:v>
      </x:c>
      <x:c r="G2425" s="12" t="n">
        <x:v>0</x:v>
      </x:c>
      <x:c r="H2425" s="1" t="n">
        <x:f>'Historical prices'!E2425</x:f>
        <x:v>1.05</x:v>
      </x:c>
      <x:c r="I2425" s="6" t="n">
        <x:f>'Historical prices'!D2425</x:f>
        <x:v>0.1648</x:v>
      </x:c>
      <x:c r="J2425" s="13" t="n">
        <x:f>D2425*I2425*H2425</x:f>
        <x:v>0.033180419999999995</x:v>
      </x:c>
      <x:c r="K2425" s="13" t="n">
        <x:f>E2425*I2425*H2425</x:f>
        <x:v>0.03508386</x:v>
      </x:c>
      <x:c r="L2425" s="1" t="str">
        <x:f>TEXT(A2425,"mmm yyyy")</x:f>
        <x:v>Jun 2026</x:v>
      </x:c>
    </x:row>
    <x:row r="2426" ht="21" customHeight="1">
      <x:c r="A2426" s="10" t="n">
        <x:v>46199</x:v>
      </x:c>
      <x:c r="B2426" s="1" t="n">
        <x:v>1</x:v>
      </x:c>
      <x:c r="C2426" s="1" t="n">
        <x:v>6</x:v>
      </x:c>
      <x:c r="D2426" s="12" t="n">
        <x:v>0.21783333333333335</x:v>
      </x:c>
      <x:c r="E2426" s="12" t="n">
        <x:v>0.22783333333333336</x:v>
      </x:c>
      <x:c r="F2426" s="12" t="n">
        <x:v>0</x:v>
      </x:c>
      <x:c r="G2426" s="12" t="n">
        <x:v>0</x:v>
      </x:c>
      <x:c r="H2426" s="1" t="n">
        <x:f>'Historical prices'!E2426</x:f>
        <x:v>1.05</x:v>
      </x:c>
      <x:c r="I2426" s="6" t="n">
        <x:f>'Historical prices'!D2426</x:f>
        <x:v>0.16879999999999998</x:v>
      </x:c>
      <x:c r="J2426" s="13" t="n">
        <x:f>D2426*I2426*H2426</x:f>
        <x:v>0.038608779999999995</x:v>
      </x:c>
      <x:c r="K2426" s="13" t="n">
        <x:f>E2426*I2426*H2426</x:f>
        <x:v>0.040381179999999996</x:v>
      </x:c>
      <x:c r="L2426" s="1" t="str">
        <x:f>TEXT(A2426,"mmm yyyy")</x:f>
        <x:v>Jun 2026</x:v>
      </x:c>
    </x:row>
    <x:row r="2427" ht="21" customHeight="1">
      <x:c r="A2427" s="10" t="n">
        <x:v>46199</x:v>
      </x:c>
      <x:c r="B2427" s="1" t="n">
        <x:v>1.5</x:v>
      </x:c>
      <x:c r="C2427" s="1" t="n">
        <x:v>6</x:v>
      </x:c>
      <x:c r="D2427" s="12" t="n">
        <x:v>0.25633333333333336</x:v>
      </x:c>
      <x:c r="E2427" s="12" t="n">
        <x:v>0.2663333333333333</x:v>
      </x:c>
      <x:c r="F2427" s="12" t="n">
        <x:v>0</x:v>
      </x:c>
      <x:c r="G2427" s="12" t="n">
        <x:v>0</x:v>
      </x:c>
      <x:c r="H2427" s="1" t="n">
        <x:f>'Historical prices'!E2427</x:f>
        <x:v>1.05</x:v>
      </x:c>
      <x:c r="I2427" s="6" t="n">
        <x:f>'Historical prices'!D2427</x:f>
        <x:v>0.17420000000000002</x:v>
      </x:c>
      <x:c r="J2427" s="13" t="n">
        <x:f>D2427*I2427*H2427</x:f>
        <x:v>0.04688593000000001</x:v>
      </x:c>
      <x:c r="K2427" s="13" t="n">
        <x:f>E2427*I2427*H2427</x:f>
        <x:v>0.048715030000000006</x:v>
      </x:c>
      <x:c r="L2427" s="1" t="str">
        <x:f>TEXT(A2427,"mmm yyyy")</x:f>
        <x:v>Jun 2026</x:v>
      </x:c>
    </x:row>
    <x:row r="2428" ht="21" customHeight="1">
      <x:c r="A2428" s="10" t="n">
        <x:v>46199</x:v>
      </x:c>
      <x:c r="B2428" s="1" t="n">
        <x:v>2</x:v>
      </x:c>
      <x:c r="C2428" s="1" t="n">
        <x:v>6</x:v>
      </x:c>
      <x:c r="D2428" s="12" t="n">
        <x:v>0.20666666666666667</x:v>
      </x:c>
      <x:c r="E2428" s="12" t="n">
        <x:v>0.21766666666666667</x:v>
      </x:c>
      <x:c r="F2428" s="12" t="n">
        <x:v>0</x:v>
      </x:c>
      <x:c r="G2428" s="12" t="n">
        <x:v>0</x:v>
      </x:c>
      <x:c r="H2428" s="1" t="n">
        <x:f>'Historical prices'!E2428</x:f>
        <x:v>1.05</x:v>
      </x:c>
      <x:c r="I2428" s="6" t="n">
        <x:f>'Historical prices'!D2428</x:f>
        <x:v>0.1766</x:v>
      </x:c>
      <x:c r="J2428" s="13" t="n">
        <x:f>D2428*I2428*H2428</x:f>
        <x:v>0.0383222</x:v>
      </x:c>
      <x:c r="K2428" s="13" t="n">
        <x:f>E2428*I2428*H2428</x:f>
        <x:v>0.040361930000000004</x:v>
      </x:c>
      <x:c r="L2428" s="1" t="str">
        <x:f>TEXT(A2428,"mmm yyyy")</x:f>
        <x:v>Jun 2026</x:v>
      </x:c>
    </x:row>
    <x:row r="2429" ht="21" customHeight="1">
      <x:c r="A2429" s="10" t="n">
        <x:v>46199</x:v>
      </x:c>
      <x:c r="B2429" s="1" t="n">
        <x:v>2.5</x:v>
      </x:c>
      <x:c r="C2429" s="1" t="n">
        <x:v>6</x:v>
      </x:c>
      <x:c r="D2429" s="12" t="n">
        <x:v>0.182</x:v>
      </x:c>
      <x:c r="E2429" s="12" t="n">
        <x:v>0.193</x:v>
      </x:c>
      <x:c r="F2429" s="12" t="n">
        <x:v>0</x:v>
      </x:c>
      <x:c r="G2429" s="12" t="n">
        <x:v>0</x:v>
      </x:c>
      <x:c r="H2429" s="1" t="n">
        <x:f>'Historical prices'!E2429</x:f>
        <x:v>1.05</x:v>
      </x:c>
      <x:c r="I2429" s="6" t="n">
        <x:f>'Historical prices'!D2429</x:f>
        <x:v>0.1766</x:v>
      </x:c>
      <x:c r="J2429" s="13" t="n">
        <x:f>D2429*I2429*H2429</x:f>
        <x:v>0.03374826</x:v>
      </x:c>
      <x:c r="K2429" s="13" t="n">
        <x:f>E2429*I2429*H2429</x:f>
        <x:v>0.035787990000000006</x:v>
      </x:c>
      <x:c r="L2429" s="1" t="str">
        <x:f>TEXT(A2429,"mmm yyyy")</x:f>
        <x:v>Jun 2026</x:v>
      </x:c>
    </x:row>
    <x:row r="2430" ht="21" customHeight="1">
      <x:c r="A2430" s="10" t="n">
        <x:v>46199</x:v>
      </x:c>
      <x:c r="B2430" s="1" t="n">
        <x:v>3</x:v>
      </x:c>
      <x:c r="C2430" s="1" t="n">
        <x:v>6</x:v>
      </x:c>
      <x:c r="D2430" s="12" t="n">
        <x:v>0.15733333333333335</x:v>
      </x:c>
      <x:c r="E2430" s="12" t="n">
        <x:v>0.16633333333333333</x:v>
      </x:c>
      <x:c r="F2430" s="12" t="n">
        <x:v>0</x:v>
      </x:c>
      <x:c r="G2430" s="12" t="n">
        <x:v>0</x:v>
      </x:c>
      <x:c r="H2430" s="1" t="n">
        <x:f>'Historical prices'!E2430</x:f>
        <x:v>1.05</x:v>
      </x:c>
      <x:c r="I2430" s="6" t="n">
        <x:f>'Historical prices'!D2430</x:f>
        <x:v>0.1793</x:v>
      </x:c>
      <x:c r="J2430" s="13" t="n">
        <x:f>D2430*I2430*H2430</x:f>
        <x:v>0.029620360000000002</x:v>
      </x:c>
      <x:c r="K2430" s="13" t="n">
        <x:f>E2430*I2430*H2430</x:f>
        <x:v>0.031314745</x:v>
      </x:c>
      <x:c r="L2430" s="1" t="str">
        <x:f>TEXT(A2430,"mmm yyyy")</x:f>
        <x:v>Jun 2026</x:v>
      </x:c>
    </x:row>
    <x:row r="2431" ht="21" customHeight="1">
      <x:c r="A2431" s="10" t="n">
        <x:v>46199</x:v>
      </x:c>
      <x:c r="B2431" s="1" t="n">
        <x:v>3.5</x:v>
      </x:c>
      <x:c r="C2431" s="1" t="n">
        <x:v>6</x:v>
      </x:c>
      <x:c r="D2431" s="12" t="n">
        <x:v>0.23083333333333333</x:v>
      </x:c>
      <x:c r="E2431" s="12" t="n">
        <x:v>0.24183333333333332</x:v>
      </x:c>
      <x:c r="F2431" s="12" t="n">
        <x:v>0</x:v>
      </x:c>
      <x:c r="G2431" s="12" t="n">
        <x:v>0</x:v>
      </x:c>
      <x:c r="H2431" s="1" t="n">
        <x:f>'Historical prices'!E2431</x:f>
        <x:v>1.05</x:v>
      </x:c>
      <x:c r="I2431" s="6" t="n">
        <x:f>'Historical prices'!D2431</x:f>
        <x:v>0.17989999999999998</x:v>
      </x:c>
      <x:c r="J2431" s="13" t="n">
        <x:f>D2431*I2431*H2431</x:f>
        <x:v>0.0436032625</x:v>
      </x:c>
      <x:c r="K2431" s="13" t="n">
        <x:f>E2431*I2431*H2431</x:f>
        <x:v>0.04568110749999999</x:v>
      </x:c>
      <x:c r="L2431" s="1" t="str">
        <x:f>TEXT(A2431,"mmm yyyy")</x:f>
        <x:v>Jun 2026</x:v>
      </x:c>
    </x:row>
    <x:row r="2432" ht="21" customHeight="1">
      <x:c r="A2432" s="10" t="n">
        <x:v>46199</x:v>
      </x:c>
      <x:c r="B2432" s="1" t="n">
        <x:v>4</x:v>
      </x:c>
      <x:c r="C2432" s="1" t="n">
        <x:v>6</x:v>
      </x:c>
      <x:c r="D2432" s="12" t="n">
        <x:v>0.29141666666666666</x:v>
      </x:c>
      <x:c r="E2432" s="12" t="n">
        <x:v>0.30141666666666667</x:v>
      </x:c>
      <x:c r="F2432" s="12" t="n">
        <x:v>0</x:v>
      </x:c>
      <x:c r="G2432" s="12" t="n">
        <x:v>0</x:v>
      </x:c>
      <x:c r="H2432" s="1" t="n">
        <x:f>'Historical prices'!E2432</x:f>
        <x:v>1.05</x:v>
      </x:c>
      <x:c r="I2432" s="6" t="n">
        <x:f>'Historical prices'!D2432</x:f>
        <x:v>0.1942</x:v>
      </x:c>
      <x:c r="J2432" s="13" t="n">
        <x:f>D2432*I2432*H2432</x:f>
        <x:v>0.0594227725</x:v>
      </x:c>
      <x:c r="K2432" s="13" t="n">
        <x:f>E2432*I2432*H2432</x:f>
        <x:v>0.06146187250000001</x:v>
      </x:c>
      <x:c r="L2432" s="1" t="str">
        <x:f>TEXT(A2432,"mmm yyyy")</x:f>
        <x:v>Jun 2026</x:v>
      </x:c>
    </x:row>
    <x:row r="2433" ht="21" customHeight="1">
      <x:c r="A2433" s="10" t="n">
        <x:v>46199</x:v>
      </x:c>
      <x:c r="B2433" s="1" t="n">
        <x:v>4.5</x:v>
      </x:c>
      <x:c r="C2433" s="1" t="n">
        <x:v>6</x:v>
      </x:c>
      <x:c r="D2433" s="12" t="n">
        <x:v>0.2436666666666667</x:v>
      </x:c>
      <x:c r="E2433" s="12" t="n">
        <x:v>0.25466666666666665</x:v>
      </x:c>
      <x:c r="F2433" s="12" t="n">
        <x:v>0</x:v>
      </x:c>
      <x:c r="G2433" s="12" t="n">
        <x:v>0</x:v>
      </x:c>
      <x:c r="H2433" s="1" t="n">
        <x:f>'Historical prices'!E2433</x:f>
        <x:v>1.05</x:v>
      </x:c>
      <x:c r="I2433" s="6" t="n">
        <x:f>'Historical prices'!D2433</x:f>
        <x:v>0.1942</x:v>
      </x:c>
      <x:c r="J2433" s="13" t="n">
        <x:f>D2433*I2433*H2433</x:f>
        <x:v>0.04968607000000001</x:v>
      </x:c>
      <x:c r="K2433" s="13" t="n">
        <x:f>E2433*I2433*H2433</x:f>
        <x:v>0.05192908</x:v>
      </x:c>
      <x:c r="L2433" s="1" t="str">
        <x:f>TEXT(A2433,"mmm yyyy")</x:f>
        <x:v>Jun 2026</x:v>
      </x:c>
    </x:row>
    <x:row r="2434" ht="21" customHeight="1">
      <x:c r="A2434" s="10" t="n">
        <x:v>46199</x:v>
      </x:c>
      <x:c r="B2434" s="1" t="n">
        <x:v>5</x:v>
      </x:c>
      <x:c r="C2434" s="1" t="n">
        <x:v>6</x:v>
      </x:c>
      <x:c r="D2434" s="12" t="n">
        <x:v>0.21016666666666667</x:v>
      </x:c>
      <x:c r="E2434" s="12" t="n">
        <x:v>0.22016666666666668</x:v>
      </x:c>
      <x:c r="F2434" s="12" t="n">
        <x:v>0</x:v>
      </x:c>
      <x:c r="G2434" s="12" t="n">
        <x:v>0</x:v>
      </x:c>
      <x:c r="H2434" s="1" t="n">
        <x:f>'Historical prices'!E2434</x:f>
        <x:v>1.05</x:v>
      </x:c>
      <x:c r="I2434" s="6" t="n">
        <x:f>'Historical prices'!D2434</x:f>
        <x:v>0.20149999999999998</x:v>
      </x:c>
      <x:c r="J2434" s="13" t="n">
        <x:f>D2434*I2434*H2434</x:f>
        <x:v>0.0444660125</x:v>
      </x:c>
      <x:c r="K2434" s="13" t="n">
        <x:f>E2434*I2434*H2434</x:f>
        <x:v>0.0465817625</x:v>
      </x:c>
      <x:c r="L2434" s="1" t="str">
        <x:f>TEXT(A2434,"mmm yyyy")</x:f>
        <x:v>Jun 2026</x:v>
      </x:c>
    </x:row>
    <x:row r="2435" ht="21" customHeight="1">
      <x:c r="A2435" s="10" t="n">
        <x:v>46199</x:v>
      </x:c>
      <x:c r="B2435" s="1" t="n">
        <x:v>5.5</x:v>
      </x:c>
      <x:c r="C2435" s="1" t="n">
        <x:v>6</x:v>
      </x:c>
      <x:c r="D2435" s="12" t="n">
        <x:v>0.034666666666666665</x:v>
      </x:c>
      <x:c r="E2435" s="12" t="n">
        <x:v>0.26975</x:v>
      </x:c>
      <x:c r="F2435" s="12" t="n">
        <x:v>0.23299999999999998</x:v>
      </x:c>
      <x:c r="G2435" s="12" t="n">
        <x:v>0</x:v>
      </x:c>
      <x:c r="H2435" s="1" t="n">
        <x:f>'Historical prices'!E2435</x:f>
        <x:v>1.05</x:v>
      </x:c>
      <x:c r="I2435" s="6" t="n">
        <x:f>'Historical prices'!D2435</x:f>
        <x:v>0.2109</x:v>
      </x:c>
      <x:c r="J2435" s="13" t="n">
        <x:f>D2435*I2435*H2435</x:f>
        <x:v>0.0076767599999999995</x:v>
      </x:c>
      <x:c r="K2435" s="13" t="n">
        <x:f>E2435*I2435*H2435</x:f>
        <x:v>0.05973478875</x:v>
      </x:c>
      <x:c r="L2435" s="1" t="str">
        <x:f>TEXT(A2435,"mmm yyyy")</x:f>
        <x:v>Jun 2026</x:v>
      </x:c>
    </x:row>
    <x:row r="2436" ht="21" customHeight="1">
      <x:c r="A2436" s="10" t="n">
        <x:v>46199</x:v>
      </x:c>
      <x:c r="B2436" s="1" t="n">
        <x:v>6</x:v>
      </x:c>
      <x:c r="C2436" s="1" t="n">
        <x:v>6</x:v>
      </x:c>
      <x:c r="D2436" s="12" t="n">
        <x:v>0</x:v>
      </x:c>
      <x:c r="E2436" s="12" t="n">
        <x:v>0.2125</x:v>
      </x:c>
      <x:c r="F2436" s="12" t="n">
        <x:v>0.20666666666666667</x:v>
      </x:c>
      <x:c r="G2436" s="12" t="n">
        <x:v>0</x:v>
      </x:c>
      <x:c r="H2436" s="1" t="n">
        <x:f>'Historical prices'!E2436</x:f>
        <x:v>1.05</x:v>
      </x:c>
      <x:c r="I2436" s="6" t="n">
        <x:f>'Historical prices'!D2436</x:f>
        <x:v>0.2054</x:v>
      </x:c>
      <x:c r="J2436" s="13" t="n">
        <x:f>D2436*I2436*H2436</x:f>
        <x:v>0</x:v>
      </x:c>
      <x:c r="K2436" s="13" t="n">
        <x:f>E2436*I2436*H2436</x:f>
        <x:v>0.045829875</x:v>
      </x:c>
      <x:c r="L2436" s="1" t="str">
        <x:f>TEXT(A2436,"mmm yyyy")</x:f>
        <x:v>Jun 2026</x:v>
      </x:c>
    </x:row>
    <x:row r="2437" ht="21" customHeight="1">
      <x:c r="A2437" s="10" t="n">
        <x:v>46199</x:v>
      </x:c>
      <x:c r="B2437" s="1" t="n">
        <x:v>6.5</x:v>
      </x:c>
      <x:c r="C2437" s="1" t="n">
        <x:v>6</x:v>
      </x:c>
      <x:c r="D2437" s="12" t="n">
        <x:v>0</x:v>
      </x:c>
      <x:c r="E2437" s="12" t="n">
        <x:v>0.3428333333333334</x:v>
      </x:c>
      <x:c r="F2437" s="12" t="n">
        <x:v>0.34241666666666665</x:v>
      </x:c>
      <x:c r="G2437" s="12" t="n">
        <x:v>0</x:v>
      </x:c>
      <x:c r="H2437" s="1" t="n">
        <x:f>'Historical prices'!E2437</x:f>
        <x:v>1.05</x:v>
      </x:c>
      <x:c r="I2437" s="6" t="n">
        <x:f>'Historical prices'!D2437</x:f>
        <x:v>0.2268</x:v>
      </x:c>
      <x:c r="J2437" s="13" t="n">
        <x:f>D2437*I2437*H2437</x:f>
        <x:v>0</x:v>
      </x:c>
      <x:c r="K2437" s="13" t="n">
        <x:f>E2437*I2437*H2437</x:f>
        <x:v>0.08164233000000001</x:v>
      </x:c>
      <x:c r="L2437" s="1" t="str">
        <x:f>TEXT(A2437,"mmm yyyy")</x:f>
        <x:v>Jun 2026</x:v>
      </x:c>
    </x:row>
    <x:row r="2438" ht="21" customHeight="1">
      <x:c r="A2438" s="10" t="n">
        <x:v>46199</x:v>
      </x:c>
      <x:c r="B2438" s="1" t="n">
        <x:v>7</x:v>
      </x:c>
      <x:c r="C2438" s="1" t="n">
        <x:v>6</x:v>
      </x:c>
      <x:c r="D2438" s="12" t="n">
        <x:v>0</x:v>
      </x:c>
      <x:c r="E2438" s="12" t="n">
        <x:v>0.3138333333333333</x:v>
      </x:c>
      <x:c r="F2438" s="12" t="n">
        <x:v>0.3138333333333333</x:v>
      </x:c>
      <x:c r="G2438" s="12" t="n">
        <x:v>0</x:v>
      </x:c>
      <x:c r="H2438" s="1" t="n">
        <x:f>'Historical prices'!E2438</x:f>
        <x:v>1.05</x:v>
      </x:c>
      <x:c r="I2438" s="6" t="n">
        <x:f>'Historical prices'!D2438</x:f>
        <x:v>0.2018</x:v>
      </x:c>
      <x:c r="J2438" s="13" t="n">
        <x:f>D2438*I2438*H2438</x:f>
        <x:v>0</x:v>
      </x:c>
      <x:c r="K2438" s="13" t="n">
        <x:f>E2438*I2438*H2438</x:f>
        <x:v>0.066498145</x:v>
      </x:c>
      <x:c r="L2438" s="1" t="str">
        <x:f>TEXT(A2438,"mmm yyyy")</x:f>
        <x:v>Jun 2026</x:v>
      </x:c>
    </x:row>
    <x:row r="2439" ht="21" customHeight="1">
      <x:c r="A2439" s="10" t="n">
        <x:v>46199</x:v>
      </x:c>
      <x:c r="B2439" s="1" t="n">
        <x:v>7.5</x:v>
      </x:c>
      <x:c r="C2439" s="1" t="n">
        <x:v>6</x:v>
      </x:c>
      <x:c r="D2439" s="12" t="n">
        <x:v>0</x:v>
      </x:c>
      <x:c r="E2439" s="12" t="n">
        <x:v>0.24716666666666665</x:v>
      </x:c>
      <x:c r="F2439" s="12" t="n">
        <x:v>0.24683333333333332</x:v>
      </x:c>
      <x:c r="G2439" s="12" t="n">
        <x:v>0</x:v>
      </x:c>
      <x:c r="H2439" s="1" t="n">
        <x:f>'Historical prices'!E2439</x:f>
        <x:v>1.05</x:v>
      </x:c>
      <x:c r="I2439" s="6" t="n">
        <x:f>'Historical prices'!D2439</x:f>
        <x:v>0.2298</x:v>
      </x:c>
      <x:c r="J2439" s="13" t="n">
        <x:f>D2439*I2439*H2439</x:f>
        <x:v>0</x:v>
      </x:c>
      <x:c r="K2439" s="13" t="n">
        <x:f>E2439*I2439*H2439</x:f>
        <x:v>0.059638845</x:v>
      </x:c>
      <x:c r="L2439" s="1" t="str">
        <x:f>TEXT(A2439,"mmm yyyy")</x:f>
        <x:v>Jun 2026</x:v>
      </x:c>
    </x:row>
    <x:row r="2440" ht="21" customHeight="1">
      <x:c r="A2440" s="10" t="n">
        <x:v>46199</x:v>
      </x:c>
      <x:c r="B2440" s="1" t="n">
        <x:v>8</x:v>
      </x:c>
      <x:c r="C2440" s="1" t="n">
        <x:v>6</x:v>
      </x:c>
      <x:c r="D2440" s="12" t="n">
        <x:v>0.13533333333333336</x:v>
      </x:c>
      <x:c r="E2440" s="12" t="n">
        <x:v>0.17708333333333331</x:v>
      </x:c>
      <x:c r="F2440" s="12" t="n">
        <x:v>0.03275</x:v>
      </x:c>
      <x:c r="G2440" s="12" t="n">
        <x:v>0</x:v>
      </x:c>
      <x:c r="H2440" s="1" t="n">
        <x:f>'Historical prices'!E2440</x:f>
        <x:v>1.05</x:v>
      </x:c>
      <x:c r="I2440" s="6" t="n">
        <x:f>'Historical prices'!D2440</x:f>
        <x:v>0.1699</x:v>
      </x:c>
      <x:c r="J2440" s="13" t="n">
        <x:f>D2440*I2440*H2440</x:f>
        <x:v>0.024142790000000008</x:v>
      </x:c>
      <x:c r="K2440" s="13" t="n">
        <x:f>E2440*I2440*H2440</x:f>
        <x:v>0.03159078125</x:v>
      </x:c>
      <x:c r="L2440" s="1" t="str">
        <x:f>TEXT(A2440,"mmm yyyy")</x:f>
        <x:v>Jun 2026</x:v>
      </x:c>
    </x:row>
    <x:row r="2441" ht="21" customHeight="1">
      <x:c r="A2441" s="10" t="n">
        <x:v>46199</x:v>
      </x:c>
      <x:c r="B2441" s="1" t="n">
        <x:v>8.5</x:v>
      </x:c>
      <x:c r="C2441" s="1" t="n">
        <x:v>6</x:v>
      </x:c>
      <x:c r="D2441" s="12" t="n">
        <x:v>0.20391666666666663</x:v>
      </x:c>
      <x:c r="E2441" s="12" t="n">
        <x:v>0.21391666666666664</x:v>
      </x:c>
      <x:c r="F2441" s="12" t="n">
        <x:v>0</x:v>
      </x:c>
      <x:c r="G2441" s="12" t="n">
        <x:v>0</x:v>
      </x:c>
      <x:c r="H2441" s="1" t="n">
        <x:f>'Historical prices'!E2441</x:f>
        <x:v>1.05</x:v>
      </x:c>
      <x:c r="I2441" s="6" t="n">
        <x:f>'Historical prices'!D2441</x:f>
        <x:v>0.1703</x:v>
      </x:c>
      <x:c r="J2441" s="13" t="n">
        <x:f>D2441*I2441*H2441</x:f>
        <x:v>0.03646335875</x:v>
      </x:c>
      <x:c r="K2441" s="13" t="n">
        <x:f>E2441*I2441*H2441</x:f>
        <x:v>0.03825150875</x:v>
      </x:c>
      <x:c r="L2441" s="1" t="str">
        <x:f>TEXT(A2441,"mmm yyyy")</x:f>
        <x:v>Jun 2026</x:v>
      </x:c>
    </x:row>
    <x:row r="2442" ht="21" customHeight="1">
      <x:c r="A2442" s="10" t="n">
        <x:v>46199</x:v>
      </x:c>
      <x:c r="B2442" s="1" t="n">
        <x:v>9</x:v>
      </x:c>
      <x:c r="C2442" s="1" t="n">
        <x:v>6</x:v>
      </x:c>
      <x:c r="D2442" s="12" t="n">
        <x:v>0.18958333333333333</x:v>
      </x:c>
      <x:c r="E2442" s="12" t="n">
        <x:v>0.20058333333333334</x:v>
      </x:c>
      <x:c r="F2442" s="12" t="n">
        <x:v>0</x:v>
      </x:c>
      <x:c r="G2442" s="12" t="n">
        <x:v>0</x:v>
      </x:c>
      <x:c r="H2442" s="1" t="n">
        <x:f>'Historical prices'!E2442</x:f>
        <x:v>1.05</x:v>
      </x:c>
      <x:c r="I2442" s="6" t="n">
        <x:f>'Historical prices'!D2442</x:f>
        <x:v>0.1636</x:v>
      </x:c>
      <x:c r="J2442" s="13" t="n">
        <x:f>D2442*I2442*H2442</x:f>
        <x:v>0.032566625</x:v>
      </x:c>
      <x:c r="K2442" s="13" t="n">
        <x:f>E2442*I2442*H2442</x:f>
        <x:v>0.034456205</x:v>
      </x:c>
      <x:c r="L2442" s="1" t="str">
        <x:f>TEXT(A2442,"mmm yyyy")</x:f>
        <x:v>Jun 2026</x:v>
      </x:c>
    </x:row>
    <x:row r="2443" ht="21" customHeight="1">
      <x:c r="A2443" s="10" t="n">
        <x:v>46199</x:v>
      </x:c>
      <x:c r="B2443" s="1" t="n">
        <x:v>9.5</x:v>
      </x:c>
      <x:c r="C2443" s="1" t="n">
        <x:v>6</x:v>
      </x:c>
      <x:c r="D2443" s="12" t="n">
        <x:v>0.2175</x:v>
      </x:c>
      <x:c r="E2443" s="12" t="n">
        <x:v>0.2285</x:v>
      </x:c>
      <x:c r="F2443" s="12" t="n">
        <x:v>0</x:v>
      </x:c>
      <x:c r="G2443" s="12" t="n">
        <x:v>0</x:v>
      </x:c>
      <x:c r="H2443" s="1" t="n">
        <x:f>'Historical prices'!E2443</x:f>
        <x:v>1.05</x:v>
      </x:c>
      <x:c r="I2443" s="6" t="n">
        <x:f>'Historical prices'!D2443</x:f>
        <x:v>0.16399999999999998</x:v>
      </x:c>
      <x:c r="J2443" s="13" t="n">
        <x:f>D2443*I2443*H2443</x:f>
        <x:v>0.037453499999999994</x:v>
      </x:c>
      <x:c r="K2443" s="13" t="n">
        <x:f>E2443*I2443*H2443</x:f>
        <x:v>0.03934769999999999</x:v>
      </x:c>
      <x:c r="L2443" s="1" t="str">
        <x:f>TEXT(A2443,"mmm yyyy")</x:f>
        <x:v>Jun 2026</x:v>
      </x:c>
    </x:row>
    <x:row r="2444" ht="21" customHeight="1">
      <x:c r="A2444" s="10" t="n">
        <x:v>46199</x:v>
      </x:c>
      <x:c r="B2444" s="1" t="n">
        <x:v>10</x:v>
      </x:c>
      <x:c r="C2444" s="1" t="n">
        <x:v>6</x:v>
      </x:c>
      <x:c r="D2444" s="12" t="n">
        <x:v>0.2468333333333333</x:v>
      </x:c>
      <x:c r="E2444" s="12" t="n">
        <x:v>0.2568333333333333</x:v>
      </x:c>
      <x:c r="F2444" s="12" t="n">
        <x:v>0</x:v>
      </x:c>
      <x:c r="G2444" s="12" t="n">
        <x:v>0</x:v>
      </x:c>
      <x:c r="H2444" s="1" t="n">
        <x:f>'Historical prices'!E2444</x:f>
        <x:v>1.05</x:v>
      </x:c>
      <x:c r="I2444" s="6" t="n">
        <x:f>'Historical prices'!D2444</x:f>
        <x:v>0.1577</x:v>
      </x:c>
      <x:c r="J2444" s="13" t="n">
        <x:f>D2444*I2444*H2444</x:f>
        <x:v>0.0408718975</x:v>
      </x:c>
      <x:c r="K2444" s="13" t="n">
        <x:f>E2444*I2444*H2444</x:f>
        <x:v>0.0425277475</x:v>
      </x:c>
      <x:c r="L2444" s="1" t="str">
        <x:f>TEXT(A2444,"mmm yyyy")</x:f>
        <x:v>Jun 2026</x:v>
      </x:c>
    </x:row>
    <x:row r="2445" ht="21" customHeight="1">
      <x:c r="A2445" s="10" t="n">
        <x:v>46199</x:v>
      </x:c>
      <x:c r="B2445" s="1" t="n">
        <x:v>10.5</x:v>
      </x:c>
      <x:c r="C2445" s="1" t="n">
        <x:v>6</x:v>
      </x:c>
      <x:c r="D2445" s="12" t="n">
        <x:v>0.17716666666666667</x:v>
      </x:c>
      <x:c r="E2445" s="12" t="n">
        <x:v>0.18716666666666668</x:v>
      </x:c>
      <x:c r="F2445" s="12" t="n">
        <x:v>0</x:v>
      </x:c>
      <x:c r="G2445" s="12" t="n">
        <x:v>0</x:v>
      </x:c>
      <x:c r="H2445" s="1" t="n">
        <x:f>'Historical prices'!E2445</x:f>
        <x:v>1.05</x:v>
      </x:c>
      <x:c r="I2445" s="6" t="n">
        <x:f>'Historical prices'!D2445</x:f>
        <x:v>0.1517</x:v>
      </x:c>
      <x:c r="J2445" s="13" t="n">
        <x:f>D2445*I2445*H2445</x:f>
        <x:v>0.028219992500000003</x:v>
      </x:c>
      <x:c r="K2445" s="13" t="n">
        <x:f>E2445*I2445*H2445</x:f>
        <x:v>0.029812842500000002</x:v>
      </x:c>
      <x:c r="L2445" s="1" t="str">
        <x:f>TEXT(A2445,"mmm yyyy")</x:f>
        <x:v>Jun 2026</x:v>
      </x:c>
    </x:row>
    <x:row r="2446" ht="21" customHeight="1">
      <x:c r="A2446" s="10" t="n">
        <x:v>46199</x:v>
      </x:c>
      <x:c r="B2446" s="1" t="n">
        <x:v>11</x:v>
      </x:c>
      <x:c r="C2446" s="1" t="n">
        <x:v>6</x:v>
      </x:c>
      <x:c r="D2446" s="12" t="n">
        <x:v>0.22508333333333336</x:v>
      </x:c>
      <x:c r="E2446" s="12" t="n">
        <x:v>0.2350833333333333</x:v>
      </x:c>
      <x:c r="F2446" s="12" t="n">
        <x:v>0</x:v>
      </x:c>
      <x:c r="G2446" s="12" t="n">
        <x:v>0</x:v>
      </x:c>
      <x:c r="H2446" s="1" t="n">
        <x:f>'Historical prices'!E2446</x:f>
        <x:v>1.05</x:v>
      </x:c>
      <x:c r="I2446" s="6" t="n">
        <x:f>'Historical prices'!D2446</x:f>
        <x:v>0.1496</x:v>
      </x:c>
      <x:c r="J2446" s="13" t="n">
        <x:f>D2446*I2446*H2446</x:f>
        <x:v>0.03535609000000001</x:v>
      </x:c>
      <x:c r="K2446" s="13" t="n">
        <x:f>E2446*I2446*H2446</x:f>
        <x:v>0.036926890000000004</x:v>
      </x:c>
      <x:c r="L2446" s="1" t="str">
        <x:f>TEXT(A2446,"mmm yyyy")</x:f>
        <x:v>Jun 2026</x:v>
      </x:c>
    </x:row>
    <x:row r="2447" ht="21" customHeight="1">
      <x:c r="A2447" s="10" t="n">
        <x:v>46199</x:v>
      </x:c>
      <x:c r="B2447" s="1" t="n">
        <x:v>11.5</x:v>
      </x:c>
      <x:c r="C2447" s="1" t="n">
        <x:v>6</x:v>
      </x:c>
      <x:c r="D2447" s="12" t="n">
        <x:v>0.19533333333333333</x:v>
      </x:c>
      <x:c r="E2447" s="12" t="n">
        <x:v>0.20733333333333334</x:v>
      </x:c>
      <x:c r="F2447" s="12" t="n">
        <x:v>0</x:v>
      </x:c>
      <x:c r="G2447" s="12" t="n">
        <x:v>0</x:v>
      </x:c>
      <x:c r="H2447" s="1" t="n">
        <x:f>'Historical prices'!E2447</x:f>
        <x:v>1.05</x:v>
      </x:c>
      <x:c r="I2447" s="6" t="n">
        <x:f>'Historical prices'!D2447</x:f>
        <x:v>0.1442</x:v>
      </x:c>
      <x:c r="J2447" s="13" t="n">
        <x:f>D2447*I2447*H2447</x:f>
        <x:v>0.029575419999999998</x:v>
      </x:c>
      <x:c r="K2447" s="13" t="n">
        <x:f>E2447*I2447*H2447</x:f>
        <x:v>0.031392340000000005</x:v>
      </x:c>
      <x:c r="L2447" s="1" t="str">
        <x:f>TEXT(A2447,"mmm yyyy")</x:f>
        <x:v>Jun 2026</x:v>
      </x:c>
    </x:row>
    <x:row r="2448" ht="21" customHeight="1">
      <x:c r="A2448" s="10" t="n">
        <x:v>46199</x:v>
      </x:c>
      <x:c r="B2448" s="1" t="n">
        <x:v>12</x:v>
      </x:c>
      <x:c r="C2448" s="1" t="n">
        <x:v>6</x:v>
      </x:c>
      <x:c r="D2448" s="12" t="n">
        <x:v>0.19541666666666666</x:v>
      </x:c>
      <x:c r="E2448" s="12" t="n">
        <x:v>0.2054166666666667</x:v>
      </x:c>
      <x:c r="F2448" s="12" t="n">
        <x:v>0</x:v>
      </x:c>
      <x:c r="G2448" s="12" t="n">
        <x:v>0</x:v>
      </x:c>
      <x:c r="H2448" s="1" t="n">
        <x:f>'Historical prices'!E2448</x:f>
        <x:v>1.05</x:v>
      </x:c>
      <x:c r="I2448" s="6" t="n">
        <x:f>'Historical prices'!D2448</x:f>
        <x:v>0.1434</x:v>
      </x:c>
      <x:c r="J2448" s="13" t="n">
        <x:f>D2448*I2448*H2448</x:f>
        <x:v>0.0294238875</x:v>
      </x:c>
      <x:c r="K2448" s="13" t="n">
        <x:f>E2448*I2448*H2448</x:f>
        <x:v>0.030929587500000005</x:v>
      </x:c>
      <x:c r="L2448" s="1" t="str">
        <x:f>TEXT(A2448,"mmm yyyy")</x:f>
        <x:v>Jun 2026</x:v>
      </x:c>
    </x:row>
    <x:row r="2449" ht="21" customHeight="1">
      <x:c r="A2449" s="10" t="n">
        <x:v>46199</x:v>
      </x:c>
      <x:c r="B2449" s="1" t="n">
        <x:v>12.5</x:v>
      </x:c>
      <x:c r="C2449" s="1" t="n">
        <x:v>6</x:v>
      </x:c>
      <x:c r="D2449" s="12" t="n">
        <x:v>0.19041666666666668</x:v>
      </x:c>
      <x:c r="E2449" s="12" t="n">
        <x:v>0.2004166666666667</x:v>
      </x:c>
      <x:c r="F2449" s="12" t="n">
        <x:v>0</x:v>
      </x:c>
      <x:c r="G2449" s="12" t="n">
        <x:v>0</x:v>
      </x:c>
      <x:c r="H2449" s="1" t="n">
        <x:f>'Historical prices'!E2449</x:f>
        <x:v>1.05</x:v>
      </x:c>
      <x:c r="I2449" s="6" t="n">
        <x:f>'Historical prices'!D2449</x:f>
        <x:v>0.1434</x:v>
      </x:c>
      <x:c r="J2449" s="13" t="n">
        <x:f>D2449*I2449*H2449</x:f>
        <x:v>0.0286710375</x:v>
      </x:c>
      <x:c r="K2449" s="13" t="n">
        <x:f>E2449*I2449*H2449</x:f>
        <x:v>0.030176737500000002</x:v>
      </x:c>
      <x:c r="L2449" s="1" t="str">
        <x:f>TEXT(A2449,"mmm yyyy")</x:f>
        <x:v>Jun 2026</x:v>
      </x:c>
    </x:row>
    <x:row r="2450" ht="21" customHeight="1">
      <x:c r="A2450" s="10" t="n">
        <x:v>46199</x:v>
      </x:c>
      <x:c r="B2450" s="1" t="n">
        <x:v>13</x:v>
      </x:c>
      <x:c r="C2450" s="1" t="n">
        <x:v>6</x:v>
      </x:c>
      <x:c r="D2450" s="12" t="n">
        <x:v>0.22533333333333333</x:v>
      </x:c>
      <x:c r="E2450" s="12" t="n">
        <x:v>0.2363333333333333</x:v>
      </x:c>
      <x:c r="F2450" s="12" t="n">
        <x:v>0</x:v>
      </x:c>
      <x:c r="G2450" s="12" t="n">
        <x:v>0</x:v>
      </x:c>
      <x:c r="H2450" s="1" t="n">
        <x:f>'Historical prices'!E2450</x:f>
        <x:v>1.05</x:v>
      </x:c>
      <x:c r="I2450" s="6" t="n">
        <x:f>'Historical prices'!D2450</x:f>
        <x:v>0.1421</x:v>
      </x:c>
      <x:c r="J2450" s="13" t="n">
        <x:f>D2450*I2450*H2450</x:f>
        <x:v>0.03362086</x:v>
      </x:c>
      <x:c r="K2450" s="13" t="n">
        <x:f>E2450*I2450*H2450</x:f>
        <x:v>0.035262115</x:v>
      </x:c>
      <x:c r="L2450" s="1" t="str">
        <x:f>TEXT(A2450,"mmm yyyy")</x:f>
        <x:v>Jun 2026</x:v>
      </x:c>
    </x:row>
    <x:row r="2451" ht="21" customHeight="1">
      <x:c r="A2451" s="10" t="n">
        <x:v>46199</x:v>
      </x:c>
      <x:c r="B2451" s="1" t="n">
        <x:v>13.5</x:v>
      </x:c>
      <x:c r="C2451" s="1" t="n">
        <x:v>6</x:v>
      </x:c>
      <x:c r="D2451" s="12" t="n">
        <x:v>4.4102500000000004</x:v>
      </x:c>
      <x:c r="E2451" s="12" t="n">
        <x:v>0.43124999999999997</x:v>
      </x:c>
      <x:c r="F2451" s="12" t="n">
        <x:v>0</x:v>
      </x:c>
      <x:c r="G2451" s="12" t="n">
        <x:v>3.9800000000000004</x:v>
      </x:c>
      <x:c r="H2451" s="1" t="n">
        <x:f>'Historical prices'!E2451</x:f>
        <x:v>1.05</x:v>
      </x:c>
      <x:c r="I2451" s="6" t="n">
        <x:f>'Historical prices'!D2451</x:f>
        <x:v>0.1304</x:v>
      </x:c>
      <x:c r="J2451" s="13" t="n">
        <x:f>D2451*I2451*H2451</x:f>
        <x:v>0.60385143</x:v>
      </x:c>
      <x:c r="K2451" s="13" t="n">
        <x:f>E2451*I2451*H2451</x:f>
        <x:v>0.059046749999999995</x:v>
      </x:c>
      <x:c r="L2451" s="1" t="str">
        <x:f>TEXT(A2451,"mmm yyyy")</x:f>
        <x:v>Jun 2026</x:v>
      </x:c>
    </x:row>
    <x:row r="2452" ht="21" customHeight="1">
      <x:c r="A2452" s="10" t="n">
        <x:v>46199</x:v>
      </x:c>
      <x:c r="B2452" s="1" t="n">
        <x:v>14</x:v>
      </x:c>
      <x:c r="C2452" s="1" t="n">
        <x:v>6</x:v>
      </x:c>
      <x:c r="D2452" s="12" t="n">
        <x:v>0.9929166666666667</x:v>
      </x:c>
      <x:c r="E2452" s="12" t="n">
        <x:v>0.19891666666666669</x:v>
      </x:c>
      <x:c r="F2452" s="12" t="n">
        <x:v>0</x:v>
      </x:c>
      <x:c r="G2452" s="12" t="n">
        <x:v>0.799</x:v>
      </x:c>
      <x:c r="H2452" s="1" t="n">
        <x:f>'Historical prices'!E2452</x:f>
        <x:v>1.05</x:v>
      </x:c>
      <x:c r="I2452" s="6" t="n">
        <x:f>'Historical prices'!D2452</x:f>
        <x:v>0.1378</x:v>
      </x:c>
      <x:c r="J2452" s="13" t="n">
        <x:f>D2452*I2452*H2452</x:f>
        <x:v>0.14366511250000003</x:v>
      </x:c>
      <x:c r="K2452" s="13" t="n">
        <x:f>E2452*I2452*H2452</x:f>
        <x:v>0.028781252500000007</x:v>
      </x:c>
      <x:c r="L2452" s="1" t="str">
        <x:f>TEXT(A2452,"mmm yyyy")</x:f>
        <x:v>Jun 2026</x:v>
      </x:c>
    </x:row>
    <x:row r="2453" ht="21" customHeight="1">
      <x:c r="A2453" s="10" t="n">
        <x:v>46199</x:v>
      </x:c>
      <x:c r="B2453" s="1" t="n">
        <x:v>14.5</x:v>
      </x:c>
      <x:c r="C2453" s="1" t="n">
        <x:v>6</x:v>
      </x:c>
      <x:c r="D2453" s="12" t="n">
        <x:v>0.7272500000000001</x:v>
      </x:c>
      <x:c r="E2453" s="12" t="n">
        <x:v>0.24124999999999996</x:v>
      </x:c>
      <x:c r="F2453" s="12" t="n">
        <x:v>0</x:v>
      </x:c>
      <x:c r="G2453" s="12" t="n">
        <x:v>0.488</x:v>
      </x:c>
      <x:c r="H2453" s="1" t="n">
        <x:f>'Historical prices'!E2453</x:f>
        <x:v>1.05</x:v>
      </x:c>
      <x:c r="I2453" s="6" t="n">
        <x:f>'Historical prices'!D2453</x:f>
        <x:v>0.1346</x:v>
      </x:c>
      <x:c r="J2453" s="13" t="n">
        <x:f>D2453*I2453*H2453</x:f>
        <x:v>0.10278224250000002</x:v>
      </x:c>
      <x:c r="K2453" s="13" t="n">
        <x:f>E2453*I2453*H2453</x:f>
        <x:v>0.0340958625</x:v>
      </x:c>
      <x:c r="L2453" s="1" t="str">
        <x:f>TEXT(A2453,"mmm yyyy")</x:f>
        <x:v>Jun 2026</x:v>
      </x:c>
    </x:row>
    <x:row r="2454" ht="21" customHeight="1">
      <x:c r="A2454" s="10" t="n">
        <x:v>46199</x:v>
      </x:c>
      <x:c r="B2454" s="1" t="n">
        <x:v>15</x:v>
      </x:c>
      <x:c r="C2454" s="1" t="n">
        <x:v>6</x:v>
      </x:c>
      <x:c r="D2454" s="12" t="n">
        <x:v>0.22566666666666665</x:v>
      </x:c>
      <x:c r="E2454" s="12" t="n">
        <x:v>0.21666666666666667</x:v>
      </x:c>
      <x:c r="F2454" s="12" t="n">
        <x:v>0</x:v>
      </x:c>
      <x:c r="G2454" s="12" t="n">
        <x:v>0.017</x:v>
      </x:c>
      <x:c r="H2454" s="1" t="n">
        <x:f>'Historical prices'!E2454</x:f>
        <x:v>1.05</x:v>
      </x:c>
      <x:c r="I2454" s="6" t="n">
        <x:f>'Historical prices'!D2454</x:f>
        <x:v>0.1527</x:v>
      </x:c>
      <x:c r="J2454" s="13" t="n">
        <x:f>D2454*I2454*H2454</x:f>
        <x:v>0.036182265</x:v>
      </x:c>
      <x:c r="K2454" s="13" t="n">
        <x:f>E2454*I2454*H2454</x:f>
        <x:v>0.034739250000000006</x:v>
      </x:c>
      <x:c r="L2454" s="1" t="str">
        <x:f>TEXT(A2454,"mmm yyyy")</x:f>
        <x:v>Jun 2026</x:v>
      </x:c>
    </x:row>
    <x:row r="2455" ht="21" customHeight="1">
      <x:c r="A2455" s="10" t="n">
        <x:v>46199</x:v>
      </x:c>
      <x:c r="B2455" s="1" t="n">
        <x:v>15.5</x:v>
      </x:c>
      <x:c r="C2455" s="1" t="n">
        <x:v>6</x:v>
      </x:c>
      <x:c r="D2455" s="12" t="n">
        <x:v>0.19583333333333333</x:v>
      </x:c>
      <x:c r="E2455" s="12" t="n">
        <x:v>0.24808333333333332</x:v>
      </x:c>
      <x:c r="F2455" s="12" t="n">
        <x:v>0.08391666666666667</x:v>
      </x:c>
      <x:c r="G2455" s="12" t="n">
        <x:v>0.036000000000000004</x:v>
      </x:c>
      <x:c r="H2455" s="1" t="n">
        <x:f>'Historical prices'!E2455</x:f>
        <x:v>1.05</x:v>
      </x:c>
      <x:c r="I2455" s="6" t="n">
        <x:f>'Historical prices'!D2455</x:f>
        <x:v>0.1457</x:v>
      </x:c>
      <x:c r="J2455" s="13" t="n">
        <x:f>D2455*I2455*H2455</x:f>
        <x:v>0.0299595625</x:v>
      </x:c>
      <x:c r="K2455" s="13" t="n">
        <x:f>E2455*I2455*H2455</x:f>
        <x:v>0.03795302875</x:v>
      </x:c>
      <x:c r="L2455" s="1" t="str">
        <x:f>TEXT(A2455,"mmm yyyy")</x:f>
        <x:v>Jun 2026</x:v>
      </x:c>
    </x:row>
    <x:row r="2456" ht="21" customHeight="1">
      <x:c r="A2456" s="10" t="n">
        <x:v>46199</x:v>
      </x:c>
      <x:c r="B2456" s="1" t="n">
        <x:v>16</x:v>
      </x:c>
      <x:c r="C2456" s="1" t="n">
        <x:v>6</x:v>
      </x:c>
      <x:c r="D2456" s="12" t="n">
        <x:v>0</x:v>
      </x:c>
      <x:c r="E2456" s="12" t="n">
        <x:v>0.33283333333333337</x:v>
      </x:c>
      <x:c r="F2456" s="12" t="n">
        <x:v>0.3325</x:v>
      </x:c>
      <x:c r="G2456" s="12" t="n">
        <x:v>0</x:v>
      </x:c>
      <x:c r="H2456" s="1" t="n">
        <x:f>'Historical prices'!E2456</x:f>
        <x:v>1.05</x:v>
      </x:c>
      <x:c r="I2456" s="6" t="n">
        <x:f>'Historical prices'!D2456</x:f>
        <x:v>0.294</x:v>
      </x:c>
      <x:c r="J2456" s="13" t="n">
        <x:f>D2456*I2456*H2456</x:f>
        <x:v>0</x:v>
      </x:c>
      <x:c r="K2456" s="13" t="n">
        <x:f>E2456*I2456*H2456</x:f>
        <x:v>0.10274565000000001</x:v>
      </x:c>
      <x:c r="L2456" s="1" t="str">
        <x:f>TEXT(A2456,"mmm yyyy")</x:f>
        <x:v>Jun 2026</x:v>
      </x:c>
    </x:row>
    <x:row r="2457" ht="21" customHeight="1">
      <x:c r="A2457" s="10" t="n">
        <x:v>46199</x:v>
      </x:c>
      <x:c r="B2457" s="1" t="n">
        <x:v>16.5</x:v>
      </x:c>
      <x:c r="C2457" s="1" t="n">
        <x:v>6</x:v>
      </x:c>
      <x:c r="D2457" s="12" t="n">
        <x:v>0</x:v>
      </x:c>
      <x:c r="E2457" s="12" t="n">
        <x:v>0.27791666666666665</x:v>
      </x:c>
      <x:c r="F2457" s="12" t="n">
        <x:v>0.2778333333333333</x:v>
      </x:c>
      <x:c r="G2457" s="12" t="n">
        <x:v>0</x:v>
      </x:c>
      <x:c r="H2457" s="1" t="n">
        <x:f>'Historical prices'!E2457</x:f>
        <x:v>1.05</x:v>
      </x:c>
      <x:c r="I2457" s="6" t="n">
        <x:f>'Historical prices'!D2457</x:f>
        <x:v>0.2966</x:v>
      </x:c>
      <x:c r="J2457" s="13" t="n">
        <x:f>D2457*I2457*H2457</x:f>
        <x:v>0</x:v>
      </x:c>
      <x:c r="K2457" s="13" t="n">
        <x:f>E2457*I2457*H2457</x:f>
        <x:v>0.08655158749999999</x:v>
      </x:c>
      <x:c r="L2457" s="1" t="str">
        <x:f>TEXT(A2457,"mmm yyyy")</x:f>
        <x:v>Jun 2026</x:v>
      </x:c>
    </x:row>
    <x:row r="2458" ht="21" customHeight="1">
      <x:c r="A2458" s="10" t="n">
        <x:v>46199</x:v>
      </x:c>
      <x:c r="B2458" s="1" t="n">
        <x:v>17</x:v>
      </x:c>
      <x:c r="C2458" s="1" t="n">
        <x:v>6</x:v>
      </x:c>
      <x:c r="D2458" s="12" t="n">
        <x:v>0</x:v>
      </x:c>
      <x:c r="E2458" s="12" t="n">
        <x:v>0.22291666666666665</x:v>
      </x:c>
      <x:c r="F2458" s="12" t="n">
        <x:v>0.22275</x:v>
      </x:c>
      <x:c r="G2458" s="12" t="n">
        <x:v>0</x:v>
      </x:c>
      <x:c r="H2458" s="1" t="n">
        <x:f>'Historical prices'!E2458</x:f>
        <x:v>1.05</x:v>
      </x:c>
      <x:c r="I2458" s="6" t="n">
        <x:f>'Historical prices'!D2458</x:f>
        <x:v>0.3453</x:v>
      </x:c>
      <x:c r="J2458" s="13" t="n">
        <x:f>D2458*I2458*H2458</x:f>
        <x:v>0</x:v>
      </x:c>
      <x:c r="K2458" s="13" t="n">
        <x:f>E2458*I2458*H2458</x:f>
        <x:v>0.08082178124999999</x:v>
      </x:c>
      <x:c r="L2458" s="1" t="str">
        <x:f>TEXT(A2458,"mmm yyyy")</x:f>
        <x:v>Jun 2026</x:v>
      </x:c>
    </x:row>
    <x:row r="2459" ht="21" customHeight="1">
      <x:c r="A2459" s="10" t="n">
        <x:v>46199</x:v>
      </x:c>
      <x:c r="B2459" s="1" t="n">
        <x:v>17.5</x:v>
      </x:c>
      <x:c r="C2459" s="1" t="n">
        <x:v>6</x:v>
      </x:c>
      <x:c r="D2459" s="12" t="n">
        <x:v>0</x:v>
      </x:c>
      <x:c r="E2459" s="12" t="n">
        <x:v>0.21891666666666668</x:v>
      </x:c>
      <x:c r="F2459" s="12" t="n">
        <x:v>0.21883333333333335</x:v>
      </x:c>
      <x:c r="G2459" s="12" t="n">
        <x:v>0</x:v>
      </x:c>
      <x:c r="H2459" s="1" t="n">
        <x:f>'Historical prices'!E2459</x:f>
        <x:v>1.05</x:v>
      </x:c>
      <x:c r="I2459" s="6" t="n">
        <x:f>'Historical prices'!D2459</x:f>
        <x:v>0.3741</x:v>
      </x:c>
      <x:c r="J2459" s="13" t="n">
        <x:f>D2459*I2459*H2459</x:f>
        <x:v>0</x:v>
      </x:c>
      <x:c r="K2459" s="13" t="n">
        <x:f>E2459*I2459*H2459</x:f>
        <x:v>0.08599156125</x:v>
      </x:c>
      <x:c r="L2459" s="1" t="str">
        <x:f>TEXT(A2459,"mmm yyyy")</x:f>
        <x:v>Jun 2026</x:v>
      </x:c>
    </x:row>
    <x:row r="2460" ht="21" customHeight="1">
      <x:c r="A2460" s="10" t="n">
        <x:v>46199</x:v>
      </x:c>
      <x:c r="B2460" s="1" t="n">
        <x:v>18</x:v>
      </x:c>
      <x:c r="C2460" s="1" t="n">
        <x:v>6</x:v>
      </x:c>
      <x:c r="D2460" s="12" t="n">
        <x:v>0</x:v>
      </x:c>
      <x:c r="E2460" s="12" t="n">
        <x:v>0.2539166666666667</x:v>
      </x:c>
      <x:c r="F2460" s="12" t="n">
        <x:v>0.25375000000000003</x:v>
      </x:c>
      <x:c r="G2460" s="12" t="n">
        <x:v>0</x:v>
      </x:c>
      <x:c r="H2460" s="1" t="n">
        <x:f>'Historical prices'!E2460</x:f>
        <x:v>1.05</x:v>
      </x:c>
      <x:c r="I2460" s="6" t="n">
        <x:f>'Historical prices'!D2460</x:f>
        <x:v>0.5345</x:v>
      </x:c>
      <x:c r="J2460" s="13" t="n">
        <x:f>D2460*I2460*H2460</x:f>
        <x:v>0</x:v>
      </x:c>
      <x:c r="K2460" s="13" t="n">
        <x:f>E2460*I2460*H2460</x:f>
        <x:v>0.14250438125000003</x:v>
      </x:c>
      <x:c r="L2460" s="1" t="str">
        <x:f>TEXT(A2460,"mmm yyyy")</x:f>
        <x:v>Jun 2026</x:v>
      </x:c>
    </x:row>
    <x:row r="2461" ht="21" customHeight="1">
      <x:c r="A2461" s="10" t="n">
        <x:v>46199</x:v>
      </x:c>
      <x:c r="B2461" s="1" t="n">
        <x:v>18.5</x:v>
      </x:c>
      <x:c r="C2461" s="1" t="n">
        <x:v>6</x:v>
      </x:c>
      <x:c r="D2461" s="12" t="n">
        <x:v>0</x:v>
      </x:c>
      <x:c r="E2461" s="12" t="n">
        <x:v>0.28175</x:v>
      </x:c>
      <x:c r="F2461" s="12" t="n">
        <x:v>0.2815833333333333</x:v>
      </x:c>
      <x:c r="G2461" s="12" t="n">
        <x:v>0</x:v>
      </x:c>
      <x:c r="H2461" s="1" t="n">
        <x:f>'Historical prices'!E2461</x:f>
        <x:v>1.05</x:v>
      </x:c>
      <x:c r="I2461" s="6" t="n">
        <x:f>'Historical prices'!D2461</x:f>
        <x:v>0.5318999999999999</x:v>
      </x:c>
      <x:c r="J2461" s="13" t="n">
        <x:f>D2461*I2461*H2461</x:f>
        <x:v>0</x:v>
      </x:c>
      <x:c r="K2461" s="13" t="n">
        <x:f>E2461*I2461*H2461</x:f>
        <x:v>0.15735596624999998</x:v>
      </x:c>
      <x:c r="L2461" s="1" t="str">
        <x:f>TEXT(A2461,"mmm yyyy")</x:f>
        <x:v>Jun 2026</x:v>
      </x:c>
    </x:row>
    <x:row r="2462" ht="21" customHeight="1">
      <x:c r="A2462" s="10" t="n">
        <x:v>46199</x:v>
      </x:c>
      <x:c r="B2462" s="1" t="n">
        <x:v>19</x:v>
      </x:c>
      <x:c r="C2462" s="1" t="n">
        <x:v>6</x:v>
      </x:c>
      <x:c r="D2462" s="12" t="n">
        <x:v>0</x:v>
      </x:c>
      <x:c r="E2462" s="12" t="n">
        <x:v>0.23308333333333336</x:v>
      </x:c>
      <x:c r="F2462" s="12" t="n">
        <x:v>0.23291666666666666</x:v>
      </x:c>
      <x:c r="G2462" s="12" t="n">
        <x:v>0</x:v>
      </x:c>
      <x:c r="H2462" s="1" t="n">
        <x:f>'Historical prices'!E2462</x:f>
        <x:v>1.05</x:v>
      </x:c>
      <x:c r="I2462" s="6" t="n">
        <x:f>'Historical prices'!D2462</x:f>
        <x:v>0.42200000000000004</x:v>
      </x:c>
      <x:c r="J2462" s="13" t="n">
        <x:f>D2462*I2462*H2462</x:f>
        <x:v>0</x:v>
      </x:c>
      <x:c r="K2462" s="13" t="n">
        <x:f>E2462*I2462*H2462</x:f>
        <x:v>0.10327922500000003</x:v>
      </x:c>
      <x:c r="L2462" s="1" t="str">
        <x:f>TEXT(A2462,"mmm yyyy")</x:f>
        <x:v>Jun 2026</x:v>
      </x:c>
    </x:row>
    <x:row r="2463" ht="21" customHeight="1">
      <x:c r="A2463" s="10" t="n">
        <x:v>46199</x:v>
      </x:c>
      <x:c r="B2463" s="1" t="n">
        <x:v>19.5</x:v>
      </x:c>
      <x:c r="C2463" s="1" t="n">
        <x:v>6</x:v>
      </x:c>
      <x:c r="D2463" s="12" t="n">
        <x:v>0</x:v>
      </x:c>
      <x:c r="E2463" s="12" t="n">
        <x:v>0.29675</x:v>
      </x:c>
      <x:c r="F2463" s="12" t="n">
        <x:v>0.29675</x:v>
      </x:c>
      <x:c r="G2463" s="12" t="n">
        <x:v>0</x:v>
      </x:c>
      <x:c r="H2463" s="1" t="n">
        <x:f>'Historical prices'!E2463</x:f>
        <x:v>1.05</x:v>
      </x:c>
      <x:c r="I2463" s="6" t="n">
        <x:f>'Historical prices'!D2463</x:f>
        <x:v>0.4163</x:v>
      </x:c>
      <x:c r="J2463" s="13" t="n">
        <x:f>D2463*I2463*H2463</x:f>
        <x:v>0</x:v>
      </x:c>
      <x:c r="K2463" s="13" t="n">
        <x:f>E2463*I2463*H2463</x:f>
        <x:v>0.12971387625000003</x:v>
      </x:c>
      <x:c r="L2463" s="1" t="str">
        <x:f>TEXT(A2463,"mmm yyyy")</x:f>
        <x:v>Jun 2026</x:v>
      </x:c>
    </x:row>
    <x:row r="2464" ht="21" customHeight="1">
      <x:c r="A2464" s="10" t="n">
        <x:v>46199</x:v>
      </x:c>
      <x:c r="B2464" s="1" t="n">
        <x:v>20</x:v>
      </x:c>
      <x:c r="C2464" s="1" t="n">
        <x:v>6</x:v>
      </x:c>
      <x:c r="D2464" s="12" t="n">
        <x:v>0</x:v>
      </x:c>
      <x:c r="E2464" s="12" t="n">
        <x:v>0.28191666666666665</x:v>
      </x:c>
      <x:c r="F2464" s="12" t="n">
        <x:v>0.2816666666666667</x:v>
      </x:c>
      <x:c r="G2464" s="12" t="n">
        <x:v>0</x:v>
      </x:c>
      <x:c r="H2464" s="1" t="n">
        <x:f>'Historical prices'!E2464</x:f>
        <x:v>1.05</x:v>
      </x:c>
      <x:c r="I2464" s="6" t="n">
        <x:f>'Historical prices'!D2464</x:f>
        <x:v>0.4064</x:v>
      </x:c>
      <x:c r="J2464" s="13" t="n">
        <x:f>D2464*I2464*H2464</x:f>
        <x:v>0</x:v>
      </x:c>
      <x:c r="K2464" s="13" t="n">
        <x:f>E2464*I2464*H2464</x:f>
        <x:v>0.12029947999999999</x:v>
      </x:c>
      <x:c r="L2464" s="1" t="str">
        <x:f>TEXT(A2464,"mmm yyyy")</x:f>
        <x:v>Jun 2026</x:v>
      </x:c>
    </x:row>
    <x:row r="2465" ht="21" customHeight="1">
      <x:c r="A2465" s="10" t="n">
        <x:v>46199</x:v>
      </x:c>
      <x:c r="B2465" s="1" t="n">
        <x:v>20.5</x:v>
      </x:c>
      <x:c r="C2465" s="1" t="n">
        <x:v>6</x:v>
      </x:c>
      <x:c r="D2465" s="12" t="n">
        <x:v>0</x:v>
      </x:c>
      <x:c r="E2465" s="12" t="n">
        <x:v>0.25083333333333335</x:v>
      </x:c>
      <x:c r="F2465" s="12" t="n">
        <x:v>0.25075000000000003</x:v>
      </x:c>
      <x:c r="G2465" s="12" t="n">
        <x:v>0</x:v>
      </x:c>
      <x:c r="H2465" s="1" t="n">
        <x:f>'Historical prices'!E2465</x:f>
        <x:v>1.05</x:v>
      </x:c>
      <x:c r="I2465" s="6" t="n">
        <x:f>'Historical prices'!D2465</x:f>
        <x:v>0.3897</x:v>
      </x:c>
      <x:c r="J2465" s="13" t="n">
        <x:f>D2465*I2465*H2465</x:f>
        <x:v>0</x:v>
      </x:c>
      <x:c r="K2465" s="13" t="n">
        <x:f>E2465*I2465*H2465</x:f>
        <x:v>0.10263723750000002</x:v>
      </x:c>
      <x:c r="L2465" s="1" t="str">
        <x:f>TEXT(A2465,"mmm yyyy")</x:f>
        <x:v>Jun 2026</x:v>
      </x:c>
    </x:row>
    <x:row r="2466" ht="21" customHeight="1">
      <x:c r="A2466" s="10" t="n">
        <x:v>46199</x:v>
      </x:c>
      <x:c r="B2466" s="1" t="n">
        <x:v>21</x:v>
      </x:c>
      <x:c r="C2466" s="1" t="n">
        <x:v>6</x:v>
      </x:c>
      <x:c r="D2466" s="12" t="n">
        <x:v>0</x:v>
      </x:c>
      <x:c r="E2466" s="12" t="n">
        <x:v>0.367</x:v>
      </x:c>
      <x:c r="F2466" s="12" t="n">
        <x:v>0.36658333333333337</x:v>
      </x:c>
      <x:c r="G2466" s="12" t="n">
        <x:v>0</x:v>
      </x:c>
      <x:c r="H2466" s="1" t="n">
        <x:f>'Historical prices'!E2466</x:f>
        <x:v>1.05</x:v>
      </x:c>
      <x:c r="I2466" s="6" t="n">
        <x:f>'Historical prices'!D2466</x:f>
        <x:v>0.384</x:v>
      </x:c>
      <x:c r="J2466" s="13" t="n">
        <x:f>D2466*I2466*H2466</x:f>
        <x:v>0</x:v>
      </x:c>
      <x:c r="K2466" s="13" t="n">
        <x:f>E2466*I2466*H2466</x:f>
        <x:v>0.1479744</x:v>
      </x:c>
      <x:c r="L2466" s="1" t="str">
        <x:f>TEXT(A2466,"mmm yyyy")</x:f>
        <x:v>Jun 2026</x:v>
      </x:c>
    </x:row>
    <x:row r="2467" ht="21" customHeight="1">
      <x:c r="A2467" s="10" t="n">
        <x:v>46199</x:v>
      </x:c>
      <x:c r="B2467" s="1" t="n">
        <x:v>21.5</x:v>
      </x:c>
      <x:c r="C2467" s="1" t="n">
        <x:v>6</x:v>
      </x:c>
      <x:c r="D2467" s="12" t="n">
        <x:v>0</x:v>
      </x:c>
      <x:c r="E2467" s="12" t="n">
        <x:v>0.3756666666666667</x:v>
      </x:c>
      <x:c r="F2467" s="12" t="n">
        <x:v>0.3755833333333334</x:v>
      </x:c>
      <x:c r="G2467" s="12" t="n">
        <x:v>0</x:v>
      </x:c>
      <x:c r="H2467" s="1" t="n">
        <x:f>'Historical prices'!E2467</x:f>
        <x:v>1.05</x:v>
      </x:c>
      <x:c r="I2467" s="6" t="n">
        <x:f>'Historical prices'!D2467</x:f>
        <x:v>0.3362</x:v>
      </x:c>
      <x:c r="J2467" s="13" t="n">
        <x:f>D2467*I2467*H2467</x:f>
        <x:v>0</x:v>
      </x:c>
      <x:c r="K2467" s="13" t="n">
        <x:f>E2467*I2467*H2467</x:f>
        <x:v>0.13261409000000002</x:v>
      </x:c>
      <x:c r="L2467" s="1" t="str">
        <x:f>TEXT(A2467,"mmm yyyy")</x:f>
        <x:v>Jun 2026</x:v>
      </x:c>
    </x:row>
    <x:row r="2468" ht="21" customHeight="1">
      <x:c r="A2468" s="10" t="n">
        <x:v>46199</x:v>
      </x:c>
      <x:c r="B2468" s="1" t="n">
        <x:v>22</x:v>
      </x:c>
      <x:c r="C2468" s="1" t="n">
        <x:v>6</x:v>
      </x:c>
      <x:c r="D2468" s="12" t="n">
        <x:v>0</x:v>
      </x:c>
      <x:c r="E2468" s="12" t="n">
        <x:v>0.35766666666666663</x:v>
      </x:c>
      <x:c r="F2468" s="12" t="n">
        <x:v>0.3575</x:v>
      </x:c>
      <x:c r="G2468" s="12" t="n">
        <x:v>0</x:v>
      </x:c>
      <x:c r="H2468" s="1" t="n">
        <x:f>'Historical prices'!E2468</x:f>
        <x:v>1.05</x:v>
      </x:c>
      <x:c r="I2468" s="6" t="n">
        <x:f>'Historical prices'!D2468</x:f>
        <x:v>0.2711</x:v>
      </x:c>
      <x:c r="J2468" s="13" t="n">
        <x:f>D2468*I2468*H2468</x:f>
        <x:v>0</x:v>
      </x:c>
      <x:c r="K2468" s="13" t="n">
        <x:f>E2468*I2468*H2468</x:f>
        <x:v>0.10181160499999999</x:v>
      </x:c>
      <x:c r="L2468" s="1" t="str">
        <x:f>TEXT(A2468,"mmm yyyy")</x:f>
        <x:v>Jun 2026</x:v>
      </x:c>
    </x:row>
    <x:row r="2469" ht="21" customHeight="1">
      <x:c r="A2469" s="10" t="n">
        <x:v>46199</x:v>
      </x:c>
      <x:c r="B2469" s="1" t="n">
        <x:v>22.5</x:v>
      </x:c>
      <x:c r="C2469" s="1" t="n">
        <x:v>6</x:v>
      </x:c>
      <x:c r="D2469" s="12" t="n">
        <x:v>0</x:v>
      </x:c>
      <x:c r="E2469" s="12" t="n">
        <x:v>0.3909166666666667</x:v>
      </x:c>
      <x:c r="F2469" s="12" t="n">
        <x:v>0.39075000000000004</x:v>
      </x:c>
      <x:c r="G2469" s="12" t="n">
        <x:v>0</x:v>
      </x:c>
      <x:c r="H2469" s="1" t="n">
        <x:f>'Historical prices'!E2469</x:f>
        <x:v>1.05</x:v>
      </x:c>
      <x:c r="I2469" s="6" t="n">
        <x:f>'Historical prices'!D2469</x:f>
        <x:v>0.2725</x:v>
      </x:c>
      <x:c r="J2469" s="13" t="n">
        <x:f>D2469*I2469*H2469</x:f>
        <x:v>0</x:v>
      </x:c>
      <x:c r="K2469" s="13" t="n">
        <x:f>E2469*I2469*H2469</x:f>
        <x:v>0.11185103125000002</x:v>
      </x:c>
      <x:c r="L2469" s="1" t="str">
        <x:f>TEXT(A2469,"mmm yyyy")</x:f>
        <x:v>Jun 2026</x:v>
      </x:c>
    </x:row>
    <x:row r="2470" ht="21" customHeight="1">
      <x:c r="A2470" s="10" t="n">
        <x:v>46199</x:v>
      </x:c>
      <x:c r="B2470" s="1" t="n">
        <x:v>23</x:v>
      </x:c>
      <x:c r="C2470" s="1" t="n">
        <x:v>6</x:v>
      </x:c>
      <x:c r="D2470" s="12" t="n">
        <x:v>0</x:v>
      </x:c>
      <x:c r="E2470" s="12" t="n">
        <x:v>0.36783333333333335</x:v>
      </x:c>
      <x:c r="F2470" s="12" t="n">
        <x:v>0.36775</x:v>
      </x:c>
      <x:c r="G2470" s="12" t="n">
        <x:v>0</x:v>
      </x:c>
      <x:c r="H2470" s="1" t="n">
        <x:f>'Historical prices'!E2470</x:f>
        <x:v>1.05</x:v>
      </x:c>
      <x:c r="I2470" s="6" t="n">
        <x:f>'Historical prices'!D2470</x:f>
        <x:v>0.2072</x:v>
      </x:c>
      <x:c r="J2470" s="13" t="n">
        <x:f>D2470*I2470*H2470</x:f>
        <x:v>0</x:v>
      </x:c>
      <x:c r="K2470" s="13" t="n">
        <x:f>E2470*I2470*H2470</x:f>
        <x:v>0.08002582</x:v>
      </x:c>
      <x:c r="L2470" s="1" t="str">
        <x:f>TEXT(A2470,"mmm yyyy")</x:f>
        <x:v>Jun 2026</x:v>
      </x:c>
    </x:row>
    <x:row r="2471" ht="21" customHeight="1">
      <x:c r="A2471" s="10" t="n">
        <x:v>46199</x:v>
      </x:c>
      <x:c r="B2471" s="1" t="n">
        <x:v>23.5</x:v>
      </x:c>
      <x:c r="C2471" s="1" t="n">
        <x:v>6</x:v>
      </x:c>
      <x:c r="D2471" s="12" t="n">
        <x:v>0</x:v>
      </x:c>
      <x:c r="E2471" s="12" t="n">
        <x:v>0.2866666666666667</x:v>
      </x:c>
      <x:c r="F2471" s="12" t="n">
        <x:v>0.2865833333333333</x:v>
      </x:c>
      <x:c r="G2471" s="12" t="n">
        <x:v>0</x:v>
      </x:c>
      <x:c r="H2471" s="1" t="n">
        <x:f>'Historical prices'!E2471</x:f>
        <x:v>1.05</x:v>
      </x:c>
      <x:c r="I2471" s="6" t="n">
        <x:f>'Historical prices'!D2471</x:f>
        <x:v>0.20079999999999998</x:v>
      </x:c>
      <x:c r="J2471" s="13" t="n">
        <x:f>D2471*I2471*H2471</x:f>
        <x:v>0</x:v>
      </x:c>
      <x:c r="K2471" s="13" t="n">
        <x:f>E2471*I2471*H2471</x:f>
        <x:v>0.0604408</x:v>
      </x:c>
      <x:c r="L2471" s="1" t="str">
        <x:f>TEXT(A2471,"mmm yyyy")</x:f>
        <x:v>Jun 2026</x:v>
      </x:c>
    </x:row>
    <x:row r="2472" ht="21" customHeight="1">
      <x:c r="A2472" s="10" t="n">
        <x:v>46200</x:v>
      </x:c>
      <x:c r="B2472" s="1" t="n">
        <x:v>0</x:v>
      </x:c>
      <x:c r="C2472" s="1" t="n">
        <x:v>6</x:v>
      </x:c>
      <x:c r="D2472" s="12" t="n">
        <x:v>0</x:v>
      </x:c>
      <x:c r="E2472" s="12" t="n">
        <x:v>0.22708333333333333</x:v>
      </x:c>
      <x:c r="F2472" s="12" t="n">
        <x:v>0.22658333333333336</x:v>
      </x:c>
      <x:c r="G2472" s="12" t="n">
        <x:v>0</x:v>
      </x:c>
      <x:c r="H2472" s="1" t="n">
        <x:f>'Historical prices'!E2472</x:f>
        <x:v>1.05</x:v>
      </x:c>
      <x:c r="I2472" s="6" t="n">
        <x:f>'Historical prices'!D2472</x:f>
        <x:v>0.19399999999999998</x:v>
      </x:c>
      <x:c r="J2472" s="13" t="n">
        <x:f>D2472*I2472*H2472</x:f>
        <x:v>0</x:v>
      </x:c>
      <x:c r="K2472" s="13" t="n">
        <x:f>E2472*I2472*H2472</x:f>
        <x:v>0.046256874999999996</x:v>
      </x:c>
      <x:c r="L2472" s="1" t="str">
        <x:f>TEXT(A2472,"mmm yyyy")</x:f>
        <x:v>Jun 2026</x:v>
      </x:c>
    </x:row>
    <x:row r="2473" ht="21" customHeight="1">
      <x:c r="A2473" s="10" t="n">
        <x:v>46200</x:v>
      </x:c>
      <x:c r="B2473" s="1" t="n">
        <x:v>0.5</x:v>
      </x:c>
      <x:c r="C2473" s="1" t="n">
        <x:v>6</x:v>
      </x:c>
      <x:c r="D2473" s="12" t="n">
        <x:v>0</x:v>
      </x:c>
      <x:c r="E2473" s="12" t="n">
        <x:v>0.2559166666666666</x:v>
      </x:c>
      <x:c r="F2473" s="12" t="n">
        <x:v>0.25575</x:v>
      </x:c>
      <x:c r="G2473" s="12" t="n">
        <x:v>0</x:v>
      </x:c>
      <x:c r="H2473" s="1" t="n">
        <x:f>'Historical prices'!E2473</x:f>
        <x:v>1.05</x:v>
      </x:c>
      <x:c r="I2473" s="6" t="n">
        <x:f>'Historical prices'!D2473</x:f>
        <x:v>0.1869</x:v>
      </x:c>
      <x:c r="J2473" s="13" t="n">
        <x:f>D2473*I2473*H2473</x:f>
        <x:v>0</x:v>
      </x:c>
      <x:c r="K2473" s="13" t="n">
        <x:f>E2473*I2473*H2473</x:f>
        <x:v>0.05022236625</x:v>
      </x:c>
      <x:c r="L2473" s="1" t="str">
        <x:f>TEXT(A2473,"mmm yyyy")</x:f>
        <x:v>Jun 2026</x:v>
      </x:c>
    </x:row>
    <x:row r="2474" ht="21" customHeight="1">
      <x:c r="A2474" s="10" t="n">
        <x:v>46200</x:v>
      </x:c>
      <x:c r="B2474" s="1" t="n">
        <x:v>1</x:v>
      </x:c>
      <x:c r="C2474" s="1" t="n">
        <x:v>6</x:v>
      </x:c>
      <x:c r="D2474" s="12" t="n">
        <x:v>0.26116666666666666</x:v>
      </x:c>
      <x:c r="E2474" s="12" t="n">
        <x:v>0.27016666666666667</x:v>
      </x:c>
      <x:c r="F2474" s="12" t="n">
        <x:v>0.102</x:v>
      </x:c>
      <x:c r="G2474" s="12" t="n">
        <x:v>0.093</x:v>
      </x:c>
      <x:c r="H2474" s="1" t="n">
        <x:f>'Historical prices'!E2474</x:f>
        <x:v>1.05</x:v>
      </x:c>
      <x:c r="I2474" s="6" t="n">
        <x:f>'Historical prices'!D2474</x:f>
        <x:v>0.1815</x:v>
      </x:c>
      <x:c r="J2474" s="13" t="n">
        <x:f>D2474*I2474*H2474</x:f>
        <x:v>0.0497718375</x:v>
      </x:c>
      <x:c r="K2474" s="13" t="n">
        <x:f>E2474*I2474*H2474</x:f>
        <x:v>0.0514870125</x:v>
      </x:c>
      <x:c r="L2474" s="1" t="str">
        <x:f>TEXT(A2474,"mmm yyyy")</x:f>
        <x:v>Jun 2026</x:v>
      </x:c>
    </x:row>
    <x:row r="2475" ht="21" customHeight="1">
      <x:c r="A2475" s="10" t="n">
        <x:v>46200</x:v>
      </x:c>
      <x:c r="B2475" s="1" t="n">
        <x:v>1.5</x:v>
      </x:c>
      <x:c r="C2475" s="1" t="n">
        <x:v>6</x:v>
      </x:c>
      <x:c r="D2475" s="12" t="n">
        <x:v>0.23550000000000001</x:v>
      </x:c>
      <x:c r="E2475" s="12" t="n">
        <x:v>0.2385</x:v>
      </x:c>
      <x:c r="F2475" s="12" t="n">
        <x:v>0</x:v>
      </x:c>
      <x:c r="G2475" s="12" t="n">
        <x:v>0</x:v>
      </x:c>
      <x:c r="H2475" s="1" t="n">
        <x:f>'Historical prices'!E2475</x:f>
        <x:v>1.05</x:v>
      </x:c>
      <x:c r="I2475" s="6" t="n">
        <x:f>'Historical prices'!D2475</x:f>
        <x:v>0.172</x:v>
      </x:c>
      <x:c r="J2475" s="13" t="n">
        <x:f>D2475*I2475*H2475</x:f>
        <x:v>0.0425313</x:v>
      </x:c>
      <x:c r="K2475" s="13" t="n">
        <x:f>E2475*I2475*H2475</x:f>
        <x:v>0.043073099999999996</x:v>
      </x:c>
      <x:c r="L2475" s="1" t="str">
        <x:f>TEXT(A2475,"mmm yyyy")</x:f>
        <x:v>Jun 2026</x:v>
      </x:c>
    </x:row>
    <x:row r="2476" ht="21" customHeight="1">
      <x:c r="A2476" s="10" t="n">
        <x:v>46200</x:v>
      </x:c>
      <x:c r="B2476" s="1" t="n">
        <x:v>2</x:v>
      </x:c>
      <x:c r="C2476" s="1" t="n">
        <x:v>6</x:v>
      </x:c>
      <x:c r="D2476" s="12" t="n">
        <x:v>0.3491666666666667</x:v>
      </x:c>
      <x:c r="E2476" s="12" t="n">
        <x:v>0.3521666666666667</x:v>
      </x:c>
      <x:c r="F2476" s="12" t="n">
        <x:v>0</x:v>
      </x:c>
      <x:c r="G2476" s="12" t="n">
        <x:v>0</x:v>
      </x:c>
      <x:c r="H2476" s="1" t="n">
        <x:f>'Historical prices'!E2476</x:f>
        <x:v>1.05</x:v>
      </x:c>
      <x:c r="I2476" s="6" t="n">
        <x:f>'Historical prices'!D2476</x:f>
        <x:v>0.17620000000000002</x:v>
      </x:c>
      <x:c r="J2476" s="13" t="n">
        <x:f>D2476*I2476*H2476</x:f>
        <x:v>0.06459932500000001</x:v>
      </x:c>
      <x:c r="K2476" s="13" t="n">
        <x:f>E2476*I2476*H2476</x:f>
        <x:v>0.06515435500000001</x:v>
      </x:c>
      <x:c r="L2476" s="1" t="str">
        <x:f>TEXT(A2476,"mmm yyyy")</x:f>
        <x:v>Jun 2026</x:v>
      </x:c>
    </x:row>
    <x:row r="2477" ht="21" customHeight="1">
      <x:c r="A2477" s="10" t="n">
        <x:v>46200</x:v>
      </x:c>
      <x:c r="B2477" s="1" t="n">
        <x:v>2.5</x:v>
      </x:c>
      <x:c r="C2477" s="1" t="n">
        <x:v>6</x:v>
      </x:c>
      <x:c r="D2477" s="12" t="n">
        <x:v>0.2321666666666667</x:v>
      </x:c>
      <x:c r="E2477" s="12" t="n">
        <x:v>0.2341666666666667</x:v>
      </x:c>
      <x:c r="F2477" s="12" t="n">
        <x:v>0</x:v>
      </x:c>
      <x:c r="G2477" s="12" t="n">
        <x:v>0</x:v>
      </x:c>
      <x:c r="H2477" s="1" t="n">
        <x:f>'Historical prices'!E2477</x:f>
        <x:v>1.05</x:v>
      </x:c>
      <x:c r="I2477" s="6" t="n">
        <x:f>'Historical prices'!D2477</x:f>
        <x:v>0.1724</x:v>
      </x:c>
      <x:c r="J2477" s="13" t="n">
        <x:f>D2477*I2477*H2477</x:f>
        <x:v>0.042026810000000005</x:v>
      </x:c>
      <x:c r="K2477" s="13" t="n">
        <x:f>E2477*I2477*H2477</x:f>
        <x:v>0.042388850000000006</x:v>
      </x:c>
      <x:c r="L2477" s="1" t="str">
        <x:f>TEXT(A2477,"mmm yyyy")</x:f>
        <x:v>Jun 2026</x:v>
      </x:c>
    </x:row>
    <x:row r="2478" ht="21" customHeight="1">
      <x:c r="A2478" s="10" t="n">
        <x:v>46200</x:v>
      </x:c>
      <x:c r="B2478" s="1" t="n">
        <x:v>3</x:v>
      </x:c>
      <x:c r="C2478" s="1" t="n">
        <x:v>6</x:v>
      </x:c>
      <x:c r="D2478" s="12" t="n">
        <x:v>0.1994166666666667</x:v>
      </x:c>
      <x:c r="E2478" s="12" t="n">
        <x:v>0.2014166666666667</x:v>
      </x:c>
      <x:c r="F2478" s="12" t="n">
        <x:v>0</x:v>
      </x:c>
      <x:c r="G2478" s="12" t="n">
        <x:v>0</x:v>
      </x:c>
      <x:c r="H2478" s="1" t="n">
        <x:f>'Historical prices'!E2478</x:f>
        <x:v>1.05</x:v>
      </x:c>
      <x:c r="I2478" s="6" t="n">
        <x:f>'Historical prices'!D2478</x:f>
        <x:v>0.17859999999999998</x:v>
      </x:c>
      <x:c r="J2478" s="13" t="n">
        <x:f>D2478*I2478*H2478</x:f>
        <x:v>0.037396607500000005</x:v>
      </x:c>
      <x:c r="K2478" s="13" t="n">
        <x:f>E2478*I2478*H2478</x:f>
        <x:v>0.0377716675</x:v>
      </x:c>
      <x:c r="L2478" s="1" t="str">
        <x:f>TEXT(A2478,"mmm yyyy")</x:f>
        <x:v>Jun 2026</x:v>
      </x:c>
    </x:row>
    <x:row r="2479" ht="21" customHeight="1">
      <x:c r="A2479" s="10" t="n">
        <x:v>46200</x:v>
      </x:c>
      <x:c r="B2479" s="1" t="n">
        <x:v>3.5</x:v>
      </x:c>
      <x:c r="C2479" s="1" t="n">
        <x:v>6</x:v>
      </x:c>
      <x:c r="D2479" s="12" t="n">
        <x:v>0.24000000000000002</x:v>
      </x:c>
      <x:c r="E2479" s="12" t="n">
        <x:v>0.24200000000000002</x:v>
      </x:c>
      <x:c r="F2479" s="12" t="n">
        <x:v>0</x:v>
      </x:c>
      <x:c r="G2479" s="12" t="n">
        <x:v>0</x:v>
      </x:c>
      <x:c r="H2479" s="1" t="n">
        <x:f>'Historical prices'!E2479</x:f>
        <x:v>1.05</x:v>
      </x:c>
      <x:c r="I2479" s="6" t="n">
        <x:f>'Historical prices'!D2479</x:f>
        <x:v>0.1678</x:v>
      </x:c>
      <x:c r="J2479" s="13" t="n">
        <x:f>D2479*I2479*H2479</x:f>
        <x:v>0.042285600000000007</x:v>
      </x:c>
      <x:c r="K2479" s="13" t="n">
        <x:f>E2479*I2479*H2479</x:f>
        <x:v>0.04263798000000001</x:v>
      </x:c>
      <x:c r="L2479" s="1" t="str">
        <x:f>TEXT(A2479,"mmm yyyy")</x:f>
        <x:v>Jun 2026</x:v>
      </x:c>
    </x:row>
    <x:row r="2480" ht="21" customHeight="1">
      <x:c r="A2480" s="10" t="n">
        <x:v>46200</x:v>
      </x:c>
      <x:c r="B2480" s="1" t="n">
        <x:v>4</x:v>
      </x:c>
      <x:c r="C2480" s="1" t="n">
        <x:v>6</x:v>
      </x:c>
      <x:c r="D2480" s="12" t="n">
        <x:v>0.2988333333333334</x:v>
      </x:c>
      <x:c r="E2480" s="12" t="n">
        <x:v>0.2998333333333334</x:v>
      </x:c>
      <x:c r="F2480" s="12" t="n">
        <x:v>0</x:v>
      </x:c>
      <x:c r="G2480" s="12" t="n">
        <x:v>0</x:v>
      </x:c>
      <x:c r="H2480" s="1" t="n">
        <x:f>'Historical prices'!E2480</x:f>
        <x:v>1.05</x:v>
      </x:c>
      <x:c r="I2480" s="6" t="n">
        <x:f>'Historical prices'!D2480</x:f>
        <x:v>0.1629</x:v>
      </x:c>
      <x:c r="J2480" s="13" t="n">
        <x:f>D2480*I2480*H2480</x:f>
        <x:v>0.051113947500000007</x:v>
      </x:c>
      <x:c r="K2480" s="13" t="n">
        <x:f>E2480*I2480*H2480</x:f>
        <x:v>0.05128499250000001</x:v>
      </x:c>
      <x:c r="L2480" s="1" t="str">
        <x:f>TEXT(A2480,"mmm yyyy")</x:f>
        <x:v>Jun 2026</x:v>
      </x:c>
    </x:row>
    <x:row r="2481" ht="21" customHeight="1">
      <x:c r="A2481" s="10" t="n">
        <x:v>46200</x:v>
      </x:c>
      <x:c r="B2481" s="1" t="n">
        <x:v>4.5</x:v>
      </x:c>
      <x:c r="C2481" s="1" t="n">
        <x:v>6</x:v>
      </x:c>
      <x:c r="D2481" s="12" t="n">
        <x:v>0.27775</x:v>
      </x:c>
      <x:c r="E2481" s="12" t="n">
        <x:v>0.27875</x:v>
      </x:c>
      <x:c r="F2481" s="12" t="n">
        <x:v>0</x:v>
      </x:c>
      <x:c r="G2481" s="12" t="n">
        <x:v>0</x:v>
      </x:c>
      <x:c r="H2481" s="1" t="n">
        <x:f>'Historical prices'!E2481</x:f>
        <x:v>1.05</x:v>
      </x:c>
      <x:c r="I2481" s="6" t="n">
        <x:f>'Historical prices'!D2481</x:f>
        <x:v>0.1686</x:v>
      </x:c>
      <x:c r="J2481" s="13" t="n">
        <x:f>D2481*I2481*H2481</x:f>
        <x:v>0.049170082500000004</x:v>
      </x:c>
      <x:c r="K2481" s="13" t="n">
        <x:f>E2481*I2481*H2481</x:f>
        <x:v>0.0493471125</x:v>
      </x:c>
      <x:c r="L2481" s="1" t="str">
        <x:f>TEXT(A2481,"mmm yyyy")</x:f>
        <x:v>Jun 2026</x:v>
      </x:c>
    </x:row>
    <x:row r="2482" ht="21" customHeight="1">
      <x:c r="A2482" s="10" t="n">
        <x:v>46200</x:v>
      </x:c>
      <x:c r="B2482" s="1" t="n">
        <x:v>5</x:v>
      </x:c>
      <x:c r="C2482" s="1" t="n">
        <x:v>6</x:v>
      </x:c>
      <x:c r="D2482" s="12" t="n">
        <x:v>0.35233333333333333</x:v>
      </x:c>
      <x:c r="E2482" s="12" t="n">
        <x:v>0.35433333333333333</x:v>
      </x:c>
      <x:c r="F2482" s="12" t="n">
        <x:v>0</x:v>
      </x:c>
      <x:c r="G2482" s="12" t="n">
        <x:v>0</x:v>
      </x:c>
      <x:c r="H2482" s="1" t="n">
        <x:f>'Historical prices'!E2482</x:f>
        <x:v>1.05</x:v>
      </x:c>
      <x:c r="I2482" s="6" t="n">
        <x:f>'Historical prices'!D2482</x:f>
        <x:v>0.1709</x:v>
      </x:c>
      <x:c r="J2482" s="13" t="n">
        <x:f>D2482*I2482*H2482</x:f>
        <x:v>0.063224455</x:v>
      </x:c>
      <x:c r="K2482" s="13" t="n">
        <x:f>E2482*I2482*H2482</x:f>
        <x:v>0.063583345</x:v>
      </x:c>
      <x:c r="L2482" s="1" t="str">
        <x:f>TEXT(A2482,"mmm yyyy")</x:f>
        <x:v>Jun 2026</x:v>
      </x:c>
    </x:row>
    <x:row r="2483" ht="21" customHeight="1">
      <x:c r="A2483" s="10" t="n">
        <x:v>46200</x:v>
      </x:c>
      <x:c r="B2483" s="1" t="n">
        <x:v>5.5</x:v>
      </x:c>
      <x:c r="C2483" s="1" t="n">
        <x:v>6</x:v>
      </x:c>
      <x:c r="D2483" s="12" t="n">
        <x:v>0.27258333333333334</x:v>
      </x:c>
      <x:c r="E2483" s="12" t="n">
        <x:v>0.27358333333333335</x:v>
      </x:c>
      <x:c r="F2483" s="12" t="n">
        <x:v>0</x:v>
      </x:c>
      <x:c r="G2483" s="12" t="n">
        <x:v>0</x:v>
      </x:c>
      <x:c r="H2483" s="1" t="n">
        <x:f>'Historical prices'!E2483</x:f>
        <x:v>1.05</x:v>
      </x:c>
      <x:c r="I2483" s="6" t="n">
        <x:f>'Historical prices'!D2483</x:f>
        <x:v>0.16649999999999998</x:v>
      </x:c>
      <x:c r="J2483" s="13" t="n">
        <x:f>D2483*I2483*H2483</x:f>
        <x:v>0.04765438125</x:v>
      </x:c>
      <x:c r="K2483" s="13" t="n">
        <x:f>E2483*I2483*H2483</x:f>
        <x:v>0.04782920625</x:v>
      </x:c>
      <x:c r="L2483" s="1" t="str">
        <x:f>TEXT(A2483,"mmm yyyy")</x:f>
        <x:v>Jun 2026</x:v>
      </x:c>
    </x:row>
    <x:row r="2484" ht="21" customHeight="1">
      <x:c r="A2484" s="10" t="n">
        <x:v>46200</x:v>
      </x:c>
      <x:c r="B2484" s="1" t="n">
        <x:v>6</x:v>
      </x:c>
      <x:c r="C2484" s="1" t="n">
        <x:v>6</x:v>
      </x:c>
      <x:c r="D2484" s="12" t="n">
        <x:v>0.23991666666666667</x:v>
      </x:c>
      <x:c r="E2484" s="12" t="n">
        <x:v>0.24091666666666667</x:v>
      </x:c>
      <x:c r="F2484" s="12" t="n">
        <x:v>0</x:v>
      </x:c>
      <x:c r="G2484" s="12" t="n">
        <x:v>0</x:v>
      </x:c>
      <x:c r="H2484" s="1" t="n">
        <x:f>'Historical prices'!E2484</x:f>
        <x:v>1.05</x:v>
      </x:c>
      <x:c r="I2484" s="6" t="n">
        <x:f>'Historical prices'!D2484</x:f>
        <x:v>0.1628</x:v>
      </x:c>
      <x:c r="J2484" s="13" t="n">
        <x:f>D2484*I2484*H2484</x:f>
        <x:v>0.041011355000000006</x:v>
      </x:c>
      <x:c r="K2484" s="13" t="n">
        <x:f>E2484*I2484*H2484</x:f>
        <x:v>0.041182295</x:v>
      </x:c>
      <x:c r="L2484" s="1" t="str">
        <x:f>TEXT(A2484,"mmm yyyy")</x:f>
        <x:v>Jun 2026</x:v>
      </x:c>
    </x:row>
    <x:row r="2485" ht="21" customHeight="1">
      <x:c r="A2485" s="10" t="n">
        <x:v>46200</x:v>
      </x:c>
      <x:c r="B2485" s="1" t="n">
        <x:v>6.5</x:v>
      </x:c>
      <x:c r="C2485" s="1" t="n">
        <x:v>6</x:v>
      </x:c>
      <x:c r="D2485" s="12" t="n">
        <x:v>0.2421666666666667</x:v>
      </x:c>
      <x:c r="E2485" s="12" t="n">
        <x:v>0.2431666666666667</x:v>
      </x:c>
      <x:c r="F2485" s="12" t="n">
        <x:v>0</x:v>
      </x:c>
      <x:c r="G2485" s="12" t="n">
        <x:v>0</x:v>
      </x:c>
      <x:c r="H2485" s="1" t="n">
        <x:f>'Historical prices'!E2485</x:f>
        <x:v>1.05</x:v>
      </x:c>
      <x:c r="I2485" s="6" t="n">
        <x:f>'Historical prices'!D2485</x:f>
        <x:v>0.1734</x:v>
      </x:c>
      <x:c r="J2485" s="13" t="n">
        <x:f>D2485*I2485*H2485</x:f>
        <x:v>0.04409128500000001</x:v>
      </x:c>
      <x:c r="K2485" s="13" t="n">
        <x:f>E2485*I2485*H2485</x:f>
        <x:v>0.04427335500000001</x:v>
      </x:c>
      <x:c r="L2485" s="1" t="str">
        <x:f>TEXT(A2485,"mmm yyyy")</x:f>
        <x:v>Jun 2026</x:v>
      </x:c>
    </x:row>
    <x:row r="2486" ht="21" customHeight="1">
      <x:c r="A2486" s="10" t="n">
        <x:v>46200</x:v>
      </x:c>
      <x:c r="B2486" s="1" t="n">
        <x:v>7</x:v>
      </x:c>
      <x:c r="C2486" s="1" t="n">
        <x:v>6</x:v>
      </x:c>
      <x:c r="D2486" s="12" t="n">
        <x:v>0.2843333333333333</x:v>
      </x:c>
      <x:c r="E2486" s="12" t="n">
        <x:v>0.2843333333333333</x:v>
      </x:c>
      <x:c r="F2486" s="12" t="n">
        <x:v>0</x:v>
      </x:c>
      <x:c r="G2486" s="12" t="n">
        <x:v>0</x:v>
      </x:c>
      <x:c r="H2486" s="1" t="n">
        <x:f>'Historical prices'!E2486</x:f>
        <x:v>1.05</x:v>
      </x:c>
      <x:c r="I2486" s="6" t="n">
        <x:f>'Historical prices'!D2486</x:f>
        <x:v>0.1472</x:v>
      </x:c>
      <x:c r="J2486" s="13" t="n">
        <x:f>D2486*I2486*H2486</x:f>
        <x:v>0.043946559999999996</x:v>
      </x:c>
      <x:c r="K2486" s="13" t="n">
        <x:f>E2486*I2486*H2486</x:f>
        <x:v>0.043946559999999996</x:v>
      </x:c>
      <x:c r="L2486" s="1" t="str">
        <x:f>TEXT(A2486,"mmm yyyy")</x:f>
        <x:v>Jun 2026</x:v>
      </x:c>
    </x:row>
    <x:row r="2487" ht="21" customHeight="1">
      <x:c r="A2487" s="10" t="n">
        <x:v>46200</x:v>
      </x:c>
      <x:c r="B2487" s="1" t="n">
        <x:v>7.5</x:v>
      </x:c>
      <x:c r="C2487" s="1" t="n">
        <x:v>6</x:v>
      </x:c>
      <x:c r="D2487" s="12" t="n">
        <x:v>0.29233333333333333</x:v>
      </x:c>
      <x:c r="E2487" s="12" t="n">
        <x:v>0.29333333333333333</x:v>
      </x:c>
      <x:c r="F2487" s="12" t="n">
        <x:v>0</x:v>
      </x:c>
      <x:c r="G2487" s="12" t="n">
        <x:v>0</x:v>
      </x:c>
      <x:c r="H2487" s="1" t="n">
        <x:f>'Historical prices'!E2487</x:f>
        <x:v>1.05</x:v>
      </x:c>
      <x:c r="I2487" s="6" t="n">
        <x:f>'Historical prices'!D2487</x:f>
        <x:v>0.1472</x:v>
      </x:c>
      <x:c r="J2487" s="13" t="n">
        <x:f>D2487*I2487*H2487</x:f>
        <x:v>0.04518304</x:v>
      </x:c>
      <x:c r="K2487" s="13" t="n">
        <x:f>E2487*I2487*H2487</x:f>
        <x:v>0.0453376</x:v>
      </x:c>
      <x:c r="L2487" s="1" t="str">
        <x:f>TEXT(A2487,"mmm yyyy")</x:f>
        <x:v>Jun 2026</x:v>
      </x:c>
    </x:row>
    <x:row r="2488" ht="21" customHeight="1">
      <x:c r="A2488" s="10" t="n">
        <x:v>46200</x:v>
      </x:c>
      <x:c r="B2488" s="1" t="n">
        <x:v>8</x:v>
      </x:c>
      <x:c r="C2488" s="1" t="n">
        <x:v>6</x:v>
      </x:c>
      <x:c r="D2488" s="12" t="n">
        <x:v>0.28633333333333333</x:v>
      </x:c>
      <x:c r="E2488" s="12" t="n">
        <x:v>0.28733333333333333</x:v>
      </x:c>
      <x:c r="F2488" s="12" t="n">
        <x:v>0</x:v>
      </x:c>
      <x:c r="G2488" s="12" t="n">
        <x:v>0</x:v>
      </x:c>
      <x:c r="H2488" s="1" t="n">
        <x:f>'Historical prices'!E2488</x:f>
        <x:v>1.05</x:v>
      </x:c>
      <x:c r="I2488" s="6" t="n">
        <x:f>'Historical prices'!D2488</x:f>
        <x:v>0.1094</x:v>
      </x:c>
      <x:c r="J2488" s="13" t="n">
        <x:f>D2488*I2488*H2488</x:f>
        <x:v>0.03289111</x:v>
      </x:c>
      <x:c r="K2488" s="13" t="n">
        <x:f>E2488*I2488*H2488</x:f>
        <x:v>0.033005980000000004</x:v>
      </x:c>
      <x:c r="L2488" s="1" t="str">
        <x:f>TEXT(A2488,"mmm yyyy")</x:f>
        <x:v>Jun 2026</x:v>
      </x:c>
    </x:row>
    <x:row r="2489" ht="21" customHeight="1">
      <x:c r="A2489" s="10" t="n">
        <x:v>46200</x:v>
      </x:c>
      <x:c r="B2489" s="1" t="n">
        <x:v>8.5</x:v>
      </x:c>
      <x:c r="C2489" s="1" t="n">
        <x:v>6</x:v>
      </x:c>
      <x:c r="D2489" s="12" t="n">
        <x:v>0.2465</x:v>
      </x:c>
      <x:c r="E2489" s="12" t="n">
        <x:v>0.2475</x:v>
      </x:c>
      <x:c r="F2489" s="12" t="n">
        <x:v>0</x:v>
      </x:c>
      <x:c r="G2489" s="12" t="n">
        <x:v>0</x:v>
      </x:c>
      <x:c r="H2489" s="1" t="n">
        <x:f>'Historical prices'!E2489</x:f>
        <x:v>1.05</x:v>
      </x:c>
      <x:c r="I2489" s="6" t="n">
        <x:f>'Historical prices'!D2489</x:f>
        <x:v>0.0947</x:v>
      </x:c>
      <x:c r="J2489" s="13" t="n">
        <x:f>D2489*I2489*H2489</x:f>
        <x:v>0.024510727500000003</x:v>
      </x:c>
      <x:c r="K2489" s="13" t="n">
        <x:f>E2489*I2489*H2489</x:f>
        <x:v>0.0246101625</x:v>
      </x:c>
      <x:c r="L2489" s="1" t="str">
        <x:f>TEXT(A2489,"mmm yyyy")</x:f>
        <x:v>Jun 2026</x:v>
      </x:c>
    </x:row>
    <x:row r="2490" ht="21" customHeight="1">
      <x:c r="A2490" s="10" t="n">
        <x:v>46200</x:v>
      </x:c>
      <x:c r="B2490" s="1" t="n">
        <x:v>9</x:v>
      </x:c>
      <x:c r="C2490" s="1" t="n">
        <x:v>6</x:v>
      </x:c>
      <x:c r="D2490" s="12" t="n">
        <x:v>0.20358333333333334</x:v>
      </x:c>
      <x:c r="E2490" s="12" t="n">
        <x:v>0.20458333333333334</x:v>
      </x:c>
      <x:c r="F2490" s="12" t="n">
        <x:v>0</x:v>
      </x:c>
      <x:c r="G2490" s="12" t="n">
        <x:v>0</x:v>
      </x:c>
      <x:c r="H2490" s="1" t="n">
        <x:f>'Historical prices'!E2490</x:f>
        <x:v>1.05</x:v>
      </x:c>
      <x:c r="I2490" s="6" t="n">
        <x:f>'Historical prices'!D2490</x:f>
        <x:v>0.058600000000000006</x:v>
      </x:c>
      <x:c r="J2490" s="13" t="n">
        <x:f>D2490*I2490*H2490</x:f>
        <x:v>0.012526482500000002</x:v>
      </x:c>
      <x:c r="K2490" s="13" t="n">
        <x:f>E2490*I2490*H2490</x:f>
        <x:v>0.012588012500000002</x:v>
      </x:c>
      <x:c r="L2490" s="1" t="str">
        <x:f>TEXT(A2490,"mmm yyyy")</x:f>
        <x:v>Jun 2026</x:v>
      </x:c>
    </x:row>
    <x:row r="2491" ht="21" customHeight="1">
      <x:c r="A2491" s="10" t="n">
        <x:v>46200</x:v>
      </x:c>
      <x:c r="B2491" s="1" t="n">
        <x:v>9.5</x:v>
      </x:c>
      <x:c r="C2491" s="1" t="n">
        <x:v>6</x:v>
      </x:c>
      <x:c r="D2491" s="12" t="n">
        <x:v>0.23108333333333334</x:v>
      </x:c>
      <x:c r="E2491" s="12" t="n">
        <x:v>0.23108333333333334</x:v>
      </x:c>
      <x:c r="F2491" s="12" t="n">
        <x:v>0</x:v>
      </x:c>
      <x:c r="G2491" s="12" t="n">
        <x:v>0</x:v>
      </x:c>
      <x:c r="H2491" s="1" t="n">
        <x:f>'Historical prices'!E2491</x:f>
        <x:v>1.05</x:v>
      </x:c>
      <x:c r="I2491" s="6" t="n">
        <x:f>'Historical prices'!D2491</x:f>
        <x:v>0.0182</x:v>
      </x:c>
      <x:c r="J2491" s="13" t="n">
        <x:f>D2491*I2491*H2491</x:f>
        <x:v>0.004416002500000001</x:v>
      </x:c>
      <x:c r="K2491" s="13" t="n">
        <x:f>E2491*I2491*H2491</x:f>
        <x:v>0.004416002500000001</x:v>
      </x:c>
      <x:c r="L2491" s="1" t="str">
        <x:f>TEXT(A2491,"mmm yyyy")</x:f>
        <x:v>Jun 2026</x:v>
      </x:c>
    </x:row>
    <x:row r="2492" ht="21" customHeight="1">
      <x:c r="A2492" s="10" t="n">
        <x:v>46200</x:v>
      </x:c>
      <x:c r="B2492" s="1" t="n">
        <x:v>10</x:v>
      </x:c>
      <x:c r="C2492" s="1" t="n">
        <x:v>6</x:v>
      </x:c>
      <x:c r="D2492" s="12" t="n">
        <x:v>0.27725</x:v>
      </x:c>
      <x:c r="E2492" s="12" t="n">
        <x:v>0.27825</x:v>
      </x:c>
      <x:c r="F2492" s="12" t="n">
        <x:v>0</x:v>
      </x:c>
      <x:c r="G2492" s="12" t="n">
        <x:v>0</x:v>
      </x:c>
      <x:c r="H2492" s="1" t="n">
        <x:f>'Historical prices'!E2492</x:f>
        <x:v>1.05</x:v>
      </x:c>
      <x:c r="I2492" s="6" t="n">
        <x:f>'Historical prices'!D2492</x:f>
        <x:v>0.026600000000000002</x:v>
      </x:c>
      <x:c r="J2492" s="13" t="n">
        <x:f>D2492*I2492*H2492</x:f>
        <x:v>0.007743592500000001</x:v>
      </x:c>
      <x:c r="K2492" s="13" t="n">
        <x:f>E2492*I2492*H2492</x:f>
        <x:v>0.007771522500000001</x:v>
      </x:c>
      <x:c r="L2492" s="1" t="str">
        <x:f>TEXT(A2492,"mmm yyyy")</x:f>
        <x:v>Jun 2026</x:v>
      </x:c>
    </x:row>
    <x:row r="2493" ht="21" customHeight="1">
      <x:c r="A2493" s="10" t="n">
        <x:v>46200</x:v>
      </x:c>
      <x:c r="B2493" s="1" t="n">
        <x:v>10.5</x:v>
      </x:c>
      <x:c r="C2493" s="1" t="n">
        <x:v>6</x:v>
      </x:c>
      <x:c r="D2493" s="12" t="n">
        <x:v>0.2515</x:v>
      </x:c>
      <x:c r="E2493" s="12" t="n">
        <x:v>0.2525</x:v>
      </x:c>
      <x:c r="F2493" s="12" t="n">
        <x:v>0</x:v>
      </x:c>
      <x:c r="G2493" s="12" t="n">
        <x:v>0</x:v>
      </x:c>
      <x:c r="H2493" s="1" t="n">
        <x:f>'Historical prices'!E2493</x:f>
        <x:v>1.05</x:v>
      </x:c>
      <x:c r="I2493" s="6" t="n">
        <x:f>'Historical prices'!D2493</x:f>
        <x:v>0.0192</x:v>
      </x:c>
      <x:c r="J2493" s="13" t="n">
        <x:f>D2493*I2493*H2493</x:f>
        <x:v>0.005070239999999999</x:v>
      </x:c>
      <x:c r="K2493" s="13" t="n">
        <x:f>E2493*I2493*H2493</x:f>
        <x:v>0.0050904</x:v>
      </x:c>
      <x:c r="L2493" s="1" t="str">
        <x:f>TEXT(A2493,"mmm yyyy")</x:f>
        <x:v>Jun 2026</x:v>
      </x:c>
    </x:row>
    <x:row r="2494" ht="21" customHeight="1">
      <x:c r="A2494" s="10" t="n">
        <x:v>46200</x:v>
      </x:c>
      <x:c r="B2494" s="1" t="n">
        <x:v>11</x:v>
      </x:c>
      <x:c r="C2494" s="1" t="n">
        <x:v>6</x:v>
      </x:c>
      <x:c r="D2494" s="12" t="n">
        <x:v>4.432666666666666</x:v>
      </x:c>
      <x:c r="E2494" s="12" t="n">
        <x:v>0.4796666666666667</x:v>
      </x:c>
      <x:c r="F2494" s="12" t="n">
        <x:v>0</x:v>
      </x:c>
      <x:c r="G2494" s="12" t="n">
        <x:v>3.9530000000000003</x:v>
      </x:c>
      <x:c r="H2494" s="1" t="n">
        <x:f>'Historical prices'!E2494</x:f>
        <x:v>1.05</x:v>
      </x:c>
      <x:c r="I2494" s="6" t="n">
        <x:f>'Historical prices'!D2494</x:f>
        <x:v>-0.0005</x:v>
      </x:c>
      <x:c r="J2494" s="13" t="n">
        <x:f>D2494*I2494*H2494</x:f>
        <x:v>-0.00232715</x:v>
      </x:c>
      <x:c r="K2494" s="13" t="n">
        <x:f>E2494*I2494*H2494</x:f>
        <x:v>-0.000251825</x:v>
      </x:c>
      <x:c r="L2494" s="1" t="str">
        <x:f>TEXT(A2494,"mmm yyyy")</x:f>
        <x:v>Jun 2026</x:v>
      </x:c>
    </x:row>
    <x:row r="2495" ht="21" customHeight="1">
      <x:c r="A2495" s="10" t="n">
        <x:v>46200</x:v>
      </x:c>
      <x:c r="B2495" s="1" t="n">
        <x:v>11.5</x:v>
      </x:c>
      <x:c r="C2495" s="1" t="n">
        <x:v>6</x:v>
      </x:c>
      <x:c r="D2495" s="12" t="n">
        <x:v>5.2387500000000005</x:v>
      </x:c>
      <x:c r="E2495" s="12" t="n">
        <x:v>0.46775</x:v>
      </x:c>
      <x:c r="F2495" s="12" t="n">
        <x:v>0</x:v>
      </x:c>
      <x:c r="G2495" s="12" t="n">
        <x:v>4.771000000000001</x:v>
      </x:c>
      <x:c r="H2495" s="1" t="n">
        <x:f>'Historical prices'!E2495</x:f>
        <x:v>1.05</x:v>
      </x:c>
      <x:c r="I2495" s="6" t="n">
        <x:f>'Historical prices'!D2495</x:f>
        <x:v>-0.0072</x:v>
      </x:c>
      <x:c r="J2495" s="13" t="n">
        <x:f>D2495*I2495*H2495</x:f>
        <x:v>-0.03960495000000001</x:v>
      </x:c>
      <x:c r="K2495" s="13" t="n">
        <x:f>E2495*I2495*H2495</x:f>
        <x:v>-0.00353619</x:v>
      </x:c>
      <x:c r="L2495" s="1" t="str">
        <x:f>TEXT(A2495,"mmm yyyy")</x:f>
        <x:v>Jun 2026</x:v>
      </x:c>
    </x:row>
    <x:row r="2496" ht="21" customHeight="1">
      <x:c r="A2496" s="10" t="n">
        <x:v>46200</x:v>
      </x:c>
      <x:c r="B2496" s="1" t="n">
        <x:v>12</x:v>
      </x:c>
      <x:c r="C2496" s="1" t="n">
        <x:v>6</x:v>
      </x:c>
      <x:c r="D2496" s="12" t="n">
        <x:v>4.902416666666667</x:v>
      </x:c>
      <x:c r="E2496" s="12" t="n">
        <x:v>0.42241666666666666</x:v>
      </x:c>
      <x:c r="F2496" s="12" t="n">
        <x:v>0</x:v>
      </x:c>
      <x:c r="G2496" s="12" t="n">
        <x:v>4.4799999999999995</x:v>
      </x:c>
      <x:c r="H2496" s="1" t="n">
        <x:f>'Historical prices'!E2496</x:f>
        <x:v>1.05</x:v>
      </x:c>
      <x:c r="I2496" s="6" t="n">
        <x:f>'Historical prices'!D2496</x:f>
        <x:v>-0.0019</x:v>
      </x:c>
      <x:c r="J2496" s="13" t="n">
        <x:f>D2496*I2496*H2496</x:f>
        <x:v>-0.009780321250000003</x:v>
      </x:c>
      <x:c r="K2496" s="13" t="n">
        <x:f>E2496*I2496*H2496</x:f>
        <x:v>-0.00084272125</x:v>
      </x:c>
      <x:c r="L2496" s="1" t="str">
        <x:f>TEXT(A2496,"mmm yyyy")</x:f>
        <x:v>Jun 2026</x:v>
      </x:c>
    </x:row>
    <x:row r="2497" ht="21" customHeight="1">
      <x:c r="A2497" s="10" t="n">
        <x:v>46200</x:v>
      </x:c>
      <x:c r="B2497" s="1" t="n">
        <x:v>12.5</x:v>
      </x:c>
      <x:c r="C2497" s="1" t="n">
        <x:v>6</x:v>
      </x:c>
      <x:c r="D2497" s="12" t="n">
        <x:v>5.212916666666667</x:v>
      </x:c>
      <x:c r="E2497" s="12" t="n">
        <x:v>0.49491666666666667</x:v>
      </x:c>
      <x:c r="F2497" s="12" t="n">
        <x:v>0</x:v>
      </x:c>
      <x:c r="G2497" s="12" t="n">
        <x:v>4.718000000000001</x:v>
      </x:c>
      <x:c r="H2497" s="1" t="n">
        <x:f>'Historical prices'!E2497</x:f>
        <x:v>1.05</x:v>
      </x:c>
      <x:c r="I2497" s="6" t="n">
        <x:f>'Historical prices'!D2497</x:f>
        <x:v>-0.0095</x:v>
      </x:c>
      <x:c r="J2497" s="13" t="n">
        <x:f>D2497*I2497*H2497</x:f>
        <x:v>-0.05199884375</x:v>
      </x:c>
      <x:c r="K2497" s="13" t="n">
        <x:f>E2497*I2497*H2497</x:f>
        <x:v>-0.00493679375</x:v>
      </x:c>
      <x:c r="L2497" s="1" t="str">
        <x:f>TEXT(A2497,"mmm yyyy")</x:f>
        <x:v>Jun 2026</x:v>
      </x:c>
    </x:row>
    <x:row r="2498" ht="21" customHeight="1">
      <x:c r="A2498" s="10" t="n">
        <x:v>46200</x:v>
      </x:c>
      <x:c r="B2498" s="1" t="n">
        <x:v>13</x:v>
      </x:c>
      <x:c r="C2498" s="1" t="n">
        <x:v>6</x:v>
      </x:c>
      <x:c r="D2498" s="12" t="n">
        <x:v>5.233166666666667</x:v>
      </x:c>
      <x:c r="E2498" s="12" t="n">
        <x:v>0.5071666666666667</x:v>
      </x:c>
      <x:c r="F2498" s="12" t="n">
        <x:v>0</x:v>
      </x:c>
      <x:c r="G2498" s="12" t="n">
        <x:v>4.726</x:v>
      </x:c>
      <x:c r="H2498" s="1" t="n">
        <x:f>'Historical prices'!E2498</x:f>
        <x:v>1.05</x:v>
      </x:c>
      <x:c r="I2498" s="6" t="n">
        <x:f>'Historical prices'!D2498</x:f>
        <x:v>-0.0031</x:v>
      </x:c>
      <x:c r="J2498" s="13" t="n">
        <x:f>D2498*I2498*H2498</x:f>
        <x:v>-0.017033957500000002</x:v>
      </x:c>
      <x:c r="K2498" s="13" t="n">
        <x:f>E2498*I2498*H2498</x:f>
        <x:v>-0.0016508274999999998</x:v>
      </x:c>
      <x:c r="L2498" s="1" t="str">
        <x:f>TEXT(A2498,"mmm yyyy")</x:f>
        <x:v>Jun 2026</x:v>
      </x:c>
    </x:row>
    <x:row r="2499" ht="21" customHeight="1">
      <x:c r="A2499" s="10" t="n">
        <x:v>46200</x:v>
      </x:c>
      <x:c r="B2499" s="1" t="n">
        <x:v>13.5</x:v>
      </x:c>
      <x:c r="C2499" s="1" t="n">
        <x:v>6</x:v>
      </x:c>
      <x:c r="D2499" s="12" t="n">
        <x:v>5.200916666666667</x:v>
      </x:c>
      <x:c r="E2499" s="12" t="n">
        <x:v>0.48291666666666666</x:v>
      </x:c>
      <x:c r="F2499" s="12" t="n">
        <x:v>0</x:v>
      </x:c>
      <x:c r="G2499" s="12" t="n">
        <x:v>4.718</x:v>
      </x:c>
      <x:c r="H2499" s="1" t="n">
        <x:f>'Historical prices'!E2499</x:f>
        <x:v>1.05</x:v>
      </x:c>
      <x:c r="I2499" s="6" t="n">
        <x:f>'Historical prices'!D2499</x:f>
        <x:v>-0.0124</x:v>
      </x:c>
      <x:c r="J2499" s="13" t="n">
        <x:f>D2499*I2499*H2499</x:f>
        <x:v>-0.067715935</x:v>
      </x:c>
      <x:c r="K2499" s="13" t="n">
        <x:f>E2499*I2499*H2499</x:f>
        <x:v>-0.006287575</x:v>
      </x:c>
      <x:c r="L2499" s="1" t="str">
        <x:f>TEXT(A2499,"mmm yyyy")</x:f>
        <x:v>Jun 2026</x:v>
      </x:c>
    </x:row>
    <x:row r="2500" ht="21" customHeight="1">
      <x:c r="A2500" s="10" t="n">
        <x:v>46200</x:v>
      </x:c>
      <x:c r="B2500" s="1" t="n">
        <x:v>14</x:v>
      </x:c>
      <x:c r="C2500" s="1" t="n">
        <x:v>6</x:v>
      </x:c>
      <x:c r="D2500" s="12" t="n">
        <x:v>3.341583333333334</x:v>
      </x:c>
      <x:c r="E2500" s="12" t="n">
        <x:v>0.3775833333333334</x:v>
      </x:c>
      <x:c r="F2500" s="12" t="n">
        <x:v>0</x:v>
      </x:c>
      <x:c r="G2500" s="12" t="n">
        <x:v>2.964</x:v>
      </x:c>
      <x:c r="H2500" s="1" t="n">
        <x:f>'Historical prices'!E2500</x:f>
        <x:v>1.05</x:v>
      </x:c>
      <x:c r="I2500" s="6" t="n">
        <x:f>'Historical prices'!D2500</x:f>
        <x:v>0.0002</x:v>
      </x:c>
      <x:c r="J2500" s="13" t="n">
        <x:f>D2500*I2500*H2500</x:f>
        <x:v>0.0007017325000000002</x:v>
      </x:c>
      <x:c r="K2500" s="13" t="n">
        <x:f>E2500*I2500*H2500</x:f>
        <x:v>0.00007929250000000002</x:v>
      </x:c>
      <x:c r="L2500" s="1" t="str">
        <x:f>TEXT(A2500,"mmm yyyy")</x:f>
        <x:v>Jun 2026</x:v>
      </x:c>
    </x:row>
    <x:row r="2501" ht="21" customHeight="1">
      <x:c r="A2501" s="10" t="n">
        <x:v>46200</x:v>
      </x:c>
      <x:c r="B2501" s="1" t="n">
        <x:v>14.5</x:v>
      </x:c>
      <x:c r="C2501" s="1" t="n">
        <x:v>6</x:v>
      </x:c>
      <x:c r="D2501" s="12" t="n">
        <x:v>0.7240833333333332</x:v>
      </x:c>
      <x:c r="E2501" s="12" t="n">
        <x:v>0.2540833333333333</x:v>
      </x:c>
      <x:c r="F2501" s="12" t="n">
        <x:v>0</x:v>
      </x:c>
      <x:c r="G2501" s="12" t="n">
        <x:v>0.4739999999999999</x:v>
      </x:c>
      <x:c r="H2501" s="1" t="n">
        <x:f>'Historical prices'!E2501</x:f>
        <x:v>1.05</x:v>
      </x:c>
      <x:c r="I2501" s="6" t="n">
        <x:f>'Historical prices'!D2501</x:f>
        <x:v>0.0023</x:v>
      </x:c>
      <x:c r="J2501" s="13" t="n">
        <x:f>D2501*I2501*H2501</x:f>
        <x:v>0.0017486612499999997</x:v>
      </x:c>
      <x:c r="K2501" s="13" t="n">
        <x:f>E2501*I2501*H2501</x:f>
        <x:v>0.00061361125</x:v>
      </x:c>
      <x:c r="L2501" s="1" t="str">
        <x:f>TEXT(A2501,"mmm yyyy")</x:f>
        <x:v>Jun 2026</x:v>
      </x:c>
    </x:row>
    <x:row r="2502" ht="21" customHeight="1">
      <x:c r="A2502" s="10" t="n">
        <x:v>46200</x:v>
      </x:c>
      <x:c r="B2502" s="1" t="n">
        <x:v>15</x:v>
      </x:c>
      <x:c r="C2502" s="1" t="n">
        <x:v>6</x:v>
      </x:c>
      <x:c r="D2502" s="12" t="n">
        <x:v>0.0305</x:v>
      </x:c>
      <x:c r="E2502" s="12" t="n">
        <x:v>0.22425</x:v>
      </x:c>
      <x:c r="F2502" s="12" t="n">
        <x:v>0.19075</x:v>
      </x:c>
      <x:c r="G2502" s="12" t="n">
        <x:v>0</x:v>
      </x:c>
      <x:c r="H2502" s="1" t="n">
        <x:f>'Historical prices'!E2502</x:f>
        <x:v>1.05</x:v>
      </x:c>
      <x:c r="I2502" s="6" t="n">
        <x:f>'Historical prices'!D2502</x:f>
        <x:v>0.0611</x:v>
      </x:c>
      <x:c r="J2502" s="13" t="n">
        <x:f>D2502*I2502*H2502</x:f>
        <x:v>0.0019567275000000003</x:v>
      </x:c>
      <x:c r="K2502" s="13" t="n">
        <x:f>E2502*I2502*H2502</x:f>
        <x:v>0.01438675875</x:v>
      </x:c>
      <x:c r="L2502" s="1" t="str">
        <x:f>TEXT(A2502,"mmm yyyy")</x:f>
        <x:v>Jun 2026</x:v>
      </x:c>
    </x:row>
    <x:row r="2503" ht="21" customHeight="1">
      <x:c r="A2503" s="10" t="n">
        <x:v>46200</x:v>
      </x:c>
      <x:c r="B2503" s="1" t="n">
        <x:v>15.5</x:v>
      </x:c>
      <x:c r="C2503" s="1" t="n">
        <x:v>6</x:v>
      </x:c>
      <x:c r="D2503" s="12" t="n">
        <x:v>0</x:v>
      </x:c>
      <x:c r="E2503" s="12" t="n">
        <x:v>0.19508333333333333</x:v>
      </x:c>
      <x:c r="F2503" s="12" t="n">
        <x:v>0.19483333333333336</x:v>
      </x:c>
      <x:c r="G2503" s="12" t="n">
        <x:v>0</x:v>
      </x:c>
      <x:c r="H2503" s="1" t="n">
        <x:f>'Historical prices'!E2503</x:f>
        <x:v>1.05</x:v>
      </x:c>
      <x:c r="I2503" s="6" t="n">
        <x:f>'Historical prices'!D2503</x:f>
        <x:v>0.0603</x:v>
      </x:c>
      <x:c r="J2503" s="13" t="n">
        <x:f>D2503*I2503*H2503</x:f>
        <x:v>0</x:v>
      </x:c>
      <x:c r="K2503" s="13" t="n">
        <x:f>E2503*I2503*H2503</x:f>
        <x:v>0.012351701250000001</x:v>
      </x:c>
      <x:c r="L2503" s="1" t="str">
        <x:f>TEXT(A2503,"mmm yyyy")</x:f>
        <x:v>Jun 2026</x:v>
      </x:c>
    </x:row>
    <x:row r="2504" ht="21" customHeight="1">
      <x:c r="A2504" s="10" t="n">
        <x:v>46200</x:v>
      </x:c>
      <x:c r="B2504" s="1" t="n">
        <x:v>16</x:v>
      </x:c>
      <x:c r="C2504" s="1" t="n">
        <x:v>6</x:v>
      </x:c>
      <x:c r="D2504" s="12" t="n">
        <x:v>0</x:v>
      </x:c>
      <x:c r="E2504" s="12" t="n">
        <x:v>0.2836666666666666</x:v>
      </x:c>
      <x:c r="F2504" s="12" t="n">
        <x:v>0.2835</x:v>
      </x:c>
      <x:c r="G2504" s="12" t="n">
        <x:v>0</x:v>
      </x:c>
      <x:c r="H2504" s="1" t="n">
        <x:f>'Historical prices'!E2504</x:f>
        <x:v>1.05</x:v>
      </x:c>
      <x:c r="I2504" s="6" t="n">
        <x:f>'Historical prices'!D2504</x:f>
        <x:v>0.2441</x:v>
      </x:c>
      <x:c r="J2504" s="13" t="n">
        <x:f>D2504*I2504*H2504</x:f>
        <x:v>0</x:v>
      </x:c>
      <x:c r="K2504" s="13" t="n">
        <x:f>E2504*I2504*H2504</x:f>
        <x:v>0.07270518499999999</x:v>
      </x:c>
      <x:c r="L2504" s="1" t="str">
        <x:f>TEXT(A2504,"mmm yyyy")</x:f>
        <x:v>Jun 2026</x:v>
      </x:c>
    </x:row>
    <x:row r="2505" ht="21" customHeight="1">
      <x:c r="A2505" s="10" t="n">
        <x:v>46200</x:v>
      </x:c>
      <x:c r="B2505" s="1" t="n">
        <x:v>16.5</x:v>
      </x:c>
      <x:c r="C2505" s="1" t="n">
        <x:v>6</x:v>
      </x:c>
      <x:c r="D2505" s="12" t="n">
        <x:v>0</x:v>
      </x:c>
      <x:c r="E2505" s="12" t="n">
        <x:v>0.28975</x:v>
      </x:c>
      <x:c r="F2505" s="12" t="n">
        <x:v>0.2895</x:v>
      </x:c>
      <x:c r="G2505" s="12" t="n">
        <x:v>0</x:v>
      </x:c>
      <x:c r="H2505" s="1" t="n">
        <x:f>'Historical prices'!E2505</x:f>
        <x:v>1.05</x:v>
      </x:c>
      <x:c r="I2505" s="6" t="n">
        <x:f>'Historical prices'!D2505</x:f>
        <x:v>0.2441</x:v>
      </x:c>
      <x:c r="J2505" s="13" t="n">
        <x:f>D2505*I2505*H2505</x:f>
        <x:v>0</x:v>
      </x:c>
      <x:c r="K2505" s="13" t="n">
        <x:f>E2505*I2505*H2505</x:f>
        <x:v>0.07426437375</x:v>
      </x:c>
      <x:c r="L2505" s="1" t="str">
        <x:f>TEXT(A2505,"mmm yyyy")</x:f>
        <x:v>Jun 2026</x:v>
      </x:c>
    </x:row>
    <x:row r="2506" ht="21" customHeight="1">
      <x:c r="A2506" s="10" t="n">
        <x:v>46200</x:v>
      </x:c>
      <x:c r="B2506" s="1" t="n">
        <x:v>17</x:v>
      </x:c>
      <x:c r="C2506" s="1" t="n">
        <x:v>6</x:v>
      </x:c>
      <x:c r="D2506" s="12" t="n">
        <x:v>0</x:v>
      </x:c>
      <x:c r="E2506" s="12" t="n">
        <x:v>0.27508333333333335</x:v>
      </x:c>
      <x:c r="F2506" s="12" t="n">
        <x:v>0.2745833333333333</x:v>
      </x:c>
      <x:c r="G2506" s="12" t="n">
        <x:v>0</x:v>
      </x:c>
      <x:c r="H2506" s="1" t="n">
        <x:f>'Historical prices'!E2506</x:f>
        <x:v>1.05</x:v>
      </x:c>
      <x:c r="I2506" s="6" t="n">
        <x:f>'Historical prices'!D2506</x:f>
        <x:v>0.2854</x:v>
      </x:c>
      <x:c r="J2506" s="13" t="n">
        <x:f>D2506*I2506*H2506</x:f>
        <x:v>0</x:v>
      </x:c>
      <x:c r="K2506" s="13" t="n">
        <x:f>E2506*I2506*H2506</x:f>
        <x:v>0.0824342225</x:v>
      </x:c>
      <x:c r="L2506" s="1" t="str">
        <x:f>TEXT(A2506,"mmm yyyy")</x:f>
        <x:v>Jun 2026</x:v>
      </x:c>
    </x:row>
    <x:row r="2507" ht="21" customHeight="1">
      <x:c r="A2507" s="10" t="n">
        <x:v>46200</x:v>
      </x:c>
      <x:c r="B2507" s="1" t="n">
        <x:v>17.5</x:v>
      </x:c>
      <x:c r="C2507" s="1" t="n">
        <x:v>6</x:v>
      </x:c>
      <x:c r="D2507" s="12" t="n">
        <x:v>0</x:v>
      </x:c>
      <x:c r="E2507" s="12" t="n">
        <x:v>0.39875</x:v>
      </x:c>
      <x:c r="F2507" s="12" t="n">
        <x:v>0.39849999999999997</x:v>
      </x:c>
      <x:c r="G2507" s="12" t="n">
        <x:v>0</x:v>
      </x:c>
      <x:c r="H2507" s="1" t="n">
        <x:f>'Historical prices'!E2507</x:f>
        <x:v>1.05</x:v>
      </x:c>
      <x:c r="I2507" s="6" t="n">
        <x:f>'Historical prices'!D2507</x:f>
        <x:v>0.292</x:v>
      </x:c>
      <x:c r="J2507" s="13" t="n">
        <x:f>D2507*I2507*H2507</x:f>
        <x:v>0</x:v>
      </x:c>
      <x:c r="K2507" s="13" t="n">
        <x:f>E2507*I2507*H2507</x:f>
        <x:v>0.12225675</x:v>
      </x:c>
      <x:c r="L2507" s="1" t="str">
        <x:f>TEXT(A2507,"mmm yyyy")</x:f>
        <x:v>Jun 2026</x:v>
      </x:c>
    </x:row>
    <x:row r="2508" ht="21" customHeight="1">
      <x:c r="A2508" s="10" t="n">
        <x:v>46200</x:v>
      </x:c>
      <x:c r="B2508" s="1" t="n">
        <x:v>18</x:v>
      </x:c>
      <x:c r="C2508" s="1" t="n">
        <x:v>6</x:v>
      </x:c>
      <x:c r="D2508" s="12" t="n">
        <x:v>0</x:v>
      </x:c>
      <x:c r="E2508" s="12" t="n">
        <x:v>0.261</x:v>
      </x:c>
      <x:c r="F2508" s="12" t="n">
        <x:v>0.26058333333333333</x:v>
      </x:c>
      <x:c r="G2508" s="12" t="n">
        <x:v>0</x:v>
      </x:c>
      <x:c r="H2508" s="1" t="n">
        <x:f>'Historical prices'!E2508</x:f>
        <x:v>1.05</x:v>
      </x:c>
      <x:c r="I2508" s="6" t="n">
        <x:f>'Historical prices'!D2508</x:f>
        <x:v>0.3155</x:v>
      </x:c>
      <x:c r="J2508" s="13" t="n">
        <x:f>D2508*I2508*H2508</x:f>
        <x:v>0</x:v>
      </x:c>
      <x:c r="K2508" s="13" t="n">
        <x:f>E2508*I2508*H2508</x:f>
        <x:v>0.086462775</x:v>
      </x:c>
      <x:c r="L2508" s="1" t="str">
        <x:f>TEXT(A2508,"mmm yyyy")</x:f>
        <x:v>Jun 2026</x:v>
      </x:c>
    </x:row>
    <x:row r="2509" ht="21" customHeight="1">
      <x:c r="A2509" s="10" t="n">
        <x:v>46200</x:v>
      </x:c>
      <x:c r="B2509" s="1" t="n">
        <x:v>18.5</x:v>
      </x:c>
      <x:c r="C2509" s="1" t="n">
        <x:v>6</x:v>
      </x:c>
      <x:c r="D2509" s="12" t="n">
        <x:v>0.08591666666666667</x:v>
      </x:c>
      <x:c r="E2509" s="12" t="n">
        <x:v>0.30883333333333335</x:v>
      </x:c>
      <x:c r="F2509" s="12" t="n">
        <x:v>0.22275</x:v>
      </x:c>
      <x:c r="G2509" s="12" t="n">
        <x:v>0</x:v>
      </x:c>
      <x:c r="H2509" s="1" t="n">
        <x:f>'Historical prices'!E2509</x:f>
        <x:v>1.05</x:v>
      </x:c>
      <x:c r="I2509" s="6" t="n">
        <x:f>'Historical prices'!D2509</x:f>
        <x:v>0.3218</x:v>
      </x:c>
      <x:c r="J2509" s="13" t="n">
        <x:f>D2509*I2509*H2509</x:f>
        <x:v>0.0290303825</x:v>
      </x:c>
      <x:c r="K2509" s="13" t="n">
        <x:f>E2509*I2509*H2509</x:f>
        <x:v>0.104351695</x:v>
      </x:c>
      <x:c r="L2509" s="1" t="str">
        <x:f>TEXT(A2509,"mmm yyyy")</x:f>
        <x:v>Jun 2026</x:v>
      </x:c>
    </x:row>
    <x:row r="2510" ht="21" customHeight="1">
      <x:c r="A2510" s="10" t="n">
        <x:v>46200</x:v>
      </x:c>
      <x:c r="B2510" s="1" t="n">
        <x:v>19</x:v>
      </x:c>
      <x:c r="C2510" s="1" t="n">
        <x:v>6</x:v>
      </x:c>
      <x:c r="D2510" s="12" t="n">
        <x:v>0</x:v>
      </x:c>
      <x:c r="E2510" s="12" t="n">
        <x:v>0.28991666666666666</x:v>
      </x:c>
      <x:c r="F2510" s="12" t="n">
        <x:v>0.28975</x:v>
      </x:c>
      <x:c r="G2510" s="12" t="n">
        <x:v>0</x:v>
      </x:c>
      <x:c r="H2510" s="1" t="n">
        <x:f>'Historical prices'!E2510</x:f>
        <x:v>1.05</x:v>
      </x:c>
      <x:c r="I2510" s="6" t="n">
        <x:f>'Historical prices'!D2510</x:f>
        <x:v>0.20620000000000002</x:v>
      </x:c>
      <x:c r="J2510" s="13" t="n">
        <x:f>D2510*I2510*H2510</x:f>
        <x:v>0</x:v>
      </x:c>
      <x:c r="K2510" s="13" t="n">
        <x:f>E2510*I2510*H2510</x:f>
        <x:v>0.06276985750000001</x:v>
      </x:c>
      <x:c r="L2510" s="1" t="str">
        <x:f>TEXT(A2510,"mmm yyyy")</x:f>
        <x:v>Jun 2026</x:v>
      </x:c>
    </x:row>
    <x:row r="2511" ht="21" customHeight="1">
      <x:c r="A2511" s="10" t="n">
        <x:v>46200</x:v>
      </x:c>
      <x:c r="B2511" s="1" t="n">
        <x:v>19.5</x:v>
      </x:c>
      <x:c r="C2511" s="1" t="n">
        <x:v>6</x:v>
      </x:c>
      <x:c r="D2511" s="12" t="n">
        <x:v>0</x:v>
      </x:c>
      <x:c r="E2511" s="12" t="n">
        <x:v>0.2638333333333333</x:v>
      </x:c>
      <x:c r="F2511" s="12" t="n">
        <x:v>0.26374999999999993</x:v>
      </x:c>
      <x:c r="G2511" s="12" t="n">
        <x:v>0</x:v>
      </x:c>
      <x:c r="H2511" s="1" t="n">
        <x:f>'Historical prices'!E2511</x:f>
        <x:v>1.05</x:v>
      </x:c>
      <x:c r="I2511" s="6" t="n">
        <x:f>'Historical prices'!D2511</x:f>
        <x:v>0.2113</x:v>
      </x:c>
      <x:c r="J2511" s="13" t="n">
        <x:f>D2511*I2511*H2511</x:f>
        <x:v>0</x:v>
      </x:c>
      <x:c r="K2511" s="13" t="n">
        <x:f>E2511*I2511*H2511</x:f>
        <x:v>0.0585353825</x:v>
      </x:c>
      <x:c r="L2511" s="1" t="str">
        <x:f>TEXT(A2511,"mmm yyyy")</x:f>
        <x:v>Jun 2026</x:v>
      </x:c>
    </x:row>
    <x:row r="2512" ht="21" customHeight="1">
      <x:c r="A2512" s="10" t="n">
        <x:v>46200</x:v>
      </x:c>
      <x:c r="B2512" s="1" t="n">
        <x:v>20</x:v>
      </x:c>
      <x:c r="C2512" s="1" t="n">
        <x:v>6</x:v>
      </x:c>
      <x:c r="D2512" s="12" t="n">
        <x:v>0</x:v>
      </x:c>
      <x:c r="E2512" s="12" t="n">
        <x:v>0.258</x:v>
      </x:c>
      <x:c r="F2512" s="12" t="n">
        <x:v>0.25783333333333336</x:v>
      </x:c>
      <x:c r="G2512" s="12" t="n">
        <x:v>0</x:v>
      </x:c>
      <x:c r="H2512" s="1" t="n">
        <x:f>'Historical prices'!E2512</x:f>
        <x:v>1.05</x:v>
      </x:c>
      <x:c r="I2512" s="6" t="n">
        <x:f>'Historical prices'!D2512</x:f>
        <x:v>0.2182</x:v>
      </x:c>
      <x:c r="J2512" s="13" t="n">
        <x:f>D2512*I2512*H2512</x:f>
        <x:v>0</x:v>
      </x:c>
      <x:c r="K2512" s="13" t="n">
        <x:f>E2512*I2512*H2512</x:f>
        <x:v>0.059110380000000004</x:v>
      </x:c>
      <x:c r="L2512" s="1" t="str">
        <x:f>TEXT(A2512,"mmm yyyy")</x:f>
        <x:v>Jun 2026</x:v>
      </x:c>
    </x:row>
    <x:row r="2513" ht="21" customHeight="1">
      <x:c r="A2513" s="10" t="n">
        <x:v>46200</x:v>
      </x:c>
      <x:c r="B2513" s="1" t="n">
        <x:v>20.5</x:v>
      </x:c>
      <x:c r="C2513" s="1" t="n">
        <x:v>6</x:v>
      </x:c>
      <x:c r="D2513" s="12" t="n">
        <x:v>0</x:v>
      </x:c>
      <x:c r="E2513" s="12" t="n">
        <x:v>0.3456666666666667</x:v>
      </x:c>
      <x:c r="F2513" s="12" t="n">
        <x:v>0.3456666666666667</x:v>
      </x:c>
      <x:c r="G2513" s="12" t="n">
        <x:v>0</x:v>
      </x:c>
      <x:c r="H2513" s="1" t="n">
        <x:f>'Historical prices'!E2513</x:f>
        <x:v>1.05</x:v>
      </x:c>
      <x:c r="I2513" s="6" t="n">
        <x:f>'Historical prices'!D2513</x:f>
        <x:v>0.2193</x:v>
      </x:c>
      <x:c r="J2513" s="13" t="n">
        <x:f>D2513*I2513*H2513</x:f>
        <x:v>0</x:v>
      </x:c>
      <x:c r="K2513" s="13" t="n">
        <x:f>E2513*I2513*H2513</x:f>
        <x:v>0.079594935</x:v>
      </x:c>
      <x:c r="L2513" s="1" t="str">
        <x:f>TEXT(A2513,"mmm yyyy")</x:f>
        <x:v>Jun 2026</x:v>
      </x:c>
    </x:row>
    <x:row r="2514" ht="21" customHeight="1">
      <x:c r="A2514" s="10" t="n">
        <x:v>46200</x:v>
      </x:c>
      <x:c r="B2514" s="1" t="n">
        <x:v>21</x:v>
      </x:c>
      <x:c r="C2514" s="1" t="n">
        <x:v>6</x:v>
      </x:c>
      <x:c r="D2514" s="12" t="n">
        <x:v>0</x:v>
      </x:c>
      <x:c r="E2514" s="12" t="n">
        <x:v>0.31999999999999995</x:v>
      </x:c>
      <x:c r="F2514" s="12" t="n">
        <x:v>0.31966666666666665</x:v>
      </x:c>
      <x:c r="G2514" s="12" t="n">
        <x:v>0</x:v>
      </x:c>
      <x:c r="H2514" s="1" t="n">
        <x:f>'Historical prices'!E2514</x:f>
        <x:v>1.05</x:v>
      </x:c>
      <x:c r="I2514" s="6" t="n">
        <x:f>'Historical prices'!D2514</x:f>
        <x:v>0.2177</x:v>
      </x:c>
      <x:c r="J2514" s="13" t="n">
        <x:f>D2514*I2514*H2514</x:f>
        <x:v>0</x:v>
      </x:c>
      <x:c r="K2514" s="13" t="n">
        <x:f>E2514*I2514*H2514</x:f>
        <x:v>0.0731472</x:v>
      </x:c>
      <x:c r="L2514" s="1" t="str">
        <x:f>TEXT(A2514,"mmm yyyy")</x:f>
        <x:v>Jun 2026</x:v>
      </x:c>
    </x:row>
    <x:row r="2515" ht="21" customHeight="1">
      <x:c r="A2515" s="10" t="n">
        <x:v>46200</x:v>
      </x:c>
      <x:c r="B2515" s="1" t="n">
        <x:v>21.5</x:v>
      </x:c>
      <x:c r="C2515" s="1" t="n">
        <x:v>6</x:v>
      </x:c>
      <x:c r="D2515" s="12" t="n">
        <x:v>0</x:v>
      </x:c>
      <x:c r="E2515" s="12" t="n">
        <x:v>0.32766666666666666</x:v>
      </x:c>
      <x:c r="F2515" s="12" t="n">
        <x:v>0.32766666666666666</x:v>
      </x:c>
      <x:c r="G2515" s="12" t="n">
        <x:v>0</x:v>
      </x:c>
      <x:c r="H2515" s="1" t="n">
        <x:f>'Historical prices'!E2515</x:f>
        <x:v>1.05</x:v>
      </x:c>
      <x:c r="I2515" s="6" t="n">
        <x:f>'Historical prices'!D2515</x:f>
        <x:v>0.2144</x:v>
      </x:c>
      <x:c r="J2515" s="13" t="n">
        <x:f>D2515*I2515*H2515</x:f>
        <x:v>0</x:v>
      </x:c>
      <x:c r="K2515" s="13" t="n">
        <x:f>E2515*I2515*H2515</x:f>
        <x:v>0.07376432</x:v>
      </x:c>
      <x:c r="L2515" s="1" t="str">
        <x:f>TEXT(A2515,"mmm yyyy")</x:f>
        <x:v>Jun 2026</x:v>
      </x:c>
    </x:row>
    <x:row r="2516" ht="21" customHeight="1">
      <x:c r="A2516" s="10" t="n">
        <x:v>46200</x:v>
      </x:c>
      <x:c r="B2516" s="1" t="n">
        <x:v>22</x:v>
      </x:c>
      <x:c r="C2516" s="1" t="n">
        <x:v>6</x:v>
      </x:c>
      <x:c r="D2516" s="12" t="n">
        <x:v>0</x:v>
      </x:c>
      <x:c r="E2516" s="12" t="n">
        <x:v>0.37383333333333335</x:v>
      </x:c>
      <x:c r="F2516" s="12" t="n">
        <x:v>0.37375</x:v>
      </x:c>
      <x:c r="G2516" s="12" t="n">
        <x:v>0</x:v>
      </x:c>
      <x:c r="H2516" s="1" t="n">
        <x:f>'Historical prices'!E2516</x:f>
        <x:v>1.05</x:v>
      </x:c>
      <x:c r="I2516" s="6" t="n">
        <x:f>'Historical prices'!D2516</x:f>
        <x:v>0.2102</x:v>
      </x:c>
      <x:c r="J2516" s="13" t="n">
        <x:f>D2516*I2516*H2516</x:f>
        <x:v>0</x:v>
      </x:c>
      <x:c r="K2516" s="13" t="n">
        <x:f>E2516*I2516*H2516</x:f>
        <x:v>0.08250875500000002</x:v>
      </x:c>
      <x:c r="L2516" s="1" t="str">
        <x:f>TEXT(A2516,"mmm yyyy")</x:f>
        <x:v>Jun 2026</x:v>
      </x:c>
    </x:row>
    <x:row r="2517" ht="21" customHeight="1">
      <x:c r="A2517" s="10" t="n">
        <x:v>46200</x:v>
      </x:c>
      <x:c r="B2517" s="1" t="n">
        <x:v>22.5</x:v>
      </x:c>
      <x:c r="C2517" s="1" t="n">
        <x:v>6</x:v>
      </x:c>
      <x:c r="D2517" s="12" t="n">
        <x:v>0</x:v>
      </x:c>
      <x:c r="E2517" s="12" t="n">
        <x:v>0.36008333333333337</x:v>
      </x:c>
      <x:c r="F2517" s="12" t="n">
        <x:v>0.35991666666666666</x:v>
      </x:c>
      <x:c r="G2517" s="12" t="n">
        <x:v>0</x:v>
      </x:c>
      <x:c r="H2517" s="1" t="n">
        <x:f>'Historical prices'!E2517</x:f>
        <x:v>1.05</x:v>
      </x:c>
      <x:c r="I2517" s="6" t="n">
        <x:f>'Historical prices'!D2517</x:f>
        <x:v>0.2116</x:v>
      </x:c>
      <x:c r="J2517" s="13" t="n">
        <x:f>D2517*I2517*H2517</x:f>
        <x:v>0</x:v>
      </x:c>
      <x:c r="K2517" s="13" t="n">
        <x:f>E2517*I2517*H2517</x:f>
        <x:v>0.08000331500000002</x:v>
      </x:c>
      <x:c r="L2517" s="1" t="str">
        <x:f>TEXT(A2517,"mmm yyyy")</x:f>
        <x:v>Jun 2026</x:v>
      </x:c>
    </x:row>
    <x:row r="2518" ht="21" customHeight="1">
      <x:c r="A2518" s="10" t="n">
        <x:v>46200</x:v>
      </x:c>
      <x:c r="B2518" s="1" t="n">
        <x:v>23</x:v>
      </x:c>
      <x:c r="C2518" s="1" t="n">
        <x:v>6</x:v>
      </x:c>
      <x:c r="D2518" s="12" t="n">
        <x:v>0</x:v>
      </x:c>
      <x:c r="E2518" s="12" t="n">
        <x:v>0.3358333333333333</x:v>
      </x:c>
      <x:c r="F2518" s="12" t="n">
        <x:v>0.33575</x:v>
      </x:c>
      <x:c r="G2518" s="12" t="n">
        <x:v>0</x:v>
      </x:c>
      <x:c r="H2518" s="1" t="n">
        <x:f>'Historical prices'!E2518</x:f>
        <x:v>1.05</x:v>
      </x:c>
      <x:c r="I2518" s="6" t="n">
        <x:f>'Historical prices'!D2518</x:f>
        <x:v>0.1801</x:v>
      </x:c>
      <x:c r="J2518" s="13" t="n">
        <x:f>D2518*I2518*H2518</x:f>
        <x:v>0</x:v>
      </x:c>
      <x:c r="K2518" s="13" t="n">
        <x:f>E2518*I2518*H2518</x:f>
        <x:v>0.06350776250000001</x:v>
      </x:c>
      <x:c r="L2518" s="1" t="str">
        <x:f>TEXT(A2518,"mmm yyyy")</x:f>
        <x:v>Jun 2026</x:v>
      </x:c>
    </x:row>
    <x:row r="2519" ht="21" customHeight="1">
      <x:c r="A2519" s="10" t="n">
        <x:v>46200</x:v>
      </x:c>
      <x:c r="B2519" s="1" t="n">
        <x:v>23.5</x:v>
      </x:c>
      <x:c r="C2519" s="1" t="n">
        <x:v>6</x:v>
      </x:c>
      <x:c r="D2519" s="12" t="n">
        <x:v>0</x:v>
      </x:c>
      <x:c r="E2519" s="12" t="n">
        <x:v>0.5056666666666667</x:v>
      </x:c>
      <x:c r="F2519" s="12" t="n">
        <x:v>0.5054166666666667</x:v>
      </x:c>
      <x:c r="G2519" s="12" t="n">
        <x:v>0</x:v>
      </x:c>
      <x:c r="H2519" s="1" t="n">
        <x:f>'Historical prices'!E2519</x:f>
        <x:v>1.05</x:v>
      </x:c>
      <x:c r="I2519" s="6" t="n">
        <x:f>'Historical prices'!D2519</x:f>
        <x:v>0.1869</x:v>
      </x:c>
      <x:c r="J2519" s="13" t="n">
        <x:f>D2519*I2519*H2519</x:f>
        <x:v>0</x:v>
      </x:c>
      <x:c r="K2519" s="13" t="n">
        <x:f>E2519*I2519*H2519</x:f>
        <x:v>0.09923455500000002</x:v>
      </x:c>
      <x:c r="L2519" s="1" t="str">
        <x:f>TEXT(A2519,"mmm yyyy")</x:f>
        <x:v>Jun 2026</x:v>
      </x:c>
    </x:row>
    <x:row r="2520" ht="21" customHeight="1">
      <x:c r="A2520" s="10" t="n">
        <x:v>46201</x:v>
      </x:c>
      <x:c r="B2520" s="1" t="n">
        <x:v>0</x:v>
      </x:c>
      <x:c r="C2520" s="1" t="n">
        <x:v>6</x:v>
      </x:c>
      <x:c r="D2520" s="12" t="n">
        <x:v>0</x:v>
      </x:c>
      <x:c r="E2520" s="12" t="n">
        <x:v>0.2738333333333333</x:v>
      </x:c>
      <x:c r="F2520" s="12" t="n">
        <x:v>0.27366666666666667</x:v>
      </x:c>
      <x:c r="G2520" s="12" t="n">
        <x:v>0</x:v>
      </x:c>
      <x:c r="H2520" s="1" t="n">
        <x:f>'Historical prices'!E2520</x:f>
        <x:v>1.05</x:v>
      </x:c>
      <x:c r="I2520" s="6" t="n">
        <x:f>'Historical prices'!D2520</x:f>
        <x:v>0.1837</x:v>
      </x:c>
      <x:c r="J2520" s="13" t="n">
        <x:f>D2520*I2520*H2520</x:f>
        <x:v>0</x:v>
      </x:c>
      <x:c r="K2520" s="13" t="n">
        <x:f>E2520*I2520*H2520</x:f>
        <x:v>0.052818342500000004</x:v>
      </x:c>
      <x:c r="L2520" s="1" t="str">
        <x:f>TEXT(A2520,"mmm yyyy")</x:f>
        <x:v>Jun 2026</x:v>
      </x:c>
    </x:row>
    <x:row r="2521" ht="21" customHeight="1">
      <x:c r="A2521" s="10" t="n">
        <x:v>46201</x:v>
      </x:c>
      <x:c r="B2521" s="1" t="n">
        <x:v>0.5</x:v>
      </x:c>
      <x:c r="C2521" s="1" t="n">
        <x:v>6</x:v>
      </x:c>
      <x:c r="D2521" s="12" t="n">
        <x:v>0</x:v>
      </x:c>
      <x:c r="E2521" s="12" t="n">
        <x:v>0.20566666666666664</x:v>
      </x:c>
      <x:c r="F2521" s="12" t="n">
        <x:v>0.2055833333333333</x:v>
      </x:c>
      <x:c r="G2521" s="12" t="n">
        <x:v>0</x:v>
      </x:c>
      <x:c r="H2521" s="1" t="n">
        <x:f>'Historical prices'!E2521</x:f>
        <x:v>1.05</x:v>
      </x:c>
      <x:c r="I2521" s="6" t="n">
        <x:f>'Historical prices'!D2521</x:f>
        <x:v>0.1837</x:v>
      </x:c>
      <x:c r="J2521" s="13" t="n">
        <x:f>D2521*I2521*H2521</x:f>
        <x:v>0</x:v>
      </x:c>
      <x:c r="K2521" s="13" t="n">
        <x:f>E2521*I2521*H2521</x:f>
        <x:v>0.039670014999999996</x:v>
      </x:c>
      <x:c r="L2521" s="1" t="str">
        <x:f>TEXT(A2521,"mmm yyyy")</x:f>
        <x:v>Jun 2026</x:v>
      </x:c>
    </x:row>
    <x:row r="2522" ht="21" customHeight="1">
      <x:c r="A2522" s="10" t="n">
        <x:v>46201</x:v>
      </x:c>
      <x:c r="B2522" s="1" t="n">
        <x:v>1</x:v>
      </x:c>
      <x:c r="C2522" s="1" t="n">
        <x:v>6</x:v>
      </x:c>
      <x:c r="D2522" s="12" t="n">
        <x:v>0</x:v>
      </x:c>
      <x:c r="E2522" s="12" t="n">
        <x:v>0.24508333333333335</x:v>
      </x:c>
      <x:c r="F2522" s="12" t="n">
        <x:v>0.24491666666666667</x:v>
      </x:c>
      <x:c r="G2522" s="12" t="n">
        <x:v>0</x:v>
      </x:c>
      <x:c r="H2522" s="1" t="n">
        <x:f>'Historical prices'!E2522</x:f>
        <x:v>1.05</x:v>
      </x:c>
      <x:c r="I2522" s="6" t="n">
        <x:f>'Historical prices'!D2522</x:f>
        <x:v>0.1721</x:v>
      </x:c>
      <x:c r="J2522" s="13" t="n">
        <x:f>D2522*I2522*H2522</x:f>
        <x:v>0</x:v>
      </x:c>
      <x:c r="K2522" s="13" t="n">
        <x:f>E2522*I2522*H2522</x:f>
        <x:v>0.044287783750000004</x:v>
      </x:c>
      <x:c r="L2522" s="1" t="str">
        <x:f>TEXT(A2522,"mmm yyyy")</x:f>
        <x:v>Jun 2026</x:v>
      </x:c>
    </x:row>
    <x:row r="2523" ht="21" customHeight="1">
      <x:c r="A2523" s="10" t="n">
        <x:v>46201</x:v>
      </x:c>
      <x:c r="B2523" s="1" t="n">
        <x:v>1.5</x:v>
      </x:c>
      <x:c r="C2523" s="1" t="n">
        <x:v>6</x:v>
      </x:c>
      <x:c r="D2523" s="12" t="n">
        <x:v>0</x:v>
      </x:c>
      <x:c r="E2523" s="12" t="n">
        <x:v>0.25666666666666665</x:v>
      </x:c>
      <x:c r="F2523" s="12" t="n">
        <x:v>0.25666666666666665</x:v>
      </x:c>
      <x:c r="G2523" s="12" t="n">
        <x:v>0</x:v>
      </x:c>
      <x:c r="H2523" s="1" t="n">
        <x:f>'Historical prices'!E2523</x:f>
        <x:v>1.05</x:v>
      </x:c>
      <x:c r="I2523" s="6" t="n">
        <x:f>'Historical prices'!D2523</x:f>
        <x:v>0.1869</x:v>
      </x:c>
      <x:c r="J2523" s="13" t="n">
        <x:f>D2523*I2523*H2523</x:f>
        <x:v>0</x:v>
      </x:c>
      <x:c r="K2523" s="13" t="n">
        <x:f>E2523*I2523*H2523</x:f>
        <x:v>0.05036955</x:v>
      </x:c>
      <x:c r="L2523" s="1" t="str">
        <x:f>TEXT(A2523,"mmm yyyy")</x:f>
        <x:v>Jun 2026</x:v>
      </x:c>
    </x:row>
    <x:row r="2524" ht="21" customHeight="1">
      <x:c r="A2524" s="10" t="n">
        <x:v>46201</x:v>
      </x:c>
      <x:c r="B2524" s="1" t="n">
        <x:v>2</x:v>
      </x:c>
      <x:c r="C2524" s="1" t="n">
        <x:v>6</x:v>
      </x:c>
      <x:c r="D2524" s="12" t="n">
        <x:v>0</x:v>
      </x:c>
      <x:c r="E2524" s="12" t="n">
        <x:v>0.22991666666666666</x:v>
      </x:c>
      <x:c r="F2524" s="12" t="n">
        <x:v>0.22975</x:v>
      </x:c>
      <x:c r="G2524" s="12" t="n">
        <x:v>0</x:v>
      </x:c>
      <x:c r="H2524" s="1" t="n">
        <x:f>'Historical prices'!E2524</x:f>
        <x:v>1.05</x:v>
      </x:c>
      <x:c r="I2524" s="6" t="n">
        <x:f>'Historical prices'!D2524</x:f>
        <x:v>0.1936</x:v>
      </x:c>
      <x:c r="J2524" s="13" t="n">
        <x:f>D2524*I2524*H2524</x:f>
        <x:v>0</x:v>
      </x:c>
      <x:c r="K2524" s="13" t="n">
        <x:f>E2524*I2524*H2524</x:f>
        <x:v>0.04673746</x:v>
      </x:c>
      <x:c r="L2524" s="1" t="str">
        <x:f>TEXT(A2524,"mmm yyyy")</x:f>
        <x:v>Jun 2026</x:v>
      </x:c>
    </x:row>
    <x:row r="2525" ht="21" customHeight="1">
      <x:c r="A2525" s="10" t="n">
        <x:v>46201</x:v>
      </x:c>
      <x:c r="B2525" s="1" t="n">
        <x:v>2.5</x:v>
      </x:c>
      <x:c r="C2525" s="1" t="n">
        <x:v>6</x:v>
      </x:c>
      <x:c r="D2525" s="12" t="n">
        <x:v>0</x:v>
      </x:c>
      <x:c r="E2525" s="12" t="n">
        <x:v>0.26575000000000004</x:v>
      </x:c>
      <x:c r="F2525" s="12" t="n">
        <x:v>0.26541666666666663</x:v>
      </x:c>
      <x:c r="G2525" s="12" t="n">
        <x:v>0</x:v>
      </x:c>
      <x:c r="H2525" s="1" t="n">
        <x:f>'Historical prices'!E2525</x:f>
        <x:v>1.05</x:v>
      </x:c>
      <x:c r="I2525" s="6" t="n">
        <x:f>'Historical prices'!D2525</x:f>
        <x:v>0.1825</x:v>
      </x:c>
      <x:c r="J2525" s="13" t="n">
        <x:f>D2525*I2525*H2525</x:f>
        <x:v>0</x:v>
      </x:c>
      <x:c r="K2525" s="13" t="n">
        <x:f>E2525*I2525*H2525</x:f>
        <x:v>0.05092434375</x:v>
      </x:c>
      <x:c r="L2525" s="1" t="str">
        <x:f>TEXT(A2525,"mmm yyyy")</x:f>
        <x:v>Jun 2026</x:v>
      </x:c>
    </x:row>
    <x:row r="2526" ht="21" customHeight="1">
      <x:c r="A2526" s="10" t="n">
        <x:v>46201</x:v>
      </x:c>
      <x:c r="B2526" s="1" t="n">
        <x:v>3</x:v>
      </x:c>
      <x:c r="C2526" s="1" t="n">
        <x:v>6</x:v>
      </x:c>
      <x:c r="D2526" s="12" t="n">
        <x:v>0</x:v>
      </x:c>
      <x:c r="E2526" s="12" t="n">
        <x:v>0.24483333333333335</x:v>
      </x:c>
      <x:c r="F2526" s="12" t="n">
        <x:v>0.24475000000000002</x:v>
      </x:c>
      <x:c r="G2526" s="12" t="n">
        <x:v>0</x:v>
      </x:c>
      <x:c r="H2526" s="1" t="n">
        <x:f>'Historical prices'!E2526</x:f>
        <x:v>1.05</x:v>
      </x:c>
      <x:c r="I2526" s="6" t="n">
        <x:f>'Historical prices'!D2526</x:f>
        <x:v>0.18530000000000002</x:v>
      </x:c>
      <x:c r="J2526" s="13" t="n">
        <x:f>D2526*I2526*H2526</x:f>
        <x:v>0</x:v>
      </x:c>
      <x:c r="K2526" s="13" t="n">
        <x:f>E2526*I2526*H2526</x:f>
        <x:v>0.047635997500000006</x:v>
      </x:c>
      <x:c r="L2526" s="1" t="str">
        <x:f>TEXT(A2526,"mmm yyyy")</x:f>
        <x:v>Jun 2026</x:v>
      </x:c>
    </x:row>
    <x:row r="2527" ht="21" customHeight="1">
      <x:c r="A2527" s="10" t="n">
        <x:v>46201</x:v>
      </x:c>
      <x:c r="B2527" s="1" t="n">
        <x:v>3.5</x:v>
      </x:c>
      <x:c r="C2527" s="1" t="n">
        <x:v>6</x:v>
      </x:c>
      <x:c r="D2527" s="12" t="n">
        <x:v>0</x:v>
      </x:c>
      <x:c r="E2527" s="12" t="n">
        <x:v>0.19483333333333336</x:v>
      </x:c>
      <x:c r="F2527" s="12" t="n">
        <x:v>0.19458333333333333</x:v>
      </x:c>
      <x:c r="G2527" s="12" t="n">
        <x:v>0</x:v>
      </x:c>
      <x:c r="H2527" s="1" t="n">
        <x:f>'Historical prices'!E2527</x:f>
        <x:v>1.05</x:v>
      </x:c>
      <x:c r="I2527" s="6" t="n">
        <x:f>'Historical prices'!D2527</x:f>
        <x:v>0.17300000000000001</x:v>
      </x:c>
      <x:c r="J2527" s="13" t="n">
        <x:f>D2527*I2527*H2527</x:f>
        <x:v>0</x:v>
      </x:c>
      <x:c r="K2527" s="13" t="n">
        <x:f>E2527*I2527*H2527</x:f>
        <x:v>0.03539147500000001</x:v>
      </x:c>
      <x:c r="L2527" s="1" t="str">
        <x:f>TEXT(A2527,"mmm yyyy")</x:f>
        <x:v>Jun 2026</x:v>
      </x:c>
    </x:row>
    <x:row r="2528" ht="21" customHeight="1">
      <x:c r="A2528" s="10" t="n">
        <x:v>46201</x:v>
      </x:c>
      <x:c r="B2528" s="1" t="n">
        <x:v>4</x:v>
      </x:c>
      <x:c r="C2528" s="1" t="n">
        <x:v>6</x:v>
      </x:c>
      <x:c r="D2528" s="12" t="n">
        <x:v>0</x:v>
      </x:c>
      <x:c r="E2528" s="12" t="n">
        <x:v>0.2828333333333333</x:v>
      </x:c>
      <x:c r="F2528" s="12" t="n">
        <x:v>0.2825</x:v>
      </x:c>
      <x:c r="G2528" s="12" t="n">
        <x:v>0</x:v>
      </x:c>
      <x:c r="H2528" s="1" t="n">
        <x:f>'Historical prices'!E2528</x:f>
        <x:v>1.05</x:v>
      </x:c>
      <x:c r="I2528" s="6" t="n">
        <x:f>'Historical prices'!D2528</x:f>
        <x:v>0.16620000000000001</x:v>
      </x:c>
      <x:c r="J2528" s="13" t="n">
        <x:f>D2528*I2528*H2528</x:f>
        <x:v>0</x:v>
      </x:c>
      <x:c r="K2528" s="13" t="n">
        <x:f>E2528*I2528*H2528</x:f>
        <x:v>0.04935724500000001</x:v>
      </x:c>
      <x:c r="L2528" s="1" t="str">
        <x:f>TEXT(A2528,"mmm yyyy")</x:f>
        <x:v>Jun 2026</x:v>
      </x:c>
    </x:row>
    <x:row r="2529" ht="21" customHeight="1">
      <x:c r="A2529" s="10" t="n">
        <x:v>46201</x:v>
      </x:c>
      <x:c r="B2529" s="1" t="n">
        <x:v>4.5</x:v>
      </x:c>
      <x:c r="C2529" s="1" t="n">
        <x:v>6</x:v>
      </x:c>
      <x:c r="D2529" s="12" t="n">
        <x:v>0</x:v>
      </x:c>
      <x:c r="E2529" s="12" t="n">
        <x:v>0.324</x:v>
      </x:c>
      <x:c r="F2529" s="12" t="n">
        <x:v>0.32375</x:v>
      </x:c>
      <x:c r="G2529" s="12" t="n">
        <x:v>0</x:v>
      </x:c>
      <x:c r="H2529" s="1" t="n">
        <x:f>'Historical prices'!E2529</x:f>
        <x:v>1.05</x:v>
      </x:c>
      <x:c r="I2529" s="6" t="n">
        <x:f>'Historical prices'!D2529</x:f>
        <x:v>0.17079999999999998</x:v>
      </x:c>
      <x:c r="J2529" s="13" t="n">
        <x:f>D2529*I2529*H2529</x:f>
        <x:v>0</x:v>
      </x:c>
      <x:c r="K2529" s="13" t="n">
        <x:f>E2529*I2529*H2529</x:f>
        <x:v>0.058106160000000004</x:v>
      </x:c>
      <x:c r="L2529" s="1" t="str">
        <x:f>TEXT(A2529,"mmm yyyy")</x:f>
        <x:v>Jun 2026</x:v>
      </x:c>
    </x:row>
    <x:row r="2530" ht="21" customHeight="1">
      <x:c r="A2530" s="10" t="n">
        <x:v>46201</x:v>
      </x:c>
      <x:c r="B2530" s="1" t="n">
        <x:v>5</x:v>
      </x:c>
      <x:c r="C2530" s="1" t="n">
        <x:v>6</x:v>
      </x:c>
      <x:c r="D2530" s="12" t="n">
        <x:v>0</x:v>
      </x:c>
      <x:c r="E2530" s="12" t="n">
        <x:v>0.30024999999999996</x:v>
      </x:c>
      <x:c r="F2530" s="12" t="n">
        <x:v>0.29991666666666666</x:v>
      </x:c>
      <x:c r="G2530" s="12" t="n">
        <x:v>0</x:v>
      </x:c>
      <x:c r="H2530" s="1" t="n">
        <x:f>'Historical prices'!E2530</x:f>
        <x:v>1.05</x:v>
      </x:c>
      <x:c r="I2530" s="6" t="n">
        <x:f>'Historical prices'!D2530</x:f>
        <x:v>0.16190000000000002</x:v>
      </x:c>
      <x:c r="J2530" s="13" t="n">
        <x:f>D2530*I2530*H2530</x:f>
        <x:v>0</x:v>
      </x:c>
      <x:c r="K2530" s="13" t="n">
        <x:f>E2530*I2530*H2530</x:f>
        <x:v>0.051040998750000004</x:v>
      </x:c>
      <x:c r="L2530" s="1" t="str">
        <x:f>TEXT(A2530,"mmm yyyy")</x:f>
        <x:v>Jun 2026</x:v>
      </x:c>
    </x:row>
    <x:row r="2531" ht="21" customHeight="1">
      <x:c r="A2531" s="10" t="n">
        <x:v>46201</x:v>
      </x:c>
      <x:c r="B2531" s="1" t="n">
        <x:v>5.5</x:v>
      </x:c>
      <x:c r="C2531" s="1" t="n">
        <x:v>6</x:v>
      </x:c>
      <x:c r="D2531" s="12" t="n">
        <x:v>0</x:v>
      </x:c>
      <x:c r="E2531" s="12" t="n">
        <x:v>0.32591666666666663</x:v>
      </x:c>
      <x:c r="F2531" s="12" t="n">
        <x:v>0.32575</x:v>
      </x:c>
      <x:c r="G2531" s="12" t="n">
        <x:v>0</x:v>
      </x:c>
      <x:c r="H2531" s="1" t="n">
        <x:f>'Historical prices'!E2531</x:f>
        <x:v>1.05</x:v>
      </x:c>
      <x:c r="I2531" s="6" t="n">
        <x:f>'Historical prices'!D2531</x:f>
        <x:v>0.16820000000000002</x:v>
      </x:c>
      <x:c r="J2531" s="13" t="n">
        <x:f>D2531*I2531*H2531</x:f>
        <x:v>0</x:v>
      </x:c>
      <x:c r="K2531" s="13" t="n">
        <x:f>E2531*I2531*H2531</x:f>
        <x:v>0.0575601425</x:v>
      </x:c>
      <x:c r="L2531" s="1" t="str">
        <x:f>TEXT(A2531,"mmm yyyy")</x:f>
        <x:v>Jun 2026</x:v>
      </x:c>
    </x:row>
    <x:row r="2532" ht="21" customHeight="1">
      <x:c r="A2532" s="10" t="n">
        <x:v>46201</x:v>
      </x:c>
      <x:c r="B2532" s="1" t="n">
        <x:v>6</x:v>
      </x:c>
      <x:c r="C2532" s="1" t="n">
        <x:v>6</x:v>
      </x:c>
      <x:c r="D2532" s="12" t="n">
        <x:v>0</x:v>
      </x:c>
      <x:c r="E2532" s="12" t="n">
        <x:v>0.26483333333333337</x:v>
      </x:c>
      <x:c r="F2532" s="12" t="n">
        <x:v>0.26475</x:v>
      </x:c>
      <x:c r="G2532" s="12" t="n">
        <x:v>0</x:v>
      </x:c>
      <x:c r="H2532" s="1" t="n">
        <x:f>'Historical prices'!E2532</x:f>
        <x:v>1.05</x:v>
      </x:c>
      <x:c r="I2532" s="6" t="n">
        <x:f>'Historical prices'!D2532</x:f>
        <x:v>0.157</x:v>
      </x:c>
      <x:c r="J2532" s="13" t="n">
        <x:f>D2532*I2532*H2532</x:f>
        <x:v>0</x:v>
      </x:c>
      <x:c r="K2532" s="13" t="n">
        <x:f>E2532*I2532*H2532</x:f>
        <x:v>0.043657775</x:v>
      </x:c>
      <x:c r="L2532" s="1" t="str">
        <x:f>TEXT(A2532,"mmm yyyy")</x:f>
        <x:v>Jun 2026</x:v>
      </x:c>
    </x:row>
    <x:row r="2533" ht="21" customHeight="1">
      <x:c r="A2533" s="10" t="n">
        <x:v>46201</x:v>
      </x:c>
      <x:c r="B2533" s="1" t="n">
        <x:v>6.5</x:v>
      </x:c>
      <x:c r="C2533" s="1" t="n">
        <x:v>6</x:v>
      </x:c>
      <x:c r="D2533" s="12" t="n">
        <x:v>0</x:v>
      </x:c>
      <x:c r="E2533" s="12" t="n">
        <x:v>0.22574999999999998</x:v>
      </x:c>
      <x:c r="F2533" s="12" t="n">
        <x:v>0.22566666666666665</x:v>
      </x:c>
      <x:c r="G2533" s="12" t="n">
        <x:v>0</x:v>
      </x:c>
      <x:c r="H2533" s="1" t="n">
        <x:f>'Historical prices'!E2533</x:f>
        <x:v>1.05</x:v>
      </x:c>
      <x:c r="I2533" s="6" t="n">
        <x:f>'Historical prices'!D2533</x:f>
        <x:v>0.1412</x:v>
      </x:c>
      <x:c r="J2533" s="13" t="n">
        <x:f>D2533*I2533*H2533</x:f>
        <x:v>0</x:v>
      </x:c>
      <x:c r="K2533" s="13" t="n">
        <x:f>E2533*I2533*H2533</x:f>
        <x:v>0.033469694999999994</x:v>
      </x:c>
      <x:c r="L2533" s="1" t="str">
        <x:f>TEXT(A2533,"mmm yyyy")</x:f>
        <x:v>Jun 2026</x:v>
      </x:c>
    </x:row>
    <x:row r="2534" ht="21" customHeight="1">
      <x:c r="A2534" s="10" t="n">
        <x:v>46201</x:v>
      </x:c>
      <x:c r="B2534" s="1" t="n">
        <x:v>7</x:v>
      </x:c>
      <x:c r="C2534" s="1" t="n">
        <x:v>6</x:v>
      </x:c>
      <x:c r="D2534" s="12" t="n">
        <x:v>0</x:v>
      </x:c>
      <x:c r="E2534" s="12" t="n">
        <x:v>0.26008333333333333</x:v>
      </x:c>
      <x:c r="F2534" s="12" t="n">
        <x:v>0.2598333333333333</x:v>
      </x:c>
      <x:c r="G2534" s="12" t="n">
        <x:v>0</x:v>
      </x:c>
      <x:c r="H2534" s="1" t="n">
        <x:f>'Historical prices'!E2534</x:f>
        <x:v>1.05</x:v>
      </x:c>
      <x:c r="I2534" s="6" t="n">
        <x:f>'Historical prices'!D2534</x:f>
        <x:v>0.1057</x:v>
      </x:c>
      <x:c r="J2534" s="13" t="n">
        <x:f>D2534*I2534*H2534</x:f>
        <x:v>0</x:v>
      </x:c>
      <x:c r="K2534" s="13" t="n">
        <x:f>E2534*I2534*H2534</x:f>
        <x:v>0.028865348750000002</x:v>
      </x:c>
      <x:c r="L2534" s="1" t="str">
        <x:f>TEXT(A2534,"mmm yyyy")</x:f>
        <x:v>Jun 2026</x:v>
      </x:c>
    </x:row>
    <x:row r="2535" ht="21" customHeight="1">
      <x:c r="A2535" s="10" t="n">
        <x:v>46201</x:v>
      </x:c>
      <x:c r="B2535" s="1" t="n">
        <x:v>7.5</x:v>
      </x:c>
      <x:c r="C2535" s="1" t="n">
        <x:v>6</x:v>
      </x:c>
      <x:c r="D2535" s="12" t="n">
        <x:v>0</x:v>
      </x:c>
      <x:c r="E2535" s="12" t="n">
        <x:v>0.28925</x:v>
      </x:c>
      <x:c r="F2535" s="12" t="n">
        <x:v>0.28775</x:v>
      </x:c>
      <x:c r="G2535" s="12" t="n">
        <x:v>0</x:v>
      </x:c>
      <x:c r="H2535" s="1" t="n">
        <x:f>'Historical prices'!E2535</x:f>
        <x:v>1.05</x:v>
      </x:c>
      <x:c r="I2535" s="6" t="n">
        <x:f>'Historical prices'!D2535</x:f>
        <x:v>0.0975</x:v>
      </x:c>
      <x:c r="J2535" s="13" t="n">
        <x:f>D2535*I2535*H2535</x:f>
        <x:v>0</x:v>
      </x:c>
      <x:c r="K2535" s="13" t="n">
        <x:f>E2535*I2535*H2535</x:f>
        <x:v>0.029611968750000002</x:v>
      </x:c>
      <x:c r="L2535" s="1" t="str">
        <x:f>TEXT(A2535,"mmm yyyy")</x:f>
        <x:v>Jun 2026</x:v>
      </x:c>
    </x:row>
    <x:row r="2536" ht="21" customHeight="1">
      <x:c r="A2536" s="10" t="n">
        <x:v>46201</x:v>
      </x:c>
      <x:c r="B2536" s="1" t="n">
        <x:v>8</x:v>
      </x:c>
      <x:c r="C2536" s="1" t="n">
        <x:v>6</x:v>
      </x:c>
      <x:c r="D2536" s="12" t="n">
        <x:v>0</x:v>
      </x:c>
      <x:c r="E2536" s="12" t="n">
        <x:v>0.2500833333333334</x:v>
      </x:c>
      <x:c r="F2536" s="12" t="n">
        <x:v>0.24991666666666668</x:v>
      </x:c>
      <x:c r="G2536" s="12" t="n">
        <x:v>0</x:v>
      </x:c>
      <x:c r="H2536" s="1" t="n">
        <x:f>'Historical prices'!E2536</x:f>
        <x:v>1.05</x:v>
      </x:c>
      <x:c r="I2536" s="6" t="n">
        <x:f>'Historical prices'!D2536</x:f>
        <x:v>0.0409</x:v>
      </x:c>
      <x:c r="J2536" s="13" t="n">
        <x:f>D2536*I2536*H2536</x:f>
        <x:v>0</x:v>
      </x:c>
      <x:c r="K2536" s="13" t="n">
        <x:f>E2536*I2536*H2536</x:f>
        <x:v>0.010739828750000001</x:v>
      </x:c>
      <x:c r="L2536" s="1" t="str">
        <x:f>TEXT(A2536,"mmm yyyy")</x:f>
        <x:v>Jun 2026</x:v>
      </x:c>
    </x:row>
    <x:row r="2537" ht="21" customHeight="1">
      <x:c r="A2537" s="10" t="n">
        <x:v>46201</x:v>
      </x:c>
      <x:c r="B2537" s="1" t="n">
        <x:v>8.5</x:v>
      </x:c>
      <x:c r="C2537" s="1" t="n">
        <x:v>6</x:v>
      </x:c>
      <x:c r="D2537" s="12" t="n">
        <x:v>0</x:v>
      </x:c>
      <x:c r="E2537" s="12" t="n">
        <x:v>0.357</x:v>
      </x:c>
      <x:c r="F2537" s="12" t="n">
        <x:v>0.3568333333333333</x:v>
      </x:c>
      <x:c r="G2537" s="12" t="n">
        <x:v>0</x:v>
      </x:c>
      <x:c r="H2537" s="1" t="n">
        <x:f>'Historical prices'!E2537</x:f>
        <x:v>1.05</x:v>
      </x:c>
      <x:c r="I2537" s="6" t="n">
        <x:f>'Historical prices'!D2537</x:f>
        <x:v>0.045700000000000005</x:v>
      </x:c>
      <x:c r="J2537" s="13" t="n">
        <x:f>D2537*I2537*H2537</x:f>
        <x:v>0</x:v>
      </x:c>
      <x:c r="K2537" s="13" t="n">
        <x:f>E2537*I2537*H2537</x:f>
        <x:v>0.017130645</x:v>
      </x:c>
      <x:c r="L2537" s="1" t="str">
        <x:f>TEXT(A2537,"mmm yyyy")</x:f>
        <x:v>Jun 2026</x:v>
      </x:c>
    </x:row>
    <x:row r="2538" ht="21" customHeight="1">
      <x:c r="A2538" s="10" t="n">
        <x:v>46201</x:v>
      </x:c>
      <x:c r="B2538" s="1" t="n">
        <x:v>9</x:v>
      </x:c>
      <x:c r="C2538" s="1" t="n">
        <x:v>6</x:v>
      </x:c>
      <x:c r="D2538" s="12" t="n">
        <x:v>0</x:v>
      </x:c>
      <x:c r="E2538" s="12" t="n">
        <x:v>0.26666666666666666</x:v>
      </x:c>
      <x:c r="F2538" s="12" t="n">
        <x:v>0.26658333333333334</x:v>
      </x:c>
      <x:c r="G2538" s="12" t="n">
        <x:v>0</x:v>
      </x:c>
      <x:c r="H2538" s="1" t="n">
        <x:f>'Historical prices'!E2538</x:f>
        <x:v>1.05</x:v>
      </x:c>
      <x:c r="I2538" s="6" t="n">
        <x:f>'Historical prices'!D2538</x:f>
        <x:v>0.008199999999999999</x:v>
      </x:c>
      <x:c r="J2538" s="13" t="n">
        <x:f>D2538*I2538*H2538</x:f>
        <x:v>0</x:v>
      </x:c>
      <x:c r="K2538" s="13" t="n">
        <x:f>E2538*I2538*H2538</x:f>
        <x:v>0.0022959999999999994</x:v>
      </x:c>
      <x:c r="L2538" s="1" t="str">
        <x:f>TEXT(A2538,"mmm yyyy")</x:f>
        <x:v>Jun 2026</x:v>
      </x:c>
    </x:row>
    <x:row r="2539" ht="21" customHeight="1">
      <x:c r="A2539" s="10" t="n">
        <x:v>46201</x:v>
      </x:c>
      <x:c r="B2539" s="1" t="n">
        <x:v>9.5</x:v>
      </x:c>
      <x:c r="C2539" s="1" t="n">
        <x:v>6</x:v>
      </x:c>
      <x:c r="D2539" s="12" t="n">
        <x:v>0</x:v>
      </x:c>
      <x:c r="E2539" s="12" t="n">
        <x:v>0.22916666666666666</x:v>
      </x:c>
      <x:c r="F2539" s="12" t="n">
        <x:v>0.22891666666666668</x:v>
      </x:c>
      <x:c r="G2539" s="12" t="n">
        <x:v>0</x:v>
      </x:c>
      <x:c r="H2539" s="1" t="n">
        <x:f>'Historical prices'!E2539</x:f>
        <x:v>1.05</x:v>
      </x:c>
      <x:c r="I2539" s="6" t="n">
        <x:f>'Historical prices'!D2539</x:f>
        <x:v>-0.0096</x:v>
      </x:c>
      <x:c r="J2539" s="13" t="n">
        <x:f>D2539*I2539*H2539</x:f>
        <x:v>0</x:v>
      </x:c>
      <x:c r="K2539" s="13" t="n">
        <x:f>E2539*I2539*H2539</x:f>
        <x:v>-0.00231</x:v>
      </x:c>
      <x:c r="L2539" s="1" t="str">
        <x:f>TEXT(A2539,"mmm yyyy")</x:f>
        <x:v>Jun 2026</x:v>
      </x:c>
    </x:row>
    <x:row r="2540" ht="21" customHeight="1">
      <x:c r="A2540" s="10" t="n">
        <x:v>46201</x:v>
      </x:c>
      <x:c r="B2540" s="1" t="n">
        <x:v>10</x:v>
      </x:c>
      <x:c r="C2540" s="1" t="n">
        <x:v>6</x:v>
      </x:c>
      <x:c r="D2540" s="12" t="n">
        <x:v>0</x:v>
      </x:c>
      <x:c r="E2540" s="12" t="n">
        <x:v>0.2515</x:v>
      </x:c>
      <x:c r="F2540" s="12" t="n">
        <x:v>0.25133333333333335</x:v>
      </x:c>
      <x:c r="G2540" s="12" t="n">
        <x:v>0</x:v>
      </x:c>
      <x:c r="H2540" s="1" t="n">
        <x:f>'Historical prices'!E2540</x:f>
        <x:v>1.05</x:v>
      </x:c>
      <x:c r="I2540" s="6" t="n">
        <x:f>'Historical prices'!D2540</x:f>
        <x:v>-0.0175</x:v>
      </x:c>
      <x:c r="J2540" s="13" t="n">
        <x:f>D2540*I2540*H2540</x:f>
        <x:v>0</x:v>
      </x:c>
      <x:c r="K2540" s="13" t="n">
        <x:f>E2540*I2540*H2540</x:f>
        <x:v>-0.004621312500000001</x:v>
      </x:c>
      <x:c r="L2540" s="1" t="str">
        <x:f>TEXT(A2540,"mmm yyyy")</x:f>
        <x:v>Jun 2026</x:v>
      </x:c>
    </x:row>
    <x:row r="2541" ht="21" customHeight="1">
      <x:c r="A2541" s="10" t="n">
        <x:v>46201</x:v>
      </x:c>
      <x:c r="B2541" s="1" t="n">
        <x:v>10.5</x:v>
      </x:c>
      <x:c r="C2541" s="1" t="n">
        <x:v>6</x:v>
      </x:c>
      <x:c r="D2541" s="12" t="n">
        <x:v>0</x:v>
      </x:c>
      <x:c r="E2541" s="12" t="n">
        <x:v>0.29783333333333334</x:v>
      </x:c>
      <x:c r="F2541" s="12" t="n">
        <x:v>0.2976666666666667</x:v>
      </x:c>
      <x:c r="G2541" s="12" t="n">
        <x:v>0</x:v>
      </x:c>
      <x:c r="H2541" s="1" t="n">
        <x:f>'Historical prices'!E2541</x:f>
        <x:v>1.05</x:v>
      </x:c>
      <x:c r="I2541" s="6" t="n">
        <x:f>'Historical prices'!D2541</x:f>
        <x:v>-0.024900000000000002</x:v>
      </x:c>
      <x:c r="J2541" s="13" t="n">
        <x:f>D2541*I2541*H2541</x:f>
        <x:v>0</x:v>
      </x:c>
      <x:c r="K2541" s="13" t="n">
        <x:f>E2541*I2541*H2541</x:f>
        <x:v>-0.007786852500000001</x:v>
      </x:c>
      <x:c r="L2541" s="1" t="str">
        <x:f>TEXT(A2541,"mmm yyyy")</x:f>
        <x:v>Jun 2026</x:v>
      </x:c>
    </x:row>
    <x:row r="2542" ht="21" customHeight="1">
      <x:c r="A2542" s="10" t="n">
        <x:v>46201</x:v>
      </x:c>
      <x:c r="B2542" s="1" t="n">
        <x:v>11</x:v>
      </x:c>
      <x:c r="C2542" s="1" t="n">
        <x:v>6</x:v>
      </x:c>
      <x:c r="D2542" s="12" t="n">
        <x:v>0</x:v>
      </x:c>
      <x:c r="E2542" s="12" t="n">
        <x:v>0.2619166666666667</x:v>
      </x:c>
      <x:c r="F2542" s="12" t="n">
        <x:v>0.26166666666666666</x:v>
      </x:c>
      <x:c r="G2542" s="12" t="n">
        <x:v>0</x:v>
      </x:c>
      <x:c r="H2542" s="1" t="n">
        <x:f>'Historical prices'!E2542</x:f>
        <x:v>1.05</x:v>
      </x:c>
      <x:c r="I2542" s="6" t="n">
        <x:f>'Historical prices'!D2542</x:f>
        <x:v>-0.0202</x:v>
      </x:c>
      <x:c r="J2542" s="13" t="n">
        <x:f>D2542*I2542*H2542</x:f>
        <x:v>0</x:v>
      </x:c>
      <x:c r="K2542" s="13" t="n">
        <x:f>E2542*I2542*H2542</x:f>
        <x:v>-0.005555252500000001</x:v>
      </x:c>
      <x:c r="L2542" s="1" t="str">
        <x:f>TEXT(A2542,"mmm yyyy")</x:f>
        <x:v>Jun 2026</x:v>
      </x:c>
    </x:row>
    <x:row r="2543" ht="21" customHeight="1">
      <x:c r="A2543" s="10" t="n">
        <x:v>46201</x:v>
      </x:c>
      <x:c r="B2543" s="1" t="n">
        <x:v>11.5</x:v>
      </x:c>
      <x:c r="C2543" s="1" t="n">
        <x:v>6</x:v>
      </x:c>
      <x:c r="D2543" s="12" t="n">
        <x:v>2.849666666666667</x:v>
      </x:c>
      <x:c r="E2543" s="12" t="n">
        <x:v>0.3466666666666667</x:v>
      </x:c>
      <x:c r="F2543" s="12" t="n">
        <x:v>0.043</x:v>
      </x:c>
      <x:c r="G2543" s="12" t="n">
        <x:v>2.5460000000000003</x:v>
      </x:c>
      <x:c r="H2543" s="1" t="n">
        <x:f>'Historical prices'!E2543</x:f>
        <x:v>1.05</x:v>
      </x:c>
      <x:c r="I2543" s="6" t="n">
        <x:f>'Historical prices'!D2543</x:f>
        <x:v>-0.0361</x:v>
      </x:c>
      <x:c r="J2543" s="13" t="n">
        <x:f>D2543*I2543*H2543</x:f>
        <x:v>-0.10801661500000001</x:v>
      </x:c>
      <x:c r="K2543" s="13" t="n">
        <x:f>E2543*I2543*H2543</x:f>
        <x:v>-0.013140400000000002</x:v>
      </x:c>
      <x:c r="L2543" s="1" t="str">
        <x:f>TEXT(A2543,"mmm yyyy")</x:f>
        <x:v>Jun 2026</x:v>
      </x:c>
    </x:row>
    <x:row r="2544" ht="21" customHeight="1">
      <x:c r="A2544" s="10" t="n">
        <x:v>46201</x:v>
      </x:c>
      <x:c r="B2544" s="1" t="n">
        <x:v>12</x:v>
      </x:c>
      <x:c r="C2544" s="1" t="n">
        <x:v>6</x:v>
      </x:c>
      <x:c r="D2544" s="12" t="n">
        <x:v>0.787</x:v>
      </x:c>
      <x:c r="E2544" s="12" t="n">
        <x:v>0.29091666666666666</x:v>
      </x:c>
      <x:c r="F2544" s="12" t="n">
        <x:v>0.2115</x:v>
      </x:c>
      <x:c r="G2544" s="12" t="n">
        <x:v>0.71</x:v>
      </x:c>
      <x:c r="H2544" s="1" t="n">
        <x:f>'Historical prices'!E2544</x:f>
        <x:v>1.05</x:v>
      </x:c>
      <x:c r="I2544" s="6" t="n">
        <x:f>'Historical prices'!D2544</x:f>
        <x:v>-0.024</x:v>
      </x:c>
      <x:c r="J2544" s="13" t="n">
        <x:f>D2544*I2544*H2544</x:f>
        <x:v>-0.019832400000000003</x:v>
      </x:c>
      <x:c r="K2544" s="13" t="n">
        <x:f>E2544*I2544*H2544</x:f>
        <x:v>-0.0073311</x:v>
      </x:c>
      <x:c r="L2544" s="1" t="str">
        <x:f>TEXT(A2544,"mmm yyyy")</x:f>
        <x:v>Jun 2026</x:v>
      </x:c>
    </x:row>
    <x:row r="2545" ht="21" customHeight="1">
      <x:c r="A2545" s="10" t="n">
        <x:v>46201</x:v>
      </x:c>
      <x:c r="B2545" s="1" t="n">
        <x:v>12.5</x:v>
      </x:c>
      <x:c r="C2545" s="1" t="n">
        <x:v>6</x:v>
      </x:c>
      <x:c r="D2545" s="12" t="n">
        <x:v>0.19791666666666666</x:v>
      </x:c>
      <x:c r="E2545" s="12" t="n">
        <x:v>0.2069166666666667</x:v>
      </x:c>
      <x:c r="F2545" s="12" t="n">
        <x:v>0.043</x:v>
      </x:c>
      <x:c r="G2545" s="12" t="n">
        <x:v>0.039</x:v>
      </x:c>
      <x:c r="H2545" s="1" t="n">
        <x:f>'Historical prices'!E2545</x:f>
        <x:v>1.05</x:v>
      </x:c>
      <x:c r="I2545" s="6" t="n">
        <x:f>'Historical prices'!D2545</x:f>
        <x:v>-0.0317</x:v>
      </x:c>
      <x:c r="J2545" s="13" t="n">
        <x:f>D2545*I2545*H2545</x:f>
        <x:v>-0.00658765625</x:v>
      </x:c>
      <x:c r="K2545" s="13" t="n">
        <x:f>E2545*I2545*H2545</x:f>
        <x:v>-0.006887221250000001</x:v>
      </x:c>
      <x:c r="L2545" s="1" t="str">
        <x:f>TEXT(A2545,"mmm yyyy")</x:f>
        <x:v>Jun 2026</x:v>
      </x:c>
    </x:row>
    <x:row r="2546" ht="21" customHeight="1">
      <x:c r="A2546" s="10" t="n">
        <x:v>46201</x:v>
      </x:c>
      <x:c r="B2546" s="1" t="n">
        <x:v>13</x:v>
      </x:c>
      <x:c r="C2546" s="1" t="n">
        <x:v>6</x:v>
      </x:c>
      <x:c r="D2546" s="12" t="n">
        <x:v>0.06675</x:v>
      </x:c>
      <x:c r="E2546" s="12" t="n">
        <x:v>0.2509166666666666</x:v>
      </x:c>
      <x:c r="F2546" s="12" t="n">
        <x:v>0.21783333333333332</x:v>
      </x:c>
      <x:c r="G2546" s="12" t="n">
        <x:v>0.034</x:v>
      </x:c>
      <x:c r="H2546" s="1" t="n">
        <x:f>'Historical prices'!E2546</x:f>
        <x:v>1.05</x:v>
      </x:c>
      <x:c r="I2546" s="6" t="n">
        <x:f>'Historical prices'!D2546</x:f>
        <x:v>-0.0233</x:v>
      </x:c>
      <x:c r="J2546" s="13" t="n">
        <x:f>D2546*I2546*H2546</x:f>
        <x:v>-0.0016330387500000003</x:v>
      </x:c>
      <x:c r="K2546" s="13" t="n">
        <x:f>E2546*I2546*H2546</x:f>
        <x:v>-0.006138676249999999</x:v>
      </x:c>
      <x:c r="L2546" s="1" t="str">
        <x:f>TEXT(A2546,"mmm yyyy")</x:f>
        <x:v>Jun 2026</x:v>
      </x:c>
    </x:row>
    <x:row r="2547" ht="21" customHeight="1">
      <x:c r="A2547" s="10" t="n">
        <x:v>46201</x:v>
      </x:c>
      <x:c r="B2547" s="1" t="n">
        <x:v>13.5</x:v>
      </x:c>
      <x:c r="C2547" s="1" t="n">
        <x:v>6</x:v>
      </x:c>
      <x:c r="D2547" s="12" t="n">
        <x:v>0.12558333333333332</x:v>
      </x:c>
      <x:c r="E2547" s="12" t="n">
        <x:v>0.3514166666666667</x:v>
      </x:c>
      <x:c r="F2547" s="12" t="n">
        <x:v>0.222</x:v>
      </x:c>
      <x:c r="G2547" s="12" t="n">
        <x:v>0</x:v>
      </x:c>
      <x:c r="H2547" s="1" t="n">
        <x:f>'Historical prices'!E2547</x:f>
        <x:v>1.05</x:v>
      </x:c>
      <x:c r="I2547" s="6" t="n">
        <x:f>'Historical prices'!D2547</x:f>
        <x:v>-0.0311</x:v>
      </x:c>
      <x:c r="J2547" s="13" t="n">
        <x:f>D2547*I2547*H2547</x:f>
        <x:v>-0.00410092375</x:v>
      </x:c>
      <x:c r="K2547" s="13" t="n">
        <x:f>E2547*I2547*H2547</x:f>
        <x:v>-0.011475511250000002</x:v>
      </x:c>
      <x:c r="L2547" s="1" t="str">
        <x:f>TEXT(A2547,"mmm yyyy")</x:f>
        <x:v>Jun 2026</x:v>
      </x:c>
    </x:row>
    <x:row r="2548" ht="21" customHeight="1">
      <x:c r="A2548" s="10" t="n">
        <x:v>46201</x:v>
      </x:c>
      <x:c r="B2548" s="1" t="n">
        <x:v>14</x:v>
      </x:c>
      <x:c r="C2548" s="1" t="n">
        <x:v>6</x:v>
      </x:c>
      <x:c r="D2548" s="12" t="n">
        <x:v>4.172833333333333</x:v>
      </x:c>
      <x:c r="E2548" s="12" t="n">
        <x:v>0.4118333333333334</x:v>
      </x:c>
      <x:c r="F2548" s="12" t="n">
        <x:v>0.011</x:v>
      </x:c>
      <x:c r="G2548" s="12" t="n">
        <x:v>3.772</x:v>
      </x:c>
      <x:c r="H2548" s="1" t="n">
        <x:f>'Historical prices'!E2548</x:f>
        <x:v>1.05</x:v>
      </x:c>
      <x:c r="I2548" s="6" t="n">
        <x:f>'Historical prices'!D2548</x:f>
        <x:v>-0.0395</x:v>
      </x:c>
      <x:c r="J2548" s="13" t="n">
        <x:f>D2548*I2548*H2548</x:f>
        <x:v>-0.1730682625</x:v>
      </x:c>
      <x:c r="K2548" s="13" t="n">
        <x:f>E2548*I2548*H2548</x:f>
        <x:v>-0.017080787500000003</x:v>
      </x:c>
      <x:c r="L2548" s="1" t="str">
        <x:f>TEXT(A2548,"mmm yyyy")</x:f>
        <x:v>Jun 2026</x:v>
      </x:c>
    </x:row>
    <x:row r="2549" ht="21" customHeight="1">
      <x:c r="A2549" s="10" t="n">
        <x:v>46201</x:v>
      </x:c>
      <x:c r="B2549" s="1" t="n">
        <x:v>14.5</x:v>
      </x:c>
      <x:c r="C2549" s="1" t="n">
        <x:v>6</x:v>
      </x:c>
      <x:c r="D2549" s="12" t="n">
        <x:v>4.87275</x:v>
      </x:c>
      <x:c r="E2549" s="12" t="n">
        <x:v>0.41775000000000007</x:v>
      </x:c>
      <x:c r="F2549" s="12" t="n">
        <x:v>0</x:v>
      </x:c>
      <x:c r="G2549" s="12" t="n">
        <x:v>4.455</x:v>
      </x:c>
      <x:c r="H2549" s="1" t="n">
        <x:f>'Historical prices'!E2549</x:f>
        <x:v>1.05</x:v>
      </x:c>
      <x:c r="I2549" s="6" t="n">
        <x:f>'Historical prices'!D2549</x:f>
        <x:v>-0.0512</x:v>
      </x:c>
      <x:c r="J2549" s="13" t="n">
        <x:f>D2549*I2549*H2549</x:f>
        <x:v>-0.26195904000000003</x:v>
      </x:c>
      <x:c r="K2549" s="13" t="n">
        <x:f>E2549*I2549*H2549</x:f>
        <x:v>-0.022458240000000004</x:v>
      </x:c>
      <x:c r="L2549" s="1" t="str">
        <x:f>TEXT(A2549,"mmm yyyy")</x:f>
        <x:v>Jun 2026</x:v>
      </x:c>
    </x:row>
    <x:row r="2550" ht="21" customHeight="1">
      <x:c r="A2550" s="10" t="n">
        <x:v>46201</x:v>
      </x:c>
      <x:c r="B2550" s="1" t="n">
        <x:v>15</x:v>
      </x:c>
      <x:c r="C2550" s="1" t="n">
        <x:v>6</x:v>
      </x:c>
      <x:c r="D2550" s="12" t="n">
        <x:v>1.393</x:v>
      </x:c>
      <x:c r="E2550" s="12" t="n">
        <x:v>0.276</x:v>
      </x:c>
      <x:c r="F2550" s="12" t="n">
        <x:v>0</x:v>
      </x:c>
      <x:c r="G2550" s="12" t="n">
        <x:v>1.117</x:v>
      </x:c>
      <x:c r="H2550" s="1" t="n">
        <x:f>'Historical prices'!E2550</x:f>
        <x:v>1.05</x:v>
      </x:c>
      <x:c r="I2550" s="6" t="n">
        <x:f>'Historical prices'!D2550</x:f>
        <x:v>-0.013500000000000002</x:v>
      </x:c>
      <x:c r="J2550" s="13" t="n">
        <x:f>D2550*I2550*H2550</x:f>
        <x:v>-0.019745775000000004</x:v>
      </x:c>
      <x:c r="K2550" s="13" t="n">
        <x:f>E2550*I2550*H2550</x:f>
        <x:v>-0.0039123000000000005</x:v>
      </x:c>
      <x:c r="L2550" s="1" t="str">
        <x:f>TEXT(A2550,"mmm yyyy")</x:f>
        <x:v>Jun 2026</x:v>
      </x:c>
    </x:row>
    <x:row r="2551" ht="21" customHeight="1">
      <x:c r="A2551" s="10" t="n">
        <x:v>46201</x:v>
      </x:c>
      <x:c r="B2551" s="1" t="n">
        <x:v>15.5</x:v>
      </x:c>
      <x:c r="C2551" s="1" t="n">
        <x:v>6</x:v>
      </x:c>
      <x:c r="D2551" s="12" t="n">
        <x:v>0.22575</x:v>
      </x:c>
      <x:c r="E2551" s="12" t="n">
        <x:v>0.20075</x:v>
      </x:c>
      <x:c r="F2551" s="12" t="n">
        <x:v>0</x:v>
      </x:c>
      <x:c r="G2551" s="12" t="n">
        <x:v>0.024</x:v>
      </x:c>
      <x:c r="H2551" s="1" t="n">
        <x:f>'Historical prices'!E2551</x:f>
        <x:v>1.05</x:v>
      </x:c>
      <x:c r="I2551" s="6" t="n">
        <x:f>'Historical prices'!D2551</x:f>
        <x:v>-0.0131</x:v>
      </x:c>
      <x:c r="J2551" s="13" t="n">
        <x:f>D2551*I2551*H2551</x:f>
        <x:v>-0.0031051912500000005</x:v>
      </x:c>
      <x:c r="K2551" s="13" t="n">
        <x:f>E2551*I2551*H2551</x:f>
        <x:v>-0.00276131625</x:v>
      </x:c>
      <x:c r="L2551" s="1" t="str">
        <x:f>TEXT(A2551,"mmm yyyy")</x:f>
        <x:v>Jun 2026</x:v>
      </x:c>
    </x:row>
    <x:row r="2552" ht="21" customHeight="1">
      <x:c r="A2552" s="10" t="n">
        <x:v>46201</x:v>
      </x:c>
      <x:c r="B2552" s="1" t="n">
        <x:v>16</x:v>
      </x:c>
      <x:c r="C2552" s="1" t="n">
        <x:v>6</x:v>
      </x:c>
      <x:c r="D2552" s="12" t="n">
        <x:v>0.03125</x:v>
      </x:c>
      <x:c r="E2552" s="12" t="n">
        <x:v>0.24724999999999997</x:v>
      </x:c>
      <x:c r="F2552" s="12" t="n">
        <x:v>0.21383333333333332</x:v>
      </x:c>
      <x:c r="G2552" s="12" t="n">
        <x:v>0</x:v>
      </x:c>
      <x:c r="H2552" s="1" t="n">
        <x:f>'Historical prices'!E2552</x:f>
        <x:v>1.05</x:v>
      </x:c>
      <x:c r="I2552" s="6" t="n">
        <x:f>'Historical prices'!D2552</x:f>
        <x:v>0.18969999999999998</x:v>
      </x:c>
      <x:c r="J2552" s="13" t="n">
        <x:f>D2552*I2552*H2552</x:f>
        <x:v>0.00622453125</x:v>
      </x:c>
      <x:c r="K2552" s="13" t="n">
        <x:f>E2552*I2552*H2552</x:f>
        <x:v>0.04924849124999999</x:v>
      </x:c>
      <x:c r="L2552" s="1" t="str">
        <x:f>TEXT(A2552,"mmm yyyy")</x:f>
        <x:v>Jun 2026</x:v>
      </x:c>
    </x:row>
    <x:row r="2553" ht="21" customHeight="1">
      <x:c r="A2553" s="10" t="n">
        <x:v>46201</x:v>
      </x:c>
      <x:c r="B2553" s="1" t="n">
        <x:v>16.5</x:v>
      </x:c>
      <x:c r="C2553" s="1" t="n">
        <x:v>6</x:v>
      </x:c>
      <x:c r="D2553" s="12" t="n">
        <x:v>0</x:v>
      </x:c>
      <x:c r="E2553" s="12" t="n">
        <x:v>0.50075</x:v>
      </x:c>
      <x:c r="F2553" s="12" t="n">
        <x:v>0.5005</x:v>
      </x:c>
      <x:c r="G2553" s="12" t="n">
        <x:v>0</x:v>
      </x:c>
      <x:c r="H2553" s="1" t="n">
        <x:f>'Historical prices'!E2553</x:f>
        <x:v>1.05</x:v>
      </x:c>
      <x:c r="I2553" s="6" t="n">
        <x:f>'Historical prices'!D2553</x:f>
        <x:v>0.2095</x:v>
      </x:c>
      <x:c r="J2553" s="13" t="n">
        <x:f>D2553*I2553*H2553</x:f>
        <x:v>0</x:v>
      </x:c>
      <x:c r="K2553" s="13" t="n">
        <x:f>E2553*I2553*H2553</x:f>
        <x:v>0.11015248125</x:v>
      </x:c>
      <x:c r="L2553" s="1" t="str">
        <x:f>TEXT(A2553,"mmm yyyy")</x:f>
        <x:v>Jun 2026</x:v>
      </x:c>
    </x:row>
    <x:row r="2554" ht="21" customHeight="1">
      <x:c r="A2554" s="10" t="n">
        <x:v>46201</x:v>
      </x:c>
      <x:c r="B2554" s="1" t="n">
        <x:v>17</x:v>
      </x:c>
      <x:c r="C2554" s="1" t="n">
        <x:v>6</x:v>
      </x:c>
      <x:c r="D2554" s="12" t="n">
        <x:v>0</x:v>
      </x:c>
      <x:c r="E2554" s="12" t="n">
        <x:v>0.5605</x:v>
      </x:c>
      <x:c r="F2554" s="12" t="n">
        <x:v>0.55775</x:v>
      </x:c>
      <x:c r="G2554" s="12" t="n">
        <x:v>0</x:v>
      </x:c>
      <x:c r="H2554" s="1" t="n">
        <x:f>'Historical prices'!E2554</x:f>
        <x:v>1.05</x:v>
      </x:c>
      <x:c r="I2554" s="6" t="n">
        <x:f>'Historical prices'!D2554</x:f>
        <x:v>0.2705</x:v>
      </x:c>
      <x:c r="J2554" s="13" t="n">
        <x:f>D2554*I2554*H2554</x:f>
        <x:v>0</x:v>
      </x:c>
      <x:c r="K2554" s="13" t="n">
        <x:f>E2554*I2554*H2554</x:f>
        <x:v>0.1591960125</x:v>
      </x:c>
      <x:c r="L2554" s="1" t="str">
        <x:f>TEXT(A2554,"mmm yyyy")</x:f>
        <x:v>Jun 2026</x:v>
      </x:c>
    </x:row>
    <x:row r="2555" ht="21" customHeight="1">
      <x:c r="A2555" s="10" t="n">
        <x:v>46201</x:v>
      </x:c>
      <x:c r="B2555" s="1" t="n">
        <x:v>17.5</x:v>
      </x:c>
      <x:c r="C2555" s="1" t="n">
        <x:v>6</x:v>
      </x:c>
      <x:c r="D2555" s="12" t="n">
        <x:v>0</x:v>
      </x:c>
      <x:c r="E2555" s="12" t="n">
        <x:v>0.5519166666666666</x:v>
      </x:c>
      <x:c r="F2555" s="12" t="n">
        <x:v>0.5517499999999999</x:v>
      </x:c>
      <x:c r="G2555" s="12" t="n">
        <x:v>0</x:v>
      </x:c>
      <x:c r="H2555" s="1" t="n">
        <x:f>'Historical prices'!E2555</x:f>
        <x:v>1.05</x:v>
      </x:c>
      <x:c r="I2555" s="6" t="n">
        <x:f>'Historical prices'!D2555</x:f>
        <x:v>0.2705</x:v>
      </x:c>
      <x:c r="J2555" s="13" t="n">
        <x:f>D2555*I2555*H2555</x:f>
        <x:v>0</x:v>
      </x:c>
      <x:c r="K2555" s="13" t="n">
        <x:f>E2555*I2555*H2555</x:f>
        <x:v>0.15675813125</x:v>
      </x:c>
      <x:c r="L2555" s="1" t="str">
        <x:f>TEXT(A2555,"mmm yyyy")</x:f>
        <x:v>Jun 2026</x:v>
      </x:c>
    </x:row>
    <x:row r="2556" ht="21" customHeight="1">
      <x:c r="A2556" s="10" t="n">
        <x:v>46201</x:v>
      </x:c>
      <x:c r="B2556" s="1" t="n">
        <x:v>18</x:v>
      </x:c>
      <x:c r="C2556" s="1" t="n">
        <x:v>6</x:v>
      </x:c>
      <x:c r="D2556" s="12" t="n">
        <x:v>0</x:v>
      </x:c>
      <x:c r="E2556" s="12" t="n">
        <x:v>0.4498333333333333</x:v>
      </x:c>
      <x:c r="F2556" s="12" t="n">
        <x:v>0.44975</x:v>
      </x:c>
      <x:c r="G2556" s="12" t="n">
        <x:v>0</x:v>
      </x:c>
      <x:c r="H2556" s="1" t="n">
        <x:f>'Historical prices'!E2556</x:f>
        <x:v>1.05</x:v>
      </x:c>
      <x:c r="I2556" s="6" t="n">
        <x:f>'Historical prices'!D2556</x:f>
        <x:v>0.30829999999999996</x:v>
      </x:c>
      <x:c r="J2556" s="13" t="n">
        <x:f>D2556*I2556*H2556</x:f>
        <x:v>0</x:v>
      </x:c>
      <x:c r="K2556" s="13" t="n">
        <x:f>E2556*I2556*H2556</x:f>
        <x:v>0.14561779749999998</x:v>
      </x:c>
      <x:c r="L2556" s="1" t="str">
        <x:f>TEXT(A2556,"mmm yyyy")</x:f>
        <x:v>Jun 2026</x:v>
      </x:c>
    </x:row>
    <x:row r="2557" ht="21" customHeight="1">
      <x:c r="A2557" s="10" t="n">
        <x:v>46201</x:v>
      </x:c>
      <x:c r="B2557" s="1" t="n">
        <x:v>18.5</x:v>
      </x:c>
      <x:c r="C2557" s="1" t="n">
        <x:v>6</x:v>
      </x:c>
      <x:c r="D2557" s="12" t="n">
        <x:v>0</x:v>
      </x:c>
      <x:c r="E2557" s="12" t="n">
        <x:v>0.5918333333333333</x:v>
      </x:c>
      <x:c r="F2557" s="12" t="n">
        <x:v>0.5894999999999999</x:v>
      </x:c>
      <x:c r="G2557" s="12" t="n">
        <x:v>0</x:v>
      </x:c>
      <x:c r="H2557" s="1" t="n">
        <x:f>'Historical prices'!E2557</x:f>
        <x:v>1.05</x:v>
      </x:c>
      <x:c r="I2557" s="6" t="n">
        <x:f>'Historical prices'!D2557</x:f>
        <x:v>0.30260000000000004</x:v>
      </x:c>
      <x:c r="J2557" s="13" t="n">
        <x:f>D2557*I2557*H2557</x:f>
        <x:v>0</x:v>
      </x:c>
      <x:c r="K2557" s="13" t="n">
        <x:f>E2557*I2557*H2557</x:f>
        <x:v>0.18804320500000002</x:v>
      </x:c>
      <x:c r="L2557" s="1" t="str">
        <x:f>TEXT(A2557,"mmm yyyy")</x:f>
        <x:v>Jun 2026</x:v>
      </x:c>
    </x:row>
    <x:row r="2558" ht="21" customHeight="1">
      <x:c r="A2558" s="10" t="n">
        <x:v>46201</x:v>
      </x:c>
      <x:c r="B2558" s="1" t="n">
        <x:v>19</x:v>
      </x:c>
      <x:c r="C2558" s="1" t="n">
        <x:v>6</x:v>
      </x:c>
      <x:c r="D2558" s="12" t="n">
        <x:v>0</x:v>
      </x:c>
      <x:c r="E2558" s="12" t="n">
        <x:v>0.7449166666666667</x:v>
      </x:c>
      <x:c r="F2558" s="12" t="n">
        <x:v>0.74475</x:v>
      </x:c>
      <x:c r="G2558" s="12" t="n">
        <x:v>0</x:v>
      </x:c>
      <x:c r="H2558" s="1" t="n">
        <x:f>'Historical prices'!E2558</x:f>
        <x:v>1.05</x:v>
      </x:c>
      <x:c r="I2558" s="6" t="n">
        <x:f>'Historical prices'!D2558</x:f>
        <x:v>0.1877</x:v>
      </x:c>
      <x:c r="J2558" s="13" t="n">
        <x:f>D2558*I2558*H2558</x:f>
        <x:v>0</x:v>
      </x:c>
      <x:c r="K2558" s="13" t="n">
        <x:f>E2558*I2558*H2558</x:f>
        <x:v>0.14681190125</x:v>
      </x:c>
      <x:c r="L2558" s="1" t="str">
        <x:f>TEXT(A2558,"mmm yyyy")</x:f>
        <x:v>Jun 2026</x:v>
      </x:c>
    </x:row>
    <x:row r="2559" ht="21" customHeight="1">
      <x:c r="A2559" s="10" t="n">
        <x:v>46201</x:v>
      </x:c>
      <x:c r="B2559" s="1" t="n">
        <x:v>19.5</x:v>
      </x:c>
      <x:c r="C2559" s="1" t="n">
        <x:v>6</x:v>
      </x:c>
      <x:c r="D2559" s="12" t="n">
        <x:v>0</x:v>
      </x:c>
      <x:c r="E2559" s="12" t="n">
        <x:v>0.69275</x:v>
      </x:c>
      <x:c r="F2559" s="12" t="n">
        <x:v>0.6925833333333333</x:v>
      </x:c>
      <x:c r="G2559" s="12" t="n">
        <x:v>0</x:v>
      </x:c>
      <x:c r="H2559" s="1" t="n">
        <x:f>'Historical prices'!E2559</x:f>
        <x:v>1.05</x:v>
      </x:c>
      <x:c r="I2559" s="6" t="n">
        <x:f>'Historical prices'!D2559</x:f>
        <x:v>0.1961</x:v>
      </x:c>
      <x:c r="J2559" s="13" t="n">
        <x:f>D2559*I2559*H2559</x:f>
        <x:v>0</x:v>
      </x:c>
      <x:c r="K2559" s="13" t="n">
        <x:f>E2559*I2559*H2559</x:f>
        <x:v>0.14264068875</x:v>
      </x:c>
      <x:c r="L2559" s="1" t="str">
        <x:f>TEXT(A2559,"mmm yyyy")</x:f>
        <x:v>Jun 2026</x:v>
      </x:c>
    </x:row>
    <x:row r="2560" ht="21" customHeight="1">
      <x:c r="A2560" s="10" t="n">
        <x:v>46201</x:v>
      </x:c>
      <x:c r="B2560" s="1" t="n">
        <x:v>20</x:v>
      </x:c>
      <x:c r="C2560" s="1" t="n">
        <x:v>6</x:v>
      </x:c>
      <x:c r="D2560" s="12" t="n">
        <x:v>0</x:v>
      </x:c>
      <x:c r="E2560" s="12" t="n">
        <x:v>0.7069166666666666</x:v>
      </x:c>
      <x:c r="F2560" s="12" t="n">
        <x:v>0.7066666666666666</x:v>
      </x:c>
      <x:c r="G2560" s="12" t="n">
        <x:v>0</x:v>
      </x:c>
      <x:c r="H2560" s="1" t="n">
        <x:f>'Historical prices'!E2560</x:f>
        <x:v>1.05</x:v>
      </x:c>
      <x:c r="I2560" s="6" t="n">
        <x:f>'Historical prices'!D2560</x:f>
        <x:v>0.2028</x:v>
      </x:c>
      <x:c r="J2560" s="13" t="n">
        <x:f>D2560*I2560*H2560</x:f>
        <x:v>0</x:v>
      </x:c>
      <x:c r="K2560" s="13" t="n">
        <x:f>E2560*I2560*H2560</x:f>
        <x:v>0.15053083500000003</x:v>
      </x:c>
      <x:c r="L2560" s="1" t="str">
        <x:f>TEXT(A2560,"mmm yyyy")</x:f>
        <x:v>Jun 2026</x:v>
      </x:c>
    </x:row>
    <x:row r="2561" ht="21" customHeight="1">
      <x:c r="A2561" s="10" t="n">
        <x:v>46201</x:v>
      </x:c>
      <x:c r="B2561" s="1" t="n">
        <x:v>20.5</x:v>
      </x:c>
      <x:c r="C2561" s="1" t="n">
        <x:v>6</x:v>
      </x:c>
      <x:c r="D2561" s="12" t="n">
        <x:v>0</x:v>
      </x:c>
      <x:c r="E2561" s="12" t="n">
        <x:v>0.5299166666666667</x:v>
      </x:c>
      <x:c r="F2561" s="12" t="n">
        <x:v>0.5296666666666666</x:v>
      </x:c>
      <x:c r="G2561" s="12" t="n">
        <x:v>0</x:v>
      </x:c>
      <x:c r="H2561" s="1" t="n">
        <x:f>'Historical prices'!E2561</x:f>
        <x:v>1.05</x:v>
      </x:c>
      <x:c r="I2561" s="6" t="n">
        <x:f>'Historical prices'!D2561</x:f>
        <x:v>0.2102</x:v>
      </x:c>
      <x:c r="J2561" s="13" t="n">
        <x:f>D2561*I2561*H2561</x:f>
        <x:v>0</x:v>
      </x:c>
      <x:c r="K2561" s="13" t="n">
        <x:f>E2561*I2561*H2561</x:f>
        <x:v>0.11695790750000001</x:v>
      </x:c>
      <x:c r="L2561" s="1" t="str">
        <x:f>TEXT(A2561,"mmm yyyy")</x:f>
        <x:v>Jun 2026</x:v>
      </x:c>
    </x:row>
    <x:row r="2562" ht="21" customHeight="1">
      <x:c r="A2562" s="10" t="n">
        <x:v>46201</x:v>
      </x:c>
      <x:c r="B2562" s="1" t="n">
        <x:v>21</x:v>
      </x:c>
      <x:c r="C2562" s="1" t="n">
        <x:v>6</x:v>
      </x:c>
      <x:c r="D2562" s="12" t="n">
        <x:v>0</x:v>
      </x:c>
      <x:c r="E2562" s="12" t="n">
        <x:v>0.5189166666666667</x:v>
      </x:c>
      <x:c r="F2562" s="12" t="n">
        <x:v>0.5187499999999999</x:v>
      </x:c>
      <x:c r="G2562" s="12" t="n">
        <x:v>0</x:v>
      </x:c>
      <x:c r="H2562" s="1" t="n">
        <x:f>'Historical prices'!E2562</x:f>
        <x:v>1.05</x:v>
      </x:c>
      <x:c r="I2562" s="6" t="n">
        <x:f>'Historical prices'!D2562</x:f>
        <x:v>0.2091</x:v>
      </x:c>
      <x:c r="J2562" s="13" t="n">
        <x:f>D2562*I2562*H2562</x:f>
        <x:v>0</x:v>
      </x:c>
      <x:c r="K2562" s="13" t="n">
        <x:f>E2562*I2562*H2562</x:f>
        <x:v>0.11393074875</x:v>
      </x:c>
      <x:c r="L2562" s="1" t="str">
        <x:f>TEXT(A2562,"mmm yyyy")</x:f>
        <x:v>Jun 2026</x:v>
      </x:c>
    </x:row>
    <x:row r="2563" ht="21" customHeight="1">
      <x:c r="A2563" s="10" t="n">
        <x:v>46201</x:v>
      </x:c>
      <x:c r="B2563" s="1" t="n">
        <x:v>21.5</x:v>
      </x:c>
      <x:c r="C2563" s="1" t="n">
        <x:v>6</x:v>
      </x:c>
      <x:c r="D2563" s="12" t="n">
        <x:v>0</x:v>
      </x:c>
      <x:c r="E2563" s="12" t="n">
        <x:v>0.5565</x:v>
      </x:c>
      <x:c r="F2563" s="12" t="n">
        <x:v>0.5565</x:v>
      </x:c>
      <x:c r="G2563" s="12" t="n">
        <x:v>0</x:v>
      </x:c>
      <x:c r="H2563" s="1" t="n">
        <x:f>'Historical prices'!E2563</x:f>
        <x:v>1.05</x:v>
      </x:c>
      <x:c r="I2563" s="6" t="n">
        <x:f>'Historical prices'!D2563</x:f>
        <x:v>0.2119</x:v>
      </x:c>
      <x:c r="J2563" s="13" t="n">
        <x:f>D2563*I2563*H2563</x:f>
        <x:v>0</x:v>
      </x:c>
      <x:c r="K2563" s="13" t="n">
        <x:f>E2563*I2563*H2563</x:f>
        <x:v>0.1238184675</x:v>
      </x:c>
      <x:c r="L2563" s="1" t="str">
        <x:f>TEXT(A2563,"mmm yyyy")</x:f>
        <x:v>Jun 2026</x:v>
      </x:c>
    </x:row>
    <x:row r="2564" ht="21" customHeight="1">
      <x:c r="A2564" s="10" t="n">
        <x:v>46201</x:v>
      </x:c>
      <x:c r="B2564" s="1" t="n">
        <x:v>22</x:v>
      </x:c>
      <x:c r="C2564" s="1" t="n">
        <x:v>6</x:v>
      </x:c>
      <x:c r="D2564" s="12" t="n">
        <x:v>0</x:v>
      </x:c>
      <x:c r="E2564" s="12" t="n">
        <x:v>0.8458333333333333</x:v>
      </x:c>
      <x:c r="F2564" s="12" t="n">
        <x:v>0.8454166666666666</x:v>
      </x:c>
      <x:c r="G2564" s="12" t="n">
        <x:v>0</x:v>
      </x:c>
      <x:c r="H2564" s="1" t="n">
        <x:f>'Historical prices'!E2564</x:f>
        <x:v>1.05</x:v>
      </x:c>
      <x:c r="I2564" s="6" t="n">
        <x:f>'Historical prices'!D2564</x:f>
        <x:v>0.20559999999999998</x:v>
      </x:c>
      <x:c r="J2564" s="13" t="n">
        <x:f>D2564*I2564*H2564</x:f>
        <x:v>0</x:v>
      </x:c>
      <x:c r="K2564" s="13" t="n">
        <x:f>E2564*I2564*H2564</x:f>
        <x:v>0.18259849999999997</x:v>
      </x:c>
      <x:c r="L2564" s="1" t="str">
        <x:f>TEXT(A2564,"mmm yyyy")</x:f>
        <x:v>Jun 2026</x:v>
      </x:c>
    </x:row>
    <x:row r="2565" ht="21" customHeight="1">
      <x:c r="A2565" s="10" t="n">
        <x:v>46201</x:v>
      </x:c>
      <x:c r="B2565" s="1" t="n">
        <x:v>22.5</x:v>
      </x:c>
      <x:c r="C2565" s="1" t="n">
        <x:v>6</x:v>
      </x:c>
      <x:c r="D2565" s="12" t="n">
        <x:v>0</x:v>
      </x:c>
      <x:c r="E2565" s="12" t="n">
        <x:v>0.33</x:v>
      </x:c>
      <x:c r="F2565" s="12" t="n">
        <x:v>0.32975</x:v>
      </x:c>
      <x:c r="G2565" s="12" t="n">
        <x:v>0</x:v>
      </x:c>
      <x:c r="H2565" s="1" t="n">
        <x:f>'Historical prices'!E2565</x:f>
        <x:v>1.05</x:v>
      </x:c>
      <x:c r="I2565" s="6" t="n">
        <x:f>'Historical prices'!D2565</x:f>
        <x:v>0.20170000000000002</x:v>
      </x:c>
      <x:c r="J2565" s="13" t="n">
        <x:f>D2565*I2565*H2565</x:f>
        <x:v>0</x:v>
      </x:c>
      <x:c r="K2565" s="13" t="n">
        <x:f>E2565*I2565*H2565</x:f>
        <x:v>0.06988905000000001</x:v>
      </x:c>
      <x:c r="L2565" s="1" t="str">
        <x:f>TEXT(A2565,"mmm yyyy")</x:f>
        <x:v>Jun 2026</x:v>
      </x:c>
    </x:row>
    <x:row r="2566" ht="21" customHeight="1">
      <x:c r="A2566" s="10" t="n">
        <x:v>46201</x:v>
      </x:c>
      <x:c r="B2566" s="1" t="n">
        <x:v>23</x:v>
      </x:c>
      <x:c r="C2566" s="1" t="n">
        <x:v>6</x:v>
      </x:c>
      <x:c r="D2566" s="12" t="n">
        <x:v>0</x:v>
      </x:c>
      <x:c r="E2566" s="12" t="n">
        <x:v>0.38875000000000004</x:v>
      </x:c>
      <x:c r="F2566" s="12" t="n">
        <x:v>0.38841666666666663</x:v>
      </x:c>
      <x:c r="G2566" s="12" t="n">
        <x:v>0</x:v>
      </x:c>
      <x:c r="H2566" s="1" t="n">
        <x:f>'Historical prices'!E2566</x:f>
        <x:v>1.05</x:v>
      </x:c>
      <x:c r="I2566" s="6" t="n">
        <x:f>'Historical prices'!D2566</x:f>
        <x:v>0.1869</x:v>
      </x:c>
      <x:c r="J2566" s="13" t="n">
        <x:f>D2566*I2566*H2566</x:f>
        <x:v>0</x:v>
      </x:c>
      <x:c r="K2566" s="13" t="n">
        <x:f>E2566*I2566*H2566</x:f>
        <x:v>0.07629024375000001</x:v>
      </x:c>
      <x:c r="L2566" s="1" t="str">
        <x:f>TEXT(A2566,"mmm yyyy")</x:f>
        <x:v>Jun 2026</x:v>
      </x:c>
    </x:row>
    <x:row r="2567" ht="21" customHeight="1">
      <x:c r="A2567" s="10" t="n">
        <x:v>46201</x:v>
      </x:c>
      <x:c r="B2567" s="1" t="n">
        <x:v>23.5</x:v>
      </x:c>
      <x:c r="C2567" s="1" t="n">
        <x:v>6</x:v>
      </x:c>
      <x:c r="D2567" s="12" t="n">
        <x:v>0</x:v>
      </x:c>
      <x:c r="E2567" s="12" t="n">
        <x:v>0.3349166666666667</x:v>
      </x:c>
      <x:c r="F2567" s="12" t="n">
        <x:v>0.33475000000000005</x:v>
      </x:c>
      <x:c r="G2567" s="12" t="n">
        <x:v>0</x:v>
      </x:c>
      <x:c r="H2567" s="1" t="n">
        <x:f>'Historical prices'!E2567</x:f>
        <x:v>1.05</x:v>
      </x:c>
      <x:c r="I2567" s="6" t="n">
        <x:f>'Historical prices'!D2567</x:f>
        <x:v>0.1844</x:v>
      </x:c>
      <x:c r="J2567" s="13" t="n">
        <x:f>D2567*I2567*H2567</x:f>
        <x:v>0</x:v>
      </x:c>
      <x:c r="K2567" s="13" t="n">
        <x:f>E2567*I2567*H2567</x:f>
        <x:v>0.06484656500000001</x:v>
      </x:c>
      <x:c r="L2567" s="1" t="str">
        <x:f>TEXT(A2567,"mmm yyyy")</x:f>
        <x:v>Jun 2026</x:v>
      </x:c>
    </x:row>
    <x:row r="2568" ht="21" customHeight="1">
      <x:c r="A2568" s="10" t="n">
        <x:v>46202</x:v>
      </x:c>
      <x:c r="B2568" s="1" t="n">
        <x:v>0</x:v>
      </x:c>
      <x:c r="C2568" s="1" t="n">
        <x:v>6</x:v>
      </x:c>
      <x:c r="D2568" s="12" t="n">
        <x:v>0.2520833333333333</x:v>
      </x:c>
      <x:c r="E2568" s="12" t="n">
        <x:v>0.32716666666666666</x:v>
      </x:c>
      <x:c r="F2568" s="12" t="n">
        <x:v>0.066</x:v>
      </x:c>
      <x:c r="G2568" s="12" t="n">
        <x:v>0</x:v>
      </x:c>
      <x:c r="H2568" s="1" t="n">
        <x:f>'Historical prices'!E2568</x:f>
        <x:v>1.05</x:v>
      </x:c>
      <x:c r="I2568" s="6" t="n">
        <x:f>'Historical prices'!D2568</x:f>
        <x:v>0.1721</x:v>
      </x:c>
      <x:c r="J2568" s="13" t="n">
        <x:f>D2568*I2568*H2568</x:f>
        <x:v>0.04555271875</x:v>
      </x:c>
      <x:c r="K2568" s="13" t="n">
        <x:f>E2568*I2568*H2568</x:f>
        <x:v>0.0591206525</x:v>
      </x:c>
      <x:c r="L2568" s="1" t="str">
        <x:f>TEXT(A2568,"mmm yyyy")</x:f>
        <x:v>Jun 2026</x:v>
      </x:c>
    </x:row>
    <x:row r="2569" ht="21" customHeight="1">
      <x:c r="A2569" s="10" t="n">
        <x:v>46202</x:v>
      </x:c>
      <x:c r="B2569" s="1" t="n">
        <x:v>0.5</x:v>
      </x:c>
      <x:c r="C2569" s="1" t="n">
        <x:v>6</x:v>
      </x:c>
      <x:c r="D2569" s="12" t="n">
        <x:v>0.23708333333333337</x:v>
      </x:c>
      <x:c r="E2569" s="12" t="n">
        <x:v>0.24808333333333335</x:v>
      </x:c>
      <x:c r="F2569" s="12" t="n">
        <x:v>0</x:v>
      </x:c>
      <x:c r="G2569" s="12" t="n">
        <x:v>0</x:v>
      </x:c>
      <x:c r="H2569" s="1" t="n">
        <x:f>'Historical prices'!E2569</x:f>
        <x:v>1.05</x:v>
      </x:c>
      <x:c r="I2569" s="6" t="n">
        <x:f>'Historical prices'!D2569</x:f>
        <x:v>0.1637</x:v>
      </x:c>
      <x:c r="J2569" s="13" t="n">
        <x:f>D2569*I2569*H2569</x:f>
        <x:v>0.040751068750000015</x:v>
      </x:c>
      <x:c r="K2569" s="13" t="n">
        <x:f>E2569*I2569*H2569</x:f>
        <x:v>0.042641803750000006</x:v>
      </x:c>
      <x:c r="L2569" s="1" t="str">
        <x:f>TEXT(A2569,"mmm yyyy")</x:f>
        <x:v>Jun 2026</x:v>
      </x:c>
    </x:row>
    <x:row r="2570" ht="21" customHeight="1">
      <x:c r="A2570" s="10" t="n">
        <x:v>46202</x:v>
      </x:c>
      <x:c r="B2570" s="1" t="n">
        <x:v>1</x:v>
      </x:c>
      <x:c r="C2570" s="1" t="n">
        <x:v>6</x:v>
      </x:c>
      <x:c r="D2570" s="12" t="n">
        <x:v>0.19716666666666666</x:v>
      </x:c>
      <x:c r="E2570" s="12" t="n">
        <x:v>0.20716666666666667</x:v>
      </x:c>
      <x:c r="F2570" s="12" t="n">
        <x:v>0</x:v>
      </x:c>
      <x:c r="G2570" s="12" t="n">
        <x:v>0</x:v>
      </x:c>
      <x:c r="H2570" s="1" t="n">
        <x:f>'Historical prices'!E2570</x:f>
        <x:v>1.05</x:v>
      </x:c>
      <x:c r="I2570" s="6" t="n">
        <x:f>'Historical prices'!D2570</x:f>
        <x:v>0.1573</x:v>
      </x:c>
      <x:c r="J2570" s="13" t="n">
        <x:f>D2570*I2570*H2570</x:f>
        <x:v>0.0325650325</x:v>
      </x:c>
      <x:c r="K2570" s="13" t="n">
        <x:f>E2570*I2570*H2570</x:f>
        <x:v>0.0342166825</x:v>
      </x:c>
      <x:c r="L2570" s="1" t="str">
        <x:f>TEXT(A2570,"mmm yyyy")</x:f>
        <x:v>Jun 2026</x:v>
      </x:c>
    </x:row>
    <x:row r="2571" ht="21" customHeight="1">
      <x:c r="A2571" s="10" t="n">
        <x:v>46202</x:v>
      </x:c>
      <x:c r="B2571" s="1" t="n">
        <x:v>1.5</x:v>
      </x:c>
      <x:c r="C2571" s="1" t="n">
        <x:v>6</x:v>
      </x:c>
      <x:c r="D2571" s="12" t="n">
        <x:v>0.22125</x:v>
      </x:c>
      <x:c r="E2571" s="12" t="n">
        <x:v>0.23225</x:v>
      </x:c>
      <x:c r="F2571" s="12" t="n">
        <x:v>0</x:v>
      </x:c>
      <x:c r="G2571" s="12" t="n">
        <x:v>0</x:v>
      </x:c>
      <x:c r="H2571" s="1" t="n">
        <x:f>'Historical prices'!E2571</x:f>
        <x:v>1.05</x:v>
      </x:c>
      <x:c r="I2571" s="6" t="n">
        <x:f>'Historical prices'!D2571</x:f>
        <x:v>0.1539</x:v>
      </x:c>
      <x:c r="J2571" s="13" t="n">
        <x:f>D2571*I2571*H2571</x:f>
        <x:v>0.03575289375</x:v>
      </x:c>
      <x:c r="K2571" s="13" t="n">
        <x:f>E2571*I2571*H2571</x:f>
        <x:v>0.037530438750000006</x:v>
      </x:c>
      <x:c r="L2571" s="1" t="str">
        <x:f>TEXT(A2571,"mmm yyyy")</x:f>
        <x:v>Jun 2026</x:v>
      </x:c>
    </x:row>
    <x:row r="2572" ht="21" customHeight="1">
      <x:c r="A2572" s="10" t="n">
        <x:v>46202</x:v>
      </x:c>
      <x:c r="B2572" s="1" t="n">
        <x:v>2</x:v>
      </x:c>
      <x:c r="C2572" s="1" t="n">
        <x:v>6</x:v>
      </x:c>
      <x:c r="D2572" s="12" t="n">
        <x:v>0.24166666666666667</x:v>
      </x:c>
      <x:c r="E2572" s="12" t="n">
        <x:v>0.25166666666666665</x:v>
      </x:c>
      <x:c r="F2572" s="12" t="n">
        <x:v>0</x:v>
      </x:c>
      <x:c r="G2572" s="12" t="n">
        <x:v>0</x:v>
      </x:c>
      <x:c r="H2572" s="1" t="n">
        <x:f>'Historical prices'!E2572</x:f>
        <x:v>1.05</x:v>
      </x:c>
      <x:c r="I2572" s="6" t="n">
        <x:f>'Historical prices'!D2572</x:f>
        <x:v>0.1577</x:v>
      </x:c>
      <x:c r="J2572" s="13" t="n">
        <x:f>D2572*I2572*H2572</x:f>
        <x:v>0.04001637500000001</x:v>
      </x:c>
      <x:c r="K2572" s="13" t="n">
        <x:f>E2572*I2572*H2572</x:f>
        <x:v>0.041672225</x:v>
      </x:c>
      <x:c r="L2572" s="1" t="str">
        <x:f>TEXT(A2572,"mmm yyyy")</x:f>
        <x:v>Jun 2026</x:v>
      </x:c>
    </x:row>
    <x:row r="2573" ht="21" customHeight="1">
      <x:c r="A2573" s="10" t="n">
        <x:v>46202</x:v>
      </x:c>
      <x:c r="B2573" s="1" t="n">
        <x:v>2.5</x:v>
      </x:c>
      <x:c r="C2573" s="1" t="n">
        <x:v>6</x:v>
      </x:c>
      <x:c r="D2573" s="12" t="n">
        <x:v>0.20208333333333334</x:v>
      </x:c>
      <x:c r="E2573" s="12" t="n">
        <x:v>0.21308333333333335</x:v>
      </x:c>
      <x:c r="F2573" s="12" t="n">
        <x:v>0</x:v>
      </x:c>
      <x:c r="G2573" s="12" t="n">
        <x:v>0</x:v>
      </x:c>
      <x:c r="H2573" s="1" t="n">
        <x:f>'Historical prices'!E2573</x:f>
        <x:v>1.05</x:v>
      </x:c>
      <x:c r="I2573" s="6" t="n">
        <x:f>'Historical prices'!D2573</x:f>
        <x:v>0.15460000000000002</x:v>
      </x:c>
      <x:c r="J2573" s="13" t="n">
        <x:f>D2573*I2573*H2573</x:f>
        <x:v>0.032804187500000005</x:v>
      </x:c>
      <x:c r="K2573" s="13" t="n">
        <x:f>E2573*I2573*H2573</x:f>
        <x:v>0.03458981750000001</x:v>
      </x:c>
      <x:c r="L2573" s="1" t="str">
        <x:f>TEXT(A2573,"mmm yyyy")</x:f>
        <x:v>Jun 2026</x:v>
      </x:c>
    </x:row>
    <x:row r="2574" ht="21" customHeight="1">
      <x:c r="A2574" s="10" t="n">
        <x:v>46202</x:v>
      </x:c>
      <x:c r="B2574" s="1" t="n">
        <x:v>3</x:v>
      </x:c>
      <x:c r="C2574" s="1" t="n">
        <x:v>6</x:v>
      </x:c>
      <x:c r="D2574" s="12" t="n">
        <x:v>0.20650000000000002</x:v>
      </x:c>
      <x:c r="E2574" s="12" t="n">
        <x:v>0.21650000000000003</x:v>
      </x:c>
      <x:c r="F2574" s="12" t="n">
        <x:v>0</x:v>
      </x:c>
      <x:c r="G2574" s="12" t="n">
        <x:v>0</x:v>
      </x:c>
      <x:c r="H2574" s="1" t="n">
        <x:f>'Historical prices'!E2574</x:f>
        <x:v>1.05</x:v>
      </x:c>
      <x:c r="I2574" s="6" t="n">
        <x:f>'Historical prices'!D2574</x:f>
        <x:v>0.1564</x:v>
      </x:c>
      <x:c r="J2574" s="13" t="n">
        <x:f>D2574*I2574*H2574</x:f>
        <x:v>0.033911430000000006</x:v>
      </x:c>
      <x:c r="K2574" s="13" t="n">
        <x:f>E2574*I2574*H2574</x:f>
        <x:v>0.03555363000000001</x:v>
      </x:c>
      <x:c r="L2574" s="1" t="str">
        <x:f>TEXT(A2574,"mmm yyyy")</x:f>
        <x:v>Jun 2026</x:v>
      </x:c>
    </x:row>
    <x:row r="2575" ht="21" customHeight="1">
      <x:c r="A2575" s="10" t="n">
        <x:v>46202</x:v>
      </x:c>
      <x:c r="B2575" s="1" t="n">
        <x:v>3.5</x:v>
      </x:c>
      <x:c r="C2575" s="1" t="n">
        <x:v>6</x:v>
      </x:c>
      <x:c r="D2575" s="12" t="n">
        <x:v>0.2309166666666667</x:v>
      </x:c>
      <x:c r="E2575" s="12" t="n">
        <x:v>0.2409166666666667</x:v>
      </x:c>
      <x:c r="F2575" s="12" t="n">
        <x:v>0</x:v>
      </x:c>
      <x:c r="G2575" s="12" t="n">
        <x:v>0</x:v>
      </x:c>
      <x:c r="H2575" s="1" t="n">
        <x:f>'Historical prices'!E2575</x:f>
        <x:v>1.05</x:v>
      </x:c>
      <x:c r="I2575" s="6" t="n">
        <x:f>'Historical prices'!D2575</x:f>
        <x:v>0.1548</x:v>
      </x:c>
      <x:c r="J2575" s="13" t="n">
        <x:f>D2575*I2575*H2575</x:f>
        <x:v>0.037533195000000005</x:v>
      </x:c>
      <x:c r="K2575" s="13" t="n">
        <x:f>E2575*I2575*H2575</x:f>
        <x:v>0.039158595000000004</x:v>
      </x:c>
      <x:c r="L2575" s="1" t="str">
        <x:f>TEXT(A2575,"mmm yyyy")</x:f>
        <x:v>Jun 2026</x:v>
      </x:c>
    </x:row>
    <x:row r="2576" ht="21" customHeight="1">
      <x:c r="A2576" s="10" t="n">
        <x:v>46202</x:v>
      </x:c>
      <x:c r="B2576" s="1" t="n">
        <x:v>4</x:v>
      </x:c>
      <x:c r="C2576" s="1" t="n">
        <x:v>6</x:v>
      </x:c>
      <x:c r="D2576" s="12" t="n">
        <x:v>0.2544166666666666</x:v>
      </x:c>
      <x:c r="E2576" s="12" t="n">
        <x:v>0.26541666666666663</x:v>
      </x:c>
      <x:c r="F2576" s="12" t="n">
        <x:v>0</x:v>
      </x:c>
      <x:c r="G2576" s="12" t="n">
        <x:v>0</x:v>
      </x:c>
      <x:c r="H2576" s="1" t="n">
        <x:f>'Historical prices'!E2576</x:f>
        <x:v>1.05</x:v>
      </x:c>
      <x:c r="I2576" s="6" t="n">
        <x:f>'Historical prices'!D2576</x:f>
        <x:v>0.1557</x:v>
      </x:c>
      <x:c r="J2576" s="13" t="n">
        <x:f>D2576*I2576*H2576</x:f>
        <x:v>0.041593308749999995</x:v>
      </x:c>
      <x:c r="K2576" s="13" t="n">
        <x:f>E2576*I2576*H2576</x:f>
        <x:v>0.04339164375</x:v>
      </x:c>
      <x:c r="L2576" s="1" t="str">
        <x:f>TEXT(A2576,"mmm yyyy")</x:f>
        <x:v>Jun 2026</x:v>
      </x:c>
    </x:row>
    <x:row r="2577" ht="21" customHeight="1">
      <x:c r="A2577" s="10" t="n">
        <x:v>46202</x:v>
      </x:c>
      <x:c r="B2577" s="1" t="n">
        <x:v>4.5</x:v>
      </x:c>
      <x:c r="C2577" s="1" t="n">
        <x:v>6</x:v>
      </x:c>
      <x:c r="D2577" s="12" t="n">
        <x:v>0.31683333333333336</x:v>
      </x:c>
      <x:c r="E2577" s="12" t="n">
        <x:v>0.32683333333333336</x:v>
      </x:c>
      <x:c r="F2577" s="12" t="n">
        <x:v>0</x:v>
      </x:c>
      <x:c r="G2577" s="12" t="n">
        <x:v>0</x:v>
      </x:c>
      <x:c r="H2577" s="1" t="n">
        <x:f>'Historical prices'!E2577</x:f>
        <x:v>1.05</x:v>
      </x:c>
      <x:c r="I2577" s="6" t="n">
        <x:f>'Historical prices'!D2577</x:f>
        <x:v>0.1539</x:v>
      </x:c>
      <x:c r="J2577" s="13" t="n">
        <x:f>D2577*I2577*H2577</x:f>
        <x:v>0.05119868250000001</x:v>
      </x:c>
      <x:c r="K2577" s="13" t="n">
        <x:f>E2577*I2577*H2577</x:f>
        <x:v>0.052814632500000014</x:v>
      </x:c>
      <x:c r="L2577" s="1" t="str">
        <x:f>TEXT(A2577,"mmm yyyy")</x:f>
        <x:v>Jun 2026</x:v>
      </x:c>
    </x:row>
    <x:row r="2578" ht="21" customHeight="1">
      <x:c r="A2578" s="10" t="n">
        <x:v>46202</x:v>
      </x:c>
      <x:c r="B2578" s="1" t="n">
        <x:v>5</x:v>
      </x:c>
      <x:c r="C2578" s="1" t="n">
        <x:v>6</x:v>
      </x:c>
      <x:c r="D2578" s="12" t="n">
        <x:v>0.24033333333333334</x:v>
      </x:c>
      <x:c r="E2578" s="12" t="n">
        <x:v>0.25133333333333335</x:v>
      </x:c>
      <x:c r="F2578" s="12" t="n">
        <x:v>0</x:v>
      </x:c>
      <x:c r="G2578" s="12" t="n">
        <x:v>0</x:v>
      </x:c>
      <x:c r="H2578" s="1" t="n">
        <x:f>'Historical prices'!E2578</x:f>
        <x:v>1.05</x:v>
      </x:c>
      <x:c r="I2578" s="6" t="n">
        <x:f>'Historical prices'!D2578</x:f>
        <x:v>0.1646</x:v>
      </x:c>
      <x:c r="J2578" s="13" t="n">
        <x:f>D2578*I2578*H2578</x:f>
        <x:v>0.04153681</x:v>
      </x:c>
      <x:c r="K2578" s="13" t="n">
        <x:f>E2578*I2578*H2578</x:f>
        <x:v>0.04343794</x:v>
      </x:c>
      <x:c r="L2578" s="1" t="str">
        <x:f>TEXT(A2578,"mmm yyyy")</x:f>
        <x:v>Jun 2026</x:v>
      </x:c>
    </x:row>
    <x:row r="2579" ht="21" customHeight="1">
      <x:c r="A2579" s="10" t="n">
        <x:v>46202</x:v>
      </x:c>
      <x:c r="B2579" s="1" t="n">
        <x:v>5.5</x:v>
      </x:c>
      <x:c r="C2579" s="1" t="n">
        <x:v>6</x:v>
      </x:c>
      <x:c r="D2579" s="12" t="n">
        <x:v>0.20833333333333334</x:v>
      </x:c>
      <x:c r="E2579" s="12" t="n">
        <x:v>0.21933333333333335</x:v>
      </x:c>
      <x:c r="F2579" s="12" t="n">
        <x:v>0</x:v>
      </x:c>
      <x:c r="G2579" s="12" t="n">
        <x:v>0</x:v>
      </x:c>
      <x:c r="H2579" s="1" t="n">
        <x:f>'Historical prices'!E2579</x:f>
        <x:v>1.05</x:v>
      </x:c>
      <x:c r="I2579" s="6" t="n">
        <x:f>'Historical prices'!D2579</x:f>
        <x:v>0.16820000000000002</x:v>
      </x:c>
      <x:c r="J2579" s="13" t="n">
        <x:f>D2579*I2579*H2579</x:f>
        <x:v>0.03679375000000001</x:v>
      </x:c>
      <x:c r="K2579" s="13" t="n">
        <x:f>E2579*I2579*H2579</x:f>
        <x:v>0.038736460000000014</x:v>
      </x:c>
      <x:c r="L2579" s="1" t="str">
        <x:f>TEXT(A2579,"mmm yyyy")</x:f>
        <x:v>Jun 2026</x:v>
      </x:c>
    </x:row>
    <x:row r="2580" ht="21" customHeight="1">
      <x:c r="A2580" s="10" t="n">
        <x:v>46202</x:v>
      </x:c>
      <x:c r="B2580" s="1" t="n">
        <x:v>6</x:v>
      </x:c>
      <x:c r="C2580" s="1" t="n">
        <x:v>6</x:v>
      </x:c>
      <x:c r="D2580" s="12" t="n">
        <x:v>0.024666666666666667</x:v>
      </x:c>
      <x:c r="E2580" s="12" t="n">
        <x:v>0.3663333333333333</x:v>
      </x:c>
      <x:c r="F2580" s="12" t="n">
        <x:v>0.34041666666666665</x:v>
      </x:c>
      <x:c r="G2580" s="12" t="n">
        <x:v>0</x:v>
      </x:c>
      <x:c r="H2580" s="1" t="n">
        <x:f>'Historical prices'!E2580</x:f>
        <x:v>1.05</x:v>
      </x:c>
      <x:c r="I2580" s="6" t="n">
        <x:f>'Historical prices'!D2580</x:f>
        <x:v>0.1925</x:v>
      </x:c>
      <x:c r="J2580" s="13" t="n">
        <x:f>D2580*I2580*H2580</x:f>
        <x:v>0.004985750000000001</x:v>
      </x:c>
      <x:c r="K2580" s="13" t="n">
        <x:f>E2580*I2580*H2580</x:f>
        <x:v>0.074045125</x:v>
      </x:c>
      <x:c r="L2580" s="1" t="str">
        <x:f>TEXT(A2580,"mmm yyyy")</x:f>
        <x:v>Jun 2026</x:v>
      </x:c>
    </x:row>
    <x:row r="2581" ht="21" customHeight="1">
      <x:c r="A2581" s="10" t="n">
        <x:v>46202</x:v>
      </x:c>
      <x:c r="B2581" s="1" t="n">
        <x:v>6.5</x:v>
      </x:c>
      <x:c r="C2581" s="1" t="n">
        <x:v>6</x:v>
      </x:c>
      <x:c r="D2581" s="12" t="n">
        <x:v>0</x:v>
      </x:c>
      <x:c r="E2581" s="12" t="n">
        <x:v>0.605</x:v>
      </x:c>
      <x:c r="F2581" s="12" t="n">
        <x:v>0.6045</x:v>
      </x:c>
      <x:c r="G2581" s="12" t="n">
        <x:v>0</x:v>
      </x:c>
      <x:c r="H2581" s="1" t="n">
        <x:f>'Historical prices'!E2581</x:f>
        <x:v>1.05</x:v>
      </x:c>
      <x:c r="I2581" s="6" t="n">
        <x:f>'Historical prices'!D2581</x:f>
        <x:v>0.2079</x:v>
      </x:c>
      <x:c r="J2581" s="13" t="n">
        <x:f>D2581*I2581*H2581</x:f>
        <x:v>0</x:v>
      </x:c>
      <x:c r="K2581" s="13" t="n">
        <x:f>E2581*I2581*H2581</x:f>
        <x:v>0.132068475</x:v>
      </x:c>
      <x:c r="L2581" s="1" t="str">
        <x:f>TEXT(A2581,"mmm yyyy")</x:f>
        <x:v>Jun 2026</x:v>
      </x:c>
    </x:row>
    <x:row r="2582" ht="21" customHeight="1">
      <x:c r="A2582" s="10" t="n">
        <x:v>46202</x:v>
      </x:c>
      <x:c r="B2582" s="1" t="n">
        <x:v>7</x:v>
      </x:c>
      <x:c r="C2582" s="1" t="n">
        <x:v>6</x:v>
      </x:c>
      <x:c r="D2582" s="12" t="n">
        <x:v>0</x:v>
      </x:c>
      <x:c r="E2582" s="12" t="n">
        <x:v>0.662</x:v>
      </x:c>
      <x:c r="F2582" s="12" t="n">
        <x:v>0.6614166666666667</x:v>
      </x:c>
      <x:c r="G2582" s="12" t="n">
        <x:v>0</x:v>
      </x:c>
      <x:c r="H2582" s="1" t="n">
        <x:f>'Historical prices'!E2582</x:f>
        <x:v>1.05</x:v>
      </x:c>
      <x:c r="I2582" s="6" t="n">
        <x:f>'Historical prices'!D2582</x:f>
        <x:v>0.1788</x:v>
      </x:c>
      <x:c r="J2582" s="13" t="n">
        <x:f>D2582*I2582*H2582</x:f>
        <x:v>0</x:v>
      </x:c>
      <x:c r="K2582" s="13" t="n">
        <x:f>E2582*I2582*H2582</x:f>
        <x:v>0.12428388000000001</x:v>
      </x:c>
      <x:c r="L2582" s="1" t="str">
        <x:f>TEXT(A2582,"mmm yyyy")</x:f>
        <x:v>Jun 2026</x:v>
      </x:c>
    </x:row>
    <x:row r="2583" ht="21" customHeight="1">
      <x:c r="A2583" s="10" t="n">
        <x:v>46202</x:v>
      </x:c>
      <x:c r="B2583" s="1" t="n">
        <x:v>7.5</x:v>
      </x:c>
      <x:c r="C2583" s="1" t="n">
        <x:v>6</x:v>
      </x:c>
      <x:c r="D2583" s="12" t="n">
        <x:v>0</x:v>
      </x:c>
      <x:c r="E2583" s="12" t="n">
        <x:v>1.1859166666666667</x:v>
      </x:c>
      <x:c r="F2583" s="12" t="n">
        <x:v>1.1854166666666666</x:v>
      </x:c>
      <x:c r="G2583" s="12" t="n">
        <x:v>0</x:v>
      </x:c>
      <x:c r="H2583" s="1" t="n">
        <x:f>'Historical prices'!E2583</x:f>
        <x:v>1.05</x:v>
      </x:c>
      <x:c r="I2583" s="6" t="n">
        <x:f>'Historical prices'!D2583</x:f>
        <x:v>0.195</x:v>
      </x:c>
      <x:c r="J2583" s="13" t="n">
        <x:f>D2583*I2583*H2583</x:f>
        <x:v>0</x:v>
      </x:c>
      <x:c r="K2583" s="13" t="n">
        <x:f>E2583*I2583*H2583</x:f>
        <x:v>0.2428164375</x:v>
      </x:c>
      <x:c r="L2583" s="1" t="str">
        <x:f>TEXT(A2583,"mmm yyyy")</x:f>
        <x:v>Jun 2026</x:v>
      </x:c>
    </x:row>
    <x:row r="2584" ht="21" customHeight="1">
      <x:c r="A2584" s="10" t="n">
        <x:v>46202</x:v>
      </x:c>
      <x:c r="B2584" s="1" t="n">
        <x:v>8</x:v>
      </x:c>
      <x:c r="C2584" s="1" t="n">
        <x:v>6</x:v>
      </x:c>
      <x:c r="D2584" s="12" t="n">
        <x:v>0.3675833333333333</x:v>
      </x:c>
      <x:c r="E2584" s="12" t="n">
        <x:v>0.4773333333333333</x:v>
      </x:c>
      <x:c r="F2584" s="12" t="n">
        <x:v>0.09875</x:v>
      </x:c>
      <x:c r="G2584" s="12" t="n">
        <x:v>0</x:v>
      </x:c>
      <x:c r="H2584" s="1" t="n">
        <x:f>'Historical prices'!E2584</x:f>
        <x:v>1.05</x:v>
      </x:c>
      <x:c r="I2584" s="6" t="n">
        <x:f>'Historical prices'!D2584</x:f>
        <x:v>0.1728</x:v>
      </x:c>
      <x:c r="J2584" s="13" t="n">
        <x:f>D2584*I2584*H2584</x:f>
        <x:v>0.06669432</x:v>
      </x:c>
      <x:c r="K2584" s="13" t="n">
        <x:f>E2584*I2584*H2584</x:f>
        <x:v>0.08660736</x:v>
      </x:c>
      <x:c r="L2584" s="1" t="str">
        <x:f>TEXT(A2584,"mmm yyyy")</x:f>
        <x:v>Jun 2026</x:v>
      </x:c>
    </x:row>
    <x:row r="2585" ht="21" customHeight="1">
      <x:c r="A2585" s="10" t="n">
        <x:v>46202</x:v>
      </x:c>
      <x:c r="B2585" s="1" t="n">
        <x:v>8.5</x:v>
      </x:c>
      <x:c r="C2585" s="1" t="n">
        <x:v>6</x:v>
      </x:c>
      <x:c r="D2585" s="12" t="n">
        <x:v>1.0015</x:v>
      </x:c>
      <x:c r="E2585" s="12" t="n">
        <x:v>1.0125</x:v>
      </x:c>
      <x:c r="F2585" s="12" t="n">
        <x:v>0</x:v>
      </x:c>
      <x:c r="G2585" s="12" t="n">
        <x:v>0</x:v>
      </x:c>
      <x:c r="H2585" s="1" t="n">
        <x:f>'Historical prices'!E2585</x:f>
        <x:v>1.05</x:v>
      </x:c>
      <x:c r="I2585" s="6" t="n">
        <x:f>'Historical prices'!D2585</x:f>
        <x:v>0.16820000000000002</x:v>
      </x:c>
      <x:c r="J2585" s="13" t="n">
        <x:f>D2585*I2585*H2585</x:f>
        <x:v>0.17687491500000005</x:v>
      </x:c>
      <x:c r="K2585" s="13" t="n">
        <x:f>E2585*I2585*H2585</x:f>
        <x:v>0.178817625</x:v>
      </x:c>
      <x:c r="L2585" s="1" t="str">
        <x:f>TEXT(A2585,"mmm yyyy")</x:f>
        <x:v>Jun 2026</x:v>
      </x:c>
    </x:row>
    <x:row r="2586" ht="21" customHeight="1">
      <x:c r="A2586" s="10" t="n">
        <x:v>46202</x:v>
      </x:c>
      <x:c r="B2586" s="1" t="n">
        <x:v>9</x:v>
      </x:c>
      <x:c r="C2586" s="1" t="n">
        <x:v>6</x:v>
      </x:c>
      <x:c r="D2586" s="12" t="n">
        <x:v>0.7345833333333334</x:v>
      </x:c>
      <x:c r="E2586" s="12" t="n">
        <x:v>0.7455833333333333</x:v>
      </x:c>
      <x:c r="F2586" s="12" t="n">
        <x:v>0</x:v>
      </x:c>
      <x:c r="G2586" s="12" t="n">
        <x:v>0</x:v>
      </x:c>
      <x:c r="H2586" s="1" t="n">
        <x:f>'Historical prices'!E2586</x:f>
        <x:v>1.05</x:v>
      </x:c>
      <x:c r="I2586" s="6" t="n">
        <x:f>'Historical prices'!D2586</x:f>
        <x:v>0.1734</x:v>
      </x:c>
      <x:c r="J2586" s="13" t="n">
        <x:f>D2586*I2586*H2586</x:f>
        <x:v>0.1337455875</x:v>
      </x:c>
      <x:c r="K2586" s="13" t="n">
        <x:f>E2586*I2586*H2586</x:f>
        <x:v>0.1357483575</x:v>
      </x:c>
      <x:c r="L2586" s="1" t="str">
        <x:f>TEXT(A2586,"mmm yyyy")</x:f>
        <x:v>Jun 2026</x:v>
      </x:c>
    </x:row>
    <x:row r="2587" ht="21" customHeight="1">
      <x:c r="A2587" s="10" t="n">
        <x:v>46202</x:v>
      </x:c>
      <x:c r="B2587" s="1" t="n">
        <x:v>9.5</x:v>
      </x:c>
      <x:c r="C2587" s="1" t="n">
        <x:v>6</x:v>
      </x:c>
      <x:c r="D2587" s="12" t="n">
        <x:v>1.722</x:v>
      </x:c>
      <x:c r="E2587" s="12" t="n">
        <x:v>1.733</x:v>
      </x:c>
      <x:c r="F2587" s="12" t="n">
        <x:v>0</x:v>
      </x:c>
      <x:c r="G2587" s="12" t="n">
        <x:v>0</x:v>
      </x:c>
      <x:c r="H2587" s="1" t="n">
        <x:f>'Historical prices'!E2587</x:f>
        <x:v>1.05</x:v>
      </x:c>
      <x:c r="I2587" s="6" t="n">
        <x:f>'Historical prices'!D2587</x:f>
        <x:v>0.16870000000000002</x:v>
      </x:c>
      <x:c r="J2587" s="13" t="n">
        <x:f>D2587*I2587*H2587</x:f>
        <x:v>0.30502647000000005</x:v>
      </x:c>
      <x:c r="K2587" s="13" t="n">
        <x:f>E2587*I2587*H2587</x:f>
        <x:v>0.30697495500000005</x:v>
      </x:c>
      <x:c r="L2587" s="1" t="str">
        <x:f>TEXT(A2587,"mmm yyyy")</x:f>
        <x:v>Jun 2026</x:v>
      </x:c>
    </x:row>
    <x:row r="2588" ht="21" customHeight="1">
      <x:c r="A2588" s="10" t="n">
        <x:v>46202</x:v>
      </x:c>
      <x:c r="B2588" s="1" t="n">
        <x:v>10</x:v>
      </x:c>
      <x:c r="C2588" s="1" t="n">
        <x:v>6</x:v>
      </x:c>
      <x:c r="D2588" s="12" t="n">
        <x:v>0.9879166666666668</x:v>
      </x:c>
      <x:c r="E2588" s="12" t="n">
        <x:v>0.9999166666666668</x:v>
      </x:c>
      <x:c r="F2588" s="12" t="n">
        <x:v>0</x:v>
      </x:c>
      <x:c r="G2588" s="12" t="n">
        <x:v>0</x:v>
      </x:c>
      <x:c r="H2588" s="1" t="n">
        <x:f>'Historical prices'!E2588</x:f>
        <x:v>1.05</x:v>
      </x:c>
      <x:c r="I2588" s="6" t="n">
        <x:f>'Historical prices'!D2588</x:f>
        <x:v>0.15</x:v>
      </x:c>
      <x:c r="J2588" s="13" t="n">
        <x:f>D2588*I2588*H2588</x:f>
        <x:v>0.155596875</x:v>
      </x:c>
      <x:c r="K2588" s="13" t="n">
        <x:f>E2588*I2588*H2588</x:f>
        <x:v>0.15748687500000003</x:v>
      </x:c>
      <x:c r="L2588" s="1" t="str">
        <x:f>TEXT(A2588,"mmm yyyy")</x:f>
        <x:v>Jun 2026</x:v>
      </x:c>
    </x:row>
    <x:row r="2589" ht="21" customHeight="1">
      <x:c r="A2589" s="10" t="n">
        <x:v>46202</x:v>
      </x:c>
      <x:c r="B2589" s="1" t="n">
        <x:v>10.5</x:v>
      </x:c>
      <x:c r="C2589" s="1" t="n">
        <x:v>6</x:v>
      </x:c>
      <x:c r="D2589" s="12" t="n">
        <x:v>0.5266666666666666</x:v>
      </x:c>
      <x:c r="E2589" s="12" t="n">
        <x:v>0.5366666666666666</x:v>
      </x:c>
      <x:c r="F2589" s="12" t="n">
        <x:v>0</x:v>
      </x:c>
      <x:c r="G2589" s="12" t="n">
        <x:v>0</x:v>
      </x:c>
      <x:c r="H2589" s="1" t="n">
        <x:f>'Historical prices'!E2589</x:f>
        <x:v>1.05</x:v>
      </x:c>
      <x:c r="I2589" s="6" t="n">
        <x:f>'Historical prices'!D2589</x:f>
        <x:v>0.1512</x:v>
      </x:c>
      <x:c r="J2589" s="13" t="n">
        <x:f>D2589*I2589*H2589</x:f>
        <x:v>0.0836136</x:v>
      </x:c>
      <x:c r="K2589" s="13" t="n">
        <x:f>E2589*I2589*H2589</x:f>
        <x:v>0.08520119999999999</x:v>
      </x:c>
      <x:c r="L2589" s="1" t="str">
        <x:f>TEXT(A2589,"mmm yyyy")</x:f>
        <x:v>Jun 2026</x:v>
      </x:c>
    </x:row>
    <x:row r="2590" ht="21" customHeight="1">
      <x:c r="A2590" s="10" t="n">
        <x:v>46202</x:v>
      </x:c>
      <x:c r="B2590" s="1" t="n">
        <x:v>11</x:v>
      </x:c>
      <x:c r="C2590" s="1" t="n">
        <x:v>6</x:v>
      </x:c>
      <x:c r="D2590" s="12" t="n">
        <x:v>0.277</x:v>
      </x:c>
      <x:c r="E2590" s="12" t="n">
        <x:v>0.4249166666666667</x:v>
      </x:c>
      <x:c r="F2590" s="12" t="n">
        <x:v>0.13491666666666668</x:v>
      </x:c>
      <x:c r="G2590" s="12" t="n">
        <x:v>0</x:v>
      </x:c>
      <x:c r="H2590" s="1" t="n">
        <x:f>'Historical prices'!E2590</x:f>
        <x:v>1.05</x:v>
      </x:c>
      <x:c r="I2590" s="6" t="n">
        <x:f>'Historical prices'!D2590</x:f>
        <x:v>0.1416</x:v>
      </x:c>
      <x:c r="J2590" s="13" t="n">
        <x:f>D2590*I2590*H2590</x:f>
        <x:v>0.04118436000000001</x:v>
      </x:c>
      <x:c r="K2590" s="13" t="n">
        <x:f>E2590*I2590*H2590</x:f>
        <x:v>0.06317661000000002</x:v>
      </x:c>
      <x:c r="L2590" s="1" t="str">
        <x:f>TEXT(A2590,"mmm yyyy")</x:f>
        <x:v>Jun 2026</x:v>
      </x:c>
    </x:row>
    <x:row r="2591" ht="21" customHeight="1">
      <x:c r="A2591" s="10" t="n">
        <x:v>46202</x:v>
      </x:c>
      <x:c r="B2591" s="1" t="n">
        <x:v>11.5</x:v>
      </x:c>
      <x:c r="C2591" s="1" t="n">
        <x:v>6</x:v>
      </x:c>
      <x:c r="D2591" s="12" t="n">
        <x:v>0</x:v>
      </x:c>
      <x:c r="E2591" s="12" t="n">
        <x:v>0.46775000000000005</x:v>
      </x:c>
      <x:c r="F2591" s="12" t="n">
        <x:v>0.46758333333333335</x:v>
      </x:c>
      <x:c r="G2591" s="12" t="n">
        <x:v>0</x:v>
      </x:c>
      <x:c r="H2591" s="1" t="n">
        <x:f>'Historical prices'!E2591</x:f>
        <x:v>1.05</x:v>
      </x:c>
      <x:c r="I2591" s="6" t="n">
        <x:f>'Historical prices'!D2591</x:f>
        <x:v>0.1387</x:v>
      </x:c>
      <x:c r="J2591" s="13" t="n">
        <x:f>D2591*I2591*H2591</x:f>
        <x:v>0</x:v>
      </x:c>
      <x:c r="K2591" s="13" t="n">
        <x:f>E2591*I2591*H2591</x:f>
        <x:v>0.06812077125</x:v>
      </x:c>
      <x:c r="L2591" s="1" t="str">
        <x:f>TEXT(A2591,"mmm yyyy")</x:f>
        <x:v>Jun 2026</x:v>
      </x:c>
    </x:row>
    <x:row r="2592" ht="21" customHeight="1">
      <x:c r="A2592" s="10" t="n">
        <x:v>46202</x:v>
      </x:c>
      <x:c r="B2592" s="1" t="n">
        <x:v>12</x:v>
      </x:c>
      <x:c r="C2592" s="1" t="n">
        <x:v>6</x:v>
      </x:c>
      <x:c r="D2592" s="12" t="n">
        <x:v>0</x:v>
      </x:c>
      <x:c r="E2592" s="12" t="n">
        <x:v>0.47008333333333335</x:v>
      </x:c>
      <x:c r="F2592" s="12" t="n">
        <x:v>0.46975000000000006</x:v>
      </x:c>
      <x:c r="G2592" s="12" t="n">
        <x:v>0</x:v>
      </x:c>
      <x:c r="H2592" s="1" t="n">
        <x:f>'Historical prices'!E2592</x:f>
        <x:v>1.05</x:v>
      </x:c>
      <x:c r="I2592" s="6" t="n">
        <x:f>'Historical prices'!D2592</x:f>
        <x:v>0.1388</x:v>
      </x:c>
      <x:c r="J2592" s="13" t="n">
        <x:f>D2592*I2592*H2592</x:f>
        <x:v>0</x:v>
      </x:c>
      <x:c r="K2592" s="13" t="n">
        <x:f>E2592*I2592*H2592</x:f>
        <x:v>0.06850994500000002</x:v>
      </x:c>
      <x:c r="L2592" s="1" t="str">
        <x:f>TEXT(A2592,"mmm yyyy")</x:f>
        <x:v>Jun 2026</x:v>
      </x:c>
    </x:row>
    <x:row r="2593" ht="21" customHeight="1">
      <x:c r="A2593" s="10" t="n">
        <x:v>46202</x:v>
      </x:c>
      <x:c r="B2593" s="1" t="n">
        <x:v>12.5</x:v>
      </x:c>
      <x:c r="C2593" s="1" t="n">
        <x:v>6</x:v>
      </x:c>
      <x:c r="D2593" s="12" t="n">
        <x:v>0</x:v>
      </x:c>
      <x:c r="E2593" s="12" t="n">
        <x:v>0.43975000000000003</x:v>
      </x:c>
      <x:c r="F2593" s="12" t="n">
        <x:v>0.4395</x:v>
      </x:c>
      <x:c r="G2593" s="12" t="n">
        <x:v>0</x:v>
      </x:c>
      <x:c r="H2593" s="1" t="n">
        <x:f>'Historical prices'!E2593</x:f>
        <x:v>1.05</x:v>
      </x:c>
      <x:c r="I2593" s="6" t="n">
        <x:f>'Historical prices'!D2593</x:f>
        <x:v>0.1378</x:v>
      </x:c>
      <x:c r="J2593" s="13" t="n">
        <x:f>D2593*I2593*H2593</x:f>
        <x:v>0</x:v>
      </x:c>
      <x:c r="K2593" s="13" t="n">
        <x:f>E2593*I2593*H2593</x:f>
        <x:v>0.06362742750000001</x:v>
      </x:c>
      <x:c r="L2593" s="1" t="str">
        <x:f>TEXT(A2593,"mmm yyyy")</x:f>
        <x:v>Jun 2026</x:v>
      </x:c>
    </x:row>
    <x:row r="2594" ht="21" customHeight="1">
      <x:c r="A2594" s="10" t="n">
        <x:v>46202</x:v>
      </x:c>
      <x:c r="B2594" s="1" t="n">
        <x:v>13</x:v>
      </x:c>
      <x:c r="C2594" s="1" t="n">
        <x:v>6</x:v>
      </x:c>
      <x:c r="D2594" s="12" t="n">
        <x:v>0</x:v>
      </x:c>
      <x:c r="E2594" s="12" t="n">
        <x:v>0.455</x:v>
      </x:c>
      <x:c r="F2594" s="12" t="n">
        <x:v>0.45483333333333337</x:v>
      </x:c>
      <x:c r="G2594" s="12" t="n">
        <x:v>0</x:v>
      </x:c>
      <x:c r="H2594" s="1" t="n">
        <x:f>'Historical prices'!E2594</x:f>
        <x:v>1.05</x:v>
      </x:c>
      <x:c r="I2594" s="6" t="n">
        <x:f>'Historical prices'!D2594</x:f>
        <x:v>0.1388</x:v>
      </x:c>
      <x:c r="J2594" s="13" t="n">
        <x:f>D2594*I2594*H2594</x:f>
        <x:v>0</x:v>
      </x:c>
      <x:c r="K2594" s="13" t="n">
        <x:f>E2594*I2594*H2594</x:f>
        <x:v>0.0663117</x:v>
      </x:c>
      <x:c r="L2594" s="1" t="str">
        <x:f>TEXT(A2594,"mmm yyyy")</x:f>
        <x:v>Jun 2026</x:v>
      </x:c>
    </x:row>
    <x:row r="2595" ht="21" customHeight="1">
      <x:c r="A2595" s="10" t="n">
        <x:v>46202</x:v>
      </x:c>
      <x:c r="B2595" s="1" t="n">
        <x:v>13.5</x:v>
      </x:c>
      <x:c r="C2595" s="1" t="n">
        <x:v>6</x:v>
      </x:c>
      <x:c r="D2595" s="12" t="n">
        <x:v>0</x:v>
      </x:c>
      <x:c r="E2595" s="12" t="n">
        <x:v>0.4718333333333334</x:v>
      </x:c>
      <x:c r="F2595" s="12" t="n">
        <x:v>0.4715000000000001</x:v>
      </x:c>
      <x:c r="G2595" s="12" t="n">
        <x:v>0</x:v>
      </x:c>
      <x:c r="H2595" s="1" t="n">
        <x:f>'Historical prices'!E2595</x:f>
        <x:v>1.05</x:v>
      </x:c>
      <x:c r="I2595" s="6" t="n">
        <x:f>'Historical prices'!D2595</x:f>
        <x:v>0.1408</x:v>
      </x:c>
      <x:c r="J2595" s="13" t="n">
        <x:f>D2595*I2595*H2595</x:f>
        <x:v>0</x:v>
      </x:c>
      <x:c r="K2595" s="13" t="n">
        <x:f>E2595*I2595*H2595</x:f>
        <x:v>0.06975584000000001</x:v>
      </x:c>
      <x:c r="L2595" s="1" t="str">
        <x:f>TEXT(A2595,"mmm yyyy")</x:f>
        <x:v>Jun 2026</x:v>
      </x:c>
    </x:row>
    <x:row r="2596" ht="21" customHeight="1">
      <x:c r="A2596" s="10" t="n">
        <x:v>46202</x:v>
      </x:c>
      <x:c r="B2596" s="1" t="n">
        <x:v>14</x:v>
      </x:c>
      <x:c r="C2596" s="1" t="n">
        <x:v>6</x:v>
      </x:c>
      <x:c r="D2596" s="12" t="n">
        <x:v>0</x:v>
      </x:c>
      <x:c r="E2596" s="12" t="n">
        <x:v>0.4931666666666667</x:v>
      </x:c>
      <x:c r="F2596" s="12" t="n">
        <x:v>0.49283333333333335</x:v>
      </x:c>
      <x:c r="G2596" s="12" t="n">
        <x:v>0</x:v>
      </x:c>
      <x:c r="H2596" s="1" t="n">
        <x:f>'Historical prices'!E2596</x:f>
        <x:v>1.05</x:v>
      </x:c>
      <x:c r="I2596" s="6" t="n">
        <x:f>'Historical prices'!D2596</x:f>
        <x:v>0.1558</x:v>
      </x:c>
      <x:c r="J2596" s="13" t="n">
        <x:f>D2596*I2596*H2596</x:f>
        <x:v>0</x:v>
      </x:c>
      <x:c r="K2596" s="13" t="n">
        <x:f>E2596*I2596*H2596</x:f>
        <x:v>0.08067713500000001</x:v>
      </x:c>
      <x:c r="L2596" s="1" t="str">
        <x:f>TEXT(A2596,"mmm yyyy")</x:f>
        <x:v>Jun 2026</x:v>
      </x:c>
    </x:row>
    <x:row r="2597" ht="21" customHeight="1">
      <x:c r="A2597" s="10" t="n">
        <x:v>46202</x:v>
      </x:c>
      <x:c r="B2597" s="1" t="n">
        <x:v>14.5</x:v>
      </x:c>
      <x:c r="C2597" s="1" t="n">
        <x:v>6</x:v>
      </x:c>
      <x:c r="D2597" s="12" t="n">
        <x:v>0</x:v>
      </x:c>
      <x:c r="E2597" s="12" t="n">
        <x:v>0.5188333333333334</x:v>
      </x:c>
      <x:c r="F2597" s="12" t="n">
        <x:v>0.5188333333333334</x:v>
      </x:c>
      <x:c r="G2597" s="12" t="n">
        <x:v>0</x:v>
      </x:c>
      <x:c r="H2597" s="1" t="n">
        <x:f>'Historical prices'!E2597</x:f>
        <x:v>1.05</x:v>
      </x:c>
      <x:c r="I2597" s="6" t="n">
        <x:f>'Historical prices'!D2597</x:f>
        <x:v>0.15810000000000002</x:v>
      </x:c>
      <x:c r="J2597" s="13" t="n">
        <x:f>D2597*I2597*H2597</x:f>
        <x:v>0</x:v>
      </x:c>
      <x:c r="K2597" s="13" t="n">
        <x:f>E2597*I2597*H2597</x:f>
        <x:v>0.08612892750000002</x:v>
      </x:c>
      <x:c r="L2597" s="1" t="str">
        <x:f>TEXT(A2597,"mmm yyyy")</x:f>
        <x:v>Jun 2026</x:v>
      </x:c>
    </x:row>
    <x:row r="2598" ht="21" customHeight="1">
      <x:c r="A2598" s="10" t="n">
        <x:v>46202</x:v>
      </x:c>
      <x:c r="B2598" s="1" t="n">
        <x:v>15</x:v>
      </x:c>
      <x:c r="C2598" s="1" t="n">
        <x:v>6</x:v>
      </x:c>
      <x:c r="D2598" s="12" t="n">
        <x:v>0</x:v>
      </x:c>
      <x:c r="E2598" s="12" t="n">
        <x:v>0.43625</x:v>
      </x:c>
      <x:c r="F2598" s="12" t="n">
        <x:v>0.43600000000000005</x:v>
      </x:c>
      <x:c r="G2598" s="12" t="n">
        <x:v>0</x:v>
      </x:c>
      <x:c r="H2598" s="1" t="n">
        <x:f>'Historical prices'!E2598</x:f>
        <x:v>1.05</x:v>
      </x:c>
      <x:c r="I2598" s="6" t="n">
        <x:f>'Historical prices'!D2598</x:f>
        <x:v>0.1659</x:v>
      </x:c>
      <x:c r="J2598" s="13" t="n">
        <x:f>D2598*I2598*H2598</x:f>
        <x:v>0</x:v>
      </x:c>
      <x:c r="K2598" s="13" t="n">
        <x:f>E2598*I2598*H2598</x:f>
        <x:v>0.07599256875</x:v>
      </x:c>
      <x:c r="L2598" s="1" t="str">
        <x:f>TEXT(A2598,"mmm yyyy")</x:f>
        <x:v>Jun 2026</x:v>
      </x:c>
    </x:row>
    <x:row r="2599" ht="21" customHeight="1">
      <x:c r="A2599" s="10" t="n">
        <x:v>46202</x:v>
      </x:c>
      <x:c r="B2599" s="1" t="n">
        <x:v>15.5</x:v>
      </x:c>
      <x:c r="C2599" s="1" t="n">
        <x:v>6</x:v>
      </x:c>
      <x:c r="D2599" s="12" t="n">
        <x:v>0</x:v>
      </x:c>
      <x:c r="E2599" s="12" t="n">
        <x:v>0.617</x:v>
      </x:c>
      <x:c r="F2599" s="12" t="n">
        <x:v>0.6169166666666667</x:v>
      </x:c>
      <x:c r="G2599" s="12" t="n">
        <x:v>0</x:v>
      </x:c>
      <x:c r="H2599" s="1" t="n">
        <x:f>'Historical prices'!E2599</x:f>
        <x:v>1.05</x:v>
      </x:c>
      <x:c r="I2599" s="6" t="n">
        <x:f>'Historical prices'!D2599</x:f>
        <x:v>0.1663</x:v>
      </x:c>
      <x:c r="J2599" s="13" t="n">
        <x:f>D2599*I2599*H2599</x:f>
        <x:v>0</x:v>
      </x:c>
      <x:c r="K2599" s="13" t="n">
        <x:f>E2599*I2599*H2599</x:f>
        <x:v>0.10773745500000001</x:v>
      </x:c>
      <x:c r="L2599" s="1" t="str">
        <x:f>TEXT(A2599,"mmm yyyy")</x:f>
        <x:v>Jun 2026</x:v>
      </x:c>
    </x:row>
    <x:row r="2600" ht="21" customHeight="1">
      <x:c r="A2600" s="10" t="n">
        <x:v>46202</x:v>
      </x:c>
      <x:c r="B2600" s="1" t="n">
        <x:v>16</x:v>
      </x:c>
      <x:c r="C2600" s="1" t="n">
        <x:v>6</x:v>
      </x:c>
      <x:c r="D2600" s="12" t="n">
        <x:v>0</x:v>
      </x:c>
      <x:c r="E2600" s="12" t="n">
        <x:v>1.14875</x:v>
      </x:c>
      <x:c r="F2600" s="12" t="n">
        <x:v>1.1484999999999999</x:v>
      </x:c>
      <x:c r="G2600" s="12" t="n">
        <x:v>0</x:v>
      </x:c>
      <x:c r="H2600" s="1" t="n">
        <x:f>'Historical prices'!E2600</x:f>
        <x:v>1.05</x:v>
      </x:c>
      <x:c r="I2600" s="6" t="n">
        <x:f>'Historical prices'!D2600</x:f>
        <x:v>0.3046</x:v>
      </x:c>
      <x:c r="J2600" s="13" t="n">
        <x:f>D2600*I2600*H2600</x:f>
        <x:v>0</x:v>
      </x:c>
      <x:c r="K2600" s="13" t="n">
        <x:f>E2600*I2600*H2600</x:f>
        <x:v>0.36740471249999995</x:v>
      </x:c>
      <x:c r="L2600" s="1" t="str">
        <x:f>TEXT(A2600,"mmm yyyy")</x:f>
        <x:v>Jun 2026</x:v>
      </x:c>
    </x:row>
    <x:row r="2601" ht="21" customHeight="1">
      <x:c r="A2601" s="10" t="n">
        <x:v>46202</x:v>
      </x:c>
      <x:c r="B2601" s="1" t="n">
        <x:v>16.5</x:v>
      </x:c>
      <x:c r="C2601" s="1" t="n">
        <x:v>6</x:v>
      </x:c>
      <x:c r="D2601" s="12" t="n">
        <x:v>0</x:v>
      </x:c>
      <x:c r="E2601" s="12" t="n">
        <x:v>0.7718333333333334</x:v>
      </x:c>
      <x:c r="F2601" s="12" t="n">
        <x:v>0.7716666666666667</x:v>
      </x:c>
      <x:c r="G2601" s="12" t="n">
        <x:v>0</x:v>
      </x:c>
      <x:c r="H2601" s="1" t="n">
        <x:f>'Historical prices'!E2601</x:f>
        <x:v>1.05</x:v>
      </x:c>
      <x:c r="I2601" s="6" t="n">
        <x:f>'Historical prices'!D2601</x:f>
        <x:v>0.292</x:v>
      </x:c>
      <x:c r="J2601" s="13" t="n">
        <x:f>D2601*I2601*H2601</x:f>
        <x:v>0</x:v>
      </x:c>
      <x:c r="K2601" s="13" t="n">
        <x:f>E2601*I2601*H2601</x:f>
        <x:v>0.23664410000000002</x:v>
      </x:c>
      <x:c r="L2601" s="1" t="str">
        <x:f>TEXT(A2601,"mmm yyyy")</x:f>
        <x:v>Jun 2026</x:v>
      </x:c>
    </x:row>
    <x:row r="2602" ht="21" customHeight="1">
      <x:c r="A2602" s="10" t="n">
        <x:v>46202</x:v>
      </x:c>
      <x:c r="B2602" s="1" t="n">
        <x:v>17</x:v>
      </x:c>
      <x:c r="C2602" s="1" t="n">
        <x:v>6</x:v>
      </x:c>
      <x:c r="D2602" s="12" t="n">
        <x:v>0</x:v>
      </x:c>
      <x:c r="E2602" s="12" t="n">
        <x:v>0.6079999999999999</x:v>
      </x:c>
      <x:c r="F2602" s="12" t="n">
        <x:v>0.6078333333333332</x:v>
      </x:c>
      <x:c r="G2602" s="12" t="n">
        <x:v>0</x:v>
      </x:c>
      <x:c r="H2602" s="1" t="n">
        <x:f>'Historical prices'!E2602</x:f>
        <x:v>1.05</x:v>
      </x:c>
      <x:c r="I2602" s="6" t="n">
        <x:f>'Historical prices'!D2602</x:f>
        <x:v>0.32939999999999997</x:v>
      </x:c>
      <x:c r="J2602" s="13" t="n">
        <x:f>D2602*I2602*H2602</x:f>
        <x:v>0</x:v>
      </x:c>
      <x:c r="K2602" s="13" t="n">
        <x:f>E2602*I2602*H2602</x:f>
        <x:v>0.21028895999999994</x:v>
      </x:c>
      <x:c r="L2602" s="1" t="str">
        <x:f>TEXT(A2602,"mmm yyyy")</x:f>
        <x:v>Jun 2026</x:v>
      </x:c>
    </x:row>
    <x:row r="2603" ht="21" customHeight="1">
      <x:c r="A2603" s="10" t="n">
        <x:v>46202</x:v>
      </x:c>
      <x:c r="B2603" s="1" t="n">
        <x:v>17.5</x:v>
      </x:c>
      <x:c r="C2603" s="1" t="n">
        <x:v>6</x:v>
      </x:c>
      <x:c r="D2603" s="12" t="n">
        <x:v>0</x:v>
      </x:c>
      <x:c r="E2603" s="12" t="n">
        <x:v>0.5546666666666666</x:v>
      </x:c>
      <x:c r="F2603" s="12" t="n">
        <x:v>0.5545</x:v>
      </x:c>
      <x:c r="G2603" s="12" t="n">
        <x:v>0</x:v>
      </x:c>
      <x:c r="H2603" s="1" t="n">
        <x:f>'Historical prices'!E2603</x:f>
        <x:v>1.05</x:v>
      </x:c>
      <x:c r="I2603" s="6" t="n">
        <x:f>'Historical prices'!D2603</x:f>
        <x:v>0.3396</x:v>
      </x:c>
      <x:c r="J2603" s="13" t="n">
        <x:f>D2603*I2603*H2603</x:f>
        <x:v>0</x:v>
      </x:c>
      <x:c r="K2603" s="13" t="n">
        <x:f>E2603*I2603*H2603</x:f>
        <x:v>0.19778304000000002</x:v>
      </x:c>
      <x:c r="L2603" s="1" t="str">
        <x:f>TEXT(A2603,"mmm yyyy")</x:f>
        <x:v>Jun 2026</x:v>
      </x:c>
    </x:row>
    <x:row r="2604" ht="21" customHeight="1">
      <x:c r="A2604" s="10" t="n">
        <x:v>46202</x:v>
      </x:c>
      <x:c r="B2604" s="1" t="n">
        <x:v>18</x:v>
      </x:c>
      <x:c r="C2604" s="1" t="n">
        <x:v>6</x:v>
      </x:c>
      <x:c r="D2604" s="12" t="n">
        <x:v>0</x:v>
      </x:c>
      <x:c r="E2604" s="12" t="n">
        <x:v>0.6939166666666666</x:v>
      </x:c>
      <x:c r="F2604" s="12" t="n">
        <x:v>0.6936666666666667</x:v>
      </x:c>
      <x:c r="G2604" s="12" t="n">
        <x:v>0</x:v>
      </x:c>
      <x:c r="H2604" s="1" t="n">
        <x:f>'Historical prices'!E2604</x:f>
        <x:v>1.05</x:v>
      </x:c>
      <x:c r="I2604" s="6" t="n">
        <x:f>'Historical prices'!D2604</x:f>
        <x:v>0.42469999999999997</x:v>
      </x:c>
      <x:c r="J2604" s="13" t="n">
        <x:f>D2604*I2604*H2604</x:f>
        <x:v>0</x:v>
      </x:c>
      <x:c r="K2604" s="13" t="n">
        <x:f>E2604*I2604*H2604</x:f>
        <x:v>0.30944172875</x:v>
      </x:c>
      <x:c r="L2604" s="1" t="str">
        <x:f>TEXT(A2604,"mmm yyyy")</x:f>
        <x:v>Jun 2026</x:v>
      </x:c>
    </x:row>
    <x:row r="2605" ht="21" customHeight="1">
      <x:c r="A2605" s="10" t="n">
        <x:v>46202</x:v>
      </x:c>
      <x:c r="B2605" s="1" t="n">
        <x:v>18.5</x:v>
      </x:c>
      <x:c r="C2605" s="1" t="n">
        <x:v>6</x:v>
      </x:c>
      <x:c r="D2605" s="12" t="n">
        <x:v>0</x:v>
      </x:c>
      <x:c r="E2605" s="12" t="n">
        <x:v>0.8179166666666666</x:v>
      </x:c>
      <x:c r="F2605" s="12" t="n">
        <x:v>0.8176666666666668</x:v>
      </x:c>
      <x:c r="G2605" s="12" t="n">
        <x:v>0</x:v>
      </x:c>
      <x:c r="H2605" s="1" t="n">
        <x:f>'Historical prices'!E2605</x:f>
        <x:v>1.05</x:v>
      </x:c>
      <x:c r="I2605" s="6" t="n">
        <x:f>'Historical prices'!D2605</x:f>
        <x:v>0.4289</x:v>
      </x:c>
      <x:c r="J2605" s="13" t="n">
        <x:f>D2605*I2605*H2605</x:f>
        <x:v>0</x:v>
      </x:c>
      <x:c r="K2605" s="13" t="n">
        <x:f>E2605*I2605*H2605</x:f>
        <x:v>0.36834468125</x:v>
      </x:c>
      <x:c r="L2605" s="1" t="str">
        <x:f>TEXT(A2605,"mmm yyyy")</x:f>
        <x:v>Jun 2026</x:v>
      </x:c>
    </x:row>
    <x:row r="2606" ht="21" customHeight="1">
      <x:c r="A2606" s="10" t="n">
        <x:v>46202</x:v>
      </x:c>
      <x:c r="B2606" s="1" t="n">
        <x:v>19</x:v>
      </x:c>
      <x:c r="C2606" s="1" t="n">
        <x:v>6</x:v>
      </x:c>
      <x:c r="D2606" s="12" t="n">
        <x:v>0</x:v>
      </x:c>
      <x:c r="E2606" s="12" t="n">
        <x:v>0.5198333333333334</x:v>
      </x:c>
      <x:c r="F2606" s="12" t="n">
        <x:v>0.5195833333333334</x:v>
      </x:c>
      <x:c r="G2606" s="12" t="n">
        <x:v>0</x:v>
      </x:c>
      <x:c r="H2606" s="1" t="n">
        <x:f>'Historical prices'!E2606</x:f>
        <x:v>1.05</x:v>
      </x:c>
      <x:c r="I2606" s="6" t="n">
        <x:f>'Historical prices'!D2606</x:f>
        <x:v>0.319</x:v>
      </x:c>
      <x:c r="J2606" s="13" t="n">
        <x:f>D2606*I2606*H2606</x:f>
        <x:v>0</x:v>
      </x:c>
      <x:c r="K2606" s="13" t="n">
        <x:f>E2606*I2606*H2606</x:f>
        <x:v>0.17411817500000001</x:v>
      </x:c>
      <x:c r="L2606" s="1" t="str">
        <x:f>TEXT(A2606,"mmm yyyy")</x:f>
        <x:v>Jun 2026</x:v>
      </x:c>
    </x:row>
    <x:row r="2607" ht="21" customHeight="1">
      <x:c r="A2607" s="10" t="n">
        <x:v>46202</x:v>
      </x:c>
      <x:c r="B2607" s="1" t="n">
        <x:v>19.5</x:v>
      </x:c>
      <x:c r="C2607" s="1" t="n">
        <x:v>6</x:v>
      </x:c>
      <x:c r="D2607" s="12" t="n">
        <x:v>0</x:v>
      </x:c>
      <x:c r="E2607" s="12" t="n">
        <x:v>0.8395833333333335</x:v>
      </x:c>
      <x:c r="F2607" s="12" t="n">
        <x:v>0.8394166666666668</x:v>
      </x:c>
      <x:c r="G2607" s="12" t="n">
        <x:v>0</x:v>
      </x:c>
      <x:c r="H2607" s="1" t="n">
        <x:f>'Historical prices'!E2607</x:f>
        <x:v>1.05</x:v>
      </x:c>
      <x:c r="I2607" s="6" t="n">
        <x:f>'Historical prices'!D2607</x:f>
        <x:v>0.3236</x:v>
      </x:c>
      <x:c r="J2607" s="13" t="n">
        <x:f>D2607*I2607*H2607</x:f>
        <x:v>0</x:v>
      </x:c>
      <x:c r="K2607" s="13" t="n">
        <x:f>E2607*I2607*H2607</x:f>
        <x:v>0.28527362500000003</x:v>
      </x:c>
      <x:c r="L2607" s="1" t="str">
        <x:f>TEXT(A2607,"mmm yyyy")</x:f>
        <x:v>Jun 2026</x:v>
      </x:c>
    </x:row>
    <x:row r="2608" ht="21" customHeight="1">
      <x:c r="A2608" s="10" t="n">
        <x:v>46202</x:v>
      </x:c>
      <x:c r="B2608" s="1" t="n">
        <x:v>20</x:v>
      </x:c>
      <x:c r="C2608" s="1" t="n">
        <x:v>6</x:v>
      </x:c>
      <x:c r="D2608" s="12" t="n">
        <x:v>0</x:v>
      </x:c>
      <x:c r="E2608" s="12" t="n">
        <x:v>0.4886666666666667</x:v>
      </x:c>
      <x:c r="F2608" s="12" t="n">
        <x:v>0.48858333333333337</x:v>
      </x:c>
      <x:c r="G2608" s="12" t="n">
        <x:v>0</x:v>
      </x:c>
      <x:c r="H2608" s="1" t="n">
        <x:f>'Historical prices'!E2608</x:f>
        <x:v>1.05</x:v>
      </x:c>
      <x:c r="I2608" s="6" t="n">
        <x:f>'Historical prices'!D2608</x:f>
        <x:v>0.30510000000000004</x:v>
      </x:c>
      <x:c r="J2608" s="13" t="n">
        <x:f>D2608*I2608*H2608</x:f>
        <x:v>0</x:v>
      </x:c>
      <x:c r="K2608" s="13" t="n">
        <x:f>E2608*I2608*H2608</x:f>
        <x:v>0.15654681000000004</x:v>
      </x:c>
      <x:c r="L2608" s="1" t="str">
        <x:f>TEXT(A2608,"mmm yyyy")</x:f>
        <x:v>Jun 2026</x:v>
      </x:c>
    </x:row>
    <x:row r="2609" ht="21" customHeight="1">
      <x:c r="A2609" s="10" t="n">
        <x:v>46202</x:v>
      </x:c>
      <x:c r="B2609" s="1" t="n">
        <x:v>20.5</x:v>
      </x:c>
      <x:c r="C2609" s="1" t="n">
        <x:v>6</x:v>
      </x:c>
      <x:c r="D2609" s="12" t="n">
        <x:v>0</x:v>
      </x:c>
      <x:c r="E2609" s="12" t="n">
        <x:v>0.5376666666666666</x:v>
      </x:c>
      <x:c r="F2609" s="12" t="n">
        <x:v>0.5375833333333333</x:v>
      </x:c>
      <x:c r="G2609" s="12" t="n">
        <x:v>0</x:v>
      </x:c>
      <x:c r="H2609" s="1" t="n">
        <x:f>'Historical prices'!E2609</x:f>
        <x:v>1.05</x:v>
      </x:c>
      <x:c r="I2609" s="6" t="n">
        <x:f>'Historical prices'!D2609</x:f>
        <x:v>0.2983</x:v>
      </x:c>
      <x:c r="J2609" s="13" t="n">
        <x:f>D2609*I2609*H2609</x:f>
        <x:v>0</x:v>
      </x:c>
      <x:c r="K2609" s="13" t="n">
        <x:f>E2609*I2609*H2609</x:f>
        <x:v>0.168405265</x:v>
      </x:c>
      <x:c r="L2609" s="1" t="str">
        <x:f>TEXT(A2609,"mmm yyyy")</x:f>
        <x:v>Jun 2026</x:v>
      </x:c>
    </x:row>
    <x:row r="2610" ht="21" customHeight="1">
      <x:c r="A2610" s="10" t="n">
        <x:v>46202</x:v>
      </x:c>
      <x:c r="B2610" s="1" t="n">
        <x:v>21</x:v>
      </x:c>
      <x:c r="C2610" s="1" t="n">
        <x:v>6</x:v>
      </x:c>
      <x:c r="D2610" s="12" t="n">
        <x:v>0</x:v>
      </x:c>
      <x:c r="E2610" s="12" t="n">
        <x:v>0.449</x:v>
      </x:c>
      <x:c r="F2610" s="12" t="n">
        <x:v>0.44858333333333333</x:v>
      </x:c>
      <x:c r="G2610" s="12" t="n">
        <x:v>0</x:v>
      </x:c>
      <x:c r="H2610" s="1" t="n">
        <x:f>'Historical prices'!E2610</x:f>
        <x:v>1.05</x:v>
      </x:c>
      <x:c r="I2610" s="6" t="n">
        <x:f>'Historical prices'!D2610</x:f>
        <x:v>0.2994</x:v>
      </x:c>
      <x:c r="J2610" s="13" t="n">
        <x:f>D2610*I2610*H2610</x:f>
        <x:v>0</x:v>
      </x:c>
      <x:c r="K2610" s="13" t="n">
        <x:f>E2610*I2610*H2610</x:f>
        <x:v>0.14115213000000001</x:v>
      </x:c>
      <x:c r="L2610" s="1" t="str">
        <x:f>TEXT(A2610,"mmm yyyy")</x:f>
        <x:v>Jun 2026</x:v>
      </x:c>
    </x:row>
    <x:row r="2611" ht="21" customHeight="1">
      <x:c r="A2611" s="10" t="n">
        <x:v>46202</x:v>
      </x:c>
      <x:c r="B2611" s="1" t="n">
        <x:v>21.5</x:v>
      </x:c>
      <x:c r="C2611" s="1" t="n">
        <x:v>6</x:v>
      </x:c>
      <x:c r="D2611" s="12" t="n">
        <x:v>0</x:v>
      </x:c>
      <x:c r="E2611" s="12" t="n">
        <x:v>0.9230833333333335</x:v>
      </x:c>
      <x:c r="F2611" s="12" t="n">
        <x:v>0.9225833333333334</x:v>
      </x:c>
      <x:c r="G2611" s="12" t="n">
        <x:v>0</x:v>
      </x:c>
      <x:c r="H2611" s="1" t="n">
        <x:f>'Historical prices'!E2611</x:f>
        <x:v>1.05</x:v>
      </x:c>
      <x:c r="I2611" s="6" t="n">
        <x:f>'Historical prices'!D2611</x:f>
        <x:v>0.2784</x:v>
      </x:c>
      <x:c r="J2611" s="13" t="n">
        <x:f>D2611*I2611*H2611</x:f>
        <x:v>0</x:v>
      </x:c>
      <x:c r="K2611" s="13" t="n">
        <x:f>E2611*I2611*H2611</x:f>
        <x:v>0.26983572</x:v>
      </x:c>
      <x:c r="L2611" s="1" t="str">
        <x:f>TEXT(A2611,"mmm yyyy")</x:f>
        <x:v>Jun 2026</x:v>
      </x:c>
    </x:row>
    <x:row r="2612" ht="21" customHeight="1">
      <x:c r="A2612" s="10" t="n">
        <x:v>46202</x:v>
      </x:c>
      <x:c r="B2612" s="1" t="n">
        <x:v>22</x:v>
      </x:c>
      <x:c r="C2612" s="1" t="n">
        <x:v>6</x:v>
      </x:c>
      <x:c r="D2612" s="12" t="n">
        <x:v>0</x:v>
      </x:c>
      <x:c r="E2612" s="12" t="n">
        <x:v>0.35458333333333336</x:v>
      </x:c>
      <x:c r="F2612" s="12" t="n">
        <x:v>0.35433333333333333</x:v>
      </x:c>
      <x:c r="G2612" s="12" t="n">
        <x:v>0</x:v>
      </x:c>
      <x:c r="H2612" s="1" t="n">
        <x:f>'Historical prices'!E2612</x:f>
        <x:v>1.05</x:v>
      </x:c>
      <x:c r="I2612" s="6" t="n">
        <x:f>'Historical prices'!D2612</x:f>
        <x:v>0.2413</x:v>
      </x:c>
      <x:c r="J2612" s="13" t="n">
        <x:f>D2612*I2612*H2612</x:f>
        <x:v>0</x:v>
      </x:c>
      <x:c r="K2612" s="13" t="n">
        <x:f>E2612*I2612*H2612</x:f>
        <x:v>0.08983900625</x:v>
      </x:c>
      <x:c r="L2612" s="1" t="str">
        <x:f>TEXT(A2612,"mmm yyyy")</x:f>
        <x:v>Jun 2026</x:v>
      </x:c>
    </x:row>
    <x:row r="2613" ht="21" customHeight="1">
      <x:c r="A2613" s="10" t="n">
        <x:v>46202</x:v>
      </x:c>
      <x:c r="B2613" s="1" t="n">
        <x:v>22.5</x:v>
      </x:c>
      <x:c r="C2613" s="1" t="n">
        <x:v>6</x:v>
      </x:c>
      <x:c r="D2613" s="12" t="n">
        <x:v>0</x:v>
      </x:c>
      <x:c r="E2613" s="12" t="n">
        <x:v>0.37583333333333335</x:v>
      </x:c>
      <x:c r="F2613" s="12" t="n">
        <x:v>0.3756666666666667</x:v>
      </x:c>
      <x:c r="G2613" s="12" t="n">
        <x:v>0</x:v>
      </x:c>
      <x:c r="H2613" s="1" t="n">
        <x:f>'Historical prices'!E2613</x:f>
        <x:v>1.05</x:v>
      </x:c>
      <x:c r="I2613" s="6" t="n">
        <x:f>'Historical prices'!D2613</x:f>
        <x:v>0.2217</x:v>
      </x:c>
      <x:c r="J2613" s="13" t="n">
        <x:f>D2613*I2613*H2613</x:f>
        <x:v>0</x:v>
      </x:c>
      <x:c r="K2613" s="13" t="n">
        <x:f>E2613*I2613*H2613</x:f>
        <x:v>0.0874883625</x:v>
      </x:c>
      <x:c r="L2613" s="1" t="str">
        <x:f>TEXT(A2613,"mmm yyyy")</x:f>
        <x:v>Jun 2026</x:v>
      </x:c>
    </x:row>
    <x:row r="2614" ht="21" customHeight="1">
      <x:c r="A2614" s="10" t="n">
        <x:v>46202</x:v>
      </x:c>
      <x:c r="B2614" s="1" t="n">
        <x:v>23</x:v>
      </x:c>
      <x:c r="C2614" s="1" t="n">
        <x:v>6</x:v>
      </x:c>
      <x:c r="D2614" s="12" t="n">
        <x:v>0.26125</x:v>
      </x:c>
      <x:c r="E2614" s="12" t="n">
        <x:v>0.4401666666666667</x:v>
      </x:c>
      <x:c r="F2614" s="12" t="n">
        <x:v>0.16791666666666666</x:v>
      </x:c>
      <x:c r="G2614" s="12" t="n">
        <x:v>0</x:v>
      </x:c>
      <x:c r="H2614" s="1" t="n">
        <x:f>'Historical prices'!E2614</x:f>
        <x:v>1.05</x:v>
      </x:c>
      <x:c r="I2614" s="6" t="n">
        <x:f>'Historical prices'!D2614</x:f>
        <x:v>0.16949999999999998</x:v>
      </x:c>
      <x:c r="J2614" s="13" t="n">
        <x:f>D2614*I2614*H2614</x:f>
        <x:v>0.04649596874999999</x:v>
      </x:c>
      <x:c r="K2614" s="13" t="n">
        <x:f>E2614*I2614*H2614</x:f>
        <x:v>0.0783386625</x:v>
      </x:c>
      <x:c r="L2614" s="1" t="str">
        <x:f>TEXT(A2614,"mmm yyyy")</x:f>
        <x:v>Jun 2026</x:v>
      </x:c>
    </x:row>
    <x:row r="2615" ht="21" customHeight="1">
      <x:c r="A2615" s="10" t="n">
        <x:v>46202</x:v>
      </x:c>
      <x:c r="B2615" s="1" t="n">
        <x:v>23.5</x:v>
      </x:c>
      <x:c r="C2615" s="1" t="n">
        <x:v>6</x:v>
      </x:c>
      <x:c r="D2615" s="12" t="n">
        <x:v>0.32216666666666666</x:v>
      </x:c>
      <x:c r="E2615" s="12" t="n">
        <x:v>0.33216666666666667</x:v>
      </x:c>
      <x:c r="F2615" s="12" t="n">
        <x:v>0</x:v>
      </x:c>
      <x:c r="G2615" s="12" t="n">
        <x:v>0</x:v>
      </x:c>
      <x:c r="H2615" s="1" t="n">
        <x:f>'Historical prices'!E2615</x:f>
        <x:v>1.05</x:v>
      </x:c>
      <x:c r="I2615" s="6" t="n">
        <x:f>'Historical prices'!D2615</x:f>
        <x:v>0.16269999999999998</x:v>
      </x:c>
      <x:c r="J2615" s="13" t="n">
        <x:f>D2615*I2615*H2615</x:f>
        <x:v>0.055037342499999996</x:v>
      </x:c>
      <x:c r="K2615" s="13" t="n">
        <x:f>E2615*I2615*H2615</x:f>
        <x:v>0.05674569249999999</x:v>
      </x:c>
      <x:c r="L2615" s="1" t="str">
        <x:f>TEXT(A2615,"mmm yyyy")</x:f>
        <x:v>Jun 2026</x:v>
      </x:c>
    </x:row>
    <x:row r="2616" ht="21" customHeight="1">
      <x:c r="A2616" s="10" t="n">
        <x:v>46203</x:v>
      </x:c>
      <x:c r="B2616" s="1" t="n">
        <x:v>0</x:v>
      </x:c>
      <x:c r="C2616" s="1" t="n">
        <x:v>6</x:v>
      </x:c>
      <x:c r="D2616" s="12" t="n">
        <x:v>0.308</x:v>
      </x:c>
      <x:c r="E2616" s="12" t="n">
        <x:v>0.32</x:v>
      </x:c>
      <x:c r="F2616" s="12" t="n">
        <x:v>0</x:v>
      </x:c>
      <x:c r="G2616" s="12" t="n">
        <x:v>0</x:v>
      </x:c>
      <x:c r="H2616" s="1" t="n">
        <x:f>'Historical prices'!E2616</x:f>
        <x:v>1.05</x:v>
      </x:c>
      <x:c r="I2616" s="6" t="n">
        <x:f>'Historical prices'!D2616</x:f>
        <x:v>0.15560000000000002</x:v>
      </x:c>
      <x:c r="J2616" s="13" t="n">
        <x:f>D2616*I2616*H2616</x:f>
        <x:v>0.050321040000000004</x:v>
      </x:c>
      <x:c r="K2616" s="13" t="n">
        <x:f>E2616*I2616*H2616</x:f>
        <x:v>0.052281600000000004</x:v>
      </x:c>
      <x:c r="L2616" s="1" t="str">
        <x:f>TEXT(A2616,"mmm yyyy")</x:f>
        <x:v>Jun 2026</x:v>
      </x:c>
    </x:row>
    <x:row r="2617" ht="21" customHeight="1">
      <x:c r="A2617" s="10" t="n">
        <x:v>46203</x:v>
      </x:c>
      <x:c r="B2617" s="1" t="n">
        <x:v>0.5</x:v>
      </x:c>
      <x:c r="C2617" s="1" t="n">
        <x:v>6</x:v>
      </x:c>
      <x:c r="D2617" s="12" t="n">
        <x:v>0.3090833333333333</x:v>
      </x:c>
      <x:c r="E2617" s="12" t="n">
        <x:v>0.31908333333333333</x:v>
      </x:c>
      <x:c r="F2617" s="12" t="n">
        <x:v>0</x:v>
      </x:c>
      <x:c r="G2617" s="12" t="n">
        <x:v>0</x:v>
      </x:c>
      <x:c r="H2617" s="1" t="n">
        <x:f>'Historical prices'!E2617</x:f>
        <x:v>1.05</x:v>
      </x:c>
      <x:c r="I2617" s="6" t="n">
        <x:f>'Historical prices'!D2617</x:f>
        <x:v>0.1666</x:v>
      </x:c>
      <x:c r="J2617" s="13" t="n">
        <x:f>D2617*I2617*H2617</x:f>
        <x:v>0.054067947500000005</x:v>
      </x:c>
      <x:c r="K2617" s="13" t="n">
        <x:f>E2617*I2617*H2617</x:f>
        <x:v>0.05581724750000001</x:v>
      </x:c>
      <x:c r="L2617" s="1" t="str">
        <x:f>TEXT(A2617,"mmm yyyy")</x:f>
        <x:v>Jun 2026</x:v>
      </x:c>
    </x:row>
    <x:row r="2618" ht="21" customHeight="1">
      <x:c r="A2618" s="10" t="n">
        <x:v>46203</x:v>
      </x:c>
      <x:c r="B2618" s="1" t="n">
        <x:v>1</x:v>
      </x:c>
      <x:c r="C2618" s="1" t="n">
        <x:v>6</x:v>
      </x:c>
      <x:c r="D2618" s="12" t="n">
        <x:v>0.2696666666666666</x:v>
      </x:c>
      <x:c r="E2618" s="12" t="n">
        <x:v>0.2796666666666666</x:v>
      </x:c>
      <x:c r="F2618" s="12" t="n">
        <x:v>0</x:v>
      </x:c>
      <x:c r="G2618" s="12" t="n">
        <x:v>0</x:v>
      </x:c>
      <x:c r="H2618" s="1" t="n">
        <x:f>'Historical prices'!E2618</x:f>
        <x:v>1.05</x:v>
      </x:c>
      <x:c r="I2618" s="6" t="n">
        <x:f>'Historical prices'!D2618</x:f>
        <x:v>0.1678</x:v>
      </x:c>
      <x:c r="J2618" s="13" t="n">
        <x:f>D2618*I2618*H2618</x:f>
        <x:v>0.04751256999999999</x:v>
      </x:c>
      <x:c r="K2618" s="13" t="n">
        <x:f>E2618*I2618*H2618</x:f>
        <x:v>0.049274469999999994</x:v>
      </x:c>
      <x:c r="L2618" s="1" t="str">
        <x:f>TEXT(A2618,"mmm yyyy")</x:f>
        <x:v>Jun 2026</x:v>
      </x:c>
    </x:row>
    <x:row r="2619" ht="21" customHeight="1">
      <x:c r="A2619" s="10" t="n">
        <x:v>46203</x:v>
      </x:c>
      <x:c r="B2619" s="1" t="n">
        <x:v>1.5</x:v>
      </x:c>
      <x:c r="C2619" s="1" t="n">
        <x:v>6</x:v>
      </x:c>
      <x:c r="D2619" s="12" t="n">
        <x:v>0.21483333333333332</x:v>
      </x:c>
      <x:c r="E2619" s="12" t="n">
        <x:v>0.2258333333333333</x:v>
      </x:c>
      <x:c r="F2619" s="12" t="n">
        <x:v>0</x:v>
      </x:c>
      <x:c r="G2619" s="12" t="n">
        <x:v>0</x:v>
      </x:c>
      <x:c r="H2619" s="1" t="n">
        <x:f>'Historical prices'!E2619</x:f>
        <x:v>1.05</x:v>
      </x:c>
      <x:c r="I2619" s="6" t="n">
        <x:f>'Historical prices'!D2619</x:f>
        <x:v>0.1664</x:v>
      </x:c>
      <x:c r="J2619" s="13" t="n">
        <x:f>D2619*I2619*H2619</x:f>
        <x:v>0.037535679999999995</x:v>
      </x:c>
      <x:c r="K2619" s="13" t="n">
        <x:f>E2619*I2619*H2619</x:f>
        <x:v>0.039457599999999995</x:v>
      </x:c>
      <x:c r="L2619" s="1" t="str">
        <x:f>TEXT(A2619,"mmm yyyy")</x:f>
        <x:v>Jun 2026</x:v>
      </x:c>
    </x:row>
    <x:row r="2620" ht="21" customHeight="1">
      <x:c r="A2620" s="10" t="n">
        <x:v>46203</x:v>
      </x:c>
      <x:c r="B2620" s="1" t="n">
        <x:v>2</x:v>
      </x:c>
      <x:c r="C2620" s="1" t="n">
        <x:v>6</x:v>
      </x:c>
      <x:c r="D2620" s="12" t="n">
        <x:v>0.26108333333333333</x:v>
      </x:c>
      <x:c r="E2620" s="12" t="n">
        <x:v>0.27208333333333334</x:v>
      </x:c>
      <x:c r="F2620" s="12" t="n">
        <x:v>0</x:v>
      </x:c>
      <x:c r="G2620" s="12" t="n">
        <x:v>0</x:v>
      </x:c>
      <x:c r="H2620" s="1" t="n">
        <x:f>'Historical prices'!E2620</x:f>
        <x:v>1.05</x:v>
      </x:c>
      <x:c r="I2620" s="6" t="n">
        <x:f>'Historical prices'!D2620</x:f>
        <x:v>0.1646</x:v>
      </x:c>
      <x:c r="J2620" s="13" t="n">
        <x:f>D2620*I2620*H2620</x:f>
        <x:v>0.0451230325</x:v>
      </x:c>
      <x:c r="K2620" s="13" t="n">
        <x:f>E2620*I2620*H2620</x:f>
        <x:v>0.0470241625</x:v>
      </x:c>
      <x:c r="L2620" s="1" t="str">
        <x:f>TEXT(A2620,"mmm yyyy")</x:f>
        <x:v>Jun 2026</x:v>
      </x:c>
    </x:row>
    <x:row r="2621" ht="21" customHeight="1">
      <x:c r="A2621" s="10" t="n">
        <x:v>46203</x:v>
      </x:c>
      <x:c r="B2621" s="1" t="n">
        <x:v>2.5</x:v>
      </x:c>
      <x:c r="C2621" s="1" t="n">
        <x:v>6</x:v>
      </x:c>
      <x:c r="D2621" s="12" t="n">
        <x:v>0.23741666666666664</x:v>
      </x:c>
      <x:c r="E2621" s="12" t="n">
        <x:v>0.24641666666666662</x:v>
      </x:c>
      <x:c r="F2621" s="12" t="n">
        <x:v>0</x:v>
      </x:c>
      <x:c r="G2621" s="12" t="n">
        <x:v>0</x:v>
      </x:c>
      <x:c r="H2621" s="1" t="n">
        <x:f>'Historical prices'!E2621</x:f>
        <x:v>1.05</x:v>
      </x:c>
      <x:c r="I2621" s="6" t="n">
        <x:f>'Historical prices'!D2621</x:f>
        <x:v>0.1562</x:v>
      </x:c>
      <x:c r="J2621" s="13" t="n">
        <x:f>D2621*I2621*H2621</x:f>
        <x:v>0.038938707499999996</x:v>
      </x:c>
      <x:c r="K2621" s="13" t="n">
        <x:f>E2621*I2621*H2621</x:f>
        <x:v>0.040414797499999995</x:v>
      </x:c>
      <x:c r="L2621" s="1" t="str">
        <x:f>TEXT(A2621,"mmm yyyy")</x:f>
        <x:v>Jun 2026</x:v>
      </x:c>
    </x:row>
    <x:row r="2622" ht="21" customHeight="1">
      <x:c r="A2622" s="10" t="n">
        <x:v>46203</x:v>
      </x:c>
      <x:c r="B2622" s="1" t="n">
        <x:v>3</x:v>
      </x:c>
      <x:c r="C2622" s="1" t="n">
        <x:v>6</x:v>
      </x:c>
      <x:c r="D2622" s="12" t="n">
        <x:v>0.3025833333333333</x:v>
      </x:c>
      <x:c r="E2622" s="12" t="n">
        <x:v>0.3135833333333333</x:v>
      </x:c>
      <x:c r="F2622" s="12" t="n">
        <x:v>0</x:v>
      </x:c>
      <x:c r="G2622" s="12" t="n">
        <x:v>0</x:v>
      </x:c>
      <x:c r="H2622" s="1" t="n">
        <x:f>'Historical prices'!E2622</x:f>
        <x:v>1.05</x:v>
      </x:c>
      <x:c r="I2622" s="6" t="n">
        <x:f>'Historical prices'!D2622</x:f>
        <x:v>0.15560000000000002</x:v>
      </x:c>
      <x:c r="J2622" s="13" t="n">
        <x:f>D2622*I2622*H2622</x:f>
        <x:v>0.04943606500000001</x:v>
      </x:c>
      <x:c r="K2622" s="13" t="n">
        <x:f>E2622*I2622*H2622</x:f>
        <x:v>0.051233245000000004</x:v>
      </x:c>
      <x:c r="L2622" s="1" t="str">
        <x:f>TEXT(A2622,"mmm yyyy")</x:f>
        <x:v>Jun 2026</x:v>
      </x:c>
    </x:row>
    <x:row r="2623" ht="21" customHeight="1">
      <x:c r="A2623" s="10" t="n">
        <x:v>46203</x:v>
      </x:c>
      <x:c r="B2623" s="1" t="n">
        <x:v>3.5</x:v>
      </x:c>
      <x:c r="C2623" s="1" t="n">
        <x:v>6</x:v>
      </x:c>
      <x:c r="D2623" s="12" t="n">
        <x:v>0.2304166666666667</x:v>
      </x:c>
      <x:c r="E2623" s="12" t="n">
        <x:v>0.2404166666666667</x:v>
      </x:c>
      <x:c r="F2623" s="12" t="n">
        <x:v>0</x:v>
      </x:c>
      <x:c r="G2623" s="12" t="n">
        <x:v>0</x:v>
      </x:c>
      <x:c r="H2623" s="1" t="n">
        <x:f>'Historical prices'!E2623</x:f>
        <x:v>1.05</x:v>
      </x:c>
      <x:c r="I2623" s="6" t="n">
        <x:f>'Historical prices'!D2623</x:f>
        <x:v>0.15560000000000002</x:v>
      </x:c>
      <x:c r="J2623" s="13" t="n">
        <x:f>D2623*I2623*H2623</x:f>
        <x:v>0.03764547500000001</x:v>
      </x:c>
      <x:c r="K2623" s="13" t="n">
        <x:f>E2623*I2623*H2623</x:f>
        <x:v>0.03927927500000001</x:v>
      </x:c>
      <x:c r="L2623" s="1" t="str">
        <x:f>TEXT(A2623,"mmm yyyy")</x:f>
        <x:v>Jun 2026</x:v>
      </x:c>
    </x:row>
    <x:row r="2624" ht="21" customHeight="1">
      <x:c r="A2624" s="10" t="n">
        <x:v>46203</x:v>
      </x:c>
      <x:c r="B2624" s="1" t="n">
        <x:v>4</x:v>
      </x:c>
      <x:c r="C2624" s="1" t="n">
        <x:v>6</x:v>
      </x:c>
      <x:c r="D2624" s="12" t="n">
        <x:v>0.26466666666666666</x:v>
      </x:c>
      <x:c r="E2624" s="12" t="n">
        <x:v>0.2756666666666666</x:v>
      </x:c>
      <x:c r="F2624" s="12" t="n">
        <x:v>0</x:v>
      </x:c>
      <x:c r="G2624" s="12" t="n">
        <x:v>0</x:v>
      </x:c>
      <x:c r="H2624" s="1" t="n">
        <x:f>'Historical prices'!E2624</x:f>
        <x:v>1.05</x:v>
      </x:c>
      <x:c r="I2624" s="6" t="n">
        <x:f>'Historical prices'!D2624</x:f>
        <x:v>0.1646</x:v>
      </x:c>
      <x:c r="J2624" s="13" t="n">
        <x:f>D2624*I2624*H2624</x:f>
        <x:v>0.04574234</x:v>
      </x:c>
      <x:c r="K2624" s="13" t="n">
        <x:f>E2624*I2624*H2624</x:f>
        <x:v>0.04764346999999999</x:v>
      </x:c>
      <x:c r="L2624" s="1" t="str">
        <x:f>TEXT(A2624,"mmm yyyy")</x:f>
        <x:v>Jun 2026</x:v>
      </x:c>
    </x:row>
    <x:row r="2625" ht="21" customHeight="1">
      <x:c r="A2625" s="10" t="n">
        <x:v>46203</x:v>
      </x:c>
      <x:c r="B2625" s="1" t="n">
        <x:v>4.5</x:v>
      </x:c>
      <x:c r="C2625" s="1" t="n">
        <x:v>6</x:v>
      </x:c>
      <x:c r="D2625" s="12" t="n">
        <x:v>0.3066666666666667</x:v>
      </x:c>
      <x:c r="E2625" s="12" t="n">
        <x:v>0.3176666666666667</x:v>
      </x:c>
      <x:c r="F2625" s="12" t="n">
        <x:v>0</x:v>
      </x:c>
      <x:c r="G2625" s="12" t="n">
        <x:v>0</x:v>
      </x:c>
      <x:c r="H2625" s="1" t="n">
        <x:f>'Historical prices'!E2625</x:f>
        <x:v>1.05</x:v>
      </x:c>
      <x:c r="I2625" s="6" t="n">
        <x:f>'Historical prices'!D2625</x:f>
        <x:v>0.1635</x:v>
      </x:c>
      <x:c r="J2625" s="13" t="n">
        <x:f>D2625*I2625*H2625</x:f>
        <x:v>0.052647000000000006</x:v>
      </x:c>
      <x:c r="K2625" s="13" t="n">
        <x:f>E2625*I2625*H2625</x:f>
        <x:v>0.054535425000000005</x:v>
      </x:c>
      <x:c r="L2625" s="1" t="str">
        <x:f>TEXT(A2625,"mmm yyyy")</x:f>
        <x:v>Jun 2026</x:v>
      </x:c>
    </x:row>
    <x:row r="2626" ht="21" customHeight="1">
      <x:c r="A2626" s="10" t="n">
        <x:v>46203</x:v>
      </x:c>
      <x:c r="B2626" s="1" t="n">
        <x:v>5</x:v>
      </x:c>
      <x:c r="C2626" s="1" t="n">
        <x:v>6</x:v>
      </x:c>
      <x:c r="D2626" s="12" t="n">
        <x:v>0.39383333333333326</x:v>
      </x:c>
      <x:c r="E2626" s="12" t="n">
        <x:v>0.40383333333333327</x:v>
      </x:c>
      <x:c r="F2626" s="12" t="n">
        <x:v>0</x:v>
      </x:c>
      <x:c r="G2626" s="12" t="n">
        <x:v>0</x:v>
      </x:c>
      <x:c r="H2626" s="1" t="n">
        <x:f>'Historical prices'!E2626</x:f>
        <x:v>1.05</x:v>
      </x:c>
      <x:c r="I2626" s="6" t="n">
        <x:f>'Historical prices'!D2626</x:f>
        <x:v>0.1789</x:v>
      </x:c>
      <x:c r="J2626" s="13" t="n">
        <x:f>D2626*I2626*H2626</x:f>
        <x:v>0.07397962249999998</x:v>
      </x:c>
      <x:c r="K2626" s="13" t="n">
        <x:f>E2626*I2626*H2626</x:f>
        <x:v>0.0758580725</x:v>
      </x:c>
      <x:c r="L2626" s="1" t="str">
        <x:f>TEXT(A2626,"mmm yyyy")</x:f>
        <x:v>Jun 2026</x:v>
      </x:c>
    </x:row>
    <x:row r="2627" ht="21" customHeight="1">
      <x:c r="A2627" s="10" t="n">
        <x:v>46203</x:v>
      </x:c>
      <x:c r="B2627" s="1" t="n">
        <x:v>5.5</x:v>
      </x:c>
      <x:c r="C2627" s="1" t="n">
        <x:v>6</x:v>
      </x:c>
      <x:c r="D2627" s="12" t="n">
        <x:v>0.3244166666666667</x:v>
      </x:c>
      <x:c r="E2627" s="12" t="n">
        <x:v>0.3354166666666667</x:v>
      </x:c>
      <x:c r="F2627" s="12" t="n">
        <x:v>0</x:v>
      </x:c>
      <x:c r="G2627" s="12" t="n">
        <x:v>0</x:v>
      </x:c>
      <x:c r="H2627" s="1" t="n">
        <x:f>'Historical prices'!E2627</x:f>
        <x:v>1.05</x:v>
      </x:c>
      <x:c r="I2627" s="6" t="n">
        <x:f>'Historical prices'!D2627</x:f>
        <x:v>0.1743</x:v>
      </x:c>
      <x:c r="J2627" s="13" t="n">
        <x:f>D2627*I2627*H2627</x:f>
        <x:v>0.05937311625000001</x:v>
      </x:c>
      <x:c r="K2627" s="13" t="n">
        <x:f>E2627*I2627*H2627</x:f>
        <x:v>0.061386281250000015</x:v>
      </x:c>
      <x:c r="L2627" s="1" t="str">
        <x:f>TEXT(A2627,"mmm yyyy")</x:f>
        <x:v>Jun 2026</x:v>
      </x:c>
    </x:row>
    <x:row r="2628" ht="21" customHeight="1">
      <x:c r="A2628" s="10" t="n">
        <x:v>46203</x:v>
      </x:c>
      <x:c r="B2628" s="1" t="n">
        <x:v>6</x:v>
      </x:c>
      <x:c r="C2628" s="1" t="n">
        <x:v>6</x:v>
      </x:c>
      <x:c r="D2628" s="12" t="n">
        <x:v>0.42775</x:v>
      </x:c>
      <x:c r="E2628" s="12" t="n">
        <x:v>0.43875000000000003</x:v>
      </x:c>
      <x:c r="F2628" s="12" t="n">
        <x:v>0</x:v>
      </x:c>
      <x:c r="G2628" s="12" t="n">
        <x:v>0</x:v>
      </x:c>
      <x:c r="H2628" s="1" t="n">
        <x:f>'Historical prices'!E2628</x:f>
        <x:v>1.05</x:v>
      </x:c>
      <x:c r="I2628" s="6" t="n">
        <x:f>'Historical prices'!D2628</x:f>
        <x:v>0.1754</x:v>
      </x:c>
      <x:c r="J2628" s="13" t="n">
        <x:f>D2628*I2628*H2628</x:f>
        <x:v>0.07877871750000001</x:v>
      </x:c>
      <x:c r="K2628" s="13" t="n">
        <x:f>E2628*I2628*H2628</x:f>
        <x:v>0.08080458750000001</x:v>
      </x:c>
      <x:c r="L2628" s="1" t="str">
        <x:f>TEXT(A2628,"mmm yyyy")</x:f>
        <x:v>Jun 2026</x:v>
      </x:c>
    </x:row>
    <x:row r="2629" ht="21" customHeight="1">
      <x:c r="A2629" s="10" t="n">
        <x:v>46203</x:v>
      </x:c>
      <x:c r="B2629" s="1" t="n">
        <x:v>6.5</x:v>
      </x:c>
      <x:c r="C2629" s="1" t="n">
        <x:v>6</x:v>
      </x:c>
      <x:c r="D2629" s="12" t="n">
        <x:v>0.18075</x:v>
      </x:c>
      <x:c r="E2629" s="12" t="n">
        <x:v>0.7091666666666666</x:v>
      </x:c>
      <x:c r="F2629" s="12" t="n">
        <x:v>0.5269166666666667</x:v>
      </x:c>
      <x:c r="G2629" s="12" t="n">
        <x:v>0</x:v>
      </x:c>
      <x:c r="H2629" s="1" t="n">
        <x:f>'Historical prices'!E2629</x:f>
        <x:v>1.05</x:v>
      </x:c>
      <x:c r="I2629" s="6" t="n">
        <x:f>'Historical prices'!D2629</x:f>
        <x:v>0.20929999999999999</x:v>
      </x:c>
      <x:c r="J2629" s="13" t="n">
        <x:f>D2629*I2629*H2629</x:f>
        <x:v>0.039722523749999995</x:v>
      </x:c>
      <x:c r="K2629" s="13" t="n">
        <x:f>E2629*I2629*H2629</x:f>
        <x:v>0.15585001249999997</x:v>
      </x:c>
      <x:c r="L2629" s="1" t="str">
        <x:f>TEXT(A2629,"mmm yyyy")</x:f>
        <x:v>Jun 2026</x:v>
      </x:c>
    </x:row>
    <x:row r="2630" ht="21" customHeight="1">
      <x:c r="A2630" s="10" t="n">
        <x:v>46203</x:v>
      </x:c>
      <x:c r="B2630" s="1" t="n">
        <x:v>7</x:v>
      </x:c>
      <x:c r="C2630" s="1" t="n">
        <x:v>6</x:v>
      </x:c>
      <x:c r="D2630" s="12" t="n">
        <x:v>0</x:v>
      </x:c>
      <x:c r="E2630" s="12" t="n">
        <x:v>0.71875</x:v>
      </x:c>
      <x:c r="F2630" s="12" t="n">
        <x:v>0.7186666666666667</x:v>
      </x:c>
      <x:c r="G2630" s="12" t="n">
        <x:v>0</x:v>
      </x:c>
      <x:c r="H2630" s="1" t="n">
        <x:f>'Historical prices'!E2630</x:f>
        <x:v>1.05</x:v>
      </x:c>
      <x:c r="I2630" s="6" t="n">
        <x:f>'Historical prices'!D2630</x:f>
        <x:v>0.2205</x:v>
      </x:c>
      <x:c r="J2630" s="13" t="n">
        <x:f>D2630*I2630*H2630</x:f>
        <x:v>0</x:v>
      </x:c>
      <x:c r="K2630" s="13" t="n">
        <x:f>E2630*I2630*H2630</x:f>
        <x:v>0.16640859375000003</x:v>
      </x:c>
      <x:c r="L2630" s="1" t="str">
        <x:f>TEXT(A2630,"mmm yyyy")</x:f>
        <x:v>Jun 2026</x:v>
      </x:c>
    </x:row>
    <x:row r="2631" ht="21" customHeight="1">
      <x:c r="A2631" s="10" t="n">
        <x:v>46203</x:v>
      </x:c>
      <x:c r="B2631" s="1" t="n">
        <x:v>7.5</x:v>
      </x:c>
      <x:c r="C2631" s="1" t="n">
        <x:v>6</x:v>
      </x:c>
      <x:c r="D2631" s="12" t="n">
        <x:v>0</x:v>
      </x:c>
      <x:c r="E2631" s="12" t="n">
        <x:v>0.47783333333333333</x:v>
      </x:c>
      <x:c r="F2631" s="12" t="n">
        <x:v>0.47783333333333333</x:v>
      </x:c>
      <x:c r="G2631" s="12" t="n">
        <x:v>0</x:v>
      </x:c>
      <x:c r="H2631" s="1" t="n">
        <x:f>'Historical prices'!E2631</x:f>
        <x:v>1.05</x:v>
      </x:c>
      <x:c r="I2631" s="6" t="n">
        <x:f>'Historical prices'!D2631</x:f>
        <x:v>0.2351</x:v>
      </x:c>
      <x:c r="J2631" s="13" t="n">
        <x:f>D2631*I2631*H2631</x:f>
        <x:v>0</x:v>
      </x:c>
      <x:c r="K2631" s="13" t="n">
        <x:f>E2631*I2631*H2631</x:f>
        <x:v>0.11795554750000001</x:v>
      </x:c>
      <x:c r="L2631" s="1" t="str">
        <x:f>TEXT(A2631,"mmm yyyy")</x:f>
        <x:v>Jun 2026</x:v>
      </x:c>
    </x:row>
    <x:row r="2632" ht="21" customHeight="1">
      <x:c r="A2632" s="10" t="n">
        <x:v>46203</x:v>
      </x:c>
      <x:c r="B2632" s="1" t="n">
        <x:v>8</x:v>
      </x:c>
      <x:c r="C2632" s="1" t="n">
        <x:v>6</x:v>
      </x:c>
      <x:c r="D2632" s="12" t="n">
        <x:v>0</x:v>
      </x:c>
      <x:c r="E2632" s="12" t="n">
        <x:v>0.549</x:v>
      </x:c>
      <x:c r="F2632" s="12" t="n">
        <x:v>0.5486666666666666</x:v>
      </x:c>
      <x:c r="G2632" s="12" t="n">
        <x:v>0</x:v>
      </x:c>
      <x:c r="H2632" s="1" t="n">
        <x:f>'Historical prices'!E2632</x:f>
        <x:v>1.05</x:v>
      </x:c>
      <x:c r="I2632" s="6" t="n">
        <x:f>'Historical prices'!D2632</x:f>
        <x:v>0.2022</x:v>
      </x:c>
      <x:c r="J2632" s="13" t="n">
        <x:f>D2632*I2632*H2632</x:f>
        <x:v>0</x:v>
      </x:c>
      <x:c r="K2632" s="13" t="n">
        <x:f>E2632*I2632*H2632</x:f>
        <x:v>0.11655819</x:v>
      </x:c>
      <x:c r="L2632" s="1" t="str">
        <x:f>TEXT(A2632,"mmm yyyy")</x:f>
        <x:v>Jun 2026</x:v>
      </x:c>
    </x:row>
    <x:row r="2633" ht="21" customHeight="1">
      <x:c r="A2633" s="10" t="n">
        <x:v>46203</x:v>
      </x:c>
      <x:c r="B2633" s="1" t="n">
        <x:v>8.5</x:v>
      </x:c>
      <x:c r="C2633" s="1" t="n">
        <x:v>6</x:v>
      </x:c>
      <x:c r="D2633" s="12" t="n">
        <x:v>0</x:v>
      </x:c>
      <x:c r="E2633" s="12" t="n">
        <x:v>0.5013333333333333</x:v>
      </x:c>
      <x:c r="F2633" s="12" t="n">
        <x:v>0.50125</x:v>
      </x:c>
      <x:c r="G2633" s="12" t="n">
        <x:v>0</x:v>
      </x:c>
      <x:c r="H2633" s="1" t="n">
        <x:f>'Historical prices'!E2633</x:f>
        <x:v>1.05</x:v>
      </x:c>
      <x:c r="I2633" s="6" t="n">
        <x:f>'Historical prices'!D2633</x:f>
        <x:v>0.18789999999999998</x:v>
      </x:c>
      <x:c r="J2633" s="13" t="n">
        <x:f>D2633*I2633*H2633</x:f>
        <x:v>0</x:v>
      </x:c>
      <x:c r="K2633" s="13" t="n">
        <x:f>E2633*I2633*H2633</x:f>
        <x:v>0.09891056</x:v>
      </x:c>
      <x:c r="L2633" s="1" t="str">
        <x:f>TEXT(A2633,"mmm yyyy")</x:f>
        <x:v>Jun 2026</x:v>
      </x:c>
    </x:row>
    <x:row r="2634" ht="21" customHeight="1">
      <x:c r="A2634" s="10" t="n">
        <x:v>46203</x:v>
      </x:c>
      <x:c r="B2634" s="1" t="n">
        <x:v>9</x:v>
      </x:c>
      <x:c r="C2634" s="1" t="n">
        <x:v>6</x:v>
      </x:c>
      <x:c r="D2634" s="12" t="n">
        <x:v>0.4454166666666667</x:v>
      </x:c>
      <x:c r="E2634" s="12" t="n">
        <x:v>0.5414166666666668</x:v>
      </x:c>
      <x:c r="F2634" s="12" t="n">
        <x:v>0.082</x:v>
      </x:c>
      <x:c r="G2634" s="12" t="n">
        <x:v>0</x:v>
      </x:c>
      <x:c r="H2634" s="1" t="n">
        <x:f>'Historical prices'!E2634</x:f>
        <x:v>1.05</x:v>
      </x:c>
      <x:c r="I2634" s="6" t="n">
        <x:f>'Historical prices'!D2634</x:f>
        <x:v>0.1745</x:v>
      </x:c>
      <x:c r="J2634" s="13" t="n">
        <x:f>D2634*I2634*H2634</x:f>
        <x:v>0.08161146875000001</x:v>
      </x:c>
      <x:c r="K2634" s="13" t="n">
        <x:f>E2634*I2634*H2634</x:f>
        <x:v>0.09920106875000001</x:v>
      </x:c>
      <x:c r="L2634" s="1" t="str">
        <x:f>TEXT(A2634,"mmm yyyy")</x:f>
        <x:v>Jun 2026</x:v>
      </x:c>
    </x:row>
    <x:row r="2635" ht="21" customHeight="1">
      <x:c r="A2635" s="10" t="n">
        <x:v>46203</x:v>
      </x:c>
      <x:c r="B2635" s="1" t="n">
        <x:v>9.5</x:v>
      </x:c>
      <x:c r="C2635" s="1" t="n">
        <x:v>6</x:v>
      </x:c>
      <x:c r="D2635" s="12" t="n">
        <x:v>0.5883333333333334</x:v>
      </x:c>
      <x:c r="E2635" s="12" t="n">
        <x:v>0.6043333333333334</x:v>
      </x:c>
      <x:c r="F2635" s="12" t="n">
        <x:v>0</x:v>
      </x:c>
      <x:c r="G2635" s="12" t="n">
        <x:v>0</x:v>
      </x:c>
      <x:c r="H2635" s="1" t="n">
        <x:f>'Historical prices'!E2635</x:f>
        <x:v>1.05</x:v>
      </x:c>
      <x:c r="I2635" s="6" t="n">
        <x:f>'Historical prices'!D2635</x:f>
        <x:v>0.1765</x:v>
      </x:c>
      <x:c r="J2635" s="13" t="n">
        <x:f>D2635*I2635*H2635</x:f>
        <x:v>0.10903287500000002</x:v>
      </x:c>
      <x:c r="K2635" s="13" t="n">
        <x:f>E2635*I2635*H2635</x:f>
        <x:v>0.111998075</x:v>
      </x:c>
      <x:c r="L2635" s="1" t="str">
        <x:f>TEXT(A2635,"mmm yyyy")</x:f>
        <x:v>Jun 2026</x:v>
      </x:c>
    </x:row>
    <x:row r="2636" ht="21" customHeight="1">
      <x:c r="A2636" s="10" t="n">
        <x:v>46203</x:v>
      </x:c>
      <x:c r="B2636" s="1" t="n">
        <x:v>10</x:v>
      </x:c>
      <x:c r="C2636" s="1" t="n">
        <x:v>6</x:v>
      </x:c>
      <x:c r="D2636" s="12" t="n">
        <x:v>0.66175</x:v>
      </x:c>
      <x:c r="E2636" s="12" t="n">
        <x:v>0.67675</x:v>
      </x:c>
      <x:c r="F2636" s="12" t="n">
        <x:v>0</x:v>
      </x:c>
      <x:c r="G2636" s="12" t="n">
        <x:v>0</x:v>
      </x:c>
      <x:c r="H2636" s="1" t="n">
        <x:f>'Historical prices'!E2636</x:f>
        <x:v>1.05</x:v>
      </x:c>
      <x:c r="I2636" s="6" t="n">
        <x:f>'Historical prices'!D2636</x:f>
        <x:v>0.15810000000000002</x:v>
      </x:c>
      <x:c r="J2636" s="13" t="n">
        <x:f>D2636*I2636*H2636</x:f>
        <x:v>0.10985380875</x:v>
      </x:c>
      <x:c r="K2636" s="13" t="n">
        <x:f>E2636*I2636*H2636</x:f>
        <x:v>0.11234388375000001</x:v>
      </x:c>
      <x:c r="L2636" s="1" t="str">
        <x:f>TEXT(A2636,"mmm yyyy")</x:f>
        <x:v>Jun 2026</x:v>
      </x:c>
    </x:row>
    <x:row r="2637" ht="21" customHeight="1">
      <x:c r="A2637" s="10" t="n">
        <x:v>46203</x:v>
      </x:c>
      <x:c r="B2637" s="1" t="n">
        <x:v>10.5</x:v>
      </x:c>
      <x:c r="C2637" s="1" t="n">
        <x:v>6</x:v>
      </x:c>
      <x:c r="D2637" s="12" t="n">
        <x:v>0.5396666666666667</x:v>
      </x:c>
      <x:c r="E2637" s="12" t="n">
        <x:v>0.5566666666666668</x:v>
      </x:c>
      <x:c r="F2637" s="12" t="n">
        <x:v>0</x:v>
      </x:c>
      <x:c r="G2637" s="12" t="n">
        <x:v>0</x:v>
      </x:c>
      <x:c r="H2637" s="1" t="n">
        <x:f>'Historical prices'!E2637</x:f>
        <x:v>1.05</x:v>
      </x:c>
      <x:c r="I2637" s="6" t="n">
        <x:f>'Historical prices'!D2637</x:f>
        <x:v>0.1514</x:v>
      </x:c>
      <x:c r="J2637" s="13" t="n">
        <x:f>D2637*I2637*H2637</x:f>
        <x:v>0.08579081000000001</x:v>
      </x:c>
      <x:c r="K2637" s="13" t="n">
        <x:f>E2637*I2637*H2637</x:f>
        <x:v>0.08849330000000001</x:v>
      </x:c>
      <x:c r="L2637" s="1" t="str">
        <x:f>TEXT(A2637,"mmm yyyy")</x:f>
        <x:v>Jun 2026</x:v>
      </x:c>
    </x:row>
    <x:row r="2638" ht="21" customHeight="1">
      <x:c r="A2638" s="10" t="n">
        <x:v>46203</x:v>
      </x:c>
      <x:c r="B2638" s="1" t="n">
        <x:v>11</x:v>
      </x:c>
      <x:c r="C2638" s="1" t="n">
        <x:v>6</x:v>
      </x:c>
      <x:c r="D2638" s="12" t="n">
        <x:v>3.0530833333333334</x:v>
      </x:c>
      <x:c r="E2638" s="12" t="n">
        <x:v>0.6850833333333335</x:v>
      </x:c>
      <x:c r="F2638" s="12" t="n">
        <x:v>0</x:v>
      </x:c>
      <x:c r="G2638" s="12" t="n">
        <x:v>2.374</x:v>
      </x:c>
      <x:c r="H2638" s="1" t="n">
        <x:f>'Historical prices'!E2638</x:f>
        <x:v>1.05</x:v>
      </x:c>
      <x:c r="I2638" s="6" t="n">
        <x:f>'Historical prices'!D2638</x:f>
        <x:v>0.1463</x:v>
      </x:c>
      <x:c r="J2638" s="13" t="n">
        <x:f>D2638*I2638*H2638</x:f>
        <x:v>0.4689993962500001</x:v>
      </x:c>
      <x:c r="K2638" s="13" t="n">
        <x:f>E2638*I2638*H2638</x:f>
        <x:v>0.10523907625000004</x:v>
      </x:c>
      <x:c r="L2638" s="1" t="str">
        <x:f>TEXT(A2638,"mmm yyyy")</x:f>
        <x:v>Jun 2026</x:v>
      </x:c>
    </x:row>
    <x:row r="2639" ht="21" customHeight="1">
      <x:c r="A2639" s="10" t="n">
        <x:v>46203</x:v>
      </x:c>
      <x:c r="B2639" s="1" t="n">
        <x:v>11.5</x:v>
      </x:c>
      <x:c r="C2639" s="1" t="n">
        <x:v>6</x:v>
      </x:c>
      <x:c r="D2639" s="12" t="n">
        <x:v>0.4644166666666667</x:v>
      </x:c>
      <x:c r="E2639" s="12" t="n">
        <x:v>0.4744166666666667</x:v>
      </x:c>
      <x:c r="F2639" s="12" t="n">
        <x:v>0</x:v>
      </x:c>
      <x:c r="G2639" s="12" t="n">
        <x:v>0</x:v>
      </x:c>
      <x:c r="H2639" s="1" t="n">
        <x:f>'Historical prices'!E2639</x:f>
        <x:v>1.05</x:v>
      </x:c>
      <x:c r="I2639" s="6" t="n">
        <x:f>'Historical prices'!D2639</x:f>
        <x:v>0.14800000000000002</x:v>
      </x:c>
      <x:c r="J2639" s="13" t="n">
        <x:f>D2639*I2639*H2639</x:f>
        <x:v>0.07217035000000002</x:v>
      </x:c>
      <x:c r="K2639" s="13" t="n">
        <x:f>E2639*I2639*H2639</x:f>
        <x:v>0.07372435000000002</x:v>
      </x:c>
      <x:c r="L2639" s="1" t="str">
        <x:f>TEXT(A2639,"mmm yyyy")</x:f>
        <x:v>Jun 2026</x:v>
      </x:c>
    </x:row>
    <x:row r="2640" ht="21" customHeight="1">
      <x:c r="A2640" s="10" t="n">
        <x:v>46203</x:v>
      </x:c>
      <x:c r="B2640" s="1" t="n">
        <x:v>12</x:v>
      </x:c>
      <x:c r="C2640" s="1" t="n">
        <x:v>6</x:v>
      </x:c>
      <x:c r="D2640" s="12" t="n">
        <x:v>4.61325</x:v>
      </x:c>
      <x:c r="E2640" s="12" t="n">
        <x:v>0.62725</x:v>
      </x:c>
      <x:c r="F2640" s="12" t="n">
        <x:v>0</x:v>
      </x:c>
      <x:c r="G2640" s="12" t="n">
        <x:v>3.988</x:v>
      </x:c>
      <x:c r="H2640" s="1" t="n">
        <x:f>'Historical prices'!E2640</x:f>
        <x:v>1.05</x:v>
      </x:c>
      <x:c r="I2640" s="6" t="n">
        <x:f>'Historical prices'!D2640</x:f>
        <x:v>0.145</x:v>
      </x:c>
      <x:c r="J2640" s="13" t="n">
        <x:f>D2640*I2640*H2640</x:f>
        <x:v>0.7023673125</x:v>
      </x:c>
      <x:c r="K2640" s="13" t="n">
        <x:f>E2640*I2640*H2640</x:f>
        <x:v>0.09549881249999999</x:v>
      </x:c>
      <x:c r="L2640" s="1" t="str">
        <x:f>TEXT(A2640,"mmm yyyy")</x:f>
        <x:v>Jun 2026</x:v>
      </x:c>
    </x:row>
    <x:row r="2641" ht="21" customHeight="1">
      <x:c r="A2641" s="10" t="n">
        <x:v>46203</x:v>
      </x:c>
      <x:c r="B2641" s="1" t="n">
        <x:v>12.5</x:v>
      </x:c>
      <x:c r="C2641" s="1" t="n">
        <x:v>6</x:v>
      </x:c>
      <x:c r="D2641" s="12" t="n">
        <x:v>3.4584166666666665</x:v>
      </x:c>
      <x:c r="E2641" s="12" t="n">
        <x:v>0.5174166666666667</x:v>
      </x:c>
      <x:c r="F2641" s="12" t="n">
        <x:v>0</x:v>
      </x:c>
      <x:c r="G2641" s="12" t="n">
        <x:v>2.937</x:v>
      </x:c>
      <x:c r="H2641" s="1" t="n">
        <x:f>'Historical prices'!E2641</x:f>
        <x:v>1.05</x:v>
      </x:c>
      <x:c r="I2641" s="6" t="n">
        <x:f>'Historical prices'!D2641</x:f>
        <x:v>0.1451</x:v>
      </x:c>
      <x:c r="J2641" s="13" t="n">
        <x:f>D2641*I2641*H2641</x:f>
        <x:v>0.52690707125</x:v>
      </x:c>
      <x:c r="K2641" s="13" t="n">
        <x:f>E2641*I2641*H2641</x:f>
        <x:v>0.07883101625000002</x:v>
      </x:c>
      <x:c r="L2641" s="1" t="str">
        <x:f>TEXT(A2641,"mmm yyyy")</x:f>
        <x:v>Jun 2026</x:v>
      </x:c>
    </x:row>
    <x:row r="2642" ht="21" customHeight="1">
      <x:c r="A2642" s="10" t="n">
        <x:v>46203</x:v>
      </x:c>
      <x:c r="B2642" s="1" t="n">
        <x:v>13</x:v>
      </x:c>
      <x:c r="C2642" s="1" t="n">
        <x:v>6</x:v>
      </x:c>
      <x:c r="D2642" s="12" t="n">
        <x:v>0.5525000000000001</x:v>
      </x:c>
      <x:c r="E2642" s="12" t="n">
        <x:v>0.5645</x:v>
      </x:c>
      <x:c r="F2642" s="12" t="n">
        <x:v>0</x:v>
      </x:c>
      <x:c r="G2642" s="12" t="n">
        <x:v>0</x:v>
      </x:c>
      <x:c r="H2642" s="1" t="n">
        <x:f>'Historical prices'!E2642</x:f>
        <x:v>1.05</x:v>
      </x:c>
      <x:c r="I2642" s="6" t="n">
        <x:f>'Historical prices'!D2642</x:f>
        <x:v>0.14800000000000002</x:v>
      </x:c>
      <x:c r="J2642" s="13" t="n">
        <x:f>D2642*I2642*H2642</x:f>
        <x:v>0.08585850000000003</x:v>
      </x:c>
      <x:c r="K2642" s="13" t="n">
        <x:f>E2642*I2642*H2642</x:f>
        <x:v>0.08772330000000002</x:v>
      </x:c>
      <x:c r="L2642" s="1" t="str">
        <x:f>TEXT(A2642,"mmm yyyy")</x:f>
        <x:v>Jun 2026</x:v>
      </x:c>
    </x:row>
    <x:row r="2643" ht="21" customHeight="1">
      <x:c r="A2643" s="10" t="n">
        <x:v>46203</x:v>
      </x:c>
      <x:c r="B2643" s="1" t="n">
        <x:v>13.5</x:v>
      </x:c>
      <x:c r="C2643" s="1" t="n">
        <x:v>6</x:v>
      </x:c>
      <x:c r="D2643" s="12" t="n">
        <x:v>0.47933333333333333</x:v>
      </x:c>
      <x:c r="E2643" s="12" t="n">
        <x:v>0.49033333333333334</x:v>
      </x:c>
      <x:c r="F2643" s="12" t="n">
        <x:v>0</x:v>
      </x:c>
      <x:c r="G2643" s="12" t="n">
        <x:v>0</x:v>
      </x:c>
      <x:c r="H2643" s="1" t="n">
        <x:f>'Historical prices'!E2643</x:f>
        <x:v>1.05</x:v>
      </x:c>
      <x:c r="I2643" s="6" t="n">
        <x:f>'Historical prices'!D2643</x:f>
        <x:v>0.14800000000000002</x:v>
      </x:c>
      <x:c r="J2643" s="13" t="n">
        <x:f>D2643*I2643*H2643</x:f>
        <x:v>0.07448840000000001</x:v>
      </x:c>
      <x:c r="K2643" s="13" t="n">
        <x:f>E2643*I2643*H2643</x:f>
        <x:v>0.07619780000000002</x:v>
      </x:c>
      <x:c r="L2643" s="1" t="str">
        <x:f>TEXT(A2643,"mmm yyyy")</x:f>
        <x:v>Jun 2026</x:v>
      </x:c>
    </x:row>
    <x:row r="2644" ht="21" customHeight="1">
      <x:c r="A2644" s="10" t="n">
        <x:v>46203</x:v>
      </x:c>
      <x:c r="B2644" s="1" t="n">
        <x:v>14</x:v>
      </x:c>
      <x:c r="C2644" s="1" t="n">
        <x:v>6</x:v>
      </x:c>
      <x:c r="D2644" s="12" t="n">
        <x:v>0.4689166666666667</x:v>
      </x:c>
      <x:c r="E2644" s="12" t="n">
        <x:v>0.4809166666666666</x:v>
      </x:c>
      <x:c r="F2644" s="12" t="n">
        <x:v>0</x:v>
      </x:c>
      <x:c r="G2644" s="12" t="n">
        <x:v>0</x:v>
      </x:c>
      <x:c r="H2644" s="1" t="n">
        <x:f>'Historical prices'!E2644</x:f>
        <x:v>1.05</x:v>
      </x:c>
      <x:c r="I2644" s="6" t="n">
        <x:f>'Historical prices'!D2644</x:f>
        <x:v>0.1514</x:v>
      </x:c>
      <x:c r="J2644" s="13" t="n">
        <x:f>D2644*I2644*H2644</x:f>
        <x:v>0.07454368250000001</x:v>
      </x:c>
      <x:c r="K2644" s="13" t="n">
        <x:f>E2644*I2644*H2644</x:f>
        <x:v>0.07645132249999999</x:v>
      </x:c>
      <x:c r="L2644" s="1" t="str">
        <x:f>TEXT(A2644,"mmm yyyy")</x:f>
        <x:v>Jun 2026</x:v>
      </x:c>
    </x:row>
    <x:row r="2645" ht="21" customHeight="1">
      <x:c r="A2645" s="10" t="n">
        <x:v>46203</x:v>
      </x:c>
      <x:c r="B2645" s="1" t="n">
        <x:v>14.5</x:v>
      </x:c>
      <x:c r="C2645" s="1" t="n">
        <x:v>6</x:v>
      </x:c>
      <x:c r="D2645" s="12" t="n">
        <x:v>0.4443333333333333</x:v>
      </x:c>
      <x:c r="E2645" s="12" t="n">
        <x:v>0.4553333333333333</x:v>
      </x:c>
      <x:c r="F2645" s="12" t="n">
        <x:v>0</x:v>
      </x:c>
      <x:c r="G2645" s="12" t="n">
        <x:v>0</x:v>
      </x:c>
      <x:c r="H2645" s="1" t="n">
        <x:f>'Historical prices'!E2645</x:f>
        <x:v>1.05</x:v>
      </x:c>
      <x:c r="I2645" s="6" t="n">
        <x:f>'Historical prices'!D2645</x:f>
        <x:v>0.156</x:v>
      </x:c>
      <x:c r="J2645" s="13" t="n">
        <x:f>D2645*I2645*H2645</x:f>
        <x:v>0.0727818</x:v>
      </x:c>
      <x:c r="K2645" s="13" t="n">
        <x:f>E2645*I2645*H2645</x:f>
        <x:v>0.0745836</x:v>
      </x:c>
      <x:c r="L2645" s="1" t="str">
        <x:f>TEXT(A2645,"mmm yyyy")</x:f>
        <x:v>Jun 2026</x:v>
      </x:c>
    </x:row>
    <x:row r="2646" ht="21" customHeight="1">
      <x:c r="A2646" s="10" t="n">
        <x:v>46203</x:v>
      </x:c>
      <x:c r="B2646" s="1" t="n">
        <x:v>15</x:v>
      </x:c>
      <x:c r="C2646" s="1" t="n">
        <x:v>6</x:v>
      </x:c>
      <x:c r="D2646" s="12" t="n">
        <x:v>0.26225</x:v>
      </x:c>
      <x:c r="E2646" s="12" t="n">
        <x:v>0.44175</x:v>
      </x:c>
      <x:c r="F2646" s="12" t="n">
        <x:v>0.16691666666666666</x:v>
      </x:c>
      <x:c r="G2646" s="12" t="n">
        <x:v>0</x:v>
      </x:c>
      <x:c r="H2646" s="1" t="n">
        <x:f>'Historical prices'!E2646</x:f>
        <x:v>1.05</x:v>
      </x:c>
      <x:c r="I2646" s="6" t="n">
        <x:f>'Historical prices'!D2646</x:f>
        <x:v>0.18239999999999998</x:v>
      </x:c>
      <x:c r="J2646" s="13" t="n">
        <x:f>D2646*I2646*H2646</x:f>
        <x:v>0.05022611999999999</x:v>
      </x:c>
      <x:c r="K2646" s="13" t="n">
        <x:f>E2646*I2646*H2646</x:f>
        <x:v>0.08460395999999999</x:v>
      </x:c>
      <x:c r="L2646" s="1" t="str">
        <x:f>TEXT(A2646,"mmm yyyy")</x:f>
        <x:v>Jun 2026</x:v>
      </x:c>
    </x:row>
    <x:row r="2647" ht="21" customHeight="1">
      <x:c r="A2647" s="10" t="n">
        <x:v>46203</x:v>
      </x:c>
      <x:c r="B2647" s="1" t="n">
        <x:v>15.5</x:v>
      </x:c>
      <x:c r="C2647" s="1" t="n">
        <x:v>6</x:v>
      </x:c>
      <x:c r="D2647" s="12" t="n">
        <x:v>0</x:v>
      </x:c>
      <x:c r="E2647" s="12" t="n">
        <x:v>0.54525</x:v>
      </x:c>
      <x:c r="F2647" s="12" t="n">
        <x:v>0.54475</x:v>
      </x:c>
      <x:c r="G2647" s="12" t="n">
        <x:v>0</x:v>
      </x:c>
      <x:c r="H2647" s="1" t="n">
        <x:f>'Historical prices'!E2647</x:f>
        <x:v>1.05</x:v>
      </x:c>
      <x:c r="I2647" s="6" t="n">
        <x:f>'Historical prices'!D2647</x:f>
        <x:v>0.19640000000000002</x:v>
      </x:c>
      <x:c r="J2647" s="13" t="n">
        <x:f>D2647*I2647*H2647</x:f>
        <x:v>0</x:v>
      </x:c>
      <x:c r="K2647" s="13" t="n">
        <x:f>E2647*I2647*H2647</x:f>
        <x:v>0.11244145500000002</x:v>
      </x:c>
      <x:c r="L2647" s="1" t="str">
        <x:f>TEXT(A2647,"mmm yyyy")</x:f>
        <x:v>Jun 2026</x:v>
      </x:c>
    </x:row>
    <x:row r="2648" ht="21" customHeight="1">
      <x:c r="A2648" s="10" t="n">
        <x:v>46203</x:v>
      </x:c>
      <x:c r="B2648" s="1" t="n">
        <x:v>16</x:v>
      </x:c>
      <x:c r="C2648" s="1" t="n">
        <x:v>6</x:v>
      </x:c>
      <x:c r="D2648" s="12" t="n">
        <x:v>0</x:v>
      </x:c>
      <x:c r="E2648" s="12" t="n">
        <x:v>0.524</x:v>
      </x:c>
      <x:c r="F2648" s="12" t="n">
        <x:v>0.5239166666666667</x:v>
      </x:c>
      <x:c r="G2648" s="12" t="n">
        <x:v>0</x:v>
      </x:c>
      <x:c r="H2648" s="1" t="n">
        <x:f>'Historical prices'!E2648</x:f>
        <x:v>1.05</x:v>
      </x:c>
      <x:c r="I2648" s="6" t="n">
        <x:f>'Historical prices'!D2648</x:f>
        <x:v>0.3422</x:v>
      </x:c>
      <x:c r="J2648" s="13" t="n">
        <x:f>D2648*I2648*H2648</x:f>
        <x:v>0</x:v>
      </x:c>
      <x:c r="K2648" s="13" t="n">
        <x:f>E2648*I2648*H2648</x:f>
        <x:v>0.18827844000000002</x:v>
      </x:c>
      <x:c r="L2648" s="1" t="str">
        <x:f>TEXT(A2648,"mmm yyyy")</x:f>
        <x:v>Jun 2026</x:v>
      </x:c>
    </x:row>
    <x:row r="2649" ht="21" customHeight="1">
      <x:c r="A2649" s="10" t="n">
        <x:v>46203</x:v>
      </x:c>
      <x:c r="B2649" s="1" t="n">
        <x:v>16.5</x:v>
      </x:c>
      <x:c r="C2649" s="1" t="n">
        <x:v>6</x:v>
      </x:c>
      <x:c r="D2649" s="12" t="n">
        <x:v>0</x:v>
      </x:c>
      <x:c r="E2649" s="12" t="n">
        <x:v>0.6298333333333332</x:v>
      </x:c>
      <x:c r="F2649" s="12" t="n">
        <x:v>0.6297499999999999</x:v>
      </x:c>
      <x:c r="G2649" s="12" t="n">
        <x:v>0</x:v>
      </x:c>
      <x:c r="H2649" s="1" t="n">
        <x:f>'Historical prices'!E2649</x:f>
        <x:v>1.05</x:v>
      </x:c>
      <x:c r="I2649" s="6" t="n">
        <x:f>'Historical prices'!D2649</x:f>
        <x:v>0.3497</x:v>
      </x:c>
      <x:c r="J2649" s="13" t="n">
        <x:f>D2649*I2649*H2649</x:f>
        <x:v>0</x:v>
      </x:c>
      <x:c r="K2649" s="13" t="n">
        <x:f>E2649*I2649*H2649</x:f>
        <x:v>0.2312653525</x:v>
      </x:c>
      <x:c r="L2649" s="1" t="str">
        <x:f>TEXT(A2649,"mmm yyyy")</x:f>
        <x:v>Jun 2026</x:v>
      </x:c>
    </x:row>
    <x:row r="2650" ht="21" customHeight="1">
      <x:c r="A2650" s="10" t="n">
        <x:v>46203</x:v>
      </x:c>
      <x:c r="B2650" s="1" t="n">
        <x:v>17</x:v>
      </x:c>
      <x:c r="C2650" s="1" t="n">
        <x:v>6</x:v>
      </x:c>
      <x:c r="D2650" s="12" t="n">
        <x:v>0</x:v>
      </x:c>
      <x:c r="E2650" s="12" t="n">
        <x:v>0.5469999999999999</x:v>
      </x:c>
      <x:c r="F2650" s="12" t="n">
        <x:v>0.54675</x:v>
      </x:c>
      <x:c r="G2650" s="12" t="n">
        <x:v>0</x:v>
      </x:c>
      <x:c r="H2650" s="1" t="n">
        <x:f>'Historical prices'!E2650</x:f>
        <x:v>1.05</x:v>
      </x:c>
      <x:c r="I2650" s="6" t="n">
        <x:f>'Historical prices'!D2650</x:f>
        <x:v>0.39049999999999996</x:v>
      </x:c>
      <x:c r="J2650" s="13" t="n">
        <x:f>D2650*I2650*H2650</x:f>
        <x:v>0</x:v>
      </x:c>
      <x:c r="K2650" s="13" t="n">
        <x:f>E2650*I2650*H2650</x:f>
        <x:v>0.22428367499999996</x:v>
      </x:c>
      <x:c r="L2650" s="1" t="str">
        <x:f>TEXT(A2650,"mmm yyyy")</x:f>
        <x:v>Jun 2026</x:v>
      </x:c>
    </x:row>
    <x:row r="2651" ht="21" customHeight="1">
      <x:c r="A2651" s="10" t="n">
        <x:v>46203</x:v>
      </x:c>
      <x:c r="B2651" s="1" t="n">
        <x:v>17.5</x:v>
      </x:c>
      <x:c r="C2651" s="1" t="n">
        <x:v>6</x:v>
      </x:c>
      <x:c r="D2651" s="12" t="n">
        <x:v>0</x:v>
      </x:c>
      <x:c r="E2651" s="12" t="n">
        <x:v>0.5150833333333333</x:v>
      </x:c>
      <x:c r="F2651" s="12" t="n">
        <x:v>0.5148333333333333</x:v>
      </x:c>
      <x:c r="G2651" s="12" t="n">
        <x:v>0</x:v>
      </x:c>
      <x:c r="H2651" s="1" t="n">
        <x:f>'Historical prices'!E2651</x:f>
        <x:v>1.05</x:v>
      </x:c>
      <x:c r="I2651" s="6" t="n">
        <x:f>'Historical prices'!D2651</x:f>
        <x:v>0.4226</x:v>
      </x:c>
      <x:c r="J2651" s="13" t="n">
        <x:f>D2651*I2651*H2651</x:f>
        <x:v>0</x:v>
      </x:c>
      <x:c r="K2651" s="13" t="n">
        <x:f>E2651*I2651*H2651</x:f>
        <x:v>0.22855792749999998</x:v>
      </x:c>
      <x:c r="L2651" s="1" t="str">
        <x:f>TEXT(A2651,"mmm yyyy")</x:f>
        <x:v>Jun 2026</x:v>
      </x:c>
    </x:row>
    <x:row r="2652" ht="21" customHeight="1">
      <x:c r="A2652" s="10" t="n">
        <x:v>46203</x:v>
      </x:c>
      <x:c r="B2652" s="1" t="n">
        <x:v>18</x:v>
      </x:c>
      <x:c r="C2652" s="1" t="n">
        <x:v>6</x:v>
      </x:c>
      <x:c r="D2652" s="12" t="n">
        <x:v>0</x:v>
      </x:c>
      <x:c r="E2652" s="12" t="n">
        <x:v>0.7356666666666667</x:v>
      </x:c>
      <x:c r="F2652" s="12" t="n">
        <x:v>0.7355833333333334</x:v>
      </x:c>
      <x:c r="G2652" s="12" t="n">
        <x:v>0</x:v>
      </x:c>
      <x:c r="H2652" s="1" t="n">
        <x:f>'Historical prices'!E2652</x:f>
        <x:v>1.05</x:v>
      </x:c>
      <x:c r="I2652" s="6" t="n">
        <x:f>'Historical prices'!D2652</x:f>
        <x:v>0.45409999999999995</x:v>
      </x:c>
      <x:c r="J2652" s="13" t="n">
        <x:f>D2652*I2652*H2652</x:f>
        <x:v>0</x:v>
      </x:c>
      <x:c r="K2652" s="13" t="n">
        <x:f>E2652*I2652*H2652</x:f>
        <x:v>0.35076954499999996</x:v>
      </x:c>
      <x:c r="L2652" s="1" t="str">
        <x:f>TEXT(A2652,"mmm yyyy")</x:f>
        <x:v>Jun 2026</x:v>
      </x:c>
    </x:row>
    <x:row r="2653" ht="21" customHeight="1">
      <x:c r="A2653" s="10" t="n">
        <x:v>46203</x:v>
      </x:c>
      <x:c r="B2653" s="1" t="n">
        <x:v>18.5</x:v>
      </x:c>
      <x:c r="C2653" s="1" t="n">
        <x:v>6</x:v>
      </x:c>
      <x:c r="D2653" s="12" t="n">
        <x:v>0</x:v>
      </x:c>
      <x:c r="E2653" s="12" t="n">
        <x:v>0.7798333333333333</x:v>
      </x:c>
      <x:c r="F2653" s="12" t="n">
        <x:v>0.7797499999999999</x:v>
      </x:c>
      <x:c r="G2653" s="12" t="n">
        <x:v>0</x:v>
      </x:c>
      <x:c r="H2653" s="1" t="n">
        <x:f>'Historical prices'!E2653</x:f>
        <x:v>1.05</x:v>
      </x:c>
      <x:c r="I2653" s="6" t="n">
        <x:f>'Historical prices'!D2653</x:f>
        <x:v>0.4771</x:v>
      </x:c>
      <x:c r="J2653" s="13" t="n">
        <x:f>D2653*I2653*H2653</x:f>
        <x:v>0</x:v>
      </x:c>
      <x:c r="K2653" s="13" t="n">
        <x:f>E2653*I2653*H2653</x:f>
        <x:v>0.3906614075</x:v>
      </x:c>
      <x:c r="L2653" s="1" t="str">
        <x:f>TEXT(A2653,"mmm yyyy")</x:f>
        <x:v>Jun 2026</x:v>
      </x:c>
    </x:row>
    <x:row r="2654" ht="21" customHeight="1">
      <x:c r="A2654" s="10" t="n">
        <x:v>46203</x:v>
      </x:c>
      <x:c r="B2654" s="1" t="n">
        <x:v>19</x:v>
      </x:c>
      <x:c r="C2654" s="1" t="n">
        <x:v>6</x:v>
      </x:c>
      <x:c r="D2654" s="12" t="n">
        <x:v>0</x:v>
      </x:c>
      <x:c r="E2654" s="12" t="n">
        <x:v>0.49875</x:v>
      </x:c>
      <x:c r="F2654" s="12" t="n">
        <x:v>0.49841666666666673</x:v>
      </x:c>
      <x:c r="G2654" s="12" t="n">
        <x:v>0</x:v>
      </x:c>
      <x:c r="H2654" s="1" t="n">
        <x:f>'Historical prices'!E2654</x:f>
        <x:v>1.05</x:v>
      </x:c>
      <x:c r="I2654" s="6" t="n">
        <x:f>'Historical prices'!D2654</x:f>
        <x:v>0.3446</x:v>
      </x:c>
      <x:c r="J2654" s="13" t="n">
        <x:f>D2654*I2654*H2654</x:f>
        <x:v>0</x:v>
      </x:c>
      <x:c r="K2654" s="13" t="n">
        <x:f>E2654*I2654*H2654</x:f>
        <x:v>0.18046271250000004</x:v>
      </x:c>
      <x:c r="L2654" s="1" t="str">
        <x:f>TEXT(A2654,"mmm yyyy")</x:f>
        <x:v>Jun 2026</x:v>
      </x:c>
    </x:row>
    <x:row r="2655" ht="21" customHeight="1">
      <x:c r="A2655" s="10" t="n">
        <x:v>46203</x:v>
      </x:c>
      <x:c r="B2655" s="1" t="n">
        <x:v>19.5</x:v>
      </x:c>
      <x:c r="C2655" s="1" t="n">
        <x:v>6</x:v>
      </x:c>
      <x:c r="D2655" s="12" t="n">
        <x:v>0</x:v>
      </x:c>
      <x:c r="E2655" s="12" t="n">
        <x:v>0.5840833333333333</x:v>
      </x:c>
      <x:c r="F2655" s="12" t="n">
        <x:v>0.5836666666666667</x:v>
      </x:c>
      <x:c r="G2655" s="12" t="n">
        <x:v>0</x:v>
      </x:c>
      <x:c r="H2655" s="1" t="n">
        <x:f>'Historical prices'!E2655</x:f>
        <x:v>1.05</x:v>
      </x:c>
      <x:c r="I2655" s="6" t="n">
        <x:f>'Historical prices'!D2655</x:f>
        <x:v>0.3457</x:v>
      </x:c>
      <x:c r="J2655" s="13" t="n">
        <x:f>D2655*I2655*H2655</x:f>
        <x:v>0</x:v>
      </x:c>
      <x:c r="K2655" s="13" t="n">
        <x:f>E2655*I2655*H2655</x:f>
        <x:v>0.21201348875</x:v>
      </x:c>
      <x:c r="L2655" s="1" t="str">
        <x:f>TEXT(A2655,"mmm yyyy")</x:f>
        <x:v>Jun 2026</x:v>
      </x:c>
    </x:row>
    <x:row r="2656" ht="21" customHeight="1">
      <x:c r="A2656" s="10" t="n">
        <x:v>46203</x:v>
      </x:c>
      <x:c r="B2656" s="1" t="n">
        <x:v>20</x:v>
      </x:c>
      <x:c r="C2656" s="1" t="n">
        <x:v>6</x:v>
      </x:c>
      <x:c r="D2656" s="12" t="n">
        <x:v>0</x:v>
      </x:c>
      <x:c r="E2656" s="12" t="n">
        <x:v>0.6747500000000001</x:v>
      </x:c>
      <x:c r="F2656" s="12" t="n">
        <x:v>0.6745</x:v>
      </x:c>
      <x:c r="G2656" s="12" t="n">
        <x:v>0</x:v>
      </x:c>
      <x:c r="H2656" s="1" t="n">
        <x:f>'Historical prices'!E2656</x:f>
        <x:v>1.05</x:v>
      </x:c>
      <x:c r="I2656" s="6" t="n">
        <x:f>'Historical prices'!D2656</x:f>
        <x:v>0.3468</x:v>
      </x:c>
      <x:c r="J2656" s="13" t="n">
        <x:f>D2656*I2656*H2656</x:f>
        <x:v>0</x:v>
      </x:c>
      <x:c r="K2656" s="13" t="n">
        <x:f>E2656*I2656*H2656</x:f>
        <x:v>0.24570346500000004</x:v>
      </x:c>
      <x:c r="L2656" s="1" t="str">
        <x:f>TEXT(A2656,"mmm yyyy")</x:f>
        <x:v>Jun 2026</x:v>
      </x:c>
    </x:row>
    <x:row r="2657" ht="21" customHeight="1">
      <x:c r="A2657" s="10" t="n">
        <x:v>46203</x:v>
      </x:c>
      <x:c r="B2657" s="1" t="n">
        <x:v>20.5</x:v>
      </x:c>
      <x:c r="C2657" s="1" t="n">
        <x:v>6</x:v>
      </x:c>
      <x:c r="D2657" s="12" t="n">
        <x:v>0</x:v>
      </x:c>
      <x:c r="E2657" s="12" t="n">
        <x:v>0.5759166666666666</x:v>
      </x:c>
      <x:c r="F2657" s="12" t="n">
        <x:v>0.5758333333333333</x:v>
      </x:c>
      <x:c r="G2657" s="12" t="n">
        <x:v>0</x:v>
      </x:c>
      <x:c r="H2657" s="1" t="n">
        <x:f>'Historical prices'!E2657</x:f>
        <x:v>1.05</x:v>
      </x:c>
      <x:c r="I2657" s="6" t="n">
        <x:f>'Historical prices'!D2657</x:f>
        <x:v>0.3421</x:v>
      </x:c>
      <x:c r="J2657" s="13" t="n">
        <x:f>D2657*I2657*H2657</x:f>
        <x:v>0</x:v>
      </x:c>
      <x:c r="K2657" s="13" t="n">
        <x:f>E2657*I2657*H2657</x:f>
        <x:v>0.20687214625000003</x:v>
      </x:c>
      <x:c r="L2657" s="1" t="str">
        <x:f>TEXT(A2657,"mmm yyyy")</x:f>
        <x:v>Jun 2026</x:v>
      </x:c>
    </x:row>
    <x:row r="2658" ht="21" customHeight="1">
      <x:c r="A2658" s="10" t="n">
        <x:v>46203</x:v>
      </x:c>
      <x:c r="B2658" s="1" t="n">
        <x:v>21</x:v>
      </x:c>
      <x:c r="C2658" s="1" t="n">
        <x:v>6</x:v>
      </x:c>
      <x:c r="D2658" s="12" t="n">
        <x:v>0</x:v>
      </x:c>
      <x:c r="E2658" s="12" t="n">
        <x:v>0.4688333333333333</x:v>
      </x:c>
      <x:c r="F2658" s="12" t="n">
        <x:v>0.4686666666666667</x:v>
      </x:c>
      <x:c r="G2658" s="12" t="n">
        <x:v>0</x:v>
      </x:c>
      <x:c r="H2658" s="1" t="n">
        <x:f>'Historical prices'!E2658</x:f>
        <x:v>1.05</x:v>
      </x:c>
      <x:c r="I2658" s="6" t="n">
        <x:f>'Historical prices'!D2658</x:f>
        <x:v>0.3446</x:v>
      </x:c>
      <x:c r="J2658" s="13" t="n">
        <x:f>D2658*I2658*H2658</x:f>
        <x:v>0</x:v>
      </x:c>
      <x:c r="K2658" s="13" t="n">
        <x:f>E2658*I2658*H2658</x:f>
        <x:v>0.169637965</x:v>
      </x:c>
      <x:c r="L2658" s="1" t="str">
        <x:f>TEXT(A2658,"mmm yyyy")</x:f>
        <x:v>Jun 2026</x:v>
      </x:c>
    </x:row>
    <x:row r="2659" ht="21" customHeight="1">
      <x:c r="A2659" s="10" t="n">
        <x:v>46203</x:v>
      </x:c>
      <x:c r="B2659" s="1" t="n">
        <x:v>21.5</x:v>
      </x:c>
      <x:c r="C2659" s="1" t="n">
        <x:v>6</x:v>
      </x:c>
      <x:c r="D2659" s="12" t="n">
        <x:v>0</x:v>
      </x:c>
      <x:c r="E2659" s="12" t="n">
        <x:v>0.7083333333333333</x:v>
      </x:c>
      <x:c r="F2659" s="12" t="n">
        <x:v>0.7076666666666667</x:v>
      </x:c>
      <x:c r="G2659" s="12" t="n">
        <x:v>0</x:v>
      </x:c>
      <x:c r="H2659" s="1" t="n">
        <x:f>'Historical prices'!E2659</x:f>
        <x:v>1.05</x:v>
      </x:c>
      <x:c r="I2659" s="6" t="n">
        <x:f>'Historical prices'!D2659</x:f>
        <x:v>0.32799999999999996</x:v>
      </x:c>
      <x:c r="J2659" s="13" t="n">
        <x:f>D2659*I2659*H2659</x:f>
        <x:v>0</x:v>
      </x:c>
      <x:c r="K2659" s="13" t="n">
        <x:f>E2659*I2659*H2659</x:f>
        <x:v>0.24394999999999994</x:v>
      </x:c>
      <x:c r="L2659" s="1" t="str">
        <x:f>TEXT(A2659,"mmm yyyy")</x:f>
        <x:v>Jun 2026</x:v>
      </x:c>
    </x:row>
    <x:row r="2660" ht="21" customHeight="1">
      <x:c r="A2660" s="10" t="n">
        <x:v>46203</x:v>
      </x:c>
      <x:c r="B2660" s="1" t="n">
        <x:v>22</x:v>
      </x:c>
      <x:c r="C2660" s="1" t="n">
        <x:v>6</x:v>
      </x:c>
      <x:c r="D2660" s="12" t="n">
        <x:v>0</x:v>
      </x:c>
      <x:c r="E2660" s="12" t="n">
        <x:v>0.8033333333333333</x:v>
      </x:c>
      <x:c r="F2660" s="12" t="n">
        <x:v>0.8033333333333333</x:v>
      </x:c>
      <x:c r="G2660" s="12" t="n">
        <x:v>0</x:v>
      </x:c>
      <x:c r="H2660" s="1" t="n">
        <x:f>'Historical prices'!E2660</x:f>
        <x:v>1.05</x:v>
      </x:c>
      <x:c r="I2660" s="6" t="n">
        <x:f>'Historical prices'!D2660</x:f>
        <x:v>0.2921</x:v>
      </x:c>
      <x:c r="J2660" s="13" t="n">
        <x:f>D2660*I2660*H2660</x:f>
        <x:v>0</x:v>
      </x:c>
      <x:c r="K2660" s="13" t="n">
        <x:f>E2660*I2660*H2660</x:f>
        <x:v>0.24638635000000003</x:v>
      </x:c>
      <x:c r="L2660" s="1" t="str">
        <x:f>TEXT(A2660,"mmm yyyy")</x:f>
        <x:v>Jun 2026</x:v>
      </x:c>
    </x:row>
    <x:row r="2661" ht="21" customHeight="1">
      <x:c r="A2661" s="10" t="n">
        <x:v>46203</x:v>
      </x:c>
      <x:c r="B2661" s="1" t="n">
        <x:v>22.5</x:v>
      </x:c>
      <x:c r="C2661" s="1" t="n">
        <x:v>6</x:v>
      </x:c>
      <x:c r="D2661" s="12" t="n">
        <x:v>0</x:v>
      </x:c>
      <x:c r="E2661" s="12" t="n">
        <x:v>0.35325</x:v>
      </x:c>
      <x:c r="F2661" s="12" t="n">
        <x:v>0.35283333333333333</x:v>
      </x:c>
      <x:c r="G2661" s="12" t="n">
        <x:v>0</x:v>
      </x:c>
      <x:c r="H2661" s="1" t="n">
        <x:f>'Historical prices'!E2661</x:f>
        <x:v>1.05</x:v>
      </x:c>
      <x:c r="I2661" s="6" t="n">
        <x:f>'Historical prices'!D2661</x:f>
        <x:v>0.2699</x:v>
      </x:c>
      <x:c r="J2661" s="13" t="n">
        <x:f>D2661*I2661*H2661</x:f>
        <x:v>0</x:v>
      </x:c>
      <x:c r="K2661" s="13" t="n">
        <x:f>E2661*I2661*H2661</x:f>
        <x:v>0.10010928374999999</x:v>
      </x:c>
      <x:c r="L2661" s="1" t="str">
        <x:f>TEXT(A2661,"mmm yyyy")</x:f>
        <x:v>Jun 2026</x:v>
      </x:c>
    </x:row>
    <x:row r="2662" ht="21" customHeight="1">
      <x:c r="A2662" s="10" t="n">
        <x:v>46203</x:v>
      </x:c>
      <x:c r="B2662" s="1" t="n">
        <x:v>23</x:v>
      </x:c>
      <x:c r="C2662" s="1" t="n">
        <x:v>6</x:v>
      </x:c>
      <x:c r="D2662" s="12" t="n">
        <x:v>0.24116666666666664</x:v>
      </x:c>
      <x:c r="E2662" s="12" t="n">
        <x:v>0.32</x:v>
      </x:c>
      <x:c r="F2662" s="12" t="n">
        <x:v>0.06483333333333334</x:v>
      </x:c>
      <x:c r="G2662" s="12" t="n">
        <x:v>0</x:v>
      </x:c>
      <x:c r="H2662" s="1" t="n">
        <x:f>'Historical prices'!E2662</x:f>
        <x:v>1.05</x:v>
      </x:c>
      <x:c r="I2662" s="6" t="n">
        <x:f>'Historical prices'!D2662</x:f>
        <x:v>0.2115</x:v>
      </x:c>
      <x:c r="J2662" s="13" t="n">
        <x:f>D2662*I2662*H2662</x:f>
        <x:v>0.05355708749999999</x:v>
      </x:c>
      <x:c r="K2662" s="13" t="n">
        <x:f>E2662*I2662*H2662</x:f>
        <x:v>0.071064</x:v>
      </x:c>
      <x:c r="L2662" s="1" t="str">
        <x:f>TEXT(A2662,"mmm yyyy")</x:f>
        <x:v>Jun 2026</x:v>
      </x:c>
    </x:row>
    <x:row r="2663" ht="21" customHeight="1">
      <x:c r="A2663" s="10" t="n">
        <x:v>46203</x:v>
      </x:c>
      <x:c r="B2663" s="1" t="n">
        <x:v>23.5</x:v>
      </x:c>
      <x:c r="C2663" s="1" t="n">
        <x:v>6</x:v>
      </x:c>
      <x:c r="D2663" s="12" t="n">
        <x:v>0.231</x:v>
      </x:c>
      <x:c r="E2663" s="12" t="n">
        <x:v>0.247</x:v>
      </x:c>
      <x:c r="F2663" s="12" t="n">
        <x:v>0</x:v>
      </x:c>
      <x:c r="G2663" s="12" t="n">
        <x:v>0</x:v>
      </x:c>
      <x:c r="H2663" s="1" t="n">
        <x:f>'Historical prices'!E2663</x:f>
        <x:v>1.05</x:v>
      </x:c>
      <x:c r="I2663" s="6" t="n">
        <x:f>'Historical prices'!D2663</x:f>
        <x:v>0.20829999999999999</x:v>
      </x:c>
      <x:c r="J2663" s="13" t="n">
        <x:f>D2663*I2663*H2663</x:f>
        <x:v>0.050523165</x:v>
      </x:c>
      <x:c r="K2663" s="13" t="n">
        <x:f>E2663*I2663*H2663</x:f>
        <x:v>0.054022605</x:v>
      </x:c>
      <x:c r="L2663" s="1" t="str">
        <x:f>TEXT(A2663,"mmm yyyy")</x:f>
        <x:v>Jun 2026</x:v>
      </x:c>
    </x:row>
    <x:row r="2664" ht="21" customHeight="1">
      <x:c r="A2664" s="10" t="n">
        <x:v>46204</x:v>
      </x:c>
      <x:c r="B2664" s="1" t="n">
        <x:v>0</x:v>
      </x:c>
      <x:c r="C2664" s="1" t="n">
        <x:v>6</x:v>
      </x:c>
      <x:c r="D2664" s="12" t="n">
        <x:v>0.2625</x:v>
      </x:c>
      <x:c r="E2664" s="12" t="n">
        <x:v>0.2785</x:v>
      </x:c>
      <x:c r="F2664" s="12" t="n">
        <x:v>0</x:v>
      </x:c>
      <x:c r="G2664" s="12" t="n">
        <x:v>0</x:v>
      </x:c>
      <x:c r="H2664" s="1" t="n">
        <x:f>'Historical prices'!E2664</x:f>
        <x:v>1.05</x:v>
      </x:c>
      <x:c r="I2664" s="6" t="n">
        <x:f>'Historical prices'!D2664</x:f>
        <x:v>0.2071</x:v>
      </x:c>
      <x:c r="J2664" s="13" t="n">
        <x:f>D2664*I2664*H2664</x:f>
        <x:v>0.057081937500000006</x:v>
      </x:c>
      <x:c r="K2664" s="13" t="n">
        <x:f>E2664*I2664*H2664</x:f>
        <x:v>0.060561217500000014</x:v>
      </x:c>
      <x:c r="L2664" s="1" t="str">
        <x:f>TEXT(A2664,"mmm yyyy")</x:f>
        <x:v>Jul 2026</x:v>
      </x:c>
    </x:row>
    <x:row r="2665" ht="21" customHeight="1">
      <x:c r="A2665" s="10" t="n">
        <x:v>46204</x:v>
      </x:c>
      <x:c r="B2665" s="1" t="n">
        <x:v>0.5</x:v>
      </x:c>
      <x:c r="C2665" s="1" t="n">
        <x:v>6</x:v>
      </x:c>
      <x:c r="D2665" s="12" t="n">
        <x:v>0.25333333333333335</x:v>
      </x:c>
      <x:c r="E2665" s="12" t="n">
        <x:v>0.26833333333333337</x:v>
      </x:c>
      <x:c r="F2665" s="12" t="n">
        <x:v>0</x:v>
      </x:c>
      <x:c r="G2665" s="12" t="n">
        <x:v>0</x:v>
      </x:c>
      <x:c r="H2665" s="1" t="n">
        <x:f>'Historical prices'!E2665</x:f>
        <x:v>1.05</x:v>
      </x:c>
      <x:c r="I2665" s="6" t="n">
        <x:f>'Historical prices'!D2665</x:f>
        <x:v>0.19640000000000002</x:v>
      </x:c>
      <x:c r="J2665" s="13" t="n">
        <x:f>D2665*I2665*H2665</x:f>
        <x:v>0.052242400000000015</x:v>
      </x:c>
      <x:c r="K2665" s="13" t="n">
        <x:f>E2665*I2665*H2665</x:f>
        <x:v>0.055335700000000015</x:v>
      </x:c>
      <x:c r="L2665" s="1" t="str">
        <x:f>TEXT(A2665,"mmm yyyy")</x:f>
        <x:v>Jul 2026</x:v>
      </x:c>
    </x:row>
    <x:row r="2666" ht="21" customHeight="1">
      <x:c r="A2666" s="10" t="n">
        <x:v>46204</x:v>
      </x:c>
      <x:c r="B2666" s="1" t="n">
        <x:v>1</x:v>
      </x:c>
      <x:c r="C2666" s="1" t="n">
        <x:v>6</x:v>
      </x:c>
      <x:c r="D2666" s="12" t="n">
        <x:v>0.29650000000000004</x:v>
      </x:c>
      <x:c r="E2666" s="12" t="n">
        <x:v>0.3125</x:v>
      </x:c>
      <x:c r="F2666" s="12" t="n">
        <x:v>0</x:v>
      </x:c>
      <x:c r="G2666" s="12" t="n">
        <x:v>0</x:v>
      </x:c>
      <x:c r="H2666" s="1" t="n">
        <x:f>'Historical prices'!E2666</x:f>
        <x:v>1.05</x:v>
      </x:c>
      <x:c r="I2666" s="6" t="n">
        <x:f>'Historical prices'!D2666</x:f>
        <x:v>0.19940000000000002</x:v>
      </x:c>
      <x:c r="J2666" s="13" t="n">
        <x:f>D2666*I2666*H2666</x:f>
        <x:v>0.06207820500000002</x:v>
      </x:c>
      <x:c r="K2666" s="13" t="n">
        <x:f>E2666*I2666*H2666</x:f>
        <x:v>0.065428125</x:v>
      </x:c>
      <x:c r="L2666" s="1" t="str">
        <x:f>TEXT(A2666,"mmm yyyy")</x:f>
        <x:v>Jul 2026</x:v>
      </x:c>
    </x:row>
    <x:row r="2667" ht="21" customHeight="1">
      <x:c r="A2667" s="10" t="n">
        <x:v>46204</x:v>
      </x:c>
      <x:c r="B2667" s="1" t="n">
        <x:v>1.5</x:v>
      </x:c>
      <x:c r="C2667" s="1" t="n">
        <x:v>6</x:v>
      </x:c>
      <x:c r="D2667" s="12" t="n">
        <x:v>0.26575</x:v>
      </x:c>
      <x:c r="E2667" s="12" t="n">
        <x:v>0.28175</x:v>
      </x:c>
      <x:c r="F2667" s="12" t="n">
        <x:v>0</x:v>
      </x:c>
      <x:c r="G2667" s="12" t="n">
        <x:v>0</x:v>
      </x:c>
      <x:c r="H2667" s="1" t="n">
        <x:f>'Historical prices'!E2667</x:f>
        <x:v>1.05</x:v>
      </x:c>
      <x:c r="I2667" s="6" t="n">
        <x:f>'Historical prices'!D2667</x:f>
        <x:v>0.2025</x:v>
      </x:c>
      <x:c r="J2667" s="13" t="n">
        <x:f>D2667*I2667*H2667</x:f>
        <x:v>0.05650509375</x:v>
      </x:c>
      <x:c r="K2667" s="13" t="n">
        <x:f>E2667*I2667*H2667</x:f>
        <x:v>0.05990709375000001</x:v>
      </x:c>
      <x:c r="L2667" s="1" t="str">
        <x:f>TEXT(A2667,"mmm yyyy")</x:f>
        <x:v>Jul 2026</x:v>
      </x:c>
    </x:row>
    <x:row r="2668" ht="21" customHeight="1">
      <x:c r="A2668" s="10" t="n">
        <x:v>46204</x:v>
      </x:c>
      <x:c r="B2668" s="1" t="n">
        <x:v>2</x:v>
      </x:c>
      <x:c r="C2668" s="1" t="n">
        <x:v>6</x:v>
      </x:c>
      <x:c r="D2668" s="12" t="n">
        <x:v>0.29191666666666666</x:v>
      </x:c>
      <x:c r="E2668" s="12" t="n">
        <x:v>0.30791666666666667</x:v>
      </x:c>
      <x:c r="F2668" s="12" t="n">
        <x:v>0</x:v>
      </x:c>
      <x:c r="G2668" s="12" t="n">
        <x:v>0</x:v>
      </x:c>
      <x:c r="H2668" s="1" t="n">
        <x:f>'Historical prices'!E2668</x:f>
        <x:v>1.05</x:v>
      </x:c>
      <x:c r="I2668" s="6" t="n">
        <x:f>'Historical prices'!D2668</x:f>
        <x:v>0.2065</x:v>
      </x:c>
      <x:c r="J2668" s="13" t="n">
        <x:f>D2668*I2668*H2668</x:f>
        <x:v>0.06329483124999999</x:v>
      </x:c>
      <x:c r="K2668" s="13" t="n">
        <x:f>E2668*I2668*H2668</x:f>
        <x:v>0.06676403125000001</x:v>
      </x:c>
      <x:c r="L2668" s="1" t="str">
        <x:f>TEXT(A2668,"mmm yyyy")</x:f>
        <x:v>Jul 2026</x:v>
      </x:c>
    </x:row>
    <x:row r="2669" ht="21" customHeight="1">
      <x:c r="A2669" s="10" t="n">
        <x:v>46204</x:v>
      </x:c>
      <x:c r="B2669" s="1" t="n">
        <x:v>2.5</x:v>
      </x:c>
      <x:c r="C2669" s="1" t="n">
        <x:v>6</x:v>
      </x:c>
      <x:c r="D2669" s="12" t="n">
        <x:v>0.24308333333333332</x:v>
      </x:c>
      <x:c r="E2669" s="12" t="n">
        <x:v>0.25808333333333333</x:v>
      </x:c>
      <x:c r="F2669" s="12" t="n">
        <x:v>0</x:v>
      </x:c>
      <x:c r="G2669" s="12" t="n">
        <x:v>0</x:v>
      </x:c>
      <x:c r="H2669" s="1" t="n">
        <x:f>'Historical prices'!E2669</x:f>
        <x:v>1.05</x:v>
      </x:c>
      <x:c r="I2669" s="6" t="n">
        <x:f>'Historical prices'!D2669</x:f>
        <x:v>0.1981</x:v>
      </x:c>
      <x:c r="J2669" s="13" t="n">
        <x:f>D2669*I2669*H2669</x:f>
        <x:v>0.05056254875</x:v>
      </x:c>
      <x:c r="K2669" s="13" t="n">
        <x:f>E2669*I2669*H2669</x:f>
        <x:v>0.053682623750000005</x:v>
      </x:c>
      <x:c r="L2669" s="1" t="str">
        <x:f>TEXT(A2669,"mmm yyyy")</x:f>
        <x:v>Jul 2026</x:v>
      </x:c>
    </x:row>
    <x:row r="2670" ht="21" customHeight="1">
      <x:c r="A2670" s="10" t="n">
        <x:v>46204</x:v>
      </x:c>
      <x:c r="B2670" s="1" t="n">
        <x:v>3</x:v>
      </x:c>
      <x:c r="C2670" s="1" t="n">
        <x:v>6</x:v>
      </x:c>
      <x:c r="D2670" s="12" t="n">
        <x:v>0.24516666666666667</x:v>
      </x:c>
      <x:c r="E2670" s="12" t="n">
        <x:v>0.26016666666666666</x:v>
      </x:c>
      <x:c r="F2670" s="12" t="n">
        <x:v>0</x:v>
      </x:c>
      <x:c r="G2670" s="12" t="n">
        <x:v>0</x:v>
      </x:c>
      <x:c r="H2670" s="1" t="n">
        <x:f>'Historical prices'!E2670</x:f>
        <x:v>1.05</x:v>
      </x:c>
      <x:c r="I2670" s="6" t="n">
        <x:f>'Historical prices'!D2670</x:f>
        <x:v>0.19390000000000002</x:v>
      </x:c>
      <x:c r="J2670" s="13" t="n">
        <x:f>D2670*I2670*H2670</x:f>
        <x:v>0.0499147075</x:v>
      </x:c>
      <x:c r="K2670" s="13" t="n">
        <x:f>E2670*I2670*H2670</x:f>
        <x:v>0.05296863250000001</x:v>
      </x:c>
      <x:c r="L2670" s="1" t="str">
        <x:f>TEXT(A2670,"mmm yyyy")</x:f>
        <x:v>Jul 2026</x:v>
      </x:c>
    </x:row>
    <x:row r="2671" ht="21" customHeight="1">
      <x:c r="A2671" s="10" t="n">
        <x:v>46204</x:v>
      </x:c>
      <x:c r="B2671" s="1" t="n">
        <x:v>3.5</x:v>
      </x:c>
      <x:c r="C2671" s="1" t="n">
        <x:v>6</x:v>
      </x:c>
      <x:c r="D2671" s="12" t="n">
        <x:v>0.248</x:v>
      </x:c>
      <x:c r="E2671" s="12" t="n">
        <x:v>0.259</x:v>
      </x:c>
      <x:c r="F2671" s="12" t="n">
        <x:v>0</x:v>
      </x:c>
      <x:c r="G2671" s="12" t="n">
        <x:v>0</x:v>
      </x:c>
      <x:c r="H2671" s="1" t="n">
        <x:f>'Historical prices'!E2671</x:f>
        <x:v>1.05</x:v>
      </x:c>
      <x:c r="I2671" s="6" t="n">
        <x:f>'Historical prices'!D2671</x:f>
        <x:v>0.19399999999999998</x:v>
      </x:c>
      <x:c r="J2671" s="13" t="n">
        <x:f>D2671*I2671*H2671</x:f>
        <x:v>0.050517599999999996</x:v>
      </x:c>
      <x:c r="K2671" s="13" t="n">
        <x:f>E2671*I2671*H2671</x:f>
        <x:v>0.0527583</x:v>
      </x:c>
      <x:c r="L2671" s="1" t="str">
        <x:f>TEXT(A2671,"mmm yyyy")</x:f>
        <x:v>Jul 2026</x:v>
      </x:c>
    </x:row>
    <x:row r="2672" ht="21" customHeight="1">
      <x:c r="A2672" s="10" t="n">
        <x:v>46204</x:v>
      </x:c>
      <x:c r="B2672" s="1" t="n">
        <x:v>4</x:v>
      </x:c>
      <x:c r="C2672" s="1" t="n">
        <x:v>6</x:v>
      </x:c>
      <x:c r="D2672" s="12" t="n">
        <x:v>0.26408333333333334</x:v>
      </x:c>
      <x:c r="E2672" s="12" t="n">
        <x:v>0.27508333333333335</x:v>
      </x:c>
      <x:c r="F2672" s="12" t="n">
        <x:v>0</x:v>
      </x:c>
      <x:c r="G2672" s="12" t="n">
        <x:v>0</x:v>
      </x:c>
      <x:c r="H2672" s="1" t="n">
        <x:f>'Historical prices'!E2672</x:f>
        <x:v>1.05</x:v>
      </x:c>
      <x:c r="I2672" s="6" t="n">
        <x:f>'Historical prices'!D2672</x:f>
        <x:v>0.1968</x:v>
      </x:c>
      <x:c r="J2672" s="13" t="n">
        <x:f>D2672*I2672*H2672</x:f>
        <x:v>0.05457018</x:v>
      </x:c>
      <x:c r="K2672" s="13" t="n">
        <x:f>E2672*I2672*H2672</x:f>
        <x:v>0.05684322000000001</x:v>
      </x:c>
      <x:c r="L2672" s="1" t="str">
        <x:f>TEXT(A2672,"mmm yyyy")</x:f>
        <x:v>Jul 2026</x:v>
      </x:c>
    </x:row>
    <x:row r="2673" ht="21" customHeight="1">
      <x:c r="A2673" s="10" t="n">
        <x:v>46204</x:v>
      </x:c>
      <x:c r="B2673" s="1" t="n">
        <x:v>4.5</x:v>
      </x:c>
      <x:c r="C2673" s="1" t="n">
        <x:v>6</x:v>
      </x:c>
      <x:c r="D2673" s="12" t="n">
        <x:v>0.24424999999999997</x:v>
      </x:c>
      <x:c r="E2673" s="12" t="n">
        <x:v>0.25425</x:v>
      </x:c>
      <x:c r="F2673" s="12" t="n">
        <x:v>0</x:v>
      </x:c>
      <x:c r="G2673" s="12" t="n">
        <x:v>0</x:v>
      </x:c>
      <x:c r="H2673" s="1" t="n">
        <x:f>'Historical prices'!E2673</x:f>
        <x:v>1.05</x:v>
      </x:c>
      <x:c r="I2673" s="6" t="n">
        <x:f>'Historical prices'!D2673</x:f>
        <x:v>0.1968</x:v>
      </x:c>
      <x:c r="J2673" s="13" t="n">
        <x:f>D2673*I2673*H2673</x:f>
        <x:v>0.05047182</x:v>
      </x:c>
      <x:c r="K2673" s="13" t="n">
        <x:f>E2673*I2673*H2673</x:f>
        <x:v>0.05253822</x:v>
      </x:c>
      <x:c r="L2673" s="1" t="str">
        <x:f>TEXT(A2673,"mmm yyyy")</x:f>
        <x:v>Jul 2026</x:v>
      </x:c>
    </x:row>
    <x:row r="2674" ht="21" customHeight="1">
      <x:c r="A2674" s="10" t="n">
        <x:v>46204</x:v>
      </x:c>
      <x:c r="B2674" s="1" t="n">
        <x:v>5</x:v>
      </x:c>
      <x:c r="C2674" s="1" t="n">
        <x:v>6</x:v>
      </x:c>
      <x:c r="D2674" s="12" t="n">
        <x:v>0.31033333333333335</x:v>
      </x:c>
      <x:c r="E2674" s="12" t="n">
        <x:v>0.32033333333333336</x:v>
      </x:c>
      <x:c r="F2674" s="12" t="n">
        <x:v>0</x:v>
      </x:c>
      <x:c r="G2674" s="12" t="n">
        <x:v>0</x:v>
      </x:c>
      <x:c r="H2674" s="1" t="n">
        <x:f>'Historical prices'!E2674</x:f>
        <x:v>1.05</x:v>
      </x:c>
      <x:c r="I2674" s="6" t="n">
        <x:f>'Historical prices'!D2674</x:f>
        <x:v>0.1943</x:v>
      </x:c>
      <x:c r="J2674" s="13" t="n">
        <x:f>D2674*I2674*H2674</x:f>
        <x:v>0.06331265500000001</x:v>
      </x:c>
      <x:c r="K2674" s="13" t="n">
        <x:f>E2674*I2674*H2674</x:f>
        <x:v>0.065352805</x:v>
      </x:c>
      <x:c r="L2674" s="1" t="str">
        <x:f>TEXT(A2674,"mmm yyyy")</x:f>
        <x:v>Jul 2026</x:v>
      </x:c>
    </x:row>
    <x:row r="2675" ht="21" customHeight="1">
      <x:c r="A2675" s="10" t="n">
        <x:v>46204</x:v>
      </x:c>
      <x:c r="B2675" s="1" t="n">
        <x:v>5.5</x:v>
      </x:c>
      <x:c r="C2675" s="1" t="n">
        <x:v>6</x:v>
      </x:c>
      <x:c r="D2675" s="12" t="n">
        <x:v>1.1797499999999999</x:v>
      </x:c>
      <x:c r="E2675" s="12" t="n">
        <x:v>0.38875000000000004</x:v>
      </x:c>
      <x:c r="F2675" s="12" t="n">
        <x:v>0</x:v>
      </x:c>
      <x:c r="G2675" s="12" t="n">
        <x:v>0.798</x:v>
      </x:c>
      <x:c r="H2675" s="1" t="n">
        <x:f>'Historical prices'!E2675</x:f>
        <x:v>1.05</x:v>
      </x:c>
      <x:c r="I2675" s="6" t="n">
        <x:f>'Historical prices'!D2675</x:f>
        <x:v>0.1928</x:v>
      </x:c>
      <x:c r="J2675" s="13" t="n">
        <x:f>D2675*I2675*H2675</x:f>
        <x:v>0.23882858999999998</x:v>
      </x:c>
      <x:c r="K2675" s="13" t="n">
        <x:f>E2675*I2675*H2675</x:f>
        <x:v>0.07869855</x:v>
      </x:c>
      <x:c r="L2675" s="1" t="str">
        <x:f>TEXT(A2675,"mmm yyyy")</x:f>
        <x:v>Jul 2026</x:v>
      </x:c>
    </x:row>
    <x:row r="2676" ht="21" customHeight="1">
      <x:c r="A2676" s="10" t="n">
        <x:v>46204</x:v>
      </x:c>
      <x:c r="B2676" s="1" t="n">
        <x:v>6</x:v>
      </x:c>
      <x:c r="C2676" s="1" t="n">
        <x:v>6</x:v>
      </x:c>
      <x:c r="D2676" s="12" t="n">
        <x:v>0.6975833333333332</x:v>
      </x:c>
      <x:c r="E2676" s="12" t="n">
        <x:v>0.30158333333333337</x:v>
      </x:c>
      <x:c r="F2676" s="12" t="n">
        <x:v>0</x:v>
      </x:c>
      <x:c r="G2676" s="12" t="n">
        <x:v>0.402</x:v>
      </x:c>
      <x:c r="H2676" s="1" t="n">
        <x:f>'Historical prices'!E2676</x:f>
        <x:v>1.05</x:v>
      </x:c>
      <x:c r="I2676" s="6" t="n">
        <x:f>'Historical prices'!D2676</x:f>
        <x:v>0.2217</x:v>
      </x:c>
      <x:c r="J2676" s="13" t="n">
        <x:f>D2676*I2676*H2676</x:f>
        <x:v>0.16238693624999997</x:v>
      </x:c>
      <x:c r="K2676" s="13" t="n">
        <x:f>E2676*I2676*H2676</x:f>
        <x:v>0.07020407625000001</x:v>
      </x:c>
      <x:c r="L2676" s="1" t="str">
        <x:f>TEXT(A2676,"mmm yyyy")</x:f>
        <x:v>Jul 2026</x:v>
      </x:c>
    </x:row>
    <x:row r="2677" ht="21" customHeight="1">
      <x:c r="A2677" s="10" t="n">
        <x:v>46204</x:v>
      </x:c>
      <x:c r="B2677" s="1" t="n">
        <x:v>6.5</x:v>
      </x:c>
      <x:c r="C2677" s="1" t="n">
        <x:v>6</x:v>
      </x:c>
      <x:c r="D2677" s="12" t="n">
        <x:v>0.0555</x:v>
      </x:c>
      <x:c r="E2677" s="12" t="n">
        <x:v>0.5024166666666666</x:v>
      </x:c>
      <x:c r="F2677" s="12" t="n">
        <x:v>0.44475</x:v>
      </x:c>
      <x:c r="G2677" s="12" t="n">
        <x:v>0</x:v>
      </x:c>
      <x:c r="H2677" s="1" t="n">
        <x:f>'Historical prices'!E2677</x:f>
        <x:v>1.05</x:v>
      </x:c>
      <x:c r="I2677" s="6" t="n">
        <x:f>'Historical prices'!D2677</x:f>
        <x:v>0.2606</x:v>
      </x:c>
      <x:c r="J2677" s="13" t="n">
        <x:f>D2677*I2677*H2677</x:f>
        <x:v>0.015186465000000001</x:v>
      </x:c>
      <x:c r="K2677" s="13" t="n">
        <x:f>E2677*I2677*H2677</x:f>
        <x:v>0.1374762725</x:v>
      </x:c>
      <x:c r="L2677" s="1" t="str">
        <x:f>TEXT(A2677,"mmm yyyy")</x:f>
        <x:v>Jul 2026</x:v>
      </x:c>
    </x:row>
    <x:row r="2678" ht="21" customHeight="1">
      <x:c r="A2678" s="10" t="n">
        <x:v>46204</x:v>
      </x:c>
      <x:c r="B2678" s="1" t="n">
        <x:v>7</x:v>
      </x:c>
      <x:c r="C2678" s="1" t="n">
        <x:v>6</x:v>
      </x:c>
      <x:c r="D2678" s="12" t="n">
        <x:v>0.03075</x:v>
      </x:c>
      <x:c r="E2678" s="12" t="n">
        <x:v>0.6681666666666667</x:v>
      </x:c>
      <x:c r="F2678" s="12" t="n">
        <x:v>0.6339166666666666</x:v>
      </x:c>
      <x:c r="G2678" s="12" t="n">
        <x:v>0</x:v>
      </x:c>
      <x:c r="H2678" s="1" t="n">
        <x:f>'Historical prices'!E2678</x:f>
        <x:v>1.05</x:v>
      </x:c>
      <x:c r="I2678" s="6" t="n">
        <x:f>'Historical prices'!D2678</x:f>
        <x:v>0.25420000000000004</x:v>
      </x:c>
      <x:c r="J2678" s="13" t="n">
        <x:f>D2678*I2678*H2678</x:f>
        <x:v>0.008207482500000002</x:v>
      </x:c>
      <x:c r="K2678" s="13" t="n">
        <x:f>E2678*I2678*H2678</x:f>
        <x:v>0.17834036500000003</x:v>
      </x:c>
      <x:c r="L2678" s="1" t="str">
        <x:f>TEXT(A2678,"mmm yyyy")</x:f>
        <x:v>Jul 2026</x:v>
      </x:c>
    </x:row>
    <x:row r="2679" ht="21" customHeight="1">
      <x:c r="A2679" s="10" t="n">
        <x:v>46204</x:v>
      </x:c>
      <x:c r="B2679" s="1" t="n">
        <x:v>7.5</x:v>
      </x:c>
      <x:c r="C2679" s="1" t="n">
        <x:v>6</x:v>
      </x:c>
      <x:c r="D2679" s="12" t="n">
        <x:v>0</x:v>
      </x:c>
      <x:c r="E2679" s="12" t="n">
        <x:v>0.5520833333333333</x:v>
      </x:c>
      <x:c r="F2679" s="12" t="n">
        <x:v>0.5519166666666666</x:v>
      </x:c>
      <x:c r="G2679" s="12" t="n">
        <x:v>0</x:v>
      </x:c>
      <x:c r="H2679" s="1" t="n">
        <x:f>'Historical prices'!E2679</x:f>
        <x:v>1.05</x:v>
      </x:c>
      <x:c r="I2679" s="6" t="n">
        <x:f>'Historical prices'!D2679</x:f>
        <x:v>0.2692</x:v>
      </x:c>
      <x:c r="J2679" s="13" t="n">
        <x:f>D2679*I2679*H2679</x:f>
        <x:v>0</x:v>
      </x:c>
      <x:c r="K2679" s="13" t="n">
        <x:f>E2679*I2679*H2679</x:f>
        <x:v>0.15605187499999998</x:v>
      </x:c>
      <x:c r="L2679" s="1" t="str">
        <x:f>TEXT(A2679,"mmm yyyy")</x:f>
        <x:v>Jul 2026</x:v>
      </x:c>
    </x:row>
    <x:row r="2680" ht="21" customHeight="1">
      <x:c r="A2680" s="10" t="n">
        <x:v>46204</x:v>
      </x:c>
      <x:c r="B2680" s="1" t="n">
        <x:v>8</x:v>
      </x:c>
      <x:c r="C2680" s="1" t="n">
        <x:v>6</x:v>
      </x:c>
      <x:c r="D2680" s="12" t="n">
        <x:v>0</x:v>
      </x:c>
      <x:c r="E2680" s="12" t="n">
        <x:v>0.5163333333333333</x:v>
      </x:c>
      <x:c r="F2680" s="12" t="n">
        <x:v>0.51375</x:v>
      </x:c>
      <x:c r="G2680" s="12" t="n">
        <x:v>0</x:v>
      </x:c>
      <x:c r="H2680" s="1" t="n">
        <x:f>'Historical prices'!E2680</x:f>
        <x:v>1.05</x:v>
      </x:c>
      <x:c r="I2680" s="6" t="n">
        <x:f>'Historical prices'!D2680</x:f>
        <x:v>0.2369</x:v>
      </x:c>
      <x:c r="J2680" s="13" t="n">
        <x:f>D2680*I2680*H2680</x:f>
        <x:v>0</x:v>
      </x:c>
      <x:c r="K2680" s="13" t="n">
        <x:f>E2680*I2680*H2680</x:f>
        <x:v>0.128435335</x:v>
      </x:c>
      <x:c r="L2680" s="1" t="str">
        <x:f>TEXT(A2680,"mmm yyyy")</x:f>
        <x:v>Jul 2026</x:v>
      </x:c>
    </x:row>
    <x:row r="2681" ht="21" customHeight="1">
      <x:c r="A2681" s="10" t="n">
        <x:v>46204</x:v>
      </x:c>
      <x:c r="B2681" s="1" t="n">
        <x:v>8.5</x:v>
      </x:c>
      <x:c r="C2681" s="1" t="n">
        <x:v>6</x:v>
      </x:c>
      <x:c r="D2681" s="12" t="n">
        <x:v>0.5795</x:v>
      </x:c>
      <x:c r="E2681" s="12" t="n">
        <x:v>0.4775</x:v>
      </x:c>
      <x:c r="F2681" s="12" t="n">
        <x:v>0</x:v>
      </x:c>
      <x:c r="G2681" s="12" t="n">
        <x:v>0.101</x:v>
      </x:c>
      <x:c r="H2681" s="1" t="n">
        <x:f>'Historical prices'!E2681</x:f>
        <x:v>1.05</x:v>
      </x:c>
      <x:c r="I2681" s="6" t="n">
        <x:f>'Historical prices'!D2681</x:f>
        <x:v>0.2202</x:v>
      </x:c>
      <x:c r="J2681" s="13" t="n">
        <x:f>D2681*I2681*H2681</x:f>
        <x:v>0.133986195</x:v>
      </x:c>
      <x:c r="K2681" s="13" t="n">
        <x:f>E2681*I2681*H2681</x:f>
        <x:v>0.11040277500000001</x:v>
      </x:c>
      <x:c r="L2681" s="1" t="str">
        <x:f>TEXT(A2681,"mmm yyyy")</x:f>
        <x:v>Jul 2026</x:v>
      </x:c>
    </x:row>
    <x:row r="2682" ht="21" customHeight="1">
      <x:c r="A2682" s="10" t="n">
        <x:v>46204</x:v>
      </x:c>
      <x:c r="B2682" s="1" t="n">
        <x:v>9</x:v>
      </x:c>
      <x:c r="C2682" s="1" t="n">
        <x:v>6</x:v>
      </x:c>
      <x:c r="D2682" s="12" t="n">
        <x:v>0.45025000000000004</x:v>
      </x:c>
      <x:c r="E2682" s="12" t="n">
        <x:v>0.46725000000000005</x:v>
      </x:c>
      <x:c r="F2682" s="12" t="n">
        <x:v>0</x:v>
      </x:c>
      <x:c r="G2682" s="12" t="n">
        <x:v>0</x:v>
      </x:c>
      <x:c r="H2682" s="1" t="n">
        <x:f>'Historical prices'!E2682</x:f>
        <x:v>1.05</x:v>
      </x:c>
      <x:c r="I2682" s="6" t="n">
        <x:f>'Historical prices'!D2682</x:f>
        <x:v>0.19190000000000002</x:v>
      </x:c>
      <x:c r="J2682" s="13" t="n">
        <x:f>D2682*I2682*H2682</x:f>
        <x:v>0.09072312375000002</x:v>
      </x:c>
      <x:c r="K2682" s="13" t="n">
        <x:f>E2682*I2682*H2682</x:f>
        <x:v>0.09414853875000002</x:v>
      </x:c>
      <x:c r="L2682" s="1" t="str">
        <x:f>TEXT(A2682,"mmm yyyy")</x:f>
        <x:v>Jul 2026</x:v>
      </x:c>
    </x:row>
    <x:row r="2683" ht="21" customHeight="1">
      <x:c r="A2683" s="10" t="n">
        <x:v>46204</x:v>
      </x:c>
      <x:c r="B2683" s="1" t="n">
        <x:v>9.5</x:v>
      </x:c>
      <x:c r="C2683" s="1" t="n">
        <x:v>6</x:v>
      </x:c>
      <x:c r="D2683" s="12" t="n">
        <x:v>0.39775</x:v>
      </x:c>
      <x:c r="E2683" s="12" t="n">
        <x:v>0.41175</x:v>
      </x:c>
      <x:c r="F2683" s="12" t="n">
        <x:v>0</x:v>
      </x:c>
      <x:c r="G2683" s="12" t="n">
        <x:v>0</x:v>
      </x:c>
      <x:c r="H2683" s="1" t="n">
        <x:f>'Historical prices'!E2683</x:f>
        <x:v>1.05</x:v>
      </x:c>
      <x:c r="I2683" s="6" t="n">
        <x:f>'Historical prices'!D2683</x:f>
        <x:v>0.1895</x:v>
      </x:c>
      <x:c r="J2683" s="13" t="n">
        <x:f>D2683*I2683*H2683</x:f>
        <x:v>0.07914230625</x:v>
      </x:c>
      <x:c r="K2683" s="13" t="n">
        <x:f>E2683*I2683*H2683</x:f>
        <x:v>0.08192795625</x:v>
      </x:c>
      <x:c r="L2683" s="1" t="str">
        <x:f>TEXT(A2683,"mmm yyyy")</x:f>
        <x:v>Jul 2026</x:v>
      </x:c>
    </x:row>
    <x:row r="2684" ht="21" customHeight="1">
      <x:c r="A2684" s="10" t="n">
        <x:v>46204</x:v>
      </x:c>
      <x:c r="B2684" s="1" t="n">
        <x:v>10</x:v>
      </x:c>
      <x:c r="C2684" s="1" t="n">
        <x:v>6</x:v>
      </x:c>
      <x:c r="D2684" s="12" t="n">
        <x:v>0.5249166666666667</x:v>
      </x:c>
      <x:c r="E2684" s="12" t="n">
        <x:v>0.5379166666666667</x:v>
      </x:c>
      <x:c r="F2684" s="12" t="n">
        <x:v>0</x:v>
      </x:c>
      <x:c r="G2684" s="12" t="n">
        <x:v>0</x:v>
      </x:c>
      <x:c r="H2684" s="1" t="n">
        <x:f>'Historical prices'!E2684</x:f>
        <x:v>1.05</x:v>
      </x:c>
      <x:c r="I2684" s="6" t="n">
        <x:f>'Historical prices'!D2684</x:f>
        <x:v>0.183</x:v>
      </x:c>
      <x:c r="J2684" s="13" t="n">
        <x:f>D2684*I2684*H2684</x:f>
        <x:v>0.10086273750000001</x:v>
      </x:c>
      <x:c r="K2684" s="13" t="n">
        <x:f>E2684*I2684*H2684</x:f>
        <x:v>0.1033606875</x:v>
      </x:c>
      <x:c r="L2684" s="1" t="str">
        <x:f>TEXT(A2684,"mmm yyyy")</x:f>
        <x:v>Jul 2026</x:v>
      </x:c>
    </x:row>
    <x:row r="2685" ht="21" customHeight="1">
      <x:c r="A2685" s="10" t="n">
        <x:v>46204</x:v>
      </x:c>
      <x:c r="B2685" s="1" t="n">
        <x:v>10.5</x:v>
      </x:c>
      <x:c r="C2685" s="1" t="n">
        <x:v>6</x:v>
      </x:c>
      <x:c r="D2685" s="12" t="n">
        <x:v>0.4460833333333334</x:v>
      </x:c>
      <x:c r="E2685" s="12" t="n">
        <x:v>0.4570833333333334</x:v>
      </x:c>
      <x:c r="F2685" s="12" t="n">
        <x:v>0</x:v>
      </x:c>
      <x:c r="G2685" s="12" t="n">
        <x:v>0</x:v>
      </x:c>
      <x:c r="H2685" s="1" t="n">
        <x:f>'Historical prices'!E2685</x:f>
        <x:v>1.05</x:v>
      </x:c>
      <x:c r="I2685" s="6" t="n">
        <x:f>'Historical prices'!D2685</x:f>
        <x:v>0.2039</x:v>
      </x:c>
      <x:c r="J2685" s="13" t="n">
        <x:f>D2685*I2685*H2685</x:f>
        <x:v>0.09550421125000001</x:v>
      </x:c>
      <x:c r="K2685" s="13" t="n">
        <x:f>E2685*I2685*H2685</x:f>
        <x:v>0.09785925625000003</x:v>
      </x:c>
      <x:c r="L2685" s="1" t="str">
        <x:f>TEXT(A2685,"mmm yyyy")</x:f>
        <x:v>Jul 2026</x:v>
      </x:c>
    </x:row>
    <x:row r="2686" ht="21" customHeight="1">
      <x:c r="A2686" s="10" t="n">
        <x:v>46204</x:v>
      </x:c>
      <x:c r="B2686" s="1" t="n">
        <x:v>11</x:v>
      </x:c>
      <x:c r="C2686" s="1" t="n">
        <x:v>6</x:v>
      </x:c>
      <x:c r="D2686" s="12" t="n">
        <x:v>0.6928333333333333</x:v>
      </x:c>
      <x:c r="E2686" s="12" t="n">
        <x:v>0.6978333333333333</x:v>
      </x:c>
      <x:c r="F2686" s="12" t="n">
        <x:v>0</x:v>
      </x:c>
      <x:c r="G2686" s="12" t="n">
        <x:v>0</x:v>
      </x:c>
      <x:c r="H2686" s="1" t="n">
        <x:f>'Historical prices'!E2686</x:f>
        <x:v>1.05</x:v>
      </x:c>
      <x:c r="I2686" s="6" t="n">
        <x:f>'Historical prices'!D2686</x:f>
        <x:v>0.21230000000000002</x:v>
      </x:c>
      <x:c r="J2686" s="13" t="n">
        <x:f>D2686*I2686*H2686</x:f>
        <x:v>0.1544429425</x:v>
      </x:c>
      <x:c r="K2686" s="13" t="n">
        <x:f>E2686*I2686*H2686</x:f>
        <x:v>0.1555575175</x:v>
      </x:c>
      <x:c r="L2686" s="1" t="str">
        <x:f>TEXT(A2686,"mmm yyyy")</x:f>
        <x:v>Jul 2026</x:v>
      </x:c>
    </x:row>
    <x:row r="2687" ht="21" customHeight="1">
      <x:c r="A2687" s="10" t="n">
        <x:v>46204</x:v>
      </x:c>
      <x:c r="B2687" s="1" t="n">
        <x:v>11.5</x:v>
      </x:c>
      <x:c r="C2687" s="1" t="n">
        <x:v>6</x:v>
      </x:c>
      <x:c r="D2687" s="12" t="n">
        <x:v>0.7469166666666667</x:v>
      </x:c>
      <x:c r="E2687" s="12" t="n">
        <x:v>0.7509166666666667</x:v>
      </x:c>
      <x:c r="F2687" s="12" t="n">
        <x:v>0</x:v>
      </x:c>
      <x:c r="G2687" s="12" t="n">
        <x:v>0</x:v>
      </x:c>
      <x:c r="H2687" s="1" t="n">
        <x:f>'Historical prices'!E2687</x:f>
        <x:v>1.05</x:v>
      </x:c>
      <x:c r="I2687" s="6" t="n">
        <x:f>'Historical prices'!D2687</x:f>
        <x:v>0.20379999999999998</x:v>
      </x:c>
      <x:c r="J2687" s="13" t="n">
        <x:f>D2687*I2687*H2687</x:f>
        <x:v>0.15983269749999998</x:v>
      </x:c>
      <x:c r="K2687" s="13" t="n">
        <x:f>E2687*I2687*H2687</x:f>
        <x:v>0.1606886575</x:v>
      </x:c>
      <x:c r="L2687" s="1" t="str">
        <x:f>TEXT(A2687,"mmm yyyy")</x:f>
        <x:v>Jul 2026</x:v>
      </x:c>
    </x:row>
    <x:row r="2688" ht="21" customHeight="1">
      <x:c r="A2688" s="10" t="n">
        <x:v>46204</x:v>
      </x:c>
      <x:c r="B2688" s="1" t="n">
        <x:v>12</x:v>
      </x:c>
      <x:c r="C2688" s="1" t="n">
        <x:v>6</x:v>
      </x:c>
      <x:c r="D2688" s="12" t="n">
        <x:v>2.0348333333333333</x:v>
      </x:c>
      <x:c r="E2688" s="12" t="n">
        <x:v>2.0368333333333335</x:v>
      </x:c>
      <x:c r="F2688" s="12" t="n">
        <x:v>0</x:v>
      </x:c>
      <x:c r="G2688" s="12" t="n">
        <x:v>0</x:v>
      </x:c>
      <x:c r="H2688" s="1" t="n">
        <x:f>'Historical prices'!E2688</x:f>
        <x:v>1.05</x:v>
      </x:c>
      <x:c r="I2688" s="6" t="n">
        <x:f>'Historical prices'!D2688</x:f>
        <x:v>0.1839</x:v>
      </x:c>
      <x:c r="J2688" s="13" t="n">
        <x:f>D2688*I2688*H2688</x:f>
        <x:v>0.3929161425</x:v>
      </x:c>
      <x:c r="K2688" s="13" t="n">
        <x:f>E2688*I2688*H2688</x:f>
        <x:v>0.3933023325000001</x:v>
      </x:c>
      <x:c r="L2688" s="1" t="str">
        <x:f>TEXT(A2688,"mmm yyyy")</x:f>
        <x:v>Jul 2026</x:v>
      </x:c>
    </x:row>
    <x:row r="2689" ht="21" customHeight="1">
      <x:c r="A2689" s="10" t="n">
        <x:v>46204</x:v>
      </x:c>
      <x:c r="B2689" s="1" t="n">
        <x:v>12.5</x:v>
      </x:c>
      <x:c r="C2689" s="1" t="n">
        <x:v>6</x:v>
      </x:c>
      <x:c r="D2689" s="12" t="n">
        <x:v>1.1165833333333333</x:v>
      </x:c>
      <x:c r="E2689" s="12" t="n">
        <x:v>1.1185833333333333</x:v>
      </x:c>
      <x:c r="F2689" s="12" t="n">
        <x:v>0</x:v>
      </x:c>
      <x:c r="G2689" s="12" t="n">
        <x:v>0</x:v>
      </x:c>
      <x:c r="H2689" s="1" t="n">
        <x:f>'Historical prices'!E2689</x:f>
        <x:v>1.05</x:v>
      </x:c>
      <x:c r="I2689" s="6" t="n">
        <x:f>'Historical prices'!D2689</x:f>
        <x:v>0.16649999999999998</x:v>
      </x:c>
      <x:c r="J2689" s="13" t="n">
        <x:f>D2689*I2689*H2689</x:f>
        <x:v>0.19520668124999996</x:v>
      </x:c>
      <x:c r="K2689" s="13" t="n">
        <x:f>E2689*I2689*H2689</x:f>
        <x:v>0.19555633124999997</x:v>
      </x:c>
      <x:c r="L2689" s="1" t="str">
        <x:f>TEXT(A2689,"mmm yyyy")</x:f>
        <x:v>Jul 2026</x:v>
      </x:c>
    </x:row>
    <x:row r="2690" ht="21" customHeight="1">
      <x:c r="A2690" s="10" t="n">
        <x:v>46204</x:v>
      </x:c>
      <x:c r="B2690" s="1" t="n">
        <x:v>13</x:v>
      </x:c>
      <x:c r="C2690" s="1" t="n">
        <x:v>6</x:v>
      </x:c>
      <x:c r="D2690" s="12" t="n">
        <x:v>1.5787499999999999</x:v>
      </x:c>
      <x:c r="E2690" s="12" t="n">
        <x:v>1.58075</x:v>
      </x:c>
      <x:c r="F2690" s="12" t="n">
        <x:v>0</x:v>
      </x:c>
      <x:c r="G2690" s="12" t="n">
        <x:v>0</x:v>
      </x:c>
      <x:c r="H2690" s="1" t="n">
        <x:f>'Historical prices'!E2690</x:f>
        <x:v>1.05</x:v>
      </x:c>
      <x:c r="I2690" s="6" t="n">
        <x:f>'Historical prices'!D2690</x:f>
        <x:v>0.1547</x:v>
      </x:c>
      <x:c r="J2690" s="13" t="n">
        <x:f>D2690*I2690*H2690</x:f>
        <x:v>0.25644425625</x:v>
      </x:c>
      <x:c r="K2690" s="13" t="n">
        <x:f>E2690*I2690*H2690</x:f>
        <x:v>0.25676912625000003</x:v>
      </x:c>
      <x:c r="L2690" s="1" t="str">
        <x:f>TEXT(A2690,"mmm yyyy")</x:f>
        <x:v>Jul 2026</x:v>
      </x:c>
    </x:row>
    <x:row r="2691" ht="21" customHeight="1">
      <x:c r="A2691" s="10" t="n">
        <x:v>46204</x:v>
      </x:c>
      <x:c r="B2691" s="1" t="n">
        <x:v>13.5</x:v>
      </x:c>
      <x:c r="C2691" s="1" t="n">
        <x:v>6</x:v>
      </x:c>
      <x:c r="D2691" s="12" t="n">
        <x:v>1.443</x:v>
      </x:c>
      <x:c r="E2691" s="12" t="n">
        <x:v>1.445</x:v>
      </x:c>
      <x:c r="F2691" s="12" t="n">
        <x:v>0</x:v>
      </x:c>
      <x:c r="G2691" s="12" t="n">
        <x:v>0</x:v>
      </x:c>
      <x:c r="H2691" s="1" t="n">
        <x:f>'Historical prices'!E2691</x:f>
        <x:v>1.05</x:v>
      </x:c>
      <x:c r="I2691" s="6" t="n">
        <x:f>'Historical prices'!D2691</x:f>
        <x:v>0.1523</x:v>
      </x:c>
      <x:c r="J2691" s="13" t="n">
        <x:f>D2691*I2691*H2691</x:f>
        <x:v>0.230757345</x:v>
      </x:c>
      <x:c r="K2691" s="13" t="n">
        <x:f>E2691*I2691*H2691</x:f>
        <x:v>0.23107717500000002</x:v>
      </x:c>
      <x:c r="L2691" s="1" t="str">
        <x:f>TEXT(A2691,"mmm yyyy")</x:f>
        <x:v>Jul 2026</x:v>
      </x:c>
    </x:row>
    <x:row r="2692" ht="21" customHeight="1">
      <x:c r="A2692" s="10" t="n">
        <x:v>46204</x:v>
      </x:c>
      <x:c r="B2692" s="1" t="n">
        <x:v>14</x:v>
      </x:c>
      <x:c r="C2692" s="1" t="n">
        <x:v>6</x:v>
      </x:c>
      <x:c r="D2692" s="12" t="n">
        <x:v>0.9672499999999999</x:v>
      </x:c>
      <x:c r="E2692" s="12" t="n">
        <x:v>0.96725</x:v>
      </x:c>
      <x:c r="F2692" s="12" t="n">
        <x:v>0</x:v>
      </x:c>
      <x:c r="G2692" s="12" t="n">
        <x:v>0</x:v>
      </x:c>
      <x:c r="H2692" s="1" t="n">
        <x:f>'Historical prices'!E2692</x:f>
        <x:v>1.05</x:v>
      </x:c>
      <x:c r="I2692" s="6" t="n">
        <x:f>'Historical prices'!D2692</x:f>
        <x:v>0.1517</x:v>
      </x:c>
      <x:c r="J2692" s="13" t="n">
        <x:f>D2692*I2692*H2692</x:f>
        <x:v>0.15406841624999998</x:v>
      </x:c>
      <x:c r="K2692" s="13" t="n">
        <x:f>E2692*I2692*H2692</x:f>
        <x:v>0.15406841625</x:v>
      </x:c>
      <x:c r="L2692" s="1" t="str">
        <x:f>TEXT(A2692,"mmm yyyy")</x:f>
        <x:v>Jul 2026</x:v>
      </x:c>
    </x:row>
    <x:row r="2693" ht="21" customHeight="1">
      <x:c r="A2693" s="10" t="n">
        <x:v>46204</x:v>
      </x:c>
      <x:c r="B2693" s="1" t="n">
        <x:v>14.5</x:v>
      </x:c>
      <x:c r="C2693" s="1" t="n">
        <x:v>6</x:v>
      </x:c>
      <x:c r="D2693" s="12" t="n">
        <x:v>2.01075</x:v>
      </x:c>
      <x:c r="E2693" s="12" t="n">
        <x:v>0.61375</x:v>
      </x:c>
      <x:c r="F2693" s="12" t="n">
        <x:v>0</x:v>
      </x:c>
      <x:c r="G2693" s="12" t="n">
        <x:v>1.3980000000000001</x:v>
      </x:c>
      <x:c r="H2693" s="1" t="n">
        <x:f>'Historical prices'!E2693</x:f>
        <x:v>1.05</x:v>
      </x:c>
      <x:c r="I2693" s="6" t="n">
        <x:f>'Historical prices'!D2693</x:f>
        <x:v>0.1472</x:v>
      </x:c>
      <x:c r="J2693" s="13" t="n">
        <x:f>D2693*I2693*H2693</x:f>
        <x:v>0.31078152</x:v>
      </x:c>
      <x:c r="K2693" s="13" t="n">
        <x:f>E2693*I2693*H2693</x:f>
        <x:v>0.0948612</x:v>
      </x:c>
      <x:c r="L2693" s="1" t="str">
        <x:f>TEXT(A2693,"mmm yyyy")</x:f>
        <x:v>Jul 2026</x:v>
      </x:c>
    </x:row>
    <x:row r="2694" ht="21" customHeight="1">
      <x:c r="A2694" s="10" t="n">
        <x:v>46204</x:v>
      </x:c>
      <x:c r="B2694" s="1" t="n">
        <x:v>15</x:v>
      </x:c>
      <x:c r="C2694" s="1" t="n">
        <x:v>6</x:v>
      </x:c>
      <x:c r="D2694" s="12" t="n">
        <x:v>5.004666666666666</x:v>
      </x:c>
      <x:c r="E2694" s="12" t="n">
        <x:v>0.7836666666666666</x:v>
      </x:c>
      <x:c r="F2694" s="12" t="n">
        <x:v>0</x:v>
      </x:c>
      <x:c r="G2694" s="12" t="n">
        <x:v>4.221</x:v>
      </x:c>
      <x:c r="H2694" s="1" t="n">
        <x:f>'Historical prices'!E2694</x:f>
        <x:v>1.05</x:v>
      </x:c>
      <x:c r="I2694" s="6" t="n">
        <x:f>'Historical prices'!D2694</x:f>
        <x:v>0.1426</x:v>
      </x:c>
      <x:c r="J2694" s="13" t="n">
        <x:f>D2694*I2694*H2694</x:f>
        <x:v>0.74934874</x:v>
      </x:c>
      <x:c r="K2694" s="13" t="n">
        <x:f>E2694*I2694*H2694</x:f>
        <x:v>0.11733841</x:v>
      </x:c>
      <x:c r="L2694" s="1" t="str">
        <x:f>TEXT(A2694,"mmm yyyy")</x:f>
        <x:v>Jul 2026</x:v>
      </x:c>
    </x:row>
    <x:row r="2695" ht="21" customHeight="1">
      <x:c r="A2695" s="10" t="n">
        <x:v>46204</x:v>
      </x:c>
      <x:c r="B2695" s="1" t="n">
        <x:v>15.5</x:v>
      </x:c>
      <x:c r="C2695" s="1" t="n">
        <x:v>6</x:v>
      </x:c>
      <x:c r="D2695" s="12" t="n">
        <x:v>5.054583333333333</x:v>
      </x:c>
      <x:c r="E2695" s="12" t="n">
        <x:v>0.6725833333333333</x:v>
      </x:c>
      <x:c r="F2695" s="12" t="n">
        <x:v>0</x:v>
      </x:c>
      <x:c r="G2695" s="12" t="n">
        <x:v>4.382</x:v>
      </x:c>
      <x:c r="H2695" s="1" t="n">
        <x:f>'Historical prices'!E2695</x:f>
        <x:v>1.05</x:v>
      </x:c>
      <x:c r="I2695" s="6" t="n">
        <x:f>'Historical prices'!D2695</x:f>
        <x:v>0.1426</x:v>
      </x:c>
      <x:c r="J2695" s="13" t="n">
        <x:f>D2695*I2695*H2695</x:f>
        <x:v>0.7568227625</x:v>
      </x:c>
      <x:c r="K2695" s="13" t="n">
        <x:f>E2695*I2695*H2695</x:f>
        <x:v>0.1007059025</x:v>
      </x:c>
      <x:c r="L2695" s="1" t="str">
        <x:f>TEXT(A2695,"mmm yyyy")</x:f>
        <x:v>Jul 2026</x:v>
      </x:c>
    </x:row>
    <x:row r="2696" ht="21" customHeight="1">
      <x:c r="A2696" s="10" t="n">
        <x:v>46204</x:v>
      </x:c>
      <x:c r="B2696" s="1" t="n">
        <x:v>16</x:v>
      </x:c>
      <x:c r="C2696" s="1" t="n">
        <x:v>6</x:v>
      </x:c>
      <x:c r="D2696" s="12" t="n">
        <x:v>0.72325</x:v>
      </x:c>
      <x:c r="E2696" s="12" t="n">
        <x:v>0.594</x:v>
      </x:c>
      <x:c r="F2696" s="12" t="n">
        <x:v>0.4846666666666667</x:v>
      </x:c>
      <x:c r="G2696" s="12" t="n">
        <x:v>0.617</x:v>
      </x:c>
      <x:c r="H2696" s="1" t="n">
        <x:f>'Historical prices'!E2696</x:f>
        <x:v>1.05</x:v>
      </x:c>
      <x:c r="I2696" s="6" t="n">
        <x:f>'Historical prices'!D2696</x:f>
        <x:v>0.2756</x:v>
      </x:c>
      <x:c r="J2696" s="13" t="n">
        <x:f>D2696*I2696*H2696</x:f>
        <x:v>0.20929408500000002</x:v>
      </x:c>
      <x:c r="K2696" s="13" t="n">
        <x:f>E2696*I2696*H2696</x:f>
        <x:v>0.17189172</x:v>
      </x:c>
      <x:c r="L2696" s="1" t="str">
        <x:f>TEXT(A2696,"mmm yyyy")</x:f>
        <x:v>Jul 2026</x:v>
      </x:c>
    </x:row>
    <x:row r="2697" ht="21" customHeight="1">
      <x:c r="A2697" s="10" t="n">
        <x:v>46204</x:v>
      </x:c>
      <x:c r="B2697" s="1" t="n">
        <x:v>16.5</x:v>
      </x:c>
      <x:c r="C2697" s="1" t="n">
        <x:v>6</x:v>
      </x:c>
      <x:c r="D2697" s="12" t="n">
        <x:v>0</x:v>
      </x:c>
      <x:c r="E2697" s="12" t="n">
        <x:v>0.5537500000000001</x:v>
      </x:c>
      <x:c r="F2697" s="12" t="n">
        <x:v>0.5536666666666666</x:v>
      </x:c>
      <x:c r="G2697" s="12" t="n">
        <x:v>0</x:v>
      </x:c>
      <x:c r="H2697" s="1" t="n">
        <x:f>'Historical prices'!E2697</x:f>
        <x:v>1.05</x:v>
      </x:c>
      <x:c r="I2697" s="6" t="n">
        <x:f>'Historical prices'!D2697</x:f>
        <x:v>0.2731</x:v>
      </x:c>
      <x:c r="J2697" s="13" t="n">
        <x:f>D2697*I2697*H2697</x:f>
        <x:v>0</x:v>
      </x:c>
      <x:c r="K2697" s="13" t="n">
        <x:f>E2697*I2697*H2697</x:f>
        <x:v>0.15879058125000003</x:v>
      </x:c>
      <x:c r="L2697" s="1" t="str">
        <x:f>TEXT(A2697,"mmm yyyy")</x:f>
        <x:v>Jul 2026</x:v>
      </x:c>
    </x:row>
    <x:row r="2698" ht="21" customHeight="1">
      <x:c r="A2698" s="10" t="n">
        <x:v>46204</x:v>
      </x:c>
      <x:c r="B2698" s="1" t="n">
        <x:v>17</x:v>
      </x:c>
      <x:c r="C2698" s="1" t="n">
        <x:v>6</x:v>
      </x:c>
      <x:c r="D2698" s="12" t="n">
        <x:v>0</x:v>
      </x:c>
      <x:c r="E2698" s="12" t="n">
        <x:v>0.65275</x:v>
      </x:c>
      <x:c r="F2698" s="12" t="n">
        <x:v>0.6525833333333333</x:v>
      </x:c>
      <x:c r="G2698" s="12" t="n">
        <x:v>0</x:v>
      </x:c>
      <x:c r="H2698" s="1" t="n">
        <x:f>'Historical prices'!E2698</x:f>
        <x:v>1.05</x:v>
      </x:c>
      <x:c r="I2698" s="6" t="n">
        <x:f>'Historical prices'!D2698</x:f>
        <x:v>0.3041</x:v>
      </x:c>
      <x:c r="J2698" s="13" t="n">
        <x:f>D2698*I2698*H2698</x:f>
        <x:v>0</x:v>
      </x:c>
      <x:c r="K2698" s="13" t="n">
        <x:f>E2698*I2698*H2698</x:f>
        <x:v>0.20842633875000002</x:v>
      </x:c>
      <x:c r="L2698" s="1" t="str">
        <x:f>TEXT(A2698,"mmm yyyy")</x:f>
        <x:v>Jul 2026</x:v>
      </x:c>
    </x:row>
    <x:row r="2699" ht="21" customHeight="1">
      <x:c r="A2699" s="10" t="n">
        <x:v>46204</x:v>
      </x:c>
      <x:c r="B2699" s="1" t="n">
        <x:v>17.5</x:v>
      </x:c>
      <x:c r="C2699" s="1" t="n">
        <x:v>6</x:v>
      </x:c>
      <x:c r="D2699" s="12" t="n">
        <x:v>0</x:v>
      </x:c>
      <x:c r="E2699" s="12" t="n">
        <x:v>0.552</x:v>
      </x:c>
      <x:c r="F2699" s="12" t="n">
        <x:v>0.5519166666666666</x:v>
      </x:c>
      <x:c r="G2699" s="12" t="n">
        <x:v>0</x:v>
      </x:c>
      <x:c r="H2699" s="1" t="n">
        <x:f>'Historical prices'!E2699</x:f>
        <x:v>1.05</x:v>
      </x:c>
      <x:c r="I2699" s="6" t="n">
        <x:f>'Historical prices'!D2699</x:f>
        <x:v>0.3157</x:v>
      </x:c>
      <x:c r="J2699" s="13" t="n">
        <x:f>D2699*I2699*H2699</x:f>
        <x:v>0</x:v>
      </x:c>
      <x:c r="K2699" s="13" t="n">
        <x:f>E2699*I2699*H2699</x:f>
        <x:v>0.18297972</x:v>
      </x:c>
      <x:c r="L2699" s="1" t="str">
        <x:f>TEXT(A2699,"mmm yyyy")</x:f>
        <x:v>Jul 2026</x:v>
      </x:c>
    </x:row>
    <x:row r="2700" ht="21" customHeight="1">
      <x:c r="A2700" s="10" t="n">
        <x:v>46204</x:v>
      </x:c>
      <x:c r="B2700" s="1" t="n">
        <x:v>18</x:v>
      </x:c>
      <x:c r="C2700" s="1" t="n">
        <x:v>6</x:v>
      </x:c>
      <x:c r="D2700" s="12" t="n">
        <x:v>0</x:v>
      </x:c>
      <x:c r="E2700" s="12" t="n">
        <x:v>0.6590833333333334</x:v>
      </x:c>
      <x:c r="F2700" s="12" t="n">
        <x:v>0.65875</x:v>
      </x:c>
      <x:c r="G2700" s="12" t="n">
        <x:v>0</x:v>
      </x:c>
      <x:c r="H2700" s="1" t="n">
        <x:f>'Historical prices'!E2700</x:f>
        <x:v>1.05</x:v>
      </x:c>
      <x:c r="I2700" s="6" t="n">
        <x:f>'Historical prices'!D2700</x:f>
        <x:v>0.3172</x:v>
      </x:c>
      <x:c r="J2700" s="13" t="n">
        <x:f>D2700*I2700*H2700</x:f>
        <x:v>0</x:v>
      </x:c>
      <x:c r="K2700" s="13" t="n">
        <x:f>E2700*I2700*H2700</x:f>
        <x:v>0.219514295</x:v>
      </x:c>
      <x:c r="L2700" s="1" t="str">
        <x:f>TEXT(A2700,"mmm yyyy")</x:f>
        <x:v>Jul 2026</x:v>
      </x:c>
    </x:row>
    <x:row r="2701" ht="21" customHeight="1">
      <x:c r="A2701" s="10" t="n">
        <x:v>46204</x:v>
      </x:c>
      <x:c r="B2701" s="1" t="n">
        <x:v>18.5</x:v>
      </x:c>
      <x:c r="C2701" s="1" t="n">
        <x:v>6</x:v>
      </x:c>
      <x:c r="D2701" s="12" t="n">
        <x:v>0</x:v>
      </x:c>
      <x:c r="E2701" s="12" t="n">
        <x:v>1.44125</x:v>
      </x:c>
      <x:c r="F2701" s="12" t="n">
        <x:v>1.440583333333333</x:v>
      </x:c>
      <x:c r="G2701" s="12" t="n">
        <x:v>0</x:v>
      </x:c>
      <x:c r="H2701" s="1" t="n">
        <x:f>'Historical prices'!E2701</x:f>
        <x:v>1.05</x:v>
      </x:c>
      <x:c r="I2701" s="6" t="n">
        <x:f>'Historical prices'!D2701</x:f>
        <x:v>0.31489999999999996</x:v>
      </x:c>
      <x:c r="J2701" s="13" t="n">
        <x:f>D2701*I2701*H2701</x:f>
        <x:v>0</x:v>
      </x:c>
      <x:c r="K2701" s="13" t="n">
        <x:f>E2701*I2701*H2701</x:f>
        <x:v>0.47654210624999993</x:v>
      </x:c>
      <x:c r="L2701" s="1" t="str">
        <x:f>TEXT(A2701,"mmm yyyy")</x:f>
        <x:v>Jul 2026</x:v>
      </x:c>
    </x:row>
    <x:row r="2702" ht="21" customHeight="1">
      <x:c r="A2702" s="10" t="n">
        <x:v>46204</x:v>
      </x:c>
      <x:c r="B2702" s="1" t="n">
        <x:v>19</x:v>
      </x:c>
      <x:c r="C2702" s="1" t="n">
        <x:v>6</x:v>
      </x:c>
      <x:c r="D2702" s="12" t="n">
        <x:v>0</x:v>
      </x:c>
      <x:c r="E2702" s="12" t="n">
        <x:v>0.7015</x:v>
      </x:c>
      <x:c r="F2702" s="12" t="n">
        <x:v>0.7013333333333334</x:v>
      </x:c>
      <x:c r="G2702" s="12" t="n">
        <x:v>0</x:v>
      </x:c>
      <x:c r="H2702" s="1" t="n">
        <x:f>'Historical prices'!E2702</x:f>
        <x:v>1.05</x:v>
      </x:c>
      <x:c r="I2702" s="6" t="n">
        <x:f>'Historical prices'!D2702</x:f>
        <x:v>0.2182</x:v>
      </x:c>
      <x:c r="J2702" s="13" t="n">
        <x:f>D2702*I2702*H2702</x:f>
        <x:v>0</x:v>
      </x:c>
      <x:c r="K2702" s="13" t="n">
        <x:f>E2702*I2702*H2702</x:f>
        <x:v>0.160720665</x:v>
      </x:c>
      <x:c r="L2702" s="1" t="str">
        <x:f>TEXT(A2702,"mmm yyyy")</x:f>
        <x:v>Jul 2026</x:v>
      </x:c>
    </x:row>
    <x:row r="2703" ht="21" customHeight="1">
      <x:c r="A2703" s="10" t="n">
        <x:v>46204</x:v>
      </x:c>
      <x:c r="B2703" s="1" t="n">
        <x:v>19.5</x:v>
      </x:c>
      <x:c r="C2703" s="1" t="n">
        <x:v>6</x:v>
      </x:c>
      <x:c r="D2703" s="12" t="n">
        <x:v>0</x:v>
      </x:c>
      <x:c r="E2703" s="12" t="n">
        <x:v>0.4776666666666667</x:v>
      </x:c>
      <x:c r="F2703" s="12" t="n">
        <x:v>0.47758333333333336</x:v>
      </x:c>
      <x:c r="G2703" s="12" t="n">
        <x:v>0</x:v>
      </x:c>
      <x:c r="H2703" s="1" t="n">
        <x:f>'Historical prices'!E2703</x:f>
        <x:v>1.05</x:v>
      </x:c>
      <x:c r="I2703" s="6" t="n">
        <x:f>'Historical prices'!D2703</x:f>
        <x:v>0.2186</x:v>
      </x:c>
      <x:c r="J2703" s="13" t="n">
        <x:f>D2703*I2703*H2703</x:f>
        <x:v>0</x:v>
      </x:c>
      <x:c r="K2703" s="13" t="n">
        <x:f>E2703*I2703*H2703</x:f>
        <x:v>0.10963883</x:v>
      </x:c>
      <x:c r="L2703" s="1" t="str">
        <x:f>TEXT(A2703,"mmm yyyy")</x:f>
        <x:v>Jul 2026</x:v>
      </x:c>
    </x:row>
    <x:row r="2704" ht="21" customHeight="1">
      <x:c r="A2704" s="10" t="n">
        <x:v>46204</x:v>
      </x:c>
      <x:c r="B2704" s="1" t="n">
        <x:v>20</x:v>
      </x:c>
      <x:c r="C2704" s="1" t="n">
        <x:v>6</x:v>
      </x:c>
      <x:c r="D2704" s="12" t="n">
        <x:v>0</x:v>
      </x:c>
      <x:c r="E2704" s="12" t="n">
        <x:v>0.5118333333333334</x:v>
      </x:c>
      <x:c r="F2704" s="12" t="n">
        <x:v>0.5115</x:v>
      </x:c>
      <x:c r="G2704" s="12" t="n">
        <x:v>0</x:v>
      </x:c>
      <x:c r="H2704" s="1" t="n">
        <x:f>'Historical prices'!E2704</x:f>
        <x:v>1.05</x:v>
      </x:c>
      <x:c r="I2704" s="6" t="n">
        <x:f>'Historical prices'!D2704</x:f>
        <x:v>0.20679999999999998</x:v>
      </x:c>
      <x:c r="J2704" s="13" t="n">
        <x:f>D2704*I2704*H2704</x:f>
        <x:v>0</x:v>
      </x:c>
      <x:c r="K2704" s="13" t="n">
        <x:f>E2704*I2704*H2704</x:f>
        <x:v>0.11113949</x:v>
      </x:c>
      <x:c r="L2704" s="1" t="str">
        <x:f>TEXT(A2704,"mmm yyyy")</x:f>
        <x:v>Jul 2026</x:v>
      </x:c>
    </x:row>
    <x:row r="2705" ht="21" customHeight="1">
      <x:c r="A2705" s="10" t="n">
        <x:v>46204</x:v>
      </x:c>
      <x:c r="B2705" s="1" t="n">
        <x:v>20.5</x:v>
      </x:c>
      <x:c r="C2705" s="1" t="n">
        <x:v>6</x:v>
      </x:c>
      <x:c r="D2705" s="12" t="n">
        <x:v>0</x:v>
      </x:c>
      <x:c r="E2705" s="12" t="n">
        <x:v>0.6389999999999999</x:v>
      </x:c>
      <x:c r="F2705" s="12" t="n">
        <x:v>0.6387499999999999</x:v>
      </x:c>
      <x:c r="G2705" s="12" t="n">
        <x:v>0</x:v>
      </x:c>
      <x:c r="H2705" s="1" t="n">
        <x:f>'Historical prices'!E2705</x:f>
        <x:v>1.05</x:v>
      </x:c>
      <x:c r="I2705" s="6" t="n">
        <x:f>'Historical prices'!D2705</x:f>
        <x:v>0.1934</x:v>
      </x:c>
      <x:c r="J2705" s="13" t="n">
        <x:f>D2705*I2705*H2705</x:f>
        <x:v>0</x:v>
      </x:c>
      <x:c r="K2705" s="13" t="n">
        <x:f>E2705*I2705*H2705</x:f>
        <x:v>0.12976172999999996</x:v>
      </x:c>
      <x:c r="L2705" s="1" t="str">
        <x:f>TEXT(A2705,"mmm yyyy")</x:f>
        <x:v>Jul 2026</x:v>
      </x:c>
    </x:row>
    <x:row r="2706" ht="21" customHeight="1">
      <x:c r="A2706" s="10" t="n">
        <x:v>46204</x:v>
      </x:c>
      <x:c r="B2706" s="1" t="n">
        <x:v>21</x:v>
      </x:c>
      <x:c r="C2706" s="1" t="n">
        <x:v>6</x:v>
      </x:c>
      <x:c r="D2706" s="12" t="n">
        <x:v>0</x:v>
      </x:c>
      <x:c r="E2706" s="12" t="n">
        <x:v>0.5616666666666666</x:v>
      </x:c>
      <x:c r="F2706" s="12" t="n">
        <x:v>0.5616666666666666</x:v>
      </x:c>
      <x:c r="G2706" s="12" t="n">
        <x:v>0</x:v>
      </x:c>
      <x:c r="H2706" s="1" t="n">
        <x:f>'Historical prices'!E2706</x:f>
        <x:v>1.05</x:v>
      </x:c>
      <x:c r="I2706" s="6" t="n">
        <x:f>'Historical prices'!D2706</x:f>
        <x:v>0.20579999999999998</x:v>
      </x:c>
      <x:c r="J2706" s="13" t="n">
        <x:f>D2706*I2706*H2706</x:f>
        <x:v>0</x:v>
      </x:c>
      <x:c r="K2706" s="13" t="n">
        <x:f>E2706*I2706*H2706</x:f>
        <x:v>0.12137055</x:v>
      </x:c>
      <x:c r="L2706" s="1" t="str">
        <x:f>TEXT(A2706,"mmm yyyy")</x:f>
        <x:v>Jul 2026</x:v>
      </x:c>
    </x:row>
    <x:row r="2707" ht="21" customHeight="1">
      <x:c r="A2707" s="10" t="n">
        <x:v>46204</x:v>
      </x:c>
      <x:c r="B2707" s="1" t="n">
        <x:v>21.5</x:v>
      </x:c>
      <x:c r="C2707" s="1" t="n">
        <x:v>6</x:v>
      </x:c>
      <x:c r="D2707" s="12" t="n">
        <x:v>0</x:v>
      </x:c>
      <x:c r="E2707" s="12" t="n">
        <x:v>0.5059166666666667</x:v>
      </x:c>
      <x:c r="F2707" s="12" t="n">
        <x:v>0.5057499999999999</x:v>
      </x:c>
      <x:c r="G2707" s="12" t="n">
        <x:v>0</x:v>
      </x:c>
      <x:c r="H2707" s="1" t="n">
        <x:f>'Historical prices'!E2707</x:f>
        <x:v>1.05</x:v>
      </x:c>
      <x:c r="I2707" s="6" t="n">
        <x:f>'Historical prices'!D2707</x:f>
        <x:v>0.17300000000000001</x:v>
      </x:c>
      <x:c r="J2707" s="13" t="n">
        <x:f>D2707*I2707*H2707</x:f>
        <x:v>0</x:v>
      </x:c>
      <x:c r="K2707" s="13" t="n">
        <x:f>E2707*I2707*H2707</x:f>
        <x:v>0.09189976250000002</x:v>
      </x:c>
      <x:c r="L2707" s="1" t="str">
        <x:f>TEXT(A2707,"mmm yyyy")</x:f>
        <x:v>Jul 2026</x:v>
      </x:c>
    </x:row>
    <x:row r="2708" ht="21" customHeight="1">
      <x:c r="A2708" s="10" t="n">
        <x:v>46204</x:v>
      </x:c>
      <x:c r="B2708" s="1" t="n">
        <x:v>22</x:v>
      </x:c>
      <x:c r="C2708" s="1" t="n">
        <x:v>6</x:v>
      </x:c>
      <x:c r="D2708" s="12" t="n">
        <x:v>0</x:v>
      </x:c>
      <x:c r="E2708" s="12" t="n">
        <x:v>0.7080833333333334</x:v>
      </x:c>
      <x:c r="F2708" s="12" t="n">
        <x:v>0.70775</x:v>
      </x:c>
      <x:c r="G2708" s="12" t="n">
        <x:v>0</x:v>
      </x:c>
      <x:c r="H2708" s="1" t="n">
        <x:f>'Historical prices'!E2708</x:f>
        <x:v>1.05</x:v>
      </x:c>
      <x:c r="I2708" s="6" t="n">
        <x:f>'Historical prices'!D2708</x:f>
        <x:v>0.1684</x:v>
      </x:c>
      <x:c r="J2708" s="13" t="n">
        <x:f>D2708*I2708*H2708</x:f>
        <x:v>0</x:v>
      </x:c>
      <x:c r="K2708" s="13" t="n">
        <x:f>E2708*I2708*H2708</x:f>
        <x:v>0.12520329500000002</x:v>
      </x:c>
      <x:c r="L2708" s="1" t="str">
        <x:f>TEXT(A2708,"mmm yyyy")</x:f>
        <x:v>Jul 2026</x:v>
      </x:c>
    </x:row>
    <x:row r="2709" ht="21" customHeight="1">
      <x:c r="A2709" s="10" t="n">
        <x:v>46204</x:v>
      </x:c>
      <x:c r="B2709" s="1" t="n">
        <x:v>22.5</x:v>
      </x:c>
      <x:c r="C2709" s="1" t="n">
        <x:v>6</x:v>
      </x:c>
      <x:c r="D2709" s="12" t="n">
        <x:v>0</x:v>
      </x:c>
      <x:c r="E2709" s="12" t="n">
        <x:v>0.28883333333333333</x:v>
      </x:c>
      <x:c r="F2709" s="12" t="n">
        <x:v>0.2886666666666667</x:v>
      </x:c>
      <x:c r="G2709" s="12" t="n">
        <x:v>0</x:v>
      </x:c>
      <x:c r="H2709" s="1" t="n">
        <x:f>'Historical prices'!E2709</x:f>
        <x:v>1.05</x:v>
      </x:c>
      <x:c r="I2709" s="6" t="n">
        <x:f>'Historical prices'!D2709</x:f>
        <x:v>0.16399999999999998</x:v>
      </x:c>
      <x:c r="J2709" s="13" t="n">
        <x:f>D2709*I2709*H2709</x:f>
        <x:v>0</x:v>
      </x:c>
      <x:c r="K2709" s="13" t="n">
        <x:f>E2709*I2709*H2709</x:f>
        <x:v>0.0497371</x:v>
      </x:c>
      <x:c r="L2709" s="1" t="str">
        <x:f>TEXT(A2709,"mmm yyyy")</x:f>
        <x:v>Jul 2026</x:v>
      </x:c>
    </x:row>
    <x:row r="2710" ht="21" customHeight="1">
      <x:c r="A2710" s="10" t="n">
        <x:v>46204</x:v>
      </x:c>
      <x:c r="B2710" s="1" t="n">
        <x:v>23</x:v>
      </x:c>
      <x:c r="C2710" s="1" t="n">
        <x:v>6</x:v>
      </x:c>
      <x:c r="D2710" s="12" t="n">
        <x:v>0</x:v>
      </x:c>
      <x:c r="E2710" s="12" t="n">
        <x:v>0.31</x:v>
      </x:c>
      <x:c r="F2710" s="12" t="n">
        <x:v>0.30974999999999997</x:v>
      </x:c>
      <x:c r="G2710" s="12" t="n">
        <x:v>0</x:v>
      </x:c>
      <x:c r="H2710" s="1" t="n">
        <x:f>'Historical prices'!E2710</x:f>
        <x:v>1.05</x:v>
      </x:c>
      <x:c r="I2710" s="6" t="n">
        <x:f>'Historical prices'!D2710</x:f>
        <x:v>0.14859999999999998</x:v>
      </x:c>
      <x:c r="J2710" s="13" t="n">
        <x:f>D2710*I2710*H2710</x:f>
        <x:v>0</x:v>
      </x:c>
      <x:c r="K2710" s="13" t="n">
        <x:f>E2710*I2710*H2710</x:f>
        <x:v>0.0483693</x:v>
      </x:c>
      <x:c r="L2710" s="1" t="str">
        <x:f>TEXT(A2710,"mmm yyyy")</x:f>
        <x:v>Jul 2026</x:v>
      </x:c>
    </x:row>
    <x:row r="2711" ht="21" customHeight="1">
      <x:c r="A2711" s="10" t="n">
        <x:v>46204</x:v>
      </x:c>
      <x:c r="B2711" s="1" t="n">
        <x:v>23.5</x:v>
      </x:c>
      <x:c r="C2711" s="1" t="n">
        <x:v>6</x:v>
      </x:c>
      <x:c r="D2711" s="12" t="n">
        <x:v>0</x:v>
      </x:c>
      <x:c r="E2711" s="12" t="n">
        <x:v>0.3016666666666667</x:v>
      </x:c>
      <x:c r="F2711" s="12" t="n">
        <x:v>0.30141666666666667</x:v>
      </x:c>
      <x:c r="G2711" s="12" t="n">
        <x:v>0</x:v>
      </x:c>
      <x:c r="H2711" s="1" t="n">
        <x:f>'Historical prices'!E2711</x:f>
        <x:v>1.05</x:v>
      </x:c>
      <x:c r="I2711" s="6" t="n">
        <x:f>'Historical prices'!D2711</x:f>
        <x:v>0.12359999999999999</x:v>
      </x:c>
      <x:c r="J2711" s="13" t="n">
        <x:f>D2711*I2711*H2711</x:f>
        <x:v>0</x:v>
      </x:c>
      <x:c r="K2711" s="13" t="n">
        <x:f>E2711*I2711*H2711</x:f>
        <x:v>0.0391503</x:v>
      </x:c>
      <x:c r="L2711" s="1" t="str">
        <x:f>TEXT(A2711,"mmm yyyy")</x:f>
        <x:v>Jul 2026</x:v>
      </x:c>
    </x:row>
    <x:row r="2712" ht="21" customHeight="1">
      <x:c r="A2712" s="10" t="n">
        <x:v>46205</x:v>
      </x:c>
      <x:c r="B2712" s="1" t="n">
        <x:v>0</x:v>
      </x:c>
      <x:c r="C2712" s="1" t="n">
        <x:v>6</x:v>
      </x:c>
      <x:c r="D2712" s="12" t="n">
        <x:v>0</x:v>
      </x:c>
      <x:c r="E2712" s="12" t="n">
        <x:v>0.672</x:v>
      </x:c>
      <x:c r="F2712" s="12" t="n">
        <x:v>0.6719166666666666</x:v>
      </x:c>
      <x:c r="G2712" s="12" t="n">
        <x:v>0</x:v>
      </x:c>
      <x:c r="H2712" s="1" t="n">
        <x:f>'Historical prices'!E2712</x:f>
        <x:v>1.05</x:v>
      </x:c>
      <x:c r="I2712" s="6" t="n">
        <x:f>'Historical prices'!D2712</x:f>
        <x:v>0.1277</x:v>
      </x:c>
      <x:c r="J2712" s="13" t="n">
        <x:f>D2712*I2712*H2712</x:f>
        <x:v>0</x:v>
      </x:c>
      <x:c r="K2712" s="13" t="n">
        <x:f>E2712*I2712*H2712</x:f>
        <x:v>0.09010512000000001</x:v>
      </x:c>
      <x:c r="L2712" s="1" t="str">
        <x:f>TEXT(A2712,"mmm yyyy")</x:f>
        <x:v>Jul 2026</x:v>
      </x:c>
    </x:row>
    <x:row r="2713" ht="21" customHeight="1">
      <x:c r="A2713" s="10" t="n">
        <x:v>46205</x:v>
      </x:c>
      <x:c r="B2713" s="1" t="n">
        <x:v>0.5</x:v>
      </x:c>
      <x:c r="C2713" s="1" t="n">
        <x:v>6</x:v>
      </x:c>
      <x:c r="D2713" s="12" t="n">
        <x:v>0</x:v>
      </x:c>
      <x:c r="E2713" s="12" t="n">
        <x:v>0.3085</x:v>
      </x:c>
      <x:c r="F2713" s="12" t="n">
        <x:v>0.3068333333333333</x:v>
      </x:c>
      <x:c r="G2713" s="12" t="n">
        <x:v>0</x:v>
      </x:c>
      <x:c r="H2713" s="1" t="n">
        <x:f>'Historical prices'!E2713</x:f>
        <x:v>1.05</x:v>
      </x:c>
      <x:c r="I2713" s="6" t="n">
        <x:f>'Historical prices'!D2713</x:f>
        <x:v>0.10890000000000001</x:v>
      </x:c>
      <x:c r="J2713" s="13" t="n">
        <x:f>D2713*I2713*H2713</x:f>
        <x:v>0</x:v>
      </x:c>
      <x:c r="K2713" s="13" t="n">
        <x:f>E2713*I2713*H2713</x:f>
        <x:v>0.03527543250000001</x:v>
      </x:c>
      <x:c r="L2713" s="1" t="str">
        <x:f>TEXT(A2713,"mmm yyyy")</x:f>
        <x:v>Jul 2026</x:v>
      </x:c>
    </x:row>
    <x:row r="2714" ht="21" customHeight="1">
      <x:c r="A2714" s="10" t="n">
        <x:v>46205</x:v>
      </x:c>
      <x:c r="B2714" s="1" t="n">
        <x:v>1</x:v>
      </x:c>
      <x:c r="C2714" s="1" t="n">
        <x:v>6</x:v>
      </x:c>
      <x:c r="D2714" s="12" t="n">
        <x:v>0.2961666666666667</x:v>
      </x:c>
      <x:c r="E2714" s="12" t="n">
        <x:v>0.28525</x:v>
      </x:c>
      <x:c r="F2714" s="12" t="n">
        <x:v>0.078</x:v>
      </x:c>
      <x:c r="G2714" s="12" t="n">
        <x:v>0.088</x:v>
      </x:c>
      <x:c r="H2714" s="1" t="n">
        <x:f>'Historical prices'!E2714</x:f>
        <x:v>1.05</x:v>
      </x:c>
      <x:c r="I2714" s="6" t="n">
        <x:f>'Historical prices'!D2714</x:f>
        <x:v>0.0958</x:v>
      </x:c>
      <x:c r="J2714" s="13" t="n">
        <x:f>D2714*I2714*H2714</x:f>
        <x:v>0.029791405</x:v>
      </x:c>
      <x:c r="K2714" s="13" t="n">
        <x:f>E2714*I2714*H2714</x:f>
        <x:v>0.0286932975</x:v>
      </x:c>
      <x:c r="L2714" s="1" t="str">
        <x:f>TEXT(A2714,"mmm yyyy")</x:f>
        <x:v>Jul 2026</x:v>
      </x:c>
    </x:row>
    <x:row r="2715" ht="21" customHeight="1">
      <x:c r="A2715" s="10" t="n">
        <x:v>46205</x:v>
      </x:c>
      <x:c r="B2715" s="1" t="n">
        <x:v>1.5</x:v>
      </x:c>
      <x:c r="C2715" s="1" t="n">
        <x:v>6</x:v>
      </x:c>
      <x:c r="D2715" s="12" t="n">
        <x:v>0.3318333333333333</x:v>
      </x:c>
      <x:c r="E2715" s="12" t="n">
        <x:v>0.3368333333333333</x:v>
      </x:c>
      <x:c r="F2715" s="12" t="n">
        <x:v>0</x:v>
      </x:c>
      <x:c r="G2715" s="12" t="n">
        <x:v>0</x:v>
      </x:c>
      <x:c r="H2715" s="1" t="n">
        <x:f>'Historical prices'!E2715</x:f>
        <x:v>1.05</x:v>
      </x:c>
      <x:c r="I2715" s="6" t="n">
        <x:f>'Historical prices'!D2715</x:f>
        <x:v>0.08</x:v>
      </x:c>
      <x:c r="J2715" s="13" t="n">
        <x:f>D2715*I2715*H2715</x:f>
        <x:v>0.027874</x:v>
      </x:c>
      <x:c r="K2715" s="13" t="n">
        <x:f>E2715*I2715*H2715</x:f>
        <x:v>0.028294000000000003</x:v>
      </x:c>
      <x:c r="L2715" s="1" t="str">
        <x:f>TEXT(A2715,"mmm yyyy")</x:f>
        <x:v>Jul 2026</x:v>
      </x:c>
    </x:row>
    <x:row r="2716" ht="21" customHeight="1">
      <x:c r="A2716" s="10" t="n">
        <x:v>46205</x:v>
      </x:c>
      <x:c r="B2716" s="1" t="n">
        <x:v>2</x:v>
      </x:c>
      <x:c r="C2716" s="1" t="n">
        <x:v>6</x:v>
      </x:c>
      <x:c r="D2716" s="12" t="n">
        <x:v>0.23108333333333336</x:v>
      </x:c>
      <x:c r="E2716" s="12" t="n">
        <x:v>0.23308333333333336</x:v>
      </x:c>
      <x:c r="F2716" s="12" t="n">
        <x:v>0</x:v>
      </x:c>
      <x:c r="G2716" s="12" t="n">
        <x:v>0</x:v>
      </x:c>
      <x:c r="H2716" s="1" t="n">
        <x:f>'Historical prices'!E2716</x:f>
        <x:v>1.05</x:v>
      </x:c>
      <x:c r="I2716" s="6" t="n">
        <x:f>'Historical prices'!D2716</x:f>
        <x:v>0.0795</x:v>
      </x:c>
      <x:c r="J2716" s="13" t="n">
        <x:f>D2716*I2716*H2716</x:f>
        <x:v>0.019289681250000003</x:v>
      </x:c>
      <x:c r="K2716" s="13" t="n">
        <x:f>E2716*I2716*H2716</x:f>
        <x:v>0.019456631250000002</x:v>
      </x:c>
      <x:c r="L2716" s="1" t="str">
        <x:f>TEXT(A2716,"mmm yyyy")</x:f>
        <x:v>Jul 2026</x:v>
      </x:c>
    </x:row>
    <x:row r="2717" ht="21" customHeight="1">
      <x:c r="A2717" s="10" t="n">
        <x:v>46205</x:v>
      </x:c>
      <x:c r="B2717" s="1" t="n">
        <x:v>2.5</x:v>
      </x:c>
      <x:c r="C2717" s="1" t="n">
        <x:v>6</x:v>
      </x:c>
      <x:c r="D2717" s="12" t="n">
        <x:v>0.22025000000000003</x:v>
      </x:c>
      <x:c r="E2717" s="12" t="n">
        <x:v>0.22425</x:v>
      </x:c>
      <x:c r="F2717" s="12" t="n">
        <x:v>0</x:v>
      </x:c>
      <x:c r="G2717" s="12" t="n">
        <x:v>0</x:v>
      </x:c>
      <x:c r="H2717" s="1" t="n">
        <x:f>'Historical prices'!E2717</x:f>
        <x:v>1.05</x:v>
      </x:c>
      <x:c r="I2717" s="6" t="n">
        <x:f>'Historical prices'!D2717</x:f>
        <x:v>0.057699999999999994</x:v>
      </x:c>
      <x:c r="J2717" s="13" t="n">
        <x:f>D2717*I2717*H2717</x:f>
        <x:v>0.013343846250000001</x:v>
      </x:c>
      <x:c r="K2717" s="13" t="n">
        <x:f>E2717*I2717*H2717</x:f>
        <x:v>0.01358618625</x:v>
      </x:c>
      <x:c r="L2717" s="1" t="str">
        <x:f>TEXT(A2717,"mmm yyyy")</x:f>
        <x:v>Jul 2026</x:v>
      </x:c>
    </x:row>
    <x:row r="2718" ht="21" customHeight="1">
      <x:c r="A2718" s="10" t="n">
        <x:v>46205</x:v>
      </x:c>
      <x:c r="B2718" s="1" t="n">
        <x:v>3</x:v>
      </x:c>
      <x:c r="C2718" s="1" t="n">
        <x:v>6</x:v>
      </x:c>
      <x:c r="D2718" s="12" t="n">
        <x:v>1.7079166666666667</x:v>
      </x:c>
      <x:c r="E2718" s="12" t="n">
        <x:v>0.3719166666666666</x:v>
      </x:c>
      <x:c r="F2718" s="12" t="n">
        <x:v>0</x:v>
      </x:c>
      <x:c r="G2718" s="12" t="n">
        <x:v>1.3370000000000002</x:v>
      </x:c>
      <x:c r="H2718" s="1" t="n">
        <x:f>'Historical prices'!E2718</x:f>
        <x:v>1.05</x:v>
      </x:c>
      <x:c r="I2718" s="6" t="n">
        <x:f>'Historical prices'!D2718</x:f>
        <x:v>0.0506</x:v>
      </x:c>
      <x:c r="J2718" s="13" t="n">
        <x:f>D2718*I2718*H2718</x:f>
        <x:v>0.09074161250000001</x:v>
      </x:c>
      <x:c r="K2718" s="13" t="n">
        <x:f>E2718*I2718*H2718</x:f>
        <x:v>0.019759932499999997</x:v>
      </x:c>
      <x:c r="L2718" s="1" t="str">
        <x:f>TEXT(A2718,"mmm yyyy")</x:f>
        <x:v>Jul 2026</x:v>
      </x:c>
    </x:row>
    <x:row r="2719" ht="21" customHeight="1">
      <x:c r="A2719" s="10" t="n">
        <x:v>46205</x:v>
      </x:c>
      <x:c r="B2719" s="1" t="n">
        <x:v>3.5</x:v>
      </x:c>
      <x:c r="C2719" s="1" t="n">
        <x:v>6</x:v>
      </x:c>
      <x:c r="D2719" s="12" t="n">
        <x:v>0.89525</x:v>
      </x:c>
      <x:c r="E2719" s="12" t="n">
        <x:v>0.22425</x:v>
      </x:c>
      <x:c r="F2719" s="12" t="n">
        <x:v>0</x:v>
      </x:c>
      <x:c r="G2719" s="12" t="n">
        <x:v>0.674</x:v>
      </x:c>
      <x:c r="H2719" s="1" t="n">
        <x:f>'Historical prices'!E2719</x:f>
        <x:v>1.05</x:v>
      </x:c>
      <x:c r="I2719" s="6" t="n">
        <x:f>'Historical prices'!D2719</x:f>
        <x:v>0.054400000000000004</x:v>
      </x:c>
      <x:c r="J2719" s="13" t="n">
        <x:f>D2719*I2719*H2719</x:f>
        <x:v>0.051136680000000004</x:v>
      </x:c>
      <x:c r="K2719" s="13" t="n">
        <x:f>E2719*I2719*H2719</x:f>
        <x:v>0.012809160000000002</x:v>
      </x:c>
      <x:c r="L2719" s="1" t="str">
        <x:f>TEXT(A2719,"mmm yyyy")</x:f>
        <x:v>Jul 2026</x:v>
      </x:c>
    </x:row>
    <x:row r="2720" ht="21" customHeight="1">
      <x:c r="A2720" s="10" t="n">
        <x:v>46205</x:v>
      </x:c>
      <x:c r="B2720" s="1" t="n">
        <x:v>4</x:v>
      </x:c>
      <x:c r="C2720" s="1" t="n">
        <x:v>6</x:v>
      </x:c>
      <x:c r="D2720" s="12" t="n">
        <x:v>0.2605</x:v>
      </x:c>
      <x:c r="E2720" s="12" t="n">
        <x:v>0.2715</x:v>
      </x:c>
      <x:c r="F2720" s="12" t="n">
        <x:v>0</x:v>
      </x:c>
      <x:c r="G2720" s="12" t="n">
        <x:v>0</x:v>
      </x:c>
      <x:c r="H2720" s="1" t="n">
        <x:f>'Historical prices'!E2720</x:f>
        <x:v>1.05</x:v>
      </x:c>
      <x:c r="I2720" s="6" t="n">
        <x:f>'Historical prices'!D2720</x:f>
        <x:v>0.071</x:v>
      </x:c>
      <x:c r="J2720" s="13" t="n">
        <x:f>D2720*I2720*H2720</x:f>
        <x:v>0.019420274999999997</x:v>
      </x:c>
      <x:c r="K2720" s="13" t="n">
        <x:f>E2720*I2720*H2720</x:f>
        <x:v>0.020240325</x:v>
      </x:c>
      <x:c r="L2720" s="1" t="str">
        <x:f>TEXT(A2720,"mmm yyyy")</x:f>
        <x:v>Jul 2026</x:v>
      </x:c>
    </x:row>
    <x:row r="2721" ht="21" customHeight="1">
      <x:c r="A2721" s="10" t="n">
        <x:v>46205</x:v>
      </x:c>
      <x:c r="B2721" s="1" t="n">
        <x:v>4.5</x:v>
      </x:c>
      <x:c r="C2721" s="1" t="n">
        <x:v>6</x:v>
      </x:c>
      <x:c r="D2721" s="12" t="n">
        <x:v>0.2106666666666667</x:v>
      </x:c>
      <x:c r="E2721" s="12" t="n">
        <x:v>0.22166666666666668</x:v>
      </x:c>
      <x:c r="F2721" s="12" t="n">
        <x:v>0</x:v>
      </x:c>
      <x:c r="G2721" s="12" t="n">
        <x:v>0</x:v>
      </x:c>
      <x:c r="H2721" s="1" t="n">
        <x:f>'Historical prices'!E2721</x:f>
        <x:v>1.05</x:v>
      </x:c>
      <x:c r="I2721" s="6" t="n">
        <x:f>'Historical prices'!D2721</x:f>
        <x:v>0.0646</x:v>
      </x:c>
      <x:c r="J2721" s="13" t="n">
        <x:f>D2721*I2721*H2721</x:f>
        <x:v>0.014289520000000003</x:v>
      </x:c>
      <x:c r="K2721" s="13" t="n">
        <x:f>E2721*I2721*H2721</x:f>
        <x:v>0.015035650000000003</x:v>
      </x:c>
      <x:c r="L2721" s="1" t="str">
        <x:f>TEXT(A2721,"mmm yyyy")</x:f>
        <x:v>Jul 2026</x:v>
      </x:c>
    </x:row>
    <x:row r="2722" ht="21" customHeight="1">
      <x:c r="A2722" s="10" t="n">
        <x:v>46205</x:v>
      </x:c>
      <x:c r="B2722" s="1" t="n">
        <x:v>5</x:v>
      </x:c>
      <x:c r="C2722" s="1" t="n">
        <x:v>6</x:v>
      </x:c>
      <x:c r="D2722" s="12" t="n">
        <x:v>0.043</x:v>
      </x:c>
      <x:c r="E2722" s="12" t="n">
        <x:v>0.34191666666666665</x:v>
      </x:c>
      <x:c r="F2722" s="12" t="n">
        <x:v>0.29783333333333334</x:v>
      </x:c>
      <x:c r="G2722" s="12" t="n">
        <x:v>0</x:v>
      </x:c>
      <x:c r="H2722" s="1" t="n">
        <x:f>'Historical prices'!E2722</x:f>
        <x:v>1.05</x:v>
      </x:c>
      <x:c r="I2722" s="6" t="n">
        <x:f>'Historical prices'!D2722</x:f>
        <x:v>0.0757</x:v>
      </x:c>
      <x:c r="J2722" s="13" t="n">
        <x:f>D2722*I2722*H2722</x:f>
        <x:v>0.003417855</x:v>
      </x:c>
      <x:c r="K2722" s="13" t="n">
        <x:f>E2722*I2722*H2722</x:f>
        <x:v>0.027177246250000002</x:v>
      </x:c>
      <x:c r="L2722" s="1" t="str">
        <x:f>TEXT(A2722,"mmm yyyy")</x:f>
        <x:v>Jul 2026</x:v>
      </x:c>
    </x:row>
    <x:row r="2723" ht="21" customHeight="1">
      <x:c r="A2723" s="10" t="n">
        <x:v>46205</x:v>
      </x:c>
      <x:c r="B2723" s="1" t="n">
        <x:v>5.5</x:v>
      </x:c>
      <x:c r="C2723" s="1" t="n">
        <x:v>6</x:v>
      </x:c>
      <x:c r="D2723" s="12" t="n">
        <x:v>0</x:v>
      </x:c>
      <x:c r="E2723" s="12" t="n">
        <x:v>0.3248333333333333</x:v>
      </x:c>
      <x:c r="F2723" s="12" t="n">
        <x:v>0.32475</x:v>
      </x:c>
      <x:c r="G2723" s="12" t="n">
        <x:v>0</x:v>
      </x:c>
      <x:c r="H2723" s="1" t="n">
        <x:f>'Historical prices'!E2723</x:f>
        <x:v>1.05</x:v>
      </x:c>
      <x:c r="I2723" s="6" t="n">
        <x:f>'Historical prices'!D2723</x:f>
        <x:v>0.0716</x:v>
      </x:c>
      <x:c r="J2723" s="13" t="n">
        <x:f>D2723*I2723*H2723</x:f>
        <x:v>0</x:v>
      </x:c>
      <x:c r="K2723" s="13" t="n">
        <x:f>E2723*I2723*H2723</x:f>
        <x:v>0.024420969999999997</x:v>
      </x:c>
      <x:c r="L2723" s="1" t="str">
        <x:f>TEXT(A2723,"mmm yyyy")</x:f>
        <x:v>Jul 2026</x:v>
      </x:c>
    </x:row>
    <x:row r="2724" ht="21" customHeight="1">
      <x:c r="A2724" s="10" t="n">
        <x:v>46205</x:v>
      </x:c>
      <x:c r="B2724" s="1" t="n">
        <x:v>6</x:v>
      </x:c>
      <x:c r="C2724" s="1" t="n">
        <x:v>6</x:v>
      </x:c>
      <x:c r="D2724" s="12" t="n">
        <x:v>0</x:v>
      </x:c>
      <x:c r="E2724" s="12" t="n">
        <x:v>0.46291666666666664</x:v>
      </x:c>
      <x:c r="F2724" s="12" t="n">
        <x:v>0.453</x:v>
      </x:c>
      <x:c r="G2724" s="12" t="n">
        <x:v>0</x:v>
      </x:c>
      <x:c r="H2724" s="1" t="n">
        <x:f>'Historical prices'!E2724</x:f>
        <x:v>1.05</x:v>
      </x:c>
      <x:c r="I2724" s="6" t="n">
        <x:f>'Historical prices'!D2724</x:f>
        <x:v>0.0848</x:v>
      </x:c>
      <x:c r="J2724" s="13" t="n">
        <x:f>D2724*I2724*H2724</x:f>
        <x:v>0</x:v>
      </x:c>
      <x:c r="K2724" s="13" t="n">
        <x:f>E2724*I2724*H2724</x:f>
        <x:v>0.0412181</x:v>
      </x:c>
      <x:c r="L2724" s="1" t="str">
        <x:f>TEXT(A2724,"mmm yyyy")</x:f>
        <x:v>Jul 2026</x:v>
      </x:c>
    </x:row>
    <x:row r="2725" ht="21" customHeight="1">
      <x:c r="A2725" s="10" t="n">
        <x:v>46205</x:v>
      </x:c>
      <x:c r="B2725" s="1" t="n">
        <x:v>6.5</x:v>
      </x:c>
      <x:c r="C2725" s="1" t="n">
        <x:v>6</x:v>
      </x:c>
      <x:c r="D2725" s="12" t="n">
        <x:v>0</x:v>
      </x:c>
      <x:c r="E2725" s="12" t="n">
        <x:v>0.59425</x:v>
      </x:c>
      <x:c r="F2725" s="12" t="n">
        <x:v>0.5778333333333333</x:v>
      </x:c>
      <x:c r="G2725" s="12" t="n">
        <x:v>0</x:v>
      </x:c>
      <x:c r="H2725" s="1" t="n">
        <x:f>'Historical prices'!E2725</x:f>
        <x:v>1.05</x:v>
      </x:c>
      <x:c r="I2725" s="6" t="n">
        <x:f>'Historical prices'!D2725</x:f>
        <x:v>0.0922</x:v>
      </x:c>
      <x:c r="J2725" s="13" t="n">
        <x:f>D2725*I2725*H2725</x:f>
        <x:v>0</x:v>
      </x:c>
      <x:c r="K2725" s="13" t="n">
        <x:f>E2725*I2725*H2725</x:f>
        <x:v>0.0575293425</x:v>
      </x:c>
      <x:c r="L2725" s="1" t="str">
        <x:f>TEXT(A2725,"mmm yyyy")</x:f>
        <x:v>Jul 2026</x:v>
      </x:c>
    </x:row>
    <x:row r="2726" ht="21" customHeight="1">
      <x:c r="A2726" s="10" t="n">
        <x:v>46205</x:v>
      </x:c>
      <x:c r="B2726" s="1" t="n">
        <x:v>7</x:v>
      </x:c>
      <x:c r="C2726" s="1" t="n">
        <x:v>6</x:v>
      </x:c>
      <x:c r="D2726" s="12" t="n">
        <x:v>0.5079166666666667</x:v>
      </x:c>
      <x:c r="E2726" s="12" t="n">
        <x:v>0.61975</x:v>
      </x:c>
      <x:c r="F2726" s="12" t="n">
        <x:v>0.10183333333333333</x:v>
      </x:c>
      <x:c r="G2726" s="12" t="n">
        <x:v>0</x:v>
      </x:c>
      <x:c r="H2726" s="1" t="n">
        <x:f>'Historical prices'!E2726</x:f>
        <x:v>1.05</x:v>
      </x:c>
      <x:c r="I2726" s="6" t="n">
        <x:f>'Historical prices'!D2726</x:f>
        <x:v>0.0355</x:v>
      </x:c>
      <x:c r="J2726" s="13" t="n">
        <x:f>D2726*I2726*H2726</x:f>
        <x:v>0.018932593749999997</x:v>
      </x:c>
      <x:c r="K2726" s="13" t="n">
        <x:f>E2726*I2726*H2726</x:f>
        <x:v>0.023101181250000002</x:v>
      </x:c>
      <x:c r="L2726" s="1" t="str">
        <x:f>TEXT(A2726,"mmm yyyy")</x:f>
        <x:v>Jul 2026</x:v>
      </x:c>
    </x:row>
    <x:row r="2727" ht="21" customHeight="1">
      <x:c r="A2727" s="10" t="n">
        <x:v>46205</x:v>
      </x:c>
      <x:c r="B2727" s="1" t="n">
        <x:v>7.5</x:v>
      </x:c>
      <x:c r="C2727" s="1" t="n">
        <x:v>6</x:v>
      </x:c>
      <x:c r="D2727" s="12" t="n">
        <x:v>0.4593333333333333</x:v>
      </x:c>
      <x:c r="E2727" s="12" t="n">
        <x:v>0.7563333333333333</x:v>
      </x:c>
      <x:c r="F2727" s="12" t="n">
        <x:v>0.354</x:v>
      </x:c>
      <x:c r="G2727" s="12" t="n">
        <x:v>0.057999999999999996</x:v>
      </x:c>
      <x:c r="H2727" s="1" t="n">
        <x:f>'Historical prices'!E2727</x:f>
        <x:v>1.05</x:v>
      </x:c>
      <x:c r="I2727" s="6" t="n">
        <x:f>'Historical prices'!D2727</x:f>
        <x:v>0.0489</x:v>
      </x:c>
      <x:c r="J2727" s="13" t="n">
        <x:f>D2727*I2727*H2727</x:f>
        <x:v>0.02358447</x:v>
      </x:c>
      <x:c r="K2727" s="13" t="n">
        <x:f>E2727*I2727*H2727</x:f>
        <x:v>0.038833935</x:v>
      </x:c>
      <x:c r="L2727" s="1" t="str">
        <x:f>TEXT(A2727,"mmm yyyy")</x:f>
        <x:v>Jul 2026</x:v>
      </x:c>
    </x:row>
    <x:row r="2728" ht="21" customHeight="1">
      <x:c r="A2728" s="10" t="n">
        <x:v>46205</x:v>
      </x:c>
      <x:c r="B2728" s="1" t="n">
        <x:v>8</x:v>
      </x:c>
      <x:c r="C2728" s="1" t="n">
        <x:v>6</x:v>
      </x:c>
      <x:c r="D2728" s="12" t="n">
        <x:v>0.7606666666666667</x:v>
      </x:c>
      <x:c r="E2728" s="12" t="n">
        <x:v>0.6346666666666666</x:v>
      </x:c>
      <x:c r="F2728" s="12" t="n">
        <x:v>0</x:v>
      </x:c>
      <x:c r="G2728" s="12" t="n">
        <x:v>0.12399999999999999</x:v>
      </x:c>
      <x:c r="H2728" s="1" t="n">
        <x:f>'Historical prices'!E2728</x:f>
        <x:v>1.05</x:v>
      </x:c>
      <x:c r="I2728" s="6" t="n">
        <x:f>'Historical prices'!D2728</x:f>
        <x:v>0.0007000000000000001</x:v>
      </x:c>
      <x:c r="J2728" s="13" t="n">
        <x:f>D2728*I2728*H2728</x:f>
        <x:v>0.0005590900000000002</x:v>
      </x:c>
      <x:c r="K2728" s="13" t="n">
        <x:f>E2728*I2728*H2728</x:f>
        <x:v>0.00046648</x:v>
      </x:c>
      <x:c r="L2728" s="1" t="str">
        <x:f>TEXT(A2728,"mmm yyyy")</x:f>
        <x:v>Jul 2026</x:v>
      </x:c>
    </x:row>
    <x:row r="2729" ht="21" customHeight="1">
      <x:c r="A2729" s="10" t="n">
        <x:v>46205</x:v>
      </x:c>
      <x:c r="B2729" s="1" t="n">
        <x:v>8.5</x:v>
      </x:c>
      <x:c r="C2729" s="1" t="n">
        <x:v>6</x:v>
      </x:c>
      <x:c r="D2729" s="12" t="n">
        <x:v>0.6533333333333333</x:v>
      </x:c>
      <x:c r="E2729" s="12" t="n">
        <x:v>0.6533333333333333</x:v>
      </x:c>
      <x:c r="F2729" s="12" t="n">
        <x:v>0</x:v>
      </x:c>
      <x:c r="G2729" s="12" t="n">
        <x:v>0</x:v>
      </x:c>
      <x:c r="H2729" s="1" t="n">
        <x:f>'Historical prices'!E2729</x:f>
        <x:v>1.05</x:v>
      </x:c>
      <x:c r="I2729" s="6" t="n">
        <x:f>'Historical prices'!D2729</x:f>
        <x:v>-0.0187</x:v>
      </x:c>
      <x:c r="J2729" s="13" t="n">
        <x:f>D2729*I2729*H2729</x:f>
        <x:v>-0.012828200000000001</x:v>
      </x:c>
      <x:c r="K2729" s="13" t="n">
        <x:f>E2729*I2729*H2729</x:f>
        <x:v>-0.012828200000000001</x:v>
      </x:c>
      <x:c r="L2729" s="1" t="str">
        <x:f>TEXT(A2729,"mmm yyyy")</x:f>
        <x:v>Jul 2026</x:v>
      </x:c>
    </x:row>
    <x:row r="2730" ht="21" customHeight="1">
      <x:c r="A2730" s="10" t="n">
        <x:v>46205</x:v>
      </x:c>
      <x:c r="B2730" s="1" t="n">
        <x:v>9</x:v>
      </x:c>
      <x:c r="C2730" s="1" t="n">
        <x:v>6</x:v>
      </x:c>
      <x:c r="D2730" s="12" t="n">
        <x:v>0.6390833333333333</x:v>
      </x:c>
      <x:c r="E2730" s="12" t="n">
        <x:v>0.6410833333333333</x:v>
      </x:c>
      <x:c r="F2730" s="12" t="n">
        <x:v>0</x:v>
      </x:c>
      <x:c r="G2730" s="12" t="n">
        <x:v>0</x:v>
      </x:c>
      <x:c r="H2730" s="1" t="n">
        <x:f>'Historical prices'!E2730</x:f>
        <x:v>1.05</x:v>
      </x:c>
      <x:c r="I2730" s="6" t="n">
        <x:f>'Historical prices'!D2730</x:f>
        <x:v>-0.014499999999999999</x:v>
      </x:c>
      <x:c r="J2730" s="13" t="n">
        <x:f>D2730*I2730*H2730</x:f>
        <x:v>-0.00973004375</x:v>
      </x:c>
      <x:c r="K2730" s="13" t="n">
        <x:f>E2730*I2730*H2730</x:f>
        <x:v>-0.00976049375</x:v>
      </x:c>
      <x:c r="L2730" s="1" t="str">
        <x:f>TEXT(A2730,"mmm yyyy")</x:f>
        <x:v>Jul 2026</x:v>
      </x:c>
    </x:row>
    <x:row r="2731" ht="21" customHeight="1">
      <x:c r="A2731" s="10" t="n">
        <x:v>46205</x:v>
      </x:c>
      <x:c r="B2731" s="1" t="n">
        <x:v>9.5</x:v>
      </x:c>
      <x:c r="C2731" s="1" t="n">
        <x:v>6</x:v>
      </x:c>
      <x:c r="D2731" s="12" t="n">
        <x:v>2.8653333333333335</x:v>
      </x:c>
      <x:c r="E2731" s="12" t="n">
        <x:v>0.6813333333333333</x:v>
      </x:c>
      <x:c r="F2731" s="12" t="n">
        <x:v>0</x:v>
      </x:c>
      <x:c r="G2731" s="12" t="n">
        <x:v>2.184</x:v>
      </x:c>
      <x:c r="H2731" s="1" t="n">
        <x:f>'Historical prices'!E2731</x:f>
        <x:v>1.05</x:v>
      </x:c>
      <x:c r="I2731" s="6" t="n">
        <x:f>'Historical prices'!D2731</x:f>
        <x:v>-0.0382</x:v>
      </x:c>
      <x:c r="J2731" s="13" t="n">
        <x:f>D2731*I2731*H2731</x:f>
        <x:v>-0.11492852</x:v>
      </x:c>
      <x:c r="K2731" s="13" t="n">
        <x:f>E2731*I2731*H2731</x:f>
        <x:v>-0.02732828</x:v>
      </x:c>
      <x:c r="L2731" s="1" t="str">
        <x:f>TEXT(A2731,"mmm yyyy")</x:f>
        <x:v>Jul 2026</x:v>
      </x:c>
    </x:row>
    <x:row r="2732" ht="21" customHeight="1">
      <x:c r="A2732" s="10" t="n">
        <x:v>46205</x:v>
      </x:c>
      <x:c r="B2732" s="1" t="n">
        <x:v>10</x:v>
      </x:c>
      <x:c r="C2732" s="1" t="n">
        <x:v>6</x:v>
      </x:c>
      <x:c r="D2732" s="12" t="n">
        <x:v>0.8711666666666666</x:v>
      </x:c>
      <x:c r="E2732" s="12" t="n">
        <x:v>0.63625</x:v>
      </x:c>
      <x:c r="F2732" s="12" t="n">
        <x:v>0.5079166666666667</x:v>
      </x:c>
      <x:c r="G2732" s="12" t="n">
        <x:v>0.744</x:v>
      </x:c>
      <x:c r="H2732" s="1" t="n">
        <x:f>'Historical prices'!E2732</x:f>
        <x:v>1.05</x:v>
      </x:c>
      <x:c r="I2732" s="6" t="n">
        <x:f>'Historical prices'!D2732</x:f>
        <x:v>-0.0235</x:v>
      </x:c>
      <x:c r="J2732" s="13" t="n">
        <x:f>D2732*I2732*H2732</x:f>
        <x:v>-0.021496037500000002</x:v>
      </x:c>
      <x:c r="K2732" s="13" t="n">
        <x:f>E2732*I2732*H2732</x:f>
        <x:v>-0.01569946875</x:v>
      </x:c>
      <x:c r="L2732" s="1" t="str">
        <x:f>TEXT(A2732,"mmm yyyy")</x:f>
        <x:v>Jul 2026</x:v>
      </x:c>
    </x:row>
    <x:row r="2733" ht="21" customHeight="1">
      <x:c r="A2733" s="10" t="n">
        <x:v>46205</x:v>
      </x:c>
      <x:c r="B2733" s="1" t="n">
        <x:v>10.5</x:v>
      </x:c>
      <x:c r="C2733" s="1" t="n">
        <x:v>6</x:v>
      </x:c>
      <x:c r="D2733" s="12" t="n">
        <x:v>0</x:v>
      </x:c>
      <x:c r="E2733" s="12" t="n">
        <x:v>0.6295833333333333</x:v>
      </x:c>
      <x:c r="F2733" s="12" t="n">
        <x:v>0.6295</x:v>
      </x:c>
      <x:c r="G2733" s="12" t="n">
        <x:v>0</x:v>
      </x:c>
      <x:c r="H2733" s="1" t="n">
        <x:f>'Historical prices'!E2733</x:f>
        <x:v>1.05</x:v>
      </x:c>
      <x:c r="I2733" s="6" t="n">
        <x:f>'Historical prices'!D2733</x:f>
        <x:v>-0.031400000000000004</x:v>
      </x:c>
      <x:c r="J2733" s="13" t="n">
        <x:f>D2733*I2733*H2733</x:f>
        <x:v>0</x:v>
      </x:c>
      <x:c r="K2733" s="13" t="n">
        <x:f>E2733*I2733*H2733</x:f>
        <x:v>-0.0207573625</x:v>
      </x:c>
      <x:c r="L2733" s="1" t="str">
        <x:f>TEXT(A2733,"mmm yyyy")</x:f>
        <x:v>Jul 2026</x:v>
      </x:c>
    </x:row>
    <x:row r="2734" ht="21" customHeight="1">
      <x:c r="A2734" s="10" t="n">
        <x:v>46205</x:v>
      </x:c>
      <x:c r="B2734" s="1" t="n">
        <x:v>11</x:v>
      </x:c>
      <x:c r="C2734" s="1" t="n">
        <x:v>6</x:v>
      </x:c>
      <x:c r="D2734" s="12" t="n">
        <x:v>4.6739999999999995</x:v>
      </x:c>
      <x:c r="E2734" s="12" t="n">
        <x:v>0.831</x:v>
      </x:c>
      <x:c r="F2734" s="12" t="n">
        <x:v>0.088</x:v>
      </x:c>
      <x:c r="G2734" s="12" t="n">
        <x:v>3.931</x:v>
      </x:c>
      <x:c r="H2734" s="1" t="n">
        <x:f>'Historical prices'!E2734</x:f>
        <x:v>1.05</x:v>
      </x:c>
      <x:c r="I2734" s="6" t="n">
        <x:f>'Historical prices'!D2734</x:f>
        <x:v>-0.0418</x:v>
      </x:c>
      <x:c r="J2734" s="13" t="n">
        <x:f>D2734*I2734*H2734</x:f>
        <x:v>-0.20514185999999998</x:v>
      </x:c>
      <x:c r="K2734" s="13" t="n">
        <x:f>E2734*I2734*H2734</x:f>
        <x:v>-0.03647259</x:v>
      </x:c>
      <x:c r="L2734" s="1" t="str">
        <x:f>TEXT(A2734,"mmm yyyy")</x:f>
        <x:v>Jul 2026</x:v>
      </x:c>
    </x:row>
    <x:row r="2735" ht="21" customHeight="1">
      <x:c r="A2735" s="10" t="n">
        <x:v>46205</x:v>
      </x:c>
      <x:c r="B2735" s="1" t="n">
        <x:v>11.5</x:v>
      </x:c>
      <x:c r="C2735" s="1" t="n">
        <x:v>6</x:v>
      </x:c>
      <x:c r="D2735" s="12" t="n">
        <x:v>5.249500000000001</x:v>
      </x:c>
      <x:c r="E2735" s="12" t="n">
        <x:v>0.7195</x:v>
      </x:c>
      <x:c r="F2735" s="12" t="n">
        <x:v>0</x:v>
      </x:c>
      <x:c r="G2735" s="12" t="n">
        <x:v>4.53</x:v>
      </x:c>
      <x:c r="H2735" s="1" t="n">
        <x:f>'Historical prices'!E2735</x:f>
        <x:v>1.05</x:v>
      </x:c>
      <x:c r="I2735" s="6" t="n">
        <x:f>'Historical prices'!D2735</x:f>
        <x:v>-0.0417</x:v>
      </x:c>
      <x:c r="J2735" s="13" t="n">
        <x:f>D2735*I2735*H2735</x:f>
        <x:v>-0.22984935750000007</x:v>
      </x:c>
      <x:c r="K2735" s="13" t="n">
        <x:f>E2735*I2735*H2735</x:f>
        <x:v>-0.0315033075</x:v>
      </x:c>
      <x:c r="L2735" s="1" t="str">
        <x:f>TEXT(A2735,"mmm yyyy")</x:f>
        <x:v>Jul 2026</x:v>
      </x:c>
    </x:row>
    <x:row r="2736" ht="21" customHeight="1">
      <x:c r="A2736" s="10" t="n">
        <x:v>46205</x:v>
      </x:c>
      <x:c r="B2736" s="1" t="n">
        <x:v>12</x:v>
      </x:c>
      <x:c r="C2736" s="1" t="n">
        <x:v>6</x:v>
      </x:c>
      <x:c r="D2736" s="12" t="n">
        <x:v>5.195083333333333</x:v>
      </x:c>
      <x:c r="E2736" s="12" t="n">
        <x:v>0.6960833333333334</x:v>
      </x:c>
      <x:c r="F2736" s="12" t="n">
        <x:v>0</x:v>
      </x:c>
      <x:c r="G2736" s="12" t="n">
        <x:v>4.499</x:v>
      </x:c>
      <x:c r="H2736" s="1" t="n">
        <x:f>'Historical prices'!E2736</x:f>
        <x:v>1.05</x:v>
      </x:c>
      <x:c r="I2736" s="6" t="n">
        <x:f>'Historical prices'!D2736</x:f>
        <x:v>-0.042199999999999994</x:v>
      </x:c>
      <x:c r="J2736" s="13" t="n">
        <x:f>D2736*I2736*H2736</x:f>
        <x:v>-0.23019414249999998</x:v>
      </x:c>
      <x:c r="K2736" s="13" t="n">
        <x:f>E2736*I2736*H2736</x:f>
        <x:v>-0.0308434525</x:v>
      </x:c>
      <x:c r="L2736" s="1" t="str">
        <x:f>TEXT(A2736,"mmm yyyy")</x:f>
        <x:v>Jul 2026</x:v>
      </x:c>
    </x:row>
    <x:row r="2737" ht="21" customHeight="1">
      <x:c r="A2737" s="10" t="n">
        <x:v>46205</x:v>
      </x:c>
      <x:c r="B2737" s="1" t="n">
        <x:v>12.5</x:v>
      </x:c>
      <x:c r="C2737" s="1" t="n">
        <x:v>6</x:v>
      </x:c>
      <x:c r="D2737" s="12" t="n">
        <x:v>6.095583333333334</x:v>
      </x:c>
      <x:c r="E2737" s="12" t="n">
        <x:v>1.3045833333333332</x:v>
      </x:c>
      <x:c r="F2737" s="12" t="n">
        <x:v>0</x:v>
      </x:c>
      <x:c r="G2737" s="12" t="n">
        <x:v>4.791</x:v>
      </x:c>
      <x:c r="H2737" s="1" t="n">
        <x:f>'Historical prices'!E2737</x:f>
        <x:v>1.05</x:v>
      </x:c>
      <x:c r="I2737" s="6" t="n">
        <x:f>'Historical prices'!D2737</x:f>
        <x:v>-0.0405</x:v>
      </x:c>
      <x:c r="J2737" s="13" t="n">
        <x:f>D2737*I2737*H2737</x:f>
        <x:v>-0.25921468125</x:v>
      </x:c>
      <x:c r="K2737" s="13" t="n">
        <x:f>E2737*I2737*H2737</x:f>
        <x:v>-0.05547740625</x:v>
      </x:c>
      <x:c r="L2737" s="1" t="str">
        <x:f>TEXT(A2737,"mmm yyyy")</x:f>
        <x:v>Jul 2026</x:v>
      </x:c>
    </x:row>
    <x:row r="2738" ht="21" customHeight="1">
      <x:c r="A2738" s="10" t="n">
        <x:v>46205</x:v>
      </x:c>
      <x:c r="B2738" s="1" t="n">
        <x:v>13</x:v>
      </x:c>
      <x:c r="C2738" s="1" t="n">
        <x:v>6</x:v>
      </x:c>
      <x:c r="D2738" s="12" t="n">
        <x:v>1.3629166666666666</x:v>
      </x:c>
      <x:c r="E2738" s="12" t="n">
        <x:v>0.5749166666666666</x:v>
      </x:c>
      <x:c r="F2738" s="12" t="n">
        <x:v>0</x:v>
      </x:c>
      <x:c r="G2738" s="12" t="n">
        <x:v>0.792</x:v>
      </x:c>
      <x:c r="H2738" s="1" t="n">
        <x:f>'Historical prices'!E2738</x:f>
        <x:v>1.05</x:v>
      </x:c>
      <x:c r="I2738" s="6" t="n">
        <x:f>'Historical prices'!D2738</x:f>
        <x:v>-0.0331</x:v>
      </x:c>
      <x:c r="J2738" s="13" t="n">
        <x:f>D2738*I2738*H2738</x:f>
        <x:v>-0.047368168749999995</x:v>
      </x:c>
      <x:c r="K2738" s="13" t="n">
        <x:f>E2738*I2738*H2738</x:f>
        <x:v>-0.01998122875</x:v>
      </x:c>
      <x:c r="L2738" s="1" t="str">
        <x:f>TEXT(A2738,"mmm yyyy")</x:f>
        <x:v>Jul 2026</x:v>
      </x:c>
    </x:row>
    <x:row r="2739" ht="21" customHeight="1">
      <x:c r="A2739" s="10" t="n">
        <x:v>46205</x:v>
      </x:c>
      <x:c r="B2739" s="1" t="n">
        <x:v>13.5</x:v>
      </x:c>
      <x:c r="C2739" s="1" t="n">
        <x:v>6</x:v>
      </x:c>
      <x:c r="D2739" s="12" t="n">
        <x:v>0.6584999999999999</x:v>
      </x:c>
      <x:c r="E2739" s="12" t="n">
        <x:v>0.49849999999999994</x:v>
      </x:c>
      <x:c r="F2739" s="12" t="n">
        <x:v>0</x:v>
      </x:c>
      <x:c r="G2739" s="12" t="n">
        <x:v>0.16599999999999998</x:v>
      </x:c>
      <x:c r="H2739" s="1" t="n">
        <x:f>'Historical prices'!E2739</x:f>
        <x:v>1.05</x:v>
      </x:c>
      <x:c r="I2739" s="6" t="n">
        <x:f>'Historical prices'!D2739</x:f>
        <x:v>-0.0355</x:v>
      </x:c>
      <x:c r="J2739" s="13" t="n">
        <x:f>D2739*I2739*H2739</x:f>
        <x:v>-0.024545587499999997</x:v>
      </x:c>
      <x:c r="K2739" s="13" t="n">
        <x:f>E2739*I2739*H2739</x:f>
        <x:v>-0.018581587499999996</x:v>
      </x:c>
      <x:c r="L2739" s="1" t="str">
        <x:f>TEXT(A2739,"mmm yyyy")</x:f>
        <x:v>Jul 2026</x:v>
      </x:c>
    </x:row>
    <x:row r="2740" ht="21" customHeight="1">
      <x:c r="A2740" s="10" t="n">
        <x:v>46205</x:v>
      </x:c>
      <x:c r="B2740" s="1" t="n">
        <x:v>14</x:v>
      </x:c>
      <x:c r="C2740" s="1" t="n">
        <x:v>6</x:v>
      </x:c>
      <x:c r="D2740" s="12" t="n">
        <x:v>4.6775</x:v>
      </x:c>
      <x:c r="E2740" s="12" t="n">
        <x:v>0.6245</x:v>
      </x:c>
      <x:c r="F2740" s="12" t="n">
        <x:v>0</x:v>
      </x:c>
      <x:c r="G2740" s="12" t="n">
        <x:v>4.053</x:v>
      </x:c>
      <x:c r="H2740" s="1" t="n">
        <x:f>'Historical prices'!E2740</x:f>
        <x:v>1.05</x:v>
      </x:c>
      <x:c r="I2740" s="6" t="n">
        <x:f>'Historical prices'!D2740</x:f>
        <x:v>-0.0406</x:v>
      </x:c>
      <x:c r="J2740" s="13" t="n">
        <x:f>D2740*I2740*H2740</x:f>
        <x:v>-0.199401825</x:v>
      </x:c>
      <x:c r="K2740" s="13" t="n">
        <x:f>E2740*I2740*H2740</x:f>
        <x:v>-0.026622435000000003</x:v>
      </x:c>
      <x:c r="L2740" s="1" t="str">
        <x:f>TEXT(A2740,"mmm yyyy")</x:f>
        <x:v>Jul 2026</x:v>
      </x:c>
    </x:row>
    <x:row r="2741" ht="21" customHeight="1">
      <x:c r="A2741" s="10" t="n">
        <x:v>46205</x:v>
      </x:c>
      <x:c r="B2741" s="1" t="n">
        <x:v>14.5</x:v>
      </x:c>
      <x:c r="C2741" s="1" t="n">
        <x:v>6</x:v>
      </x:c>
      <x:c r="D2741" s="12" t="n">
        <x:v>1.198</x:v>
      </x:c>
      <x:c r="E2741" s="12" t="n">
        <x:v>0.413</x:v>
      </x:c>
      <x:c r="F2741" s="12" t="n">
        <x:v>0</x:v>
      </x:c>
      <x:c r="G2741" s="12" t="n">
        <x:v>0.787</x:v>
      </x:c>
      <x:c r="H2741" s="1" t="n">
        <x:f>'Historical prices'!E2741</x:f>
        <x:v>1.05</x:v>
      </x:c>
      <x:c r="I2741" s="6" t="n">
        <x:f>'Historical prices'!D2741</x:f>
        <x:v>-0.0329</x:v>
      </x:c>
      <x:c r="J2741" s="13" t="n">
        <x:f>D2741*I2741*H2741</x:f>
        <x:v>-0.04138491</x:v>
      </x:c>
      <x:c r="K2741" s="13" t="n">
        <x:f>E2741*I2741*H2741</x:f>
        <x:v>-0.014267085</x:v>
      </x:c>
      <x:c r="L2741" s="1" t="str">
        <x:f>TEXT(A2741,"mmm yyyy")</x:f>
        <x:v>Jul 2026</x:v>
      </x:c>
    </x:row>
    <x:row r="2742" ht="21" customHeight="1">
      <x:c r="A2742" s="10" t="n">
        <x:v>46205</x:v>
      </x:c>
      <x:c r="B2742" s="1" t="n">
        <x:v>15</x:v>
      </x:c>
      <x:c r="C2742" s="1" t="n">
        <x:v>6</x:v>
      </x:c>
      <x:c r="D2742" s="12" t="n">
        <x:v>4.2725</x:v>
      </x:c>
      <x:c r="E2742" s="12" t="n">
        <x:v>0.5745</x:v>
      </x:c>
      <x:c r="F2742" s="12" t="n">
        <x:v>0</x:v>
      </x:c>
      <x:c r="G2742" s="12" t="n">
        <x:v>3.701</x:v>
      </x:c>
      <x:c r="H2742" s="1" t="n">
        <x:f>'Historical prices'!E2742</x:f>
        <x:v>1.05</x:v>
      </x:c>
      <x:c r="I2742" s="6" t="n">
        <x:f>'Historical prices'!D2742</x:f>
        <x:v>-0.042199999999999994</x:v>
      </x:c>
      <x:c r="J2742" s="13" t="n">
        <x:f>D2742*I2742*H2742</x:f>
        <x:v>-0.18931447499999998</x:v>
      </x:c>
      <x:c r="K2742" s="13" t="n">
        <x:f>E2742*I2742*H2742</x:f>
        <x:v>-0.025456095</x:v>
      </x:c>
      <x:c r="L2742" s="1" t="str">
        <x:f>TEXT(A2742,"mmm yyyy")</x:f>
        <x:v>Jul 2026</x:v>
      </x:c>
    </x:row>
    <x:row r="2743" ht="21" customHeight="1">
      <x:c r="A2743" s="10" t="n">
        <x:v>46205</x:v>
      </x:c>
      <x:c r="B2743" s="1" t="n">
        <x:v>15.5</x:v>
      </x:c>
      <x:c r="C2743" s="1" t="n">
        <x:v>6</x:v>
      </x:c>
      <x:c r="D2743" s="12" t="n">
        <x:v>2.22725</x:v>
      </x:c>
      <x:c r="E2743" s="12" t="n">
        <x:v>0.52625</x:v>
      </x:c>
      <x:c r="F2743" s="12" t="n">
        <x:v>0</x:v>
      </x:c>
      <x:c r="G2743" s="12" t="n">
        <x:v>1.7009999999999998</x:v>
      </x:c>
      <x:c r="H2743" s="1" t="n">
        <x:f>'Historical prices'!E2743</x:f>
        <x:v>1.05</x:v>
      </x:c>
      <x:c r="I2743" s="6" t="n">
        <x:f>'Historical prices'!D2743</x:f>
        <x:v>-0.0292</x:v>
      </x:c>
      <x:c r="J2743" s="13" t="n">
        <x:f>D2743*I2743*H2743</x:f>
        <x:v>-0.06828748500000001</x:v>
      </x:c>
      <x:c r="K2743" s="13" t="n">
        <x:f>E2743*I2743*H2743</x:f>
        <x:v>-0.016134825000000002</x:v>
      </x:c>
      <x:c r="L2743" s="1" t="str">
        <x:f>TEXT(A2743,"mmm yyyy")</x:f>
        <x:v>Jul 2026</x:v>
      </x:c>
    </x:row>
    <x:row r="2744" ht="21" customHeight="1">
      <x:c r="A2744" s="10" t="n">
        <x:v>46205</x:v>
      </x:c>
      <x:c r="B2744" s="1" t="n">
        <x:v>16</x:v>
      </x:c>
      <x:c r="C2744" s="1" t="n">
        <x:v>6</x:v>
      </x:c>
      <x:c r="D2744" s="12" t="n">
        <x:v>0.47483333333333333</x:v>
      </x:c>
      <x:c r="E2744" s="12" t="n">
        <x:v>0.3988333333333334</x:v>
      </x:c>
      <x:c r="F2744" s="12" t="n">
        <x:v>0</x:v>
      </x:c>
      <x:c r="G2744" s="12" t="n">
        <x:v>0.086</x:v>
      </x:c>
      <x:c r="H2744" s="1" t="n">
        <x:f>'Historical prices'!E2744</x:f>
        <x:v>1.05</x:v>
      </x:c>
      <x:c r="I2744" s="6" t="n">
        <x:f>'Historical prices'!D2744</x:f>
        <x:v>0.06559999999999999</x:v>
      </x:c>
      <x:c r="J2744" s="13" t="n">
        <x:f>D2744*I2744*H2744</x:f>
        <x:v>0.032706519999999996</x:v>
      </x:c>
      <x:c r="K2744" s="13" t="n">
        <x:f>E2744*I2744*H2744</x:f>
        <x:v>0.027471640000000002</x:v>
      </x:c>
      <x:c r="L2744" s="1" t="str">
        <x:f>TEXT(A2744,"mmm yyyy")</x:f>
        <x:v>Jul 2026</x:v>
      </x:c>
    </x:row>
    <x:row r="2745" ht="21" customHeight="1">
      <x:c r="A2745" s="10" t="n">
        <x:v>46205</x:v>
      </x:c>
      <x:c r="B2745" s="1" t="n">
        <x:v>16.5</x:v>
      </x:c>
      <x:c r="C2745" s="1" t="n">
        <x:v>6</x:v>
      </x:c>
      <x:c r="D2745" s="12" t="n">
        <x:v>0.0655</x:v>
      </x:c>
      <x:c r="E2745" s="12" t="n">
        <x:v>0.44133333333333336</x:v>
      </x:c>
      <x:c r="F2745" s="12" t="n">
        <x:v>0.36583333333333334</x:v>
      </x:c>
      <x:c r="G2745" s="12" t="n">
        <x:v>0</x:v>
      </x:c>
      <x:c r="H2745" s="1" t="n">
        <x:f>'Historical prices'!E2745</x:f>
        <x:v>1.05</x:v>
      </x:c>
      <x:c r="I2745" s="6" t="n">
        <x:f>'Historical prices'!D2745</x:f>
        <x:v>0.11810000000000001</x:v>
      </x:c>
      <x:c r="J2745" s="13" t="n">
        <x:f>D2745*I2745*H2745</x:f>
        <x:v>0.008122327500000002</x:v>
      </x:c>
      <x:c r="K2745" s="13" t="n">
        <x:f>E2745*I2745*H2745</x:f>
        <x:v>0.054727540000000005</x:v>
      </x:c>
      <x:c r="L2745" s="1" t="str">
        <x:f>TEXT(A2745,"mmm yyyy")</x:f>
        <x:v>Jul 2026</x:v>
      </x:c>
    </x:row>
    <x:row r="2746" ht="21" customHeight="1">
      <x:c r="A2746" s="10" t="n">
        <x:v>46205</x:v>
      </x:c>
      <x:c r="B2746" s="1" t="n">
        <x:v>17</x:v>
      </x:c>
      <x:c r="C2746" s="1" t="n">
        <x:v>6</x:v>
      </x:c>
      <x:c r="D2746" s="12" t="n">
        <x:v>0</x:v>
      </x:c>
      <x:c r="E2746" s="12" t="n">
        <x:v>0.38991666666666663</x:v>
      </x:c>
      <x:c r="F2746" s="12" t="n">
        <x:v>0.38966666666666666</x:v>
      </x:c>
      <x:c r="G2746" s="12" t="n">
        <x:v>0</x:v>
      </x:c>
      <x:c r="H2746" s="1" t="n">
        <x:f>'Historical prices'!E2746</x:f>
        <x:v>1.05</x:v>
      </x:c>
      <x:c r="I2746" s="6" t="n">
        <x:f>'Historical prices'!D2746</x:f>
        <x:v>0.1797</x:v>
      </x:c>
      <x:c r="J2746" s="13" t="n">
        <x:f>D2746*I2746*H2746</x:f>
        <x:v>0</x:v>
      </x:c>
      <x:c r="K2746" s="13" t="n">
        <x:f>E2746*I2746*H2746</x:f>
        <x:v>0.07357142624999999</x:v>
      </x:c>
      <x:c r="L2746" s="1" t="str">
        <x:f>TEXT(A2746,"mmm yyyy")</x:f>
        <x:v>Jul 2026</x:v>
      </x:c>
    </x:row>
    <x:row r="2747" ht="21" customHeight="1">
      <x:c r="A2747" s="10" t="n">
        <x:v>46205</x:v>
      </x:c>
      <x:c r="B2747" s="1" t="n">
        <x:v>17.5</x:v>
      </x:c>
      <x:c r="C2747" s="1" t="n">
        <x:v>6</x:v>
      </x:c>
      <x:c r="D2747" s="12" t="n">
        <x:v>0.06225</x:v>
      </x:c>
      <x:c r="E2747" s="12" t="n">
        <x:v>0.48983333333333334</x:v>
      </x:c>
      <x:c r="F2747" s="12" t="n">
        <x:v>0.4275833333333333</x:v>
      </x:c>
      <x:c r="G2747" s="12" t="n">
        <x:v>0</x:v>
      </x:c>
      <x:c r="H2747" s="1" t="n">
        <x:f>'Historical prices'!E2747</x:f>
        <x:v>1.05</x:v>
      </x:c>
      <x:c r="I2747" s="6" t="n">
        <x:f>'Historical prices'!D2747</x:f>
        <x:v>0.2291</x:v>
      </x:c>
      <x:c r="J2747" s="13" t="n">
        <x:f>D2747*I2747*H2747</x:f>
        <x:v>0.01497454875</x:v>
      </x:c>
      <x:c r="K2747" s="13" t="n">
        <x:f>E2747*I2747*H2747</x:f>
        <x:v>0.11783185750000001</x:v>
      </x:c>
      <x:c r="L2747" s="1" t="str">
        <x:f>TEXT(A2747,"mmm yyyy")</x:f>
        <x:v>Jul 2026</x:v>
      </x:c>
    </x:row>
    <x:row r="2748" ht="21" customHeight="1">
      <x:c r="A2748" s="10" t="n">
        <x:v>46205</x:v>
      </x:c>
      <x:c r="B2748" s="1" t="n">
        <x:v>18</x:v>
      </x:c>
      <x:c r="C2748" s="1" t="n">
        <x:v>6</x:v>
      </x:c>
      <x:c r="D2748" s="12" t="n">
        <x:v>0.017166666666666667</x:v>
      </x:c>
      <x:c r="E2748" s="12" t="n">
        <x:v>0.43725</x:v>
      </x:c>
      <x:c r="F2748" s="12" t="n">
        <x:v>0.4198333333333334</x:v>
      </x:c>
      <x:c r="G2748" s="12" t="n">
        <x:v>0</x:v>
      </x:c>
      <x:c r="H2748" s="1" t="n">
        <x:f>'Historical prices'!E2748</x:f>
        <x:v>1.05</x:v>
      </x:c>
      <x:c r="I2748" s="6" t="n">
        <x:f>'Historical prices'!D2748</x:f>
        <x:v>0.2672</x:v>
      </x:c>
      <x:c r="J2748" s="13" t="n">
        <x:f>D2748*I2748*H2748</x:f>
        <x:v>0.004816280000000001</x:v>
      </x:c>
      <x:c r="K2748" s="13" t="n">
        <x:f>E2748*I2748*H2748</x:f>
        <x:v>0.12267486</x:v>
      </x:c>
      <x:c r="L2748" s="1" t="str">
        <x:f>TEXT(A2748,"mmm yyyy")</x:f>
        <x:v>Jul 2026</x:v>
      </x:c>
    </x:row>
    <x:row r="2749" ht="21" customHeight="1">
      <x:c r="A2749" s="10" t="n">
        <x:v>46205</x:v>
      </x:c>
      <x:c r="B2749" s="1" t="n">
        <x:v>18.5</x:v>
      </x:c>
      <x:c r="C2749" s="1" t="n">
        <x:v>6</x:v>
      </x:c>
      <x:c r="D2749" s="12" t="n">
        <x:v>0</x:v>
      </x:c>
      <x:c r="E2749" s="12" t="n">
        <x:v>0.8348333333333334</x:v>
      </x:c>
      <x:c r="F2749" s="12" t="n">
        <x:v>0.8346666666666668</x:v>
      </x:c>
      <x:c r="G2749" s="12" t="n">
        <x:v>0</x:v>
      </x:c>
      <x:c r="H2749" s="1" t="n">
        <x:f>'Historical prices'!E2749</x:f>
        <x:v>1.05</x:v>
      </x:c>
      <x:c r="I2749" s="6" t="n">
        <x:f>'Historical prices'!D2749</x:f>
        <x:v>0.25780000000000003</x:v>
      </x:c>
      <x:c r="J2749" s="13" t="n">
        <x:f>D2749*I2749*H2749</x:f>
        <x:v>0</x:v>
      </x:c>
      <x:c r="K2749" s="13" t="n">
        <x:f>E2749*I2749*H2749</x:f>
        <x:v>0.22598103500000008</x:v>
      </x:c>
      <x:c r="L2749" s="1" t="str">
        <x:f>TEXT(A2749,"mmm yyyy")</x:f>
        <x:v>Jul 2026</x:v>
      </x:c>
    </x:row>
    <x:row r="2750" ht="21" customHeight="1">
      <x:c r="A2750" s="10" t="n">
        <x:v>46205</x:v>
      </x:c>
      <x:c r="B2750" s="1" t="n">
        <x:v>19</x:v>
      </x:c>
      <x:c r="C2750" s="1" t="n">
        <x:v>6</x:v>
      </x:c>
      <x:c r="D2750" s="12" t="n">
        <x:v>0</x:v>
      </x:c>
      <x:c r="E2750" s="12" t="n">
        <x:v>0.46208333333333335</x:v>
      </x:c>
      <x:c r="F2750" s="12" t="n">
        <x:v>0.462</x:v>
      </x:c>
      <x:c r="G2750" s="12" t="n">
        <x:v>0</x:v>
      </x:c>
      <x:c r="H2750" s="1" t="n">
        <x:f>'Historical prices'!E2750</x:f>
        <x:v>1.05</x:v>
      </x:c>
      <x:c r="I2750" s="6" t="n">
        <x:f>'Historical prices'!D2750</x:f>
        <x:v>0.18239999999999998</x:v>
      </x:c>
      <x:c r="J2750" s="13" t="n">
        <x:f>D2750*I2750*H2750</x:f>
        <x:v>0</x:v>
      </x:c>
      <x:c r="K2750" s="13" t="n">
        <x:f>E2750*I2750*H2750</x:f>
        <x:v>0.0884982</x:v>
      </x:c>
      <x:c r="L2750" s="1" t="str">
        <x:f>TEXT(A2750,"mmm yyyy")</x:f>
        <x:v>Jul 2026</x:v>
      </x:c>
    </x:row>
    <x:row r="2751" ht="21" customHeight="1">
      <x:c r="A2751" s="10" t="n">
        <x:v>46205</x:v>
      </x:c>
      <x:c r="B2751" s="1" t="n">
        <x:v>19.5</x:v>
      </x:c>
      <x:c r="C2751" s="1" t="n">
        <x:v>6</x:v>
      </x:c>
      <x:c r="D2751" s="12" t="n">
        <x:v>0</x:v>
      </x:c>
      <x:c r="E2751" s="12" t="n">
        <x:v>0.7375833333333333</x:v>
      </x:c>
      <x:c r="F2751" s="12" t="n">
        <x:v>0.7374999999999999</x:v>
      </x:c>
      <x:c r="G2751" s="12" t="n">
        <x:v>0</x:v>
      </x:c>
      <x:c r="H2751" s="1" t="n">
        <x:f>'Historical prices'!E2751</x:f>
        <x:v>1.05</x:v>
      </x:c>
      <x:c r="I2751" s="6" t="n">
        <x:f>'Historical prices'!D2751</x:f>
        <x:v>0.2018</x:v>
      </x:c>
      <x:c r="J2751" s="13" t="n">
        <x:f>D2751*I2751*H2751</x:f>
        <x:v>0</x:v>
      </x:c>
      <x:c r="K2751" s="13" t="n">
        <x:f>E2751*I2751*H2751</x:f>
        <x:v>0.1562865325</x:v>
      </x:c>
      <x:c r="L2751" s="1" t="str">
        <x:f>TEXT(A2751,"mmm yyyy")</x:f>
        <x:v>Jul 2026</x:v>
      </x:c>
    </x:row>
    <x:row r="2752" ht="21" customHeight="1">
      <x:c r="A2752" s="10" t="n">
        <x:v>46205</x:v>
      </x:c>
      <x:c r="B2752" s="1" t="n">
        <x:v>20</x:v>
      </x:c>
      <x:c r="C2752" s="1" t="n">
        <x:v>6</x:v>
      </x:c>
      <x:c r="D2752" s="12" t="n">
        <x:v>0</x:v>
      </x:c>
      <x:c r="E2752" s="12" t="n">
        <x:v>0.5575</x:v>
      </x:c>
      <x:c r="F2752" s="12" t="n">
        <x:v>0.5538333333333333</x:v>
      </x:c>
      <x:c r="G2752" s="12" t="n">
        <x:v>0</x:v>
      </x:c>
      <x:c r="H2752" s="1" t="n">
        <x:f>'Historical prices'!E2752</x:f>
        <x:v>1.05</x:v>
      </x:c>
      <x:c r="I2752" s="6" t="n">
        <x:f>'Historical prices'!D2752</x:f>
        <x:v>0.2132</x:v>
      </x:c>
      <x:c r="J2752" s="13" t="n">
        <x:f>D2752*I2752*H2752</x:f>
        <x:v>0</x:v>
      </x:c>
      <x:c r="K2752" s="13" t="n">
        <x:f>E2752*I2752*H2752</x:f>
        <x:v>0.12480195000000001</x:v>
      </x:c>
      <x:c r="L2752" s="1" t="str">
        <x:f>TEXT(A2752,"mmm yyyy")</x:f>
        <x:v>Jul 2026</x:v>
      </x:c>
    </x:row>
    <x:row r="2753" ht="21" customHeight="1">
      <x:c r="A2753" s="10" t="n">
        <x:v>46205</x:v>
      </x:c>
      <x:c r="B2753" s="1" t="n">
        <x:v>20.5</x:v>
      </x:c>
      <x:c r="C2753" s="1" t="n">
        <x:v>6</x:v>
      </x:c>
      <x:c r="D2753" s="12" t="n">
        <x:v>0</x:v>
      </x:c>
      <x:c r="E2753" s="12" t="n">
        <x:v>0.5185</x:v>
      </x:c>
      <x:c r="F2753" s="12" t="n">
        <x:v>0.5184166666666666</x:v>
      </x:c>
      <x:c r="G2753" s="12" t="n">
        <x:v>0</x:v>
      </x:c>
      <x:c r="H2753" s="1" t="n">
        <x:f>'Historical prices'!E2753</x:f>
        <x:v>1.05</x:v>
      </x:c>
      <x:c r="I2753" s="6" t="n">
        <x:f>'Historical prices'!D2753</x:f>
        <x:v>0.2126</x:v>
      </x:c>
      <x:c r="J2753" s="13" t="n">
        <x:f>D2753*I2753*H2753</x:f>
        <x:v>0</x:v>
      </x:c>
      <x:c r="K2753" s="13" t="n">
        <x:f>E2753*I2753*H2753</x:f>
        <x:v>0.115744755</x:v>
      </x:c>
      <x:c r="L2753" s="1" t="str">
        <x:f>TEXT(A2753,"mmm yyyy")</x:f>
        <x:v>Jul 2026</x:v>
      </x:c>
    </x:row>
    <x:row r="2754" ht="21" customHeight="1">
      <x:c r="A2754" s="10" t="n">
        <x:v>46205</x:v>
      </x:c>
      <x:c r="B2754" s="1" t="n">
        <x:v>21</x:v>
      </x:c>
      <x:c r="C2754" s="1" t="n">
        <x:v>6</x:v>
      </x:c>
      <x:c r="D2754" s="12" t="n">
        <x:v>0</x:v>
      </x:c>
      <x:c r="E2754" s="12" t="n">
        <x:v>0.544</x:v>
      </x:c>
      <x:c r="F2754" s="12" t="n">
        <x:v>0.5438333333333333</x:v>
      </x:c>
      <x:c r="G2754" s="12" t="n">
        <x:v>0</x:v>
      </x:c>
      <x:c r="H2754" s="1" t="n">
        <x:f>'Historical prices'!E2754</x:f>
        <x:v>1.05</x:v>
      </x:c>
      <x:c r="I2754" s="6" t="n">
        <x:f>'Historical prices'!D2754</x:f>
        <x:v>0.215</x:v>
      </x:c>
      <x:c r="J2754" s="13" t="n">
        <x:f>D2754*I2754*H2754</x:f>
        <x:v>0</x:v>
      </x:c>
      <x:c r="K2754" s="13" t="n">
        <x:f>E2754*I2754*H2754</x:f>
        <x:v>0.12280800000000001</x:v>
      </x:c>
      <x:c r="L2754" s="1" t="str">
        <x:f>TEXT(A2754,"mmm yyyy")</x:f>
        <x:v>Jul 2026</x:v>
      </x:c>
    </x:row>
    <x:row r="2755" ht="21" customHeight="1">
      <x:c r="A2755" s="10" t="n">
        <x:v>46205</x:v>
      </x:c>
      <x:c r="B2755" s="1" t="n">
        <x:v>21.5</x:v>
      </x:c>
      <x:c r="C2755" s="1" t="n">
        <x:v>6</x:v>
      </x:c>
      <x:c r="D2755" s="12" t="n">
        <x:v>0</x:v>
      </x:c>
      <x:c r="E2755" s="12" t="n">
        <x:v>0.9461666666666666</x:v>
      </x:c>
      <x:c r="F2755" s="12" t="n">
        <x:v>0.9457499999999999</x:v>
      </x:c>
      <x:c r="G2755" s="12" t="n">
        <x:v>0</x:v>
      </x:c>
      <x:c r="H2755" s="1" t="n">
        <x:f>'Historical prices'!E2755</x:f>
        <x:v>1.05</x:v>
      </x:c>
      <x:c r="I2755" s="6" t="n">
        <x:f>'Historical prices'!D2755</x:f>
        <x:v>0.221</x:v>
      </x:c>
      <x:c r="J2755" s="13" t="n">
        <x:f>D2755*I2755*H2755</x:f>
        <x:v>0</x:v>
      </x:c>
      <x:c r="K2755" s="13" t="n">
        <x:f>E2755*I2755*H2755</x:f>
        <x:v>0.219557975</x:v>
      </x:c>
      <x:c r="L2755" s="1" t="str">
        <x:f>TEXT(A2755,"mmm yyyy")</x:f>
        <x:v>Jul 2026</x:v>
      </x:c>
    </x:row>
    <x:row r="2756" ht="21" customHeight="1">
      <x:c r="A2756" s="10" t="n">
        <x:v>46205</x:v>
      </x:c>
      <x:c r="B2756" s="1" t="n">
        <x:v>22</x:v>
      </x:c>
      <x:c r="C2756" s="1" t="n">
        <x:v>6</x:v>
      </x:c>
      <x:c r="D2756" s="12" t="n">
        <x:v>0</x:v>
      </x:c>
      <x:c r="E2756" s="12" t="n">
        <x:v>0.4260833333333333</x:v>
      </x:c>
      <x:c r="F2756" s="12" t="n">
        <x:v>0.42575</x:v>
      </x:c>
      <x:c r="G2756" s="12" t="n">
        <x:v>0</x:v>
      </x:c>
      <x:c r="H2756" s="1" t="n">
        <x:f>'Historical prices'!E2756</x:f>
        <x:v>1.05</x:v>
      </x:c>
      <x:c r="I2756" s="6" t="n">
        <x:f>'Historical prices'!D2756</x:f>
        <x:v>0.2018</x:v>
      </x:c>
      <x:c r="J2756" s="13" t="n">
        <x:f>D2756*I2756*H2756</x:f>
        <x:v>0</x:v>
      </x:c>
      <x:c r="K2756" s="13" t="n">
        <x:f>E2756*I2756*H2756</x:f>
        <x:v>0.0902827975</x:v>
      </x:c>
      <x:c r="L2756" s="1" t="str">
        <x:f>TEXT(A2756,"mmm yyyy")</x:f>
        <x:v>Jul 2026</x:v>
      </x:c>
    </x:row>
    <x:row r="2757" ht="21" customHeight="1">
      <x:c r="A2757" s="10" t="n">
        <x:v>46205</x:v>
      </x:c>
      <x:c r="B2757" s="1" t="n">
        <x:v>22.5</x:v>
      </x:c>
      <x:c r="C2757" s="1" t="n">
        <x:v>6</x:v>
      </x:c>
      <x:c r="D2757" s="12" t="n">
        <x:v>0.0195</x:v>
      </x:c>
      <x:c r="E2757" s="12" t="n">
        <x:v>0.2788333333333333</x:v>
      </x:c>
      <x:c r="F2757" s="12" t="n">
        <x:v>0.2558333333333333</x:v>
      </x:c>
      <x:c r="G2757" s="12" t="n">
        <x:v>0</x:v>
      </x:c>
      <x:c r="H2757" s="1" t="n">
        <x:f>'Historical prices'!E2757</x:f>
        <x:v>1.05</x:v>
      </x:c>
      <x:c r="I2757" s="6" t="n">
        <x:f>'Historical prices'!D2757</x:f>
        <x:v>0.1766</x:v>
      </x:c>
      <x:c r="J2757" s="13" t="n">
        <x:f>D2757*I2757*H2757</x:f>
        <x:v>0.003615885</x:v>
      </x:c>
      <x:c r="K2757" s="13" t="n">
        <x:f>E2757*I2757*H2757</x:f>
        <x:v>0.051704065</x:v>
      </x:c>
      <x:c r="L2757" s="1" t="str">
        <x:f>TEXT(A2757,"mmm yyyy")</x:f>
        <x:v>Jul 2026</x:v>
      </x:c>
    </x:row>
    <x:row r="2758" ht="21" customHeight="1">
      <x:c r="A2758" s="10" t="n">
        <x:v>46205</x:v>
      </x:c>
      <x:c r="B2758" s="1" t="n">
        <x:v>23</x:v>
      </x:c>
      <x:c r="C2758" s="1" t="n">
        <x:v>6</x:v>
      </x:c>
      <x:c r="D2758" s="12" t="n">
        <x:v>0</x:v>
      </x:c>
      <x:c r="E2758" s="12" t="n">
        <x:v>0.3468333333333333</x:v>
      </x:c>
      <x:c r="F2758" s="12" t="n">
        <x:v>0.34675</x:v>
      </x:c>
      <x:c r="G2758" s="12" t="n">
        <x:v>0</x:v>
      </x:c>
      <x:c r="H2758" s="1" t="n">
        <x:f>'Historical prices'!E2758</x:f>
        <x:v>1.05</x:v>
      </x:c>
      <x:c r="I2758" s="6" t="n">
        <x:f>'Historical prices'!D2758</x:f>
        <x:v>0.1802</x:v>
      </x:c>
      <x:c r="J2758" s="13" t="n">
        <x:f>D2758*I2758*H2758</x:f>
        <x:v>0</x:v>
      </x:c>
      <x:c r="K2758" s="13" t="n">
        <x:f>E2758*I2758*H2758</x:f>
        <x:v>0.065624335</x:v>
      </x:c>
      <x:c r="L2758" s="1" t="str">
        <x:f>TEXT(A2758,"mmm yyyy")</x:f>
        <x:v>Jul 2026</x:v>
      </x:c>
    </x:row>
    <x:row r="2759" ht="21" customHeight="1">
      <x:c r="A2759" s="10" t="n">
        <x:v>46205</x:v>
      </x:c>
      <x:c r="B2759" s="1" t="n">
        <x:v>23.5</x:v>
      </x:c>
      <x:c r="C2759" s="1" t="n">
        <x:v>6</x:v>
      </x:c>
      <x:c r="D2759" s="12" t="n">
        <x:v>0</x:v>
      </x:c>
      <x:c r="E2759" s="12" t="n">
        <x:v>0.328</x:v>
      </x:c>
      <x:c r="F2759" s="12" t="n">
        <x:v>0.3278333333333333</x:v>
      </x:c>
      <x:c r="G2759" s="12" t="n">
        <x:v>0</x:v>
      </x:c>
      <x:c r="H2759" s="1" t="n">
        <x:f>'Historical prices'!E2759</x:f>
        <x:v>1.05</x:v>
      </x:c>
      <x:c r="I2759" s="6" t="n">
        <x:f>'Historical prices'!D2759</x:f>
        <x:v>0.17300000000000001</x:v>
      </x:c>
      <x:c r="J2759" s="13" t="n">
        <x:f>D2759*I2759*H2759</x:f>
        <x:v>0</x:v>
      </x:c>
      <x:c r="K2759" s="13" t="n">
        <x:f>E2759*I2759*H2759</x:f>
        <x:v>0.059581200000000015</x:v>
      </x:c>
      <x:c r="L2759" s="1" t="str">
        <x:f>TEXT(A2759,"mmm yyyy")</x:f>
        <x:v>Jul 2026</x:v>
      </x:c>
    </x:row>
    <x:row r="2760" ht="21" customHeight="1">
      <x:c r="A2760" s="10" t="n">
        <x:v>46206</x:v>
      </x:c>
      <x:c r="B2760" s="1" t="n">
        <x:v>0</x:v>
      </x:c>
      <x:c r="C2760" s="1" t="n">
        <x:v>6</x:v>
      </x:c>
      <x:c r="D2760" s="12" t="n">
        <x:v>0</x:v>
      </x:c>
      <x:c r="E2760" s="12" t="n">
        <x:v>0.26183333333333336</x:v>
      </x:c>
      <x:c r="F2760" s="12" t="n">
        <x:v>0.26183333333333336</x:v>
      </x:c>
      <x:c r="G2760" s="12" t="n">
        <x:v>0</x:v>
      </x:c>
      <x:c r="H2760" s="1" t="n">
        <x:f>'Historical prices'!E2760</x:f>
        <x:v>1.05</x:v>
      </x:c>
      <x:c r="I2760" s="6" t="n">
        <x:f>'Historical prices'!D2760</x:f>
        <x:v>0.16140000000000002</x:v>
      </x:c>
      <x:c r="J2760" s="13" t="n">
        <x:f>D2760*I2760*H2760</x:f>
        <x:v>0</x:v>
      </x:c>
      <x:c r="K2760" s="13" t="n">
        <x:f>E2760*I2760*H2760</x:f>
        <x:v>0.04437289500000001</x:v>
      </x:c>
      <x:c r="L2760" s="1" t="str">
        <x:f>TEXT(A2760,"mmm yyyy")</x:f>
        <x:v>Jul 2026</x:v>
      </x:c>
    </x:row>
    <x:row r="2761" ht="21" customHeight="1">
      <x:c r="A2761" s="10" t="n">
        <x:v>46206</x:v>
      </x:c>
      <x:c r="B2761" s="1" t="n">
        <x:v>0.5</x:v>
      </x:c>
      <x:c r="C2761" s="1" t="n">
        <x:v>6</x:v>
      </x:c>
      <x:c r="D2761" s="12" t="n">
        <x:v>0</x:v>
      </x:c>
      <x:c r="E2761" s="12" t="n">
        <x:v>0.271</x:v>
      </x:c>
      <x:c r="F2761" s="12" t="n">
        <x:v>0.27075</x:v>
      </x:c>
      <x:c r="G2761" s="12" t="n">
        <x:v>0</x:v>
      </x:c>
      <x:c r="H2761" s="1" t="n">
        <x:f>'Historical prices'!E2761</x:f>
        <x:v>1.05</x:v>
      </x:c>
      <x:c r="I2761" s="6" t="n">
        <x:f>'Historical prices'!D2761</x:f>
        <x:v>0.1654</x:v>
      </x:c>
      <x:c r="J2761" s="13" t="n">
        <x:f>D2761*I2761*H2761</x:f>
        <x:v>0</x:v>
      </x:c>
      <x:c r="K2761" s="13" t="n">
        <x:f>E2761*I2761*H2761</x:f>
        <x:v>0.04706457</x:v>
      </x:c>
      <x:c r="L2761" s="1" t="str">
        <x:f>TEXT(A2761,"mmm yyyy")</x:f>
        <x:v>Jul 2026</x:v>
      </x:c>
    </x:row>
    <x:row r="2762" ht="21" customHeight="1">
      <x:c r="A2762" s="10" t="n">
        <x:v>46206</x:v>
      </x:c>
      <x:c r="B2762" s="1" t="n">
        <x:v>1</x:v>
      </x:c>
      <x:c r="C2762" s="1" t="n">
        <x:v>6</x:v>
      </x:c>
      <x:c r="D2762" s="12" t="n">
        <x:v>0</x:v>
      </x:c>
      <x:c r="E2762" s="12" t="n">
        <x:v>0.407</x:v>
      </x:c>
      <x:c r="F2762" s="12" t="n">
        <x:v>0.40675</x:v>
      </x:c>
      <x:c r="G2762" s="12" t="n">
        <x:v>0</x:v>
      </x:c>
      <x:c r="H2762" s="1" t="n">
        <x:f>'Historical prices'!E2762</x:f>
        <x:v>1.05</x:v>
      </x:c>
      <x:c r="I2762" s="6" t="n">
        <x:f>'Historical prices'!D2762</x:f>
        <x:v>0.15560000000000002</x:v>
      </x:c>
      <x:c r="J2762" s="13" t="n">
        <x:f>D2762*I2762*H2762</x:f>
        <x:v>0</x:v>
      </x:c>
      <x:c r="K2762" s="13" t="n">
        <x:f>E2762*I2762*H2762</x:f>
        <x:v>0.06649566000000001</x:v>
      </x:c>
      <x:c r="L2762" s="1" t="str">
        <x:f>TEXT(A2762,"mmm yyyy")</x:f>
        <x:v>Jul 2026</x:v>
      </x:c>
    </x:row>
    <x:row r="2763" ht="21" customHeight="1">
      <x:c r="A2763" s="10" t="n">
        <x:v>46206</x:v>
      </x:c>
      <x:c r="B2763" s="1" t="n">
        <x:v>1.5</x:v>
      </x:c>
      <x:c r="C2763" s="1" t="n">
        <x:v>6</x:v>
      </x:c>
      <x:c r="D2763" s="12" t="n">
        <x:v>0</x:v>
      </x:c>
      <x:c r="E2763" s="12" t="n">
        <x:v>0.28966666666666663</x:v>
      </x:c>
      <x:c r="F2763" s="12" t="n">
        <x:v>0.28966666666666663</x:v>
      </x:c>
      <x:c r="G2763" s="12" t="n">
        <x:v>0</x:v>
      </x:c>
      <x:c r="H2763" s="1" t="n">
        <x:f>'Historical prices'!E2763</x:f>
        <x:v>1.05</x:v>
      </x:c>
      <x:c r="I2763" s="6" t="n">
        <x:f>'Historical prices'!D2763</x:f>
        <x:v>0.1573</x:v>
      </x:c>
      <x:c r="J2763" s="13" t="n">
        <x:f>D2763*I2763*H2763</x:f>
        <x:v>0</x:v>
      </x:c>
      <x:c r="K2763" s="13" t="n">
        <x:f>E2763*I2763*H2763</x:f>
        <x:v>0.047842794999999994</x:v>
      </x:c>
      <x:c r="L2763" s="1" t="str">
        <x:f>TEXT(A2763,"mmm yyyy")</x:f>
        <x:v>Jul 2026</x:v>
      </x:c>
    </x:row>
    <x:row r="2764" ht="21" customHeight="1">
      <x:c r="A2764" s="10" t="n">
        <x:v>46206</x:v>
      </x:c>
      <x:c r="B2764" s="1" t="n">
        <x:v>2</x:v>
      </x:c>
      <x:c r="C2764" s="1" t="n">
        <x:v>6</x:v>
      </x:c>
      <x:c r="D2764" s="12" t="n">
        <x:v>0</x:v>
      </x:c>
      <x:c r="E2764" s="12" t="n">
        <x:v>0.2371666666666667</x:v>
      </x:c>
      <x:c r="F2764" s="12" t="n">
        <x:v>0.23683333333333334</x:v>
      </x:c>
      <x:c r="G2764" s="12" t="n">
        <x:v>0</x:v>
      </x:c>
      <x:c r="H2764" s="1" t="n">
        <x:f>'Historical prices'!E2764</x:f>
        <x:v>1.05</x:v>
      </x:c>
      <x:c r="I2764" s="6" t="n">
        <x:f>'Historical prices'!D2764</x:f>
        <x:v>0.1507</x:v>
      </x:c>
      <x:c r="J2764" s="13" t="n">
        <x:f>D2764*I2764*H2764</x:f>
        <x:v>0</x:v>
      </x:c>
      <x:c r="K2764" s="13" t="n">
        <x:f>E2764*I2764*H2764</x:f>
        <x:v>0.03752806750000001</x:v>
      </x:c>
      <x:c r="L2764" s="1" t="str">
        <x:f>TEXT(A2764,"mmm yyyy")</x:f>
        <x:v>Jul 2026</x:v>
      </x:c>
    </x:row>
    <x:row r="2765" ht="21" customHeight="1">
      <x:c r="A2765" s="10" t="n">
        <x:v>46206</x:v>
      </x:c>
      <x:c r="B2765" s="1" t="n">
        <x:v>2.5</x:v>
      </x:c>
      <x:c r="C2765" s="1" t="n">
        <x:v>6</x:v>
      </x:c>
      <x:c r="D2765" s="12" t="n">
        <x:v>0</x:v>
      </x:c>
      <x:c r="E2765" s="12" t="n">
        <x:v>0.2708333333333333</x:v>
      </x:c>
      <x:c r="F2765" s="12" t="n">
        <x:v>0.26591666666666663</x:v>
      </x:c>
      <x:c r="G2765" s="12" t="n">
        <x:v>0</x:v>
      </x:c>
      <x:c r="H2765" s="1" t="n">
        <x:f>'Historical prices'!E2765</x:f>
        <x:v>1.05</x:v>
      </x:c>
      <x:c r="I2765" s="6" t="n">
        <x:f>'Historical prices'!D2765</x:f>
        <x:v>0.1501</x:v>
      </x:c>
      <x:c r="J2765" s="13" t="n">
        <x:f>D2765*I2765*H2765</x:f>
        <x:v>0</x:v>
      </x:c>
      <x:c r="K2765" s="13" t="n">
        <x:f>E2765*I2765*H2765</x:f>
        <x:v>0.0426846875</x:v>
      </x:c>
      <x:c r="L2765" s="1" t="str">
        <x:f>TEXT(A2765,"mmm yyyy")</x:f>
        <x:v>Jul 2026</x:v>
      </x:c>
    </x:row>
    <x:row r="2766" ht="21" customHeight="1">
      <x:c r="A2766" s="10" t="n">
        <x:v>46206</x:v>
      </x:c>
      <x:c r="B2766" s="1" t="n">
        <x:v>3</x:v>
      </x:c>
      <x:c r="C2766" s="1" t="n">
        <x:v>6</x:v>
      </x:c>
      <x:c r="D2766" s="12" t="n">
        <x:v>0</x:v>
      </x:c>
      <x:c r="E2766" s="12" t="n">
        <x:v>0.29891666666666666</x:v>
      </x:c>
      <x:c r="F2766" s="12" t="n">
        <x:v>0.29883333333333334</x:v>
      </x:c>
      <x:c r="G2766" s="12" t="n">
        <x:v>0</x:v>
      </x:c>
      <x:c r="H2766" s="1" t="n">
        <x:f>'Historical prices'!E2766</x:f>
        <x:v>1.05</x:v>
      </x:c>
      <x:c r="I2766" s="6" t="n">
        <x:f>'Historical prices'!D2766</x:f>
        <x:v>0.1502</x:v>
      </x:c>
      <x:c r="J2766" s="13" t="n">
        <x:f>D2766*I2766*H2766</x:f>
        <x:v>0</x:v>
      </x:c>
      <x:c r="K2766" s="13" t="n">
        <x:f>E2766*I2766*H2766</x:f>
        <x:v>0.0471421475</x:v>
      </x:c>
      <x:c r="L2766" s="1" t="str">
        <x:f>TEXT(A2766,"mmm yyyy")</x:f>
        <x:v>Jul 2026</x:v>
      </x:c>
    </x:row>
    <x:row r="2767" ht="21" customHeight="1">
      <x:c r="A2767" s="10" t="n">
        <x:v>46206</x:v>
      </x:c>
      <x:c r="B2767" s="1" t="n">
        <x:v>3.5</x:v>
      </x:c>
      <x:c r="C2767" s="1" t="n">
        <x:v>6</x:v>
      </x:c>
      <x:c r="D2767" s="12" t="n">
        <x:v>0</x:v>
      </x:c>
      <x:c r="E2767" s="12" t="n">
        <x:v>0.25516666666666665</x:v>
      </x:c>
      <x:c r="F2767" s="12" t="n">
        <x:v>0.255</x:v>
      </x:c>
      <x:c r="G2767" s="12" t="n">
        <x:v>0</x:v>
      </x:c>
      <x:c r="H2767" s="1" t="n">
        <x:f>'Historical prices'!E2767</x:f>
        <x:v>1.05</x:v>
      </x:c>
      <x:c r="I2767" s="6" t="n">
        <x:f>'Historical prices'!D2767</x:f>
        <x:v>0.1477</x:v>
      </x:c>
      <x:c r="J2767" s="13" t="n">
        <x:f>D2767*I2767*H2767</x:f>
        <x:v>0</x:v>
      </x:c>
      <x:c r="K2767" s="13" t="n">
        <x:f>E2767*I2767*H2767</x:f>
        <x:v>0.0395725225</x:v>
      </x:c>
      <x:c r="L2767" s="1" t="str">
        <x:f>TEXT(A2767,"mmm yyyy")</x:f>
        <x:v>Jul 2026</x:v>
      </x:c>
    </x:row>
    <x:row r="2768" ht="21" customHeight="1">
      <x:c r="A2768" s="10" t="n">
        <x:v>46206</x:v>
      </x:c>
      <x:c r="B2768" s="1" t="n">
        <x:v>4</x:v>
      </x:c>
      <x:c r="C2768" s="1" t="n">
        <x:v>6</x:v>
      </x:c>
      <x:c r="D2768" s="12" t="n">
        <x:v>0</x:v>
      </x:c>
      <x:c r="E2768" s="12" t="n">
        <x:v>0.29566666666666663</x:v>
      </x:c>
      <x:c r="F2768" s="12" t="n">
        <x:v>0.2955833333333333</x:v>
      </x:c>
      <x:c r="G2768" s="12" t="n">
        <x:v>0</x:v>
      </x:c>
      <x:c r="H2768" s="1" t="n">
        <x:f>'Historical prices'!E2768</x:f>
        <x:v>1.05</x:v>
      </x:c>
      <x:c r="I2768" s="6" t="n">
        <x:f>'Historical prices'!D2768</x:f>
        <x:v>0.15039999999999998</x:v>
      </x:c>
      <x:c r="J2768" s="13" t="n">
        <x:f>D2768*I2768*H2768</x:f>
        <x:v>0</x:v>
      </x:c>
      <x:c r="K2768" s="13" t="n">
        <x:f>E2768*I2768*H2768</x:f>
        <x:v>0.046691679999999985</x:v>
      </x:c>
      <x:c r="L2768" s="1" t="str">
        <x:f>TEXT(A2768,"mmm yyyy")</x:f>
        <x:v>Jul 2026</x:v>
      </x:c>
    </x:row>
    <x:row r="2769" ht="21" customHeight="1">
      <x:c r="A2769" s="10" t="n">
        <x:v>46206</x:v>
      </x:c>
      <x:c r="B2769" s="1" t="n">
        <x:v>4.5</x:v>
      </x:c>
      <x:c r="C2769" s="1" t="n">
        <x:v>6</x:v>
      </x:c>
      <x:c r="D2769" s="12" t="n">
        <x:v>0.21825</x:v>
      </x:c>
      <x:c r="E2769" s="12" t="n">
        <x:v>0.28325</x:v>
      </x:c>
      <x:c r="F2769" s="12" t="n">
        <x:v>0.056</x:v>
      </x:c>
      <x:c r="G2769" s="12" t="n">
        <x:v>0</x:v>
      </x:c>
      <x:c r="H2769" s="1" t="n">
        <x:f>'Historical prices'!E2769</x:f>
        <x:v>1.05</x:v>
      </x:c>
      <x:c r="I2769" s="6" t="n">
        <x:f>'Historical prices'!D2769</x:f>
        <x:v>0.1461</x:v>
      </x:c>
      <x:c r="J2769" s="13" t="n">
        <x:f>D2769*I2769*H2769</x:f>
        <x:v>0.03348064125</x:v>
      </x:c>
      <x:c r="K2769" s="13" t="n">
        <x:f>E2769*I2769*H2769</x:f>
        <x:v>0.04345196625000001</x:v>
      </x:c>
      <x:c r="L2769" s="1" t="str">
        <x:f>TEXT(A2769,"mmm yyyy")</x:f>
        <x:v>Jul 2026</x:v>
      </x:c>
    </x:row>
    <x:row r="2770" ht="21" customHeight="1">
      <x:c r="A2770" s="10" t="n">
        <x:v>46206</x:v>
      </x:c>
      <x:c r="B2770" s="1" t="n">
        <x:v>5</x:v>
      </x:c>
      <x:c r="C2770" s="1" t="n">
        <x:v>6</x:v>
      </x:c>
      <x:c r="D2770" s="12" t="n">
        <x:v>0.043</x:v>
      </x:c>
      <x:c r="E2770" s="12" t="n">
        <x:v>0.315</x:v>
      </x:c>
      <x:c r="F2770" s="12" t="n">
        <x:v>0.2708333333333333</x:v>
      </x:c>
      <x:c r="G2770" s="12" t="n">
        <x:v>0</x:v>
      </x:c>
      <x:c r="H2770" s="1" t="n">
        <x:f>'Historical prices'!E2770</x:f>
        <x:v>1.05</x:v>
      </x:c>
      <x:c r="I2770" s="6" t="n">
        <x:f>'Historical prices'!D2770</x:f>
        <x:v>0.1604</x:v>
      </x:c>
      <x:c r="J2770" s="13" t="n">
        <x:f>D2770*I2770*H2770</x:f>
        <x:v>0.00724206</x:v>
      </x:c>
      <x:c r="K2770" s="13" t="n">
        <x:f>E2770*I2770*H2770</x:f>
        <x:v>0.0530523</x:v>
      </x:c>
      <x:c r="L2770" s="1" t="str">
        <x:f>TEXT(A2770,"mmm yyyy")</x:f>
        <x:v>Jul 2026</x:v>
      </x:c>
    </x:row>
    <x:row r="2771" ht="21" customHeight="1">
      <x:c r="A2771" s="10" t="n">
        <x:v>46206</x:v>
      </x:c>
      <x:c r="B2771" s="1" t="n">
        <x:v>5.5</x:v>
      </x:c>
      <x:c r="C2771" s="1" t="n">
        <x:v>6</x:v>
      </x:c>
      <x:c r="D2771" s="12" t="n">
        <x:v>0</x:v>
      </x:c>
      <x:c r="E2771" s="12" t="n">
        <x:v>0.35283333333333333</x:v>
      </x:c>
      <x:c r="F2771" s="12" t="n">
        <x:v>0.35225</x:v>
      </x:c>
      <x:c r="G2771" s="12" t="n">
        <x:v>0</x:v>
      </x:c>
      <x:c r="H2771" s="1" t="n">
        <x:f>'Historical prices'!E2771</x:f>
        <x:v>1.05</x:v>
      </x:c>
      <x:c r="I2771" s="6" t="n">
        <x:f>'Historical prices'!D2771</x:f>
        <x:v>0.1604</x:v>
      </x:c>
      <x:c r="J2771" s="13" t="n">
        <x:f>D2771*I2771*H2771</x:f>
        <x:v>0</x:v>
      </x:c>
      <x:c r="K2771" s="13" t="n">
        <x:f>E2771*I2771*H2771</x:f>
        <x:v>0.059424189999999995</x:v>
      </x:c>
      <x:c r="L2771" s="1" t="str">
        <x:f>TEXT(A2771,"mmm yyyy")</x:f>
        <x:v>Jul 2026</x:v>
      </x:c>
    </x:row>
    <x:row r="2772" ht="21" customHeight="1">
      <x:c r="A2772" s="10" t="n">
        <x:v>46206</x:v>
      </x:c>
      <x:c r="B2772" s="1" t="n">
        <x:v>6</x:v>
      </x:c>
      <x:c r="C2772" s="1" t="n">
        <x:v>6</x:v>
      </x:c>
      <x:c r="D2772" s="12" t="n">
        <x:v>0</x:v>
      </x:c>
      <x:c r="E2772" s="12" t="n">
        <x:v>0.31808333333333333</x:v>
      </x:c>
      <x:c r="F2772" s="12" t="n">
        <x:v>0.3179166666666667</x:v>
      </x:c>
      <x:c r="G2772" s="12" t="n">
        <x:v>0</x:v>
      </x:c>
      <x:c r="H2772" s="1" t="n">
        <x:f>'Historical prices'!E2772</x:f>
        <x:v>1.05</x:v>
      </x:c>
      <x:c r="I2772" s="6" t="n">
        <x:f>'Historical prices'!D2772</x:f>
        <x:v>0.17670000000000002</x:v>
      </x:c>
      <x:c r="J2772" s="13" t="n">
        <x:f>D2772*I2772*H2772</x:f>
        <x:v>0</x:v>
      </x:c>
      <x:c r="K2772" s="13" t="n">
        <x:f>E2772*I2772*H2772</x:f>
        <x:v>0.05901559125000001</x:v>
      </x:c>
      <x:c r="L2772" s="1" t="str">
        <x:f>TEXT(A2772,"mmm yyyy")</x:f>
        <x:v>Jul 2026</x:v>
      </x:c>
    </x:row>
    <x:row r="2773" ht="21" customHeight="1">
      <x:c r="A2773" s="10" t="n">
        <x:v>46206</x:v>
      </x:c>
      <x:c r="B2773" s="1" t="n">
        <x:v>6.5</x:v>
      </x:c>
      <x:c r="C2773" s="1" t="n">
        <x:v>6</x:v>
      </x:c>
      <x:c r="D2773" s="12" t="n">
        <x:v>0</x:v>
      </x:c>
      <x:c r="E2773" s="12" t="n">
        <x:v>0.4019166666666667</x:v>
      </x:c>
      <x:c r="F2773" s="12" t="n">
        <x:v>0.39391666666666664</x:v>
      </x:c>
      <x:c r="G2773" s="12" t="n">
        <x:v>0</x:v>
      </x:c>
      <x:c r="H2773" s="1" t="n">
        <x:f>'Historical prices'!E2773</x:f>
        <x:v>1.05</x:v>
      </x:c>
      <x:c r="I2773" s="6" t="n">
        <x:f>'Historical prices'!D2773</x:f>
        <x:v>0.20679999999999998</x:v>
      </x:c>
      <x:c r="J2773" s="13" t="n">
        <x:f>D2773*I2773*H2773</x:f>
        <x:v>0</x:v>
      </x:c>
      <x:c r="K2773" s="13" t="n">
        <x:f>E2773*I2773*H2773</x:f>
        <x:v>0.087272185</x:v>
      </x:c>
      <x:c r="L2773" s="1" t="str">
        <x:f>TEXT(A2773,"mmm yyyy")</x:f>
        <x:v>Jul 2026</x:v>
      </x:c>
    </x:row>
    <x:row r="2774" ht="21" customHeight="1">
      <x:c r="A2774" s="10" t="n">
        <x:v>46206</x:v>
      </x:c>
      <x:c r="B2774" s="1" t="n">
        <x:v>7</x:v>
      </x:c>
      <x:c r="C2774" s="1" t="n">
        <x:v>6</x:v>
      </x:c>
      <x:c r="D2774" s="12" t="n">
        <x:v>0</x:v>
      </x:c>
      <x:c r="E2774" s="12" t="n">
        <x:v>0.5229999999999999</x:v>
      </x:c>
      <x:c r="F2774" s="12" t="n">
        <x:v>0.5225833333333333</x:v>
      </x:c>
      <x:c r="G2774" s="12" t="n">
        <x:v>0</x:v>
      </x:c>
      <x:c r="H2774" s="1" t="n">
        <x:f>'Historical prices'!E2774</x:f>
        <x:v>1.05</x:v>
      </x:c>
      <x:c r="I2774" s="6" t="n">
        <x:f>'Historical prices'!D2774</x:f>
        <x:v>0.2045</x:v>
      </x:c>
      <x:c r="J2774" s="13" t="n">
        <x:f>D2774*I2774*H2774</x:f>
        <x:v>0</x:v>
      </x:c>
      <x:c r="K2774" s="13" t="n">
        <x:f>E2774*I2774*H2774</x:f>
        <x:v>0.11230117499999999</x:v>
      </x:c>
      <x:c r="L2774" s="1" t="str">
        <x:f>TEXT(A2774,"mmm yyyy")</x:f>
        <x:v>Jul 2026</x:v>
      </x:c>
    </x:row>
    <x:row r="2775" ht="21" customHeight="1">
      <x:c r="A2775" s="10" t="n">
        <x:v>46206</x:v>
      </x:c>
      <x:c r="B2775" s="1" t="n">
        <x:v>7.5</x:v>
      </x:c>
      <x:c r="C2775" s="1" t="n">
        <x:v>6</x:v>
      </x:c>
      <x:c r="D2775" s="12" t="n">
        <x:v>0</x:v>
      </x:c>
      <x:c r="E2775" s="12" t="n">
        <x:v>1.0850833333333334</x:v>
      </x:c>
      <x:c r="F2775" s="12" t="n">
        <x:v>1.0845833333333335</x:v>
      </x:c>
      <x:c r="G2775" s="12" t="n">
        <x:v>0</x:v>
      </x:c>
      <x:c r="H2775" s="1" t="n">
        <x:f>'Historical prices'!E2775</x:f>
        <x:v>1.05</x:v>
      </x:c>
      <x:c r="I2775" s="6" t="n">
        <x:f>'Historical prices'!D2775</x:f>
        <x:v>0.20800000000000002</x:v>
      </x:c>
      <x:c r="J2775" s="13" t="n">
        <x:f>D2775*I2775*H2775</x:f>
        <x:v>0</x:v>
      </x:c>
      <x:c r="K2775" s="13" t="n">
        <x:f>E2775*I2775*H2775</x:f>
        <x:v>0.23698220000000003</x:v>
      </x:c>
      <x:c r="L2775" s="1" t="str">
        <x:f>TEXT(A2775,"mmm yyyy")</x:f>
        <x:v>Jul 2026</x:v>
      </x:c>
    </x:row>
    <x:row r="2776" ht="21" customHeight="1">
      <x:c r="A2776" s="10" t="n">
        <x:v>46206</x:v>
      </x:c>
      <x:c r="B2776" s="1" t="n">
        <x:v>8</x:v>
      </x:c>
      <x:c r="C2776" s="1" t="n">
        <x:v>6</x:v>
      </x:c>
      <x:c r="D2776" s="12" t="n">
        <x:v>0</x:v>
      </x:c>
      <x:c r="E2776" s="12" t="n">
        <x:v>0.45666666666666667</x:v>
      </x:c>
      <x:c r="F2776" s="12" t="n">
        <x:v>0.45633333333333337</x:v>
      </x:c>
      <x:c r="G2776" s="12" t="n">
        <x:v>0</x:v>
      </x:c>
      <x:c r="H2776" s="1" t="n">
        <x:f>'Historical prices'!E2776</x:f>
        <x:v>1.05</x:v>
      </x:c>
      <x:c r="I2776" s="6" t="n">
        <x:f>'Historical prices'!D2776</x:f>
        <x:v>0.20920000000000002</x:v>
      </x:c>
      <x:c r="J2776" s="13" t="n">
        <x:f>D2776*I2776*H2776</x:f>
        <x:v>0</x:v>
      </x:c>
      <x:c r="K2776" s="13" t="n">
        <x:f>E2776*I2776*H2776</x:f>
        <x:v>0.10031140000000002</x:v>
      </x:c>
      <x:c r="L2776" s="1" t="str">
        <x:f>TEXT(A2776,"mmm yyyy")</x:f>
        <x:v>Jul 2026</x:v>
      </x:c>
    </x:row>
    <x:row r="2777" ht="21" customHeight="1">
      <x:c r="A2777" s="10" t="n">
        <x:v>46206</x:v>
      </x:c>
      <x:c r="B2777" s="1" t="n">
        <x:v>8.5</x:v>
      </x:c>
      <x:c r="C2777" s="1" t="n">
        <x:v>6</x:v>
      </x:c>
      <x:c r="D2777" s="12" t="n">
        <x:v>0</x:v>
      </x:c>
      <x:c r="E2777" s="12" t="n">
        <x:v>1.0913333333333333</x:v>
      </x:c>
      <x:c r="F2777" s="12" t="n">
        <x:v>1.0908333333333333</x:v>
      </x:c>
      <x:c r="G2777" s="12" t="n">
        <x:v>0</x:v>
      </x:c>
      <x:c r="H2777" s="1" t="n">
        <x:f>'Historical prices'!E2777</x:f>
        <x:v>1.05</x:v>
      </x:c>
      <x:c r="I2777" s="6" t="n">
        <x:f>'Historical prices'!D2777</x:f>
        <x:v>0.1882</x:v>
      </x:c>
      <x:c r="J2777" s="13" t="n">
        <x:f>D2777*I2777*H2777</x:f>
        <x:v>0</x:v>
      </x:c>
      <x:c r="K2777" s="13" t="n">
        <x:f>E2777*I2777*H2777</x:f>
        <x:v>0.21565838</x:v>
      </x:c>
      <x:c r="L2777" s="1" t="str">
        <x:f>TEXT(A2777,"mmm yyyy")</x:f>
        <x:v>Jul 2026</x:v>
      </x:c>
    </x:row>
    <x:row r="2778" ht="21" customHeight="1">
      <x:c r="A2778" s="10" t="n">
        <x:v>46206</x:v>
      </x:c>
      <x:c r="B2778" s="1" t="n">
        <x:v>9</x:v>
      </x:c>
      <x:c r="C2778" s="1" t="n">
        <x:v>6</x:v>
      </x:c>
      <x:c r="D2778" s="12" t="n">
        <x:v>0</x:v>
      </x:c>
      <x:c r="E2778" s="12" t="n">
        <x:v>0.7277499999999999</x:v>
      </x:c>
      <x:c r="F2778" s="12" t="n">
        <x:v>0.7206666666666666</x:v>
      </x:c>
      <x:c r="G2778" s="12" t="n">
        <x:v>0</x:v>
      </x:c>
      <x:c r="H2778" s="1" t="n">
        <x:f>'Historical prices'!E2778</x:f>
        <x:v>1.05</x:v>
      </x:c>
      <x:c r="I2778" s="6" t="n">
        <x:f>'Historical prices'!D2778</x:f>
        <x:v>0.1822</x:v>
      </x:c>
      <x:c r="J2778" s="13" t="n">
        <x:f>D2778*I2778*H2778</x:f>
        <x:v>0</x:v>
      </x:c>
      <x:c r="K2778" s="13" t="n">
        <x:f>E2778*I2778*H2778</x:f>
        <x:v>0.1392258525</x:v>
      </x:c>
      <x:c r="L2778" s="1" t="str">
        <x:f>TEXT(A2778,"mmm yyyy")</x:f>
        <x:v>Jul 2026</x:v>
      </x:c>
    </x:row>
    <x:row r="2779" ht="21" customHeight="1">
      <x:c r="A2779" s="10" t="n">
        <x:v>46206</x:v>
      </x:c>
      <x:c r="B2779" s="1" t="n">
        <x:v>9.5</x:v>
      </x:c>
      <x:c r="C2779" s="1" t="n">
        <x:v>6</x:v>
      </x:c>
      <x:c r="D2779" s="12" t="n">
        <x:v>0</x:v>
      </x:c>
      <x:c r="E2779" s="12" t="n">
        <x:v>0.72</x:v>
      </x:c>
      <x:c r="F2779" s="12" t="n">
        <x:v>0.71975</x:v>
      </x:c>
      <x:c r="G2779" s="12" t="n">
        <x:v>0</x:v>
      </x:c>
      <x:c r="H2779" s="1" t="n">
        <x:f>'Historical prices'!E2779</x:f>
        <x:v>1.05</x:v>
      </x:c>
      <x:c r="I2779" s="6" t="n">
        <x:f>'Historical prices'!D2779</x:f>
        <x:v>0.1725</x:v>
      </x:c>
      <x:c r="J2779" s="13" t="n">
        <x:f>D2779*I2779*H2779</x:f>
        <x:v>0</x:v>
      </x:c>
      <x:c r="K2779" s="13" t="n">
        <x:f>E2779*I2779*H2779</x:f>
        <x:v>0.13041</x:v>
      </x:c>
      <x:c r="L2779" s="1" t="str">
        <x:f>TEXT(A2779,"mmm yyyy")</x:f>
        <x:v>Jul 2026</x:v>
      </x:c>
    </x:row>
    <x:row r="2780" ht="21" customHeight="1">
      <x:c r="A2780" s="10" t="n">
        <x:v>46206</x:v>
      </x:c>
      <x:c r="B2780" s="1" t="n">
        <x:v>10</x:v>
      </x:c>
      <x:c r="C2780" s="1" t="n">
        <x:v>6</x:v>
      </x:c>
      <x:c r="D2780" s="12" t="n">
        <x:v>0</x:v>
      </x:c>
      <x:c r="E2780" s="12" t="n">
        <x:v>1.7436666666666667</x:v>
      </x:c>
      <x:c r="F2780" s="12" t="n">
        <x:v>1.7434166666666668</x:v>
      </x:c>
      <x:c r="G2780" s="12" t="n">
        <x:v>0</x:v>
      </x:c>
      <x:c r="H2780" s="1" t="n">
        <x:f>'Historical prices'!E2780</x:f>
        <x:v>1.05</x:v>
      </x:c>
      <x:c r="I2780" s="6" t="n">
        <x:f>'Historical prices'!D2780</x:f>
        <x:v>0.16820000000000002</x:v>
      </x:c>
      <x:c r="J2780" s="13" t="n">
        <x:f>D2780*I2780*H2780</x:f>
        <x:v>0</x:v>
      </x:c>
      <x:c r="K2780" s="13" t="n">
        <x:f>E2780*I2780*H2780</x:f>
        <x:v>0.30794897000000004</x:v>
      </x:c>
      <x:c r="L2780" s="1" t="str">
        <x:f>TEXT(A2780,"mmm yyyy")</x:f>
        <x:v>Jul 2026</x:v>
      </x:c>
    </x:row>
    <x:row r="2781" ht="21" customHeight="1">
      <x:c r="A2781" s="10" t="n">
        <x:v>46206</x:v>
      </x:c>
      <x:c r="B2781" s="1" t="n">
        <x:v>10.5</x:v>
      </x:c>
      <x:c r="C2781" s="1" t="n">
        <x:v>6</x:v>
      </x:c>
      <x:c r="D2781" s="12" t="n">
        <x:v>0</x:v>
      </x:c>
      <x:c r="E2781" s="12" t="n">
        <x:v>0.5339166666666667</x:v>
      </x:c>
      <x:c r="F2781" s="12" t="n">
        <x:v>0.5337500000000001</x:v>
      </x:c>
      <x:c r="G2781" s="12" t="n">
        <x:v>0</x:v>
      </x:c>
      <x:c r="H2781" s="1" t="n">
        <x:f>'Historical prices'!E2781</x:f>
        <x:v>1.05</x:v>
      </x:c>
      <x:c r="I2781" s="6" t="n">
        <x:f>'Historical prices'!D2781</x:f>
        <x:v>0.1524</x:v>
      </x:c>
      <x:c r="J2781" s="13" t="n">
        <x:f>D2781*I2781*H2781</x:f>
        <x:v>0</x:v>
      </x:c>
      <x:c r="K2781" s="13" t="n">
        <x:f>E2781*I2781*H2781</x:f>
        <x:v>0.08543734500000001</x:v>
      </x:c>
      <x:c r="L2781" s="1" t="str">
        <x:f>TEXT(A2781,"mmm yyyy")</x:f>
        <x:v>Jul 2026</x:v>
      </x:c>
    </x:row>
    <x:row r="2782" ht="21" customHeight="1">
      <x:c r="A2782" s="10" t="n">
        <x:v>46206</x:v>
      </x:c>
      <x:c r="B2782" s="1" t="n">
        <x:v>11</x:v>
      </x:c>
      <x:c r="C2782" s="1" t="n">
        <x:v>6</x:v>
      </x:c>
      <x:c r="D2782" s="12" t="n">
        <x:v>0.3506666666666667</x:v>
      </x:c>
      <x:c r="E2782" s="12" t="n">
        <x:v>0.4414166666666667</x:v>
      </x:c>
      <x:c r="F2782" s="12" t="n">
        <x:v>0.07875</x:v>
      </x:c>
      <x:c r="G2782" s="12" t="n">
        <x:v>0</x:v>
      </x:c>
      <x:c r="H2782" s="1" t="n">
        <x:f>'Historical prices'!E2782</x:f>
        <x:v>1.05</x:v>
      </x:c>
      <x:c r="I2782" s="6" t="n">
        <x:f>'Historical prices'!D2782</x:f>
        <x:v>0.1241</x:v>
      </x:c>
      <x:c r="J2782" s="13" t="n">
        <x:f>D2782*I2782*H2782</x:f>
        <x:v>0.045693620000000004</x:v>
      </x:c>
      <x:c r="K2782" s="13" t="n">
        <x:f>E2782*I2782*H2782</x:f>
        <x:v>0.05751879875</x:v>
      </x:c>
      <x:c r="L2782" s="1" t="str">
        <x:f>TEXT(A2782,"mmm yyyy")</x:f>
        <x:v>Jul 2026</x:v>
      </x:c>
    </x:row>
    <x:row r="2783" ht="21" customHeight="1">
      <x:c r="A2783" s="10" t="n">
        <x:v>46206</x:v>
      </x:c>
      <x:c r="B2783" s="1" t="n">
        <x:v>11.5</x:v>
      </x:c>
      <x:c r="C2783" s="1" t="n">
        <x:v>6</x:v>
      </x:c>
      <x:c r="D2783" s="12" t="n">
        <x:v>0.4525</x:v>
      </x:c>
      <x:c r="E2783" s="12" t="n">
        <x:v>0.46249999999999997</x:v>
      </x:c>
      <x:c r="F2783" s="12" t="n">
        <x:v>0</x:v>
      </x:c>
      <x:c r="G2783" s="12" t="n">
        <x:v>0</x:v>
      </x:c>
      <x:c r="H2783" s="1" t="n">
        <x:f>'Historical prices'!E2783</x:f>
        <x:v>1.05</x:v>
      </x:c>
      <x:c r="I2783" s="6" t="n">
        <x:f>'Historical prices'!D2783</x:f>
        <x:v>0.11359999999999999</x:v>
      </x:c>
      <x:c r="J2783" s="13" t="n">
        <x:f>D2783*I2783*H2783</x:f>
        <x:v>0.0539742</x:v>
      </x:c>
      <x:c r="K2783" s="13" t="n">
        <x:f>E2783*I2783*H2783</x:f>
        <x:v>0.055166999999999994</x:v>
      </x:c>
      <x:c r="L2783" s="1" t="str">
        <x:f>TEXT(A2783,"mmm yyyy")</x:f>
        <x:v>Jul 2026</x:v>
      </x:c>
    </x:row>
    <x:row r="2784" ht="21" customHeight="1">
      <x:c r="A2784" s="10" t="n">
        <x:v>46206</x:v>
      </x:c>
      <x:c r="B2784" s="1" t="n">
        <x:v>12</x:v>
      </x:c>
      <x:c r="C2784" s="1" t="n">
        <x:v>6</x:v>
      </x:c>
      <x:c r="D2784" s="12" t="n">
        <x:v>0.39025000000000004</x:v>
      </x:c>
      <x:c r="E2784" s="12" t="n">
        <x:v>0.40225000000000005</x:v>
      </x:c>
      <x:c r="F2784" s="12" t="n">
        <x:v>0</x:v>
      </x:c>
      <x:c r="G2784" s="12" t="n">
        <x:v>0</x:v>
      </x:c>
      <x:c r="H2784" s="1" t="n">
        <x:f>'Historical prices'!E2784</x:f>
        <x:v>1.05</x:v>
      </x:c>
      <x:c r="I2784" s="6" t="n">
        <x:f>'Historical prices'!D2784</x:f>
        <x:v>0.1188</x:v>
      </x:c>
      <x:c r="J2784" s="13" t="n">
        <x:f>D2784*I2784*H2784</x:f>
        <x:v>0.04867978500000001</x:v>
      </x:c>
      <x:c r="K2784" s="13" t="n">
        <x:f>E2784*I2784*H2784</x:f>
        <x:v>0.05017666500000001</x:v>
      </x:c>
      <x:c r="L2784" s="1" t="str">
        <x:f>TEXT(A2784,"mmm yyyy")</x:f>
        <x:v>Jul 2026</x:v>
      </x:c>
    </x:row>
    <x:row r="2785" ht="21" customHeight="1">
      <x:c r="A2785" s="10" t="n">
        <x:v>46206</x:v>
      </x:c>
      <x:c r="B2785" s="1" t="n">
        <x:v>12.5</x:v>
      </x:c>
      <x:c r="C2785" s="1" t="n">
        <x:v>6</x:v>
      </x:c>
      <x:c r="D2785" s="12" t="n">
        <x:v>0.4029166666666667</x:v>
      </x:c>
      <x:c r="E2785" s="12" t="n">
        <x:v>0.4129166666666667</x:v>
      </x:c>
      <x:c r="F2785" s="12" t="n">
        <x:v>0</x:v>
      </x:c>
      <x:c r="G2785" s="12" t="n">
        <x:v>0</x:v>
      </x:c>
      <x:c r="H2785" s="1" t="n">
        <x:f>'Historical prices'!E2785</x:f>
        <x:v>1.05</x:v>
      </x:c>
      <x:c r="I2785" s="6" t="n">
        <x:f>'Historical prices'!D2785</x:f>
        <x:v>0.11359999999999999</x:v>
      </x:c>
      <x:c r="J2785" s="13" t="n">
        <x:f>D2785*I2785*H2785</x:f>
        <x:v>0.04805990000000001</x:v>
      </x:c>
      <x:c r="K2785" s="13" t="n">
        <x:f>E2785*I2785*H2785</x:f>
        <x:v>0.0492527</x:v>
      </x:c>
      <x:c r="L2785" s="1" t="str">
        <x:f>TEXT(A2785,"mmm yyyy")</x:f>
        <x:v>Jul 2026</x:v>
      </x:c>
    </x:row>
    <x:row r="2786" ht="21" customHeight="1">
      <x:c r="A2786" s="10" t="n">
        <x:v>46206</x:v>
      </x:c>
      <x:c r="B2786" s="1" t="n">
        <x:v>13</x:v>
      </x:c>
      <x:c r="C2786" s="1" t="n">
        <x:v>6</x:v>
      </x:c>
      <x:c r="D2786" s="12" t="n">
        <x:v>0.36600000000000005</x:v>
      </x:c>
      <x:c r="E2786" s="12" t="n">
        <x:v>0.37699999999999995</x:v>
      </x:c>
      <x:c r="F2786" s="12" t="n">
        <x:v>0</x:v>
      </x:c>
      <x:c r="G2786" s="12" t="n">
        <x:v>0</x:v>
      </x:c>
      <x:c r="H2786" s="1" t="n">
        <x:f>'Historical prices'!E2786</x:f>
        <x:v>1.05</x:v>
      </x:c>
      <x:c r="I2786" s="6" t="n">
        <x:f>'Historical prices'!D2786</x:f>
        <x:v>0.11359999999999999</x:v>
      </x:c>
      <x:c r="J2786" s="13" t="n">
        <x:f>D2786*I2786*H2786</x:f>
        <x:v>0.043656480000000004</x:v>
      </x:c>
      <x:c r="K2786" s="13" t="n">
        <x:f>E2786*I2786*H2786</x:f>
        <x:v>0.04496855999999999</x:v>
      </x:c>
      <x:c r="L2786" s="1" t="str">
        <x:f>TEXT(A2786,"mmm yyyy")</x:f>
        <x:v>Jul 2026</x:v>
      </x:c>
    </x:row>
    <x:row r="2787" ht="21" customHeight="1">
      <x:c r="A2787" s="10" t="n">
        <x:v>46206</x:v>
      </x:c>
      <x:c r="B2787" s="1" t="n">
        <x:v>13.5</x:v>
      </x:c>
      <x:c r="C2787" s="1" t="n">
        <x:v>6</x:v>
      </x:c>
      <x:c r="D2787" s="12" t="n">
        <x:v>4.1555</x:v>
      </x:c>
      <x:c r="E2787" s="12" t="n">
        <x:v>0.6074999999999999</x:v>
      </x:c>
      <x:c r="F2787" s="12" t="n">
        <x:v>0</x:v>
      </x:c>
      <x:c r="G2787" s="12" t="n">
        <x:v>3.5489999999999995</x:v>
      </x:c>
      <x:c r="H2787" s="1" t="n">
        <x:f>'Historical prices'!E2787</x:f>
        <x:v>1.05</x:v>
      </x:c>
      <x:c r="I2787" s="6" t="n">
        <x:f>'Historical prices'!D2787</x:f>
        <x:v>0.1093</x:v>
      </x:c>
      <x:c r="J2787" s="13" t="n">
        <x:f>D2787*I2787*H2787</x:f>
        <x:v>0.4769059575</x:v>
      </x:c>
      <x:c r="K2787" s="13" t="n">
        <x:f>E2787*I2787*H2787</x:f>
        <x:v>0.06971973749999999</x:v>
      </x:c>
      <x:c r="L2787" s="1" t="str">
        <x:f>TEXT(A2787,"mmm yyyy")</x:f>
        <x:v>Jul 2026</x:v>
      </x:c>
    </x:row>
    <x:row r="2788" ht="21" customHeight="1">
      <x:c r="A2788" s="10" t="n">
        <x:v>46206</x:v>
      </x:c>
      <x:c r="B2788" s="1" t="n">
        <x:v>14</x:v>
      </x:c>
      <x:c r="C2788" s="1" t="n">
        <x:v>6</x:v>
      </x:c>
      <x:c r="D2788" s="12" t="n">
        <x:v>1.1620833333333331</x:v>
      </x:c>
      <x:c r="E2788" s="12" t="n">
        <x:v>0.46808333333333335</x:v>
      </x:c>
      <x:c r="F2788" s="12" t="n">
        <x:v>0</x:v>
      </x:c>
      <x:c r="G2788" s="12" t="n">
        <x:v>0.694</x:v>
      </x:c>
      <x:c r="H2788" s="1" t="n">
        <x:f>'Historical prices'!E2788</x:f>
        <x:v>1.05</x:v>
      </x:c>
      <x:c r="I2788" s="6" t="n">
        <x:f>'Historical prices'!D2788</x:f>
        <x:v>0.122</x:v>
      </x:c>
      <x:c r="J2788" s="13" t="n">
        <x:f>D2788*I2788*H2788</x:f>
        <x:v>0.14886287499999998</x:v>
      </x:c>
      <x:c r="K2788" s="13" t="n">
        <x:f>E2788*I2788*H2788</x:f>
        <x:v>0.059961475</x:v>
      </x:c>
      <x:c r="L2788" s="1" t="str">
        <x:f>TEXT(A2788,"mmm yyyy")</x:f>
        <x:v>Jul 2026</x:v>
      </x:c>
    </x:row>
    <x:row r="2789" ht="21" customHeight="1">
      <x:c r="A2789" s="10" t="n">
        <x:v>46206</x:v>
      </x:c>
      <x:c r="B2789" s="1" t="n">
        <x:v>14.5</x:v>
      </x:c>
      <x:c r="C2789" s="1" t="n">
        <x:v>6</x:v>
      </x:c>
      <x:c r="D2789" s="12" t="n">
        <x:v>0.5381666666666667</x:v>
      </x:c>
      <x:c r="E2789" s="12" t="n">
        <x:v>0.5501666666666667</x:v>
      </x:c>
      <x:c r="F2789" s="12" t="n">
        <x:v>0</x:v>
      </x:c>
      <x:c r="G2789" s="12" t="n">
        <x:v>0</x:v>
      </x:c>
      <x:c r="H2789" s="1" t="n">
        <x:f>'Historical prices'!E2789</x:f>
        <x:v>1.05</x:v>
      </x:c>
      <x:c r="I2789" s="6" t="n">
        <x:f>'Historical prices'!D2789</x:f>
        <x:v>0.11380000000000001</x:v>
      </x:c>
      <x:c r="J2789" s="13" t="n">
        <x:f>D2789*I2789*H2789</x:f>
        <x:v>0.06430553500000001</x:v>
      </x:c>
      <x:c r="K2789" s="13" t="n">
        <x:f>E2789*I2789*H2789</x:f>
        <x:v>0.06573941500000002</x:v>
      </x:c>
      <x:c r="L2789" s="1" t="str">
        <x:f>TEXT(A2789,"mmm yyyy")</x:f>
        <x:v>Jul 2026</x:v>
      </x:c>
    </x:row>
    <x:row r="2790" ht="21" customHeight="1">
      <x:c r="A2790" s="10" t="n">
        <x:v>46206</x:v>
      </x:c>
      <x:c r="B2790" s="1" t="n">
        <x:v>15</x:v>
      </x:c>
      <x:c r="C2790" s="1" t="n">
        <x:v>6</x:v>
      </x:c>
      <x:c r="D2790" s="12" t="n">
        <x:v>4.034166666666667</x:v>
      </x:c>
      <x:c r="E2790" s="12" t="n">
        <x:v>0.6401666666666667</x:v>
      </x:c>
      <x:c r="F2790" s="12" t="n">
        <x:v>0</x:v>
      </x:c>
      <x:c r="G2790" s="12" t="n">
        <x:v>3.3960000000000004</x:v>
      </x:c>
      <x:c r="H2790" s="1" t="n">
        <x:f>'Historical prices'!E2790</x:f>
        <x:v>1.05</x:v>
      </x:c>
      <x:c r="I2790" s="6" t="n">
        <x:f>'Historical prices'!D2790</x:f>
        <x:v>0.1128</x:v>
      </x:c>
      <x:c r="J2790" s="13" t="n">
        <x:f>D2790*I2790*H2790</x:f>
        <x:v>0.47780670000000003</x:v>
      </x:c>
      <x:c r="K2790" s="13" t="n">
        <x:f>E2790*I2790*H2790</x:f>
        <x:v>0.07582134</x:v>
      </x:c>
      <x:c r="L2790" s="1" t="str">
        <x:f>TEXT(A2790,"mmm yyyy")</x:f>
        <x:v>Jul 2026</x:v>
      </x:c>
    </x:row>
    <x:row r="2791" ht="21" customHeight="1">
      <x:c r="A2791" s="10" t="n">
        <x:v>46206</x:v>
      </x:c>
      <x:c r="B2791" s="1" t="n">
        <x:v>15.5</x:v>
      </x:c>
      <x:c r="C2791" s="1" t="n">
        <x:v>6</x:v>
      </x:c>
      <x:c r="D2791" s="12" t="n">
        <x:v>1.1029166666666665</x:v>
      </x:c>
      <x:c r="E2791" s="12" t="n">
        <x:v>0.39491666666666664</x:v>
      </x:c>
      <x:c r="F2791" s="12" t="n">
        <x:v>0</x:v>
      </x:c>
      <x:c r="G2791" s="12" t="n">
        <x:v>0.7080000000000001</x:v>
      </x:c>
      <x:c r="H2791" s="1" t="n">
        <x:f>'Historical prices'!E2791</x:f>
        <x:v>1.05</x:v>
      </x:c>
      <x:c r="I2791" s="6" t="n">
        <x:f>'Historical prices'!D2791</x:f>
        <x:v>0.11359999999999999</x:v>
      </x:c>
      <x:c r="J2791" s="13" t="n">
        <x:f>D2791*I2791*H2791</x:f>
        <x:v>0.13155589999999998</x:v>
      </x:c>
      <x:c r="K2791" s="13" t="n">
        <x:f>E2791*I2791*H2791</x:f>
        <x:v>0.04710566</x:v>
      </x:c>
      <x:c r="L2791" s="1" t="str">
        <x:f>TEXT(A2791,"mmm yyyy")</x:f>
        <x:v>Jul 2026</x:v>
      </x:c>
    </x:row>
    <x:row r="2792" ht="21" customHeight="1">
      <x:c r="A2792" s="10" t="n">
        <x:v>46206</x:v>
      </x:c>
      <x:c r="B2792" s="1" t="n">
        <x:v>16</x:v>
      </x:c>
      <x:c r="C2792" s="1" t="n">
        <x:v>6</x:v>
      </x:c>
      <x:c r="D2792" s="12" t="n">
        <x:v>0.11166666666666666</x:v>
      </x:c>
      <x:c r="E2792" s="12" t="n">
        <x:v>0.3996666666666667</x:v>
      </x:c>
      <x:c r="F2792" s="12" t="n">
        <x:v>0.3378333333333333</x:v>
      </x:c>
      <x:c r="G2792" s="12" t="n">
        <x:v>0.05</x:v>
      </x:c>
      <x:c r="H2792" s="1" t="n">
        <x:f>'Historical prices'!E2792</x:f>
        <x:v>1.05</x:v>
      </x:c>
      <x:c r="I2792" s="6" t="n">
        <x:f>'Historical prices'!D2792</x:f>
        <x:v>0.25670000000000004</x:v>
      </x:c>
      <x:c r="J2792" s="13" t="n">
        <x:f>D2792*I2792*H2792</x:f>
        <x:v>0.030098075000000005</x:v>
      </x:c>
      <x:c r="K2792" s="13" t="n">
        <x:f>E2792*I2792*H2792</x:f>
        <x:v>0.10772415500000003</x:v>
      </x:c>
      <x:c r="L2792" s="1" t="str">
        <x:f>TEXT(A2792,"mmm yyyy")</x:f>
        <x:v>Jul 2026</x:v>
      </x:c>
    </x:row>
    <x:row r="2793" ht="21" customHeight="1">
      <x:c r="A2793" s="10" t="n">
        <x:v>46206</x:v>
      </x:c>
      <x:c r="B2793" s="1" t="n">
        <x:v>16.5</x:v>
      </x:c>
      <x:c r="C2793" s="1" t="n">
        <x:v>6</x:v>
      </x:c>
      <x:c r="D2793" s="12" t="n">
        <x:v>0</x:v>
      </x:c>
      <x:c r="E2793" s="12" t="n">
        <x:v>0.604</x:v>
      </x:c>
      <x:c r="F2793" s="12" t="n">
        <x:v>0.6035833333333334</x:v>
      </x:c>
      <x:c r="G2793" s="12" t="n">
        <x:v>0</x:v>
      </x:c>
      <x:c r="H2793" s="1" t="n">
        <x:f>'Historical prices'!E2793</x:f>
        <x:v>1.05</x:v>
      </x:c>
      <x:c r="I2793" s="6" t="n">
        <x:f>'Historical prices'!D2793</x:f>
        <x:v>0.2842</x:v>
      </x:c>
      <x:c r="J2793" s="13" t="n">
        <x:f>D2793*I2793*H2793</x:f>
        <x:v>0</x:v>
      </x:c>
      <x:c r="K2793" s="13" t="n">
        <x:f>E2793*I2793*H2793</x:f>
        <x:v>0.18023964</x:v>
      </x:c>
      <x:c r="L2793" s="1" t="str">
        <x:f>TEXT(A2793,"mmm yyyy")</x:f>
        <x:v>Jul 2026</x:v>
      </x:c>
    </x:row>
    <x:row r="2794" ht="21" customHeight="1">
      <x:c r="A2794" s="10" t="n">
        <x:v>46206</x:v>
      </x:c>
      <x:c r="B2794" s="1" t="n">
        <x:v>17</x:v>
      </x:c>
      <x:c r="C2794" s="1" t="n">
        <x:v>6</x:v>
      </x:c>
      <x:c r="D2794" s="12" t="n">
        <x:v>0</x:v>
      </x:c>
      <x:c r="E2794" s="12" t="n">
        <x:v>0.6204999999999999</x:v>
      </x:c>
      <x:c r="F2794" s="12" t="n">
        <x:v>0.6201666666666666</x:v>
      </x:c>
      <x:c r="G2794" s="12" t="n">
        <x:v>0</x:v>
      </x:c>
      <x:c r="H2794" s="1" t="n">
        <x:f>'Historical prices'!E2794</x:f>
        <x:v>1.05</x:v>
      </x:c>
      <x:c r="I2794" s="6" t="n">
        <x:f>'Historical prices'!D2794</x:f>
        <x:v>0.2987</x:v>
      </x:c>
      <x:c r="J2794" s="13" t="n">
        <x:f>D2794*I2794*H2794</x:f>
        <x:v>0</x:v>
      </x:c>
      <x:c r="K2794" s="13" t="n">
        <x:f>E2794*I2794*H2794</x:f>
        <x:v>0.1946105175</x:v>
      </x:c>
      <x:c r="L2794" s="1" t="str">
        <x:f>TEXT(A2794,"mmm yyyy")</x:f>
        <x:v>Jul 2026</x:v>
      </x:c>
    </x:row>
    <x:row r="2795" ht="21" customHeight="1">
      <x:c r="A2795" s="10" t="n">
        <x:v>46206</x:v>
      </x:c>
      <x:c r="B2795" s="1" t="n">
        <x:v>17.5</x:v>
      </x:c>
      <x:c r="C2795" s="1" t="n">
        <x:v>6</x:v>
      </x:c>
      <x:c r="D2795" s="12" t="n">
        <x:v>0</x:v>
      </x:c>
      <x:c r="E2795" s="12" t="n">
        <x:v>0.51</x:v>
      </x:c>
      <x:c r="F2795" s="12" t="n">
        <x:v>0.50975</x:v>
      </x:c>
      <x:c r="G2795" s="12" t="n">
        <x:v>0</x:v>
      </x:c>
      <x:c r="H2795" s="1" t="n">
        <x:f>'Historical prices'!E2795</x:f>
        <x:v>1.05</x:v>
      </x:c>
      <x:c r="I2795" s="6" t="n">
        <x:f>'Historical prices'!D2795</x:f>
        <x:v>0.3099</x:v>
      </x:c>
      <x:c r="J2795" s="13" t="n">
        <x:f>D2795*I2795*H2795</x:f>
        <x:v>0</x:v>
      </x:c>
      <x:c r="K2795" s="13" t="n">
        <x:f>E2795*I2795*H2795</x:f>
        <x:v>0.16595145</x:v>
      </x:c>
      <x:c r="L2795" s="1" t="str">
        <x:f>TEXT(A2795,"mmm yyyy")</x:f>
        <x:v>Jul 2026</x:v>
      </x:c>
    </x:row>
    <x:row r="2796" ht="21" customHeight="1">
      <x:c r="A2796" s="10" t="n">
        <x:v>46206</x:v>
      </x:c>
      <x:c r="B2796" s="1" t="n">
        <x:v>18</x:v>
      </x:c>
      <x:c r="C2796" s="1" t="n">
        <x:v>6</x:v>
      </x:c>
      <x:c r="D2796" s="12" t="n">
        <x:v>0</x:v>
      </x:c>
      <x:c r="E2796" s="12" t="n">
        <x:v>0.4879166666666666</x:v>
      </x:c>
      <x:c r="F2796" s="12" t="n">
        <x:v>0.4878333333333333</x:v>
      </x:c>
      <x:c r="G2796" s="12" t="n">
        <x:v>0</x:v>
      </x:c>
      <x:c r="H2796" s="1" t="n">
        <x:f>'Historical prices'!E2796</x:f>
        <x:v>1.05</x:v>
      </x:c>
      <x:c r="I2796" s="6" t="n">
        <x:f>'Historical prices'!D2796</x:f>
        <x:v>0.305</x:v>
      </x:c>
      <x:c r="J2796" s="13" t="n">
        <x:f>D2796*I2796*H2796</x:f>
        <x:v>0</x:v>
      </x:c>
      <x:c r="K2796" s="13" t="n">
        <x:f>E2796*I2796*H2796</x:f>
        <x:v>0.15625531249999997</x:v>
      </x:c>
      <x:c r="L2796" s="1" t="str">
        <x:f>TEXT(A2796,"mmm yyyy")</x:f>
        <x:v>Jul 2026</x:v>
      </x:c>
    </x:row>
    <x:row r="2797" ht="21" customHeight="1">
      <x:c r="A2797" s="10" t="n">
        <x:v>46206</x:v>
      </x:c>
      <x:c r="B2797" s="1" t="n">
        <x:v>18.5</x:v>
      </x:c>
      <x:c r="C2797" s="1" t="n">
        <x:v>6</x:v>
      </x:c>
      <x:c r="D2797" s="12" t="n">
        <x:v>0</x:v>
      </x:c>
      <x:c r="E2797" s="12" t="n">
        <x:v>0.8339166666666666</x:v>
      </x:c>
      <x:c r="F2797" s="12" t="n">
        <x:v>0.8336666666666667</x:v>
      </x:c>
      <x:c r="G2797" s="12" t="n">
        <x:v>0</x:v>
      </x:c>
      <x:c r="H2797" s="1" t="n">
        <x:f>'Historical prices'!E2797</x:f>
        <x:v>1.05</x:v>
      </x:c>
      <x:c r="I2797" s="6" t="n">
        <x:f>'Historical prices'!D2797</x:f>
        <x:v>0.30920000000000003</x:v>
      </x:c>
      <x:c r="J2797" s="13" t="n">
        <x:f>D2797*I2797*H2797</x:f>
        <x:v>0</x:v>
      </x:c>
      <x:c r="K2797" s="13" t="n">
        <x:f>E2797*I2797*H2797</x:f>
        <x:v>0.27073938500000005</x:v>
      </x:c>
      <x:c r="L2797" s="1" t="str">
        <x:f>TEXT(A2797,"mmm yyyy")</x:f>
        <x:v>Jul 2026</x:v>
      </x:c>
    </x:row>
    <x:row r="2798" ht="21" customHeight="1">
      <x:c r="A2798" s="10" t="n">
        <x:v>46206</x:v>
      </x:c>
      <x:c r="B2798" s="1" t="n">
        <x:v>19</x:v>
      </x:c>
      <x:c r="C2798" s="1" t="n">
        <x:v>6</x:v>
      </x:c>
      <x:c r="D2798" s="12" t="n">
        <x:v>0</x:v>
      </x:c>
      <x:c r="E2798" s="12" t="n">
        <x:v>0.629</x:v>
      </x:c>
      <x:c r="F2798" s="12" t="n">
        <x:v>0.62875</x:v>
      </x:c>
      <x:c r="G2798" s="12" t="n">
        <x:v>0</x:v>
      </x:c>
      <x:c r="H2798" s="1" t="n">
        <x:f>'Historical prices'!E2798</x:f>
        <x:v>1.05</x:v>
      </x:c>
      <x:c r="I2798" s="6" t="n">
        <x:f>'Historical prices'!D2798</x:f>
        <x:v>0.21289999999999998</x:v>
      </x:c>
      <x:c r="J2798" s="13" t="n">
        <x:f>D2798*I2798*H2798</x:f>
        <x:v>0</x:v>
      </x:c>
      <x:c r="K2798" s="13" t="n">
        <x:f>E2798*I2798*H2798</x:f>
        <x:v>0.14060980499999998</x:v>
      </x:c>
      <x:c r="L2798" s="1" t="str">
        <x:f>TEXT(A2798,"mmm yyyy")</x:f>
        <x:v>Jul 2026</x:v>
      </x:c>
    </x:row>
    <x:row r="2799" ht="21" customHeight="1">
      <x:c r="A2799" s="10" t="n">
        <x:v>46206</x:v>
      </x:c>
      <x:c r="B2799" s="1" t="n">
        <x:v>19.5</x:v>
      </x:c>
      <x:c r="C2799" s="1" t="n">
        <x:v>6</x:v>
      </x:c>
      <x:c r="D2799" s="12" t="n">
        <x:v>0</x:v>
      </x:c>
      <x:c r="E2799" s="12" t="n">
        <x:v>0.7307499999999999</x:v>
      </x:c>
      <x:c r="F2799" s="12" t="n">
        <x:v>0.73025</x:v>
      </x:c>
      <x:c r="G2799" s="12" t="n">
        <x:v>0</x:v>
      </x:c>
      <x:c r="H2799" s="1" t="n">
        <x:f>'Historical prices'!E2799</x:f>
        <x:v>1.05</x:v>
      </x:c>
      <x:c r="I2799" s="6" t="n">
        <x:f>'Historical prices'!D2799</x:f>
        <x:v>0.21600000000000003</x:v>
      </x:c>
      <x:c r="J2799" s="13" t="n">
        <x:f>D2799*I2799*H2799</x:f>
        <x:v>0</x:v>
      </x:c>
      <x:c r="K2799" s="13" t="n">
        <x:f>E2799*I2799*H2799</x:f>
        <x:v>0.16573410000000002</x:v>
      </x:c>
      <x:c r="L2799" s="1" t="str">
        <x:f>TEXT(A2799,"mmm yyyy")</x:f>
        <x:v>Jul 2026</x:v>
      </x:c>
    </x:row>
    <x:row r="2800" ht="21" customHeight="1">
      <x:c r="A2800" s="10" t="n">
        <x:v>46206</x:v>
      </x:c>
      <x:c r="B2800" s="1" t="n">
        <x:v>20</x:v>
      </x:c>
      <x:c r="C2800" s="1" t="n">
        <x:v>6</x:v>
      </x:c>
      <x:c r="D2800" s="12" t="n">
        <x:v>0</x:v>
      </x:c>
      <x:c r="E2800" s="12" t="n">
        <x:v>0.49883333333333335</x:v>
      </x:c>
      <x:c r="F2800" s="12" t="n">
        <x:v>0.49858333333333327</x:v>
      </x:c>
      <x:c r="G2800" s="12" t="n">
        <x:v>0</x:v>
      </x:c>
      <x:c r="H2800" s="1" t="n">
        <x:f>'Historical prices'!E2800</x:f>
        <x:v>1.05</x:v>
      </x:c>
      <x:c r="I2800" s="6" t="n">
        <x:f>'Historical prices'!D2800</x:f>
        <x:v>0.2217</x:v>
      </x:c>
      <x:c r="J2800" s="13" t="n">
        <x:f>D2800*I2800*H2800</x:f>
        <x:v>0</x:v>
      </x:c>
      <x:c r="K2800" s="13" t="n">
        <x:f>E2800*I2800*H2800</x:f>
        <x:v>0.1161209175</x:v>
      </x:c>
      <x:c r="L2800" s="1" t="str">
        <x:f>TEXT(A2800,"mmm yyyy")</x:f>
        <x:v>Jul 2026</x:v>
      </x:c>
    </x:row>
    <x:row r="2801" ht="21" customHeight="1">
      <x:c r="A2801" s="10" t="n">
        <x:v>46206</x:v>
      </x:c>
      <x:c r="B2801" s="1" t="n">
        <x:v>20.5</x:v>
      </x:c>
      <x:c r="C2801" s="1" t="n">
        <x:v>6</x:v>
      </x:c>
      <x:c r="D2801" s="12" t="n">
        <x:v>0</x:v>
      </x:c>
      <x:c r="E2801" s="12" t="n">
        <x:v>0.5599999999999999</x:v>
      </x:c>
      <x:c r="F2801" s="12" t="n">
        <x:v>0.55975</x:v>
      </x:c>
      <x:c r="G2801" s="12" t="n">
        <x:v>0</x:v>
      </x:c>
      <x:c r="H2801" s="1" t="n">
        <x:f>'Historical prices'!E2801</x:f>
        <x:v>1.05</x:v>
      </x:c>
      <x:c r="I2801" s="6" t="n">
        <x:f>'Historical prices'!D2801</x:f>
        <x:v>0.2183</x:v>
      </x:c>
      <x:c r="J2801" s="13" t="n">
        <x:f>D2801*I2801*H2801</x:f>
        <x:v>0</x:v>
      </x:c>
      <x:c r="K2801" s="13" t="n">
        <x:f>E2801*I2801*H2801</x:f>
        <x:v>0.12836039999999999</x:v>
      </x:c>
      <x:c r="L2801" s="1" t="str">
        <x:f>TEXT(A2801,"mmm yyyy")</x:f>
        <x:v>Jul 2026</x:v>
      </x:c>
    </x:row>
    <x:row r="2802" ht="21" customHeight="1">
      <x:c r="A2802" s="10" t="n">
        <x:v>46206</x:v>
      </x:c>
      <x:c r="B2802" s="1" t="n">
        <x:v>21</x:v>
      </x:c>
      <x:c r="C2802" s="1" t="n">
        <x:v>6</x:v>
      </x:c>
      <x:c r="D2802" s="12" t="n">
        <x:v>0</x:v>
      </x:c>
      <x:c r="E2802" s="12" t="n">
        <x:v>0.462</x:v>
      </x:c>
      <x:c r="F2802" s="12" t="n">
        <x:v>0.46175000000000005</x:v>
      </x:c>
      <x:c r="G2802" s="12" t="n">
        <x:v>0</x:v>
      </x:c>
      <x:c r="H2802" s="1" t="n">
        <x:f>'Historical prices'!E2802</x:f>
        <x:v>1.05</x:v>
      </x:c>
      <x:c r="I2802" s="6" t="n">
        <x:f>'Historical prices'!D2802</x:f>
        <x:v>0.2184</x:v>
      </x:c>
      <x:c r="J2802" s="13" t="n">
        <x:f>D2802*I2802*H2802</x:f>
        <x:v>0</x:v>
      </x:c>
      <x:c r="K2802" s="13" t="n">
        <x:f>E2802*I2802*H2802</x:f>
        <x:v>0.10594584000000001</x:v>
      </x:c>
      <x:c r="L2802" s="1" t="str">
        <x:f>TEXT(A2802,"mmm yyyy")</x:f>
        <x:v>Jul 2026</x:v>
      </x:c>
    </x:row>
    <x:row r="2803" ht="21" customHeight="1">
      <x:c r="A2803" s="10" t="n">
        <x:v>46206</x:v>
      </x:c>
      <x:c r="B2803" s="1" t="n">
        <x:v>21.5</x:v>
      </x:c>
      <x:c r="C2803" s="1" t="n">
        <x:v>6</x:v>
      </x:c>
      <x:c r="D2803" s="12" t="n">
        <x:v>0</x:v>
      </x:c>
      <x:c r="E2803" s="12" t="n">
        <x:v>0.89275</x:v>
      </x:c>
      <x:c r="F2803" s="12" t="n">
        <x:v>0.8925833333333334</x:v>
      </x:c>
      <x:c r="G2803" s="12" t="n">
        <x:v>0</x:v>
      </x:c>
      <x:c r="H2803" s="1" t="n">
        <x:f>'Historical prices'!E2803</x:f>
        <x:v>1.05</x:v>
      </x:c>
      <x:c r="I2803" s="6" t="n">
        <x:f>'Historical prices'!D2803</x:f>
        <x:v>0.2164</x:v>
      </x:c>
      <x:c r="J2803" s="13" t="n">
        <x:f>D2803*I2803*H2803</x:f>
        <x:v>0</x:v>
      </x:c>
      <x:c r="K2803" s="13" t="n">
        <x:f>E2803*I2803*H2803</x:f>
        <x:v>0.20285065500000002</x:v>
      </x:c>
      <x:c r="L2803" s="1" t="str">
        <x:f>TEXT(A2803,"mmm yyyy")</x:f>
        <x:v>Jul 2026</x:v>
      </x:c>
    </x:row>
    <x:row r="2804" ht="21" customHeight="1">
      <x:c r="A2804" s="10" t="n">
        <x:v>46206</x:v>
      </x:c>
      <x:c r="B2804" s="1" t="n">
        <x:v>22</x:v>
      </x:c>
      <x:c r="C2804" s="1" t="n">
        <x:v>6</x:v>
      </x:c>
      <x:c r="D2804" s="12" t="n">
        <x:v>0</x:v>
      </x:c>
      <x:c r="E2804" s="12" t="n">
        <x:v>0.3418333333333334</x:v>
      </x:c>
      <x:c r="F2804" s="12" t="n">
        <x:v>0.34175</x:v>
      </x:c>
      <x:c r="G2804" s="12" t="n">
        <x:v>0</x:v>
      </x:c>
      <x:c r="H2804" s="1" t="n">
        <x:f>'Historical prices'!E2804</x:f>
        <x:v>1.05</x:v>
      </x:c>
      <x:c r="I2804" s="6" t="n">
        <x:f>'Historical prices'!D2804</x:f>
        <x:v>0.2059</x:v>
      </x:c>
      <x:c r="J2804" s="13" t="n">
        <x:f>D2804*I2804*H2804</x:f>
        <x:v>0</x:v>
      </x:c>
      <x:c r="K2804" s="13" t="n">
        <x:f>E2804*I2804*H2804</x:f>
        <x:v>0.07390265750000001</x:v>
      </x:c>
      <x:c r="L2804" s="1" t="str">
        <x:f>TEXT(A2804,"mmm yyyy")</x:f>
        <x:v>Jul 2026</x:v>
      </x:c>
    </x:row>
    <x:row r="2805" ht="21" customHeight="1">
      <x:c r="A2805" s="10" t="n">
        <x:v>46206</x:v>
      </x:c>
      <x:c r="B2805" s="1" t="n">
        <x:v>22.5</x:v>
      </x:c>
      <x:c r="C2805" s="1" t="n">
        <x:v>6</x:v>
      </x:c>
      <x:c r="D2805" s="12" t="n">
        <x:v>0</x:v>
      </x:c>
      <x:c r="E2805" s="12" t="n">
        <x:v>0.3378333333333333</x:v>
      </x:c>
      <x:c r="F2805" s="12" t="n">
        <x:v>0.33775</x:v>
      </x:c>
      <x:c r="G2805" s="12" t="n">
        <x:v>0</x:v>
      </x:c>
      <x:c r="H2805" s="1" t="n">
        <x:f>'Historical prices'!E2805</x:f>
        <x:v>1.05</x:v>
      </x:c>
      <x:c r="I2805" s="6" t="n">
        <x:f>'Historical prices'!D2805</x:f>
        <x:v>0.1888</x:v>
      </x:c>
      <x:c r="J2805" s="13" t="n">
        <x:f>D2805*I2805*H2805</x:f>
        <x:v>0</x:v>
      </x:c>
      <x:c r="K2805" s="13" t="n">
        <x:f>E2805*I2805*H2805</x:f>
        <x:v>0.06697208</x:v>
      </x:c>
      <x:c r="L2805" s="1" t="str">
        <x:f>TEXT(A2805,"mmm yyyy")</x:f>
        <x:v>Jul 2026</x:v>
      </x:c>
    </x:row>
    <x:row r="2806" ht="21" customHeight="1">
      <x:c r="A2806" s="10" t="n">
        <x:v>46206</x:v>
      </x:c>
      <x:c r="B2806" s="1" t="n">
        <x:v>23</x:v>
      </x:c>
      <x:c r="C2806" s="1" t="n">
        <x:v>6</x:v>
      </x:c>
      <x:c r="D2806" s="12" t="n">
        <x:v>0</x:v>
      </x:c>
      <x:c r="E2806" s="12" t="n">
        <x:v>0.313</x:v>
      </x:c>
      <x:c r="F2806" s="12" t="n">
        <x:v>0.31275</x:v>
      </x:c>
      <x:c r="G2806" s="12" t="n">
        <x:v>0</x:v>
      </x:c>
      <x:c r="H2806" s="1" t="n">
        <x:f>'Historical prices'!E2806</x:f>
        <x:v>1.05</x:v>
      </x:c>
      <x:c r="I2806" s="6" t="n">
        <x:f>'Historical prices'!D2806</x:f>
        <x:v>0.1916</x:v>
      </x:c>
      <x:c r="J2806" s="13" t="n">
        <x:f>D2806*I2806*H2806</x:f>
        <x:v>0</x:v>
      </x:c>
      <x:c r="K2806" s="13" t="n">
        <x:f>E2806*I2806*H2806</x:f>
        <x:v>0.06296934</x:v>
      </x:c>
      <x:c r="L2806" s="1" t="str">
        <x:f>TEXT(A2806,"mmm yyyy")</x:f>
        <x:v>Jul 2026</x:v>
      </x:c>
    </x:row>
    <x:row r="2807" ht="21" customHeight="1">
      <x:c r="A2807" s="10" t="n">
        <x:v>46206</x:v>
      </x:c>
      <x:c r="B2807" s="1" t="n">
        <x:v>23.5</x:v>
      </x:c>
      <x:c r="C2807" s="1" t="n">
        <x:v>6</x:v>
      </x:c>
      <x:c r="D2807" s="12" t="n">
        <x:v>0</x:v>
      </x:c>
      <x:c r="E2807" s="12" t="n">
        <x:v>0.4159166666666667</x:v>
      </x:c>
      <x:c r="F2807" s="12" t="n">
        <x:v>0.4159166666666667</x:v>
      </x:c>
      <x:c r="G2807" s="12" t="n">
        <x:v>0</x:v>
      </x:c>
      <x:c r="H2807" s="1" t="n">
        <x:f>'Historical prices'!E2807</x:f>
        <x:v>1.05</x:v>
      </x:c>
      <x:c r="I2807" s="6" t="n">
        <x:f>'Historical prices'!D2807</x:f>
        <x:v>0.19149999999999998</x:v>
      </x:c>
      <x:c r="J2807" s="13" t="n">
        <x:f>D2807*I2807*H2807</x:f>
        <x:v>0</x:v>
      </x:c>
      <x:c r="K2807" s="13" t="n">
        <x:f>E2807*I2807*H2807</x:f>
        <x:v>0.08363044375</x:v>
      </x:c>
      <x:c r="L2807" s="1" t="str">
        <x:f>TEXT(A2807,"mmm yyyy")</x:f>
        <x:v>Jul 2026</x:v>
      </x:c>
    </x:row>
    <x:row r="2808" ht="21" customHeight="1">
      <x:c r="A2808" s="10" t="n">
        <x:v>46207</x:v>
      </x:c>
      <x:c r="B2808" s="1" t="n">
        <x:v>0</x:v>
      </x:c>
      <x:c r="C2808" s="1" t="n">
        <x:v>6</x:v>
      </x:c>
      <x:c r="D2808" s="12" t="n">
        <x:v>0.09475</x:v>
      </x:c>
      <x:c r="E2808" s="12" t="n">
        <x:v>0.2856666666666667</x:v>
      </x:c>
      <x:c r="F2808" s="12" t="n">
        <x:v>0.19091666666666665</x:v>
      </x:c>
      <x:c r="G2808" s="12" t="n">
        <x:v>0</x:v>
      </x:c>
      <x:c r="H2808" s="1" t="n">
        <x:f>'Historical prices'!E2808</x:f>
        <x:v>1.05</x:v>
      </x:c>
      <x:c r="I2808" s="6" t="n">
        <x:f>'Historical prices'!D2808</x:f>
        <x:v>0.1957</x:v>
      </x:c>
      <x:c r="J2808" s="13" t="n">
        <x:f>D2808*I2808*H2808</x:f>
        <x:v>0.019469703750000004</x:v>
      </x:c>
      <x:c r="K2808" s="13" t="n">
        <x:f>E2808*I2808*H2808</x:f>
        <x:v>0.05870021500000001</x:v>
      </x:c>
      <x:c r="L2808" s="1" t="str">
        <x:f>TEXT(A2808,"mmm yyyy")</x:f>
        <x:v>Jul 2026</x:v>
      </x:c>
    </x:row>
    <x:row r="2809" ht="21" customHeight="1">
      <x:c r="A2809" s="10" t="n">
        <x:v>46207</x:v>
      </x:c>
      <x:c r="B2809" s="1" t="n">
        <x:v>0.5</x:v>
      </x:c>
      <x:c r="C2809" s="1" t="n">
        <x:v>6</x:v>
      </x:c>
      <x:c r="D2809" s="12" t="n">
        <x:v>0</x:v>
      </x:c>
      <x:c r="E2809" s="12" t="n">
        <x:v>0.26108333333333333</x:v>
      </x:c>
      <x:c r="F2809" s="12" t="n">
        <x:v>0.2599166666666667</x:v>
      </x:c>
      <x:c r="G2809" s="12" t="n">
        <x:v>0</x:v>
      </x:c>
      <x:c r="H2809" s="1" t="n">
        <x:f>'Historical prices'!E2809</x:f>
        <x:v>1.05</x:v>
      </x:c>
      <x:c r="I2809" s="6" t="n">
        <x:f>'Historical prices'!D2809</x:f>
        <x:v>0.1916</x:v>
      </x:c>
      <x:c r="J2809" s="13" t="n">
        <x:f>D2809*I2809*H2809</x:f>
        <x:v>0</x:v>
      </x:c>
      <x:c r="K2809" s="13" t="n">
        <x:f>E2809*I2809*H2809</x:f>
        <x:v>0.052524745</x:v>
      </x:c>
      <x:c r="L2809" s="1" t="str">
        <x:f>TEXT(A2809,"mmm yyyy")</x:f>
        <x:v>Jul 2026</x:v>
      </x:c>
    </x:row>
    <x:row r="2810" ht="21" customHeight="1">
      <x:c r="A2810" s="10" t="n">
        <x:v>46207</x:v>
      </x:c>
      <x:c r="B2810" s="1" t="n">
        <x:v>1</x:v>
      </x:c>
      <x:c r="C2810" s="1" t="n">
        <x:v>6</x:v>
      </x:c>
      <x:c r="D2810" s="12" t="n">
        <x:v>0</x:v>
      </x:c>
      <x:c r="E2810" s="12" t="n">
        <x:v>0.3559166666666666</x:v>
      </x:c>
      <x:c r="F2810" s="12" t="n">
        <x:v>0.35566666666666663</x:v>
      </x:c>
      <x:c r="G2810" s="12" t="n">
        <x:v>0</x:v>
      </x:c>
      <x:c r="H2810" s="1" t="n">
        <x:f>'Historical prices'!E2810</x:f>
        <x:v>1.05</x:v>
      </x:c>
      <x:c r="I2810" s="6" t="n">
        <x:f>'Historical prices'!D2810</x:f>
        <x:v>0.18530000000000002</x:v>
      </x:c>
      <x:c r="J2810" s="13" t="n">
        <x:f>D2810*I2810*H2810</x:f>
        <x:v>0</x:v>
      </x:c>
      <x:c r="K2810" s="13" t="n">
        <x:f>E2810*I2810*H2810</x:f>
        <x:v>0.06924892625000001</x:v>
      </x:c>
      <x:c r="L2810" s="1" t="str">
        <x:f>TEXT(A2810,"mmm yyyy")</x:f>
        <x:v>Jul 2026</x:v>
      </x:c>
    </x:row>
    <x:row r="2811" ht="21" customHeight="1">
      <x:c r="A2811" s="10" t="n">
        <x:v>46207</x:v>
      </x:c>
      <x:c r="B2811" s="1" t="n">
        <x:v>1.5</x:v>
      </x:c>
      <x:c r="C2811" s="1" t="n">
        <x:v>6</x:v>
      </x:c>
      <x:c r="D2811" s="12" t="n">
        <x:v>0</x:v>
      </x:c>
      <x:c r="E2811" s="12" t="n">
        <x:v>0.31483333333333335</x:v>
      </x:c>
      <x:c r="F2811" s="12" t="n">
        <x:v>0.3144166666666667</x:v>
      </x:c>
      <x:c r="G2811" s="12" t="n">
        <x:v>0</x:v>
      </x:c>
      <x:c r="H2811" s="1" t="n">
        <x:f>'Historical prices'!E2811</x:f>
        <x:v>1.05</x:v>
      </x:c>
      <x:c r="I2811" s="6" t="n">
        <x:f>'Historical prices'!D2811</x:f>
        <x:v>0.1791</x:v>
      </x:c>
      <x:c r="J2811" s="13" t="n">
        <x:f>D2811*I2811*H2811</x:f>
        <x:v>0</x:v>
      </x:c>
      <x:c r="K2811" s="13" t="n">
        <x:f>E2811*I2811*H2811</x:f>
        <x:v>0.059205982500000004</x:v>
      </x:c>
      <x:c r="L2811" s="1" t="str">
        <x:f>TEXT(A2811,"mmm yyyy")</x:f>
        <x:v>Jul 2026</x:v>
      </x:c>
    </x:row>
    <x:row r="2812" ht="21" customHeight="1">
      <x:c r="A2812" s="10" t="n">
        <x:v>46207</x:v>
      </x:c>
      <x:c r="B2812" s="1" t="n">
        <x:v>2</x:v>
      </x:c>
      <x:c r="C2812" s="1" t="n">
        <x:v>6</x:v>
      </x:c>
      <x:c r="D2812" s="12" t="n">
        <x:v>0</x:v>
      </x:c>
      <x:c r="E2812" s="12" t="n">
        <x:v>0.243</x:v>
      </x:c>
      <x:c r="F2812" s="12" t="n">
        <x:v>0.24291666666666664</x:v>
      </x:c>
      <x:c r="G2812" s="12" t="n">
        <x:v>0</x:v>
      </x:c>
      <x:c r="H2812" s="1" t="n">
        <x:f>'Historical prices'!E2812</x:f>
        <x:v>1.05</x:v>
      </x:c>
      <x:c r="I2812" s="6" t="n">
        <x:f>'Historical prices'!D2812</x:f>
        <x:v>0.16399999999999998</x:v>
      </x:c>
      <x:c r="J2812" s="13" t="n">
        <x:f>D2812*I2812*H2812</x:f>
        <x:v>0</x:v>
      </x:c>
      <x:c r="K2812" s="13" t="n">
        <x:f>E2812*I2812*H2812</x:f>
        <x:v>0.041844599999999996</x:v>
      </x:c>
      <x:c r="L2812" s="1" t="str">
        <x:f>TEXT(A2812,"mmm yyyy")</x:f>
        <x:v>Jul 2026</x:v>
      </x:c>
    </x:row>
    <x:row r="2813" ht="21" customHeight="1">
      <x:c r="A2813" s="10" t="n">
        <x:v>46207</x:v>
      </x:c>
      <x:c r="B2813" s="1" t="n">
        <x:v>2.5</x:v>
      </x:c>
      <x:c r="C2813" s="1" t="n">
        <x:v>6</x:v>
      </x:c>
      <x:c r="D2813" s="12" t="n">
        <x:v>0</x:v>
      </x:c>
      <x:c r="E2813" s="12" t="n">
        <x:v>0.27091666666666664</x:v>
      </x:c>
      <x:c r="F2813" s="12" t="n">
        <x:v>0.27075</x:v>
      </x:c>
      <x:c r="G2813" s="12" t="n">
        <x:v>0</x:v>
      </x:c>
      <x:c r="H2813" s="1" t="n">
        <x:f>'Historical prices'!E2813</x:f>
        <x:v>1.05</x:v>
      </x:c>
      <x:c r="I2813" s="6" t="n">
        <x:f>'Historical prices'!D2813</x:f>
        <x:v>0.1407</x:v>
      </x:c>
      <x:c r="J2813" s="13" t="n">
        <x:f>D2813*I2813*H2813</x:f>
        <x:v>0</x:v>
      </x:c>
      <x:c r="K2813" s="13" t="n">
        <x:f>E2813*I2813*H2813</x:f>
        <x:v>0.040023873749999994</x:v>
      </x:c>
      <x:c r="L2813" s="1" t="str">
        <x:f>TEXT(A2813,"mmm yyyy")</x:f>
        <x:v>Jul 2026</x:v>
      </x:c>
    </x:row>
    <x:row r="2814" ht="21" customHeight="1">
      <x:c r="A2814" s="10" t="n">
        <x:v>46207</x:v>
      </x:c>
      <x:c r="B2814" s="1" t="n">
        <x:v>3</x:v>
      </x:c>
      <x:c r="C2814" s="1" t="n">
        <x:v>6</x:v>
      </x:c>
      <x:c r="D2814" s="12" t="n">
        <x:v>0</x:v>
      </x:c>
      <x:c r="E2814" s="12" t="n">
        <x:v>0.3116666666666667</x:v>
      </x:c>
      <x:c r="F2814" s="12" t="n">
        <x:v>0.3115</x:v>
      </x:c>
      <x:c r="G2814" s="12" t="n">
        <x:v>0</x:v>
      </x:c>
      <x:c r="H2814" s="1" t="n">
        <x:f>'Historical prices'!E2814</x:f>
        <x:v>1.05</x:v>
      </x:c>
      <x:c r="I2814" s="6" t="n">
        <x:f>'Historical prices'!D2814</x:f>
        <x:v>0.13119999999999998</x:v>
      </x:c>
      <x:c r="J2814" s="13" t="n">
        <x:f>D2814*I2814*H2814</x:f>
        <x:v>0</x:v>
      </x:c>
      <x:c r="K2814" s="13" t="n">
        <x:f>E2814*I2814*H2814</x:f>
        <x:v>0.0429352</x:v>
      </x:c>
      <x:c r="L2814" s="1" t="str">
        <x:f>TEXT(A2814,"mmm yyyy")</x:f>
        <x:v>Jul 2026</x:v>
      </x:c>
    </x:row>
    <x:row r="2815" ht="21" customHeight="1">
      <x:c r="A2815" s="10" t="n">
        <x:v>46207</x:v>
      </x:c>
      <x:c r="B2815" s="1" t="n">
        <x:v>3.5</x:v>
      </x:c>
      <x:c r="C2815" s="1" t="n">
        <x:v>6</x:v>
      </x:c>
      <x:c r="D2815" s="12" t="n">
        <x:v>0</x:v>
      </x:c>
      <x:c r="E2815" s="12" t="n">
        <x:v>0.258</x:v>
      </x:c>
      <x:c r="F2815" s="12" t="n">
        <x:v>0.2574166666666666</x:v>
      </x:c>
      <x:c r="G2815" s="12" t="n">
        <x:v>0</x:v>
      </x:c>
      <x:c r="H2815" s="1" t="n">
        <x:f>'Historical prices'!E2815</x:f>
        <x:v>1.05</x:v>
      </x:c>
      <x:c r="I2815" s="6" t="n">
        <x:f>'Historical prices'!D2815</x:f>
        <x:v>0.1081</x:v>
      </x:c>
      <x:c r="J2815" s="13" t="n">
        <x:f>D2815*I2815*H2815</x:f>
        <x:v>0</x:v>
      </x:c>
      <x:c r="K2815" s="13" t="n">
        <x:f>E2815*I2815*H2815</x:f>
        <x:v>0.029284290000000004</x:v>
      </x:c>
      <x:c r="L2815" s="1" t="str">
        <x:f>TEXT(A2815,"mmm yyyy")</x:f>
        <x:v>Jul 2026</x:v>
      </x:c>
    </x:row>
    <x:row r="2816" ht="21" customHeight="1">
      <x:c r="A2816" s="10" t="n">
        <x:v>46207</x:v>
      </x:c>
      <x:c r="B2816" s="1" t="n">
        <x:v>4</x:v>
      </x:c>
      <x:c r="C2816" s="1" t="n">
        <x:v>6</x:v>
      </x:c>
      <x:c r="D2816" s="12" t="n">
        <x:v>0</x:v>
      </x:c>
      <x:c r="E2816" s="12" t="n">
        <x:v>0.30566666666666664</x:v>
      </x:c>
      <x:c r="F2816" s="12" t="n">
        <x:v>0.3055833333333333</x:v>
      </x:c>
      <x:c r="G2816" s="12" t="n">
        <x:v>0</x:v>
      </x:c>
      <x:c r="H2816" s="1" t="n">
        <x:f>'Historical prices'!E2816</x:f>
        <x:v>1.05</x:v>
      </x:c>
      <x:c r="I2816" s="6" t="n">
        <x:f>'Historical prices'!D2816</x:f>
        <x:v>0.1003</x:v>
      </x:c>
      <x:c r="J2816" s="13" t="n">
        <x:f>D2816*I2816*H2816</x:f>
        <x:v>0</x:v>
      </x:c>
      <x:c r="K2816" s="13" t="n">
        <x:f>E2816*I2816*H2816</x:f>
        <x:v>0.032191285</x:v>
      </x:c>
      <x:c r="L2816" s="1" t="str">
        <x:f>TEXT(A2816,"mmm yyyy")</x:f>
        <x:v>Jul 2026</x:v>
      </x:c>
    </x:row>
    <x:row r="2817" ht="21" customHeight="1">
      <x:c r="A2817" s="10" t="n">
        <x:v>46207</x:v>
      </x:c>
      <x:c r="B2817" s="1" t="n">
        <x:v>4.5</x:v>
      </x:c>
      <x:c r="C2817" s="1" t="n">
        <x:v>6</x:v>
      </x:c>
      <x:c r="D2817" s="12" t="n">
        <x:v>0</x:v>
      </x:c>
      <x:c r="E2817" s="12" t="n">
        <x:v>0.33591666666666664</x:v>
      </x:c>
      <x:c r="F2817" s="12" t="n">
        <x:v>0.33566666666666667</x:v>
      </x:c>
      <x:c r="G2817" s="12" t="n">
        <x:v>0</x:v>
      </x:c>
      <x:c r="H2817" s="1" t="n">
        <x:f>'Historical prices'!E2817</x:f>
        <x:v>1.05</x:v>
      </x:c>
      <x:c r="I2817" s="6" t="n">
        <x:f>'Historical prices'!D2817</x:f>
        <x:v>0.0817</x:v>
      </x:c>
      <x:c r="J2817" s="13" t="n">
        <x:f>D2817*I2817*H2817</x:f>
        <x:v>0</x:v>
      </x:c>
      <x:c r="K2817" s="13" t="n">
        <x:f>E2817*I2817*H2817</x:f>
        <x:v>0.028816611249999995</x:v>
      </x:c>
      <x:c r="L2817" s="1" t="str">
        <x:f>TEXT(A2817,"mmm yyyy")</x:f>
        <x:v>Jul 2026</x:v>
      </x:c>
    </x:row>
    <x:row r="2818" ht="21" customHeight="1">
      <x:c r="A2818" s="10" t="n">
        <x:v>46207</x:v>
      </x:c>
      <x:c r="B2818" s="1" t="n">
        <x:v>5</x:v>
      </x:c>
      <x:c r="C2818" s="1" t="n">
        <x:v>6</x:v>
      </x:c>
      <x:c r="D2818" s="12" t="n">
        <x:v>0</x:v>
      </x:c>
      <x:c r="E2818" s="12" t="n">
        <x:v>0.3929166666666667</x:v>
      </x:c>
      <x:c r="F2818" s="12" t="n">
        <x:v>0.3926666666666666</x:v>
      </x:c>
      <x:c r="G2818" s="12" t="n">
        <x:v>0</x:v>
      </x:c>
      <x:c r="H2818" s="1" t="n">
        <x:f>'Historical prices'!E2818</x:f>
        <x:v>1.05</x:v>
      </x:c>
      <x:c r="I2818" s="6" t="n">
        <x:f>'Historical prices'!D2818</x:f>
        <x:v>0.0723</x:v>
      </x:c>
      <x:c r="J2818" s="13" t="n">
        <x:f>D2818*I2818*H2818</x:f>
        <x:v>0</x:v>
      </x:c>
      <x:c r="K2818" s="13" t="n">
        <x:f>E2818*I2818*H2818</x:f>
        <x:v>0.029828268750000005</x:v>
      </x:c>
      <x:c r="L2818" s="1" t="str">
        <x:f>TEXT(A2818,"mmm yyyy")</x:f>
        <x:v>Jul 2026</x:v>
      </x:c>
    </x:row>
    <x:row r="2819" ht="21" customHeight="1">
      <x:c r="A2819" s="10" t="n">
        <x:v>46207</x:v>
      </x:c>
      <x:c r="B2819" s="1" t="n">
        <x:v>5.5</x:v>
      </x:c>
      <x:c r="C2819" s="1" t="n">
        <x:v>6</x:v>
      </x:c>
      <x:c r="D2819" s="12" t="n">
        <x:v>0</x:v>
      </x:c>
      <x:c r="E2819" s="12" t="n">
        <x:v>0.31216666666666665</x:v>
      </x:c>
      <x:c r="F2819" s="12" t="n">
        <x:v>0.3119166666666666</x:v>
      </x:c>
      <x:c r="G2819" s="12" t="n">
        <x:v>0</x:v>
      </x:c>
      <x:c r="H2819" s="1" t="n">
        <x:f>'Historical prices'!E2819</x:f>
        <x:v>1.05</x:v>
      </x:c>
      <x:c r="I2819" s="6" t="n">
        <x:f>'Historical prices'!D2819</x:f>
        <x:v>0.0613</x:v>
      </x:c>
      <x:c r="J2819" s="13" t="n">
        <x:f>D2819*I2819*H2819</x:f>
        <x:v>0</x:v>
      </x:c>
      <x:c r="K2819" s="13" t="n">
        <x:f>E2819*I2819*H2819</x:f>
        <x:v>0.0200926075</x:v>
      </x:c>
      <x:c r="L2819" s="1" t="str">
        <x:f>TEXT(A2819,"mmm yyyy")</x:f>
        <x:v>Jul 2026</x:v>
      </x:c>
    </x:row>
    <x:row r="2820" ht="21" customHeight="1">
      <x:c r="A2820" s="10" t="n">
        <x:v>46207</x:v>
      </x:c>
      <x:c r="B2820" s="1" t="n">
        <x:v>6</x:v>
      </x:c>
      <x:c r="C2820" s="1" t="n">
        <x:v>6</x:v>
      </x:c>
      <x:c r="D2820" s="12" t="n">
        <x:v>0</x:v>
      </x:c>
      <x:c r="E2820" s="12" t="n">
        <x:v>0.32449999999999996</x:v>
      </x:c>
      <x:c r="F2820" s="12" t="n">
        <x:v>0.32275</x:v>
      </x:c>
      <x:c r="G2820" s="12" t="n">
        <x:v>0</x:v>
      </x:c>
      <x:c r="H2820" s="1" t="n">
        <x:f>'Historical prices'!E2820</x:f>
        <x:v>1.05</x:v>
      </x:c>
      <x:c r="I2820" s="6" t="n">
        <x:f>'Historical prices'!D2820</x:f>
        <x:v>0.0768</x:v>
      </x:c>
      <x:c r="J2820" s="13" t="n">
        <x:f>D2820*I2820*H2820</x:f>
        <x:v>0</x:v>
      </x:c>
      <x:c r="K2820" s="13" t="n">
        <x:f>E2820*I2820*H2820</x:f>
        <x:v>0.026167679999999995</x:v>
      </x:c>
      <x:c r="L2820" s="1" t="str">
        <x:f>TEXT(A2820,"mmm yyyy")</x:f>
        <x:v>Jul 2026</x:v>
      </x:c>
    </x:row>
    <x:row r="2821" ht="21" customHeight="1">
      <x:c r="A2821" s="10" t="n">
        <x:v>46207</x:v>
      </x:c>
      <x:c r="B2821" s="1" t="n">
        <x:v>6.5</x:v>
      </x:c>
      <x:c r="C2821" s="1" t="n">
        <x:v>6</x:v>
      </x:c>
      <x:c r="D2821" s="12" t="n">
        <x:v>0</x:v>
      </x:c>
      <x:c r="E2821" s="12" t="n">
        <x:v>0.5105</x:v>
      </x:c>
      <x:c r="F2821" s="12" t="n">
        <x:v>0.5039166666666667</x:v>
      </x:c>
      <x:c r="G2821" s="12" t="n">
        <x:v>0</x:v>
      </x:c>
      <x:c r="H2821" s="1" t="n">
        <x:f>'Historical prices'!E2821</x:f>
        <x:v>1.05</x:v>
      </x:c>
      <x:c r="I2821" s="6" t="n">
        <x:f>'Historical prices'!D2821</x:f>
        <x:v>0.0766</x:v>
      </x:c>
      <x:c r="J2821" s="13" t="n">
        <x:f>D2821*I2821*H2821</x:f>
        <x:v>0</x:v>
      </x:c>
      <x:c r="K2821" s="13" t="n">
        <x:f>E2821*I2821*H2821</x:f>
        <x:v>0.041059515</x:v>
      </x:c>
      <x:c r="L2821" s="1" t="str">
        <x:f>TEXT(A2821,"mmm yyyy")</x:f>
        <x:v>Jul 2026</x:v>
      </x:c>
    </x:row>
    <x:row r="2822" ht="21" customHeight="1">
      <x:c r="A2822" s="10" t="n">
        <x:v>46207</x:v>
      </x:c>
      <x:c r="B2822" s="1" t="n">
        <x:v>7</x:v>
      </x:c>
      <x:c r="C2822" s="1" t="n">
        <x:v>6</x:v>
      </x:c>
      <x:c r="D2822" s="12" t="n">
        <x:v>0.015666666666666666</x:v>
      </x:c>
      <x:c r="E2822" s="12" t="n">
        <x:v>0.5415</x:v>
      </x:c>
      <x:c r="F2822" s="12" t="n">
        <x:v>0.5218333333333333</x:v>
      </x:c>
      <x:c r="G2822" s="12" t="n">
        <x:v>0</x:v>
      </x:c>
      <x:c r="H2822" s="1" t="n">
        <x:f>'Historical prices'!E2822</x:f>
        <x:v>1.05</x:v>
      </x:c>
      <x:c r="I2822" s="6" t="n">
        <x:f>'Historical prices'!D2822</x:f>
        <x:v>-0.009300000000000001</x:v>
      </x:c>
      <x:c r="J2822" s="13" t="n">
        <x:f>D2822*I2822*H2822</x:f>
        <x:v>-0.000152985</x:v>
      </x:c>
      <x:c r="K2822" s="13" t="n">
        <x:f>E2822*I2822*H2822</x:f>
        <x:v>-0.0052877475</x:v>
      </x:c>
      <x:c r="L2822" s="1" t="str">
        <x:f>TEXT(A2822,"mmm yyyy")</x:f>
        <x:v>Jul 2026</x:v>
      </x:c>
    </x:row>
    <x:row r="2823" ht="21" customHeight="1">
      <x:c r="A2823" s="10" t="n">
        <x:v>46207</x:v>
      </x:c>
      <x:c r="B2823" s="1" t="n">
        <x:v>7.5</x:v>
      </x:c>
      <x:c r="C2823" s="1" t="n">
        <x:v>6</x:v>
      </x:c>
      <x:c r="D2823" s="12" t="n">
        <x:v>0.020166666666666666</x:v>
      </x:c>
      <x:c r="E2823" s="12" t="n">
        <x:v>0.567</x:v>
      </x:c>
      <x:c r="F2823" s="12" t="n">
        <x:v>0.5466666666666666</x:v>
      </x:c>
      <x:c r="G2823" s="12" t="n">
        <x:v>0</x:v>
      </x:c>
      <x:c r="H2823" s="1" t="n">
        <x:f>'Historical prices'!E2823</x:f>
        <x:v>1.05</x:v>
      </x:c>
      <x:c r="I2823" s="6" t="n">
        <x:f>'Historical prices'!D2823</x:f>
        <x:v>0.0097</x:v>
      </x:c>
      <x:c r="J2823" s="13" t="n">
        <x:f>D2823*I2823*H2823</x:f>
        <x:v>0.0002053975</x:v>
      </x:c>
      <x:c r="K2823" s="13" t="n">
        <x:f>E2823*I2823*H2823</x:f>
        <x:v>0.0057748949999999995</x:v>
      </x:c>
      <x:c r="L2823" s="1" t="str">
        <x:f>TEXT(A2823,"mmm yyyy")</x:f>
        <x:v>Jul 2026</x:v>
      </x:c>
    </x:row>
    <x:row r="2824" ht="21" customHeight="1">
      <x:c r="A2824" s="10" t="n">
        <x:v>46207</x:v>
      </x:c>
      <x:c r="B2824" s="1" t="n">
        <x:v>8</x:v>
      </x:c>
      <x:c r="C2824" s="1" t="n">
        <x:v>6</x:v>
      </x:c>
      <x:c r="D2824" s="12" t="n">
        <x:v>0</x:v>
      </x:c>
      <x:c r="E2824" s="12" t="n">
        <x:v>0.5621666666666667</x:v>
      </x:c>
      <x:c r="F2824" s="12" t="n">
        <x:v>0.5566666666666665</x:v>
      </x:c>
      <x:c r="G2824" s="12" t="n">
        <x:v>0</x:v>
      </x:c>
      <x:c r="H2824" s="1" t="n">
        <x:f>'Historical prices'!E2824</x:f>
        <x:v>1.05</x:v>
      </x:c>
      <x:c r="I2824" s="6" t="n">
        <x:f>'Historical prices'!D2824</x:f>
        <x:v>-0.011399999999999999</x:v>
      </x:c>
      <x:c r="J2824" s="13" t="n">
        <x:f>D2824*I2824*H2824</x:f>
        <x:v>0</x:v>
      </x:c>
      <x:c r="K2824" s="13" t="n">
        <x:f>E2824*I2824*H2824</x:f>
        <x:v>-0.006729135</x:v>
      </x:c>
      <x:c r="L2824" s="1" t="str">
        <x:f>TEXT(A2824,"mmm yyyy")</x:f>
        <x:v>Jul 2026</x:v>
      </x:c>
    </x:row>
    <x:row r="2825" ht="21" customHeight="1">
      <x:c r="A2825" s="10" t="n">
        <x:v>46207</x:v>
      </x:c>
      <x:c r="B2825" s="1" t="n">
        <x:v>8.5</x:v>
      </x:c>
      <x:c r="C2825" s="1" t="n">
        <x:v>6</x:v>
      </x:c>
      <x:c r="D2825" s="12" t="n">
        <x:v>0.029583333333333333</x:v>
      </x:c>
      <x:c r="E2825" s="12" t="n">
        <x:v>0.43300000000000005</x:v>
      </x:c>
      <x:c r="F2825" s="12" t="n">
        <x:v>0.39483333333333337</x:v>
      </x:c>
      <x:c r="G2825" s="12" t="n">
        <x:v>0</x:v>
      </x:c>
      <x:c r="H2825" s="1" t="n">
        <x:f>'Historical prices'!E2825</x:f>
        <x:v>1.05</x:v>
      </x:c>
      <x:c r="I2825" s="6" t="n">
        <x:f>'Historical prices'!D2825</x:f>
        <x:v>-0.0218</x:v>
      </x:c>
      <x:c r="J2825" s="13" t="n">
        <x:f>D2825*I2825*H2825</x:f>
        <x:v>-0.0006771625000000001</x:v>
      </x:c>
      <x:c r="K2825" s="13" t="n">
        <x:f>E2825*I2825*H2825</x:f>
        <x:v>-0.009911370000000001</x:v>
      </x:c>
      <x:c r="L2825" s="1" t="str">
        <x:f>TEXT(A2825,"mmm yyyy")</x:f>
        <x:v>Jul 2026</x:v>
      </x:c>
    </x:row>
    <x:row r="2826" ht="21" customHeight="1">
      <x:c r="A2826" s="10" t="n">
        <x:v>46207</x:v>
      </x:c>
      <x:c r="B2826" s="1" t="n">
        <x:v>9</x:v>
      </x:c>
      <x:c r="C2826" s="1" t="n">
        <x:v>6</x:v>
      </x:c>
      <x:c r="D2826" s="12" t="n">
        <x:v>0</x:v>
      </x:c>
      <x:c r="E2826" s="12" t="n">
        <x:v>0.54275</x:v>
      </x:c>
      <x:c r="F2826" s="12" t="n">
        <x:v>0.54275</x:v>
      </x:c>
      <x:c r="G2826" s="12" t="n">
        <x:v>0</x:v>
      </x:c>
      <x:c r="H2826" s="1" t="n">
        <x:f>'Historical prices'!E2826</x:f>
        <x:v>1.05</x:v>
      </x:c>
      <x:c r="I2826" s="6" t="n">
        <x:f>'Historical prices'!D2826</x:f>
        <x:v>-0.018799999999999997</x:v>
      </x:c>
      <x:c r="J2826" s="13" t="n">
        <x:f>D2826*I2826*H2826</x:f>
        <x:v>0</x:v>
      </x:c>
      <x:c r="K2826" s="13" t="n">
        <x:f>E2826*I2826*H2826</x:f>
        <x:v>-0.010713884999999998</x:v>
      </x:c>
      <x:c r="L2826" s="1" t="str">
        <x:f>TEXT(A2826,"mmm yyyy")</x:f>
        <x:v>Jul 2026</x:v>
      </x:c>
    </x:row>
    <x:row r="2827" ht="21" customHeight="1">
      <x:c r="A2827" s="10" t="n">
        <x:v>46207</x:v>
      </x:c>
      <x:c r="B2827" s="1" t="n">
        <x:v>9.5</x:v>
      </x:c>
      <x:c r="C2827" s="1" t="n">
        <x:v>6</x:v>
      </x:c>
      <x:c r="D2827" s="12" t="n">
        <x:v>0</x:v>
      </x:c>
      <x:c r="E2827" s="12" t="n">
        <x:v>0.49783333333333335</x:v>
      </x:c>
      <x:c r="F2827" s="12" t="n">
        <x:v>0.49758333333333327</x:v>
      </x:c>
      <x:c r="G2827" s="12" t="n">
        <x:v>0</x:v>
      </x:c>
      <x:c r="H2827" s="1" t="n">
        <x:f>'Historical prices'!E2827</x:f>
        <x:v>1.05</x:v>
      </x:c>
      <x:c r="I2827" s="6" t="n">
        <x:f>'Historical prices'!D2827</x:f>
        <x:v>-0.0269</x:v>
      </x:c>
      <x:c r="J2827" s="13" t="n">
        <x:f>D2827*I2827*H2827</x:f>
        <x:v>0</x:v>
      </x:c>
      <x:c r="K2827" s="13" t="n">
        <x:f>E2827*I2827*H2827</x:f>
        <x:v>-0.014061302500000001</x:v>
      </x:c>
      <x:c r="L2827" s="1" t="str">
        <x:f>TEXT(A2827,"mmm yyyy")</x:f>
        <x:v>Jul 2026</x:v>
      </x:c>
    </x:row>
    <x:row r="2828" ht="21" customHeight="1">
      <x:c r="A2828" s="10" t="n">
        <x:v>46207</x:v>
      </x:c>
      <x:c r="B2828" s="1" t="n">
        <x:v>10</x:v>
      </x:c>
      <x:c r="C2828" s="1" t="n">
        <x:v>6</x:v>
      </x:c>
      <x:c r="D2828" s="12" t="n">
        <x:v>0</x:v>
      </x:c>
      <x:c r="E2828" s="12" t="n">
        <x:v>0.5600833333333333</x:v>
      </x:c>
      <x:c r="F2828" s="12" t="n">
        <x:v>0.5598333333333333</x:v>
      </x:c>
      <x:c r="G2828" s="12" t="n">
        <x:v>0</x:v>
      </x:c>
      <x:c r="H2828" s="1" t="n">
        <x:f>'Historical prices'!E2828</x:f>
        <x:v>1.05</x:v>
      </x:c>
      <x:c r="I2828" s="6" t="n">
        <x:f>'Historical prices'!D2828</x:f>
        <x:v>-0.025</x:v>
      </x:c>
      <x:c r="J2828" s="13" t="n">
        <x:f>D2828*I2828*H2828</x:f>
        <x:v>0</x:v>
      </x:c>
      <x:c r="K2828" s="13" t="n">
        <x:f>E2828*I2828*H2828</x:f>
        <x:v>-0.014702187499999998</x:v>
      </x:c>
      <x:c r="L2828" s="1" t="str">
        <x:f>TEXT(A2828,"mmm yyyy")</x:f>
        <x:v>Jul 2026</x:v>
      </x:c>
    </x:row>
    <x:row r="2829" ht="21" customHeight="1">
      <x:c r="A2829" s="10" t="n">
        <x:v>46207</x:v>
      </x:c>
      <x:c r="B2829" s="1" t="n">
        <x:v>10.5</x:v>
      </x:c>
      <x:c r="C2829" s="1" t="n">
        <x:v>6</x:v>
      </x:c>
      <x:c r="D2829" s="12" t="n">
        <x:v>0.3320833333333333</x:v>
      </x:c>
      <x:c r="E2829" s="12" t="n">
        <x:v>0.41916666666666663</x:v>
      </x:c>
      <x:c r="F2829" s="12" t="n">
        <x:v>0.077</x:v>
      </x:c>
      <x:c r="G2829" s="12" t="n">
        <x:v>0</x:v>
      </x:c>
      <x:c r="H2829" s="1" t="n">
        <x:f>'Historical prices'!E2829</x:f>
        <x:v>1.05</x:v>
      </x:c>
      <x:c r="I2829" s="6" t="n">
        <x:f>'Historical prices'!D2829</x:f>
        <x:v>-0.0316</x:v>
      </x:c>
      <x:c r="J2829" s="13" t="n">
        <x:f>D2829*I2829*H2829</x:f>
        <x:v>-0.011018525</x:v>
      </x:c>
      <x:c r="K2829" s="13" t="n">
        <x:f>E2829*I2829*H2829</x:f>
        <x:v>-0.01390795</x:v>
      </x:c>
      <x:c r="L2829" s="1" t="str">
        <x:f>TEXT(A2829,"mmm yyyy")</x:f>
        <x:v>Jul 2026</x:v>
      </x:c>
    </x:row>
    <x:row r="2830" ht="21" customHeight="1">
      <x:c r="A2830" s="10" t="n">
        <x:v>46207</x:v>
      </x:c>
      <x:c r="B2830" s="1" t="n">
        <x:v>11</x:v>
      </x:c>
      <x:c r="C2830" s="1" t="n">
        <x:v>6</x:v>
      </x:c>
      <x:c r="D2830" s="12" t="n">
        <x:v>0.08675</x:v>
      </x:c>
      <x:c r="E2830" s="12" t="n">
        <x:v>0.49008333333333326</x:v>
      </x:c>
      <x:c r="F2830" s="12" t="n">
        <x:v>0.38300000000000006</x:v>
      </x:c>
      <x:c r="G2830" s="12" t="n">
        <x:v>0</x:v>
      </x:c>
      <x:c r="H2830" s="1" t="n">
        <x:f>'Historical prices'!E2830</x:f>
        <x:v>1.05</x:v>
      </x:c>
      <x:c r="I2830" s="6" t="n">
        <x:f>'Historical prices'!D2830</x:f>
        <x:v>-0.026699999999999998</x:v>
      </x:c>
      <x:c r="J2830" s="13" t="n">
        <x:f>D2830*I2830*H2830</x:f>
        <x:v>-0.0024320362499999997</x:v>
      </x:c>
      <x:c r="K2830" s="13" t="n">
        <x:f>E2830*I2830*H2830</x:f>
        <x:v>-0.013739486249999997</x:v>
      </x:c>
      <x:c r="L2830" s="1" t="str">
        <x:f>TEXT(A2830,"mmm yyyy")</x:f>
        <x:v>Jul 2026</x:v>
      </x:c>
    </x:row>
    <x:row r="2831" ht="21" customHeight="1">
      <x:c r="A2831" s="10" t="n">
        <x:v>46207</x:v>
      </x:c>
      <x:c r="B2831" s="1" t="n">
        <x:v>11.5</x:v>
      </x:c>
      <x:c r="C2831" s="1" t="n">
        <x:v>6</x:v>
      </x:c>
      <x:c r="D2831" s="12" t="n">
        <x:v>4.350666666666667</x:v>
      </x:c>
      <x:c r="E2831" s="12" t="n">
        <x:v>0.6665833333333334</x:v>
      </x:c>
      <x:c r="F2831" s="12" t="n">
        <x:v>0.08091666666666666</x:v>
      </x:c>
      <x:c r="G2831" s="12" t="n">
        <x:v>3.7649999999999997</x:v>
      </x:c>
      <x:c r="H2831" s="1" t="n">
        <x:f>'Historical prices'!E2831</x:f>
        <x:v>1.05</x:v>
      </x:c>
      <x:c r="I2831" s="6" t="n">
        <x:f>'Historical prices'!D2831</x:f>
        <x:v>-0.0383</x:v>
      </x:c>
      <x:c r="J2831" s="13" t="n">
        <x:f>D2831*I2831*H2831</x:f>
        <x:v>-0.17496206000000003</x:v>
      </x:c>
      <x:c r="K2831" s="13" t="n">
        <x:f>E2831*I2831*H2831</x:f>
        <x:v>-0.026806648750000002</x:v>
      </x:c>
      <x:c r="L2831" s="1" t="str">
        <x:f>TEXT(A2831,"mmm yyyy")</x:f>
        <x:v>Jul 2026</x:v>
      </x:c>
    </x:row>
    <x:row r="2832" ht="21" customHeight="1">
      <x:c r="A2832" s="10" t="n">
        <x:v>46207</x:v>
      </x:c>
      <x:c r="B2832" s="1" t="n">
        <x:v>12</x:v>
      </x:c>
      <x:c r="C2832" s="1" t="n">
        <x:v>6</x:v>
      </x:c>
      <x:c r="D2832" s="12" t="n">
        <x:v>5.123333333333333</x:v>
      </x:c>
      <x:c r="E2832" s="12" t="n">
        <x:v>0.6443333333333334</x:v>
      </x:c>
      <x:c r="F2832" s="12" t="n">
        <x:v>0</x:v>
      </x:c>
      <x:c r="G2832" s="12" t="n">
        <x:v>4.479</x:v>
      </x:c>
      <x:c r="H2832" s="1" t="n">
        <x:f>'Historical prices'!E2832</x:f>
        <x:v>1.05</x:v>
      </x:c>
      <x:c r="I2832" s="6" t="n">
        <x:f>'Historical prices'!D2832</x:f>
        <x:v>-0.0397</x:v>
      </x:c>
      <x:c r="J2832" s="13" t="n">
        <x:f>D2832*I2832*H2832</x:f>
        <x:v>-0.21356614999999998</x:v>
      </x:c>
      <x:c r="K2832" s="13" t="n">
        <x:f>E2832*I2832*H2832</x:f>
        <x:v>-0.026859035000000003</x:v>
      </x:c>
      <x:c r="L2832" s="1" t="str">
        <x:f>TEXT(A2832,"mmm yyyy")</x:f>
        <x:v>Jul 2026</x:v>
      </x:c>
    </x:row>
    <x:row r="2833" ht="21" customHeight="1">
      <x:c r="A2833" s="10" t="n">
        <x:v>46207</x:v>
      </x:c>
      <x:c r="B2833" s="1" t="n">
        <x:v>12.5</x:v>
      </x:c>
      <x:c r="C2833" s="1" t="n">
        <x:v>6</x:v>
      </x:c>
      <x:c r="D2833" s="12" t="n">
        <x:v>5.0575833333333335</x:v>
      </x:c>
      <x:c r="E2833" s="12" t="n">
        <x:v>0.5785833333333333</x:v>
      </x:c>
      <x:c r="F2833" s="12" t="n">
        <x:v>0</x:v>
      </x:c>
      <x:c r="G2833" s="12" t="n">
        <x:v>4.479</x:v>
      </x:c>
      <x:c r="H2833" s="1" t="n">
        <x:f>'Historical prices'!E2833</x:f>
        <x:v>1.05</x:v>
      </x:c>
      <x:c r="I2833" s="6" t="n">
        <x:f>'Historical prices'!D2833</x:f>
        <x:v>-0.0417</x:v>
      </x:c>
      <x:c r="J2833" s="13" t="n">
        <x:f>D2833*I2833*H2833</x:f>
        <x:v>-0.22144628625000004</x:v>
      </x:c>
      <x:c r="K2833" s="13" t="n">
        <x:f>E2833*I2833*H2833</x:f>
        <x:v>-0.02533327125</x:v>
      </x:c>
      <x:c r="L2833" s="1" t="str">
        <x:f>TEXT(A2833,"mmm yyyy")</x:f>
        <x:v>Jul 2026</x:v>
      </x:c>
    </x:row>
    <x:row r="2834" ht="21" customHeight="1">
      <x:c r="A2834" s="10" t="n">
        <x:v>46207</x:v>
      </x:c>
      <x:c r="B2834" s="1" t="n">
        <x:v>13</x:v>
      </x:c>
      <x:c r="C2834" s="1" t="n">
        <x:v>6</x:v>
      </x:c>
      <x:c r="D2834" s="12" t="n">
        <x:v>5.416666666666667</x:v>
      </x:c>
      <x:c r="E2834" s="12" t="n">
        <x:v>0.6196666666666667</x:v>
      </x:c>
      <x:c r="F2834" s="12" t="n">
        <x:v>0</x:v>
      </x:c>
      <x:c r="G2834" s="12" t="n">
        <x:v>4.797000000000001</x:v>
      </x:c>
      <x:c r="H2834" s="1" t="n">
        <x:f>'Historical prices'!E2834</x:f>
        <x:v>1.05</x:v>
      </x:c>
      <x:c r="I2834" s="6" t="n">
        <x:f>'Historical prices'!D2834</x:f>
        <x:v>-0.0397</x:v>
      </x:c>
      <x:c r="J2834" s="13" t="n">
        <x:f>D2834*I2834*H2834</x:f>
        <x:v>-0.22579375000000004</x:v>
      </x:c>
      <x:c r="K2834" s="13" t="n">
        <x:f>E2834*I2834*H2834</x:f>
        <x:v>-0.025830805000000002</x:v>
      </x:c>
      <x:c r="L2834" s="1" t="str">
        <x:f>TEXT(A2834,"mmm yyyy")</x:f>
        <x:v>Jul 2026</x:v>
      </x:c>
    </x:row>
    <x:row r="2835" ht="21" customHeight="1">
      <x:c r="A2835" s="10" t="n">
        <x:v>46207</x:v>
      </x:c>
      <x:c r="B2835" s="1" t="n">
        <x:v>13.5</x:v>
      </x:c>
      <x:c r="C2835" s="1" t="n">
        <x:v>6</x:v>
      </x:c>
      <x:c r="D2835" s="12" t="n">
        <x:v>5.258416666666667</x:v>
      </x:c>
      <x:c r="E2835" s="12" t="n">
        <x:v>0.6074166666666667</x:v>
      </x:c>
      <x:c r="F2835" s="12" t="n">
        <x:v>0</x:v>
      </x:c>
      <x:c r="G2835" s="12" t="n">
        <x:v>4.651</x:v>
      </x:c>
      <x:c r="H2835" s="1" t="n">
        <x:f>'Historical prices'!E2835</x:f>
        <x:v>1.05</x:v>
      </x:c>
      <x:c r="I2835" s="6" t="n">
        <x:f>'Historical prices'!D2835</x:f>
        <x:v>-0.0506</x:v>
      </x:c>
      <x:c r="J2835" s="13" t="n">
        <x:f>D2835*I2835*H2835</x:f>
        <x:v>-0.27937967750000003</x:v>
      </x:c>
      <x:c r="K2835" s="13" t="n">
        <x:f>E2835*I2835*H2835</x:f>
        <x:v>-0.032272047500000005</x:v>
      </x:c>
      <x:c r="L2835" s="1" t="str">
        <x:f>TEXT(A2835,"mmm yyyy")</x:f>
        <x:v>Jul 2026</x:v>
      </x:c>
    </x:row>
    <x:row r="2836" ht="21" customHeight="1">
      <x:c r="A2836" s="10" t="n">
        <x:v>46207</x:v>
      </x:c>
      <x:c r="B2836" s="1" t="n">
        <x:v>14</x:v>
      </x:c>
      <x:c r="C2836" s="1" t="n">
        <x:v>6</x:v>
      </x:c>
      <x:c r="D2836" s="12" t="n">
        <x:v>3.974333333333333</x:v>
      </x:c>
      <x:c r="E2836" s="12" t="n">
        <x:v>0.5633333333333334</x:v>
      </x:c>
      <x:c r="F2836" s="12" t="n">
        <x:v>0</x:v>
      </x:c>
      <x:c r="G2836" s="12" t="n">
        <x:v>3.411000000000001</x:v>
      </x:c>
      <x:c r="H2836" s="1" t="n">
        <x:f>'Historical prices'!E2836</x:f>
        <x:v>1.05</x:v>
      </x:c>
      <x:c r="I2836" s="6" t="n">
        <x:f>'Historical prices'!D2836</x:f>
        <x:v>-0.0363</x:v>
      </x:c>
      <x:c r="J2836" s="13" t="n">
        <x:f>D2836*I2836*H2836</x:f>
        <x:v>-0.151481715</x:v>
      </x:c>
      <x:c r="K2836" s="13" t="n">
        <x:f>E2836*I2836*H2836</x:f>
        <x:v>-0.02147145</x:v>
      </x:c>
      <x:c r="L2836" s="1" t="str">
        <x:f>TEXT(A2836,"mmm yyyy")</x:f>
        <x:v>Jul 2026</x:v>
      </x:c>
    </x:row>
    <x:row r="2837" ht="21" customHeight="1">
      <x:c r="A2837" s="10" t="n">
        <x:v>46207</x:v>
      </x:c>
      <x:c r="B2837" s="1" t="n">
        <x:v>14.5</x:v>
      </x:c>
      <x:c r="C2837" s="1" t="n">
        <x:v>6</x:v>
      </x:c>
      <x:c r="D2837" s="12" t="n">
        <x:v>0.5197499999999999</x:v>
      </x:c>
      <x:c r="E2837" s="12" t="n">
        <x:v>0.40475</x:v>
      </x:c>
      <x:c r="F2837" s="12" t="n">
        <x:v>0</x:v>
      </x:c>
      <x:c r="G2837" s="12" t="n">
        <x:v>0.124</x:v>
      </x:c>
      <x:c r="H2837" s="1" t="n">
        <x:f>'Historical prices'!E2837</x:f>
        <x:v>1.05</x:v>
      </x:c>
      <x:c r="I2837" s="6" t="n">
        <x:f>'Historical prices'!D2837</x:f>
        <x:v>-0.0355</x:v>
      </x:c>
      <x:c r="J2837" s="13" t="n">
        <x:f>D2837*I2837*H2837</x:f>
        <x:v>-0.019373681249999997</x:v>
      </x:c>
      <x:c r="K2837" s="13" t="n">
        <x:f>E2837*I2837*H2837</x:f>
        <x:v>-0.01508705625</x:v>
      </x:c>
      <x:c r="L2837" s="1" t="str">
        <x:f>TEXT(A2837,"mmm yyyy")</x:f>
        <x:v>Jul 2026</x:v>
      </x:c>
    </x:row>
    <x:row r="2838" ht="21" customHeight="1">
      <x:c r="A2838" s="10" t="n">
        <x:v>46207</x:v>
      </x:c>
      <x:c r="B2838" s="1" t="n">
        <x:v>15</x:v>
      </x:c>
      <x:c r="C2838" s="1" t="n">
        <x:v>6</x:v>
      </x:c>
      <x:c r="D2838" s="12" t="n">
        <x:v>0.5244166666666666</x:v>
      </x:c>
      <x:c r="E2838" s="12" t="n">
        <x:v>0.5354166666666667</x:v>
      </x:c>
      <x:c r="F2838" s="12" t="n">
        <x:v>0</x:v>
      </x:c>
      <x:c r="G2838" s="12" t="n">
        <x:v>0</x:v>
      </x:c>
      <x:c r="H2838" s="1" t="n">
        <x:f>'Historical prices'!E2838</x:f>
        <x:v>1.05</x:v>
      </x:c>
      <x:c r="I2838" s="6" t="n">
        <x:f>'Historical prices'!D2838</x:f>
        <x:v>-0.0349</x:v>
      </x:c>
      <x:c r="J2838" s="13" t="n">
        <x:f>D2838*I2838*H2838</x:f>
        <x:v>-0.019217248750000002</x:v>
      </x:c>
      <x:c r="K2838" s="13" t="n">
        <x:f>E2838*I2838*H2838</x:f>
        <x:v>-0.01962034375</x:v>
      </x:c>
      <x:c r="L2838" s="1" t="str">
        <x:f>TEXT(A2838,"mmm yyyy")</x:f>
        <x:v>Jul 2026</x:v>
      </x:c>
    </x:row>
    <x:row r="2839" ht="21" customHeight="1">
      <x:c r="A2839" s="10" t="n">
        <x:v>46207</x:v>
      </x:c>
      <x:c r="B2839" s="1" t="n">
        <x:v>15.5</x:v>
      </x:c>
      <x:c r="C2839" s="1" t="n">
        <x:v>6</x:v>
      </x:c>
      <x:c r="D2839" s="12" t="n">
        <x:v>0.07675</x:v>
      </x:c>
      <x:c r="E2839" s="12" t="n">
        <x:v>0.44775</x:v>
      </x:c>
      <x:c r="F2839" s="12" t="n">
        <x:v>0.3629166666666667</x:v>
      </x:c>
      <x:c r="G2839" s="12" t="n">
        <x:v>0</x:v>
      </x:c>
      <x:c r="H2839" s="1" t="n">
        <x:f>'Historical prices'!E2839</x:f>
        <x:v>1.05</x:v>
      </x:c>
      <x:c r="I2839" s="6" t="n">
        <x:f>'Historical prices'!D2839</x:f>
        <x:v>-0.0277</x:v>
      </x:c>
      <x:c r="J2839" s="13" t="n">
        <x:f>D2839*I2839*H2839</x:f>
        <x:v>-0.00223227375</x:v>
      </x:c>
      <x:c r="K2839" s="13" t="n">
        <x:f>E2839*I2839*H2839</x:f>
        <x:v>-0.013022808749999998</x:v>
      </x:c>
      <x:c r="L2839" s="1" t="str">
        <x:f>TEXT(A2839,"mmm yyyy")</x:f>
        <x:v>Jul 2026</x:v>
      </x:c>
    </x:row>
    <x:row r="2840" ht="21" customHeight="1">
      <x:c r="A2840" s="10" t="n">
        <x:v>46207</x:v>
      </x:c>
      <x:c r="B2840" s="1" t="n">
        <x:v>16</x:v>
      </x:c>
      <x:c r="C2840" s="1" t="n">
        <x:v>6</x:v>
      </x:c>
      <x:c r="D2840" s="12" t="n">
        <x:v>0</x:v>
      </x:c>
      <x:c r="E2840" s="12" t="n">
        <x:v>0.3775833333333333</x:v>
      </x:c>
      <x:c r="F2840" s="12" t="n">
        <x:v>0.37575000000000003</x:v>
      </x:c>
      <x:c r="G2840" s="12" t="n">
        <x:v>0</x:v>
      </x:c>
      <x:c r="H2840" s="1" t="n">
        <x:f>'Historical prices'!E2840</x:f>
        <x:v>1.05</x:v>
      </x:c>
      <x:c r="I2840" s="6" t="n">
        <x:f>'Historical prices'!D2840</x:f>
        <x:v>0.0915</x:v>
      </x:c>
      <x:c r="J2840" s="13" t="n">
        <x:f>D2840*I2840*H2840</x:f>
        <x:v>0</x:v>
      </x:c>
      <x:c r="K2840" s="13" t="n">
        <x:f>E2840*I2840*H2840</x:f>
        <x:v>0.03627631875</x:v>
      </x:c>
      <x:c r="L2840" s="1" t="str">
        <x:f>TEXT(A2840,"mmm yyyy")</x:f>
        <x:v>Jul 2026</x:v>
      </x:c>
    </x:row>
    <x:row r="2841" ht="21" customHeight="1">
      <x:c r="A2841" s="10" t="n">
        <x:v>46207</x:v>
      </x:c>
      <x:c r="B2841" s="1" t="n">
        <x:v>16.5</x:v>
      </x:c>
      <x:c r="C2841" s="1" t="n">
        <x:v>6</x:v>
      </x:c>
      <x:c r="D2841" s="12" t="n">
        <x:v>0</x:v>
      </x:c>
      <x:c r="E2841" s="12" t="n">
        <x:v>0.42000000000000004</x:v>
      </x:c>
      <x:c r="F2841" s="12" t="n">
        <x:v>0.41675000000000006</x:v>
      </x:c>
      <x:c r="G2841" s="12" t="n">
        <x:v>0</x:v>
      </x:c>
      <x:c r="H2841" s="1" t="n">
        <x:f>'Historical prices'!E2841</x:f>
        <x:v>1.05</x:v>
      </x:c>
      <x:c r="I2841" s="6" t="n">
        <x:f>'Historical prices'!D2841</x:f>
        <x:v>0.12</x:v>
      </x:c>
      <x:c r="J2841" s="13" t="n">
        <x:f>D2841*I2841*H2841</x:f>
        <x:v>0</x:v>
      </x:c>
      <x:c r="K2841" s="13" t="n">
        <x:f>E2841*I2841*H2841</x:f>
        <x:v>0.05292</x:v>
      </x:c>
      <x:c r="L2841" s="1" t="str">
        <x:f>TEXT(A2841,"mmm yyyy")</x:f>
        <x:v>Jul 2026</x:v>
      </x:c>
    </x:row>
    <x:row r="2842" ht="21" customHeight="1">
      <x:c r="A2842" s="10" t="n">
        <x:v>46207</x:v>
      </x:c>
      <x:c r="B2842" s="1" t="n">
        <x:v>17</x:v>
      </x:c>
      <x:c r="C2842" s="1" t="n">
        <x:v>6</x:v>
      </x:c>
      <x:c r="D2842" s="12" t="n">
        <x:v>0</x:v>
      </x:c>
      <x:c r="E2842" s="12" t="n">
        <x:v>0.9293333333333335</x:v>
      </x:c>
      <x:c r="F2842" s="12" t="n">
        <x:v>0.92875</x:v>
      </x:c>
      <x:c r="G2842" s="12" t="n">
        <x:v>0</x:v>
      </x:c>
      <x:c r="H2842" s="1" t="n">
        <x:f>'Historical prices'!E2842</x:f>
        <x:v>1.05</x:v>
      </x:c>
      <x:c r="I2842" s="6" t="n">
        <x:f>'Historical prices'!D2842</x:f>
        <x:v>0.1643</x:v>
      </x:c>
      <x:c r="J2842" s="13" t="n">
        <x:f>D2842*I2842*H2842</x:f>
        <x:v>0</x:v>
      </x:c>
      <x:c r="K2842" s="13" t="n">
        <x:f>E2842*I2842*H2842</x:f>
        <x:v>0.16032394000000003</x:v>
      </x:c>
      <x:c r="L2842" s="1" t="str">
        <x:f>TEXT(A2842,"mmm yyyy")</x:f>
        <x:v>Jul 2026</x:v>
      </x:c>
    </x:row>
    <x:row r="2843" ht="21" customHeight="1">
      <x:c r="A2843" s="10" t="n">
        <x:v>46207</x:v>
      </x:c>
      <x:c r="B2843" s="1" t="n">
        <x:v>17.5</x:v>
      </x:c>
      <x:c r="C2843" s="1" t="n">
        <x:v>6</x:v>
      </x:c>
      <x:c r="D2843" s="12" t="n">
        <x:v>0</x:v>
      </x:c>
      <x:c r="E2843" s="12" t="n">
        <x:v>0.7125833333333333</x:v>
      </x:c>
      <x:c r="F2843" s="12" t="n">
        <x:v>0.7121666666666666</x:v>
      </x:c>
      <x:c r="G2843" s="12" t="n">
        <x:v>0</x:v>
      </x:c>
      <x:c r="H2843" s="1" t="n">
        <x:f>'Historical prices'!E2843</x:f>
        <x:v>1.05</x:v>
      </x:c>
      <x:c r="I2843" s="6" t="n">
        <x:f>'Historical prices'!D2843</x:f>
        <x:v>0.2231</x:v>
      </x:c>
      <x:c r="J2843" s="13" t="n">
        <x:f>D2843*I2843*H2843</x:f>
        <x:v>0</x:v>
      </x:c>
      <x:c r="K2843" s="13" t="n">
        <x:f>E2843*I2843*H2843</x:f>
        <x:v>0.16692620875</x:v>
      </x:c>
      <x:c r="L2843" s="1" t="str">
        <x:f>TEXT(A2843,"mmm yyyy")</x:f>
        <x:v>Jul 2026</x:v>
      </x:c>
    </x:row>
    <x:row r="2844" ht="21" customHeight="1">
      <x:c r="A2844" s="10" t="n">
        <x:v>46207</x:v>
      </x:c>
      <x:c r="B2844" s="1" t="n">
        <x:v>18</x:v>
      </x:c>
      <x:c r="C2844" s="1" t="n">
        <x:v>6</x:v>
      </x:c>
      <x:c r="D2844" s="12" t="n">
        <x:v>0</x:v>
      </x:c>
      <x:c r="E2844" s="12" t="n">
        <x:v>0.6704999999999999</x:v>
      </x:c>
      <x:c r="F2844" s="12" t="n">
        <x:v>0.6704166666666665</x:v>
      </x:c>
      <x:c r="G2844" s="12" t="n">
        <x:v>0</x:v>
      </x:c>
      <x:c r="H2844" s="1" t="n">
        <x:f>'Historical prices'!E2844</x:f>
        <x:v>1.05</x:v>
      </x:c>
      <x:c r="I2844" s="6" t="n">
        <x:f>'Historical prices'!D2844</x:f>
        <x:v>0.2547</x:v>
      </x:c>
      <x:c r="J2844" s="13" t="n">
        <x:f>D2844*I2844*H2844</x:f>
        <x:v>0</x:v>
      </x:c>
      <x:c r="K2844" s="13" t="n">
        <x:f>E2844*I2844*H2844</x:f>
        <x:v>0.17931516749999998</x:v>
      </x:c>
      <x:c r="L2844" s="1" t="str">
        <x:f>TEXT(A2844,"mmm yyyy")</x:f>
        <x:v>Jul 2026</x:v>
      </x:c>
    </x:row>
    <x:row r="2845" ht="21" customHeight="1">
      <x:c r="A2845" s="10" t="n">
        <x:v>46207</x:v>
      </x:c>
      <x:c r="B2845" s="1" t="n">
        <x:v>18.5</x:v>
      </x:c>
      <x:c r="C2845" s="1" t="n">
        <x:v>6</x:v>
      </x:c>
      <x:c r="D2845" s="12" t="n">
        <x:v>0</x:v>
      </x:c>
      <x:c r="E2845" s="12" t="n">
        <x:v>0.44775</x:v>
      </x:c>
      <x:c r="F2845" s="12" t="n">
        <x:v>0.44758333333333333</x:v>
      </x:c>
      <x:c r="G2845" s="12" t="n">
        <x:v>0</x:v>
      </x:c>
      <x:c r="H2845" s="1" t="n">
        <x:f>'Historical prices'!E2845</x:f>
        <x:v>1.05</x:v>
      </x:c>
      <x:c r="I2845" s="6" t="n">
        <x:f>'Historical prices'!D2845</x:f>
        <x:v>0.2845</x:v>
      </x:c>
      <x:c r="J2845" s="13" t="n">
        <x:f>D2845*I2845*H2845</x:f>
        <x:v>0</x:v>
      </x:c>
      <x:c r="K2845" s="13" t="n">
        <x:f>E2845*I2845*H2845</x:f>
        <x:v>0.13375411874999998</x:v>
      </x:c>
      <x:c r="L2845" s="1" t="str">
        <x:f>TEXT(A2845,"mmm yyyy")</x:f>
        <x:v>Jul 2026</x:v>
      </x:c>
    </x:row>
    <x:row r="2846" ht="21" customHeight="1">
      <x:c r="A2846" s="10" t="n">
        <x:v>46207</x:v>
      </x:c>
      <x:c r="B2846" s="1" t="n">
        <x:v>19</x:v>
      </x:c>
      <x:c r="C2846" s="1" t="n">
        <x:v>6</x:v>
      </x:c>
      <x:c r="D2846" s="12" t="n">
        <x:v>0</x:v>
      </x:c>
      <x:c r="E2846" s="12" t="n">
        <x:v>0.4008333333333334</x:v>
      </x:c>
      <x:c r="F2846" s="12" t="n">
        <x:v>0.4008333333333334</x:v>
      </x:c>
      <x:c r="G2846" s="12" t="n">
        <x:v>0</x:v>
      </x:c>
      <x:c r="H2846" s="1" t="n">
        <x:f>'Historical prices'!E2846</x:f>
        <x:v>1.05</x:v>
      </x:c>
      <x:c r="I2846" s="6" t="n">
        <x:f>'Historical prices'!D2846</x:f>
        <x:v>0.19510000000000002</x:v>
      </x:c>
      <x:c r="J2846" s="13" t="n">
        <x:f>D2846*I2846*H2846</x:f>
        <x:v>0</x:v>
      </x:c>
      <x:c r="K2846" s="13" t="n">
        <x:f>E2846*I2846*H2846</x:f>
        <x:v>0.08211271250000002</x:v>
      </x:c>
      <x:c r="L2846" s="1" t="str">
        <x:f>TEXT(A2846,"mmm yyyy")</x:f>
        <x:v>Jul 2026</x:v>
      </x:c>
    </x:row>
    <x:row r="2847" ht="21" customHeight="1">
      <x:c r="A2847" s="10" t="n">
        <x:v>46207</x:v>
      </x:c>
      <x:c r="B2847" s="1" t="n">
        <x:v>19.5</x:v>
      </x:c>
      <x:c r="C2847" s="1" t="n">
        <x:v>6</x:v>
      </x:c>
      <x:c r="D2847" s="12" t="n">
        <x:v>0</x:v>
      </x:c>
      <x:c r="E2847" s="12" t="n">
        <x:v>0.5400833333333334</x:v>
      </x:c>
      <x:c r="F2847" s="12" t="n">
        <x:v>0.5396666666666667</x:v>
      </x:c>
      <x:c r="G2847" s="12" t="n">
        <x:v>0</x:v>
      </x:c>
      <x:c r="H2847" s="1" t="n">
        <x:f>'Historical prices'!E2847</x:f>
        <x:v>1.05</x:v>
      </x:c>
      <x:c r="I2847" s="6" t="n">
        <x:f>'Historical prices'!D2847</x:f>
        <x:v>0.1984</x:v>
      </x:c>
      <x:c r="J2847" s="13" t="n">
        <x:f>D2847*I2847*H2847</x:f>
        <x:v>0</x:v>
      </x:c>
      <x:c r="K2847" s="13" t="n">
        <x:f>E2847*I2847*H2847</x:f>
        <x:v>0.11251016000000001</x:v>
      </x:c>
      <x:c r="L2847" s="1" t="str">
        <x:f>TEXT(A2847,"mmm yyyy")</x:f>
        <x:v>Jul 2026</x:v>
      </x:c>
    </x:row>
    <x:row r="2848" ht="21" customHeight="1">
      <x:c r="A2848" s="10" t="n">
        <x:v>46207</x:v>
      </x:c>
      <x:c r="B2848" s="1" t="n">
        <x:v>20</x:v>
      </x:c>
      <x:c r="C2848" s="1" t="n">
        <x:v>6</x:v>
      </x:c>
      <x:c r="D2848" s="12" t="n">
        <x:v>0</x:v>
      </x:c>
      <x:c r="E2848" s="12" t="n">
        <x:v>0.7469166666666666</x:v>
      </x:c>
      <x:c r="F2848" s="12" t="n">
        <x:v>0.7468333333333331</x:v>
      </x:c>
      <x:c r="G2848" s="12" t="n">
        <x:v>0</x:v>
      </x:c>
      <x:c r="H2848" s="1" t="n">
        <x:f>'Historical prices'!E2848</x:f>
        <x:v>1.05</x:v>
      </x:c>
      <x:c r="I2848" s="6" t="n">
        <x:f>'Historical prices'!D2848</x:f>
        <x:v>0.1934</x:v>
      </x:c>
      <x:c r="J2848" s="13" t="n">
        <x:f>D2848*I2848*H2848</x:f>
        <x:v>0</x:v>
      </x:c>
      <x:c r="K2848" s="13" t="n">
        <x:f>E2848*I2848*H2848</x:f>
        <x:v>0.15167636749999996</x:v>
      </x:c>
      <x:c r="L2848" s="1" t="str">
        <x:f>TEXT(A2848,"mmm yyyy")</x:f>
        <x:v>Jul 2026</x:v>
      </x:c>
    </x:row>
    <x:row r="2849" ht="21" customHeight="1">
      <x:c r="A2849" s="10" t="n">
        <x:v>46207</x:v>
      </x:c>
      <x:c r="B2849" s="1" t="n">
        <x:v>20.5</x:v>
      </x:c>
      <x:c r="C2849" s="1" t="n">
        <x:v>6</x:v>
      </x:c>
      <x:c r="D2849" s="12" t="n">
        <x:v>0</x:v>
      </x:c>
      <x:c r="E2849" s="12" t="n">
        <x:v>0.44583333333333336</x:v>
      </x:c>
      <x:c r="F2849" s="12" t="n">
        <x:v>0.44575000000000004</x:v>
      </x:c>
      <x:c r="G2849" s="12" t="n">
        <x:v>0</x:v>
      </x:c>
      <x:c r="H2849" s="1" t="n">
        <x:f>'Historical prices'!E2849</x:f>
        <x:v>1.05</x:v>
      </x:c>
      <x:c r="I2849" s="6" t="n">
        <x:f>'Historical prices'!D2849</x:f>
        <x:v>0.2018</x:v>
      </x:c>
      <x:c r="J2849" s="13" t="n">
        <x:f>D2849*I2849*H2849</x:f>
        <x:v>0</x:v>
      </x:c>
      <x:c r="K2849" s="13" t="n">
        <x:f>E2849*I2849*H2849</x:f>
        <x:v>0.09446762500000001</x:v>
      </x:c>
      <x:c r="L2849" s="1" t="str">
        <x:f>TEXT(A2849,"mmm yyyy")</x:f>
        <x:v>Jul 2026</x:v>
      </x:c>
    </x:row>
    <x:row r="2850" ht="21" customHeight="1">
      <x:c r="A2850" s="10" t="n">
        <x:v>46207</x:v>
      </x:c>
      <x:c r="B2850" s="1" t="n">
        <x:v>21</x:v>
      </x:c>
      <x:c r="C2850" s="1" t="n">
        <x:v>6</x:v>
      </x:c>
      <x:c r="D2850" s="12" t="n">
        <x:v>0</x:v>
      </x:c>
      <x:c r="E2850" s="12" t="n">
        <x:v>0.3441666666666666</x:v>
      </x:c>
      <x:c r="F2850" s="12" t="n">
        <x:v>0.34375</x:v>
      </x:c>
      <x:c r="G2850" s="12" t="n">
        <x:v>0</x:v>
      </x:c>
      <x:c r="H2850" s="1" t="n">
        <x:f>'Historical prices'!E2850</x:f>
        <x:v>1.05</x:v>
      </x:c>
      <x:c r="I2850" s="6" t="n">
        <x:f>'Historical prices'!D2850</x:f>
        <x:v>0.196</x:v>
      </x:c>
      <x:c r="J2850" s="13" t="n">
        <x:f>D2850*I2850*H2850</x:f>
        <x:v>0</x:v>
      </x:c>
      <x:c r="K2850" s="13" t="n">
        <x:f>E2850*I2850*H2850</x:f>
        <x:v>0.0708295</x:v>
      </x:c>
      <x:c r="L2850" s="1" t="str">
        <x:f>TEXT(A2850,"mmm yyyy")</x:f>
        <x:v>Jul 2026</x:v>
      </x:c>
    </x:row>
    <x:row r="2851" ht="21" customHeight="1">
      <x:c r="A2851" s="10" t="n">
        <x:v>46207</x:v>
      </x:c>
      <x:c r="B2851" s="1" t="n">
        <x:v>21.5</x:v>
      </x:c>
      <x:c r="C2851" s="1" t="n">
        <x:v>6</x:v>
      </x:c>
      <x:c r="D2851" s="12" t="n">
        <x:v>0</x:v>
      </x:c>
      <x:c r="E2851" s="12" t="n">
        <x:v>0.36666666666666664</x:v>
      </x:c>
      <x:c r="F2851" s="12" t="n">
        <x:v>0.36666666666666664</x:v>
      </x:c>
      <x:c r="G2851" s="12" t="n">
        <x:v>0</x:v>
      </x:c>
      <x:c r="H2851" s="1" t="n">
        <x:f>'Historical prices'!E2851</x:f>
        <x:v>1.05</x:v>
      </x:c>
      <x:c r="I2851" s="6" t="n">
        <x:f>'Historical prices'!D2851</x:f>
        <x:v>0.2046</x:v>
      </x:c>
      <x:c r="J2851" s="13" t="n">
        <x:f>D2851*I2851*H2851</x:f>
        <x:v>0</x:v>
      </x:c>
      <x:c r="K2851" s="13" t="n">
        <x:f>E2851*I2851*H2851</x:f>
        <x:v>0.078771</x:v>
      </x:c>
      <x:c r="L2851" s="1" t="str">
        <x:f>TEXT(A2851,"mmm yyyy")</x:f>
        <x:v>Jul 2026</x:v>
      </x:c>
    </x:row>
    <x:row r="2852" ht="21" customHeight="1">
      <x:c r="A2852" s="10" t="n">
        <x:v>46207</x:v>
      </x:c>
      <x:c r="B2852" s="1" t="n">
        <x:v>22</x:v>
      </x:c>
      <x:c r="C2852" s="1" t="n">
        <x:v>6</x:v>
      </x:c>
      <x:c r="D2852" s="12" t="n">
        <x:v>0</x:v>
      </x:c>
      <x:c r="E2852" s="12" t="n">
        <x:v>0.37916666666666665</x:v>
      </x:c>
      <x:c r="F2852" s="12" t="n">
        <x:v>0.379</x:v>
      </x:c>
      <x:c r="G2852" s="12" t="n">
        <x:v>0</x:v>
      </x:c>
      <x:c r="H2852" s="1" t="n">
        <x:f>'Historical prices'!E2852</x:f>
        <x:v>1.05</x:v>
      </x:c>
      <x:c r="I2852" s="6" t="n">
        <x:f>'Historical prices'!D2852</x:f>
        <x:v>0.2018</x:v>
      </x:c>
      <x:c r="J2852" s="13" t="n">
        <x:f>D2852*I2852*H2852</x:f>
        <x:v>0</x:v>
      </x:c>
      <x:c r="K2852" s="13" t="n">
        <x:f>E2852*I2852*H2852</x:f>
        <x:v>0.08034162500000001</x:v>
      </x:c>
      <x:c r="L2852" s="1" t="str">
        <x:f>TEXT(A2852,"mmm yyyy")</x:f>
        <x:v>Jul 2026</x:v>
      </x:c>
    </x:row>
    <x:row r="2853" ht="21" customHeight="1">
      <x:c r="A2853" s="10" t="n">
        <x:v>46207</x:v>
      </x:c>
      <x:c r="B2853" s="1" t="n">
        <x:v>22.5</x:v>
      </x:c>
      <x:c r="C2853" s="1" t="n">
        <x:v>6</x:v>
      </x:c>
      <x:c r="D2853" s="12" t="n">
        <x:v>0</x:v>
      </x:c>
      <x:c r="E2853" s="12" t="n">
        <x:v>0.47591666666666665</x:v>
      </x:c>
      <x:c r="F2853" s="12" t="n">
        <x:v>0.47583333333333333</x:v>
      </x:c>
      <x:c r="G2853" s="12" t="n">
        <x:v>0</x:v>
      </x:c>
      <x:c r="H2853" s="1" t="n">
        <x:f>'Historical prices'!E2853</x:f>
        <x:v>1.05</x:v>
      </x:c>
      <x:c r="I2853" s="6" t="n">
        <x:f>'Historical prices'!D2853</x:f>
        <x:v>0.1893</x:v>
      </x:c>
      <x:c r="J2853" s="13" t="n">
        <x:f>D2853*I2853*H2853</x:f>
        <x:v>0</x:v>
      </x:c>
      <x:c r="K2853" s="13" t="n">
        <x:f>E2853*I2853*H2853</x:f>
        <x:v>0.09459557625</x:v>
      </x:c>
      <x:c r="L2853" s="1" t="str">
        <x:f>TEXT(A2853,"mmm yyyy")</x:f>
        <x:v>Jul 2026</x:v>
      </x:c>
    </x:row>
    <x:row r="2854" ht="21" customHeight="1">
      <x:c r="A2854" s="10" t="n">
        <x:v>46207</x:v>
      </x:c>
      <x:c r="B2854" s="1" t="n">
        <x:v>23</x:v>
      </x:c>
      <x:c r="C2854" s="1" t="n">
        <x:v>6</x:v>
      </x:c>
      <x:c r="D2854" s="12" t="n">
        <x:v>0</x:v>
      </x:c>
      <x:c r="E2854" s="12" t="n">
        <x:v>0.5919166666666666</x:v>
      </x:c>
      <x:c r="F2854" s="12" t="n">
        <x:v>0.5919166666666666</x:v>
      </x:c>
      <x:c r="G2854" s="12" t="n">
        <x:v>0</x:v>
      </x:c>
      <x:c r="H2854" s="1" t="n">
        <x:f>'Historical prices'!E2854</x:f>
        <x:v>1.05</x:v>
      </x:c>
      <x:c r="I2854" s="6" t="n">
        <x:f>'Historical prices'!D2854</x:f>
        <x:v>0.2151</x:v>
      </x:c>
      <x:c r="J2854" s="13" t="n">
        <x:f>D2854*I2854*H2854</x:f>
        <x:v>0</x:v>
      </x:c>
      <x:c r="K2854" s="13" t="n">
        <x:f>E2854*I2854*H2854</x:f>
        <x:v>0.13368733875000002</x:v>
      </x:c>
      <x:c r="L2854" s="1" t="str">
        <x:f>TEXT(A2854,"mmm yyyy")</x:f>
        <x:v>Jul 2026</x:v>
      </x:c>
    </x:row>
    <x:row r="2855" ht="21" customHeight="1">
      <x:c r="A2855" s="10" t="n">
        <x:v>46207</x:v>
      </x:c>
      <x:c r="B2855" s="1" t="n">
        <x:v>23.5</x:v>
      </x:c>
      <x:c r="C2855" s="1" t="n">
        <x:v>6</x:v>
      </x:c>
      <x:c r="D2855" s="12" t="n">
        <x:v>0</x:v>
      </x:c>
      <x:c r="E2855" s="12" t="n">
        <x:v>0.3218333333333333</x:v>
      </x:c>
      <x:c r="F2855" s="12" t="n">
        <x:v>0.32158333333333333</x:v>
      </x:c>
      <x:c r="G2855" s="12" t="n">
        <x:v>0</x:v>
      </x:c>
      <x:c r="H2855" s="1" t="n">
        <x:f>'Historical prices'!E2855</x:f>
        <x:v>1.05</x:v>
      </x:c>
      <x:c r="I2855" s="6" t="n">
        <x:f>'Historical prices'!D2855</x:f>
        <x:v>0.20600000000000002</x:v>
      </x:c>
      <x:c r="J2855" s="13" t="n">
        <x:f>D2855*I2855*H2855</x:f>
        <x:v>0</x:v>
      </x:c>
      <x:c r="K2855" s="13" t="n">
        <x:f>E2855*I2855*H2855</x:f>
        <x:v>0.06961255000000001</x:v>
      </x:c>
      <x:c r="L2855" s="1" t="str">
        <x:f>TEXT(A2855,"mmm yyyy")</x:f>
        <x:v>Jul 2026</x:v>
      </x:c>
    </x:row>
    <x:row r="2856" ht="21" customHeight="1">
      <x:c r="A2856" s="10" t="n">
        <x:v>46208</x:v>
      </x:c>
      <x:c r="B2856" s="1" t="n">
        <x:v>0</x:v>
      </x:c>
      <x:c r="C2856" s="1" t="n">
        <x:v>6</x:v>
      </x:c>
      <x:c r="D2856" s="12" t="n">
        <x:v>0</x:v>
      </x:c>
      <x:c r="E2856" s="12" t="n">
        <x:v>0.3378333333333334</x:v>
      </x:c>
      <x:c r="F2856" s="12" t="n">
        <x:v>0.33775000000000005</x:v>
      </x:c>
      <x:c r="G2856" s="12" t="n">
        <x:v>0</x:v>
      </x:c>
      <x:c r="H2856" s="1" t="n">
        <x:f>'Historical prices'!E2856</x:f>
        <x:v>1.05</x:v>
      </x:c>
      <x:c r="I2856" s="6" t="n">
        <x:f>'Historical prices'!D2856</x:f>
        <x:v>0.16579999999999998</x:v>
      </x:c>
      <x:c r="J2856" s="13" t="n">
        <x:f>D2856*I2856*H2856</x:f>
        <x:v>0</x:v>
      </x:c>
      <x:c r="K2856" s="13" t="n">
        <x:f>E2856*I2856*H2856</x:f>
        <x:v>0.058813405</x:v>
      </x:c>
      <x:c r="L2856" s="1" t="str">
        <x:f>TEXT(A2856,"mmm yyyy")</x:f>
        <x:v>Jul 2026</x:v>
      </x:c>
    </x:row>
    <x:row r="2857" ht="21" customHeight="1">
      <x:c r="A2857" s="10" t="n">
        <x:v>46208</x:v>
      </x:c>
      <x:c r="B2857" s="1" t="n">
        <x:v>0.5</x:v>
      </x:c>
      <x:c r="C2857" s="1" t="n">
        <x:v>6</x:v>
      </x:c>
      <x:c r="D2857" s="12" t="n">
        <x:v>0</x:v>
      </x:c>
      <x:c r="E2857" s="12" t="n">
        <x:v>0.41600000000000004</x:v>
      </x:c>
      <x:c r="F2857" s="12" t="n">
        <x:v>0.4156666666666667</x:v>
      </x:c>
      <x:c r="G2857" s="12" t="n">
        <x:v>0</x:v>
      </x:c>
      <x:c r="H2857" s="1" t="n">
        <x:f>'Historical prices'!E2857</x:f>
        <x:v>1.05</x:v>
      </x:c>
      <x:c r="I2857" s="6" t="n">
        <x:f>'Historical prices'!D2857</x:f>
        <x:v>0.16149999999999998</x:v>
      </x:c>
      <x:c r="J2857" s="13" t="n">
        <x:f>D2857*I2857*H2857</x:f>
        <x:v>0</x:v>
      </x:c>
      <x:c r="K2857" s="13" t="n">
        <x:f>E2857*I2857*H2857</x:f>
        <x:v>0.0705432</x:v>
      </x:c>
      <x:c r="L2857" s="1" t="str">
        <x:f>TEXT(A2857,"mmm yyyy")</x:f>
        <x:v>Jul 2026</x:v>
      </x:c>
    </x:row>
    <x:row r="2858" ht="21" customHeight="1">
      <x:c r="A2858" s="10" t="n">
        <x:v>46208</x:v>
      </x:c>
      <x:c r="B2858" s="1" t="n">
        <x:v>1</x:v>
      </x:c>
      <x:c r="C2858" s="1" t="n">
        <x:v>6</x:v>
      </x:c>
      <x:c r="D2858" s="12" t="n">
        <x:v>0</x:v>
      </x:c>
      <x:c r="E2858" s="12" t="n">
        <x:v>0.33058333333333334</x:v>
      </x:c>
      <x:c r="F2858" s="12" t="n">
        <x:v>0.3304166666666667</x:v>
      </x:c>
      <x:c r="G2858" s="12" t="n">
        <x:v>0</x:v>
      </x:c>
      <x:c r="H2858" s="1" t="n">
        <x:f>'Historical prices'!E2858</x:f>
        <x:v>1.05</x:v>
      </x:c>
      <x:c r="I2858" s="6" t="n">
        <x:f>'Historical prices'!D2858</x:f>
        <x:v>0.1655</x:v>
      </x:c>
      <x:c r="J2858" s="13" t="n">
        <x:f>D2858*I2858*H2858</x:f>
        <x:v>0</x:v>
      </x:c>
      <x:c r="K2858" s="13" t="n">
        <x:f>E2858*I2858*H2858</x:f>
        <x:v>0.057447118750000005</x:v>
      </x:c>
      <x:c r="L2858" s="1" t="str">
        <x:f>TEXT(A2858,"mmm yyyy")</x:f>
        <x:v>Jul 2026</x:v>
      </x:c>
    </x:row>
    <x:row r="2859" ht="21" customHeight="1">
      <x:c r="A2859" s="10" t="n">
        <x:v>46208</x:v>
      </x:c>
      <x:c r="B2859" s="1" t="n">
        <x:v>1.5</x:v>
      </x:c>
      <x:c r="C2859" s="1" t="n">
        <x:v>6</x:v>
      </x:c>
      <x:c r="D2859" s="12" t="n">
        <x:v>0</x:v>
      </x:c>
      <x:c r="E2859" s="12" t="n">
        <x:v>0.34175</x:v>
      </x:c>
      <x:c r="F2859" s="12" t="n">
        <x:v>0.34175</x:v>
      </x:c>
      <x:c r="G2859" s="12" t="n">
        <x:v>0</x:v>
      </x:c>
      <x:c r="H2859" s="1" t="n">
        <x:f>'Historical prices'!E2859</x:f>
        <x:v>1.05</x:v>
      </x:c>
      <x:c r="I2859" s="6" t="n">
        <x:f>'Historical prices'!D2859</x:f>
        <x:v>0.1681</x:v>
      </x:c>
      <x:c r="J2859" s="13" t="n">
        <x:f>D2859*I2859*H2859</x:f>
        <x:v>0</x:v>
      </x:c>
      <x:c r="K2859" s="13" t="n">
        <x:f>E2859*I2859*H2859</x:f>
        <x:v>0.06032058375</x:v>
      </x:c>
      <x:c r="L2859" s="1" t="str">
        <x:f>TEXT(A2859,"mmm yyyy")</x:f>
        <x:v>Jul 2026</x:v>
      </x:c>
    </x:row>
    <x:row r="2860" ht="21" customHeight="1">
      <x:c r="A2860" s="10" t="n">
        <x:v>46208</x:v>
      </x:c>
      <x:c r="B2860" s="1" t="n">
        <x:v>2</x:v>
      </x:c>
      <x:c r="C2860" s="1" t="n">
        <x:v>6</x:v>
      </x:c>
      <x:c r="D2860" s="12" t="n">
        <x:v>0</x:v>
      </x:c>
      <x:c r="E2860" s="12" t="n">
        <x:v>0.26083333333333336</x:v>
      </x:c>
      <x:c r="F2860" s="12" t="n">
        <x:v>0.26075000000000004</x:v>
      </x:c>
      <x:c r="G2860" s="12" t="n">
        <x:v>0</x:v>
      </x:c>
      <x:c r="H2860" s="1" t="n">
        <x:f>'Historical prices'!E2860</x:f>
        <x:v>1.05</x:v>
      </x:c>
      <x:c r="I2860" s="6" t="n">
        <x:f>'Historical prices'!D2860</x:f>
        <x:v>0.1576</x:v>
      </x:c>
      <x:c r="J2860" s="13" t="n">
        <x:f>D2860*I2860*H2860</x:f>
        <x:v>0</x:v>
      </x:c>
      <x:c r="K2860" s="13" t="n">
        <x:f>E2860*I2860*H2860</x:f>
        <x:v>0.043162700000000005</x:v>
      </x:c>
      <x:c r="L2860" s="1" t="str">
        <x:f>TEXT(A2860,"mmm yyyy")</x:f>
        <x:v>Jul 2026</x:v>
      </x:c>
    </x:row>
    <x:row r="2861" ht="21" customHeight="1">
      <x:c r="A2861" s="10" t="n">
        <x:v>46208</x:v>
      </x:c>
      <x:c r="B2861" s="1" t="n">
        <x:v>2.5</x:v>
      </x:c>
      <x:c r="C2861" s="1" t="n">
        <x:v>6</x:v>
      </x:c>
      <x:c r="D2861" s="12" t="n">
        <x:v>0</x:v>
      </x:c>
      <x:c r="E2861" s="12" t="n">
        <x:v>0.257</x:v>
      </x:c>
      <x:c r="F2861" s="12" t="n">
        <x:v>0.2568333333333333</x:v>
      </x:c>
      <x:c r="G2861" s="12" t="n">
        <x:v>0</x:v>
      </x:c>
      <x:c r="H2861" s="1" t="n">
        <x:f>'Historical prices'!E2861</x:f>
        <x:v>1.05</x:v>
      </x:c>
      <x:c r="I2861" s="6" t="n">
        <x:f>'Historical prices'!D2861</x:f>
        <x:v>0.1457</x:v>
      </x:c>
      <x:c r="J2861" s="13" t="n">
        <x:f>D2861*I2861*H2861</x:f>
        <x:v>0</x:v>
      </x:c>
      <x:c r="K2861" s="13" t="n">
        <x:f>E2861*I2861*H2861</x:f>
        <x:v>0.039317145000000005</x:v>
      </x:c>
      <x:c r="L2861" s="1" t="str">
        <x:f>TEXT(A2861,"mmm yyyy")</x:f>
        <x:v>Jul 2026</x:v>
      </x:c>
    </x:row>
    <x:row r="2862" ht="21" customHeight="1">
      <x:c r="A2862" s="10" t="n">
        <x:v>46208</x:v>
      </x:c>
      <x:c r="B2862" s="1" t="n">
        <x:v>3</x:v>
      </x:c>
      <x:c r="C2862" s="1" t="n">
        <x:v>6</x:v>
      </x:c>
      <x:c r="D2862" s="12" t="n">
        <x:v>0</x:v>
      </x:c>
      <x:c r="E2862" s="12" t="n">
        <x:v>0.2941666666666667</x:v>
      </x:c>
      <x:c r="F2862" s="12" t="n">
        <x:v>0.29391666666666666</x:v>
      </x:c>
      <x:c r="G2862" s="12" t="n">
        <x:v>0</x:v>
      </x:c>
      <x:c r="H2862" s="1" t="n">
        <x:f>'Historical prices'!E2862</x:f>
        <x:v>1.05</x:v>
      </x:c>
      <x:c r="I2862" s="6" t="n">
        <x:f>'Historical prices'!D2862</x:f>
        <x:v>0.1457</x:v>
      </x:c>
      <x:c r="J2862" s="13" t="n">
        <x:f>D2862*I2862*H2862</x:f>
        <x:v>0</x:v>
      </x:c>
      <x:c r="K2862" s="13" t="n">
        <x:f>E2862*I2862*H2862</x:f>
        <x:v>0.045003087500000004</x:v>
      </x:c>
      <x:c r="L2862" s="1" t="str">
        <x:f>TEXT(A2862,"mmm yyyy")</x:f>
        <x:v>Jul 2026</x:v>
      </x:c>
    </x:row>
    <x:row r="2863" ht="21" customHeight="1">
      <x:c r="A2863" s="10" t="n">
        <x:v>46208</x:v>
      </x:c>
      <x:c r="B2863" s="1" t="n">
        <x:v>3.5</x:v>
      </x:c>
      <x:c r="C2863" s="1" t="n">
        <x:v>6</x:v>
      </x:c>
      <x:c r="D2863" s="12" t="n">
        <x:v>0</x:v>
      </x:c>
      <x:c r="E2863" s="12" t="n">
        <x:v>0.31100000000000005</x:v>
      </x:c>
      <x:c r="F2863" s="12" t="n">
        <x:v>0.3108333333333333</x:v>
      </x:c>
      <x:c r="G2863" s="12" t="n">
        <x:v>0</x:v>
      </x:c>
      <x:c r="H2863" s="1" t="n">
        <x:f>'Historical prices'!E2863</x:f>
        <x:v>1.05</x:v>
      </x:c>
      <x:c r="I2863" s="6" t="n">
        <x:f>'Historical prices'!D2863</x:f>
        <x:v>0.1422</x:v>
      </x:c>
      <x:c r="J2863" s="13" t="n">
        <x:f>D2863*I2863*H2863</x:f>
        <x:v>0</x:v>
      </x:c>
      <x:c r="K2863" s="13" t="n">
        <x:f>E2863*I2863*H2863</x:f>
        <x:v>0.04643541000000001</x:v>
      </x:c>
      <x:c r="L2863" s="1" t="str">
        <x:f>TEXT(A2863,"mmm yyyy")</x:f>
        <x:v>Jul 2026</x:v>
      </x:c>
    </x:row>
    <x:row r="2864" ht="21" customHeight="1">
      <x:c r="A2864" s="10" t="n">
        <x:v>46208</x:v>
      </x:c>
      <x:c r="B2864" s="1" t="n">
        <x:v>4</x:v>
      </x:c>
      <x:c r="C2864" s="1" t="n">
        <x:v>6</x:v>
      </x:c>
      <x:c r="D2864" s="12" t="n">
        <x:v>0</x:v>
      </x:c>
      <x:c r="E2864" s="12" t="n">
        <x:v>0.3026666666666667</x:v>
      </x:c>
      <x:c r="F2864" s="12" t="n">
        <x:v>0.3025833333333333</x:v>
      </x:c>
      <x:c r="G2864" s="12" t="n">
        <x:v>0</x:v>
      </x:c>
      <x:c r="H2864" s="1" t="n">
        <x:f>'Historical prices'!E2864</x:f>
        <x:v>1.05</x:v>
      </x:c>
      <x:c r="I2864" s="6" t="n">
        <x:f>'Historical prices'!D2864</x:f>
        <x:v>0.1408</x:v>
      </x:c>
      <x:c r="J2864" s="13" t="n">
        <x:f>D2864*I2864*H2864</x:f>
        <x:v>0</x:v>
      </x:c>
      <x:c r="K2864" s="13" t="n">
        <x:f>E2864*I2864*H2864</x:f>
        <x:v>0.04474624000000001</x:v>
      </x:c>
      <x:c r="L2864" s="1" t="str">
        <x:f>TEXT(A2864,"mmm yyyy")</x:f>
        <x:v>Jul 2026</x:v>
      </x:c>
    </x:row>
    <x:row r="2865" ht="21" customHeight="1">
      <x:c r="A2865" s="10" t="n">
        <x:v>46208</x:v>
      </x:c>
      <x:c r="B2865" s="1" t="n">
        <x:v>4.5</x:v>
      </x:c>
      <x:c r="C2865" s="1" t="n">
        <x:v>6</x:v>
      </x:c>
      <x:c r="D2865" s="12" t="n">
        <x:v>0.11766666666666667</x:v>
      </x:c>
      <x:c r="E2865" s="12" t="n">
        <x:v>0.3070833333333333</x:v>
      </x:c>
      <x:c r="F2865" s="12" t="n">
        <x:v>0.184</x:v>
      </x:c>
      <x:c r="G2865" s="12" t="n">
        <x:v>0</x:v>
      </x:c>
      <x:c r="H2865" s="1" t="n">
        <x:f>'Historical prices'!E2865</x:f>
        <x:v>1.05</x:v>
      </x:c>
      <x:c r="I2865" s="6" t="n">
        <x:f>'Historical prices'!D2865</x:f>
        <x:v>0.1386</x:v>
      </x:c>
      <x:c r="J2865" s="13" t="n">
        <x:f>D2865*I2865*H2865</x:f>
        <x:v>0.017124030000000002</x:v>
      </x:c>
      <x:c r="K2865" s="13" t="n">
        <x:f>E2865*I2865*H2865</x:f>
        <x:v>0.044689837499999996</x:v>
      </x:c>
      <x:c r="L2865" s="1" t="str">
        <x:f>TEXT(A2865,"mmm yyyy")</x:f>
        <x:v>Jul 2026</x:v>
      </x:c>
    </x:row>
    <x:row r="2866" ht="21" customHeight="1">
      <x:c r="A2866" s="10" t="n">
        <x:v>46208</x:v>
      </x:c>
      <x:c r="B2866" s="1" t="n">
        <x:v>5</x:v>
      </x:c>
      <x:c r="C2866" s="1" t="n">
        <x:v>6</x:v>
      </x:c>
      <x:c r="D2866" s="12" t="n">
        <x:v>0.012416666666666666</x:v>
      </x:c>
      <x:c r="E2866" s="12" t="n">
        <x:v>0.31416666666666665</x:v>
      </x:c>
      <x:c r="F2866" s="12" t="n">
        <x:v>0.30166666666666664</x:v>
      </x:c>
      <x:c r="G2866" s="12" t="n">
        <x:v>0</x:v>
      </x:c>
      <x:c r="H2866" s="1" t="n">
        <x:f>'Historical prices'!E2866</x:f>
        <x:v>1.05</x:v>
      </x:c>
      <x:c r="I2866" s="6" t="n">
        <x:f>'Historical prices'!D2866</x:f>
        <x:v>0.135</x:v>
      </x:c>
      <x:c r="J2866" s="13" t="n">
        <x:f>D2866*I2866*H2866</x:f>
        <x:v>0.0017600625000000001</x:v>
      </x:c>
      <x:c r="K2866" s="13" t="n">
        <x:f>E2866*I2866*H2866</x:f>
        <x:v>0.044533125</x:v>
      </x:c>
      <x:c r="L2866" s="1" t="str">
        <x:f>TEXT(A2866,"mmm yyyy")</x:f>
        <x:v>Jul 2026</x:v>
      </x:c>
    </x:row>
    <x:row r="2867" ht="21" customHeight="1">
      <x:c r="A2867" s="10" t="n">
        <x:v>46208</x:v>
      </x:c>
      <x:c r="B2867" s="1" t="n">
        <x:v>5.5</x:v>
      </x:c>
      <x:c r="C2867" s="1" t="n">
        <x:v>6</x:v>
      </x:c>
      <x:c r="D2867" s="12" t="n">
        <x:v>0</x:v>
      </x:c>
      <x:c r="E2867" s="12" t="n">
        <x:v>0.289</x:v>
      </x:c>
      <x:c r="F2867" s="12" t="n">
        <x:v>0.28891666666666665</x:v>
      </x:c>
      <x:c r="G2867" s="12" t="n">
        <x:v>0</x:v>
      </x:c>
      <x:c r="H2867" s="1" t="n">
        <x:f>'Historical prices'!E2867</x:f>
        <x:v>1.05</x:v>
      </x:c>
      <x:c r="I2867" s="6" t="n">
        <x:f>'Historical prices'!D2867</x:f>
        <x:v>0.1244</x:v>
      </x:c>
      <x:c r="J2867" s="13" t="n">
        <x:f>D2867*I2867*H2867</x:f>
        <x:v>0</x:v>
      </x:c>
      <x:c r="K2867" s="13" t="n">
        <x:f>E2867*I2867*H2867</x:f>
        <x:v>0.03774917999999999</x:v>
      </x:c>
      <x:c r="L2867" s="1" t="str">
        <x:f>TEXT(A2867,"mmm yyyy")</x:f>
        <x:v>Jul 2026</x:v>
      </x:c>
    </x:row>
    <x:row r="2868" ht="21" customHeight="1">
      <x:c r="A2868" s="10" t="n">
        <x:v>46208</x:v>
      </x:c>
      <x:c r="B2868" s="1" t="n">
        <x:v>6</x:v>
      </x:c>
      <x:c r="C2868" s="1" t="n">
        <x:v>6</x:v>
      </x:c>
      <x:c r="D2868" s="12" t="n">
        <x:v>0.251</x:v>
      </x:c>
      <x:c r="E2868" s="12" t="n">
        <x:v>0.31000000000000005</x:v>
      </x:c>
      <x:c r="F2868" s="12" t="n">
        <x:v>0.048</x:v>
      </x:c>
      <x:c r="G2868" s="12" t="n">
        <x:v>0</x:v>
      </x:c>
      <x:c r="H2868" s="1" t="n">
        <x:f>'Historical prices'!E2868</x:f>
        <x:v>1.05</x:v>
      </x:c>
      <x:c r="I2868" s="6" t="n">
        <x:f>'Historical prices'!D2868</x:f>
        <x:v>0.11359999999999999</x:v>
      </x:c>
      <x:c r="J2868" s="13" t="n">
        <x:f>D2868*I2868*H2868</x:f>
        <x:v>0.02993928</x:v>
      </x:c>
      <x:c r="K2868" s="13" t="n">
        <x:f>E2868*I2868*H2868</x:f>
        <x:v>0.036976800000000004</x:v>
      </x:c>
      <x:c r="L2868" s="1" t="str">
        <x:f>TEXT(A2868,"mmm yyyy")</x:f>
        <x:v>Jul 2026</x:v>
      </x:c>
    </x:row>
    <x:row r="2869" ht="21" customHeight="1">
      <x:c r="A2869" s="10" t="n">
        <x:v>46208</x:v>
      </x:c>
      <x:c r="B2869" s="1" t="n">
        <x:v>6.5</x:v>
      </x:c>
      <x:c r="C2869" s="1" t="n">
        <x:v>6</x:v>
      </x:c>
      <x:c r="D2869" s="12" t="n">
        <x:v>0.28025</x:v>
      </x:c>
      <x:c r="E2869" s="12" t="n">
        <x:v>0.29025</x:v>
      </x:c>
      <x:c r="F2869" s="12" t="n">
        <x:v>0</x:v>
      </x:c>
      <x:c r="G2869" s="12" t="n">
        <x:v>0</x:v>
      </x:c>
      <x:c r="H2869" s="1" t="n">
        <x:f>'Historical prices'!E2869</x:f>
        <x:v>1.05</x:v>
      </x:c>
      <x:c r="I2869" s="6" t="n">
        <x:f>'Historical prices'!D2869</x:f>
        <x:v>0.1115</x:v>
      </x:c>
      <x:c r="J2869" s="13" t="n">
        <x:f>D2869*I2869*H2869</x:f>
        <x:v>0.03281026875</x:v>
      </x:c>
      <x:c r="K2869" s="13" t="n">
        <x:f>E2869*I2869*H2869</x:f>
        <x:v>0.03398101875</x:v>
      </x:c>
      <x:c r="L2869" s="1" t="str">
        <x:f>TEXT(A2869,"mmm yyyy")</x:f>
        <x:v>Jul 2026</x:v>
      </x:c>
    </x:row>
    <x:row r="2870" ht="21" customHeight="1">
      <x:c r="A2870" s="10" t="n">
        <x:v>46208</x:v>
      </x:c>
      <x:c r="B2870" s="1" t="n">
        <x:v>7</x:v>
      </x:c>
      <x:c r="C2870" s="1" t="n">
        <x:v>6</x:v>
      </x:c>
      <x:c r="D2870" s="12" t="n">
        <x:v>3.9478333333333335</x:v>
      </x:c>
      <x:c r="E2870" s="12" t="n">
        <x:v>0.48783333333333334</x:v>
      </x:c>
      <x:c r="F2870" s="12" t="n">
        <x:v>0</x:v>
      </x:c>
      <x:c r="G2870" s="12" t="n">
        <x:v>3.4610000000000003</x:v>
      </x:c>
      <x:c r="H2870" s="1" t="n">
        <x:f>'Historical prices'!E2870</x:f>
        <x:v>1.05</x:v>
      </x:c>
      <x:c r="I2870" s="6" t="n">
        <x:f>'Historical prices'!D2870</x:f>
        <x:v>0.0875</x:v>
      </x:c>
      <x:c r="J2870" s="13" t="n">
        <x:f>D2870*I2870*H2870</x:f>
        <x:v>0.36270718750000003</x:v>
      </x:c>
      <x:c r="K2870" s="13" t="n">
        <x:f>E2870*I2870*H2870</x:f>
        <x:v>0.0448196875</x:v>
      </x:c>
      <x:c r="L2870" s="1" t="str">
        <x:f>TEXT(A2870,"mmm yyyy")</x:f>
        <x:v>Jul 2026</x:v>
      </x:c>
    </x:row>
    <x:row r="2871" ht="21" customHeight="1">
      <x:c r="A2871" s="10" t="n">
        <x:v>46208</x:v>
      </x:c>
      <x:c r="B2871" s="1" t="n">
        <x:v>7.5</x:v>
      </x:c>
      <x:c r="C2871" s="1" t="n">
        <x:v>6</x:v>
      </x:c>
      <x:c r="D2871" s="12" t="n">
        <x:v>1.113</x:v>
      </x:c>
      <x:c r="E2871" s="12" t="n">
        <x:v>0.44600000000000006</x:v>
      </x:c>
      <x:c r="F2871" s="12" t="n">
        <x:v>0</x:v>
      </x:c>
      <x:c r="G2871" s="12" t="n">
        <x:v>0.669</x:v>
      </x:c>
      <x:c r="H2871" s="1" t="n">
        <x:f>'Historical prices'!E2871</x:f>
        <x:v>1.05</x:v>
      </x:c>
      <x:c r="I2871" s="6" t="n">
        <x:f>'Historical prices'!D2871</x:f>
        <x:v>0.1052</x:v>
      </x:c>
      <x:c r="J2871" s="13" t="n">
        <x:f>D2871*I2871*H2871</x:f>
        <x:v>0.12294198</x:v>
      </x:c>
      <x:c r="K2871" s="13" t="n">
        <x:f>E2871*I2871*H2871</x:f>
        <x:v>0.04926516000000001</x:v>
      </x:c>
      <x:c r="L2871" s="1" t="str">
        <x:f>TEXT(A2871,"mmm yyyy")</x:f>
        <x:v>Jul 2026</x:v>
      </x:c>
    </x:row>
    <x:row r="2872" ht="21" customHeight="1">
      <x:c r="A2872" s="10" t="n">
        <x:v>46208</x:v>
      </x:c>
      <x:c r="B2872" s="1" t="n">
        <x:v>8</x:v>
      </x:c>
      <x:c r="C2872" s="1" t="n">
        <x:v>6</x:v>
      </x:c>
      <x:c r="D2872" s="12" t="n">
        <x:v>0.9663333333333334</x:v>
      </x:c>
      <x:c r="E2872" s="12" t="n">
        <x:v>0.9773333333333333</x:v>
      </x:c>
      <x:c r="F2872" s="12" t="n">
        <x:v>0</x:v>
      </x:c>
      <x:c r="G2872" s="12" t="n">
        <x:v>0</x:v>
      </x:c>
      <x:c r="H2872" s="1" t="n">
        <x:f>'Historical prices'!E2872</x:f>
        <x:v>1.05</x:v>
      </x:c>
      <x:c r="I2872" s="6" t="n">
        <x:f>'Historical prices'!D2872</x:f>
        <x:v>0.1142</x:v>
      </x:c>
      <x:c r="J2872" s="13" t="n">
        <x:f>D2872*I2872*H2872</x:f>
        <x:v>0.11587303000000002</x:v>
      </x:c>
      <x:c r="K2872" s="13" t="n">
        <x:f>E2872*I2872*H2872</x:f>
        <x:v>0.11719204</x:v>
      </x:c>
      <x:c r="L2872" s="1" t="str">
        <x:f>TEXT(A2872,"mmm yyyy")</x:f>
        <x:v>Jul 2026</x:v>
      </x:c>
    </x:row>
    <x:row r="2873" ht="21" customHeight="1">
      <x:c r="A2873" s="10" t="n">
        <x:v>46208</x:v>
      </x:c>
      <x:c r="B2873" s="1" t="n">
        <x:v>8.5</x:v>
      </x:c>
      <x:c r="C2873" s="1" t="n">
        <x:v>6</x:v>
      </x:c>
      <x:c r="D2873" s="12" t="n">
        <x:v>0.07291666666666667</x:v>
      </x:c>
      <x:c r="E2873" s="12" t="n">
        <x:v>0.5066666666666667</x:v>
      </x:c>
      <x:c r="F2873" s="12" t="n">
        <x:v>0.43166666666666664</x:v>
      </x:c>
      <x:c r="G2873" s="12" t="n">
        <x:v>0</x:v>
      </x:c>
      <x:c r="H2873" s="1" t="n">
        <x:f>'Historical prices'!E2873</x:f>
        <x:v>1.05</x:v>
      </x:c>
      <x:c r="I2873" s="6" t="n">
        <x:f>'Historical prices'!D2873</x:f>
        <x:v>0.134</x:v>
      </x:c>
      <x:c r="J2873" s="13" t="n">
        <x:f>D2873*I2873*H2873</x:f>
        <x:v>0.010259375000000001</x:v>
      </x:c>
      <x:c r="K2873" s="13" t="n">
        <x:f>E2873*I2873*H2873</x:f>
        <x:v>0.07128800000000002</x:v>
      </x:c>
      <x:c r="L2873" s="1" t="str">
        <x:f>TEXT(A2873,"mmm yyyy")</x:f>
        <x:v>Jul 2026</x:v>
      </x:c>
    </x:row>
    <x:row r="2874" ht="21" customHeight="1">
      <x:c r="A2874" s="10" t="n">
        <x:v>46208</x:v>
      </x:c>
      <x:c r="B2874" s="1" t="n">
        <x:v>9</x:v>
      </x:c>
      <x:c r="C2874" s="1" t="n">
        <x:v>6</x:v>
      </x:c>
      <x:c r="D2874" s="12" t="n">
        <x:v>0</x:v>
      </x:c>
      <x:c r="E2874" s="12" t="n">
        <x:v>0.46958333333333335</x:v>
      </x:c>
      <x:c r="F2874" s="12" t="n">
        <x:v>0.46958333333333335</x:v>
      </x:c>
      <x:c r="G2874" s="12" t="n">
        <x:v>0</x:v>
      </x:c>
      <x:c r="H2874" s="1" t="n">
        <x:f>'Historical prices'!E2874</x:f>
        <x:v>1.05</x:v>
      </x:c>
      <x:c r="I2874" s="6" t="n">
        <x:f>'Historical prices'!D2874</x:f>
        <x:v>0.1407</x:v>
      </x:c>
      <x:c r="J2874" s="13" t="n">
        <x:f>D2874*I2874*H2874</x:f>
        <x:v>0</x:v>
      </x:c>
      <x:c r="K2874" s="13" t="n">
        <x:f>E2874*I2874*H2874</x:f>
        <x:v>0.06937389375</x:v>
      </x:c>
      <x:c r="L2874" s="1" t="str">
        <x:f>TEXT(A2874,"mmm yyyy")</x:f>
        <x:v>Jul 2026</x:v>
      </x:c>
    </x:row>
    <x:row r="2875" ht="21" customHeight="1">
      <x:c r="A2875" s="10" t="n">
        <x:v>46208</x:v>
      </x:c>
      <x:c r="B2875" s="1" t="n">
        <x:v>9.5</x:v>
      </x:c>
      <x:c r="C2875" s="1" t="n">
        <x:v>6</x:v>
      </x:c>
      <x:c r="D2875" s="12" t="n">
        <x:v>0</x:v>
      </x:c>
      <x:c r="E2875" s="12" t="n">
        <x:v>1.0209166666666667</x:v>
      </x:c>
      <x:c r="F2875" s="12" t="n">
        <x:v>1.0208333333333333</x:v>
      </x:c>
      <x:c r="G2875" s="12" t="n">
        <x:v>0</x:v>
      </x:c>
      <x:c r="H2875" s="1" t="n">
        <x:f>'Historical prices'!E2875</x:f>
        <x:v>1.05</x:v>
      </x:c>
      <x:c r="I2875" s="6" t="n">
        <x:f>'Historical prices'!D2875</x:f>
        <x:v>0.1422</x:v>
      </x:c>
      <x:c r="J2875" s="13" t="n">
        <x:f>D2875*I2875*H2875</x:f>
        <x:v>0</x:v>
      </x:c>
      <x:c r="K2875" s="13" t="n">
        <x:f>E2875*I2875*H2875</x:f>
        <x:v>0.15243306750000002</x:v>
      </x:c>
      <x:c r="L2875" s="1" t="str">
        <x:f>TEXT(A2875,"mmm yyyy")</x:f>
        <x:v>Jul 2026</x:v>
      </x:c>
    </x:row>
    <x:row r="2876" ht="21" customHeight="1">
      <x:c r="A2876" s="10" t="n">
        <x:v>46208</x:v>
      </x:c>
      <x:c r="B2876" s="1" t="n">
        <x:v>10</x:v>
      </x:c>
      <x:c r="C2876" s="1" t="n">
        <x:v>6</x:v>
      </x:c>
      <x:c r="D2876" s="12" t="n">
        <x:v>0</x:v>
      </x:c>
      <x:c r="E2876" s="12" t="n">
        <x:v>0.5298333333333333</x:v>
      </x:c>
      <x:c r="F2876" s="12" t="n">
        <x:v>0.5297499999999999</x:v>
      </x:c>
      <x:c r="G2876" s="12" t="n">
        <x:v>0</x:v>
      </x:c>
      <x:c r="H2876" s="1" t="n">
        <x:f>'Historical prices'!E2876</x:f>
        <x:v>1.05</x:v>
      </x:c>
      <x:c r="I2876" s="6" t="n">
        <x:f>'Historical prices'!D2876</x:f>
        <x:v>0.1451</x:v>
      </x:c>
      <x:c r="J2876" s="13" t="n">
        <x:f>D2876*I2876*H2876</x:f>
        <x:v>0</x:v>
      </x:c>
      <x:c r="K2876" s="13" t="n">
        <x:f>E2876*I2876*H2876</x:f>
        <x:v>0.08072275749999999</x:v>
      </x:c>
      <x:c r="L2876" s="1" t="str">
        <x:f>TEXT(A2876,"mmm yyyy")</x:f>
        <x:v>Jul 2026</x:v>
      </x:c>
    </x:row>
    <x:row r="2877" ht="21" customHeight="1">
      <x:c r="A2877" s="10" t="n">
        <x:v>46208</x:v>
      </x:c>
      <x:c r="B2877" s="1" t="n">
        <x:v>10.5</x:v>
      </x:c>
      <x:c r="C2877" s="1" t="n">
        <x:v>6</x:v>
      </x:c>
      <x:c r="D2877" s="12" t="n">
        <x:v>0</x:v>
      </x:c>
      <x:c r="E2877" s="12" t="n">
        <x:v>0.511</x:v>
      </x:c>
      <x:c r="F2877" s="12" t="n">
        <x:v>0.5106666666666666</x:v>
      </x:c>
      <x:c r="G2877" s="12" t="n">
        <x:v>0</x:v>
      </x:c>
      <x:c r="H2877" s="1" t="n">
        <x:f>'Historical prices'!E2877</x:f>
        <x:v>1.05</x:v>
      </x:c>
      <x:c r="I2877" s="6" t="n">
        <x:f>'Historical prices'!D2877</x:f>
        <x:v>0.1457</x:v>
      </x:c>
      <x:c r="J2877" s="13" t="n">
        <x:f>D2877*I2877*H2877</x:f>
        <x:v>0</x:v>
      </x:c>
      <x:c r="K2877" s="13" t="n">
        <x:f>E2877*I2877*H2877</x:f>
        <x:v>0.078175335</x:v>
      </x:c>
      <x:c r="L2877" s="1" t="str">
        <x:f>TEXT(A2877,"mmm yyyy")</x:f>
        <x:v>Jul 2026</x:v>
      </x:c>
    </x:row>
    <x:row r="2878" ht="21" customHeight="1">
      <x:c r="A2878" s="10" t="n">
        <x:v>46208</x:v>
      </x:c>
      <x:c r="B2878" s="1" t="n">
        <x:v>11</x:v>
      </x:c>
      <x:c r="C2878" s="1" t="n">
        <x:v>6</x:v>
      </x:c>
      <x:c r="D2878" s="12" t="n">
        <x:v>0</x:v>
      </x:c>
      <x:c r="E2878" s="12" t="n">
        <x:v>0.5548333333333333</x:v>
      </x:c>
      <x:c r="F2878" s="12" t="n">
        <x:v>0.5546666666666666</x:v>
      </x:c>
      <x:c r="G2878" s="12" t="n">
        <x:v>0</x:v>
      </x:c>
      <x:c r="H2878" s="1" t="n">
        <x:f>'Historical prices'!E2878</x:f>
        <x:v>1.05</x:v>
      </x:c>
      <x:c r="I2878" s="6" t="n">
        <x:f>'Historical prices'!D2878</x:f>
        <x:v>0.14550000000000002</x:v>
      </x:c>
      <x:c r="J2878" s="13" t="n">
        <x:f>D2878*I2878*H2878</x:f>
        <x:v>0</x:v>
      </x:c>
      <x:c r="K2878" s="13" t="n">
        <x:f>E2878*I2878*H2878</x:f>
        <x:v>0.0847646625</x:v>
      </x:c>
      <x:c r="L2878" s="1" t="str">
        <x:f>TEXT(A2878,"mmm yyyy")</x:f>
        <x:v>Jul 2026</x:v>
      </x:c>
    </x:row>
    <x:row r="2879" ht="21" customHeight="1">
      <x:c r="A2879" s="10" t="n">
        <x:v>46208</x:v>
      </x:c>
      <x:c r="B2879" s="1" t="n">
        <x:v>11.5</x:v>
      </x:c>
      <x:c r="C2879" s="1" t="n">
        <x:v>6</x:v>
      </x:c>
      <x:c r="D2879" s="12" t="n">
        <x:v>0</x:v>
      </x:c>
      <x:c r="E2879" s="12" t="n">
        <x:v>0.4268333333333334</x:v>
      </x:c>
      <x:c r="F2879" s="12" t="n">
        <x:v>0.4266666666666667</x:v>
      </x:c>
      <x:c r="G2879" s="12" t="n">
        <x:v>0</x:v>
      </x:c>
      <x:c r="H2879" s="1" t="n">
        <x:f>'Historical prices'!E2879</x:f>
        <x:v>1.05</x:v>
      </x:c>
      <x:c r="I2879" s="6" t="n">
        <x:f>'Historical prices'!D2879</x:f>
        <x:v>0.1335</x:v>
      </x:c>
      <x:c r="J2879" s="13" t="n">
        <x:f>D2879*I2879*H2879</x:f>
        <x:v>0</x:v>
      </x:c>
      <x:c r="K2879" s="13" t="n">
        <x:f>E2879*I2879*H2879</x:f>
        <x:v>0.05983136250000001</x:v>
      </x:c>
      <x:c r="L2879" s="1" t="str">
        <x:f>TEXT(A2879,"mmm yyyy")</x:f>
        <x:v>Jul 2026</x:v>
      </x:c>
    </x:row>
    <x:row r="2880" ht="21" customHeight="1">
      <x:c r="A2880" s="10" t="n">
        <x:v>46208</x:v>
      </x:c>
      <x:c r="B2880" s="1" t="n">
        <x:v>12</x:v>
      </x:c>
      <x:c r="C2880" s="1" t="n">
        <x:v>6</x:v>
      </x:c>
      <x:c r="D2880" s="12" t="n">
        <x:v>0</x:v>
      </x:c>
      <x:c r="E2880" s="12" t="n">
        <x:v>0.43466666666666665</x:v>
      </x:c>
      <x:c r="F2880" s="12" t="n">
        <x:v>0.4345</x:v>
      </x:c>
      <x:c r="G2880" s="12" t="n">
        <x:v>0</x:v>
      </x:c>
      <x:c r="H2880" s="1" t="n">
        <x:f>'Historical prices'!E2880</x:f>
        <x:v>1.05</x:v>
      </x:c>
      <x:c r="I2880" s="6" t="n">
        <x:f>'Historical prices'!D2880</x:f>
        <x:v>0.12619999999999998</x:v>
      </x:c>
      <x:c r="J2880" s="13" t="n">
        <x:f>D2880*I2880*H2880</x:f>
        <x:v>0</x:v>
      </x:c>
      <x:c r="K2880" s="13" t="n">
        <x:f>E2880*I2880*H2880</x:f>
        <x:v>0.05759767999999999</x:v>
      </x:c>
      <x:c r="L2880" s="1" t="str">
        <x:f>TEXT(A2880,"mmm yyyy")</x:f>
        <x:v>Jul 2026</x:v>
      </x:c>
    </x:row>
    <x:row r="2881" ht="21" customHeight="1">
      <x:c r="A2881" s="10" t="n">
        <x:v>46208</x:v>
      </x:c>
      <x:c r="B2881" s="1" t="n">
        <x:v>12.5</x:v>
      </x:c>
      <x:c r="C2881" s="1" t="n">
        <x:v>6</x:v>
      </x:c>
      <x:c r="D2881" s="12" t="n">
        <x:v>0.37633333333333335</x:v>
      </x:c>
      <x:c r="E2881" s="12" t="n">
        <x:v>0.47724999999999995</x:v>
      </x:c>
      <x:c r="F2881" s="12" t="n">
        <x:v>0.09091666666666667</x:v>
      </x:c>
      <x:c r="G2881" s="12" t="n">
        <x:v>0</x:v>
      </x:c>
      <x:c r="H2881" s="1" t="n">
        <x:f>'Historical prices'!E2881</x:f>
        <x:v>1.05</x:v>
      </x:c>
      <x:c r="I2881" s="6" t="n">
        <x:f>'Historical prices'!D2881</x:f>
        <x:v>0.1085</x:v>
      </x:c>
      <x:c r="J2881" s="13" t="n">
        <x:f>D2881*I2881*H2881</x:f>
        <x:v>0.042873775</x:v>
      </x:c>
      <x:c r="K2881" s="13" t="n">
        <x:f>E2881*I2881*H2881</x:f>
        <x:v>0.05437070625</x:v>
      </x:c>
      <x:c r="L2881" s="1" t="str">
        <x:f>TEXT(A2881,"mmm yyyy")</x:f>
        <x:v>Jul 2026</x:v>
      </x:c>
    </x:row>
    <x:row r="2882" ht="21" customHeight="1">
      <x:c r="A2882" s="10" t="n">
        <x:v>46208</x:v>
      </x:c>
      <x:c r="B2882" s="1" t="n">
        <x:v>13</x:v>
      </x:c>
      <x:c r="C2882" s="1" t="n">
        <x:v>6</x:v>
      </x:c>
      <x:c r="D2882" s="12" t="n">
        <x:v>0.4629166666666667</x:v>
      </x:c>
      <x:c r="E2882" s="12" t="n">
        <x:v>0.4739166666666667</x:v>
      </x:c>
      <x:c r="F2882" s="12" t="n">
        <x:v>0</x:v>
      </x:c>
      <x:c r="G2882" s="12" t="n">
        <x:v>0</x:v>
      </x:c>
      <x:c r="H2882" s="1" t="n">
        <x:f>'Historical prices'!E2882</x:f>
        <x:v>1.05</x:v>
      </x:c>
      <x:c r="I2882" s="6" t="n">
        <x:f>'Historical prices'!D2882</x:f>
        <x:v>0.09759999999999999</x:v>
      </x:c>
      <x:c r="J2882" s="13" t="n">
        <x:f>D2882*I2882*H2882</x:f>
        <x:v>0.0474397</x:v>
      </x:c>
      <x:c r="K2882" s="13" t="n">
        <x:f>E2882*I2882*H2882</x:f>
        <x:v>0.04856698</x:v>
      </x:c>
      <x:c r="L2882" s="1" t="str">
        <x:f>TEXT(A2882,"mmm yyyy")</x:f>
        <x:v>Jul 2026</x:v>
      </x:c>
    </x:row>
    <x:row r="2883" ht="21" customHeight="1">
      <x:c r="A2883" s="10" t="n">
        <x:v>46208</x:v>
      </x:c>
      <x:c r="B2883" s="1" t="n">
        <x:v>13.5</x:v>
      </x:c>
      <x:c r="C2883" s="1" t="n">
        <x:v>6</x:v>
      </x:c>
      <x:c r="D2883" s="12" t="n">
        <x:v>0.44941666666666663</x:v>
      </x:c>
      <x:c r="E2883" s="12" t="n">
        <x:v>0.44741666666666663</x:v>
      </x:c>
      <x:c r="F2883" s="12" t="n">
        <x:v>0</x:v>
      </x:c>
      <x:c r="G2883" s="12" t="n">
        <x:v>0</x:v>
      </x:c>
      <x:c r="H2883" s="1" t="n">
        <x:f>'Historical prices'!E2883</x:f>
        <x:v>1.05</x:v>
      </x:c>
      <x:c r="I2883" s="6" t="n">
        <x:f>'Historical prices'!D2883</x:f>
        <x:v>0.09029999999999999</x:v>
      </x:c>
      <x:c r="J2883" s="13" t="n">
        <x:f>D2883*I2883*H2883</x:f>
        <x:v>0.04261144125</x:v>
      </x:c>
      <x:c r="K2883" s="13" t="n">
        <x:f>E2883*I2883*H2883</x:f>
        <x:v>0.04242181125</x:v>
      </x:c>
      <x:c r="L2883" s="1" t="str">
        <x:f>TEXT(A2883,"mmm yyyy")</x:f>
        <x:v>Jul 2026</x:v>
      </x:c>
    </x:row>
    <x:row r="2884" ht="21" customHeight="1">
      <x:c r="A2884" s="10" t="n">
        <x:v>46208</x:v>
      </x:c>
      <x:c r="B2884" s="1" t="n">
        <x:v>14</x:v>
      </x:c>
      <x:c r="C2884" s="1" t="n">
        <x:v>6</x:v>
      </x:c>
      <x:c r="D2884" s="12" t="n">
        <x:v>0.4096666666666667</x:v>
      </x:c>
      <x:c r="E2884" s="12" t="n">
        <x:v>0.4206666666666667</x:v>
      </x:c>
      <x:c r="F2884" s="12" t="n">
        <x:v>0</x:v>
      </x:c>
      <x:c r="G2884" s="12" t="n">
        <x:v>0</x:v>
      </x:c>
      <x:c r="H2884" s="1" t="n">
        <x:f>'Historical prices'!E2884</x:f>
        <x:v>1.05</x:v>
      </x:c>
      <x:c r="I2884" s="6" t="n">
        <x:f>'Historical prices'!D2884</x:f>
        <x:v>0.0947</x:v>
      </x:c>
      <x:c r="J2884" s="13" t="n">
        <x:f>D2884*I2884*H2884</x:f>
        <x:v>0.040735205000000003</x:v>
      </x:c>
      <x:c r="K2884" s="13" t="n">
        <x:f>E2884*I2884*H2884</x:f>
        <x:v>0.04182899</x:v>
      </x:c>
      <x:c r="L2884" s="1" t="str">
        <x:f>TEXT(A2884,"mmm yyyy")</x:f>
        <x:v>Jul 2026</x:v>
      </x:c>
    </x:row>
    <x:row r="2885" ht="21" customHeight="1">
      <x:c r="A2885" s="10" t="n">
        <x:v>46208</x:v>
      </x:c>
      <x:c r="B2885" s="1" t="n">
        <x:v>14.5</x:v>
      </x:c>
      <x:c r="C2885" s="1" t="n">
        <x:v>6</x:v>
      </x:c>
      <x:c r="D2885" s="12" t="n">
        <x:v>0.458</x:v>
      </x:c>
      <x:c r="E2885" s="12" t="n">
        <x:v>0.46900000000000003</x:v>
      </x:c>
      <x:c r="F2885" s="12" t="n">
        <x:v>0</x:v>
      </x:c>
      <x:c r="G2885" s="12" t="n">
        <x:v>0</x:v>
      </x:c>
      <x:c r="H2885" s="1" t="n">
        <x:f>'Historical prices'!E2885</x:f>
        <x:v>1.05</x:v>
      </x:c>
      <x:c r="I2885" s="6" t="n">
        <x:f>'Historical prices'!D2885</x:f>
        <x:v>0.09050000000000001</x:v>
      </x:c>
      <x:c r="J2885" s="13" t="n">
        <x:f>D2885*I2885*H2885</x:f>
        <x:v>0.04352145000000001</x:v>
      </x:c>
      <x:c r="K2885" s="13" t="n">
        <x:f>E2885*I2885*H2885</x:f>
        <x:v>0.044566725000000015</x:v>
      </x:c>
      <x:c r="L2885" s="1" t="str">
        <x:f>TEXT(A2885,"mmm yyyy")</x:f>
        <x:v>Jul 2026</x:v>
      </x:c>
    </x:row>
    <x:row r="2886" ht="21" customHeight="1">
      <x:c r="A2886" s="10" t="n">
        <x:v>46208</x:v>
      </x:c>
      <x:c r="B2886" s="1" t="n">
        <x:v>15</x:v>
      </x:c>
      <x:c r="C2886" s="1" t="n">
        <x:v>6</x:v>
      </x:c>
      <x:c r="D2886" s="12" t="n">
        <x:v>0.5021666666666665</x:v>
      </x:c>
      <x:c r="E2886" s="12" t="n">
        <x:v>0.5121666666666665</x:v>
      </x:c>
      <x:c r="F2886" s="12" t="n">
        <x:v>0</x:v>
      </x:c>
      <x:c r="G2886" s="12" t="n">
        <x:v>0</x:v>
      </x:c>
      <x:c r="H2886" s="1" t="n">
        <x:f>'Historical prices'!E2886</x:f>
        <x:v>1.05</x:v>
      </x:c>
      <x:c r="I2886" s="6" t="n">
        <x:f>'Historical prices'!D2886</x:f>
        <x:v>0.09359999999999999</x:v>
      </x:c>
      <x:c r="J2886" s="13" t="n">
        <x:f>D2886*I2886*H2886</x:f>
        <x:v>0.049352939999999984</x:v>
      </x:c>
      <x:c r="K2886" s="13" t="n">
        <x:f>E2886*I2886*H2886</x:f>
        <x:v>0.05033573999999998</x:v>
      </x:c>
      <x:c r="L2886" s="1" t="str">
        <x:f>TEXT(A2886,"mmm yyyy")</x:f>
        <x:v>Jul 2026</x:v>
      </x:c>
    </x:row>
    <x:row r="2887" ht="21" customHeight="1">
      <x:c r="A2887" s="10" t="n">
        <x:v>46208</x:v>
      </x:c>
      <x:c r="B2887" s="1" t="n">
        <x:v>15.5</x:v>
      </x:c>
      <x:c r="C2887" s="1" t="n">
        <x:v>6</x:v>
      </x:c>
      <x:c r="D2887" s="12" t="n">
        <x:v>0.50225</x:v>
      </x:c>
      <x:c r="E2887" s="12" t="n">
        <x:v>0.51325</x:v>
      </x:c>
      <x:c r="F2887" s="12" t="n">
        <x:v>0</x:v>
      </x:c>
      <x:c r="G2887" s="12" t="n">
        <x:v>0</x:v>
      </x:c>
      <x:c r="H2887" s="1" t="n">
        <x:f>'Historical prices'!E2887</x:f>
        <x:v>1.05</x:v>
      </x:c>
      <x:c r="I2887" s="6" t="n">
        <x:f>'Historical prices'!D2887</x:f>
        <x:v>0.1018</x:v>
      </x:c>
      <x:c r="J2887" s="13" t="n">
        <x:f>D2887*I2887*H2887</x:f>
        <x:v>0.053685502499999996</x:v>
      </x:c>
      <x:c r="K2887" s="13" t="n">
        <x:f>E2887*I2887*H2887</x:f>
        <x:v>0.0548612925</x:v>
      </x:c>
      <x:c r="L2887" s="1" t="str">
        <x:f>TEXT(A2887,"mmm yyyy")</x:f>
        <x:v>Jul 2026</x:v>
      </x:c>
    </x:row>
    <x:row r="2888" ht="21" customHeight="1">
      <x:c r="A2888" s="10" t="n">
        <x:v>46208</x:v>
      </x:c>
      <x:c r="B2888" s="1" t="n">
        <x:v>16</x:v>
      </x:c>
      <x:c r="C2888" s="1" t="n">
        <x:v>6</x:v>
      </x:c>
      <x:c r="D2888" s="12" t="n">
        <x:v>0.0815</x:v>
      </x:c>
      <x:c r="E2888" s="12" t="n">
        <x:v>0.54175</x:v>
      </x:c>
      <x:c r="F2888" s="12" t="n">
        <x:v>0.4579166666666667</x:v>
      </x:c>
      <x:c r="G2888" s="12" t="n">
        <x:v>0</x:v>
      </x:c>
      <x:c r="H2888" s="1" t="n">
        <x:f>'Historical prices'!E2888</x:f>
        <x:v>1.05</x:v>
      </x:c>
      <x:c r="I2888" s="6" t="n">
        <x:f>'Historical prices'!D2888</x:f>
        <x:v>0.2281</x:v>
      </x:c>
      <x:c r="J2888" s="13" t="n">
        <x:f>D2888*I2888*H2888</x:f>
        <x:v>0.0195196575</x:v>
      </x:c>
      <x:c r="K2888" s="13" t="n">
        <x:f>E2888*I2888*H2888</x:f>
        <x:v>0.12975183375</x:v>
      </x:c>
      <x:c r="L2888" s="1" t="str">
        <x:f>TEXT(A2888,"mmm yyyy")</x:f>
        <x:v>Jul 2026</x:v>
      </x:c>
    </x:row>
    <x:row r="2889" ht="21" customHeight="1">
      <x:c r="A2889" s="10" t="n">
        <x:v>46208</x:v>
      </x:c>
      <x:c r="B2889" s="1" t="n">
        <x:v>16.5</x:v>
      </x:c>
      <x:c r="C2889" s="1" t="n">
        <x:v>6</x:v>
      </x:c>
      <x:c r="D2889" s="12" t="n">
        <x:v>0.011583333333333333</x:v>
      </x:c>
      <x:c r="E2889" s="12" t="n">
        <x:v>0.5635833333333332</x:v>
      </x:c>
      <x:c r="F2889" s="12" t="n">
        <x:v>0.5519166666666666</x:v>
      </x:c>
      <x:c r="G2889" s="12" t="n">
        <x:v>0</x:v>
      </x:c>
      <x:c r="H2889" s="1" t="n">
        <x:f>'Historical prices'!E2889</x:f>
        <x:v>1.05</x:v>
      </x:c>
      <x:c r="I2889" s="6" t="n">
        <x:f>'Historical prices'!D2889</x:f>
        <x:v>0.2373</x:v>
      </x:c>
      <x:c r="J2889" s="13" t="n">
        <x:f>D2889*I2889*H2889</x:f>
        <x:v>0.0028861612500000002</x:v>
      </x:c>
      <x:c r="K2889" s="13" t="n">
        <x:f>E2889*I2889*H2889</x:f>
        <x:v>0.14042524125</x:v>
      </x:c>
      <x:c r="L2889" s="1" t="str">
        <x:f>TEXT(A2889,"mmm yyyy")</x:f>
        <x:v>Jul 2026</x:v>
      </x:c>
    </x:row>
    <x:row r="2890" ht="21" customHeight="1">
      <x:c r="A2890" s="10" t="n">
        <x:v>46208</x:v>
      </x:c>
      <x:c r="B2890" s="1" t="n">
        <x:v>17</x:v>
      </x:c>
      <x:c r="C2890" s="1" t="n">
        <x:v>6</x:v>
      </x:c>
      <x:c r="D2890" s="12" t="n">
        <x:v>0</x:v>
      </x:c>
      <x:c r="E2890" s="12" t="n">
        <x:v>0.5395833333333333</x:v>
      </x:c>
      <x:c r="F2890" s="12" t="n">
        <x:v>0.5358333333333333</x:v>
      </x:c>
      <x:c r="G2890" s="12" t="n">
        <x:v>0</x:v>
      </x:c>
      <x:c r="H2890" s="1" t="n">
        <x:f>'Historical prices'!E2890</x:f>
        <x:v>1.05</x:v>
      </x:c>
      <x:c r="I2890" s="6" t="n">
        <x:f>'Historical prices'!D2890</x:f>
        <x:v>0.2807</x:v>
      </x:c>
      <x:c r="J2890" s="13" t="n">
        <x:f>D2890*I2890*H2890</x:f>
        <x:v>0</x:v>
      </x:c>
      <x:c r="K2890" s="13" t="n">
        <x:f>E2890*I2890*H2890</x:f>
        <x:v>0.15903409375</x:v>
      </x:c>
      <x:c r="L2890" s="1" t="str">
        <x:f>TEXT(A2890,"mmm yyyy")</x:f>
        <x:v>Jul 2026</x:v>
      </x:c>
    </x:row>
    <x:row r="2891" ht="21" customHeight="1">
      <x:c r="A2891" s="10" t="n">
        <x:v>46208</x:v>
      </x:c>
      <x:c r="B2891" s="1" t="n">
        <x:v>17.5</x:v>
      </x:c>
      <x:c r="C2891" s="1" t="n">
        <x:v>6</x:v>
      </x:c>
      <x:c r="D2891" s="12" t="n">
        <x:v>0</x:v>
      </x:c>
      <x:c r="E2891" s="12" t="n">
        <x:v>0.54275</x:v>
      </x:c>
      <x:c r="F2891" s="12" t="n">
        <x:v>0.5425833333333333</x:v>
      </x:c>
      <x:c r="G2891" s="12" t="n">
        <x:v>0</x:v>
      </x:c>
      <x:c r="H2891" s="1" t="n">
        <x:f>'Historical prices'!E2891</x:f>
        <x:v>1.05</x:v>
      </x:c>
      <x:c r="I2891" s="6" t="n">
        <x:f>'Historical prices'!D2891</x:f>
        <x:v>0.2966</x:v>
      </x:c>
      <x:c r="J2891" s="13" t="n">
        <x:f>D2891*I2891*H2891</x:f>
        <x:v>0</x:v>
      </x:c>
      <x:c r="K2891" s="13" t="n">
        <x:f>E2891*I2891*H2891</x:f>
        <x:v>0.16902863249999997</x:v>
      </x:c>
      <x:c r="L2891" s="1" t="str">
        <x:f>TEXT(A2891,"mmm yyyy")</x:f>
        <x:v>Jul 2026</x:v>
      </x:c>
    </x:row>
    <x:row r="2892" ht="21" customHeight="1">
      <x:c r="A2892" s="10" t="n">
        <x:v>46208</x:v>
      </x:c>
      <x:c r="B2892" s="1" t="n">
        <x:v>18</x:v>
      </x:c>
      <x:c r="C2892" s="1" t="n">
        <x:v>6</x:v>
      </x:c>
      <x:c r="D2892" s="12" t="n">
        <x:v>0</x:v>
      </x:c>
      <x:c r="E2892" s="12" t="n">
        <x:v>0.5358333333333333</x:v>
      </x:c>
      <x:c r="F2892" s="12" t="n">
        <x:v>0.5358333333333333</x:v>
      </x:c>
      <x:c r="G2892" s="12" t="n">
        <x:v>0</x:v>
      </x:c>
      <x:c r="H2892" s="1" t="n">
        <x:f>'Historical prices'!E2892</x:f>
        <x:v>1.05</x:v>
      </x:c>
      <x:c r="I2892" s="6" t="n">
        <x:f>'Historical prices'!D2892</x:f>
        <x:v>0.32770000000000005</x:v>
      </x:c>
      <x:c r="J2892" s="13" t="n">
        <x:f>D2892*I2892*H2892</x:f>
        <x:v>0</x:v>
      </x:c>
      <x:c r="K2892" s="13" t="n">
        <x:f>E2892*I2892*H2892</x:f>
        <x:v>0.1843722125</x:v>
      </x:c>
      <x:c r="L2892" s="1" t="str">
        <x:f>TEXT(A2892,"mmm yyyy")</x:f>
        <x:v>Jul 2026</x:v>
      </x:c>
    </x:row>
    <x:row r="2893" ht="21" customHeight="1">
      <x:c r="A2893" s="10" t="n">
        <x:v>46208</x:v>
      </x:c>
      <x:c r="B2893" s="1" t="n">
        <x:v>18.5</x:v>
      </x:c>
      <x:c r="C2893" s="1" t="n">
        <x:v>6</x:v>
      </x:c>
      <x:c r="D2893" s="12" t="n">
        <x:v>0</x:v>
      </x:c>
      <x:c r="E2893" s="12" t="n">
        <x:v>0.7698333333333334</x:v>
      </x:c>
      <x:c r="F2893" s="12" t="n">
        <x:v>0.76975</x:v>
      </x:c>
      <x:c r="G2893" s="12" t="n">
        <x:v>0</x:v>
      </x:c>
      <x:c r="H2893" s="1" t="n">
        <x:f>'Historical prices'!E2893</x:f>
        <x:v>1.05</x:v>
      </x:c>
      <x:c r="I2893" s="6" t="n">
        <x:f>'Historical prices'!D2893</x:f>
        <x:v>0.3257</x:v>
      </x:c>
      <x:c r="J2893" s="13" t="n">
        <x:f>D2893*I2893*H2893</x:f>
        <x:v>0</x:v>
      </x:c>
      <x:c r="K2893" s="13" t="n">
        <x:f>E2893*I2893*H2893</x:f>
        <x:v>0.26327145250000006</x:v>
      </x:c>
      <x:c r="L2893" s="1" t="str">
        <x:f>TEXT(A2893,"mmm yyyy")</x:f>
        <x:v>Jul 2026</x:v>
      </x:c>
    </x:row>
    <x:row r="2894" ht="21" customHeight="1">
      <x:c r="A2894" s="10" t="n">
        <x:v>46208</x:v>
      </x:c>
      <x:c r="B2894" s="1" t="n">
        <x:v>19</x:v>
      </x:c>
      <x:c r="C2894" s="1" t="n">
        <x:v>6</x:v>
      </x:c>
      <x:c r="D2894" s="12" t="n">
        <x:v>0</x:v>
      </x:c>
      <x:c r="E2894" s="12" t="n">
        <x:v>0.5186666666666666</x:v>
      </x:c>
      <x:c r="F2894" s="12" t="n">
        <x:v>0.5186666666666666</x:v>
      </x:c>
      <x:c r="G2894" s="12" t="n">
        <x:v>0</x:v>
      </x:c>
      <x:c r="H2894" s="1" t="n">
        <x:f>'Historical prices'!E2894</x:f>
        <x:v>1.05</x:v>
      </x:c>
      <x:c r="I2894" s="6" t="n">
        <x:f>'Historical prices'!D2894</x:f>
        <x:v>0.2257</x:v>
      </x:c>
      <x:c r="J2894" s="13" t="n">
        <x:f>D2894*I2894*H2894</x:f>
        <x:v>0</x:v>
      </x:c>
      <x:c r="K2894" s="13" t="n">
        <x:f>E2894*I2894*H2894</x:f>
        <x:v>0.12291621999999999</x:v>
      </x:c>
      <x:c r="L2894" s="1" t="str">
        <x:f>TEXT(A2894,"mmm yyyy")</x:f>
        <x:v>Jul 2026</x:v>
      </x:c>
    </x:row>
    <x:row r="2895" ht="21" customHeight="1">
      <x:c r="A2895" s="10" t="n">
        <x:v>46208</x:v>
      </x:c>
      <x:c r="B2895" s="1" t="n">
        <x:v>19.5</x:v>
      </x:c>
      <x:c r="C2895" s="1" t="n">
        <x:v>6</x:v>
      </x:c>
      <x:c r="D2895" s="12" t="n">
        <x:v>0</x:v>
      </x:c>
      <x:c r="E2895" s="12" t="n">
        <x:v>0.8188333333333333</x:v>
      </x:c>
      <x:c r="F2895" s="12" t="n">
        <x:v>0.8185</x:v>
      </x:c>
      <x:c r="G2895" s="12" t="n">
        <x:v>0</x:v>
      </x:c>
      <x:c r="H2895" s="1" t="n">
        <x:f>'Historical prices'!E2895</x:f>
        <x:v>1.05</x:v>
      </x:c>
      <x:c r="I2895" s="6" t="n">
        <x:f>'Historical prices'!D2895</x:f>
        <x:v>0.2291</x:v>
      </x:c>
      <x:c r="J2895" s="13" t="n">
        <x:f>D2895*I2895*H2895</x:f>
        <x:v>0</x:v>
      </x:c>
      <x:c r="K2895" s="13" t="n">
        <x:f>E2895*I2895*H2895</x:f>
        <x:v>0.1969744525</x:v>
      </x:c>
      <x:c r="L2895" s="1" t="str">
        <x:f>TEXT(A2895,"mmm yyyy")</x:f>
        <x:v>Jul 2026</x:v>
      </x:c>
    </x:row>
    <x:row r="2896" ht="21" customHeight="1">
      <x:c r="A2896" s="10" t="n">
        <x:v>46208</x:v>
      </x:c>
      <x:c r="B2896" s="1" t="n">
        <x:v>20</x:v>
      </x:c>
      <x:c r="C2896" s="1" t="n">
        <x:v>6</x:v>
      </x:c>
      <x:c r="D2896" s="12" t="n">
        <x:v>0</x:v>
      </x:c>
      <x:c r="E2896" s="12" t="n">
        <x:v>0.6368333333333334</x:v>
      </x:c>
      <x:c r="F2896" s="12" t="n">
        <x:v>0.6367499999999999</x:v>
      </x:c>
      <x:c r="G2896" s="12" t="n">
        <x:v>0</x:v>
      </x:c>
      <x:c r="H2896" s="1" t="n">
        <x:f>'Historical prices'!E2896</x:f>
        <x:v>1.05</x:v>
      </x:c>
      <x:c r="I2896" s="6" t="n">
        <x:f>'Historical prices'!D2896</x:f>
        <x:v>0.2279</x:v>
      </x:c>
      <x:c r="J2896" s="13" t="n">
        <x:f>D2896*I2896*H2896</x:f>
        <x:v>0</x:v>
      </x:c>
      <x:c r="K2896" s="13" t="n">
        <x:f>E2896*I2896*H2896</x:f>
        <x:v>0.15239103250000002</x:v>
      </x:c>
      <x:c r="L2896" s="1" t="str">
        <x:f>TEXT(A2896,"mmm yyyy")</x:f>
        <x:v>Jul 2026</x:v>
      </x:c>
    </x:row>
    <x:row r="2897" ht="21" customHeight="1">
      <x:c r="A2897" s="10" t="n">
        <x:v>46208</x:v>
      </x:c>
      <x:c r="B2897" s="1" t="n">
        <x:v>20.5</x:v>
      </x:c>
      <x:c r="C2897" s="1" t="n">
        <x:v>6</x:v>
      </x:c>
      <x:c r="D2897" s="12" t="n">
        <x:v>0</x:v>
      </x:c>
      <x:c r="E2897" s="12" t="n">
        <x:v>0.5616666666666666</x:v>
      </x:c>
      <x:c r="F2897" s="12" t="n">
        <x:v>0.5615833333333333</x:v>
      </x:c>
      <x:c r="G2897" s="12" t="n">
        <x:v>0</x:v>
      </x:c>
      <x:c r="H2897" s="1" t="n">
        <x:f>'Historical prices'!E2897</x:f>
        <x:v>1.05</x:v>
      </x:c>
      <x:c r="I2897" s="6" t="n">
        <x:f>'Historical prices'!D2897</x:f>
        <x:v>0.2237</x:v>
      </x:c>
      <x:c r="J2897" s="13" t="n">
        <x:f>D2897*I2897*H2897</x:f>
        <x:v>0</x:v>
      </x:c>
      <x:c r="K2897" s="13" t="n">
        <x:f>E2897*I2897*H2897</x:f>
        <x:v>0.131927075</x:v>
      </x:c>
      <x:c r="L2897" s="1" t="str">
        <x:f>TEXT(A2897,"mmm yyyy")</x:f>
        <x:v>Jul 2026</x:v>
      </x:c>
    </x:row>
    <x:row r="2898" ht="21" customHeight="1">
      <x:c r="A2898" s="10" t="n">
        <x:v>46208</x:v>
      </x:c>
      <x:c r="B2898" s="1" t="n">
        <x:v>21</x:v>
      </x:c>
      <x:c r="C2898" s="1" t="n">
        <x:v>6</x:v>
      </x:c>
      <x:c r="D2898" s="12" t="n">
        <x:v>0</x:v>
      </x:c>
      <x:c r="E2898" s="12" t="n">
        <x:v>0.5979166666666667</x:v>
      </x:c>
      <x:c r="F2898" s="12" t="n">
        <x:v>0.5976666666666667</x:v>
      </x:c>
      <x:c r="G2898" s="12" t="n">
        <x:v>0</x:v>
      </x:c>
      <x:c r="H2898" s="1" t="n">
        <x:f>'Historical prices'!E2898</x:f>
        <x:v>1.05</x:v>
      </x:c>
      <x:c r="I2898" s="6" t="n">
        <x:f>'Historical prices'!D2898</x:f>
        <x:v>0.21660000000000001</x:v>
      </x:c>
      <x:c r="J2898" s="13" t="n">
        <x:f>D2898*I2898*H2898</x:f>
        <x:v>0</x:v>
      </x:c>
      <x:c r="K2898" s="13" t="n">
        <x:f>E2898*I2898*H2898</x:f>
        <x:v>0.13598418750000002</x:v>
      </x:c>
      <x:c r="L2898" s="1" t="str">
        <x:f>TEXT(A2898,"mmm yyyy")</x:f>
        <x:v>Jul 2026</x:v>
      </x:c>
    </x:row>
    <x:row r="2899" ht="21" customHeight="1">
      <x:c r="A2899" s="10" t="n">
        <x:v>46208</x:v>
      </x:c>
      <x:c r="B2899" s="1" t="n">
        <x:v>21.5</x:v>
      </x:c>
      <x:c r="C2899" s="1" t="n">
        <x:v>6</x:v>
      </x:c>
      <x:c r="D2899" s="12" t="n">
        <x:v>0</x:v>
      </x:c>
      <x:c r="E2899" s="12" t="n">
        <x:v>1.0199166666666666</x:v>
      </x:c>
      <x:c r="F2899" s="12" t="n">
        <x:v>1.0194999999999999</x:v>
      </x:c>
      <x:c r="G2899" s="12" t="n">
        <x:v>0</x:v>
      </x:c>
      <x:c r="H2899" s="1" t="n">
        <x:f>'Historical prices'!E2899</x:f>
        <x:v>1.05</x:v>
      </x:c>
      <x:c r="I2899" s="6" t="n">
        <x:f>'Historical prices'!D2899</x:f>
        <x:v>0.21230000000000002</x:v>
      </x:c>
      <x:c r="J2899" s="13" t="n">
        <x:f>D2899*I2899*H2899</x:f>
        <x:v>0</x:v>
      </x:c>
      <x:c r="K2899" s="13" t="n">
        <x:f>E2899*I2899*H2899</x:f>
        <x:v>0.22735472375000002</x:v>
      </x:c>
      <x:c r="L2899" s="1" t="str">
        <x:f>TEXT(A2899,"mmm yyyy")</x:f>
        <x:v>Jul 2026</x:v>
      </x:c>
    </x:row>
    <x:row r="2900" ht="21" customHeight="1">
      <x:c r="A2900" s="10" t="n">
        <x:v>46208</x:v>
      </x:c>
      <x:c r="B2900" s="1" t="n">
        <x:v>22</x:v>
      </x:c>
      <x:c r="C2900" s="1" t="n">
        <x:v>6</x:v>
      </x:c>
      <x:c r="D2900" s="12" t="n">
        <x:v>0</x:v>
      </x:c>
      <x:c r="E2900" s="12" t="n">
        <x:v>0.30899999999999994</x:v>
      </x:c>
      <x:c r="F2900" s="12" t="n">
        <x:v>0.3088333333333333</x:v>
      </x:c>
      <x:c r="G2900" s="12" t="n">
        <x:v>0</x:v>
      </x:c>
      <x:c r="H2900" s="1" t="n">
        <x:f>'Historical prices'!E2900</x:f>
        <x:v>1.05</x:v>
      </x:c>
      <x:c r="I2900" s="6" t="n">
        <x:f>'Historical prices'!D2900</x:f>
        <x:v>0.21309999999999998</x:v>
      </x:c>
      <x:c r="J2900" s="13" t="n">
        <x:f>D2900*I2900*H2900</x:f>
        <x:v>0</x:v>
      </x:c>
      <x:c r="K2900" s="13" t="n">
        <x:f>E2900*I2900*H2900</x:f>
        <x:v>0.06914029499999999</x:v>
      </x:c>
      <x:c r="L2900" s="1" t="str">
        <x:f>TEXT(A2900,"mmm yyyy")</x:f>
        <x:v>Jul 2026</x:v>
      </x:c>
    </x:row>
    <x:row r="2901" ht="21" customHeight="1">
      <x:c r="A2901" s="10" t="n">
        <x:v>46208</x:v>
      </x:c>
      <x:c r="B2901" s="1" t="n">
        <x:v>22.5</x:v>
      </x:c>
      <x:c r="C2901" s="1" t="n">
        <x:v>6</x:v>
      </x:c>
      <x:c r="D2901" s="12" t="n">
        <x:v>0.11491666666666667</x:v>
      </x:c>
      <x:c r="E2901" s="12" t="n">
        <x:v>0.28200000000000003</x:v>
      </x:c>
      <x:c r="F2901" s="12" t="n">
        <x:v>0.16299999999999998</x:v>
      </x:c>
      <x:c r="G2901" s="12" t="n">
        <x:v>0</x:v>
      </x:c>
      <x:c r="H2901" s="1" t="n">
        <x:f>'Historical prices'!E2901</x:f>
        <x:v>1.05</x:v>
      </x:c>
      <x:c r="I2901" s="6" t="n">
        <x:f>'Historical prices'!D2901</x:f>
        <x:v>0.19760000000000003</x:v>
      </x:c>
      <x:c r="J2901" s="13" t="n">
        <x:f>D2901*I2901*H2901</x:f>
        <x:v>0.023842910000000002</x:v>
      </x:c>
      <x:c r="K2901" s="13" t="n">
        <x:f>E2901*I2901*H2901</x:f>
        <x:v>0.05850936000000002</x:v>
      </x:c>
      <x:c r="L2901" s="1" t="str">
        <x:f>TEXT(A2901,"mmm yyyy")</x:f>
        <x:v>Jul 2026</x:v>
      </x:c>
    </x:row>
    <x:row r="2902" ht="21" customHeight="1">
      <x:c r="A2902" s="10" t="n">
        <x:v>46208</x:v>
      </x:c>
      <x:c r="B2902" s="1" t="n">
        <x:v>23</x:v>
      </x:c>
      <x:c r="C2902" s="1" t="n">
        <x:v>6</x:v>
      </x:c>
      <x:c r="D2902" s="12" t="n">
        <x:v>0.04216666666666667</x:v>
      </x:c>
      <x:c r="E2902" s="12" t="n">
        <x:v>0.3278333333333333</x:v>
      </x:c>
      <x:c r="F2902" s="12" t="n">
        <x:v>0.2855833333333333</x:v>
      </x:c>
      <x:c r="G2902" s="12" t="n">
        <x:v>0</x:v>
      </x:c>
      <x:c r="H2902" s="1" t="n">
        <x:f>'Historical prices'!E2902</x:f>
        <x:v>1.05</x:v>
      </x:c>
      <x:c r="I2902" s="6" t="n">
        <x:f>'Historical prices'!D2902</x:f>
        <x:v>0.2109</x:v>
      </x:c>
      <x:c r="J2902" s="13" t="n">
        <x:f>D2902*I2902*H2902</x:f>
        <x:v>0.009337597500000003</x:v>
      </x:c>
      <x:c r="K2902" s="13" t="n">
        <x:f>E2902*I2902*H2902</x:f>
        <x:v>0.0725970525</x:v>
      </x:c>
      <x:c r="L2902" s="1" t="str">
        <x:f>TEXT(A2902,"mmm yyyy")</x:f>
        <x:v>Jul 2026</x:v>
      </x:c>
    </x:row>
    <x:row r="2903" ht="21" customHeight="1">
      <x:c r="A2903" s="10" t="n">
        <x:v>46208</x:v>
      </x:c>
      <x:c r="B2903" s="1" t="n">
        <x:v>23.5</x:v>
      </x:c>
      <x:c r="C2903" s="1" t="n">
        <x:v>6</x:v>
      </x:c>
      <x:c r="D2903" s="12" t="n">
        <x:v>0</x:v>
      </x:c>
      <x:c r="E2903" s="12" t="n">
        <x:v>0.32099999999999995</x:v>
      </x:c>
      <x:c r="F2903" s="12" t="n">
        <x:v>0.3208333333333333</x:v>
      </x:c>
      <x:c r="G2903" s="12" t="n">
        <x:v>0</x:v>
      </x:c>
      <x:c r="H2903" s="1" t="n">
        <x:f>'Historical prices'!E2903</x:f>
        <x:v>1.05</x:v>
      </x:c>
      <x:c r="I2903" s="6" t="n">
        <x:f>'Historical prices'!D2903</x:f>
        <x:v>0.2004</x:v>
      </x:c>
      <x:c r="J2903" s="13" t="n">
        <x:f>D2903*I2903*H2903</x:f>
        <x:v>0</x:v>
      </x:c>
      <x:c r="K2903" s="13" t="n">
        <x:f>E2903*I2903*H2903</x:f>
        <x:v>0.06754481999999999</x:v>
      </x:c>
      <x:c r="L2903" s="1" t="str">
        <x:f>TEXT(A2903,"mmm yyyy")</x:f>
        <x:v>Jul 2026</x:v>
      </x:c>
    </x:row>
    <x:row r="2904" ht="21" customHeight="1">
      <x:c r="A2904" s="10" t="n">
        <x:v>46209</x:v>
      </x:c>
      <x:c r="B2904" s="1" t="n">
        <x:v>0</x:v>
      </x:c>
      <x:c r="C2904" s="1" t="n">
        <x:v>6</x:v>
      </x:c>
      <x:c r="D2904" s="12" t="n">
        <x:v>0</x:v>
      </x:c>
      <x:c r="E2904" s="12" t="n">
        <x:v>0.34099999999999997</x:v>
      </x:c>
      <x:c r="F2904" s="12" t="n">
        <x:v>0.3405833333333333</x:v>
      </x:c>
      <x:c r="G2904" s="12" t="n">
        <x:v>0</x:v>
      </x:c>
      <x:c r="H2904" s="1" t="n">
        <x:f>'Historical prices'!E2904</x:f>
        <x:v>1.05</x:v>
      </x:c>
      <x:c r="I2904" s="6" t="n">
        <x:f>'Historical prices'!D2904</x:f>
        <x:v>0.20579999999999998</x:v>
      </x:c>
      <x:c r="J2904" s="13" t="n">
        <x:f>D2904*I2904*H2904</x:f>
        <x:v>0</x:v>
      </x:c>
      <x:c r="K2904" s="13" t="n">
        <x:f>E2904*I2904*H2904</x:f>
        <x:v>0.07368668999999999</x:v>
      </x:c>
      <x:c r="L2904" s="1" t="str">
        <x:f>TEXT(A2904,"mmm yyyy")</x:f>
        <x:v>Jul 2026</x:v>
      </x:c>
    </x:row>
    <x:row r="2905" ht="21" customHeight="1">
      <x:c r="A2905" s="10" t="n">
        <x:v>46209</x:v>
      </x:c>
      <x:c r="B2905" s="1" t="n">
        <x:v>0.5</x:v>
      </x:c>
      <x:c r="C2905" s="1" t="n">
        <x:v>6</x:v>
      </x:c>
      <x:c r="D2905" s="12" t="n">
        <x:v>0</x:v>
      </x:c>
      <x:c r="E2905" s="12" t="n">
        <x:v>0.326</x:v>
      </x:c>
      <x:c r="F2905" s="12" t="n">
        <x:v>0.3258333333333333</x:v>
      </x:c>
      <x:c r="G2905" s="12" t="n">
        <x:v>0</x:v>
      </x:c>
      <x:c r="H2905" s="1" t="n">
        <x:f>'Historical prices'!E2905</x:f>
        <x:v>1.05</x:v>
      </x:c>
      <x:c r="I2905" s="6" t="n">
        <x:f>'Historical prices'!D2905</x:f>
        <x:v>0.1928</x:v>
      </x:c>
      <x:c r="J2905" s="13" t="n">
        <x:f>D2905*I2905*H2905</x:f>
        <x:v>0</x:v>
      </x:c>
      <x:c r="K2905" s="13" t="n">
        <x:f>E2905*I2905*H2905</x:f>
        <x:v>0.06599544</x:v>
      </x:c>
      <x:c r="L2905" s="1" t="str">
        <x:f>TEXT(A2905,"mmm yyyy")</x:f>
        <x:v>Jul 2026</x:v>
      </x:c>
    </x:row>
    <x:row r="2906" ht="21" customHeight="1">
      <x:c r="A2906" s="10" t="n">
        <x:v>46209</x:v>
      </x:c>
      <x:c r="B2906" s="1" t="n">
        <x:v>1</x:v>
      </x:c>
      <x:c r="C2906" s="1" t="n">
        <x:v>6</x:v>
      </x:c>
      <x:c r="D2906" s="12" t="n">
        <x:v>0.19158333333333336</x:v>
      </x:c>
      <x:c r="E2906" s="12" t="n">
        <x:v>0.2574166666666667</x:v>
      </x:c>
      <x:c r="F2906" s="12" t="n">
        <x:v>0.05683333333333333</x:v>
      </x:c>
      <x:c r="G2906" s="12" t="n">
        <x:v>0</x:v>
      </x:c>
      <x:c r="H2906" s="1" t="n">
        <x:f>'Historical prices'!E2906</x:f>
        <x:v>1.05</x:v>
      </x:c>
      <x:c r="I2906" s="6" t="n">
        <x:f>'Historical prices'!D2906</x:f>
        <x:v>0.1691</x:v>
      </x:c>
      <x:c r="J2906" s="13" t="n">
        <x:f>D2906*I2906*H2906</x:f>
        <x:v>0.034016578750000005</x:v>
      </x:c>
      <x:c r="K2906" s="13" t="n">
        <x:f>E2906*I2906*H2906</x:f>
        <x:v>0.045705616250000004</x:v>
      </x:c>
      <x:c r="L2906" s="1" t="str">
        <x:f>TEXT(A2906,"mmm yyyy")</x:f>
        <x:v>Jul 2026</x:v>
      </x:c>
    </x:row>
    <x:row r="2907" ht="21" customHeight="1">
      <x:c r="A2907" s="10" t="n">
        <x:v>46209</x:v>
      </x:c>
      <x:c r="B2907" s="1" t="n">
        <x:v>1.5</x:v>
      </x:c>
      <x:c r="C2907" s="1" t="n">
        <x:v>6</x:v>
      </x:c>
      <x:c r="D2907" s="12" t="n">
        <x:v>0.22416666666666663</x:v>
      </x:c>
      <x:c r="E2907" s="12" t="n">
        <x:v>0.23516666666666663</x:v>
      </x:c>
      <x:c r="F2907" s="12" t="n">
        <x:v>0</x:v>
      </x:c>
      <x:c r="G2907" s="12" t="n">
        <x:v>0</x:v>
      </x:c>
      <x:c r="H2907" s="1" t="n">
        <x:f>'Historical prices'!E2907</x:f>
        <x:v>1.05</x:v>
      </x:c>
      <x:c r="I2907" s="6" t="n">
        <x:f>'Historical prices'!D2907</x:f>
        <x:v>0.16949999999999998</x:v>
      </x:c>
      <x:c r="J2907" s="13" t="n">
        <x:f>D2907*I2907*H2907</x:f>
        <x:v>0.03989606249999999</x:v>
      </x:c>
      <x:c r="K2907" s="13" t="n">
        <x:f>E2907*I2907*H2907</x:f>
        <x:v>0.041853787499999996</x:v>
      </x:c>
      <x:c r="L2907" s="1" t="str">
        <x:f>TEXT(A2907,"mmm yyyy")</x:f>
        <x:v>Jul 2026</x:v>
      </x:c>
    </x:row>
    <x:row r="2908" ht="21" customHeight="1">
      <x:c r="A2908" s="10" t="n">
        <x:v>46209</x:v>
      </x:c>
      <x:c r="B2908" s="1" t="n">
        <x:v>2</x:v>
      </x:c>
      <x:c r="C2908" s="1" t="n">
        <x:v>6</x:v>
      </x:c>
      <x:c r="D2908" s="12" t="n">
        <x:v>0.33699999999999997</x:v>
      </x:c>
      <x:c r="E2908" s="12" t="n">
        <x:v>0.347</x:v>
      </x:c>
      <x:c r="F2908" s="12" t="n">
        <x:v>0</x:v>
      </x:c>
      <x:c r="G2908" s="12" t="n">
        <x:v>0</x:v>
      </x:c>
      <x:c r="H2908" s="1" t="n">
        <x:f>'Historical prices'!E2908</x:f>
        <x:v>1.05</x:v>
      </x:c>
      <x:c r="I2908" s="6" t="n">
        <x:f>'Historical prices'!D2908</x:f>
        <x:v>0.1734</x:v>
      </x:c>
      <x:c r="J2908" s="13" t="n">
        <x:f>D2908*I2908*H2908</x:f>
        <x:v>0.06135759</x:v>
      </x:c>
      <x:c r="K2908" s="13" t="n">
        <x:f>E2908*I2908*H2908</x:f>
        <x:v>0.06317829</x:v>
      </x:c>
      <x:c r="L2908" s="1" t="str">
        <x:f>TEXT(A2908,"mmm yyyy")</x:f>
        <x:v>Jul 2026</x:v>
      </x:c>
    </x:row>
    <x:row r="2909" ht="21" customHeight="1">
      <x:c r="A2909" s="10" t="n">
        <x:v>46209</x:v>
      </x:c>
      <x:c r="B2909" s="1" t="n">
        <x:v>2.5</x:v>
      </x:c>
      <x:c r="C2909" s="1" t="n">
        <x:v>6</x:v>
      </x:c>
      <x:c r="D2909" s="12" t="n">
        <x:v>0.26025</x:v>
      </x:c>
      <x:c r="E2909" s="12" t="n">
        <x:v>0.27125</x:v>
      </x:c>
      <x:c r="F2909" s="12" t="n">
        <x:v>0</x:v>
      </x:c>
      <x:c r="G2909" s="12" t="n">
        <x:v>0</x:v>
      </x:c>
      <x:c r="H2909" s="1" t="n">
        <x:f>'Historical prices'!E2909</x:f>
        <x:v>1.05</x:v>
      </x:c>
      <x:c r="I2909" s="6" t="n">
        <x:f>'Historical prices'!D2909</x:f>
        <x:v>0.16940000000000002</x:v>
      </x:c>
      <x:c r="J2909" s="13" t="n">
        <x:f>D2909*I2909*H2909</x:f>
        <x:v>0.04629066750000001</x:v>
      </x:c>
      <x:c r="K2909" s="13" t="n">
        <x:f>E2909*I2909*H2909</x:f>
        <x:v>0.048247237500000005</x:v>
      </x:c>
      <x:c r="L2909" s="1" t="str">
        <x:f>TEXT(A2909,"mmm yyyy")</x:f>
        <x:v>Jul 2026</x:v>
      </x:c>
    </x:row>
    <x:row r="2910" ht="21" customHeight="1">
      <x:c r="A2910" s="10" t="n">
        <x:v>46209</x:v>
      </x:c>
      <x:c r="B2910" s="1" t="n">
        <x:v>3</x:v>
      </x:c>
      <x:c r="C2910" s="1" t="n">
        <x:v>6</x:v>
      </x:c>
      <x:c r="D2910" s="12" t="n">
        <x:v>0.18766666666666668</x:v>
      </x:c>
      <x:c r="E2910" s="12" t="n">
        <x:v>0.19866666666666669</x:v>
      </x:c>
      <x:c r="F2910" s="12" t="n">
        <x:v>0</x:v>
      </x:c>
      <x:c r="G2910" s="12" t="n">
        <x:v>0</x:v>
      </x:c>
      <x:c r="H2910" s="1" t="n">
        <x:f>'Historical prices'!E2910</x:f>
        <x:v>1.05</x:v>
      </x:c>
      <x:c r="I2910" s="6" t="n">
        <x:f>'Historical prices'!D2910</x:f>
        <x:v>0.1721</x:v>
      </x:c>
      <x:c r="J2910" s="13" t="n">
        <x:f>D2910*I2910*H2910</x:f>
        <x:v>0.033912305000000004</x:v>
      </x:c>
      <x:c r="K2910" s="13" t="n">
        <x:f>E2910*I2910*H2910</x:f>
        <x:v>0.035900060000000004</x:v>
      </x:c>
      <x:c r="L2910" s="1" t="str">
        <x:f>TEXT(A2910,"mmm yyyy")</x:f>
        <x:v>Jul 2026</x:v>
      </x:c>
    </x:row>
    <x:row r="2911" ht="21" customHeight="1">
      <x:c r="A2911" s="10" t="n">
        <x:v>46209</x:v>
      </x:c>
      <x:c r="B2911" s="1" t="n">
        <x:v>3.5</x:v>
      </x:c>
      <x:c r="C2911" s="1" t="n">
        <x:v>6</x:v>
      </x:c>
      <x:c r="D2911" s="12" t="n">
        <x:v>0.22725</x:v>
      </x:c>
      <x:c r="E2911" s="12" t="n">
        <x:v>0.23725000000000002</x:v>
      </x:c>
      <x:c r="F2911" s="12" t="n">
        <x:v>0</x:v>
      </x:c>
      <x:c r="G2911" s="12" t="n">
        <x:v>0</x:v>
      </x:c>
      <x:c r="H2911" s="1" t="n">
        <x:f>'Historical prices'!E2911</x:f>
        <x:v>1.05</x:v>
      </x:c>
      <x:c r="I2911" s="6" t="n">
        <x:f>'Historical prices'!D2911</x:f>
        <x:v>0.16149999999999998</x:v>
      </x:c>
      <x:c r="J2911" s="13" t="n">
        <x:f>D2911*I2911*H2911</x:f>
        <x:v>0.038535918749999995</x:v>
      </x:c>
      <x:c r="K2911" s="13" t="n">
        <x:f>E2911*I2911*H2911</x:f>
        <x:v>0.04023166875</x:v>
      </x:c>
      <x:c r="L2911" s="1" t="str">
        <x:f>TEXT(A2911,"mmm yyyy")</x:f>
        <x:v>Jul 2026</x:v>
      </x:c>
    </x:row>
    <x:row r="2912" ht="21" customHeight="1">
      <x:c r="A2912" s="10" t="n">
        <x:v>46209</x:v>
      </x:c>
      <x:c r="B2912" s="1" t="n">
        <x:v>4</x:v>
      </x:c>
      <x:c r="C2912" s="1" t="n">
        <x:v>6</x:v>
      </x:c>
      <x:c r="D2912" s="12" t="n">
        <x:v>0.06908333333333333</x:v>
      </x:c>
      <x:c r="E2912" s="12" t="n">
        <x:v>0.2965</x:v>
      </x:c>
      <x:c r="F2912" s="12" t="n">
        <x:v>0.225</x:v>
      </x:c>
      <x:c r="G2912" s="12" t="n">
        <x:v>0</x:v>
      </x:c>
      <x:c r="H2912" s="1" t="n">
        <x:f>'Historical prices'!E2912</x:f>
        <x:v>1.05</x:v>
      </x:c>
      <x:c r="I2912" s="6" t="n">
        <x:f>'Historical prices'!D2912</x:f>
        <x:v>0.18309999999999998</x:v>
      </x:c>
      <x:c r="J2912" s="13" t="n">
        <x:f>D2912*I2912*H2912</x:f>
        <x:v>0.01328161625</x:v>
      </x:c>
      <x:c r="K2912" s="13" t="n">
        <x:f>E2912*I2912*H2912</x:f>
        <x:v>0.0570036075</x:v>
      </x:c>
      <x:c r="L2912" s="1" t="str">
        <x:f>TEXT(A2912,"mmm yyyy")</x:f>
        <x:v>Jul 2026</x:v>
      </x:c>
    </x:row>
    <x:row r="2913" ht="21" customHeight="1">
      <x:c r="A2913" s="10" t="n">
        <x:v>46209</x:v>
      </x:c>
      <x:c r="B2913" s="1" t="n">
        <x:v>4.5</x:v>
      </x:c>
      <x:c r="C2913" s="1" t="n">
        <x:v>6</x:v>
      </x:c>
      <x:c r="D2913" s="12" t="n">
        <x:v>0.13374999999999998</x:v>
      </x:c>
      <x:c r="E2913" s="12" t="n">
        <x:v>0.30675</x:v>
      </x:c>
      <x:c r="F2913" s="12" t="n">
        <x:v>0.17300000000000001</x:v>
      </x:c>
      <x:c r="G2913" s="12" t="n">
        <x:v>0</x:v>
      </x:c>
      <x:c r="H2913" s="1" t="n">
        <x:f>'Historical prices'!E2913</x:f>
        <x:v>1.05</x:v>
      </x:c>
      <x:c r="I2913" s="6" t="n">
        <x:f>'Historical prices'!D2913</x:f>
        <x:v>0.1827</x:v>
      </x:c>
      <x:c r="J2913" s="13" t="n">
        <x:f>D2913*I2913*H2913</x:f>
        <x:v>0.02565793125</x:v>
      </x:c>
      <x:c r="K2913" s="13" t="n">
        <x:f>E2913*I2913*H2913</x:f>
        <x:v>0.058845386250000006</x:v>
      </x:c>
      <x:c r="L2913" s="1" t="str">
        <x:f>TEXT(A2913,"mmm yyyy")</x:f>
        <x:v>Jul 2026</x:v>
      </x:c>
    </x:row>
    <x:row r="2914" ht="21" customHeight="1">
      <x:c r="A2914" s="10" t="n">
        <x:v>46209</x:v>
      </x:c>
      <x:c r="B2914" s="1" t="n">
        <x:v>5</x:v>
      </x:c>
      <x:c r="C2914" s="1" t="n">
        <x:v>6</x:v>
      </x:c>
      <x:c r="D2914" s="12" t="n">
        <x:v>0.014083333333333333</x:v>
      </x:c>
      <x:c r="E2914" s="12" t="n">
        <x:v>0.33691666666666664</x:v>
      </x:c>
      <x:c r="F2914" s="12" t="n">
        <x:v>0.32258333333333333</x:v>
      </x:c>
      <x:c r="G2914" s="12" t="n">
        <x:v>0</x:v>
      </x:c>
      <x:c r="H2914" s="1" t="n">
        <x:f>'Historical prices'!E2914</x:f>
        <x:v>1.05</x:v>
      </x:c>
      <x:c r="I2914" s="6" t="n">
        <x:f>'Historical prices'!D2914</x:f>
        <x:v>0.21760000000000002</x:v>
      </x:c>
      <x:c r="J2914" s="13" t="n">
        <x:f>D2914*I2914*H2914</x:f>
        <x:v>0.0032177600000000005</x:v>
      </x:c>
      <x:c r="K2914" s="13" t="n">
        <x:f>E2914*I2914*H2914</x:f>
        <x:v>0.07697872</x:v>
      </x:c>
      <x:c r="L2914" s="1" t="str">
        <x:f>TEXT(A2914,"mmm yyyy")</x:f>
        <x:v>Jul 2026</x:v>
      </x:c>
    </x:row>
    <x:row r="2915" ht="21" customHeight="1">
      <x:c r="A2915" s="10" t="n">
        <x:v>46209</x:v>
      </x:c>
      <x:c r="B2915" s="1" t="n">
        <x:v>5.5</x:v>
      </x:c>
      <x:c r="C2915" s="1" t="n">
        <x:v>6</x:v>
      </x:c>
      <x:c r="D2915" s="12" t="n">
        <x:v>0</x:v>
      </x:c>
      <x:c r="E2915" s="12" t="n">
        <x:v>0.33391666666666664</x:v>
      </x:c>
      <x:c r="F2915" s="12" t="n">
        <x:v>0.33366666666666667</x:v>
      </x:c>
      <x:c r="G2915" s="12" t="n">
        <x:v>0</x:v>
      </x:c>
      <x:c r="H2915" s="1" t="n">
        <x:f>'Historical prices'!E2915</x:f>
        <x:v>1.05</x:v>
      </x:c>
      <x:c r="I2915" s="6" t="n">
        <x:f>'Historical prices'!D2915</x:f>
        <x:v>0.2162</x:v>
      </x:c>
      <x:c r="J2915" s="13" t="n">
        <x:f>D2915*I2915*H2915</x:f>
        <x:v>0</x:v>
      </x:c>
      <x:c r="K2915" s="13" t="n">
        <x:f>E2915*I2915*H2915</x:f>
        <x:v>0.0758024225</x:v>
      </x:c>
      <x:c r="L2915" s="1" t="str">
        <x:f>TEXT(A2915,"mmm yyyy")</x:f>
        <x:v>Jul 2026</x:v>
      </x:c>
    </x:row>
    <x:row r="2916" ht="21" customHeight="1">
      <x:c r="A2916" s="10" t="n">
        <x:v>46209</x:v>
      </x:c>
      <x:c r="B2916" s="1" t="n">
        <x:v>6</x:v>
      </x:c>
      <x:c r="C2916" s="1" t="n">
        <x:v>6</x:v>
      </x:c>
      <x:c r="D2916" s="12" t="n">
        <x:v>0</x:v>
      </x:c>
      <x:c r="E2916" s="12" t="n">
        <x:v>0.27375</x:v>
      </x:c>
      <x:c r="F2916" s="12" t="n">
        <x:v>0.27358333333333335</x:v>
      </x:c>
      <x:c r="G2916" s="12" t="n">
        <x:v>0</x:v>
      </x:c>
      <x:c r="H2916" s="1" t="n">
        <x:f>'Historical prices'!E2916</x:f>
        <x:v>1.05</x:v>
      </x:c>
      <x:c r="I2916" s="6" t="n">
        <x:f>'Historical prices'!D2916</x:f>
        <x:v>0.2027</x:v>
      </x:c>
      <x:c r="J2916" s="13" t="n">
        <x:f>D2916*I2916*H2916</x:f>
        <x:v>0</x:v>
      </x:c>
      <x:c r="K2916" s="13" t="n">
        <x:f>E2916*I2916*H2916</x:f>
        <x:v>0.058263581249999995</x:v>
      </x:c>
      <x:c r="L2916" s="1" t="str">
        <x:f>TEXT(A2916,"mmm yyyy")</x:f>
        <x:v>Jul 2026</x:v>
      </x:c>
    </x:row>
    <x:row r="2917" ht="21" customHeight="1">
      <x:c r="A2917" s="10" t="n">
        <x:v>46209</x:v>
      </x:c>
      <x:c r="B2917" s="1" t="n">
        <x:v>6.5</x:v>
      </x:c>
      <x:c r="C2917" s="1" t="n">
        <x:v>6</x:v>
      </x:c>
      <x:c r="D2917" s="12" t="n">
        <x:v>0</x:v>
      </x:c>
      <x:c r="E2917" s="12" t="n">
        <x:v>0.69975</x:v>
      </x:c>
      <x:c r="F2917" s="12" t="n">
        <x:v>0.6938333333333333</x:v>
      </x:c>
      <x:c r="G2917" s="12" t="n">
        <x:v>0</x:v>
      </x:c>
      <x:c r="H2917" s="1" t="n">
        <x:f>'Historical prices'!E2917</x:f>
        <x:v>1.05</x:v>
      </x:c>
      <x:c r="I2917" s="6" t="n">
        <x:f>'Historical prices'!D2917</x:f>
        <x:v>0.2173</x:v>
      </x:c>
      <x:c r="J2917" s="13" t="n">
        <x:f>D2917*I2917*H2917</x:f>
        <x:v>0</x:v>
      </x:c>
      <x:c r="K2917" s="13" t="n">
        <x:f>E2917*I2917*H2917</x:f>
        <x:v>0.15965845875</x:v>
      </x:c>
      <x:c r="L2917" s="1" t="str">
        <x:f>TEXT(A2917,"mmm yyyy")</x:f>
        <x:v>Jul 2026</x:v>
      </x:c>
    </x:row>
    <x:row r="2918" ht="21" customHeight="1">
      <x:c r="A2918" s="10" t="n">
        <x:v>46209</x:v>
      </x:c>
      <x:c r="B2918" s="1" t="n">
        <x:v>7</x:v>
      </x:c>
      <x:c r="C2918" s="1" t="n">
        <x:v>6</x:v>
      </x:c>
      <x:c r="D2918" s="12" t="n">
        <x:v>0</x:v>
      </x:c>
      <x:c r="E2918" s="12" t="n">
        <x:v>0.6289166666666666</x:v>
      </x:c>
      <x:c r="F2918" s="12" t="n">
        <x:v>0.6285833333333333</x:v>
      </x:c>
      <x:c r="G2918" s="12" t="n">
        <x:v>0</x:v>
      </x:c>
      <x:c r="H2918" s="1" t="n">
        <x:f>'Historical prices'!E2918</x:f>
        <x:v>1.05</x:v>
      </x:c>
      <x:c r="I2918" s="6" t="n">
        <x:f>'Historical prices'!D2918</x:f>
        <x:v>0.2069</x:v>
      </x:c>
      <x:c r="J2918" s="13" t="n">
        <x:f>D2918*I2918*H2918</x:f>
        <x:v>0</x:v>
      </x:c>
      <x:c r="K2918" s="13" t="n">
        <x:f>E2918*I2918*H2918</x:f>
        <x:v>0.13662900125</x:v>
      </x:c>
      <x:c r="L2918" s="1" t="str">
        <x:f>TEXT(A2918,"mmm yyyy")</x:f>
        <x:v>Jul 2026</x:v>
      </x:c>
    </x:row>
    <x:row r="2919" ht="21" customHeight="1">
      <x:c r="A2919" s="10" t="n">
        <x:v>46209</x:v>
      </x:c>
      <x:c r="B2919" s="1" t="n">
        <x:v>7.5</x:v>
      </x:c>
      <x:c r="C2919" s="1" t="n">
        <x:v>6</x:v>
      </x:c>
      <x:c r="D2919" s="12" t="n">
        <x:v>0</x:v>
      </x:c>
      <x:c r="E2919" s="12" t="n">
        <x:v>0.5735833333333333</x:v>
      </x:c>
      <x:c r="F2919" s="12" t="n">
        <x:v>0.56875</x:v>
      </x:c>
      <x:c r="G2919" s="12" t="n">
        <x:v>0</x:v>
      </x:c>
      <x:c r="H2919" s="1" t="n">
        <x:f>'Historical prices'!E2919</x:f>
        <x:v>1.05</x:v>
      </x:c>
      <x:c r="I2919" s="6" t="n">
        <x:f>'Historical prices'!D2919</x:f>
        <x:v>0.20929999999999999</x:v>
      </x:c>
      <x:c r="J2919" s="13" t="n">
        <x:f>D2919*I2919*H2919</x:f>
        <x:v>0</x:v>
      </x:c>
      <x:c r="K2919" s="13" t="n">
        <x:f>E2919*I2919*H2919</x:f>
        <x:v>0.12605354125</x:v>
      </x:c>
      <x:c r="L2919" s="1" t="str">
        <x:f>TEXT(A2919,"mmm yyyy")</x:f>
        <x:v>Jul 2026</x:v>
      </x:c>
    </x:row>
    <x:row r="2920" ht="21" customHeight="1">
      <x:c r="A2920" s="10" t="n">
        <x:v>46209</x:v>
      </x:c>
      <x:c r="B2920" s="1" t="n">
        <x:v>8</x:v>
      </x:c>
      <x:c r="C2920" s="1" t="n">
        <x:v>6</x:v>
      </x:c>
      <x:c r="D2920" s="12" t="n">
        <x:v>0</x:v>
      </x:c>
      <x:c r="E2920" s="12" t="n">
        <x:v>0.5365833333333334</x:v>
      </x:c>
      <x:c r="F2920" s="12" t="n">
        <x:v>0.5364166666666667</x:v>
      </x:c>
      <x:c r="G2920" s="12" t="n">
        <x:v>0</x:v>
      </x:c>
      <x:c r="H2920" s="1" t="n">
        <x:f>'Historical prices'!E2920</x:f>
        <x:v>1.05</x:v>
      </x:c>
      <x:c r="I2920" s="6" t="n">
        <x:f>'Historical prices'!D2920</x:f>
        <x:v>0.19190000000000002</x:v>
      </x:c>
      <x:c r="J2920" s="13" t="n">
        <x:f>D2920*I2920*H2920</x:f>
        <x:v>0</x:v>
      </x:c>
      <x:c r="K2920" s="13" t="n">
        <x:f>E2920*I2920*H2920</x:f>
        <x:v>0.10811885875000003</x:v>
      </x:c>
      <x:c r="L2920" s="1" t="str">
        <x:f>TEXT(A2920,"mmm yyyy")</x:f>
        <x:v>Jul 2026</x:v>
      </x:c>
    </x:row>
    <x:row r="2921" ht="21" customHeight="1">
      <x:c r="A2921" s="10" t="n">
        <x:v>46209</x:v>
      </x:c>
      <x:c r="B2921" s="1" t="n">
        <x:v>8.5</x:v>
      </x:c>
      <x:c r="C2921" s="1" t="n">
        <x:v>6</x:v>
      </x:c>
      <x:c r="D2921" s="12" t="n">
        <x:v>0</x:v>
      </x:c>
      <x:c r="E2921" s="12" t="n">
        <x:v>0.6003333333333333</x:v>
      </x:c>
      <x:c r="F2921" s="12" t="n">
        <x:v>0.5948333333333333</x:v>
      </x:c>
      <x:c r="G2921" s="12" t="n">
        <x:v>0</x:v>
      </x:c>
      <x:c r="H2921" s="1" t="n">
        <x:f>'Historical prices'!E2921</x:f>
        <x:v>1.05</x:v>
      </x:c>
      <x:c r="I2921" s="6" t="n">
        <x:f>'Historical prices'!D2921</x:f>
        <x:v>0.16219999999999998</x:v>
      </x:c>
      <x:c r="J2921" s="13" t="n">
        <x:f>D2921*I2921*H2921</x:f>
        <x:v>0</x:v>
      </x:c>
      <x:c r="K2921" s="13" t="n">
        <x:f>E2921*I2921*H2921</x:f>
        <x:v>0.10224276999999998</x:v>
      </x:c>
      <x:c r="L2921" s="1" t="str">
        <x:f>TEXT(A2921,"mmm yyyy")</x:f>
        <x:v>Jul 2026</x:v>
      </x:c>
    </x:row>
    <x:row r="2922" ht="21" customHeight="1">
      <x:c r="A2922" s="10" t="n">
        <x:v>46209</x:v>
      </x:c>
      <x:c r="B2922" s="1" t="n">
        <x:v>9</x:v>
      </x:c>
      <x:c r="C2922" s="1" t="n">
        <x:v>6</x:v>
      </x:c>
      <x:c r="D2922" s="12" t="n">
        <x:v>0</x:v>
      </x:c>
      <x:c r="E2922" s="12" t="n">
        <x:v>0.5439166666666666</x:v>
      </x:c>
      <x:c r="F2922" s="12" t="n">
        <x:v>0.54075</x:v>
      </x:c>
      <x:c r="G2922" s="12" t="n">
        <x:v>0</x:v>
      </x:c>
      <x:c r="H2922" s="1" t="n">
        <x:f>'Historical prices'!E2922</x:f>
        <x:v>1.05</x:v>
      </x:c>
      <x:c r="I2922" s="6" t="n">
        <x:f>'Historical prices'!D2922</x:f>
        <x:v>0.1527</x:v>
      </x:c>
      <x:c r="J2922" s="13" t="n">
        <x:f>D2922*I2922*H2922</x:f>
        <x:v>0</x:v>
      </x:c>
      <x:c r="K2922" s="13" t="n">
        <x:f>E2922*I2922*H2922</x:f>
        <x:v>0.08720887875</x:v>
      </x:c>
      <x:c r="L2922" s="1" t="str">
        <x:f>TEXT(A2922,"mmm yyyy")</x:f>
        <x:v>Jul 2026</x:v>
      </x:c>
    </x:row>
    <x:row r="2923" ht="21" customHeight="1">
      <x:c r="A2923" s="10" t="n">
        <x:v>46209</x:v>
      </x:c>
      <x:c r="B2923" s="1" t="n">
        <x:v>9.5</x:v>
      </x:c>
      <x:c r="C2923" s="1" t="n">
        <x:v>6</x:v>
      </x:c>
      <x:c r="D2923" s="12" t="n">
        <x:v>0.5786666666666667</x:v>
      </x:c>
      <x:c r="E2923" s="12" t="n">
        <x:v>0.4956666666666667</x:v>
      </x:c>
      <x:c r="F2923" s="12" t="n">
        <x:v>0.027</x:v>
      </x:c>
      <x:c r="G2923" s="12" t="n">
        <x:v>0.116</x:v>
      </x:c>
      <x:c r="H2923" s="1" t="n">
        <x:f>'Historical prices'!E2923</x:f>
        <x:v>1.05</x:v>
      </x:c>
      <x:c r="I2923" s="6" t="n">
        <x:f>'Historical prices'!D2923</x:f>
        <x:v>0.12619999999999998</x:v>
      </x:c>
      <x:c r="J2923" s="13" t="n">
        <x:f>D2923*I2923*H2923</x:f>
        <x:v>0.07667911999999999</x:v>
      </x:c>
      <x:c r="K2923" s="13" t="n">
        <x:f>E2923*I2923*H2923</x:f>
        <x:v>0.06568079</x:v>
      </x:c>
      <x:c r="L2923" s="1" t="str">
        <x:f>TEXT(A2923,"mmm yyyy")</x:f>
        <x:v>Jul 2026</x:v>
      </x:c>
    </x:row>
    <x:row r="2924" ht="21" customHeight="1">
      <x:c r="A2924" s="10" t="n">
        <x:v>46209</x:v>
      </x:c>
      <x:c r="B2924" s="1" t="n">
        <x:v>10</x:v>
      </x:c>
      <x:c r="C2924" s="1" t="n">
        <x:v>6</x:v>
      </x:c>
      <x:c r="D2924" s="12" t="n">
        <x:v>0.5490833333333334</x:v>
      </x:c>
      <x:c r="E2924" s="12" t="n">
        <x:v>0.5690833333333334</x:v>
      </x:c>
      <x:c r="F2924" s="12" t="n">
        <x:v>0</x:v>
      </x:c>
      <x:c r="G2924" s="12" t="n">
        <x:v>0</x:v>
      </x:c>
      <x:c r="H2924" s="1" t="n">
        <x:f>'Historical prices'!E2924</x:f>
        <x:v>1.05</x:v>
      </x:c>
      <x:c r="I2924" s="6" t="n">
        <x:f>'Historical prices'!D2924</x:f>
        <x:v>0.0977</x:v>
      </x:c>
      <x:c r="J2924" s="13" t="n">
        <x:f>D2924*I2924*H2924</x:f>
        <x:v>0.05632771375</x:v>
      </x:c>
      <x:c r="K2924" s="13" t="n">
        <x:f>E2924*I2924*H2924</x:f>
        <x:v>0.058379413750000005</x:v>
      </x:c>
      <x:c r="L2924" s="1" t="str">
        <x:f>TEXT(A2924,"mmm yyyy")</x:f>
        <x:v>Jul 2026</x:v>
      </x:c>
    </x:row>
    <x:row r="2925" ht="21" customHeight="1">
      <x:c r="A2925" s="10" t="n">
        <x:v>46209</x:v>
      </x:c>
      <x:c r="B2925" s="1" t="n">
        <x:v>10.5</x:v>
      </x:c>
      <x:c r="C2925" s="1" t="n">
        <x:v>6</x:v>
      </x:c>
      <x:c r="D2925" s="12" t="n">
        <x:v>0.639</x:v>
      </x:c>
      <x:c r="E2925" s="12" t="n">
        <x:v>0.659</x:v>
      </x:c>
      <x:c r="F2925" s="12" t="n">
        <x:v>0</x:v>
      </x:c>
      <x:c r="G2925" s="12" t="n">
        <x:v>0</x:v>
      </x:c>
      <x:c r="H2925" s="1" t="n">
        <x:f>'Historical prices'!E2925</x:f>
        <x:v>1.05</x:v>
      </x:c>
      <x:c r="I2925" s="6" t="n">
        <x:f>'Historical prices'!D2925</x:f>
        <x:v>0.0888</x:v>
      </x:c>
      <x:c r="J2925" s="13" t="n">
        <x:f>D2925*I2925*H2925</x:f>
        <x:v>0.059580360000000006</x:v>
      </x:c>
      <x:c r="K2925" s="13" t="n">
        <x:f>E2925*I2925*H2925</x:f>
        <x:v>0.06144516000000001</x:v>
      </x:c>
      <x:c r="L2925" s="1" t="str">
        <x:f>TEXT(A2925,"mmm yyyy")</x:f>
        <x:v>Jul 2026</x:v>
      </x:c>
    </x:row>
    <x:row r="2926" ht="21" customHeight="1">
      <x:c r="A2926" s="10" t="n">
        <x:v>46209</x:v>
      </x:c>
      <x:c r="B2926" s="1" t="n">
        <x:v>11</x:v>
      </x:c>
      <x:c r="C2926" s="1" t="n">
        <x:v>6</x:v>
      </x:c>
      <x:c r="D2926" s="12" t="n">
        <x:v>0.5385833333333334</x:v>
      </x:c>
      <x:c r="E2926" s="12" t="n">
        <x:v>0.5585833333333334</x:v>
      </x:c>
      <x:c r="F2926" s="12" t="n">
        <x:v>0</x:v>
      </x:c>
      <x:c r="G2926" s="12" t="n">
        <x:v>0</x:v>
      </x:c>
      <x:c r="H2926" s="1" t="n">
        <x:f>'Historical prices'!E2926</x:f>
        <x:v>1.05</x:v>
      </x:c>
      <x:c r="I2926" s="6" t="n">
        <x:f>'Historical prices'!D2926</x:f>
        <x:v>0.0554</x:v>
      </x:c>
      <x:c r="J2926" s="13" t="n">
        <x:f>D2926*I2926*H2926</x:f>
        <x:v>0.031329392500000004</x:v>
      </x:c>
      <x:c r="K2926" s="13" t="n">
        <x:f>E2926*I2926*H2926</x:f>
        <x:v>0.032492792500000006</x:v>
      </x:c>
      <x:c r="L2926" s="1" t="str">
        <x:f>TEXT(A2926,"mmm yyyy")</x:f>
        <x:v>Jul 2026</x:v>
      </x:c>
    </x:row>
    <x:row r="2927" ht="21" customHeight="1">
      <x:c r="A2927" s="10" t="n">
        <x:v>46209</x:v>
      </x:c>
      <x:c r="B2927" s="1" t="n">
        <x:v>11.5</x:v>
      </x:c>
      <x:c r="C2927" s="1" t="n">
        <x:v>6</x:v>
      </x:c>
      <x:c r="D2927" s="12" t="n">
        <x:v>0.46775000000000005</x:v>
      </x:c>
      <x:c r="E2927" s="12" t="n">
        <x:v>0.48275000000000007</x:v>
      </x:c>
      <x:c r="F2927" s="12" t="n">
        <x:v>0</x:v>
      </x:c>
      <x:c r="G2927" s="12" t="n">
        <x:v>0</x:v>
      </x:c>
      <x:c r="H2927" s="1" t="n">
        <x:f>'Historical prices'!E2927</x:f>
        <x:v>1.05</x:v>
      </x:c>
      <x:c r="I2927" s="6" t="n">
        <x:f>'Historical prices'!D2927</x:f>
        <x:v>0.0462</x:v>
      </x:c>
      <x:c r="J2927" s="13" t="n">
        <x:f>D2927*I2927*H2927</x:f>
        <x:v>0.022690552500000002</x:v>
      </x:c>
      <x:c r="K2927" s="13" t="n">
        <x:f>E2927*I2927*H2927</x:f>
        <x:v>0.023418202500000002</x:v>
      </x:c>
      <x:c r="L2927" s="1" t="str">
        <x:f>TEXT(A2927,"mmm yyyy")</x:f>
        <x:v>Jul 2026</x:v>
      </x:c>
    </x:row>
    <x:row r="2928" ht="21" customHeight="1">
      <x:c r="A2928" s="10" t="n">
        <x:v>46209</x:v>
      </x:c>
      <x:c r="B2928" s="1" t="n">
        <x:v>12</x:v>
      </x:c>
      <x:c r="C2928" s="1" t="n">
        <x:v>6</x:v>
      </x:c>
      <x:c r="D2928" s="12" t="n">
        <x:v>4.514333333333333</x:v>
      </x:c>
      <x:c r="E2928" s="12" t="n">
        <x:v>0.6313333333333334</x:v>
      </x:c>
      <x:c r="F2928" s="12" t="n">
        <x:v>0</x:v>
      </x:c>
      <x:c r="G2928" s="12" t="n">
        <x:v>3.8810000000000002</x:v>
      </x:c>
      <x:c r="H2928" s="1" t="n">
        <x:f>'Historical prices'!E2928</x:f>
        <x:v>1.05</x:v>
      </x:c>
      <x:c r="I2928" s="6" t="n">
        <x:f>'Historical prices'!D2928</x:f>
        <x:v>0.018799999999999997</x:v>
      </x:c>
      <x:c r="J2928" s="13" t="n">
        <x:f>D2928*I2928*H2928</x:f>
        <x:v>0.08911293999999997</x:v>
      </x:c>
      <x:c r="K2928" s="13" t="n">
        <x:f>E2928*I2928*H2928</x:f>
        <x:v>0.01246252</x:v>
      </x:c>
      <x:c r="L2928" s="1" t="str">
        <x:f>TEXT(A2928,"mmm yyyy")</x:f>
        <x:v>Jul 2026</x:v>
      </x:c>
    </x:row>
    <x:row r="2929" ht="21" customHeight="1">
      <x:c r="A2929" s="10" t="n">
        <x:v>46209</x:v>
      </x:c>
      <x:c r="B2929" s="1" t="n">
        <x:v>12.5</x:v>
      </x:c>
      <x:c r="C2929" s="1" t="n">
        <x:v>6</x:v>
      </x:c>
      <x:c r="D2929" s="12" t="n">
        <x:v>5.4254999999999995</x:v>
      </x:c>
      <x:c r="E2929" s="12" t="n">
        <x:v>0.6595</x:v>
      </x:c>
      <x:c r="F2929" s="12" t="n">
        <x:v>0</x:v>
      </x:c>
      <x:c r="G2929" s="12" t="n">
        <x:v>4.766</x:v>
      </x:c>
      <x:c r="H2929" s="1" t="n">
        <x:f>'Historical prices'!E2929</x:f>
        <x:v>1.05</x:v>
      </x:c>
      <x:c r="I2929" s="6" t="n">
        <x:f>'Historical prices'!D2929</x:f>
        <x:v>0.0315</x:v>
      </x:c>
      <x:c r="J2929" s="13" t="n">
        <x:f>D2929*I2929*H2929</x:f>
        <x:v>0.1794484125</x:v>
      </x:c>
      <x:c r="K2929" s="13" t="n">
        <x:f>E2929*I2929*H2929</x:f>
        <x:v>0.0218129625</x:v>
      </x:c>
      <x:c r="L2929" s="1" t="str">
        <x:f>TEXT(A2929,"mmm yyyy")</x:f>
        <x:v>Jul 2026</x:v>
      </x:c>
    </x:row>
    <x:row r="2930" ht="21" customHeight="1">
      <x:c r="A2930" s="10" t="n">
        <x:v>46209</x:v>
      </x:c>
      <x:c r="B2930" s="1" t="n">
        <x:v>13</x:v>
      </x:c>
      <x:c r="C2930" s="1" t="n">
        <x:v>6</x:v>
      </x:c>
      <x:c r="D2930" s="12" t="n">
        <x:v>5.155833333333334</x:v>
      </x:c>
      <x:c r="E2930" s="12" t="n">
        <x:v>0.6778333333333334</x:v>
      </x:c>
      <x:c r="F2930" s="12" t="n">
        <x:v>0</x:v>
      </x:c>
      <x:c r="G2930" s="12" t="n">
        <x:v>4.478</x:v>
      </x:c>
      <x:c r="H2930" s="1" t="n">
        <x:f>'Historical prices'!E2930</x:f>
        <x:v>1.05</x:v>
      </x:c>
      <x:c r="I2930" s="6" t="n">
        <x:f>'Historical prices'!D2930</x:f>
        <x:v>0.010700000000000001</x:v>
      </x:c>
      <x:c r="J2930" s="13" t="n">
        <x:f>D2930*I2930*H2930</x:f>
        <x:v>0.05792578750000001</x:v>
      </x:c>
      <x:c r="K2930" s="13" t="n">
        <x:f>E2930*I2930*H2930</x:f>
        <x:v>0.007615457500000002</x:v>
      </x:c>
      <x:c r="L2930" s="1" t="str">
        <x:f>TEXT(A2930,"mmm yyyy")</x:f>
        <x:v>Jul 2026</x:v>
      </x:c>
    </x:row>
    <x:row r="2931" ht="21" customHeight="1">
      <x:c r="A2931" s="10" t="n">
        <x:v>46209</x:v>
      </x:c>
      <x:c r="B2931" s="1" t="n">
        <x:v>13.5</x:v>
      </x:c>
      <x:c r="C2931" s="1" t="n">
        <x:v>6</x:v>
      </x:c>
      <x:c r="D2931" s="12" t="n">
        <x:v>4.830333333333334</x:v>
      </x:c>
      <x:c r="E2931" s="12" t="n">
        <x:v>0.5883333333333334</x:v>
      </x:c>
      <x:c r="F2931" s="12" t="n">
        <x:v>0</x:v>
      </x:c>
      <x:c r="G2931" s="12" t="n">
        <x:v>4.242</x:v>
      </x:c>
      <x:c r="H2931" s="1" t="n">
        <x:f>'Historical prices'!E2931</x:f>
        <x:v>1.05</x:v>
      </x:c>
      <x:c r="I2931" s="6" t="n">
        <x:f>'Historical prices'!D2931</x:f>
        <x:v>0.0233</x:v>
      </x:c>
      <x:c r="J2931" s="13" t="n">
        <x:f>D2931*I2931*H2931</x:f>
        <x:v>0.11817410500000003</x:v>
      </x:c>
      <x:c r="K2931" s="13" t="n">
        <x:f>E2931*I2931*H2931</x:f>
        <x:v>0.014393575000000002</x:v>
      </x:c>
      <x:c r="L2931" s="1" t="str">
        <x:f>TEXT(A2931,"mmm yyyy")</x:f>
        <x:v>Jul 2026</x:v>
      </x:c>
    </x:row>
    <x:row r="2932" ht="21" customHeight="1">
      <x:c r="A2932" s="10" t="n">
        <x:v>46209</x:v>
      </x:c>
      <x:c r="B2932" s="1" t="n">
        <x:v>14</x:v>
      </x:c>
      <x:c r="C2932" s="1" t="n">
        <x:v>6</x:v>
      </x:c>
      <x:c r="D2932" s="12" t="n">
        <x:v>1.2063333333333335</x:v>
      </x:c>
      <x:c r="E2932" s="12" t="n">
        <x:v>0.41133333333333333</x:v>
      </x:c>
      <x:c r="F2932" s="12" t="n">
        <x:v>0</x:v>
      </x:c>
      <x:c r="G2932" s="12" t="n">
        <x:v>0.8</x:v>
      </x:c>
      <x:c r="H2932" s="1" t="n">
        <x:f>'Historical prices'!E2932</x:f>
        <x:v>1.05</x:v>
      </x:c>
      <x:c r="I2932" s="6" t="n">
        <x:f>'Historical prices'!D2932</x:f>
        <x:v>0.0369</x:v>
      </x:c>
      <x:c r="J2932" s="13" t="n">
        <x:f>D2932*I2932*H2932</x:f>
        <x:v>0.046739385000000015</x:v>
      </x:c>
      <x:c r="K2932" s="13" t="n">
        <x:f>E2932*I2932*H2932</x:f>
        <x:v>0.01593711</x:v>
      </x:c>
      <x:c r="L2932" s="1" t="str">
        <x:f>TEXT(A2932,"mmm yyyy")</x:f>
        <x:v>Jul 2026</x:v>
      </x:c>
    </x:row>
    <x:row r="2933" ht="21" customHeight="1">
      <x:c r="A2933" s="10" t="n">
        <x:v>46209</x:v>
      </x:c>
      <x:c r="B2933" s="1" t="n">
        <x:v>14.5</x:v>
      </x:c>
      <x:c r="C2933" s="1" t="n">
        <x:v>6</x:v>
      </x:c>
      <x:c r="D2933" s="12" t="n">
        <x:v>4.194500000000001</x:v>
      </x:c>
      <x:c r="E2933" s="12" t="n">
        <x:v>0.5935</x:v>
      </x:c>
      <x:c r="F2933" s="12" t="n">
        <x:v>0</x:v>
      </x:c>
      <x:c r="G2933" s="12" t="n">
        <x:v>3.6010000000000004</x:v>
      </x:c>
      <x:c r="H2933" s="1" t="n">
        <x:f>'Historical prices'!E2933</x:f>
        <x:v>1.05</x:v>
      </x:c>
      <x:c r="I2933" s="6" t="n">
        <x:f>'Historical prices'!D2933</x:f>
        <x:v>0.0336</x:v>
      </x:c>
      <x:c r="J2933" s="13" t="n">
        <x:f>D2933*I2933*H2933</x:f>
        <x:v>0.14798196000000002</x:v>
      </x:c>
      <x:c r="K2933" s="13" t="n">
        <x:f>E2933*I2933*H2933</x:f>
        <x:v>0.02093868</x:v>
      </x:c>
      <x:c r="L2933" s="1" t="str">
        <x:f>TEXT(A2933,"mmm yyyy")</x:f>
        <x:v>Jul 2026</x:v>
      </x:c>
    </x:row>
    <x:row r="2934" ht="21" customHeight="1">
      <x:c r="A2934" s="10" t="n">
        <x:v>46209</x:v>
      </x:c>
      <x:c r="B2934" s="1" t="n">
        <x:v>15</x:v>
      </x:c>
      <x:c r="C2934" s="1" t="n">
        <x:v>6</x:v>
      </x:c>
      <x:c r="D2934" s="12" t="n">
        <x:v>1.0690833333333332</x:v>
      </x:c>
      <x:c r="E2934" s="12" t="n">
        <x:v>0.4310833333333334</x:v>
      </x:c>
      <x:c r="F2934" s="12" t="n">
        <x:v>0</x:v>
      </x:c>
      <x:c r="G2934" s="12" t="n">
        <x:v>0.643</x:v>
      </x:c>
      <x:c r="H2934" s="1" t="n">
        <x:f>'Historical prices'!E2934</x:f>
        <x:v>1.05</x:v>
      </x:c>
      <x:c r="I2934" s="6" t="n">
        <x:f>'Historical prices'!D2934</x:f>
        <x:v>0.0447</x:v>
      </x:c>
      <x:c r="J2934" s="13" t="n">
        <x:f>D2934*I2934*H2934</x:f>
        <x:v>0.05017742624999999</x:v>
      </x:c>
      <x:c r="K2934" s="13" t="n">
        <x:f>E2934*I2934*H2934</x:f>
        <x:v>0.02023289625</x:v>
      </x:c>
      <x:c r="L2934" s="1" t="str">
        <x:f>TEXT(A2934,"mmm yyyy")</x:f>
        <x:v>Jul 2026</x:v>
      </x:c>
    </x:row>
    <x:row r="2935" ht="21" customHeight="1">
      <x:c r="A2935" s="10" t="n">
        <x:v>46209</x:v>
      </x:c>
      <x:c r="B2935" s="1" t="n">
        <x:v>15.5</x:v>
      </x:c>
      <x:c r="C2935" s="1" t="n">
        <x:v>6</x:v>
      </x:c>
      <x:c r="D2935" s="12" t="n">
        <x:v>0.14425</x:v>
      </x:c>
      <x:c r="E2935" s="12" t="n">
        <x:v>0.47558333333333336</x:v>
      </x:c>
      <x:c r="F2935" s="12" t="n">
        <x:v>0.3259166666666667</x:v>
      </x:c>
      <x:c r="G2935" s="12" t="n">
        <x:v>0</x:v>
      </x:c>
      <x:c r="H2935" s="1" t="n">
        <x:f>'Historical prices'!E2935</x:f>
        <x:v>1.05</x:v>
      </x:c>
      <x:c r="I2935" s="6" t="n">
        <x:f>'Historical prices'!D2935</x:f>
        <x:v>0.0678</x:v>
      </x:c>
      <x:c r="J2935" s="13" t="n">
        <x:f>D2935*I2935*H2935</x:f>
        <x:v>0.0102691575</x:v>
      </x:c>
      <x:c r="K2935" s="13" t="n">
        <x:f>E2935*I2935*H2935</x:f>
        <x:v>0.033856777500000004</x:v>
      </x:c>
      <x:c r="L2935" s="1" t="str">
        <x:f>TEXT(A2935,"mmm yyyy")</x:f>
        <x:v>Jul 2026</x:v>
      </x:c>
    </x:row>
    <x:row r="2936" ht="21" customHeight="1">
      <x:c r="A2936" s="10" t="n">
        <x:v>46209</x:v>
      </x:c>
      <x:c r="B2936" s="1" t="n">
        <x:v>16</x:v>
      </x:c>
      <x:c r="C2936" s="1" t="n">
        <x:v>6</x:v>
      </x:c>
      <x:c r="D2936" s="12" t="n">
        <x:v>0</x:v>
      </x:c>
      <x:c r="E2936" s="12" t="n">
        <x:v>0.45375</x:v>
      </x:c>
      <x:c r="F2936" s="12" t="n">
        <x:v>0.4488333333333334</x:v>
      </x:c>
      <x:c r="G2936" s="12" t="n">
        <x:v>0</x:v>
      </x:c>
      <x:c r="H2936" s="1" t="n">
        <x:f>'Historical prices'!E2936</x:f>
        <x:v>1.05</x:v>
      </x:c>
      <x:c r="I2936" s="6" t="n">
        <x:f>'Historical prices'!D2936</x:f>
        <x:v>0.2462</x:v>
      </x:c>
      <x:c r="J2936" s="13" t="n">
        <x:f>D2936*I2936*H2936</x:f>
        <x:v>0</x:v>
      </x:c>
      <x:c r="K2936" s="13" t="n">
        <x:f>E2936*I2936*H2936</x:f>
        <x:v>0.1172989125</x:v>
      </x:c>
      <x:c r="L2936" s="1" t="str">
        <x:f>TEXT(A2936,"mmm yyyy")</x:f>
        <x:v>Jul 2026</x:v>
      </x:c>
    </x:row>
    <x:row r="2937" ht="21" customHeight="1">
      <x:c r="A2937" s="10" t="n">
        <x:v>46209</x:v>
      </x:c>
      <x:c r="B2937" s="1" t="n">
        <x:v>16.5</x:v>
      </x:c>
      <x:c r="C2937" s="1" t="n">
        <x:v>6</x:v>
      </x:c>
      <x:c r="D2937" s="12" t="n">
        <x:v>0</x:v>
      </x:c>
      <x:c r="E2937" s="12" t="n">
        <x:v>0.4661666666666666</x:v>
      </x:c>
      <x:c r="F2937" s="12" t="n">
        <x:v>0.46575</x:v>
      </x:c>
      <x:c r="G2937" s="12" t="n">
        <x:v>0</x:v>
      </x:c>
      <x:c r="H2937" s="1" t="n">
        <x:f>'Historical prices'!E2937</x:f>
        <x:v>1.05</x:v>
      </x:c>
      <x:c r="I2937" s="6" t="n">
        <x:f>'Historical prices'!D2937</x:f>
        <x:v>0.2395</x:v>
      </x:c>
      <x:c r="J2937" s="13" t="n">
        <x:f>D2937*I2937*H2937</x:f>
        <x:v>0</x:v>
      </x:c>
      <x:c r="K2937" s="13" t="n">
        <x:f>E2937*I2937*H2937</x:f>
        <x:v>0.11722926249999999</x:v>
      </x:c>
      <x:c r="L2937" s="1" t="str">
        <x:f>TEXT(A2937,"mmm yyyy")</x:f>
        <x:v>Jul 2026</x:v>
      </x:c>
    </x:row>
    <x:row r="2938" ht="21" customHeight="1">
      <x:c r="A2938" s="10" t="n">
        <x:v>46209</x:v>
      </x:c>
      <x:c r="B2938" s="1" t="n">
        <x:v>17</x:v>
      </x:c>
      <x:c r="C2938" s="1" t="n">
        <x:v>6</x:v>
      </x:c>
      <x:c r="D2938" s="12" t="n">
        <x:v>0</x:v>
      </x:c>
      <x:c r="E2938" s="12" t="n">
        <x:v>0.47108333333333335</x:v>
      </x:c>
      <x:c r="F2938" s="12" t="n">
        <x:v>0.47050000000000003</x:v>
      </x:c>
      <x:c r="G2938" s="12" t="n">
        <x:v>0</x:v>
      </x:c>
      <x:c r="H2938" s="1" t="n">
        <x:f>'Historical prices'!E2938</x:f>
        <x:v>1.05</x:v>
      </x:c>
      <x:c r="I2938" s="6" t="n">
        <x:f>'Historical prices'!D2938</x:f>
        <x:v>0.2735</x:v>
      </x:c>
      <x:c r="J2938" s="13" t="n">
        <x:f>D2938*I2938*H2938</x:f>
        <x:v>0</x:v>
      </x:c>
      <x:c r="K2938" s="13" t="n">
        <x:f>E2938*I2938*H2938</x:f>
        <x:v>0.13528335625000004</x:v>
      </x:c>
      <x:c r="L2938" s="1" t="str">
        <x:f>TEXT(A2938,"mmm yyyy")</x:f>
        <x:v>Jul 2026</x:v>
      </x:c>
    </x:row>
    <x:row r="2939" ht="21" customHeight="1">
      <x:c r="A2939" s="10" t="n">
        <x:v>46209</x:v>
      </x:c>
      <x:c r="B2939" s="1" t="n">
        <x:v>17.5</x:v>
      </x:c>
      <x:c r="C2939" s="1" t="n">
        <x:v>6</x:v>
      </x:c>
      <x:c r="D2939" s="12" t="n">
        <x:v>0</x:v>
      </x:c>
      <x:c r="E2939" s="12" t="n">
        <x:v>0.49825</x:v>
      </x:c>
      <x:c r="F2939" s="12" t="n">
        <x:v>0.49591666666666673</x:v>
      </x:c>
      <x:c r="G2939" s="12" t="n">
        <x:v>0</x:v>
      </x:c>
      <x:c r="H2939" s="1" t="n">
        <x:f>'Historical prices'!E2939</x:f>
        <x:v>1.05</x:v>
      </x:c>
      <x:c r="I2939" s="6" t="n">
        <x:f>'Historical prices'!D2939</x:f>
        <x:v>0.2912</x:v>
      </x:c>
      <x:c r="J2939" s="13" t="n">
        <x:f>D2939*I2939*H2939</x:f>
        <x:v>0</x:v>
      </x:c>
      <x:c r="K2939" s="13" t="n">
        <x:f>E2939*I2939*H2939</x:f>
        <x:v>0.15234492000000002</x:v>
      </x:c>
      <x:c r="L2939" s="1" t="str">
        <x:f>TEXT(A2939,"mmm yyyy")</x:f>
        <x:v>Jul 2026</x:v>
      </x:c>
    </x:row>
    <x:row r="2940" ht="21" customHeight="1">
      <x:c r="A2940" s="10" t="n">
        <x:v>46209</x:v>
      </x:c>
      <x:c r="B2940" s="1" t="n">
        <x:v>18</x:v>
      </x:c>
      <x:c r="C2940" s="1" t="n">
        <x:v>6</x:v>
      </x:c>
      <x:c r="D2940" s="12" t="n">
        <x:v>0</x:v>
      </x:c>
      <x:c r="E2940" s="12" t="n">
        <x:v>0.5088333333333334</x:v>
      </x:c>
      <x:c r="F2940" s="12" t="n">
        <x:v>0.5085833333333334</x:v>
      </x:c>
      <x:c r="G2940" s="12" t="n">
        <x:v>0</x:v>
      </x:c>
      <x:c r="H2940" s="1" t="n">
        <x:f>'Historical prices'!E2940</x:f>
        <x:v>1.05</x:v>
      </x:c>
      <x:c r="I2940" s="6" t="n">
        <x:f>'Historical prices'!D2940</x:f>
        <x:v>0.3046</x:v>
      </x:c>
      <x:c r="J2940" s="13" t="n">
        <x:f>D2940*I2940*H2940</x:f>
        <x:v>0</x:v>
      </x:c>
      <x:c r="K2940" s="13" t="n">
        <x:f>E2940*I2940*H2940</x:f>
        <x:v>0.162740165</x:v>
      </x:c>
      <x:c r="L2940" s="1" t="str">
        <x:f>TEXT(A2940,"mmm yyyy")</x:f>
        <x:v>Jul 2026</x:v>
      </x:c>
    </x:row>
    <x:row r="2941" ht="21" customHeight="1">
      <x:c r="A2941" s="10" t="n">
        <x:v>46209</x:v>
      </x:c>
      <x:c r="B2941" s="1" t="n">
        <x:v>18.5</x:v>
      </x:c>
      <x:c r="C2941" s="1" t="n">
        <x:v>6</x:v>
      </x:c>
      <x:c r="D2941" s="12" t="n">
        <x:v>0</x:v>
      </x:c>
      <x:c r="E2941" s="12" t="n">
        <x:v>0.4536666666666667</x:v>
      </x:c>
      <x:c r="F2941" s="12" t="n">
        <x:v>0.44983333333333336</x:v>
      </x:c>
      <x:c r="G2941" s="12" t="n">
        <x:v>0</x:v>
      </x:c>
      <x:c r="H2941" s="1" t="n">
        <x:f>'Historical prices'!E2941</x:f>
        <x:v>1.05</x:v>
      </x:c>
      <x:c r="I2941" s="6" t="n">
        <x:f>'Historical prices'!D2941</x:f>
        <x:v>0.3068</x:v>
      </x:c>
      <x:c r="J2941" s="13" t="n">
        <x:f>D2941*I2941*H2941</x:f>
        <x:v>0</x:v>
      </x:c>
      <x:c r="K2941" s="13" t="n">
        <x:f>E2941*I2941*H2941</x:f>
        <x:v>0.14614418</x:v>
      </x:c>
      <x:c r="L2941" s="1" t="str">
        <x:f>TEXT(A2941,"mmm yyyy")</x:f>
        <x:v>Jul 2026</x:v>
      </x:c>
    </x:row>
    <x:row r="2942" ht="21" customHeight="1">
      <x:c r="A2942" s="10" t="n">
        <x:v>46209</x:v>
      </x:c>
      <x:c r="B2942" s="1" t="n">
        <x:v>19</x:v>
      </x:c>
      <x:c r="C2942" s="1" t="n">
        <x:v>6</x:v>
      </x:c>
      <x:c r="D2942" s="12" t="n">
        <x:v>0</x:v>
      </x:c>
      <x:c r="E2942" s="12" t="n">
        <x:v>0.8370833333333333</x:v>
      </x:c>
      <x:c r="F2942" s="12" t="n">
        <x:v>0.83675</x:v>
      </x:c>
      <x:c r="G2942" s="12" t="n">
        <x:v>0</x:v>
      </x:c>
      <x:c r="H2942" s="1" t="n">
        <x:f>'Historical prices'!E2942</x:f>
        <x:v>1.05</x:v>
      </x:c>
      <x:c r="I2942" s="6" t="n">
        <x:f>'Historical prices'!D2942</x:f>
        <x:v>0.2186</x:v>
      </x:c>
      <x:c r="J2942" s="13" t="n">
        <x:f>D2942*I2942*H2942</x:f>
        <x:v>0</x:v>
      </x:c>
      <x:c r="K2942" s="13" t="n">
        <x:f>E2942*I2942*H2942</x:f>
        <x:v>0.1921357375</x:v>
      </x:c>
      <x:c r="L2942" s="1" t="str">
        <x:f>TEXT(A2942,"mmm yyyy")</x:f>
        <x:v>Jul 2026</x:v>
      </x:c>
    </x:row>
    <x:row r="2943" ht="21" customHeight="1">
      <x:c r="A2943" s="10" t="n">
        <x:v>46209</x:v>
      </x:c>
      <x:c r="B2943" s="1" t="n">
        <x:v>19.5</x:v>
      </x:c>
      <x:c r="C2943" s="1" t="n">
        <x:v>6</x:v>
      </x:c>
      <x:c r="D2943" s="12" t="n">
        <x:v>0</x:v>
      </x:c>
      <x:c r="E2943" s="12" t="n">
        <x:v>1.1978333333333333</x:v>
      </x:c>
      <x:c r="F2943" s="12" t="n">
        <x:v>1.1975</x:v>
      </x:c>
      <x:c r="G2943" s="12" t="n">
        <x:v>0</x:v>
      </x:c>
      <x:c r="H2943" s="1" t="n">
        <x:f>'Historical prices'!E2943</x:f>
        <x:v>1.05</x:v>
      </x:c>
      <x:c r="I2943" s="6" t="n">
        <x:f>'Historical prices'!D2943</x:f>
        <x:v>0.21710000000000002</x:v>
      </x:c>
      <x:c r="J2943" s="13" t="n">
        <x:f>D2943*I2943*H2943</x:f>
        <x:v>0</x:v>
      </x:c>
      <x:c r="K2943" s="13" t="n">
        <x:f>E2943*I2943*H2943</x:f>
        <x:v>0.27305209750000003</x:v>
      </x:c>
      <x:c r="L2943" s="1" t="str">
        <x:f>TEXT(A2943,"mmm yyyy")</x:f>
        <x:v>Jul 2026</x:v>
      </x:c>
    </x:row>
    <x:row r="2944" ht="21" customHeight="1">
      <x:c r="A2944" s="10" t="n">
        <x:v>46209</x:v>
      </x:c>
      <x:c r="B2944" s="1" t="n">
        <x:v>20</x:v>
      </x:c>
      <x:c r="C2944" s="1" t="n">
        <x:v>6</x:v>
      </x:c>
      <x:c r="D2944" s="12" t="n">
        <x:v>0</x:v>
      </x:c>
      <x:c r="E2944" s="12" t="n">
        <x:v>0.44883333333333336</x:v>
      </x:c>
      <x:c r="F2944" s="12" t="n">
        <x:v>0.44875000000000004</x:v>
      </x:c>
      <x:c r="G2944" s="12" t="n">
        <x:v>0</x:v>
      </x:c>
      <x:c r="H2944" s="1" t="n">
        <x:f>'Historical prices'!E2944</x:f>
        <x:v>1.05</x:v>
      </x:c>
      <x:c r="I2944" s="6" t="n">
        <x:f>'Historical prices'!D2944</x:f>
        <x:v>0.2207</x:v>
      </x:c>
      <x:c r="J2944" s="13" t="n">
        <x:f>D2944*I2944*H2944</x:f>
        <x:v>0</x:v>
      </x:c>
      <x:c r="K2944" s="13" t="n">
        <x:f>E2944*I2944*H2944</x:f>
        <x:v>0.10401039250000002</x:v>
      </x:c>
      <x:c r="L2944" s="1" t="str">
        <x:f>TEXT(A2944,"mmm yyyy")</x:f>
        <x:v>Jul 2026</x:v>
      </x:c>
    </x:row>
    <x:row r="2945" ht="21" customHeight="1">
      <x:c r="A2945" s="10" t="n">
        <x:v>46209</x:v>
      </x:c>
      <x:c r="B2945" s="1" t="n">
        <x:v>20.5</x:v>
      </x:c>
      <x:c r="C2945" s="1" t="n">
        <x:v>6</x:v>
      </x:c>
      <x:c r="D2945" s="12" t="n">
        <x:v>0</x:v>
      </x:c>
      <x:c r="E2945" s="12" t="n">
        <x:v>0.5640833333333333</x:v>
      </x:c>
      <x:c r="F2945" s="12" t="n">
        <x:v>0.5638333333333333</x:v>
      </x:c>
      <x:c r="G2945" s="12" t="n">
        <x:v>0</x:v>
      </x:c>
      <x:c r="H2945" s="1" t="n">
        <x:f>'Historical prices'!E2945</x:f>
        <x:v>1.05</x:v>
      </x:c>
      <x:c r="I2945" s="6" t="n">
        <x:f>'Historical prices'!D2945</x:f>
        <x:v>0.2207</x:v>
      </x:c>
      <x:c r="J2945" s="13" t="n">
        <x:f>D2945*I2945*H2945</x:f>
        <x:v>0</x:v>
      </x:c>
      <x:c r="K2945" s="13" t="n">
        <x:f>E2945*I2945*H2945</x:f>
        <x:v>0.13071785125</x:v>
      </x:c>
      <x:c r="L2945" s="1" t="str">
        <x:f>TEXT(A2945,"mmm yyyy")</x:f>
        <x:v>Jul 2026</x:v>
      </x:c>
    </x:row>
    <x:row r="2946" ht="21" customHeight="1">
      <x:c r="A2946" s="10" t="n">
        <x:v>46209</x:v>
      </x:c>
      <x:c r="B2946" s="1" t="n">
        <x:v>21</x:v>
      </x:c>
      <x:c r="C2946" s="1" t="n">
        <x:v>6</x:v>
      </x:c>
      <x:c r="D2946" s="12" t="n">
        <x:v>0</x:v>
      </x:c>
      <x:c r="E2946" s="12" t="n">
        <x:v>0.49483333333333335</x:v>
      </x:c>
      <x:c r="F2946" s="12" t="n">
        <x:v>0.49475</x:v>
      </x:c>
      <x:c r="G2946" s="12" t="n">
        <x:v>0</x:v>
      </x:c>
      <x:c r="H2946" s="1" t="n">
        <x:f>'Historical prices'!E2946</x:f>
        <x:v>1.05</x:v>
      </x:c>
      <x:c r="I2946" s="6" t="n">
        <x:f>'Historical prices'!D2946</x:f>
        <x:v>0.2192</x:v>
      </x:c>
      <x:c r="J2946" s="13" t="n">
        <x:f>D2946*I2946*H2946</x:f>
        <x:v>0</x:v>
      </x:c>
      <x:c r="K2946" s="13" t="n">
        <x:f>E2946*I2946*H2946</x:f>
        <x:v>0.11389084000000002</x:v>
      </x:c>
      <x:c r="L2946" s="1" t="str">
        <x:f>TEXT(A2946,"mmm yyyy")</x:f>
        <x:v>Jul 2026</x:v>
      </x:c>
    </x:row>
    <x:row r="2947" ht="21" customHeight="1">
      <x:c r="A2947" s="10" t="n">
        <x:v>46209</x:v>
      </x:c>
      <x:c r="B2947" s="1" t="n">
        <x:v>21.5</x:v>
      </x:c>
      <x:c r="C2947" s="1" t="n">
        <x:v>6</x:v>
      </x:c>
      <x:c r="D2947" s="12" t="n">
        <x:v>0</x:v>
      </x:c>
      <x:c r="E2947" s="12" t="n">
        <x:v>0.46975</x:v>
      </x:c>
      <x:c r="F2947" s="12" t="n">
        <x:v>0.46975</x:v>
      </x:c>
      <x:c r="G2947" s="12" t="n">
        <x:v>0</x:v>
      </x:c>
      <x:c r="H2947" s="1" t="n">
        <x:f>'Historical prices'!E2947</x:f>
        <x:v>1.05</x:v>
      </x:c>
      <x:c r="I2947" s="6" t="n">
        <x:f>'Historical prices'!D2947</x:f>
        <x:v>0.2186</x:v>
      </x:c>
      <x:c r="J2947" s="13" t="n">
        <x:f>D2947*I2947*H2947</x:f>
        <x:v>0</x:v>
      </x:c>
      <x:c r="K2947" s="13" t="n">
        <x:f>E2947*I2947*H2947</x:f>
        <x:v>0.1078217175</x:v>
      </x:c>
      <x:c r="L2947" s="1" t="str">
        <x:f>TEXT(A2947,"mmm yyyy")</x:f>
        <x:v>Jul 2026</x:v>
      </x:c>
    </x:row>
    <x:row r="2948" ht="21" customHeight="1">
      <x:c r="A2948" s="10" t="n">
        <x:v>46209</x:v>
      </x:c>
      <x:c r="B2948" s="1" t="n">
        <x:v>22</x:v>
      </x:c>
      <x:c r="C2948" s="1" t="n">
        <x:v>6</x:v>
      </x:c>
      <x:c r="D2948" s="12" t="n">
        <x:v>0</x:v>
      </x:c>
      <x:c r="E2948" s="12" t="n">
        <x:v>0.42383333333333334</x:v>
      </x:c>
      <x:c r="F2948" s="12" t="n">
        <x:v>0.4235833333333333</x:v>
      </x:c>
      <x:c r="G2948" s="12" t="n">
        <x:v>0</x:v>
      </x:c>
      <x:c r="H2948" s="1" t="n">
        <x:f>'Historical prices'!E2948</x:f>
        <x:v>1.05</x:v>
      </x:c>
      <x:c r="I2948" s="6" t="n">
        <x:f>'Historical prices'!D2948</x:f>
        <x:v>0.2113</x:v>
      </x:c>
      <x:c r="J2948" s="13" t="n">
        <x:f>D2948*I2948*H2948</x:f>
        <x:v>0</x:v>
      </x:c>
      <x:c r="K2948" s="13" t="n">
        <x:f>E2948*I2948*H2948</x:f>
        <x:v>0.0940337825</x:v>
      </x:c>
      <x:c r="L2948" s="1" t="str">
        <x:f>TEXT(A2948,"mmm yyyy")</x:f>
        <x:v>Jul 2026</x:v>
      </x:c>
    </x:row>
    <x:row r="2949" ht="21" customHeight="1">
      <x:c r="A2949" s="10" t="n">
        <x:v>46209</x:v>
      </x:c>
      <x:c r="B2949" s="1" t="n">
        <x:v>22.5</x:v>
      </x:c>
      <x:c r="C2949" s="1" t="n">
        <x:v>6</x:v>
      </x:c>
      <x:c r="D2949" s="12" t="n">
        <x:v>0</x:v>
      </x:c>
      <x:c r="E2949" s="12" t="n">
        <x:v>0.36975</x:v>
      </x:c>
      <x:c r="F2949" s="12" t="n">
        <x:v>0.3695833333333333</x:v>
      </x:c>
      <x:c r="G2949" s="12" t="n">
        <x:v>0</x:v>
      </x:c>
      <x:c r="H2949" s="1" t="n">
        <x:f>'Historical prices'!E2949</x:f>
        <x:v>1.05</x:v>
      </x:c>
      <x:c r="I2949" s="6" t="n">
        <x:f>'Historical prices'!D2949</x:f>
        <x:v>0.1839</x:v>
      </x:c>
      <x:c r="J2949" s="13" t="n">
        <x:f>D2949*I2949*H2949</x:f>
        <x:v>0</x:v>
      </x:c>
      <x:c r="K2949" s="13" t="n">
        <x:f>E2949*I2949*H2949</x:f>
        <x:v>0.07139687625</x:v>
      </x:c>
      <x:c r="L2949" s="1" t="str">
        <x:f>TEXT(A2949,"mmm yyyy")</x:f>
        <x:v>Jul 2026</x:v>
      </x:c>
    </x:row>
    <x:row r="2950" ht="21" customHeight="1">
      <x:c r="A2950" s="10" t="n">
        <x:v>46209</x:v>
      </x:c>
      <x:c r="B2950" s="1" t="n">
        <x:v>23</x:v>
      </x:c>
      <x:c r="C2950" s="1" t="n">
        <x:v>6</x:v>
      </x:c>
      <x:c r="D2950" s="12" t="n">
        <x:v>0</x:v>
      </x:c>
      <x:c r="E2950" s="12" t="n">
        <x:v>0.32275</x:v>
      </x:c>
      <x:c r="F2950" s="12" t="n">
        <x:v>0.32275</x:v>
      </x:c>
      <x:c r="G2950" s="12" t="n">
        <x:v>0</x:v>
      </x:c>
      <x:c r="H2950" s="1" t="n">
        <x:f>'Historical prices'!E2950</x:f>
        <x:v>1.05</x:v>
      </x:c>
      <x:c r="I2950" s="6" t="n">
        <x:f>'Historical prices'!D2950</x:f>
        <x:v>0.1808</x:v>
      </x:c>
      <x:c r="J2950" s="13" t="n">
        <x:f>D2950*I2950*H2950</x:f>
        <x:v>0</x:v>
      </x:c>
      <x:c r="K2950" s="13" t="n">
        <x:f>E2950*I2950*H2950</x:f>
        <x:v>0.061270859999999996</x:v>
      </x:c>
      <x:c r="L2950" s="1" t="str">
        <x:f>TEXT(A2950,"mmm yyyy")</x:f>
        <x:v>Jul 2026</x:v>
      </x:c>
    </x:row>
    <x:row r="2951" ht="21" customHeight="1">
      <x:c r="A2951" s="10" t="n">
        <x:v>46209</x:v>
      </x:c>
      <x:c r="B2951" s="1" t="n">
        <x:v>23.5</x:v>
      </x:c>
      <x:c r="C2951" s="1" t="n">
        <x:v>6</x:v>
      </x:c>
      <x:c r="D2951" s="12" t="n">
        <x:v>0</x:v>
      </x:c>
      <x:c r="E2951" s="12" t="n">
        <x:v>0.31483333333333335</x:v>
      </x:c>
      <x:c r="F2951" s="12" t="n">
        <x:v>0.31475000000000003</x:v>
      </x:c>
      <x:c r="G2951" s="12" t="n">
        <x:v>0</x:v>
      </x:c>
      <x:c r="H2951" s="1" t="n">
        <x:f>'Historical prices'!E2951</x:f>
        <x:v>1.05</x:v>
      </x:c>
      <x:c r="I2951" s="6" t="n">
        <x:f>'Historical prices'!D2951</x:f>
        <x:v>0.1948</x:v>
      </x:c>
      <x:c r="J2951" s="13" t="n">
        <x:f>D2951*I2951*H2951</x:f>
        <x:v>0</x:v>
      </x:c>
      <x:c r="K2951" s="13" t="n">
        <x:f>E2951*I2951*H2951</x:f>
        <x:v>0.06439601</x:v>
      </x:c>
      <x:c r="L2951" s="1" t="str">
        <x:f>TEXT(A2951,"mmm yyyy")</x:f>
        <x:v>Jul 2026</x:v>
      </x:c>
    </x:row>
    <x:row r="2952" ht="21" customHeight="1">
      <x:c r="A2952" s="10" t="n">
        <x:v>46210</x:v>
      </x:c>
      <x:c r="B2952" s="1" t="n">
        <x:v>0</x:v>
      </x:c>
      <x:c r="C2952" s="1" t="n">
        <x:v>6</x:v>
      </x:c>
      <x:c r="D2952" s="12" t="n">
        <x:v>0</x:v>
      </x:c>
      <x:c r="E2952" s="12" t="n">
        <x:v>0.32600000000000007</x:v>
      </x:c>
      <x:c r="F2952" s="12" t="n">
        <x:v>0.3255833333333333</x:v>
      </x:c>
      <x:c r="G2952" s="12" t="n">
        <x:v>0</x:v>
      </x:c>
      <x:c r="H2952" s="1" t="n">
        <x:f>'Historical prices'!E2952</x:f>
        <x:v>1.05</x:v>
      </x:c>
      <x:c r="I2952" s="6" t="n">
        <x:f>'Historical prices'!D2952</x:f>
        <x:v>0.1918</x:v>
      </x:c>
      <x:c r="J2952" s="13" t="n">
        <x:f>D2952*I2952*H2952</x:f>
        <x:v>0</x:v>
      </x:c>
      <x:c r="K2952" s="13" t="n">
        <x:f>E2952*I2952*H2952</x:f>
        <x:v>0.06565314000000001</x:v>
      </x:c>
      <x:c r="L2952" s="1" t="str">
        <x:f>TEXT(A2952,"mmm yyyy")</x:f>
        <x:v>Jul 2026</x:v>
      </x:c>
    </x:row>
    <x:row r="2953" ht="21" customHeight="1">
      <x:c r="A2953" s="10" t="n">
        <x:v>46210</x:v>
      </x:c>
      <x:c r="B2953" s="1" t="n">
        <x:v>0.5</x:v>
      </x:c>
      <x:c r="C2953" s="1" t="n">
        <x:v>6</x:v>
      </x:c>
      <x:c r="D2953" s="12" t="n">
        <x:v>0</x:v>
      </x:c>
      <x:c r="E2953" s="12" t="n">
        <x:v>0.3139166666666667</x:v>
      </x:c>
      <x:c r="F2953" s="12" t="n">
        <x:v>0.31375</x:v>
      </x:c>
      <x:c r="G2953" s="12" t="n">
        <x:v>0</x:v>
      </x:c>
      <x:c r="H2953" s="1" t="n">
        <x:f>'Historical prices'!E2953</x:f>
        <x:v>1.05</x:v>
      </x:c>
      <x:c r="I2953" s="6" t="n">
        <x:f>'Historical prices'!D2953</x:f>
        <x:v>0.18760000000000002</x:v>
      </x:c>
      <x:c r="J2953" s="13" t="n">
        <x:f>D2953*I2953*H2953</x:f>
        <x:v>0</x:v>
      </x:c>
      <x:c r="K2953" s="13" t="n">
        <x:f>E2953*I2953*H2953</x:f>
        <x:v>0.06183530500000001</x:v>
      </x:c>
      <x:c r="L2953" s="1" t="str">
        <x:f>TEXT(A2953,"mmm yyyy")</x:f>
        <x:v>Jul 2026</x:v>
      </x:c>
    </x:row>
    <x:row r="2954" ht="21" customHeight="1">
      <x:c r="A2954" s="10" t="n">
        <x:v>46210</x:v>
      </x:c>
      <x:c r="B2954" s="1" t="n">
        <x:v>1</x:v>
      </x:c>
      <x:c r="C2954" s="1" t="n">
        <x:v>6</x:v>
      </x:c>
      <x:c r="D2954" s="12" t="n">
        <x:v>0.24899999999999997</x:v>
      </x:c>
      <x:c r="E2954" s="12" t="n">
        <x:v>0.316</x:v>
      </x:c>
      <x:c r="F2954" s="12" t="n">
        <x:v>0.057</x:v>
      </x:c>
      <x:c r="G2954" s="12" t="n">
        <x:v>0</x:v>
      </x:c>
      <x:c r="H2954" s="1" t="n">
        <x:f>'Historical prices'!E2954</x:f>
        <x:v>1.05</x:v>
      </x:c>
      <x:c r="I2954" s="6" t="n">
        <x:f>'Historical prices'!D2954</x:f>
        <x:v>0.1617</x:v>
      </x:c>
      <x:c r="J2954" s="13" t="n">
        <x:f>D2954*I2954*H2954</x:f>
        <x:v>0.042276465</x:v>
      </x:c>
      <x:c r="K2954" s="13" t="n">
        <x:f>E2954*I2954*H2954</x:f>
        <x:v>0.05365206</x:v>
      </x:c>
      <x:c r="L2954" s="1" t="str">
        <x:f>TEXT(A2954,"mmm yyyy")</x:f>
        <x:v>Jul 2026</x:v>
      </x:c>
    </x:row>
    <x:row r="2955" ht="21" customHeight="1">
      <x:c r="A2955" s="10" t="n">
        <x:v>46210</x:v>
      </x:c>
      <x:c r="B2955" s="1" t="n">
        <x:v>1.5</x:v>
      </x:c>
      <x:c r="C2955" s="1" t="n">
        <x:v>6</x:v>
      </x:c>
      <x:c r="D2955" s="12" t="n">
        <x:v>0.36166666666666664</x:v>
      </x:c>
      <x:c r="E2955" s="12" t="n">
        <x:v>0.37166666666666665</x:v>
      </x:c>
      <x:c r="F2955" s="12" t="n">
        <x:v>0</x:v>
      </x:c>
      <x:c r="G2955" s="12" t="n">
        <x:v>0</x:v>
      </x:c>
      <x:c r="H2955" s="1" t="n">
        <x:f>'Historical prices'!E2955</x:f>
        <x:v>1.05</x:v>
      </x:c>
      <x:c r="I2955" s="6" t="n">
        <x:f>'Historical prices'!D2955</x:f>
        <x:v>0.1598</x:v>
      </x:c>
      <x:c r="J2955" s="13" t="n">
        <x:f>D2955*I2955*H2955</x:f>
        <x:v>0.060684049999999996</x:v>
      </x:c>
      <x:c r="K2955" s="13" t="n">
        <x:f>E2955*I2955*H2955</x:f>
        <x:v>0.06236195</x:v>
      </x:c>
      <x:c r="L2955" s="1" t="str">
        <x:f>TEXT(A2955,"mmm yyyy")</x:f>
        <x:v>Jul 2026</x:v>
      </x:c>
    </x:row>
    <x:row r="2956" ht="21" customHeight="1">
      <x:c r="A2956" s="10" t="n">
        <x:v>46210</x:v>
      </x:c>
      <x:c r="B2956" s="1" t="n">
        <x:v>2</x:v>
      </x:c>
      <x:c r="C2956" s="1" t="n">
        <x:v>6</x:v>
      </x:c>
      <x:c r="D2956" s="12" t="n">
        <x:v>0.2336666666666667</x:v>
      </x:c>
      <x:c r="E2956" s="12" t="n">
        <x:v>0.2446666666666667</x:v>
      </x:c>
      <x:c r="F2956" s="12" t="n">
        <x:v>0</x:v>
      </x:c>
      <x:c r="G2956" s="12" t="n">
        <x:v>0</x:v>
      </x:c>
      <x:c r="H2956" s="1" t="n">
        <x:f>'Historical prices'!E2956</x:f>
        <x:v>1.05</x:v>
      </x:c>
      <x:c r="I2956" s="6" t="n">
        <x:f>'Historical prices'!D2956</x:f>
        <x:v>0.15960000000000002</x:v>
      </x:c>
      <x:c r="J2956" s="13" t="n">
        <x:f>D2956*I2956*H2956</x:f>
        <x:v>0.03915786000000001</x:v>
      </x:c>
      <x:c r="K2956" s="13" t="n">
        <x:f>E2956*I2956*H2956</x:f>
        <x:v>0.04100124000000001</x:v>
      </x:c>
      <x:c r="L2956" s="1" t="str">
        <x:f>TEXT(A2956,"mmm yyyy")</x:f>
        <x:v>Jul 2026</x:v>
      </x:c>
    </x:row>
    <x:row r="2957" ht="21" customHeight="1">
      <x:c r="A2957" s="10" t="n">
        <x:v>46210</x:v>
      </x:c>
      <x:c r="B2957" s="1" t="n">
        <x:v>2.5</x:v>
      </x:c>
      <x:c r="C2957" s="1" t="n">
        <x:v>6</x:v>
      </x:c>
      <x:c r="D2957" s="12" t="n">
        <x:v>0.22258333333333336</x:v>
      </x:c>
      <x:c r="E2957" s="12" t="n">
        <x:v>0.23258333333333336</x:v>
      </x:c>
      <x:c r="F2957" s="12" t="n">
        <x:v>0</x:v>
      </x:c>
      <x:c r="G2957" s="12" t="n">
        <x:v>0</x:v>
      </x:c>
      <x:c r="H2957" s="1" t="n">
        <x:f>'Historical prices'!E2957</x:f>
        <x:v>1.05</x:v>
      </x:c>
      <x:c r="I2957" s="6" t="n">
        <x:f>'Historical prices'!D2957</x:f>
        <x:v>0.154</x:v>
      </x:c>
      <x:c r="J2957" s="13" t="n">
        <x:f>D2957*I2957*H2957</x:f>
        <x:v>0.035991725</x:v>
      </x:c>
      <x:c r="K2957" s="13" t="n">
        <x:f>E2957*I2957*H2957</x:f>
        <x:v>0.03760872500000001</x:v>
      </x:c>
      <x:c r="L2957" s="1" t="str">
        <x:f>TEXT(A2957,"mmm yyyy")</x:f>
        <x:v>Jul 2026</x:v>
      </x:c>
    </x:row>
    <x:row r="2958" ht="21" customHeight="1">
      <x:c r="A2958" s="10" t="n">
        <x:v>46210</x:v>
      </x:c>
      <x:c r="B2958" s="1" t="n">
        <x:v>3</x:v>
      </x:c>
      <x:c r="C2958" s="1" t="n">
        <x:v>6</x:v>
      </x:c>
      <x:c r="D2958" s="12" t="n">
        <x:v>0.28825</x:v>
      </x:c>
      <x:c r="E2958" s="12" t="n">
        <x:v>0.29825</x:v>
      </x:c>
      <x:c r="F2958" s="12" t="n">
        <x:v>0</x:v>
      </x:c>
      <x:c r="G2958" s="12" t="n">
        <x:v>0</x:v>
      </x:c>
      <x:c r="H2958" s="1" t="n">
        <x:f>'Historical prices'!E2958</x:f>
        <x:v>1.05</x:v>
      </x:c>
      <x:c r="I2958" s="6" t="n">
        <x:f>'Historical prices'!D2958</x:f>
        <x:v>0.1602</x:v>
      </x:c>
      <x:c r="J2958" s="13" t="n">
        <x:f>D2958*I2958*H2958</x:f>
        <x:v>0.048486532500000006</x:v>
      </x:c>
      <x:c r="K2958" s="13" t="n">
        <x:f>E2958*I2958*H2958</x:f>
        <x:v>0.05016863250000001</x:v>
      </x:c>
      <x:c r="L2958" s="1" t="str">
        <x:f>TEXT(A2958,"mmm yyyy")</x:f>
        <x:v>Jul 2026</x:v>
      </x:c>
    </x:row>
    <x:row r="2959" ht="21" customHeight="1">
      <x:c r="A2959" s="10" t="n">
        <x:v>46210</x:v>
      </x:c>
      <x:c r="B2959" s="1" t="n">
        <x:v>3.5</x:v>
      </x:c>
      <x:c r="C2959" s="1" t="n">
        <x:v>6</x:v>
      </x:c>
      <x:c r="D2959" s="12" t="n">
        <x:v>0.29225</x:v>
      </x:c>
      <x:c r="E2959" s="12" t="n">
        <x:v>0.30325</x:v>
      </x:c>
      <x:c r="F2959" s="12" t="n">
        <x:v>0</x:v>
      </x:c>
      <x:c r="G2959" s="12" t="n">
        <x:v>0</x:v>
      </x:c>
      <x:c r="H2959" s="1" t="n">
        <x:f>'Historical prices'!E2959</x:f>
        <x:v>1.05</x:v>
      </x:c>
      <x:c r="I2959" s="6" t="n">
        <x:f>'Historical prices'!D2959</x:f>
        <x:v>0.1597</x:v>
      </x:c>
      <x:c r="J2959" s="13" t="n">
        <x:f>D2959*I2959*H2959</x:f>
        <x:v>0.049005941250000004</x:v>
      </x:c>
      <x:c r="K2959" s="13" t="n">
        <x:f>E2959*I2959*H2959</x:f>
        <x:v>0.05085047625000001</x:v>
      </x:c>
      <x:c r="L2959" s="1" t="str">
        <x:f>TEXT(A2959,"mmm yyyy")</x:f>
        <x:v>Jul 2026</x:v>
      </x:c>
    </x:row>
    <x:row r="2960" ht="21" customHeight="1">
      <x:c r="A2960" s="10" t="n">
        <x:v>46210</x:v>
      </x:c>
      <x:c r="B2960" s="1" t="n">
        <x:v>4</x:v>
      </x:c>
      <x:c r="C2960" s="1" t="n">
        <x:v>6</x:v>
      </x:c>
      <x:c r="D2960" s="12" t="n">
        <x:v>0.31516666666666665</x:v>
      </x:c>
      <x:c r="E2960" s="12" t="n">
        <x:v>0.32516666666666666</x:v>
      </x:c>
      <x:c r="F2960" s="12" t="n">
        <x:v>0</x:v>
      </x:c>
      <x:c r="G2960" s="12" t="n">
        <x:v>0</x:v>
      </x:c>
      <x:c r="H2960" s="1" t="n">
        <x:f>'Historical prices'!E2960</x:f>
        <x:v>1.05</x:v>
      </x:c>
      <x:c r="I2960" s="6" t="n">
        <x:f>'Historical prices'!D2960</x:f>
        <x:v>0.1521</x:v>
      </x:c>
      <x:c r="J2960" s="13" t="n">
        <x:f>D2960*I2960*H2960</x:f>
        <x:v>0.050333692500000006</x:v>
      </x:c>
      <x:c r="K2960" s="13" t="n">
        <x:f>E2960*I2960*H2960</x:f>
        <x:v>0.05193074250000001</x:v>
      </x:c>
      <x:c r="L2960" s="1" t="str">
        <x:f>TEXT(A2960,"mmm yyyy")</x:f>
        <x:v>Jul 2026</x:v>
      </x:c>
    </x:row>
    <x:row r="2961" ht="21" customHeight="1">
      <x:c r="A2961" s="10" t="n">
        <x:v>46210</x:v>
      </x:c>
      <x:c r="B2961" s="1" t="n">
        <x:v>4.5</x:v>
      </x:c>
      <x:c r="C2961" s="1" t="n">
        <x:v>6</x:v>
      </x:c>
      <x:c r="D2961" s="12" t="n">
        <x:v>0.3130833333333333</x:v>
      </x:c>
      <x:c r="E2961" s="12" t="n">
        <x:v>0.3240833333333333</x:v>
      </x:c>
      <x:c r="F2961" s="12" t="n">
        <x:v>0</x:v>
      </x:c>
      <x:c r="G2961" s="12" t="n">
        <x:v>0</x:v>
      </x:c>
      <x:c r="H2961" s="1" t="n">
        <x:f>'Historical prices'!E2961</x:f>
        <x:v>1.05</x:v>
      </x:c>
      <x:c r="I2961" s="6" t="n">
        <x:f>'Historical prices'!D2961</x:f>
        <x:v>0.1506</x:v>
      </x:c>
      <x:c r="J2961" s="13" t="n">
        <x:f>D2961*I2961*H2961</x:f>
        <x:v>0.049507867500000004</x:v>
      </x:c>
      <x:c r="K2961" s="13" t="n">
        <x:f>E2961*I2961*H2961</x:f>
        <x:v>0.0512472975</x:v>
      </x:c>
      <x:c r="L2961" s="1" t="str">
        <x:f>TEXT(A2961,"mmm yyyy")</x:f>
        <x:v>Jul 2026</x:v>
      </x:c>
    </x:row>
    <x:row r="2962" ht="21" customHeight="1">
      <x:c r="A2962" s="10" t="n">
        <x:v>46210</x:v>
      </x:c>
      <x:c r="B2962" s="1" t="n">
        <x:v>5</x:v>
      </x:c>
      <x:c r="C2962" s="1" t="n">
        <x:v>6</x:v>
      </x:c>
      <x:c r="D2962" s="12" t="n">
        <x:v>0.29891666666666666</x:v>
      </x:c>
      <x:c r="E2962" s="12" t="n">
        <x:v>0.3089166666666667</x:v>
      </x:c>
      <x:c r="F2962" s="12" t="n">
        <x:v>0</x:v>
      </x:c>
      <x:c r="G2962" s="12" t="n">
        <x:v>0</x:v>
      </x:c>
      <x:c r="H2962" s="1" t="n">
        <x:f>'Historical prices'!E2962</x:f>
        <x:v>1.05</x:v>
      </x:c>
      <x:c r="I2962" s="6" t="n">
        <x:f>'Historical prices'!D2962</x:f>
        <x:v>0.1624</x:v>
      </x:c>
      <x:c r="J2962" s="13" t="n">
        <x:f>D2962*I2962*H2962</x:f>
        <x:v>0.05097127</x:v>
      </x:c>
      <x:c r="K2962" s="13" t="n">
        <x:f>E2962*I2962*H2962</x:f>
        <x:v>0.052676469999999996</x:v>
      </x:c>
      <x:c r="L2962" s="1" t="str">
        <x:f>TEXT(A2962,"mmm yyyy")</x:f>
        <x:v>Jul 2026</x:v>
      </x:c>
    </x:row>
    <x:row r="2963" ht="21" customHeight="1">
      <x:c r="A2963" s="10" t="n">
        <x:v>46210</x:v>
      </x:c>
      <x:c r="B2963" s="1" t="n">
        <x:v>5.5</x:v>
      </x:c>
      <x:c r="C2963" s="1" t="n">
        <x:v>6</x:v>
      </x:c>
      <x:c r="D2963" s="12" t="n">
        <x:v>0.2781666666666667</x:v>
      </x:c>
      <x:c r="E2963" s="12" t="n">
        <x:v>0.2891666666666667</x:v>
      </x:c>
      <x:c r="F2963" s="12" t="n">
        <x:v>0</x:v>
      </x:c>
      <x:c r="G2963" s="12" t="n">
        <x:v>0</x:v>
      </x:c>
      <x:c r="H2963" s="1" t="n">
        <x:f>'Historical prices'!E2963</x:f>
        <x:v>1.05</x:v>
      </x:c>
      <x:c r="I2963" s="6" t="n">
        <x:f>'Historical prices'!D2963</x:f>
        <x:v>0.16329999999999997</x:v>
      </x:c>
      <x:c r="J2963" s="13" t="n">
        <x:f>D2963*I2963*H2963</x:f>
        <x:v>0.04769584749999999</x:v>
      </x:c>
      <x:c r="K2963" s="13" t="n">
        <x:f>E2963*I2963*H2963</x:f>
        <x:v>0.04958196249999999</x:v>
      </x:c>
      <x:c r="L2963" s="1" t="str">
        <x:f>TEXT(A2963,"mmm yyyy")</x:f>
        <x:v>Jul 2026</x:v>
      </x:c>
    </x:row>
    <x:row r="2964" ht="21" customHeight="1">
      <x:c r="A2964" s="10" t="n">
        <x:v>46210</x:v>
      </x:c>
      <x:c r="B2964" s="1" t="n">
        <x:v>6</x:v>
      </x:c>
      <x:c r="C2964" s="1" t="n">
        <x:v>6</x:v>
      </x:c>
      <x:c r="D2964" s="12" t="n">
        <x:v>0.0455</x:v>
      </x:c>
      <x:c r="E2964" s="12" t="n">
        <x:v>0.38616666666666666</x:v>
      </x:c>
      <x:c r="F2964" s="12" t="n">
        <x:v>0.33841666666666664</x:v>
      </x:c>
      <x:c r="G2964" s="12" t="n">
        <x:v>0</x:v>
      </x:c>
      <x:c r="H2964" s="1" t="n">
        <x:f>'Historical prices'!E2964</x:f>
        <x:v>1.05</x:v>
      </x:c>
      <x:c r="I2964" s="6" t="n">
        <x:f>'Historical prices'!D2964</x:f>
        <x:v>0.1808</x:v>
      </x:c>
      <x:c r="J2964" s="13" t="n">
        <x:f>D2964*I2964*H2964</x:f>
        <x:v>0.00863772</x:v>
      </x:c>
      <x:c r="K2964" s="13" t="n">
        <x:f>E2964*I2964*H2964</x:f>
        <x:v>0.07330988000000001</x:v>
      </x:c>
      <x:c r="L2964" s="1" t="str">
        <x:f>TEXT(A2964,"mmm yyyy")</x:f>
        <x:v>Jul 2026</x:v>
      </x:c>
    </x:row>
    <x:row r="2965" ht="21" customHeight="1">
      <x:c r="A2965" s="10" t="n">
        <x:v>46210</x:v>
      </x:c>
      <x:c r="B2965" s="1" t="n">
        <x:v>6.5</x:v>
      </x:c>
      <x:c r="C2965" s="1" t="n">
        <x:v>6</x:v>
      </x:c>
      <x:c r="D2965" s="12" t="n">
        <x:v>0</x:v>
      </x:c>
      <x:c r="E2965" s="12" t="n">
        <x:v>0.35991666666666666</x:v>
      </x:c>
      <x:c r="F2965" s="12" t="n">
        <x:v>0.3595833333333333</x:v>
      </x:c>
      <x:c r="G2965" s="12" t="n">
        <x:v>0</x:v>
      </x:c>
      <x:c r="H2965" s="1" t="n">
        <x:f>'Historical prices'!E2965</x:f>
        <x:v>1.05</x:v>
      </x:c>
      <x:c r="I2965" s="6" t="n">
        <x:f>'Historical prices'!D2965</x:f>
        <x:v>0.20550000000000002</x:v>
      </x:c>
      <x:c r="J2965" s="13" t="n">
        <x:f>D2965*I2965*H2965</x:f>
        <x:v>0</x:v>
      </x:c>
      <x:c r="K2965" s="13" t="n">
        <x:f>E2965*I2965*H2965</x:f>
        <x:v>0.07766101875000002</x:v>
      </x:c>
      <x:c r="L2965" s="1" t="str">
        <x:f>TEXT(A2965,"mmm yyyy")</x:f>
        <x:v>Jul 2026</x:v>
      </x:c>
    </x:row>
    <x:row r="2966" ht="21" customHeight="1">
      <x:c r="A2966" s="10" t="n">
        <x:v>46210</x:v>
      </x:c>
      <x:c r="B2966" s="1" t="n">
        <x:v>7</x:v>
      </x:c>
      <x:c r="C2966" s="1" t="n">
        <x:v>6</x:v>
      </x:c>
      <x:c r="D2966" s="12" t="n">
        <x:v>0</x:v>
      </x:c>
      <x:c r="E2966" s="12" t="n">
        <x:v>0.3600833333333333</x:v>
      </x:c>
      <x:c r="F2966" s="12" t="n">
        <x:v>0.3596666666666667</x:v>
      </x:c>
      <x:c r="G2966" s="12" t="n">
        <x:v>0</x:v>
      </x:c>
      <x:c r="H2966" s="1" t="n">
        <x:f>'Historical prices'!E2966</x:f>
        <x:v>1.05</x:v>
      </x:c>
      <x:c r="I2966" s="6" t="n">
        <x:f>'Historical prices'!D2966</x:f>
        <x:v>0.19760000000000003</x:v>
      </x:c>
      <x:c r="J2966" s="13" t="n">
        <x:f>D2966*I2966*H2966</x:f>
        <x:v>0</x:v>
      </x:c>
      <x:c r="K2966" s="13" t="n">
        <x:f>E2966*I2966*H2966</x:f>
        <x:v>0.07471009000000002</x:v>
      </x:c>
      <x:c r="L2966" s="1" t="str">
        <x:f>TEXT(A2966,"mmm yyyy")</x:f>
        <x:v>Jul 2026</x:v>
      </x:c>
    </x:row>
    <x:row r="2967" ht="21" customHeight="1">
      <x:c r="A2967" s="10" t="n">
        <x:v>46210</x:v>
      </x:c>
      <x:c r="B2967" s="1" t="n">
        <x:v>7.5</x:v>
      </x:c>
      <x:c r="C2967" s="1" t="n">
        <x:v>6</x:v>
      </x:c>
      <x:c r="D2967" s="12" t="n">
        <x:v>0</x:v>
      </x:c>
      <x:c r="E2967" s="12" t="n">
        <x:v>0.3827499999999999</x:v>
      </x:c>
      <x:c r="F2967" s="12" t="n">
        <x:v>0.3826666666666666</x:v>
      </x:c>
      <x:c r="G2967" s="12" t="n">
        <x:v>0</x:v>
      </x:c>
      <x:c r="H2967" s="1" t="n">
        <x:f>'Historical prices'!E2967</x:f>
        <x:v>1.05</x:v>
      </x:c>
      <x:c r="I2967" s="6" t="n">
        <x:f>'Historical prices'!D2967</x:f>
        <x:v>0.19879999999999998</x:v>
      </x:c>
      <x:c r="J2967" s="13" t="n">
        <x:f>D2967*I2967*H2967</x:f>
        <x:v>0</x:v>
      </x:c>
      <x:c r="K2967" s="13" t="n">
        <x:f>E2967*I2967*H2967</x:f>
        <x:v>0.07989523499999997</x:v>
      </x:c>
      <x:c r="L2967" s="1" t="str">
        <x:f>TEXT(A2967,"mmm yyyy")</x:f>
        <x:v>Jul 2026</x:v>
      </x:c>
    </x:row>
    <x:row r="2968" ht="21" customHeight="1">
      <x:c r="A2968" s="10" t="n">
        <x:v>46210</x:v>
      </x:c>
      <x:c r="B2968" s="1" t="n">
        <x:v>8</x:v>
      </x:c>
      <x:c r="C2968" s="1" t="n">
        <x:v>6</x:v>
      </x:c>
      <x:c r="D2968" s="12" t="n">
        <x:v>0</x:v>
      </x:c>
      <x:c r="E2968" s="12" t="n">
        <x:v>0.37566666666666676</x:v>
      </x:c>
      <x:c r="F2968" s="12" t="n">
        <x:v>0.3753333333333334</x:v>
      </x:c>
      <x:c r="G2968" s="12" t="n">
        <x:v>0</x:v>
      </x:c>
      <x:c r="H2968" s="1" t="n">
        <x:f>'Historical prices'!E2968</x:f>
        <x:v>1.05</x:v>
      </x:c>
      <x:c r="I2968" s="6" t="n">
        <x:f>'Historical prices'!D2968</x:f>
        <x:v>0.2212</x:v>
      </x:c>
      <x:c r="J2968" s="13" t="n">
        <x:f>D2968*I2968*H2968</x:f>
        <x:v>0</x:v>
      </x:c>
      <x:c r="K2968" s="13" t="n">
        <x:f>E2968*I2968*H2968</x:f>
        <x:v>0.08725234000000003</x:v>
      </x:c>
      <x:c r="L2968" s="1" t="str">
        <x:f>TEXT(A2968,"mmm yyyy")</x:f>
        <x:v>Jul 2026</x:v>
      </x:c>
    </x:row>
    <x:row r="2969" ht="21" customHeight="1">
      <x:c r="A2969" s="10" t="n">
        <x:v>46210</x:v>
      </x:c>
      <x:c r="B2969" s="1" t="n">
        <x:v>8.5</x:v>
      </x:c>
      <x:c r="C2969" s="1" t="n">
        <x:v>6</x:v>
      </x:c>
      <x:c r="D2969" s="12" t="n">
        <x:v>0</x:v>
      </x:c>
      <x:c r="E2969" s="12" t="n">
        <x:v>0.35866666666666663</x:v>
      </x:c>
      <x:c r="F2969" s="12" t="n">
        <x:v>0.3585833333333333</x:v>
      </x:c>
      <x:c r="G2969" s="12" t="n">
        <x:v>0</x:v>
      </x:c>
      <x:c r="H2969" s="1" t="n">
        <x:f>'Historical prices'!E2969</x:f>
        <x:v>1.05</x:v>
      </x:c>
      <x:c r="I2969" s="6" t="n">
        <x:f>'Historical prices'!D2969</x:f>
        <x:v>0.1892</x:v>
      </x:c>
      <x:c r="J2969" s="13" t="n">
        <x:f>D2969*I2969*H2969</x:f>
        <x:v>0</x:v>
      </x:c>
      <x:c r="K2969" s="13" t="n">
        <x:f>E2969*I2969*H2969</x:f>
        <x:v>0.07125271999999999</x:v>
      </x:c>
      <x:c r="L2969" s="1" t="str">
        <x:f>TEXT(A2969,"mmm yyyy")</x:f>
        <x:v>Jul 2026</x:v>
      </x:c>
    </x:row>
    <x:row r="2970" ht="21" customHeight="1">
      <x:c r="A2970" s="10" t="n">
        <x:v>46210</x:v>
      </x:c>
      <x:c r="B2970" s="1" t="n">
        <x:v>9</x:v>
      </x:c>
      <x:c r="C2970" s="1" t="n">
        <x:v>6</x:v>
      </x:c>
      <x:c r="D2970" s="12" t="n">
        <x:v>0</x:v>
      </x:c>
      <x:c r="E2970" s="12" t="n">
        <x:v>0.5860833333333333</x:v>
      </x:c>
      <x:c r="F2970" s="12" t="n">
        <x:v>0.5855833333333333</x:v>
      </x:c>
      <x:c r="G2970" s="12" t="n">
        <x:v>0</x:v>
      </x:c>
      <x:c r="H2970" s="1" t="n">
        <x:f>'Historical prices'!E2970</x:f>
        <x:v>1.05</x:v>
      </x:c>
      <x:c r="I2970" s="6" t="n">
        <x:f>'Historical prices'!D2970</x:f>
        <x:v>0.18289999999999998</x:v>
      </x:c>
      <x:c r="J2970" s="13" t="n">
        <x:f>D2970*I2970*H2970</x:f>
        <x:v>0</x:v>
      </x:c>
      <x:c r="K2970" s="13" t="n">
        <x:f>E2970*I2970*H2970</x:f>
        <x:v>0.11255437374999998</x:v>
      </x:c>
      <x:c r="L2970" s="1" t="str">
        <x:f>TEXT(A2970,"mmm yyyy")</x:f>
        <x:v>Jul 2026</x:v>
      </x:c>
    </x:row>
    <x:row r="2971" ht="21" customHeight="1">
      <x:c r="A2971" s="10" t="n">
        <x:v>46210</x:v>
      </x:c>
      <x:c r="B2971" s="1" t="n">
        <x:v>9.5</x:v>
      </x:c>
      <x:c r="C2971" s="1" t="n">
        <x:v>6</x:v>
      </x:c>
      <x:c r="D2971" s="12" t="n">
        <x:v>0.46733333333333327</x:v>
      </x:c>
      <x:c r="E2971" s="12" t="n">
        <x:v>0.5863333333333333</x:v>
      </x:c>
      <x:c r="F2971" s="12" t="n">
        <x:v>0.107</x:v>
      </x:c>
      <x:c r="G2971" s="12" t="n">
        <x:v>0</x:v>
      </x:c>
      <x:c r="H2971" s="1" t="n">
        <x:f>'Historical prices'!E2971</x:f>
        <x:v>1.05</x:v>
      </x:c>
      <x:c r="I2971" s="6" t="n">
        <x:f>'Historical prices'!D2971</x:f>
        <x:v>0.1648</x:v>
      </x:c>
      <x:c r="J2971" s="13" t="n">
        <x:f>D2971*I2971*H2971</x:f>
        <x:v>0.08086735999999999</x:v>
      </x:c>
      <x:c r="K2971" s="13" t="n">
        <x:f>E2971*I2971*H2971</x:f>
        <x:v>0.10145912</x:v>
      </x:c>
      <x:c r="L2971" s="1" t="str">
        <x:f>TEXT(A2971,"mmm yyyy")</x:f>
        <x:v>Jul 2026</x:v>
      </x:c>
    </x:row>
    <x:row r="2972" ht="21" customHeight="1">
      <x:c r="A2972" s="10" t="n">
        <x:v>46210</x:v>
      </x:c>
      <x:c r="B2972" s="1" t="n">
        <x:v>10</x:v>
      </x:c>
      <x:c r="C2972" s="1" t="n">
        <x:v>6</x:v>
      </x:c>
      <x:c r="D2972" s="12" t="n">
        <x:v>0.5104166666666667</x:v>
      </x:c>
      <x:c r="E2972" s="12" t="n">
        <x:v>0.5214166666666665</x:v>
      </x:c>
      <x:c r="F2972" s="12" t="n">
        <x:v>0</x:v>
      </x:c>
      <x:c r="G2972" s="12" t="n">
        <x:v>0</x:v>
      </x:c>
      <x:c r="H2972" s="1" t="n">
        <x:f>'Historical prices'!E2972</x:f>
        <x:v>1.05</x:v>
      </x:c>
      <x:c r="I2972" s="6" t="n">
        <x:f>'Historical prices'!D2972</x:f>
        <x:v>0.15460000000000002</x:v>
      </x:c>
      <x:c r="J2972" s="13" t="n">
        <x:f>D2972*I2972*H2972</x:f>
        <x:v>0.08285593750000003</x:v>
      </x:c>
      <x:c r="K2972" s="13" t="n">
        <x:f>E2972*I2972*H2972</x:f>
        <x:v>0.0846415675</x:v>
      </x:c>
      <x:c r="L2972" s="1" t="str">
        <x:f>TEXT(A2972,"mmm yyyy")</x:f>
        <x:v>Jul 2026</x:v>
      </x:c>
    </x:row>
    <x:row r="2973" ht="21" customHeight="1">
      <x:c r="A2973" s="10" t="n">
        <x:v>46210</x:v>
      </x:c>
      <x:c r="B2973" s="1" t="n">
        <x:v>10.5</x:v>
      </x:c>
      <x:c r="C2973" s="1" t="n">
        <x:v>6</x:v>
      </x:c>
      <x:c r="D2973" s="12" t="n">
        <x:v>0.6113333333333333</x:v>
      </x:c>
      <x:c r="E2973" s="12" t="n">
        <x:v>0.6213333333333333</x:v>
      </x:c>
      <x:c r="F2973" s="12" t="n">
        <x:v>0</x:v>
      </x:c>
      <x:c r="G2973" s="12" t="n">
        <x:v>0</x:v>
      </x:c>
      <x:c r="H2973" s="1" t="n">
        <x:f>'Historical prices'!E2973</x:f>
        <x:v>1.05</x:v>
      </x:c>
      <x:c r="I2973" s="6" t="n">
        <x:f>'Historical prices'!D2973</x:f>
        <x:v>0.14679999999999999</x:v>
      </x:c>
      <x:c r="J2973" s="13" t="n">
        <x:f>D2973*I2973*H2973</x:f>
        <x:v>0.09423091999999998</x:v>
      </x:c>
      <x:c r="K2973" s="13" t="n">
        <x:f>E2973*I2973*H2973</x:f>
        <x:v>0.09577232</x:v>
      </x:c>
      <x:c r="L2973" s="1" t="str">
        <x:f>TEXT(A2973,"mmm yyyy")</x:f>
        <x:v>Jul 2026</x:v>
      </x:c>
    </x:row>
    <x:row r="2974" ht="21" customHeight="1">
      <x:c r="A2974" s="10" t="n">
        <x:v>46210</x:v>
      </x:c>
      <x:c r="B2974" s="1" t="n">
        <x:v>11</x:v>
      </x:c>
      <x:c r="C2974" s="1" t="n">
        <x:v>6</x:v>
      </x:c>
      <x:c r="D2974" s="12" t="n">
        <x:v>0.46758333333333335</x:v>
      </x:c>
      <x:c r="E2974" s="12" t="n">
        <x:v>0.47858333333333336</x:v>
      </x:c>
      <x:c r="F2974" s="12" t="n">
        <x:v>0</x:v>
      </x:c>
      <x:c r="G2974" s="12" t="n">
        <x:v>0</x:v>
      </x:c>
      <x:c r="H2974" s="1" t="n">
        <x:f>'Historical prices'!E2974</x:f>
        <x:v>1.05</x:v>
      </x:c>
      <x:c r="I2974" s="6" t="n">
        <x:f>'Historical prices'!D2974</x:f>
        <x:v>0.1367</x:v>
      </x:c>
      <x:c r="J2974" s="13" t="n">
        <x:f>D2974*I2974*H2974</x:f>
        <x:v>0.06711457375</x:v>
      </x:c>
      <x:c r="K2974" s="13" t="n">
        <x:f>E2974*I2974*H2974</x:f>
        <x:v>0.06869345874999999</x:v>
      </x:c>
      <x:c r="L2974" s="1" t="str">
        <x:f>TEXT(A2974,"mmm yyyy")</x:f>
        <x:v>Jul 2026</x:v>
      </x:c>
    </x:row>
    <x:row r="2975" ht="21" customHeight="1">
      <x:c r="A2975" s="10" t="n">
        <x:v>46210</x:v>
      </x:c>
      <x:c r="B2975" s="1" t="n">
        <x:v>11.5</x:v>
      </x:c>
      <x:c r="C2975" s="1" t="n">
        <x:v>6</x:v>
      </x:c>
      <x:c r="D2975" s="12" t="n">
        <x:v>0.35541666666666666</x:v>
      </x:c>
      <x:c r="E2975" s="12" t="n">
        <x:v>0.36541666666666667</x:v>
      </x:c>
      <x:c r="F2975" s="12" t="n">
        <x:v>0</x:v>
      </x:c>
      <x:c r="G2975" s="12" t="n">
        <x:v>0</x:v>
      </x:c>
      <x:c r="H2975" s="1" t="n">
        <x:f>'Historical prices'!E2975</x:f>
        <x:v>1.05</x:v>
      </x:c>
      <x:c r="I2975" s="6" t="n">
        <x:f>'Historical prices'!D2975</x:f>
        <x:v>0.1472</x:v>
      </x:c>
      <x:c r="J2975" s="13" t="n">
        <x:f>D2975*I2975*H2975</x:f>
        <x:v>0.0549332</x:v>
      </x:c>
      <x:c r="K2975" s="13" t="n">
        <x:f>E2975*I2975*H2975</x:f>
        <x:v>0.0564788</x:v>
      </x:c>
      <x:c r="L2975" s="1" t="str">
        <x:f>TEXT(A2975,"mmm yyyy")</x:f>
        <x:v>Jul 2026</x:v>
      </x:c>
    </x:row>
    <x:row r="2976" ht="21" customHeight="1">
      <x:c r="A2976" s="10" t="n">
        <x:v>46210</x:v>
      </x:c>
      <x:c r="B2976" s="1" t="n">
        <x:v>12</x:v>
      </x:c>
      <x:c r="C2976" s="1" t="n">
        <x:v>6</x:v>
      </x:c>
      <x:c r="D2976" s="12" t="n">
        <x:v>4.448916666666666</x:v>
      </x:c>
      <x:c r="E2976" s="12" t="n">
        <x:v>0.6999166666666667</x:v>
      </x:c>
      <x:c r="F2976" s="12" t="n">
        <x:v>0</x:v>
      </x:c>
      <x:c r="G2976" s="12" t="n">
        <x:v>3.752</x:v>
      </x:c>
      <x:c r="H2976" s="1" t="n">
        <x:f>'Historical prices'!E2976</x:f>
        <x:v>1.05</x:v>
      </x:c>
      <x:c r="I2976" s="6" t="n">
        <x:f>'Historical prices'!D2976</x:f>
        <x:v>0.1346</x:v>
      </x:c>
      <x:c r="J2976" s="13" t="n">
        <x:f>D2976*I2976*H2976</x:f>
        <x:v>0.6287653925</x:v>
      </x:c>
      <x:c r="K2976" s="13" t="n">
        <x:f>E2976*I2976*H2976</x:f>
        <x:v>0.09891922250000001</x:v>
      </x:c>
      <x:c r="L2976" s="1" t="str">
        <x:f>TEXT(A2976,"mmm yyyy")</x:f>
        <x:v>Jul 2026</x:v>
      </x:c>
    </x:row>
    <x:row r="2977" ht="21" customHeight="1">
      <x:c r="A2977" s="10" t="n">
        <x:v>46210</x:v>
      </x:c>
      <x:c r="B2977" s="1" t="n">
        <x:v>12.5</x:v>
      </x:c>
      <x:c r="C2977" s="1" t="n">
        <x:v>6</x:v>
      </x:c>
      <x:c r="D2977" s="12" t="n">
        <x:v>1.180416666666667</x:v>
      </x:c>
      <x:c r="E2977" s="12" t="n">
        <x:v>0.45641666666666664</x:v>
      </x:c>
      <x:c r="F2977" s="12" t="n">
        <x:v>0</x:v>
      </x:c>
      <x:c r="G2977" s="12" t="n">
        <x:v>0.724</x:v>
      </x:c>
      <x:c r="H2977" s="1" t="n">
        <x:f>'Historical prices'!E2977</x:f>
        <x:v>1.05</x:v>
      </x:c>
      <x:c r="I2977" s="6" t="n">
        <x:f>'Historical prices'!D2977</x:f>
        <x:v>0.1481</x:v>
      </x:c>
      <x:c r="J2977" s="13" t="n">
        <x:f>D2977*I2977*H2977</x:f>
        <x:v>0.18356069375000006</x:v>
      </x:c>
      <x:c r="K2977" s="13" t="n">
        <x:f>E2977*I2977*H2977</x:f>
        <x:v>0.07097507375</x:v>
      </x:c>
      <x:c r="L2977" s="1" t="str">
        <x:f>TEXT(A2977,"mmm yyyy")</x:f>
        <x:v>Jul 2026</x:v>
      </x:c>
    </x:row>
    <x:row r="2978" ht="21" customHeight="1">
      <x:c r="A2978" s="10" t="n">
        <x:v>46210</x:v>
      </x:c>
      <x:c r="B2978" s="1" t="n">
        <x:v>13</x:v>
      </x:c>
      <x:c r="C2978" s="1" t="n">
        <x:v>6</x:v>
      </x:c>
      <x:c r="D2978" s="12" t="n">
        <x:v>0.4594166666666667</x:v>
      </x:c>
      <x:c r="E2978" s="12" t="n">
        <x:v>0.4694166666666666</x:v>
      </x:c>
      <x:c r="F2978" s="12" t="n">
        <x:v>0</x:v>
      </x:c>
      <x:c r="G2978" s="12" t="n">
        <x:v>0</x:v>
      </x:c>
      <x:c r="H2978" s="1" t="n">
        <x:f>'Historical prices'!E2978</x:f>
        <x:v>1.05</x:v>
      </x:c>
      <x:c r="I2978" s="6" t="n">
        <x:f>'Historical prices'!D2978</x:f>
        <x:v>0.1388</x:v>
      </x:c>
      <x:c r="J2978" s="13" t="n">
        <x:f>D2978*I2978*H2978</x:f>
        <x:v>0.066955385</x:v>
      </x:c>
      <x:c r="K2978" s="13" t="n">
        <x:f>E2978*I2978*H2978</x:f>
        <x:v>0.06841278499999999</x:v>
      </x:c>
      <x:c r="L2978" s="1" t="str">
        <x:f>TEXT(A2978,"mmm yyyy")</x:f>
        <x:v>Jul 2026</x:v>
      </x:c>
    </x:row>
    <x:row r="2979" ht="21" customHeight="1">
      <x:c r="A2979" s="10" t="n">
        <x:v>46210</x:v>
      </x:c>
      <x:c r="B2979" s="1" t="n">
        <x:v>13.5</x:v>
      </x:c>
      <x:c r="C2979" s="1" t="n">
        <x:v>6</x:v>
      </x:c>
      <x:c r="D2979" s="12" t="n">
        <x:v>4.51025</x:v>
      </x:c>
      <x:c r="E2979" s="12" t="n">
        <x:v>0.60725</x:v>
      </x:c>
      <x:c r="F2979" s="12" t="n">
        <x:v>0</x:v>
      </x:c>
      <x:c r="G2979" s="12" t="n">
        <x:v>3.9050000000000002</x:v>
      </x:c>
      <x:c r="H2979" s="1" t="n">
        <x:f>'Historical prices'!E2979</x:f>
        <x:v>1.05</x:v>
      </x:c>
      <x:c r="I2979" s="6" t="n">
        <x:f>'Historical prices'!D2979</x:f>
        <x:v>0.1346</x:v>
      </x:c>
      <x:c r="J2979" s="13" t="n">
        <x:f>D2979*I2979*H2979</x:f>
        <x:v>0.6374336325</x:v>
      </x:c>
      <x:c r="K2979" s="13" t="n">
        <x:f>E2979*I2979*H2979</x:f>
        <x:v>0.0858226425</x:v>
      </x:c>
      <x:c r="L2979" s="1" t="str">
        <x:f>TEXT(A2979,"mmm yyyy")</x:f>
        <x:v>Jul 2026</x:v>
      </x:c>
    </x:row>
    <x:row r="2980" ht="21" customHeight="1">
      <x:c r="A2980" s="10" t="n">
        <x:v>46210</x:v>
      </x:c>
      <x:c r="B2980" s="1" t="n">
        <x:v>14</x:v>
      </x:c>
      <x:c r="C2980" s="1" t="n">
        <x:v>6</x:v>
      </x:c>
      <x:c r="D2980" s="12" t="n">
        <x:v>5.126833333333334</x:v>
      </x:c>
      <x:c r="E2980" s="12" t="n">
        <x:v>0.6228333333333335</x:v>
      </x:c>
      <x:c r="F2980" s="12" t="n">
        <x:v>0</x:v>
      </x:c>
      <x:c r="G2980" s="12" t="n">
        <x:v>4.504</x:v>
      </x:c>
      <x:c r="H2980" s="1" t="n">
        <x:f>'Historical prices'!E2980</x:f>
        <x:v>1.05</x:v>
      </x:c>
      <x:c r="I2980" s="6" t="n">
        <x:f>'Historical prices'!D2980</x:f>
        <x:v>0.1346</x:v>
      </x:c>
      <x:c r="J2980" s="13" t="n">
        <x:f>D2980*I2980*H2980</x:f>
        <x:v>0.724575355</x:v>
      </x:c>
      <x:c r="K2980" s="13" t="n">
        <x:f>E2980*I2980*H2980</x:f>
        <x:v>0.08802503500000003</x:v>
      </x:c>
      <x:c r="L2980" s="1" t="str">
        <x:f>TEXT(A2980,"mmm yyyy")</x:f>
        <x:v>Jul 2026</x:v>
      </x:c>
    </x:row>
    <x:row r="2981" ht="21" customHeight="1">
      <x:c r="A2981" s="10" t="n">
        <x:v>46210</x:v>
      </x:c>
      <x:c r="B2981" s="1" t="n">
        <x:v>14.5</x:v>
      </x:c>
      <x:c r="C2981" s="1" t="n">
        <x:v>6</x:v>
      </x:c>
      <x:c r="D2981" s="12" t="n">
        <x:v>1.1668333333333336</x:v>
      </x:c>
      <x:c r="E2981" s="12" t="n">
        <x:v>0.42283333333333334</x:v>
      </x:c>
      <x:c r="F2981" s="12" t="n">
        <x:v>0</x:v>
      </x:c>
      <x:c r="G2981" s="12" t="n">
        <x:v>0.747</x:v>
      </x:c>
      <x:c r="H2981" s="1" t="n">
        <x:f>'Historical prices'!E2981</x:f>
        <x:v>1.05</x:v>
      </x:c>
      <x:c r="I2981" s="6" t="n">
        <x:f>'Historical prices'!D2981</x:f>
        <x:v>0.1409</x:v>
      </x:c>
      <x:c r="J2981" s="13" t="n">
        <x:f>D2981*I2981*H2981</x:f>
        <x:v>0.17262715750000004</x:v>
      </x:c>
      <x:c r="K2981" s="13" t="n">
        <x:f>E2981*I2981*H2981</x:f>
        <x:v>0.0625560775</x:v>
      </x:c>
      <x:c r="L2981" s="1" t="str">
        <x:f>TEXT(A2981,"mmm yyyy")</x:f>
        <x:v>Jul 2026</x:v>
      </x:c>
    </x:row>
    <x:row r="2982" ht="21" customHeight="1">
      <x:c r="A2982" s="10" t="n">
        <x:v>46210</x:v>
      </x:c>
      <x:c r="B2982" s="1" t="n">
        <x:v>15</x:v>
      </x:c>
      <x:c r="C2982" s="1" t="n">
        <x:v>6</x:v>
      </x:c>
      <x:c r="D2982" s="12" t="n">
        <x:v>0.3746666666666667</x:v>
      </x:c>
      <x:c r="E2982" s="12" t="n">
        <x:v>0.3866666666666666</x:v>
      </x:c>
      <x:c r="F2982" s="12" t="n">
        <x:v>0</x:v>
      </x:c>
      <x:c r="G2982" s="12" t="n">
        <x:v>0</x:v>
      </x:c>
      <x:c r="H2982" s="1" t="n">
        <x:f>'Historical prices'!E2982</x:f>
        <x:v>1.05</x:v>
      </x:c>
      <x:c r="I2982" s="6" t="n">
        <x:f>'Historical prices'!D2982</x:f>
        <x:v>0.16079999999999997</x:v>
      </x:c>
      <x:c r="J2982" s="13" t="n">
        <x:f>D2982*I2982*H2982</x:f>
        <x:v>0.06325871999999999</x:v>
      </x:c>
      <x:c r="K2982" s="13" t="n">
        <x:f>E2982*I2982*H2982</x:f>
        <x:v>0.06528479999999998</x:v>
      </x:c>
      <x:c r="L2982" s="1" t="str">
        <x:f>TEXT(A2982,"mmm yyyy")</x:f>
        <x:v>Jul 2026</x:v>
      </x:c>
    </x:row>
    <x:row r="2983" ht="21" customHeight="1">
      <x:c r="A2983" s="10" t="n">
        <x:v>46210</x:v>
      </x:c>
      <x:c r="B2983" s="1" t="n">
        <x:v>15.5</x:v>
      </x:c>
      <x:c r="C2983" s="1" t="n">
        <x:v>6</x:v>
      </x:c>
      <x:c r="D2983" s="12" t="n">
        <x:v>0.4339166666666666</x:v>
      </x:c>
      <x:c r="E2983" s="12" t="n">
        <x:v>0.44491666666666657</x:v>
      </x:c>
      <x:c r="F2983" s="12" t="n">
        <x:v>0</x:v>
      </x:c>
      <x:c r="G2983" s="12" t="n">
        <x:v>0</x:v>
      </x:c>
      <x:c r="H2983" s="1" t="n">
        <x:f>'Historical prices'!E2983</x:f>
        <x:v>1.05</x:v>
      </x:c>
      <x:c r="I2983" s="6" t="n">
        <x:f>'Historical prices'!D2983</x:f>
        <x:v>0.1678</x:v>
      </x:c>
      <x:c r="J2983" s="13" t="n">
        <x:f>D2983*I2983*H2983</x:f>
        <x:v>0.0764517775</x:v>
      </x:c>
      <x:c r="K2983" s="13" t="n">
        <x:f>E2983*I2983*H2983</x:f>
        <x:v>0.0783898675</x:v>
      </x:c>
      <x:c r="L2983" s="1" t="str">
        <x:f>TEXT(A2983,"mmm yyyy")</x:f>
        <x:v>Jul 2026</x:v>
      </x:c>
    </x:row>
    <x:row r="2984" ht="21" customHeight="1">
      <x:c r="A2984" s="10" t="n">
        <x:v>46210</x:v>
      </x:c>
      <x:c r="B2984" s="1" t="n">
        <x:v>16</x:v>
      </x:c>
      <x:c r="C2984" s="1" t="n">
        <x:v>6</x:v>
      </x:c>
      <x:c r="D2984" s="12" t="n">
        <x:v>0.06041666666666667</x:v>
      </x:c>
      <x:c r="E2984" s="12" t="n">
        <x:v>0.5794166666666667</x:v>
      </x:c>
      <x:c r="F2984" s="12" t="n">
        <x:v>0.5165833333333334</x:v>
      </x:c>
      <x:c r="G2984" s="12" t="n">
        <x:v>0</x:v>
      </x:c>
      <x:c r="H2984" s="1" t="n">
        <x:f>'Historical prices'!E2984</x:f>
        <x:v>1.05</x:v>
      </x:c>
      <x:c r="I2984" s="6" t="n">
        <x:f>'Historical prices'!D2984</x:f>
        <x:v>0.2987</x:v>
      </x:c>
      <x:c r="J2984" s="13" t="n">
        <x:f>D2984*I2984*H2984</x:f>
        <x:v>0.01894878125</x:v>
      </x:c>
      <x:c r="K2984" s="13" t="n">
        <x:f>E2984*I2984*H2984</x:f>
        <x:v>0.18172534625000003</x:v>
      </x:c>
      <x:c r="L2984" s="1" t="str">
        <x:f>TEXT(A2984,"mmm yyyy")</x:f>
        <x:v>Jul 2026</x:v>
      </x:c>
    </x:row>
    <x:row r="2985" ht="21" customHeight="1">
      <x:c r="A2985" s="10" t="n">
        <x:v>46210</x:v>
      </x:c>
      <x:c r="B2985" s="1" t="n">
        <x:v>16.5</x:v>
      </x:c>
      <x:c r="C2985" s="1" t="n">
        <x:v>6</x:v>
      </x:c>
      <x:c r="D2985" s="12" t="n">
        <x:v>0.012083333333333333</x:v>
      </x:c>
      <x:c r="E2985" s="12" t="n">
        <x:v>0.5339999999999999</x:v>
      </x:c>
      <x:c r="F2985" s="12" t="n">
        <x:v>0.5218333333333333</x:v>
      </x:c>
      <x:c r="G2985" s="12" t="n">
        <x:v>0</x:v>
      </x:c>
      <x:c r="H2985" s="1" t="n">
        <x:f>'Historical prices'!E2985</x:f>
        <x:v>1.05</x:v>
      </x:c>
      <x:c r="I2985" s="6" t="n">
        <x:f>'Historical prices'!D2985</x:f>
        <x:v>0.2938</x:v>
      </x:c>
      <x:c r="J2985" s="13" t="n">
        <x:f>D2985*I2985*H2985</x:f>
        <x:v>0.0037275875000000003</x:v>
      </x:c>
      <x:c r="K2985" s="13" t="n">
        <x:f>E2985*I2985*H2985</x:f>
        <x:v>0.16473365999999998</x:v>
      </x:c>
      <x:c r="L2985" s="1" t="str">
        <x:f>TEXT(A2985,"mmm yyyy")</x:f>
        <x:v>Jul 2026</x:v>
      </x:c>
    </x:row>
    <x:row r="2986" ht="21" customHeight="1">
      <x:c r="A2986" s="10" t="n">
        <x:v>46210</x:v>
      </x:c>
      <x:c r="B2986" s="1" t="n">
        <x:v>17</x:v>
      </x:c>
      <x:c r="C2986" s="1" t="n">
        <x:v>6</x:v>
      </x:c>
      <x:c r="D2986" s="12" t="n">
        <x:v>0</x:v>
      </x:c>
      <x:c r="E2986" s="12" t="n">
        <x:v>0.50675</x:v>
      </x:c>
      <x:c r="F2986" s="12" t="n">
        <x:v>0.5065</x:v>
      </x:c>
      <x:c r="G2986" s="12" t="n">
        <x:v>0</x:v>
      </x:c>
      <x:c r="H2986" s="1" t="n">
        <x:f>'Historical prices'!E2986</x:f>
        <x:v>1.05</x:v>
      </x:c>
      <x:c r="I2986" s="6" t="n">
        <x:f>'Historical prices'!D2986</x:f>
        <x:v>0.2924</x:v>
      </x:c>
      <x:c r="J2986" s="13" t="n">
        <x:f>D2986*I2986*H2986</x:f>
        <x:v>0</x:v>
      </x:c>
      <x:c r="K2986" s="13" t="n">
        <x:f>E2986*I2986*H2986</x:f>
        <x:v>0.15558238500000002</x:v>
      </x:c>
      <x:c r="L2986" s="1" t="str">
        <x:f>TEXT(A2986,"mmm yyyy")</x:f>
        <x:v>Jul 2026</x:v>
      </x:c>
    </x:row>
    <x:row r="2987" ht="21" customHeight="1">
      <x:c r="A2987" s="10" t="n">
        <x:v>46210</x:v>
      </x:c>
      <x:c r="B2987" s="1" t="n">
        <x:v>17.5</x:v>
      </x:c>
      <x:c r="C2987" s="1" t="n">
        <x:v>6</x:v>
      </x:c>
      <x:c r="D2987" s="12" t="n">
        <x:v>0</x:v>
      </x:c>
      <x:c r="E2987" s="12" t="n">
        <x:v>0.48575</x:v>
      </x:c>
      <x:c r="F2987" s="12" t="n">
        <x:v>0.48575</x:v>
      </x:c>
      <x:c r="G2987" s="12" t="n">
        <x:v>0</x:v>
      </x:c>
      <x:c r="H2987" s="1" t="n">
        <x:f>'Historical prices'!E2987</x:f>
        <x:v>1.05</x:v>
      </x:c>
      <x:c r="I2987" s="6" t="n">
        <x:f>'Historical prices'!D2987</x:f>
        <x:v>0.29719999999999996</x:v>
      </x:c>
      <x:c r="J2987" s="13" t="n">
        <x:f>D2987*I2987*H2987</x:f>
        <x:v>0</x:v>
      </x:c>
      <x:c r="K2987" s="13" t="n">
        <x:f>E2987*I2987*H2987</x:f>
        <x:v>0.151583145</x:v>
      </x:c>
      <x:c r="L2987" s="1" t="str">
        <x:f>TEXT(A2987,"mmm yyyy")</x:f>
        <x:v>Jul 2026</x:v>
      </x:c>
    </x:row>
    <x:row r="2988" ht="21" customHeight="1">
      <x:c r="A2988" s="10" t="n">
        <x:v>46210</x:v>
      </x:c>
      <x:c r="B2988" s="1" t="n">
        <x:v>18</x:v>
      </x:c>
      <x:c r="C2988" s="1" t="n">
        <x:v>6</x:v>
      </x:c>
      <x:c r="D2988" s="12" t="n">
        <x:v>0</x:v>
      </x:c>
      <x:c r="E2988" s="12" t="n">
        <x:v>0.5369166666666667</x:v>
      </x:c>
      <x:c r="F2988" s="12" t="n">
        <x:v>0.53675</x:v>
      </x:c>
      <x:c r="G2988" s="12" t="n">
        <x:v>0</x:v>
      </x:c>
      <x:c r="H2988" s="1" t="n">
        <x:f>'Historical prices'!E2988</x:f>
        <x:v>1.05</x:v>
      </x:c>
      <x:c r="I2988" s="6" t="n">
        <x:f>'Historical prices'!D2988</x:f>
        <x:v>0.31129999999999997</x:v>
      </x:c>
      <x:c r="J2988" s="13" t="n">
        <x:f>D2988*I2988*H2988</x:f>
        <x:v>0</x:v>
      </x:c>
      <x:c r="K2988" s="13" t="n">
        <x:f>E2988*I2988*H2988</x:f>
        <x:v>0.17549926624999998</x:v>
      </x:c>
      <x:c r="L2988" s="1" t="str">
        <x:f>TEXT(A2988,"mmm yyyy")</x:f>
        <x:v>Jul 2026</x:v>
      </x:c>
    </x:row>
    <x:row r="2989" ht="21" customHeight="1">
      <x:c r="A2989" s="10" t="n">
        <x:v>46210</x:v>
      </x:c>
      <x:c r="B2989" s="1" t="n">
        <x:v>18.5</x:v>
      </x:c>
      <x:c r="C2989" s="1" t="n">
        <x:v>6</x:v>
      </x:c>
      <x:c r="D2989" s="12" t="n">
        <x:v>0</x:v>
      </x:c>
      <x:c r="E2989" s="12" t="n">
        <x:v>0.7541666666666667</x:v>
      </x:c>
      <x:c r="F2989" s="12" t="n">
        <x:v>0.7539166666666667</x:v>
      </x:c>
      <x:c r="G2989" s="12" t="n">
        <x:v>0</x:v>
      </x:c>
      <x:c r="H2989" s="1" t="n">
        <x:f>'Historical prices'!E2989</x:f>
        <x:v>1.05</x:v>
      </x:c>
      <x:c r="I2989" s="6" t="n">
        <x:f>'Historical prices'!D2989</x:f>
        <x:v>0.3176</x:v>
      </x:c>
      <x:c r="J2989" s="13" t="n">
        <x:f>D2989*I2989*H2989</x:f>
        <x:v>0</x:v>
      </x:c>
      <x:c r="K2989" s="13" t="n">
        <x:f>E2989*I2989*H2989</x:f>
        <x:v>0.2514995</x:v>
      </x:c>
      <x:c r="L2989" s="1" t="str">
        <x:f>TEXT(A2989,"mmm yyyy")</x:f>
        <x:v>Jul 2026</x:v>
      </x:c>
    </x:row>
    <x:row r="2990" ht="21" customHeight="1">
      <x:c r="A2990" s="10" t="n">
        <x:v>46210</x:v>
      </x:c>
      <x:c r="B2990" s="1" t="n">
        <x:v>19</x:v>
      </x:c>
      <x:c r="C2990" s="1" t="n">
        <x:v>6</x:v>
      </x:c>
      <x:c r="D2990" s="12" t="n">
        <x:v>0</x:v>
      </x:c>
      <x:c r="E2990" s="12" t="n">
        <x:v>0.6923333333333335</x:v>
      </x:c>
      <x:c r="F2990" s="12" t="n">
        <x:v>0.6921666666666667</x:v>
      </x:c>
      <x:c r="G2990" s="12" t="n">
        <x:v>0</x:v>
      </x:c>
      <x:c r="H2990" s="1" t="n">
        <x:f>'Historical prices'!E2990</x:f>
        <x:v>1.05</x:v>
      </x:c>
      <x:c r="I2990" s="6" t="n">
        <x:f>'Historical prices'!D2990</x:f>
        <x:v>0.2375</x:v>
      </x:c>
      <x:c r="J2990" s="13" t="n">
        <x:f>D2990*I2990*H2990</x:f>
        <x:v>0</x:v>
      </x:c>
      <x:c r="K2990" s="13" t="n">
        <x:f>E2990*I2990*H2990</x:f>
        <x:v>0.17265062500000003</x:v>
      </x:c>
      <x:c r="L2990" s="1" t="str">
        <x:f>TEXT(A2990,"mmm yyyy")</x:f>
        <x:v>Jul 2026</x:v>
      </x:c>
    </x:row>
    <x:row r="2991" ht="21" customHeight="1">
      <x:c r="A2991" s="10" t="n">
        <x:v>46210</x:v>
      </x:c>
      <x:c r="B2991" s="1" t="n">
        <x:v>19.5</x:v>
      </x:c>
      <x:c r="C2991" s="1" t="n">
        <x:v>6</x:v>
      </x:c>
      <x:c r="D2991" s="12" t="n">
        <x:v>0</x:v>
      </x:c>
      <x:c r="E2991" s="12" t="n">
        <x:v>0.6473333333333333</x:v>
      </x:c>
      <x:c r="F2991" s="12" t="n">
        <x:v>0.6465833333333333</x:v>
      </x:c>
      <x:c r="G2991" s="12" t="n">
        <x:v>0</x:v>
      </x:c>
      <x:c r="H2991" s="1" t="n">
        <x:f>'Historical prices'!E2991</x:f>
        <x:v>1.05</x:v>
      </x:c>
      <x:c r="I2991" s="6" t="n">
        <x:f>'Historical prices'!D2991</x:f>
        <x:v>0.2354</x:v>
      </x:c>
      <x:c r="J2991" s="13" t="n">
        <x:f>D2991*I2991*H2991</x:f>
        <x:v>0</x:v>
      </x:c>
      <x:c r="K2991" s="13" t="n">
        <x:f>E2991*I2991*H2991</x:f>
        <x:v>0.16000138</x:v>
      </x:c>
      <x:c r="L2991" s="1" t="str">
        <x:f>TEXT(A2991,"mmm yyyy")</x:f>
        <x:v>Jul 2026</x:v>
      </x:c>
    </x:row>
    <x:row r="2992" ht="21" customHeight="1">
      <x:c r="A2992" s="10" t="n">
        <x:v>46210</x:v>
      </x:c>
      <x:c r="B2992" s="1" t="n">
        <x:v>20</x:v>
      </x:c>
      <x:c r="C2992" s="1" t="n">
        <x:v>6</x:v>
      </x:c>
      <x:c r="D2992" s="12" t="n">
        <x:v>0</x:v>
      </x:c>
      <x:c r="E2992" s="12" t="n">
        <x:v>0.6838333333333333</x:v>
      </x:c>
      <x:c r="F2992" s="12" t="n">
        <x:v>0.6835833333333332</x:v>
      </x:c>
      <x:c r="G2992" s="12" t="n">
        <x:v>0</x:v>
      </x:c>
      <x:c r="H2992" s="1" t="n">
        <x:f>'Historical prices'!E2992</x:f>
        <x:v>1.05</x:v>
      </x:c>
      <x:c r="I2992" s="6" t="n">
        <x:f>'Historical prices'!D2992</x:f>
        <x:v>0.2459</x:v>
      </x:c>
      <x:c r="J2992" s="13" t="n">
        <x:f>D2992*I2992*H2992</x:f>
        <x:v>0</x:v>
      </x:c>
      <x:c r="K2992" s="13" t="n">
        <x:f>E2992*I2992*H2992</x:f>
        <x:v>0.17656234750000002</x:v>
      </x:c>
      <x:c r="L2992" s="1" t="str">
        <x:f>TEXT(A2992,"mmm yyyy")</x:f>
        <x:v>Jul 2026</x:v>
      </x:c>
    </x:row>
    <x:row r="2993" ht="21" customHeight="1">
      <x:c r="A2993" s="10" t="n">
        <x:v>46210</x:v>
      </x:c>
      <x:c r="B2993" s="1" t="n">
        <x:v>20.5</x:v>
      </x:c>
      <x:c r="C2993" s="1" t="n">
        <x:v>6</x:v>
      </x:c>
      <x:c r="D2993" s="12" t="n">
        <x:v>0</x:v>
      </x:c>
      <x:c r="E2993" s="12" t="n">
        <x:v>0.5806666666666667</x:v>
      </x:c>
      <x:c r="F2993" s="12" t="n">
        <x:v>0.5804999999999999</x:v>
      </x:c>
      <x:c r="G2993" s="12" t="n">
        <x:v>0</x:v>
      </x:c>
      <x:c r="H2993" s="1" t="n">
        <x:f>'Historical prices'!E2993</x:f>
        <x:v>1.05</x:v>
      </x:c>
      <x:c r="I2993" s="6" t="n">
        <x:f>'Historical prices'!D2993</x:f>
        <x:v>0.2347</x:v>
      </x:c>
      <x:c r="J2993" s="13" t="n">
        <x:f>D2993*I2993*H2993</x:f>
        <x:v>0</x:v>
      </x:c>
      <x:c r="K2993" s="13" t="n">
        <x:f>E2993*I2993*H2993</x:f>
        <x:v>0.14309659</x:v>
      </x:c>
      <x:c r="L2993" s="1" t="str">
        <x:f>TEXT(A2993,"mmm yyyy")</x:f>
        <x:v>Jul 2026</x:v>
      </x:c>
    </x:row>
    <x:row r="2994" ht="21" customHeight="1">
      <x:c r="A2994" s="10" t="n">
        <x:v>46210</x:v>
      </x:c>
      <x:c r="B2994" s="1" t="n">
        <x:v>21</x:v>
      </x:c>
      <x:c r="C2994" s="1" t="n">
        <x:v>6</x:v>
      </x:c>
      <x:c r="D2994" s="12" t="n">
        <x:v>0</x:v>
      </x:c>
      <x:c r="E2994" s="12" t="n">
        <x:v>0.52575</x:v>
      </x:c>
      <x:c r="F2994" s="12" t="n">
        <x:v>0.5256666666666667</x:v>
      </x:c>
      <x:c r="G2994" s="12" t="n">
        <x:v>0</x:v>
      </x:c>
      <x:c r="H2994" s="1" t="n">
        <x:f>'Historical prices'!E2994</x:f>
        <x:v>1.05</x:v>
      </x:c>
      <x:c r="I2994" s="6" t="n">
        <x:f>'Historical prices'!D2994</x:f>
        <x:v>0.2347</x:v>
      </x:c>
      <x:c r="J2994" s="13" t="n">
        <x:f>D2994*I2994*H2994</x:f>
        <x:v>0</x:v>
      </x:c>
      <x:c r="K2994" s="13" t="n">
        <x:f>E2994*I2994*H2994</x:f>
        <x:v>0.12956320125</x:v>
      </x:c>
      <x:c r="L2994" s="1" t="str">
        <x:f>TEXT(A2994,"mmm yyyy")</x:f>
        <x:v>Jul 2026</x:v>
      </x:c>
    </x:row>
    <x:row r="2995" ht="21" customHeight="1">
      <x:c r="A2995" s="10" t="n">
        <x:v>46210</x:v>
      </x:c>
      <x:c r="B2995" s="1" t="n">
        <x:v>21.5</x:v>
      </x:c>
      <x:c r="C2995" s="1" t="n">
        <x:v>6</x:v>
      </x:c>
      <x:c r="D2995" s="12" t="n">
        <x:v>0</x:v>
      </x:c>
      <x:c r="E2995" s="12" t="n">
        <x:v>0.7955833333333333</x:v>
      </x:c>
      <x:c r="F2995" s="12" t="n">
        <x:v>0.7949999999999999</x:v>
      </x:c>
      <x:c r="G2995" s="12" t="n">
        <x:v>0</x:v>
      </x:c>
      <x:c r="H2995" s="1" t="n">
        <x:f>'Historical prices'!E2995</x:f>
        <x:v>1.05</x:v>
      </x:c>
      <x:c r="I2995" s="6" t="n">
        <x:f>'Historical prices'!D2995</x:f>
        <x:v>0.2347</x:v>
      </x:c>
      <x:c r="J2995" s="13" t="n">
        <x:f>D2995*I2995*H2995</x:f>
        <x:v>0</x:v>
      </x:c>
      <x:c r="K2995" s="13" t="n">
        <x:f>E2995*I2995*H2995</x:f>
        <x:v>0.19605957875</x:v>
      </x:c>
      <x:c r="L2995" s="1" t="str">
        <x:f>TEXT(A2995,"mmm yyyy")</x:f>
        <x:v>Jul 2026</x:v>
      </x:c>
    </x:row>
    <x:row r="2996" ht="21" customHeight="1">
      <x:c r="A2996" s="10" t="n">
        <x:v>46210</x:v>
      </x:c>
      <x:c r="B2996" s="1" t="n">
        <x:v>22</x:v>
      </x:c>
      <x:c r="C2996" s="1" t="n">
        <x:v>6</x:v>
      </x:c>
      <x:c r="D2996" s="12" t="n">
        <x:v>0</x:v>
      </x:c>
      <x:c r="E2996" s="12" t="n">
        <x:v>0.6164999999999999</x:v>
      </x:c>
      <x:c r="F2996" s="12" t="n">
        <x:v>0.6161666666666666</x:v>
      </x:c>
      <x:c r="G2996" s="12" t="n">
        <x:v>0</x:v>
      </x:c>
      <x:c r="H2996" s="1" t="n">
        <x:f>'Historical prices'!E2996</x:f>
        <x:v>1.05</x:v>
      </x:c>
      <x:c r="I2996" s="6" t="n">
        <x:f>'Historical prices'!D2996</x:f>
        <x:v>0.2396</x:v>
      </x:c>
      <x:c r="J2996" s="13" t="n">
        <x:f>D2996*I2996*H2996</x:f>
        <x:v>0</x:v>
      </x:c>
      <x:c r="K2996" s="13" t="n">
        <x:f>E2996*I2996*H2996</x:f>
        <x:v>0.15509907</x:v>
      </x:c>
      <x:c r="L2996" s="1" t="str">
        <x:f>TEXT(A2996,"mmm yyyy")</x:f>
        <x:v>Jul 2026</x:v>
      </x:c>
    </x:row>
    <x:row r="2997" ht="21" customHeight="1">
      <x:c r="A2997" s="10" t="n">
        <x:v>46210</x:v>
      </x:c>
      <x:c r="B2997" s="1" t="n">
        <x:v>22.5</x:v>
      </x:c>
      <x:c r="C2997" s="1" t="n">
        <x:v>6</x:v>
      </x:c>
      <x:c r="D2997" s="12" t="n">
        <x:v>0.04058333333333333</x:v>
      </x:c>
      <x:c r="E2997" s="12" t="n">
        <x:v>0.34275</x:v>
      </x:c>
      <x:c r="F2997" s="12" t="n">
        <x:v>0.299</x:v>
      </x:c>
      <x:c r="G2997" s="12" t="n">
        <x:v>0</x:v>
      </x:c>
      <x:c r="H2997" s="1" t="n">
        <x:f>'Historical prices'!E2997</x:f>
        <x:v>1.05</x:v>
      </x:c>
      <x:c r="I2997" s="6" t="n">
        <x:f>'Historical prices'!D2997</x:f>
        <x:v>0.21780000000000002</x:v>
      </x:c>
      <x:c r="J2997" s="13" t="n">
        <x:f>D2997*I2997*H2997</x:f>
        <x:v>0.009281002500000001</x:v>
      </x:c>
      <x:c r="K2997" s="13" t="n">
        <x:f>E2997*I2997*H2997</x:f>
        <x:v>0.07838349750000001</x:v>
      </x:c>
      <x:c r="L2997" s="1" t="str">
        <x:f>TEXT(A2997,"mmm yyyy")</x:f>
        <x:v>Jul 2026</x:v>
      </x:c>
    </x:row>
    <x:row r="2998" ht="21" customHeight="1">
      <x:c r="A2998" s="10" t="n">
        <x:v>46210</x:v>
      </x:c>
      <x:c r="B2998" s="1" t="n">
        <x:v>23</x:v>
      </x:c>
      <x:c r="C2998" s="1" t="n">
        <x:v>6</x:v>
      </x:c>
      <x:c r="D2998" s="12" t="n">
        <x:v>0</x:v>
      </x:c>
      <x:c r="E2998" s="12" t="n">
        <x:v>0.35183333333333333</x:v>
      </x:c>
      <x:c r="F2998" s="12" t="n">
        <x:v>0.35150000000000003</x:v>
      </x:c>
      <x:c r="G2998" s="12" t="n">
        <x:v>0</x:v>
      </x:c>
      <x:c r="H2998" s="1" t="n">
        <x:f>'Historical prices'!E2998</x:f>
        <x:v>1.05</x:v>
      </x:c>
      <x:c r="I2998" s="6" t="n">
        <x:f>'Historical prices'!D2998</x:f>
        <x:v>0.2069</x:v>
      </x:c>
      <x:c r="J2998" s="13" t="n">
        <x:f>D2998*I2998*H2998</x:f>
        <x:v>0</x:v>
      </x:c>
      <x:c r="K2998" s="13" t="n">
        <x:f>E2998*I2998*H2998</x:f>
        <x:v>0.0764340325</x:v>
      </x:c>
      <x:c r="L2998" s="1" t="str">
        <x:f>TEXT(A2998,"mmm yyyy")</x:f>
        <x:v>Jul 2026</x:v>
      </x:c>
    </x:row>
    <x:row r="2999" ht="21" customHeight="1">
      <x:c r="A2999" s="10" t="n">
        <x:v>46210</x:v>
      </x:c>
      <x:c r="B2999" s="1" t="n">
        <x:v>23.5</x:v>
      </x:c>
      <x:c r="C2999" s="1" t="n">
        <x:v>6</x:v>
      </x:c>
      <x:c r="D2999" s="12" t="n">
        <x:v>0</x:v>
      </x:c>
      <x:c r="E2999" s="12" t="n">
        <x:v>0.3690833333333334</x:v>
      </x:c>
      <x:c r="F2999" s="12" t="n">
        <x:v>0.36883333333333335</x:v>
      </x:c>
      <x:c r="G2999" s="12" t="n">
        <x:v>0</x:v>
      </x:c>
      <x:c r="H2999" s="1" t="n">
        <x:f>'Historical prices'!E2999</x:f>
        <x:v>1.05</x:v>
      </x:c>
      <x:c r="I2999" s="6" t="n">
        <x:f>'Historical prices'!D2999</x:f>
        <x:v>0.20800000000000002</x:v>
      </x:c>
      <x:c r="J2999" s="13" t="n">
        <x:f>D2999*I2999*H2999</x:f>
        <x:v>0</x:v>
      </x:c>
      <x:c r="K2999" s="13" t="n">
        <x:f>E2999*I2999*H2999</x:f>
        <x:v>0.08060780000000001</x:v>
      </x:c>
      <x:c r="L2999" s="1" t="str">
        <x:f>TEXT(A2999,"mmm yyyy")</x:f>
        <x:v>Jul 2026</x:v>
      </x:c>
    </x:row>
    <x:row r="3000" ht="21" customHeight="1">
      <x:c r="A3000" s="10" t="n">
        <x:v>46211</x:v>
      </x:c>
      <x:c r="B3000" s="1" t="n">
        <x:v>0</x:v>
      </x:c>
      <x:c r="C3000" s="1" t="n">
        <x:v>6</x:v>
      </x:c>
      <x:c r="D3000" s="12" t="n">
        <x:v>0</x:v>
      </x:c>
      <x:c r="E3000" s="12" t="n">
        <x:v>0.32383333333333336</x:v>
      </x:c>
      <x:c r="F3000" s="12" t="n">
        <x:v>0.32366666666666666</x:v>
      </x:c>
      <x:c r="G3000" s="12" t="n">
        <x:v>0</x:v>
      </x:c>
      <x:c r="H3000" s="1" t="n">
        <x:f>'Historical prices'!E3000</x:f>
        <x:v>1.05</x:v>
      </x:c>
      <x:c r="I3000" s="6" t="n">
        <x:f>'Historical prices'!D3000</x:f>
        <x:v>0.20600000000000002</x:v>
      </x:c>
      <x:c r="J3000" s="13" t="n">
        <x:f>D3000*I3000*H3000</x:f>
        <x:v>0</x:v>
      </x:c>
      <x:c r="K3000" s="13" t="n">
        <x:f>E3000*I3000*H3000</x:f>
        <x:v>0.07004515000000001</x:v>
      </x:c>
      <x:c r="L3000" s="1" t="str">
        <x:f>TEXT(A3000,"mmm yyyy")</x:f>
        <x:v>Jul 2026</x:v>
      </x:c>
    </x:row>
    <x:row r="3001" ht="21" customHeight="1">
      <x:c r="A3001" s="10" t="n">
        <x:v>46211</x:v>
      </x:c>
      <x:c r="B3001" s="1" t="n">
        <x:v>0.5</x:v>
      </x:c>
      <x:c r="C3001" s="1" t="n">
        <x:v>6</x:v>
      </x:c>
      <x:c r="D3001" s="12" t="n">
        <x:v>0</x:v>
      </x:c>
      <x:c r="E3001" s="12" t="n">
        <x:v>0.2828333333333333</x:v>
      </x:c>
      <x:c r="F3001" s="12" t="n">
        <x:v>0.2825833333333333</x:v>
      </x:c>
      <x:c r="G3001" s="12" t="n">
        <x:v>0</x:v>
      </x:c>
      <x:c r="H3001" s="1" t="n">
        <x:f>'Historical prices'!E3001</x:f>
        <x:v>1.05</x:v>
      </x:c>
      <x:c r="I3001" s="6" t="n">
        <x:f>'Historical prices'!D3001</x:f>
        <x:v>0.20600000000000002</x:v>
      </x:c>
      <x:c r="J3001" s="13" t="n">
        <x:f>D3001*I3001*H3001</x:f>
        <x:v>0</x:v>
      </x:c>
      <x:c r="K3001" s="13" t="n">
        <x:f>E3001*I3001*H3001</x:f>
        <x:v>0.061176850000000005</x:v>
      </x:c>
      <x:c r="L3001" s="1" t="str">
        <x:f>TEXT(A3001,"mmm yyyy")</x:f>
        <x:v>Jul 2026</x:v>
      </x:c>
    </x:row>
    <x:row r="3002" ht="21" customHeight="1">
      <x:c r="A3002" s="10" t="n">
        <x:v>46211</x:v>
      </x:c>
      <x:c r="B3002" s="1" t="n">
        <x:v>1</x:v>
      </x:c>
      <x:c r="C3002" s="1" t="n">
        <x:v>6</x:v>
      </x:c>
      <x:c r="D3002" s="12" t="n">
        <x:v>0.1935</x:v>
      </x:c>
      <x:c r="E3002" s="12" t="n">
        <x:v>0.2535833333333334</x:v>
      </x:c>
      <x:c r="F3002" s="12" t="n">
        <x:v>0.051</x:v>
      </x:c>
      <x:c r="G3002" s="12" t="n">
        <x:v>0</x:v>
      </x:c>
      <x:c r="H3002" s="1" t="n">
        <x:f>'Historical prices'!E3002</x:f>
        <x:v>1.05</x:v>
      </x:c>
      <x:c r="I3002" s="6" t="n">
        <x:f>'Historical prices'!D3002</x:f>
        <x:v>0.18239999999999998</x:v>
      </x:c>
      <x:c r="J3002" s="13" t="n">
        <x:f>D3002*I3002*H3002</x:f>
        <x:v>0.03705912</x:v>
      </x:c>
      <x:c r="K3002" s="13" t="n">
        <x:f>E3002*I3002*H3002</x:f>
        <x:v>0.04856628000000001</x:v>
      </x:c>
      <x:c r="L3002" s="1" t="str">
        <x:f>TEXT(A3002,"mmm yyyy")</x:f>
        <x:v>Jul 2026</x:v>
      </x:c>
    </x:row>
    <x:row r="3003" ht="21" customHeight="1">
      <x:c r="A3003" s="10" t="n">
        <x:v>46211</x:v>
      </x:c>
      <x:c r="B3003" s="1" t="n">
        <x:v>1.5</x:v>
      </x:c>
      <x:c r="C3003" s="1" t="n">
        <x:v>6</x:v>
      </x:c>
      <x:c r="D3003" s="12" t="n">
        <x:v>0.20516666666666666</x:v>
      </x:c>
      <x:c r="E3003" s="12" t="n">
        <x:v>0.21816666666666668</x:v>
      </x:c>
      <x:c r="F3003" s="12" t="n">
        <x:v>0</x:v>
      </x:c>
      <x:c r="G3003" s="12" t="n">
        <x:v>0</x:v>
      </x:c>
      <x:c r="H3003" s="1" t="n">
        <x:f>'Historical prices'!E3003</x:f>
        <x:v>1.05</x:v>
      </x:c>
      <x:c r="I3003" s="6" t="n">
        <x:f>'Historical prices'!D3003</x:f>
        <x:v>0.1918</x:v>
      </x:c>
      <x:c r="J3003" s="13" t="n">
        <x:f>D3003*I3003*H3003</x:f>
        <x:v>0.041318515</x:v>
      </x:c>
      <x:c r="K3003" s="13" t="n">
        <x:f>E3003*I3003*H3003</x:f>
        <x:v>0.043936585</x:v>
      </x:c>
      <x:c r="L3003" s="1" t="str">
        <x:f>TEXT(A3003,"mmm yyyy")</x:f>
        <x:v>Jul 2026</x:v>
      </x:c>
    </x:row>
    <x:row r="3004" ht="21" customHeight="1">
      <x:c r="A3004" s="10" t="n">
        <x:v>46211</x:v>
      </x:c>
      <x:c r="B3004" s="1" t="n">
        <x:v>2</x:v>
      </x:c>
      <x:c r="C3004" s="1" t="n">
        <x:v>6</x:v>
      </x:c>
      <x:c r="D3004" s="12" t="n">
        <x:v>0.03225</x:v>
      </x:c>
      <x:c r="E3004" s="12" t="n">
        <x:v>0.26275</x:v>
      </x:c>
      <x:c r="F3004" s="12" t="n">
        <x:v>0.22775</x:v>
      </x:c>
      <x:c r="G3004" s="12" t="n">
        <x:v>0</x:v>
      </x:c>
      <x:c r="H3004" s="1" t="n">
        <x:f>'Historical prices'!E3004</x:f>
        <x:v>1.05</x:v>
      </x:c>
      <x:c r="I3004" s="6" t="n">
        <x:f>'Historical prices'!D3004</x:f>
        <x:v>0.1936</x:v>
      </x:c>
      <x:c r="J3004" s="13" t="n">
        <x:f>D3004*I3004*H3004</x:f>
        <x:v>0.006555780000000001</x:v>
      </x:c>
      <x:c r="K3004" s="13" t="n">
        <x:f>E3004*I3004*H3004</x:f>
        <x:v>0.05341182</x:v>
      </x:c>
      <x:c r="L3004" s="1" t="str">
        <x:f>TEXT(A3004,"mmm yyyy")</x:f>
        <x:v>Jul 2026</x:v>
      </x:c>
    </x:row>
    <x:row r="3005" ht="21" customHeight="1">
      <x:c r="A3005" s="10" t="n">
        <x:v>46211</x:v>
      </x:c>
      <x:c r="B3005" s="1" t="n">
        <x:v>2.5</x:v>
      </x:c>
      <x:c r="C3005" s="1" t="n">
        <x:v>6</x:v>
      </x:c>
      <x:c r="D3005" s="12" t="n">
        <x:v>0.22416666666666665</x:v>
      </x:c>
      <x:c r="E3005" s="12" t="n">
        <x:v>0.28633333333333333</x:v>
      </x:c>
      <x:c r="F3005" s="12" t="n">
        <x:v>0.052</x:v>
      </x:c>
      <x:c r="G3005" s="12" t="n">
        <x:v>0</x:v>
      </x:c>
      <x:c r="H3005" s="1" t="n">
        <x:f>'Historical prices'!E3005</x:f>
        <x:v>1.05</x:v>
      </x:c>
      <x:c r="I3005" s="6" t="n">
        <x:f>'Historical prices'!D3005</x:f>
        <x:v>0.17679999999999998</x:v>
      </x:c>
      <x:c r="J3005" s="13" t="n">
        <x:f>D3005*I3005*H3005</x:f>
        <x:v>0.0416143</x:v>
      </x:c>
      <x:c r="K3005" s="13" t="n">
        <x:f>E3005*I3005*H3005</x:f>
        <x:v>0.05315492</x:v>
      </x:c>
      <x:c r="L3005" s="1" t="str">
        <x:f>TEXT(A3005,"mmm yyyy")</x:f>
        <x:v>Jul 2026</x:v>
      </x:c>
    </x:row>
    <x:row r="3006" ht="21" customHeight="1">
      <x:c r="A3006" s="10" t="n">
        <x:v>46211</x:v>
      </x:c>
      <x:c r="B3006" s="1" t="n">
        <x:v>3</x:v>
      </x:c>
      <x:c r="C3006" s="1" t="n">
        <x:v>6</x:v>
      </x:c>
      <x:c r="D3006" s="12" t="n">
        <x:v>0.33158333333333334</x:v>
      </x:c>
      <x:c r="E3006" s="12" t="n">
        <x:v>0.34158333333333335</x:v>
      </x:c>
      <x:c r="F3006" s="12" t="n">
        <x:v>0</x:v>
      </x:c>
      <x:c r="G3006" s="12" t="n">
        <x:v>0</x:v>
      </x:c>
      <x:c r="H3006" s="1" t="n">
        <x:f>'Historical prices'!E3006</x:f>
        <x:v>1.05</x:v>
      </x:c>
      <x:c r="I3006" s="6" t="n">
        <x:f>'Historical prices'!D3006</x:f>
        <x:v>0.1684</x:v>
      </x:c>
      <x:c r="J3006" s="13" t="n">
        <x:f>D3006*I3006*H3006</x:f>
        <x:v>0.058630565</x:v>
      </x:c>
      <x:c r="K3006" s="13" t="n">
        <x:f>E3006*I3006*H3006</x:f>
        <x:v>0.06039876500000001</x:v>
      </x:c>
      <x:c r="L3006" s="1" t="str">
        <x:f>TEXT(A3006,"mmm yyyy")</x:f>
        <x:v>Jul 2026</x:v>
      </x:c>
    </x:row>
    <x:row r="3007" ht="21" customHeight="1">
      <x:c r="A3007" s="10" t="n">
        <x:v>46211</x:v>
      </x:c>
      <x:c r="B3007" s="1" t="n">
        <x:v>3.5</x:v>
      </x:c>
      <x:c r="C3007" s="1" t="n">
        <x:v>6</x:v>
      </x:c>
      <x:c r="D3007" s="12" t="n">
        <x:v>0.24033333333333334</x:v>
      </x:c>
      <x:c r="E3007" s="12" t="n">
        <x:v>0.25133333333333335</x:v>
      </x:c>
      <x:c r="F3007" s="12" t="n">
        <x:v>0</x:v>
      </x:c>
      <x:c r="G3007" s="12" t="n">
        <x:v>0</x:v>
      </x:c>
      <x:c r="H3007" s="1" t="n">
        <x:f>'Historical prices'!E3007</x:f>
        <x:v>1.05</x:v>
      </x:c>
      <x:c r="I3007" s="6" t="n">
        <x:f>'Historical prices'!D3007</x:f>
        <x:v>0.1745</x:v>
      </x:c>
      <x:c r="J3007" s="13" t="n">
        <x:f>D3007*I3007*H3007</x:f>
        <x:v>0.044035075</x:v>
      </x:c>
      <x:c r="K3007" s="13" t="n">
        <x:f>E3007*I3007*H3007</x:f>
        <x:v>0.04605055</x:v>
      </x:c>
      <x:c r="L3007" s="1" t="str">
        <x:f>TEXT(A3007,"mmm yyyy")</x:f>
        <x:v>Jul 2026</x:v>
      </x:c>
    </x:row>
    <x:row r="3008" ht="21" customHeight="1">
      <x:c r="A3008" s="10" t="n">
        <x:v>46211</x:v>
      </x:c>
      <x:c r="B3008" s="1" t="n">
        <x:v>4</x:v>
      </x:c>
      <x:c r="C3008" s="1" t="n">
        <x:v>6</x:v>
      </x:c>
      <x:c r="D3008" s="12" t="n">
        <x:v>0.3136666666666667</x:v>
      </x:c>
      <x:c r="E3008" s="12" t="n">
        <x:v>0.32366666666666666</x:v>
      </x:c>
      <x:c r="F3008" s="12" t="n">
        <x:v>0</x:v>
      </x:c>
      <x:c r="G3008" s="12" t="n">
        <x:v>0</x:v>
      </x:c>
      <x:c r="H3008" s="1" t="n">
        <x:f>'Historical prices'!E3008</x:f>
        <x:v>1.05</x:v>
      </x:c>
      <x:c r="I3008" s="6" t="n">
        <x:f>'Historical prices'!D3008</x:f>
        <x:v>0.16820000000000002</x:v>
      </x:c>
      <x:c r="J3008" s="13" t="n">
        <x:f>D3008*I3008*H3008</x:f>
        <x:v>0.05539667000000001</x:v>
      </x:c>
      <x:c r="K3008" s="13" t="n">
        <x:f>E3008*I3008*H3008</x:f>
        <x:v>0.05716277000000001</x:v>
      </x:c>
      <x:c r="L3008" s="1" t="str">
        <x:f>TEXT(A3008,"mmm yyyy")</x:f>
        <x:v>Jul 2026</x:v>
      </x:c>
    </x:row>
    <x:row r="3009" ht="21" customHeight="1">
      <x:c r="A3009" s="10" t="n">
        <x:v>46211</x:v>
      </x:c>
      <x:c r="B3009" s="1" t="n">
        <x:v>4.5</x:v>
      </x:c>
      <x:c r="C3009" s="1" t="n">
        <x:v>6</x:v>
      </x:c>
      <x:c r="D3009" s="12" t="n">
        <x:v>0.276</x:v>
      </x:c>
      <x:c r="E3009" s="12" t="n">
        <x:v>0.286</x:v>
      </x:c>
      <x:c r="F3009" s="12" t="n">
        <x:v>0</x:v>
      </x:c>
      <x:c r="G3009" s="12" t="n">
        <x:v>0</x:v>
      </x:c>
      <x:c r="H3009" s="1" t="n">
        <x:f>'Historical prices'!E3009</x:f>
        <x:v>1.05</x:v>
      </x:c>
      <x:c r="I3009" s="6" t="n">
        <x:f>'Historical prices'!D3009</x:f>
        <x:v>0.1699</x:v>
      </x:c>
      <x:c r="J3009" s="13" t="n">
        <x:f>D3009*I3009*H3009</x:f>
        <x:v>0.049237020000000006</x:v>
      </x:c>
      <x:c r="K3009" s="13" t="n">
        <x:f>E3009*I3009*H3009</x:f>
        <x:v>0.05102096999999999</x:v>
      </x:c>
      <x:c r="L3009" s="1" t="str">
        <x:f>TEXT(A3009,"mmm yyyy")</x:f>
        <x:v>Jul 2026</x:v>
      </x:c>
    </x:row>
    <x:row r="3010" ht="21" customHeight="1">
      <x:c r="A3010" s="10" t="n">
        <x:v>46211</x:v>
      </x:c>
      <x:c r="B3010" s="1" t="n">
        <x:v>5</x:v>
      </x:c>
      <x:c r="C3010" s="1" t="n">
        <x:v>6</x:v>
      </x:c>
      <x:c r="D3010" s="12" t="n">
        <x:v>0.22233333333333338</x:v>
      </x:c>
      <x:c r="E3010" s="12" t="n">
        <x:v>0.23333333333333334</x:v>
      </x:c>
      <x:c r="F3010" s="12" t="n">
        <x:v>0</x:v>
      </x:c>
      <x:c r="G3010" s="12" t="n">
        <x:v>0</x:v>
      </x:c>
      <x:c r="H3010" s="1" t="n">
        <x:f>'Historical prices'!E3010</x:f>
        <x:v>1.05</x:v>
      </x:c>
      <x:c r="I3010" s="6" t="n">
        <x:f>'Historical prices'!D3010</x:f>
        <x:v>0.1778</x:v>
      </x:c>
      <x:c r="J3010" s="13" t="n">
        <x:f>D3010*I3010*H3010</x:f>
        <x:v>0.041507410000000015</x:v>
      </x:c>
      <x:c r="K3010" s="13" t="n">
        <x:f>E3010*I3010*H3010</x:f>
        <x:v>0.04356100000000001</x:v>
      </x:c>
      <x:c r="L3010" s="1" t="str">
        <x:f>TEXT(A3010,"mmm yyyy")</x:f>
        <x:v>Jul 2026</x:v>
      </x:c>
    </x:row>
    <x:row r="3011" ht="21" customHeight="1">
      <x:c r="A3011" s="10" t="n">
        <x:v>46211</x:v>
      </x:c>
      <x:c r="B3011" s="1" t="n">
        <x:v>5.5</x:v>
      </x:c>
      <x:c r="C3011" s="1" t="n">
        <x:v>6</x:v>
      </x:c>
      <x:c r="D3011" s="12" t="n">
        <x:v>0.26708333333333334</x:v>
      </x:c>
      <x:c r="E3011" s="12" t="n">
        <x:v>0.27708333333333335</x:v>
      </x:c>
      <x:c r="F3011" s="12" t="n">
        <x:v>0</x:v>
      </x:c>
      <x:c r="G3011" s="12" t="n">
        <x:v>0</x:v>
      </x:c>
      <x:c r="H3011" s="1" t="n">
        <x:f>'Historical prices'!E3011</x:f>
        <x:v>1.05</x:v>
      </x:c>
      <x:c r="I3011" s="6" t="n">
        <x:f>'Historical prices'!D3011</x:f>
        <x:v>0.1827</x:v>
      </x:c>
      <x:c r="J3011" s="13" t="n">
        <x:f>D3011*I3011*H3011</x:f>
        <x:v>0.051235931250000005</x:v>
      </x:c>
      <x:c r="K3011" s="13" t="n">
        <x:f>E3011*I3011*H3011</x:f>
        <x:v>0.053154281250000004</x:v>
      </x:c>
      <x:c r="L3011" s="1" t="str">
        <x:f>TEXT(A3011,"mmm yyyy")</x:f>
        <x:v>Jul 2026</x:v>
      </x:c>
    </x:row>
    <x:row r="3012" ht="21" customHeight="1">
      <x:c r="A3012" s="10" t="n">
        <x:v>46211</x:v>
      </x:c>
      <x:c r="B3012" s="1" t="n">
        <x:v>6</x:v>
      </x:c>
      <x:c r="C3012" s="1" t="n">
        <x:v>6</x:v>
      </x:c>
      <x:c r="D3012" s="12" t="n">
        <x:v>0.04075</x:v>
      </x:c>
      <x:c r="E3012" s="12" t="n">
        <x:v>0.33625</x:v>
      </x:c>
      <x:c r="F3012" s="12" t="n">
        <x:v>0.29075</x:v>
      </x:c>
      <x:c r="G3012" s="12" t="n">
        <x:v>0</x:v>
      </x:c>
      <x:c r="H3012" s="1" t="n">
        <x:f>'Historical prices'!E3012</x:f>
        <x:v>1.05</x:v>
      </x:c>
      <x:c r="I3012" s="6" t="n">
        <x:f>'Historical prices'!D3012</x:f>
        <x:v>0.2073</x:v>
      </x:c>
      <x:c r="J3012" s="13" t="n">
        <x:f>D3012*I3012*H3012</x:f>
        <x:v>0.008869848750000001</x:v>
      </x:c>
      <x:c r="K3012" s="13" t="n">
        <x:f>E3012*I3012*H3012</x:f>
        <x:v>0.07318985625</x:v>
      </x:c>
      <x:c r="L3012" s="1" t="str">
        <x:f>TEXT(A3012,"mmm yyyy")</x:f>
        <x:v>Jul 2026</x:v>
      </x:c>
    </x:row>
    <x:row r="3013" ht="21" customHeight="1">
      <x:c r="A3013" s="10" t="n">
        <x:v>46211</x:v>
      </x:c>
      <x:c r="B3013" s="1" t="n">
        <x:v>6.5</x:v>
      </x:c>
      <x:c r="C3013" s="1" t="n">
        <x:v>6</x:v>
      </x:c>
      <x:c r="D3013" s="12" t="n">
        <x:v>0</x:v>
      </x:c>
      <x:c r="E3013" s="12" t="n">
        <x:v>0.5564166666666667</x:v>
      </x:c>
      <x:c r="F3013" s="12" t="n">
        <x:v>0.5485</x:v>
      </x:c>
      <x:c r="G3013" s="12" t="n">
        <x:v>0</x:v>
      </x:c>
      <x:c r="H3013" s="1" t="n">
        <x:f>'Historical prices'!E3013</x:f>
        <x:v>1.05</x:v>
      </x:c>
      <x:c r="I3013" s="6" t="n">
        <x:f>'Historical prices'!D3013</x:f>
        <x:v>0.2207</x:v>
      </x:c>
      <x:c r="J3013" s="13" t="n">
        <x:f>D3013*I3013*H3013</x:f>
        <x:v>0</x:v>
      </x:c>
      <x:c r="K3013" s="13" t="n">
        <x:f>E3013*I3013*H3013</x:f>
        <x:v>0.12894121625000002</x:v>
      </x:c>
      <x:c r="L3013" s="1" t="str">
        <x:f>TEXT(A3013,"mmm yyyy")</x:f>
        <x:v>Jul 2026</x:v>
      </x:c>
    </x:row>
    <x:row r="3014" ht="21" customHeight="1">
      <x:c r="A3014" s="10" t="n">
        <x:v>46211</x:v>
      </x:c>
      <x:c r="B3014" s="1" t="n">
        <x:v>7</x:v>
      </x:c>
      <x:c r="C3014" s="1" t="n">
        <x:v>6</x:v>
      </x:c>
      <x:c r="D3014" s="12" t="n">
        <x:v>0</x:v>
      </x:c>
      <x:c r="E3014" s="12" t="n">
        <x:v>0.6569166666666666</x:v>
      </x:c>
      <x:c r="F3014" s="12" t="n">
        <x:v>0.6508333333333334</x:v>
      </x:c>
      <x:c r="G3014" s="12" t="n">
        <x:v>0</x:v>
      </x:c>
      <x:c r="H3014" s="1" t="n">
        <x:f>'Historical prices'!E3014</x:f>
        <x:v>1.05</x:v>
      </x:c>
      <x:c r="I3014" s="6" t="n">
        <x:f>'Historical prices'!D3014</x:f>
        <x:v>0.20809999999999998</x:v>
      </x:c>
      <x:c r="J3014" s="13" t="n">
        <x:f>D3014*I3014*H3014</x:f>
        <x:v>0</x:v>
      </x:c>
      <x:c r="K3014" s="13" t="n">
        <x:f>E3014*I3014*H3014</x:f>
        <x:v>0.14353957624999997</x:v>
      </x:c>
      <x:c r="L3014" s="1" t="str">
        <x:f>TEXT(A3014,"mmm yyyy")</x:f>
        <x:v>Jul 2026</x:v>
      </x:c>
    </x:row>
    <x:row r="3015" ht="21" customHeight="1">
      <x:c r="A3015" s="10" t="n">
        <x:v>46211</x:v>
      </x:c>
      <x:c r="B3015" s="1" t="n">
        <x:v>7.5</x:v>
      </x:c>
      <x:c r="C3015" s="1" t="n">
        <x:v>6</x:v>
      </x:c>
      <x:c r="D3015" s="12" t="n">
        <x:v>0.027666666666666666</x:v>
      </x:c>
      <x:c r="E3015" s="12" t="n">
        <x:v>1.1782500000000002</x:v>
      </x:c>
      <x:c r="F3015" s="12" t="n">
        <x:v>1.1504166666666666</x:v>
      </x:c>
      <x:c r="G3015" s="12" t="n">
        <x:v>0</x:v>
      </x:c>
      <x:c r="H3015" s="1" t="n">
        <x:f>'Historical prices'!E3015</x:f>
        <x:v>1.05</x:v>
      </x:c>
      <x:c r="I3015" s="6" t="n">
        <x:f>'Historical prices'!D3015</x:f>
        <x:v>0.2102</x:v>
      </x:c>
      <x:c r="J3015" s="13" t="n">
        <x:f>D3015*I3015*H3015</x:f>
        <x:v>0.00610631</x:v>
      </x:c>
      <x:c r="K3015" s="13" t="n">
        <x:f>E3015*I3015*H3015</x:f>
        <x:v>0.2600515575000001</x:v>
      </x:c>
      <x:c r="L3015" s="1" t="str">
        <x:f>TEXT(A3015,"mmm yyyy")</x:f>
        <x:v>Jul 2026</x:v>
      </x:c>
    </x:row>
    <x:row r="3016" ht="21" customHeight="1">
      <x:c r="A3016" s="10" t="n">
        <x:v>46211</x:v>
      </x:c>
      <x:c r="B3016" s="1" t="n">
        <x:v>8</x:v>
      </x:c>
      <x:c r="C3016" s="1" t="n">
        <x:v>6</x:v>
      </x:c>
      <x:c r="D3016" s="12" t="n">
        <x:v>0</x:v>
      </x:c>
      <x:c r="E3016" s="12" t="n">
        <x:v>0.6870833333333333</x:v>
      </x:c>
      <x:c r="F3016" s="12" t="n">
        <x:v>0.6866666666666666</x:v>
      </x:c>
      <x:c r="G3016" s="12" t="n">
        <x:v>0</x:v>
      </x:c>
      <x:c r="H3016" s="1" t="n">
        <x:f>'Historical prices'!E3016</x:f>
        <x:v>1.05</x:v>
      </x:c>
      <x:c r="I3016" s="6" t="n">
        <x:f>'Historical prices'!D3016</x:f>
        <x:v>0.20809999999999998</x:v>
      </x:c>
      <x:c r="J3016" s="13" t="n">
        <x:f>D3016*I3016*H3016</x:f>
        <x:v>0</x:v>
      </x:c>
      <x:c r="K3016" s="13" t="n">
        <x:f>E3016*I3016*H3016</x:f>
        <x:v>0.15013114374999997</x:v>
      </x:c>
      <x:c r="L3016" s="1" t="str">
        <x:f>TEXT(A3016,"mmm yyyy")</x:f>
        <x:v>Jul 2026</x:v>
      </x:c>
    </x:row>
    <x:row r="3017" ht="21" customHeight="1">
      <x:c r="A3017" s="10" t="n">
        <x:v>46211</x:v>
      </x:c>
      <x:c r="B3017" s="1" t="n">
        <x:v>8.5</x:v>
      </x:c>
      <x:c r="C3017" s="1" t="n">
        <x:v>6</x:v>
      </x:c>
      <x:c r="D3017" s="12" t="n">
        <x:v>0.9125000000000001</x:v>
      </x:c>
      <x:c r="E3017" s="12" t="n">
        <x:v>1.0575833333333333</x:v>
      </x:c>
      <x:c r="F3017" s="12" t="n">
        <x:v>0.133</x:v>
      </x:c>
      <x:c r="G3017" s="12" t="n">
        <x:v>0</x:v>
      </x:c>
      <x:c r="H3017" s="1" t="n">
        <x:f>'Historical prices'!E3017</x:f>
        <x:v>1.05</x:v>
      </x:c>
      <x:c r="I3017" s="6" t="n">
        <x:f>'Historical prices'!D3017</x:f>
        <x:v>0.1955</x:v>
      </x:c>
      <x:c r="J3017" s="13" t="n">
        <x:f>D3017*I3017*H3017</x:f>
        <x:v>0.1873134375</x:v>
      </x:c>
      <x:c r="K3017" s="13" t="n">
        <x:f>E3017*I3017*H3017</x:f>
        <x:v>0.21709541875000002</x:v>
      </x:c>
      <x:c r="L3017" s="1" t="str">
        <x:f>TEXT(A3017,"mmm yyyy")</x:f>
        <x:v>Jul 2026</x:v>
      </x:c>
    </x:row>
    <x:row r="3018" ht="21" customHeight="1">
      <x:c r="A3018" s="10" t="n">
        <x:v>46211</x:v>
      </x:c>
      <x:c r="B3018" s="1" t="n">
        <x:v>9</x:v>
      </x:c>
      <x:c r="C3018" s="1" t="n">
        <x:v>6</x:v>
      </x:c>
      <x:c r="D3018" s="12" t="n">
        <x:v>0.1835</x:v>
      </x:c>
      <x:c r="E3018" s="12" t="n">
        <x:v>0.7000000000000001</x:v>
      </x:c>
      <x:c r="F3018" s="12" t="n">
        <x:v>0.5153333333333333</x:v>
      </x:c>
      <x:c r="G3018" s="12" t="n">
        <x:v>0</x:v>
      </x:c>
      <x:c r="H3018" s="1" t="n">
        <x:f>'Historical prices'!E3018</x:f>
        <x:v>1.05</x:v>
      </x:c>
      <x:c r="I3018" s="6" t="n">
        <x:f>'Historical prices'!D3018</x:f>
        <x:v>0.20010000000000003</x:v>
      </x:c>
      <x:c r="J3018" s="13" t="n">
        <x:f>D3018*I3018*H3018</x:f>
        <x:v>0.0385542675</x:v>
      </x:c>
      <x:c r="K3018" s="13" t="n">
        <x:f>E3018*I3018*H3018</x:f>
        <x:v>0.14707350000000002</x:v>
      </x:c>
      <x:c r="L3018" s="1" t="str">
        <x:f>TEXT(A3018,"mmm yyyy")</x:f>
        <x:v>Jul 2026</x:v>
      </x:c>
    </x:row>
    <x:row r="3019" ht="21" customHeight="1">
      <x:c r="A3019" s="10" t="n">
        <x:v>46211</x:v>
      </x:c>
      <x:c r="B3019" s="1" t="n">
        <x:v>9.5</x:v>
      </x:c>
      <x:c r="C3019" s="1" t="n">
        <x:v>6</x:v>
      </x:c>
      <x:c r="D3019" s="12" t="n">
        <x:v>0.39766666666666667</x:v>
      </x:c>
      <x:c r="E3019" s="12" t="n">
        <x:v>0.49775</x:v>
      </x:c>
      <x:c r="F3019" s="12" t="n">
        <x:v>0.091</x:v>
      </x:c>
      <x:c r="G3019" s="12" t="n">
        <x:v>0</x:v>
      </x:c>
      <x:c r="H3019" s="1" t="n">
        <x:f>'Historical prices'!E3019</x:f>
        <x:v>1.05</x:v>
      </x:c>
      <x:c r="I3019" s="6" t="n">
        <x:f>'Historical prices'!D3019</x:f>
        <x:v>0.1745</x:v>
      </x:c>
      <x:c r="J3019" s="13" t="n">
        <x:f>D3019*I3019*H3019</x:f>
        <x:v>0.07286247500000001</x:v>
      </x:c>
      <x:c r="K3019" s="13" t="n">
        <x:f>E3019*I3019*H3019</x:f>
        <x:v>0.09120024375</x:v>
      </x:c>
      <x:c r="L3019" s="1" t="str">
        <x:f>TEXT(A3019,"mmm yyyy")</x:f>
        <x:v>Jul 2026</x:v>
      </x:c>
    </x:row>
    <x:row r="3020" ht="21" customHeight="1">
      <x:c r="A3020" s="10" t="n">
        <x:v>46211</x:v>
      </x:c>
      <x:c r="B3020" s="1" t="n">
        <x:v>10</x:v>
      </x:c>
      <x:c r="C3020" s="1" t="n">
        <x:v>6</x:v>
      </x:c>
      <x:c r="D3020" s="12" t="n">
        <x:v>0.4431666666666667</x:v>
      </x:c>
      <x:c r="E3020" s="12" t="n">
        <x:v>0.4551666666666666</x:v>
      </x:c>
      <x:c r="F3020" s="12" t="n">
        <x:v>0</x:v>
      </x:c>
      <x:c r="G3020" s="12" t="n">
        <x:v>0</x:v>
      </x:c>
      <x:c r="H3020" s="1" t="n">
        <x:f>'Historical prices'!E3020</x:f>
        <x:v>1.05</x:v>
      </x:c>
      <x:c r="I3020" s="6" t="n">
        <x:f>'Historical prices'!D3020</x:f>
        <x:v>0.172</x:v>
      </x:c>
      <x:c r="J3020" s="13" t="n">
        <x:f>D3020*I3020*H3020</x:f>
        <x:v>0.0800359</x:v>
      </x:c>
      <x:c r="K3020" s="13" t="n">
        <x:f>E3020*I3020*H3020</x:f>
        <x:v>0.08220309999999999</x:v>
      </x:c>
      <x:c r="L3020" s="1" t="str">
        <x:f>TEXT(A3020,"mmm yyyy")</x:f>
        <x:v>Jul 2026</x:v>
      </x:c>
    </x:row>
    <x:row r="3021" ht="21" customHeight="1">
      <x:c r="A3021" s="10" t="n">
        <x:v>46211</x:v>
      </x:c>
      <x:c r="B3021" s="1" t="n">
        <x:v>10.5</x:v>
      </x:c>
      <x:c r="C3021" s="1" t="n">
        <x:v>6</x:v>
      </x:c>
      <x:c r="D3021" s="12" t="n">
        <x:v>0.43041666666666667</x:v>
      </x:c>
      <x:c r="E3021" s="12" t="n">
        <x:v>0.4404166666666667</x:v>
      </x:c>
      <x:c r="F3021" s="12" t="n">
        <x:v>0</x:v>
      </x:c>
      <x:c r="G3021" s="12" t="n">
        <x:v>0</x:v>
      </x:c>
      <x:c r="H3021" s="1" t="n">
        <x:f>'Historical prices'!E3021</x:f>
        <x:v>1.05</x:v>
      </x:c>
      <x:c r="I3021" s="6" t="n">
        <x:f>'Historical prices'!D3021</x:f>
        <x:v>0.1677</x:v>
      </x:c>
      <x:c r="J3021" s="13" t="n">
        <x:f>D3021*I3021*H3021</x:f>
        <x:v>0.07578991874999999</x:v>
      </x:c>
      <x:c r="K3021" s="13" t="n">
        <x:f>E3021*I3021*H3021</x:f>
        <x:v>0.07755076875000001</x:v>
      </x:c>
      <x:c r="L3021" s="1" t="str">
        <x:f>TEXT(A3021,"mmm yyyy")</x:f>
        <x:v>Jul 2026</x:v>
      </x:c>
    </x:row>
    <x:row r="3022" ht="21" customHeight="1">
      <x:c r="A3022" s="10" t="n">
        <x:v>46211</x:v>
      </x:c>
      <x:c r="B3022" s="1" t="n">
        <x:v>11</x:v>
      </x:c>
      <x:c r="C3022" s="1" t="n">
        <x:v>6</x:v>
      </x:c>
      <x:c r="D3022" s="12" t="n">
        <x:v>0.42441666666666666</x:v>
      </x:c>
      <x:c r="E3022" s="12" t="n">
        <x:v>0.4364166666666667</x:v>
      </x:c>
      <x:c r="F3022" s="12" t="n">
        <x:v>0</x:v>
      </x:c>
      <x:c r="G3022" s="12" t="n">
        <x:v>0</x:v>
      </x:c>
      <x:c r="H3022" s="1" t="n">
        <x:f>'Historical prices'!E3022</x:f>
        <x:v>1.05</x:v>
      </x:c>
      <x:c r="I3022" s="6" t="n">
        <x:f>'Historical prices'!D3022</x:f>
        <x:v>0.1598</x:v>
      </x:c>
      <x:c r="J3022" s="13" t="n">
        <x:f>D3022*I3022*H3022</x:f>
        <x:v>0.0712128725</x:v>
      </x:c>
      <x:c r="K3022" s="13" t="n">
        <x:f>E3022*I3022*H3022</x:f>
        <x:v>0.07322635250000001</x:v>
      </x:c>
      <x:c r="L3022" s="1" t="str">
        <x:f>TEXT(A3022,"mmm yyyy")</x:f>
        <x:v>Jul 2026</x:v>
      </x:c>
    </x:row>
    <x:row r="3023" ht="21" customHeight="1">
      <x:c r="A3023" s="10" t="n">
        <x:v>46211</x:v>
      </x:c>
      <x:c r="B3023" s="1" t="n">
        <x:v>11.5</x:v>
      </x:c>
      <x:c r="C3023" s="1" t="n">
        <x:v>6</x:v>
      </x:c>
      <x:c r="D3023" s="12" t="n">
        <x:v>1.0140833333333334</x:v>
      </x:c>
      <x:c r="E3023" s="12" t="n">
        <x:v>0.46308333333333335</x:v>
      </x:c>
      <x:c r="F3023" s="12" t="n">
        <x:v>0</x:v>
      </x:c>
      <x:c r="G3023" s="12" t="n">
        <x:v>0.558</x:v>
      </x:c>
      <x:c r="H3023" s="1" t="n">
        <x:f>'Historical prices'!E3023</x:f>
        <x:v>1.05</x:v>
      </x:c>
      <x:c r="I3023" s="6" t="n">
        <x:f>'Historical prices'!D3023</x:f>
        <x:v>0.1552</x:v>
      </x:c>
      <x:c r="J3023" s="13" t="n">
        <x:f>D3023*I3023*H3023</x:f>
        <x:v>0.16525502000000003</x:v>
      </x:c>
      <x:c r="K3023" s="13" t="n">
        <x:f>E3023*I3023*H3023</x:f>
        <x:v>0.07546406</x:v>
      </x:c>
      <x:c r="L3023" s="1" t="str">
        <x:f>TEXT(A3023,"mmm yyyy")</x:f>
        <x:v>Jul 2026</x:v>
      </x:c>
    </x:row>
    <x:row r="3024" ht="21" customHeight="1">
      <x:c r="A3024" s="10" t="n">
        <x:v>46211</x:v>
      </x:c>
      <x:c r="B3024" s="1" t="n">
        <x:v>12</x:v>
      </x:c>
      <x:c r="C3024" s="1" t="n">
        <x:v>6</x:v>
      </x:c>
      <x:c r="D3024" s="12" t="n">
        <x:v>0.6505833333333334</x:v>
      </x:c>
      <x:c r="E3024" s="12" t="n">
        <x:v>0.4565833333333333</x:v>
      </x:c>
      <x:c r="F3024" s="12" t="n">
        <x:v>0</x:v>
      </x:c>
      <x:c r="G3024" s="12" t="n">
        <x:v>0.201</x:v>
      </x:c>
      <x:c r="H3024" s="1" t="n">
        <x:f>'Historical prices'!E3024</x:f>
        <x:v>1.05</x:v>
      </x:c>
      <x:c r="I3024" s="6" t="n">
        <x:f>'Historical prices'!D3024</x:f>
        <x:v>0.1612</x:v>
      </x:c>
      <x:c r="J3024" s="13" t="n">
        <x:f>D3024*I3024*H3024</x:f>
        <x:v>0.11011773500000002</x:v>
      </x:c>
      <x:c r="K3024" s="13" t="n">
        <x:f>E3024*I3024*H3024</x:f>
        <x:v>0.077281295</x:v>
      </x:c>
      <x:c r="L3024" s="1" t="str">
        <x:f>TEXT(A3024,"mmm yyyy")</x:f>
        <x:v>Jul 2026</x:v>
      </x:c>
    </x:row>
    <x:row r="3025" ht="21" customHeight="1">
      <x:c r="A3025" s="10" t="n">
        <x:v>46211</x:v>
      </x:c>
      <x:c r="B3025" s="1" t="n">
        <x:v>12.5</x:v>
      </x:c>
      <x:c r="C3025" s="1" t="n">
        <x:v>6</x:v>
      </x:c>
      <x:c r="D3025" s="12" t="n">
        <x:v>0.45841666666666664</x:v>
      </x:c>
      <x:c r="E3025" s="12" t="n">
        <x:v>0.47041666666666665</x:v>
      </x:c>
      <x:c r="F3025" s="12" t="n">
        <x:v>0</x:v>
      </x:c>
      <x:c r="G3025" s="12" t="n">
        <x:v>0</x:v>
      </x:c>
      <x:c r="H3025" s="1" t="n">
        <x:f>'Historical prices'!E3025</x:f>
        <x:v>1.05</x:v>
      </x:c>
      <x:c r="I3025" s="6" t="n">
        <x:f>'Historical prices'!D3025</x:f>
        <x:v>0.16149999999999998</x:v>
      </x:c>
      <x:c r="J3025" s="13" t="n">
        <x:f>D3025*I3025*H3025</x:f>
        <x:v>0.07773600624999999</x:v>
      </x:c>
      <x:c r="K3025" s="13" t="n">
        <x:f>E3025*I3025*H3025</x:f>
        <x:v>0.07977090624999998</x:v>
      </x:c>
      <x:c r="L3025" s="1" t="str">
        <x:f>TEXT(A3025,"mmm yyyy")</x:f>
        <x:v>Jul 2026</x:v>
      </x:c>
    </x:row>
    <x:row r="3026" ht="21" customHeight="1">
      <x:c r="A3026" s="10" t="n">
        <x:v>46211</x:v>
      </x:c>
      <x:c r="B3026" s="1" t="n">
        <x:v>13</x:v>
      </x:c>
      <x:c r="C3026" s="1" t="n">
        <x:v>6</x:v>
      </x:c>
      <x:c r="D3026" s="12" t="n">
        <x:v>0.40975</x:v>
      </x:c>
      <x:c r="E3026" s="12" t="n">
        <x:v>0.42074999999999996</x:v>
      </x:c>
      <x:c r="F3026" s="12" t="n">
        <x:v>0</x:v>
      </x:c>
      <x:c r="G3026" s="12" t="n">
        <x:v>0</x:v>
      </x:c>
      <x:c r="H3026" s="1" t="n">
        <x:f>'Historical prices'!E3026</x:f>
        <x:v>1.05</x:v>
      </x:c>
      <x:c r="I3026" s="6" t="n">
        <x:f>'Historical prices'!D3026</x:f>
        <x:v>0.1677</x:v>
      </x:c>
      <x:c r="J3026" s="13" t="n">
        <x:f>D3026*I3026*H3026</x:f>
        <x:v>0.07215082875</x:v>
      </x:c>
      <x:c r="K3026" s="13" t="n">
        <x:f>E3026*I3026*H3026</x:f>
        <x:v>0.07408776375</x:v>
      </x:c>
      <x:c r="L3026" s="1" t="str">
        <x:f>TEXT(A3026,"mmm yyyy")</x:f>
        <x:v>Jul 2026</x:v>
      </x:c>
    </x:row>
    <x:row r="3027" ht="21" customHeight="1">
      <x:c r="A3027" s="10" t="n">
        <x:v>46211</x:v>
      </x:c>
      <x:c r="B3027" s="1" t="n">
        <x:v>13.5</x:v>
      </x:c>
      <x:c r="C3027" s="1" t="n">
        <x:v>6</x:v>
      </x:c>
      <x:c r="D3027" s="12" t="n">
        <x:v>0.47724999999999995</x:v>
      </x:c>
      <x:c r="E3027" s="12" t="n">
        <x:v>0.48824999999999996</x:v>
      </x:c>
      <x:c r="F3027" s="12" t="n">
        <x:v>0</x:v>
      </x:c>
      <x:c r="G3027" s="12" t="n">
        <x:v>0</x:v>
      </x:c>
      <x:c r="H3027" s="1" t="n">
        <x:f>'Historical prices'!E3027</x:f>
        <x:v>1.05</x:v>
      </x:c>
      <x:c r="I3027" s="6" t="n">
        <x:f>'Historical prices'!D3027</x:f>
        <x:v>0.16390000000000002</x:v>
      </x:c>
      <x:c r="J3027" s="13" t="n">
        <x:f>D3027*I3027*H3027</x:f>
        <x:v>0.08213233875</x:v>
      </x:c>
      <x:c r="K3027" s="13" t="n">
        <x:f>E3027*I3027*H3027</x:f>
        <x:v>0.08402538375</x:v>
      </x:c>
      <x:c r="L3027" s="1" t="str">
        <x:f>TEXT(A3027,"mmm yyyy")</x:f>
        <x:v>Jul 2026</x:v>
      </x:c>
    </x:row>
    <x:row r="3028" ht="21" customHeight="1">
      <x:c r="A3028" s="10" t="n">
        <x:v>46211</x:v>
      </x:c>
      <x:c r="B3028" s="1" t="n">
        <x:v>14</x:v>
      </x:c>
      <x:c r="C3028" s="1" t="n">
        <x:v>6</x:v>
      </x:c>
      <x:c r="D3028" s="12" t="n">
        <x:v>0.44475000000000003</x:v>
      </x:c>
      <x:c r="E3028" s="12" t="n">
        <x:v>0.45475000000000004</x:v>
      </x:c>
      <x:c r="F3028" s="12" t="n">
        <x:v>0</x:v>
      </x:c>
      <x:c r="G3028" s="12" t="n">
        <x:v>0</x:v>
      </x:c>
      <x:c r="H3028" s="1" t="n">
        <x:f>'Historical prices'!E3028</x:f>
        <x:v>1.05</x:v>
      </x:c>
      <x:c r="I3028" s="6" t="n">
        <x:f>'Historical prices'!D3028</x:f>
        <x:v>0.16140000000000002</x:v>
      </x:c>
      <x:c r="J3028" s="13" t="n">
        <x:f>D3028*I3028*H3028</x:f>
        <x:v>0.07537178250000003</x:v>
      </x:c>
      <x:c r="K3028" s="13" t="n">
        <x:f>E3028*I3028*H3028</x:f>
        <x:v>0.0770664825</x:v>
      </x:c>
      <x:c r="L3028" s="1" t="str">
        <x:f>TEXT(A3028,"mmm yyyy")</x:f>
        <x:v>Jul 2026</x:v>
      </x:c>
    </x:row>
    <x:row r="3029" ht="21" customHeight="1">
      <x:c r="A3029" s="10" t="n">
        <x:v>46211</x:v>
      </x:c>
      <x:c r="B3029" s="1" t="n">
        <x:v>14.5</x:v>
      </x:c>
      <x:c r="C3029" s="1" t="n">
        <x:v>6</x:v>
      </x:c>
      <x:c r="D3029" s="12" t="n">
        <x:v>0.41724999999999995</x:v>
      </x:c>
      <x:c r="E3029" s="12" t="n">
        <x:v>0.42724999999999996</x:v>
      </x:c>
      <x:c r="F3029" s="12" t="n">
        <x:v>0</x:v>
      </x:c>
      <x:c r="G3029" s="12" t="n">
        <x:v>0</x:v>
      </x:c>
      <x:c r="H3029" s="1" t="n">
        <x:f>'Historical prices'!E3029</x:f>
        <x:v>1.05</x:v>
      </x:c>
      <x:c r="I3029" s="6" t="n">
        <x:f>'Historical prices'!D3029</x:f>
        <x:v>0.16140000000000002</x:v>
      </x:c>
      <x:c r="J3029" s="13" t="n">
        <x:f>D3029*I3029*H3029</x:f>
        <x:v>0.0707113575</x:v>
      </x:c>
      <x:c r="K3029" s="13" t="n">
        <x:f>E3029*I3029*H3029</x:f>
        <x:v>0.0724060575</x:v>
      </x:c>
      <x:c r="L3029" s="1" t="str">
        <x:f>TEXT(A3029,"mmm yyyy")</x:f>
        <x:v>Jul 2026</x:v>
      </x:c>
    </x:row>
    <x:row r="3030" ht="21" customHeight="1">
      <x:c r="A3030" s="10" t="n">
        <x:v>46211</x:v>
      </x:c>
      <x:c r="B3030" s="1" t="n">
        <x:v>15</x:v>
      </x:c>
      <x:c r="C3030" s="1" t="n">
        <x:v>6</x:v>
      </x:c>
      <x:c r="D3030" s="12" t="n">
        <x:v>4.590333333333334</x:v>
      </x:c>
      <x:c r="E3030" s="12" t="n">
        <x:v>0.7033333333333334</x:v>
      </x:c>
      <x:c r="F3030" s="12" t="n">
        <x:v>0</x:v>
      </x:c>
      <x:c r="G3030" s="12" t="n">
        <x:v>3.889</x:v>
      </x:c>
      <x:c r="H3030" s="1" t="n">
        <x:f>'Historical prices'!E3030</x:f>
        <x:v>1.05</x:v>
      </x:c>
      <x:c r="I3030" s="6" t="n">
        <x:f>'Historical prices'!D3030</x:f>
        <x:v>0.1482</x:v>
      </x:c>
      <x:c r="J3030" s="13" t="n">
        <x:f>D3030*I3030*H3030</x:f>
        <x:v>0.7143017700000001</x:v>
      </x:c>
      <x:c r="K3030" s="13" t="n">
        <x:f>E3030*I3030*H3030</x:f>
        <x:v>0.1094457</x:v>
      </x:c>
      <x:c r="L3030" s="1" t="str">
        <x:f>TEXT(A3030,"mmm yyyy")</x:f>
        <x:v>Jul 2026</x:v>
      </x:c>
    </x:row>
    <x:row r="3031" ht="21" customHeight="1">
      <x:c r="A3031" s="10" t="n">
        <x:v>46211</x:v>
      </x:c>
      <x:c r="B3031" s="1" t="n">
        <x:v>15.5</x:v>
      </x:c>
      <x:c r="C3031" s="1" t="n">
        <x:v>6</x:v>
      </x:c>
      <x:c r="D3031" s="12" t="n">
        <x:v>1.2945833333333334</x:v>
      </x:c>
      <x:c r="E3031" s="12" t="n">
        <x:v>0.5475833333333333</x:v>
      </x:c>
      <x:c r="F3031" s="12" t="n">
        <x:v>0</x:v>
      </x:c>
      <x:c r="G3031" s="12" t="n">
        <x:v>0.751</x:v>
      </x:c>
      <x:c r="H3031" s="1" t="n">
        <x:f>'Historical prices'!E3031</x:f>
        <x:v>1.05</x:v>
      </x:c>
      <x:c r="I3031" s="6" t="n">
        <x:f>'Historical prices'!D3031</x:f>
        <x:v>0.1635</x:v>
      </x:c>
      <x:c r="J3031" s="13" t="n">
        <x:f>D3031*I3031*H3031</x:f>
        <x:v>0.22224759375000003</x:v>
      </x:c>
      <x:c r="K3031" s="13" t="n">
        <x:f>E3031*I3031*H3031</x:f>
        <x:v>0.09400636875</x:v>
      </x:c>
      <x:c r="L3031" s="1" t="str">
        <x:f>TEXT(A3031,"mmm yyyy")</x:f>
        <x:v>Jul 2026</x:v>
      </x:c>
    </x:row>
    <x:row r="3032" ht="21" customHeight="1">
      <x:c r="A3032" s="10" t="n">
        <x:v>46211</x:v>
      </x:c>
      <x:c r="B3032" s="1" t="n">
        <x:v>16</x:v>
      </x:c>
      <x:c r="C3032" s="1" t="n">
        <x:v>6</x:v>
      </x:c>
      <x:c r="D3032" s="12" t="n">
        <x:v>0.07975</x:v>
      </x:c>
      <x:c r="E3032" s="12" t="n">
        <x:v>0.5165</x:v>
      </x:c>
      <x:c r="F3032" s="12" t="n">
        <x:v>0.4335</x:v>
      </x:c>
      <x:c r="G3032" s="12" t="n">
        <x:v>0</x:v>
      </x:c>
      <x:c r="H3032" s="1" t="n">
        <x:f>'Historical prices'!E3032</x:f>
        <x:v>1.05</x:v>
      </x:c>
      <x:c r="I3032" s="6" t="n">
        <x:f>'Historical prices'!D3032</x:f>
        <x:v>0.30079999999999996</x:v>
      </x:c>
      <x:c r="J3032" s="13" t="n">
        <x:f>D3032*I3032*H3032</x:f>
        <x:v>0.025188239999999997</x:v>
      </x:c>
      <x:c r="K3032" s="13" t="n">
        <x:f>E3032*I3032*H3032</x:f>
        <x:v>0.16313135999999995</x:v>
      </x:c>
      <x:c r="L3032" s="1" t="str">
        <x:f>TEXT(A3032,"mmm yyyy")</x:f>
        <x:v>Jul 2026</x:v>
      </x:c>
    </x:row>
    <x:row r="3033" ht="21" customHeight="1">
      <x:c r="A3033" s="10" t="n">
        <x:v>46211</x:v>
      </x:c>
      <x:c r="B3033" s="1" t="n">
        <x:v>16.5</x:v>
      </x:c>
      <x:c r="C3033" s="1" t="n">
        <x:v>6</x:v>
      </x:c>
      <x:c r="D3033" s="12" t="n">
        <x:v>0</x:v>
      </x:c>
      <x:c r="E3033" s="12" t="n">
        <x:v>0.5038333333333334</x:v>
      </x:c>
      <x:c r="F3033" s="12" t="n">
        <x:v>0.48991666666666667</x:v>
      </x:c>
      <x:c r="G3033" s="12" t="n">
        <x:v>0</x:v>
      </x:c>
      <x:c r="H3033" s="1" t="n">
        <x:f>'Historical prices'!E3033</x:f>
        <x:v>1.05</x:v>
      </x:c>
      <x:c r="I3033" s="6" t="n">
        <x:f>'Historical prices'!D3033</x:f>
        <x:v>0.2987</x:v>
      </x:c>
      <x:c r="J3033" s="13" t="n">
        <x:f>D3033*I3033*H3033</x:f>
        <x:v>0</x:v>
      </x:c>
      <x:c r="K3033" s="13" t="n">
        <x:f>E3033*I3033*H3033</x:f>
        <x:v>0.15801976750000002</x:v>
      </x:c>
      <x:c r="L3033" s="1" t="str">
        <x:f>TEXT(A3033,"mmm yyyy")</x:f>
        <x:v>Jul 2026</x:v>
      </x:c>
    </x:row>
    <x:row r="3034" ht="21" customHeight="1">
      <x:c r="A3034" s="10" t="n">
        <x:v>46211</x:v>
      </x:c>
      <x:c r="B3034" s="1" t="n">
        <x:v>17</x:v>
      </x:c>
      <x:c r="C3034" s="1" t="n">
        <x:v>6</x:v>
      </x:c>
      <x:c r="D3034" s="12" t="n">
        <x:v>0</x:v>
      </x:c>
      <x:c r="E3034" s="12" t="n">
        <x:v>0.6079166666666667</x:v>
      </x:c>
      <x:c r="F3034" s="12" t="n">
        <x:v>0.6075833333333333</x:v>
      </x:c>
      <x:c r="G3034" s="12" t="n">
        <x:v>0</x:v>
      </x:c>
      <x:c r="H3034" s="1" t="n">
        <x:f>'Historical prices'!E3034</x:f>
        <x:v>1.05</x:v>
      </x:c>
      <x:c r="I3034" s="6" t="n">
        <x:f>'Historical prices'!D3034</x:f>
        <x:v>0.2962</x:v>
      </x:c>
      <x:c r="J3034" s="13" t="n">
        <x:f>D3034*I3034*H3034</x:f>
        <x:v>0</x:v>
      </x:c>
      <x:c r="K3034" s="13" t="n">
        <x:f>E3034*I3034*H3034</x:f>
        <x:v>0.18906816250000003</x:v>
      </x:c>
      <x:c r="L3034" s="1" t="str">
        <x:f>TEXT(A3034,"mmm yyyy")</x:f>
        <x:v>Jul 2026</x:v>
      </x:c>
    </x:row>
    <x:row r="3035" ht="21" customHeight="1">
      <x:c r="A3035" s="10" t="n">
        <x:v>46211</x:v>
      </x:c>
      <x:c r="B3035" s="1" t="n">
        <x:v>17.5</x:v>
      </x:c>
      <x:c r="C3035" s="1" t="n">
        <x:v>6</x:v>
      </x:c>
      <x:c r="D3035" s="12" t="n">
        <x:v>0</x:v>
      </x:c>
      <x:c r="E3035" s="12" t="n">
        <x:v>0.5361666666666666</x:v>
      </x:c>
      <x:c r="F3035" s="12" t="n">
        <x:v>0.53375</x:v>
      </x:c>
      <x:c r="G3035" s="12" t="n">
        <x:v>0</x:v>
      </x:c>
      <x:c r="H3035" s="1" t="n">
        <x:f>'Historical prices'!E3035</x:f>
        <x:v>1.05</x:v>
      </x:c>
      <x:c r="I3035" s="6" t="n">
        <x:f>'Historical prices'!D3035</x:f>
        <x:v>0.3248</x:v>
      </x:c>
      <x:c r="J3035" s="13" t="n">
        <x:f>D3035*I3035*H3035</x:f>
        <x:v>0</x:v>
      </x:c>
      <x:c r="K3035" s="13" t="n">
        <x:f>E3035*I3035*H3035</x:f>
        <x:v>0.18285427999999995</x:v>
      </x:c>
      <x:c r="L3035" s="1" t="str">
        <x:f>TEXT(A3035,"mmm yyyy")</x:f>
        <x:v>Jul 2026</x:v>
      </x:c>
    </x:row>
    <x:row r="3036" ht="21" customHeight="1">
      <x:c r="A3036" s="10" t="n">
        <x:v>46211</x:v>
      </x:c>
      <x:c r="B3036" s="1" t="n">
        <x:v>18</x:v>
      </x:c>
      <x:c r="C3036" s="1" t="n">
        <x:v>6</x:v>
      </x:c>
      <x:c r="D3036" s="12" t="n">
        <x:v>0</x:v>
      </x:c>
      <x:c r="E3036" s="12" t="n">
        <x:v>0.5015833333333334</x:v>
      </x:c>
      <x:c r="F3036" s="12" t="n">
        <x:v>0.5015833333333334</x:v>
      </x:c>
      <x:c r="G3036" s="12" t="n">
        <x:v>0</x:v>
      </x:c>
      <x:c r="H3036" s="1" t="n">
        <x:f>'Historical prices'!E3036</x:f>
        <x:v>1.05</x:v>
      </x:c>
      <x:c r="I3036" s="6" t="n">
        <x:f>'Historical prices'!D3036</x:f>
        <x:v>0.3323</x:v>
      </x:c>
      <x:c r="J3036" s="13" t="n">
        <x:f>D3036*I3036*H3036</x:f>
        <x:v>0</x:v>
      </x:c>
      <x:c r="K3036" s="13" t="n">
        <x:f>E3036*I3036*H3036</x:f>
        <x:v>0.17500994875</x:v>
      </x:c>
      <x:c r="L3036" s="1" t="str">
        <x:f>TEXT(A3036,"mmm yyyy")</x:f>
        <x:v>Jul 2026</x:v>
      </x:c>
    </x:row>
    <x:row r="3037" ht="21" customHeight="1">
      <x:c r="A3037" s="10" t="n">
        <x:v>46211</x:v>
      </x:c>
      <x:c r="B3037" s="1" t="n">
        <x:v>18.5</x:v>
      </x:c>
      <x:c r="C3037" s="1" t="n">
        <x:v>6</x:v>
      </x:c>
      <x:c r="D3037" s="12" t="n">
        <x:v>0</x:v>
      </x:c>
      <x:c r="E3037" s="12" t="n">
        <x:v>1.15775</x:v>
      </x:c>
      <x:c r="F3037" s="12" t="n">
        <x:v>1.1575</x:v>
      </x:c>
      <x:c r="G3037" s="12" t="n">
        <x:v>0</x:v>
      </x:c>
      <x:c r="H3037" s="1" t="n">
        <x:f>'Historical prices'!E3037</x:f>
        <x:v>1.05</x:v>
      </x:c>
      <x:c r="I3037" s="6" t="n">
        <x:f>'Historical prices'!D3037</x:f>
        <x:v>0.36329999999999996</x:v>
      </x:c>
      <x:c r="J3037" s="13" t="n">
        <x:f>D3037*I3037*H3037</x:f>
        <x:v>0</x:v>
      </x:c>
      <x:c r="K3037" s="13" t="n">
        <x:f>E3037*I3037*H3037</x:f>
        <x:v>0.44164110375</x:v>
      </x:c>
      <x:c r="L3037" s="1" t="str">
        <x:f>TEXT(A3037,"mmm yyyy")</x:f>
        <x:v>Jul 2026</x:v>
      </x:c>
    </x:row>
    <x:row r="3038" ht="21" customHeight="1">
      <x:c r="A3038" s="10" t="n">
        <x:v>46211</x:v>
      </x:c>
      <x:c r="B3038" s="1" t="n">
        <x:v>19</x:v>
      </x:c>
      <x:c r="C3038" s="1" t="n">
        <x:v>6</x:v>
      </x:c>
      <x:c r="D3038" s="12" t="n">
        <x:v>0</x:v>
      </x:c>
      <x:c r="E3038" s="12" t="n">
        <x:v>0.866</x:v>
      </x:c>
      <x:c r="F3038" s="12" t="n">
        <x:v>0.8654166666666666</x:v>
      </x:c>
      <x:c r="G3038" s="12" t="n">
        <x:v>0</x:v>
      </x:c>
      <x:c r="H3038" s="1" t="n">
        <x:f>'Historical prices'!E3038</x:f>
        <x:v>1.05</x:v>
      </x:c>
      <x:c r="I3038" s="6" t="n">
        <x:f>'Historical prices'!D3038</x:f>
        <x:v>0.2648</x:v>
      </x:c>
      <x:c r="J3038" s="13" t="n">
        <x:f>D3038*I3038*H3038</x:f>
        <x:v>0</x:v>
      </x:c>
      <x:c r="K3038" s="13" t="n">
        <x:f>E3038*I3038*H3038</x:f>
        <x:v>0.24078264</x:v>
      </x:c>
      <x:c r="L3038" s="1" t="str">
        <x:f>TEXT(A3038,"mmm yyyy")</x:f>
        <x:v>Jul 2026</x:v>
      </x:c>
    </x:row>
    <x:row r="3039" ht="21" customHeight="1">
      <x:c r="A3039" s="10" t="n">
        <x:v>46211</x:v>
      </x:c>
      <x:c r="B3039" s="1" t="n">
        <x:v>19.5</x:v>
      </x:c>
      <x:c r="C3039" s="1" t="n">
        <x:v>6</x:v>
      </x:c>
      <x:c r="D3039" s="12" t="n">
        <x:v>0</x:v>
      </x:c>
      <x:c r="E3039" s="12" t="n">
        <x:v>0.8220833333333334</x:v>
      </x:c>
      <x:c r="F3039" s="12" t="n">
        <x:v>0.8216666666666667</x:v>
      </x:c>
      <x:c r="G3039" s="12" t="n">
        <x:v>0</x:v>
      </x:c>
      <x:c r="H3039" s="1" t="n">
        <x:f>'Historical prices'!E3039</x:f>
        <x:v>1.05</x:v>
      </x:c>
      <x:c r="I3039" s="6" t="n">
        <x:f>'Historical prices'!D3039</x:f>
        <x:v>0.2725</x:v>
      </x:c>
      <x:c r="J3039" s="13" t="n">
        <x:f>D3039*I3039*H3039</x:f>
        <x:v>0</x:v>
      </x:c>
      <x:c r="K3039" s="13" t="n">
        <x:f>E3039*I3039*H3039</x:f>
        <x:v>0.23521859375000004</x:v>
      </x:c>
      <x:c r="L3039" s="1" t="str">
        <x:f>TEXT(A3039,"mmm yyyy")</x:f>
        <x:v>Jul 2026</x:v>
      </x:c>
    </x:row>
    <x:row r="3040" ht="21" customHeight="1">
      <x:c r="A3040" s="10" t="n">
        <x:v>46211</x:v>
      </x:c>
      <x:c r="B3040" s="1" t="n">
        <x:v>20</x:v>
      </x:c>
      <x:c r="C3040" s="1" t="n">
        <x:v>6</x:v>
      </x:c>
      <x:c r="D3040" s="12" t="n">
        <x:v>0</x:v>
      </x:c>
      <x:c r="E3040" s="12" t="n">
        <x:v>0.5175</x:v>
      </x:c>
      <x:c r="F3040" s="12" t="n">
        <x:v>0.5175</x:v>
      </x:c>
      <x:c r="G3040" s="12" t="n">
        <x:v>0</x:v>
      </x:c>
      <x:c r="H3040" s="1" t="n">
        <x:f>'Historical prices'!E3040</x:f>
        <x:v>1.05</x:v>
      </x:c>
      <x:c r="I3040" s="6" t="n">
        <x:f>'Historical prices'!D3040</x:f>
        <x:v>0.2888</x:v>
      </x:c>
      <x:c r="J3040" s="13" t="n">
        <x:f>D3040*I3040*H3040</x:f>
        <x:v>0</x:v>
      </x:c>
      <x:c r="K3040" s="13" t="n">
        <x:f>E3040*I3040*H3040</x:f>
        <x:v>0.15692669999999997</x:v>
      </x:c>
      <x:c r="L3040" s="1" t="str">
        <x:f>TEXT(A3040,"mmm yyyy")</x:f>
        <x:v>Jul 2026</x:v>
      </x:c>
    </x:row>
    <x:row r="3041" ht="21" customHeight="1">
      <x:c r="A3041" s="10" t="n">
        <x:v>46211</x:v>
      </x:c>
      <x:c r="B3041" s="1" t="n">
        <x:v>20.5</x:v>
      </x:c>
      <x:c r="C3041" s="1" t="n">
        <x:v>6</x:v>
      </x:c>
      <x:c r="D3041" s="12" t="n">
        <x:v>0</x:v>
      </x:c>
      <x:c r="E3041" s="12" t="n">
        <x:v>0.5484166666666667</x:v>
      </x:c>
      <x:c r="F3041" s="12" t="n">
        <x:v>0.54825</x:v>
      </x:c>
      <x:c r="G3041" s="12" t="n">
        <x:v>0</x:v>
      </x:c>
      <x:c r="H3041" s="1" t="n">
        <x:f>'Historical prices'!E3041</x:f>
        <x:v>1.05</x:v>
      </x:c>
      <x:c r="I3041" s="6" t="n">
        <x:f>'Historical prices'!D3041</x:f>
        <x:v>0.2905</x:v>
      </x:c>
      <x:c r="J3041" s="13" t="n">
        <x:f>D3041*I3041*H3041</x:f>
        <x:v>0</x:v>
      </x:c>
      <x:c r="K3041" s="13" t="n">
        <x:f>E3041*I3041*H3041</x:f>
        <x:v>0.16728079375</x:v>
      </x:c>
      <x:c r="L3041" s="1" t="str">
        <x:f>TEXT(A3041,"mmm yyyy")</x:f>
        <x:v>Jul 2026</x:v>
      </x:c>
    </x:row>
    <x:row r="3042" ht="21" customHeight="1">
      <x:c r="A3042" s="10" t="n">
        <x:v>46211</x:v>
      </x:c>
      <x:c r="B3042" s="1" t="n">
        <x:v>21</x:v>
      </x:c>
      <x:c r="C3042" s="1" t="n">
        <x:v>6</x:v>
      </x:c>
      <x:c r="D3042" s="12" t="n">
        <x:v>0</x:v>
      </x:c>
      <x:c r="E3042" s="12" t="n">
        <x:v>0.5909166666666666</x:v>
      </x:c>
      <x:c r="F3042" s="12" t="n">
        <x:v>0.5908333333333333</x:v>
      </x:c>
      <x:c r="G3042" s="12" t="n">
        <x:v>0</x:v>
      </x:c>
      <x:c r="H3042" s="1" t="n">
        <x:f>'Historical prices'!E3042</x:f>
        <x:v>1.05</x:v>
      </x:c>
      <x:c r="I3042" s="6" t="n">
        <x:f>'Historical prices'!D3042</x:f>
        <x:v>0.2845</x:v>
      </x:c>
      <x:c r="J3042" s="13" t="n">
        <x:f>D3042*I3042*H3042</x:f>
        <x:v>0</x:v>
      </x:c>
      <x:c r="K3042" s="13" t="n">
        <x:f>E3042*I3042*H3042</x:f>
        <x:v>0.17652158125</x:v>
      </x:c>
      <x:c r="L3042" s="1" t="str">
        <x:f>TEXT(A3042,"mmm yyyy")</x:f>
        <x:v>Jul 2026</x:v>
      </x:c>
    </x:row>
    <x:row r="3043" ht="21" customHeight="1">
      <x:c r="A3043" s="10" t="n">
        <x:v>46211</x:v>
      </x:c>
      <x:c r="B3043" s="1" t="n">
        <x:v>21.5</x:v>
      </x:c>
      <x:c r="C3043" s="1" t="n">
        <x:v>6</x:v>
      </x:c>
      <x:c r="D3043" s="12" t="n">
        <x:v>0</x:v>
      </x:c>
      <x:c r="E3043" s="12" t="n">
        <x:v>0.9739166666666668</x:v>
      </x:c>
      <x:c r="F3043" s="12" t="n">
        <x:v>0.9735833333333334</x:v>
      </x:c>
      <x:c r="G3043" s="12" t="n">
        <x:v>0</x:v>
      </x:c>
      <x:c r="H3043" s="1" t="n">
        <x:f>'Historical prices'!E3043</x:f>
        <x:v>1.05</x:v>
      </x:c>
      <x:c r="I3043" s="6" t="n">
        <x:f>'Historical prices'!D3043</x:f>
        <x:v>0.2816</x:v>
      </x:c>
      <x:c r="J3043" s="13" t="n">
        <x:f>D3043*I3043*H3043</x:f>
        <x:v>0</x:v>
      </x:c>
      <x:c r="K3043" s="13" t="n">
        <x:f>E3043*I3043*H3043</x:f>
        <x:v>0.28796768000000006</x:v>
      </x:c>
      <x:c r="L3043" s="1" t="str">
        <x:f>TEXT(A3043,"mmm yyyy")</x:f>
        <x:v>Jul 2026</x:v>
      </x:c>
    </x:row>
    <x:row r="3044" ht="21" customHeight="1">
      <x:c r="A3044" s="10" t="n">
        <x:v>46211</x:v>
      </x:c>
      <x:c r="B3044" s="1" t="n">
        <x:v>22</x:v>
      </x:c>
      <x:c r="C3044" s="1" t="n">
        <x:v>6</x:v>
      </x:c>
      <x:c r="D3044" s="12" t="n">
        <x:v>0</x:v>
      </x:c>
      <x:c r="E3044" s="12" t="n">
        <x:v>0.3079166666666667</x:v>
      </x:c>
      <x:c r="F3044" s="12" t="n">
        <x:v>0.30766666666666664</x:v>
      </x:c>
      <x:c r="G3044" s="12" t="n">
        <x:v>0</x:v>
      </x:c>
      <x:c r="H3044" s="1" t="n">
        <x:f>'Historical prices'!E3044</x:f>
        <x:v>1.05</x:v>
      </x:c>
      <x:c r="I3044" s="6" t="n">
        <x:f>'Historical prices'!D3044</x:f>
        <x:v>0.2669</x:v>
      </x:c>
      <x:c r="J3044" s="13" t="n">
        <x:f>D3044*I3044*H3044</x:f>
        <x:v>0</x:v>
      </x:c>
      <x:c r="K3044" s="13" t="n">
        <x:f>E3044*I3044*H3044</x:f>
        <x:v>0.08629210625000003</x:v>
      </x:c>
      <x:c r="L3044" s="1" t="str">
        <x:f>TEXT(A3044,"mmm yyyy")</x:f>
        <x:v>Jul 2026</x:v>
      </x:c>
    </x:row>
    <x:row r="3045" ht="21" customHeight="1">
      <x:c r="A3045" s="10" t="n">
        <x:v>46211</x:v>
      </x:c>
      <x:c r="B3045" s="1" t="n">
        <x:v>22.5</x:v>
      </x:c>
      <x:c r="C3045" s="1" t="n">
        <x:v>6</x:v>
      </x:c>
      <x:c r="D3045" s="12" t="n">
        <x:v>0</x:v>
      </x:c>
      <x:c r="E3045" s="12" t="n">
        <x:v>0.2946666666666667</x:v>
      </x:c>
      <x:c r="F3045" s="12" t="n">
        <x:v>0.29441666666666666</x:v>
      </x:c>
      <x:c r="G3045" s="12" t="n">
        <x:v>0</x:v>
      </x:c>
      <x:c r="H3045" s="1" t="n">
        <x:f>'Historical prices'!E3045</x:f>
        <x:v>1.05</x:v>
      </x:c>
      <x:c r="I3045" s="6" t="n">
        <x:f>'Historical prices'!D3045</x:f>
        <x:v>0.24280000000000002</x:v>
      </x:c>
      <x:c r="J3045" s="13" t="n">
        <x:f>D3045*I3045*H3045</x:f>
        <x:v>0</x:v>
      </x:c>
      <x:c r="K3045" s="13" t="n">
        <x:f>E3045*I3045*H3045</x:f>
        <x:v>0.07512232</x:v>
      </x:c>
      <x:c r="L3045" s="1" t="str">
        <x:f>TEXT(A3045,"mmm yyyy")</x:f>
        <x:v>Jul 2026</x:v>
      </x:c>
    </x:row>
    <x:row r="3046" ht="21" customHeight="1">
      <x:c r="A3046" s="10" t="n">
        <x:v>46211</x:v>
      </x:c>
      <x:c r="B3046" s="1" t="n">
        <x:v>23</x:v>
      </x:c>
      <x:c r="C3046" s="1" t="n">
        <x:v>6</x:v>
      </x:c>
      <x:c r="D3046" s="12" t="n">
        <x:v>0</x:v>
      </x:c>
      <x:c r="E3046" s="12" t="n">
        <x:v>0.303</x:v>
      </x:c>
      <x:c r="F3046" s="12" t="n">
        <x:v>0.3026666666666667</x:v>
      </x:c>
      <x:c r="G3046" s="12" t="n">
        <x:v>0</x:v>
      </x:c>
      <x:c r="H3046" s="1" t="n">
        <x:f>'Historical prices'!E3046</x:f>
        <x:v>1.05</x:v>
      </x:c>
      <x:c r="I3046" s="6" t="n">
        <x:f>'Historical prices'!D3046</x:f>
        <x:v>0.2228</x:v>
      </x:c>
      <x:c r="J3046" s="13" t="n">
        <x:f>D3046*I3046*H3046</x:f>
        <x:v>0</x:v>
      </x:c>
      <x:c r="K3046" s="13" t="n">
        <x:f>E3046*I3046*H3046</x:f>
        <x:v>0.07088382</x:v>
      </x:c>
      <x:c r="L3046" s="1" t="str">
        <x:f>TEXT(A3046,"mmm yyyy")</x:f>
        <x:v>Jul 2026</x:v>
      </x:c>
    </x:row>
    <x:row r="3047" ht="21" customHeight="1">
      <x:c r="A3047" s="10" t="n">
        <x:v>46211</x:v>
      </x:c>
      <x:c r="B3047" s="1" t="n">
        <x:v>23.5</x:v>
      </x:c>
      <x:c r="C3047" s="1" t="n">
        <x:v>6</x:v>
      </x:c>
      <x:c r="D3047" s="12" t="n">
        <x:v>0</x:v>
      </x:c>
      <x:c r="E3047" s="12" t="n">
        <x:v>0.35816666666666663</x:v>
      </x:c>
      <x:c r="F3047" s="12" t="n">
        <x:v>0.35775</x:v>
      </x:c>
      <x:c r="G3047" s="12" t="n">
        <x:v>0</x:v>
      </x:c>
      <x:c r="H3047" s="1" t="n">
        <x:f>'Historical prices'!E3047</x:f>
        <x:v>1.05</x:v>
      </x:c>
      <x:c r="I3047" s="6" t="n">
        <x:f>'Historical prices'!D3047</x:f>
        <x:v>0.2168</x:v>
      </x:c>
      <x:c r="J3047" s="13" t="n">
        <x:f>D3047*I3047*H3047</x:f>
        <x:v>0</x:v>
      </x:c>
      <x:c r="K3047" s="13" t="n">
        <x:f>E3047*I3047*H3047</x:f>
        <x:v>0.08153305999999999</x:v>
      </x:c>
      <x:c r="L3047" s="1" t="str">
        <x:f>TEXT(A3047,"mmm yyyy")</x:f>
        <x:v>Jul 2026</x:v>
      </x:c>
    </x:row>
    <x:row r="3048" ht="21" customHeight="1">
      <x:c r="A3048" s="10" t="n">
        <x:v>46212</x:v>
      </x:c>
      <x:c r="B3048" s="1" t="n">
        <x:v>0</x:v>
      </x:c>
      <x:c r="C3048" s="1" t="n">
        <x:v>6</x:v>
      </x:c>
      <x:c r="D3048" s="12" t="n">
        <x:v>0</x:v>
      </x:c>
      <x:c r="E3048" s="12" t="n">
        <x:v>0.313</x:v>
      </x:c>
      <x:c r="F3048" s="12" t="n">
        <x:v>0.3129166666666667</x:v>
      </x:c>
      <x:c r="G3048" s="12" t="n">
        <x:v>0</x:v>
      </x:c>
      <x:c r="H3048" s="1" t="n">
        <x:f>'Historical prices'!E3048</x:f>
        <x:v>1.05</x:v>
      </x:c>
      <x:c r="I3048" s="6" t="n">
        <x:f>'Historical prices'!D3048</x:f>
        <x:v>0.2089</x:v>
      </x:c>
      <x:c r="J3048" s="13" t="n">
        <x:f>D3048*I3048*H3048</x:f>
        <x:v>0</x:v>
      </x:c>
      <x:c r="K3048" s="13" t="n">
        <x:f>E3048*I3048*H3048</x:f>
        <x:v>0.068654985</x:v>
      </x:c>
      <x:c r="L3048" s="1" t="str">
        <x:f>TEXT(A3048,"mmm yyyy")</x:f>
        <x:v>Jul 2026</x:v>
      </x:c>
    </x:row>
    <x:row r="3049" ht="21" customHeight="1">
      <x:c r="A3049" s="10" t="n">
        <x:v>46212</x:v>
      </x:c>
      <x:c r="B3049" s="1" t="n">
        <x:v>0.5</x:v>
      </x:c>
      <x:c r="C3049" s="1" t="n">
        <x:v>6</x:v>
      </x:c>
      <x:c r="D3049" s="12" t="n">
        <x:v>0.245</x:v>
      </x:c>
      <x:c r="E3049" s="12" t="n">
        <x:v>0.31575</x:v>
      </x:c>
      <x:c r="F3049" s="12" t="n">
        <x:v>0.06075</x:v>
      </x:c>
      <x:c r="G3049" s="12" t="n">
        <x:v>0</x:v>
      </x:c>
      <x:c r="H3049" s="1" t="n">
        <x:f>'Historical prices'!E3049</x:f>
        <x:v>1.05</x:v>
      </x:c>
      <x:c r="I3049" s="6" t="n">
        <x:f>'Historical prices'!D3049</x:f>
        <x:v>0.207</x:v>
      </x:c>
      <x:c r="J3049" s="13" t="n">
        <x:f>D3049*I3049*H3049</x:f>
        <x:v>0.05325075</x:v>
      </x:c>
      <x:c r="K3049" s="13" t="n">
        <x:f>E3049*I3049*H3049</x:f>
        <x:v>0.0686282625</x:v>
      </x:c>
      <x:c r="L3049" s="1" t="str">
        <x:f>TEXT(A3049,"mmm yyyy")</x:f>
        <x:v>Jul 2026</x:v>
      </x:c>
    </x:row>
    <x:row r="3050" ht="21" customHeight="1">
      <x:c r="A3050" s="10" t="n">
        <x:v>46212</x:v>
      </x:c>
      <x:c r="B3050" s="1" t="n">
        <x:v>1</x:v>
      </x:c>
      <x:c r="C3050" s="1" t="n">
        <x:v>6</x:v>
      </x:c>
      <x:c r="D3050" s="12" t="n">
        <x:v>0.23766666666666666</x:v>
      </x:c>
      <x:c r="E3050" s="12" t="n">
        <x:v>0.24866666666666667</x:v>
      </x:c>
      <x:c r="F3050" s="12" t="n">
        <x:v>0</x:v>
      </x:c>
      <x:c r="G3050" s="12" t="n">
        <x:v>0</x:v>
      </x:c>
      <x:c r="H3050" s="1" t="n">
        <x:f>'Historical prices'!E3050</x:f>
        <x:v>1.05</x:v>
      </x:c>
      <x:c r="I3050" s="6" t="n">
        <x:f>'Historical prices'!D3050</x:f>
        <x:v>0.20550000000000002</x:v>
      </x:c>
      <x:c r="J3050" s="13" t="n">
        <x:f>D3050*I3050*H3050</x:f>
        <x:v>0.051282525</x:v>
      </x:c>
      <x:c r="K3050" s="13" t="n">
        <x:f>E3050*I3050*H3050</x:f>
        <x:v>0.05365605000000001</x:v>
      </x:c>
      <x:c r="L3050" s="1" t="str">
        <x:f>TEXT(A3050,"mmm yyyy")</x:f>
        <x:v>Jul 2026</x:v>
      </x:c>
    </x:row>
    <x:row r="3051" ht="21" customHeight="1">
      <x:c r="A3051" s="10" t="n">
        <x:v>46212</x:v>
      </x:c>
      <x:c r="B3051" s="1" t="n">
        <x:v>1.5</x:v>
      </x:c>
      <x:c r="C3051" s="1" t="n">
        <x:v>6</x:v>
      </x:c>
      <x:c r="D3051" s="12" t="n">
        <x:v>0.1835</x:v>
      </x:c>
      <x:c r="E3051" s="12" t="n">
        <x:v>0.1945</x:v>
      </x:c>
      <x:c r="F3051" s="12" t="n">
        <x:v>0</x:v>
      </x:c>
      <x:c r="G3051" s="12" t="n">
        <x:v>0</x:v>
      </x:c>
      <x:c r="H3051" s="1" t="n">
        <x:f>'Historical prices'!E3051</x:f>
        <x:v>1.05</x:v>
      </x:c>
      <x:c r="I3051" s="6" t="n">
        <x:f>'Historical prices'!D3051</x:f>
        <x:v>0.2053</x:v>
      </x:c>
      <x:c r="J3051" s="13" t="n">
        <x:f>D3051*I3051*H3051</x:f>
        <x:v>0.0395561775</x:v>
      </x:c>
      <x:c r="K3051" s="13" t="n">
        <x:f>E3051*I3051*H3051</x:f>
        <x:v>0.04192739250000001</x:v>
      </x:c>
      <x:c r="L3051" s="1" t="str">
        <x:f>TEXT(A3051,"mmm yyyy")</x:f>
        <x:v>Jul 2026</x:v>
      </x:c>
    </x:row>
    <x:row r="3052" ht="21" customHeight="1">
      <x:c r="A3052" s="10" t="n">
        <x:v>46212</x:v>
      </x:c>
      <x:c r="B3052" s="1" t="n">
        <x:v>2</x:v>
      </x:c>
      <x:c r="C3052" s="1" t="n">
        <x:v>6</x:v>
      </x:c>
      <x:c r="D3052" s="12" t="n">
        <x:v>0.23299999999999998</x:v>
      </x:c>
      <x:c r="E3052" s="12" t="n">
        <x:v>0.243</x:v>
      </x:c>
      <x:c r="F3052" s="12" t="n">
        <x:v>0</x:v>
      </x:c>
      <x:c r="G3052" s="12" t="n">
        <x:v>0</x:v>
      </x:c>
      <x:c r="H3052" s="1" t="n">
        <x:f>'Historical prices'!E3052</x:f>
        <x:v>1.05</x:v>
      </x:c>
      <x:c r="I3052" s="6" t="n">
        <x:f>'Historical prices'!D3052</x:f>
        <x:v>0.2027</x:v>
      </x:c>
      <x:c r="J3052" s="13" t="n">
        <x:f>D3052*I3052*H3052</x:f>
        <x:v>0.049590555</x:v>
      </x:c>
      <x:c r="K3052" s="13" t="n">
        <x:f>E3052*I3052*H3052</x:f>
        <x:v>0.051718905</x:v>
      </x:c>
      <x:c r="L3052" s="1" t="str">
        <x:f>TEXT(A3052,"mmm yyyy")</x:f>
        <x:v>Jul 2026</x:v>
      </x:c>
    </x:row>
    <x:row r="3053" ht="21" customHeight="1">
      <x:c r="A3053" s="10" t="n">
        <x:v>46212</x:v>
      </x:c>
      <x:c r="B3053" s="1" t="n">
        <x:v>2.5</x:v>
      </x:c>
      <x:c r="C3053" s="1" t="n">
        <x:v>6</x:v>
      </x:c>
      <x:c r="D3053" s="12" t="n">
        <x:v>0.21433333333333335</x:v>
      </x:c>
      <x:c r="E3053" s="12" t="n">
        <x:v>0.22533333333333333</x:v>
      </x:c>
      <x:c r="F3053" s="12" t="n">
        <x:v>0</x:v>
      </x:c>
      <x:c r="G3053" s="12" t="n">
        <x:v>0</x:v>
      </x:c>
      <x:c r="H3053" s="1" t="n">
        <x:f>'Historical prices'!E3053</x:f>
        <x:v>1.05</x:v>
      </x:c>
      <x:c r="I3053" s="6" t="n">
        <x:f>'Historical prices'!D3053</x:f>
        <x:v>0.20199999999999999</x:v>
      </x:c>
      <x:c r="J3053" s="13" t="n">
        <x:f>D3053*I3053*H3053</x:f>
        <x:v>0.0454601</x:v>
      </x:c>
      <x:c r="K3053" s="13" t="n">
        <x:f>E3053*I3053*H3053</x:f>
        <x:v>0.047793199999999994</x:v>
      </x:c>
      <x:c r="L3053" s="1" t="str">
        <x:f>TEXT(A3053,"mmm yyyy")</x:f>
        <x:v>Jul 2026</x:v>
      </x:c>
    </x:row>
    <x:row r="3054" ht="21" customHeight="1">
      <x:c r="A3054" s="10" t="n">
        <x:v>46212</x:v>
      </x:c>
      <x:c r="B3054" s="1" t="n">
        <x:v>3</x:v>
      </x:c>
      <x:c r="C3054" s="1" t="n">
        <x:v>6</x:v>
      </x:c>
      <x:c r="D3054" s="12" t="n">
        <x:v>0.2334166666666667</x:v>
      </x:c>
      <x:c r="E3054" s="12" t="n">
        <x:v>0.24341666666666664</x:v>
      </x:c>
      <x:c r="F3054" s="12" t="n">
        <x:v>0</x:v>
      </x:c>
      <x:c r="G3054" s="12" t="n">
        <x:v>0</x:v>
      </x:c>
      <x:c r="H3054" s="1" t="n">
        <x:f>'Historical prices'!E3054</x:f>
        <x:v>1.05</x:v>
      </x:c>
      <x:c r="I3054" s="6" t="n">
        <x:f>'Historical prices'!D3054</x:f>
        <x:v>0.20600000000000002</x:v>
      </x:c>
      <x:c r="J3054" s="13" t="n">
        <x:f>D3054*I3054*H3054</x:f>
        <x:v>0.050488025000000006</x:v>
      </x:c>
      <x:c r="K3054" s="13" t="n">
        <x:f>E3054*I3054*H3054</x:f>
        <x:v>0.052651025000000004</x:v>
      </x:c>
      <x:c r="L3054" s="1" t="str">
        <x:f>TEXT(A3054,"mmm yyyy")</x:f>
        <x:v>Jul 2026</x:v>
      </x:c>
    </x:row>
    <x:row r="3055" ht="21" customHeight="1">
      <x:c r="A3055" s="10" t="n">
        <x:v>46212</x:v>
      </x:c>
      <x:c r="B3055" s="1" t="n">
        <x:v>3.5</x:v>
      </x:c>
      <x:c r="C3055" s="1" t="n">
        <x:v>6</x:v>
      </x:c>
      <x:c r="D3055" s="12" t="n">
        <x:v>0.2765833333333333</x:v>
      </x:c>
      <x:c r="E3055" s="12" t="n">
        <x:v>0.2865833333333333</x:v>
      </x:c>
      <x:c r="F3055" s="12" t="n">
        <x:v>0</x:v>
      </x:c>
      <x:c r="G3055" s="12" t="n">
        <x:v>0</x:v>
      </x:c>
      <x:c r="H3055" s="1" t="n">
        <x:f>'Historical prices'!E3055</x:f>
        <x:v>1.05</x:v>
      </x:c>
      <x:c r="I3055" s="6" t="n">
        <x:f>'Historical prices'!D3055</x:f>
        <x:v>0.2053</x:v>
      </x:c>
      <x:c r="J3055" s="13" t="n">
        <x:f>D3055*I3055*H3055</x:f>
        <x:v>0.05962168625</x:v>
      </x:c>
      <x:c r="K3055" s="13" t="n">
        <x:f>E3055*I3055*H3055</x:f>
        <x:v>0.061777336249999995</x:v>
      </x:c>
      <x:c r="L3055" s="1" t="str">
        <x:f>TEXT(A3055,"mmm yyyy")</x:f>
        <x:v>Jul 2026</x:v>
      </x:c>
    </x:row>
    <x:row r="3056" ht="21" customHeight="1">
      <x:c r="A3056" s="10" t="n">
        <x:v>46212</x:v>
      </x:c>
      <x:c r="B3056" s="1" t="n">
        <x:v>4</x:v>
      </x:c>
      <x:c r="C3056" s="1" t="n">
        <x:v>6</x:v>
      </x:c>
      <x:c r="D3056" s="12" t="n">
        <x:v>0.05</x:v>
      </x:c>
      <x:c r="E3056" s="12" t="n">
        <x:v>0.3195</x:v>
      </x:c>
      <x:c r="F3056" s="12" t="n">
        <x:v>0.26741666666666664</x:v>
      </x:c>
      <x:c r="G3056" s="12" t="n">
        <x:v>0</x:v>
      </x:c>
      <x:c r="H3056" s="1" t="n">
        <x:f>'Historical prices'!E3056</x:f>
        <x:v>1.05</x:v>
      </x:c>
      <x:c r="I3056" s="6" t="n">
        <x:f>'Historical prices'!D3056</x:f>
        <x:v>0.2144</x:v>
      </x:c>
      <x:c r="J3056" s="13" t="n">
        <x:f>D3056*I3056*H3056</x:f>
        <x:v>0.011256</x:v>
      </x:c>
      <x:c r="K3056" s="13" t="n">
        <x:f>E3056*I3056*H3056</x:f>
        <x:v>0.07192584</x:v>
      </x:c>
      <x:c r="L3056" s="1" t="str">
        <x:f>TEXT(A3056,"mmm yyyy")</x:f>
        <x:v>Jul 2026</x:v>
      </x:c>
    </x:row>
    <x:row r="3057" ht="21" customHeight="1">
      <x:c r="A3057" s="10" t="n">
        <x:v>46212</x:v>
      </x:c>
      <x:c r="B3057" s="1" t="n">
        <x:v>4.5</x:v>
      </x:c>
      <x:c r="C3057" s="1" t="n">
        <x:v>6</x:v>
      </x:c>
      <x:c r="D3057" s="12" t="n">
        <x:v>0</x:v>
      </x:c>
      <x:c r="E3057" s="12" t="n">
        <x:v>0.3481666666666667</x:v>
      </x:c>
      <x:c r="F3057" s="12" t="n">
        <x:v>0.348</x:v>
      </x:c>
      <x:c r="G3057" s="12" t="n">
        <x:v>0</x:v>
      </x:c>
      <x:c r="H3057" s="1" t="n">
        <x:f>'Historical prices'!E3057</x:f>
        <x:v>1.05</x:v>
      </x:c>
      <x:c r="I3057" s="6" t="n">
        <x:f>'Historical prices'!D3057</x:f>
        <x:v>0.20879999999999999</x:v>
      </x:c>
      <x:c r="J3057" s="13" t="n">
        <x:f>D3057*I3057*H3057</x:f>
        <x:v>0</x:v>
      </x:c>
      <x:c r="K3057" s="13" t="n">
        <x:f>E3057*I3057*H3057</x:f>
        <x:v>0.07633206000000001</x:v>
      </x:c>
      <x:c r="L3057" s="1" t="str">
        <x:f>TEXT(A3057,"mmm yyyy")</x:f>
        <x:v>Jul 2026</x:v>
      </x:c>
    </x:row>
    <x:row r="3058" ht="21" customHeight="1">
      <x:c r="A3058" s="10" t="n">
        <x:v>46212</x:v>
      </x:c>
      <x:c r="B3058" s="1" t="n">
        <x:v>5</x:v>
      </x:c>
      <x:c r="C3058" s="1" t="n">
        <x:v>6</x:v>
      </x:c>
      <x:c r="D3058" s="12" t="n">
        <x:v>0</x:v>
      </x:c>
      <x:c r="E3058" s="12" t="n">
        <x:v>0.33491666666666664</x:v>
      </x:c>
      <x:c r="F3058" s="12" t="n">
        <x:v>0.33458333333333334</x:v>
      </x:c>
      <x:c r="G3058" s="12" t="n">
        <x:v>0</x:v>
      </x:c>
      <x:c r="H3058" s="1" t="n">
        <x:f>'Historical prices'!E3058</x:f>
        <x:v>1.05</x:v>
      </x:c>
      <x:c r="I3058" s="6" t="n">
        <x:f>'Historical prices'!D3058</x:f>
        <x:v>0.22</x:v>
      </x:c>
      <x:c r="J3058" s="13" t="n">
        <x:f>D3058*I3058*H3058</x:f>
        <x:v>0</x:v>
      </x:c>
      <x:c r="K3058" s="13" t="n">
        <x:f>E3058*I3058*H3058</x:f>
        <x:v>0.07736575</x:v>
      </x:c>
      <x:c r="L3058" s="1" t="str">
        <x:f>TEXT(A3058,"mmm yyyy")</x:f>
        <x:v>Jul 2026</x:v>
      </x:c>
    </x:row>
    <x:row r="3059" ht="21" customHeight="1">
      <x:c r="A3059" s="10" t="n">
        <x:v>46212</x:v>
      </x:c>
      <x:c r="B3059" s="1" t="n">
        <x:v>5.5</x:v>
      </x:c>
      <x:c r="C3059" s="1" t="n">
        <x:v>6</x:v>
      </x:c>
      <x:c r="D3059" s="12" t="n">
        <x:v>0</x:v>
      </x:c>
      <x:c r="E3059" s="12" t="n">
        <x:v>0.37225</x:v>
      </x:c>
      <x:c r="F3059" s="12" t="n">
        <x:v>0.37183333333333335</x:v>
      </x:c>
      <x:c r="G3059" s="12" t="n">
        <x:v>0</x:v>
      </x:c>
      <x:c r="H3059" s="1" t="n">
        <x:f>'Historical prices'!E3059</x:f>
        <x:v>1.05</x:v>
      </x:c>
      <x:c r="I3059" s="6" t="n">
        <x:f>'Historical prices'!D3059</x:f>
        <x:v>0.2157</x:v>
      </x:c>
      <x:c r="J3059" s="13" t="n">
        <x:f>D3059*I3059*H3059</x:f>
        <x:v>0</x:v>
      </x:c>
      <x:c r="K3059" s="13" t="n">
        <x:f>E3059*I3059*H3059</x:f>
        <x:v>0.08430904125000001</x:v>
      </x:c>
      <x:c r="L3059" s="1" t="str">
        <x:f>TEXT(A3059,"mmm yyyy")</x:f>
        <x:v>Jul 2026</x:v>
      </x:c>
    </x:row>
    <x:row r="3060" ht="21" customHeight="1">
      <x:c r="A3060" s="10" t="n">
        <x:v>46212</x:v>
      </x:c>
      <x:c r="B3060" s="1" t="n">
        <x:v>6</x:v>
      </x:c>
      <x:c r="C3060" s="1" t="n">
        <x:v>6</x:v>
      </x:c>
      <x:c r="D3060" s="12" t="n">
        <x:v>0</x:v>
      </x:c>
      <x:c r="E3060" s="12" t="n">
        <x:v>0.4890833333333333</x:v>
      </x:c>
      <x:c r="F3060" s="12" t="n">
        <x:v>0.4885833333333333</x:v>
      </x:c>
      <x:c r="G3060" s="12" t="n">
        <x:v>0</x:v>
      </x:c>
      <x:c r="H3060" s="1" t="n">
        <x:f>'Historical prices'!E3060</x:f>
        <x:v>1.05</x:v>
      </x:c>
      <x:c r="I3060" s="6" t="n">
        <x:f>'Historical prices'!D3060</x:f>
        <x:v>0.2408</x:v>
      </x:c>
      <x:c r="J3060" s="13" t="n">
        <x:f>D3060*I3060*H3060</x:f>
        <x:v>0</x:v>
      </x:c>
      <x:c r="K3060" s="13" t="n">
        <x:f>E3060*I3060*H3060</x:f>
        <x:v>0.12365982999999998</x:v>
      </x:c>
      <x:c r="L3060" s="1" t="str">
        <x:f>TEXT(A3060,"mmm yyyy")</x:f>
        <x:v>Jul 2026</x:v>
      </x:c>
    </x:row>
    <x:row r="3061" ht="21" customHeight="1">
      <x:c r="A3061" s="10" t="n">
        <x:v>46212</x:v>
      </x:c>
      <x:c r="B3061" s="1" t="n">
        <x:v>6.5</x:v>
      </x:c>
      <x:c r="C3061" s="1" t="n">
        <x:v>6</x:v>
      </x:c>
      <x:c r="D3061" s="12" t="n">
        <x:v>0</x:v>
      </x:c>
      <x:c r="E3061" s="12" t="n">
        <x:v>0.581</x:v>
      </x:c>
      <x:c r="F3061" s="12" t="n">
        <x:v>0.5806666666666667</x:v>
      </x:c>
      <x:c r="G3061" s="12" t="n">
        <x:v>0</x:v>
      </x:c>
      <x:c r="H3061" s="1" t="n">
        <x:f>'Historical prices'!E3061</x:f>
        <x:v>1.05</x:v>
      </x:c>
      <x:c r="I3061" s="6" t="n">
        <x:f>'Historical prices'!D3061</x:f>
        <x:v>0.2492</x:v>
      </x:c>
      <x:c r="J3061" s="13" t="n">
        <x:f>D3061*I3061*H3061</x:f>
        <x:v>0</x:v>
      </x:c>
      <x:c r="K3061" s="13" t="n">
        <x:f>E3061*I3061*H3061</x:f>
        <x:v>0.15202446</x:v>
      </x:c>
      <x:c r="L3061" s="1" t="str">
        <x:f>TEXT(A3061,"mmm yyyy")</x:f>
        <x:v>Jul 2026</x:v>
      </x:c>
    </x:row>
    <x:row r="3062" ht="21" customHeight="1">
      <x:c r="A3062" s="10" t="n">
        <x:v>46212</x:v>
      </x:c>
      <x:c r="B3062" s="1" t="n">
        <x:v>7</x:v>
      </x:c>
      <x:c r="C3062" s="1" t="n">
        <x:v>6</x:v>
      </x:c>
      <x:c r="D3062" s="12" t="n">
        <x:v>0</x:v>
      </x:c>
      <x:c r="E3062" s="12" t="n">
        <x:v>0.7771666666666667</x:v>
      </x:c>
      <x:c r="F3062" s="12" t="n">
        <x:v>0.7769166666666667</x:v>
      </x:c>
      <x:c r="G3062" s="12" t="n">
        <x:v>0</x:v>
      </x:c>
      <x:c r="H3062" s="1" t="n">
        <x:f>'Historical prices'!E3062</x:f>
        <x:v>1.05</x:v>
      </x:c>
      <x:c r="I3062" s="6" t="n">
        <x:f>'Historical prices'!D3062</x:f>
        <x:v>0.2194</x:v>
      </x:c>
      <x:c r="J3062" s="13" t="n">
        <x:f>D3062*I3062*H3062</x:f>
        <x:v>0</x:v>
      </x:c>
      <x:c r="K3062" s="13" t="n">
        <x:f>E3062*I3062*H3062</x:f>
        <x:v>0.17903588500000003</x:v>
      </x:c>
      <x:c r="L3062" s="1" t="str">
        <x:f>TEXT(A3062,"mmm yyyy")</x:f>
        <x:v>Jul 2026</x:v>
      </x:c>
    </x:row>
    <x:row r="3063" ht="21" customHeight="1">
      <x:c r="A3063" s="10" t="n">
        <x:v>46212</x:v>
      </x:c>
      <x:c r="B3063" s="1" t="n">
        <x:v>7.5</x:v>
      </x:c>
      <x:c r="C3063" s="1" t="n">
        <x:v>6</x:v>
      </x:c>
      <x:c r="D3063" s="12" t="n">
        <x:v>0</x:v>
      </x:c>
      <x:c r="E3063" s="12" t="n">
        <x:v>0.6687500000000001</x:v>
      </x:c>
      <x:c r="F3063" s="12" t="n">
        <x:v>0.66775</x:v>
      </x:c>
      <x:c r="G3063" s="12" t="n">
        <x:v>0</x:v>
      </x:c>
      <x:c r="H3063" s="1" t="n">
        <x:f>'Historical prices'!E3063</x:f>
        <x:v>1.05</x:v>
      </x:c>
      <x:c r="I3063" s="6" t="n">
        <x:f>'Historical prices'!D3063</x:f>
        <x:v>0.21969999999999998</x:v>
      </x:c>
      <x:c r="J3063" s="13" t="n">
        <x:f>D3063*I3063*H3063</x:f>
        <x:v>0</x:v>
      </x:c>
      <x:c r="K3063" s="13" t="n">
        <x:f>E3063*I3063*H3063</x:f>
        <x:v>0.15427059375</x:v>
      </x:c>
      <x:c r="L3063" s="1" t="str">
        <x:f>TEXT(A3063,"mmm yyyy")</x:f>
        <x:v>Jul 2026</x:v>
      </x:c>
    </x:row>
    <x:row r="3064" ht="21" customHeight="1">
      <x:c r="A3064" s="10" t="n">
        <x:v>46212</x:v>
      </x:c>
      <x:c r="B3064" s="1" t="n">
        <x:v>8</x:v>
      </x:c>
      <x:c r="C3064" s="1" t="n">
        <x:v>6</x:v>
      </x:c>
      <x:c r="D3064" s="12" t="n">
        <x:v>0.52475</x:v>
      </x:c>
      <x:c r="E3064" s="12" t="n">
        <x:v>0.7471666666666665</x:v>
      </x:c>
      <x:c r="F3064" s="12" t="n">
        <x:v>0.3019166666666667</x:v>
      </x:c>
      <x:c r="G3064" s="12" t="n">
        <x:v>0.08</x:v>
      </x:c>
      <x:c r="H3064" s="1" t="n">
        <x:f>'Historical prices'!E3064</x:f>
        <x:v>1.05</x:v>
      </x:c>
      <x:c r="I3064" s="6" t="n">
        <x:f>'Historical prices'!D3064</x:f>
        <x:v>0.20809999999999998</x:v>
      </x:c>
      <x:c r="J3064" s="13" t="n">
        <x:f>D3064*I3064*H3064</x:f>
        <x:v>0.11466049875</x:v>
      </x:c>
      <x:c r="K3064" s="13" t="n">
        <x:f>E3064*I3064*H3064</x:f>
        <x:v>0.16325965249999996</x:v>
      </x:c>
      <x:c r="L3064" s="1" t="str">
        <x:f>TEXT(A3064,"mmm yyyy")</x:f>
        <x:v>Jul 2026</x:v>
      </x:c>
    </x:row>
    <x:row r="3065" ht="21" customHeight="1">
      <x:c r="A3065" s="10" t="n">
        <x:v>46212</x:v>
      </x:c>
      <x:c r="B3065" s="1" t="n">
        <x:v>8.5</x:v>
      </x:c>
      <x:c r="C3065" s="1" t="n">
        <x:v>6</x:v>
      </x:c>
      <x:c r="D3065" s="12" t="n">
        <x:v>0.8985</x:v>
      </x:c>
      <x:c r="E3065" s="12" t="n">
        <x:v>0.9085</x:v>
      </x:c>
      <x:c r="F3065" s="12" t="n">
        <x:v>0</x:v>
      </x:c>
      <x:c r="G3065" s="12" t="n">
        <x:v>0</x:v>
      </x:c>
      <x:c r="H3065" s="1" t="n">
        <x:f>'Historical prices'!E3065</x:f>
        <x:v>1.05</x:v>
      </x:c>
      <x:c r="I3065" s="6" t="n">
        <x:f>'Historical prices'!D3065</x:f>
        <x:v>0.1942</x:v>
      </x:c>
      <x:c r="J3065" s="13" t="n">
        <x:f>D3065*I3065*H3065</x:f>
        <x:v>0.183213135</x:v>
      </x:c>
      <x:c r="K3065" s="13" t="n">
        <x:f>E3065*I3065*H3065</x:f>
        <x:v>0.18525223500000002</x:v>
      </x:c>
      <x:c r="L3065" s="1" t="str">
        <x:f>TEXT(A3065,"mmm yyyy")</x:f>
        <x:v>Jul 2026</x:v>
      </x:c>
    </x:row>
    <x:row r="3066" ht="21" customHeight="1">
      <x:c r="A3066" s="10" t="n">
        <x:v>46212</x:v>
      </x:c>
      <x:c r="B3066" s="1" t="n">
        <x:v>9</x:v>
      </x:c>
      <x:c r="C3066" s="1" t="n">
        <x:v>6</x:v>
      </x:c>
      <x:c r="D3066" s="12" t="n">
        <x:v>0.5934166666666667</x:v>
      </x:c>
      <x:c r="E3066" s="12" t="n">
        <x:v>0.6124166666666666</x:v>
      </x:c>
      <x:c r="F3066" s="12" t="n">
        <x:v>0</x:v>
      </x:c>
      <x:c r="G3066" s="12" t="n">
        <x:v>0</x:v>
      </x:c>
      <x:c r="H3066" s="1" t="n">
        <x:f>'Historical prices'!E3066</x:f>
        <x:v>1.05</x:v>
      </x:c>
      <x:c r="I3066" s="6" t="n">
        <x:f>'Historical prices'!D3066</x:f>
        <x:v>0.1892</x:v>
      </x:c>
      <x:c r="J3066" s="13" t="n">
        <x:f>D3066*I3066*H3066</x:f>
        <x:v>0.11788815500000001</x:v>
      </x:c>
      <x:c r="K3066" s="13" t="n">
        <x:f>E3066*I3066*H3066</x:f>
        <x:v>0.12166269499999999</x:v>
      </x:c>
      <x:c r="L3066" s="1" t="str">
        <x:f>TEXT(A3066,"mmm yyyy")</x:f>
        <x:v>Jul 2026</x:v>
      </x:c>
    </x:row>
    <x:row r="3067" ht="21" customHeight="1">
      <x:c r="A3067" s="10" t="n">
        <x:v>46212</x:v>
      </x:c>
      <x:c r="B3067" s="1" t="n">
        <x:v>9.5</x:v>
      </x:c>
      <x:c r="C3067" s="1" t="n">
        <x:v>6</x:v>
      </x:c>
      <x:c r="D3067" s="12" t="n">
        <x:v>0.6379166666666667</x:v>
      </x:c>
      <x:c r="E3067" s="12" t="n">
        <x:v>0.6589166666666668</x:v>
      </x:c>
      <x:c r="F3067" s="12" t="n">
        <x:v>0</x:v>
      </x:c>
      <x:c r="G3067" s="12" t="n">
        <x:v>0</x:v>
      </x:c>
      <x:c r="H3067" s="1" t="n">
        <x:f>'Historical prices'!E3067</x:f>
        <x:v>1.05</x:v>
      </x:c>
      <x:c r="I3067" s="6" t="n">
        <x:f>'Historical prices'!D3067</x:f>
        <x:v>0.2039</x:v>
      </x:c>
      <x:c r="J3067" s="13" t="n">
        <x:f>D3067*I3067*H3067</x:f>
        <x:v>0.13657476875</x:v>
      </x:c>
      <x:c r="K3067" s="13" t="n">
        <x:f>E3067*I3067*H3067</x:f>
        <x:v>0.14107076375000002</x:v>
      </x:c>
      <x:c r="L3067" s="1" t="str">
        <x:f>TEXT(A3067,"mmm yyyy")</x:f>
        <x:v>Jul 2026</x:v>
      </x:c>
    </x:row>
    <x:row r="3068" ht="21" customHeight="1">
      <x:c r="A3068" s="10" t="n">
        <x:v>46212</x:v>
      </x:c>
      <x:c r="B3068" s="1" t="n">
        <x:v>10</x:v>
      </x:c>
      <x:c r="C3068" s="1" t="n">
        <x:v>6</x:v>
      </x:c>
      <x:c r="D3068" s="12" t="n">
        <x:v>0.5336666666666666</x:v>
      </x:c>
      <x:c r="E3068" s="12" t="n">
        <x:v>0.5536666666666666</x:v>
      </x:c>
      <x:c r="F3068" s="12" t="n">
        <x:v>0</x:v>
      </x:c>
      <x:c r="G3068" s="12" t="n">
        <x:v>0</x:v>
      </x:c>
      <x:c r="H3068" s="1" t="n">
        <x:f>'Historical prices'!E3068</x:f>
        <x:v>1.05</x:v>
      </x:c>
      <x:c r="I3068" s="6" t="n">
        <x:f>'Historical prices'!D3068</x:f>
        <x:v>0.19760000000000003</x:v>
      </x:c>
      <x:c r="J3068" s="13" t="n">
        <x:f>D3068*I3068*H3068</x:f>
        <x:v>0.11072516</x:v>
      </x:c>
      <x:c r="K3068" s="13" t="n">
        <x:f>E3068*I3068*H3068</x:f>
        <x:v>0.11487476000000002</x:v>
      </x:c>
      <x:c r="L3068" s="1" t="str">
        <x:f>TEXT(A3068,"mmm yyyy")</x:f>
        <x:v>Jul 2026</x:v>
      </x:c>
    </x:row>
    <x:row r="3069" ht="21" customHeight="1">
      <x:c r="A3069" s="10" t="n">
        <x:v>46212</x:v>
      </x:c>
      <x:c r="B3069" s="1" t="n">
        <x:v>10.5</x:v>
      </x:c>
      <x:c r="C3069" s="1" t="n">
        <x:v>6</x:v>
      </x:c>
      <x:c r="D3069" s="12" t="n">
        <x:v>0.45025</x:v>
      </x:c>
      <x:c r="E3069" s="12" t="n">
        <x:v>0.46624999999999994</x:v>
      </x:c>
      <x:c r="F3069" s="12" t="n">
        <x:v>0</x:v>
      </x:c>
      <x:c r="G3069" s="12" t="n">
        <x:v>0</x:v>
      </x:c>
      <x:c r="H3069" s="1" t="n">
        <x:f>'Historical prices'!E3069</x:f>
        <x:v>1.05</x:v>
      </x:c>
      <x:c r="I3069" s="6" t="n">
        <x:f>'Historical prices'!D3069</x:f>
        <x:v>0.1808</x:v>
      </x:c>
      <x:c r="J3069" s="13" t="n">
        <x:f>D3069*I3069*H3069</x:f>
        <x:v>0.08547546</x:v>
      </x:c>
      <x:c r="K3069" s="13" t="n">
        <x:f>E3069*I3069*H3069</x:f>
        <x:v>0.08851289999999999</x:v>
      </x:c>
      <x:c r="L3069" s="1" t="str">
        <x:f>TEXT(A3069,"mmm yyyy")</x:f>
        <x:v>Jul 2026</x:v>
      </x:c>
    </x:row>
    <x:row r="3070" ht="21" customHeight="1">
      <x:c r="A3070" s="10" t="n">
        <x:v>46212</x:v>
      </x:c>
      <x:c r="B3070" s="1" t="n">
        <x:v>11</x:v>
      </x:c>
      <x:c r="C3070" s="1" t="n">
        <x:v>6</x:v>
      </x:c>
      <x:c r="D3070" s="12" t="n">
        <x:v>0.48641666666666666</x:v>
      </x:c>
      <x:c r="E3070" s="12" t="n">
        <x:v>0.4974166666666666</x:v>
      </x:c>
      <x:c r="F3070" s="12" t="n">
        <x:v>0</x:v>
      </x:c>
      <x:c r="G3070" s="12" t="n">
        <x:v>0</x:v>
      </x:c>
      <x:c r="H3070" s="1" t="n">
        <x:f>'Historical prices'!E3070</x:f>
        <x:v>1.05</x:v>
      </x:c>
      <x:c r="I3070" s="6" t="n">
        <x:f>'Historical prices'!D3070</x:f>
        <x:v>0.16820000000000002</x:v>
      </x:c>
      <x:c r="J3070" s="13" t="n">
        <x:f>D3070*I3070*H3070</x:f>
        <x:v>0.08590604750000001</x:v>
      </x:c>
      <x:c r="K3070" s="13" t="n">
        <x:f>E3070*I3070*H3070</x:f>
        <x:v>0.0878487575</x:v>
      </x:c>
      <x:c r="L3070" s="1" t="str">
        <x:f>TEXT(A3070,"mmm yyyy")</x:f>
        <x:v>Jul 2026</x:v>
      </x:c>
    </x:row>
    <x:row r="3071" ht="21" customHeight="1">
      <x:c r="A3071" s="10" t="n">
        <x:v>46212</x:v>
      </x:c>
      <x:c r="B3071" s="1" t="n">
        <x:v>11.5</x:v>
      </x:c>
      <x:c r="C3071" s="1" t="n">
        <x:v>6</x:v>
      </x:c>
      <x:c r="D3071" s="12" t="n">
        <x:v>0.5131666666666667</x:v>
      </x:c>
      <x:c r="E3071" s="12" t="n">
        <x:v>0.5251666666666667</x:v>
      </x:c>
      <x:c r="F3071" s="12" t="n">
        <x:v>0</x:v>
      </x:c>
      <x:c r="G3071" s="12" t="n">
        <x:v>0</x:v>
      </x:c>
      <x:c r="H3071" s="1" t="n">
        <x:f>'Historical prices'!E3071</x:f>
        <x:v>1.05</x:v>
      </x:c>
      <x:c r="I3071" s="6" t="n">
        <x:f>'Historical prices'!D3071</x:f>
        <x:v>0.1686</x:v>
      </x:c>
      <x:c r="J3071" s="13" t="n">
        <x:f>D3071*I3071*H3071</x:f>
        <x:v>0.090845895</x:v>
      </x:c>
      <x:c r="K3071" s="13" t="n">
        <x:f>E3071*I3071*H3071</x:f>
        <x:v>0.092970255</x:v>
      </x:c>
      <x:c r="L3071" s="1" t="str">
        <x:f>TEXT(A3071,"mmm yyyy")</x:f>
        <x:v>Jul 2026</x:v>
      </x:c>
    </x:row>
    <x:row r="3072" ht="21" customHeight="1">
      <x:c r="A3072" s="10" t="n">
        <x:v>46212</x:v>
      </x:c>
      <x:c r="B3072" s="1" t="n">
        <x:v>12</x:v>
      </x:c>
      <x:c r="C3072" s="1" t="n">
        <x:v>6</x:v>
      </x:c>
      <x:c r="D3072" s="12" t="n">
        <x:v>0.8413333333333334</x:v>
      </x:c>
      <x:c r="E3072" s="12" t="n">
        <x:v>0.8513333333333333</x:v>
      </x:c>
      <x:c r="F3072" s="12" t="n">
        <x:v>0</x:v>
      </x:c>
      <x:c r="G3072" s="12" t="n">
        <x:v>0</x:v>
      </x:c>
      <x:c r="H3072" s="1" t="n">
        <x:f>'Historical prices'!E3072</x:f>
        <x:v>1.05</x:v>
      </x:c>
      <x:c r="I3072" s="6" t="n">
        <x:f>'Historical prices'!D3072</x:f>
        <x:v>0.16820000000000002</x:v>
      </x:c>
      <x:c r="J3072" s="13" t="n">
        <x:f>D3072*I3072*H3072</x:f>
        <x:v>0.14858788000000003</x:v>
      </x:c>
      <x:c r="K3072" s="13" t="n">
        <x:f>E3072*I3072*H3072</x:f>
        <x:v>0.15035398000000003</x:v>
      </x:c>
      <x:c r="L3072" s="1" t="str">
        <x:f>TEXT(A3072,"mmm yyyy")</x:f>
        <x:v>Jul 2026</x:v>
      </x:c>
    </x:row>
    <x:row r="3073" ht="21" customHeight="1">
      <x:c r="A3073" s="10" t="n">
        <x:v>46212</x:v>
      </x:c>
      <x:c r="B3073" s="1" t="n">
        <x:v>12.5</x:v>
      </x:c>
      <x:c r="C3073" s="1" t="n">
        <x:v>6</x:v>
      </x:c>
      <x:c r="D3073" s="12" t="n">
        <x:v>0.5066666666666667</x:v>
      </x:c>
      <x:c r="E3073" s="12" t="n">
        <x:v>0.5166666666666667</x:v>
      </x:c>
      <x:c r="F3073" s="12" t="n">
        <x:v>0</x:v>
      </x:c>
      <x:c r="G3073" s="12" t="n">
        <x:v>0</x:v>
      </x:c>
      <x:c r="H3073" s="1" t="n">
        <x:f>'Historical prices'!E3073</x:f>
        <x:v>1.05</x:v>
      </x:c>
      <x:c r="I3073" s="6" t="n">
        <x:f>'Historical prices'!D3073</x:f>
        <x:v>0.16820000000000002</x:v>
      </x:c>
      <x:c r="J3073" s="13" t="n">
        <x:f>D3073*I3073*H3073</x:f>
        <x:v>0.08948240000000002</x:v>
      </x:c>
      <x:c r="K3073" s="13" t="n">
        <x:f>E3073*I3073*H3073</x:f>
        <x:v>0.09124850000000002</x:v>
      </x:c>
      <x:c r="L3073" s="1" t="str">
        <x:f>TEXT(A3073,"mmm yyyy")</x:f>
        <x:v>Jul 2026</x:v>
      </x:c>
    </x:row>
    <x:row r="3074" ht="21" customHeight="1">
      <x:c r="A3074" s="10" t="n">
        <x:v>46212</x:v>
      </x:c>
      <x:c r="B3074" s="1" t="n">
        <x:v>13</x:v>
      </x:c>
      <x:c r="C3074" s="1" t="n">
        <x:v>6</x:v>
      </x:c>
      <x:c r="D3074" s="12" t="n">
        <x:v>0.6078333333333333</x:v>
      </x:c>
      <x:c r="E3074" s="12" t="n">
        <x:v>0.6188333333333333</x:v>
      </x:c>
      <x:c r="F3074" s="12" t="n">
        <x:v>0</x:v>
      </x:c>
      <x:c r="G3074" s="12" t="n">
        <x:v>0</x:v>
      </x:c>
      <x:c r="H3074" s="1" t="n">
        <x:f>'Historical prices'!E3074</x:f>
        <x:v>1.05</x:v>
      </x:c>
      <x:c r="I3074" s="6" t="n">
        <x:f>'Historical prices'!D3074</x:f>
        <x:v>0.16820000000000002</x:v>
      </x:c>
      <x:c r="J3074" s="13" t="n">
        <x:f>D3074*I3074*H3074</x:f>
        <x:v>0.10734944500000002</x:v>
      </x:c>
      <x:c r="K3074" s="13" t="n">
        <x:f>E3074*I3074*H3074</x:f>
        <x:v>0.10929215500000002</x:v>
      </x:c>
      <x:c r="L3074" s="1" t="str">
        <x:f>TEXT(A3074,"mmm yyyy")</x:f>
        <x:v>Jul 2026</x:v>
      </x:c>
    </x:row>
    <x:row r="3075" ht="21" customHeight="1">
      <x:c r="A3075" s="10" t="n">
        <x:v>46212</x:v>
      </x:c>
      <x:c r="B3075" s="1" t="n">
        <x:v>13.5</x:v>
      </x:c>
      <x:c r="C3075" s="1" t="n">
        <x:v>6</x:v>
      </x:c>
      <x:c r="D3075" s="12" t="n">
        <x:v>0.4735</x:v>
      </x:c>
      <x:c r="E3075" s="12" t="n">
        <x:v>0.4825</x:v>
      </x:c>
      <x:c r="F3075" s="12" t="n">
        <x:v>0</x:v>
      </x:c>
      <x:c r="G3075" s="12" t="n">
        <x:v>0</x:v>
      </x:c>
      <x:c r="H3075" s="1" t="n">
        <x:f>'Historical prices'!E3075</x:f>
        <x:v>1.05</x:v>
      </x:c>
      <x:c r="I3075" s="6" t="n">
        <x:f>'Historical prices'!D3075</x:f>
        <x:v>0.166</x:v>
      </x:c>
      <x:c r="J3075" s="13" t="n">
        <x:f>D3075*I3075*H3075</x:f>
        <x:v>0.08253105000000001</x:v>
      </x:c>
      <x:c r="K3075" s="13" t="n">
        <x:f>E3075*I3075*H3075</x:f>
        <x:v>0.08409975</x:v>
      </x:c>
      <x:c r="L3075" s="1" t="str">
        <x:f>TEXT(A3075,"mmm yyyy")</x:f>
        <x:v>Jul 2026</x:v>
      </x:c>
    </x:row>
    <x:row r="3076" ht="21" customHeight="1">
      <x:c r="A3076" s="10" t="n">
        <x:v>46212</x:v>
      </x:c>
      <x:c r="B3076" s="1" t="n">
        <x:v>14</x:v>
      </x:c>
      <x:c r="C3076" s="1" t="n">
        <x:v>6</x:v>
      </x:c>
      <x:c r="D3076" s="12" t="n">
        <x:v>1.4559166666666665</x:v>
      </x:c>
      <x:c r="E3076" s="12" t="n">
        <x:v>0.47991666666666666</x:v>
      </x:c>
      <x:c r="F3076" s="12" t="n">
        <x:v>0</x:v>
      </x:c>
      <x:c r="G3076" s="12" t="n">
        <x:v>0.983</x:v>
      </x:c>
      <x:c r="H3076" s="1" t="n">
        <x:f>'Historical prices'!E3076</x:f>
        <x:v>1.05</x:v>
      </x:c>
      <x:c r="I3076" s="6" t="n">
        <x:f>'Historical prices'!D3076</x:f>
        <x:v>0.1638</x:v>
      </x:c>
      <x:c r="J3076" s="13" t="n">
        <x:f>D3076*I3076*H3076</x:f>
        <x:v>0.2504031075</x:v>
      </x:c>
      <x:c r="K3076" s="13" t="n">
        <x:f>E3076*I3076*H3076</x:f>
        <x:v>0.0825408675</x:v>
      </x:c>
      <x:c r="L3076" s="1" t="str">
        <x:f>TEXT(A3076,"mmm yyyy")</x:f>
        <x:v>Jul 2026</x:v>
      </x:c>
    </x:row>
    <x:row r="3077" ht="21" customHeight="1">
      <x:c r="A3077" s="10" t="n">
        <x:v>46212</x:v>
      </x:c>
      <x:c r="B3077" s="1" t="n">
        <x:v>14.5</x:v>
      </x:c>
      <x:c r="C3077" s="1" t="n">
        <x:v>6</x:v>
      </x:c>
      <x:c r="D3077" s="12" t="n">
        <x:v>5.237916666666667</x:v>
      </x:c>
      <x:c r="E3077" s="12" t="n">
        <x:v>0.7579166666666667</x:v>
      </x:c>
      <x:c r="F3077" s="12" t="n">
        <x:v>0</x:v>
      </x:c>
      <x:c r="G3077" s="12" t="n">
        <x:v>4.48</x:v>
      </x:c>
      <x:c r="H3077" s="1" t="n">
        <x:f>'Historical prices'!E3077</x:f>
        <x:v>1.05</x:v>
      </x:c>
      <x:c r="I3077" s="6" t="n">
        <x:f>'Historical prices'!D3077</x:f>
        <x:v>0.1598</x:v>
      </x:c>
      <x:c r="J3077" s="13" t="n">
        <x:f>D3077*I3077*H3077</x:f>
        <x:v>0.8788700375000001</x:v>
      </x:c>
      <x:c r="K3077" s="13" t="n">
        <x:f>E3077*I3077*H3077</x:f>
        <x:v>0.1271708375</x:v>
      </x:c>
      <x:c r="L3077" s="1" t="str">
        <x:f>TEXT(A3077,"mmm yyyy")</x:f>
        <x:v>Jul 2026</x:v>
      </x:c>
    </x:row>
    <x:row r="3078" ht="21" customHeight="1">
      <x:c r="A3078" s="10" t="n">
        <x:v>46212</x:v>
      </x:c>
      <x:c r="B3078" s="1" t="n">
        <x:v>15</x:v>
      </x:c>
      <x:c r="C3078" s="1" t="n">
        <x:v>6</x:v>
      </x:c>
      <x:c r="D3078" s="12" t="n">
        <x:v>5.426333333333334</x:v>
      </x:c>
      <x:c r="E3078" s="12" t="n">
        <x:v>0.6543333333333333</x:v>
      </x:c>
      <x:c r="F3078" s="12" t="n">
        <x:v>0</x:v>
      </x:c>
      <x:c r="G3078" s="12" t="n">
        <x:v>4.772</x:v>
      </x:c>
      <x:c r="H3078" s="1" t="n">
        <x:f>'Historical prices'!E3078</x:f>
        <x:v>1.05</x:v>
      </x:c>
      <x:c r="I3078" s="6" t="n">
        <x:f>'Historical prices'!D3078</x:f>
        <x:v>0.1493</x:v>
      </x:c>
      <x:c r="J3078" s="13" t="n">
        <x:f>D3078*I3078*H3078</x:f>
        <x:v>0.8506591450000001</x:v>
      </x:c>
      <x:c r="K3078" s="13" t="n">
        <x:f>E3078*I3078*H3078</x:f>
        <x:v>0.102576565</x:v>
      </x:c>
      <x:c r="L3078" s="1" t="str">
        <x:f>TEXT(A3078,"mmm yyyy")</x:f>
        <x:v>Jul 2026</x:v>
      </x:c>
    </x:row>
    <x:row r="3079" ht="21" customHeight="1">
      <x:c r="A3079" s="10" t="n">
        <x:v>46212</x:v>
      </x:c>
      <x:c r="B3079" s="1" t="n">
        <x:v>15.5</x:v>
      </x:c>
      <x:c r="C3079" s="1" t="n">
        <x:v>6</x:v>
      </x:c>
      <x:c r="D3079" s="12" t="n">
        <x:v>5.266166666666667</x:v>
      </x:c>
      <x:c r="E3079" s="12" t="n">
        <x:v>0.6491666666666667</x:v>
      </x:c>
      <x:c r="F3079" s="12" t="n">
        <x:v>0</x:v>
      </x:c>
      <x:c r="G3079" s="12" t="n">
        <x:v>4.617</x:v>
      </x:c>
      <x:c r="H3079" s="1" t="n">
        <x:f>'Historical prices'!E3079</x:f>
        <x:v>1.05</x:v>
      </x:c>
      <x:c r="I3079" s="6" t="n">
        <x:f>'Historical prices'!D3079</x:f>
        <x:v>0.16399999999999998</x:v>
      </x:c>
      <x:c r="J3079" s="13" t="n">
        <x:f>D3079*I3079*H3079</x:f>
        <x:v>0.9068338999999999</x:v>
      </x:c>
      <x:c r="K3079" s="13" t="n">
        <x:f>E3079*I3079*H3079</x:f>
        <x:v>0.1117865</x:v>
      </x:c>
      <x:c r="L3079" s="1" t="str">
        <x:f>TEXT(A3079,"mmm yyyy")</x:f>
        <x:v>Jul 2026</x:v>
      </x:c>
    </x:row>
    <x:row r="3080" ht="21" customHeight="1">
      <x:c r="A3080" s="10" t="n">
        <x:v>46212</x:v>
      </x:c>
      <x:c r="B3080" s="1" t="n">
        <x:v>16</x:v>
      </x:c>
      <x:c r="C3080" s="1" t="n">
        <x:v>6</x:v>
      </x:c>
      <x:c r="D3080" s="12" t="n">
        <x:v>0.885</x:v>
      </x:c>
      <x:c r="E3080" s="12" t="n">
        <x:v>0.441</x:v>
      </x:c>
      <x:c r="F3080" s="12" t="n">
        <x:v>0.33766666666666667</x:v>
      </x:c>
      <x:c r="G3080" s="12" t="n">
        <x:v>0.784</x:v>
      </x:c>
      <x:c r="H3080" s="1" t="n">
        <x:f>'Historical prices'!E3080</x:f>
        <x:v>1.05</x:v>
      </x:c>
      <x:c r="I3080" s="6" t="n">
        <x:f>'Historical prices'!D3080</x:f>
        <x:v>0.2882</x:v>
      </x:c>
      <x:c r="J3080" s="13" t="n">
        <x:f>D3080*I3080*H3080</x:f>
        <x:v>0.26780985000000007</x:v>
      </x:c>
      <x:c r="K3080" s="13" t="n">
        <x:f>E3080*I3080*H3080</x:f>
        <x:v>0.13345101</x:v>
      </x:c>
      <x:c r="L3080" s="1" t="str">
        <x:f>TEXT(A3080,"mmm yyyy")</x:f>
        <x:v>Jul 2026</x:v>
      </x:c>
    </x:row>
    <x:row r="3081" ht="21" customHeight="1">
      <x:c r="A3081" s="10" t="n">
        <x:v>46212</x:v>
      </x:c>
      <x:c r="B3081" s="1" t="n">
        <x:v>16.5</x:v>
      </x:c>
      <x:c r="C3081" s="1" t="n">
        <x:v>6</x:v>
      </x:c>
      <x:c r="D3081" s="12" t="n">
        <x:v>0</x:v>
      </x:c>
      <x:c r="E3081" s="12" t="n">
        <x:v>0.53375</x:v>
      </x:c>
      <x:c r="F3081" s="12" t="n">
        <x:v>0.5335</x:v>
      </x:c>
      <x:c r="G3081" s="12" t="n">
        <x:v>0</x:v>
      </x:c>
      <x:c r="H3081" s="1" t="n">
        <x:f>'Historical prices'!E3081</x:f>
        <x:v>1.05</x:v>
      </x:c>
      <x:c r="I3081" s="6" t="n">
        <x:f>'Historical prices'!D3081</x:f>
        <x:v>0.2655</x:v>
      </x:c>
      <x:c r="J3081" s="13" t="n">
        <x:f>D3081*I3081*H3081</x:f>
        <x:v>0</x:v>
      </x:c>
      <x:c r="K3081" s="13" t="n">
        <x:f>E3081*I3081*H3081</x:f>
        <x:v>0.14879615625</x:v>
      </x:c>
      <x:c r="L3081" s="1" t="str">
        <x:f>TEXT(A3081,"mmm yyyy")</x:f>
        <x:v>Jul 2026</x:v>
      </x:c>
    </x:row>
    <x:row r="3082" ht="21" customHeight="1">
      <x:c r="A3082" s="10" t="n">
        <x:v>46212</x:v>
      </x:c>
      <x:c r="B3082" s="1" t="n">
        <x:v>17</x:v>
      </x:c>
      <x:c r="C3082" s="1" t="n">
        <x:v>6</x:v>
      </x:c>
      <x:c r="D3082" s="12" t="n">
        <x:v>0</x:v>
      </x:c>
      <x:c r="E3082" s="12" t="n">
        <x:v>1.07575</x:v>
      </x:c>
      <x:c r="F3082" s="12" t="n">
        <x:v>1.0755833333333333</x:v>
      </x:c>
      <x:c r="G3082" s="12" t="n">
        <x:v>0</x:v>
      </x:c>
      <x:c r="H3082" s="1" t="n">
        <x:f>'Historical prices'!E3082</x:f>
        <x:v>1.05</x:v>
      </x:c>
      <x:c r="I3082" s="6" t="n">
        <x:f>'Historical prices'!D3082</x:f>
        <x:v>0.3373</x:v>
      </x:c>
      <x:c r="J3082" s="13" t="n">
        <x:f>D3082*I3082*H3082</x:f>
        <x:v>0</x:v>
      </x:c>
      <x:c r="K3082" s="13" t="n">
        <x:f>E3082*I3082*H3082</x:f>
        <x:v>0.38099299875000003</x:v>
      </x:c>
      <x:c r="L3082" s="1" t="str">
        <x:f>TEXT(A3082,"mmm yyyy")</x:f>
        <x:v>Jul 2026</x:v>
      </x:c>
    </x:row>
    <x:row r="3083" ht="21" customHeight="1">
      <x:c r="A3083" s="10" t="n">
        <x:v>46212</x:v>
      </x:c>
      <x:c r="B3083" s="1" t="n">
        <x:v>17.5</x:v>
      </x:c>
      <x:c r="C3083" s="1" t="n">
        <x:v>6</x:v>
      </x:c>
      <x:c r="D3083" s="12" t="n">
        <x:v>0</x:v>
      </x:c>
      <x:c r="E3083" s="12" t="n">
        <x:v>0.6699166666666667</x:v>
      </x:c>
      <x:c r="F3083" s="12" t="n">
        <x:v>0.6697500000000001</x:v>
      </x:c>
      <x:c r="G3083" s="12" t="n">
        <x:v>0</x:v>
      </x:c>
      <x:c r="H3083" s="1" t="n">
        <x:f>'Historical prices'!E3083</x:f>
        <x:v>1.05</x:v>
      </x:c>
      <x:c r="I3083" s="6" t="n">
        <x:f>'Historical prices'!D3083</x:f>
        <x:v>0.3367</x:v>
      </x:c>
      <x:c r="J3083" s="13" t="n">
        <x:f>D3083*I3083*H3083</x:f>
        <x:v>0</x:v>
      </x:c>
      <x:c r="K3083" s="13" t="n">
        <x:f>E3083*I3083*H3083</x:f>
        <x:v>0.23683898875000003</x:v>
      </x:c>
      <x:c r="L3083" s="1" t="str">
        <x:f>TEXT(A3083,"mmm yyyy")</x:f>
        <x:v>Jul 2026</x:v>
      </x:c>
    </x:row>
    <x:row r="3084" ht="21" customHeight="1">
      <x:c r="A3084" s="10" t="n">
        <x:v>46212</x:v>
      </x:c>
      <x:c r="B3084" s="1" t="n">
        <x:v>18</x:v>
      </x:c>
      <x:c r="C3084" s="1" t="n">
        <x:v>6</x:v>
      </x:c>
      <x:c r="D3084" s="12" t="n">
        <x:v>0</x:v>
      </x:c>
      <x:c r="E3084" s="12" t="n">
        <x:v>0.5636666666666666</x:v>
      </x:c>
      <x:c r="F3084" s="12" t="n">
        <x:v>0.56325</x:v>
      </x:c>
      <x:c r="G3084" s="12" t="n">
        <x:v>0</x:v>
      </x:c>
      <x:c r="H3084" s="1" t="n">
        <x:f>'Historical prices'!E3084</x:f>
        <x:v>1.05</x:v>
      </x:c>
      <x:c r="I3084" s="6" t="n">
        <x:f>'Historical prices'!D3084</x:f>
        <x:v>0.409</x:v>
      </x:c>
      <x:c r="J3084" s="13" t="n">
        <x:f>D3084*I3084*H3084</x:f>
        <x:v>0</x:v>
      </x:c>
      <x:c r="K3084" s="13" t="n">
        <x:f>E3084*I3084*H3084</x:f>
        <x:v>0.24206665</x:v>
      </x:c>
      <x:c r="L3084" s="1" t="str">
        <x:f>TEXT(A3084,"mmm yyyy")</x:f>
        <x:v>Jul 2026</x:v>
      </x:c>
    </x:row>
    <x:row r="3085" ht="21" customHeight="1">
      <x:c r="A3085" s="10" t="n">
        <x:v>46212</x:v>
      </x:c>
      <x:c r="B3085" s="1" t="n">
        <x:v>18.5</x:v>
      </x:c>
      <x:c r="C3085" s="1" t="n">
        <x:v>6</x:v>
      </x:c>
      <x:c r="D3085" s="12" t="n">
        <x:v>0</x:v>
      </x:c>
      <x:c r="E3085" s="12" t="n">
        <x:v>0.5119166666666667</x:v>
      </x:c>
      <x:c r="F3085" s="12" t="n">
        <x:v>0.5117499999999999</x:v>
      </x:c>
      <x:c r="G3085" s="12" t="n">
        <x:v>0</x:v>
      </x:c>
      <x:c r="H3085" s="1" t="n">
        <x:f>'Historical prices'!E3085</x:f>
        <x:v>1.05</x:v>
      </x:c>
      <x:c r="I3085" s="6" t="n">
        <x:f>'Historical prices'!D3085</x:f>
        <x:v>0.4121</x:v>
      </x:c>
      <x:c r="J3085" s="13" t="n">
        <x:f>D3085*I3085*H3085</x:f>
        <x:v>0</x:v>
      </x:c>
      <x:c r="K3085" s="13" t="n">
        <x:f>E3085*I3085*H3085</x:f>
        <x:v>0.22150890125000003</x:v>
      </x:c>
      <x:c r="L3085" s="1" t="str">
        <x:f>TEXT(A3085,"mmm yyyy")</x:f>
        <x:v>Jul 2026</x:v>
      </x:c>
    </x:row>
    <x:row r="3086" ht="21" customHeight="1">
      <x:c r="A3086" s="10" t="n">
        <x:v>46212</x:v>
      </x:c>
      <x:c r="B3086" s="1" t="n">
        <x:v>19</x:v>
      </x:c>
      <x:c r="C3086" s="1" t="n">
        <x:v>6</x:v>
      </x:c>
      <x:c r="D3086" s="12" t="n">
        <x:v>0</x:v>
      </x:c>
      <x:c r="E3086" s="12" t="n">
        <x:v>0.5408333333333334</x:v>
      </x:c>
      <x:c r="F3086" s="12" t="n">
        <x:v>0.5405833333333333</x:v>
      </x:c>
      <x:c r="G3086" s="12" t="n">
        <x:v>0</x:v>
      </x:c>
      <x:c r="H3086" s="1" t="n">
        <x:f>'Historical prices'!E3086</x:f>
        <x:v>1.05</x:v>
      </x:c>
      <x:c r="I3086" s="6" t="n">
        <x:f>'Historical prices'!D3086</x:f>
        <x:v>0.3923</x:v>
      </x:c>
      <x:c r="J3086" s="13" t="n">
        <x:f>D3086*I3086*H3086</x:f>
        <x:v>0</x:v>
      </x:c>
      <x:c r="K3086" s="13" t="n">
        <x:f>E3086*I3086*H3086</x:f>
        <x:v>0.22277736250000002</x:v>
      </x:c>
      <x:c r="L3086" s="1" t="str">
        <x:f>TEXT(A3086,"mmm yyyy")</x:f>
        <x:v>Jul 2026</x:v>
      </x:c>
    </x:row>
    <x:row r="3087" ht="21" customHeight="1">
      <x:c r="A3087" s="10" t="n">
        <x:v>46212</x:v>
      </x:c>
      <x:c r="B3087" s="1" t="n">
        <x:v>19.5</x:v>
      </x:c>
      <x:c r="C3087" s="1" t="n">
        <x:v>6</x:v>
      </x:c>
      <x:c r="D3087" s="12" t="n">
        <x:v>0</x:v>
      </x:c>
      <x:c r="E3087" s="12" t="n">
        <x:v>0.48150000000000004</x:v>
      </x:c>
      <x:c r="F3087" s="12" t="n">
        <x:v>0.4814166666666667</x:v>
      </x:c>
      <x:c r="G3087" s="12" t="n">
        <x:v>0</x:v>
      </x:c>
      <x:c r="H3087" s="1" t="n">
        <x:f>'Historical prices'!E3087</x:f>
        <x:v>1.05</x:v>
      </x:c>
      <x:c r="I3087" s="6" t="n">
        <x:f>'Historical prices'!D3087</x:f>
        <x:v>0.38659999999999994</x:v>
      </x:c>
      <x:c r="J3087" s="13" t="n">
        <x:f>D3087*I3087*H3087</x:f>
        <x:v>0</x:v>
      </x:c>
      <x:c r="K3087" s="13" t="n">
        <x:f>E3087*I3087*H3087</x:f>
        <x:v>0.19545529499999997</x:v>
      </x:c>
      <x:c r="L3087" s="1" t="str">
        <x:f>TEXT(A3087,"mmm yyyy")</x:f>
        <x:v>Jul 2026</x:v>
      </x:c>
    </x:row>
    <x:row r="3088" ht="21" customHeight="1">
      <x:c r="A3088" s="10" t="n">
        <x:v>46212</x:v>
      </x:c>
      <x:c r="B3088" s="1" t="n">
        <x:v>20</x:v>
      </x:c>
      <x:c r="C3088" s="1" t="n">
        <x:v>6</x:v>
      </x:c>
      <x:c r="D3088" s="12" t="n">
        <x:v>0</x:v>
      </x:c>
      <x:c r="E3088" s="12" t="n">
        <x:v>0.5468333333333333</x:v>
      </x:c>
      <x:c r="F3088" s="12" t="n">
        <x:v>0.5465833333333333</x:v>
      </x:c>
      <x:c r="G3088" s="12" t="n">
        <x:v>0</x:v>
      </x:c>
      <x:c r="H3088" s="1" t="n">
        <x:f>'Historical prices'!E3088</x:f>
        <x:v>1.05</x:v>
      </x:c>
      <x:c r="I3088" s="6" t="n">
        <x:f>'Historical prices'!D3088</x:f>
        <x:v>0.38659999999999994</x:v>
      </x:c>
      <x:c r="J3088" s="13" t="n">
        <x:f>D3088*I3088*H3088</x:f>
        <x:v>0</x:v>
      </x:c>
      <x:c r="K3088" s="13" t="n">
        <x:f>E3088*I3088*H3088</x:f>
        <x:v>0.22197605499999995</x:v>
      </x:c>
      <x:c r="L3088" s="1" t="str">
        <x:f>TEXT(A3088,"mmm yyyy")</x:f>
        <x:v>Jul 2026</x:v>
      </x:c>
    </x:row>
    <x:row r="3089" ht="21" customHeight="1">
      <x:c r="A3089" s="10" t="n">
        <x:v>46212</x:v>
      </x:c>
      <x:c r="B3089" s="1" t="n">
        <x:v>20.5</x:v>
      </x:c>
      <x:c r="C3089" s="1" t="n">
        <x:v>6</x:v>
      </x:c>
      <x:c r="D3089" s="12" t="n">
        <x:v>0</x:v>
      </x:c>
      <x:c r="E3089" s="12" t="n">
        <x:v>0.49325</x:v>
      </x:c>
      <x:c r="F3089" s="12" t="n">
        <x:v>0.49325</x:v>
      </x:c>
      <x:c r="G3089" s="12" t="n">
        <x:v>0</x:v>
      </x:c>
      <x:c r="H3089" s="1" t="n">
        <x:f>'Historical prices'!E3089</x:f>
        <x:v>1.05</x:v>
      </x:c>
      <x:c r="I3089" s="6" t="n">
        <x:f>'Historical prices'!D3089</x:f>
        <x:v>0.38659999999999994</x:v>
      </x:c>
      <x:c r="J3089" s="13" t="n">
        <x:f>D3089*I3089*H3089</x:f>
        <x:v>0</x:v>
      </x:c>
      <x:c r="K3089" s="13" t="n">
        <x:f>E3089*I3089*H3089</x:f>
        <x:v>0.2002249725</x:v>
      </x:c>
      <x:c r="L3089" s="1" t="str">
        <x:f>TEXT(A3089,"mmm yyyy")</x:f>
        <x:v>Jul 2026</x:v>
      </x:c>
    </x:row>
    <x:row r="3090" ht="21" customHeight="1">
      <x:c r="A3090" s="10" t="n">
        <x:v>46212</x:v>
      </x:c>
      <x:c r="B3090" s="1" t="n">
        <x:v>21</x:v>
      </x:c>
      <x:c r="C3090" s="1" t="n">
        <x:v>6</x:v>
      </x:c>
      <x:c r="D3090" s="12" t="n">
        <x:v>0</x:v>
      </x:c>
      <x:c r="E3090" s="12" t="n">
        <x:v>0.5908333333333333</x:v>
      </x:c>
      <x:c r="F3090" s="12" t="n">
        <x:v>0.5905833333333333</x:v>
      </x:c>
      <x:c r="G3090" s="12" t="n">
        <x:v>0</x:v>
      </x:c>
      <x:c r="H3090" s="1" t="n">
        <x:f>'Historical prices'!E3090</x:f>
        <x:v>1.05</x:v>
      </x:c>
      <x:c r="I3090" s="6" t="n">
        <x:f>'Historical prices'!D3090</x:f>
        <x:v>0.353</x:v>
      </x:c>
      <x:c r="J3090" s="13" t="n">
        <x:f>D3090*I3090*H3090</x:f>
        <x:v>0</x:v>
      </x:c>
      <x:c r="K3090" s="13" t="n">
        <x:f>E3090*I3090*H3090</x:f>
        <x:v>0.21899237500000002</x:v>
      </x:c>
      <x:c r="L3090" s="1" t="str">
        <x:f>TEXT(A3090,"mmm yyyy")</x:f>
        <x:v>Jul 2026</x:v>
      </x:c>
    </x:row>
    <x:row r="3091" ht="21" customHeight="1">
      <x:c r="A3091" s="10" t="n">
        <x:v>46212</x:v>
      </x:c>
      <x:c r="B3091" s="1" t="n">
        <x:v>21.5</x:v>
      </x:c>
      <x:c r="C3091" s="1" t="n">
        <x:v>6</x:v>
      </x:c>
      <x:c r="D3091" s="12" t="n">
        <x:v>0</x:v>
      </x:c>
      <x:c r="E3091" s="12" t="n">
        <x:v>0.7796666666666667</x:v>
      </x:c>
      <x:c r="F3091" s="12" t="n">
        <x:v>0.7795833333333333</x:v>
      </x:c>
      <x:c r="G3091" s="12" t="n">
        <x:v>0</x:v>
      </x:c>
      <x:c r="H3091" s="1" t="n">
        <x:f>'Historical prices'!E3091</x:f>
        <x:v>1.05</x:v>
      </x:c>
      <x:c r="I3091" s="6" t="n">
        <x:f>'Historical prices'!D3091</x:f>
        <x:v>0.3404</x:v>
      </x:c>
      <x:c r="J3091" s="13" t="n">
        <x:f>D3091*I3091*H3091</x:f>
        <x:v>0</x:v>
      </x:c>
      <x:c r="K3091" s="13" t="n">
        <x:f>E3091*I3091*H3091</x:f>
        <x:v>0.27866846</x:v>
      </x:c>
      <x:c r="L3091" s="1" t="str">
        <x:f>TEXT(A3091,"mmm yyyy")</x:f>
        <x:v>Jul 2026</x:v>
      </x:c>
    </x:row>
    <x:row r="3092" ht="21" customHeight="1">
      <x:c r="A3092" s="10" t="n">
        <x:v>46212</x:v>
      </x:c>
      <x:c r="B3092" s="1" t="n">
        <x:v>22</x:v>
      </x:c>
      <x:c r="C3092" s="1" t="n">
        <x:v>6</x:v>
      </x:c>
      <x:c r="D3092" s="12" t="n">
        <x:v>0</x:v>
      </x:c>
      <x:c r="E3092" s="12" t="n">
        <x:v>0.7898333333333334</x:v>
      </x:c>
      <x:c r="F3092" s="12" t="n">
        <x:v>0.78975</x:v>
      </x:c>
      <x:c r="G3092" s="12" t="n">
        <x:v>0</x:v>
      </x:c>
      <x:c r="H3092" s="1" t="n">
        <x:f>'Historical prices'!E3092</x:f>
        <x:v>1.05</x:v>
      </x:c>
      <x:c r="I3092" s="6" t="n">
        <x:f>'Historical prices'!D3092</x:f>
        <x:v>0.29710000000000003</x:v>
      </x:c>
      <x:c r="J3092" s="13" t="n">
        <x:f>D3092*I3092*H3092</x:f>
        <x:v>0</x:v>
      </x:c>
      <x:c r="K3092" s="13" t="n">
        <x:f>E3092*I3092*H3092</x:f>
        <x:v>0.24639245750000005</x:v>
      </x:c>
      <x:c r="L3092" s="1" t="str">
        <x:f>TEXT(A3092,"mmm yyyy")</x:f>
        <x:v>Jul 2026</x:v>
      </x:c>
    </x:row>
    <x:row r="3093" ht="21" customHeight="1">
      <x:c r="A3093" s="10" t="n">
        <x:v>46212</x:v>
      </x:c>
      <x:c r="B3093" s="1" t="n">
        <x:v>22.5</x:v>
      </x:c>
      <x:c r="C3093" s="1" t="n">
        <x:v>6</x:v>
      </x:c>
      <x:c r="D3093" s="12" t="n">
        <x:v>0</x:v>
      </x:c>
      <x:c r="E3093" s="12" t="n">
        <x:v>0.37533333333333335</x:v>
      </x:c>
      <x:c r="F3093" s="12" t="n">
        <x:v>0.3749166666666667</x:v>
      </x:c>
      <x:c r="G3093" s="12" t="n">
        <x:v>0</x:v>
      </x:c>
      <x:c r="H3093" s="1" t="n">
        <x:f>'Historical prices'!E3093</x:f>
        <x:v>1.05</x:v>
      </x:c>
      <x:c r="I3093" s="6" t="n">
        <x:f>'Historical prices'!D3093</x:f>
        <x:v>0.2648</x:v>
      </x:c>
      <x:c r="J3093" s="13" t="n">
        <x:f>D3093*I3093*H3093</x:f>
        <x:v>0</x:v>
      </x:c>
      <x:c r="K3093" s="13" t="n">
        <x:f>E3093*I3093*H3093</x:f>
        <x:v>0.10435768000000001</x:v>
      </x:c>
      <x:c r="L3093" s="1" t="str">
        <x:f>TEXT(A3093,"mmm yyyy")</x:f>
        <x:v>Jul 2026</x:v>
      </x:c>
    </x:row>
    <x:row r="3094" ht="21" customHeight="1">
      <x:c r="A3094" s="10" t="n">
        <x:v>46212</x:v>
      </x:c>
      <x:c r="B3094" s="1" t="n">
        <x:v>23</x:v>
      </x:c>
      <x:c r="C3094" s="1" t="n">
        <x:v>6</x:v>
      </x:c>
      <x:c r="D3094" s="12" t="n">
        <x:v>0</x:v>
      </x:c>
      <x:c r="E3094" s="12" t="n">
        <x:v>0.31633333333333336</x:v>
      </x:c>
      <x:c r="F3094" s="12" t="n">
        <x:v>0.3158333333333333</x:v>
      </x:c>
      <x:c r="G3094" s="12" t="n">
        <x:v>0</x:v>
      </x:c>
      <x:c r="H3094" s="1" t="n">
        <x:f>'Historical prices'!E3094</x:f>
        <x:v>1.05</x:v>
      </x:c>
      <x:c r="I3094" s="6" t="n">
        <x:f>'Historical prices'!D3094</x:f>
        <x:v>0.24739999999999998</x:v>
      </x:c>
      <x:c r="J3094" s="13" t="n">
        <x:f>D3094*I3094*H3094</x:f>
        <x:v>0</x:v>
      </x:c>
      <x:c r="K3094" s="13" t="n">
        <x:f>E3094*I3094*H3094</x:f>
        <x:v>0.08217391</x:v>
      </x:c>
      <x:c r="L3094" s="1" t="str">
        <x:f>TEXT(A3094,"mmm yyyy")</x:f>
        <x:v>Jul 2026</x:v>
      </x:c>
    </x:row>
    <x:row r="3095" ht="21" customHeight="1">
      <x:c r="A3095" s="10" t="n">
        <x:v>46212</x:v>
      </x:c>
      <x:c r="B3095" s="1" t="n">
        <x:v>23.5</x:v>
      </x:c>
      <x:c r="C3095" s="1" t="n">
        <x:v>6</x:v>
      </x:c>
      <x:c r="D3095" s="12" t="n">
        <x:v>0</x:v>
      </x:c>
      <x:c r="E3095" s="12" t="n">
        <x:v>0.29891666666666666</x:v>
      </x:c>
      <x:c r="F3095" s="12" t="n">
        <x:v>0.29883333333333334</x:v>
      </x:c>
      <x:c r="G3095" s="12" t="n">
        <x:v>0</x:v>
      </x:c>
      <x:c r="H3095" s="1" t="n">
        <x:f>'Historical prices'!E3095</x:f>
        <x:v>1.05</x:v>
      </x:c>
      <x:c r="I3095" s="6" t="n">
        <x:f>'Historical prices'!D3095</x:f>
        <x:v>0.2357</x:v>
      </x:c>
      <x:c r="J3095" s="13" t="n">
        <x:f>D3095*I3095*H3095</x:f>
        <x:v>0</x:v>
      </x:c>
      <x:c r="K3095" s="13" t="n">
        <x:f>E3095*I3095*H3095</x:f>
        <x:v>0.07397739125000001</x:v>
      </x:c>
      <x:c r="L3095" s="1" t="str">
        <x:f>TEXT(A3095,"mmm yyyy")</x:f>
        <x:v>Jul 2026</x:v>
      </x:c>
    </x:row>
    <x:row r="3096" ht="21" customHeight="1">
      <x:c r="A3096" s="10" t="n">
        <x:v>46213</x:v>
      </x:c>
      <x:c r="B3096" s="1" t="n">
        <x:v>0</x:v>
      </x:c>
      <x:c r="C3096" s="1" t="n">
        <x:v>6</x:v>
      </x:c>
      <x:c r="D3096" s="12" t="n">
        <x:v>0.57125</x:v>
      </x:c>
      <x:c r="E3096" s="12" t="n">
        <x:v>0.6360833333333333</x:v>
      </x:c>
      <x:c r="F3096" s="12" t="n">
        <x:v>0.05483333333333333</x:v>
      </x:c>
      <x:c r="G3096" s="12" t="n">
        <x:v>0</x:v>
      </x:c>
      <x:c r="H3096" s="1" t="n">
        <x:f>'Historical prices'!E3096</x:f>
        <x:v>1.05</x:v>
      </x:c>
      <x:c r="I3096" s="6" t="n">
        <x:f>'Historical prices'!D3096</x:f>
        <x:v>0.2187</x:v>
      </x:c>
      <x:c r="J3096" s="13" t="n">
        <x:f>D3096*I3096*H3096</x:f>
        <x:v>0.13117899375000003</x:v>
      </x:c>
      <x:c r="K3096" s="13" t="n">
        <x:f>E3096*I3096*H3096</x:f>
        <x:v>0.14606699625000003</x:v>
      </x:c>
      <x:c r="L3096" s="1" t="str">
        <x:f>TEXT(A3096,"mmm yyyy")</x:f>
        <x:v>Jul 2026</x:v>
      </x:c>
    </x:row>
    <x:row r="3097" ht="21" customHeight="1">
      <x:c r="A3097" s="10" t="n">
        <x:v>46213</x:v>
      </x:c>
      <x:c r="B3097" s="1" t="n">
        <x:v>0.5</x:v>
      </x:c>
      <x:c r="C3097" s="1" t="n">
        <x:v>6</x:v>
      </x:c>
      <x:c r="D3097" s="12" t="n">
        <x:v>0.04016666666666667</x:v>
      </x:c>
      <x:c r="E3097" s="12" t="n">
        <x:v>0.33208333333333334</x:v>
      </x:c>
      <x:c r="F3097" s="12" t="n">
        <x:v>0.29075</x:v>
      </x:c>
      <x:c r="G3097" s="12" t="n">
        <x:v>0</x:v>
      </x:c>
      <x:c r="H3097" s="1" t="n">
        <x:f>'Historical prices'!E3097</x:f>
        <x:v>1.05</x:v>
      </x:c>
      <x:c r="I3097" s="6" t="n">
        <x:f>'Historical prices'!D3097</x:f>
        <x:v>0.23129999999999998</x:v>
      </x:c>
      <x:c r="J3097" s="13" t="n">
        <x:f>D3097*I3097*H3097</x:f>
        <x:v>0.0097550775</x:v>
      </x:c>
      <x:c r="K3097" s="13" t="n">
        <x:f>E3097*I3097*H3097</x:f>
        <x:v>0.08065141875000001</x:v>
      </x:c>
      <x:c r="L3097" s="1" t="str">
        <x:f>TEXT(A3097,"mmm yyyy")</x:f>
        <x:v>Jul 2026</x:v>
      </x:c>
    </x:row>
    <x:row r="3098" ht="21" customHeight="1">
      <x:c r="A3098" s="10" t="n">
        <x:v>46213</x:v>
      </x:c>
      <x:c r="B3098" s="1" t="n">
        <x:v>1</x:v>
      </x:c>
      <x:c r="C3098" s="1" t="n">
        <x:v>6</x:v>
      </x:c>
      <x:c r="D3098" s="12" t="n">
        <x:v>0.2663333333333333</x:v>
      </x:c>
      <x:c r="E3098" s="12" t="n">
        <x:v>0.34825</x:v>
      </x:c>
      <x:c r="F3098" s="12" t="n">
        <x:v>0.07091666666666667</x:v>
      </x:c>
      <x:c r="G3098" s="12" t="n">
        <x:v>0</x:v>
      </x:c>
      <x:c r="H3098" s="1" t="n">
        <x:f>'Historical prices'!E3098</x:f>
        <x:v>1.05</x:v>
      </x:c>
      <x:c r="I3098" s="6" t="n">
        <x:f>'Historical prices'!D3098</x:f>
        <x:v>0.21230000000000002</x:v>
      </x:c>
      <x:c r="J3098" s="13" t="n">
        <x:f>D3098*I3098*H3098</x:f>
        <x:v>0.05936969500000001</x:v>
      </x:c>
      <x:c r="K3098" s="13" t="n">
        <x:f>E3098*I3098*H3098</x:f>
        <x:v>0.07763014875000002</x:v>
      </x:c>
      <x:c r="L3098" s="1" t="str">
        <x:f>TEXT(A3098,"mmm yyyy")</x:f>
        <x:v>Jul 2026</x:v>
      </x:c>
    </x:row>
    <x:row r="3099" ht="21" customHeight="1">
      <x:c r="A3099" s="10" t="n">
        <x:v>46213</x:v>
      </x:c>
      <x:c r="B3099" s="1" t="n">
        <x:v>1.5</x:v>
      </x:c>
      <x:c r="C3099" s="1" t="n">
        <x:v>6</x:v>
      </x:c>
      <x:c r="D3099" s="12" t="n">
        <x:v>0.3013333333333333</x:v>
      </x:c>
      <x:c r="E3099" s="12" t="n">
        <x:v>0.3113333333333333</x:v>
      </x:c>
      <x:c r="F3099" s="12" t="n">
        <x:v>0</x:v>
      </x:c>
      <x:c r="G3099" s="12" t="n">
        <x:v>0</x:v>
      </x:c>
      <x:c r="H3099" s="1" t="n">
        <x:f>'Historical prices'!E3099</x:f>
        <x:v>1.05</x:v>
      </x:c>
      <x:c r="I3099" s="6" t="n">
        <x:f>'Historical prices'!D3099</x:f>
        <x:v>0.21559999999999999</x:v>
      </x:c>
      <x:c r="J3099" s="13" t="n">
        <x:f>D3099*I3099*H3099</x:f>
        <x:v>0.06821583999999999</x:v>
      </x:c>
      <x:c r="K3099" s="13" t="n">
        <x:f>E3099*I3099*H3099</x:f>
        <x:v>0.07047964</x:v>
      </x:c>
      <x:c r="L3099" s="1" t="str">
        <x:f>TEXT(A3099,"mmm yyyy")</x:f>
        <x:v>Jul 2026</x:v>
      </x:c>
    </x:row>
    <x:row r="3100" ht="21" customHeight="1">
      <x:c r="A3100" s="10" t="n">
        <x:v>46213</x:v>
      </x:c>
      <x:c r="B3100" s="1" t="n">
        <x:v>2</x:v>
      </x:c>
      <x:c r="C3100" s="1" t="n">
        <x:v>6</x:v>
      </x:c>
      <x:c r="D3100" s="12" t="n">
        <x:v>0.26883333333333337</x:v>
      </x:c>
      <x:c r="E3100" s="12" t="n">
        <x:v>0.2798333333333333</x:v>
      </x:c>
      <x:c r="F3100" s="12" t="n">
        <x:v>0</x:v>
      </x:c>
      <x:c r="G3100" s="12" t="n">
        <x:v>0</x:v>
      </x:c>
      <x:c r="H3100" s="1" t="n">
        <x:f>'Historical prices'!E3100</x:f>
        <x:v>1.05</x:v>
      </x:c>
      <x:c r="I3100" s="6" t="n">
        <x:f>'Historical prices'!D3100</x:f>
        <x:v>0.2122</x:v>
      </x:c>
      <x:c r="J3100" s="13" t="n">
        <x:f>D3100*I3100*H3100</x:f>
        <x:v>0.05989875500000001</x:v>
      </x:c>
      <x:c r="K3100" s="13" t="n">
        <x:f>E3100*I3100*H3100</x:f>
        <x:v>0.062349665</x:v>
      </x:c>
      <x:c r="L3100" s="1" t="str">
        <x:f>TEXT(A3100,"mmm yyyy")</x:f>
        <x:v>Jul 2026</x:v>
      </x:c>
    </x:row>
    <x:row r="3101" ht="21" customHeight="1">
      <x:c r="A3101" s="10" t="n">
        <x:v>46213</x:v>
      </x:c>
      <x:c r="B3101" s="1" t="n">
        <x:v>2.5</x:v>
      </x:c>
      <x:c r="C3101" s="1" t="n">
        <x:v>6</x:v>
      </x:c>
      <x:c r="D3101" s="12" t="n">
        <x:v>0.20833333333333337</x:v>
      </x:c>
      <x:c r="E3101" s="12" t="n">
        <x:v>0.21833333333333338</x:v>
      </x:c>
      <x:c r="F3101" s="12" t="n">
        <x:v>0</x:v>
      </x:c>
      <x:c r="G3101" s="12" t="n">
        <x:v>0</x:v>
      </x:c>
      <x:c r="H3101" s="1" t="n">
        <x:f>'Historical prices'!E3101</x:f>
        <x:v>1.05</x:v>
      </x:c>
      <x:c r="I3101" s="6" t="n">
        <x:f>'Historical prices'!D3101</x:f>
        <x:v>0.1999</x:v>
      </x:c>
      <x:c r="J3101" s="13" t="n">
        <x:f>D3101*I3101*H3101</x:f>
        <x:v>0.04372812500000001</x:v>
      </x:c>
      <x:c r="K3101" s="13" t="n">
        <x:f>E3101*I3101*H3101</x:f>
        <x:v>0.04582707500000001</x:v>
      </x:c>
      <x:c r="L3101" s="1" t="str">
        <x:f>TEXT(A3101,"mmm yyyy")</x:f>
        <x:v>Jul 2026</x:v>
      </x:c>
    </x:row>
    <x:row r="3102" ht="21" customHeight="1">
      <x:c r="A3102" s="10" t="n">
        <x:v>46213</x:v>
      </x:c>
      <x:c r="B3102" s="1" t="n">
        <x:v>3</x:v>
      </x:c>
      <x:c r="C3102" s="1" t="n">
        <x:v>6</x:v>
      </x:c>
      <x:c r="D3102" s="12" t="n">
        <x:v>0.20075</x:v>
      </x:c>
      <x:c r="E3102" s="12" t="n">
        <x:v>0.21175</x:v>
      </x:c>
      <x:c r="F3102" s="12" t="n">
        <x:v>0</x:v>
      </x:c>
      <x:c r="G3102" s="12" t="n">
        <x:v>0</x:v>
      </x:c>
      <x:c r="H3102" s="1" t="n">
        <x:f>'Historical prices'!E3102</x:f>
        <x:v>1.05</x:v>
      </x:c>
      <x:c r="I3102" s="6" t="n">
        <x:f>'Historical prices'!D3102</x:f>
        <x:v>0.1989</x:v>
      </x:c>
      <x:c r="J3102" s="13" t="n">
        <x:f>D3102*I3102*H3102</x:f>
        <x:v>0.04192563375</x:v>
      </x:c>
      <x:c r="K3102" s="13" t="n">
        <x:f>E3102*I3102*H3102</x:f>
        <x:v>0.04422292875</x:v>
      </x:c>
      <x:c r="L3102" s="1" t="str">
        <x:f>TEXT(A3102,"mmm yyyy")</x:f>
        <x:v>Jul 2026</x:v>
      </x:c>
    </x:row>
    <x:row r="3103" ht="21" customHeight="1">
      <x:c r="A3103" s="10" t="n">
        <x:v>46213</x:v>
      </x:c>
      <x:c r="B3103" s="1" t="n">
        <x:v>3.5</x:v>
      </x:c>
      <x:c r="C3103" s="1" t="n">
        <x:v>6</x:v>
      </x:c>
      <x:c r="D3103" s="12" t="n">
        <x:v>0.30525</x:v>
      </x:c>
      <x:c r="E3103" s="12" t="n">
        <x:v>0.31425</x:v>
      </x:c>
      <x:c r="F3103" s="12" t="n">
        <x:v>0</x:v>
      </x:c>
      <x:c r="G3103" s="12" t="n">
        <x:v>0</x:v>
      </x:c>
      <x:c r="H3103" s="1" t="n">
        <x:f>'Historical prices'!E3103</x:f>
        <x:v>1.05</x:v>
      </x:c>
      <x:c r="I3103" s="6" t="n">
        <x:f>'Historical prices'!D3103</x:f>
        <x:v>0.18719999999999998</x:v>
      </x:c>
      <x:c r="J3103" s="13" t="n">
        <x:f>D3103*I3103*H3103</x:f>
        <x:v>0.05999994</x:v>
      </x:c>
      <x:c r="K3103" s="13" t="n">
        <x:f>E3103*I3103*H3103</x:f>
        <x:v>0.06176897999999999</x:v>
      </x:c>
      <x:c r="L3103" s="1" t="str">
        <x:f>TEXT(A3103,"mmm yyyy")</x:f>
        <x:v>Jul 2026</x:v>
      </x:c>
    </x:row>
    <x:row r="3104" ht="21" customHeight="1">
      <x:c r="A3104" s="10" t="n">
        <x:v>46213</x:v>
      </x:c>
      <x:c r="B3104" s="1" t="n">
        <x:v>4</x:v>
      </x:c>
      <x:c r="C3104" s="1" t="n">
        <x:v>6</x:v>
      </x:c>
      <x:c r="D3104" s="12" t="n">
        <x:v>0.31625000000000003</x:v>
      </x:c>
      <x:c r="E3104" s="12" t="n">
        <x:v>0.32725</x:v>
      </x:c>
      <x:c r="F3104" s="12" t="n">
        <x:v>0</x:v>
      </x:c>
      <x:c r="G3104" s="12" t="n">
        <x:v>0</x:v>
      </x:c>
      <x:c r="H3104" s="1" t="n">
        <x:f>'Historical prices'!E3104</x:f>
        <x:v>1.05</x:v>
      </x:c>
      <x:c r="I3104" s="6" t="n">
        <x:f>'Historical prices'!D3104</x:f>
        <x:v>0.21350000000000002</x:v>
      </x:c>
      <x:c r="J3104" s="13" t="n">
        <x:f>D3104*I3104*H3104</x:f>
        <x:v>0.07089534375000002</x:v>
      </x:c>
      <x:c r="K3104" s="13" t="n">
        <x:f>E3104*I3104*H3104</x:f>
        <x:v>0.07336126875000001</x:v>
      </x:c>
      <x:c r="L3104" s="1" t="str">
        <x:f>TEXT(A3104,"mmm yyyy")</x:f>
        <x:v>Jul 2026</x:v>
      </x:c>
    </x:row>
    <x:row r="3105" ht="21" customHeight="1">
      <x:c r="A3105" s="10" t="n">
        <x:v>46213</x:v>
      </x:c>
      <x:c r="B3105" s="1" t="n">
        <x:v>4.5</x:v>
      </x:c>
      <x:c r="C3105" s="1" t="n">
        <x:v>6</x:v>
      </x:c>
      <x:c r="D3105" s="12" t="n">
        <x:v>0.2611666666666667</x:v>
      </x:c>
      <x:c r="E3105" s="12" t="n">
        <x:v>0.27116666666666667</x:v>
      </x:c>
      <x:c r="F3105" s="12" t="n">
        <x:v>0</x:v>
      </x:c>
      <x:c r="G3105" s="12" t="n">
        <x:v>0</x:v>
      </x:c>
      <x:c r="H3105" s="1" t="n">
        <x:f>'Historical prices'!E3105</x:f>
        <x:v>1.05</x:v>
      </x:c>
      <x:c r="I3105" s="6" t="n">
        <x:f>'Historical prices'!D3105</x:f>
        <x:v>0.2021</x:v>
      </x:c>
      <x:c r="J3105" s="13" t="n">
        <x:f>D3105*I3105*H3105</x:f>
        <x:v>0.05542087250000002</x:v>
      </x:c>
      <x:c r="K3105" s="13" t="n">
        <x:f>E3105*I3105*H3105</x:f>
        <x:v>0.0575429225</x:v>
      </x:c>
      <x:c r="L3105" s="1" t="str">
        <x:f>TEXT(A3105,"mmm yyyy")</x:f>
        <x:v>Jul 2026</x:v>
      </x:c>
    </x:row>
    <x:row r="3106" ht="21" customHeight="1">
      <x:c r="A3106" s="10" t="n">
        <x:v>46213</x:v>
      </x:c>
      <x:c r="B3106" s="1" t="n">
        <x:v>5</x:v>
      </x:c>
      <x:c r="C3106" s="1" t="n">
        <x:v>6</x:v>
      </x:c>
      <x:c r="D3106" s="12" t="n">
        <x:v>0.041416666666666664</x:v>
      </x:c>
      <x:c r="E3106" s="12" t="n">
        <x:v>0.3463333333333333</x:v>
      </x:c>
      <x:c r="F3106" s="12" t="n">
        <x:v>0.30283333333333334</x:v>
      </x:c>
      <x:c r="G3106" s="12" t="n">
        <x:v>0</x:v>
      </x:c>
      <x:c r="H3106" s="1" t="n">
        <x:f>'Historical prices'!E3106</x:f>
        <x:v>1.05</x:v>
      </x:c>
      <x:c r="I3106" s="6" t="n">
        <x:f>'Historical prices'!D3106</x:f>
        <x:v>0.23550000000000001</x:v>
      </x:c>
      <x:c r="J3106" s="13" t="n">
        <x:f>D3106*I3106*H3106</x:f>
        <x:v>0.01024130625</x:v>
      </x:c>
      <x:c r="K3106" s="13" t="n">
        <x:f>E3106*I3106*H3106</x:f>
        <x:v>0.08563957500000001</x:v>
      </x:c>
      <x:c r="L3106" s="1" t="str">
        <x:f>TEXT(A3106,"mmm yyyy")</x:f>
        <x:v>Jul 2026</x:v>
      </x:c>
    </x:row>
    <x:row r="3107" ht="21" customHeight="1">
      <x:c r="A3107" s="10" t="n">
        <x:v>46213</x:v>
      </x:c>
      <x:c r="B3107" s="1" t="n">
        <x:v>5.5</x:v>
      </x:c>
      <x:c r="C3107" s="1" t="n">
        <x:v>6</x:v>
      </x:c>
      <x:c r="D3107" s="12" t="n">
        <x:v>0</x:v>
      </x:c>
      <x:c r="E3107" s="12" t="n">
        <x:v>0.33899999999999997</x:v>
      </x:c>
      <x:c r="F3107" s="12" t="n">
        <x:v>0.33875</x:v>
      </x:c>
      <x:c r="G3107" s="12" t="n">
        <x:v>0</x:v>
      </x:c>
      <x:c r="H3107" s="1" t="n">
        <x:f>'Historical prices'!E3107</x:f>
        <x:v>1.05</x:v>
      </x:c>
      <x:c r="I3107" s="6" t="n">
        <x:f>'Historical prices'!D3107</x:f>
        <x:v>0.235</x:v>
      </x:c>
      <x:c r="J3107" s="13" t="n">
        <x:f>D3107*I3107*H3107</x:f>
        <x:v>0</x:v>
      </x:c>
      <x:c r="K3107" s="13" t="n">
        <x:f>E3107*I3107*H3107</x:f>
        <x:v>0.08364825</x:v>
      </x:c>
      <x:c r="L3107" s="1" t="str">
        <x:f>TEXT(A3107,"mmm yyyy")</x:f>
        <x:v>Jul 2026</x:v>
      </x:c>
    </x:row>
    <x:row r="3108" ht="21" customHeight="1">
      <x:c r="A3108" s="10" t="n">
        <x:v>46213</x:v>
      </x:c>
      <x:c r="B3108" s="1" t="n">
        <x:v>6</x:v>
      </x:c>
      <x:c r="C3108" s="1" t="n">
        <x:v>6</x:v>
      </x:c>
      <x:c r="D3108" s="12" t="n">
        <x:v>0</x:v>
      </x:c>
      <x:c r="E3108" s="12" t="n">
        <x:v>0.33566666666666667</x:v>
      </x:c>
      <x:c r="F3108" s="12" t="n">
        <x:v>0.33566666666666667</x:v>
      </x:c>
      <x:c r="G3108" s="12" t="n">
        <x:v>0</x:v>
      </x:c>
      <x:c r="H3108" s="1" t="n">
        <x:f>'Historical prices'!E3108</x:f>
        <x:v>1.05</x:v>
      </x:c>
      <x:c r="I3108" s="6" t="n">
        <x:f>'Historical prices'!D3108</x:f>
        <x:v>0.2191</x:v>
      </x:c>
      <x:c r="J3108" s="13" t="n">
        <x:f>D3108*I3108*H3108</x:f>
        <x:v>0</x:v>
      </x:c>
      <x:c r="K3108" s="13" t="n">
        <x:f>E3108*I3108*H3108</x:f>
        <x:v>0.077221795</x:v>
      </x:c>
      <x:c r="L3108" s="1" t="str">
        <x:f>TEXT(A3108,"mmm yyyy")</x:f>
        <x:v>Jul 2026</x:v>
      </x:c>
    </x:row>
    <x:row r="3109" ht="21" customHeight="1">
      <x:c r="A3109" s="10" t="n">
        <x:v>46213</x:v>
      </x:c>
      <x:c r="B3109" s="1" t="n">
        <x:v>6.5</x:v>
      </x:c>
      <x:c r="C3109" s="1" t="n">
        <x:v>6</x:v>
      </x:c>
      <x:c r="D3109" s="12" t="n">
        <x:v>0</x:v>
      </x:c>
      <x:c r="E3109" s="12" t="n">
        <x:v>0.5519999999999999</x:v>
      </x:c>
      <x:c r="F3109" s="12" t="n">
        <x:v>0.5515833333333333</x:v>
      </x:c>
      <x:c r="G3109" s="12" t="n">
        <x:v>0</x:v>
      </x:c>
      <x:c r="H3109" s="1" t="n">
        <x:f>'Historical prices'!E3109</x:f>
        <x:v>1.05</x:v>
      </x:c>
      <x:c r="I3109" s="6" t="n">
        <x:f>'Historical prices'!D3109</x:f>
        <x:v>0.2332</x:v>
      </x:c>
      <x:c r="J3109" s="13" t="n">
        <x:f>D3109*I3109*H3109</x:f>
        <x:v>0</x:v>
      </x:c>
      <x:c r="K3109" s="13" t="n">
        <x:f>E3109*I3109*H3109</x:f>
        <x:v>0.13516272</x:v>
      </x:c>
      <x:c r="L3109" s="1" t="str">
        <x:f>TEXT(A3109,"mmm yyyy")</x:f>
        <x:v>Jul 2026</x:v>
      </x:c>
    </x:row>
    <x:row r="3110" ht="21" customHeight="1">
      <x:c r="A3110" s="10" t="n">
        <x:v>46213</x:v>
      </x:c>
      <x:c r="B3110" s="1" t="n">
        <x:v>7</x:v>
      </x:c>
      <x:c r="C3110" s="1" t="n">
        <x:v>6</x:v>
      </x:c>
      <x:c r="D3110" s="12" t="n">
        <x:v>0.4791666666666667</x:v>
      </x:c>
      <x:c r="E3110" s="12" t="n">
        <x:v>0.5992500000000001</x:v>
      </x:c>
      <x:c r="F3110" s="12" t="n">
        <x:v>0.11</x:v>
      </x:c>
      <x:c r="G3110" s="12" t="n">
        <x:v>0</x:v>
      </x:c>
      <x:c r="H3110" s="1" t="n">
        <x:f>'Historical prices'!E3110</x:f>
        <x:v>1.05</x:v>
      </x:c>
      <x:c r="I3110" s="6" t="n">
        <x:f>'Historical prices'!D3110</x:f>
        <x:v>0.2145</x:v>
      </x:c>
      <x:c r="J3110" s="13" t="n">
        <x:f>D3110*I3110*H3110</x:f>
        <x:v>0.1079203125</x:v>
      </x:c>
      <x:c r="K3110" s="13" t="n">
        <x:f>E3110*I3110*H3110</x:f>
        <x:v>0.13496608125</x:v>
      </x:c>
      <x:c r="L3110" s="1" t="str">
        <x:f>TEXT(A3110,"mmm yyyy")</x:f>
        <x:v>Jul 2026</x:v>
      </x:c>
    </x:row>
    <x:row r="3111" ht="21" customHeight="1">
      <x:c r="A3111" s="10" t="n">
        <x:v>46213</x:v>
      </x:c>
      <x:c r="B3111" s="1" t="n">
        <x:v>7.5</x:v>
      </x:c>
      <x:c r="C3111" s="1" t="n">
        <x:v>6</x:v>
      </x:c>
      <x:c r="D3111" s="12" t="n">
        <x:v>1.0483333333333333</x:v>
      </x:c>
      <x:c r="E3111" s="12" t="n">
        <x:v>1.0603333333333333</x:v>
      </x:c>
      <x:c r="F3111" s="12" t="n">
        <x:v>0</x:v>
      </x:c>
      <x:c r="G3111" s="12" t="n">
        <x:v>0</x:v>
      </x:c>
      <x:c r="H3111" s="1" t="n">
        <x:f>'Historical prices'!E3111</x:f>
        <x:v>1.05</x:v>
      </x:c>
      <x:c r="I3111" s="6" t="n">
        <x:f>'Historical prices'!D3111</x:f>
        <x:v>0.21710000000000002</x:v>
      </x:c>
      <x:c r="J3111" s="13" t="n">
        <x:f>D3111*I3111*H3111</x:f>
        <x:v>0.23897282500000003</x:v>
      </x:c>
      <x:c r="K3111" s="13" t="n">
        <x:f>E3111*I3111*H3111</x:f>
        <x:v>0.24170828500000002</x:v>
      </x:c>
      <x:c r="L3111" s="1" t="str">
        <x:f>TEXT(A3111,"mmm yyyy")</x:f>
        <x:v>Jul 2026</x:v>
      </x:c>
    </x:row>
    <x:row r="3112" ht="21" customHeight="1">
      <x:c r="A3112" s="10" t="n">
        <x:v>46213</x:v>
      </x:c>
      <x:c r="B3112" s="1" t="n">
        <x:v>8</x:v>
      </x:c>
      <x:c r="C3112" s="1" t="n">
        <x:v>6</x:v>
      </x:c>
      <x:c r="D3112" s="12" t="n">
        <x:v>0.4408333333333333</x:v>
      </x:c>
      <x:c r="E3112" s="12" t="n">
        <x:v>0.4508333333333333</x:v>
      </x:c>
      <x:c r="F3112" s="12" t="n">
        <x:v>0</x:v>
      </x:c>
      <x:c r="G3112" s="12" t="n">
        <x:v>0</x:v>
      </x:c>
      <x:c r="H3112" s="1" t="n">
        <x:f>'Historical prices'!E3112</x:f>
        <x:v>1.05</x:v>
      </x:c>
      <x:c r="I3112" s="6" t="n">
        <x:f>'Historical prices'!D3112</x:f>
        <x:v>0.18780000000000002</x:v>
      </x:c>
      <x:c r="J3112" s="13" t="n">
        <x:f>D3112*I3112*H3112</x:f>
        <x:v>0.086927925</x:v>
      </x:c>
      <x:c r="K3112" s="13" t="n">
        <x:f>E3112*I3112*H3112</x:f>
        <x:v>0.08889982500000002</x:v>
      </x:c>
      <x:c r="L3112" s="1" t="str">
        <x:f>TEXT(A3112,"mmm yyyy")</x:f>
        <x:v>Jul 2026</x:v>
      </x:c>
    </x:row>
    <x:row r="3113" ht="21" customHeight="1">
      <x:c r="A3113" s="10" t="n">
        <x:v>46213</x:v>
      </x:c>
      <x:c r="B3113" s="1" t="n">
        <x:v>8.5</x:v>
      </x:c>
      <x:c r="C3113" s="1" t="n">
        <x:v>6</x:v>
      </x:c>
      <x:c r="D3113" s="12" t="n">
        <x:v>0.4986666666666667</x:v>
      </x:c>
      <x:c r="E3113" s="12" t="n">
        <x:v>0.5086666666666667</x:v>
      </x:c>
      <x:c r="F3113" s="12" t="n">
        <x:v>0</x:v>
      </x:c>
      <x:c r="G3113" s="12" t="n">
        <x:v>0</x:v>
      </x:c>
      <x:c r="H3113" s="1" t="n">
        <x:f>'Historical prices'!E3113</x:f>
        <x:v>1.05</x:v>
      </x:c>
      <x:c r="I3113" s="6" t="n">
        <x:f>'Historical prices'!D3113</x:f>
        <x:v>0.1776</x:v>
      </x:c>
      <x:c r="J3113" s="13" t="n">
        <x:f>D3113*I3113*H3113</x:f>
        <x:v>0.09299136000000001</x:v>
      </x:c>
      <x:c r="K3113" s="13" t="n">
        <x:f>E3113*I3113*H3113</x:f>
        <x:v>0.09485616000000001</x:v>
      </x:c>
      <x:c r="L3113" s="1" t="str">
        <x:f>TEXT(A3113,"mmm yyyy")</x:f>
        <x:v>Jul 2026</x:v>
      </x:c>
    </x:row>
    <x:row r="3114" ht="21" customHeight="1">
      <x:c r="A3114" s="10" t="n">
        <x:v>46213</x:v>
      </x:c>
      <x:c r="B3114" s="1" t="n">
        <x:v>9</x:v>
      </x:c>
      <x:c r="C3114" s="1" t="n">
        <x:v>6</x:v>
      </x:c>
      <x:c r="D3114" s="12" t="n">
        <x:v>0.5875833333333332</x:v>
      </x:c>
      <x:c r="E3114" s="12" t="n">
        <x:v>0.5985833333333332</x:v>
      </x:c>
      <x:c r="F3114" s="12" t="n">
        <x:v>0</x:v>
      </x:c>
      <x:c r="G3114" s="12" t="n">
        <x:v>0</x:v>
      </x:c>
      <x:c r="H3114" s="1" t="n">
        <x:f>'Historical prices'!E3114</x:f>
        <x:v>1.05</x:v>
      </x:c>
      <x:c r="I3114" s="6" t="n">
        <x:f>'Historical prices'!D3114</x:f>
        <x:v>0.1776</x:v>
      </x:c>
      <x:c r="J3114" s="13" t="n">
        <x:f>D3114*I3114*H3114</x:f>
        <x:v>0.10957253999999998</x:v>
      </x:c>
      <x:c r="K3114" s="13" t="n">
        <x:f>E3114*I3114*H3114</x:f>
        <x:v>0.11162381999999998</x:v>
      </x:c>
      <x:c r="L3114" s="1" t="str">
        <x:f>TEXT(A3114,"mmm yyyy")</x:f>
        <x:v>Jul 2026</x:v>
      </x:c>
    </x:row>
    <x:row r="3115" ht="21" customHeight="1">
      <x:c r="A3115" s="10" t="n">
        <x:v>46213</x:v>
      </x:c>
      <x:c r="B3115" s="1" t="n">
        <x:v>9.5</x:v>
      </x:c>
      <x:c r="C3115" s="1" t="n">
        <x:v>6</x:v>
      </x:c>
      <x:c r="D3115" s="12" t="n">
        <x:v>0.5296666666666667</x:v>
      </x:c>
      <x:c r="E3115" s="12" t="n">
        <x:v>0.5396666666666666</x:v>
      </x:c>
      <x:c r="F3115" s="12" t="n">
        <x:v>0</x:v>
      </x:c>
      <x:c r="G3115" s="12" t="n">
        <x:v>0</x:v>
      </x:c>
      <x:c r="H3115" s="1" t="n">
        <x:f>'Historical prices'!E3115</x:f>
        <x:v>1.05</x:v>
      </x:c>
      <x:c r="I3115" s="6" t="n">
        <x:f>'Historical prices'!D3115</x:f>
        <x:v>0.1816</x:v>
      </x:c>
      <x:c r="J3115" s="13" t="n">
        <x:f>D3115*I3115*H3115</x:f>
        <x:v>0.10099684000000002</x:v>
      </x:c>
      <x:c r="K3115" s="13" t="n">
        <x:f>E3115*I3115*H3115</x:f>
        <x:v>0.10290364</x:v>
      </x:c>
      <x:c r="L3115" s="1" t="str">
        <x:f>TEXT(A3115,"mmm yyyy")</x:f>
        <x:v>Jul 2026</x:v>
      </x:c>
    </x:row>
    <x:row r="3116" ht="21" customHeight="1">
      <x:c r="A3116" s="10" t="n">
        <x:v>46213</x:v>
      </x:c>
      <x:c r="B3116" s="1" t="n">
        <x:v>10</x:v>
      </x:c>
      <x:c r="C3116" s="1" t="n">
        <x:v>6</x:v>
      </x:c>
      <x:c r="D3116" s="12" t="n">
        <x:v>0.5025833333333334</x:v>
      </x:c>
      <x:c r="E3116" s="12" t="n">
        <x:v>0.5125833333333334</x:v>
      </x:c>
      <x:c r="F3116" s="12" t="n">
        <x:v>0</x:v>
      </x:c>
      <x:c r="G3116" s="12" t="n">
        <x:v>0</x:v>
      </x:c>
      <x:c r="H3116" s="1" t="n">
        <x:f>'Historical prices'!E3116</x:f>
        <x:v>1.05</x:v>
      </x:c>
      <x:c r="I3116" s="6" t="n">
        <x:f>'Historical prices'!D3116</x:f>
        <x:v>0.1892</x:v>
      </x:c>
      <x:c r="J3116" s="13" t="n">
        <x:f>D3116*I3116*H3116</x:f>
        <x:v>0.09984320500000002</x:v>
      </x:c>
      <x:c r="K3116" s="13" t="n">
        <x:f>E3116*I3116*H3116</x:f>
        <x:v>0.10182980500000001</x:v>
      </x:c>
      <x:c r="L3116" s="1" t="str">
        <x:f>TEXT(A3116,"mmm yyyy")</x:f>
        <x:v>Jul 2026</x:v>
      </x:c>
    </x:row>
    <x:row r="3117" ht="21" customHeight="1">
      <x:c r="A3117" s="10" t="n">
        <x:v>46213</x:v>
      </x:c>
      <x:c r="B3117" s="1" t="n">
        <x:v>10.5</x:v>
      </x:c>
      <x:c r="C3117" s="1" t="n">
        <x:v>6</x:v>
      </x:c>
      <x:c r="D3117" s="12" t="n">
        <x:v>0.5136666666666667</x:v>
      </x:c>
      <x:c r="E3117" s="12" t="n">
        <x:v>0.5236666666666667</x:v>
      </x:c>
      <x:c r="F3117" s="12" t="n">
        <x:v>0</x:v>
      </x:c>
      <x:c r="G3117" s="12" t="n">
        <x:v>0</x:v>
      </x:c>
      <x:c r="H3117" s="1" t="n">
        <x:f>'Historical prices'!E3117</x:f>
        <x:v>1.05</x:v>
      </x:c>
      <x:c r="I3117" s="6" t="n">
        <x:f>'Historical prices'!D3117</x:f>
        <x:v>0.1892</x:v>
      </x:c>
      <x:c r="J3117" s="13" t="n">
        <x:f>D3117*I3117*H3117</x:f>
        <x:v>0.10204502000000001</x:v>
      </x:c>
      <x:c r="K3117" s="13" t="n">
        <x:f>E3117*I3117*H3117</x:f>
        <x:v>0.10403162000000002</x:v>
      </x:c>
      <x:c r="L3117" s="1" t="str">
        <x:f>TEXT(A3117,"mmm yyyy")</x:f>
        <x:v>Jul 2026</x:v>
      </x:c>
    </x:row>
    <x:row r="3118" ht="21" customHeight="1">
      <x:c r="A3118" s="10" t="n">
        <x:v>46213</x:v>
      </x:c>
      <x:c r="B3118" s="1" t="n">
        <x:v>11</x:v>
      </x:c>
      <x:c r="C3118" s="1" t="n">
        <x:v>6</x:v>
      </x:c>
      <x:c r="D3118" s="12" t="n">
        <x:v>0.5538333333333334</x:v>
      </x:c>
      <x:c r="E3118" s="12" t="n">
        <x:v>0.5648333333333334</x:v>
      </x:c>
      <x:c r="F3118" s="12" t="n">
        <x:v>0</x:v>
      </x:c>
      <x:c r="G3118" s="12" t="n">
        <x:v>0</x:v>
      </x:c>
      <x:c r="H3118" s="1" t="n">
        <x:f>'Historical prices'!E3118</x:f>
        <x:v>1.05</x:v>
      </x:c>
      <x:c r="I3118" s="6" t="n">
        <x:f>'Historical prices'!D3118</x:f>
        <x:v>0.1776</x:v>
      </x:c>
      <x:c r="J3118" s="13" t="n">
        <x:f>D3118*I3118*H3118</x:f>
        <x:v>0.10327884000000001</x:v>
      </x:c>
      <x:c r="K3118" s="13" t="n">
        <x:f>E3118*I3118*H3118</x:f>
        <x:v>0.10533012000000001</x:v>
      </x:c>
      <x:c r="L3118" s="1" t="str">
        <x:f>TEXT(A3118,"mmm yyyy")</x:f>
        <x:v>Jul 2026</x:v>
      </x:c>
    </x:row>
    <x:row r="3119" ht="21" customHeight="1">
      <x:c r="A3119" s="10" t="n">
        <x:v>46213</x:v>
      </x:c>
      <x:c r="B3119" s="1" t="n">
        <x:v>11.5</x:v>
      </x:c>
      <x:c r="C3119" s="1" t="n">
        <x:v>6</x:v>
      </x:c>
      <x:c r="D3119" s="12" t="n">
        <x:v>0.4424166666666667</x:v>
      </x:c>
      <x:c r="E3119" s="12" t="n">
        <x:v>0.4524166666666667</x:v>
      </x:c>
      <x:c r="F3119" s="12" t="n">
        <x:v>0</x:v>
      </x:c>
      <x:c r="G3119" s="12" t="n">
        <x:v>0</x:v>
      </x:c>
      <x:c r="H3119" s="1" t="n">
        <x:f>'Historical prices'!E3119</x:f>
        <x:v>1.05</x:v>
      </x:c>
      <x:c r="I3119" s="6" t="n">
        <x:f>'Historical prices'!D3119</x:f>
        <x:v>0.1776</x:v>
      </x:c>
      <x:c r="J3119" s="13" t="n">
        <x:f>D3119*I3119*H3119</x:f>
        <x:v>0.08250186000000001</x:v>
      </x:c>
      <x:c r="K3119" s="13" t="n">
        <x:f>E3119*I3119*H3119</x:f>
        <x:v>0.08436666000000001</x:v>
      </x:c>
      <x:c r="L3119" s="1" t="str">
        <x:f>TEXT(A3119,"mmm yyyy")</x:f>
        <x:v>Jul 2026</x:v>
      </x:c>
    </x:row>
    <x:row r="3120" ht="21" customHeight="1">
      <x:c r="A3120" s="10" t="n">
        <x:v>46213</x:v>
      </x:c>
      <x:c r="B3120" s="1" t="n">
        <x:v>12</x:v>
      </x:c>
      <x:c r="C3120" s="1" t="n">
        <x:v>6</x:v>
      </x:c>
      <x:c r="D3120" s="12" t="n">
        <x:v>0.4083333333333333</x:v>
      </x:c>
      <x:c r="E3120" s="12" t="n">
        <x:v>0.41933333333333334</x:v>
      </x:c>
      <x:c r="F3120" s="12" t="n">
        <x:v>0</x:v>
      </x:c>
      <x:c r="G3120" s="12" t="n">
        <x:v>0</x:v>
      </x:c>
      <x:c r="H3120" s="1" t="n">
        <x:f>'Historical prices'!E3120</x:f>
        <x:v>1.05</x:v>
      </x:c>
      <x:c r="I3120" s="6" t="n">
        <x:f>'Historical prices'!D3120</x:f>
        <x:v>0.1776</x:v>
      </x:c>
      <x:c r="J3120" s="13" t="n">
        <x:f>D3120*I3120*H3120</x:f>
        <x:v>0.076146</x:v>
      </x:c>
      <x:c r="K3120" s="13" t="n">
        <x:f>E3120*I3120*H3120</x:f>
        <x:v>0.07819728000000001</x:v>
      </x:c>
      <x:c r="L3120" s="1" t="str">
        <x:f>TEXT(A3120,"mmm yyyy")</x:f>
        <x:v>Jul 2026</x:v>
      </x:c>
    </x:row>
    <x:row r="3121" ht="21" customHeight="1">
      <x:c r="A3121" s="10" t="n">
        <x:v>46213</x:v>
      </x:c>
      <x:c r="B3121" s="1" t="n">
        <x:v>12.5</x:v>
      </x:c>
      <x:c r="C3121" s="1" t="n">
        <x:v>6</x:v>
      </x:c>
      <x:c r="D3121" s="12" t="n">
        <x:v>0.4364166666666667</x:v>
      </x:c>
      <x:c r="E3121" s="12" t="n">
        <x:v>0.44641666666666663</x:v>
      </x:c>
      <x:c r="F3121" s="12" t="n">
        <x:v>0</x:v>
      </x:c>
      <x:c r="G3121" s="12" t="n">
        <x:v>0</x:v>
      </x:c>
      <x:c r="H3121" s="1" t="n">
        <x:f>'Historical prices'!E3121</x:f>
        <x:v>1.05</x:v>
      </x:c>
      <x:c r="I3121" s="6" t="n">
        <x:f>'Historical prices'!D3121</x:f>
        <x:v>0.1743</x:v>
      </x:c>
      <x:c r="J3121" s="13" t="n">
        <x:f>D3121*I3121*H3121</x:f>
        <x:v>0.07987079625000001</x:v>
      </x:c>
      <x:c r="K3121" s="13" t="n">
        <x:f>E3121*I3121*H3121</x:f>
        <x:v>0.08170094625</x:v>
      </x:c>
      <x:c r="L3121" s="1" t="str">
        <x:f>TEXT(A3121,"mmm yyyy")</x:f>
        <x:v>Jul 2026</x:v>
      </x:c>
    </x:row>
    <x:row r="3122" ht="21" customHeight="1">
      <x:c r="A3122" s="10" t="n">
        <x:v>46213</x:v>
      </x:c>
      <x:c r="B3122" s="1" t="n">
        <x:v>13</x:v>
      </x:c>
      <x:c r="C3122" s="1" t="n">
        <x:v>6</x:v>
      </x:c>
      <x:c r="D3122" s="12" t="n">
        <x:v>4.621833333333333</x:v>
      </x:c>
      <x:c r="E3122" s="12" t="n">
        <x:v>0.7648333333333334</x:v>
      </x:c>
      <x:c r="F3122" s="12" t="n">
        <x:v>0</x:v>
      </x:c>
      <x:c r="G3122" s="12" t="n">
        <x:v>3.859</x:v>
      </x:c>
      <x:c r="H3122" s="1" t="n">
        <x:f>'Historical prices'!E3122</x:f>
        <x:v>1.05</x:v>
      </x:c>
      <x:c r="I3122" s="6" t="n">
        <x:f>'Historical prices'!D3122</x:f>
        <x:v>0.1724</x:v>
      </x:c>
      <x:c r="J3122" s="13" t="n">
        <x:f>D3122*I3122*H3122</x:f>
        <x:v>0.83664427</x:v>
      </x:c>
      <x:c r="K3122" s="13" t="n">
        <x:f>E3122*I3122*H3122</x:f>
        <x:v>0.13845013</x:v>
      </x:c>
      <x:c r="L3122" s="1" t="str">
        <x:f>TEXT(A3122,"mmm yyyy")</x:f>
        <x:v>Jul 2026</x:v>
      </x:c>
    </x:row>
    <x:row r="3123" ht="21" customHeight="1">
      <x:c r="A3123" s="10" t="n">
        <x:v>46213</x:v>
      </x:c>
      <x:c r="B3123" s="1" t="n">
        <x:v>13.5</x:v>
      </x:c>
      <x:c r="C3123" s="1" t="n">
        <x:v>6</x:v>
      </x:c>
      <x:c r="D3123" s="12" t="n">
        <x:v>1.2710833333333333</x:v>
      </x:c>
      <x:c r="E3123" s="12" t="n">
        <x:v>0.4600833333333333</x:v>
      </x:c>
      <x:c r="F3123" s="12" t="n">
        <x:v>0</x:v>
      </x:c>
      <x:c r="G3123" s="12" t="n">
        <x:v>0.8150000000000001</x:v>
      </x:c>
      <x:c r="H3123" s="1" t="n">
        <x:f>'Historical prices'!E3123</x:f>
        <x:v>1.05</x:v>
      </x:c>
      <x:c r="I3123" s="6" t="n">
        <x:f>'Historical prices'!D3123</x:f>
        <x:v>0.1744</x:v>
      </x:c>
      <x:c r="J3123" s="13" t="n">
        <x:f>D3123*I3123*H3123</x:f>
        <x:v>0.23276078</x:v>
      </x:c>
      <x:c r="K3123" s="13" t="n">
        <x:f>E3123*I3123*H3123</x:f>
        <x:v>0.08425045999999999</x:v>
      </x:c>
      <x:c r="L3123" s="1" t="str">
        <x:f>TEXT(A3123,"mmm yyyy")</x:f>
        <x:v>Jul 2026</x:v>
      </x:c>
    </x:row>
    <x:row r="3124" ht="21" customHeight="1">
      <x:c r="A3124" s="10" t="n">
        <x:v>46213</x:v>
      </x:c>
      <x:c r="B3124" s="1" t="n">
        <x:v>14</x:v>
      </x:c>
      <x:c r="C3124" s="1" t="n">
        <x:v>6</x:v>
      </x:c>
      <x:c r="D3124" s="12" t="n">
        <x:v>4.622583333333333</x:v>
      </x:c>
      <x:c r="E3124" s="12" t="n">
        <x:v>0.6785833333333333</x:v>
      </x:c>
      <x:c r="F3124" s="12" t="n">
        <x:v>0</x:v>
      </x:c>
      <x:c r="G3124" s="12" t="n">
        <x:v>3.946</x:v>
      </x:c>
      <x:c r="H3124" s="1" t="n">
        <x:f>'Historical prices'!E3124</x:f>
        <x:v>1.05</x:v>
      </x:c>
      <x:c r="I3124" s="6" t="n">
        <x:f>'Historical prices'!D3124</x:f>
        <x:v>0.1724</x:v>
      </x:c>
      <x:c r="J3124" s="13" t="n">
        <x:f>D3124*I3124*H3124</x:f>
        <x:v>0.836780035</x:v>
      </x:c>
      <x:c r="K3124" s="13" t="n">
        <x:f>E3124*I3124*H3124</x:f>
        <x:v>0.122837155</x:v>
      </x:c>
      <x:c r="L3124" s="1" t="str">
        <x:f>TEXT(A3124,"mmm yyyy")</x:f>
        <x:v>Jul 2026</x:v>
      </x:c>
    </x:row>
    <x:row r="3125" ht="21" customHeight="1">
      <x:c r="A3125" s="10" t="n">
        <x:v>46213</x:v>
      </x:c>
      <x:c r="B3125" s="1" t="n">
        <x:v>14.5</x:v>
      </x:c>
      <x:c r="C3125" s="1" t="n">
        <x:v>6</x:v>
      </x:c>
      <x:c r="D3125" s="12" t="n">
        <x:v>5.502</x:v>
      </x:c>
      <x:c r="E3125" s="12" t="n">
        <x:v>0.8140000000000001</x:v>
      </x:c>
      <x:c r="F3125" s="12" t="n">
        <x:v>0</x:v>
      </x:c>
      <x:c r="G3125" s="12" t="n">
        <x:v>4.688</x:v>
      </x:c>
      <x:c r="H3125" s="1" t="n">
        <x:f>'Historical prices'!E3125</x:f>
        <x:v>1.05</x:v>
      </x:c>
      <x:c r="I3125" s="6" t="n">
        <x:f>'Historical prices'!D3125</x:f>
        <x:v>0.1724</x:v>
      </x:c>
      <x:c r="J3125" s="13" t="n">
        <x:f>D3125*I3125*H3125</x:f>
        <x:v>0.9959720400000001</x:v>
      </x:c>
      <x:c r="K3125" s="13" t="n">
        <x:f>E3125*I3125*H3125</x:f>
        <x:v>0.14735028</x:v>
      </x:c>
      <x:c r="L3125" s="1" t="str">
        <x:f>TEXT(A3125,"mmm yyyy")</x:f>
        <x:v>Jul 2026</x:v>
      </x:c>
    </x:row>
    <x:row r="3126" ht="21" customHeight="1">
      <x:c r="A3126" s="10" t="n">
        <x:v>46213</x:v>
      </x:c>
      <x:c r="B3126" s="1" t="n">
        <x:v>15</x:v>
      </x:c>
      <x:c r="C3126" s="1" t="n">
        <x:v>6</x:v>
      </x:c>
      <x:c r="D3126" s="12" t="n">
        <x:v>5.534</x:v>
      </x:c>
      <x:c r="E3126" s="12" t="n">
        <x:v>0.748</x:v>
      </x:c>
      <x:c r="F3126" s="12" t="n">
        <x:v>0</x:v>
      </x:c>
      <x:c r="G3126" s="12" t="n">
        <x:v>4.786</x:v>
      </x:c>
      <x:c r="H3126" s="1" t="n">
        <x:f>'Historical prices'!E3126</x:f>
        <x:v>1.05</x:v>
      </x:c>
      <x:c r="I3126" s="6" t="n">
        <x:f>'Historical prices'!D3126</x:f>
        <x:v>0.1724</x:v>
      </x:c>
      <x:c r="J3126" s="13" t="n">
        <x:f>D3126*I3126*H3126</x:f>
        <x:v>1.00176468</x:v>
      </x:c>
      <x:c r="K3126" s="13" t="n">
        <x:f>E3126*I3126*H3126</x:f>
        <x:v>0.13540296</x:v>
      </x:c>
      <x:c r="L3126" s="1" t="str">
        <x:f>TEXT(A3126,"mmm yyyy")</x:f>
        <x:v>Jul 2026</x:v>
      </x:c>
    </x:row>
    <x:row r="3127" ht="21" customHeight="1">
      <x:c r="A3127" s="10" t="n">
        <x:v>46213</x:v>
      </x:c>
      <x:c r="B3127" s="1" t="n">
        <x:v>15.5</x:v>
      </x:c>
      <x:c r="C3127" s="1" t="n">
        <x:v>6</x:v>
      </x:c>
      <x:c r="D3127" s="12" t="n">
        <x:v>1.3150833333333332</x:v>
      </x:c>
      <x:c r="E3127" s="12" t="n">
        <x:v>0.5450833333333333</x:v>
      </x:c>
      <x:c r="F3127" s="12" t="n">
        <x:v>0</x:v>
      </x:c>
      <x:c r="G3127" s="12" t="n">
        <x:v>0.78</x:v>
      </x:c>
      <x:c r="H3127" s="1" t="n">
        <x:f>'Historical prices'!E3127</x:f>
        <x:v>1.05</x:v>
      </x:c>
      <x:c r="I3127" s="6" t="n">
        <x:f>'Historical prices'!D3127</x:f>
        <x:v>0.1745</x:v>
      </x:c>
      <x:c r="J3127" s="13" t="n">
        <x:f>D3127*I3127*H3127</x:f>
        <x:v>0.24095614374999996</x:v>
      </x:c>
      <x:c r="K3127" s="13" t="n">
        <x:f>E3127*I3127*H3127</x:f>
        <x:v>0.09987289374999998</x:v>
      </x:c>
      <x:c r="L3127" s="1" t="str">
        <x:f>TEXT(A3127,"mmm yyyy")</x:f>
        <x:v>Jul 2026</x:v>
      </x:c>
    </x:row>
    <x:row r="3128" ht="21" customHeight="1">
      <x:c r="A3128" s="10" t="n">
        <x:v>46213</x:v>
      </x:c>
      <x:c r="B3128" s="1" t="n">
        <x:v>16</x:v>
      </x:c>
      <x:c r="C3128" s="1" t="n">
        <x:v>6</x:v>
      </x:c>
      <x:c r="D3128" s="12" t="n">
        <x:v>0.07716666666666666</x:v>
      </x:c>
      <x:c r="E3128" s="12" t="n">
        <x:v>0.5165</x:v>
      </x:c>
      <x:c r="F3128" s="12" t="n">
        <x:v>0.4379166666666666</x:v>
      </x:c>
      <x:c r="G3128" s="12" t="n">
        <x:v>0</x:v>
      </x:c>
      <x:c r="H3128" s="1" t="n">
        <x:f>'Historical prices'!E3128</x:f>
        <x:v>1.05</x:v>
      </x:c>
      <x:c r="I3128" s="6" t="n">
        <x:f>'Historical prices'!D3128</x:f>
        <x:v>0.31170000000000003</x:v>
      </x:c>
      <x:c r="J3128" s="13" t="n">
        <x:f>D3128*I3128*H3128</x:f>
        <x:v>0.0252554925</x:v>
      </x:c>
      <x:c r="K3128" s="13" t="n">
        <x:f>E3128*I3128*H3128</x:f>
        <x:v>0.1690427025</x:v>
      </x:c>
      <x:c r="L3128" s="1" t="str">
        <x:f>TEXT(A3128,"mmm yyyy")</x:f>
        <x:v>Jul 2026</x:v>
      </x:c>
    </x:row>
    <x:row r="3129" ht="21" customHeight="1">
      <x:c r="A3129" s="10" t="n">
        <x:v>46213</x:v>
      </x:c>
      <x:c r="B3129" s="1" t="n">
        <x:v>16.5</x:v>
      </x:c>
      <x:c r="C3129" s="1" t="n">
        <x:v>6</x:v>
      </x:c>
      <x:c r="D3129" s="12" t="n">
        <x:v>0</x:v>
      </x:c>
      <x:c r="E3129" s="12" t="n">
        <x:v>0.5516666666666666</x:v>
      </x:c>
      <x:c r="F3129" s="12" t="n">
        <x:v>0.5515833333333333</x:v>
      </x:c>
      <x:c r="G3129" s="12" t="n">
        <x:v>0</x:v>
      </x:c>
      <x:c r="H3129" s="1" t="n">
        <x:f>'Historical prices'!E3129</x:f>
        <x:v>1.05</x:v>
      </x:c>
      <x:c r="I3129" s="6" t="n">
        <x:f>'Historical prices'!D3129</x:f>
        <x:v>0.31420000000000003</x:v>
      </x:c>
      <x:c r="J3129" s="13" t="n">
        <x:f>D3129*I3129*H3129</x:f>
        <x:v>0</x:v>
      </x:c>
      <x:c r="K3129" s="13" t="n">
        <x:f>E3129*I3129*H3129</x:f>
        <x:v>0.18200035</x:v>
      </x:c>
      <x:c r="L3129" s="1" t="str">
        <x:f>TEXT(A3129,"mmm yyyy")</x:f>
        <x:v>Jul 2026</x:v>
      </x:c>
    </x:row>
    <x:row r="3130" ht="21" customHeight="1">
      <x:c r="A3130" s="10" t="n">
        <x:v>46213</x:v>
      </x:c>
      <x:c r="B3130" s="1" t="n">
        <x:v>17</x:v>
      </x:c>
      <x:c r="C3130" s="1" t="n">
        <x:v>6</x:v>
      </x:c>
      <x:c r="D3130" s="12" t="n">
        <x:v>0</x:v>
      </x:c>
      <x:c r="E3130" s="12" t="n">
        <x:v>0.5190833333333333</x:v>
      </x:c>
      <x:c r="F3130" s="12" t="n">
        <x:v>0.5169166666666667</x:v>
      </x:c>
      <x:c r="G3130" s="12" t="n">
        <x:v>0</x:v>
      </x:c>
      <x:c r="H3130" s="1" t="n">
        <x:f>'Historical prices'!E3130</x:f>
        <x:v>1.05</x:v>
      </x:c>
      <x:c r="I3130" s="6" t="n">
        <x:f>'Historical prices'!D3130</x:f>
        <x:v>0.3222</x:v>
      </x:c>
      <x:c r="J3130" s="13" t="n">
        <x:f>D3130*I3130*H3130</x:f>
        <x:v>0</x:v>
      </x:c>
      <x:c r="K3130" s="13" t="n">
        <x:f>E3130*I3130*H3130</x:f>
        <x:v>0.17561108250000002</x:v>
      </x:c>
      <x:c r="L3130" s="1" t="str">
        <x:f>TEXT(A3130,"mmm yyyy")</x:f>
        <x:v>Jul 2026</x:v>
      </x:c>
    </x:row>
    <x:row r="3131" ht="21" customHeight="1">
      <x:c r="A3131" s="10" t="n">
        <x:v>46213</x:v>
      </x:c>
      <x:c r="B3131" s="1" t="n">
        <x:v>17.5</x:v>
      </x:c>
      <x:c r="C3131" s="1" t="n">
        <x:v>6</x:v>
      </x:c>
      <x:c r="D3131" s="12" t="n">
        <x:v>0</x:v>
      </x:c>
      <x:c r="E3131" s="12" t="n">
        <x:v>0.5179999999999999</x:v>
      </x:c>
      <x:c r="F3131" s="12" t="n">
        <x:v>0.5126666666666666</x:v>
      </x:c>
      <x:c r="G3131" s="12" t="n">
        <x:v>0</x:v>
      </x:c>
      <x:c r="H3131" s="1" t="n">
        <x:f>'Historical prices'!E3131</x:f>
        <x:v>1.05</x:v>
      </x:c>
      <x:c r="I3131" s="6" t="n">
        <x:f>'Historical prices'!D3131</x:f>
        <x:v>0.3281</x:v>
      </x:c>
      <x:c r="J3131" s="13" t="n">
        <x:f>D3131*I3131*H3131</x:f>
        <x:v>0</x:v>
      </x:c>
      <x:c r="K3131" s="13" t="n">
        <x:f>E3131*I3131*H3131</x:f>
        <x:v>0.17845358999999997</x:v>
      </x:c>
      <x:c r="L3131" s="1" t="str">
        <x:f>TEXT(A3131,"mmm yyyy")</x:f>
        <x:v>Jul 2026</x:v>
      </x:c>
    </x:row>
    <x:row r="3132" ht="21" customHeight="1">
      <x:c r="A3132" s="10" t="n">
        <x:v>46213</x:v>
      </x:c>
      <x:c r="B3132" s="1" t="n">
        <x:v>18</x:v>
      </x:c>
      <x:c r="C3132" s="1" t="n">
        <x:v>6</x:v>
      </x:c>
      <x:c r="D3132" s="12" t="n">
        <x:v>0</x:v>
      </x:c>
      <x:c r="E3132" s="12" t="n">
        <x:v>0.5115</x:v>
      </x:c>
      <x:c r="F3132" s="12" t="n">
        <x:v>0.5115</x:v>
      </x:c>
      <x:c r="G3132" s="12" t="n">
        <x:v>0</x:v>
      </x:c>
      <x:c r="H3132" s="1" t="n">
        <x:f>'Historical prices'!E3132</x:f>
        <x:v>1.05</x:v>
      </x:c>
      <x:c r="I3132" s="6" t="n">
        <x:f>'Historical prices'!D3132</x:f>
        <x:v>0.3554</x:v>
      </x:c>
      <x:c r="J3132" s="13" t="n">
        <x:f>D3132*I3132*H3132</x:f>
        <x:v>0</x:v>
      </x:c>
      <x:c r="K3132" s="13" t="n">
        <x:f>E3132*I3132*H3132</x:f>
        <x:v>0.19087645499999997</x:v>
      </x:c>
      <x:c r="L3132" s="1" t="str">
        <x:f>TEXT(A3132,"mmm yyyy")</x:f>
        <x:v>Jul 2026</x:v>
      </x:c>
    </x:row>
    <x:row r="3133" ht="21" customHeight="1">
      <x:c r="A3133" s="10" t="n">
        <x:v>46213</x:v>
      </x:c>
      <x:c r="B3133" s="1" t="n">
        <x:v>18.5</x:v>
      </x:c>
      <x:c r="C3133" s="1" t="n">
        <x:v>6</x:v>
      </x:c>
      <x:c r="D3133" s="12" t="n">
        <x:v>0</x:v>
      </x:c>
      <x:c r="E3133" s="12" t="n">
        <x:v>1.5980833333333333</x:v>
      </x:c>
      <x:c r="F3133" s="12" t="n">
        <x:v>1.5976666666666668</x:v>
      </x:c>
      <x:c r="G3133" s="12" t="n">
        <x:v>0</x:v>
      </x:c>
      <x:c r="H3133" s="1" t="n">
        <x:f>'Historical prices'!E3133</x:f>
        <x:v>1.05</x:v>
      </x:c>
      <x:c r="I3133" s="6" t="n">
        <x:f>'Historical prices'!D3133</x:f>
        <x:v>0.3712</x:v>
      </x:c>
      <x:c r="J3133" s="13" t="n">
        <x:f>D3133*I3133*H3133</x:f>
        <x:v>0</x:v>
      </x:c>
      <x:c r="K3133" s="13" t="n">
        <x:f>E3133*I3133*H3133</x:f>
        <x:v>0.6228689599999999</x:v>
      </x:c>
      <x:c r="L3133" s="1" t="str">
        <x:f>TEXT(A3133,"mmm yyyy")</x:f>
        <x:v>Jul 2026</x:v>
      </x:c>
    </x:row>
    <x:row r="3134" ht="21" customHeight="1">
      <x:c r="A3134" s="10" t="n">
        <x:v>46213</x:v>
      </x:c>
      <x:c r="B3134" s="1" t="n">
        <x:v>19</x:v>
      </x:c>
      <x:c r="C3134" s="1" t="n">
        <x:v>6</x:v>
      </x:c>
      <x:c r="D3134" s="12" t="n">
        <x:v>0</x:v>
      </x:c>
      <x:c r="E3134" s="12" t="n">
        <x:v>0.6604999999999999</x:v>
      </x:c>
      <x:c r="F3134" s="12" t="n">
        <x:v>0.6604166666666665</x:v>
      </x:c>
      <x:c r="G3134" s="12" t="n">
        <x:v>0</x:v>
      </x:c>
      <x:c r="H3134" s="1" t="n">
        <x:f>'Historical prices'!E3134</x:f>
        <x:v>1.05</x:v>
      </x:c>
      <x:c r="I3134" s="6" t="n">
        <x:f>'Historical prices'!D3134</x:f>
        <x:v>0.27</x:v>
      </x:c>
      <x:c r="J3134" s="13" t="n">
        <x:f>D3134*I3134*H3134</x:f>
        <x:v>0</x:v>
      </x:c>
      <x:c r="K3134" s="13" t="n">
        <x:f>E3134*I3134*H3134</x:f>
        <x:v>0.18725174999999997</x:v>
      </x:c>
      <x:c r="L3134" s="1" t="str">
        <x:f>TEXT(A3134,"mmm yyyy")</x:f>
        <x:v>Jul 2026</x:v>
      </x:c>
    </x:row>
    <x:row r="3135" ht="21" customHeight="1">
      <x:c r="A3135" s="10" t="n">
        <x:v>46213</x:v>
      </x:c>
      <x:c r="B3135" s="1" t="n">
        <x:v>19.5</x:v>
      </x:c>
      <x:c r="C3135" s="1" t="n">
        <x:v>6</x:v>
      </x:c>
      <x:c r="D3135" s="12" t="n">
        <x:v>0</x:v>
      </x:c>
      <x:c r="E3135" s="12" t="n">
        <x:v>0.7174166666666666</x:v>
      </x:c>
      <x:c r="F3135" s="12" t="n">
        <x:v>0.7168333333333332</x:v>
      </x:c>
      <x:c r="G3135" s="12" t="n">
        <x:v>0</x:v>
      </x:c>
      <x:c r="H3135" s="1" t="n">
        <x:f>'Historical prices'!E3135</x:f>
        <x:v>1.05</x:v>
      </x:c>
      <x:c r="I3135" s="6" t="n">
        <x:f>'Historical prices'!D3135</x:f>
        <x:v>0.27449999999999997</x:v>
      </x:c>
      <x:c r="J3135" s="13" t="n">
        <x:f>D3135*I3135*H3135</x:f>
        <x:v>0</x:v>
      </x:c>
      <x:c r="K3135" s="13" t="n">
        <x:f>E3135*I3135*H3135</x:f>
        <x:v>0.20677741874999997</x:v>
      </x:c>
      <x:c r="L3135" s="1" t="str">
        <x:f>TEXT(A3135,"mmm yyyy")</x:f>
        <x:v>Jul 2026</x:v>
      </x:c>
    </x:row>
    <x:row r="3136" ht="21" customHeight="1">
      <x:c r="A3136" s="10" t="n">
        <x:v>46213</x:v>
      </x:c>
      <x:c r="B3136" s="1" t="n">
        <x:v>20</x:v>
      </x:c>
      <x:c r="C3136" s="1" t="n">
        <x:v>6</x:v>
      </x:c>
      <x:c r="D3136" s="12" t="n">
        <x:v>0</x:v>
      </x:c>
      <x:c r="E3136" s="12" t="n">
        <x:v>0.6273333333333333</x:v>
      </x:c>
      <x:c r="F3136" s="12" t="n">
        <x:v>0.62725</x:v>
      </x:c>
      <x:c r="G3136" s="12" t="n">
        <x:v>0</x:v>
      </x:c>
      <x:c r="H3136" s="1" t="n">
        <x:f>'Historical prices'!E3136</x:f>
        <x:v>1.05</x:v>
      </x:c>
      <x:c r="I3136" s="6" t="n">
        <x:f>'Historical prices'!D3136</x:f>
        <x:v>0.2808</x:v>
      </x:c>
      <x:c r="J3136" s="13" t="n">
        <x:f>D3136*I3136*H3136</x:f>
        <x:v>0</x:v>
      </x:c>
      <x:c r="K3136" s="13" t="n">
        <x:f>E3136*I3136*H3136</x:f>
        <x:v>0.18496295999999998</x:v>
      </x:c>
      <x:c r="L3136" s="1" t="str">
        <x:f>TEXT(A3136,"mmm yyyy")</x:f>
        <x:v>Jul 2026</x:v>
      </x:c>
    </x:row>
    <x:row r="3137" ht="21" customHeight="1">
      <x:c r="A3137" s="10" t="n">
        <x:v>46213</x:v>
      </x:c>
      <x:c r="B3137" s="1" t="n">
        <x:v>20.5</x:v>
      </x:c>
      <x:c r="C3137" s="1" t="n">
        <x:v>6</x:v>
      </x:c>
      <x:c r="D3137" s="12" t="n">
        <x:v>0</x:v>
      </x:c>
      <x:c r="E3137" s="12" t="n">
        <x:v>0.6294166666666666</x:v>
      </x:c>
      <x:c r="F3137" s="12" t="n">
        <x:v>0.62925</x:v>
      </x:c>
      <x:c r="G3137" s="12" t="n">
        <x:v>0</x:v>
      </x:c>
      <x:c r="H3137" s="1" t="n">
        <x:f>'Historical prices'!E3137</x:f>
        <x:v>1.05</x:v>
      </x:c>
      <x:c r="I3137" s="6" t="n">
        <x:f>'Historical prices'!D3137</x:f>
        <x:v>0.28059999999999996</x:v>
      </x:c>
      <x:c r="J3137" s="13" t="n">
        <x:f>D3137*I3137*H3137</x:f>
        <x:v>0</x:v>
      </x:c>
      <x:c r="K3137" s="13" t="n">
        <x:f>E3137*I3137*H3137</x:f>
        <x:v>0.18544503249999997</x:v>
      </x:c>
      <x:c r="L3137" s="1" t="str">
        <x:f>TEXT(A3137,"mmm yyyy")</x:f>
        <x:v>Jul 2026</x:v>
      </x:c>
    </x:row>
    <x:row r="3138" ht="21" customHeight="1">
      <x:c r="A3138" s="10" t="n">
        <x:v>46213</x:v>
      </x:c>
      <x:c r="B3138" s="1" t="n">
        <x:v>21</x:v>
      </x:c>
      <x:c r="C3138" s="1" t="n">
        <x:v>6</x:v>
      </x:c>
      <x:c r="D3138" s="12" t="n">
        <x:v>0</x:v>
      </x:c>
      <x:c r="E3138" s="12" t="n">
        <x:v>0.53375</x:v>
      </x:c>
      <x:c r="F3138" s="12" t="n">
        <x:v>0.5335833333333333</x:v>
      </x:c>
      <x:c r="G3138" s="12" t="n">
        <x:v>0</x:v>
      </x:c>
      <x:c r="H3138" s="1" t="n">
        <x:f>'Historical prices'!E3138</x:f>
        <x:v>1.05</x:v>
      </x:c>
      <x:c r="I3138" s="6" t="n">
        <x:f>'Historical prices'!D3138</x:f>
        <x:v>0.2738</x:v>
      </x:c>
      <x:c r="J3138" s="13" t="n">
        <x:f>D3138*I3138*H3138</x:f>
        <x:v>0</x:v>
      </x:c>
      <x:c r="K3138" s="13" t="n">
        <x:f>E3138*I3138*H3138</x:f>
        <x:v>0.1534477875</x:v>
      </x:c>
      <x:c r="L3138" s="1" t="str">
        <x:f>TEXT(A3138,"mmm yyyy")</x:f>
        <x:v>Jul 2026</x:v>
      </x:c>
    </x:row>
    <x:row r="3139" ht="21" customHeight="1">
      <x:c r="A3139" s="10" t="n">
        <x:v>46213</x:v>
      </x:c>
      <x:c r="B3139" s="1" t="n">
        <x:v>21.5</x:v>
      </x:c>
      <x:c r="C3139" s="1" t="n">
        <x:v>6</x:v>
      </x:c>
      <x:c r="D3139" s="12" t="n">
        <x:v>0</x:v>
      </x:c>
      <x:c r="E3139" s="12" t="n">
        <x:v>0.8791666666666667</x:v>
      </x:c>
      <x:c r="F3139" s="12" t="n">
        <x:v>0.8788333333333334</x:v>
      </x:c>
      <x:c r="G3139" s="12" t="n">
        <x:v>0</x:v>
      </x:c>
      <x:c r="H3139" s="1" t="n">
        <x:f>'Historical prices'!E3139</x:f>
        <x:v>1.05</x:v>
      </x:c>
      <x:c r="I3139" s="6" t="n">
        <x:f>'Historical prices'!D3139</x:f>
        <x:v>0.2717</x:v>
      </x:c>
      <x:c r="J3139" s="13" t="n">
        <x:f>D3139*I3139*H3139</x:f>
        <x:v>0</x:v>
      </x:c>
      <x:c r="K3139" s="13" t="n">
        <x:f>E3139*I3139*H3139</x:f>
        <x:v>0.2508130625</x:v>
      </x:c>
      <x:c r="L3139" s="1" t="str">
        <x:f>TEXT(A3139,"mmm yyyy")</x:f>
        <x:v>Jul 2026</x:v>
      </x:c>
    </x:row>
    <x:row r="3140" ht="21" customHeight="1">
      <x:c r="A3140" s="10" t="n">
        <x:v>46213</x:v>
      </x:c>
      <x:c r="B3140" s="1" t="n">
        <x:v>22</x:v>
      </x:c>
      <x:c r="C3140" s="1" t="n">
        <x:v>6</x:v>
      </x:c>
      <x:c r="D3140" s="12" t="n">
        <x:v>0</x:v>
      </x:c>
      <x:c r="E3140" s="12" t="n">
        <x:v>0.6</x:v>
      </x:c>
      <x:c r="F3140" s="12" t="n">
        <x:v>0.59975</x:v>
      </x:c>
      <x:c r="G3140" s="12" t="n">
        <x:v>0</x:v>
      </x:c>
      <x:c r="H3140" s="1" t="n">
        <x:f>'Historical prices'!E3140</x:f>
        <x:v>1.05</x:v>
      </x:c>
      <x:c r="I3140" s="6" t="n">
        <x:f>'Historical prices'!D3140</x:f>
        <x:v>0.263</x:v>
      </x:c>
      <x:c r="J3140" s="13" t="n">
        <x:f>D3140*I3140*H3140</x:f>
        <x:v>0</x:v>
      </x:c>
      <x:c r="K3140" s="13" t="n">
        <x:f>E3140*I3140*H3140</x:f>
        <x:v>0.16569</x:v>
      </x:c>
      <x:c r="L3140" s="1" t="str">
        <x:f>TEXT(A3140,"mmm yyyy")</x:f>
        <x:v>Jul 2026</x:v>
      </x:c>
    </x:row>
    <x:row r="3141" ht="21" customHeight="1">
      <x:c r="A3141" s="10" t="n">
        <x:v>46213</x:v>
      </x:c>
      <x:c r="B3141" s="1" t="n">
        <x:v>22.5</x:v>
      </x:c>
      <x:c r="C3141" s="1" t="n">
        <x:v>6</x:v>
      </x:c>
      <x:c r="D3141" s="12" t="n">
        <x:v>0</x:v>
      </x:c>
      <x:c r="E3141" s="12" t="n">
        <x:v>0.34874999999999995</x:v>
      </x:c>
      <x:c r="F3141" s="12" t="n">
        <x:v>0.3486666666666666</x:v>
      </x:c>
      <x:c r="G3141" s="12" t="n">
        <x:v>0</x:v>
      </x:c>
      <x:c r="H3141" s="1" t="n">
        <x:f>'Historical prices'!E3141</x:f>
        <x:v>1.05</x:v>
      </x:c>
      <x:c r="I3141" s="6" t="n">
        <x:f>'Historical prices'!D3141</x:f>
        <x:v>0.24609999999999999</x:v>
      </x:c>
      <x:c r="J3141" s="13" t="n">
        <x:f>D3141*I3141*H3141</x:f>
        <x:v>0</x:v>
      </x:c>
      <x:c r="K3141" s="13" t="n">
        <x:f>E3141*I3141*H3141</x:f>
        <x:v>0.09011874374999998</x:v>
      </x:c>
      <x:c r="L3141" s="1" t="str">
        <x:f>TEXT(A3141,"mmm yyyy")</x:f>
        <x:v>Jul 2026</x:v>
      </x:c>
    </x:row>
    <x:row r="3142" ht="21" customHeight="1">
      <x:c r="A3142" s="10" t="n">
        <x:v>46213</x:v>
      </x:c>
      <x:c r="B3142" s="1" t="n">
        <x:v>23</x:v>
      </x:c>
      <x:c r="C3142" s="1" t="n">
        <x:v>6</x:v>
      </x:c>
      <x:c r="D3142" s="12" t="n">
        <x:v>0</x:v>
      </x:c>
      <x:c r="E3142" s="12" t="n">
        <x:v>0.3690833333333333</x:v>
      </x:c>
      <x:c r="F3142" s="12" t="n">
        <x:v>0.3685833333333334</x:v>
      </x:c>
      <x:c r="G3142" s="12" t="n">
        <x:v>0</x:v>
      </x:c>
      <x:c r="H3142" s="1" t="n">
        <x:f>'Historical prices'!E3142</x:f>
        <x:v>1.05</x:v>
      </x:c>
      <x:c r="I3142" s="6" t="n">
        <x:f>'Historical prices'!D3142</x:f>
        <x:v>0.2262</x:v>
      </x:c>
      <x:c r="J3142" s="13" t="n">
        <x:f>D3142*I3142*H3142</x:f>
        <x:v>0</x:v>
      </x:c>
      <x:c r="K3142" s="13" t="n">
        <x:f>E3142*I3142*H3142</x:f>
        <x:v>0.0876609825</x:v>
      </x:c>
      <x:c r="L3142" s="1" t="str">
        <x:f>TEXT(A3142,"mmm yyyy")</x:f>
        <x:v>Jul 2026</x:v>
      </x:c>
    </x:row>
    <x:row r="3143" ht="21" customHeight="1">
      <x:c r="A3143" s="10" t="n">
        <x:v>46213</x:v>
      </x:c>
      <x:c r="B3143" s="1" t="n">
        <x:v>23.5</x:v>
      </x:c>
      <x:c r="C3143" s="1" t="n">
        <x:v>6</x:v>
      </x:c>
      <x:c r="D3143" s="12" t="n">
        <x:v>0</x:v>
      </x:c>
      <x:c r="E3143" s="12" t="n">
        <x:v>0.386</x:v>
      </x:c>
      <x:c r="F3143" s="12" t="n">
        <x:v>0.38575000000000004</x:v>
      </x:c>
      <x:c r="G3143" s="12" t="n">
        <x:v>0</x:v>
      </x:c>
      <x:c r="H3143" s="1" t="n">
        <x:f>'Historical prices'!E3143</x:f>
        <x:v>1.05</x:v>
      </x:c>
      <x:c r="I3143" s="6" t="n">
        <x:f>'Historical prices'!D3143</x:f>
        <x:v>0.2354</x:v>
      </x:c>
      <x:c r="J3143" s="13" t="n">
        <x:f>D3143*I3143*H3143</x:f>
        <x:v>0</x:v>
      </x:c>
      <x:c r="K3143" s="13" t="n">
        <x:f>E3143*I3143*H3143</x:f>
        <x:v>0.09540762</x:v>
      </x:c>
      <x:c r="L3143" s="1" t="str">
        <x:f>TEXT(A3143,"mmm yyyy")</x:f>
        <x:v>Jul 2026</x:v>
      </x:c>
    </x:row>
    <x:row r="3144" ht="21" customHeight="1">
      <x:c r="A3144" s="10" t="n">
        <x:v>46214</x:v>
      </x:c>
      <x:c r="B3144" s="1" t="n">
        <x:v>0</x:v>
      </x:c>
      <x:c r="C3144" s="1" t="n">
        <x:v>6</x:v>
      </x:c>
      <x:c r="D3144" s="12" t="n">
        <x:v>0.07866666666666666</x:v>
      </x:c>
      <x:c r="E3144" s="12" t="n">
        <x:v>0.28941666666666666</x:v>
      </x:c>
      <x:c r="F3144" s="12" t="n">
        <x:v>0.21074999999999997</x:v>
      </x:c>
      <x:c r="G3144" s="12" t="n">
        <x:v>0</x:v>
      </x:c>
      <x:c r="H3144" s="1" t="n">
        <x:f>'Historical prices'!E3144</x:f>
        <x:v>1.05</x:v>
      </x:c>
      <x:c r="I3144" s="6" t="n">
        <x:f>'Historical prices'!D3144</x:f>
        <x:v>0.2379</x:v>
      </x:c>
      <x:c r="J3144" s="13" t="n">
        <x:f>D3144*I3144*H3144</x:f>
        <x:v>0.01965054</x:v>
      </x:c>
      <x:c r="K3144" s="13" t="n">
        <x:f>E3144*I3144*H3144</x:f>
        <x:v>0.07229483625000001</x:v>
      </x:c>
      <x:c r="L3144" s="1" t="str">
        <x:f>TEXT(A3144,"mmm yyyy")</x:f>
        <x:v>Jul 2026</x:v>
      </x:c>
    </x:row>
    <x:row r="3145" ht="21" customHeight="1">
      <x:c r="A3145" s="10" t="n">
        <x:v>46214</x:v>
      </x:c>
      <x:c r="B3145" s="1" t="n">
        <x:v>0.5</x:v>
      </x:c>
      <x:c r="C3145" s="1" t="n">
        <x:v>6</x:v>
      </x:c>
      <x:c r="D3145" s="12" t="n">
        <x:v>0.01675</x:v>
      </x:c>
      <x:c r="E3145" s="12" t="n">
        <x:v>0.3935833333333334</x:v>
      </x:c>
      <x:c r="F3145" s="12" t="n">
        <x:v>0.3766666666666667</x:v>
      </x:c>
      <x:c r="G3145" s="12" t="n">
        <x:v>0</x:v>
      </x:c>
      <x:c r="H3145" s="1" t="n">
        <x:f>'Historical prices'!E3145</x:f>
        <x:v>1.05</x:v>
      </x:c>
      <x:c r="I3145" s="6" t="n">
        <x:f>'Historical prices'!D3145</x:f>
        <x:v>0.2348</x:v>
      </x:c>
      <x:c r="J3145" s="13" t="n">
        <x:f>D3145*I3145*H3145</x:f>
        <x:v>0.004129545000000001</x:v>
      </x:c>
      <x:c r="K3145" s="13" t="n">
        <x:f>E3145*I3145*H3145</x:f>
        <x:v>0.09703403500000003</x:v>
      </x:c>
      <x:c r="L3145" s="1" t="str">
        <x:f>TEXT(A3145,"mmm yyyy")</x:f>
        <x:v>Jul 2026</x:v>
      </x:c>
    </x:row>
    <x:row r="3146" ht="21" customHeight="1">
      <x:c r="A3146" s="10" t="n">
        <x:v>46214</x:v>
      </x:c>
      <x:c r="B3146" s="1" t="n">
        <x:v>1</x:v>
      </x:c>
      <x:c r="C3146" s="1" t="n">
        <x:v>6</x:v>
      </x:c>
      <x:c r="D3146" s="12" t="n">
        <x:v>0</x:v>
      </x:c>
      <x:c r="E3146" s="12" t="n">
        <x:v>0.421</x:v>
      </x:c>
      <x:c r="F3146" s="12" t="n">
        <x:v>0.42075</x:v>
      </x:c>
      <x:c r="G3146" s="12" t="n">
        <x:v>0</x:v>
      </x:c>
      <x:c r="H3146" s="1" t="n">
        <x:f>'Historical prices'!E3146</x:f>
        <x:v>1.05</x:v>
      </x:c>
      <x:c r="I3146" s="6" t="n">
        <x:f>'Historical prices'!D3146</x:f>
        <x:v>0.2279</x:v>
      </x:c>
      <x:c r="J3146" s="13" t="n">
        <x:f>D3146*I3146*H3146</x:f>
        <x:v>0</x:v>
      </x:c>
      <x:c r="K3146" s="13" t="n">
        <x:f>E3146*I3146*H3146</x:f>
        <x:v>0.100743195</x:v>
      </x:c>
      <x:c r="L3146" s="1" t="str">
        <x:f>TEXT(A3146,"mmm yyyy")</x:f>
        <x:v>Jul 2026</x:v>
      </x:c>
    </x:row>
    <x:row r="3147" ht="21" customHeight="1">
      <x:c r="A3147" s="10" t="n">
        <x:v>46214</x:v>
      </x:c>
      <x:c r="B3147" s="1" t="n">
        <x:v>1.5</x:v>
      </x:c>
      <x:c r="C3147" s="1" t="n">
        <x:v>6</x:v>
      </x:c>
      <x:c r="D3147" s="12" t="n">
        <x:v>0</x:v>
      </x:c>
      <x:c r="E3147" s="12" t="n">
        <x:v>0.283</x:v>
      </x:c>
      <x:c r="F3147" s="12" t="n">
        <x:v>0.28275</x:v>
      </x:c>
      <x:c r="G3147" s="12" t="n">
        <x:v>0</x:v>
      </x:c>
      <x:c r="H3147" s="1" t="n">
        <x:f>'Historical prices'!E3147</x:f>
        <x:v>1.05</x:v>
      </x:c>
      <x:c r="I3147" s="6" t="n">
        <x:f>'Historical prices'!D3147</x:f>
        <x:v>0.2261</x:v>
      </x:c>
      <x:c r="J3147" s="13" t="n">
        <x:f>D3147*I3147*H3147</x:f>
        <x:v>0</x:v>
      </x:c>
      <x:c r="K3147" s="13" t="n">
        <x:f>E3147*I3147*H3147</x:f>
        <x:v>0.067185615</x:v>
      </x:c>
      <x:c r="L3147" s="1" t="str">
        <x:f>TEXT(A3147,"mmm yyyy")</x:f>
        <x:v>Jul 2026</x:v>
      </x:c>
    </x:row>
    <x:row r="3148" ht="21" customHeight="1">
      <x:c r="A3148" s="10" t="n">
        <x:v>46214</x:v>
      </x:c>
      <x:c r="B3148" s="1" t="n">
        <x:v>2</x:v>
      </x:c>
      <x:c r="C3148" s="1" t="n">
        <x:v>6</x:v>
      </x:c>
      <x:c r="D3148" s="12" t="n">
        <x:v>0</x:v>
      </x:c>
      <x:c r="E3148" s="12" t="n">
        <x:v>0.29991666666666666</x:v>
      </x:c>
      <x:c r="F3148" s="12" t="n">
        <x:v>0.29966666666666664</x:v>
      </x:c>
      <x:c r="G3148" s="12" t="n">
        <x:v>0</x:v>
      </x:c>
      <x:c r="H3148" s="1" t="n">
        <x:f>'Historical prices'!E3148</x:f>
        <x:v>1.05</x:v>
      </x:c>
      <x:c r="I3148" s="6" t="n">
        <x:f>'Historical prices'!D3148</x:f>
        <x:v>0.228</x:v>
      </x:c>
      <x:c r="J3148" s="13" t="n">
        <x:f>D3148*I3148*H3148</x:f>
        <x:v>0</x:v>
      </x:c>
      <x:c r="K3148" s="13" t="n">
        <x:f>E3148*I3148*H3148</x:f>
        <x:v>0.07180005</x:v>
      </x:c>
      <x:c r="L3148" s="1" t="str">
        <x:f>TEXT(A3148,"mmm yyyy")</x:f>
        <x:v>Jul 2026</x:v>
      </x:c>
    </x:row>
    <x:row r="3149" ht="21" customHeight="1">
      <x:c r="A3149" s="10" t="n">
        <x:v>46214</x:v>
      </x:c>
      <x:c r="B3149" s="1" t="n">
        <x:v>2.5</x:v>
      </x:c>
      <x:c r="C3149" s="1" t="n">
        <x:v>6</x:v>
      </x:c>
      <x:c r="D3149" s="12" t="n">
        <x:v>0</x:v>
      </x:c>
      <x:c r="E3149" s="12" t="n">
        <x:v>0.32266666666666666</x:v>
      </x:c>
      <x:c r="F3149" s="12" t="n">
        <x:v>0.32258333333333333</x:v>
      </x:c>
      <x:c r="G3149" s="12" t="n">
        <x:v>0</x:v>
      </x:c>
      <x:c r="H3149" s="1" t="n">
        <x:f>'Historical prices'!E3149</x:f>
        <x:v>1.05</x:v>
      </x:c>
      <x:c r="I3149" s="6" t="n">
        <x:f>'Historical prices'!D3149</x:f>
        <x:v>0.2134</x:v>
      </x:c>
      <x:c r="J3149" s="13" t="n">
        <x:f>D3149*I3149*H3149</x:f>
        <x:v>0</x:v>
      </x:c>
      <x:c r="K3149" s="13" t="n">
        <x:f>E3149*I3149*H3149</x:f>
        <x:v>0.07229992</x:v>
      </x:c>
      <x:c r="L3149" s="1" t="str">
        <x:f>TEXT(A3149,"mmm yyyy")</x:f>
        <x:v>Jul 2026</x:v>
      </x:c>
    </x:row>
    <x:row r="3150" ht="21" customHeight="1">
      <x:c r="A3150" s="10" t="n">
        <x:v>46214</x:v>
      </x:c>
      <x:c r="B3150" s="1" t="n">
        <x:v>3</x:v>
      </x:c>
      <x:c r="C3150" s="1" t="n">
        <x:v>6</x:v>
      </x:c>
      <x:c r="D3150" s="12" t="n">
        <x:v>0</x:v>
      </x:c>
      <x:c r="E3150" s="12" t="n">
        <x:v>0.3110833333333333</x:v>
      </x:c>
      <x:c r="F3150" s="12" t="n">
        <x:v>0.31074999999999997</x:v>
      </x:c>
      <x:c r="G3150" s="12" t="n">
        <x:v>0</x:v>
      </x:c>
      <x:c r="H3150" s="1" t="n">
        <x:f>'Historical prices'!E3150</x:f>
        <x:v>1.05</x:v>
      </x:c>
      <x:c r="I3150" s="6" t="n">
        <x:f>'Historical prices'!D3150</x:f>
        <x:v>0.2039</x:v>
      </x:c>
      <x:c r="J3150" s="13" t="n">
        <x:f>D3150*I3150*H3150</x:f>
        <x:v>0</x:v>
      </x:c>
      <x:c r="K3150" s="13" t="n">
        <x:f>E3150*I3150*H3150</x:f>
        <x:v>0.06660138625</x:v>
      </x:c>
      <x:c r="L3150" s="1" t="str">
        <x:f>TEXT(A3150,"mmm yyyy")</x:f>
        <x:v>Jul 2026</x:v>
      </x:c>
    </x:row>
    <x:row r="3151" ht="21" customHeight="1">
      <x:c r="A3151" s="10" t="n">
        <x:v>46214</x:v>
      </x:c>
      <x:c r="B3151" s="1" t="n">
        <x:v>3.5</x:v>
      </x:c>
      <x:c r="C3151" s="1" t="n">
        <x:v>6</x:v>
      </x:c>
      <x:c r="D3151" s="12" t="n">
        <x:v>0</x:v>
      </x:c>
      <x:c r="E3151" s="12" t="n">
        <x:v>0.29391666666666666</x:v>
      </x:c>
      <x:c r="F3151" s="12" t="n">
        <x:v>0.29366666666666663</x:v>
      </x:c>
      <x:c r="G3151" s="12" t="n">
        <x:v>0</x:v>
      </x:c>
      <x:c r="H3151" s="1" t="n">
        <x:f>'Historical prices'!E3151</x:f>
        <x:v>1.05</x:v>
      </x:c>
      <x:c r="I3151" s="6" t="n">
        <x:f>'Historical prices'!D3151</x:f>
        <x:v>0.2072</x:v>
      </x:c>
      <x:c r="J3151" s="13" t="n">
        <x:f>D3151*I3151*H3151</x:f>
        <x:v>0</x:v>
      </x:c>
      <x:c r="K3151" s="13" t="n">
        <x:f>E3151*I3151*H3151</x:f>
        <x:v>0.06394451</x:v>
      </x:c>
      <x:c r="L3151" s="1" t="str">
        <x:f>TEXT(A3151,"mmm yyyy")</x:f>
        <x:v>Jul 2026</x:v>
      </x:c>
    </x:row>
    <x:row r="3152" ht="21" customHeight="1">
      <x:c r="A3152" s="10" t="n">
        <x:v>46214</x:v>
      </x:c>
      <x:c r="B3152" s="1" t="n">
        <x:v>4</x:v>
      </x:c>
      <x:c r="C3152" s="1" t="n">
        <x:v>6</x:v>
      </x:c>
      <x:c r="D3152" s="12" t="n">
        <x:v>0</x:v>
      </x:c>
      <x:c r="E3152" s="12" t="n">
        <x:v>0.392</x:v>
      </x:c>
      <x:c r="F3152" s="12" t="n">
        <x:v>0.3919166666666667</x:v>
      </x:c>
      <x:c r="G3152" s="12" t="n">
        <x:v>0</x:v>
      </x:c>
      <x:c r="H3152" s="1" t="n">
        <x:f>'Historical prices'!E3152</x:f>
        <x:v>1.05</x:v>
      </x:c>
      <x:c r="I3152" s="6" t="n">
        <x:f>'Historical prices'!D3152</x:f>
        <x:v>0.2065</x:v>
      </x:c>
      <x:c r="J3152" s="13" t="n">
        <x:f>D3152*I3152*H3152</x:f>
        <x:v>0</x:v>
      </x:c>
      <x:c r="K3152" s="13" t="n">
        <x:f>E3152*I3152*H3152</x:f>
        <x:v>0.0849954</x:v>
      </x:c>
      <x:c r="L3152" s="1" t="str">
        <x:f>TEXT(A3152,"mmm yyyy")</x:f>
        <x:v>Jul 2026</x:v>
      </x:c>
    </x:row>
    <x:row r="3153" ht="21" customHeight="1">
      <x:c r="A3153" s="10" t="n">
        <x:v>46214</x:v>
      </x:c>
      <x:c r="B3153" s="1" t="n">
        <x:v>4.5</x:v>
      </x:c>
      <x:c r="C3153" s="1" t="n">
        <x:v>6</x:v>
      </x:c>
      <x:c r="D3153" s="12" t="n">
        <x:v>0</x:v>
      </x:c>
      <x:c r="E3153" s="12" t="n">
        <x:v>0.332</x:v>
      </x:c>
      <x:c r="F3153" s="12" t="n">
        <x:v>0.33175</x:v>
      </x:c>
      <x:c r="G3153" s="12" t="n">
        <x:v>0</x:v>
      </x:c>
      <x:c r="H3153" s="1" t="n">
        <x:f>'Historical prices'!E3153</x:f>
        <x:v>1.05</x:v>
      </x:c>
      <x:c r="I3153" s="6" t="n">
        <x:f>'Historical prices'!D3153</x:f>
        <x:v>0.1985</x:v>
      </x:c>
      <x:c r="J3153" s="13" t="n">
        <x:f>D3153*I3153*H3153</x:f>
        <x:v>0</x:v>
      </x:c>
      <x:c r="K3153" s="13" t="n">
        <x:f>E3153*I3153*H3153</x:f>
        <x:v>0.06919710000000001</x:v>
      </x:c>
      <x:c r="L3153" s="1" t="str">
        <x:f>TEXT(A3153,"mmm yyyy")</x:f>
        <x:v>Jul 2026</x:v>
      </x:c>
    </x:row>
    <x:row r="3154" ht="21" customHeight="1">
      <x:c r="A3154" s="10" t="n">
        <x:v>46214</x:v>
      </x:c>
      <x:c r="B3154" s="1" t="n">
        <x:v>5</x:v>
      </x:c>
      <x:c r="C3154" s="1" t="n">
        <x:v>6</x:v>
      </x:c>
      <x:c r="D3154" s="12" t="n">
        <x:v>0</x:v>
      </x:c>
      <x:c r="E3154" s="12" t="n">
        <x:v>0.35175</x:v>
      </x:c>
      <x:c r="F3154" s="12" t="n">
        <x:v>0.35150000000000003</x:v>
      </x:c>
      <x:c r="G3154" s="12" t="n">
        <x:v>0</x:v>
      </x:c>
      <x:c r="H3154" s="1" t="n">
        <x:f>'Historical prices'!E3154</x:f>
        <x:v>1.05</x:v>
      </x:c>
      <x:c r="I3154" s="6" t="n">
        <x:f>'Historical prices'!D3154</x:f>
        <x:v>0.201</x:v>
      </x:c>
      <x:c r="J3154" s="13" t="n">
        <x:f>D3154*I3154*H3154</x:f>
        <x:v>0</x:v>
      </x:c>
      <x:c r="K3154" s="13" t="n">
        <x:f>E3154*I3154*H3154</x:f>
        <x:v>0.07423683750000001</x:v>
      </x:c>
      <x:c r="L3154" s="1" t="str">
        <x:f>TEXT(A3154,"mmm yyyy")</x:f>
        <x:v>Jul 2026</x:v>
      </x:c>
    </x:row>
    <x:row r="3155" ht="21" customHeight="1">
      <x:c r="A3155" s="10" t="n">
        <x:v>46214</x:v>
      </x:c>
      <x:c r="B3155" s="1" t="n">
        <x:v>5.5</x:v>
      </x:c>
      <x:c r="C3155" s="1" t="n">
        <x:v>6</x:v>
      </x:c>
      <x:c r="D3155" s="12" t="n">
        <x:v>0</x:v>
      </x:c>
      <x:c r="E3155" s="12" t="n">
        <x:v>0.45975000000000005</x:v>
      </x:c>
      <x:c r="F3155" s="12" t="n">
        <x:v>0.4595833333333334</x:v>
      </x:c>
      <x:c r="G3155" s="12" t="n">
        <x:v>0</x:v>
      </x:c>
      <x:c r="H3155" s="1" t="n">
        <x:f>'Historical prices'!E3155</x:f>
        <x:v>1.05</x:v>
      </x:c>
      <x:c r="I3155" s="6" t="n">
        <x:f>'Historical prices'!D3155</x:f>
        <x:v>0.20199999999999999</x:v>
      </x:c>
      <x:c r="J3155" s="13" t="n">
        <x:f>D3155*I3155*H3155</x:f>
        <x:v>0</x:v>
      </x:c>
      <x:c r="K3155" s="13" t="n">
        <x:f>E3155*I3155*H3155</x:f>
        <x:v>0.09751297500000002</x:v>
      </x:c>
      <x:c r="L3155" s="1" t="str">
        <x:f>TEXT(A3155,"mmm yyyy")</x:f>
        <x:v>Jul 2026</x:v>
      </x:c>
    </x:row>
    <x:row r="3156" ht="21" customHeight="1">
      <x:c r="A3156" s="10" t="n">
        <x:v>46214</x:v>
      </x:c>
      <x:c r="B3156" s="1" t="n">
        <x:v>6</x:v>
      </x:c>
      <x:c r="C3156" s="1" t="n">
        <x:v>6</x:v>
      </x:c>
      <x:c r="D3156" s="12" t="n">
        <x:v>0.34091666666666665</x:v>
      </x:c>
      <x:c r="E3156" s="12" t="n">
        <x:v>0.40991666666666665</x:v>
      </x:c>
      <x:c r="F3156" s="12" t="n">
        <x:v>0.058</x:v>
      </x:c>
      <x:c r="G3156" s="12" t="n">
        <x:v>0</x:v>
      </x:c>
      <x:c r="H3156" s="1" t="n">
        <x:f>'Historical prices'!E3156</x:f>
        <x:v>1.05</x:v>
      </x:c>
      <x:c r="I3156" s="6" t="n">
        <x:f>'Historical prices'!D3156</x:f>
        <x:v>0.1766</x:v>
      </x:c>
      <x:c r="J3156" s="13" t="n">
        <x:f>D3156*I3156*H3156</x:f>
        <x:v>0.0632161775</x:v>
      </x:c>
      <x:c r="K3156" s="13" t="n">
        <x:f>E3156*I3156*H3156</x:f>
        <x:v>0.0760108475</x:v>
      </x:c>
      <x:c r="L3156" s="1" t="str">
        <x:f>TEXT(A3156,"mmm yyyy")</x:f>
        <x:v>Jul 2026</x:v>
      </x:c>
    </x:row>
    <x:row r="3157" ht="21" customHeight="1">
      <x:c r="A3157" s="10" t="n">
        <x:v>46214</x:v>
      </x:c>
      <x:c r="B3157" s="1" t="n">
        <x:v>6.5</x:v>
      </x:c>
      <x:c r="C3157" s="1" t="n">
        <x:v>6</x:v>
      </x:c>
      <x:c r="D3157" s="12" t="n">
        <x:v>0.44508333333333333</x:v>
      </x:c>
      <x:c r="E3157" s="12" t="n">
        <x:v>0.45708333333333334</x:v>
      </x:c>
      <x:c r="F3157" s="12" t="n">
        <x:v>0</x:v>
      </x:c>
      <x:c r="G3157" s="12" t="n">
        <x:v>0</x:v>
      </x:c>
      <x:c r="H3157" s="1" t="n">
        <x:f>'Historical prices'!E3157</x:f>
        <x:v>1.05</x:v>
      </x:c>
      <x:c r="I3157" s="6" t="n">
        <x:f>'Historical prices'!D3157</x:f>
        <x:v>0.183</x:v>
      </x:c>
      <x:c r="J3157" s="13" t="n">
        <x:f>D3157*I3157*H3157</x:f>
        <x:v>0.0855227625</x:v>
      </x:c>
      <x:c r="K3157" s="13" t="n">
        <x:f>E3157*I3157*H3157</x:f>
        <x:v>0.08782856250000001</x:v>
      </x:c>
      <x:c r="L3157" s="1" t="str">
        <x:f>TEXT(A3157,"mmm yyyy")</x:f>
        <x:v>Jul 2026</x:v>
      </x:c>
    </x:row>
    <x:row r="3158" ht="21" customHeight="1">
      <x:c r="A3158" s="10" t="n">
        <x:v>46214</x:v>
      </x:c>
      <x:c r="B3158" s="1" t="n">
        <x:v>7</x:v>
      </x:c>
      <x:c r="C3158" s="1" t="n">
        <x:v>6</x:v>
      </x:c>
      <x:c r="D3158" s="12" t="n">
        <x:v>0.45391666666666663</x:v>
      </x:c>
      <x:c r="E3158" s="12" t="n">
        <x:v>0.46391666666666664</x:v>
      </x:c>
      <x:c r="F3158" s="12" t="n">
        <x:v>0</x:v>
      </x:c>
      <x:c r="G3158" s="12" t="n">
        <x:v>0</x:v>
      </x:c>
      <x:c r="H3158" s="1" t="n">
        <x:f>'Historical prices'!E3158</x:f>
        <x:v>1.05</x:v>
      </x:c>
      <x:c r="I3158" s="6" t="n">
        <x:f>'Historical prices'!D3158</x:f>
        <x:v>0.1766</x:v>
      </x:c>
      <x:c r="J3158" s="13" t="n">
        <x:f>D3158*I3158*H3158</x:f>
        <x:v>0.0841697675</x:v>
      </x:c>
      <x:c r="K3158" s="13" t="n">
        <x:f>E3158*I3158*H3158</x:f>
        <x:v>0.08602406750000001</x:v>
      </x:c>
      <x:c r="L3158" s="1" t="str">
        <x:f>TEXT(A3158,"mmm yyyy")</x:f>
        <x:v>Jul 2026</x:v>
      </x:c>
    </x:row>
    <x:row r="3159" ht="21" customHeight="1">
      <x:c r="A3159" s="10" t="n">
        <x:v>46214</x:v>
      </x:c>
      <x:c r="B3159" s="1" t="n">
        <x:v>7.5</x:v>
      </x:c>
      <x:c r="C3159" s="1" t="n">
        <x:v>6</x:v>
      </x:c>
      <x:c r="D3159" s="12" t="n">
        <x:v>0.0675</x:v>
      </x:c>
      <x:c r="E3159" s="12" t="n">
        <x:v>0.5148333333333334</x:v>
      </x:c>
      <x:c r="F3159" s="12" t="n">
        <x:v>0.4458333333333333</x:v>
      </x:c>
      <x:c r="G3159" s="12" t="n">
        <x:v>0</x:v>
      </x:c>
      <x:c r="H3159" s="1" t="n">
        <x:f>'Historical prices'!E3159</x:f>
        <x:v>1.05</x:v>
      </x:c>
      <x:c r="I3159" s="6" t="n">
        <x:f>'Historical prices'!D3159</x:f>
        <x:v>0.1934</x:v>
      </x:c>
      <x:c r="J3159" s="13" t="n">
        <x:f>D3159*I3159*H3159</x:f>
        <x:v>0.013707225</x:v>
      </x:c>
      <x:c r="K3159" s="13" t="n">
        <x:f>E3159*I3159*H3159</x:f>
        <x:v>0.104547205</x:v>
      </x:c>
      <x:c r="L3159" s="1" t="str">
        <x:f>TEXT(A3159,"mmm yyyy")</x:f>
        <x:v>Jul 2026</x:v>
      </x:c>
    </x:row>
    <x:row r="3160" ht="21" customHeight="1">
      <x:c r="A3160" s="10" t="n">
        <x:v>46214</x:v>
      </x:c>
      <x:c r="B3160" s="1" t="n">
        <x:v>8</x:v>
      </x:c>
      <x:c r="C3160" s="1" t="n">
        <x:v>6</x:v>
      </x:c>
      <x:c r="D3160" s="12" t="n">
        <x:v>0</x:v>
      </x:c>
      <x:c r="E3160" s="12" t="n">
        <x:v>0.5088333333333334</x:v>
      </x:c>
      <x:c r="F3160" s="12" t="n">
        <x:v>0.5085833333333334</x:v>
      </x:c>
      <x:c r="G3160" s="12" t="n">
        <x:v>0</x:v>
      </x:c>
      <x:c r="H3160" s="1" t="n">
        <x:f>'Historical prices'!E3160</x:f>
        <x:v>1.05</x:v>
      </x:c>
      <x:c r="I3160" s="6" t="n">
        <x:f>'Historical prices'!D3160</x:f>
        <x:v>0.2066</x:v>
      </x:c>
      <x:c r="J3160" s="13" t="n">
        <x:f>D3160*I3160*H3160</x:f>
        <x:v>0</x:v>
      </x:c>
      <x:c r="K3160" s="13" t="n">
        <x:f>E3160*I3160*H3160</x:f>
        <x:v>0.11038121500000002</x:v>
      </x:c>
      <x:c r="L3160" s="1" t="str">
        <x:f>TEXT(A3160,"mmm yyyy")</x:f>
        <x:v>Jul 2026</x:v>
      </x:c>
    </x:row>
    <x:row r="3161" ht="21" customHeight="1">
      <x:c r="A3161" s="10" t="n">
        <x:v>46214</x:v>
      </x:c>
      <x:c r="B3161" s="1" t="n">
        <x:v>8.5</x:v>
      </x:c>
      <x:c r="C3161" s="1" t="n">
        <x:v>6</x:v>
      </x:c>
      <x:c r="D3161" s="12" t="n">
        <x:v>0</x:v>
      </x:c>
      <x:c r="E3161" s="12" t="n">
        <x:v>1.2543333333333335</x:v>
      </x:c>
      <x:c r="F3161" s="12" t="n">
        <x:v>1.2475</x:v>
      </x:c>
      <x:c r="G3161" s="12" t="n">
        <x:v>0</x:v>
      </x:c>
      <x:c r="H3161" s="1" t="n">
        <x:f>'Historical prices'!E3161</x:f>
        <x:v>1.05</x:v>
      </x:c>
      <x:c r="I3161" s="6" t="n">
        <x:f>'Historical prices'!D3161</x:f>
        <x:v>0.20809999999999998</x:v>
      </x:c>
      <x:c r="J3161" s="13" t="n">
        <x:f>D3161*I3161*H3161</x:f>
        <x:v>0</x:v>
      </x:c>
      <x:c r="K3161" s="13" t="n">
        <x:f>E3161*I3161*H3161</x:f>
        <x:v>0.274078105</x:v>
      </x:c>
      <x:c r="L3161" s="1" t="str">
        <x:f>TEXT(A3161,"mmm yyyy")</x:f>
        <x:v>Jul 2026</x:v>
      </x:c>
    </x:row>
    <x:row r="3162" ht="21" customHeight="1">
      <x:c r="A3162" s="10" t="n">
        <x:v>46214</x:v>
      </x:c>
      <x:c r="B3162" s="1" t="n">
        <x:v>9</x:v>
      </x:c>
      <x:c r="C3162" s="1" t="n">
        <x:v>6</x:v>
      </x:c>
      <x:c r="D3162" s="12" t="n">
        <x:v>0</x:v>
      </x:c>
      <x:c r="E3162" s="12" t="n">
        <x:v>0.53675</x:v>
      </x:c>
      <x:c r="F3162" s="12" t="n">
        <x:v>0.5365833333333333</x:v>
      </x:c>
      <x:c r="G3162" s="12" t="n">
        <x:v>0</x:v>
      </x:c>
      <x:c r="H3162" s="1" t="n">
        <x:f>'Historical prices'!E3162</x:f>
        <x:v>1.05</x:v>
      </x:c>
      <x:c r="I3162" s="6" t="n">
        <x:f>'Historical prices'!D3162</x:f>
        <x:v>0.2186</x:v>
      </x:c>
      <x:c r="J3162" s="13" t="n">
        <x:f>D3162*I3162*H3162</x:f>
        <x:v>0</x:v>
      </x:c>
      <x:c r="K3162" s="13" t="n">
        <x:f>E3162*I3162*H3162</x:f>
        <x:v>0.12320022749999998</x:v>
      </x:c>
      <x:c r="L3162" s="1" t="str">
        <x:f>TEXT(A3162,"mmm yyyy")</x:f>
        <x:v>Jul 2026</x:v>
      </x:c>
    </x:row>
    <x:row r="3163" ht="21" customHeight="1">
      <x:c r="A3163" s="10" t="n">
        <x:v>46214</x:v>
      </x:c>
      <x:c r="B3163" s="1" t="n">
        <x:v>9.5</x:v>
      </x:c>
      <x:c r="C3163" s="1" t="n">
        <x:v>6</x:v>
      </x:c>
      <x:c r="D3163" s="12" t="n">
        <x:v>0</x:v>
      </x:c>
      <x:c r="E3163" s="12" t="n">
        <x:v>1.0293333333333334</x:v>
      </x:c>
      <x:c r="F3163" s="12" t="n">
        <x:v>1.029</x:v>
      </x:c>
      <x:c r="G3163" s="12" t="n">
        <x:v>0</x:v>
      </x:c>
      <x:c r="H3163" s="1" t="n">
        <x:f>'Historical prices'!E3163</x:f>
        <x:v>1.05</x:v>
      </x:c>
      <x:c r="I3163" s="6" t="n">
        <x:f>'Historical prices'!D3163</x:f>
        <x:v>0.22820000000000001</x:v>
      </x:c>
      <x:c r="J3163" s="13" t="n">
        <x:f>D3163*I3163*H3163</x:f>
        <x:v>0</x:v>
      </x:c>
      <x:c r="K3163" s="13" t="n">
        <x:f>E3163*I3163*H3163</x:f>
        <x:v>0.24663856000000003</x:v>
      </x:c>
      <x:c r="L3163" s="1" t="str">
        <x:f>TEXT(A3163,"mmm yyyy")</x:f>
        <x:v>Jul 2026</x:v>
      </x:c>
    </x:row>
    <x:row r="3164" ht="21" customHeight="1">
      <x:c r="A3164" s="10" t="n">
        <x:v>46214</x:v>
      </x:c>
      <x:c r="B3164" s="1" t="n">
        <x:v>10</x:v>
      </x:c>
      <x:c r="C3164" s="1" t="n">
        <x:v>6</x:v>
      </x:c>
      <x:c r="D3164" s="12" t="n">
        <x:v>0</x:v>
      </x:c>
      <x:c r="E3164" s="12" t="n">
        <x:v>1.1447500000000002</x:v>
      </x:c>
      <x:c r="F3164" s="12" t="n">
        <x:v>1.1445</x:v>
      </x:c>
      <x:c r="G3164" s="12" t="n">
        <x:v>0</x:v>
      </x:c>
      <x:c r="H3164" s="1" t="n">
        <x:f>'Historical prices'!E3164</x:f>
        <x:v>1.05</x:v>
      </x:c>
      <x:c r="I3164" s="6" t="n">
        <x:f>'Historical prices'!D3164</x:f>
        <x:v>0.2087</x:v>
      </x:c>
      <x:c r="J3164" s="13" t="n">
        <x:f>D3164*I3164*H3164</x:f>
        <x:v>0</x:v>
      </x:c>
      <x:c r="K3164" s="13" t="n">
        <x:f>E3164*I3164*H3164</x:f>
        <x:v>0.25085479125000004</x:v>
      </x:c>
      <x:c r="L3164" s="1" t="str">
        <x:f>TEXT(A3164,"mmm yyyy")</x:f>
        <x:v>Jul 2026</x:v>
      </x:c>
    </x:row>
    <x:row r="3165" ht="21" customHeight="1">
      <x:c r="A3165" s="10" t="n">
        <x:v>46214</x:v>
      </x:c>
      <x:c r="B3165" s="1" t="n">
        <x:v>10.5</x:v>
      </x:c>
      <x:c r="C3165" s="1" t="n">
        <x:v>6</x:v>
      </x:c>
      <x:c r="D3165" s="12" t="n">
        <x:v>0</x:v>
      </x:c>
      <x:c r="E3165" s="12" t="n">
        <x:v>0.5439999999999999</x:v>
      </x:c>
      <x:c r="F3165" s="12" t="n">
        <x:v>0.5438333333333333</x:v>
      </x:c>
      <x:c r="G3165" s="12" t="n">
        <x:v>0</x:v>
      </x:c>
      <x:c r="H3165" s="1" t="n">
        <x:f>'Historical prices'!E3165</x:f>
        <x:v>1.05</x:v>
      </x:c>
      <x:c r="I3165" s="6" t="n">
        <x:f>'Historical prices'!D3165</x:f>
        <x:v>0.198</x:v>
      </x:c>
      <x:c r="J3165" s="13" t="n">
        <x:f>D3165*I3165*H3165</x:f>
        <x:v>0</x:v>
      </x:c>
      <x:c r="K3165" s="13" t="n">
        <x:f>E3165*I3165*H3165</x:f>
        <x:v>0.11309759999999999</x:v>
      </x:c>
      <x:c r="L3165" s="1" t="str">
        <x:f>TEXT(A3165,"mmm yyyy")</x:f>
        <x:v>Jul 2026</x:v>
      </x:c>
    </x:row>
    <x:row r="3166" ht="21" customHeight="1">
      <x:c r="A3166" s="10" t="n">
        <x:v>46214</x:v>
      </x:c>
      <x:c r="B3166" s="1" t="n">
        <x:v>11</x:v>
      </x:c>
      <x:c r="C3166" s="1" t="n">
        <x:v>6</x:v>
      </x:c>
      <x:c r="D3166" s="12" t="n">
        <x:v>0.6638333333333334</x:v>
      </x:c>
      <x:c r="E3166" s="12" t="n">
        <x:v>0.8455833333333334</x:v>
      </x:c>
      <x:c r="F3166" s="12" t="n">
        <x:v>0.17175</x:v>
      </x:c>
      <x:c r="G3166" s="12" t="n">
        <x:v>0</x:v>
      </x:c>
      <x:c r="H3166" s="1" t="n">
        <x:f>'Historical prices'!E3166</x:f>
        <x:v>1.05</x:v>
      </x:c>
      <x:c r="I3166" s="6" t="n">
        <x:f>'Historical prices'!D3166</x:f>
        <x:v>0.1778</x:v>
      </x:c>
      <x:c r="J3166" s="13" t="n">
        <x:f>D3166*I3166*H3166</x:f>
        <x:v>0.12393104500000002</x:v>
      </x:c>
      <x:c r="K3166" s="13" t="n">
        <x:f>E3166*I3166*H3166</x:f>
        <x:v>0.1578619525</x:v>
      </x:c>
      <x:c r="L3166" s="1" t="str">
        <x:f>TEXT(A3166,"mmm yyyy")</x:f>
        <x:v>Jul 2026</x:v>
      </x:c>
    </x:row>
    <x:row r="3167" ht="21" customHeight="1">
      <x:c r="A3167" s="10" t="n">
        <x:v>46214</x:v>
      </x:c>
      <x:c r="B3167" s="1" t="n">
        <x:v>11.5</x:v>
      </x:c>
      <x:c r="C3167" s="1" t="n">
        <x:v>6</x:v>
      </x:c>
      <x:c r="D3167" s="12" t="n">
        <x:v>0.44375</x:v>
      </x:c>
      <x:c r="E3167" s="12" t="n">
        <x:v>0.45375</x:v>
      </x:c>
      <x:c r="F3167" s="12" t="n">
        <x:v>0</x:v>
      </x:c>
      <x:c r="G3167" s="12" t="n">
        <x:v>0</x:v>
      </x:c>
      <x:c r="H3167" s="1" t="n">
        <x:f>'Historical prices'!E3167</x:f>
        <x:v>1.05</x:v>
      </x:c>
      <x:c r="I3167" s="6" t="n">
        <x:f>'Historical prices'!D3167</x:f>
        <x:v>0.1663</x:v>
      </x:c>
      <x:c r="J3167" s="13" t="n">
        <x:f>D3167*I3167*H3167</x:f>
        <x:v>0.07748540625000001</x:v>
      </x:c>
      <x:c r="K3167" s="13" t="n">
        <x:f>E3167*I3167*H3167</x:f>
        <x:v>0.07923155625</x:v>
      </x:c>
      <x:c r="L3167" s="1" t="str">
        <x:f>TEXT(A3167,"mmm yyyy")</x:f>
        <x:v>Jul 2026</x:v>
      </x:c>
    </x:row>
    <x:row r="3168" ht="21" customHeight="1">
      <x:c r="A3168" s="10" t="n">
        <x:v>46214</x:v>
      </x:c>
      <x:c r="B3168" s="1" t="n">
        <x:v>12</x:v>
      </x:c>
      <x:c r="C3168" s="1" t="n">
        <x:v>6</x:v>
      </x:c>
      <x:c r="D3168" s="12" t="n">
        <x:v>0.41783333333333333</x:v>
      </x:c>
      <x:c r="E3168" s="12" t="n">
        <x:v>0.42883333333333334</x:v>
      </x:c>
      <x:c r="F3168" s="12" t="n">
        <x:v>0</x:v>
      </x:c>
      <x:c r="G3168" s="12" t="n">
        <x:v>0</x:v>
      </x:c>
      <x:c r="H3168" s="1" t="n">
        <x:f>'Historical prices'!E3168</x:f>
        <x:v>1.05</x:v>
      </x:c>
      <x:c r="I3168" s="6" t="n">
        <x:f>'Historical prices'!D3168</x:f>
        <x:v>0.1637</x:v>
      </x:c>
      <x:c r="J3168" s="13" t="n">
        <x:f>D3168*I3168*H3168</x:f>
        <x:v>0.0718192825</x:v>
      </x:c>
      <x:c r="K3168" s="13" t="n">
        <x:f>E3168*I3168*H3168</x:f>
        <x:v>0.0737100175</x:v>
      </x:c>
      <x:c r="L3168" s="1" t="str">
        <x:f>TEXT(A3168,"mmm yyyy")</x:f>
        <x:v>Jul 2026</x:v>
      </x:c>
    </x:row>
    <x:row r="3169" ht="21" customHeight="1">
      <x:c r="A3169" s="10" t="n">
        <x:v>46214</x:v>
      </x:c>
      <x:c r="B3169" s="1" t="n">
        <x:v>12.5</x:v>
      </x:c>
      <x:c r="C3169" s="1" t="n">
        <x:v>6</x:v>
      </x:c>
      <x:c r="D3169" s="12" t="n">
        <x:v>0.3994166666666667</x:v>
      </x:c>
      <x:c r="E3169" s="12" t="n">
        <x:v>0.4104166666666667</x:v>
      </x:c>
      <x:c r="F3169" s="12" t="n">
        <x:v>0</x:v>
      </x:c>
      <x:c r="G3169" s="12" t="n">
        <x:v>0</x:v>
      </x:c>
      <x:c r="H3169" s="1" t="n">
        <x:f>'Historical prices'!E3169</x:f>
        <x:v>1.05</x:v>
      </x:c>
      <x:c r="I3169" s="6" t="n">
        <x:f>'Historical prices'!D3169</x:f>
        <x:v>0.1563</x:v>
      </x:c>
      <x:c r="J3169" s="13" t="n">
        <x:f>D3169*I3169*H3169</x:f>
        <x:v>0.06555026625</x:v>
      </x:c>
      <x:c r="K3169" s="13" t="n">
        <x:f>E3169*I3169*H3169</x:f>
        <x:v>0.06735553125</x:v>
      </x:c>
      <x:c r="L3169" s="1" t="str">
        <x:f>TEXT(A3169,"mmm yyyy")</x:f>
        <x:v>Jul 2026</x:v>
      </x:c>
    </x:row>
    <x:row r="3170" ht="21" customHeight="1">
      <x:c r="A3170" s="10" t="n">
        <x:v>46214</x:v>
      </x:c>
      <x:c r="B3170" s="1" t="n">
        <x:v>13</x:v>
      </x:c>
      <x:c r="C3170" s="1" t="n">
        <x:v>6</x:v>
      </x:c>
      <x:c r="D3170" s="12" t="n">
        <x:v>0.471</x:v>
      </x:c>
      <x:c r="E3170" s="12" t="n">
        <x:v>0.48</x:v>
      </x:c>
      <x:c r="F3170" s="12" t="n">
        <x:v>0</x:v>
      </x:c>
      <x:c r="G3170" s="12" t="n">
        <x:v>0</x:v>
      </x:c>
      <x:c r="H3170" s="1" t="n">
        <x:f>'Historical prices'!E3170</x:f>
        <x:v>1.05</x:v>
      </x:c>
      <x:c r="I3170" s="6" t="n">
        <x:f>'Historical prices'!D3170</x:f>
        <x:v>0.1531</x:v>
      </x:c>
      <x:c r="J3170" s="13" t="n">
        <x:f>D3170*I3170*H3170</x:f>
        <x:v>0.075715605</x:v>
      </x:c>
      <x:c r="K3170" s="13" t="n">
        <x:f>E3170*I3170*H3170</x:f>
        <x:v>0.0771624</x:v>
      </x:c>
      <x:c r="L3170" s="1" t="str">
        <x:f>TEXT(A3170,"mmm yyyy")</x:f>
        <x:v>Jul 2026</x:v>
      </x:c>
    </x:row>
    <x:row r="3171" ht="21" customHeight="1">
      <x:c r="A3171" s="10" t="n">
        <x:v>46214</x:v>
      </x:c>
      <x:c r="B3171" s="1" t="n">
        <x:v>13.5</x:v>
      </x:c>
      <x:c r="C3171" s="1" t="n">
        <x:v>6</x:v>
      </x:c>
      <x:c r="D3171" s="12" t="n">
        <x:v>3.0404166666666668</x:v>
      </x:c>
      <x:c r="E3171" s="12" t="n">
        <x:v>0.5324166666666666</x:v>
      </x:c>
      <x:c r="F3171" s="12" t="n">
        <x:v>0</x:v>
      </x:c>
      <x:c r="G3171" s="12" t="n">
        <x:v>2.5100000000000002</x:v>
      </x:c>
      <x:c r="H3171" s="1" t="n">
        <x:f>'Historical prices'!E3171</x:f>
        <x:v>1.05</x:v>
      </x:c>
      <x:c r="I3171" s="6" t="n">
        <x:f>'Historical prices'!D3171</x:f>
        <x:v>0.1508</x:v>
      </x:c>
      <x:c r="J3171" s="13" t="n">
        <x:f>D3171*I3171*H3171</x:f>
        <x:v>0.481419575</x:v>
      </x:c>
      <x:c r="K3171" s="13" t="n">
        <x:f>E3171*I3171*H3171</x:f>
        <x:v>0.084302855</x:v>
      </x:c>
      <x:c r="L3171" s="1" t="str">
        <x:f>TEXT(A3171,"mmm yyyy")</x:f>
        <x:v>Jul 2026</x:v>
      </x:c>
    </x:row>
    <x:row r="3172" ht="21" customHeight="1">
      <x:c r="A3172" s="10" t="n">
        <x:v>46214</x:v>
      </x:c>
      <x:c r="B3172" s="1" t="n">
        <x:v>14</x:v>
      </x:c>
      <x:c r="C3172" s="1" t="n">
        <x:v>6</x:v>
      </x:c>
      <x:c r="D3172" s="12" t="n">
        <x:v>1.1833333333333333</x:v>
      </x:c>
      <x:c r="E3172" s="12" t="n">
        <x:v>0.3863333333333333</x:v>
      </x:c>
      <x:c r="F3172" s="12" t="n">
        <x:v>0</x:v>
      </x:c>
      <x:c r="G3172" s="12" t="n">
        <x:v>0.8</x:v>
      </x:c>
      <x:c r="H3172" s="1" t="n">
        <x:f>'Historical prices'!E3172</x:f>
        <x:v>1.05</x:v>
      </x:c>
      <x:c r="I3172" s="6" t="n">
        <x:f>'Historical prices'!D3172</x:f>
        <x:v>0.151</x:v>
      </x:c>
      <x:c r="J3172" s="13" t="n">
        <x:f>D3172*I3172*H3172</x:f>
        <x:v>0.18761750000000002</x:v>
      </x:c>
      <x:c r="K3172" s="13" t="n">
        <x:f>E3172*I3172*H3172</x:f>
        <x:v>0.06125315</x:v>
      </x:c>
      <x:c r="L3172" s="1" t="str">
        <x:f>TEXT(A3172,"mmm yyyy")</x:f>
        <x:v>Jul 2026</x:v>
      </x:c>
    </x:row>
    <x:row r="3173" ht="21" customHeight="1">
      <x:c r="A3173" s="10" t="n">
        <x:v>46214</x:v>
      </x:c>
      <x:c r="B3173" s="1" t="n">
        <x:v>14.5</x:v>
      </x:c>
      <x:c r="C3173" s="1" t="n">
        <x:v>6</x:v>
      </x:c>
      <x:c r="D3173" s="12" t="n">
        <x:v>4.377166666666666</x:v>
      </x:c>
      <x:c r="E3173" s="12" t="n">
        <x:v>0.48016666666666663</x:v>
      </x:c>
      <x:c r="F3173" s="12" t="n">
        <x:v>0</x:v>
      </x:c>
      <x:c r="G3173" s="12" t="n">
        <x:v>3.8990000000000005</x:v>
      </x:c>
      <x:c r="H3173" s="1" t="n">
        <x:f>'Historical prices'!E3173</x:f>
        <x:v>1.05</x:v>
      </x:c>
      <x:c r="I3173" s="6" t="n">
        <x:f>'Historical prices'!D3173</x:f>
        <x:v>0.1458</x:v>
      </x:c>
      <x:c r="J3173" s="13" t="n">
        <x:f>D3173*I3173*H3173</x:f>
        <x:v>0.6701004449999999</x:v>
      </x:c>
      <x:c r="K3173" s="13" t="n">
        <x:f>E3173*I3173*H3173</x:f>
        <x:v>0.073508715</x:v>
      </x:c>
      <x:c r="L3173" s="1" t="str">
        <x:f>TEXT(A3173,"mmm yyyy")</x:f>
        <x:v>Jul 2026</x:v>
      </x:c>
    </x:row>
    <x:row r="3174" ht="21" customHeight="1">
      <x:c r="A3174" s="10" t="n">
        <x:v>46214</x:v>
      </x:c>
      <x:c r="B3174" s="1" t="n">
        <x:v>15</x:v>
      </x:c>
      <x:c r="C3174" s="1" t="n">
        <x:v>6</x:v>
      </x:c>
      <x:c r="D3174" s="12" t="n">
        <x:v>5.10925</x:v>
      </x:c>
      <x:c r="E3174" s="12" t="n">
        <x:v>0.5802499999999999</x:v>
      </x:c>
      <x:c r="F3174" s="12" t="n">
        <x:v>0</x:v>
      </x:c>
      <x:c r="G3174" s="12" t="n">
        <x:v>4.529</x:v>
      </x:c>
      <x:c r="H3174" s="1" t="n">
        <x:f>'Historical prices'!E3174</x:f>
        <x:v>1.05</x:v>
      </x:c>
      <x:c r="I3174" s="6" t="n">
        <x:f>'Historical prices'!D3174</x:f>
        <x:v>0.14679999999999999</x:v>
      </x:c>
      <x:c r="J3174" s="13" t="n">
        <x:f>D3174*I3174*H3174</x:f>
        <x:v>0.7875397949999999</x:v>
      </x:c>
      <x:c r="K3174" s="13" t="n">
        <x:f>E3174*I3174*H3174</x:f>
        <x:v>0.08943973499999999</x:v>
      </x:c>
      <x:c r="L3174" s="1" t="str">
        <x:f>TEXT(A3174,"mmm yyyy")</x:f>
        <x:v>Jul 2026</x:v>
      </x:c>
    </x:row>
    <x:row r="3175" ht="21" customHeight="1">
      <x:c r="A3175" s="10" t="n">
        <x:v>46214</x:v>
      </x:c>
      <x:c r="B3175" s="1" t="n">
        <x:v>15.5</x:v>
      </x:c>
      <x:c r="C3175" s="1" t="n">
        <x:v>6</x:v>
      </x:c>
      <x:c r="D3175" s="12" t="n">
        <x:v>4.5755</x:v>
      </x:c>
      <x:c r="E3175" s="12" t="n">
        <x:v>0.5325</x:v>
      </x:c>
      <x:c r="F3175" s="12" t="n">
        <x:v>0</x:v>
      </x:c>
      <x:c r="G3175" s="12" t="n">
        <x:v>4.043</x:v>
      </x:c>
      <x:c r="H3175" s="1" t="n">
        <x:f>'Historical prices'!E3175</x:f>
        <x:v>1.05</x:v>
      </x:c>
      <x:c r="I3175" s="6" t="n">
        <x:f>'Historical prices'!D3175</x:f>
        <x:v>0.15039999999999998</x:v>
      </x:c>
      <x:c r="J3175" s="13" t="n">
        <x:f>D3175*I3175*H3175</x:f>
        <x:v>0.7225629599999999</x:v>
      </x:c>
      <x:c r="K3175" s="13" t="n">
        <x:f>E3175*I3175*H3175</x:f>
        <x:v>0.08409239999999998</x:v>
      </x:c>
      <x:c r="L3175" s="1" t="str">
        <x:f>TEXT(A3175,"mmm yyyy")</x:f>
        <x:v>Jul 2026</x:v>
      </x:c>
    </x:row>
    <x:row r="3176" ht="21" customHeight="1">
      <x:c r="A3176" s="10" t="n">
        <x:v>46214</x:v>
      </x:c>
      <x:c r="B3176" s="1" t="n">
        <x:v>16</x:v>
      </x:c>
      <x:c r="C3176" s="1" t="n">
        <x:v>6</x:v>
      </x:c>
      <x:c r="D3176" s="12" t="n">
        <x:v>0.5069166666666667</x:v>
      </x:c>
      <x:c r="E3176" s="12" t="n">
        <x:v>0.5523333333333333</x:v>
      </x:c>
      <x:c r="F3176" s="12" t="n">
        <x:v>0.47774999999999995</x:v>
      </x:c>
      <x:c r="G3176" s="12" t="n">
        <x:v>0.433</x:v>
      </x:c>
      <x:c r="H3176" s="1" t="n">
        <x:f>'Historical prices'!E3176</x:f>
        <x:v>1.05</x:v>
      </x:c>
      <x:c r="I3176" s="6" t="n">
        <x:f>'Historical prices'!D3176</x:f>
        <x:v>0.2816</x:v>
      </x:c>
      <x:c r="J3176" s="13" t="n">
        <x:f>D3176*I3176*H3176</x:f>
        <x:v>0.14988512</x:v>
      </x:c>
      <x:c r="K3176" s="13" t="n">
        <x:f>E3176*I3176*H3176</x:f>
        <x:v>0.16331392</x:v>
      </x:c>
      <x:c r="L3176" s="1" t="str">
        <x:f>TEXT(A3176,"mmm yyyy")</x:f>
        <x:v>Jul 2026</x:v>
      </x:c>
    </x:row>
    <x:row r="3177" ht="21" customHeight="1">
      <x:c r="A3177" s="10" t="n">
        <x:v>46214</x:v>
      </x:c>
      <x:c r="B3177" s="1" t="n">
        <x:v>16.5</x:v>
      </x:c>
      <x:c r="C3177" s="1" t="n">
        <x:v>6</x:v>
      </x:c>
      <x:c r="D3177" s="12" t="n">
        <x:v>0</x:v>
      </x:c>
      <x:c r="E3177" s="12" t="n">
        <x:v>0.49891666666666656</x:v>
      </x:c>
      <x:c r="F3177" s="12" t="n">
        <x:v>0.49883333333333324</x:v>
      </x:c>
      <x:c r="G3177" s="12" t="n">
        <x:v>0</x:v>
      </x:c>
      <x:c r="H3177" s="1" t="n">
        <x:f>'Historical prices'!E3177</x:f>
        <x:v>1.05</x:v>
      </x:c>
      <x:c r="I3177" s="6" t="n">
        <x:f>'Historical prices'!D3177</x:f>
        <x:v>0.2846</x:v>
      </x:c>
      <x:c r="J3177" s="13" t="n">
        <x:f>D3177*I3177*H3177</x:f>
        <x:v>0</x:v>
      </x:c>
      <x:c r="K3177" s="13" t="n">
        <x:f>E3177*I3177*H3177</x:f>
        <x:v>0.14909126749999999</x:v>
      </x:c>
      <x:c r="L3177" s="1" t="str">
        <x:f>TEXT(A3177,"mmm yyyy")</x:f>
        <x:v>Jul 2026</x:v>
      </x:c>
    </x:row>
    <x:row r="3178" ht="21" customHeight="1">
      <x:c r="A3178" s="10" t="n">
        <x:v>46214</x:v>
      </x:c>
      <x:c r="B3178" s="1" t="n">
        <x:v>17</x:v>
      </x:c>
      <x:c r="C3178" s="1" t="n">
        <x:v>6</x:v>
      </x:c>
      <x:c r="D3178" s="12" t="n">
        <x:v>0</x:v>
      </x:c>
      <x:c r="E3178" s="12" t="n">
        <x:v>0.5168333333333334</x:v>
      </x:c>
      <x:c r="F3178" s="12" t="n">
        <x:v>0.5165</x:v>
      </x:c>
      <x:c r="G3178" s="12" t="n">
        <x:v>0</x:v>
      </x:c>
      <x:c r="H3178" s="1" t="n">
        <x:f>'Historical prices'!E3178</x:f>
        <x:v>1.05</x:v>
      </x:c>
      <x:c r="I3178" s="6" t="n">
        <x:f>'Historical prices'!D3178</x:f>
        <x:v>0.315</x:v>
      </x:c>
      <x:c r="J3178" s="13" t="n">
        <x:f>D3178*I3178*H3178</x:f>
        <x:v>0</x:v>
      </x:c>
      <x:c r="K3178" s="13" t="n">
        <x:f>E3178*I3178*H3178</x:f>
        <x:v>0.17094262500000001</x:v>
      </x:c>
      <x:c r="L3178" s="1" t="str">
        <x:f>TEXT(A3178,"mmm yyyy")</x:f>
        <x:v>Jul 2026</x:v>
      </x:c>
    </x:row>
    <x:row r="3179" ht="21" customHeight="1">
      <x:c r="A3179" s="10" t="n">
        <x:v>46214</x:v>
      </x:c>
      <x:c r="B3179" s="1" t="n">
        <x:v>17.5</x:v>
      </x:c>
      <x:c r="C3179" s="1" t="n">
        <x:v>6</x:v>
      </x:c>
      <x:c r="D3179" s="12" t="n">
        <x:v>0</x:v>
      </x:c>
      <x:c r="E3179" s="12" t="n">
        <x:v>0.533</x:v>
      </x:c>
      <x:c r="F3179" s="12" t="n">
        <x:v>0.5329166666666667</x:v>
      </x:c>
      <x:c r="G3179" s="12" t="n">
        <x:v>0</x:v>
      </x:c>
      <x:c r="H3179" s="1" t="n">
        <x:f>'Historical prices'!E3179</x:f>
        <x:v>1.05</x:v>
      </x:c>
      <x:c r="I3179" s="6" t="n">
        <x:f>'Historical prices'!D3179</x:f>
        <x:v>0.3071</x:v>
      </x:c>
      <x:c r="J3179" s="13" t="n">
        <x:f>D3179*I3179*H3179</x:f>
        <x:v>0</x:v>
      </x:c>
      <x:c r="K3179" s="13" t="n">
        <x:f>E3179*I3179*H3179</x:f>
        <x:v>0.171868515</x:v>
      </x:c>
      <x:c r="L3179" s="1" t="str">
        <x:f>TEXT(A3179,"mmm yyyy")</x:f>
        <x:v>Jul 2026</x:v>
      </x:c>
    </x:row>
    <x:row r="3180" ht="21" customHeight="1">
      <x:c r="A3180" s="10" t="n">
        <x:v>46214</x:v>
      </x:c>
      <x:c r="B3180" s="1" t="n">
        <x:v>18</x:v>
      </x:c>
      <x:c r="C3180" s="1" t="n">
        <x:v>6</x:v>
      </x:c>
      <x:c r="D3180" s="12" t="n">
        <x:v>0</x:v>
      </x:c>
      <x:c r="E3180" s="12" t="n">
        <x:v>0.48308333333333336</x:v>
      </x:c>
      <x:c r="F3180" s="12" t="n">
        <x:v>0.48300000000000004</x:v>
      </x:c>
      <x:c r="G3180" s="12" t="n">
        <x:v>0</x:v>
      </x:c>
      <x:c r="H3180" s="1" t="n">
        <x:f>'Historical prices'!E3180</x:f>
        <x:v>1.05</x:v>
      </x:c>
      <x:c r="I3180" s="6" t="n">
        <x:f>'Historical prices'!D3180</x:f>
        <x:v>0.34909999999999997</x:v>
      </x:c>
      <x:c r="J3180" s="13" t="n">
        <x:f>D3180*I3180*H3180</x:f>
        <x:v>0</x:v>
      </x:c>
      <x:c r="K3180" s="13" t="n">
        <x:f>E3180*I3180*H3180</x:f>
        <x:v>0.17707661125000002</x:v>
      </x:c>
      <x:c r="L3180" s="1" t="str">
        <x:f>TEXT(A3180,"mmm yyyy")</x:f>
        <x:v>Jul 2026</x:v>
      </x:c>
    </x:row>
    <x:row r="3181" ht="21" customHeight="1">
      <x:c r="A3181" s="10" t="n">
        <x:v>46214</x:v>
      </x:c>
      <x:c r="B3181" s="1" t="n">
        <x:v>18.5</x:v>
      </x:c>
      <x:c r="C3181" s="1" t="n">
        <x:v>6</x:v>
      </x:c>
      <x:c r="D3181" s="12" t="n">
        <x:v>0</x:v>
      </x:c>
      <x:c r="E3181" s="12" t="n">
        <x:v>0.7568333333333334</x:v>
      </x:c>
      <x:c r="F3181" s="12" t="n">
        <x:v>0.7566666666666667</x:v>
      </x:c>
      <x:c r="G3181" s="12" t="n">
        <x:v>0</x:v>
      </x:c>
      <x:c r="H3181" s="1" t="n">
        <x:f>'Historical prices'!E3181</x:f>
        <x:v>1.05</x:v>
      </x:c>
      <x:c r="I3181" s="6" t="n">
        <x:f>'Historical prices'!D3181</x:f>
        <x:v>0.3635</x:v>
      </x:c>
      <x:c r="J3181" s="13" t="n">
        <x:f>D3181*I3181*H3181</x:f>
        <x:v>0</x:v>
      </x:c>
      <x:c r="K3181" s="13" t="n">
        <x:f>E3181*I3181*H3181</x:f>
        <x:v>0.28886436249999997</x:v>
      </x:c>
      <x:c r="L3181" s="1" t="str">
        <x:f>TEXT(A3181,"mmm yyyy")</x:f>
        <x:v>Jul 2026</x:v>
      </x:c>
    </x:row>
    <x:row r="3182" ht="21" customHeight="1">
      <x:c r="A3182" s="10" t="n">
        <x:v>46214</x:v>
      </x:c>
      <x:c r="B3182" s="1" t="n">
        <x:v>19</x:v>
      </x:c>
      <x:c r="C3182" s="1" t="n">
        <x:v>6</x:v>
      </x:c>
      <x:c r="D3182" s="12" t="n">
        <x:v>0</x:v>
      </x:c>
      <x:c r="E3182" s="12" t="n">
        <x:v>0.67275</x:v>
      </x:c>
      <x:c r="F3182" s="12" t="n">
        <x:v>0.67275</x:v>
      </x:c>
      <x:c r="G3182" s="12" t="n">
        <x:v>0</x:v>
      </x:c>
      <x:c r="H3182" s="1" t="n">
        <x:f>'Historical prices'!E3182</x:f>
        <x:v>1.05</x:v>
      </x:c>
      <x:c r="I3182" s="6" t="n">
        <x:f>'Historical prices'!D3182</x:f>
        <x:v>0.2359</x:v>
      </x:c>
      <x:c r="J3182" s="13" t="n">
        <x:f>D3182*I3182*H3182</x:f>
        <x:v>0</x:v>
      </x:c>
      <x:c r="K3182" s="13" t="n">
        <x:f>E3182*I3182*H3182</x:f>
        <x:v>0.16663681125</x:v>
      </x:c>
      <x:c r="L3182" s="1" t="str">
        <x:f>TEXT(A3182,"mmm yyyy")</x:f>
        <x:v>Jul 2026</x:v>
      </x:c>
    </x:row>
    <x:row r="3183" ht="21" customHeight="1">
      <x:c r="A3183" s="10" t="n">
        <x:v>46214</x:v>
      </x:c>
      <x:c r="B3183" s="1" t="n">
        <x:v>19.5</x:v>
      </x:c>
      <x:c r="C3183" s="1" t="n">
        <x:v>6</x:v>
      </x:c>
      <x:c r="D3183" s="12" t="n">
        <x:v>0</x:v>
      </x:c>
      <x:c r="E3183" s="12" t="n">
        <x:v>0.8126666666666666</x:v>
      </x:c>
      <x:c r="F3183" s="12" t="n">
        <x:v>0.8125</x:v>
      </x:c>
      <x:c r="G3183" s="12" t="n">
        <x:v>0</x:v>
      </x:c>
      <x:c r="H3183" s="1" t="n">
        <x:f>'Historical prices'!E3183</x:f>
        <x:v>1.05</x:v>
      </x:c>
      <x:c r="I3183" s="6" t="n">
        <x:f>'Historical prices'!D3183</x:f>
        <x:v>0.23579999999999998</x:v>
      </x:c>
      <x:c r="J3183" s="13" t="n">
        <x:f>D3183*I3183*H3183</x:f>
        <x:v>0</x:v>
      </x:c>
      <x:c r="K3183" s="13" t="n">
        <x:f>E3183*I3183*H3183</x:f>
        <x:v>0.20120814</x:v>
      </x:c>
      <x:c r="L3183" s="1" t="str">
        <x:f>TEXT(A3183,"mmm yyyy")</x:f>
        <x:v>Jul 2026</x:v>
      </x:c>
    </x:row>
    <x:row r="3184" ht="21" customHeight="1">
      <x:c r="A3184" s="10" t="n">
        <x:v>46214</x:v>
      </x:c>
      <x:c r="B3184" s="1" t="n">
        <x:v>20</x:v>
      </x:c>
      <x:c r="C3184" s="1" t="n">
        <x:v>6</x:v>
      </x:c>
      <x:c r="D3184" s="12" t="n">
        <x:v>0</x:v>
      </x:c>
      <x:c r="E3184" s="12" t="n">
        <x:v>0.56875</x:v>
      </x:c>
      <x:c r="F3184" s="12" t="n">
        <x:v>0.5684999999999999</x:v>
      </x:c>
      <x:c r="G3184" s="12" t="n">
        <x:v>0</x:v>
      </x:c>
      <x:c r="H3184" s="1" t="n">
        <x:f>'Historical prices'!E3184</x:f>
        <x:v>1.05</x:v>
      </x:c>
      <x:c r="I3184" s="6" t="n">
        <x:f>'Historical prices'!D3184</x:f>
        <x:v>0.23550000000000001</x:v>
      </x:c>
      <x:c r="J3184" s="13" t="n">
        <x:f>D3184*I3184*H3184</x:f>
        <x:v>0</x:v>
      </x:c>
      <x:c r="K3184" s="13" t="n">
        <x:f>E3184*I3184*H3184</x:f>
        <x:v>0.14063765625000002</x:v>
      </x:c>
      <x:c r="L3184" s="1" t="str">
        <x:f>TEXT(A3184,"mmm yyyy")</x:f>
        <x:v>Jul 2026</x:v>
      </x:c>
    </x:row>
    <x:row r="3185" ht="21" customHeight="1">
      <x:c r="A3185" s="10" t="n">
        <x:v>46214</x:v>
      </x:c>
      <x:c r="B3185" s="1" t="n">
        <x:v>20.5</x:v>
      </x:c>
      <x:c r="C3185" s="1" t="n">
        <x:v>6</x:v>
      </x:c>
      <x:c r="D3185" s="12" t="n">
        <x:v>0</x:v>
      </x:c>
      <x:c r="E3185" s="12" t="n">
        <x:v>0.5680000000000001</x:v>
      </x:c>
      <x:c r="F3185" s="12" t="n">
        <x:v>0.5678333333333333</x:v>
      </x:c>
      <x:c r="G3185" s="12" t="n">
        <x:v>0</x:v>
      </x:c>
      <x:c r="H3185" s="1" t="n">
        <x:f>'Historical prices'!E3185</x:f>
        <x:v>1.05</x:v>
      </x:c>
      <x:c r="I3185" s="6" t="n">
        <x:f>'Historical prices'!D3185</x:f>
        <x:v>0.2349</x:v>
      </x:c>
      <x:c r="J3185" s="13" t="n">
        <x:f>D3185*I3185*H3185</x:f>
        <x:v>0</x:v>
      </x:c>
      <x:c r="K3185" s="13" t="n">
        <x:f>E3185*I3185*H3185</x:f>
        <x:v>0.14009436000000003</x:v>
      </x:c>
      <x:c r="L3185" s="1" t="str">
        <x:f>TEXT(A3185,"mmm yyyy")</x:f>
        <x:v>Jul 2026</x:v>
      </x:c>
    </x:row>
    <x:row r="3186" ht="21" customHeight="1">
      <x:c r="A3186" s="10" t="n">
        <x:v>46214</x:v>
      </x:c>
      <x:c r="B3186" s="1" t="n">
        <x:v>21</x:v>
      </x:c>
      <x:c r="C3186" s="1" t="n">
        <x:v>6</x:v>
      </x:c>
      <x:c r="D3186" s="12" t="n">
        <x:v>0</x:v>
      </x:c>
      <x:c r="E3186" s="12" t="n">
        <x:v>0.545</x:v>
      </x:c>
      <x:c r="F3186" s="12" t="n">
        <x:v>0.54475</x:v>
      </x:c>
      <x:c r="G3186" s="12" t="n">
        <x:v>0</x:v>
      </x:c>
      <x:c r="H3186" s="1" t="n">
        <x:f>'Historical prices'!E3186</x:f>
        <x:v>1.05</x:v>
      </x:c>
      <x:c r="I3186" s="6" t="n">
        <x:f>'Historical prices'!D3186</x:f>
        <x:v>0.22440000000000002</x:v>
      </x:c>
      <x:c r="J3186" s="13" t="n">
        <x:f>D3186*I3186*H3186</x:f>
        <x:v>0</x:v>
      </x:c>
      <x:c r="K3186" s="13" t="n">
        <x:f>E3186*I3186*H3186</x:f>
        <x:v>0.12841290000000002</x:v>
      </x:c>
      <x:c r="L3186" s="1" t="str">
        <x:f>TEXT(A3186,"mmm yyyy")</x:f>
        <x:v>Jul 2026</x:v>
      </x:c>
    </x:row>
    <x:row r="3187" ht="21" customHeight="1">
      <x:c r="A3187" s="10" t="n">
        <x:v>46214</x:v>
      </x:c>
      <x:c r="B3187" s="1" t="n">
        <x:v>21.5</x:v>
      </x:c>
      <x:c r="C3187" s="1" t="n">
        <x:v>6</x:v>
      </x:c>
      <x:c r="D3187" s="12" t="n">
        <x:v>0</x:v>
      </x:c>
      <x:c r="E3187" s="12" t="n">
        <x:v>0.9201666666666667</x:v>
      </x:c>
      <x:c r="F3187" s="12" t="n">
        <x:v>0.9197500000000001</x:v>
      </x:c>
      <x:c r="G3187" s="12" t="n">
        <x:v>0</x:v>
      </x:c>
      <x:c r="H3187" s="1" t="n">
        <x:f>'Historical prices'!E3187</x:f>
        <x:v>1.05</x:v>
      </x:c>
      <x:c r="I3187" s="6" t="n">
        <x:f>'Historical prices'!D3187</x:f>
        <x:v>0.2236</x:v>
      </x:c>
      <x:c r="J3187" s="13" t="n">
        <x:f>D3187*I3187*H3187</x:f>
        <x:v>0</x:v>
      </x:c>
      <x:c r="K3187" s="13" t="n">
        <x:f>E3187*I3187*H3187</x:f>
        <x:v>0.21603672999999998</x:v>
      </x:c>
      <x:c r="L3187" s="1" t="str">
        <x:f>TEXT(A3187,"mmm yyyy")</x:f>
        <x:v>Jul 2026</x:v>
      </x:c>
    </x:row>
    <x:row r="3188" ht="21" customHeight="1">
      <x:c r="A3188" s="10" t="n">
        <x:v>46214</x:v>
      </x:c>
      <x:c r="B3188" s="1" t="n">
        <x:v>22</x:v>
      </x:c>
      <x:c r="C3188" s="1" t="n">
        <x:v>6</x:v>
      </x:c>
      <x:c r="D3188" s="12" t="n">
        <x:v>0</x:v>
      </x:c>
      <x:c r="E3188" s="12" t="n">
        <x:v>0.38275</x:v>
      </x:c>
      <x:c r="F3188" s="12" t="n">
        <x:v>0.38258333333333333</x:v>
      </x:c>
      <x:c r="G3188" s="12" t="n">
        <x:v>0</x:v>
      </x:c>
      <x:c r="H3188" s="1" t="n">
        <x:f>'Historical prices'!E3188</x:f>
        <x:v>1.05</x:v>
      </x:c>
      <x:c r="I3188" s="6" t="n">
        <x:f>'Historical prices'!D3188</x:f>
        <x:v>0.2187</x:v>
      </x:c>
      <x:c r="J3188" s="13" t="n">
        <x:f>D3188*I3188*H3188</x:f>
        <x:v>0</x:v>
      </x:c>
      <x:c r="K3188" s="13" t="n">
        <x:f>E3188*I3188*H3188</x:f>
        <x:v>0.08789279625</x:v>
      </x:c>
      <x:c r="L3188" s="1" t="str">
        <x:f>TEXT(A3188,"mmm yyyy")</x:f>
        <x:v>Jul 2026</x:v>
      </x:c>
    </x:row>
    <x:row r="3189" ht="21" customHeight="1">
      <x:c r="A3189" s="10" t="n">
        <x:v>46214</x:v>
      </x:c>
      <x:c r="B3189" s="1" t="n">
        <x:v>22.5</x:v>
      </x:c>
      <x:c r="C3189" s="1" t="n">
        <x:v>6</x:v>
      </x:c>
      <x:c r="D3189" s="12" t="n">
        <x:v>0</x:v>
      </x:c>
      <x:c r="E3189" s="12" t="n">
        <x:v>0.30724999999999997</x:v>
      </x:c>
      <x:c r="F3189" s="12" t="n">
        <x:v>0.30674999999999997</x:v>
      </x:c>
      <x:c r="G3189" s="12" t="n">
        <x:v>0</x:v>
      </x:c>
      <x:c r="H3189" s="1" t="n">
        <x:f>'Historical prices'!E3189</x:f>
        <x:v>1.05</x:v>
      </x:c>
      <x:c r="I3189" s="6" t="n">
        <x:f>'Historical prices'!D3189</x:f>
        <x:v>0.207</x:v>
      </x:c>
      <x:c r="J3189" s="13" t="n">
        <x:f>D3189*I3189*H3189</x:f>
        <x:v>0</x:v>
      </x:c>
      <x:c r="K3189" s="13" t="n">
        <x:f>E3189*I3189*H3189</x:f>
        <x:v>0.06678078749999998</x:v>
      </x:c>
      <x:c r="L3189" s="1" t="str">
        <x:f>TEXT(A3189,"mmm yyyy")</x:f>
        <x:v>Jul 2026</x:v>
      </x:c>
    </x:row>
    <x:row r="3190" ht="21" customHeight="1">
      <x:c r="A3190" s="10" t="n">
        <x:v>46214</x:v>
      </x:c>
      <x:c r="B3190" s="1" t="n">
        <x:v>23</x:v>
      </x:c>
      <x:c r="C3190" s="1" t="n">
        <x:v>6</x:v>
      </x:c>
      <x:c r="D3190" s="12" t="n">
        <x:v>0</x:v>
      </x:c>
      <x:c r="E3190" s="12" t="n">
        <x:v>0.41383333333333333</x:v>
      </x:c>
      <x:c r="F3190" s="12" t="n">
        <x:v>0.41341666666666665</x:v>
      </x:c>
      <x:c r="G3190" s="12" t="n">
        <x:v>0</x:v>
      </x:c>
      <x:c r="H3190" s="1" t="n">
        <x:f>'Historical prices'!E3190</x:f>
        <x:v>1.05</x:v>
      </x:c>
      <x:c r="I3190" s="6" t="n">
        <x:f>'Historical prices'!D3190</x:f>
        <x:v>0.19760000000000003</x:v>
      </x:c>
      <x:c r="J3190" s="13" t="n">
        <x:f>D3190*I3190*H3190</x:f>
        <x:v>0</x:v>
      </x:c>
      <x:c r="K3190" s="13" t="n">
        <x:f>E3190*I3190*H3190</x:f>
        <x:v>0.08586214000000002</x:v>
      </x:c>
      <x:c r="L3190" s="1" t="str">
        <x:f>TEXT(A3190,"mmm yyyy")</x:f>
        <x:v>Jul 2026</x:v>
      </x:c>
    </x:row>
    <x:row r="3191" ht="21" customHeight="1">
      <x:c r="A3191" s="10" t="n">
        <x:v>46214</x:v>
      </x:c>
      <x:c r="B3191" s="1" t="n">
        <x:v>23.5</x:v>
      </x:c>
      <x:c r="C3191" s="1" t="n">
        <x:v>6</x:v>
      </x:c>
      <x:c r="D3191" s="12" t="n">
        <x:v>0.044083333333333335</x:v>
      </x:c>
      <x:c r="E3191" s="12" t="n">
        <x:v>0.29383333333333334</x:v>
      </x:c>
      <x:c r="F3191" s="12" t="n">
        <x:v>0.24966666666666665</x:v>
      </x:c>
      <x:c r="G3191" s="12" t="n">
        <x:v>0</x:v>
      </x:c>
      <x:c r="H3191" s="1" t="n">
        <x:f>'Historical prices'!E3191</x:f>
        <x:v>1.05</x:v>
      </x:c>
      <x:c r="I3191" s="6" t="n">
        <x:f>'Historical prices'!D3191</x:f>
        <x:v>0.2022</x:v>
      </x:c>
      <x:c r="J3191" s="13" t="n">
        <x:f>D3191*I3191*H3191</x:f>
        <x:v>0.009359332500000001</x:v>
      </x:c>
      <x:c r="K3191" s="13" t="n">
        <x:f>E3191*I3191*H3191</x:f>
        <x:v>0.062383755</x:v>
      </x:c>
      <x:c r="L3191" s="1" t="str">
        <x:f>TEXT(A3191,"mmm yyyy")</x:f>
        <x:v>Jul 2026</x:v>
      </x:c>
    </x:row>
    <x:row r="3192" ht="21" customHeight="1">
      <x:c r="A3192" s="10" t="n">
        <x:v>46215</x:v>
      </x:c>
      <x:c r="B3192" s="1" t="n">
        <x:v>0</x:v>
      </x:c>
      <x:c r="C3192" s="1" t="n">
        <x:v>6</x:v>
      </x:c>
      <x:c r="D3192" s="12" t="n">
        <x:v>0</x:v>
      </x:c>
      <x:c r="E3192" s="12" t="n">
        <x:v>0.2788333333333333</x:v>
      </x:c>
      <x:c r="F3192" s="12" t="n">
        <x:v>0.2786666666666667</x:v>
      </x:c>
      <x:c r="G3192" s="12" t="n">
        <x:v>0</x:v>
      </x:c>
      <x:c r="H3192" s="1" t="n">
        <x:f>'Historical prices'!E3192</x:f>
        <x:v>1.05</x:v>
      </x:c>
      <x:c r="I3192" s="6" t="n">
        <x:f>'Historical prices'!D3192</x:f>
        <x:v>0.185</x:v>
      </x:c>
      <x:c r="J3192" s="13" t="n">
        <x:f>D3192*I3192*H3192</x:f>
        <x:v>0</x:v>
      </x:c>
      <x:c r="K3192" s="13" t="n">
        <x:f>E3192*I3192*H3192</x:f>
        <x:v>0.054163375</x:v>
      </x:c>
      <x:c r="L3192" s="1" t="str">
        <x:f>TEXT(A3192,"mmm yyyy")</x:f>
        <x:v>Jul 2026</x:v>
      </x:c>
    </x:row>
    <x:row r="3193" ht="21" customHeight="1">
      <x:c r="A3193" s="10" t="n">
        <x:v>46215</x:v>
      </x:c>
      <x:c r="B3193" s="1" t="n">
        <x:v>0.5</x:v>
      </x:c>
      <x:c r="C3193" s="1" t="n">
        <x:v>6</x:v>
      </x:c>
      <x:c r="D3193" s="12" t="n">
        <x:v>0.0215</x:v>
      </x:c>
      <x:c r="E3193" s="12" t="n">
        <x:v>0.2835833333333333</x:v>
      </x:c>
      <x:c r="F3193" s="12" t="n">
        <x:v>0.24883333333333335</x:v>
      </x:c>
      <x:c r="G3193" s="12" t="n">
        <x:v>0</x:v>
      </x:c>
      <x:c r="H3193" s="1" t="n">
        <x:f>'Historical prices'!E3193</x:f>
        <x:v>1.05</x:v>
      </x:c>
      <x:c r="I3193" s="6" t="n">
        <x:f>'Historical prices'!D3193</x:f>
        <x:v>0.1981</x:v>
      </x:c>
      <x:c r="J3193" s="13" t="n">
        <x:f>D3193*I3193*H3193</x:f>
        <x:v>0.0044721075</x:v>
      </x:c>
      <x:c r="K3193" s="13" t="n">
        <x:f>E3193*I3193*H3193</x:f>
        <x:v>0.05898675124999999</x:v>
      </x:c>
      <x:c r="L3193" s="1" t="str">
        <x:f>TEXT(A3193,"mmm yyyy")</x:f>
        <x:v>Jul 2026</x:v>
      </x:c>
    </x:row>
    <x:row r="3194" ht="21" customHeight="1">
      <x:c r="A3194" s="10" t="n">
        <x:v>46215</x:v>
      </x:c>
      <x:c r="B3194" s="1" t="n">
        <x:v>1</x:v>
      </x:c>
      <x:c r="C3194" s="1" t="n">
        <x:v>6</x:v>
      </x:c>
      <x:c r="D3194" s="12" t="n">
        <x:v>0</x:v>
      </x:c>
      <x:c r="E3194" s="12" t="n">
        <x:v>0.2613333333333333</x:v>
      </x:c>
      <x:c r="F3194" s="12" t="n">
        <x:v>0.26125</x:v>
      </x:c>
      <x:c r="G3194" s="12" t="n">
        <x:v>0</x:v>
      </x:c>
      <x:c r="H3194" s="1" t="n">
        <x:f>'Historical prices'!E3194</x:f>
        <x:v>1.05</x:v>
      </x:c>
      <x:c r="I3194" s="6" t="n">
        <x:f>'Historical prices'!D3194</x:f>
        <x:v>0.1766</x:v>
      </x:c>
      <x:c r="J3194" s="13" t="n">
        <x:f>D3194*I3194*H3194</x:f>
        <x:v>0</x:v>
      </x:c>
      <x:c r="K3194" s="13" t="n">
        <x:f>E3194*I3194*H3194</x:f>
        <x:v>0.048459039999999995</x:v>
      </x:c>
      <x:c r="L3194" s="1" t="str">
        <x:f>TEXT(A3194,"mmm yyyy")</x:f>
        <x:v>Jul 2026</x:v>
      </x:c>
    </x:row>
    <x:row r="3195" ht="21" customHeight="1">
      <x:c r="A3195" s="10" t="n">
        <x:v>46215</x:v>
      </x:c>
      <x:c r="B3195" s="1" t="n">
        <x:v>1.5</x:v>
      </x:c>
      <x:c r="C3195" s="1" t="n">
        <x:v>6</x:v>
      </x:c>
      <x:c r="D3195" s="12" t="n">
        <x:v>0</x:v>
      </x:c>
      <x:c r="E3195" s="12" t="n">
        <x:v>0.30024999999999996</x:v>
      </x:c>
      <x:c r="F3195" s="12" t="n">
        <x:v>0.29975</x:v>
      </x:c>
      <x:c r="G3195" s="12" t="n">
        <x:v>0</x:v>
      </x:c>
      <x:c r="H3195" s="1" t="n">
        <x:f>'Historical prices'!E3195</x:f>
        <x:v>1.05</x:v>
      </x:c>
      <x:c r="I3195" s="6" t="n">
        <x:f>'Historical prices'!D3195</x:f>
        <x:v>0.191</x:v>
      </x:c>
      <x:c r="J3195" s="13" t="n">
        <x:f>D3195*I3195*H3195</x:f>
        <x:v>0</x:v>
      </x:c>
      <x:c r="K3195" s="13" t="n">
        <x:f>E3195*I3195*H3195</x:f>
        <x:v>0.0602151375</x:v>
      </x:c>
      <x:c r="L3195" s="1" t="str">
        <x:f>TEXT(A3195,"mmm yyyy")</x:f>
        <x:v>Jul 2026</x:v>
      </x:c>
    </x:row>
    <x:row r="3196" ht="21" customHeight="1">
      <x:c r="A3196" s="10" t="n">
        <x:v>46215</x:v>
      </x:c>
      <x:c r="B3196" s="1" t="n">
        <x:v>2</x:v>
      </x:c>
      <x:c r="C3196" s="1" t="n">
        <x:v>6</x:v>
      </x:c>
      <x:c r="D3196" s="12" t="n">
        <x:v>0</x:v>
      </x:c>
      <x:c r="E3196" s="12" t="n">
        <x:v>0.33875000000000005</x:v>
      </x:c>
      <x:c r="F3196" s="12" t="n">
        <x:v>0.33858333333333335</x:v>
      </x:c>
      <x:c r="G3196" s="12" t="n">
        <x:v>0</x:v>
      </x:c>
      <x:c r="H3196" s="1" t="n">
        <x:f>'Historical prices'!E3196</x:f>
        <x:v>1.05</x:v>
      </x:c>
      <x:c r="I3196" s="6" t="n">
        <x:f>'Historical prices'!D3196</x:f>
        <x:v>0.1913</x:v>
      </x:c>
      <x:c r="J3196" s="13" t="n">
        <x:f>D3196*I3196*H3196</x:f>
        <x:v>0</x:v>
      </x:c>
      <x:c r="K3196" s="13" t="n">
        <x:f>E3196*I3196*H3196</x:f>
        <x:v>0.06804301875000002</x:v>
      </x:c>
      <x:c r="L3196" s="1" t="str">
        <x:f>TEXT(A3196,"mmm yyyy")</x:f>
        <x:v>Jul 2026</x:v>
      </x:c>
    </x:row>
    <x:row r="3197" ht="21" customHeight="1">
      <x:c r="A3197" s="10" t="n">
        <x:v>46215</x:v>
      </x:c>
      <x:c r="B3197" s="1" t="n">
        <x:v>2.5</x:v>
      </x:c>
      <x:c r="C3197" s="1" t="n">
        <x:v>6</x:v>
      </x:c>
      <x:c r="D3197" s="12" t="n">
        <x:v>0</x:v>
      </x:c>
      <x:c r="E3197" s="12" t="n">
        <x:v>0.274</x:v>
      </x:c>
      <x:c r="F3197" s="12" t="n">
        <x:v>0.27375</x:v>
      </x:c>
      <x:c r="G3197" s="12" t="n">
        <x:v>0</x:v>
      </x:c>
      <x:c r="H3197" s="1" t="n">
        <x:f>'Historical prices'!E3197</x:f>
        <x:v>1.05</x:v>
      </x:c>
      <x:c r="I3197" s="6" t="n">
        <x:f>'Historical prices'!D3197</x:f>
        <x:v>0.1913</x:v>
      </x:c>
      <x:c r="J3197" s="13" t="n">
        <x:f>D3197*I3197*H3197</x:f>
        <x:v>0</x:v>
      </x:c>
      <x:c r="K3197" s="13" t="n">
        <x:f>E3197*I3197*H3197</x:f>
        <x:v>0.055037010000000004</x:v>
      </x:c>
      <x:c r="L3197" s="1" t="str">
        <x:f>TEXT(A3197,"mmm yyyy")</x:f>
        <x:v>Jul 2026</x:v>
      </x:c>
    </x:row>
    <x:row r="3198" ht="21" customHeight="1">
      <x:c r="A3198" s="10" t="n">
        <x:v>46215</x:v>
      </x:c>
      <x:c r="B3198" s="1" t="n">
        <x:v>3</x:v>
      </x:c>
      <x:c r="C3198" s="1" t="n">
        <x:v>6</x:v>
      </x:c>
      <x:c r="D3198" s="12" t="n">
        <x:v>0</x:v>
      </x:c>
      <x:c r="E3198" s="12" t="n">
        <x:v>0.2783333333333333</x:v>
      </x:c>
      <x:c r="F3198" s="12" t="n">
        <x:v>0.2778333333333333</x:v>
      </x:c>
      <x:c r="G3198" s="12" t="n">
        <x:v>0</x:v>
      </x:c>
      <x:c r="H3198" s="1" t="n">
        <x:f>'Historical prices'!E3198</x:f>
        <x:v>1.05</x:v>
      </x:c>
      <x:c r="I3198" s="6" t="n">
        <x:f>'Historical prices'!D3198</x:f>
        <x:v>0.19260000000000002</x:v>
      </x:c>
      <x:c r="J3198" s="13" t="n">
        <x:f>D3198*I3198*H3198</x:f>
        <x:v>0</x:v>
      </x:c>
      <x:c r="K3198" s="13" t="n">
        <x:f>E3198*I3198*H3198</x:f>
        <x:v>0.05628735000000001</x:v>
      </x:c>
      <x:c r="L3198" s="1" t="str">
        <x:f>TEXT(A3198,"mmm yyyy")</x:f>
        <x:v>Jul 2026</x:v>
      </x:c>
    </x:row>
    <x:row r="3199" ht="21" customHeight="1">
      <x:c r="A3199" s="10" t="n">
        <x:v>46215</x:v>
      </x:c>
      <x:c r="B3199" s="1" t="n">
        <x:v>3.5</x:v>
      </x:c>
      <x:c r="C3199" s="1" t="n">
        <x:v>6</x:v>
      </x:c>
      <x:c r="D3199" s="12" t="n">
        <x:v>0</x:v>
      </x:c>
      <x:c r="E3199" s="12" t="n">
        <x:v>0.3720833333333333</x:v>
      </x:c>
      <x:c r="F3199" s="12" t="n">
        <x:v>0.37183333333333335</x:v>
      </x:c>
      <x:c r="G3199" s="12" t="n">
        <x:v>0</x:v>
      </x:c>
      <x:c r="H3199" s="1" t="n">
        <x:f>'Historical prices'!E3199</x:f>
        <x:v>1.05</x:v>
      </x:c>
      <x:c r="I3199" s="6" t="n">
        <x:f>'Historical prices'!D3199</x:f>
        <x:v>0.19</x:v>
      </x:c>
      <x:c r="J3199" s="13" t="n">
        <x:f>D3199*I3199*H3199</x:f>
        <x:v>0</x:v>
      </x:c>
      <x:c r="K3199" s="13" t="n">
        <x:f>E3199*I3199*H3199</x:f>
        <x:v>0.07423062500000001</x:v>
      </x:c>
      <x:c r="L3199" s="1" t="str">
        <x:f>TEXT(A3199,"mmm yyyy")</x:f>
        <x:v>Jul 2026</x:v>
      </x:c>
    </x:row>
    <x:row r="3200" ht="21" customHeight="1">
      <x:c r="A3200" s="10" t="n">
        <x:v>46215</x:v>
      </x:c>
      <x:c r="B3200" s="1" t="n">
        <x:v>4</x:v>
      </x:c>
      <x:c r="C3200" s="1" t="n">
        <x:v>6</x:v>
      </x:c>
      <x:c r="D3200" s="12" t="n">
        <x:v>0</x:v>
      </x:c>
      <x:c r="E3200" s="12" t="n">
        <x:v>0.2976666666666667</x:v>
      </x:c>
      <x:c r="F3200" s="12" t="n">
        <x:v>0.2975</x:v>
      </x:c>
      <x:c r="G3200" s="12" t="n">
        <x:v>0</x:v>
      </x:c>
      <x:c r="H3200" s="1" t="n">
        <x:f>'Historical prices'!E3200</x:f>
        <x:v>1.05</x:v>
      </x:c>
      <x:c r="I3200" s="6" t="n">
        <x:f>'Historical prices'!D3200</x:f>
        <x:v>0.185</x:v>
      </x:c>
      <x:c r="J3200" s="13" t="n">
        <x:f>D3200*I3200*H3200</x:f>
        <x:v>0</x:v>
      </x:c>
      <x:c r="K3200" s="13" t="n">
        <x:f>E3200*I3200*H3200</x:f>
        <x:v>0.057821750000000005</x:v>
      </x:c>
      <x:c r="L3200" s="1" t="str">
        <x:f>TEXT(A3200,"mmm yyyy")</x:f>
        <x:v>Jul 2026</x:v>
      </x:c>
    </x:row>
    <x:row r="3201" ht="21" customHeight="1">
      <x:c r="A3201" s="10" t="n">
        <x:v>46215</x:v>
      </x:c>
      <x:c r="B3201" s="1" t="n">
        <x:v>4.5</x:v>
      </x:c>
      <x:c r="C3201" s="1" t="n">
        <x:v>6</x:v>
      </x:c>
      <x:c r="D3201" s="12" t="n">
        <x:v>0</x:v>
      </x:c>
      <x:c r="E3201" s="12" t="n">
        <x:v>0.35658333333333336</x:v>
      </x:c>
      <x:c r="F3201" s="12" t="n">
        <x:v>0.35658333333333336</x:v>
      </x:c>
      <x:c r="G3201" s="12" t="n">
        <x:v>0</x:v>
      </x:c>
      <x:c r="H3201" s="1" t="n">
        <x:f>'Historical prices'!E3201</x:f>
        <x:v>1.05</x:v>
      </x:c>
      <x:c r="I3201" s="6" t="n">
        <x:f>'Historical prices'!D3201</x:f>
        <x:v>0.18489999999999998</x:v>
      </x:c>
      <x:c r="J3201" s="13" t="n">
        <x:f>D3201*I3201*H3201</x:f>
        <x:v>0</x:v>
      </x:c>
      <x:c r="K3201" s="13" t="n">
        <x:f>E3201*I3201*H3201</x:f>
        <x:v>0.06922887124999999</x:v>
      </x:c>
      <x:c r="L3201" s="1" t="str">
        <x:f>TEXT(A3201,"mmm yyyy")</x:f>
        <x:v>Jul 2026</x:v>
      </x:c>
    </x:row>
    <x:row r="3202" ht="21" customHeight="1">
      <x:c r="A3202" s="10" t="n">
        <x:v>46215</x:v>
      </x:c>
      <x:c r="B3202" s="1" t="n">
        <x:v>5</x:v>
      </x:c>
      <x:c r="C3202" s="1" t="n">
        <x:v>6</x:v>
      </x:c>
      <x:c r="D3202" s="12" t="n">
        <x:v>0</x:v>
      </x:c>
      <x:c r="E3202" s="12" t="n">
        <x:v>0.345</x:v>
      </x:c>
      <x:c r="F3202" s="12" t="n">
        <x:v>0.34475</x:v>
      </x:c>
      <x:c r="G3202" s="12" t="n">
        <x:v>0</x:v>
      </x:c>
      <x:c r="H3202" s="1" t="n">
        <x:f>'Historical prices'!E3202</x:f>
        <x:v>1.05</x:v>
      </x:c>
      <x:c r="I3202" s="6" t="n">
        <x:f>'Historical prices'!D3202</x:f>
        <x:v>0.1934</x:v>
      </x:c>
      <x:c r="J3202" s="13" t="n">
        <x:f>D3202*I3202*H3202</x:f>
        <x:v>0</x:v>
      </x:c>
      <x:c r="K3202" s="13" t="n">
        <x:f>E3202*I3202*H3202</x:f>
        <x:v>0.07005914999999999</x:v>
      </x:c>
      <x:c r="L3202" s="1" t="str">
        <x:f>TEXT(A3202,"mmm yyyy")</x:f>
        <x:v>Jul 2026</x:v>
      </x:c>
    </x:row>
    <x:row r="3203" ht="21" customHeight="1">
      <x:c r="A3203" s="10" t="n">
        <x:v>46215</x:v>
      </x:c>
      <x:c r="B3203" s="1" t="n">
        <x:v>5.5</x:v>
      </x:c>
      <x:c r="C3203" s="1" t="n">
        <x:v>6</x:v>
      </x:c>
      <x:c r="D3203" s="12" t="n">
        <x:v>0</x:v>
      </x:c>
      <x:c r="E3203" s="12" t="n">
        <x:v>0.28974999999999995</x:v>
      </x:c>
      <x:c r="F3203" s="12" t="n">
        <x:v>0.2895833333333333</x:v>
      </x:c>
      <x:c r="G3203" s="12" t="n">
        <x:v>0</x:v>
      </x:c>
      <x:c r="H3203" s="1" t="n">
        <x:f>'Historical prices'!E3203</x:f>
        <x:v>1.05</x:v>
      </x:c>
      <x:c r="I3203" s="6" t="n">
        <x:f>'Historical prices'!D3203</x:f>
        <x:v>0.172</x:v>
      </x:c>
      <x:c r="J3203" s="13" t="n">
        <x:f>D3203*I3203*H3203</x:f>
        <x:v>0</x:v>
      </x:c>
      <x:c r="K3203" s="13" t="n">
        <x:f>E3203*I3203*H3203</x:f>
        <x:v>0.05232884999999999</x:v>
      </x:c>
      <x:c r="L3203" s="1" t="str">
        <x:f>TEXT(A3203,"mmm yyyy")</x:f>
        <x:v>Jul 2026</x:v>
      </x:c>
    </x:row>
    <x:row r="3204" ht="21" customHeight="1">
      <x:c r="A3204" s="10" t="n">
        <x:v>46215</x:v>
      </x:c>
      <x:c r="B3204" s="1" t="n">
        <x:v>6</x:v>
      </x:c>
      <x:c r="C3204" s="1" t="n">
        <x:v>6</x:v>
      </x:c>
      <x:c r="D3204" s="12" t="n">
        <x:v>0</x:v>
      </x:c>
      <x:c r="E3204" s="12" t="n">
        <x:v>0.30516666666666664</x:v>
      </x:c>
      <x:c r="F3204" s="12" t="n">
        <x:v>0.30491666666666667</x:v>
      </x:c>
      <x:c r="G3204" s="12" t="n">
        <x:v>0</x:v>
      </x:c>
      <x:c r="H3204" s="1" t="n">
        <x:f>'Historical prices'!E3204</x:f>
        <x:v>1.05</x:v>
      </x:c>
      <x:c r="I3204" s="6" t="n">
        <x:f>'Historical prices'!D3204</x:f>
        <x:v>0.1517</x:v>
      </x:c>
      <x:c r="J3204" s="13" t="n">
        <x:f>D3204*I3204*H3204</x:f>
        <x:v>0</x:v>
      </x:c>
      <x:c r="K3204" s="13" t="n">
        <x:f>E3204*I3204*H3204</x:f>
        <x:v>0.0486084725</x:v>
      </x:c>
      <x:c r="L3204" s="1" t="str">
        <x:f>TEXT(A3204,"mmm yyyy")</x:f>
        <x:v>Jul 2026</x:v>
      </x:c>
    </x:row>
    <x:row r="3205" ht="21" customHeight="1">
      <x:c r="A3205" s="10" t="n">
        <x:v>46215</x:v>
      </x:c>
      <x:c r="B3205" s="1" t="n">
        <x:v>6.5</x:v>
      </x:c>
      <x:c r="C3205" s="1" t="n">
        <x:v>6</x:v>
      </x:c>
      <x:c r="D3205" s="12" t="n">
        <x:v>0</x:v>
      </x:c>
      <x:c r="E3205" s="12" t="n">
        <x:v>0.56675</x:v>
      </x:c>
      <x:c r="F3205" s="12" t="n">
        <x:v>0.5666666666666667</x:v>
      </x:c>
      <x:c r="G3205" s="12" t="n">
        <x:v>0</x:v>
      </x:c>
      <x:c r="H3205" s="1" t="n">
        <x:f>'Historical prices'!E3205</x:f>
        <x:v>1.05</x:v>
      </x:c>
      <x:c r="I3205" s="6" t="n">
        <x:f>'Historical prices'!D3205</x:f>
        <x:v>0.1598</x:v>
      </x:c>
      <x:c r="J3205" s="13" t="n">
        <x:f>D3205*I3205*H3205</x:f>
        <x:v>0</x:v>
      </x:c>
      <x:c r="K3205" s="13" t="n">
        <x:f>E3205*I3205*H3205</x:f>
        <x:v>0.09509498250000001</x:v>
      </x:c>
      <x:c r="L3205" s="1" t="str">
        <x:f>TEXT(A3205,"mmm yyyy")</x:f>
        <x:v>Jul 2026</x:v>
      </x:c>
    </x:row>
    <x:row r="3206" ht="21" customHeight="1">
      <x:c r="A3206" s="10" t="n">
        <x:v>46215</x:v>
      </x:c>
      <x:c r="B3206" s="1" t="n">
        <x:v>7</x:v>
      </x:c>
      <x:c r="C3206" s="1" t="n">
        <x:v>6</x:v>
      </x:c>
      <x:c r="D3206" s="12" t="n">
        <x:v>0</x:v>
      </x:c>
      <x:c r="E3206" s="12" t="n">
        <x:v>0.5656666666666667</x:v>
      </x:c>
      <x:c r="F3206" s="12" t="n">
        <x:v>0.5655</x:v>
      </x:c>
      <x:c r="G3206" s="12" t="n">
        <x:v>0</x:v>
      </x:c>
      <x:c r="H3206" s="1" t="n">
        <x:f>'Historical prices'!E3206</x:f>
        <x:v>1.05</x:v>
      </x:c>
      <x:c r="I3206" s="6" t="n">
        <x:f>'Historical prices'!D3206</x:f>
        <x:v>0.06280000000000001</x:v>
      </x:c>
      <x:c r="J3206" s="13" t="n">
        <x:f>D3206*I3206*H3206</x:f>
        <x:v>0</x:v>
      </x:c>
      <x:c r="K3206" s="13" t="n">
        <x:f>E3206*I3206*H3206</x:f>
        <x:v>0.03730006</x:v>
      </x:c>
      <x:c r="L3206" s="1" t="str">
        <x:f>TEXT(A3206,"mmm yyyy")</x:f>
        <x:v>Jul 2026</x:v>
      </x:c>
    </x:row>
    <x:row r="3207" ht="21" customHeight="1">
      <x:c r="A3207" s="10" t="n">
        <x:v>46215</x:v>
      </x:c>
      <x:c r="B3207" s="1" t="n">
        <x:v>7.5</x:v>
      </x:c>
      <x:c r="C3207" s="1" t="n">
        <x:v>6</x:v>
      </x:c>
      <x:c r="D3207" s="12" t="n">
        <x:v>0</x:v>
      </x:c>
      <x:c r="E3207" s="12" t="n">
        <x:v>0.5700833333333333</x:v>
      </x:c>
      <x:c r="F3207" s="12" t="n">
        <x:v>0.5696666666666667</x:v>
      </x:c>
      <x:c r="G3207" s="12" t="n">
        <x:v>0</x:v>
      </x:c>
      <x:c r="H3207" s="1" t="n">
        <x:f>'Historical prices'!E3207</x:f>
        <x:v>1.05</x:v>
      </x:c>
      <x:c r="I3207" s="6" t="n">
        <x:f>'Historical prices'!D3207</x:f>
        <x:v>0.054400000000000004</x:v>
      </x:c>
      <x:c r="J3207" s="13" t="n">
        <x:f>D3207*I3207*H3207</x:f>
        <x:v>0</x:v>
      </x:c>
      <x:c r="K3207" s="13" t="n">
        <x:f>E3207*I3207*H3207</x:f>
        <x:v>0.03256316</x:v>
      </x:c>
      <x:c r="L3207" s="1" t="str">
        <x:f>TEXT(A3207,"mmm yyyy")</x:f>
        <x:v>Jul 2026</x:v>
      </x:c>
    </x:row>
    <x:row r="3208" ht="21" customHeight="1">
      <x:c r="A3208" s="10" t="n">
        <x:v>46215</x:v>
      </x:c>
      <x:c r="B3208" s="1" t="n">
        <x:v>8</x:v>
      </x:c>
      <x:c r="C3208" s="1" t="n">
        <x:v>6</x:v>
      </x:c>
      <x:c r="D3208" s="12" t="n">
        <x:v>0</x:v>
      </x:c>
      <x:c r="E3208" s="12" t="n">
        <x:v>0.46575</x:v>
      </x:c>
      <x:c r="F3208" s="12" t="n">
        <x:v>0.4625</x:v>
      </x:c>
      <x:c r="G3208" s="12" t="n">
        <x:v>0</x:v>
      </x:c>
      <x:c r="H3208" s="1" t="n">
        <x:f>'Historical prices'!E3208</x:f>
        <x:v>1.05</x:v>
      </x:c>
      <x:c r="I3208" s="6" t="n">
        <x:f>'Historical prices'!D3208</x:f>
        <x:v>0.0317</x:v>
      </x:c>
      <x:c r="J3208" s="13" t="n">
        <x:f>D3208*I3208*H3208</x:f>
        <x:v>0</x:v>
      </x:c>
      <x:c r="K3208" s="13" t="n">
        <x:f>E3208*I3208*H3208</x:f>
        <x:v>0.015502488750000001</x:v>
      </x:c>
      <x:c r="L3208" s="1" t="str">
        <x:f>TEXT(A3208,"mmm yyyy")</x:f>
        <x:v>Jul 2026</x:v>
      </x:c>
    </x:row>
    <x:row r="3209" ht="21" customHeight="1">
      <x:c r="A3209" s="10" t="n">
        <x:v>46215</x:v>
      </x:c>
      <x:c r="B3209" s="1" t="n">
        <x:v>8.5</x:v>
      </x:c>
      <x:c r="C3209" s="1" t="n">
        <x:v>6</x:v>
      </x:c>
      <x:c r="D3209" s="12" t="n">
        <x:v>0</x:v>
      </x:c>
      <x:c r="E3209" s="12" t="n">
        <x:v>0.5076666666666666</x:v>
      </x:c>
      <x:c r="F3209" s="12" t="n">
        <x:v>0.5075</x:v>
      </x:c>
      <x:c r="G3209" s="12" t="n">
        <x:v>0</x:v>
      </x:c>
      <x:c r="H3209" s="1" t="n">
        <x:f>'Historical prices'!E3209</x:f>
        <x:v>1.05</x:v>
      </x:c>
      <x:c r="I3209" s="6" t="n">
        <x:f>'Historical prices'!D3209</x:f>
        <x:v>0.010700000000000001</x:v>
      </x:c>
      <x:c r="J3209" s="13" t="n">
        <x:f>D3209*I3209*H3209</x:f>
        <x:v>0</x:v>
      </x:c>
      <x:c r="K3209" s="13" t="n">
        <x:f>E3209*I3209*H3209</x:f>
        <x:v>0.005703635</x:v>
      </x:c>
      <x:c r="L3209" s="1" t="str">
        <x:f>TEXT(A3209,"mmm yyyy")</x:f>
        <x:v>Jul 2026</x:v>
      </x:c>
    </x:row>
    <x:row r="3210" ht="21" customHeight="1">
      <x:c r="A3210" s="10" t="n">
        <x:v>46215</x:v>
      </x:c>
      <x:c r="B3210" s="1" t="n">
        <x:v>9</x:v>
      </x:c>
      <x:c r="C3210" s="1" t="n">
        <x:v>6</x:v>
      </x:c>
      <x:c r="D3210" s="12" t="n">
        <x:v>0</x:v>
      </x:c>
      <x:c r="E3210" s="12" t="n">
        <x:v>0.5065833333333334</x:v>
      </x:c>
      <x:c r="F3210" s="12" t="n">
        <x:v>0.5059166666666666</x:v>
      </x:c>
      <x:c r="G3210" s="12" t="n">
        <x:v>0</x:v>
      </x:c>
      <x:c r="H3210" s="1" t="n">
        <x:f>'Historical prices'!E3210</x:f>
        <x:v>1.05</x:v>
      </x:c>
      <x:c r="I3210" s="6" t="n">
        <x:f>'Historical prices'!D3210</x:f>
        <x:v>0.0233</x:v>
      </x:c>
      <x:c r="J3210" s="13" t="n">
        <x:f>D3210*I3210*H3210</x:f>
        <x:v>0</x:v>
      </x:c>
      <x:c r="K3210" s="13" t="n">
        <x:f>E3210*I3210*H3210</x:f>
        <x:v>0.012393561250000002</x:v>
      </x:c>
      <x:c r="L3210" s="1" t="str">
        <x:f>TEXT(A3210,"mmm yyyy")</x:f>
        <x:v>Jul 2026</x:v>
      </x:c>
    </x:row>
    <x:row r="3211" ht="21" customHeight="1">
      <x:c r="A3211" s="10" t="n">
        <x:v>46215</x:v>
      </x:c>
      <x:c r="B3211" s="1" t="n">
        <x:v>9.5</x:v>
      </x:c>
      <x:c r="C3211" s="1" t="n">
        <x:v>6</x:v>
      </x:c>
      <x:c r="D3211" s="12" t="n">
        <x:v>0</x:v>
      </x:c>
      <x:c r="E3211" s="12" t="n">
        <x:v>0.47525</x:v>
      </x:c>
      <x:c r="F3211" s="12" t="n">
        <x:v>0.4746666666666666</x:v>
      </x:c>
      <x:c r="G3211" s="12" t="n">
        <x:v>0</x:v>
      </x:c>
      <x:c r="H3211" s="1" t="n">
        <x:f>'Historical prices'!E3211</x:f>
        <x:v>1.05</x:v>
      </x:c>
      <x:c r="I3211" s="6" t="n">
        <x:f>'Historical prices'!D3211</x:f>
        <x:v>0.0086</x:v>
      </x:c>
      <x:c r="J3211" s="13" t="n">
        <x:f>D3211*I3211*H3211</x:f>
        <x:v>0</x:v>
      </x:c>
      <x:c r="K3211" s="13" t="n">
        <x:f>E3211*I3211*H3211</x:f>
        <x:v>0.0042915075000000006</x:v>
      </x:c>
      <x:c r="L3211" s="1" t="str">
        <x:f>TEXT(A3211,"mmm yyyy")</x:f>
        <x:v>Jul 2026</x:v>
      </x:c>
    </x:row>
    <x:row r="3212" ht="21" customHeight="1">
      <x:c r="A3212" s="10" t="n">
        <x:v>46215</x:v>
      </x:c>
      <x:c r="B3212" s="1" t="n">
        <x:v>10</x:v>
      </x:c>
      <x:c r="C3212" s="1" t="n">
        <x:v>6</x:v>
      </x:c>
      <x:c r="D3212" s="12" t="n">
        <x:v>0</x:v>
      </x:c>
      <x:c r="E3212" s="12" t="n">
        <x:v>0.41600000000000004</x:v>
      </x:c>
      <x:c r="F3212" s="12" t="n">
        <x:v>0.41558333333333336</x:v>
      </x:c>
      <x:c r="G3212" s="12" t="n">
        <x:v>0</x:v>
      </x:c>
      <x:c r="H3212" s="1" t="n">
        <x:f>'Historical prices'!E3212</x:f>
        <x:v>1.05</x:v>
      </x:c>
      <x:c r="I3212" s="6" t="n">
        <x:f>'Historical prices'!D3212</x:f>
        <x:v>0.0212</x:v>
      </x:c>
      <x:c r="J3212" s="13" t="n">
        <x:f>D3212*I3212*H3212</x:f>
        <x:v>0</x:v>
      </x:c>
      <x:c r="K3212" s="13" t="n">
        <x:f>E3212*I3212*H3212</x:f>
        <x:v>0.009260160000000002</x:v>
      </x:c>
      <x:c r="L3212" s="1" t="str">
        <x:f>TEXT(A3212,"mmm yyyy")</x:f>
        <x:v>Jul 2026</x:v>
      </x:c>
    </x:row>
    <x:row r="3213" ht="21" customHeight="1">
      <x:c r="A3213" s="10" t="n">
        <x:v>46215</x:v>
      </x:c>
      <x:c r="B3213" s="1" t="n">
        <x:v>10.5</x:v>
      </x:c>
      <x:c r="C3213" s="1" t="n">
        <x:v>6</x:v>
      </x:c>
      <x:c r="D3213" s="12" t="n">
        <x:v>0</x:v>
      </x:c>
      <x:c r="E3213" s="12" t="n">
        <x:v>0.4651666666666667</x:v>
      </x:c>
      <x:c r="F3213" s="12" t="n">
        <x:v>0.4648333333333333</x:v>
      </x:c>
      <x:c r="G3213" s="12" t="n">
        <x:v>0</x:v>
      </x:c>
      <x:c r="H3213" s="1" t="n">
        <x:f>'Historical prices'!E3213</x:f>
        <x:v>1.05</x:v>
      </x:c>
      <x:c r="I3213" s="6" t="n">
        <x:f>'Historical prices'!D3213</x:f>
        <x:v>-0.0019</x:v>
      </x:c>
      <x:c r="J3213" s="13" t="n">
        <x:f>D3213*I3213*H3213</x:f>
        <x:v>0</x:v>
      </x:c>
      <x:c r="K3213" s="13" t="n">
        <x:f>E3213*I3213*H3213</x:f>
        <x:v>-0.0009280075000000001</x:v>
      </x:c>
      <x:c r="L3213" s="1" t="str">
        <x:f>TEXT(A3213,"mmm yyyy")</x:f>
        <x:v>Jul 2026</x:v>
      </x:c>
    </x:row>
    <x:row r="3214" ht="21" customHeight="1">
      <x:c r="A3214" s="10" t="n">
        <x:v>46215</x:v>
      </x:c>
      <x:c r="B3214" s="1" t="n">
        <x:v>11</x:v>
      </x:c>
      <x:c r="C3214" s="1" t="n">
        <x:v>6</x:v>
      </x:c>
      <x:c r="D3214" s="12" t="n">
        <x:v>0.3323333333333333</x:v>
      </x:c>
      <x:c r="E3214" s="12" t="n">
        <x:v>0.42225</x:v>
      </x:c>
      <x:c r="F3214" s="12" t="n">
        <x:v>0.08091666666666666</x:v>
      </x:c>
      <x:c r="G3214" s="12" t="n">
        <x:v>0</x:v>
      </x:c>
      <x:c r="H3214" s="1" t="n">
        <x:f>'Historical prices'!E3214</x:f>
        <x:v>1.05</x:v>
      </x:c>
      <x:c r="I3214" s="6" t="n">
        <x:f>'Historical prices'!D3214</x:f>
        <x:v>-0.0124</x:v>
      </x:c>
      <x:c r="J3214" s="13" t="n">
        <x:f>D3214*I3214*H3214</x:f>
        <x:v>-0.004326979999999999</x:v>
      </x:c>
      <x:c r="K3214" s="13" t="n">
        <x:f>E3214*I3214*H3214</x:f>
        <x:v>-0.005497695</x:v>
      </x:c>
      <x:c r="L3214" s="1" t="str">
        <x:f>TEXT(A3214,"mmm yyyy")</x:f>
        <x:v>Jul 2026</x:v>
      </x:c>
    </x:row>
    <x:row r="3215" ht="21" customHeight="1">
      <x:c r="A3215" s="10" t="n">
        <x:v>46215</x:v>
      </x:c>
      <x:c r="B3215" s="1" t="n">
        <x:v>11.5</x:v>
      </x:c>
      <x:c r="C3215" s="1" t="n">
        <x:v>6</x:v>
      </x:c>
      <x:c r="D3215" s="12" t="n">
        <x:v>4.487666666666667</x:v>
      </x:c>
      <x:c r="E3215" s="12" t="n">
        <x:v>0.6266666666666667</x:v>
      </x:c>
      <x:c r="F3215" s="12" t="n">
        <x:v>0</x:v>
      </x:c>
      <x:c r="G3215" s="12" t="n">
        <x:v>3.862</x:v>
      </x:c>
      <x:c r="H3215" s="1" t="n">
        <x:f>'Historical prices'!E3215</x:f>
        <x:v>1.05</x:v>
      </x:c>
      <x:c r="I3215" s="6" t="n">
        <x:f>'Historical prices'!D3215</x:f>
        <x:v>-0.022799999999999997</x:v>
      </x:c>
      <x:c r="J3215" s="13" t="n">
        <x:f>D3215*I3215*H3215</x:f>
        <x:v>-0.10743473999999999</x:v>
      </x:c>
      <x:c r="K3215" s="13" t="n">
        <x:f>E3215*I3215*H3215</x:f>
        <x:v>-0.015002399999999999</x:v>
      </x:c>
      <x:c r="L3215" s="1" t="str">
        <x:f>TEXT(A3215,"mmm yyyy")</x:f>
        <x:v>Jul 2026</x:v>
      </x:c>
    </x:row>
    <x:row r="3216" ht="21" customHeight="1">
      <x:c r="A3216" s="10" t="n">
        <x:v>46215</x:v>
      </x:c>
      <x:c r="B3216" s="1" t="n">
        <x:v>12</x:v>
      </x:c>
      <x:c r="C3216" s="1" t="n">
        <x:v>6</x:v>
      </x:c>
      <x:c r="D3216" s="12" t="n">
        <x:v>5.382416666666666</x:v>
      </x:c>
      <x:c r="E3216" s="12" t="n">
        <x:v>0.7274166666666667</x:v>
      </x:c>
      <x:c r="F3216" s="12" t="n">
        <x:v>0</x:v>
      </x:c>
      <x:c r="G3216" s="12" t="n">
        <x:v>4.655</x:v>
      </x:c>
      <x:c r="H3216" s="1" t="n">
        <x:f>'Historical prices'!E3216</x:f>
        <x:v>1.05</x:v>
      </x:c>
      <x:c r="I3216" s="6" t="n">
        <x:f>'Historical prices'!D3216</x:f>
        <x:v>-0.0208</x:v>
      </x:c>
      <x:c r="J3216" s="13" t="n">
        <x:f>D3216*I3216*H3216</x:f>
        <x:v>-0.11755197999999999</x:v>
      </x:c>
      <x:c r="K3216" s="13" t="n">
        <x:f>E3216*I3216*H3216</x:f>
        <x:v>-0.01588678</x:v>
      </x:c>
      <x:c r="L3216" s="1" t="str">
        <x:f>TEXT(A3216,"mmm yyyy")</x:f>
        <x:v>Jul 2026</x:v>
      </x:c>
    </x:row>
    <x:row r="3217" ht="21" customHeight="1">
      <x:c r="A3217" s="10" t="n">
        <x:v>46215</x:v>
      </x:c>
      <x:c r="B3217" s="1" t="n">
        <x:v>12.5</x:v>
      </x:c>
      <x:c r="C3217" s="1" t="n">
        <x:v>6</x:v>
      </x:c>
      <x:c r="D3217" s="12" t="n">
        <x:v>5.585166666666667</x:v>
      </x:c>
      <x:c r="E3217" s="12" t="n">
        <x:v>1.1131666666666666</x:v>
      </x:c>
      <x:c r="F3217" s="12" t="n">
        <x:v>0</x:v>
      </x:c>
      <x:c r="G3217" s="12" t="n">
        <x:v>4.472</x:v>
      </x:c>
      <x:c r="H3217" s="1" t="n">
        <x:f>'Historical prices'!E3217</x:f>
        <x:v>1.05</x:v>
      </x:c>
      <x:c r="I3217" s="6" t="n">
        <x:f>'Historical prices'!D3217</x:f>
        <x:v>-0.0208</x:v>
      </x:c>
      <x:c r="J3217" s="13" t="n">
        <x:f>D3217*I3217*H3217</x:f>
        <x:v>-0.12198004000000001</x:v>
      </x:c>
      <x:c r="K3217" s="13" t="n">
        <x:f>E3217*I3217*H3217</x:f>
        <x:v>-0.02431156</x:v>
      </x:c>
      <x:c r="L3217" s="1" t="str">
        <x:f>TEXT(A3217,"mmm yyyy")</x:f>
        <x:v>Jul 2026</x:v>
      </x:c>
    </x:row>
    <x:row r="3218" ht="21" customHeight="1">
      <x:c r="A3218" s="10" t="n">
        <x:v>46215</x:v>
      </x:c>
      <x:c r="B3218" s="1" t="n">
        <x:v>13</x:v>
      </x:c>
      <x:c r="C3218" s="1" t="n">
        <x:v>6</x:v>
      </x:c>
      <x:c r="D3218" s="12" t="n">
        <x:v>5.469333333333333</x:v>
      </x:c>
      <x:c r="E3218" s="12" t="n">
        <x:v>0.7043333333333334</x:v>
      </x:c>
      <x:c r="F3218" s="12" t="n">
        <x:v>0</x:v>
      </x:c>
      <x:c r="G3218" s="12" t="n">
        <x:v>4.765000000000001</x:v>
      </x:c>
      <x:c r="H3218" s="1" t="n">
        <x:f>'Historical prices'!E3218</x:f>
        <x:v>1.05</x:v>
      </x:c>
      <x:c r="I3218" s="6" t="n">
        <x:f>'Historical prices'!D3218</x:f>
        <x:v>-0.0191</x:v>
      </x:c>
      <x:c r="J3218" s="13" t="n">
        <x:f>D3218*I3218*H3218</x:f>
        <x:v>-0.10968747999999999</x:v>
      </x:c>
      <x:c r="K3218" s="13" t="n">
        <x:f>E3218*I3218*H3218</x:f>
        <x:v>-0.014125405</x:v>
      </x:c>
      <x:c r="L3218" s="1" t="str">
        <x:f>TEXT(A3218,"mmm yyyy")</x:f>
        <x:v>Jul 2026</x:v>
      </x:c>
    </x:row>
    <x:row r="3219" ht="21" customHeight="1">
      <x:c r="A3219" s="10" t="n">
        <x:v>46215</x:v>
      </x:c>
      <x:c r="B3219" s="1" t="n">
        <x:v>13.5</x:v>
      </x:c>
      <x:c r="C3219" s="1" t="n">
        <x:v>6</x:v>
      </x:c>
      <x:c r="D3219" s="12" t="n">
        <x:v>5.343166666666667</x:v>
      </x:c>
      <x:c r="E3219" s="12" t="n">
        <x:v>0.7201666666666666</x:v>
      </x:c>
      <x:c r="F3219" s="12" t="n">
        <x:v>0</x:v>
      </x:c>
      <x:c r="G3219" s="12" t="n">
        <x:v>4.623</x:v>
      </x:c>
      <x:c r="H3219" s="1" t="n">
        <x:f>'Historical prices'!E3219</x:f>
        <x:v>1.05</x:v>
      </x:c>
      <x:c r="I3219" s="6" t="n">
        <x:f>'Historical prices'!D3219</x:f>
        <x:v>-0.0222</x:v>
      </x:c>
      <x:c r="J3219" s="13" t="n">
        <x:f>D3219*I3219*H3219</x:f>
        <x:v>-0.12454921500000002</x:v>
      </x:c>
      <x:c r="K3219" s="13" t="n">
        <x:f>E3219*I3219*H3219</x:f>
        <x:v>-0.016787085</x:v>
      </x:c>
      <x:c r="L3219" s="1" t="str">
        <x:f>TEXT(A3219,"mmm yyyy")</x:f>
        <x:v>Jul 2026</x:v>
      </x:c>
    </x:row>
    <x:row r="3220" ht="21" customHeight="1">
      <x:c r="A3220" s="10" t="n">
        <x:v>46215</x:v>
      </x:c>
      <x:c r="B3220" s="1" t="n">
        <x:v>14</x:v>
      </x:c>
      <x:c r="C3220" s="1" t="n">
        <x:v>6</x:v>
      </x:c>
      <x:c r="D3220" s="12" t="n">
        <x:v>5.337166666666667</x:v>
      </x:c>
      <x:c r="E3220" s="12" t="n">
        <x:v>0.7141666666666666</x:v>
      </x:c>
      <x:c r="F3220" s="12" t="n">
        <x:v>0</x:v>
      </x:c>
      <x:c r="G3220" s="12" t="n">
        <x:v>4.623</x:v>
      </x:c>
      <x:c r="H3220" s="1" t="n">
        <x:f>'Historical prices'!E3220</x:f>
        <x:v>1.05</x:v>
      </x:c>
      <x:c r="I3220" s="6" t="n">
        <x:f>'Historical prices'!D3220</x:f>
        <x:v>-0.0208</x:v>
      </x:c>
      <x:c r="J3220" s="13" t="n">
        <x:f>D3220*I3220*H3220</x:f>
        <x:v>-0.11656372</x:v>
      </x:c>
      <x:c r="K3220" s="13" t="n">
        <x:f>E3220*I3220*H3220</x:f>
        <x:v>-0.015597399999999999</x:v>
      </x:c>
      <x:c r="L3220" s="1" t="str">
        <x:f>TEXT(A3220,"mmm yyyy")</x:f>
        <x:v>Jul 2026</x:v>
      </x:c>
    </x:row>
    <x:row r="3221" ht="21" customHeight="1">
      <x:c r="A3221" s="10" t="n">
        <x:v>46215</x:v>
      </x:c>
      <x:c r="B3221" s="1" t="n">
        <x:v>14.5</x:v>
      </x:c>
      <x:c r="C3221" s="1" t="n">
        <x:v>6</x:v>
      </x:c>
      <x:c r="D3221" s="12" t="n">
        <x:v>2.629916666666666</x:v>
      </x:c>
      <x:c r="E3221" s="12" t="n">
        <x:v>0.5259166666666667</x:v>
      </x:c>
      <x:c r="F3221" s="12" t="n">
        <x:v>0</x:v>
      </x:c>
      <x:c r="G3221" s="12" t="n">
        <x:v>2.104</x:v>
      </x:c>
      <x:c r="H3221" s="1" t="n">
        <x:f>'Historical prices'!E3221</x:f>
        <x:v>1.05</x:v>
      </x:c>
      <x:c r="I3221" s="6" t="n">
        <x:f>'Historical prices'!D3221</x:f>
        <x:v>-0.0132</x:v>
      </x:c>
      <x:c r="J3221" s="13" t="n">
        <x:f>D3221*I3221*H3221</x:f>
        <x:v>-0.036450645</x:v>
      </x:c>
      <x:c r="K3221" s="13" t="n">
        <x:f>E3221*I3221*H3221</x:f>
        <x:v>-0.007289205000000001</x:v>
      </x:c>
      <x:c r="L3221" s="1" t="str">
        <x:f>TEXT(A3221,"mmm yyyy")</x:f>
        <x:v>Jul 2026</x:v>
      </x:c>
    </x:row>
    <x:row r="3222" ht="21" customHeight="1">
      <x:c r="A3222" s="10" t="n">
        <x:v>46215</x:v>
      </x:c>
      <x:c r="B3222" s="1" t="n">
        <x:v>15</x:v>
      </x:c>
      <x:c r="C3222" s="1" t="n">
        <x:v>6</x:v>
      </x:c>
      <x:c r="D3222" s="12" t="n">
        <x:v>0.749</x:v>
      </x:c>
      <x:c r="E3222" s="12" t="n">
        <x:v>0.48000000000000004</x:v>
      </x:c>
      <x:c r="F3222" s="12" t="n">
        <x:v>0</x:v>
      </x:c>
      <x:c r="G3222" s="12" t="n">
        <x:v>0.275</x:v>
      </x:c>
      <x:c r="H3222" s="1" t="n">
        <x:f>'Historical prices'!E3222</x:f>
        <x:v>1.05</x:v>
      </x:c>
      <x:c r="I3222" s="6" t="n">
        <x:f>'Historical prices'!D3222</x:f>
        <x:v>-0.008199999999999999</x:v>
      </x:c>
      <x:c r="J3222" s="13" t="n">
        <x:f>D3222*I3222*H3222</x:f>
        <x:v>-0.00644889</x:v>
      </x:c>
      <x:c r="K3222" s="13" t="n">
        <x:f>E3222*I3222*H3222</x:f>
        <x:v>-0.0041328</x:v>
      </x:c>
      <x:c r="L3222" s="1" t="str">
        <x:f>TEXT(A3222,"mmm yyyy")</x:f>
        <x:v>Jul 2026</x:v>
      </x:c>
    </x:row>
    <x:row r="3223" ht="21" customHeight="1">
      <x:c r="A3223" s="10" t="n">
        <x:v>46215</x:v>
      </x:c>
      <x:c r="B3223" s="1" t="n">
        <x:v>15.5</x:v>
      </x:c>
      <x:c r="C3223" s="1" t="n">
        <x:v>6</x:v>
      </x:c>
      <x:c r="D3223" s="12" t="n">
        <x:v>0.4903333333333334</x:v>
      </x:c>
      <x:c r="E3223" s="12" t="n">
        <x:v>0.5083333333333334</x:v>
      </x:c>
      <x:c r="F3223" s="12" t="n">
        <x:v>0</x:v>
      </x:c>
      <x:c r="G3223" s="12" t="n">
        <x:v>0</x:v>
      </x:c>
      <x:c r="H3223" s="1" t="n">
        <x:f>'Historical prices'!E3223</x:f>
        <x:v>1.05</x:v>
      </x:c>
      <x:c r="I3223" s="6" t="n">
        <x:f>'Historical prices'!D3223</x:f>
        <x:v>-0.0042</x:v>
      </x:c>
      <x:c r="J3223" s="13" t="n">
        <x:f>D3223*I3223*H3223</x:f>
        <x:v>-0.0021623700000000003</x:v>
      </x:c>
      <x:c r="K3223" s="13" t="n">
        <x:f>E3223*I3223*H3223</x:f>
        <x:v>-0.0022417500000000003</x:v>
      </x:c>
      <x:c r="L3223" s="1" t="str">
        <x:f>TEXT(A3223,"mmm yyyy")</x:f>
        <x:v>Jul 2026</x:v>
      </x:c>
    </x:row>
    <x:row r="3224" ht="21" customHeight="1">
      <x:c r="A3224" s="10" t="n">
        <x:v>46215</x:v>
      </x:c>
      <x:c r="B3224" s="1" t="n">
        <x:v>16</x:v>
      </x:c>
      <x:c r="C3224" s="1" t="n">
        <x:v>6</x:v>
      </x:c>
      <x:c r="D3224" s="12" t="n">
        <x:v>0.0855</x:v>
      </x:c>
      <x:c r="E3224" s="12" t="n">
        <x:v>0.5683333333333334</x:v>
      </x:c>
      <x:c r="F3224" s="12" t="n">
        <x:v>0.47950000000000004</x:v>
      </x:c>
      <x:c r="G3224" s="12" t="n">
        <x:v>0</x:v>
      </x:c>
      <x:c r="H3224" s="1" t="n">
        <x:f>'Historical prices'!E3224</x:f>
        <x:v>1.05</x:v>
      </x:c>
      <x:c r="I3224" s="6" t="n">
        <x:f>'Historical prices'!D3224</x:f>
        <x:v>0.1284</x:v>
      </x:c>
      <x:c r="J3224" s="13" t="n">
        <x:f>D3224*I3224*H3224</x:f>
        <x:v>0.01152711</x:v>
      </x:c>
      <x:c r="K3224" s="13" t="n">
        <x:f>E3224*I3224*H3224</x:f>
        <x:v>0.0766227</x:v>
      </x:c>
      <x:c r="L3224" s="1" t="str">
        <x:f>TEXT(A3224,"mmm yyyy")</x:f>
        <x:v>Jul 2026</x:v>
      </x:c>
    </x:row>
    <x:row r="3225" ht="21" customHeight="1">
      <x:c r="A3225" s="10" t="n">
        <x:v>46215</x:v>
      </x:c>
      <x:c r="B3225" s="1" t="n">
        <x:v>16.5</x:v>
      </x:c>
      <x:c r="C3225" s="1" t="n">
        <x:v>6</x:v>
      </x:c>
      <x:c r="D3225" s="12" t="n">
        <x:v>0.39866666666666667</x:v>
      </x:c>
      <x:c r="E3225" s="12" t="n">
        <x:v>0.5126666666666666</x:v>
      </x:c>
      <x:c r="F3225" s="12" t="n">
        <x:v>0.102</x:v>
      </x:c>
      <x:c r="G3225" s="12" t="n">
        <x:v>0</x:v>
      </x:c>
      <x:c r="H3225" s="1" t="n">
        <x:f>'Historical prices'!E3225</x:f>
        <x:v>1.05</x:v>
      </x:c>
      <x:c r="I3225" s="6" t="n">
        <x:f>'Historical prices'!D3225</x:f>
        <x:v>0.16820000000000002</x:v>
      </x:c>
      <x:c r="J3225" s="13" t="n">
        <x:f>D3225*I3225*H3225</x:f>
        <x:v>0.07040852000000002</x:v>
      </x:c>
      <x:c r="K3225" s="13" t="n">
        <x:f>E3225*I3225*H3225</x:f>
        <x:v>0.09054206000000001</x:v>
      </x:c>
      <x:c r="L3225" s="1" t="str">
        <x:f>TEXT(A3225,"mmm yyyy")</x:f>
        <x:v>Jul 2026</x:v>
      </x:c>
    </x:row>
    <x:row r="3226" ht="21" customHeight="1">
      <x:c r="A3226" s="10" t="n">
        <x:v>46215</x:v>
      </x:c>
      <x:c r="B3226" s="1" t="n">
        <x:v>17</x:v>
      </x:c>
      <x:c r="C3226" s="1" t="n">
        <x:v>6</x:v>
      </x:c>
      <x:c r="D3226" s="12" t="n">
        <x:v>0.07925</x:v>
      </x:c>
      <x:c r="E3226" s="12" t="n">
        <x:v>0.52025</x:v>
      </x:c>
      <x:c r="F3226" s="12" t="n">
        <x:v>0.4388333333333333</x:v>
      </x:c>
      <x:c r="G3226" s="12" t="n">
        <x:v>0</x:v>
      </x:c>
      <x:c r="H3226" s="1" t="n">
        <x:f>'Historical prices'!E3226</x:f>
        <x:v>1.05</x:v>
      </x:c>
      <x:c r="I3226" s="6" t="n">
        <x:f>'Historical prices'!D3226</x:f>
        <x:v>0.23800000000000002</x:v>
      </x:c>
      <x:c r="J3226" s="13" t="n">
        <x:f>D3226*I3226*H3226</x:f>
        <x:v>0.019804575000000005</x:v>
      </x:c>
      <x:c r="K3226" s="13" t="n">
        <x:f>E3226*I3226*H3226</x:f>
        <x:v>0.13001047500000001</x:v>
      </x:c>
      <x:c r="L3226" s="1" t="str">
        <x:f>TEXT(A3226,"mmm yyyy")</x:f>
        <x:v>Jul 2026</x:v>
      </x:c>
    </x:row>
    <x:row r="3227" ht="21" customHeight="1">
      <x:c r="A3227" s="10" t="n">
        <x:v>46215</x:v>
      </x:c>
      <x:c r="B3227" s="1" t="n">
        <x:v>17.5</x:v>
      </x:c>
      <x:c r="C3227" s="1" t="n">
        <x:v>6</x:v>
      </x:c>
      <x:c r="D3227" s="12" t="n">
        <x:v>0</x:v>
      </x:c>
      <x:c r="E3227" s="12" t="n">
        <x:v>0.5456666666666666</x:v>
      </x:c>
      <x:c r="F3227" s="12" t="n">
        <x:v>0.54275</x:v>
      </x:c>
      <x:c r="G3227" s="12" t="n">
        <x:v>0</x:v>
      </x:c>
      <x:c r="H3227" s="1" t="n">
        <x:f>'Historical prices'!E3227</x:f>
        <x:v>1.05</x:v>
      </x:c>
      <x:c r="I3227" s="6" t="n">
        <x:f>'Historical prices'!D3227</x:f>
        <x:v>0.2441</x:v>
      </x:c>
      <x:c r="J3227" s="13" t="n">
        <x:f>D3227*I3227*H3227</x:f>
        <x:v>0</x:v>
      </x:c>
      <x:c r="K3227" s="13" t="n">
        <x:f>E3227*I3227*H3227</x:f>
        <x:v>0.13985709500000001</x:v>
      </x:c>
      <x:c r="L3227" s="1" t="str">
        <x:f>TEXT(A3227,"mmm yyyy")</x:f>
        <x:v>Jul 2026</x:v>
      </x:c>
    </x:row>
    <x:row r="3228" ht="21" customHeight="1">
      <x:c r="A3228" s="10" t="n">
        <x:v>46215</x:v>
      </x:c>
      <x:c r="B3228" s="1" t="n">
        <x:v>18</x:v>
      </x:c>
      <x:c r="C3228" s="1" t="n">
        <x:v>6</x:v>
      </x:c>
      <x:c r="D3228" s="12" t="n">
        <x:v>0</x:v>
      </x:c>
      <x:c r="E3228" s="12" t="n">
        <x:v>0.551</x:v>
      </x:c>
      <x:c r="F3228" s="12" t="n">
        <x:v>0.5459166666666666</x:v>
      </x:c>
      <x:c r="G3228" s="12" t="n">
        <x:v>0</x:v>
      </x:c>
      <x:c r="H3228" s="1" t="n">
        <x:f>'Historical prices'!E3228</x:f>
        <x:v>1.05</x:v>
      </x:c>
      <x:c r="I3228" s="6" t="n">
        <x:f>'Historical prices'!D3228</x:f>
        <x:v>0.3055</x:v>
      </x:c>
      <x:c r="J3228" s="13" t="n">
        <x:f>D3228*I3228*H3228</x:f>
        <x:v>0</x:v>
      </x:c>
      <x:c r="K3228" s="13" t="n">
        <x:f>E3228*I3228*H3228</x:f>
        <x:v>0.17674702500000003</x:v>
      </x:c>
      <x:c r="L3228" s="1" t="str">
        <x:f>TEXT(A3228,"mmm yyyy")</x:f>
        <x:v>Jul 2026</x:v>
      </x:c>
    </x:row>
    <x:row r="3229" ht="21" customHeight="1">
      <x:c r="A3229" s="10" t="n">
        <x:v>46215</x:v>
      </x:c>
      <x:c r="B3229" s="1" t="n">
        <x:v>18.5</x:v>
      </x:c>
      <x:c r="C3229" s="1" t="n">
        <x:v>6</x:v>
      </x:c>
      <x:c r="D3229" s="12" t="n">
        <x:v>0</x:v>
      </x:c>
      <x:c r="E3229" s="12" t="n">
        <x:v>0.5951666666666666</x:v>
      </x:c>
      <x:c r="F3229" s="12" t="n">
        <x:v>0.5946666666666667</x:v>
      </x:c>
      <x:c r="G3229" s="12" t="n">
        <x:v>0</x:v>
      </x:c>
      <x:c r="H3229" s="1" t="n">
        <x:f>'Historical prices'!E3229</x:f>
        <x:v>1.05</x:v>
      </x:c>
      <x:c r="I3229" s="6" t="n">
        <x:f>'Historical prices'!D3229</x:f>
        <x:v>0.3134</x:v>
      </x:c>
      <x:c r="J3229" s="13" t="n">
        <x:f>D3229*I3229*H3229</x:f>
        <x:v>0</x:v>
      </x:c>
      <x:c r="K3229" s="13" t="n">
        <x:f>E3229*I3229*H3229</x:f>
        <x:v>0.195851495</x:v>
      </x:c>
      <x:c r="L3229" s="1" t="str">
        <x:f>TEXT(A3229,"mmm yyyy")</x:f>
        <x:v>Jul 2026</x:v>
      </x:c>
    </x:row>
    <x:row r="3230" ht="21" customHeight="1">
      <x:c r="A3230" s="10" t="n">
        <x:v>46215</x:v>
      </x:c>
      <x:c r="B3230" s="1" t="n">
        <x:v>19</x:v>
      </x:c>
      <x:c r="C3230" s="1" t="n">
        <x:v>6</x:v>
      </x:c>
      <x:c r="D3230" s="12" t="n">
        <x:v>0</x:v>
      </x:c>
      <x:c r="E3230" s="12" t="n">
        <x:v>0.8281666666666666</x:v>
      </x:c>
      <x:c r="F3230" s="12" t="n">
        <x:v>0.8280833333333333</x:v>
      </x:c>
      <x:c r="G3230" s="12" t="n">
        <x:v>0</x:v>
      </x:c>
      <x:c r="H3230" s="1" t="n">
        <x:f>'Historical prices'!E3230</x:f>
        <x:v>1.05</x:v>
      </x:c>
      <x:c r="I3230" s="6" t="n">
        <x:f>'Historical prices'!D3230</x:f>
        <x:v>0.22219999999999998</x:v>
      </x:c>
      <x:c r="J3230" s="13" t="n">
        <x:f>D3230*I3230*H3230</x:f>
        <x:v>0</x:v>
      </x:c>
      <x:c r="K3230" s="13" t="n">
        <x:f>E3230*I3230*H3230</x:f>
        <x:v>0.19321956499999995</x:v>
      </x:c>
      <x:c r="L3230" s="1" t="str">
        <x:f>TEXT(A3230,"mmm yyyy")</x:f>
        <x:v>Jul 2026</x:v>
      </x:c>
    </x:row>
    <x:row r="3231" ht="21" customHeight="1">
      <x:c r="A3231" s="10" t="n">
        <x:v>46215</x:v>
      </x:c>
      <x:c r="B3231" s="1" t="n">
        <x:v>19.5</x:v>
      </x:c>
      <x:c r="C3231" s="1" t="n">
        <x:v>6</x:v>
      </x:c>
      <x:c r="D3231" s="12" t="n">
        <x:v>0</x:v>
      </x:c>
      <x:c r="E3231" s="12" t="n">
        <x:v>0.5459166666666666</x:v>
      </x:c>
      <x:c r="F3231" s="12" t="n">
        <x:v>0.54575</x:v>
      </x:c>
      <x:c r="G3231" s="12" t="n">
        <x:v>0</x:v>
      </x:c>
      <x:c r="H3231" s="1" t="n">
        <x:f>'Historical prices'!E3231</x:f>
        <x:v>1.05</x:v>
      </x:c>
      <x:c r="I3231" s="6" t="n">
        <x:f>'Historical prices'!D3231</x:f>
        <x:v>0.2256</x:v>
      </x:c>
      <x:c r="J3231" s="13" t="n">
        <x:f>D3231*I3231*H3231</x:f>
        <x:v>0</x:v>
      </x:c>
      <x:c r="K3231" s="13" t="n">
        <x:f>E3231*I3231*H3231</x:f>
        <x:v>0.12931673999999999</x:v>
      </x:c>
      <x:c r="L3231" s="1" t="str">
        <x:f>TEXT(A3231,"mmm yyyy")</x:f>
        <x:v>Jul 2026</x:v>
      </x:c>
    </x:row>
    <x:row r="3232" ht="21" customHeight="1">
      <x:c r="A3232" s="10" t="n">
        <x:v>46215</x:v>
      </x:c>
      <x:c r="B3232" s="1" t="n">
        <x:v>20</x:v>
      </x:c>
      <x:c r="C3232" s="1" t="n">
        <x:v>6</x:v>
      </x:c>
      <x:c r="D3232" s="12" t="n">
        <x:v>0</x:v>
      </x:c>
      <x:c r="E3232" s="12" t="n">
        <x:v>0.8296666666666666</x:v>
      </x:c>
      <x:c r="F3232" s="12" t="n">
        <x:v>0.8292499999999999</x:v>
      </x:c>
      <x:c r="G3232" s="12" t="n">
        <x:v>0</x:v>
      </x:c>
      <x:c r="H3232" s="1" t="n">
        <x:f>'Historical prices'!E3232</x:f>
        <x:v>1.05</x:v>
      </x:c>
      <x:c r="I3232" s="6" t="n">
        <x:f>'Historical prices'!D3232</x:f>
        <x:v>0.2228</x:v>
      </x:c>
      <x:c r="J3232" s="13" t="n">
        <x:f>D3232*I3232*H3232</x:f>
        <x:v>0</x:v>
      </x:c>
      <x:c r="K3232" s="13" t="n">
        <x:f>E3232*I3232*H3232</x:f>
        <x:v>0.19409221999999995</x:v>
      </x:c>
      <x:c r="L3232" s="1" t="str">
        <x:f>TEXT(A3232,"mmm yyyy")</x:f>
        <x:v>Jul 2026</x:v>
      </x:c>
    </x:row>
    <x:row r="3233" ht="21" customHeight="1">
      <x:c r="A3233" s="10" t="n">
        <x:v>46215</x:v>
      </x:c>
      <x:c r="B3233" s="1" t="n">
        <x:v>20.5</x:v>
      </x:c>
      <x:c r="C3233" s="1" t="n">
        <x:v>6</x:v>
      </x:c>
      <x:c r="D3233" s="12" t="n">
        <x:v>0</x:v>
      </x:c>
      <x:c r="E3233" s="12" t="n">
        <x:v>0.6039166666666667</x:v>
      </x:c>
      <x:c r="F3233" s="12" t="n">
        <x:v>0.60375</x:v>
      </x:c>
      <x:c r="G3233" s="12" t="n">
        <x:v>0</x:v>
      </x:c>
      <x:c r="H3233" s="1" t="n">
        <x:f>'Historical prices'!E3233</x:f>
        <x:v>1.05</x:v>
      </x:c>
      <x:c r="I3233" s="6" t="n">
        <x:f>'Historical prices'!D3233</x:f>
        <x:v>0.222</x:v>
      </x:c>
      <x:c r="J3233" s="13" t="n">
        <x:f>D3233*I3233*H3233</x:f>
        <x:v>0</x:v>
      </x:c>
      <x:c r="K3233" s="13" t="n">
        <x:f>E3233*I3233*H3233</x:f>
        <x:v>0.14077297500000002</x:v>
      </x:c>
      <x:c r="L3233" s="1" t="str">
        <x:f>TEXT(A3233,"mmm yyyy")</x:f>
        <x:v>Jul 2026</x:v>
      </x:c>
    </x:row>
    <x:row r="3234" ht="21" customHeight="1">
      <x:c r="A3234" s="10" t="n">
        <x:v>46215</x:v>
      </x:c>
      <x:c r="B3234" s="1" t="n">
        <x:v>21</x:v>
      </x:c>
      <x:c r="C3234" s="1" t="n">
        <x:v>6</x:v>
      </x:c>
      <x:c r="D3234" s="12" t="n">
        <x:v>0</x:v>
      </x:c>
      <x:c r="E3234" s="12" t="n">
        <x:v>0.5949166666666668</x:v>
      </x:c>
      <x:c r="F3234" s="12" t="n">
        <x:v>0.5948333333333333</x:v>
      </x:c>
      <x:c r="G3234" s="12" t="n">
        <x:v>0</x:v>
      </x:c>
      <x:c r="H3234" s="1" t="n">
        <x:f>'Historical prices'!E3234</x:f>
        <x:v>1.05</x:v>
      </x:c>
      <x:c r="I3234" s="6" t="n">
        <x:f>'Historical prices'!D3234</x:f>
        <x:v>0.22510000000000002</x:v>
      </x:c>
      <x:c r="J3234" s="13" t="n">
        <x:f>D3234*I3234*H3234</x:f>
        <x:v>0</x:v>
      </x:c>
      <x:c r="K3234" s="13" t="n">
        <x:f>E3234*I3234*H3234</x:f>
        <x:v>0.14061152875000005</x:v>
      </x:c>
      <x:c r="L3234" s="1" t="str">
        <x:f>TEXT(A3234,"mmm yyyy")</x:f>
        <x:v>Jul 2026</x:v>
      </x:c>
    </x:row>
    <x:row r="3235" ht="21" customHeight="1">
      <x:c r="A3235" s="10" t="n">
        <x:v>46215</x:v>
      </x:c>
      <x:c r="B3235" s="1" t="n">
        <x:v>21.5</x:v>
      </x:c>
      <x:c r="C3235" s="1" t="n">
        <x:v>6</x:v>
      </x:c>
      <x:c r="D3235" s="12" t="n">
        <x:v>0</x:v>
      </x:c>
      <x:c r="E3235" s="12" t="n">
        <x:v>0.6280833333333333</x:v>
      </x:c>
      <x:c r="F3235" s="12" t="n">
        <x:v>0.6278333333333334</x:v>
      </x:c>
      <x:c r="G3235" s="12" t="n">
        <x:v>0</x:v>
      </x:c>
      <x:c r="H3235" s="1" t="n">
        <x:f>'Historical prices'!E3235</x:f>
        <x:v>1.05</x:v>
      </x:c>
      <x:c r="I3235" s="6" t="n">
        <x:f>'Historical prices'!D3235</x:f>
        <x:v>0.22510000000000002</x:v>
      </x:c>
      <x:c r="J3235" s="13" t="n">
        <x:f>D3235*I3235*H3235</x:f>
        <x:v>0</x:v>
      </x:c>
      <x:c r="K3235" s="13" t="n">
        <x:f>E3235*I3235*H3235</x:f>
        <x:v>0.14845063625000002</x:v>
      </x:c>
      <x:c r="L3235" s="1" t="str">
        <x:f>TEXT(A3235,"mmm yyyy")</x:f>
        <x:v>Jul 2026</x:v>
      </x:c>
    </x:row>
    <x:row r="3236" ht="21" customHeight="1">
      <x:c r="A3236" s="10" t="n">
        <x:v>46215</x:v>
      </x:c>
      <x:c r="B3236" s="1" t="n">
        <x:v>22</x:v>
      </x:c>
      <x:c r="C3236" s="1" t="n">
        <x:v>6</x:v>
      </x:c>
      <x:c r="D3236" s="12" t="n">
        <x:v>0</x:v>
      </x:c>
      <x:c r="E3236" s="12" t="n">
        <x:v>0.7376666666666668</x:v>
      </x:c>
      <x:c r="F3236" s="12" t="n">
        <x:v>0.7375</x:v>
      </x:c>
      <x:c r="G3236" s="12" t="n">
        <x:v>0</x:v>
      </x:c>
      <x:c r="H3236" s="1" t="n">
        <x:f>'Historical prices'!E3236</x:f>
        <x:v>1.05</x:v>
      </x:c>
      <x:c r="I3236" s="6" t="n">
        <x:f>'Historical prices'!D3236</x:f>
        <x:v>0.2165</x:v>
      </x:c>
      <x:c r="J3236" s="13" t="n">
        <x:f>D3236*I3236*H3236</x:f>
        <x:v>0</x:v>
      </x:c>
      <x:c r="K3236" s="13" t="n">
        <x:f>E3236*I3236*H3236</x:f>
        <x:v>0.16769007500000002</x:v>
      </x:c>
      <x:c r="L3236" s="1" t="str">
        <x:f>TEXT(A3236,"mmm yyyy")</x:f>
        <x:v>Jul 2026</x:v>
      </x:c>
    </x:row>
    <x:row r="3237" ht="21" customHeight="1">
      <x:c r="A3237" s="10" t="n">
        <x:v>46215</x:v>
      </x:c>
      <x:c r="B3237" s="1" t="n">
        <x:v>22.5</x:v>
      </x:c>
      <x:c r="C3237" s="1" t="n">
        <x:v>6</x:v>
      </x:c>
      <x:c r="D3237" s="12" t="n">
        <x:v>0</x:v>
      </x:c>
      <x:c r="E3237" s="12" t="n">
        <x:v>0.328</x:v>
      </x:c>
      <x:c r="F3237" s="12" t="n">
        <x:v>0.31</x:v>
      </x:c>
      <x:c r="G3237" s="12" t="n">
        <x:v>0</x:v>
      </x:c>
      <x:c r="H3237" s="1" t="n">
        <x:f>'Historical prices'!E3237</x:f>
        <x:v>1.05</x:v>
      </x:c>
      <x:c r="I3237" s="6" t="n">
        <x:f>'Historical prices'!D3237</x:f>
        <x:v>0.20809999999999998</x:v>
      </x:c>
      <x:c r="J3237" s="13" t="n">
        <x:f>D3237*I3237*H3237</x:f>
        <x:v>0</x:v>
      </x:c>
      <x:c r="K3237" s="13" t="n">
        <x:f>E3237*I3237*H3237</x:f>
        <x:v>0.07166963999999999</x:v>
      </x:c>
      <x:c r="L3237" s="1" t="str">
        <x:f>TEXT(A3237,"mmm yyyy")</x:f>
        <x:v>Jul 2026</x:v>
      </x:c>
    </x:row>
    <x:row r="3238" ht="21" customHeight="1">
      <x:c r="A3238" s="10" t="n">
        <x:v>46215</x:v>
      </x:c>
      <x:c r="B3238" s="1" t="n">
        <x:v>23</x:v>
      </x:c>
      <x:c r="C3238" s="1" t="n">
        <x:v>6</x:v>
      </x:c>
      <x:c r="D3238" s="12" t="n">
        <x:v>0.03141666666666666</x:v>
      </x:c>
      <x:c r="E3238" s="12" t="n">
        <x:v>0.34541666666666665</x:v>
      </x:c>
      <x:c r="F3238" s="12" t="n">
        <x:v>0.301</x:v>
      </x:c>
      <x:c r="G3238" s="12" t="n">
        <x:v>0</x:v>
      </x:c>
      <x:c r="H3238" s="1" t="n">
        <x:f>'Historical prices'!E3238</x:f>
        <x:v>1.05</x:v>
      </x:c>
      <x:c r="I3238" s="6" t="n">
        <x:f>'Historical prices'!D3238</x:f>
        <x:v>0.2159</x:v>
      </x:c>
      <x:c r="J3238" s="13" t="n">
        <x:f>D3238*I3238*H3238</x:f>
        <x:v>0.007122001249999999</x:v>
      </x:c>
      <x:c r="K3238" s="13" t="n">
        <x:f>E3238*I3238*H3238</x:f>
        <x:v>0.07830423125</x:v>
      </x:c>
      <x:c r="L3238" s="1" t="str">
        <x:f>TEXT(A3238,"mmm yyyy")</x:f>
        <x:v>Jul 2026</x:v>
      </x:c>
    </x:row>
    <x:row r="3239" ht="21" customHeight="1">
      <x:c r="A3239" s="10" t="n">
        <x:v>46215</x:v>
      </x:c>
      <x:c r="B3239" s="1" t="n">
        <x:v>23.5</x:v>
      </x:c>
      <x:c r="C3239" s="1" t="n">
        <x:v>6</x:v>
      </x:c>
      <x:c r="D3239" s="12" t="n">
        <x:v>0.01225</x:v>
      </x:c>
      <x:c r="E3239" s="12" t="n">
        <x:v>0.4003333333333333</x:v>
      </x:c>
      <x:c r="F3239" s="12" t="n">
        <x:v>0.3876666666666667</x:v>
      </x:c>
      <x:c r="G3239" s="12" t="n">
        <x:v>0</x:v>
      </x:c>
      <x:c r="H3239" s="1" t="n">
        <x:f>'Historical prices'!E3239</x:f>
        <x:v>1.05</x:v>
      </x:c>
      <x:c r="I3239" s="6" t="n">
        <x:f>'Historical prices'!D3239</x:f>
        <x:v>0.2091</x:v>
      </x:c>
      <x:c r="J3239" s="13" t="n">
        <x:f>D3239*I3239*H3239</x:f>
        <x:v>0.0026895487500000004</x:v>
      </x:c>
      <x:c r="K3239" s="13" t="n">
        <x:f>E3239*I3239*H3239</x:f>
        <x:v>0.087895185</x:v>
      </x:c>
      <x:c r="L3239" s="1" t="str">
        <x:f>TEXT(A3239,"mmm yyyy")</x:f>
        <x:v>Jul 2026</x:v>
      </x:c>
    </x:row>
    <x:row r="3240" ht="21" customHeight="1">
      <x:c r="A3240" s="10" t="n">
        <x:v>46216</x:v>
      </x:c>
      <x:c r="B3240" s="1" t="n">
        <x:v>0</x:v>
      </x:c>
      <x:c r="C3240" s="1" t="n">
        <x:v>6</x:v>
      </x:c>
      <x:c r="D3240" s="12" t="n">
        <x:v>0</x:v>
      </x:c>
      <x:c r="E3240" s="12" t="n">
        <x:v>0.32300000000000006</x:v>
      </x:c>
      <x:c r="F3240" s="12" t="n">
        <x:v>0.32249999999999995</x:v>
      </x:c>
      <x:c r="G3240" s="12" t="n">
        <x:v>0</x:v>
      </x:c>
      <x:c r="H3240" s="1" t="n">
        <x:f>'Historical prices'!E3240</x:f>
        <x:v>1.05</x:v>
      </x:c>
      <x:c r="I3240" s="6" t="n">
        <x:f>'Historical prices'!D3240</x:f>
        <x:v>0.19760000000000003</x:v>
      </x:c>
      <x:c r="J3240" s="13" t="n">
        <x:f>D3240*I3240*H3240</x:f>
        <x:v>0</x:v>
      </x:c>
      <x:c r="K3240" s="13" t="n">
        <x:f>E3240*I3240*H3240</x:f>
        <x:v>0.06701604000000001</x:v>
      </x:c>
      <x:c r="L3240" s="1" t="str">
        <x:f>TEXT(A3240,"mmm yyyy")</x:f>
        <x:v>Jul 2026</x:v>
      </x:c>
    </x:row>
    <x:row r="3241" ht="21" customHeight="1">
      <x:c r="A3241" s="10" t="n">
        <x:v>46216</x:v>
      </x:c>
      <x:c r="B3241" s="1" t="n">
        <x:v>0.5</x:v>
      </x:c>
      <x:c r="C3241" s="1" t="n">
        <x:v>6</x:v>
      </x:c>
      <x:c r="D3241" s="12" t="n">
        <x:v>0</x:v>
      </x:c>
      <x:c r="E3241" s="12" t="n">
        <x:v>0.295</x:v>
      </x:c>
      <x:c r="F3241" s="12" t="n">
        <x:v>0.29483333333333334</x:v>
      </x:c>
      <x:c r="G3241" s="12" t="n">
        <x:v>0</x:v>
      </x:c>
      <x:c r="H3241" s="1" t="n">
        <x:f>'Historical prices'!E3241</x:f>
        <x:v>1.05</x:v>
      </x:c>
      <x:c r="I3241" s="6" t="n">
        <x:f>'Historical prices'!D3241</x:f>
        <x:v>0.1909</x:v>
      </x:c>
      <x:c r="J3241" s="13" t="n">
        <x:f>D3241*I3241*H3241</x:f>
        <x:v>0</x:v>
      </x:c>
      <x:c r="K3241" s="13" t="n">
        <x:f>E3241*I3241*H3241</x:f>
        <x:v>0.05913127499999999</x:v>
      </x:c>
      <x:c r="L3241" s="1" t="str">
        <x:f>TEXT(A3241,"mmm yyyy")</x:f>
        <x:v>Jul 2026</x:v>
      </x:c>
    </x:row>
    <x:row r="3242" ht="21" customHeight="1">
      <x:c r="A3242" s="10" t="n">
        <x:v>46216</x:v>
      </x:c>
      <x:c r="B3242" s="1" t="n">
        <x:v>1</x:v>
      </x:c>
      <x:c r="C3242" s="1" t="n">
        <x:v>6</x:v>
      </x:c>
      <x:c r="D3242" s="12" t="n">
        <x:v>0</x:v>
      </x:c>
      <x:c r="E3242" s="12" t="n">
        <x:v>0.24774999999999997</x:v>
      </x:c>
      <x:c r="F3242" s="12" t="n">
        <x:v>0.2475</x:v>
      </x:c>
      <x:c r="G3242" s="12" t="n">
        <x:v>0</x:v>
      </x:c>
      <x:c r="H3242" s="1" t="n">
        <x:f>'Historical prices'!E3242</x:f>
        <x:v>1.05</x:v>
      </x:c>
      <x:c r="I3242" s="6" t="n">
        <x:f>'Historical prices'!D3242</x:f>
        <x:v>0.17739999999999997</x:v>
      </x:c>
      <x:c r="J3242" s="13" t="n">
        <x:f>D3242*I3242*H3242</x:f>
        <x:v>0</x:v>
      </x:c>
      <x:c r="K3242" s="13" t="n">
        <x:f>E3242*I3242*H3242</x:f>
        <x:v>0.04614839249999999</x:v>
      </x:c>
      <x:c r="L3242" s="1" t="str">
        <x:f>TEXT(A3242,"mmm yyyy")</x:f>
        <x:v>Jul 2026</x:v>
      </x:c>
    </x:row>
    <x:row r="3243" ht="21" customHeight="1">
      <x:c r="A3243" s="10" t="n">
        <x:v>46216</x:v>
      </x:c>
      <x:c r="B3243" s="1" t="n">
        <x:v>1.5</x:v>
      </x:c>
      <x:c r="C3243" s="1" t="n">
        <x:v>6</x:v>
      </x:c>
      <x:c r="D3243" s="12" t="n">
        <x:v>0</x:v>
      </x:c>
      <x:c r="E3243" s="12" t="n">
        <x:v>0.24816666666666667</x:v>
      </x:c>
      <x:c r="F3243" s="12" t="n">
        <x:v>0.24791666666666667</x:v>
      </x:c>
      <x:c r="G3243" s="12" t="n">
        <x:v>0</x:v>
      </x:c>
      <x:c r="H3243" s="1" t="n">
        <x:f>'Historical prices'!E3243</x:f>
        <x:v>1.05</x:v>
      </x:c>
      <x:c r="I3243" s="6" t="n">
        <x:f>'Historical prices'!D3243</x:f>
        <x:v>0.1784</x:v>
      </x:c>
      <x:c r="J3243" s="13" t="n">
        <x:f>D3243*I3243*H3243</x:f>
        <x:v>0</x:v>
      </x:c>
      <x:c r="K3243" s="13" t="n">
        <x:f>E3243*I3243*H3243</x:f>
        <x:v>0.04648658</x:v>
      </x:c>
      <x:c r="L3243" s="1" t="str">
        <x:f>TEXT(A3243,"mmm yyyy")</x:f>
        <x:v>Jul 2026</x:v>
      </x:c>
    </x:row>
    <x:row r="3244" ht="21" customHeight="1">
      <x:c r="A3244" s="10" t="n">
        <x:v>46216</x:v>
      </x:c>
      <x:c r="B3244" s="1" t="n">
        <x:v>2</x:v>
      </x:c>
      <x:c r="C3244" s="1" t="n">
        <x:v>6</x:v>
      </x:c>
      <x:c r="D3244" s="12" t="n">
        <x:v>0</x:v>
      </x:c>
      <x:c r="E3244" s="12" t="n">
        <x:v>0.313</x:v>
      </x:c>
      <x:c r="F3244" s="12" t="n">
        <x:v>0.3128333333333333</x:v>
      </x:c>
      <x:c r="G3244" s="12" t="n">
        <x:v>0</x:v>
      </x:c>
      <x:c r="H3244" s="1" t="n">
        <x:f>'Historical prices'!E3244</x:f>
        <x:v>1.05</x:v>
      </x:c>
      <x:c r="I3244" s="6" t="n">
        <x:f>'Historical prices'!D3244</x:f>
        <x:v>0.18789999999999998</x:v>
      </x:c>
      <x:c r="J3244" s="13" t="n">
        <x:f>D3244*I3244*H3244</x:f>
        <x:v>0</x:v>
      </x:c>
      <x:c r="K3244" s="13" t="n">
        <x:f>E3244*I3244*H3244</x:f>
        <x:v>0.061753335</x:v>
      </x:c>
      <x:c r="L3244" s="1" t="str">
        <x:f>TEXT(A3244,"mmm yyyy")</x:f>
        <x:v>Jul 2026</x:v>
      </x:c>
    </x:row>
    <x:row r="3245" ht="21" customHeight="1">
      <x:c r="A3245" s="10" t="n">
        <x:v>46216</x:v>
      </x:c>
      <x:c r="B3245" s="1" t="n">
        <x:v>2.5</x:v>
      </x:c>
      <x:c r="C3245" s="1" t="n">
        <x:v>6</x:v>
      </x:c>
      <x:c r="D3245" s="12" t="n">
        <x:v>0</x:v>
      </x:c>
      <x:c r="E3245" s="12" t="n">
        <x:v>0.26708333333333334</x:v>
      </x:c>
      <x:c r="F3245" s="12" t="n">
        <x:v>0.26683333333333337</x:v>
      </x:c>
      <x:c r="G3245" s="12" t="n">
        <x:v>0</x:v>
      </x:c>
      <x:c r="H3245" s="1" t="n">
        <x:f>'Historical prices'!E3245</x:f>
        <x:v>1.05</x:v>
      </x:c>
      <x:c r="I3245" s="6" t="n">
        <x:f>'Historical prices'!D3245</x:f>
        <x:v>0.18420000000000003</x:v>
      </x:c>
      <x:c r="J3245" s="13" t="n">
        <x:f>D3245*I3245*H3245</x:f>
        <x:v>0</x:v>
      </x:c>
      <x:c r="K3245" s="13" t="n">
        <x:f>E3245*I3245*H3245</x:f>
        <x:v>0.05165658750000002</x:v>
      </x:c>
      <x:c r="L3245" s="1" t="str">
        <x:f>TEXT(A3245,"mmm yyyy")</x:f>
        <x:v>Jul 2026</x:v>
      </x:c>
    </x:row>
    <x:row r="3246" ht="21" customHeight="1">
      <x:c r="A3246" s="10" t="n">
        <x:v>46216</x:v>
      </x:c>
      <x:c r="B3246" s="1" t="n">
        <x:v>3</x:v>
      </x:c>
      <x:c r="C3246" s="1" t="n">
        <x:v>6</x:v>
      </x:c>
      <x:c r="D3246" s="12" t="n">
        <x:v>0</x:v>
      </x:c>
      <x:c r="E3246" s="12" t="n">
        <x:v>0.22799999999999998</x:v>
      </x:c>
      <x:c r="F3246" s="12" t="n">
        <x:v>0.22775</x:v>
      </x:c>
      <x:c r="G3246" s="12" t="n">
        <x:v>0</x:v>
      </x:c>
      <x:c r="H3246" s="1" t="n">
        <x:f>'Historical prices'!E3246</x:f>
        <x:v>1.05</x:v>
      </x:c>
      <x:c r="I3246" s="6" t="n">
        <x:f>'Historical prices'!D3246</x:f>
        <x:v>0.1891</x:v>
      </x:c>
      <x:c r="J3246" s="13" t="n">
        <x:f>D3246*I3246*H3246</x:f>
        <x:v>0</x:v>
      </x:c>
      <x:c r="K3246" s="13" t="n">
        <x:f>E3246*I3246*H3246</x:f>
        <x:v>0.04527054</x:v>
      </x:c>
      <x:c r="L3246" s="1" t="str">
        <x:f>TEXT(A3246,"mmm yyyy")</x:f>
        <x:v>Jul 2026</x:v>
      </x:c>
    </x:row>
    <x:row r="3247" ht="21" customHeight="1">
      <x:c r="A3247" s="10" t="n">
        <x:v>46216</x:v>
      </x:c>
      <x:c r="B3247" s="1" t="n">
        <x:v>3.5</x:v>
      </x:c>
      <x:c r="C3247" s="1" t="n">
        <x:v>6</x:v>
      </x:c>
      <x:c r="D3247" s="12" t="n">
        <x:v>0</x:v>
      </x:c>
      <x:c r="E3247" s="12" t="n">
        <x:v>0.26808333333333334</x:v>
      </x:c>
      <x:c r="F3247" s="12" t="n">
        <x:v>0.26758333333333334</x:v>
      </x:c>
      <x:c r="G3247" s="12" t="n">
        <x:v>0</x:v>
      </x:c>
      <x:c r="H3247" s="1" t="n">
        <x:f>'Historical prices'!E3247</x:f>
        <x:v>1.05</x:v>
      </x:c>
      <x:c r="I3247" s="6" t="n">
        <x:f>'Historical prices'!D3247</x:f>
        <x:v>0.1894</x:v>
      </x:c>
      <x:c r="J3247" s="13" t="n">
        <x:f>D3247*I3247*H3247</x:f>
        <x:v>0</x:v>
      </x:c>
      <x:c r="K3247" s="13" t="n">
        <x:f>E3247*I3247*H3247</x:f>
        <x:v>0.0533137325</x:v>
      </x:c>
      <x:c r="L3247" s="1" t="str">
        <x:f>TEXT(A3247,"mmm yyyy")</x:f>
        <x:v>Jul 2026</x:v>
      </x:c>
    </x:row>
    <x:row r="3248" ht="21" customHeight="1">
      <x:c r="A3248" s="10" t="n">
        <x:v>46216</x:v>
      </x:c>
      <x:c r="B3248" s="1" t="n">
        <x:v>4</x:v>
      </x:c>
      <x:c r="C3248" s="1" t="n">
        <x:v>6</x:v>
      </x:c>
      <x:c r="D3248" s="12" t="n">
        <x:v>0</x:v>
      </x:c>
      <x:c r="E3248" s="12" t="n">
        <x:v>0.31083333333333335</x:v>
      </x:c>
      <x:c r="F3248" s="12" t="n">
        <x:v>0.3105833333333333</x:v>
      </x:c>
      <x:c r="G3248" s="12" t="n">
        <x:v>0</x:v>
      </x:c>
      <x:c r="H3248" s="1" t="n">
        <x:f>'Historical prices'!E3248</x:f>
        <x:v>1.05</x:v>
      </x:c>
      <x:c r="I3248" s="6" t="n">
        <x:f>'Historical prices'!D3248</x:f>
        <x:v>0.20309999999999997</x:v>
      </x:c>
      <x:c r="J3248" s="13" t="n">
        <x:f>D3248*I3248*H3248</x:f>
        <x:v>0</x:v>
      </x:c>
      <x:c r="K3248" s="13" t="n">
        <x:f>E3248*I3248*H3248</x:f>
        <x:v>0.0662867625</x:v>
      </x:c>
      <x:c r="L3248" s="1" t="str">
        <x:f>TEXT(A3248,"mmm yyyy")</x:f>
        <x:v>Jul 2026</x:v>
      </x:c>
    </x:row>
    <x:row r="3249" ht="21" customHeight="1">
      <x:c r="A3249" s="10" t="n">
        <x:v>46216</x:v>
      </x:c>
      <x:c r="B3249" s="1" t="n">
        <x:v>4.5</x:v>
      </x:c>
      <x:c r="C3249" s="1" t="n">
        <x:v>6</x:v>
      </x:c>
      <x:c r="D3249" s="12" t="n">
        <x:v>0</x:v>
      </x:c>
      <x:c r="E3249" s="12" t="n">
        <x:v>0.4100833333333333</x:v>
      </x:c>
      <x:c r="F3249" s="12" t="n">
        <x:v>0.40991666666666665</x:v>
      </x:c>
      <x:c r="G3249" s="12" t="n">
        <x:v>0</x:v>
      </x:c>
      <x:c r="H3249" s="1" t="n">
        <x:f>'Historical prices'!E3249</x:f>
        <x:v>1.05</x:v>
      </x:c>
      <x:c r="I3249" s="6" t="n">
        <x:f>'Historical prices'!D3249</x:f>
        <x:v>0.1934</x:v>
      </x:c>
      <x:c r="J3249" s="13" t="n">
        <x:f>D3249*I3249*H3249</x:f>
        <x:v>0</x:v>
      </x:c>
      <x:c r="K3249" s="13" t="n">
        <x:f>E3249*I3249*H3249</x:f>
        <x:v>0.0832756225</x:v>
      </x:c>
      <x:c r="L3249" s="1" t="str">
        <x:f>TEXT(A3249,"mmm yyyy")</x:f>
        <x:v>Jul 2026</x:v>
      </x:c>
    </x:row>
    <x:row r="3250" ht="21" customHeight="1">
      <x:c r="A3250" s="10" t="n">
        <x:v>46216</x:v>
      </x:c>
      <x:c r="B3250" s="1" t="n">
        <x:v>5</x:v>
      </x:c>
      <x:c r="C3250" s="1" t="n">
        <x:v>6</x:v>
      </x:c>
      <x:c r="D3250" s="12" t="n">
        <x:v>0</x:v>
      </x:c>
      <x:c r="E3250" s="12" t="n">
        <x:v>0.35583333333333333</x:v>
      </x:c>
      <x:c r="F3250" s="12" t="n">
        <x:v>0.35550000000000004</x:v>
      </x:c>
      <x:c r="G3250" s="12" t="n">
        <x:v>0</x:v>
      </x:c>
      <x:c r="H3250" s="1" t="n">
        <x:f>'Historical prices'!E3250</x:f>
        <x:v>1.05</x:v>
      </x:c>
      <x:c r="I3250" s="6" t="n">
        <x:f>'Historical prices'!D3250</x:f>
        <x:v>0.22699999999999998</x:v>
      </x:c>
      <x:c r="J3250" s="13" t="n">
        <x:f>D3250*I3250*H3250</x:f>
        <x:v>0</x:v>
      </x:c>
      <x:c r="K3250" s="13" t="n">
        <x:f>E3250*I3250*H3250</x:f>
        <x:v>0.084812875</x:v>
      </x:c>
      <x:c r="L3250" s="1" t="str">
        <x:f>TEXT(A3250,"mmm yyyy")</x:f>
        <x:v>Jul 2026</x:v>
      </x:c>
    </x:row>
    <x:row r="3251" ht="21" customHeight="1">
      <x:c r="A3251" s="10" t="n">
        <x:v>46216</x:v>
      </x:c>
      <x:c r="B3251" s="1" t="n">
        <x:v>5.5</x:v>
      </x:c>
      <x:c r="C3251" s="1" t="n">
        <x:v>6</x:v>
      </x:c>
      <x:c r="D3251" s="12" t="n">
        <x:v>0</x:v>
      </x:c>
      <x:c r="E3251" s="12" t="n">
        <x:v>0.33491666666666664</x:v>
      </x:c>
      <x:c r="F3251" s="12" t="n">
        <x:v>0.33475</x:v>
      </x:c>
      <x:c r="G3251" s="12" t="n">
        <x:v>0</x:v>
      </x:c>
      <x:c r="H3251" s="1" t="n">
        <x:f>'Historical prices'!E3251</x:f>
        <x:v>1.05</x:v>
      </x:c>
      <x:c r="I3251" s="6" t="n">
        <x:f>'Historical prices'!D3251</x:f>
        <x:v>0.2354</x:v>
      </x:c>
      <x:c r="J3251" s="13" t="n">
        <x:f>D3251*I3251*H3251</x:f>
        <x:v>0</x:v>
      </x:c>
      <x:c r="K3251" s="13" t="n">
        <x:f>E3251*I3251*H3251</x:f>
        <x:v>0.0827813525</x:v>
      </x:c>
      <x:c r="L3251" s="1" t="str">
        <x:f>TEXT(A3251,"mmm yyyy")</x:f>
        <x:v>Jul 2026</x:v>
      </x:c>
    </x:row>
    <x:row r="3252" ht="21" customHeight="1">
      <x:c r="A3252" s="10" t="n">
        <x:v>46216</x:v>
      </x:c>
      <x:c r="B3252" s="1" t="n">
        <x:v>6</x:v>
      </x:c>
      <x:c r="C3252" s="1" t="n">
        <x:v>6</x:v>
      </x:c>
      <x:c r="D3252" s="12" t="n">
        <x:v>0</x:v>
      </x:c>
      <x:c r="E3252" s="12" t="n">
        <x:v>0.2819166666666667</x:v>
      </x:c>
      <x:c r="F3252" s="12" t="n">
        <x:v>0.28158333333333335</x:v>
      </x:c>
      <x:c r="G3252" s="12" t="n">
        <x:v>0</x:v>
      </x:c>
      <x:c r="H3252" s="1" t="n">
        <x:f>'Historical prices'!E3252</x:f>
        <x:v>1.05</x:v>
      </x:c>
      <x:c r="I3252" s="6" t="n">
        <x:f>'Historical prices'!D3252</x:f>
        <x:v>0.2227</x:v>
      </x:c>
      <x:c r="J3252" s="13" t="n">
        <x:f>D3252*I3252*H3252</x:f>
        <x:v>0</x:v>
      </x:c>
      <x:c r="K3252" s="13" t="n">
        <x:f>E3252*I3252*H3252</x:f>
        <x:v>0.06592198375000001</x:v>
      </x:c>
      <x:c r="L3252" s="1" t="str">
        <x:f>TEXT(A3252,"mmm yyyy")</x:f>
        <x:v>Jul 2026</x:v>
      </x:c>
    </x:row>
    <x:row r="3253" ht="21" customHeight="1">
      <x:c r="A3253" s="10" t="n">
        <x:v>46216</x:v>
      </x:c>
      <x:c r="B3253" s="1" t="n">
        <x:v>6.5</x:v>
      </x:c>
      <x:c r="C3253" s="1" t="n">
        <x:v>6</x:v>
      </x:c>
      <x:c r="D3253" s="12" t="n">
        <x:v>0</x:v>
      </x:c>
      <x:c r="E3253" s="12" t="n">
        <x:v>0.552</x:v>
      </x:c>
      <x:c r="F3253" s="12" t="n">
        <x:v>0.5516666666666666</x:v>
      </x:c>
      <x:c r="G3253" s="12" t="n">
        <x:v>0</x:v>
      </x:c>
      <x:c r="H3253" s="1" t="n">
        <x:f>'Historical prices'!E3253</x:f>
        <x:v>1.05</x:v>
      </x:c>
      <x:c r="I3253" s="6" t="n">
        <x:f>'Historical prices'!D3253</x:f>
        <x:v>0.2396</x:v>
      </x:c>
      <x:c r="J3253" s="13" t="n">
        <x:f>D3253*I3253*H3253</x:f>
        <x:v>0</x:v>
      </x:c>
      <x:c r="K3253" s="13" t="n">
        <x:f>E3253*I3253*H3253</x:f>
        <x:v>0.13887216000000002</x:v>
      </x:c>
      <x:c r="L3253" s="1" t="str">
        <x:f>TEXT(A3253,"mmm yyyy")</x:f>
        <x:v>Jul 2026</x:v>
      </x:c>
    </x:row>
    <x:row r="3254" ht="21" customHeight="1">
      <x:c r="A3254" s="10" t="n">
        <x:v>46216</x:v>
      </x:c>
      <x:c r="B3254" s="1" t="n">
        <x:v>7</x:v>
      </x:c>
      <x:c r="C3254" s="1" t="n">
        <x:v>6</x:v>
      </x:c>
      <x:c r="D3254" s="12" t="n">
        <x:v>0</x:v>
      </x:c>
      <x:c r="E3254" s="12" t="n">
        <x:v>0.5706666666666667</x:v>
      </x:c>
      <x:c r="F3254" s="12" t="n">
        <x:v>0.5703333333333332</x:v>
      </x:c>
      <x:c r="G3254" s="12" t="n">
        <x:v>0</x:v>
      </x:c>
      <x:c r="H3254" s="1" t="n">
        <x:f>'Historical prices'!E3254</x:f>
        <x:v>1.05</x:v>
      </x:c>
      <x:c r="I3254" s="6" t="n">
        <x:f>'Historical prices'!D3254</x:f>
        <x:v>0.20809999999999998</x:v>
      </x:c>
      <x:c r="J3254" s="13" t="n">
        <x:f>D3254*I3254*H3254</x:f>
        <x:v>0</x:v>
      </x:c>
      <x:c r="K3254" s="13" t="n">
        <x:f>E3254*I3254*H3254</x:f>
        <x:v>0.12469351999999999</x:v>
      </x:c>
      <x:c r="L3254" s="1" t="str">
        <x:f>TEXT(A3254,"mmm yyyy")</x:f>
        <x:v>Jul 2026</x:v>
      </x:c>
    </x:row>
    <x:row r="3255" ht="21" customHeight="1">
      <x:c r="A3255" s="10" t="n">
        <x:v>46216</x:v>
      </x:c>
      <x:c r="B3255" s="1" t="n">
        <x:v>7.5</x:v>
      </x:c>
      <x:c r="C3255" s="1" t="n">
        <x:v>6</x:v>
      </x:c>
      <x:c r="D3255" s="12" t="n">
        <x:v>0</x:v>
      </x:c>
      <x:c r="E3255" s="12" t="n">
        <x:v>1.0938333333333334</x:v>
      </x:c>
      <x:c r="F3255" s="12" t="n">
        <x:v>1.0935</x:v>
      </x:c>
      <x:c r="G3255" s="12" t="n">
        <x:v>0</x:v>
      </x:c>
      <x:c r="H3255" s="1" t="n">
        <x:f>'Historical prices'!E3255</x:f>
        <x:v>1.05</x:v>
      </x:c>
      <x:c r="I3255" s="6" t="n">
        <x:f>'Historical prices'!D3255</x:f>
        <x:v>0.2212</x:v>
      </x:c>
      <x:c r="J3255" s="13" t="n">
        <x:f>D3255*I3255*H3255</x:f>
        <x:v>0</x:v>
      </x:c>
      <x:c r="K3255" s="13" t="n">
        <x:f>E3255*I3255*H3255</x:f>
        <x:v>0.25405373000000003</x:v>
      </x:c>
      <x:c r="L3255" s="1" t="str">
        <x:f>TEXT(A3255,"mmm yyyy")</x:f>
        <x:v>Jul 2026</x:v>
      </x:c>
    </x:row>
    <x:row r="3256" ht="21" customHeight="1">
      <x:c r="A3256" s="10" t="n">
        <x:v>46216</x:v>
      </x:c>
      <x:c r="B3256" s="1" t="n">
        <x:v>8</x:v>
      </x:c>
      <x:c r="C3256" s="1" t="n">
        <x:v>6</x:v>
      </x:c>
      <x:c r="D3256" s="12" t="n">
        <x:v>0</x:v>
      </x:c>
      <x:c r="E3256" s="12" t="n">
        <x:v>0.5303333333333333</x:v>
      </x:c>
      <x:c r="F3256" s="12" t="n">
        <x:v>0.5303333333333333</x:v>
      </x:c>
      <x:c r="G3256" s="12" t="n">
        <x:v>0</x:v>
      </x:c>
      <x:c r="H3256" s="1" t="n">
        <x:f>'Historical prices'!E3256</x:f>
        <x:v>1.05</x:v>
      </x:c>
      <x:c r="I3256" s="6" t="n">
        <x:f>'Historical prices'!D3256</x:f>
        <x:v>0.1882</x:v>
      </x:c>
      <x:c r="J3256" s="13" t="n">
        <x:f>D3256*I3256*H3256</x:f>
        <x:v>0</x:v>
      </x:c>
      <x:c r="K3256" s="13" t="n">
        <x:f>E3256*I3256*H3256</x:f>
        <x:v>0.10479917</x:v>
      </x:c>
      <x:c r="L3256" s="1" t="str">
        <x:f>TEXT(A3256,"mmm yyyy")</x:f>
        <x:v>Jul 2026</x:v>
      </x:c>
    </x:row>
    <x:row r="3257" ht="21" customHeight="1">
      <x:c r="A3257" s="10" t="n">
        <x:v>46216</x:v>
      </x:c>
      <x:c r="B3257" s="1" t="n">
        <x:v>8.5</x:v>
      </x:c>
      <x:c r="C3257" s="1" t="n">
        <x:v>6</x:v>
      </x:c>
      <x:c r="D3257" s="12" t="n">
        <x:v>0</x:v>
      </x:c>
      <x:c r="E3257" s="12" t="n">
        <x:v>0.566</x:v>
      </x:c>
      <x:c r="F3257" s="12" t="n">
        <x:v>0.5656666666666667</x:v>
      </x:c>
      <x:c r="G3257" s="12" t="n">
        <x:v>0</x:v>
      </x:c>
      <x:c r="H3257" s="1" t="n">
        <x:f>'Historical prices'!E3257</x:f>
        <x:v>1.05</x:v>
      </x:c>
      <x:c r="I3257" s="6" t="n">
        <x:f>'Historical prices'!D3257</x:f>
        <x:v>0.2039</x:v>
      </x:c>
      <x:c r="J3257" s="13" t="n">
        <x:f>D3257*I3257*H3257</x:f>
        <x:v>0</x:v>
      </x:c>
      <x:c r="K3257" s="13" t="n">
        <x:f>E3257*I3257*H3257</x:f>
        <x:v>0.12117777</x:v>
      </x:c>
      <x:c r="L3257" s="1" t="str">
        <x:f>TEXT(A3257,"mmm yyyy")</x:f>
        <x:v>Jul 2026</x:v>
      </x:c>
    </x:row>
    <x:row r="3258" ht="21" customHeight="1">
      <x:c r="A3258" s="10" t="n">
        <x:v>46216</x:v>
      </x:c>
      <x:c r="B3258" s="1" t="n">
        <x:v>9</x:v>
      </x:c>
      <x:c r="C3258" s="1" t="n">
        <x:v>6</x:v>
      </x:c>
      <x:c r="D3258" s="12" t="n">
        <x:v>0</x:v>
      </x:c>
      <x:c r="E3258" s="12" t="n">
        <x:v>0.6415833333333333</x:v>
      </x:c>
      <x:c r="F3258" s="12" t="n">
        <x:v>0.6407499999999999</x:v>
      </x:c>
      <x:c r="G3258" s="12" t="n">
        <x:v>0</x:v>
      </x:c>
      <x:c r="H3258" s="1" t="n">
        <x:f>'Historical prices'!E3258</x:f>
        <x:v>1.05</x:v>
      </x:c>
      <x:c r="I3258" s="6" t="n">
        <x:f>'Historical prices'!D3258</x:f>
        <x:v>0.1959</x:v>
      </x:c>
      <x:c r="J3258" s="13" t="n">
        <x:f>D3258*I3258*H3258</x:f>
        <x:v>0</x:v>
      </x:c>
      <x:c r="K3258" s="13" t="n">
        <x:f>E3258*I3258*H3258</x:f>
        <x:v>0.13197048374999998</x:v>
      </x:c>
      <x:c r="L3258" s="1" t="str">
        <x:f>TEXT(A3258,"mmm yyyy")</x:f>
        <x:v>Jul 2026</x:v>
      </x:c>
    </x:row>
    <x:row r="3259" ht="21" customHeight="1">
      <x:c r="A3259" s="10" t="n">
        <x:v>46216</x:v>
      </x:c>
      <x:c r="B3259" s="1" t="n">
        <x:v>9.5</x:v>
      </x:c>
      <x:c r="C3259" s="1" t="n">
        <x:v>6</x:v>
      </x:c>
      <x:c r="D3259" s="12" t="n">
        <x:v>0</x:v>
      </x:c>
      <x:c r="E3259" s="12" t="n">
        <x:v>0.7030000000000001</x:v>
      </x:c>
      <x:c r="F3259" s="12" t="n">
        <x:v>0.7023333333333333</x:v>
      </x:c>
      <x:c r="G3259" s="12" t="n">
        <x:v>0</x:v>
      </x:c>
      <x:c r="H3259" s="1" t="n">
        <x:f>'Historical prices'!E3259</x:f>
        <x:v>1.05</x:v>
      </x:c>
      <x:c r="I3259" s="6" t="n">
        <x:f>'Historical prices'!D3259</x:f>
        <x:v>0.1707</x:v>
      </x:c>
      <x:c r="J3259" s="13" t="n">
        <x:f>D3259*I3259*H3259</x:f>
        <x:v>0</x:v>
      </x:c>
      <x:c r="K3259" s="13" t="n">
        <x:f>E3259*I3259*H3259</x:f>
        <x:v>0.126002205</x:v>
      </x:c>
      <x:c r="L3259" s="1" t="str">
        <x:f>TEXT(A3259,"mmm yyyy")</x:f>
        <x:v>Jul 2026</x:v>
      </x:c>
    </x:row>
    <x:row r="3260" ht="21" customHeight="1">
      <x:c r="A3260" s="10" t="n">
        <x:v>46216</x:v>
      </x:c>
      <x:c r="B3260" s="1" t="n">
        <x:v>10</x:v>
      </x:c>
      <x:c r="C3260" s="1" t="n">
        <x:v>6</x:v>
      </x:c>
      <x:c r="D3260" s="12" t="n">
        <x:v>0</x:v>
      </x:c>
      <x:c r="E3260" s="12" t="n">
        <x:v>0.46749999999999997</x:v>
      </x:c>
      <x:c r="F3260" s="12" t="n">
        <x:v>0.4673333333333333</x:v>
      </x:c>
      <x:c r="G3260" s="12" t="n">
        <x:v>0</x:v>
      </x:c>
      <x:c r="H3260" s="1" t="n">
        <x:f>'Historical prices'!E3260</x:f>
        <x:v>1.05</x:v>
      </x:c>
      <x:c r="I3260" s="6" t="n">
        <x:f>'Historical prices'!D3260</x:f>
        <x:v>0.17739999999999997</x:v>
      </x:c>
      <x:c r="J3260" s="13" t="n">
        <x:f>D3260*I3260*H3260</x:f>
        <x:v>0</x:v>
      </x:c>
      <x:c r="K3260" s="13" t="n">
        <x:f>E3260*I3260*H3260</x:f>
        <x:v>0.08708122499999998</x:v>
      </x:c>
      <x:c r="L3260" s="1" t="str">
        <x:f>TEXT(A3260,"mmm yyyy")</x:f>
        <x:v>Jul 2026</x:v>
      </x:c>
    </x:row>
    <x:row r="3261" ht="21" customHeight="1">
      <x:c r="A3261" s="10" t="n">
        <x:v>46216</x:v>
      </x:c>
      <x:c r="B3261" s="1" t="n">
        <x:v>10.5</x:v>
      </x:c>
      <x:c r="C3261" s="1" t="n">
        <x:v>6</x:v>
      </x:c>
      <x:c r="D3261" s="12" t="n">
        <x:v>0.39141666666666663</x:v>
      </x:c>
      <x:c r="E3261" s="12" t="n">
        <x:v>0.48141666666666666</x:v>
      </x:c>
      <x:c r="F3261" s="12" t="n">
        <x:v>0.079</x:v>
      </x:c>
      <x:c r="G3261" s="12" t="n">
        <x:v>0</x:v>
      </x:c>
      <x:c r="H3261" s="1" t="n">
        <x:f>'Historical prices'!E3261</x:f>
        <x:v>1.05</x:v>
      </x:c>
      <x:c r="I3261" s="6" t="n">
        <x:f>'Historical prices'!D3261</x:f>
        <x:v>0.15789999999999998</x:v>
      </x:c>
      <x:c r="J3261" s="13" t="n">
        <x:f>D3261*I3261*H3261</x:f>
        <x:v>0.06489492624999998</x:v>
      </x:c>
      <x:c r="K3261" s="13" t="n">
        <x:f>E3261*I3261*H3261</x:f>
        <x:v>0.07981647625</x:v>
      </x:c>
      <x:c r="L3261" s="1" t="str">
        <x:f>TEXT(A3261,"mmm yyyy")</x:f>
        <x:v>Jul 2026</x:v>
      </x:c>
    </x:row>
    <x:row r="3262" ht="21" customHeight="1">
      <x:c r="A3262" s="10" t="n">
        <x:v>46216</x:v>
      </x:c>
      <x:c r="B3262" s="1" t="n">
        <x:v>11</x:v>
      </x:c>
      <x:c r="C3262" s="1" t="n">
        <x:v>6</x:v>
      </x:c>
      <x:c r="D3262" s="12" t="n">
        <x:v>0.4315</x:v>
      </x:c>
      <x:c r="E3262" s="12" t="n">
        <x:v>0.4415</x:v>
      </x:c>
      <x:c r="F3262" s="12" t="n">
        <x:v>0</x:v>
      </x:c>
      <x:c r="G3262" s="12" t="n">
        <x:v>0</x:v>
      </x:c>
      <x:c r="H3262" s="1" t="n">
        <x:f>'Historical prices'!E3262</x:f>
        <x:v>1.05</x:v>
      </x:c>
      <x:c r="I3262" s="6" t="n">
        <x:f>'Historical prices'!D3262</x:f>
        <x:v>0.1354</x:v>
      </x:c>
      <x:c r="J3262" s="13" t="n">
        <x:f>D3262*I3262*H3262</x:f>
        <x:v>0.061346355</x:v>
      </x:c>
      <x:c r="K3262" s="13" t="n">
        <x:f>E3262*I3262*H3262</x:f>
        <x:v>0.062768055</x:v>
      </x:c>
      <x:c r="L3262" s="1" t="str">
        <x:f>TEXT(A3262,"mmm yyyy")</x:f>
        <x:v>Jul 2026</x:v>
      </x:c>
    </x:row>
    <x:row r="3263" ht="21" customHeight="1">
      <x:c r="A3263" s="10" t="n">
        <x:v>46216</x:v>
      </x:c>
      <x:c r="B3263" s="1" t="n">
        <x:v>11.5</x:v>
      </x:c>
      <x:c r="C3263" s="1" t="n">
        <x:v>6</x:v>
      </x:c>
      <x:c r="D3263" s="12" t="n">
        <x:v>0.45608333333333334</x:v>
      </x:c>
      <x:c r="E3263" s="12" t="n">
        <x:v>0.46808333333333335</x:v>
      </x:c>
      <x:c r="F3263" s="12" t="n">
        <x:v>0</x:v>
      </x:c>
      <x:c r="G3263" s="12" t="n">
        <x:v>0</x:v>
      </x:c>
      <x:c r="H3263" s="1" t="n">
        <x:f>'Historical prices'!E3263</x:f>
        <x:v>1.05</x:v>
      </x:c>
      <x:c r="I3263" s="6" t="n">
        <x:f>'Historical prices'!D3263</x:f>
        <x:v>0.1317</x:v>
      </x:c>
      <x:c r="J3263" s="13" t="n">
        <x:f>D3263*I3263*H3263</x:f>
        <x:v>0.06306948375000002</x:v>
      </x:c>
      <x:c r="K3263" s="13" t="n">
        <x:f>E3263*I3263*H3263</x:f>
        <x:v>0.06472890375000001</x:v>
      </x:c>
      <x:c r="L3263" s="1" t="str">
        <x:f>TEXT(A3263,"mmm yyyy")</x:f>
        <x:v>Jul 2026</x:v>
      </x:c>
    </x:row>
    <x:row r="3264" ht="21" customHeight="1">
      <x:c r="A3264" s="10" t="n">
        <x:v>46216</x:v>
      </x:c>
      <x:c r="B3264" s="1" t="n">
        <x:v>12</x:v>
      </x:c>
      <x:c r="C3264" s="1" t="n">
        <x:v>6</x:v>
      </x:c>
      <x:c r="D3264" s="12" t="n">
        <x:v>0.482</x:v>
      </x:c>
      <x:c r="E3264" s="12" t="n">
        <x:v>0.492</x:v>
      </x:c>
      <x:c r="F3264" s="12" t="n">
        <x:v>0</x:v>
      </x:c>
      <x:c r="G3264" s="12" t="n">
        <x:v>0</x:v>
      </x:c>
      <x:c r="H3264" s="1" t="n">
        <x:f>'Historical prices'!E3264</x:f>
        <x:v>1.05</x:v>
      </x:c>
      <x:c r="I3264" s="6" t="n">
        <x:f>'Historical prices'!D3264</x:f>
        <x:v>0.13019999999999998</x:v>
      </x:c>
      <x:c r="J3264" s="13" t="n">
        <x:f>D3264*I3264*H3264</x:f>
        <x:v>0.06589421999999999</x:v>
      </x:c>
      <x:c r="K3264" s="13" t="n">
        <x:f>E3264*I3264*H3264</x:f>
        <x:v>0.06726131999999999</x:v>
      </x:c>
      <x:c r="L3264" s="1" t="str">
        <x:f>TEXT(A3264,"mmm yyyy")</x:f>
        <x:v>Jul 2026</x:v>
      </x:c>
    </x:row>
    <x:row r="3265" ht="21" customHeight="1">
      <x:c r="A3265" s="10" t="n">
        <x:v>46216</x:v>
      </x:c>
      <x:c r="B3265" s="1" t="n">
        <x:v>12.5</x:v>
      </x:c>
      <x:c r="C3265" s="1" t="n">
        <x:v>6</x:v>
      </x:c>
      <x:c r="D3265" s="12" t="n">
        <x:v>0.45775000000000005</x:v>
      </x:c>
      <x:c r="E3265" s="12" t="n">
        <x:v>0.46875000000000006</x:v>
      </x:c>
      <x:c r="F3265" s="12" t="n">
        <x:v>0</x:v>
      </x:c>
      <x:c r="G3265" s="12" t="n">
        <x:v>0</x:v>
      </x:c>
      <x:c r="H3265" s="1" t="n">
        <x:f>'Historical prices'!E3265</x:f>
        <x:v>1.05</x:v>
      </x:c>
      <x:c r="I3265" s="6" t="n">
        <x:f>'Historical prices'!D3265</x:f>
        <x:v>0.1321</x:v>
      </x:c>
      <x:c r="J3265" s="13" t="n">
        <x:f>D3265*I3265*H3265</x:f>
        <x:v>0.06349221375</x:v>
      </x:c>
      <x:c r="K3265" s="13" t="n">
        <x:f>E3265*I3265*H3265</x:f>
        <x:v>0.06501796875000002</x:v>
      </x:c>
      <x:c r="L3265" s="1" t="str">
        <x:f>TEXT(A3265,"mmm yyyy")</x:f>
        <x:v>Jul 2026</x:v>
      </x:c>
    </x:row>
    <x:row r="3266" ht="21" customHeight="1">
      <x:c r="A3266" s="10" t="n">
        <x:v>46216</x:v>
      </x:c>
      <x:c r="B3266" s="1" t="n">
        <x:v>13</x:v>
      </x:c>
      <x:c r="C3266" s="1" t="n">
        <x:v>6</x:v>
      </x:c>
      <x:c r="D3266" s="12" t="n">
        <x:v>4.383416666666666</x:v>
      </x:c>
      <x:c r="E3266" s="12" t="n">
        <x:v>0.7124166666666667</x:v>
      </x:c>
      <x:c r="F3266" s="12" t="n">
        <x:v>0</x:v>
      </x:c>
      <x:c r="G3266" s="12" t="n">
        <x:v>3.673</x:v>
      </x:c>
      <x:c r="H3266" s="1" t="n">
        <x:f>'Historical prices'!E3266</x:f>
        <x:v>1.05</x:v>
      </x:c>
      <x:c r="I3266" s="6" t="n">
        <x:f>'Historical prices'!D3266</x:f>
        <x:v>0.12689999999999999</x:v>
      </x:c>
      <x:c r="J3266" s="13" t="n">
        <x:f>D3266*I3266*H3266</x:f>
        <x:v>0.5840683537499999</x:v>
      </x:c>
      <x:c r="K3266" s="13" t="n">
        <x:f>E3266*I3266*H3266</x:f>
        <x:v>0.09492595875</x:v>
      </x:c>
      <x:c r="L3266" s="1" t="str">
        <x:f>TEXT(A3266,"mmm yyyy")</x:f>
        <x:v>Jul 2026</x:v>
      </x:c>
    </x:row>
    <x:row r="3267" ht="21" customHeight="1">
      <x:c r="A3267" s="10" t="n">
        <x:v>46216</x:v>
      </x:c>
      <x:c r="B3267" s="1" t="n">
        <x:v>13.5</x:v>
      </x:c>
      <x:c r="C3267" s="1" t="n">
        <x:v>6</x:v>
      </x:c>
      <x:c r="D3267" s="12" t="n">
        <x:v>4.843916666666667</x:v>
      </x:c>
      <x:c r="E3267" s="12" t="n">
        <x:v>0.7569166666666667</x:v>
      </x:c>
      <x:c r="F3267" s="12" t="n">
        <x:v>0</x:v>
      </x:c>
      <x:c r="G3267" s="12" t="n">
        <x:v>4.087</x:v>
      </x:c>
      <x:c r="H3267" s="1" t="n">
        <x:f>'Historical prices'!E3267</x:f>
        <x:v>1.05</x:v>
      </x:c>
      <x:c r="I3267" s="6" t="n">
        <x:f>'Historical prices'!D3267</x:f>
        <x:v>0.1281</x:v>
      </x:c>
      <x:c r="J3267" s="13" t="n">
        <x:f>D3267*I3267*H3267</x:f>
        <x:v>0.65153101125</x:v>
      </x:c>
      <x:c r="K3267" s="13" t="n">
        <x:f>E3267*I3267*H3267</x:f>
        <x:v>0.10180907624999999</x:v>
      </x:c>
      <x:c r="L3267" s="1" t="str">
        <x:f>TEXT(A3267,"mmm yyyy")</x:f>
        <x:v>Jul 2026</x:v>
      </x:c>
    </x:row>
    <x:row r="3268" ht="21" customHeight="1">
      <x:c r="A3268" s="10" t="n">
        <x:v>46216</x:v>
      </x:c>
      <x:c r="B3268" s="1" t="n">
        <x:v>14</x:v>
      </x:c>
      <x:c r="C3268" s="1" t="n">
        <x:v>6</x:v>
      </x:c>
      <x:c r="D3268" s="12" t="n">
        <x:v>1.14475</x:v>
      </x:c>
      <x:c r="E3268" s="12" t="n">
        <x:v>0.45575</x:v>
      </x:c>
      <x:c r="F3268" s="12" t="n">
        <x:v>0</x:v>
      </x:c>
      <x:c r="G3268" s="12" t="n">
        <x:v>0.695</x:v>
      </x:c>
      <x:c r="H3268" s="1" t="n">
        <x:f>'Historical prices'!E3268</x:f>
        <x:v>1.05</x:v>
      </x:c>
      <x:c r="I3268" s="6" t="n">
        <x:f>'Historical prices'!D3268</x:f>
        <x:v>0.1367</x:v>
      </x:c>
      <x:c r="J3268" s="13" t="n">
        <x:f>D3268*I3268*H3268</x:f>
        <x:v>0.16431169125</x:v>
      </x:c>
      <x:c r="K3268" s="13" t="n">
        <x:f>E3268*I3268*H3268</x:f>
        <x:v>0.06541607625</x:v>
      </x:c>
      <x:c r="L3268" s="1" t="str">
        <x:f>TEXT(A3268,"mmm yyyy")</x:f>
        <x:v>Jul 2026</x:v>
      </x:c>
    </x:row>
    <x:row r="3269" ht="21" customHeight="1">
      <x:c r="A3269" s="10" t="n">
        <x:v>46216</x:v>
      </x:c>
      <x:c r="B3269" s="1" t="n">
        <x:v>14.5</x:v>
      </x:c>
      <x:c r="C3269" s="1" t="n">
        <x:v>6</x:v>
      </x:c>
      <x:c r="D3269" s="12" t="n">
        <x:v>4.321916666666667</x:v>
      </x:c>
      <x:c r="E3269" s="12" t="n">
        <x:v>0.6149166666666666</x:v>
      </x:c>
      <x:c r="F3269" s="12" t="n">
        <x:v>0</x:v>
      </x:c>
      <x:c r="G3269" s="12" t="n">
        <x:v>3.71</x:v>
      </x:c>
      <x:c r="H3269" s="1" t="n">
        <x:f>'Historical prices'!E3269</x:f>
        <x:v>1.05</x:v>
      </x:c>
      <x:c r="I3269" s="6" t="n">
        <x:f>'Historical prices'!D3269</x:f>
        <x:v>0.12869999999999998</x:v>
      </x:c>
      <x:c r="J3269" s="13" t="n">
        <x:f>D3269*I3269*H3269</x:f>
        <x:v>0.5840422087499999</x:v>
      </x:c>
      <x:c r="K3269" s="13" t="n">
        <x:f>E3269*I3269*H3269</x:f>
        <x:v>0.08309676374999997</x:v>
      </x:c>
      <x:c r="L3269" s="1" t="str">
        <x:f>TEXT(A3269,"mmm yyyy")</x:f>
        <x:v>Jul 2026</x:v>
      </x:c>
    </x:row>
    <x:row r="3270" ht="21" customHeight="1">
      <x:c r="A3270" s="10" t="n">
        <x:v>46216</x:v>
      </x:c>
      <x:c r="B3270" s="1" t="n">
        <x:v>15</x:v>
      </x:c>
      <x:c r="C3270" s="1" t="n">
        <x:v>6</x:v>
      </x:c>
      <x:c r="D3270" s="12" t="n">
        <x:v>1.2822500000000001</x:v>
      </x:c>
      <x:c r="E3270" s="12" t="n">
        <x:v>0.5552499999999999</x:v>
      </x:c>
      <x:c r="F3270" s="12" t="n">
        <x:v>0</x:v>
      </x:c>
      <x:c r="G3270" s="12" t="n">
        <x:v>0.734</x:v>
      </x:c>
      <x:c r="H3270" s="1" t="n">
        <x:f>'Historical prices'!E3270</x:f>
        <x:v>1.05</x:v>
      </x:c>
      <x:c r="I3270" s="6" t="n">
        <x:f>'Historical prices'!D3270</x:f>
        <x:v>0.1388</x:v>
      </x:c>
      <x:c r="J3270" s="13" t="n">
        <x:f>D3270*I3270*H3270</x:f>
        <x:v>0.18687511500000004</x:v>
      </x:c>
      <x:c r="K3270" s="13" t="n">
        <x:f>E3270*I3270*H3270</x:f>
        <x:v>0.08092213499999999</x:v>
      </x:c>
      <x:c r="L3270" s="1" t="str">
        <x:f>TEXT(A3270,"mmm yyyy")</x:f>
        <x:v>Jul 2026</x:v>
      </x:c>
    </x:row>
    <x:row r="3271" ht="21" customHeight="1">
      <x:c r="A3271" s="10" t="n">
        <x:v>46216</x:v>
      </x:c>
      <x:c r="B3271" s="1" t="n">
        <x:v>15.5</x:v>
      </x:c>
      <x:c r="C3271" s="1" t="n">
        <x:v>6</x:v>
      </x:c>
      <x:c r="D3271" s="12" t="n">
        <x:v>0.44400000000000006</x:v>
      </x:c>
      <x:c r="E3271" s="12" t="n">
        <x:v>0.45499999999999996</x:v>
      </x:c>
      <x:c r="F3271" s="12" t="n">
        <x:v>0</x:v>
      </x:c>
      <x:c r="G3271" s="12" t="n">
        <x:v>0</x:v>
      </x:c>
      <x:c r="H3271" s="1" t="n">
        <x:f>'Historical prices'!E3271</x:f>
        <x:v>1.05</x:v>
      </x:c>
      <x:c r="I3271" s="6" t="n">
        <x:f>'Historical prices'!D3271</x:f>
        <x:v>0.1388</x:v>
      </x:c>
      <x:c r="J3271" s="13" t="n">
        <x:f>D3271*I3271*H3271</x:f>
        <x:v>0.06470856000000001</x:v>
      </x:c>
      <x:c r="K3271" s="13" t="n">
        <x:f>E3271*I3271*H3271</x:f>
        <x:v>0.0663117</x:v>
      </x:c>
      <x:c r="L3271" s="1" t="str">
        <x:f>TEXT(A3271,"mmm yyyy")</x:f>
        <x:v>Jul 2026</x:v>
      </x:c>
    </x:row>
    <x:row r="3272" ht="21" customHeight="1">
      <x:c r="A3272" s="10" t="n">
        <x:v>46216</x:v>
      </x:c>
      <x:c r="B3272" s="1" t="n">
        <x:v>16</x:v>
      </x:c>
      <x:c r="C3272" s="1" t="n">
        <x:v>6</x:v>
      </x:c>
      <x:c r="D3272" s="12" t="n">
        <x:v>0.08175</x:v>
      </x:c>
      <x:c r="E3272" s="12" t="n">
        <x:v>0.59575</x:v>
      </x:c>
      <x:c r="F3272" s="12" t="n">
        <x:v>0.5115833333333333</x:v>
      </x:c>
      <x:c r="G3272" s="12" t="n">
        <x:v>0</x:v>
      </x:c>
      <x:c r="H3272" s="1" t="n">
        <x:f>'Historical prices'!E3272</x:f>
        <x:v>1.05</x:v>
      </x:c>
      <x:c r="I3272" s="6" t="n">
        <x:f>'Historical prices'!D3272</x:f>
        <x:v>0.2945</x:v>
      </x:c>
      <x:c r="J3272" s="13" t="n">
        <x:f>D3272*I3272*H3272</x:f>
        <x:v>0.02527914375</x:v>
      </x:c>
      <x:c r="K3272" s="13" t="n">
        <x:f>E3272*I3272*H3272</x:f>
        <x:v>0.18422079375</x:v>
      </x:c>
      <x:c r="L3272" s="1" t="str">
        <x:f>TEXT(A3272,"mmm yyyy")</x:f>
        <x:v>Jul 2026</x:v>
      </x:c>
    </x:row>
    <x:row r="3273" ht="21" customHeight="1">
      <x:c r="A3273" s="10" t="n">
        <x:v>46216</x:v>
      </x:c>
      <x:c r="B3273" s="1" t="n">
        <x:v>16.5</x:v>
      </x:c>
      <x:c r="C3273" s="1" t="n">
        <x:v>6</x:v>
      </x:c>
      <x:c r="D3273" s="12" t="n">
        <x:v>0</x:v>
      </x:c>
      <x:c r="E3273" s="12" t="n">
        <x:v>0.49299999999999994</x:v>
      </x:c>
      <x:c r="F3273" s="12" t="n">
        <x:v>0.49274999999999997</x:v>
      </x:c>
      <x:c r="G3273" s="12" t="n">
        <x:v>0</x:v>
      </x:c>
      <x:c r="H3273" s="1" t="n">
        <x:f>'Historical prices'!E3273</x:f>
        <x:v>1.05</x:v>
      </x:c>
      <x:c r="I3273" s="6" t="n">
        <x:f>'Historical prices'!D3273</x:f>
        <x:v>0.27690000000000003</x:v>
      </x:c>
      <x:c r="J3273" s="13" t="n">
        <x:f>D3273*I3273*H3273</x:f>
        <x:v>0</x:v>
      </x:c>
      <x:c r="K3273" s="13" t="n">
        <x:f>E3273*I3273*H3273</x:f>
        <x:v>0.143337285</x:v>
      </x:c>
      <x:c r="L3273" s="1" t="str">
        <x:f>TEXT(A3273,"mmm yyyy")</x:f>
        <x:v>Jul 2026</x:v>
      </x:c>
    </x:row>
    <x:row r="3274" ht="21" customHeight="1">
      <x:c r="A3274" s="10" t="n">
        <x:v>46216</x:v>
      </x:c>
      <x:c r="B3274" s="1" t="n">
        <x:v>17</x:v>
      </x:c>
      <x:c r="C3274" s="1" t="n">
        <x:v>6</x:v>
      </x:c>
      <x:c r="D3274" s="12" t="n">
        <x:v>0</x:v>
      </x:c>
      <x:c r="E3274" s="12" t="n">
        <x:v>0.4899166666666667</x:v>
      </x:c>
      <x:c r="F3274" s="12" t="n">
        <x:v>0.48966666666666664</x:v>
      </x:c>
      <x:c r="G3274" s="12" t="n">
        <x:v>0</x:v>
      </x:c>
      <x:c r="H3274" s="1" t="n">
        <x:f>'Historical prices'!E3274</x:f>
        <x:v>1.05</x:v>
      </x:c>
      <x:c r="I3274" s="6" t="n">
        <x:f>'Historical prices'!D3274</x:f>
        <x:v>0.3175</x:v>
      </x:c>
      <x:c r="J3274" s="13" t="n">
        <x:f>D3274*I3274*H3274</x:f>
        <x:v>0</x:v>
      </x:c>
      <x:c r="K3274" s="13" t="n">
        <x:f>E3274*I3274*H3274</x:f>
        <x:v>0.16332596875000002</x:v>
      </x:c>
      <x:c r="L3274" s="1" t="str">
        <x:f>TEXT(A3274,"mmm yyyy")</x:f>
        <x:v>Jul 2026</x:v>
      </x:c>
    </x:row>
    <x:row r="3275" ht="21" customHeight="1">
      <x:c r="A3275" s="10" t="n">
        <x:v>46216</x:v>
      </x:c>
      <x:c r="B3275" s="1" t="n">
        <x:v>17.5</x:v>
      </x:c>
      <x:c r="C3275" s="1" t="n">
        <x:v>6</x:v>
      </x:c>
      <x:c r="D3275" s="12" t="n">
        <x:v>0</x:v>
      </x:c>
      <x:c r="E3275" s="12" t="n">
        <x:v>0.46658333333333335</x:v>
      </x:c>
      <x:c r="F3275" s="12" t="n">
        <x:v>0.46458333333333335</x:v>
      </x:c>
      <x:c r="G3275" s="12" t="n">
        <x:v>0</x:v>
      </x:c>
      <x:c r="H3275" s="1" t="n">
        <x:f>'Historical prices'!E3275</x:f>
        <x:v>1.05</x:v>
      </x:c>
      <x:c r="I3275" s="6" t="n">
        <x:f>'Historical prices'!D3275</x:f>
        <x:v>0.3249</x:v>
      </x:c>
      <x:c r="J3275" s="13" t="n">
        <x:f>D3275*I3275*H3275</x:f>
        <x:v>0</x:v>
      </x:c>
      <x:c r="K3275" s="13" t="n">
        <x:f>E3275*I3275*H3275</x:f>
        <x:v>0.15917257125000003</x:v>
      </x:c>
      <x:c r="L3275" s="1" t="str">
        <x:f>TEXT(A3275,"mmm yyyy")</x:f>
        <x:v>Jul 2026</x:v>
      </x:c>
    </x:row>
    <x:row r="3276" ht="21" customHeight="1">
      <x:c r="A3276" s="10" t="n">
        <x:v>46216</x:v>
      </x:c>
      <x:c r="B3276" s="1" t="n">
        <x:v>18</x:v>
      </x:c>
      <x:c r="C3276" s="1" t="n">
        <x:v>6</x:v>
      </x:c>
      <x:c r="D3276" s="12" t="n">
        <x:v>0</x:v>
      </x:c>
      <x:c r="E3276" s="12" t="n">
        <x:v>0.5479166666666666</x:v>
      </x:c>
      <x:c r="F3276" s="12" t="n">
        <x:v>0.54775</x:v>
      </x:c>
      <x:c r="G3276" s="12" t="n">
        <x:v>0</x:v>
      </x:c>
      <x:c r="H3276" s="1" t="n">
        <x:f>'Historical prices'!E3276</x:f>
        <x:v>1.05</x:v>
      </x:c>
      <x:c r="I3276" s="6" t="n">
        <x:f>'Historical prices'!D3276</x:f>
        <x:v>0.34240000000000004</x:v>
      </x:c>
      <x:c r="J3276" s="13" t="n">
        <x:f>D3276*I3276*H3276</x:f>
        <x:v>0</x:v>
      </x:c>
      <x:c r="K3276" s="13" t="n">
        <x:f>E3276*I3276*H3276</x:f>
        <x:v>0.19698700000000002</x:v>
      </x:c>
      <x:c r="L3276" s="1" t="str">
        <x:f>TEXT(A3276,"mmm yyyy")</x:f>
        <x:v>Jul 2026</x:v>
      </x:c>
    </x:row>
    <x:row r="3277" ht="21" customHeight="1">
      <x:c r="A3277" s="10" t="n">
        <x:v>46216</x:v>
      </x:c>
      <x:c r="B3277" s="1" t="n">
        <x:v>18.5</x:v>
      </x:c>
      <x:c r="C3277" s="1" t="n">
        <x:v>6</x:v>
      </x:c>
      <x:c r="D3277" s="12" t="n">
        <x:v>0</x:v>
      </x:c>
      <x:c r="E3277" s="12" t="n">
        <x:v>0.6806666666666666</x:v>
      </x:c>
      <x:c r="F3277" s="12" t="n">
        <x:v>0.6775833333333333</x:v>
      </x:c>
      <x:c r="G3277" s="12" t="n">
        <x:v>0</x:v>
      </x:c>
      <x:c r="H3277" s="1" t="n">
        <x:f>'Historical prices'!E3277</x:f>
        <x:v>1.05</x:v>
      </x:c>
      <x:c r="I3277" s="6" t="n">
        <x:f>'Historical prices'!D3277</x:f>
        <x:v>0.3532</x:v>
      </x:c>
      <x:c r="J3277" s="13" t="n">
        <x:f>D3277*I3277*H3277</x:f>
        <x:v>0</x:v>
      </x:c>
      <x:c r="K3277" s="13" t="n">
        <x:f>E3277*I3277*H3277</x:f>
        <x:v>0.25243204</x:v>
      </x:c>
      <x:c r="L3277" s="1" t="str">
        <x:f>TEXT(A3277,"mmm yyyy")</x:f>
        <x:v>Jul 2026</x:v>
      </x:c>
    </x:row>
    <x:row r="3278" ht="21" customHeight="1">
      <x:c r="A3278" s="10" t="n">
        <x:v>46216</x:v>
      </x:c>
      <x:c r="B3278" s="1" t="n">
        <x:v>19</x:v>
      </x:c>
      <x:c r="C3278" s="1" t="n">
        <x:v>6</x:v>
      </x:c>
      <x:c r="D3278" s="12" t="n">
        <x:v>0</x:v>
      </x:c>
      <x:c r="E3278" s="12" t="n">
        <x:v>0.4558333333333333</x:v>
      </x:c>
      <x:c r="F3278" s="12" t="n">
        <x:v>0.45558333333333334</x:v>
      </x:c>
      <x:c r="G3278" s="12" t="n">
        <x:v>0</x:v>
      </x:c>
      <x:c r="H3278" s="1" t="n">
        <x:f>'Historical prices'!E3278</x:f>
        <x:v>1.05</x:v>
      </x:c>
      <x:c r="I3278" s="6" t="n">
        <x:f>'Historical prices'!D3278</x:f>
        <x:v>0.2632</x:v>
      </x:c>
      <x:c r="J3278" s="13" t="n">
        <x:f>D3278*I3278*H3278</x:f>
        <x:v>0</x:v>
      </x:c>
      <x:c r="K3278" s="13" t="n">
        <x:f>E3278*I3278*H3278</x:f>
        <x:v>0.1259741</x:v>
      </x:c>
      <x:c r="L3278" s="1" t="str">
        <x:f>TEXT(A3278,"mmm yyyy")</x:f>
        <x:v>Jul 2026</x:v>
      </x:c>
    </x:row>
    <x:row r="3279" ht="21" customHeight="1">
      <x:c r="A3279" s="10" t="n">
        <x:v>46216</x:v>
      </x:c>
      <x:c r="B3279" s="1" t="n">
        <x:v>19.5</x:v>
      </x:c>
      <x:c r="C3279" s="1" t="n">
        <x:v>6</x:v>
      </x:c>
      <x:c r="D3279" s="12" t="n">
        <x:v>0</x:v>
      </x:c>
      <x:c r="E3279" s="12" t="n">
        <x:v>0.7325</x:v>
      </x:c>
      <x:c r="F3279" s="12" t="n">
        <x:v>0.7323333333333333</x:v>
      </x:c>
      <x:c r="G3279" s="12" t="n">
        <x:v>0</x:v>
      </x:c>
      <x:c r="H3279" s="1" t="n">
        <x:f>'Historical prices'!E3279</x:f>
        <x:v>1.05</x:v>
      </x:c>
      <x:c r="I3279" s="6" t="n">
        <x:f>'Historical prices'!D3279</x:f>
        <x:v>0.2657</x:v>
      </x:c>
      <x:c r="J3279" s="13" t="n">
        <x:f>D3279*I3279*H3279</x:f>
        <x:v>0</x:v>
      </x:c>
      <x:c r="K3279" s="13" t="n">
        <x:f>E3279*I3279*H3279</x:f>
        <x:v>0.2043565125</x:v>
      </x:c>
      <x:c r="L3279" s="1" t="str">
        <x:f>TEXT(A3279,"mmm yyyy")</x:f>
        <x:v>Jul 2026</x:v>
      </x:c>
    </x:row>
    <x:row r="3280" ht="21" customHeight="1">
      <x:c r="A3280" s="10" t="n">
        <x:v>46216</x:v>
      </x:c>
      <x:c r="B3280" s="1" t="n">
        <x:v>20</x:v>
      </x:c>
      <x:c r="C3280" s="1" t="n">
        <x:v>6</x:v>
      </x:c>
      <x:c r="D3280" s="12" t="n">
        <x:v>0</x:v>
      </x:c>
      <x:c r="E3280" s="12" t="n">
        <x:v>0.49824999999999997</x:v>
      </x:c>
      <x:c r="F3280" s="12" t="n">
        <x:v>0.4979166666666667</x:v>
      </x:c>
      <x:c r="G3280" s="12" t="n">
        <x:v>0</x:v>
      </x:c>
      <x:c r="H3280" s="1" t="n">
        <x:f>'Historical prices'!E3280</x:f>
        <x:v>1.05</x:v>
      </x:c>
      <x:c r="I3280" s="6" t="n">
        <x:f>'Historical prices'!D3280</x:f>
        <x:v>0.275</x:v>
      </x:c>
      <x:c r="J3280" s="13" t="n">
        <x:f>D3280*I3280*H3280</x:f>
        <x:v>0</x:v>
      </x:c>
      <x:c r="K3280" s="13" t="n">
        <x:f>E3280*I3280*H3280</x:f>
        <x:v>0.1438696875</x:v>
      </x:c>
      <x:c r="L3280" s="1" t="str">
        <x:f>TEXT(A3280,"mmm yyyy")</x:f>
        <x:v>Jul 2026</x:v>
      </x:c>
    </x:row>
    <x:row r="3281" ht="21" customHeight="1">
      <x:c r="A3281" s="10" t="n">
        <x:v>46216</x:v>
      </x:c>
      <x:c r="B3281" s="1" t="n">
        <x:v>20.5</x:v>
      </x:c>
      <x:c r="C3281" s="1" t="n">
        <x:v>6</x:v>
      </x:c>
      <x:c r="D3281" s="12" t="n">
        <x:v>0</x:v>
      </x:c>
      <x:c r="E3281" s="12" t="n">
        <x:v>0.5058333333333332</x:v>
      </x:c>
      <x:c r="F3281" s="12" t="n">
        <x:v>0.5056666666666666</x:v>
      </x:c>
      <x:c r="G3281" s="12" t="n">
        <x:v>0</x:v>
      </x:c>
      <x:c r="H3281" s="1" t="n">
        <x:f>'Historical prices'!E3281</x:f>
        <x:v>1.05</x:v>
      </x:c>
      <x:c r="I3281" s="6" t="n">
        <x:f>'Historical prices'!D3281</x:f>
        <x:v>0.26899999999999996</x:v>
      </x:c>
      <x:c r="J3281" s="13" t="n">
        <x:f>D3281*I3281*H3281</x:f>
        <x:v>0</x:v>
      </x:c>
      <x:c r="K3281" s="13" t="n">
        <x:f>E3281*I3281*H3281</x:f>
        <x:v>0.14287262499999998</x:v>
      </x:c>
      <x:c r="L3281" s="1" t="str">
        <x:f>TEXT(A3281,"mmm yyyy")</x:f>
        <x:v>Jul 2026</x:v>
      </x:c>
    </x:row>
    <x:row r="3282" ht="21" customHeight="1">
      <x:c r="A3282" s="10" t="n">
        <x:v>46216</x:v>
      </x:c>
      <x:c r="B3282" s="1" t="n">
        <x:v>21</x:v>
      </x:c>
      <x:c r="C3282" s="1" t="n">
        <x:v>6</x:v>
      </x:c>
      <x:c r="D3282" s="12" t="n">
        <x:v>0</x:v>
      </x:c>
      <x:c r="E3282" s="12" t="n">
        <x:v>0.5519166666666666</x:v>
      </x:c>
      <x:c r="F3282" s="12" t="n">
        <x:v>0.55175</x:v>
      </x:c>
      <x:c r="G3282" s="12" t="n">
        <x:v>0</x:v>
      </x:c>
      <x:c r="H3282" s="1" t="n">
        <x:f>'Historical prices'!E3282</x:f>
        <x:v>1.05</x:v>
      </x:c>
      <x:c r="I3282" s="6" t="n">
        <x:f>'Historical prices'!D3282</x:f>
        <x:v>0.2713</x:v>
      </x:c>
      <x:c r="J3282" s="13" t="n">
        <x:f>D3282*I3282*H3282</x:f>
        <x:v>0</x:v>
      </x:c>
      <x:c r="K3282" s="13" t="n">
        <x:f>E3282*I3282*H3282</x:f>
        <x:v>0.15722174125</x:v>
      </x:c>
      <x:c r="L3282" s="1" t="str">
        <x:f>TEXT(A3282,"mmm yyyy")</x:f>
        <x:v>Jul 2026</x:v>
      </x:c>
    </x:row>
    <x:row r="3283" ht="21" customHeight="1">
      <x:c r="A3283" s="10" t="n">
        <x:v>46216</x:v>
      </x:c>
      <x:c r="B3283" s="1" t="n">
        <x:v>21.5</x:v>
      </x:c>
      <x:c r="C3283" s="1" t="n">
        <x:v>6</x:v>
      </x:c>
      <x:c r="D3283" s="12" t="n">
        <x:v>0</x:v>
      </x:c>
      <x:c r="E3283" s="12" t="n">
        <x:v>1.0671666666666666</x:v>
      </x:c>
      <x:c r="F3283" s="12" t="n">
        <x:v>1.0665833333333332</x:v>
      </x:c>
      <x:c r="G3283" s="12" t="n">
        <x:v>0</x:v>
      </x:c>
      <x:c r="H3283" s="1" t="n">
        <x:f>'Historical prices'!E3283</x:f>
        <x:v>1.05</x:v>
      </x:c>
      <x:c r="I3283" s="6" t="n">
        <x:f>'Historical prices'!D3283</x:f>
        <x:v>0.2606</x:v>
      </x:c>
      <x:c r="J3283" s="13" t="n">
        <x:f>D3283*I3283*H3283</x:f>
        <x:v>0</x:v>
      </x:c>
      <x:c r="K3283" s="13" t="n">
        <x:f>E3283*I3283*H3283</x:f>
        <x:v>0.292008815</x:v>
      </x:c>
      <x:c r="L3283" s="1" t="str">
        <x:f>TEXT(A3283,"mmm yyyy")</x:f>
        <x:v>Jul 2026</x:v>
      </x:c>
    </x:row>
    <x:row r="3284" ht="21" customHeight="1">
      <x:c r="A3284" s="10" t="n">
        <x:v>46216</x:v>
      </x:c>
      <x:c r="B3284" s="1" t="n">
        <x:v>22</x:v>
      </x:c>
      <x:c r="C3284" s="1" t="n">
        <x:v>6</x:v>
      </x:c>
      <x:c r="D3284" s="12" t="n">
        <x:v>0</x:v>
      </x:c>
      <x:c r="E3284" s="12" t="n">
        <x:v>0.39133333333333337</x:v>
      </x:c>
      <x:c r="F3284" s="12" t="n">
        <x:v>0.39133333333333337</x:v>
      </x:c>
      <x:c r="G3284" s="12" t="n">
        <x:v>0</x:v>
      </x:c>
      <x:c r="H3284" s="1" t="n">
        <x:f>'Historical prices'!E3284</x:f>
        <x:v>1.05</x:v>
      </x:c>
      <x:c r="I3284" s="6" t="n">
        <x:f>'Historical prices'!D3284</x:f>
        <x:v>0.2396</x:v>
      </x:c>
      <x:c r="J3284" s="13" t="n">
        <x:f>D3284*I3284*H3284</x:f>
        <x:v>0</x:v>
      </x:c>
      <x:c r="K3284" s="13" t="n">
        <x:f>E3284*I3284*H3284</x:f>
        <x:v>0.09845164000000002</x:v>
      </x:c>
      <x:c r="L3284" s="1" t="str">
        <x:f>TEXT(A3284,"mmm yyyy")</x:f>
        <x:v>Jul 2026</x:v>
      </x:c>
    </x:row>
    <x:row r="3285" ht="21" customHeight="1">
      <x:c r="A3285" s="10" t="n">
        <x:v>46216</x:v>
      </x:c>
      <x:c r="B3285" s="1" t="n">
        <x:v>22.5</x:v>
      </x:c>
      <x:c r="C3285" s="1" t="n">
        <x:v>6</x:v>
      </x:c>
      <x:c r="D3285" s="12" t="n">
        <x:v>0.01325</x:v>
      </x:c>
      <x:c r="E3285" s="12" t="n">
        <x:v>0.30666666666666664</x:v>
      </x:c>
      <x:c r="F3285" s="12" t="n">
        <x:v>0.2849166666666667</x:v>
      </x:c>
      <x:c r="G3285" s="12" t="n">
        <x:v>0</x:v>
      </x:c>
      <x:c r="H3285" s="1" t="n">
        <x:f>'Historical prices'!E3285</x:f>
        <x:v>1.05</x:v>
      </x:c>
      <x:c r="I3285" s="6" t="n">
        <x:f>'Historical prices'!D3285</x:f>
        <x:v>0.2306</x:v>
      </x:c>
      <x:c r="J3285" s="13" t="n">
        <x:f>D3285*I3285*H3285</x:f>
        <x:v>0.0032082225</x:v>
      </x:c>
      <x:c r="K3285" s="13" t="n">
        <x:f>E3285*I3285*H3285</x:f>
        <x:v>0.07425319999999999</x:v>
      </x:c>
      <x:c r="L3285" s="1" t="str">
        <x:f>TEXT(A3285,"mmm yyyy")</x:f>
        <x:v>Jul 2026</x:v>
      </x:c>
    </x:row>
    <x:row r="3286" ht="21" customHeight="1">
      <x:c r="A3286" s="10" t="n">
        <x:v>46216</x:v>
      </x:c>
      <x:c r="B3286" s="1" t="n">
        <x:v>23</x:v>
      </x:c>
      <x:c r="C3286" s="1" t="n">
        <x:v>6</x:v>
      </x:c>
      <x:c r="D3286" s="12" t="n">
        <x:v>0</x:v>
      </x:c>
      <x:c r="E3286" s="12" t="n">
        <x:v>0.3209166666666667</x:v>
      </x:c>
      <x:c r="F3286" s="12" t="n">
        <x:v>0.32075</x:v>
      </x:c>
      <x:c r="G3286" s="12" t="n">
        <x:v>0</x:v>
      </x:c>
      <x:c r="H3286" s="1" t="n">
        <x:f>'Historical prices'!E3286</x:f>
        <x:v>1.05</x:v>
      </x:c>
      <x:c r="I3286" s="6" t="n">
        <x:f>'Historical prices'!D3286</x:f>
        <x:v>0.23079999999999998</x:v>
      </x:c>
      <x:c r="J3286" s="13" t="n">
        <x:f>D3286*I3286*H3286</x:f>
        <x:v>0</x:v>
      </x:c>
      <x:c r="K3286" s="13" t="n">
        <x:f>E3286*I3286*H3286</x:f>
        <x:v>0.07777094500000001</x:v>
      </x:c>
      <x:c r="L3286" s="1" t="str">
        <x:f>TEXT(A3286,"mmm yyyy")</x:f>
        <x:v>Jul 2026</x:v>
      </x:c>
    </x:row>
    <x:row r="3287" ht="21" customHeight="1">
      <x:c r="A3287" s="10" t="n">
        <x:v>46216</x:v>
      </x:c>
      <x:c r="B3287" s="1" t="n">
        <x:v>23.5</x:v>
      </x:c>
      <x:c r="C3287" s="1" t="n">
        <x:v>6</x:v>
      </x:c>
      <x:c r="D3287" s="12" t="n">
        <x:v>0</x:v>
      </x:c>
      <x:c r="E3287" s="12" t="n">
        <x:v>0.27316666666666667</x:v>
      </x:c>
      <x:c r="F3287" s="12" t="n">
        <x:v>0.27283333333333337</x:v>
      </x:c>
      <x:c r="G3287" s="12" t="n">
        <x:v>0</x:v>
      </x:c>
      <x:c r="H3287" s="1" t="n">
        <x:f>'Historical prices'!E3287</x:f>
        <x:v>1.05</x:v>
      </x:c>
      <x:c r="I3287" s="6" t="n">
        <x:f>'Historical prices'!D3287</x:f>
        <x:v>0.2193</x:v>
      </x:c>
      <x:c r="J3287" s="13" t="n">
        <x:f>D3287*I3287*H3287</x:f>
        <x:v>0</x:v>
      </x:c>
      <x:c r="K3287" s="13" t="n">
        <x:f>E3287*I3287*H3287</x:f>
        <x:v>0.0629007225</x:v>
      </x:c>
      <x:c r="L3287" s="1" t="str">
        <x:f>TEXT(A3287,"mmm yyyy")</x:f>
        <x:v>Jul 2026</x:v>
      </x:c>
    </x:row>
    <x:row r="3288" ht="21" customHeight="1">
      <x:c r="A3288" s="10" t="n">
        <x:v>46217</x:v>
      </x:c>
      <x:c r="B3288" s="1" t="n">
        <x:v>0</x:v>
      </x:c>
      <x:c r="C3288" s="1" t="n">
        <x:v>6</x:v>
      </x:c>
      <x:c r="D3288" s="12" t="n">
        <x:v>0</x:v>
      </x:c>
      <x:c r="E3288" s="12" t="n">
        <x:v>0.24416666666666667</x:v>
      </x:c>
      <x:c r="F3288" s="12" t="n">
        <x:v>0.24300000000000002</x:v>
      </x:c>
      <x:c r="G3288" s="12" t="n">
        <x:v>0</x:v>
      </x:c>
      <x:c r="H3288" s="1" t="n">
        <x:f>'Historical prices'!E3288</x:f>
        <x:v>1.05</x:v>
      </x:c>
      <x:c r="I3288" s="6" t="n">
        <x:f>'Historical prices'!D3288</x:f>
        <x:v>0.21030000000000001</x:v>
      </x:c>
      <x:c r="J3288" s="13" t="n">
        <x:f>D3288*I3288*H3288</x:f>
        <x:v>0</x:v>
      </x:c>
      <x:c r="K3288" s="13" t="n">
        <x:f>E3288*I3288*H3288</x:f>
        <x:v>0.05391566250000001</x:v>
      </x:c>
      <x:c r="L3288" s="1" t="str">
        <x:f>TEXT(A3288,"mmm yyyy")</x:f>
        <x:v>Jul 2026</x:v>
      </x:c>
    </x:row>
    <x:row r="3289" ht="21" customHeight="1">
      <x:c r="A3289" s="10" t="n">
        <x:v>46217</x:v>
      </x:c>
      <x:c r="B3289" s="1" t="n">
        <x:v>0.5</x:v>
      </x:c>
      <x:c r="C3289" s="1" t="n">
        <x:v>6</x:v>
      </x:c>
      <x:c r="D3289" s="12" t="n">
        <x:v>0</x:v>
      </x:c>
      <x:c r="E3289" s="12" t="n">
        <x:v>0.28225</x:v>
      </x:c>
      <x:c r="F3289" s="12" t="n">
        <x:v>0.28191666666666665</x:v>
      </x:c>
      <x:c r="G3289" s="12" t="n">
        <x:v>0</x:v>
      </x:c>
      <x:c r="H3289" s="1" t="n">
        <x:f>'Historical prices'!E3289</x:f>
        <x:v>1.05</x:v>
      </x:c>
      <x:c r="I3289" s="6" t="n">
        <x:f>'Historical prices'!D3289</x:f>
        <x:v>0.2097</x:v>
      </x:c>
      <x:c r="J3289" s="13" t="n">
        <x:f>D3289*I3289*H3289</x:f>
        <x:v>0</x:v>
      </x:c>
      <x:c r="K3289" s="13" t="n">
        <x:f>E3289*I3289*H3289</x:f>
        <x:v>0.062147216250000005</x:v>
      </x:c>
      <x:c r="L3289" s="1" t="str">
        <x:f>TEXT(A3289,"mmm yyyy")</x:f>
        <x:v>Jul 2026</x:v>
      </x:c>
    </x:row>
    <x:row r="3290" ht="21" customHeight="1">
      <x:c r="A3290" s="10" t="n">
        <x:v>46217</x:v>
      </x:c>
      <x:c r="B3290" s="1" t="n">
        <x:v>1</x:v>
      </x:c>
      <x:c r="C3290" s="1" t="n">
        <x:v>6</x:v>
      </x:c>
      <x:c r="D3290" s="12" t="n">
        <x:v>0</x:v>
      </x:c>
      <x:c r="E3290" s="12" t="n">
        <x:v>0.2639166666666667</x:v>
      </x:c>
      <x:c r="F3290" s="12" t="n">
        <x:v>0.2638333333333333</x:v>
      </x:c>
      <x:c r="G3290" s="12" t="n">
        <x:v>0</x:v>
      </x:c>
      <x:c r="H3290" s="1" t="n">
        <x:f>'Historical prices'!E3290</x:f>
        <x:v>1.05</x:v>
      </x:c>
      <x:c r="I3290" s="6" t="n">
        <x:f>'Historical prices'!D3290</x:f>
        <x:v>0.1999</x:v>
      </x:c>
      <x:c r="J3290" s="13" t="n">
        <x:f>D3290*I3290*H3290</x:f>
        <x:v>0</x:v>
      </x:c>
      <x:c r="K3290" s="13" t="n">
        <x:f>E3290*I3290*H3290</x:f>
        <x:v>0.05539478875000001</x:v>
      </x:c>
      <x:c r="L3290" s="1" t="str">
        <x:f>TEXT(A3290,"mmm yyyy")</x:f>
        <x:v>Jul 2026</x:v>
      </x:c>
    </x:row>
    <x:row r="3291" ht="21" customHeight="1">
      <x:c r="A3291" s="10" t="n">
        <x:v>46217</x:v>
      </x:c>
      <x:c r="B3291" s="1" t="n">
        <x:v>1.5</x:v>
      </x:c>
      <x:c r="C3291" s="1" t="n">
        <x:v>6</x:v>
      </x:c>
      <x:c r="D3291" s="12" t="n">
        <x:v>0.18233333333333335</x:v>
      </x:c>
      <x:c r="E3291" s="12" t="n">
        <x:v>0.23233333333333334</x:v>
      </x:c>
      <x:c r="F3291" s="12" t="n">
        <x:v>0.04</x:v>
      </x:c>
      <x:c r="G3291" s="12" t="n">
        <x:v>0</x:v>
      </x:c>
      <x:c r="H3291" s="1" t="n">
        <x:f>'Historical prices'!E3291</x:f>
        <x:v>1.05</x:v>
      </x:c>
      <x:c r="I3291" s="6" t="n">
        <x:f>'Historical prices'!D3291</x:f>
        <x:v>0.198</x:v>
      </x:c>
      <x:c r="J3291" s="13" t="n">
        <x:f>D3291*I3291*H3291</x:f>
        <x:v>0.037907100000000006</x:v>
      </x:c>
      <x:c r="K3291" s="13" t="n">
        <x:f>E3291*I3291*H3291</x:f>
        <x:v>0.0483021</x:v>
      </x:c>
      <x:c r="L3291" s="1" t="str">
        <x:f>TEXT(A3291,"mmm yyyy")</x:f>
        <x:v>Jul 2026</x:v>
      </x:c>
    </x:row>
    <x:row r="3292" ht="21" customHeight="1">
      <x:c r="A3292" s="10" t="n">
        <x:v>46217</x:v>
      </x:c>
      <x:c r="B3292" s="1" t="n">
        <x:v>2</x:v>
      </x:c>
      <x:c r="C3292" s="1" t="n">
        <x:v>6</x:v>
      </x:c>
      <x:c r="D3292" s="12" t="n">
        <x:v>0.2639166666666667</x:v>
      </x:c>
      <x:c r="E3292" s="12" t="n">
        <x:v>0.2729166666666667</x:v>
      </x:c>
      <x:c r="F3292" s="12" t="n">
        <x:v>0</x:v>
      </x:c>
      <x:c r="G3292" s="12" t="n">
        <x:v>0</x:v>
      </x:c>
      <x:c r="H3292" s="1" t="n">
        <x:f>'Historical prices'!E3292</x:f>
        <x:v>1.05</x:v>
      </x:c>
      <x:c r="I3292" s="6" t="n">
        <x:f>'Historical prices'!D3292</x:f>
        <x:v>0.1972</x:v>
      </x:c>
      <x:c r="J3292" s="13" t="n">
        <x:f>D3292*I3292*H3292</x:f>
        <x:v>0.054646585000000004</x:v>
      </x:c>
      <x:c r="K3292" s="13" t="n">
        <x:f>E3292*I3292*H3292</x:f>
        <x:v>0.056510125</x:v>
      </x:c>
      <x:c r="L3292" s="1" t="str">
        <x:f>TEXT(A3292,"mmm yyyy")</x:f>
        <x:v>Jul 2026</x:v>
      </x:c>
    </x:row>
    <x:row r="3293" ht="21" customHeight="1">
      <x:c r="A3293" s="10" t="n">
        <x:v>46217</x:v>
      </x:c>
      <x:c r="B3293" s="1" t="n">
        <x:v>2.5</x:v>
      </x:c>
      <x:c r="C3293" s="1" t="n">
        <x:v>6</x:v>
      </x:c>
      <x:c r="D3293" s="12" t="n">
        <x:v>0.24625000000000002</x:v>
      </x:c>
      <x:c r="E3293" s="12" t="n">
        <x:v>0.25725000000000003</x:v>
      </x:c>
      <x:c r="F3293" s="12" t="n">
        <x:v>0</x:v>
      </x:c>
      <x:c r="G3293" s="12" t="n">
        <x:v>0</x:v>
      </x:c>
      <x:c r="H3293" s="1" t="n">
        <x:f>'Historical prices'!E3293</x:f>
        <x:v>1.05</x:v>
      </x:c>
      <x:c r="I3293" s="6" t="n">
        <x:f>'Historical prices'!D3293</x:f>
        <x:v>0.1917</x:v>
      </x:c>
      <x:c r="J3293" s="13" t="n">
        <x:f>D3293*I3293*H3293</x:f>
        <x:v>0.04956643125000001</x:v>
      </x:c>
      <x:c r="K3293" s="13" t="n">
        <x:f>E3293*I3293*H3293</x:f>
        <x:v>0.05178056625000001</x:v>
      </x:c>
      <x:c r="L3293" s="1" t="str">
        <x:f>TEXT(A3293,"mmm yyyy")</x:f>
        <x:v>Jul 2026</x:v>
      </x:c>
    </x:row>
    <x:row r="3294" ht="21" customHeight="1">
      <x:c r="A3294" s="10" t="n">
        <x:v>46217</x:v>
      </x:c>
      <x:c r="B3294" s="1" t="n">
        <x:v>3</x:v>
      </x:c>
      <x:c r="C3294" s="1" t="n">
        <x:v>6</x:v>
      </x:c>
      <x:c r="D3294" s="12" t="n">
        <x:v>0.24025</x:v>
      </x:c>
      <x:c r="E3294" s="12" t="n">
        <x:v>0.25025</x:v>
      </x:c>
      <x:c r="F3294" s="12" t="n">
        <x:v>0</x:v>
      </x:c>
      <x:c r="G3294" s="12" t="n">
        <x:v>0</x:v>
      </x:c>
      <x:c r="H3294" s="1" t="n">
        <x:f>'Historical prices'!E3294</x:f>
        <x:v>1.05</x:v>
      </x:c>
      <x:c r="I3294" s="6" t="n">
        <x:f>'Historical prices'!D3294</x:f>
        <x:v>0.1852</x:v>
      </x:c>
      <x:c r="J3294" s="13" t="n">
        <x:f>D3294*I3294*H3294</x:f>
        <x:v>0.046719015</x:v>
      </x:c>
      <x:c r="K3294" s="13" t="n">
        <x:f>E3294*I3294*H3294</x:f>
        <x:v>0.04866361499999999</x:v>
      </x:c>
      <x:c r="L3294" s="1" t="str">
        <x:f>TEXT(A3294,"mmm yyyy")</x:f>
        <x:v>Jul 2026</x:v>
      </x:c>
    </x:row>
    <x:row r="3295" ht="21" customHeight="1">
      <x:c r="A3295" s="10" t="n">
        <x:v>46217</x:v>
      </x:c>
      <x:c r="B3295" s="1" t="n">
        <x:v>3.5</x:v>
      </x:c>
      <x:c r="C3295" s="1" t="n">
        <x:v>6</x:v>
      </x:c>
      <x:c r="D3295" s="12" t="n">
        <x:v>0.21716666666666665</x:v>
      </x:c>
      <x:c r="E3295" s="12" t="n">
        <x:v>0.22816666666666666</x:v>
      </x:c>
      <x:c r="F3295" s="12" t="n">
        <x:v>0</x:v>
      </x:c>
      <x:c r="G3295" s="12" t="n">
        <x:v>0</x:v>
      </x:c>
      <x:c r="H3295" s="1" t="n">
        <x:f>'Historical prices'!E3295</x:f>
        <x:v>1.05</x:v>
      </x:c>
      <x:c r="I3295" s="6" t="n">
        <x:f>'Historical prices'!D3295</x:f>
        <x:v>0.1827</x:v>
      </x:c>
      <x:c r="J3295" s="13" t="n">
        <x:f>D3295*I3295*H3295</x:f>
        <x:v>0.0416601675</x:v>
      </x:c>
      <x:c r="K3295" s="13" t="n">
        <x:f>E3295*I3295*H3295</x:f>
        <x:v>0.0437703525</x:v>
      </x:c>
      <x:c r="L3295" s="1" t="str">
        <x:f>TEXT(A3295,"mmm yyyy")</x:f>
        <x:v>Jul 2026</x:v>
      </x:c>
    </x:row>
    <x:row r="3296" ht="21" customHeight="1">
      <x:c r="A3296" s="10" t="n">
        <x:v>46217</x:v>
      </x:c>
      <x:c r="B3296" s="1" t="n">
        <x:v>4</x:v>
      </x:c>
      <x:c r="C3296" s="1" t="n">
        <x:v>6</x:v>
      </x:c>
      <x:c r="D3296" s="12" t="n">
        <x:v>0.037</x:v>
      </x:c>
      <x:c r="E3296" s="12" t="n">
        <x:v>0.31908333333333333</x:v>
      </x:c>
      <x:c r="F3296" s="12" t="n">
        <x:v>0.27991666666666665</x:v>
      </x:c>
      <x:c r="G3296" s="12" t="n">
        <x:v>0</x:v>
      </x:c>
      <x:c r="H3296" s="1" t="n">
        <x:f>'Historical prices'!E3296</x:f>
        <x:v>1.05</x:v>
      </x:c>
      <x:c r="I3296" s="6" t="n">
        <x:f>'Historical prices'!D3296</x:f>
        <x:v>0.1978</x:v>
      </x:c>
      <x:c r="J3296" s="13" t="n">
        <x:f>D3296*I3296*H3296</x:f>
        <x:v>0.00768453</x:v>
      </x:c>
      <x:c r="K3296" s="13" t="n">
        <x:f>E3296*I3296*H3296</x:f>
        <x:v>0.06627041750000001</x:v>
      </x:c>
      <x:c r="L3296" s="1" t="str">
        <x:f>TEXT(A3296,"mmm yyyy")</x:f>
        <x:v>Jul 2026</x:v>
      </x:c>
    </x:row>
    <x:row r="3297" ht="21" customHeight="1">
      <x:c r="A3297" s="10" t="n">
        <x:v>46217</x:v>
      </x:c>
      <x:c r="B3297" s="1" t="n">
        <x:v>4.5</x:v>
      </x:c>
      <x:c r="C3297" s="1" t="n">
        <x:v>6</x:v>
      </x:c>
      <x:c r="D3297" s="12" t="n">
        <x:v>0.17033333333333334</x:v>
      </x:c>
      <x:c r="E3297" s="12" t="n">
        <x:v>0.22541666666666668</x:v>
      </x:c>
      <x:c r="F3297" s="12" t="n">
        <x:v>0.045</x:v>
      </x:c>
      <x:c r="G3297" s="12" t="n">
        <x:v>0</x:v>
      </x:c>
      <x:c r="H3297" s="1" t="n">
        <x:f>'Historical prices'!E3297</x:f>
        <x:v>1.05</x:v>
      </x:c>
      <x:c r="I3297" s="6" t="n">
        <x:f>'Historical prices'!D3297</x:f>
        <x:v>0.1972</x:v>
      </x:c>
      <x:c r="J3297" s="13" t="n">
        <x:f>D3297*I3297*H3297</x:f>
        <x:v>0.03526922</x:v>
      </x:c>
      <x:c r="K3297" s="13" t="n">
        <x:f>E3297*I3297*H3297</x:f>
        <x:v>0.046674775</x:v>
      </x:c>
      <x:c r="L3297" s="1" t="str">
        <x:f>TEXT(A3297,"mmm yyyy")</x:f>
        <x:v>Jul 2026</x:v>
      </x:c>
    </x:row>
    <x:row r="3298" ht="21" customHeight="1">
      <x:c r="A3298" s="10" t="n">
        <x:v>46217</x:v>
      </x:c>
      <x:c r="B3298" s="1" t="n">
        <x:v>5</x:v>
      </x:c>
      <x:c r="C3298" s="1" t="n">
        <x:v>6</x:v>
      </x:c>
      <x:c r="D3298" s="12" t="n">
        <x:v>0.040916666666666664</x:v>
      </x:c>
      <x:c r="E3298" s="12" t="n">
        <x:v>0.34400000000000003</x:v>
      </x:c>
      <x:c r="F3298" s="12" t="n">
        <x:v>0.3018333333333333</x:v>
      </x:c>
      <x:c r="G3298" s="12" t="n">
        <x:v>0</x:v>
      </x:c>
      <x:c r="H3298" s="1" t="n">
        <x:f>'Historical prices'!E3298</x:f>
        <x:v>1.05</x:v>
      </x:c>
      <x:c r="I3298" s="6" t="n">
        <x:f>'Historical prices'!D3298</x:f>
        <x:v>0.19949999999999998</x:v>
      </x:c>
      <x:c r="J3298" s="13" t="n">
        <x:f>D3298*I3298*H3298</x:f>
        <x:v>0.00857101875</x:v>
      </x:c>
      <x:c r="K3298" s="13" t="n">
        <x:f>E3298*I3298*H3298</x:f>
        <x:v>0.0720594</x:v>
      </x:c>
      <x:c r="L3298" s="1" t="str">
        <x:f>TEXT(A3298,"mmm yyyy")</x:f>
        <x:v>Jul 2026</x:v>
      </x:c>
    </x:row>
    <x:row r="3299" ht="21" customHeight="1">
      <x:c r="A3299" s="10" t="n">
        <x:v>46217</x:v>
      </x:c>
      <x:c r="B3299" s="1" t="n">
        <x:v>5.5</x:v>
      </x:c>
      <x:c r="C3299" s="1" t="n">
        <x:v>6</x:v>
      </x:c>
      <x:c r="D3299" s="12" t="n">
        <x:v>0</x:v>
      </x:c>
      <x:c r="E3299" s="12" t="n">
        <x:v>0.38675000000000004</x:v>
      </x:c>
      <x:c r="F3299" s="12" t="n">
        <x:v>0.3866666666666667</x:v>
      </x:c>
      <x:c r="G3299" s="12" t="n">
        <x:v>0</x:v>
      </x:c>
      <x:c r="H3299" s="1" t="n">
        <x:f>'Historical prices'!E3299</x:f>
        <x:v>1.05</x:v>
      </x:c>
      <x:c r="I3299" s="6" t="n">
        <x:f>'Historical prices'!D3299</x:f>
        <x:v>0.20489999999999997</x:v>
      </x:c>
      <x:c r="J3299" s="13" t="n">
        <x:f>D3299*I3299*H3299</x:f>
        <x:v>0</x:v>
      </x:c>
      <x:c r="K3299" s="13" t="n">
        <x:f>E3299*I3299*H3299</x:f>
        <x:v>0.08320732875</x:v>
      </x:c>
      <x:c r="L3299" s="1" t="str">
        <x:f>TEXT(A3299,"mmm yyyy")</x:f>
        <x:v>Jul 2026</x:v>
      </x:c>
    </x:row>
    <x:row r="3300" ht="21" customHeight="1">
      <x:c r="A3300" s="10" t="n">
        <x:v>46217</x:v>
      </x:c>
      <x:c r="B3300" s="1" t="n">
        <x:v>6</x:v>
      </x:c>
      <x:c r="C3300" s="1" t="n">
        <x:v>6</x:v>
      </x:c>
      <x:c r="D3300" s="12" t="n">
        <x:v>0</x:v>
      </x:c>
      <x:c r="E3300" s="12" t="n">
        <x:v>0.44100000000000006</x:v>
      </x:c>
      <x:c r="F3300" s="12" t="n">
        <x:v>0.44075</x:v>
      </x:c>
      <x:c r="G3300" s="12" t="n">
        <x:v>0</x:v>
      </x:c>
      <x:c r="H3300" s="1" t="n">
        <x:f>'Historical prices'!E3300</x:f>
        <x:v>1.05</x:v>
      </x:c>
      <x:c r="I3300" s="6" t="n">
        <x:f>'Historical prices'!D3300</x:f>
        <x:v>0.20679999999999998</x:v>
      </x:c>
      <x:c r="J3300" s="13" t="n">
        <x:f>D3300*I3300*H3300</x:f>
        <x:v>0</x:v>
      </x:c>
      <x:c r="K3300" s="13" t="n">
        <x:f>E3300*I3300*H3300</x:f>
        <x:v>0.09575874000000001</x:v>
      </x:c>
      <x:c r="L3300" s="1" t="str">
        <x:f>TEXT(A3300,"mmm yyyy")</x:f>
        <x:v>Jul 2026</x:v>
      </x:c>
    </x:row>
    <x:row r="3301" ht="21" customHeight="1">
      <x:c r="A3301" s="10" t="n">
        <x:v>46217</x:v>
      </x:c>
      <x:c r="B3301" s="1" t="n">
        <x:v>6.5</x:v>
      </x:c>
      <x:c r="C3301" s="1" t="n">
        <x:v>6</x:v>
      </x:c>
      <x:c r="D3301" s="12" t="n">
        <x:v>0</x:v>
      </x:c>
      <x:c r="E3301" s="12" t="n">
        <x:v>0.50175</x:v>
      </x:c>
      <x:c r="F3301" s="12" t="n">
        <x:v>0.5015</x:v>
      </x:c>
      <x:c r="G3301" s="12" t="n">
        <x:v>0</x:v>
      </x:c>
      <x:c r="H3301" s="1" t="n">
        <x:f>'Historical prices'!E3301</x:f>
        <x:v>1.05</x:v>
      </x:c>
      <x:c r="I3301" s="6" t="n">
        <x:f>'Historical prices'!D3301</x:f>
        <x:v>0.2223</x:v>
      </x:c>
      <x:c r="J3301" s="13" t="n">
        <x:f>D3301*I3301*H3301</x:f>
        <x:v>0</x:v>
      </x:c>
      <x:c r="K3301" s="13" t="n">
        <x:f>E3301*I3301*H3301</x:f>
        <x:v>0.11711597625</x:v>
      </x:c>
      <x:c r="L3301" s="1" t="str">
        <x:f>TEXT(A3301,"mmm yyyy")</x:f>
        <x:v>Jul 2026</x:v>
      </x:c>
    </x:row>
    <x:row r="3302" ht="21" customHeight="1">
      <x:c r="A3302" s="10" t="n">
        <x:v>46217</x:v>
      </x:c>
      <x:c r="B3302" s="1" t="n">
        <x:v>7</x:v>
      </x:c>
      <x:c r="C3302" s="1" t="n">
        <x:v>6</x:v>
      </x:c>
      <x:c r="D3302" s="12" t="n">
        <x:v>0</x:v>
      </x:c>
      <x:c r="E3302" s="12" t="n">
        <x:v>0.5426666666666666</x:v>
      </x:c>
      <x:c r="F3302" s="12" t="n">
        <x:v>0.5424166666666667</x:v>
      </x:c>
      <x:c r="G3302" s="12" t="n">
        <x:v>0</x:v>
      </x:c>
      <x:c r="H3302" s="1" t="n">
        <x:f>'Historical prices'!E3302</x:f>
        <x:v>1.05</x:v>
      </x:c>
      <x:c r="I3302" s="6" t="n">
        <x:f>'Historical prices'!D3302</x:f>
        <x:v>0.214</x:v>
      </x:c>
      <x:c r="J3302" s="13" t="n">
        <x:f>D3302*I3302*H3302</x:f>
        <x:v>0</x:v>
      </x:c>
      <x:c r="K3302" s="13" t="n">
        <x:f>E3302*I3302*H3302</x:f>
        <x:v>0.1219372</x:v>
      </x:c>
      <x:c r="L3302" s="1" t="str">
        <x:f>TEXT(A3302,"mmm yyyy")</x:f>
        <x:v>Jul 2026</x:v>
      </x:c>
    </x:row>
    <x:row r="3303" ht="21" customHeight="1">
      <x:c r="A3303" s="10" t="n">
        <x:v>46217</x:v>
      </x:c>
      <x:c r="B3303" s="1" t="n">
        <x:v>7.5</x:v>
      </x:c>
      <x:c r="C3303" s="1" t="n">
        <x:v>6</x:v>
      </x:c>
      <x:c r="D3303" s="12" t="n">
        <x:v>0</x:v>
      </x:c>
      <x:c r="E3303" s="12" t="n">
        <x:v>0.6471666666666667</x:v>
      </x:c>
      <x:c r="F3303" s="12" t="n">
        <x:v>0.6466666666666666</x:v>
      </x:c>
      <x:c r="G3303" s="12" t="n">
        <x:v>0</x:v>
      </x:c>
      <x:c r="H3303" s="1" t="n">
        <x:f>'Historical prices'!E3303</x:f>
        <x:v>1.05</x:v>
      </x:c>
      <x:c r="I3303" s="6" t="n">
        <x:f>'Historical prices'!D3303</x:f>
        <x:v>0.2207</x:v>
      </x:c>
      <x:c r="J3303" s="13" t="n">
        <x:f>D3303*I3303*H3303</x:f>
        <x:v>0</x:v>
      </x:c>
      <x:c r="K3303" s="13" t="n">
        <x:f>E3303*I3303*H3303</x:f>
        <x:v>0.14997116750000003</x:v>
      </x:c>
      <x:c r="L3303" s="1" t="str">
        <x:f>TEXT(A3303,"mmm yyyy")</x:f>
        <x:v>Jul 2026</x:v>
      </x:c>
    </x:row>
    <x:row r="3304" ht="21" customHeight="1">
      <x:c r="A3304" s="10" t="n">
        <x:v>46217</x:v>
      </x:c>
      <x:c r="B3304" s="1" t="n">
        <x:v>8</x:v>
      </x:c>
      <x:c r="C3304" s="1" t="n">
        <x:v>6</x:v>
      </x:c>
      <x:c r="D3304" s="12" t="n">
        <x:v>0.43500000000000005</x:v>
      </x:c>
      <x:c r="E3304" s="12" t="n">
        <x:v>0.5248333333333334</x:v>
      </x:c>
      <x:c r="F3304" s="12" t="n">
        <x:v>0.07983333333333334</x:v>
      </x:c>
      <x:c r="G3304" s="12" t="n">
        <x:v>0</x:v>
      </x:c>
      <x:c r="H3304" s="1" t="n">
        <x:f>'Historical prices'!E3304</x:f>
        <x:v>1.05</x:v>
      </x:c>
      <x:c r="I3304" s="6" t="n">
        <x:f>'Historical prices'!D3304</x:f>
        <x:v>0.1894</x:v>
      </x:c>
      <x:c r="J3304" s="13" t="n">
        <x:f>D3304*I3304*H3304</x:f>
        <x:v>0.08650845000000003</x:v>
      </x:c>
      <x:c r="K3304" s="13" t="n">
        <x:f>E3304*I3304*H3304</x:f>
        <x:v>0.10437360500000002</x:v>
      </x:c>
      <x:c r="L3304" s="1" t="str">
        <x:f>TEXT(A3304,"mmm yyyy")</x:f>
        <x:v>Jul 2026</x:v>
      </x:c>
    </x:row>
    <x:row r="3305" ht="21" customHeight="1">
      <x:c r="A3305" s="10" t="n">
        <x:v>46217</x:v>
      </x:c>
      <x:c r="B3305" s="1" t="n">
        <x:v>8.5</x:v>
      </x:c>
      <x:c r="C3305" s="1" t="n">
        <x:v>6</x:v>
      </x:c>
      <x:c r="D3305" s="12" t="n">
        <x:v>0.07416666666666667</x:v>
      </x:c>
      <x:c r="E3305" s="12" t="n">
        <x:v>0.48924999999999996</x:v>
      </x:c>
      <x:c r="F3305" s="12" t="n">
        <x:v>0.4126666666666666</x:v>
      </x:c>
      <x:c r="G3305" s="12" t="n">
        <x:v>0</x:v>
      </x:c>
      <x:c r="H3305" s="1" t="n">
        <x:f>'Historical prices'!E3305</x:f>
        <x:v>1.05</x:v>
      </x:c>
      <x:c r="I3305" s="6" t="n">
        <x:f>'Historical prices'!D3305</x:f>
        <x:v>0.1999</x:v>
      </x:c>
      <x:c r="J3305" s="13" t="n">
        <x:f>D3305*I3305*H3305</x:f>
        <x:v>0.015567212500000002</x:v>
      </x:c>
      <x:c r="K3305" s="13" t="n">
        <x:f>E3305*I3305*H3305</x:f>
        <x:v>0.10269112874999999</x:v>
      </x:c>
      <x:c r="L3305" s="1" t="str">
        <x:f>TEXT(A3305,"mmm yyyy")</x:f>
        <x:v>Jul 2026</x:v>
      </x:c>
    </x:row>
    <x:row r="3306" ht="21" customHeight="1">
      <x:c r="A3306" s="10" t="n">
        <x:v>46217</x:v>
      </x:c>
      <x:c r="B3306" s="1" t="n">
        <x:v>9</x:v>
      </x:c>
      <x:c r="C3306" s="1" t="n">
        <x:v>6</x:v>
      </x:c>
      <x:c r="D3306" s="12" t="n">
        <x:v>0.30775</x:v>
      </x:c>
      <x:c r="E3306" s="12" t="n">
        <x:v>0.4056666666666666</x:v>
      </x:c>
      <x:c r="F3306" s="12" t="n">
        <x:v>0.08691666666666667</x:v>
      </x:c>
      <x:c r="G3306" s="12" t="n">
        <x:v>0</x:v>
      </x:c>
      <x:c r="H3306" s="1" t="n">
        <x:f>'Historical prices'!E3306</x:f>
        <x:v>1.05</x:v>
      </x:c>
      <x:c r="I3306" s="6" t="n">
        <x:f>'Historical prices'!D3306</x:f>
        <x:v>0.1966</x:v>
      </x:c>
      <x:c r="J3306" s="13" t="n">
        <x:f>D3306*I3306*H3306</x:f>
        <x:v>0.06352883250000001</x:v>
      </x:c>
      <x:c r="K3306" s="13" t="n">
        <x:f>E3306*I3306*H3306</x:f>
        <x:v>0.08374177</x:v>
      </x:c>
      <x:c r="L3306" s="1" t="str">
        <x:f>TEXT(A3306,"mmm yyyy")</x:f>
        <x:v>Jul 2026</x:v>
      </x:c>
    </x:row>
    <x:row r="3307" ht="21" customHeight="1">
      <x:c r="A3307" s="10" t="n">
        <x:v>46217</x:v>
      </x:c>
      <x:c r="B3307" s="1" t="n">
        <x:v>9.5</x:v>
      </x:c>
      <x:c r="C3307" s="1" t="n">
        <x:v>6</x:v>
      </x:c>
      <x:c r="D3307" s="12" t="n">
        <x:v>0.05425</x:v>
      </x:c>
      <x:c r="E3307" s="12" t="n">
        <x:v>0.4076666666666667</x:v>
      </x:c>
      <x:c r="F3307" s="12" t="n">
        <x:v>0.3519166666666667</x:v>
      </x:c>
      <x:c r="G3307" s="12" t="n">
        <x:v>0</x:v>
      </x:c>
      <x:c r="H3307" s="1" t="n">
        <x:f>'Historical prices'!E3307</x:f>
        <x:v>1.05</x:v>
      </x:c>
      <x:c r="I3307" s="6" t="n">
        <x:f>'Historical prices'!D3307</x:f>
        <x:v>0.2026</x:v>
      </x:c>
      <x:c r="J3307" s="13" t="n">
        <x:f>D3307*I3307*H3307</x:f>
        <x:v>0.0115406025</x:v>
      </x:c>
      <x:c r="K3307" s="13" t="n">
        <x:f>E3307*I3307*H3307</x:f>
        <x:v>0.08672293</x:v>
      </x:c>
      <x:c r="L3307" s="1" t="str">
        <x:f>TEXT(A3307,"mmm yyyy")</x:f>
        <x:v>Jul 2026</x:v>
      </x:c>
    </x:row>
    <x:row r="3308" ht="21" customHeight="1">
      <x:c r="A3308" s="10" t="n">
        <x:v>46217</x:v>
      </x:c>
      <x:c r="B3308" s="1" t="n">
        <x:v>10</x:v>
      </x:c>
      <x:c r="C3308" s="1" t="n">
        <x:v>6</x:v>
      </x:c>
      <x:c r="D3308" s="12" t="n">
        <x:v>0</x:v>
      </x:c>
      <x:c r="E3308" s="12" t="n">
        <x:v>0.4275833333333333</x:v>
      </x:c>
      <x:c r="F3308" s="12" t="n">
        <x:v>0.4275</x:v>
      </x:c>
      <x:c r="G3308" s="12" t="n">
        <x:v>0</x:v>
      </x:c>
      <x:c r="H3308" s="1" t="n">
        <x:f>'Historical prices'!E3308</x:f>
        <x:v>1.05</x:v>
      </x:c>
      <x:c r="I3308" s="6" t="n">
        <x:f>'Historical prices'!D3308</x:f>
        <x:v>0.2023</x:v>
      </x:c>
      <x:c r="J3308" s="13" t="n">
        <x:f>D3308*I3308*H3308</x:f>
        <x:v>0</x:v>
      </x:c>
      <x:c r="K3308" s="13" t="n">
        <x:f>E3308*I3308*H3308</x:f>
        <x:v>0.09082511375</x:v>
      </x:c>
      <x:c r="L3308" s="1" t="str">
        <x:f>TEXT(A3308,"mmm yyyy")</x:f>
        <x:v>Jul 2026</x:v>
      </x:c>
    </x:row>
    <x:row r="3309" ht="21" customHeight="1">
      <x:c r="A3309" s="10" t="n">
        <x:v>46217</x:v>
      </x:c>
      <x:c r="B3309" s="1" t="n">
        <x:v>10.5</x:v>
      </x:c>
      <x:c r="C3309" s="1" t="n">
        <x:v>6</x:v>
      </x:c>
      <x:c r="D3309" s="12" t="n">
        <x:v>0.27899999999999997</x:v>
      </x:c>
      <x:c r="E3309" s="12" t="n">
        <x:v>0.35600000000000004</x:v>
      </x:c>
      <x:c r="F3309" s="12" t="n">
        <x:v>0.068</x:v>
      </x:c>
      <x:c r="G3309" s="12" t="n">
        <x:v>0</x:v>
      </x:c>
      <x:c r="H3309" s="1" t="n">
        <x:f>'Historical prices'!E3309</x:f>
        <x:v>1.05</x:v>
      </x:c>
      <x:c r="I3309" s="6" t="n">
        <x:f>'Historical prices'!D3309</x:f>
        <x:v>0.19219999999999998</x:v>
      </x:c>
      <x:c r="J3309" s="13" t="n">
        <x:f>D3309*I3309*H3309</x:f>
        <x:v>0.05630498999999999</x:v>
      </x:c>
      <x:c r="K3309" s="13" t="n">
        <x:f>E3309*I3309*H3309</x:f>
        <x:v>0.07184436000000001</x:v>
      </x:c>
      <x:c r="L3309" s="1" t="str">
        <x:f>TEXT(A3309,"mmm yyyy")</x:f>
        <x:v>Jul 2026</x:v>
      </x:c>
    </x:row>
    <x:row r="3310" ht="21" customHeight="1">
      <x:c r="A3310" s="10" t="n">
        <x:v>46217</x:v>
      </x:c>
      <x:c r="B3310" s="1" t="n">
        <x:v>11</x:v>
      </x:c>
      <x:c r="C3310" s="1" t="n">
        <x:v>6</x:v>
      </x:c>
      <x:c r="D3310" s="12" t="n">
        <x:v>0.38199999999999995</x:v>
      </x:c>
      <x:c r="E3310" s="12" t="n">
        <x:v>0.39399999999999996</x:v>
      </x:c>
      <x:c r="F3310" s="12" t="n">
        <x:v>0</x:v>
      </x:c>
      <x:c r="G3310" s="12" t="n">
        <x:v>0</x:v>
      </x:c>
      <x:c r="H3310" s="1" t="n">
        <x:f>'Historical prices'!E3310</x:f>
        <x:v>1.05</x:v>
      </x:c>
      <x:c r="I3310" s="6" t="n">
        <x:f>'Historical prices'!D3310</x:f>
        <x:v>0.17550000000000002</x:v>
      </x:c>
      <x:c r="J3310" s="13" t="n">
        <x:f>D3310*I3310*H3310</x:f>
        <x:v>0.07039305000000001</x:v>
      </x:c>
      <x:c r="K3310" s="13" t="n">
        <x:f>E3310*I3310*H3310</x:f>
        <x:v>0.07260435</x:v>
      </x:c>
      <x:c r="L3310" s="1" t="str">
        <x:f>TEXT(A3310,"mmm yyyy")</x:f>
        <x:v>Jul 2026</x:v>
      </x:c>
    </x:row>
    <x:row r="3311" ht="21" customHeight="1">
      <x:c r="A3311" s="10" t="n">
        <x:v>46217</x:v>
      </x:c>
      <x:c r="B3311" s="1" t="n">
        <x:v>11.5</x:v>
      </x:c>
      <x:c r="C3311" s="1" t="n">
        <x:v>6</x:v>
      </x:c>
      <x:c r="D3311" s="12" t="n">
        <x:v>0.39991666666666664</x:v>
      </x:c>
      <x:c r="E3311" s="12" t="n">
        <x:v>0.41091666666666665</x:v>
      </x:c>
      <x:c r="F3311" s="12" t="n">
        <x:v>0</x:v>
      </x:c>
      <x:c r="G3311" s="12" t="n">
        <x:v>0</x:v>
      </x:c>
      <x:c r="H3311" s="1" t="n">
        <x:f>'Historical prices'!E3311</x:f>
        <x:v>1.05</x:v>
      </x:c>
      <x:c r="I3311" s="6" t="n">
        <x:f>'Historical prices'!D3311</x:f>
        <x:v>0.1674</x:v>
      </x:c>
      <x:c r="J3311" s="13" t="n">
        <x:f>D3311*I3311*H3311</x:f>
        <x:v>0.07029335249999999</x:v>
      </x:c>
      <x:c r="K3311" s="13" t="n">
        <x:f>E3311*I3311*H3311</x:f>
        <x:v>0.07222682250000001</x:v>
      </x:c>
      <x:c r="L3311" s="1" t="str">
        <x:f>TEXT(A3311,"mmm yyyy")</x:f>
        <x:v>Jul 2026</x:v>
      </x:c>
    </x:row>
    <x:row r="3312" ht="21" customHeight="1">
      <x:c r="A3312" s="10" t="n">
        <x:v>46217</x:v>
      </x:c>
      <x:c r="B3312" s="1" t="n">
        <x:v>12</x:v>
      </x:c>
      <x:c r="C3312" s="1" t="n">
        <x:v>6</x:v>
      </x:c>
      <x:c r="D3312" s="12" t="n">
        <x:v>0.375</x:v>
      </x:c>
      <x:c r="E3312" s="12" t="n">
        <x:v>0.386</x:v>
      </x:c>
      <x:c r="F3312" s="12" t="n">
        <x:v>0</x:v>
      </x:c>
      <x:c r="G3312" s="12" t="n">
        <x:v>0</x:v>
      </x:c>
      <x:c r="H3312" s="1" t="n">
        <x:f>'Historical prices'!E3312</x:f>
        <x:v>1.05</x:v>
      </x:c>
      <x:c r="I3312" s="6" t="n">
        <x:f>'Historical prices'!D3312</x:f>
        <x:v>0.1598</x:v>
      </x:c>
      <x:c r="J3312" s="13" t="n">
        <x:f>D3312*I3312*H3312</x:f>
        <x:v>0.06292125</x:v>
      </x:c>
      <x:c r="K3312" s="13" t="n">
        <x:f>E3312*I3312*H3312</x:f>
        <x:v>0.06476694000000001</x:v>
      </x:c>
      <x:c r="L3312" s="1" t="str">
        <x:f>TEXT(A3312,"mmm yyyy")</x:f>
        <x:v>Jul 2026</x:v>
      </x:c>
    </x:row>
    <x:row r="3313" ht="21" customHeight="1">
      <x:c r="A3313" s="10" t="n">
        <x:v>46217</x:v>
      </x:c>
      <x:c r="B3313" s="1" t="n">
        <x:v>12.5</x:v>
      </x:c>
      <x:c r="C3313" s="1" t="n">
        <x:v>6</x:v>
      </x:c>
      <x:c r="D3313" s="12" t="n">
        <x:v>0.32608333333333334</x:v>
      </x:c>
      <x:c r="E3313" s="12" t="n">
        <x:v>0.33708333333333335</x:v>
      </x:c>
      <x:c r="F3313" s="12" t="n">
        <x:v>0</x:v>
      </x:c>
      <x:c r="G3313" s="12" t="n">
        <x:v>0</x:v>
      </x:c>
      <x:c r="H3313" s="1" t="n">
        <x:f>'Historical prices'!E3313</x:f>
        <x:v>1.05</x:v>
      </x:c>
      <x:c r="I3313" s="6" t="n">
        <x:f>'Historical prices'!D3313</x:f>
        <x:v>0.1589</x:v>
      </x:c>
      <x:c r="J3313" s="13" t="n">
        <x:f>D3313*I3313*H3313</x:f>
        <x:v>0.05440537375000001</x:v>
      </x:c>
      <x:c r="K3313" s="13" t="n">
        <x:f>E3313*I3313*H3313</x:f>
        <x:v>0.05624066875000001</x:v>
      </x:c>
      <x:c r="L3313" s="1" t="str">
        <x:f>TEXT(A3313,"mmm yyyy")</x:f>
        <x:v>Jul 2026</x:v>
      </x:c>
    </x:row>
    <x:row r="3314" ht="21" customHeight="1">
      <x:c r="A3314" s="10" t="n">
        <x:v>46217</x:v>
      </x:c>
      <x:c r="B3314" s="1" t="n">
        <x:v>13</x:v>
      </x:c>
      <x:c r="C3314" s="1" t="n">
        <x:v>6</x:v>
      </x:c>
      <x:c r="D3314" s="12" t="n">
        <x:v>0.36541666666666667</x:v>
      </x:c>
      <x:c r="E3314" s="12" t="n">
        <x:v>0.3754166666666666</x:v>
      </x:c>
      <x:c r="F3314" s="12" t="n">
        <x:v>0</x:v>
      </x:c>
      <x:c r="G3314" s="12" t="n">
        <x:v>0</x:v>
      </x:c>
      <x:c r="H3314" s="1" t="n">
        <x:f>'Historical prices'!E3314</x:f>
        <x:v>1.05</x:v>
      </x:c>
      <x:c r="I3314" s="6" t="n">
        <x:f>'Historical prices'!D3314</x:f>
        <x:v>0.16</x:v>
      </x:c>
      <x:c r="J3314" s="13" t="n">
        <x:f>D3314*I3314*H3314</x:f>
        <x:v>0.06139</x:v>
      </x:c>
      <x:c r="K3314" s="13" t="n">
        <x:f>E3314*I3314*H3314</x:f>
        <x:v>0.06307</x:v>
      </x:c>
      <x:c r="L3314" s="1" t="str">
        <x:f>TEXT(A3314,"mmm yyyy")</x:f>
        <x:v>Jul 2026</x:v>
      </x:c>
    </x:row>
    <x:row r="3315" ht="21" customHeight="1">
      <x:c r="A3315" s="10" t="n">
        <x:v>46217</x:v>
      </x:c>
      <x:c r="B3315" s="1" t="n">
        <x:v>13.5</x:v>
      </x:c>
      <x:c r="C3315" s="1" t="n">
        <x:v>6</x:v>
      </x:c>
      <x:c r="D3315" s="12" t="n">
        <x:v>0.3461666666666667</x:v>
      </x:c>
      <x:c r="E3315" s="12" t="n">
        <x:v>0.35716666666666663</x:v>
      </x:c>
      <x:c r="F3315" s="12" t="n">
        <x:v>0</x:v>
      </x:c>
      <x:c r="G3315" s="12" t="n">
        <x:v>0</x:v>
      </x:c>
      <x:c r="H3315" s="1" t="n">
        <x:f>'Historical prices'!E3315</x:f>
        <x:v>1.05</x:v>
      </x:c>
      <x:c r="I3315" s="6" t="n">
        <x:f>'Historical prices'!D3315</x:f>
        <x:v>0.15689999999999998</x:v>
      </x:c>
      <x:c r="J3315" s="13" t="n">
        <x:f>D3315*I3315*H3315</x:f>
        <x:v>0.057029227499999995</x:v>
      </x:c>
      <x:c r="K3315" s="13" t="n">
        <x:f>E3315*I3315*H3315</x:f>
        <x:v>0.05884142249999999</x:v>
      </x:c>
      <x:c r="L3315" s="1" t="str">
        <x:f>TEXT(A3315,"mmm yyyy")</x:f>
        <x:v>Jul 2026</x:v>
      </x:c>
    </x:row>
    <x:row r="3316" ht="21" customHeight="1">
      <x:c r="A3316" s="10" t="n">
        <x:v>46217</x:v>
      </x:c>
      <x:c r="B3316" s="1" t="n">
        <x:v>14</x:v>
      </x:c>
      <x:c r="C3316" s="1" t="n">
        <x:v>6</x:v>
      </x:c>
      <x:c r="D3316" s="12" t="n">
        <x:v>4.757083333333333</x:v>
      </x:c>
      <x:c r="E3316" s="12" t="n">
        <x:v>0.9700833333333334</x:v>
      </x:c>
      <x:c r="F3316" s="12" t="n">
        <x:v>0</x:v>
      </x:c>
      <x:c r="G3316" s="12" t="n">
        <x:v>3.789</x:v>
      </x:c>
      <x:c r="H3316" s="1" t="n">
        <x:f>'Historical prices'!E3316</x:f>
        <x:v>1.05</x:v>
      </x:c>
      <x:c r="I3316" s="6" t="n">
        <x:f>'Historical prices'!D3316</x:f>
        <x:v>0.1547</x:v>
      </x:c>
      <x:c r="J3316" s="13" t="n">
        <x:f>D3316*I3316*H3316</x:f>
        <x:v>0.77271683125</x:v>
      </x:c>
      <x:c r="K3316" s="13" t="n">
        <x:f>E3316*I3316*H3316</x:f>
        <x:v>0.15757548625</x:v>
      </x:c>
      <x:c r="L3316" s="1" t="str">
        <x:f>TEXT(A3316,"mmm yyyy")</x:f>
        <x:v>Jul 2026</x:v>
      </x:c>
    </x:row>
    <x:row r="3317" ht="21" customHeight="1">
      <x:c r="A3317" s="10" t="n">
        <x:v>46217</x:v>
      </x:c>
      <x:c r="B3317" s="1" t="n">
        <x:v>14.5</x:v>
      </x:c>
      <x:c r="C3317" s="1" t="n">
        <x:v>6</x:v>
      </x:c>
      <x:c r="D3317" s="12" t="n">
        <x:v>4.845833333333333</x:v>
      </x:c>
      <x:c r="E3317" s="12" t="n">
        <x:v>0.6648333333333334</x:v>
      </x:c>
      <x:c r="F3317" s="12" t="n">
        <x:v>0</x:v>
      </x:c>
      <x:c r="G3317" s="12" t="n">
        <x:v>4.180999999999999</x:v>
      </x:c>
      <x:c r="H3317" s="1" t="n">
        <x:f>'Historical prices'!E3317</x:f>
        <x:v>1.05</x:v>
      </x:c>
      <x:c r="I3317" s="6" t="n">
        <x:f>'Historical prices'!D3317</x:f>
        <x:v>0.1547</x:v>
      </x:c>
      <x:c r="J3317" s="13" t="n">
        <x:f>D3317*I3317*H3317</x:f>
        <x:v>0.7871329375</x:v>
      </x:c>
      <x:c r="K3317" s="13" t="n">
        <x:f>E3317*I3317*H3317</x:f>
        <x:v>0.10799220250000001</x:v>
      </x:c>
      <x:c r="L3317" s="1" t="str">
        <x:f>TEXT(A3317,"mmm yyyy")</x:f>
        <x:v>Jul 2026</x:v>
      </x:c>
    </x:row>
    <x:row r="3318" ht="21" customHeight="1">
      <x:c r="A3318" s="10" t="n">
        <x:v>46217</x:v>
      </x:c>
      <x:c r="B3318" s="1" t="n">
        <x:v>15</x:v>
      </x:c>
      <x:c r="C3318" s="1" t="n">
        <x:v>6</x:v>
      </x:c>
      <x:c r="D3318" s="12" t="n">
        <x:v>1.2439166666666668</x:v>
      </x:c>
      <x:c r="E3318" s="12" t="n">
        <x:v>0.5509166666666667</x:v>
      </x:c>
      <x:c r="F3318" s="12" t="n">
        <x:v>0</x:v>
      </x:c>
      <x:c r="G3318" s="12" t="n">
        <x:v>0.695</x:v>
      </x:c>
      <x:c r="H3318" s="1" t="n">
        <x:f>'Historical prices'!E3318</x:f>
        <x:v>1.05</x:v>
      </x:c>
      <x:c r="I3318" s="6" t="n">
        <x:f>'Historical prices'!D3318</x:f>
        <x:v>0.1705</x:v>
      </x:c>
      <x:c r="J3318" s="13" t="n">
        <x:f>D3318*I3318*H3318</x:f>
        <x:v>0.22269218125000004</x:v>
      </x:c>
      <x:c r="K3318" s="13" t="n">
        <x:f>E3318*I3318*H3318</x:f>
        <x:v>0.09862785625000002</x:v>
      </x:c>
      <x:c r="L3318" s="1" t="str">
        <x:f>TEXT(A3318,"mmm yyyy")</x:f>
        <x:v>Jul 2026</x:v>
      </x:c>
    </x:row>
    <x:row r="3319" ht="21" customHeight="1">
      <x:c r="A3319" s="10" t="n">
        <x:v>46217</x:v>
      </x:c>
      <x:c r="B3319" s="1" t="n">
        <x:v>15.5</x:v>
      </x:c>
      <x:c r="C3319" s="1" t="n">
        <x:v>6</x:v>
      </x:c>
      <x:c r="D3319" s="12" t="n">
        <x:v>0.4863333333333333</x:v>
      </x:c>
      <x:c r="E3319" s="12" t="n">
        <x:v>0.4983333333333333</x:v>
      </x:c>
      <x:c r="F3319" s="12" t="n">
        <x:v>0</x:v>
      </x:c>
      <x:c r="G3319" s="12" t="n">
        <x:v>0</x:v>
      </x:c>
      <x:c r="H3319" s="1" t="n">
        <x:f>'Historical prices'!E3319</x:f>
        <x:v>1.05</x:v>
      </x:c>
      <x:c r="I3319" s="6" t="n">
        <x:f>'Historical prices'!D3319</x:f>
        <x:v>0.17809999999999998</x:v>
      </x:c>
      <x:c r="J3319" s="13" t="n">
        <x:f>D3319*I3319*H3319</x:f>
        <x:v>0.09094676499999998</x:v>
      </x:c>
      <x:c r="K3319" s="13" t="n">
        <x:f>E3319*I3319*H3319</x:f>
        <x:v>0.09319082499999998</x:v>
      </x:c>
      <x:c r="L3319" s="1" t="str">
        <x:f>TEXT(A3319,"mmm yyyy")</x:f>
        <x:v>Jul 2026</x:v>
      </x:c>
    </x:row>
    <x:row r="3320" ht="21" customHeight="1">
      <x:c r="A3320" s="10" t="n">
        <x:v>46217</x:v>
      </x:c>
      <x:c r="B3320" s="1" t="n">
        <x:v>16</x:v>
      </x:c>
      <x:c r="C3320" s="1" t="n">
        <x:v>6</x:v>
      </x:c>
      <x:c r="D3320" s="12" t="n">
        <x:v>0.07491666666666667</x:v>
      </x:c>
      <x:c r="E3320" s="12" t="n">
        <x:v>0.5379166666666666</x:v>
      </x:c>
      <x:c r="F3320" s="12" t="n">
        <x:v>0.45975</x:v>
      </x:c>
      <x:c r="G3320" s="12" t="n">
        <x:v>0</x:v>
      </x:c>
      <x:c r="H3320" s="1" t="n">
        <x:f>'Historical prices'!E3320</x:f>
        <x:v>1.05</x:v>
      </x:c>
      <x:c r="I3320" s="6" t="n">
        <x:f>'Historical prices'!D3320</x:f>
        <x:v>0.30920000000000003</x:v>
      </x:c>
      <x:c r="J3320" s="13" t="n">
        <x:f>D3320*I3320*H3320</x:f>
        <x:v>0.024322445000000005</x:v>
      </x:c>
      <x:c r="K3320" s="13" t="n">
        <x:f>E3320*I3320*H3320</x:f>
        <x:v>0.174640025</x:v>
      </x:c>
      <x:c r="L3320" s="1" t="str">
        <x:f>TEXT(A3320,"mmm yyyy")</x:f>
        <x:v>Jul 2026</x:v>
      </x:c>
    </x:row>
    <x:row r="3321" ht="21" customHeight="1">
      <x:c r="A3321" s="10" t="n">
        <x:v>46217</x:v>
      </x:c>
      <x:c r="B3321" s="1" t="n">
        <x:v>16.5</x:v>
      </x:c>
      <x:c r="C3321" s="1" t="n">
        <x:v>6</x:v>
      </x:c>
      <x:c r="D3321" s="12" t="n">
        <x:v>0</x:v>
      </x:c>
      <x:c r="E3321" s="12" t="n">
        <x:v>0.5150833333333332</x:v>
      </x:c>
      <x:c r="F3321" s="12" t="n">
        <x:v>0.5148333333333333</x:v>
      </x:c>
      <x:c r="G3321" s="12" t="n">
        <x:v>0</x:v>
      </x:c>
      <x:c r="H3321" s="1" t="n">
        <x:f>'Historical prices'!E3321</x:f>
        <x:v>1.05</x:v>
      </x:c>
      <x:c r="I3321" s="6" t="n">
        <x:f>'Historical prices'!D3321</x:f>
        <x:v>0.2998</x:v>
      </x:c>
      <x:c r="J3321" s="13" t="n">
        <x:f>D3321*I3321*H3321</x:f>
        <x:v>0</x:v>
      </x:c>
      <x:c r="K3321" s="13" t="n">
        <x:f>E3321*I3321*H3321</x:f>
        <x:v>0.16214308249999998</x:v>
      </x:c>
      <x:c r="L3321" s="1" t="str">
        <x:f>TEXT(A3321,"mmm yyyy")</x:f>
        <x:v>Jul 2026</x:v>
      </x:c>
    </x:row>
    <x:row r="3322" ht="21" customHeight="1">
      <x:c r="A3322" s="10" t="n">
        <x:v>46217</x:v>
      </x:c>
      <x:c r="B3322" s="1" t="n">
        <x:v>17</x:v>
      </x:c>
      <x:c r="C3322" s="1" t="n">
        <x:v>6</x:v>
      </x:c>
      <x:c r="D3322" s="12" t="n">
        <x:v>0</x:v>
      </x:c>
      <x:c r="E3322" s="12" t="n">
        <x:v>0.6826666666666666</x:v>
      </x:c>
      <x:c r="F3322" s="12" t="n">
        <x:v>0.6825</x:v>
      </x:c>
      <x:c r="G3322" s="12" t="n">
        <x:v>0</x:v>
      </x:c>
      <x:c r="H3322" s="1" t="n">
        <x:f>'Historical prices'!E3322</x:f>
        <x:v>1.05</x:v>
      </x:c>
      <x:c r="I3322" s="6" t="n">
        <x:f>'Historical prices'!D3322</x:f>
        <x:v>0.326</x:v>
      </x:c>
      <x:c r="J3322" s="13" t="n">
        <x:f>D3322*I3322*H3322</x:f>
        <x:v>0</x:v>
      </x:c>
      <x:c r="K3322" s="13" t="n">
        <x:f>E3322*I3322*H3322</x:f>
        <x:v>0.2336768</x:v>
      </x:c>
      <x:c r="L3322" s="1" t="str">
        <x:f>TEXT(A3322,"mmm yyyy")</x:f>
        <x:v>Jul 2026</x:v>
      </x:c>
    </x:row>
    <x:row r="3323" ht="21" customHeight="1">
      <x:c r="A3323" s="10" t="n">
        <x:v>46217</x:v>
      </x:c>
      <x:c r="B3323" s="1" t="n">
        <x:v>17.5</x:v>
      </x:c>
      <x:c r="C3323" s="1" t="n">
        <x:v>6</x:v>
      </x:c>
      <x:c r="D3323" s="12" t="n">
        <x:v>0</x:v>
      </x:c>
      <x:c r="E3323" s="12" t="n">
        <x:v>0.6277499999999999</x:v>
      </x:c>
      <x:c r="F3323" s="12" t="n">
        <x:v>0.6275833333333333</x:v>
      </x:c>
      <x:c r="G3323" s="12" t="n">
        <x:v>0</x:v>
      </x:c>
      <x:c r="H3323" s="1" t="n">
        <x:f>'Historical prices'!E3323</x:f>
        <x:v>1.05</x:v>
      </x:c>
      <x:c r="I3323" s="6" t="n">
        <x:f>'Historical prices'!D3323</x:f>
        <x:v>0.3258</x:v>
      </x:c>
      <x:c r="J3323" s="13" t="n">
        <x:f>D3323*I3323*H3323</x:f>
        <x:v>0</x:v>
      </x:c>
      <x:c r="K3323" s="13" t="n">
        <x:f>E3323*I3323*H3323</x:f>
        <x:v>0.21474699749999995</x:v>
      </x:c>
      <x:c r="L3323" s="1" t="str">
        <x:f>TEXT(A3323,"mmm yyyy")</x:f>
        <x:v>Jul 2026</x:v>
      </x:c>
    </x:row>
    <x:row r="3324" ht="21" customHeight="1">
      <x:c r="A3324" s="10" t="n">
        <x:v>46217</x:v>
      </x:c>
      <x:c r="B3324" s="1" t="n">
        <x:v>18</x:v>
      </x:c>
      <x:c r="C3324" s="1" t="n">
        <x:v>6</x:v>
      </x:c>
      <x:c r="D3324" s="12" t="n">
        <x:v>0</x:v>
      </x:c>
      <x:c r="E3324" s="12" t="n">
        <x:v>0.4987500000000001</x:v>
      </x:c>
      <x:c r="F3324" s="12" t="n">
        <x:v>0.49866666666666676</x:v>
      </x:c>
      <x:c r="G3324" s="12" t="n">
        <x:v>0</x:v>
      </x:c>
      <x:c r="H3324" s="1" t="n">
        <x:f>'Historical prices'!E3324</x:f>
        <x:v>1.05</x:v>
      </x:c>
      <x:c r="I3324" s="6" t="n">
        <x:f>'Historical prices'!D3324</x:f>
        <x:v>0.364</x:v>
      </x:c>
      <x:c r="J3324" s="13" t="n">
        <x:f>D3324*I3324*H3324</x:f>
        <x:v>0</x:v>
      </x:c>
      <x:c r="K3324" s="13" t="n">
        <x:f>E3324*I3324*H3324</x:f>
        <x:v>0.19062225000000002</x:v>
      </x:c>
      <x:c r="L3324" s="1" t="str">
        <x:f>TEXT(A3324,"mmm yyyy")</x:f>
        <x:v>Jul 2026</x:v>
      </x:c>
    </x:row>
    <x:row r="3325" ht="21" customHeight="1">
      <x:c r="A3325" s="10" t="n">
        <x:v>46217</x:v>
      </x:c>
      <x:c r="B3325" s="1" t="n">
        <x:v>18.5</x:v>
      </x:c>
      <x:c r="C3325" s="1" t="n">
        <x:v>6</x:v>
      </x:c>
      <x:c r="D3325" s="12" t="n">
        <x:v>0</x:v>
      </x:c>
      <x:c r="E3325" s="12" t="n">
        <x:v>0.7880833333333332</x:v>
      </x:c>
      <x:c r="F3325" s="12" t="n">
        <x:v>0.7876666666666666</x:v>
      </x:c>
      <x:c r="G3325" s="12" t="n">
        <x:v>0</x:v>
      </x:c>
      <x:c r="H3325" s="1" t="n">
        <x:f>'Historical prices'!E3325</x:f>
        <x:v>1.05</x:v>
      </x:c>
      <x:c r="I3325" s="6" t="n">
        <x:f>'Historical prices'!D3325</x:f>
        <x:v>0.37770000000000004</x:v>
      </x:c>
      <x:c r="J3325" s="13" t="n">
        <x:f>D3325*I3325*H3325</x:f>
        <x:v>0</x:v>
      </x:c>
      <x:c r="K3325" s="13" t="n">
        <x:f>E3325*I3325*H3325</x:f>
        <x:v>0.31254202875000003</x:v>
      </x:c>
      <x:c r="L3325" s="1" t="str">
        <x:f>TEXT(A3325,"mmm yyyy")</x:f>
        <x:v>Jul 2026</x:v>
      </x:c>
    </x:row>
    <x:row r="3326" ht="21" customHeight="1">
      <x:c r="A3326" s="10" t="n">
        <x:v>46217</x:v>
      </x:c>
      <x:c r="B3326" s="1" t="n">
        <x:v>19</x:v>
      </x:c>
      <x:c r="C3326" s="1" t="n">
        <x:v>6</x:v>
      </x:c>
      <x:c r="D3326" s="12" t="n">
        <x:v>0</x:v>
      </x:c>
      <x:c r="E3326" s="12" t="n">
        <x:v>0.6427499999999999</x:v>
      </x:c>
      <x:c r="F3326" s="12" t="n">
        <x:v>0.6425833333333333</x:v>
      </x:c>
      <x:c r="G3326" s="12" t="n">
        <x:v>0</x:v>
      </x:c>
      <x:c r="H3326" s="1" t="n">
        <x:f>'Historical prices'!E3326</x:f>
        <x:v>1.05</x:v>
      </x:c>
      <x:c r="I3326" s="6" t="n">
        <x:f>'Historical prices'!D3326</x:f>
        <x:v>0.281</x:v>
      </x:c>
      <x:c r="J3326" s="13" t="n">
        <x:f>D3326*I3326*H3326</x:f>
        <x:v>0</x:v>
      </x:c>
      <x:c r="K3326" s="13" t="n">
        <x:f>E3326*I3326*H3326</x:f>
        <x:v>0.18964338749999998</x:v>
      </x:c>
      <x:c r="L3326" s="1" t="str">
        <x:f>TEXT(A3326,"mmm yyyy")</x:f>
        <x:v>Jul 2026</x:v>
      </x:c>
    </x:row>
    <x:row r="3327" ht="21" customHeight="1">
      <x:c r="A3327" s="10" t="n">
        <x:v>46217</x:v>
      </x:c>
      <x:c r="B3327" s="1" t="n">
        <x:v>19.5</x:v>
      </x:c>
      <x:c r="C3327" s="1" t="n">
        <x:v>6</x:v>
      </x:c>
      <x:c r="D3327" s="12" t="n">
        <x:v>0</x:v>
      </x:c>
      <x:c r="E3327" s="12" t="n">
        <x:v>0.8009166666666666</x:v>
      </x:c>
      <x:c r="F3327" s="12" t="n">
        <x:v>0.8004166666666667</x:v>
      </x:c>
      <x:c r="G3327" s="12" t="n">
        <x:v>0</x:v>
      </x:c>
      <x:c r="H3327" s="1" t="n">
        <x:f>'Historical prices'!E3327</x:f>
        <x:v>1.05</x:v>
      </x:c>
      <x:c r="I3327" s="6" t="n">
        <x:f>'Historical prices'!D3327</x:f>
        <x:v>0.2816</x:v>
      </x:c>
      <x:c r="J3327" s="13" t="n">
        <x:f>D3327*I3327*H3327</x:f>
        <x:v>0</x:v>
      </x:c>
      <x:c r="K3327" s="13" t="n">
        <x:f>E3327*I3327*H3327</x:f>
        <x:v>0.23681504</x:v>
      </x:c>
      <x:c r="L3327" s="1" t="str">
        <x:f>TEXT(A3327,"mmm yyyy")</x:f>
        <x:v>Jul 2026</x:v>
      </x:c>
    </x:row>
    <x:row r="3328" ht="21" customHeight="1">
      <x:c r="A3328" s="10" t="n">
        <x:v>46217</x:v>
      </x:c>
      <x:c r="B3328" s="1" t="n">
        <x:v>20</x:v>
      </x:c>
      <x:c r="C3328" s="1" t="n">
        <x:v>6</x:v>
      </x:c>
      <x:c r="D3328" s="12" t="n">
        <x:v>0</x:v>
      </x:c>
      <x:c r="E3328" s="12" t="n">
        <x:v>0.6636666666666666</x:v>
      </x:c>
      <x:c r="F3328" s="12" t="n">
        <x:v>0.6635833333333333</x:v>
      </x:c>
      <x:c r="G3328" s="12" t="n">
        <x:v>0</x:v>
      </x:c>
      <x:c r="H3328" s="1" t="n">
        <x:f>'Historical prices'!E3328</x:f>
        <x:v>1.05</x:v>
      </x:c>
      <x:c r="I3328" s="6" t="n">
        <x:f>'Historical prices'!D3328</x:f>
        <x:v>0.2816</x:v>
      </x:c>
      <x:c r="J3328" s="13" t="n">
        <x:f>D3328*I3328*H3328</x:f>
        <x:v>0</x:v>
      </x:c>
      <x:c r="K3328" s="13" t="n">
        <x:f>E3328*I3328*H3328</x:f>
        <x:v>0.19623296</x:v>
      </x:c>
      <x:c r="L3328" s="1" t="str">
        <x:f>TEXT(A3328,"mmm yyyy")</x:f>
        <x:v>Jul 2026</x:v>
      </x:c>
    </x:row>
    <x:row r="3329" ht="21" customHeight="1">
      <x:c r="A3329" s="10" t="n">
        <x:v>46217</x:v>
      </x:c>
      <x:c r="B3329" s="1" t="n">
        <x:v>20.5</x:v>
      </x:c>
      <x:c r="C3329" s="1" t="n">
        <x:v>6</x:v>
      </x:c>
      <x:c r="D3329" s="12" t="n">
        <x:v>0</x:v>
      </x:c>
      <x:c r="E3329" s="12" t="n">
        <x:v>0.6389166666666667</x:v>
      </x:c>
      <x:c r="F3329" s="12" t="n">
        <x:v>0.6385833333333333</x:v>
      </x:c>
      <x:c r="G3329" s="12" t="n">
        <x:v>0</x:v>
      </x:c>
      <x:c r="H3329" s="1" t="n">
        <x:f>'Historical prices'!E3329</x:f>
        <x:v>1.05</x:v>
      </x:c>
      <x:c r="I3329" s="6" t="n">
        <x:f>'Historical prices'!D3329</x:f>
        <x:v>0.276</x:v>
      </x:c>
      <x:c r="J3329" s="13" t="n">
        <x:f>D3329*I3329*H3329</x:f>
        <x:v>0</x:v>
      </x:c>
      <x:c r="K3329" s="13" t="n">
        <x:f>E3329*I3329*H3329</x:f>
        <x:v>0.18515805000000005</x:v>
      </x:c>
      <x:c r="L3329" s="1" t="str">
        <x:f>TEXT(A3329,"mmm yyyy")</x:f>
        <x:v>Jul 2026</x:v>
      </x:c>
    </x:row>
    <x:row r="3330" ht="21" customHeight="1">
      <x:c r="A3330" s="10" t="n">
        <x:v>46217</x:v>
      </x:c>
      <x:c r="B3330" s="1" t="n">
        <x:v>21</x:v>
      </x:c>
      <x:c r="C3330" s="1" t="n">
        <x:v>6</x:v>
      </x:c>
      <x:c r="D3330" s="12" t="n">
        <x:v>0</x:v>
      </x:c>
      <x:c r="E3330" s="12" t="n">
        <x:v>0.5668333333333333</x:v>
      </x:c>
      <x:c r="F3330" s="12" t="n">
        <x:v>0.5664166666666666</x:v>
      </x:c>
      <x:c r="G3330" s="12" t="n">
        <x:v>0</x:v>
      </x:c>
      <x:c r="H3330" s="1" t="n">
        <x:f>'Historical prices'!E3330</x:f>
        <x:v>1.05</x:v>
      </x:c>
      <x:c r="I3330" s="6" t="n">
        <x:f>'Historical prices'!D3330</x:f>
        <x:v>0.2764</x:v>
      </x:c>
      <x:c r="J3330" s="13" t="n">
        <x:f>D3330*I3330*H3330</x:f>
        <x:v>0</x:v>
      </x:c>
      <x:c r="K3330" s="13" t="n">
        <x:f>E3330*I3330*H3330</x:f>
        <x:v>0.16450636999999999</x:v>
      </x:c>
      <x:c r="L3330" s="1" t="str">
        <x:f>TEXT(A3330,"mmm yyyy")</x:f>
        <x:v>Jul 2026</x:v>
      </x:c>
    </x:row>
    <x:row r="3331" ht="21" customHeight="1">
      <x:c r="A3331" s="10" t="n">
        <x:v>46217</x:v>
      </x:c>
      <x:c r="B3331" s="1" t="n">
        <x:v>21.5</x:v>
      </x:c>
      <x:c r="C3331" s="1" t="n">
        <x:v>6</x:v>
      </x:c>
      <x:c r="D3331" s="12" t="n">
        <x:v>0</x:v>
      </x:c>
      <x:c r="E3331" s="12" t="n">
        <x:v>0.9737500000000001</x:v>
      </x:c>
      <x:c r="F3331" s="12" t="n">
        <x:v>0.9735833333333332</x:v>
      </x:c>
      <x:c r="G3331" s="12" t="n">
        <x:v>0</x:v>
      </x:c>
      <x:c r="H3331" s="1" t="n">
        <x:f>'Historical prices'!E3331</x:f>
        <x:v>1.05</x:v>
      </x:c>
      <x:c r="I3331" s="6" t="n">
        <x:f>'Historical prices'!D3331</x:f>
        <x:v>0.26899999999999996</x:v>
      </x:c>
      <x:c r="J3331" s="13" t="n">
        <x:f>D3331*I3331*H3331</x:f>
        <x:v>0</x:v>
      </x:c>
      <x:c r="K3331" s="13" t="n">
        <x:f>E3331*I3331*H3331</x:f>
        <x:v>0.2750356875</x:v>
      </x:c>
      <x:c r="L3331" s="1" t="str">
        <x:f>TEXT(A3331,"mmm yyyy")</x:f>
        <x:v>Jul 2026</x:v>
      </x:c>
    </x:row>
    <x:row r="3332" ht="21" customHeight="1">
      <x:c r="A3332" s="10" t="n">
        <x:v>46217</x:v>
      </x:c>
      <x:c r="B3332" s="1" t="n">
        <x:v>22</x:v>
      </x:c>
      <x:c r="C3332" s="1" t="n">
        <x:v>6</x:v>
      </x:c>
      <x:c r="D3332" s="12" t="n">
        <x:v>0</x:v>
      </x:c>
      <x:c r="E3332" s="12" t="n">
        <x:v>0.4100833333333333</x:v>
      </x:c>
      <x:c r="F3332" s="12" t="n">
        <x:v>0.40991666666666665</x:v>
      </x:c>
      <x:c r="G3332" s="12" t="n">
        <x:v>0</x:v>
      </x:c>
      <x:c r="H3332" s="1" t="n">
        <x:f>'Historical prices'!E3332</x:f>
        <x:v>1.05</x:v>
      </x:c>
      <x:c r="I3332" s="6" t="n">
        <x:f>'Historical prices'!D3332</x:f>
        <x:v>0.24359999999999998</x:v>
      </x:c>
      <x:c r="J3332" s="13" t="n">
        <x:f>D3332*I3332*H3332</x:f>
        <x:v>0</x:v>
      </x:c>
      <x:c r="K3332" s="13" t="n">
        <x:f>E3332*I3332*H3332</x:f>
        <x:v>0.10489111499999998</x:v>
      </x:c>
      <x:c r="L3332" s="1" t="str">
        <x:f>TEXT(A3332,"mmm yyyy")</x:f>
        <x:v>Jul 2026</x:v>
      </x:c>
    </x:row>
    <x:row r="3333" ht="21" customHeight="1">
      <x:c r="A3333" s="10" t="n">
        <x:v>46217</x:v>
      </x:c>
      <x:c r="B3333" s="1" t="n">
        <x:v>22.5</x:v>
      </x:c>
      <x:c r="C3333" s="1" t="n">
        <x:v>6</x:v>
      </x:c>
      <x:c r="D3333" s="12" t="n">
        <x:v>0</x:v>
      </x:c>
      <x:c r="E3333" s="12" t="n">
        <x:v>0.3358333333333333</x:v>
      </x:c>
      <x:c r="F3333" s="12" t="n">
        <x:v>0.33575</x:v>
      </x:c>
      <x:c r="G3333" s="12" t="n">
        <x:v>0</x:v>
      </x:c>
      <x:c r="H3333" s="1" t="n">
        <x:f>'Historical prices'!E3333</x:f>
        <x:v>1.05</x:v>
      </x:c>
      <x:c r="I3333" s="6" t="n">
        <x:f>'Historical prices'!D3333</x:f>
        <x:v>0.22899999999999998</x:v>
      </x:c>
      <x:c r="J3333" s="13" t="n">
        <x:f>D3333*I3333*H3333</x:f>
        <x:v>0</x:v>
      </x:c>
      <x:c r="K3333" s="13" t="n">
        <x:f>E3333*I3333*H3333</x:f>
        <x:v>0.08075112499999999</x:v>
      </x:c>
      <x:c r="L3333" s="1" t="str">
        <x:f>TEXT(A3333,"mmm yyyy")</x:f>
        <x:v>Jul 2026</x:v>
      </x:c>
    </x:row>
    <x:row r="3334" ht="21" customHeight="1">
      <x:c r="A3334" s="10" t="n">
        <x:v>46217</x:v>
      </x:c>
      <x:c r="B3334" s="1" t="n">
        <x:v>23</x:v>
      </x:c>
      <x:c r="C3334" s="1" t="n">
        <x:v>6</x:v>
      </x:c>
      <x:c r="D3334" s="12" t="n">
        <x:v>0</x:v>
      </x:c>
      <x:c r="E3334" s="12" t="n">
        <x:v>0.38000000000000006</x:v>
      </x:c>
      <x:c r="F3334" s="12" t="n">
        <x:v>0.37950000000000006</x:v>
      </x:c>
      <x:c r="G3334" s="12" t="n">
        <x:v>0</x:v>
      </x:c>
      <x:c r="H3334" s="1" t="n">
        <x:f>'Historical prices'!E3334</x:f>
        <x:v>1.05</x:v>
      </x:c>
      <x:c r="I3334" s="6" t="n">
        <x:f>'Historical prices'!D3334</x:f>
        <x:v>0.257</x:v>
      </x:c>
      <x:c r="J3334" s="13" t="n">
        <x:f>D3334*I3334*H3334</x:f>
        <x:v>0</x:v>
      </x:c>
      <x:c r="K3334" s="13" t="n">
        <x:f>E3334*I3334*H3334</x:f>
        <x:v>0.10254300000000004</x:v>
      </x:c>
      <x:c r="L3334" s="1" t="str">
        <x:f>TEXT(A3334,"mmm yyyy")</x:f>
        <x:v>Jul 2026</x:v>
      </x:c>
    </x:row>
    <x:row r="3335" ht="21" customHeight="1">
      <x:c r="A3335" s="10" t="n">
        <x:v>46217</x:v>
      </x:c>
      <x:c r="B3335" s="1" t="n">
        <x:v>23.5</x:v>
      </x:c>
      <x:c r="C3335" s="1" t="n">
        <x:v>6</x:v>
      </x:c>
      <x:c r="D3335" s="12" t="n">
        <x:v>0</x:v>
      </x:c>
      <x:c r="E3335" s="12" t="n">
        <x:v>0.3109166666666667</x:v>
      </x:c>
      <x:c r="F3335" s="12" t="n">
        <x:v>0.3105833333333333</x:v>
      </x:c>
      <x:c r="G3335" s="12" t="n">
        <x:v>0</x:v>
      </x:c>
      <x:c r="H3335" s="1" t="n">
        <x:f>'Historical prices'!E3335</x:f>
        <x:v>1.05</x:v>
      </x:c>
      <x:c r="I3335" s="6" t="n">
        <x:f>'Historical prices'!D3335</x:f>
        <x:v>0.2583</x:v>
      </x:c>
      <x:c r="J3335" s="13" t="n">
        <x:f>D3335*I3335*H3335</x:f>
        <x:v>0</x:v>
      </x:c>
      <x:c r="K3335" s="13" t="n">
        <x:f>E3335*I3335*H3335</x:f>
        <x:v>0.08432526375</x:v>
      </x:c>
      <x:c r="L3335" s="1" t="str">
        <x:f>TEXT(A3335,"mmm yyyy")</x:f>
        <x:v>Jul 2026</x:v>
      </x:c>
    </x:row>
    <x:row r="3336" ht="21" customHeight="1">
      <x:c r="A3336" s="10" t="n">
        <x:v>46218</x:v>
      </x:c>
      <x:c r="B3336" s="1" t="n">
        <x:v>0</x:v>
      </x:c>
      <x:c r="C3336" s="1" t="n">
        <x:v>6</x:v>
      </x:c>
      <x:c r="D3336" s="12" t="n">
        <x:v>0</x:v>
      </x:c>
      <x:c r="E3336" s="12" t="n">
        <x:v>0.28900000000000003</x:v>
      </x:c>
      <x:c r="F3336" s="12" t="n">
        <x:v>0.28775</x:v>
      </x:c>
      <x:c r="G3336" s="12" t="n">
        <x:v>0</x:v>
      </x:c>
      <x:c r="H3336" s="1" t="n">
        <x:f>'Historical prices'!E3336</x:f>
        <x:v>1.05</x:v>
      </x:c>
      <x:c r="I3336" s="6" t="n">
        <x:f>'Historical prices'!D3336</x:f>
        <x:v>0.2375</x:v>
      </x:c>
      <x:c r="J3336" s="13" t="n">
        <x:f>D3336*I3336*H3336</x:f>
        <x:v>0</x:v>
      </x:c>
      <x:c r="K3336" s="13" t="n">
        <x:f>E3336*I3336*H3336</x:f>
        <x:v>0.072069375</x:v>
      </x:c>
      <x:c r="L3336" s="1" t="str">
        <x:f>TEXT(A3336,"mmm yyyy")</x:f>
        <x:v>Jul 2026</x:v>
      </x:c>
    </x:row>
    <x:row r="3337" ht="21" customHeight="1">
      <x:c r="A3337" s="10" t="n">
        <x:v>46218</x:v>
      </x:c>
      <x:c r="B3337" s="1" t="n">
        <x:v>0.5</x:v>
      </x:c>
      <x:c r="C3337" s="1" t="n">
        <x:v>6</x:v>
      </x:c>
      <x:c r="D3337" s="12" t="n">
        <x:v>0.02025</x:v>
      </x:c>
      <x:c r="E3337" s="12" t="n">
        <x:v>0.29008333333333336</x:v>
      </x:c>
      <x:c r="F3337" s="12" t="n">
        <x:v>0.26966666666666667</x:v>
      </x:c>
      <x:c r="G3337" s="12" t="n">
        <x:v>0</x:v>
      </x:c>
      <x:c r="H3337" s="1" t="n">
        <x:f>'Historical prices'!E3337</x:f>
        <x:v>1.05</x:v>
      </x:c>
      <x:c r="I3337" s="6" t="n">
        <x:f>'Historical prices'!D3337</x:f>
        <x:v>0.2375</x:v>
      </x:c>
      <x:c r="J3337" s="13" t="n">
        <x:f>D3337*I3337*H3337</x:f>
        <x:v>0.0050498437500000005</x:v>
      </x:c>
      <x:c r="K3337" s="13" t="n">
        <x:f>E3337*I3337*H3337</x:f>
        <x:v>0.07233953125</x:v>
      </x:c>
      <x:c r="L3337" s="1" t="str">
        <x:f>TEXT(A3337,"mmm yyyy")</x:f>
        <x:v>Jul 2026</x:v>
      </x:c>
    </x:row>
    <x:row r="3338" ht="21" customHeight="1">
      <x:c r="A3338" s="10" t="n">
        <x:v>46218</x:v>
      </x:c>
      <x:c r="B3338" s="1" t="n">
        <x:v>1</x:v>
      </x:c>
      <x:c r="C3338" s="1" t="n">
        <x:v>6</x:v>
      </x:c>
      <x:c r="D3338" s="12" t="n">
        <x:v>0.10575</x:v>
      </x:c>
      <x:c r="E3338" s="12" t="n">
        <x:v>0.2948333333333334</x:v>
      </x:c>
      <x:c r="F3338" s="12" t="n">
        <x:v>0.189</x:v>
      </x:c>
      <x:c r="G3338" s="12" t="n">
        <x:v>0</x:v>
      </x:c>
      <x:c r="H3338" s="1" t="n">
        <x:f>'Historical prices'!E3338</x:f>
        <x:v>1.05</x:v>
      </x:c>
      <x:c r="I3338" s="6" t="n">
        <x:f>'Historical prices'!D3338</x:f>
        <x:v>0.2228</x:v>
      </x:c>
      <x:c r="J3338" s="13" t="n">
        <x:f>D3338*I3338*H3338</x:f>
        <x:v>0.024739155</x:v>
      </x:c>
      <x:c r="K3338" s="13" t="n">
        <x:f>E3338*I3338*H3338</x:f>
        <x:v>0.06897331000000001</x:v>
      </x:c>
      <x:c r="L3338" s="1" t="str">
        <x:f>TEXT(A3338,"mmm yyyy")</x:f>
        <x:v>Jul 2026</x:v>
      </x:c>
    </x:row>
    <x:row r="3339" ht="21" customHeight="1">
      <x:c r="A3339" s="10" t="n">
        <x:v>46218</x:v>
      </x:c>
      <x:c r="B3339" s="1" t="n">
        <x:v>1.5</x:v>
      </x:c>
      <x:c r="C3339" s="1" t="n">
        <x:v>6</x:v>
      </x:c>
      <x:c r="D3339" s="12" t="n">
        <x:v>0</x:v>
      </x:c>
      <x:c r="E3339" s="12" t="n">
        <x:v>0.2966666666666667</x:v>
      </x:c>
      <x:c r="F3339" s="12" t="n">
        <x:v>0.29641666666666666</x:v>
      </x:c>
      <x:c r="G3339" s="12" t="n">
        <x:v>0</x:v>
      </x:c>
      <x:c r="H3339" s="1" t="n">
        <x:f>'Historical prices'!E3339</x:f>
        <x:v>1.05</x:v>
      </x:c>
      <x:c r="I3339" s="6" t="n">
        <x:f>'Historical prices'!D3339</x:f>
        <x:v>0.21960000000000002</x:v>
      </x:c>
      <x:c r="J3339" s="13" t="n">
        <x:f>D3339*I3339*H3339</x:f>
        <x:v>0</x:v>
      </x:c>
      <x:c r="K3339" s="13" t="n">
        <x:f>E3339*I3339*H3339</x:f>
        <x:v>0.06840540000000002</x:v>
      </x:c>
      <x:c r="L3339" s="1" t="str">
        <x:f>TEXT(A3339,"mmm yyyy")</x:f>
        <x:v>Jul 2026</x:v>
      </x:c>
    </x:row>
    <x:row r="3340" ht="21" customHeight="1">
      <x:c r="A3340" s="10" t="n">
        <x:v>46218</x:v>
      </x:c>
      <x:c r="B3340" s="1" t="n">
        <x:v>2</x:v>
      </x:c>
      <x:c r="C3340" s="1" t="n">
        <x:v>6</x:v>
      </x:c>
      <x:c r="D3340" s="12" t="n">
        <x:v>0.20550000000000002</x:v>
      </x:c>
      <x:c r="E3340" s="12" t="n">
        <x:v>0.2704166666666667</x:v>
      </x:c>
      <x:c r="F3340" s="12" t="n">
        <x:v>0.05391666666666667</x:v>
      </x:c>
      <x:c r="G3340" s="12" t="n">
        <x:v>0</x:v>
      </x:c>
      <x:c r="H3340" s="1" t="n">
        <x:f>'Historical prices'!E3340</x:f>
        <x:v>1.05</x:v>
      </x:c>
      <x:c r="I3340" s="6" t="n">
        <x:f>'Historical prices'!D3340</x:f>
        <x:v>0.1928</x:v>
      </x:c>
      <x:c r="J3340" s="13" t="n">
        <x:f>D3340*I3340*H3340</x:f>
        <x:v>0.04160142</x:v>
      </x:c>
      <x:c r="K3340" s="13" t="n">
        <x:f>E3340*I3340*H3340</x:f>
        <x:v>0.05474315000000001</x:v>
      </x:c>
      <x:c r="L3340" s="1" t="str">
        <x:f>TEXT(A3340,"mmm yyyy")</x:f>
        <x:v>Jul 2026</x:v>
      </x:c>
    </x:row>
    <x:row r="3341" ht="21" customHeight="1">
      <x:c r="A3341" s="10" t="n">
        <x:v>46218</x:v>
      </x:c>
      <x:c r="B3341" s="1" t="n">
        <x:v>2.5</x:v>
      </x:c>
      <x:c r="C3341" s="1" t="n">
        <x:v>6</x:v>
      </x:c>
      <x:c r="D3341" s="12" t="n">
        <x:v>0.23741666666666666</x:v>
      </x:c>
      <x:c r="E3341" s="12" t="n">
        <x:v>0.24741666666666667</x:v>
      </x:c>
      <x:c r="F3341" s="12" t="n">
        <x:v>0</x:v>
      </x:c>
      <x:c r="G3341" s="12" t="n">
        <x:v>0</x:v>
      </x:c>
      <x:c r="H3341" s="1" t="n">
        <x:f>'Historical prices'!E3341</x:f>
        <x:v>1.05</x:v>
      </x:c>
      <x:c r="I3341" s="6" t="n">
        <x:f>'Historical prices'!D3341</x:f>
        <x:v>0.1886</x:v>
      </x:c>
      <x:c r="J3341" s="13" t="n">
        <x:f>D3341*I3341*H3341</x:f>
        <x:v>0.0470156225</x:v>
      </x:c>
      <x:c r="K3341" s="13" t="n">
        <x:f>E3341*I3341*H3341</x:f>
        <x:v>0.048995922500000004</x:v>
      </x:c>
      <x:c r="L3341" s="1" t="str">
        <x:f>TEXT(A3341,"mmm yyyy")</x:f>
        <x:v>Jul 2026</x:v>
      </x:c>
    </x:row>
    <x:row r="3342" ht="21" customHeight="1">
      <x:c r="A3342" s="10" t="n">
        <x:v>46218</x:v>
      </x:c>
      <x:c r="B3342" s="1" t="n">
        <x:v>3</x:v>
      </x:c>
      <x:c r="C3342" s="1" t="n">
        <x:v>6</x:v>
      </x:c>
      <x:c r="D3342" s="12" t="n">
        <x:v>0.033</x:v>
      </x:c>
      <x:c r="E3342" s="12" t="n">
        <x:v>0.2579166666666667</x:v>
      </x:c>
      <x:c r="F3342" s="12" t="n">
        <x:v>0.22075</x:v>
      </x:c>
      <x:c r="G3342" s="12" t="n">
        <x:v>0</x:v>
      </x:c>
      <x:c r="H3342" s="1" t="n">
        <x:f>'Historical prices'!E3342</x:f>
        <x:v>1.05</x:v>
      </x:c>
      <x:c r="I3342" s="6" t="n">
        <x:f>'Historical prices'!D3342</x:f>
        <x:v>0.1997</x:v>
      </x:c>
      <x:c r="J3342" s="13" t="n">
        <x:f>D3342*I3342*H3342</x:f>
        <x:v>0.006919605</x:v>
      </x:c>
      <x:c r="K3342" s="13" t="n">
        <x:f>E3342*I3342*H3342</x:f>
        <x:v>0.05408125625</x:v>
      </x:c>
      <x:c r="L3342" s="1" t="str">
        <x:f>TEXT(A3342,"mmm yyyy")</x:f>
        <x:v>Jul 2026</x:v>
      </x:c>
    </x:row>
    <x:row r="3343" ht="21" customHeight="1">
      <x:c r="A3343" s="10" t="n">
        <x:v>46218</x:v>
      </x:c>
      <x:c r="B3343" s="1" t="n">
        <x:v>3.5</x:v>
      </x:c>
      <x:c r="C3343" s="1" t="n">
        <x:v>6</x:v>
      </x:c>
      <x:c r="D3343" s="12" t="n">
        <x:v>0</x:v>
      </x:c>
      <x:c r="E3343" s="12" t="n">
        <x:v>0.22808333333333333</x:v>
      </x:c>
      <x:c r="F3343" s="12" t="n">
        <x:v>0.22775</x:v>
      </x:c>
      <x:c r="G3343" s="12" t="n">
        <x:v>0</x:v>
      </x:c>
      <x:c r="H3343" s="1" t="n">
        <x:f>'Historical prices'!E3343</x:f>
        <x:v>1.05</x:v>
      </x:c>
      <x:c r="I3343" s="6" t="n">
        <x:f>'Historical prices'!D3343</x:f>
        <x:v>0.2022</x:v>
      </x:c>
      <x:c r="J3343" s="13" t="n">
        <x:f>D3343*I3343*H3343</x:f>
        <x:v>0</x:v>
      </x:c>
      <x:c r="K3343" s="13" t="n">
        <x:f>E3343*I3343*H3343</x:f>
        <x:v>0.0484243725</x:v>
      </x:c>
      <x:c r="L3343" s="1" t="str">
        <x:f>TEXT(A3343,"mmm yyyy")</x:f>
        <x:v>Jul 2026</x:v>
      </x:c>
    </x:row>
    <x:row r="3344" ht="21" customHeight="1">
      <x:c r="A3344" s="10" t="n">
        <x:v>46218</x:v>
      </x:c>
      <x:c r="B3344" s="1" t="n">
        <x:v>4</x:v>
      </x:c>
      <x:c r="C3344" s="1" t="n">
        <x:v>6</x:v>
      </x:c>
      <x:c r="D3344" s="12" t="n">
        <x:v>0</x:v>
      </x:c>
      <x:c r="E3344" s="12" t="n">
        <x:v>0.30791666666666667</x:v>
      </x:c>
      <x:c r="F3344" s="12" t="n">
        <x:v>0.30783333333333335</x:v>
      </x:c>
      <x:c r="G3344" s="12" t="n">
        <x:v>0</x:v>
      </x:c>
      <x:c r="H3344" s="1" t="n">
        <x:f>'Historical prices'!E3344</x:f>
        <x:v>1.05</x:v>
      </x:c>
      <x:c r="I3344" s="6" t="n">
        <x:f>'Historical prices'!D3344</x:f>
        <x:v>0.2205</x:v>
      </x:c>
      <x:c r="J3344" s="13" t="n">
        <x:f>D3344*I3344*H3344</x:f>
        <x:v>0</x:v>
      </x:c>
      <x:c r="K3344" s="13" t="n">
        <x:f>E3344*I3344*H3344</x:f>
        <x:v>0.07129040625000001</x:v>
      </x:c>
      <x:c r="L3344" s="1" t="str">
        <x:f>TEXT(A3344,"mmm yyyy")</x:f>
        <x:v>Jul 2026</x:v>
      </x:c>
    </x:row>
    <x:row r="3345" ht="21" customHeight="1">
      <x:c r="A3345" s="10" t="n">
        <x:v>46218</x:v>
      </x:c>
      <x:c r="B3345" s="1" t="n">
        <x:v>4.5</x:v>
      </x:c>
      <x:c r="C3345" s="1" t="n">
        <x:v>6</x:v>
      </x:c>
      <x:c r="D3345" s="12" t="n">
        <x:v>0</x:v>
      </x:c>
      <x:c r="E3345" s="12" t="n">
        <x:v>0.36158333333333337</x:v>
      </x:c>
      <x:c r="F3345" s="12" t="n">
        <x:v>0.36133333333333334</x:v>
      </x:c>
      <x:c r="G3345" s="12" t="n">
        <x:v>0</x:v>
      </x:c>
      <x:c r="H3345" s="1" t="n">
        <x:f>'Historical prices'!E3345</x:f>
        <x:v>1.05</x:v>
      </x:c>
      <x:c r="I3345" s="6" t="n">
        <x:f>'Historical prices'!D3345</x:f>
        <x:v>0.22510000000000002</x:v>
      </x:c>
      <x:c r="J3345" s="13" t="n">
        <x:f>D3345*I3345*H3345</x:f>
        <x:v>0</x:v>
      </x:c>
      <x:c r="K3345" s="13" t="n">
        <x:f>E3345*I3345*H3345</x:f>
        <x:v>0.08546202875000002</x:v>
      </x:c>
      <x:c r="L3345" s="1" t="str">
        <x:f>TEXT(A3345,"mmm yyyy")</x:f>
        <x:v>Jul 2026</x:v>
      </x:c>
    </x:row>
    <x:row r="3346" ht="21" customHeight="1">
      <x:c r="A3346" s="10" t="n">
        <x:v>46218</x:v>
      </x:c>
      <x:c r="B3346" s="1" t="n">
        <x:v>5</x:v>
      </x:c>
      <x:c r="C3346" s="1" t="n">
        <x:v>6</x:v>
      </x:c>
      <x:c r="D3346" s="12" t="n">
        <x:v>0</x:v>
      </x:c>
      <x:c r="E3346" s="12" t="n">
        <x:v>0.3370833333333333</x:v>
      </x:c>
      <x:c r="F3346" s="12" t="n">
        <x:v>0.3368333333333333</x:v>
      </x:c>
      <x:c r="G3346" s="12" t="n">
        <x:v>0</x:v>
      </x:c>
      <x:c r="H3346" s="1" t="n">
        <x:f>'Historical prices'!E3346</x:f>
        <x:v>1.05</x:v>
      </x:c>
      <x:c r="I3346" s="6" t="n">
        <x:f>'Historical prices'!D3346</x:f>
        <x:v>0.2498</x:v>
      </x:c>
      <x:c r="J3346" s="13" t="n">
        <x:f>D3346*I3346*H3346</x:f>
        <x:v>0</x:v>
      </x:c>
      <x:c r="K3346" s="13" t="n">
        <x:f>E3346*I3346*H3346</x:f>
        <x:v>0.08841358749999999</x:v>
      </x:c>
      <x:c r="L3346" s="1" t="str">
        <x:f>TEXT(A3346,"mmm yyyy")</x:f>
        <x:v>Jul 2026</x:v>
      </x:c>
    </x:row>
    <x:row r="3347" ht="21" customHeight="1">
      <x:c r="A3347" s="10" t="n">
        <x:v>46218</x:v>
      </x:c>
      <x:c r="B3347" s="1" t="n">
        <x:v>5.5</x:v>
      </x:c>
      <x:c r="C3347" s="1" t="n">
        <x:v>6</x:v>
      </x:c>
      <x:c r="D3347" s="12" t="n">
        <x:v>0</x:v>
      </x:c>
      <x:c r="E3347" s="12" t="n">
        <x:v>0.31808333333333333</x:v>
      </x:c>
      <x:c r="F3347" s="12" t="n">
        <x:v>0.3178333333333333</x:v>
      </x:c>
      <x:c r="G3347" s="12" t="n">
        <x:v>0</x:v>
      </x:c>
      <x:c r="H3347" s="1" t="n">
        <x:f>'Historical prices'!E3347</x:f>
        <x:v>1.05</x:v>
      </x:c>
      <x:c r="I3347" s="6" t="n">
        <x:f>'Historical prices'!D3347</x:f>
        <x:v>0.2494</x:v>
      </x:c>
      <x:c r="J3347" s="13" t="n">
        <x:f>D3347*I3347*H3347</x:f>
        <x:v>0</x:v>
      </x:c>
      <x:c r="K3347" s="13" t="n">
        <x:f>E3347*I3347*H3347</x:f>
        <x:v>0.0832964825</x:v>
      </x:c>
      <x:c r="L3347" s="1" t="str">
        <x:f>TEXT(A3347,"mmm yyyy")</x:f>
        <x:v>Jul 2026</x:v>
      </x:c>
    </x:row>
    <x:row r="3348" ht="21" customHeight="1">
      <x:c r="A3348" s="10" t="n">
        <x:v>46218</x:v>
      </x:c>
      <x:c r="B3348" s="1" t="n">
        <x:v>6</x:v>
      </x:c>
      <x:c r="C3348" s="1" t="n">
        <x:v>6</x:v>
      </x:c>
      <x:c r="D3348" s="12" t="n">
        <x:v>0</x:v>
      </x:c>
      <x:c r="E3348" s="12" t="n">
        <x:v>0.369</x:v>
      </x:c>
      <x:c r="F3348" s="12" t="n">
        <x:v>0.36883333333333335</x:v>
      </x:c>
      <x:c r="G3348" s="12" t="n">
        <x:v>0</x:v>
      </x:c>
      <x:c r="H3348" s="1" t="n">
        <x:f>'Historical prices'!E3348</x:f>
        <x:v>1.05</x:v>
      </x:c>
      <x:c r="I3348" s="6" t="n">
        <x:f>'Historical prices'!D3348</x:f>
        <x:v>0.256</x:v>
      </x:c>
      <x:c r="J3348" s="13" t="n">
        <x:f>D3348*I3348*H3348</x:f>
        <x:v>0</x:v>
      </x:c>
      <x:c r="K3348" s="13" t="n">
        <x:f>E3348*I3348*H3348</x:f>
        <x:v>0.09918720000000002</x:v>
      </x:c>
      <x:c r="L3348" s="1" t="str">
        <x:f>TEXT(A3348,"mmm yyyy")</x:f>
        <x:v>Jul 2026</x:v>
      </x:c>
    </x:row>
    <x:row r="3349" ht="21" customHeight="1">
      <x:c r="A3349" s="10" t="n">
        <x:v>46218</x:v>
      </x:c>
      <x:c r="B3349" s="1" t="n">
        <x:v>6.5</x:v>
      </x:c>
      <x:c r="C3349" s="1" t="n">
        <x:v>6</x:v>
      </x:c>
      <x:c r="D3349" s="12" t="n">
        <x:v>0</x:v>
      </x:c>
      <x:c r="E3349" s="12" t="n">
        <x:v>0.4464166666666667</x:v>
      </x:c>
      <x:c r="F3349" s="12" t="n">
        <x:v>0.4464166666666667</x:v>
      </x:c>
      <x:c r="G3349" s="12" t="n">
        <x:v>0</x:v>
      </x:c>
      <x:c r="H3349" s="1" t="n">
        <x:f>'Historical prices'!E3349</x:f>
        <x:v>1.05</x:v>
      </x:c>
      <x:c r="I3349" s="6" t="n">
        <x:f>'Historical prices'!D3349</x:f>
        <x:v>0.25980000000000003</x:v>
      </x:c>
      <x:c r="J3349" s="13" t="n">
        <x:f>D3349*I3349*H3349</x:f>
        <x:v>0</x:v>
      </x:c>
      <x:c r="K3349" s="13" t="n">
        <x:f>E3349*I3349*H3349</x:f>
        <x:v>0.12177800250000002</x:v>
      </x:c>
      <x:c r="L3349" s="1" t="str">
        <x:f>TEXT(A3349,"mmm yyyy")</x:f>
        <x:v>Jul 2026</x:v>
      </x:c>
    </x:row>
    <x:row r="3350" ht="21" customHeight="1">
      <x:c r="A3350" s="10" t="n">
        <x:v>46218</x:v>
      </x:c>
      <x:c r="B3350" s="1" t="n">
        <x:v>7</x:v>
      </x:c>
      <x:c r="C3350" s="1" t="n">
        <x:v>6</x:v>
      </x:c>
      <x:c r="D3350" s="12" t="n">
        <x:v>0</x:v>
      </x:c>
      <x:c r="E3350" s="12" t="n">
        <x:v>0.5750833333333333</x:v>
      </x:c>
      <x:c r="F3350" s="12" t="n">
        <x:v>0.5745833333333332</x:v>
      </x:c>
      <x:c r="G3350" s="12" t="n">
        <x:v>0</x:v>
      </x:c>
      <x:c r="H3350" s="1" t="n">
        <x:f>'Historical prices'!E3350</x:f>
        <x:v>1.05</x:v>
      </x:c>
      <x:c r="I3350" s="6" t="n">
        <x:f>'Historical prices'!D3350</x:f>
        <x:v>0.2535</x:v>
      </x:c>
      <x:c r="J3350" s="13" t="n">
        <x:f>D3350*I3350*H3350</x:f>
        <x:v>0</x:v>
      </x:c>
      <x:c r="K3350" s="13" t="n">
        <x:f>E3350*I3350*H3350</x:f>
        <x:v>0.15307280625</x:v>
      </x:c>
      <x:c r="L3350" s="1" t="str">
        <x:f>TEXT(A3350,"mmm yyyy")</x:f>
        <x:v>Jul 2026</x:v>
      </x:c>
    </x:row>
    <x:row r="3351" ht="21" customHeight="1">
      <x:c r="A3351" s="10" t="n">
        <x:v>46218</x:v>
      </x:c>
      <x:c r="B3351" s="1" t="n">
        <x:v>7.5</x:v>
      </x:c>
      <x:c r="C3351" s="1" t="n">
        <x:v>6</x:v>
      </x:c>
      <x:c r="D3351" s="12" t="n">
        <x:v>0</x:v>
      </x:c>
      <x:c r="E3351" s="12" t="n">
        <x:v>0.5621666666666667</x:v>
      </x:c>
      <x:c r="F3351" s="12" t="n">
        <x:v>0.5618333333333333</x:v>
      </x:c>
      <x:c r="G3351" s="12" t="n">
        <x:v>0</x:v>
      </x:c>
      <x:c r="H3351" s="1" t="n">
        <x:f>'Historical prices'!E3351</x:f>
        <x:v>1.05</x:v>
      </x:c>
      <x:c r="I3351" s="6" t="n">
        <x:f>'Historical prices'!D3351</x:f>
        <x:v>0.2539</x:v>
      </x:c>
      <x:c r="J3351" s="13" t="n">
        <x:f>D3351*I3351*H3351</x:f>
        <x:v>0</x:v>
      </x:c>
      <x:c r="K3351" s="13" t="n">
        <x:f>E3351*I3351*H3351</x:f>
        <x:v>0.14987082250000003</x:v>
      </x:c>
      <x:c r="L3351" s="1" t="str">
        <x:f>TEXT(A3351,"mmm yyyy")</x:f>
        <x:v>Jul 2026</x:v>
      </x:c>
    </x:row>
    <x:row r="3352" ht="21" customHeight="1">
      <x:c r="A3352" s="10" t="n">
        <x:v>46218</x:v>
      </x:c>
      <x:c r="B3352" s="1" t="n">
        <x:v>8</x:v>
      </x:c>
      <x:c r="C3352" s="1" t="n">
        <x:v>6</x:v>
      </x:c>
      <x:c r="D3352" s="12" t="n">
        <x:v>0</x:v>
      </x:c>
      <x:c r="E3352" s="12" t="n">
        <x:v>0.5394166666666667</x:v>
      </x:c>
      <x:c r="F3352" s="12" t="n">
        <x:v>0.5394166666666667</x:v>
      </x:c>
      <x:c r="G3352" s="12" t="n">
        <x:v>0</x:v>
      </x:c>
      <x:c r="H3352" s="1" t="n">
        <x:f>'Historical prices'!E3352</x:f>
        <x:v>1.05</x:v>
      </x:c>
      <x:c r="I3352" s="6" t="n">
        <x:f>'Historical prices'!D3352</x:f>
        <x:v>0.2186</x:v>
      </x:c>
      <x:c r="J3352" s="13" t="n">
        <x:f>D3352*I3352*H3352</x:f>
        <x:v>0</x:v>
      </x:c>
      <x:c r="K3352" s="13" t="n">
        <x:f>E3352*I3352*H3352</x:f>
        <x:v>0.1238123075</x:v>
      </x:c>
      <x:c r="L3352" s="1" t="str">
        <x:f>TEXT(A3352,"mmm yyyy")</x:f>
        <x:v>Jul 2026</x:v>
      </x:c>
    </x:row>
    <x:row r="3353" ht="21" customHeight="1">
      <x:c r="A3353" s="10" t="n">
        <x:v>46218</x:v>
      </x:c>
      <x:c r="B3353" s="1" t="n">
        <x:v>8.5</x:v>
      </x:c>
      <x:c r="C3353" s="1" t="n">
        <x:v>6</x:v>
      </x:c>
      <x:c r="D3353" s="12" t="n">
        <x:v>0</x:v>
      </x:c>
      <x:c r="E3353" s="12" t="n">
        <x:v>0.4750833333333333</x:v>
      </x:c>
      <x:c r="F3353" s="12" t="n">
        <x:v>0.47458333333333336</x:v>
      </x:c>
      <x:c r="G3353" s="12" t="n">
        <x:v>0</x:v>
      </x:c>
      <x:c r="H3353" s="1" t="n">
        <x:f>'Historical prices'!E3353</x:f>
        <x:v>1.05</x:v>
      </x:c>
      <x:c r="I3353" s="6" t="n">
        <x:f>'Historical prices'!D3353</x:f>
        <x:v>0.20309999999999997</x:v>
      </x:c>
      <x:c r="J3353" s="13" t="n">
        <x:f>D3353*I3353*H3353</x:f>
        <x:v>0</x:v>
      </x:c>
      <x:c r="K3353" s="13" t="n">
        <x:f>E3353*I3353*H3353</x:f>
        <x:v>0.10131389624999998</x:v>
      </x:c>
      <x:c r="L3353" s="1" t="str">
        <x:f>TEXT(A3353,"mmm yyyy")</x:f>
        <x:v>Jul 2026</x:v>
      </x:c>
    </x:row>
    <x:row r="3354" ht="21" customHeight="1">
      <x:c r="A3354" s="10" t="n">
        <x:v>46218</x:v>
      </x:c>
      <x:c r="B3354" s="1" t="n">
        <x:v>9</x:v>
      </x:c>
      <x:c r="C3354" s="1" t="n">
        <x:v>6</x:v>
      </x:c>
      <x:c r="D3354" s="12" t="n">
        <x:v>0.9385</x:v>
      </x:c>
      <x:c r="E3354" s="12" t="n">
        <x:v>1.0234166666666666</x:v>
      </x:c>
      <x:c r="F3354" s="12" t="n">
        <x:v>0.07591666666666666</x:v>
      </x:c>
      <x:c r="G3354" s="12" t="n">
        <x:v>0</x:v>
      </x:c>
      <x:c r="H3354" s="1" t="n">
        <x:f>'Historical prices'!E3354</x:f>
        <x:v>1.05</x:v>
      </x:c>
      <x:c r="I3354" s="6" t="n">
        <x:f>'Historical prices'!D3354</x:f>
        <x:v>0.1934</x:v>
      </x:c>
      <x:c r="J3354" s="13" t="n">
        <x:f>D3354*I3354*H3354</x:f>
        <x:v>0.190581195</x:v>
      </x:c>
      <x:c r="K3354" s="13" t="n">
        <x:f>E3354*I3354*H3354</x:f>
        <x:v>0.20782522250000002</x:v>
      </x:c>
      <x:c r="L3354" s="1" t="str">
        <x:f>TEXT(A3354,"mmm yyyy")</x:f>
        <x:v>Jul 2026</x:v>
      </x:c>
    </x:row>
    <x:row r="3355" ht="21" customHeight="1">
      <x:c r="A3355" s="10" t="n">
        <x:v>46218</x:v>
      </x:c>
      <x:c r="B3355" s="1" t="n">
        <x:v>9.5</x:v>
      </x:c>
      <x:c r="C3355" s="1" t="n">
        <x:v>6</x:v>
      </x:c>
      <x:c r="D3355" s="12" t="n">
        <x:v>0.09616666666666666</x:v>
      </x:c>
      <x:c r="E3355" s="12" t="n">
        <x:v>0.5684166666666667</x:v>
      </x:c>
      <x:c r="F3355" s="12" t="n">
        <x:v>0.46991666666666665</x:v>
      </x:c>
      <x:c r="G3355" s="12" t="n">
        <x:v>0</x:v>
      </x:c>
      <x:c r="H3355" s="1" t="n">
        <x:f>'Historical prices'!E3355</x:f>
        <x:v>1.05</x:v>
      </x:c>
      <x:c r="I3355" s="6" t="n">
        <x:f>'Historical prices'!D3355</x:f>
        <x:v>0.21230000000000002</x:v>
      </x:c>
      <x:c r="J3355" s="13" t="n">
        <x:f>D3355*I3355*H3355</x:f>
        <x:v>0.0214369925</x:v>
      </x:c>
      <x:c r="K3355" s="13" t="n">
        <x:f>E3355*I3355*H3355</x:f>
        <x:v>0.12670860125000002</x:v>
      </x:c>
      <x:c r="L3355" s="1" t="str">
        <x:f>TEXT(A3355,"mmm yyyy")</x:f>
        <x:v>Jul 2026</x:v>
      </x:c>
    </x:row>
    <x:row r="3356" ht="21" customHeight="1">
      <x:c r="A3356" s="10" t="n">
        <x:v>46218</x:v>
      </x:c>
      <x:c r="B3356" s="1" t="n">
        <x:v>10</x:v>
      </x:c>
      <x:c r="C3356" s="1" t="n">
        <x:v>6</x:v>
      </x:c>
      <x:c r="D3356" s="12" t="n">
        <x:v>0.3485</x:v>
      </x:c>
      <x:c r="E3356" s="12" t="n">
        <x:v>0.46158333333333335</x:v>
      </x:c>
      <x:c r="F3356" s="12" t="n">
        <x:v>0.103</x:v>
      </x:c>
      <x:c r="G3356" s="12" t="n">
        <x:v>0</x:v>
      </x:c>
      <x:c r="H3356" s="1" t="n">
        <x:f>'Historical prices'!E3356</x:f>
        <x:v>1.05</x:v>
      </x:c>
      <x:c r="I3356" s="6" t="n">
        <x:f>'Historical prices'!D3356</x:f>
        <x:v>0.1892</x:v>
      </x:c>
      <x:c r="J3356" s="13" t="n">
        <x:f>D3356*I3356*H3356</x:f>
        <x:v>0.06923301</x:v>
      </x:c>
      <x:c r="K3356" s="13" t="n">
        <x:f>E3356*I3356*H3356</x:f>
        <x:v>0.09169814500000001</x:v>
      </x:c>
      <x:c r="L3356" s="1" t="str">
        <x:f>TEXT(A3356,"mmm yyyy")</x:f>
        <x:v>Jul 2026</x:v>
      </x:c>
    </x:row>
    <x:row r="3357" ht="21" customHeight="1">
      <x:c r="A3357" s="10" t="n">
        <x:v>46218</x:v>
      </x:c>
      <x:c r="B3357" s="1" t="n">
        <x:v>10.5</x:v>
      </x:c>
      <x:c r="C3357" s="1" t="n">
        <x:v>6</x:v>
      </x:c>
      <x:c r="D3357" s="12" t="n">
        <x:v>0.5311666666666667</x:v>
      </x:c>
      <x:c r="E3357" s="12" t="n">
        <x:v>0.5411666666666667</x:v>
      </x:c>
      <x:c r="F3357" s="12" t="n">
        <x:v>0</x:v>
      </x:c>
      <x:c r="G3357" s="12" t="n">
        <x:v>0</x:v>
      </x:c>
      <x:c r="H3357" s="1" t="n">
        <x:f>'Historical prices'!E3357</x:f>
        <x:v>1.05</x:v>
      </x:c>
      <x:c r="I3357" s="6" t="n">
        <x:f>'Historical prices'!D3357</x:f>
        <x:v>0.1724</x:v>
      </x:c>
      <x:c r="J3357" s="13" t="n">
        <x:f>D3357*I3357*H3357</x:f>
        <x:v>0.09615179</x:v>
      </x:c>
      <x:c r="K3357" s="13" t="n">
        <x:f>E3357*I3357*H3357</x:f>
        <x:v>0.09796199000000001</x:v>
      </x:c>
      <x:c r="L3357" s="1" t="str">
        <x:f>TEXT(A3357,"mmm yyyy")</x:f>
        <x:v>Jul 2026</x:v>
      </x:c>
    </x:row>
    <x:row r="3358" ht="21" customHeight="1">
      <x:c r="A3358" s="10" t="n">
        <x:v>46218</x:v>
      </x:c>
      <x:c r="B3358" s="1" t="n">
        <x:v>11</x:v>
      </x:c>
      <x:c r="C3358" s="1" t="n">
        <x:v>6</x:v>
      </x:c>
      <x:c r="D3358" s="12" t="n">
        <x:v>0.42183333333333334</x:v>
      </x:c>
      <x:c r="E3358" s="12" t="n">
        <x:v>0.43283333333333335</x:v>
      </x:c>
      <x:c r="F3358" s="12" t="n">
        <x:v>0</x:v>
      </x:c>
      <x:c r="G3358" s="12" t="n">
        <x:v>0</x:v>
      </x:c>
      <x:c r="H3358" s="1" t="n">
        <x:f>'Historical prices'!E3358</x:f>
        <x:v>1.05</x:v>
      </x:c>
      <x:c r="I3358" s="6" t="n">
        <x:f>'Historical prices'!D3358</x:f>
        <x:v>0.1703</x:v>
      </x:c>
      <x:c r="J3358" s="13" t="n">
        <x:f>D3358*I3358*H3358</x:f>
        <x:v>0.07543012750000001</x:v>
      </x:c>
      <x:c r="K3358" s="13" t="n">
        <x:f>E3358*I3358*H3358</x:f>
        <x:v>0.07739709250000001</x:v>
      </x:c>
      <x:c r="L3358" s="1" t="str">
        <x:f>TEXT(A3358,"mmm yyyy")</x:f>
        <x:v>Jul 2026</x:v>
      </x:c>
    </x:row>
    <x:row r="3359" ht="21" customHeight="1">
      <x:c r="A3359" s="10" t="n">
        <x:v>46218</x:v>
      </x:c>
      <x:c r="B3359" s="1" t="n">
        <x:v>11.5</x:v>
      </x:c>
      <x:c r="C3359" s="1" t="n">
        <x:v>6</x:v>
      </x:c>
      <x:c r="D3359" s="12" t="n">
        <x:v>0.44841666666666663</x:v>
      </x:c>
      <x:c r="E3359" s="12" t="n">
        <x:v>0.45941666666666664</x:v>
      </x:c>
      <x:c r="F3359" s="12" t="n">
        <x:v>0</x:v>
      </x:c>
      <x:c r="G3359" s="12" t="n">
        <x:v>0</x:v>
      </x:c>
      <x:c r="H3359" s="1" t="n">
        <x:f>'Historical prices'!E3359</x:f>
        <x:v>1.05</x:v>
      </x:c>
      <x:c r="I3359" s="6" t="n">
        <x:f>'Historical prices'!D3359</x:f>
        <x:v>0.1672</x:v>
      </x:c>
      <x:c r="J3359" s="13" t="n">
        <x:f>D3359*I3359*H3359</x:f>
        <x:v>0.07872402999999999</x:v>
      </x:c>
      <x:c r="K3359" s="13" t="n">
        <x:f>E3359*I3359*H3359</x:f>
        <x:v>0.08065518999999999</x:v>
      </x:c>
      <x:c r="L3359" s="1" t="str">
        <x:f>TEXT(A3359,"mmm yyyy")</x:f>
        <x:v>Jul 2026</x:v>
      </x:c>
    </x:row>
    <x:row r="3360" ht="21" customHeight="1">
      <x:c r="A3360" s="10" t="n">
        <x:v>46218</x:v>
      </x:c>
      <x:c r="B3360" s="1" t="n">
        <x:v>12</x:v>
      </x:c>
      <x:c r="C3360" s="1" t="n">
        <x:v>6</x:v>
      </x:c>
      <x:c r="D3360" s="12" t="n">
        <x:v>0.46366666666666667</x:v>
      </x:c>
      <x:c r="E3360" s="12" t="n">
        <x:v>0.4746666666666667</x:v>
      </x:c>
      <x:c r="F3360" s="12" t="n">
        <x:v>0</x:v>
      </x:c>
      <x:c r="G3360" s="12" t="n">
        <x:v>0</x:v>
      </x:c>
      <x:c r="H3360" s="1" t="n">
        <x:f>'Historical prices'!E3360</x:f>
        <x:v>1.05</x:v>
      </x:c>
      <x:c r="I3360" s="6" t="n">
        <x:f>'Historical prices'!D3360</x:f>
        <x:v>0.1642</x:v>
      </x:c>
      <x:c r="J3360" s="13" t="n">
        <x:f>D3360*I3360*H3360</x:f>
        <x:v>0.07994077000000001</x:v>
      </x:c>
      <x:c r="K3360" s="13" t="n">
        <x:f>E3360*I3360*H3360</x:f>
        <x:v>0.08183728000000001</x:v>
      </x:c>
      <x:c r="L3360" s="1" t="str">
        <x:f>TEXT(A3360,"mmm yyyy")</x:f>
        <x:v>Jul 2026</x:v>
      </x:c>
    </x:row>
    <x:row r="3361" ht="21" customHeight="1">
      <x:c r="A3361" s="10" t="n">
        <x:v>46218</x:v>
      </x:c>
      <x:c r="B3361" s="1" t="n">
        <x:v>12.5</x:v>
      </x:c>
      <x:c r="C3361" s="1" t="n">
        <x:v>6</x:v>
      </x:c>
      <x:c r="D3361" s="12" t="n">
        <x:v>4.563583333333334</x:v>
      </x:c>
      <x:c r="E3361" s="12" t="n">
        <x:v>0.6275833333333333</x:v>
      </x:c>
      <x:c r="F3361" s="12" t="n">
        <x:v>0</x:v>
      </x:c>
      <x:c r="G3361" s="12" t="n">
        <x:v>3.9370000000000003</x:v>
      </x:c>
      <x:c r="H3361" s="1" t="n">
        <x:f>'Historical prices'!E3361</x:f>
        <x:v>1.05</x:v>
      </x:c>
      <x:c r="I3361" s="6" t="n">
        <x:f>'Historical prices'!D3361</x:f>
        <x:v>0.15560000000000002</x:v>
      </x:c>
      <x:c r="J3361" s="13" t="n">
        <x:f>D3361*I3361*H3361</x:f>
        <x:v>0.7455982450000002</x:v>
      </x:c>
      <x:c r="K3361" s="13" t="n">
        <x:f>E3361*I3361*H3361</x:f>
        <x:v>0.10253456500000001</x:v>
      </x:c>
      <x:c r="L3361" s="1" t="str">
        <x:f>TEXT(A3361,"mmm yyyy")</x:f>
        <x:v>Jul 2026</x:v>
      </x:c>
    </x:row>
    <x:row r="3362" ht="21" customHeight="1">
      <x:c r="A3362" s="10" t="n">
        <x:v>46218</x:v>
      </x:c>
      <x:c r="B3362" s="1" t="n">
        <x:v>13</x:v>
      </x:c>
      <x:c r="C3362" s="1" t="n">
        <x:v>6</x:v>
      </x:c>
      <x:c r="D3362" s="12" t="n">
        <x:v>1.22625</x:v>
      </x:c>
      <x:c r="E3362" s="12" t="n">
        <x:v>0.45924999999999994</x:v>
      </x:c>
      <x:c r="F3362" s="12" t="n">
        <x:v>0</x:v>
      </x:c>
      <x:c r="G3362" s="12" t="n">
        <x:v>0.767</x:v>
      </x:c>
      <x:c r="H3362" s="1" t="n">
        <x:f>'Historical prices'!E3362</x:f>
        <x:v>1.05</x:v>
      </x:c>
      <x:c r="I3362" s="6" t="n">
        <x:f>'Historical prices'!D3362</x:f>
        <x:v>0.1699</x:v>
      </x:c>
      <x:c r="J3362" s="13" t="n">
        <x:f>D3362*I3362*H3362</x:f>
        <x:v>0.21875686875000003</x:v>
      </x:c>
      <x:c r="K3362" s="13" t="n">
        <x:f>E3362*I3362*H3362</x:f>
        <x:v>0.08192790374999999</x:v>
      </x:c>
      <x:c r="L3362" s="1" t="str">
        <x:f>TEXT(A3362,"mmm yyyy")</x:f>
        <x:v>Jul 2026</x:v>
      </x:c>
    </x:row>
    <x:row r="3363" ht="21" customHeight="1">
      <x:c r="A3363" s="10" t="n">
        <x:v>46218</x:v>
      </x:c>
      <x:c r="B3363" s="1" t="n">
        <x:v>13.5</x:v>
      </x:c>
      <x:c r="C3363" s="1" t="n">
        <x:v>6</x:v>
      </x:c>
      <x:c r="D3363" s="12" t="n">
        <x:v>0.33066666666666666</x:v>
      </x:c>
      <x:c r="E3363" s="12" t="n">
        <x:v>0.3436666666666667</x:v>
      </x:c>
      <x:c r="F3363" s="12" t="n">
        <x:v>0</x:v>
      </x:c>
      <x:c r="G3363" s="12" t="n">
        <x:v>0</x:v>
      </x:c>
      <x:c r="H3363" s="1" t="n">
        <x:f>'Historical prices'!E3363</x:f>
        <x:v>1.05</x:v>
      </x:c>
      <x:c r="I3363" s="6" t="n">
        <x:f>'Historical prices'!D3363</x:f>
        <x:v>0.1699</x:v>
      </x:c>
      <x:c r="J3363" s="13" t="n">
        <x:f>D3363*I3363*H3363</x:f>
        <x:v>0.058989280000000005</x:v>
      </x:c>
      <x:c r="K3363" s="13" t="n">
        <x:f>E3363*I3363*H3363</x:f>
        <x:v>0.061308415000000005</x:v>
      </x:c>
      <x:c r="L3363" s="1" t="str">
        <x:f>TEXT(A3363,"mmm yyyy")</x:f>
        <x:v>Jul 2026</x:v>
      </x:c>
    </x:row>
    <x:row r="3364" ht="21" customHeight="1">
      <x:c r="A3364" s="10" t="n">
        <x:v>46218</x:v>
      </x:c>
      <x:c r="B3364" s="1" t="n">
        <x:v>14</x:v>
      </x:c>
      <x:c r="C3364" s="1" t="n">
        <x:v>6</x:v>
      </x:c>
      <x:c r="D3364" s="12" t="n">
        <x:v>4.442583333333333</x:v>
      </x:c>
      <x:c r="E3364" s="12" t="n">
        <x:v>0.5785833333333333</x:v>
      </x:c>
      <x:c r="F3364" s="12" t="n">
        <x:v>0</x:v>
      </x:c>
      <x:c r="G3364" s="12" t="n">
        <x:v>3.8660000000000005</x:v>
      </x:c>
      <x:c r="H3364" s="1" t="n">
        <x:f>'Historical prices'!E3364</x:f>
        <x:v>1.05</x:v>
      </x:c>
      <x:c r="I3364" s="6" t="n">
        <x:f>'Historical prices'!D3364</x:f>
        <x:v>0.15789999999999998</x:v>
      </x:c>
      <x:c r="J3364" s="13" t="n">
        <x:f>D3364*I3364*H3364</x:f>
        <x:v>0.73655810375</x:v>
      </x:c>
      <x:c r="K3364" s="13" t="n">
        <x:f>E3364*I3364*H3364</x:f>
        <x:v>0.09592622374999998</x:v>
      </x:c>
      <x:c r="L3364" s="1" t="str">
        <x:f>TEXT(A3364,"mmm yyyy")</x:f>
        <x:v>Jul 2026</x:v>
      </x:c>
    </x:row>
    <x:row r="3365" ht="21" customHeight="1">
      <x:c r="A3365" s="10" t="n">
        <x:v>46218</x:v>
      </x:c>
      <x:c r="B3365" s="1" t="n">
        <x:v>14.5</x:v>
      </x:c>
      <x:c r="C3365" s="1" t="n">
        <x:v>6</x:v>
      </x:c>
      <x:c r="D3365" s="12" t="n">
        <x:v>5.267083333333333</x:v>
      </x:c>
      <x:c r="E3365" s="12" t="n">
        <x:v>0.6010833333333333</x:v>
      </x:c>
      <x:c r="F3365" s="12" t="n">
        <x:v>0</x:v>
      </x:c>
      <x:c r="G3365" s="12" t="n">
        <x:v>4.666</x:v>
      </x:c>
      <x:c r="H3365" s="1" t="n">
        <x:f>'Historical prices'!E3365</x:f>
        <x:v>1.05</x:v>
      </x:c>
      <x:c r="I3365" s="6" t="n">
        <x:f>'Historical prices'!D3365</x:f>
        <x:v>0.15560000000000002</x:v>
      </x:c>
      <x:c r="J3365" s="13" t="n">
        <x:f>D3365*I3365*H3365</x:f>
        <x:v>0.8605360750000001</x:v>
      </x:c>
      <x:c r="K3365" s="13" t="n">
        <x:f>E3365*I3365*H3365</x:f>
        <x:v>0.09820499500000002</x:v>
      </x:c>
      <x:c r="L3365" s="1" t="str">
        <x:f>TEXT(A3365,"mmm yyyy")</x:f>
        <x:v>Jul 2026</x:v>
      </x:c>
    </x:row>
    <x:row r="3366" ht="21" customHeight="1">
      <x:c r="A3366" s="10" t="n">
        <x:v>46218</x:v>
      </x:c>
      <x:c r="B3366" s="1" t="n">
        <x:v>15</x:v>
      </x:c>
      <x:c r="C3366" s="1" t="n">
        <x:v>6</x:v>
      </x:c>
      <x:c r="D3366" s="12" t="n">
        <x:v>1.2181666666666666</x:v>
      </x:c>
      <x:c r="E3366" s="12" t="n">
        <x:v>0.4191666666666666</x:v>
      </x:c>
      <x:c r="F3366" s="12" t="n">
        <x:v>0</x:v>
      </x:c>
      <x:c r="G3366" s="12" t="n">
        <x:v>0.8</x:v>
      </x:c>
      <x:c r="H3366" s="1" t="n">
        <x:f>'Historical prices'!E3366</x:f>
        <x:v>1.05</x:v>
      </x:c>
      <x:c r="I3366" s="6" t="n">
        <x:f>'Historical prices'!D3366</x:f>
        <x:v>0.17300000000000001</x:v>
      </x:c>
      <x:c r="J3366" s="13" t="n">
        <x:f>D3366*I3366*H3366</x:f>
        <x:v>0.22127997500000002</x:v>
      </x:c>
      <x:c r="K3366" s="13" t="n">
        <x:f>E3366*I3366*H3366</x:f>
        <x:v>0.07614162499999999</x:v>
      </x:c>
      <x:c r="L3366" s="1" t="str">
        <x:f>TEXT(A3366,"mmm yyyy")</x:f>
        <x:v>Jul 2026</x:v>
      </x:c>
    </x:row>
    <x:row r="3367" ht="21" customHeight="1">
      <x:c r="A3367" s="10" t="n">
        <x:v>46218</x:v>
      </x:c>
      <x:c r="B3367" s="1" t="n">
        <x:v>15.5</x:v>
      </x:c>
      <x:c r="C3367" s="1" t="n">
        <x:v>6</x:v>
      </x:c>
      <x:c r="D3367" s="12" t="n">
        <x:v>0.39716666666666667</x:v>
      </x:c>
      <x:c r="E3367" s="12" t="n">
        <x:v>0.4081666666666667</x:v>
      </x:c>
      <x:c r="F3367" s="12" t="n">
        <x:v>0</x:v>
      </x:c>
      <x:c r="G3367" s="12" t="n">
        <x:v>0</x:v>
      </x:c>
      <x:c r="H3367" s="1" t="n">
        <x:f>'Historical prices'!E3367</x:f>
        <x:v>1.05</x:v>
      </x:c>
      <x:c r="I3367" s="6" t="n">
        <x:f>'Historical prices'!D3367</x:f>
        <x:v>0.17300000000000001</x:v>
      </x:c>
      <x:c r="J3367" s="13" t="n">
        <x:f>D3367*I3367*H3367</x:f>
        <x:v>0.07214532500000001</x:v>
      </x:c>
      <x:c r="K3367" s="13" t="n">
        <x:f>E3367*I3367*H3367</x:f>
        <x:v>0.07414347500000001</x:v>
      </x:c>
      <x:c r="L3367" s="1" t="str">
        <x:f>TEXT(A3367,"mmm yyyy")</x:f>
        <x:v>Jul 2026</x:v>
      </x:c>
    </x:row>
    <x:row r="3368" ht="21" customHeight="1">
      <x:c r="A3368" s="10" t="n">
        <x:v>46218</x:v>
      </x:c>
      <x:c r="B3368" s="1" t="n">
        <x:v>16</x:v>
      </x:c>
      <x:c r="C3368" s="1" t="n">
        <x:v>6</x:v>
      </x:c>
      <x:c r="D3368" s="12" t="n">
        <x:v>0.06991666666666667</x:v>
      </x:c>
      <x:c r="E3368" s="12" t="n">
        <x:v>0.6346666666666667</x:v>
      </x:c>
      <x:c r="F3368" s="12" t="n">
        <x:v>0.5613333333333334</x:v>
      </x:c>
      <x:c r="G3368" s="12" t="n">
        <x:v>0</x:v>
      </x:c>
      <x:c r="H3368" s="1" t="n">
        <x:f>'Historical prices'!E3368</x:f>
        <x:v>1.05</x:v>
      </x:c>
      <x:c r="I3368" s="6" t="n">
        <x:f>'Historical prices'!D3368</x:f>
        <x:v>0.3197</x:v>
      </x:c>
      <x:c r="J3368" s="13" t="n">
        <x:f>D3368*I3368*H3368</x:f>
        <x:v>0.02346997625</x:v>
      </x:c>
      <x:c r="K3368" s="13" t="n">
        <x:f>E3368*I3368*H3368</x:f>
        <x:v>0.21304808000000003</x:v>
      </x:c>
      <x:c r="L3368" s="1" t="str">
        <x:f>TEXT(A3368,"mmm yyyy")</x:f>
        <x:v>Jul 2026</x:v>
      </x:c>
    </x:row>
    <x:row r="3369" ht="21" customHeight="1">
      <x:c r="A3369" s="10" t="n">
        <x:v>46218</x:v>
      </x:c>
      <x:c r="B3369" s="1" t="n">
        <x:v>16.5</x:v>
      </x:c>
      <x:c r="C3369" s="1" t="n">
        <x:v>6</x:v>
      </x:c>
      <x:c r="D3369" s="12" t="n">
        <x:v>0</x:v>
      </x:c>
      <x:c r="E3369" s="12" t="n">
        <x:v>0.5959166666666667</x:v>
      </x:c>
      <x:c r="F3369" s="12" t="n">
        <x:v>0.5957499999999999</x:v>
      </x:c>
      <x:c r="G3369" s="12" t="n">
        <x:v>0</x:v>
      </x:c>
      <x:c r="H3369" s="1" t="n">
        <x:f>'Historical prices'!E3369</x:f>
        <x:v>1.05</x:v>
      </x:c>
      <x:c r="I3369" s="6" t="n">
        <x:f>'Historical prices'!D3369</x:f>
        <x:v>0.3012</x:v>
      </x:c>
      <x:c r="J3369" s="13" t="n">
        <x:f>D3369*I3369*H3369</x:f>
        <x:v>0</x:v>
      </x:c>
      <x:c r="K3369" s="13" t="n">
        <x:f>E3369*I3369*H3369</x:f>
        <x:v>0.18846460500000004</x:v>
      </x:c>
      <x:c r="L3369" s="1" t="str">
        <x:f>TEXT(A3369,"mmm yyyy")</x:f>
        <x:v>Jul 2026</x:v>
      </x:c>
    </x:row>
    <x:row r="3370" ht="21" customHeight="1">
      <x:c r="A3370" s="10" t="n">
        <x:v>46218</x:v>
      </x:c>
      <x:c r="B3370" s="1" t="n">
        <x:v>17</x:v>
      </x:c>
      <x:c r="C3370" s="1" t="n">
        <x:v>6</x:v>
      </x:c>
      <x:c r="D3370" s="12" t="n">
        <x:v>0</x:v>
      </x:c>
      <x:c r="E3370" s="12" t="n">
        <x:v>0.48100000000000004</x:v>
      </x:c>
      <x:c r="F3370" s="12" t="n">
        <x:v>0.4808333333333333</x:v>
      </x:c>
      <x:c r="G3370" s="12" t="n">
        <x:v>0</x:v>
      </x:c>
      <x:c r="H3370" s="1" t="n">
        <x:f>'Historical prices'!E3370</x:f>
        <x:v>1.05</x:v>
      </x:c>
      <x:c r="I3370" s="6" t="n">
        <x:f>'Historical prices'!D3370</x:f>
        <x:v>0.33649999999999997</x:v>
      </x:c>
      <x:c r="J3370" s="13" t="n">
        <x:f>D3370*I3370*H3370</x:f>
        <x:v>0</x:v>
      </x:c>
      <x:c r="K3370" s="13" t="n">
        <x:f>E3370*I3370*H3370</x:f>
        <x:v>0.16994932499999998</x:v>
      </x:c>
      <x:c r="L3370" s="1" t="str">
        <x:f>TEXT(A3370,"mmm yyyy")</x:f>
        <x:v>Jul 2026</x:v>
      </x:c>
    </x:row>
    <x:row r="3371" ht="21" customHeight="1">
      <x:c r="A3371" s="10" t="n">
        <x:v>46218</x:v>
      </x:c>
      <x:c r="B3371" s="1" t="n">
        <x:v>17.5</x:v>
      </x:c>
      <x:c r="C3371" s="1" t="n">
        <x:v>6</x:v>
      </x:c>
      <x:c r="D3371" s="12" t="n">
        <x:v>0</x:v>
      </x:c>
      <x:c r="E3371" s="12" t="n">
        <x:v>0.45383333333333337</x:v>
      </x:c>
      <x:c r="F3371" s="12" t="n">
        <x:v>0.4536666666666667</x:v>
      </x:c>
      <x:c r="G3371" s="12" t="n">
        <x:v>0</x:v>
      </x:c>
      <x:c r="H3371" s="1" t="n">
        <x:f>'Historical prices'!E3371</x:f>
        <x:v>1.05</x:v>
      </x:c>
      <x:c r="I3371" s="6" t="n">
        <x:f>'Historical prices'!D3371</x:f>
        <x:v>0.35590000000000005</x:v>
      </x:c>
      <x:c r="J3371" s="13" t="n">
        <x:f>D3371*I3371*H3371</x:f>
        <x:v>0</x:v>
      </x:c>
      <x:c r="K3371" s="13" t="n">
        <x:f>E3371*I3371*H3371</x:f>
        <x:v>0.16959524750000005</x:v>
      </x:c>
      <x:c r="L3371" s="1" t="str">
        <x:f>TEXT(A3371,"mmm yyyy")</x:f>
        <x:v>Jul 2026</x:v>
      </x:c>
    </x:row>
    <x:row r="3372" ht="21" customHeight="1">
      <x:c r="A3372" s="10" t="n">
        <x:v>46218</x:v>
      </x:c>
      <x:c r="B3372" s="1" t="n">
        <x:v>18</x:v>
      </x:c>
      <x:c r="C3372" s="1" t="n">
        <x:v>6</x:v>
      </x:c>
      <x:c r="D3372" s="12" t="n">
        <x:v>0</x:v>
      </x:c>
      <x:c r="E3372" s="12" t="n">
        <x:v>0.47425000000000006</x:v>
      </x:c>
      <x:c r="F3372" s="12" t="n">
        <x:v>0.47375</x:v>
      </x:c>
      <x:c r="G3372" s="12" t="n">
        <x:v>0</x:v>
      </x:c>
      <x:c r="H3372" s="1" t="n">
        <x:f>'Historical prices'!E3372</x:f>
        <x:v>1.05</x:v>
      </x:c>
      <x:c r="I3372" s="6" t="n">
        <x:f>'Historical prices'!D3372</x:f>
        <x:v>0.38439999999999996</x:v>
      </x:c>
      <x:c r="J3372" s="13" t="n">
        <x:f>D3372*I3372*H3372</x:f>
        <x:v>0</x:v>
      </x:c>
      <x:c r="K3372" s="13" t="n">
        <x:f>E3372*I3372*H3372</x:f>
        <x:v>0.191416785</x:v>
      </x:c>
      <x:c r="L3372" s="1" t="str">
        <x:f>TEXT(A3372,"mmm yyyy")</x:f>
        <x:v>Jul 2026</x:v>
      </x:c>
    </x:row>
    <x:row r="3373" ht="21" customHeight="1">
      <x:c r="A3373" s="10" t="n">
        <x:v>46218</x:v>
      </x:c>
      <x:c r="B3373" s="1" t="n">
        <x:v>18.5</x:v>
      </x:c>
      <x:c r="C3373" s="1" t="n">
        <x:v>6</x:v>
      </x:c>
      <x:c r="D3373" s="12" t="n">
        <x:v>0</x:v>
      </x:c>
      <x:c r="E3373" s="12" t="n">
        <x:v>0.4546666666666667</x:v>
      </x:c>
      <x:c r="F3373" s="12" t="n">
        <x:v>0.4545833333333334</x:v>
      </x:c>
      <x:c r="G3373" s="12" t="n">
        <x:v>0</x:v>
      </x:c>
      <x:c r="H3373" s="1" t="n">
        <x:f>'Historical prices'!E3373</x:f>
        <x:v>1.05</x:v>
      </x:c>
      <x:c r="I3373" s="6" t="n">
        <x:f>'Historical prices'!D3373</x:f>
        <x:v>0.3953</x:v>
      </x:c>
      <x:c r="J3373" s="13" t="n">
        <x:f>D3373*I3373*H3373</x:f>
        <x:v>0</x:v>
      </x:c>
      <x:c r="K3373" s="13" t="n">
        <x:f>E3373*I3373*H3373</x:f>
        <x:v>0.18871622000000002</x:v>
      </x:c>
      <x:c r="L3373" s="1" t="str">
        <x:f>TEXT(A3373,"mmm yyyy")</x:f>
        <x:v>Jul 2026</x:v>
      </x:c>
    </x:row>
    <x:row r="3374" ht="21" customHeight="1">
      <x:c r="A3374" s="10" t="n">
        <x:v>46218</x:v>
      </x:c>
      <x:c r="B3374" s="1" t="n">
        <x:v>19</x:v>
      </x:c>
      <x:c r="C3374" s="1" t="n">
        <x:v>6</x:v>
      </x:c>
      <x:c r="D3374" s="12" t="n">
        <x:v>0</x:v>
      </x:c>
      <x:c r="E3374" s="12" t="n">
        <x:v>0.48308333333333336</x:v>
      </x:c>
      <x:c r="F3374" s="12" t="n">
        <x:v>0.48275000000000007</x:v>
      </x:c>
      <x:c r="G3374" s="12" t="n">
        <x:v>0</x:v>
      </x:c>
      <x:c r="H3374" s="1" t="n">
        <x:f>'Historical prices'!E3374</x:f>
        <x:v>1.05</x:v>
      </x:c>
      <x:c r="I3374" s="6" t="n">
        <x:f>'Historical prices'!D3374</x:f>
        <x:v>0.2963</x:v>
      </x:c>
      <x:c r="J3374" s="13" t="n">
        <x:f>D3374*I3374*H3374</x:f>
        <x:v>0</x:v>
      </x:c>
      <x:c r="K3374" s="13" t="n">
        <x:f>E3374*I3374*H3374</x:f>
        <x:v>0.15029447125</x:v>
      </x:c>
      <x:c r="L3374" s="1" t="str">
        <x:f>TEXT(A3374,"mmm yyyy")</x:f>
        <x:v>Jul 2026</x:v>
      </x:c>
    </x:row>
    <x:row r="3375" ht="21" customHeight="1">
      <x:c r="A3375" s="10" t="n">
        <x:v>46218</x:v>
      </x:c>
      <x:c r="B3375" s="1" t="n">
        <x:v>19.5</x:v>
      </x:c>
      <x:c r="C3375" s="1" t="n">
        <x:v>6</x:v>
      </x:c>
      <x:c r="D3375" s="12" t="n">
        <x:v>0</x:v>
      </x:c>
      <x:c r="E3375" s="12" t="n">
        <x:v>0.7495833333333333</x:v>
      </x:c>
      <x:c r="F3375" s="12" t="n">
        <x:v>0.7494166666666666</x:v>
      </x:c>
      <x:c r="G3375" s="12" t="n">
        <x:v>0</x:v>
      </x:c>
      <x:c r="H3375" s="1" t="n">
        <x:f>'Historical prices'!E3375</x:f>
        <x:v>1.05</x:v>
      </x:c>
      <x:c r="I3375" s="6" t="n">
        <x:f>'Historical prices'!D3375</x:f>
        <x:v>0.30510000000000004</x:v>
      </x:c>
      <x:c r="J3375" s="13" t="n">
        <x:f>D3375*I3375*H3375</x:f>
        <x:v>0</x:v>
      </x:c>
      <x:c r="K3375" s="13" t="n">
        <x:f>E3375*I3375*H3375</x:f>
        <x:v>0.24013276875</x:v>
      </x:c>
      <x:c r="L3375" s="1" t="str">
        <x:f>TEXT(A3375,"mmm yyyy")</x:f>
        <x:v>Jul 2026</x:v>
      </x:c>
    </x:row>
    <x:row r="3376" ht="21" customHeight="1">
      <x:c r="A3376" s="10" t="n">
        <x:v>46218</x:v>
      </x:c>
      <x:c r="B3376" s="1" t="n">
        <x:v>20</x:v>
      </x:c>
      <x:c r="C3376" s="1" t="n">
        <x:v>6</x:v>
      </x:c>
      <x:c r="D3376" s="12" t="n">
        <x:v>0</x:v>
      </x:c>
      <x:c r="E3376" s="12" t="n">
        <x:v>0.46275000000000005</x:v>
      </x:c>
      <x:c r="F3376" s="12" t="n">
        <x:v>0.4623333333333333</x:v>
      </x:c>
      <x:c r="G3376" s="12" t="n">
        <x:v>0</x:v>
      </x:c>
      <x:c r="H3376" s="1" t="n">
        <x:f>'Historical prices'!E3376</x:f>
        <x:v>1.05</x:v>
      </x:c>
      <x:c r="I3376" s="6" t="n">
        <x:f>'Historical prices'!D3376</x:f>
        <x:v>0.3085</x:v>
      </x:c>
      <x:c r="J3376" s="13" t="n">
        <x:f>D3376*I3376*H3376</x:f>
        <x:v>0</x:v>
      </x:c>
      <x:c r="K3376" s="13" t="n">
        <x:f>E3376*I3376*H3376</x:f>
        <x:v>0.14989629375000002</x:v>
      </x:c>
      <x:c r="L3376" s="1" t="str">
        <x:f>TEXT(A3376,"mmm yyyy")</x:f>
        <x:v>Jul 2026</x:v>
      </x:c>
    </x:row>
    <x:row r="3377" ht="21" customHeight="1">
      <x:c r="A3377" s="10" t="n">
        <x:v>46218</x:v>
      </x:c>
      <x:c r="B3377" s="1" t="n">
        <x:v>20.5</x:v>
      </x:c>
      <x:c r="C3377" s="1" t="n">
        <x:v>6</x:v>
      </x:c>
      <x:c r="D3377" s="12" t="n">
        <x:v>0</x:v>
      </x:c>
      <x:c r="E3377" s="12" t="n">
        <x:v>0.4668333333333334</x:v>
      </x:c>
      <x:c r="F3377" s="12" t="n">
        <x:v>0.46666666666666673</x:v>
      </x:c>
      <x:c r="G3377" s="12" t="n">
        <x:v>0</x:v>
      </x:c>
      <x:c r="H3377" s="1" t="n">
        <x:f>'Historical prices'!E3377</x:f>
        <x:v>1.05</x:v>
      </x:c>
      <x:c r="I3377" s="6" t="n">
        <x:f>'Historical prices'!D3377</x:f>
        <x:v>0.3055</x:v>
      </x:c>
      <x:c r="J3377" s="13" t="n">
        <x:f>D3377*I3377*H3377</x:f>
        <x:v>0</x:v>
      </x:c>
      <x:c r="K3377" s="13" t="n">
        <x:f>E3377*I3377*H3377</x:f>
        <x:v>0.14974846250000004</x:v>
      </x:c>
      <x:c r="L3377" s="1" t="str">
        <x:f>TEXT(A3377,"mmm yyyy")</x:f>
        <x:v>Jul 2026</x:v>
      </x:c>
    </x:row>
    <x:row r="3378" ht="21" customHeight="1">
      <x:c r="A3378" s="10" t="n">
        <x:v>46218</x:v>
      </x:c>
      <x:c r="B3378" s="1" t="n">
        <x:v>21</x:v>
      </x:c>
      <x:c r="C3378" s="1" t="n">
        <x:v>6</x:v>
      </x:c>
      <x:c r="D3378" s="12" t="n">
        <x:v>0</x:v>
      </x:c>
      <x:c r="E3378" s="12" t="n">
        <x:v>0.649</x:v>
      </x:c>
      <x:c r="F3378" s="12" t="n">
        <x:v>0.6488333333333333</x:v>
      </x:c>
      <x:c r="G3378" s="12" t="n">
        <x:v>0</x:v>
      </x:c>
      <x:c r="H3378" s="1" t="n">
        <x:f>'Historical prices'!E3378</x:f>
        <x:v>1.05</x:v>
      </x:c>
      <x:c r="I3378" s="6" t="n">
        <x:f>'Historical prices'!D3378</x:f>
        <x:v>0.3037</x:v>
      </x:c>
      <x:c r="J3378" s="13" t="n">
        <x:f>D3378*I3378*H3378</x:f>
        <x:v>0</x:v>
      </x:c>
      <x:c r="K3378" s="13" t="n">
        <x:f>E3378*I3378*H3378</x:f>
        <x:v>0.20695636500000006</x:v>
      </x:c>
      <x:c r="L3378" s="1" t="str">
        <x:f>TEXT(A3378,"mmm yyyy")</x:f>
        <x:v>Jul 2026</x:v>
      </x:c>
    </x:row>
    <x:row r="3379" ht="21" customHeight="1">
      <x:c r="A3379" s="10" t="n">
        <x:v>46218</x:v>
      </x:c>
      <x:c r="B3379" s="1" t="n">
        <x:v>21.5</x:v>
      </x:c>
      <x:c r="C3379" s="1" t="n">
        <x:v>6</x:v>
      </x:c>
      <x:c r="D3379" s="12" t="n">
        <x:v>0</x:v>
      </x:c>
      <x:c r="E3379" s="12" t="n">
        <x:v>0.9375833333333333</x:v>
      </x:c>
      <x:c r="F3379" s="12" t="n">
        <x:v>0.9373333333333334</x:v>
      </x:c>
      <x:c r="G3379" s="12" t="n">
        <x:v>0</x:v>
      </x:c>
      <x:c r="H3379" s="1" t="n">
        <x:f>'Historical prices'!E3379</x:f>
        <x:v>1.05</x:v>
      </x:c>
      <x:c r="I3379" s="6" t="n">
        <x:f>'Historical prices'!D3379</x:f>
        <x:v>0.2945</x:v>
      </x:c>
      <x:c r="J3379" s="13" t="n">
        <x:f>D3379*I3379*H3379</x:f>
        <x:v>0</x:v>
      </x:c>
      <x:c r="K3379" s="13" t="n">
        <x:f>E3379*I3379*H3379</x:f>
        <x:v>0.28992420625</x:v>
      </x:c>
      <x:c r="L3379" s="1" t="str">
        <x:f>TEXT(A3379,"mmm yyyy")</x:f>
        <x:v>Jul 2026</x:v>
      </x:c>
    </x:row>
    <x:row r="3380" ht="21" customHeight="1">
      <x:c r="A3380" s="10" t="n">
        <x:v>46218</x:v>
      </x:c>
      <x:c r="B3380" s="1" t="n">
        <x:v>22</x:v>
      </x:c>
      <x:c r="C3380" s="1" t="n">
        <x:v>6</x:v>
      </x:c>
      <x:c r="D3380" s="12" t="n">
        <x:v>0</x:v>
      </x:c>
      <x:c r="E3380" s="12" t="n">
        <x:v>0.40891666666666665</x:v>
      </x:c>
      <x:c r="F3380" s="12" t="n">
        <x:v>0.4086666666666667</x:v>
      </x:c>
      <x:c r="G3380" s="12" t="n">
        <x:v>0</x:v>
      </x:c>
      <x:c r="H3380" s="1" t="n">
        <x:f>'Historical prices'!E3380</x:f>
        <x:v>1.05</x:v>
      </x:c>
      <x:c r="I3380" s="6" t="n">
        <x:f>'Historical prices'!D3380</x:f>
        <x:v>0.2762</x:v>
      </x:c>
      <x:c r="J3380" s="13" t="n">
        <x:f>D3380*I3380*H3380</x:f>
        <x:v>0</x:v>
      </x:c>
      <x:c r="K3380" s="13" t="n">
        <x:f>E3380*I3380*H3380</x:f>
        <x:v>0.1185899225</x:v>
      </x:c>
      <x:c r="L3380" s="1" t="str">
        <x:f>TEXT(A3380,"mmm yyyy")</x:f>
        <x:v>Jul 2026</x:v>
      </x:c>
    </x:row>
    <x:row r="3381" ht="21" customHeight="1">
      <x:c r="A3381" s="10" t="n">
        <x:v>46218</x:v>
      </x:c>
      <x:c r="B3381" s="1" t="n">
        <x:v>22.5</x:v>
      </x:c>
      <x:c r="C3381" s="1" t="n">
        <x:v>6</x:v>
      </x:c>
      <x:c r="D3381" s="12" t="n">
        <x:v>0</x:v>
      </x:c>
      <x:c r="E3381" s="12" t="n">
        <x:v>0.296</x:v>
      </x:c>
      <x:c r="F3381" s="12" t="n">
        <x:v>0.2958333333333333</x:v>
      </x:c>
      <x:c r="G3381" s="12" t="n">
        <x:v>0</x:v>
      </x:c>
      <x:c r="H3381" s="1" t="n">
        <x:f>'Historical prices'!E3381</x:f>
        <x:v>1.05</x:v>
      </x:c>
      <x:c r="I3381" s="6" t="n">
        <x:f>'Historical prices'!D3381</x:f>
        <x:v>0.2642</x:v>
      </x:c>
      <x:c r="J3381" s="13" t="n">
        <x:f>D3381*I3381*H3381</x:f>
        <x:v>0</x:v>
      </x:c>
      <x:c r="K3381" s="13" t="n">
        <x:f>E3381*I3381*H3381</x:f>
        <x:v>0.08211336</x:v>
      </x:c>
      <x:c r="L3381" s="1" t="str">
        <x:f>TEXT(A3381,"mmm yyyy")</x:f>
        <x:v>Jul 2026</x:v>
      </x:c>
    </x:row>
    <x:row r="3382" ht="21" customHeight="1">
      <x:c r="A3382" s="10" t="n">
        <x:v>46218</x:v>
      </x:c>
      <x:c r="B3382" s="1" t="n">
        <x:v>23</x:v>
      </x:c>
      <x:c r="C3382" s="1" t="n">
        <x:v>6</x:v>
      </x:c>
      <x:c r="D3382" s="12" t="n">
        <x:v>0</x:v>
      </x:c>
      <x:c r="E3382" s="12" t="n">
        <x:v>0.26916666666666667</x:v>
      </x:c>
      <x:c r="F3382" s="12" t="n">
        <x:v>0.2689166666666667</x:v>
      </x:c>
      <x:c r="G3382" s="12" t="n">
        <x:v>0</x:v>
      </x:c>
      <x:c r="H3382" s="1" t="n">
        <x:f>'Historical prices'!E3382</x:f>
        <x:v>1.05</x:v>
      </x:c>
      <x:c r="I3382" s="6" t="n">
        <x:f>'Historical prices'!D3382</x:f>
        <x:v>0.2581</x:v>
      </x:c>
      <x:c r="J3382" s="13" t="n">
        <x:f>D3382*I3382*H3382</x:f>
        <x:v>0</x:v>
      </x:c>
      <x:c r="K3382" s="13" t="n">
        <x:f>E3382*I3382*H3382</x:f>
        <x:v>0.0729455125</x:v>
      </x:c>
      <x:c r="L3382" s="1" t="str">
        <x:f>TEXT(A3382,"mmm yyyy")</x:f>
        <x:v>Jul 2026</x:v>
      </x:c>
    </x:row>
    <x:row r="3383" ht="21" customHeight="1">
      <x:c r="A3383" s="10" t="n">
        <x:v>46218</x:v>
      </x:c>
      <x:c r="B3383" s="1" t="n">
        <x:v>23.5</x:v>
      </x:c>
      <x:c r="C3383" s="1" t="n">
        <x:v>6</x:v>
      </x:c>
      <x:c r="D3383" s="12" t="n">
        <x:v>0</x:v>
      </x:c>
      <x:c r="E3383" s="12" t="n">
        <x:v>0.369</x:v>
      </x:c>
      <x:c r="F3383" s="12" t="n">
        <x:v>0.3686666666666667</x:v>
      </x:c>
      <x:c r="G3383" s="12" t="n">
        <x:v>0</x:v>
      </x:c>
      <x:c r="H3383" s="1" t="n">
        <x:f>'Historical prices'!E3383</x:f>
        <x:v>1.05</x:v>
      </x:c>
      <x:c r="I3383" s="6" t="n">
        <x:f>'Historical prices'!D3383</x:f>
        <x:v>0.25420000000000004</x:v>
      </x:c>
      <x:c r="J3383" s="13" t="n">
        <x:f>D3383*I3383*H3383</x:f>
        <x:v>0</x:v>
      </x:c>
      <x:c r="K3383" s="13" t="n">
        <x:f>E3383*I3383*H3383</x:f>
        <x:v>0.09848979000000002</x:v>
      </x:c>
      <x:c r="L3383" s="1" t="str">
        <x:f>TEXT(A3383,"mmm yyyy")</x:f>
        <x:v>Jul 2026</x:v>
      </x:c>
    </x:row>
    <x:row r="3384" ht="21" customHeight="1">
      <x:c r="A3384" s="10" t="n">
        <x:v>46219</x:v>
      </x:c>
      <x:c r="B3384" s="1" t="n">
        <x:v>0</x:v>
      </x:c>
      <x:c r="C3384" s="1" t="n">
        <x:v>6</x:v>
      </x:c>
      <x:c r="D3384" s="12" t="n">
        <x:v>0</x:v>
      </x:c>
      <x:c r="E3384" s="12" t="n">
        <x:v>0.3060833333333333</x:v>
      </x:c>
      <x:c r="F3384" s="12" t="n">
        <x:v>0.30574999999999997</x:v>
      </x:c>
      <x:c r="G3384" s="12" t="n">
        <x:v>0</x:v>
      </x:c>
      <x:c r="H3384" s="1" t="n">
        <x:f>'Historical prices'!E3384</x:f>
        <x:v>1.05</x:v>
      </x:c>
      <x:c r="I3384" s="6" t="n">
        <x:f>'Historical prices'!D3384</x:f>
        <x:v>0.24420000000000003</x:v>
      </x:c>
      <x:c r="J3384" s="13" t="n">
        <x:f>D3384*I3384*H3384</x:f>
        <x:v>0</x:v>
      </x:c>
      <x:c r="K3384" s="13" t="n">
        <x:f>E3384*I3384*H3384</x:f>
        <x:v>0.0784828275</x:v>
      </x:c>
      <x:c r="L3384" s="1" t="str">
        <x:f>TEXT(A3384,"mmm yyyy")</x:f>
        <x:v>Jul 2026</x:v>
      </x:c>
    </x:row>
    <x:row r="3385" ht="21" customHeight="1">
      <x:c r="A3385" s="10" t="n">
        <x:v>46219</x:v>
      </x:c>
      <x:c r="B3385" s="1" t="n">
        <x:v>0.5</x:v>
      </x:c>
      <x:c r="C3385" s="1" t="n">
        <x:v>6</x:v>
      </x:c>
      <x:c r="D3385" s="12" t="n">
        <x:v>0</x:v>
      </x:c>
      <x:c r="E3385" s="12" t="n">
        <x:v>0.25758333333333333</x:v>
      </x:c>
      <x:c r="F3385" s="12" t="n">
        <x:v>0.2574166666666667</x:v>
      </x:c>
      <x:c r="G3385" s="12" t="n">
        <x:v>0</x:v>
      </x:c>
      <x:c r="H3385" s="1" t="n">
        <x:f>'Historical prices'!E3385</x:f>
        <x:v>1.05</x:v>
      </x:c>
      <x:c r="I3385" s="6" t="n">
        <x:f>'Historical prices'!D3385</x:f>
        <x:v>0.2396</x:v>
      </x:c>
      <x:c r="J3385" s="13" t="n">
        <x:f>D3385*I3385*H3385</x:f>
        <x:v>0</x:v>
      </x:c>
      <x:c r="K3385" s="13" t="n">
        <x:f>E3385*I3385*H3385</x:f>
        <x:v>0.06480281500000001</x:v>
      </x:c>
      <x:c r="L3385" s="1" t="str">
        <x:f>TEXT(A3385,"mmm yyyy")</x:f>
        <x:v>Jul 2026</x:v>
      </x:c>
    </x:row>
    <x:row r="3386" ht="21" customHeight="1">
      <x:c r="A3386" s="10" t="n">
        <x:v>46219</x:v>
      </x:c>
      <x:c r="B3386" s="1" t="n">
        <x:v>1</x:v>
      </x:c>
      <x:c r="C3386" s="1" t="n">
        <x:v>6</x:v>
      </x:c>
      <x:c r="D3386" s="12" t="n">
        <x:v>0</x:v>
      </x:c>
      <x:c r="E3386" s="12" t="n">
        <x:v>0.28708333333333336</x:v>
      </x:c>
      <x:c r="F3386" s="12" t="n">
        <x:v>0.28675</x:v>
      </x:c>
      <x:c r="G3386" s="12" t="n">
        <x:v>0</x:v>
      </x:c>
      <x:c r="H3386" s="1" t="n">
        <x:f>'Historical prices'!E3386</x:f>
        <x:v>1.05</x:v>
      </x:c>
      <x:c r="I3386" s="6" t="n">
        <x:f>'Historical prices'!D3386</x:f>
        <x:v>0.2455</x:v>
      </x:c>
      <x:c r="J3386" s="13" t="n">
        <x:f>D3386*I3386*H3386</x:f>
        <x:v>0</x:v>
      </x:c>
      <x:c r="K3386" s="13" t="n">
        <x:f>E3386*I3386*H3386</x:f>
        <x:v>0.07400290625000001</x:v>
      </x:c>
      <x:c r="L3386" s="1" t="str">
        <x:f>TEXT(A3386,"mmm yyyy")</x:f>
        <x:v>Jul 2026</x:v>
      </x:c>
    </x:row>
    <x:row r="3387" ht="21" customHeight="1">
      <x:c r="A3387" s="10" t="n">
        <x:v>46219</x:v>
      </x:c>
      <x:c r="B3387" s="1" t="n">
        <x:v>1.5</x:v>
      </x:c>
      <x:c r="C3387" s="1" t="n">
        <x:v>6</x:v>
      </x:c>
      <x:c r="D3387" s="12" t="n">
        <x:v>0</x:v>
      </x:c>
      <x:c r="E3387" s="12" t="n">
        <x:v>0.35700000000000004</x:v>
      </x:c>
      <x:c r="F3387" s="12" t="n">
        <x:v>0.3566666666666667</x:v>
      </x:c>
      <x:c r="G3387" s="12" t="n">
        <x:v>0</x:v>
      </x:c>
      <x:c r="H3387" s="1" t="n">
        <x:f>'Historical prices'!E3387</x:f>
        <x:v>1.05</x:v>
      </x:c>
      <x:c r="I3387" s="6" t="n">
        <x:f>'Historical prices'!D3387</x:f>
        <x:v>0.2299</x:v>
      </x:c>
      <x:c r="J3387" s="13" t="n">
        <x:f>D3387*I3387*H3387</x:f>
        <x:v>0</x:v>
      </x:c>
      <x:c r="K3387" s="13" t="n">
        <x:f>E3387*I3387*H3387</x:f>
        <x:v>0.08617801500000001</x:v>
      </x:c>
      <x:c r="L3387" s="1" t="str">
        <x:f>TEXT(A3387,"mmm yyyy")</x:f>
        <x:v>Jul 2026</x:v>
      </x:c>
    </x:row>
    <x:row r="3388" ht="21" customHeight="1">
      <x:c r="A3388" s="10" t="n">
        <x:v>46219</x:v>
      </x:c>
      <x:c r="B3388" s="1" t="n">
        <x:v>2</x:v>
      </x:c>
      <x:c r="C3388" s="1" t="n">
        <x:v>6</x:v>
      </x:c>
      <x:c r="D3388" s="12" t="n">
        <x:v>0</x:v>
      </x:c>
      <x:c r="E3388" s="12" t="n">
        <x:v>0.31366666666666665</x:v>
      </x:c>
      <x:c r="F3388" s="12" t="n">
        <x:v>0.3134166666666667</x:v>
      </x:c>
      <x:c r="G3388" s="12" t="n">
        <x:v>0</x:v>
      </x:c>
      <x:c r="H3388" s="1" t="n">
        <x:f>'Historical prices'!E3388</x:f>
        <x:v>1.05</x:v>
      </x:c>
      <x:c r="I3388" s="6" t="n">
        <x:f>'Historical prices'!D3388</x:f>
        <x:v>0.2318</x:v>
      </x:c>
      <x:c r="J3388" s="13" t="n">
        <x:f>D3388*I3388*H3388</x:f>
        <x:v>0</x:v>
      </x:c>
      <x:c r="K3388" s="13" t="n">
        <x:f>E3388*I3388*H3388</x:f>
        <x:v>0.07634333</x:v>
      </x:c>
      <x:c r="L3388" s="1" t="str">
        <x:f>TEXT(A3388,"mmm yyyy")</x:f>
        <x:v>Jul 2026</x:v>
      </x:c>
    </x:row>
    <x:row r="3389" ht="21" customHeight="1">
      <x:c r="A3389" s="10" t="n">
        <x:v>46219</x:v>
      </x:c>
      <x:c r="B3389" s="1" t="n">
        <x:v>2.5</x:v>
      </x:c>
      <x:c r="C3389" s="1" t="n">
        <x:v>6</x:v>
      </x:c>
      <x:c r="D3389" s="12" t="n">
        <x:v>0</x:v>
      </x:c>
      <x:c r="E3389" s="12" t="n">
        <x:v>0.2786666666666666</x:v>
      </x:c>
      <x:c r="F3389" s="12" t="n">
        <x:v>0.27849999999999997</x:v>
      </x:c>
      <x:c r="G3389" s="12" t="n">
        <x:v>0</x:v>
      </x:c>
      <x:c r="H3389" s="1" t="n">
        <x:f>'Historical prices'!E3389</x:f>
        <x:v>1.05</x:v>
      </x:c>
      <x:c r="I3389" s="6" t="n">
        <x:f>'Historical prices'!D3389</x:f>
        <x:v>0.22440000000000002</x:v>
      </x:c>
      <x:c r="J3389" s="13" t="n">
        <x:f>D3389*I3389*H3389</x:f>
        <x:v>0</x:v>
      </x:c>
      <x:c r="K3389" s="13" t="n">
        <x:f>E3389*I3389*H3389</x:f>
        <x:v>0.06565944</x:v>
      </x:c>
      <x:c r="L3389" s="1" t="str">
        <x:f>TEXT(A3389,"mmm yyyy")</x:f>
        <x:v>Jul 2026</x:v>
      </x:c>
    </x:row>
    <x:row r="3390" ht="21" customHeight="1">
      <x:c r="A3390" s="10" t="n">
        <x:v>46219</x:v>
      </x:c>
      <x:c r="B3390" s="1" t="n">
        <x:v>3</x:v>
      </x:c>
      <x:c r="C3390" s="1" t="n">
        <x:v>6</x:v>
      </x:c>
      <x:c r="D3390" s="12" t="n">
        <x:v>0</x:v>
      </x:c>
      <x:c r="E3390" s="12" t="n">
        <x:v>0.258</x:v>
      </x:c>
      <x:c r="F3390" s="12" t="n">
        <x:v>0.25775</x:v>
      </x:c>
      <x:c r="G3390" s="12" t="n">
        <x:v>0</x:v>
      </x:c>
      <x:c r="H3390" s="1" t="n">
        <x:f>'Historical prices'!E3390</x:f>
        <x:v>1.05</x:v>
      </x:c>
      <x:c r="I3390" s="6" t="n">
        <x:f>'Historical prices'!D3390</x:f>
        <x:v>0.228</x:v>
      </x:c>
      <x:c r="J3390" s="13" t="n">
        <x:f>D3390*I3390*H3390</x:f>
        <x:v>0</x:v>
      </x:c>
      <x:c r="K3390" s="13" t="n">
        <x:f>E3390*I3390*H3390</x:f>
        <x:v>0.061765200000000006</x:v>
      </x:c>
      <x:c r="L3390" s="1" t="str">
        <x:f>TEXT(A3390,"mmm yyyy")</x:f>
        <x:v>Jul 2026</x:v>
      </x:c>
    </x:row>
    <x:row r="3391" ht="21" customHeight="1">
      <x:c r="A3391" s="10" t="n">
        <x:v>46219</x:v>
      </x:c>
      <x:c r="B3391" s="1" t="n">
        <x:v>3.5</x:v>
      </x:c>
      <x:c r="C3391" s="1" t="n">
        <x:v>6</x:v>
      </x:c>
      <x:c r="D3391" s="12" t="n">
        <x:v>0</x:v>
      </x:c>
      <x:c r="E3391" s="12" t="n">
        <x:v>0.29675</x:v>
      </x:c>
      <x:c r="F3391" s="12" t="n">
        <x:v>0.29275</x:v>
      </x:c>
      <x:c r="G3391" s="12" t="n">
        <x:v>0</x:v>
      </x:c>
      <x:c r="H3391" s="1" t="n">
        <x:f>'Historical prices'!E3391</x:f>
        <x:v>1.05</x:v>
      </x:c>
      <x:c r="I3391" s="6" t="n">
        <x:f>'Historical prices'!D3391</x:f>
        <x:v>0.2278</x:v>
      </x:c>
      <x:c r="J3391" s="13" t="n">
        <x:f>D3391*I3391*H3391</x:f>
        <x:v>0</x:v>
      </x:c>
      <x:c r="K3391" s="13" t="n">
        <x:f>E3391*I3391*H3391</x:f>
        <x:v>0.0709796325</x:v>
      </x:c>
      <x:c r="L3391" s="1" t="str">
        <x:f>TEXT(A3391,"mmm yyyy")</x:f>
        <x:v>Jul 2026</x:v>
      </x:c>
    </x:row>
    <x:row r="3392" ht="21" customHeight="1">
      <x:c r="A3392" s="10" t="n">
        <x:v>46219</x:v>
      </x:c>
      <x:c r="B3392" s="1" t="n">
        <x:v>4</x:v>
      </x:c>
      <x:c r="C3392" s="1" t="n">
        <x:v>6</x:v>
      </x:c>
      <x:c r="D3392" s="12" t="n">
        <x:v>0</x:v>
      </x:c>
      <x:c r="E3392" s="12" t="n">
        <x:v>0.3441666666666667</x:v>
      </x:c>
      <x:c r="F3392" s="12" t="n">
        <x:v>0.34400000000000003</x:v>
      </x:c>
      <x:c r="G3392" s="12" t="n">
        <x:v>0</x:v>
      </x:c>
      <x:c r="H3392" s="1" t="n">
        <x:f>'Historical prices'!E3392</x:f>
        <x:v>1.05</x:v>
      </x:c>
      <x:c r="I3392" s="6" t="n">
        <x:f>'Historical prices'!D3392</x:f>
        <x:v>0.24480000000000002</x:v>
      </x:c>
      <x:c r="J3392" s="13" t="n">
        <x:f>D3392*I3392*H3392</x:f>
        <x:v>0</x:v>
      </x:c>
      <x:c r="K3392" s="13" t="n">
        <x:f>E3392*I3392*H3392</x:f>
        <x:v>0.08846460000000002</x:v>
      </x:c>
      <x:c r="L3392" s="1" t="str">
        <x:f>TEXT(A3392,"mmm yyyy")</x:f>
        <x:v>Jul 2026</x:v>
      </x:c>
    </x:row>
    <x:row r="3393" ht="21" customHeight="1">
      <x:c r="A3393" s="10" t="n">
        <x:v>46219</x:v>
      </x:c>
      <x:c r="B3393" s="1" t="n">
        <x:v>4.5</x:v>
      </x:c>
      <x:c r="C3393" s="1" t="n">
        <x:v>6</x:v>
      </x:c>
      <x:c r="D3393" s="12" t="n">
        <x:v>0</x:v>
      </x:c>
      <x:c r="E3393" s="12" t="n">
        <x:v>0.38075</x:v>
      </x:c>
      <x:c r="F3393" s="12" t="n">
        <x:v>0.3805</x:v>
      </x:c>
      <x:c r="G3393" s="12" t="n">
        <x:v>0</x:v>
      </x:c>
      <x:c r="H3393" s="1" t="n">
        <x:f>'Historical prices'!E3393</x:f>
        <x:v>1.05</x:v>
      </x:c>
      <x:c r="I3393" s="6" t="n">
        <x:f>'Historical prices'!D3393</x:f>
        <x:v>0.2345</x:v>
      </x:c>
      <x:c r="J3393" s="13" t="n">
        <x:f>D3393*I3393*H3393</x:f>
        <x:v>0</x:v>
      </x:c>
      <x:c r="K3393" s="13" t="n">
        <x:f>E3393*I3393*H3393</x:f>
        <x:v>0.09375016874999999</x:v>
      </x:c>
      <x:c r="L3393" s="1" t="str">
        <x:f>TEXT(A3393,"mmm yyyy")</x:f>
        <x:v>Jul 2026</x:v>
      </x:c>
    </x:row>
    <x:row r="3394" ht="21" customHeight="1">
      <x:c r="A3394" s="10" t="n">
        <x:v>46219</x:v>
      </x:c>
      <x:c r="B3394" s="1" t="n">
        <x:v>5</x:v>
      </x:c>
      <x:c r="C3394" s="1" t="n">
        <x:v>6</x:v>
      </x:c>
      <x:c r="D3394" s="12" t="n">
        <x:v>0</x:v>
      </x:c>
      <x:c r="E3394" s="12" t="n">
        <x:v>0.3000833333333333</x:v>
      </x:c>
      <x:c r="F3394" s="12" t="n">
        <x:v>0.2999166666666666</x:v>
      </x:c>
      <x:c r="G3394" s="12" t="n">
        <x:v>0</x:v>
      </x:c>
      <x:c r="H3394" s="1" t="n">
        <x:f>'Historical prices'!E3394</x:f>
        <x:v>1.05</x:v>
      </x:c>
      <x:c r="I3394" s="6" t="n">
        <x:f>'Historical prices'!D3394</x:f>
        <x:v>0.2555</x:v>
      </x:c>
      <x:c r="J3394" s="13" t="n">
        <x:f>D3394*I3394*H3394</x:f>
        <x:v>0</x:v>
      </x:c>
      <x:c r="K3394" s="13" t="n">
        <x:f>E3394*I3394*H3394</x:f>
        <x:v>0.08050485625</x:v>
      </x:c>
      <x:c r="L3394" s="1" t="str">
        <x:f>TEXT(A3394,"mmm yyyy")</x:f>
        <x:v>Jul 2026</x:v>
      </x:c>
    </x:row>
    <x:row r="3395" ht="21" customHeight="1">
      <x:c r="A3395" s="10" t="n">
        <x:v>46219</x:v>
      </x:c>
      <x:c r="B3395" s="1" t="n">
        <x:v>5.5</x:v>
      </x:c>
      <x:c r="C3395" s="1" t="n">
        <x:v>6</x:v>
      </x:c>
      <x:c r="D3395" s="12" t="n">
        <x:v>0</x:v>
      </x:c>
      <x:c r="E3395" s="12" t="n">
        <x:v>0.29991666666666666</x:v>
      </x:c>
      <x:c r="F3395" s="12" t="n">
        <x:v>0.29975</x:v>
      </x:c>
      <x:c r="G3395" s="12" t="n">
        <x:v>0</x:v>
      </x:c>
      <x:c r="H3395" s="1" t="n">
        <x:f>'Historical prices'!E3395</x:f>
        <x:v>1.05</x:v>
      </x:c>
      <x:c r="I3395" s="6" t="n">
        <x:f>'Historical prices'!D3395</x:f>
        <x:v>0.264</x:v>
      </x:c>
      <x:c r="J3395" s="13" t="n">
        <x:f>D3395*I3395*H3395</x:f>
        <x:v>0</x:v>
      </x:c>
      <x:c r="K3395" s="13" t="n">
        <x:f>E3395*I3395*H3395</x:f>
        <x:v>0.0831369</x:v>
      </x:c>
      <x:c r="L3395" s="1" t="str">
        <x:f>TEXT(A3395,"mmm yyyy")</x:f>
        <x:v>Jul 2026</x:v>
      </x:c>
    </x:row>
    <x:row r="3396" ht="21" customHeight="1">
      <x:c r="A3396" s="10" t="n">
        <x:v>46219</x:v>
      </x:c>
      <x:c r="B3396" s="1" t="n">
        <x:v>6</x:v>
      </x:c>
      <x:c r="C3396" s="1" t="n">
        <x:v>6</x:v>
      </x:c>
      <x:c r="D3396" s="12" t="n">
        <x:v>0</x:v>
      </x:c>
      <x:c r="E3396" s="12" t="n">
        <x:v>0.36075</x:v>
      </x:c>
      <x:c r="F3396" s="12" t="n">
        <x:v>0.36058333333333337</x:v>
      </x:c>
      <x:c r="G3396" s="12" t="n">
        <x:v>0</x:v>
      </x:c>
      <x:c r="H3396" s="1" t="n">
        <x:f>'Historical prices'!E3396</x:f>
        <x:v>1.05</x:v>
      </x:c>
      <x:c r="I3396" s="6" t="n">
        <x:f>'Historical prices'!D3396</x:f>
        <x:v>0.2614</x:v>
      </x:c>
      <x:c r="J3396" s="13" t="n">
        <x:f>D3396*I3396*H3396</x:f>
        <x:v>0</x:v>
      </x:c>
      <x:c r="K3396" s="13" t="n">
        <x:f>E3396*I3396*H3396</x:f>
        <x:v>0.09901505250000002</x:v>
      </x:c>
      <x:c r="L3396" s="1" t="str">
        <x:f>TEXT(A3396,"mmm yyyy")</x:f>
        <x:v>Jul 2026</x:v>
      </x:c>
    </x:row>
    <x:row r="3397" ht="21" customHeight="1">
      <x:c r="A3397" s="10" t="n">
        <x:v>46219</x:v>
      </x:c>
      <x:c r="B3397" s="1" t="n">
        <x:v>6.5</x:v>
      </x:c>
      <x:c r="C3397" s="1" t="n">
        <x:v>6</x:v>
      </x:c>
      <x:c r="D3397" s="12" t="n">
        <x:v>0</x:v>
      </x:c>
      <x:c r="E3397" s="12" t="n">
        <x:v>0.44625000000000004</x:v>
      </x:c>
      <x:c r="F3397" s="12" t="n">
        <x:v>0.4459166666666667</x:v>
      </x:c>
      <x:c r="G3397" s="12" t="n">
        <x:v>0</x:v>
      </x:c>
      <x:c r="H3397" s="1" t="n">
        <x:f>'Historical prices'!E3397</x:f>
        <x:v>1.05</x:v>
      </x:c>
      <x:c r="I3397" s="6" t="n">
        <x:f>'Historical prices'!D3397</x:f>
        <x:v>0.2905</x:v>
      </x:c>
      <x:c r="J3397" s="13" t="n">
        <x:f>D3397*I3397*H3397</x:f>
        <x:v>0</x:v>
      </x:c>
      <x:c r="K3397" s="13" t="n">
        <x:f>E3397*I3397*H3397</x:f>
        <x:v>0.13611740625000002</x:v>
      </x:c>
      <x:c r="L3397" s="1" t="str">
        <x:f>TEXT(A3397,"mmm yyyy")</x:f>
        <x:v>Jul 2026</x:v>
      </x:c>
    </x:row>
    <x:row r="3398" ht="21" customHeight="1">
      <x:c r="A3398" s="10" t="n">
        <x:v>46219</x:v>
      </x:c>
      <x:c r="B3398" s="1" t="n">
        <x:v>7</x:v>
      </x:c>
      <x:c r="C3398" s="1" t="n">
        <x:v>6</x:v>
      </x:c>
      <x:c r="D3398" s="12" t="n">
        <x:v>0</x:v>
      </x:c>
      <x:c r="E3398" s="12" t="n">
        <x:v>0.43091666666666667</x:v>
      </x:c>
      <x:c r="F3398" s="12" t="n">
        <x:v>0.4305833333333334</x:v>
      </x:c>
      <x:c r="G3398" s="12" t="n">
        <x:v>0</x:v>
      </x:c>
      <x:c r="H3398" s="1" t="n">
        <x:f>'Historical prices'!E3398</x:f>
        <x:v>1.05</x:v>
      </x:c>
      <x:c r="I3398" s="6" t="n">
        <x:f>'Historical prices'!D3398</x:f>
        <x:v>0.2501</x:v>
      </x:c>
      <x:c r="J3398" s="13" t="n">
        <x:f>D3398*I3398*H3398</x:f>
        <x:v>0</x:v>
      </x:c>
      <x:c r="K3398" s="13" t="n">
        <x:f>E3398*I3398*H3398</x:f>
        <x:v>0.11316087125</x:v>
      </x:c>
      <x:c r="L3398" s="1" t="str">
        <x:f>TEXT(A3398,"mmm yyyy")</x:f>
        <x:v>Jul 2026</x:v>
      </x:c>
    </x:row>
    <x:row r="3399" ht="21" customHeight="1">
      <x:c r="A3399" s="10" t="n">
        <x:v>46219</x:v>
      </x:c>
      <x:c r="B3399" s="1" t="n">
        <x:v>7.5</x:v>
      </x:c>
      <x:c r="C3399" s="1" t="n">
        <x:v>6</x:v>
      </x:c>
      <x:c r="D3399" s="12" t="n">
        <x:v>0</x:v>
      </x:c>
      <x:c r="E3399" s="12" t="n">
        <x:v>0.6078333333333333</x:v>
      </x:c>
      <x:c r="F3399" s="12" t="n">
        <x:v>0.60775</x:v>
      </x:c>
      <x:c r="G3399" s="12" t="n">
        <x:v>0</x:v>
      </x:c>
      <x:c r="H3399" s="1" t="n">
        <x:f>'Historical prices'!E3399</x:f>
        <x:v>1.05</x:v>
      </x:c>
      <x:c r="I3399" s="6" t="n">
        <x:f>'Historical prices'!D3399</x:f>
        <x:v>0.27149999999999996</x:v>
      </x:c>
      <x:c r="J3399" s="13" t="n">
        <x:f>D3399*I3399*H3399</x:f>
        <x:v>0</x:v>
      </x:c>
      <x:c r="K3399" s="13" t="n">
        <x:f>E3399*I3399*H3399</x:f>
        <x:v>0.17327808749999998</x:v>
      </x:c>
      <x:c r="L3399" s="1" t="str">
        <x:f>TEXT(A3399,"mmm yyyy")</x:f>
        <x:v>Jul 2026</x:v>
      </x:c>
    </x:row>
    <x:row r="3400" ht="21" customHeight="1">
      <x:c r="A3400" s="10" t="n">
        <x:v>46219</x:v>
      </x:c>
      <x:c r="B3400" s="1" t="n">
        <x:v>8</x:v>
      </x:c>
      <x:c r="C3400" s="1" t="n">
        <x:v>6</x:v>
      </x:c>
      <x:c r="D3400" s="12" t="n">
        <x:v>0</x:v>
      </x:c>
      <x:c r="E3400" s="12" t="n">
        <x:v>0.5739166666666666</x:v>
      </x:c>
      <x:c r="F3400" s="12" t="n">
        <x:v>0.57275</x:v>
      </x:c>
      <x:c r="G3400" s="12" t="n">
        <x:v>0</x:v>
      </x:c>
      <x:c r="H3400" s="1" t="n">
        <x:f>'Historical prices'!E3400</x:f>
        <x:v>1.05</x:v>
      </x:c>
      <x:c r="I3400" s="6" t="n">
        <x:f>'Historical prices'!D3400</x:f>
        <x:v>0.2216</x:v>
      </x:c>
      <x:c r="J3400" s="13" t="n">
        <x:f>D3400*I3400*H3400</x:f>
        <x:v>0</x:v>
      </x:c>
      <x:c r="K3400" s="13" t="n">
        <x:f>E3400*I3400*H3400</x:f>
        <x:v>0.13353893</x:v>
      </x:c>
      <x:c r="L3400" s="1" t="str">
        <x:f>TEXT(A3400,"mmm yyyy")</x:f>
        <x:v>Jul 2026</x:v>
      </x:c>
    </x:row>
    <x:row r="3401" ht="21" customHeight="1">
      <x:c r="A3401" s="10" t="n">
        <x:v>46219</x:v>
      </x:c>
      <x:c r="B3401" s="1" t="n">
        <x:v>8.5</x:v>
      </x:c>
      <x:c r="C3401" s="1" t="n">
        <x:v>6</x:v>
      </x:c>
      <x:c r="D3401" s="12" t="n">
        <x:v>0.374</x:v>
      </x:c>
      <x:c r="E3401" s="12" t="n">
        <x:v>0.4709166666666667</x:v>
      </x:c>
      <x:c r="F3401" s="12" t="n">
        <x:v>0.08691666666666667</x:v>
      </x:c>
      <x:c r="G3401" s="12" t="n">
        <x:v>0</x:v>
      </x:c>
      <x:c r="H3401" s="1" t="n">
        <x:f>'Historical prices'!E3401</x:f>
        <x:v>1.05</x:v>
      </x:c>
      <x:c r="I3401" s="6" t="n">
        <x:f>'Historical prices'!D3401</x:f>
        <x:v>0.2175</x:v>
      </x:c>
      <x:c r="J3401" s="13" t="n">
        <x:f>D3401*I3401*H3401</x:f>
        <x:v>0.08541225000000001</x:v>
      </x:c>
      <x:c r="K3401" s="13" t="n">
        <x:f>E3401*I3401*H3401</x:f>
        <x:v>0.10754559375000002</x:v>
      </x:c>
      <x:c r="L3401" s="1" t="str">
        <x:f>TEXT(A3401,"mmm yyyy")</x:f>
        <x:v>Jul 2026</x:v>
      </x:c>
    </x:row>
    <x:row r="3402" ht="21" customHeight="1">
      <x:c r="A3402" s="10" t="n">
        <x:v>46219</x:v>
      </x:c>
      <x:c r="B3402" s="1" t="n">
        <x:v>9</x:v>
      </x:c>
      <x:c r="C3402" s="1" t="n">
        <x:v>6</x:v>
      </x:c>
      <x:c r="D3402" s="12" t="n">
        <x:v>0.5131666666666667</x:v>
      </x:c>
      <x:c r="E3402" s="12" t="n">
        <x:v>0.5241666666666667</x:v>
      </x:c>
      <x:c r="F3402" s="12" t="n">
        <x:v>0</x:v>
      </x:c>
      <x:c r="G3402" s="12" t="n">
        <x:v>0</x:v>
      </x:c>
      <x:c r="H3402" s="1" t="n">
        <x:f>'Historical prices'!E3402</x:f>
        <x:v>1.05</x:v>
      </x:c>
      <x:c r="I3402" s="6" t="n">
        <x:f>'Historical prices'!D3402</x:f>
        <x:v>0.1936</x:v>
      </x:c>
      <x:c r="J3402" s="13" t="n">
        <x:f>D3402*I3402*H3402</x:f>
        <x:v>0.10431652000000001</x:v>
      </x:c>
      <x:c r="K3402" s="13" t="n">
        <x:f>E3402*I3402*H3402</x:f>
        <x:v>0.1065526</x:v>
      </x:c>
      <x:c r="L3402" s="1" t="str">
        <x:f>TEXT(A3402,"mmm yyyy")</x:f>
        <x:v>Jul 2026</x:v>
      </x:c>
    </x:row>
    <x:row r="3403" ht="21" customHeight="1">
      <x:c r="A3403" s="10" t="n">
        <x:v>46219</x:v>
      </x:c>
      <x:c r="B3403" s="1" t="n">
        <x:v>9.5</x:v>
      </x:c>
      <x:c r="C3403" s="1" t="n">
        <x:v>6</x:v>
      </x:c>
      <x:c r="D3403" s="12" t="n">
        <x:v>0.4609166666666667</x:v>
      </x:c>
      <x:c r="E3403" s="12" t="n">
        <x:v>0.4709166666666667</x:v>
      </x:c>
      <x:c r="F3403" s="12" t="n">
        <x:v>0</x:v>
      </x:c>
      <x:c r="G3403" s="12" t="n">
        <x:v>0</x:v>
      </x:c>
      <x:c r="H3403" s="1" t="n">
        <x:f>'Historical prices'!E3403</x:f>
        <x:v>1.05</x:v>
      </x:c>
      <x:c r="I3403" s="6" t="n">
        <x:f>'Historical prices'!D3403</x:f>
        <x:v>0.19440000000000002</x:v>
      </x:c>
      <x:c r="J3403" s="13" t="n">
        <x:f>D3403*I3403*H3403</x:f>
        <x:v>0.09408231000000003</x:v>
      </x:c>
      <x:c r="K3403" s="13" t="n">
        <x:f>E3403*I3403*H3403</x:f>
        <x:v>0.09612351000000002</x:v>
      </x:c>
      <x:c r="L3403" s="1" t="str">
        <x:f>TEXT(A3403,"mmm yyyy")</x:f>
        <x:v>Jul 2026</x:v>
      </x:c>
    </x:row>
    <x:row r="3404" ht="21" customHeight="1">
      <x:c r="A3404" s="10" t="n">
        <x:v>46219</x:v>
      </x:c>
      <x:c r="B3404" s="1" t="n">
        <x:v>10</x:v>
      </x:c>
      <x:c r="C3404" s="1" t="n">
        <x:v>6</x:v>
      </x:c>
      <x:c r="D3404" s="12" t="n">
        <x:v>0.4285</x:v>
      </x:c>
      <x:c r="E3404" s="12" t="n">
        <x:v>0.43949999999999995</x:v>
      </x:c>
      <x:c r="F3404" s="12" t="n">
        <x:v>0</x:v>
      </x:c>
      <x:c r="G3404" s="12" t="n">
        <x:v>0</x:v>
      </x:c>
      <x:c r="H3404" s="1" t="n">
        <x:f>'Historical prices'!E3404</x:f>
        <x:v>1.05</x:v>
      </x:c>
      <x:c r="I3404" s="6" t="n">
        <x:f>'Historical prices'!D3404</x:f>
        <x:v>0.1956</x:v>
      </x:c>
      <x:c r="J3404" s="13" t="n">
        <x:f>D3404*I3404*H3404</x:f>
        <x:v>0.08800533</x:v>
      </x:c>
      <x:c r="K3404" s="13" t="n">
        <x:f>E3404*I3404*H3404</x:f>
        <x:v>0.09026450999999999</x:v>
      </x:c>
      <x:c r="L3404" s="1" t="str">
        <x:f>TEXT(A3404,"mmm yyyy")</x:f>
        <x:v>Jul 2026</x:v>
      </x:c>
    </x:row>
    <x:row r="3405" ht="21" customHeight="1">
      <x:c r="A3405" s="10" t="n">
        <x:v>46219</x:v>
      </x:c>
      <x:c r="B3405" s="1" t="n">
        <x:v>10.5</x:v>
      </x:c>
      <x:c r="C3405" s="1" t="n">
        <x:v>6</x:v>
      </x:c>
      <x:c r="D3405" s="12" t="n">
        <x:v>0.3963333333333334</x:v>
      </x:c>
      <x:c r="E3405" s="12" t="n">
        <x:v>0.40633333333333344</x:v>
      </x:c>
      <x:c r="F3405" s="12" t="n">
        <x:v>0</x:v>
      </x:c>
      <x:c r="G3405" s="12" t="n">
        <x:v>0</x:v>
      </x:c>
      <x:c r="H3405" s="1" t="n">
        <x:f>'Historical prices'!E3405</x:f>
        <x:v>1.05</x:v>
      </x:c>
      <x:c r="I3405" s="6" t="n">
        <x:f>'Historical prices'!D3405</x:f>
        <x:v>0.183</x:v>
      </x:c>
      <x:c r="J3405" s="13" t="n">
        <x:f>D3405*I3405*H3405</x:f>
        <x:v>0.07615545000000001</x:v>
      </x:c>
      <x:c r="K3405" s="13" t="n">
        <x:f>E3405*I3405*H3405</x:f>
        <x:v>0.07807695000000002</x:v>
      </x:c>
      <x:c r="L3405" s="1" t="str">
        <x:f>TEXT(A3405,"mmm yyyy")</x:f>
        <x:v>Jul 2026</x:v>
      </x:c>
    </x:row>
    <x:row r="3406" ht="21" customHeight="1">
      <x:c r="A3406" s="10" t="n">
        <x:v>46219</x:v>
      </x:c>
      <x:c r="B3406" s="1" t="n">
        <x:v>11</x:v>
      </x:c>
      <x:c r="C3406" s="1" t="n">
        <x:v>6</x:v>
      </x:c>
      <x:c r="D3406" s="12" t="n">
        <x:v>0.4073333333333333</x:v>
      </x:c>
      <x:c r="E3406" s="12" t="n">
        <x:v>0.4183333333333333</x:v>
      </x:c>
      <x:c r="F3406" s="12" t="n">
        <x:v>0</x:v>
      </x:c>
      <x:c r="G3406" s="12" t="n">
        <x:v>0</x:v>
      </x:c>
      <x:c r="H3406" s="1" t="n">
        <x:f>'Historical prices'!E3406</x:f>
        <x:v>1.05</x:v>
      </x:c>
      <x:c r="I3406" s="6" t="n">
        <x:f>'Historical prices'!D3406</x:f>
        <x:v>0.1809</x:v>
      </x:c>
      <x:c r="J3406" s="13" t="n">
        <x:f>D3406*I3406*H3406</x:f>
        <x:v>0.07737093</x:v>
      </x:c>
      <x:c r="K3406" s="13" t="n">
        <x:f>E3406*I3406*H3406</x:f>
        <x:v>0.079460325</x:v>
      </x:c>
      <x:c r="L3406" s="1" t="str">
        <x:f>TEXT(A3406,"mmm yyyy")</x:f>
        <x:v>Jul 2026</x:v>
      </x:c>
    </x:row>
    <x:row r="3407" ht="21" customHeight="1">
      <x:c r="A3407" s="10" t="n">
        <x:v>46219</x:v>
      </x:c>
      <x:c r="B3407" s="1" t="n">
        <x:v>11.5</x:v>
      </x:c>
      <x:c r="C3407" s="1" t="n">
        <x:v>6</x:v>
      </x:c>
      <x:c r="D3407" s="12" t="n">
        <x:v>0.3441666666666667</x:v>
      </x:c>
      <x:c r="E3407" s="12" t="n">
        <x:v>0.3551666666666667</x:v>
      </x:c>
      <x:c r="F3407" s="12" t="n">
        <x:v>0</x:v>
      </x:c>
      <x:c r="G3407" s="12" t="n">
        <x:v>0</x:v>
      </x:c>
      <x:c r="H3407" s="1" t="n">
        <x:f>'Historical prices'!E3407</x:f>
        <x:v>1.05</x:v>
      </x:c>
      <x:c r="I3407" s="6" t="n">
        <x:f>'Historical prices'!D3407</x:f>
        <x:v>0.17809999999999998</x:v>
      </x:c>
      <x:c r="J3407" s="13" t="n">
        <x:f>D3407*I3407*H3407</x:f>
        <x:v>0.06436088749999999</x:v>
      </x:c>
      <x:c r="K3407" s="13" t="n">
        <x:f>E3407*I3407*H3407</x:f>
        <x:v>0.0664179425</x:v>
      </x:c>
      <x:c r="L3407" s="1" t="str">
        <x:f>TEXT(A3407,"mmm yyyy")</x:f>
        <x:v>Jul 2026</x:v>
      </x:c>
    </x:row>
    <x:row r="3408" ht="21" customHeight="1">
      <x:c r="A3408" s="10" t="n">
        <x:v>46219</x:v>
      </x:c>
      <x:c r="B3408" s="1" t="n">
        <x:v>12</x:v>
      </x:c>
      <x:c r="C3408" s="1" t="n">
        <x:v>6</x:v>
      </x:c>
      <x:c r="D3408" s="12" t="n">
        <x:v>0.361</x:v>
      </x:c>
      <x:c r="E3408" s="12" t="n">
        <x:v>0.372</x:v>
      </x:c>
      <x:c r="F3408" s="12" t="n">
        <x:v>0</x:v>
      </x:c>
      <x:c r="G3408" s="12" t="n">
        <x:v>0</x:v>
      </x:c>
      <x:c r="H3408" s="1" t="n">
        <x:f>'Historical prices'!E3408</x:f>
        <x:v>1.05</x:v>
      </x:c>
      <x:c r="I3408" s="6" t="n">
        <x:f>'Historical prices'!D3408</x:f>
        <x:v>0.18309999999999998</x:v>
      </x:c>
      <x:c r="J3408" s="13" t="n">
        <x:f>D3408*I3408*H3408</x:f>
        <x:v>0.06940405499999999</x:v>
      </x:c>
      <x:c r="K3408" s="13" t="n">
        <x:f>E3408*I3408*H3408</x:f>
        <x:v>0.07151886</x:v>
      </x:c>
      <x:c r="L3408" s="1" t="str">
        <x:f>TEXT(A3408,"mmm yyyy")</x:f>
        <x:v>Jul 2026</x:v>
      </x:c>
    </x:row>
    <x:row r="3409" ht="21" customHeight="1">
      <x:c r="A3409" s="10" t="n">
        <x:v>46219</x:v>
      </x:c>
      <x:c r="B3409" s="1" t="n">
        <x:v>12.5</x:v>
      </x:c>
      <x:c r="C3409" s="1" t="n">
        <x:v>6</x:v>
      </x:c>
      <x:c r="D3409" s="12" t="n">
        <x:v>3.1576666666666666</x:v>
      </x:c>
      <x:c r="E3409" s="12" t="n">
        <x:v>0.6026666666666667</x:v>
      </x:c>
      <x:c r="F3409" s="12" t="n">
        <x:v>0</x:v>
      </x:c>
      <x:c r="G3409" s="12" t="n">
        <x:v>2.556</x:v>
      </x:c>
      <x:c r="H3409" s="1" t="n">
        <x:f>'Historical prices'!E3409</x:f>
        <x:v>1.05</x:v>
      </x:c>
      <x:c r="I3409" s="6" t="n">
        <x:f>'Historical prices'!D3409</x:f>
        <x:v>0.1766</x:v>
      </x:c>
      <x:c r="J3409" s="13" t="n">
        <x:f>D3409*I3409*H3409</x:f>
        <x:v>0.5855261300000001</x:v>
      </x:c>
      <x:c r="K3409" s="13" t="n">
        <x:f>E3409*I3409*H3409</x:f>
        <x:v>0.11175248000000002</x:v>
      </x:c>
      <x:c r="L3409" s="1" t="str">
        <x:f>TEXT(A3409,"mmm yyyy")</x:f>
        <x:v>Jul 2026</x:v>
      </x:c>
    </x:row>
    <x:row r="3410" ht="21" customHeight="1">
      <x:c r="A3410" s="10" t="n">
        <x:v>46219</x:v>
      </x:c>
      <x:c r="B3410" s="1" t="n">
        <x:v>13</x:v>
      </x:c>
      <x:c r="C3410" s="1" t="n">
        <x:v>6</x:v>
      </x:c>
      <x:c r="D3410" s="12" t="n">
        <x:v>5.232583333333333</x:v>
      </x:c>
      <x:c r="E3410" s="12" t="n">
        <x:v>0.5965833333333334</x:v>
      </x:c>
      <x:c r="F3410" s="12" t="n">
        <x:v>0</x:v>
      </x:c>
      <x:c r="G3410" s="12" t="n">
        <x:v>4.636</x:v>
      </x:c>
      <x:c r="H3410" s="1" t="n">
        <x:f>'Historical prices'!E3410</x:f>
        <x:v>1.05</x:v>
      </x:c>
      <x:c r="I3410" s="6" t="n">
        <x:f>'Historical prices'!D3410</x:f>
        <x:v>0.16820000000000002</x:v>
      </x:c>
      <x:c r="J3410" s="13" t="n">
        <x:f>D3410*I3410*H3410</x:f>
        <x:v>0.9241265425000001</x:v>
      </x:c>
      <x:c r="K3410" s="13" t="n">
        <x:f>E3410*I3410*H3410</x:f>
        <x:v>0.10536258250000002</x:v>
      </x:c>
      <x:c r="L3410" s="1" t="str">
        <x:f>TEXT(A3410,"mmm yyyy")</x:f>
        <x:v>Jul 2026</x:v>
      </x:c>
    </x:row>
    <x:row r="3411" ht="21" customHeight="1">
      <x:c r="A3411" s="10" t="n">
        <x:v>46219</x:v>
      </x:c>
      <x:c r="B3411" s="1" t="n">
        <x:v>13.5</x:v>
      </x:c>
      <x:c r="C3411" s="1" t="n">
        <x:v>6</x:v>
      </x:c>
      <x:c r="D3411" s="12" t="n">
        <x:v>5.073833333333333</x:v>
      </x:c>
      <x:c r="E3411" s="12" t="n">
        <x:v>0.5478333333333334</x:v>
      </x:c>
      <x:c r="F3411" s="12" t="n">
        <x:v>0</x:v>
      </x:c>
      <x:c r="G3411" s="12" t="n">
        <x:v>4.526</x:v>
      </x:c>
      <x:c r="H3411" s="1" t="n">
        <x:f>'Historical prices'!E3411</x:f>
        <x:v>1.05</x:v>
      </x:c>
      <x:c r="I3411" s="6" t="n">
        <x:f>'Historical prices'!D3411</x:f>
        <x:v>0.16820000000000002</x:v>
      </x:c>
      <x:c r="J3411" s="13" t="n">
        <x:f>D3411*I3411*H3411</x:f>
        <x:v>0.8960897050000001</x:v>
      </x:c>
      <x:c r="K3411" s="13" t="n">
        <x:f>E3411*I3411*H3411</x:f>
        <x:v>0.09675284500000003</x:v>
      </x:c>
      <x:c r="L3411" s="1" t="str">
        <x:f>TEXT(A3411,"mmm yyyy")</x:f>
        <x:v>Jul 2026</x:v>
      </x:c>
    </x:row>
    <x:row r="3412" ht="21" customHeight="1">
      <x:c r="A3412" s="10" t="n">
        <x:v>46219</x:v>
      </x:c>
      <x:c r="B3412" s="1" t="n">
        <x:v>14</x:v>
      </x:c>
      <x:c r="C3412" s="1" t="n">
        <x:v>6</x:v>
      </x:c>
      <x:c r="D3412" s="12" t="n">
        <x:v>1.5132499999999998</x:v>
      </x:c>
      <x:c r="E3412" s="12" t="n">
        <x:v>0.39625</x:v>
      </x:c>
      <x:c r="F3412" s="12" t="n">
        <x:v>0</x:v>
      </x:c>
      <x:c r="G3412" s="12" t="n">
        <x:v>1.1210000000000002</x:v>
      </x:c>
      <x:c r="H3412" s="1" t="n">
        <x:f>'Historical prices'!E3412</x:f>
        <x:v>1.05</x:v>
      </x:c>
      <x:c r="I3412" s="6" t="n">
        <x:f>'Historical prices'!D3412</x:f>
        <x:v>0.17800000000000002</x:v>
      </x:c>
      <x:c r="J3412" s="13" t="n">
        <x:f>D3412*I3412*H3412</x:f>
        <x:v>0.282826425</x:v>
      </x:c>
      <x:c r="K3412" s="13" t="n">
        <x:f>E3412*I3412*H3412</x:f>
        <x:v>0.07405912500000002</x:v>
      </x:c>
      <x:c r="L3412" s="1" t="str">
        <x:f>TEXT(A3412,"mmm yyyy")</x:f>
        <x:v>Jul 2026</x:v>
      </x:c>
    </x:row>
    <x:row r="3413" ht="21" customHeight="1">
      <x:c r="A3413" s="10" t="n">
        <x:v>46219</x:v>
      </x:c>
      <x:c r="B3413" s="1" t="n">
        <x:v>14.5</x:v>
      </x:c>
      <x:c r="C3413" s="1" t="n">
        <x:v>6</x:v>
      </x:c>
      <x:c r="D3413" s="12" t="n">
        <x:v>0.311</x:v>
      </x:c>
      <x:c r="E3413" s="12" t="n">
        <x:v>0.32099999999999995</x:v>
      </x:c>
      <x:c r="F3413" s="12" t="n">
        <x:v>0</x:v>
      </x:c>
      <x:c r="G3413" s="12" t="n">
        <x:v>0</x:v>
      </x:c>
      <x:c r="H3413" s="1" t="n">
        <x:f>'Historical prices'!E3413</x:f>
        <x:v>1.05</x:v>
      </x:c>
      <x:c r="I3413" s="6" t="n">
        <x:f>'Historical prices'!D3413</x:f>
        <x:v>0.1935</x:v>
      </x:c>
      <x:c r="J3413" s="13" t="n">
        <x:f>D3413*I3413*H3413</x:f>
        <x:v>0.063187425</x:v>
      </x:c>
      <x:c r="K3413" s="13" t="n">
        <x:f>E3413*I3413*H3413</x:f>
        <x:v>0.065219175</x:v>
      </x:c>
      <x:c r="L3413" s="1" t="str">
        <x:f>TEXT(A3413,"mmm yyyy")</x:f>
        <x:v>Jul 2026</x:v>
      </x:c>
    </x:row>
    <x:row r="3414" ht="21" customHeight="1">
      <x:c r="A3414" s="10" t="n">
        <x:v>46219</x:v>
      </x:c>
      <x:c r="B3414" s="1" t="n">
        <x:v>15</x:v>
      </x:c>
      <x:c r="C3414" s="1" t="n">
        <x:v>6</x:v>
      </x:c>
      <x:c r="D3414" s="12" t="n">
        <x:v>0.36883333333333335</x:v>
      </x:c>
      <x:c r="E3414" s="12" t="n">
        <x:v>0.37983333333333336</x:v>
      </x:c>
      <x:c r="F3414" s="12" t="n">
        <x:v>0</x:v>
      </x:c>
      <x:c r="G3414" s="12" t="n">
        <x:v>0</x:v>
      </x:c>
      <x:c r="H3414" s="1" t="n">
        <x:f>'Historical prices'!E3414</x:f>
        <x:v>1.05</x:v>
      </x:c>
      <x:c r="I3414" s="6" t="n">
        <x:f>'Historical prices'!D3414</x:f>
        <x:v>0.1997</x:v>
      </x:c>
      <x:c r="J3414" s="13" t="n">
        <x:f>D3414*I3414*H3414</x:f>
        <x:v>0.0773388175</x:v>
      </x:c>
      <x:c r="K3414" s="13" t="n">
        <x:f>E3414*I3414*H3414</x:f>
        <x:v>0.0796453525</x:v>
      </x:c>
      <x:c r="L3414" s="1" t="str">
        <x:f>TEXT(A3414,"mmm yyyy")</x:f>
        <x:v>Jul 2026</x:v>
      </x:c>
    </x:row>
    <x:row r="3415" ht="21" customHeight="1">
      <x:c r="A3415" s="10" t="n">
        <x:v>46219</x:v>
      </x:c>
      <x:c r="B3415" s="1" t="n">
        <x:v>15.5</x:v>
      </x:c>
      <x:c r="C3415" s="1" t="n">
        <x:v>6</x:v>
      </x:c>
      <x:c r="D3415" s="12" t="n">
        <x:v>0.39775000000000005</x:v>
      </x:c>
      <x:c r="E3415" s="12" t="n">
        <x:v>0.41075000000000006</x:v>
      </x:c>
      <x:c r="F3415" s="12" t="n">
        <x:v>0</x:v>
      </x:c>
      <x:c r="G3415" s="12" t="n">
        <x:v>0</x:v>
      </x:c>
      <x:c r="H3415" s="1" t="n">
        <x:f>'Historical prices'!E3415</x:f>
        <x:v>1.05</x:v>
      </x:c>
      <x:c r="I3415" s="6" t="n">
        <x:f>'Historical prices'!D3415</x:f>
        <x:v>0.1997</x:v>
      </x:c>
      <x:c r="J3415" s="13" t="n">
        <x:f>D3415*I3415*H3415</x:f>
        <x:v>0.08340220875000001</x:v>
      </x:c>
      <x:c r="K3415" s="13" t="n">
        <x:f>E3415*I3415*H3415</x:f>
        <x:v>0.08612811375000001</x:v>
      </x:c>
      <x:c r="L3415" s="1" t="str">
        <x:f>TEXT(A3415,"mmm yyyy")</x:f>
        <x:v>Jul 2026</x:v>
      </x:c>
    </x:row>
    <x:row r="3416" ht="21" customHeight="1">
      <x:c r="A3416" s="10" t="n">
        <x:v>46219</x:v>
      </x:c>
      <x:c r="B3416" s="1" t="n">
        <x:v>16</x:v>
      </x:c>
      <x:c r="C3416" s="1" t="n">
        <x:v>6</x:v>
      </x:c>
      <x:c r="D3416" s="12" t="n">
        <x:v>0.073</x:v>
      </x:c>
      <x:c r="E3416" s="12" t="n">
        <x:v>0.51325</x:v>
      </x:c>
      <x:c r="F3416" s="12" t="n">
        <x:v>0.4379166666666667</x:v>
      </x:c>
      <x:c r="G3416" s="12" t="n">
        <x:v>0</x:v>
      </x:c>
      <x:c r="H3416" s="1" t="n">
        <x:f>'Historical prices'!E3416</x:f>
        <x:v>1.05</x:v>
      </x:c>
      <x:c r="I3416" s="6" t="n">
        <x:f>'Historical prices'!D3416</x:f>
        <x:v>0.3386</x:v>
      </x:c>
      <x:c r="J3416" s="13" t="n">
        <x:f>D3416*I3416*H3416</x:f>
        <x:v>0.025953689999999998</x:v>
      </x:c>
      <x:c r="K3416" s="13" t="n">
        <x:f>E3416*I3416*H3416</x:f>
        <x:v>0.18247577250000002</x:v>
      </x:c>
      <x:c r="L3416" s="1" t="str">
        <x:f>TEXT(A3416,"mmm yyyy")</x:f>
        <x:v>Jul 2026</x:v>
      </x:c>
    </x:row>
    <x:row r="3417" ht="21" customHeight="1">
      <x:c r="A3417" s="10" t="n">
        <x:v>46219</x:v>
      </x:c>
      <x:c r="B3417" s="1" t="n">
        <x:v>16.5</x:v>
      </x:c>
      <x:c r="C3417" s="1" t="n">
        <x:v>6</x:v>
      </x:c>
      <x:c r="D3417" s="12" t="n">
        <x:v>0</x:v>
      </x:c>
      <x:c r="E3417" s="12" t="n">
        <x:v>0.45158333333333334</x:v>
      </x:c>
      <x:c r="F3417" s="12" t="n">
        <x:v>0.45091666666666674</x:v>
      </x:c>
      <x:c r="G3417" s="12" t="n">
        <x:v>0</x:v>
      </x:c>
      <x:c r="H3417" s="1" t="n">
        <x:f>'Historical prices'!E3417</x:f>
        <x:v>1.05</x:v>
      </x:c>
      <x:c r="I3417" s="6" t="n">
        <x:f>'Historical prices'!D3417</x:f>
        <x:v>0.326</x:v>
      </x:c>
      <x:c r="J3417" s="13" t="n">
        <x:f>D3417*I3417*H3417</x:f>
        <x:v>0</x:v>
      </x:c>
      <x:c r="K3417" s="13" t="n">
        <x:f>E3417*I3417*H3417</x:f>
        <x:v>0.154576975</x:v>
      </x:c>
      <x:c r="L3417" s="1" t="str">
        <x:f>TEXT(A3417,"mmm yyyy")</x:f>
        <x:v>Jul 2026</x:v>
      </x:c>
    </x:row>
    <x:row r="3418" ht="21" customHeight="1">
      <x:c r="A3418" s="10" t="n">
        <x:v>46219</x:v>
      </x:c>
      <x:c r="B3418" s="1" t="n">
        <x:v>17</x:v>
      </x:c>
      <x:c r="C3418" s="1" t="n">
        <x:v>6</x:v>
      </x:c>
      <x:c r="D3418" s="12" t="n">
        <x:v>0</x:v>
      </x:c>
      <x:c r="E3418" s="12" t="n">
        <x:v>1.0045000000000002</x:v>
      </x:c>
      <x:c r="F3418" s="12" t="n">
        <x:v>1.0044166666666667</x:v>
      </x:c>
      <x:c r="G3418" s="12" t="n">
        <x:v>0</x:v>
      </x:c>
      <x:c r="H3418" s="1" t="n">
        <x:f>'Historical prices'!E3418</x:f>
        <x:v>1.05</x:v>
      </x:c>
      <x:c r="I3418" s="6" t="n">
        <x:f>'Historical prices'!D3418</x:f>
        <x:v>0.37770000000000004</x:v>
      </x:c>
      <x:c r="J3418" s="13" t="n">
        <x:f>D3418*I3418*H3418</x:f>
        <x:v>0</x:v>
      </x:c>
      <x:c r="K3418" s="13" t="n">
        <x:f>E3418*I3418*H3418</x:f>
        <x:v>0.3983696325000001</x:v>
      </x:c>
      <x:c r="L3418" s="1" t="str">
        <x:f>TEXT(A3418,"mmm yyyy")</x:f>
        <x:v>Jul 2026</x:v>
      </x:c>
    </x:row>
    <x:row r="3419" ht="21" customHeight="1">
      <x:c r="A3419" s="10" t="n">
        <x:v>46219</x:v>
      </x:c>
      <x:c r="B3419" s="1" t="n">
        <x:v>17.5</x:v>
      </x:c>
      <x:c r="C3419" s="1" t="n">
        <x:v>6</x:v>
      </x:c>
      <x:c r="D3419" s="12" t="n">
        <x:v>0</x:v>
      </x:c>
      <x:c r="E3419" s="12" t="n">
        <x:v>0.9444166666666668</x:v>
      </x:c>
      <x:c r="F3419" s="12" t="n">
        <x:v>0.9442500000000001</x:v>
      </x:c>
      <x:c r="G3419" s="12" t="n">
        <x:v>0</x:v>
      </x:c>
      <x:c r="H3419" s="1" t="n">
        <x:f>'Historical prices'!E3419</x:f>
        <x:v>1.05</x:v>
      </x:c>
      <x:c r="I3419" s="6" t="n">
        <x:f>'Historical prices'!D3419</x:f>
        <x:v>0.41</x:v>
      </x:c>
      <x:c r="J3419" s="13" t="n">
        <x:f>D3419*I3419*H3419</x:f>
        <x:v>0</x:v>
      </x:c>
      <x:c r="K3419" s="13" t="n">
        <x:f>E3419*I3419*H3419</x:f>
        <x:v>0.406571375</x:v>
      </x:c>
      <x:c r="L3419" s="1" t="str">
        <x:f>TEXT(A3419,"mmm yyyy")</x:f>
        <x:v>Jul 2026</x:v>
      </x:c>
    </x:row>
    <x:row r="3420" ht="21" customHeight="1">
      <x:c r="A3420" s="10" t="n">
        <x:v>46219</x:v>
      </x:c>
      <x:c r="B3420" s="1" t="n">
        <x:v>18</x:v>
      </x:c>
      <x:c r="C3420" s="1" t="n">
        <x:v>6</x:v>
      </x:c>
      <x:c r="D3420" s="12" t="n">
        <x:v>0</x:v>
      </x:c>
      <x:c r="E3420" s="12" t="n">
        <x:v>0.7869166666666667</x:v>
      </x:c>
      <x:c r="F3420" s="12" t="n">
        <x:v>0.7861666666666668</x:v>
      </x:c>
      <x:c r="G3420" s="12" t="n">
        <x:v>0</x:v>
      </x:c>
      <x:c r="H3420" s="1" t="n">
        <x:f>'Historical prices'!E3420</x:f>
        <x:v>1.05</x:v>
      </x:c>
      <x:c r="I3420" s="6" t="n">
        <x:f>'Historical prices'!D3420</x:f>
        <x:v>0.4571</x:v>
      </x:c>
      <x:c r="J3420" s="13" t="n">
        <x:f>D3420*I3420*H3420</x:f>
        <x:v>0</x:v>
      </x:c>
      <x:c r="K3420" s="13" t="n">
        <x:f>E3420*I3420*H3420</x:f>
        <x:v>0.37768458875000005</x:v>
      </x:c>
      <x:c r="L3420" s="1" t="str">
        <x:f>TEXT(A3420,"mmm yyyy")</x:f>
        <x:v>Jul 2026</x:v>
      </x:c>
    </x:row>
    <x:row r="3421" ht="21" customHeight="1">
      <x:c r="A3421" s="10" t="n">
        <x:v>46219</x:v>
      </x:c>
      <x:c r="B3421" s="1" t="n">
        <x:v>18.5</x:v>
      </x:c>
      <x:c r="C3421" s="1" t="n">
        <x:v>6</x:v>
      </x:c>
      <x:c r="D3421" s="12" t="n">
        <x:v>0</x:v>
      </x:c>
      <x:c r="E3421" s="12" t="n">
        <x:v>1.0355833333333333</x:v>
      </x:c>
      <x:c r="F3421" s="12" t="n">
        <x:v>1.0354166666666667</x:v>
      </x:c>
      <x:c r="G3421" s="12" t="n">
        <x:v>0</x:v>
      </x:c>
      <x:c r="H3421" s="1" t="n">
        <x:f>'Historical prices'!E3421</x:f>
        <x:v>1.05</x:v>
      </x:c>
      <x:c r="I3421" s="6" t="n">
        <x:f>'Historical prices'!D3421</x:f>
        <x:v>0.4941</x:v>
      </x:c>
      <x:c r="J3421" s="13" t="n">
        <x:f>D3421*I3421*H3421</x:f>
        <x:v>0</x:v>
      </x:c>
      <x:c r="K3421" s="13" t="n">
        <x:f>E3421*I3421*H3421</x:f>
        <x:v>0.53726581125</x:v>
      </x:c>
      <x:c r="L3421" s="1" t="str">
        <x:f>TEXT(A3421,"mmm yyyy")</x:f>
        <x:v>Jul 2026</x:v>
      </x:c>
    </x:row>
    <x:row r="3422" ht="21" customHeight="1">
      <x:c r="A3422" s="10" t="n">
        <x:v>46219</x:v>
      </x:c>
      <x:c r="B3422" s="1" t="n">
        <x:v>19</x:v>
      </x:c>
      <x:c r="C3422" s="1" t="n">
        <x:v>6</x:v>
      </x:c>
      <x:c r="D3422" s="12" t="n">
        <x:v>0</x:v>
      </x:c>
      <x:c r="E3422" s="12" t="n">
        <x:v>0.6700833333333333</x:v>
      </x:c>
      <x:c r="F3422" s="12" t="n">
        <x:v>0.6696666666666666</x:v>
      </x:c>
      <x:c r="G3422" s="12" t="n">
        <x:v>0</x:v>
      </x:c>
      <x:c r="H3422" s="1" t="n">
        <x:f>'Historical prices'!E3422</x:f>
        <x:v>1.05</x:v>
      </x:c>
      <x:c r="I3422" s="6" t="n">
        <x:f>'Historical prices'!D3422</x:f>
        <x:v>0.38159999999999994</x:v>
      </x:c>
      <x:c r="J3422" s="13" t="n">
        <x:f>D3422*I3422*H3422</x:f>
        <x:v>0</x:v>
      </x:c>
      <x:c r="K3422" s="13" t="n">
        <x:f>E3422*I3422*H3422</x:f>
        <x:v>0.2684889899999999</x:v>
      </x:c>
      <x:c r="L3422" s="1" t="str">
        <x:f>TEXT(A3422,"mmm yyyy")</x:f>
        <x:v>Jul 2026</x:v>
      </x:c>
    </x:row>
    <x:row r="3423" ht="21" customHeight="1">
      <x:c r="A3423" s="10" t="n">
        <x:v>46219</x:v>
      </x:c>
      <x:c r="B3423" s="1" t="n">
        <x:v>19.5</x:v>
      </x:c>
      <x:c r="C3423" s="1" t="n">
        <x:v>6</x:v>
      </x:c>
      <x:c r="D3423" s="12" t="n">
        <x:v>0</x:v>
      </x:c>
      <x:c r="E3423" s="12" t="n">
        <x:v>0.751</x:v>
      </x:c>
      <x:c r="F3423" s="12" t="n">
        <x:v>0.7506666666666667</x:v>
      </x:c>
      <x:c r="G3423" s="12" t="n">
        <x:v>0</x:v>
      </x:c>
      <x:c r="H3423" s="1" t="n">
        <x:f>'Historical prices'!E3423</x:f>
        <x:v>1.05</x:v>
      </x:c>
      <x:c r="I3423" s="6" t="n">
        <x:f>'Historical prices'!D3423</x:f>
        <x:v>0.37</x:v>
      </x:c>
      <x:c r="J3423" s="13" t="n">
        <x:f>D3423*I3423*H3423</x:f>
        <x:v>0</x:v>
      </x:c>
      <x:c r="K3423" s="13" t="n">
        <x:f>E3423*I3423*H3423</x:f>
        <x:v>0.2917635</x:v>
      </x:c>
      <x:c r="L3423" s="1" t="str">
        <x:f>TEXT(A3423,"mmm yyyy")</x:f>
        <x:v>Jul 2026</x:v>
      </x:c>
    </x:row>
    <x:row r="3424" ht="21" customHeight="1">
      <x:c r="A3424" s="10" t="n">
        <x:v>46219</x:v>
      </x:c>
      <x:c r="B3424" s="1" t="n">
        <x:v>20</x:v>
      </x:c>
      <x:c r="C3424" s="1" t="n">
        <x:v>6</x:v>
      </x:c>
      <x:c r="D3424" s="12" t="n">
        <x:v>0</x:v>
      </x:c>
      <x:c r="E3424" s="12" t="n">
        <x:v>0.46108333333333335</x:v>
      </x:c>
      <x:c r="F3424" s="12" t="n">
        <x:v>0.46075</x:v>
      </x:c>
      <x:c r="G3424" s="12" t="n">
        <x:v>0</x:v>
      </x:c>
      <x:c r="H3424" s="1" t="n">
        <x:f>'Historical prices'!E3424</x:f>
        <x:v>1.05</x:v>
      </x:c>
      <x:c r="I3424" s="6" t="n">
        <x:f>'Historical prices'!D3424</x:f>
        <x:v>0.36939999999999995</x:v>
      </x:c>
      <x:c r="J3424" s="13" t="n">
        <x:f>D3424*I3424*H3424</x:f>
        <x:v>0</x:v>
      </x:c>
      <x:c r="K3424" s="13" t="n">
        <x:f>E3424*I3424*H3424</x:f>
        <x:v>0.1788403925</x:v>
      </x:c>
      <x:c r="L3424" s="1" t="str">
        <x:f>TEXT(A3424,"mmm yyyy")</x:f>
        <x:v>Jul 2026</x:v>
      </x:c>
    </x:row>
    <x:row r="3425" ht="21" customHeight="1">
      <x:c r="A3425" s="10" t="n">
        <x:v>46219</x:v>
      </x:c>
      <x:c r="B3425" s="1" t="n">
        <x:v>20.5</x:v>
      </x:c>
      <x:c r="C3425" s="1" t="n">
        <x:v>6</x:v>
      </x:c>
      <x:c r="D3425" s="12" t="n">
        <x:v>0</x:v>
      </x:c>
      <x:c r="E3425" s="12" t="n">
        <x:v>0.6039166666666667</x:v>
      </x:c>
      <x:c r="F3425" s="12" t="n">
        <x:v>0.6038333333333333</x:v>
      </x:c>
      <x:c r="G3425" s="12" t="n">
        <x:v>0</x:v>
      </x:c>
      <x:c r="H3425" s="1" t="n">
        <x:f>'Historical prices'!E3425</x:f>
        <x:v>1.05</x:v>
      </x:c>
      <x:c r="I3425" s="6" t="n">
        <x:f>'Historical prices'!D3425</x:f>
        <x:v>0.36950000000000005</x:v>
      </x:c>
      <x:c r="J3425" s="13" t="n">
        <x:f>D3425*I3425*H3425</x:f>
        <x:v>0</x:v>
      </x:c>
      <x:c r="K3425" s="13" t="n">
        <x:f>E3425*I3425*H3425</x:f>
        <x:v>0.23430456875000003</x:v>
      </x:c>
      <x:c r="L3425" s="1" t="str">
        <x:f>TEXT(A3425,"mmm yyyy")</x:f>
        <x:v>Jul 2026</x:v>
      </x:c>
    </x:row>
    <x:row r="3426" ht="21" customHeight="1">
      <x:c r="A3426" s="10" t="n">
        <x:v>46219</x:v>
      </x:c>
      <x:c r="B3426" s="1" t="n">
        <x:v>21</x:v>
      </x:c>
      <x:c r="C3426" s="1" t="n">
        <x:v>6</x:v>
      </x:c>
      <x:c r="D3426" s="12" t="n">
        <x:v>0</x:v>
      </x:c>
      <x:c r="E3426" s="12" t="n">
        <x:v>0.5758333333333333</x:v>
      </x:c>
      <x:c r="F3426" s="12" t="n">
        <x:v>0.57575</x:v>
      </x:c>
      <x:c r="G3426" s="12" t="n">
        <x:v>0</x:v>
      </x:c>
      <x:c r="H3426" s="1" t="n">
        <x:f>'Historical prices'!E3426</x:f>
        <x:v>1.05</x:v>
      </x:c>
      <x:c r="I3426" s="6" t="n">
        <x:f>'Historical prices'!D3426</x:f>
        <x:v>0.35359999999999997</x:v>
      </x:c>
      <x:c r="J3426" s="13" t="n">
        <x:f>D3426*I3426*H3426</x:f>
        <x:v>0</x:v>
      </x:c>
      <x:c r="K3426" s="13" t="n">
        <x:f>E3426*I3426*H3426</x:f>
        <x:v>0.21379539999999997</x:v>
      </x:c>
      <x:c r="L3426" s="1" t="str">
        <x:f>TEXT(A3426,"mmm yyyy")</x:f>
        <x:v>Jul 2026</x:v>
      </x:c>
    </x:row>
    <x:row r="3427" ht="21" customHeight="1">
      <x:c r="A3427" s="10" t="n">
        <x:v>46219</x:v>
      </x:c>
      <x:c r="B3427" s="1" t="n">
        <x:v>21.5</x:v>
      </x:c>
      <x:c r="C3427" s="1" t="n">
        <x:v>6</x:v>
      </x:c>
      <x:c r="D3427" s="12" t="n">
        <x:v>0</x:v>
      </x:c>
      <x:c r="E3427" s="12" t="n">
        <x:v>0.8517499999999999</x:v>
      </x:c>
      <x:c r="F3427" s="12" t="n">
        <x:v>0.8515</x:v>
      </x:c>
      <x:c r="G3427" s="12" t="n">
        <x:v>0</x:v>
      </x:c>
      <x:c r="H3427" s="1" t="n">
        <x:f>'Historical prices'!E3427</x:f>
        <x:v>1.05</x:v>
      </x:c>
      <x:c r="I3427" s="6" t="n">
        <x:f>'Historical prices'!D3427</x:f>
        <x:v>0.3362</x:v>
      </x:c>
      <x:c r="J3427" s="13" t="n">
        <x:f>D3427*I3427*H3427</x:f>
        <x:v>0</x:v>
      </x:c>
      <x:c r="K3427" s="13" t="n">
        <x:f>E3427*I3427*H3427</x:f>
        <x:v>0.3006762675</x:v>
      </x:c>
      <x:c r="L3427" s="1" t="str">
        <x:f>TEXT(A3427,"mmm yyyy")</x:f>
        <x:v>Jul 2026</x:v>
      </x:c>
    </x:row>
    <x:row r="3428" ht="21" customHeight="1">
      <x:c r="A3428" s="10" t="n">
        <x:v>46219</x:v>
      </x:c>
      <x:c r="B3428" s="1" t="n">
        <x:v>22</x:v>
      </x:c>
      <x:c r="C3428" s="1" t="n">
        <x:v>6</x:v>
      </x:c>
      <x:c r="D3428" s="12" t="n">
        <x:v>0</x:v>
      </x:c>
      <x:c r="E3428" s="12" t="n">
        <x:v>0.4305000000000001</x:v>
      </x:c>
      <x:c r="F3428" s="12" t="n">
        <x:v>0.4248333333333333</x:v>
      </x:c>
      <x:c r="G3428" s="12" t="n">
        <x:v>0</x:v>
      </x:c>
      <x:c r="H3428" s="1" t="n">
        <x:f>'Historical prices'!E3428</x:f>
        <x:v>1.05</x:v>
      </x:c>
      <x:c r="I3428" s="6" t="n">
        <x:f>'Historical prices'!D3428</x:f>
        <x:v>0.3236</x:v>
      </x:c>
      <x:c r="J3428" s="13" t="n">
        <x:f>D3428*I3428*H3428</x:f>
        <x:v>0</x:v>
      </x:c>
      <x:c r="K3428" s="13" t="n">
        <x:f>E3428*I3428*H3428</x:f>
        <x:v>0.14627529000000006</x:v>
      </x:c>
      <x:c r="L3428" s="1" t="str">
        <x:f>TEXT(A3428,"mmm yyyy")</x:f>
        <x:v>Jul 2026</x:v>
      </x:c>
    </x:row>
    <x:row r="3429" ht="21" customHeight="1">
      <x:c r="A3429" s="10" t="n">
        <x:v>46219</x:v>
      </x:c>
      <x:c r="B3429" s="1" t="n">
        <x:v>22.5</x:v>
      </x:c>
      <x:c r="C3429" s="1" t="n">
        <x:v>6</x:v>
      </x:c>
      <x:c r="D3429" s="12" t="n">
        <x:v>0</x:v>
      </x:c>
      <x:c r="E3429" s="12" t="n">
        <x:v>0.47158333333333335</x:v>
      </x:c>
      <x:c r="F3429" s="12" t="n">
        <x:v>0.471</x:v>
      </x:c>
      <x:c r="G3429" s="12" t="n">
        <x:v>0</x:v>
      </x:c>
      <x:c r="H3429" s="1" t="n">
        <x:f>'Historical prices'!E3429</x:f>
        <x:v>1.05</x:v>
      </x:c>
      <x:c r="I3429" s="6" t="n">
        <x:f>'Historical prices'!D3429</x:f>
        <x:v>0.2956</x:v>
      </x:c>
      <x:c r="J3429" s="13" t="n">
        <x:f>D3429*I3429*H3429</x:f>
        <x:v>0</x:v>
      </x:c>
      <x:c r="K3429" s="13" t="n">
        <x:f>E3429*I3429*H3429</x:f>
        <x:v>0.146370035</x:v>
      </x:c>
      <x:c r="L3429" s="1" t="str">
        <x:f>TEXT(A3429,"mmm yyyy")</x:f>
        <x:v>Jul 2026</x:v>
      </x:c>
    </x:row>
    <x:row r="3430" ht="21" customHeight="1">
      <x:c r="A3430" s="10" t="n">
        <x:v>46219</x:v>
      </x:c>
      <x:c r="B3430" s="1" t="n">
        <x:v>23</x:v>
      </x:c>
      <x:c r="C3430" s="1" t="n">
        <x:v>6</x:v>
      </x:c>
      <x:c r="D3430" s="12" t="n">
        <x:v>0</x:v>
      </x:c>
      <x:c r="E3430" s="12" t="n">
        <x:v>0.39366666666666666</x:v>
      </x:c>
      <x:c r="F3430" s="12" t="n">
        <x:v>0.39366666666666666</x:v>
      </x:c>
      <x:c r="G3430" s="12" t="n">
        <x:v>0</x:v>
      </x:c>
      <x:c r="H3430" s="1" t="n">
        <x:f>'Historical prices'!E3430</x:f>
        <x:v>1.05</x:v>
      </x:c>
      <x:c r="I3430" s="6" t="n">
        <x:f>'Historical prices'!D3430</x:f>
        <x:v>0.2753</x:v>
      </x:c>
      <x:c r="J3430" s="13" t="n">
        <x:f>D3430*I3430*H3430</x:f>
        <x:v>0</x:v>
      </x:c>
      <x:c r="K3430" s="13" t="n">
        <x:f>E3430*I3430*H3430</x:f>
        <x:v>0.113795255</x:v>
      </x:c>
      <x:c r="L3430" s="1" t="str">
        <x:f>TEXT(A3430,"mmm yyyy")</x:f>
        <x:v>Jul 2026</x:v>
      </x:c>
    </x:row>
    <x:row r="3431" ht="21" customHeight="1">
      <x:c r="A3431" s="10" t="n">
        <x:v>46219</x:v>
      </x:c>
      <x:c r="B3431" s="1" t="n">
        <x:v>23.5</x:v>
      </x:c>
      <x:c r="C3431" s="1" t="n">
        <x:v>6</x:v>
      </x:c>
      <x:c r="D3431" s="12" t="n">
        <x:v>0</x:v>
      </x:c>
      <x:c r="E3431" s="12" t="n">
        <x:v>0.36883333333333335</x:v>
      </x:c>
      <x:c r="F3431" s="12" t="n">
        <x:v>0.36875</x:v>
      </x:c>
      <x:c r="G3431" s="12" t="n">
        <x:v>0</x:v>
      </x:c>
      <x:c r="H3431" s="1" t="n">
        <x:f>'Historical prices'!E3431</x:f>
        <x:v>1.05</x:v>
      </x:c>
      <x:c r="I3431" s="6" t="n">
        <x:f>'Historical prices'!D3431</x:f>
        <x:v>0.2747</x:v>
      </x:c>
      <x:c r="J3431" s="13" t="n">
        <x:f>D3431*I3431*H3431</x:f>
        <x:v>0</x:v>
      </x:c>
      <x:c r="K3431" s="13" t="n">
        <x:f>E3431*I3431*H3431</x:f>
        <x:v>0.1063844425</x:v>
      </x:c>
      <x:c r="L3431" s="1" t="str">
        <x:f>TEXT(A3431,"mmm yyyy")</x:f>
        <x:v>Jul 2026</x:v>
      </x:c>
    </x:row>
    <x:row r="3432" ht="21" customHeight="1">
      <x:c r="A3432" s="10" t="n">
        <x:v>46220</x:v>
      </x:c>
      <x:c r="B3432" s="1" t="n">
        <x:v>0</x:v>
      </x:c>
      <x:c r="C3432" s="1" t="n">
        <x:v>6</x:v>
      </x:c>
      <x:c r="D3432" s="12" t="n">
        <x:v>0</x:v>
      </x:c>
      <x:c r="E3432" s="12" t="n">
        <x:v>0.35891666666666666</x:v>
      </x:c>
      <x:c r="F3432" s="12" t="n">
        <x:v>0.3586666666666667</x:v>
      </x:c>
      <x:c r="G3432" s="12" t="n">
        <x:v>0</x:v>
      </x:c>
      <x:c r="H3432" s="1" t="n">
        <x:f>'Historical prices'!E3432</x:f>
        <x:v>1.05</x:v>
      </x:c>
      <x:c r="I3432" s="6" t="n">
        <x:f>'Historical prices'!D3432</x:f>
        <x:v>0.2522</x:v>
      </x:c>
      <x:c r="J3432" s="13" t="n">
        <x:f>D3432*I3432*H3432</x:f>
        <x:v>0</x:v>
      </x:c>
      <x:c r="K3432" s="13" t="n">
        <x:f>E3432*I3432*H3432</x:f>
        <x:v>0.0950447225</x:v>
      </x:c>
      <x:c r="L3432" s="1" t="str">
        <x:f>TEXT(A3432,"mmm yyyy")</x:f>
        <x:v>Jul 2026</x:v>
      </x:c>
    </x:row>
    <x:row r="3433" ht="21" customHeight="1">
      <x:c r="A3433" s="10" t="n">
        <x:v>46220</x:v>
      </x:c>
      <x:c r="B3433" s="1" t="n">
        <x:v>0.5</x:v>
      </x:c>
      <x:c r="C3433" s="1" t="n">
        <x:v>6</x:v>
      </x:c>
      <x:c r="D3433" s="12" t="n">
        <x:v>0</x:v>
      </x:c>
      <x:c r="E3433" s="12" t="n">
        <x:v>0.33125</x:v>
      </x:c>
      <x:c r="F3433" s="12" t="n">
        <x:v>0.32775</x:v>
      </x:c>
      <x:c r="G3433" s="12" t="n">
        <x:v>0</x:v>
      </x:c>
      <x:c r="H3433" s="1" t="n">
        <x:f>'Historical prices'!E3433</x:f>
        <x:v>1.05</x:v>
      </x:c>
      <x:c r="I3433" s="6" t="n">
        <x:f>'Historical prices'!D3433</x:f>
        <x:v>0.2484</x:v>
      </x:c>
      <x:c r="J3433" s="13" t="n">
        <x:f>D3433*I3433*H3433</x:f>
        <x:v>0</x:v>
      </x:c>
      <x:c r="K3433" s="13" t="n">
        <x:f>E3433*I3433*H3433</x:f>
        <x:v>0.086396625</x:v>
      </x:c>
      <x:c r="L3433" s="1" t="str">
        <x:f>TEXT(A3433,"mmm yyyy")</x:f>
        <x:v>Jul 2026</x:v>
      </x:c>
    </x:row>
    <x:row r="3434" ht="21" customHeight="1">
      <x:c r="A3434" s="10" t="n">
        <x:v>46220</x:v>
      </x:c>
      <x:c r="B3434" s="1" t="n">
        <x:v>1</x:v>
      </x:c>
      <x:c r="C3434" s="1" t="n">
        <x:v>6</x:v>
      </x:c>
      <x:c r="D3434" s="12" t="n">
        <x:v>0.01925</x:v>
      </x:c>
      <x:c r="E3434" s="12" t="n">
        <x:v>0.349</x:v>
      </x:c>
      <x:c r="F3434" s="12" t="n">
        <x:v>0.31174999999999997</x:v>
      </x:c>
      <x:c r="G3434" s="12" t="n">
        <x:v>0</x:v>
      </x:c>
      <x:c r="H3434" s="1" t="n">
        <x:f>'Historical prices'!E3434</x:f>
        <x:v>1.05</x:v>
      </x:c>
      <x:c r="I3434" s="6" t="n">
        <x:f>'Historical prices'!D3434</x:f>
        <x:v>0.2354</x:v>
      </x:c>
      <x:c r="J3434" s="13" t="n">
        <x:f>D3434*I3434*H3434</x:f>
        <x:v>0.0047580225</x:v>
      </x:c>
      <x:c r="K3434" s="13" t="n">
        <x:f>E3434*I3434*H3434</x:f>
        <x:v>0.08626233</x:v>
      </x:c>
      <x:c r="L3434" s="1" t="str">
        <x:f>TEXT(A3434,"mmm yyyy")</x:f>
        <x:v>Jul 2026</x:v>
      </x:c>
    </x:row>
    <x:row r="3435" ht="21" customHeight="1">
      <x:c r="A3435" s="10" t="n">
        <x:v>46220</x:v>
      </x:c>
      <x:c r="B3435" s="1" t="n">
        <x:v>1.5</x:v>
      </x:c>
      <x:c r="C3435" s="1" t="n">
        <x:v>6</x:v>
      </x:c>
      <x:c r="D3435" s="12" t="n">
        <x:v>0.10616666666666666</x:v>
      </x:c>
      <x:c r="E3435" s="12" t="n">
        <x:v>0.3955833333333334</x:v>
      </x:c>
      <x:c r="F3435" s="12" t="n">
        <x:v>0.2809166666666667</x:v>
      </x:c>
      <x:c r="G3435" s="12" t="n">
        <x:v>0</x:v>
      </x:c>
      <x:c r="H3435" s="1" t="n">
        <x:f>'Historical prices'!E3435</x:f>
        <x:v>1.05</x:v>
      </x:c>
      <x:c r="I3435" s="6" t="n">
        <x:f>'Historical prices'!D3435</x:f>
        <x:v>0.2366</x:v>
      </x:c>
      <x:c r="J3435" s="13" t="n">
        <x:f>D3435*I3435*H3435</x:f>
        <x:v>0.026374985</x:v>
      </x:c>
      <x:c r="K3435" s="13" t="n">
        <x:f>E3435*I3435*H3435</x:f>
        <x:v>0.09827476750000003</x:v>
      </x:c>
      <x:c r="L3435" s="1" t="str">
        <x:f>TEXT(A3435,"mmm yyyy")</x:f>
        <x:v>Jul 2026</x:v>
      </x:c>
    </x:row>
    <x:row r="3436" ht="21" customHeight="1">
      <x:c r="A3436" s="10" t="n">
        <x:v>46220</x:v>
      </x:c>
      <x:c r="B3436" s="1" t="n">
        <x:v>2</x:v>
      </x:c>
      <x:c r="C3436" s="1" t="n">
        <x:v>6</x:v>
      </x:c>
      <x:c r="D3436" s="12" t="n">
        <x:v>0.2704166666666667</x:v>
      </x:c>
      <x:c r="E3436" s="12" t="n">
        <x:v>0.2814166666666667</x:v>
      </x:c>
      <x:c r="F3436" s="12" t="n">
        <x:v>0</x:v>
      </x:c>
      <x:c r="G3436" s="12" t="n">
        <x:v>0</x:v>
      </x:c>
      <x:c r="H3436" s="1" t="n">
        <x:f>'Historical prices'!E3436</x:f>
        <x:v>1.05</x:v>
      </x:c>
      <x:c r="I3436" s="6" t="n">
        <x:f>'Historical prices'!D3436</x:f>
        <x:v>0.2291</x:v>
      </x:c>
      <x:c r="J3436" s="13" t="n">
        <x:f>D3436*I3436*H3436</x:f>
        <x:v>0.06505008125000002</x:v>
      </x:c>
      <x:c r="K3436" s="13" t="n">
        <x:f>E3436*I3436*H3436</x:f>
        <x:v>0.06769618625000001</x:v>
      </x:c>
      <x:c r="L3436" s="1" t="str">
        <x:f>TEXT(A3436,"mmm yyyy")</x:f>
        <x:v>Jul 2026</x:v>
      </x:c>
    </x:row>
    <x:row r="3437" ht="21" customHeight="1">
      <x:c r="A3437" s="10" t="n">
        <x:v>46220</x:v>
      </x:c>
      <x:c r="B3437" s="1" t="n">
        <x:v>2.5</x:v>
      </x:c>
      <x:c r="C3437" s="1" t="n">
        <x:v>6</x:v>
      </x:c>
      <x:c r="D3437" s="12" t="n">
        <x:v>0.21833333333333332</x:v>
      </x:c>
      <x:c r="E3437" s="12" t="n">
        <x:v>0.22833333333333333</x:v>
      </x:c>
      <x:c r="F3437" s="12" t="n">
        <x:v>0</x:v>
      </x:c>
      <x:c r="G3437" s="12" t="n">
        <x:v>0</x:v>
      </x:c>
      <x:c r="H3437" s="1" t="n">
        <x:f>'Historical prices'!E3437</x:f>
        <x:v>1.05</x:v>
      </x:c>
      <x:c r="I3437" s="6" t="n">
        <x:f>'Historical prices'!D3437</x:f>
        <x:v>0.2225</x:v>
      </x:c>
      <x:c r="J3437" s="13" t="n">
        <x:f>D3437*I3437*H3437</x:f>
        <x:v>0.051008125</x:v>
      </x:c>
      <x:c r="K3437" s="13" t="n">
        <x:f>E3437*I3437*H3437</x:f>
        <x:v>0.053344375</x:v>
      </x:c>
      <x:c r="L3437" s="1" t="str">
        <x:f>TEXT(A3437,"mmm yyyy")</x:f>
        <x:v>Jul 2026</x:v>
      </x:c>
    </x:row>
    <x:row r="3438" ht="21" customHeight="1">
      <x:c r="A3438" s="10" t="n">
        <x:v>46220</x:v>
      </x:c>
      <x:c r="B3438" s="1" t="n">
        <x:v>3</x:v>
      </x:c>
      <x:c r="C3438" s="1" t="n">
        <x:v>6</x:v>
      </x:c>
      <x:c r="D3438" s="12" t="n">
        <x:v>0.24366666666666667</x:v>
      </x:c>
      <x:c r="E3438" s="12" t="n">
        <x:v>0.2546666666666666</x:v>
      </x:c>
      <x:c r="F3438" s="12" t="n">
        <x:v>0</x:v>
      </x:c>
      <x:c r="G3438" s="12" t="n">
        <x:v>0</x:v>
      </x:c>
      <x:c r="H3438" s="1" t="n">
        <x:f>'Historical prices'!E3438</x:f>
        <x:v>1.05</x:v>
      </x:c>
      <x:c r="I3438" s="6" t="n">
        <x:f>'Historical prices'!D3438</x:f>
        <x:v>0.22579999999999997</x:v>
      </x:c>
      <x:c r="J3438" s="13" t="n">
        <x:f>D3438*I3438*H3438</x:f>
        <x:v>0.05777093</x:v>
      </x:c>
      <x:c r="K3438" s="13" t="n">
        <x:f>E3438*I3438*H3438</x:f>
        <x:v>0.06037891999999998</x:v>
      </x:c>
      <x:c r="L3438" s="1" t="str">
        <x:f>TEXT(A3438,"mmm yyyy")</x:f>
        <x:v>Jul 2026</x:v>
      </x:c>
    </x:row>
    <x:row r="3439" ht="21" customHeight="1">
      <x:c r="A3439" s="10" t="n">
        <x:v>46220</x:v>
      </x:c>
      <x:c r="B3439" s="1" t="n">
        <x:v>3.5</x:v>
      </x:c>
      <x:c r="C3439" s="1" t="n">
        <x:v>6</x:v>
      </x:c>
      <x:c r="D3439" s="12" t="n">
        <x:v>0.37816666666666665</x:v>
      </x:c>
      <x:c r="E3439" s="12" t="n">
        <x:v>0.38816666666666666</x:v>
      </x:c>
      <x:c r="F3439" s="12" t="n">
        <x:v>0</x:v>
      </x:c>
      <x:c r="G3439" s="12" t="n">
        <x:v>0</x:v>
      </x:c>
      <x:c r="H3439" s="1" t="n">
        <x:f>'Historical prices'!E3439</x:f>
        <x:v>1.05</x:v>
      </x:c>
      <x:c r="I3439" s="6" t="n">
        <x:f>'Historical prices'!D3439</x:f>
        <x:v>0.2224</x:v>
      </x:c>
      <x:c r="J3439" s="13" t="n">
        <x:f>D3439*I3439*H3439</x:f>
        <x:v>0.08830948</x:v>
      </x:c>
      <x:c r="K3439" s="13" t="n">
        <x:f>E3439*I3439*H3439</x:f>
        <x:v>0.09064467999999999</x:v>
      </x:c>
      <x:c r="L3439" s="1" t="str">
        <x:f>TEXT(A3439,"mmm yyyy")</x:f>
        <x:v>Jul 2026</x:v>
      </x:c>
    </x:row>
    <x:row r="3440" ht="21" customHeight="1">
      <x:c r="A3440" s="10" t="n">
        <x:v>46220</x:v>
      </x:c>
      <x:c r="B3440" s="1" t="n">
        <x:v>4</x:v>
      </x:c>
      <x:c r="C3440" s="1" t="n">
        <x:v>6</x:v>
      </x:c>
      <x:c r="D3440" s="12" t="n">
        <x:v>0.27574999999999994</x:v>
      </x:c>
      <x:c r="E3440" s="12" t="n">
        <x:v>0.28674999999999995</x:v>
      </x:c>
      <x:c r="F3440" s="12" t="n">
        <x:v>0</x:v>
      </x:c>
      <x:c r="G3440" s="12" t="n">
        <x:v>0</x:v>
      </x:c>
      <x:c r="H3440" s="1" t="n">
        <x:f>'Historical prices'!E3440</x:f>
        <x:v>1.05</x:v>
      </x:c>
      <x:c r="I3440" s="6" t="n">
        <x:f>'Historical prices'!D3440</x:f>
        <x:v>0.2253</x:v>
      </x:c>
      <x:c r="J3440" s="13" t="n">
        <x:f>D3440*I3440*H3440</x:f>
        <x:v>0.06523279874999999</x:v>
      </x:c>
      <x:c r="K3440" s="13" t="n">
        <x:f>E3440*I3440*H3440</x:f>
        <x:v>0.06783501374999999</x:v>
      </x:c>
      <x:c r="L3440" s="1" t="str">
        <x:f>TEXT(A3440,"mmm yyyy")</x:f>
        <x:v>Jul 2026</x:v>
      </x:c>
    </x:row>
    <x:row r="3441" ht="21" customHeight="1">
      <x:c r="A3441" s="10" t="n">
        <x:v>46220</x:v>
      </x:c>
      <x:c r="B3441" s="1" t="n">
        <x:v>4.5</x:v>
      </x:c>
      <x:c r="C3441" s="1" t="n">
        <x:v>6</x:v>
      </x:c>
      <x:c r="D3441" s="12" t="n">
        <x:v>0.27991666666666665</x:v>
      </x:c>
      <x:c r="E3441" s="12" t="n">
        <x:v>0.28991666666666666</x:v>
      </x:c>
      <x:c r="F3441" s="12" t="n">
        <x:v>0</x:v>
      </x:c>
      <x:c r="G3441" s="12" t="n">
        <x:v>0</x:v>
      </x:c>
      <x:c r="H3441" s="1" t="n">
        <x:f>'Historical prices'!E3441</x:f>
        <x:v>1.05</x:v>
      </x:c>
      <x:c r="I3441" s="6" t="n">
        <x:f>'Historical prices'!D3441</x:f>
        <x:v>0.222</x:v>
      </x:c>
      <x:c r="J3441" s="13" t="n">
        <x:f>D3441*I3441*H3441</x:f>
        <x:v>0.065248575</x:v>
      </x:c>
      <x:c r="K3441" s="13" t="n">
        <x:f>E3441*I3441*H3441</x:f>
        <x:v>0.067579575</x:v>
      </x:c>
      <x:c r="L3441" s="1" t="str">
        <x:f>TEXT(A3441,"mmm yyyy")</x:f>
        <x:v>Jul 2026</x:v>
      </x:c>
    </x:row>
    <x:row r="3442" ht="21" customHeight="1">
      <x:c r="A3442" s="10" t="n">
        <x:v>46220</x:v>
      </x:c>
      <x:c r="B3442" s="1" t="n">
        <x:v>5</x:v>
      </x:c>
      <x:c r="C3442" s="1" t="n">
        <x:v>6</x:v>
      </x:c>
      <x:c r="D3442" s="12" t="n">
        <x:v>0.0485</x:v>
      </x:c>
      <x:c r="E3442" s="12" t="n">
        <x:v>0.3505</x:v>
      </x:c>
      <x:c r="F3442" s="12" t="n">
        <x:v>0.29991666666666666</x:v>
      </x:c>
      <x:c r="G3442" s="12" t="n">
        <x:v>0</x:v>
      </x:c>
      <x:c r="H3442" s="1" t="n">
        <x:f>'Historical prices'!E3442</x:f>
        <x:v>1.05</x:v>
      </x:c>
      <x:c r="I3442" s="6" t="n">
        <x:f>'Historical prices'!D3442</x:f>
        <x:v>0.2426</x:v>
      </x:c>
      <x:c r="J3442" s="13" t="n">
        <x:f>D3442*I3442*H3442</x:f>
        <x:v>0.012354405000000002</x:v>
      </x:c>
      <x:c r="K3442" s="13" t="n">
        <x:f>E3442*I3442*H3442</x:f>
        <x:v>0.089282865</x:v>
      </x:c>
      <x:c r="L3442" s="1" t="str">
        <x:f>TEXT(A3442,"mmm yyyy")</x:f>
        <x:v>Jul 2026</x:v>
      </x:c>
    </x:row>
    <x:row r="3443" ht="21" customHeight="1">
      <x:c r="A3443" s="10" t="n">
        <x:v>46220</x:v>
      </x:c>
      <x:c r="B3443" s="1" t="n">
        <x:v>5.5</x:v>
      </x:c>
      <x:c r="C3443" s="1" t="n">
        <x:v>6</x:v>
      </x:c>
      <x:c r="D3443" s="12" t="n">
        <x:v>0</x:v>
      </x:c>
      <x:c r="E3443" s="12" t="n">
        <x:v>0.38516666666666666</x:v>
      </x:c>
      <x:c r="F3443" s="12" t="n">
        <x:v>0.38483333333333336</x:v>
      </x:c>
      <x:c r="G3443" s="12" t="n">
        <x:v>0</x:v>
      </x:c>
      <x:c r="H3443" s="1" t="n">
        <x:f>'Historical prices'!E3443</x:f>
        <x:v>1.05</x:v>
      </x:c>
      <x:c r="I3443" s="6" t="n">
        <x:f>'Historical prices'!D3443</x:f>
        <x:v>0.24670000000000003</x:v>
      </x:c>
      <x:c r="J3443" s="13" t="n">
        <x:f>D3443*I3443*H3443</x:f>
        <x:v>0</x:v>
      </x:c>
      <x:c r="K3443" s="13" t="n">
        <x:f>E3443*I3443*H3443</x:f>
        <x:v>0.09977164750000002</x:v>
      </x:c>
      <x:c r="L3443" s="1" t="str">
        <x:f>TEXT(A3443,"mmm yyyy")</x:f>
        <x:v>Jul 2026</x:v>
      </x:c>
    </x:row>
    <x:row r="3444" ht="21" customHeight="1">
      <x:c r="A3444" s="10" t="n">
        <x:v>46220</x:v>
      </x:c>
      <x:c r="B3444" s="1" t="n">
        <x:v>6</x:v>
      </x:c>
      <x:c r="C3444" s="1" t="n">
        <x:v>6</x:v>
      </x:c>
      <x:c r="D3444" s="12" t="n">
        <x:v>0</x:v>
      </x:c>
      <x:c r="E3444" s="12" t="n">
        <x:v>0.3489166666666667</x:v>
      </x:c>
      <x:c r="F3444" s="12" t="n">
        <x:v>0.3485</x:v>
      </x:c>
      <x:c r="G3444" s="12" t="n">
        <x:v>0</x:v>
      </x:c>
      <x:c r="H3444" s="1" t="n">
        <x:f>'Historical prices'!E3444</x:f>
        <x:v>1.05</x:v>
      </x:c>
      <x:c r="I3444" s="6" t="n">
        <x:f>'Historical prices'!D3444</x:f>
        <x:v>0.2528</x:v>
      </x:c>
      <x:c r="J3444" s="13" t="n">
        <x:f>D3444*I3444*H3444</x:f>
        <x:v>0</x:v>
      </x:c>
      <x:c r="K3444" s="13" t="n">
        <x:f>E3444*I3444*H3444</x:f>
        <x:v>0.09261644000000002</x:v>
      </x:c>
      <x:c r="L3444" s="1" t="str">
        <x:f>TEXT(A3444,"mmm yyyy")</x:f>
        <x:v>Jul 2026</x:v>
      </x:c>
    </x:row>
    <x:row r="3445" ht="21" customHeight="1">
      <x:c r="A3445" s="10" t="n">
        <x:v>46220</x:v>
      </x:c>
      <x:c r="B3445" s="1" t="n">
        <x:v>6.5</x:v>
      </x:c>
      <x:c r="C3445" s="1" t="n">
        <x:v>6</x:v>
      </x:c>
      <x:c r="D3445" s="12" t="n">
        <x:v>0</x:v>
      </x:c>
      <x:c r="E3445" s="12" t="n">
        <x:v>0.6018333333333333</x:v>
      </x:c>
      <x:c r="F3445" s="12" t="n">
        <x:v>0.6016666666666667</x:v>
      </x:c>
      <x:c r="G3445" s="12" t="n">
        <x:v>0</x:v>
      </x:c>
      <x:c r="H3445" s="1" t="n">
        <x:f>'Historical prices'!E3445</x:f>
        <x:v>1.05</x:v>
      </x:c>
      <x:c r="I3445" s="6" t="n">
        <x:f>'Historical prices'!D3445</x:f>
        <x:v>0.2726</x:v>
      </x:c>
      <x:c r="J3445" s="13" t="n">
        <x:f>D3445*I3445*H3445</x:f>
        <x:v>0</x:v>
      </x:c>
      <x:c r="K3445" s="13" t="n">
        <x:f>E3445*I3445*H3445</x:f>
        <x:v>0.172262755</x:v>
      </x:c>
      <x:c r="L3445" s="1" t="str">
        <x:f>TEXT(A3445,"mmm yyyy")</x:f>
        <x:v>Jul 2026</x:v>
      </x:c>
    </x:row>
    <x:row r="3446" ht="21" customHeight="1">
      <x:c r="A3446" s="10" t="n">
        <x:v>46220</x:v>
      </x:c>
      <x:c r="B3446" s="1" t="n">
        <x:v>7</x:v>
      </x:c>
      <x:c r="C3446" s="1" t="n">
        <x:v>6</x:v>
      </x:c>
      <x:c r="D3446" s="12" t="n">
        <x:v>0</x:v>
      </x:c>
      <x:c r="E3446" s="12" t="n">
        <x:v>0.5330833333333332</x:v>
      </x:c>
      <x:c r="F3446" s="12" t="n">
        <x:v>0.5328333333333333</x:v>
      </x:c>
      <x:c r="G3446" s="12" t="n">
        <x:v>0</x:v>
      </x:c>
      <x:c r="H3446" s="1" t="n">
        <x:f>'Historical prices'!E3446</x:f>
        <x:v>1.05</x:v>
      </x:c>
      <x:c r="I3446" s="6" t="n">
        <x:f>'Historical prices'!D3446</x:f>
        <x:v>0.2396</x:v>
      </x:c>
      <x:c r="J3446" s="13" t="n">
        <x:f>D3446*I3446*H3446</x:f>
        <x:v>0</x:v>
      </x:c>
      <x:c r="K3446" s="13" t="n">
        <x:f>E3446*I3446*H3446</x:f>
        <x:v>0.134113105</x:v>
      </x:c>
      <x:c r="L3446" s="1" t="str">
        <x:f>TEXT(A3446,"mmm yyyy")</x:f>
        <x:v>Jul 2026</x:v>
      </x:c>
    </x:row>
    <x:row r="3447" ht="21" customHeight="1">
      <x:c r="A3447" s="10" t="n">
        <x:v>46220</x:v>
      </x:c>
      <x:c r="B3447" s="1" t="n">
        <x:v>7.5</x:v>
      </x:c>
      <x:c r="C3447" s="1" t="n">
        <x:v>6</x:v>
      </x:c>
      <x:c r="D3447" s="12" t="n">
        <x:v>0</x:v>
      </x:c>
      <x:c r="E3447" s="12" t="n">
        <x:v>0.5208333333333333</x:v>
      </x:c>
      <x:c r="F3447" s="12" t="n">
        <x:v>0.5207499999999999</x:v>
      </x:c>
      <x:c r="G3447" s="12" t="n">
        <x:v>0</x:v>
      </x:c>
      <x:c r="H3447" s="1" t="n">
        <x:f>'Historical prices'!E3447</x:f>
        <x:v>1.05</x:v>
      </x:c>
      <x:c r="I3447" s="6" t="n">
        <x:f>'Historical prices'!D3447</x:f>
        <x:v>0.24559999999999998</x:v>
      </x:c>
      <x:c r="J3447" s="13" t="n">
        <x:f>D3447*I3447*H3447</x:f>
        <x:v>0</x:v>
      </x:c>
      <x:c r="K3447" s="13" t="n">
        <x:f>E3447*I3447*H3447</x:f>
        <x:v>0.1343125</x:v>
      </x:c>
      <x:c r="L3447" s="1" t="str">
        <x:f>TEXT(A3447,"mmm yyyy")</x:f>
        <x:v>Jul 2026</x:v>
      </x:c>
    </x:row>
    <x:row r="3448" ht="21" customHeight="1">
      <x:c r="A3448" s="10" t="n">
        <x:v>46220</x:v>
      </x:c>
      <x:c r="B3448" s="1" t="n">
        <x:v>8</x:v>
      </x:c>
      <x:c r="C3448" s="1" t="n">
        <x:v>6</x:v>
      </x:c>
      <x:c r="D3448" s="12" t="n">
        <x:v>1.1123333333333334</x:v>
      </x:c>
      <x:c r="E3448" s="12" t="n">
        <x:v>1.22525</x:v>
      </x:c>
      <x:c r="F3448" s="12" t="n">
        <x:v>0.10191666666666667</x:v>
      </x:c>
      <x:c r="G3448" s="12" t="n">
        <x:v>0</x:v>
      </x:c>
      <x:c r="H3448" s="1" t="n">
        <x:f>'Historical prices'!E3448</x:f>
        <x:v>1.05</x:v>
      </x:c>
      <x:c r="I3448" s="6" t="n">
        <x:f>'Historical prices'!D3448</x:f>
        <x:v>0.2167</x:v>
      </x:c>
      <x:c r="J3448" s="13" t="n">
        <x:f>D3448*I3448*H3448</x:f>
        <x:v>0.253094765</x:v>
      </x:c>
      <x:c r="K3448" s="13" t="n">
        <x:f>E3448*I3448*H3448</x:f>
        <x:v>0.27878725875</x:v>
      </x:c>
      <x:c r="L3448" s="1" t="str">
        <x:f>TEXT(A3448,"mmm yyyy")</x:f>
        <x:v>Jul 2026</x:v>
      </x:c>
    </x:row>
    <x:row r="3449" ht="21" customHeight="1">
      <x:c r="A3449" s="10" t="n">
        <x:v>46220</x:v>
      </x:c>
      <x:c r="B3449" s="1" t="n">
        <x:v>8.5</x:v>
      </x:c>
      <x:c r="C3449" s="1" t="n">
        <x:v>6</x:v>
      </x:c>
      <x:c r="D3449" s="12" t="n">
        <x:v>0.20041666666666666</x:v>
      </x:c>
      <x:c r="E3449" s="12" t="n">
        <x:v>0.6415</x:v>
      </x:c>
      <x:c r="F3449" s="12" t="n">
        <x:v>0.43391666666666673</x:v>
      </x:c>
      <x:c r="G3449" s="12" t="n">
        <x:v>0</x:v>
      </x:c>
      <x:c r="H3449" s="1" t="n">
        <x:f>'Historical prices'!E3449</x:f>
        <x:v>1.05</x:v>
      </x:c>
      <x:c r="I3449" s="6" t="n">
        <x:f>'Historical prices'!D3449</x:f>
        <x:v>0.2228</x:v>
      </x:c>
      <x:c r="J3449" s="13" t="n">
        <x:f>D3449*I3449*H3449</x:f>
        <x:v>0.046885474999999996</x:v>
      </x:c>
      <x:c r="K3449" s="13" t="n">
        <x:f>E3449*I3449*H3449</x:f>
        <x:v>0.15007251000000002</x:v>
      </x:c>
      <x:c r="L3449" s="1" t="str">
        <x:f>TEXT(A3449,"mmm yyyy")</x:f>
        <x:v>Jul 2026</x:v>
      </x:c>
    </x:row>
    <x:row r="3450" ht="21" customHeight="1">
      <x:c r="A3450" s="10" t="n">
        <x:v>46220</x:v>
      </x:c>
      <x:c r="B3450" s="1" t="n">
        <x:v>9</x:v>
      </x:c>
      <x:c r="C3450" s="1" t="n">
        <x:v>6</x:v>
      </x:c>
      <x:c r="D3450" s="12" t="n">
        <x:v>0.9545</x:v>
      </x:c>
      <x:c r="E3450" s="12" t="n">
        <x:v>1.0904166666666666</x:v>
      </x:c>
      <x:c r="F3450" s="12" t="n">
        <x:v>0.12391666666666666</x:v>
      </x:c>
      <x:c r="G3450" s="12" t="n">
        <x:v>0</x:v>
      </x:c>
      <x:c r="H3450" s="1" t="n">
        <x:f>'Historical prices'!E3450</x:f>
        <x:v>1.05</x:v>
      </x:c>
      <x:c r="I3450" s="6" t="n">
        <x:f>'Historical prices'!D3450</x:f>
        <x:v>0.1997</x:v>
      </x:c>
      <x:c r="J3450" s="13" t="n">
        <x:f>D3450*I3450*H3450</x:f>
        <x:v>0.2001443325</x:v>
      </x:c>
      <x:c r="K3450" s="13" t="n">
        <x:f>E3450*I3450*H3450</x:f>
        <x:v>0.22864401874999998</x:v>
      </x:c>
      <x:c r="L3450" s="1" t="str">
        <x:f>TEXT(A3450,"mmm yyyy")</x:f>
        <x:v>Jul 2026</x:v>
      </x:c>
    </x:row>
    <x:row r="3451" ht="21" customHeight="1">
      <x:c r="A3451" s="10" t="n">
        <x:v>46220</x:v>
      </x:c>
      <x:c r="B3451" s="1" t="n">
        <x:v>9.5</x:v>
      </x:c>
      <x:c r="C3451" s="1" t="n">
        <x:v>6</x:v>
      </x:c>
      <x:c r="D3451" s="12" t="n">
        <x:v>0.5629166666666667</x:v>
      </x:c>
      <x:c r="E3451" s="12" t="n">
        <x:v>0.5729166666666667</x:v>
      </x:c>
      <x:c r="F3451" s="12" t="n">
        <x:v>0</x:v>
      </x:c>
      <x:c r="G3451" s="12" t="n">
        <x:v>0</x:v>
      </x:c>
      <x:c r="H3451" s="1" t="n">
        <x:f>'Historical prices'!E3451</x:f>
        <x:v>1.05</x:v>
      </x:c>
      <x:c r="I3451" s="6" t="n">
        <x:f>'Historical prices'!D3451</x:f>
        <x:v>0.2112</x:v>
      </x:c>
      <x:c r="J3451" s="13" t="n">
        <x:f>D3451*I3451*H3451</x:f>
        <x:v>0.12483240000000001</x:v>
      </x:c>
      <x:c r="K3451" s="13" t="n">
        <x:f>E3451*I3451*H3451</x:f>
        <x:v>0.12705000000000002</x:v>
      </x:c>
      <x:c r="L3451" s="1" t="str">
        <x:f>TEXT(A3451,"mmm yyyy")</x:f>
        <x:v>Jul 2026</x:v>
      </x:c>
    </x:row>
    <x:row r="3452" ht="21" customHeight="1">
      <x:c r="A3452" s="10" t="n">
        <x:v>46220</x:v>
      </x:c>
      <x:c r="B3452" s="1" t="n">
        <x:v>10</x:v>
      </x:c>
      <x:c r="C3452" s="1" t="n">
        <x:v>6</x:v>
      </x:c>
      <x:c r="D3452" s="12" t="n">
        <x:v>0.3995833333333333</x:v>
      </x:c>
      <x:c r="E3452" s="12" t="n">
        <x:v>0.4095833333333333</x:v>
      </x:c>
      <x:c r="F3452" s="12" t="n">
        <x:v>0</x:v>
      </x:c>
      <x:c r="G3452" s="12" t="n">
        <x:v>0</x:v>
      </x:c>
      <x:c r="H3452" s="1" t="n">
        <x:f>'Historical prices'!E3452</x:f>
        <x:v>1.05</x:v>
      </x:c>
      <x:c r="I3452" s="6" t="n">
        <x:f>'Historical prices'!D3452</x:f>
        <x:v>0.21170000000000003</x:v>
      </x:c>
      <x:c r="J3452" s="13" t="n">
        <x:f>D3452*I3452*H3452</x:f>
        <x:v>0.08882138125</x:v>
      </x:c>
      <x:c r="K3452" s="13" t="n">
        <x:f>E3452*I3452*H3452</x:f>
        <x:v>0.09104423125000001</x:v>
      </x:c>
      <x:c r="L3452" s="1" t="str">
        <x:f>TEXT(A3452,"mmm yyyy")</x:f>
        <x:v>Jul 2026</x:v>
      </x:c>
    </x:row>
    <x:row r="3453" ht="21" customHeight="1">
      <x:c r="A3453" s="10" t="n">
        <x:v>46220</x:v>
      </x:c>
      <x:c r="B3453" s="1" t="n">
        <x:v>10.5</x:v>
      </x:c>
      <x:c r="C3453" s="1" t="n">
        <x:v>6</x:v>
      </x:c>
      <x:c r="D3453" s="12" t="n">
        <x:v>0.4349166666666667</x:v>
      </x:c>
      <x:c r="E3453" s="12" t="n">
        <x:v>0.4459166666666667</x:v>
      </x:c>
      <x:c r="F3453" s="12" t="n">
        <x:v>0</x:v>
      </x:c>
      <x:c r="G3453" s="12" t="n">
        <x:v>0</x:v>
      </x:c>
      <x:c r="H3453" s="1" t="n">
        <x:f>'Historical prices'!E3453</x:f>
        <x:v>1.05</x:v>
      </x:c>
      <x:c r="I3453" s="6" t="n">
        <x:f>'Historical prices'!D3453</x:f>
        <x:v>0.2025</x:v>
      </x:c>
      <x:c r="J3453" s="13" t="n">
        <x:f>D3453*I3453*H3453</x:f>
        <x:v>0.09247415625000002</x:v>
      </x:c>
      <x:c r="K3453" s="13" t="n">
        <x:f>E3453*I3453*H3453</x:f>
        <x:v>0.09481303125000001</x:v>
      </x:c>
      <x:c r="L3453" s="1" t="str">
        <x:f>TEXT(A3453,"mmm yyyy")</x:f>
        <x:v>Jul 2026</x:v>
      </x:c>
    </x:row>
    <x:row r="3454" ht="21" customHeight="1">
      <x:c r="A3454" s="10" t="n">
        <x:v>46220</x:v>
      </x:c>
      <x:c r="B3454" s="1" t="n">
        <x:v>11</x:v>
      </x:c>
      <x:c r="C3454" s="1" t="n">
        <x:v>6</x:v>
      </x:c>
      <x:c r="D3454" s="12" t="n">
        <x:v>0.39041666666666663</x:v>
      </x:c>
      <x:c r="E3454" s="12" t="n">
        <x:v>0.40141666666666664</x:v>
      </x:c>
      <x:c r="F3454" s="12" t="n">
        <x:v>0</x:v>
      </x:c>
      <x:c r="G3454" s="12" t="n">
        <x:v>0</x:v>
      </x:c>
      <x:c r="H3454" s="1" t="n">
        <x:f>'Historical prices'!E3454</x:f>
        <x:v>1.05</x:v>
      </x:c>
      <x:c r="I3454" s="6" t="n">
        <x:f>'Historical prices'!D3454</x:f>
        <x:v>0.1812</x:v>
      </x:c>
      <x:c r="J3454" s="13" t="n">
        <x:f>D3454*I3454*H3454</x:f>
        <x:v>0.074280675</x:v>
      </x:c>
      <x:c r="K3454" s="13" t="n">
        <x:f>E3454*I3454*H3454</x:f>
        <x:v>0.076373535</x:v>
      </x:c>
      <x:c r="L3454" s="1" t="str">
        <x:f>TEXT(A3454,"mmm yyyy")</x:f>
        <x:v>Jul 2026</x:v>
      </x:c>
    </x:row>
    <x:row r="3455" ht="21" customHeight="1">
      <x:c r="A3455" s="10" t="n">
        <x:v>46220</x:v>
      </x:c>
      <x:c r="B3455" s="1" t="n">
        <x:v>11.5</x:v>
      </x:c>
      <x:c r="C3455" s="1" t="n">
        <x:v>6</x:v>
      </x:c>
      <x:c r="D3455" s="12" t="n">
        <x:v>0.3238333333333333</x:v>
      </x:c>
      <x:c r="E3455" s="12" t="n">
        <x:v>0.3338333333333333</x:v>
      </x:c>
      <x:c r="F3455" s="12" t="n">
        <x:v>0</x:v>
      </x:c>
      <x:c r="G3455" s="12" t="n">
        <x:v>0</x:v>
      </x:c>
      <x:c r="H3455" s="1" t="n">
        <x:f>'Historical prices'!E3455</x:f>
        <x:v>1.05</x:v>
      </x:c>
      <x:c r="I3455" s="6" t="n">
        <x:f>'Historical prices'!D3455</x:f>
        <x:v>0.1787</x:v>
      </x:c>
      <x:c r="J3455" s="13" t="n">
        <x:f>D3455*I3455*H3455</x:f>
        <x:v>0.0607624675</x:v>
      </x:c>
      <x:c r="K3455" s="13" t="n">
        <x:f>E3455*I3455*H3455</x:f>
        <x:v>0.0626388175</x:v>
      </x:c>
      <x:c r="L3455" s="1" t="str">
        <x:f>TEXT(A3455,"mmm yyyy")</x:f>
        <x:v>Jul 2026</x:v>
      </x:c>
    </x:row>
    <x:row r="3456" ht="21" customHeight="1">
      <x:c r="A3456" s="10" t="n">
        <x:v>46220</x:v>
      </x:c>
      <x:c r="B3456" s="1" t="n">
        <x:v>12</x:v>
      </x:c>
      <x:c r="C3456" s="1" t="n">
        <x:v>6</x:v>
      </x:c>
      <x:c r="D3456" s="12" t="n">
        <x:v>0.34825</x:v>
      </x:c>
      <x:c r="E3456" s="12" t="n">
        <x:v>0.35825</x:v>
      </x:c>
      <x:c r="F3456" s="12" t="n">
        <x:v>0</x:v>
      </x:c>
      <x:c r="G3456" s="12" t="n">
        <x:v>0</x:v>
      </x:c>
      <x:c r="H3456" s="1" t="n">
        <x:f>'Historical prices'!E3456</x:f>
        <x:v>1.05</x:v>
      </x:c>
      <x:c r="I3456" s="6" t="n">
        <x:f>'Historical prices'!D3456</x:f>
        <x:v>0.1787</x:v>
      </x:c>
      <x:c r="J3456" s="13" t="n">
        <x:f>D3456*I3456*H3456</x:f>
        <x:v>0.06534388875</x:v>
      </x:c>
      <x:c r="K3456" s="13" t="n">
        <x:f>E3456*I3456*H3456</x:f>
        <x:v>0.06722023875000001</x:v>
      </x:c>
      <x:c r="L3456" s="1" t="str">
        <x:f>TEXT(A3456,"mmm yyyy")</x:f>
        <x:v>Jul 2026</x:v>
      </x:c>
    </x:row>
    <x:row r="3457" ht="21" customHeight="1">
      <x:c r="A3457" s="10" t="n">
        <x:v>46220</x:v>
      </x:c>
      <x:c r="B3457" s="1" t="n">
        <x:v>12.5</x:v>
      </x:c>
      <x:c r="C3457" s="1" t="n">
        <x:v>6</x:v>
      </x:c>
      <x:c r="D3457" s="12" t="n">
        <x:v>0.40275</x:v>
      </x:c>
      <x:c r="E3457" s="12" t="n">
        <x:v>0.41375</x:v>
      </x:c>
      <x:c r="F3457" s="12" t="n">
        <x:v>0</x:v>
      </x:c>
      <x:c r="G3457" s="12" t="n">
        <x:v>0</x:v>
      </x:c>
      <x:c r="H3457" s="1" t="n">
        <x:f>'Historical prices'!E3457</x:f>
        <x:v>1.05</x:v>
      </x:c>
      <x:c r="I3457" s="6" t="n">
        <x:f>'Historical prices'!D3457</x:f>
        <x:v>0.1787</x:v>
      </x:c>
      <x:c r="J3457" s="13" t="n">
        <x:f>D3457*I3457*H3457</x:f>
        <x:v>0.07556999625</x:v>
      </x:c>
      <x:c r="K3457" s="13" t="n">
        <x:f>E3457*I3457*H3457</x:f>
        <x:v>0.07763398125000001</x:v>
      </x:c>
      <x:c r="L3457" s="1" t="str">
        <x:f>TEXT(A3457,"mmm yyyy")</x:f>
        <x:v>Jul 2026</x:v>
      </x:c>
    </x:row>
    <x:row r="3458" ht="21" customHeight="1">
      <x:c r="A3458" s="10" t="n">
        <x:v>46220</x:v>
      </x:c>
      <x:c r="B3458" s="1" t="n">
        <x:v>13</x:v>
      </x:c>
      <x:c r="C3458" s="1" t="n">
        <x:v>6</x:v>
      </x:c>
      <x:c r="D3458" s="12" t="n">
        <x:v>0.4439166666666666</x:v>
      </x:c>
      <x:c r="E3458" s="12" t="n">
        <x:v>0.45491666666666664</x:v>
      </x:c>
      <x:c r="F3458" s="12" t="n">
        <x:v>0</x:v>
      </x:c>
      <x:c r="G3458" s="12" t="n">
        <x:v>0</x:v>
      </x:c>
      <x:c r="H3458" s="1" t="n">
        <x:f>'Historical prices'!E3458</x:f>
        <x:v>1.05</x:v>
      </x:c>
      <x:c r="I3458" s="6" t="n">
        <x:f>'Historical prices'!D3458</x:f>
        <x:v>0.1787</x:v>
      </x:c>
      <x:c r="J3458" s="13" t="n">
        <x:f>D3458*I3458*H3458</x:f>
        <x:v>0.08329430374999999</x:v>
      </x:c>
      <x:c r="K3458" s="13" t="n">
        <x:f>E3458*I3458*H3458</x:f>
        <x:v>0.08535828875</x:v>
      </x:c>
      <x:c r="L3458" s="1" t="str">
        <x:f>TEXT(A3458,"mmm yyyy")</x:f>
        <x:v>Jul 2026</x:v>
      </x:c>
    </x:row>
    <x:row r="3459" ht="21" customHeight="1">
      <x:c r="A3459" s="10" t="n">
        <x:v>46220</x:v>
      </x:c>
      <x:c r="B3459" s="1" t="n">
        <x:v>13.5</x:v>
      </x:c>
      <x:c r="C3459" s="1" t="n">
        <x:v>6</x:v>
      </x:c>
      <x:c r="D3459" s="12" t="n">
        <x:v>4.7164166666666665</x:v>
      </x:c>
      <x:c r="E3459" s="12" t="n">
        <x:v>0.7364166666666666</x:v>
      </x:c>
      <x:c r="F3459" s="12" t="n">
        <x:v>0</x:v>
      </x:c>
      <x:c r="G3459" s="12" t="n">
        <x:v>3.9819999999999998</x:v>
      </x:c>
      <x:c r="H3459" s="1" t="n">
        <x:f>'Historical prices'!E3459</x:f>
        <x:v>1.05</x:v>
      </x:c>
      <x:c r="I3459" s="6" t="n">
        <x:f>'Historical prices'!D3459</x:f>
        <x:v>0.1769</x:v>
      </x:c>
      <x:c r="J3459" s="13" t="n">
        <x:f>D3459*I3459*H3459</x:f>
        <x:v>0.87605081375</x:v>
      </x:c>
      <x:c r="K3459" s="13" t="n">
        <x:f>E3459*I3459*H3459</x:f>
        <x:v>0.13678571375</x:v>
      </x:c>
      <x:c r="L3459" s="1" t="str">
        <x:f>TEXT(A3459,"mmm yyyy")</x:f>
        <x:v>Jul 2026</x:v>
      </x:c>
    </x:row>
    <x:row r="3460" ht="21" customHeight="1">
      <x:c r="A3460" s="10" t="n">
        <x:v>46220</x:v>
      </x:c>
      <x:c r="B3460" s="1" t="n">
        <x:v>14</x:v>
      </x:c>
      <x:c r="C3460" s="1" t="n">
        <x:v>6</x:v>
      </x:c>
      <x:c r="D3460" s="12" t="n">
        <x:v>5.492083333333333</x:v>
      </x:c>
      <x:c r="E3460" s="12" t="n">
        <x:v>0.7020833333333334</x:v>
      </x:c>
      <x:c r="F3460" s="12" t="n">
        <x:v>0</x:v>
      </x:c>
      <x:c r="G3460" s="12" t="n">
        <x:v>4.79</x:v>
      </x:c>
      <x:c r="H3460" s="1" t="n">
        <x:f>'Historical prices'!E3460</x:f>
        <x:v>1.05</x:v>
      </x:c>
      <x:c r="I3460" s="6" t="n">
        <x:f>'Historical prices'!D3460</x:f>
        <x:v>0.1766</x:v>
      </x:c>
      <x:c r="J3460" s="13" t="n">
        <x:f>D3460*I3460*H3460</x:f>
        <x:v>1.0183970125000001</x:v>
      </x:c>
      <x:c r="K3460" s="13" t="n">
        <x:f>E3460*I3460*H3460</x:f>
        <x:v>0.1301873125</x:v>
      </x:c>
      <x:c r="L3460" s="1" t="str">
        <x:f>TEXT(A3460,"mmm yyyy")</x:f>
        <x:v>Jul 2026</x:v>
      </x:c>
    </x:row>
    <x:row r="3461" ht="21" customHeight="1">
      <x:c r="A3461" s="10" t="n">
        <x:v>46220</x:v>
      </x:c>
      <x:c r="B3461" s="1" t="n">
        <x:v>14.5</x:v>
      </x:c>
      <x:c r="C3461" s="1" t="n">
        <x:v>6</x:v>
      </x:c>
      <x:c r="D3461" s="12" t="n">
        <x:v>5.261333333333333</x:v>
      </x:c>
      <x:c r="E3461" s="12" t="n">
        <x:v>0.6923333333333334</x:v>
      </x:c>
      <x:c r="F3461" s="12" t="n">
        <x:v>0</x:v>
      </x:c>
      <x:c r="G3461" s="12" t="n">
        <x:v>4.569</x:v>
      </x:c>
      <x:c r="H3461" s="1" t="n">
        <x:f>'Historical prices'!E3461</x:f>
        <x:v>1.05</x:v>
      </x:c>
      <x:c r="I3461" s="6" t="n">
        <x:f>'Historical prices'!D3461</x:f>
        <x:v>0.1753</x:v>
      </x:c>
      <x:c r="J3461" s="13" t="n">
        <x:f>D3461*I3461*H3461</x:f>
        <x:v>0.9684273200000001</x:v>
      </x:c>
      <x:c r="K3461" s="13" t="n">
        <x:f>E3461*I3461*H3461</x:f>
        <x:v>0.127434335</x:v>
      </x:c>
      <x:c r="L3461" s="1" t="str">
        <x:f>TEXT(A3461,"mmm yyyy")</x:f>
        <x:v>Jul 2026</x:v>
      </x:c>
    </x:row>
    <x:row r="3462" ht="21" customHeight="1">
      <x:c r="A3462" s="10" t="n">
        <x:v>46220</x:v>
      </x:c>
      <x:c r="B3462" s="1" t="n">
        <x:v>15</x:v>
      </x:c>
      <x:c r="C3462" s="1" t="n">
        <x:v>6</x:v>
      </x:c>
      <x:c r="D3462" s="12" t="n">
        <x:v>3.66875</x:v>
      </x:c>
      <x:c r="E3462" s="12" t="n">
        <x:v>0.55375</x:v>
      </x:c>
      <x:c r="F3462" s="12" t="n">
        <x:v>0</x:v>
      </x:c>
      <x:c r="G3462" s="12" t="n">
        <x:v>3.113</x:v>
      </x:c>
      <x:c r="H3462" s="1" t="n">
        <x:f>'Historical prices'!E3462</x:f>
        <x:v>1.05</x:v>
      </x:c>
      <x:c r="I3462" s="6" t="n">
        <x:f>'Historical prices'!D3462</x:f>
        <x:v>0.17739999999999997</x:v>
      </x:c>
      <x:c r="J3462" s="13" t="n">
        <x:f>D3462*I3462*H3462</x:f>
        <x:v>0.6833780624999999</x:v>
      </x:c>
      <x:c r="K3462" s="13" t="n">
        <x:f>E3462*I3462*H3462</x:f>
        <x:v>0.10314701249999998</x:v>
      </x:c>
      <x:c r="L3462" s="1" t="str">
        <x:f>TEXT(A3462,"mmm yyyy")</x:f>
        <x:v>Jul 2026</x:v>
      </x:c>
    </x:row>
    <x:row r="3463" ht="21" customHeight="1">
      <x:c r="A3463" s="10" t="n">
        <x:v>46220</x:v>
      </x:c>
      <x:c r="B3463" s="1" t="n">
        <x:v>15.5</x:v>
      </x:c>
      <x:c r="C3463" s="1" t="n">
        <x:v>6</x:v>
      </x:c>
      <x:c r="D3463" s="12" t="n">
        <x:v>0.37983333333333336</x:v>
      </x:c>
      <x:c r="E3463" s="12" t="n">
        <x:v>0.38983333333333337</x:v>
      </x:c>
      <x:c r="F3463" s="12" t="n">
        <x:v>0</x:v>
      </x:c>
      <x:c r="G3463" s="12" t="n">
        <x:v>0</x:v>
      </x:c>
      <x:c r="H3463" s="1" t="n">
        <x:f>'Historical prices'!E3463</x:f>
        <x:v>1.05</x:v>
      </x:c>
      <x:c r="I3463" s="6" t="n">
        <x:f>'Historical prices'!D3463</x:f>
        <x:v>0.18289999999999998</x:v>
      </x:c>
      <x:c r="J3463" s="13" t="n">
        <x:f>D3463*I3463*H3463</x:f>
        <x:v>0.0729450925</x:v>
      </x:c>
      <x:c r="K3463" s="13" t="n">
        <x:f>E3463*I3463*H3463</x:f>
        <x:v>0.07486554249999999</x:v>
      </x:c>
      <x:c r="L3463" s="1" t="str">
        <x:f>TEXT(A3463,"mmm yyyy")</x:f>
        <x:v>Jul 2026</x:v>
      </x:c>
    </x:row>
    <x:row r="3464" ht="21" customHeight="1">
      <x:c r="A3464" s="10" t="n">
        <x:v>46220</x:v>
      </x:c>
      <x:c r="B3464" s="1" t="n">
        <x:v>16</x:v>
      </x:c>
      <x:c r="C3464" s="1" t="n">
        <x:v>6</x:v>
      </x:c>
      <x:c r="D3464" s="12" t="n">
        <x:v>0.07175</x:v>
      </x:c>
      <x:c r="E3464" s="12" t="n">
        <x:v>0.4688333333333333</x:v>
      </x:c>
      <x:c r="F3464" s="12" t="n">
        <x:v>0.3939166666666667</x:v>
      </x:c>
      <x:c r="G3464" s="12" t="n">
        <x:v>0</x:v>
      </x:c>
      <x:c r="H3464" s="1" t="n">
        <x:f>'Historical prices'!E3464</x:f>
        <x:v>1.05</x:v>
      </x:c>
      <x:c r="I3464" s="6" t="n">
        <x:f>'Historical prices'!D3464</x:f>
        <x:v>0.32420000000000004</x:v>
      </x:c>
      <x:c r="J3464" s="13" t="n">
        <x:f>D3464*I3464*H3464</x:f>
        <x:v>0.0244244175</x:v>
      </x:c>
      <x:c r="K3464" s="13" t="n">
        <x:f>E3464*I3464*H3464</x:f>
        <x:v>0.159595555</x:v>
      </x:c>
      <x:c r="L3464" s="1" t="str">
        <x:f>TEXT(A3464,"mmm yyyy")</x:f>
        <x:v>Jul 2026</x:v>
      </x:c>
    </x:row>
    <x:row r="3465" ht="21" customHeight="1">
      <x:c r="A3465" s="10" t="n">
        <x:v>46220</x:v>
      </x:c>
      <x:c r="B3465" s="1" t="n">
        <x:v>16.5</x:v>
      </x:c>
      <x:c r="C3465" s="1" t="n">
        <x:v>6</x:v>
      </x:c>
      <x:c r="D3465" s="12" t="n">
        <x:v>0</x:v>
      </x:c>
      <x:c r="E3465" s="12" t="n">
        <x:v>0.4749999999999999</x:v>
      </x:c>
      <x:c r="F3465" s="12" t="n">
        <x:v>0.4726666666666666</x:v>
      </x:c>
      <x:c r="G3465" s="12" t="n">
        <x:v>0</x:v>
      </x:c>
      <x:c r="H3465" s="1" t="n">
        <x:f>'Historical prices'!E3465</x:f>
        <x:v>1.05</x:v>
      </x:c>
      <x:c r="I3465" s="6" t="n">
        <x:f>'Historical prices'!D3465</x:f>
        <x:v>0.3259</x:v>
      </x:c>
      <x:c r="J3465" s="13" t="n">
        <x:f>D3465*I3465*H3465</x:f>
        <x:v>0</x:v>
      </x:c>
      <x:c r="K3465" s="13" t="n">
        <x:f>E3465*I3465*H3465</x:f>
        <x:v>0.162542625</x:v>
      </x:c>
      <x:c r="L3465" s="1" t="str">
        <x:f>TEXT(A3465,"mmm yyyy")</x:f>
        <x:v>Jul 2026</x:v>
      </x:c>
    </x:row>
    <x:row r="3466" ht="21" customHeight="1">
      <x:c r="A3466" s="10" t="n">
        <x:v>46220</x:v>
      </x:c>
      <x:c r="B3466" s="1" t="n">
        <x:v>17</x:v>
      </x:c>
      <x:c r="C3466" s="1" t="n">
        <x:v>6</x:v>
      </x:c>
      <x:c r="D3466" s="12" t="n">
        <x:v>0</x:v>
      </x:c>
      <x:c r="E3466" s="12" t="n">
        <x:v>0.4549166666666667</x:v>
      </x:c>
      <x:c r="F3466" s="12" t="n">
        <x:v>0.45475000000000004</x:v>
      </x:c>
      <x:c r="G3466" s="12" t="n">
        <x:v>0</x:v>
      </x:c>
      <x:c r="H3466" s="1" t="n">
        <x:f>'Historical prices'!E3466</x:f>
        <x:v>1.05</x:v>
      </x:c>
      <x:c r="I3466" s="6" t="n">
        <x:f>'Historical prices'!D3466</x:f>
        <x:v>0.3323</x:v>
      </x:c>
      <x:c r="J3466" s="13" t="n">
        <x:f>D3466*I3466*H3466</x:f>
        <x:v>0</x:v>
      </x:c>
      <x:c r="K3466" s="13" t="n">
        <x:f>E3466*I3466*H3466</x:f>
        <x:v>0.15872724875</x:v>
      </x:c>
      <x:c r="L3466" s="1" t="str">
        <x:f>TEXT(A3466,"mmm yyyy")</x:f>
        <x:v>Jul 2026</x:v>
      </x:c>
    </x:row>
    <x:row r="3467" ht="21" customHeight="1">
      <x:c r="A3467" s="10" t="n">
        <x:v>46220</x:v>
      </x:c>
      <x:c r="B3467" s="1" t="n">
        <x:v>17.5</x:v>
      </x:c>
      <x:c r="C3467" s="1" t="n">
        <x:v>6</x:v>
      </x:c>
      <x:c r="D3467" s="12" t="n">
        <x:v>0</x:v>
      </x:c>
      <x:c r="E3467" s="12" t="n">
        <x:v>0.502</x:v>
      </x:c>
      <x:c r="F3467" s="12" t="n">
        <x:v>0.5018333333333334</x:v>
      </x:c>
      <x:c r="G3467" s="12" t="n">
        <x:v>0</x:v>
      </x:c>
      <x:c r="H3467" s="1" t="n">
        <x:f>'Historical prices'!E3467</x:f>
        <x:v>1.05</x:v>
      </x:c>
      <x:c r="I3467" s="6" t="n">
        <x:f>'Historical prices'!D3467</x:f>
        <x:v>0.3373</x:v>
      </x:c>
      <x:c r="J3467" s="13" t="n">
        <x:f>D3467*I3467*H3467</x:f>
        <x:v>0</x:v>
      </x:c>
      <x:c r="K3467" s="13" t="n">
        <x:f>E3467*I3467*H3467</x:f>
        <x:v>0.17779083</x:v>
      </x:c>
      <x:c r="L3467" s="1" t="str">
        <x:f>TEXT(A3467,"mmm yyyy")</x:f>
        <x:v>Jul 2026</x:v>
      </x:c>
    </x:row>
    <x:row r="3468" ht="21" customHeight="1">
      <x:c r="A3468" s="10" t="n">
        <x:v>46220</x:v>
      </x:c>
      <x:c r="B3468" s="1" t="n">
        <x:v>18</x:v>
      </x:c>
      <x:c r="C3468" s="1" t="n">
        <x:v>6</x:v>
      </x:c>
      <x:c r="D3468" s="12" t="n">
        <x:v>0</x:v>
      </x:c>
      <x:c r="E3468" s="12" t="n">
        <x:v>0.5009999999999999</x:v>
      </x:c>
      <x:c r="F3468" s="12" t="n">
        <x:v>0.5007499999999999</x:v>
      </x:c>
      <x:c r="G3468" s="12" t="n">
        <x:v>0</x:v>
      </x:c>
      <x:c r="H3468" s="1" t="n">
        <x:f>'Historical prices'!E3468</x:f>
        <x:v>1.05</x:v>
      </x:c>
      <x:c r="I3468" s="6" t="n">
        <x:f>'Historical prices'!D3468</x:f>
        <x:v>0.35409999999999997</x:v>
      </x:c>
      <x:c r="J3468" s="13" t="n">
        <x:f>D3468*I3468*H3468</x:f>
        <x:v>0</x:v>
      </x:c>
      <x:c r="K3468" s="13" t="n">
        <x:f>E3468*I3468*H3468</x:f>
        <x:v>0.18627430499999995</x:v>
      </x:c>
      <x:c r="L3468" s="1" t="str">
        <x:f>TEXT(A3468,"mmm yyyy")</x:f>
        <x:v>Jul 2026</x:v>
      </x:c>
    </x:row>
    <x:row r="3469" ht="21" customHeight="1">
      <x:c r="A3469" s="10" t="n">
        <x:v>46220</x:v>
      </x:c>
      <x:c r="B3469" s="1" t="n">
        <x:v>18.5</x:v>
      </x:c>
      <x:c r="C3469" s="1" t="n">
        <x:v>6</x:v>
      </x:c>
      <x:c r="D3469" s="12" t="n">
        <x:v>0</x:v>
      </x:c>
      <x:c r="E3469" s="12" t="n">
        <x:v>1.2115</x:v>
      </x:c>
      <x:c r="F3469" s="12" t="n">
        <x:v>1.2113333333333332</x:v>
      </x:c>
      <x:c r="G3469" s="12" t="n">
        <x:v>0</x:v>
      </x:c>
      <x:c r="H3469" s="1" t="n">
        <x:f>'Historical prices'!E3469</x:f>
        <x:v>1.05</x:v>
      </x:c>
      <x:c r="I3469" s="6" t="n">
        <x:f>'Historical prices'!D3469</x:f>
        <x:v>0.37270000000000003</x:v>
      </x:c>
      <x:c r="J3469" s="13" t="n">
        <x:f>D3469*I3469*H3469</x:f>
        <x:v>0</x:v>
      </x:c>
      <x:c r="K3469" s="13" t="n">
        <x:f>E3469*I3469*H3469</x:f>
        <x:v>0.4741023525000001</x:v>
      </x:c>
      <x:c r="L3469" s="1" t="str">
        <x:f>TEXT(A3469,"mmm yyyy")</x:f>
        <x:v>Jul 2026</x:v>
      </x:c>
    </x:row>
    <x:row r="3470" ht="21" customHeight="1">
      <x:c r="A3470" s="10" t="n">
        <x:v>46220</x:v>
      </x:c>
      <x:c r="B3470" s="1" t="n">
        <x:v>19</x:v>
      </x:c>
      <x:c r="C3470" s="1" t="n">
        <x:v>6</x:v>
      </x:c>
      <x:c r="D3470" s="12" t="n">
        <x:v>0</x:v>
      </x:c>
      <x:c r="E3470" s="12" t="n">
        <x:v>1.1165833333333335</x:v>
      </x:c>
      <x:c r="F3470" s="12" t="n">
        <x:v>1.116</x:v>
      </x:c>
      <x:c r="G3470" s="12" t="n">
        <x:v>0</x:v>
      </x:c>
      <x:c r="H3470" s="1" t="n">
        <x:f>'Historical prices'!E3470</x:f>
        <x:v>1.05</x:v>
      </x:c>
      <x:c r="I3470" s="6" t="n">
        <x:f>'Historical prices'!D3470</x:f>
        <x:v>0.26899999999999996</x:v>
      </x:c>
      <x:c r="J3470" s="13" t="n">
        <x:f>D3470*I3470*H3470</x:f>
        <x:v>0</x:v>
      </x:c>
      <x:c r="K3470" s="13" t="n">
        <x:f>E3470*I3470*H3470</x:f>
        <x:v>0.31537896249999997</x:v>
      </x:c>
      <x:c r="L3470" s="1" t="str">
        <x:f>TEXT(A3470,"mmm yyyy")</x:f>
        <x:v>Jul 2026</x:v>
      </x:c>
    </x:row>
    <x:row r="3471" ht="21" customHeight="1">
      <x:c r="A3471" s="10" t="n">
        <x:v>46220</x:v>
      </x:c>
      <x:c r="B3471" s="1" t="n">
        <x:v>19.5</x:v>
      </x:c>
      <x:c r="C3471" s="1" t="n">
        <x:v>6</x:v>
      </x:c>
      <x:c r="D3471" s="12" t="n">
        <x:v>0</x:v>
      </x:c>
      <x:c r="E3471" s="12" t="n">
        <x:v>0.5448333333333333</x:v>
      </x:c>
      <x:c r="F3471" s="12" t="n">
        <x:v>0.54475</x:v>
      </x:c>
      <x:c r="G3471" s="12" t="n">
        <x:v>0</x:v>
      </x:c>
      <x:c r="H3471" s="1" t="n">
        <x:f>'Historical prices'!E3471</x:f>
        <x:v>1.05</x:v>
      </x:c>
      <x:c r="I3471" s="6" t="n">
        <x:f>'Historical prices'!D3471</x:f>
        <x:v>0.2685</x:v>
      </x:c>
      <x:c r="J3471" s="13" t="n">
        <x:f>D3471*I3471*H3471</x:f>
        <x:v>0</x:v>
      </x:c>
      <x:c r="K3471" s="13" t="n">
        <x:f>E3471*I3471*H3471</x:f>
        <x:v>0.1536021375</x:v>
      </x:c>
      <x:c r="L3471" s="1" t="str">
        <x:f>TEXT(A3471,"mmm yyyy")</x:f>
        <x:v>Jul 2026</x:v>
      </x:c>
    </x:row>
    <x:row r="3472" ht="21" customHeight="1">
      <x:c r="A3472" s="10" t="n">
        <x:v>46220</x:v>
      </x:c>
      <x:c r="B3472" s="1" t="n">
        <x:v>20</x:v>
      </x:c>
      <x:c r="C3472" s="1" t="n">
        <x:v>6</x:v>
      </x:c>
      <x:c r="D3472" s="12" t="n">
        <x:v>0</x:v>
      </x:c>
      <x:c r="E3472" s="12" t="n">
        <x:v>0.5393333333333333</x:v>
      </x:c>
      <x:c r="F3472" s="12" t="n">
        <x:v>0.5389166666666667</x:v>
      </x:c>
      <x:c r="G3472" s="12" t="n">
        <x:v>0</x:v>
      </x:c>
      <x:c r="H3472" s="1" t="n">
        <x:f>'Historical prices'!E3472</x:f>
        <x:v>1.05</x:v>
      </x:c>
      <x:c r="I3472" s="6" t="n">
        <x:f>'Historical prices'!D3472</x:f>
        <x:v>0.2758</x:v>
      </x:c>
      <x:c r="J3472" s="13" t="n">
        <x:f>D3472*I3472*H3472</x:f>
        <x:v>0</x:v>
      </x:c>
      <x:c r="K3472" s="13" t="n">
        <x:f>E3472*I3472*H3472</x:f>
        <x:v>0.15618554</x:v>
      </x:c>
      <x:c r="L3472" s="1" t="str">
        <x:f>TEXT(A3472,"mmm yyyy")</x:f>
        <x:v>Jul 2026</x:v>
      </x:c>
    </x:row>
    <x:row r="3473" ht="21" customHeight="1">
      <x:c r="A3473" s="10" t="n">
        <x:v>46220</x:v>
      </x:c>
      <x:c r="B3473" s="1" t="n">
        <x:v>20.5</x:v>
      </x:c>
      <x:c r="C3473" s="1" t="n">
        <x:v>6</x:v>
      </x:c>
      <x:c r="D3473" s="12" t="n">
        <x:v>0</x:v>
      </x:c>
      <x:c r="E3473" s="12" t="n">
        <x:v>1.2735833333333333</x:v>
      </x:c>
      <x:c r="F3473" s="12" t="n">
        <x:v>1.2733333333333332</x:v>
      </x:c>
      <x:c r="G3473" s="12" t="n">
        <x:v>0</x:v>
      </x:c>
      <x:c r="H3473" s="1" t="n">
        <x:f>'Historical prices'!E3473</x:f>
        <x:v>1.05</x:v>
      </x:c>
      <x:c r="I3473" s="6" t="n">
        <x:f>'Historical prices'!D3473</x:f>
        <x:v>0.2732</x:v>
      </x:c>
      <x:c r="J3473" s="13" t="n">
        <x:f>D3473*I3473*H3473</x:f>
        <x:v>0</x:v>
      </x:c>
      <x:c r="K3473" s="13" t="n">
        <x:f>E3473*I3473*H3473</x:f>
        <x:v>0.36534011499999997</x:v>
      </x:c>
      <x:c r="L3473" s="1" t="str">
        <x:f>TEXT(A3473,"mmm yyyy")</x:f>
        <x:v>Jul 2026</x:v>
      </x:c>
    </x:row>
    <x:row r="3474" ht="21" customHeight="1">
      <x:c r="A3474" s="10" t="n">
        <x:v>46220</x:v>
      </x:c>
      <x:c r="B3474" s="1" t="n">
        <x:v>21</x:v>
      </x:c>
      <x:c r="C3474" s="1" t="n">
        <x:v>6</x:v>
      </x:c>
      <x:c r="D3474" s="12" t="n">
        <x:v>0</x:v>
      </x:c>
      <x:c r="E3474" s="12" t="n">
        <x:v>0.8119999999999999</x:v>
      </x:c>
      <x:c r="F3474" s="12" t="n">
        <x:v>0.8118333333333332</x:v>
      </x:c>
      <x:c r="G3474" s="12" t="n">
        <x:v>0</x:v>
      </x:c>
      <x:c r="H3474" s="1" t="n">
        <x:f>'Historical prices'!E3474</x:f>
        <x:v>1.05</x:v>
      </x:c>
      <x:c r="I3474" s="6" t="n">
        <x:f>'Historical prices'!D3474</x:f>
        <x:v>0.2693</x:v>
      </x:c>
      <x:c r="J3474" s="13" t="n">
        <x:f>D3474*I3474*H3474</x:f>
        <x:v>0</x:v>
      </x:c>
      <x:c r="K3474" s="13" t="n">
        <x:f>E3474*I3474*H3474</x:f>
        <x:v>0.22960517999999996</x:v>
      </x:c>
      <x:c r="L3474" s="1" t="str">
        <x:f>TEXT(A3474,"mmm yyyy")</x:f>
        <x:v>Jul 2026</x:v>
      </x:c>
    </x:row>
    <x:row r="3475" ht="21" customHeight="1">
      <x:c r="A3475" s="10" t="n">
        <x:v>46220</x:v>
      </x:c>
      <x:c r="B3475" s="1" t="n">
        <x:v>21.5</x:v>
      </x:c>
      <x:c r="C3475" s="1" t="n">
        <x:v>6</x:v>
      </x:c>
      <x:c r="D3475" s="12" t="n">
        <x:v>0</x:v>
      </x:c>
      <x:c r="E3475" s="12" t="n">
        <x:v>0.42891666666666667</x:v>
      </x:c>
      <x:c r="F3475" s="12" t="n">
        <x:v>0.42883333333333334</x:v>
      </x:c>
      <x:c r="G3475" s="12" t="n">
        <x:v>0</x:v>
      </x:c>
      <x:c r="H3475" s="1" t="n">
        <x:f>'Historical prices'!E3475</x:f>
        <x:v>1.05</x:v>
      </x:c>
      <x:c r="I3475" s="6" t="n">
        <x:f>'Historical prices'!D3475</x:f>
        <x:v>0.26539999999999997</x:v>
      </x:c>
      <x:c r="J3475" s="13" t="n">
        <x:f>D3475*I3475*H3475</x:f>
        <x:v>0</x:v>
      </x:c>
      <x:c r="K3475" s="13" t="n">
        <x:f>E3475*I3475*H3475</x:f>
        <x:v>0.1195262075</x:v>
      </x:c>
      <x:c r="L3475" s="1" t="str">
        <x:f>TEXT(A3475,"mmm yyyy")</x:f>
        <x:v>Jul 2026</x:v>
      </x:c>
    </x:row>
    <x:row r="3476" ht="21" customHeight="1">
      <x:c r="A3476" s="10" t="n">
        <x:v>46220</x:v>
      </x:c>
      <x:c r="B3476" s="1" t="n">
        <x:v>22</x:v>
      </x:c>
      <x:c r="C3476" s="1" t="n">
        <x:v>6</x:v>
      </x:c>
      <x:c r="D3476" s="12" t="n">
        <x:v>0</x:v>
      </x:c>
      <x:c r="E3476" s="12" t="n">
        <x:v>0.4545833333333334</x:v>
      </x:c>
      <x:c r="F3476" s="12" t="n">
        <x:v>0.45275000000000004</x:v>
      </x:c>
      <x:c r="G3476" s="12" t="n">
        <x:v>0</x:v>
      </x:c>
      <x:c r="H3476" s="1" t="n">
        <x:f>'Historical prices'!E3476</x:f>
        <x:v>1.05</x:v>
      </x:c>
      <x:c r="I3476" s="6" t="n">
        <x:f>'Historical prices'!D3476</x:f>
        <x:v>0.2711</x:v>
      </x:c>
      <x:c r="J3476" s="13" t="n">
        <x:f>D3476*I3476*H3476</x:f>
        <x:v>0</x:v>
      </x:c>
      <x:c r="K3476" s="13" t="n">
        <x:f>E3476*I3476*H3476</x:f>
        <x:v>0.12939941875000002</x:v>
      </x:c>
      <x:c r="L3476" s="1" t="str">
        <x:f>TEXT(A3476,"mmm yyyy")</x:f>
        <x:v>Jul 2026</x:v>
      </x:c>
    </x:row>
    <x:row r="3477" ht="21" customHeight="1">
      <x:c r="A3477" s="10" t="n">
        <x:v>46220</x:v>
      </x:c>
      <x:c r="B3477" s="1" t="n">
        <x:v>22.5</x:v>
      </x:c>
      <x:c r="C3477" s="1" t="n">
        <x:v>6</x:v>
      </x:c>
      <x:c r="D3477" s="12" t="n">
        <x:v>0</x:v>
      </x:c>
      <x:c r="E3477" s="12" t="n">
        <x:v>0.5439166666666667</x:v>
      </x:c>
      <x:c r="F3477" s="12" t="n">
        <x:v>0.5437500000000001</x:v>
      </x:c>
      <x:c r="G3477" s="12" t="n">
        <x:v>0</x:v>
      </x:c>
      <x:c r="H3477" s="1" t="n">
        <x:f>'Historical prices'!E3477</x:f>
        <x:v>1.05</x:v>
      </x:c>
      <x:c r="I3477" s="6" t="n">
        <x:f>'Historical prices'!D3477</x:f>
        <x:v>0.2532</x:v>
      </x:c>
      <x:c r="J3477" s="13" t="n">
        <x:f>D3477*I3477*H3477</x:f>
        <x:v>0</x:v>
      </x:c>
      <x:c r="K3477" s="13" t="n">
        <x:f>E3477*I3477*H3477</x:f>
        <x:v>0.144605685</x:v>
      </x:c>
      <x:c r="L3477" s="1" t="str">
        <x:f>TEXT(A3477,"mmm yyyy")</x:f>
        <x:v>Jul 2026</x:v>
      </x:c>
    </x:row>
    <x:row r="3478" ht="21" customHeight="1">
      <x:c r="A3478" s="10" t="n">
        <x:v>46220</x:v>
      </x:c>
      <x:c r="B3478" s="1" t="n">
        <x:v>23</x:v>
      </x:c>
      <x:c r="C3478" s="1" t="n">
        <x:v>6</x:v>
      </x:c>
      <x:c r="D3478" s="12" t="n">
        <x:v>0</x:v>
      </x:c>
      <x:c r="E3478" s="12" t="n">
        <x:v>0.37175</x:v>
      </x:c>
      <x:c r="F3478" s="12" t="n">
        <x:v>0.3716666666666667</x:v>
      </x:c>
      <x:c r="G3478" s="12" t="n">
        <x:v>0</x:v>
      </x:c>
      <x:c r="H3478" s="1" t="n">
        <x:f>'Historical prices'!E3478</x:f>
        <x:v>1.05</x:v>
      </x:c>
      <x:c r="I3478" s="6" t="n">
        <x:f>'Historical prices'!D3478</x:f>
        <x:v>0.2311</x:v>
      </x:c>
      <x:c r="J3478" s="13" t="n">
        <x:f>D3478*I3478*H3478</x:f>
        <x:v>0</x:v>
      </x:c>
      <x:c r="K3478" s="13" t="n">
        <x:f>E3478*I3478*H3478</x:f>
        <x:v>0.09020699625</x:v>
      </x:c>
      <x:c r="L3478" s="1" t="str">
        <x:f>TEXT(A3478,"mmm yyyy")</x:f>
        <x:v>Jul 2026</x:v>
      </x:c>
    </x:row>
    <x:row r="3479" ht="21" customHeight="1">
      <x:c r="A3479" s="10" t="n">
        <x:v>46220</x:v>
      </x:c>
      <x:c r="B3479" s="1" t="n">
        <x:v>23.5</x:v>
      </x:c>
      <x:c r="C3479" s="1" t="n">
        <x:v>6</x:v>
      </x:c>
      <x:c r="D3479" s="12" t="n">
        <x:v>0</x:v>
      </x:c>
      <x:c r="E3479" s="12" t="n">
        <x:v>0.4285833333333333</x:v>
      </x:c>
      <x:c r="F3479" s="12" t="n">
        <x:v>0.42683333333333334</x:v>
      </x:c>
      <x:c r="G3479" s="12" t="n">
        <x:v>0</x:v>
      </x:c>
      <x:c r="H3479" s="1" t="n">
        <x:f>'Historical prices'!E3479</x:f>
        <x:v>1.05</x:v>
      </x:c>
      <x:c r="I3479" s="6" t="n">
        <x:f>'Historical prices'!D3479</x:f>
        <x:v>0.2396</x:v>
      </x:c>
      <x:c r="J3479" s="13" t="n">
        <x:f>D3479*I3479*H3479</x:f>
        <x:v>0</x:v>
      </x:c>
      <x:c r="K3479" s="13" t="n">
        <x:f>E3479*I3479*H3479</x:f>
        <x:v>0.107822995</x:v>
      </x:c>
      <x:c r="L3479" s="1" t="str">
        <x:f>TEXT(A3479,"mmm yyyy")</x:f>
        <x:v>Jul 2026</x:v>
      </x:c>
    </x:row>
    <x:row r="3480" ht="21" customHeight="1">
      <x:c r="A3480" s="10" t="n">
        <x:v>46221</x:v>
      </x:c>
      <x:c r="B3480" s="1" t="n">
        <x:v>0</x:v>
      </x:c>
      <x:c r="C3480" s="1" t="n">
        <x:v>6</x:v>
      </x:c>
      <x:c r="D3480" s="12" t="n">
        <x:v>0</x:v>
      </x:c>
      <x:c r="E3480" s="12" t="n">
        <x:v>0.32525000000000004</x:v>
      </x:c>
      <x:c r="F3480" s="12" t="n">
        <x:v>0.32366666666666666</x:v>
      </x:c>
      <x:c r="G3480" s="12" t="n">
        <x:v>0</x:v>
      </x:c>
      <x:c r="H3480" s="1" t="n">
        <x:f>'Historical prices'!E3480</x:f>
        <x:v>1.05</x:v>
      </x:c>
      <x:c r="I3480" s="6" t="n">
        <x:f>'Historical prices'!D3480</x:f>
        <x:v>0.23079999999999998</x:v>
      </x:c>
      <x:c r="J3480" s="13" t="n">
        <x:f>D3480*I3480*H3480</x:f>
        <x:v>0</x:v>
      </x:c>
      <x:c r="K3480" s="13" t="n">
        <x:f>E3480*I3480*H3480</x:f>
        <x:v>0.078821085</x:v>
      </x:c>
      <x:c r="L3480" s="1" t="str">
        <x:f>TEXT(A3480,"mmm yyyy")</x:f>
        <x:v>Jul 2026</x:v>
      </x:c>
    </x:row>
    <x:row r="3481" ht="21" customHeight="1">
      <x:c r="A3481" s="10" t="n">
        <x:v>46221</x:v>
      </x:c>
      <x:c r="B3481" s="1" t="n">
        <x:v>0.5</x:v>
      </x:c>
      <x:c r="C3481" s="1" t="n">
        <x:v>6</x:v>
      </x:c>
      <x:c r="D3481" s="12" t="n">
        <x:v>0</x:v>
      </x:c>
      <x:c r="E3481" s="12" t="n">
        <x:v>0.6648333333333335</x:v>
      </x:c>
      <x:c r="F3481" s="12" t="n">
        <x:v>0.6646666666666667</x:v>
      </x:c>
      <x:c r="G3481" s="12" t="n">
        <x:v>0</x:v>
      </x:c>
      <x:c r="H3481" s="1" t="n">
        <x:f>'Historical prices'!E3481</x:f>
        <x:v>1.05</x:v>
      </x:c>
      <x:c r="I3481" s="6" t="n">
        <x:f>'Historical prices'!D3481</x:f>
        <x:v>0.228</x:v>
      </x:c>
      <x:c r="J3481" s="13" t="n">
        <x:f>D3481*I3481*H3481</x:f>
        <x:v>0</x:v>
      </x:c>
      <x:c r="K3481" s="13" t="n">
        <x:f>E3481*I3481*H3481</x:f>
        <x:v>0.15916110000000006</x:v>
      </x:c>
      <x:c r="L3481" s="1" t="str">
        <x:f>TEXT(A3481,"mmm yyyy")</x:f>
        <x:v>Jul 2026</x:v>
      </x:c>
    </x:row>
    <x:row r="3482" ht="21" customHeight="1">
      <x:c r="A3482" s="10" t="n">
        <x:v>46221</x:v>
      </x:c>
      <x:c r="B3482" s="1" t="n">
        <x:v>1</x:v>
      </x:c>
      <x:c r="C3482" s="1" t="n">
        <x:v>6</x:v>
      </x:c>
      <x:c r="D3482" s="12" t="n">
        <x:v>0</x:v>
      </x:c>
      <x:c r="E3482" s="12" t="n">
        <x:v>0.27991666666666665</x:v>
      </x:c>
      <x:c r="F3482" s="12" t="n">
        <x:v>0.2796666666666666</x:v>
      </x:c>
      <x:c r="G3482" s="12" t="n">
        <x:v>0</x:v>
      </x:c>
      <x:c r="H3482" s="1" t="n">
        <x:f>'Historical prices'!E3482</x:f>
        <x:v>1.05</x:v>
      </x:c>
      <x:c r="I3482" s="6" t="n">
        <x:f>'Historical prices'!D3482</x:f>
        <x:v>0.2207</x:v>
      </x:c>
      <x:c r="J3482" s="13" t="n">
        <x:f>D3482*I3482*H3482</x:f>
        <x:v>0</x:v>
      </x:c>
      <x:c r="K3482" s="13" t="n">
        <x:f>E3482*I3482*H3482</x:f>
        <x:v>0.06486648875</x:v>
      </x:c>
      <x:c r="L3482" s="1" t="str">
        <x:f>TEXT(A3482,"mmm yyyy")</x:f>
        <x:v>Jul 2026</x:v>
      </x:c>
    </x:row>
    <x:row r="3483" ht="21" customHeight="1">
      <x:c r="A3483" s="10" t="n">
        <x:v>46221</x:v>
      </x:c>
      <x:c r="B3483" s="1" t="n">
        <x:v>1.5</x:v>
      </x:c>
      <x:c r="C3483" s="1" t="n">
        <x:v>6</x:v>
      </x:c>
      <x:c r="D3483" s="12" t="n">
        <x:v>0</x:v>
      </x:c>
      <x:c r="E3483" s="12" t="n">
        <x:v>0.36583333333333334</x:v>
      </x:c>
      <x:c r="F3483" s="12" t="n">
        <x:v>0.36575</x:v>
      </x:c>
      <x:c r="G3483" s="12" t="n">
        <x:v>0</x:v>
      </x:c>
      <x:c r="H3483" s="1" t="n">
        <x:f>'Historical prices'!E3483</x:f>
        <x:v>1.05</x:v>
      </x:c>
      <x:c r="I3483" s="6" t="n">
        <x:f>'Historical prices'!D3483</x:f>
        <x:v>0.2207</x:v>
      </x:c>
      <x:c r="J3483" s="13" t="n">
        <x:f>D3483*I3483*H3483</x:f>
        <x:v>0</x:v>
      </x:c>
      <x:c r="K3483" s="13" t="n">
        <x:f>E3483*I3483*H3483</x:f>
        <x:v>0.08477638750000001</x:v>
      </x:c>
      <x:c r="L3483" s="1" t="str">
        <x:f>TEXT(A3483,"mmm yyyy")</x:f>
        <x:v>Jul 2026</x:v>
      </x:c>
    </x:row>
    <x:row r="3484" ht="21" customHeight="1">
      <x:c r="A3484" s="10" t="n">
        <x:v>46221</x:v>
      </x:c>
      <x:c r="B3484" s="1" t="n">
        <x:v>2</x:v>
      </x:c>
      <x:c r="C3484" s="1" t="n">
        <x:v>6</x:v>
      </x:c>
      <x:c r="D3484" s="12" t="n">
        <x:v>0</x:v>
      </x:c>
      <x:c r="E3484" s="12" t="n">
        <x:v>0.317</x:v>
      </x:c>
      <x:c r="F3484" s="12" t="n">
        <x:v>0.31675</x:v>
      </x:c>
      <x:c r="G3484" s="12" t="n">
        <x:v>0</x:v>
      </x:c>
      <x:c r="H3484" s="1" t="n">
        <x:f>'Historical prices'!E3484</x:f>
        <x:v>1.05</x:v>
      </x:c>
      <x:c r="I3484" s="6" t="n">
        <x:f>'Historical prices'!D3484</x:f>
        <x:v>0.22030000000000002</x:v>
      </x:c>
      <x:c r="J3484" s="13" t="n">
        <x:f>D3484*I3484*H3484</x:f>
        <x:v>0</x:v>
      </x:c>
      <x:c r="K3484" s="13" t="n">
        <x:f>E3484*I3484*H3484</x:f>
        <x:v>0.07332685500000001</x:v>
      </x:c>
      <x:c r="L3484" s="1" t="str">
        <x:f>TEXT(A3484,"mmm yyyy")</x:f>
        <x:v>Jul 2026</x:v>
      </x:c>
    </x:row>
    <x:row r="3485" ht="21" customHeight="1">
      <x:c r="A3485" s="10" t="n">
        <x:v>46221</x:v>
      </x:c>
      <x:c r="B3485" s="1" t="n">
        <x:v>2.5</x:v>
      </x:c>
      <x:c r="C3485" s="1" t="n">
        <x:v>6</x:v>
      </x:c>
      <x:c r="D3485" s="12" t="n">
        <x:v>0</x:v>
      </x:c>
      <x:c r="E3485" s="12" t="n">
        <x:v>0.2559166666666667</x:v>
      </x:c>
      <x:c r="F3485" s="12" t="n">
        <x:v>0.25583333333333336</x:v>
      </x:c>
      <x:c r="G3485" s="12" t="n">
        <x:v>0</x:v>
      </x:c>
      <x:c r="H3485" s="1" t="n">
        <x:f>'Historical prices'!E3485</x:f>
        <x:v>1.05</x:v>
      </x:c>
      <x:c r="I3485" s="6" t="n">
        <x:f>'Historical prices'!D3485</x:f>
        <x:v>0.20739999999999997</x:v>
      </x:c>
      <x:c r="J3485" s="13" t="n">
        <x:f>D3485*I3485*H3485</x:f>
        <x:v>0</x:v>
      </x:c>
      <x:c r="K3485" s="13" t="n">
        <x:f>E3485*I3485*H3485</x:f>
        <x:v>0.055730972499999996</x:v>
      </x:c>
      <x:c r="L3485" s="1" t="str">
        <x:f>TEXT(A3485,"mmm yyyy")</x:f>
        <x:v>Jul 2026</x:v>
      </x:c>
    </x:row>
    <x:row r="3486" ht="21" customHeight="1">
      <x:c r="A3486" s="10" t="n">
        <x:v>46221</x:v>
      </x:c>
      <x:c r="B3486" s="1" t="n">
        <x:v>3</x:v>
      </x:c>
      <x:c r="C3486" s="1" t="n">
        <x:v>6</x:v>
      </x:c>
      <x:c r="D3486" s="12" t="n">
        <x:v>0</x:v>
      </x:c>
      <x:c r="E3486" s="12" t="n">
        <x:v>0.29883333333333334</x:v>
      </x:c>
      <x:c r="F3486" s="12" t="n">
        <x:v>0.2986666666666667</x:v>
      </x:c>
      <x:c r="G3486" s="12" t="n">
        <x:v>0</x:v>
      </x:c>
      <x:c r="H3486" s="1" t="n">
        <x:f>'Historical prices'!E3486</x:f>
        <x:v>1.05</x:v>
      </x:c>
      <x:c r="I3486" s="6" t="n">
        <x:f>'Historical prices'!D3486</x:f>
        <x:v>0.2163</x:v>
      </x:c>
      <x:c r="J3486" s="13" t="n">
        <x:f>D3486*I3486*H3486</x:f>
        <x:v>0</x:v>
      </x:c>
      <x:c r="K3486" s="13" t="n">
        <x:f>E3486*I3486*H3486</x:f>
        <x:v>0.06786953250000001</x:v>
      </x:c>
      <x:c r="L3486" s="1" t="str">
        <x:f>TEXT(A3486,"mmm yyyy")</x:f>
        <x:v>Jul 2026</x:v>
      </x:c>
    </x:row>
    <x:row r="3487" ht="21" customHeight="1">
      <x:c r="A3487" s="10" t="n">
        <x:v>46221</x:v>
      </x:c>
      <x:c r="B3487" s="1" t="n">
        <x:v>3.5</x:v>
      </x:c>
      <x:c r="C3487" s="1" t="n">
        <x:v>6</x:v>
      </x:c>
      <x:c r="D3487" s="12" t="n">
        <x:v>0</x:v>
      </x:c>
      <x:c r="E3487" s="12" t="n">
        <x:v>0.34241666666666665</x:v>
      </x:c>
      <x:c r="F3487" s="12" t="n">
        <x:v>0.34075</x:v>
      </x:c>
      <x:c r="G3487" s="12" t="n">
        <x:v>0</x:v>
      </x:c>
      <x:c r="H3487" s="1" t="n">
        <x:f>'Historical prices'!E3487</x:f>
        <x:v>1.05</x:v>
      </x:c>
      <x:c r="I3487" s="6" t="n">
        <x:f>'Historical prices'!D3487</x:f>
        <x:v>0.2143</x:v>
      </x:c>
      <x:c r="J3487" s="13" t="n">
        <x:f>D3487*I3487*H3487</x:f>
        <x:v>0</x:v>
      </x:c>
      <x:c r="K3487" s="13" t="n">
        <x:f>E3487*I3487*H3487</x:f>
        <x:v>0.07704888624999999</x:v>
      </x:c>
      <x:c r="L3487" s="1" t="str">
        <x:f>TEXT(A3487,"mmm yyyy")</x:f>
        <x:v>Jul 2026</x:v>
      </x:c>
    </x:row>
    <x:row r="3488" ht="21" customHeight="1">
      <x:c r="A3488" s="10" t="n">
        <x:v>46221</x:v>
      </x:c>
      <x:c r="B3488" s="1" t="n">
        <x:v>4</x:v>
      </x:c>
      <x:c r="C3488" s="1" t="n">
        <x:v>6</x:v>
      </x:c>
      <x:c r="D3488" s="12" t="n">
        <x:v>0</x:v>
      </x:c>
      <x:c r="E3488" s="12" t="n">
        <x:v>0.31708333333333333</x:v>
      </x:c>
      <x:c r="F3488" s="12" t="n">
        <x:v>0.31675</x:v>
      </x:c>
      <x:c r="G3488" s="12" t="n">
        <x:v>0</x:v>
      </x:c>
      <x:c r="H3488" s="1" t="n">
        <x:f>'Historical prices'!E3488</x:f>
        <x:v>1.05</x:v>
      </x:c>
      <x:c r="I3488" s="6" t="n">
        <x:f>'Historical prices'!D3488</x:f>
        <x:v>0.2227</x:v>
      </x:c>
      <x:c r="J3488" s="13" t="n">
        <x:f>D3488*I3488*H3488</x:f>
        <x:v>0</x:v>
      </x:c>
      <x:c r="K3488" s="13" t="n">
        <x:f>E3488*I3488*H3488</x:f>
        <x:v>0.07414518125000001</x:v>
      </x:c>
      <x:c r="L3488" s="1" t="str">
        <x:f>TEXT(A3488,"mmm yyyy")</x:f>
        <x:v>Jul 2026</x:v>
      </x:c>
    </x:row>
    <x:row r="3489" ht="21" customHeight="1">
      <x:c r="A3489" s="10" t="n">
        <x:v>46221</x:v>
      </x:c>
      <x:c r="B3489" s="1" t="n">
        <x:v>4.5</x:v>
      </x:c>
      <x:c r="C3489" s="1" t="n">
        <x:v>6</x:v>
      </x:c>
      <x:c r="D3489" s="12" t="n">
        <x:v>0</x:v>
      </x:c>
      <x:c r="E3489" s="12" t="n">
        <x:v>0.33816666666666667</x:v>
      </x:c>
      <x:c r="F3489" s="12" t="n">
        <x:v>0.33766666666666667</x:v>
      </x:c>
      <x:c r="G3489" s="12" t="n">
        <x:v>0</x:v>
      </x:c>
      <x:c r="H3489" s="1" t="n">
        <x:f>'Historical prices'!E3489</x:f>
        <x:v>1.05</x:v>
      </x:c>
      <x:c r="I3489" s="6" t="n">
        <x:f>'Historical prices'!D3489</x:f>
        <x:v>0.2211</x:v>
      </x:c>
      <x:c r="J3489" s="13" t="n">
        <x:f>D3489*I3489*H3489</x:f>
        <x:v>0</x:v>
      </x:c>
      <x:c r="K3489" s="13" t="n">
        <x:f>E3489*I3489*H3489</x:f>
        <x:v>0.07850708249999999</x:v>
      </x:c>
      <x:c r="L3489" s="1" t="str">
        <x:f>TEXT(A3489,"mmm yyyy")</x:f>
        <x:v>Jul 2026</x:v>
      </x:c>
    </x:row>
    <x:row r="3490" ht="21" customHeight="1">
      <x:c r="A3490" s="10" t="n">
        <x:v>46221</x:v>
      </x:c>
      <x:c r="B3490" s="1" t="n">
        <x:v>5</x:v>
      </x:c>
      <x:c r="C3490" s="1" t="n">
        <x:v>6</x:v>
      </x:c>
      <x:c r="D3490" s="12" t="n">
        <x:v>0</x:v>
      </x:c>
      <x:c r="E3490" s="12" t="n">
        <x:v>0.34191666666666665</x:v>
      </x:c>
      <x:c r="F3490" s="12" t="n">
        <x:v>0.34158333333333335</x:v>
      </x:c>
      <x:c r="G3490" s="12" t="n">
        <x:v>0</x:v>
      </x:c>
      <x:c r="H3490" s="1" t="n">
        <x:f>'Historical prices'!E3490</x:f>
        <x:v>1.05</x:v>
      </x:c>
      <x:c r="I3490" s="6" t="n">
        <x:f>'Historical prices'!D3490</x:f>
        <x:v>0.2014</x:v>
      </x:c>
      <x:c r="J3490" s="13" t="n">
        <x:f>D3490*I3490*H3490</x:f>
        <x:v>0</x:v>
      </x:c>
      <x:c r="K3490" s="13" t="n">
        <x:f>E3490*I3490*H3490</x:f>
        <x:v>0.0723051175</x:v>
      </x:c>
      <x:c r="L3490" s="1" t="str">
        <x:f>TEXT(A3490,"mmm yyyy")</x:f>
        <x:v>Jul 2026</x:v>
      </x:c>
    </x:row>
    <x:row r="3491" ht="21" customHeight="1">
      <x:c r="A3491" s="10" t="n">
        <x:v>46221</x:v>
      </x:c>
      <x:c r="B3491" s="1" t="n">
        <x:v>5.5</x:v>
      </x:c>
      <x:c r="C3491" s="1" t="n">
        <x:v>6</x:v>
      </x:c>
      <x:c r="D3491" s="12" t="n">
        <x:v>0</x:v>
      </x:c>
      <x:c r="E3491" s="12" t="n">
        <x:v>0.3468333333333333</x:v>
      </x:c>
      <x:c r="F3491" s="12" t="n">
        <x:v>0.34675</x:v>
      </x:c>
      <x:c r="G3491" s="12" t="n">
        <x:v>0</x:v>
      </x:c>
      <x:c r="H3491" s="1" t="n">
        <x:f>'Historical prices'!E3491</x:f>
        <x:v>1.05</x:v>
      </x:c>
      <x:c r="I3491" s="6" t="n">
        <x:f>'Historical prices'!D3491</x:f>
        <x:v>0.2003</x:v>
      </x:c>
      <x:c r="J3491" s="13" t="n">
        <x:f>D3491*I3491*H3491</x:f>
        <x:v>0</x:v>
      </x:c>
      <x:c r="K3491" s="13" t="n">
        <x:f>E3491*I3491*H3491</x:f>
        <x:v>0.0729442525</x:v>
      </x:c>
      <x:c r="L3491" s="1" t="str">
        <x:f>TEXT(A3491,"mmm yyyy")</x:f>
        <x:v>Jul 2026</x:v>
      </x:c>
    </x:row>
    <x:row r="3492" ht="21" customHeight="1">
      <x:c r="A3492" s="10" t="n">
        <x:v>46221</x:v>
      </x:c>
      <x:c r="B3492" s="1" t="n">
        <x:v>6</x:v>
      </x:c>
      <x:c r="C3492" s="1" t="n">
        <x:v>6</x:v>
      </x:c>
      <x:c r="D3492" s="12" t="n">
        <x:v>0</x:v>
      </x:c>
      <x:c r="E3492" s="12" t="n">
        <x:v>0.33575000000000005</x:v>
      </x:c>
      <x:c r="F3492" s="12" t="n">
        <x:v>0.3355</x:v>
      </x:c>
      <x:c r="G3492" s="12" t="n">
        <x:v>0</x:v>
      </x:c>
      <x:c r="H3492" s="1" t="n">
        <x:f>'Historical prices'!E3492</x:f>
        <x:v>1.05</x:v>
      </x:c>
      <x:c r="I3492" s="6" t="n">
        <x:f>'Historical prices'!D3492</x:f>
        <x:v>0.18710000000000002</x:v>
      </x:c>
      <x:c r="J3492" s="13" t="n">
        <x:f>D3492*I3492*H3492</x:f>
        <x:v>0</x:v>
      </x:c>
      <x:c r="K3492" s="13" t="n">
        <x:f>E3492*I3492*H3492</x:f>
        <x:v>0.06595976625000001</x:v>
      </x:c>
      <x:c r="L3492" s="1" t="str">
        <x:f>TEXT(A3492,"mmm yyyy")</x:f>
        <x:v>Jul 2026</x:v>
      </x:c>
    </x:row>
    <x:row r="3493" ht="21" customHeight="1">
      <x:c r="A3493" s="10" t="n">
        <x:v>46221</x:v>
      </x:c>
      <x:c r="B3493" s="1" t="n">
        <x:v>6.5</x:v>
      </x:c>
      <x:c r="C3493" s="1" t="n">
        <x:v>6</x:v>
      </x:c>
      <x:c r="D3493" s="12" t="n">
        <x:v>0</x:v>
      </x:c>
      <x:c r="E3493" s="12" t="n">
        <x:v>0.5609166666666667</x:v>
      </x:c>
      <x:c r="F3493" s="12" t="n">
        <x:v>0.5606666666666666</x:v>
      </x:c>
      <x:c r="G3493" s="12" t="n">
        <x:v>0</x:v>
      </x:c>
      <x:c r="H3493" s="1" t="n">
        <x:f>'Historical prices'!E3493</x:f>
        <x:v>1.05</x:v>
      </x:c>
      <x:c r="I3493" s="6" t="n">
        <x:f>'Historical prices'!D3493</x:f>
        <x:v>0.18710000000000002</x:v>
      </x:c>
      <x:c r="J3493" s="13" t="n">
        <x:f>D3493*I3493*H3493</x:f>
        <x:v>0</x:v>
      </x:c>
      <x:c r="K3493" s="13" t="n">
        <x:f>E3493*I3493*H3493</x:f>
        <x:v>0.11019488375000003</x:v>
      </x:c>
      <x:c r="L3493" s="1" t="str">
        <x:f>TEXT(A3493,"mmm yyyy")</x:f>
        <x:v>Jul 2026</x:v>
      </x:c>
    </x:row>
    <x:row r="3494" ht="21" customHeight="1">
      <x:c r="A3494" s="10" t="n">
        <x:v>46221</x:v>
      </x:c>
      <x:c r="B3494" s="1" t="n">
        <x:v>7</x:v>
      </x:c>
      <x:c r="C3494" s="1" t="n">
        <x:v>6</x:v>
      </x:c>
      <x:c r="D3494" s="12" t="n">
        <x:v>0.33858333333333335</x:v>
      </x:c>
      <x:c r="E3494" s="12" t="n">
        <x:v>0.4185</x:v>
      </x:c>
      <x:c r="F3494" s="12" t="n">
        <x:v>0.07091666666666667</x:v>
      </x:c>
      <x:c r="G3494" s="12" t="n">
        <x:v>0</x:v>
      </x:c>
      <x:c r="H3494" s="1" t="n">
        <x:f>'Historical prices'!E3494</x:f>
        <x:v>1.05</x:v>
      </x:c>
      <x:c r="I3494" s="6" t="n">
        <x:f>'Historical prices'!D3494</x:f>
        <x:v>0.15560000000000002</x:v>
      </x:c>
      <x:c r="J3494" s="13" t="n">
        <x:f>D3494*I3494*H3494</x:f>
        <x:v>0.05531774500000001</x:v>
      </x:c>
      <x:c r="K3494" s="13" t="n">
        <x:f>E3494*I3494*H3494</x:f>
        <x:v>0.06837453</x:v>
      </x:c>
      <x:c r="L3494" s="1" t="str">
        <x:f>TEXT(A3494,"mmm yyyy")</x:f>
        <x:v>Jul 2026</x:v>
      </x:c>
    </x:row>
    <x:row r="3495" ht="21" customHeight="1">
      <x:c r="A3495" s="10" t="n">
        <x:v>46221</x:v>
      </x:c>
      <x:c r="B3495" s="1" t="n">
        <x:v>7.5</x:v>
      </x:c>
      <x:c r="C3495" s="1" t="n">
        <x:v>6</x:v>
      </x:c>
      <x:c r="D3495" s="12" t="n">
        <x:v>1.1395833333333334</x:v>
      </x:c>
      <x:c r="E3495" s="12" t="n">
        <x:v>1.1505833333333335</x:v>
      </x:c>
      <x:c r="F3495" s="12" t="n">
        <x:v>0</x:v>
      </x:c>
      <x:c r="G3495" s="12" t="n">
        <x:v>0</x:v>
      </x:c>
      <x:c r="H3495" s="1" t="n">
        <x:f>'Historical prices'!E3495</x:f>
        <x:v>1.05</x:v>
      </x:c>
      <x:c r="I3495" s="6" t="n">
        <x:f>'Historical prices'!D3495</x:f>
        <x:v>0.15560000000000002</x:v>
      </x:c>
      <x:c r="J3495" s="13" t="n">
        <x:f>D3495*I3495*H3495</x:f>
        <x:v>0.18618512500000003</x:v>
      </x:c>
      <x:c r="K3495" s="13" t="n">
        <x:f>E3495*I3495*H3495</x:f>
        <x:v>0.18798230500000004</x:v>
      </x:c>
      <x:c r="L3495" s="1" t="str">
        <x:f>TEXT(A3495,"mmm yyyy")</x:f>
        <x:v>Jul 2026</x:v>
      </x:c>
    </x:row>
    <x:row r="3496" ht="21" customHeight="1">
      <x:c r="A3496" s="10" t="n">
        <x:v>46221</x:v>
      </x:c>
      <x:c r="B3496" s="1" t="n">
        <x:v>8</x:v>
      </x:c>
      <x:c r="C3496" s="1" t="n">
        <x:v>6</x:v>
      </x:c>
      <x:c r="D3496" s="12" t="n">
        <x:v>0.08816666666666667</x:v>
      </x:c>
      <x:c r="E3496" s="12" t="n">
        <x:v>0.5520833333333333</x:v>
      </x:c>
      <x:c r="F3496" s="12" t="n">
        <x:v>0.4618333333333334</x:v>
      </x:c>
      <x:c r="G3496" s="12" t="n">
        <x:v>0</x:v>
      </x:c>
      <x:c r="H3496" s="1" t="n">
        <x:f>'Historical prices'!E3496</x:f>
        <x:v>1.05</x:v>
      </x:c>
      <x:c r="I3496" s="6" t="n">
        <x:f>'Historical prices'!D3496</x:f>
        <x:v>0.1602</x:v>
      </x:c>
      <x:c r="J3496" s="13" t="n">
        <x:f>D3496*I3496*H3496</x:f>
        <x:v>0.014830515000000002</x:v>
      </x:c>
      <x:c r="K3496" s="13" t="n">
        <x:f>E3496*I3496*H3496</x:f>
        <x:v>0.0928659375</x:v>
      </x:c>
      <x:c r="L3496" s="1" t="str">
        <x:f>TEXT(A3496,"mmm yyyy")</x:f>
        <x:v>Jul 2026</x:v>
      </x:c>
    </x:row>
    <x:row r="3497" ht="21" customHeight="1">
      <x:c r="A3497" s="10" t="n">
        <x:v>46221</x:v>
      </x:c>
      <x:c r="B3497" s="1" t="n">
        <x:v>8.5</x:v>
      </x:c>
      <x:c r="C3497" s="1" t="n">
        <x:v>6</x:v>
      </x:c>
      <x:c r="D3497" s="12" t="n">
        <x:v>0.24933333333333332</x:v>
      </x:c>
      <x:c r="E3497" s="12" t="n">
        <x:v>0.6054999999999999</x:v>
      </x:c>
      <x:c r="F3497" s="12" t="n">
        <x:v>0.39775</x:v>
      </x:c>
      <x:c r="G3497" s="12" t="n">
        <x:v>0.039</x:v>
      </x:c>
      <x:c r="H3497" s="1" t="n">
        <x:f>'Historical prices'!E3497</x:f>
        <x:v>1.05</x:v>
      </x:c>
      <x:c r="I3497" s="6" t="n">
        <x:f>'Historical prices'!D3497</x:f>
        <x:v>0.1598</x:v>
      </x:c>
      <x:c r="J3497" s="13" t="n">
        <x:f>D3497*I3497*H3497</x:f>
        <x:v>0.04183564</x:v>
      </x:c>
      <x:c r="K3497" s="13" t="n">
        <x:f>E3497*I3497*H3497</x:f>
        <x:v>0.10159684499999999</x:v>
      </x:c>
      <x:c r="L3497" s="1" t="str">
        <x:f>TEXT(A3497,"mmm yyyy")</x:f>
        <x:v>Jul 2026</x:v>
      </x:c>
    </x:row>
    <x:row r="3498" ht="21" customHeight="1">
      <x:c r="A3498" s="10" t="n">
        <x:v>46221</x:v>
      </x:c>
      <x:c r="B3498" s="1" t="n">
        <x:v>9</x:v>
      </x:c>
      <x:c r="C3498" s="1" t="n">
        <x:v>6</x:v>
      </x:c>
      <x:c r="D3498" s="12" t="n">
        <x:v>0.47908333333333336</x:v>
      </x:c>
      <x:c r="E3498" s="12" t="n">
        <x:v>0.47808333333333336</x:v>
      </x:c>
      <x:c r="F3498" s="12" t="n">
        <x:v>0</x:v>
      </x:c>
      <x:c r="G3498" s="12" t="n">
        <x:v>0.011</x:v>
      </x:c>
      <x:c r="H3498" s="1" t="n">
        <x:f>'Historical prices'!E3498</x:f>
        <x:v>1.05</x:v>
      </x:c>
      <x:c r="I3498" s="6" t="n">
        <x:f>'Historical prices'!D3498</x:f>
        <x:v>0.1451</x:v>
      </x:c>
      <x:c r="J3498" s="13" t="n">
        <x:f>D3498*I3498*H3498</x:f>
        <x:v>0.07299074125000002</x:v>
      </x:c>
      <x:c r="K3498" s="13" t="n">
        <x:f>E3498*I3498*H3498</x:f>
        <x:v>0.07283838625000001</x:v>
      </x:c>
      <x:c r="L3498" s="1" t="str">
        <x:f>TEXT(A3498,"mmm yyyy")</x:f>
        <x:v>Jul 2026</x:v>
      </x:c>
    </x:row>
    <x:row r="3499" ht="21" customHeight="1">
      <x:c r="A3499" s="10" t="n">
        <x:v>46221</x:v>
      </x:c>
      <x:c r="B3499" s="1" t="n">
        <x:v>9.5</x:v>
      </x:c>
      <x:c r="C3499" s="1" t="n">
        <x:v>6</x:v>
      </x:c>
      <x:c r="D3499" s="12" t="n">
        <x:v>0.42841666666666667</x:v>
      </x:c>
      <x:c r="E3499" s="12" t="n">
        <x:v>0.4404166666666666</x:v>
      </x:c>
      <x:c r="F3499" s="12" t="n">
        <x:v>0</x:v>
      </x:c>
      <x:c r="G3499" s="12" t="n">
        <x:v>0</x:v>
      </x:c>
      <x:c r="H3499" s="1" t="n">
        <x:f>'Historical prices'!E3499</x:f>
        <x:v>1.05</x:v>
      </x:c>
      <x:c r="I3499" s="6" t="n">
        <x:f>'Historical prices'!D3499</x:f>
        <x:v>0.1326</x:v>
      </x:c>
      <x:c r="J3499" s="13" t="n">
        <x:f>D3499*I3499*H3499</x:f>
        <x:v>0.059648452500000004</x:v>
      </x:c>
      <x:c r="K3499" s="13" t="n">
        <x:f>E3499*I3499*H3499</x:f>
        <x:v>0.0613192125</x:v>
      </x:c>
      <x:c r="L3499" s="1" t="str">
        <x:f>TEXT(A3499,"mmm yyyy")</x:f>
        <x:v>Jul 2026</x:v>
      </x:c>
    </x:row>
    <x:row r="3500" ht="21" customHeight="1">
      <x:c r="A3500" s="10" t="n">
        <x:v>46221</x:v>
      </x:c>
      <x:c r="B3500" s="1" t="n">
        <x:v>10</x:v>
      </x:c>
      <x:c r="C3500" s="1" t="n">
        <x:v>6</x:v>
      </x:c>
      <x:c r="D3500" s="12" t="n">
        <x:v>0.61225</x:v>
      </x:c>
      <x:c r="E3500" s="12" t="n">
        <x:v>0.6172500000000001</x:v>
      </x:c>
      <x:c r="F3500" s="12" t="n">
        <x:v>0</x:v>
      </x:c>
      <x:c r="G3500" s="12" t="n">
        <x:v>0</x:v>
      </x:c>
      <x:c r="H3500" s="1" t="n">
        <x:f>'Historical prices'!E3500</x:f>
        <x:v>1.05</x:v>
      </x:c>
      <x:c r="I3500" s="6" t="n">
        <x:f>'Historical prices'!D3500</x:f>
        <x:v>0.1249</x:v>
      </x:c>
      <x:c r="J3500" s="13" t="n">
        <x:f>D3500*I3500*H3500</x:f>
        <x:v>0.08029352625</x:v>
      </x:c>
      <x:c r="K3500" s="13" t="n">
        <x:f>E3500*I3500*H3500</x:f>
        <x:v>0.08094925125000002</x:v>
      </x:c>
      <x:c r="L3500" s="1" t="str">
        <x:f>TEXT(A3500,"mmm yyyy")</x:f>
        <x:v>Jul 2026</x:v>
      </x:c>
    </x:row>
    <x:row r="3501" ht="21" customHeight="1">
      <x:c r="A3501" s="10" t="n">
        <x:v>46221</x:v>
      </x:c>
      <x:c r="B3501" s="1" t="n">
        <x:v>10.5</x:v>
      </x:c>
      <x:c r="C3501" s="1" t="n">
        <x:v>6</x:v>
      </x:c>
      <x:c r="D3501" s="12" t="n">
        <x:v>0.41150000000000003</x:v>
      </x:c>
      <x:c r="E3501" s="12" t="n">
        <x:v>0.41750000000000004</x:v>
      </x:c>
      <x:c r="F3501" s="12" t="n">
        <x:v>0</x:v>
      </x:c>
      <x:c r="G3501" s="12" t="n">
        <x:v>0</x:v>
      </x:c>
      <x:c r="H3501" s="1" t="n">
        <x:f>'Historical prices'!E3501</x:f>
        <x:v>1.05</x:v>
      </x:c>
      <x:c r="I3501" s="6" t="n">
        <x:f>'Historical prices'!D3501</x:f>
        <x:v>0.12029999999999999</x:v>
      </x:c>
      <x:c r="J3501" s="13" t="n">
        <x:f>D3501*I3501*H3501</x:f>
        <x:v>0.0519786225</x:v>
      </x:c>
      <x:c r="K3501" s="13" t="n">
        <x:f>E3501*I3501*H3501</x:f>
        <x:v>0.0527365125</x:v>
      </x:c>
      <x:c r="L3501" s="1" t="str">
        <x:f>TEXT(A3501,"mmm yyyy")</x:f>
        <x:v>Jul 2026</x:v>
      </x:c>
    </x:row>
    <x:row r="3502" ht="21" customHeight="1">
      <x:c r="A3502" s="10" t="n">
        <x:v>46221</x:v>
      </x:c>
      <x:c r="B3502" s="1" t="n">
        <x:v>11</x:v>
      </x:c>
      <x:c r="C3502" s="1" t="n">
        <x:v>6</x:v>
      </x:c>
      <x:c r="D3502" s="12" t="n">
        <x:v>0.38458333333333333</x:v>
      </x:c>
      <x:c r="E3502" s="12" t="n">
        <x:v>0.38858333333333334</x:v>
      </x:c>
      <x:c r="F3502" s="12" t="n">
        <x:v>0</x:v>
      </x:c>
      <x:c r="G3502" s="12" t="n">
        <x:v>0</x:v>
      </x:c>
      <x:c r="H3502" s="1" t="n">
        <x:f>'Historical prices'!E3502</x:f>
        <x:v>1.05</x:v>
      </x:c>
      <x:c r="I3502" s="6" t="n">
        <x:f>'Historical prices'!D3502</x:f>
        <x:v>0.0993</x:v>
      </x:c>
      <x:c r="J3502" s="13" t="n">
        <x:f>D3502*I3502*H3502</x:f>
        <x:v>0.04009858125</x:v>
      </x:c>
      <x:c r="K3502" s="13" t="n">
        <x:f>E3502*I3502*H3502</x:f>
        <x:v>0.04051564125</x:v>
      </x:c>
      <x:c r="L3502" s="1" t="str">
        <x:f>TEXT(A3502,"mmm yyyy")</x:f>
        <x:v>Jul 2026</x:v>
      </x:c>
    </x:row>
    <x:row r="3503" ht="21" customHeight="1">
      <x:c r="A3503" s="10" t="n">
        <x:v>46221</x:v>
      </x:c>
      <x:c r="B3503" s="1" t="n">
        <x:v>11.5</x:v>
      </x:c>
      <x:c r="C3503" s="1" t="n">
        <x:v>6</x:v>
      </x:c>
      <x:c r="D3503" s="12" t="n">
        <x:v>0.5433333333333333</x:v>
      </x:c>
      <x:c r="E3503" s="12" t="n">
        <x:v>0.5473333333333333</x:v>
      </x:c>
      <x:c r="F3503" s="12" t="n">
        <x:v>0</x:v>
      </x:c>
      <x:c r="G3503" s="12" t="n">
        <x:v>0</x:v>
      </x:c>
      <x:c r="H3503" s="1" t="n">
        <x:f>'Historical prices'!E3503</x:f>
        <x:v>1.05</x:v>
      </x:c>
      <x:c r="I3503" s="6" t="n">
        <x:f>'Historical prices'!D3503</x:f>
        <x:v>0.07429999999999999</x:v>
      </x:c>
      <x:c r="J3503" s="13" t="n">
        <x:f>D3503*I3503*H3503</x:f>
        <x:v>0.04238815</x:v>
      </x:c>
      <x:c r="K3503" s="13" t="n">
        <x:f>E3503*I3503*H3503</x:f>
        <x:v>0.042700209999999995</x:v>
      </x:c>
      <x:c r="L3503" s="1" t="str">
        <x:f>TEXT(A3503,"mmm yyyy")</x:f>
        <x:v>Jul 2026</x:v>
      </x:c>
    </x:row>
    <x:row r="3504" ht="21" customHeight="1">
      <x:c r="A3504" s="10" t="n">
        <x:v>46221</x:v>
      </x:c>
      <x:c r="B3504" s="1" t="n">
        <x:v>12</x:v>
      </x:c>
      <x:c r="C3504" s="1" t="n">
        <x:v>6</x:v>
      </x:c>
      <x:c r="D3504" s="12" t="n">
        <x:v>0.35658333333333325</x:v>
      </x:c>
      <x:c r="E3504" s="12" t="n">
        <x:v>0.35858333333333325</x:v>
      </x:c>
      <x:c r="F3504" s="12" t="n">
        <x:v>0</x:v>
      </x:c>
      <x:c r="G3504" s="12" t="n">
        <x:v>0</x:v>
      </x:c>
      <x:c r="H3504" s="1" t="n">
        <x:f>'Historical prices'!E3504</x:f>
        <x:v>1.05</x:v>
      </x:c>
      <x:c r="I3504" s="6" t="n">
        <x:f>'Historical prices'!D3504</x:f>
        <x:v>0.07200000000000001</x:v>
      </x:c>
      <x:c r="J3504" s="13" t="n">
        <x:f>D3504*I3504*H3504</x:f>
        <x:v>0.026957699999999998</x:v>
      </x:c>
      <x:c r="K3504" s="13" t="n">
        <x:f>E3504*I3504*H3504</x:f>
        <x:v>0.0271089</x:v>
      </x:c>
      <x:c r="L3504" s="1" t="str">
        <x:f>TEXT(A3504,"mmm yyyy")</x:f>
        <x:v>Jul 2026</x:v>
      </x:c>
    </x:row>
    <x:row r="3505" ht="21" customHeight="1">
      <x:c r="A3505" s="10" t="n">
        <x:v>46221</x:v>
      </x:c>
      <x:c r="B3505" s="1" t="n">
        <x:v>12.5</x:v>
      </x:c>
      <x:c r="C3505" s="1" t="n">
        <x:v>6</x:v>
      </x:c>
      <x:c r="D3505" s="12" t="n">
        <x:v>0.7040833333333334</x:v>
      </x:c>
      <x:c r="E3505" s="12" t="n">
        <x:v>0.3710833333333333</x:v>
      </x:c>
      <x:c r="F3505" s="12" t="n">
        <x:v>0</x:v>
      </x:c>
      <x:c r="G3505" s="12" t="n">
        <x:v>0.334</x:v>
      </x:c>
      <x:c r="H3505" s="1" t="n">
        <x:f>'Historical prices'!E3505</x:f>
        <x:v>1.05</x:v>
      </x:c>
      <x:c r="I3505" s="6" t="n">
        <x:f>'Historical prices'!D3505</x:f>
        <x:v>0.0712</x:v>
      </x:c>
      <x:c r="J3505" s="13" t="n">
        <x:f>D3505*I3505*H3505</x:f>
        <x:v>0.05263727000000001</x:v>
      </x:c>
      <x:c r="K3505" s="13" t="n">
        <x:f>E3505*I3505*H3505</x:f>
        <x:v>0.02774219</x:v>
      </x:c>
      <x:c r="L3505" s="1" t="str">
        <x:f>TEXT(A3505,"mmm yyyy")</x:f>
        <x:v>Jul 2026</x:v>
      </x:c>
    </x:row>
    <x:row r="3506" ht="21" customHeight="1">
      <x:c r="A3506" s="10" t="n">
        <x:v>46221</x:v>
      </x:c>
      <x:c r="B3506" s="1" t="n">
        <x:v>13</x:v>
      </x:c>
      <x:c r="C3506" s="1" t="n">
        <x:v>6</x:v>
      </x:c>
      <x:c r="D3506" s="12" t="n">
        <x:v>4.627416666666666</x:v>
      </x:c>
      <x:c r="E3506" s="12" t="n">
        <x:v>0.5644166666666667</x:v>
      </x:c>
      <x:c r="F3506" s="12" t="n">
        <x:v>0</x:v>
      </x:c>
      <x:c r="G3506" s="12" t="n">
        <x:v>4.063000000000001</x:v>
      </x:c>
      <x:c r="H3506" s="1" t="n">
        <x:f>'Historical prices'!E3506</x:f>
        <x:v>1.05</x:v>
      </x:c>
      <x:c r="I3506" s="6" t="n">
        <x:f>'Historical prices'!D3506</x:f>
        <x:v>0.0633</x:v>
      </x:c>
      <x:c r="J3506" s="13" t="n">
        <x:f>D3506*I3506*H3506</x:f>
        <x:v>0.30756124874999996</x:v>
      </x:c>
      <x:c r="K3506" s="13" t="n">
        <x:f>E3506*I3506*H3506</x:f>
        <x:v>0.03751395375</x:v>
      </x:c>
      <x:c r="L3506" s="1" t="str">
        <x:f>TEXT(A3506,"mmm yyyy")</x:f>
        <x:v>Jul 2026</x:v>
      </x:c>
    </x:row>
    <x:row r="3507" ht="21" customHeight="1">
      <x:c r="A3507" s="10" t="n">
        <x:v>46221</x:v>
      </x:c>
      <x:c r="B3507" s="1" t="n">
        <x:v>13.5</x:v>
      </x:c>
      <x:c r="C3507" s="1" t="n">
        <x:v>6</x:v>
      </x:c>
      <x:c r="D3507" s="12" t="n">
        <x:v>5.401416666666667</x:v>
      </x:c>
      <x:c r="E3507" s="12" t="n">
        <x:v>0.6934166666666667</x:v>
      </x:c>
      <x:c r="F3507" s="12" t="n">
        <x:v>0</x:v>
      </x:c>
      <x:c r="G3507" s="12" t="n">
        <x:v>4.708</x:v>
      </x:c>
      <x:c r="H3507" s="1" t="n">
        <x:f>'Historical prices'!E3507</x:f>
        <x:v>1.05</x:v>
      </x:c>
      <x:c r="I3507" s="6" t="n">
        <x:f>'Historical prices'!D3507</x:f>
        <x:v>0.0591</x:v>
      </x:c>
      <x:c r="J3507" s="13" t="n">
        <x:f>D3507*I3507*H3507</x:f>
        <x:v>0.33518491125000005</x:v>
      </x:c>
      <x:c r="K3507" s="13" t="n">
        <x:f>E3507*I3507*H3507</x:f>
        <x:v>0.04302997125</x:v>
      </x:c>
      <x:c r="L3507" s="1" t="str">
        <x:f>TEXT(A3507,"mmm yyyy")</x:f>
        <x:v>Jul 2026</x:v>
      </x:c>
    </x:row>
    <x:row r="3508" ht="21" customHeight="1">
      <x:c r="A3508" s="10" t="n">
        <x:v>46221</x:v>
      </x:c>
      <x:c r="B3508" s="1" t="n">
        <x:v>14</x:v>
      </x:c>
      <x:c r="C3508" s="1" t="n">
        <x:v>6</x:v>
      </x:c>
      <x:c r="D3508" s="12" t="n">
        <x:v>5.8021666666666665</x:v>
      </x:c>
      <x:c r="E3508" s="12" t="n">
        <x:v>1.3391666666666666</x:v>
      </x:c>
      <x:c r="F3508" s="12" t="n">
        <x:v>0</x:v>
      </x:c>
      <x:c r="G3508" s="12" t="n">
        <x:v>4.463000000000001</x:v>
      </x:c>
      <x:c r="H3508" s="1" t="n">
        <x:f>'Historical prices'!E3508</x:f>
        <x:v>1.05</x:v>
      </x:c>
      <x:c r="I3508" s="6" t="n">
        <x:f>'Historical prices'!D3508</x:f>
        <x:v>0.0435</x:v>
      </x:c>
      <x:c r="J3508" s="13" t="n">
        <x:f>D3508*I3508*H3508</x:f>
        <x:v>0.2650139625</x:v>
      </x:c>
      <x:c r="K3508" s="13" t="n">
        <x:f>E3508*I3508*H3508</x:f>
        <x:v>0.0611664375</x:v>
      </x:c>
      <x:c r="L3508" s="1" t="str">
        <x:f>TEXT(A3508,"mmm yyyy")</x:f>
        <x:v>Jul 2026</x:v>
      </x:c>
    </x:row>
    <x:row r="3509" ht="21" customHeight="1">
      <x:c r="A3509" s="10" t="n">
        <x:v>46221</x:v>
      </x:c>
      <x:c r="B3509" s="1" t="n">
        <x:v>14.5</x:v>
      </x:c>
      <x:c r="C3509" s="1" t="n">
        <x:v>6</x:v>
      </x:c>
      <x:c r="D3509" s="12" t="n">
        <x:v>5.456583333333334</x:v>
      </x:c>
      <x:c r="E3509" s="12" t="n">
        <x:v>0.7065833333333333</x:v>
      </x:c>
      <x:c r="F3509" s="12" t="n">
        <x:v>0</x:v>
      </x:c>
      <x:c r="G3509" s="12" t="n">
        <x:v>4.75</x:v>
      </x:c>
      <x:c r="H3509" s="1" t="n">
        <x:f>'Historical prices'!E3509</x:f>
        <x:v>1.05</x:v>
      </x:c>
      <x:c r="I3509" s="6" t="n">
        <x:f>'Historical prices'!D3509</x:f>
        <x:v>0.0311</x:v>
      </x:c>
      <x:c r="J3509" s="13" t="n">
        <x:f>D3509*I3509*H3509</x:f>
        <x:v>0.17818472875000002</x:v>
      </x:c>
      <x:c r="K3509" s="13" t="n">
        <x:f>E3509*I3509*H3509</x:f>
        <x:v>0.02307347875</x:v>
      </x:c>
      <x:c r="L3509" s="1" t="str">
        <x:f>TEXT(A3509,"mmm yyyy")</x:f>
        <x:v>Jul 2026</x:v>
      </x:c>
    </x:row>
    <x:row r="3510" ht="21" customHeight="1">
      <x:c r="A3510" s="10" t="n">
        <x:v>46221</x:v>
      </x:c>
      <x:c r="B3510" s="1" t="n">
        <x:v>15</x:v>
      </x:c>
      <x:c r="C3510" s="1" t="n">
        <x:v>6</x:v>
      </x:c>
      <x:c r="D3510" s="12" t="n">
        <x:v>1.2438333333333333</x:v>
      </x:c>
      <x:c r="E3510" s="12" t="n">
        <x:v>0.4478333333333333</x:v>
      </x:c>
      <x:c r="F3510" s="12" t="n">
        <x:v>0</x:v>
      </x:c>
      <x:c r="G3510" s="12" t="n">
        <x:v>0.805</x:v>
      </x:c>
      <x:c r="H3510" s="1" t="n">
        <x:f>'Historical prices'!E3510</x:f>
        <x:v>1.05</x:v>
      </x:c>
      <x:c r="I3510" s="6" t="n">
        <x:f>'Historical prices'!D3510</x:f>
        <x:v>0.0737</x:v>
      </x:c>
      <x:c r="J3510" s="13" t="n">
        <x:f>D3510*I3510*H3510</x:f>
        <x:v>0.09625404250000001</x:v>
      </x:c>
      <x:c r="K3510" s="13" t="n">
        <x:f>E3510*I3510*H3510</x:f>
        <x:v>0.034655582500000004</x:v>
      </x:c>
      <x:c r="L3510" s="1" t="str">
        <x:f>TEXT(A3510,"mmm yyyy")</x:f>
        <x:v>Jul 2026</x:v>
      </x:c>
    </x:row>
    <x:row r="3511" ht="21" customHeight="1">
      <x:c r="A3511" s="10" t="n">
        <x:v>46221</x:v>
      </x:c>
      <x:c r="B3511" s="1" t="n">
        <x:v>15.5</x:v>
      </x:c>
      <x:c r="C3511" s="1" t="n">
        <x:v>6</x:v>
      </x:c>
      <x:c r="D3511" s="12" t="n">
        <x:v>2.753416666666667</x:v>
      </x:c>
      <x:c r="E3511" s="12" t="n">
        <x:v>0.5524166666666667</x:v>
      </x:c>
      <x:c r="F3511" s="12" t="n">
        <x:v>0</x:v>
      </x:c>
      <x:c r="G3511" s="12" t="n">
        <x:v>2.203</x:v>
      </x:c>
      <x:c r="H3511" s="1" t="n">
        <x:f>'Historical prices'!E3511</x:f>
        <x:v>1.05</x:v>
      </x:c>
      <x:c r="I3511" s="6" t="n">
        <x:f>'Historical prices'!D3511</x:f>
        <x:v>0.0716</x:v>
      </x:c>
      <x:c r="J3511" s="13" t="n">
        <x:f>D3511*I3511*H3511</x:f>
        <x:v>0.20700186500000003</x:v>
      </x:c>
      <x:c r="K3511" s="13" t="n">
        <x:f>E3511*I3511*H3511</x:f>
        <x:v>0.041530685000000005</x:v>
      </x:c>
      <x:c r="L3511" s="1" t="str">
        <x:f>TEXT(A3511,"mmm yyyy")</x:f>
        <x:v>Jul 2026</x:v>
      </x:c>
    </x:row>
    <x:row r="3512" ht="21" customHeight="1">
      <x:c r="A3512" s="10" t="n">
        <x:v>46221</x:v>
      </x:c>
      <x:c r="B3512" s="1" t="n">
        <x:v>16</x:v>
      </x:c>
      <x:c r="C3512" s="1" t="n">
        <x:v>6</x:v>
      </x:c>
      <x:c r="D3512" s="12" t="n">
        <x:v>0.07466666666666667</x:v>
      </x:c>
      <x:c r="E3512" s="12" t="n">
        <x:v>0.5695833333333333</x:v>
      </x:c>
      <x:c r="F3512" s="12" t="n">
        <x:v>0.49275</x:v>
      </x:c>
      <x:c r="G3512" s="12" t="n">
        <x:v>0</x:v>
      </x:c>
      <x:c r="H3512" s="1" t="n">
        <x:f>'Historical prices'!E3512</x:f>
        <x:v>1.05</x:v>
      </x:c>
      <x:c r="I3512" s="6" t="n">
        <x:f>'Historical prices'!D3512</x:f>
        <x:v>0.1773</x:v>
      </x:c>
      <x:c r="J3512" s="13" t="n">
        <x:f>D3512*I3512*H3512</x:f>
        <x:v>0.013900320000000002</x:v>
      </x:c>
      <x:c r="K3512" s="13" t="n">
        <x:f>E3512*I3512*H3512</x:f>
        <x:v>0.10603648125000002</x:v>
      </x:c>
      <x:c r="L3512" s="1" t="str">
        <x:f>TEXT(A3512,"mmm yyyy")</x:f>
        <x:v>Jul 2026</x:v>
      </x:c>
    </x:row>
    <x:row r="3513" ht="21" customHeight="1">
      <x:c r="A3513" s="10" t="n">
        <x:v>46221</x:v>
      </x:c>
      <x:c r="B3513" s="1" t="n">
        <x:v>16.5</x:v>
      </x:c>
      <x:c r="C3513" s="1" t="n">
        <x:v>6</x:v>
      </x:c>
      <x:c r="D3513" s="12" t="n">
        <x:v>0</x:v>
      </x:c>
      <x:c r="E3513" s="12" t="n">
        <x:v>0.46608333333333335</x:v>
      </x:c>
      <x:c r="F3513" s="12" t="n">
        <x:v>0.4659166666666667</x:v>
      </x:c>
      <x:c r="G3513" s="12" t="n">
        <x:v>0</x:v>
      </x:c>
      <x:c r="H3513" s="1" t="n">
        <x:f>'Historical prices'!E3513</x:f>
        <x:v>1.05</x:v>
      </x:c>
      <x:c r="I3513" s="6" t="n">
        <x:f>'Historical prices'!D3513</x:f>
        <x:v>0.2286</x:v>
      </x:c>
      <x:c r="J3513" s="13" t="n">
        <x:f>D3513*I3513*H3513</x:f>
        <x:v>0</x:v>
      </x:c>
      <x:c r="K3513" s="13" t="n">
        <x:f>E3513*I3513*H3513</x:f>
        <x:v>0.11187398250000001</x:v>
      </x:c>
      <x:c r="L3513" s="1" t="str">
        <x:f>TEXT(A3513,"mmm yyyy")</x:f>
        <x:v>Jul 2026</x:v>
      </x:c>
    </x:row>
    <x:row r="3514" ht="21" customHeight="1">
      <x:c r="A3514" s="10" t="n">
        <x:v>46221</x:v>
      </x:c>
      <x:c r="B3514" s="1" t="n">
        <x:v>17</x:v>
      </x:c>
      <x:c r="C3514" s="1" t="n">
        <x:v>6</x:v>
      </x:c>
      <x:c r="D3514" s="12" t="n">
        <x:v>0</x:v>
      </x:c>
      <x:c r="E3514" s="12" t="n">
        <x:v>0.3795</x:v>
      </x:c>
      <x:c r="F3514" s="12" t="n">
        <x:v>0.3795</x:v>
      </x:c>
      <x:c r="G3514" s="12" t="n">
        <x:v>0</x:v>
      </x:c>
      <x:c r="H3514" s="1" t="n">
        <x:f>'Historical prices'!E3514</x:f>
        <x:v>1.05</x:v>
      </x:c>
      <x:c r="I3514" s="6" t="n">
        <x:f>'Historical prices'!D3514</x:f>
        <x:v>0.2546</x:v>
      </x:c>
      <x:c r="J3514" s="13" t="n">
        <x:f>D3514*I3514*H3514</x:f>
        <x:v>0</x:v>
      </x:c>
      <x:c r="K3514" s="13" t="n">
        <x:f>E3514*I3514*H3514</x:f>
        <x:v>0.10145173500000002</x:v>
      </x:c>
      <x:c r="L3514" s="1" t="str">
        <x:f>TEXT(A3514,"mmm yyyy")</x:f>
        <x:v>Jul 2026</x:v>
      </x:c>
    </x:row>
    <x:row r="3515" ht="21" customHeight="1">
      <x:c r="A3515" s="10" t="n">
        <x:v>46221</x:v>
      </x:c>
      <x:c r="B3515" s="1" t="n">
        <x:v>17.5</x:v>
      </x:c>
      <x:c r="C3515" s="1" t="n">
        <x:v>6</x:v>
      </x:c>
      <x:c r="D3515" s="12" t="n">
        <x:v>0</x:v>
      </x:c>
      <x:c r="E3515" s="12" t="n">
        <x:v>0.44699999999999995</x:v>
      </x:c>
      <x:c r="F3515" s="12" t="n">
        <x:v>0.4465</x:v>
      </x:c>
      <x:c r="G3515" s="12" t="n">
        <x:v>0</x:v>
      </x:c>
      <x:c r="H3515" s="1" t="n">
        <x:f>'Historical prices'!E3515</x:f>
        <x:v>1.05</x:v>
      </x:c>
      <x:c r="I3515" s="6" t="n">
        <x:f>'Historical prices'!D3515</x:f>
        <x:v>0.2748</x:v>
      </x:c>
      <x:c r="J3515" s="13" t="n">
        <x:f>D3515*I3515*H3515</x:f>
        <x:v>0</x:v>
      </x:c>
      <x:c r="K3515" s="13" t="n">
        <x:f>E3515*I3515*H3515</x:f>
        <x:v>0.12897737999999997</x:v>
      </x:c>
      <x:c r="L3515" s="1" t="str">
        <x:f>TEXT(A3515,"mmm yyyy")</x:f>
        <x:v>Jul 2026</x:v>
      </x:c>
    </x:row>
    <x:row r="3516" ht="21" customHeight="1">
      <x:c r="A3516" s="10" t="n">
        <x:v>46221</x:v>
      </x:c>
      <x:c r="B3516" s="1" t="n">
        <x:v>18</x:v>
      </x:c>
      <x:c r="C3516" s="1" t="n">
        <x:v>6</x:v>
      </x:c>
      <x:c r="D3516" s="12" t="n">
        <x:v>0</x:v>
      </x:c>
      <x:c r="E3516" s="12" t="n">
        <x:v>0.5541666666666667</x:v>
      </x:c>
      <x:c r="F3516" s="12" t="n">
        <x:v>0.55375</x:v>
      </x:c>
      <x:c r="G3516" s="12" t="n">
        <x:v>0</x:v>
      </x:c>
      <x:c r="H3516" s="1" t="n">
        <x:f>'Historical prices'!E3516</x:f>
        <x:v>1.05</x:v>
      </x:c>
      <x:c r="I3516" s="6" t="n">
        <x:f>'Historical prices'!D3516</x:f>
        <x:v>0.3134</x:v>
      </x:c>
      <x:c r="J3516" s="13" t="n">
        <x:f>D3516*I3516*H3516</x:f>
        <x:v>0</x:v>
      </x:c>
      <x:c r="K3516" s="13" t="n">
        <x:f>E3516*I3516*H3516</x:f>
        <x:v>0.18235962500000003</x:v>
      </x:c>
      <x:c r="L3516" s="1" t="str">
        <x:f>TEXT(A3516,"mmm yyyy")</x:f>
        <x:v>Jul 2026</x:v>
      </x:c>
    </x:row>
    <x:row r="3517" ht="21" customHeight="1">
      <x:c r="A3517" s="10" t="n">
        <x:v>46221</x:v>
      </x:c>
      <x:c r="B3517" s="1" t="n">
        <x:v>18.5</x:v>
      </x:c>
      <x:c r="C3517" s="1" t="n">
        <x:v>6</x:v>
      </x:c>
      <x:c r="D3517" s="12" t="n">
        <x:v>0</x:v>
      </x:c>
      <x:c r="E3517" s="12" t="n">
        <x:v>0.8133333333333334</x:v>
      </x:c>
      <x:c r="F3517" s="12" t="n">
        <x:v>0.8132499999999999</x:v>
      </x:c>
      <x:c r="G3517" s="12" t="n">
        <x:v>0</x:v>
      </x:c>
      <x:c r="H3517" s="1" t="n">
        <x:f>'Historical prices'!E3517</x:f>
        <x:v>1.05</x:v>
      </x:c>
      <x:c r="I3517" s="6" t="n">
        <x:f>'Historical prices'!D3517</x:f>
        <x:v>0.33340000000000003</x:v>
      </x:c>
      <x:c r="J3517" s="13" t="n">
        <x:f>D3517*I3517*H3517</x:f>
        <x:v>0</x:v>
      </x:c>
      <x:c r="K3517" s="13" t="n">
        <x:f>E3517*I3517*H3517</x:f>
        <x:v>0.2847236000000001</x:v>
      </x:c>
      <x:c r="L3517" s="1" t="str">
        <x:f>TEXT(A3517,"mmm yyyy")</x:f>
        <x:v>Jul 2026</x:v>
      </x:c>
    </x:row>
    <x:row r="3518" ht="21" customHeight="1">
      <x:c r="A3518" s="10" t="n">
        <x:v>46221</x:v>
      </x:c>
      <x:c r="B3518" s="1" t="n">
        <x:v>19</x:v>
      </x:c>
      <x:c r="C3518" s="1" t="n">
        <x:v>6</x:v>
      </x:c>
      <x:c r="D3518" s="12" t="n">
        <x:v>0</x:v>
      </x:c>
      <x:c r="E3518" s="12" t="n">
        <x:v>0.5590833333333333</x:v>
      </x:c>
      <x:c r="F3518" s="12" t="n">
        <x:v>0.5586666666666666</x:v>
      </x:c>
      <x:c r="G3518" s="12" t="n">
        <x:v>0</x:v>
      </x:c>
      <x:c r="H3518" s="1" t="n">
        <x:f>'Historical prices'!E3518</x:f>
        <x:v>1.05</x:v>
      </x:c>
      <x:c r="I3518" s="6" t="n">
        <x:f>'Historical prices'!D3518</x:f>
        <x:v>0.2293</x:v>
      </x:c>
      <x:c r="J3518" s="13" t="n">
        <x:f>D3518*I3518*H3518</x:f>
        <x:v>0</x:v>
      </x:c>
      <x:c r="K3518" s="13" t="n">
        <x:f>E3518*I3518*H3518</x:f>
        <x:v>0.13460769875</x:v>
      </x:c>
      <x:c r="L3518" s="1" t="str">
        <x:f>TEXT(A3518,"mmm yyyy")</x:f>
        <x:v>Jul 2026</x:v>
      </x:c>
    </x:row>
    <x:row r="3519" ht="21" customHeight="1">
      <x:c r="A3519" s="10" t="n">
        <x:v>46221</x:v>
      </x:c>
      <x:c r="B3519" s="1" t="n">
        <x:v>19.5</x:v>
      </x:c>
      <x:c r="C3519" s="1" t="n">
        <x:v>6</x:v>
      </x:c>
      <x:c r="D3519" s="12" t="n">
        <x:v>0</x:v>
      </x:c>
      <x:c r="E3519" s="12" t="n">
        <x:v>0.7609166666666667</x:v>
      </x:c>
      <x:c r="F3519" s="12" t="n">
        <x:v>0.76075</x:v>
      </x:c>
      <x:c r="G3519" s="12" t="n">
        <x:v>0</x:v>
      </x:c>
      <x:c r="H3519" s="1" t="n">
        <x:f>'Historical prices'!E3519</x:f>
        <x:v>1.05</x:v>
      </x:c>
      <x:c r="I3519" s="6" t="n">
        <x:f>'Historical prices'!D3519</x:f>
        <x:v>0.2377</x:v>
      </x:c>
      <x:c r="J3519" s="13" t="n">
        <x:f>D3519*I3519*H3519</x:f>
        <x:v>0</x:v>
      </x:c>
      <x:c r="K3519" s="13" t="n">
        <x:f>E3519*I3519*H3519</x:f>
        <x:v>0.18991338625</x:v>
      </x:c>
      <x:c r="L3519" s="1" t="str">
        <x:f>TEXT(A3519,"mmm yyyy")</x:f>
        <x:v>Jul 2026</x:v>
      </x:c>
    </x:row>
    <x:row r="3520" ht="21" customHeight="1">
      <x:c r="A3520" s="10" t="n">
        <x:v>46221</x:v>
      </x:c>
      <x:c r="B3520" s="1" t="n">
        <x:v>20</x:v>
      </x:c>
      <x:c r="C3520" s="1" t="n">
        <x:v>6</x:v>
      </x:c>
      <x:c r="D3520" s="12" t="n">
        <x:v>0</x:v>
      </x:c>
      <x:c r="E3520" s="12" t="n">
        <x:v>0.48083333333333333</x:v>
      </x:c>
      <x:c r="F3520" s="12" t="n">
        <x:v>0.48075</x:v>
      </x:c>
      <x:c r="G3520" s="12" t="n">
        <x:v>0</x:v>
      </x:c>
      <x:c r="H3520" s="1" t="n">
        <x:f>'Historical prices'!E3520</x:f>
        <x:v>1.05</x:v>
      </x:c>
      <x:c r="I3520" s="6" t="n">
        <x:f>'Historical prices'!D3520</x:f>
        <x:v>0.2518</x:v>
      </x:c>
      <x:c r="J3520" s="13" t="n">
        <x:f>D3520*I3520*H3520</x:f>
        <x:v>0</x:v>
      </x:c>
      <x:c r="K3520" s="13" t="n">
        <x:f>E3520*I3520*H3520</x:f>
        <x:v>0.12712752500000002</x:v>
      </x:c>
      <x:c r="L3520" s="1" t="str">
        <x:f>TEXT(A3520,"mmm yyyy")</x:f>
        <x:v>Jul 2026</x:v>
      </x:c>
    </x:row>
    <x:row r="3521" ht="21" customHeight="1">
      <x:c r="A3521" s="10" t="n">
        <x:v>46221</x:v>
      </x:c>
      <x:c r="B3521" s="1" t="n">
        <x:v>20.5</x:v>
      </x:c>
      <x:c r="C3521" s="1" t="n">
        <x:v>6</x:v>
      </x:c>
      <x:c r="D3521" s="12" t="n">
        <x:v>0</x:v>
      </x:c>
      <x:c r="E3521" s="12" t="n">
        <x:v>0.5005833333333334</x:v>
      </x:c>
      <x:c r="F3521" s="12" t="n">
        <x:v>0.5005000000000001</x:v>
      </x:c>
      <x:c r="G3521" s="12" t="n">
        <x:v>0</x:v>
      </x:c>
      <x:c r="H3521" s="1" t="n">
        <x:f>'Historical prices'!E3521</x:f>
        <x:v>1.05</x:v>
      </x:c>
      <x:c r="I3521" s="6" t="n">
        <x:f>'Historical prices'!D3521</x:f>
        <x:v>0.2534</x:v>
      </x:c>
      <x:c r="J3521" s="13" t="n">
        <x:f>D3521*I3521*H3521</x:f>
        <x:v>0</x:v>
      </x:c>
      <x:c r="K3521" s="13" t="n">
        <x:f>E3521*I3521*H3521</x:f>
        <x:v>0.13319020750000005</x:v>
      </x:c>
      <x:c r="L3521" s="1" t="str">
        <x:f>TEXT(A3521,"mmm yyyy")</x:f>
        <x:v>Jul 2026</x:v>
      </x:c>
    </x:row>
    <x:row r="3522" ht="21" customHeight="1">
      <x:c r="A3522" s="10" t="n">
        <x:v>46221</x:v>
      </x:c>
      <x:c r="B3522" s="1" t="n">
        <x:v>21</x:v>
      </x:c>
      <x:c r="C3522" s="1" t="n">
        <x:v>6</x:v>
      </x:c>
      <x:c r="D3522" s="12" t="n">
        <x:v>0</x:v>
      </x:c>
      <x:c r="E3522" s="12" t="n">
        <x:v>0.46091666666666664</x:v>
      </x:c>
      <x:c r="F3522" s="12" t="n">
        <x:v>0.46066666666666667</x:v>
      </x:c>
      <x:c r="G3522" s="12" t="n">
        <x:v>0</x:v>
      </x:c>
      <x:c r="H3522" s="1" t="n">
        <x:f>'Historical prices'!E3522</x:f>
        <x:v>1.05</x:v>
      </x:c>
      <x:c r="I3522" s="6" t="n">
        <x:f>'Historical prices'!D3522</x:f>
        <x:v>0.24789999999999998</x:v>
      </x:c>
      <x:c r="J3522" s="13" t="n">
        <x:f>D3522*I3522*H3522</x:f>
        <x:v>0</x:v>
      </x:c>
      <x:c r="K3522" s="13" t="n">
        <x:f>E3522*I3522*H3522</x:f>
        <x:v>0.11997430374999998</x:v>
      </x:c>
      <x:c r="L3522" s="1" t="str">
        <x:f>TEXT(A3522,"mmm yyyy")</x:f>
        <x:v>Jul 2026</x:v>
      </x:c>
    </x:row>
    <x:row r="3523" ht="21" customHeight="1">
      <x:c r="A3523" s="10" t="n">
        <x:v>46221</x:v>
      </x:c>
      <x:c r="B3523" s="1" t="n">
        <x:v>21.5</x:v>
      </x:c>
      <x:c r="C3523" s="1" t="n">
        <x:v>6</x:v>
      </x:c>
      <x:c r="D3523" s="12" t="n">
        <x:v>0</x:v>
      </x:c>
      <x:c r="E3523" s="12" t="n">
        <x:v>0.80775</x:v>
      </x:c>
      <x:c r="F3523" s="12" t="n">
        <x:v>0.8074166666666667</x:v>
      </x:c>
      <x:c r="G3523" s="12" t="n">
        <x:v>0</x:v>
      </x:c>
      <x:c r="H3523" s="1" t="n">
        <x:f>'Historical prices'!E3523</x:f>
        <x:v>1.05</x:v>
      </x:c>
      <x:c r="I3523" s="6" t="n">
        <x:f>'Historical prices'!D3523</x:f>
        <x:v>0.2451</x:v>
      </x:c>
      <x:c r="J3523" s="13" t="n">
        <x:f>D3523*I3523*H3523</x:f>
        <x:v>0</x:v>
      </x:c>
      <x:c r="K3523" s="13" t="n">
        <x:f>E3523*I3523*H3523</x:f>
        <x:v>0.20787850125</x:v>
      </x:c>
      <x:c r="L3523" s="1" t="str">
        <x:f>TEXT(A3523,"mmm yyyy")</x:f>
        <x:v>Jul 2026</x:v>
      </x:c>
    </x:row>
    <x:row r="3524" ht="21" customHeight="1">
      <x:c r="A3524" s="10" t="n">
        <x:v>46221</x:v>
      </x:c>
      <x:c r="B3524" s="1" t="n">
        <x:v>22</x:v>
      </x:c>
      <x:c r="C3524" s="1" t="n">
        <x:v>6</x:v>
      </x:c>
      <x:c r="D3524" s="12" t="n">
        <x:v>0</x:v>
      </x:c>
      <x:c r="E3524" s="12" t="n">
        <x:v>0.32691666666666663</x:v>
      </x:c>
      <x:c r="F3524" s="12" t="n">
        <x:v>0.32666666666666666</x:v>
      </x:c>
      <x:c r="G3524" s="12" t="n">
        <x:v>0</x:v>
      </x:c>
      <x:c r="H3524" s="1" t="n">
        <x:f>'Historical prices'!E3524</x:f>
        <x:v>1.05</x:v>
      </x:c>
      <x:c r="I3524" s="6" t="n">
        <x:f>'Historical prices'!D3524</x:f>
        <x:v>0.2421</x:v>
      </x:c>
      <x:c r="J3524" s="13" t="n">
        <x:f>D3524*I3524*H3524</x:f>
        <x:v>0</x:v>
      </x:c>
      <x:c r="K3524" s="13" t="n">
        <x:f>E3524*I3524*H3524</x:f>
        <x:v>0.08310385125</x:v>
      </x:c>
      <x:c r="L3524" s="1" t="str">
        <x:f>TEXT(A3524,"mmm yyyy")</x:f>
        <x:v>Jul 2026</x:v>
      </x:c>
    </x:row>
    <x:row r="3525" ht="21" customHeight="1">
      <x:c r="A3525" s="10" t="n">
        <x:v>46221</x:v>
      </x:c>
      <x:c r="B3525" s="1" t="n">
        <x:v>22.5</x:v>
      </x:c>
      <x:c r="C3525" s="1" t="n">
        <x:v>6</x:v>
      </x:c>
      <x:c r="D3525" s="12" t="n">
        <x:v>0</x:v>
      </x:c>
      <x:c r="E3525" s="12" t="n">
        <x:v>0.32991666666666675</x:v>
      </x:c>
      <x:c r="F3525" s="12" t="n">
        <x:v>0.3295833333333333</x:v>
      </x:c>
      <x:c r="G3525" s="12" t="n">
        <x:v>0</x:v>
      </x:c>
      <x:c r="H3525" s="1" t="n">
        <x:f>'Historical prices'!E3525</x:f>
        <x:v>1.05</x:v>
      </x:c>
      <x:c r="I3525" s="6" t="n">
        <x:f>'Historical prices'!D3525</x:f>
        <x:v>0.24359999999999998</x:v>
      </x:c>
      <x:c r="J3525" s="13" t="n">
        <x:f>D3525*I3525*H3525</x:f>
        <x:v>0</x:v>
      </x:c>
      <x:c r="K3525" s="13" t="n">
        <x:f>E3525*I3525*H3525</x:f>
        <x:v>0.08438608500000001</x:v>
      </x:c>
      <x:c r="L3525" s="1" t="str">
        <x:f>TEXT(A3525,"mmm yyyy")</x:f>
        <x:v>Jul 2026</x:v>
      </x:c>
    </x:row>
    <x:row r="3526" ht="21" customHeight="1">
      <x:c r="A3526" s="10" t="n">
        <x:v>46221</x:v>
      </x:c>
      <x:c r="B3526" s="1" t="n">
        <x:v>23</x:v>
      </x:c>
      <x:c r="C3526" s="1" t="n">
        <x:v>6</x:v>
      </x:c>
      <x:c r="D3526" s="12" t="n">
        <x:v>0</x:v>
      </x:c>
      <x:c r="E3526" s="12" t="n">
        <x:v>0.29300000000000004</x:v>
      </x:c>
      <x:c r="F3526" s="12" t="n">
        <x:v>0.29283333333333333</x:v>
      </x:c>
      <x:c r="G3526" s="12" t="n">
        <x:v>0</x:v>
      </x:c>
      <x:c r="H3526" s="1" t="n">
        <x:f>'Historical prices'!E3526</x:f>
        <x:v>1.05</x:v>
      </x:c>
      <x:c r="I3526" s="6" t="n">
        <x:f>'Historical prices'!D3526</x:f>
        <x:v>0.2257</x:v>
      </x:c>
      <x:c r="J3526" s="13" t="n">
        <x:f>D3526*I3526*H3526</x:f>
        <x:v>0</x:v>
      </x:c>
      <x:c r="K3526" s="13" t="n">
        <x:f>E3526*I3526*H3526</x:f>
        <x:v>0.06943660500000001</x:v>
      </x:c>
      <x:c r="L3526" s="1" t="str">
        <x:f>TEXT(A3526,"mmm yyyy")</x:f>
        <x:v>Jul 2026</x:v>
      </x:c>
    </x:row>
    <x:row r="3527" ht="21" customHeight="1">
      <x:c r="A3527" s="10" t="n">
        <x:v>46221</x:v>
      </x:c>
      <x:c r="B3527" s="1" t="n">
        <x:v>23.5</x:v>
      </x:c>
      <x:c r="C3527" s="1" t="n">
        <x:v>6</x:v>
      </x:c>
      <x:c r="D3527" s="12" t="n">
        <x:v>0</x:v>
      </x:c>
      <x:c r="E3527" s="12" t="n">
        <x:v>0.2851666666666667</x:v>
      </x:c>
      <x:c r="F3527" s="12" t="n">
        <x:v>0.2848333333333333</x:v>
      </x:c>
      <x:c r="G3527" s="12" t="n">
        <x:v>0</x:v>
      </x:c>
      <x:c r="H3527" s="1" t="n">
        <x:f>'Historical prices'!E3527</x:f>
        <x:v>1.05</x:v>
      </x:c>
      <x:c r="I3527" s="6" t="n">
        <x:f>'Historical prices'!D3527</x:f>
        <x:v>0.22219999999999998</x:v>
      </x:c>
      <x:c r="J3527" s="13" t="n">
        <x:f>D3527*I3527*H3527</x:f>
        <x:v>0</x:v>
      </x:c>
      <x:c r="K3527" s="13" t="n">
        <x:f>E3527*I3527*H3527</x:f>
        <x:v>0.06653223500000001</x:v>
      </x:c>
      <x:c r="L3527" s="1" t="str">
        <x:f>TEXT(A3527,"mmm yyyy")</x:f>
        <x:v>Jul 2026</x:v>
      </x:c>
    </x:row>
    <x:row r="3528" ht="21" customHeight="1">
      <x:c r="A3528" s="10" t="n">
        <x:v>46222</x:v>
      </x:c>
      <x:c r="B3528" s="1" t="n">
        <x:v>0</x:v>
      </x:c>
      <x:c r="C3528" s="1" t="n">
        <x:v>6</x:v>
      </x:c>
      <x:c r="D3528" s="12" t="n">
        <x:v>0</x:v>
      </x:c>
      <x:c r="E3528" s="12" t="n">
        <x:v>0.4339166666666667</x:v>
      </x:c>
      <x:c r="F3528" s="12" t="n">
        <x:v>0.43383333333333335</x:v>
      </x:c>
      <x:c r="G3528" s="12" t="n">
        <x:v>0</x:v>
      </x:c>
      <x:c r="H3528" s="1" t="n">
        <x:f>'Historical prices'!E3528</x:f>
        <x:v>1.05</x:v>
      </x:c>
      <x:c r="I3528" s="6" t="n">
        <x:f>'Historical prices'!D3528</x:f>
        <x:v>0.1997</x:v>
      </x:c>
      <x:c r="J3528" s="13" t="n">
        <x:f>D3528*I3528*H3528</x:f>
        <x:v>0</x:v>
      </x:c>
      <x:c r="K3528" s="13" t="n">
        <x:f>E3528*I3528*H3528</x:f>
        <x:v>0.09098581625</x:v>
      </x:c>
      <x:c r="L3528" s="1" t="str">
        <x:f>TEXT(A3528,"mmm yyyy")</x:f>
        <x:v>Jul 2026</x:v>
      </x:c>
    </x:row>
    <x:row r="3529" ht="21" customHeight="1">
      <x:c r="A3529" s="10" t="n">
        <x:v>46222</x:v>
      </x:c>
      <x:c r="B3529" s="1" t="n">
        <x:v>0.5</x:v>
      </x:c>
      <x:c r="C3529" s="1" t="n">
        <x:v>6</x:v>
      </x:c>
      <x:c r="D3529" s="12" t="n">
        <x:v>0</x:v>
      </x:c>
      <x:c r="E3529" s="12" t="n">
        <x:v>0.3180833333333333</x:v>
      </x:c>
      <x:c r="F3529" s="12" t="n">
        <x:v>0.3178333333333333</x:v>
      </x:c>
      <x:c r="G3529" s="12" t="n">
        <x:v>0</x:v>
      </x:c>
      <x:c r="H3529" s="1" t="n">
        <x:f>'Historical prices'!E3529</x:f>
        <x:v>1.05</x:v>
      </x:c>
      <x:c r="I3529" s="6" t="n">
        <x:f>'Historical prices'!D3529</x:f>
        <x:v>0.1913</x:v>
      </x:c>
      <x:c r="J3529" s="13" t="n">
        <x:f>D3529*I3529*H3529</x:f>
        <x:v>0</x:v>
      </x:c>
      <x:c r="K3529" s="13" t="n">
        <x:f>E3529*I3529*H3529</x:f>
        <x:v>0.06389180874999999</x:v>
      </x:c>
      <x:c r="L3529" s="1" t="str">
        <x:f>TEXT(A3529,"mmm yyyy")</x:f>
        <x:v>Jul 2026</x:v>
      </x:c>
    </x:row>
    <x:row r="3530" ht="21" customHeight="1">
      <x:c r="A3530" s="10" t="n">
        <x:v>46222</x:v>
      </x:c>
      <x:c r="B3530" s="1" t="n">
        <x:v>1</x:v>
      </x:c>
      <x:c r="C3530" s="1" t="n">
        <x:v>6</x:v>
      </x:c>
      <x:c r="D3530" s="12" t="n">
        <x:v>0</x:v>
      </x:c>
      <x:c r="E3530" s="12" t="n">
        <x:v>0.2909166666666667</x:v>
      </x:c>
      <x:c r="F3530" s="12" t="n">
        <x:v>0.2906666666666667</x:v>
      </x:c>
      <x:c r="G3530" s="12" t="n">
        <x:v>0</x:v>
      </x:c>
      <x:c r="H3530" s="1" t="n">
        <x:f>'Historical prices'!E3530</x:f>
        <x:v>1.05</x:v>
      </x:c>
      <x:c r="I3530" s="6" t="n">
        <x:f>'Historical prices'!D3530</x:f>
        <x:v>0.1827</x:v>
      </x:c>
      <x:c r="J3530" s="13" t="n">
        <x:f>D3530*I3530*H3530</x:f>
        <x:v>0</x:v>
      </x:c>
      <x:c r="K3530" s="13" t="n">
        <x:f>E3530*I3530*H3530</x:f>
        <x:v>0.05580799875000001</x:v>
      </x:c>
      <x:c r="L3530" s="1" t="str">
        <x:f>TEXT(A3530,"mmm yyyy")</x:f>
        <x:v>Jul 2026</x:v>
      </x:c>
    </x:row>
    <x:row r="3531" ht="21" customHeight="1">
      <x:c r="A3531" s="10" t="n">
        <x:v>46222</x:v>
      </x:c>
      <x:c r="B3531" s="1" t="n">
        <x:v>1.5</x:v>
      </x:c>
      <x:c r="C3531" s="1" t="n">
        <x:v>6</x:v>
      </x:c>
      <x:c r="D3531" s="12" t="n">
        <x:v>0</x:v>
      </x:c>
      <x:c r="E3531" s="12" t="n">
        <x:v>0.32000000000000006</x:v>
      </x:c>
      <x:c r="F3531" s="12" t="n">
        <x:v>0.31975</x:v>
      </x:c>
      <x:c r="G3531" s="12" t="n">
        <x:v>0</x:v>
      </x:c>
      <x:c r="H3531" s="1" t="n">
        <x:f>'Historical prices'!E3531</x:f>
        <x:v>1.05</x:v>
      </x:c>
      <x:c r="I3531" s="6" t="n">
        <x:f>'Historical prices'!D3531</x:f>
        <x:v>0.1776</x:v>
      </x:c>
      <x:c r="J3531" s="13" t="n">
        <x:f>D3531*I3531*H3531</x:f>
        <x:v>0</x:v>
      </x:c>
      <x:c r="K3531" s="13" t="n">
        <x:f>E3531*I3531*H3531</x:f>
        <x:v>0.05967360000000002</x:v>
      </x:c>
      <x:c r="L3531" s="1" t="str">
        <x:f>TEXT(A3531,"mmm yyyy")</x:f>
        <x:v>Jul 2026</x:v>
      </x:c>
    </x:row>
    <x:row r="3532" ht="21" customHeight="1">
      <x:c r="A3532" s="10" t="n">
        <x:v>46222</x:v>
      </x:c>
      <x:c r="B3532" s="1" t="n">
        <x:v>2</x:v>
      </x:c>
      <x:c r="C3532" s="1" t="n">
        <x:v>6</x:v>
      </x:c>
      <x:c r="D3532" s="12" t="n">
        <x:v>0</x:v>
      </x:c>
      <x:c r="E3532" s="12" t="n">
        <x:v>0.3125833333333333</x:v>
      </x:c>
      <x:c r="F3532" s="12" t="n">
        <x:v>0.3125</x:v>
      </x:c>
      <x:c r="G3532" s="12" t="n">
        <x:v>0</x:v>
      </x:c>
      <x:c r="H3532" s="1" t="n">
        <x:f>'Historical prices'!E3532</x:f>
        <x:v>1.05</x:v>
      </x:c>
      <x:c r="I3532" s="6" t="n">
        <x:f>'Historical prices'!D3532</x:f>
        <x:v>0.18100000000000002</x:v>
      </x:c>
      <x:c r="J3532" s="13" t="n">
        <x:f>D3532*I3532*H3532</x:f>
        <x:v>0</x:v>
      </x:c>
      <x:c r="K3532" s="13" t="n">
        <x:f>E3532*I3532*H3532</x:f>
        <x:v>0.059406462500000014</x:v>
      </x:c>
      <x:c r="L3532" s="1" t="str">
        <x:f>TEXT(A3532,"mmm yyyy")</x:f>
        <x:v>Jul 2026</x:v>
      </x:c>
    </x:row>
    <x:row r="3533" ht="21" customHeight="1">
      <x:c r="A3533" s="10" t="n">
        <x:v>46222</x:v>
      </x:c>
      <x:c r="B3533" s="1" t="n">
        <x:v>2.5</x:v>
      </x:c>
      <x:c r="C3533" s="1" t="n">
        <x:v>6</x:v>
      </x:c>
      <x:c r="D3533" s="12" t="n">
        <x:v>0</x:v>
      </x:c>
      <x:c r="E3533" s="12" t="n">
        <x:v>0.2839166666666667</x:v>
      </x:c>
      <x:c r="F3533" s="12" t="n">
        <x:v>0.2836666666666667</x:v>
      </x:c>
      <x:c r="G3533" s="12" t="n">
        <x:v>0</x:v>
      </x:c>
      <x:c r="H3533" s="1" t="n">
        <x:f>'Historical prices'!E3533</x:f>
        <x:v>1.05</x:v>
      </x:c>
      <x:c r="I3533" s="6" t="n">
        <x:f>'Historical prices'!D3533</x:f>
        <x:v>0.1808</x:v>
      </x:c>
      <x:c r="J3533" s="13" t="n">
        <x:f>D3533*I3533*H3533</x:f>
        <x:v>0</x:v>
      </x:c>
      <x:c r="K3533" s="13" t="n">
        <x:f>E3533*I3533*H3533</x:f>
        <x:v>0.05389874000000001</x:v>
      </x:c>
      <x:c r="L3533" s="1" t="str">
        <x:f>TEXT(A3533,"mmm yyyy")</x:f>
        <x:v>Jul 2026</x:v>
      </x:c>
    </x:row>
    <x:row r="3534" ht="21" customHeight="1">
      <x:c r="A3534" s="10" t="n">
        <x:v>46222</x:v>
      </x:c>
      <x:c r="B3534" s="1" t="n">
        <x:v>3</x:v>
      </x:c>
      <x:c r="C3534" s="1" t="n">
        <x:v>6</x:v>
      </x:c>
      <x:c r="D3534" s="12" t="n">
        <x:v>0</x:v>
      </x:c>
      <x:c r="E3534" s="12" t="n">
        <x:v>0.2778333333333333</x:v>
      </x:c>
      <x:c r="F3534" s="12" t="n">
        <x:v>0.2776666666666667</x:v>
      </x:c>
      <x:c r="G3534" s="12" t="n">
        <x:v>0</x:v>
      </x:c>
      <x:c r="H3534" s="1" t="n">
        <x:f>'Historical prices'!E3534</x:f>
        <x:v>1.05</x:v>
      </x:c>
      <x:c r="I3534" s="6" t="n">
        <x:f>'Historical prices'!D3534</x:f>
        <x:v>0.17300000000000001</x:v>
      </x:c>
      <x:c r="J3534" s="13" t="n">
        <x:f>D3534*I3534*H3534</x:f>
        <x:v>0</x:v>
      </x:c>
      <x:c r="K3534" s="13" t="n">
        <x:f>E3534*I3534*H3534</x:f>
        <x:v>0.050468425000000004</x:v>
      </x:c>
      <x:c r="L3534" s="1" t="str">
        <x:f>TEXT(A3534,"mmm yyyy")</x:f>
        <x:v>Jul 2026</x:v>
      </x:c>
    </x:row>
    <x:row r="3535" ht="21" customHeight="1">
      <x:c r="A3535" s="10" t="n">
        <x:v>46222</x:v>
      </x:c>
      <x:c r="B3535" s="1" t="n">
        <x:v>3.5</x:v>
      </x:c>
      <x:c r="C3535" s="1" t="n">
        <x:v>6</x:v>
      </x:c>
      <x:c r="D3535" s="12" t="n">
        <x:v>0</x:v>
      </x:c>
      <x:c r="E3535" s="12" t="n">
        <x:v>0.2669166666666667</x:v>
      </x:c>
      <x:c r="F3535" s="12" t="n">
        <x:v>0.26666666666666666</x:v>
      </x:c>
      <x:c r="G3535" s="12" t="n">
        <x:v>0</x:v>
      </x:c>
      <x:c r="H3535" s="1" t="n">
        <x:f>'Historical prices'!E3535</x:f>
        <x:v>1.05</x:v>
      </x:c>
      <x:c r="I3535" s="6" t="n">
        <x:f>'Historical prices'!D3535</x:f>
        <x:v>0.16399999999999998</x:v>
      </x:c>
      <x:c r="J3535" s="13" t="n">
        <x:f>D3535*I3535*H3535</x:f>
        <x:v>0</x:v>
      </x:c>
      <x:c r="K3535" s="13" t="n">
        <x:f>E3535*I3535*H3535</x:f>
        <x:v>0.04596305</x:v>
      </x:c>
      <x:c r="L3535" s="1" t="str">
        <x:f>TEXT(A3535,"mmm yyyy")</x:f>
        <x:v>Jul 2026</x:v>
      </x:c>
    </x:row>
    <x:row r="3536" ht="21" customHeight="1">
      <x:c r="A3536" s="10" t="n">
        <x:v>46222</x:v>
      </x:c>
      <x:c r="B3536" s="1" t="n">
        <x:v>4</x:v>
      </x:c>
      <x:c r="C3536" s="1" t="n">
        <x:v>6</x:v>
      </x:c>
      <x:c r="D3536" s="12" t="n">
        <x:v>0</x:v>
      </x:c>
      <x:c r="E3536" s="12" t="n">
        <x:v>0.29474999999999996</x:v>
      </x:c>
      <x:c r="F3536" s="12" t="n">
        <x:v>0.29466666666666663</x:v>
      </x:c>
      <x:c r="G3536" s="12" t="n">
        <x:v>0</x:v>
      </x:c>
      <x:c r="H3536" s="1" t="n">
        <x:f>'Historical prices'!E3536</x:f>
        <x:v>1.05</x:v>
      </x:c>
      <x:c r="I3536" s="6" t="n">
        <x:f>'Historical prices'!D3536</x:f>
        <x:v>0.15560000000000002</x:v>
      </x:c>
      <x:c r="J3536" s="13" t="n">
        <x:f>D3536*I3536*H3536</x:f>
        <x:v>0</x:v>
      </x:c>
      <x:c r="K3536" s="13" t="n">
        <x:f>E3536*I3536*H3536</x:f>
        <x:v>0.048156255</x:v>
      </x:c>
      <x:c r="L3536" s="1" t="str">
        <x:f>TEXT(A3536,"mmm yyyy")</x:f>
        <x:v>Jul 2026</x:v>
      </x:c>
    </x:row>
    <x:row r="3537" ht="21" customHeight="1">
      <x:c r="A3537" s="10" t="n">
        <x:v>46222</x:v>
      </x:c>
      <x:c r="B3537" s="1" t="n">
        <x:v>4.5</x:v>
      </x:c>
      <x:c r="C3537" s="1" t="n">
        <x:v>6</x:v>
      </x:c>
      <x:c r="D3537" s="12" t="n">
        <x:v>0</x:v>
      </x:c>
      <x:c r="E3537" s="12" t="n">
        <x:v>0.3719166666666667</x:v>
      </x:c>
      <x:c r="F3537" s="12" t="n">
        <x:v>0.37183333333333335</x:v>
      </x:c>
      <x:c r="G3537" s="12" t="n">
        <x:v>0</x:v>
      </x:c>
      <x:c r="H3537" s="1" t="n">
        <x:f>'Historical prices'!E3537</x:f>
        <x:v>1.05</x:v>
      </x:c>
      <x:c r="I3537" s="6" t="n">
        <x:f>'Historical prices'!D3537</x:f>
        <x:v>0.1543</x:v>
      </x:c>
      <x:c r="J3537" s="13" t="n">
        <x:f>D3537*I3537*H3537</x:f>
        <x:v>0</x:v>
      </x:c>
      <x:c r="K3537" s="13" t="n">
        <x:f>E3537*I3537*H3537</x:f>
        <x:v>0.06025607875</x:v>
      </x:c>
      <x:c r="L3537" s="1" t="str">
        <x:f>TEXT(A3537,"mmm yyyy")</x:f>
        <x:v>Jul 2026</x:v>
      </x:c>
    </x:row>
    <x:row r="3538" ht="21" customHeight="1">
      <x:c r="A3538" s="10" t="n">
        <x:v>46222</x:v>
      </x:c>
      <x:c r="B3538" s="1" t="n">
        <x:v>5</x:v>
      </x:c>
      <x:c r="C3538" s="1" t="n">
        <x:v>6</x:v>
      </x:c>
      <x:c r="D3538" s="12" t="n">
        <x:v>0</x:v>
      </x:c>
      <x:c r="E3538" s="12" t="n">
        <x:v>0.4060833333333333</x:v>
      </x:c>
      <x:c r="F3538" s="12" t="n">
        <x:v>0.40575</x:v>
      </x:c>
      <x:c r="G3538" s="12" t="n">
        <x:v>0</x:v>
      </x:c>
      <x:c r="H3538" s="1" t="n">
        <x:f>'Historical prices'!E3538</x:f>
        <x:v>1.05</x:v>
      </x:c>
      <x:c r="I3538" s="6" t="n">
        <x:f>'Historical prices'!D3538</x:f>
        <x:v>0.1388</x:v>
      </x:c>
      <x:c r="J3538" s="13" t="n">
        <x:f>D3538*I3538*H3538</x:f>
        <x:v>0</x:v>
      </x:c>
      <x:c r="K3538" s="13" t="n">
        <x:f>E3538*I3538*H3538</x:f>
        <x:v>0.059182585</x:v>
      </x:c>
      <x:c r="L3538" s="1" t="str">
        <x:f>TEXT(A3538,"mmm yyyy")</x:f>
        <x:v>Jul 2026</x:v>
      </x:c>
    </x:row>
    <x:row r="3539" ht="21" customHeight="1">
      <x:c r="A3539" s="10" t="n">
        <x:v>46222</x:v>
      </x:c>
      <x:c r="B3539" s="1" t="n">
        <x:v>5.5</x:v>
      </x:c>
      <x:c r="C3539" s="1" t="n">
        <x:v>6</x:v>
      </x:c>
      <x:c r="D3539" s="12" t="n">
        <x:v>0</x:v>
      </x:c>
      <x:c r="E3539" s="12" t="n">
        <x:v>0.30091666666666667</x:v>
      </x:c>
      <x:c r="F3539" s="12" t="n">
        <x:v>0.30075</x:v>
      </x:c>
      <x:c r="G3539" s="12" t="n">
        <x:v>0</x:v>
      </x:c>
      <x:c r="H3539" s="1" t="n">
        <x:f>'Historical prices'!E3539</x:f>
        <x:v>1.05</x:v>
      </x:c>
      <x:c r="I3539" s="6" t="n">
        <x:f>'Historical prices'!D3539</x:f>
        <x:v>0.12619999999999998</x:v>
      </x:c>
      <x:c r="J3539" s="13" t="n">
        <x:f>D3539*I3539*H3539</x:f>
        <x:v>0</x:v>
      </x:c>
      <x:c r="K3539" s="13" t="n">
        <x:f>E3539*I3539*H3539</x:f>
        <x:v>0.039874467499999997</x:v>
      </x:c>
      <x:c r="L3539" s="1" t="str">
        <x:f>TEXT(A3539,"mmm yyyy")</x:f>
        <x:v>Jul 2026</x:v>
      </x:c>
    </x:row>
    <x:row r="3540" ht="21" customHeight="1">
      <x:c r="A3540" s="10" t="n">
        <x:v>46222</x:v>
      </x:c>
      <x:c r="B3540" s="1" t="n">
        <x:v>6</x:v>
      </x:c>
      <x:c r="C3540" s="1" t="n">
        <x:v>6</x:v>
      </x:c>
      <x:c r="D3540" s="12" t="n">
        <x:v>0.22391666666666665</x:v>
      </x:c>
      <x:c r="E3540" s="12" t="n">
        <x:v>0.29274999999999995</x:v>
      </x:c>
      <x:c r="F3540" s="12" t="n">
        <x:v>0.058833333333333335</x:v>
      </x:c>
      <x:c r="G3540" s="12" t="n">
        <x:v>0</x:v>
      </x:c>
      <x:c r="H3540" s="1" t="n">
        <x:f>'Historical prices'!E3540</x:f>
        <x:v>1.05</x:v>
      </x:c>
      <x:c r="I3540" s="6" t="n">
        <x:f>'Historical prices'!D3540</x:f>
        <x:v>0.1096</x:v>
      </x:c>
      <x:c r="J3540" s="13" t="n">
        <x:f>D3540*I3540*H3540</x:f>
        <x:v>0.02576833</x:v>
      </x:c>
      <x:c r="K3540" s="13" t="n">
        <x:f>E3540*I3540*H3540</x:f>
        <x:v>0.03368966999999999</x:v>
      </x:c>
      <x:c r="L3540" s="1" t="str">
        <x:f>TEXT(A3540,"mmm yyyy")</x:f>
        <x:v>Jul 2026</x:v>
      </x:c>
    </x:row>
    <x:row r="3541" ht="21" customHeight="1">
      <x:c r="A3541" s="10" t="n">
        <x:v>46222</x:v>
      </x:c>
      <x:c r="B3541" s="1" t="n">
        <x:v>6.5</x:v>
      </x:c>
      <x:c r="C3541" s="1" t="n">
        <x:v>6</x:v>
      </x:c>
      <x:c r="D3541" s="12" t="n">
        <x:v>0.41866666666666663</x:v>
      </x:c>
      <x:c r="E3541" s="12" t="n">
        <x:v>0.42966666666666664</x:v>
      </x:c>
      <x:c r="F3541" s="12" t="n">
        <x:v>0</x:v>
      </x:c>
      <x:c r="G3541" s="12" t="n">
        <x:v>0</x:v>
      </x:c>
      <x:c r="H3541" s="1" t="n">
        <x:f>'Historical prices'!E3541</x:f>
        <x:v>1.05</x:v>
      </x:c>
      <x:c r="I3541" s="6" t="n">
        <x:f>'Historical prices'!D3541</x:f>
        <x:v>0.10869999999999999</x:v>
      </x:c>
      <x:c r="J3541" s="13" t="n">
        <x:f>D3541*I3541*H3541</x:f>
        <x:v>0.04778452</x:v>
      </x:c>
      <x:c r="K3541" s="13" t="n">
        <x:f>E3541*I3541*H3541</x:f>
        <x:v>0.049040005</x:v>
      </x:c>
      <x:c r="L3541" s="1" t="str">
        <x:f>TEXT(A3541,"mmm yyyy")</x:f>
        <x:v>Jul 2026</x:v>
      </x:c>
    </x:row>
    <x:row r="3542" ht="21" customHeight="1">
      <x:c r="A3542" s="10" t="n">
        <x:v>46222</x:v>
      </x:c>
      <x:c r="B3542" s="1" t="n">
        <x:v>7</x:v>
      </x:c>
      <x:c r="C3542" s="1" t="n">
        <x:v>6</x:v>
      </x:c>
      <x:c r="D3542" s="12" t="n">
        <x:v>0.32749999999999996</x:v>
      </x:c>
      <x:c r="E3542" s="12" t="n">
        <x:v>0.33849999999999997</x:v>
      </x:c>
      <x:c r="F3542" s="12" t="n">
        <x:v>0</x:v>
      </x:c>
      <x:c r="G3542" s="12" t="n">
        <x:v>0</x:v>
      </x:c>
      <x:c r="H3542" s="1" t="n">
        <x:f>'Historical prices'!E3542</x:f>
        <x:v>1.05</x:v>
      </x:c>
      <x:c r="I3542" s="6" t="n">
        <x:f>'Historical prices'!D3542</x:f>
        <x:v>0.08839999999999999</x:v>
      </x:c>
      <x:c r="J3542" s="13" t="n">
        <x:f>D3542*I3542*H3542</x:f>
        <x:v>0.030398549999999996</x:v>
      </x:c>
      <x:c r="K3542" s="13" t="n">
        <x:f>E3542*I3542*H3542</x:f>
        <x:v>0.031419569999999994</x:v>
      </x:c>
      <x:c r="L3542" s="1" t="str">
        <x:f>TEXT(A3542,"mmm yyyy")</x:f>
        <x:v>Jul 2026</x:v>
      </x:c>
    </x:row>
    <x:row r="3543" ht="21" customHeight="1">
      <x:c r="A3543" s="10" t="n">
        <x:v>46222</x:v>
      </x:c>
      <x:c r="B3543" s="1" t="n">
        <x:v>7.5</x:v>
      </x:c>
      <x:c r="C3543" s="1" t="n">
        <x:v>6</x:v>
      </x:c>
      <x:c r="D3543" s="12" t="n">
        <x:v>0.32749999999999996</x:v>
      </x:c>
      <x:c r="E3543" s="12" t="n">
        <x:v>0.33849999999999997</x:v>
      </x:c>
      <x:c r="F3543" s="12" t="n">
        <x:v>0</x:v>
      </x:c>
      <x:c r="G3543" s="12" t="n">
        <x:v>0</x:v>
      </x:c>
      <x:c r="H3543" s="1" t="n">
        <x:f>'Historical prices'!E3543</x:f>
        <x:v>1.05</x:v>
      </x:c>
      <x:c r="I3543" s="6" t="n">
        <x:f>'Historical prices'!D3543</x:f>
        <x:v>0.11109999999999999</x:v>
      </x:c>
      <x:c r="J3543" s="13" t="n">
        <x:f>D3543*I3543*H3543</x:f>
        <x:v>0.038204512499999996</x:v>
      </x:c>
      <x:c r="K3543" s="13" t="n">
        <x:f>E3543*I3543*H3543</x:f>
        <x:v>0.03948771749999999</x:v>
      </x:c>
      <x:c r="L3543" s="1" t="str">
        <x:f>TEXT(A3543,"mmm yyyy")</x:f>
        <x:v>Jul 2026</x:v>
      </x:c>
    </x:row>
    <x:row r="3544" ht="21" customHeight="1">
      <x:c r="A3544" s="10" t="n">
        <x:v>46222</x:v>
      </x:c>
      <x:c r="B3544" s="1" t="n">
        <x:v>8</x:v>
      </x:c>
      <x:c r="C3544" s="1" t="n">
        <x:v>6</x:v>
      </x:c>
      <x:c r="D3544" s="12" t="n">
        <x:v>0.385</x:v>
      </x:c>
      <x:c r="E3544" s="12" t="n">
        <x:v>0.4460833333333334</x:v>
      </x:c>
      <x:c r="F3544" s="12" t="n">
        <x:v>0.051</x:v>
      </x:c>
      <x:c r="G3544" s="12" t="n">
        <x:v>0</x:v>
      </x:c>
      <x:c r="H3544" s="1" t="n">
        <x:f>'Historical prices'!E3544</x:f>
        <x:v>1.05</x:v>
      </x:c>
      <x:c r="I3544" s="6" t="n">
        <x:f>'Historical prices'!D3544</x:f>
        <x:v>0.10189999999999999</x:v>
      </x:c>
      <x:c r="J3544" s="13" t="n">
        <x:f>D3544*I3544*H3544</x:f>
        <x:v>0.041193074999999996</x:v>
      </x:c>
      <x:c r="K3544" s="13" t="n">
        <x:f>E3544*I3544*H3544</x:f>
        <x:v>0.04772868625</x:v>
      </x:c>
      <x:c r="L3544" s="1" t="str">
        <x:f>TEXT(A3544,"mmm yyyy")</x:f>
        <x:v>Jul 2026</x:v>
      </x:c>
    </x:row>
    <x:row r="3545" ht="21" customHeight="1">
      <x:c r="A3545" s="10" t="n">
        <x:v>46222</x:v>
      </x:c>
      <x:c r="B3545" s="1" t="n">
        <x:v>8.5</x:v>
      </x:c>
      <x:c r="C3545" s="1" t="n">
        <x:v>6</x:v>
      </x:c>
      <x:c r="D3545" s="12" t="n">
        <x:v>0.41133333333333333</x:v>
      </x:c>
      <x:c r="E3545" s="12" t="n">
        <x:v>0.42233333333333334</x:v>
      </x:c>
      <x:c r="F3545" s="12" t="n">
        <x:v>0</x:v>
      </x:c>
      <x:c r="G3545" s="12" t="n">
        <x:v>0</x:v>
      </x:c>
      <x:c r="H3545" s="1" t="n">
        <x:f>'Historical prices'!E3545</x:f>
        <x:v>1.05</x:v>
      </x:c>
      <x:c r="I3545" s="6" t="n">
        <x:f>'Historical prices'!D3545</x:f>
        <x:v>0.1014</x:v>
      </x:c>
      <x:c r="J3545" s="13" t="n">
        <x:f>D3545*I3545*H3545</x:f>
        <x:v>0.043794660000000006</x:v>
      </x:c>
      <x:c r="K3545" s="13" t="n">
        <x:f>E3545*I3545*H3545</x:f>
        <x:v>0.044965830000000005</x:v>
      </x:c>
      <x:c r="L3545" s="1" t="str">
        <x:f>TEXT(A3545,"mmm yyyy")</x:f>
        <x:v>Jul 2026</x:v>
      </x:c>
    </x:row>
    <x:row r="3546" ht="21" customHeight="1">
      <x:c r="A3546" s="10" t="n">
        <x:v>46222</x:v>
      </x:c>
      <x:c r="B3546" s="1" t="n">
        <x:v>9</x:v>
      </x:c>
      <x:c r="C3546" s="1" t="n">
        <x:v>6</x:v>
      </x:c>
      <x:c r="D3546" s="12" t="n">
        <x:v>0.42250000000000004</x:v>
      </x:c>
      <x:c r="E3546" s="12" t="n">
        <x:v>0.43450000000000005</x:v>
      </x:c>
      <x:c r="F3546" s="12" t="n">
        <x:v>0</x:v>
      </x:c>
      <x:c r="G3546" s="12" t="n">
        <x:v>0</x:v>
      </x:c>
      <x:c r="H3546" s="1" t="n">
        <x:f>'Historical prices'!E3546</x:f>
        <x:v>1.05</x:v>
      </x:c>
      <x:c r="I3546" s="6" t="n">
        <x:f>'Historical prices'!D3546</x:f>
        <x:v>0.0943</x:v>
      </x:c>
      <x:c r="J3546" s="13" t="n">
        <x:f>D3546*I3546*H3546</x:f>
        <x:v>0.041833837500000005</x:v>
      </x:c>
      <x:c r="K3546" s="13" t="n">
        <x:f>E3546*I3546*H3546</x:f>
        <x:v>0.04302201750000001</x:v>
      </x:c>
      <x:c r="L3546" s="1" t="str">
        <x:f>TEXT(A3546,"mmm yyyy")</x:f>
        <x:v>Jul 2026</x:v>
      </x:c>
    </x:row>
    <x:row r="3547" ht="21" customHeight="1">
      <x:c r="A3547" s="10" t="n">
        <x:v>46222</x:v>
      </x:c>
      <x:c r="B3547" s="1" t="n">
        <x:v>9.5</x:v>
      </x:c>
      <x:c r="C3547" s="1" t="n">
        <x:v>6</x:v>
      </x:c>
      <x:c r="D3547" s="12" t="n">
        <x:v>0.4643333333333333</x:v>
      </x:c>
      <x:c r="E3547" s="12" t="n">
        <x:v>0.47433333333333333</x:v>
      </x:c>
      <x:c r="F3547" s="12" t="n">
        <x:v>0</x:v>
      </x:c>
      <x:c r="G3547" s="12" t="n">
        <x:v>0</x:v>
      </x:c>
      <x:c r="H3547" s="1" t="n">
        <x:f>'Historical prices'!E3547</x:f>
        <x:v>1.05</x:v>
      </x:c>
      <x:c r="I3547" s="6" t="n">
        <x:f>'Historical prices'!D3547</x:f>
        <x:v>0.0978</x:v>
      </x:c>
      <x:c r="J3547" s="13" t="n">
        <x:f>D3547*I3547*H3547</x:f>
        <x:v>0.04768239</x:v>
      </x:c>
      <x:c r="K3547" s="13" t="n">
        <x:f>E3547*I3547*H3547</x:f>
        <x:v>0.04870929</x:v>
      </x:c>
      <x:c r="L3547" s="1" t="str">
        <x:f>TEXT(A3547,"mmm yyyy")</x:f>
        <x:v>Jul 2026</x:v>
      </x:c>
    </x:row>
    <x:row r="3548" ht="21" customHeight="1">
      <x:c r="A3548" s="10" t="n">
        <x:v>46222</x:v>
      </x:c>
      <x:c r="B3548" s="1" t="n">
        <x:v>10</x:v>
      </x:c>
      <x:c r="C3548" s="1" t="n">
        <x:v>6</x:v>
      </x:c>
      <x:c r="D3548" s="12" t="n">
        <x:v>0.4264166666666666</x:v>
      </x:c>
      <x:c r="E3548" s="12" t="n">
        <x:v>0.4374166666666666</x:v>
      </x:c>
      <x:c r="F3548" s="12" t="n">
        <x:v>0</x:v>
      </x:c>
      <x:c r="G3548" s="12" t="n">
        <x:v>0</x:v>
      </x:c>
      <x:c r="H3548" s="1" t="n">
        <x:f>'Historical prices'!E3548</x:f>
        <x:v>1.05</x:v>
      </x:c>
      <x:c r="I3548" s="6" t="n">
        <x:f>'Historical prices'!D3548</x:f>
        <x:v>0.09359999999999999</x:v>
      </x:c>
      <x:c r="J3548" s="13" t="n">
        <x:f>D3548*I3548*H3548</x:f>
        <x:v>0.04190822999999999</x:v>
      </x:c>
      <x:c r="K3548" s="13" t="n">
        <x:f>E3548*I3548*H3548</x:f>
        <x:v>0.042989309999999996</x:v>
      </x:c>
      <x:c r="L3548" s="1" t="str">
        <x:f>TEXT(A3548,"mmm yyyy")</x:f>
        <x:v>Jul 2026</x:v>
      </x:c>
    </x:row>
    <x:row r="3549" ht="21" customHeight="1">
      <x:c r="A3549" s="10" t="n">
        <x:v>46222</x:v>
      </x:c>
      <x:c r="B3549" s="1" t="n">
        <x:v>10.5</x:v>
      </x:c>
      <x:c r="C3549" s="1" t="n">
        <x:v>6</x:v>
      </x:c>
      <x:c r="D3549" s="12" t="n">
        <x:v>0.5325</x:v>
      </x:c>
      <x:c r="E3549" s="12" t="n">
        <x:v>0.5435</x:v>
      </x:c>
      <x:c r="F3549" s="12" t="n">
        <x:v>0</x:v>
      </x:c>
      <x:c r="G3549" s="12" t="n">
        <x:v>0</x:v>
      </x:c>
      <x:c r="H3549" s="1" t="n">
        <x:f>'Historical prices'!E3549</x:f>
        <x:v>1.05</x:v>
      </x:c>
      <x:c r="I3549" s="6" t="n">
        <x:f>'Historical prices'!D3549</x:f>
        <x:v>0.0962</x:v>
      </x:c>
      <x:c r="J3549" s="13" t="n">
        <x:f>D3549*I3549*H3549</x:f>
        <x:v>0.053787825</x:v>
      </x:c>
      <x:c r="K3549" s="13" t="n">
        <x:f>E3549*I3549*H3549</x:f>
        <x:v>0.054898934999999996</x:v>
      </x:c>
      <x:c r="L3549" s="1" t="str">
        <x:f>TEXT(A3549,"mmm yyyy")</x:f>
        <x:v>Jul 2026</x:v>
      </x:c>
    </x:row>
    <x:row r="3550" ht="21" customHeight="1">
      <x:c r="A3550" s="10" t="n">
        <x:v>46222</x:v>
      </x:c>
      <x:c r="B3550" s="1" t="n">
        <x:v>11</x:v>
      </x:c>
      <x:c r="C3550" s="1" t="n">
        <x:v>6</x:v>
      </x:c>
      <x:c r="D3550" s="12" t="n">
        <x:v>0.41625</x:v>
      </x:c>
      <x:c r="E3550" s="12" t="n">
        <x:v>0.42725</x:v>
      </x:c>
      <x:c r="F3550" s="12" t="n">
        <x:v>0</x:v>
      </x:c>
      <x:c r="G3550" s="12" t="n">
        <x:v>0</x:v>
      </x:c>
      <x:c r="H3550" s="1" t="n">
        <x:f>'Historical prices'!E3550</x:f>
        <x:v>1.05</x:v>
      </x:c>
      <x:c r="I3550" s="6" t="n">
        <x:f>'Historical prices'!D3550</x:f>
        <x:v>0.0842</x:v>
      </x:c>
      <x:c r="J3550" s="13" t="n">
        <x:f>D3550*I3550*H3550</x:f>
        <x:v>0.0368006625</x:v>
      </x:c>
      <x:c r="K3550" s="13" t="n">
        <x:f>E3550*I3550*H3550</x:f>
        <x:v>0.0377731725</x:v>
      </x:c>
      <x:c r="L3550" s="1" t="str">
        <x:f>TEXT(A3550,"mmm yyyy")</x:f>
        <x:v>Jul 2026</x:v>
      </x:c>
    </x:row>
    <x:row r="3551" ht="21" customHeight="1">
      <x:c r="A3551" s="10" t="n">
        <x:v>46222</x:v>
      </x:c>
      <x:c r="B3551" s="1" t="n">
        <x:v>11.5</x:v>
      </x:c>
      <x:c r="C3551" s="1" t="n">
        <x:v>6</x:v>
      </x:c>
      <x:c r="D3551" s="12" t="n">
        <x:v>4.335083333333333</x:v>
      </x:c>
      <x:c r="E3551" s="12" t="n">
        <x:v>0.5920833333333333</x:v>
      </x:c>
      <x:c r="F3551" s="12" t="n">
        <x:v>0</x:v>
      </x:c>
      <x:c r="G3551" s="12" t="n">
        <x:v>3.746</x:v>
      </x:c>
      <x:c r="H3551" s="1" t="n">
        <x:f>'Historical prices'!E3551</x:f>
        <x:v>1.05</x:v>
      </x:c>
      <x:c r="I3551" s="6" t="n">
        <x:f>'Historical prices'!D3551</x:f>
        <x:v>0.0806</x:v>
      </x:c>
      <x:c r="J3551" s="13" t="n">
        <x:f>D3551*I3551*H3551</x:f>
        <x:v>0.3668781025</x:v>
      </x:c>
      <x:c r="K3551" s="13" t="n">
        <x:f>E3551*I3551*H3551</x:f>
        <x:v>0.05010801250000001</x:v>
      </x:c>
      <x:c r="L3551" s="1" t="str">
        <x:f>TEXT(A3551,"mmm yyyy")</x:f>
        <x:v>Jul 2026</x:v>
      </x:c>
    </x:row>
    <x:row r="3552" ht="21" customHeight="1">
      <x:c r="A3552" s="10" t="n">
        <x:v>46222</x:v>
      </x:c>
      <x:c r="B3552" s="1" t="n">
        <x:v>12</x:v>
      </x:c>
      <x:c r="C3552" s="1" t="n">
        <x:v>6</x:v>
      </x:c>
      <x:c r="D3552" s="12" t="n">
        <x:v>1.2101666666666666</x:v>
      </x:c>
      <x:c r="E3552" s="12" t="n">
        <x:v>0.44216666666666665</x:v>
      </x:c>
      <x:c r="F3552" s="12" t="n">
        <x:v>0</x:v>
      </x:c>
      <x:c r="G3552" s="12" t="n">
        <x:v>0.776</x:v>
      </x:c>
      <x:c r="H3552" s="1" t="n">
        <x:f>'Historical prices'!E3552</x:f>
        <x:v>1.05</x:v>
      </x:c>
      <x:c r="I3552" s="6" t="n">
        <x:f>'Historical prices'!D3552</x:f>
        <x:v>0.0901</x:v>
      </x:c>
      <x:c r="J3552" s="13" t="n">
        <x:f>D3552*I3552*H3552</x:f>
        <x:v>0.1144878175</x:v>
      </x:c>
      <x:c r="K3552" s="13" t="n">
        <x:f>E3552*I3552*H3552</x:f>
        <x:v>0.0418311775</x:v>
      </x:c>
      <x:c r="L3552" s="1" t="str">
        <x:f>TEXT(A3552,"mmm yyyy")</x:f>
        <x:v>Jul 2026</x:v>
      </x:c>
    </x:row>
    <x:row r="3553" ht="21" customHeight="1">
      <x:c r="A3553" s="10" t="n">
        <x:v>46222</x:v>
      </x:c>
      <x:c r="B3553" s="1" t="n">
        <x:v>12.5</x:v>
      </x:c>
      <x:c r="C3553" s="1" t="n">
        <x:v>6</x:v>
      </x:c>
      <x:c r="D3553" s="12" t="n">
        <x:v>0.35825</x:v>
      </x:c>
      <x:c r="E3553" s="12" t="n">
        <x:v>0.36925</x:v>
      </x:c>
      <x:c r="F3553" s="12" t="n">
        <x:v>0</x:v>
      </x:c>
      <x:c r="G3553" s="12" t="n">
        <x:v>0</x:v>
      </x:c>
      <x:c r="H3553" s="1" t="n">
        <x:f>'Historical prices'!E3553</x:f>
        <x:v>1.05</x:v>
      </x:c>
      <x:c r="I3553" s="6" t="n">
        <x:f>'Historical prices'!D3553</x:f>
        <x:v>0.09720000000000001</x:v>
      </x:c>
      <x:c r="J3553" s="13" t="n">
        <x:f>D3553*I3553*H3553</x:f>
        <x:v>0.03656299500000001</x:v>
      </x:c>
      <x:c r="K3553" s="13" t="n">
        <x:f>E3553*I3553*H3553</x:f>
        <x:v>0.037685655000000005</x:v>
      </x:c>
      <x:c r="L3553" s="1" t="str">
        <x:f>TEXT(A3553,"mmm yyyy")</x:f>
        <x:v>Jul 2026</x:v>
      </x:c>
    </x:row>
    <x:row r="3554" ht="21" customHeight="1">
      <x:c r="A3554" s="10" t="n">
        <x:v>46222</x:v>
      </x:c>
      <x:c r="B3554" s="1" t="n">
        <x:v>13</x:v>
      </x:c>
      <x:c r="C3554" s="1" t="n">
        <x:v>6</x:v>
      </x:c>
      <x:c r="D3554" s="12" t="n">
        <x:v>0.36183333333333334</x:v>
      </x:c>
      <x:c r="E3554" s="12" t="n">
        <x:v>0.37183333333333335</x:v>
      </x:c>
      <x:c r="F3554" s="12" t="n">
        <x:v>0</x:v>
      </x:c>
      <x:c r="G3554" s="12" t="n">
        <x:v>0</x:v>
      </x:c>
      <x:c r="H3554" s="1" t="n">
        <x:f>'Historical prices'!E3554</x:f>
        <x:v>1.05</x:v>
      </x:c>
      <x:c r="I3554" s="6" t="n">
        <x:f>'Historical prices'!D3554</x:f>
        <x:v>0.0958</x:v>
      </x:c>
      <x:c r="J3554" s="13" t="n">
        <x:f>D3554*I3554*H3554</x:f>
        <x:v>0.036396815</x:v>
      </x:c>
      <x:c r="K3554" s="13" t="n">
        <x:f>E3554*I3554*H3554</x:f>
        <x:v>0.037402715</x:v>
      </x:c>
      <x:c r="L3554" s="1" t="str">
        <x:f>TEXT(A3554,"mmm yyyy")</x:f>
        <x:v>Jul 2026</x:v>
      </x:c>
    </x:row>
    <x:row r="3555" ht="21" customHeight="1">
      <x:c r="A3555" s="10" t="n">
        <x:v>46222</x:v>
      </x:c>
      <x:c r="B3555" s="1" t="n">
        <x:v>13.5</x:v>
      </x:c>
      <x:c r="C3555" s="1" t="n">
        <x:v>6</x:v>
      </x:c>
      <x:c r="D3555" s="12" t="n">
        <x:v>0.9991666666666666</x:v>
      </x:c>
      <x:c r="E3555" s="12" t="n">
        <x:v>0.4621666666666666</x:v>
      </x:c>
      <x:c r="F3555" s="12" t="n">
        <x:v>0</x:v>
      </x:c>
      <x:c r="G3555" s="12" t="n">
        <x:v>0.542</x:v>
      </x:c>
      <x:c r="H3555" s="1" t="n">
        <x:f>'Historical prices'!E3555</x:f>
        <x:v>1.05</x:v>
      </x:c>
      <x:c r="I3555" s="6" t="n">
        <x:f>'Historical prices'!D3555</x:f>
        <x:v>0.08439999999999999</x:v>
      </x:c>
      <x:c r="J3555" s="13" t="n">
        <x:f>D3555*I3555*H3555</x:f>
        <x:v>0.08854614999999999</x:v>
      </x:c>
      <x:c r="K3555" s="13" t="n">
        <x:f>E3555*I3555*H3555</x:f>
        <x:v>0.040957209999999994</x:v>
      </x:c>
      <x:c r="L3555" s="1" t="str">
        <x:f>TEXT(A3555,"mmm yyyy")</x:f>
        <x:v>Jul 2026</x:v>
      </x:c>
    </x:row>
    <x:row r="3556" ht="21" customHeight="1">
      <x:c r="A3556" s="10" t="n">
        <x:v>46222</x:v>
      </x:c>
      <x:c r="B3556" s="1" t="n">
        <x:v>14</x:v>
      </x:c>
      <x:c r="C3556" s="1" t="n">
        <x:v>6</x:v>
      </x:c>
      <x:c r="D3556" s="12" t="n">
        <x:v>0.4205</x:v>
      </x:c>
      <x:c r="E3556" s="12" t="n">
        <x:v>0.4305</x:v>
      </x:c>
      <x:c r="F3556" s="12" t="n">
        <x:v>0</x:v>
      </x:c>
      <x:c r="G3556" s="12" t="n">
        <x:v>0</x:v>
      </x:c>
      <x:c r="H3556" s="1" t="n">
        <x:f>'Historical prices'!E3556</x:f>
        <x:v>1.05</x:v>
      </x:c>
      <x:c r="I3556" s="6" t="n">
        <x:f>'Historical prices'!D3556</x:f>
        <x:v>0.0922</x:v>
      </x:c>
      <x:c r="J3556" s="13" t="n">
        <x:f>D3556*I3556*H3556</x:f>
        <x:v>0.040708605</x:v>
      </x:c>
      <x:c r="K3556" s="13" t="n">
        <x:f>E3556*I3556*H3556</x:f>
        <x:v>0.041676705</x:v>
      </x:c>
      <x:c r="L3556" s="1" t="str">
        <x:f>TEXT(A3556,"mmm yyyy")</x:f>
        <x:v>Jul 2026</x:v>
      </x:c>
    </x:row>
    <x:row r="3557" ht="21" customHeight="1">
      <x:c r="A3557" s="10" t="n">
        <x:v>46222</x:v>
      </x:c>
      <x:c r="B3557" s="1" t="n">
        <x:v>14.5</x:v>
      </x:c>
      <x:c r="C3557" s="1" t="n">
        <x:v>6</x:v>
      </x:c>
      <x:c r="D3557" s="12" t="n">
        <x:v>0.46175</x:v>
      </x:c>
      <x:c r="E3557" s="12" t="n">
        <x:v>0.44175000000000003</x:v>
      </x:c>
      <x:c r="F3557" s="12" t="n">
        <x:v>0</x:v>
      </x:c>
      <x:c r="G3557" s="12" t="n">
        <x:v>0.009</x:v>
      </x:c>
      <x:c r="H3557" s="1" t="n">
        <x:f>'Historical prices'!E3557</x:f>
        <x:v>1.05</x:v>
      </x:c>
      <x:c r="I3557" s="6" t="n">
        <x:f>'Historical prices'!D3557</x:f>
        <x:v>0.0888</x:v>
      </x:c>
      <x:c r="J3557" s="13" t="n">
        <x:f>D3557*I3557*H3557</x:f>
        <x:v>0.043053570000000006</x:v>
      </x:c>
      <x:c r="K3557" s="13" t="n">
        <x:f>E3557*I3557*H3557</x:f>
        <x:v>0.041188770000000006</x:v>
      </x:c>
      <x:c r="L3557" s="1" t="str">
        <x:f>TEXT(A3557,"mmm yyyy")</x:f>
        <x:v>Jul 2026</x:v>
      </x:c>
    </x:row>
    <x:row r="3558" ht="21" customHeight="1">
      <x:c r="A3558" s="10" t="n">
        <x:v>46222</x:v>
      </x:c>
      <x:c r="B3558" s="1" t="n">
        <x:v>15</x:v>
      </x:c>
      <x:c r="C3558" s="1" t="n">
        <x:v>6</x:v>
      </x:c>
      <x:c r="D3558" s="12" t="n">
        <x:v>0.3494166666666666</x:v>
      </x:c>
      <x:c r="E3558" s="12" t="n">
        <x:v>0.3604166666666666</x:v>
      </x:c>
      <x:c r="F3558" s="12" t="n">
        <x:v>0</x:v>
      </x:c>
      <x:c r="G3558" s="12" t="n">
        <x:v>0</x:v>
      </x:c>
      <x:c r="H3558" s="1" t="n">
        <x:f>'Historical prices'!E3558</x:f>
        <x:v>1.05</x:v>
      </x:c>
      <x:c r="I3558" s="6" t="n">
        <x:f>'Historical prices'!D3558</x:f>
        <x:v>0.09300000000000001</x:v>
      </x:c>
      <x:c r="J3558" s="13" t="n">
        <x:f>D3558*I3558*H3558</x:f>
        <x:v>0.0341205375</x:v>
      </x:c>
      <x:c r="K3558" s="13" t="n">
        <x:f>E3558*I3558*H3558</x:f>
        <x:v>0.0351946875</x:v>
      </x:c>
      <x:c r="L3558" s="1" t="str">
        <x:f>TEXT(A3558,"mmm yyyy")</x:f>
        <x:v>Jul 2026</x:v>
      </x:c>
    </x:row>
    <x:row r="3559" ht="21" customHeight="1">
      <x:c r="A3559" s="10" t="n">
        <x:v>46222</x:v>
      </x:c>
      <x:c r="B3559" s="1" t="n">
        <x:v>15.5</x:v>
      </x:c>
      <x:c r="C3559" s="1" t="n">
        <x:v>6</x:v>
      </x:c>
      <x:c r="D3559" s="12" t="n">
        <x:v>0.44533333333333336</x:v>
      </x:c>
      <x:c r="E3559" s="12" t="n">
        <x:v>0.4553333333333333</x:v>
      </x:c>
      <x:c r="F3559" s="12" t="n">
        <x:v>0</x:v>
      </x:c>
      <x:c r="G3559" s="12" t="n">
        <x:v>0</x:v>
      </x:c>
      <x:c r="H3559" s="1" t="n">
        <x:f>'Historical prices'!E3559</x:f>
        <x:v>1.05</x:v>
      </x:c>
      <x:c r="I3559" s="6" t="n">
        <x:f>'Historical prices'!D3559</x:f>
        <x:v>0.09910000000000001</x:v>
      </x:c>
      <x:c r="J3559" s="13" t="n">
        <x:f>D3559*I3559*H3559</x:f>
        <x:v>0.04633916000000001</x:v>
      </x:c>
      <x:c r="K3559" s="13" t="n">
        <x:f>E3559*I3559*H3559</x:f>
        <x:v>0.047379710000000005</x:v>
      </x:c>
      <x:c r="L3559" s="1" t="str">
        <x:f>TEXT(A3559,"mmm yyyy")</x:f>
        <x:v>Jul 2026</x:v>
      </x:c>
    </x:row>
    <x:row r="3560" ht="21" customHeight="1">
      <x:c r="A3560" s="10" t="n">
        <x:v>46222</x:v>
      </x:c>
      <x:c r="B3560" s="1" t="n">
        <x:v>16</x:v>
      </x:c>
      <x:c r="C3560" s="1" t="n">
        <x:v>6</x:v>
      </x:c>
      <x:c r="D3560" s="12" t="n">
        <x:v>0.06116666666666667</x:v>
      </x:c>
      <x:c r="E3560" s="12" t="n">
        <x:v>0.4066666666666666</x:v>
      </x:c>
      <x:c r="F3560" s="12" t="n">
        <x:v>0.3365833333333333</x:v>
      </x:c>
      <x:c r="G3560" s="12" t="n">
        <x:v>0</x:v>
      </x:c>
      <x:c r="H3560" s="1" t="n">
        <x:f>'Historical prices'!E3560</x:f>
        <x:v>1.05</x:v>
      </x:c>
      <x:c r="I3560" s="6" t="n">
        <x:f>'Historical prices'!D3560</x:f>
        <x:v>0.2346</x:v>
      </x:c>
      <x:c r="J3560" s="13" t="n">
        <x:f>D3560*I3560*H3560</x:f>
        <x:v>0.015067185</x:v>
      </x:c>
      <x:c r="K3560" s="13" t="n">
        <x:f>E3560*I3560*H3560</x:f>
        <x:v>0.10017419999999999</x:v>
      </x:c>
      <x:c r="L3560" s="1" t="str">
        <x:f>TEXT(A3560,"mmm yyyy")</x:f>
        <x:v>Jul 2026</x:v>
      </x:c>
    </x:row>
    <x:row r="3561" ht="21" customHeight="1">
      <x:c r="A3561" s="10" t="n">
        <x:v>46222</x:v>
      </x:c>
      <x:c r="B3561" s="1" t="n">
        <x:v>16.5</x:v>
      </x:c>
      <x:c r="C3561" s="1" t="n">
        <x:v>6</x:v>
      </x:c>
      <x:c r="D3561" s="12" t="n">
        <x:v>0</x:v>
      </x:c>
      <x:c r="E3561" s="12" t="n">
        <x:v>0.4735833333333333</x:v>
      </x:c>
      <x:c r="F3561" s="12" t="n">
        <x:v>0.4706666666666666</x:v>
      </x:c>
      <x:c r="G3561" s="12" t="n">
        <x:v>0</x:v>
      </x:c>
      <x:c r="H3561" s="1" t="n">
        <x:f>'Historical prices'!E3561</x:f>
        <x:v>1.05</x:v>
      </x:c>
      <x:c r="I3561" s="6" t="n">
        <x:f>'Historical prices'!D3561</x:f>
        <x:v>0.2546</x:v>
      </x:c>
      <x:c r="J3561" s="13" t="n">
        <x:f>D3561*I3561*H3561</x:f>
        <x:v>0</x:v>
      </x:c>
      <x:c r="K3561" s="13" t="n">
        <x:f>E3561*I3561*H3561</x:f>
        <x:v>0.1266030325</x:v>
      </x:c>
      <x:c r="L3561" s="1" t="str">
        <x:f>TEXT(A3561,"mmm yyyy")</x:f>
        <x:v>Jul 2026</x:v>
      </x:c>
    </x:row>
    <x:row r="3562" ht="21" customHeight="1">
      <x:c r="A3562" s="10" t="n">
        <x:v>46222</x:v>
      </x:c>
      <x:c r="B3562" s="1" t="n">
        <x:v>17</x:v>
      </x:c>
      <x:c r="C3562" s="1" t="n">
        <x:v>6</x:v>
      </x:c>
      <x:c r="D3562" s="12" t="n">
        <x:v>0</x:v>
      </x:c>
      <x:c r="E3562" s="12" t="n">
        <x:v>0.48450000000000004</x:v>
      </x:c>
      <x:c r="F3562" s="12" t="n">
        <x:v>0.48450000000000004</x:v>
      </x:c>
      <x:c r="G3562" s="12" t="n">
        <x:v>0</x:v>
      </x:c>
      <x:c r="H3562" s="1" t="n">
        <x:f>'Historical prices'!E3562</x:f>
        <x:v>1.05</x:v>
      </x:c>
      <x:c r="I3562" s="6" t="n">
        <x:f>'Historical prices'!D3562</x:f>
        <x:v>0.3124</x:v>
      </x:c>
      <x:c r="J3562" s="13" t="n">
        <x:f>D3562*I3562*H3562</x:f>
        <x:v>0</x:v>
      </x:c>
      <x:c r="K3562" s="13" t="n">
        <x:f>E3562*I3562*H3562</x:f>
        <x:v>0.15892569</x:v>
      </x:c>
      <x:c r="L3562" s="1" t="str">
        <x:f>TEXT(A3562,"mmm yyyy")</x:f>
        <x:v>Jul 2026</x:v>
      </x:c>
    </x:row>
    <x:row r="3563" ht="21" customHeight="1">
      <x:c r="A3563" s="10" t="n">
        <x:v>46222</x:v>
      </x:c>
      <x:c r="B3563" s="1" t="n">
        <x:v>17.5</x:v>
      </x:c>
      <x:c r="C3563" s="1" t="n">
        <x:v>6</x:v>
      </x:c>
      <x:c r="D3563" s="12" t="n">
        <x:v>0</x:v>
      </x:c>
      <x:c r="E3563" s="12" t="n">
        <x:v>0.4618333333333334</x:v>
      </x:c>
      <x:c r="F3563" s="12" t="n">
        <x:v>0.46175000000000005</x:v>
      </x:c>
      <x:c r="G3563" s="12" t="n">
        <x:v>0</x:v>
      </x:c>
      <x:c r="H3563" s="1" t="n">
        <x:f>'Historical prices'!E3563</x:f>
        <x:v>1.05</x:v>
      </x:c>
      <x:c r="I3563" s="6" t="n">
        <x:f>'Historical prices'!D3563</x:f>
        <x:v>0.3079</x:v>
      </x:c>
      <x:c r="J3563" s="13" t="n">
        <x:f>D3563*I3563*H3563</x:f>
        <x:v>0</x:v>
      </x:c>
      <x:c r="K3563" s="13" t="n">
        <x:f>E3563*I3563*H3563</x:f>
        <x:v>0.14930840750000002</x:v>
      </x:c>
      <x:c r="L3563" s="1" t="str">
        <x:f>TEXT(A3563,"mmm yyyy")</x:f>
        <x:v>Jul 2026</x:v>
      </x:c>
    </x:row>
    <x:row r="3564" ht="21" customHeight="1">
      <x:c r="A3564" s="10" t="n">
        <x:v>46222</x:v>
      </x:c>
      <x:c r="B3564" s="1" t="n">
        <x:v>18</x:v>
      </x:c>
      <x:c r="C3564" s="1" t="n">
        <x:v>6</x:v>
      </x:c>
      <x:c r="D3564" s="12" t="n">
        <x:v>0</x:v>
      </x:c>
      <x:c r="E3564" s="12" t="n">
        <x:v>0.498</x:v>
      </x:c>
      <x:c r="F3564" s="12" t="n">
        <x:v>0.4975833333333334</x:v>
      </x:c>
      <x:c r="G3564" s="12" t="n">
        <x:v>0</x:v>
      </x:c>
      <x:c r="H3564" s="1" t="n">
        <x:f>'Historical prices'!E3564</x:f>
        <x:v>1.05</x:v>
      </x:c>
      <x:c r="I3564" s="6" t="n">
        <x:f>'Historical prices'!D3564</x:f>
        <x:v>0.34490000000000004</x:v>
      </x:c>
      <x:c r="J3564" s="13" t="n">
        <x:f>D3564*I3564*H3564</x:f>
        <x:v>0</x:v>
      </x:c>
      <x:c r="K3564" s="13" t="n">
        <x:f>E3564*I3564*H3564</x:f>
        <x:v>0.18034821000000004</x:v>
      </x:c>
      <x:c r="L3564" s="1" t="str">
        <x:f>TEXT(A3564,"mmm yyyy")</x:f>
        <x:v>Jul 2026</x:v>
      </x:c>
    </x:row>
    <x:row r="3565" ht="21" customHeight="1">
      <x:c r="A3565" s="10" t="n">
        <x:v>46222</x:v>
      </x:c>
      <x:c r="B3565" s="1" t="n">
        <x:v>18.5</x:v>
      </x:c>
      <x:c r="C3565" s="1" t="n">
        <x:v>6</x:v>
      </x:c>
      <x:c r="D3565" s="12" t="n">
        <x:v>0</x:v>
      </x:c>
      <x:c r="E3565" s="12" t="n">
        <x:v>0.9520000000000001</x:v>
      </x:c>
      <x:c r="F3565" s="12" t="n">
        <x:v>0.9516666666666668</x:v>
      </x:c>
      <x:c r="G3565" s="12" t="n">
        <x:v>0</x:v>
      </x:c>
      <x:c r="H3565" s="1" t="n">
        <x:f>'Historical prices'!E3565</x:f>
        <x:v>1.05</x:v>
      </x:c>
      <x:c r="I3565" s="6" t="n">
        <x:f>'Historical prices'!D3565</x:f>
        <x:v>0.34909999999999997</x:v>
      </x:c>
      <x:c r="J3565" s="13" t="n">
        <x:f>D3565*I3565*H3565</x:f>
        <x:v>0</x:v>
      </x:c>
      <x:c r="K3565" s="13" t="n">
        <x:f>E3565*I3565*H3565</x:f>
        <x:v>0.34896036</x:v>
      </x:c>
      <x:c r="L3565" s="1" t="str">
        <x:f>TEXT(A3565,"mmm yyyy")</x:f>
        <x:v>Jul 2026</x:v>
      </x:c>
    </x:row>
    <x:row r="3566" ht="21" customHeight="1">
      <x:c r="A3566" s="10" t="n">
        <x:v>46222</x:v>
      </x:c>
      <x:c r="B3566" s="1" t="n">
        <x:v>19</x:v>
      </x:c>
      <x:c r="C3566" s="1" t="n">
        <x:v>6</x:v>
      </x:c>
      <x:c r="D3566" s="12" t="n">
        <x:v>0</x:v>
      </x:c>
      <x:c r="E3566" s="12" t="n">
        <x:v>0.5379166666666667</x:v>
      </x:c>
      <x:c r="F3566" s="12" t="n">
        <x:v>0.5376666666666667</x:v>
      </x:c>
      <x:c r="G3566" s="12" t="n">
        <x:v>0</x:v>
      </x:c>
      <x:c r="H3566" s="1" t="n">
        <x:f>'Historical prices'!E3566</x:f>
        <x:v>1.05</x:v>
      </x:c>
      <x:c r="I3566" s="6" t="n">
        <x:f>'Historical prices'!D3566</x:f>
        <x:v>0.2523</x:v>
      </x:c>
      <x:c r="J3566" s="13" t="n">
        <x:f>D3566*I3566*H3566</x:f>
        <x:v>0</x:v>
      </x:c>
      <x:c r="K3566" s="13" t="n">
        <x:f>E3566*I3566*H3566</x:f>
        <x:v>0.14250219375000003</x:v>
      </x:c>
      <x:c r="L3566" s="1" t="str">
        <x:f>TEXT(A3566,"mmm yyyy")</x:f>
        <x:v>Jul 2026</x:v>
      </x:c>
    </x:row>
    <x:row r="3567" ht="21" customHeight="1">
      <x:c r="A3567" s="10" t="n">
        <x:v>46222</x:v>
      </x:c>
      <x:c r="B3567" s="1" t="n">
        <x:v>19.5</x:v>
      </x:c>
      <x:c r="C3567" s="1" t="n">
        <x:v>6</x:v>
      </x:c>
      <x:c r="D3567" s="12" t="n">
        <x:v>0</x:v>
      </x:c>
      <x:c r="E3567" s="12" t="n">
        <x:v>0.5313333333333333</x:v>
      </x:c>
      <x:c r="F3567" s="12" t="n">
        <x:v>0.5228333333333334</x:v>
      </x:c>
      <x:c r="G3567" s="12" t="n">
        <x:v>0</x:v>
      </x:c>
      <x:c r="H3567" s="1" t="n">
        <x:f>'Historical prices'!E3567</x:f>
        <x:v>1.05</x:v>
      </x:c>
      <x:c r="I3567" s="6" t="n">
        <x:f>'Historical prices'!D3567</x:f>
        <x:v>0.2547</x:v>
      </x:c>
      <x:c r="J3567" s="13" t="n">
        <x:f>D3567*I3567*H3567</x:f>
        <x:v>0</x:v>
      </x:c>
      <x:c r="K3567" s="13" t="n">
        <x:f>E3567*I3567*H3567</x:f>
        <x:v>0.14209713</x:v>
      </x:c>
      <x:c r="L3567" s="1" t="str">
        <x:f>TEXT(A3567,"mmm yyyy")</x:f>
        <x:v>Jul 2026</x:v>
      </x:c>
    </x:row>
    <x:row r="3568" ht="21" customHeight="1">
      <x:c r="A3568" s="10" t="n">
        <x:v>46222</x:v>
      </x:c>
      <x:c r="B3568" s="1" t="n">
        <x:v>20</x:v>
      </x:c>
      <x:c r="C3568" s="1" t="n">
        <x:v>6</x:v>
      </x:c>
      <x:c r="D3568" s="12" t="n">
        <x:v>0</x:v>
      </x:c>
      <x:c r="E3568" s="12" t="n">
        <x:v>0.49658333333333327</x:v>
      </x:c>
      <x:c r="F3568" s="12" t="n">
        <x:v>0.49649999999999994</x:v>
      </x:c>
      <x:c r="G3568" s="12" t="n">
        <x:v>0</x:v>
      </x:c>
      <x:c r="H3568" s="1" t="n">
        <x:f>'Historical prices'!E3568</x:f>
        <x:v>1.05</x:v>
      </x:c>
      <x:c r="I3568" s="6" t="n">
        <x:f>'Historical prices'!D3568</x:f>
        <x:v>0.2575</x:v>
      </x:c>
      <x:c r="J3568" s="13" t="n">
        <x:f>D3568*I3568*H3568</x:f>
        <x:v>0</x:v>
      </x:c>
      <x:c r="K3568" s="13" t="n">
        <x:f>E3568*I3568*H3568</x:f>
        <x:v>0.13426371874999998</x:v>
      </x:c>
      <x:c r="L3568" s="1" t="str">
        <x:f>TEXT(A3568,"mmm yyyy")</x:f>
        <x:v>Jul 2026</x:v>
      </x:c>
    </x:row>
    <x:row r="3569" ht="21" customHeight="1">
      <x:c r="A3569" s="10" t="n">
        <x:v>46222</x:v>
      </x:c>
      <x:c r="B3569" s="1" t="n">
        <x:v>20.5</x:v>
      </x:c>
      <x:c r="C3569" s="1" t="n">
        <x:v>6</x:v>
      </x:c>
      <x:c r="D3569" s="12" t="n">
        <x:v>0</x:v>
      </x:c>
      <x:c r="E3569" s="12" t="n">
        <x:v>0.5427500000000001</x:v>
      </x:c>
      <x:c r="F3569" s="12" t="n">
        <x:v>0.5425</x:v>
      </x:c>
      <x:c r="G3569" s="12" t="n">
        <x:v>0</x:v>
      </x:c>
      <x:c r="H3569" s="1" t="n">
        <x:f>'Historical prices'!E3569</x:f>
        <x:v>1.05</x:v>
      </x:c>
      <x:c r="I3569" s="6" t="n">
        <x:f>'Historical prices'!D3569</x:f>
        <x:v>0.2554</x:v>
      </x:c>
      <x:c r="J3569" s="13" t="n">
        <x:f>D3569*I3569*H3569</x:f>
        <x:v>0</x:v>
      </x:c>
      <x:c r="K3569" s="13" t="n">
        <x:f>E3569*I3569*H3569</x:f>
        <x:v>0.14554926750000002</x:v>
      </x:c>
      <x:c r="L3569" s="1" t="str">
        <x:f>TEXT(A3569,"mmm yyyy")</x:f>
        <x:v>Jul 2026</x:v>
      </x:c>
    </x:row>
    <x:row r="3570" ht="21" customHeight="1">
      <x:c r="A3570" s="10" t="n">
        <x:v>46222</x:v>
      </x:c>
      <x:c r="B3570" s="1" t="n">
        <x:v>21</x:v>
      </x:c>
      <x:c r="C3570" s="1" t="n">
        <x:v>6</x:v>
      </x:c>
      <x:c r="D3570" s="12" t="n">
        <x:v>0</x:v>
      </x:c>
      <x:c r="E3570" s="12" t="n">
        <x:v>0.58175</x:v>
      </x:c>
      <x:c r="F3570" s="12" t="n">
        <x:v>0.5816666666666667</x:v>
      </x:c>
      <x:c r="G3570" s="12" t="n">
        <x:v>0</x:v>
      </x:c>
      <x:c r="H3570" s="1" t="n">
        <x:f>'Historical prices'!E3570</x:f>
        <x:v>1.05</x:v>
      </x:c>
      <x:c r="I3570" s="6" t="n">
        <x:f>'Historical prices'!D3570</x:f>
        <x:v>0.2564</x:v>
      </x:c>
      <x:c r="J3570" s="13" t="n">
        <x:f>D3570*I3570*H3570</x:f>
        <x:v>0</x:v>
      </x:c>
      <x:c r="K3570" s="13" t="n">
        <x:f>E3570*I3570*H3570</x:f>
        <x:v>0.156618735</x:v>
      </x:c>
      <x:c r="L3570" s="1" t="str">
        <x:f>TEXT(A3570,"mmm yyyy")</x:f>
        <x:v>Jul 2026</x:v>
      </x:c>
    </x:row>
    <x:row r="3571" ht="21" customHeight="1">
      <x:c r="A3571" s="10" t="n">
        <x:v>46222</x:v>
      </x:c>
      <x:c r="B3571" s="1" t="n">
        <x:v>21.5</x:v>
      </x:c>
      <x:c r="C3571" s="1" t="n">
        <x:v>6</x:v>
      </x:c>
      <x:c r="D3571" s="12" t="n">
        <x:v>0</x:v>
      </x:c>
      <x:c r="E3571" s="12" t="n">
        <x:v>0.8216666666666665</x:v>
      </x:c>
      <x:c r="F3571" s="12" t="n">
        <x:v>0.8214999999999999</x:v>
      </x:c>
      <x:c r="G3571" s="12" t="n">
        <x:v>0</x:v>
      </x:c>
      <x:c r="H3571" s="1" t="n">
        <x:f>'Historical prices'!E3571</x:f>
        <x:v>1.05</x:v>
      </x:c>
      <x:c r="I3571" s="6" t="n">
        <x:f>'Historical prices'!D3571</x:f>
        <x:v>0.2544</x:v>
      </x:c>
      <x:c r="J3571" s="13" t="n">
        <x:f>D3571*I3571*H3571</x:f>
        <x:v>0</x:v>
      </x:c>
      <x:c r="K3571" s="13" t="n">
        <x:f>E3571*I3571*H3571</x:f>
        <x:v>0.21948359999999997</x:v>
      </x:c>
      <x:c r="L3571" s="1" t="str">
        <x:f>TEXT(A3571,"mmm yyyy")</x:f>
        <x:v>Jul 2026</x:v>
      </x:c>
    </x:row>
    <x:row r="3572" ht="21" customHeight="1">
      <x:c r="A3572" s="10" t="n">
        <x:v>46222</x:v>
      </x:c>
      <x:c r="B3572" s="1" t="n">
        <x:v>22</x:v>
      </x:c>
      <x:c r="C3572" s="1" t="n">
        <x:v>6</x:v>
      </x:c>
      <x:c r="D3572" s="12" t="n">
        <x:v>0</x:v>
      </x:c>
      <x:c r="E3572" s="12" t="n">
        <x:v>0.5469166666666667</x:v>
      </x:c>
      <x:c r="F3572" s="12" t="n">
        <x:v>0.5467500000000001</x:v>
      </x:c>
      <x:c r="G3572" s="12" t="n">
        <x:v>0</x:v>
      </x:c>
      <x:c r="H3572" s="1" t="n">
        <x:f>'Historical prices'!E3572</x:f>
        <x:v>1.05</x:v>
      </x:c>
      <x:c r="I3572" s="6" t="n">
        <x:f>'Historical prices'!D3572</x:f>
        <x:v>0.2613</x:v>
      </x:c>
      <x:c r="J3572" s="13" t="n">
        <x:f>D3572*I3572*H3572</x:f>
        <x:v>0</x:v>
      </x:c>
      <x:c r="K3572" s="13" t="n">
        <x:f>E3572*I3572*H3572</x:f>
        <x:v>0.15005479125</x:v>
      </x:c>
      <x:c r="L3572" s="1" t="str">
        <x:f>TEXT(A3572,"mmm yyyy")</x:f>
        <x:v>Jul 2026</x:v>
      </x:c>
    </x:row>
    <x:row r="3573" ht="21" customHeight="1">
      <x:c r="A3573" s="10" t="n">
        <x:v>46222</x:v>
      </x:c>
      <x:c r="B3573" s="1" t="n">
        <x:v>22.5</x:v>
      </x:c>
      <x:c r="C3573" s="1" t="n">
        <x:v>6</x:v>
      </x:c>
      <x:c r="D3573" s="12" t="n">
        <x:v>0.24325</x:v>
      </x:c>
      <x:c r="E3573" s="12" t="n">
        <x:v>0.31433333333333335</x:v>
      </x:c>
      <x:c r="F3573" s="12" t="n">
        <x:v>0.061</x:v>
      </x:c>
      <x:c r="G3573" s="12" t="n">
        <x:v>0</x:v>
      </x:c>
      <x:c r="H3573" s="1" t="n">
        <x:f>'Historical prices'!E3573</x:f>
        <x:v>1.05</x:v>
      </x:c>
      <x:c r="I3573" s="6" t="n">
        <x:f>'Historical prices'!D3573</x:f>
        <x:v>0.2501</x:v>
      </x:c>
      <x:c r="J3573" s="13" t="n">
        <x:f>D3573*I3573*H3573</x:f>
        <x:v>0.06387866625</x:v>
      </x:c>
      <x:c r="K3573" s="13" t="n">
        <x:f>E3573*I3573*H3573</x:f>
        <x:v>0.082545505</x:v>
      </x:c>
      <x:c r="L3573" s="1" t="str">
        <x:f>TEXT(A3573,"mmm yyyy")</x:f>
        <x:v>Jul 2026</x:v>
      </x:c>
    </x:row>
    <x:row r="3574" ht="21" customHeight="1">
      <x:c r="A3574" s="10" t="n">
        <x:v>46222</x:v>
      </x:c>
      <x:c r="B3574" s="1" t="n">
        <x:v>23</x:v>
      </x:c>
      <x:c r="C3574" s="1" t="n">
        <x:v>6</x:v>
      </x:c>
      <x:c r="D3574" s="12" t="n">
        <x:v>0.04041666666666666</x:v>
      </x:c>
      <x:c r="E3574" s="12" t="n">
        <x:v>0.3155</x:v>
      </x:c>
      <x:c r="F3574" s="12" t="n">
        <x:v>0.27275</x:v>
      </x:c>
      <x:c r="G3574" s="12" t="n">
        <x:v>0</x:v>
      </x:c>
      <x:c r="H3574" s="1" t="n">
        <x:f>'Historical prices'!E3574</x:f>
        <x:v>1.05</x:v>
      </x:c>
      <x:c r="I3574" s="6" t="n">
        <x:f>'Historical prices'!D3574</x:f>
        <x:v>0.2731</x:v>
      </x:c>
      <x:c r="J3574" s="13" t="n">
        <x:f>D3574*I3574*H3574</x:f>
        <x:v>0.01158968125</x:v>
      </x:c>
      <x:c r="K3574" s="13" t="n">
        <x:f>E3574*I3574*H3574</x:f>
        <x:v>0.09047120250000001</x:v>
      </x:c>
      <x:c r="L3574" s="1" t="str">
        <x:f>TEXT(A3574,"mmm yyyy")</x:f>
        <x:v>Jul 2026</x:v>
      </x:c>
    </x:row>
    <x:row r="3575" ht="21" customHeight="1">
      <x:c r="A3575" s="10" t="n">
        <x:v>46222</x:v>
      </x:c>
      <x:c r="B3575" s="1" t="n">
        <x:v>23.5</x:v>
      </x:c>
      <x:c r="C3575" s="1" t="n">
        <x:v>6</x:v>
      </x:c>
      <x:c r="D3575" s="12" t="n">
        <x:v>0</x:v>
      </x:c>
      <x:c r="E3575" s="12" t="n">
        <x:v>0.45116666666666666</x:v>
      </x:c>
      <x:c r="F3575" s="12" t="n">
        <x:v>0.4508333333333333</x:v>
      </x:c>
      <x:c r="G3575" s="12" t="n">
        <x:v>0</x:v>
      </x:c>
      <x:c r="H3575" s="1" t="n">
        <x:f>'Historical prices'!E3575</x:f>
        <x:v>1.05</x:v>
      </x:c>
      <x:c r="I3575" s="6" t="n">
        <x:f>'Historical prices'!D3575</x:f>
        <x:v>0.2518</x:v>
      </x:c>
      <x:c r="J3575" s="13" t="n">
        <x:f>D3575*I3575*H3575</x:f>
        <x:v>0</x:v>
      </x:c>
      <x:c r="K3575" s="13" t="n">
        <x:f>E3575*I3575*H3575</x:f>
        <x:v>0.11928395500000001</x:v>
      </x:c>
      <x:c r="L3575" s="1" t="str">
        <x:f>TEXT(A3575,"mmm yyyy")</x:f>
        <x:v>Jul 2026</x:v>
      </x:c>
    </x:row>
    <x:row r="3576" ht="21" customHeight="1">
      <x:c r="A3576" s="10" t="n">
        <x:v>46223</x:v>
      </x:c>
      <x:c r="B3576" s="1" t="n">
        <x:v>0</x:v>
      </x:c>
      <x:c r="C3576" s="1" t="n">
        <x:v>6</x:v>
      </x:c>
      <x:c r="D3576" s="12" t="n">
        <x:v>0.355</x:v>
      </x:c>
      <x:c r="E3576" s="12" t="n">
        <x:v>0.6079166666666667</x:v>
      </x:c>
      <x:c r="F3576" s="12" t="n">
        <x:v>0.23991666666666667</x:v>
      </x:c>
      <x:c r="G3576" s="12" t="n">
        <x:v>0</x:v>
      </x:c>
      <x:c r="H3576" s="1" t="n">
        <x:f>'Historical prices'!E3576</x:f>
        <x:v>1.05</x:v>
      </x:c>
      <x:c r="I3576" s="6" t="n">
        <x:f>'Historical prices'!D3576</x:f>
        <x:v>0.2346</x:v>
      </x:c>
      <x:c r="J3576" s="13" t="n">
        <x:f>D3576*I3576*H3576</x:f>
        <x:v>0.08744715</x:v>
      </x:c>
      <x:c r="K3576" s="13" t="n">
        <x:f>E3576*I3576*H3576</x:f>
        <x:v>0.1497481125</x:v>
      </x:c>
      <x:c r="L3576" s="1" t="str">
        <x:f>TEXT(A3576,"mmm yyyy")</x:f>
        <x:v>Jul 2026</x:v>
      </x:c>
    </x:row>
    <x:row r="3577" ht="21" customHeight="1">
      <x:c r="A3577" s="10" t="n">
        <x:v>46223</x:v>
      </x:c>
      <x:c r="B3577" s="1" t="n">
        <x:v>0.5</x:v>
      </x:c>
      <x:c r="C3577" s="1" t="n">
        <x:v>6</x:v>
      </x:c>
      <x:c r="D3577" s="12" t="n">
        <x:v>0.22958333333333333</x:v>
      </x:c>
      <x:c r="E3577" s="12" t="n">
        <x:v>0.23958333333333334</x:v>
      </x:c>
      <x:c r="F3577" s="12" t="n">
        <x:v>0</x:v>
      </x:c>
      <x:c r="G3577" s="12" t="n">
        <x:v>0</x:v>
      </x:c>
      <x:c r="H3577" s="1" t="n">
        <x:f>'Historical prices'!E3577</x:f>
        <x:v>1.05</x:v>
      </x:c>
      <x:c r="I3577" s="6" t="n">
        <x:f>'Historical prices'!D3577</x:f>
        <x:v>0.2341</x:v>
      </x:c>
      <x:c r="J3577" s="13" t="n">
        <x:f>D3577*I3577*H3577</x:f>
        <x:v>0.05643273125000001</x:v>
      </x:c>
      <x:c r="K3577" s="13" t="n">
        <x:f>E3577*I3577*H3577</x:f>
        <x:v>0.05889078125000001</x:v>
      </x:c>
      <x:c r="L3577" s="1" t="str">
        <x:f>TEXT(A3577,"mmm yyyy")</x:f>
        <x:v>Jul 2026</x:v>
      </x:c>
    </x:row>
    <x:row r="3578" ht="21" customHeight="1">
      <x:c r="A3578" s="10" t="n">
        <x:v>46223</x:v>
      </x:c>
      <x:c r="B3578" s="1" t="n">
        <x:v>1</x:v>
      </x:c>
      <x:c r="C3578" s="1" t="n">
        <x:v>6</x:v>
      </x:c>
      <x:c r="D3578" s="12" t="n">
        <x:v>0.15625</x:v>
      </x:c>
      <x:c r="E3578" s="12" t="n">
        <x:v>0.16825</x:v>
      </x:c>
      <x:c r="F3578" s="12" t="n">
        <x:v>0</x:v>
      </x:c>
      <x:c r="G3578" s="12" t="n">
        <x:v>0</x:v>
      </x:c>
      <x:c r="H3578" s="1" t="n">
        <x:f>'Historical prices'!E3578</x:f>
        <x:v>1.05</x:v>
      </x:c>
      <x:c r="I3578" s="6" t="n">
        <x:f>'Historical prices'!D3578</x:f>
        <x:v>0.226</x:v>
      </x:c>
      <x:c r="J3578" s="13" t="n">
        <x:f>D3578*I3578*H3578</x:f>
        <x:v>0.037078125</x:v>
      </x:c>
      <x:c r="K3578" s="13" t="n">
        <x:f>E3578*I3578*H3578</x:f>
        <x:v>0.039925725</x:v>
      </x:c>
      <x:c r="L3578" s="1" t="str">
        <x:f>TEXT(A3578,"mmm yyyy")</x:f>
        <x:v>Jul 2026</x:v>
      </x:c>
    </x:row>
    <x:row r="3579" ht="21" customHeight="1">
      <x:c r="A3579" s="10" t="n">
        <x:v>46223</x:v>
      </x:c>
      <x:c r="B3579" s="1" t="n">
        <x:v>1.5</x:v>
      </x:c>
      <x:c r="C3579" s="1" t="n">
        <x:v>6</x:v>
      </x:c>
      <x:c r="D3579" s="12" t="n">
        <x:v>0.1841666666666667</x:v>
      </x:c>
      <x:c r="E3579" s="12" t="n">
        <x:v>0.19416666666666665</x:v>
      </x:c>
      <x:c r="F3579" s="12" t="n">
        <x:v>0</x:v>
      </x:c>
      <x:c r="G3579" s="12" t="n">
        <x:v>0</x:v>
      </x:c>
      <x:c r="H3579" s="1" t="n">
        <x:f>'Historical prices'!E3579</x:f>
        <x:v>1.05</x:v>
      </x:c>
      <x:c r="I3579" s="6" t="n">
        <x:f>'Historical prices'!D3579</x:f>
        <x:v>0.2223</x:v>
      </x:c>
      <x:c r="J3579" s="13" t="n">
        <x:f>D3579*I3579*H3579</x:f>
        <x:v>0.042987262500000005</x:v>
      </x:c>
      <x:c r="K3579" s="13" t="n">
        <x:f>E3579*I3579*H3579</x:f>
        <x:v>0.0453214125</x:v>
      </x:c>
      <x:c r="L3579" s="1" t="str">
        <x:f>TEXT(A3579,"mmm yyyy")</x:f>
        <x:v>Jul 2026</x:v>
      </x:c>
    </x:row>
    <x:row r="3580" ht="21" customHeight="1">
      <x:c r="A3580" s="10" t="n">
        <x:v>46223</x:v>
      </x:c>
      <x:c r="B3580" s="1" t="n">
        <x:v>2</x:v>
      </x:c>
      <x:c r="C3580" s="1" t="n">
        <x:v>6</x:v>
      </x:c>
      <x:c r="D3580" s="12" t="n">
        <x:v>0.23958333333333331</x:v>
      </x:c>
      <x:c r="E3580" s="12" t="n">
        <x:v>0.24958333333333332</x:v>
      </x:c>
      <x:c r="F3580" s="12" t="n">
        <x:v>0</x:v>
      </x:c>
      <x:c r="G3580" s="12" t="n">
        <x:v>0</x:v>
      </x:c>
      <x:c r="H3580" s="1" t="n">
        <x:f>'Historical prices'!E3580</x:f>
        <x:v>1.05</x:v>
      </x:c>
      <x:c r="I3580" s="6" t="n">
        <x:f>'Historical prices'!D3580</x:f>
        <x:v>0.21420000000000003</x:v>
      </x:c>
      <x:c r="J3580" s="13" t="n">
        <x:f>D3580*I3580*H3580</x:f>
        <x:v>0.05388468750000001</x:v>
      </x:c>
      <x:c r="K3580" s="13" t="n">
        <x:f>E3580*I3580*H3580</x:f>
        <x:v>0.05613378750000001</x:v>
      </x:c>
      <x:c r="L3580" s="1" t="str">
        <x:f>TEXT(A3580,"mmm yyyy")</x:f>
        <x:v>Jul 2026</x:v>
      </x:c>
    </x:row>
    <x:row r="3581" ht="21" customHeight="1">
      <x:c r="A3581" s="10" t="n">
        <x:v>46223</x:v>
      </x:c>
      <x:c r="B3581" s="1" t="n">
        <x:v>2.5</x:v>
      </x:c>
      <x:c r="C3581" s="1" t="n">
        <x:v>6</x:v>
      </x:c>
      <x:c r="D3581" s="12" t="n">
        <x:v>0.16525</x:v>
      </x:c>
      <x:c r="E3581" s="12" t="n">
        <x:v>0.17625</x:v>
      </x:c>
      <x:c r="F3581" s="12" t="n">
        <x:v>0</x:v>
      </x:c>
      <x:c r="G3581" s="12" t="n">
        <x:v>0</x:v>
      </x:c>
      <x:c r="H3581" s="1" t="n">
        <x:f>'Historical prices'!E3581</x:f>
        <x:v>1.05</x:v>
      </x:c>
      <x:c r="I3581" s="6" t="n">
        <x:f>'Historical prices'!D3581</x:f>
        <x:v>0.213</x:v>
      </x:c>
      <x:c r="J3581" s="13" t="n">
        <x:f>D3581*I3581*H3581</x:f>
        <x:v>0.0369581625</x:v>
      </x:c>
      <x:c r="K3581" s="13" t="n">
        <x:f>E3581*I3581*H3581</x:f>
        <x:v>0.0394183125</x:v>
      </x:c>
      <x:c r="L3581" s="1" t="str">
        <x:f>TEXT(A3581,"mmm yyyy")</x:f>
        <x:v>Jul 2026</x:v>
      </x:c>
    </x:row>
    <x:row r="3582" ht="21" customHeight="1">
      <x:c r="A3582" s="10" t="n">
        <x:v>46223</x:v>
      </x:c>
      <x:c r="B3582" s="1" t="n">
        <x:v>3</x:v>
      </x:c>
      <x:c r="C3582" s="1" t="n">
        <x:v>6</x:v>
      </x:c>
      <x:c r="D3582" s="12" t="n">
        <x:v>0.19275</x:v>
      </x:c>
      <x:c r="E3582" s="12" t="n">
        <x:v>0.20275</x:v>
      </x:c>
      <x:c r="F3582" s="12" t="n">
        <x:v>0</x:v>
      </x:c>
      <x:c r="G3582" s="12" t="n">
        <x:v>0</x:v>
      </x:c>
      <x:c r="H3582" s="1" t="n">
        <x:f>'Historical prices'!E3582</x:f>
        <x:v>1.05</x:v>
      </x:c>
      <x:c r="I3582" s="6" t="n">
        <x:f>'Historical prices'!D3582</x:f>
        <x:v>0.2126</x:v>
      </x:c>
      <x:c r="J3582" s="13" t="n">
        <x:f>D3582*I3582*H3582</x:f>
        <x:v>0.04302758250000001</x:v>
      </x:c>
      <x:c r="K3582" s="13" t="n">
        <x:f>E3582*I3582*H3582</x:f>
        <x:v>0.04525988250000001</x:v>
      </x:c>
      <x:c r="L3582" s="1" t="str">
        <x:f>TEXT(A3582,"mmm yyyy")</x:f>
        <x:v>Jul 2026</x:v>
      </x:c>
    </x:row>
    <x:row r="3583" ht="21" customHeight="1">
      <x:c r="A3583" s="10" t="n">
        <x:v>46223</x:v>
      </x:c>
      <x:c r="B3583" s="1" t="n">
        <x:v>3.5</x:v>
      </x:c>
      <x:c r="C3583" s="1" t="n">
        <x:v>6</x:v>
      </x:c>
      <x:c r="D3583" s="12" t="n">
        <x:v>0.22733333333333333</x:v>
      </x:c>
      <x:c r="E3583" s="12" t="n">
        <x:v>0.23733333333333334</x:v>
      </x:c>
      <x:c r="F3583" s="12" t="n">
        <x:v>0</x:v>
      </x:c>
      <x:c r="G3583" s="12" t="n">
        <x:v>0</x:v>
      </x:c>
      <x:c r="H3583" s="1" t="n">
        <x:f>'Historical prices'!E3583</x:f>
        <x:v>1.05</x:v>
      </x:c>
      <x:c r="I3583" s="6" t="n">
        <x:f>'Historical prices'!D3583</x:f>
        <x:v>0.20850000000000002</x:v>
      </x:c>
      <x:c r="J3583" s="13" t="n">
        <x:f>D3583*I3583*H3583</x:f>
        <x:v>0.049768950000000006</x:v>
      </x:c>
      <x:c r="K3583" s="13" t="n">
        <x:f>E3583*I3583*H3583</x:f>
        <x:v>0.05195820000000001</x:v>
      </x:c>
      <x:c r="L3583" s="1" t="str">
        <x:f>TEXT(A3583,"mmm yyyy")</x:f>
        <x:v>Jul 2026</x:v>
      </x:c>
    </x:row>
    <x:row r="3584" ht="21" customHeight="1">
      <x:c r="A3584" s="10" t="n">
        <x:v>46223</x:v>
      </x:c>
      <x:c r="B3584" s="1" t="n">
        <x:v>4</x:v>
      </x:c>
      <x:c r="C3584" s="1" t="n">
        <x:v>6</x:v>
      </x:c>
      <x:c r="D3584" s="12" t="n">
        <x:v>0.24158333333333332</x:v>
      </x:c>
      <x:c r="E3584" s="12" t="n">
        <x:v>0.2525833333333333</x:v>
      </x:c>
      <x:c r="F3584" s="12" t="n">
        <x:v>0</x:v>
      </x:c>
      <x:c r="G3584" s="12" t="n">
        <x:v>0</x:v>
      </x:c>
      <x:c r="H3584" s="1" t="n">
        <x:f>'Historical prices'!E3584</x:f>
        <x:v>1.05</x:v>
      </x:c>
      <x:c r="I3584" s="6" t="n">
        <x:f>'Historical prices'!D3584</x:f>
        <x:v>0.2205</x:v>
      </x:c>
      <x:c r="J3584" s="13" t="n">
        <x:f>D3584*I3584*H3584</x:f>
        <x:v>0.055932581249999995</x:v>
      </x:c>
      <x:c r="K3584" s="13" t="n">
        <x:f>E3584*I3584*H3584</x:f>
        <x:v>0.05847935625</x:v>
      </x:c>
      <x:c r="L3584" s="1" t="str">
        <x:f>TEXT(A3584,"mmm yyyy")</x:f>
        <x:v>Jul 2026</x:v>
      </x:c>
    </x:row>
    <x:row r="3585" ht="21" customHeight="1">
      <x:c r="A3585" s="10" t="n">
        <x:v>46223</x:v>
      </x:c>
      <x:c r="B3585" s="1" t="n">
        <x:v>4.5</x:v>
      </x:c>
      <x:c r="C3585" s="1" t="n">
        <x:v>6</x:v>
      </x:c>
      <x:c r="D3585" s="12" t="n">
        <x:v>0.25325</x:v>
      </x:c>
      <x:c r="E3585" s="12" t="n">
        <x:v>0.26425</x:v>
      </x:c>
      <x:c r="F3585" s="12" t="n">
        <x:v>0</x:v>
      </x:c>
      <x:c r="G3585" s="12" t="n">
        <x:v>0</x:v>
      </x:c>
      <x:c r="H3585" s="1" t="n">
        <x:f>'Historical prices'!E3585</x:f>
        <x:v>1.05</x:v>
      </x:c>
      <x:c r="I3585" s="6" t="n">
        <x:f>'Historical prices'!D3585</x:f>
        <x:v>0.2118</x:v>
      </x:c>
      <x:c r="J3585" s="13" t="n">
        <x:f>D3585*I3585*H3585</x:f>
        <x:v>0.05632026749999999</x:v>
      </x:c>
      <x:c r="K3585" s="13" t="n">
        <x:f>E3585*I3585*H3585</x:f>
        <x:v>0.0587665575</x:v>
      </x:c>
      <x:c r="L3585" s="1" t="str">
        <x:f>TEXT(A3585,"mmm yyyy")</x:f>
        <x:v>Jul 2026</x:v>
      </x:c>
    </x:row>
    <x:row r="3586" ht="21" customHeight="1">
      <x:c r="A3586" s="10" t="n">
        <x:v>46223</x:v>
      </x:c>
      <x:c r="B3586" s="1" t="n">
        <x:v>5</x:v>
      </x:c>
      <x:c r="C3586" s="1" t="n">
        <x:v>6</x:v>
      </x:c>
      <x:c r="D3586" s="12" t="n">
        <x:v>0.25458333333333333</x:v>
      </x:c>
      <x:c r="E3586" s="12" t="n">
        <x:v>0.2645833333333333</x:v>
      </x:c>
      <x:c r="F3586" s="12" t="n">
        <x:v>0</x:v>
      </x:c>
      <x:c r="G3586" s="12" t="n">
        <x:v>0</x:v>
      </x:c>
      <x:c r="H3586" s="1" t="n">
        <x:f>'Historical prices'!E3586</x:f>
        <x:v>1.05</x:v>
      </x:c>
      <x:c r="I3586" s="6" t="n">
        <x:f>'Historical prices'!D3586</x:f>
        <x:v>0.2217</x:v>
      </x:c>
      <x:c r="J3586" s="13" t="n">
        <x:f>D3586*I3586*H3586</x:f>
        <x:v>0.059263181250000005</x:v>
      </x:c>
      <x:c r="K3586" s="13" t="n">
        <x:f>E3586*I3586*H3586</x:f>
        <x:v>0.06159103124999999</x:v>
      </x:c>
      <x:c r="L3586" s="1" t="str">
        <x:f>TEXT(A3586,"mmm yyyy")</x:f>
        <x:v>Jul 2026</x:v>
      </x:c>
    </x:row>
    <x:row r="3587" ht="21" customHeight="1">
      <x:c r="A3587" s="10" t="n">
        <x:v>46223</x:v>
      </x:c>
      <x:c r="B3587" s="1" t="n">
        <x:v>5.5</x:v>
      </x:c>
      <x:c r="C3587" s="1" t="n">
        <x:v>6</x:v>
      </x:c>
      <x:c r="D3587" s="12" t="n">
        <x:v>0.30975</x:v>
      </x:c>
      <x:c r="E3587" s="12" t="n">
        <x:v>0.32075000000000004</x:v>
      </x:c>
      <x:c r="F3587" s="12" t="n">
        <x:v>0</x:v>
      </x:c>
      <x:c r="G3587" s="12" t="n">
        <x:v>0</x:v>
      </x:c>
      <x:c r="H3587" s="1" t="n">
        <x:f>'Historical prices'!E3587</x:f>
        <x:v>1.05</x:v>
      </x:c>
      <x:c r="I3587" s="6" t="n">
        <x:f>'Historical prices'!D3587</x:f>
        <x:v>0.21850000000000003</x:v>
      </x:c>
      <x:c r="J3587" s="13" t="n">
        <x:f>D3587*I3587*H3587</x:f>
        <x:v>0.07106439375000002</x:v>
      </x:c>
      <x:c r="K3587" s="13" t="n">
        <x:f>E3587*I3587*H3587</x:f>
        <x:v>0.07358806875000003</x:v>
      </x:c>
      <x:c r="L3587" s="1" t="str">
        <x:f>TEXT(A3587,"mmm yyyy")</x:f>
        <x:v>Jul 2026</x:v>
      </x:c>
    </x:row>
    <x:row r="3588" ht="21" customHeight="1">
      <x:c r="A3588" s="10" t="n">
        <x:v>46223</x:v>
      </x:c>
      <x:c r="B3588" s="1" t="n">
        <x:v>6</x:v>
      </x:c>
      <x:c r="C3588" s="1" t="n">
        <x:v>6</x:v>
      </x:c>
      <x:c r="D3588" s="12" t="n">
        <x:v>0.2866666666666666</x:v>
      </x:c>
      <x:c r="E3588" s="12" t="n">
        <x:v>0.29666666666666663</x:v>
      </x:c>
      <x:c r="F3588" s="12" t="n">
        <x:v>0</x:v>
      </x:c>
      <x:c r="G3588" s="12" t="n">
        <x:v>0</x:v>
      </x:c>
      <x:c r="H3588" s="1" t="n">
        <x:f>'Historical prices'!E3588</x:f>
        <x:v>1.05</x:v>
      </x:c>
      <x:c r="I3588" s="6" t="n">
        <x:f>'Historical prices'!D3588</x:f>
        <x:v>0.2357</x:v>
      </x:c>
      <x:c r="J3588" s="13" t="n">
        <x:f>D3588*I3588*H3588</x:f>
        <x:v>0.0709457</x:v>
      </x:c>
      <x:c r="K3588" s="13" t="n">
        <x:f>E3588*I3588*H3588</x:f>
        <x:v>0.07342054999999999</x:v>
      </x:c>
      <x:c r="L3588" s="1" t="str">
        <x:f>TEXT(A3588,"mmm yyyy")</x:f>
        <x:v>Jul 2026</x:v>
      </x:c>
    </x:row>
    <x:row r="3589" ht="21" customHeight="1">
      <x:c r="A3589" s="10" t="n">
        <x:v>46223</x:v>
      </x:c>
      <x:c r="B3589" s="1" t="n">
        <x:v>6.5</x:v>
      </x:c>
      <x:c r="C3589" s="1" t="n">
        <x:v>6</x:v>
      </x:c>
      <x:c r="D3589" s="12" t="n">
        <x:v>0.45425</x:v>
      </x:c>
      <x:c r="E3589" s="12" t="n">
        <x:v>0.46425</x:v>
      </x:c>
      <x:c r="F3589" s="12" t="n">
        <x:v>0</x:v>
      </x:c>
      <x:c r="G3589" s="12" t="n">
        <x:v>0</x:v>
      </x:c>
      <x:c r="H3589" s="1" t="n">
        <x:f>'Historical prices'!E3589</x:f>
        <x:v>1.05</x:v>
      </x:c>
      <x:c r="I3589" s="6" t="n">
        <x:f>'Historical prices'!D3589</x:f>
        <x:v>0.2488</x:v>
      </x:c>
      <x:c r="J3589" s="13" t="n">
        <x:f>D3589*I3589*H3589</x:f>
        <x:v>0.11866826999999999</x:v>
      </x:c>
      <x:c r="K3589" s="13" t="n">
        <x:f>E3589*I3589*H3589</x:f>
        <x:v>0.12128067</x:v>
      </x:c>
      <x:c r="L3589" s="1" t="str">
        <x:f>TEXT(A3589,"mmm yyyy")</x:f>
        <x:v>Jul 2026</x:v>
      </x:c>
    </x:row>
    <x:row r="3590" ht="21" customHeight="1">
      <x:c r="A3590" s="10" t="n">
        <x:v>46223</x:v>
      </x:c>
      <x:c r="B3590" s="1" t="n">
        <x:v>7</x:v>
      </x:c>
      <x:c r="C3590" s="1" t="n">
        <x:v>6</x:v>
      </x:c>
      <x:c r="D3590" s="12" t="n">
        <x:v>0.16066666666666668</x:v>
      </x:c>
      <x:c r="E3590" s="12" t="n">
        <x:v>0.6276666666666667</x:v>
      </x:c>
      <x:c r="F3590" s="12" t="n">
        <x:v>0.46499999999999997</x:v>
      </x:c>
      <x:c r="G3590" s="12" t="n">
        <x:v>0</x:v>
      </x:c>
      <x:c r="H3590" s="1" t="n">
        <x:f>'Historical prices'!E3590</x:f>
        <x:v>1.05</x:v>
      </x:c>
      <x:c r="I3590" s="6" t="n">
        <x:f>'Historical prices'!D3590</x:f>
        <x:v>0.2579</x:v>
      </x:c>
      <x:c r="J3590" s="13" t="n">
        <x:f>D3590*I3590*H3590</x:f>
        <x:v>0.04350773000000001</x:v>
      </x:c>
      <x:c r="K3590" s="13" t="n">
        <x:f>E3590*I3590*H3590</x:f>
        <x:v>0.16996899500000004</x:v>
      </x:c>
      <x:c r="L3590" s="1" t="str">
        <x:f>TEXT(A3590,"mmm yyyy")</x:f>
        <x:v>Jul 2026</x:v>
      </x:c>
    </x:row>
    <x:row r="3591" ht="21" customHeight="1">
      <x:c r="A3591" s="10" t="n">
        <x:v>46223</x:v>
      </x:c>
      <x:c r="B3591" s="1" t="n">
        <x:v>7.5</x:v>
      </x:c>
      <x:c r="C3591" s="1" t="n">
        <x:v>6</x:v>
      </x:c>
      <x:c r="D3591" s="12" t="n">
        <x:v>0</x:v>
      </x:c>
      <x:c r="E3591" s="12" t="n">
        <x:v>0.5998333333333333</x:v>
      </x:c>
      <x:c r="F3591" s="12" t="n">
        <x:v>0.5995833333333334</x:v>
      </x:c>
      <x:c r="G3591" s="12" t="n">
        <x:v>0</x:v>
      </x:c>
      <x:c r="H3591" s="1" t="n">
        <x:f>'Historical prices'!E3591</x:f>
        <x:v>1.05</x:v>
      </x:c>
      <x:c r="I3591" s="6" t="n">
        <x:f>'Historical prices'!D3591</x:f>
        <x:v>0.2528</x:v>
      </x:c>
      <x:c r="J3591" s="13" t="n">
        <x:f>D3591*I3591*H3591</x:f>
        <x:v>0</x:v>
      </x:c>
      <x:c r="K3591" s="13" t="n">
        <x:f>E3591*I3591*H3591</x:f>
        <x:v>0.15921976000000002</x:v>
      </x:c>
      <x:c r="L3591" s="1" t="str">
        <x:f>TEXT(A3591,"mmm yyyy")</x:f>
        <x:v>Jul 2026</x:v>
      </x:c>
    </x:row>
    <x:row r="3592" ht="21" customHeight="1">
      <x:c r="A3592" s="10" t="n">
        <x:v>46223</x:v>
      </x:c>
      <x:c r="B3592" s="1" t="n">
        <x:v>8</x:v>
      </x:c>
      <x:c r="C3592" s="1" t="n">
        <x:v>6</x:v>
      </x:c>
      <x:c r="D3592" s="12" t="n">
        <x:v>0</x:v>
      </x:c>
      <x:c r="E3592" s="12" t="n">
        <x:v>0.5066666666666667</x:v>
      </x:c>
      <x:c r="F3592" s="12" t="n">
        <x:v>0.5066666666666667</x:v>
      </x:c>
      <x:c r="G3592" s="12" t="n">
        <x:v>0</x:v>
      </x:c>
      <x:c r="H3592" s="1" t="n">
        <x:f>'Historical prices'!E3592</x:f>
        <x:v>1.05</x:v>
      </x:c>
      <x:c r="I3592" s="6" t="n">
        <x:f>'Historical prices'!D3592</x:f>
        <x:v>0.2589</x:v>
      </x:c>
      <x:c r="J3592" s="13" t="n">
        <x:f>D3592*I3592*H3592</x:f>
        <x:v>0</x:v>
      </x:c>
      <x:c r="K3592" s="13" t="n">
        <x:f>E3592*I3592*H3592</x:f>
        <x:v>0.13773480000000002</x:v>
      </x:c>
      <x:c r="L3592" s="1" t="str">
        <x:f>TEXT(A3592,"mmm yyyy")</x:f>
        <x:v>Jul 2026</x:v>
      </x:c>
    </x:row>
    <x:row r="3593" ht="21" customHeight="1">
      <x:c r="A3593" s="10" t="n">
        <x:v>46223</x:v>
      </x:c>
      <x:c r="B3593" s="1" t="n">
        <x:v>8.5</x:v>
      </x:c>
      <x:c r="C3593" s="1" t="n">
        <x:v>6</x:v>
      </x:c>
      <x:c r="D3593" s="12" t="n">
        <x:v>0.3289166666666667</x:v>
      </x:c>
      <x:c r="E3593" s="12" t="n">
        <x:v>0.40900000000000003</x:v>
      </x:c>
      <x:c r="F3593" s="12" t="n">
        <x:v>0.069</x:v>
      </x:c>
      <x:c r="G3593" s="12" t="n">
        <x:v>0</x:v>
      </x:c>
      <x:c r="H3593" s="1" t="n">
        <x:f>'Historical prices'!E3593</x:f>
        <x:v>1.05</x:v>
      </x:c>
      <x:c r="I3593" s="6" t="n">
        <x:f>'Historical prices'!D3593</x:f>
        <x:v>0.243</x:v>
      </x:c>
      <x:c r="J3593" s="13" t="n">
        <x:f>D3593*I3593*H3593</x:f>
        <x:v>0.08392308750000001</x:v>
      </x:c>
      <x:c r="K3593" s="13" t="n">
        <x:f>E3593*I3593*H3593</x:f>
        <x:v>0.10435635000000001</x:v>
      </x:c>
      <x:c r="L3593" s="1" t="str">
        <x:f>TEXT(A3593,"mmm yyyy")</x:f>
        <x:v>Jul 2026</x:v>
      </x:c>
    </x:row>
    <x:row r="3594" ht="21" customHeight="1">
      <x:c r="A3594" s="10" t="n">
        <x:v>46223</x:v>
      </x:c>
      <x:c r="B3594" s="1" t="n">
        <x:v>9</x:v>
      </x:c>
      <x:c r="C3594" s="1" t="n">
        <x:v>6</x:v>
      </x:c>
      <x:c r="D3594" s="12" t="n">
        <x:v>0.4439166666666667</x:v>
      </x:c>
      <x:c r="E3594" s="12" t="n">
        <x:v>0.4539166666666667</x:v>
      </x:c>
      <x:c r="F3594" s="12" t="n">
        <x:v>0</x:v>
      </x:c>
      <x:c r="G3594" s="12" t="n">
        <x:v>0</x:v>
      </x:c>
      <x:c r="H3594" s="1" t="n">
        <x:f>'Historical prices'!E3594</x:f>
        <x:v>1.05</x:v>
      </x:c>
      <x:c r="I3594" s="6" t="n">
        <x:f>'Historical prices'!D3594</x:f>
        <x:v>0.245</x:v>
      </x:c>
      <x:c r="J3594" s="13" t="n">
        <x:f>D3594*I3594*H3594</x:f>
        <x:v>0.11419756250000002</x:v>
      </x:c>
      <x:c r="K3594" s="13" t="n">
        <x:f>E3594*I3594*H3594</x:f>
        <x:v>0.11677006250000001</x:v>
      </x:c>
      <x:c r="L3594" s="1" t="str">
        <x:f>TEXT(A3594,"mmm yyyy")</x:f>
        <x:v>Jul 2026</x:v>
      </x:c>
    </x:row>
    <x:row r="3595" ht="21" customHeight="1">
      <x:c r="A3595" s="10" t="n">
        <x:v>46223</x:v>
      </x:c>
      <x:c r="B3595" s="1" t="n">
        <x:v>9.5</x:v>
      </x:c>
      <x:c r="C3595" s="1" t="n">
        <x:v>6</x:v>
      </x:c>
      <x:c r="D3595" s="12" t="n">
        <x:v>0.5403333333333332</x:v>
      </x:c>
      <x:c r="E3595" s="12" t="n">
        <x:v>0.5503333333333332</x:v>
      </x:c>
      <x:c r="F3595" s="12" t="n">
        <x:v>0</x:v>
      </x:c>
      <x:c r="G3595" s="12" t="n">
        <x:v>0</x:v>
      </x:c>
      <x:c r="H3595" s="1" t="n">
        <x:f>'Historical prices'!E3595</x:f>
        <x:v>1.05</x:v>
      </x:c>
      <x:c r="I3595" s="6" t="n">
        <x:f>'Historical prices'!D3595</x:f>
        <x:v>0.2372</x:v>
      </x:c>
      <x:c r="J3595" s="13" t="n">
        <x:f>D3595*I3595*H3595</x:f>
        <x:v>0.13457541999999997</x:v>
      </x:c>
      <x:c r="K3595" s="13" t="n">
        <x:f>E3595*I3595*H3595</x:f>
        <x:v>0.13706601999999998</x:v>
      </x:c>
      <x:c r="L3595" s="1" t="str">
        <x:f>TEXT(A3595,"mmm yyyy")</x:f>
        <x:v>Jul 2026</x:v>
      </x:c>
    </x:row>
    <x:row r="3596" ht="21" customHeight="1">
      <x:c r="A3596" s="10" t="n">
        <x:v>46223</x:v>
      </x:c>
      <x:c r="B3596" s="1" t="n">
        <x:v>10</x:v>
      </x:c>
      <x:c r="C3596" s="1" t="n">
        <x:v>6</x:v>
      </x:c>
      <x:c r="D3596" s="12" t="n">
        <x:v>0.5385833333333334</x:v>
      </x:c>
      <x:c r="E3596" s="12" t="n">
        <x:v>0.5495833333333333</x:v>
      </x:c>
      <x:c r="F3596" s="12" t="n">
        <x:v>0</x:v>
      </x:c>
      <x:c r="G3596" s="12" t="n">
        <x:v>0</x:v>
      </x:c>
      <x:c r="H3596" s="1" t="n">
        <x:f>'Historical prices'!E3596</x:f>
        <x:v>1.05</x:v>
      </x:c>
      <x:c r="I3596" s="6" t="n">
        <x:f>'Historical prices'!D3596</x:f>
        <x:v>0.2249</x:v>
      </x:c>
      <x:c r="J3596" s="13" t="n">
        <x:f>D3596*I3596*H3596</x:f>
        <x:v>0.12718376125000003</x:v>
      </x:c>
      <x:c r="K3596" s="13" t="n">
        <x:f>E3596*I3596*H3596</x:f>
        <x:v>0.12978135624999998</x:v>
      </x:c>
      <x:c r="L3596" s="1" t="str">
        <x:f>TEXT(A3596,"mmm yyyy")</x:f>
        <x:v>Jul 2026</x:v>
      </x:c>
    </x:row>
    <x:row r="3597" ht="21" customHeight="1">
      <x:c r="A3597" s="10" t="n">
        <x:v>46223</x:v>
      </x:c>
      <x:c r="B3597" s="1" t="n">
        <x:v>10.5</x:v>
      </x:c>
      <x:c r="C3597" s="1" t="n">
        <x:v>6</x:v>
      </x:c>
      <x:c r="D3597" s="12" t="n">
        <x:v>0.437</x:v>
      </x:c>
      <x:c r="E3597" s="12" t="n">
        <x:v>0.448</x:v>
      </x:c>
      <x:c r="F3597" s="12" t="n">
        <x:v>0</x:v>
      </x:c>
      <x:c r="G3597" s="12" t="n">
        <x:v>0</x:v>
      </x:c>
      <x:c r="H3597" s="1" t="n">
        <x:f>'Historical prices'!E3597</x:f>
        <x:v>1.05</x:v>
      </x:c>
      <x:c r="I3597" s="6" t="n">
        <x:f>'Historical prices'!D3597</x:f>
        <x:v>0.2039</x:v>
      </x:c>
      <x:c r="J3597" s="13" t="n">
        <x:f>D3597*I3597*H3597</x:f>
        <x:v>0.093559515</x:v>
      </x:c>
      <x:c r="K3597" s="13" t="n">
        <x:f>E3597*I3597*H3597</x:f>
        <x:v>0.09591456000000001</x:v>
      </x:c>
      <x:c r="L3597" s="1" t="str">
        <x:f>TEXT(A3597,"mmm yyyy")</x:f>
        <x:v>Jul 2026</x:v>
      </x:c>
    </x:row>
    <x:row r="3598" ht="21" customHeight="1">
      <x:c r="A3598" s="10" t="n">
        <x:v>46223</x:v>
      </x:c>
      <x:c r="B3598" s="1" t="n">
        <x:v>11</x:v>
      </x:c>
      <x:c r="C3598" s="1" t="n">
        <x:v>6</x:v>
      </x:c>
      <x:c r="D3598" s="12" t="n">
        <x:v>0.4555</x:v>
      </x:c>
      <x:c r="E3598" s="12" t="n">
        <x:v>0.4655</x:v>
      </x:c>
      <x:c r="F3598" s="12" t="n">
        <x:v>0</x:v>
      </x:c>
      <x:c r="G3598" s="12" t="n">
        <x:v>0</x:v>
      </x:c>
      <x:c r="H3598" s="1" t="n">
        <x:f>'Historical prices'!E3598</x:f>
        <x:v>1.05</x:v>
      </x:c>
      <x:c r="I3598" s="6" t="n">
        <x:f>'Historical prices'!D3598</x:f>
        <x:v>0.2026</x:v>
      </x:c>
      <x:c r="J3598" s="13" t="n">
        <x:f>D3598*I3598*H3598</x:f>
        <x:v>0.096898515</x:v>
      </x:c>
      <x:c r="K3598" s="13" t="n">
        <x:f>E3598*I3598*H3598</x:f>
        <x:v>0.099025815</x:v>
      </x:c>
      <x:c r="L3598" s="1" t="str">
        <x:f>TEXT(A3598,"mmm yyyy")</x:f>
        <x:v>Jul 2026</x:v>
      </x:c>
    </x:row>
    <x:row r="3599" ht="21" customHeight="1">
      <x:c r="A3599" s="10" t="n">
        <x:v>46223</x:v>
      </x:c>
      <x:c r="B3599" s="1" t="n">
        <x:v>11.5</x:v>
      </x:c>
      <x:c r="C3599" s="1" t="n">
        <x:v>6</x:v>
      </x:c>
      <x:c r="D3599" s="12" t="n">
        <x:v>3.3725833333333335</x:v>
      </x:c>
      <x:c r="E3599" s="12" t="n">
        <x:v>0.5805833333333333</x:v>
      </x:c>
      <x:c r="F3599" s="12" t="n">
        <x:v>0</x:v>
      </x:c>
      <x:c r="G3599" s="12" t="n">
        <x:v>2.794</x:v>
      </x:c>
      <x:c r="H3599" s="1" t="n">
        <x:f>'Historical prices'!E3599</x:f>
        <x:v>1.05</x:v>
      </x:c>
      <x:c r="I3599" s="6" t="n">
        <x:f>'Historical prices'!D3599</x:f>
        <x:v>0.2024</x:v>
      </x:c>
      <x:c r="J3599" s="13" t="n">
        <x:f>D3599*I3599*H3599</x:f>
        <x:v>0.71674141</x:v>
      </x:c>
      <x:c r="K3599" s="13" t="n">
        <x:f>E3599*I3599*H3599</x:f>
        <x:v>0.12338557</x:v>
      </x:c>
      <x:c r="L3599" s="1" t="str">
        <x:f>TEXT(A3599,"mmm yyyy")</x:f>
        <x:v>Jul 2026</x:v>
      </x:c>
    </x:row>
    <x:row r="3600" ht="21" customHeight="1">
      <x:c r="A3600" s="10" t="n">
        <x:v>46223</x:v>
      </x:c>
      <x:c r="B3600" s="1" t="n">
        <x:v>12</x:v>
      </x:c>
      <x:c r="C3600" s="1" t="n">
        <x:v>6</x:v>
      </x:c>
      <x:c r="D3600" s="12" t="n">
        <x:v>1.3064166666666666</x:v>
      </x:c>
      <x:c r="E3600" s="12" t="n">
        <x:v>0.5204166666666667</x:v>
      </x:c>
      <x:c r="F3600" s="12" t="n">
        <x:v>0</x:v>
      </x:c>
      <x:c r="G3600" s="12" t="n">
        <x:v>0.786</x:v>
      </x:c>
      <x:c r="H3600" s="1" t="n">
        <x:f>'Historical prices'!E3600</x:f>
        <x:v>1.05</x:v>
      </x:c>
      <x:c r="I3600" s="6" t="n">
        <x:f>'Historical prices'!D3600</x:f>
        <x:v>0.214</x:v>
      </x:c>
      <x:c r="J3600" s="13" t="n">
        <x:f>D3600*I3600*H3600</x:f>
        <x:v>0.293551825</x:v>
      </x:c>
      <x:c r="K3600" s="13" t="n">
        <x:f>E3600*I3600*H3600</x:f>
        <x:v>0.11693762500000003</x:v>
      </x:c>
      <x:c r="L3600" s="1" t="str">
        <x:f>TEXT(A3600,"mmm yyyy")</x:f>
        <x:v>Jul 2026</x:v>
      </x:c>
    </x:row>
    <x:row r="3601" ht="21" customHeight="1">
      <x:c r="A3601" s="10" t="n">
        <x:v>46223</x:v>
      </x:c>
      <x:c r="B3601" s="1" t="n">
        <x:v>12.5</x:v>
      </x:c>
      <x:c r="C3601" s="1" t="n">
        <x:v>6</x:v>
      </x:c>
      <x:c r="D3601" s="12" t="n">
        <x:v>0.50225</x:v>
      </x:c>
      <x:c r="E3601" s="12" t="n">
        <x:v>0.51425</x:v>
      </x:c>
      <x:c r="F3601" s="12" t="n">
        <x:v>0</x:v>
      </x:c>
      <x:c r="G3601" s="12" t="n">
        <x:v>0</x:v>
      </x:c>
      <x:c r="H3601" s="1" t="n">
        <x:f>'Historical prices'!E3601</x:f>
        <x:v>1.05</x:v>
      </x:c>
      <x:c r="I3601" s="6" t="n">
        <x:f>'Historical prices'!D3601</x:f>
        <x:v>0.2186</x:v>
      </x:c>
      <x:c r="J3601" s="13" t="n">
        <x:f>D3601*I3601*H3601</x:f>
        <x:v>0.11528144249999998</x:v>
      </x:c>
      <x:c r="K3601" s="13" t="n">
        <x:f>E3601*I3601*H3601</x:f>
        <x:v>0.1180358025</x:v>
      </x:c>
      <x:c r="L3601" s="1" t="str">
        <x:f>TEXT(A3601,"mmm yyyy")</x:f>
        <x:v>Jul 2026</x:v>
      </x:c>
    </x:row>
    <x:row r="3602" ht="21" customHeight="1">
      <x:c r="A3602" s="10" t="n">
        <x:v>46223</x:v>
      </x:c>
      <x:c r="B3602" s="1" t="n">
        <x:v>13</x:v>
      </x:c>
      <x:c r="C3602" s="1" t="n">
        <x:v>6</x:v>
      </x:c>
      <x:c r="D3602" s="12" t="n">
        <x:v>0.521</x:v>
      </x:c>
      <x:c r="E3602" s="12" t="n">
        <x:v>0.532</x:v>
      </x:c>
      <x:c r="F3602" s="12" t="n">
        <x:v>0</x:v>
      </x:c>
      <x:c r="G3602" s="12" t="n">
        <x:v>0</x:v>
      </x:c>
      <x:c r="H3602" s="1" t="n">
        <x:f>'Historical prices'!E3602</x:f>
        <x:v>1.05</x:v>
      </x:c>
      <x:c r="I3602" s="6" t="n">
        <x:f>'Historical prices'!D3602</x:f>
        <x:v>0.2045</x:v>
      </x:c>
      <x:c r="J3602" s="13" t="n">
        <x:f>D3602*I3602*H3602</x:f>
        <x:v>0.111871725</x:v>
      </x:c>
      <x:c r="K3602" s="13" t="n">
        <x:f>E3602*I3602*H3602</x:f>
        <x:v>0.11423370000000001</x:v>
      </x:c>
      <x:c r="L3602" s="1" t="str">
        <x:f>TEXT(A3602,"mmm yyyy")</x:f>
        <x:v>Jul 2026</x:v>
      </x:c>
    </x:row>
    <x:row r="3603" ht="21" customHeight="1">
      <x:c r="A3603" s="10" t="n">
        <x:v>46223</x:v>
      </x:c>
      <x:c r="B3603" s="1" t="n">
        <x:v>13.5</x:v>
      </x:c>
      <x:c r="C3603" s="1" t="n">
        <x:v>6</x:v>
      </x:c>
      <x:c r="D3603" s="12" t="n">
        <x:v>0.5421666666666667</x:v>
      </x:c>
      <x:c r="E3603" s="12" t="n">
        <x:v>0.5531666666666667</x:v>
      </x:c>
      <x:c r="F3603" s="12" t="n">
        <x:v>0</x:v>
      </x:c>
      <x:c r="G3603" s="12" t="n">
        <x:v>0</x:v>
      </x:c>
      <x:c r="H3603" s="1" t="n">
        <x:f>'Historical prices'!E3603</x:f>
        <x:v>1.05</x:v>
      </x:c>
      <x:c r="I3603" s="6" t="n">
        <x:f>'Historical prices'!D3603</x:f>
        <x:v>0.20829999999999999</x:v>
      </x:c>
      <x:c r="J3603" s="13" t="n">
        <x:f>D3603*I3603*H3603</x:f>
        <x:v>0.1185799825</x:v>
      </x:c>
      <x:c r="K3603" s="13" t="n">
        <x:f>E3603*I3603*H3603</x:f>
        <x:v>0.12098584750000001</x:v>
      </x:c>
      <x:c r="L3603" s="1" t="str">
        <x:f>TEXT(A3603,"mmm yyyy")</x:f>
        <x:v>Jul 2026</x:v>
      </x:c>
    </x:row>
    <x:row r="3604" ht="21" customHeight="1">
      <x:c r="A3604" s="10" t="n">
        <x:v>46223</x:v>
      </x:c>
      <x:c r="B3604" s="1" t="n">
        <x:v>14</x:v>
      </x:c>
      <x:c r="C3604" s="1" t="n">
        <x:v>6</x:v>
      </x:c>
      <x:c r="D3604" s="12" t="n">
        <x:v>0.5058333333333334</x:v>
      </x:c>
      <x:c r="E3604" s="12" t="n">
        <x:v>0.5168333333333334</x:v>
      </x:c>
      <x:c r="F3604" s="12" t="n">
        <x:v>0</x:v>
      </x:c>
      <x:c r="G3604" s="12" t="n">
        <x:v>0</x:v>
      </x:c>
      <x:c r="H3604" s="1" t="n">
        <x:f>'Historical prices'!E3604</x:f>
        <x:v>1.05</x:v>
      </x:c>
      <x:c r="I3604" s="6" t="n">
        <x:f>'Historical prices'!D3604</x:f>
        <x:v>0.20309999999999997</x:v>
      </x:c>
      <x:c r="J3604" s="13" t="n">
        <x:f>D3604*I3604*H3604</x:f>
        <x:v>0.10787148749999999</x:v>
      </x:c>
      <x:c r="K3604" s="13" t="n">
        <x:f>E3604*I3604*H3604</x:f>
        <x:v>0.1102172925</x:v>
      </x:c>
      <x:c r="L3604" s="1" t="str">
        <x:f>TEXT(A3604,"mmm yyyy")</x:f>
        <x:v>Jul 2026</x:v>
      </x:c>
    </x:row>
    <x:row r="3605" ht="21" customHeight="1">
      <x:c r="A3605" s="10" t="n">
        <x:v>46223</x:v>
      </x:c>
      <x:c r="B3605" s="1" t="n">
        <x:v>14.5</x:v>
      </x:c>
      <x:c r="C3605" s="1" t="n">
        <x:v>6</x:v>
      </x:c>
      <x:c r="D3605" s="12" t="n">
        <x:v>4.5225</x:v>
      </x:c>
      <x:c r="E3605" s="12" t="n">
        <x:v>0.6715</x:v>
      </x:c>
      <x:c r="F3605" s="12" t="n">
        <x:v>0</x:v>
      </x:c>
      <x:c r="G3605" s="12" t="n">
        <x:v>3.8520000000000003</x:v>
      </x:c>
      <x:c r="H3605" s="1" t="n">
        <x:f>'Historical prices'!E3605</x:f>
        <x:v>1.05</x:v>
      </x:c>
      <x:c r="I3605" s="6" t="n">
        <x:f>'Historical prices'!D3605</x:f>
        <x:v>0.19820000000000002</x:v>
      </x:c>
      <x:c r="J3605" s="13" t="n">
        <x:f>D3605*I3605*H3605</x:f>
        <x:v>0.9411774750000002</x:v>
      </x:c>
      <x:c r="K3605" s="13" t="n">
        <x:f>E3605*I3605*H3605</x:f>
        <x:v>0.139745865</x:v>
      </x:c>
      <x:c r="L3605" s="1" t="str">
        <x:f>TEXT(A3605,"mmm yyyy")</x:f>
        <x:v>Jul 2026</x:v>
      </x:c>
    </x:row>
    <x:row r="3606" ht="21" customHeight="1">
      <x:c r="A3606" s="10" t="n">
        <x:v>46223</x:v>
      </x:c>
      <x:c r="B3606" s="1" t="n">
        <x:v>15</x:v>
      </x:c>
      <x:c r="C3606" s="1" t="n">
        <x:v>6</x:v>
      </x:c>
      <x:c r="D3606" s="12" t="n">
        <x:v>1.2850833333333336</x:v>
      </x:c>
      <x:c r="E3606" s="12" t="n">
        <x:v>0.5340833333333334</x:v>
      </x:c>
      <x:c r="F3606" s="12" t="n">
        <x:v>0</x:v>
      </x:c>
      <x:c r="G3606" s="12" t="n">
        <x:v>0.754</x:v>
      </x:c>
      <x:c r="H3606" s="1" t="n">
        <x:f>'Historical prices'!E3606</x:f>
        <x:v>1.05</x:v>
      </x:c>
      <x:c r="I3606" s="6" t="n">
        <x:f>'Historical prices'!D3606</x:f>
        <x:v>0.2194</x:v>
      </x:c>
      <x:c r="J3606" s="13" t="n">
        <x:f>D3606*I3606*H3606</x:f>
        <x:v>0.2960446475000001</x:v>
      </x:c>
      <x:c r="K3606" s="13" t="n">
        <x:f>E3606*I3606*H3606</x:f>
        <x:v>0.12303677750000001</x:v>
      </x:c>
      <x:c r="L3606" s="1" t="str">
        <x:f>TEXT(A3606,"mmm yyyy")</x:f>
        <x:v>Jul 2026</x:v>
      </x:c>
    </x:row>
    <x:row r="3607" ht="21" customHeight="1">
      <x:c r="A3607" s="10" t="n">
        <x:v>46223</x:v>
      </x:c>
      <x:c r="B3607" s="1" t="n">
        <x:v>15.5</x:v>
      </x:c>
      <x:c r="C3607" s="1" t="n">
        <x:v>6</x:v>
      </x:c>
      <x:c r="D3607" s="12" t="n">
        <x:v>0.5426666666666666</x:v>
      </x:c>
      <x:c r="E3607" s="12" t="n">
        <x:v>0.5536666666666666</x:v>
      </x:c>
      <x:c r="F3607" s="12" t="n">
        <x:v>0</x:v>
      </x:c>
      <x:c r="G3607" s="12" t="n">
        <x:v>0</x:v>
      </x:c>
      <x:c r="H3607" s="1" t="n">
        <x:f>'Historical prices'!E3607</x:f>
        <x:v>1.05</x:v>
      </x:c>
      <x:c r="I3607" s="6" t="n">
        <x:f>'Historical prices'!D3607</x:f>
        <x:v>0.2207</x:v>
      </x:c>
      <x:c r="J3607" s="13" t="n">
        <x:f>D3607*I3607*H3607</x:f>
        <x:v>0.12575486</x:v>
      </x:c>
      <x:c r="K3607" s="13" t="n">
        <x:f>E3607*I3607*H3607</x:f>
        <x:v>0.128303945</x:v>
      </x:c>
      <x:c r="L3607" s="1" t="str">
        <x:f>TEXT(A3607,"mmm yyyy")</x:f>
        <x:v>Jul 2026</x:v>
      </x:c>
    </x:row>
    <x:row r="3608" ht="21" customHeight="1">
      <x:c r="A3608" s="10" t="n">
        <x:v>46223</x:v>
      </x:c>
      <x:c r="B3608" s="1" t="n">
        <x:v>16</x:v>
      </x:c>
      <x:c r="C3608" s="1" t="n">
        <x:v>6</x:v>
      </x:c>
      <x:c r="D3608" s="12" t="n">
        <x:v>0.07941666666666666</x:v>
      </x:c>
      <x:c r="E3608" s="12" t="n">
        <x:v>0.5311666666666667</x:v>
      </x:c>
      <x:c r="F3608" s="12" t="n">
        <x:v>0.45066666666666666</x:v>
      </x:c>
      <x:c r="G3608" s="12" t="n">
        <x:v>0</x:v>
      </x:c>
      <x:c r="H3608" s="1" t="n">
        <x:f>'Historical prices'!E3608</x:f>
        <x:v>1.05</x:v>
      </x:c>
      <x:c r="I3608" s="6" t="n">
        <x:f>'Historical prices'!D3608</x:f>
        <x:v>0.3428</x:v>
      </x:c>
      <x:c r="J3608" s="13" t="n">
        <x:f>D3608*I3608*H3608</x:f>
        <x:v>0.028585235</x:v>
      </x:c>
      <x:c r="K3608" s="13" t="n">
        <x:f>E3608*I3608*H3608</x:f>
        <x:v>0.19118813</x:v>
      </x:c>
      <x:c r="L3608" s="1" t="str">
        <x:f>TEXT(A3608,"mmm yyyy")</x:f>
        <x:v>Jul 2026</x:v>
      </x:c>
    </x:row>
    <x:row r="3609" ht="21" customHeight="1">
      <x:c r="A3609" s="10" t="n">
        <x:v>46223</x:v>
      </x:c>
      <x:c r="B3609" s="1" t="n">
        <x:v>16.5</x:v>
      </x:c>
      <x:c r="C3609" s="1" t="n">
        <x:v>6</x:v>
      </x:c>
      <x:c r="D3609" s="12" t="n">
        <x:v>0</x:v>
      </x:c>
      <x:c r="E3609" s="12" t="n">
        <x:v>0.47950000000000004</x:v>
      </x:c>
      <x:c r="F3609" s="12" t="n">
        <x:v>0.4793333333333333</x:v>
      </x:c>
      <x:c r="G3609" s="12" t="n">
        <x:v>0</x:v>
      </x:c>
      <x:c r="H3609" s="1" t="n">
        <x:f>'Historical prices'!E3609</x:f>
        <x:v>1.05</x:v>
      </x:c>
      <x:c r="I3609" s="6" t="n">
        <x:f>'Historical prices'!D3609</x:f>
        <x:v>0.3428</x:v>
      </x:c>
      <x:c r="J3609" s="13" t="n">
        <x:f>D3609*I3609*H3609</x:f>
        <x:v>0</x:v>
      </x:c>
      <x:c r="K3609" s="13" t="n">
        <x:f>E3609*I3609*H3609</x:f>
        <x:v>0.17259123</x:v>
      </x:c>
      <x:c r="L3609" s="1" t="str">
        <x:f>TEXT(A3609,"mmm yyyy")</x:f>
        <x:v>Jul 2026</x:v>
      </x:c>
    </x:row>
    <x:row r="3610" ht="21" customHeight="1">
      <x:c r="A3610" s="10" t="n">
        <x:v>46223</x:v>
      </x:c>
      <x:c r="B3610" s="1" t="n">
        <x:v>17</x:v>
      </x:c>
      <x:c r="C3610" s="1" t="n">
        <x:v>6</x:v>
      </x:c>
      <x:c r="D3610" s="12" t="n">
        <x:v>0</x:v>
      </x:c>
      <x:c r="E3610" s="12" t="n">
        <x:v>0.5678333333333333</x:v>
      </x:c>
      <x:c r="F3610" s="12" t="n">
        <x:v>0.5676666666666667</x:v>
      </x:c>
      <x:c r="G3610" s="12" t="n">
        <x:v>0</x:v>
      </x:c>
      <x:c r="H3610" s="1" t="n">
        <x:f>'Historical prices'!E3610</x:f>
        <x:v>1.05</x:v>
      </x:c>
      <x:c r="I3610" s="6" t="n">
        <x:f>'Historical prices'!D3610</x:f>
        <x:v>0.3785</x:v>
      </x:c>
      <x:c r="J3610" s="13" t="n">
        <x:f>D3610*I3610*H3610</x:f>
        <x:v>0</x:v>
      </x:c>
      <x:c r="K3610" s="13" t="n">
        <x:f>E3610*I3610*H3610</x:f>
        <x:v>0.2256711625</x:v>
      </x:c>
      <x:c r="L3610" s="1" t="str">
        <x:f>TEXT(A3610,"mmm yyyy")</x:f>
        <x:v>Jul 2026</x:v>
      </x:c>
    </x:row>
    <x:row r="3611" ht="21" customHeight="1">
      <x:c r="A3611" s="10" t="n">
        <x:v>46223</x:v>
      </x:c>
      <x:c r="B3611" s="1" t="n">
        <x:v>17.5</x:v>
      </x:c>
      <x:c r="C3611" s="1" t="n">
        <x:v>6</x:v>
      </x:c>
      <x:c r="D3611" s="12" t="n">
        <x:v>0</x:v>
      </x:c>
      <x:c r="E3611" s="12" t="n">
        <x:v>0.5826666666666667</x:v>
      </x:c>
      <x:c r="F3611" s="12" t="n">
        <x:v>0.5825</x:v>
      </x:c>
      <x:c r="G3611" s="12" t="n">
        <x:v>0</x:v>
      </x:c>
      <x:c r="H3611" s="1" t="n">
        <x:f>'Historical prices'!E3611</x:f>
        <x:v>1.05</x:v>
      </x:c>
      <x:c r="I3611" s="6" t="n">
        <x:f>'Historical prices'!D3611</x:f>
        <x:v>0.39649999999999996</x:v>
      </x:c>
      <x:c r="J3611" s="13" t="n">
        <x:f>D3611*I3611*H3611</x:f>
        <x:v>0</x:v>
      </x:c>
      <x:c r="K3611" s="13" t="n">
        <x:f>E3611*I3611*H3611</x:f>
        <x:v>0.24257869999999998</x:v>
      </x:c>
      <x:c r="L3611" s="1" t="str">
        <x:f>TEXT(A3611,"mmm yyyy")</x:f>
        <x:v>Jul 2026</x:v>
      </x:c>
    </x:row>
    <x:row r="3612" ht="21" customHeight="1">
      <x:c r="A3612" s="10" t="n">
        <x:v>46223</x:v>
      </x:c>
      <x:c r="B3612" s="1" t="n">
        <x:v>18</x:v>
      </x:c>
      <x:c r="C3612" s="1" t="n">
        <x:v>6</x:v>
      </x:c>
      <x:c r="D3612" s="12" t="n">
        <x:v>0</x:v>
      </x:c>
      <x:c r="E3612" s="12" t="n">
        <x:v>0.57075</x:v>
      </x:c>
      <x:c r="F3612" s="12" t="n">
        <x:v>0.57075</x:v>
      </x:c>
      <x:c r="G3612" s="12" t="n">
        <x:v>0</x:v>
      </x:c>
      <x:c r="H3612" s="1" t="n">
        <x:f>'Historical prices'!E3612</x:f>
        <x:v>1.05</x:v>
      </x:c>
      <x:c r="I3612" s="6" t="n">
        <x:f>'Historical prices'!D3612</x:f>
        <x:v>0.4008</x:v>
      </x:c>
      <x:c r="J3612" s="13" t="n">
        <x:f>D3612*I3612*H3612</x:f>
        <x:v>0</x:v>
      </x:c>
      <x:c r="K3612" s="13" t="n">
        <x:f>E3612*I3612*H3612</x:f>
        <x:v>0.24019443</x:v>
      </x:c>
      <x:c r="L3612" s="1" t="str">
        <x:f>TEXT(A3612,"mmm yyyy")</x:f>
        <x:v>Jul 2026</x:v>
      </x:c>
    </x:row>
    <x:row r="3613" ht="21" customHeight="1">
      <x:c r="A3613" s="10" t="n">
        <x:v>46223</x:v>
      </x:c>
      <x:c r="B3613" s="1" t="n">
        <x:v>18.5</x:v>
      </x:c>
      <x:c r="C3613" s="1" t="n">
        <x:v>6</x:v>
      </x:c>
      <x:c r="D3613" s="12" t="n">
        <x:v>0</x:v>
      </x:c>
      <x:c r="E3613" s="12" t="n">
        <x:v>0.9520000000000002</x:v>
      </x:c>
      <x:c r="F3613" s="12" t="n">
        <x:v>0.9478333333333333</x:v>
      </x:c>
      <x:c r="G3613" s="12" t="n">
        <x:v>0</x:v>
      </x:c>
      <x:c r="H3613" s="1" t="n">
        <x:f>'Historical prices'!E3613</x:f>
        <x:v>1.05</x:v>
      </x:c>
      <x:c r="I3613" s="6" t="n">
        <x:f>'Historical prices'!D3613</x:f>
        <x:v>0.4143</x:v>
      </x:c>
      <x:c r="J3613" s="13" t="n">
        <x:f>D3613*I3613*H3613</x:f>
        <x:v>0</x:v>
      </x:c>
      <x:c r="K3613" s="13" t="n">
        <x:f>E3613*I3613*H3613</x:f>
        <x:v>0.41413428000000013</x:v>
      </x:c>
      <x:c r="L3613" s="1" t="str">
        <x:f>TEXT(A3613,"mmm yyyy")</x:f>
        <x:v>Jul 2026</x:v>
      </x:c>
    </x:row>
    <x:row r="3614" ht="21" customHeight="1">
      <x:c r="A3614" s="10" t="n">
        <x:v>46223</x:v>
      </x:c>
      <x:c r="B3614" s="1" t="n">
        <x:v>19</x:v>
      </x:c>
      <x:c r="C3614" s="1" t="n">
        <x:v>6</x:v>
      </x:c>
      <x:c r="D3614" s="12" t="n">
        <x:v>0</x:v>
      </x:c>
      <x:c r="E3614" s="12" t="n">
        <x:v>0.62025</x:v>
      </x:c>
      <x:c r="F3614" s="12" t="n">
        <x:v>0.6175833333333333</x:v>
      </x:c>
      <x:c r="G3614" s="12" t="n">
        <x:v>0</x:v>
      </x:c>
      <x:c r="H3614" s="1" t="n">
        <x:f>'Historical prices'!E3614</x:f>
        <x:v>1.05</x:v>
      </x:c>
      <x:c r="I3614" s="6" t="n">
        <x:f>'Historical prices'!D3614</x:f>
        <x:v>0.2952</x:v>
      </x:c>
      <x:c r="J3614" s="13" t="n">
        <x:f>D3614*I3614*H3614</x:f>
        <x:v>0</x:v>
      </x:c>
      <x:c r="K3614" s="13" t="n">
        <x:f>E3614*I3614*H3614</x:f>
        <x:v>0.19225269</x:v>
      </x:c>
      <x:c r="L3614" s="1" t="str">
        <x:f>TEXT(A3614,"mmm yyyy")</x:f>
        <x:v>Jul 2026</x:v>
      </x:c>
    </x:row>
    <x:row r="3615" ht="21" customHeight="1">
      <x:c r="A3615" s="10" t="n">
        <x:v>46223</x:v>
      </x:c>
      <x:c r="B3615" s="1" t="n">
        <x:v>19.5</x:v>
      </x:c>
      <x:c r="C3615" s="1" t="n">
        <x:v>6</x:v>
      </x:c>
      <x:c r="D3615" s="12" t="n">
        <x:v>0.014333333333333333</x:v>
      </x:c>
      <x:c r="E3615" s="12" t="n">
        <x:v>0.7836666666666667</x:v>
      </x:c>
      <x:c r="F3615" s="12" t="n">
        <x:v>0.76925</x:v>
      </x:c>
      <x:c r="G3615" s="12" t="n">
        <x:v>0</x:v>
      </x:c>
      <x:c r="H3615" s="1" t="n">
        <x:f>'Historical prices'!E3615</x:f>
        <x:v>1.05</x:v>
      </x:c>
      <x:c r="I3615" s="6" t="n">
        <x:f>'Historical prices'!D3615</x:f>
        <x:v>0.2888</x:v>
      </x:c>
      <x:c r="J3615" s="13" t="n">
        <x:f>D3615*I3615*H3615</x:f>
        <x:v>0.00434644</x:v>
      </x:c>
      <x:c r="K3615" s="13" t="n">
        <x:f>E3615*I3615*H3615</x:f>
        <x:v>0.23763908000000003</x:v>
      </x:c>
      <x:c r="L3615" s="1" t="str">
        <x:f>TEXT(A3615,"mmm yyyy")</x:f>
        <x:v>Jul 2026</x:v>
      </x:c>
    </x:row>
    <x:row r="3616" ht="21" customHeight="1">
      <x:c r="A3616" s="10" t="n">
        <x:v>46223</x:v>
      </x:c>
      <x:c r="B3616" s="1" t="n">
        <x:v>20</x:v>
      </x:c>
      <x:c r="C3616" s="1" t="n">
        <x:v>6</x:v>
      </x:c>
      <x:c r="D3616" s="12" t="n">
        <x:v>0</x:v>
      </x:c>
      <x:c r="E3616" s="12" t="n">
        <x:v>0.5430833333333334</x:v>
      </x:c>
      <x:c r="F3616" s="12" t="n">
        <x:v>0.5427500000000001</x:v>
      </x:c>
      <x:c r="G3616" s="12" t="n">
        <x:v>0</x:v>
      </x:c>
      <x:c r="H3616" s="1" t="n">
        <x:f>'Historical prices'!E3616</x:f>
        <x:v>1.05</x:v>
      </x:c>
      <x:c r="I3616" s="6" t="n">
        <x:f>'Historical prices'!D3616</x:f>
        <x:v>0.29600000000000004</x:v>
      </x:c>
      <x:c r="J3616" s="13" t="n">
        <x:f>D3616*I3616*H3616</x:f>
        <x:v>0</x:v>
      </x:c>
      <x:c r="K3616" s="13" t="n">
        <x:f>E3616*I3616*H3616</x:f>
        <x:v>0.16879030000000006</x:v>
      </x:c>
      <x:c r="L3616" s="1" t="str">
        <x:f>TEXT(A3616,"mmm yyyy")</x:f>
        <x:v>Jul 2026</x:v>
      </x:c>
    </x:row>
    <x:row r="3617" ht="21" customHeight="1">
      <x:c r="A3617" s="10" t="n">
        <x:v>46223</x:v>
      </x:c>
      <x:c r="B3617" s="1" t="n">
        <x:v>20.5</x:v>
      </x:c>
      <x:c r="C3617" s="1" t="n">
        <x:v>6</x:v>
      </x:c>
      <x:c r="D3617" s="12" t="n">
        <x:v>0</x:v>
      </x:c>
      <x:c r="E3617" s="12" t="n">
        <x:v>0.5341666666666667</x:v>
      </x:c>
      <x:c r="F3617" s="12" t="n">
        <x:v>0.5339166666666666</x:v>
      </x:c>
      <x:c r="G3617" s="12" t="n">
        <x:v>0</x:v>
      </x:c>
      <x:c r="H3617" s="1" t="n">
        <x:f>'Historical prices'!E3617</x:f>
        <x:v>1.05</x:v>
      </x:c>
      <x:c r="I3617" s="6" t="n">
        <x:f>'Historical prices'!D3617</x:f>
        <x:v>0.2921</x:v>
      </x:c>
      <x:c r="J3617" s="13" t="n">
        <x:f>D3617*I3617*H3617</x:f>
        <x:v>0</x:v>
      </x:c>
      <x:c r="K3617" s="13" t="n">
        <x:f>E3617*I3617*H3617</x:f>
        <x:v>0.16383158750000001</x:v>
      </x:c>
      <x:c r="L3617" s="1" t="str">
        <x:f>TEXT(A3617,"mmm yyyy")</x:f>
        <x:v>Jul 2026</x:v>
      </x:c>
    </x:row>
    <x:row r="3618" ht="21" customHeight="1">
      <x:c r="A3618" s="10" t="n">
        <x:v>46223</x:v>
      </x:c>
      <x:c r="B3618" s="1" t="n">
        <x:v>21</x:v>
      </x:c>
      <x:c r="C3618" s="1" t="n">
        <x:v>6</x:v>
      </x:c>
      <x:c r="D3618" s="12" t="n">
        <x:v>0</x:v>
      </x:c>
      <x:c r="E3618" s="12" t="n">
        <x:v>0.5846666666666666</x:v>
      </x:c>
      <x:c r="F3618" s="12" t="n">
        <x:v>0.5846666666666666</x:v>
      </x:c>
      <x:c r="G3618" s="12" t="n">
        <x:v>0</x:v>
      </x:c>
      <x:c r="H3618" s="1" t="n">
        <x:f>'Historical prices'!E3618</x:f>
        <x:v>1.05</x:v>
      </x:c>
      <x:c r="I3618" s="6" t="n">
        <x:f>'Historical prices'!D3618</x:f>
        <x:v>0.2896</x:v>
      </x:c>
      <x:c r="J3618" s="13" t="n">
        <x:f>D3618*I3618*H3618</x:f>
        <x:v>0</x:v>
      </x:c>
      <x:c r="K3618" s="13" t="n">
        <x:f>E3618*I3618*H3618</x:f>
        <x:v>0.17778544</x:v>
      </x:c>
      <x:c r="L3618" s="1" t="str">
        <x:f>TEXT(A3618,"mmm yyyy")</x:f>
        <x:v>Jul 2026</x:v>
      </x:c>
    </x:row>
    <x:row r="3619" ht="21" customHeight="1">
      <x:c r="A3619" s="10" t="n">
        <x:v>46223</x:v>
      </x:c>
      <x:c r="B3619" s="1" t="n">
        <x:v>21.5</x:v>
      </x:c>
      <x:c r="C3619" s="1" t="n">
        <x:v>6</x:v>
      </x:c>
      <x:c r="D3619" s="12" t="n">
        <x:v>0</x:v>
      </x:c>
      <x:c r="E3619" s="12" t="n">
        <x:v>0.9306666666666666</x:v>
      </x:c>
      <x:c r="F3619" s="12" t="n">
        <x:v>0.9304166666666666</x:v>
      </x:c>
      <x:c r="G3619" s="12" t="n">
        <x:v>0</x:v>
      </x:c>
      <x:c r="H3619" s="1" t="n">
        <x:f>'Historical prices'!E3619</x:f>
        <x:v>1.05</x:v>
      </x:c>
      <x:c r="I3619" s="6" t="n">
        <x:f>'Historical prices'!D3619</x:f>
        <x:v>0.2887</x:v>
      </x:c>
      <x:c r="J3619" s="13" t="n">
        <x:f>D3619*I3619*H3619</x:f>
        <x:v>0</x:v>
      </x:c>
      <x:c r="K3619" s="13" t="n">
        <x:f>E3619*I3619*H3619</x:f>
        <x:v>0.28211764</x:v>
      </x:c>
      <x:c r="L3619" s="1" t="str">
        <x:f>TEXT(A3619,"mmm yyyy")</x:f>
        <x:v>Jul 2026</x:v>
      </x:c>
    </x:row>
    <x:row r="3620" ht="21" customHeight="1">
      <x:c r="A3620" s="10" t="n">
        <x:v>46223</x:v>
      </x:c>
      <x:c r="B3620" s="1" t="n">
        <x:v>22</x:v>
      </x:c>
      <x:c r="C3620" s="1" t="n">
        <x:v>6</x:v>
      </x:c>
      <x:c r="D3620" s="12" t="n">
        <x:v>0.053500000000000006</x:v>
      </x:c>
      <x:c r="E3620" s="12" t="n">
        <x:v>0.2574166666666667</x:v>
      </x:c>
      <x:c r="F3620" s="12" t="n">
        <x:v>0.20391666666666663</x:v>
      </x:c>
      <x:c r="G3620" s="12" t="n">
        <x:v>0</x:v>
      </x:c>
      <x:c r="H3620" s="1" t="n">
        <x:f>'Historical prices'!E3620</x:f>
        <x:v>1.05</x:v>
      </x:c>
      <x:c r="I3620" s="6" t="n">
        <x:f>'Historical prices'!D3620</x:f>
        <x:v>0.29359999999999997</x:v>
      </x:c>
      <x:c r="J3620" s="13" t="n">
        <x:f>D3620*I3620*H3620</x:f>
        <x:v>0.01649298</x:v>
      </x:c>
      <x:c r="K3620" s="13" t="n">
        <x:f>E3620*I3620*H3620</x:f>
        <x:v>0.07935641</x:v>
      </x:c>
      <x:c r="L3620" s="1" t="str">
        <x:f>TEXT(A3620,"mmm yyyy")</x:f>
        <x:v>Jul 2026</x:v>
      </x:c>
    </x:row>
    <x:row r="3621" ht="21" customHeight="1">
      <x:c r="A3621" s="10" t="n">
        <x:v>46223</x:v>
      </x:c>
      <x:c r="B3621" s="1" t="n">
        <x:v>22.5</x:v>
      </x:c>
      <x:c r="C3621" s="1" t="n">
        <x:v>6</x:v>
      </x:c>
      <x:c r="D3621" s="12" t="n">
        <x:v>0.09591666666666668</x:v>
      </x:c>
      <x:c r="E3621" s="12" t="n">
        <x:v>0.23866666666666667</x:v>
      </x:c>
      <x:c r="F3621" s="12" t="n">
        <x:v>0.135</x:v>
      </x:c>
      <x:c r="G3621" s="12" t="n">
        <x:v>0</x:v>
      </x:c>
      <x:c r="H3621" s="1" t="n">
        <x:f>'Historical prices'!E3621</x:f>
        <x:v>1.05</x:v>
      </x:c>
      <x:c r="I3621" s="6" t="n">
        <x:f>'Historical prices'!D3621</x:f>
        <x:v>0.25920000000000004</x:v>
      </x:c>
      <x:c r="J3621" s="13" t="n">
        <x:f>D3621*I3621*H3621</x:f>
        <x:v>0.02610468000000001</x:v>
      </x:c>
      <x:c r="K3621" s="13" t="n">
        <x:f>E3621*I3621*H3621</x:f>
        <x:v>0.06495552000000002</x:v>
      </x:c>
      <x:c r="L3621" s="1" t="str">
        <x:f>TEXT(A3621,"mmm yyyy")</x:f>
        <x:v>Jul 2026</x:v>
      </x:c>
    </x:row>
    <x:row r="3622" ht="21" customHeight="1">
      <x:c r="A3622" s="10" t="n">
        <x:v>46223</x:v>
      </x:c>
      <x:c r="B3622" s="1" t="n">
        <x:v>23</x:v>
      </x:c>
      <x:c r="C3622" s="1" t="n">
        <x:v>6</x:v>
      </x:c>
      <x:c r="D3622" s="12" t="n">
        <x:v>0</x:v>
      </x:c>
      <x:c r="E3622" s="12" t="n">
        <x:v>0.26625</x:v>
      </x:c>
      <x:c r="F3622" s="12" t="n">
        <x:v>0.26575</x:v>
      </x:c>
      <x:c r="G3622" s="12" t="n">
        <x:v>0</x:v>
      </x:c>
      <x:c r="H3622" s="1" t="n">
        <x:f>'Historical prices'!E3622</x:f>
        <x:v>1.05</x:v>
      </x:c>
      <x:c r="I3622" s="6" t="n">
        <x:f>'Historical prices'!D3622</x:f>
        <x:v>0.2509</x:v>
      </x:c>
      <x:c r="J3622" s="13" t="n">
        <x:f>D3622*I3622*H3622</x:f>
        <x:v>0</x:v>
      </x:c>
      <x:c r="K3622" s="13" t="n">
        <x:f>E3622*I3622*H3622</x:f>
        <x:v>0.07014223125</x:v>
      </x:c>
      <x:c r="L3622" s="1" t="str">
        <x:f>TEXT(A3622,"mmm yyyy")</x:f>
        <x:v>Jul 2026</x:v>
      </x:c>
    </x:row>
    <x:row r="3623" ht="21" customHeight="1">
      <x:c r="A3623" s="10" t="n">
        <x:v>46223</x:v>
      </x:c>
      <x:c r="B3623" s="1" t="n">
        <x:v>23.5</x:v>
      </x:c>
      <x:c r="C3623" s="1" t="n">
        <x:v>6</x:v>
      </x:c>
      <x:c r="D3623" s="12" t="n">
        <x:v>0</x:v>
      </x:c>
      <x:c r="E3623" s="12" t="n">
        <x:v>0.2776666666666667</x:v>
      </x:c>
      <x:c r="F3623" s="12" t="n">
        <x:v>0.27758333333333335</x:v>
      </x:c>
      <x:c r="G3623" s="12" t="n">
        <x:v>0</x:v>
      </x:c>
      <x:c r="H3623" s="1" t="n">
        <x:f>'Historical prices'!E3623</x:f>
        <x:v>1.05</x:v>
      </x:c>
      <x:c r="I3623" s="6" t="n">
        <x:f>'Historical prices'!D3623</x:f>
        <x:v>0.2459</x:v>
      </x:c>
      <x:c r="J3623" s="13" t="n">
        <x:f>D3623*I3623*H3623</x:f>
        <x:v>0</x:v>
      </x:c>
      <x:c r="K3623" s="13" t="n">
        <x:f>E3623*I3623*H3623</x:f>
        <x:v>0.07169214500000001</x:v>
      </x:c>
      <x:c r="L3623" s="1" t="str">
        <x:f>TEXT(A3623,"mmm yyyy")</x:f>
        <x:v>Jul 2026</x:v>
      </x:c>
    </x:row>
    <x:row r="3624" ht="21" customHeight="1">
      <x:c r="A3624" s="10" t="n">
        <x:v>46224</x:v>
      </x:c>
      <x:c r="B3624" s="1" t="n">
        <x:v>0</x:v>
      </x:c>
      <x:c r="C3624" s="1" t="n">
        <x:v>6</x:v>
      </x:c>
      <x:c r="D3624" s="12" t="n">
        <x:v>0</x:v>
      </x:c>
      <x:c r="E3624" s="12" t="n">
        <x:v>0.28158333333333335</x:v>
      </x:c>
      <x:c r="F3624" s="12" t="n">
        <x:v>0.28158333333333335</x:v>
      </x:c>
      <x:c r="G3624" s="12" t="n">
        <x:v>0</x:v>
      </x:c>
      <x:c r="H3624" s="1" t="n">
        <x:f>'Historical prices'!E3624</x:f>
        <x:v>1.05</x:v>
      </x:c>
      <x:c r="I3624" s="6" t="n">
        <x:f>'Historical prices'!D3624</x:f>
        <x:v>0.2403</x:v>
      </x:c>
      <x:c r="J3624" s="13" t="n">
        <x:f>D3624*I3624*H3624</x:f>
        <x:v>0</x:v>
      </x:c>
      <x:c r="K3624" s="13" t="n">
        <x:f>E3624*I3624*H3624</x:f>
        <x:v>0.07104769875</x:v>
      </x:c>
      <x:c r="L3624" s="1" t="str">
        <x:f>TEXT(A3624,"mmm yyyy")</x:f>
        <x:v>Jul 2026</x:v>
      </x:c>
    </x:row>
    <x:row r="3625" ht="21" customHeight="1">
      <x:c r="A3625" s="10" t="n">
        <x:v>46224</x:v>
      </x:c>
      <x:c r="B3625" s="1" t="n">
        <x:v>0.5</x:v>
      </x:c>
      <x:c r="C3625" s="1" t="n">
        <x:v>6</x:v>
      </x:c>
      <x:c r="D3625" s="12" t="n">
        <x:v>0</x:v>
      </x:c>
      <x:c r="E3625" s="12" t="n">
        <x:v>0.29125</x:v>
      </x:c>
      <x:c r="F3625" s="12" t="n">
        <x:v>0.29083333333333333</x:v>
      </x:c>
      <x:c r="G3625" s="12" t="n">
        <x:v>0</x:v>
      </x:c>
      <x:c r="H3625" s="1" t="n">
        <x:f>'Historical prices'!E3625</x:f>
        <x:v>1.05</x:v>
      </x:c>
      <x:c r="I3625" s="6" t="n">
        <x:f>'Historical prices'!D3625</x:f>
        <x:v>0.24170000000000003</x:v>
      </x:c>
      <x:c r="J3625" s="13" t="n">
        <x:f>D3625*I3625*H3625</x:f>
        <x:v>0</x:v>
      </x:c>
      <x:c r="K3625" s="13" t="n">
        <x:f>E3625*I3625*H3625</x:f>
        <x:v>0.07391488125000001</x:v>
      </x:c>
      <x:c r="L3625" s="1" t="str">
        <x:f>TEXT(A3625,"mmm yyyy")</x:f>
        <x:v>Jul 2026</x:v>
      </x:c>
    </x:row>
    <x:row r="3626" ht="21" customHeight="1">
      <x:c r="A3626" s="10" t="n">
        <x:v>46224</x:v>
      </x:c>
      <x:c r="B3626" s="1" t="n">
        <x:v>1</x:v>
      </x:c>
      <x:c r="C3626" s="1" t="n">
        <x:v>6</x:v>
      </x:c>
      <x:c r="D3626" s="12" t="n">
        <x:v>0.16708333333333336</x:v>
      </x:c>
      <x:c r="E3626" s="12" t="n">
        <x:v>0.21000000000000002</x:v>
      </x:c>
      <x:c r="F3626" s="12" t="n">
        <x:v>0.033916666666666664</x:v>
      </x:c>
      <x:c r="G3626" s="12" t="n">
        <x:v>0</x:v>
      </x:c>
      <x:c r="H3626" s="1" t="n">
        <x:f>'Historical prices'!E3626</x:f>
        <x:v>1.05</x:v>
      </x:c>
      <x:c r="I3626" s="6" t="n">
        <x:f>'Historical prices'!D3626</x:f>
        <x:v>0.23149999999999998</x:v>
      </x:c>
      <x:c r="J3626" s="13" t="n">
        <x:f>D3626*I3626*H3626</x:f>
        <x:v>0.04061378125000001</x:v>
      </x:c>
      <x:c r="K3626" s="13" t="n">
        <x:f>E3626*I3626*H3626</x:f>
        <x:v>0.05104575</x:v>
      </x:c>
      <x:c r="L3626" s="1" t="str">
        <x:f>TEXT(A3626,"mmm yyyy")</x:f>
        <x:v>Jul 2026</x:v>
      </x:c>
    </x:row>
    <x:row r="3627" ht="21" customHeight="1">
      <x:c r="A3627" s="10" t="n">
        <x:v>46224</x:v>
      </x:c>
      <x:c r="B3627" s="1" t="n">
        <x:v>1.5</x:v>
      </x:c>
      <x:c r="C3627" s="1" t="n">
        <x:v>6</x:v>
      </x:c>
      <x:c r="D3627" s="12" t="n">
        <x:v>0.23408333333333334</x:v>
      </x:c>
      <x:c r="E3627" s="12" t="n">
        <x:v>0.24508333333333335</x:v>
      </x:c>
      <x:c r="F3627" s="12" t="n">
        <x:v>0</x:v>
      </x:c>
      <x:c r="G3627" s="12" t="n">
        <x:v>0</x:v>
      </x:c>
      <x:c r="H3627" s="1" t="n">
        <x:f>'Historical prices'!E3627</x:f>
        <x:v>1.05</x:v>
      </x:c>
      <x:c r="I3627" s="6" t="n">
        <x:f>'Historical prices'!D3627</x:f>
        <x:v>0.23149999999999998</x:v>
      </x:c>
      <x:c r="J3627" s="13" t="n">
        <x:f>D3627*I3627*H3627</x:f>
        <x:v>0.05689980625</x:v>
      </x:c>
      <x:c r="K3627" s="13" t="n">
        <x:f>E3627*I3627*H3627</x:f>
        <x:v>0.05957363125</x:v>
      </x:c>
      <x:c r="L3627" s="1" t="str">
        <x:f>TEXT(A3627,"mmm yyyy")</x:f>
        <x:v>Jul 2026</x:v>
      </x:c>
    </x:row>
    <x:row r="3628" ht="21" customHeight="1">
      <x:c r="A3628" s="10" t="n">
        <x:v>46224</x:v>
      </x:c>
      <x:c r="B3628" s="1" t="n">
        <x:v>2</x:v>
      </x:c>
      <x:c r="C3628" s="1" t="n">
        <x:v>6</x:v>
      </x:c>
      <x:c r="D3628" s="12" t="n">
        <x:v>0.17341666666666666</x:v>
      </x:c>
      <x:c r="E3628" s="12" t="n">
        <x:v>0.18441666666666667</x:v>
      </x:c>
      <x:c r="F3628" s="12" t="n">
        <x:v>0</x:v>
      </x:c>
      <x:c r="G3628" s="12" t="n">
        <x:v>0</x:v>
      </x:c>
      <x:c r="H3628" s="1" t="n">
        <x:f>'Historical prices'!E3628</x:f>
        <x:v>1.05</x:v>
      </x:c>
      <x:c r="I3628" s="6" t="n">
        <x:f>'Historical prices'!D3628</x:f>
        <x:v>0.22260000000000002</x:v>
      </x:c>
      <x:c r="J3628" s="13" t="n">
        <x:f>D3628*I3628*H3628</x:f>
        <x:v>0.0405326775</x:v>
      </x:c>
      <x:c r="K3628" s="13" t="n">
        <x:f>E3628*I3628*H3628</x:f>
        <x:v>0.04310370750000001</x:v>
      </x:c>
      <x:c r="L3628" s="1" t="str">
        <x:f>TEXT(A3628,"mmm yyyy")</x:f>
        <x:v>Jul 2026</x:v>
      </x:c>
    </x:row>
    <x:row r="3629" ht="21" customHeight="1">
      <x:c r="A3629" s="10" t="n">
        <x:v>46224</x:v>
      </x:c>
      <x:c r="B3629" s="1" t="n">
        <x:v>2.5</x:v>
      </x:c>
      <x:c r="C3629" s="1" t="n">
        <x:v>6</x:v>
      </x:c>
      <x:c r="D3629" s="12" t="n">
        <x:v>0.17208333333333334</x:v>
      </x:c>
      <x:c r="E3629" s="12" t="n">
        <x:v>0.18208333333333335</x:v>
      </x:c>
      <x:c r="F3629" s="12" t="n">
        <x:v>0</x:v>
      </x:c>
      <x:c r="G3629" s="12" t="n">
        <x:v>0</x:v>
      </x:c>
      <x:c r="H3629" s="1" t="n">
        <x:f>'Historical prices'!E3629</x:f>
        <x:v>1.05</x:v>
      </x:c>
      <x:c r="I3629" s="6" t="n">
        <x:f>'Historical prices'!D3629</x:f>
        <x:v>0.20370000000000002</x:v>
      </x:c>
      <x:c r="J3629" s="13" t="n">
        <x:f>D3629*I3629*H3629</x:f>
        <x:v>0.03680604375</x:v>
      </x:c>
      <x:c r="K3629" s="13" t="n">
        <x:f>E3629*I3629*H3629</x:f>
        <x:v>0.03894489375000001</x:v>
      </x:c>
      <x:c r="L3629" s="1" t="str">
        <x:f>TEXT(A3629,"mmm yyyy")</x:f>
        <x:v>Jul 2026</x:v>
      </x:c>
    </x:row>
    <x:row r="3630" ht="21" customHeight="1">
      <x:c r="A3630" s="10" t="n">
        <x:v>46224</x:v>
      </x:c>
      <x:c r="B3630" s="1" t="n">
        <x:v>3</x:v>
      </x:c>
      <x:c r="C3630" s="1" t="n">
        <x:v>6</x:v>
      </x:c>
      <x:c r="D3630" s="12" t="n">
        <x:v>0.21849999999999997</x:v>
      </x:c>
      <x:c r="E3630" s="12" t="n">
        <x:v>0.22749999999999998</x:v>
      </x:c>
      <x:c r="F3630" s="12" t="n">
        <x:v>0</x:v>
      </x:c>
      <x:c r="G3630" s="12" t="n">
        <x:v>0</x:v>
      </x:c>
      <x:c r="H3630" s="1" t="n">
        <x:f>'Historical prices'!E3630</x:f>
        <x:v>1.05</x:v>
      </x:c>
      <x:c r="I3630" s="6" t="n">
        <x:f>'Historical prices'!D3630</x:f>
        <x:v>0.2159</x:v>
      </x:c>
      <x:c r="J3630" s="13" t="n">
        <x:f>D3630*I3630*H3630</x:f>
        <x:v>0.0495328575</x:v>
      </x:c>
      <x:c r="K3630" s="13" t="n">
        <x:f>E3630*I3630*H3630</x:f>
        <x:v>0.0515731125</x:v>
      </x:c>
      <x:c r="L3630" s="1" t="str">
        <x:f>TEXT(A3630,"mmm yyyy")</x:f>
        <x:v>Jul 2026</x:v>
      </x:c>
    </x:row>
    <x:row r="3631" ht="21" customHeight="1">
      <x:c r="A3631" s="10" t="n">
        <x:v>46224</x:v>
      </x:c>
      <x:c r="B3631" s="1" t="n">
        <x:v>3.5</x:v>
      </x:c>
      <x:c r="C3631" s="1" t="n">
        <x:v>6</x:v>
      </x:c>
      <x:c r="D3631" s="12" t="n">
        <x:v>0.22524999999999998</x:v>
      </x:c>
      <x:c r="E3631" s="12" t="n">
        <x:v>0.23625</x:v>
      </x:c>
      <x:c r="F3631" s="12" t="n">
        <x:v>0</x:v>
      </x:c>
      <x:c r="G3631" s="12" t="n">
        <x:v>0</x:v>
      </x:c>
      <x:c r="H3631" s="1" t="n">
        <x:f>'Historical prices'!E3631</x:f>
        <x:v>1.05</x:v>
      </x:c>
      <x:c r="I3631" s="6" t="n">
        <x:f>'Historical prices'!D3631</x:f>
        <x:v>0.2139</x:v>
      </x:c>
      <x:c r="J3631" s="13" t="n">
        <x:f>D3631*I3631*H3631</x:f>
        <x:v>0.05059002375</x:v>
      </x:c>
      <x:c r="K3631" s="13" t="n">
        <x:f>E3631*I3631*H3631</x:f>
        <x:v>0.05306056875</x:v>
      </x:c>
      <x:c r="L3631" s="1" t="str">
        <x:f>TEXT(A3631,"mmm yyyy")</x:f>
        <x:v>Jul 2026</x:v>
      </x:c>
    </x:row>
    <x:row r="3632" ht="21" customHeight="1">
      <x:c r="A3632" s="10" t="n">
        <x:v>46224</x:v>
      </x:c>
      <x:c r="B3632" s="1" t="n">
        <x:v>4</x:v>
      </x:c>
      <x:c r="C3632" s="1" t="n">
        <x:v>6</x:v>
      </x:c>
      <x:c r="D3632" s="12" t="n">
        <x:v>0.23475000000000001</x:v>
      </x:c>
      <x:c r="E3632" s="12" t="n">
        <x:v>0.24575</x:v>
      </x:c>
      <x:c r="F3632" s="12" t="n">
        <x:v>0</x:v>
      </x:c>
      <x:c r="G3632" s="12" t="n">
        <x:v>0</x:v>
      </x:c>
      <x:c r="H3632" s="1" t="n">
        <x:f>'Historical prices'!E3632</x:f>
        <x:v>1.05</x:v>
      </x:c>
      <x:c r="I3632" s="6" t="n">
        <x:f>'Historical prices'!D3632</x:f>
        <x:v>0.2268</x:v>
      </x:c>
      <x:c r="J3632" s="13" t="n">
        <x:f>D3632*I3632*H3632</x:f>
        <x:v>0.05590336500000001</x:v>
      </x:c>
      <x:c r="K3632" s="13" t="n">
        <x:f>E3632*I3632*H3632</x:f>
        <x:v>0.058522905</x:v>
      </x:c>
      <x:c r="L3632" s="1" t="str">
        <x:f>TEXT(A3632,"mmm yyyy")</x:f>
        <x:v>Jul 2026</x:v>
      </x:c>
    </x:row>
    <x:row r="3633" ht="21" customHeight="1">
      <x:c r="A3633" s="10" t="n">
        <x:v>46224</x:v>
      </x:c>
      <x:c r="B3633" s="1" t="n">
        <x:v>4.5</x:v>
      </x:c>
      <x:c r="C3633" s="1" t="n">
        <x:v>6</x:v>
      </x:c>
      <x:c r="D3633" s="12" t="n">
        <x:v>0.25575000000000003</x:v>
      </x:c>
      <x:c r="E3633" s="12" t="n">
        <x:v>0.26675</x:v>
      </x:c>
      <x:c r="F3633" s="12" t="n">
        <x:v>0</x:v>
      </x:c>
      <x:c r="G3633" s="12" t="n">
        <x:v>0</x:v>
      </x:c>
      <x:c r="H3633" s="1" t="n">
        <x:f>'Historical prices'!E3633</x:f>
        <x:v>1.05</x:v>
      </x:c>
      <x:c r="I3633" s="6" t="n">
        <x:f>'Historical prices'!D3633</x:f>
        <x:v>0.2235</x:v>
      </x:c>
      <x:c r="J3633" s="13" t="n">
        <x:f>D3633*I3633*H3633</x:f>
        <x:v>0.06001813125000001</x:v>
      </x:c>
      <x:c r="K3633" s="13" t="n">
        <x:f>E3633*I3633*H3633</x:f>
        <x:v>0.06259955625000001</x:v>
      </x:c>
      <x:c r="L3633" s="1" t="str">
        <x:f>TEXT(A3633,"mmm yyyy")</x:f>
        <x:v>Jul 2026</x:v>
      </x:c>
    </x:row>
    <x:row r="3634" ht="21" customHeight="1">
      <x:c r="A3634" s="10" t="n">
        <x:v>46224</x:v>
      </x:c>
      <x:c r="B3634" s="1" t="n">
        <x:v>5</x:v>
      </x:c>
      <x:c r="C3634" s="1" t="n">
        <x:v>6</x:v>
      </x:c>
      <x:c r="D3634" s="12" t="n">
        <x:v>0.33058333333333334</x:v>
      </x:c>
      <x:c r="E3634" s="12" t="n">
        <x:v>0.33958333333333335</x:v>
      </x:c>
      <x:c r="F3634" s="12" t="n">
        <x:v>0</x:v>
      </x:c>
      <x:c r="G3634" s="12" t="n">
        <x:v>0</x:v>
      </x:c>
      <x:c r="H3634" s="1" t="n">
        <x:f>'Historical prices'!E3634</x:f>
        <x:v>1.05</x:v>
      </x:c>
      <x:c r="I3634" s="6" t="n">
        <x:f>'Historical prices'!D3634</x:f>
        <x:v>0.2351</x:v>
      </x:c>
      <x:c r="J3634" s="13" t="n">
        <x:f>D3634*I3634*H3634</x:f>
        <x:v>0.08160614875000001</x:v>
      </x:c>
      <x:c r="K3634" s="13" t="n">
        <x:f>E3634*I3634*H3634</x:f>
        <x:v>0.08382784375000002</x:v>
      </x:c>
      <x:c r="L3634" s="1" t="str">
        <x:f>TEXT(A3634,"mmm yyyy")</x:f>
        <x:v>Jul 2026</x:v>
      </x:c>
    </x:row>
    <x:row r="3635" ht="21" customHeight="1">
      <x:c r="A3635" s="10" t="n">
        <x:v>46224</x:v>
      </x:c>
      <x:c r="B3635" s="1" t="n">
        <x:v>5.5</x:v>
      </x:c>
      <x:c r="C3635" s="1" t="n">
        <x:v>6</x:v>
      </x:c>
      <x:c r="D3635" s="12" t="n">
        <x:v>0.2856666666666667</x:v>
      </x:c>
      <x:c r="E3635" s="12" t="n">
        <x:v>0.2966666666666667</x:v>
      </x:c>
      <x:c r="F3635" s="12" t="n">
        <x:v>0</x:v>
      </x:c>
      <x:c r="G3635" s="12" t="n">
        <x:v>0</x:v>
      </x:c>
      <x:c r="H3635" s="1" t="n">
        <x:f>'Historical prices'!E3635</x:f>
        <x:v>1.05</x:v>
      </x:c>
      <x:c r="I3635" s="6" t="n">
        <x:f>'Historical prices'!D3635</x:f>
        <x:v>0.2357</x:v>
      </x:c>
      <x:c r="J3635" s="13" t="n">
        <x:f>D3635*I3635*H3635</x:f>
        <x:v>0.07069821500000001</x:v>
      </x:c>
      <x:c r="K3635" s="13" t="n">
        <x:f>E3635*I3635*H3635</x:f>
        <x:v>0.07342055000000001</x:v>
      </x:c>
      <x:c r="L3635" s="1" t="str">
        <x:f>TEXT(A3635,"mmm yyyy")</x:f>
        <x:v>Jul 2026</x:v>
      </x:c>
    </x:row>
    <x:row r="3636" ht="21" customHeight="1">
      <x:c r="A3636" s="10" t="n">
        <x:v>46224</x:v>
      </x:c>
      <x:c r="B3636" s="1" t="n">
        <x:v>6</x:v>
      </x:c>
      <x:c r="C3636" s="1" t="n">
        <x:v>6</x:v>
      </x:c>
      <x:c r="D3636" s="12" t="n">
        <x:v>0.47425</x:v>
      </x:c>
      <x:c r="E3636" s="12" t="n">
        <x:v>0.48424999999999996</x:v>
      </x:c>
      <x:c r="F3636" s="12" t="n">
        <x:v>0</x:v>
      </x:c>
      <x:c r="G3636" s="12" t="n">
        <x:v>0</x:v>
      </x:c>
      <x:c r="H3636" s="1" t="n">
        <x:f>'Historical prices'!E3636</x:f>
        <x:v>1.05</x:v>
      </x:c>
      <x:c r="I3636" s="6" t="n">
        <x:f>'Historical prices'!D3636</x:f>
        <x:v>0.2318</x:v>
      </x:c>
      <x:c r="J3636" s="13" t="n">
        <x:f>D3636*I3636*H3636</x:f>
        <x:v>0.1154277075</x:v>
      </x:c>
      <x:c r="K3636" s="13" t="n">
        <x:f>E3636*I3636*H3636</x:f>
        <x:v>0.11786160749999999</x:v>
      </x:c>
      <x:c r="L3636" s="1" t="str">
        <x:f>TEXT(A3636,"mmm yyyy")</x:f>
        <x:v>Jul 2026</x:v>
      </x:c>
    </x:row>
    <x:row r="3637" ht="21" customHeight="1">
      <x:c r="A3637" s="10" t="n">
        <x:v>46224</x:v>
      </x:c>
      <x:c r="B3637" s="1" t="n">
        <x:v>6.5</x:v>
      </x:c>
      <x:c r="C3637" s="1" t="n">
        <x:v>6</x:v>
      </x:c>
      <x:c r="D3637" s="12" t="n">
        <x:v>0.08775</x:v>
      </x:c>
      <x:c r="E3637" s="12" t="n">
        <x:v>0.5595833333333333</x:v>
      </x:c>
      <x:c r="F3637" s="12" t="n">
        <x:v>0.4684999999999999</x:v>
      </x:c>
      <x:c r="G3637" s="12" t="n">
        <x:v>0</x:v>
      </x:c>
      <x:c r="H3637" s="1" t="n">
        <x:f>'Historical prices'!E3637</x:f>
        <x:v>1.05</x:v>
      </x:c>
      <x:c r="I3637" s="6" t="n">
        <x:f>'Historical prices'!D3637</x:f>
        <x:v>0.25489999999999996</x:v>
      </x:c>
      <x:c r="J3637" s="13" t="n">
        <x:f>D3637*I3637*H3637</x:f>
        <x:v>0.023485848749999996</x:v>
      </x:c>
      <x:c r="K3637" s="13" t="n">
        <x:f>E3637*I3637*H3637</x:f>
        <x:v>0.14976968124999998</x:v>
      </x:c>
      <x:c r="L3637" s="1" t="str">
        <x:f>TEXT(A3637,"mmm yyyy")</x:f>
        <x:v>Jul 2026</x:v>
      </x:c>
    </x:row>
    <x:row r="3638" ht="21" customHeight="1">
      <x:c r="A3638" s="10" t="n">
        <x:v>46224</x:v>
      </x:c>
      <x:c r="B3638" s="1" t="n">
        <x:v>7</x:v>
      </x:c>
      <x:c r="C3638" s="1" t="n">
        <x:v>6</x:v>
      </x:c>
      <x:c r="D3638" s="12" t="n">
        <x:v>0.42841666666666667</x:v>
      </x:c>
      <x:c r="E3638" s="12" t="n">
        <x:v>0.5285833333333334</x:v>
      </x:c>
      <x:c r="F3638" s="12" t="n">
        <x:v>0.09</x:v>
      </x:c>
      <x:c r="G3638" s="12" t="n">
        <x:v>0</x:v>
      </x:c>
      <x:c r="H3638" s="1" t="n">
        <x:f>'Historical prices'!E3638</x:f>
        <x:v>1.05</x:v>
      </x:c>
      <x:c r="I3638" s="6" t="n">
        <x:f>'Historical prices'!D3638</x:f>
        <x:v>0.23120000000000002</x:v>
      </x:c>
      <x:c r="J3638" s="13" t="n">
        <x:f>D3638*I3638*H3638</x:f>
        <x:v>0.10400243</x:v>
      </x:c>
      <x:c r="K3638" s="13" t="n">
        <x:f>E3638*I3638*H3638</x:f>
        <x:v>0.12831889000000005</x:v>
      </x:c>
      <x:c r="L3638" s="1" t="str">
        <x:f>TEXT(A3638,"mmm yyyy")</x:f>
        <x:v>Jul 2026</x:v>
      </x:c>
    </x:row>
    <x:row r="3639" ht="21" customHeight="1">
      <x:c r="A3639" s="10" t="n">
        <x:v>46224</x:v>
      </x:c>
      <x:c r="B3639" s="1" t="n">
        <x:v>7.5</x:v>
      </x:c>
      <x:c r="C3639" s="1" t="n">
        <x:v>6</x:v>
      </x:c>
      <x:c r="D3639" s="12" t="n">
        <x:v>0.39133333333333337</x:v>
      </x:c>
      <x:c r="E3639" s="12" t="n">
        <x:v>0.4033333333333334</x:v>
      </x:c>
      <x:c r="F3639" s="12" t="n">
        <x:v>0</x:v>
      </x:c>
      <x:c r="G3639" s="12" t="n">
        <x:v>0</x:v>
      </x:c>
      <x:c r="H3639" s="1" t="n">
        <x:f>'Historical prices'!E3639</x:f>
        <x:v>1.05</x:v>
      </x:c>
      <x:c r="I3639" s="6" t="n">
        <x:f>'Historical prices'!D3639</x:f>
        <x:v>0.2365</x:v>
      </x:c>
      <x:c r="J3639" s="13" t="n">
        <x:f>D3639*I3639*H3639</x:f>
        <x:v>0.09717785</x:v>
      </x:c>
      <x:c r="K3639" s="13" t="n">
        <x:f>E3639*I3639*H3639</x:f>
        <x:v>0.10015775</x:v>
      </x:c>
      <x:c r="L3639" s="1" t="str">
        <x:f>TEXT(A3639,"mmm yyyy")</x:f>
        <x:v>Jul 2026</x:v>
      </x:c>
    </x:row>
    <x:row r="3640" ht="21" customHeight="1">
      <x:c r="A3640" s="10" t="n">
        <x:v>46224</x:v>
      </x:c>
      <x:c r="B3640" s="1" t="n">
        <x:v>8</x:v>
      </x:c>
      <x:c r="C3640" s="1" t="n">
        <x:v>6</x:v>
      </x:c>
      <x:c r="D3640" s="12" t="n">
        <x:v>0.2945</x:v>
      </x:c>
      <x:c r="E3640" s="12" t="n">
        <x:v>0.30149999999999993</x:v>
      </x:c>
      <x:c r="F3640" s="12" t="n">
        <x:v>0</x:v>
      </x:c>
      <x:c r="G3640" s="12" t="n">
        <x:v>0</x:v>
      </x:c>
      <x:c r="H3640" s="1" t="n">
        <x:f>'Historical prices'!E3640</x:f>
        <x:v>1.05</x:v>
      </x:c>
      <x:c r="I3640" s="6" t="n">
        <x:f>'Historical prices'!D3640</x:f>
        <x:v>0.2228</x:v>
      </x:c>
      <x:c r="J3640" s="13" t="n">
        <x:f>D3640*I3640*H3640</x:f>
        <x:v>0.06889533</x:v>
      </x:c>
      <x:c r="K3640" s="13" t="n">
        <x:f>E3640*I3640*H3640</x:f>
        <x:v>0.07053290999999999</x:v>
      </x:c>
      <x:c r="L3640" s="1" t="str">
        <x:f>TEXT(A3640,"mmm yyyy")</x:f>
        <x:v>Jul 2026</x:v>
      </x:c>
    </x:row>
    <x:row r="3641" ht="21" customHeight="1">
      <x:c r="A3641" s="10" t="n">
        <x:v>46224</x:v>
      </x:c>
      <x:c r="B3641" s="1" t="n">
        <x:v>8.5</x:v>
      </x:c>
      <x:c r="C3641" s="1" t="n">
        <x:v>6</x:v>
      </x:c>
      <x:c r="D3641" s="12" t="n">
        <x:v>0.4965</x:v>
      </x:c>
      <x:c r="E3641" s="12" t="n">
        <x:v>0.5065</x:v>
      </x:c>
      <x:c r="F3641" s="12" t="n">
        <x:v>0</x:v>
      </x:c>
      <x:c r="G3641" s="12" t="n">
        <x:v>0</x:v>
      </x:c>
      <x:c r="H3641" s="1" t="n">
        <x:f>'Historical prices'!E3641</x:f>
        <x:v>1.05</x:v>
      </x:c>
      <x:c r="I3641" s="6" t="n">
        <x:f>'Historical prices'!D3641</x:f>
        <x:v>0.22699999999999998</x:v>
      </x:c>
      <x:c r="J3641" s="13" t="n">
        <x:f>D3641*I3641*H3641</x:f>
        <x:v>0.118340775</x:v>
      </x:c>
      <x:c r="K3641" s="13" t="n">
        <x:f>E3641*I3641*H3641</x:f>
        <x:v>0.12072427499999998</x:v>
      </x:c>
      <x:c r="L3641" s="1" t="str">
        <x:f>TEXT(A3641,"mmm yyyy")</x:f>
        <x:v>Jul 2026</x:v>
      </x:c>
    </x:row>
    <x:row r="3642" ht="21" customHeight="1">
      <x:c r="A3642" s="10" t="n">
        <x:v>46224</x:v>
      </x:c>
      <x:c r="B3642" s="1" t="n">
        <x:v>9</x:v>
      </x:c>
      <x:c r="C3642" s="1" t="n">
        <x:v>6</x:v>
      </x:c>
      <x:c r="D3642" s="12" t="n">
        <x:v>0.5675833333333333</x:v>
      </x:c>
      <x:c r="E3642" s="12" t="n">
        <x:v>0.5785833333333332</x:v>
      </x:c>
      <x:c r="F3642" s="12" t="n">
        <x:v>0</x:v>
      </x:c>
      <x:c r="G3642" s="12" t="n">
        <x:v>0</x:v>
      </x:c>
      <x:c r="H3642" s="1" t="n">
        <x:f>'Historical prices'!E3642</x:f>
        <x:v>1.05</x:v>
      </x:c>
      <x:c r="I3642" s="6" t="n">
        <x:f>'Historical prices'!D3642</x:f>
        <x:v>0.21719999999999998</x:v>
      </x:c>
      <x:c r="J3642" s="13" t="n">
        <x:f>D3642*I3642*H3642</x:f>
        <x:v>0.129443055</x:v>
      </x:c>
      <x:c r="K3642" s="13" t="n">
        <x:f>E3642*I3642*H3642</x:f>
        <x:v>0.13195171499999997</x:v>
      </x:c>
      <x:c r="L3642" s="1" t="str">
        <x:f>TEXT(A3642,"mmm yyyy")</x:f>
        <x:v>Jul 2026</x:v>
      </x:c>
    </x:row>
    <x:row r="3643" ht="21" customHeight="1">
      <x:c r="A3643" s="10" t="n">
        <x:v>46224</x:v>
      </x:c>
      <x:c r="B3643" s="1" t="n">
        <x:v>9.5</x:v>
      </x:c>
      <x:c r="C3643" s="1" t="n">
        <x:v>6</x:v>
      </x:c>
      <x:c r="D3643" s="12" t="n">
        <x:v>0.6136666666666667</x:v>
      </x:c>
      <x:c r="E3643" s="12" t="n">
        <x:v>0.6236666666666667</x:v>
      </x:c>
      <x:c r="F3643" s="12" t="n">
        <x:v>0</x:v>
      </x:c>
      <x:c r="G3643" s="12" t="n">
        <x:v>0</x:v>
      </x:c>
      <x:c r="H3643" s="1" t="n">
        <x:f>'Historical prices'!E3643</x:f>
        <x:v>1.05</x:v>
      </x:c>
      <x:c r="I3643" s="6" t="n">
        <x:f>'Historical prices'!D3643</x:f>
        <x:v>0.2018</x:v>
      </x:c>
      <x:c r="J3643" s="13" t="n">
        <x:f>D3643*I3643*H3643</x:f>
        <x:v>0.13002983</x:v>
      </x:c>
      <x:c r="K3643" s="13" t="n">
        <x:f>E3643*I3643*H3643</x:f>
        <x:v>0.13214873000000002</x:v>
      </x:c>
      <x:c r="L3643" s="1" t="str">
        <x:f>TEXT(A3643,"mmm yyyy")</x:f>
        <x:v>Jul 2026</x:v>
      </x:c>
    </x:row>
    <x:row r="3644" ht="21" customHeight="1">
      <x:c r="A3644" s="10" t="n">
        <x:v>46224</x:v>
      </x:c>
      <x:c r="B3644" s="1" t="n">
        <x:v>10</x:v>
      </x:c>
      <x:c r="C3644" s="1" t="n">
        <x:v>6</x:v>
      </x:c>
      <x:c r="D3644" s="12" t="n">
        <x:v>0.4475</x:v>
      </x:c>
      <x:c r="E3644" s="12" t="n">
        <x:v>0.4585</x:v>
      </x:c>
      <x:c r="F3644" s="12" t="n">
        <x:v>0</x:v>
      </x:c>
      <x:c r="G3644" s="12" t="n">
        <x:v>0</x:v>
      </x:c>
      <x:c r="H3644" s="1" t="n">
        <x:f>'Historical prices'!E3644</x:f>
        <x:v>1.05</x:v>
      </x:c>
      <x:c r="I3644" s="6" t="n">
        <x:f>'Historical prices'!D3644</x:f>
        <x:v>0.213</x:v>
      </x:c>
      <x:c r="J3644" s="13" t="n">
        <x:f>D3644*I3644*H3644</x:f>
        <x:v>0.100083375</x:v>
      </x:c>
      <x:c r="K3644" s="13" t="n">
        <x:f>E3644*I3644*H3644</x:f>
        <x:v>0.102543525</x:v>
      </x:c>
      <x:c r="L3644" s="1" t="str">
        <x:f>TEXT(A3644,"mmm yyyy")</x:f>
        <x:v>Jul 2026</x:v>
      </x:c>
    </x:row>
    <x:row r="3645" ht="21" customHeight="1">
      <x:c r="A3645" s="10" t="n">
        <x:v>46224</x:v>
      </x:c>
      <x:c r="B3645" s="1" t="n">
        <x:v>10.5</x:v>
      </x:c>
      <x:c r="C3645" s="1" t="n">
        <x:v>6</x:v>
      </x:c>
      <x:c r="D3645" s="12" t="n">
        <x:v>0.8999166666666667</x:v>
      </x:c>
      <x:c r="E3645" s="12" t="n">
        <x:v>0.9099166666666667</x:v>
      </x:c>
      <x:c r="F3645" s="12" t="n">
        <x:v>0</x:v>
      </x:c>
      <x:c r="G3645" s="12" t="n">
        <x:v>0</x:v>
      </x:c>
      <x:c r="H3645" s="1" t="n">
        <x:f>'Historical prices'!E3645</x:f>
        <x:v>1.05</x:v>
      </x:c>
      <x:c r="I3645" s="6" t="n">
        <x:f>'Historical prices'!D3645</x:f>
        <x:v>0.20440000000000003</x:v>
      </x:c>
      <x:c r="J3645" s="13" t="n">
        <x:f>D3645*I3645*H3645</x:f>
        <x:v>0.19314011500000006</x:v>
      </x:c>
      <x:c r="K3645" s="13" t="n">
        <x:f>E3645*I3645*H3645</x:f>
        <x:v>0.19528631500000004</x:v>
      </x:c>
      <x:c r="L3645" s="1" t="str">
        <x:f>TEXT(A3645,"mmm yyyy")</x:f>
        <x:v>Jul 2026</x:v>
      </x:c>
    </x:row>
    <x:row r="3646" ht="21" customHeight="1">
      <x:c r="A3646" s="10" t="n">
        <x:v>46224</x:v>
      </x:c>
      <x:c r="B3646" s="1" t="n">
        <x:v>11</x:v>
      </x:c>
      <x:c r="C3646" s="1" t="n">
        <x:v>6</x:v>
      </x:c>
      <x:c r="D3646" s="12" t="n">
        <x:v>0.5881666666666666</x:v>
      </x:c>
      <x:c r="E3646" s="12" t="n">
        <x:v>0.5981666666666666</x:v>
      </x:c>
      <x:c r="F3646" s="12" t="n">
        <x:v>0</x:v>
      </x:c>
      <x:c r="G3646" s="12" t="n">
        <x:v>0</x:v>
      </x:c>
      <x:c r="H3646" s="1" t="n">
        <x:f>'Historical prices'!E3646</x:f>
        <x:v>1.05</x:v>
      </x:c>
      <x:c r="I3646" s="6" t="n">
        <x:f>'Historical prices'!D3646</x:f>
        <x:v>0.20379999999999998</x:v>
      </x:c>
      <x:c r="J3646" s="13" t="n">
        <x:f>D3646*I3646*H3646</x:f>
        <x:v>0.12586178499999998</x:v>
      </x:c>
      <x:c r="K3646" s="13" t="n">
        <x:f>E3646*I3646*H3646</x:f>
        <x:v>0.12800168499999998</x:v>
      </x:c>
      <x:c r="L3646" s="1" t="str">
        <x:f>TEXT(A3646,"mmm yyyy")</x:f>
        <x:v>Jul 2026</x:v>
      </x:c>
    </x:row>
    <x:row r="3647" ht="21" customHeight="1">
      <x:c r="A3647" s="10" t="n">
        <x:v>46224</x:v>
      </x:c>
      <x:c r="B3647" s="1" t="n">
        <x:v>11.5</x:v>
      </x:c>
      <x:c r="C3647" s="1" t="n">
        <x:v>6</x:v>
      </x:c>
      <x:c r="D3647" s="12" t="n">
        <x:v>0.3874166666666667</x:v>
      </x:c>
      <x:c r="E3647" s="12" t="n">
        <x:v>0.3984166666666667</x:v>
      </x:c>
      <x:c r="F3647" s="12" t="n">
        <x:v>0</x:v>
      </x:c>
      <x:c r="G3647" s="12" t="n">
        <x:v>0</x:v>
      </x:c>
      <x:c r="H3647" s="1" t="n">
        <x:f>'Historical prices'!E3647</x:f>
        <x:v>1.05</x:v>
      </x:c>
      <x:c r="I3647" s="6" t="n">
        <x:f>'Historical prices'!D3647</x:f>
        <x:v>0.20379999999999998</x:v>
      </x:c>
      <x:c r="J3647" s="13" t="n">
        <x:f>D3647*I3647*H3647</x:f>
        <x:v>0.0829032925</x:v>
      </x:c>
      <x:c r="K3647" s="13" t="n">
        <x:f>E3647*I3647*H3647</x:f>
        <x:v>0.08525718250000001</x:v>
      </x:c>
      <x:c r="L3647" s="1" t="str">
        <x:f>TEXT(A3647,"mmm yyyy")</x:f>
        <x:v>Jul 2026</x:v>
      </x:c>
    </x:row>
    <x:row r="3648" ht="21" customHeight="1">
      <x:c r="A3648" s="10" t="n">
        <x:v>46224</x:v>
      </x:c>
      <x:c r="B3648" s="1" t="n">
        <x:v>12</x:v>
      </x:c>
      <x:c r="C3648" s="1" t="n">
        <x:v>6</x:v>
      </x:c>
      <x:c r="D3648" s="12" t="n">
        <x:v>0.3144166666666667</x:v>
      </x:c>
      <x:c r="E3648" s="12" t="n">
        <x:v>0.32441666666666663</x:v>
      </x:c>
      <x:c r="F3648" s="12" t="n">
        <x:v>0</x:v>
      </x:c>
      <x:c r="G3648" s="12" t="n">
        <x:v>0</x:v>
      </x:c>
      <x:c r="H3648" s="1" t="n">
        <x:f>'Historical prices'!E3648</x:f>
        <x:v>1.05</x:v>
      </x:c>
      <x:c r="I3648" s="6" t="n">
        <x:f>'Historical prices'!D3648</x:f>
        <x:v>0.1997</x:v>
      </x:c>
      <x:c r="J3648" s="13" t="n">
        <x:f>D3648*I3648*H3648</x:f>
        <x:v>0.06592845875</x:v>
      </x:c>
      <x:c r="K3648" s="13" t="n">
        <x:f>E3648*I3648*H3648</x:f>
        <x:v>0.06802530875</x:v>
      </x:c>
      <x:c r="L3648" s="1" t="str">
        <x:f>TEXT(A3648,"mmm yyyy")</x:f>
        <x:v>Jul 2026</x:v>
      </x:c>
    </x:row>
    <x:row r="3649" ht="21" customHeight="1">
      <x:c r="A3649" s="10" t="n">
        <x:v>46224</x:v>
      </x:c>
      <x:c r="B3649" s="1" t="n">
        <x:v>12.5</x:v>
      </x:c>
      <x:c r="C3649" s="1" t="n">
        <x:v>6</x:v>
      </x:c>
      <x:c r="D3649" s="12" t="n">
        <x:v>0.37225</x:v>
      </x:c>
      <x:c r="E3649" s="12" t="n">
        <x:v>0.38325</x:v>
      </x:c>
      <x:c r="F3649" s="12" t="n">
        <x:v>0</x:v>
      </x:c>
      <x:c r="G3649" s="12" t="n">
        <x:v>0</x:v>
      </x:c>
      <x:c r="H3649" s="1" t="n">
        <x:f>'Historical prices'!E3649</x:f>
        <x:v>1.05</x:v>
      </x:c>
      <x:c r="I3649" s="6" t="n">
        <x:f>'Historical prices'!D3649</x:f>
        <x:v>0.1997</x:v>
      </x:c>
      <x:c r="J3649" s="13" t="n">
        <x:f>D3649*I3649*H3649</x:f>
        <x:v>0.07805524125</x:v>
      </x:c>
      <x:c r="K3649" s="13" t="n">
        <x:f>E3649*I3649*H3649</x:f>
        <x:v>0.08036177624999999</x:v>
      </x:c>
      <x:c r="L3649" s="1" t="str">
        <x:f>TEXT(A3649,"mmm yyyy")</x:f>
        <x:v>Jul 2026</x:v>
      </x:c>
    </x:row>
    <x:row r="3650" ht="21" customHeight="1">
      <x:c r="A3650" s="10" t="n">
        <x:v>46224</x:v>
      </x:c>
      <x:c r="B3650" s="1" t="n">
        <x:v>13</x:v>
      </x:c>
      <x:c r="C3650" s="1" t="n">
        <x:v>6</x:v>
      </x:c>
      <x:c r="D3650" s="12" t="n">
        <x:v>0.4031666666666666</x:v>
      </x:c>
      <x:c r="E3650" s="12" t="n">
        <x:v>0.4131666666666666</x:v>
      </x:c>
      <x:c r="F3650" s="12" t="n">
        <x:v>0</x:v>
      </x:c>
      <x:c r="G3650" s="12" t="n">
        <x:v>0</x:v>
      </x:c>
      <x:c r="H3650" s="1" t="n">
        <x:f>'Historical prices'!E3650</x:f>
        <x:v>1.05</x:v>
      </x:c>
      <x:c r="I3650" s="6" t="n">
        <x:f>'Historical prices'!D3650</x:f>
        <x:v>0.19760000000000003</x:v>
      </x:c>
      <x:c r="J3650" s="13" t="n">
        <x:f>D3650*I3650*H3650</x:f>
        <x:v>0.08364902</x:v>
      </x:c>
      <x:c r="K3650" s="13" t="n">
        <x:f>E3650*I3650*H3650</x:f>
        <x:v>0.08572382</x:v>
      </x:c>
      <x:c r="L3650" s="1" t="str">
        <x:f>TEXT(A3650,"mmm yyyy")</x:f>
        <x:v>Jul 2026</x:v>
      </x:c>
    </x:row>
    <x:row r="3651" ht="21" customHeight="1">
      <x:c r="A3651" s="10" t="n">
        <x:v>46224</x:v>
      </x:c>
      <x:c r="B3651" s="1" t="n">
        <x:v>13.5</x:v>
      </x:c>
      <x:c r="C3651" s="1" t="n">
        <x:v>6</x:v>
      </x:c>
      <x:c r="D3651" s="12" t="n">
        <x:v>3.81425</x:v>
      </x:c>
      <x:c r="E3651" s="12" t="n">
        <x:v>0.52125</x:v>
      </x:c>
      <x:c r="F3651" s="12" t="n">
        <x:v>0</x:v>
      </x:c>
      <x:c r="G3651" s="12" t="n">
        <x:v>3.295</x:v>
      </x:c>
      <x:c r="H3651" s="1" t="n">
        <x:f>'Historical prices'!E3651</x:f>
        <x:v>1.05</x:v>
      </x:c>
      <x:c r="I3651" s="6" t="n">
        <x:f>'Historical prices'!D3651</x:f>
        <x:v>0.1913</x:v>
      </x:c>
      <x:c r="J3651" s="13" t="n">
        <x:f>D3651*I3651*H3651</x:f>
        <x:v>0.76614932625</x:v>
      </x:c>
      <x:c r="K3651" s="13" t="n">
        <x:f>E3651*I3651*H3651</x:f>
        <x:v>0.10470088125</x:v>
      </x:c>
      <x:c r="L3651" s="1" t="str">
        <x:f>TEXT(A3651,"mmm yyyy")</x:f>
        <x:v>Jul 2026</x:v>
      </x:c>
    </x:row>
    <x:row r="3652" ht="21" customHeight="1">
      <x:c r="A3652" s="10" t="n">
        <x:v>46224</x:v>
      </x:c>
      <x:c r="B3652" s="1" t="n">
        <x:v>14</x:v>
      </x:c>
      <x:c r="C3652" s="1" t="n">
        <x:v>6</x:v>
      </x:c>
      <x:c r="D3652" s="12" t="n">
        <x:v>1.29175</x:v>
      </x:c>
      <x:c r="E3652" s="12" t="n">
        <x:v>0.49474999999999997</x:v>
      </x:c>
      <x:c r="F3652" s="12" t="n">
        <x:v>0</x:v>
      </x:c>
      <x:c r="G3652" s="12" t="n">
        <x:v>0.8</x:v>
      </x:c>
      <x:c r="H3652" s="1" t="n">
        <x:f>'Historical prices'!E3652</x:f>
        <x:v>1.05</x:v>
      </x:c>
      <x:c r="I3652" s="6" t="n">
        <x:f>'Historical prices'!D3652</x:f>
        <x:v>0.1934</x:v>
      </x:c>
      <x:c r="J3652" s="13" t="n">
        <x:f>D3652*I3652*H3652</x:f>
        <x:v>0.2623156725</x:v>
      </x:c>
      <x:c r="K3652" s="13" t="n">
        <x:f>E3652*I3652*H3652</x:f>
        <x:v>0.10046888249999998</x:v>
      </x:c>
      <x:c r="L3652" s="1" t="str">
        <x:f>TEXT(A3652,"mmm yyyy")</x:f>
        <x:v>Jul 2026</x:v>
      </x:c>
    </x:row>
    <x:row r="3653" ht="21" customHeight="1">
      <x:c r="A3653" s="10" t="n">
        <x:v>46224</x:v>
      </x:c>
      <x:c r="B3653" s="1" t="n">
        <x:v>14.5</x:v>
      </x:c>
      <x:c r="C3653" s="1" t="n">
        <x:v>6</x:v>
      </x:c>
      <x:c r="D3653" s="12" t="n">
        <x:v>0.46291666666666675</x:v>
      </x:c>
      <x:c r="E3653" s="12" t="n">
        <x:v>0.47491666666666665</x:v>
      </x:c>
      <x:c r="F3653" s="12" t="n">
        <x:v>0</x:v>
      </x:c>
      <x:c r="G3653" s="12" t="n">
        <x:v>0</x:v>
      </x:c>
      <x:c r="H3653" s="1" t="n">
        <x:f>'Historical prices'!E3653</x:f>
        <x:v>1.05</x:v>
      </x:c>
      <x:c r="I3653" s="6" t="n">
        <x:f>'Historical prices'!D3653</x:f>
        <x:v>0.1932</x:v>
      </x:c>
      <x:c r="J3653" s="13" t="n">
        <x:f>D3653*I3653*H3653</x:f>
        <x:v>0.09390727500000003</x:v>
      </x:c>
      <x:c r="K3653" s="13" t="n">
        <x:f>E3653*I3653*H3653</x:f>
        <x:v>0.096341595</x:v>
      </x:c>
      <x:c r="L3653" s="1" t="str">
        <x:f>TEXT(A3653,"mmm yyyy")</x:f>
        <x:v>Jul 2026</x:v>
      </x:c>
    </x:row>
    <x:row r="3654" ht="21" customHeight="1">
      <x:c r="A3654" s="10" t="n">
        <x:v>46224</x:v>
      </x:c>
      <x:c r="B3654" s="1" t="n">
        <x:v>15</x:v>
      </x:c>
      <x:c r="C3654" s="1" t="n">
        <x:v>6</x:v>
      </x:c>
      <x:c r="D3654" s="12" t="n">
        <x:v>4.617333333333333</x:v>
      </x:c>
      <x:c r="E3654" s="12" t="n">
        <x:v>0.6703333333333333</x:v>
      </x:c>
      <x:c r="F3654" s="12" t="n">
        <x:v>0</x:v>
      </x:c>
      <x:c r="G3654" s="12" t="n">
        <x:v>3.9479999999999995</x:v>
      </x:c>
      <x:c r="H3654" s="1" t="n">
        <x:f>'Historical prices'!E3654</x:f>
        <x:v>1.05</x:v>
      </x:c>
      <x:c r="I3654" s="6" t="n">
        <x:f>'Historical prices'!D3654</x:f>
        <x:v>0.18710000000000002</x:v>
      </x:c>
      <x:c r="J3654" s="13" t="n">
        <x:f>D3654*I3654*H3654</x:f>
        <x:v>0.90709822</x:v>
      </x:c>
      <x:c r="K3654" s="13" t="n">
        <x:f>E3654*I3654*H3654</x:f>
        <x:v>0.13169033500000002</x:v>
      </x:c>
      <x:c r="L3654" s="1" t="str">
        <x:f>TEXT(A3654,"mmm yyyy")</x:f>
        <x:v>Jul 2026</x:v>
      </x:c>
    </x:row>
    <x:row r="3655" ht="21" customHeight="1">
      <x:c r="A3655" s="10" t="n">
        <x:v>46224</x:v>
      </x:c>
      <x:c r="B3655" s="1" t="n">
        <x:v>15.5</x:v>
      </x:c>
      <x:c r="C3655" s="1" t="n">
        <x:v>6</x:v>
      </x:c>
      <x:c r="D3655" s="12" t="n">
        <x:v>1.1788333333333332</x:v>
      </x:c>
      <x:c r="E3655" s="12" t="n">
        <x:v>0.42883333333333334</x:v>
      </x:c>
      <x:c r="F3655" s="12" t="n">
        <x:v>0</x:v>
      </x:c>
      <x:c r="G3655" s="12" t="n">
        <x:v>0.75</x:v>
      </x:c>
      <x:c r="H3655" s="1" t="n">
        <x:f>'Historical prices'!E3655</x:f>
        <x:v>1.05</x:v>
      </x:c>
      <x:c r="I3655" s="6" t="n">
        <x:f>'Historical prices'!D3655</x:f>
        <x:v>0.1934</x:v>
      </x:c>
      <x:c r="J3655" s="13" t="n">
        <x:f>D3655*I3655*H3655</x:f>
        <x:v>0.239385685</x:v>
      </x:c>
      <x:c r="K3655" s="13" t="n">
        <x:f>E3655*I3655*H3655</x:f>
        <x:v>0.08708318500000001</x:v>
      </x:c>
      <x:c r="L3655" s="1" t="str">
        <x:f>TEXT(A3655,"mmm yyyy")</x:f>
        <x:v>Jul 2026</x:v>
      </x:c>
    </x:row>
    <x:row r="3656" ht="21" customHeight="1">
      <x:c r="A3656" s="10" t="n">
        <x:v>46224</x:v>
      </x:c>
      <x:c r="B3656" s="1" t="n">
        <x:v>16</x:v>
      </x:c>
      <x:c r="C3656" s="1" t="n">
        <x:v>6</x:v>
      </x:c>
      <x:c r="D3656" s="12" t="n">
        <x:v>0.069</x:v>
      </x:c>
      <x:c r="E3656" s="12" t="n">
        <x:v>0.43666666666666665</x:v>
      </x:c>
      <x:c r="F3656" s="12" t="n">
        <x:v>0.3664166666666666</x:v>
      </x:c>
      <x:c r="G3656" s="12" t="n">
        <x:v>0</x:v>
      </x:c>
      <x:c r="H3656" s="1" t="n">
        <x:f>'Historical prices'!E3656</x:f>
        <x:v>1.05</x:v>
      </x:c>
      <x:c r="I3656" s="6" t="n">
        <x:f>'Historical prices'!D3656</x:f>
        <x:v>0.3211</x:v>
      </x:c>
      <x:c r="J3656" s="13" t="n">
        <x:f>D3656*I3656*H3656</x:f>
        <x:v>0.023263695000000004</x:v>
      </x:c>
      <x:c r="K3656" s="13" t="n">
        <x:f>E3656*I3656*H3656</x:f>
        <x:v>0.14722435</x:v>
      </x:c>
      <x:c r="L3656" s="1" t="str">
        <x:f>TEXT(A3656,"mmm yyyy")</x:f>
        <x:v>Jul 2026</x:v>
      </x:c>
    </x:row>
    <x:row r="3657" ht="21" customHeight="1">
      <x:c r="A3657" s="10" t="n">
        <x:v>46224</x:v>
      </x:c>
      <x:c r="B3657" s="1" t="n">
        <x:v>16.5</x:v>
      </x:c>
      <x:c r="C3657" s="1" t="n">
        <x:v>6</x:v>
      </x:c>
      <x:c r="D3657" s="12" t="n">
        <x:v>0</x:v>
      </x:c>
      <x:c r="E3657" s="12" t="n">
        <x:v>0.4141666666666666</x:v>
      </x:c>
      <x:c r="F3657" s="12" t="n">
        <x:v>0.41375</x:v>
      </x:c>
      <x:c r="G3657" s="12" t="n">
        <x:v>0</x:v>
      </x:c>
      <x:c r="H3657" s="1" t="n">
        <x:f>'Historical prices'!E3657</x:f>
        <x:v>1.05</x:v>
      </x:c>
      <x:c r="I3657" s="6" t="n">
        <x:f>'Historical prices'!D3657</x:f>
        <x:v>0.3343</x:v>
      </x:c>
      <x:c r="J3657" s="13" t="n">
        <x:f>D3657*I3657*H3657</x:f>
        <x:v>0</x:v>
      </x:c>
      <x:c r="K3657" s="13" t="n">
        <x:f>E3657*I3657*H3657</x:f>
        <x:v>0.14537871249999998</x:v>
      </x:c>
      <x:c r="L3657" s="1" t="str">
        <x:f>TEXT(A3657,"mmm yyyy")</x:f>
        <x:v>Jul 2026</x:v>
      </x:c>
    </x:row>
    <x:row r="3658" ht="21" customHeight="1">
      <x:c r="A3658" s="10" t="n">
        <x:v>46224</x:v>
      </x:c>
      <x:c r="B3658" s="1" t="n">
        <x:v>17</x:v>
      </x:c>
      <x:c r="C3658" s="1" t="n">
        <x:v>6</x:v>
      </x:c>
      <x:c r="D3658" s="12" t="n">
        <x:v>0</x:v>
      </x:c>
      <x:c r="E3658" s="12" t="n">
        <x:v>0.43866666666666665</x:v>
      </x:c>
      <x:c r="F3658" s="12" t="n">
        <x:v>0.43833333333333324</x:v>
      </x:c>
      <x:c r="G3658" s="12" t="n">
        <x:v>0</x:v>
      </x:c>
      <x:c r="H3658" s="1" t="n">
        <x:f>'Historical prices'!E3658</x:f>
        <x:v>1.05</x:v>
      </x:c>
      <x:c r="I3658" s="6" t="n">
        <x:f>'Historical prices'!D3658</x:f>
        <x:v>0.3146</x:v>
      </x:c>
      <x:c r="J3658" s="13" t="n">
        <x:f>D3658*I3658*H3658</x:f>
        <x:v>0</x:v>
      </x:c>
      <x:c r="K3658" s="13" t="n">
        <x:f>E3658*I3658*H3658</x:f>
        <x:v>0.14490476</x:v>
      </x:c>
      <x:c r="L3658" s="1" t="str">
        <x:f>TEXT(A3658,"mmm yyyy")</x:f>
        <x:v>Jul 2026</x:v>
      </x:c>
    </x:row>
    <x:row r="3659" ht="21" customHeight="1">
      <x:c r="A3659" s="10" t="n">
        <x:v>46224</x:v>
      </x:c>
      <x:c r="B3659" s="1" t="n">
        <x:v>17.5</x:v>
      </x:c>
      <x:c r="C3659" s="1" t="n">
        <x:v>6</x:v>
      </x:c>
      <x:c r="D3659" s="12" t="n">
        <x:v>0</x:v>
      </x:c>
      <x:c r="E3659" s="12" t="n">
        <x:v>0.449</x:v>
      </x:c>
      <x:c r="F3659" s="12" t="n">
        <x:v>0.44875000000000004</x:v>
      </x:c>
      <x:c r="G3659" s="12" t="n">
        <x:v>0</x:v>
      </x:c>
      <x:c r="H3659" s="1" t="n">
        <x:f>'Historical prices'!E3659</x:f>
        <x:v>1.05</x:v>
      </x:c>
      <x:c r="I3659" s="6" t="n">
        <x:f>'Historical prices'!D3659</x:f>
        <x:v>0.3328</x:v>
      </x:c>
      <x:c r="J3659" s="13" t="n">
        <x:f>D3659*I3659*H3659</x:f>
        <x:v>0</x:v>
      </x:c>
      <x:c r="K3659" s="13" t="n">
        <x:f>E3659*I3659*H3659</x:f>
        <x:v>0.15689856000000002</x:v>
      </x:c>
      <x:c r="L3659" s="1" t="str">
        <x:f>TEXT(A3659,"mmm yyyy")</x:f>
        <x:v>Jul 2026</x:v>
      </x:c>
    </x:row>
    <x:row r="3660" ht="21" customHeight="1">
      <x:c r="A3660" s="10" t="n">
        <x:v>46224</x:v>
      </x:c>
      <x:c r="B3660" s="1" t="n">
        <x:v>18</x:v>
      </x:c>
      <x:c r="C3660" s="1" t="n">
        <x:v>6</x:v>
      </x:c>
      <x:c r="D3660" s="12" t="n">
        <x:v>0</x:v>
      </x:c>
      <x:c r="E3660" s="12" t="n">
        <x:v>1.0068333333333332</x:v>
      </x:c>
      <x:c r="F3660" s="12" t="n">
        <x:v>1.0066666666666666</x:v>
      </x:c>
      <x:c r="G3660" s="12" t="n">
        <x:v>0</x:v>
      </x:c>
      <x:c r="H3660" s="1" t="n">
        <x:f>'Historical prices'!E3660</x:f>
        <x:v>1.05</x:v>
      </x:c>
      <x:c r="I3660" s="6" t="n">
        <x:f>'Historical prices'!D3660</x:f>
        <x:v>0.3639</x:v>
      </x:c>
      <x:c r="J3660" s="13" t="n">
        <x:f>D3660*I3660*H3660</x:f>
        <x:v>0</x:v>
      </x:c>
      <x:c r="K3660" s="13" t="n">
        <x:f>E3660*I3660*H3660</x:f>
        <x:v>0.3847059825</x:v>
      </x:c>
      <x:c r="L3660" s="1" t="str">
        <x:f>TEXT(A3660,"mmm yyyy")</x:f>
        <x:v>Jul 2026</x:v>
      </x:c>
    </x:row>
    <x:row r="3661" ht="21" customHeight="1">
      <x:c r="A3661" s="10" t="n">
        <x:v>46224</x:v>
      </x:c>
      <x:c r="B3661" s="1" t="n">
        <x:v>18.5</x:v>
      </x:c>
      <x:c r="C3661" s="1" t="n">
        <x:v>6</x:v>
      </x:c>
      <x:c r="D3661" s="12" t="n">
        <x:v>0</x:v>
      </x:c>
      <x:c r="E3661" s="12" t="n">
        <x:v>0.8379166666666666</x:v>
      </x:c>
      <x:c r="F3661" s="12" t="n">
        <x:v>0.8376666666666667</x:v>
      </x:c>
      <x:c r="G3661" s="12" t="n">
        <x:v>0</x:v>
      </x:c>
      <x:c r="H3661" s="1" t="n">
        <x:f>'Historical prices'!E3661</x:f>
        <x:v>1.05</x:v>
      </x:c>
      <x:c r="I3661" s="6" t="n">
        <x:f>'Historical prices'!D3661</x:f>
        <x:v>0.3768</x:v>
      </x:c>
      <x:c r="J3661" s="13" t="n">
        <x:f>D3661*I3661*H3661</x:f>
        <x:v>0</x:v>
      </x:c>
      <x:c r="K3661" s="13" t="n">
        <x:f>E3661*I3661*H3661</x:f>
        <x:v>0.33151335000000004</x:v>
      </x:c>
      <x:c r="L3661" s="1" t="str">
        <x:f>TEXT(A3661,"mmm yyyy")</x:f>
        <x:v>Jul 2026</x:v>
      </x:c>
    </x:row>
    <x:row r="3662" ht="21" customHeight="1">
      <x:c r="A3662" s="10" t="n">
        <x:v>46224</x:v>
      </x:c>
      <x:c r="B3662" s="1" t="n">
        <x:v>19</x:v>
      </x:c>
      <x:c r="C3662" s="1" t="n">
        <x:v>6</x:v>
      </x:c>
      <x:c r="D3662" s="12" t="n">
        <x:v>0</x:v>
      </x:c>
      <x:c r="E3662" s="12" t="n">
        <x:v>0.7777499999999999</x:v>
      </x:c>
      <x:c r="F3662" s="12" t="n">
        <x:v>0.7774166666666666</x:v>
      </x:c>
      <x:c r="G3662" s="12" t="n">
        <x:v>0</x:v>
      </x:c>
      <x:c r="H3662" s="1" t="n">
        <x:f>'Historical prices'!E3662</x:f>
        <x:v>1.05</x:v>
      </x:c>
      <x:c r="I3662" s="6" t="n">
        <x:f>'Historical prices'!D3662</x:f>
        <x:v>0.26940000000000003</x:v>
      </x:c>
      <x:c r="J3662" s="13" t="n">
        <x:f>D3662*I3662*H3662</x:f>
        <x:v>0</x:v>
      </x:c>
      <x:c r="K3662" s="13" t="n">
        <x:f>E3662*I3662*H3662</x:f>
        <x:v>0.22000214250000003</x:v>
      </x:c>
      <x:c r="L3662" s="1" t="str">
        <x:f>TEXT(A3662,"mmm yyyy")</x:f>
        <x:v>Jul 2026</x:v>
      </x:c>
    </x:row>
    <x:row r="3663" ht="21" customHeight="1">
      <x:c r="A3663" s="10" t="n">
        <x:v>46224</x:v>
      </x:c>
      <x:c r="B3663" s="1" t="n">
        <x:v>19.5</x:v>
      </x:c>
      <x:c r="C3663" s="1" t="n">
        <x:v>6</x:v>
      </x:c>
      <x:c r="D3663" s="12" t="n">
        <x:v>0</x:v>
      </x:c>
      <x:c r="E3663" s="12" t="n">
        <x:v>0.6418333333333334</x:v>
      </x:c>
      <x:c r="F3663" s="12" t="n">
        <x:v>0.6415833333333334</x:v>
      </x:c>
      <x:c r="G3663" s="12" t="n">
        <x:v>0</x:v>
      </x:c>
      <x:c r="H3663" s="1" t="n">
        <x:f>'Historical prices'!E3663</x:f>
        <x:v>1.05</x:v>
      </x:c>
      <x:c r="I3663" s="6" t="n">
        <x:f>'Historical prices'!D3663</x:f>
        <x:v>0.2686</x:v>
      </x:c>
      <x:c r="J3663" s="13" t="n">
        <x:f>D3663*I3663*H3663</x:f>
        <x:v>0</x:v>
      </x:c>
      <x:c r="K3663" s="13" t="n">
        <x:f>E3663*I3663*H3663</x:f>
        <x:v>0.18101625500000001</x:v>
      </x:c>
      <x:c r="L3663" s="1" t="str">
        <x:f>TEXT(A3663,"mmm yyyy")</x:f>
        <x:v>Jul 2026</x:v>
      </x:c>
    </x:row>
    <x:row r="3664" ht="21" customHeight="1">
      <x:c r="A3664" s="10" t="n">
        <x:v>46224</x:v>
      </x:c>
      <x:c r="B3664" s="1" t="n">
        <x:v>20</x:v>
      </x:c>
      <x:c r="C3664" s="1" t="n">
        <x:v>6</x:v>
      </x:c>
      <x:c r="D3664" s="12" t="n">
        <x:v>0</x:v>
      </x:c>
      <x:c r="E3664" s="12" t="n">
        <x:v>0.7516666666666666</x:v>
      </x:c>
      <x:c r="F3664" s="12" t="n">
        <x:v>0.7515</x:v>
      </x:c>
      <x:c r="G3664" s="12" t="n">
        <x:v>0</x:v>
      </x:c>
      <x:c r="H3664" s="1" t="n">
        <x:f>'Historical prices'!E3664</x:f>
        <x:v>1.05</x:v>
      </x:c>
      <x:c r="I3664" s="6" t="n">
        <x:f>'Historical prices'!D3664</x:f>
        <x:v>0.2648</x:v>
      </x:c>
      <x:c r="J3664" s="13" t="n">
        <x:f>D3664*I3664*H3664</x:f>
        <x:v>0</x:v>
      </x:c>
      <x:c r="K3664" s="13" t="n">
        <x:f>E3664*I3664*H3664</x:f>
        <x:v>0.20899339999999997</x:v>
      </x:c>
      <x:c r="L3664" s="1" t="str">
        <x:f>TEXT(A3664,"mmm yyyy")</x:f>
        <x:v>Jul 2026</x:v>
      </x:c>
    </x:row>
    <x:row r="3665" ht="21" customHeight="1">
      <x:c r="A3665" s="10" t="n">
        <x:v>46224</x:v>
      </x:c>
      <x:c r="B3665" s="1" t="n">
        <x:v>20.5</x:v>
      </x:c>
      <x:c r="C3665" s="1" t="n">
        <x:v>6</x:v>
      </x:c>
      <x:c r="D3665" s="12" t="n">
        <x:v>0</x:v>
      </x:c>
      <x:c r="E3665" s="12" t="n">
        <x:v>0.5776666666666667</x:v>
      </x:c>
      <x:c r="F3665" s="12" t="n">
        <x:v>0.5775</x:v>
      </x:c>
      <x:c r="G3665" s="12" t="n">
        <x:v>0</x:v>
      </x:c>
      <x:c r="H3665" s="1" t="n">
        <x:f>'Historical prices'!E3665</x:f>
        <x:v>1.05</x:v>
      </x:c>
      <x:c r="I3665" s="6" t="n">
        <x:f>'Historical prices'!D3665</x:f>
        <x:v>0.264</x:v>
      </x:c>
      <x:c r="J3665" s="13" t="n">
        <x:f>D3665*I3665*H3665</x:f>
        <x:v>0</x:v>
      </x:c>
      <x:c r="K3665" s="13" t="n">
        <x:f>E3665*I3665*H3665</x:f>
        <x:v>0.1601292</x:v>
      </x:c>
      <x:c r="L3665" s="1" t="str">
        <x:f>TEXT(A3665,"mmm yyyy")</x:f>
        <x:v>Jul 2026</x:v>
      </x:c>
    </x:row>
    <x:row r="3666" ht="21" customHeight="1">
      <x:c r="A3666" s="10" t="n">
        <x:v>46224</x:v>
      </x:c>
      <x:c r="B3666" s="1" t="n">
        <x:v>21</x:v>
      </x:c>
      <x:c r="C3666" s="1" t="n">
        <x:v>6</x:v>
      </x:c>
      <x:c r="D3666" s="12" t="n">
        <x:v>0</x:v>
      </x:c>
      <x:c r="E3666" s="12" t="n">
        <x:v>0.5635833333333333</x:v>
      </x:c>
      <x:c r="F3666" s="12" t="n">
        <x:v>0.5635</x:v>
      </x:c>
      <x:c r="G3666" s="12" t="n">
        <x:v>0</x:v>
      </x:c>
      <x:c r="H3666" s="1" t="n">
        <x:f>'Historical prices'!E3666</x:f>
        <x:v>1.05</x:v>
      </x:c>
      <x:c r="I3666" s="6" t="n">
        <x:f>'Historical prices'!D3666</x:f>
        <x:v>0.2606</x:v>
      </x:c>
      <x:c r="J3666" s="13" t="n">
        <x:f>D3666*I3666*H3666</x:f>
        <x:v>0</x:v>
      </x:c>
      <x:c r="K3666" s="13" t="n">
        <x:f>E3666*I3666*H3666</x:f>
        <x:v>0.15421330749999998</x:v>
      </x:c>
      <x:c r="L3666" s="1" t="str">
        <x:f>TEXT(A3666,"mmm yyyy")</x:f>
        <x:v>Jul 2026</x:v>
      </x:c>
    </x:row>
    <x:row r="3667" ht="21" customHeight="1">
      <x:c r="A3667" s="10" t="n">
        <x:v>46224</x:v>
      </x:c>
      <x:c r="B3667" s="1" t="n">
        <x:v>21.5</x:v>
      </x:c>
      <x:c r="C3667" s="1" t="n">
        <x:v>6</x:v>
      </x:c>
      <x:c r="D3667" s="12" t="n">
        <x:v>0</x:v>
      </x:c>
      <x:c r="E3667" s="12" t="n">
        <x:v>0.7470833333333333</x:v>
      </x:c>
      <x:c r="F3667" s="12" t="n">
        <x:v>0.7469166666666667</x:v>
      </x:c>
      <x:c r="G3667" s="12" t="n">
        <x:v>0</x:v>
      </x:c>
      <x:c r="H3667" s="1" t="n">
        <x:f>'Historical prices'!E3667</x:f>
        <x:v>1.05</x:v>
      </x:c>
      <x:c r="I3667" s="6" t="n">
        <x:f>'Historical prices'!D3667</x:f>
        <x:v>0.2583</x:v>
      </x:c>
      <x:c r="J3667" s="13" t="n">
        <x:f>D3667*I3667*H3667</x:f>
        <x:v>0</x:v>
      </x:c>
      <x:c r="K3667" s="13" t="n">
        <x:f>E3667*I3667*H3667</x:f>
        <x:v>0.20262020625</x:v>
      </x:c>
      <x:c r="L3667" s="1" t="str">
        <x:f>TEXT(A3667,"mmm yyyy")</x:f>
        <x:v>Jul 2026</x:v>
      </x:c>
    </x:row>
    <x:row r="3668" ht="21" customHeight="1">
      <x:c r="A3668" s="10" t="n">
        <x:v>46224</x:v>
      </x:c>
      <x:c r="B3668" s="1" t="n">
        <x:v>22</x:v>
      </x:c>
      <x:c r="C3668" s="1" t="n">
        <x:v>6</x:v>
      </x:c>
      <x:c r="D3668" s="12" t="n">
        <x:v>0</x:v>
      </x:c>
      <x:c r="E3668" s="12" t="n">
        <x:v>0.65825</x:v>
      </x:c>
      <x:c r="F3668" s="12" t="n">
        <x:v>0.6581666666666666</x:v>
      </x:c>
      <x:c r="G3668" s="12" t="n">
        <x:v>0</x:v>
      </x:c>
      <x:c r="H3668" s="1" t="n">
        <x:f>'Historical prices'!E3668</x:f>
        <x:v>1.05</x:v>
      </x:c>
      <x:c r="I3668" s="6" t="n">
        <x:f>'Historical prices'!D3668</x:f>
        <x:v>0.2588</x:v>
      </x:c>
      <x:c r="J3668" s="13" t="n">
        <x:f>D3668*I3668*H3668</x:f>
        <x:v>0</x:v>
      </x:c>
      <x:c r="K3668" s="13" t="n">
        <x:f>E3668*I3668*H3668</x:f>
        <x:v>0.178872855</x:v>
      </x:c>
      <x:c r="L3668" s="1" t="str">
        <x:f>TEXT(A3668,"mmm yyyy")</x:f>
        <x:v>Jul 2026</x:v>
      </x:c>
    </x:row>
    <x:row r="3669" ht="21" customHeight="1">
      <x:c r="A3669" s="10" t="n">
        <x:v>46224</x:v>
      </x:c>
      <x:c r="B3669" s="1" t="n">
        <x:v>22.5</x:v>
      </x:c>
      <x:c r="C3669" s="1" t="n">
        <x:v>6</x:v>
      </x:c>
      <x:c r="D3669" s="12" t="n">
        <x:v>0.14491666666666667</x:v>
      </x:c>
      <x:c r="E3669" s="12" t="n">
        <x:v>0.201</x:v>
      </x:c>
      <x:c r="F3669" s="12" t="n">
        <x:v>0.046</x:v>
      </x:c>
      <x:c r="G3669" s="12" t="n">
        <x:v>0</x:v>
      </x:c>
      <x:c r="H3669" s="1" t="n">
        <x:f>'Historical prices'!E3669</x:f>
        <x:v>1.05</x:v>
      </x:c>
      <x:c r="I3669" s="6" t="n">
        <x:f>'Historical prices'!D3669</x:f>
        <x:v>0.2249</x:v>
      </x:c>
      <x:c r="J3669" s="13" t="n">
        <x:f>D3669*I3669*H3669</x:f>
        <x:v>0.03422134625</x:v>
      </x:c>
      <x:c r="K3669" s="13" t="n">
        <x:f>E3669*I3669*H3669</x:f>
        <x:v>0.047465145</x:v>
      </x:c>
      <x:c r="L3669" s="1" t="str">
        <x:f>TEXT(A3669,"mmm yyyy")</x:f>
        <x:v>Jul 2026</x:v>
      </x:c>
    </x:row>
    <x:row r="3670" ht="21" customHeight="1">
      <x:c r="A3670" s="10" t="n">
        <x:v>46224</x:v>
      </x:c>
      <x:c r="B3670" s="1" t="n">
        <x:v>23</x:v>
      </x:c>
      <x:c r="C3670" s="1" t="n">
        <x:v>6</x:v>
      </x:c>
      <x:c r="D3670" s="12" t="n">
        <x:v>0.21091666666666664</x:v>
      </x:c>
      <x:c r="E3670" s="12" t="n">
        <x:v>0.21991666666666665</x:v>
      </x:c>
      <x:c r="F3670" s="12" t="n">
        <x:v>0</x:v>
      </x:c>
      <x:c r="G3670" s="12" t="n">
        <x:v>0</x:v>
      </x:c>
      <x:c r="H3670" s="1" t="n">
        <x:f>'Historical prices'!E3670</x:f>
        <x:v>1.05</x:v>
      </x:c>
      <x:c r="I3670" s="6" t="n">
        <x:f>'Historical prices'!D3670</x:f>
        <x:v>0.248</x:v>
      </x:c>
      <x:c r="J3670" s="13" t="n">
        <x:f>D3670*I3670*H3670</x:f>
        <x:v>0.05492269999999999</x:v>
      </x:c>
      <x:c r="K3670" s="13" t="n">
        <x:f>E3670*I3670*H3670</x:f>
        <x:v>0.0572663</x:v>
      </x:c>
      <x:c r="L3670" s="1" t="str">
        <x:f>TEXT(A3670,"mmm yyyy")</x:f>
        <x:v>Jul 2026</x:v>
      </x:c>
    </x:row>
    <x:row r="3671" ht="21" customHeight="1">
      <x:c r="A3671" s="10" t="n">
        <x:v>46224</x:v>
      </x:c>
      <x:c r="B3671" s="1" t="n">
        <x:v>23.5</x:v>
      </x:c>
      <x:c r="C3671" s="1" t="n">
        <x:v>6</x:v>
      </x:c>
      <x:c r="D3671" s="12" t="n">
        <x:v>0.2809166666666667</x:v>
      </x:c>
      <x:c r="E3671" s="12" t="n">
        <x:v>0.2919166666666667</x:v>
      </x:c>
      <x:c r="F3671" s="12" t="n">
        <x:v>0</x:v>
      </x:c>
      <x:c r="G3671" s="12" t="n">
        <x:v>0</x:v>
      </x:c>
      <x:c r="H3671" s="1" t="n">
        <x:f>'Historical prices'!E3671</x:f>
        <x:v>1.05</x:v>
      </x:c>
      <x:c r="I3671" s="6" t="n">
        <x:f>'Historical prices'!D3671</x:f>
        <x:v>0.2325</x:v>
      </x:c>
      <x:c r="J3671" s="13" t="n">
        <x:f>D3671*I3671*H3671</x:f>
        <x:v>0.06857878125000001</x:v>
      </x:c>
      <x:c r="K3671" s="13" t="n">
        <x:f>E3671*I3671*H3671</x:f>
        <x:v>0.07126415625000002</x:v>
      </x:c>
      <x:c r="L3671" s="1" t="str">
        <x:f>TEXT(A3671,"mmm yyyy")</x:f>
        <x:v>Jul 2026</x:v>
      </x:c>
    </x:row>
    <x:row r="3672" ht="21" customHeight="1">
      <x:c r="A3672" s="10" t="n">
        <x:v>46225</x:v>
      </x:c>
      <x:c r="B3672" s="1" t="n">
        <x:v>0</x:v>
      </x:c>
      <x:c r="C3672" s="1" t="n">
        <x:v>6</x:v>
      </x:c>
      <x:c r="D3672" s="12" t="n">
        <x:v>0.1625</x:v>
      </x:c>
      <x:c r="E3672" s="12" t="n">
        <x:v>0.17350000000000002</x:v>
      </x:c>
      <x:c r="F3672" s="12" t="n">
        <x:v>0</x:v>
      </x:c>
      <x:c r="G3672" s="12" t="n">
        <x:v>0</x:v>
      </x:c>
      <x:c r="H3672" s="1" t="n">
        <x:f>'Historical prices'!E3672</x:f>
        <x:v>1.05</x:v>
      </x:c>
      <x:c r="I3672" s="6" t="n">
        <x:f>'Historical prices'!D3672</x:f>
        <x:v>0.2351</x:v>
      </x:c>
      <x:c r="J3672" s="13" t="n">
        <x:f>D3672*I3672*H3672</x:f>
        <x:v>0.0401139375</x:v>
      </x:c>
      <x:c r="K3672" s="13" t="n">
        <x:f>E3672*I3672*H3672</x:f>
        <x:v>0.042829342500000006</x:v>
      </x:c>
      <x:c r="L3672" s="1" t="str">
        <x:f>TEXT(A3672,"mmm yyyy")</x:f>
        <x:v>Jul 2026</x:v>
      </x:c>
    </x:row>
    <x:row r="3673" ht="21" customHeight="1">
      <x:c r="A3673" s="10" t="n">
        <x:v>46225</x:v>
      </x:c>
      <x:c r="B3673" s="1" t="n">
        <x:v>0.5</x:v>
      </x:c>
      <x:c r="C3673" s="1" t="n">
        <x:v>6</x:v>
      </x:c>
      <x:c r="D3673" s="12" t="n">
        <x:v>0.1771666666666667</x:v>
      </x:c>
      <x:c r="E3673" s="12" t="n">
        <x:v>0.18716666666666665</x:v>
      </x:c>
      <x:c r="F3673" s="12" t="n">
        <x:v>0</x:v>
      </x:c>
      <x:c r="G3673" s="12" t="n">
        <x:v>0</x:v>
      </x:c>
      <x:c r="H3673" s="1" t="n">
        <x:f>'Historical prices'!E3673</x:f>
        <x:v>1.05</x:v>
      </x:c>
      <x:c r="I3673" s="6" t="n">
        <x:f>'Historical prices'!D3673</x:f>
        <x:v>0.2336</x:v>
      </x:c>
      <x:c r="J3673" s="13" t="n">
        <x:f>D3673*I3673*H3673</x:f>
        <x:v>0.043455440000000005</x:v>
      </x:c>
      <x:c r="K3673" s="13" t="n">
        <x:f>E3673*I3673*H3673</x:f>
        <x:v>0.045908239999999996</x:v>
      </x:c>
      <x:c r="L3673" s="1" t="str">
        <x:f>TEXT(A3673,"mmm yyyy")</x:f>
        <x:v>Jul 2026</x:v>
      </x:c>
    </x:row>
    <x:row r="3674" ht="21" customHeight="1">
      <x:c r="A3674" s="10" t="n">
        <x:v>46225</x:v>
      </x:c>
      <x:c r="B3674" s="1" t="n">
        <x:v>1</x:v>
      </x:c>
      <x:c r="C3674" s="1" t="n">
        <x:v>6</x:v>
      </x:c>
      <x:c r="D3674" s="12" t="n">
        <x:v>0.2593333333333333</x:v>
      </x:c>
      <x:c r="E3674" s="12" t="n">
        <x:v>0.2703333333333333</x:v>
      </x:c>
      <x:c r="F3674" s="12" t="n">
        <x:v>0</x:v>
      </x:c>
      <x:c r="G3674" s="12" t="n">
        <x:v>0</x:v>
      </x:c>
      <x:c r="H3674" s="1" t="n">
        <x:f>'Historical prices'!E3674</x:f>
        <x:v>1.05</x:v>
      </x:c>
      <x:c r="I3674" s="6" t="n">
        <x:f>'Historical prices'!D3674</x:f>
        <x:v>0.2232</x:v>
      </x:c>
      <x:c r="J3674" s="13" t="n">
        <x:f>D3674*I3674*H3674</x:f>
        <x:v>0.060777359999999996</x:v>
      </x:c>
      <x:c r="K3674" s="13" t="n">
        <x:f>E3674*I3674*H3674</x:f>
        <x:v>0.06335532</x:v>
      </x:c>
      <x:c r="L3674" s="1" t="str">
        <x:f>TEXT(A3674,"mmm yyyy")</x:f>
        <x:v>Jul 2026</x:v>
      </x:c>
    </x:row>
    <x:row r="3675" ht="21" customHeight="1">
      <x:c r="A3675" s="10" t="n">
        <x:v>46225</x:v>
      </x:c>
      <x:c r="B3675" s="1" t="n">
        <x:v>1.5</x:v>
      </x:c>
      <x:c r="C3675" s="1" t="n">
        <x:v>6</x:v>
      </x:c>
      <x:c r="D3675" s="12" t="n">
        <x:v>0.18525000000000003</x:v>
      </x:c>
      <x:c r="E3675" s="12" t="n">
        <x:v>0.19525000000000003</x:v>
      </x:c>
      <x:c r="F3675" s="12" t="n">
        <x:v>0</x:v>
      </x:c>
      <x:c r="G3675" s="12" t="n">
        <x:v>0</x:v>
      </x:c>
      <x:c r="H3675" s="1" t="n">
        <x:f>'Historical prices'!E3675</x:f>
        <x:v>1.05</x:v>
      </x:c>
      <x:c r="I3675" s="6" t="n">
        <x:f>'Historical prices'!D3675</x:f>
        <x:v>0.2274</x:v>
      </x:c>
      <x:c r="J3675" s="13" t="n">
        <x:f>D3675*I3675*H3675</x:f>
        <x:v>0.04423214250000001</x:v>
      </x:c>
      <x:c r="K3675" s="13" t="n">
        <x:f>E3675*I3675*H3675</x:f>
        <x:v>0.04661984250000001</x:v>
      </x:c>
      <x:c r="L3675" s="1" t="str">
        <x:f>TEXT(A3675,"mmm yyyy")</x:f>
        <x:v>Jul 2026</x:v>
      </x:c>
    </x:row>
    <x:row r="3676" ht="21" customHeight="1">
      <x:c r="A3676" s="10" t="n">
        <x:v>46225</x:v>
      </x:c>
      <x:c r="B3676" s="1" t="n">
        <x:v>2</x:v>
      </x:c>
      <x:c r="C3676" s="1" t="n">
        <x:v>6</x:v>
      </x:c>
      <x:c r="D3676" s="12" t="n">
        <x:v>0.14483333333333331</x:v>
      </x:c>
      <x:c r="E3676" s="12" t="n">
        <x:v>0.15483333333333332</x:v>
      </x:c>
      <x:c r="F3676" s="12" t="n">
        <x:v>0</x:v>
      </x:c>
      <x:c r="G3676" s="12" t="n">
        <x:v>0</x:v>
      </x:c>
      <x:c r="H3676" s="1" t="n">
        <x:f>'Historical prices'!E3676</x:f>
        <x:v>1.05</x:v>
      </x:c>
      <x:c r="I3676" s="6" t="n">
        <x:f>'Historical prices'!D3676</x:f>
        <x:v>0.214</x:v>
      </x:c>
      <x:c r="J3676" s="13" t="n">
        <x:f>D3676*I3676*H3676</x:f>
        <x:v>0.03254405</x:v>
      </x:c>
      <x:c r="K3676" s="13" t="n">
        <x:f>E3676*I3676*H3676</x:f>
        <x:v>0.03479105</x:v>
      </x:c>
      <x:c r="L3676" s="1" t="str">
        <x:f>TEXT(A3676,"mmm yyyy")</x:f>
        <x:v>Jul 2026</x:v>
      </x:c>
    </x:row>
    <x:row r="3677" ht="21" customHeight="1">
      <x:c r="A3677" s="10" t="n">
        <x:v>46225</x:v>
      </x:c>
      <x:c r="B3677" s="1" t="n">
        <x:v>2.5</x:v>
      </x:c>
      <x:c r="C3677" s="1" t="n">
        <x:v>6</x:v>
      </x:c>
      <x:c r="D3677" s="12" t="n">
        <x:v>0.18833333333333335</x:v>
      </x:c>
      <x:c r="E3677" s="12" t="n">
        <x:v>0.19833333333333336</x:v>
      </x:c>
      <x:c r="F3677" s="12" t="n">
        <x:v>0</x:v>
      </x:c>
      <x:c r="G3677" s="12" t="n">
        <x:v>0</x:v>
      </x:c>
      <x:c r="H3677" s="1" t="n">
        <x:f>'Historical prices'!E3677</x:f>
        <x:v>1.05</x:v>
      </x:c>
      <x:c r="I3677" s="6" t="n">
        <x:f>'Historical prices'!D3677</x:f>
        <x:v>0.20920000000000002</x:v>
      </x:c>
      <x:c r="J3677" s="13" t="n">
        <x:f>D3677*I3677*H3677</x:f>
        <x:v>0.04136930000000001</x:v>
      </x:c>
      <x:c r="K3677" s="13" t="n">
        <x:f>E3677*I3677*H3677</x:f>
        <x:v>0.04356590000000001</x:v>
      </x:c>
      <x:c r="L3677" s="1" t="str">
        <x:f>TEXT(A3677,"mmm yyyy")</x:f>
        <x:v>Jul 2026</x:v>
      </x:c>
    </x:row>
    <x:row r="3678" ht="21" customHeight="1">
      <x:c r="A3678" s="10" t="n">
        <x:v>46225</x:v>
      </x:c>
      <x:c r="B3678" s="1" t="n">
        <x:v>3</x:v>
      </x:c>
      <x:c r="C3678" s="1" t="n">
        <x:v>6</x:v>
      </x:c>
      <x:c r="D3678" s="12" t="n">
        <x:v>0.22216666666666668</x:v>
      </x:c>
      <x:c r="E3678" s="12" t="n">
        <x:v>0.2331666666666667</x:v>
      </x:c>
      <x:c r="F3678" s="12" t="n">
        <x:v>0</x:v>
      </x:c>
      <x:c r="G3678" s="12" t="n">
        <x:v>0</x:v>
      </x:c>
      <x:c r="H3678" s="1" t="n">
        <x:f>'Historical prices'!E3678</x:f>
        <x:v>1.05</x:v>
      </x:c>
      <x:c r="I3678" s="6" t="n">
        <x:f>'Historical prices'!D3678</x:f>
        <x:v>0.2018</x:v>
      </x:c>
      <x:c r="J3678" s="13" t="n">
        <x:f>D3678*I3678*H3678</x:f>
        <x:v>0.04707489500000001</x:v>
      </x:c>
      <x:c r="K3678" s="13" t="n">
        <x:f>E3678*I3678*H3678</x:f>
        <x:v>0.04940568500000001</x:v>
      </x:c>
      <x:c r="L3678" s="1" t="str">
        <x:f>TEXT(A3678,"mmm yyyy")</x:f>
        <x:v>Jul 2026</x:v>
      </x:c>
    </x:row>
    <x:row r="3679" ht="21" customHeight="1">
      <x:c r="A3679" s="10" t="n">
        <x:v>46225</x:v>
      </x:c>
      <x:c r="B3679" s="1" t="n">
        <x:v>3.5</x:v>
      </x:c>
      <x:c r="C3679" s="1" t="n">
        <x:v>6</x:v>
      </x:c>
      <x:c r="D3679" s="12" t="n">
        <x:v>0.16791666666666666</x:v>
      </x:c>
      <x:c r="E3679" s="12" t="n">
        <x:v>0.17791666666666667</x:v>
      </x:c>
      <x:c r="F3679" s="12" t="n">
        <x:v>0</x:v>
      </x:c>
      <x:c r="G3679" s="12" t="n">
        <x:v>0</x:v>
      </x:c>
      <x:c r="H3679" s="1" t="n">
        <x:f>'Historical prices'!E3679</x:f>
        <x:v>1.05</x:v>
      </x:c>
      <x:c r="I3679" s="6" t="n">
        <x:f>'Historical prices'!D3679</x:f>
        <x:v>0.2018</x:v>
      </x:c>
      <x:c r="J3679" s="13" t="n">
        <x:f>D3679*I3679*H3679</x:f>
        <x:v>0.0355798625</x:v>
      </x:c>
      <x:c r="K3679" s="13" t="n">
        <x:f>E3679*I3679*H3679</x:f>
        <x:v>0.0376987625</x:v>
      </x:c>
      <x:c r="L3679" s="1" t="str">
        <x:f>TEXT(A3679,"mmm yyyy")</x:f>
        <x:v>Jul 2026</x:v>
      </x:c>
    </x:row>
    <x:row r="3680" ht="21" customHeight="1">
      <x:c r="A3680" s="10" t="n">
        <x:v>46225</x:v>
      </x:c>
      <x:c r="B3680" s="1" t="n">
        <x:v>4</x:v>
      </x:c>
      <x:c r="C3680" s="1" t="n">
        <x:v>6</x:v>
      </x:c>
      <x:c r="D3680" s="12" t="n">
        <x:v>0.2818333333333334</x:v>
      </x:c>
      <x:c r="E3680" s="12" t="n">
        <x:v>0.2928333333333333</x:v>
      </x:c>
      <x:c r="F3680" s="12" t="n">
        <x:v>0</x:v>
      </x:c>
      <x:c r="G3680" s="12" t="n">
        <x:v>0</x:v>
      </x:c>
      <x:c r="H3680" s="1" t="n">
        <x:f>'Historical prices'!E3680</x:f>
        <x:v>1.05</x:v>
      </x:c>
      <x:c r="I3680" s="6" t="n">
        <x:f>'Historical prices'!D3680</x:f>
        <x:v>0.20929999999999999</x:v>
      </x:c>
      <x:c r="J3680" s="13" t="n">
        <x:f>D3680*I3680*H3680</x:f>
        <x:v>0.061937102500000014</x:v>
      </x:c>
      <x:c r="K3680" s="13" t="n">
        <x:f>E3680*I3680*H3680</x:f>
        <x:v>0.06435451749999999</x:v>
      </x:c>
      <x:c r="L3680" s="1" t="str">
        <x:f>TEXT(A3680,"mmm yyyy")</x:f>
        <x:v>Jul 2026</x:v>
      </x:c>
    </x:row>
    <x:row r="3681" ht="21" customHeight="1">
      <x:c r="A3681" s="10" t="n">
        <x:v>46225</x:v>
      </x:c>
      <x:c r="B3681" s="1" t="n">
        <x:v>4.5</x:v>
      </x:c>
      <x:c r="C3681" s="1" t="n">
        <x:v>6</x:v>
      </x:c>
      <x:c r="D3681" s="12" t="n">
        <x:v>0.1995</x:v>
      </x:c>
      <x:c r="E3681" s="12" t="n">
        <x:v>0.20850000000000002</x:v>
      </x:c>
      <x:c r="F3681" s="12" t="n">
        <x:v>0</x:v>
      </x:c>
      <x:c r="G3681" s="12" t="n">
        <x:v>0</x:v>
      </x:c>
      <x:c r="H3681" s="1" t="n">
        <x:f>'Historical prices'!E3681</x:f>
        <x:v>1.05</x:v>
      </x:c>
      <x:c r="I3681" s="6" t="n">
        <x:f>'Historical prices'!D3681</x:f>
        <x:v>0.2024</x:v>
      </x:c>
      <x:c r="J3681" s="13" t="n">
        <x:f>D3681*I3681*H3681</x:f>
        <x:v>0.04239774</x:v>
      </x:c>
      <x:c r="K3681" s="13" t="n">
        <x:f>E3681*I3681*H3681</x:f>
        <x:v>0.04431042000000001</x:v>
      </x:c>
      <x:c r="L3681" s="1" t="str">
        <x:f>TEXT(A3681,"mmm yyyy")</x:f>
        <x:v>Jul 2026</x:v>
      </x:c>
    </x:row>
    <x:row r="3682" ht="21" customHeight="1">
      <x:c r="A3682" s="10" t="n">
        <x:v>46225</x:v>
      </x:c>
      <x:c r="B3682" s="1" t="n">
        <x:v>5</x:v>
      </x:c>
      <x:c r="C3682" s="1" t="n">
        <x:v>6</x:v>
      </x:c>
      <x:c r="D3682" s="12" t="n">
        <x:v>0.24825000000000003</x:v>
      </x:c>
      <x:c r="E3682" s="12" t="n">
        <x:v>0.25925</x:v>
      </x:c>
      <x:c r="F3682" s="12" t="n">
        <x:v>0</x:v>
      </x:c>
      <x:c r="G3682" s="12" t="n">
        <x:v>0</x:v>
      </x:c>
      <x:c r="H3682" s="1" t="n">
        <x:f>'Historical prices'!E3682</x:f>
        <x:v>1.05</x:v>
      </x:c>
      <x:c r="I3682" s="6" t="n">
        <x:f>'Historical prices'!D3682</x:f>
        <x:v>0.2293</x:v>
      </x:c>
      <x:c r="J3682" s="13" t="n">
        <x:f>D3682*I3682*H3682</x:f>
        <x:v>0.05976991125000001</x:v>
      </x:c>
      <x:c r="K3682" s="13" t="n">
        <x:f>E3682*I3682*H3682</x:f>
        <x:v>0.06241832625</x:v>
      </x:c>
      <x:c r="L3682" s="1" t="str">
        <x:f>TEXT(A3682,"mmm yyyy")</x:f>
        <x:v>Jul 2026</x:v>
      </x:c>
    </x:row>
    <x:row r="3683" ht="21" customHeight="1">
      <x:c r="A3683" s="10" t="n">
        <x:v>46225</x:v>
      </x:c>
      <x:c r="B3683" s="1" t="n">
        <x:v>5.5</x:v>
      </x:c>
      <x:c r="C3683" s="1" t="n">
        <x:v>6</x:v>
      </x:c>
      <x:c r="D3683" s="12" t="n">
        <x:v>0.24858333333333338</x:v>
      </x:c>
      <x:c r="E3683" s="12" t="n">
        <x:v>0.25958333333333333</x:v>
      </x:c>
      <x:c r="F3683" s="12" t="n">
        <x:v>0</x:v>
      </x:c>
      <x:c r="G3683" s="12" t="n">
        <x:v>0</x:v>
      </x:c>
      <x:c r="H3683" s="1" t="n">
        <x:f>'Historical prices'!E3683</x:f>
        <x:v>1.05</x:v>
      </x:c>
      <x:c r="I3683" s="6" t="n">
        <x:f>'Historical prices'!D3683</x:f>
        <x:v>0.23329999999999998</x:v>
      </x:c>
      <x:c r="J3683" s="13" t="n">
        <x:f>D3683*I3683*H3683</x:f>
        <x:v>0.060894216250000015</x:v>
      </x:c>
      <x:c r="K3683" s="13" t="n">
        <x:f>E3683*I3683*H3683</x:f>
        <x:v>0.06358883124999999</x:v>
      </x:c>
      <x:c r="L3683" s="1" t="str">
        <x:f>TEXT(A3683,"mmm yyyy")</x:f>
        <x:v>Jul 2026</x:v>
      </x:c>
    </x:row>
    <x:row r="3684" ht="21" customHeight="1">
      <x:c r="A3684" s="10" t="n">
        <x:v>46225</x:v>
      </x:c>
      <x:c r="B3684" s="1" t="n">
        <x:v>6</x:v>
      </x:c>
      <x:c r="C3684" s="1" t="n">
        <x:v>6</x:v>
      </x:c>
      <x:c r="D3684" s="12" t="n">
        <x:v>0.2265</x:v>
      </x:c>
      <x:c r="E3684" s="12" t="n">
        <x:v>0.23650000000000002</x:v>
      </x:c>
      <x:c r="F3684" s="12" t="n">
        <x:v>0</x:v>
      </x:c>
      <x:c r="G3684" s="12" t="n">
        <x:v>0</x:v>
      </x:c>
      <x:c r="H3684" s="1" t="n">
        <x:f>'Historical prices'!E3684</x:f>
        <x:v>1.05</x:v>
      </x:c>
      <x:c r="I3684" s="6" t="n">
        <x:f>'Historical prices'!D3684</x:f>
        <x:v>0.2262</x:v>
      </x:c>
      <x:c r="J3684" s="13" t="n">
        <x:f>D3684*I3684*H3684</x:f>
        <x:v>0.053796015</x:v>
      </x:c>
      <x:c r="K3684" s="13" t="n">
        <x:f>E3684*I3684*H3684</x:f>
        <x:v>0.05617111500000001</x:v>
      </x:c>
      <x:c r="L3684" s="1" t="str">
        <x:f>TEXT(A3684,"mmm yyyy")</x:f>
        <x:v>Jul 2026</x:v>
      </x:c>
    </x:row>
    <x:row r="3685" ht="21" customHeight="1">
      <x:c r="A3685" s="10" t="n">
        <x:v>46225</x:v>
      </x:c>
      <x:c r="B3685" s="1" t="n">
        <x:v>6.5</x:v>
      </x:c>
      <x:c r="C3685" s="1" t="n">
        <x:v>6</x:v>
      </x:c>
      <x:c r="D3685" s="12" t="n">
        <x:v>0.30875</x:v>
      </x:c>
      <x:c r="E3685" s="12" t="n">
        <x:v>0.31875000000000003</x:v>
      </x:c>
      <x:c r="F3685" s="12" t="n">
        <x:v>0</x:v>
      </x:c>
      <x:c r="G3685" s="12" t="n">
        <x:v>0</x:v>
      </x:c>
      <x:c r="H3685" s="1" t="n">
        <x:f>'Historical prices'!E3685</x:f>
        <x:v>1.05</x:v>
      </x:c>
      <x:c r="I3685" s="6" t="n">
        <x:f>'Historical prices'!D3685</x:f>
        <x:v>0.24230000000000002</x:v>
      </x:c>
      <x:c r="J3685" s="13" t="n">
        <x:f>D3685*I3685*H3685</x:f>
        <x:v>0.07855063125</x:v>
      </x:c>
      <x:c r="K3685" s="13" t="n">
        <x:f>E3685*I3685*H3685</x:f>
        <x:v>0.08109478125000001</x:v>
      </x:c>
      <x:c r="L3685" s="1" t="str">
        <x:f>TEXT(A3685,"mmm yyyy")</x:f>
        <x:v>Jul 2026</x:v>
      </x:c>
    </x:row>
    <x:row r="3686" ht="21" customHeight="1">
      <x:c r="A3686" s="10" t="n">
        <x:v>46225</x:v>
      </x:c>
      <x:c r="B3686" s="1" t="n">
        <x:v>7</x:v>
      </x:c>
      <x:c r="C3686" s="1" t="n">
        <x:v>6</x:v>
      </x:c>
      <x:c r="D3686" s="12" t="n">
        <x:v>0.46191666666666664</x:v>
      </x:c>
      <x:c r="E3686" s="12" t="n">
        <x:v>0.47291666666666665</x:v>
      </x:c>
      <x:c r="F3686" s="12" t="n">
        <x:v>0</x:v>
      </x:c>
      <x:c r="G3686" s="12" t="n">
        <x:v>0</x:v>
      </x:c>
      <x:c r="H3686" s="1" t="n">
        <x:f>'Historical prices'!E3686</x:f>
        <x:v>1.05</x:v>
      </x:c>
      <x:c r="I3686" s="6" t="n">
        <x:f>'Historical prices'!D3686</x:f>
        <x:v>0.2271</x:v>
      </x:c>
      <x:c r="J3686" s="13" t="n">
        <x:f>D3686*I3686*H3686</x:f>
        <x:v>0.11014633874999999</x:v>
      </x:c>
      <x:c r="K3686" s="13" t="n">
        <x:f>E3686*I3686*H3686</x:f>
        <x:v>0.11276934375</x:v>
      </x:c>
      <x:c r="L3686" s="1" t="str">
        <x:f>TEXT(A3686,"mmm yyyy")</x:f>
        <x:v>Jul 2026</x:v>
      </x:c>
    </x:row>
    <x:row r="3687" ht="21" customHeight="1">
      <x:c r="A3687" s="10" t="n">
        <x:v>46225</x:v>
      </x:c>
      <x:c r="B3687" s="1" t="n">
        <x:v>7.5</x:v>
      </x:c>
      <x:c r="C3687" s="1" t="n">
        <x:v>6</x:v>
      </x:c>
      <x:c r="D3687" s="12" t="n">
        <x:v>0.4026666666666667</x:v>
      </x:c>
      <x:c r="E3687" s="12" t="n">
        <x:v>0.4126666666666667</x:v>
      </x:c>
      <x:c r="F3687" s="12" t="n">
        <x:v>0</x:v>
      </x:c>
      <x:c r="G3687" s="12" t="n">
        <x:v>0</x:v>
      </x:c>
      <x:c r="H3687" s="1" t="n">
        <x:f>'Historical prices'!E3687</x:f>
        <x:v>1.05</x:v>
      </x:c>
      <x:c r="I3687" s="6" t="n">
        <x:f>'Historical prices'!D3687</x:f>
        <x:v>0.23600000000000002</x:v>
      </x:c>
      <x:c r="J3687" s="13" t="n">
        <x:f>D3687*I3687*H3687</x:f>
        <x:v>0.09978080000000002</x:v>
      </x:c>
      <x:c r="K3687" s="13" t="n">
        <x:f>E3687*I3687*H3687</x:f>
        <x:v>0.10225880000000001</x:v>
      </x:c>
      <x:c r="L3687" s="1" t="str">
        <x:f>TEXT(A3687,"mmm yyyy")</x:f>
        <x:v>Jul 2026</x:v>
      </x:c>
    </x:row>
    <x:row r="3688" ht="21" customHeight="1">
      <x:c r="A3688" s="10" t="n">
        <x:v>46225</x:v>
      </x:c>
      <x:c r="B3688" s="1" t="n">
        <x:v>8</x:v>
      </x:c>
      <x:c r="C3688" s="1" t="n">
        <x:v>6</x:v>
      </x:c>
      <x:c r="D3688" s="12" t="n">
        <x:v>1.0825833333333332</x:v>
      </x:c>
      <x:c r="E3688" s="12" t="n">
        <x:v>1.0935833333333334</x:v>
      </x:c>
      <x:c r="F3688" s="12" t="n">
        <x:v>0</x:v>
      </x:c>
      <x:c r="G3688" s="12" t="n">
        <x:v>0</x:v>
      </x:c>
      <x:c r="H3688" s="1" t="n">
        <x:f>'Historical prices'!E3688</x:f>
        <x:v>1.05</x:v>
      </x:c>
      <x:c r="I3688" s="6" t="n">
        <x:f>'Historical prices'!D3688</x:f>
        <x:v>0.2394</x:v>
      </x:c>
      <x:c r="J3688" s="13" t="n">
        <x:f>D3688*I3688*H3688</x:f>
        <x:v>0.2721289725</x:v>
      </x:c>
      <x:c r="K3688" s="13" t="n">
        <x:f>E3688*I3688*H3688</x:f>
        <x:v>0.2748940425</x:v>
      </x:c>
      <x:c r="L3688" s="1" t="str">
        <x:f>TEXT(A3688,"mmm yyyy")</x:f>
        <x:v>Jul 2026</x:v>
      </x:c>
    </x:row>
    <x:row r="3689" ht="21" customHeight="1">
      <x:c r="A3689" s="10" t="n">
        <x:v>46225</x:v>
      </x:c>
      <x:c r="B3689" s="1" t="n">
        <x:v>8.5</x:v>
      </x:c>
      <x:c r="C3689" s="1" t="n">
        <x:v>6</x:v>
      </x:c>
      <x:c r="D3689" s="12" t="n">
        <x:v>0.5575833333333333</x:v>
      </x:c>
      <x:c r="E3689" s="12" t="n">
        <x:v>0.5675833333333333</x:v>
      </x:c>
      <x:c r="F3689" s="12" t="n">
        <x:v>0</x:v>
      </x:c>
      <x:c r="G3689" s="12" t="n">
        <x:v>0</x:v>
      </x:c>
      <x:c r="H3689" s="1" t="n">
        <x:f>'Historical prices'!E3689</x:f>
        <x:v>1.05</x:v>
      </x:c>
      <x:c r="I3689" s="6" t="n">
        <x:f>'Historical prices'!D3689</x:f>
        <x:v>0.2352</x:v>
      </x:c>
      <x:c r="J3689" s="13" t="n">
        <x:f>D3689*I3689*H3689</x:f>
        <x:v>0.13770078</x:v>
      </x:c>
      <x:c r="K3689" s="13" t="n">
        <x:f>E3689*I3689*H3689</x:f>
        <x:v>0.14017038</x:v>
      </x:c>
      <x:c r="L3689" s="1" t="str">
        <x:f>TEXT(A3689,"mmm yyyy")</x:f>
        <x:v>Jul 2026</x:v>
      </x:c>
    </x:row>
    <x:row r="3690" ht="21" customHeight="1">
      <x:c r="A3690" s="10" t="n">
        <x:v>46225</x:v>
      </x:c>
      <x:c r="B3690" s="1" t="n">
        <x:v>9</x:v>
      </x:c>
      <x:c r="C3690" s="1" t="n">
        <x:v>6</x:v>
      </x:c>
      <x:c r="D3690" s="12" t="n">
        <x:v>0.42325</x:v>
      </x:c>
      <x:c r="E3690" s="12" t="n">
        <x:v>0.43325</x:v>
      </x:c>
      <x:c r="F3690" s="12" t="n">
        <x:v>0</x:v>
      </x:c>
      <x:c r="G3690" s="12" t="n">
        <x:v>0</x:v>
      </x:c>
      <x:c r="H3690" s="1" t="n">
        <x:f>'Historical prices'!E3690</x:f>
        <x:v>1.05</x:v>
      </x:c>
      <x:c r="I3690" s="6" t="n">
        <x:f>'Historical prices'!D3690</x:f>
        <x:v>0.2289</x:v>
      </x:c>
      <x:c r="J3690" s="13" t="n">
        <x:f>D3690*I3690*H3690</x:f>
        <x:v>0.10172602124999999</x:v>
      </x:c>
      <x:c r="K3690" s="13" t="n">
        <x:f>E3690*I3690*H3690</x:f>
        <x:v>0.10412947125000001</x:v>
      </x:c>
      <x:c r="L3690" s="1" t="str">
        <x:f>TEXT(A3690,"mmm yyyy")</x:f>
        <x:v>Jul 2026</x:v>
      </x:c>
    </x:row>
    <x:row r="3691" ht="21" customHeight="1">
      <x:c r="A3691" s="10" t="n">
        <x:v>46225</x:v>
      </x:c>
      <x:c r="B3691" s="1" t="n">
        <x:v>9.5</x:v>
      </x:c>
      <x:c r="C3691" s="1" t="n">
        <x:v>6</x:v>
      </x:c>
      <x:c r="D3691" s="12" t="n">
        <x:v>0.4088333333333333</x:v>
      </x:c>
      <x:c r="E3691" s="12" t="n">
        <x:v>0.41983333333333334</x:v>
      </x:c>
      <x:c r="F3691" s="12" t="n">
        <x:v>0</x:v>
      </x:c>
      <x:c r="G3691" s="12" t="n">
        <x:v>0</x:v>
      </x:c>
      <x:c r="H3691" s="1" t="n">
        <x:f>'Historical prices'!E3691</x:f>
        <x:v>1.05</x:v>
      </x:c>
      <x:c r="I3691" s="6" t="n">
        <x:f>'Historical prices'!D3691</x:f>
        <x:v>0.2281</x:v>
      </x:c>
      <x:c r="J3691" s="13" t="n">
        <x:f>D3691*I3691*H3691</x:f>
        <x:v>0.0979176275</x:v>
      </x:c>
      <x:c r="K3691" s="13" t="n">
        <x:f>E3691*I3691*H3691</x:f>
        <x:v>0.1005521825</x:v>
      </x:c>
      <x:c r="L3691" s="1" t="str">
        <x:f>TEXT(A3691,"mmm yyyy")</x:f>
        <x:v>Jul 2026</x:v>
      </x:c>
    </x:row>
    <x:row r="3692" ht="21" customHeight="1">
      <x:c r="A3692" s="10" t="n">
        <x:v>46225</x:v>
      </x:c>
      <x:c r="B3692" s="1" t="n">
        <x:v>10</x:v>
      </x:c>
      <x:c r="C3692" s="1" t="n">
        <x:v>6</x:v>
      </x:c>
      <x:c r="D3692" s="12" t="n">
        <x:v>0.4031666666666666</x:v>
      </x:c>
      <x:c r="E3692" s="12" t="n">
        <x:v>0.4141666666666666</x:v>
      </x:c>
      <x:c r="F3692" s="12" t="n">
        <x:v>0</x:v>
      </x:c>
      <x:c r="G3692" s="12" t="n">
        <x:v>0</x:v>
      </x:c>
      <x:c r="H3692" s="1" t="n">
        <x:f>'Historical prices'!E3692</x:f>
        <x:v>1.05</x:v>
      </x:c>
      <x:c r="I3692" s="6" t="n">
        <x:f>'Historical prices'!D3692</x:f>
        <x:v>0.2354</x:v>
      </x:c>
      <x:c r="J3692" s="13" t="n">
        <x:f>D3692*I3692*H3692</x:f>
        <x:v>0.09965070499999999</x:v>
      </x:c>
      <x:c r="K3692" s="13" t="n">
        <x:f>E3692*I3692*H3692</x:f>
        <x:v>0.10236957499999999</x:v>
      </x:c>
      <x:c r="L3692" s="1" t="str">
        <x:f>TEXT(A3692,"mmm yyyy")</x:f>
        <x:v>Jul 2026</x:v>
      </x:c>
    </x:row>
    <x:row r="3693" ht="21" customHeight="1">
      <x:c r="A3693" s="10" t="n">
        <x:v>46225</x:v>
      </x:c>
      <x:c r="B3693" s="1" t="n">
        <x:v>10.5</x:v>
      </x:c>
      <x:c r="C3693" s="1" t="n">
        <x:v>6</x:v>
      </x:c>
      <x:c r="D3693" s="12" t="n">
        <x:v>0.4994166666666666</x:v>
      </x:c>
      <x:c r="E3693" s="12" t="n">
        <x:v>0.5084166666666666</x:v>
      </x:c>
      <x:c r="F3693" s="12" t="n">
        <x:v>0</x:v>
      </x:c>
      <x:c r="G3693" s="12" t="n">
        <x:v>0</x:v>
      </x:c>
      <x:c r="H3693" s="1" t="n">
        <x:f>'Historical prices'!E3693</x:f>
        <x:v>1.05</x:v>
      </x:c>
      <x:c r="I3693" s="6" t="n">
        <x:f>'Historical prices'!D3693</x:f>
        <x:v>0.23329999999999998</x:v>
      </x:c>
      <x:c r="J3693" s="13" t="n">
        <x:f>D3693*I3693*H3693</x:f>
        <x:v>0.12233960374999998</x:v>
      </x:c>
      <x:c r="K3693" s="13" t="n">
        <x:f>E3693*I3693*H3693</x:f>
        <x:v>0.12454428874999998</x:v>
      </x:c>
      <x:c r="L3693" s="1" t="str">
        <x:f>TEXT(A3693,"mmm yyyy")</x:f>
        <x:v>Jul 2026</x:v>
      </x:c>
    </x:row>
    <x:row r="3694" ht="21" customHeight="1">
      <x:c r="A3694" s="10" t="n">
        <x:v>46225</x:v>
      </x:c>
      <x:c r="B3694" s="1" t="n">
        <x:v>11</x:v>
      </x:c>
      <x:c r="C3694" s="1" t="n">
        <x:v>6</x:v>
      </x:c>
      <x:c r="D3694" s="12" t="n">
        <x:v>0.5543333333333333</x:v>
      </x:c>
      <x:c r="E3694" s="12" t="n">
        <x:v>0.5653333333333334</x:v>
      </x:c>
      <x:c r="F3694" s="12" t="n">
        <x:v>0</x:v>
      </x:c>
      <x:c r="G3694" s="12" t="n">
        <x:v>0</x:v>
      </x:c>
      <x:c r="H3694" s="1" t="n">
        <x:f>'Historical prices'!E3694</x:f>
        <x:v>1.05</x:v>
      </x:c>
      <x:c r="I3694" s="6" t="n">
        <x:f>'Historical prices'!D3694</x:f>
        <x:v>0.21420000000000003</x:v>
      </x:c>
      <x:c r="J3694" s="13" t="n">
        <x:f>D3694*I3694*H3694</x:f>
        <x:v>0.12467511000000002</x:v>
      </x:c>
      <x:c r="K3694" s="13" t="n">
        <x:f>E3694*I3694*H3694</x:f>
        <x:v>0.12714912000000003</x:v>
      </x:c>
      <x:c r="L3694" s="1" t="str">
        <x:f>TEXT(A3694,"mmm yyyy")</x:f>
        <x:v>Jul 2026</x:v>
      </x:c>
    </x:row>
    <x:row r="3695" ht="21" customHeight="1">
      <x:c r="A3695" s="10" t="n">
        <x:v>46225</x:v>
      </x:c>
      <x:c r="B3695" s="1" t="n">
        <x:v>11.5</x:v>
      </x:c>
      <x:c r="C3695" s="1" t="n">
        <x:v>6</x:v>
      </x:c>
      <x:c r="D3695" s="12" t="n">
        <x:v>0.5230833333333333</x:v>
      </x:c>
      <x:c r="E3695" s="12" t="n">
        <x:v>0.5330833333333334</x:v>
      </x:c>
      <x:c r="F3695" s="12" t="n">
        <x:v>0</x:v>
      </x:c>
      <x:c r="G3695" s="12" t="n">
        <x:v>0</x:v>
      </x:c>
      <x:c r="H3695" s="1" t="n">
        <x:f>'Historical prices'!E3695</x:f>
        <x:v>1.05</x:v>
      </x:c>
      <x:c r="I3695" s="6" t="n">
        <x:f>'Historical prices'!D3695</x:f>
        <x:v>0.21170000000000003</x:v>
      </x:c>
      <x:c r="J3695" s="13" t="n">
        <x:f>D3695*I3695*H3695</x:f>
        <x:v>0.11627357875000002</x:v>
      </x:c>
      <x:c r="K3695" s="13" t="n">
        <x:f>E3695*I3695*H3695</x:f>
        <x:v>0.11849642875000002</x:v>
      </x:c>
      <x:c r="L3695" s="1" t="str">
        <x:f>TEXT(A3695,"mmm yyyy")</x:f>
        <x:v>Jul 2026</x:v>
      </x:c>
    </x:row>
    <x:row r="3696" ht="21" customHeight="1">
      <x:c r="A3696" s="10" t="n">
        <x:v>46225</x:v>
      </x:c>
      <x:c r="B3696" s="1" t="n">
        <x:v>12</x:v>
      </x:c>
      <x:c r="C3696" s="1" t="n">
        <x:v>6</x:v>
      </x:c>
      <x:c r="D3696" s="12" t="n">
        <x:v>0.42666666666666675</x:v>
      </x:c>
      <x:c r="E3696" s="12" t="n">
        <x:v>0.43766666666666665</x:v>
      </x:c>
      <x:c r="F3696" s="12" t="n">
        <x:v>0</x:v>
      </x:c>
      <x:c r="G3696" s="12" t="n">
        <x:v>0</x:v>
      </x:c>
      <x:c r="H3696" s="1" t="n">
        <x:f>'Historical prices'!E3696</x:f>
        <x:v>1.05</x:v>
      </x:c>
      <x:c r="I3696" s="6" t="n">
        <x:f>'Historical prices'!D3696</x:f>
        <x:v>0.2102</x:v>
      </x:c>
      <x:c r="J3696" s="13" t="n">
        <x:f>D3696*I3696*H3696</x:f>
        <x:v>0.09416960000000002</x:v>
      </x:c>
      <x:c r="K3696" s="13" t="n">
        <x:f>E3696*I3696*H3696</x:f>
        <x:v>0.09659741</x:v>
      </x:c>
      <x:c r="L3696" s="1" t="str">
        <x:f>TEXT(A3696,"mmm yyyy")</x:f>
        <x:v>Jul 2026</x:v>
      </x:c>
    </x:row>
    <x:row r="3697" ht="21" customHeight="1">
      <x:c r="A3697" s="10" t="n">
        <x:v>46225</x:v>
      </x:c>
      <x:c r="B3697" s="1" t="n">
        <x:v>12.5</x:v>
      </x:c>
      <x:c r="C3697" s="1" t="n">
        <x:v>6</x:v>
      </x:c>
      <x:c r="D3697" s="12" t="n">
        <x:v>0.43291666666666667</x:v>
      </x:c>
      <x:c r="E3697" s="12" t="n">
        <x:v>0.4439166666666666</x:v>
      </x:c>
      <x:c r="F3697" s="12" t="n">
        <x:v>0</x:v>
      </x:c>
      <x:c r="G3697" s="12" t="n">
        <x:v>0</x:v>
      </x:c>
      <x:c r="H3697" s="1" t="n">
        <x:f>'Historical prices'!E3697</x:f>
        <x:v>1.05</x:v>
      </x:c>
      <x:c r="I3697" s="6" t="n">
        <x:f>'Historical prices'!D3697</x:f>
        <x:v>0.2144</x:v>
      </x:c>
      <x:c r="J3697" s="13" t="n">
        <x:f>D3697*I3697*H3697</x:f>
        <x:v>0.09745820000000001</x:v>
      </x:c>
      <x:c r="K3697" s="13" t="n">
        <x:f>E3697*I3697*H3697</x:f>
        <x:v>0.09993452</x:v>
      </x:c>
      <x:c r="L3697" s="1" t="str">
        <x:f>TEXT(A3697,"mmm yyyy")</x:f>
        <x:v>Jul 2026</x:v>
      </x:c>
    </x:row>
    <x:row r="3698" ht="21" customHeight="1">
      <x:c r="A3698" s="10" t="n">
        <x:v>46225</x:v>
      </x:c>
      <x:c r="B3698" s="1" t="n">
        <x:v>13</x:v>
      </x:c>
      <x:c r="C3698" s="1" t="n">
        <x:v>6</x:v>
      </x:c>
      <x:c r="D3698" s="12" t="n">
        <x:v>0.5594166666666667</x:v>
      </x:c>
      <x:c r="E3698" s="12" t="n">
        <x:v>0.5694166666666667</x:v>
      </x:c>
      <x:c r="F3698" s="12" t="n">
        <x:v>0</x:v>
      </x:c>
      <x:c r="G3698" s="12" t="n">
        <x:v>0</x:v>
      </x:c>
      <x:c r="H3698" s="1" t="n">
        <x:f>'Historical prices'!E3698</x:f>
        <x:v>1.05</x:v>
      </x:c>
      <x:c r="I3698" s="6" t="n">
        <x:f>'Historical prices'!D3698</x:f>
        <x:v>0.2039</x:v>
      </x:c>
      <x:c r="J3698" s="13" t="n">
        <x:f>D3698*I3698*H3698</x:f>
        <x:v>0.11976831125</x:v>
      </x:c>
      <x:c r="K3698" s="13" t="n">
        <x:f>E3698*I3698*H3698</x:f>
        <x:v>0.12190926125</x:v>
      </x:c>
      <x:c r="L3698" s="1" t="str">
        <x:f>TEXT(A3698,"mmm yyyy")</x:f>
        <x:v>Jul 2026</x:v>
      </x:c>
    </x:row>
    <x:row r="3699" ht="21" customHeight="1">
      <x:c r="A3699" s="10" t="n">
        <x:v>46225</x:v>
      </x:c>
      <x:c r="B3699" s="1" t="n">
        <x:v>13.5</x:v>
      </x:c>
      <x:c r="C3699" s="1" t="n">
        <x:v>6</x:v>
      </x:c>
      <x:c r="D3699" s="12" t="n">
        <x:v>0.43925</x:v>
      </x:c>
      <x:c r="E3699" s="12" t="n">
        <x:v>0.44925</x:v>
      </x:c>
      <x:c r="F3699" s="12" t="n">
        <x:v>0</x:v>
      </x:c>
      <x:c r="G3699" s="12" t="n">
        <x:v>0</x:v>
      </x:c>
      <x:c r="H3699" s="1" t="n">
        <x:f>'Historical prices'!E3699</x:f>
        <x:v>1.05</x:v>
      </x:c>
      <x:c r="I3699" s="6" t="n">
        <x:f>'Historical prices'!D3699</x:f>
        <x:v>0.2046</x:v>
      </x:c>
      <x:c r="J3699" s="13" t="n">
        <x:f>D3699*I3699*H3699</x:f>
        <x:v>0.09436407749999999</x:v>
      </x:c>
      <x:c r="K3699" s="13" t="n">
        <x:f>E3699*I3699*H3699</x:f>
        <x:v>0.09651237750000001</x:v>
      </x:c>
      <x:c r="L3699" s="1" t="str">
        <x:f>TEXT(A3699,"mmm yyyy")</x:f>
        <x:v>Jul 2026</x:v>
      </x:c>
    </x:row>
    <x:row r="3700" ht="21" customHeight="1">
      <x:c r="A3700" s="10" t="n">
        <x:v>46225</x:v>
      </x:c>
      <x:c r="B3700" s="1" t="n">
        <x:v>14</x:v>
      </x:c>
      <x:c r="C3700" s="1" t="n">
        <x:v>6</x:v>
      </x:c>
      <x:c r="D3700" s="12" t="n">
        <x:v>2.4305</x:v>
      </x:c>
      <x:c r="E3700" s="12" t="n">
        <x:v>0.6064999999999999</x:v>
      </x:c>
      <x:c r="F3700" s="12" t="n">
        <x:v>0</x:v>
      </x:c>
      <x:c r="G3700" s="12" t="n">
        <x:v>1.826</x:v>
      </x:c>
      <x:c r="H3700" s="1" t="n">
        <x:f>'Historical prices'!E3700</x:f>
        <x:v>1.05</x:v>
      </x:c>
      <x:c r="I3700" s="6" t="n">
        <x:f>'Historical prices'!D3700</x:f>
        <x:v>0.2022</x:v>
      </x:c>
      <x:c r="J3700" s="13" t="n">
        <x:f>D3700*I3700*H3700</x:f>
        <x:v>0.516019455</x:v>
      </x:c>
      <x:c r="K3700" s="13" t="n">
        <x:f>E3700*I3700*H3700</x:f>
        <x:v>0.12876601499999998</x:v>
      </x:c>
      <x:c r="L3700" s="1" t="str">
        <x:f>TEXT(A3700,"mmm yyyy")</x:f>
        <x:v>Jul 2026</x:v>
      </x:c>
    </x:row>
    <x:row r="3701" ht="21" customHeight="1">
      <x:c r="A3701" s="10" t="n">
        <x:v>46225</x:v>
      </x:c>
      <x:c r="B3701" s="1" t="n">
        <x:v>14.5</x:v>
      </x:c>
      <x:c r="C3701" s="1" t="n">
        <x:v>6</x:v>
      </x:c>
      <x:c r="D3701" s="12" t="n">
        <x:v>5.464583333333334</x:v>
      </x:c>
      <x:c r="E3701" s="12" t="n">
        <x:v>0.7235833333333334</x:v>
      </x:c>
      <x:c r="F3701" s="12" t="n">
        <x:v>0</x:v>
      </x:c>
      <x:c r="G3701" s="12" t="n">
        <x:v>4.741</x:v>
      </x:c>
      <x:c r="H3701" s="1" t="n">
        <x:f>'Historical prices'!E3701</x:f>
        <x:v>1.05</x:v>
      </x:c>
      <x:c r="I3701" s="6" t="n">
        <x:f>'Historical prices'!D3701</x:f>
        <x:v>0.1997</x:v>
      </x:c>
      <x:c r="J3701" s="13" t="n">
        <x:f>D3701*I3701*H3701</x:f>
        <x:v>1.14584115625</x:v>
      </x:c>
      <x:c r="K3701" s="13" t="n">
        <x:f>E3701*I3701*H3701</x:f>
        <x:v>0.15172457125000002</x:v>
      </x:c>
      <x:c r="L3701" s="1" t="str">
        <x:f>TEXT(A3701,"mmm yyyy")</x:f>
        <x:v>Jul 2026</x:v>
      </x:c>
    </x:row>
    <x:row r="3702" ht="21" customHeight="1">
      <x:c r="A3702" s="10" t="n">
        <x:v>46225</x:v>
      </x:c>
      <x:c r="B3702" s="1" t="n">
        <x:v>15</x:v>
      </x:c>
      <x:c r="C3702" s="1" t="n">
        <x:v>6</x:v>
      </x:c>
      <x:c r="D3702" s="12" t="n">
        <x:v>1.319416666666667</x:v>
      </x:c>
      <x:c r="E3702" s="12" t="n">
        <x:v>0.5014166666666666</x:v>
      </x:c>
      <x:c r="F3702" s="12" t="n">
        <x:v>0</x:v>
      </x:c>
      <x:c r="G3702" s="12" t="n">
        <x:v>0.8160000000000001</x:v>
      </x:c>
      <x:c r="H3702" s="1" t="n">
        <x:f>'Historical prices'!E3702</x:f>
        <x:v>1.05</x:v>
      </x:c>
      <x:c r="I3702" s="6" t="n">
        <x:f>'Historical prices'!D3702</x:f>
        <x:v>0.20620000000000002</x:v>
      </x:c>
      <x:c r="J3702" s="13" t="n">
        <x:f>D3702*I3702*H3702</x:f>
        <x:v>0.2856669025000001</x:v>
      </x:c>
      <x:c r="K3702" s="13" t="n">
        <x:f>E3702*I3702*H3702</x:f>
        <x:v>0.10856172250000001</x:v>
      </x:c>
      <x:c r="L3702" s="1" t="str">
        <x:f>TEXT(A3702,"mmm yyyy")</x:f>
        <x:v>Jul 2026</x:v>
      </x:c>
    </x:row>
    <x:row r="3703" ht="21" customHeight="1">
      <x:c r="A3703" s="10" t="n">
        <x:v>46225</x:v>
      </x:c>
      <x:c r="B3703" s="1" t="n">
        <x:v>15.5</x:v>
      </x:c>
      <x:c r="C3703" s="1" t="n">
        <x:v>6</x:v>
      </x:c>
      <x:c r="D3703" s="12" t="n">
        <x:v>1.3268333333333335</x:v>
      </x:c>
      <x:c r="E3703" s="12" t="n">
        <x:v>1.3378333333333332</x:v>
      </x:c>
      <x:c r="F3703" s="12" t="n">
        <x:v>0</x:v>
      </x:c>
      <x:c r="G3703" s="12" t="n">
        <x:v>0</x:v>
      </x:c>
      <x:c r="H3703" s="1" t="n">
        <x:f>'Historical prices'!E3703</x:f>
        <x:v>1.05</x:v>
      </x:c>
      <x:c r="I3703" s="6" t="n">
        <x:f>'Historical prices'!D3703</x:f>
        <x:v>0.2165</x:v>
      </x:c>
      <x:c r="J3703" s="13" t="n">
        <x:f>D3703*I3703*H3703</x:f>
        <x:v>0.30162238750000003</x:v>
      </x:c>
      <x:c r="K3703" s="13" t="n">
        <x:f>E3703*I3703*H3703</x:f>
        <x:v>0.3041229625</x:v>
      </x:c>
      <x:c r="L3703" s="1" t="str">
        <x:f>TEXT(A3703,"mmm yyyy")</x:f>
        <x:v>Jul 2026</x:v>
      </x:c>
    </x:row>
    <x:row r="3704" ht="21" customHeight="1">
      <x:c r="A3704" s="10" t="n">
        <x:v>46225</x:v>
      </x:c>
      <x:c r="B3704" s="1" t="n">
        <x:v>16</x:v>
      </x:c>
      <x:c r="C3704" s="1" t="n">
        <x:v>6</x:v>
      </x:c>
      <x:c r="D3704" s="12" t="n">
        <x:v>0.07366666666666667</x:v>
      </x:c>
      <x:c r="E3704" s="12" t="n">
        <x:v>0.5130833333333333</x:v>
      </x:c>
      <x:c r="F3704" s="12" t="n">
        <x:v>0.4359166666666667</x:v>
      </x:c>
      <x:c r="G3704" s="12" t="n">
        <x:v>0</x:v>
      </x:c>
      <x:c r="H3704" s="1" t="n">
        <x:f>'Historical prices'!E3704</x:f>
        <x:v>1.05</x:v>
      </x:c>
      <x:c r="I3704" s="6" t="n">
        <x:f>'Historical prices'!D3704</x:f>
        <x:v>0.3428</x:v>
      </x:c>
      <x:c r="J3704" s="13" t="n">
        <x:f>D3704*I3704*H3704</x:f>
        <x:v>0.026515580000000004</x:v>
      </x:c>
      <x:c r="K3704" s="13" t="n">
        <x:f>E3704*I3704*H3704</x:f>
        <x:v>0.184679215</x:v>
      </x:c>
      <x:c r="L3704" s="1" t="str">
        <x:f>TEXT(A3704,"mmm yyyy")</x:f>
        <x:v>Jul 2026</x:v>
      </x:c>
    </x:row>
    <x:row r="3705" ht="21" customHeight="1">
      <x:c r="A3705" s="10" t="n">
        <x:v>46225</x:v>
      </x:c>
      <x:c r="B3705" s="1" t="n">
        <x:v>16.5</x:v>
      </x:c>
      <x:c r="C3705" s="1" t="n">
        <x:v>6</x:v>
      </x:c>
      <x:c r="D3705" s="12" t="n">
        <x:v>0</x:v>
      </x:c>
      <x:c r="E3705" s="12" t="n">
        <x:v>0.4125833333333333</x:v>
      </x:c>
      <x:c r="F3705" s="12" t="n">
        <x:v>0.41241666666666665</x:v>
      </x:c>
      <x:c r="G3705" s="12" t="n">
        <x:v>0</x:v>
      </x:c>
      <x:c r="H3705" s="1" t="n">
        <x:f>'Historical prices'!E3705</x:f>
        <x:v>1.05</x:v>
      </x:c>
      <x:c r="I3705" s="6" t="n">
        <x:f>'Historical prices'!D3705</x:f>
        <x:v>0.34659999999999996</x:v>
      </x:c>
      <x:c r="J3705" s="13" t="n">
        <x:f>D3705*I3705*H3705</x:f>
        <x:v>0</x:v>
      </x:c>
      <x:c r="K3705" s="13" t="n">
        <x:f>E3705*I3705*H3705</x:f>
        <x:v>0.15015145249999998</x:v>
      </x:c>
      <x:c r="L3705" s="1" t="str">
        <x:f>TEXT(A3705,"mmm yyyy")</x:f>
        <x:v>Jul 2026</x:v>
      </x:c>
    </x:row>
    <x:row r="3706" ht="21" customHeight="1">
      <x:c r="A3706" s="10" t="n">
        <x:v>46225</x:v>
      </x:c>
      <x:c r="B3706" s="1" t="n">
        <x:v>17</x:v>
      </x:c>
      <x:c r="C3706" s="1" t="n">
        <x:v>6</x:v>
      </x:c>
      <x:c r="D3706" s="12" t="n">
        <x:v>0</x:v>
      </x:c>
      <x:c r="E3706" s="12" t="n">
        <x:v>0.41608333333333336</x:v>
      </x:c>
      <x:c r="F3706" s="12" t="n">
        <x:v>0.4159166666666667</x:v>
      </x:c>
      <x:c r="G3706" s="12" t="n">
        <x:v>0</x:v>
      </x:c>
      <x:c r="H3706" s="1" t="n">
        <x:f>'Historical prices'!E3706</x:f>
        <x:v>1.05</x:v>
      </x:c>
      <x:c r="I3706" s="6" t="n">
        <x:f>'Historical prices'!D3706</x:f>
        <x:v>0.3613</x:v>
      </x:c>
      <x:c r="J3706" s="13" t="n">
        <x:f>D3706*I3706*H3706</x:f>
        <x:v>0</x:v>
      </x:c>
      <x:c r="K3706" s="13" t="n">
        <x:f>E3706*I3706*H3706</x:f>
        <x:v>0.15784745375000003</x:v>
      </x:c>
      <x:c r="L3706" s="1" t="str">
        <x:f>TEXT(A3706,"mmm yyyy")</x:f>
        <x:v>Jul 2026</x:v>
      </x:c>
    </x:row>
    <x:row r="3707" ht="21" customHeight="1">
      <x:c r="A3707" s="10" t="n">
        <x:v>46225</x:v>
      </x:c>
      <x:c r="B3707" s="1" t="n">
        <x:v>17.5</x:v>
      </x:c>
      <x:c r="C3707" s="1" t="n">
        <x:v>6</x:v>
      </x:c>
      <x:c r="D3707" s="12" t="n">
        <x:v>0</x:v>
      </x:c>
      <x:c r="E3707" s="12" t="n">
        <x:v>0.5999166666666667</x:v>
      </x:c>
      <x:c r="F3707" s="12" t="n">
        <x:v>0.5998333333333333</x:v>
      </x:c>
      <x:c r="G3707" s="12" t="n">
        <x:v>0</x:v>
      </x:c>
      <x:c r="H3707" s="1" t="n">
        <x:f>'Historical prices'!E3707</x:f>
        <x:v>1.05</x:v>
      </x:c>
      <x:c r="I3707" s="6" t="n">
        <x:f>'Historical prices'!D3707</x:f>
        <x:v>0.3785</x:v>
      </x:c>
      <x:c r="J3707" s="13" t="n">
        <x:f>D3707*I3707*H3707</x:f>
        <x:v>0</x:v>
      </x:c>
      <x:c r="K3707" s="13" t="n">
        <x:f>E3707*I3707*H3707</x:f>
        <x:v>0.23842188125000002</x:v>
      </x:c>
      <x:c r="L3707" s="1" t="str">
        <x:f>TEXT(A3707,"mmm yyyy")</x:f>
        <x:v>Jul 2026</x:v>
      </x:c>
    </x:row>
    <x:row r="3708" ht="21" customHeight="1">
      <x:c r="A3708" s="10" t="n">
        <x:v>46225</x:v>
      </x:c>
      <x:c r="B3708" s="1" t="n">
        <x:v>18</x:v>
      </x:c>
      <x:c r="C3708" s="1" t="n">
        <x:v>6</x:v>
      </x:c>
      <x:c r="D3708" s="12" t="n">
        <x:v>0</x:v>
      </x:c>
      <x:c r="E3708" s="12" t="n">
        <x:v>0.5298333333333334</x:v>
      </x:c>
      <x:c r="F3708" s="12" t="n">
        <x:v>0.5296666666666666</x:v>
      </x:c>
      <x:c r="G3708" s="12" t="n">
        <x:v>0</x:v>
      </x:c>
      <x:c r="H3708" s="1" t="n">
        <x:f>'Historical prices'!E3708</x:f>
        <x:v>1.05</x:v>
      </x:c>
      <x:c r="I3708" s="6" t="n">
        <x:f>'Historical prices'!D3708</x:f>
        <x:v>0.38520000000000004</x:v>
      </x:c>
      <x:c r="J3708" s="13" t="n">
        <x:f>D3708*I3708*H3708</x:f>
        <x:v>0</x:v>
      </x:c>
      <x:c r="K3708" s="13" t="n">
        <x:f>E3708*I3708*H3708</x:f>
        <x:v>0.21429639000000006</x:v>
      </x:c>
      <x:c r="L3708" s="1" t="str">
        <x:f>TEXT(A3708,"mmm yyyy")</x:f>
        <x:v>Jul 2026</x:v>
      </x:c>
    </x:row>
    <x:row r="3709" ht="21" customHeight="1">
      <x:c r="A3709" s="10" t="n">
        <x:v>46225</x:v>
      </x:c>
      <x:c r="B3709" s="1" t="n">
        <x:v>18.5</x:v>
      </x:c>
      <x:c r="C3709" s="1" t="n">
        <x:v>6</x:v>
      </x:c>
      <x:c r="D3709" s="12" t="n">
        <x:v>0</x:v>
      </x:c>
      <x:c r="E3709" s="12" t="n">
        <x:v>0.5355</x:v>
      </x:c>
      <x:c r="F3709" s="12" t="n">
        <x:v>0.5355</x:v>
      </x:c>
      <x:c r="G3709" s="12" t="n">
        <x:v>0</x:v>
      </x:c>
      <x:c r="H3709" s="1" t="n">
        <x:f>'Historical prices'!E3709</x:f>
        <x:v>1.05</x:v>
      </x:c>
      <x:c r="I3709" s="6" t="n">
        <x:f>'Historical prices'!D3709</x:f>
        <x:v>0.3948</x:v>
      </x:c>
      <x:c r="J3709" s="13" t="n">
        <x:f>D3709*I3709*H3709</x:f>
        <x:v>0</x:v>
      </x:c>
      <x:c r="K3709" s="13" t="n">
        <x:f>E3709*I3709*H3709</x:f>
        <x:v>0.22198616999999998</x:v>
      </x:c>
      <x:c r="L3709" s="1" t="str">
        <x:f>TEXT(A3709,"mmm yyyy")</x:f>
        <x:v>Jul 2026</x:v>
      </x:c>
    </x:row>
    <x:row r="3710" ht="21" customHeight="1">
      <x:c r="A3710" s="10" t="n">
        <x:v>46225</x:v>
      </x:c>
      <x:c r="B3710" s="1" t="n">
        <x:v>19</x:v>
      </x:c>
      <x:c r="C3710" s="1" t="n">
        <x:v>6</x:v>
      </x:c>
      <x:c r="D3710" s="12" t="n">
        <x:v>0</x:v>
      </x:c>
      <x:c r="E3710" s="12" t="n">
        <x:v>0.5199166666666667</x:v>
      </x:c>
      <x:c r="F3710" s="12" t="n">
        <x:v>0.5196666666666667</x:v>
      </x:c>
      <x:c r="G3710" s="12" t="n">
        <x:v>0</x:v>
      </x:c>
      <x:c r="H3710" s="1" t="n">
        <x:f>'Historical prices'!E3710</x:f>
        <x:v>1.05</x:v>
      </x:c>
      <x:c r="I3710" s="6" t="n">
        <x:f>'Historical prices'!D3710</x:f>
        <x:v>0.2816</x:v>
      </x:c>
      <x:c r="J3710" s="13" t="n">
        <x:f>D3710*I3710*H3710</x:f>
        <x:v>0</x:v>
      </x:c>
      <x:c r="K3710" s="13" t="n">
        <x:f>E3710*I3710*H3710</x:f>
        <x:v>0.15372896000000003</x:v>
      </x:c>
      <x:c r="L3710" s="1" t="str">
        <x:f>TEXT(A3710,"mmm yyyy")</x:f>
        <x:v>Jul 2026</x:v>
      </x:c>
    </x:row>
    <x:row r="3711" ht="21" customHeight="1">
      <x:c r="A3711" s="10" t="n">
        <x:v>46225</x:v>
      </x:c>
      <x:c r="B3711" s="1" t="n">
        <x:v>19.5</x:v>
      </x:c>
      <x:c r="C3711" s="1" t="n">
        <x:v>6</x:v>
      </x:c>
      <x:c r="D3711" s="12" t="n">
        <x:v>0</x:v>
      </x:c>
      <x:c r="E3711" s="12" t="n">
        <x:v>0.8121666666666667</x:v>
      </x:c>
      <x:c r="F3711" s="12" t="n">
        <x:v>0.8034166666666667</x:v>
      </x:c>
      <x:c r="G3711" s="12" t="n">
        <x:v>0</x:v>
      </x:c>
      <x:c r="H3711" s="1" t="n">
        <x:f>'Historical prices'!E3711</x:f>
        <x:v>1.05</x:v>
      </x:c>
      <x:c r="I3711" s="6" t="n">
        <x:f>'Historical prices'!D3711</x:f>
        <x:v>0.2845</x:v>
      </x:c>
      <x:c r="J3711" s="13" t="n">
        <x:f>D3711*I3711*H3711</x:f>
        <x:v>0</x:v>
      </x:c>
      <x:c r="K3711" s="13" t="n">
        <x:f>E3711*I3711*H3711</x:f>
        <x:v>0.2426144875</x:v>
      </x:c>
      <x:c r="L3711" s="1" t="str">
        <x:f>TEXT(A3711,"mmm yyyy")</x:f>
        <x:v>Jul 2026</x:v>
      </x:c>
    </x:row>
    <x:row r="3712" ht="21" customHeight="1">
      <x:c r="A3712" s="10" t="n">
        <x:v>46225</x:v>
      </x:c>
      <x:c r="B3712" s="1" t="n">
        <x:v>20</x:v>
      </x:c>
      <x:c r="C3712" s="1" t="n">
        <x:v>6</x:v>
      </x:c>
      <x:c r="D3712" s="12" t="n">
        <x:v>0</x:v>
      </x:c>
      <x:c r="E3712" s="12" t="n">
        <x:v>0.5138333333333334</x:v>
      </x:c>
      <x:c r="F3712" s="12" t="n">
        <x:v>0.5136666666666666</x:v>
      </x:c>
      <x:c r="G3712" s="12" t="n">
        <x:v>0</x:v>
      </x:c>
      <x:c r="H3712" s="1" t="n">
        <x:f>'Historical prices'!E3712</x:f>
        <x:v>1.05</x:v>
      </x:c>
      <x:c r="I3712" s="6" t="n">
        <x:f>'Historical prices'!D3712</x:f>
        <x:v>0.2774</x:v>
      </x:c>
      <x:c r="J3712" s="13" t="n">
        <x:f>D3712*I3712*H3712</x:f>
        <x:v>0</x:v>
      </x:c>
      <x:c r="K3712" s="13" t="n">
        <x:f>E3712*I3712*H3712</x:f>
        <x:v>0.149664235</x:v>
      </x:c>
      <x:c r="L3712" s="1" t="str">
        <x:f>TEXT(A3712,"mmm yyyy")</x:f>
        <x:v>Jul 2026</x:v>
      </x:c>
    </x:row>
    <x:row r="3713" ht="21" customHeight="1">
      <x:c r="A3713" s="10" t="n">
        <x:v>46225</x:v>
      </x:c>
      <x:c r="B3713" s="1" t="n">
        <x:v>20.5</x:v>
      </x:c>
      <x:c r="C3713" s="1" t="n">
        <x:v>6</x:v>
      </x:c>
      <x:c r="D3713" s="12" t="n">
        <x:v>0</x:v>
      </x:c>
      <x:c r="E3713" s="12" t="n">
        <x:v>0.5249999999999999</x:v>
      </x:c>
      <x:c r="F3713" s="12" t="n">
        <x:v>0.5248333333333333</x:v>
      </x:c>
      <x:c r="G3713" s="12" t="n">
        <x:v>0</x:v>
      </x:c>
      <x:c r="H3713" s="1" t="n">
        <x:f>'Historical prices'!E3713</x:f>
        <x:v>1.05</x:v>
      </x:c>
      <x:c r="I3713" s="6" t="n">
        <x:f>'Historical prices'!D3713</x:f>
        <x:v>0.2764</x:v>
      </x:c>
      <x:c r="J3713" s="13" t="n">
        <x:f>D3713*I3713*H3713</x:f>
        <x:v>0</x:v>
      </x:c>
      <x:c r="K3713" s="13" t="n">
        <x:f>E3713*I3713*H3713</x:f>
        <x:v>0.15236549999999996</x:v>
      </x:c>
      <x:c r="L3713" s="1" t="str">
        <x:f>TEXT(A3713,"mmm yyyy")</x:f>
        <x:v>Jul 2026</x:v>
      </x:c>
    </x:row>
    <x:row r="3714" ht="21" customHeight="1">
      <x:c r="A3714" s="10" t="n">
        <x:v>46225</x:v>
      </x:c>
      <x:c r="B3714" s="1" t="n">
        <x:v>21</x:v>
      </x:c>
      <x:c r="C3714" s="1" t="n">
        <x:v>6</x:v>
      </x:c>
      <x:c r="D3714" s="12" t="n">
        <x:v>0</x:v>
      </x:c>
      <x:c r="E3714" s="12" t="n">
        <x:v>0.59</x:v>
      </x:c>
      <x:c r="F3714" s="12" t="n">
        <x:v>0.5899166666666666</x:v>
      </x:c>
      <x:c r="G3714" s="12" t="n">
        <x:v>0</x:v>
      </x:c>
      <x:c r="H3714" s="1" t="n">
        <x:f>'Historical prices'!E3714</x:f>
        <x:v>1.05</x:v>
      </x:c>
      <x:c r="I3714" s="6" t="n">
        <x:f>'Historical prices'!D3714</x:f>
        <x:v>0.2753</x:v>
      </x:c>
      <x:c r="J3714" s="13" t="n">
        <x:f>D3714*I3714*H3714</x:f>
        <x:v>0</x:v>
      </x:c>
      <x:c r="K3714" s="13" t="n">
        <x:f>E3714*I3714*H3714</x:f>
        <x:v>0.17054835</x:v>
      </x:c>
      <x:c r="L3714" s="1" t="str">
        <x:f>TEXT(A3714,"mmm yyyy")</x:f>
        <x:v>Jul 2026</x:v>
      </x:c>
    </x:row>
    <x:row r="3715" ht="21" customHeight="1">
      <x:c r="A3715" s="10" t="n">
        <x:v>46225</x:v>
      </x:c>
      <x:c r="B3715" s="1" t="n">
        <x:v>21.5</x:v>
      </x:c>
      <x:c r="C3715" s="1" t="n">
        <x:v>6</x:v>
      </x:c>
      <x:c r="D3715" s="12" t="n">
        <x:v>0</x:v>
      </x:c>
      <x:c r="E3715" s="12" t="n">
        <x:v>0.9604999999999999</x:v>
      </x:c>
      <x:c r="F3715" s="12" t="n">
        <x:v>0.96</x:v>
      </x:c>
      <x:c r="G3715" s="12" t="n">
        <x:v>0</x:v>
      </x:c>
      <x:c r="H3715" s="1" t="n">
        <x:f>'Historical prices'!E3715</x:f>
        <x:v>1.05</x:v>
      </x:c>
      <x:c r="I3715" s="6" t="n">
        <x:f>'Historical prices'!D3715</x:f>
        <x:v>0.2753</x:v>
      </x:c>
      <x:c r="J3715" s="13" t="n">
        <x:f>D3715*I3715*H3715</x:f>
        <x:v>0</x:v>
      </x:c>
      <x:c r="K3715" s="13" t="n">
        <x:f>E3715*I3715*H3715</x:f>
        <x:v>0.27764693249999994</x:v>
      </x:c>
      <x:c r="L3715" s="1" t="str">
        <x:f>TEXT(A3715,"mmm yyyy")</x:f>
        <x:v>Jul 2026</x:v>
      </x:c>
    </x:row>
    <x:row r="3716" ht="21" customHeight="1">
      <x:c r="A3716" s="10" t="n">
        <x:v>46225</x:v>
      </x:c>
      <x:c r="B3716" s="1" t="n">
        <x:v>22</x:v>
      </x:c>
      <x:c r="C3716" s="1" t="n">
        <x:v>6</x:v>
      </x:c>
      <x:c r="D3716" s="12" t="n">
        <x:v>0.25525</x:v>
      </x:c>
      <x:c r="E3716" s="12" t="n">
        <x:v>0.3234166666666667</x:v>
      </x:c>
      <x:c r="F3716" s="12" t="n">
        <x:v>0.057</x:v>
      </x:c>
      <x:c r="G3716" s="12" t="n">
        <x:v>0</x:v>
      </x:c>
      <x:c r="H3716" s="1" t="n">
        <x:f>'Historical prices'!E3716</x:f>
        <x:v>1.05</x:v>
      </x:c>
      <x:c r="I3716" s="6" t="n">
        <x:f>'Historical prices'!D3716</x:f>
        <x:v>0.2648</x:v>
      </x:c>
      <x:c r="J3716" s="13" t="n">
        <x:f>D3716*I3716*H3716</x:f>
        <x:v>0.07096970999999999</x:v>
      </x:c>
      <x:c r="K3716" s="13" t="n">
        <x:f>E3716*I3716*H3716</x:f>
        <x:v>0.08992277</x:v>
      </x:c>
      <x:c r="L3716" s="1" t="str">
        <x:f>TEXT(A3716,"mmm yyyy")</x:f>
        <x:v>Jul 2026</x:v>
      </x:c>
    </x:row>
    <x:row r="3717" ht="21" customHeight="1">
      <x:c r="A3717" s="10" t="n">
        <x:v>46225</x:v>
      </x:c>
      <x:c r="B3717" s="1" t="n">
        <x:v>22.5</x:v>
      </x:c>
      <x:c r="C3717" s="1" t="n">
        <x:v>6</x:v>
      </x:c>
      <x:c r="D3717" s="12" t="n">
        <x:v>0.25075000000000003</x:v>
      </x:c>
      <x:c r="E3717" s="12" t="n">
        <x:v>0.26075</x:v>
      </x:c>
      <x:c r="F3717" s="12" t="n">
        <x:v>0</x:v>
      </x:c>
      <x:c r="G3717" s="12" t="n">
        <x:v>0</x:v>
      </x:c>
      <x:c r="H3717" s="1" t="n">
        <x:f>'Historical prices'!E3717</x:f>
        <x:v>1.05</x:v>
      </x:c>
      <x:c r="I3717" s="6" t="n">
        <x:f>'Historical prices'!D3717</x:f>
        <x:v>0.2501</x:v>
      </x:c>
      <x:c r="J3717" s="13" t="n">
        <x:f>D3717*I3717*H3717</x:f>
        <x:v>0.06584820375000001</x:v>
      </x:c>
      <x:c r="K3717" s="13" t="n">
        <x:f>E3717*I3717*H3717</x:f>
        <x:v>0.06847425375</x:v>
      </x:c>
      <x:c r="L3717" s="1" t="str">
        <x:f>TEXT(A3717,"mmm yyyy")</x:f>
        <x:v>Jul 2026</x:v>
      </x:c>
    </x:row>
    <x:row r="3718" ht="21" customHeight="1">
      <x:c r="A3718" s="10" t="n">
        <x:v>46225</x:v>
      </x:c>
      <x:c r="B3718" s="1" t="n">
        <x:v>23</x:v>
      </x:c>
      <x:c r="C3718" s="1" t="n">
        <x:v>6</x:v>
      </x:c>
      <x:c r="D3718" s="12" t="n">
        <x:v>0.25366666666666665</x:v>
      </x:c>
      <x:c r="E3718" s="12" t="n">
        <x:v>0.26366666666666666</x:v>
      </x:c>
      <x:c r="F3718" s="12" t="n">
        <x:v>0</x:v>
      </x:c>
      <x:c r="G3718" s="12" t="n">
        <x:v>0</x:v>
      </x:c>
      <x:c r="H3718" s="1" t="n">
        <x:f>'Historical prices'!E3718</x:f>
        <x:v>1.05</x:v>
      </x:c>
      <x:c r="I3718" s="6" t="n">
        <x:f>'Historical prices'!D3718</x:f>
        <x:v>0.2459</x:v>
      </x:c>
      <x:c r="J3718" s="13" t="n">
        <x:f>D3718*I3718*H3718</x:f>
        <x:v>0.065495465</x:v>
      </x:c>
      <x:c r="K3718" s="13" t="n">
        <x:f>E3718*I3718*H3718</x:f>
        <x:v>0.068077415</x:v>
      </x:c>
      <x:c r="L3718" s="1" t="str">
        <x:f>TEXT(A3718,"mmm yyyy")</x:f>
        <x:v>Jul 2026</x:v>
      </x:c>
    </x:row>
    <x:row r="3719" ht="21" customHeight="1">
      <x:c r="A3719" s="10" t="n">
        <x:v>46225</x:v>
      </x:c>
      <x:c r="B3719" s="1" t="n">
        <x:v>23.5</x:v>
      </x:c>
      <x:c r="C3719" s="1" t="n">
        <x:v>6</x:v>
      </x:c>
      <x:c r="D3719" s="12" t="n">
        <x:v>0.245</x:v>
      </x:c>
      <x:c r="E3719" s="12" t="n">
        <x:v>0.256</x:v>
      </x:c>
      <x:c r="F3719" s="12" t="n">
        <x:v>0</x:v>
      </x:c>
      <x:c r="G3719" s="12" t="n">
        <x:v>0</x:v>
      </x:c>
      <x:c r="H3719" s="1" t="n">
        <x:f>'Historical prices'!E3719</x:f>
        <x:v>1.05</x:v>
      </x:c>
      <x:c r="I3719" s="6" t="n">
        <x:f>'Historical prices'!D3719</x:f>
        <x:v>0.2451</x:v>
      </x:c>
      <x:c r="J3719" s="13" t="n">
        <x:f>D3719*I3719*H3719</x:f>
        <x:v>0.063051975</x:v>
      </x:c>
      <x:c r="K3719" s="13" t="n">
        <x:f>E3719*I3719*H3719</x:f>
        <x:v>0.06588288</x:v>
      </x:c>
      <x:c r="L3719" s="1" t="str">
        <x:f>TEXT(A3719,"mmm yyyy")</x:f>
        <x:v>Jul 2026</x:v>
      </x:c>
    </x:row>
    <x:row r="3720" ht="21" customHeight="1">
      <x:c r="A3720" s="10" t="n">
        <x:v>46226</x:v>
      </x:c>
      <x:c r="B3720" s="1" t="n">
        <x:v>0</x:v>
      </x:c>
      <x:c r="C3720" s="1" t="n">
        <x:v>6</x:v>
      </x:c>
      <x:c r="D3720" s="12" t="n">
        <x:v>0.25366666666666665</x:v>
      </x:c>
      <x:c r="E3720" s="12" t="n">
        <x:v>0.26466666666666666</x:v>
      </x:c>
      <x:c r="F3720" s="12" t="n">
        <x:v>0</x:v>
      </x:c>
      <x:c r="G3720" s="12" t="n">
        <x:v>0</x:v>
      </x:c>
      <x:c r="H3720" s="1" t="n">
        <x:f>'Historical prices'!E3720</x:f>
        <x:v>1.05</x:v>
      </x:c>
      <x:c r="I3720" s="6" t="n">
        <x:f>'Historical prices'!D3720</x:f>
        <x:v>0.2275</x:v>
      </x:c>
      <x:c r="J3720" s="13" t="n">
        <x:f>D3720*I3720*H3720</x:f>
        <x:v>0.060594625</x:v>
      </x:c>
      <x:c r="K3720" s="13" t="n">
        <x:f>E3720*I3720*H3720</x:f>
        <x:v>0.06322225000000001</x:v>
      </x:c>
      <x:c r="L3720" s="1" t="str">
        <x:f>TEXT(A3720,"mmm yyyy")</x:f>
        <x:v>Jul 2026</x:v>
      </x:c>
    </x:row>
    <x:row r="3721" ht="21" customHeight="1">
      <x:c r="A3721" s="10" t="n">
        <x:v>46226</x:v>
      </x:c>
      <x:c r="B3721" s="1" t="n">
        <x:v>0.5</x:v>
      </x:c>
      <x:c r="C3721" s="1" t="n">
        <x:v>6</x:v>
      </x:c>
      <x:c r="D3721" s="12" t="n">
        <x:v>0.1805</x:v>
      </x:c>
      <x:c r="E3721" s="12" t="n">
        <x:v>0.1895</x:v>
      </x:c>
      <x:c r="F3721" s="12" t="n">
        <x:v>0</x:v>
      </x:c>
      <x:c r="G3721" s="12" t="n">
        <x:v>0</x:v>
      </x:c>
      <x:c r="H3721" s="1" t="n">
        <x:f>'Historical prices'!E3721</x:f>
        <x:v>1.05</x:v>
      </x:c>
      <x:c r="I3721" s="6" t="n">
        <x:f>'Historical prices'!D3721</x:f>
        <x:v>0.2228</x:v>
      </x:c>
      <x:c r="J3721" s="13" t="n">
        <x:f>D3721*I3721*H3721</x:f>
        <x:v>0.04222617</x:v>
      </x:c>
      <x:c r="K3721" s="13" t="n">
        <x:f>E3721*I3721*H3721</x:f>
        <x:v>0.04433163</x:v>
      </x:c>
      <x:c r="L3721" s="1" t="str">
        <x:f>TEXT(A3721,"mmm yyyy")</x:f>
        <x:v>Jul 2026</x:v>
      </x:c>
    </x:row>
    <x:row r="3722" ht="21" customHeight="1">
      <x:c r="A3722" s="10" t="n">
        <x:v>46226</x:v>
      </x:c>
      <x:c r="B3722" s="1" t="n">
        <x:v>1</x:v>
      </x:c>
      <x:c r="C3722" s="1" t="n">
        <x:v>6</x:v>
      </x:c>
      <x:c r="D3722" s="12" t="n">
        <x:v>4.460083333333333</x:v>
      </x:c>
      <x:c r="E3722" s="12" t="n">
        <x:v>0.47908333333333336</x:v>
      </x:c>
      <x:c r="F3722" s="12" t="n">
        <x:v>0</x:v>
      </x:c>
      <x:c r="G3722" s="12" t="n">
        <x:v>3.9830000000000005</x:v>
      </x:c>
      <x:c r="H3722" s="1" t="n">
        <x:f>'Historical prices'!E3722</x:f>
        <x:v>1.05</x:v>
      </x:c>
      <x:c r="I3722" s="6" t="n">
        <x:f>'Historical prices'!D3722</x:f>
        <x:v>0.2144</x:v>
      </x:c>
      <x:c r="J3722" s="13" t="n">
        <x:f>D3722*I3722*H3722</x:f>
        <x:v>1.00405396</x:v>
      </x:c>
      <x:c r="K3722" s="13" t="n">
        <x:f>E3722*I3722*H3722</x:f>
        <x:v>0.10785124000000001</x:v>
      </x:c>
      <x:c r="L3722" s="1" t="str">
        <x:f>TEXT(A3722,"mmm yyyy")</x:f>
        <x:v>Jul 2026</x:v>
      </x:c>
    </x:row>
    <x:row r="3723" ht="21" customHeight="1">
      <x:c r="A3723" s="10" t="n">
        <x:v>46226</x:v>
      </x:c>
      <x:c r="B3723" s="1" t="n">
        <x:v>1.5</x:v>
      </x:c>
      <x:c r="C3723" s="1" t="n">
        <x:v>6</x:v>
      </x:c>
      <x:c r="D3723" s="12" t="n">
        <x:v>5.2805</x:v>
      </x:c>
      <x:c r="E3723" s="12" t="n">
        <x:v>0.5315</x:v>
      </x:c>
      <x:c r="F3723" s="12" t="n">
        <x:v>0</x:v>
      </x:c>
      <x:c r="G3723" s="12" t="n">
        <x:v>4.7490000000000006</x:v>
      </x:c>
      <x:c r="H3723" s="1" t="n">
        <x:f>'Historical prices'!E3723</x:f>
        <x:v>1.05</x:v>
      </x:c>
      <x:c r="I3723" s="6" t="n">
        <x:f>'Historical prices'!D3723</x:f>
        <x:v>0.2162</x:v>
      </x:c>
      <x:c r="J3723" s="13" t="n">
        <x:f>D3723*I3723*H3723</x:f>
        <x:v>1.1987263049999999</x:v>
      </x:c>
      <x:c r="K3723" s="13" t="n">
        <x:f>E3723*I3723*H3723</x:f>
        <x:v>0.120655815</x:v>
      </x:c>
      <x:c r="L3723" s="1" t="str">
        <x:f>TEXT(A3723,"mmm yyyy")</x:f>
        <x:v>Jul 2026</x:v>
      </x:c>
    </x:row>
    <x:row r="3724" ht="21" customHeight="1">
      <x:c r="A3724" s="10" t="n">
        <x:v>46226</x:v>
      </x:c>
      <x:c r="B3724" s="1" t="n">
        <x:v>2</x:v>
      </x:c>
      <x:c r="C3724" s="1" t="n">
        <x:v>6</x:v>
      </x:c>
      <x:c r="D3724" s="12" t="n">
        <x:v>5.05875</x:v>
      </x:c>
      <x:c r="E3724" s="12" t="n">
        <x:v>0.45875</x:v>
      </x:c>
      <x:c r="F3724" s="12" t="n">
        <x:v>0</x:v>
      </x:c>
      <x:c r="G3724" s="12" t="n">
        <x:v>4.6000000000000005</x:v>
      </x:c>
      <x:c r="H3724" s="1" t="n">
        <x:f>'Historical prices'!E3724</x:f>
        <x:v>1.05</x:v>
      </x:c>
      <x:c r="I3724" s="6" t="n">
        <x:f>'Historical prices'!D3724</x:f>
        <x:v>0.2186</x:v>
      </x:c>
      <x:c r="J3724" s="13" t="n">
        <x:f>D3724*I3724*H3724</x:f>
        <x:v>1.1611348874999998</x:v>
      </x:c>
      <x:c r="K3724" s="13" t="n">
        <x:f>E3724*I3724*H3724</x:f>
        <x:v>0.10529688749999999</x:v>
      </x:c>
      <x:c r="L3724" s="1" t="str">
        <x:f>TEXT(A3724,"mmm yyyy")</x:f>
        <x:v>Jul 2026</x:v>
      </x:c>
    </x:row>
    <x:row r="3725" ht="21" customHeight="1">
      <x:c r="A3725" s="10" t="n">
        <x:v>46226</x:v>
      </x:c>
      <x:c r="B3725" s="1" t="n">
        <x:v>2.5</x:v>
      </x:c>
      <x:c r="C3725" s="1" t="n">
        <x:v>6</x:v>
      </x:c>
      <x:c r="D3725" s="12" t="n">
        <x:v>5.015333333333333</x:v>
      </x:c>
      <x:c r="E3725" s="12" t="n">
        <x:v>0.4283333333333334</x:v>
      </x:c>
      <x:c r="F3725" s="12" t="n">
        <x:v>0</x:v>
      </x:c>
      <x:c r="G3725" s="12" t="n">
        <x:v>4.587000000000001</x:v>
      </x:c>
      <x:c r="H3725" s="1" t="n">
        <x:f>'Historical prices'!E3725</x:f>
        <x:v>1.05</x:v>
      </x:c>
      <x:c r="I3725" s="6" t="n">
        <x:f>'Historical prices'!D3725</x:f>
        <x:v>0.21789999999999998</x:v>
      </x:c>
      <x:c r="J3725" s="13" t="n">
        <x:f>D3725*I3725*H3725</x:f>
        <x:v>1.14748319</x:v>
      </x:c>
      <x:c r="K3725" s="13" t="n">
        <x:f>E3725*I3725*H3725</x:f>
        <x:v>0.098000525</x:v>
      </x:c>
      <x:c r="L3725" s="1" t="str">
        <x:f>TEXT(A3725,"mmm yyyy")</x:f>
        <x:v>Jul 2026</x:v>
      </x:c>
    </x:row>
    <x:row r="3726" ht="21" customHeight="1">
      <x:c r="A3726" s="10" t="n">
        <x:v>46226</x:v>
      </x:c>
      <x:c r="B3726" s="1" t="n">
        <x:v>3</x:v>
      </x:c>
      <x:c r="C3726" s="1" t="n">
        <x:v>6</x:v>
      </x:c>
      <x:c r="D3726" s="12" t="n">
        <x:v>5.293083333333334</x:v>
      </x:c>
      <x:c r="E3726" s="12" t="n">
        <x:v>0.5840833333333334</x:v>
      </x:c>
      <x:c r="F3726" s="12" t="n">
        <x:v>0</x:v>
      </x:c>
      <x:c r="G3726" s="12" t="n">
        <x:v>4.709</x:v>
      </x:c>
      <x:c r="H3726" s="1" t="n">
        <x:f>'Historical prices'!E3726</x:f>
        <x:v>1.05</x:v>
      </x:c>
      <x:c r="I3726" s="6" t="n">
        <x:f>'Historical prices'!D3726</x:f>
        <x:v>0.21760000000000002</x:v>
      </x:c>
      <x:c r="J3726" s="13" t="n">
        <x:f>D3726*I3726*H3726</x:f>
        <x:v>1.20936368</x:v>
      </x:c>
      <x:c r="K3726" s="13" t="n">
        <x:f>E3726*I3726*H3726</x:f>
        <x:v>0.13345136000000002</x:v>
      </x:c>
      <x:c r="L3726" s="1" t="str">
        <x:f>TEXT(A3726,"mmm yyyy")</x:f>
        <x:v>Jul 2026</x:v>
      </x:c>
    </x:row>
    <x:row r="3727" ht="21" customHeight="1">
      <x:c r="A3727" s="10" t="n">
        <x:v>46226</x:v>
      </x:c>
      <x:c r="B3727" s="1" t="n">
        <x:v>3.5</x:v>
      </x:c>
      <x:c r="C3727" s="1" t="n">
        <x:v>6</x:v>
      </x:c>
      <x:c r="D3727" s="12" t="n">
        <x:v>4.992750000000001</x:v>
      </x:c>
      <x:c r="E3727" s="12" t="n">
        <x:v>0.46775</x:v>
      </x:c>
      <x:c r="F3727" s="12" t="n">
        <x:v>0</x:v>
      </x:c>
      <x:c r="G3727" s="12" t="n">
        <x:v>4.525</x:v>
      </x:c>
      <x:c r="H3727" s="1" t="n">
        <x:f>'Historical prices'!E3727</x:f>
        <x:v>1.05</x:v>
      </x:c>
      <x:c r="I3727" s="6" t="n">
        <x:f>'Historical prices'!D3727</x:f>
        <x:v>0.215</x:v>
      </x:c>
      <x:c r="J3727" s="13" t="n">
        <x:f>D3727*I3727*H3727</x:f>
        <x:v>1.1271133125000001</x:v>
      </x:c>
      <x:c r="K3727" s="13" t="n">
        <x:f>E3727*I3727*H3727</x:f>
        <x:v>0.1055945625</x:v>
      </x:c>
      <x:c r="L3727" s="1" t="str">
        <x:f>TEXT(A3727,"mmm yyyy")</x:f>
        <x:v>Jul 2026</x:v>
      </x:c>
    </x:row>
    <x:row r="3728" ht="21" customHeight="1">
      <x:c r="A3728" s="10" t="n">
        <x:v>46226</x:v>
      </x:c>
      <x:c r="B3728" s="1" t="n">
        <x:v>4</x:v>
      </x:c>
      <x:c r="C3728" s="1" t="n">
        <x:v>6</x:v>
      </x:c>
      <x:c r="D3728" s="12" t="n">
        <x:v>0.7259166666666667</x:v>
      </x:c>
      <x:c r="E3728" s="12" t="n">
        <x:v>0.21891666666666668</x:v>
      </x:c>
      <x:c r="F3728" s="12" t="n">
        <x:v>0</x:v>
      </x:c>
      <x:c r="G3728" s="12" t="n">
        <x:v>0.512</x:v>
      </x:c>
      <x:c r="H3728" s="1" t="n">
        <x:f>'Historical prices'!E3728</x:f>
        <x:v>1.05</x:v>
      </x:c>
      <x:c r="I3728" s="6" t="n">
        <x:f>'Historical prices'!D3728</x:f>
        <x:v>0.2228</x:v>
      </x:c>
      <x:c r="J3728" s="13" t="n">
        <x:f>D3728*I3728*H3728</x:f>
        <x:v>0.169820945</x:v>
      </x:c>
      <x:c r="K3728" s="13" t="n">
        <x:f>E3728*I3728*H3728</x:f>
        <x:v>0.051213365000000004</x:v>
      </x:c>
      <x:c r="L3728" s="1" t="str">
        <x:f>TEXT(A3728,"mmm yyyy")</x:f>
        <x:v>Jul 2026</x:v>
      </x:c>
    </x:row>
    <x:row r="3729" ht="21" customHeight="1">
      <x:c r="A3729" s="10" t="n">
        <x:v>46226</x:v>
      </x:c>
      <x:c r="B3729" s="1" t="n">
        <x:v>4.5</x:v>
      </x:c>
      <x:c r="C3729" s="1" t="n">
        <x:v>6</x:v>
      </x:c>
      <x:c r="D3729" s="12" t="n">
        <x:v>0.2554166666666666</x:v>
      </x:c>
      <x:c r="E3729" s="12" t="n">
        <x:v>0.26641666666666663</x:v>
      </x:c>
      <x:c r="F3729" s="12" t="n">
        <x:v>0</x:v>
      </x:c>
      <x:c r="G3729" s="12" t="n">
        <x:v>0</x:v>
      </x:c>
      <x:c r="H3729" s="1" t="n">
        <x:f>'Historical prices'!E3729</x:f>
        <x:v>1.05</x:v>
      </x:c>
      <x:c r="I3729" s="6" t="n">
        <x:f>'Historical prices'!D3729</x:f>
        <x:v>0.2235</x:v>
      </x:c>
      <x:c r="J3729" s="13" t="n">
        <x:f>D3729*I3729*H3729</x:f>
        <x:v>0.059939906249999994</x:v>
      </x:c>
      <x:c r="K3729" s="13" t="n">
        <x:f>E3729*I3729*H3729</x:f>
        <x:v>0.06252133124999999</x:v>
      </x:c>
      <x:c r="L3729" s="1" t="str">
        <x:f>TEXT(A3729,"mmm yyyy")</x:f>
        <x:v>Jul 2026</x:v>
      </x:c>
    </x:row>
    <x:row r="3730" ht="21" customHeight="1">
      <x:c r="A3730" s="10" t="n">
        <x:v>46226</x:v>
      </x:c>
      <x:c r="B3730" s="1" t="n">
        <x:v>5</x:v>
      </x:c>
      <x:c r="C3730" s="1" t="n">
        <x:v>6</x:v>
      </x:c>
      <x:c r="D3730" s="12" t="n">
        <x:v>0.27425</x:v>
      </x:c>
      <x:c r="E3730" s="12" t="n">
        <x:v>0.28625</x:v>
      </x:c>
      <x:c r="F3730" s="12" t="n">
        <x:v>0</x:v>
      </x:c>
      <x:c r="G3730" s="12" t="n">
        <x:v>0</x:v>
      </x:c>
      <x:c r="H3730" s="1" t="n">
        <x:f>'Historical prices'!E3730</x:f>
        <x:v>1.05</x:v>
      </x:c>
      <x:c r="I3730" s="6" t="n">
        <x:f>'Historical prices'!D3730</x:f>
        <x:v>0.2482</x:v>
      </x:c>
      <x:c r="J3730" s="13" t="n">
        <x:f>D3730*I3730*H3730</x:f>
        <x:v>0.0714722925</x:v>
      </x:c>
      <x:c r="K3730" s="13" t="n">
        <x:f>E3730*I3730*H3730</x:f>
        <x:v>0.07459961250000001</x:v>
      </x:c>
      <x:c r="L3730" s="1" t="str">
        <x:f>TEXT(A3730,"mmm yyyy")</x:f>
        <x:v>Jul 2026</x:v>
      </x:c>
    </x:row>
    <x:row r="3731" ht="21" customHeight="1">
      <x:c r="A3731" s="10" t="n">
        <x:v>46226</x:v>
      </x:c>
      <x:c r="B3731" s="1" t="n">
        <x:v>5.5</x:v>
      </x:c>
      <x:c r="C3731" s="1" t="n">
        <x:v>6</x:v>
      </x:c>
      <x:c r="D3731" s="12" t="n">
        <x:v>0.18683333333333332</x:v>
      </x:c>
      <x:c r="E3731" s="12" t="n">
        <x:v>0.19683333333333333</x:v>
      </x:c>
      <x:c r="F3731" s="12" t="n">
        <x:v>0</x:v>
      </x:c>
      <x:c r="G3731" s="12" t="n">
        <x:v>0</x:v>
      </x:c>
      <x:c r="H3731" s="1" t="n">
        <x:f>'Historical prices'!E3731</x:f>
        <x:v>1.05</x:v>
      </x:c>
      <x:c r="I3731" s="6" t="n">
        <x:f>'Historical prices'!D3731</x:f>
        <x:v>0.253</x:v>
      </x:c>
      <x:c r="J3731" s="13" t="n">
        <x:f>D3731*I3731*H3731</x:f>
        <x:v>0.049632275</x:v>
      </x:c>
      <x:c r="K3731" s="13" t="n">
        <x:f>E3731*I3731*H3731</x:f>
        <x:v>0.052288775</x:v>
      </x:c>
      <x:c r="L3731" s="1" t="str">
        <x:f>TEXT(A3731,"mmm yyyy")</x:f>
        <x:v>Jul 2026</x:v>
      </x:c>
    </x:row>
    <x:row r="3732" ht="21" customHeight="1">
      <x:c r="A3732" s="10" t="n">
        <x:v>46226</x:v>
      </x:c>
      <x:c r="B3732" s="1" t="n">
        <x:v>6</x:v>
      </x:c>
      <x:c r="C3732" s="1" t="n">
        <x:v>6</x:v>
      </x:c>
      <x:c r="D3732" s="12" t="n">
        <x:v>0.217</x:v>
      </x:c>
      <x:c r="E3732" s="12" t="n">
        <x:v>0.22799999999999998</x:v>
      </x:c>
      <x:c r="F3732" s="12" t="n">
        <x:v>0</x:v>
      </x:c>
      <x:c r="G3732" s="12" t="n">
        <x:v>0</x:v>
      </x:c>
      <x:c r="H3732" s="1" t="n">
        <x:f>'Historical prices'!E3732</x:f>
        <x:v>1.05</x:v>
      </x:c>
      <x:c r="I3732" s="6" t="n">
        <x:f>'Historical prices'!D3732</x:f>
        <x:v>0.2608</x:v>
      </x:c>
      <x:c r="J3732" s="13" t="n">
        <x:f>D3732*I3732*H3732</x:f>
        <x:v>0.059423279999999995</x:v>
      </x:c>
      <x:c r="K3732" s="13" t="n">
        <x:f>E3732*I3732*H3732</x:f>
        <x:v>0.062435519999999994</x:v>
      </x:c>
      <x:c r="L3732" s="1" t="str">
        <x:f>TEXT(A3732,"mmm yyyy")</x:f>
        <x:v>Jul 2026</x:v>
      </x:c>
    </x:row>
    <x:row r="3733" ht="21" customHeight="1">
      <x:c r="A3733" s="10" t="n">
        <x:v>46226</x:v>
      </x:c>
      <x:c r="B3733" s="1" t="n">
        <x:v>6.5</x:v>
      </x:c>
      <x:c r="C3733" s="1" t="n">
        <x:v>6</x:v>
      </x:c>
      <x:c r="D3733" s="12" t="n">
        <x:v>0.05616666666666666</x:v>
      </x:c>
      <x:c r="E3733" s="12" t="n">
        <x:v>0.5448333333333333</x:v>
      </x:c>
      <x:c r="F3733" s="12" t="n">
        <x:v>0.48733333333333334</x:v>
      </x:c>
      <x:c r="G3733" s="12" t="n">
        <x:v>0</x:v>
      </x:c>
      <x:c r="H3733" s="1" t="n">
        <x:f>'Historical prices'!E3733</x:f>
        <x:v>1.05</x:v>
      </x:c>
      <x:c r="I3733" s="6" t="n">
        <x:f>'Historical prices'!D3733</x:f>
        <x:v>0.28550000000000003</x:v>
      </x:c>
      <x:c r="J3733" s="13" t="n">
        <x:f>D3733*I3733*H3733</x:f>
        <x:v>0.016837362500000005</x:v>
      </x:c>
      <x:c r="K3733" s="13" t="n">
        <x:f>E3733*I3733*H3733</x:f>
        <x:v>0.16332741250000002</x:v>
      </x:c>
      <x:c r="L3733" s="1" t="str">
        <x:f>TEXT(A3733,"mmm yyyy")</x:f>
        <x:v>Jul 2026</x:v>
      </x:c>
    </x:row>
    <x:row r="3734" ht="21" customHeight="1">
      <x:c r="A3734" s="10" t="n">
        <x:v>46226</x:v>
      </x:c>
      <x:c r="B3734" s="1" t="n">
        <x:v>7</x:v>
      </x:c>
      <x:c r="C3734" s="1" t="n">
        <x:v>6</x:v>
      </x:c>
      <x:c r="D3734" s="12" t="n">
        <x:v>0</x:v>
      </x:c>
      <x:c r="E3734" s="12" t="n">
        <x:v>0.5754166666666666</x:v>
      </x:c>
      <x:c r="F3734" s="12" t="n">
        <x:v>0.5753333333333333</x:v>
      </x:c>
      <x:c r="G3734" s="12" t="n">
        <x:v>0</x:v>
      </x:c>
      <x:c r="H3734" s="1" t="n">
        <x:f>'Historical prices'!E3734</x:f>
        <x:v>1.05</x:v>
      </x:c>
      <x:c r="I3734" s="6" t="n">
        <x:f>'Historical prices'!D3734</x:f>
        <x:v>0.289</x:v>
      </x:c>
      <x:c r="J3734" s="13" t="n">
        <x:f>D3734*I3734*H3734</x:f>
        <x:v>0</x:v>
      </x:c>
      <x:c r="K3734" s="13" t="n">
        <x:f>E3734*I3734*H3734</x:f>
        <x:v>0.17461018749999999</x:v>
      </x:c>
      <x:c r="L3734" s="1" t="str">
        <x:f>TEXT(A3734,"mmm yyyy")</x:f>
        <x:v>Jul 2026</x:v>
      </x:c>
    </x:row>
    <x:row r="3735" ht="21" customHeight="1">
      <x:c r="A3735" s="10" t="n">
        <x:v>46226</x:v>
      </x:c>
      <x:c r="B3735" s="1" t="n">
        <x:v>7.5</x:v>
      </x:c>
      <x:c r="C3735" s="1" t="n">
        <x:v>6</x:v>
      </x:c>
      <x:c r="D3735" s="12" t="n">
        <x:v>0</x:v>
      </x:c>
      <x:c r="E3735" s="12" t="n">
        <x:v>0.646</x:v>
      </x:c>
      <x:c r="F3735" s="12" t="n">
        <x:v>0.6455833333333333</x:v>
      </x:c>
      <x:c r="G3735" s="12" t="n">
        <x:v>0</x:v>
      </x:c>
      <x:c r="H3735" s="1" t="n">
        <x:f>'Historical prices'!E3735</x:f>
        <x:v>1.05</x:v>
      </x:c>
      <x:c r="I3735" s="6" t="n">
        <x:f>'Historical prices'!D3735</x:f>
        <x:v>0.2948</x:v>
      </x:c>
      <x:c r="J3735" s="13" t="n">
        <x:f>D3735*I3735*H3735</x:f>
        <x:v>0</x:v>
      </x:c>
      <x:c r="K3735" s="13" t="n">
        <x:f>E3735*I3735*H3735</x:f>
        <x:v>0.19996284000000003</x:v>
      </x:c>
      <x:c r="L3735" s="1" t="str">
        <x:f>TEXT(A3735,"mmm yyyy")</x:f>
        <x:v>Jul 2026</x:v>
      </x:c>
    </x:row>
    <x:row r="3736" ht="21" customHeight="1">
      <x:c r="A3736" s="10" t="n">
        <x:v>46226</x:v>
      </x:c>
      <x:c r="B3736" s="1" t="n">
        <x:v>8</x:v>
      </x:c>
      <x:c r="C3736" s="1" t="n">
        <x:v>6</x:v>
      </x:c>
      <x:c r="D3736" s="12" t="n">
        <x:v>0</x:v>
      </x:c>
      <x:c r="E3736" s="12" t="n">
        <x:v>0.55075</x:v>
      </x:c>
      <x:c r="F3736" s="12" t="n">
        <x:v>0.5504166666666667</x:v>
      </x:c>
      <x:c r="G3736" s="12" t="n">
        <x:v>0</x:v>
      </x:c>
      <x:c r="H3736" s="1" t="n">
        <x:f>'Historical prices'!E3736</x:f>
        <x:v>1.05</x:v>
      </x:c>
      <x:c r="I3736" s="6" t="n">
        <x:f>'Historical prices'!D3736</x:f>
        <x:v>0.2807</x:v>
      </x:c>
      <x:c r="J3736" s="13" t="n">
        <x:f>D3736*I3736*H3736</x:f>
        <x:v>0</x:v>
      </x:c>
      <x:c r="K3736" s="13" t="n">
        <x:f>E3736*I3736*H3736</x:f>
        <x:v>0.16232530125</x:v>
      </x:c>
      <x:c r="L3736" s="1" t="str">
        <x:f>TEXT(A3736,"mmm yyyy")</x:f>
        <x:v>Jul 2026</x:v>
      </x:c>
    </x:row>
    <x:row r="3737" ht="21" customHeight="1">
      <x:c r="A3737" s="10" t="n">
        <x:v>46226</x:v>
      </x:c>
      <x:c r="B3737" s="1" t="n">
        <x:v>8.5</x:v>
      </x:c>
      <x:c r="C3737" s="1" t="n">
        <x:v>6</x:v>
      </x:c>
      <x:c r="D3737" s="12" t="n">
        <x:v>0</x:v>
      </x:c>
      <x:c r="E3737" s="12" t="n">
        <x:v>0.5214166666666666</x:v>
      </x:c>
      <x:c r="F3737" s="12" t="n">
        <x:v>0.5212499999999999</x:v>
      </x:c>
      <x:c r="G3737" s="12" t="n">
        <x:v>0</x:v>
      </x:c>
      <x:c r="H3737" s="1" t="n">
        <x:f>'Historical prices'!E3737</x:f>
        <x:v>1.05</x:v>
      </x:c>
      <x:c r="I3737" s="6" t="n">
        <x:f>'Historical prices'!D3737</x:f>
        <x:v>0.2702</x:v>
      </x:c>
      <x:c r="J3737" s="13" t="n">
        <x:f>D3737*I3737*H3737</x:f>
        <x:v>0</x:v>
      </x:c>
      <x:c r="K3737" s="13" t="n">
        <x:f>E3737*I3737*H3737</x:f>
        <x:v>0.14793112249999998</x:v>
      </x:c>
      <x:c r="L3737" s="1" t="str">
        <x:f>TEXT(A3737,"mmm yyyy")</x:f>
        <x:v>Jul 2026</x:v>
      </x:c>
    </x:row>
    <x:row r="3738" ht="21" customHeight="1">
      <x:c r="A3738" s="10" t="n">
        <x:v>46226</x:v>
      </x:c>
      <x:c r="B3738" s="1" t="n">
        <x:v>9</x:v>
      </x:c>
      <x:c r="C3738" s="1" t="n">
        <x:v>6</x:v>
      </x:c>
      <x:c r="D3738" s="12" t="n">
        <x:v>0</x:v>
      </x:c>
      <x:c r="E3738" s="12" t="n">
        <x:v>0.5030833333333333</x:v>
      </x:c>
      <x:c r="F3738" s="12" t="n">
        <x:v>0.5026666666666667</x:v>
      </x:c>
      <x:c r="G3738" s="12" t="n">
        <x:v>0</x:v>
      </x:c>
      <x:c r="H3738" s="1" t="n">
        <x:f>'Historical prices'!E3738</x:f>
        <x:v>1.05</x:v>
      </x:c>
      <x:c r="I3738" s="6" t="n">
        <x:f>'Historical prices'!D3738</x:f>
        <x:v>0.2807</x:v>
      </x:c>
      <x:c r="J3738" s="13" t="n">
        <x:f>D3738*I3738*H3738</x:f>
        <x:v>0</x:v>
      </x:c>
      <x:c r="K3738" s="13" t="n">
        <x:f>E3738*I3738*H3738</x:f>
        <x:v>0.14827626625</x:v>
      </x:c>
      <x:c r="L3738" s="1" t="str">
        <x:f>TEXT(A3738,"mmm yyyy")</x:f>
        <x:v>Jul 2026</x:v>
      </x:c>
    </x:row>
    <x:row r="3739" ht="21" customHeight="1">
      <x:c r="A3739" s="10" t="n">
        <x:v>46226</x:v>
      </x:c>
      <x:c r="B3739" s="1" t="n">
        <x:v>9.5</x:v>
      </x:c>
      <x:c r="C3739" s="1" t="n">
        <x:v>6</x:v>
      </x:c>
      <x:c r="D3739" s="12" t="n">
        <x:v>0.43908333333333327</x:v>
      </x:c>
      <x:c r="E3739" s="12" t="n">
        <x:v>0.546</x:v>
      </x:c>
      <x:c r="F3739" s="12" t="n">
        <x:v>0.09691666666666666</x:v>
      </x:c>
      <x:c r="G3739" s="12" t="n">
        <x:v>0</x:v>
      </x:c>
      <x:c r="H3739" s="1" t="n">
        <x:f>'Historical prices'!E3739</x:f>
        <x:v>1.05</x:v>
      </x:c>
      <x:c r="I3739" s="6" t="n">
        <x:f>'Historical prices'!D3739</x:f>
        <x:v>0.2648</x:v>
      </x:c>
      <x:c r="J3739" s="13" t="n">
        <x:f>D3739*I3739*H3739</x:f>
        <x:v>0.12208272999999997</x:v>
      </x:c>
      <x:c r="K3739" s="13" t="n">
        <x:f>E3739*I3739*H3739</x:f>
        <x:v>0.15180984000000003</x:v>
      </x:c>
      <x:c r="L3739" s="1" t="str">
        <x:f>TEXT(A3739,"mmm yyyy")</x:f>
        <x:v>Jul 2026</x:v>
      </x:c>
    </x:row>
    <x:row r="3740" ht="21" customHeight="1">
      <x:c r="A3740" s="10" t="n">
        <x:v>46226</x:v>
      </x:c>
      <x:c r="B3740" s="1" t="n">
        <x:v>10</x:v>
      </x:c>
      <x:c r="C3740" s="1" t="n">
        <x:v>6</x:v>
      </x:c>
      <x:c r="D3740" s="12" t="n">
        <x:v>0.5054166666666666</x:v>
      </x:c>
      <x:c r="E3740" s="12" t="n">
        <x:v>0.5154166666666666</x:v>
      </x:c>
      <x:c r="F3740" s="12" t="n">
        <x:v>0</x:v>
      </x:c>
      <x:c r="G3740" s="12" t="n">
        <x:v>0</x:v>
      </x:c>
      <x:c r="H3740" s="1" t="n">
        <x:f>'Historical prices'!E3740</x:f>
        <x:v>1.05</x:v>
      </x:c>
      <x:c r="I3740" s="6" t="n">
        <x:f>'Historical prices'!D3740</x:f>
        <x:v>0.25429999999999997</x:v>
      </x:c>
      <x:c r="J3740" s="13" t="n">
        <x:f>D3740*I3740*H3740</x:f>
        <x:v>0.13495383125</x:v>
      </x:c>
      <x:c r="K3740" s="13" t="n">
        <x:f>E3740*I3740*H3740</x:f>
        <x:v>0.13762398124999997</x:v>
      </x:c>
      <x:c r="L3740" s="1" t="str">
        <x:f>TEXT(A3740,"mmm yyyy")</x:f>
        <x:v>Jul 2026</x:v>
      </x:c>
    </x:row>
    <x:row r="3741" ht="21" customHeight="1">
      <x:c r="A3741" s="10" t="n">
        <x:v>46226</x:v>
      </x:c>
      <x:c r="B3741" s="1" t="n">
        <x:v>10.5</x:v>
      </x:c>
      <x:c r="C3741" s="1" t="n">
        <x:v>6</x:v>
      </x:c>
      <x:c r="D3741" s="12" t="n">
        <x:v>0.4806666666666667</x:v>
      </x:c>
      <x:c r="E3741" s="12" t="n">
        <x:v>0.49066666666666664</x:v>
      </x:c>
      <x:c r="F3741" s="12" t="n">
        <x:v>0</x:v>
      </x:c>
      <x:c r="G3741" s="12" t="n">
        <x:v>0</x:v>
      </x:c>
      <x:c r="H3741" s="1" t="n">
        <x:f>'Historical prices'!E3741</x:f>
        <x:v>1.05</x:v>
      </x:c>
      <x:c r="I3741" s="6" t="n">
        <x:f>'Historical prices'!D3741</x:f>
        <x:v>0.24</x:v>
      </x:c>
      <x:c r="J3741" s="13" t="n">
        <x:f>D3741*I3741*H3741</x:f>
        <x:v>0.12112800000000001</x:v>
      </x:c>
      <x:c r="K3741" s="13" t="n">
        <x:f>E3741*I3741*H3741</x:f>
        <x:v>0.123648</x:v>
      </x:c>
      <x:c r="L3741" s="1" t="str">
        <x:f>TEXT(A3741,"mmm yyyy")</x:f>
        <x:v>Jul 2026</x:v>
      </x:c>
    </x:row>
    <x:row r="3742" ht="21" customHeight="1">
      <x:c r="A3742" s="10" t="n">
        <x:v>46226</x:v>
      </x:c>
      <x:c r="B3742" s="1" t="n">
        <x:v>11</x:v>
      </x:c>
      <x:c r="C3742" s="1" t="n">
        <x:v>6</x:v>
      </x:c>
      <x:c r="D3742" s="12" t="n">
        <x:v>0.43325</x:v>
      </x:c>
      <x:c r="E3742" s="12" t="n">
        <x:v>0.44425</x:v>
      </x:c>
      <x:c r="F3742" s="12" t="n">
        <x:v>0</x:v>
      </x:c>
      <x:c r="G3742" s="12" t="n">
        <x:v>0</x:v>
      </x:c>
      <x:c r="H3742" s="1" t="n">
        <x:f>'Historical prices'!E3742</x:f>
        <x:v>1.05</x:v>
      </x:c>
      <x:c r="I3742" s="6" t="n">
        <x:f>'Historical prices'!D3742</x:f>
        <x:v>0.2395</x:v>
      </x:c>
      <x:c r="J3742" s="13" t="n">
        <x:f>D3742*I3742*H3742</x:f>
        <x:v>0.10895154375</x:v>
      </x:c>
      <x:c r="K3742" s="13" t="n">
        <x:f>E3742*I3742*H3742</x:f>
        <x:v>0.11171776874999999</x:v>
      </x:c>
      <x:c r="L3742" s="1" t="str">
        <x:f>TEXT(A3742,"mmm yyyy")</x:f>
        <x:v>Jul 2026</x:v>
      </x:c>
    </x:row>
    <x:row r="3743" ht="21" customHeight="1">
      <x:c r="A3743" s="10" t="n">
        <x:v>46226</x:v>
      </x:c>
      <x:c r="B3743" s="1" t="n">
        <x:v>11.5</x:v>
      </x:c>
      <x:c r="C3743" s="1" t="n">
        <x:v>6</x:v>
      </x:c>
      <x:c r="D3743" s="12" t="n">
        <x:v>0.3418333333333333</x:v>
      </x:c>
      <x:c r="E3743" s="12" t="n">
        <x:v>0.35283333333333333</x:v>
      </x:c>
      <x:c r="F3743" s="12" t="n">
        <x:v>0</x:v>
      </x:c>
      <x:c r="G3743" s="12" t="n">
        <x:v>0</x:v>
      </x:c>
      <x:c r="H3743" s="1" t="n">
        <x:f>'Historical prices'!E3743</x:f>
        <x:v>1.05</x:v>
      </x:c>
      <x:c r="I3743" s="6" t="n">
        <x:f>'Historical prices'!D3743</x:f>
        <x:v>0.23370000000000002</x:v>
      </x:c>
      <x:c r="J3743" s="13" t="n">
        <x:f>D3743*I3743*H3743</x:f>
        <x:v>0.0838807725</x:v>
      </x:c>
      <x:c r="K3743" s="13" t="n">
        <x:f>E3743*I3743*H3743</x:f>
        <x:v>0.08658000750000001</x:v>
      </x:c>
      <x:c r="L3743" s="1" t="str">
        <x:f>TEXT(A3743,"mmm yyyy")</x:f>
        <x:v>Jul 2026</x:v>
      </x:c>
    </x:row>
    <x:row r="3744" ht="21" customHeight="1">
      <x:c r="A3744" s="10" t="n">
        <x:v>46226</x:v>
      </x:c>
      <x:c r="B3744" s="1" t="n">
        <x:v>12</x:v>
      </x:c>
      <x:c r="C3744" s="1" t="n">
        <x:v>6</x:v>
      </x:c>
      <x:c r="D3744" s="12" t="n">
        <x:v>0.4185833333333333</x:v>
      </x:c>
      <x:c r="E3744" s="12" t="n">
        <x:v>0.4285833333333333</x:v>
      </x:c>
      <x:c r="F3744" s="12" t="n">
        <x:v>0</x:v>
      </x:c>
      <x:c r="G3744" s="12" t="n">
        <x:v>0</x:v>
      </x:c>
      <x:c r="H3744" s="1" t="n">
        <x:f>'Historical prices'!E3744</x:f>
        <x:v>1.05</x:v>
      </x:c>
      <x:c r="I3744" s="6" t="n">
        <x:f>'Historical prices'!D3744</x:f>
        <x:v>0.2375</x:v>
      </x:c>
      <x:c r="J3744" s="13" t="n">
        <x:f>D3744*I3744*H3744</x:f>
        <x:v>0.10438421875</x:v>
      </x:c>
      <x:c r="K3744" s="13" t="n">
        <x:f>E3744*I3744*H3744</x:f>
        <x:v>0.10687796875</x:v>
      </x:c>
      <x:c r="L3744" s="1" t="str">
        <x:f>TEXT(A3744,"mmm yyyy")</x:f>
        <x:v>Jul 2026</x:v>
      </x:c>
    </x:row>
    <x:row r="3745" ht="21" customHeight="1">
      <x:c r="A3745" s="10" t="n">
        <x:v>46226</x:v>
      </x:c>
      <x:c r="B3745" s="1" t="n">
        <x:v>12.5</x:v>
      </x:c>
      <x:c r="C3745" s="1" t="n">
        <x:v>6</x:v>
      </x:c>
      <x:c r="D3745" s="12" t="n">
        <x:v>0.36974999999999997</x:v>
      </x:c>
      <x:c r="E3745" s="12" t="n">
        <x:v>0.37975</x:v>
      </x:c>
      <x:c r="F3745" s="12" t="n">
        <x:v>0</x:v>
      </x:c>
      <x:c r="G3745" s="12" t="n">
        <x:v>0</x:v>
      </x:c>
      <x:c r="H3745" s="1" t="n">
        <x:f>'Historical prices'!E3745</x:f>
        <x:v>1.05</x:v>
      </x:c>
      <x:c r="I3745" s="6" t="n">
        <x:f>'Historical prices'!D3745</x:f>
        <x:v>0.23329999999999998</x:v>
      </x:c>
      <x:c r="J3745" s="13" t="n">
        <x:f>D3745*I3745*H3745</x:f>
        <x:v>0.09057580874999999</x:v>
      </x:c>
      <x:c r="K3745" s="13" t="n">
        <x:f>E3745*I3745*H3745</x:f>
        <x:v>0.09302545874999998</x:v>
      </x:c>
      <x:c r="L3745" s="1" t="str">
        <x:f>TEXT(A3745,"mmm yyyy")</x:f>
        <x:v>Jul 2026</x:v>
      </x:c>
    </x:row>
    <x:row r="3746" ht="21" customHeight="1">
      <x:c r="A3746" s="10" t="n">
        <x:v>46226</x:v>
      </x:c>
      <x:c r="B3746" s="1" t="n">
        <x:v>13</x:v>
      </x:c>
      <x:c r="C3746" s="1" t="n">
        <x:v>6</x:v>
      </x:c>
      <x:c r="D3746" s="12" t="n">
        <x:v>0.32866666666666666</x:v>
      </x:c>
      <x:c r="E3746" s="12" t="n">
        <x:v>0.33866666666666667</x:v>
      </x:c>
      <x:c r="F3746" s="12" t="n">
        <x:v>0</x:v>
      </x:c>
      <x:c r="G3746" s="12" t="n">
        <x:v>0</x:v>
      </x:c>
      <x:c r="H3746" s="1" t="n">
        <x:f>'Historical prices'!E3746</x:f>
        <x:v>1.05</x:v>
      </x:c>
      <x:c r="I3746" s="6" t="n">
        <x:f>'Historical prices'!D3746</x:f>
        <x:v>0.2309</x:v>
      </x:c>
      <x:c r="J3746" s="13" t="n">
        <x:f>D3746*I3746*H3746</x:f>
        <x:v>0.07968359</x:v>
      </x:c>
      <x:c r="K3746" s="13" t="n">
        <x:f>E3746*I3746*H3746</x:f>
        <x:v>0.08210804000000001</x:v>
      </x:c>
      <x:c r="L3746" s="1" t="str">
        <x:f>TEXT(A3746,"mmm yyyy")</x:f>
        <x:v>Jul 2026</x:v>
      </x:c>
    </x:row>
    <x:row r="3747" ht="21" customHeight="1">
      <x:c r="A3747" s="10" t="n">
        <x:v>46226</x:v>
      </x:c>
      <x:c r="B3747" s="1" t="n">
        <x:v>13.5</x:v>
      </x:c>
      <x:c r="C3747" s="1" t="n">
        <x:v>6</x:v>
      </x:c>
      <x:c r="D3747" s="12" t="n">
        <x:v>0.37666666666666665</x:v>
      </x:c>
      <x:c r="E3747" s="12" t="n">
        <x:v>0.38666666666666666</x:v>
      </x:c>
      <x:c r="F3747" s="12" t="n">
        <x:v>0</x:v>
      </x:c>
      <x:c r="G3747" s="12" t="n">
        <x:v>0</x:v>
      </x:c>
      <x:c r="H3747" s="1" t="n">
        <x:f>'Historical prices'!E3747</x:f>
        <x:v>1.05</x:v>
      </x:c>
      <x:c r="I3747" s="6" t="n">
        <x:f>'Historical prices'!D3747</x:f>
        <x:v>0.22460000000000002</x:v>
      </x:c>
      <x:c r="J3747" s="13" t="n">
        <x:f>D3747*I3747*H3747</x:f>
        <x:v>0.0888293</x:v>
      </x:c>
      <x:c r="K3747" s="13" t="n">
        <x:f>E3747*I3747*H3747</x:f>
        <x:v>0.09118760000000002</x:v>
      </x:c>
      <x:c r="L3747" s="1" t="str">
        <x:f>TEXT(A3747,"mmm yyyy")</x:f>
        <x:v>Jul 2026</x:v>
      </x:c>
    </x:row>
    <x:row r="3748" ht="21" customHeight="1">
      <x:c r="A3748" s="10" t="n">
        <x:v>46226</x:v>
      </x:c>
      <x:c r="B3748" s="1" t="n">
        <x:v>14</x:v>
      </x:c>
      <x:c r="C3748" s="1" t="n">
        <x:v>6</x:v>
      </x:c>
      <x:c r="D3748" s="12" t="n">
        <x:v>0.32075000000000004</x:v>
      </x:c>
      <x:c r="E3748" s="12" t="n">
        <x:v>0.33175000000000004</x:v>
      </x:c>
      <x:c r="F3748" s="12" t="n">
        <x:v>0</x:v>
      </x:c>
      <x:c r="G3748" s="12" t="n">
        <x:v>0</x:v>
      </x:c>
      <x:c r="H3748" s="1" t="n">
        <x:f>'Historical prices'!E3748</x:f>
        <x:v>1.05</x:v>
      </x:c>
      <x:c r="I3748" s="6" t="n">
        <x:f>'Historical prices'!D3748</x:f>
        <x:v>0.2228</x:v>
      </x:c>
      <x:c r="J3748" s="13" t="n">
        <x:f>D3748*I3748*H3748</x:f>
        <x:v>0.07503625500000001</x:v>
      </x:c>
      <x:c r="K3748" s="13" t="n">
        <x:f>E3748*I3748*H3748</x:f>
        <x:v>0.077609595</x:v>
      </x:c>
      <x:c r="L3748" s="1" t="str">
        <x:f>TEXT(A3748,"mmm yyyy")</x:f>
        <x:v>Jul 2026</x:v>
      </x:c>
    </x:row>
    <x:row r="3749" ht="21" customHeight="1">
      <x:c r="A3749" s="10" t="n">
        <x:v>46226</x:v>
      </x:c>
      <x:c r="B3749" s="1" t="n">
        <x:v>14.5</x:v>
      </x:c>
      <x:c r="C3749" s="1" t="n">
        <x:v>6</x:v>
      </x:c>
      <x:c r="D3749" s="12" t="n">
        <x:v>0.36575</x:v>
      </x:c>
      <x:c r="E3749" s="12" t="n">
        <x:v>0.37475</x:v>
      </x:c>
      <x:c r="F3749" s="12" t="n">
        <x:v>0</x:v>
      </x:c>
      <x:c r="G3749" s="12" t="n">
        <x:v>0</x:v>
      </x:c>
      <x:c r="H3749" s="1" t="n">
        <x:f>'Historical prices'!E3749</x:f>
        <x:v>1.05</x:v>
      </x:c>
      <x:c r="I3749" s="6" t="n">
        <x:f>'Historical prices'!D3749</x:f>
        <x:v>0.2228</x:v>
      </x:c>
      <x:c r="J3749" s="13" t="n">
        <x:f>D3749*I3749*H3749</x:f>
        <x:v>0.08556355500000001</x:v>
      </x:c>
      <x:c r="K3749" s="13" t="n">
        <x:f>E3749*I3749*H3749</x:f>
        <x:v>0.08766901500000002</x:v>
      </x:c>
      <x:c r="L3749" s="1" t="str">
        <x:f>TEXT(A3749,"mmm yyyy")</x:f>
        <x:v>Jul 2026</x:v>
      </x:c>
    </x:row>
    <x:row r="3750" ht="21" customHeight="1">
      <x:c r="A3750" s="10" t="n">
        <x:v>46226</x:v>
      </x:c>
      <x:c r="B3750" s="1" t="n">
        <x:v>15</x:v>
      </x:c>
      <x:c r="C3750" s="1" t="n">
        <x:v>6</x:v>
      </x:c>
      <x:c r="D3750" s="12" t="n">
        <x:v>0.4146666666666667</x:v>
      </x:c>
      <x:c r="E3750" s="12" t="n">
        <x:v>0.4266666666666667</x:v>
      </x:c>
      <x:c r="F3750" s="12" t="n">
        <x:v>0</x:v>
      </x:c>
      <x:c r="G3750" s="12" t="n">
        <x:v>0</x:v>
      </x:c>
      <x:c r="H3750" s="1" t="n">
        <x:f>'Historical prices'!E3750</x:f>
        <x:v>1.05</x:v>
      </x:c>
      <x:c r="I3750" s="6" t="n">
        <x:f>'Historical prices'!D3750</x:f>
        <x:v>0.2167</x:v>
      </x:c>
      <x:c r="J3750" s="13" t="n">
        <x:f>D3750*I3750*H3750</x:f>
        <x:v>0.09435118</x:v>
      </x:c>
      <x:c r="K3750" s="13" t="n">
        <x:f>E3750*I3750*H3750</x:f>
        <x:v>0.09708160000000002</x:v>
      </x:c>
      <x:c r="L3750" s="1" t="str">
        <x:f>TEXT(A3750,"mmm yyyy")</x:f>
        <x:v>Jul 2026</x:v>
      </x:c>
    </x:row>
    <x:row r="3751" ht="21" customHeight="1">
      <x:c r="A3751" s="10" t="n">
        <x:v>46226</x:v>
      </x:c>
      <x:c r="B3751" s="1" t="n">
        <x:v>15.5</x:v>
      </x:c>
      <x:c r="C3751" s="1" t="n">
        <x:v>6</x:v>
      </x:c>
      <x:c r="D3751" s="12" t="n">
        <x:v>0.39041666666666663</x:v>
      </x:c>
      <x:c r="E3751" s="12" t="n">
        <x:v>0.40041666666666664</x:v>
      </x:c>
      <x:c r="F3751" s="12" t="n">
        <x:v>0</x:v>
      </x:c>
      <x:c r="G3751" s="12" t="n">
        <x:v>0</x:v>
      </x:c>
      <x:c r="H3751" s="1" t="n">
        <x:f>'Historical prices'!E3751</x:f>
        <x:v>1.05</x:v>
      </x:c>
      <x:c r="I3751" s="6" t="n">
        <x:f>'Historical prices'!D3751</x:f>
        <x:v>0.2241</x:v>
      </x:c>
      <x:c r="J3751" s="13" t="n">
        <x:f>D3751*I3751*H3751</x:f>
        <x:v>0.09186699374999999</x:v>
      </x:c>
      <x:c r="K3751" s="13" t="n">
        <x:f>E3751*I3751*H3751</x:f>
        <x:v>0.09422004375</x:v>
      </x:c>
      <x:c r="L3751" s="1" t="str">
        <x:f>TEXT(A3751,"mmm yyyy")</x:f>
        <x:v>Jul 2026</x:v>
      </x:c>
    </x:row>
    <x:row r="3752" ht="21" customHeight="1">
      <x:c r="A3752" s="10" t="n">
        <x:v>46226</x:v>
      </x:c>
      <x:c r="B3752" s="1" t="n">
        <x:v>16</x:v>
      </x:c>
      <x:c r="C3752" s="1" t="n">
        <x:v>6</x:v>
      </x:c>
      <x:c r="D3752" s="12" t="n">
        <x:v>0.06375</x:v>
      </x:c>
      <x:c r="E3752" s="12" t="n">
        <x:v>0.42666666666666664</x:v>
      </x:c>
      <x:c r="F3752" s="12" t="n">
        <x:v>0.36175</x:v>
      </x:c>
      <x:c r="G3752" s="12" t="n">
        <x:v>0</x:v>
      </x:c>
      <x:c r="H3752" s="1" t="n">
        <x:f>'Historical prices'!E3752</x:f>
        <x:v>1.05</x:v>
      </x:c>
      <x:c r="I3752" s="6" t="n">
        <x:f>'Historical prices'!D3752</x:f>
        <x:v>0.34020000000000006</x:v>
      </x:c>
      <x:c r="J3752" s="13" t="n">
        <x:f>D3752*I3752*H3752</x:f>
        <x:v>0.022772137500000008</x:v>
      </x:c>
      <x:c r="K3752" s="13" t="n">
        <x:f>E3752*I3752*H3752</x:f>
        <x:v>0.1524096</x:v>
      </x:c>
      <x:c r="L3752" s="1" t="str">
        <x:f>TEXT(A3752,"mmm yyyy")</x:f>
        <x:v>Jul 2026</x:v>
      </x:c>
    </x:row>
    <x:row r="3753" ht="21" customHeight="1">
      <x:c r="A3753" s="10" t="n">
        <x:v>46226</x:v>
      </x:c>
      <x:c r="B3753" s="1" t="n">
        <x:v>16.5</x:v>
      </x:c>
      <x:c r="C3753" s="1" t="n">
        <x:v>6</x:v>
      </x:c>
      <x:c r="D3753" s="12" t="n">
        <x:v>0</x:v>
      </x:c>
      <x:c r="E3753" s="12" t="n">
        <x:v>0.5529166666666667</x:v>
      </x:c>
      <x:c r="F3753" s="12" t="n">
        <x:v>0.5526666666666666</x:v>
      </x:c>
      <x:c r="G3753" s="12" t="n">
        <x:v>0</x:v>
      </x:c>
      <x:c r="H3753" s="1" t="n">
        <x:f>'Historical prices'!E3753</x:f>
        <x:v>1.05</x:v>
      </x:c>
      <x:c r="I3753" s="6" t="n">
        <x:f>'Historical prices'!D3753</x:f>
        <x:v>0.3444</x:v>
      </x:c>
      <x:c r="J3753" s="13" t="n">
        <x:f>D3753*I3753*H3753</x:f>
        <x:v>0</x:v>
      </x:c>
      <x:c r="K3753" s="13" t="n">
        <x:f>E3753*I3753*H3753</x:f>
        <x:v>0.19994572500000005</x:v>
      </x:c>
      <x:c r="L3753" s="1" t="str">
        <x:f>TEXT(A3753,"mmm yyyy")</x:f>
        <x:v>Jul 2026</x:v>
      </x:c>
    </x:row>
    <x:row r="3754" ht="21" customHeight="1">
      <x:c r="A3754" s="10" t="n">
        <x:v>46226</x:v>
      </x:c>
      <x:c r="B3754" s="1" t="n">
        <x:v>17</x:v>
      </x:c>
      <x:c r="C3754" s="1" t="n">
        <x:v>6</x:v>
      </x:c>
      <x:c r="D3754" s="12" t="n">
        <x:v>0</x:v>
      </x:c>
      <x:c r="E3754" s="12" t="n">
        <x:v>0.5745833333333333</x:v>
      </x:c>
      <x:c r="F3754" s="12" t="n">
        <x:v>0.5745</x:v>
      </x:c>
      <x:c r="G3754" s="12" t="n">
        <x:v>0</x:v>
      </x:c>
      <x:c r="H3754" s="1" t="n">
        <x:f>'Historical prices'!E3754</x:f>
        <x:v>1.05</x:v>
      </x:c>
      <x:c r="I3754" s="6" t="n">
        <x:f>'Historical prices'!D3754</x:f>
        <x:v>0.3577</x:v>
      </x:c>
      <x:c r="J3754" s="13" t="n">
        <x:f>D3754*I3754*H3754</x:f>
        <x:v>0</x:v>
      </x:c>
      <x:c r="K3754" s="13" t="n">
        <x:f>E3754*I3754*H3754</x:f>
        <x:v>0.21580488125</x:v>
      </x:c>
      <x:c r="L3754" s="1" t="str">
        <x:f>TEXT(A3754,"mmm yyyy")</x:f>
        <x:v>Jul 2026</x:v>
      </x:c>
    </x:row>
    <x:row r="3755" ht="21" customHeight="1">
      <x:c r="A3755" s="10" t="n">
        <x:v>46226</x:v>
      </x:c>
      <x:c r="B3755" s="1" t="n">
        <x:v>17.5</x:v>
      </x:c>
      <x:c r="C3755" s="1" t="n">
        <x:v>6</x:v>
      </x:c>
      <x:c r="D3755" s="12" t="n">
        <x:v>0</x:v>
      </x:c>
      <x:c r="E3755" s="12" t="n">
        <x:v>0.5166666666666667</x:v>
      </x:c>
      <x:c r="F3755" s="12" t="n">
        <x:v>0.5166666666666667</x:v>
      </x:c>
      <x:c r="G3755" s="12" t="n">
        <x:v>0</x:v>
      </x:c>
      <x:c r="H3755" s="1" t="n">
        <x:f>'Historical prices'!E3755</x:f>
        <x:v>1.05</x:v>
      </x:c>
      <x:c r="I3755" s="6" t="n">
        <x:f>'Historical prices'!D3755</x:f>
        <x:v>0.37579999999999997</x:v>
      </x:c>
      <x:c r="J3755" s="13" t="n">
        <x:f>D3755*I3755*H3755</x:f>
        <x:v>0</x:v>
      </x:c>
      <x:c r="K3755" s="13" t="n">
        <x:f>E3755*I3755*H3755</x:f>
        <x:v>0.2038715</x:v>
      </x:c>
      <x:c r="L3755" s="1" t="str">
        <x:f>TEXT(A3755,"mmm yyyy")</x:f>
        <x:v>Jul 2026</x:v>
      </x:c>
    </x:row>
    <x:row r="3756" ht="21" customHeight="1">
      <x:c r="A3756" s="10" t="n">
        <x:v>46226</x:v>
      </x:c>
      <x:c r="B3756" s="1" t="n">
        <x:v>18</x:v>
      </x:c>
      <x:c r="C3756" s="1" t="n">
        <x:v>6</x:v>
      </x:c>
      <x:c r="D3756" s="12" t="n">
        <x:v>0</x:v>
      </x:c>
      <x:c r="E3756" s="12" t="n">
        <x:v>0.4649166666666667</x:v>
      </x:c>
      <x:c r="F3756" s="12" t="n">
        <x:v>0.46458333333333335</x:v>
      </x:c>
      <x:c r="G3756" s="12" t="n">
        <x:v>0</x:v>
      </x:c>
      <x:c r="H3756" s="1" t="n">
        <x:f>'Historical prices'!E3756</x:f>
        <x:v>1.05</x:v>
      </x:c>
      <x:c r="I3756" s="6" t="n">
        <x:f>'Historical prices'!D3756</x:f>
        <x:v>0.4054</x:v>
      </x:c>
      <x:c r="J3756" s="13" t="n">
        <x:f>D3756*I3756*H3756</x:f>
        <x:v>0</x:v>
      </x:c>
      <x:c r="K3756" s="13" t="n">
        <x:f>E3756*I3756*H3756</x:f>
        <x:v>0.19790107750000002</x:v>
      </x:c>
      <x:c r="L3756" s="1" t="str">
        <x:f>TEXT(A3756,"mmm yyyy")</x:f>
        <x:v>Jul 2026</x:v>
      </x:c>
    </x:row>
    <x:row r="3757" ht="21" customHeight="1">
      <x:c r="A3757" s="10" t="n">
        <x:v>46226</x:v>
      </x:c>
      <x:c r="B3757" s="1" t="n">
        <x:v>18.5</x:v>
      </x:c>
      <x:c r="C3757" s="1" t="n">
        <x:v>6</x:v>
      </x:c>
      <x:c r="D3757" s="12" t="n">
        <x:v>0</x:v>
      </x:c>
      <x:c r="E3757" s="12" t="n">
        <x:v>0.9298333333333332</x:v>
      </x:c>
      <x:c r="F3757" s="12" t="n">
        <x:v>0.9258333333333333</x:v>
      </x:c>
      <x:c r="G3757" s="12" t="n">
        <x:v>0</x:v>
      </x:c>
      <x:c r="H3757" s="1" t="n">
        <x:f>'Historical prices'!E3757</x:f>
        <x:v>1.05</x:v>
      </x:c>
      <x:c r="I3757" s="6" t="n">
        <x:f>'Historical prices'!D3757</x:f>
        <x:v>0.4226</x:v>
      </x:c>
      <x:c r="J3757" s="13" t="n">
        <x:f>D3757*I3757*H3757</x:f>
        <x:v>0</x:v>
      </x:c>
      <x:c r="K3757" s="13" t="n">
        <x:f>E3757*I3757*H3757</x:f>
        <x:v>0.41259494499999994</x:v>
      </x:c>
      <x:c r="L3757" s="1" t="str">
        <x:f>TEXT(A3757,"mmm yyyy")</x:f>
        <x:v>Jul 2026</x:v>
      </x:c>
    </x:row>
    <x:row r="3758" ht="21" customHeight="1">
      <x:c r="A3758" s="10" t="n">
        <x:v>46226</x:v>
      </x:c>
      <x:c r="B3758" s="1" t="n">
        <x:v>19</x:v>
      </x:c>
      <x:c r="C3758" s="1" t="n">
        <x:v>6</x:v>
      </x:c>
      <x:c r="D3758" s="12" t="n">
        <x:v>0</x:v>
      </x:c>
      <x:c r="E3758" s="12" t="n">
        <x:v>0.7785833333333332</x:v>
      </x:c>
      <x:c r="F3758" s="12" t="n">
        <x:v>0.7784999999999999</x:v>
      </x:c>
      <x:c r="G3758" s="12" t="n">
        <x:v>0</x:v>
      </x:c>
      <x:c r="H3758" s="1" t="n">
        <x:f>'Historical prices'!E3758</x:f>
        <x:v>1.05</x:v>
      </x:c>
      <x:c r="I3758" s="6" t="n">
        <x:f>'Historical prices'!D3758</x:f>
        <x:v>0.3152</x:v>
      </x:c>
      <x:c r="J3758" s="13" t="n">
        <x:f>D3758*I3758*H3758</x:f>
        <x:v>0</x:v>
      </x:c>
      <x:c r="K3758" s="13" t="n">
        <x:f>E3758*I3758*H3758</x:f>
        <x:v>0.25767993999999994</x:v>
      </x:c>
      <x:c r="L3758" s="1" t="str">
        <x:f>TEXT(A3758,"mmm yyyy")</x:f>
        <x:v>Jul 2026</x:v>
      </x:c>
    </x:row>
    <x:row r="3759" ht="21" customHeight="1">
      <x:c r="A3759" s="10" t="n">
        <x:v>46226</x:v>
      </x:c>
      <x:c r="B3759" s="1" t="n">
        <x:v>19.5</x:v>
      </x:c>
      <x:c r="C3759" s="1" t="n">
        <x:v>6</x:v>
      </x:c>
      <x:c r="D3759" s="12" t="n">
        <x:v>0</x:v>
      </x:c>
      <x:c r="E3759" s="12" t="n">
        <x:v>0.5238333333333334</x:v>
      </x:c>
      <x:c r="F3759" s="12" t="n">
        <x:v>0.5236666666666667</x:v>
      </x:c>
      <x:c r="G3759" s="12" t="n">
        <x:v>0</x:v>
      </x:c>
      <x:c r="H3759" s="1" t="n">
        <x:f>'Historical prices'!E3759</x:f>
        <x:v>1.05</x:v>
      </x:c>
      <x:c r="I3759" s="6" t="n">
        <x:f>'Historical prices'!D3759</x:f>
        <x:v>0.3173</x:v>
      </x:c>
      <x:c r="J3759" s="13" t="n">
        <x:f>D3759*I3759*H3759</x:f>
        <x:v>0</x:v>
      </x:c>
      <x:c r="K3759" s="13" t="n">
        <x:f>E3759*I3759*H3759</x:f>
        <x:v>0.17452293250000003</x:v>
      </x:c>
      <x:c r="L3759" s="1" t="str">
        <x:f>TEXT(A3759,"mmm yyyy")</x:f>
        <x:v>Jul 2026</x:v>
      </x:c>
    </x:row>
    <x:row r="3760" ht="21" customHeight="1">
      <x:c r="A3760" s="10" t="n">
        <x:v>46226</x:v>
      </x:c>
      <x:c r="B3760" s="1" t="n">
        <x:v>20</x:v>
      </x:c>
      <x:c r="C3760" s="1" t="n">
        <x:v>6</x:v>
      </x:c>
      <x:c r="D3760" s="12" t="n">
        <x:v>0</x:v>
      </x:c>
      <x:c r="E3760" s="12" t="n">
        <x:v>0.8308333333333332</x:v>
      </x:c>
      <x:c r="F3760" s="12" t="n">
        <x:v>0.8306666666666666</x:v>
      </x:c>
      <x:c r="G3760" s="12" t="n">
        <x:v>0</x:v>
      </x:c>
      <x:c r="H3760" s="1" t="n">
        <x:f>'Historical prices'!E3760</x:f>
        <x:v>1.05</x:v>
      </x:c>
      <x:c r="I3760" s="6" t="n">
        <x:f>'Historical prices'!D3760</x:f>
        <x:v>0.3186</x:v>
      </x:c>
      <x:c r="J3760" s="13" t="n">
        <x:f>D3760*I3760*H3760</x:f>
        <x:v>0</x:v>
      </x:c>
      <x:c r="K3760" s="13" t="n">
        <x:f>E3760*I3760*H3760</x:f>
        <x:v>0.27793867499999997</x:v>
      </x:c>
      <x:c r="L3760" s="1" t="str">
        <x:f>TEXT(A3760,"mmm yyyy")</x:f>
        <x:v>Jul 2026</x:v>
      </x:c>
    </x:row>
    <x:row r="3761" ht="21" customHeight="1">
      <x:c r="A3761" s="10" t="n">
        <x:v>46226</x:v>
      </x:c>
      <x:c r="B3761" s="1" t="n">
        <x:v>20.5</x:v>
      </x:c>
      <x:c r="C3761" s="1" t="n">
        <x:v>6</x:v>
      </x:c>
      <x:c r="D3761" s="12" t="n">
        <x:v>0</x:v>
      </x:c>
      <x:c r="E3761" s="12" t="n">
        <x:v>0.47783333333333333</x:v>
      </x:c>
      <x:c r="F3761" s="12" t="n">
        <x:v>0.47758333333333336</x:v>
      </x:c>
      <x:c r="G3761" s="12" t="n">
        <x:v>0</x:v>
      </x:c>
      <x:c r="H3761" s="1" t="n">
        <x:f>'Historical prices'!E3761</x:f>
        <x:v>1.05</x:v>
      </x:c>
      <x:c r="I3761" s="6" t="n">
        <x:f>'Historical prices'!D3761</x:f>
        <x:v>0.3225</x:v>
      </x:c>
      <x:c r="J3761" s="13" t="n">
        <x:f>D3761*I3761*H3761</x:f>
        <x:v>0</x:v>
      </x:c>
      <x:c r="K3761" s="13" t="n">
        <x:f>E3761*I3761*H3761</x:f>
        <x:v>0.1618063125</x:v>
      </x:c>
      <x:c r="L3761" s="1" t="str">
        <x:f>TEXT(A3761,"mmm yyyy")</x:f>
        <x:v>Jul 2026</x:v>
      </x:c>
    </x:row>
    <x:row r="3762" ht="21" customHeight="1">
      <x:c r="A3762" s="10" t="n">
        <x:v>46226</x:v>
      </x:c>
      <x:c r="B3762" s="1" t="n">
        <x:v>21</x:v>
      </x:c>
      <x:c r="C3762" s="1" t="n">
        <x:v>6</x:v>
      </x:c>
      <x:c r="D3762" s="12" t="n">
        <x:v>0</x:v>
      </x:c>
      <x:c r="E3762" s="12" t="n">
        <x:v>0.49983333333333324</x:v>
      </x:c>
      <x:c r="F3762" s="12" t="n">
        <x:v>0.49958333333333327</x:v>
      </x:c>
      <x:c r="G3762" s="12" t="n">
        <x:v>0</x:v>
      </x:c>
      <x:c r="H3762" s="1" t="n">
        <x:f>'Historical prices'!E3762</x:f>
        <x:v>1.05</x:v>
      </x:c>
      <x:c r="I3762" s="6" t="n">
        <x:f>'Historical prices'!D3762</x:f>
        <x:v>0.3259</x:v>
      </x:c>
      <x:c r="J3762" s="13" t="n">
        <x:f>D3762*I3762*H3762</x:f>
        <x:v>0</x:v>
      </x:c>
      <x:c r="K3762" s="13" t="n">
        <x:f>E3762*I3762*H3762</x:f>
        <x:v>0.1710404675</x:v>
      </x:c>
      <x:c r="L3762" s="1" t="str">
        <x:f>TEXT(A3762,"mmm yyyy")</x:f>
        <x:v>Jul 2026</x:v>
      </x:c>
    </x:row>
    <x:row r="3763" ht="21" customHeight="1">
      <x:c r="A3763" s="10" t="n">
        <x:v>46226</x:v>
      </x:c>
      <x:c r="B3763" s="1" t="n">
        <x:v>21.5</x:v>
      </x:c>
      <x:c r="C3763" s="1" t="n">
        <x:v>6</x:v>
      </x:c>
      <x:c r="D3763" s="12" t="n">
        <x:v>0</x:v>
      </x:c>
      <x:c r="E3763" s="12" t="n">
        <x:v>0.7197499999999999</x:v>
      </x:c>
      <x:c r="F3763" s="12" t="n">
        <x:v>0.7195833333333332</x:v>
      </x:c>
      <x:c r="G3763" s="12" t="n">
        <x:v>0</x:v>
      </x:c>
      <x:c r="H3763" s="1" t="n">
        <x:f>'Historical prices'!E3763</x:f>
        <x:v>1.05</x:v>
      </x:c>
      <x:c r="I3763" s="6" t="n">
        <x:f>'Historical prices'!D3763</x:f>
        <x:v>0.31739999999999996</x:v>
      </x:c>
      <x:c r="J3763" s="13" t="n">
        <x:f>D3763*I3763*H3763</x:f>
        <x:v>0</x:v>
      </x:c>
      <x:c r="K3763" s="13" t="n">
        <x:f>E3763*I3763*H3763</x:f>
        <x:v>0.23987108249999994</x:v>
      </x:c>
      <x:c r="L3763" s="1" t="str">
        <x:f>TEXT(A3763,"mmm yyyy")</x:f>
        <x:v>Jul 2026</x:v>
      </x:c>
    </x:row>
    <x:row r="3764" ht="21" customHeight="1">
      <x:c r="A3764" s="10" t="n">
        <x:v>46226</x:v>
      </x:c>
      <x:c r="B3764" s="1" t="n">
        <x:v>22</x:v>
      </x:c>
      <x:c r="C3764" s="1" t="n">
        <x:v>6</x:v>
      </x:c>
      <x:c r="D3764" s="12" t="n">
        <x:v>0</x:v>
      </x:c>
      <x:c r="E3764" s="12" t="n">
        <x:v>0.7775833333333334</x:v>
      </x:c>
      <x:c r="F3764" s="12" t="n">
        <x:v>0.7773333333333335</x:v>
      </x:c>
      <x:c r="G3764" s="12" t="n">
        <x:v>0</x:v>
      </x:c>
      <x:c r="H3764" s="1" t="n">
        <x:f>'Historical prices'!E3764</x:f>
        <x:v>1.05</x:v>
      </x:c>
      <x:c r="I3764" s="6" t="n">
        <x:f>'Historical prices'!D3764</x:f>
        <x:v>0.3017</x:v>
      </x:c>
      <x:c r="J3764" s="13" t="n">
        <x:f>D3764*I3764*H3764</x:f>
        <x:v>0</x:v>
      </x:c>
      <x:c r="K3764" s="13" t="n">
        <x:f>E3764*I3764*H3764</x:f>
        <x:v>0.24632673625000004</x:v>
      </x:c>
      <x:c r="L3764" s="1" t="str">
        <x:f>TEXT(A3764,"mmm yyyy")</x:f>
        <x:v>Jul 2026</x:v>
      </x:c>
    </x:row>
    <x:row r="3765" ht="21" customHeight="1">
      <x:c r="A3765" s="10" t="n">
        <x:v>46226</x:v>
      </x:c>
      <x:c r="B3765" s="1" t="n">
        <x:v>22.5</x:v>
      </x:c>
      <x:c r="C3765" s="1" t="n">
        <x:v>6</x:v>
      </x:c>
      <x:c r="D3765" s="12" t="n">
        <x:v>0</x:v>
      </x:c>
      <x:c r="E3765" s="12" t="n">
        <x:v>0.255</x:v>
      </x:c>
      <x:c r="F3765" s="12" t="n">
        <x:v>0.2549166666666667</x:v>
      </x:c>
      <x:c r="G3765" s="12" t="n">
        <x:v>0</x:v>
      </x:c>
      <x:c r="H3765" s="1" t="n">
        <x:f>'Historical prices'!E3765</x:f>
        <x:v>1.05</x:v>
      </x:c>
      <x:c r="I3765" s="6" t="n">
        <x:f>'Historical prices'!D3765</x:f>
        <x:v>0.27949999999999997</x:v>
      </x:c>
      <x:c r="J3765" s="13" t="n">
        <x:f>D3765*I3765*H3765</x:f>
        <x:v>0</x:v>
      </x:c>
      <x:c r="K3765" s="13" t="n">
        <x:f>E3765*I3765*H3765</x:f>
        <x:v>0.07483612499999999</x:v>
      </x:c>
      <x:c r="L3765" s="1" t="str">
        <x:f>TEXT(A3765,"mmm yyyy")</x:f>
        <x:v>Jul 2026</x:v>
      </x:c>
    </x:row>
    <x:row r="3766" ht="21" customHeight="1">
      <x:c r="A3766" s="10" t="n">
        <x:v>46226</x:v>
      </x:c>
      <x:c r="B3766" s="1" t="n">
        <x:v>23</x:v>
      </x:c>
      <x:c r="C3766" s="1" t="n">
        <x:v>6</x:v>
      </x:c>
      <x:c r="D3766" s="12" t="n">
        <x:v>0</x:v>
      </x:c>
      <x:c r="E3766" s="12" t="n">
        <x:v>0.30274999999999996</x:v>
      </x:c>
      <x:c r="F3766" s="12" t="n">
        <x:v>0.30274999999999996</x:v>
      </x:c>
      <x:c r="G3766" s="12" t="n">
        <x:v>0</x:v>
      </x:c>
      <x:c r="H3766" s="1" t="n">
        <x:f>'Historical prices'!E3766</x:f>
        <x:v>1.05</x:v>
      </x:c>
      <x:c r="I3766" s="6" t="n">
        <x:f>'Historical prices'!D3766</x:f>
        <x:v>0.2811</x:v>
      </x:c>
      <x:c r="J3766" s="13" t="n">
        <x:f>D3766*I3766*H3766</x:f>
        <x:v>0</x:v>
      </x:c>
      <x:c r="K3766" s="13" t="n">
        <x:f>E3766*I3766*H3766</x:f>
        <x:v>0.08935817625</x:v>
      </x:c>
      <x:c r="L3766" s="1" t="str">
        <x:f>TEXT(A3766,"mmm yyyy")</x:f>
        <x:v>Jul 2026</x:v>
      </x:c>
    </x:row>
    <x:row r="3767" ht="21" customHeight="1">
      <x:c r="A3767" s="10" t="n">
        <x:v>46226</x:v>
      </x:c>
      <x:c r="B3767" s="1" t="n">
        <x:v>23.5</x:v>
      </x:c>
      <x:c r="C3767" s="1" t="n">
        <x:v>6</x:v>
      </x:c>
      <x:c r="D3767" s="12" t="n">
        <x:v>0</x:v>
      </x:c>
      <x:c r="E3767" s="12" t="n">
        <x:v>0.35716666666666663</x:v>
      </x:c>
      <x:c r="F3767" s="12" t="n">
        <x:v>0.35683333333333334</x:v>
      </x:c>
      <x:c r="G3767" s="12" t="n">
        <x:v>0</x:v>
      </x:c>
      <x:c r="H3767" s="1" t="n">
        <x:f>'Historical prices'!E3767</x:f>
        <x:v>1.05</x:v>
      </x:c>
      <x:c r="I3767" s="6" t="n">
        <x:f>'Historical prices'!D3767</x:f>
        <x:v>0.2648</x:v>
      </x:c>
      <x:c r="J3767" s="13" t="n">
        <x:f>D3767*I3767*H3767</x:f>
        <x:v>0</x:v>
      </x:c>
      <x:c r="K3767" s="13" t="n">
        <x:f>E3767*I3767*H3767</x:f>
        <x:v>0.09930661999999998</x:v>
      </x:c>
      <x:c r="L3767" s="1" t="str">
        <x:f>TEXT(A3767,"mmm yyyy")</x:f>
        <x:v>Jul 2026</x:v>
      </x:c>
    </x:row>
    <x:row r="3768" ht="21" customHeight="1">
      <x:c r="A3768" s="10" t="n">
        <x:v>46227</x:v>
      </x:c>
      <x:c r="B3768" s="1" t="n">
        <x:v>0</x:v>
      </x:c>
      <x:c r="C3768" s="1" t="n">
        <x:v>6</x:v>
      </x:c>
      <x:c r="D3768" s="12" t="n">
        <x:v>0</x:v>
      </x:c>
      <x:c r="E3768" s="12" t="n">
        <x:v>0.23491666666666666</x:v>
      </x:c>
      <x:c r="F3768" s="12" t="n">
        <x:v>0.23349999999999999</x:v>
      </x:c>
      <x:c r="G3768" s="12" t="n">
        <x:v>0</x:v>
      </x:c>
      <x:c r="H3768" s="1" t="n">
        <x:f>'Historical prices'!E3768</x:f>
        <x:v>1.05</x:v>
      </x:c>
      <x:c r="I3768" s="6" t="n">
        <x:f>'Historical prices'!D3768</x:f>
        <x:v>0.2564</x:v>
      </x:c>
      <x:c r="J3768" s="13" t="n">
        <x:f>D3768*I3768*H3768</x:f>
        <x:v>0</x:v>
      </x:c>
      <x:c r="K3768" s="13" t="n">
        <x:f>E3768*I3768*H3768</x:f>
        <x:v>0.06324426500000001</x:v>
      </x:c>
      <x:c r="L3768" s="1" t="str">
        <x:f>TEXT(A3768,"mmm yyyy")</x:f>
        <x:v>Jul 2026</x:v>
      </x:c>
    </x:row>
    <x:row r="3769" ht="21" customHeight="1">
      <x:c r="A3769" s="10" t="n">
        <x:v>46227</x:v>
      </x:c>
      <x:c r="B3769" s="1" t="n">
        <x:v>0.5</x:v>
      </x:c>
      <x:c r="C3769" s="1" t="n">
        <x:v>6</x:v>
      </x:c>
      <x:c r="D3769" s="12" t="n">
        <x:v>0.014</x:v>
      </x:c>
      <x:c r="E3769" s="12" t="n">
        <x:v>0.24291666666666661</x:v>
      </x:c>
      <x:c r="F3769" s="12" t="n">
        <x:v>0.22483333333333333</x:v>
      </x:c>
      <x:c r="G3769" s="12" t="n">
        <x:v>0</x:v>
      </x:c>
      <x:c r="H3769" s="1" t="n">
        <x:f>'Historical prices'!E3769</x:f>
        <x:v>1.05</x:v>
      </x:c>
      <x:c r="I3769" s="6" t="n">
        <x:f>'Historical prices'!D3769</x:f>
        <x:v>0.2507</x:v>
      </x:c>
      <x:c r="J3769" s="13" t="n">
        <x:f>D3769*I3769*H3769</x:f>
        <x:v>0.0036852900000000004</x:v>
      </x:c>
      <x:c r="K3769" s="13" t="n">
        <x:f>E3769*I3769*H3769</x:f>
        <x:v>0.06394416874999999</x:v>
      </x:c>
      <x:c r="L3769" s="1" t="str">
        <x:f>TEXT(A3769,"mmm yyyy")</x:f>
        <x:v>Jul 2026</x:v>
      </x:c>
    </x:row>
    <x:row r="3770" ht="21" customHeight="1">
      <x:c r="A3770" s="10" t="n">
        <x:v>46227</x:v>
      </x:c>
      <x:c r="B3770" s="1" t="n">
        <x:v>1</x:v>
      </x:c>
      <x:c r="C3770" s="1" t="n">
        <x:v>6</x:v>
      </x:c>
      <x:c r="D3770" s="12" t="n">
        <x:v>0</x:v>
      </x:c>
      <x:c r="E3770" s="12" t="n">
        <x:v>0.29808333333333337</x:v>
      </x:c>
      <x:c r="F3770" s="12" t="n">
        <x:v>0.29783333333333334</x:v>
      </x:c>
      <x:c r="G3770" s="12" t="n">
        <x:v>0</x:v>
      </x:c>
      <x:c r="H3770" s="1" t="n">
        <x:f>'Historical prices'!E3770</x:f>
        <x:v>1.05</x:v>
      </x:c>
      <x:c r="I3770" s="6" t="n">
        <x:f>'Historical prices'!D3770</x:f>
        <x:v>0.2415</x:v>
      </x:c>
      <x:c r="J3770" s="13" t="n">
        <x:f>D3770*I3770*H3770</x:f>
        <x:v>0</x:v>
      </x:c>
      <x:c r="K3770" s="13" t="n">
        <x:f>E3770*I3770*H3770</x:f>
        <x:v>0.07558648125</x:v>
      </x:c>
      <x:c r="L3770" s="1" t="str">
        <x:f>TEXT(A3770,"mmm yyyy")</x:f>
        <x:v>Jul 2026</x:v>
      </x:c>
    </x:row>
    <x:row r="3771" ht="21" customHeight="1">
      <x:c r="A3771" s="10" t="n">
        <x:v>46227</x:v>
      </x:c>
      <x:c r="B3771" s="1" t="n">
        <x:v>1.5</x:v>
      </x:c>
      <x:c r="C3771" s="1" t="n">
        <x:v>6</x:v>
      </x:c>
      <x:c r="D3771" s="12" t="n">
        <x:v>0</x:v>
      </x:c>
      <x:c r="E3771" s="12" t="n">
        <x:v>0.28800000000000003</x:v>
      </x:c>
      <x:c r="F3771" s="12" t="n">
        <x:v>0.2878333333333333</x:v>
      </x:c>
      <x:c r="G3771" s="12" t="n">
        <x:v>0</x:v>
      </x:c>
      <x:c r="H3771" s="1" t="n">
        <x:f>'Historical prices'!E3771</x:f>
        <x:v>1.05</x:v>
      </x:c>
      <x:c r="I3771" s="6" t="n">
        <x:f>'Historical prices'!D3771</x:f>
        <x:v>0.2322</x:v>
      </x:c>
      <x:c r="J3771" s="13" t="n">
        <x:f>D3771*I3771*H3771</x:f>
        <x:v>0</x:v>
      </x:c>
      <x:c r="K3771" s="13" t="n">
        <x:f>E3771*I3771*H3771</x:f>
        <x:v>0.07021728</x:v>
      </x:c>
      <x:c r="L3771" s="1" t="str">
        <x:f>TEXT(A3771,"mmm yyyy")</x:f>
        <x:v>Jul 2026</x:v>
      </x:c>
    </x:row>
    <x:row r="3772" ht="21" customHeight="1">
      <x:c r="A3772" s="10" t="n">
        <x:v>46227</x:v>
      </x:c>
      <x:c r="B3772" s="1" t="n">
        <x:v>2</x:v>
      </x:c>
      <x:c r="C3772" s="1" t="n">
        <x:v>6</x:v>
      </x:c>
      <x:c r="D3772" s="12" t="n">
        <x:v>0</x:v>
      </x:c>
      <x:c r="E3772" s="12" t="n">
        <x:v>0.22499999999999998</x:v>
      </x:c>
      <x:c r="F3772" s="12" t="n">
        <x:v>0.22483333333333333</x:v>
      </x:c>
      <x:c r="G3772" s="12" t="n">
        <x:v>0</x:v>
      </x:c>
      <x:c r="H3772" s="1" t="n">
        <x:f>'Historical prices'!E3772</x:f>
        <x:v>1.05</x:v>
      </x:c>
      <x:c r="I3772" s="6" t="n">
        <x:f>'Historical prices'!D3772</x:f>
        <x:v>0.24170000000000003</x:v>
      </x:c>
      <x:c r="J3772" s="13" t="n">
        <x:f>D3772*I3772*H3772</x:f>
        <x:v>0</x:v>
      </x:c>
      <x:c r="K3772" s="13" t="n">
        <x:f>E3772*I3772*H3772</x:f>
        <x:v>0.057101625</x:v>
      </x:c>
      <x:c r="L3772" s="1" t="str">
        <x:f>TEXT(A3772,"mmm yyyy")</x:f>
        <x:v>Jul 2026</x:v>
      </x:c>
    </x:row>
    <x:row r="3773" ht="21" customHeight="1">
      <x:c r="A3773" s="10" t="n">
        <x:v>46227</x:v>
      </x:c>
      <x:c r="B3773" s="1" t="n">
        <x:v>2.5</x:v>
      </x:c>
      <x:c r="C3773" s="1" t="n">
        <x:v>6</x:v>
      </x:c>
      <x:c r="D3773" s="12" t="n">
        <x:v>0</x:v>
      </x:c>
      <x:c r="E3773" s="12" t="n">
        <x:v>0.28258333333333335</x:v>
      </x:c>
      <x:c r="F3773" s="12" t="n">
        <x:v>0.28258333333333335</x:v>
      </x:c>
      <x:c r="G3773" s="12" t="n">
        <x:v>0</x:v>
      </x:c>
      <x:c r="H3773" s="1" t="n">
        <x:f>'Historical prices'!E3773</x:f>
        <x:v>1.05</x:v>
      </x:c>
      <x:c r="I3773" s="6" t="n">
        <x:f>'Historical prices'!D3773</x:f>
        <x:v>0.2324</x:v>
      </x:c>
      <x:c r="J3773" s="13" t="n">
        <x:f>D3773*I3773*H3773</x:f>
        <x:v>0</x:v>
      </x:c>
      <x:c r="K3773" s="13" t="n">
        <x:f>E3773*I3773*H3773</x:f>
        <x:v>0.06895598500000001</x:v>
      </x:c>
      <x:c r="L3773" s="1" t="str">
        <x:f>TEXT(A3773,"mmm yyyy")</x:f>
        <x:v>Jul 2026</x:v>
      </x:c>
    </x:row>
    <x:row r="3774" ht="21" customHeight="1">
      <x:c r="A3774" s="10" t="n">
        <x:v>46227</x:v>
      </x:c>
      <x:c r="B3774" s="1" t="n">
        <x:v>3</x:v>
      </x:c>
      <x:c r="C3774" s="1" t="n">
        <x:v>6</x:v>
      </x:c>
      <x:c r="D3774" s="12" t="n">
        <x:v>0</x:v>
      </x:c>
      <x:c r="E3774" s="12" t="n">
        <x:v>0.35700000000000004</x:v>
      </x:c>
      <x:c r="F3774" s="12" t="n">
        <x:v>0.3561666666666667</x:v>
      </x:c>
      <x:c r="G3774" s="12" t="n">
        <x:v>0</x:v>
      </x:c>
      <x:c r="H3774" s="1" t="n">
        <x:f>'Historical prices'!E3774</x:f>
        <x:v>1.05</x:v>
      </x:c>
      <x:c r="I3774" s="6" t="n">
        <x:f>'Historical prices'!D3774</x:f>
        <x:v>0.22519999999999998</x:v>
      </x:c>
      <x:c r="J3774" s="13" t="n">
        <x:f>D3774*I3774*H3774</x:f>
        <x:v>0</x:v>
      </x:c>
      <x:c r="K3774" s="13" t="n">
        <x:f>E3774*I3774*H3774</x:f>
        <x:v>0.08441622000000001</x:v>
      </x:c>
      <x:c r="L3774" s="1" t="str">
        <x:f>TEXT(A3774,"mmm yyyy")</x:f>
        <x:v>Jul 2026</x:v>
      </x:c>
    </x:row>
    <x:row r="3775" ht="21" customHeight="1">
      <x:c r="A3775" s="10" t="n">
        <x:v>46227</x:v>
      </x:c>
      <x:c r="B3775" s="1" t="n">
        <x:v>3.5</x:v>
      </x:c>
      <x:c r="C3775" s="1" t="n">
        <x:v>6</x:v>
      </x:c>
      <x:c r="D3775" s="12" t="n">
        <x:v>0</x:v>
      </x:c>
      <x:c r="E3775" s="12" t="n">
        <x:v>0.266</x:v>
      </x:c>
      <x:c r="F3775" s="12" t="n">
        <x:v>0.26566666666666666</x:v>
      </x:c>
      <x:c r="G3775" s="12" t="n">
        <x:v>0</x:v>
      </x:c>
      <x:c r="H3775" s="1" t="n">
        <x:f>'Historical prices'!E3775</x:f>
        <x:v>1.05</x:v>
      </x:c>
      <x:c r="I3775" s="6" t="n">
        <x:f>'Historical prices'!D3775</x:f>
        <x:v>0.2248</x:v>
      </x:c>
      <x:c r="J3775" s="13" t="n">
        <x:f>D3775*I3775*H3775</x:f>
        <x:v>0</x:v>
      </x:c>
      <x:c r="K3775" s="13" t="n">
        <x:f>E3775*I3775*H3775</x:f>
        <x:v>0.06278664</x:v>
      </x:c>
      <x:c r="L3775" s="1" t="str">
        <x:f>TEXT(A3775,"mmm yyyy")</x:f>
        <x:v>Jul 2026</x:v>
      </x:c>
    </x:row>
    <x:row r="3776" ht="21" customHeight="1">
      <x:c r="A3776" s="10" t="n">
        <x:v>46227</x:v>
      </x:c>
      <x:c r="B3776" s="1" t="n">
        <x:v>4</x:v>
      </x:c>
      <x:c r="C3776" s="1" t="n">
        <x:v>6</x:v>
      </x:c>
      <x:c r="D3776" s="12" t="n">
        <x:v>0</x:v>
      </x:c>
      <x:c r="E3776" s="12" t="n">
        <x:v>0.29224999999999995</x:v>
      </x:c>
      <x:c r="F3776" s="12" t="n">
        <x:v>0.29174999999999995</x:v>
      </x:c>
      <x:c r="G3776" s="12" t="n">
        <x:v>0</x:v>
      </x:c>
      <x:c r="H3776" s="1" t="n">
        <x:f>'Historical prices'!E3776</x:f>
        <x:v>1.05</x:v>
      </x:c>
      <x:c r="I3776" s="6" t="n">
        <x:f>'Historical prices'!D3776</x:f>
        <x:v>0.2494</x:v>
      </x:c>
      <x:c r="J3776" s="13" t="n">
        <x:f>D3776*I3776*H3776</x:f>
        <x:v>0</x:v>
      </x:c>
      <x:c r="K3776" s="13" t="n">
        <x:f>E3776*I3776*H3776</x:f>
        <x:v>0.0765315075</x:v>
      </x:c>
      <x:c r="L3776" s="1" t="str">
        <x:f>TEXT(A3776,"mmm yyyy")</x:f>
        <x:v>Jul 2026</x:v>
      </x:c>
    </x:row>
    <x:row r="3777" ht="21" customHeight="1">
      <x:c r="A3777" s="10" t="n">
        <x:v>46227</x:v>
      </x:c>
      <x:c r="B3777" s="1" t="n">
        <x:v>4.5</x:v>
      </x:c>
      <x:c r="C3777" s="1" t="n">
        <x:v>6</x:v>
      </x:c>
      <x:c r="D3777" s="12" t="n">
        <x:v>0</x:v>
      </x:c>
      <x:c r="E3777" s="12" t="n">
        <x:v>0.3146666666666667</x:v>
      </x:c>
      <x:c r="F3777" s="12" t="n">
        <x:v>0.3145</x:v>
      </x:c>
      <x:c r="G3777" s="12" t="n">
        <x:v>0</x:v>
      </x:c>
      <x:c r="H3777" s="1" t="n">
        <x:f>'Historical prices'!E3777</x:f>
        <x:v>1.05</x:v>
      </x:c>
      <x:c r="I3777" s="6" t="n">
        <x:f>'Historical prices'!D3777</x:f>
        <x:v>0.247</x:v>
      </x:c>
      <x:c r="J3777" s="13" t="n">
        <x:f>D3777*I3777*H3777</x:f>
        <x:v>0</x:v>
      </x:c>
      <x:c r="K3777" s="13" t="n">
        <x:f>E3777*I3777*H3777</x:f>
        <x:v>0.08160880000000001</x:v>
      </x:c>
      <x:c r="L3777" s="1" t="str">
        <x:f>TEXT(A3777,"mmm yyyy")</x:f>
        <x:v>Jul 2026</x:v>
      </x:c>
    </x:row>
    <x:row r="3778" ht="21" customHeight="1">
      <x:c r="A3778" s="10" t="n">
        <x:v>46227</x:v>
      </x:c>
      <x:c r="B3778" s="1" t="n">
        <x:v>5</x:v>
      </x:c>
      <x:c r="C3778" s="1" t="n">
        <x:v>6</x:v>
      </x:c>
      <x:c r="D3778" s="12" t="n">
        <x:v>0</x:v>
      </x:c>
      <x:c r="E3778" s="12" t="n">
        <x:v>0.3028333333333333</x:v>
      </x:c>
      <x:c r="F3778" s="12" t="n">
        <x:v>0.30266666666666664</x:v>
      </x:c>
      <x:c r="G3778" s="12" t="n">
        <x:v>0</x:v>
      </x:c>
      <x:c r="H3778" s="1" t="n">
        <x:f>'Historical prices'!E3778</x:f>
        <x:v>1.05</x:v>
      </x:c>
      <x:c r="I3778" s="6" t="n">
        <x:f>'Historical prices'!D3778</x:f>
        <x:v>0.2781</x:v>
      </x:c>
      <x:c r="J3778" s="13" t="n">
        <x:f>D3778*I3778*H3778</x:f>
        <x:v>0</x:v>
      </x:c>
      <x:c r="K3778" s="13" t="n">
        <x:f>E3778*I3778*H3778</x:f>
        <x:v>0.08842884749999999</x:v>
      </x:c>
      <x:c r="L3778" s="1" t="str">
        <x:f>TEXT(A3778,"mmm yyyy")</x:f>
        <x:v>Jul 2026</x:v>
      </x:c>
    </x:row>
    <x:row r="3779" ht="21" customHeight="1">
      <x:c r="A3779" s="10" t="n">
        <x:v>46227</x:v>
      </x:c>
      <x:c r="B3779" s="1" t="n">
        <x:v>5.5</x:v>
      </x:c>
      <x:c r="C3779" s="1" t="n">
        <x:v>6</x:v>
      </x:c>
      <x:c r="D3779" s="12" t="n">
        <x:v>0</x:v>
      </x:c>
      <x:c r="E3779" s="12" t="n">
        <x:v>0.39483333333333337</x:v>
      </x:c>
      <x:c r="F3779" s="12" t="n">
        <x:v>0.39475000000000005</x:v>
      </x:c>
      <x:c r="G3779" s="12" t="n">
        <x:v>0</x:v>
      </x:c>
      <x:c r="H3779" s="1" t="n">
        <x:f>'Historical prices'!E3779</x:f>
        <x:v>1.05</x:v>
      </x:c>
      <x:c r="I3779" s="6" t="n">
        <x:f>'Historical prices'!D3779</x:f>
        <x:v>0.26940000000000003</x:v>
      </x:c>
      <x:c r="J3779" s="13" t="n">
        <x:f>D3779*I3779*H3779</x:f>
        <x:v>0</x:v>
      </x:c>
      <x:c r="K3779" s="13" t="n">
        <x:f>E3779*I3779*H3779</x:f>
        <x:v>0.11168650500000003</x:v>
      </x:c>
      <x:c r="L3779" s="1" t="str">
        <x:f>TEXT(A3779,"mmm yyyy")</x:f>
        <x:v>Jul 2026</x:v>
      </x:c>
    </x:row>
    <x:row r="3780" ht="21" customHeight="1">
      <x:c r="A3780" s="10" t="n">
        <x:v>46227</x:v>
      </x:c>
      <x:c r="B3780" s="1" t="n">
        <x:v>6</x:v>
      </x:c>
      <x:c r="C3780" s="1" t="n">
        <x:v>6</x:v>
      </x:c>
      <x:c r="D3780" s="12" t="n">
        <x:v>0</x:v>
      </x:c>
      <x:c r="E3780" s="12" t="n">
        <x:v>0.39816666666666667</x:v>
      </x:c>
      <x:c r="F3780" s="12" t="n">
        <x:v>0.398</x:v>
      </x:c>
      <x:c r="G3780" s="12" t="n">
        <x:v>0</x:v>
      </x:c>
      <x:c r="H3780" s="1" t="n">
        <x:f>'Historical prices'!E3780</x:f>
        <x:v>1.05</x:v>
      </x:c>
      <x:c r="I3780" s="6" t="n">
        <x:f>'Historical prices'!D3780</x:f>
        <x:v>0.2646</x:v>
      </x:c>
      <x:c r="J3780" s="13" t="n">
        <x:f>D3780*I3780*H3780</x:f>
        <x:v>0</x:v>
      </x:c>
      <x:c r="K3780" s="13" t="n">
        <x:f>E3780*I3780*H3780</x:f>
        <x:v>0.110622645</x:v>
      </x:c>
      <x:c r="L3780" s="1" t="str">
        <x:f>TEXT(A3780,"mmm yyyy")</x:f>
        <x:v>Jul 2026</x:v>
      </x:c>
    </x:row>
    <x:row r="3781" ht="21" customHeight="1">
      <x:c r="A3781" s="10" t="n">
        <x:v>46227</x:v>
      </x:c>
      <x:c r="B3781" s="1" t="n">
        <x:v>6.5</x:v>
      </x:c>
      <x:c r="C3781" s="1" t="n">
        <x:v>6</x:v>
      </x:c>
      <x:c r="D3781" s="12" t="n">
        <x:v>0</x:v>
      </x:c>
      <x:c r="E3781" s="12" t="n">
        <x:v>0.40566666666666673</x:v>
      </x:c>
      <x:c r="F3781" s="12" t="n">
        <x:v>0.4055</x:v>
      </x:c>
      <x:c r="G3781" s="12" t="n">
        <x:v>0</x:v>
      </x:c>
      <x:c r="H3781" s="1" t="n">
        <x:f>'Historical prices'!E3781</x:f>
        <x:v>1.05</x:v>
      </x:c>
      <x:c r="I3781" s="6" t="n">
        <x:f>'Historical prices'!D3781</x:f>
        <x:v>0.2718</x:v>
      </x:c>
      <x:c r="J3781" s="13" t="n">
        <x:f>D3781*I3781*H3781</x:f>
        <x:v>0</x:v>
      </x:c>
      <x:c r="K3781" s="13" t="n">
        <x:f>E3781*I3781*H3781</x:f>
        <x:v>0.11577321000000003</x:v>
      </x:c>
      <x:c r="L3781" s="1" t="str">
        <x:f>TEXT(A3781,"mmm yyyy")</x:f>
        <x:v>Jul 2026</x:v>
      </x:c>
    </x:row>
    <x:row r="3782" ht="21" customHeight="1">
      <x:c r="A3782" s="10" t="n">
        <x:v>46227</x:v>
      </x:c>
      <x:c r="B3782" s="1" t="n">
        <x:v>7</x:v>
      </x:c>
      <x:c r="C3782" s="1" t="n">
        <x:v>6</x:v>
      </x:c>
      <x:c r="D3782" s="12" t="n">
        <x:v>0</x:v>
      </x:c>
      <x:c r="E3782" s="12" t="n">
        <x:v>0.4660833333333333</x:v>
      </x:c>
      <x:c r="F3782" s="12" t="n">
        <x:v>0.46549999999999997</x:v>
      </x:c>
      <x:c r="G3782" s="12" t="n">
        <x:v>0</x:v>
      </x:c>
      <x:c r="H3782" s="1" t="n">
        <x:f>'Historical prices'!E3782</x:f>
        <x:v>1.05</x:v>
      </x:c>
      <x:c r="I3782" s="6" t="n">
        <x:f>'Historical prices'!D3782</x:f>
        <x:v>0.2522</x:v>
      </x:c>
      <x:c r="J3782" s="13" t="n">
        <x:f>D3782*I3782*H3782</x:f>
        <x:v>0</x:v>
      </x:c>
      <x:c r="K3782" s="13" t="n">
        <x:f>E3782*I3782*H3782</x:f>
        <x:v>0.12342352749999999</x:v>
      </x:c>
      <x:c r="L3782" s="1" t="str">
        <x:f>TEXT(A3782,"mmm yyyy")</x:f>
        <x:v>Jul 2026</x:v>
      </x:c>
    </x:row>
    <x:row r="3783" ht="21" customHeight="1">
      <x:c r="A3783" s="10" t="n">
        <x:v>46227</x:v>
      </x:c>
      <x:c r="B3783" s="1" t="n">
        <x:v>7.5</x:v>
      </x:c>
      <x:c r="C3783" s="1" t="n">
        <x:v>6</x:v>
      </x:c>
      <x:c r="D3783" s="12" t="n">
        <x:v>0</x:v>
      </x:c>
      <x:c r="E3783" s="12" t="n">
        <x:v>1.2035833333333334</x:v>
      </x:c>
      <x:c r="F3783" s="12" t="n">
        <x:v>1.2032500000000002</x:v>
      </x:c>
      <x:c r="G3783" s="12" t="n">
        <x:v>0</x:v>
      </x:c>
      <x:c r="H3783" s="1" t="n">
        <x:f>'Historical prices'!E3783</x:f>
        <x:v>1.05</x:v>
      </x:c>
      <x:c r="I3783" s="6" t="n">
        <x:f>'Historical prices'!D3783</x:f>
        <x:v>0.2522</x:v>
      </x:c>
      <x:c r="J3783" s="13" t="n">
        <x:f>D3783*I3783*H3783</x:f>
        <x:v>0</x:v>
      </x:c>
      <x:c r="K3783" s="13" t="n">
        <x:f>E3783*I3783*H3783</x:f>
        <x:v>0.3187209025</x:v>
      </x:c>
      <x:c r="L3783" s="1" t="str">
        <x:f>TEXT(A3783,"mmm yyyy")</x:f>
        <x:v>Jul 2026</x:v>
      </x:c>
    </x:row>
    <x:row r="3784" ht="21" customHeight="1">
      <x:c r="A3784" s="10" t="n">
        <x:v>46227</x:v>
      </x:c>
      <x:c r="B3784" s="1" t="n">
        <x:v>8</x:v>
      </x:c>
      <x:c r="C3784" s="1" t="n">
        <x:v>6</x:v>
      </x:c>
      <x:c r="D3784" s="12" t="n">
        <x:v>0</x:v>
      </x:c>
      <x:c r="E3784" s="12" t="n">
        <x:v>0.49008333333333326</x:v>
      </x:c>
      <x:c r="F3784" s="12" t="n">
        <x:v>0.48974999999999996</x:v>
      </x:c>
      <x:c r="G3784" s="12" t="n">
        <x:v>0</x:v>
      </x:c>
      <x:c r="H3784" s="1" t="n">
        <x:f>'Historical prices'!E3784</x:f>
        <x:v>1.05</x:v>
      </x:c>
      <x:c r="I3784" s="6" t="n">
        <x:f>'Historical prices'!D3784</x:f>
        <x:v>0.2138</x:v>
      </x:c>
      <x:c r="J3784" s="13" t="n">
        <x:f>D3784*I3784*H3784</x:f>
        <x:v>0</x:v>
      </x:c>
      <x:c r="K3784" s="13" t="n">
        <x:f>E3784*I3784*H3784</x:f>
        <x:v>0.11001880749999998</x:v>
      </x:c>
      <x:c r="L3784" s="1" t="str">
        <x:f>TEXT(A3784,"mmm yyyy")</x:f>
        <x:v>Jul 2026</x:v>
      </x:c>
    </x:row>
    <x:row r="3785" ht="21" customHeight="1">
      <x:c r="A3785" s="10" t="n">
        <x:v>46227</x:v>
      </x:c>
      <x:c r="B3785" s="1" t="n">
        <x:v>8.5</x:v>
      </x:c>
      <x:c r="C3785" s="1" t="n">
        <x:v>6</x:v>
      </x:c>
      <x:c r="D3785" s="12" t="n">
        <x:v>0</x:v>
      </x:c>
      <x:c r="E3785" s="12" t="n">
        <x:v>0.5596666666666666</x:v>
      </x:c>
      <x:c r="F3785" s="12" t="n">
        <x:v>0.5595833333333333</x:v>
      </x:c>
      <x:c r="G3785" s="12" t="n">
        <x:v>0</x:v>
      </x:c>
      <x:c r="H3785" s="1" t="n">
        <x:f>'Historical prices'!E3785</x:f>
        <x:v>1.05</x:v>
      </x:c>
      <x:c r="I3785" s="6" t="n">
        <x:f>'Historical prices'!D3785</x:f>
        <x:v>0.2065</x:v>
      </x:c>
      <x:c r="J3785" s="13" t="n">
        <x:f>D3785*I3785*H3785</x:f>
        <x:v>0</x:v>
      </x:c>
      <x:c r="K3785" s="13" t="n">
        <x:f>E3785*I3785*H3785</x:f>
        <x:v>0.12134972499999999</x:v>
      </x:c>
      <x:c r="L3785" s="1" t="str">
        <x:f>TEXT(A3785,"mmm yyyy")</x:f>
        <x:v>Jul 2026</x:v>
      </x:c>
    </x:row>
    <x:row r="3786" ht="21" customHeight="1">
      <x:c r="A3786" s="10" t="n">
        <x:v>46227</x:v>
      </x:c>
      <x:c r="B3786" s="1" t="n">
        <x:v>9</x:v>
      </x:c>
      <x:c r="C3786" s="1" t="n">
        <x:v>6</x:v>
      </x:c>
      <x:c r="D3786" s="12" t="n">
        <x:v>0</x:v>
      </x:c>
      <x:c r="E3786" s="12" t="n">
        <x:v>0.5542500000000001</x:v>
      </x:c>
      <x:c r="F3786" s="12" t="n">
        <x:v>0.5539166666666666</x:v>
      </x:c>
      <x:c r="G3786" s="12" t="n">
        <x:v>0</x:v>
      </x:c>
      <x:c r="H3786" s="1" t="n">
        <x:f>'Historical prices'!E3786</x:f>
        <x:v>1.05</x:v>
      </x:c>
      <x:c r="I3786" s="6" t="n">
        <x:f>'Historical prices'!D3786</x:f>
        <x:v>0.2212</x:v>
      </x:c>
      <x:c r="J3786" s="13" t="n">
        <x:f>D3786*I3786*H3786</x:f>
        <x:v>0</x:v>
      </x:c>
      <x:c r="K3786" s="13" t="n">
        <x:f>E3786*I3786*H3786</x:f>
        <x:v>0.12873010500000004</x:v>
      </x:c>
      <x:c r="L3786" s="1" t="str">
        <x:f>TEXT(A3786,"mmm yyyy")</x:f>
        <x:v>Jul 2026</x:v>
      </x:c>
    </x:row>
    <x:row r="3787" ht="21" customHeight="1">
      <x:c r="A3787" s="10" t="n">
        <x:v>46227</x:v>
      </x:c>
      <x:c r="B3787" s="1" t="n">
        <x:v>9.5</x:v>
      </x:c>
      <x:c r="C3787" s="1" t="n">
        <x:v>6</x:v>
      </x:c>
      <x:c r="D3787" s="12" t="n">
        <x:v>0</x:v>
      </x:c>
      <x:c r="E3787" s="12" t="n">
        <x:v>0.73275</x:v>
      </x:c>
      <x:c r="F3787" s="12" t="n">
        <x:v>0.7324999999999999</x:v>
      </x:c>
      <x:c r="G3787" s="12" t="n">
        <x:v>0</x:v>
      </x:c>
      <x:c r="H3787" s="1" t="n">
        <x:f>'Historical prices'!E3787</x:f>
        <x:v>1.05</x:v>
      </x:c>
      <x:c r="I3787" s="6" t="n">
        <x:f>'Historical prices'!D3787</x:f>
        <x:v>0.2207</x:v>
      </x:c>
      <x:c r="J3787" s="13" t="n">
        <x:f>D3787*I3787*H3787</x:f>
        <x:v>0</x:v>
      </x:c>
      <x:c r="K3787" s="13" t="n">
        <x:f>E3787*I3787*H3787</x:f>
        <x:v>0.16980382125000001</x:v>
      </x:c>
      <x:c r="L3787" s="1" t="str">
        <x:f>TEXT(A3787,"mmm yyyy")</x:f>
        <x:v>Jul 2026</x:v>
      </x:c>
    </x:row>
    <x:row r="3788" ht="21" customHeight="1">
      <x:c r="A3788" s="10" t="n">
        <x:v>46227</x:v>
      </x:c>
      <x:c r="B3788" s="1" t="n">
        <x:v>10</x:v>
      </x:c>
      <x:c r="C3788" s="1" t="n">
        <x:v>6</x:v>
      </x:c>
      <x:c r="D3788" s="12" t="n">
        <x:v>0</x:v>
      </x:c>
      <x:c r="E3788" s="12" t="n">
        <x:v>0.6890000000000001</x:v>
      </x:c>
      <x:c r="F3788" s="12" t="n">
        <x:v>0.68875</x:v>
      </x:c>
      <x:c r="G3788" s="12" t="n">
        <x:v>0</x:v>
      </x:c>
      <x:c r="H3788" s="1" t="n">
        <x:f>'Historical prices'!E3788</x:f>
        <x:v>1.05</x:v>
      </x:c>
      <x:c r="I3788" s="6" t="n">
        <x:f>'Historical prices'!D3788</x:f>
        <x:v>0.1564</x:v>
      </x:c>
      <x:c r="J3788" s="13" t="n">
        <x:f>D3788*I3788*H3788</x:f>
        <x:v>0</x:v>
      </x:c>
      <x:c r="K3788" s="13" t="n">
        <x:f>E3788*I3788*H3788</x:f>
        <x:v>0.11314758000000001</x:v>
      </x:c>
      <x:c r="L3788" s="1" t="str">
        <x:f>TEXT(A3788,"mmm yyyy")</x:f>
        <x:v>Jul 2026</x:v>
      </x:c>
    </x:row>
    <x:row r="3789" ht="21" customHeight="1">
      <x:c r="A3789" s="10" t="n">
        <x:v>46227</x:v>
      </x:c>
      <x:c r="B3789" s="1" t="n">
        <x:v>10.5</x:v>
      </x:c>
      <x:c r="C3789" s="1" t="n">
        <x:v>6</x:v>
      </x:c>
      <x:c r="D3789" s="12" t="n">
        <x:v>0</x:v>
      </x:c>
      <x:c r="E3789" s="12" t="n">
        <x:v>0.8858333333333334</x:v>
      </x:c>
      <x:c r="F3789" s="12" t="n">
        <x:v>0.8855</x:v>
      </x:c>
      <x:c r="G3789" s="12" t="n">
        <x:v>0</x:v>
      </x:c>
      <x:c r="H3789" s="1" t="n">
        <x:f>'Historical prices'!E3789</x:f>
        <x:v>1.05</x:v>
      </x:c>
      <x:c r="I3789" s="6" t="n">
        <x:f>'Historical prices'!D3789</x:f>
        <x:v>0.1462</x:v>
      </x:c>
      <x:c r="J3789" s="13" t="n">
        <x:f>D3789*I3789*H3789</x:f>
        <x:v>0</x:v>
      </x:c>
      <x:c r="K3789" s="13" t="n">
        <x:f>E3789*I3789*H3789</x:f>
        <x:v>0.135984275</x:v>
      </x:c>
      <x:c r="L3789" s="1" t="str">
        <x:f>TEXT(A3789,"mmm yyyy")</x:f>
        <x:v>Jul 2026</x:v>
      </x:c>
    </x:row>
    <x:row r="3790" ht="21" customHeight="1">
      <x:c r="A3790" s="10" t="n">
        <x:v>46227</x:v>
      </x:c>
      <x:c r="B3790" s="1" t="n">
        <x:v>11</x:v>
      </x:c>
      <x:c r="C3790" s="1" t="n">
        <x:v>6</x:v>
      </x:c>
      <x:c r="D3790" s="12" t="n">
        <x:v>1.6311666666666667</x:v>
      </x:c>
      <x:c r="E3790" s="12" t="n">
        <x:v>0.9602499999999998</x:v>
      </x:c>
      <x:c r="F3790" s="12" t="n">
        <x:v>0.256</x:v>
      </x:c>
      <x:c r="G3790" s="12" t="n">
        <x:v>0.9359999999999999</x:v>
      </x:c>
      <x:c r="H3790" s="1" t="n">
        <x:f>'Historical prices'!E3790</x:f>
        <x:v>1.05</x:v>
      </x:c>
      <x:c r="I3790" s="6" t="n">
        <x:f>'Historical prices'!D3790</x:f>
        <x:v>0.1115</x:v>
      </x:c>
      <x:c r="J3790" s="13" t="n">
        <x:f>D3790*I3790*H3790</x:f>
        <x:v>0.1909688375</x:v>
      </x:c>
      <x:c r="K3790" s="13" t="n">
        <x:f>E3790*I3790*H3790</x:f>
        <x:v>0.11242126874999998</x:v>
      </x:c>
      <x:c r="L3790" s="1" t="str">
        <x:f>TEXT(A3790,"mmm yyyy")</x:f>
        <x:v>Jul 2026</x:v>
      </x:c>
    </x:row>
    <x:row r="3791" ht="21" customHeight="1">
      <x:c r="A3791" s="10" t="n">
        <x:v>46227</x:v>
      </x:c>
      <x:c r="B3791" s="1" t="n">
        <x:v>11.5</x:v>
      </x:c>
      <x:c r="C3791" s="1" t="n">
        <x:v>6</x:v>
      </x:c>
      <x:c r="D3791" s="12" t="n">
        <x:v>4.94775</x:v>
      </x:c>
      <x:c r="E3791" s="12" t="n">
        <x:v>0.7617499999999999</x:v>
      </x:c>
      <x:c r="F3791" s="12" t="n">
        <x:v>0</x:v>
      </x:c>
      <x:c r="G3791" s="12" t="n">
        <x:v>4.186</x:v>
      </x:c>
      <x:c r="H3791" s="1" t="n">
        <x:f>'Historical prices'!E3791</x:f>
        <x:v>1.05</x:v>
      </x:c>
      <x:c r="I3791" s="6" t="n">
        <x:f>'Historical prices'!D3791</x:f>
        <x:v>0.1074</x:v>
      </x:c>
      <x:c r="J3791" s="13" t="n">
        <x:f>D3791*I3791*H3791</x:f>
        <x:v>0.5579577674999999</x:v>
      </x:c>
      <x:c r="K3791" s="13" t="n">
        <x:f>E3791*I3791*H3791</x:f>
        <x:v>0.0859025475</x:v>
      </x:c>
      <x:c r="L3791" s="1" t="str">
        <x:f>TEXT(A3791,"mmm yyyy")</x:f>
        <x:v>Jul 2026</x:v>
      </x:c>
    </x:row>
    <x:row r="3792" ht="21" customHeight="1">
      <x:c r="A3792" s="10" t="n">
        <x:v>46227</x:v>
      </x:c>
      <x:c r="B3792" s="1" t="n">
        <x:v>12</x:v>
      </x:c>
      <x:c r="C3792" s="1" t="n">
        <x:v>6</x:v>
      </x:c>
      <x:c r="D3792" s="12" t="n">
        <x:v>5.1107499999999995</x:v>
      </x:c>
      <x:c r="E3792" s="12" t="n">
        <x:v>0.6607500000000001</x:v>
      </x:c>
      <x:c r="F3792" s="12" t="n">
        <x:v>0</x:v>
      </x:c>
      <x:c r="G3792" s="12" t="n">
        <x:v>4.45</x:v>
      </x:c>
      <x:c r="H3792" s="1" t="n">
        <x:f>'Historical prices'!E3792</x:f>
        <x:v>1.05</x:v>
      </x:c>
      <x:c r="I3792" s="6" t="n">
        <x:f>'Historical prices'!D3792</x:f>
        <x:v>0.1109</x:v>
      </x:c>
      <x:c r="J3792" s="13" t="n">
        <x:f>D3792*I3792*H3792</x:f>
        <x:v>0.59512128375</x:v>
      </x:c>
      <x:c r="K3792" s="13" t="n">
        <x:f>E3792*I3792*H3792</x:f>
        <x:v>0.07694103375</x:v>
      </x:c>
      <x:c r="L3792" s="1" t="str">
        <x:f>TEXT(A3792,"mmm yyyy")</x:f>
        <x:v>Jul 2026</x:v>
      </x:c>
    </x:row>
    <x:row r="3793" ht="21" customHeight="1">
      <x:c r="A3793" s="10" t="n">
        <x:v>46227</x:v>
      </x:c>
      <x:c r="B3793" s="1" t="n">
        <x:v>12.5</x:v>
      </x:c>
      <x:c r="C3793" s="1" t="n">
        <x:v>6</x:v>
      </x:c>
      <x:c r="D3793" s="12" t="n">
        <x:v>5.309083333333334</x:v>
      </x:c>
      <x:c r="E3793" s="12" t="n">
        <x:v>0.6200833333333333</x:v>
      </x:c>
      <x:c r="F3793" s="12" t="n">
        <x:v>0</x:v>
      </x:c>
      <x:c r="G3793" s="12" t="n">
        <x:v>4.689</x:v>
      </x:c>
      <x:c r="H3793" s="1" t="n">
        <x:f>'Historical prices'!E3793</x:f>
        <x:v>1.05</x:v>
      </x:c>
      <x:c r="I3793" s="6" t="n">
        <x:f>'Historical prices'!D3793</x:f>
        <x:v>0.1114</x:v>
      </x:c>
      <x:c r="J3793" s="13" t="n">
        <x:f>D3793*I3793*H3793</x:f>
        <x:v>0.6210034775000001</x:v>
      </x:c>
      <x:c r="K3793" s="13" t="n">
        <x:f>E3793*I3793*H3793</x:f>
        <x:v>0.0725311475</x:v>
      </x:c>
      <x:c r="L3793" s="1" t="str">
        <x:f>TEXT(A3793,"mmm yyyy")</x:f>
        <x:v>Jul 2026</x:v>
      </x:c>
    </x:row>
    <x:row r="3794" ht="21" customHeight="1">
      <x:c r="A3794" s="10" t="n">
        <x:v>46227</x:v>
      </x:c>
      <x:c r="B3794" s="1" t="n">
        <x:v>13</x:v>
      </x:c>
      <x:c r="C3794" s="1" t="n">
        <x:v>6</x:v>
      </x:c>
      <x:c r="D3794" s="12" t="n">
        <x:v>1.2593333333333334</x:v>
      </x:c>
      <x:c r="E3794" s="12" t="n">
        <x:v>0.5063333333333333</x:v>
      </x:c>
      <x:c r="F3794" s="12" t="n">
        <x:v>0</x:v>
      </x:c>
      <x:c r="G3794" s="12" t="n">
        <x:v>0.757</x:v>
      </x:c>
      <x:c r="H3794" s="1" t="n">
        <x:f>'Historical prices'!E3794</x:f>
        <x:v>1.05</x:v>
      </x:c>
      <x:c r="I3794" s="6" t="n">
        <x:f>'Historical prices'!D3794</x:f>
        <x:v>0.1241</x:v>
      </x:c>
      <x:c r="J3794" s="13" t="n">
        <x:f>D3794*I3794*H3794</x:f>
        <x:v>0.16409743000000002</x:v>
      </x:c>
      <x:c r="K3794" s="13" t="n">
        <x:f>E3794*I3794*H3794</x:f>
        <x:v>0.065977765</x:v>
      </x:c>
      <x:c r="L3794" s="1" t="str">
        <x:f>TEXT(A3794,"mmm yyyy")</x:f>
        <x:v>Jul 2026</x:v>
      </x:c>
    </x:row>
    <x:row r="3795" ht="21" customHeight="1">
      <x:c r="A3795" s="10" t="n">
        <x:v>46227</x:v>
      </x:c>
      <x:c r="B3795" s="1" t="n">
        <x:v>13.5</x:v>
      </x:c>
      <x:c r="C3795" s="1" t="n">
        <x:v>6</x:v>
      </x:c>
      <x:c r="D3795" s="12" t="n">
        <x:v>0.47500000000000003</x:v>
      </x:c>
      <x:c r="E3795" s="12" t="n">
        <x:v>0.48700000000000004</x:v>
      </x:c>
      <x:c r="F3795" s="12" t="n">
        <x:v>0</x:v>
      </x:c>
      <x:c r="G3795" s="12" t="n">
        <x:v>0</x:v>
      </x:c>
      <x:c r="H3795" s="1" t="n">
        <x:f>'Historical prices'!E3795</x:f>
        <x:v>1.05</x:v>
      </x:c>
      <x:c r="I3795" s="6" t="n">
        <x:f>'Historical prices'!D3795</x:f>
        <x:v>0.12179999999999999</x:v>
      </x:c>
      <x:c r="J3795" s="13" t="n">
        <x:f>D3795*I3795*H3795</x:f>
        <x:v>0.060747749999999996</x:v>
      </x:c>
      <x:c r="K3795" s="13" t="n">
        <x:f>E3795*I3795*H3795</x:f>
        <x:v>0.06228243000000001</x:v>
      </x:c>
      <x:c r="L3795" s="1" t="str">
        <x:f>TEXT(A3795,"mmm yyyy")</x:f>
        <x:v>Jul 2026</x:v>
      </x:c>
    </x:row>
    <x:row r="3796" ht="21" customHeight="1">
      <x:c r="A3796" s="10" t="n">
        <x:v>46227</x:v>
      </x:c>
      <x:c r="B3796" s="1" t="n">
        <x:v>14</x:v>
      </x:c>
      <x:c r="C3796" s="1" t="n">
        <x:v>6</x:v>
      </x:c>
      <x:c r="D3796" s="12" t="n">
        <x:v>0.39616666666666667</x:v>
      </x:c>
      <x:c r="E3796" s="12" t="n">
        <x:v>0.4071666666666667</x:v>
      </x:c>
      <x:c r="F3796" s="12" t="n">
        <x:v>0</x:v>
      </x:c>
      <x:c r="G3796" s="12" t="n">
        <x:v>0</x:v>
      </x:c>
      <x:c r="H3796" s="1" t="n">
        <x:f>'Historical prices'!E3796</x:f>
        <x:v>1.05</x:v>
      </x:c>
      <x:c r="I3796" s="6" t="n">
        <x:f>'Historical prices'!D3796</x:f>
        <x:v>0.1388</x:v>
      </x:c>
      <x:c r="J3796" s="13" t="n">
        <x:f>D3796*I3796*H3796</x:f>
        <x:v>0.05773733</x:v>
      </x:c>
      <x:c r="K3796" s="13" t="n">
        <x:f>E3796*I3796*H3796</x:f>
        <x:v>0.059340470000000006</x:v>
      </x:c>
      <x:c r="L3796" s="1" t="str">
        <x:f>TEXT(A3796,"mmm yyyy")</x:f>
        <x:v>Jul 2026</x:v>
      </x:c>
    </x:row>
    <x:row r="3797" ht="21" customHeight="1">
      <x:c r="A3797" s="10" t="n">
        <x:v>46227</x:v>
      </x:c>
      <x:c r="B3797" s="1" t="n">
        <x:v>14.5</x:v>
      </x:c>
      <x:c r="C3797" s="1" t="n">
        <x:v>6</x:v>
      </x:c>
      <x:c r="D3797" s="12" t="n">
        <x:v>0.38033333333333336</x:v>
      </x:c>
      <x:c r="E3797" s="12" t="n">
        <x:v>0.39233333333333337</x:v>
      </x:c>
      <x:c r="F3797" s="12" t="n">
        <x:v>0</x:v>
      </x:c>
      <x:c r="G3797" s="12" t="n">
        <x:v>0</x:v>
      </x:c>
      <x:c r="H3797" s="1" t="n">
        <x:f>'Historical prices'!E3797</x:f>
        <x:v>1.05</x:v>
      </x:c>
      <x:c r="I3797" s="6" t="n">
        <x:f>'Historical prices'!D3797</x:f>
        <x:v>0.13119999999999998</x:v>
      </x:c>
      <x:c r="J3797" s="13" t="n">
        <x:f>D3797*I3797*H3797</x:f>
        <x:v>0.05239472</x:v>
      </x:c>
      <x:c r="K3797" s="13" t="n">
        <x:f>E3797*I3797*H3797</x:f>
        <x:v>0.05404784</x:v>
      </x:c>
      <x:c r="L3797" s="1" t="str">
        <x:f>TEXT(A3797,"mmm yyyy")</x:f>
        <x:v>Jul 2026</x:v>
      </x:c>
    </x:row>
    <x:row r="3798" ht="21" customHeight="1">
      <x:c r="A3798" s="10" t="n">
        <x:v>46227</x:v>
      </x:c>
      <x:c r="B3798" s="1" t="n">
        <x:v>15</x:v>
      </x:c>
      <x:c r="C3798" s="1" t="n">
        <x:v>6</x:v>
      </x:c>
      <x:c r="D3798" s="12" t="n">
        <x:v>0.4368333333333333</x:v>
      </x:c>
      <x:c r="E3798" s="12" t="n">
        <x:v>0.43783333333333335</x:v>
      </x:c>
      <x:c r="F3798" s="12" t="n">
        <x:v>0</x:v>
      </x:c>
      <x:c r="G3798" s="12" t="n">
        <x:v>0</x:v>
      </x:c>
      <x:c r="H3798" s="1" t="n">
        <x:f>'Historical prices'!E3798</x:f>
        <x:v>1.05</x:v>
      </x:c>
      <x:c r="I3798" s="6" t="n">
        <x:f>'Historical prices'!D3798</x:f>
        <x:v>0.1155</x:v>
      </x:c>
      <x:c r="J3798" s="13" t="n">
        <x:f>D3798*I3798*H3798</x:f>
        <x:v>0.0529769625</x:v>
      </x:c>
      <x:c r="K3798" s="13" t="n">
        <x:f>E3798*I3798*H3798</x:f>
        <x:v>0.053098237500000006</x:v>
      </x:c>
      <x:c r="L3798" s="1" t="str">
        <x:f>TEXT(A3798,"mmm yyyy")</x:f>
        <x:v>Jul 2026</x:v>
      </x:c>
    </x:row>
    <x:row r="3799" ht="21" customHeight="1">
      <x:c r="A3799" s="10" t="n">
        <x:v>46227</x:v>
      </x:c>
      <x:c r="B3799" s="1" t="n">
        <x:v>15.5</x:v>
      </x:c>
      <x:c r="C3799" s="1" t="n">
        <x:v>6</x:v>
      </x:c>
      <x:c r="D3799" s="12" t="n">
        <x:v>0.3808333333333333</x:v>
      </x:c>
      <x:c r="E3799" s="12" t="n">
        <x:v>0.3918333333333333</x:v>
      </x:c>
      <x:c r="F3799" s="12" t="n">
        <x:v>0</x:v>
      </x:c>
      <x:c r="G3799" s="12" t="n">
        <x:v>0</x:v>
      </x:c>
      <x:c r="H3799" s="1" t="n">
        <x:f>'Historical prices'!E3799</x:f>
        <x:v>1.05</x:v>
      </x:c>
      <x:c r="I3799" s="6" t="n">
        <x:f>'Historical prices'!D3799</x:f>
        <x:v>0.1329</x:v>
      </x:c>
      <x:c r="J3799" s="13" t="n">
        <x:f>D3799*I3799*H3799</x:f>
        <x:v>0.05314338749999999</x:v>
      </x:c>
      <x:c r="K3799" s="13" t="n">
        <x:f>E3799*I3799*H3799</x:f>
        <x:v>0.0546783825</x:v>
      </x:c>
      <x:c r="L3799" s="1" t="str">
        <x:f>TEXT(A3799,"mmm yyyy")</x:f>
        <x:v>Jul 2026</x:v>
      </x:c>
    </x:row>
    <x:row r="3800" ht="21" customHeight="1">
      <x:c r="A3800" s="10" t="n">
        <x:v>46227</x:v>
      </x:c>
      <x:c r="B3800" s="1" t="n">
        <x:v>16</x:v>
      </x:c>
      <x:c r="C3800" s="1" t="n">
        <x:v>6</x:v>
      </x:c>
      <x:c r="D3800" s="12" t="n">
        <x:v>0.05575</x:v>
      </x:c>
      <x:c r="E3800" s="12" t="n">
        <x:v>0.37075</x:v>
      </x:c>
      <x:c r="F3800" s="12" t="n">
        <x:v>0.31183333333333335</x:v>
      </x:c>
      <x:c r="G3800" s="12" t="n">
        <x:v>0</x:v>
      </x:c>
      <x:c r="H3800" s="1" t="n">
        <x:f>'Historical prices'!E3800</x:f>
        <x:v>1.05</x:v>
      </x:c>
      <x:c r="I3800" s="6" t="n">
        <x:f>'Historical prices'!D3800</x:f>
        <x:v>0.2504</x:v>
      </x:c>
      <x:c r="J3800" s="13" t="n">
        <x:f>D3800*I3800*H3800</x:f>
        <x:v>0.014657790000000002</x:v>
      </x:c>
      <x:c r="K3800" s="13" t="n">
        <x:f>E3800*I3800*H3800</x:f>
        <x:v>0.09747759000000002</x:v>
      </x:c>
      <x:c r="L3800" s="1" t="str">
        <x:f>TEXT(A3800,"mmm yyyy")</x:f>
        <x:v>Jul 2026</x:v>
      </x:c>
    </x:row>
    <x:row r="3801" ht="21" customHeight="1">
      <x:c r="A3801" s="10" t="n">
        <x:v>46227</x:v>
      </x:c>
      <x:c r="B3801" s="1" t="n">
        <x:v>16.5</x:v>
      </x:c>
      <x:c r="C3801" s="1" t="n">
        <x:v>6</x:v>
      </x:c>
      <x:c r="D3801" s="12" t="n">
        <x:v>0</x:v>
      </x:c>
      <x:c r="E3801" s="12" t="n">
        <x:v>0.45308333333333334</x:v>
      </x:c>
      <x:c r="F3801" s="12" t="n">
        <x:v>0.45258333333333334</x:v>
      </x:c>
      <x:c r="G3801" s="12" t="n">
        <x:v>0</x:v>
      </x:c>
      <x:c r="H3801" s="1" t="n">
        <x:f>'Historical prices'!E3801</x:f>
        <x:v>1.05</x:v>
      </x:c>
      <x:c r="I3801" s="6" t="n">
        <x:f>'Historical prices'!D3801</x:f>
        <x:v>0.264</x:v>
      </x:c>
      <x:c r="J3801" s="13" t="n">
        <x:f>D3801*I3801*H3801</x:f>
        <x:v>0</x:v>
      </x:c>
      <x:c r="K3801" s="13" t="n">
        <x:f>E3801*I3801*H3801</x:f>
        <x:v>0.12559470000000003</x:v>
      </x:c>
      <x:c r="L3801" s="1" t="str">
        <x:f>TEXT(A3801,"mmm yyyy")</x:f>
        <x:v>Jul 2026</x:v>
      </x:c>
    </x:row>
    <x:row r="3802" ht="21" customHeight="1">
      <x:c r="A3802" s="10" t="n">
        <x:v>46227</x:v>
      </x:c>
      <x:c r="B3802" s="1" t="n">
        <x:v>17</x:v>
      </x:c>
      <x:c r="C3802" s="1" t="n">
        <x:v>6</x:v>
      </x:c>
      <x:c r="D3802" s="12" t="n">
        <x:v>0</x:v>
      </x:c>
      <x:c r="E3802" s="12" t="n">
        <x:v>0.5499166666666667</x:v>
      </x:c>
      <x:c r="F3802" s="12" t="n">
        <x:v>0.5494166666666667</x:v>
      </x:c>
      <x:c r="G3802" s="12" t="n">
        <x:v>0</x:v>
      </x:c>
      <x:c r="H3802" s="1" t="n">
        <x:f>'Historical prices'!E3802</x:f>
        <x:v>1.05</x:v>
      </x:c>
      <x:c r="I3802" s="6" t="n">
        <x:f>'Historical prices'!D3802</x:f>
        <x:v>0.3308</x:v>
      </x:c>
      <x:c r="J3802" s="13" t="n">
        <x:f>D3802*I3802*H3802</x:f>
        <x:v>0</x:v>
      </x:c>
      <x:c r="K3802" s="13" t="n">
        <x:f>E3802*I3802*H3802</x:f>
        <x:v>0.191008055</x:v>
      </x:c>
      <x:c r="L3802" s="1" t="str">
        <x:f>TEXT(A3802,"mmm yyyy")</x:f>
        <x:v>Jul 2026</x:v>
      </x:c>
    </x:row>
    <x:row r="3803" ht="21" customHeight="1">
      <x:c r="A3803" s="10" t="n">
        <x:v>46227</x:v>
      </x:c>
      <x:c r="B3803" s="1" t="n">
        <x:v>17.5</x:v>
      </x:c>
      <x:c r="C3803" s="1" t="n">
        <x:v>6</x:v>
      </x:c>
      <x:c r="D3803" s="12" t="n">
        <x:v>0</x:v>
      </x:c>
      <x:c r="E3803" s="12" t="n">
        <x:v>0.764</x:v>
      </x:c>
      <x:c r="F3803" s="12" t="n">
        <x:v>0.7636666666666666</x:v>
      </x:c>
      <x:c r="G3803" s="12" t="n">
        <x:v>0</x:v>
      </x:c>
      <x:c r="H3803" s="1" t="n">
        <x:f>'Historical prices'!E3803</x:f>
        <x:v>1.05</x:v>
      </x:c>
      <x:c r="I3803" s="6" t="n">
        <x:f>'Historical prices'!D3803</x:f>
        <x:v>0.326</x:v>
      </x:c>
      <x:c r="J3803" s="13" t="n">
        <x:f>D3803*I3803*H3803</x:f>
        <x:v>0</x:v>
      </x:c>
      <x:c r="K3803" s="13" t="n">
        <x:f>E3803*I3803*H3803</x:f>
        <x:v>0.2615172</x:v>
      </x:c>
      <x:c r="L3803" s="1" t="str">
        <x:f>TEXT(A3803,"mmm yyyy")</x:f>
        <x:v>Jul 2026</x:v>
      </x:c>
    </x:row>
    <x:row r="3804" ht="21" customHeight="1">
      <x:c r="A3804" s="10" t="n">
        <x:v>46227</x:v>
      </x:c>
      <x:c r="B3804" s="1" t="n">
        <x:v>18</x:v>
      </x:c>
      <x:c r="C3804" s="1" t="n">
        <x:v>6</x:v>
      </x:c>
      <x:c r="D3804" s="12" t="n">
        <x:v>0</x:v>
      </x:c>
      <x:c r="E3804" s="12" t="n">
        <x:v>0.49325</x:v>
      </x:c>
      <x:c r="F3804" s="12" t="n">
        <x:v>0.49274999999999997</x:v>
      </x:c>
      <x:c r="G3804" s="12" t="n">
        <x:v>0</x:v>
      </x:c>
      <x:c r="H3804" s="1" t="n">
        <x:f>'Historical prices'!E3804</x:f>
        <x:v>1.05</x:v>
      </x:c>
      <x:c r="I3804" s="6" t="n">
        <x:f>'Historical prices'!D3804</x:f>
        <x:v>0.3945</x:v>
      </x:c>
      <x:c r="J3804" s="13" t="n">
        <x:f>D3804*I3804*H3804</x:f>
        <x:v>0</x:v>
      </x:c>
      <x:c r="K3804" s="13" t="n">
        <x:f>E3804*I3804*H3804</x:f>
        <x:v>0.20431648125000004</x:v>
      </x:c>
      <x:c r="L3804" s="1" t="str">
        <x:f>TEXT(A3804,"mmm yyyy")</x:f>
        <x:v>Jul 2026</x:v>
      </x:c>
    </x:row>
    <x:row r="3805" ht="21" customHeight="1">
      <x:c r="A3805" s="10" t="n">
        <x:v>46227</x:v>
      </x:c>
      <x:c r="B3805" s="1" t="n">
        <x:v>18.5</x:v>
      </x:c>
      <x:c r="C3805" s="1" t="n">
        <x:v>6</x:v>
      </x:c>
      <x:c r="D3805" s="12" t="n">
        <x:v>0</x:v>
      </x:c>
      <x:c r="E3805" s="12" t="n">
        <x:v>0.3805</x:v>
      </x:c>
      <x:c r="F3805" s="12" t="n">
        <x:v>0.3804166666666667</x:v>
      </x:c>
      <x:c r="G3805" s="12" t="n">
        <x:v>0</x:v>
      </x:c>
      <x:c r="H3805" s="1" t="n">
        <x:f>'Historical prices'!E3805</x:f>
        <x:v>1.05</x:v>
      </x:c>
      <x:c r="I3805" s="6" t="n">
        <x:f>'Historical prices'!D3805</x:f>
        <x:v>0.4058</x:v>
      </x:c>
      <x:c r="J3805" s="13" t="n">
        <x:f>D3805*I3805*H3805</x:f>
        <x:v>0</x:v>
      </x:c>
      <x:c r="K3805" s="13" t="n">
        <x:f>E3805*I3805*H3805</x:f>
        <x:v>0.16212724500000003</x:v>
      </x:c>
      <x:c r="L3805" s="1" t="str">
        <x:f>TEXT(A3805,"mmm yyyy")</x:f>
        <x:v>Jul 2026</x:v>
      </x:c>
    </x:row>
    <x:row r="3806" ht="21" customHeight="1">
      <x:c r="A3806" s="10" t="n">
        <x:v>46227</x:v>
      </x:c>
      <x:c r="B3806" s="1" t="n">
        <x:v>19</x:v>
      </x:c>
      <x:c r="C3806" s="1" t="n">
        <x:v>6</x:v>
      </x:c>
      <x:c r="D3806" s="12" t="n">
        <x:v>0</x:v>
      </x:c>
      <x:c r="E3806" s="12" t="n">
        <x:v>0.38083333333333336</x:v>
      </x:c>
      <x:c r="F3806" s="12" t="n">
        <x:v>0.3805833333333334</x:v>
      </x:c>
      <x:c r="G3806" s="12" t="n">
        <x:v>0</x:v>
      </x:c>
      <x:c r="H3806" s="1" t="n">
        <x:f>'Historical prices'!E3806</x:f>
        <x:v>1.05</x:v>
      </x:c>
      <x:c r="I3806" s="6" t="n">
        <x:f>'Historical prices'!D3806</x:f>
        <x:v>0.3005</x:v>
      </x:c>
      <x:c r="J3806" s="13" t="n">
        <x:f>D3806*I3806*H3806</x:f>
        <x:v>0</x:v>
      </x:c>
      <x:c r="K3806" s="13" t="n">
        <x:f>E3806*I3806*H3806</x:f>
        <x:v>0.12016243750000001</x:v>
      </x:c>
      <x:c r="L3806" s="1" t="str">
        <x:f>TEXT(A3806,"mmm yyyy")</x:f>
        <x:v>Jul 2026</x:v>
      </x:c>
    </x:row>
    <x:row r="3807" ht="21" customHeight="1">
      <x:c r="A3807" s="10" t="n">
        <x:v>46227</x:v>
      </x:c>
      <x:c r="B3807" s="1" t="n">
        <x:v>19.5</x:v>
      </x:c>
      <x:c r="C3807" s="1" t="n">
        <x:v>6</x:v>
      </x:c>
      <x:c r="D3807" s="12" t="n">
        <x:v>0</x:v>
      </x:c>
      <x:c r="E3807" s="12" t="n">
        <x:v>0.36</x:v>
      </x:c>
      <x:c r="F3807" s="12" t="n">
        <x:v>0.35966666666666663</x:v>
      </x:c>
      <x:c r="G3807" s="12" t="n">
        <x:v>0</x:v>
      </x:c>
      <x:c r="H3807" s="1" t="n">
        <x:f>'Historical prices'!E3807</x:f>
        <x:v>1.05</x:v>
      </x:c>
      <x:c r="I3807" s="6" t="n">
        <x:f>'Historical prices'!D3807</x:f>
        <x:v>0.2952</x:v>
      </x:c>
      <x:c r="J3807" s="13" t="n">
        <x:f>D3807*I3807*H3807</x:f>
        <x:v>0</x:v>
      </x:c>
      <x:c r="K3807" s="13" t="n">
        <x:f>E3807*I3807*H3807</x:f>
        <x:v>0.11158560000000001</x:v>
      </x:c>
      <x:c r="L3807" s="1" t="str">
        <x:f>TEXT(A3807,"mmm yyyy")</x:f>
        <x:v>Jul 2026</x:v>
      </x:c>
    </x:row>
    <x:row r="3808" ht="21" customHeight="1">
      <x:c r="A3808" s="10" t="n">
        <x:v>46227</x:v>
      </x:c>
      <x:c r="B3808" s="1" t="n">
        <x:v>20</x:v>
      </x:c>
      <x:c r="C3808" s="1" t="n">
        <x:v>6</x:v>
      </x:c>
      <x:c r="D3808" s="12" t="n">
        <x:v>0</x:v>
      </x:c>
      <x:c r="E3808" s="12" t="n">
        <x:v>0.4427499999999999</x:v>
      </x:c>
      <x:c r="F3808" s="12" t="n">
        <x:v>0.4426666666666666</x:v>
      </x:c>
      <x:c r="G3808" s="12" t="n">
        <x:v>0</x:v>
      </x:c>
      <x:c r="H3808" s="1" t="n">
        <x:f>'Historical prices'!E3808</x:f>
        <x:v>1.05</x:v>
      </x:c>
      <x:c r="I3808" s="6" t="n">
        <x:f>'Historical prices'!D3808</x:f>
        <x:v>0.2979</x:v>
      </x:c>
      <x:c r="J3808" s="13" t="n">
        <x:f>D3808*I3808*H3808</x:f>
        <x:v>0</x:v>
      </x:c>
      <x:c r="K3808" s="13" t="n">
        <x:f>E3808*I3808*H3808</x:f>
        <x:v>0.13848998624999997</x:v>
      </x:c>
      <x:c r="L3808" s="1" t="str">
        <x:f>TEXT(A3808,"mmm yyyy")</x:f>
        <x:v>Jul 2026</x:v>
      </x:c>
    </x:row>
    <x:row r="3809" ht="21" customHeight="1">
      <x:c r="A3809" s="10" t="n">
        <x:v>46227</x:v>
      </x:c>
      <x:c r="B3809" s="1" t="n">
        <x:v>20.5</x:v>
      </x:c>
      <x:c r="C3809" s="1" t="n">
        <x:v>6</x:v>
      </x:c>
      <x:c r="D3809" s="12" t="n">
        <x:v>0</x:v>
      </x:c>
      <x:c r="E3809" s="12" t="n">
        <x:v>0.39075000000000004</x:v>
      </x:c>
      <x:c r="F3809" s="12" t="n">
        <x:v>0.3906666666666667</x:v>
      </x:c>
      <x:c r="G3809" s="12" t="n">
        <x:v>0</x:v>
      </x:c>
      <x:c r="H3809" s="1" t="n">
        <x:f>'Historical prices'!E3809</x:f>
        <x:v>1.05</x:v>
      </x:c>
      <x:c r="I3809" s="6" t="n">
        <x:f>'Historical prices'!D3809</x:f>
        <x:v>0.2979</x:v>
      </x:c>
      <x:c r="J3809" s="13" t="n">
        <x:f>D3809*I3809*H3809</x:f>
        <x:v>0</x:v>
      </x:c>
      <x:c r="K3809" s="13" t="n">
        <x:f>E3809*I3809*H3809</x:f>
        <x:v>0.12222464625000001</x:v>
      </x:c>
      <x:c r="L3809" s="1" t="str">
        <x:f>TEXT(A3809,"mmm yyyy")</x:f>
        <x:v>Jul 2026</x:v>
      </x:c>
    </x:row>
    <x:row r="3810" ht="21" customHeight="1">
      <x:c r="A3810" s="10" t="n">
        <x:v>46227</x:v>
      </x:c>
      <x:c r="B3810" s="1" t="n">
        <x:v>21</x:v>
      </x:c>
      <x:c r="C3810" s="1" t="n">
        <x:v>6</x:v>
      </x:c>
      <x:c r="D3810" s="12" t="n">
        <x:v>0</x:v>
      </x:c>
      <x:c r="E3810" s="12" t="n">
        <x:v>0.3468333333333333</x:v>
      </x:c>
      <x:c r="F3810" s="12" t="n">
        <x:v>0.34675</x:v>
      </x:c>
      <x:c r="G3810" s="12" t="n">
        <x:v>0</x:v>
      </x:c>
      <x:c r="H3810" s="1" t="n">
        <x:f>'Historical prices'!E3810</x:f>
        <x:v>1.05</x:v>
      </x:c>
      <x:c r="I3810" s="6" t="n">
        <x:f>'Historical prices'!D3810</x:f>
        <x:v>0.311</x:v>
      </x:c>
      <x:c r="J3810" s="13" t="n">
        <x:f>D3810*I3810*H3810</x:f>
        <x:v>0</x:v>
      </x:c>
      <x:c r="K3810" s="13" t="n">
        <x:f>E3810*I3810*H3810</x:f>
        <x:v>0.113258425</x:v>
      </x:c>
      <x:c r="L3810" s="1" t="str">
        <x:f>TEXT(A3810,"mmm yyyy")</x:f>
        <x:v>Jul 2026</x:v>
      </x:c>
    </x:row>
    <x:row r="3811" ht="21" customHeight="1">
      <x:c r="A3811" s="10" t="n">
        <x:v>46227</x:v>
      </x:c>
      <x:c r="B3811" s="1" t="n">
        <x:v>21.5</x:v>
      </x:c>
      <x:c r="C3811" s="1" t="n">
        <x:v>6</x:v>
      </x:c>
      <x:c r="D3811" s="12" t="n">
        <x:v>0</x:v>
      </x:c>
      <x:c r="E3811" s="12" t="n">
        <x:v>0.34891666666666665</x:v>
      </x:c>
      <x:c r="F3811" s="12" t="n">
        <x:v>0.3485833333333333</x:v>
      </x:c>
      <x:c r="G3811" s="12" t="n">
        <x:v>0</x:v>
      </x:c>
      <x:c r="H3811" s="1" t="n">
        <x:f>'Historical prices'!E3811</x:f>
        <x:v>1.05</x:v>
      </x:c>
      <x:c r="I3811" s="6" t="n">
        <x:f>'Historical prices'!D3811</x:f>
        <x:v>0.3085</x:v>
      </x:c>
      <x:c r="J3811" s="13" t="n">
        <x:f>D3811*I3811*H3811</x:f>
        <x:v>0</x:v>
      </x:c>
      <x:c r="K3811" s="13" t="n">
        <x:f>E3811*I3811*H3811</x:f>
        <x:v>0.11302283125</x:v>
      </x:c>
      <x:c r="L3811" s="1" t="str">
        <x:f>TEXT(A3811,"mmm yyyy")</x:f>
        <x:v>Jul 2026</x:v>
      </x:c>
    </x:row>
    <x:row r="3812" ht="21" customHeight="1">
      <x:c r="A3812" s="10" t="n">
        <x:v>46227</x:v>
      </x:c>
      <x:c r="B3812" s="1" t="n">
        <x:v>22</x:v>
      </x:c>
      <x:c r="C3812" s="1" t="n">
        <x:v>6</x:v>
      </x:c>
      <x:c r="D3812" s="12" t="n">
        <x:v>0</x:v>
      </x:c>
      <x:c r="E3812" s="12" t="n">
        <x:v>0.41691666666666666</x:v>
      </x:c>
      <x:c r="F3812" s="12" t="n">
        <x:v>0.41675</x:v>
      </x:c>
      <x:c r="G3812" s="12" t="n">
        <x:v>0</x:v>
      </x:c>
      <x:c r="H3812" s="1" t="n">
        <x:f>'Historical prices'!E3812</x:f>
        <x:v>1.05</x:v>
      </x:c>
      <x:c r="I3812" s="6" t="n">
        <x:f>'Historical prices'!D3812</x:f>
        <x:v>0.30079999999999996</x:v>
      </x:c>
      <x:c r="J3812" s="13" t="n">
        <x:f>D3812*I3812*H3812</x:f>
        <x:v>0</x:v>
      </x:c>
      <x:c r="K3812" s="13" t="n">
        <x:f>E3812*I3812*H3812</x:f>
        <x:v>0.13167895999999998</x:v>
      </x:c>
      <x:c r="L3812" s="1" t="str">
        <x:f>TEXT(A3812,"mmm yyyy")</x:f>
        <x:v>Jul 2026</x:v>
      </x:c>
    </x:row>
    <x:row r="3813" ht="21" customHeight="1">
      <x:c r="A3813" s="10" t="n">
        <x:v>46227</x:v>
      </x:c>
      <x:c r="B3813" s="1" t="n">
        <x:v>22.5</x:v>
      </x:c>
      <x:c r="C3813" s="1" t="n">
        <x:v>6</x:v>
      </x:c>
      <x:c r="D3813" s="12" t="n">
        <x:v>0</x:v>
      </x:c>
      <x:c r="E3813" s="12" t="n">
        <x:v>0.5179166666666667</x:v>
      </x:c>
      <x:c r="F3813" s="12" t="n">
        <x:v>0.5177499999999999</x:v>
      </x:c>
      <x:c r="G3813" s="12" t="n">
        <x:v>0</x:v>
      </x:c>
      <x:c r="H3813" s="1" t="n">
        <x:f>'Historical prices'!E3813</x:f>
        <x:v>1.05</x:v>
      </x:c>
      <x:c r="I3813" s="6" t="n">
        <x:f>'Historical prices'!D3813</x:f>
        <x:v>0.2812</x:v>
      </x:c>
      <x:c r="J3813" s="13" t="n">
        <x:f>D3813*I3813*H3813</x:f>
        <x:v>0</x:v>
      </x:c>
      <x:c r="K3813" s="13" t="n">
        <x:f>E3813*I3813*H3813</x:f>
        <x:v>0.15292007500000002</x:v>
      </x:c>
      <x:c r="L3813" s="1" t="str">
        <x:f>TEXT(A3813,"mmm yyyy")</x:f>
        <x:v>Jul 2026</x:v>
      </x:c>
    </x:row>
    <x:row r="3814" ht="21" customHeight="1">
      <x:c r="A3814" s="10" t="n">
        <x:v>46227</x:v>
      </x:c>
      <x:c r="B3814" s="1" t="n">
        <x:v>23</x:v>
      </x:c>
      <x:c r="C3814" s="1" t="n">
        <x:v>6</x:v>
      </x:c>
      <x:c r="D3814" s="12" t="n">
        <x:v>0</x:v>
      </x:c>
      <x:c r="E3814" s="12" t="n">
        <x:v>0.8655833333333334</x:v>
      </x:c>
      <x:c r="F3814" s="12" t="n">
        <x:v>0.8654999999999999</x:v>
      </x:c>
      <x:c r="G3814" s="12" t="n">
        <x:v>0</x:v>
      </x:c>
      <x:c r="H3814" s="1" t="n">
        <x:f>'Historical prices'!E3814</x:f>
        <x:v>1.05</x:v>
      </x:c>
      <x:c r="I3814" s="6" t="n">
        <x:f>'Historical prices'!D3814</x:f>
        <x:v>0.27140000000000003</x:v>
      </x:c>
      <x:c r="J3814" s="13" t="n">
        <x:f>D3814*I3814*H3814</x:f>
        <x:v>0</x:v>
      </x:c>
      <x:c r="K3814" s="13" t="n">
        <x:f>E3814*I3814*H3814</x:f>
        <x:v>0.24666528250000005</x:v>
      </x:c>
      <x:c r="L3814" s="1" t="str">
        <x:f>TEXT(A3814,"mmm yyyy")</x:f>
        <x:v>Jul 2026</x:v>
      </x:c>
    </x:row>
    <x:row r="3815" ht="21" customHeight="1">
      <x:c r="A3815" s="10" t="n">
        <x:v>46227</x:v>
      </x:c>
      <x:c r="B3815" s="1" t="n">
        <x:v>23.5</x:v>
      </x:c>
      <x:c r="C3815" s="1" t="n">
        <x:v>6</x:v>
      </x:c>
      <x:c r="D3815" s="12" t="n">
        <x:v>0</x:v>
      </x:c>
      <x:c r="E3815" s="12" t="n">
        <x:v>0.32691666666666663</x:v>
      </x:c>
      <x:c r="F3815" s="12" t="n">
        <x:v>0.3268333333333333</x:v>
      </x:c>
      <x:c r="G3815" s="12" t="n">
        <x:v>0</x:v>
      </x:c>
      <x:c r="H3815" s="1" t="n">
        <x:f>'Historical prices'!E3815</x:f>
        <x:v>1.05</x:v>
      </x:c>
      <x:c r="I3815" s="6" t="n">
        <x:f>'Historical prices'!D3815</x:f>
        <x:v>0.24170000000000003</x:v>
      </x:c>
      <x:c r="J3815" s="13" t="n">
        <x:f>D3815*I3815*H3815</x:f>
        <x:v>0</x:v>
      </x:c>
      <x:c r="K3815" s="13" t="n">
        <x:f>E3815*I3815*H3815</x:f>
        <x:v>0.08296654625000001</x:v>
      </x:c>
      <x:c r="L3815" s="1" t="str">
        <x:f>TEXT(A3815,"mmm yyyy")</x:f>
        <x:v>Jul 2026</x:v>
      </x:c>
    </x:row>
    <x:row r="3816" ht="21" customHeight="1">
      <x:c r="A3816" s="10" t="n">
        <x:v>46228</x:v>
      </x:c>
      <x:c r="B3816" s="1" t="n">
        <x:v>0</x:v>
      </x:c>
      <x:c r="C3816" s="1" t="n">
        <x:v>6</x:v>
      </x:c>
      <x:c r="D3816" s="12" t="n">
        <x:v>0</x:v>
      </x:c>
      <x:c r="E3816" s="12" t="n">
        <x:v>0.37075</x:v>
      </x:c>
      <x:c r="F3816" s="12" t="n">
        <x:v>0.3706666666666667</x:v>
      </x:c>
      <x:c r="G3816" s="12" t="n">
        <x:v>0</x:v>
      </x:c>
      <x:c r="H3816" s="1" t="n">
        <x:f>'Historical prices'!E3816</x:f>
        <x:v>1.05</x:v>
      </x:c>
      <x:c r="I3816" s="6" t="n">
        <x:f>'Historical prices'!D3816</x:f>
        <x:v>0.2291</x:v>
      </x:c>
      <x:c r="J3816" s="13" t="n">
        <x:f>D3816*I3816*H3816</x:f>
        <x:v>0</x:v>
      </x:c>
      <x:c r="K3816" s="13" t="n">
        <x:f>E3816*I3816*H3816</x:f>
        <x:v>0.08918576625000002</x:v>
      </x:c>
      <x:c r="L3816" s="1" t="str">
        <x:f>TEXT(A3816,"mmm yyyy")</x:f>
        <x:v>Jul 2026</x:v>
      </x:c>
    </x:row>
    <x:row r="3817" ht="21" customHeight="1">
      <x:c r="A3817" s="10" t="n">
        <x:v>46228</x:v>
      </x:c>
      <x:c r="B3817" s="1" t="n">
        <x:v>0.5</x:v>
      </x:c>
      <x:c r="C3817" s="1" t="n">
        <x:v>6</x:v>
      </x:c>
      <x:c r="D3817" s="12" t="n">
        <x:v>0</x:v>
      </x:c>
      <x:c r="E3817" s="12" t="n">
        <x:v>0.3029166666666666</x:v>
      </x:c>
      <x:c r="F3817" s="12" t="n">
        <x:v>0.3028333333333333</x:v>
      </x:c>
      <x:c r="G3817" s="12" t="n">
        <x:v>0</x:v>
      </x:c>
      <x:c r="H3817" s="1" t="n">
        <x:f>'Historical prices'!E3817</x:f>
        <x:v>1.05</x:v>
      </x:c>
      <x:c r="I3817" s="6" t="n">
        <x:f>'Historical prices'!D3817</x:f>
        <x:v>0.2498</x:v>
      </x:c>
      <x:c r="J3817" s="13" t="n">
        <x:f>D3817*I3817*H3817</x:f>
        <x:v>0</x:v>
      </x:c>
      <x:c r="K3817" s="13" t="n">
        <x:f>E3817*I3817*H3817</x:f>
        <x:v>0.07945201249999999</x:v>
      </x:c>
      <x:c r="L3817" s="1" t="str">
        <x:f>TEXT(A3817,"mmm yyyy")</x:f>
        <x:v>Jul 2026</x:v>
      </x:c>
    </x:row>
    <x:row r="3818" ht="21" customHeight="1">
      <x:c r="A3818" s="10" t="n">
        <x:v>46228</x:v>
      </x:c>
      <x:c r="B3818" s="1" t="n">
        <x:v>1</x:v>
      </x:c>
      <x:c r="C3818" s="1" t="n">
        <x:v>6</x:v>
      </x:c>
      <x:c r="D3818" s="12" t="n">
        <x:v>0</x:v>
      </x:c>
      <x:c r="E3818" s="12" t="n">
        <x:v>0.6890000000000001</x:v>
      </x:c>
      <x:c r="F3818" s="12" t="n">
        <x:v>0.6886666666666668</x:v>
      </x:c>
      <x:c r="G3818" s="12" t="n">
        <x:v>0</x:v>
      </x:c>
      <x:c r="H3818" s="1" t="n">
        <x:f>'Historical prices'!E3818</x:f>
        <x:v>1.05</x:v>
      </x:c>
      <x:c r="I3818" s="6" t="n">
        <x:f>'Historical prices'!D3818</x:f>
        <x:v>0.2505</x:v>
      </x:c>
      <x:c r="J3818" s="13" t="n">
        <x:f>D3818*I3818*H3818</x:f>
        <x:v>0</x:v>
      </x:c>
      <x:c r="K3818" s="13" t="n">
        <x:f>E3818*I3818*H3818</x:f>
        <x:v>0.18122422500000002</x:v>
      </x:c>
      <x:c r="L3818" s="1" t="str">
        <x:f>TEXT(A3818,"mmm yyyy")</x:f>
        <x:v>Jul 2026</x:v>
      </x:c>
    </x:row>
    <x:row r="3819" ht="21" customHeight="1">
      <x:c r="A3819" s="10" t="n">
        <x:v>46228</x:v>
      </x:c>
      <x:c r="B3819" s="1" t="n">
        <x:v>1.5</x:v>
      </x:c>
      <x:c r="C3819" s="1" t="n">
        <x:v>6</x:v>
      </x:c>
      <x:c r="D3819" s="12" t="n">
        <x:v>0</x:v>
      </x:c>
      <x:c r="E3819" s="12" t="n">
        <x:v>0.26875</x:v>
      </x:c>
      <x:c r="F3819" s="12" t="n">
        <x:v>0.26858333333333334</x:v>
      </x:c>
      <x:c r="G3819" s="12" t="n">
        <x:v>0</x:v>
      </x:c>
      <x:c r="H3819" s="1" t="n">
        <x:f>'Historical prices'!E3819</x:f>
        <x:v>1.05</x:v>
      </x:c>
      <x:c r="I3819" s="6" t="n">
        <x:f>'Historical prices'!D3819</x:f>
        <x:v>0.23379999999999998</x:v>
      </x:c>
      <x:c r="J3819" s="13" t="n">
        <x:f>D3819*I3819*H3819</x:f>
        <x:v>0</x:v>
      </x:c>
      <x:c r="K3819" s="13" t="n">
        <x:f>E3819*I3819*H3819</x:f>
        <x:v>0.0659754375</x:v>
      </x:c>
      <x:c r="L3819" s="1" t="str">
        <x:f>TEXT(A3819,"mmm yyyy")</x:f>
        <x:v>Jul 2026</x:v>
      </x:c>
    </x:row>
    <x:row r="3820" ht="21" customHeight="1">
      <x:c r="A3820" s="10" t="n">
        <x:v>46228</x:v>
      </x:c>
      <x:c r="B3820" s="1" t="n">
        <x:v>2</x:v>
      </x:c>
      <x:c r="C3820" s="1" t="n">
        <x:v>6</x:v>
      </x:c>
      <x:c r="D3820" s="12" t="n">
        <x:v>0</x:v>
      </x:c>
      <x:c r="E3820" s="12" t="n">
        <x:v>0.3000833333333333</x:v>
      </x:c>
      <x:c r="F3820" s="12" t="n">
        <x:v>0.29991666666666666</x:v>
      </x:c>
      <x:c r="G3820" s="12" t="n">
        <x:v>0</x:v>
      </x:c>
      <x:c r="H3820" s="1" t="n">
        <x:f>'Historical prices'!E3820</x:f>
        <x:v>1.05</x:v>
      </x:c>
      <x:c r="I3820" s="6" t="n">
        <x:f>'Historical prices'!D3820</x:f>
        <x:v>0.23399999999999999</x:v>
      </x:c>
      <x:c r="J3820" s="13" t="n">
        <x:f>D3820*I3820*H3820</x:f>
        <x:v>0</x:v>
      </x:c>
      <x:c r="K3820" s="13" t="n">
        <x:f>E3820*I3820*H3820</x:f>
        <x:v>0.07373047499999999</x:v>
      </x:c>
      <x:c r="L3820" s="1" t="str">
        <x:f>TEXT(A3820,"mmm yyyy")</x:f>
        <x:v>Jul 2026</x:v>
      </x:c>
    </x:row>
    <x:row r="3821" ht="21" customHeight="1">
      <x:c r="A3821" s="10" t="n">
        <x:v>46228</x:v>
      </x:c>
      <x:c r="B3821" s="1" t="n">
        <x:v>2.5</x:v>
      </x:c>
      <x:c r="C3821" s="1" t="n">
        <x:v>6</x:v>
      </x:c>
      <x:c r="D3821" s="12" t="n">
        <x:v>0</x:v>
      </x:c>
      <x:c r="E3821" s="12" t="n">
        <x:v>0.227</x:v>
      </x:c>
      <x:c r="F3821" s="12" t="n">
        <x:v>0.22683333333333336</x:v>
      </x:c>
      <x:c r="G3821" s="12" t="n">
        <x:v>0</x:v>
      </x:c>
      <x:c r="H3821" s="1" t="n">
        <x:f>'Historical prices'!E3821</x:f>
        <x:v>1.05</x:v>
      </x:c>
      <x:c r="I3821" s="6" t="n">
        <x:f>'Historical prices'!D3821</x:f>
        <x:v>0.2115</x:v>
      </x:c>
      <x:c r="J3821" s="13" t="n">
        <x:f>D3821*I3821*H3821</x:f>
        <x:v>0</x:v>
      </x:c>
      <x:c r="K3821" s="13" t="n">
        <x:f>E3821*I3821*H3821</x:f>
        <x:v>0.050411025</x:v>
      </x:c>
      <x:c r="L3821" s="1" t="str">
        <x:f>TEXT(A3821,"mmm yyyy")</x:f>
        <x:v>Jul 2026</x:v>
      </x:c>
    </x:row>
    <x:row r="3822" ht="21" customHeight="1">
      <x:c r="A3822" s="10" t="n">
        <x:v>46228</x:v>
      </x:c>
      <x:c r="B3822" s="1" t="n">
        <x:v>3</x:v>
      </x:c>
      <x:c r="C3822" s="1" t="n">
        <x:v>6</x:v>
      </x:c>
      <x:c r="D3822" s="12" t="n">
        <x:v>0</x:v>
      </x:c>
      <x:c r="E3822" s="12" t="n">
        <x:v>0.2538333333333333</x:v>
      </x:c>
      <x:c r="F3822" s="12" t="n">
        <x:v>0.2538333333333333</x:v>
      </x:c>
      <x:c r="G3822" s="12" t="n">
        <x:v>0</x:v>
      </x:c>
      <x:c r="H3822" s="1" t="n">
        <x:f>'Historical prices'!E3822</x:f>
        <x:v>1.05</x:v>
      </x:c>
      <x:c r="I3822" s="6" t="n">
        <x:f>'Historical prices'!D3822</x:f>
        <x:v>0.2018</x:v>
      </x:c>
      <x:c r="J3822" s="13" t="n">
        <x:f>D3822*I3822*H3822</x:f>
        <x:v>0</x:v>
      </x:c>
      <x:c r="K3822" s="13" t="n">
        <x:f>E3822*I3822*H3822</x:f>
        <x:v>0.053784745</x:v>
      </x:c>
      <x:c r="L3822" s="1" t="str">
        <x:f>TEXT(A3822,"mmm yyyy")</x:f>
        <x:v>Jul 2026</x:v>
      </x:c>
    </x:row>
    <x:row r="3823" ht="21" customHeight="1">
      <x:c r="A3823" s="10" t="n">
        <x:v>46228</x:v>
      </x:c>
      <x:c r="B3823" s="1" t="n">
        <x:v>3.5</x:v>
      </x:c>
      <x:c r="C3823" s="1" t="n">
        <x:v>6</x:v>
      </x:c>
      <x:c r="D3823" s="12" t="n">
        <x:v>0</x:v>
      </x:c>
      <x:c r="E3823" s="12" t="n">
        <x:v>0.33891666666666664</x:v>
      </x:c>
      <x:c r="F3823" s="12" t="n">
        <x:v>0.3388333333333333</x:v>
      </x:c>
      <x:c r="G3823" s="12" t="n">
        <x:v>0</x:v>
      </x:c>
      <x:c r="H3823" s="1" t="n">
        <x:f>'Historical prices'!E3823</x:f>
        <x:v>1.05</x:v>
      </x:c>
      <x:c r="I3823" s="6" t="n">
        <x:f>'Historical prices'!D3823</x:f>
        <x:v>0.1844</x:v>
      </x:c>
      <x:c r="J3823" s="13" t="n">
        <x:f>D3823*I3823*H3823</x:f>
        <x:v>0</x:v>
      </x:c>
      <x:c r="K3823" s="13" t="n">
        <x:f>E3823*I3823*H3823</x:f>
        <x:v>0.065621045</x:v>
      </x:c>
      <x:c r="L3823" s="1" t="str">
        <x:f>TEXT(A3823,"mmm yyyy")</x:f>
        <x:v>Jul 2026</x:v>
      </x:c>
    </x:row>
    <x:row r="3824" ht="21" customHeight="1">
      <x:c r="A3824" s="10" t="n">
        <x:v>46228</x:v>
      </x:c>
      <x:c r="B3824" s="1" t="n">
        <x:v>4</x:v>
      </x:c>
      <x:c r="C3824" s="1" t="n">
        <x:v>6</x:v>
      </x:c>
      <x:c r="D3824" s="12" t="n">
        <x:v>0</x:v>
      </x:c>
      <x:c r="E3824" s="12" t="n">
        <x:v>0.25416666666666665</x:v>
      </x:c>
      <x:c r="F3824" s="12" t="n">
        <x:v>0.25375</x:v>
      </x:c>
      <x:c r="G3824" s="12" t="n">
        <x:v>0</x:v>
      </x:c>
      <x:c r="H3824" s="1" t="n">
        <x:f>'Historical prices'!E3824</x:f>
        <x:v>1.05</x:v>
      </x:c>
      <x:c r="I3824" s="6" t="n">
        <x:f>'Historical prices'!D3824</x:f>
        <x:v>0.19640000000000002</x:v>
      </x:c>
      <x:c r="J3824" s="13" t="n">
        <x:f>D3824*I3824*H3824</x:f>
        <x:v>0</x:v>
      </x:c>
      <x:c r="K3824" s="13" t="n">
        <x:f>E3824*I3824*H3824</x:f>
        <x:v>0.05241425</x:v>
      </x:c>
      <x:c r="L3824" s="1" t="str">
        <x:f>TEXT(A3824,"mmm yyyy")</x:f>
        <x:v>Jul 2026</x:v>
      </x:c>
    </x:row>
    <x:row r="3825" ht="21" customHeight="1">
      <x:c r="A3825" s="10" t="n">
        <x:v>46228</x:v>
      </x:c>
      <x:c r="B3825" s="1" t="n">
        <x:v>4.5</x:v>
      </x:c>
      <x:c r="C3825" s="1" t="n">
        <x:v>6</x:v>
      </x:c>
      <x:c r="D3825" s="12" t="n">
        <x:v>0</x:v>
      </x:c>
      <x:c r="E3825" s="12" t="n">
        <x:v>0.31383333333333335</x:v>
      </x:c>
      <x:c r="F3825" s="12" t="n">
        <x:v>0.31375000000000003</x:v>
      </x:c>
      <x:c r="G3825" s="12" t="n">
        <x:v>0</x:v>
      </x:c>
      <x:c r="H3825" s="1" t="n">
        <x:f>'Historical prices'!E3825</x:f>
        <x:v>1.05</x:v>
      </x:c>
      <x:c r="I3825" s="6" t="n">
        <x:f>'Historical prices'!D3825</x:f>
        <x:v>0.1934</x:v>
      </x:c>
      <x:c r="J3825" s="13" t="n">
        <x:f>D3825*I3825*H3825</x:f>
        <x:v>0</x:v>
      </x:c>
      <x:c r="K3825" s="13" t="n">
        <x:f>E3825*I3825*H3825</x:f>
        <x:v>0.06373013500000001</x:v>
      </x:c>
      <x:c r="L3825" s="1" t="str">
        <x:f>TEXT(A3825,"mmm yyyy")</x:f>
        <x:v>Jul 2026</x:v>
      </x:c>
    </x:row>
    <x:row r="3826" ht="21" customHeight="1">
      <x:c r="A3826" s="10" t="n">
        <x:v>46228</x:v>
      </x:c>
      <x:c r="B3826" s="1" t="n">
        <x:v>5</x:v>
      </x:c>
      <x:c r="C3826" s="1" t="n">
        <x:v>6</x:v>
      </x:c>
      <x:c r="D3826" s="12" t="n">
        <x:v>0</x:v>
      </x:c>
      <x:c r="E3826" s="12" t="n">
        <x:v>0.3160833333333334</x:v>
      </x:c>
      <x:c r="F3826" s="12" t="n">
        <x:v>0.31575</x:v>
      </x:c>
      <x:c r="G3826" s="12" t="n">
        <x:v>0</x:v>
      </x:c>
      <x:c r="H3826" s="1" t="n">
        <x:f>'Historical prices'!E3826</x:f>
        <x:v>1.05</x:v>
      </x:c>
      <x:c r="I3826" s="6" t="n">
        <x:f>'Historical prices'!D3826</x:f>
        <x:v>0.18960000000000002</x:v>
      </x:c>
      <x:c r="J3826" s="13" t="n">
        <x:f>D3826*I3826*H3826</x:f>
        <x:v>0</x:v>
      </x:c>
      <x:c r="K3826" s="13" t="n">
        <x:f>E3826*I3826*H3826</x:f>
        <x:v>0.06292587000000002</x:v>
      </x:c>
      <x:c r="L3826" s="1" t="str">
        <x:f>TEXT(A3826,"mmm yyyy")</x:f>
        <x:v>Jul 2026</x:v>
      </x:c>
    </x:row>
    <x:row r="3827" ht="21" customHeight="1">
      <x:c r="A3827" s="10" t="n">
        <x:v>46228</x:v>
      </x:c>
      <x:c r="B3827" s="1" t="n">
        <x:v>5.5</x:v>
      </x:c>
      <x:c r="C3827" s="1" t="n">
        <x:v>6</x:v>
      </x:c>
      <x:c r="D3827" s="12" t="n">
        <x:v>0</x:v>
      </x:c>
      <x:c r="E3827" s="12" t="n">
        <x:v>0.2789166666666667</x:v>
      </x:c>
      <x:c r="F3827" s="12" t="n">
        <x:v>0.27849999999999997</x:v>
      </x:c>
      <x:c r="G3827" s="12" t="n">
        <x:v>0</x:v>
      </x:c>
      <x:c r="H3827" s="1" t="n">
        <x:f>'Historical prices'!E3827</x:f>
        <x:v>1.05</x:v>
      </x:c>
      <x:c r="I3827" s="6" t="n">
        <x:f>'Historical prices'!D3827</x:f>
        <x:v>0.1778</x:v>
      </x:c>
      <x:c r="J3827" s="13" t="n">
        <x:f>D3827*I3827*H3827</x:f>
        <x:v>0</x:v>
      </x:c>
      <x:c r="K3827" s="13" t="n">
        <x:f>E3827*I3827*H3827</x:f>
        <x:v>0.05207095250000001</x:v>
      </x:c>
      <x:c r="L3827" s="1" t="str">
        <x:f>TEXT(A3827,"mmm yyyy")</x:f>
        <x:v>Jul 2026</x:v>
      </x:c>
    </x:row>
    <x:row r="3828" ht="21" customHeight="1">
      <x:c r="A3828" s="10" t="n">
        <x:v>46228</x:v>
      </x:c>
      <x:c r="B3828" s="1" t="n">
        <x:v>6</x:v>
      </x:c>
      <x:c r="C3828" s="1" t="n">
        <x:v>6</x:v>
      </x:c>
      <x:c r="D3828" s="12" t="n">
        <x:v>0</x:v>
      </x:c>
      <x:c r="E3828" s="12" t="n">
        <x:v>0.32591666666666663</x:v>
      </x:c>
      <x:c r="F3828" s="12" t="n">
        <x:v>0.32575</x:v>
      </x:c>
      <x:c r="G3828" s="12" t="n">
        <x:v>0</x:v>
      </x:c>
      <x:c r="H3828" s="1" t="n">
        <x:f>'Historical prices'!E3828</x:f>
        <x:v>1.05</x:v>
      </x:c>
      <x:c r="I3828" s="6" t="n">
        <x:f>'Historical prices'!D3828</x:f>
        <x:v>0.1727</x:v>
      </x:c>
      <x:c r="J3828" s="13" t="n">
        <x:f>D3828*I3828*H3828</x:f>
        <x:v>0</x:v>
      </x:c>
      <x:c r="K3828" s="13" t="n">
        <x:f>E3828*I3828*H3828</x:f>
        <x:v>0.059100098749999996</x:v>
      </x:c>
      <x:c r="L3828" s="1" t="str">
        <x:f>TEXT(A3828,"mmm yyyy")</x:f>
        <x:v>Jul 2026</x:v>
      </x:c>
    </x:row>
    <x:row r="3829" ht="21" customHeight="1">
      <x:c r="A3829" s="10" t="n">
        <x:v>46228</x:v>
      </x:c>
      <x:c r="B3829" s="1" t="n">
        <x:v>6.5</x:v>
      </x:c>
      <x:c r="C3829" s="1" t="n">
        <x:v>6</x:v>
      </x:c>
      <x:c r="D3829" s="12" t="n">
        <x:v>0</x:v>
      </x:c>
      <x:c r="E3829" s="12" t="n">
        <x:v>0.4465</x:v>
      </x:c>
      <x:c r="F3829" s="12" t="n">
        <x:v>0.44633333333333336</x:v>
      </x:c>
      <x:c r="G3829" s="12" t="n">
        <x:v>0</x:v>
      </x:c>
      <x:c r="H3829" s="1" t="n">
        <x:f>'Historical prices'!E3829</x:f>
        <x:v>1.05</x:v>
      </x:c>
      <x:c r="I3829" s="6" t="n">
        <x:f>'Historical prices'!D3829</x:f>
        <x:v>0.1623</x:v>
      </x:c>
      <x:c r="J3829" s="13" t="n">
        <x:f>D3829*I3829*H3829</x:f>
        <x:v>0</x:v>
      </x:c>
      <x:c r="K3829" s="13" t="n">
        <x:f>E3829*I3829*H3829</x:f>
        <x:v>0.0760902975</x:v>
      </x:c>
      <x:c r="L3829" s="1" t="str">
        <x:f>TEXT(A3829,"mmm yyyy")</x:f>
        <x:v>Jul 2026</x:v>
      </x:c>
    </x:row>
    <x:row r="3830" ht="21" customHeight="1">
      <x:c r="A3830" s="10" t="n">
        <x:v>46228</x:v>
      </x:c>
      <x:c r="B3830" s="1" t="n">
        <x:v>7</x:v>
      </x:c>
      <x:c r="C3830" s="1" t="n">
        <x:v>6</x:v>
      </x:c>
      <x:c r="D3830" s="12" t="n">
        <x:v>0</x:v>
      </x:c>
      <x:c r="E3830" s="12" t="n">
        <x:v>0.46608333333333335</x:v>
      </x:c>
      <x:c r="F3830" s="12" t="n">
        <x:v>0.4658333333333333</x:v>
      </x:c>
      <x:c r="G3830" s="12" t="n">
        <x:v>0</x:v>
      </x:c>
      <x:c r="H3830" s="1" t="n">
        <x:f>'Historical prices'!E3830</x:f>
        <x:v>1.05</x:v>
      </x:c>
      <x:c r="I3830" s="6" t="n">
        <x:f>'Historical prices'!D3830</x:f>
        <x:v>0.1266</x:v>
      </x:c>
      <x:c r="J3830" s="13" t="n">
        <x:f>D3830*I3830*H3830</x:f>
        <x:v>0</x:v>
      </x:c>
      <x:c r="K3830" s="13" t="n">
        <x:f>E3830*I3830*H3830</x:f>
        <x:v>0.061956457500000006</x:v>
      </x:c>
      <x:c r="L3830" s="1" t="str">
        <x:f>TEXT(A3830,"mmm yyyy")</x:f>
        <x:v>Jul 2026</x:v>
      </x:c>
    </x:row>
    <x:row r="3831" ht="21" customHeight="1">
      <x:c r="A3831" s="10" t="n">
        <x:v>46228</x:v>
      </x:c>
      <x:c r="B3831" s="1" t="n">
        <x:v>7.5</x:v>
      </x:c>
      <x:c r="C3831" s="1" t="n">
        <x:v>6</x:v>
      </x:c>
      <x:c r="D3831" s="12" t="n">
        <x:v>0</x:v>
      </x:c>
      <x:c r="E3831" s="12" t="n">
        <x:v>0.46408333333333335</x:v>
      </x:c>
      <x:c r="F3831" s="12" t="n">
        <x:v>0.4639166666666667</x:v>
      </x:c>
      <x:c r="G3831" s="12" t="n">
        <x:v>0</x:v>
      </x:c>
      <x:c r="H3831" s="1" t="n">
        <x:f>'Historical prices'!E3831</x:f>
        <x:v>1.05</x:v>
      </x:c>
      <x:c r="I3831" s="6" t="n">
        <x:f>'Historical prices'!D3831</x:f>
        <x:v>0.13699999999999998</x:v>
      </x:c>
      <x:c r="J3831" s="13" t="n">
        <x:f>D3831*I3831*H3831</x:f>
        <x:v>0</x:v>
      </x:c>
      <x:c r="K3831" s="13" t="n">
        <x:f>E3831*I3831*H3831</x:f>
        <x:v>0.0667583875</x:v>
      </x:c>
      <x:c r="L3831" s="1" t="str">
        <x:f>TEXT(A3831,"mmm yyyy")</x:f>
        <x:v>Jul 2026</x:v>
      </x:c>
    </x:row>
    <x:row r="3832" ht="21" customHeight="1">
      <x:c r="A3832" s="10" t="n">
        <x:v>46228</x:v>
      </x:c>
      <x:c r="B3832" s="1" t="n">
        <x:v>8</x:v>
      </x:c>
      <x:c r="C3832" s="1" t="n">
        <x:v>6</x:v>
      </x:c>
      <x:c r="D3832" s="12" t="n">
        <x:v>0</x:v>
      </x:c>
      <x:c r="E3832" s="12" t="n">
        <x:v>0.5599166666666666</x:v>
      </x:c>
      <x:c r="F3832" s="12" t="n">
        <x:v>0.5598333333333333</x:v>
      </x:c>
      <x:c r="G3832" s="12" t="n">
        <x:v>0</x:v>
      </x:c>
      <x:c r="H3832" s="1" t="n">
        <x:f>'Historical prices'!E3832</x:f>
        <x:v>1.05</x:v>
      </x:c>
      <x:c r="I3832" s="6" t="n">
        <x:f>'Historical prices'!D3832</x:f>
        <x:v>-0.0124</x:v>
      </x:c>
      <x:c r="J3832" s="13" t="n">
        <x:f>D3832*I3832*H3832</x:f>
        <x:v>0</x:v>
      </x:c>
      <x:c r="K3832" s="13" t="n">
        <x:f>E3832*I3832*H3832</x:f>
        <x:v>-0.007290114999999999</x:v>
      </x:c>
      <x:c r="L3832" s="1" t="str">
        <x:f>TEXT(A3832,"mmm yyyy")</x:f>
        <x:v>Jul 2026</x:v>
      </x:c>
    </x:row>
    <x:row r="3833" ht="21" customHeight="1">
      <x:c r="A3833" s="10" t="n">
        <x:v>46228</x:v>
      </x:c>
      <x:c r="B3833" s="1" t="n">
        <x:v>8.5</x:v>
      </x:c>
      <x:c r="C3833" s="1" t="n">
        <x:v>6</x:v>
      </x:c>
      <x:c r="D3833" s="12" t="n">
        <x:v>0</x:v>
      </x:c>
      <x:c r="E3833" s="12" t="n">
        <x:v>0.5171666666666667</x:v>
      </x:c>
      <x:c r="F3833" s="12" t="n">
        <x:v>0.5167499999999999</x:v>
      </x:c>
      <x:c r="G3833" s="12" t="n">
        <x:v>0</x:v>
      </x:c>
      <x:c r="H3833" s="1" t="n">
        <x:f>'Historical prices'!E3833</x:f>
        <x:v>1.05</x:v>
      </x:c>
      <x:c r="I3833" s="6" t="n">
        <x:f>'Historical prices'!D3833</x:f>
        <x:v>-0.0144</x:v>
      </x:c>
      <x:c r="J3833" s="13" t="n">
        <x:f>D3833*I3833*H3833</x:f>
        <x:v>0</x:v>
      </x:c>
      <x:c r="K3833" s="13" t="n">
        <x:f>E3833*I3833*H3833</x:f>
        <x:v>-0.00781956</x:v>
      </x:c>
      <x:c r="L3833" s="1" t="str">
        <x:f>TEXT(A3833,"mmm yyyy")</x:f>
        <x:v>Jul 2026</x:v>
      </x:c>
    </x:row>
    <x:row r="3834" ht="21" customHeight="1">
      <x:c r="A3834" s="10" t="n">
        <x:v>46228</x:v>
      </x:c>
      <x:c r="B3834" s="1" t="n">
        <x:v>9</x:v>
      </x:c>
      <x:c r="C3834" s="1" t="n">
        <x:v>6</x:v>
      </x:c>
      <x:c r="D3834" s="12" t="n">
        <x:v>0</x:v>
      </x:c>
      <x:c r="E3834" s="12" t="n">
        <x:v>0.47266666666666673</x:v>
      </x:c>
      <x:c r="F3834" s="12" t="n">
        <x:v>0.4725000000000001</x:v>
      </x:c>
      <x:c r="G3834" s="12" t="n">
        <x:v>0</x:v>
      </x:c>
      <x:c r="H3834" s="1" t="n">
        <x:f>'Historical prices'!E3834</x:f>
        <x:v>1.05</x:v>
      </x:c>
      <x:c r="I3834" s="6" t="n">
        <x:f>'Historical prices'!D3834</x:f>
        <x:v>-0.0336</x:v>
      </x:c>
      <x:c r="J3834" s="13" t="n">
        <x:f>D3834*I3834*H3834</x:f>
        <x:v>0</x:v>
      </x:c>
      <x:c r="K3834" s="13" t="n">
        <x:f>E3834*I3834*H3834</x:f>
        <x:v>-0.016675680000000005</x:v>
      </x:c>
      <x:c r="L3834" s="1" t="str">
        <x:f>TEXT(A3834,"mmm yyyy")</x:f>
        <x:v>Jul 2026</x:v>
      </x:c>
    </x:row>
    <x:row r="3835" ht="21" customHeight="1">
      <x:c r="A3835" s="10" t="n">
        <x:v>46228</x:v>
      </x:c>
      <x:c r="B3835" s="1" t="n">
        <x:v>9.5</x:v>
      </x:c>
      <x:c r="C3835" s="1" t="n">
        <x:v>6</x:v>
      </x:c>
      <x:c r="D3835" s="12" t="n">
        <x:v>0</x:v>
      </x:c>
      <x:c r="E3835" s="12" t="n">
        <x:v>0.7737499999999999</x:v>
      </x:c>
      <x:c r="F3835" s="12" t="n">
        <x:v>0.7736666666666666</x:v>
      </x:c>
      <x:c r="G3835" s="12" t="n">
        <x:v>0</x:v>
      </x:c>
      <x:c r="H3835" s="1" t="n">
        <x:f>'Historical prices'!E3835</x:f>
        <x:v>1.05</x:v>
      </x:c>
      <x:c r="I3835" s="6" t="n">
        <x:f>'Historical prices'!D3835</x:f>
        <x:v>-0.0362</x:v>
      </x:c>
      <x:c r="J3835" s="13" t="n">
        <x:f>D3835*I3835*H3835</x:f>
        <x:v>0</x:v>
      </x:c>
      <x:c r="K3835" s="13" t="n">
        <x:f>E3835*I3835*H3835</x:f>
        <x:v>-0.029410237500000002</x:v>
      </x:c>
      <x:c r="L3835" s="1" t="str">
        <x:f>TEXT(A3835,"mmm yyyy")</x:f>
        <x:v>Jul 2026</x:v>
      </x:c>
    </x:row>
    <x:row r="3836" ht="21" customHeight="1">
      <x:c r="A3836" s="10" t="n">
        <x:v>46228</x:v>
      </x:c>
      <x:c r="B3836" s="1" t="n">
        <x:v>10</x:v>
      </x:c>
      <x:c r="C3836" s="1" t="n">
        <x:v>6</x:v>
      </x:c>
      <x:c r="D3836" s="12" t="n">
        <x:v>0</x:v>
      </x:c>
      <x:c r="E3836" s="12" t="n">
        <x:v>0.5807499999999999</x:v>
      </x:c>
      <x:c r="F3836" s="12" t="n">
        <x:v>0.5806666666666666</x:v>
      </x:c>
      <x:c r="G3836" s="12" t="n">
        <x:v>0</x:v>
      </x:c>
      <x:c r="H3836" s="1" t="n">
        <x:f>'Historical prices'!E3836</x:f>
        <x:v>1.05</x:v>
      </x:c>
      <x:c r="I3836" s="6" t="n">
        <x:f>'Historical prices'!D3836</x:f>
        <x:v>-0.037000000000000005</x:v>
      </x:c>
      <x:c r="J3836" s="13" t="n">
        <x:f>D3836*I3836*H3836</x:f>
        <x:v>0</x:v>
      </x:c>
      <x:c r="K3836" s="13" t="n">
        <x:f>E3836*I3836*H3836</x:f>
        <x:v>-0.0225621375</x:v>
      </x:c>
      <x:c r="L3836" s="1" t="str">
        <x:f>TEXT(A3836,"mmm yyyy")</x:f>
        <x:v>Jul 2026</x:v>
      </x:c>
    </x:row>
    <x:row r="3837" ht="21" customHeight="1">
      <x:c r="A3837" s="10" t="n">
        <x:v>46228</x:v>
      </x:c>
      <x:c r="B3837" s="1" t="n">
        <x:v>10.5</x:v>
      </x:c>
      <x:c r="C3837" s="1" t="n">
        <x:v>6</x:v>
      </x:c>
      <x:c r="D3837" s="12" t="n">
        <x:v>0.35741666666666666</x:v>
      </x:c>
      <x:c r="E3837" s="12" t="n">
        <x:v>0.4504166666666667</x:v>
      </x:c>
      <x:c r="F3837" s="12" t="n">
        <x:v>0.084</x:v>
      </x:c>
      <x:c r="G3837" s="12" t="n">
        <x:v>0</x:v>
      </x:c>
      <x:c r="H3837" s="1" t="n">
        <x:f>'Historical prices'!E3837</x:f>
        <x:v>1.05</x:v>
      </x:c>
      <x:c r="I3837" s="6" t="n">
        <x:f>'Historical prices'!D3837</x:f>
        <x:v>-0.044199999999999996</x:v>
      </x:c>
      <x:c r="J3837" s="13" t="n">
        <x:f>D3837*I3837*H3837</x:f>
        <x:v>-0.0165877075</x:v>
      </x:c>
      <x:c r="K3837" s="13" t="n">
        <x:f>E3837*I3837*H3837</x:f>
        <x:v>-0.020903837499999998</x:v>
      </x:c>
      <x:c r="L3837" s="1" t="str">
        <x:f>TEXT(A3837,"mmm yyyy")</x:f>
        <x:v>Jul 2026</x:v>
      </x:c>
    </x:row>
    <x:row r="3838" ht="21" customHeight="1">
      <x:c r="A3838" s="10" t="n">
        <x:v>46228</x:v>
      </x:c>
      <x:c r="B3838" s="1" t="n">
        <x:v>11</x:v>
      </x:c>
      <x:c r="C3838" s="1" t="n">
        <x:v>6</x:v>
      </x:c>
      <x:c r="D3838" s="12" t="n">
        <x:v>0.07541666666666667</x:v>
      </x:c>
      <x:c r="E3838" s="12" t="n">
        <x:v>0.47866666666666663</x:v>
      </x:c>
      <x:c r="F3838" s="12" t="n">
        <x:v>0.40099999999999997</x:v>
      </x:c>
      <x:c r="G3838" s="12" t="n">
        <x:v>0</x:v>
      </x:c>
      <x:c r="H3838" s="1" t="n">
        <x:f>'Historical prices'!E3838</x:f>
        <x:v>1.05</x:v>
      </x:c>
      <x:c r="I3838" s="6" t="n">
        <x:f>'Historical prices'!D3838</x:f>
        <x:v>-0.0392</x:v>
      </x:c>
      <x:c r="J3838" s="13" t="n">
        <x:f>D3838*I3838*H3838</x:f>
        <x:v>-0.0031041500000000004</x:v>
      </x:c>
      <x:c r="K3838" s="13" t="n">
        <x:f>E3838*I3838*H3838</x:f>
        <x:v>-0.019701919999999998</x:v>
      </x:c>
      <x:c r="L3838" s="1" t="str">
        <x:f>TEXT(A3838,"mmm yyyy")</x:f>
        <x:v>Jul 2026</x:v>
      </x:c>
    </x:row>
    <x:row r="3839" ht="21" customHeight="1">
      <x:c r="A3839" s="10" t="n">
        <x:v>46228</x:v>
      </x:c>
      <x:c r="B3839" s="1" t="n">
        <x:v>11.5</x:v>
      </x:c>
      <x:c r="C3839" s="1" t="n">
        <x:v>6</x:v>
      </x:c>
      <x:c r="D3839" s="12" t="n">
        <x:v>0.26475</x:v>
      </x:c>
      <x:c r="E3839" s="12" t="n">
        <x:v>0.34591666666666665</x:v>
      </x:c>
      <x:c r="F3839" s="12" t="n">
        <x:v>0.072</x:v>
      </x:c>
      <x:c r="G3839" s="12" t="n">
        <x:v>0</x:v>
      </x:c>
      <x:c r="H3839" s="1" t="n">
        <x:f>'Historical prices'!E3839</x:f>
        <x:v>1.05</x:v>
      </x:c>
      <x:c r="I3839" s="6" t="n">
        <x:f>'Historical prices'!D3839</x:f>
        <x:v>-0.0433</x:v>
      </x:c>
      <x:c r="J3839" s="13" t="n">
        <x:f>D3839*I3839*H3839</x:f>
        <x:v>-0.01203685875</x:v>
      </x:c>
      <x:c r="K3839" s="13" t="n">
        <x:f>E3839*I3839*H3839</x:f>
        <x:v>-0.01572710125</x:v>
      </x:c>
      <x:c r="L3839" s="1" t="str">
        <x:f>TEXT(A3839,"mmm yyyy")</x:f>
        <x:v>Jul 2026</x:v>
      </x:c>
    </x:row>
    <x:row r="3840" ht="21" customHeight="1">
      <x:c r="A3840" s="10" t="n">
        <x:v>46228</x:v>
      </x:c>
      <x:c r="B3840" s="1" t="n">
        <x:v>12</x:v>
      </x:c>
      <x:c r="C3840" s="1" t="n">
        <x:v>6</x:v>
      </x:c>
      <x:c r="D3840" s="12" t="n">
        <x:v>4.464583333333334</x:v>
      </x:c>
      <x:c r="E3840" s="12" t="n">
        <x:v>0.5855833333333333</x:v>
      </x:c>
      <x:c r="F3840" s="12" t="n">
        <x:v>0</x:v>
      </x:c>
      <x:c r="G3840" s="12" t="n">
        <x:v>3.879</x:v>
      </x:c>
      <x:c r="H3840" s="1" t="n">
        <x:f>'Historical prices'!E3840</x:f>
        <x:v>1.05</x:v>
      </x:c>
      <x:c r="I3840" s="6" t="n">
        <x:f>'Historical prices'!D3840</x:f>
        <x:v>-0.0641</x:v>
      </x:c>
      <x:c r="J3840" s="13" t="n">
        <x:f>D3840*I3840*H3840</x:f>
        <x:v>-0.30048878125</x:v>
      </x:c>
      <x:c r="K3840" s="13" t="n">
        <x:f>E3840*I3840*H3840</x:f>
        <x:v>-0.03941268625</x:v>
      </x:c>
      <x:c r="L3840" s="1" t="str">
        <x:f>TEXT(A3840,"mmm yyyy")</x:f>
        <x:v>Jul 2026</x:v>
      </x:c>
    </x:row>
    <x:row r="3841" ht="21" customHeight="1">
      <x:c r="A3841" s="10" t="n">
        <x:v>46228</x:v>
      </x:c>
      <x:c r="B3841" s="1" t="n">
        <x:v>12.5</x:v>
      </x:c>
      <x:c r="C3841" s="1" t="n">
        <x:v>6</x:v>
      </x:c>
      <x:c r="D3841" s="12" t="n">
        <x:v>5.097166666666666</x:v>
      </x:c>
      <x:c r="E3841" s="12" t="n">
        <x:v>0.6611666666666667</x:v>
      </x:c>
      <x:c r="F3841" s="12" t="n">
        <x:v>0</x:v>
      </x:c>
      <x:c r="G3841" s="12" t="n">
        <x:v>4.436</x:v>
      </x:c>
      <x:c r="H3841" s="1" t="n">
        <x:f>'Historical prices'!E3841</x:f>
        <x:v>1.05</x:v>
      </x:c>
      <x:c r="I3841" s="6" t="n">
        <x:f>'Historical prices'!D3841</x:f>
        <x:v>-0.0548</x:v>
      </x:c>
      <x:c r="J3841" s="13" t="n">
        <x:f>D3841*I3841*H3841</x:f>
        <x:v>-0.29329097000000004</x:v>
      </x:c>
      <x:c r="K3841" s="13" t="n">
        <x:f>E3841*I3841*H3841</x:f>
        <x:v>-0.03804353</x:v>
      </x:c>
      <x:c r="L3841" s="1" t="str">
        <x:f>TEXT(A3841,"mmm yyyy")</x:f>
        <x:v>Jul 2026</x:v>
      </x:c>
    </x:row>
    <x:row r="3842" ht="21" customHeight="1">
      <x:c r="A3842" s="10" t="n">
        <x:v>46228</x:v>
      </x:c>
      <x:c r="B3842" s="1" t="n">
        <x:v>13</x:v>
      </x:c>
      <x:c r="C3842" s="1" t="n">
        <x:v>6</x:v>
      </x:c>
      <x:c r="D3842" s="12" t="n">
        <x:v>5.246916666666667</x:v>
      </x:c>
      <x:c r="E3842" s="12" t="n">
        <x:v>0.6259166666666667</x:v>
      </x:c>
      <x:c r="F3842" s="12" t="n">
        <x:v>0</x:v>
      </x:c>
      <x:c r="G3842" s="12" t="n">
        <x:v>4.621</x:v>
      </x:c>
      <x:c r="H3842" s="1" t="n">
        <x:f>'Historical prices'!E3842</x:f>
        <x:v>1.05</x:v>
      </x:c>
      <x:c r="I3842" s="6" t="n">
        <x:f>'Historical prices'!D3842</x:f>
        <x:v>-0.053</x:v>
      </x:c>
      <x:c r="J3842" s="13" t="n">
        <x:f>D3842*I3842*H3842</x:f>
        <x:v>-0.29199091250000003</x:v>
      </x:c>
      <x:c r="K3842" s="13" t="n">
        <x:f>E3842*I3842*H3842</x:f>
        <x:v>-0.0348322625</x:v>
      </x:c>
      <x:c r="L3842" s="1" t="str">
        <x:f>TEXT(A3842,"mmm yyyy")</x:f>
        <x:v>Jul 2026</x:v>
      </x:c>
    </x:row>
    <x:row r="3843" ht="21" customHeight="1">
      <x:c r="A3843" s="10" t="n">
        <x:v>46228</x:v>
      </x:c>
      <x:c r="B3843" s="1" t="n">
        <x:v>13.5</x:v>
      </x:c>
      <x:c r="C3843" s="1" t="n">
        <x:v>6</x:v>
      </x:c>
      <x:c r="D3843" s="12" t="n">
        <x:v>5.322333333333334</x:v>
      </x:c>
      <x:c r="E3843" s="12" t="n">
        <x:v>0.6273333333333334</x:v>
      </x:c>
      <x:c r="F3843" s="12" t="n">
        <x:v>0</x:v>
      </x:c>
      <x:c r="G3843" s="12" t="n">
        <x:v>4.694999999999999</x:v>
      </x:c>
      <x:c r="H3843" s="1" t="n">
        <x:f>'Historical prices'!E3843</x:f>
        <x:v>1.05</x:v>
      </x:c>
      <x:c r="I3843" s="6" t="n">
        <x:f>'Historical prices'!D3843</x:f>
        <x:v>-0.0603</x:v>
      </x:c>
      <x:c r="J3843" s="13" t="n">
        <x:f>D3843*I3843*H3843</x:f>
        <x:v>-0.33698353500000006</x:v>
      </x:c>
      <x:c r="K3843" s="13" t="n">
        <x:f>E3843*I3843*H3843</x:f>
        <x:v>-0.03971961000000001</x:v>
      </x:c>
      <x:c r="L3843" s="1" t="str">
        <x:f>TEXT(A3843,"mmm yyyy")</x:f>
        <x:v>Jul 2026</x:v>
      </x:c>
    </x:row>
    <x:row r="3844" ht="21" customHeight="1">
      <x:c r="A3844" s="10" t="n">
        <x:v>46228</x:v>
      </x:c>
      <x:c r="B3844" s="1" t="n">
        <x:v>14</x:v>
      </x:c>
      <x:c r="C3844" s="1" t="n">
        <x:v>6</x:v>
      </x:c>
      <x:c r="D3844" s="12" t="n">
        <x:v>5.2015</x:v>
      </x:c>
      <x:c r="E3844" s="12" t="n">
        <x:v>0.6135</x:v>
      </x:c>
      <x:c r="F3844" s="12" t="n">
        <x:v>0</x:v>
      </x:c>
      <x:c r="G3844" s="12" t="n">
        <x:v>4.588</x:v>
      </x:c>
      <x:c r="H3844" s="1" t="n">
        <x:f>'Historical prices'!E3844</x:f>
        <x:v>1.05</x:v>
      </x:c>
      <x:c r="I3844" s="6" t="n">
        <x:f>'Historical prices'!D3844</x:f>
        <x:v>-0.0464</x:v>
      </x:c>
      <x:c r="J3844" s="13" t="n">
        <x:f>D3844*I3844*H3844</x:f>
        <x:v>-0.25341708</x:v>
      </x:c>
      <x:c r="K3844" s="13" t="n">
        <x:f>E3844*I3844*H3844</x:f>
        <x:v>-0.02988972</x:v>
      </x:c>
      <x:c r="L3844" s="1" t="str">
        <x:f>TEXT(A3844,"mmm yyyy")</x:f>
        <x:v>Jul 2026</x:v>
      </x:c>
    </x:row>
    <x:row r="3845" ht="21" customHeight="1">
      <x:c r="A3845" s="10" t="n">
        <x:v>46228</x:v>
      </x:c>
      <x:c r="B3845" s="1" t="n">
        <x:v>14.5</x:v>
      </x:c>
      <x:c r="C3845" s="1" t="n">
        <x:v>6</x:v>
      </x:c>
      <x:c r="D3845" s="12" t="n">
        <x:v>0.90075</x:v>
      </x:c>
      <x:c r="E3845" s="12" t="n">
        <x:v>0.39675</x:v>
      </x:c>
      <x:c r="F3845" s="12" t="n">
        <x:v>0.29275</x:v>
      </x:c>
      <x:c r="G3845" s="12" t="n">
        <x:v>0.801</x:v>
      </x:c>
      <x:c r="H3845" s="1" t="n">
        <x:f>'Historical prices'!E3845</x:f>
        <x:v>1.05</x:v>
      </x:c>
      <x:c r="I3845" s="6" t="n">
        <x:f>'Historical prices'!D3845</x:f>
        <x:v>-0.032</x:v>
      </x:c>
      <x:c r="J3845" s="13" t="n">
        <x:f>D3845*I3845*H3845</x:f>
        <x:v>-0.030265200000000003</x:v>
      </x:c>
      <x:c r="K3845" s="13" t="n">
        <x:f>E3845*I3845*H3845</x:f>
        <x:v>-0.013330800000000002</x:v>
      </x:c>
      <x:c r="L3845" s="1" t="str">
        <x:f>TEXT(A3845,"mmm yyyy")</x:f>
        <x:v>Jul 2026</x:v>
      </x:c>
    </x:row>
    <x:row r="3846" ht="21" customHeight="1">
      <x:c r="A3846" s="10" t="n">
        <x:v>46228</x:v>
      </x:c>
      <x:c r="B3846" s="1" t="n">
        <x:v>15</x:v>
      </x:c>
      <x:c r="C3846" s="1" t="n">
        <x:v>6</x:v>
      </x:c>
      <x:c r="D3846" s="12" t="n">
        <x:v>0.28683333333333333</x:v>
      </x:c>
      <x:c r="E3846" s="12" t="n">
        <x:v>0.35291666666666666</x:v>
      </x:c>
      <x:c r="F3846" s="12" t="n">
        <x:v>0.057</x:v>
      </x:c>
      <x:c r="G3846" s="12" t="n">
        <x:v>0</x:v>
      </x:c>
      <x:c r="H3846" s="1" t="n">
        <x:f>'Historical prices'!E3846</x:f>
        <x:v>1.05</x:v>
      </x:c>
      <x:c r="I3846" s="6" t="n">
        <x:f>'Historical prices'!D3846</x:f>
        <x:v>-0.0447</x:v>
      </x:c>
      <x:c r="J3846" s="13" t="n">
        <x:f>D3846*I3846*H3846</x:f>
        <x:v>-0.013462522499999999</x:v>
      </x:c>
      <x:c r="K3846" s="13" t="n">
        <x:f>E3846*I3846*H3846</x:f>
        <x:v>-0.01656414375</x:v>
      </x:c>
      <x:c r="L3846" s="1" t="str">
        <x:f>TEXT(A3846,"mmm yyyy")</x:f>
        <x:v>Jul 2026</x:v>
      </x:c>
    </x:row>
    <x:row r="3847" ht="21" customHeight="1">
      <x:c r="A3847" s="10" t="n">
        <x:v>46228</x:v>
      </x:c>
      <x:c r="B3847" s="1" t="n">
        <x:v>15.5</x:v>
      </x:c>
      <x:c r="C3847" s="1" t="n">
        <x:v>6</x:v>
      </x:c>
      <x:c r="D3847" s="12" t="n">
        <x:v>0.06866666666666667</x:v>
      </x:c>
      <x:c r="E3847" s="12" t="n">
        <x:v>0.43916666666666665</x:v>
      </x:c>
      <x:c r="F3847" s="12" t="n">
        <x:v>0.359</x:v>
      </x:c>
      <x:c r="G3847" s="12" t="n">
        <x:v>0</x:v>
      </x:c>
      <x:c r="H3847" s="1" t="n">
        <x:f>'Historical prices'!E3847</x:f>
        <x:v>1.05</x:v>
      </x:c>
      <x:c r="I3847" s="6" t="n">
        <x:f>'Historical prices'!D3847</x:f>
        <x:v>-0.032799999999999996</x:v>
      </x:c>
      <x:c r="J3847" s="13" t="n">
        <x:f>D3847*I3847*H3847</x:f>
        <x:v>-0.0023648799999999998</x:v>
      </x:c>
      <x:c r="K3847" s="13" t="n">
        <x:f>E3847*I3847*H3847</x:f>
        <x:v>-0.015124899999999998</x:v>
      </x:c>
      <x:c r="L3847" s="1" t="str">
        <x:f>TEXT(A3847,"mmm yyyy")</x:f>
        <x:v>Jul 2026</x:v>
      </x:c>
    </x:row>
    <x:row r="3848" ht="21" customHeight="1">
      <x:c r="A3848" s="10" t="n">
        <x:v>46228</x:v>
      </x:c>
      <x:c r="B3848" s="1" t="n">
        <x:v>16</x:v>
      </x:c>
      <x:c r="C3848" s="1" t="n">
        <x:v>6</x:v>
      </x:c>
      <x:c r="D3848" s="12" t="n">
        <x:v>0</x:v>
      </x:c>
      <x:c r="E3848" s="12" t="n">
        <x:v>0.45975000000000005</x:v>
      </x:c>
      <x:c r="F3848" s="12" t="n">
        <x:v>0.45583333333333337</x:v>
      </x:c>
      <x:c r="G3848" s="12" t="n">
        <x:v>0</x:v>
      </x:c>
      <x:c r="H3848" s="1" t="n">
        <x:f>'Historical prices'!E3848</x:f>
        <x:v>1.05</x:v>
      </x:c>
      <x:c r="I3848" s="6" t="n">
        <x:f>'Historical prices'!D3848</x:f>
        <x:v>0.048</x:v>
      </x:c>
      <x:c r="J3848" s="13" t="n">
        <x:f>D3848*I3848*H3848</x:f>
        <x:v>0</x:v>
      </x:c>
      <x:c r="K3848" s="13" t="n">
        <x:f>E3848*I3848*H3848</x:f>
        <x:v>0.023171400000000005</x:v>
      </x:c>
      <x:c r="L3848" s="1" t="str">
        <x:f>TEXT(A3848,"mmm yyyy")</x:f>
        <x:v>Jul 2026</x:v>
      </x:c>
    </x:row>
    <x:row r="3849" ht="21" customHeight="1">
      <x:c r="A3849" s="10" t="n">
        <x:v>46228</x:v>
      </x:c>
      <x:c r="B3849" s="1" t="n">
        <x:v>16.5</x:v>
      </x:c>
      <x:c r="C3849" s="1" t="n">
        <x:v>6</x:v>
      </x:c>
      <x:c r="D3849" s="12" t="n">
        <x:v>0</x:v>
      </x:c>
      <x:c r="E3849" s="12" t="n">
        <x:v>0.45466666666666666</x:v>
      </x:c>
      <x:c r="F3849" s="12" t="n">
        <x:v>0.45466666666666666</x:v>
      </x:c>
      <x:c r="G3849" s="12" t="n">
        <x:v>0</x:v>
      </x:c>
      <x:c r="H3849" s="1" t="n">
        <x:f>'Historical prices'!E3849</x:f>
        <x:v>1.05</x:v>
      </x:c>
      <x:c r="I3849" s="6" t="n">
        <x:f>'Historical prices'!D3849</x:f>
        <x:v>0.135</x:v>
      </x:c>
      <x:c r="J3849" s="13" t="n">
        <x:f>D3849*I3849*H3849</x:f>
        <x:v>0</x:v>
      </x:c>
      <x:c r="K3849" s="13" t="n">
        <x:f>E3849*I3849*H3849</x:f>
        <x:v>0.064449</x:v>
      </x:c>
      <x:c r="L3849" s="1" t="str">
        <x:f>TEXT(A3849,"mmm yyyy")</x:f>
        <x:v>Jul 2026</x:v>
      </x:c>
    </x:row>
    <x:row r="3850" ht="21" customHeight="1">
      <x:c r="A3850" s="10" t="n">
        <x:v>46228</x:v>
      </x:c>
      <x:c r="B3850" s="1" t="n">
        <x:v>17</x:v>
      </x:c>
      <x:c r="C3850" s="1" t="n">
        <x:v>6</x:v>
      </x:c>
      <x:c r="D3850" s="12" t="n">
        <x:v>0</x:v>
      </x:c>
      <x:c r="E3850" s="12" t="n">
        <x:v>0.7318333333333333</x:v>
      </x:c>
      <x:c r="F3850" s="12" t="n">
        <x:v>0.7315</x:v>
      </x:c>
      <x:c r="G3850" s="12" t="n">
        <x:v>0</x:v>
      </x:c>
      <x:c r="H3850" s="1" t="n">
        <x:f>'Historical prices'!E3850</x:f>
        <x:v>1.05</x:v>
      </x:c>
      <x:c r="I3850" s="6" t="n">
        <x:f>'Historical prices'!D3850</x:f>
        <x:v>0.20579999999999998</x:v>
      </x:c>
      <x:c r="J3850" s="13" t="n">
        <x:f>D3850*I3850*H3850</x:f>
        <x:v>0</x:v>
      </x:c>
      <x:c r="K3850" s="13" t="n">
        <x:f>E3850*I3850*H3850</x:f>
        <x:v>0.158141865</x:v>
      </x:c>
      <x:c r="L3850" s="1" t="str">
        <x:f>TEXT(A3850,"mmm yyyy")</x:f>
        <x:v>Jul 2026</x:v>
      </x:c>
    </x:row>
    <x:row r="3851" ht="21" customHeight="1">
      <x:c r="A3851" s="10" t="n">
        <x:v>46228</x:v>
      </x:c>
      <x:c r="B3851" s="1" t="n">
        <x:v>17.5</x:v>
      </x:c>
      <x:c r="C3851" s="1" t="n">
        <x:v>6</x:v>
      </x:c>
      <x:c r="D3851" s="12" t="n">
        <x:v>0</x:v>
      </x:c>
      <x:c r="E3851" s="12" t="n">
        <x:v>0.4615833333333334</x:v>
      </x:c>
      <x:c r="F3851" s="12" t="n">
        <x:v>0.4578333333333333</x:v>
      </x:c>
      <x:c r="G3851" s="12" t="n">
        <x:v>0</x:v>
      </x:c>
      <x:c r="H3851" s="1" t="n">
        <x:f>'Historical prices'!E3851</x:f>
        <x:v>1.05</x:v>
      </x:c>
      <x:c r="I3851" s="6" t="n">
        <x:f>'Historical prices'!D3851</x:f>
        <x:v>0.2768</x:v>
      </x:c>
      <x:c r="J3851" s="13" t="n">
        <x:f>D3851*I3851*H3851</x:f>
        <x:v>0</x:v>
      </x:c>
      <x:c r="K3851" s="13" t="n">
        <x:f>E3851*I3851*H3851</x:f>
        <x:v>0.13415458000000002</x:v>
      </x:c>
      <x:c r="L3851" s="1" t="str">
        <x:f>TEXT(A3851,"mmm yyyy")</x:f>
        <x:v>Jul 2026</x:v>
      </x:c>
    </x:row>
    <x:row r="3852" ht="21" customHeight="1">
      <x:c r="A3852" s="10" t="n">
        <x:v>46228</x:v>
      </x:c>
      <x:c r="B3852" s="1" t="n">
        <x:v>18</x:v>
      </x:c>
      <x:c r="C3852" s="1" t="n">
        <x:v>6</x:v>
      </x:c>
      <x:c r="D3852" s="12" t="n">
        <x:v>0</x:v>
      </x:c>
      <x:c r="E3852" s="12" t="n">
        <x:v>0.5346666666666666</x:v>
      </x:c>
      <x:c r="F3852" s="12" t="n">
        <x:v>0.5308333333333334</x:v>
      </x:c>
      <x:c r="G3852" s="12" t="n">
        <x:v>0</x:v>
      </x:c>
      <x:c r="H3852" s="1" t="n">
        <x:f>'Historical prices'!E3852</x:f>
        <x:v>1.05</x:v>
      </x:c>
      <x:c r="I3852" s="6" t="n">
        <x:f>'Historical prices'!D3852</x:f>
        <x:v>0.3638</x:v>
      </x:c>
      <x:c r="J3852" s="13" t="n">
        <x:f>D3852*I3852*H3852</x:f>
        <x:v>0</x:v>
      </x:c>
      <x:c r="K3852" s="13" t="n">
        <x:f>E3852*I3852*H3852</x:f>
        <x:v>0.20423732</x:v>
      </x:c>
      <x:c r="L3852" s="1" t="str">
        <x:f>TEXT(A3852,"mmm yyyy")</x:f>
        <x:v>Jul 2026</x:v>
      </x:c>
    </x:row>
    <x:row r="3853" ht="21" customHeight="1">
      <x:c r="A3853" s="10" t="n">
        <x:v>46228</x:v>
      </x:c>
      <x:c r="B3853" s="1" t="n">
        <x:v>18.5</x:v>
      </x:c>
      <x:c r="C3853" s="1" t="n">
        <x:v>6</x:v>
      </x:c>
      <x:c r="D3853" s="12" t="n">
        <x:v>0</x:v>
      </x:c>
      <x:c r="E3853" s="12" t="n">
        <x:v>1.0026666666666668</x:v>
      </x:c>
      <x:c r="F3853" s="12" t="n">
        <x:v>1.0025833333333334</x:v>
      </x:c>
      <x:c r="G3853" s="12" t="n">
        <x:v>0</x:v>
      </x:c>
      <x:c r="H3853" s="1" t="n">
        <x:f>'Historical prices'!E3853</x:f>
        <x:v>1.05</x:v>
      </x:c>
      <x:c r="I3853" s="6" t="n">
        <x:f>'Historical prices'!D3853</x:f>
        <x:v>0.3774</x:v>
      </x:c>
      <x:c r="J3853" s="13" t="n">
        <x:f>D3853*I3853*H3853</x:f>
        <x:v>0</x:v>
      </x:c>
      <x:c r="K3853" s="13" t="n">
        <x:f>E3853*I3853*H3853</x:f>
        <x:v>0.39732672000000013</x:v>
      </x:c>
      <x:c r="L3853" s="1" t="str">
        <x:f>TEXT(A3853,"mmm yyyy")</x:f>
        <x:v>Jul 2026</x:v>
      </x:c>
    </x:row>
    <x:row r="3854" ht="21" customHeight="1">
      <x:c r="A3854" s="10" t="n">
        <x:v>46228</x:v>
      </x:c>
      <x:c r="B3854" s="1" t="n">
        <x:v>19</x:v>
      </x:c>
      <x:c r="C3854" s="1" t="n">
        <x:v>6</x:v>
      </x:c>
      <x:c r="D3854" s="12" t="n">
        <x:v>0</x:v>
      </x:c>
      <x:c r="E3854" s="12" t="n">
        <x:v>0.7939999999999999</x:v>
      </x:c>
      <x:c r="F3854" s="12" t="n">
        <x:v>0.79375</x:v>
      </x:c>
      <x:c r="G3854" s="12" t="n">
        <x:v>0</x:v>
      </x:c>
      <x:c r="H3854" s="1" t="n">
        <x:f>'Historical prices'!E3854</x:f>
        <x:v>1.05</x:v>
      </x:c>
      <x:c r="I3854" s="6" t="n">
        <x:f>'Historical prices'!D3854</x:f>
        <x:v>0.2646</x:v>
      </x:c>
      <x:c r="J3854" s="13" t="n">
        <x:f>D3854*I3854*H3854</x:f>
        <x:v>0</x:v>
      </x:c>
      <x:c r="K3854" s="13" t="n">
        <x:f>E3854*I3854*H3854</x:f>
        <x:v>0.22059702</x:v>
      </x:c>
      <x:c r="L3854" s="1" t="str">
        <x:f>TEXT(A3854,"mmm yyyy")</x:f>
        <x:v>Jul 2026</x:v>
      </x:c>
    </x:row>
    <x:row r="3855" ht="21" customHeight="1">
      <x:c r="A3855" s="10" t="n">
        <x:v>46228</x:v>
      </x:c>
      <x:c r="B3855" s="1" t="n">
        <x:v>19.5</x:v>
      </x:c>
      <x:c r="C3855" s="1" t="n">
        <x:v>6</x:v>
      </x:c>
      <x:c r="D3855" s="12" t="n">
        <x:v>0</x:v>
      </x:c>
      <x:c r="E3855" s="12" t="n">
        <x:v>0.7311666666666665</x:v>
      </x:c>
      <x:c r="F3855" s="12" t="n">
        <x:v>0.73075</x:v>
      </x:c>
      <x:c r="G3855" s="12" t="n">
        <x:v>0</x:v>
      </x:c>
      <x:c r="H3855" s="1" t="n">
        <x:f>'Historical prices'!E3855</x:f>
        <x:v>1.05</x:v>
      </x:c>
      <x:c r="I3855" s="6" t="n">
        <x:f>'Historical prices'!D3855</x:f>
        <x:v>0.2777</x:v>
      </x:c>
      <x:c r="J3855" s="13" t="n">
        <x:f>D3855*I3855*H3855</x:f>
        <x:v>0</x:v>
      </x:c>
      <x:c r="K3855" s="13" t="n">
        <x:f>E3855*I3855*H3855</x:f>
        <x:v>0.21319723249999997</x:v>
      </x:c>
      <x:c r="L3855" s="1" t="str">
        <x:f>TEXT(A3855,"mmm yyyy")</x:f>
        <x:v>Jul 2026</x:v>
      </x:c>
    </x:row>
    <x:row r="3856" ht="21" customHeight="1">
      <x:c r="A3856" s="10" t="n">
        <x:v>46228</x:v>
      </x:c>
      <x:c r="B3856" s="1" t="n">
        <x:v>20</x:v>
      </x:c>
      <x:c r="C3856" s="1" t="n">
        <x:v>6</x:v>
      </x:c>
      <x:c r="D3856" s="12" t="n">
        <x:v>0</x:v>
      </x:c>
      <x:c r="E3856" s="12" t="n">
        <x:v>0.4495</x:v>
      </x:c>
      <x:c r="F3856" s="12" t="n">
        <x:v>0.4495</x:v>
      </x:c>
      <x:c r="G3856" s="12" t="n">
        <x:v>0</x:v>
      </x:c>
      <x:c r="H3856" s="1" t="n">
        <x:f>'Historical prices'!E3856</x:f>
        <x:v>1.05</x:v>
      </x:c>
      <x:c r="I3856" s="6" t="n">
        <x:f>'Historical prices'!D3856</x:f>
        <x:v>0.29</x:v>
      </x:c>
      <x:c r="J3856" s="13" t="n">
        <x:f>D3856*I3856*H3856</x:f>
        <x:v>0</x:v>
      </x:c>
      <x:c r="K3856" s="13" t="n">
        <x:f>E3856*I3856*H3856</x:f>
        <x:v>0.13687275000000002</x:v>
      </x:c>
      <x:c r="L3856" s="1" t="str">
        <x:f>TEXT(A3856,"mmm yyyy")</x:f>
        <x:v>Jul 2026</x:v>
      </x:c>
    </x:row>
    <x:row r="3857" ht="21" customHeight="1">
      <x:c r="A3857" s="10" t="n">
        <x:v>46228</x:v>
      </x:c>
      <x:c r="B3857" s="1" t="n">
        <x:v>20.5</x:v>
      </x:c>
      <x:c r="C3857" s="1" t="n">
        <x:v>6</x:v>
      </x:c>
      <x:c r="D3857" s="12" t="n">
        <x:v>0</x:v>
      </x:c>
      <x:c r="E3857" s="12" t="n">
        <x:v>0.4786666666666666</x:v>
      </x:c>
      <x:c r="F3857" s="12" t="n">
        <x:v>0.47858333333333325</x:v>
      </x:c>
      <x:c r="G3857" s="12" t="n">
        <x:v>0</x:v>
      </x:c>
      <x:c r="H3857" s="1" t="n">
        <x:f>'Historical prices'!E3857</x:f>
        <x:v>1.05</x:v>
      </x:c>
      <x:c r="I3857" s="6" t="n">
        <x:f>'Historical prices'!D3857</x:f>
        <x:v>0.2984</x:v>
      </x:c>
      <x:c r="J3857" s="13" t="n">
        <x:f>D3857*I3857*H3857</x:f>
        <x:v>0</x:v>
      </x:c>
      <x:c r="K3857" s="13" t="n">
        <x:f>E3857*I3857*H3857</x:f>
        <x:v>0.14997583999999997</x:v>
      </x:c>
      <x:c r="L3857" s="1" t="str">
        <x:f>TEXT(A3857,"mmm yyyy")</x:f>
        <x:v>Jul 2026</x:v>
      </x:c>
    </x:row>
    <x:row r="3858" ht="21" customHeight="1">
      <x:c r="A3858" s="10" t="n">
        <x:v>46228</x:v>
      </x:c>
      <x:c r="B3858" s="1" t="n">
        <x:v>21</x:v>
      </x:c>
      <x:c r="C3858" s="1" t="n">
        <x:v>6</x:v>
      </x:c>
      <x:c r="D3858" s="12" t="n">
        <x:v>0</x:v>
      </x:c>
      <x:c r="E3858" s="12" t="n">
        <x:v>0.495</x:v>
      </x:c>
      <x:c r="F3858" s="12" t="n">
        <x:v>0.4946666666666667</x:v>
      </x:c>
      <x:c r="G3858" s="12" t="n">
        <x:v>0</x:v>
      </x:c>
      <x:c r="H3858" s="1" t="n">
        <x:f>'Historical prices'!E3858</x:f>
        <x:v>1.05</x:v>
      </x:c>
      <x:c r="I3858" s="6" t="n">
        <x:f>'Historical prices'!D3858</x:f>
        <x:v>0.2742</x:v>
      </x:c>
      <x:c r="J3858" s="13" t="n">
        <x:f>D3858*I3858*H3858</x:f>
        <x:v>0</x:v>
      </x:c>
      <x:c r="K3858" s="13" t="n">
        <x:f>E3858*I3858*H3858</x:f>
        <x:v>0.14251545</x:v>
      </x:c>
      <x:c r="L3858" s="1" t="str">
        <x:f>TEXT(A3858,"mmm yyyy")</x:f>
        <x:v>Jul 2026</x:v>
      </x:c>
    </x:row>
    <x:row r="3859" ht="21" customHeight="1">
      <x:c r="A3859" s="10" t="n">
        <x:v>46228</x:v>
      </x:c>
      <x:c r="B3859" s="1" t="n">
        <x:v>21.5</x:v>
      </x:c>
      <x:c r="C3859" s="1" t="n">
        <x:v>6</x:v>
      </x:c>
      <x:c r="D3859" s="12" t="n">
        <x:v>0</x:v>
      </x:c>
      <x:c r="E3859" s="12" t="n">
        <x:v>0.9629166666666666</x:v>
      </x:c>
      <x:c r="F3859" s="12" t="n">
        <x:v>0.9625000000000001</x:v>
      </x:c>
      <x:c r="G3859" s="12" t="n">
        <x:v>0</x:v>
      </x:c>
      <x:c r="H3859" s="1" t="n">
        <x:f>'Historical prices'!E3859</x:f>
        <x:v>1.05</x:v>
      </x:c>
      <x:c r="I3859" s="6" t="n">
        <x:f>'Historical prices'!D3859</x:f>
        <x:v>0.2851</x:v>
      </x:c>
      <x:c r="J3859" s="13" t="n">
        <x:f>D3859*I3859*H3859</x:f>
        <x:v>0</x:v>
      </x:c>
      <x:c r="K3859" s="13" t="n">
        <x:f>E3859*I3859*H3859</x:f>
        <x:v>0.28825391875</x:v>
      </x:c>
      <x:c r="L3859" s="1" t="str">
        <x:f>TEXT(A3859,"mmm yyyy")</x:f>
        <x:v>Jul 2026</x:v>
      </x:c>
    </x:row>
    <x:row r="3860" ht="21" customHeight="1">
      <x:c r="A3860" s="10" t="n">
        <x:v>46228</x:v>
      </x:c>
      <x:c r="B3860" s="1" t="n">
        <x:v>22</x:v>
      </x:c>
      <x:c r="C3860" s="1" t="n">
        <x:v>6</x:v>
      </x:c>
      <x:c r="D3860" s="12" t="n">
        <x:v>0</x:v>
      </x:c>
      <x:c r="E3860" s="12" t="n">
        <x:v>0.40291666666666665</x:v>
      </x:c>
      <x:c r="F3860" s="12" t="n">
        <x:v>0.40191666666666664</x:v>
      </x:c>
      <x:c r="G3860" s="12" t="n">
        <x:v>0</x:v>
      </x:c>
      <x:c r="H3860" s="1" t="n">
        <x:f>'Historical prices'!E3860</x:f>
        <x:v>1.05</x:v>
      </x:c>
      <x:c r="I3860" s="6" t="n">
        <x:f>'Historical prices'!D3860</x:f>
        <x:v>0.26780000000000004</x:v>
      </x:c>
      <x:c r="J3860" s="13" t="n">
        <x:f>D3860*I3860*H3860</x:f>
        <x:v>0</x:v>
      </x:c>
      <x:c r="K3860" s="13" t="n">
        <x:f>E3860*I3860*H3860</x:f>
        <x:v>0.11329613750000002</x:v>
      </x:c>
      <x:c r="L3860" s="1" t="str">
        <x:f>TEXT(A3860,"mmm yyyy")</x:f>
        <x:v>Jul 2026</x:v>
      </x:c>
    </x:row>
    <x:row r="3861" ht="21" customHeight="1">
      <x:c r="A3861" s="10" t="n">
        <x:v>46228</x:v>
      </x:c>
      <x:c r="B3861" s="1" t="n">
        <x:v>22.5</x:v>
      </x:c>
      <x:c r="C3861" s="1" t="n">
        <x:v>6</x:v>
      </x:c>
      <x:c r="D3861" s="12" t="n">
        <x:v>0</x:v>
      </x:c>
      <x:c r="E3861" s="12" t="n">
        <x:v>0.26</x:v>
      </x:c>
      <x:c r="F3861" s="12" t="n">
        <x:v>0.25966666666666666</x:v>
      </x:c>
      <x:c r="G3861" s="12" t="n">
        <x:v>0</x:v>
      </x:c>
      <x:c r="H3861" s="1" t="n">
        <x:f>'Historical prices'!E3861</x:f>
        <x:v>1.05</x:v>
      </x:c>
      <x:c r="I3861" s="6" t="n">
        <x:f>'Historical prices'!D3861</x:f>
        <x:v>0.2652</x:v>
      </x:c>
      <x:c r="J3861" s="13" t="n">
        <x:f>D3861*I3861*H3861</x:f>
        <x:v>0</x:v>
      </x:c>
      <x:c r="K3861" s="13" t="n">
        <x:f>E3861*I3861*H3861</x:f>
        <x:v>0.07239960000000001</x:v>
      </x:c>
      <x:c r="L3861" s="1" t="str">
        <x:f>TEXT(A3861,"mmm yyyy")</x:f>
        <x:v>Jul 2026</x:v>
      </x:c>
    </x:row>
    <x:row r="3862" ht="21" customHeight="1">
      <x:c r="A3862" s="10" t="n">
        <x:v>46228</x:v>
      </x:c>
      <x:c r="B3862" s="1" t="n">
        <x:v>23</x:v>
      </x:c>
      <x:c r="C3862" s="1" t="n">
        <x:v>6</x:v>
      </x:c>
      <x:c r="D3862" s="12" t="n">
        <x:v>0</x:v>
      </x:c>
      <x:c r="E3862" s="12" t="n">
        <x:v>0.27825</x:v>
      </x:c>
      <x:c r="F3862" s="12" t="n">
        <x:v>0.2778333333333333</x:v>
      </x:c>
      <x:c r="G3862" s="12" t="n">
        <x:v>0</x:v>
      </x:c>
      <x:c r="H3862" s="1" t="n">
        <x:f>'Historical prices'!E3862</x:f>
        <x:v>1.05</x:v>
      </x:c>
      <x:c r="I3862" s="6" t="n">
        <x:f>'Historical prices'!D3862</x:f>
        <x:v>0.2706</x:v>
      </x:c>
      <x:c r="J3862" s="13" t="n">
        <x:f>D3862*I3862*H3862</x:f>
        <x:v>0</x:v>
      </x:c>
      <x:c r="K3862" s="13" t="n">
        <x:f>E3862*I3862*H3862</x:f>
        <x:v>0.0790591725</x:v>
      </x:c>
      <x:c r="L3862" s="1" t="str">
        <x:f>TEXT(A3862,"mmm yyyy")</x:f>
        <x:v>Jul 2026</x:v>
      </x:c>
    </x:row>
    <x:row r="3863" ht="21" customHeight="1">
      <x:c r="A3863" s="10" t="n">
        <x:v>46228</x:v>
      </x:c>
      <x:c r="B3863" s="1" t="n">
        <x:v>23.5</x:v>
      </x:c>
      <x:c r="C3863" s="1" t="n">
        <x:v>6</x:v>
      </x:c>
      <x:c r="D3863" s="12" t="n">
        <x:v>0</x:v>
      </x:c>
      <x:c r="E3863" s="12" t="n">
        <x:v>0.32</x:v>
      </x:c>
      <x:c r="F3863" s="12" t="n">
        <x:v>0.3198333333333333</x:v>
      </x:c>
      <x:c r="G3863" s="12" t="n">
        <x:v>0</x:v>
      </x:c>
      <x:c r="H3863" s="1" t="n">
        <x:f>'Historical prices'!E3863</x:f>
        <x:v>1.05</x:v>
      </x:c>
      <x:c r="I3863" s="6" t="n">
        <x:f>'Historical prices'!D3863</x:f>
        <x:v>0.253</x:v>
      </x:c>
      <x:c r="J3863" s="13" t="n">
        <x:f>D3863*I3863*H3863</x:f>
        <x:v>0</x:v>
      </x:c>
      <x:c r="K3863" s="13" t="n">
        <x:f>E3863*I3863*H3863</x:f>
        <x:v>0.08500800000000001</x:v>
      </x:c>
      <x:c r="L3863" s="1" t="str">
        <x:f>TEXT(A3863,"mmm yyyy")</x:f>
        <x:v>Jul 2026</x:v>
      </x:c>
    </x:row>
    <x:row r="3864" ht="21" customHeight="1">
      <x:c r="A3864" s="10" t="n">
        <x:v>46229</x:v>
      </x:c>
      <x:c r="B3864" s="1" t="n">
        <x:v>0</x:v>
      </x:c>
      <x:c r="C3864" s="1" t="n">
        <x:v>6</x:v>
      </x:c>
      <x:c r="D3864" s="12" t="n">
        <x:v>0</x:v>
      </x:c>
      <x:c r="E3864" s="12" t="n">
        <x:v>0.27525</x:v>
      </x:c>
      <x:c r="F3864" s="12" t="n">
        <x:v>0.27466666666666667</x:v>
      </x:c>
      <x:c r="G3864" s="12" t="n">
        <x:v>0</x:v>
      </x:c>
      <x:c r="H3864" s="1" t="n">
        <x:f>'Historical prices'!E3864</x:f>
        <x:v>1.05</x:v>
      </x:c>
      <x:c r="I3864" s="6" t="n">
        <x:f>'Historical prices'!D3864</x:f>
        <x:v>0.2614</x:v>
      </x:c>
      <x:c r="J3864" s="13" t="n">
        <x:f>D3864*I3864*H3864</x:f>
        <x:v>0</x:v>
      </x:c>
      <x:c r="K3864" s="13" t="n">
        <x:f>E3864*I3864*H3864</x:f>
        <x:v>0.07554786750000002</x:v>
      </x:c>
      <x:c r="L3864" s="1" t="str">
        <x:f>TEXT(A3864,"mmm yyyy")</x:f>
        <x:v>Jul 2026</x:v>
      </x:c>
    </x:row>
    <x:row r="3865" ht="21" customHeight="1">
      <x:c r="A3865" s="10" t="n">
        <x:v>46229</x:v>
      </x:c>
      <x:c r="B3865" s="1" t="n">
        <x:v>0.5</x:v>
      </x:c>
      <x:c r="C3865" s="1" t="n">
        <x:v>6</x:v>
      </x:c>
      <x:c r="D3865" s="12" t="n">
        <x:v>0</x:v>
      </x:c>
      <x:c r="E3865" s="12" t="n">
        <x:v>0.2648333333333333</x:v>
      </x:c>
      <x:c r="F3865" s="12" t="n">
        <x:v>0.26475</x:v>
      </x:c>
      <x:c r="G3865" s="12" t="n">
        <x:v>0</x:v>
      </x:c>
      <x:c r="H3865" s="1" t="n">
        <x:f>'Historical prices'!E3865</x:f>
        <x:v>1.05</x:v>
      </x:c>
      <x:c r="I3865" s="6" t="n">
        <x:f>'Historical prices'!D3865</x:f>
        <x:v>0.24600000000000002</x:v>
      </x:c>
      <x:c r="J3865" s="13" t="n">
        <x:f>D3865*I3865*H3865</x:f>
        <x:v>0</x:v>
      </x:c>
      <x:c r="K3865" s="13" t="n">
        <x:f>E3865*I3865*H3865</x:f>
        <x:v>0.06840645000000001</x:v>
      </x:c>
      <x:c r="L3865" s="1" t="str">
        <x:f>TEXT(A3865,"mmm yyyy")</x:f>
        <x:v>Jul 2026</x:v>
      </x:c>
    </x:row>
    <x:row r="3866" ht="21" customHeight="1">
      <x:c r="A3866" s="10" t="n">
        <x:v>46229</x:v>
      </x:c>
      <x:c r="B3866" s="1" t="n">
        <x:v>1</x:v>
      </x:c>
      <x:c r="C3866" s="1" t="n">
        <x:v>6</x:v>
      </x:c>
      <x:c r="D3866" s="12" t="n">
        <x:v>0</x:v>
      </x:c>
      <x:c r="E3866" s="12" t="n">
        <x:v>0.257</x:v>
      </x:c>
      <x:c r="F3866" s="12" t="n">
        <x:v>0.25675</x:v>
      </x:c>
      <x:c r="G3866" s="12" t="n">
        <x:v>0</x:v>
      </x:c>
      <x:c r="H3866" s="1" t="n">
        <x:f>'Historical prices'!E3866</x:f>
        <x:v>1.05</x:v>
      </x:c>
      <x:c r="I3866" s="6" t="n">
        <x:f>'Historical prices'!D3866</x:f>
        <x:v>0.2346</x:v>
      </x:c>
      <x:c r="J3866" s="13" t="n">
        <x:f>D3866*I3866*H3866</x:f>
        <x:v>0</x:v>
      </x:c>
      <x:c r="K3866" s="13" t="n">
        <x:f>E3866*I3866*H3866</x:f>
        <x:v>0.06330681</x:v>
      </x:c>
      <x:c r="L3866" s="1" t="str">
        <x:f>TEXT(A3866,"mmm yyyy")</x:f>
        <x:v>Jul 2026</x:v>
      </x:c>
    </x:row>
    <x:row r="3867" ht="21" customHeight="1">
      <x:c r="A3867" s="10" t="n">
        <x:v>46229</x:v>
      </x:c>
      <x:c r="B3867" s="1" t="n">
        <x:v>1.5</x:v>
      </x:c>
      <x:c r="C3867" s="1" t="n">
        <x:v>6</x:v>
      </x:c>
      <x:c r="D3867" s="12" t="n">
        <x:v>0</x:v>
      </x:c>
      <x:c r="E3867" s="12" t="n">
        <x:v>0.23583333333333334</x:v>
      </x:c>
      <x:c r="F3867" s="12" t="n">
        <x:v>0.23575000000000002</x:v>
      </x:c>
      <x:c r="G3867" s="12" t="n">
        <x:v>0</x:v>
      </x:c>
      <x:c r="H3867" s="1" t="n">
        <x:f>'Historical prices'!E3867</x:f>
        <x:v>1.05</x:v>
      </x:c>
      <x:c r="I3867" s="6" t="n">
        <x:f>'Historical prices'!D3867</x:f>
        <x:v>0.2285</x:v>
      </x:c>
      <x:c r="J3867" s="13" t="n">
        <x:f>D3867*I3867*H3867</x:f>
        <x:v>0</x:v>
      </x:c>
      <x:c r="K3867" s="13" t="n">
        <x:f>E3867*I3867*H3867</x:f>
        <x:v>0.0565823125</x:v>
      </x:c>
      <x:c r="L3867" s="1" t="str">
        <x:f>TEXT(A3867,"mmm yyyy")</x:f>
        <x:v>Jul 2026</x:v>
      </x:c>
    </x:row>
    <x:row r="3868" ht="21" customHeight="1">
      <x:c r="A3868" s="10" t="n">
        <x:v>46229</x:v>
      </x:c>
      <x:c r="B3868" s="1" t="n">
        <x:v>2</x:v>
      </x:c>
      <x:c r="C3868" s="1" t="n">
        <x:v>6</x:v>
      </x:c>
      <x:c r="D3868" s="12" t="n">
        <x:v>0</x:v>
      </x:c>
      <x:c r="E3868" s="12" t="n">
        <x:v>0.29591666666666666</x:v>
      </x:c>
      <x:c r="F3868" s="12" t="n">
        <x:v>0.29566666666666663</x:v>
      </x:c>
      <x:c r="G3868" s="12" t="n">
        <x:v>0</x:v>
      </x:c>
      <x:c r="H3868" s="1" t="n">
        <x:f>'Historical prices'!E3868</x:f>
        <x:v>1.05</x:v>
      </x:c>
      <x:c r="I3868" s="6" t="n">
        <x:f>'Historical prices'!D3868</x:f>
        <x:v>0.228</x:v>
      </x:c>
      <x:c r="J3868" s="13" t="n">
        <x:f>D3868*I3868*H3868</x:f>
        <x:v>0</x:v>
      </x:c>
      <x:c r="K3868" s="13" t="n">
        <x:f>E3868*I3868*H3868</x:f>
        <x:v>0.07084245</x:v>
      </x:c>
      <x:c r="L3868" s="1" t="str">
        <x:f>TEXT(A3868,"mmm yyyy")</x:f>
        <x:v>Jul 2026</x:v>
      </x:c>
    </x:row>
    <x:row r="3869" ht="21" customHeight="1">
      <x:c r="A3869" s="10" t="n">
        <x:v>46229</x:v>
      </x:c>
      <x:c r="B3869" s="1" t="n">
        <x:v>2.5</x:v>
      </x:c>
      <x:c r="C3869" s="1" t="n">
        <x:v>6</x:v>
      </x:c>
      <x:c r="D3869" s="12" t="n">
        <x:v>0</x:v>
      </x:c>
      <x:c r="E3869" s="12" t="n">
        <x:v>0.308</x:v>
      </x:c>
      <x:c r="F3869" s="12" t="n">
        <x:v>0.30741666666666667</x:v>
      </x:c>
      <x:c r="G3869" s="12" t="n">
        <x:v>0</x:v>
      </x:c>
      <x:c r="H3869" s="1" t="n">
        <x:f>'Historical prices'!E3869</x:f>
        <x:v>1.05</x:v>
      </x:c>
      <x:c r="I3869" s="6" t="n">
        <x:f>'Historical prices'!D3869</x:f>
        <x:v>0.2112</x:v>
      </x:c>
      <x:c r="J3869" s="13" t="n">
        <x:f>D3869*I3869*H3869</x:f>
        <x:v>0</x:v>
      </x:c>
      <x:c r="K3869" s="13" t="n">
        <x:f>E3869*I3869*H3869</x:f>
        <x:v>0.06830208</x:v>
      </x:c>
      <x:c r="L3869" s="1" t="str">
        <x:f>TEXT(A3869,"mmm yyyy")</x:f>
        <x:v>Jul 2026</x:v>
      </x:c>
    </x:row>
    <x:row r="3870" ht="21" customHeight="1">
      <x:c r="A3870" s="10" t="n">
        <x:v>46229</x:v>
      </x:c>
      <x:c r="B3870" s="1" t="n">
        <x:v>3</x:v>
      </x:c>
      <x:c r="C3870" s="1" t="n">
        <x:v>6</x:v>
      </x:c>
      <x:c r="D3870" s="12" t="n">
        <x:v>0</x:v>
      </x:c>
      <x:c r="E3870" s="12" t="n">
        <x:v>0.2438333333333333</x:v>
      </x:c>
      <x:c r="F3870" s="12" t="n">
        <x:v>0.24366666666666664</x:v>
      </x:c>
      <x:c r="G3870" s="12" t="n">
        <x:v>0</x:v>
      </x:c>
      <x:c r="H3870" s="1" t="n">
        <x:f>'Historical prices'!E3870</x:f>
        <x:v>1.05</x:v>
      </x:c>
      <x:c r="I3870" s="6" t="n">
        <x:f>'Historical prices'!D3870</x:f>
        <x:v>0.2025</x:v>
      </x:c>
      <x:c r="J3870" s="13" t="n">
        <x:f>D3870*I3870*H3870</x:f>
        <x:v>0</x:v>
      </x:c>
      <x:c r="K3870" s="13" t="n">
        <x:f>E3870*I3870*H3870</x:f>
        <x:v>0.0518450625</x:v>
      </x:c>
      <x:c r="L3870" s="1" t="str">
        <x:f>TEXT(A3870,"mmm yyyy")</x:f>
        <x:v>Jul 2026</x:v>
      </x:c>
    </x:row>
    <x:row r="3871" ht="21" customHeight="1">
      <x:c r="A3871" s="10" t="n">
        <x:v>46229</x:v>
      </x:c>
      <x:c r="B3871" s="1" t="n">
        <x:v>3.5</x:v>
      </x:c>
      <x:c r="C3871" s="1" t="n">
        <x:v>6</x:v>
      </x:c>
      <x:c r="D3871" s="12" t="n">
        <x:v>0</x:v>
      </x:c>
      <x:c r="E3871" s="12" t="n">
        <x:v>0.2658333333333333</x:v>
      </x:c>
      <x:c r="F3871" s="12" t="n">
        <x:v>0.2655833333333333</x:v>
      </x:c>
      <x:c r="G3871" s="12" t="n">
        <x:v>0</x:v>
      </x:c>
      <x:c r="H3871" s="1" t="n">
        <x:f>'Historical prices'!E3871</x:f>
        <x:v>1.05</x:v>
      </x:c>
      <x:c r="I3871" s="6" t="n">
        <x:f>'Historical prices'!D3871</x:f>
        <x:v>0.1963</x:v>
      </x:c>
      <x:c r="J3871" s="13" t="n">
        <x:f>D3871*I3871*H3871</x:f>
        <x:v>0</x:v>
      </x:c>
      <x:c r="K3871" s="13" t="n">
        <x:f>E3871*I3871*H3871</x:f>
        <x:v>0.0547922375</x:v>
      </x:c>
      <x:c r="L3871" s="1" t="str">
        <x:f>TEXT(A3871,"mmm yyyy")</x:f>
        <x:v>Jul 2026</x:v>
      </x:c>
    </x:row>
    <x:row r="3872" ht="21" customHeight="1">
      <x:c r="A3872" s="10" t="n">
        <x:v>46229</x:v>
      </x:c>
      <x:c r="B3872" s="1" t="n">
        <x:v>4</x:v>
      </x:c>
      <x:c r="C3872" s="1" t="n">
        <x:v>6</x:v>
      </x:c>
      <x:c r="D3872" s="12" t="n">
        <x:v>0</x:v>
      </x:c>
      <x:c r="E3872" s="12" t="n">
        <x:v>0.25608333333333333</x:v>
      </x:c>
      <x:c r="F3872" s="12" t="n">
        <x:v>0.25566666666666665</x:v>
      </x:c>
      <x:c r="G3872" s="12" t="n">
        <x:v>0</x:v>
      </x:c>
      <x:c r="H3872" s="1" t="n">
        <x:f>'Historical prices'!E3872</x:f>
        <x:v>1.05</x:v>
      </x:c>
      <x:c r="I3872" s="6" t="n">
        <x:f>'Historical prices'!D3872</x:f>
        <x:v>0.193</x:v>
      </x:c>
      <x:c r="J3872" s="13" t="n">
        <x:f>D3872*I3872*H3872</x:f>
        <x:v>0</x:v>
      </x:c>
      <x:c r="K3872" s="13" t="n">
        <x:f>E3872*I3872*H3872</x:f>
        <x:v>0.051895287500000005</x:v>
      </x:c>
      <x:c r="L3872" s="1" t="str">
        <x:f>TEXT(A3872,"mmm yyyy")</x:f>
        <x:v>Jul 2026</x:v>
      </x:c>
    </x:row>
    <x:row r="3873" ht="21" customHeight="1">
      <x:c r="A3873" s="10" t="n">
        <x:v>46229</x:v>
      </x:c>
      <x:c r="B3873" s="1" t="n">
        <x:v>4.5</x:v>
      </x:c>
      <x:c r="C3873" s="1" t="n">
        <x:v>6</x:v>
      </x:c>
      <x:c r="D3873" s="12" t="n">
        <x:v>0</x:v>
      </x:c>
      <x:c r="E3873" s="12" t="n">
        <x:v>0.3258333333333333</x:v>
      </x:c>
      <x:c r="F3873" s="12" t="n">
        <x:v>0.32566666666666666</x:v>
      </x:c>
      <x:c r="G3873" s="12" t="n">
        <x:v>0</x:v>
      </x:c>
      <x:c r="H3873" s="1" t="n">
        <x:f>'Historical prices'!E3873</x:f>
        <x:v>1.05</x:v>
      </x:c>
      <x:c r="I3873" s="6" t="n">
        <x:f>'Historical prices'!D3873</x:f>
        <x:v>0.1752</x:v>
      </x:c>
      <x:c r="J3873" s="13" t="n">
        <x:f>D3873*I3873*H3873</x:f>
        <x:v>0</x:v>
      </x:c>
      <x:c r="K3873" s="13" t="n">
        <x:f>E3873*I3873*H3873</x:f>
        <x:v>0.059940299999999995</x:v>
      </x:c>
      <x:c r="L3873" s="1" t="str">
        <x:f>TEXT(A3873,"mmm yyyy")</x:f>
        <x:v>Jul 2026</x:v>
      </x:c>
    </x:row>
    <x:row r="3874" ht="21" customHeight="1">
      <x:c r="A3874" s="10" t="n">
        <x:v>46229</x:v>
      </x:c>
      <x:c r="B3874" s="1" t="n">
        <x:v>5</x:v>
      </x:c>
      <x:c r="C3874" s="1" t="n">
        <x:v>6</x:v>
      </x:c>
      <x:c r="D3874" s="12" t="n">
        <x:v>0</x:v>
      </x:c>
      <x:c r="E3874" s="12" t="n">
        <x:v>0.31699999999999995</x:v>
      </x:c>
      <x:c r="F3874" s="12" t="n">
        <x:v>0.3168333333333333</x:v>
      </x:c>
      <x:c r="G3874" s="12" t="n">
        <x:v>0</x:v>
      </x:c>
      <x:c r="H3874" s="1" t="n">
        <x:f>'Historical prices'!E3874</x:f>
        <x:v>1.05</x:v>
      </x:c>
      <x:c r="I3874" s="6" t="n">
        <x:f>'Historical prices'!D3874</x:f>
        <x:v>0.1655</x:v>
      </x:c>
      <x:c r="J3874" s="13" t="n">
        <x:f>D3874*I3874*H3874</x:f>
        <x:v>0</x:v>
      </x:c>
      <x:c r="K3874" s="13" t="n">
        <x:f>E3874*I3874*H3874</x:f>
        <x:v>0.055086675</x:v>
      </x:c>
      <x:c r="L3874" s="1" t="str">
        <x:f>TEXT(A3874,"mmm yyyy")</x:f>
        <x:v>Jul 2026</x:v>
      </x:c>
    </x:row>
    <x:row r="3875" ht="21" customHeight="1">
      <x:c r="A3875" s="10" t="n">
        <x:v>46229</x:v>
      </x:c>
      <x:c r="B3875" s="1" t="n">
        <x:v>5.5</x:v>
      </x:c>
      <x:c r="C3875" s="1" t="n">
        <x:v>6</x:v>
      </x:c>
      <x:c r="D3875" s="12" t="n">
        <x:v>0</x:v>
      </x:c>
      <x:c r="E3875" s="12" t="n">
        <x:v>0.3105833333333333</x:v>
      </x:c>
      <x:c r="F3875" s="12" t="n">
        <x:v>0.3105833333333333</x:v>
      </x:c>
      <x:c r="G3875" s="12" t="n">
        <x:v>0</x:v>
      </x:c>
      <x:c r="H3875" s="1" t="n">
        <x:f>'Historical prices'!E3875</x:f>
        <x:v>1.05</x:v>
      </x:c>
      <x:c r="I3875" s="6" t="n">
        <x:f>'Historical prices'!D3875</x:f>
        <x:v>0.1585</x:v>
      </x:c>
      <x:c r="J3875" s="13" t="n">
        <x:f>D3875*I3875*H3875</x:f>
        <x:v>0</x:v>
      </x:c>
      <x:c r="K3875" s="13" t="n">
        <x:f>E3875*I3875*H3875</x:f>
        <x:v>0.051688831250000004</x:v>
      </x:c>
      <x:c r="L3875" s="1" t="str">
        <x:f>TEXT(A3875,"mmm yyyy")</x:f>
        <x:v>Jul 2026</x:v>
      </x:c>
    </x:row>
    <x:row r="3876" ht="21" customHeight="1">
      <x:c r="A3876" s="10" t="n">
        <x:v>46229</x:v>
      </x:c>
      <x:c r="B3876" s="1" t="n">
        <x:v>6</x:v>
      </x:c>
      <x:c r="C3876" s="1" t="n">
        <x:v>6</x:v>
      </x:c>
      <x:c r="D3876" s="12" t="n">
        <x:v>0</x:v>
      </x:c>
      <x:c r="E3876" s="12" t="n">
        <x:v>0.35075</x:v>
      </x:c>
      <x:c r="F3876" s="12" t="n">
        <x:v>0.3505</x:v>
      </x:c>
      <x:c r="G3876" s="12" t="n">
        <x:v>0</x:v>
      </x:c>
      <x:c r="H3876" s="1" t="n">
        <x:f>'Historical prices'!E3876</x:f>
        <x:v>1.05</x:v>
      </x:c>
      <x:c r="I3876" s="6" t="n">
        <x:f>'Historical prices'!D3876</x:f>
        <x:v>0.16190000000000002</x:v>
      </x:c>
      <x:c r="J3876" s="13" t="n">
        <x:f>D3876*I3876*H3876</x:f>
        <x:v>0</x:v>
      </x:c>
      <x:c r="K3876" s="13" t="n">
        <x:f>E3876*I3876*H3876</x:f>
        <x:v>0.059625746250000014</x:v>
      </x:c>
      <x:c r="L3876" s="1" t="str">
        <x:f>TEXT(A3876,"mmm yyyy")</x:f>
        <x:v>Jul 2026</x:v>
      </x:c>
    </x:row>
    <x:row r="3877" ht="21" customHeight="1">
      <x:c r="A3877" s="10" t="n">
        <x:v>46229</x:v>
      </x:c>
      <x:c r="B3877" s="1" t="n">
        <x:v>6.5</x:v>
      </x:c>
      <x:c r="C3877" s="1" t="n">
        <x:v>6</x:v>
      </x:c>
      <x:c r="D3877" s="12" t="n">
        <x:v>0</x:v>
      </x:c>
      <x:c r="E3877" s="12" t="n">
        <x:v>0.5189166666666667</x:v>
      </x:c>
      <x:c r="F3877" s="12" t="n">
        <x:v>0.5185</x:v>
      </x:c>
      <x:c r="G3877" s="12" t="n">
        <x:v>0</x:v>
      </x:c>
      <x:c r="H3877" s="1" t="n">
        <x:f>'Historical prices'!E3877</x:f>
        <x:v>1.05</x:v>
      </x:c>
      <x:c r="I3877" s="6" t="n">
        <x:f>'Historical prices'!D3877</x:f>
        <x:v>0.16399999999999998</x:v>
      </x:c>
      <x:c r="J3877" s="13" t="n">
        <x:f>D3877*I3877*H3877</x:f>
        <x:v>0</x:v>
      </x:c>
      <x:c r="K3877" s="13" t="n">
        <x:f>E3877*I3877*H3877</x:f>
        <x:v>0.08935744999999999</x:v>
      </x:c>
      <x:c r="L3877" s="1" t="str">
        <x:f>TEXT(A3877,"mmm yyyy")</x:f>
        <x:v>Jul 2026</x:v>
      </x:c>
    </x:row>
    <x:row r="3878" ht="21" customHeight="1">
      <x:c r="A3878" s="10" t="n">
        <x:v>46229</x:v>
      </x:c>
      <x:c r="B3878" s="1" t="n">
        <x:v>7</x:v>
      </x:c>
      <x:c r="C3878" s="1" t="n">
        <x:v>6</x:v>
      </x:c>
      <x:c r="D3878" s="12" t="n">
        <x:v>0</x:v>
      </x:c>
      <x:c r="E3878" s="12" t="n">
        <x:v>0.6225833333333334</x:v>
      </x:c>
      <x:c r="F3878" s="12" t="n">
        <x:v>0.6224166666666667</x:v>
      </x:c>
      <x:c r="G3878" s="12" t="n">
        <x:v>0</x:v>
      </x:c>
      <x:c r="H3878" s="1" t="n">
        <x:f>'Historical prices'!E3878</x:f>
        <x:v>1.05</x:v>
      </x:c>
      <x:c r="I3878" s="6" t="n">
        <x:f>'Historical prices'!D3878</x:f>
        <x:v>0.1407</x:v>
      </x:c>
      <x:c r="J3878" s="13" t="n">
        <x:f>D3878*I3878*H3878</x:f>
        <x:v>0</x:v>
      </x:c>
      <x:c r="K3878" s="13" t="n">
        <x:f>E3878*I3878*H3878</x:f>
        <x:v>0.09197734875000001</x:v>
      </x:c>
      <x:c r="L3878" s="1" t="str">
        <x:f>TEXT(A3878,"mmm yyyy")</x:f>
        <x:v>Jul 2026</x:v>
      </x:c>
    </x:row>
    <x:row r="3879" ht="21" customHeight="1">
      <x:c r="A3879" s="10" t="n">
        <x:v>46229</x:v>
      </x:c>
      <x:c r="B3879" s="1" t="n">
        <x:v>7.5</x:v>
      </x:c>
      <x:c r="C3879" s="1" t="n">
        <x:v>6</x:v>
      </x:c>
      <x:c r="D3879" s="12" t="n">
        <x:v>0</x:v>
      </x:c>
      <x:c r="E3879" s="12" t="n">
        <x:v>1.2084166666666667</x:v>
      </x:c>
      <x:c r="F3879" s="12" t="n">
        <x:v>1.2078333333333333</x:v>
      </x:c>
      <x:c r="G3879" s="12" t="n">
        <x:v>0</x:v>
      </x:c>
      <x:c r="H3879" s="1" t="n">
        <x:f>'Historical prices'!E3879</x:f>
        <x:v>1.05</x:v>
      </x:c>
      <x:c r="I3879" s="6" t="n">
        <x:f>'Historical prices'!D3879</x:f>
        <x:v>0.15109999999999998</x:v>
      </x:c>
      <x:c r="J3879" s="13" t="n">
        <x:f>D3879*I3879*H3879</x:f>
        <x:v>0</x:v>
      </x:c>
      <x:c r="K3879" s="13" t="n">
        <x:f>E3879*I3879*H3879</x:f>
        <x:v>0.19172134625</x:v>
      </x:c>
      <x:c r="L3879" s="1" t="str">
        <x:f>TEXT(A3879,"mmm yyyy")</x:f>
        <x:v>Jul 2026</x:v>
      </x:c>
    </x:row>
    <x:row r="3880" ht="21" customHeight="1">
      <x:c r="A3880" s="10" t="n">
        <x:v>46229</x:v>
      </x:c>
      <x:c r="B3880" s="1" t="n">
        <x:v>8</x:v>
      </x:c>
      <x:c r="C3880" s="1" t="n">
        <x:v>6</x:v>
      </x:c>
      <x:c r="D3880" s="12" t="n">
        <x:v>0</x:v>
      </x:c>
      <x:c r="E3880" s="12" t="n">
        <x:v>0.6916666666666667</x:v>
      </x:c>
      <x:c r="F3880" s="12" t="n">
        <x:v>0.6915833333333333</x:v>
      </x:c>
      <x:c r="G3880" s="12" t="n">
        <x:v>0</x:v>
      </x:c>
      <x:c r="H3880" s="1" t="n">
        <x:f>'Historical prices'!E3880</x:f>
        <x:v>1.05</x:v>
      </x:c>
      <x:c r="I3880" s="6" t="n">
        <x:f>'Historical prices'!D3880</x:f>
        <x:v>0.0742</x:v>
      </x:c>
      <x:c r="J3880" s="13" t="n">
        <x:f>D3880*I3880*H3880</x:f>
        <x:v>0</x:v>
      </x:c>
      <x:c r="K3880" s="13" t="n">
        <x:f>E3880*I3880*H3880</x:f>
        <x:v>0.053887750000000005</x:v>
      </x:c>
      <x:c r="L3880" s="1" t="str">
        <x:f>TEXT(A3880,"mmm yyyy")</x:f>
        <x:v>Jul 2026</x:v>
      </x:c>
    </x:row>
    <x:row r="3881" ht="21" customHeight="1">
      <x:c r="A3881" s="10" t="n">
        <x:v>46229</x:v>
      </x:c>
      <x:c r="B3881" s="1" t="n">
        <x:v>8.5</x:v>
      </x:c>
      <x:c r="C3881" s="1" t="n">
        <x:v>6</x:v>
      </x:c>
      <x:c r="D3881" s="12" t="n">
        <x:v>0</x:v>
      </x:c>
      <x:c r="E3881" s="12" t="n">
        <x:v>0.9813333333333333</x:v>
      </x:c>
      <x:c r="F3881" s="12" t="n">
        <x:v>0.98075</x:v>
      </x:c>
      <x:c r="G3881" s="12" t="n">
        <x:v>0</x:v>
      </x:c>
      <x:c r="H3881" s="1" t="n">
        <x:f>'Historical prices'!E3881</x:f>
        <x:v>1.05</x:v>
      </x:c>
      <x:c r="I3881" s="6" t="n">
        <x:f>'Historical prices'!D3881</x:f>
        <x:v>0.0716</x:v>
      </x:c>
      <x:c r="J3881" s="13" t="n">
        <x:f>D3881*I3881*H3881</x:f>
        <x:v>0</x:v>
      </x:c>
      <x:c r="K3881" s="13" t="n">
        <x:f>E3881*I3881*H3881</x:f>
        <x:v>0.07377664</x:v>
      </x:c>
      <x:c r="L3881" s="1" t="str">
        <x:f>TEXT(A3881,"mmm yyyy")</x:f>
        <x:v>Jul 2026</x:v>
      </x:c>
    </x:row>
    <x:row r="3882" ht="21" customHeight="1">
      <x:c r="A3882" s="10" t="n">
        <x:v>46229</x:v>
      </x:c>
      <x:c r="B3882" s="1" t="n">
        <x:v>9</x:v>
      </x:c>
      <x:c r="C3882" s="1" t="n">
        <x:v>6</x:v>
      </x:c>
      <x:c r="D3882" s="12" t="n">
        <x:v>0</x:v>
      </x:c>
      <x:c r="E3882" s="12" t="n">
        <x:v>0.9100833333333332</x:v>
      </x:c>
      <x:c r="F3882" s="12" t="n">
        <x:v>0.8899166666666666</x:v>
      </x:c>
      <x:c r="G3882" s="12" t="n">
        <x:v>0</x:v>
      </x:c>
      <x:c r="H3882" s="1" t="n">
        <x:f>'Historical prices'!E3882</x:f>
        <x:v>1.05</x:v>
      </x:c>
      <x:c r="I3882" s="6" t="n">
        <x:f>'Historical prices'!D3882</x:f>
        <x:v>0.019</x:v>
      </x:c>
      <x:c r="J3882" s="13" t="n">
        <x:f>D3882*I3882*H3882</x:f>
        <x:v>0</x:v>
      </x:c>
      <x:c r="K3882" s="13" t="n">
        <x:f>E3882*I3882*H3882</x:f>
        <x:v>0.0181561625</x:v>
      </x:c>
      <x:c r="L3882" s="1" t="str">
        <x:f>TEXT(A3882,"mmm yyyy")</x:f>
        <x:v>Jul 2026</x:v>
      </x:c>
    </x:row>
    <x:row r="3883" ht="21" customHeight="1">
      <x:c r="A3883" s="10" t="n">
        <x:v>46229</x:v>
      </x:c>
      <x:c r="B3883" s="1" t="n">
        <x:v>9.5</x:v>
      </x:c>
      <x:c r="C3883" s="1" t="n">
        <x:v>6</x:v>
      </x:c>
      <x:c r="D3883" s="12" t="n">
        <x:v>0</x:v>
      </x:c>
      <x:c r="E3883" s="12" t="n">
        <x:v>0.7195833333333332</x:v>
      </x:c>
      <x:c r="F3883" s="12" t="n">
        <x:v>0.7194166666666666</x:v>
      </x:c>
      <x:c r="G3883" s="12" t="n">
        <x:v>0</x:v>
      </x:c>
      <x:c r="H3883" s="1" t="n">
        <x:f>'Historical prices'!E3883</x:f>
        <x:v>1.05</x:v>
      </x:c>
      <x:c r="I3883" s="6" t="n">
        <x:f>'Historical prices'!D3883</x:f>
        <x:v>0.0089</x:v>
      </x:c>
      <x:c r="J3883" s="13" t="n">
        <x:f>D3883*I3883*H3883</x:f>
        <x:v>0</x:v>
      </x:c>
      <x:c r="K3883" s="13" t="n">
        <x:f>E3883*I3883*H3883</x:f>
        <x:v>0.00672450625</x:v>
      </x:c>
      <x:c r="L3883" s="1" t="str">
        <x:f>TEXT(A3883,"mmm yyyy")</x:f>
        <x:v>Jul 2026</x:v>
      </x:c>
    </x:row>
    <x:row r="3884" ht="21" customHeight="1">
      <x:c r="A3884" s="10" t="n">
        <x:v>46229</x:v>
      </x:c>
      <x:c r="B3884" s="1" t="n">
        <x:v>10</x:v>
      </x:c>
      <x:c r="C3884" s="1" t="n">
        <x:v>6</x:v>
      </x:c>
      <x:c r="D3884" s="12" t="n">
        <x:v>0</x:v>
      </x:c>
      <x:c r="E3884" s="12" t="n">
        <x:v>1.3303333333333331</x:v>
      </x:c>
      <x:c r="F3884" s="12" t="n">
        <x:v>1.3235833333333336</x:v>
      </x:c>
      <x:c r="G3884" s="12" t="n">
        <x:v>0</x:v>
      </x:c>
      <x:c r="H3884" s="1" t="n">
        <x:f>'Historical prices'!E3884</x:f>
        <x:v>1.05</x:v>
      </x:c>
      <x:c r="I3884" s="6" t="n">
        <x:f>'Historical prices'!D3884</x:f>
        <x:v>0.0113</x:v>
      </x:c>
      <x:c r="J3884" s="13" t="n">
        <x:f>D3884*I3884*H3884</x:f>
        <x:v>0</x:v>
      </x:c>
      <x:c r="K3884" s="13" t="n">
        <x:f>E3884*I3884*H3884</x:f>
        <x:v>0.015784404999999998</x:v>
      </x:c>
      <x:c r="L3884" s="1" t="str">
        <x:f>TEXT(A3884,"mmm yyyy")</x:f>
        <x:v>Jul 2026</x:v>
      </x:c>
    </x:row>
    <x:row r="3885" ht="21" customHeight="1">
      <x:c r="A3885" s="10" t="n">
        <x:v>46229</x:v>
      </x:c>
      <x:c r="B3885" s="1" t="n">
        <x:v>10.5</x:v>
      </x:c>
      <x:c r="C3885" s="1" t="n">
        <x:v>6</x:v>
      </x:c>
      <x:c r="D3885" s="12" t="n">
        <x:v>0.01625</x:v>
      </x:c>
      <x:c r="E3885" s="12" t="n">
        <x:v>0.8490833333333333</x:v>
      </x:c>
      <x:c r="F3885" s="12" t="n">
        <x:v>0.8246666666666665</x:v>
      </x:c>
      <x:c r="G3885" s="12" t="n">
        <x:v>0</x:v>
      </x:c>
      <x:c r="H3885" s="1" t="n">
        <x:f>'Historical prices'!E3885</x:f>
        <x:v>1.05</x:v>
      </x:c>
      <x:c r="I3885" s="6" t="n">
        <x:f>'Historical prices'!D3885</x:f>
        <x:v>0.008199999999999999</x:v>
      </x:c>
      <x:c r="J3885" s="13" t="n">
        <x:f>D3885*I3885*H3885</x:f>
        <x:v>0.0001399125</x:v>
      </x:c>
      <x:c r="K3885" s="13" t="n">
        <x:f>E3885*I3885*H3885</x:f>
        <x:v>0.007310607499999999</x:v>
      </x:c>
      <x:c r="L3885" s="1" t="str">
        <x:f>TEXT(A3885,"mmm yyyy")</x:f>
        <x:v>Jul 2026</x:v>
      </x:c>
    </x:row>
    <x:row r="3886" ht="21" customHeight="1">
      <x:c r="A3886" s="10" t="n">
        <x:v>46229</x:v>
      </x:c>
      <x:c r="B3886" s="1" t="n">
        <x:v>11</x:v>
      </x:c>
      <x:c r="C3886" s="1" t="n">
        <x:v>6</x:v>
      </x:c>
      <x:c r="D3886" s="12" t="n">
        <x:v>0</x:v>
      </x:c>
      <x:c r="E3886" s="12" t="n">
        <x:v>0.534</x:v>
      </x:c>
      <x:c r="F3886" s="12" t="n">
        <x:v>0.5318333333333333</x:v>
      </x:c>
      <x:c r="G3886" s="12" t="n">
        <x:v>0</x:v>
      </x:c>
      <x:c r="H3886" s="1" t="n">
        <x:f>'Historical prices'!E3886</x:f>
        <x:v>1.05</x:v>
      </x:c>
      <x:c r="I3886" s="6" t="n">
        <x:f>'Historical prices'!D3886</x:f>
        <x:v>-0.0248</x:v>
      </x:c>
      <x:c r="J3886" s="13" t="n">
        <x:f>D3886*I3886*H3886</x:f>
        <x:v>0</x:v>
      </x:c>
      <x:c r="K3886" s="13" t="n">
        <x:f>E3886*I3886*H3886</x:f>
        <x:v>-0.01390536</x:v>
      </x:c>
      <x:c r="L3886" s="1" t="str">
        <x:f>TEXT(A3886,"mmm yyyy")</x:f>
        <x:v>Jul 2026</x:v>
      </x:c>
    </x:row>
    <x:row r="3887" ht="21" customHeight="1">
      <x:c r="A3887" s="10" t="n">
        <x:v>46229</x:v>
      </x:c>
      <x:c r="B3887" s="1" t="n">
        <x:v>11.5</x:v>
      </x:c>
      <x:c r="C3887" s="1" t="n">
        <x:v>6</x:v>
      </x:c>
      <x:c r="D3887" s="12" t="n">
        <x:v>0.38566666666666666</x:v>
      </x:c>
      <x:c r="E3887" s="12" t="n">
        <x:v>0.48858333333333337</x:v>
      </x:c>
      <x:c r="F3887" s="12" t="n">
        <x:v>0.09291666666666666</x:v>
      </x:c>
      <x:c r="G3887" s="12" t="n">
        <x:v>0</x:v>
      </x:c>
      <x:c r="H3887" s="1" t="n">
        <x:f>'Historical prices'!E3887</x:f>
        <x:v>1.05</x:v>
      </x:c>
      <x:c r="I3887" s="6" t="n">
        <x:f>'Historical prices'!D3887</x:f>
        <x:v>-0.0433</x:v>
      </x:c>
      <x:c r="J3887" s="13" t="n">
        <x:f>D3887*I3887*H3887</x:f>
        <x:v>-0.017534335</x:v>
      </x:c>
      <x:c r="K3887" s="13" t="n">
        <x:f>E3887*I3887*H3887</x:f>
        <x:v>-0.02221344125</x:v>
      </x:c>
      <x:c r="L3887" s="1" t="str">
        <x:f>TEXT(A3887,"mmm yyyy")</x:f>
        <x:v>Jul 2026</x:v>
      </x:c>
    </x:row>
    <x:row r="3888" ht="21" customHeight="1">
      <x:c r="A3888" s="10" t="n">
        <x:v>46229</x:v>
      </x:c>
      <x:c r="B3888" s="1" t="n">
        <x:v>12</x:v>
      </x:c>
      <x:c r="C3888" s="1" t="n">
        <x:v>6</x:v>
      </x:c>
      <x:c r="D3888" s="12" t="n">
        <x:v>0.07325</x:v>
      </x:c>
      <x:c r="E3888" s="12" t="n">
        <x:v>0.4720000000000001</x:v>
      </x:c>
      <x:c r="F3888" s="12" t="n">
        <x:v>0.39666666666666667</x:v>
      </x:c>
      <x:c r="G3888" s="12" t="n">
        <x:v>0</x:v>
      </x:c>
      <x:c r="H3888" s="1" t="n">
        <x:f>'Historical prices'!E3888</x:f>
        <x:v>1.05</x:v>
      </x:c>
      <x:c r="I3888" s="6" t="n">
        <x:f>'Historical prices'!D3888</x:f>
        <x:v>-0.0338</x:v>
      </x:c>
      <x:c r="J3888" s="13" t="n">
        <x:f>D3888*I3888*H3888</x:f>
        <x:v>-0.0025996424999999994</x:v>
      </x:c>
      <x:c r="K3888" s="13" t="n">
        <x:f>E3888*I3888*H3888</x:f>
        <x:v>-0.016751280000000004</x:v>
      </x:c>
      <x:c r="L3888" s="1" t="str">
        <x:f>TEXT(A3888,"mmm yyyy")</x:f>
        <x:v>Jul 2026</x:v>
      </x:c>
    </x:row>
    <x:row r="3889" ht="21" customHeight="1">
      <x:c r="A3889" s="10" t="n">
        <x:v>46229</x:v>
      </x:c>
      <x:c r="B3889" s="1" t="n">
        <x:v>12.5</x:v>
      </x:c>
      <x:c r="C3889" s="1" t="n">
        <x:v>6</x:v>
      </x:c>
      <x:c r="D3889" s="12" t="n">
        <x:v>4.482916666666666</x:v>
      </x:c>
      <x:c r="E3889" s="12" t="n">
        <x:v>0.647</x:v>
      </x:c>
      <x:c r="F3889" s="12" t="n">
        <x:v>0.079</x:v>
      </x:c>
      <x:c r="G3889" s="12" t="n">
        <x:v>3.915</x:v>
      </x:c>
      <x:c r="H3889" s="1" t="n">
        <x:f>'Historical prices'!E3889</x:f>
        <x:v>1.05</x:v>
      </x:c>
      <x:c r="I3889" s="6" t="n">
        <x:f>'Historical prices'!D3889</x:f>
        <x:v>-0.048499999999999995</x:v>
      </x:c>
      <x:c r="J3889" s="13" t="n">
        <x:f>D3889*I3889*H3889</x:f>
        <x:v>-0.22829253124999996</x:v>
      </x:c>
      <x:c r="K3889" s="13" t="n">
        <x:f>E3889*I3889*H3889</x:f>
        <x:v>-0.032948475</x:v>
      </x:c>
      <x:c r="L3889" s="1" t="str">
        <x:f>TEXT(A3889,"mmm yyyy")</x:f>
        <x:v>Jul 2026</x:v>
      </x:c>
    </x:row>
    <x:row r="3890" ht="21" customHeight="1">
      <x:c r="A3890" s="10" t="n">
        <x:v>46229</x:v>
      </x:c>
      <x:c r="B3890" s="1" t="n">
        <x:v>13</x:v>
      </x:c>
      <x:c r="C3890" s="1" t="n">
        <x:v>6</x:v>
      </x:c>
      <x:c r="D3890" s="12" t="n">
        <x:v>1.1404999999999998</x:v>
      </x:c>
      <x:c r="E3890" s="12" t="n">
        <x:v>0.38550000000000006</x:v>
      </x:c>
      <x:c r="F3890" s="12" t="n">
        <x:v>0</x:v>
      </x:c>
      <x:c r="G3890" s="12" t="n">
        <x:v>0.761</x:v>
      </x:c>
      <x:c r="H3890" s="1" t="n">
        <x:f>'Historical prices'!E3890</x:f>
        <x:v>1.05</x:v>
      </x:c>
      <x:c r="I3890" s="6" t="n">
        <x:f>'Historical prices'!D3890</x:f>
        <x:v>-0.0418</x:v>
      </x:c>
      <x:c r="J3890" s="13" t="n">
        <x:f>D3890*I3890*H3890</x:f>
        <x:v>-0.050056544999999994</x:v>
      </x:c>
      <x:c r="K3890" s="13" t="n">
        <x:f>E3890*I3890*H3890</x:f>
        <x:v>-0.016919595000000003</x:v>
      </x:c>
      <x:c r="L3890" s="1" t="str">
        <x:f>TEXT(A3890,"mmm yyyy")</x:f>
        <x:v>Jul 2026</x:v>
      </x:c>
    </x:row>
    <x:row r="3891" ht="21" customHeight="1">
      <x:c r="A3891" s="10" t="n">
        <x:v>46229</x:v>
      </x:c>
      <x:c r="B3891" s="1" t="n">
        <x:v>13.5</x:v>
      </x:c>
      <x:c r="C3891" s="1" t="n">
        <x:v>6</x:v>
      </x:c>
      <x:c r="D3891" s="12" t="n">
        <x:v>4.472666666666667</x:v>
      </x:c>
      <x:c r="E3891" s="12" t="n">
        <x:v>0.6306666666666667</x:v>
      </x:c>
      <x:c r="F3891" s="12" t="n">
        <x:v>0</x:v>
      </x:c>
      <x:c r="G3891" s="12" t="n">
        <x:v>3.8440000000000003</x:v>
      </x:c>
      <x:c r="H3891" s="1" t="n">
        <x:f>'Historical prices'!E3891</x:f>
        <x:v>1.05</x:v>
      </x:c>
      <x:c r="I3891" s="6" t="n">
        <x:f>'Historical prices'!D3891</x:f>
        <x:v>-0.0504</x:v>
      </x:c>
      <x:c r="J3891" s="13" t="n">
        <x:f>D3891*I3891*H3891</x:f>
        <x:v>-0.23669352000000005</x:v>
      </x:c>
      <x:c r="K3891" s="13" t="n">
        <x:f>E3891*I3891*H3891</x:f>
        <x:v>-0.03337488</x:v>
      </x:c>
      <x:c r="L3891" s="1" t="str">
        <x:f>TEXT(A3891,"mmm yyyy")</x:f>
        <x:v>Jul 2026</x:v>
      </x:c>
    </x:row>
    <x:row r="3892" ht="21" customHeight="1">
      <x:c r="A3892" s="10" t="n">
        <x:v>46229</x:v>
      </x:c>
      <x:c r="B3892" s="1" t="n">
        <x:v>14</x:v>
      </x:c>
      <x:c r="C3892" s="1" t="n">
        <x:v>6</x:v>
      </x:c>
      <x:c r="D3892" s="12" t="n">
        <x:v>5.341666666666666</x:v>
      </x:c>
      <x:c r="E3892" s="12" t="n">
        <x:v>0.6726666666666666</x:v>
      </x:c>
      <x:c r="F3892" s="12" t="n">
        <x:v>0</x:v>
      </x:c>
      <x:c r="G3892" s="12" t="n">
        <x:v>4.6690000000000005</x:v>
      </x:c>
      <x:c r="H3892" s="1" t="n">
        <x:f>'Historical prices'!E3892</x:f>
        <x:v>1.05</x:v>
      </x:c>
      <x:c r="I3892" s="6" t="n">
        <x:f>'Historical prices'!D3892</x:f>
        <x:v>-0.0451</x:v>
      </x:c>
      <x:c r="J3892" s="13" t="n">
        <x:f>D3892*I3892*H3892</x:f>
        <x:v>-0.252954625</x:v>
      </x:c>
      <x:c r="K3892" s="13" t="n">
        <x:f>E3892*I3892*H3892</x:f>
        <x:v>-0.03185413</x:v>
      </x:c>
      <x:c r="L3892" s="1" t="str">
        <x:f>TEXT(A3892,"mmm yyyy")</x:f>
        <x:v>Jul 2026</x:v>
      </x:c>
    </x:row>
    <x:row r="3893" ht="21" customHeight="1">
      <x:c r="A3893" s="10" t="n">
        <x:v>46229</x:v>
      </x:c>
      <x:c r="B3893" s="1" t="n">
        <x:v>14.5</x:v>
      </x:c>
      <x:c r="C3893" s="1" t="n">
        <x:v>6</x:v>
      </x:c>
      <x:c r="D3893" s="12" t="n">
        <x:v>2.215083333333333</x:v>
      </x:c>
      <x:c r="E3893" s="12" t="n">
        <x:v>0.4890833333333333</x:v>
      </x:c>
      <x:c r="F3893" s="12" t="n">
        <x:v>0</x:v>
      </x:c>
      <x:c r="G3893" s="12" t="n">
        <x:v>1.729</x:v>
      </x:c>
      <x:c r="H3893" s="1" t="n">
        <x:f>'Historical prices'!E3893</x:f>
        <x:v>1.05</x:v>
      </x:c>
      <x:c r="I3893" s="6" t="n">
        <x:f>'Historical prices'!D3893</x:f>
        <x:v>-0.0429</x:v>
      </x:c>
      <x:c r="J3893" s="13" t="n">
        <x:f>D3893*I3893*H3893</x:f>
        <x:v>-0.09977842874999998</x:v>
      </x:c>
      <x:c r="K3893" s="13" t="n">
        <x:f>E3893*I3893*H3893</x:f>
        <x:v>-0.02203075875</x:v>
      </x:c>
      <x:c r="L3893" s="1" t="str">
        <x:f>TEXT(A3893,"mmm yyyy")</x:f>
        <x:v>Jul 2026</x:v>
      </x:c>
    </x:row>
    <x:row r="3894" ht="21" customHeight="1">
      <x:c r="A3894" s="10" t="n">
        <x:v>46229</x:v>
      </x:c>
      <x:c r="B3894" s="1" t="n">
        <x:v>15</x:v>
      </x:c>
      <x:c r="C3894" s="1" t="n">
        <x:v>6</x:v>
      </x:c>
      <x:c r="D3894" s="12" t="n">
        <x:v>4.3990833333333335</x:v>
      </x:c>
      <x:c r="E3894" s="12" t="n">
        <x:v>0.6160833333333333</x:v>
      </x:c>
      <x:c r="F3894" s="12" t="n">
        <x:v>0</x:v>
      </x:c>
      <x:c r="G3894" s="12" t="n">
        <x:v>3.785</x:v>
      </x:c>
      <x:c r="H3894" s="1" t="n">
        <x:f>'Historical prices'!E3894</x:f>
        <x:v>1.05</x:v>
      </x:c>
      <x:c r="I3894" s="6" t="n">
        <x:f>'Historical prices'!D3894</x:f>
        <x:v>-0.0493</x:v>
      </x:c>
      <x:c r="J3894" s="13" t="n">
        <x:f>D3894*I3894*H3894</x:f>
        <x:v>-0.22771854875</x:v>
      </x:c>
      <x:c r="K3894" s="13" t="n">
        <x:f>E3894*I3894*H3894</x:f>
        <x:v>-0.031891553749999996</x:v>
      </x:c>
      <x:c r="L3894" s="1" t="str">
        <x:f>TEXT(A3894,"mmm yyyy")</x:f>
        <x:v>Jul 2026</x:v>
      </x:c>
    </x:row>
    <x:row r="3895" ht="21" customHeight="1">
      <x:c r="A3895" s="10" t="n">
        <x:v>46229</x:v>
      </x:c>
      <x:c r="B3895" s="1" t="n">
        <x:v>15.5</x:v>
      </x:c>
      <x:c r="C3895" s="1" t="n">
        <x:v>6</x:v>
      </x:c>
      <x:c r="D3895" s="12" t="n">
        <x:v>5.219333333333333</x:v>
      </x:c>
      <x:c r="E3895" s="12" t="n">
        <x:v>0.6453333333333333</x:v>
      </x:c>
      <x:c r="F3895" s="12" t="n">
        <x:v>0</x:v>
      </x:c>
      <x:c r="G3895" s="12" t="n">
        <x:v>4.574</x:v>
      </x:c>
      <x:c r="H3895" s="1" t="n">
        <x:f>'Historical prices'!E3895</x:f>
        <x:v>1.05</x:v>
      </x:c>
      <x:c r="I3895" s="6" t="n">
        <x:f>'Historical prices'!D3895</x:f>
        <x:v>-0.0455</x:v>
      </x:c>
      <x:c r="J3895" s="13" t="n">
        <x:f>D3895*I3895*H3895</x:f>
        <x:v>-0.24935364999999998</x:v>
      </x:c>
      <x:c r="K3895" s="13" t="n">
        <x:f>E3895*I3895*H3895</x:f>
        <x:v>-0.0308308</x:v>
      </x:c>
      <x:c r="L3895" s="1" t="str">
        <x:f>TEXT(A3895,"mmm yyyy")</x:f>
        <x:v>Jul 2026</x:v>
      </x:c>
    </x:row>
    <x:row r="3896" ht="21" customHeight="1">
      <x:c r="A3896" s="10" t="n">
        <x:v>46229</x:v>
      </x:c>
      <x:c r="B3896" s="1" t="n">
        <x:v>16</x:v>
      </x:c>
      <x:c r="C3896" s="1" t="n">
        <x:v>6</x:v>
      </x:c>
      <x:c r="D3896" s="12" t="n">
        <x:v>0.87575</x:v>
      </x:c>
      <x:c r="E3896" s="12" t="n">
        <x:v>0.42000000000000004</x:v>
      </x:c>
      <x:c r="F3896" s="12" t="n">
        <x:v>0.3145833333333333</x:v>
      </x:c>
      <x:c r="G3896" s="12" t="n">
        <x:v>0.772</x:v>
      </x:c>
      <x:c r="H3896" s="1" t="n">
        <x:f>'Historical prices'!E3896</x:f>
        <x:v>1.05</x:v>
      </x:c>
      <x:c r="I3896" s="6" t="n">
        <x:f>'Historical prices'!D3896</x:f>
        <x:v>0.1091</x:v>
      </x:c>
      <x:c r="J3896" s="13" t="n">
        <x:f>D3896*I3896*H3896</x:f>
        <x:v>0.10032154125000001</x:v>
      </x:c>
      <x:c r="K3896" s="13" t="n">
        <x:f>E3896*I3896*H3896</x:f>
        <x:v>0.04811310000000001</x:v>
      </x:c>
      <x:c r="L3896" s="1" t="str">
        <x:f>TEXT(A3896,"mmm yyyy")</x:f>
        <x:v>Jul 2026</x:v>
      </x:c>
    </x:row>
    <x:row r="3897" ht="21" customHeight="1">
      <x:c r="A3897" s="10" t="n">
        <x:v>46229</x:v>
      </x:c>
      <x:c r="B3897" s="1" t="n">
        <x:v>16.5</x:v>
      </x:c>
      <x:c r="C3897" s="1" t="n">
        <x:v>6</x:v>
      </x:c>
      <x:c r="D3897" s="12" t="n">
        <x:v>0</x:v>
      </x:c>
      <x:c r="E3897" s="12" t="n">
        <x:v>0.4930833333333333</x:v>
      </x:c>
      <x:c r="F3897" s="12" t="n">
        <x:v>0.49249999999999994</x:v>
      </x:c>
      <x:c r="G3897" s="12" t="n">
        <x:v>0</x:v>
      </x:c>
      <x:c r="H3897" s="1" t="n">
        <x:f>'Historical prices'!E3897</x:f>
        <x:v>1.05</x:v>
      </x:c>
      <x:c r="I3897" s="6" t="n">
        <x:f>'Historical prices'!D3897</x:f>
        <x:v>0.1777</x:v>
      </x:c>
      <x:c r="J3897" s="13" t="n">
        <x:f>D3897*I3897*H3897</x:f>
        <x:v>0</x:v>
      </x:c>
      <x:c r="K3897" s="13" t="n">
        <x:f>E3897*I3897*H3897</x:f>
        <x:v>0.09200195375</x:v>
      </x:c>
      <x:c r="L3897" s="1" t="str">
        <x:f>TEXT(A3897,"mmm yyyy")</x:f>
        <x:v>Jul 2026</x:v>
      </x:c>
    </x:row>
    <x:row r="3898" ht="21" customHeight="1">
      <x:c r="A3898" s="10" t="n">
        <x:v>46229</x:v>
      </x:c>
      <x:c r="B3898" s="1" t="n">
        <x:v>17</x:v>
      </x:c>
      <x:c r="C3898" s="1" t="n">
        <x:v>6</x:v>
      </x:c>
      <x:c r="D3898" s="12" t="n">
        <x:v>0</x:v>
      </x:c>
      <x:c r="E3898" s="12" t="n">
        <x:v>0.43975000000000003</x:v>
      </x:c>
      <x:c r="F3898" s="12" t="n">
        <x:v>0.4396666666666667</x:v>
      </x:c>
      <x:c r="G3898" s="12" t="n">
        <x:v>0</x:v>
      </x:c>
      <x:c r="H3898" s="1" t="n">
        <x:f>'Historical prices'!E3898</x:f>
        <x:v>1.05</x:v>
      </x:c>
      <x:c r="I3898" s="6" t="n">
        <x:f>'Historical prices'!D3898</x:f>
        <x:v>0.26280000000000003</x:v>
      </x:c>
      <x:c r="J3898" s="13" t="n">
        <x:f>D3898*I3898*H3898</x:f>
        <x:v>0</x:v>
      </x:c>
      <x:c r="K3898" s="13" t="n">
        <x:f>E3898*I3898*H3898</x:f>
        <x:v>0.12134461500000003</x:v>
      </x:c>
      <x:c r="L3898" s="1" t="str">
        <x:f>TEXT(A3898,"mmm yyyy")</x:f>
        <x:v>Jul 2026</x:v>
      </x:c>
    </x:row>
    <x:row r="3899" ht="21" customHeight="1">
      <x:c r="A3899" s="10" t="n">
        <x:v>46229</x:v>
      </x:c>
      <x:c r="B3899" s="1" t="n">
        <x:v>17.5</x:v>
      </x:c>
      <x:c r="C3899" s="1" t="n">
        <x:v>6</x:v>
      </x:c>
      <x:c r="D3899" s="12" t="n">
        <x:v>0</x:v>
      </x:c>
      <x:c r="E3899" s="12" t="n">
        <x:v>0.47683333333333333</x:v>
      </x:c>
      <x:c r="F3899" s="12" t="n">
        <x:v>0.4766666666666666</x:v>
      </x:c>
      <x:c r="G3899" s="12" t="n">
        <x:v>0</x:v>
      </x:c>
      <x:c r="H3899" s="1" t="n">
        <x:f>'Historical prices'!E3899</x:f>
        <x:v>1.05</x:v>
      </x:c>
      <x:c r="I3899" s="6" t="n">
        <x:f>'Historical prices'!D3899</x:f>
        <x:v>0.2887</x:v>
      </x:c>
      <x:c r="J3899" s="13" t="n">
        <x:f>D3899*I3899*H3899</x:f>
        <x:v>0</x:v>
      </x:c>
      <x:c r="K3899" s="13" t="n">
        <x:f>E3899*I3899*H3899</x:f>
        <x:v>0.1445448725</x:v>
      </x:c>
      <x:c r="L3899" s="1" t="str">
        <x:f>TEXT(A3899,"mmm yyyy")</x:f>
        <x:v>Jul 2026</x:v>
      </x:c>
    </x:row>
    <x:row r="3900" ht="21" customHeight="1">
      <x:c r="A3900" s="10" t="n">
        <x:v>46229</x:v>
      </x:c>
      <x:c r="B3900" s="1" t="n">
        <x:v>18</x:v>
      </x:c>
      <x:c r="C3900" s="1" t="n">
        <x:v>6</x:v>
      </x:c>
      <x:c r="D3900" s="12" t="n">
        <x:v>0</x:v>
      </x:c>
      <x:c r="E3900" s="12" t="n">
        <x:v>0.5379166666666666</x:v>
      </x:c>
      <x:c r="F3900" s="12" t="n">
        <x:v>0.53775</x:v>
      </x:c>
      <x:c r="G3900" s="12" t="n">
        <x:v>0</x:v>
      </x:c>
      <x:c r="H3900" s="1" t="n">
        <x:f>'Historical prices'!E3900</x:f>
        <x:v>1.05</x:v>
      </x:c>
      <x:c r="I3900" s="6" t="n">
        <x:f>'Historical prices'!D3900</x:f>
        <x:v>0.3386</x:v>
      </x:c>
      <x:c r="J3900" s="13" t="n">
        <x:f>D3900*I3900*H3900</x:f>
        <x:v>0</x:v>
      </x:c>
      <x:c r="K3900" s="13" t="n">
        <x:f>E3900*I3900*H3900</x:f>
        <x:v>0.1912455125</x:v>
      </x:c>
      <x:c r="L3900" s="1" t="str">
        <x:f>TEXT(A3900,"mmm yyyy")</x:f>
        <x:v>Jul 2026</x:v>
      </x:c>
    </x:row>
    <x:row r="3901" ht="21" customHeight="1">
      <x:c r="A3901" s="10" t="n">
        <x:v>46229</x:v>
      </x:c>
      <x:c r="B3901" s="1" t="n">
        <x:v>18.5</x:v>
      </x:c>
      <x:c r="C3901" s="1" t="n">
        <x:v>6</x:v>
      </x:c>
      <x:c r="D3901" s="12" t="n">
        <x:v>0</x:v>
      </x:c>
      <x:c r="E3901" s="12" t="n">
        <x:v>0.75175</x:v>
      </x:c>
      <x:c r="F3901" s="12" t="n">
        <x:v>0.7455</x:v>
      </x:c>
      <x:c r="G3901" s="12" t="n">
        <x:v>0</x:v>
      </x:c>
      <x:c r="H3901" s="1" t="n">
        <x:f>'Historical prices'!E3901</x:f>
        <x:v>1.05</x:v>
      </x:c>
      <x:c r="I3901" s="6" t="n">
        <x:f>'Historical prices'!D3901</x:f>
        <x:v>0.3453</x:v>
      </x:c>
      <x:c r="J3901" s="13" t="n">
        <x:f>D3901*I3901*H3901</x:f>
        <x:v>0</x:v>
      </x:c>
      <x:c r="K3901" s="13" t="n">
        <x:f>E3901*I3901*H3901</x:f>
        <x:v>0.27255823875</x:v>
      </x:c>
      <x:c r="L3901" s="1" t="str">
        <x:f>TEXT(A3901,"mmm yyyy")</x:f>
        <x:v>Jul 2026</x:v>
      </x:c>
    </x:row>
    <x:row r="3902" ht="21" customHeight="1">
      <x:c r="A3902" s="10" t="n">
        <x:v>46229</x:v>
      </x:c>
      <x:c r="B3902" s="1" t="n">
        <x:v>19</x:v>
      </x:c>
      <x:c r="C3902" s="1" t="n">
        <x:v>6</x:v>
      </x:c>
      <x:c r="D3902" s="12" t="n">
        <x:v>0</x:v>
      </x:c>
      <x:c r="E3902" s="12" t="n">
        <x:v>0.6055833333333334</x:v>
      </x:c>
      <x:c r="F3902" s="12" t="n">
        <x:v>0.6045833333333333</x:v>
      </x:c>
      <x:c r="G3902" s="12" t="n">
        <x:v>0</x:v>
      </x:c>
      <x:c r="H3902" s="1" t="n">
        <x:f>'Historical prices'!E3902</x:f>
        <x:v>1.05</x:v>
      </x:c>
      <x:c r="I3902" s="6" t="n">
        <x:f>'Historical prices'!D3902</x:f>
        <x:v>0.25239999999999996</x:v>
      </x:c>
      <x:c r="J3902" s="13" t="n">
        <x:f>D3902*I3902*H3902</x:f>
        <x:v>0</x:v>
      </x:c>
      <x:c r="K3902" s="13" t="n">
        <x:f>E3902*I3902*H3902</x:f>
        <x:v>0.160491695</x:v>
      </x:c>
      <x:c r="L3902" s="1" t="str">
        <x:f>TEXT(A3902,"mmm yyyy")</x:f>
        <x:v>Jul 2026</x:v>
      </x:c>
    </x:row>
    <x:row r="3903" ht="21" customHeight="1">
      <x:c r="A3903" s="10" t="n">
        <x:v>46229</x:v>
      </x:c>
      <x:c r="B3903" s="1" t="n">
        <x:v>19.5</x:v>
      </x:c>
      <x:c r="C3903" s="1" t="n">
        <x:v>6</x:v>
      </x:c>
      <x:c r="D3903" s="12" t="n">
        <x:v>0</x:v>
      </x:c>
      <x:c r="E3903" s="12" t="n">
        <x:v>0.5179166666666667</x:v>
      </x:c>
      <x:c r="F3903" s="12" t="n">
        <x:v>0.5086666666666666</x:v>
      </x:c>
      <x:c r="G3903" s="12" t="n">
        <x:v>0</x:v>
      </x:c>
      <x:c r="H3903" s="1" t="n">
        <x:f>'Historical prices'!E3903</x:f>
        <x:v>1.05</x:v>
      </x:c>
      <x:c r="I3903" s="6" t="n">
        <x:f>'Historical prices'!D3903</x:f>
        <x:v>0.2564</x:v>
      </x:c>
      <x:c r="J3903" s="13" t="n">
        <x:f>D3903*I3903*H3903</x:f>
        <x:v>0</x:v>
      </x:c>
      <x:c r="K3903" s="13" t="n">
        <x:f>E3903*I3903*H3903</x:f>
        <x:v>0.13943352500000003</x:v>
      </x:c>
      <x:c r="L3903" s="1" t="str">
        <x:f>TEXT(A3903,"mmm yyyy")</x:f>
        <x:v>Jul 2026</x:v>
      </x:c>
    </x:row>
    <x:row r="3904" ht="21" customHeight="1">
      <x:c r="A3904" s="10" t="n">
        <x:v>46229</x:v>
      </x:c>
      <x:c r="B3904" s="1" t="n">
        <x:v>20</x:v>
      </x:c>
      <x:c r="C3904" s="1" t="n">
        <x:v>6</x:v>
      </x:c>
      <x:c r="D3904" s="12" t="n">
        <x:v>0</x:v>
      </x:c>
      <x:c r="E3904" s="12" t="n">
        <x:v>0.5499999999999999</x:v>
      </x:c>
      <x:c r="F3904" s="12" t="n">
        <x:v>0.54975</x:v>
      </x:c>
      <x:c r="G3904" s="12" t="n">
        <x:v>0</x:v>
      </x:c>
      <x:c r="H3904" s="1" t="n">
        <x:f>'Historical prices'!E3904</x:f>
        <x:v>1.05</x:v>
      </x:c>
      <x:c r="I3904" s="6" t="n">
        <x:f>'Historical prices'!D3904</x:f>
        <x:v>0.25170000000000003</x:v>
      </x:c>
      <x:c r="J3904" s="13" t="n">
        <x:f>D3904*I3904*H3904</x:f>
        <x:v>0</x:v>
      </x:c>
      <x:c r="K3904" s="13" t="n">
        <x:f>E3904*I3904*H3904</x:f>
        <x:v>0.14535675</x:v>
      </x:c>
      <x:c r="L3904" s="1" t="str">
        <x:f>TEXT(A3904,"mmm yyyy")</x:f>
        <x:v>Jul 2026</x:v>
      </x:c>
    </x:row>
    <x:row r="3905" ht="21" customHeight="1">
      <x:c r="A3905" s="10" t="n">
        <x:v>46229</x:v>
      </x:c>
      <x:c r="B3905" s="1" t="n">
        <x:v>20.5</x:v>
      </x:c>
      <x:c r="C3905" s="1" t="n">
        <x:v>6</x:v>
      </x:c>
      <x:c r="D3905" s="12" t="n">
        <x:v>0</x:v>
      </x:c>
      <x:c r="E3905" s="12" t="n">
        <x:v>0.8438333333333333</x:v>
      </x:c>
      <x:c r="F3905" s="12" t="n">
        <x:v>0.8435833333333332</x:v>
      </x:c>
      <x:c r="G3905" s="12" t="n">
        <x:v>0</x:v>
      </x:c>
      <x:c r="H3905" s="1" t="n">
        <x:f>'Historical prices'!E3905</x:f>
        <x:v>1.05</x:v>
      </x:c>
      <x:c r="I3905" s="6" t="n">
        <x:f>'Historical prices'!D3905</x:f>
        <x:v>0.2522</x:v>
      </x:c>
      <x:c r="J3905" s="13" t="n">
        <x:f>D3905*I3905*H3905</x:f>
        <x:v>0</x:v>
      </x:c>
      <x:c r="K3905" s="13" t="n">
        <x:f>E3905*I3905*H3905</x:f>
        <x:v>0.223455505</x:v>
      </x:c>
      <x:c r="L3905" s="1" t="str">
        <x:f>TEXT(A3905,"mmm yyyy")</x:f>
        <x:v>Jul 2026</x:v>
      </x:c>
    </x:row>
    <x:row r="3906" ht="21" customHeight="1">
      <x:c r="A3906" s="10" t="n">
        <x:v>46229</x:v>
      </x:c>
      <x:c r="B3906" s="1" t="n">
        <x:v>21</x:v>
      </x:c>
      <x:c r="C3906" s="1" t="n">
        <x:v>6</x:v>
      </x:c>
      <x:c r="D3906" s="12" t="n">
        <x:v>0</x:v>
      </x:c>
      <x:c r="E3906" s="12" t="n">
        <x:v>0.5789166666666666</x:v>
      </x:c>
      <x:c r="F3906" s="12" t="n">
        <x:v>0.5788333333333333</x:v>
      </x:c>
      <x:c r="G3906" s="12" t="n">
        <x:v>0</x:v>
      </x:c>
      <x:c r="H3906" s="1" t="n">
        <x:f>'Historical prices'!E3906</x:f>
        <x:v>1.05</x:v>
      </x:c>
      <x:c r="I3906" s="6" t="n">
        <x:f>'Historical prices'!D3906</x:f>
        <x:v>0.2511</x:v>
      </x:c>
      <x:c r="J3906" s="13" t="n">
        <x:f>D3906*I3906*H3906</x:f>
        <x:v>0</x:v>
      </x:c>
      <x:c r="K3906" s="13" t="n">
        <x:f>E3906*I3906*H3906</x:f>
        <x:v>0.15263427375</x:v>
      </x:c>
      <x:c r="L3906" s="1" t="str">
        <x:f>TEXT(A3906,"mmm yyyy")</x:f>
        <x:v>Jul 2026</x:v>
      </x:c>
    </x:row>
    <x:row r="3907" ht="21" customHeight="1">
      <x:c r="A3907" s="10" t="n">
        <x:v>46229</x:v>
      </x:c>
      <x:c r="B3907" s="1" t="n">
        <x:v>21.5</x:v>
      </x:c>
      <x:c r="C3907" s="1" t="n">
        <x:v>6</x:v>
      </x:c>
      <x:c r="D3907" s="12" t="n">
        <x:v>0</x:v>
      </x:c>
      <x:c r="E3907" s="12" t="n">
        <x:v>0.6849999999999999</x:v>
      </x:c>
      <x:c r="F3907" s="12" t="n">
        <x:v>0.6848333333333333</x:v>
      </x:c>
      <x:c r="G3907" s="12" t="n">
        <x:v>0</x:v>
      </x:c>
      <x:c r="H3907" s="1" t="n">
        <x:f>'Historical prices'!E3907</x:f>
        <x:v>1.05</x:v>
      </x:c>
      <x:c r="I3907" s="6" t="n">
        <x:f>'Historical prices'!D3907</x:f>
        <x:v>0.2501</x:v>
      </x:c>
      <x:c r="J3907" s="13" t="n">
        <x:f>D3907*I3907*H3907</x:f>
        <x:v>0</x:v>
      </x:c>
      <x:c r="K3907" s="13" t="n">
        <x:f>E3907*I3907*H3907</x:f>
        <x:v>0.179884425</x:v>
      </x:c>
      <x:c r="L3907" s="1" t="str">
        <x:f>TEXT(A3907,"mmm yyyy")</x:f>
        <x:v>Jul 2026</x:v>
      </x:c>
    </x:row>
    <x:row r="3908" ht="21" customHeight="1">
      <x:c r="A3908" s="10" t="n">
        <x:v>46229</x:v>
      </x:c>
      <x:c r="B3908" s="1" t="n">
        <x:v>22</x:v>
      </x:c>
      <x:c r="C3908" s="1" t="n">
        <x:v>6</x:v>
      </x:c>
      <x:c r="D3908" s="12" t="n">
        <x:v>0</x:v>
      </x:c>
      <x:c r="E3908" s="12" t="n">
        <x:v>0.41983333333333334</x:v>
      </x:c>
      <x:c r="F3908" s="12" t="n">
        <x:v>0.41975</x:v>
      </x:c>
      <x:c r="G3908" s="12" t="n">
        <x:v>0</x:v>
      </x:c>
      <x:c r="H3908" s="1" t="n">
        <x:f>'Historical prices'!E3908</x:f>
        <x:v>1.05</x:v>
      </x:c>
      <x:c r="I3908" s="6" t="n">
        <x:f>'Historical prices'!D3908</x:f>
        <x:v>0.2519</x:v>
      </x:c>
      <x:c r="J3908" s="13" t="n">
        <x:f>D3908*I3908*H3908</x:f>
        <x:v>0</x:v>
      </x:c>
      <x:c r="K3908" s="13" t="n">
        <x:f>E3908*I3908*H3908</x:f>
        <x:v>0.11104381750000002</x:v>
      </x:c>
      <x:c r="L3908" s="1" t="str">
        <x:f>TEXT(A3908,"mmm yyyy")</x:f>
        <x:v>Jul 2026</x:v>
      </x:c>
    </x:row>
    <x:row r="3909" ht="21" customHeight="1">
      <x:c r="A3909" s="10" t="n">
        <x:v>46229</x:v>
      </x:c>
      <x:c r="B3909" s="1" t="n">
        <x:v>22.5</x:v>
      </x:c>
      <x:c r="C3909" s="1" t="n">
        <x:v>6</x:v>
      </x:c>
      <x:c r="D3909" s="12" t="n">
        <x:v>0</x:v>
      </x:c>
      <x:c r="E3909" s="12" t="n">
        <x:v>0.7379166666666668</x:v>
      </x:c>
      <x:c r="F3909" s="12" t="n">
        <x:v>0.7376666666666667</x:v>
      </x:c>
      <x:c r="G3909" s="12" t="n">
        <x:v>0</x:v>
      </x:c>
      <x:c r="H3909" s="1" t="n">
        <x:f>'Historical prices'!E3909</x:f>
        <x:v>1.05</x:v>
      </x:c>
      <x:c r="I3909" s="6" t="n">
        <x:f>'Historical prices'!D3909</x:f>
        <x:v>0.23929999999999998</x:v>
      </x:c>
      <x:c r="J3909" s="13" t="n">
        <x:f>D3909*I3909*H3909</x:f>
        <x:v>0</x:v>
      </x:c>
      <x:c r="K3909" s="13" t="n">
        <x:f>E3909*I3909*H3909</x:f>
        <x:v>0.18541263125000004</x:v>
      </x:c>
      <x:c r="L3909" s="1" t="str">
        <x:f>TEXT(A3909,"mmm yyyy")</x:f>
        <x:v>Jul 2026</x:v>
      </x:c>
    </x:row>
    <x:row r="3910" ht="21" customHeight="1">
      <x:c r="A3910" s="10" t="n">
        <x:v>46229</x:v>
      </x:c>
      <x:c r="B3910" s="1" t="n">
        <x:v>23</x:v>
      </x:c>
      <x:c r="C3910" s="1" t="n">
        <x:v>6</x:v>
      </x:c>
      <x:c r="D3910" s="12" t="n">
        <x:v>0</x:v>
      </x:c>
      <x:c r="E3910" s="12" t="n">
        <x:v>0.2708333333333333</x:v>
      </x:c>
      <x:c r="F3910" s="12" t="n">
        <x:v>0.2708333333333333</x:v>
      </x:c>
      <x:c r="G3910" s="12" t="n">
        <x:v>0</x:v>
      </x:c>
      <x:c r="H3910" s="1" t="n">
        <x:f>'Historical prices'!E3910</x:f>
        <x:v>1.05</x:v>
      </x:c>
      <x:c r="I3910" s="6" t="n">
        <x:f>'Historical prices'!D3910</x:f>
        <x:v>0.1961</x:v>
      </x:c>
      <x:c r="J3910" s="13" t="n">
        <x:f>D3910*I3910*H3910</x:f>
        <x:v>0</x:v>
      </x:c>
      <x:c r="K3910" s="13" t="n">
        <x:f>E3910*I3910*H3910</x:f>
        <x:v>0.055765937499999994</x:v>
      </x:c>
      <x:c r="L3910" s="1" t="str">
        <x:f>TEXT(A3910,"mmm yyyy")</x:f>
        <x:v>Jul 2026</x:v>
      </x:c>
    </x:row>
    <x:row r="3911" ht="21" customHeight="1">
      <x:c r="A3911" s="10" t="n">
        <x:v>46229</x:v>
      </x:c>
      <x:c r="B3911" s="1" t="n">
        <x:v>23.5</x:v>
      </x:c>
      <x:c r="C3911" s="1" t="n">
        <x:v>6</x:v>
      </x:c>
      <x:c r="D3911" s="12" t="n">
        <x:v>0.196</x:v>
      </x:c>
      <x:c r="E3911" s="12" t="n">
        <x:v>0.256</x:v>
      </x:c>
      <x:c r="F3911" s="12" t="n">
        <x:v>0.049</x:v>
      </x:c>
      <x:c r="G3911" s="12" t="n">
        <x:v>0</x:v>
      </x:c>
      <x:c r="H3911" s="1" t="n">
        <x:f>'Historical prices'!E3911</x:f>
        <x:v>1.05</x:v>
      </x:c>
      <x:c r="I3911" s="6" t="n">
        <x:f>'Historical prices'!D3911</x:f>
        <x:v>0.1653</x:v>
      </x:c>
      <x:c r="J3911" s="13" t="n">
        <x:f>D3911*I3911*H3911</x:f>
        <x:v>0.03401874</x:v>
      </x:c>
      <x:c r="K3911" s="13" t="n">
        <x:f>E3911*I3911*H3911</x:f>
        <x:v>0.04443264</x:v>
      </x:c>
      <x:c r="L3911" s="1" t="str">
        <x:f>TEXT(A3911,"mmm yyyy")</x:f>
        <x:v>Jul 2026</x:v>
      </x:c>
    </x:row>
    <x:row r="3912" ht="21" customHeight="1">
      <x:c r="A3912" s="10" t="n">
        <x:v>46230</x:v>
      </x:c>
      <x:c r="B3912" s="1" t="n">
        <x:v>0</x:v>
      </x:c>
      <x:c r="C3912" s="1" t="n">
        <x:v>6</x:v>
      </x:c>
      <x:c r="D3912" s="12" t="n">
        <x:v>0.17333333333333334</x:v>
      </x:c>
      <x:c r="E3912" s="12" t="n">
        <x:v>0.18233333333333335</x:v>
      </x:c>
      <x:c r="F3912" s="12" t="n">
        <x:v>0</x:v>
      </x:c>
      <x:c r="G3912" s="12" t="n">
        <x:v>0</x:v>
      </x:c>
      <x:c r="H3912" s="1" t="n">
        <x:f>'Historical prices'!E3912</x:f>
        <x:v>1.05</x:v>
      </x:c>
      <x:c r="I3912" s="6" t="n">
        <x:f>'Historical prices'!D3912</x:f>
        <x:v>0.13699999999999998</x:v>
      </x:c>
      <x:c r="J3912" s="13" t="n">
        <x:f>D3912*I3912*H3912</x:f>
        <x:v>0.024934</x:v>
      </x:c>
      <x:c r="K3912" s="13" t="n">
        <x:f>E3912*I3912*H3912</x:f>
        <x:v>0.02622865</x:v>
      </x:c>
      <x:c r="L3912" s="1" t="str">
        <x:f>TEXT(A3912,"mmm yyyy")</x:f>
        <x:v>Jul 2026</x:v>
      </x:c>
    </x:row>
    <x:row r="3913" ht="21" customHeight="1">
      <x:c r="A3913" s="10" t="n">
        <x:v>46230</x:v>
      </x:c>
      <x:c r="B3913" s="1" t="n">
        <x:v>0.5</x:v>
      </x:c>
      <x:c r="C3913" s="1" t="n">
        <x:v>6</x:v>
      </x:c>
      <x:c r="D3913" s="12" t="n">
        <x:v>0.22316666666666665</x:v>
      </x:c>
      <x:c r="E3913" s="12" t="n">
        <x:v>0.23616666666666666</x:v>
      </x:c>
      <x:c r="F3913" s="12" t="n">
        <x:v>0</x:v>
      </x:c>
      <x:c r="G3913" s="12" t="n">
        <x:v>0</x:v>
      </x:c>
      <x:c r="H3913" s="1" t="n">
        <x:f>'Historical prices'!E3913</x:f>
        <x:v>1.05</x:v>
      </x:c>
      <x:c r="I3913" s="6" t="n">
        <x:f>'Historical prices'!D3913</x:f>
        <x:v>0.1505</x:v>
      </x:c>
      <x:c r="J3913" s="13" t="n">
        <x:f>D3913*I3913*H3913</x:f>
        <x:v>0.035265912499999996</x:v>
      </x:c>
      <x:c r="K3913" s="13" t="n">
        <x:f>E3913*I3913*H3913</x:f>
        <x:v>0.0373202375</x:v>
      </x:c>
      <x:c r="L3913" s="1" t="str">
        <x:f>TEXT(A3913,"mmm yyyy")</x:f>
        <x:v>Jul 2026</x:v>
      </x:c>
    </x:row>
    <x:row r="3914" ht="21" customHeight="1">
      <x:c r="A3914" s="10" t="n">
        <x:v>46230</x:v>
      </x:c>
      <x:c r="B3914" s="1" t="n">
        <x:v>1</x:v>
      </x:c>
      <x:c r="C3914" s="1" t="n">
        <x:v>6</x:v>
      </x:c>
      <x:c r="D3914" s="12" t="n">
        <x:v>1.0634166666666667</x:v>
      </x:c>
      <x:c r="E3914" s="12" t="n">
        <x:v>0.24341666666666667</x:v>
      </x:c>
      <x:c r="F3914" s="12" t="n">
        <x:v>0</x:v>
      </x:c>
      <x:c r="G3914" s="12" t="n">
        <x:v>0.826</x:v>
      </x:c>
      <x:c r="H3914" s="1" t="n">
        <x:f>'Historical prices'!E3914</x:f>
        <x:v>1.05</x:v>
      </x:c>
      <x:c r="I3914" s="6" t="n">
        <x:f>'Historical prices'!D3914</x:f>
        <x:v>0.1358</x:v>
      </x:c>
      <x:c r="J3914" s="13" t="n">
        <x:f>D3914*I3914*H3914</x:f>
        <x:v>0.1516325825</x:v>
      </x:c>
      <x:c r="K3914" s="13" t="n">
        <x:f>E3914*I3914*H3914</x:f>
        <x:v>0.03470878250000001</x:v>
      </x:c>
      <x:c r="L3914" s="1" t="str">
        <x:f>TEXT(A3914,"mmm yyyy")</x:f>
        <x:v>Jul 2026</x:v>
      </x:c>
    </x:row>
    <x:row r="3915" ht="21" customHeight="1">
      <x:c r="A3915" s="10" t="n">
        <x:v>46230</x:v>
      </x:c>
      <x:c r="B3915" s="1" t="n">
        <x:v>1.5</x:v>
      </x:c>
      <x:c r="C3915" s="1" t="n">
        <x:v>6</x:v>
      </x:c>
      <x:c r="D3915" s="12" t="n">
        <x:v>0.5738333333333334</x:v>
      </x:c>
      <x:c r="E3915" s="12" t="n">
        <x:v>0.16383333333333333</x:v>
      </x:c>
      <x:c r="F3915" s="12" t="n">
        <x:v>0</x:v>
      </x:c>
      <x:c r="G3915" s="12" t="n">
        <x:v>0.417</x:v>
      </x:c>
      <x:c r="H3915" s="1" t="n">
        <x:f>'Historical prices'!E3915</x:f>
        <x:v>1.05</x:v>
      </x:c>
      <x:c r="I3915" s="6" t="n">
        <x:f>'Historical prices'!D3915</x:f>
        <x:v>0.1447</x:v>
      </x:c>
      <x:c r="J3915" s="13" t="n">
        <x:f>D3915*I3915*H3915</x:f>
        <x:v>0.08718536750000001</x:v>
      </x:c>
      <x:c r="K3915" s="13" t="n">
        <x:f>E3915*I3915*H3915</x:f>
        <x:v>0.0248920175</x:v>
      </x:c>
      <x:c r="L3915" s="1" t="str">
        <x:f>TEXT(A3915,"mmm yyyy")</x:f>
        <x:v>Jul 2026</x:v>
      </x:c>
    </x:row>
    <x:row r="3916" ht="21" customHeight="1">
      <x:c r="A3916" s="10" t="n">
        <x:v>46230</x:v>
      </x:c>
      <x:c r="B3916" s="1" t="n">
        <x:v>2</x:v>
      </x:c>
      <x:c r="C3916" s="1" t="n">
        <x:v>6</x:v>
      </x:c>
      <x:c r="D3916" s="12" t="n">
        <x:v>0.18608333333333332</x:v>
      </x:c>
      <x:c r="E3916" s="12" t="n">
        <x:v>0.19808333333333333</x:v>
      </x:c>
      <x:c r="F3916" s="12" t="n">
        <x:v>0</x:v>
      </x:c>
      <x:c r="G3916" s="12" t="n">
        <x:v>0</x:v>
      </x:c>
      <x:c r="H3916" s="1" t="n">
        <x:f>'Historical prices'!E3916</x:f>
        <x:v>1.05</x:v>
      </x:c>
      <x:c r="I3916" s="6" t="n">
        <x:f>'Historical prices'!D3916</x:f>
        <x:v>0.1447</x:v>
      </x:c>
      <x:c r="J3916" s="13" t="n">
        <x:f>D3916*I3916*H3916</x:f>
        <x:v>0.02827257125</x:v>
      </x:c>
      <x:c r="K3916" s="13" t="n">
        <x:f>E3916*I3916*H3916</x:f>
        <x:v>0.03009579125</x:v>
      </x:c>
      <x:c r="L3916" s="1" t="str">
        <x:f>TEXT(A3916,"mmm yyyy")</x:f>
        <x:v>Jul 2026</x:v>
      </x:c>
    </x:row>
    <x:row r="3917" ht="21" customHeight="1">
      <x:c r="A3917" s="10" t="n">
        <x:v>46230</x:v>
      </x:c>
      <x:c r="B3917" s="1" t="n">
        <x:v>2.5</x:v>
      </x:c>
      <x:c r="C3917" s="1" t="n">
        <x:v>6</x:v>
      </x:c>
      <x:c r="D3917" s="12" t="n">
        <x:v>0.21466666666666667</x:v>
      </x:c>
      <x:c r="E3917" s="12" t="n">
        <x:v>0.22466666666666668</x:v>
      </x:c>
      <x:c r="F3917" s="12" t="n">
        <x:v>0</x:v>
      </x:c>
      <x:c r="G3917" s="12" t="n">
        <x:v>0</x:v>
      </x:c>
      <x:c r="H3917" s="1" t="n">
        <x:f>'Historical prices'!E3917</x:f>
        <x:v>1.05</x:v>
      </x:c>
      <x:c r="I3917" s="6" t="n">
        <x:f>'Historical prices'!D3917</x:f>
        <x:v>0.1382</x:v>
      </x:c>
      <x:c r="J3917" s="13" t="n">
        <x:f>D3917*I3917*H3917</x:f>
        <x:v>0.03115028</x:v>
      </x:c>
      <x:c r="K3917" s="13" t="n">
        <x:f>E3917*I3917*H3917</x:f>
        <x:v>0.03260138</x:v>
      </x:c>
      <x:c r="L3917" s="1" t="str">
        <x:f>TEXT(A3917,"mmm yyyy")</x:f>
        <x:v>Jul 2026</x:v>
      </x:c>
    </x:row>
    <x:row r="3918" ht="21" customHeight="1">
      <x:c r="A3918" s="10" t="n">
        <x:v>46230</x:v>
      </x:c>
      <x:c r="B3918" s="1" t="n">
        <x:v>3</x:v>
      </x:c>
      <x:c r="C3918" s="1" t="n">
        <x:v>6</x:v>
      </x:c>
      <x:c r="D3918" s="12" t="n">
        <x:v>3.974333333333333</x:v>
      </x:c>
      <x:c r="E3918" s="12" t="n">
        <x:v>0.44133333333333336</x:v>
      </x:c>
      <x:c r="F3918" s="12" t="n">
        <x:v>0</x:v>
      </x:c>
      <x:c r="G3918" s="12" t="n">
        <x:v>3.534</x:v>
      </x:c>
      <x:c r="H3918" s="1" t="n">
        <x:f>'Historical prices'!E3918</x:f>
        <x:v>1.05</x:v>
      </x:c>
      <x:c r="I3918" s="6" t="n">
        <x:f>'Historical prices'!D3918</x:f>
        <x:v>0.1358</x:v>
      </x:c>
      <x:c r="J3918" s="13" t="n">
        <x:f>D3918*I3918*H3918</x:f>
        <x:v>0.56670019</x:v>
      </x:c>
      <x:c r="K3918" s="13" t="n">
        <x:f>E3918*I3918*H3918</x:f>
        <x:v>0.06292972000000001</x:v>
      </x:c>
      <x:c r="L3918" s="1" t="str">
        <x:f>TEXT(A3918,"mmm yyyy")</x:f>
        <x:v>Jul 2026</x:v>
      </x:c>
    </x:row>
    <x:row r="3919" ht="21" customHeight="1">
      <x:c r="A3919" s="10" t="n">
        <x:v>46230</x:v>
      </x:c>
      <x:c r="B3919" s="1" t="n">
        <x:v>3.5</x:v>
      </x:c>
      <x:c r="C3919" s="1" t="n">
        <x:v>6</x:v>
      </x:c>
      <x:c r="D3919" s="12" t="n">
        <x:v>0.9480833333333334</x:v>
      </x:c>
      <x:c r="E3919" s="12" t="n">
        <x:v>0.26008333333333333</x:v>
      </x:c>
      <x:c r="F3919" s="12" t="n">
        <x:v>0</x:v>
      </x:c>
      <x:c r="G3919" s="12" t="n">
        <x:v>0.693</x:v>
      </x:c>
      <x:c r="H3919" s="1" t="n">
        <x:f>'Historical prices'!E3919</x:f>
        <x:v>1.05</x:v>
      </x:c>
      <x:c r="I3919" s="6" t="n">
        <x:f>'Historical prices'!D3919</x:f>
        <x:v>0.1454</x:v>
      </x:c>
      <x:c r="J3919" s="13" t="n">
        <x:f>D3919*I3919*H3919</x:f>
        <x:v>0.1447438825</x:v>
      </x:c>
      <x:c r="K3919" s="13" t="n">
        <x:f>E3919*I3919*H3919</x:f>
        <x:v>0.039706922500000005</x:v>
      </x:c>
      <x:c r="L3919" s="1" t="str">
        <x:f>TEXT(A3919,"mmm yyyy")</x:f>
        <x:v>Jul 2026</x:v>
      </x:c>
    </x:row>
    <x:row r="3920" ht="21" customHeight="1">
      <x:c r="A3920" s="10" t="n">
        <x:v>46230</x:v>
      </x:c>
      <x:c r="B3920" s="1" t="n">
        <x:v>4</x:v>
      </x:c>
      <x:c r="C3920" s="1" t="n">
        <x:v>6</x:v>
      </x:c>
      <x:c r="D3920" s="12" t="n">
        <x:v>3.6040833333333335</x:v>
      </x:c>
      <x:c r="E3920" s="12" t="n">
        <x:v>0.38308333333333333</x:v>
      </x:c>
      <x:c r="F3920" s="12" t="n">
        <x:v>0</x:v>
      </x:c>
      <x:c r="G3920" s="12" t="n">
        <x:v>3.224</x:v>
      </x:c>
      <x:c r="H3920" s="1" t="n">
        <x:f>'Historical prices'!E3920</x:f>
        <x:v>1.05</x:v>
      </x:c>
      <x:c r="I3920" s="6" t="n">
        <x:f>'Historical prices'!D3920</x:f>
        <x:v>0.13449999999999998</x:v>
      </x:c>
      <x:c r="J3920" s="13" t="n">
        <x:f>D3920*I3920*H3920</x:f>
        <x:v>0.50898666875</x:v>
      </x:c>
      <x:c r="K3920" s="13" t="n">
        <x:f>E3920*I3920*H3920</x:f>
        <x:v>0.05410094375</x:v>
      </x:c>
      <x:c r="L3920" s="1" t="str">
        <x:f>TEXT(A3920,"mmm yyyy")</x:f>
        <x:v>Jul 2026</x:v>
      </x:c>
    </x:row>
    <x:row r="3921" ht="21" customHeight="1">
      <x:c r="A3921" s="10" t="n">
        <x:v>46230</x:v>
      </x:c>
      <x:c r="B3921" s="1" t="n">
        <x:v>4.5</x:v>
      </x:c>
      <x:c r="C3921" s="1" t="n">
        <x:v>6</x:v>
      </x:c>
      <x:c r="D3921" s="12" t="n">
        <x:v>0.696</x:v>
      </x:c>
      <x:c r="E3921" s="12" t="n">
        <x:v>0.272</x:v>
      </x:c>
      <x:c r="F3921" s="12" t="n">
        <x:v>0</x:v>
      </x:c>
      <x:c r="G3921" s="12" t="n">
        <x:v>0.431</x:v>
      </x:c>
      <x:c r="H3921" s="1" t="n">
        <x:f>'Historical prices'!E3921</x:f>
        <x:v>1.05</x:v>
      </x:c>
      <x:c r="I3921" s="6" t="n">
        <x:f>'Historical prices'!D3921</x:f>
        <x:v>0.1482</x:v>
      </x:c>
      <x:c r="J3921" s="13" t="n">
        <x:f>D3921*I3921*H3921</x:f>
        <x:v>0.10830456</x:v>
      </x:c>
      <x:c r="K3921" s="13" t="n">
        <x:f>E3921*I3921*H3921</x:f>
        <x:v>0.04232592</x:v>
      </x:c>
      <x:c r="L3921" s="1" t="str">
        <x:f>TEXT(A3921,"mmm yyyy")</x:f>
        <x:v>Jul 2026</x:v>
      </x:c>
    </x:row>
    <x:row r="3922" ht="21" customHeight="1">
      <x:c r="A3922" s="10" t="n">
        <x:v>46230</x:v>
      </x:c>
      <x:c r="B3922" s="1" t="n">
        <x:v>5</x:v>
      </x:c>
      <x:c r="C3922" s="1" t="n">
        <x:v>6</x:v>
      </x:c>
      <x:c r="D3922" s="12" t="n">
        <x:v>0.044</x:v>
      </x:c>
      <x:c r="E3922" s="12" t="n">
        <x:v>0.38391666666666663</x:v>
      </x:c>
      <x:c r="F3922" s="12" t="n">
        <x:v>0.33775</x:v>
      </x:c>
      <x:c r="G3922" s="12" t="n">
        <x:v>0</x:v>
      </x:c>
      <x:c r="H3922" s="1" t="n">
        <x:f>'Historical prices'!E3922</x:f>
        <x:v>1.05</x:v>
      </x:c>
      <x:c r="I3922" s="6" t="n">
        <x:f>'Historical prices'!D3922</x:f>
        <x:v>0.1841</x:v>
      </x:c>
      <x:c r="J3922" s="13" t="n">
        <x:f>D3922*I3922*H3922</x:f>
        <x:v>0.008505420000000001</x:v>
      </x:c>
      <x:c r="K3922" s="13" t="n">
        <x:f>E3922*I3922*H3922</x:f>
        <x:v>0.07421301125</x:v>
      </x:c>
      <x:c r="L3922" s="1" t="str">
        <x:f>TEXT(A3922,"mmm yyyy")</x:f>
        <x:v>Jul 2026</x:v>
      </x:c>
    </x:row>
    <x:row r="3923" ht="21" customHeight="1">
      <x:c r="A3923" s="10" t="n">
        <x:v>46230</x:v>
      </x:c>
      <x:c r="B3923" s="1" t="n">
        <x:v>5.5</x:v>
      </x:c>
      <x:c r="C3923" s="1" t="n">
        <x:v>6</x:v>
      </x:c>
      <x:c r="D3923" s="12" t="n">
        <x:v>0</x:v>
      </x:c>
      <x:c r="E3923" s="12" t="n">
        <x:v>0.2628333333333333</x:v>
      </x:c>
      <x:c r="F3923" s="12" t="n">
        <x:v>0.26258333333333334</x:v>
      </x:c>
      <x:c r="G3923" s="12" t="n">
        <x:v>0</x:v>
      </x:c>
      <x:c r="H3923" s="1" t="n">
        <x:f>'Historical prices'!E3923</x:f>
        <x:v>1.05</x:v>
      </x:c>
      <x:c r="I3923" s="6" t="n">
        <x:f>'Historical prices'!D3923</x:f>
        <x:v>0.1934</x:v>
      </x:c>
      <x:c r="J3923" s="13" t="n">
        <x:f>D3923*I3923*H3923</x:f>
        <x:v>0</x:v>
      </x:c>
      <x:c r="K3923" s="13" t="n">
        <x:f>E3923*I3923*H3923</x:f>
        <x:v>0.05337356499999999</x:v>
      </x:c>
      <x:c r="L3923" s="1" t="str">
        <x:f>TEXT(A3923,"mmm yyyy")</x:f>
        <x:v>Jul 2026</x:v>
      </x:c>
    </x:row>
    <x:row r="3924" ht="21" customHeight="1">
      <x:c r="A3924" s="10" t="n">
        <x:v>46230</x:v>
      </x:c>
      <x:c r="B3924" s="1" t="n">
        <x:v>6</x:v>
      </x:c>
      <x:c r="C3924" s="1" t="n">
        <x:v>6</x:v>
      </x:c>
      <x:c r="D3924" s="12" t="n">
        <x:v>0</x:v>
      </x:c>
      <x:c r="E3924" s="12" t="n">
        <x:v>0.3338333333333333</x:v>
      </x:c>
      <x:c r="F3924" s="12" t="n">
        <x:v>0.33366666666666667</x:v>
      </x:c>
      <x:c r="G3924" s="12" t="n">
        <x:v>0</x:v>
      </x:c>
      <x:c r="H3924" s="1" t="n">
        <x:f>'Historical prices'!E3924</x:f>
        <x:v>1.05</x:v>
      </x:c>
      <x:c r="I3924" s="6" t="n">
        <x:f>'Historical prices'!D3924</x:f>
        <x:v>0.23920000000000002</x:v>
      </x:c>
      <x:c r="J3924" s="13" t="n">
        <x:f>D3924*I3924*H3924</x:f>
        <x:v>0</x:v>
      </x:c>
      <x:c r="K3924" s="13" t="n">
        <x:f>E3924*I3924*H3924</x:f>
        <x:v>0.08384558</x:v>
      </x:c>
      <x:c r="L3924" s="1" t="str">
        <x:f>TEXT(A3924,"mmm yyyy")</x:f>
        <x:v>Jul 2026</x:v>
      </x:c>
    </x:row>
    <x:row r="3925" ht="21" customHeight="1">
      <x:c r="A3925" s="10" t="n">
        <x:v>46230</x:v>
      </x:c>
      <x:c r="B3925" s="1" t="n">
        <x:v>6.5</x:v>
      </x:c>
      <x:c r="C3925" s="1" t="n">
        <x:v>6</x:v>
      </x:c>
      <x:c r="D3925" s="12" t="n">
        <x:v>0</x:v>
      </x:c>
      <x:c r="E3925" s="12" t="n">
        <x:v>0.5368333333333333</x:v>
      </x:c>
      <x:c r="F3925" s="12" t="n">
        <x:v>0.5366666666666666</x:v>
      </x:c>
      <x:c r="G3925" s="12" t="n">
        <x:v>0</x:v>
      </x:c>
      <x:c r="H3925" s="1" t="n">
        <x:f>'Historical prices'!E3925</x:f>
        <x:v>1.05</x:v>
      </x:c>
      <x:c r="I3925" s="6" t="n">
        <x:f>'Historical prices'!D3925</x:f>
        <x:v>0.2668</x:v>
      </x:c>
      <x:c r="J3925" s="13" t="n">
        <x:f>D3925*I3925*H3925</x:f>
        <x:v>0</x:v>
      </x:c>
      <x:c r="K3925" s="13" t="n">
        <x:f>E3925*I3925*H3925</x:f>
        <x:v>0.15038848999999999</x:v>
      </x:c>
      <x:c r="L3925" s="1" t="str">
        <x:f>TEXT(A3925,"mmm yyyy")</x:f>
        <x:v>Jul 2026</x:v>
      </x:c>
    </x:row>
    <x:row r="3926" ht="21" customHeight="1">
      <x:c r="A3926" s="10" t="n">
        <x:v>46230</x:v>
      </x:c>
      <x:c r="B3926" s="1" t="n">
        <x:v>7</x:v>
      </x:c>
      <x:c r="C3926" s="1" t="n">
        <x:v>6</x:v>
      </x:c>
      <x:c r="D3926" s="12" t="n">
        <x:v>0</x:v>
      </x:c>
      <x:c r="E3926" s="12" t="n">
        <x:v>0.5016666666666666</x:v>
      </x:c>
      <x:c r="F3926" s="12" t="n">
        <x:v>0.5015</x:v>
      </x:c>
      <x:c r="G3926" s="12" t="n">
        <x:v>0</x:v>
      </x:c>
      <x:c r="H3926" s="1" t="n">
        <x:f>'Historical prices'!E3926</x:f>
        <x:v>1.05</x:v>
      </x:c>
      <x:c r="I3926" s="6" t="n">
        <x:f>'Historical prices'!D3926</x:f>
        <x:v>0.2808</x:v>
      </x:c>
      <x:c r="J3926" s="13" t="n">
        <x:f>D3926*I3926*H3926</x:f>
        <x:v>0</x:v>
      </x:c>
      <x:c r="K3926" s="13" t="n">
        <x:f>E3926*I3926*H3926</x:f>
        <x:v>0.14791139999999997</x:v>
      </x:c>
      <x:c r="L3926" s="1" t="str">
        <x:f>TEXT(A3926,"mmm yyyy")</x:f>
        <x:v>Jul 2026</x:v>
      </x:c>
    </x:row>
    <x:row r="3927" ht="21" customHeight="1">
      <x:c r="A3927" s="10" t="n">
        <x:v>46230</x:v>
      </x:c>
      <x:c r="B3927" s="1" t="n">
        <x:v>7.5</x:v>
      </x:c>
      <x:c r="C3927" s="1" t="n">
        <x:v>6</x:v>
      </x:c>
      <x:c r="D3927" s="12" t="n">
        <x:v>0</x:v>
      </x:c>
      <x:c r="E3927" s="12" t="n">
        <x:v>0.64175</x:v>
      </x:c>
      <x:c r="F3927" s="12" t="n">
        <x:v>0.6415833333333333</x:v>
      </x:c>
      <x:c r="G3927" s="12" t="n">
        <x:v>0</x:v>
      </x:c>
      <x:c r="H3927" s="1" t="n">
        <x:f>'Historical prices'!E3927</x:f>
        <x:v>1.05</x:v>
      </x:c>
      <x:c r="I3927" s="6" t="n">
        <x:f>'Historical prices'!D3927</x:f>
        <x:v>0.2808</x:v>
      </x:c>
      <x:c r="J3927" s="13" t="n">
        <x:f>D3927*I3927*H3927</x:f>
        <x:v>0</x:v>
      </x:c>
      <x:c r="K3927" s="13" t="n">
        <x:f>E3927*I3927*H3927</x:f>
        <x:v>0.18921357000000003</x:v>
      </x:c>
      <x:c r="L3927" s="1" t="str">
        <x:f>TEXT(A3927,"mmm yyyy")</x:f>
        <x:v>Jul 2026</x:v>
      </x:c>
    </x:row>
    <x:row r="3928" ht="21" customHeight="1">
      <x:c r="A3928" s="10" t="n">
        <x:v>46230</x:v>
      </x:c>
      <x:c r="B3928" s="1" t="n">
        <x:v>8</x:v>
      </x:c>
      <x:c r="C3928" s="1" t="n">
        <x:v>6</x:v>
      </x:c>
      <x:c r="D3928" s="12" t="n">
        <x:v>0</x:v>
      </x:c>
      <x:c r="E3928" s="12" t="n">
        <x:v>0.5569166666666667</x:v>
      </x:c>
      <x:c r="F3928" s="12" t="n">
        <x:v>0.5565833333333333</x:v>
      </x:c>
      <x:c r="G3928" s="12" t="n">
        <x:v>0</x:v>
      </x:c>
      <x:c r="H3928" s="1" t="n">
        <x:f>'Historical prices'!E3928</x:f>
        <x:v>1.05</x:v>
      </x:c>
      <x:c r="I3928" s="6" t="n">
        <x:f>'Historical prices'!D3928</x:f>
        <x:v>0.2816</x:v>
      </x:c>
      <x:c r="J3928" s="13" t="n">
        <x:f>D3928*I3928*H3928</x:f>
        <x:v>0</x:v>
      </x:c>
      <x:c r="K3928" s="13" t="n">
        <x:f>E3928*I3928*H3928</x:f>
        <x:v>0.16466912000000003</x:v>
      </x:c>
      <x:c r="L3928" s="1" t="str">
        <x:f>TEXT(A3928,"mmm yyyy")</x:f>
        <x:v>Jul 2026</x:v>
      </x:c>
    </x:row>
    <x:row r="3929" ht="21" customHeight="1">
      <x:c r="A3929" s="10" t="n">
        <x:v>46230</x:v>
      </x:c>
      <x:c r="B3929" s="1" t="n">
        <x:v>8.5</x:v>
      </x:c>
      <x:c r="C3929" s="1" t="n">
        <x:v>6</x:v>
      </x:c>
      <x:c r="D3929" s="12" t="n">
        <x:v>0</x:v>
      </x:c>
      <x:c r="E3929" s="12" t="n">
        <x:v>0.4971666666666667</x:v>
      </x:c>
      <x:c r="F3929" s="12" t="n">
        <x:v>0.4968333333333333</x:v>
      </x:c>
      <x:c r="G3929" s="12" t="n">
        <x:v>0</x:v>
      </x:c>
      <x:c r="H3929" s="1" t="n">
        <x:f>'Historical prices'!E3929</x:f>
        <x:v>1.05</x:v>
      </x:c>
      <x:c r="I3929" s="6" t="n">
        <x:f>'Historical prices'!D3929</x:f>
        <x:v>0.2816</x:v>
      </x:c>
      <x:c r="J3929" s="13" t="n">
        <x:f>D3929*I3929*H3929</x:f>
        <x:v>0</x:v>
      </x:c>
      <x:c r="K3929" s="13" t="n">
        <x:f>E3929*I3929*H3929</x:f>
        <x:v>0.14700224000000003</x:v>
      </x:c>
      <x:c r="L3929" s="1" t="str">
        <x:f>TEXT(A3929,"mmm yyyy")</x:f>
        <x:v>Jul 2026</x:v>
      </x:c>
    </x:row>
    <x:row r="3930" ht="21" customHeight="1">
      <x:c r="A3930" s="10" t="n">
        <x:v>46230</x:v>
      </x:c>
      <x:c r="B3930" s="1" t="n">
        <x:v>9</x:v>
      </x:c>
      <x:c r="C3930" s="1" t="n">
        <x:v>6</x:v>
      </x:c>
      <x:c r="D3930" s="12" t="n">
        <x:v>0</x:v>
      </x:c>
      <x:c r="E3930" s="12" t="n">
        <x:v>0.5106666666666667</x:v>
      </x:c>
      <x:c r="F3930" s="12" t="n">
        <x:v>0.5105833333333334</x:v>
      </x:c>
      <x:c r="G3930" s="12" t="n">
        <x:v>0</x:v>
      </x:c>
      <x:c r="H3930" s="1" t="n">
        <x:f>'Historical prices'!E3930</x:f>
        <x:v>1.05</x:v>
      </x:c>
      <x:c r="I3930" s="6" t="n">
        <x:f>'Historical prices'!D3930</x:f>
        <x:v>0.2775</x:v>
      </x:c>
      <x:c r="J3930" s="13" t="n">
        <x:f>D3930*I3930*H3930</x:f>
        <x:v>0</x:v>
      </x:c>
      <x:c r="K3930" s="13" t="n">
        <x:f>E3930*I3930*H3930</x:f>
        <x:v>0.14879550000000002</x:v>
      </x:c>
      <x:c r="L3930" s="1" t="str">
        <x:f>TEXT(A3930,"mmm yyyy")</x:f>
        <x:v>Jul 2026</x:v>
      </x:c>
    </x:row>
    <x:row r="3931" ht="21" customHeight="1">
      <x:c r="A3931" s="10" t="n">
        <x:v>46230</x:v>
      </x:c>
      <x:c r="B3931" s="1" t="n">
        <x:v>9.5</x:v>
      </x:c>
      <x:c r="C3931" s="1" t="n">
        <x:v>6</x:v>
      </x:c>
      <x:c r="D3931" s="12" t="n">
        <x:v>0</x:v>
      </x:c>
      <x:c r="E3931" s="12" t="n">
        <x:v>0.5435833333333333</x:v>
      </x:c>
      <x:c r="F3931" s="12" t="n">
        <x:v>0.5434166666666667</x:v>
      </x:c>
      <x:c r="G3931" s="12" t="n">
        <x:v>0</x:v>
      </x:c>
      <x:c r="H3931" s="1" t="n">
        <x:f>'Historical prices'!E3931</x:f>
        <x:v>1.05</x:v>
      </x:c>
      <x:c r="I3931" s="6" t="n">
        <x:f>'Historical prices'!D3931</x:f>
        <x:v>0.2615</x:v>
      </x:c>
      <x:c r="J3931" s="13" t="n">
        <x:f>D3931*I3931*H3931</x:f>
        <x:v>0</x:v>
      </x:c>
      <x:c r="K3931" s="13" t="n">
        <x:f>E3931*I3931*H3931</x:f>
        <x:v>0.14925439375000002</x:v>
      </x:c>
      <x:c r="L3931" s="1" t="str">
        <x:f>TEXT(A3931,"mmm yyyy")</x:f>
        <x:v>Jul 2026</x:v>
      </x:c>
    </x:row>
    <x:row r="3932" ht="21" customHeight="1">
      <x:c r="A3932" s="10" t="n">
        <x:v>46230</x:v>
      </x:c>
      <x:c r="B3932" s="1" t="n">
        <x:v>10</x:v>
      </x:c>
      <x:c r="C3932" s="1" t="n">
        <x:v>6</x:v>
      </x:c>
      <x:c r="D3932" s="12" t="n">
        <x:v>0</x:v>
      </x:c>
      <x:c r="E3932" s="12" t="n">
        <x:v>0.5089166666666667</x:v>
      </x:c>
      <x:c r="F3932" s="12" t="n">
        <x:v>0.5089166666666667</x:v>
      </x:c>
      <x:c r="G3932" s="12" t="n">
        <x:v>0</x:v>
      </x:c>
      <x:c r="H3932" s="1" t="n">
        <x:f>'Historical prices'!E3932</x:f>
        <x:v>1.05</x:v>
      </x:c>
      <x:c r="I3932" s="6" t="n">
        <x:f>'Historical prices'!D3932</x:f>
        <x:v>0.25329999999999997</x:v>
      </x:c>
      <x:c r="J3932" s="13" t="n">
        <x:f>D3932*I3932*H3932</x:f>
        <x:v>0</x:v>
      </x:c>
      <x:c r="K3932" s="13" t="n">
        <x:f>E3932*I3932*H3932</x:f>
        <x:v>0.13535402124999998</x:v>
      </x:c>
      <x:c r="L3932" s="1" t="str">
        <x:f>TEXT(A3932,"mmm yyyy")</x:f>
        <x:v>Jul 2026</x:v>
      </x:c>
    </x:row>
    <x:row r="3933" ht="21" customHeight="1">
      <x:c r="A3933" s="10" t="n">
        <x:v>46230</x:v>
      </x:c>
      <x:c r="B3933" s="1" t="n">
        <x:v>10.5</x:v>
      </x:c>
      <x:c r="C3933" s="1" t="n">
        <x:v>6</x:v>
      </x:c>
      <x:c r="D3933" s="12" t="n">
        <x:v>0</x:v>
      </x:c>
      <x:c r="E3933" s="12" t="n">
        <x:v>0.5566666666666666</x:v>
      </x:c>
      <x:c r="F3933" s="12" t="n">
        <x:v>0.5535833333333333</x:v>
      </x:c>
      <x:c r="G3933" s="12" t="n">
        <x:v>0</x:v>
      </x:c>
      <x:c r="H3933" s="1" t="n">
        <x:f>'Historical prices'!E3933</x:f>
        <x:v>1.05</x:v>
      </x:c>
      <x:c r="I3933" s="6" t="n">
        <x:f>'Historical prices'!D3933</x:f>
        <x:v>0.23440000000000003</x:v>
      </x:c>
      <x:c r="J3933" s="13" t="n">
        <x:f>D3933*I3933*H3933</x:f>
        <x:v>0</x:v>
      </x:c>
      <x:c r="K3933" s="13" t="n">
        <x:f>E3933*I3933*H3933</x:f>
        <x:v>0.1370068</x:v>
      </x:c>
      <x:c r="L3933" s="1" t="str">
        <x:f>TEXT(A3933,"mmm yyyy")</x:f>
        <x:v>Jul 2026</x:v>
      </x:c>
    </x:row>
    <x:row r="3934" ht="21" customHeight="1">
      <x:c r="A3934" s="10" t="n">
        <x:v>46230</x:v>
      </x:c>
      <x:c r="B3934" s="1" t="n">
        <x:v>11</x:v>
      </x:c>
      <x:c r="C3934" s="1" t="n">
        <x:v>6</x:v>
      </x:c>
      <x:c r="D3934" s="12" t="n">
        <x:v>0</x:v>
      </x:c>
      <x:c r="E3934" s="12" t="n">
        <x:v>0.52875</x:v>
      </x:c>
      <x:c r="F3934" s="12" t="n">
        <x:v>0.5286666666666667</x:v>
      </x:c>
      <x:c r="G3934" s="12" t="n">
        <x:v>0</x:v>
      </x:c>
      <x:c r="H3934" s="1" t="n">
        <x:f>'Historical prices'!E3934</x:f>
        <x:v>1.05</x:v>
      </x:c>
      <x:c r="I3934" s="6" t="n">
        <x:f>'Historical prices'!D3934</x:f>
        <x:v>0.2253</x:v>
      </x:c>
      <x:c r="J3934" s="13" t="n">
        <x:f>D3934*I3934*H3934</x:f>
        <x:v>0</x:v>
      </x:c>
      <x:c r="K3934" s="13" t="n">
        <x:f>E3934*I3934*H3934</x:f>
        <x:v>0.12508374375</x:v>
      </x:c>
      <x:c r="L3934" s="1" t="str">
        <x:f>TEXT(A3934,"mmm yyyy")</x:f>
        <x:v>Jul 2026</x:v>
      </x:c>
    </x:row>
    <x:row r="3935" ht="21" customHeight="1">
      <x:c r="A3935" s="10" t="n">
        <x:v>46230</x:v>
      </x:c>
      <x:c r="B3935" s="1" t="n">
        <x:v>11.5</x:v>
      </x:c>
      <x:c r="C3935" s="1" t="n">
        <x:v>6</x:v>
      </x:c>
      <x:c r="D3935" s="12" t="n">
        <x:v>0</x:v>
      </x:c>
      <x:c r="E3935" s="12" t="n">
        <x:v>0.49508333333333343</x:v>
      </x:c>
      <x:c r="F3935" s="12" t="n">
        <x:v>0.4947499999999999</x:v>
      </x:c>
      <x:c r="G3935" s="12" t="n">
        <x:v>0</x:v>
      </x:c>
      <x:c r="H3935" s="1" t="n">
        <x:f>'Historical prices'!E3935</x:f>
        <x:v>1.05</x:v>
      </x:c>
      <x:c r="I3935" s="6" t="n">
        <x:f>'Historical prices'!D3935</x:f>
        <x:v>0.2208</x:v>
      </x:c>
      <x:c r="J3935" s="13" t="n">
        <x:f>D3935*I3935*H3935</x:f>
        <x:v>0</x:v>
      </x:c>
      <x:c r="K3935" s="13" t="n">
        <x:f>E3935*I3935*H3935</x:f>
        <x:v>0.11478012000000003</x:v>
      </x:c>
      <x:c r="L3935" s="1" t="str">
        <x:f>TEXT(A3935,"mmm yyyy")</x:f>
        <x:v>Jul 2026</x:v>
      </x:c>
    </x:row>
    <x:row r="3936" ht="21" customHeight="1">
      <x:c r="A3936" s="10" t="n">
        <x:v>46230</x:v>
      </x:c>
      <x:c r="B3936" s="1" t="n">
        <x:v>12</x:v>
      </x:c>
      <x:c r="C3936" s="1" t="n">
        <x:v>6</x:v>
      </x:c>
      <x:c r="D3936" s="12" t="n">
        <x:v>0</x:v>
      </x:c>
      <x:c r="E3936" s="12" t="n">
        <x:v>0.5108333333333333</x:v>
      </x:c>
      <x:c r="F3936" s="12" t="n">
        <x:v>0.5106666666666666</x:v>
      </x:c>
      <x:c r="G3936" s="12" t="n">
        <x:v>0</x:v>
      </x:c>
      <x:c r="H3936" s="1" t="n">
        <x:f>'Historical prices'!E3936</x:f>
        <x:v>1.05</x:v>
      </x:c>
      <x:c r="I3936" s="6" t="n">
        <x:f>'Historical prices'!D3936</x:f>
        <x:v>0.2041</x:v>
      </x:c>
      <x:c r="J3936" s="13" t="n">
        <x:f>D3936*I3936*H3936</x:f>
        <x:v>0</x:v>
      </x:c>
      <x:c r="K3936" s="13" t="n">
        <x:f>E3936*I3936*H3936</x:f>
        <x:v>0.1094741375</x:v>
      </x:c>
      <x:c r="L3936" s="1" t="str">
        <x:f>TEXT(A3936,"mmm yyyy")</x:f>
        <x:v>Jul 2026</x:v>
      </x:c>
    </x:row>
    <x:row r="3937" ht="21" customHeight="1">
      <x:c r="A3937" s="10" t="n">
        <x:v>46230</x:v>
      </x:c>
      <x:c r="B3937" s="1" t="n">
        <x:v>12.5</x:v>
      </x:c>
      <x:c r="C3937" s="1" t="n">
        <x:v>6</x:v>
      </x:c>
      <x:c r="D3937" s="12" t="n">
        <x:v>0</x:v>
      </x:c>
      <x:c r="E3937" s="12" t="n">
        <x:v>0.4797499999999999</x:v>
      </x:c>
      <x:c r="F3937" s="12" t="n">
        <x:v>0.47874999999999995</x:v>
      </x:c>
      <x:c r="G3937" s="12" t="n">
        <x:v>0</x:v>
      </x:c>
      <x:c r="H3937" s="1" t="n">
        <x:f>'Historical prices'!E3937</x:f>
        <x:v>1.05</x:v>
      </x:c>
      <x:c r="I3937" s="6" t="n">
        <x:f>'Historical prices'!D3937</x:f>
        <x:v>0.1942</x:v>
      </x:c>
      <x:c r="J3937" s="13" t="n">
        <x:f>D3937*I3937*H3937</x:f>
        <x:v>0</x:v>
      </x:c>
      <x:c r="K3937" s="13" t="n">
        <x:f>E3937*I3937*H3937</x:f>
        <x:v>0.09782582249999999</x:v>
      </x:c>
      <x:c r="L3937" s="1" t="str">
        <x:f>TEXT(A3937,"mmm yyyy")</x:f>
        <x:v>Jul 2026</x:v>
      </x:c>
    </x:row>
    <x:row r="3938" ht="21" customHeight="1">
      <x:c r="A3938" s="10" t="n">
        <x:v>46230</x:v>
      </x:c>
      <x:c r="B3938" s="1" t="n">
        <x:v>13</x:v>
      </x:c>
      <x:c r="C3938" s="1" t="n">
        <x:v>6</x:v>
      </x:c>
      <x:c r="D3938" s="12" t="n">
        <x:v>0.33216666666666667</x:v>
      </x:c>
      <x:c r="E3938" s="12" t="n">
        <x:v>0.4220833333333333</x:v>
      </x:c>
      <x:c r="F3938" s="12" t="n">
        <x:v>0.07991666666666666</x:v>
      </x:c>
      <x:c r="G3938" s="12" t="n">
        <x:v>0</x:v>
      </x:c>
      <x:c r="H3938" s="1" t="n">
        <x:f>'Historical prices'!E3938</x:f>
        <x:v>1.05</x:v>
      </x:c>
      <x:c r="I3938" s="6" t="n">
        <x:f>'Historical prices'!D3938</x:f>
        <x:v>0.17300000000000001</x:v>
      </x:c>
      <x:c r="J3938" s="13" t="n">
        <x:f>D3938*I3938*H3938</x:f>
        <x:v>0.06033807500000001</x:v>
      </x:c>
      <x:c r="K3938" s="13" t="n">
        <x:f>E3938*I3938*H3938</x:f>
        <x:v>0.07667143750000001</x:v>
      </x:c>
      <x:c r="L3938" s="1" t="str">
        <x:f>TEXT(A3938,"mmm yyyy")</x:f>
        <x:v>Jul 2026</x:v>
      </x:c>
    </x:row>
    <x:row r="3939" ht="21" customHeight="1">
      <x:c r="A3939" s="10" t="n">
        <x:v>46230</x:v>
      </x:c>
      <x:c r="B3939" s="1" t="n">
        <x:v>13.5</x:v>
      </x:c>
      <x:c r="C3939" s="1" t="n">
        <x:v>6</x:v>
      </x:c>
      <x:c r="D3939" s="12" t="n">
        <x:v>0.06916666666666667</x:v>
      </x:c>
      <x:c r="E3939" s="12" t="n">
        <x:v>0.45633333333333337</x:v>
      </x:c>
      <x:c r="F3939" s="12" t="n">
        <x:v>0.38575</x:v>
      </x:c>
      <x:c r="G3939" s="12" t="n">
        <x:v>0</x:v>
      </x:c>
      <x:c r="H3939" s="1" t="n">
        <x:f>'Historical prices'!E3939</x:f>
        <x:v>1.05</x:v>
      </x:c>
      <x:c r="I3939" s="6" t="n">
        <x:f>'Historical prices'!D3939</x:f>
        <x:v>0.1751</x:v>
      </x:c>
      <x:c r="J3939" s="13" t="n">
        <x:f>D3939*I3939*H3939</x:f>
        <x:v>0.012716637500000003</x:v>
      </x:c>
      <x:c r="K3939" s="13" t="n">
        <x:f>E3939*I3939*H3939</x:f>
        <x:v>0.08389916500000001</x:v>
      </x:c>
      <x:c r="L3939" s="1" t="str">
        <x:f>TEXT(A3939,"mmm yyyy")</x:f>
        <x:v>Jul 2026</x:v>
      </x:c>
    </x:row>
    <x:row r="3940" ht="21" customHeight="1">
      <x:c r="A3940" s="10" t="n">
        <x:v>46230</x:v>
      </x:c>
      <x:c r="B3940" s="1" t="n">
        <x:v>14</x:v>
      </x:c>
      <x:c r="C3940" s="1" t="n">
        <x:v>6</x:v>
      </x:c>
      <x:c r="D3940" s="12" t="n">
        <x:v>0.33766666666666667</x:v>
      </x:c>
      <x:c r="E3940" s="12" t="n">
        <x:v>0.41975</x:v>
      </x:c>
      <x:c r="F3940" s="12" t="n">
        <x:v>0.074</x:v>
      </x:c>
      <x:c r="G3940" s="12" t="n">
        <x:v>0</x:v>
      </x:c>
      <x:c r="H3940" s="1" t="n">
        <x:f>'Historical prices'!E3940</x:f>
        <x:v>1.05</x:v>
      </x:c>
      <x:c r="I3940" s="6" t="n">
        <x:f>'Historical prices'!D3940</x:f>
        <x:v>0.1703</x:v>
      </x:c>
      <x:c r="J3940" s="13" t="n">
        <x:f>D3940*I3940*H3940</x:f>
        <x:v>0.06037986500000001</x:v>
      </x:c>
      <x:c r="K3940" s="13" t="n">
        <x:f>E3940*I3940*H3940</x:f>
        <x:v>0.07505759625000001</x:v>
      </x:c>
      <x:c r="L3940" s="1" t="str">
        <x:f>TEXT(A3940,"mmm yyyy")</x:f>
        <x:v>Jul 2026</x:v>
      </x:c>
    </x:row>
    <x:row r="3941" ht="21" customHeight="1">
      <x:c r="A3941" s="10" t="n">
        <x:v>46230</x:v>
      </x:c>
      <x:c r="B3941" s="1" t="n">
        <x:v>14.5</x:v>
      </x:c>
      <x:c r="C3941" s="1" t="n">
        <x:v>6</x:v>
      </x:c>
      <x:c r="D3941" s="12" t="n">
        <x:v>0.4933333333333334</x:v>
      </x:c>
      <x:c r="E3941" s="12" t="n">
        <x:v>0.5043333333333334</x:v>
      </x:c>
      <x:c r="F3941" s="12" t="n">
        <x:v>0</x:v>
      </x:c>
      <x:c r="G3941" s="12" t="n">
        <x:v>0</x:v>
      </x:c>
      <x:c r="H3941" s="1" t="n">
        <x:f>'Historical prices'!E3941</x:f>
        <x:v>1.05</x:v>
      </x:c>
      <x:c r="I3941" s="6" t="n">
        <x:f>'Historical prices'!D3941</x:f>
        <x:v>0.1648</x:v>
      </x:c>
      <x:c r="J3941" s="13" t="n">
        <x:f>D3941*I3941*H3941</x:f>
        <x:v>0.08536640000000002</x:v>
      </x:c>
      <x:c r="K3941" s="13" t="n">
        <x:f>E3941*I3941*H3941</x:f>
        <x:v>0.08726984000000003</x:v>
      </x:c>
      <x:c r="L3941" s="1" t="str">
        <x:f>TEXT(A3941,"mmm yyyy")</x:f>
        <x:v>Jul 2026</x:v>
      </x:c>
    </x:row>
    <x:row r="3942" ht="21" customHeight="1">
      <x:c r="A3942" s="10" t="n">
        <x:v>46230</x:v>
      </x:c>
      <x:c r="B3942" s="1" t="n">
        <x:v>15</x:v>
      </x:c>
      <x:c r="C3942" s="1" t="n">
        <x:v>6</x:v>
      </x:c>
      <x:c r="D3942" s="12" t="n">
        <x:v>0.45675000000000004</x:v>
      </x:c>
      <x:c r="E3942" s="12" t="n">
        <x:v>0.46775000000000005</x:v>
      </x:c>
      <x:c r="F3942" s="12" t="n">
        <x:v>0</x:v>
      </x:c>
      <x:c r="G3942" s="12" t="n">
        <x:v>0</x:v>
      </x:c>
      <x:c r="H3942" s="1" t="n">
        <x:f>'Historical prices'!E3942</x:f>
        <x:v>1.05</x:v>
      </x:c>
      <x:c r="I3942" s="6" t="n">
        <x:f>'Historical prices'!D3942</x:f>
        <x:v>0.16269999999999998</x:v>
      </x:c>
      <x:c r="J3942" s="13" t="n">
        <x:f>D3942*I3942*H3942</x:f>
        <x:v>0.07802888625</x:v>
      </x:c>
      <x:c r="K3942" s="13" t="n">
        <x:f>E3942*I3942*H3942</x:f>
        <x:v>0.07990807125</x:v>
      </x:c>
      <x:c r="L3942" s="1" t="str">
        <x:f>TEXT(A3942,"mmm yyyy")</x:f>
        <x:v>Jul 2026</x:v>
      </x:c>
    </x:row>
    <x:row r="3943" ht="21" customHeight="1">
      <x:c r="A3943" s="10" t="n">
        <x:v>46230</x:v>
      </x:c>
      <x:c r="B3943" s="1" t="n">
        <x:v>15.5</x:v>
      </x:c>
      <x:c r="C3943" s="1" t="n">
        <x:v>6</x:v>
      </x:c>
      <x:c r="D3943" s="12" t="n">
        <x:v>0.4308333333333333</x:v>
      </x:c>
      <x:c r="E3943" s="12" t="n">
        <x:v>0.4408333333333333</x:v>
      </x:c>
      <x:c r="F3943" s="12" t="n">
        <x:v>0</x:v>
      </x:c>
      <x:c r="G3943" s="12" t="n">
        <x:v>0</x:v>
      </x:c>
      <x:c r="H3943" s="1" t="n">
        <x:f>'Historical prices'!E3943</x:f>
        <x:v>1.05</x:v>
      </x:c>
      <x:c r="I3943" s="6" t="n">
        <x:f>'Historical prices'!D3943</x:f>
        <x:v>0.16820000000000002</x:v>
      </x:c>
      <x:c r="J3943" s="13" t="n">
        <x:f>D3943*I3943*H3943</x:f>
        <x:v>0.076089475</x:v>
      </x:c>
      <x:c r="K3943" s="13" t="n">
        <x:f>E3943*I3943*H3943</x:f>
        <x:v>0.07785557500000001</x:v>
      </x:c>
      <x:c r="L3943" s="1" t="str">
        <x:f>TEXT(A3943,"mmm yyyy")</x:f>
        <x:v>Jul 2026</x:v>
      </x:c>
    </x:row>
    <x:row r="3944" ht="21" customHeight="1">
      <x:c r="A3944" s="10" t="n">
        <x:v>46230</x:v>
      </x:c>
      <x:c r="B3944" s="1" t="n">
        <x:v>16</x:v>
      </x:c>
      <x:c r="C3944" s="1" t="n">
        <x:v>6</x:v>
      </x:c>
      <x:c r="D3944" s="12" t="n">
        <x:v>0.094</x:v>
      </x:c>
      <x:c r="E3944" s="12" t="n">
        <x:v>0.4708333333333334</x:v>
      </x:c>
      <x:c r="F3944" s="12" t="n">
        <x:v>0.3745</x:v>
      </x:c>
      <x:c r="G3944" s="12" t="n">
        <x:v>0</x:v>
      </x:c>
      <x:c r="H3944" s="1" t="n">
        <x:f>'Historical prices'!E3944</x:f>
        <x:v>1.05</x:v>
      </x:c>
      <x:c r="I3944" s="6" t="n">
        <x:f>'Historical prices'!D3944</x:f>
        <x:v>0.3218</x:v>
      </x:c>
      <x:c r="J3944" s="13" t="n">
        <x:f>D3944*I3944*H3944</x:f>
        <x:v>0.03176166</x:v>
      </x:c>
      <x:c r="K3944" s="13" t="n">
        <x:f>E3944*I3944*H3944</x:f>
        <x:v>0.15908987500000002</x:v>
      </x:c>
      <x:c r="L3944" s="1" t="str">
        <x:f>TEXT(A3944,"mmm yyyy")</x:f>
        <x:v>Jul 2026</x:v>
      </x:c>
    </x:row>
    <x:row r="3945" ht="21" customHeight="1">
      <x:c r="A3945" s="10" t="n">
        <x:v>46230</x:v>
      </x:c>
      <x:c r="B3945" s="1" t="n">
        <x:v>16.5</x:v>
      </x:c>
      <x:c r="C3945" s="1" t="n">
        <x:v>6</x:v>
      </x:c>
      <x:c r="D3945" s="12" t="n">
        <x:v>0</x:v>
      </x:c>
      <x:c r="E3945" s="12" t="n">
        <x:v>0.4398333333333334</x:v>
      </x:c>
      <x:c r="F3945" s="12" t="n">
        <x:v>0.43975000000000003</x:v>
      </x:c>
      <x:c r="G3945" s="12" t="n">
        <x:v>0</x:v>
      </x:c>
      <x:c r="H3945" s="1" t="n">
        <x:f>'Historical prices'!E3945</x:f>
        <x:v>1.05</x:v>
      </x:c>
      <x:c r="I3945" s="6" t="n">
        <x:f>'Historical prices'!D3945</x:f>
        <x:v>0.3248</x:v>
      </x:c>
      <x:c r="J3945" s="13" t="n">
        <x:f>D3945*I3945*H3945</x:f>
        <x:v>0</x:v>
      </x:c>
      <x:c r="K3945" s="13" t="n">
        <x:f>E3945*I3945*H3945</x:f>
        <x:v>0.15000076000000004</x:v>
      </x:c>
      <x:c r="L3945" s="1" t="str">
        <x:f>TEXT(A3945,"mmm yyyy")</x:f>
        <x:v>Jul 2026</x:v>
      </x:c>
    </x:row>
    <x:row r="3946" ht="21" customHeight="1">
      <x:c r="A3946" s="10" t="n">
        <x:v>46230</x:v>
      </x:c>
      <x:c r="B3946" s="1" t="n">
        <x:v>17</x:v>
      </x:c>
      <x:c r="C3946" s="1" t="n">
        <x:v>6</x:v>
      </x:c>
      <x:c r="D3946" s="12" t="n">
        <x:v>0</x:v>
      </x:c>
      <x:c r="E3946" s="12" t="n">
        <x:v>0.5539999999999999</x:v>
      </x:c>
      <x:c r="F3946" s="12" t="n">
        <x:v>0.55375</x:v>
      </x:c>
      <x:c r="G3946" s="12" t="n">
        <x:v>0</x:v>
      </x:c>
      <x:c r="H3946" s="1" t="n">
        <x:f>'Historical prices'!E3946</x:f>
        <x:v>1.05</x:v>
      </x:c>
      <x:c r="I3946" s="6" t="n">
        <x:f>'Historical prices'!D3946</x:f>
        <x:v>0.3373</x:v>
      </x:c>
      <x:c r="J3946" s="13" t="n">
        <x:f>D3946*I3946*H3946</x:f>
        <x:v>0</x:v>
      </x:c>
      <x:c r="K3946" s="13" t="n">
        <x:f>E3946*I3946*H3946</x:f>
        <x:v>0.19620741</x:v>
      </x:c>
      <x:c r="L3946" s="1" t="str">
        <x:f>TEXT(A3946,"mmm yyyy")</x:f>
        <x:v>Jul 2026</x:v>
      </x:c>
    </x:row>
    <x:row r="3947" ht="21" customHeight="1">
      <x:c r="A3947" s="10" t="n">
        <x:v>46230</x:v>
      </x:c>
      <x:c r="B3947" s="1" t="n">
        <x:v>17.5</x:v>
      </x:c>
      <x:c r="C3947" s="1" t="n">
        <x:v>6</x:v>
      </x:c>
      <x:c r="D3947" s="12" t="n">
        <x:v>0</x:v>
      </x:c>
      <x:c r="E3947" s="12" t="n">
        <x:v>0.5448333333333333</x:v>
      </x:c>
      <x:c r="F3947" s="12" t="n">
        <x:v>0.5445833333333333</x:v>
      </x:c>
      <x:c r="G3947" s="12" t="n">
        <x:v>0</x:v>
      </x:c>
      <x:c r="H3947" s="1" t="n">
        <x:f>'Historical prices'!E3947</x:f>
        <x:v>1.05</x:v>
      </x:c>
      <x:c r="I3947" s="6" t="n">
        <x:f>'Historical prices'!D3947</x:f>
        <x:v>0.3714</x:v>
      </x:c>
      <x:c r="J3947" s="13" t="n">
        <x:f>D3947*I3947*H3947</x:f>
        <x:v>0</x:v>
      </x:c>
      <x:c r="K3947" s="13" t="n">
        <x:f>E3947*I3947*H3947</x:f>
        <x:v>0.21246865499999998</x:v>
      </x:c>
      <x:c r="L3947" s="1" t="str">
        <x:f>TEXT(A3947,"mmm yyyy")</x:f>
        <x:v>Jul 2026</x:v>
      </x:c>
    </x:row>
    <x:row r="3948" ht="21" customHeight="1">
      <x:c r="A3948" s="10" t="n">
        <x:v>46230</x:v>
      </x:c>
      <x:c r="B3948" s="1" t="n">
        <x:v>18</x:v>
      </x:c>
      <x:c r="C3948" s="1" t="n">
        <x:v>6</x:v>
      </x:c>
      <x:c r="D3948" s="12" t="n">
        <x:v>0</x:v>
      </x:c>
      <x:c r="E3948" s="12" t="n">
        <x:v>0.7930833333333334</x:v>
      </x:c>
      <x:c r="F3948" s="12" t="n">
        <x:v>0.7928333333333334</x:v>
      </x:c>
      <x:c r="G3948" s="12" t="n">
        <x:v>0</x:v>
      </x:c>
      <x:c r="H3948" s="1" t="n">
        <x:f>'Historical prices'!E3948</x:f>
        <x:v>1.05</x:v>
      </x:c>
      <x:c r="I3948" s="6" t="n">
        <x:f>'Historical prices'!D3948</x:f>
        <x:v>0.3811</x:v>
      </x:c>
      <x:c r="J3948" s="13" t="n">
        <x:f>D3948*I3948*H3948</x:f>
        <x:v>0</x:v>
      </x:c>
      <x:c r="K3948" s="13" t="n">
        <x:f>E3948*I3948*H3948</x:f>
        <x:v>0.31735626125000005</x:v>
      </x:c>
      <x:c r="L3948" s="1" t="str">
        <x:f>TEXT(A3948,"mmm yyyy")</x:f>
        <x:v>Jul 2026</x:v>
      </x:c>
    </x:row>
    <x:row r="3949" ht="21" customHeight="1">
      <x:c r="A3949" s="10" t="n">
        <x:v>46230</x:v>
      </x:c>
      <x:c r="B3949" s="1" t="n">
        <x:v>18.5</x:v>
      </x:c>
      <x:c r="C3949" s="1" t="n">
        <x:v>6</x:v>
      </x:c>
      <x:c r="D3949" s="12" t="n">
        <x:v>0</x:v>
      </x:c>
      <x:c r="E3949" s="12" t="n">
        <x:v>1.1159166666666667</x:v>
      </x:c>
      <x:c r="F3949" s="12" t="n">
        <x:v>1.1154166666666667</x:v>
      </x:c>
      <x:c r="G3949" s="12" t="n">
        <x:v>0</x:v>
      </x:c>
      <x:c r="H3949" s="1" t="n">
        <x:f>'Historical prices'!E3949</x:f>
        <x:v>1.05</x:v>
      </x:c>
      <x:c r="I3949" s="6" t="n">
        <x:f>'Historical prices'!D3949</x:f>
        <x:v>0.3887</x:v>
      </x:c>
      <x:c r="J3949" s="13" t="n">
        <x:f>D3949*I3949*H3949</x:f>
        <x:v>0</x:v>
      </x:c>
      <x:c r="K3949" s="13" t="n">
        <x:f>E3949*I3949*H3949</x:f>
        <x:v>0.45544464874999996</x:v>
      </x:c>
      <x:c r="L3949" s="1" t="str">
        <x:f>TEXT(A3949,"mmm yyyy")</x:f>
        <x:v>Jul 2026</x:v>
      </x:c>
    </x:row>
    <x:row r="3950" ht="21" customHeight="1">
      <x:c r="A3950" s="10" t="n">
        <x:v>46230</x:v>
      </x:c>
      <x:c r="B3950" s="1" t="n">
        <x:v>19</x:v>
      </x:c>
      <x:c r="C3950" s="1" t="n">
        <x:v>6</x:v>
      </x:c>
      <x:c r="D3950" s="12" t="n">
        <x:v>0</x:v>
      </x:c>
      <x:c r="E3950" s="12" t="n">
        <x:v>0.60975</x:v>
      </x:c>
      <x:c r="F3950" s="12" t="n">
        <x:v>0.6095833333333333</x:v>
      </x:c>
      <x:c r="G3950" s="12" t="n">
        <x:v>0</x:v>
      </x:c>
      <x:c r="H3950" s="1" t="n">
        <x:f>'Historical prices'!E3950</x:f>
        <x:v>1.05</x:v>
      </x:c>
      <x:c r="I3950" s="6" t="n">
        <x:f>'Historical prices'!D3950</x:f>
        <x:v>0.29</x:v>
      </x:c>
      <x:c r="J3950" s="13" t="n">
        <x:f>D3950*I3950*H3950</x:f>
        <x:v>0</x:v>
      </x:c>
      <x:c r="K3950" s="13" t="n">
        <x:f>E3950*I3950*H3950</x:f>
        <x:v>0.185668875</x:v>
      </x:c>
      <x:c r="L3950" s="1" t="str">
        <x:f>TEXT(A3950,"mmm yyyy")</x:f>
        <x:v>Jul 2026</x:v>
      </x:c>
    </x:row>
    <x:row r="3951" ht="21" customHeight="1">
      <x:c r="A3951" s="10" t="n">
        <x:v>46230</x:v>
      </x:c>
      <x:c r="B3951" s="1" t="n">
        <x:v>19.5</x:v>
      </x:c>
      <x:c r="C3951" s="1" t="n">
        <x:v>6</x:v>
      </x:c>
      <x:c r="D3951" s="12" t="n">
        <x:v>0</x:v>
      </x:c>
      <x:c r="E3951" s="12" t="n">
        <x:v>0.5299166666666667</x:v>
      </x:c>
      <x:c r="F3951" s="12" t="n">
        <x:v>0.5296666666666667</x:v>
      </x:c>
      <x:c r="G3951" s="12" t="n">
        <x:v>0</x:v>
      </x:c>
      <x:c r="H3951" s="1" t="n">
        <x:f>'Historical prices'!E3951</x:f>
        <x:v>1.05</x:v>
      </x:c>
      <x:c r="I3951" s="6" t="n">
        <x:f>'Historical prices'!D3951</x:f>
        <x:v>0.29350000000000004</x:v>
      </x:c>
      <x:c r="J3951" s="13" t="n">
        <x:f>D3951*I3951*H3951</x:f>
        <x:v>0</x:v>
      </x:c>
      <x:c r="K3951" s="13" t="n">
        <x:f>E3951*I3951*H3951</x:f>
        <x:v>0.16330706875000003</x:v>
      </x:c>
      <x:c r="L3951" s="1" t="str">
        <x:f>TEXT(A3951,"mmm yyyy")</x:f>
        <x:v>Jul 2026</x:v>
      </x:c>
    </x:row>
    <x:row r="3952" ht="21" customHeight="1">
      <x:c r="A3952" s="10" t="n">
        <x:v>46230</x:v>
      </x:c>
      <x:c r="B3952" s="1" t="n">
        <x:v>20</x:v>
      </x:c>
      <x:c r="C3952" s="1" t="n">
        <x:v>6</x:v>
      </x:c>
      <x:c r="D3952" s="12" t="n">
        <x:v>0</x:v>
      </x:c>
      <x:c r="E3952" s="12" t="n">
        <x:v>0.5339999999999999</x:v>
      </x:c>
      <x:c r="F3952" s="12" t="n">
        <x:v>0.5275833333333333</x:v>
      </x:c>
      <x:c r="G3952" s="12" t="n">
        <x:v>0</x:v>
      </x:c>
      <x:c r="H3952" s="1" t="n">
        <x:f>'Historical prices'!E3952</x:f>
        <x:v>1.05</x:v>
      </x:c>
      <x:c r="I3952" s="6" t="n">
        <x:f>'Historical prices'!D3952</x:f>
        <x:v>0.2959</x:v>
      </x:c>
      <x:c r="J3952" s="13" t="n">
        <x:f>D3952*I3952*H3952</x:f>
        <x:v>0</x:v>
      </x:c>
      <x:c r="K3952" s="13" t="n">
        <x:f>E3952*I3952*H3952</x:f>
        <x:v>0.16591113</x:v>
      </x:c>
      <x:c r="L3952" s="1" t="str">
        <x:f>TEXT(A3952,"mmm yyyy")</x:f>
        <x:v>Jul 2026</x:v>
      </x:c>
    </x:row>
    <x:row r="3953" ht="21" customHeight="1">
      <x:c r="A3953" s="10" t="n">
        <x:v>46230</x:v>
      </x:c>
      <x:c r="B3953" s="1" t="n">
        <x:v>20.5</x:v>
      </x:c>
      <x:c r="C3953" s="1" t="n">
        <x:v>6</x:v>
      </x:c>
      <x:c r="D3953" s="12" t="n">
        <x:v>0</x:v>
      </x:c>
      <x:c r="E3953" s="12" t="n">
        <x:v>0.5038333333333334</x:v>
      </x:c>
      <x:c r="F3953" s="12" t="n">
        <x:v>0.5036666666666667</x:v>
      </x:c>
      <x:c r="G3953" s="12" t="n">
        <x:v>0</x:v>
      </x:c>
      <x:c r="H3953" s="1" t="n">
        <x:f>'Historical prices'!E3953</x:f>
        <x:v>1.05</x:v>
      </x:c>
      <x:c r="I3953" s="6" t="n">
        <x:f>'Historical prices'!D3953</x:f>
        <x:v>0.2979</x:v>
      </x:c>
      <x:c r="J3953" s="13" t="n">
        <x:f>D3953*I3953*H3953</x:f>
        <x:v>0</x:v>
      </x:c>
      <x:c r="K3953" s="13" t="n">
        <x:f>E3953*I3953*H3953</x:f>
        <x:v>0.15759654750000002</x:v>
      </x:c>
      <x:c r="L3953" s="1" t="str">
        <x:f>TEXT(A3953,"mmm yyyy")</x:f>
        <x:v>Jul 2026</x:v>
      </x:c>
    </x:row>
    <x:row r="3954" ht="21" customHeight="1">
      <x:c r="A3954" s="10" t="n">
        <x:v>46230</x:v>
      </x:c>
      <x:c r="B3954" s="1" t="n">
        <x:v>21</x:v>
      </x:c>
      <x:c r="C3954" s="1" t="n">
        <x:v>6</x:v>
      </x:c>
      <x:c r="D3954" s="12" t="n">
        <x:v>0</x:v>
      </x:c>
      <x:c r="E3954" s="12" t="n">
        <x:v>0.5345</x:v>
      </x:c>
      <x:c r="F3954" s="12" t="n">
        <x:v>0.5345</x:v>
      </x:c>
      <x:c r="G3954" s="12" t="n">
        <x:v>0</x:v>
      </x:c>
      <x:c r="H3954" s="1" t="n">
        <x:f>'Historical prices'!E3954</x:f>
        <x:v>1.05</x:v>
      </x:c>
      <x:c r="I3954" s="6" t="n">
        <x:f>'Historical prices'!D3954</x:f>
        <x:v>0.2883</x:v>
      </x:c>
      <x:c r="J3954" s="13" t="n">
        <x:f>D3954*I3954*H3954</x:f>
        <x:v>0</x:v>
      </x:c>
      <x:c r="K3954" s="13" t="n">
        <x:f>E3954*I3954*H3954</x:f>
        <x:v>0.1618011675</x:v>
      </x:c>
      <x:c r="L3954" s="1" t="str">
        <x:f>TEXT(A3954,"mmm yyyy")</x:f>
        <x:v>Jul 2026</x:v>
      </x:c>
    </x:row>
    <x:row r="3955" ht="21" customHeight="1">
      <x:c r="A3955" s="10" t="n">
        <x:v>46230</x:v>
      </x:c>
      <x:c r="B3955" s="1" t="n">
        <x:v>21.5</x:v>
      </x:c>
      <x:c r="C3955" s="1" t="n">
        <x:v>6</x:v>
      </x:c>
      <x:c r="D3955" s="12" t="n">
        <x:v>0</x:v>
      </x:c>
      <x:c r="E3955" s="12" t="n">
        <x:v>0.48675</x:v>
      </x:c>
      <x:c r="F3955" s="12" t="n">
        <x:v>0.48658333333333337</x:v>
      </x:c>
      <x:c r="G3955" s="12" t="n">
        <x:v>0</x:v>
      </x:c>
      <x:c r="H3955" s="1" t="n">
        <x:f>'Historical prices'!E3955</x:f>
        <x:v>1.05</x:v>
      </x:c>
      <x:c r="I3955" s="6" t="n">
        <x:f>'Historical prices'!D3955</x:f>
        <x:v>0.2871</x:v>
      </x:c>
      <x:c r="J3955" s="13" t="n">
        <x:f>D3955*I3955*H3955</x:f>
        <x:v>0</x:v>
      </x:c>
      <x:c r="K3955" s="13" t="n">
        <x:f>E3955*I3955*H3955</x:f>
        <x:v>0.14673322125000002</x:v>
      </x:c>
      <x:c r="L3955" s="1" t="str">
        <x:f>TEXT(A3955,"mmm yyyy")</x:f>
        <x:v>Jul 2026</x:v>
      </x:c>
    </x:row>
    <x:row r="3956" ht="21" customHeight="1">
      <x:c r="A3956" s="10" t="n">
        <x:v>46230</x:v>
      </x:c>
      <x:c r="B3956" s="1" t="n">
        <x:v>22</x:v>
      </x:c>
      <x:c r="C3956" s="1" t="n">
        <x:v>6</x:v>
      </x:c>
      <x:c r="D3956" s="12" t="n">
        <x:v>0</x:v>
      </x:c>
      <x:c r="E3956" s="12" t="n">
        <x:v>0.6029166666666667</x:v>
      </x:c>
      <x:c r="F3956" s="12" t="n">
        <x:v>0.6025833333333334</x:v>
      </x:c>
      <x:c r="G3956" s="12" t="n">
        <x:v>0</x:v>
      </x:c>
      <x:c r="H3956" s="1" t="n">
        <x:f>'Historical prices'!E3956</x:f>
        <x:v>1.05</x:v>
      </x:c>
      <x:c r="I3956" s="6" t="n">
        <x:f>'Historical prices'!D3956</x:f>
        <x:v>0.2787</x:v>
      </x:c>
      <x:c r="J3956" s="13" t="n">
        <x:f>D3956*I3956*H3956</x:f>
        <x:v>0</x:v>
      </x:c>
      <x:c r="K3956" s="13" t="n">
        <x:f>E3956*I3956*H3956</x:f>
        <x:v>0.17643451875000002</x:v>
      </x:c>
      <x:c r="L3956" s="1" t="str">
        <x:f>TEXT(A3956,"mmm yyyy")</x:f>
        <x:v>Jul 2026</x:v>
      </x:c>
    </x:row>
    <x:row r="3957" ht="21" customHeight="1">
      <x:c r="A3957" s="10" t="n">
        <x:v>46230</x:v>
      </x:c>
      <x:c r="B3957" s="1" t="n">
        <x:v>22.5</x:v>
      </x:c>
      <x:c r="C3957" s="1" t="n">
        <x:v>6</x:v>
      </x:c>
      <x:c r="D3957" s="12" t="n">
        <x:v>0</x:v>
      </x:c>
      <x:c r="E3957" s="12" t="n">
        <x:v>0.34791666666666665</x:v>
      </x:c>
      <x:c r="F3957" s="12" t="n">
        <x:v>0.3478333333333333</x:v>
      </x:c>
      <x:c r="G3957" s="12" t="n">
        <x:v>0</x:v>
      </x:c>
      <x:c r="H3957" s="1" t="n">
        <x:f>'Historical prices'!E3957</x:f>
        <x:v>1.05</x:v>
      </x:c>
      <x:c r="I3957" s="6" t="n">
        <x:f>'Historical prices'!D3957</x:f>
        <x:v>0.2495</x:v>
      </x:c>
      <x:c r="J3957" s="13" t="n">
        <x:f>D3957*I3957*H3957</x:f>
        <x:v>0</x:v>
      </x:c>
      <x:c r="K3957" s="13" t="n">
        <x:f>E3957*I3957*H3957</x:f>
        <x:v>0.09114546875</x:v>
      </x:c>
      <x:c r="L3957" s="1" t="str">
        <x:f>TEXT(A3957,"mmm yyyy")</x:f>
        <x:v>Jul 2026</x:v>
      </x:c>
    </x:row>
    <x:row r="3958" ht="21" customHeight="1">
      <x:c r="A3958" s="10" t="n">
        <x:v>46230</x:v>
      </x:c>
      <x:c r="B3958" s="1" t="n">
        <x:v>23</x:v>
      </x:c>
      <x:c r="C3958" s="1" t="n">
        <x:v>6</x:v>
      </x:c>
      <x:c r="D3958" s="12" t="n">
        <x:v>0</x:v>
      </x:c>
      <x:c r="E3958" s="12" t="n">
        <x:v>0.3129166666666667</x:v>
      </x:c>
      <x:c r="F3958" s="12" t="n">
        <x:v>0.3125833333333333</x:v>
      </x:c>
      <x:c r="G3958" s="12" t="n">
        <x:v>0</x:v>
      </x:c>
      <x:c r="H3958" s="1" t="n">
        <x:f>'Historical prices'!E3958</x:f>
        <x:v>1.05</x:v>
      </x:c>
      <x:c r="I3958" s="6" t="n">
        <x:f>'Historical prices'!D3958</x:f>
        <x:v>0.2718</x:v>
      </x:c>
      <x:c r="J3958" s="13" t="n">
        <x:f>D3958*I3958*H3958</x:f>
        <x:v>0</x:v>
      </x:c>
      <x:c r="K3958" s="13" t="n">
        <x:f>E3958*I3958*H3958</x:f>
        <x:v>0.0893032875</x:v>
      </x:c>
      <x:c r="L3958" s="1" t="str">
        <x:f>TEXT(A3958,"mmm yyyy")</x:f>
        <x:v>Jul 2026</x:v>
      </x:c>
    </x:row>
    <x:row r="3959" ht="21" customHeight="1">
      <x:c r="A3959" s="10" t="n">
        <x:v>46230</x:v>
      </x:c>
      <x:c r="B3959" s="1" t="n">
        <x:v>23.5</x:v>
      </x:c>
      <x:c r="C3959" s="1" t="n">
        <x:v>6</x:v>
      </x:c>
      <x:c r="D3959" s="12" t="n">
        <x:v>0</x:v>
      </x:c>
      <x:c r="E3959" s="12" t="n">
        <x:v>0.35191666666666666</x:v>
      </x:c>
      <x:c r="F3959" s="12" t="n">
        <x:v>0.35175</x:v>
      </x:c>
      <x:c r="G3959" s="12" t="n">
        <x:v>0</x:v>
      </x:c>
      <x:c r="H3959" s="1" t="n">
        <x:f>'Historical prices'!E3959</x:f>
        <x:v>1.05</x:v>
      </x:c>
      <x:c r="I3959" s="6" t="n">
        <x:f>'Historical prices'!D3959</x:f>
        <x:v>0.263</x:v>
      </x:c>
      <x:c r="J3959" s="13" t="n">
        <x:f>D3959*I3959*H3959</x:f>
        <x:v>0</x:v>
      </x:c>
      <x:c r="K3959" s="13" t="n">
        <x:f>E3959*I3959*H3959</x:f>
        <x:v>0.0971817875</x:v>
      </x:c>
      <x:c r="L3959" s="1" t="str">
        <x:f>TEXT(A3959,"mmm yyyy")</x:f>
        <x:v>Jul 2026</x:v>
      </x:c>
    </x:row>
    <x:row r="3960" ht="21" customHeight="1">
      <x:c r="A3960" s="10" t="n">
        <x:v>46231</x:v>
      </x:c>
      <x:c r="B3960" s="1" t="n">
        <x:v>0</x:v>
      </x:c>
      <x:c r="C3960" s="1" t="n">
        <x:v>6</x:v>
      </x:c>
      <x:c r="D3960" s="12" t="n">
        <x:v>0</x:v>
      </x:c>
      <x:c r="E3960" s="12" t="n">
        <x:v>0.8273333333333334</x:v>
      </x:c>
      <x:c r="F3960" s="12" t="n">
        <x:v>0.8185</x:v>
      </x:c>
      <x:c r="G3960" s="12" t="n">
        <x:v>0</x:v>
      </x:c>
      <x:c r="H3960" s="1" t="n">
        <x:f>'Historical prices'!E3960</x:f>
        <x:v>1.05</x:v>
      </x:c>
      <x:c r="I3960" s="6" t="n">
        <x:f>'Historical prices'!D3960</x:f>
        <x:v>0.2583</x:v>
      </x:c>
      <x:c r="J3960" s="13" t="n">
        <x:f>D3960*I3960*H3960</x:f>
        <x:v>0</x:v>
      </x:c>
      <x:c r="K3960" s="13" t="n">
        <x:f>E3960*I3960*H3960</x:f>
        <x:v>0.22438520999999997</x:v>
      </x:c>
      <x:c r="L3960" s="1" t="str">
        <x:f>TEXT(A3960,"mmm yyyy")</x:f>
        <x:v>Jul 2026</x:v>
      </x:c>
    </x:row>
    <x:row r="3961" ht="21" customHeight="1">
      <x:c r="A3961" s="10" t="n">
        <x:v>46231</x:v>
      </x:c>
      <x:c r="B3961" s="1" t="n">
        <x:v>0.5</x:v>
      </x:c>
      <x:c r="C3961" s="1" t="n">
        <x:v>6</x:v>
      </x:c>
      <x:c r="D3961" s="12" t="n">
        <x:v>0</x:v>
      </x:c>
      <x:c r="E3961" s="12" t="n">
        <x:v>0.25566666666666665</x:v>
      </x:c>
      <x:c r="F3961" s="12" t="n">
        <x:v>0.25558333333333333</x:v>
      </x:c>
      <x:c r="G3961" s="12" t="n">
        <x:v>0</x:v>
      </x:c>
      <x:c r="H3961" s="1" t="n">
        <x:f>'Historical prices'!E3961</x:f>
        <x:v>1.05</x:v>
      </x:c>
      <x:c r="I3961" s="6" t="n">
        <x:f>'Historical prices'!D3961</x:f>
        <x:v>0.2457</x:v>
      </x:c>
      <x:c r="J3961" s="13" t="n">
        <x:f>D3961*I3961*H3961</x:f>
        <x:v>0</x:v>
      </x:c>
      <x:c r="K3961" s="13" t="n">
        <x:f>E3961*I3961*H3961</x:f>
        <x:v>0.065958165</x:v>
      </x:c>
      <x:c r="L3961" s="1" t="str">
        <x:f>TEXT(A3961,"mmm yyyy")</x:f>
        <x:v>Jul 2026</x:v>
      </x:c>
    </x:row>
    <x:row r="3962" ht="21" customHeight="1">
      <x:c r="A3962" s="10" t="n">
        <x:v>46231</x:v>
      </x:c>
      <x:c r="B3962" s="1" t="n">
        <x:v>1</x:v>
      </x:c>
      <x:c r="C3962" s="1" t="n">
        <x:v>6</x:v>
      </x:c>
      <x:c r="D3962" s="12" t="n">
        <x:v>0</x:v>
      </x:c>
      <x:c r="E3962" s="12" t="n">
        <x:v>0.24508333333333332</x:v>
      </x:c>
      <x:c r="F3962" s="12" t="n">
        <x:v>0.24475</x:v>
      </x:c>
      <x:c r="G3962" s="12" t="n">
        <x:v>0</x:v>
      </x:c>
      <x:c r="H3962" s="1" t="n">
        <x:f>'Historical prices'!E3962</x:f>
        <x:v>1.05</x:v>
      </x:c>
      <x:c r="I3962" s="6" t="n">
        <x:f>'Historical prices'!D3962</x:f>
        <x:v>0.2227</x:v>
      </x:c>
      <x:c r="J3962" s="13" t="n">
        <x:f>D3962*I3962*H3962</x:f>
        <x:v>0</x:v>
      </x:c>
      <x:c r="K3962" s="13" t="n">
        <x:f>E3962*I3962*H3962</x:f>
        <x:v>0.05730906125</x:v>
      </x:c>
      <x:c r="L3962" s="1" t="str">
        <x:f>TEXT(A3962,"mmm yyyy")</x:f>
        <x:v>Jul 2026</x:v>
      </x:c>
    </x:row>
    <x:row r="3963" ht="21" customHeight="1">
      <x:c r="A3963" s="10" t="n">
        <x:v>46231</x:v>
      </x:c>
      <x:c r="B3963" s="1" t="n">
        <x:v>1.5</x:v>
      </x:c>
      <x:c r="C3963" s="1" t="n">
        <x:v>6</x:v>
      </x:c>
      <x:c r="D3963" s="12" t="n">
        <x:v>0</x:v>
      </x:c>
      <x:c r="E3963" s="12" t="n">
        <x:v>0.32775000000000004</x:v>
      </x:c>
      <x:c r="F3963" s="12" t="n">
        <x:v>0.3275833333333334</x:v>
      </x:c>
      <x:c r="G3963" s="12" t="n">
        <x:v>0</x:v>
      </x:c>
      <x:c r="H3963" s="1" t="n">
        <x:f>'Historical prices'!E3963</x:f>
        <x:v>1.05</x:v>
      </x:c>
      <x:c r="I3963" s="6" t="n">
        <x:f>'Historical prices'!D3963</x:f>
        <x:v>0.2303</x:v>
      </x:c>
      <x:c r="J3963" s="13" t="n">
        <x:f>D3963*I3963*H3963</x:f>
        <x:v>0</x:v>
      </x:c>
      <x:c r="K3963" s="13" t="n">
        <x:f>E3963*I3963*H3963</x:f>
        <x:v>0.07925486625000001</x:v>
      </x:c>
      <x:c r="L3963" s="1" t="str">
        <x:f>TEXT(A3963,"mmm yyyy")</x:f>
        <x:v>Jul 2026</x:v>
      </x:c>
    </x:row>
    <x:row r="3964" ht="21" customHeight="1">
      <x:c r="A3964" s="10" t="n">
        <x:v>46231</x:v>
      </x:c>
      <x:c r="B3964" s="1" t="n">
        <x:v>2</x:v>
      </x:c>
      <x:c r="C3964" s="1" t="n">
        <x:v>6</x:v>
      </x:c>
      <x:c r="D3964" s="12" t="n">
        <x:v>0</x:v>
      </x:c>
      <x:c r="E3964" s="12" t="n">
        <x:v>0.314</x:v>
      </x:c>
      <x:c r="F3964" s="12" t="n">
        <x:v>0.31375</x:v>
      </x:c>
      <x:c r="G3964" s="12" t="n">
        <x:v>0</x:v>
      </x:c>
      <x:c r="H3964" s="1" t="n">
        <x:f>'Historical prices'!E3964</x:f>
        <x:v>1.05</x:v>
      </x:c>
      <x:c r="I3964" s="6" t="n">
        <x:f>'Historical prices'!D3964</x:f>
        <x:v>0.2228</x:v>
      </x:c>
      <x:c r="J3964" s="13" t="n">
        <x:f>D3964*I3964*H3964</x:f>
        <x:v>0</x:v>
      </x:c>
      <x:c r="K3964" s="13" t="n">
        <x:f>E3964*I3964*H3964</x:f>
        <x:v>0.07345716000000001</x:v>
      </x:c>
      <x:c r="L3964" s="1" t="str">
        <x:f>TEXT(A3964,"mmm yyyy")</x:f>
        <x:v>Jul 2026</x:v>
      </x:c>
    </x:row>
    <x:row r="3965" ht="21" customHeight="1">
      <x:c r="A3965" s="10" t="n">
        <x:v>46231</x:v>
      </x:c>
      <x:c r="B3965" s="1" t="n">
        <x:v>2.5</x:v>
      </x:c>
      <x:c r="C3965" s="1" t="n">
        <x:v>6</x:v>
      </x:c>
      <x:c r="D3965" s="12" t="n">
        <x:v>0</x:v>
      </x:c>
      <x:c r="E3965" s="12" t="n">
        <x:v>0.2198333333333333</x:v>
      </x:c>
      <x:c r="F3965" s="12" t="n">
        <x:v>0.21974999999999997</x:v>
      </x:c>
      <x:c r="G3965" s="12" t="n">
        <x:v>0</x:v>
      </x:c>
      <x:c r="H3965" s="1" t="n">
        <x:f>'Historical prices'!E3965</x:f>
        <x:v>1.05</x:v>
      </x:c>
      <x:c r="I3965" s="6" t="n">
        <x:f>'Historical prices'!D3965</x:f>
        <x:v>0.2102</x:v>
      </x:c>
      <x:c r="J3965" s="13" t="n">
        <x:f>D3965*I3965*H3965</x:f>
        <x:v>0</x:v>
      </x:c>
      <x:c r="K3965" s="13" t="n">
        <x:f>E3965*I3965*H3965</x:f>
        <x:v>0.04851941499999999</x:v>
      </x:c>
      <x:c r="L3965" s="1" t="str">
        <x:f>TEXT(A3965,"mmm yyyy")</x:f>
        <x:v>Jul 2026</x:v>
      </x:c>
    </x:row>
    <x:row r="3966" ht="21" customHeight="1">
      <x:c r="A3966" s="10" t="n">
        <x:v>46231</x:v>
      </x:c>
      <x:c r="B3966" s="1" t="n">
        <x:v>3</x:v>
      </x:c>
      <x:c r="C3966" s="1" t="n">
        <x:v>6</x:v>
      </x:c>
      <x:c r="D3966" s="12" t="n">
        <x:v>0</x:v>
      </x:c>
      <x:c r="E3966" s="12" t="n">
        <x:v>0.27524999999999994</x:v>
      </x:c>
      <x:c r="F3966" s="12" t="n">
        <x:v>0.27491666666666664</x:v>
      </x:c>
      <x:c r="G3966" s="12" t="n">
        <x:v>0</x:v>
      </x:c>
      <x:c r="H3966" s="1" t="n">
        <x:f>'Historical prices'!E3966</x:f>
        <x:v>1.05</x:v>
      </x:c>
      <x:c r="I3966" s="6" t="n">
        <x:f>'Historical prices'!D3966</x:f>
        <x:v>0.2173</x:v>
      </x:c>
      <x:c r="J3966" s="13" t="n">
        <x:f>D3966*I3966*H3966</x:f>
        <x:v>0</x:v>
      </x:c>
      <x:c r="K3966" s="13" t="n">
        <x:f>E3966*I3966*H3966</x:f>
        <x:v>0.06280241624999999</x:v>
      </x:c>
      <x:c r="L3966" s="1" t="str">
        <x:f>TEXT(A3966,"mmm yyyy")</x:f>
        <x:v>Jul 2026</x:v>
      </x:c>
    </x:row>
    <x:row r="3967" ht="21" customHeight="1">
      <x:c r="A3967" s="10" t="n">
        <x:v>46231</x:v>
      </x:c>
      <x:c r="B3967" s="1" t="n">
        <x:v>3.5</x:v>
      </x:c>
      <x:c r="C3967" s="1" t="n">
        <x:v>6</x:v>
      </x:c>
      <x:c r="D3967" s="12" t="n">
        <x:v>0</x:v>
      </x:c>
      <x:c r="E3967" s="12" t="n">
        <x:v>0.3188333333333333</x:v>
      </x:c>
      <x:c r="F3967" s="12" t="n">
        <x:v>0.31866666666666665</x:v>
      </x:c>
      <x:c r="G3967" s="12" t="n">
        <x:v>0</x:v>
      </x:c>
      <x:c r="H3967" s="1" t="n">
        <x:f>'Historical prices'!E3967</x:f>
        <x:v>1.05</x:v>
      </x:c>
      <x:c r="I3967" s="6" t="n">
        <x:f>'Historical prices'!D3967</x:f>
        <x:v>0.21710000000000002</x:v>
      </x:c>
      <x:c r="J3967" s="13" t="n">
        <x:f>D3967*I3967*H3967</x:f>
        <x:v>0</x:v>
      </x:c>
      <x:c r="K3967" s="13" t="n">
        <x:f>E3967*I3967*H3967</x:f>
        <x:v>0.0726796525</x:v>
      </x:c>
      <x:c r="L3967" s="1" t="str">
        <x:f>TEXT(A3967,"mmm yyyy")</x:f>
        <x:v>Jul 2026</x:v>
      </x:c>
    </x:row>
    <x:row r="3968" ht="21" customHeight="1">
      <x:c r="A3968" s="10" t="n">
        <x:v>46231</x:v>
      </x:c>
      <x:c r="B3968" s="1" t="n">
        <x:v>4</x:v>
      </x:c>
      <x:c r="C3968" s="1" t="n">
        <x:v>6</x:v>
      </x:c>
      <x:c r="D3968" s="12" t="n">
        <x:v>0</x:v>
      </x:c>
      <x:c r="E3968" s="12" t="n">
        <x:v>0.2698333333333333</x:v>
      </x:c>
      <x:c r="F3968" s="12" t="n">
        <x:v>0.26975</x:v>
      </x:c>
      <x:c r="G3968" s="12" t="n">
        <x:v>0</x:v>
      </x:c>
      <x:c r="H3968" s="1" t="n">
        <x:f>'Historical prices'!E3968</x:f>
        <x:v>1.05</x:v>
      </x:c>
      <x:c r="I3968" s="6" t="n">
        <x:f>'Historical prices'!D3968</x:f>
        <x:v>0.2184</x:v>
      </x:c>
      <x:c r="J3968" s="13" t="n">
        <x:f>D3968*I3968*H3968</x:f>
        <x:v>0</x:v>
      </x:c>
      <x:c r="K3968" s="13" t="n">
        <x:f>E3968*I3968*H3968</x:f>
        <x:v>0.061878180000000005</x:v>
      </x:c>
      <x:c r="L3968" s="1" t="str">
        <x:f>TEXT(A3968,"mmm yyyy")</x:f>
        <x:v>Jul 2026</x:v>
      </x:c>
    </x:row>
    <x:row r="3969" ht="21" customHeight="1">
      <x:c r="A3969" s="10" t="n">
        <x:v>46231</x:v>
      </x:c>
      <x:c r="B3969" s="1" t="n">
        <x:v>4.5</x:v>
      </x:c>
      <x:c r="C3969" s="1" t="n">
        <x:v>6</x:v>
      </x:c>
      <x:c r="D3969" s="12" t="n">
        <x:v>0</x:v>
      </x:c>
      <x:c r="E3969" s="12" t="n">
        <x:v>0.36124999999999996</x:v>
      </x:c>
      <x:c r="F3969" s="12" t="n">
        <x:v>0.3585833333333333</x:v>
      </x:c>
      <x:c r="G3969" s="12" t="n">
        <x:v>0</x:v>
      </x:c>
      <x:c r="H3969" s="1" t="n">
        <x:f>'Historical prices'!E3969</x:f>
        <x:v>1.05</x:v>
      </x:c>
      <x:c r="I3969" s="6" t="n">
        <x:f>'Historical prices'!D3969</x:f>
        <x:v>0.2121</x:v>
      </x:c>
      <x:c r="J3969" s="13" t="n">
        <x:f>D3969*I3969*H3969</x:f>
        <x:v>0</x:v>
      </x:c>
      <x:c r="K3969" s="13" t="n">
        <x:f>E3969*I3969*H3969</x:f>
        <x:v>0.08045218125</x:v>
      </x:c>
      <x:c r="L3969" s="1" t="str">
        <x:f>TEXT(A3969,"mmm yyyy")</x:f>
        <x:v>Jul 2026</x:v>
      </x:c>
    </x:row>
    <x:row r="3970" ht="21" customHeight="1">
      <x:c r="A3970" s="10" t="n">
        <x:v>46231</x:v>
      </x:c>
      <x:c r="B3970" s="1" t="n">
        <x:v>5</x:v>
      </x:c>
      <x:c r="C3970" s="1" t="n">
        <x:v>6</x:v>
      </x:c>
      <x:c r="D3970" s="12" t="n">
        <x:v>0</x:v>
      </x:c>
      <x:c r="E3970" s="12" t="n">
        <x:v>0.3140833333333333</x:v>
      </x:c>
      <x:c r="F3970" s="12" t="n">
        <x:v>0.3138333333333333</x:v>
      </x:c>
      <x:c r="G3970" s="12" t="n">
        <x:v>0</x:v>
      </x:c>
      <x:c r="H3970" s="1" t="n">
        <x:f>'Historical prices'!E3970</x:f>
        <x:v>1.05</x:v>
      </x:c>
      <x:c r="I3970" s="6" t="n">
        <x:f>'Historical prices'!D3970</x:f>
        <x:v>0.2545</x:v>
      </x:c>
      <x:c r="J3970" s="13" t="n">
        <x:f>D3970*I3970*H3970</x:f>
        <x:v>0</x:v>
      </x:c>
      <x:c r="K3970" s="13" t="n">
        <x:f>E3970*I3970*H3970</x:f>
        <x:v>0.08393091875</x:v>
      </x:c>
      <x:c r="L3970" s="1" t="str">
        <x:f>TEXT(A3970,"mmm yyyy")</x:f>
        <x:v>Jul 2026</x:v>
      </x:c>
    </x:row>
    <x:row r="3971" ht="21" customHeight="1">
      <x:c r="A3971" s="10" t="n">
        <x:v>46231</x:v>
      </x:c>
      <x:c r="B3971" s="1" t="n">
        <x:v>5.5</x:v>
      </x:c>
      <x:c r="C3971" s="1" t="n">
        <x:v>6</x:v>
      </x:c>
      <x:c r="D3971" s="12" t="n">
        <x:v>0</x:v>
      </x:c>
      <x:c r="E3971" s="12" t="n">
        <x:v>0.30816666666666664</x:v>
      </x:c>
      <x:c r="F3971" s="12" t="n">
        <x:v>0.30783333333333335</x:v>
      </x:c>
      <x:c r="G3971" s="12" t="n">
        <x:v>0</x:v>
      </x:c>
      <x:c r="H3971" s="1" t="n">
        <x:f>'Historical prices'!E3971</x:f>
        <x:v>1.05</x:v>
      </x:c>
      <x:c r="I3971" s="6" t="n">
        <x:f>'Historical prices'!D3971</x:f>
        <x:v>0.2459</x:v>
      </x:c>
      <x:c r="J3971" s="13" t="n">
        <x:f>D3971*I3971*H3971</x:f>
        <x:v>0</x:v>
      </x:c>
      <x:c r="K3971" s="13" t="n">
        <x:f>E3971*I3971*H3971</x:f>
        <x:v>0.0795670925</x:v>
      </x:c>
      <x:c r="L3971" s="1" t="str">
        <x:f>TEXT(A3971,"mmm yyyy")</x:f>
        <x:v>Jul 2026</x:v>
      </x:c>
    </x:row>
    <x:row r="3972" ht="21" customHeight="1">
      <x:c r="A3972" s="10" t="n">
        <x:v>46231</x:v>
      </x:c>
      <x:c r="B3972" s="1" t="n">
        <x:v>6</x:v>
      </x:c>
      <x:c r="C3972" s="1" t="n">
        <x:v>6</x:v>
      </x:c>
      <x:c r="D3972" s="12" t="n">
        <x:v>0</x:v>
      </x:c>
      <x:c r="E3972" s="12" t="n">
        <x:v>0.51575</x:v>
      </x:c>
      <x:c r="F3972" s="12" t="n">
        <x:v>0.5154166666666666</x:v>
      </x:c>
      <x:c r="G3972" s="12" t="n">
        <x:v>0</x:v>
      </x:c>
      <x:c r="H3972" s="1" t="n">
        <x:f>'Historical prices'!E3972</x:f>
        <x:v>1.05</x:v>
      </x:c>
      <x:c r="I3972" s="6" t="n">
        <x:f>'Historical prices'!D3972</x:f>
        <x:v>0.2438</x:v>
      </x:c>
      <x:c r="J3972" s="13" t="n">
        <x:f>D3972*I3972*H3972</x:f>
        <x:v>0</x:v>
      </x:c>
      <x:c r="K3972" s="13" t="n">
        <x:f>E3972*I3972*H3972</x:f>
        <x:v>0.13202684250000002</x:v>
      </x:c>
      <x:c r="L3972" s="1" t="str">
        <x:f>TEXT(A3972,"mmm yyyy")</x:f>
        <x:v>Jul 2026</x:v>
      </x:c>
    </x:row>
    <x:row r="3973" ht="21" customHeight="1">
      <x:c r="A3973" s="10" t="n">
        <x:v>46231</x:v>
      </x:c>
      <x:c r="B3973" s="1" t="n">
        <x:v>6.5</x:v>
      </x:c>
      <x:c r="C3973" s="1" t="n">
        <x:v>6</x:v>
      </x:c>
      <x:c r="D3973" s="12" t="n">
        <x:v>0</x:v>
      </x:c>
      <x:c r="E3973" s="12" t="n">
        <x:v>0.5303333333333333</x:v>
      </x:c>
      <x:c r="F3973" s="12" t="n">
        <x:v>0.53025</x:v>
      </x:c>
      <x:c r="G3973" s="12" t="n">
        <x:v>0</x:v>
      </x:c>
      <x:c r="H3973" s="1" t="n">
        <x:f>'Historical prices'!E3973</x:f>
        <x:v>1.05</x:v>
      </x:c>
      <x:c r="I3973" s="6" t="n">
        <x:f>'Historical prices'!D3973</x:f>
        <x:v>0.2622</x:v>
      </x:c>
      <x:c r="J3973" s="13" t="n">
        <x:f>D3973*I3973*H3973</x:f>
        <x:v>0</x:v>
      </x:c>
      <x:c r="K3973" s="13" t="n">
        <x:f>E3973*I3973*H3973</x:f>
        <x:v>0.14600607</x:v>
      </x:c>
      <x:c r="L3973" s="1" t="str">
        <x:f>TEXT(A3973,"mmm yyyy")</x:f>
        <x:v>Jul 2026</x:v>
      </x:c>
    </x:row>
    <x:row r="3974" ht="21" customHeight="1">
      <x:c r="A3974" s="10" t="n">
        <x:v>46231</x:v>
      </x:c>
      <x:c r="B3974" s="1" t="n">
        <x:v>7</x:v>
      </x:c>
      <x:c r="C3974" s="1" t="n">
        <x:v>6</x:v>
      </x:c>
      <x:c r="D3974" s="12" t="n">
        <x:v>0</x:v>
      </x:c>
      <x:c r="E3974" s="12" t="n">
        <x:v>0.55475</x:v>
      </x:c>
      <x:c r="F3974" s="12" t="n">
        <x:v>0.5545833333333333</x:v>
      </x:c>
      <x:c r="G3974" s="12" t="n">
        <x:v>0</x:v>
      </x:c>
      <x:c r="H3974" s="1" t="n">
        <x:f>'Historical prices'!E3974</x:f>
        <x:v>1.05</x:v>
      </x:c>
      <x:c r="I3974" s="6" t="n">
        <x:f>'Historical prices'!D3974</x:f>
        <x:v>0.23440000000000003</x:v>
      </x:c>
      <x:c r="J3974" s="13" t="n">
        <x:f>D3974*I3974*H3974</x:f>
        <x:v>0</x:v>
      </x:c>
      <x:c r="K3974" s="13" t="n">
        <x:f>E3974*I3974*H3974</x:f>
        <x:v>0.13653507</x:v>
      </x:c>
      <x:c r="L3974" s="1" t="str">
        <x:f>TEXT(A3974,"mmm yyyy")</x:f>
        <x:v>Jul 2026</x:v>
      </x:c>
    </x:row>
    <x:row r="3975" ht="21" customHeight="1">
      <x:c r="A3975" s="10" t="n">
        <x:v>46231</x:v>
      </x:c>
      <x:c r="B3975" s="1" t="n">
        <x:v>7.5</x:v>
      </x:c>
      <x:c r="C3975" s="1" t="n">
        <x:v>6</x:v>
      </x:c>
      <x:c r="D3975" s="12" t="n">
        <x:v>0</x:v>
      </x:c>
      <x:c r="E3975" s="12" t="n">
        <x:v>0.5639166666666666</x:v>
      </x:c>
      <x:c r="F3975" s="12" t="n">
        <x:v>0.56275</x:v>
      </x:c>
      <x:c r="G3975" s="12" t="n">
        <x:v>0</x:v>
      </x:c>
      <x:c r="H3975" s="1" t="n">
        <x:f>'Historical prices'!E3975</x:f>
        <x:v>1.05</x:v>
      </x:c>
      <x:c r="I3975" s="6" t="n">
        <x:f>'Historical prices'!D3975</x:f>
        <x:v>0.24670000000000003</x:v>
      </x:c>
      <x:c r="J3975" s="13" t="n">
        <x:f>D3975*I3975*H3975</x:f>
        <x:v>0</x:v>
      </x:c>
      <x:c r="K3975" s="13" t="n">
        <x:f>E3975*I3975*H3975</x:f>
        <x:v>0.14607415375000002</x:v>
      </x:c>
      <x:c r="L3975" s="1" t="str">
        <x:f>TEXT(A3975,"mmm yyyy")</x:f>
        <x:v>Jul 2026</x:v>
      </x:c>
    </x:row>
    <x:row r="3976" ht="21" customHeight="1">
      <x:c r="A3976" s="10" t="n">
        <x:v>46231</x:v>
      </x:c>
      <x:c r="B3976" s="1" t="n">
        <x:v>8</x:v>
      </x:c>
      <x:c r="C3976" s="1" t="n">
        <x:v>6</x:v>
      </x:c>
      <x:c r="D3976" s="12" t="n">
        <x:v>0</x:v>
      </x:c>
      <x:c r="E3976" s="12" t="n">
        <x:v>0.53875</x:v>
      </x:c>
      <x:c r="F3976" s="12" t="n">
        <x:v>0.53875</x:v>
      </x:c>
      <x:c r="G3976" s="12" t="n">
        <x:v>0</x:v>
      </x:c>
      <x:c r="H3976" s="1" t="n">
        <x:f>'Historical prices'!E3976</x:f>
        <x:v>1.05</x:v>
      </x:c>
      <x:c r="I3976" s="6" t="n">
        <x:f>'Historical prices'!D3976</x:f>
        <x:v>0.2297</x:v>
      </x:c>
      <x:c r="J3976" s="13" t="n">
        <x:f>D3976*I3976*H3976</x:f>
        <x:v>0</x:v>
      </x:c>
      <x:c r="K3976" s="13" t="n">
        <x:f>E3976*I3976*H3976</x:f>
        <x:v>0.12993841874999998</x:v>
      </x:c>
      <x:c r="L3976" s="1" t="str">
        <x:f>TEXT(A3976,"mmm yyyy")</x:f>
        <x:v>Jul 2026</x:v>
      </x:c>
    </x:row>
    <x:row r="3977" ht="21" customHeight="1">
      <x:c r="A3977" s="10" t="n">
        <x:v>46231</x:v>
      </x:c>
      <x:c r="B3977" s="1" t="n">
        <x:v>8.5</x:v>
      </x:c>
      <x:c r="C3977" s="1" t="n">
        <x:v>6</x:v>
      </x:c>
      <x:c r="D3977" s="12" t="n">
        <x:v>0</x:v>
      </x:c>
      <x:c r="E3977" s="12" t="n">
        <x:v>0.46775</x:v>
      </x:c>
      <x:c r="F3977" s="12" t="n">
        <x:v>0.46758333333333335</x:v>
      </x:c>
      <x:c r="G3977" s="12" t="n">
        <x:v>0</x:v>
      </x:c>
      <x:c r="H3977" s="1" t="n">
        <x:f>'Historical prices'!E3977</x:f>
        <x:v>1.05</x:v>
      </x:c>
      <x:c r="I3977" s="6" t="n">
        <x:f>'Historical prices'!D3977</x:f>
        <x:v>0.2335</x:v>
      </x:c>
      <x:c r="J3977" s="13" t="n">
        <x:f>D3977*I3977*H3977</x:f>
        <x:v>0</x:v>
      </x:c>
      <x:c r="K3977" s="13" t="n">
        <x:f>E3977*I3977*H3977</x:f>
        <x:v>0.11468060625000001</x:v>
      </x:c>
      <x:c r="L3977" s="1" t="str">
        <x:f>TEXT(A3977,"mmm yyyy")</x:f>
        <x:v>Jul 2026</x:v>
      </x:c>
    </x:row>
    <x:row r="3978" ht="21" customHeight="1">
      <x:c r="A3978" s="10" t="n">
        <x:v>46231</x:v>
      </x:c>
      <x:c r="B3978" s="1" t="n">
        <x:v>9</x:v>
      </x:c>
      <x:c r="C3978" s="1" t="n">
        <x:v>6</x:v>
      </x:c>
      <x:c r="D3978" s="12" t="n">
        <x:v>0</x:v>
      </x:c>
      <x:c r="E3978" s="12" t="n">
        <x:v>0.6144166666666666</x:v>
      </x:c>
      <x:c r="F3978" s="12" t="n">
        <x:v>0.6144166666666666</x:v>
      </x:c>
      <x:c r="G3978" s="12" t="n">
        <x:v>0</x:v>
      </x:c>
      <x:c r="H3978" s="1" t="n">
        <x:f>'Historical prices'!E3978</x:f>
        <x:v>1.05</x:v>
      </x:c>
      <x:c r="I3978" s="6" t="n">
        <x:f>'Historical prices'!D3978</x:f>
        <x:v>0.2245</x:v>
      </x:c>
      <x:c r="J3978" s="13" t="n">
        <x:f>D3978*I3978*H3978</x:f>
        <x:v>0</x:v>
      </x:c>
      <x:c r="K3978" s="13" t="n">
        <x:f>E3978*I3978*H3978</x:f>
        <x:v>0.14483336875</x:v>
      </x:c>
      <x:c r="L3978" s="1" t="str">
        <x:f>TEXT(A3978,"mmm yyyy")</x:f>
        <x:v>Jul 2026</x:v>
      </x:c>
    </x:row>
    <x:row r="3979" ht="21" customHeight="1">
      <x:c r="A3979" s="10" t="n">
        <x:v>46231</x:v>
      </x:c>
      <x:c r="B3979" s="1" t="n">
        <x:v>9.5</x:v>
      </x:c>
      <x:c r="C3979" s="1" t="n">
        <x:v>6</x:v>
      </x:c>
      <x:c r="D3979" s="12" t="n">
        <x:v>0</x:v>
      </x:c>
      <x:c r="E3979" s="12" t="n">
        <x:v>0.6448333333333334</x:v>
      </x:c>
      <x:c r="F3979" s="12" t="n">
        <x:v>0.64475</x:v>
      </x:c>
      <x:c r="G3979" s="12" t="n">
        <x:v>0</x:v>
      </x:c>
      <x:c r="H3979" s="1" t="n">
        <x:f>'Historical prices'!E3979</x:f>
        <x:v>1.05</x:v>
      </x:c>
      <x:c r="I3979" s="6" t="n">
        <x:f>'Historical prices'!D3979</x:f>
        <x:v>0.2159</x:v>
      </x:c>
      <x:c r="J3979" s="13" t="n">
        <x:f>D3979*I3979*H3979</x:f>
        <x:v>0</x:v>
      </x:c>
      <x:c r="K3979" s="13" t="n">
        <x:f>E3979*I3979*H3979</x:f>
        <x:v>0.1461804925</x:v>
      </x:c>
      <x:c r="L3979" s="1" t="str">
        <x:f>TEXT(A3979,"mmm yyyy")</x:f>
        <x:v>Jul 2026</x:v>
      </x:c>
    </x:row>
    <x:row r="3980" ht="21" customHeight="1">
      <x:c r="A3980" s="10" t="n">
        <x:v>46231</x:v>
      </x:c>
      <x:c r="B3980" s="1" t="n">
        <x:v>10</x:v>
      </x:c>
      <x:c r="C3980" s="1" t="n">
        <x:v>6</x:v>
      </x:c>
      <x:c r="D3980" s="12" t="n">
        <x:v>0</x:v>
      </x:c>
      <x:c r="E3980" s="12" t="n">
        <x:v>0.6585833333333333</x:v>
      </x:c>
      <x:c r="F3980" s="12" t="n">
        <x:v>0.6585</x:v>
      </x:c>
      <x:c r="G3980" s="12" t="n">
        <x:v>0</x:v>
      </x:c>
      <x:c r="H3980" s="1" t="n">
        <x:f>'Historical prices'!E3980</x:f>
        <x:v>1.05</x:v>
      </x:c>
      <x:c r="I3980" s="6" t="n">
        <x:f>'Historical prices'!D3980</x:f>
        <x:v>0.185</x:v>
      </x:c>
      <x:c r="J3980" s="13" t="n">
        <x:f>D3980*I3980*H3980</x:f>
        <x:v>0</x:v>
      </x:c>
      <x:c r="K3980" s="13" t="n">
        <x:f>E3980*I3980*H3980</x:f>
        <x:v>0.1279298125</x:v>
      </x:c>
      <x:c r="L3980" s="1" t="str">
        <x:f>TEXT(A3980,"mmm yyyy")</x:f>
        <x:v>Jul 2026</x:v>
      </x:c>
    </x:row>
    <x:row r="3981" ht="21" customHeight="1">
      <x:c r="A3981" s="10" t="n">
        <x:v>46231</x:v>
      </x:c>
      <x:c r="B3981" s="1" t="n">
        <x:v>10.5</x:v>
      </x:c>
      <x:c r="C3981" s="1" t="n">
        <x:v>6</x:v>
      </x:c>
      <x:c r="D3981" s="12" t="n">
        <x:v>0.36025</x:v>
      </x:c>
      <x:c r="E3981" s="12" t="n">
        <x:v>0.5431666666666667</x:v>
      </x:c>
      <x:c r="F3981" s="12" t="n">
        <x:v>0.17791666666666667</x:v>
      </x:c>
      <x:c r="G3981" s="12" t="n">
        <x:v>0</x:v>
      </x:c>
      <x:c r="H3981" s="1" t="n">
        <x:f>'Historical prices'!E3981</x:f>
        <x:v>1.05</x:v>
      </x:c>
      <x:c r="I3981" s="6" t="n">
        <x:f>'Historical prices'!D3981</x:f>
        <x:v>0.16949999999999998</x:v>
      </x:c>
      <x:c r="J3981" s="13" t="n">
        <x:f>D3981*I3981*H3981</x:f>
        <x:v>0.06411549375</x:v>
      </x:c>
      <x:c r="K3981" s="13" t="n">
        <x:f>E3981*I3981*H3981</x:f>
        <x:v>0.09667008749999999</x:v>
      </x:c>
      <x:c r="L3981" s="1" t="str">
        <x:f>TEXT(A3981,"mmm yyyy")</x:f>
        <x:v>Jul 2026</x:v>
      </x:c>
    </x:row>
    <x:row r="3982" ht="21" customHeight="1">
      <x:c r="A3982" s="10" t="n">
        <x:v>46231</x:v>
      </x:c>
      <x:c r="B3982" s="1" t="n">
        <x:v>11</x:v>
      </x:c>
      <x:c r="C3982" s="1" t="n">
        <x:v>6</x:v>
      </x:c>
      <x:c r="D3982" s="12" t="n">
        <x:v>0.4606666666666666</x:v>
      </x:c>
      <x:c r="E3982" s="12" t="n">
        <x:v>0.4716666666666666</x:v>
      </x:c>
      <x:c r="F3982" s="12" t="n">
        <x:v>0</x:v>
      </x:c>
      <x:c r="G3982" s="12" t="n">
        <x:v>0</x:v>
      </x:c>
      <x:c r="H3982" s="1" t="n">
        <x:f>'Historical prices'!E3982</x:f>
        <x:v>1.05</x:v>
      </x:c>
      <x:c r="I3982" s="6" t="n">
        <x:f>'Historical prices'!D3982</x:f>
        <x:v>0.1598</x:v>
      </x:c>
      <x:c r="J3982" s="13" t="n">
        <x:f>D3982*I3982*H3982</x:f>
        <x:v>0.07729526</x:v>
      </x:c>
      <x:c r="K3982" s="13" t="n">
        <x:f>E3982*I3982*H3982</x:f>
        <x:v>0.07914094999999999</x:v>
      </x:c>
      <x:c r="L3982" s="1" t="str">
        <x:f>TEXT(A3982,"mmm yyyy")</x:f>
        <x:v>Jul 2026</x:v>
      </x:c>
    </x:row>
    <x:row r="3983" ht="21" customHeight="1">
      <x:c r="A3983" s="10" t="n">
        <x:v>46231</x:v>
      </x:c>
      <x:c r="B3983" s="1" t="n">
        <x:v>11.5</x:v>
      </x:c>
      <x:c r="C3983" s="1" t="n">
        <x:v>6</x:v>
      </x:c>
      <x:c r="D3983" s="12" t="n">
        <x:v>0.38616666666666666</x:v>
      </x:c>
      <x:c r="E3983" s="12" t="n">
        <x:v>0.39716666666666667</x:v>
      </x:c>
      <x:c r="F3983" s="12" t="n">
        <x:v>0</x:v>
      </x:c>
      <x:c r="G3983" s="12" t="n">
        <x:v>0</x:v>
      </x:c>
      <x:c r="H3983" s="1" t="n">
        <x:f>'Historical prices'!E3983</x:f>
        <x:v>1.05</x:v>
      </x:c>
      <x:c r="I3983" s="6" t="n">
        <x:f>'Historical prices'!D3983</x:f>
        <x:v>0.1451</x:v>
      </x:c>
      <x:c r="J3983" s="13" t="n">
        <x:f>D3983*I3983*H3983</x:f>
        <x:v>0.058834422500000004</x:v>
      </x:c>
      <x:c r="K3983" s="13" t="n">
        <x:f>E3983*I3983*H3983</x:f>
        <x:v>0.06051032750000001</x:v>
      </x:c>
      <x:c r="L3983" s="1" t="str">
        <x:f>TEXT(A3983,"mmm yyyy")</x:f>
        <x:v>Jul 2026</x:v>
      </x:c>
    </x:row>
    <x:row r="3984" ht="21" customHeight="1">
      <x:c r="A3984" s="10" t="n">
        <x:v>46231</x:v>
      </x:c>
      <x:c r="B3984" s="1" t="n">
        <x:v>12</x:v>
      </x:c>
      <x:c r="C3984" s="1" t="n">
        <x:v>6</x:v>
      </x:c>
      <x:c r="D3984" s="12" t="n">
        <x:v>0.4173333333333333</x:v>
      </x:c>
      <x:c r="E3984" s="12" t="n">
        <x:v>0.4273333333333333</x:v>
      </x:c>
      <x:c r="F3984" s="12" t="n">
        <x:v>0</x:v>
      </x:c>
      <x:c r="G3984" s="12" t="n">
        <x:v>0</x:v>
      </x:c>
      <x:c r="H3984" s="1" t="n">
        <x:f>'Historical prices'!E3984</x:f>
        <x:v>1.05</x:v>
      </x:c>
      <x:c r="I3984" s="6" t="n">
        <x:f>'Historical prices'!D3984</x:f>
        <x:v>0.1401</x:v>
      </x:c>
      <x:c r="J3984" s="13" t="n">
        <x:f>D3984*I3984*H3984</x:f>
        <x:v>0.06139181999999999</x:v>
      </x:c>
      <x:c r="K3984" s="13" t="n">
        <x:f>E3984*I3984*H3984</x:f>
        <x:v>0.06286287</x:v>
      </x:c>
      <x:c r="L3984" s="1" t="str">
        <x:f>TEXT(A3984,"mmm yyyy")</x:f>
        <x:v>Jul 2026</x:v>
      </x:c>
    </x:row>
    <x:row r="3985" ht="21" customHeight="1">
      <x:c r="A3985" s="10" t="n">
        <x:v>46231</x:v>
      </x:c>
      <x:c r="B3985" s="1" t="n">
        <x:v>12.5</x:v>
      </x:c>
      <x:c r="C3985" s="1" t="n">
        <x:v>6</x:v>
      </x:c>
      <x:c r="D3985" s="12" t="n">
        <x:v>4.647833333333333</x:v>
      </x:c>
      <x:c r="E3985" s="12" t="n">
        <x:v>0.7128333333333333</x:v>
      </x:c>
      <x:c r="F3985" s="12" t="n">
        <x:v>0</x:v>
      </x:c>
      <x:c r="G3985" s="12" t="n">
        <x:v>3.9370000000000003</x:v>
      </x:c>
      <x:c r="H3985" s="1" t="n">
        <x:f>'Historical prices'!E3985</x:f>
        <x:v>1.05</x:v>
      </x:c>
      <x:c r="I3985" s="6" t="n">
        <x:f>'Historical prices'!D3985</x:f>
        <x:v>0.1283</x:v>
      </x:c>
      <x:c r="J3985" s="13" t="n">
        <x:f>D3985*I3985*H3985</x:f>
        <x:v>0.6261328675</x:v>
      </x:c>
      <x:c r="K3985" s="13" t="n">
        <x:f>E3985*I3985*H3985</x:f>
        <x:v>0.0960293425</x:v>
      </x:c>
      <x:c r="L3985" s="1" t="str">
        <x:f>TEXT(A3985,"mmm yyyy")</x:f>
        <x:v>Jul 2026</x:v>
      </x:c>
    </x:row>
    <x:row r="3986" ht="21" customHeight="1">
      <x:c r="A3986" s="10" t="n">
        <x:v>46231</x:v>
      </x:c>
      <x:c r="B3986" s="1" t="n">
        <x:v>13</x:v>
      </x:c>
      <x:c r="C3986" s="1" t="n">
        <x:v>6</x:v>
      </x:c>
      <x:c r="D3986" s="12" t="n">
        <x:v>5.32725</x:v>
      </x:c>
      <x:c r="E3986" s="12" t="n">
        <x:v>0.66225</x:v>
      </x:c>
      <x:c r="F3986" s="12" t="n">
        <x:v>0</x:v>
      </x:c>
      <x:c r="G3986" s="12" t="n">
        <x:v>4.665</x:v>
      </x:c>
      <x:c r="H3986" s="1" t="n">
        <x:f>'Historical prices'!E3986</x:f>
        <x:v>1.05</x:v>
      </x:c>
      <x:c r="I3986" s="6" t="n">
        <x:f>'Historical prices'!D3986</x:f>
        <x:v>0.1253</x:v>
      </x:c>
      <x:c r="J3986" s="13" t="n">
        <x:f>D3986*I3986*H3986</x:f>
        <x:v>0.70087964625</x:v>
      </x:c>
      <x:c r="K3986" s="13" t="n">
        <x:f>E3986*I3986*H3986</x:f>
        <x:v>0.08712892125</x:v>
      </x:c>
      <x:c r="L3986" s="1" t="str">
        <x:f>TEXT(A3986,"mmm yyyy")</x:f>
        <x:v>Jul 2026</x:v>
      </x:c>
    </x:row>
    <x:row r="3987" ht="21" customHeight="1">
      <x:c r="A3987" s="10" t="n">
        <x:v>46231</x:v>
      </x:c>
      <x:c r="B3987" s="1" t="n">
        <x:v>13.5</x:v>
      </x:c>
      <x:c r="C3987" s="1" t="n">
        <x:v>6</x:v>
      </x:c>
      <x:c r="D3987" s="12" t="n">
        <x:v>5.232166666666666</x:v>
      </x:c>
      <x:c r="E3987" s="12" t="n">
        <x:v>0.6951666666666666</x:v>
      </x:c>
      <x:c r="F3987" s="12" t="n">
        <x:v>0</x:v>
      </x:c>
      <x:c r="G3987" s="12" t="n">
        <x:v>4.537</x:v>
      </x:c>
      <x:c r="H3987" s="1" t="n">
        <x:f>'Historical prices'!E3987</x:f>
        <x:v>1.05</x:v>
      </x:c>
      <x:c r="I3987" s="6" t="n">
        <x:f>'Historical prices'!D3987</x:f>
        <x:v>0.1285</x:v>
      </x:c>
      <x:c r="J3987" s="13" t="n">
        <x:f>D3987*I3987*H3987</x:f>
        <x:v>0.7059500874999999</x:v>
      </x:c>
      <x:c r="K3987" s="13" t="n">
        <x:f>E3987*I3987*H3987</x:f>
        <x:v>0.09379536249999999</x:v>
      </x:c>
      <x:c r="L3987" s="1" t="str">
        <x:f>TEXT(A3987,"mmm yyyy")</x:f>
        <x:v>Jul 2026</x:v>
      </x:c>
    </x:row>
    <x:row r="3988" ht="21" customHeight="1">
      <x:c r="A3988" s="10" t="n">
        <x:v>46231</x:v>
      </x:c>
      <x:c r="B3988" s="1" t="n">
        <x:v>14</x:v>
      </x:c>
      <x:c r="C3988" s="1" t="n">
        <x:v>6</x:v>
      </x:c>
      <x:c r="D3988" s="12" t="n">
        <x:v>1.2685833333333334</x:v>
      </x:c>
      <x:c r="E3988" s="12" t="n">
        <x:v>0.5105833333333333</x:v>
      </x:c>
      <x:c r="F3988" s="12" t="n">
        <x:v>0</x:v>
      </x:c>
      <x:c r="G3988" s="12" t="n">
        <x:v>0.76</x:v>
      </x:c>
      <x:c r="H3988" s="1" t="n">
        <x:f>'Historical prices'!E3988</x:f>
        <x:v>1.05</x:v>
      </x:c>
      <x:c r="I3988" s="6" t="n">
        <x:f>'Historical prices'!D3988</x:f>
        <x:v>0.1346</x:v>
      </x:c>
      <x:c r="J3988" s="13" t="n">
        <x:f>D3988*I3988*H3988</x:f>
        <x:v>0.17928888250000002</x:v>
      </x:c>
      <x:c r="K3988" s="13" t="n">
        <x:f>E3988*I3988*H3988</x:f>
        <x:v>0.07216074249999999</x:v>
      </x:c>
      <x:c r="L3988" s="1" t="str">
        <x:f>TEXT(A3988,"mmm yyyy")</x:f>
        <x:v>Jul 2026</x:v>
      </x:c>
    </x:row>
    <x:row r="3989" ht="21" customHeight="1">
      <x:c r="A3989" s="10" t="n">
        <x:v>46231</x:v>
      </x:c>
      <x:c r="B3989" s="1" t="n">
        <x:v>14.5</x:v>
      </x:c>
      <x:c r="C3989" s="1" t="n">
        <x:v>6</x:v>
      </x:c>
      <x:c r="D3989" s="12" t="n">
        <x:v>4.6545000000000005</x:v>
      </x:c>
      <x:c r="E3989" s="12" t="n">
        <x:v>0.6695000000000001</x:v>
      </x:c>
      <x:c r="F3989" s="12" t="n">
        <x:v>0</x:v>
      </x:c>
      <x:c r="G3989" s="12" t="n">
        <x:v>3.9880000000000004</x:v>
      </x:c>
      <x:c r="H3989" s="1" t="n">
        <x:f>'Historical prices'!E3989</x:f>
        <x:v>1.05</x:v>
      </x:c>
      <x:c r="I3989" s="6" t="n">
        <x:f>'Historical prices'!D3989</x:f>
        <x:v>0.1241</x:v>
      </x:c>
      <x:c r="J3989" s="13" t="n">
        <x:f>D3989*I3989*H3989</x:f>
        <x:v>0.6065046225</x:v>
      </x:c>
      <x:c r="K3989" s="13" t="n">
        <x:f>E3989*I3989*H3989</x:f>
        <x:v>0.08723919750000002</x:v>
      </x:c>
      <x:c r="L3989" s="1" t="str">
        <x:f>TEXT(A3989,"mmm yyyy")</x:f>
        <x:v>Jul 2026</x:v>
      </x:c>
    </x:row>
    <x:row r="3990" ht="21" customHeight="1">
      <x:c r="A3990" s="10" t="n">
        <x:v>46231</x:v>
      </x:c>
      <x:c r="B3990" s="1" t="n">
        <x:v>15</x:v>
      </x:c>
      <x:c r="C3990" s="1" t="n">
        <x:v>6</x:v>
      </x:c>
      <x:c r="D3990" s="12" t="n">
        <x:v>1.2525000000000002</x:v>
      </x:c>
      <x:c r="E3990" s="12" t="n">
        <x:v>0.45349999999999996</x:v>
      </x:c>
      <x:c r="F3990" s="12" t="n">
        <x:v>0</x:v>
      </x:c>
      <x:c r="G3990" s="12" t="n">
        <x:v>0.801</x:v>
      </x:c>
      <x:c r="H3990" s="1" t="n">
        <x:f>'Historical prices'!E3990</x:f>
        <x:v>1.05</x:v>
      </x:c>
      <x:c r="I3990" s="6" t="n">
        <x:f>'Historical prices'!D3990</x:f>
        <x:v>0.1398</x:v>
      </x:c>
      <x:c r="J3990" s="13" t="n">
        <x:f>D3990*I3990*H3990</x:f>
        <x:v>0.18385447500000004</x:v>
      </x:c>
      <x:c r="K3990" s="13" t="n">
        <x:f>E3990*I3990*H3990</x:f>
        <x:v>0.06656926499999999</x:v>
      </x:c>
      <x:c r="L3990" s="1" t="str">
        <x:f>TEXT(A3990,"mmm yyyy")</x:f>
        <x:v>Jul 2026</x:v>
      </x:c>
    </x:row>
    <x:row r="3991" ht="21" customHeight="1">
      <x:c r="A3991" s="10" t="n">
        <x:v>46231</x:v>
      </x:c>
      <x:c r="B3991" s="1" t="n">
        <x:v>15.5</x:v>
      </x:c>
      <x:c r="C3991" s="1" t="n">
        <x:v>6</x:v>
      </x:c>
      <x:c r="D3991" s="12" t="n">
        <x:v>0.8861666666666667</x:v>
      </x:c>
      <x:c r="E3991" s="12" t="n">
        <x:v>0.8981666666666667</x:v>
      </x:c>
      <x:c r="F3991" s="12" t="n">
        <x:v>0</x:v>
      </x:c>
      <x:c r="G3991" s="12" t="n">
        <x:v>0</x:v>
      </x:c>
      <x:c r="H3991" s="1" t="n">
        <x:f>'Historical prices'!E3991</x:f>
        <x:v>1.05</x:v>
      </x:c>
      <x:c r="I3991" s="6" t="n">
        <x:f>'Historical prices'!D3991</x:f>
        <x:v>0.1474</x:v>
      </x:c>
      <x:c r="J3991" s="13" t="n">
        <x:f>D3991*I3991*H3991</x:f>
        <x:v>0.13715201500000002</x:v>
      </x:c>
      <x:c r="K3991" s="13" t="n">
        <x:f>E3991*I3991*H3991</x:f>
        <x:v>0.139009255</x:v>
      </x:c>
      <x:c r="L3991" s="1" t="str">
        <x:f>TEXT(A3991,"mmm yyyy")</x:f>
        <x:v>Jul 2026</x:v>
      </x:c>
    </x:row>
    <x:row r="3992" ht="21" customHeight="1">
      <x:c r="A3992" s="10" t="n">
        <x:v>46231</x:v>
      </x:c>
      <x:c r="B3992" s="1" t="n">
        <x:v>16</x:v>
      </x:c>
      <x:c r="C3992" s="1" t="n">
        <x:v>6</x:v>
      </x:c>
      <x:c r="D3992" s="12" t="n">
        <x:v>0.18016666666666667</x:v>
      </x:c>
      <x:c r="E3992" s="12" t="n">
        <x:v>0.6644166666666667</x:v>
      </x:c>
      <x:c r="F3992" s="12" t="n">
        <x:v>0.48291666666666666</x:v>
      </x:c>
      <x:c r="G3992" s="12" t="n">
        <x:v>0</x:v>
      </x:c>
      <x:c r="H3992" s="1" t="n">
        <x:f>'Historical prices'!E3992</x:f>
        <x:v>1.05</x:v>
      </x:c>
      <x:c r="I3992" s="6" t="n">
        <x:f>'Historical prices'!D3992</x:f>
        <x:v>0.2772</x:v>
      </x:c>
      <x:c r="J3992" s="13" t="n">
        <x:f>D3992*I3992*H3992</x:f>
        <x:v>0.05243931</x:v>
      </x:c>
      <x:c r="K3992" s="13" t="n">
        <x:f>E3992*I3992*H3992</x:f>
        <x:v>0.193385115</x:v>
      </x:c>
      <x:c r="L3992" s="1" t="str">
        <x:f>TEXT(A3992,"mmm yyyy")</x:f>
        <x:v>Jul 2026</x:v>
      </x:c>
    </x:row>
    <x:row r="3993" ht="21" customHeight="1">
      <x:c r="A3993" s="10" t="n">
        <x:v>46231</x:v>
      </x:c>
      <x:c r="B3993" s="1" t="n">
        <x:v>16.5</x:v>
      </x:c>
      <x:c r="C3993" s="1" t="n">
        <x:v>6</x:v>
      </x:c>
      <x:c r="D3993" s="12" t="n">
        <x:v>0</x:v>
      </x:c>
      <x:c r="E3993" s="12" t="n">
        <x:v>0.5104166666666666</x:v>
      </x:c>
      <x:c r="F3993" s="12" t="n">
        <x:v>0.5104166666666666</x:v>
      </x:c>
      <x:c r="G3993" s="12" t="n">
        <x:v>0</x:v>
      </x:c>
      <x:c r="H3993" s="1" t="n">
        <x:f>'Historical prices'!E3993</x:f>
        <x:v>1.05</x:v>
      </x:c>
      <x:c r="I3993" s="6" t="n">
        <x:f>'Historical prices'!D3993</x:f>
        <x:v>0.2847</x:v>
      </x:c>
      <x:c r="J3993" s="13" t="n">
        <x:f>D3993*I3993*H3993</x:f>
        <x:v>0</x:v>
      </x:c>
      <x:c r="K3993" s="13" t="n">
        <x:f>E3993*I3993*H3993</x:f>
        <x:v>0.15258140625000002</x:v>
      </x:c>
      <x:c r="L3993" s="1" t="str">
        <x:f>TEXT(A3993,"mmm yyyy")</x:f>
        <x:v>Jul 2026</x:v>
      </x:c>
    </x:row>
    <x:row r="3994" ht="21" customHeight="1">
      <x:c r="A3994" s="10" t="n">
        <x:v>46231</x:v>
      </x:c>
      <x:c r="B3994" s="1" t="n">
        <x:v>17</x:v>
      </x:c>
      <x:c r="C3994" s="1" t="n">
        <x:v>6</x:v>
      </x:c>
      <x:c r="D3994" s="12" t="n">
        <x:v>0</x:v>
      </x:c>
      <x:c r="E3994" s="12" t="n">
        <x:v>1.119</x:v>
      </x:c>
      <x:c r="F3994" s="12" t="n">
        <x:v>1.1186666666666667</x:v>
      </x:c>
      <x:c r="G3994" s="12" t="n">
        <x:v>0</x:v>
      </x:c>
      <x:c r="H3994" s="1" t="n">
        <x:f>'Historical prices'!E3994</x:f>
        <x:v>1.05</x:v>
      </x:c>
      <x:c r="I3994" s="6" t="n">
        <x:f>'Historical prices'!D3994</x:f>
        <x:v>0.3478</x:v>
      </x:c>
      <x:c r="J3994" s="13" t="n">
        <x:f>D3994*I3994*H3994</x:f>
        <x:v>0</x:v>
      </x:c>
      <x:c r="K3994" s="13" t="n">
        <x:f>E3994*I3994*H3994</x:f>
        <x:v>0.40864761</x:v>
      </x:c>
      <x:c r="L3994" s="1" t="str">
        <x:f>TEXT(A3994,"mmm yyyy")</x:f>
        <x:v>Jul 2026</x:v>
      </x:c>
    </x:row>
    <x:row r="3995" ht="21" customHeight="1">
      <x:c r="A3995" s="10" t="n">
        <x:v>46231</x:v>
      </x:c>
      <x:c r="B3995" s="1" t="n">
        <x:v>17.5</x:v>
      </x:c>
      <x:c r="C3995" s="1" t="n">
        <x:v>6</x:v>
      </x:c>
      <x:c r="D3995" s="12" t="n">
        <x:v>0</x:v>
      </x:c>
      <x:c r="E3995" s="12" t="n">
        <x:v>0.7527499999999999</x:v>
      </x:c>
      <x:c r="F3995" s="12" t="n">
        <x:v>0.7525833333333332</x:v>
      </x:c>
      <x:c r="G3995" s="12" t="n">
        <x:v>0</x:v>
      </x:c>
      <x:c r="H3995" s="1" t="n">
        <x:f>'Historical prices'!E3995</x:f>
        <x:v>1.05</x:v>
      </x:c>
      <x:c r="I3995" s="6" t="n">
        <x:f>'Historical prices'!D3995</x:f>
        <x:v>0.35840000000000005</x:v>
      </x:c>
      <x:c r="J3995" s="13" t="n">
        <x:f>D3995*I3995*H3995</x:f>
        <x:v>0</x:v>
      </x:c>
      <x:c r="K3995" s="13" t="n">
        <x:f>E3995*I3995*H3995</x:f>
        <x:v>0.28327488</x:v>
      </x:c>
      <x:c r="L3995" s="1" t="str">
        <x:f>TEXT(A3995,"mmm yyyy")</x:f>
        <x:v>Jul 2026</x:v>
      </x:c>
    </x:row>
    <x:row r="3996" ht="21" customHeight="1">
      <x:c r="A3996" s="10" t="n">
        <x:v>46231</x:v>
      </x:c>
      <x:c r="B3996" s="1" t="n">
        <x:v>18</x:v>
      </x:c>
      <x:c r="C3996" s="1" t="n">
        <x:v>6</x:v>
      </x:c>
      <x:c r="D3996" s="12" t="n">
        <x:v>0</x:v>
      </x:c>
      <x:c r="E3996" s="12" t="n">
        <x:v>0.77075</x:v>
      </x:c>
      <x:c r="F3996" s="12" t="n">
        <x:v>0.7706666666666666</x:v>
      </x:c>
      <x:c r="G3996" s="12" t="n">
        <x:v>0</x:v>
      </x:c>
      <x:c r="H3996" s="1" t="n">
        <x:f>'Historical prices'!E3996</x:f>
        <x:v>1.05</x:v>
      </x:c>
      <x:c r="I3996" s="6" t="n">
        <x:f>'Historical prices'!D3996</x:f>
        <x:v>0.40490000000000004</x:v>
      </x:c>
      <x:c r="J3996" s="13" t="n">
        <x:f>D3996*I3996*H3996</x:f>
        <x:v>0</x:v>
      </x:c>
      <x:c r="K3996" s="13" t="n">
        <x:f>E3996*I3996*H3996</x:f>
        <x:v>0.32768050875000004</x:v>
      </x:c>
      <x:c r="L3996" s="1" t="str">
        <x:f>TEXT(A3996,"mmm yyyy")</x:f>
        <x:v>Jul 2026</x:v>
      </x:c>
    </x:row>
    <x:row r="3997" ht="21" customHeight="1">
      <x:c r="A3997" s="10" t="n">
        <x:v>46231</x:v>
      </x:c>
      <x:c r="B3997" s="1" t="n">
        <x:v>18.5</x:v>
      </x:c>
      <x:c r="C3997" s="1" t="n">
        <x:v>6</x:v>
      </x:c>
      <x:c r="D3997" s="12" t="n">
        <x:v>0</x:v>
      </x:c>
      <x:c r="E3997" s="12" t="n">
        <x:v>0.6199166666666666</x:v>
      </x:c>
      <x:c r="F3997" s="12" t="n">
        <x:v>0.6197499999999999</x:v>
      </x:c>
      <x:c r="G3997" s="12" t="n">
        <x:v>0</x:v>
      </x:c>
      <x:c r="H3997" s="1" t="n">
        <x:f>'Historical prices'!E3997</x:f>
        <x:v>1.05</x:v>
      </x:c>
      <x:c r="I3997" s="6" t="n">
        <x:f>'Historical prices'!D3997</x:f>
        <x:v>0.4268</x:v>
      </x:c>
      <x:c r="J3997" s="13" t="n">
        <x:f>D3997*I3997*H3997</x:f>
        <x:v>0</x:v>
      </x:c>
      <x:c r="K3997" s="13" t="n">
        <x:f>E3997*I3997*H3997</x:f>
        <x:v>0.277809455</x:v>
      </x:c>
      <x:c r="L3997" s="1" t="str">
        <x:f>TEXT(A3997,"mmm yyyy")</x:f>
        <x:v>Jul 2026</x:v>
      </x:c>
    </x:row>
    <x:row r="3998" ht="21" customHeight="1">
      <x:c r="A3998" s="10" t="n">
        <x:v>46231</x:v>
      </x:c>
      <x:c r="B3998" s="1" t="n">
        <x:v>19</x:v>
      </x:c>
      <x:c r="C3998" s="1" t="n">
        <x:v>6</x:v>
      </x:c>
      <x:c r="D3998" s="12" t="n">
        <x:v>0</x:v>
      </x:c>
      <x:c r="E3998" s="12" t="n">
        <x:v>0.6275833333333333</x:v>
      </x:c>
      <x:c r="F3998" s="12" t="n">
        <x:v>0.6275833333333333</x:v>
      </x:c>
      <x:c r="G3998" s="12" t="n">
        <x:v>0</x:v>
      </x:c>
      <x:c r="H3998" s="1" t="n">
        <x:f>'Historical prices'!E3998</x:f>
        <x:v>1.05</x:v>
      </x:c>
      <x:c r="I3998" s="6" t="n">
        <x:f>'Historical prices'!D3998</x:f>
        <x:v>0.3236</x:v>
      </x:c>
      <x:c r="J3998" s="13" t="n">
        <x:f>D3998*I3998*H3998</x:f>
        <x:v>0</x:v>
      </x:c>
      <x:c r="K3998" s="13" t="n">
        <x:f>E3998*I3998*H3998</x:f>
        <x:v>0.21324026499999998</x:v>
      </x:c>
      <x:c r="L3998" s="1" t="str">
        <x:f>TEXT(A3998,"mmm yyyy")</x:f>
        <x:v>Jul 2026</x:v>
      </x:c>
    </x:row>
    <x:row r="3999" ht="21" customHeight="1">
      <x:c r="A3999" s="10" t="n">
        <x:v>46231</x:v>
      </x:c>
      <x:c r="B3999" s="1" t="n">
        <x:v>19.5</x:v>
      </x:c>
      <x:c r="C3999" s="1" t="n">
        <x:v>6</x:v>
      </x:c>
      <x:c r="D3999" s="12" t="n">
        <x:v>0</x:v>
      </x:c>
      <x:c r="E3999" s="12" t="n">
        <x:v>0.5188333333333333</x:v>
      </x:c>
      <x:c r="F3999" s="12" t="n">
        <x:v>0.5187499999999999</x:v>
      </x:c>
      <x:c r="G3999" s="12" t="n">
        <x:v>0</x:v>
      </x:c>
      <x:c r="H3999" s="1" t="n">
        <x:f>'Historical prices'!E3999</x:f>
        <x:v>1.05</x:v>
      </x:c>
      <x:c r="I3999" s="6" t="n">
        <x:f>'Historical prices'!D3999</x:f>
        <x:v>0.3292</x:v>
      </x:c>
      <x:c r="J3999" s="13" t="n">
        <x:f>D3999*I3999*H3999</x:f>
        <x:v>0</x:v>
      </x:c>
      <x:c r="K3999" s="13" t="n">
        <x:f>E3999*I3999*H3999</x:f>
        <x:v>0.17933992999999995</x:v>
      </x:c>
      <x:c r="L3999" s="1" t="str">
        <x:f>TEXT(A3999,"mmm yyyy")</x:f>
        <x:v>Jul 2026</x:v>
      </x:c>
    </x:row>
    <x:row r="4000" ht="21" customHeight="1">
      <x:c r="A4000" s="10" t="n">
        <x:v>46231</x:v>
      </x:c>
      <x:c r="B4000" s="1" t="n">
        <x:v>20</x:v>
      </x:c>
      <x:c r="C4000" s="1" t="n">
        <x:v>6</x:v>
      </x:c>
      <x:c r="D4000" s="12" t="n">
        <x:v>0</x:v>
      </x:c>
      <x:c r="E4000" s="12" t="n">
        <x:v>0.8021666666666667</x:v>
      </x:c>
      <x:c r="F4000" s="12" t="n">
        <x:v>0.80175</x:v>
      </x:c>
      <x:c r="G4000" s="12" t="n">
        <x:v>0</x:v>
      </x:c>
      <x:c r="H4000" s="1" t="n">
        <x:f>'Historical prices'!E4000</x:f>
        <x:v>1.05</x:v>
      </x:c>
      <x:c r="I4000" s="6" t="n">
        <x:f>'Historical prices'!D4000</x:f>
        <x:v>0.33</x:v>
      </x:c>
      <x:c r="J4000" s="13" t="n">
        <x:f>D4000*I4000*H4000</x:f>
        <x:v>0</x:v>
      </x:c>
      <x:c r="K4000" s="13" t="n">
        <x:f>E4000*I4000*H4000</x:f>
        <x:v>0.27795075</x:v>
      </x:c>
      <x:c r="L4000" s="1" t="str">
        <x:f>TEXT(A4000,"mmm yyyy")</x:f>
        <x:v>Jul 2026</x:v>
      </x:c>
    </x:row>
    <x:row r="4001" ht="21" customHeight="1">
      <x:c r="A4001" s="10" t="n">
        <x:v>46231</x:v>
      </x:c>
      <x:c r="B4001" s="1" t="n">
        <x:v>20.5</x:v>
      </x:c>
      <x:c r="C4001" s="1" t="n">
        <x:v>6</x:v>
      </x:c>
      <x:c r="D4001" s="12" t="n">
        <x:v>0</x:v>
      </x:c>
      <x:c r="E4001" s="12" t="n">
        <x:v>0.66275</x:v>
      </x:c>
      <x:c r="F4001" s="12" t="n">
        <x:v>0.6626666666666665</x:v>
      </x:c>
      <x:c r="G4001" s="12" t="n">
        <x:v>0</x:v>
      </x:c>
      <x:c r="H4001" s="1" t="n">
        <x:f>'Historical prices'!E4001</x:f>
        <x:v>1.05</x:v>
      </x:c>
      <x:c r="I4001" s="6" t="n">
        <x:f>'Historical prices'!D4001</x:f>
        <x:v>0.3236</x:v>
      </x:c>
      <x:c r="J4001" s="13" t="n">
        <x:f>D4001*I4001*H4001</x:f>
        <x:v>0</x:v>
      </x:c>
      <x:c r="K4001" s="13" t="n">
        <x:f>E4001*I4001*H4001</x:f>
        <x:v>0.225189195</x:v>
      </x:c>
      <x:c r="L4001" s="1" t="str">
        <x:f>TEXT(A4001,"mmm yyyy")</x:f>
        <x:v>Jul 2026</x:v>
      </x:c>
    </x:row>
    <x:row r="4002" ht="21" customHeight="1">
      <x:c r="A4002" s="10" t="n">
        <x:v>46231</x:v>
      </x:c>
      <x:c r="B4002" s="1" t="n">
        <x:v>21</x:v>
      </x:c>
      <x:c r="C4002" s="1" t="n">
        <x:v>6</x:v>
      </x:c>
      <x:c r="D4002" s="12" t="n">
        <x:v>0</x:v>
      </x:c>
      <x:c r="E4002" s="12" t="n">
        <x:v>0.48283333333333334</x:v>
      </x:c>
      <x:c r="F4002" s="12" t="n">
        <x:v>0.4826666666666667</x:v>
      </x:c>
      <x:c r="G4002" s="12" t="n">
        <x:v>0</x:v>
      </x:c>
      <x:c r="H4002" s="1" t="n">
        <x:f>'Historical prices'!E4002</x:f>
        <x:v>1.05</x:v>
      </x:c>
      <x:c r="I4002" s="6" t="n">
        <x:f>'Historical prices'!D4002</x:f>
        <x:v>0.3126</x:v>
      </x:c>
      <x:c r="J4002" s="13" t="n">
        <x:f>D4002*I4002*H4002</x:f>
        <x:v>0</x:v>
      </x:c>
      <x:c r="K4002" s="13" t="n">
        <x:f>E4002*I4002*H4002</x:f>
        <x:v>0.158480385</x:v>
      </x:c>
      <x:c r="L4002" s="1" t="str">
        <x:f>TEXT(A4002,"mmm yyyy")</x:f>
        <x:v>Jul 2026</x:v>
      </x:c>
    </x:row>
    <x:row r="4003" ht="21" customHeight="1">
      <x:c r="A4003" s="10" t="n">
        <x:v>46231</x:v>
      </x:c>
      <x:c r="B4003" s="1" t="n">
        <x:v>21.5</x:v>
      </x:c>
      <x:c r="C4003" s="1" t="n">
        <x:v>6</x:v>
      </x:c>
      <x:c r="D4003" s="12" t="n">
        <x:v>0</x:v>
      </x:c>
      <x:c r="E4003" s="12" t="n">
        <x:v>0.44266666666666665</x:v>
      </x:c>
      <x:c r="F4003" s="12" t="n">
        <x:v>0.44258333333333333</x:v>
      </x:c>
      <x:c r="G4003" s="12" t="n">
        <x:v>0</x:v>
      </x:c>
      <x:c r="H4003" s="1" t="n">
        <x:f>'Historical prices'!E4003</x:f>
        <x:v>1.05</x:v>
      </x:c>
      <x:c r="I4003" s="6" t="n">
        <x:f>'Historical prices'!D4003</x:f>
        <x:v>0.3005</x:v>
      </x:c>
      <x:c r="J4003" s="13" t="n">
        <x:f>D4003*I4003*H4003</x:f>
        <x:v>0</x:v>
      </x:c>
      <x:c r="K4003" s="13" t="n">
        <x:f>E4003*I4003*H4003</x:f>
        <x:v>0.1396724</x:v>
      </x:c>
      <x:c r="L4003" s="1" t="str">
        <x:f>TEXT(A4003,"mmm yyyy")</x:f>
        <x:v>Jul 2026</x:v>
      </x:c>
    </x:row>
    <x:row r="4004" ht="21" customHeight="1">
      <x:c r="A4004" s="10" t="n">
        <x:v>46231</x:v>
      </x:c>
      <x:c r="B4004" s="1" t="n">
        <x:v>22</x:v>
      </x:c>
      <x:c r="C4004" s="1" t="n">
        <x:v>6</x:v>
      </x:c>
      <x:c r="D4004" s="12" t="n">
        <x:v>0</x:v>
      </x:c>
      <x:c r="E4004" s="12" t="n">
        <x:v>0.4011666666666667</x:v>
      </x:c>
      <x:c r="F4004" s="12" t="n">
        <x:v>0.4008333333333334</x:v>
      </x:c>
      <x:c r="G4004" s="12" t="n">
        <x:v>0</x:v>
      </x:c>
      <x:c r="H4004" s="1" t="n">
        <x:f>'Historical prices'!E4004</x:f>
        <x:v>1.05</x:v>
      </x:c>
      <x:c r="I4004" s="6" t="n">
        <x:f>'Historical prices'!D4004</x:f>
        <x:v>0.2623</x:v>
      </x:c>
      <x:c r="J4004" s="13" t="n">
        <x:f>D4004*I4004*H4004</x:f>
        <x:v>0</x:v>
      </x:c>
      <x:c r="K4004" s="13" t="n">
        <x:f>E4004*I4004*H4004</x:f>
        <x:v>0.11048731750000002</x:v>
      </x:c>
      <x:c r="L4004" s="1" t="str">
        <x:f>TEXT(A4004,"mmm yyyy")</x:f>
        <x:v>Jul 2026</x:v>
      </x:c>
    </x:row>
    <x:row r="4005" ht="21" customHeight="1">
      <x:c r="A4005" s="10" t="n">
        <x:v>46231</x:v>
      </x:c>
      <x:c r="B4005" s="1" t="n">
        <x:v>22.5</x:v>
      </x:c>
      <x:c r="C4005" s="1" t="n">
        <x:v>6</x:v>
      </x:c>
      <x:c r="D4005" s="12" t="n">
        <x:v>0</x:v>
      </x:c>
      <x:c r="E4005" s="12" t="n">
        <x:v>0.5427500000000001</x:v>
      </x:c>
      <x:c r="F4005" s="12" t="n">
        <x:v>0.5425833333333333</x:v>
      </x:c>
      <x:c r="G4005" s="12" t="n">
        <x:v>0</x:v>
      </x:c>
      <x:c r="H4005" s="1" t="n">
        <x:f>'Historical prices'!E4005</x:f>
        <x:v>1.05</x:v>
      </x:c>
      <x:c r="I4005" s="6" t="n">
        <x:f>'Historical prices'!D4005</x:f>
        <x:v>0.23829999999999998</x:v>
      </x:c>
      <x:c r="J4005" s="13" t="n">
        <x:f>D4005*I4005*H4005</x:f>
        <x:v>0</x:v>
      </x:c>
      <x:c r="K4005" s="13" t="n">
        <x:f>E4005*I4005*H4005</x:f>
        <x:v>0.13580419125</x:v>
      </x:c>
      <x:c r="L4005" s="1" t="str">
        <x:f>TEXT(A4005,"mmm yyyy")</x:f>
        <x:v>Jul 2026</x:v>
      </x:c>
    </x:row>
    <x:row r="4006" ht="21" customHeight="1">
      <x:c r="A4006" s="10" t="n">
        <x:v>46231</x:v>
      </x:c>
      <x:c r="B4006" s="1" t="n">
        <x:v>23</x:v>
      </x:c>
      <x:c r="C4006" s="1" t="n">
        <x:v>6</x:v>
      </x:c>
      <x:c r="D4006" s="12" t="n">
        <x:v>0.40458333333333335</x:v>
      </x:c>
      <x:c r="E4006" s="12" t="n">
        <x:v>0.5405</x:v>
      </x:c>
      <x:c r="F4006" s="12" t="n">
        <x:v>0.12591666666666668</x:v>
      </x:c>
      <x:c r="G4006" s="12" t="n">
        <x:v>0</x:v>
      </x:c>
      <x:c r="H4006" s="1" t="n">
        <x:f>'Historical prices'!E4006</x:f>
        <x:v>1.05</x:v>
      </x:c>
      <x:c r="I4006" s="6" t="n">
        <x:f>'Historical prices'!D4006</x:f>
        <x:v>0.23190000000000002</x:v>
      </x:c>
      <x:c r="J4006" s="13" t="n">
        <x:f>D4006*I4006*H4006</x:f>
        <x:v>0.09851401875000002</x:v>
      </x:c>
      <x:c r="K4006" s="13" t="n">
        <x:f>E4006*I4006*H4006</x:f>
        <x:v>0.13160904750000002</x:v>
      </x:c>
      <x:c r="L4006" s="1" t="str">
        <x:f>TEXT(A4006,"mmm yyyy")</x:f>
        <x:v>Jul 2026</x:v>
      </x:c>
    </x:row>
    <x:row r="4007" ht="21" customHeight="1">
      <x:c r="A4007" s="10" t="n">
        <x:v>46231</x:v>
      </x:c>
      <x:c r="B4007" s="1" t="n">
        <x:v>23.5</x:v>
      </x:c>
      <x:c r="C4007" s="1" t="n">
        <x:v>6</x:v>
      </x:c>
      <x:c r="D4007" s="12" t="n">
        <x:v>0.3105</x:v>
      </x:c>
      <x:c r="E4007" s="12" t="n">
        <x:v>0.3205</x:v>
      </x:c>
      <x:c r="F4007" s="12" t="n">
        <x:v>0</x:v>
      </x:c>
      <x:c r="G4007" s="12" t="n">
        <x:v>0</x:v>
      </x:c>
      <x:c r="H4007" s="1" t="n">
        <x:f>'Historical prices'!E4007</x:f>
        <x:v>1.05</x:v>
      </x:c>
      <x:c r="I4007" s="6" t="n">
        <x:f>'Historical prices'!D4007</x:f>
        <x:v>0.22210000000000002</x:v>
      </x:c>
      <x:c r="J4007" s="13" t="n">
        <x:f>D4007*I4007*H4007</x:f>
        <x:v>0.07241015250000002</x:v>
      </x:c>
      <x:c r="K4007" s="13" t="n">
        <x:f>E4007*I4007*H4007</x:f>
        <x:v>0.07474220250000002</x:v>
      </x:c>
      <x:c r="L4007" s="1" t="str">
        <x:f>TEXT(A4007,"mmm yyyy")</x:f>
        <x:v>Jul 2026</x:v>
      </x:c>
    </x:row>
    <x:row r="4008" ht="21" customHeight="1">
      <x:c r="A4008" s="10" t="n">
        <x:v>46232</x:v>
      </x:c>
      <x:c r="B4008" s="1" t="n">
        <x:v>0</x:v>
      </x:c>
      <x:c r="C4008" s="1" t="n">
        <x:v>6</x:v>
      </x:c>
      <x:c r="D4008" s="12" t="n">
        <x:v>0.25283333333333335</x:v>
      </x:c>
      <x:c r="E4008" s="12" t="n">
        <x:v>0.26383333333333336</x:v>
      </x:c>
      <x:c r="F4008" s="12" t="n">
        <x:v>0</x:v>
      </x:c>
      <x:c r="G4008" s="12" t="n">
        <x:v>0</x:v>
      </x:c>
      <x:c r="H4008" s="1" t="n">
        <x:f>'Historical prices'!E4008</x:f>
        <x:v>1.05</x:v>
      </x:c>
      <x:c r="I4008" s="6" t="n">
        <x:f>'Historical prices'!D4008</x:f>
        <x:v>0.21030000000000001</x:v>
      </x:c>
      <x:c r="J4008" s="13" t="n">
        <x:f>D4008*I4008*H4008</x:f>
        <x:v>0.055829392500000005</x:v>
      </x:c>
      <x:c r="K4008" s="13" t="n">
        <x:f>E4008*I4008*H4008</x:f>
        <x:v>0.05825835750000001</x:v>
      </x:c>
      <x:c r="L4008" s="1" t="str">
        <x:f>TEXT(A4008,"mmm yyyy")</x:f>
        <x:v>Jul 2026</x:v>
      </x:c>
    </x:row>
    <x:row r="4009" ht="21" customHeight="1">
      <x:c r="A4009" s="10" t="n">
        <x:v>46232</x:v>
      </x:c>
      <x:c r="B4009" s="1" t="n">
        <x:v>0.5</x:v>
      </x:c>
      <x:c r="C4009" s="1" t="n">
        <x:v>6</x:v>
      </x:c>
      <x:c r="D4009" s="12" t="n">
        <x:v>0.21775</x:v>
      </x:c>
      <x:c r="E4009" s="12" t="n">
        <x:v>0.22775</x:v>
      </x:c>
      <x:c r="F4009" s="12" t="n">
        <x:v>0</x:v>
      </x:c>
      <x:c r="G4009" s="12" t="n">
        <x:v>0</x:v>
      </x:c>
      <x:c r="H4009" s="1" t="n">
        <x:f>'Historical prices'!E4009</x:f>
        <x:v>1.05</x:v>
      </x:c>
      <x:c r="I4009" s="6" t="n">
        <x:f>'Historical prices'!D4009</x:f>
        <x:v>0.2094</x:v>
      </x:c>
      <x:c r="J4009" s="13" t="n">
        <x:f>D4009*I4009*H4009</x:f>
        <x:v>0.047876692500000005</x:v>
      </x:c>
      <x:c r="K4009" s="13" t="n">
        <x:f>E4009*I4009*H4009</x:f>
        <x:v>0.0500753925</x:v>
      </x:c>
      <x:c r="L4009" s="1" t="str">
        <x:f>TEXT(A4009,"mmm yyyy")</x:f>
        <x:v>Jul 2026</x:v>
      </x:c>
    </x:row>
    <x:row r="4010" ht="21" customHeight="1">
      <x:c r="A4010" s="10" t="n">
        <x:v>46232</x:v>
      </x:c>
      <x:c r="B4010" s="1" t="n">
        <x:v>1</x:v>
      </x:c>
      <x:c r="C4010" s="1" t="n">
        <x:v>6</x:v>
      </x:c>
      <x:c r="D4010" s="12" t="n">
        <x:v>0.2265833333333333</x:v>
      </x:c>
      <x:c r="E4010" s="12" t="n">
        <x:v>0.2375833333333333</x:v>
      </x:c>
      <x:c r="F4010" s="12" t="n">
        <x:v>0</x:v>
      </x:c>
      <x:c r="G4010" s="12" t="n">
        <x:v>0</x:v>
      </x:c>
      <x:c r="H4010" s="1" t="n">
        <x:f>'Historical prices'!E4010</x:f>
        <x:v>1.05</x:v>
      </x:c>
      <x:c r="I4010" s="6" t="n">
        <x:f>'Historical prices'!D4010</x:f>
        <x:v>0.2134</x:v>
      </x:c>
      <x:c r="J4010" s="13" t="n">
        <x:f>D4010*I4010*H4010</x:f>
        <x:v>0.050770527499999996</x:v>
      </x:c>
      <x:c r="K4010" s="13" t="n">
        <x:f>E4010*I4010*H4010</x:f>
        <x:v>0.0532352975</x:v>
      </x:c>
      <x:c r="L4010" s="1" t="str">
        <x:f>TEXT(A4010,"mmm yyyy")</x:f>
        <x:v>Jul 2026</x:v>
      </x:c>
    </x:row>
    <x:row r="4011" ht="21" customHeight="1">
      <x:c r="A4011" s="10" t="n">
        <x:v>46232</x:v>
      </x:c>
      <x:c r="B4011" s="1" t="n">
        <x:v>1.5</x:v>
      </x:c>
      <x:c r="C4011" s="1" t="n">
        <x:v>6</x:v>
      </x:c>
      <x:c r="D4011" s="12" t="n">
        <x:v>0.3035</x:v>
      </x:c>
      <x:c r="E4011" s="12" t="n">
        <x:v>0.31349999999999995</x:v>
      </x:c>
      <x:c r="F4011" s="12" t="n">
        <x:v>0</x:v>
      </x:c>
      <x:c r="G4011" s="12" t="n">
        <x:v>0</x:v>
      </x:c>
      <x:c r="H4011" s="1" t="n">
        <x:f>'Historical prices'!E4011</x:f>
        <x:v>1.05</x:v>
      </x:c>
      <x:c r="I4011" s="6" t="n">
        <x:f>'Historical prices'!D4011</x:f>
        <x:v>0.207</x:v>
      </x:c>
      <x:c r="J4011" s="13" t="n">
        <x:f>D4011*I4011*H4011</x:f>
        <x:v>0.06596572499999999</x:v>
      </x:c>
      <x:c r="K4011" s="13" t="n">
        <x:f>E4011*I4011*H4011</x:f>
        <x:v>0.06813922499999998</x:v>
      </x:c>
      <x:c r="L4011" s="1" t="str">
        <x:f>TEXT(A4011,"mmm yyyy")</x:f>
        <x:v>Jul 2026</x:v>
      </x:c>
    </x:row>
    <x:row r="4012" ht="21" customHeight="1">
      <x:c r="A4012" s="10" t="n">
        <x:v>46232</x:v>
      </x:c>
      <x:c r="B4012" s="1" t="n">
        <x:v>2</x:v>
      </x:c>
      <x:c r="C4012" s="1" t="n">
        <x:v>6</x:v>
      </x:c>
      <x:c r="D4012" s="12" t="n">
        <x:v>0.22225000000000003</x:v>
      </x:c>
      <x:c r="E4012" s="12" t="n">
        <x:v>0.23224999999999998</x:v>
      </x:c>
      <x:c r="F4012" s="12" t="n">
        <x:v>0</x:v>
      </x:c>
      <x:c r="G4012" s="12" t="n">
        <x:v>0</x:v>
      </x:c>
      <x:c r="H4012" s="1" t="n">
        <x:f>'Historical prices'!E4012</x:f>
        <x:v>1.05</x:v>
      </x:c>
      <x:c r="I4012" s="6" t="n">
        <x:f>'Historical prices'!D4012</x:f>
        <x:v>0.2102</x:v>
      </x:c>
      <x:c r="J4012" s="13" t="n">
        <x:f>D4012*I4012*H4012</x:f>
        <x:v>0.04905279750000001</x:v>
      </x:c>
      <x:c r="K4012" s="13" t="n">
        <x:f>E4012*I4012*H4012</x:f>
        <x:v>0.05125989749999999</x:v>
      </x:c>
      <x:c r="L4012" s="1" t="str">
        <x:f>TEXT(A4012,"mmm yyyy")</x:f>
        <x:v>Jul 2026</x:v>
      </x:c>
    </x:row>
    <x:row r="4013" ht="21" customHeight="1">
      <x:c r="A4013" s="10" t="n">
        <x:v>46232</x:v>
      </x:c>
      <x:c r="B4013" s="1" t="n">
        <x:v>2.5</x:v>
      </x:c>
      <x:c r="C4013" s="1" t="n">
        <x:v>6</x:v>
      </x:c>
      <x:c r="D4013" s="12" t="n">
        <x:v>0.16483333333333333</x:v>
      </x:c>
      <x:c r="E4013" s="12" t="n">
        <x:v>0.1748333333333333</x:v>
      </x:c>
      <x:c r="F4013" s="12" t="n">
        <x:v>0</x:v>
      </x:c>
      <x:c r="G4013" s="12" t="n">
        <x:v>0</x:v>
      </x:c>
      <x:c r="H4013" s="1" t="n">
        <x:f>'Historical prices'!E4013</x:f>
        <x:v>1.05</x:v>
      </x:c>
      <x:c r="I4013" s="6" t="n">
        <x:f>'Historical prices'!D4013</x:f>
        <x:v>0.2102</x:v>
      </x:c>
      <x:c r="J4013" s="13" t="n">
        <x:f>D4013*I4013*H4013</x:f>
        <x:v>0.036380365000000005</x:v>
      </x:c>
      <x:c r="K4013" s="13" t="n">
        <x:f>E4013*I4013*H4013</x:f>
        <x:v>0.038587464999999994</x:v>
      </x:c>
      <x:c r="L4013" s="1" t="str">
        <x:f>TEXT(A4013,"mmm yyyy")</x:f>
        <x:v>Jul 2026</x:v>
      </x:c>
    </x:row>
    <x:row r="4014" ht="21" customHeight="1">
      <x:c r="A4014" s="10" t="n">
        <x:v>46232</x:v>
      </x:c>
      <x:c r="B4014" s="1" t="n">
        <x:v>3</x:v>
      </x:c>
      <x:c r="C4014" s="1" t="n">
        <x:v>6</x:v>
      </x:c>
      <x:c r="D4014" s="12" t="n">
        <x:v>0.24158333333333334</x:v>
      </x:c>
      <x:c r="E4014" s="12" t="n">
        <x:v>0.2525833333333334</x:v>
      </x:c>
      <x:c r="F4014" s="12" t="n">
        <x:v>0</x:v>
      </x:c>
      <x:c r="G4014" s="12" t="n">
        <x:v>0</x:v>
      </x:c>
      <x:c r="H4014" s="1" t="n">
        <x:f>'Historical prices'!E4014</x:f>
        <x:v>1.05</x:v>
      </x:c>
      <x:c r="I4014" s="6" t="n">
        <x:f>'Historical prices'!D4014</x:f>
        <x:v>0.2086</x:v>
      </x:c>
      <x:c r="J4014" s="13" t="n">
        <x:f>D4014*I4014*H4014</x:f>
        <x:v>0.052913997500000004</x:v>
      </x:c>
      <x:c r="K4014" s="13" t="n">
        <x:f>E4014*I4014*H4014</x:f>
        <x:v>0.05532332750000001</x:v>
      </x:c>
      <x:c r="L4014" s="1" t="str">
        <x:f>TEXT(A4014,"mmm yyyy")</x:f>
        <x:v>Jul 2026</x:v>
      </x:c>
    </x:row>
    <x:row r="4015" ht="21" customHeight="1">
      <x:c r="A4015" s="10" t="n">
        <x:v>46232</x:v>
      </x:c>
      <x:c r="B4015" s="1" t="n">
        <x:v>3.5</x:v>
      </x:c>
      <x:c r="C4015" s="1" t="n">
        <x:v>6</x:v>
      </x:c>
      <x:c r="D4015" s="12" t="n">
        <x:v>0.24991666666666665</x:v>
      </x:c>
      <x:c r="E4015" s="12" t="n">
        <x:v>0.2609166666666667</x:v>
      </x:c>
      <x:c r="F4015" s="12" t="n">
        <x:v>0</x:v>
      </x:c>
      <x:c r="G4015" s="12" t="n">
        <x:v>0</x:v>
      </x:c>
      <x:c r="H4015" s="1" t="n">
        <x:f>'Historical prices'!E4015</x:f>
        <x:v>1.05</x:v>
      </x:c>
      <x:c r="I4015" s="6" t="n">
        <x:f>'Historical prices'!D4015</x:f>
        <x:v>0.207</x:v>
      </x:c>
      <x:c r="J4015" s="13" t="n">
        <x:f>D4015*I4015*H4015</x:f>
        <x:v>0.054319387499999996</x:v>
      </x:c>
      <x:c r="K4015" s="13" t="n">
        <x:f>E4015*I4015*H4015</x:f>
        <x:v>0.0567102375</x:v>
      </x:c>
      <x:c r="L4015" s="1" t="str">
        <x:f>TEXT(A4015,"mmm yyyy")</x:f>
        <x:v>Jul 2026</x:v>
      </x:c>
    </x:row>
    <x:row r="4016" ht="21" customHeight="1">
      <x:c r="A4016" s="10" t="n">
        <x:v>46232</x:v>
      </x:c>
      <x:c r="B4016" s="1" t="n">
        <x:v>4</x:v>
      </x:c>
      <x:c r="C4016" s="1" t="n">
        <x:v>6</x:v>
      </x:c>
      <x:c r="D4016" s="12" t="n">
        <x:v>0.242</x:v>
      </x:c>
      <x:c r="E4016" s="12" t="n">
        <x:v>0.252</x:v>
      </x:c>
      <x:c r="F4016" s="12" t="n">
        <x:v>0</x:v>
      </x:c>
      <x:c r="G4016" s="12" t="n">
        <x:v>0</x:v>
      </x:c>
      <x:c r="H4016" s="1" t="n">
        <x:f>'Historical prices'!E4016</x:f>
        <x:v>1.05</x:v>
      </x:c>
      <x:c r="I4016" s="6" t="n">
        <x:f>'Historical prices'!D4016</x:f>
        <x:v>0.2207</x:v>
      </x:c>
      <x:c r="J4016" s="13" t="n">
        <x:f>D4016*I4016*H4016</x:f>
        <x:v>0.056079870000000004</x:v>
      </x:c>
      <x:c r="K4016" s="13" t="n">
        <x:f>E4016*I4016*H4016</x:f>
        <x:v>0.05839722000000001</x:v>
      </x:c>
      <x:c r="L4016" s="1" t="str">
        <x:f>TEXT(A4016,"mmm yyyy")</x:f>
        <x:v>Jul 2026</x:v>
      </x:c>
    </x:row>
    <x:row r="4017" ht="21" customHeight="1">
      <x:c r="A4017" s="10" t="n">
        <x:v>46232</x:v>
      </x:c>
      <x:c r="B4017" s="1" t="n">
        <x:v>4.5</x:v>
      </x:c>
      <x:c r="C4017" s="1" t="n">
        <x:v>6</x:v>
      </x:c>
      <x:c r="D4017" s="12" t="n">
        <x:v>0.33558333333333334</x:v>
      </x:c>
      <x:c r="E4017" s="12" t="n">
        <x:v>0.3455833333333333</x:v>
      </x:c>
      <x:c r="F4017" s="12" t="n">
        <x:v>0</x:v>
      </x:c>
      <x:c r="G4017" s="12" t="n">
        <x:v>0</x:v>
      </x:c>
      <x:c r="H4017" s="1" t="n">
        <x:f>'Historical prices'!E4017</x:f>
        <x:v>1.05</x:v>
      </x:c>
      <x:c r="I4017" s="6" t="n">
        <x:f>'Historical prices'!D4017</x:f>
        <x:v>0.22</x:v>
      </x:c>
      <x:c r="J4017" s="13" t="n">
        <x:f>D4017*I4017*H4017</x:f>
        <x:v>0.07751975000000001</x:v>
      </x:c>
      <x:c r="K4017" s="13" t="n">
        <x:f>E4017*I4017*H4017</x:f>
        <x:v>0.07982974999999999</x:v>
      </x:c>
      <x:c r="L4017" s="1" t="str">
        <x:f>TEXT(A4017,"mmm yyyy")</x:f>
        <x:v>Jul 2026</x:v>
      </x:c>
    </x:row>
    <x:row r="4018" ht="21" customHeight="1">
      <x:c r="A4018" s="10" t="n">
        <x:v>46232</x:v>
      </x:c>
      <x:c r="B4018" s="1" t="n">
        <x:v>5</x:v>
      </x:c>
      <x:c r="C4018" s="1" t="n">
        <x:v>6</x:v>
      </x:c>
      <x:c r="D4018" s="12" t="n">
        <x:v>0.04516666666666667</x:v>
      </x:c>
      <x:c r="E4018" s="12" t="n">
        <x:v>0.32</x:v>
      </x:c>
      <x:c r="F4018" s="12" t="n">
        <x:v>0.27249999999999996</x:v>
      </x:c>
      <x:c r="G4018" s="12" t="n">
        <x:v>0</x:v>
      </x:c>
      <x:c r="H4018" s="1" t="n">
        <x:f>'Historical prices'!E4018</x:f>
        <x:v>1.05</x:v>
      </x:c>
      <x:c r="I4018" s="6" t="n">
        <x:f>'Historical prices'!D4018</x:f>
        <x:v>0.24109999999999998</x:v>
      </x:c>
      <x:c r="J4018" s="13" t="n">
        <x:f>D4018*I4018*H4018</x:f>
        <x:v>0.0114341675</x:v>
      </x:c>
      <x:c r="K4018" s="13" t="n">
        <x:f>E4018*I4018*H4018</x:f>
        <x:v>0.0810096</x:v>
      </x:c>
      <x:c r="L4018" s="1" t="str">
        <x:f>TEXT(A4018,"mmm yyyy")</x:f>
        <x:v>Jul 2026</x:v>
      </x:c>
    </x:row>
    <x:row r="4019" ht="21" customHeight="1">
      <x:c r="A4019" s="10" t="n">
        <x:v>46232</x:v>
      </x:c>
      <x:c r="B4019" s="1" t="n">
        <x:v>5.5</x:v>
      </x:c>
      <x:c r="C4019" s="1" t="n">
        <x:v>6</x:v>
      </x:c>
      <x:c r="D4019" s="12" t="n">
        <x:v>0</x:v>
      </x:c>
      <x:c r="E4019" s="12" t="n">
        <x:v>0.2960833333333333</x:v>
      </x:c>
      <x:c r="F4019" s="12" t="n">
        <x:v>0.29583333333333334</x:v>
      </x:c>
      <x:c r="G4019" s="12" t="n">
        <x:v>0</x:v>
      </x:c>
      <x:c r="H4019" s="1" t="n">
        <x:f>'Historical prices'!E4019</x:f>
        <x:v>1.05</x:v>
      </x:c>
      <x:c r="I4019" s="6" t="n">
        <x:f>'Historical prices'!D4019</x:f>
        <x:v>0.24109999999999998</x:v>
      </x:c>
      <x:c r="J4019" s="13" t="n">
        <x:f>D4019*I4019*H4019</x:f>
        <x:v>0</x:v>
      </x:c>
      <x:c r="K4019" s="13" t="n">
        <x:f>E4019*I4019*H4019</x:f>
        <x:v>0.07495497624999999</x:v>
      </x:c>
      <x:c r="L4019" s="1" t="str">
        <x:f>TEXT(A4019,"mmm yyyy")</x:f>
        <x:v>Jul 2026</x:v>
      </x:c>
    </x:row>
    <x:row r="4020" ht="21" customHeight="1">
      <x:c r="A4020" s="10" t="n">
        <x:v>46232</x:v>
      </x:c>
      <x:c r="B4020" s="1" t="n">
        <x:v>6</x:v>
      </x:c>
      <x:c r="C4020" s="1" t="n">
        <x:v>6</x:v>
      </x:c>
      <x:c r="D4020" s="12" t="n">
        <x:v>0</x:v>
      </x:c>
      <x:c r="E4020" s="12" t="n">
        <x:v>0.415</x:v>
      </x:c>
      <x:c r="F4020" s="12" t="n">
        <x:v>0.41475</x:v>
      </x:c>
      <x:c r="G4020" s="12" t="n">
        <x:v>0</x:v>
      </x:c>
      <x:c r="H4020" s="1" t="n">
        <x:f>'Historical prices'!E4020</x:f>
        <x:v>1.05</x:v>
      </x:c>
      <x:c r="I4020" s="6" t="n">
        <x:f>'Historical prices'!D4020</x:f>
        <x:v>0.24059999999999998</x:v>
      </x:c>
      <x:c r="J4020" s="13" t="n">
        <x:f>D4020*I4020*H4020</x:f>
        <x:v>0</x:v>
      </x:c>
      <x:c r="K4020" s="13" t="n">
        <x:f>E4020*I4020*H4020</x:f>
        <x:v>0.10484145</x:v>
      </x:c>
      <x:c r="L4020" s="1" t="str">
        <x:f>TEXT(A4020,"mmm yyyy")</x:f>
        <x:v>Jul 2026</x:v>
      </x:c>
    </x:row>
    <x:row r="4021" ht="21" customHeight="1">
      <x:c r="A4021" s="10" t="n">
        <x:v>46232</x:v>
      </x:c>
      <x:c r="B4021" s="1" t="n">
        <x:v>6.5</x:v>
      </x:c>
      <x:c r="C4021" s="1" t="n">
        <x:v>6</x:v>
      </x:c>
      <x:c r="D4021" s="12" t="n">
        <x:v>0</x:v>
      </x:c>
      <x:c r="E4021" s="12" t="n">
        <x:v>0.5583333333333332</x:v>
      </x:c>
      <x:c r="F4021" s="12" t="n">
        <x:v>0.5578333333333333</x:v>
      </x:c>
      <x:c r="G4021" s="12" t="n">
        <x:v>0</x:v>
      </x:c>
      <x:c r="H4021" s="1" t="n">
        <x:f>'Historical prices'!E4021</x:f>
        <x:v>1.05</x:v>
      </x:c>
      <x:c r="I4021" s="6" t="n">
        <x:f>'Historical prices'!D4021</x:f>
        <x:v>0.2516</x:v>
      </x:c>
      <x:c r="J4021" s="13" t="n">
        <x:f>D4021*I4021*H4021</x:f>
        <x:v>0</x:v>
      </x:c>
      <x:c r="K4021" s="13" t="n">
        <x:f>E4021*I4021*H4021</x:f>
        <x:v>0.14750049999999998</x:v>
      </x:c>
      <x:c r="L4021" s="1" t="str">
        <x:f>TEXT(A4021,"mmm yyyy")</x:f>
        <x:v>Jul 2026</x:v>
      </x:c>
    </x:row>
    <x:row r="4022" ht="21" customHeight="1">
      <x:c r="A4022" s="10" t="n">
        <x:v>46232</x:v>
      </x:c>
      <x:c r="B4022" s="1" t="n">
        <x:v>7</x:v>
      </x:c>
      <x:c r="C4022" s="1" t="n">
        <x:v>6</x:v>
      </x:c>
      <x:c r="D4022" s="12" t="n">
        <x:v>0</x:v>
      </x:c>
      <x:c r="E4022" s="12" t="n">
        <x:v>0.595</x:v>
      </x:c>
      <x:c r="F4022" s="12" t="n">
        <x:v>0.59475</x:v>
      </x:c>
      <x:c r="G4022" s="12" t="n">
        <x:v>0</x:v>
      </x:c>
      <x:c r="H4022" s="1" t="n">
        <x:f>'Historical prices'!E4022</x:f>
        <x:v>1.05</x:v>
      </x:c>
      <x:c r="I4022" s="6" t="n">
        <x:f>'Historical prices'!D4022</x:f>
        <x:v>0.2311</x:v>
      </x:c>
      <x:c r="J4022" s="13" t="n">
        <x:f>D4022*I4022*H4022</x:f>
        <x:v>0</x:v>
      </x:c>
      <x:c r="K4022" s="13" t="n">
        <x:f>E4022*I4022*H4022</x:f>
        <x:v>0.14437972500000001</x:v>
      </x:c>
      <x:c r="L4022" s="1" t="str">
        <x:f>TEXT(A4022,"mmm yyyy")</x:f>
        <x:v>Jul 2026</x:v>
      </x:c>
    </x:row>
    <x:row r="4023" ht="21" customHeight="1">
      <x:c r="A4023" s="10" t="n">
        <x:v>46232</x:v>
      </x:c>
      <x:c r="B4023" s="1" t="n">
        <x:v>7.5</x:v>
      </x:c>
      <x:c r="C4023" s="1" t="n">
        <x:v>6</x:v>
      </x:c>
      <x:c r="D4023" s="12" t="n">
        <x:v>0</x:v>
      </x:c>
      <x:c r="E4023" s="12" t="n">
        <x:v>1.17875</x:v>
      </x:c>
      <x:c r="F4023" s="12" t="n">
        <x:v>1.1785833333333333</x:v>
      </x:c>
      <x:c r="G4023" s="12" t="n">
        <x:v>0</x:v>
      </x:c>
      <x:c r="H4023" s="1" t="n">
        <x:f>'Historical prices'!E4023</x:f>
        <x:v>1.05</x:v>
      </x:c>
      <x:c r="I4023" s="6" t="n">
        <x:f>'Historical prices'!D4023</x:f>
        <x:v>0.2379</x:v>
      </x:c>
      <x:c r="J4023" s="13" t="n">
        <x:f>D4023*I4023*H4023</x:f>
        <x:v>0</x:v>
      </x:c>
      <x:c r="K4023" s="13" t="n">
        <x:f>E4023*I4023*H4023</x:f>
        <x:v>0.29444585624999997</x:v>
      </x:c>
      <x:c r="L4023" s="1" t="str">
        <x:f>TEXT(A4023,"mmm yyyy")</x:f>
        <x:v>Jul 2026</x:v>
      </x:c>
    </x:row>
    <x:row r="4024" ht="21" customHeight="1">
      <x:c r="A4024" s="10" t="n">
        <x:v>46232</x:v>
      </x:c>
      <x:c r="B4024" s="1" t="n">
        <x:v>8</x:v>
      </x:c>
      <x:c r="C4024" s="1" t="n">
        <x:v>6</x:v>
      </x:c>
      <x:c r="D4024" s="12" t="n">
        <x:v>0.4116666666666667</x:v>
      </x:c>
      <x:c r="E4024" s="12" t="n">
        <x:v>0.5385</x:v>
      </x:c>
      <x:c r="F4024" s="12" t="n">
        <x:v>0.11783333333333333</x:v>
      </x:c>
      <x:c r="G4024" s="12" t="n">
        <x:v>0</x:v>
      </x:c>
      <x:c r="H4024" s="1" t="n">
        <x:f>'Historical prices'!E4024</x:f>
        <x:v>1.05</x:v>
      </x:c>
      <x:c r="I4024" s="6" t="n">
        <x:f>'Historical prices'!D4024</x:f>
        <x:v>0.20079999999999998</x:v>
      </x:c>
      <x:c r="J4024" s="13" t="n">
        <x:f>D4024*I4024*H4024</x:f>
        <x:v>0.08679579999999999</x:v>
      </x:c>
      <x:c r="K4024" s="13" t="n">
        <x:f>E4024*I4024*H4024</x:f>
        <x:v>0.11353733999999999</x:v>
      </x:c>
      <x:c r="L4024" s="1" t="str">
        <x:f>TEXT(A4024,"mmm yyyy")</x:f>
        <x:v>Jul 2026</x:v>
      </x:c>
    </x:row>
    <x:row r="4025" ht="21" customHeight="1">
      <x:c r="A4025" s="10" t="n">
        <x:v>46232</x:v>
      </x:c>
      <x:c r="B4025" s="1" t="n">
        <x:v>8.5</x:v>
      </x:c>
      <x:c r="C4025" s="1" t="n">
        <x:v>6</x:v>
      </x:c>
      <x:c r="D4025" s="12" t="n">
        <x:v>0.628</x:v>
      </x:c>
      <x:c r="E4025" s="12" t="n">
        <x:v>0.6399999999999999</x:v>
      </x:c>
      <x:c r="F4025" s="12" t="n">
        <x:v>0</x:v>
      </x:c>
      <x:c r="G4025" s="12" t="n">
        <x:v>0</x:v>
      </x:c>
      <x:c r="H4025" s="1" t="n">
        <x:f>'Historical prices'!E4025</x:f>
        <x:v>1.05</x:v>
      </x:c>
      <x:c r="I4025" s="6" t="n">
        <x:f>'Historical prices'!D4025</x:f>
        <x:v>0.20600000000000002</x:v>
      </x:c>
      <x:c r="J4025" s="13" t="n">
        <x:f>D4025*I4025*H4025</x:f>
        <x:v>0.13583640000000002</x:v>
      </x:c>
      <x:c r="K4025" s="13" t="n">
        <x:f>E4025*I4025*H4025</x:f>
        <x:v>0.138432</x:v>
      </x:c>
      <x:c r="L4025" s="1" t="str">
        <x:f>TEXT(A4025,"mmm yyyy")</x:f>
        <x:v>Jul 2026</x:v>
      </x:c>
    </x:row>
    <x:row r="4026" ht="21" customHeight="1">
      <x:c r="A4026" s="10" t="n">
        <x:v>46232</x:v>
      </x:c>
      <x:c r="B4026" s="1" t="n">
        <x:v>9</x:v>
      </x:c>
      <x:c r="C4026" s="1" t="n">
        <x:v>6</x:v>
      </x:c>
      <x:c r="D4026" s="12" t="n">
        <x:v>0.5718333333333333</x:v>
      </x:c>
      <x:c r="E4026" s="12" t="n">
        <x:v>0.5818333333333333</x:v>
      </x:c>
      <x:c r="F4026" s="12" t="n">
        <x:v>0</x:v>
      </x:c>
      <x:c r="G4026" s="12" t="n">
        <x:v>0</x:v>
      </x:c>
      <x:c r="H4026" s="1" t="n">
        <x:f>'Historical prices'!E4026</x:f>
        <x:v>1.05</x:v>
      </x:c>
      <x:c r="I4026" s="6" t="n">
        <x:f>'Historical prices'!D4026</x:f>
        <x:v>0.2027</x:v>
      </x:c>
      <x:c r="J4026" s="13" t="n">
        <x:f>D4026*I4026*H4026</x:f>
        <x:v>0.1217061475</x:v>
      </x:c>
      <x:c r="K4026" s="13" t="n">
        <x:f>E4026*I4026*H4026</x:f>
        <x:v>0.1238344975</x:v>
      </x:c>
      <x:c r="L4026" s="1" t="str">
        <x:f>TEXT(A4026,"mmm yyyy")</x:f>
        <x:v>Jul 2026</x:v>
      </x:c>
    </x:row>
    <x:row r="4027" ht="21" customHeight="1">
      <x:c r="A4027" s="10" t="n">
        <x:v>46232</x:v>
      </x:c>
      <x:c r="B4027" s="1" t="n">
        <x:v>9.5</x:v>
      </x:c>
      <x:c r="C4027" s="1" t="n">
        <x:v>6</x:v>
      </x:c>
      <x:c r="D4027" s="12" t="n">
        <x:v>0.4528333333333333</x:v>
      </x:c>
      <x:c r="E4027" s="12" t="n">
        <x:v>0.4638333333333333</x:v>
      </x:c>
      <x:c r="F4027" s="12" t="n">
        <x:v>0</x:v>
      </x:c>
      <x:c r="G4027" s="12" t="n">
        <x:v>0</x:v>
      </x:c>
      <x:c r="H4027" s="1" t="n">
        <x:f>'Historical prices'!E4027</x:f>
        <x:v>1.05</x:v>
      </x:c>
      <x:c r="I4027" s="6" t="n">
        <x:f>'Historical prices'!D4027</x:f>
        <x:v>0.20600000000000002</x:v>
      </x:c>
      <x:c r="J4027" s="13" t="n">
        <x:f>D4027*I4027*H4027</x:f>
        <x:v>0.09794785</x:v>
      </x:c>
      <x:c r="K4027" s="13" t="n">
        <x:f>E4027*I4027*H4027</x:f>
        <x:v>0.10032715</x:v>
      </x:c>
      <x:c r="L4027" s="1" t="str">
        <x:f>TEXT(A4027,"mmm yyyy")</x:f>
        <x:v>Jul 2026</x:v>
      </x:c>
    </x:row>
    <x:row r="4028" ht="21" customHeight="1">
      <x:c r="A4028" s="10" t="n">
        <x:v>46232</x:v>
      </x:c>
      <x:c r="B4028" s="1" t="n">
        <x:v>10</x:v>
      </x:c>
      <x:c r="C4028" s="1" t="n">
        <x:v>6</x:v>
      </x:c>
      <x:c r="D4028" s="12" t="n">
        <x:v>0.5121666666666667</x:v>
      </x:c>
      <x:c r="E4028" s="12" t="n">
        <x:v>0.5231666666666667</x:v>
      </x:c>
      <x:c r="F4028" s="12" t="n">
        <x:v>0</x:v>
      </x:c>
      <x:c r="G4028" s="12" t="n">
        <x:v>0</x:v>
      </x:c>
      <x:c r="H4028" s="1" t="n">
        <x:f>'Historical prices'!E4028</x:f>
        <x:v>1.05</x:v>
      </x:c>
      <x:c r="I4028" s="6" t="n">
        <x:f>'Historical prices'!D4028</x:f>
        <x:v>0.2018</x:v>
      </x:c>
      <x:c r="J4028" s="13" t="n">
        <x:f>D4028*I4028*H4028</x:f>
        <x:v>0.10852299500000001</x:v>
      </x:c>
      <x:c r="K4028" s="13" t="n">
        <x:f>E4028*I4028*H4028</x:f>
        <x:v>0.110853785</x:v>
      </x:c>
      <x:c r="L4028" s="1" t="str">
        <x:f>TEXT(A4028,"mmm yyyy")</x:f>
        <x:v>Jul 2026</x:v>
      </x:c>
    </x:row>
    <x:row r="4029" ht="21" customHeight="1">
      <x:c r="A4029" s="10" t="n">
        <x:v>46232</x:v>
      </x:c>
      <x:c r="B4029" s="1" t="n">
        <x:v>10.5</x:v>
      </x:c>
      <x:c r="C4029" s="1" t="n">
        <x:v>6</x:v>
      </x:c>
      <x:c r="D4029" s="12" t="n">
        <x:v>0.554</x:v>
      </x:c>
      <x:c r="E4029" s="12" t="n">
        <x:v>0.565</x:v>
      </x:c>
      <x:c r="F4029" s="12" t="n">
        <x:v>0</x:v>
      </x:c>
      <x:c r="G4029" s="12" t="n">
        <x:v>0</x:v>
      </x:c>
      <x:c r="H4029" s="1" t="n">
        <x:f>'Historical prices'!E4029</x:f>
        <x:v>1.05</x:v>
      </x:c>
      <x:c r="I4029" s="6" t="n">
        <x:f>'Historical prices'!D4029</x:f>
        <x:v>0.1953</x:v>
      </x:c>
      <x:c r="J4029" s="13" t="n">
        <x:f>D4029*I4029*H4029</x:f>
        <x:v>0.11360601000000001</x:v>
      </x:c>
      <x:c r="K4029" s="13" t="n">
        <x:f>E4029*I4029*H4029</x:f>
        <x:v>0.11586172499999998</x:v>
      </x:c>
      <x:c r="L4029" s="1" t="str">
        <x:f>TEXT(A4029,"mmm yyyy")</x:f>
        <x:v>Jul 2026</x:v>
      </x:c>
    </x:row>
    <x:row r="4030" ht="21" customHeight="1">
      <x:c r="A4030" s="10" t="n">
        <x:v>46232</x:v>
      </x:c>
      <x:c r="B4030" s="1" t="n">
        <x:v>11</x:v>
      </x:c>
      <x:c r="C4030" s="1" t="n">
        <x:v>6</x:v>
      </x:c>
      <x:c r="D4030" s="12" t="n">
        <x:v>0.5155000000000001</x:v>
      </x:c>
      <x:c r="E4030" s="12" t="n">
        <x:v>0.5265</x:v>
      </x:c>
      <x:c r="F4030" s="12" t="n">
        <x:v>0</x:v>
      </x:c>
      <x:c r="G4030" s="12" t="n">
        <x:v>0</x:v>
      </x:c>
      <x:c r="H4030" s="1" t="n">
        <x:f>'Historical prices'!E4030</x:f>
        <x:v>1.05</x:v>
      </x:c>
      <x:c r="I4030" s="6" t="n">
        <x:f>'Historical prices'!D4030</x:f>
        <x:v>0.1934</x:v>
      </x:c>
      <x:c r="J4030" s="13" t="n">
        <x:f>D4030*I4030*H4030</x:f>
        <x:v>0.10468258500000002</x:v>
      </x:c>
      <x:c r="K4030" s="13" t="n">
        <x:f>E4030*I4030*H4030</x:f>
        <x:v>0.10691635499999999</x:v>
      </x:c>
      <x:c r="L4030" s="1" t="str">
        <x:f>TEXT(A4030,"mmm yyyy")</x:f>
        <x:v>Jul 2026</x:v>
      </x:c>
    </x:row>
    <x:row r="4031" ht="21" customHeight="1">
      <x:c r="A4031" s="10" t="n">
        <x:v>46232</x:v>
      </x:c>
      <x:c r="B4031" s="1" t="n">
        <x:v>11.5</x:v>
      </x:c>
      <x:c r="C4031" s="1" t="n">
        <x:v>6</x:v>
      </x:c>
      <x:c r="D4031" s="12" t="n">
        <x:v>0.47733333333333333</x:v>
      </x:c>
      <x:c r="E4031" s="12" t="n">
        <x:v>0.48833333333333334</x:v>
      </x:c>
      <x:c r="F4031" s="12" t="n">
        <x:v>0</x:v>
      </x:c>
      <x:c r="G4031" s="12" t="n">
        <x:v>0</x:v>
      </x:c>
      <x:c r="H4031" s="1" t="n">
        <x:f>'Historical prices'!E4031</x:f>
        <x:v>1.05</x:v>
      </x:c>
      <x:c r="I4031" s="6" t="n">
        <x:f>'Historical prices'!D4031</x:f>
        <x:v>0.1934</x:v>
      </x:c>
      <x:c r="J4031" s="13" t="n">
        <x:f>D4031*I4031*H4031</x:f>
        <x:v>0.09693208</x:v>
      </x:c>
      <x:c r="K4031" s="13" t="n">
        <x:f>E4031*I4031*H4031</x:f>
        <x:v>0.09916585</x:v>
      </x:c>
      <x:c r="L4031" s="1" t="str">
        <x:f>TEXT(A4031,"mmm yyyy")</x:f>
        <x:v>Jul 2026</x:v>
      </x:c>
    </x:row>
    <x:row r="4032" ht="21" customHeight="1">
      <x:c r="A4032" s="10" t="n">
        <x:v>46232</x:v>
      </x:c>
      <x:c r="B4032" s="1" t="n">
        <x:v>12</x:v>
      </x:c>
      <x:c r="C4032" s="1" t="n">
        <x:v>6</x:v>
      </x:c>
      <x:c r="D4032" s="12" t="n">
        <x:v>0.5069166666666667</x:v>
      </x:c>
      <x:c r="E4032" s="12" t="n">
        <x:v>0.5169166666666667</x:v>
      </x:c>
      <x:c r="F4032" s="12" t="n">
        <x:v>0</x:v>
      </x:c>
      <x:c r="G4032" s="12" t="n">
        <x:v>0</x:v>
      </x:c>
      <x:c r="H4032" s="1" t="n">
        <x:f>'Historical prices'!E4032</x:f>
        <x:v>1.05</x:v>
      </x:c>
      <x:c r="I4032" s="6" t="n">
        <x:f>'Historical prices'!D4032</x:f>
        <x:v>0.19760000000000003</x:v>
      </x:c>
      <x:c r="J4032" s="13" t="n">
        <x:f>D4032*I4032*H4032</x:f>
        <x:v>0.10517507000000002</x:v>
      </x:c>
      <x:c r="K4032" s="13" t="n">
        <x:f>E4032*I4032*H4032</x:f>
        <x:v>0.10724987000000002</x:v>
      </x:c>
      <x:c r="L4032" s="1" t="str">
        <x:f>TEXT(A4032,"mmm yyyy")</x:f>
        <x:v>Jul 2026</x:v>
      </x:c>
    </x:row>
    <x:row r="4033" ht="21" customHeight="1">
      <x:c r="A4033" s="10" t="n">
        <x:v>46232</x:v>
      </x:c>
      <x:c r="B4033" s="1" t="n">
        <x:v>12.5</x:v>
      </x:c>
      <x:c r="C4033" s="1" t="n">
        <x:v>6</x:v>
      </x:c>
      <x:c r="D4033" s="12" t="n">
        <x:v>0.44133333333333336</x:v>
      </x:c>
      <x:c r="E4033" s="12" t="n">
        <x:v>0.45233333333333337</x:v>
      </x:c>
      <x:c r="F4033" s="12" t="n">
        <x:v>0</x:v>
      </x:c>
      <x:c r="G4033" s="12" t="n">
        <x:v>0</x:v>
      </x:c>
      <x:c r="H4033" s="1" t="n">
        <x:f>'Historical prices'!E4033</x:f>
        <x:v>1.05</x:v>
      </x:c>
      <x:c r="I4033" s="6" t="n">
        <x:f>'Historical prices'!D4033</x:f>
        <x:v>0.19760000000000003</x:v>
      </x:c>
      <x:c r="J4033" s="13" t="n">
        <x:f>D4033*I4033*H4033</x:f>
        <x:v>0.09156784000000001</x:v>
      </x:c>
      <x:c r="K4033" s="13" t="n">
        <x:f>E4033*I4033*H4033</x:f>
        <x:v>0.09385012000000002</x:v>
      </x:c>
      <x:c r="L4033" s="1" t="str">
        <x:f>TEXT(A4033,"mmm yyyy")</x:f>
        <x:v>Jul 2026</x:v>
      </x:c>
    </x:row>
    <x:row r="4034" ht="21" customHeight="1">
      <x:c r="A4034" s="10" t="n">
        <x:v>46232</x:v>
      </x:c>
      <x:c r="B4034" s="1" t="n">
        <x:v>13</x:v>
      </x:c>
      <x:c r="C4034" s="1" t="n">
        <x:v>6</x:v>
      </x:c>
      <x:c r="D4034" s="12" t="n">
        <x:v>0.40725</x:v>
      </x:c>
      <x:c r="E4034" s="12" t="n">
        <x:v>0.41725</x:v>
      </x:c>
      <x:c r="F4034" s="12" t="n">
        <x:v>0</x:v>
      </x:c>
      <x:c r="G4034" s="12" t="n">
        <x:v>0</x:v>
      </x:c>
      <x:c r="H4034" s="1" t="n">
        <x:f>'Historical prices'!E4034</x:f>
        <x:v>1.05</x:v>
      </x:c>
      <x:c r="I4034" s="6" t="n">
        <x:f>'Historical prices'!D4034</x:f>
        <x:v>0.1917</x:v>
      </x:c>
      <x:c r="J4034" s="13" t="n">
        <x:f>D4034*I4034*H4034</x:f>
        <x:v>0.08197331625000001</x:v>
      </x:c>
      <x:c r="K4034" s="13" t="n">
        <x:f>E4034*I4034*H4034</x:f>
        <x:v>0.08398616625000002</x:v>
      </x:c>
      <x:c r="L4034" s="1" t="str">
        <x:f>TEXT(A4034,"mmm yyyy")</x:f>
        <x:v>Jul 2026</x:v>
      </x:c>
    </x:row>
    <x:row r="4035" ht="21" customHeight="1">
      <x:c r="A4035" s="10" t="n">
        <x:v>46232</x:v>
      </x:c>
      <x:c r="B4035" s="1" t="n">
        <x:v>13.5</x:v>
      </x:c>
      <x:c r="C4035" s="1" t="n">
        <x:v>6</x:v>
      </x:c>
      <x:c r="D4035" s="12" t="n">
        <x:v>4.631083333333333</x:v>
      </x:c>
      <x:c r="E4035" s="12" t="n">
        <x:v>0.6770833333333333</x:v>
      </x:c>
      <x:c r="F4035" s="12" t="n">
        <x:v>0</x:v>
      </x:c>
      <x:c r="G4035" s="12" t="n">
        <x:v>3.9560000000000004</x:v>
      </x:c>
      <x:c r="H4035" s="1" t="n">
        <x:f>'Historical prices'!E4035</x:f>
        <x:v>1.05</x:v>
      </x:c>
      <x:c r="I4035" s="6" t="n">
        <x:f>'Historical prices'!D4035</x:f>
        <x:v>0.18469999999999998</x:v>
      </x:c>
      <x:c r="J4035" s="13" t="n">
        <x:f>D4035*I4035*H4035</x:f>
        <x:v>0.8981291462499997</x:v>
      </x:c>
      <x:c r="K4035" s="13" t="n">
        <x:f>E4035*I4035*H4035</x:f>
        <x:v>0.13131015624999998</x:v>
      </x:c>
      <x:c r="L4035" s="1" t="str">
        <x:f>TEXT(A4035,"mmm yyyy")</x:f>
        <x:v>Jul 2026</x:v>
      </x:c>
    </x:row>
    <x:row r="4036" ht="21" customHeight="1">
      <x:c r="A4036" s="10" t="n">
        <x:v>46232</x:v>
      </x:c>
      <x:c r="B4036" s="1" t="n">
        <x:v>14</x:v>
      </x:c>
      <x:c r="C4036" s="1" t="n">
        <x:v>6</x:v>
      </x:c>
      <x:c r="D4036" s="12" t="n">
        <x:v>5.324666666666666</x:v>
      </x:c>
      <x:c r="E4036" s="12" t="n">
        <x:v>0.7046666666666667</x:v>
      </x:c>
      <x:c r="F4036" s="12" t="n">
        <x:v>0</x:v>
      </x:c>
      <x:c r="G4036" s="12" t="n">
        <x:v>4.62</x:v>
      </x:c>
      <x:c r="H4036" s="1" t="n">
        <x:f>'Historical prices'!E4036</x:f>
        <x:v>1.05</x:v>
      </x:c>
      <x:c r="I4036" s="6" t="n">
        <x:f>'Historical prices'!D4036</x:f>
        <x:v>0.18280000000000002</x:v>
      </x:c>
      <x:c r="J4036" s="13" t="n">
        <x:f>D4036*I4036*H4036</x:f>
        <x:v>1.0220165200000002</x:v>
      </x:c>
      <x:c r="K4036" s="13" t="n">
        <x:f>E4036*I4036*H4036</x:f>
        <x:v>0.13525372000000002</x:v>
      </x:c>
      <x:c r="L4036" s="1" t="str">
        <x:f>TEXT(A4036,"mmm yyyy")</x:f>
        <x:v>Jul 2026</x:v>
      </x:c>
    </x:row>
    <x:row r="4037" ht="21" customHeight="1">
      <x:c r="A4037" s="10" t="n">
        <x:v>46232</x:v>
      </x:c>
      <x:c r="B4037" s="1" t="n">
        <x:v>14.5</x:v>
      </x:c>
      <x:c r="C4037" s="1" t="n">
        <x:v>6</x:v>
      </x:c>
      <x:c r="D4037" s="12" t="n">
        <x:v>5.480833333333334</x:v>
      </x:c>
      <x:c r="E4037" s="12" t="n">
        <x:v>0.7728333333333333</x:v>
      </x:c>
      <x:c r="F4037" s="12" t="n">
        <x:v>0</x:v>
      </x:c>
      <x:c r="G4037" s="12" t="n">
        <x:v>4.708</x:v>
      </x:c>
      <x:c r="H4037" s="1" t="n">
        <x:f>'Historical prices'!E4037</x:f>
        <x:v>1.05</x:v>
      </x:c>
      <x:c r="I4037" s="6" t="n">
        <x:f>'Historical prices'!D4037</x:f>
        <x:v>0.1839</x:v>
      </x:c>
      <x:c r="J4037" s="13" t="n">
        <x:f>D4037*I4037*H4037</x:f>
        <x:v>1.0583215125000003</x:v>
      </x:c>
      <x:c r="K4037" s="13" t="n">
        <x:f>E4037*I4037*H4037</x:f>
        <x:v>0.14923025250000002</x:v>
      </x:c>
      <x:c r="L4037" s="1" t="str">
        <x:f>TEXT(A4037,"mmm yyyy")</x:f>
        <x:v>Jul 2026</x:v>
      </x:c>
    </x:row>
    <x:row r="4038" ht="21" customHeight="1">
      <x:c r="A4038" s="10" t="n">
        <x:v>46232</x:v>
      </x:c>
      <x:c r="B4038" s="1" t="n">
        <x:v>15</x:v>
      </x:c>
      <x:c r="C4038" s="1" t="n">
        <x:v>6</x:v>
      </x:c>
      <x:c r="D4038" s="12" t="n">
        <x:v>1.3015833333333333</x:v>
      </x:c>
      <x:c r="E4038" s="12" t="n">
        <x:v>0.5325833333333333</x:v>
      </x:c>
      <x:c r="F4038" s="12" t="n">
        <x:v>0</x:v>
      </x:c>
      <x:c r="G4038" s="12" t="n">
        <x:v>0.777</x:v>
      </x:c>
      <x:c r="H4038" s="1" t="n">
        <x:f>'Historical prices'!E4038</x:f>
        <x:v>1.05</x:v>
      </x:c>
      <x:c r="I4038" s="6" t="n">
        <x:f>'Historical prices'!D4038</x:f>
        <x:v>0.19940000000000002</x:v>
      </x:c>
      <x:c r="J4038" s="13" t="n">
        <x:f>D4038*I4038*H4038</x:f>
        <x:v>0.27251250250000003</x:v>
      </x:c>
      <x:c r="K4038" s="13" t="n">
        <x:f>E4038*I4038*H4038</x:f>
        <x:v>0.11150697250000001</x:v>
      </x:c>
      <x:c r="L4038" s="1" t="str">
        <x:f>TEXT(A4038,"mmm yyyy")</x:f>
        <x:v>Jul 2026</x:v>
      </x:c>
    </x:row>
    <x:row r="4039" ht="21" customHeight="1">
      <x:c r="A4039" s="10" t="n">
        <x:v>46232</x:v>
      </x:c>
      <x:c r="B4039" s="1" t="n">
        <x:v>15.5</x:v>
      </x:c>
      <x:c r="C4039" s="1" t="n">
        <x:v>6</x:v>
      </x:c>
      <x:c r="D4039" s="12" t="n">
        <x:v>0.44750000000000006</x:v>
      </x:c>
      <x:c r="E4039" s="12" t="n">
        <x:v>0.4585000000000001</x:v>
      </x:c>
      <x:c r="F4039" s="12" t="n">
        <x:v>0</x:v>
      </x:c>
      <x:c r="G4039" s="12" t="n">
        <x:v>0</x:v>
      </x:c>
      <x:c r="H4039" s="1" t="n">
        <x:f>'Historical prices'!E4039</x:f>
        <x:v>1.05</x:v>
      </x:c>
      <x:c r="I4039" s="6" t="n">
        <x:f>'Historical prices'!D4039</x:f>
        <x:v>0.20079999999999998</x:v>
      </x:c>
      <x:c r="J4039" s="13" t="n">
        <x:f>D4039*I4039*H4039</x:f>
        <x:v>0.09435090000000002</x:v>
      </x:c>
      <x:c r="K4039" s="13" t="n">
        <x:f>E4039*I4039*H4039</x:f>
        <x:v>0.09667014</x:v>
      </x:c>
      <x:c r="L4039" s="1" t="str">
        <x:f>TEXT(A4039,"mmm yyyy")</x:f>
        <x:v>Jul 2026</x:v>
      </x:c>
    </x:row>
    <x:row r="4040" ht="21" customHeight="1">
      <x:c r="A4040" s="10" t="n">
        <x:v>46232</x:v>
      </x:c>
      <x:c r="B4040" s="1" t="n">
        <x:v>16</x:v>
      </x:c>
      <x:c r="C4040" s="1" t="n">
        <x:v>6</x:v>
      </x:c>
      <x:c r="D4040" s="12" t="n">
        <x:v>0.06766666666666667</x:v>
      </x:c>
      <x:c r="E4040" s="12" t="n">
        <x:v>0.43275</x:v>
      </x:c>
      <x:c r="F4040" s="12" t="n">
        <x:v>0.36174999999999996</x:v>
      </x:c>
      <x:c r="G4040" s="12" t="n">
        <x:v>0</x:v>
      </x:c>
      <x:c r="H4040" s="1" t="n">
        <x:f>'Historical prices'!E4040</x:f>
        <x:v>1.05</x:v>
      </x:c>
      <x:c r="I4040" s="6" t="n">
        <x:f>'Historical prices'!D4040</x:f>
        <x:v>0.3239</x:v>
      </x:c>
      <x:c r="J4040" s="13" t="n">
        <x:f>D4040*I4040*H4040</x:f>
        <x:v>0.023013095</x:v>
      </x:c>
      <x:c r="K4040" s="13" t="n">
        <x:f>E4040*I4040*H4040</x:f>
        <x:v>0.14717611125000002</x:v>
      </x:c>
      <x:c r="L4040" s="1" t="str">
        <x:f>TEXT(A4040,"mmm yyyy")</x:f>
        <x:v>Jul 2026</x:v>
      </x:c>
    </x:row>
    <x:row r="4041" ht="21" customHeight="1">
      <x:c r="A4041" s="10" t="n">
        <x:v>46232</x:v>
      </x:c>
      <x:c r="B4041" s="1" t="n">
        <x:v>16.5</x:v>
      </x:c>
      <x:c r="C4041" s="1" t="n">
        <x:v>6</x:v>
      </x:c>
      <x:c r="D4041" s="12" t="n">
        <x:v>0</x:v>
      </x:c>
      <x:c r="E4041" s="12" t="n">
        <x:v>0.45575</x:v>
      </x:c>
      <x:c r="F4041" s="12" t="n">
        <x:v>0.45566666666666666</x:v>
      </x:c>
      <x:c r="G4041" s="12" t="n">
        <x:v>0</x:v>
      </x:c>
      <x:c r="H4041" s="1" t="n">
        <x:f>'Historical prices'!E4041</x:f>
        <x:v>1.05</x:v>
      </x:c>
      <x:c r="I4041" s="6" t="n">
        <x:f>'Historical prices'!D4041</x:f>
        <x:v>0.32539999999999997</x:v>
      </x:c>
      <x:c r="J4041" s="13" t="n">
        <x:f>D4041*I4041*H4041</x:f>
        <x:v>0</x:v>
      </x:c>
      <x:c r="K4041" s="13" t="n">
        <x:f>E4041*I4041*H4041</x:f>
        <x:v>0.1557161025</x:v>
      </x:c>
      <x:c r="L4041" s="1" t="str">
        <x:f>TEXT(A4041,"mmm yyyy")</x:f>
        <x:v>Jul 2026</x:v>
      </x:c>
    </x:row>
    <x:row r="4042" ht="21" customHeight="1">
      <x:c r="A4042" s="10" t="n">
        <x:v>46232</x:v>
      </x:c>
      <x:c r="B4042" s="1" t="n">
        <x:v>17</x:v>
      </x:c>
      <x:c r="C4042" s="1" t="n">
        <x:v>6</x:v>
      </x:c>
      <x:c r="D4042" s="12" t="n">
        <x:v>0</x:v>
      </x:c>
      <x:c r="E4042" s="12" t="n">
        <x:v>0.46274999999999994</x:v>
      </x:c>
      <x:c r="F4042" s="12" t="n">
        <x:v>0.46249999999999997</x:v>
      </x:c>
      <x:c r="G4042" s="12" t="n">
        <x:v>0</x:v>
      </x:c>
      <x:c r="H4042" s="1" t="n">
        <x:f>'Historical prices'!E4042</x:f>
        <x:v>1.05</x:v>
      </x:c>
      <x:c r="I4042" s="6" t="n">
        <x:f>'Historical prices'!D4042</x:f>
        <x:v>0.3519</x:v>
      </x:c>
      <x:c r="J4042" s="13" t="n">
        <x:f>D4042*I4042*H4042</x:f>
        <x:v>0</x:v>
      </x:c>
      <x:c r="K4042" s="13" t="n">
        <x:f>E4042*I4042*H4042</x:f>
        <x:v>0.17098381124999998</x:v>
      </x:c>
      <x:c r="L4042" s="1" t="str">
        <x:f>TEXT(A4042,"mmm yyyy")</x:f>
        <x:v>Jul 2026</x:v>
      </x:c>
    </x:row>
    <x:row r="4043" ht="21" customHeight="1">
      <x:c r="A4043" s="10" t="n">
        <x:v>46232</x:v>
      </x:c>
      <x:c r="B4043" s="1" t="n">
        <x:v>17.5</x:v>
      </x:c>
      <x:c r="C4043" s="1" t="n">
        <x:v>6</x:v>
      </x:c>
      <x:c r="D4043" s="12" t="n">
        <x:v>0</x:v>
      </x:c>
      <x:c r="E4043" s="12" t="n">
        <x:v>0.6134999999999999</x:v>
      </x:c>
      <x:c r="F4043" s="12" t="n">
        <x:v>0.6134166666666666</x:v>
      </x:c>
      <x:c r="G4043" s="12" t="n">
        <x:v>0</x:v>
      </x:c>
      <x:c r="H4043" s="1" t="n">
        <x:f>'Historical prices'!E4043</x:f>
        <x:v>1.05</x:v>
      </x:c>
      <x:c r="I4043" s="6" t="n">
        <x:f>'Historical prices'!D4043</x:f>
        <x:v>0.3812</x:v>
      </x:c>
      <x:c r="J4043" s="13" t="n">
        <x:f>D4043*I4043*H4043</x:f>
        <x:v>0</x:v>
      </x:c>
      <x:c r="K4043" s="13" t="n">
        <x:f>E4043*I4043*H4043</x:f>
        <x:v>0.24555950999999998</x:v>
      </x:c>
      <x:c r="L4043" s="1" t="str">
        <x:f>TEXT(A4043,"mmm yyyy")</x:f>
        <x:v>Jul 2026</x:v>
      </x:c>
    </x:row>
    <x:row r="4044" ht="21" customHeight="1">
      <x:c r="A4044" s="10" t="n">
        <x:v>46232</x:v>
      </x:c>
      <x:c r="B4044" s="1" t="n">
        <x:v>18</x:v>
      </x:c>
      <x:c r="C4044" s="1" t="n">
        <x:v>6</x:v>
      </x:c>
      <x:c r="D4044" s="12" t="n">
        <x:v>0</x:v>
      </x:c>
      <x:c r="E4044" s="12" t="n">
        <x:v>0.5476666666666667</x:v>
      </x:c>
      <x:c r="F4044" s="12" t="n">
        <x:v>0.5474166666666667</x:v>
      </x:c>
      <x:c r="G4044" s="12" t="n">
        <x:v>0</x:v>
      </x:c>
      <x:c r="H4044" s="1" t="n">
        <x:f>'Historical prices'!E4044</x:f>
        <x:v>1.05</x:v>
      </x:c>
      <x:c r="I4044" s="6" t="n">
        <x:f>'Historical prices'!D4044</x:f>
        <x:v>0.447</x:v>
      </x:c>
      <x:c r="J4044" s="13" t="n">
        <x:f>D4044*I4044*H4044</x:f>
        <x:v>0</x:v>
      </x:c>
      <x:c r="K4044" s="13" t="n">
        <x:f>E4044*I4044*H4044</x:f>
        <x:v>0.25704735000000006</x:v>
      </x:c>
      <x:c r="L4044" s="1" t="str">
        <x:f>TEXT(A4044,"mmm yyyy")</x:f>
        <x:v>Jul 2026</x:v>
      </x:c>
    </x:row>
    <x:row r="4045" ht="21" customHeight="1">
      <x:c r="A4045" s="10" t="n">
        <x:v>46232</x:v>
      </x:c>
      <x:c r="B4045" s="1" t="n">
        <x:v>18.5</x:v>
      </x:c>
      <x:c r="C4045" s="1" t="n">
        <x:v>6</x:v>
      </x:c>
      <x:c r="D4045" s="12" t="n">
        <x:v>0</x:v>
      </x:c>
      <x:c r="E4045" s="12" t="n">
        <x:v>0.61</x:v>
      </x:c>
      <x:c r="F4045" s="12" t="n">
        <x:v>0.6096666666666667</x:v>
      </x:c>
      <x:c r="G4045" s="12" t="n">
        <x:v>0</x:v>
      </x:c>
      <x:c r="H4045" s="1" t="n">
        <x:f>'Historical prices'!E4045</x:f>
        <x:v>1.05</x:v>
      </x:c>
      <x:c r="I4045" s="6" t="n">
        <x:f>'Historical prices'!D4045</x:f>
        <x:v>0.45990000000000003</x:v>
      </x:c>
      <x:c r="J4045" s="13" t="n">
        <x:f>D4045*I4045*H4045</x:f>
        <x:v>0</x:v>
      </x:c>
      <x:c r="K4045" s="13" t="n">
        <x:f>E4045*I4045*H4045</x:f>
        <x:v>0.2945659500000001</x:v>
      </x:c>
      <x:c r="L4045" s="1" t="str">
        <x:f>TEXT(A4045,"mmm yyyy")</x:f>
        <x:v>Jul 2026</x:v>
      </x:c>
    </x:row>
    <x:row r="4046" ht="21" customHeight="1">
      <x:c r="A4046" s="10" t="n">
        <x:v>46232</x:v>
      </x:c>
      <x:c r="B4046" s="1" t="n">
        <x:v>19</x:v>
      </x:c>
      <x:c r="C4046" s="1" t="n">
        <x:v>6</x:v>
      </x:c>
      <x:c r="D4046" s="12" t="n">
        <x:v>0</x:v>
      </x:c>
      <x:c r="E4046" s="12" t="n">
        <x:v>0.5151666666666667</x:v>
      </x:c>
      <x:c r="F4046" s="12" t="n">
        <x:v>0.5149166666666667</x:v>
      </x:c>
      <x:c r="G4046" s="12" t="n">
        <x:v>0</x:v>
      </x:c>
      <x:c r="H4046" s="1" t="n">
        <x:f>'Historical prices'!E4046</x:f>
        <x:v>1.05</x:v>
      </x:c>
      <x:c r="I4046" s="6" t="n">
        <x:f>'Historical prices'!D4046</x:f>
        <x:v>0.34759999999999996</x:v>
      </x:c>
      <x:c r="J4046" s="13" t="n">
        <x:f>D4046*I4046*H4046</x:f>
        <x:v>0</x:v>
      </x:c>
      <x:c r="K4046" s="13" t="n">
        <x:f>E4046*I4046*H4046</x:f>
        <x:v>0.18802553</x:v>
      </x:c>
      <x:c r="L4046" s="1" t="str">
        <x:f>TEXT(A4046,"mmm yyyy")</x:f>
        <x:v>Jul 2026</x:v>
      </x:c>
    </x:row>
    <x:row r="4047" ht="21" customHeight="1">
      <x:c r="A4047" s="10" t="n">
        <x:v>46232</x:v>
      </x:c>
      <x:c r="B4047" s="1" t="n">
        <x:v>19.5</x:v>
      </x:c>
      <x:c r="C4047" s="1" t="n">
        <x:v>6</x:v>
      </x:c>
      <x:c r="D4047" s="12" t="n">
        <x:v>0</x:v>
      </x:c>
      <x:c r="E4047" s="12" t="n">
        <x:v>0.5475833333333333</x:v>
      </x:c>
      <x:c r="F4047" s="12" t="n">
        <x:v>0.5473333333333333</x:v>
      </x:c>
      <x:c r="G4047" s="12" t="n">
        <x:v>0</x:v>
      </x:c>
      <x:c r="H4047" s="1" t="n">
        <x:f>'Historical prices'!E4047</x:f>
        <x:v>1.05</x:v>
      </x:c>
      <x:c r="I4047" s="6" t="n">
        <x:f>'Historical prices'!D4047</x:f>
        <x:v>0.353</x:v>
      </x:c>
      <x:c r="J4047" s="13" t="n">
        <x:f>D4047*I4047*H4047</x:f>
        <x:v>0</x:v>
      </x:c>
      <x:c r="K4047" s="13" t="n">
        <x:f>E4047*I4047*H4047</x:f>
        <x:v>0.2029617625</x:v>
      </x:c>
      <x:c r="L4047" s="1" t="str">
        <x:f>TEXT(A4047,"mmm yyyy")</x:f>
        <x:v>Jul 2026</x:v>
      </x:c>
    </x:row>
    <x:row r="4048" ht="21" customHeight="1">
      <x:c r="A4048" s="10" t="n">
        <x:v>46232</x:v>
      </x:c>
      <x:c r="B4048" s="1" t="n">
        <x:v>20</x:v>
      </x:c>
      <x:c r="C4048" s="1" t="n">
        <x:v>6</x:v>
      </x:c>
      <x:c r="D4048" s="12" t="n">
        <x:v>0</x:v>
      </x:c>
      <x:c r="E4048" s="12" t="n">
        <x:v>0.8286666666666667</x:v>
      </x:c>
      <x:c r="F4048" s="12" t="n">
        <x:v>0.8283333333333333</x:v>
      </x:c>
      <x:c r="G4048" s="12" t="n">
        <x:v>0</x:v>
      </x:c>
      <x:c r="H4048" s="1" t="n">
        <x:f>'Historical prices'!E4048</x:f>
        <x:v>1.05</x:v>
      </x:c>
      <x:c r="I4048" s="6" t="n">
        <x:f>'Historical prices'!D4048</x:f>
        <x:v>0.3356</x:v>
      </x:c>
      <x:c r="J4048" s="13" t="n">
        <x:f>D4048*I4048*H4048</x:f>
        <x:v>0</x:v>
      </x:c>
      <x:c r="K4048" s="13" t="n">
        <x:f>E4048*I4048*H4048</x:f>
        <x:v>0.29200556</x:v>
      </x:c>
      <x:c r="L4048" s="1" t="str">
        <x:f>TEXT(A4048,"mmm yyyy")</x:f>
        <x:v>Jul 2026</x:v>
      </x:c>
    </x:row>
    <x:row r="4049" ht="21" customHeight="1">
      <x:c r="A4049" s="10" t="n">
        <x:v>46232</x:v>
      </x:c>
      <x:c r="B4049" s="1" t="n">
        <x:v>20.5</x:v>
      </x:c>
      <x:c r="C4049" s="1" t="n">
        <x:v>6</x:v>
      </x:c>
      <x:c r="D4049" s="12" t="n">
        <x:v>0</x:v>
      </x:c>
      <x:c r="E4049" s="12" t="n">
        <x:v>0.57575</x:v>
      </x:c>
      <x:c r="F4049" s="12" t="n">
        <x:v>0.5755833333333333</x:v>
      </x:c>
      <x:c r="G4049" s="12" t="n">
        <x:v>0</x:v>
      </x:c>
      <x:c r="H4049" s="1" t="n">
        <x:f>'Historical prices'!E4049</x:f>
        <x:v>1.05</x:v>
      </x:c>
      <x:c r="I4049" s="6" t="n">
        <x:f>'Historical prices'!D4049</x:f>
        <x:v>0.33990000000000004</x:v>
      </x:c>
      <x:c r="J4049" s="13" t="n">
        <x:f>D4049*I4049*H4049</x:f>
        <x:v>0</x:v>
      </x:c>
      <x:c r="K4049" s="13" t="n">
        <x:f>E4049*I4049*H4049</x:f>
        <x:v>0.20548229625000003</x:v>
      </x:c>
      <x:c r="L4049" s="1" t="str">
        <x:f>TEXT(A4049,"mmm yyyy")</x:f>
        <x:v>Jul 2026</x:v>
      </x:c>
    </x:row>
    <x:row r="4050" ht="21" customHeight="1">
      <x:c r="A4050" s="10" t="n">
        <x:v>46232</x:v>
      </x:c>
      <x:c r="B4050" s="1" t="n">
        <x:v>21</x:v>
      </x:c>
      <x:c r="C4050" s="1" t="n">
        <x:v>6</x:v>
      </x:c>
      <x:c r="D4050" s="12" t="n">
        <x:v>0</x:v>
      </x:c>
      <x:c r="E4050" s="12" t="n">
        <x:v>0.5273333333333333</x:v>
      </x:c>
      <x:c r="F4050" s="12" t="n">
        <x:v>0.5273333333333333</x:v>
      </x:c>
      <x:c r="G4050" s="12" t="n">
        <x:v>0</x:v>
      </x:c>
      <x:c r="H4050" s="1" t="n">
        <x:f>'Historical prices'!E4050</x:f>
        <x:v>1.05</x:v>
      </x:c>
      <x:c r="I4050" s="6" t="n">
        <x:f>'Historical prices'!D4050</x:f>
        <x:v>0.3336</x:v>
      </x:c>
      <x:c r="J4050" s="13" t="n">
        <x:f>D4050*I4050*H4050</x:f>
        <x:v>0</x:v>
      </x:c>
      <x:c r="K4050" s="13" t="n">
        <x:f>E4050*I4050*H4050</x:f>
        <x:v>0.18471432000000002</x:v>
      </x:c>
      <x:c r="L4050" s="1" t="str">
        <x:f>TEXT(A4050,"mmm yyyy")</x:f>
        <x:v>Jul 2026</x:v>
      </x:c>
    </x:row>
    <x:row r="4051" ht="21" customHeight="1">
      <x:c r="A4051" s="10" t="n">
        <x:v>46232</x:v>
      </x:c>
      <x:c r="B4051" s="1" t="n">
        <x:v>21.5</x:v>
      </x:c>
      <x:c r="C4051" s="1" t="n">
        <x:v>6</x:v>
      </x:c>
      <x:c r="D4051" s="12" t="n">
        <x:v>0</x:v>
      </x:c>
      <x:c r="E4051" s="12" t="n">
        <x:v>0.5749166666666666</x:v>
      </x:c>
      <x:c r="F4051" s="12" t="n">
        <x:v>0.57475</x:v>
      </x:c>
      <x:c r="G4051" s="12" t="n">
        <x:v>0</x:v>
      </x:c>
      <x:c r="H4051" s="1" t="n">
        <x:f>'Historical prices'!E4051</x:f>
        <x:v>1.05</x:v>
      </x:c>
      <x:c r="I4051" s="6" t="n">
        <x:f>'Historical prices'!D4051</x:f>
        <x:v>0.3094</x:v>
      </x:c>
      <x:c r="J4051" s="13" t="n">
        <x:f>D4051*I4051*H4051</x:f>
        <x:v>0</x:v>
      </x:c>
      <x:c r="K4051" s="13" t="n">
        <x:f>E4051*I4051*H4051</x:f>
        <x:v>0.18677317750000003</x:v>
      </x:c>
      <x:c r="L4051" s="1" t="str">
        <x:f>TEXT(A4051,"mmm yyyy")</x:f>
        <x:v>Jul 2026</x:v>
      </x:c>
    </x:row>
    <x:row r="4052" ht="21" customHeight="1">
      <x:c r="A4052" s="10" t="n">
        <x:v>46232</x:v>
      </x:c>
      <x:c r="B4052" s="1" t="n">
        <x:v>22</x:v>
      </x:c>
      <x:c r="C4052" s="1" t="n">
        <x:v>6</x:v>
      </x:c>
      <x:c r="D4052" s="12" t="n">
        <x:v>0</x:v>
      </x:c>
      <x:c r="E4052" s="12" t="n">
        <x:v>0.8199166666666667</x:v>
      </x:c>
      <x:c r="F4052" s="12" t="n">
        <x:v>0.8197499999999999</x:v>
      </x:c>
      <x:c r="G4052" s="12" t="n">
        <x:v>0</x:v>
      </x:c>
      <x:c r="H4052" s="1" t="n">
        <x:f>'Historical prices'!E4052</x:f>
        <x:v>1.05</x:v>
      </x:c>
      <x:c r="I4052" s="6" t="n">
        <x:f>'Historical prices'!D4052</x:f>
        <x:v>0.2734</x:v>
      </x:c>
      <x:c r="J4052" s="13" t="n">
        <x:f>D4052*I4052*H4052</x:f>
        <x:v>0</x:v>
      </x:c>
      <x:c r="K4052" s="13" t="n">
        <x:f>E4052*I4052*H4052</x:f>
        <x:v>0.2353734775</x:v>
      </x:c>
      <x:c r="L4052" s="1" t="str">
        <x:f>TEXT(A4052,"mmm yyyy")</x:f>
        <x:v>Jul 2026</x:v>
      </x:c>
    </x:row>
    <x:row r="4053" ht="21" customHeight="1">
      <x:c r="A4053" s="10" t="n">
        <x:v>46232</x:v>
      </x:c>
      <x:c r="B4053" s="1" t="n">
        <x:v>22.5</x:v>
      </x:c>
      <x:c r="C4053" s="1" t="n">
        <x:v>6</x:v>
      </x:c>
      <x:c r="D4053" s="12" t="n">
        <x:v>0</x:v>
      </x:c>
      <x:c r="E4053" s="12" t="n">
        <x:v>0.26266666666666666</x:v>
      </x:c>
      <x:c r="F4053" s="12" t="n">
        <x:v>0.2625</x:v>
      </x:c>
      <x:c r="G4053" s="12" t="n">
        <x:v>0</x:v>
      </x:c>
      <x:c r="H4053" s="1" t="n">
        <x:f>'Historical prices'!E4053</x:f>
        <x:v>1.05</x:v>
      </x:c>
      <x:c r="I4053" s="6" t="n">
        <x:f>'Historical prices'!D4053</x:f>
        <x:v>0.27949999999999997</x:v>
      </x:c>
      <x:c r="J4053" s="13" t="n">
        <x:f>D4053*I4053*H4053</x:f>
        <x:v>0</x:v>
      </x:c>
      <x:c r="K4053" s="13" t="n">
        <x:f>E4053*I4053*H4053</x:f>
        <x:v>0.07708609999999999</x:v>
      </x:c>
      <x:c r="L4053" s="1" t="str">
        <x:f>TEXT(A4053,"mmm yyyy")</x:f>
        <x:v>Jul 2026</x:v>
      </x:c>
    </x:row>
    <x:row r="4054" ht="21" customHeight="1">
      <x:c r="A4054" s="10" t="n">
        <x:v>46232</x:v>
      </x:c>
      <x:c r="B4054" s="1" t="n">
        <x:v>23</x:v>
      </x:c>
      <x:c r="C4054" s="1" t="n">
        <x:v>6</x:v>
      </x:c>
      <x:c r="D4054" s="12" t="n">
        <x:v>0</x:v>
      </x:c>
      <x:c r="E4054" s="12" t="n">
        <x:v>0.278</x:v>
      </x:c>
      <x:c r="F4054" s="12" t="n">
        <x:v>0.27775</x:v>
      </x:c>
      <x:c r="G4054" s="12" t="n">
        <x:v>0</x:v>
      </x:c>
      <x:c r="H4054" s="1" t="n">
        <x:f>'Historical prices'!E4054</x:f>
        <x:v>1.05</x:v>
      </x:c>
      <x:c r="I4054" s="6" t="n">
        <x:f>'Historical prices'!D4054</x:f>
        <x:v>0.2462</x:v>
      </x:c>
      <x:c r="J4054" s="13" t="n">
        <x:f>D4054*I4054*H4054</x:f>
        <x:v>0</x:v>
      </x:c>
      <x:c r="K4054" s="13" t="n">
        <x:f>E4054*I4054*H4054</x:f>
        <x:v>0.07186578</x:v>
      </x:c>
      <x:c r="L4054" s="1" t="str">
        <x:f>TEXT(A4054,"mmm yyyy")</x:f>
        <x:v>Jul 2026</x:v>
      </x:c>
    </x:row>
    <x:row r="4055" ht="21" customHeight="1">
      <x:c r="A4055" s="10" t="n">
        <x:v>46232</x:v>
      </x:c>
      <x:c r="B4055" s="1" t="n">
        <x:v>23.5</x:v>
      </x:c>
      <x:c r="C4055" s="1" t="n">
        <x:v>6</x:v>
      </x:c>
      <x:c r="D4055" s="12" t="n">
        <x:v>0</x:v>
      </x:c>
      <x:c r="E4055" s="12" t="n">
        <x:v>0.29983333333333334</x:v>
      </x:c>
      <x:c r="F4055" s="12" t="n">
        <x:v>0.2996666666666667</x:v>
      </x:c>
      <x:c r="G4055" s="12" t="n">
        <x:v>0</x:v>
      </x:c>
      <x:c r="H4055" s="1" t="n">
        <x:f>'Historical prices'!E4055</x:f>
        <x:v>1.05</x:v>
      </x:c>
      <x:c r="I4055" s="6" t="n">
        <x:f>'Historical prices'!D4055</x:f>
        <x:v>0.2396</x:v>
      </x:c>
      <x:c r="J4055" s="13" t="n">
        <x:f>D4055*I4055*H4055</x:f>
        <x:v>0</x:v>
      </x:c>
      <x:c r="K4055" s="13" t="n">
        <x:f>E4055*I4055*H4055</x:f>
        <x:v>0.07543207000000002</x:v>
      </x:c>
      <x:c r="L4055" s="1" t="str">
        <x:f>TEXT(A4055,"mmm yyyy")</x:f>
        <x:v>Jul 2026</x:v>
      </x:c>
    </x:row>
    <x:row r="4056" ht="21" customHeight="1">
      <x:c r="A4056" s="10" t="n">
        <x:v>46233</x:v>
      </x:c>
      <x:c r="B4056" s="1" t="n">
        <x:v>0</x:v>
      </x:c>
      <x:c r="C4056" s="1" t="n">
        <x:v>6</x:v>
      </x:c>
      <x:c r="D4056" s="12" t="n">
        <x:v>0</x:v>
      </x:c>
      <x:c r="E4056" s="12" t="n">
        <x:v>0.32091666666666663</x:v>
      </x:c>
      <x:c r="F4056" s="12" t="n">
        <x:v>0.3204166666666666</x:v>
      </x:c>
      <x:c r="G4056" s="12" t="n">
        <x:v>0</x:v>
      </x:c>
      <x:c r="H4056" s="1" t="n">
        <x:f>'Historical prices'!E4056</x:f>
        <x:v>1.05</x:v>
      </x:c>
      <x:c r="I4056" s="6" t="n">
        <x:f>'Historical prices'!D4056</x:f>
        <x:v>0.23629999999999998</x:v>
      </x:c>
      <x:c r="J4056" s="13" t="n">
        <x:f>D4056*I4056*H4056</x:f>
        <x:v>0</x:v>
      </x:c>
      <x:c r="K4056" s="13" t="n">
        <x:f>E4056*I4056*H4056</x:f>
        <x:v>0.07962423874999998</x:v>
      </x:c>
      <x:c r="L4056" s="1" t="str">
        <x:f>TEXT(A4056,"mmm yyyy")</x:f>
        <x:v>Jul 2026</x:v>
      </x:c>
    </x:row>
    <x:row r="4057" ht="21" customHeight="1">
      <x:c r="A4057" s="10" t="n">
        <x:v>46233</x:v>
      </x:c>
      <x:c r="B4057" s="1" t="n">
        <x:v>0.5</x:v>
      </x:c>
      <x:c r="C4057" s="1" t="n">
        <x:v>6</x:v>
      </x:c>
      <x:c r="D4057" s="12" t="n">
        <x:v>0</x:v>
      </x:c>
      <x:c r="E4057" s="12" t="n">
        <x:v>0.41</x:v>
      </x:c>
      <x:c r="F4057" s="12" t="n">
        <x:v>0.40991666666666665</x:v>
      </x:c>
      <x:c r="G4057" s="12" t="n">
        <x:v>0</x:v>
      </x:c>
      <x:c r="H4057" s="1" t="n">
        <x:f>'Historical prices'!E4057</x:f>
        <x:v>1.05</x:v>
      </x:c>
      <x:c r="I4057" s="6" t="n">
        <x:f>'Historical prices'!D4057</x:f>
        <x:v>0.22719999999999999</x:v>
      </x:c>
      <x:c r="J4057" s="13" t="n">
        <x:f>D4057*I4057*H4057</x:f>
        <x:v>0</x:v>
      </x:c>
      <x:c r="K4057" s="13" t="n">
        <x:f>E4057*I4057*H4057</x:f>
        <x:v>0.09780959999999998</x:v>
      </x:c>
      <x:c r="L4057" s="1" t="str">
        <x:f>TEXT(A4057,"mmm yyyy")</x:f>
        <x:v>Jul 2026</x:v>
      </x:c>
    </x:row>
    <x:row r="4058" ht="21" customHeight="1">
      <x:c r="A4058" s="10" t="n">
        <x:v>46233</x:v>
      </x:c>
      <x:c r="B4058" s="1" t="n">
        <x:v>1</x:v>
      </x:c>
      <x:c r="C4058" s="1" t="n">
        <x:v>6</x:v>
      </x:c>
      <x:c r="D4058" s="12" t="n">
        <x:v>0</x:v>
      </x:c>
      <x:c r="E4058" s="12" t="n">
        <x:v>0.2925833333333333</x:v>
      </x:c>
      <x:c r="F4058" s="12" t="n">
        <x:v>0.2925833333333333</x:v>
      </x:c>
      <x:c r="G4058" s="12" t="n">
        <x:v>0</x:v>
      </x:c>
      <x:c r="H4058" s="1" t="n">
        <x:f>'Historical prices'!E4058</x:f>
        <x:v>1.05</x:v>
      </x:c>
      <x:c r="I4058" s="6" t="n">
        <x:f>'Historical prices'!D4058</x:f>
        <x:v>0.22719999999999999</x:v>
      </x:c>
      <x:c r="J4058" s="13" t="n">
        <x:f>D4058*I4058*H4058</x:f>
        <x:v>0</x:v>
      </x:c>
      <x:c r="K4058" s="13" t="n">
        <x:f>E4058*I4058*H4058</x:f>
        <x:v>0.06979867999999999</x:v>
      </x:c>
      <x:c r="L4058" s="1" t="str">
        <x:f>TEXT(A4058,"mmm yyyy")</x:f>
        <x:v>Jul 2026</x:v>
      </x:c>
    </x:row>
    <x:row r="4059" ht="21" customHeight="1">
      <x:c r="A4059" s="10" t="n">
        <x:v>46233</x:v>
      </x:c>
      <x:c r="B4059" s="1" t="n">
        <x:v>1.5</x:v>
      </x:c>
      <x:c r="C4059" s="1" t="n">
        <x:v>6</x:v>
      </x:c>
      <x:c r="D4059" s="12" t="n">
        <x:v>0</x:v>
      </x:c>
      <x:c r="E4059" s="12" t="n">
        <x:v>0.2738333333333333</x:v>
      </x:c>
      <x:c r="F4059" s="12" t="n">
        <x:v>0.27366666666666667</x:v>
      </x:c>
      <x:c r="G4059" s="12" t="n">
        <x:v>0</x:v>
      </x:c>
      <x:c r="H4059" s="1" t="n">
        <x:f>'Historical prices'!E4059</x:f>
        <x:v>1.05</x:v>
      </x:c>
      <x:c r="I4059" s="6" t="n">
        <x:f>'Historical prices'!D4059</x:f>
        <x:v>0.2207</x:v>
      </x:c>
      <x:c r="J4059" s="13" t="n">
        <x:f>D4059*I4059*H4059</x:f>
        <x:v>0</x:v>
      </x:c>
      <x:c r="K4059" s="13" t="n">
        <x:f>E4059*I4059*H4059</x:f>
        <x:v>0.0634567675</x:v>
      </x:c>
      <x:c r="L4059" s="1" t="str">
        <x:f>TEXT(A4059,"mmm yyyy")</x:f>
        <x:v>Jul 2026</x:v>
      </x:c>
    </x:row>
    <x:row r="4060" ht="21" customHeight="1">
      <x:c r="A4060" s="10" t="n">
        <x:v>46233</x:v>
      </x:c>
      <x:c r="B4060" s="1" t="n">
        <x:v>2</x:v>
      </x:c>
      <x:c r="C4060" s="1" t="n">
        <x:v>6</x:v>
      </x:c>
      <x:c r="D4060" s="12" t="n">
        <x:v>0</x:v>
      </x:c>
      <x:c r="E4060" s="12" t="n">
        <x:v>0.25883333333333336</x:v>
      </x:c>
      <x:c r="F4060" s="12" t="n">
        <x:v>0.2585</x:v>
      </x:c>
      <x:c r="G4060" s="12" t="n">
        <x:v>0</x:v>
      </x:c>
      <x:c r="H4060" s="1" t="n">
        <x:f>'Historical prices'!E4060</x:f>
        <x:v>1.05</x:v>
      </x:c>
      <x:c r="I4060" s="6" t="n">
        <x:f>'Historical prices'!D4060</x:f>
        <x:v>0.2143</x:v>
      </x:c>
      <x:c r="J4060" s="13" t="n">
        <x:f>D4060*I4060*H4060</x:f>
        <x:v>0</x:v>
      </x:c>
      <x:c r="K4060" s="13" t="n">
        <x:f>E4060*I4060*H4060</x:f>
        <x:v>0.05824138250000001</x:v>
      </x:c>
      <x:c r="L4060" s="1" t="str">
        <x:f>TEXT(A4060,"mmm yyyy")</x:f>
        <x:v>Jul 2026</x:v>
      </x:c>
    </x:row>
    <x:row r="4061" ht="21" customHeight="1">
      <x:c r="A4061" s="10" t="n">
        <x:v>46233</x:v>
      </x:c>
      <x:c r="B4061" s="1" t="n">
        <x:v>2.5</x:v>
      </x:c>
      <x:c r="C4061" s="1" t="n">
        <x:v>6</x:v>
      </x:c>
      <x:c r="D4061" s="12" t="n">
        <x:v>0</x:v>
      </x:c>
      <x:c r="E4061" s="12" t="n">
        <x:v>0.22800000000000004</x:v>
      </x:c>
      <x:c r="F4061" s="12" t="n">
        <x:v>0.22775</x:v>
      </x:c>
      <x:c r="G4061" s="12" t="n">
        <x:v>0</x:v>
      </x:c>
      <x:c r="H4061" s="1" t="n">
        <x:f>'Historical prices'!E4061</x:f>
        <x:v>1.05</x:v>
      </x:c>
      <x:c r="I4061" s="6" t="n">
        <x:f>'Historical prices'!D4061</x:f>
        <x:v>0.2096</x:v>
      </x:c>
      <x:c r="J4061" s="13" t="n">
        <x:f>D4061*I4061*H4061</x:f>
        <x:v>0</x:v>
      </x:c>
      <x:c r="K4061" s="13" t="n">
        <x:f>E4061*I4061*H4061</x:f>
        <x:v>0.050178240000000006</x:v>
      </x:c>
      <x:c r="L4061" s="1" t="str">
        <x:f>TEXT(A4061,"mmm yyyy")</x:f>
        <x:v>Jul 2026</x:v>
      </x:c>
    </x:row>
    <x:row r="4062" ht="21" customHeight="1">
      <x:c r="A4062" s="10" t="n">
        <x:v>46233</x:v>
      </x:c>
      <x:c r="B4062" s="1" t="n">
        <x:v>3</x:v>
      </x:c>
      <x:c r="C4062" s="1" t="n">
        <x:v>6</x:v>
      </x:c>
      <x:c r="D4062" s="12" t="n">
        <x:v>0</x:v>
      </x:c>
      <x:c r="E4062" s="12" t="n">
        <x:v>0.31908333333333333</x:v>
      </x:c>
      <x:c r="F4062" s="12" t="n">
        <x:v>0.31883333333333336</x:v>
      </x:c>
      <x:c r="G4062" s="12" t="n">
        <x:v>0</x:v>
      </x:c>
      <x:c r="H4062" s="1" t="n">
        <x:f>'Historical prices'!E4062</x:f>
        <x:v>1.05</x:v>
      </x:c>
      <x:c r="I4062" s="6" t="n">
        <x:f>'Historical prices'!D4062</x:f>
        <x:v>0.2143</x:v>
      </x:c>
      <x:c r="J4062" s="13" t="n">
        <x:f>D4062*I4062*H4062</x:f>
        <x:v>0</x:v>
      </x:c>
      <x:c r="K4062" s="13" t="n">
        <x:f>E4062*I4062*H4062</x:f>
        <x:v>0.07179853624999999</x:v>
      </x:c>
      <x:c r="L4062" s="1" t="str">
        <x:f>TEXT(A4062,"mmm yyyy")</x:f>
        <x:v>Jul 2026</x:v>
      </x:c>
    </x:row>
    <x:row r="4063" ht="21" customHeight="1">
      <x:c r="A4063" s="10" t="n">
        <x:v>46233</x:v>
      </x:c>
      <x:c r="B4063" s="1" t="n">
        <x:v>3.5</x:v>
      </x:c>
      <x:c r="C4063" s="1" t="n">
        <x:v>6</x:v>
      </x:c>
      <x:c r="D4063" s="12" t="n">
        <x:v>0</x:v>
      </x:c>
      <x:c r="E4063" s="12" t="n">
        <x:v>0.30966666666666665</x:v>
      </x:c>
      <x:c r="F4063" s="12" t="n">
        <x:v>0.30966666666666665</x:v>
      </x:c>
      <x:c r="G4063" s="12" t="n">
        <x:v>0</x:v>
      </x:c>
      <x:c r="H4063" s="1" t="n">
        <x:f>'Historical prices'!E4063</x:f>
        <x:v>1.05</x:v>
      </x:c>
      <x:c r="I4063" s="6" t="n">
        <x:f>'Historical prices'!D4063</x:f>
        <x:v>0.20679999999999998</x:v>
      </x:c>
      <x:c r="J4063" s="13" t="n">
        <x:f>D4063*I4063*H4063</x:f>
        <x:v>0</x:v>
      </x:c>
      <x:c r="K4063" s="13" t="n">
        <x:f>E4063*I4063*H4063</x:f>
        <x:v>0.06724102</x:v>
      </x:c>
      <x:c r="L4063" s="1" t="str">
        <x:f>TEXT(A4063,"mmm yyyy")</x:f>
        <x:v>Jul 2026</x:v>
      </x:c>
    </x:row>
    <x:row r="4064" ht="21" customHeight="1">
      <x:c r="A4064" s="10" t="n">
        <x:v>46233</x:v>
      </x:c>
      <x:c r="B4064" s="1" t="n">
        <x:v>4</x:v>
      </x:c>
      <x:c r="C4064" s="1" t="n">
        <x:v>6</x:v>
      </x:c>
      <x:c r="D4064" s="12" t="n">
        <x:v>0</x:v>
      </x:c>
      <x:c r="E4064" s="12" t="n">
        <x:v>0.243</x:v>
      </x:c>
      <x:c r="F4064" s="12" t="n">
        <x:v>0.24258333333333335</x:v>
      </x:c>
      <x:c r="G4064" s="12" t="n">
        <x:v>0</x:v>
      </x:c>
      <x:c r="H4064" s="1" t="n">
        <x:f>'Historical prices'!E4064</x:f>
        <x:v>1.05</x:v>
      </x:c>
      <x:c r="I4064" s="6" t="n">
        <x:f>'Historical prices'!D4064</x:f>
        <x:v>0.2102</x:v>
      </x:c>
      <x:c r="J4064" s="13" t="n">
        <x:f>D4064*I4064*H4064</x:f>
        <x:v>0</x:v>
      </x:c>
      <x:c r="K4064" s="13" t="n">
        <x:f>E4064*I4064*H4064</x:f>
        <x:v>0.05363253</x:v>
      </x:c>
      <x:c r="L4064" s="1" t="str">
        <x:f>TEXT(A4064,"mmm yyyy")</x:f>
        <x:v>Jul 2026</x:v>
      </x:c>
    </x:row>
    <x:row r="4065" ht="21" customHeight="1">
      <x:c r="A4065" s="10" t="n">
        <x:v>46233</x:v>
      </x:c>
      <x:c r="B4065" s="1" t="n">
        <x:v>4.5</x:v>
      </x:c>
      <x:c r="C4065" s="1" t="n">
        <x:v>6</x:v>
      </x:c>
      <x:c r="D4065" s="12" t="n">
        <x:v>0</x:v>
      </x:c>
      <x:c r="E4065" s="12" t="n">
        <x:v>0.3219166666666667</x:v>
      </x:c>
      <x:c r="F4065" s="12" t="n">
        <x:v>0.3216666666666667</x:v>
      </x:c>
      <x:c r="G4065" s="12" t="n">
        <x:v>0</x:v>
      </x:c>
      <x:c r="H4065" s="1" t="n">
        <x:f>'Historical prices'!E4065</x:f>
        <x:v>1.05</x:v>
      </x:c>
      <x:c r="I4065" s="6" t="n">
        <x:f>'Historical prices'!D4065</x:f>
        <x:v>0.2075</x:v>
      </x:c>
      <x:c r="J4065" s="13" t="n">
        <x:f>D4065*I4065*H4065</x:f>
        <x:v>0</x:v>
      </x:c>
      <x:c r="K4065" s="13" t="n">
        <x:f>E4065*I4065*H4065</x:f>
        <x:v>0.07013759375</x:v>
      </x:c>
      <x:c r="L4065" s="1" t="str">
        <x:f>TEXT(A4065,"mmm yyyy")</x:f>
        <x:v>Jul 2026</x:v>
      </x:c>
    </x:row>
    <x:row r="4066" ht="21" customHeight="1">
      <x:c r="A4066" s="10" t="n">
        <x:v>46233</x:v>
      </x:c>
      <x:c r="B4066" s="1" t="n">
        <x:v>5</x:v>
      </x:c>
      <x:c r="C4066" s="1" t="n">
        <x:v>6</x:v>
      </x:c>
      <x:c r="D4066" s="12" t="n">
        <x:v>0</x:v>
      </x:c>
      <x:c r="E4066" s="12" t="n">
        <x:v>0.328</x:v>
      </x:c>
      <x:c r="F4066" s="12" t="n">
        <x:v>0.3279166666666667</x:v>
      </x:c>
      <x:c r="G4066" s="12" t="n">
        <x:v>0</x:v>
      </x:c>
      <x:c r="H4066" s="1" t="n">
        <x:f>'Historical prices'!E4066</x:f>
        <x:v>1.05</x:v>
      </x:c>
      <x:c r="I4066" s="6" t="n">
        <x:f>'Historical prices'!D4066</x:f>
        <x:v>0.22870000000000001</x:v>
      </x:c>
      <x:c r="J4066" s="13" t="n">
        <x:f>D4066*I4066*H4066</x:f>
        <x:v>0</x:v>
      </x:c>
      <x:c r="K4066" s="13" t="n">
        <x:f>E4066*I4066*H4066</x:f>
        <x:v>0.07876428000000002</x:v>
      </x:c>
      <x:c r="L4066" s="1" t="str">
        <x:f>TEXT(A4066,"mmm yyyy")</x:f>
        <x:v>Jul 2026</x:v>
      </x:c>
    </x:row>
    <x:row r="4067" ht="21" customHeight="1">
      <x:c r="A4067" s="10" t="n">
        <x:v>46233</x:v>
      </x:c>
      <x:c r="B4067" s="1" t="n">
        <x:v>5.5</x:v>
      </x:c>
      <x:c r="C4067" s="1" t="n">
        <x:v>6</x:v>
      </x:c>
      <x:c r="D4067" s="12" t="n">
        <x:v>0</x:v>
      </x:c>
      <x:c r="E4067" s="12" t="n">
        <x:v>0.47691666666666666</x:v>
      </x:c>
      <x:c r="F4067" s="12" t="n">
        <x:v>0.4766666666666667</x:v>
      </x:c>
      <x:c r="G4067" s="12" t="n">
        <x:v>0</x:v>
      </x:c>
      <x:c r="H4067" s="1" t="n">
        <x:f>'Historical prices'!E4067</x:f>
        <x:v>1.05</x:v>
      </x:c>
      <x:c r="I4067" s="6" t="n">
        <x:f>'Historical prices'!D4067</x:f>
        <x:v>0.23370000000000002</x:v>
      </x:c>
      <x:c r="J4067" s="13" t="n">
        <x:f>D4067*I4067*H4067</x:f>
        <x:v>0</x:v>
      </x:c>
      <x:c r="K4067" s="13" t="n">
        <x:f>E4067*I4067*H4067</x:f>
        <x:v>0.11702819625000002</x:v>
      </x:c>
      <x:c r="L4067" s="1" t="str">
        <x:f>TEXT(A4067,"mmm yyyy")</x:f>
        <x:v>Jul 2026</x:v>
      </x:c>
    </x:row>
    <x:row r="4068" ht="21" customHeight="1">
      <x:c r="A4068" s="10" t="n">
        <x:v>46233</x:v>
      </x:c>
      <x:c r="B4068" s="1" t="n">
        <x:v>6</x:v>
      </x:c>
      <x:c r="C4068" s="1" t="n">
        <x:v>6</x:v>
      </x:c>
      <x:c r="D4068" s="12" t="n">
        <x:v>0</x:v>
      </x:c>
      <x:c r="E4068" s="12" t="n">
        <x:v>0.472</x:v>
      </x:c>
      <x:c r="F4068" s="12" t="n">
        <x:v>0.46991666666666665</x:v>
      </x:c>
      <x:c r="G4068" s="12" t="n">
        <x:v>0</x:v>
      </x:c>
      <x:c r="H4068" s="1" t="n">
        <x:f>'Historical prices'!E4068</x:f>
        <x:v>1.05</x:v>
      </x:c>
      <x:c r="I4068" s="6" t="n">
        <x:f>'Historical prices'!D4068</x:f>
        <x:v>0.2173</x:v>
      </x:c>
      <x:c r="J4068" s="13" t="n">
        <x:f>D4068*I4068*H4068</x:f>
        <x:v>0</x:v>
      </x:c>
      <x:c r="K4068" s="13" t="n">
        <x:f>E4068*I4068*H4068</x:f>
        <x:v>0.10769387999999999</x:v>
      </x:c>
      <x:c r="L4068" s="1" t="str">
        <x:f>TEXT(A4068,"mmm yyyy")</x:f>
        <x:v>Jul 2026</x:v>
      </x:c>
    </x:row>
    <x:row r="4069" ht="21" customHeight="1">
      <x:c r="A4069" s="10" t="n">
        <x:v>46233</x:v>
      </x:c>
      <x:c r="B4069" s="1" t="n">
        <x:v>6.5</x:v>
      </x:c>
      <x:c r="C4069" s="1" t="n">
        <x:v>6</x:v>
      </x:c>
      <x:c r="D4069" s="12" t="n">
        <x:v>0</x:v>
      </x:c>
      <x:c r="E4069" s="12" t="n">
        <x:v>0.4830833333333333</x:v>
      </x:c>
      <x:c r="F4069" s="12" t="n">
        <x:v>0.48250000000000004</x:v>
      </x:c>
      <x:c r="G4069" s="12" t="n">
        <x:v>0</x:v>
      </x:c>
      <x:c r="H4069" s="1" t="n">
        <x:f>'Historical prices'!E4069</x:f>
        <x:v>1.05</x:v>
      </x:c>
      <x:c r="I4069" s="6" t="n">
        <x:f>'Historical prices'!D4069</x:f>
        <x:v>0.2495</x:v>
      </x:c>
      <x:c r="J4069" s="13" t="n">
        <x:f>D4069*I4069*H4069</x:f>
        <x:v>0</x:v>
      </x:c>
      <x:c r="K4069" s="13" t="n">
        <x:f>E4069*I4069*H4069</x:f>
        <x:v>0.12655575625</x:v>
      </x:c>
      <x:c r="L4069" s="1" t="str">
        <x:f>TEXT(A4069,"mmm yyyy")</x:f>
        <x:v>Jul 2026</x:v>
      </x:c>
    </x:row>
    <x:row r="4070" ht="21" customHeight="1">
      <x:c r="A4070" s="10" t="n">
        <x:v>46233</x:v>
      </x:c>
      <x:c r="B4070" s="1" t="n">
        <x:v>7</x:v>
      </x:c>
      <x:c r="C4070" s="1" t="n">
        <x:v>6</x:v>
      </x:c>
      <x:c r="D4070" s="12" t="n">
        <x:v>0</x:v>
      </x:c>
      <x:c r="E4070" s="12" t="n">
        <x:v>0.5138333333333334</x:v>
      </x:c>
      <x:c r="F4070" s="12" t="n">
        <x:v>0.5135833333333334</x:v>
      </x:c>
      <x:c r="G4070" s="12" t="n">
        <x:v>0</x:v>
      </x:c>
      <x:c r="H4070" s="1" t="n">
        <x:f>'Historical prices'!E4070</x:f>
        <x:v>1.05</x:v>
      </x:c>
      <x:c r="I4070" s="6" t="n">
        <x:f>'Historical prices'!D4070</x:f>
        <x:v>0.2354</x:v>
      </x:c>
      <x:c r="J4070" s="13" t="n">
        <x:f>D4070*I4070*H4070</x:f>
        <x:v>0</x:v>
      </x:c>
      <x:c r="K4070" s="13" t="n">
        <x:f>E4070*I4070*H4070</x:f>
        <x:v>0.12700418500000002</x:v>
      </x:c>
      <x:c r="L4070" s="1" t="str">
        <x:f>TEXT(A4070,"mmm yyyy")</x:f>
        <x:v>Jul 2026</x:v>
      </x:c>
    </x:row>
    <x:row r="4071" ht="21" customHeight="1">
      <x:c r="A4071" s="10" t="n">
        <x:v>46233</x:v>
      </x:c>
      <x:c r="B4071" s="1" t="n">
        <x:v>7.5</x:v>
      </x:c>
      <x:c r="C4071" s="1" t="n">
        <x:v>6</x:v>
      </x:c>
      <x:c r="D4071" s="12" t="n">
        <x:v>0</x:v>
      </x:c>
      <x:c r="E4071" s="12" t="n">
        <x:v>0.5900000000000001</x:v>
      </x:c>
      <x:c r="F4071" s="12" t="n">
        <x:v>0.58975</x:v>
      </x:c>
      <x:c r="G4071" s="12" t="n">
        <x:v>0</x:v>
      </x:c>
      <x:c r="H4071" s="1" t="n">
        <x:f>'Historical prices'!E4071</x:f>
        <x:v>1.05</x:v>
      </x:c>
      <x:c r="I4071" s="6" t="n">
        <x:f>'Historical prices'!D4071</x:f>
        <x:v>0.2396</x:v>
      </x:c>
      <x:c r="J4071" s="13" t="n">
        <x:f>D4071*I4071*H4071</x:f>
        <x:v>0</x:v>
      </x:c>
      <x:c r="K4071" s="13" t="n">
        <x:f>E4071*I4071*H4071</x:f>
        <x:v>0.14843220000000001</x:v>
      </x:c>
      <x:c r="L4071" s="1" t="str">
        <x:f>TEXT(A4071,"mmm yyyy")</x:f>
        <x:v>Jul 2026</x:v>
      </x:c>
    </x:row>
    <x:row r="4072" ht="21" customHeight="1">
      <x:c r="A4072" s="10" t="n">
        <x:v>46233</x:v>
      </x:c>
      <x:c r="B4072" s="1" t="n">
        <x:v>8</x:v>
      </x:c>
      <x:c r="C4072" s="1" t="n">
        <x:v>6</x:v>
      </x:c>
      <x:c r="D4072" s="12" t="n">
        <x:v>0</x:v>
      </x:c>
      <x:c r="E4072" s="12" t="n">
        <x:v>0.596</x:v>
      </x:c>
      <x:c r="F4072" s="12" t="n">
        <x:v>0.5958333333333333</x:v>
      </x:c>
      <x:c r="G4072" s="12" t="n">
        <x:v>0</x:v>
      </x:c>
      <x:c r="H4072" s="1" t="n">
        <x:f>'Historical prices'!E4072</x:f>
        <x:v>1.05</x:v>
      </x:c>
      <x:c r="I4072" s="6" t="n">
        <x:f>'Historical prices'!D4072</x:f>
        <x:v>0.25780000000000003</x:v>
      </x:c>
      <x:c r="J4072" s="13" t="n">
        <x:f>D4072*I4072*H4072</x:f>
        <x:v>0</x:v>
      </x:c>
      <x:c r="K4072" s="13" t="n">
        <x:f>E4072*I4072*H4072</x:f>
        <x:v>0.16133124000000001</x:v>
      </x:c>
      <x:c r="L4072" s="1" t="str">
        <x:f>TEXT(A4072,"mmm yyyy")</x:f>
        <x:v>Jul 2026</x:v>
      </x:c>
    </x:row>
    <x:row r="4073" ht="21" customHeight="1">
      <x:c r="A4073" s="10" t="n">
        <x:v>46233</x:v>
      </x:c>
      <x:c r="B4073" s="1" t="n">
        <x:v>8.5</x:v>
      </x:c>
      <x:c r="C4073" s="1" t="n">
        <x:v>6</x:v>
      </x:c>
      <x:c r="D4073" s="12" t="n">
        <x:v>0</x:v>
      </x:c>
      <x:c r="E4073" s="12" t="n">
        <x:v>0.5365</x:v>
      </x:c>
      <x:c r="F4073" s="12" t="n">
        <x:v>0.5364166666666667</x:v>
      </x:c>
      <x:c r="G4073" s="12" t="n">
        <x:v>0</x:v>
      </x:c>
      <x:c r="H4073" s="1" t="n">
        <x:f>'Historical prices'!E4073</x:f>
        <x:v>1.05</x:v>
      </x:c>
      <x:c r="I4073" s="6" t="n">
        <x:f>'Historical prices'!D4073</x:f>
        <x:v>0.2572</x:v>
      </x:c>
      <x:c r="J4073" s="13" t="n">
        <x:f>D4073*I4073*H4073</x:f>
        <x:v>0</x:v>
      </x:c>
      <x:c r="K4073" s="13" t="n">
        <x:f>E4073*I4073*H4073</x:f>
        <x:v>0.14488719</x:v>
      </x:c>
      <x:c r="L4073" s="1" t="str">
        <x:f>TEXT(A4073,"mmm yyyy")</x:f>
        <x:v>Jul 2026</x:v>
      </x:c>
    </x:row>
    <x:row r="4074" ht="21" customHeight="1">
      <x:c r="A4074" s="10" t="n">
        <x:v>46233</x:v>
      </x:c>
      <x:c r="B4074" s="1" t="n">
        <x:v>9</x:v>
      </x:c>
      <x:c r="C4074" s="1" t="n">
        <x:v>6</x:v>
      </x:c>
      <x:c r="D4074" s="12" t="n">
        <x:v>0</x:v>
      </x:c>
      <x:c r="E4074" s="12" t="n">
        <x:v>0.7199166666666666</x:v>
      </x:c>
      <x:c r="F4074" s="12" t="n">
        <x:v>0.7196666666666667</x:v>
      </x:c>
      <x:c r="G4074" s="12" t="n">
        <x:v>0</x:v>
      </x:c>
      <x:c r="H4074" s="1" t="n">
        <x:f>'Historical prices'!E4074</x:f>
        <x:v>1.05</x:v>
      </x:c>
      <x:c r="I4074" s="6" t="n">
        <x:f>'Historical prices'!D4074</x:f>
        <x:v>0.23399999999999999</x:v>
      </x:c>
      <x:c r="J4074" s="13" t="n">
        <x:f>D4074*I4074*H4074</x:f>
        <x:v>0</x:v>
      </x:c>
      <x:c r="K4074" s="13" t="n">
        <x:f>E4074*I4074*H4074</x:f>
        <x:v>0.17688352499999999</x:v>
      </x:c>
      <x:c r="L4074" s="1" t="str">
        <x:f>TEXT(A4074,"mmm yyyy")</x:f>
        <x:v>Jul 2026</x:v>
      </x:c>
    </x:row>
    <x:row r="4075" ht="21" customHeight="1">
      <x:c r="A4075" s="10" t="n">
        <x:v>46233</x:v>
      </x:c>
      <x:c r="B4075" s="1" t="n">
        <x:v>9.5</x:v>
      </x:c>
      <x:c r="C4075" s="1" t="n">
        <x:v>6</x:v>
      </x:c>
      <x:c r="D4075" s="12" t="n">
        <x:v>0</x:v>
      </x:c>
      <x:c r="E4075" s="12" t="n">
        <x:v>0.7566666666666667</x:v>
      </x:c>
      <x:c r="F4075" s="12" t="n">
        <x:v>0.7564166666666667</x:v>
      </x:c>
      <x:c r="G4075" s="12" t="n">
        <x:v>0</x:v>
      </x:c>
      <x:c r="H4075" s="1" t="n">
        <x:f>'Historical prices'!E4075</x:f>
        <x:v>1.05</x:v>
      </x:c>
      <x:c r="I4075" s="6" t="n">
        <x:f>'Historical prices'!D4075</x:f>
        <x:v>0.23120000000000002</x:v>
      </x:c>
      <x:c r="J4075" s="13" t="n">
        <x:f>D4075*I4075*H4075</x:f>
        <x:v>0</x:v>
      </x:c>
      <x:c r="K4075" s="13" t="n">
        <x:f>E4075*I4075*H4075</x:f>
        <x:v>0.18368840000000003</x:v>
      </x:c>
      <x:c r="L4075" s="1" t="str">
        <x:f>TEXT(A4075,"mmm yyyy")</x:f>
        <x:v>Jul 2026</x:v>
      </x:c>
    </x:row>
    <x:row r="4076" ht="21" customHeight="1">
      <x:c r="A4076" s="10" t="n">
        <x:v>46233</x:v>
      </x:c>
      <x:c r="B4076" s="1" t="n">
        <x:v>10</x:v>
      </x:c>
      <x:c r="C4076" s="1" t="n">
        <x:v>6</x:v>
      </x:c>
      <x:c r="D4076" s="12" t="n">
        <x:v>0</x:v>
      </x:c>
      <x:c r="E4076" s="12" t="n">
        <x:v>0.7344166666666667</x:v>
      </x:c>
      <x:c r="F4076" s="12" t="n">
        <x:v>0.73425</x:v>
      </x:c>
      <x:c r="G4076" s="12" t="n">
        <x:v>0</x:v>
      </x:c>
      <x:c r="H4076" s="1" t="n">
        <x:f>'Historical prices'!E4076</x:f>
        <x:v>1.05</x:v>
      </x:c>
      <x:c r="I4076" s="6" t="n">
        <x:f>'Historical prices'!D4076</x:f>
        <x:v>0.2263</x:v>
      </x:c>
      <x:c r="J4076" s="13" t="n">
        <x:f>D4076*I4076*H4076</x:f>
        <x:v>0</x:v>
      </x:c>
      <x:c r="K4076" s="13" t="n">
        <x:f>E4076*I4076*H4076</x:f>
        <x:v>0.17450841625000002</x:v>
      </x:c>
      <x:c r="L4076" s="1" t="str">
        <x:f>TEXT(A4076,"mmm yyyy")</x:f>
        <x:v>Jul 2026</x:v>
      </x:c>
    </x:row>
    <x:row r="4077" ht="21" customHeight="1">
      <x:c r="A4077" s="10" t="n">
        <x:v>46233</x:v>
      </x:c>
      <x:c r="B4077" s="1" t="n">
        <x:v>10.5</x:v>
      </x:c>
      <x:c r="C4077" s="1" t="n">
        <x:v>6</x:v>
      </x:c>
      <x:c r="D4077" s="12" t="n">
        <x:v>0</x:v>
      </x:c>
      <x:c r="E4077" s="12" t="n">
        <x:v>0.5826666666666667</x:v>
      </x:c>
      <x:c r="F4077" s="12" t="n">
        <x:v>0.5823333333333334</x:v>
      </x:c>
      <x:c r="G4077" s="12" t="n">
        <x:v>0</x:v>
      </x:c>
      <x:c r="H4077" s="1" t="n">
        <x:f>'Historical prices'!E4077</x:f>
        <x:v>1.05</x:v>
      </x:c>
      <x:c r="I4077" s="6" t="n">
        <x:f>'Historical prices'!D4077</x:f>
        <x:v>0.20350000000000001</x:v>
      </x:c>
      <x:c r="J4077" s="13" t="n">
        <x:f>D4077*I4077*H4077</x:f>
        <x:v>0</x:v>
      </x:c>
      <x:c r="K4077" s="13" t="n">
        <x:f>E4077*I4077*H4077</x:f>
        <x:v>0.12450130000000001</x:v>
      </x:c>
      <x:c r="L4077" s="1" t="str">
        <x:f>TEXT(A4077,"mmm yyyy")</x:f>
        <x:v>Jul 2026</x:v>
      </x:c>
    </x:row>
    <x:row r="4078" ht="21" customHeight="1">
      <x:c r="A4078" s="10" t="n">
        <x:v>46233</x:v>
      </x:c>
      <x:c r="B4078" s="1" t="n">
        <x:v>11</x:v>
      </x:c>
      <x:c r="C4078" s="1" t="n">
        <x:v>6</x:v>
      </x:c>
      <x:c r="D4078" s="12" t="n">
        <x:v>0.3825</x:v>
      </x:c>
      <x:c r="E4078" s="12" t="n">
        <x:v>0.4815</x:v>
      </x:c>
      <x:c r="F4078" s="12" t="n">
        <x:v>0.089</x:v>
      </x:c>
      <x:c r="G4078" s="12" t="n">
        <x:v>0</x:v>
      </x:c>
      <x:c r="H4078" s="1" t="n">
        <x:f>'Historical prices'!E4078</x:f>
        <x:v>1.05</x:v>
      </x:c>
      <x:c r="I4078" s="6" t="n">
        <x:f>'Historical prices'!D4078</x:f>
        <x:v>0.166</x:v>
      </x:c>
      <x:c r="J4078" s="13" t="n">
        <x:f>D4078*I4078*H4078</x:f>
        <x:v>0.06666975000000001</x:v>
      </x:c>
      <x:c r="K4078" s="13" t="n">
        <x:f>E4078*I4078*H4078</x:f>
        <x:v>0.08392545</x:v>
      </x:c>
      <x:c r="L4078" s="1" t="str">
        <x:f>TEXT(A4078,"mmm yyyy")</x:f>
        <x:v>Jul 2026</x:v>
      </x:c>
    </x:row>
    <x:row r="4079" ht="21" customHeight="1">
      <x:c r="A4079" s="10" t="n">
        <x:v>46233</x:v>
      </x:c>
      <x:c r="B4079" s="1" t="n">
        <x:v>11.5</x:v>
      </x:c>
      <x:c r="C4079" s="1" t="n">
        <x:v>6</x:v>
      </x:c>
      <x:c r="D4079" s="12" t="n">
        <x:v>0.5079166666666667</x:v>
      </x:c>
      <x:c r="E4079" s="12" t="n">
        <x:v>0.5189166666666667</x:v>
      </x:c>
      <x:c r="F4079" s="12" t="n">
        <x:v>0</x:v>
      </x:c>
      <x:c r="G4079" s="12" t="n">
        <x:v>0</x:v>
      </x:c>
      <x:c r="H4079" s="1" t="n">
        <x:f>'Historical prices'!E4079</x:f>
        <x:v>1.05</x:v>
      </x:c>
      <x:c r="I4079" s="6" t="n">
        <x:f>'Historical prices'!D4079</x:f>
        <x:v>0.1585</x:v>
      </x:c>
      <x:c r="J4079" s="13" t="n">
        <x:f>D4079*I4079*H4079</x:f>
        <x:v>0.08453003125000001</x:v>
      </x:c>
      <x:c r="K4079" s="13" t="n">
        <x:f>E4079*I4079*H4079</x:f>
        <x:v>0.08636070625</x:v>
      </x:c>
      <x:c r="L4079" s="1" t="str">
        <x:f>TEXT(A4079,"mmm yyyy")</x:f>
        <x:v>Jul 2026</x:v>
      </x:c>
    </x:row>
    <x:row r="4080" ht="21" customHeight="1">
      <x:c r="A4080" s="10" t="n">
        <x:v>46233</x:v>
      </x:c>
      <x:c r="B4080" s="1" t="n">
        <x:v>12</x:v>
      </x:c>
      <x:c r="C4080" s="1" t="n">
        <x:v>6</x:v>
      </x:c>
      <x:c r="D4080" s="12" t="n">
        <x:v>4.697583333333333</x:v>
      </x:c>
      <x:c r="E4080" s="12" t="n">
        <x:v>0.7725833333333333</x:v>
      </x:c>
      <x:c r="F4080" s="12" t="n">
        <x:v>0</x:v>
      </x:c>
      <x:c r="G4080" s="12" t="n">
        <x:v>3.926</x:v>
      </x:c>
      <x:c r="H4080" s="1" t="n">
        <x:f>'Historical prices'!E4080</x:f>
        <x:v>1.05</x:v>
      </x:c>
      <x:c r="I4080" s="6" t="n">
        <x:f>'Historical prices'!D4080</x:f>
        <x:v>0.13470000000000001</x:v>
      </x:c>
      <x:c r="J4080" s="13" t="n">
        <x:f>D4080*I4080*H4080</x:f>
        <x:v>0.6644026987500001</x:v>
      </x:c>
      <x:c r="K4080" s="13" t="n">
        <x:f>E4080*I4080*H4080</x:f>
        <x:v>0.10927032375000001</x:v>
      </x:c>
      <x:c r="L4080" s="1" t="str">
        <x:f>TEXT(A4080,"mmm yyyy")</x:f>
        <x:v>Jul 2026</x:v>
      </x:c>
    </x:row>
    <x:row r="4081" ht="21" customHeight="1">
      <x:c r="A4081" s="10" t="n">
        <x:v>46233</x:v>
      </x:c>
      <x:c r="B4081" s="1" t="n">
        <x:v>12.5</x:v>
      </x:c>
      <x:c r="C4081" s="1" t="n">
        <x:v>6</x:v>
      </x:c>
      <x:c r="D4081" s="12" t="n">
        <x:v>5.3335</x:v>
      </x:c>
      <x:c r="E4081" s="12" t="n">
        <x:v>0.8084999999999999</x:v>
      </x:c>
      <x:c r="F4081" s="12" t="n">
        <x:v>0</x:v>
      </x:c>
      <x:c r="G4081" s="12" t="n">
        <x:v>4.525</x:v>
      </x:c>
      <x:c r="H4081" s="1" t="n">
        <x:f>'Historical prices'!E4081</x:f>
        <x:v>1.05</x:v>
      </x:c>
      <x:c r="I4081" s="6" t="n">
        <x:f>'Historical prices'!D4081</x:f>
        <x:v>0.1325</x:v>
      </x:c>
      <x:c r="J4081" s="13" t="n">
        <x:f>D4081*I4081*H4081</x:f>
        <x:v>0.7420231875</x:v>
      </x:c>
      <x:c r="K4081" s="13" t="n">
        <x:f>E4081*I4081*H4081</x:f>
        <x:v>0.1124825625</x:v>
      </x:c>
      <x:c r="L4081" s="1" t="str">
        <x:f>TEXT(A4081,"mmm yyyy")</x:f>
        <x:v>Jul 2026</x:v>
      </x:c>
    </x:row>
    <x:row r="4082" ht="21" customHeight="1">
      <x:c r="A4082" s="10" t="n">
        <x:v>46233</x:v>
      </x:c>
      <x:c r="B4082" s="1" t="n">
        <x:v>13</x:v>
      </x:c>
      <x:c r="C4082" s="1" t="n">
        <x:v>6</x:v>
      </x:c>
      <x:c r="D4082" s="12" t="n">
        <x:v>1.3105833333333332</x:v>
      </x:c>
      <x:c r="E4082" s="12" t="n">
        <x:v>0.5675833333333333</x:v>
      </x:c>
      <x:c r="F4082" s="12" t="n">
        <x:v>0</x:v>
      </x:c>
      <x:c r="G4082" s="12" t="n">
        <x:v>0.744</x:v>
      </x:c>
      <x:c r="H4082" s="1" t="n">
        <x:f>'Historical prices'!E4082</x:f>
        <x:v>1.05</x:v>
      </x:c>
      <x:c r="I4082" s="6" t="n">
        <x:f>'Historical prices'!D4082</x:f>
        <x:v>0.1472</x:v>
      </x:c>
      <x:c r="J4082" s="13" t="n">
        <x:f>D4082*I4082*H4082</x:f>
        <x:v>0.20256375999999998</x:v>
      </x:c>
      <x:c r="K4082" s="13" t="n">
        <x:f>E4082*I4082*H4082</x:f>
        <x:v>0.08772568</x:v>
      </x:c>
      <x:c r="L4082" s="1" t="str">
        <x:f>TEXT(A4082,"mmm yyyy")</x:f>
        <x:v>Jul 2026</x:v>
      </x:c>
    </x:row>
    <x:row r="4083" ht="21" customHeight="1">
      <x:c r="A4083" s="10" t="n">
        <x:v>46233</x:v>
      </x:c>
      <x:c r="B4083" s="1" t="n">
        <x:v>13.5</x:v>
      </x:c>
      <x:c r="C4083" s="1" t="n">
        <x:v>6</x:v>
      </x:c>
      <x:c r="D4083" s="12" t="n">
        <x:v>4.729916666666667</x:v>
      </x:c>
      <x:c r="E4083" s="12" t="n">
        <x:v>0.7449166666666667</x:v>
      </x:c>
      <x:c r="F4083" s="12" t="n">
        <x:v>0</x:v>
      </x:c>
      <x:c r="G4083" s="12" t="n">
        <x:v>3.987</x:v>
      </x:c>
      <x:c r="H4083" s="1" t="n">
        <x:f>'Historical prices'!E4083</x:f>
        <x:v>1.05</x:v>
      </x:c>
      <x:c r="I4083" s="6" t="n">
        <x:f>'Historical prices'!D4083</x:f>
        <x:v>0.1349</x:v>
      </x:c>
      <x:c r="J4083" s="13" t="n">
        <x:f>D4083*I4083*H4083</x:f>
        <x:v>0.6699690462500001</x:v>
      </x:c>
      <x:c r="K4083" s="13" t="n">
        <x:f>E4083*I4083*H4083</x:f>
        <x:v>0.10551372125</x:v>
      </x:c>
      <x:c r="L4083" s="1" t="str">
        <x:f>TEXT(A4083,"mmm yyyy")</x:f>
        <x:v>Jul 2026</x:v>
      </x:c>
    </x:row>
    <x:row r="4084" ht="21" customHeight="1">
      <x:c r="A4084" s="10" t="n">
        <x:v>46233</x:v>
      </x:c>
      <x:c r="B4084" s="1" t="n">
        <x:v>14</x:v>
      </x:c>
      <x:c r="C4084" s="1" t="n">
        <x:v>6</x:v>
      </x:c>
      <x:c r="D4084" s="12" t="n">
        <x:v>1.4942499999999999</x:v>
      </x:c>
      <x:c r="E4084" s="12" t="n">
        <x:v>0.5482499999999999</x:v>
      </x:c>
      <x:c r="F4084" s="12" t="n">
        <x:v>0</x:v>
      </x:c>
      <x:c r="G4084" s="12" t="n">
        <x:v>0.9410000000000001</x:v>
      </x:c>
      <x:c r="H4084" s="1" t="n">
        <x:f>'Historical prices'!E4084</x:f>
        <x:v>1.05</x:v>
      </x:c>
      <x:c r="I4084" s="6" t="n">
        <x:f>'Historical prices'!D4084</x:f>
        <x:v>0.1418</x:v>
      </x:c>
      <x:c r="J4084" s="13" t="n">
        <x:f>D4084*I4084*H4084</x:f>
        <x:v>0.22247888249999997</x:v>
      </x:c>
      <x:c r="K4084" s="13" t="n">
        <x:f>E4084*I4084*H4084</x:f>
        <x:v>0.0816289425</x:v>
      </x:c>
      <x:c r="L4084" s="1" t="str">
        <x:f>TEXT(A4084,"mmm yyyy")</x:f>
        <x:v>Jul 2026</x:v>
      </x:c>
    </x:row>
    <x:row r="4085" ht="21" customHeight="1">
      <x:c r="A4085" s="10" t="n">
        <x:v>46233</x:v>
      </x:c>
      <x:c r="B4085" s="1" t="n">
        <x:v>14.5</x:v>
      </x:c>
      <x:c r="C4085" s="1" t="n">
        <x:v>6</x:v>
      </x:c>
      <x:c r="D4085" s="12" t="n">
        <x:v>4.837583333333333</x:v>
      </x:c>
      <x:c r="E4085" s="12" t="n">
        <x:v>0.7965833333333333</x:v>
      </x:c>
      <x:c r="F4085" s="12" t="n">
        <x:v>0</x:v>
      </x:c>
      <x:c r="G4085" s="12" t="n">
        <x:v>4.041</x:v>
      </x:c>
      <x:c r="H4085" s="1" t="n">
        <x:f>'Historical prices'!E4085</x:f>
        <x:v>1.05</x:v>
      </x:c>
      <x:c r="I4085" s="6" t="n">
        <x:f>'Historical prices'!D4085</x:f>
        <x:v>0.1325</x:v>
      </x:c>
      <x:c r="J4085" s="13" t="n">
        <x:f>D4085*I4085*H4085</x:f>
        <x:v>0.67302878125</x:v>
      </x:c>
      <x:c r="K4085" s="13" t="n">
        <x:f>E4085*I4085*H4085</x:f>
        <x:v>0.11082465625</x:v>
      </x:c>
      <x:c r="L4085" s="1" t="str">
        <x:f>TEXT(A4085,"mmm yyyy")</x:f>
        <x:v>Jul 2026</x:v>
      </x:c>
    </x:row>
    <x:row r="4086" ht="21" customHeight="1">
      <x:c r="A4086" s="10" t="n">
        <x:v>46233</x:v>
      </x:c>
      <x:c r="B4086" s="1" t="n">
        <x:v>15</x:v>
      </x:c>
      <x:c r="C4086" s="1" t="n">
        <x:v>6</x:v>
      </x:c>
      <x:c r="D4086" s="12" t="n">
        <x:v>1.3275833333333333</x:v>
      </x:c>
      <x:c r="E4086" s="12" t="n">
        <x:v>0.5765833333333333</x:v>
      </x:c>
      <x:c r="F4086" s="12" t="n">
        <x:v>0</x:v>
      </x:c>
      <x:c r="G4086" s="12" t="n">
        <x:v>0.753</x:v>
      </x:c>
      <x:c r="H4086" s="1" t="n">
        <x:f>'Historical prices'!E4086</x:f>
        <x:v>1.05</x:v>
      </x:c>
      <x:c r="I4086" s="6" t="n">
        <x:f>'Historical prices'!D4086</x:f>
        <x:v>0.1487</x:v>
      </x:c>
      <x:c r="J4086" s="13" t="n">
        <x:f>D4086*I4086*H4086</x:f>
        <x:v>0.20728222375</x:v>
      </x:c>
      <x:c r="K4086" s="13" t="n">
        <x:f>E4086*I4086*H4086</x:f>
        <x:v>0.09002483875</x:v>
      </x:c>
      <x:c r="L4086" s="1" t="str">
        <x:f>TEXT(A4086,"mmm yyyy")</x:f>
        <x:v>Jul 2026</x:v>
      </x:c>
    </x:row>
    <x:row r="4087" ht="21" customHeight="1">
      <x:c r="A4087" s="10" t="n">
        <x:v>46233</x:v>
      </x:c>
      <x:c r="B4087" s="1" t="n">
        <x:v>15.5</x:v>
      </x:c>
      <x:c r="C4087" s="1" t="n">
        <x:v>6</x:v>
      </x:c>
      <x:c r="D4087" s="12" t="n">
        <x:v>0.5505833333333334</x:v>
      </x:c>
      <x:c r="E4087" s="12" t="n">
        <x:v>0.5615833333333333</x:v>
      </x:c>
      <x:c r="F4087" s="12" t="n">
        <x:v>0</x:v>
      </x:c>
      <x:c r="G4087" s="12" t="n">
        <x:v>0</x:v>
      </x:c>
      <x:c r="H4087" s="1" t="n">
        <x:f>'Historical prices'!E4087</x:f>
        <x:v>1.05</x:v>
      </x:c>
      <x:c r="I4087" s="6" t="n">
        <x:f>'Historical prices'!D4087</x:f>
        <x:v>0.1612</x:v>
      </x:c>
      <x:c r="J4087" s="13" t="n">
        <x:f>D4087*I4087*H4087</x:f>
        <x:v>0.09319173500000003</x:v>
      </x:c>
      <x:c r="K4087" s="13" t="n">
        <x:f>E4087*I4087*H4087</x:f>
        <x:v>0.095053595</x:v>
      </x:c>
      <x:c r="L4087" s="1" t="str">
        <x:f>TEXT(A4087,"mmm yyyy")</x:f>
        <x:v>Jul 2026</x:v>
      </x:c>
    </x:row>
    <x:row r="4088" ht="21" customHeight="1">
      <x:c r="A4088" s="10" t="n">
        <x:v>46233</x:v>
      </x:c>
      <x:c r="B4088" s="1" t="n">
        <x:v>16</x:v>
      </x:c>
      <x:c r="C4088" s="1" t="n">
        <x:v>6</x:v>
      </x:c>
      <x:c r="D4088" s="12" t="n">
        <x:v>0.07625</x:v>
      </x:c>
      <x:c r="E4088" s="12" t="n">
        <x:v>0.61925</x:v>
      </x:c>
      <x:c r="F4088" s="12" t="n">
        <x:v>0.5407500000000001</x:v>
      </x:c>
      <x:c r="G4088" s="12" t="n">
        <x:v>0</x:v>
      </x:c>
      <x:c r="H4088" s="1" t="n">
        <x:f>'Historical prices'!E4088</x:f>
        <x:v>1.05</x:v>
      </x:c>
      <x:c r="I4088" s="6" t="n">
        <x:f>'Historical prices'!D4088</x:f>
        <x:v>0.30329999999999996</x:v>
      </x:c>
      <x:c r="J4088" s="13" t="n">
        <x:f>D4088*I4088*H4088</x:f>
        <x:v>0.024282956249999998</x:v>
      </x:c>
      <x:c r="K4088" s="13" t="n">
        <x:f>E4088*I4088*H4088</x:f>
        <x:v>0.19720945124999997</x:v>
      </x:c>
      <x:c r="L4088" s="1" t="str">
        <x:f>TEXT(A4088,"mmm yyyy")</x:f>
        <x:v>Jul 2026</x:v>
      </x:c>
    </x:row>
    <x:row r="4089" ht="21" customHeight="1">
      <x:c r="A4089" s="10" t="n">
        <x:v>46233</x:v>
      </x:c>
      <x:c r="B4089" s="1" t="n">
        <x:v>16.5</x:v>
      </x:c>
      <x:c r="C4089" s="1" t="n">
        <x:v>6</x:v>
      </x:c>
      <x:c r="D4089" s="12" t="n">
        <x:v>0</x:v>
      </x:c>
      <x:c r="E4089" s="12" t="n">
        <x:v>0.6885833333333333</x:v>
      </x:c>
      <x:c r="F4089" s="12" t="n">
        <x:v>0.6885833333333333</x:v>
      </x:c>
      <x:c r="G4089" s="12" t="n">
        <x:v>0</x:v>
      </x:c>
      <x:c r="H4089" s="1" t="n">
        <x:f>'Historical prices'!E4089</x:f>
        <x:v>1.05</x:v>
      </x:c>
      <x:c r="I4089" s="6" t="n">
        <x:f>'Historical prices'!D4089</x:f>
        <x:v>0.3155</x:v>
      </x:c>
      <x:c r="J4089" s="13" t="n">
        <x:f>D4089*I4089*H4089</x:f>
        <x:v>0</x:v>
      </x:c>
      <x:c r="K4089" s="13" t="n">
        <x:f>E4089*I4089*H4089</x:f>
        <x:v>0.22811044375</x:v>
      </x:c>
      <x:c r="L4089" s="1" t="str">
        <x:f>TEXT(A4089,"mmm yyyy")</x:f>
        <x:v>Jul 2026</x:v>
      </x:c>
    </x:row>
    <x:row r="4090" ht="21" customHeight="1">
      <x:c r="A4090" s="10" t="n">
        <x:v>46233</x:v>
      </x:c>
      <x:c r="B4090" s="1" t="n">
        <x:v>17</x:v>
      </x:c>
      <x:c r="C4090" s="1" t="n">
        <x:v>6</x:v>
      </x:c>
      <x:c r="D4090" s="12" t="n">
        <x:v>0</x:v>
      </x:c>
      <x:c r="E4090" s="12" t="n">
        <x:v>0.66075</x:v>
      </x:c>
      <x:c r="F4090" s="12" t="n">
        <x:v>0.6606666666666666</x:v>
      </x:c>
      <x:c r="G4090" s="12" t="n">
        <x:v>0</x:v>
      </x:c>
      <x:c r="H4090" s="1" t="n">
        <x:f>'Historical prices'!E4090</x:f>
        <x:v>1.05</x:v>
      </x:c>
      <x:c r="I4090" s="6" t="n">
        <x:f>'Historical prices'!D4090</x:f>
        <x:v>0.3469</x:v>
      </x:c>
      <x:c r="J4090" s="13" t="n">
        <x:f>D4090*I4090*H4090</x:f>
        <x:v>0</x:v>
      </x:c>
      <x:c r="K4090" s="13" t="n">
        <x:f>E4090*I4090*H4090</x:f>
        <x:v>0.24067488374999998</x:v>
      </x:c>
      <x:c r="L4090" s="1" t="str">
        <x:f>TEXT(A4090,"mmm yyyy")</x:f>
        <x:v>Jul 2026</x:v>
      </x:c>
    </x:row>
    <x:row r="4091" ht="21" customHeight="1">
      <x:c r="A4091" s="10" t="n">
        <x:v>46233</x:v>
      </x:c>
      <x:c r="B4091" s="1" t="n">
        <x:v>17.5</x:v>
      </x:c>
      <x:c r="C4091" s="1" t="n">
        <x:v>6</x:v>
      </x:c>
      <x:c r="D4091" s="12" t="n">
        <x:v>0</x:v>
      </x:c>
      <x:c r="E4091" s="12" t="n">
        <x:v>0.5828333333333333</x:v>
      </x:c>
      <x:c r="F4091" s="12" t="n">
        <x:v>0.5826666666666667</x:v>
      </x:c>
      <x:c r="G4091" s="12" t="n">
        <x:v>0</x:v>
      </x:c>
      <x:c r="H4091" s="1" t="n">
        <x:f>'Historical prices'!E4091</x:f>
        <x:v>1.05</x:v>
      </x:c>
      <x:c r="I4091" s="6" t="n">
        <x:f>'Historical prices'!D4091</x:f>
        <x:v>0.33490000000000003</x:v>
      </x:c>
      <x:c r="J4091" s="13" t="n">
        <x:f>D4091*I4091*H4091</x:f>
        <x:v>0</x:v>
      </x:c>
      <x:c r="K4091" s="13" t="n">
        <x:f>E4091*I4091*H4091</x:f>
        <x:v>0.20495042750000003</x:v>
      </x:c>
      <x:c r="L4091" s="1" t="str">
        <x:f>TEXT(A4091,"mmm yyyy")</x:f>
        <x:v>Jul 2026</x:v>
      </x:c>
    </x:row>
    <x:row r="4092" ht="21" customHeight="1">
      <x:c r="A4092" s="10" t="n">
        <x:v>46233</x:v>
      </x:c>
      <x:c r="B4092" s="1" t="n">
        <x:v>18</x:v>
      </x:c>
      <x:c r="C4092" s="1" t="n">
        <x:v>6</x:v>
      </x:c>
      <x:c r="D4092" s="12" t="n">
        <x:v>0</x:v>
      </x:c>
      <x:c r="E4092" s="12" t="n">
        <x:v>0.6100833333333333</x:v>
      </x:c>
      <x:c r="F4092" s="12" t="n">
        <x:v>0.6099166666666667</x:v>
      </x:c>
      <x:c r="G4092" s="12" t="n">
        <x:v>0</x:v>
      </x:c>
      <x:c r="H4092" s="1" t="n">
        <x:f>'Historical prices'!E4092</x:f>
        <x:v>1.05</x:v>
      </x:c>
      <x:c r="I4092" s="6" t="n">
        <x:f>'Historical prices'!D4092</x:f>
        <x:v>0.38270000000000004</x:v>
      </x:c>
      <x:c r="J4092" s="13" t="n">
        <x:f>D4092*I4092*H4092</x:f>
        <x:v>0</x:v>
      </x:c>
      <x:c r="K4092" s="13" t="n">
        <x:f>E4092*I4092*H4092</x:f>
        <x:v>0.24515283625000003</x:v>
      </x:c>
      <x:c r="L4092" s="1" t="str">
        <x:f>TEXT(A4092,"mmm yyyy")</x:f>
        <x:v>Jul 2026</x:v>
      </x:c>
    </x:row>
    <x:row r="4093" ht="21" customHeight="1">
      <x:c r="A4093" s="10" t="n">
        <x:v>46233</x:v>
      </x:c>
      <x:c r="B4093" s="1" t="n">
        <x:v>18.5</x:v>
      </x:c>
      <x:c r="C4093" s="1" t="n">
        <x:v>6</x:v>
      </x:c>
      <x:c r="D4093" s="12" t="n">
        <x:v>0.011083333333333334</x:v>
      </x:c>
      <x:c r="E4093" s="12" t="n">
        <x:v>0.5680833333333333</x:v>
      </x:c>
      <x:c r="F4093" s="12" t="n">
        <x:v>0.55675</x:v>
      </x:c>
      <x:c r="G4093" s="12" t="n">
        <x:v>0</x:v>
      </x:c>
      <x:c r="H4093" s="1" t="n">
        <x:f>'Historical prices'!E4093</x:f>
        <x:v>1.05</x:v>
      </x:c>
      <x:c r="I4093" s="6" t="n">
        <x:f>'Historical prices'!D4093</x:f>
        <x:v>0.4128</x:v>
      </x:c>
      <x:c r="J4093" s="13" t="n">
        <x:f>D4093*I4093*H4093</x:f>
        <x:v>0.004803960000000001</x:v>
      </x:c>
      <x:c r="K4093" s="13" t="n">
        <x:f>E4093*I4093*H4093</x:f>
        <x:v>0.24623003999999998</x:v>
      </x:c>
      <x:c r="L4093" s="1" t="str">
        <x:f>TEXT(A4093,"mmm yyyy")</x:f>
        <x:v>Jul 2026</x:v>
      </x:c>
    </x:row>
    <x:row r="4094" ht="21" customHeight="1">
      <x:c r="A4094" s="10" t="n">
        <x:v>46233</x:v>
      </x:c>
      <x:c r="B4094" s="1" t="n">
        <x:v>19</x:v>
      </x:c>
      <x:c r="C4094" s="1" t="n">
        <x:v>6</x:v>
      </x:c>
      <x:c r="D4094" s="12" t="n">
        <x:v>0</x:v>
      </x:c>
      <x:c r="E4094" s="12" t="n">
        <x:v>0.6174999999999999</x:v>
      </x:c>
      <x:c r="F4094" s="12" t="n">
        <x:v>0.6174999999999999</x:v>
      </x:c>
      <x:c r="G4094" s="12" t="n">
        <x:v>0</x:v>
      </x:c>
      <x:c r="H4094" s="1" t="n">
        <x:f>'Historical prices'!E4094</x:f>
        <x:v>1.05</x:v>
      </x:c>
      <x:c r="I4094" s="6" t="n">
        <x:f>'Historical prices'!D4094</x:f>
        <x:v>0.31620000000000004</x:v>
      </x:c>
      <x:c r="J4094" s="13" t="n">
        <x:f>D4094*I4094*H4094</x:f>
        <x:v>0</x:v>
      </x:c>
      <x:c r="K4094" s="13" t="n">
        <x:f>E4094*I4094*H4094</x:f>
        <x:v>0.205016175</x:v>
      </x:c>
      <x:c r="L4094" s="1" t="str">
        <x:f>TEXT(A4094,"mmm yyyy")</x:f>
        <x:v>Jul 2026</x:v>
      </x:c>
    </x:row>
    <x:row r="4095" ht="21" customHeight="1">
      <x:c r="A4095" s="10" t="n">
        <x:v>46233</x:v>
      </x:c>
      <x:c r="B4095" s="1" t="n">
        <x:v>19.5</x:v>
      </x:c>
      <x:c r="C4095" s="1" t="n">
        <x:v>6</x:v>
      </x:c>
      <x:c r="D4095" s="12" t="n">
        <x:v>0</x:v>
      </x:c>
      <x:c r="E4095" s="12" t="n">
        <x:v>0.8648333333333333</x:v>
      </x:c>
      <x:c r="F4095" s="12" t="n">
        <x:v>0.8645833333333334</x:v>
      </x:c>
      <x:c r="G4095" s="12" t="n">
        <x:v>0</x:v>
      </x:c>
      <x:c r="H4095" s="1" t="n">
        <x:f>'Historical prices'!E4095</x:f>
        <x:v>1.05</x:v>
      </x:c>
      <x:c r="I4095" s="6" t="n">
        <x:f>'Historical prices'!D4095</x:f>
        <x:v>0.3236</x:v>
      </x:c>
      <x:c r="J4095" s="13" t="n">
        <x:f>D4095*I4095*H4095</x:f>
        <x:v>0</x:v>
      </x:c>
      <x:c r="K4095" s="13" t="n">
        <x:f>E4095*I4095*H4095</x:f>
        <x:v>0.29385307000000005</x:v>
      </x:c>
      <x:c r="L4095" s="1" t="str">
        <x:f>TEXT(A4095,"mmm yyyy")</x:f>
        <x:v>Jul 2026</x:v>
      </x:c>
    </x:row>
    <x:row r="4096" ht="21" customHeight="1">
      <x:c r="A4096" s="10" t="n">
        <x:v>46233</x:v>
      </x:c>
      <x:c r="B4096" s="1" t="n">
        <x:v>20</x:v>
      </x:c>
      <x:c r="C4096" s="1" t="n">
        <x:v>6</x:v>
      </x:c>
      <x:c r="D4096" s="12" t="n">
        <x:v>0</x:v>
      </x:c>
      <x:c r="E4096" s="12" t="n">
        <x:v>0.69675</x:v>
      </x:c>
      <x:c r="F4096" s="12" t="n">
        <x:v>0.6965833333333333</x:v>
      </x:c>
      <x:c r="G4096" s="12" t="n">
        <x:v>0</x:v>
      </x:c>
      <x:c r="H4096" s="1" t="n">
        <x:f>'Historical prices'!E4096</x:f>
        <x:v>1.05</x:v>
      </x:c>
      <x:c r="I4096" s="6" t="n">
        <x:f>'Historical prices'!D4096</x:f>
        <x:v>0.3223</x:v>
      </x:c>
      <x:c r="J4096" s="13" t="n">
        <x:f>D4096*I4096*H4096</x:f>
        <x:v>0</x:v>
      </x:c>
      <x:c r="K4096" s="13" t="n">
        <x:f>E4096*I4096*H4096</x:f>
        <x:v>0.23579065124999998</x:v>
      </x:c>
      <x:c r="L4096" s="1" t="str">
        <x:f>TEXT(A4096,"mmm yyyy")</x:f>
        <x:v>Jul 2026</x:v>
      </x:c>
    </x:row>
    <x:row r="4097" ht="21" customHeight="1">
      <x:c r="A4097" s="10" t="n">
        <x:v>46233</x:v>
      </x:c>
      <x:c r="B4097" s="1" t="n">
        <x:v>20.5</x:v>
      </x:c>
      <x:c r="C4097" s="1" t="n">
        <x:v>6</x:v>
      </x:c>
      <x:c r="D4097" s="12" t="n">
        <x:v>0</x:v>
      </x:c>
      <x:c r="E4097" s="12" t="n">
        <x:v>0.6368333333333333</x:v>
      </x:c>
      <x:c r="F4097" s="12" t="n">
        <x:v>0.6367499999999999</x:v>
      </x:c>
      <x:c r="G4097" s="12" t="n">
        <x:v>0</x:v>
      </x:c>
      <x:c r="H4097" s="1" t="n">
        <x:f>'Historical prices'!E4097</x:f>
        <x:v>1.05</x:v>
      </x:c>
      <x:c r="I4097" s="6" t="n">
        <x:f>'Historical prices'!D4097</x:f>
        <x:v>0.3265</x:v>
      </x:c>
      <x:c r="J4097" s="13" t="n">
        <x:f>D4097*I4097*H4097</x:f>
        <x:v>0</x:v>
      </x:c>
      <x:c r="K4097" s="13" t="n">
        <x:f>E4097*I4097*H4097</x:f>
        <x:v>0.2183223875</x:v>
      </x:c>
      <x:c r="L4097" s="1" t="str">
        <x:f>TEXT(A4097,"mmm yyyy")</x:f>
        <x:v>Jul 2026</x:v>
      </x:c>
    </x:row>
    <x:row r="4098" ht="21" customHeight="1">
      <x:c r="A4098" s="10" t="n">
        <x:v>46233</x:v>
      </x:c>
      <x:c r="B4098" s="1" t="n">
        <x:v>21</x:v>
      </x:c>
      <x:c r="C4098" s="1" t="n">
        <x:v>6</x:v>
      </x:c>
      <x:c r="D4098" s="12" t="n">
        <x:v>0</x:v>
      </x:c>
      <x:c r="E4098" s="12" t="n">
        <x:v>0.6988333333333333</x:v>
      </x:c>
      <x:c r="F4098" s="12" t="n">
        <x:v>0.6985833333333333</x:v>
      </x:c>
      <x:c r="G4098" s="12" t="n">
        <x:v>0</x:v>
      </x:c>
      <x:c r="H4098" s="1" t="n">
        <x:f>'Historical prices'!E4098</x:f>
        <x:v>1.05</x:v>
      </x:c>
      <x:c r="I4098" s="6" t="n">
        <x:f>'Historical prices'!D4098</x:f>
        <x:v>0.3131</x:v>
      </x:c>
      <x:c r="J4098" s="13" t="n">
        <x:f>D4098*I4098*H4098</x:f>
        <x:v>0</x:v>
      </x:c>
      <x:c r="K4098" s="13" t="n">
        <x:f>E4098*I4098*H4098</x:f>
        <x:v>0.2297449525</x:v>
      </x:c>
      <x:c r="L4098" s="1" t="str">
        <x:f>TEXT(A4098,"mmm yyyy")</x:f>
        <x:v>Jul 2026</x:v>
      </x:c>
    </x:row>
    <x:row r="4099" ht="21" customHeight="1">
      <x:c r="A4099" s="10" t="n">
        <x:v>46233</x:v>
      </x:c>
      <x:c r="B4099" s="1" t="n">
        <x:v>21.5</x:v>
      </x:c>
      <x:c r="C4099" s="1" t="n">
        <x:v>6</x:v>
      </x:c>
      <x:c r="D4099" s="12" t="n">
        <x:v>0</x:v>
      </x:c>
      <x:c r="E4099" s="12" t="n">
        <x:v>1.021</x:v>
      </x:c>
      <x:c r="F4099" s="12" t="n">
        <x:v>1.0206666666666668</x:v>
      </x:c>
      <x:c r="G4099" s="12" t="n">
        <x:v>0</x:v>
      </x:c>
      <x:c r="H4099" s="1" t="n">
        <x:f>'Historical prices'!E4099</x:f>
        <x:v>1.05</x:v>
      </x:c>
      <x:c r="I4099" s="6" t="n">
        <x:f>'Historical prices'!D4099</x:f>
        <x:v>0.3107</x:v>
      </x:c>
      <x:c r="J4099" s="13" t="n">
        <x:f>D4099*I4099*H4099</x:f>
        <x:v>0</x:v>
      </x:c>
      <x:c r="K4099" s="13" t="n">
        <x:f>E4099*I4099*H4099</x:f>
        <x:v>0.333085935</x:v>
      </x:c>
      <x:c r="L4099" s="1" t="str">
        <x:f>TEXT(A4099,"mmm yyyy")</x:f>
        <x:v>Jul 2026</x:v>
      </x:c>
    </x:row>
    <x:row r="4100" ht="21" customHeight="1">
      <x:c r="A4100" s="10" t="n">
        <x:v>46233</x:v>
      </x:c>
      <x:c r="B4100" s="1" t="n">
        <x:v>22</x:v>
      </x:c>
      <x:c r="C4100" s="1" t="n">
        <x:v>6</x:v>
      </x:c>
      <x:c r="D4100" s="12" t="n">
        <x:v>0</x:v>
      </x:c>
      <x:c r="E4100" s="12" t="n">
        <x:v>0.33991666666666664</x:v>
      </x:c>
      <x:c r="F4100" s="12" t="n">
        <x:v>0.3396666666666667</x:v>
      </x:c>
      <x:c r="G4100" s="12" t="n">
        <x:v>0</x:v>
      </x:c>
      <x:c r="H4100" s="1" t="n">
        <x:f>'Historical prices'!E4100</x:f>
        <x:v>1.05</x:v>
      </x:c>
      <x:c r="I4100" s="6" t="n">
        <x:f>'Historical prices'!D4100</x:f>
        <x:v>0.2887</x:v>
      </x:c>
      <x:c r="J4100" s="13" t="n">
        <x:f>D4100*I4100*H4100</x:f>
        <x:v>0</x:v>
      </x:c>
      <x:c r="K4100" s="13" t="n">
        <x:f>E4100*I4100*H4100</x:f>
        <x:v>0.10304063875000001</x:v>
      </x:c>
      <x:c r="L4100" s="1" t="str">
        <x:f>TEXT(A4100,"mmm yyyy")</x:f>
        <x:v>Jul 2026</x:v>
      </x:c>
    </x:row>
    <x:row r="4101" ht="21" customHeight="1">
      <x:c r="A4101" s="10" t="n">
        <x:v>46233</x:v>
      </x:c>
      <x:c r="B4101" s="1" t="n">
        <x:v>22.5</x:v>
      </x:c>
      <x:c r="C4101" s="1" t="n">
        <x:v>6</x:v>
      </x:c>
      <x:c r="D4101" s="12" t="n">
        <x:v>0</x:v>
      </x:c>
      <x:c r="E4101" s="12" t="n">
        <x:v>0.32099999999999995</x:v>
      </x:c>
      <x:c r="F4101" s="12" t="n">
        <x:v>0.3208333333333333</x:v>
      </x:c>
      <x:c r="G4101" s="12" t="n">
        <x:v>0</x:v>
      </x:c>
      <x:c r="H4101" s="1" t="n">
        <x:f>'Historical prices'!E4101</x:f>
        <x:v>1.05</x:v>
      </x:c>
      <x:c r="I4101" s="6" t="n">
        <x:f>'Historical prices'!D4101</x:f>
        <x:v>0.2778</x:v>
      </x:c>
      <x:c r="J4101" s="13" t="n">
        <x:f>D4101*I4101*H4101</x:f>
        <x:v>0</x:v>
      </x:c>
      <x:c r="K4101" s="13" t="n">
        <x:f>E4101*I4101*H4101</x:f>
        <x:v>0.09363248999999998</x:v>
      </x:c>
      <x:c r="L4101" s="1" t="str">
        <x:f>TEXT(A4101,"mmm yyyy")</x:f>
        <x:v>Jul 2026</x:v>
      </x:c>
    </x:row>
    <x:row r="4102" ht="21" customHeight="1">
      <x:c r="A4102" s="10" t="n">
        <x:v>46233</x:v>
      </x:c>
      <x:c r="B4102" s="1" t="n">
        <x:v>23</x:v>
      </x:c>
      <x:c r="C4102" s="1" t="n">
        <x:v>6</x:v>
      </x:c>
      <x:c r="D4102" s="12" t="n">
        <x:v>0</x:v>
      </x:c>
      <x:c r="E4102" s="12" t="n">
        <x:v>0.3169166666666666</x:v>
      </x:c>
      <x:c r="F4102" s="12" t="n">
        <x:v>0.3168333333333333</x:v>
      </x:c>
      <x:c r="G4102" s="12" t="n">
        <x:v>0</x:v>
      </x:c>
      <x:c r="H4102" s="1" t="n">
        <x:f>'Historical prices'!E4102</x:f>
        <x:v>1.05</x:v>
      </x:c>
      <x:c r="I4102" s="6" t="n">
        <x:f>'Historical prices'!D4102</x:f>
        <x:v>0.2924</x:v>
      </x:c>
      <x:c r="J4102" s="13" t="n">
        <x:f>D4102*I4102*H4102</x:f>
        <x:v>0</x:v>
      </x:c>
      <x:c r="K4102" s="13" t="n">
        <x:f>E4102*I4102*H4102</x:f>
        <x:v>0.097299755</x:v>
      </x:c>
      <x:c r="L4102" s="1" t="str">
        <x:f>TEXT(A4102,"mmm yyyy")</x:f>
        <x:v>Jul 2026</x:v>
      </x:c>
    </x:row>
    <x:row r="4103" ht="21" customHeight="1">
      <x:c r="A4103" s="10" t="n">
        <x:v>46233</x:v>
      </x:c>
      <x:c r="B4103" s="1" t="n">
        <x:v>23.5</x:v>
      </x:c>
      <x:c r="C4103" s="1" t="n">
        <x:v>6</x:v>
      </x:c>
      <x:c r="D4103" s="12" t="n">
        <x:v>0</x:v>
      </x:c>
      <x:c r="E4103" s="12" t="n">
        <x:v>0.30683333333333335</x:v>
      </x:c>
      <x:c r="F4103" s="12" t="n">
        <x:v>0.3065833333333333</x:v>
      </x:c>
      <x:c r="G4103" s="12" t="n">
        <x:v>0</x:v>
      </x:c>
      <x:c r="H4103" s="1" t="n">
        <x:f>'Historical prices'!E4103</x:f>
        <x:v>1.05</x:v>
      </x:c>
      <x:c r="I4103" s="6" t="n">
        <x:f>'Historical prices'!D4103</x:f>
        <x:v>0.26940000000000003</x:v>
      </x:c>
      <x:c r="J4103" s="13" t="n">
        <x:f>D4103*I4103*H4103</x:f>
        <x:v>0</x:v>
      </x:c>
      <x:c r="K4103" s="13" t="n">
        <x:f>E4103*I4103*H4103</x:f>
        <x:v>0.08679394500000001</x:v>
      </x:c>
      <x:c r="L4103" s="1" t="str">
        <x:f>TEXT(A4103,"mmm yyyy")</x:f>
        <x:v>Jul 2026</x:v>
      </x:c>
    </x:row>
    <x:row r="4104" ht="21" customHeight="1">
      <x:c r="A4104" s="10" t="n">
        <x:v>46234</x:v>
      </x:c>
      <x:c r="B4104" s="1" t="n">
        <x:v>0</x:v>
      </x:c>
      <x:c r="C4104" s="1" t="n">
        <x:v>6</x:v>
      </x:c>
      <x:c r="D4104" s="12" t="n">
        <x:v>0</x:v>
      </x:c>
      <x:c r="E4104" s="12" t="n">
        <x:v>0.384</x:v>
      </x:c>
      <x:c r="F4104" s="12" t="n">
        <x:v>0.38383333333333336</x:v>
      </x:c>
      <x:c r="G4104" s="12" t="n">
        <x:v>0</x:v>
      </x:c>
      <x:c r="H4104" s="1" t="n">
        <x:f>'Historical prices'!E4104</x:f>
        <x:v>1.05</x:v>
      </x:c>
      <x:c r="I4104" s="6" t="n">
        <x:f>'Historical prices'!D4104</x:f>
        <x:v>0.256</x:v>
      </x:c>
      <x:c r="J4104" s="13" t="n">
        <x:f>D4104*I4104*H4104</x:f>
        <x:v>0</x:v>
      </x:c>
      <x:c r="K4104" s="13" t="n">
        <x:f>E4104*I4104*H4104</x:f>
        <x:v>0.10321920000000001</x:v>
      </x:c>
      <x:c r="L4104" s="1" t="str">
        <x:f>TEXT(A4104,"mmm yyyy")</x:f>
        <x:v>Jul 2026</x:v>
      </x:c>
    </x:row>
    <x:row r="4105" ht="21" customHeight="1">
      <x:c r="A4105" s="10" t="n">
        <x:v>46234</x:v>
      </x:c>
      <x:c r="B4105" s="1" t="n">
        <x:v>0.5</x:v>
      </x:c>
      <x:c r="C4105" s="1" t="n">
        <x:v>6</x:v>
      </x:c>
      <x:c r="D4105" s="12" t="n">
        <x:v>0</x:v>
      </x:c>
      <x:c r="E4105" s="12" t="n">
        <x:v>0.31866666666666665</x:v>
      </x:c>
      <x:c r="F4105" s="12" t="n">
        <x:v>0.3185</x:v>
      </x:c>
      <x:c r="G4105" s="12" t="n">
        <x:v>0</x:v>
      </x:c>
      <x:c r="H4105" s="1" t="n">
        <x:f>'Historical prices'!E4105</x:f>
        <x:v>1.05</x:v>
      </x:c>
      <x:c r="I4105" s="6" t="n">
        <x:f>'Historical prices'!D4105</x:f>
        <x:v>0.2532</x:v>
      </x:c>
      <x:c r="J4105" s="13" t="n">
        <x:f>D4105*I4105*H4105</x:f>
        <x:v>0</x:v>
      </x:c>
      <x:c r="K4105" s="13" t="n">
        <x:f>E4105*I4105*H4105</x:f>
        <x:v>0.08472072</x:v>
      </x:c>
      <x:c r="L4105" s="1" t="str">
        <x:f>TEXT(A4105,"mmm yyyy")</x:f>
        <x:v>Jul 2026</x:v>
      </x:c>
    </x:row>
    <x:row r="4106" ht="21" customHeight="1">
      <x:c r="A4106" s="10" t="n">
        <x:v>46234</x:v>
      </x:c>
      <x:c r="B4106" s="1" t="n">
        <x:v>1</x:v>
      </x:c>
      <x:c r="C4106" s="1" t="n">
        <x:v>6</x:v>
      </x:c>
      <x:c r="D4106" s="12" t="n">
        <x:v>0</x:v>
      </x:c>
      <x:c r="E4106" s="12" t="n">
        <x:v>0.34025000000000005</x:v>
      </x:c>
      <x:c r="F4106" s="12" t="n">
        <x:v>0.33975</x:v>
      </x:c>
      <x:c r="G4106" s="12" t="n">
        <x:v>0</x:v>
      </x:c>
      <x:c r="H4106" s="1" t="n">
        <x:f>'Historical prices'!E4106</x:f>
        <x:v>1.05</x:v>
      </x:c>
      <x:c r="I4106" s="6" t="n">
        <x:f>'Historical prices'!D4106</x:f>
        <x:v>0.2396</x:v>
      </x:c>
      <x:c r="J4106" s="13" t="n">
        <x:f>D4106*I4106*H4106</x:f>
        <x:v>0</x:v>
      </x:c>
      <x:c r="K4106" s="13" t="n">
        <x:f>E4106*I4106*H4106</x:f>
        <x:v>0.08560009500000001</x:v>
      </x:c>
      <x:c r="L4106" s="1" t="str">
        <x:f>TEXT(A4106,"mmm yyyy")</x:f>
        <x:v>Jul 2026</x:v>
      </x:c>
    </x:row>
    <x:row r="4107" ht="21" customHeight="1">
      <x:c r="A4107" s="10" t="n">
        <x:v>46234</x:v>
      </x:c>
      <x:c r="B4107" s="1" t="n">
        <x:v>1.5</x:v>
      </x:c>
      <x:c r="C4107" s="1" t="n">
        <x:v>6</x:v>
      </x:c>
      <x:c r="D4107" s="12" t="n">
        <x:v>0.20066666666666666</x:v>
      </x:c>
      <x:c r="E4107" s="12" t="n">
        <x:v>0.25266666666666665</x:v>
      </x:c>
      <x:c r="F4107" s="12" t="n">
        <x:v>0.042</x:v>
      </x:c>
      <x:c r="G4107" s="12" t="n">
        <x:v>0</x:v>
      </x:c>
      <x:c r="H4107" s="1" t="n">
        <x:f>'Historical prices'!E4107</x:f>
        <x:v>1.05</x:v>
      </x:c>
      <x:c r="I4107" s="6" t="n">
        <x:f>'Historical prices'!D4107</x:f>
        <x:v>0.23120000000000002</x:v>
      </x:c>
      <x:c r="J4107" s="13" t="n">
        <x:f>D4107*I4107*H4107</x:f>
        <x:v>0.04871384000000001</x:v>
      </x:c>
      <x:c r="K4107" s="13" t="n">
        <x:f>E4107*I4107*H4107</x:f>
        <x:v>0.06133736</x:v>
      </x:c>
      <x:c r="L4107" s="1" t="str">
        <x:f>TEXT(A4107,"mmm yyyy")</x:f>
        <x:v>Jul 2026</x:v>
      </x:c>
    </x:row>
    <x:row r="4108" ht="21" customHeight="1">
      <x:c r="A4108" s="10" t="n">
        <x:v>46234</x:v>
      </x:c>
      <x:c r="B4108" s="1" t="n">
        <x:v>2</x:v>
      </x:c>
      <x:c r="C4108" s="1" t="n">
        <x:v>6</x:v>
      </x:c>
      <x:c r="D4108" s="12" t="n">
        <x:v>0.27216666666666667</x:v>
      </x:c>
      <x:c r="E4108" s="12" t="n">
        <x:v>0.2831666666666667</x:v>
      </x:c>
      <x:c r="F4108" s="12" t="n">
        <x:v>0</x:v>
      </x:c>
      <x:c r="G4108" s="12" t="n">
        <x:v>0</x:v>
      </x:c>
      <x:c r="H4108" s="1" t="n">
        <x:f>'Historical prices'!E4108</x:f>
        <x:v>1.05</x:v>
      </x:c>
      <x:c r="I4108" s="6" t="n">
        <x:f>'Historical prices'!D4108</x:f>
        <x:v>0.21899999999999997</x:v>
      </x:c>
      <x:c r="J4108" s="13" t="n">
        <x:f>D4108*I4108*H4108</x:f>
        <x:v>0.062584725</x:v>
      </x:c>
      <x:c r="K4108" s="13" t="n">
        <x:f>E4108*I4108*H4108</x:f>
        <x:v>0.065114175</x:v>
      </x:c>
      <x:c r="L4108" s="1" t="str">
        <x:f>TEXT(A4108,"mmm yyyy")</x:f>
        <x:v>Jul 2026</x:v>
      </x:c>
    </x:row>
    <x:row r="4109" ht="21" customHeight="1">
      <x:c r="A4109" s="10" t="n">
        <x:v>46234</x:v>
      </x:c>
      <x:c r="B4109" s="1" t="n">
        <x:v>2.5</x:v>
      </x:c>
      <x:c r="C4109" s="1" t="n">
        <x:v>6</x:v>
      </x:c>
      <x:c r="D4109" s="12" t="n">
        <x:v>0.22516666666666668</x:v>
      </x:c>
      <x:c r="E4109" s="12" t="n">
        <x:v>0.2361666666666667</x:v>
      </x:c>
      <x:c r="F4109" s="12" t="n">
        <x:v>0</x:v>
      </x:c>
      <x:c r="G4109" s="12" t="n">
        <x:v>0</x:v>
      </x:c>
      <x:c r="H4109" s="1" t="n">
        <x:f>'Historical prices'!E4109</x:f>
        <x:v>1.05</x:v>
      </x:c>
      <x:c r="I4109" s="6" t="n">
        <x:f>'Historical prices'!D4109</x:f>
        <x:v>0.21230000000000002</x:v>
      </x:c>
      <x:c r="J4109" s="13" t="n">
        <x:f>D4109*I4109*H4109</x:f>
        <x:v>0.05019302750000001</x:v>
      </x:c>
      <x:c r="K4109" s="13" t="n">
        <x:f>E4109*I4109*H4109</x:f>
        <x:v>0.05264509250000001</x:v>
      </x:c>
      <x:c r="L4109" s="1" t="str">
        <x:f>TEXT(A4109,"mmm yyyy")</x:f>
        <x:v>Jul 2026</x:v>
      </x:c>
    </x:row>
    <x:row r="4110" ht="21" customHeight="1">
      <x:c r="A4110" s="10" t="n">
        <x:v>46234</x:v>
      </x:c>
      <x:c r="B4110" s="1" t="n">
        <x:v>3</x:v>
      </x:c>
      <x:c r="C4110" s="1" t="n">
        <x:v>6</x:v>
      </x:c>
      <x:c r="D4110" s="12" t="n">
        <x:v>0.20283333333333337</x:v>
      </x:c>
      <x:c r="E4110" s="12" t="n">
        <x:v>0.21183333333333337</x:v>
      </x:c>
      <x:c r="F4110" s="12" t="n">
        <x:v>0</x:v>
      </x:c>
      <x:c r="G4110" s="12" t="n">
        <x:v>0</x:v>
      </x:c>
      <x:c r="H4110" s="1" t="n">
        <x:f>'Historical prices'!E4110</x:f>
        <x:v>1.05</x:v>
      </x:c>
      <x:c r="I4110" s="6" t="n">
        <x:f>'Historical prices'!D4110</x:f>
        <x:v>0.21539999999999998</x:v>
      </x:c>
      <x:c r="J4110" s="13" t="n">
        <x:f>D4110*I4110*H4110</x:f>
        <x:v>0.045874815000000006</x:v>
      </x:c>
      <x:c r="K4110" s="13" t="n">
        <x:f>E4110*I4110*H4110</x:f>
        <x:v>0.04791034500000001</x:v>
      </x:c>
      <x:c r="L4110" s="1" t="str">
        <x:f>TEXT(A4110,"mmm yyyy")</x:f>
        <x:v>Jul 2026</x:v>
      </x:c>
    </x:row>
    <x:row r="4111" ht="21" customHeight="1">
      <x:c r="A4111" s="10" t="n">
        <x:v>46234</x:v>
      </x:c>
      <x:c r="B4111" s="1" t="n">
        <x:v>3.5</x:v>
      </x:c>
      <x:c r="C4111" s="1" t="n">
        <x:v>6</x:v>
      </x:c>
      <x:c r="D4111" s="12" t="n">
        <x:v>0.23208333333333334</x:v>
      </x:c>
      <x:c r="E4111" s="12" t="n">
        <x:v>0.24308333333333335</x:v>
      </x:c>
      <x:c r="F4111" s="12" t="n">
        <x:v>0</x:v>
      </x:c>
      <x:c r="G4111" s="12" t="n">
        <x:v>0</x:v>
      </x:c>
      <x:c r="H4111" s="1" t="n">
        <x:f>'Historical prices'!E4111</x:f>
        <x:v>1.05</x:v>
      </x:c>
      <x:c r="I4111" s="6" t="n">
        <x:f>'Historical prices'!D4111</x:f>
        <x:v>0.2127</x:v>
      </x:c>
      <x:c r="J4111" s="13" t="n">
        <x:f>D4111*I4111*H4111</x:f>
        <x:v>0.05183233125</x:v>
      </x:c>
      <x:c r="K4111" s="13" t="n">
        <x:f>E4111*I4111*H4111</x:f>
        <x:v>0.05428901625</x:v>
      </x:c>
      <x:c r="L4111" s="1" t="str">
        <x:f>TEXT(A4111,"mmm yyyy")</x:f>
        <x:v>Jul 2026</x:v>
      </x:c>
    </x:row>
    <x:row r="4112" ht="21" customHeight="1">
      <x:c r="A4112" s="10" t="n">
        <x:v>46234</x:v>
      </x:c>
      <x:c r="B4112" s="1" t="n">
        <x:v>4</x:v>
      </x:c>
      <x:c r="C4112" s="1" t="n">
        <x:v>6</x:v>
      </x:c>
      <x:c r="D4112" s="12" t="n">
        <x:v>0.20316666666666666</x:v>
      </x:c>
      <x:c r="E4112" s="12" t="n">
        <x:v>0.21316666666666667</x:v>
      </x:c>
      <x:c r="F4112" s="12" t="n">
        <x:v>0</x:v>
      </x:c>
      <x:c r="G4112" s="12" t="n">
        <x:v>0</x:v>
      </x:c>
      <x:c r="H4112" s="1" t="n">
        <x:f>'Historical prices'!E4112</x:f>
        <x:v>1.05</x:v>
      </x:c>
      <x:c r="I4112" s="6" t="n">
        <x:f>'Historical prices'!D4112</x:f>
        <x:v>0.22699999999999998</x:v>
      </x:c>
      <x:c r="J4112" s="13" t="n">
        <x:f>D4112*I4112*H4112</x:f>
        <x:v>0.048424774999999996</x:v>
      </x:c>
      <x:c r="K4112" s="13" t="n">
        <x:f>E4112*I4112*H4112</x:f>
        <x:v>0.050808275</x:v>
      </x:c>
      <x:c r="L4112" s="1" t="str">
        <x:f>TEXT(A4112,"mmm yyyy")</x:f>
        <x:v>Jul 2026</x:v>
      </x:c>
    </x:row>
    <x:row r="4113" ht="21" customHeight="1">
      <x:c r="A4113" s="10" t="n">
        <x:v>46234</x:v>
      </x:c>
      <x:c r="B4113" s="1" t="n">
        <x:v>4.5</x:v>
      </x:c>
      <x:c r="C4113" s="1" t="n">
        <x:v>6</x:v>
      </x:c>
      <x:c r="D4113" s="12" t="n">
        <x:v>0.248</x:v>
      </x:c>
      <x:c r="E4113" s="12" t="n">
        <x:v>0.258</x:v>
      </x:c>
      <x:c r="F4113" s="12" t="n">
        <x:v>0</x:v>
      </x:c>
      <x:c r="G4113" s="12" t="n">
        <x:v>0</x:v>
      </x:c>
      <x:c r="H4113" s="1" t="n">
        <x:f>'Historical prices'!E4113</x:f>
        <x:v>1.05</x:v>
      </x:c>
      <x:c r="I4113" s="6" t="n">
        <x:f>'Historical prices'!D4113</x:f>
        <x:v>0.2195</x:v>
      </x:c>
      <x:c r="J4113" s="13" t="n">
        <x:f>D4113*I4113*H4113</x:f>
        <x:v>0.0571578</x:v>
      </x:c>
      <x:c r="K4113" s="13" t="n">
        <x:f>E4113*I4113*H4113</x:f>
        <x:v>0.05946255</x:v>
      </x:c>
      <x:c r="L4113" s="1" t="str">
        <x:f>TEXT(A4113,"mmm yyyy")</x:f>
        <x:v>Jul 2026</x:v>
      </x:c>
    </x:row>
    <x:row r="4114" ht="21" customHeight="1">
      <x:c r="A4114" s="10" t="n">
        <x:v>46234</x:v>
      </x:c>
      <x:c r="B4114" s="1" t="n">
        <x:v>5</x:v>
      </x:c>
      <x:c r="C4114" s="1" t="n">
        <x:v>6</x:v>
      </x:c>
      <x:c r="D4114" s="12" t="n">
        <x:v>0.04025</x:v>
      </x:c>
      <x:c r="E4114" s="12" t="n">
        <x:v>0.26299999999999996</x:v>
      </x:c>
      <x:c r="F4114" s="12" t="n">
        <x:v>0.22158333333333335</x:v>
      </x:c>
      <x:c r="G4114" s="12" t="n">
        <x:v>0</x:v>
      </x:c>
      <x:c r="H4114" s="1" t="n">
        <x:f>'Historical prices'!E4114</x:f>
        <x:v>1.05</x:v>
      </x:c>
      <x:c r="I4114" s="6" t="n">
        <x:f>'Historical prices'!D4114</x:f>
        <x:v>0.2588</x:v>
      </x:c>
      <x:c r="J4114" s="13" t="n">
        <x:f>D4114*I4114*H4114</x:f>
        <x:v>0.010937535</x:v>
      </x:c>
      <x:c r="K4114" s="13" t="n">
        <x:f>E4114*I4114*H4114</x:f>
        <x:v>0.07146761999999998</x:v>
      </x:c>
      <x:c r="L4114" s="1" t="str">
        <x:f>TEXT(A4114,"mmm yyyy")</x:f>
        <x:v>Jul 2026</x:v>
      </x:c>
    </x:row>
    <x:row r="4115" ht="21" customHeight="1">
      <x:c r="A4115" s="10" t="n">
        <x:v>46234</x:v>
      </x:c>
      <x:c r="B4115" s="1" t="n">
        <x:v>5.5</x:v>
      </x:c>
      <x:c r="C4115" s="1" t="n">
        <x:v>6</x:v>
      </x:c>
      <x:c r="D4115" s="12" t="n">
        <x:v>0</x:v>
      </x:c>
      <x:c r="E4115" s="12" t="n">
        <x:v>0.24558333333333332</x:v>
      </x:c>
      <x:c r="F4115" s="12" t="n">
        <x:v>0.2455</x:v>
      </x:c>
      <x:c r="G4115" s="12" t="n">
        <x:v>0</x:v>
      </x:c>
      <x:c r="H4115" s="1" t="n">
        <x:f>'Historical prices'!E4115</x:f>
        <x:v>1.05</x:v>
      </x:c>
      <x:c r="I4115" s="6" t="n">
        <x:f>'Historical prices'!D4115</x:f>
        <x:v>0.2589</x:v>
      </x:c>
      <x:c r="J4115" s="13" t="n">
        <x:f>D4115*I4115*H4115</x:f>
        <x:v>0</x:v>
      </x:c>
      <x:c r="K4115" s="13" t="n">
        <x:f>E4115*I4115*H4115</x:f>
        <x:v>0.06676060125000001</x:v>
      </x:c>
      <x:c r="L4115" s="1" t="str">
        <x:f>TEXT(A4115,"mmm yyyy")</x:f>
        <x:v>Jul 2026</x:v>
      </x:c>
    </x:row>
    <x:row r="4116" ht="21" customHeight="1">
      <x:c r="A4116" s="10" t="n">
        <x:v>46234</x:v>
      </x:c>
      <x:c r="B4116" s="1" t="n">
        <x:v>6</x:v>
      </x:c>
      <x:c r="C4116" s="1" t="n">
        <x:v>6</x:v>
      </x:c>
      <x:c r="D4116" s="12" t="n">
        <x:v>0</x:v>
      </x:c>
      <x:c r="E4116" s="12" t="n">
        <x:v>0.42899999999999994</x:v>
      </x:c>
      <x:c r="F4116" s="12" t="n">
        <x:v>0.4285833333333333</x:v>
      </x:c>
      <x:c r="G4116" s="12" t="n">
        <x:v>0</x:v>
      </x:c>
      <x:c r="H4116" s="1" t="n">
        <x:f>'Historical prices'!E4116</x:f>
        <x:v>1.05</x:v>
      </x:c>
      <x:c r="I4116" s="6" t="n">
        <x:f>'Historical prices'!D4116</x:f>
        <x:v>0.26530000000000004</x:v>
      </x:c>
      <x:c r="J4116" s="13" t="n">
        <x:f>D4116*I4116*H4116</x:f>
        <x:v>0</x:v>
      </x:c>
      <x:c r="K4116" s="13" t="n">
        <x:f>E4116*I4116*H4116</x:f>
        <x:v>0.119504385</x:v>
      </x:c>
      <x:c r="L4116" s="1" t="str">
        <x:f>TEXT(A4116,"mmm yyyy")</x:f>
        <x:v>Jul 2026</x:v>
      </x:c>
    </x:row>
    <x:row r="4117" ht="21" customHeight="1">
      <x:c r="A4117" s="10" t="n">
        <x:v>46234</x:v>
      </x:c>
      <x:c r="B4117" s="1" t="n">
        <x:v>6.5</x:v>
      </x:c>
      <x:c r="C4117" s="1" t="n">
        <x:v>6</x:v>
      </x:c>
      <x:c r="D4117" s="12" t="n">
        <x:v>0</x:v>
      </x:c>
      <x:c r="E4117" s="12" t="n">
        <x:v>0.6019166666666667</x:v>
      </x:c>
      <x:c r="F4117" s="12" t="n">
        <x:v>0.6019166666666667</x:v>
      </x:c>
      <x:c r="G4117" s="12" t="n">
        <x:v>0</x:v>
      </x:c>
      <x:c r="H4117" s="1" t="n">
        <x:f>'Historical prices'!E4117</x:f>
        <x:v>1.05</x:v>
      </x:c>
      <x:c r="I4117" s="6" t="n">
        <x:f>'Historical prices'!D4117</x:f>
        <x:v>0.2708</x:v>
      </x:c>
      <x:c r="J4117" s="13" t="n">
        <x:f>D4117*I4117*H4117</x:f>
        <x:v>0</x:v>
      </x:c>
      <x:c r="K4117" s="13" t="n">
        <x:f>E4117*I4117*H4117</x:f>
        <x:v>0.171148985</x:v>
      </x:c>
      <x:c r="L4117" s="1" t="str">
        <x:f>TEXT(A4117,"mmm yyyy")</x:f>
        <x:v>Jul 2026</x:v>
      </x:c>
    </x:row>
    <x:row r="4118" ht="21" customHeight="1">
      <x:c r="A4118" s="10" t="n">
        <x:v>46234</x:v>
      </x:c>
      <x:c r="B4118" s="1" t="n">
        <x:v>7</x:v>
      </x:c>
      <x:c r="C4118" s="1" t="n">
        <x:v>6</x:v>
      </x:c>
      <x:c r="D4118" s="12" t="n">
        <x:v>0</x:v>
      </x:c>
      <x:c r="E4118" s="12" t="n">
        <x:v>0.44533333333333336</x:v>
      </x:c>
      <x:c r="F4118" s="12" t="n">
        <x:v>0.4451666666666667</x:v>
      </x:c>
      <x:c r="G4118" s="12" t="n">
        <x:v>0</x:v>
      </x:c>
      <x:c r="H4118" s="1" t="n">
        <x:f>'Historical prices'!E4118</x:f>
        <x:v>1.05</x:v>
      </x:c>
      <x:c r="I4118" s="6" t="n">
        <x:f>'Historical prices'!D4118</x:f>
        <x:v>0.2339</x:v>
      </x:c>
      <x:c r="J4118" s="13" t="n">
        <x:f>D4118*I4118*H4118</x:f>
        <x:v>0</x:v>
      </x:c>
      <x:c r="K4118" s="13" t="n">
        <x:f>E4118*I4118*H4118</x:f>
        <x:v>0.10937164000000002</x:v>
      </x:c>
      <x:c r="L4118" s="1" t="str">
        <x:f>TEXT(A4118,"mmm yyyy")</x:f>
        <x:v>Jul 2026</x:v>
      </x:c>
    </x:row>
    <x:row r="4119" ht="21" customHeight="1">
      <x:c r="A4119" s="10" t="n">
        <x:v>46234</x:v>
      </x:c>
      <x:c r="B4119" s="1" t="n">
        <x:v>7.5</x:v>
      </x:c>
      <x:c r="C4119" s="1" t="n">
        <x:v>6</x:v>
      </x:c>
      <x:c r="D4119" s="12" t="n">
        <x:v>0</x:v>
      </x:c>
      <x:c r="E4119" s="12" t="n">
        <x:v>0.50575</x:v>
      </x:c>
      <x:c r="F4119" s="12" t="n">
        <x:v>0.5056666666666666</x:v>
      </x:c>
      <x:c r="G4119" s="12" t="n">
        <x:v>0</x:v>
      </x:c>
      <x:c r="H4119" s="1" t="n">
        <x:f>'Historical prices'!E4119</x:f>
        <x:v>1.05</x:v>
      </x:c>
      <x:c r="I4119" s="6" t="n">
        <x:f>'Historical prices'!D4119</x:f>
        <x:v>0.2571</x:v>
      </x:c>
      <x:c r="J4119" s="13" t="n">
        <x:f>D4119*I4119*H4119</x:f>
        <x:v>0</x:v>
      </x:c>
      <x:c r="K4119" s="13" t="n">
        <x:f>E4119*I4119*H4119</x:f>
        <x:v>0.13652974125</x:v>
      </x:c>
      <x:c r="L4119" s="1" t="str">
        <x:f>TEXT(A4119,"mmm yyyy")</x:f>
        <x:v>Jul 2026</x:v>
      </x:c>
    </x:row>
    <x:row r="4120" ht="21" customHeight="1">
      <x:c r="A4120" s="10" t="n">
        <x:v>46234</x:v>
      </x:c>
      <x:c r="B4120" s="1" t="n">
        <x:v>8</x:v>
      </x:c>
      <x:c r="C4120" s="1" t="n">
        <x:v>6</x:v>
      </x:c>
      <x:c r="D4120" s="12" t="n">
        <x:v>0.35</x:v>
      </x:c>
      <x:c r="E4120" s="12" t="n">
        <x:v>0.43916666666666665</x:v>
      </x:c>
      <x:c r="F4120" s="12" t="n">
        <x:v>0.076</x:v>
      </x:c>
      <x:c r="G4120" s="12" t="n">
        <x:v>0</x:v>
      </x:c>
      <x:c r="H4120" s="1" t="n">
        <x:f>'Historical prices'!E4120</x:f>
        <x:v>1.05</x:v>
      </x:c>
      <x:c r="I4120" s="6" t="n">
        <x:f>'Historical prices'!D4120</x:f>
        <x:v>0.22219999999999998</x:v>
      </x:c>
      <x:c r="J4120" s="13" t="n">
        <x:f>D4120*I4120*H4120</x:f>
        <x:v>0.0816585</x:v>
      </x:c>
      <x:c r="K4120" s="13" t="n">
        <x:f>E4120*I4120*H4120</x:f>
        <x:v>0.102461975</x:v>
      </x:c>
      <x:c r="L4120" s="1" t="str">
        <x:f>TEXT(A4120,"mmm yyyy")</x:f>
        <x:v>Jul 2026</x:v>
      </x:c>
    </x:row>
    <x:row r="4121" ht="21" customHeight="1">
      <x:c r="A4121" s="10" t="n">
        <x:v>46234</x:v>
      </x:c>
      <x:c r="B4121" s="1" t="n">
        <x:v>8.5</x:v>
      </x:c>
      <x:c r="C4121" s="1" t="n">
        <x:v>6</x:v>
      </x:c>
      <x:c r="D4121" s="12" t="n">
        <x:v>0.07025</x:v>
      </x:c>
      <x:c r="E4121" s="12" t="n">
        <x:v>0.6194166666666666</x:v>
      </x:c>
      <x:c r="F4121" s="12" t="n">
        <x:v>0.5477500000000001</x:v>
      </x:c>
      <x:c r="G4121" s="12" t="n">
        <x:v>0</x:v>
      </x:c>
      <x:c r="H4121" s="1" t="n">
        <x:f>'Historical prices'!E4121</x:f>
        <x:v>1.05</x:v>
      </x:c>
      <x:c r="I4121" s="6" t="n">
        <x:f>'Historical prices'!D4121</x:f>
        <x:v>0.23329999999999998</x:v>
      </x:c>
      <x:c r="J4121" s="13" t="n">
        <x:f>D4121*I4121*H4121</x:f>
        <x:v>0.01720879125</x:v>
      </x:c>
      <x:c r="K4121" s="13" t="n">
        <x:f>E4121*I4121*H4121</x:f>
        <x:v>0.15173540374999997</x:v>
      </x:c>
      <x:c r="L4121" s="1" t="str">
        <x:f>TEXT(A4121,"mmm yyyy")</x:f>
        <x:v>Jul 2026</x:v>
      </x:c>
    </x:row>
    <x:row r="4122" ht="21" customHeight="1">
      <x:c r="A4122" s="10" t="n">
        <x:v>46234</x:v>
      </x:c>
      <x:c r="B4122" s="1" t="n">
        <x:v>9</x:v>
      </x:c>
      <x:c r="C4122" s="1" t="n">
        <x:v>6</x:v>
      </x:c>
      <x:c r="D4122" s="12" t="n">
        <x:v>0.33849999999999997</x:v>
      </x:c>
      <x:c r="E4122" s="12" t="n">
        <x:v>0.42824999999999996</x:v>
      </x:c>
      <x:c r="F4122" s="12" t="n">
        <x:v>0.08075</x:v>
      </x:c>
      <x:c r="G4122" s="12" t="n">
        <x:v>0</x:v>
      </x:c>
      <x:c r="H4122" s="1" t="n">
        <x:f>'Historical prices'!E4122</x:f>
        <x:v>1.05</x:v>
      </x:c>
      <x:c r="I4122" s="6" t="n">
        <x:f>'Historical prices'!D4122</x:f>
        <x:v>0.2291</x:v>
      </x:c>
      <x:c r="J4122" s="13" t="n">
        <x:f>D4122*I4122*H4122</x:f>
        <x:v>0.08142786749999999</x:v>
      </x:c>
      <x:c r="K4122" s="13" t="n">
        <x:f>E4122*I4122*H4122</x:f>
        <x:v>0.10301767875</x:v>
      </x:c>
      <x:c r="L4122" s="1" t="str">
        <x:f>TEXT(A4122,"mmm yyyy")</x:f>
        <x:v>Jul 2026</x:v>
      </x:c>
    </x:row>
    <x:row r="4123" ht="21" customHeight="1">
      <x:c r="A4123" s="10" t="n">
        <x:v>46234</x:v>
      </x:c>
      <x:c r="B4123" s="1" t="n">
        <x:v>9.5</x:v>
      </x:c>
      <x:c r="C4123" s="1" t="n">
        <x:v>6</x:v>
      </x:c>
      <x:c r="D4123" s="12" t="n">
        <x:v>0.077</x:v>
      </x:c>
      <x:c r="E4123" s="12" t="n">
        <x:v>0.5191666666666667</x:v>
      </x:c>
      <x:c r="F4123" s="12" t="n">
        <x:v>0.4369166666666666</x:v>
      </x:c>
      <x:c r="G4123" s="12" t="n">
        <x:v>0</x:v>
      </x:c>
      <x:c r="H4123" s="1" t="n">
        <x:f>'Historical prices'!E4123</x:f>
        <x:v>1.05</x:v>
      </x:c>
      <x:c r="I4123" s="6" t="n">
        <x:f>'Historical prices'!D4123</x:f>
        <x:v>0.2352</x:v>
      </x:c>
      <x:c r="J4123" s="13" t="n">
        <x:f>D4123*I4123*H4123</x:f>
        <x:v>0.01901592</x:v>
      </x:c>
      <x:c r="K4123" s="13" t="n">
        <x:f>E4123*I4123*H4123</x:f>
        <x:v>0.1282134</x:v>
      </x:c>
      <x:c r="L4123" s="1" t="str">
        <x:f>TEXT(A4123,"mmm yyyy")</x:f>
        <x:v>Jul 2026</x:v>
      </x:c>
    </x:row>
    <x:row r="4124" ht="21" customHeight="1">
      <x:c r="A4124" s="10" t="n">
        <x:v>46234</x:v>
      </x:c>
      <x:c r="B4124" s="1" t="n">
        <x:v>10</x:v>
      </x:c>
      <x:c r="C4124" s="1" t="n">
        <x:v>6</x:v>
      </x:c>
      <x:c r="D4124" s="12" t="n">
        <x:v>0.29624999999999996</x:v>
      </x:c>
      <x:c r="E4124" s="12" t="n">
        <x:v>0.3833333333333333</x:v>
      </x:c>
      <x:c r="F4124" s="12" t="n">
        <x:v>0.077</x:v>
      </x:c>
      <x:c r="G4124" s="12" t="n">
        <x:v>0</x:v>
      </x:c>
      <x:c r="H4124" s="1" t="n">
        <x:f>'Historical prices'!E4124</x:f>
        <x:v>1.05</x:v>
      </x:c>
      <x:c r="I4124" s="6" t="n">
        <x:f>'Historical prices'!D4124</x:f>
        <x:v>0.23120000000000002</x:v>
      </x:c>
      <x:c r="J4124" s="13" t="n">
        <x:f>D4124*I4124*H4124</x:f>
        <x:v>0.07191765</x:v>
      </x:c>
      <x:c r="K4124" s="13" t="n">
        <x:f>E4124*I4124*H4124</x:f>
        <x:v>0.09305800000000002</x:v>
      </x:c>
      <x:c r="L4124" s="1" t="str">
        <x:f>TEXT(A4124,"mmm yyyy")</x:f>
        <x:v>Jul 2026</x:v>
      </x:c>
    </x:row>
    <x:row r="4125" ht="21" customHeight="1">
      <x:c r="A4125" s="10" t="n">
        <x:v>46234</x:v>
      </x:c>
      <x:c r="B4125" s="1" t="n">
        <x:v>10.5</x:v>
      </x:c>
      <x:c r="C4125" s="1" t="n">
        <x:v>6</x:v>
      </x:c>
      <x:c r="D4125" s="12" t="n">
        <x:v>0.9380833333333333</x:v>
      </x:c>
      <x:c r="E4125" s="12" t="n">
        <x:v>0.9490833333333333</x:v>
      </x:c>
      <x:c r="F4125" s="12" t="n">
        <x:v>0</x:v>
      </x:c>
      <x:c r="G4125" s="12" t="n">
        <x:v>0</x:v>
      </x:c>
      <x:c r="H4125" s="1" t="n">
        <x:f>'Historical prices'!E4125</x:f>
        <x:v>1.05</x:v>
      </x:c>
      <x:c r="I4125" s="6" t="n">
        <x:f>'Historical prices'!D4125</x:f>
        <x:v>0.2188</x:v>
      </x:c>
      <x:c r="J4125" s="13" t="n">
        <x:f>D4125*I4125*H4125</x:f>
        <x:v>0.215515265</x:v>
      </x:c>
      <x:c r="K4125" s="13" t="n">
        <x:f>E4125*I4125*H4125</x:f>
        <x:v>0.218042405</x:v>
      </x:c>
      <x:c r="L4125" s="1" t="str">
        <x:f>TEXT(A4125,"mmm yyyy")</x:f>
        <x:v>Jul 2026</x:v>
      </x:c>
    </x:row>
    <x:row r="4126" ht="21" customHeight="1">
      <x:c r="A4126" s="10" t="n">
        <x:v>46234</x:v>
      </x:c>
      <x:c r="B4126" s="1" t="n">
        <x:v>11</x:v>
      </x:c>
      <x:c r="C4126" s="1" t="n">
        <x:v>6</x:v>
      </x:c>
      <x:c r="D4126" s="12" t="n">
        <x:v>0.5620833333333335</x:v>
      </x:c>
      <x:c r="E4126" s="12" t="n">
        <x:v>0.5720833333333335</x:v>
      </x:c>
      <x:c r="F4126" s="12" t="n">
        <x:v>0</x:v>
      </x:c>
      <x:c r="G4126" s="12" t="n">
        <x:v>0</x:v>
      </x:c>
      <x:c r="H4126" s="1" t="n">
        <x:f>'Historical prices'!E4126</x:f>
        <x:v>1.05</x:v>
      </x:c>
      <x:c r="I4126" s="6" t="n">
        <x:f>'Historical prices'!D4126</x:f>
        <x:v>0.2121</x:v>
      </x:c>
      <x:c r="J4126" s="13" t="n">
        <x:f>D4126*I4126*H4126</x:f>
        <x:v>0.12517876875000006</x:v>
      </x:c>
      <x:c r="K4126" s="13" t="n">
        <x:f>E4126*I4126*H4126</x:f>
        <x:v>0.12740581875000004</x:v>
      </x:c>
      <x:c r="L4126" s="1" t="str">
        <x:f>TEXT(A4126,"mmm yyyy")</x:f>
        <x:v>Jul 2026</x:v>
      </x:c>
    </x:row>
    <x:row r="4127" ht="21" customHeight="1">
      <x:c r="A4127" s="10" t="n">
        <x:v>46234</x:v>
      </x:c>
      <x:c r="B4127" s="1" t="n">
        <x:v>11.5</x:v>
      </x:c>
      <x:c r="C4127" s="1" t="n">
        <x:v>6</x:v>
      </x:c>
      <x:c r="D4127" s="12" t="n">
        <x:v>0.18325</x:v>
      </x:c>
      <x:c r="E4127" s="12" t="n">
        <x:v>0.19425</x:v>
      </x:c>
      <x:c r="F4127" s="12" t="n">
        <x:v>0</x:v>
      </x:c>
      <x:c r="G4127" s="12" t="n">
        <x:v>0</x:v>
      </x:c>
      <x:c r="H4127" s="1" t="n">
        <x:f>'Historical prices'!E4127</x:f>
        <x:v>1.05</x:v>
      </x:c>
      <x:c r="I4127" s="6" t="n">
        <x:f>'Historical prices'!D4127</x:f>
        <x:v>0.20440000000000003</x:v>
      </x:c>
      <x:c r="J4127" s="13" t="n">
        <x:f>D4127*I4127*H4127</x:f>
        <x:v>0.039329115000000005</x:v>
      </x:c>
      <x:c r="K4127" s="13" t="n">
        <x:f>E4127*I4127*H4127</x:f>
        <x:v>0.04168993500000001</x:v>
      </x:c>
      <x:c r="L4127" s="1" t="str">
        <x:f>TEXT(A4127,"mmm yyyy")</x:f>
        <x:v>Jul 2026</x:v>
      </x:c>
    </x:row>
    <x:row r="4128" ht="21" customHeight="1">
      <x:c r="A4128" s="10" t="n">
        <x:v>46234</x:v>
      </x:c>
      <x:c r="B4128" s="1" t="n">
        <x:v>12</x:v>
      </x:c>
      <x:c r="C4128" s="1" t="n">
        <x:v>6</x:v>
      </x:c>
      <x:c r="D4128" s="12" t="n">
        <x:v>0.21366666666666664</x:v>
      </x:c>
      <x:c r="E4128" s="12" t="n">
        <x:v>0.22366666666666665</x:v>
      </x:c>
      <x:c r="F4128" s="12" t="n">
        <x:v>0</x:v>
      </x:c>
      <x:c r="G4128" s="12" t="n">
        <x:v>0</x:v>
      </x:c>
      <x:c r="H4128" s="1" t="n">
        <x:f>'Historical prices'!E4128</x:f>
        <x:v>1.05</x:v>
      </x:c>
      <x:c r="I4128" s="6" t="n">
        <x:f>'Historical prices'!D4128</x:f>
        <x:v>0.1978</x:v>
      </x:c>
      <x:c r="J4128" s="13" t="n">
        <x:f>D4128*I4128*H4128</x:f>
        <x:v>0.044376429999999994</x:v>
      </x:c>
      <x:c r="K4128" s="13" t="n">
        <x:f>E4128*I4128*H4128</x:f>
        <x:v>0.04645333</x:v>
      </x:c>
      <x:c r="L4128" s="1" t="str">
        <x:f>TEXT(A4128,"mmm yyyy")</x:f>
        <x:v>Jul 2026</x:v>
      </x:c>
    </x:row>
    <x:row r="4129" ht="21" customHeight="1">
      <x:c r="A4129" s="10" t="n">
        <x:v>46234</x:v>
      </x:c>
      <x:c r="B4129" s="1" t="n">
        <x:v>12.5</x:v>
      </x:c>
      <x:c r="C4129" s="1" t="n">
        <x:v>6</x:v>
      </x:c>
      <x:c r="D4129" s="12" t="n">
        <x:v>0.2306666666666667</x:v>
      </x:c>
      <x:c r="E4129" s="12" t="n">
        <x:v>0.24066666666666664</x:v>
      </x:c>
      <x:c r="F4129" s="12" t="n">
        <x:v>0</x:v>
      </x:c>
      <x:c r="G4129" s="12" t="n">
        <x:v>0</x:v>
      </x:c>
      <x:c r="H4129" s="1" t="n">
        <x:f>'Historical prices'!E4129</x:f>
        <x:v>1.05</x:v>
      </x:c>
      <x:c r="I4129" s="6" t="n">
        <x:f>'Historical prices'!D4129</x:f>
        <x:v>0.1932</x:v>
      </x:c>
      <x:c r="J4129" s="13" t="n">
        <x:f>D4129*I4129*H4129</x:f>
        <x:v>0.04679304000000001</x:v>
      </x:c>
      <x:c r="K4129" s="13" t="n">
        <x:f>E4129*I4129*H4129</x:f>
        <x:v>0.04882164</x:v>
      </x:c>
      <x:c r="L4129" s="1" t="str">
        <x:f>TEXT(A4129,"mmm yyyy")</x:f>
        <x:v>Jul 2026</x:v>
      </x:c>
    </x:row>
    <x:row r="4130" ht="21" customHeight="1">
      <x:c r="A4130" s="10" t="n">
        <x:v>46234</x:v>
      </x:c>
      <x:c r="B4130" s="1" t="n">
        <x:v>13</x:v>
      </x:c>
      <x:c r="C4130" s="1" t="n">
        <x:v>6</x:v>
      </x:c>
      <x:c r="D4130" s="12" t="n">
        <x:v>0.12866666666666665</x:v>
      </x:c>
      <x:c r="E4130" s="12" t="n">
        <x:v>0.13966666666666666</x:v>
      </x:c>
      <x:c r="F4130" s="12" t="n">
        <x:v>0</x:v>
      </x:c>
      <x:c r="G4130" s="12" t="n">
        <x:v>0</x:v>
      </x:c>
      <x:c r="H4130" s="1" t="n">
        <x:f>'Historical prices'!E4130</x:f>
        <x:v>1.05</x:v>
      </x:c>
      <x:c r="I4130" s="6" t="n">
        <x:f>'Historical prices'!D4130</x:f>
        <x:v>0.1884</x:v>
      </x:c>
      <x:c r="J4130" s="13" t="n">
        <x:f>D4130*I4130*H4130</x:f>
        <x:v>0.02545284</x:v>
      </x:c>
      <x:c r="K4130" s="13" t="n">
        <x:f>E4130*I4130*H4130</x:f>
        <x:v>0.02762886</x:v>
      </x:c>
      <x:c r="L4130" s="1" t="str">
        <x:f>TEXT(A4130,"mmm yyyy")</x:f>
        <x:v>Jul 2026</x:v>
      </x:c>
    </x:row>
    <x:row r="4131" ht="21" customHeight="1">
      <x:c r="A4131" s="10" t="n">
        <x:v>46234</x:v>
      </x:c>
      <x:c r="B4131" s="1" t="n">
        <x:v>13.5</x:v>
      </x:c>
      <x:c r="C4131" s="1" t="n">
        <x:v>6</x:v>
      </x:c>
      <x:c r="D4131" s="12" t="n">
        <x:v>4.28825</x:v>
      </x:c>
      <x:c r="E4131" s="12" t="n">
        <x:v>0.41125</x:v>
      </x:c>
      <x:c r="F4131" s="12" t="n">
        <x:v>0</x:v>
      </x:c>
      <x:c r="G4131" s="12" t="n">
        <x:v>3.878</x:v>
      </x:c>
      <x:c r="H4131" s="1" t="n">
        <x:f>'Historical prices'!E4131</x:f>
        <x:v>1.05</x:v>
      </x:c>
      <x:c r="I4131" s="6" t="n">
        <x:f>'Historical prices'!D4131</x:f>
        <x:v>0.185</x:v>
      </x:c>
      <x:c r="J4131" s="13" t="n">
        <x:f>D4131*I4131*H4131</x:f>
        <x:v>0.8329925625</x:v>
      </x:c>
      <x:c r="K4131" s="13" t="n">
        <x:f>E4131*I4131*H4131</x:f>
        <x:v>0.0798853125</x:v>
      </x:c>
      <x:c r="L4131" s="1" t="str">
        <x:f>TEXT(A4131,"mmm yyyy")</x:f>
        <x:v>Jul 2026</x:v>
      </x:c>
    </x:row>
    <x:row r="4132" ht="21" customHeight="1">
      <x:c r="A4132" s="10" t="n">
        <x:v>46234</x:v>
      </x:c>
      <x:c r="B4132" s="1" t="n">
        <x:v>14</x:v>
      </x:c>
      <x:c r="C4132" s="1" t="n">
        <x:v>6</x:v>
      </x:c>
      <x:c r="D4132" s="12" t="n">
        <x:v>1.0030833333333333</x:v>
      </x:c>
      <x:c r="E4132" s="12" t="n">
        <x:v>0.2500833333333333</x:v>
      </x:c>
      <x:c r="F4132" s="12" t="n">
        <x:v>0</x:v>
      </x:c>
      <x:c r="G4132" s="12" t="n">
        <x:v>0.756</x:v>
      </x:c>
      <x:c r="H4132" s="1" t="n">
        <x:f>'Historical prices'!E4132</x:f>
        <x:v>1.05</x:v>
      </x:c>
      <x:c r="I4132" s="6" t="n">
        <x:f>'Historical prices'!D4132</x:f>
        <x:v>0.1888</x:v>
      </x:c>
      <x:c r="J4132" s="13" t="n">
        <x:f>D4132*I4132*H4132</x:f>
        <x:v>0.19885124</x:v>
      </x:c>
      <x:c r="K4132" s="13" t="n">
        <x:f>E4132*I4132*H4132</x:f>
        <x:v>0.04957652</x:v>
      </x:c>
      <x:c r="L4132" s="1" t="str">
        <x:f>TEXT(A4132,"mmm yyyy")</x:f>
        <x:v>Jul 2026</x:v>
      </x:c>
    </x:row>
    <x:row r="4133" ht="21" customHeight="1">
      <x:c r="A4133" s="10" t="n">
        <x:v>46234</x:v>
      </x:c>
      <x:c r="B4133" s="1" t="n">
        <x:v>14.5</x:v>
      </x:c>
      <x:c r="C4133" s="1" t="n">
        <x:v>6</x:v>
      </x:c>
      <x:c r="D4133" s="12" t="n">
        <x:v>4.320583333333333</x:v>
      </x:c>
      <x:c r="E4133" s="12" t="n">
        <x:v>0.4095833333333333</x:v>
      </x:c>
      <x:c r="F4133" s="12" t="n">
        <x:v>0</x:v>
      </x:c>
      <x:c r="G4133" s="12" t="n">
        <x:v>3.9130000000000003</x:v>
      </x:c>
      <x:c r="H4133" s="1" t="n">
        <x:f>'Historical prices'!E4133</x:f>
        <x:v>1.05</x:v>
      </x:c>
      <x:c r="I4133" s="6" t="n">
        <x:f>'Historical prices'!D4133</x:f>
        <x:v>0.1841</x:v>
      </x:c>
      <x:c r="J4133" s="13" t="n">
        <x:f>D4133*I4133*H4133</x:f>
        <x:v>0.8351903612500001</x:v>
      </x:c>
      <x:c r="K4133" s="13" t="n">
        <x:f>E4133*I4133*H4133</x:f>
        <x:v>0.07917450625</x:v>
      </x:c>
      <x:c r="L4133" s="1" t="str">
        <x:f>TEXT(A4133,"mmm yyyy")</x:f>
        <x:v>Jul 2026</x:v>
      </x:c>
    </x:row>
    <x:row r="4134" ht="21" customHeight="1">
      <x:c r="A4134" s="10" t="n">
        <x:v>46234</x:v>
      </x:c>
      <x:c r="B4134" s="1" t="n">
        <x:v>15</x:v>
      </x:c>
      <x:c r="C4134" s="1" t="n">
        <x:v>6</x:v>
      </x:c>
      <x:c r="D4134" s="12" t="n">
        <x:v>0.9735833333333332</x:v>
      </x:c>
      <x:c r="E4134" s="12" t="n">
        <x:v>0.21058333333333334</x:v>
      </x:c>
      <x:c r="F4134" s="12" t="n">
        <x:v>0</x:v>
      </x:c>
      <x:c r="G4134" s="12" t="n">
        <x:v>0.767</x:v>
      </x:c>
      <x:c r="H4134" s="1" t="n">
        <x:f>'Historical prices'!E4134</x:f>
        <x:v>1.05</x:v>
      </x:c>
      <x:c r="I4134" s="6" t="n">
        <x:f>'Historical prices'!D4134</x:f>
        <x:v>0.1888</x:v>
      </x:c>
      <x:c r="J4134" s="13" t="n">
        <x:f>D4134*I4134*H4134</x:f>
        <x:v>0.19300315999999998</x:v>
      </x:c>
      <x:c r="K4134" s="13" t="n">
        <x:f>E4134*I4134*H4134</x:f>
        <x:v>0.041746040000000005</x:v>
      </x:c>
      <x:c r="L4134" s="1" t="str">
        <x:f>TEXT(A4134,"mmm yyyy")</x:f>
        <x:v>Jul 2026</x:v>
      </x:c>
    </x:row>
    <x:row r="4135" ht="21" customHeight="1">
      <x:c r="A4135" s="10" t="n">
        <x:v>46234</x:v>
      </x:c>
      <x:c r="B4135" s="1" t="n">
        <x:v>15.5</x:v>
      </x:c>
      <x:c r="C4135" s="1" t="n">
        <x:v>6</x:v>
      </x:c>
      <x:c r="D4135" s="12" t="n">
        <x:v>0.22966666666666666</x:v>
      </x:c>
      <x:c r="E4135" s="12" t="n">
        <x:v>0.24066666666666667</x:v>
      </x:c>
      <x:c r="F4135" s="12" t="n">
        <x:v>0</x:v>
      </x:c>
      <x:c r="G4135" s="12" t="n">
        <x:v>0</x:v>
      </x:c>
      <x:c r="H4135" s="1" t="n">
        <x:f>'Historical prices'!E4135</x:f>
        <x:v>1.05</x:v>
      </x:c>
      <x:c r="I4135" s="6" t="n">
        <x:f>'Historical prices'!D4135</x:f>
        <x:v>0.1888</x:v>
      </x:c>
      <x:c r="J4135" s="13" t="n">
        <x:f>D4135*I4135*H4135</x:f>
        <x:v>0.04552912</x:v>
      </x:c>
      <x:c r="K4135" s="13" t="n">
        <x:f>E4135*I4135*H4135</x:f>
        <x:v>0.047709760000000004</x:v>
      </x:c>
      <x:c r="L4135" s="1" t="str">
        <x:f>TEXT(A4135,"mmm yyyy")</x:f>
        <x:v>Jul 2026</x:v>
      </x:c>
    </x:row>
    <x:row r="4136" ht="21" customHeight="1">
      <x:c r="A4136" s="10" t="n">
        <x:v>46234</x:v>
      </x:c>
      <x:c r="B4136" s="1" t="n">
        <x:v>16</x:v>
      </x:c>
      <x:c r="C4136" s="1" t="n">
        <x:v>6</x:v>
      </x:c>
      <x:c r="D4136" s="12" t="n">
        <x:v>0.019166666666666665</x:v>
      </x:c>
      <x:c r="E4136" s="12" t="n">
        <x:v>0.20025000000000004</x:v>
      </x:c>
      <x:c r="F4136" s="12" t="n">
        <x:v>0.17891666666666667</x:v>
      </x:c>
      <x:c r="G4136" s="12" t="n">
        <x:v>0</x:v>
      </x:c>
      <x:c r="H4136" s="1" t="n">
        <x:f>'Historical prices'!E4136</x:f>
        <x:v>1.05</x:v>
      </x:c>
      <x:c r="I4136" s="6" t="n">
        <x:f>'Historical prices'!D4136</x:f>
        <x:v>0.3258</x:v>
      </x:c>
      <x:c r="J4136" s="13" t="n">
        <x:f>D4136*I4136*H4136</x:f>
        <x:v>0.006556724999999999</x:v>
      </x:c>
      <x:c r="K4136" s="13" t="n">
        <x:f>E4136*I4136*H4136</x:f>
        <x:v>0.06850352250000001</x:v>
      </x:c>
      <x:c r="L4136" s="1" t="str">
        <x:f>TEXT(A4136,"mmm yyyy")</x:f>
        <x:v>Jul 2026</x:v>
      </x:c>
    </x:row>
    <x:row r="4137" ht="21" customHeight="1">
      <x:c r="A4137" s="10" t="n">
        <x:v>46234</x:v>
      </x:c>
      <x:c r="B4137" s="1" t="n">
        <x:v>16.5</x:v>
      </x:c>
      <x:c r="C4137" s="1" t="n">
        <x:v>6</x:v>
      </x:c>
      <x:c r="D4137" s="12" t="n">
        <x:v>0</x:v>
      </x:c>
      <x:c r="E4137" s="12" t="n">
        <x:v>0.2798333333333333</x:v>
      </x:c>
      <x:c r="F4137" s="12" t="n">
        <x:v>0.27975</x:v>
      </x:c>
      <x:c r="G4137" s="12" t="n">
        <x:v>0</x:v>
      </x:c>
      <x:c r="H4137" s="1" t="n">
        <x:f>'Historical prices'!E4137</x:f>
        <x:v>1.05</x:v>
      </x:c>
      <x:c r="I4137" s="6" t="n">
        <x:f>'Historical prices'!D4137</x:f>
        <x:v>0.32280000000000003</x:v>
      </x:c>
      <x:c r="J4137" s="13" t="n">
        <x:f>D4137*I4137*H4137</x:f>
        <x:v>0</x:v>
      </x:c>
      <x:c r="K4137" s="13" t="n">
        <x:f>E4137*I4137*H4137</x:f>
        <x:v>0.09484671</x:v>
      </x:c>
      <x:c r="L4137" s="1" t="str">
        <x:f>TEXT(A4137,"mmm yyyy")</x:f>
        <x:v>Jul 2026</x:v>
      </x:c>
    </x:row>
    <x:row r="4138" ht="21" customHeight="1">
      <x:c r="A4138" s="10" t="n">
        <x:v>46234</x:v>
      </x:c>
      <x:c r="B4138" s="1" t="n">
        <x:v>17</x:v>
      </x:c>
      <x:c r="C4138" s="1" t="n">
        <x:v>6</x:v>
      </x:c>
      <x:c r="D4138" s="12" t="n">
        <x:v>0</x:v>
      </x:c>
      <x:c r="E4138" s="12" t="n">
        <x:v>0.2579166666666667</x:v>
      </x:c>
      <x:c r="F4138" s="12" t="n">
        <x:v>0.25775</x:v>
      </x:c>
      <x:c r="G4138" s="12" t="n">
        <x:v>0</x:v>
      </x:c>
      <x:c r="H4138" s="1" t="n">
        <x:f>'Historical prices'!E4138</x:f>
        <x:v>1.05</x:v>
      </x:c>
      <x:c r="I4138" s="6" t="n">
        <x:f>'Historical prices'!D4138</x:f>
        <x:v>0.3676</x:v>
      </x:c>
      <x:c r="J4138" s="13" t="n">
        <x:f>D4138*I4138*H4138</x:f>
        <x:v>0</x:v>
      </x:c>
      <x:c r="K4138" s="13" t="n">
        <x:f>E4138*I4138*H4138</x:f>
        <x:v>0.099550675</x:v>
      </x:c>
      <x:c r="L4138" s="1" t="str">
        <x:f>TEXT(A4138,"mmm yyyy")</x:f>
        <x:v>Jul 2026</x:v>
      </x:c>
    </x:row>
    <x:row r="4139" ht="21" customHeight="1">
      <x:c r="A4139" s="10" t="n">
        <x:v>46234</x:v>
      </x:c>
      <x:c r="B4139" s="1" t="n">
        <x:v>17.5</x:v>
      </x:c>
      <x:c r="C4139" s="1" t="n">
        <x:v>6</x:v>
      </x:c>
      <x:c r="D4139" s="12" t="n">
        <x:v>0</x:v>
      </x:c>
      <x:c r="E4139" s="12" t="n">
        <x:v>0.20866666666666667</x:v>
      </x:c>
      <x:c r="F4139" s="12" t="n">
        <x:v>0.20866666666666667</x:v>
      </x:c>
      <x:c r="G4139" s="12" t="n">
        <x:v>0</x:v>
      </x:c>
      <x:c r="H4139" s="1" t="n">
        <x:f>'Historical prices'!E4139</x:f>
        <x:v>1.05</x:v>
      </x:c>
      <x:c r="I4139" s="6" t="n">
        <x:f>'Historical prices'!D4139</x:f>
        <x:v>0.36560000000000004</x:v>
      </x:c>
      <x:c r="J4139" s="13" t="n">
        <x:f>D4139*I4139*H4139</x:f>
        <x:v>0</x:v>
      </x:c>
      <x:c r="K4139" s="13" t="n">
        <x:f>E4139*I4139*H4139</x:f>
        <x:v>0.08010296000000001</x:v>
      </x:c>
      <x:c r="L4139" s="1" t="str">
        <x:f>TEXT(A4139,"mmm yyyy")</x:f>
        <x:v>Jul 2026</x:v>
      </x:c>
    </x:row>
    <x:row r="4140" ht="21" customHeight="1">
      <x:c r="A4140" s="10" t="n">
        <x:v>46234</x:v>
      </x:c>
      <x:c r="B4140" s="1" t="n">
        <x:v>18</x:v>
      </x:c>
      <x:c r="C4140" s="1" t="n">
        <x:v>6</x:v>
      </x:c>
      <x:c r="D4140" s="12" t="n">
        <x:v>0</x:v>
      </x:c>
      <x:c r="E4140" s="12" t="n">
        <x:v>0.258</x:v>
      </x:c>
      <x:c r="F4140" s="12" t="n">
        <x:v>0.2578333333333333</x:v>
      </x:c>
      <x:c r="G4140" s="12" t="n">
        <x:v>0</x:v>
      </x:c>
      <x:c r="H4140" s="1" t="n">
        <x:f>'Historical prices'!E4140</x:f>
        <x:v>1.05</x:v>
      </x:c>
      <x:c r="I4140" s="6" t="n">
        <x:f>'Historical prices'!D4140</x:f>
        <x:v>0.37189999999999995</x:v>
      </x:c>
      <x:c r="J4140" s="13" t="n">
        <x:f>D4140*I4140*H4140</x:f>
        <x:v>0</x:v>
      </x:c>
      <x:c r="K4140" s="13" t="n">
        <x:f>E4140*I4140*H4140</x:f>
        <x:v>0.10074770999999999</x:v>
      </x:c>
      <x:c r="L4140" s="1" t="str">
        <x:f>TEXT(A4140,"mmm yyyy")</x:f>
        <x:v>Jul 2026</x:v>
      </x:c>
    </x:row>
    <x:row r="4141" ht="21" customHeight="1">
      <x:c r="A4141" s="10" t="n">
        <x:v>46234</x:v>
      </x:c>
      <x:c r="B4141" s="1" t="n">
        <x:v>18.5</x:v>
      </x:c>
      <x:c r="C4141" s="1" t="n">
        <x:v>6</x:v>
      </x:c>
      <x:c r="D4141" s="12" t="n">
        <x:v>0</x:v>
      </x:c>
      <x:c r="E4141" s="12" t="n">
        <x:v>0.29575</x:v>
      </x:c>
      <x:c r="F4141" s="12" t="n">
        <x:v>0.2956666666666667</x:v>
      </x:c>
      <x:c r="G4141" s="12" t="n">
        <x:v>0</x:v>
      </x:c>
      <x:c r="H4141" s="1" t="n">
        <x:f>'Historical prices'!E4141</x:f>
        <x:v>1.05</x:v>
      </x:c>
      <x:c r="I4141" s="6" t="n">
        <x:f>'Historical prices'!D4141</x:f>
        <x:v>0.3932</x:v>
      </x:c>
      <x:c r="J4141" s="13" t="n">
        <x:f>D4141*I4141*H4141</x:f>
        <x:v>0</x:v>
      </x:c>
      <x:c r="K4141" s="13" t="n">
        <x:f>E4141*I4141*H4141</x:f>
        <x:v>0.122103345</x:v>
      </x:c>
      <x:c r="L4141" s="1" t="str">
        <x:f>TEXT(A4141,"mmm yyyy")</x:f>
        <x:v>Jul 2026</x:v>
      </x:c>
    </x:row>
    <x:row r="4142" ht="21" customHeight="1">
      <x:c r="A4142" s="10" t="n">
        <x:v>46234</x:v>
      </x:c>
      <x:c r="B4142" s="1" t="n">
        <x:v>19</x:v>
      </x:c>
      <x:c r="C4142" s="1" t="n">
        <x:v>6</x:v>
      </x:c>
      <x:c r="D4142" s="12" t="n">
        <x:v>0</x:v>
      </x:c>
      <x:c r="E4142" s="12" t="n">
        <x:v>0.21516666666666667</x:v>
      </x:c>
      <x:c r="F4142" s="12" t="n">
        <x:v>0.21483333333333332</x:v>
      </x:c>
      <x:c r="G4142" s="12" t="n">
        <x:v>0</x:v>
      </x:c>
      <x:c r="H4142" s="1" t="n">
        <x:f>'Historical prices'!E4142</x:f>
        <x:v>1.05</x:v>
      </x:c>
      <x:c r="I4142" s="6" t="n">
        <x:f>'Historical prices'!D4142</x:f>
        <x:v>0.2957</x:v>
      </x:c>
      <x:c r="J4142" s="13" t="n">
        <x:f>D4142*I4142*H4142</x:f>
        <x:v>0</x:v>
      </x:c>
      <x:c r="K4142" s="13" t="n">
        <x:f>E4142*I4142*H4142</x:f>
        <x:v>0.0668060225</x:v>
      </x:c>
      <x:c r="L4142" s="1" t="str">
        <x:f>TEXT(A4142,"mmm yyyy")</x:f>
        <x:v>Jul 2026</x:v>
      </x:c>
    </x:row>
    <x:row r="4143" ht="21" customHeight="1">
      <x:c r="A4143" s="10" t="n">
        <x:v>46234</x:v>
      </x:c>
      <x:c r="B4143" s="1" t="n">
        <x:v>19.5</x:v>
      </x:c>
      <x:c r="C4143" s="1" t="n">
        <x:v>6</x:v>
      </x:c>
      <x:c r="D4143" s="12" t="n">
        <x:v>0</x:v>
      </x:c>
      <x:c r="E4143" s="12" t="n">
        <x:v>0.24083333333333337</x:v>
      </x:c>
      <x:c r="F4143" s="12" t="n">
        <x:v>0.2405</x:v>
      </x:c>
      <x:c r="G4143" s="12" t="n">
        <x:v>0</x:v>
      </x:c>
      <x:c r="H4143" s="1" t="n">
        <x:f>'Historical prices'!E4143</x:f>
        <x:v>1.05</x:v>
      </x:c>
      <x:c r="I4143" s="6" t="n">
        <x:f>'Historical prices'!D4143</x:f>
        <x:v>0.3003</x:v>
      </x:c>
      <x:c r="J4143" s="13" t="n">
        <x:f>D4143*I4143*H4143</x:f>
        <x:v>0</x:v>
      </x:c>
      <x:c r="K4143" s="13" t="n">
        <x:f>E4143*I4143*H4143</x:f>
        <x:v>0.07593836250000002</x:v>
      </x:c>
      <x:c r="L4143" s="1" t="str">
        <x:f>TEXT(A4143,"mmm yyyy")</x:f>
        <x:v>Jul 2026</x:v>
      </x:c>
    </x:row>
    <x:row r="4144" ht="21" customHeight="1">
      <x:c r="A4144" s="10" t="n">
        <x:v>46234</x:v>
      </x:c>
      <x:c r="B4144" s="1" t="n">
        <x:v>20</x:v>
      </x:c>
      <x:c r="C4144" s="1" t="n">
        <x:v>6</x:v>
      </x:c>
      <x:c r="D4144" s="12" t="n">
        <x:v>0</x:v>
      </x:c>
      <x:c r="E4144" s="12" t="n">
        <x:v>0.32183333333333336</x:v>
      </x:c>
      <x:c r="F4144" s="12" t="n">
        <x:v>0.32183333333333336</x:v>
      </x:c>
      <x:c r="G4144" s="12" t="n">
        <x:v>0</x:v>
      </x:c>
      <x:c r="H4144" s="1" t="n">
        <x:f>'Historical prices'!E4144</x:f>
        <x:v>1.05</x:v>
      </x:c>
      <x:c r="I4144" s="6" t="n">
        <x:f>'Historical prices'!D4144</x:f>
        <x:v>0.3007</x:v>
      </x:c>
      <x:c r="J4144" s="13" t="n">
        <x:f>D4144*I4144*H4144</x:f>
        <x:v>0</x:v>
      </x:c>
      <x:c r="K4144" s="13" t="n">
        <x:f>E4144*I4144*H4144</x:f>
        <x:v>0.10161404750000003</x:v>
      </x:c>
      <x:c r="L4144" s="1" t="str">
        <x:f>TEXT(A4144,"mmm yyyy")</x:f>
        <x:v>Jul 2026</x:v>
      </x:c>
    </x:row>
    <x:row r="4145" ht="21" customHeight="1">
      <x:c r="A4145" s="10" t="n">
        <x:v>46234</x:v>
      </x:c>
      <x:c r="B4145" s="1" t="n">
        <x:v>20.5</x:v>
      </x:c>
      <x:c r="C4145" s="1" t="n">
        <x:v>6</x:v>
      </x:c>
      <x:c r="D4145" s="12" t="n">
        <x:v>0</x:v>
      </x:c>
      <x:c r="E4145" s="12" t="n">
        <x:v>0.3858333333333333</x:v>
      </x:c>
      <x:c r="F4145" s="12" t="n">
        <x:v>0.38575</x:v>
      </x:c>
      <x:c r="G4145" s="12" t="n">
        <x:v>0</x:v>
      </x:c>
      <x:c r="H4145" s="1" t="n">
        <x:f>'Historical prices'!E4145</x:f>
        <x:v>1.05</x:v>
      </x:c>
      <x:c r="I4145" s="6" t="n">
        <x:f>'Historical prices'!D4145</x:f>
        <x:v>0.30260000000000004</x:v>
      </x:c>
      <x:c r="J4145" s="13" t="n">
        <x:f>D4145*I4145*H4145</x:f>
        <x:v>0</x:v>
      </x:c>
      <x:c r="K4145" s="13" t="n">
        <x:f>E4145*I4145*H4145</x:f>
        <x:v>0.12259082500000001</x:v>
      </x:c>
      <x:c r="L4145" s="1" t="str">
        <x:f>TEXT(A4145,"mmm yyyy")</x:f>
        <x:v>Jul 2026</x:v>
      </x:c>
    </x:row>
    <x:row r="4146" ht="21" customHeight="1">
      <x:c r="A4146" s="10" t="n">
        <x:v>46234</x:v>
      </x:c>
      <x:c r="B4146" s="1" t="n">
        <x:v>21</x:v>
      </x:c>
      <x:c r="C4146" s="1" t="n">
        <x:v>6</x:v>
      </x:c>
      <x:c r="D4146" s="12" t="n">
        <x:v>0</x:v>
      </x:c>
      <x:c r="E4146" s="12" t="n">
        <x:v>0.30775</x:v>
      </x:c>
      <x:c r="F4146" s="12" t="n">
        <x:v>0.30775</x:v>
      </x:c>
      <x:c r="G4146" s="12" t="n">
        <x:v>0</x:v>
      </x:c>
      <x:c r="H4146" s="1" t="n">
        <x:f>'Historical prices'!E4146</x:f>
        <x:v>1.05</x:v>
      </x:c>
      <x:c r="I4146" s="6" t="n">
        <x:f>'Historical prices'!D4146</x:f>
        <x:v>0.2963</x:v>
      </x:c>
      <x:c r="J4146" s="13" t="n">
        <x:f>D4146*I4146*H4146</x:f>
        <x:v>0</x:v>
      </x:c>
      <x:c r="K4146" s="13" t="n">
        <x:f>E4146*I4146*H4146</x:f>
        <x:v>0.09574564125000001</x:v>
      </x:c>
      <x:c r="L4146" s="1" t="str">
        <x:f>TEXT(A4146,"mmm yyyy")</x:f>
        <x:v>Jul 2026</x:v>
      </x:c>
    </x:row>
    <x:row r="4147" ht="21" customHeight="1">
      <x:c r="A4147" s="10" t="n">
        <x:v>46234</x:v>
      </x:c>
      <x:c r="B4147" s="1" t="n">
        <x:v>21.5</x:v>
      </x:c>
      <x:c r="C4147" s="1" t="n">
        <x:v>6</x:v>
      </x:c>
      <x:c r="D4147" s="12" t="n">
        <x:v>0</x:v>
      </x:c>
      <x:c r="E4147" s="12" t="n">
        <x:v>0.27275000000000005</x:v>
      </x:c>
      <x:c r="F4147" s="12" t="n">
        <x:v>0.27258333333333334</x:v>
      </x:c>
      <x:c r="G4147" s="12" t="n">
        <x:v>0</x:v>
      </x:c>
      <x:c r="H4147" s="1" t="n">
        <x:f>'Historical prices'!E4147</x:f>
        <x:v>1.05</x:v>
      </x:c>
      <x:c r="I4147" s="6" t="n">
        <x:f>'Historical prices'!D4147</x:f>
        <x:v>0.2923</x:v>
      </x:c>
      <x:c r="J4147" s="13" t="n">
        <x:f>D4147*I4147*H4147</x:f>
        <x:v>0</x:v>
      </x:c>
      <x:c r="K4147" s="13" t="n">
        <x:f>E4147*I4147*H4147</x:f>
        <x:v>0.08371106625000002</x:v>
      </x:c>
      <x:c r="L4147" s="1" t="str">
        <x:f>TEXT(A4147,"mmm yyyy")</x:f>
        <x:v>Jul 2026</x:v>
      </x:c>
    </x:row>
    <x:row r="4148" ht="21" customHeight="1">
      <x:c r="A4148" s="10" t="n">
        <x:v>46234</x:v>
      </x:c>
      <x:c r="B4148" s="1" t="n">
        <x:v>22</x:v>
      </x:c>
      <x:c r="C4148" s="1" t="n">
        <x:v>6</x:v>
      </x:c>
      <x:c r="D4148" s="12" t="n">
        <x:v>0</x:v>
      </x:c>
      <x:c r="E4148" s="12" t="n">
        <x:v>0.25</x:v>
      </x:c>
      <x:c r="F4148" s="12" t="n">
        <x:v>0.24966666666666665</x:v>
      </x:c>
      <x:c r="G4148" s="12" t="n">
        <x:v>0</x:v>
      </x:c>
      <x:c r="H4148" s="1" t="n">
        <x:f>'Historical prices'!E4148</x:f>
        <x:v>1.05</x:v>
      </x:c>
      <x:c r="I4148" s="6" t="n">
        <x:f>'Historical prices'!D4148</x:f>
        <x:v>0.294</x:v>
      </x:c>
      <x:c r="J4148" s="13" t="n">
        <x:f>D4148*I4148*H4148</x:f>
        <x:v>0</x:v>
      </x:c>
      <x:c r="K4148" s="13" t="n">
        <x:f>E4148*I4148*H4148</x:f>
        <x:v>0.077175</x:v>
      </x:c>
      <x:c r="L4148" s="1" t="str">
        <x:f>TEXT(A4148,"mmm yyyy")</x:f>
        <x:v>Jul 2026</x:v>
      </x:c>
    </x:row>
    <x:row r="4149" ht="21" customHeight="1">
      <x:c r="A4149" s="10" t="n">
        <x:v>46234</x:v>
      </x:c>
      <x:c r="B4149" s="1" t="n">
        <x:v>22.5</x:v>
      </x:c>
      <x:c r="C4149" s="1" t="n">
        <x:v>6</x:v>
      </x:c>
      <x:c r="D4149" s="12" t="n">
        <x:v>0</x:v>
      </x:c>
      <x:c r="E4149" s="12" t="n">
        <x:v>0.31875</x:v>
      </x:c>
      <x:c r="F4149" s="12" t="n">
        <x:v>0.31866666666666665</x:v>
      </x:c>
      <x:c r="G4149" s="12" t="n">
        <x:v>0</x:v>
      </x:c>
      <x:c r="H4149" s="1" t="n">
        <x:f>'Historical prices'!E4149</x:f>
        <x:v>1.05</x:v>
      </x:c>
      <x:c r="I4149" s="6" t="n">
        <x:f>'Historical prices'!D4149</x:f>
        <x:v>0.2805</x:v>
      </x:c>
      <x:c r="J4149" s="13" t="n">
        <x:f>D4149*I4149*H4149</x:f>
        <x:v>0</x:v>
      </x:c>
      <x:c r="K4149" s="13" t="n">
        <x:f>E4149*I4149*H4149</x:f>
        <x:v>0.09387984375</x:v>
      </x:c>
      <x:c r="L4149" s="1" t="str">
        <x:f>TEXT(A4149,"mmm yyyy")</x:f>
        <x:v>Jul 2026</x:v>
      </x:c>
    </x:row>
    <x:row r="4150" ht="21" customHeight="1">
      <x:c r="A4150" s="10" t="n">
        <x:v>46234</x:v>
      </x:c>
      <x:c r="B4150" s="1" t="n">
        <x:v>23</x:v>
      </x:c>
      <x:c r="C4150" s="1" t="n">
        <x:v>6</x:v>
      </x:c>
      <x:c r="D4150" s="12" t="n">
        <x:v>0</x:v>
      </x:c>
      <x:c r="E4150" s="12" t="n">
        <x:v>0.26483333333333337</x:v>
      </x:c>
      <x:c r="F4150" s="12" t="n">
        <x:v>0.2646666666666667</x:v>
      </x:c>
      <x:c r="G4150" s="12" t="n">
        <x:v>0</x:v>
      </x:c>
      <x:c r="H4150" s="1" t="n">
        <x:f>'Historical prices'!E4150</x:f>
        <x:v>1.05</x:v>
      </x:c>
      <x:c r="I4150" s="6" t="n">
        <x:f>'Historical prices'!D4150</x:f>
        <x:v>0.2732</x:v>
      </x:c>
      <x:c r="J4150" s="13" t="n">
        <x:f>D4150*I4150*H4150</x:f>
        <x:v>0</x:v>
      </x:c>
      <x:c r="K4150" s="13" t="n">
        <x:f>E4150*I4150*H4150</x:f>
        <x:v>0.07597009</x:v>
      </x:c>
      <x:c r="L4150" s="1" t="str">
        <x:f>TEXT(A4150,"mmm yyyy")</x:f>
        <x:v>Jul 2026</x:v>
      </x:c>
    </x:row>
    <x:row r="4151" ht="21" customHeight="1">
      <x:c r="A4151" s="10" t="n">
        <x:v>46234</x:v>
      </x:c>
      <x:c r="B4151" s="1" t="n">
        <x:v>23.5</x:v>
      </x:c>
      <x:c r="C4151" s="1" t="n">
        <x:v>6</x:v>
      </x:c>
      <x:c r="D4151" s="12" t="n">
        <x:v>0</x:v>
      </x:c>
      <x:c r="E4151" s="12" t="n">
        <x:v>0.18983333333333333</x:v>
      </x:c>
      <x:c r="F4151" s="12" t="n">
        <x:v>0.1895</x:v>
      </x:c>
      <x:c r="G4151" s="12" t="n">
        <x:v>0</x:v>
      </x:c>
      <x:c r="H4151" s="1" t="n">
        <x:f>'Historical prices'!E4151</x:f>
        <x:v>1.05</x:v>
      </x:c>
      <x:c r="I4151" s="6" t="n">
        <x:f>'Historical prices'!D4151</x:f>
        <x:v>0.27399999999999997</x:v>
      </x:c>
      <x:c r="J4151" s="13" t="n">
        <x:f>D4151*I4151*H4151</x:f>
        <x:v>0</x:v>
      </x:c>
      <x:c r="K4151" s="13" t="n">
        <x:f>E4151*I4151*H4151</x:f>
        <x:v>0.05461504999999999</x:v>
      </x:c>
      <x:c r="L4151" s="1" t="str">
        <x:f>TEXT(A4151,"mmm yyyy")</x:f>
        <x:v>Jul 2026</x:v>
      </x:c>
    </x:row>
    <x:row r="4152" ht="21" customHeight="1">
      <x:c r="A4152" s="10" t="n">
        <x:v>46235</x:v>
      </x:c>
      <x:c r="B4152" s="1" t="n">
        <x:v>0</x:v>
      </x:c>
      <x:c r="C4152" s="1" t="n">
        <x:v>6</x:v>
      </x:c>
      <x:c r="D4152" s="12" t="n">
        <x:v>0</x:v>
      </x:c>
      <x:c r="E4152" s="12" t="n">
        <x:v>0.2365833333333333</x:v>
      </x:c>
      <x:c r="F4152" s="12" t="n">
        <x:v>0.2365</x:v>
      </x:c>
      <x:c r="G4152" s="12" t="n">
        <x:v>0</x:v>
      </x:c>
      <x:c r="H4152" s="1" t="n">
        <x:f>'Historical prices'!E4152</x:f>
        <x:v>1.05</x:v>
      </x:c>
      <x:c r="I4152" s="6" t="n">
        <x:f>'Historical prices'!D4152</x:f>
        <x:v>0.2579</x:v>
      </x:c>
      <x:c r="J4152" s="13" t="n">
        <x:f>D4152*I4152*H4152</x:f>
        <x:v>0</x:v>
      </x:c>
      <x:c r="K4152" s="13" t="n">
        <x:f>E4152*I4152*H4152</x:f>
        <x:v>0.06406558375</x:v>
      </x:c>
      <x:c r="L4152" s="1" t="str">
        <x:f>TEXT(A4152,"mmm yyyy")</x:f>
        <x:v>Aug 2026</x:v>
      </x:c>
    </x:row>
    <x:row r="4153" ht="21" customHeight="1">
      <x:c r="A4153" s="10" t="n">
        <x:v>46235</x:v>
      </x:c>
      <x:c r="B4153" s="1" t="n">
        <x:v>0.5</x:v>
      </x:c>
      <x:c r="C4153" s="1" t="n">
        <x:v>6</x:v>
      </x:c>
      <x:c r="D4153" s="12" t="n">
        <x:v>0</x:v>
      </x:c>
      <x:c r="E4153" s="12" t="n">
        <x:v>0.29875</x:v>
      </x:c>
      <x:c r="F4153" s="12" t="n">
        <x:v>0.2976666666666667</x:v>
      </x:c>
      <x:c r="G4153" s="12" t="n">
        <x:v>0</x:v>
      </x:c>
      <x:c r="H4153" s="1" t="n">
        <x:f>'Historical prices'!E4153</x:f>
        <x:v>1.05</x:v>
      </x:c>
      <x:c r="I4153" s="6" t="n">
        <x:f>'Historical prices'!D4153</x:f>
        <x:v>0.24850000000000003</x:v>
      </x:c>
      <x:c r="J4153" s="13" t="n">
        <x:f>D4153*I4153*H4153</x:f>
        <x:v>0</x:v>
      </x:c>
      <x:c r="K4153" s="13" t="n">
        <x:f>E4153*I4153*H4153</x:f>
        <x:v>0.07795134375000001</x:v>
      </x:c>
      <x:c r="L4153" s="1" t="str">
        <x:f>TEXT(A4153,"mmm yyyy")</x:f>
        <x:v>Aug 2026</x:v>
      </x:c>
    </x:row>
    <x:row r="4154" ht="21" customHeight="1">
      <x:c r="A4154" s="10" t="n">
        <x:v>46235</x:v>
      </x:c>
      <x:c r="B4154" s="1" t="n">
        <x:v>1</x:v>
      </x:c>
      <x:c r="C4154" s="1" t="n">
        <x:v>6</x:v>
      </x:c>
      <x:c r="D4154" s="12" t="n">
        <x:v>0</x:v>
      </x:c>
      <x:c r="E4154" s="12" t="n">
        <x:v>0.28325</x:v>
      </x:c>
      <x:c r="F4154" s="12" t="n">
        <x:v>0.2819166666666667</x:v>
      </x:c>
      <x:c r="G4154" s="12" t="n">
        <x:v>0</x:v>
      </x:c>
      <x:c r="H4154" s="1" t="n">
        <x:f>'Historical prices'!E4154</x:f>
        <x:v>1.05</x:v>
      </x:c>
      <x:c r="I4154" s="6" t="n">
        <x:f>'Historical prices'!D4154</x:f>
        <x:v>0.2369</x:v>
      </x:c>
      <x:c r="J4154" s="13" t="n">
        <x:f>D4154*I4154*H4154</x:f>
        <x:v>0</x:v>
      </x:c>
      <x:c r="K4154" s="13" t="n">
        <x:f>E4154*I4154*H4154</x:f>
        <x:v>0.07045702125000002</x:v>
      </x:c>
      <x:c r="L4154" s="1" t="str">
        <x:f>TEXT(A4154,"mmm yyyy")</x:f>
        <x:v>Aug 2026</x:v>
      </x:c>
    </x:row>
    <x:row r="4155" ht="21" customHeight="1">
      <x:c r="A4155" s="10" t="n">
        <x:v>46235</x:v>
      </x:c>
      <x:c r="B4155" s="1" t="n">
        <x:v>1.5</x:v>
      </x:c>
      <x:c r="C4155" s="1" t="n">
        <x:v>6</x:v>
      </x:c>
      <x:c r="D4155" s="12" t="n">
        <x:v>0</x:v>
      </x:c>
      <x:c r="E4155" s="12" t="n">
        <x:v>0.20458333333333334</x:v>
      </x:c>
      <x:c r="F4155" s="12" t="n">
        <x:v>0.20458333333333334</x:v>
      </x:c>
      <x:c r="G4155" s="12" t="n">
        <x:v>0</x:v>
      </x:c>
      <x:c r="H4155" s="1" t="n">
        <x:f>'Historical prices'!E4155</x:f>
        <x:v>1.05</x:v>
      </x:c>
      <x:c r="I4155" s="6" t="n">
        <x:f>'Historical prices'!D4155</x:f>
        <x:v>0.2398</x:v>
      </x:c>
      <x:c r="J4155" s="13" t="n">
        <x:f>D4155*I4155*H4155</x:f>
        <x:v>0</x:v>
      </x:c>
      <x:c r="K4155" s="13" t="n">
        <x:f>E4155*I4155*H4155</x:f>
        <x:v>0.0515120375</x:v>
      </x:c>
      <x:c r="L4155" s="1" t="str">
        <x:f>TEXT(A4155,"mmm yyyy")</x:f>
        <x:v>Aug 2026</x:v>
      </x:c>
    </x:row>
    <x:row r="4156" ht="21" customHeight="1">
      <x:c r="A4156" s="10" t="n">
        <x:v>46235</x:v>
      </x:c>
      <x:c r="B4156" s="1" t="n">
        <x:v>2</x:v>
      </x:c>
      <x:c r="C4156" s="1" t="n">
        <x:v>6</x:v>
      </x:c>
      <x:c r="D4156" s="12" t="n">
        <x:v>0</x:v>
      </x:c>
      <x:c r="E4156" s="12" t="n">
        <x:v>0.26625</x:v>
      </x:c>
      <x:c r="F4156" s="12" t="n">
        <x:v>0.26583333333333337</x:v>
      </x:c>
      <x:c r="G4156" s="12" t="n">
        <x:v>0</x:v>
      </x:c>
      <x:c r="H4156" s="1" t="n">
        <x:f>'Historical prices'!E4156</x:f>
        <x:v>1.05</x:v>
      </x:c>
      <x:c r="I4156" s="6" t="n">
        <x:f>'Historical prices'!D4156</x:f>
        <x:v>0.2396</x:v>
      </x:c>
      <x:c r="J4156" s="13" t="n">
        <x:f>D4156*I4156*H4156</x:f>
        <x:v>0</x:v>
      </x:c>
      <x:c r="K4156" s="13" t="n">
        <x:f>E4156*I4156*H4156</x:f>
        <x:v>0.066983175</x:v>
      </x:c>
      <x:c r="L4156" s="1" t="str">
        <x:f>TEXT(A4156,"mmm yyyy")</x:f>
        <x:v>Aug 2026</x:v>
      </x:c>
    </x:row>
    <x:row r="4157" ht="21" customHeight="1">
      <x:c r="A4157" s="10" t="n">
        <x:v>46235</x:v>
      </x:c>
      <x:c r="B4157" s="1" t="n">
        <x:v>2.5</x:v>
      </x:c>
      <x:c r="C4157" s="1" t="n">
        <x:v>6</x:v>
      </x:c>
      <x:c r="D4157" s="12" t="n">
        <x:v>0</x:v>
      </x:c>
      <x:c r="E4157" s="12" t="n">
        <x:v>0.2629166666666667</x:v>
      </x:c>
      <x:c r="F4157" s="12" t="n">
        <x:v>0.26275000000000004</x:v>
      </x:c>
      <x:c r="G4157" s="12" t="n">
        <x:v>0</x:v>
      </x:c>
      <x:c r="H4157" s="1" t="n">
        <x:f>'Historical prices'!E4157</x:f>
        <x:v>1.05</x:v>
      </x:c>
      <x:c r="I4157" s="6" t="n">
        <x:f>'Historical prices'!D4157</x:f>
        <x:v>0.2396</x:v>
      </x:c>
      <x:c r="J4157" s="13" t="n">
        <x:f>D4157*I4157*H4157</x:f>
        <x:v>0</x:v>
      </x:c>
      <x:c r="K4157" s="13" t="n">
        <x:f>E4157*I4157*H4157</x:f>
        <x:v>0.06614457500000001</x:v>
      </x:c>
      <x:c r="L4157" s="1" t="str">
        <x:f>TEXT(A4157,"mmm yyyy")</x:f>
        <x:v>Aug 2026</x:v>
      </x:c>
    </x:row>
    <x:row r="4158" ht="21" customHeight="1">
      <x:c r="A4158" s="10" t="n">
        <x:v>46235</x:v>
      </x:c>
      <x:c r="B4158" s="1" t="n">
        <x:v>3</x:v>
      </x:c>
      <x:c r="C4158" s="1" t="n">
        <x:v>6</x:v>
      </x:c>
      <x:c r="D4158" s="12" t="n">
        <x:v>0</x:v>
      </x:c>
      <x:c r="E4158" s="12" t="n">
        <x:v>0.21083333333333334</x:v>
      </x:c>
      <x:c r="F4158" s="12" t="n">
        <x:v>0.21075000000000002</x:v>
      </x:c>
      <x:c r="G4158" s="12" t="n">
        <x:v>0</x:v>
      </x:c>
      <x:c r="H4158" s="1" t="n">
        <x:f>'Historical prices'!E4158</x:f>
        <x:v>1.05</x:v>
      </x:c>
      <x:c r="I4158" s="6" t="n">
        <x:f>'Historical prices'!D4158</x:f>
        <x:v>0.22899999999999998</x:v>
      </x:c>
      <x:c r="J4158" s="13" t="n">
        <x:f>D4158*I4158*H4158</x:f>
        <x:v>0</x:v>
      </x:c>
      <x:c r="K4158" s="13" t="n">
        <x:f>E4158*I4158*H4158</x:f>
        <x:v>0.05069487500000001</x:v>
      </x:c>
      <x:c r="L4158" s="1" t="str">
        <x:f>TEXT(A4158,"mmm yyyy")</x:f>
        <x:v>Aug 2026</x:v>
      </x:c>
    </x:row>
    <x:row r="4159" ht="21" customHeight="1">
      <x:c r="A4159" s="10" t="n">
        <x:v>46235</x:v>
      </x:c>
      <x:c r="B4159" s="1" t="n">
        <x:v>3.5</x:v>
      </x:c>
      <x:c r="C4159" s="1" t="n">
        <x:v>6</x:v>
      </x:c>
      <x:c r="D4159" s="12" t="n">
        <x:v>0</x:v>
      </x:c>
      <x:c r="E4159" s="12" t="n">
        <x:v>0.23183333333333334</x:v>
      </x:c>
      <x:c r="F4159" s="12" t="n">
        <x:v>0.23175</x:v>
      </x:c>
      <x:c r="G4159" s="12" t="n">
        <x:v>0</x:v>
      </x:c>
      <x:c r="H4159" s="1" t="n">
        <x:f>'Historical prices'!E4159</x:f>
        <x:v>1.05</x:v>
      </x:c>
      <x:c r="I4159" s="6" t="n">
        <x:f>'Historical prices'!D4159</x:f>
        <x:v>0.2351</x:v>
      </x:c>
      <x:c r="J4159" s="13" t="n">
        <x:f>D4159*I4159*H4159</x:f>
        <x:v>0</x:v>
      </x:c>
      <x:c r="K4159" s="13" t="n">
        <x:f>E4159*I4159*H4159</x:f>
        <x:v>0.057229217500000006</x:v>
      </x:c>
      <x:c r="L4159" s="1" t="str">
        <x:f>TEXT(A4159,"mmm yyyy")</x:f>
        <x:v>Aug 2026</x:v>
      </x:c>
    </x:row>
    <x:row r="4160" ht="21" customHeight="1">
      <x:c r="A4160" s="10" t="n">
        <x:v>46235</x:v>
      </x:c>
      <x:c r="B4160" s="1" t="n">
        <x:v>4</x:v>
      </x:c>
      <x:c r="C4160" s="1" t="n">
        <x:v>6</x:v>
      </x:c>
      <x:c r="D4160" s="12" t="n">
        <x:v>0</x:v>
      </x:c>
      <x:c r="E4160" s="12" t="n">
        <x:v>0.23600000000000002</x:v>
      </x:c>
      <x:c r="F4160" s="12" t="n">
        <x:v>0.2356666666666667</x:v>
      </x:c>
      <x:c r="G4160" s="12" t="n">
        <x:v>0</x:v>
      </x:c>
      <x:c r="H4160" s="1" t="n">
        <x:f>'Historical prices'!E4160</x:f>
        <x:v>1.05</x:v>
      </x:c>
      <x:c r="I4160" s="6" t="n">
        <x:f>'Historical prices'!D4160</x:f>
        <x:v>0.2404</x:v>
      </x:c>
      <x:c r="J4160" s="13" t="n">
        <x:f>D4160*I4160*H4160</x:f>
        <x:v>0</x:v>
      </x:c>
      <x:c r="K4160" s="13" t="n">
        <x:f>E4160*I4160*H4160</x:f>
        <x:v>0.059571120000000005</x:v>
      </x:c>
      <x:c r="L4160" s="1" t="str">
        <x:f>TEXT(A4160,"mmm yyyy")</x:f>
        <x:v>Aug 2026</x:v>
      </x:c>
    </x:row>
    <x:row r="4161" ht="21" customHeight="1">
      <x:c r="A4161" s="10" t="n">
        <x:v>46235</x:v>
      </x:c>
      <x:c r="B4161" s="1" t="n">
        <x:v>4.5</x:v>
      </x:c>
      <x:c r="C4161" s="1" t="n">
        <x:v>6</x:v>
      </x:c>
      <x:c r="D4161" s="12" t="n">
        <x:v>0</x:v>
      </x:c>
      <x:c r="E4161" s="12" t="n">
        <x:v>0.26699999999999996</x:v>
      </x:c>
      <x:c r="F4161" s="12" t="n">
        <x:v>0.26666666666666666</x:v>
      </x:c>
      <x:c r="G4161" s="12" t="n">
        <x:v>0</x:v>
      </x:c>
      <x:c r="H4161" s="1" t="n">
        <x:f>'Historical prices'!E4161</x:f>
        <x:v>1.05</x:v>
      </x:c>
      <x:c r="I4161" s="6" t="n">
        <x:f>'Historical prices'!D4161</x:f>
        <x:v>0.23829999999999998</x:v>
      </x:c>
      <x:c r="J4161" s="13" t="n">
        <x:f>D4161*I4161*H4161</x:f>
        <x:v>0</x:v>
      </x:c>
      <x:c r="K4161" s="13" t="n">
        <x:f>E4161*I4161*H4161</x:f>
        <x:v>0.066807405</x:v>
      </x:c>
      <x:c r="L4161" s="1" t="str">
        <x:f>TEXT(A4161,"mmm yyyy")</x:f>
        <x:v>Aug 2026</x:v>
      </x:c>
    </x:row>
    <x:row r="4162" ht="21" customHeight="1">
      <x:c r="A4162" s="10" t="n">
        <x:v>46235</x:v>
      </x:c>
      <x:c r="B4162" s="1" t="n">
        <x:v>5</x:v>
      </x:c>
      <x:c r="C4162" s="1" t="n">
        <x:v>6</x:v>
      </x:c>
      <x:c r="D4162" s="12" t="n">
        <x:v>0</x:v>
      </x:c>
      <x:c r="E4162" s="12" t="n">
        <x:v>0.23875000000000002</x:v>
      </x:c>
      <x:c r="F4162" s="12" t="n">
        <x:v>0.2386666666666667</x:v>
      </x:c>
      <x:c r="G4162" s="12" t="n">
        <x:v>0</x:v>
      </x:c>
      <x:c r="H4162" s="1" t="n">
        <x:f>'Historical prices'!E4162</x:f>
        <x:v>1.05</x:v>
      </x:c>
      <x:c r="I4162" s="6" t="n">
        <x:f>'Historical prices'!D4162</x:f>
        <x:v>0.2396</x:v>
      </x:c>
      <x:c r="J4162" s="13" t="n">
        <x:f>D4162*I4162*H4162</x:f>
        <x:v>0</x:v>
      </x:c>
      <x:c r="K4162" s="13" t="n">
        <x:f>E4162*I4162*H4162</x:f>
        <x:v>0.060064725000000006</x:v>
      </x:c>
      <x:c r="L4162" s="1" t="str">
        <x:f>TEXT(A4162,"mmm yyyy")</x:f>
        <x:v>Aug 2026</x:v>
      </x:c>
    </x:row>
    <x:row r="4163" ht="21" customHeight="1">
      <x:c r="A4163" s="10" t="n">
        <x:v>46235</x:v>
      </x:c>
      <x:c r="B4163" s="1" t="n">
        <x:v>5.5</x:v>
      </x:c>
      <x:c r="C4163" s="1" t="n">
        <x:v>6</x:v>
      </x:c>
      <x:c r="D4163" s="12" t="n">
        <x:v>0</x:v>
      </x:c>
      <x:c r="E4163" s="12" t="n">
        <x:v>0.20191666666666666</x:v>
      </x:c>
      <x:c r="F4163" s="12" t="n">
        <x:v>0.20183333333333334</x:v>
      </x:c>
      <x:c r="G4163" s="12" t="n">
        <x:v>0</x:v>
      </x:c>
      <x:c r="H4163" s="1" t="n">
        <x:f>'Historical prices'!E4163</x:f>
        <x:v>1.05</x:v>
      </x:c>
      <x:c r="I4163" s="6" t="n">
        <x:f>'Historical prices'!D4163</x:f>
        <x:v>0.2359</x:v>
      </x:c>
      <x:c r="J4163" s="13" t="n">
        <x:f>D4163*I4163*H4163</x:f>
        <x:v>0</x:v>
      </x:c>
      <x:c r="K4163" s="13" t="n">
        <x:f>E4163*I4163*H4163</x:f>
        <x:v>0.050013748749999996</x:v>
      </x:c>
      <x:c r="L4163" s="1" t="str">
        <x:f>TEXT(A4163,"mmm yyyy")</x:f>
        <x:v>Aug 2026</x:v>
      </x:c>
    </x:row>
    <x:row r="4164" ht="21" customHeight="1">
      <x:c r="A4164" s="10" t="n">
        <x:v>46235</x:v>
      </x:c>
      <x:c r="B4164" s="1" t="n">
        <x:v>6</x:v>
      </x:c>
      <x:c r="C4164" s="1" t="n">
        <x:v>6</x:v>
      </x:c>
      <x:c r="D4164" s="12" t="n">
        <x:v>0</x:v>
      </x:c>
      <x:c r="E4164" s="12" t="n">
        <x:v>0.29891666666666666</x:v>
      </x:c>
      <x:c r="F4164" s="12" t="n">
        <x:v>0.2985</x:v>
      </x:c>
      <x:c r="G4164" s="12" t="n">
        <x:v>0</x:v>
      </x:c>
      <x:c r="H4164" s="1" t="n">
        <x:f>'Historical prices'!E4164</x:f>
        <x:v>1.05</x:v>
      </x:c>
      <x:c r="I4164" s="6" t="n">
        <x:f>'Historical prices'!D4164</x:f>
        <x:v>0.2409</x:v>
      </x:c>
      <x:c r="J4164" s="13" t="n">
        <x:f>D4164*I4164*H4164</x:f>
        <x:v>0</x:v>
      </x:c>
      <x:c r="K4164" s="13" t="n">
        <x:f>E4164*I4164*H4164</x:f>
        <x:v>0.07560947625</x:v>
      </x:c>
      <x:c r="L4164" s="1" t="str">
        <x:f>TEXT(A4164,"mmm yyyy")</x:f>
        <x:v>Aug 2026</x:v>
      </x:c>
    </x:row>
    <x:row r="4165" ht="21" customHeight="1">
      <x:c r="A4165" s="10" t="n">
        <x:v>46235</x:v>
      </x:c>
      <x:c r="B4165" s="1" t="n">
        <x:v>6.5</x:v>
      </x:c>
      <x:c r="C4165" s="1" t="n">
        <x:v>6</x:v>
      </x:c>
      <x:c r="D4165" s="12" t="n">
        <x:v>0</x:v>
      </x:c>
      <x:c r="E4165" s="12" t="n">
        <x:v>0.3139166666666667</x:v>
      </x:c>
      <x:c r="F4165" s="12" t="n">
        <x:v>0.31174999999999997</x:v>
      </x:c>
      <x:c r="G4165" s="12" t="n">
        <x:v>0</x:v>
      </x:c>
      <x:c r="H4165" s="1" t="n">
        <x:f>'Historical prices'!E4165</x:f>
        <x:v>1.05</x:v>
      </x:c>
      <x:c r="I4165" s="6" t="n">
        <x:f>'Historical prices'!D4165</x:f>
        <x:v>0.2514</x:v>
      </x:c>
      <x:c r="J4165" s="13" t="n">
        <x:f>D4165*I4165*H4165</x:f>
        <x:v>0</x:v>
      </x:c>
      <x:c r="K4165" s="13" t="n">
        <x:f>E4165*I4165*H4165</x:f>
        <x:v>0.0828645825</x:v>
      </x:c>
      <x:c r="L4165" s="1" t="str">
        <x:f>TEXT(A4165,"mmm yyyy")</x:f>
        <x:v>Aug 2026</x:v>
      </x:c>
    </x:row>
    <x:row r="4166" ht="21" customHeight="1">
      <x:c r="A4166" s="10" t="n">
        <x:v>46235</x:v>
      </x:c>
      <x:c r="B4166" s="1" t="n">
        <x:v>7</x:v>
      </x:c>
      <x:c r="C4166" s="1" t="n">
        <x:v>6</x:v>
      </x:c>
      <x:c r="D4166" s="12" t="n">
        <x:v>0</x:v>
      </x:c>
      <x:c r="E4166" s="12" t="n">
        <x:v>0.22608333333333333</x:v>
      </x:c>
      <x:c r="F4166" s="12" t="n">
        <x:v>0.22591666666666668</x:v>
      </x:c>
      <x:c r="G4166" s="12" t="n">
        <x:v>0</x:v>
      </x:c>
      <x:c r="H4166" s="1" t="n">
        <x:f>'Historical prices'!E4166</x:f>
        <x:v>1.05</x:v>
      </x:c>
      <x:c r="I4166" s="6" t="n">
        <x:f>'Historical prices'!D4166</x:f>
        <x:v>0.21350000000000002</x:v>
      </x:c>
      <x:c r="J4166" s="13" t="n">
        <x:f>D4166*I4166*H4166</x:f>
        <x:v>0</x:v>
      </x:c>
      <x:c r="K4166" s="13" t="n">
        <x:f>E4166*I4166*H4166</x:f>
        <x:v>0.05068223125000001</x:v>
      </x:c>
      <x:c r="L4166" s="1" t="str">
        <x:f>TEXT(A4166,"mmm yyyy")</x:f>
        <x:v>Aug 2026</x:v>
      </x:c>
    </x:row>
    <x:row r="4167" ht="21" customHeight="1">
      <x:c r="A4167" s="10" t="n">
        <x:v>46235</x:v>
      </x:c>
      <x:c r="B4167" s="1" t="n">
        <x:v>7.5</x:v>
      </x:c>
      <x:c r="C4167" s="1" t="n">
        <x:v>6</x:v>
      </x:c>
      <x:c r="D4167" s="12" t="n">
        <x:v>0</x:v>
      </x:c>
      <x:c r="E4167" s="12" t="n">
        <x:v>0.21008333333333334</x:v>
      </x:c>
      <x:c r="F4167" s="12" t="n">
        <x:v>0.2099166666666667</x:v>
      </x:c>
      <x:c r="G4167" s="12" t="n">
        <x:v>0</x:v>
      </x:c>
      <x:c r="H4167" s="1" t="n">
        <x:f>'Historical prices'!E4167</x:f>
        <x:v>1.05</x:v>
      </x:c>
      <x:c r="I4167" s="6" t="n">
        <x:f>'Historical prices'!D4167</x:f>
        <x:v>0.2236</x:v>
      </x:c>
      <x:c r="J4167" s="13" t="n">
        <x:f>D4167*I4167*H4167</x:f>
        <x:v>0</x:v>
      </x:c>
      <x:c r="K4167" s="13" t="n">
        <x:f>E4167*I4167*H4167</x:f>
        <x:v>0.049323365</x:v>
      </x:c>
      <x:c r="L4167" s="1" t="str">
        <x:f>TEXT(A4167,"mmm yyyy")</x:f>
        <x:v>Aug 2026</x:v>
      </x:c>
    </x:row>
    <x:row r="4168" ht="21" customHeight="1">
      <x:c r="A4168" s="10" t="n">
        <x:v>46235</x:v>
      </x:c>
      <x:c r="B4168" s="1" t="n">
        <x:v>8</x:v>
      </x:c>
      <x:c r="C4168" s="1" t="n">
        <x:v>6</x:v>
      </x:c>
      <x:c r="D4168" s="12" t="n">
        <x:v>0</x:v>
      </x:c>
      <x:c r="E4168" s="12" t="n">
        <x:v>0.27499999999999997</x:v>
      </x:c>
      <x:c r="F4168" s="12" t="n">
        <x:v>0.27491666666666664</x:v>
      </x:c>
      <x:c r="G4168" s="12" t="n">
        <x:v>0</x:v>
      </x:c>
      <x:c r="H4168" s="1" t="n">
        <x:f>'Historical prices'!E4168</x:f>
        <x:v>1.05</x:v>
      </x:c>
      <x:c r="I4168" s="6" t="n">
        <x:f>'Historical prices'!D4168</x:f>
        <x:v>0.19329999999999997</x:v>
      </x:c>
      <x:c r="J4168" s="13" t="n">
        <x:f>D4168*I4168*H4168</x:f>
        <x:v>0</x:v>
      </x:c>
      <x:c r="K4168" s="13" t="n">
        <x:f>E4168*I4168*H4168</x:f>
        <x:v>0.055815374999999987</x:v>
      </x:c>
      <x:c r="L4168" s="1" t="str">
        <x:f>TEXT(A4168,"mmm yyyy")</x:f>
        <x:v>Aug 2026</x:v>
      </x:c>
    </x:row>
    <x:row r="4169" ht="21" customHeight="1">
      <x:c r="A4169" s="10" t="n">
        <x:v>46235</x:v>
      </x:c>
      <x:c r="B4169" s="1" t="n">
        <x:v>8.5</x:v>
      </x:c>
      <x:c r="C4169" s="1" t="n">
        <x:v>6</x:v>
      </x:c>
      <x:c r="D4169" s="12" t="n">
        <x:v>0</x:v>
      </x:c>
      <x:c r="E4169" s="12" t="n">
        <x:v>0.3030833333333333</x:v>
      </x:c>
      <x:c r="F4169" s="12" t="n">
        <x:v>0.30266666666666664</x:v>
      </x:c>
      <x:c r="G4169" s="12" t="n">
        <x:v>0</x:v>
      </x:c>
      <x:c r="H4169" s="1" t="n">
        <x:f>'Historical prices'!E4169</x:f>
        <x:v>1.05</x:v>
      </x:c>
      <x:c r="I4169" s="6" t="n">
        <x:f>'Historical prices'!D4169</x:f>
        <x:v>0.1818</x:v>
      </x:c>
      <x:c r="J4169" s="13" t="n">
        <x:f>D4169*I4169*H4169</x:f>
        <x:v>0</x:v>
      </x:c>
      <x:c r="K4169" s="13" t="n">
        <x:f>E4169*I4169*H4169</x:f>
        <x:v>0.05785557749999999</x:v>
      </x:c>
      <x:c r="L4169" s="1" t="str">
        <x:f>TEXT(A4169,"mmm yyyy")</x:f>
        <x:v>Aug 2026</x:v>
      </x:c>
    </x:row>
    <x:row r="4170" ht="21" customHeight="1">
      <x:c r="A4170" s="10" t="n">
        <x:v>46235</x:v>
      </x:c>
      <x:c r="B4170" s="1" t="n">
        <x:v>9</x:v>
      </x:c>
      <x:c r="C4170" s="1" t="n">
        <x:v>6</x:v>
      </x:c>
      <x:c r="D4170" s="12" t="n">
        <x:v>0</x:v>
      </x:c>
      <x:c r="E4170" s="12" t="n">
        <x:v>0.23983333333333332</x:v>
      </x:c>
      <x:c r="F4170" s="12" t="n">
        <x:v>0.23958333333333334</x:v>
      </x:c>
      <x:c r="G4170" s="12" t="n">
        <x:v>0</x:v>
      </x:c>
      <x:c r="H4170" s="1" t="n">
        <x:f>'Historical prices'!E4170</x:f>
        <x:v>1.05</x:v>
      </x:c>
      <x:c r="I4170" s="6" t="n">
        <x:f>'Historical prices'!D4170</x:f>
        <x:v>0.1703</x:v>
      </x:c>
      <x:c r="J4170" s="13" t="n">
        <x:f>D4170*I4170*H4170</x:f>
        <x:v>0</x:v>
      </x:c>
      <x:c r="K4170" s="13" t="n">
        <x:f>E4170*I4170*H4170</x:f>
        <x:v>0.0428857975</x:v>
      </x:c>
      <x:c r="L4170" s="1" t="str">
        <x:f>TEXT(A4170,"mmm yyyy")</x:f>
        <x:v>Aug 2026</x:v>
      </x:c>
    </x:row>
    <x:row r="4171" ht="21" customHeight="1">
      <x:c r="A4171" s="10" t="n">
        <x:v>46235</x:v>
      </x:c>
      <x:c r="B4171" s="1" t="n">
        <x:v>9.5</x:v>
      </x:c>
      <x:c r="C4171" s="1" t="n">
        <x:v>6</x:v>
      </x:c>
      <x:c r="D4171" s="12" t="n">
        <x:v>0</x:v>
      </x:c>
      <x:c r="E4171" s="12" t="n">
        <x:v>0.27108333333333334</x:v>
      </x:c>
      <x:c r="F4171" s="12" t="n">
        <x:v>0.2708333333333333</x:v>
      </x:c>
      <x:c r="G4171" s="12" t="n">
        <x:v>0</x:v>
      </x:c>
      <x:c r="H4171" s="1" t="n">
        <x:f>'Historical prices'!E4171</x:f>
        <x:v>1.05</x:v>
      </x:c>
      <x:c r="I4171" s="6" t="n">
        <x:f>'Historical prices'!D4171</x:f>
        <x:v>0.1496</x:v>
      </x:c>
      <x:c r="J4171" s="13" t="n">
        <x:f>D4171*I4171*H4171</x:f>
        <x:v>0</x:v>
      </x:c>
      <x:c r="K4171" s="13" t="n">
        <x:f>E4171*I4171*H4171</x:f>
        <x:v>0.04258177000000001</x:v>
      </x:c>
      <x:c r="L4171" s="1" t="str">
        <x:f>TEXT(A4171,"mmm yyyy")</x:f>
        <x:v>Aug 2026</x:v>
      </x:c>
    </x:row>
    <x:row r="4172" ht="21" customHeight="1">
      <x:c r="A4172" s="10" t="n">
        <x:v>46235</x:v>
      </x:c>
      <x:c r="B4172" s="1" t="n">
        <x:v>10</x:v>
      </x:c>
      <x:c r="C4172" s="1" t="n">
        <x:v>6</x:v>
      </x:c>
      <x:c r="D4172" s="12" t="n">
        <x:v>0</x:v>
      </x:c>
      <x:c r="E4172" s="12" t="n">
        <x:v>0.26299999999999996</x:v>
      </x:c>
      <x:c r="F4172" s="12" t="n">
        <x:v>0.26266666666666666</x:v>
      </x:c>
      <x:c r="G4172" s="12" t="n">
        <x:v>0</x:v>
      </x:c>
      <x:c r="H4172" s="1" t="n">
        <x:f>'Historical prices'!E4172</x:f>
        <x:v>1.05</x:v>
      </x:c>
      <x:c r="I4172" s="6" t="n">
        <x:f>'Historical prices'!D4172</x:f>
        <x:v>0.1304</x:v>
      </x:c>
      <x:c r="J4172" s="13" t="n">
        <x:f>D4172*I4172*H4172</x:f>
        <x:v>0</x:v>
      </x:c>
      <x:c r="K4172" s="13" t="n">
        <x:f>E4172*I4172*H4172</x:f>
        <x:v>0.036009959999999994</x:v>
      </x:c>
      <x:c r="L4172" s="1" t="str">
        <x:f>TEXT(A4172,"mmm yyyy")</x:f>
        <x:v>Aug 2026</x:v>
      </x:c>
    </x:row>
    <x:row r="4173" ht="21" customHeight="1">
      <x:c r="A4173" s="10" t="n">
        <x:v>46235</x:v>
      </x:c>
      <x:c r="B4173" s="1" t="n">
        <x:v>10.5</x:v>
      </x:c>
      <x:c r="C4173" s="1" t="n">
        <x:v>6</x:v>
      </x:c>
      <x:c r="D4173" s="12" t="n">
        <x:v>0</x:v>
      </x:c>
      <x:c r="E4173" s="12" t="n">
        <x:v>0.25583333333333336</x:v>
      </x:c>
      <x:c r="F4173" s="12" t="n">
        <x:v>0.25583333333333336</x:v>
      </x:c>
      <x:c r="G4173" s="12" t="n">
        <x:v>0</x:v>
      </x:c>
      <x:c r="H4173" s="1" t="n">
        <x:f>'Historical prices'!E4173</x:f>
        <x:v>1.05</x:v>
      </x:c>
      <x:c r="I4173" s="6" t="n">
        <x:f>'Historical prices'!D4173</x:f>
        <x:v>0.09359999999999999</x:v>
      </x:c>
      <x:c r="J4173" s="13" t="n">
        <x:f>D4173*I4173*H4173</x:f>
        <x:v>0</x:v>
      </x:c>
      <x:c r="K4173" s="13" t="n">
        <x:f>E4173*I4173*H4173</x:f>
        <x:v>0.0251433</x:v>
      </x:c>
      <x:c r="L4173" s="1" t="str">
        <x:f>TEXT(A4173,"mmm yyyy")</x:f>
        <x:v>Aug 2026</x:v>
      </x:c>
    </x:row>
    <x:row r="4174" ht="21" customHeight="1">
      <x:c r="A4174" s="10" t="n">
        <x:v>46235</x:v>
      </x:c>
      <x:c r="B4174" s="1" t="n">
        <x:v>11</x:v>
      </x:c>
      <x:c r="C4174" s="1" t="n">
        <x:v>6</x:v>
      </x:c>
      <x:c r="D4174" s="12" t="n">
        <x:v>0</x:v>
      </x:c>
      <x:c r="E4174" s="12" t="n">
        <x:v>0.32208333333333333</x:v>
      </x:c>
      <x:c r="F4174" s="12" t="n">
        <x:v>0.3218333333333333</x:v>
      </x:c>
      <x:c r="G4174" s="12" t="n">
        <x:v>0</x:v>
      </x:c>
      <x:c r="H4174" s="1" t="n">
        <x:f>'Historical prices'!E4174</x:f>
        <x:v>1.05</x:v>
      </x:c>
      <x:c r="I4174" s="6" t="n">
        <x:f>'Historical prices'!D4174</x:f>
        <x:v>0.10310000000000001</x:v>
      </x:c>
      <x:c r="J4174" s="13" t="n">
        <x:f>D4174*I4174*H4174</x:f>
        <x:v>0</x:v>
      </x:c>
      <x:c r="K4174" s="13" t="n">
        <x:f>E4174*I4174*H4174</x:f>
        <x:v>0.03486713125000001</x:v>
      </x:c>
      <x:c r="L4174" s="1" t="str">
        <x:f>TEXT(A4174,"mmm yyyy")</x:f>
        <x:v>Aug 2026</x:v>
      </x:c>
    </x:row>
    <x:row r="4175" ht="21" customHeight="1">
      <x:c r="A4175" s="10" t="n">
        <x:v>46235</x:v>
      </x:c>
      <x:c r="B4175" s="1" t="n">
        <x:v>11.5</x:v>
      </x:c>
      <x:c r="C4175" s="1" t="n">
        <x:v>6</x:v>
      </x:c>
      <x:c r="D4175" s="12" t="n">
        <x:v>0.15</x:v>
      </x:c>
      <x:c r="E4175" s="12" t="n">
        <x:v>0.19899999999999998</x:v>
      </x:c>
      <x:c r="F4175" s="12" t="n">
        <x:v>0.04</x:v>
      </x:c>
      <x:c r="G4175" s="12" t="n">
        <x:v>0</x:v>
      </x:c>
      <x:c r="H4175" s="1" t="n">
        <x:f>'Historical prices'!E4175</x:f>
        <x:v>1.05</x:v>
      </x:c>
      <x:c r="I4175" s="6" t="n">
        <x:f>'Historical prices'!D4175</x:f>
        <x:v>0.0716</x:v>
      </x:c>
      <x:c r="J4175" s="13" t="n">
        <x:f>D4175*I4175*H4175</x:f>
        <x:v>0.011277</x:v>
      </x:c>
      <x:c r="K4175" s="13" t="n">
        <x:f>E4175*I4175*H4175</x:f>
        <x:v>0.014960819999999998</x:v>
      </x:c>
      <x:c r="L4175" s="1" t="str">
        <x:f>TEXT(A4175,"mmm yyyy")</x:f>
        <x:v>Aug 2026</x:v>
      </x:c>
    </x:row>
    <x:row r="4176" ht="21" customHeight="1">
      <x:c r="A4176" s="10" t="n">
        <x:v>46235</x:v>
      </x:c>
      <x:c r="B4176" s="1" t="n">
        <x:v>12</x:v>
      </x:c>
      <x:c r="C4176" s="1" t="n">
        <x:v>6</x:v>
      </x:c>
      <x:c r="D4176" s="12" t="n">
        <x:v>0.15916666666666668</x:v>
      </x:c>
      <x:c r="E4176" s="12" t="n">
        <x:v>0.1691666666666667</x:v>
      </x:c>
      <x:c r="F4176" s="12" t="n">
        <x:v>0</x:v>
      </x:c>
      <x:c r="G4176" s="12" t="n">
        <x:v>0</x:v>
      </x:c>
      <x:c r="H4176" s="1" t="n">
        <x:f>'Historical prices'!E4176</x:f>
        <x:v>1.05</x:v>
      </x:c>
      <x:c r="I4176" s="6" t="n">
        <x:f>'Historical prices'!D4176</x:f>
        <x:v>0.0684</x:v>
      </x:c>
      <x:c r="J4176" s="13" t="n">
        <x:f>D4176*I4176*H4176</x:f>
        <x:v>0.011431350000000002</x:v>
      </x:c>
      <x:c r="K4176" s="13" t="n">
        <x:f>E4176*I4176*H4176</x:f>
        <x:v>0.012149550000000002</x:v>
      </x:c>
      <x:c r="L4176" s="1" t="str">
        <x:f>TEXT(A4176,"mmm yyyy")</x:f>
        <x:v>Aug 2026</x:v>
      </x:c>
    </x:row>
    <x:row r="4177" ht="21" customHeight="1">
      <x:c r="A4177" s="10" t="n">
        <x:v>46235</x:v>
      </x:c>
      <x:c r="B4177" s="1" t="n">
        <x:v>12.5</x:v>
      </x:c>
      <x:c r="C4177" s="1" t="n">
        <x:v>6</x:v>
      </x:c>
      <x:c r="D4177" s="12" t="n">
        <x:v>0.2155</x:v>
      </x:c>
      <x:c r="E4177" s="12" t="n">
        <x:v>0.2265</x:v>
      </x:c>
      <x:c r="F4177" s="12" t="n">
        <x:v>0</x:v>
      </x:c>
      <x:c r="G4177" s="12" t="n">
        <x:v>0</x:v>
      </x:c>
      <x:c r="H4177" s="1" t="n">
        <x:f>'Historical prices'!E4177</x:f>
        <x:v>1.05</x:v>
      </x:c>
      <x:c r="I4177" s="6" t="n">
        <x:f>'Historical prices'!D4177</x:f>
        <x:v>0.0706</x:v>
      </x:c>
      <x:c r="J4177" s="13" t="n">
        <x:f>D4177*I4177*H4177</x:f>
        <x:v>0.015975015</x:v>
      </x:c>
      <x:c r="K4177" s="13" t="n">
        <x:f>E4177*I4177*H4177</x:f>
        <x:v>0.016790445</x:v>
      </x:c>
      <x:c r="L4177" s="1" t="str">
        <x:f>TEXT(A4177,"mmm yyyy")</x:f>
        <x:v>Aug 2026</x:v>
      </x:c>
    </x:row>
    <x:row r="4178" ht="21" customHeight="1">
      <x:c r="A4178" s="10" t="n">
        <x:v>46235</x:v>
      </x:c>
      <x:c r="B4178" s="1" t="n">
        <x:v>13</x:v>
      </x:c>
      <x:c r="C4178" s="1" t="n">
        <x:v>6</x:v>
      </x:c>
      <x:c r="D4178" s="12" t="n">
        <x:v>2.08725</x:v>
      </x:c>
      <x:c r="E4178" s="12" t="n">
        <x:v>0.28925</x:v>
      </x:c>
      <x:c r="F4178" s="12" t="n">
        <x:v>0</x:v>
      </x:c>
      <x:c r="G4178" s="12" t="n">
        <x:v>1.799</x:v>
      </x:c>
      <x:c r="H4178" s="1" t="n">
        <x:f>'Historical prices'!E4178</x:f>
        <x:v>1.05</x:v>
      </x:c>
      <x:c r="I4178" s="6" t="n">
        <x:f>'Historical prices'!D4178</x:f>
        <x:v>0.0644</x:v>
      </x:c>
      <x:c r="J4178" s="13" t="n">
        <x:f>D4178*I4178*H4178</x:f>
        <x:v>0.141139845</x:v>
      </x:c>
      <x:c r="K4178" s="13" t="n">
        <x:f>E4178*I4178*H4178</x:f>
        <x:v>0.019559085</x:v>
      </x:c>
      <x:c r="L4178" s="1" t="str">
        <x:f>TEXT(A4178,"mmm yyyy")</x:f>
        <x:v>Aug 2026</x:v>
      </x:c>
    </x:row>
    <x:row r="4179" ht="21" customHeight="1">
      <x:c r="A4179" s="10" t="n">
        <x:v>46235</x:v>
      </x:c>
      <x:c r="B4179" s="1" t="n">
        <x:v>13.5</x:v>
      </x:c>
      <x:c r="C4179" s="1" t="n">
        <x:v>6</x:v>
      </x:c>
      <x:c r="D4179" s="12" t="n">
        <x:v>4.756666666666667</x:v>
      </x:c>
      <x:c r="E4179" s="12" t="n">
        <x:v>0.40066666666666667</x:v>
      </x:c>
      <x:c r="F4179" s="12" t="n">
        <x:v>0</x:v>
      </x:c>
      <x:c r="G4179" s="12" t="n">
        <x:v>4.356</x:v>
      </x:c>
      <x:c r="H4179" s="1" t="n">
        <x:f>'Historical prices'!E4179</x:f>
        <x:v>1.05</x:v>
      </x:c>
      <x:c r="I4179" s="6" t="n">
        <x:f>'Historical prices'!D4179</x:f>
        <x:v>0.060599999999999994</x:v>
      </x:c>
      <x:c r="J4179" s="13" t="n">
        <x:f>D4179*I4179*H4179</x:f>
        <x:v>0.30266669999999996</x:v>
      </x:c>
      <x:c r="K4179" s="13" t="n">
        <x:f>E4179*I4179*H4179</x:f>
        <x:v>0.025494419999999997</x:v>
      </x:c>
      <x:c r="L4179" s="1" t="str">
        <x:f>TEXT(A4179,"mmm yyyy")</x:f>
        <x:v>Aug 2026</x:v>
      </x:c>
    </x:row>
    <x:row r="4180" ht="21" customHeight="1">
      <x:c r="A4180" s="10" t="n">
        <x:v>46235</x:v>
      </x:c>
      <x:c r="B4180" s="1" t="n">
        <x:v>14</x:v>
      </x:c>
      <x:c r="C4180" s="1" t="n">
        <x:v>6</x:v>
      </x:c>
      <x:c r="D4180" s="12" t="n">
        <x:v>0.9741666666666666</x:v>
      </x:c>
      <x:c r="E4180" s="12" t="n">
        <x:v>0.2511666666666667</x:v>
      </x:c>
      <x:c r="F4180" s="12" t="n">
        <x:v>0</x:v>
      </x:c>
      <x:c r="G4180" s="12" t="n">
        <x:v>0.728</x:v>
      </x:c>
      <x:c r="H4180" s="1" t="n">
        <x:f>'Historical prices'!E4180</x:f>
        <x:v>1.05</x:v>
      </x:c>
      <x:c r="I4180" s="6" t="n">
        <x:f>'Historical prices'!D4180</x:f>
        <x:v>0.0758</x:v>
      </x:c>
      <x:c r="J4180" s="13" t="n">
        <x:f>D4180*I4180*H4180</x:f>
        <x:v>0.07753392500000002</x:v>
      </x:c>
      <x:c r="K4180" s="13" t="n">
        <x:f>E4180*I4180*H4180</x:f>
        <x:v>0.019990355000000005</x:v>
      </x:c>
      <x:c r="L4180" s="1" t="str">
        <x:f>TEXT(A4180,"mmm yyyy")</x:f>
        <x:v>Aug 2026</x:v>
      </x:c>
    </x:row>
    <x:row r="4181" ht="21" customHeight="1">
      <x:c r="A4181" s="10" t="n">
        <x:v>46235</x:v>
      </x:c>
      <x:c r="B4181" s="1" t="n">
        <x:v>14.5</x:v>
      </x:c>
      <x:c r="C4181" s="1" t="n">
        <x:v>6</x:v>
      </x:c>
      <x:c r="D4181" s="12" t="n">
        <x:v>0.20625</x:v>
      </x:c>
      <x:c r="E4181" s="12" t="n">
        <x:v>0.21725</x:v>
      </x:c>
      <x:c r="F4181" s="12" t="n">
        <x:v>0</x:v>
      </x:c>
      <x:c r="G4181" s="12" t="n">
        <x:v>0</x:v>
      </x:c>
      <x:c r="H4181" s="1" t="n">
        <x:f>'Historical prices'!E4181</x:f>
        <x:v>1.05</x:v>
      </x:c>
      <x:c r="I4181" s="6" t="n">
        <x:f>'Historical prices'!D4181</x:f>
        <x:v>0.0707</x:v>
      </x:c>
      <x:c r="J4181" s="13" t="n">
        <x:f>D4181*I4181*H4181</x:f>
        <x:v>0.01531096875</x:v>
      </x:c>
      <x:c r="K4181" s="13" t="n">
        <x:f>E4181*I4181*H4181</x:f>
        <x:v>0.016127553750000002</x:v>
      </x:c>
      <x:c r="L4181" s="1" t="str">
        <x:f>TEXT(A4181,"mmm yyyy")</x:f>
        <x:v>Aug 2026</x:v>
      </x:c>
    </x:row>
    <x:row r="4182" ht="21" customHeight="1">
      <x:c r="A4182" s="10" t="n">
        <x:v>46235</x:v>
      </x:c>
      <x:c r="B4182" s="1" t="n">
        <x:v>15</x:v>
      </x:c>
      <x:c r="C4182" s="1" t="n">
        <x:v>6</x:v>
      </x:c>
      <x:c r="D4182" s="12" t="n">
        <x:v>4.347583333333334</x:v>
      </x:c>
      <x:c r="E4182" s="12" t="n">
        <x:v>0.3675833333333334</x:v>
      </x:c>
      <x:c r="F4182" s="12" t="n">
        <x:v>0</x:v>
      </x:c>
      <x:c r="G4182" s="12" t="n">
        <x:v>3.982</x:v>
      </x:c>
      <x:c r="H4182" s="1" t="n">
        <x:f>'Historical prices'!E4182</x:f>
        <x:v>1.05</x:v>
      </x:c>
      <x:c r="I4182" s="6" t="n">
        <x:f>'Historical prices'!D4182</x:f>
        <x:v>0.0535</x:v>
      </x:c>
      <x:c r="J4182" s="13" t="n">
        <x:f>D4182*I4182*H4182</x:f>
        <x:v>0.24422549375000002</x:v>
      </x:c>
      <x:c r="K4182" s="13" t="n">
        <x:f>E4182*I4182*H4182</x:f>
        <x:v>0.02064899375</x:v>
      </x:c>
      <x:c r="L4182" s="1" t="str">
        <x:f>TEXT(A4182,"mmm yyyy")</x:f>
        <x:v>Aug 2026</x:v>
      </x:c>
    </x:row>
    <x:row r="4183" ht="21" customHeight="1">
      <x:c r="A4183" s="10" t="n">
        <x:v>46235</x:v>
      </x:c>
      <x:c r="B4183" s="1" t="n">
        <x:v>15.5</x:v>
      </x:c>
      <x:c r="C4183" s="1" t="n">
        <x:v>6</x:v>
      </x:c>
      <x:c r="D4183" s="12" t="n">
        <x:v>1.0185</x:v>
      </x:c>
      <x:c r="E4183" s="12" t="n">
        <x:v>0.21850000000000003</x:v>
      </x:c>
      <x:c r="F4183" s="12" t="n">
        <x:v>0</x:v>
      </x:c>
      <x:c r="G4183" s="12" t="n">
        <x:v>0.805</x:v>
      </x:c>
      <x:c r="H4183" s="1" t="n">
        <x:f>'Historical prices'!E4183</x:f>
        <x:v>1.05</x:v>
      </x:c>
      <x:c r="I4183" s="6" t="n">
        <x:f>'Historical prices'!D4183</x:f>
        <x:v>0.0672</x:v>
      </x:c>
      <x:c r="J4183" s="13" t="n">
        <x:f>D4183*I4183*H4183</x:f>
        <x:v>0.07186536</x:v>
      </x:c>
      <x:c r="K4183" s="13" t="n">
        <x:f>E4183*I4183*H4183</x:f>
        <x:v>0.015417360000000001</x:v>
      </x:c>
      <x:c r="L4183" s="1" t="str">
        <x:f>TEXT(A4183,"mmm yyyy")</x:f>
        <x:v>Aug 2026</x:v>
      </x:c>
    </x:row>
    <x:row r="4184" ht="21" customHeight="1">
      <x:c r="A4184" s="10" t="n">
        <x:v>46235</x:v>
      </x:c>
      <x:c r="B4184" s="1" t="n">
        <x:v>16</x:v>
      </x:c>
      <x:c r="C4184" s="1" t="n">
        <x:v>6</x:v>
      </x:c>
      <x:c r="D4184" s="12" t="n">
        <x:v>0.030666666666666665</x:v>
      </x:c>
      <x:c r="E4184" s="12" t="n">
        <x:v>0.34875</x:v>
      </x:c>
      <x:c r="F4184" s="12" t="n">
        <x:v>0.3145833333333333</x:v>
      </x:c>
      <x:c r="G4184" s="12" t="n">
        <x:v>0</x:v>
      </x:c>
      <x:c r="H4184" s="1" t="n">
        <x:f>'Historical prices'!E4184</x:f>
        <x:v>1.05</x:v>
      </x:c>
      <x:c r="I4184" s="6" t="n">
        <x:f>'Historical prices'!D4184</x:f>
        <x:v>0.2798</x:v>
      </x:c>
      <x:c r="J4184" s="13" t="n">
        <x:f>D4184*I4184*H4184</x:f>
        <x:v>0.00900956</x:v>
      </x:c>
      <x:c r="K4184" s="13" t="n">
        <x:f>E4184*I4184*H4184</x:f>
        <x:v>0.1024592625</x:v>
      </x:c>
      <x:c r="L4184" s="1" t="str">
        <x:f>TEXT(A4184,"mmm yyyy")</x:f>
        <x:v>Aug 2026</x:v>
      </x:c>
    </x:row>
    <x:row r="4185" ht="21" customHeight="1">
      <x:c r="A4185" s="10" t="n">
        <x:v>46235</x:v>
      </x:c>
      <x:c r="B4185" s="1" t="n">
        <x:v>16.5</x:v>
      </x:c>
      <x:c r="C4185" s="1" t="n">
        <x:v>6</x:v>
      </x:c>
      <x:c r="D4185" s="12" t="n">
        <x:v>0</x:v>
      </x:c>
      <x:c r="E4185" s="12" t="n">
        <x:v>0.22475</x:v>
      </x:c>
      <x:c r="F4185" s="12" t="n">
        <x:v>0.22449999999999998</x:v>
      </x:c>
      <x:c r="G4185" s="12" t="n">
        <x:v>0</x:v>
      </x:c>
      <x:c r="H4185" s="1" t="n">
        <x:f>'Historical prices'!E4185</x:f>
        <x:v>1.05</x:v>
      </x:c>
      <x:c r="I4185" s="6" t="n">
        <x:f>'Historical prices'!D4185</x:f>
        <x:v>0.3048</x:v>
      </x:c>
      <x:c r="J4185" s="13" t="n">
        <x:f>D4185*I4185*H4185</x:f>
        <x:v>0</x:v>
      </x:c>
      <x:c r="K4185" s="13" t="n">
        <x:f>E4185*I4185*H4185</x:f>
        <x:v>0.07192899000000001</x:v>
      </x:c>
      <x:c r="L4185" s="1" t="str">
        <x:f>TEXT(A4185,"mmm yyyy")</x:f>
        <x:v>Aug 2026</x:v>
      </x:c>
    </x:row>
    <x:row r="4186" ht="21" customHeight="1">
      <x:c r="A4186" s="10" t="n">
        <x:v>46235</x:v>
      </x:c>
      <x:c r="B4186" s="1" t="n">
        <x:v>17</x:v>
      </x:c>
      <x:c r="C4186" s="1" t="n">
        <x:v>6</x:v>
      </x:c>
      <x:c r="D4186" s="12" t="n">
        <x:v>0</x:v>
      </x:c>
      <x:c r="E4186" s="12" t="n">
        <x:v>0.21199999999999997</x:v>
      </x:c>
      <x:c r="F4186" s="12" t="n">
        <x:v>0.21183333333333332</x:v>
      </x:c>
      <x:c r="G4186" s="12" t="n">
        <x:v>0</x:v>
      </x:c>
      <x:c r="H4186" s="1" t="n">
        <x:f>'Historical prices'!E4186</x:f>
        <x:v>1.05</x:v>
      </x:c>
      <x:c r="I4186" s="6" t="n">
        <x:f>'Historical prices'!D4186</x:f>
        <x:v>0.3344</x:v>
      </x:c>
      <x:c r="J4186" s="13" t="n">
        <x:f>D4186*I4186*H4186</x:f>
        <x:v>0</x:v>
      </x:c>
      <x:c r="K4186" s="13" t="n">
        <x:f>E4186*I4186*H4186</x:f>
        <x:v>0.07443743999999998</x:v>
      </x:c>
      <x:c r="L4186" s="1" t="str">
        <x:f>TEXT(A4186,"mmm yyyy")</x:f>
        <x:v>Aug 2026</x:v>
      </x:c>
    </x:row>
    <x:row r="4187" ht="21" customHeight="1">
      <x:c r="A4187" s="10" t="n">
        <x:v>46235</x:v>
      </x:c>
      <x:c r="B4187" s="1" t="n">
        <x:v>17.5</x:v>
      </x:c>
      <x:c r="C4187" s="1" t="n">
        <x:v>6</x:v>
      </x:c>
      <x:c r="D4187" s="12" t="n">
        <x:v>0</x:v>
      </x:c>
      <x:c r="E4187" s="12" t="n">
        <x:v>0.25675</x:v>
      </x:c>
      <x:c r="F4187" s="12" t="n">
        <x:v>0.25658333333333333</x:v>
      </x:c>
      <x:c r="G4187" s="12" t="n">
        <x:v>0</x:v>
      </x:c>
      <x:c r="H4187" s="1" t="n">
        <x:f>'Historical prices'!E4187</x:f>
        <x:v>1.05</x:v>
      </x:c>
      <x:c r="I4187" s="6" t="n">
        <x:f>'Historical prices'!D4187</x:f>
        <x:v>0.3354</x:v>
      </x:c>
      <x:c r="J4187" s="13" t="n">
        <x:f>D4187*I4187*H4187</x:f>
        <x:v>0</x:v>
      </x:c>
      <x:c r="K4187" s="13" t="n">
        <x:f>E4187*I4187*H4187</x:f>
        <x:v>0.09041964749999998</x:v>
      </x:c>
      <x:c r="L4187" s="1" t="str">
        <x:f>TEXT(A4187,"mmm yyyy")</x:f>
        <x:v>Aug 2026</x:v>
      </x:c>
    </x:row>
    <x:row r="4188" ht="21" customHeight="1">
      <x:c r="A4188" s="10" t="n">
        <x:v>46235</x:v>
      </x:c>
      <x:c r="B4188" s="1" t="n">
        <x:v>18</x:v>
      </x:c>
      <x:c r="C4188" s="1" t="n">
        <x:v>6</x:v>
      </x:c>
      <x:c r="D4188" s="12" t="n">
        <x:v>0</x:v>
      </x:c>
      <x:c r="E4188" s="12" t="n">
        <x:v>0.24008333333333334</x:v>
      </x:c>
      <x:c r="F4188" s="12" t="n">
        <x:v>0.23975</x:v>
      </x:c>
      <x:c r="G4188" s="12" t="n">
        <x:v>0</x:v>
      </x:c>
      <x:c r="H4188" s="1" t="n">
        <x:f>'Historical prices'!E4188</x:f>
        <x:v>1.05</x:v>
      </x:c>
      <x:c r="I4188" s="6" t="n">
        <x:f>'Historical prices'!D4188</x:f>
        <x:v>0.3627</x:v>
      </x:c>
      <x:c r="J4188" s="13" t="n">
        <x:f>D4188*I4188*H4188</x:f>
        <x:v>0</x:v>
      </x:c>
      <x:c r="K4188" s="13" t="n">
        <x:f>E4188*I4188*H4188</x:f>
        <x:v>0.09143213625000002</x:v>
      </x:c>
      <x:c r="L4188" s="1" t="str">
        <x:f>TEXT(A4188,"mmm yyyy")</x:f>
        <x:v>Aug 2026</x:v>
      </x:c>
    </x:row>
    <x:row r="4189" ht="21" customHeight="1">
      <x:c r="A4189" s="10" t="n">
        <x:v>46235</x:v>
      </x:c>
      <x:c r="B4189" s="1" t="n">
        <x:v>18.5</x:v>
      </x:c>
      <x:c r="C4189" s="1" t="n">
        <x:v>6</x:v>
      </x:c>
      <x:c r="D4189" s="12" t="n">
        <x:v>0</x:v>
      </x:c>
      <x:c r="E4189" s="12" t="n">
        <x:v>0.23083333333333333</x:v>
      </x:c>
      <x:c r="F4189" s="12" t="n">
        <x:v>0.23083333333333333</x:v>
      </x:c>
      <x:c r="G4189" s="12" t="n">
        <x:v>0</x:v>
      </x:c>
      <x:c r="H4189" s="1" t="n">
        <x:f>'Historical prices'!E4189</x:f>
        <x:v>1.05</x:v>
      </x:c>
      <x:c r="I4189" s="6" t="n">
        <x:f>'Historical prices'!D4189</x:f>
        <x:v>0.3857</x:v>
      </x:c>
      <x:c r="J4189" s="13" t="n">
        <x:f>D4189*I4189*H4189</x:f>
        <x:v>0</x:v>
      </x:c>
      <x:c r="K4189" s="13" t="n">
        <x:f>E4189*I4189*H4189</x:f>
        <x:v>0.0934840375</x:v>
      </x:c>
      <x:c r="L4189" s="1" t="str">
        <x:f>TEXT(A4189,"mmm yyyy")</x:f>
        <x:v>Aug 2026</x:v>
      </x:c>
    </x:row>
    <x:row r="4190" ht="21" customHeight="1">
      <x:c r="A4190" s="10" t="n">
        <x:v>46235</x:v>
      </x:c>
      <x:c r="B4190" s="1" t="n">
        <x:v>19</x:v>
      </x:c>
      <x:c r="C4190" s="1" t="n">
        <x:v>6</x:v>
      </x:c>
      <x:c r="D4190" s="12" t="n">
        <x:v>0</x:v>
      </x:c>
      <x:c r="E4190" s="12" t="n">
        <x:v>0.22999999999999998</x:v>
      </x:c>
      <x:c r="F4190" s="12" t="n">
        <x:v>0.22975</x:v>
      </x:c>
      <x:c r="G4190" s="12" t="n">
        <x:v>0</x:v>
      </x:c>
      <x:c r="H4190" s="1" t="n">
        <x:f>'Historical prices'!E4190</x:f>
        <x:v>1.05</x:v>
      </x:c>
      <x:c r="I4190" s="6" t="n">
        <x:f>'Historical prices'!D4190</x:f>
        <x:v>0.29719999999999996</x:v>
      </x:c>
      <x:c r="J4190" s="13" t="n">
        <x:f>D4190*I4190*H4190</x:f>
        <x:v>0</x:v>
      </x:c>
      <x:c r="K4190" s="13" t="n">
        <x:f>E4190*I4190*H4190</x:f>
        <x:v>0.07177379999999998</x:v>
      </x:c>
      <x:c r="L4190" s="1" t="str">
        <x:f>TEXT(A4190,"mmm yyyy")</x:f>
        <x:v>Aug 2026</x:v>
      </x:c>
    </x:row>
    <x:row r="4191" ht="21" customHeight="1">
      <x:c r="A4191" s="10" t="n">
        <x:v>46235</x:v>
      </x:c>
      <x:c r="B4191" s="1" t="n">
        <x:v>19.5</x:v>
      </x:c>
      <x:c r="C4191" s="1" t="n">
        <x:v>6</x:v>
      </x:c>
      <x:c r="D4191" s="12" t="n">
        <x:v>0</x:v>
      </x:c>
      <x:c r="E4191" s="12" t="n">
        <x:v>0.2050833333333333</x:v>
      </x:c>
      <x:c r="F4191" s="12" t="n">
        <x:v>0.20491666666666666</x:v>
      </x:c>
      <x:c r="G4191" s="12" t="n">
        <x:v>0</x:v>
      </x:c>
      <x:c r="H4191" s="1" t="n">
        <x:f>'Historical prices'!E4191</x:f>
        <x:v>1.05</x:v>
      </x:c>
      <x:c r="I4191" s="6" t="n">
        <x:f>'Historical prices'!D4191</x:f>
        <x:v>0.30210000000000004</x:v>
      </x:c>
      <x:c r="J4191" s="13" t="n">
        <x:f>D4191*I4191*H4191</x:f>
        <x:v>0</x:v>
      </x:c>
      <x:c r="K4191" s="13" t="n">
        <x:f>E4191*I4191*H4191</x:f>
        <x:v>0.06505345875</x:v>
      </x:c>
      <x:c r="L4191" s="1" t="str">
        <x:f>TEXT(A4191,"mmm yyyy")</x:f>
        <x:v>Aug 2026</x:v>
      </x:c>
    </x:row>
    <x:row r="4192" ht="21" customHeight="1">
      <x:c r="A4192" s="10" t="n">
        <x:v>46235</x:v>
      </x:c>
      <x:c r="B4192" s="1" t="n">
        <x:v>20</x:v>
      </x:c>
      <x:c r="C4192" s="1" t="n">
        <x:v>6</x:v>
      </x:c>
      <x:c r="D4192" s="12" t="n">
        <x:v>0</x:v>
      </x:c>
      <x:c r="E4192" s="12" t="n">
        <x:v>0.2659166666666667</x:v>
      </x:c>
      <x:c r="F4192" s="12" t="n">
        <x:v>0.26566666666666666</x:v>
      </x:c>
      <x:c r="G4192" s="12" t="n">
        <x:v>0</x:v>
      </x:c>
      <x:c r="H4192" s="1" t="n">
        <x:f>'Historical prices'!E4192</x:f>
        <x:v>1.05</x:v>
      </x:c>
      <x:c r="I4192" s="6" t="n">
        <x:f>'Historical prices'!D4192</x:f>
        <x:v>0.2921</x:v>
      </x:c>
      <x:c r="J4192" s="13" t="n">
        <x:f>D4192*I4192*H4192</x:f>
        <x:v>0</x:v>
      </x:c>
      <x:c r="K4192" s="13" t="n">
        <x:f>E4192*I4192*H4192</x:f>
        <x:v>0.08155797125000001</x:v>
      </x:c>
      <x:c r="L4192" s="1" t="str">
        <x:f>TEXT(A4192,"mmm yyyy")</x:f>
        <x:v>Aug 2026</x:v>
      </x:c>
    </x:row>
    <x:row r="4193" ht="21" customHeight="1">
      <x:c r="A4193" s="10" t="n">
        <x:v>46235</x:v>
      </x:c>
      <x:c r="B4193" s="1" t="n">
        <x:v>20.5</x:v>
      </x:c>
      <x:c r="C4193" s="1" t="n">
        <x:v>6</x:v>
      </x:c>
      <x:c r="D4193" s="12" t="n">
        <x:v>0</x:v>
      </x:c>
      <x:c r="E4193" s="12" t="n">
        <x:v>0.38266666666666665</x:v>
      </x:c>
      <x:c r="F4193" s="12" t="n">
        <x:v>0.38258333333333333</x:v>
      </x:c>
      <x:c r="G4193" s="12" t="n">
        <x:v>0</x:v>
      </x:c>
      <x:c r="H4193" s="1" t="n">
        <x:f>'Historical prices'!E4193</x:f>
        <x:v>1.05</x:v>
      </x:c>
      <x:c r="I4193" s="6" t="n">
        <x:f>'Historical prices'!D4193</x:f>
        <x:v>0.3005</x:v>
      </x:c>
      <x:c r="J4193" s="13" t="n">
        <x:f>D4193*I4193*H4193</x:f>
        <x:v>0</x:v>
      </x:c>
      <x:c r="K4193" s="13" t="n">
        <x:f>E4193*I4193*H4193</x:f>
        <x:v>0.1207409</x:v>
      </x:c>
      <x:c r="L4193" s="1" t="str">
        <x:f>TEXT(A4193,"mmm yyyy")</x:f>
        <x:v>Aug 2026</x:v>
      </x:c>
    </x:row>
    <x:row r="4194" ht="21" customHeight="1">
      <x:c r="A4194" s="10" t="n">
        <x:v>46235</x:v>
      </x:c>
      <x:c r="B4194" s="1" t="n">
        <x:v>21</x:v>
      </x:c>
      <x:c r="C4194" s="1" t="n">
        <x:v>6</x:v>
      </x:c>
      <x:c r="D4194" s="12" t="n">
        <x:v>0</x:v>
      </x:c>
      <x:c r="E4194" s="12" t="n">
        <x:v>0.26608333333333334</x:v>
      </x:c>
      <x:c r="F4194" s="12" t="n">
        <x:v>0.2659166666666667</x:v>
      </x:c>
      <x:c r="G4194" s="12" t="n">
        <x:v>0</x:v>
      </x:c>
      <x:c r="H4194" s="1" t="n">
        <x:f>'Historical prices'!E4194</x:f>
        <x:v>1.05</x:v>
      </x:c>
      <x:c r="I4194" s="6" t="n">
        <x:f>'Historical prices'!D4194</x:f>
        <x:v>0.2868</x:v>
      </x:c>
      <x:c r="J4194" s="13" t="n">
        <x:f>D4194*I4194*H4194</x:f>
        <x:v>0</x:v>
      </x:c>
      <x:c r="K4194" s="13" t="n">
        <x:f>E4194*I4194*H4194</x:f>
        <x:v>0.080128335</x:v>
      </x:c>
      <x:c r="L4194" s="1" t="str">
        <x:f>TEXT(A4194,"mmm yyyy")</x:f>
        <x:v>Aug 2026</x:v>
      </x:c>
    </x:row>
    <x:row r="4195" ht="21" customHeight="1">
      <x:c r="A4195" s="10" t="n">
        <x:v>46235</x:v>
      </x:c>
      <x:c r="B4195" s="1" t="n">
        <x:v>21.5</x:v>
      </x:c>
      <x:c r="C4195" s="1" t="n">
        <x:v>6</x:v>
      </x:c>
      <x:c r="D4195" s="12" t="n">
        <x:v>0</x:v>
      </x:c>
      <x:c r="E4195" s="12" t="n">
        <x:v>0.2535833333333334</x:v>
      </x:c>
      <x:c r="F4195" s="12" t="n">
        <x:v>0.2535833333333334</x:v>
      </x:c>
      <x:c r="G4195" s="12" t="n">
        <x:v>0</x:v>
      </x:c>
      <x:c r="H4195" s="1" t="n">
        <x:f>'Historical prices'!E4195</x:f>
        <x:v>1.05</x:v>
      </x:c>
      <x:c r="I4195" s="6" t="n">
        <x:f>'Historical prices'!D4195</x:f>
        <x:v>0.2865</x:v>
      </x:c>
      <x:c r="J4195" s="13" t="n">
        <x:f>D4195*I4195*H4195</x:f>
        <x:v>0</x:v>
      </x:c>
      <x:c r="K4195" s="13" t="n">
        <x:f>E4195*I4195*H4195</x:f>
        <x:v>0.07628420625000001</x:v>
      </x:c>
      <x:c r="L4195" s="1" t="str">
        <x:f>TEXT(A4195,"mmm yyyy")</x:f>
        <x:v>Aug 2026</x:v>
      </x:c>
    </x:row>
    <x:row r="4196" ht="21" customHeight="1">
      <x:c r="A4196" s="10" t="n">
        <x:v>46235</x:v>
      </x:c>
      <x:c r="B4196" s="1" t="n">
        <x:v>22</x:v>
      </x:c>
      <x:c r="C4196" s="1" t="n">
        <x:v>6</x:v>
      </x:c>
      <x:c r="D4196" s="12" t="n">
        <x:v>0</x:v>
      </x:c>
      <x:c r="E4196" s="12" t="n">
        <x:v>0.33816666666666667</x:v>
      </x:c>
      <x:c r="F4196" s="12" t="n">
        <x:v>0.33766666666666667</x:v>
      </x:c>
      <x:c r="G4196" s="12" t="n">
        <x:v>0</x:v>
      </x:c>
      <x:c r="H4196" s="1" t="n">
        <x:f>'Historical prices'!E4196</x:f>
        <x:v>1.05</x:v>
      </x:c>
      <x:c r="I4196" s="6" t="n">
        <x:f>'Historical prices'!D4196</x:f>
        <x:v>0.2709</x:v>
      </x:c>
      <x:c r="J4196" s="13" t="n">
        <x:f>D4196*I4196*H4196</x:f>
        <x:v>0</x:v>
      </x:c>
      <x:c r="K4196" s="13" t="n">
        <x:f>E4196*I4196*H4196</x:f>
        <x:v>0.0961898175</x:v>
      </x:c>
      <x:c r="L4196" s="1" t="str">
        <x:f>TEXT(A4196,"mmm yyyy")</x:f>
        <x:v>Aug 2026</x:v>
      </x:c>
    </x:row>
    <x:row r="4197" ht="21" customHeight="1">
      <x:c r="A4197" s="10" t="n">
        <x:v>46235</x:v>
      </x:c>
      <x:c r="B4197" s="1" t="n">
        <x:v>22.5</x:v>
      </x:c>
      <x:c r="C4197" s="1" t="n">
        <x:v>6</x:v>
      </x:c>
      <x:c r="D4197" s="12" t="n">
        <x:v>0</x:v>
      </x:c>
      <x:c r="E4197" s="12" t="n">
        <x:v>0.2800833333333333</x:v>
      </x:c>
      <x:c r="F4197" s="12" t="n">
        <x:v>0.2798333333333333</x:v>
      </x:c>
      <x:c r="G4197" s="12" t="n">
        <x:v>0</x:v>
      </x:c>
      <x:c r="H4197" s="1" t="n">
        <x:f>'Historical prices'!E4197</x:f>
        <x:v>1.05</x:v>
      </x:c>
      <x:c r="I4197" s="6" t="n">
        <x:f>'Historical prices'!D4197</x:f>
        <x:v>0.2606</x:v>
      </x:c>
      <x:c r="J4197" s="13" t="n">
        <x:f>D4197*I4197*H4197</x:f>
        <x:v>0</x:v>
      </x:c>
      <x:c r="K4197" s="13" t="n">
        <x:f>E4197*I4197*H4197</x:f>
        <x:v>0.0766392025</x:v>
      </x:c>
      <x:c r="L4197" s="1" t="str">
        <x:f>TEXT(A4197,"mmm yyyy")</x:f>
        <x:v>Aug 2026</x:v>
      </x:c>
    </x:row>
    <x:row r="4198" ht="21" customHeight="1">
      <x:c r="A4198" s="10" t="n">
        <x:v>46235</x:v>
      </x:c>
      <x:c r="B4198" s="1" t="n">
        <x:v>23</x:v>
      </x:c>
      <x:c r="C4198" s="1" t="n">
        <x:v>6</x:v>
      </x:c>
      <x:c r="D4198" s="12" t="n">
        <x:v>0</x:v>
      </x:c>
      <x:c r="E4198" s="12" t="n">
        <x:v>0.20175</x:v>
      </x:c>
      <x:c r="F4198" s="12" t="n">
        <x:v>0.20175</x:v>
      </x:c>
      <x:c r="G4198" s="12" t="n">
        <x:v>0</x:v>
      </x:c>
      <x:c r="H4198" s="1" t="n">
        <x:f>'Historical prices'!E4198</x:f>
        <x:v>1.05</x:v>
      </x:c>
      <x:c r="I4198" s="6" t="n">
        <x:f>'Historical prices'!D4198</x:f>
        <x:v>0.2711</x:v>
      </x:c>
      <x:c r="J4198" s="13" t="n">
        <x:f>D4198*I4198*H4198</x:f>
        <x:v>0</x:v>
      </x:c>
      <x:c r="K4198" s="13" t="n">
        <x:f>E4198*I4198*H4198</x:f>
        <x:v>0.05742914625000001</x:v>
      </x:c>
      <x:c r="L4198" s="1" t="str">
        <x:f>TEXT(A4198,"mmm yyyy")</x:f>
        <x:v>Aug 2026</x:v>
      </x:c>
    </x:row>
    <x:row r="4199" ht="21" customHeight="1">
      <x:c r="A4199" s="10" t="n">
        <x:v>46235</x:v>
      </x:c>
      <x:c r="B4199" s="1" t="n">
        <x:v>23.5</x:v>
      </x:c>
      <x:c r="C4199" s="1" t="n">
        <x:v>6</x:v>
      </x:c>
      <x:c r="D4199" s="12" t="n">
        <x:v>0</x:v>
      </x:c>
      <x:c r="E4199" s="12" t="n">
        <x:v>0.24483333333333335</x:v>
      </x:c>
      <x:c r="F4199" s="12" t="n">
        <x:v>0.24466666666666664</x:v>
      </x:c>
      <x:c r="G4199" s="12" t="n">
        <x:v>0</x:v>
      </x:c>
      <x:c r="H4199" s="1" t="n">
        <x:f>'Historical prices'!E4199</x:f>
        <x:v>1.05</x:v>
      </x:c>
      <x:c r="I4199" s="6" t="n">
        <x:f>'Historical prices'!D4199</x:f>
        <x:v>0.2728</x:v>
      </x:c>
      <x:c r="J4199" s="13" t="n">
        <x:f>D4199*I4199*H4199</x:f>
        <x:v>0</x:v>
      </x:c>
      <x:c r="K4199" s="13" t="n">
        <x:f>E4199*I4199*H4199</x:f>
        <x:v>0.07013006000000001</x:v>
      </x:c>
      <x:c r="L4199" s="1" t="str">
        <x:f>TEXT(A4199,"mmm yyyy")</x:f>
        <x:v>Aug 2026</x:v>
      </x:c>
    </x:row>
    <x:row r="4200" ht="21" customHeight="1">
      <x:c r="A4200" s="10" t="n">
        <x:v>46236</x:v>
      </x:c>
      <x:c r="B4200" s="1" t="n">
        <x:v>0</x:v>
      </x:c>
      <x:c r="C4200" s="1" t="n">
        <x:v>6</x:v>
      </x:c>
      <x:c r="D4200" s="12" t="n">
        <x:v>0</x:v>
      </x:c>
      <x:c r="E4200" s="12" t="n">
        <x:v>0.2849166666666667</x:v>
      </x:c>
      <x:c r="F4200" s="12" t="n">
        <x:v>0.28475</x:v>
      </x:c>
      <x:c r="G4200" s="12" t="n">
        <x:v>0</x:v>
      </x:c>
      <x:c r="H4200" s="1" t="n">
        <x:f>'Historical prices'!E4200</x:f>
        <x:v>1.05</x:v>
      </x:c>
      <x:c r="I4200" s="6" t="n">
        <x:f>'Historical prices'!D4200</x:f>
        <x:v>0.2585</x:v>
      </x:c>
      <x:c r="J4200" s="13" t="n">
        <x:f>D4200*I4200*H4200</x:f>
        <x:v>0</x:v>
      </x:c>
      <x:c r="K4200" s="13" t="n">
        <x:f>E4200*I4200*H4200</x:f>
        <x:v>0.07733350625000002</x:v>
      </x:c>
      <x:c r="L4200" s="1" t="str">
        <x:f>TEXT(A4200,"mmm yyyy")</x:f>
        <x:v>Aug 2026</x:v>
      </x:c>
    </x:row>
    <x:row r="4201" ht="21" customHeight="1">
      <x:c r="A4201" s="10" t="n">
        <x:v>46236</x:v>
      </x:c>
      <x:c r="B4201" s="1" t="n">
        <x:v>0.5</x:v>
      </x:c>
      <x:c r="C4201" s="1" t="n">
        <x:v>6</x:v>
      </x:c>
      <x:c r="D4201" s="12" t="n">
        <x:v>0</x:v>
      </x:c>
      <x:c r="E4201" s="12" t="n">
        <x:v>0.21383333333333332</x:v>
      </x:c>
      <x:c r="F4201" s="12" t="n">
        <x:v>0.21358333333333332</x:v>
      </x:c>
      <x:c r="G4201" s="12" t="n">
        <x:v>0</x:v>
      </x:c>
      <x:c r="H4201" s="1" t="n">
        <x:f>'Historical prices'!E4201</x:f>
        <x:v>1.05</x:v>
      </x:c>
      <x:c r="I4201" s="6" t="n">
        <x:f>'Historical prices'!D4201</x:f>
        <x:v>0.2606</x:v>
      </x:c>
      <x:c r="J4201" s="13" t="n">
        <x:f>D4201*I4201*H4201</x:f>
        <x:v>0</x:v>
      </x:c>
      <x:c r="K4201" s="13" t="n">
        <x:f>E4201*I4201*H4201</x:f>
        <x:v>0.058511215</x:v>
      </x:c>
      <x:c r="L4201" s="1" t="str">
        <x:f>TEXT(A4201,"mmm yyyy")</x:f>
        <x:v>Aug 2026</x:v>
      </x:c>
    </x:row>
    <x:row r="4202" ht="21" customHeight="1">
      <x:c r="A4202" s="10" t="n">
        <x:v>46236</x:v>
      </x:c>
      <x:c r="B4202" s="1" t="n">
        <x:v>1</x:v>
      </x:c>
      <x:c r="C4202" s="1" t="n">
        <x:v>6</x:v>
      </x:c>
      <x:c r="D4202" s="12" t="n">
        <x:v>0.18641666666666667</x:v>
      </x:c>
      <x:c r="E4202" s="12" t="n">
        <x:v>0.23516666666666666</x:v>
      </x:c>
      <x:c r="F4202" s="12" t="n">
        <x:v>0.03975</x:v>
      </x:c>
      <x:c r="G4202" s="12" t="n">
        <x:v>0</x:v>
      </x:c>
      <x:c r="H4202" s="1" t="n">
        <x:f>'Historical prices'!E4202</x:f>
        <x:v>1.05</x:v>
      </x:c>
      <x:c r="I4202" s="6" t="n">
        <x:f>'Historical prices'!D4202</x:f>
        <x:v>0.2438</x:v>
      </x:c>
      <x:c r="J4202" s="13" t="n">
        <x:f>D4202*I4202*H4202</x:f>
        <x:v>0.047720802500000006</x:v>
      </x:c>
      <x:c r="K4202" s="13" t="n">
        <x:f>E4202*I4202*H4202</x:f>
        <x:v>0.060200315</x:v>
      </x:c>
      <x:c r="L4202" s="1" t="str">
        <x:f>TEXT(A4202,"mmm yyyy")</x:f>
        <x:v>Aug 2026</x:v>
      </x:c>
    </x:row>
    <x:row r="4203" ht="21" customHeight="1">
      <x:c r="A4203" s="10" t="n">
        <x:v>46236</x:v>
      </x:c>
      <x:c r="B4203" s="1" t="n">
        <x:v>1.5</x:v>
      </x:c>
      <x:c r="C4203" s="1" t="n">
        <x:v>6</x:v>
      </x:c>
      <x:c r="D4203" s="12" t="n">
        <x:v>0.050666666666666665</x:v>
      </x:c>
      <x:c r="E4203" s="12" t="n">
        <x:v>0.24958333333333335</x:v>
      </x:c>
      <x:c r="F4203" s="12" t="n">
        <x:v>0.19766666666666666</x:v>
      </x:c>
      <x:c r="G4203" s="12" t="n">
        <x:v>0</x:v>
      </x:c>
      <x:c r="H4203" s="1" t="n">
        <x:f>'Historical prices'!E4203</x:f>
        <x:v>1.05</x:v>
      </x:c>
      <x:c r="I4203" s="6" t="n">
        <x:f>'Historical prices'!D4203</x:f>
        <x:v>0.25579999999999997</x:v>
      </x:c>
      <x:c r="J4203" s="13" t="n">
        <x:f>D4203*I4203*H4203</x:f>
        <x:v>0.013608559999999999</x:v>
      </x:c>
      <x:c r="K4203" s="13" t="n">
        <x:f>E4203*I4203*H4203</x:f>
        <x:v>0.06703558750000001</x:v>
      </x:c>
      <x:c r="L4203" s="1" t="str">
        <x:f>TEXT(A4203,"mmm yyyy")</x:f>
        <x:v>Aug 2026</x:v>
      </x:c>
    </x:row>
    <x:row r="4204" ht="21" customHeight="1">
      <x:c r="A4204" s="10" t="n">
        <x:v>46236</x:v>
      </x:c>
      <x:c r="B4204" s="1" t="n">
        <x:v>2</x:v>
      </x:c>
      <x:c r="C4204" s="1" t="n">
        <x:v>6</x:v>
      </x:c>
      <x:c r="D4204" s="12" t="n">
        <x:v>0.15133333333333332</x:v>
      </x:c>
      <x:c r="E4204" s="12" t="n">
        <x:v>0.20841666666666667</x:v>
      </x:c>
      <x:c r="F4204" s="12" t="n">
        <x:v>0.048</x:v>
      </x:c>
      <x:c r="G4204" s="12" t="n">
        <x:v>0</x:v>
      </x:c>
      <x:c r="H4204" s="1" t="n">
        <x:f>'Historical prices'!E4204</x:f>
        <x:v>1.05</x:v>
      </x:c>
      <x:c r="I4204" s="6" t="n">
        <x:f>'Historical prices'!D4204</x:f>
        <x:v>0.2502</x:v>
      </x:c>
      <x:c r="J4204" s="13" t="n">
        <x:f>D4204*I4204*H4204</x:f>
        <x:v>0.03975677999999999</x:v>
      </x:c>
      <x:c r="K4204" s="13" t="n">
        <x:f>E4204*I4204*H4204</x:f>
        <x:v>0.0547531425</x:v>
      </x:c>
      <x:c r="L4204" s="1" t="str">
        <x:f>TEXT(A4204,"mmm yyyy")</x:f>
        <x:v>Aug 2026</x:v>
      </x:c>
    </x:row>
    <x:row r="4205" ht="21" customHeight="1">
      <x:c r="A4205" s="10" t="n">
        <x:v>46236</x:v>
      </x:c>
      <x:c r="B4205" s="1" t="n">
        <x:v>2.5</x:v>
      </x:c>
      <x:c r="C4205" s="1" t="n">
        <x:v>6</x:v>
      </x:c>
      <x:c r="D4205" s="12" t="n">
        <x:v>0.17733333333333334</x:v>
      </x:c>
      <x:c r="E4205" s="12" t="n">
        <x:v>0.18833333333333335</x:v>
      </x:c>
      <x:c r="F4205" s="12" t="n">
        <x:v>0</x:v>
      </x:c>
      <x:c r="G4205" s="12" t="n">
        <x:v>0</x:v>
      </x:c>
      <x:c r="H4205" s="1" t="n">
        <x:f>'Historical prices'!E4205</x:f>
        <x:v>1.05</x:v>
      </x:c>
      <x:c r="I4205" s="6" t="n">
        <x:f>'Historical prices'!D4205</x:f>
        <x:v>0.2375</x:v>
      </x:c>
      <x:c r="J4205" s="13" t="n">
        <x:f>D4205*I4205*H4205</x:f>
        <x:v>0.044222500000000005</x:v>
      </x:c>
      <x:c r="K4205" s="13" t="n">
        <x:f>E4205*I4205*H4205</x:f>
        <x:v>0.046965625000000004</x:v>
      </x:c>
      <x:c r="L4205" s="1" t="str">
        <x:f>TEXT(A4205,"mmm yyyy")</x:f>
        <x:v>Aug 2026</x:v>
      </x:c>
    </x:row>
    <x:row r="4206" ht="21" customHeight="1">
      <x:c r="A4206" s="10" t="n">
        <x:v>46236</x:v>
      </x:c>
      <x:c r="B4206" s="1" t="n">
        <x:v>3</x:v>
      </x:c>
      <x:c r="C4206" s="1" t="n">
        <x:v>6</x:v>
      </x:c>
      <x:c r="D4206" s="12" t="n">
        <x:v>0.16125</x:v>
      </x:c>
      <x:c r="E4206" s="12" t="n">
        <x:v>0.17225000000000001</x:v>
      </x:c>
      <x:c r="F4206" s="12" t="n">
        <x:v>0</x:v>
      </x:c>
      <x:c r="G4206" s="12" t="n">
        <x:v>0</x:v>
      </x:c>
      <x:c r="H4206" s="1" t="n">
        <x:f>'Historical prices'!E4206</x:f>
        <x:v>1.05</x:v>
      </x:c>
      <x:c r="I4206" s="6" t="n">
        <x:f>'Historical prices'!D4206</x:f>
        <x:v>0.2354</x:v>
      </x:c>
      <x:c r="J4206" s="13" t="n">
        <x:f>D4206*I4206*H4206</x:f>
        <x:v>0.0398561625</x:v>
      </x:c>
      <x:c r="K4206" s="13" t="n">
        <x:f>E4206*I4206*H4206</x:f>
        <x:v>0.042575032500000005</x:v>
      </x:c>
      <x:c r="L4206" s="1" t="str">
        <x:f>TEXT(A4206,"mmm yyyy")</x:f>
        <x:v>Aug 2026</x:v>
      </x:c>
    </x:row>
    <x:row r="4207" ht="21" customHeight="1">
      <x:c r="A4207" s="10" t="n">
        <x:v>46236</x:v>
      </x:c>
      <x:c r="B4207" s="1" t="n">
        <x:v>3.5</x:v>
      </x:c>
      <x:c r="C4207" s="1" t="n">
        <x:v>6</x:v>
      </x:c>
      <x:c r="D4207" s="12" t="n">
        <x:v>0.14416666666666667</x:v>
      </x:c>
      <x:c r="E4207" s="12" t="n">
        <x:v>0.15416666666666667</x:v>
      </x:c>
      <x:c r="F4207" s="12" t="n">
        <x:v>0</x:v>
      </x:c>
      <x:c r="G4207" s="12" t="n">
        <x:v>0</x:v>
      </x:c>
      <x:c r="H4207" s="1" t="n">
        <x:f>'Historical prices'!E4207</x:f>
        <x:v>1.05</x:v>
      </x:c>
      <x:c r="I4207" s="6" t="n">
        <x:f>'Historical prices'!D4207</x:f>
        <x:v>0.2318</x:v>
      </x:c>
      <x:c r="J4207" s="13" t="n">
        <x:f>D4207*I4207*H4207</x:f>
        <x:v>0.035088725</x:v>
      </x:c>
      <x:c r="K4207" s="13" t="n">
        <x:f>E4207*I4207*H4207</x:f>
        <x:v>0.037522625000000004</x:v>
      </x:c>
      <x:c r="L4207" s="1" t="str">
        <x:f>TEXT(A4207,"mmm yyyy")</x:f>
        <x:v>Aug 2026</x:v>
      </x:c>
    </x:row>
    <x:row r="4208" ht="21" customHeight="1">
      <x:c r="A4208" s="10" t="n">
        <x:v>46236</x:v>
      </x:c>
      <x:c r="B4208" s="1" t="n">
        <x:v>4</x:v>
      </x:c>
      <x:c r="C4208" s="1" t="n">
        <x:v>6</x:v>
      </x:c>
      <x:c r="D4208" s="12" t="n">
        <x:v>0.21991666666666665</x:v>
      </x:c>
      <x:c r="E4208" s="12" t="n">
        <x:v>0.23091666666666666</x:v>
      </x:c>
      <x:c r="F4208" s="12" t="n">
        <x:v>0</x:v>
      </x:c>
      <x:c r="G4208" s="12" t="n">
        <x:v>0</x:v>
      </x:c>
      <x:c r="H4208" s="1" t="n">
        <x:f>'Historical prices'!E4208</x:f>
        <x:v>1.05</x:v>
      </x:c>
      <x:c r="I4208" s="6" t="n">
        <x:f>'Historical prices'!D4208</x:f>
        <x:v>0.2395</x:v>
      </x:c>
      <x:c r="J4208" s="13" t="n">
        <x:f>D4208*I4208*H4208</x:f>
        <x:v>0.055303543749999996</x:v>
      </x:c>
      <x:c r="K4208" s="13" t="n">
        <x:f>E4208*I4208*H4208</x:f>
        <x:v>0.05806976875</x:v>
      </x:c>
      <x:c r="L4208" s="1" t="str">
        <x:f>TEXT(A4208,"mmm yyyy")</x:f>
        <x:v>Aug 2026</x:v>
      </x:c>
    </x:row>
    <x:row r="4209" ht="21" customHeight="1">
      <x:c r="A4209" s="10" t="n">
        <x:v>46236</x:v>
      </x:c>
      <x:c r="B4209" s="1" t="n">
        <x:v>4.5</x:v>
      </x:c>
      <x:c r="C4209" s="1" t="n">
        <x:v>6</x:v>
      </x:c>
      <x:c r="D4209" s="12" t="n">
        <x:v>0.17816666666666667</x:v>
      </x:c>
      <x:c r="E4209" s="12" t="n">
        <x:v>0.18816666666666668</x:v>
      </x:c>
      <x:c r="F4209" s="12" t="n">
        <x:v>0</x:v>
      </x:c>
      <x:c r="G4209" s="12" t="n">
        <x:v>0</x:v>
      </x:c>
      <x:c r="H4209" s="1" t="n">
        <x:f>'Historical prices'!E4209</x:f>
        <x:v>1.05</x:v>
      </x:c>
      <x:c r="I4209" s="6" t="n">
        <x:f>'Historical prices'!D4209</x:f>
        <x:v>0.23800000000000002</x:v>
      </x:c>
      <x:c r="J4209" s="13" t="n">
        <x:f>D4209*I4209*H4209</x:f>
        <x:v>0.04452385000000001</x:v>
      </x:c>
      <x:c r="K4209" s="13" t="n">
        <x:f>E4209*I4209*H4209</x:f>
        <x:v>0.04702285000000001</x:v>
      </x:c>
      <x:c r="L4209" s="1" t="str">
        <x:f>TEXT(A4209,"mmm yyyy")</x:f>
        <x:v>Aug 2026</x:v>
      </x:c>
    </x:row>
    <x:row r="4210" ht="21" customHeight="1">
      <x:c r="A4210" s="10" t="n">
        <x:v>46236</x:v>
      </x:c>
      <x:c r="B4210" s="1" t="n">
        <x:v>5</x:v>
      </x:c>
      <x:c r="C4210" s="1" t="n">
        <x:v>6</x:v>
      </x:c>
      <x:c r="D4210" s="12" t="n">
        <x:v>0.12175</x:v>
      </x:c>
      <x:c r="E4210" s="12" t="n">
        <x:v>0.13275</x:v>
      </x:c>
      <x:c r="F4210" s="12" t="n">
        <x:v>0</x:v>
      </x:c>
      <x:c r="G4210" s="12" t="n">
        <x:v>0</x:v>
      </x:c>
      <x:c r="H4210" s="1" t="n">
        <x:f>'Historical prices'!E4210</x:f>
        <x:v>1.05</x:v>
      </x:c>
      <x:c r="I4210" s="6" t="n">
        <x:f>'Historical prices'!D4210</x:f>
        <x:v>0.2332</x:v>
      </x:c>
      <x:c r="J4210" s="13" t="n">
        <x:f>D4210*I4210*H4210</x:f>
        <x:v>0.029811704999999997</x:v>
      </x:c>
      <x:c r="K4210" s="13" t="n">
        <x:f>E4210*I4210*H4210</x:f>
        <x:v>0.032505165</x:v>
      </x:c>
      <x:c r="L4210" s="1" t="str">
        <x:f>TEXT(A4210,"mmm yyyy")</x:f>
        <x:v>Aug 2026</x:v>
      </x:c>
    </x:row>
    <x:row r="4211" ht="21" customHeight="1">
      <x:c r="A4211" s="10" t="n">
        <x:v>46236</x:v>
      </x:c>
      <x:c r="B4211" s="1" t="n">
        <x:v>5.5</x:v>
      </x:c>
      <x:c r="C4211" s="1" t="n">
        <x:v>6</x:v>
      </x:c>
      <x:c r="D4211" s="12" t="n">
        <x:v>0.22633333333333333</x:v>
      </x:c>
      <x:c r="E4211" s="12" t="n">
        <x:v>0.23633333333333334</x:v>
      </x:c>
      <x:c r="F4211" s="12" t="n">
        <x:v>0</x:v>
      </x:c>
      <x:c r="G4211" s="12" t="n">
        <x:v>0</x:v>
      </x:c>
      <x:c r="H4211" s="1" t="n">
        <x:f>'Historical prices'!E4211</x:f>
        <x:v>1.05</x:v>
      </x:c>
      <x:c r="I4211" s="6" t="n">
        <x:f>'Historical prices'!D4211</x:f>
        <x:v>0.2299</x:v>
      </x:c>
      <x:c r="J4211" s="13" t="n">
        <x:f>D4211*I4211*H4211</x:f>
        <x:v>0.054635735000000005</x:v>
      </x:c>
      <x:c r="K4211" s="13" t="n">
        <x:f>E4211*I4211*H4211</x:f>
        <x:v>0.057049685</x:v>
      </x:c>
      <x:c r="L4211" s="1" t="str">
        <x:f>TEXT(A4211,"mmm yyyy")</x:f>
        <x:v>Aug 2026</x:v>
      </x:c>
    </x:row>
    <x:row r="4212" ht="21" customHeight="1">
      <x:c r="A4212" s="10" t="n">
        <x:v>46236</x:v>
      </x:c>
      <x:c r="B4212" s="1" t="n">
        <x:v>6</x:v>
      </x:c>
      <x:c r="C4212" s="1" t="n">
        <x:v>6</x:v>
      </x:c>
      <x:c r="D4212" s="12" t="n">
        <x:v>0.25</x:v>
      </x:c>
      <x:c r="E4212" s="12" t="n">
        <x:v>0.26</x:v>
      </x:c>
      <x:c r="F4212" s="12" t="n">
        <x:v>0</x:v>
      </x:c>
      <x:c r="G4212" s="12" t="n">
        <x:v>0</x:v>
      </x:c>
      <x:c r="H4212" s="1" t="n">
        <x:f>'Historical prices'!E4212</x:f>
        <x:v>1.05</x:v>
      </x:c>
      <x:c r="I4212" s="6" t="n">
        <x:f>'Historical prices'!D4212</x:f>
        <x:v>0.2228</x:v>
      </x:c>
      <x:c r="J4212" s="13" t="n">
        <x:f>D4212*I4212*H4212</x:f>
        <x:v>0.058485</x:v>
      </x:c>
      <x:c r="K4212" s="13" t="n">
        <x:f>E4212*I4212*H4212</x:f>
        <x:v>0.0608244</x:v>
      </x:c>
      <x:c r="L4212" s="1" t="str">
        <x:f>TEXT(A4212,"mmm yyyy")</x:f>
        <x:v>Aug 2026</x:v>
      </x:c>
    </x:row>
    <x:row r="4213" ht="21" customHeight="1">
      <x:c r="A4213" s="10" t="n">
        <x:v>46236</x:v>
      </x:c>
      <x:c r="B4213" s="1" t="n">
        <x:v>6.5</x:v>
      </x:c>
      <x:c r="C4213" s="1" t="n">
        <x:v>6</x:v>
      </x:c>
      <x:c r="D4213" s="12" t="n">
        <x:v>0.14583333333333331</x:v>
      </x:c>
      <x:c r="E4213" s="12" t="n">
        <x:v>0.15683333333333332</x:v>
      </x:c>
      <x:c r="F4213" s="12" t="n">
        <x:v>0</x:v>
      </x:c>
      <x:c r="G4213" s="12" t="n">
        <x:v>0</x:v>
      </x:c>
      <x:c r="H4213" s="1" t="n">
        <x:f>'Historical prices'!E4213</x:f>
        <x:v>1.05</x:v>
      </x:c>
      <x:c r="I4213" s="6" t="n">
        <x:f>'Historical prices'!D4213</x:f>
        <x:v>0.2278</x:v>
      </x:c>
      <x:c r="J4213" s="13" t="n">
        <x:f>D4213*I4213*H4213</x:f>
        <x:v>0.034881875</x:v>
      </x:c>
      <x:c r="K4213" s="13" t="n">
        <x:f>E4213*I4213*H4213</x:f>
        <x:v>0.037512965</x:v>
      </x:c>
      <x:c r="L4213" s="1" t="str">
        <x:f>TEXT(A4213,"mmm yyyy")</x:f>
        <x:v>Aug 2026</x:v>
      </x:c>
    </x:row>
    <x:row r="4214" ht="21" customHeight="1">
      <x:c r="A4214" s="10" t="n">
        <x:v>46236</x:v>
      </x:c>
      <x:c r="B4214" s="1" t="n">
        <x:v>7</x:v>
      </x:c>
      <x:c r="C4214" s="1" t="n">
        <x:v>6</x:v>
      </x:c>
      <x:c r="D4214" s="12" t="n">
        <x:v>0.16283333333333336</x:v>
      </x:c>
      <x:c r="E4214" s="12" t="n">
        <x:v>0.17283333333333334</x:v>
      </x:c>
      <x:c r="F4214" s="12" t="n">
        <x:v>0</x:v>
      </x:c>
      <x:c r="G4214" s="12" t="n">
        <x:v>0</x:v>
      </x:c>
      <x:c r="H4214" s="1" t="n">
        <x:f>'Historical prices'!E4214</x:f>
        <x:v>1.05</x:v>
      </x:c>
      <x:c r="I4214" s="6" t="n">
        <x:f>'Historical prices'!D4214</x:f>
        <x:v>0.221</x:v>
      </x:c>
      <x:c r="J4214" s="13" t="n">
        <x:f>D4214*I4214*H4214</x:f>
        <x:v>0.037785475000000006</x:v>
      </x:c>
      <x:c r="K4214" s="13" t="n">
        <x:f>E4214*I4214*H4214</x:f>
        <x:v>0.040105975</x:v>
      </x:c>
      <x:c r="L4214" s="1" t="str">
        <x:f>TEXT(A4214,"mmm yyyy")</x:f>
        <x:v>Aug 2026</x:v>
      </x:c>
    </x:row>
    <x:row r="4215" ht="21" customHeight="1">
      <x:c r="A4215" s="10" t="n">
        <x:v>46236</x:v>
      </x:c>
      <x:c r="B4215" s="1" t="n">
        <x:v>7.5</x:v>
      </x:c>
      <x:c r="C4215" s="1" t="n">
        <x:v>6</x:v>
      </x:c>
      <x:c r="D4215" s="12" t="n">
        <x:v>0.23024999999999998</x:v>
      </x:c>
      <x:c r="E4215" s="12" t="n">
        <x:v>0.24125</x:v>
      </x:c>
      <x:c r="F4215" s="12" t="n">
        <x:v>0</x:v>
      </x:c>
      <x:c r="G4215" s="12" t="n">
        <x:v>0</x:v>
      </x:c>
      <x:c r="H4215" s="1" t="n">
        <x:f>'Historical prices'!E4215</x:f>
        <x:v>1.05</x:v>
      </x:c>
      <x:c r="I4215" s="6" t="n">
        <x:f>'Historical prices'!D4215</x:f>
        <x:v>0.2291</x:v>
      </x:c>
      <x:c r="J4215" s="13" t="n">
        <x:f>D4215*I4215*H4215</x:f>
        <x:v>0.05538778874999999</x:v>
      </x:c>
      <x:c r="K4215" s="13" t="n">
        <x:f>E4215*I4215*H4215</x:f>
        <x:v>0.058033893749999996</x:v>
      </x:c>
      <x:c r="L4215" s="1" t="str">
        <x:f>TEXT(A4215,"mmm yyyy")</x:f>
        <x:v>Aug 2026</x:v>
      </x:c>
    </x:row>
    <x:row r="4216" ht="21" customHeight="1">
      <x:c r="A4216" s="10" t="n">
        <x:v>46236</x:v>
      </x:c>
      <x:c r="B4216" s="1" t="n">
        <x:v>8</x:v>
      </x:c>
      <x:c r="C4216" s="1" t="n">
        <x:v>6</x:v>
      </x:c>
      <x:c r="D4216" s="12" t="n">
        <x:v>0.204</x:v>
      </x:c>
      <x:c r="E4216" s="12" t="n">
        <x:v>0.214</x:v>
      </x:c>
      <x:c r="F4216" s="12" t="n">
        <x:v>0</x:v>
      </x:c>
      <x:c r="G4216" s="12" t="n">
        <x:v>0</x:v>
      </x:c>
      <x:c r="H4216" s="1" t="n">
        <x:f>'Historical prices'!E4216</x:f>
        <x:v>1.05</x:v>
      </x:c>
      <x:c r="I4216" s="6" t="n">
        <x:f>'Historical prices'!D4216</x:f>
        <x:v>0.2291</x:v>
      </x:c>
      <x:c r="J4216" s="13" t="n">
        <x:f>D4216*I4216*H4216</x:f>
        <x:v>0.04907322</x:v>
      </x:c>
      <x:c r="K4216" s="13" t="n">
        <x:f>E4216*I4216*H4216</x:f>
        <x:v>0.05147877</x:v>
      </x:c>
      <x:c r="L4216" s="1" t="str">
        <x:f>TEXT(A4216,"mmm yyyy")</x:f>
        <x:v>Aug 2026</x:v>
      </x:c>
    </x:row>
    <x:row r="4217" ht="21" customHeight="1">
      <x:c r="A4217" s="10" t="n">
        <x:v>46236</x:v>
      </x:c>
      <x:c r="B4217" s="1" t="n">
        <x:v>8.5</x:v>
      </x:c>
      <x:c r="C4217" s="1" t="n">
        <x:v>6</x:v>
      </x:c>
      <x:c r="D4217" s="12" t="n">
        <x:v>0.17775000000000002</x:v>
      </x:c>
      <x:c r="E4217" s="12" t="n">
        <x:v>0.18875</x:v>
      </x:c>
      <x:c r="F4217" s="12" t="n">
        <x:v>0</x:v>
      </x:c>
      <x:c r="G4217" s="12" t="n">
        <x:v>0</x:v>
      </x:c>
      <x:c r="H4217" s="1" t="n">
        <x:f>'Historical prices'!E4217</x:f>
        <x:v>1.05</x:v>
      </x:c>
      <x:c r="I4217" s="6" t="n">
        <x:f>'Historical prices'!D4217</x:f>
        <x:v>0.2438</x:v>
      </x:c>
      <x:c r="J4217" s="13" t="n">
        <x:f>D4217*I4217*H4217</x:f>
        <x:v>0.04550222250000001</x:v>
      </x:c>
      <x:c r="K4217" s="13" t="n">
        <x:f>E4217*I4217*H4217</x:f>
        <x:v>0.048318112499999996</x:v>
      </x:c>
      <x:c r="L4217" s="1" t="str">
        <x:f>TEXT(A4217,"mmm yyyy")</x:f>
        <x:v>Aug 2026</x:v>
      </x:c>
    </x:row>
    <x:row r="4218" ht="21" customHeight="1">
      <x:c r="A4218" s="10" t="n">
        <x:v>46236</x:v>
      </x:c>
      <x:c r="B4218" s="1" t="n">
        <x:v>9</x:v>
      </x:c>
      <x:c r="C4218" s="1" t="n">
        <x:v>6</x:v>
      </x:c>
      <x:c r="D4218" s="12" t="n">
        <x:v>0.18266666666666667</x:v>
      </x:c>
      <x:c r="E4218" s="12" t="n">
        <x:v>0.19266666666666668</x:v>
      </x:c>
      <x:c r="F4218" s="12" t="n">
        <x:v>0</x:v>
      </x:c>
      <x:c r="G4218" s="12" t="n">
        <x:v>0</x:v>
      </x:c>
      <x:c r="H4218" s="1" t="n">
        <x:f>'Historical prices'!E4218</x:f>
        <x:v>1.05</x:v>
      </x:c>
      <x:c r="I4218" s="6" t="n">
        <x:f>'Historical prices'!D4218</x:f>
        <x:v>0.228</x:v>
      </x:c>
      <x:c r="J4218" s="13" t="n">
        <x:f>D4218*I4218*H4218</x:f>
        <x:v>0.04373040000000001</x:v>
      </x:c>
      <x:c r="K4218" s="13" t="n">
        <x:f>E4218*I4218*H4218</x:f>
        <x:v>0.0461244</x:v>
      </x:c>
      <x:c r="L4218" s="1" t="str">
        <x:f>TEXT(A4218,"mmm yyyy")</x:f>
        <x:v>Aug 2026</x:v>
      </x:c>
    </x:row>
    <x:row r="4219" ht="21" customHeight="1">
      <x:c r="A4219" s="10" t="n">
        <x:v>46236</x:v>
      </x:c>
      <x:c r="B4219" s="1" t="n">
        <x:v>9.5</x:v>
      </x:c>
      <x:c r="C4219" s="1" t="n">
        <x:v>6</x:v>
      </x:c>
      <x:c r="D4219" s="12" t="n">
        <x:v>0.21283333333333335</x:v>
      </x:c>
      <x:c r="E4219" s="12" t="n">
        <x:v>0.22383333333333336</x:v>
      </x:c>
      <x:c r="F4219" s="12" t="n">
        <x:v>0</x:v>
      </x:c>
      <x:c r="G4219" s="12" t="n">
        <x:v>0</x:v>
      </x:c>
      <x:c r="H4219" s="1" t="n">
        <x:f>'Historical prices'!E4219</x:f>
        <x:v>1.05</x:v>
      </x:c>
      <x:c r="I4219" s="6" t="n">
        <x:f>'Historical prices'!D4219</x:f>
        <x:v>0.2227</x:v>
      </x:c>
      <x:c r="J4219" s="13" t="n">
        <x:f>D4219*I4219*H4219</x:f>
        <x:v>0.049767882500000006</x:v>
      </x:c>
      <x:c r="K4219" s="13" t="n">
        <x:f>E4219*I4219*H4219</x:f>
        <x:v>0.05234006750000001</x:v>
      </x:c>
      <x:c r="L4219" s="1" t="str">
        <x:f>TEXT(A4219,"mmm yyyy")</x:f>
        <x:v>Aug 2026</x:v>
      </x:c>
    </x:row>
    <x:row r="4220" ht="21" customHeight="1">
      <x:c r="A4220" s="10" t="n">
        <x:v>46236</x:v>
      </x:c>
      <x:c r="B4220" s="1" t="n">
        <x:v>10</x:v>
      </x:c>
      <x:c r="C4220" s="1" t="n">
        <x:v>6</x:v>
      </x:c>
      <x:c r="D4220" s="12" t="n">
        <x:v>0.20891666666666667</x:v>
      </x:c>
      <x:c r="E4220" s="12" t="n">
        <x:v>0.21891666666666668</x:v>
      </x:c>
      <x:c r="F4220" s="12" t="n">
        <x:v>0</x:v>
      </x:c>
      <x:c r="G4220" s="12" t="n">
        <x:v>0</x:v>
      </x:c>
      <x:c r="H4220" s="1" t="n">
        <x:f>'Historical prices'!E4220</x:f>
        <x:v>1.05</x:v>
      </x:c>
      <x:c r="I4220" s="6" t="n">
        <x:f>'Historical prices'!D4220</x:f>
        <x:v>0.2186</x:v>
      </x:c>
      <x:c r="J4220" s="13" t="n">
        <x:f>D4220*I4220*H4220</x:f>
        <x:v>0.047952642499999996</x:v>
      </x:c>
      <x:c r="K4220" s="13" t="n">
        <x:f>E4220*I4220*H4220</x:f>
        <x:v>0.050247942500000004</x:v>
      </x:c>
      <x:c r="L4220" s="1" t="str">
        <x:f>TEXT(A4220,"mmm yyyy")</x:f>
        <x:v>Aug 2026</x:v>
      </x:c>
    </x:row>
    <x:row r="4221" ht="21" customHeight="1">
      <x:c r="A4221" s="10" t="n">
        <x:v>46236</x:v>
      </x:c>
      <x:c r="B4221" s="1" t="n">
        <x:v>10.5</x:v>
      </x:c>
      <x:c r="C4221" s="1" t="n">
        <x:v>6</x:v>
      </x:c>
      <x:c r="D4221" s="12" t="n">
        <x:v>0.2544166666666667</x:v>
      </x:c>
      <x:c r="E4221" s="12" t="n">
        <x:v>0.2654166666666667</x:v>
      </x:c>
      <x:c r="F4221" s="12" t="n">
        <x:v>0</x:v>
      </x:c>
      <x:c r="G4221" s="12" t="n">
        <x:v>0</x:v>
      </x:c>
      <x:c r="H4221" s="1" t="n">
        <x:f>'Historical prices'!E4221</x:f>
        <x:v>1.05</x:v>
      </x:c>
      <x:c r="I4221" s="6" t="n">
        <x:f>'Historical prices'!D4221</x:f>
        <x:v>0.214</x:v>
      </x:c>
      <x:c r="J4221" s="13" t="n">
        <x:f>D4221*I4221*H4221</x:f>
        <x:v>0.05716742500000001</x:v>
      </x:c>
      <x:c r="K4221" s="13" t="n">
        <x:f>E4221*I4221*H4221</x:f>
        <x:v>0.05963912500000001</x:v>
      </x:c>
      <x:c r="L4221" s="1" t="str">
        <x:f>TEXT(A4221,"mmm yyyy")</x:f>
        <x:v>Aug 2026</x:v>
      </x:c>
    </x:row>
    <x:row r="4222" ht="21" customHeight="1">
      <x:c r="A4222" s="10" t="n">
        <x:v>46236</x:v>
      </x:c>
      <x:c r="B4222" s="1" t="n">
        <x:v>11</x:v>
      </x:c>
      <x:c r="C4222" s="1" t="n">
        <x:v>6</x:v>
      </x:c>
      <x:c r="D4222" s="12" t="n">
        <x:v>0.14483333333333334</x:v>
      </x:c>
      <x:c r="E4222" s="12" t="n">
        <x:v>0.15483333333333335</x:v>
      </x:c>
      <x:c r="F4222" s="12" t="n">
        <x:v>0</x:v>
      </x:c>
      <x:c r="G4222" s="12" t="n">
        <x:v>0</x:v>
      </x:c>
      <x:c r="H4222" s="1" t="n">
        <x:f>'Historical prices'!E4222</x:f>
        <x:v>1.05</x:v>
      </x:c>
      <x:c r="I4222" s="6" t="n">
        <x:f>'Historical prices'!D4222</x:f>
        <x:v>0.20809999999999998</x:v>
      </x:c>
      <x:c r="J4222" s="13" t="n">
        <x:f>D4222*I4222*H4222</x:f>
        <x:v>0.0316468075</x:v>
      </x:c>
      <x:c r="K4222" s="13" t="n">
        <x:f>E4222*I4222*H4222</x:f>
        <x:v>0.0338318575</x:v>
      </x:c>
      <x:c r="L4222" s="1" t="str">
        <x:f>TEXT(A4222,"mmm yyyy")</x:f>
        <x:v>Aug 2026</x:v>
      </x:c>
    </x:row>
    <x:row r="4223" ht="21" customHeight="1">
      <x:c r="A4223" s="10" t="n">
        <x:v>46236</x:v>
      </x:c>
      <x:c r="B4223" s="1" t="n">
        <x:v>11.5</x:v>
      </x:c>
      <x:c r="C4223" s="1" t="n">
        <x:v>6</x:v>
      </x:c>
      <x:c r="D4223" s="12" t="n">
        <x:v>0.20008333333333334</x:v>
      </x:c>
      <x:c r="E4223" s="12" t="n">
        <x:v>0.21108333333333332</x:v>
      </x:c>
      <x:c r="F4223" s="12" t="n">
        <x:v>0</x:v>
      </x:c>
      <x:c r="G4223" s="12" t="n">
        <x:v>0</x:v>
      </x:c>
      <x:c r="H4223" s="1" t="n">
        <x:f>'Historical prices'!E4223</x:f>
        <x:v>1.05</x:v>
      </x:c>
      <x:c r="I4223" s="6" t="n">
        <x:f>'Historical prices'!D4223</x:f>
        <x:v>0.20809999999999998</x:v>
      </x:c>
      <x:c r="J4223" s="13" t="n">
        <x:f>D4223*I4223*H4223</x:f>
        <x:v>0.043719208749999995</x:v>
      </x:c>
      <x:c r="K4223" s="13" t="n">
        <x:f>E4223*I4223*H4223</x:f>
        <x:v>0.04612276374999999</x:v>
      </x:c>
      <x:c r="L4223" s="1" t="str">
        <x:f>TEXT(A4223,"mmm yyyy")</x:f>
        <x:v>Aug 2026</x:v>
      </x:c>
    </x:row>
    <x:row r="4224" ht="21" customHeight="1">
      <x:c r="A4224" s="10" t="n">
        <x:v>46236</x:v>
      </x:c>
      <x:c r="B4224" s="1" t="n">
        <x:v>12</x:v>
      </x:c>
      <x:c r="C4224" s="1" t="n">
        <x:v>6</x:v>
      </x:c>
      <x:c r="D4224" s="12" t="n">
        <x:v>0.2104166666666667</x:v>
      </x:c>
      <x:c r="E4224" s="12" t="n">
        <x:v>0.22041666666666668</x:v>
      </x:c>
      <x:c r="F4224" s="12" t="n">
        <x:v>0</x:v>
      </x:c>
      <x:c r="G4224" s="12" t="n">
        <x:v>0</x:v>
      </x:c>
      <x:c r="H4224" s="1" t="n">
        <x:f>'Historical prices'!E4224</x:f>
        <x:v>1.05</x:v>
      </x:c>
      <x:c r="I4224" s="6" t="n">
        <x:f>'Historical prices'!D4224</x:f>
        <x:v>0.20809999999999998</x:v>
      </x:c>
      <x:c r="J4224" s="13" t="n">
        <x:f>D4224*I4224*H4224</x:f>
        <x:v>0.04597709375</x:v>
      </x:c>
      <x:c r="K4224" s="13" t="n">
        <x:f>E4224*I4224*H4224</x:f>
        <x:v>0.048162143750000004</x:v>
      </x:c>
      <x:c r="L4224" s="1" t="str">
        <x:f>TEXT(A4224,"mmm yyyy")</x:f>
        <x:v>Aug 2026</x:v>
      </x:c>
    </x:row>
    <x:row r="4225" ht="21" customHeight="1">
      <x:c r="A4225" s="10" t="n">
        <x:v>46236</x:v>
      </x:c>
      <x:c r="B4225" s="1" t="n">
        <x:v>12.5</x:v>
      </x:c>
      <x:c r="C4225" s="1" t="n">
        <x:v>6</x:v>
      </x:c>
      <x:c r="D4225" s="12" t="n">
        <x:v>0.13224999999999998</x:v>
      </x:c>
      <x:c r="E4225" s="12" t="n">
        <x:v>0.14225</x:v>
      </x:c>
      <x:c r="F4225" s="12" t="n">
        <x:v>0</x:v>
      </x:c>
      <x:c r="G4225" s="12" t="n">
        <x:v>0</x:v>
      </x:c>
      <x:c r="H4225" s="1" t="n">
        <x:f>'Historical prices'!E4225</x:f>
        <x:v>1.05</x:v>
      </x:c>
      <x:c r="I4225" s="6" t="n">
        <x:f>'Historical prices'!D4225</x:f>
        <x:v>0.20809999999999998</x:v>
      </x:c>
      <x:c r="J4225" s="13" t="n">
        <x:f>D4225*I4225*H4225</x:f>
        <x:v>0.028897286249999994</x:v>
      </x:c>
      <x:c r="K4225" s="13" t="n">
        <x:f>E4225*I4225*H4225</x:f>
        <x:v>0.03108233625</x:v>
      </x:c>
      <x:c r="L4225" s="1" t="str">
        <x:f>TEXT(A4225,"mmm yyyy")</x:f>
        <x:v>Aug 2026</x:v>
      </x:c>
    </x:row>
    <x:row r="4226" ht="21" customHeight="1">
      <x:c r="A4226" s="10" t="n">
        <x:v>46236</x:v>
      </x:c>
      <x:c r="B4226" s="1" t="n">
        <x:v>13</x:v>
      </x:c>
      <x:c r="C4226" s="1" t="n">
        <x:v>6</x:v>
      </x:c>
      <x:c r="D4226" s="12" t="n">
        <x:v>0.14966666666666667</x:v>
      </x:c>
      <x:c r="E4226" s="12" t="n">
        <x:v>0.16066666666666668</x:v>
      </x:c>
      <x:c r="F4226" s="12" t="n">
        <x:v>0</x:v>
      </x:c>
      <x:c r="G4226" s="12" t="n">
        <x:v>0</x:v>
      </x:c>
      <x:c r="H4226" s="1" t="n">
        <x:f>'Historical prices'!E4226</x:f>
        <x:v>1.05</x:v>
      </x:c>
      <x:c r="I4226" s="6" t="n">
        <x:f>'Historical prices'!D4226</x:f>
        <x:v>0.2095</x:v>
      </x:c>
      <x:c r="J4226" s="13" t="n">
        <x:f>D4226*I4226*H4226</x:f>
        <x:v>0.032922925</x:v>
      </x:c>
      <x:c r="K4226" s="13" t="n">
        <x:f>E4226*I4226*H4226</x:f>
        <x:v>0.03534265</x:v>
      </x:c>
      <x:c r="L4226" s="1" t="str">
        <x:f>TEXT(A4226,"mmm yyyy")</x:f>
        <x:v>Aug 2026</x:v>
      </x:c>
    </x:row>
    <x:row r="4227" ht="21" customHeight="1">
      <x:c r="A4227" s="10" t="n">
        <x:v>46236</x:v>
      </x:c>
      <x:c r="B4227" s="1" t="n">
        <x:v>13.5</x:v>
      </x:c>
      <x:c r="C4227" s="1" t="n">
        <x:v>6</x:v>
      </x:c>
      <x:c r="D4227" s="12" t="n">
        <x:v>4.4487499999999995</x:v>
      </x:c>
      <x:c r="E4227" s="12" t="n">
        <x:v>0.46675</x:v>
      </x:c>
      <x:c r="F4227" s="12" t="n">
        <x:v>0</x:v>
      </x:c>
      <x:c r="G4227" s="12" t="n">
        <x:v>3.984000000000001</x:v>
      </x:c>
      <x:c r="H4227" s="1" t="n">
        <x:f>'Historical prices'!E4227</x:f>
        <x:v>1.05</x:v>
      </x:c>
      <x:c r="I4227" s="6" t="n">
        <x:f>'Historical prices'!D4227</x:f>
        <x:v>0.2018</x:v>
      </x:c>
      <x:c r="J4227" s="13" t="n">
        <x:f>D4227*I4227*H4227</x:f>
        <x:v>0.9426456375</x:v>
      </x:c>
      <x:c r="K4227" s="13" t="n">
        <x:f>E4227*I4227*H4227</x:f>
        <x:v>0.0988996575</x:v>
      </x:c>
      <x:c r="L4227" s="1" t="str">
        <x:f>TEXT(A4227,"mmm yyyy")</x:f>
        <x:v>Aug 2026</x:v>
      </x:c>
    </x:row>
    <x:row r="4228" ht="21" customHeight="1">
      <x:c r="A4228" s="10" t="n">
        <x:v>46236</x:v>
      </x:c>
      <x:c r="B4228" s="1" t="n">
        <x:v>14</x:v>
      </x:c>
      <x:c r="C4228" s="1" t="n">
        <x:v>6</x:v>
      </x:c>
      <x:c r="D4228" s="12" t="n">
        <x:v>5.1777500000000005</x:v>
      </x:c>
      <x:c r="E4228" s="12" t="n">
        <x:v>0.44875</x:v>
      </x:c>
      <x:c r="F4228" s="12" t="n">
        <x:v>0</x:v>
      </x:c>
      <x:c r="G4228" s="12" t="n">
        <x:v>4.729</x:v>
      </x:c>
      <x:c r="H4228" s="1" t="n">
        <x:f>'Historical prices'!E4228</x:f>
        <x:v>1.05</x:v>
      </x:c>
      <x:c r="I4228" s="6" t="n">
        <x:f>'Historical prices'!D4228</x:f>
        <x:v>0.2018</x:v>
      </x:c>
      <x:c r="J4228" s="13" t="n">
        <x:f>D4228*I4228*H4228</x:f>
        <x:v>1.0971134475000002</x:v>
      </x:c>
      <x:c r="K4228" s="13" t="n">
        <x:f>E4228*I4228*H4228</x:f>
        <x:v>0.09508563750000001</x:v>
      </x:c>
      <x:c r="L4228" s="1" t="str">
        <x:f>TEXT(A4228,"mmm yyyy")</x:f>
        <x:v>Aug 2026</x:v>
      </x:c>
    </x:row>
    <x:row r="4229" ht="21" customHeight="1">
      <x:c r="A4229" s="10" t="n">
        <x:v>46236</x:v>
      </x:c>
      <x:c r="B4229" s="1" t="n">
        <x:v>14.5</x:v>
      </x:c>
      <x:c r="C4229" s="1" t="n">
        <x:v>6</x:v>
      </x:c>
      <x:c r="D4229" s="12" t="n">
        <x:v>5.007999999999999</x:v>
      </x:c>
      <x:c r="E4229" s="12" t="n">
        <x:v>0.401</x:v>
      </x:c>
      <x:c r="F4229" s="12" t="n">
        <x:v>0</x:v>
      </x:c>
      <x:c r="G4229" s="12" t="n">
        <x:v>4.607</x:v>
      </x:c>
      <x:c r="H4229" s="1" t="n">
        <x:f>'Historical prices'!E4229</x:f>
        <x:v>1.05</x:v>
      </x:c>
      <x:c r="I4229" s="6" t="n">
        <x:f>'Historical prices'!D4229</x:f>
        <x:v>0.2018</x:v>
      </x:c>
      <x:c r="J4229" s="13" t="n">
        <x:f>D4229*I4229*H4229</x:f>
        <x:v>1.06114512</x:v>
      </x:c>
      <x:c r="K4229" s="13" t="n">
        <x:f>E4229*I4229*H4229</x:f>
        <x:v>0.08496789</x:v>
      </x:c>
      <x:c r="L4229" s="1" t="str">
        <x:f>TEXT(A4229,"mmm yyyy")</x:f>
        <x:v>Aug 2026</x:v>
      </x:c>
    </x:row>
    <x:row r="4230" ht="21" customHeight="1">
      <x:c r="A4230" s="10" t="n">
        <x:v>46236</x:v>
      </x:c>
      <x:c r="B4230" s="1" t="n">
        <x:v>15</x:v>
      </x:c>
      <x:c r="C4230" s="1" t="n">
        <x:v>6</x:v>
      </x:c>
      <x:c r="D4230" s="12" t="n">
        <x:v>1.0735000000000001</x:v>
      </x:c>
      <x:c r="E4230" s="12" t="n">
        <x:v>0.2995</x:v>
      </x:c>
      <x:c r="F4230" s="12" t="n">
        <x:v>0</x:v>
      </x:c>
      <x:c r="G4230" s="12" t="n">
        <x:v>0.781</x:v>
      </x:c>
      <x:c r="H4230" s="1" t="n">
        <x:f>'Historical prices'!E4230</x:f>
        <x:v>1.05</x:v>
      </x:c>
      <x:c r="I4230" s="6" t="n">
        <x:f>'Historical prices'!D4230</x:f>
        <x:v>0.215</x:v>
      </x:c>
      <x:c r="J4230" s="13" t="n">
        <x:f>D4230*I4230*H4230</x:f>
        <x:v>0.24234262500000003</x:v>
      </x:c>
      <x:c r="K4230" s="13" t="n">
        <x:f>E4230*I4230*H4230</x:f>
        <x:v>0.067612125</x:v>
      </x:c>
      <x:c r="L4230" s="1" t="str">
        <x:f>TEXT(A4230,"mmm yyyy")</x:f>
        <x:v>Aug 2026</x:v>
      </x:c>
    </x:row>
    <x:row r="4231" ht="21" customHeight="1">
      <x:c r="A4231" s="10" t="n">
        <x:v>46236</x:v>
      </x:c>
      <x:c r="B4231" s="1" t="n">
        <x:v>15.5</x:v>
      </x:c>
      <x:c r="C4231" s="1" t="n">
        <x:v>6</x:v>
      </x:c>
      <x:c r="D4231" s="12" t="n">
        <x:v>0.20975</x:v>
      </x:c>
      <x:c r="E4231" s="12" t="n">
        <x:v>0.22075</x:v>
      </x:c>
      <x:c r="F4231" s="12" t="n">
        <x:v>0</x:v>
      </x:c>
      <x:c r="G4231" s="12" t="n">
        <x:v>0</x:v>
      </x:c>
      <x:c r="H4231" s="1" t="n">
        <x:f>'Historical prices'!E4231</x:f>
        <x:v>1.05</x:v>
      </x:c>
      <x:c r="I4231" s="6" t="n">
        <x:f>'Historical prices'!D4231</x:f>
        <x:v>0.22399999999999998</x:v>
      </x:c>
      <x:c r="J4231" s="13" t="n">
        <x:f>D4231*I4231*H4231</x:f>
        <x:v>0.049333199999999994</x:v>
      </x:c>
      <x:c r="K4231" s="13" t="n">
        <x:f>E4231*I4231*H4231</x:f>
        <x:v>0.05192039999999999</x:v>
      </x:c>
      <x:c r="L4231" s="1" t="str">
        <x:f>TEXT(A4231,"mmm yyyy")</x:f>
        <x:v>Aug 2026</x:v>
      </x:c>
    </x:row>
    <x:row r="4232" ht="21" customHeight="1">
      <x:c r="A4232" s="10" t="n">
        <x:v>46236</x:v>
      </x:c>
      <x:c r="B4232" s="1" t="n">
        <x:v>16</x:v>
      </x:c>
      <x:c r="C4232" s="1" t="n">
        <x:v>6</x:v>
      </x:c>
      <x:c r="D4232" s="12" t="n">
        <x:v>0.03</x:v>
      </x:c>
      <x:c r="E4232" s="12" t="n">
        <x:v>0.20608333333333334</x:v>
      </x:c>
      <x:c r="F4232" s="12" t="n">
        <x:v>0.1736666666666667</x:v>
      </x:c>
      <x:c r="G4232" s="12" t="n">
        <x:v>0</x:v>
      </x:c>
      <x:c r="H4232" s="1" t="n">
        <x:f>'Historical prices'!E4232</x:f>
        <x:v>1.05</x:v>
      </x:c>
      <x:c r="I4232" s="6" t="n">
        <x:f>'Historical prices'!D4232</x:f>
        <x:v>0.3593</x:v>
      </x:c>
      <x:c r="J4232" s="13" t="n">
        <x:f>D4232*I4232*H4232</x:f>
        <x:v>0.01131795</x:v>
      </x:c>
      <x:c r="K4232" s="13" t="n">
        <x:f>E4232*I4232*H4232</x:f>
        <x:v>0.07774802875</x:v>
      </x:c>
      <x:c r="L4232" s="1" t="str">
        <x:f>TEXT(A4232,"mmm yyyy")</x:f>
        <x:v>Aug 2026</x:v>
      </x:c>
    </x:row>
    <x:row r="4233" ht="21" customHeight="1">
      <x:c r="A4233" s="10" t="n">
        <x:v>46236</x:v>
      </x:c>
      <x:c r="B4233" s="1" t="n">
        <x:v>16.5</x:v>
      </x:c>
      <x:c r="C4233" s="1" t="n">
        <x:v>6</x:v>
      </x:c>
      <x:c r="D4233" s="12" t="n">
        <x:v>0</x:v>
      </x:c>
      <x:c r="E4233" s="12" t="n">
        <x:v>0.23424999999999999</x:v>
      </x:c>
      <x:c r="F4233" s="12" t="n">
        <x:v>0.23299999999999998</x:v>
      </x:c>
      <x:c r="G4233" s="12" t="n">
        <x:v>0</x:v>
      </x:c>
      <x:c r="H4233" s="1" t="n">
        <x:f>'Historical prices'!E4233</x:f>
        <x:v>1.05</x:v>
      </x:c>
      <x:c r="I4233" s="6" t="n">
        <x:f>'Historical prices'!D4233</x:f>
        <x:v>0.3468</x:v>
      </x:c>
      <x:c r="J4233" s="13" t="n">
        <x:f>D4233*I4233*H4233</x:f>
        <x:v>0</x:v>
      </x:c>
      <x:c r="K4233" s="13" t="n">
        <x:f>E4233*I4233*H4233</x:f>
        <x:v>0.085299795</x:v>
      </x:c>
      <x:c r="L4233" s="1" t="str">
        <x:f>TEXT(A4233,"mmm yyyy")</x:f>
        <x:v>Aug 2026</x:v>
      </x:c>
    </x:row>
    <x:row r="4234" ht="21" customHeight="1">
      <x:c r="A4234" s="10" t="n">
        <x:v>46236</x:v>
      </x:c>
      <x:c r="B4234" s="1" t="n">
        <x:v>17</x:v>
      </x:c>
      <x:c r="C4234" s="1" t="n">
        <x:v>6</x:v>
      </x:c>
      <x:c r="D4234" s="12" t="n">
        <x:v>0</x:v>
      </x:c>
      <x:c r="E4234" s="12" t="n">
        <x:v>0.23975</x:v>
      </x:c>
      <x:c r="F4234" s="12" t="n">
        <x:v>0.23958333333333334</x:v>
      </x:c>
      <x:c r="G4234" s="12" t="n">
        <x:v>0</x:v>
      </x:c>
      <x:c r="H4234" s="1" t="n">
        <x:f>'Historical prices'!E4234</x:f>
        <x:v>1.05</x:v>
      </x:c>
      <x:c r="I4234" s="6" t="n">
        <x:f>'Historical prices'!D4234</x:f>
        <x:v>0.3722</x:v>
      </x:c>
      <x:c r="J4234" s="13" t="n">
        <x:f>D4234*I4234*H4234</x:f>
        <x:v>0</x:v>
      </x:c>
      <x:c r="K4234" s="13" t="n">
        <x:f>E4234*I4234*H4234</x:f>
        <x:v>0.0936966975</x:v>
      </x:c>
      <x:c r="L4234" s="1" t="str">
        <x:f>TEXT(A4234,"mmm yyyy")</x:f>
        <x:v>Aug 2026</x:v>
      </x:c>
    </x:row>
    <x:row r="4235" ht="21" customHeight="1">
      <x:c r="A4235" s="10" t="n">
        <x:v>46236</x:v>
      </x:c>
      <x:c r="B4235" s="1" t="n">
        <x:v>17.5</x:v>
      </x:c>
      <x:c r="C4235" s="1" t="n">
        <x:v>6</x:v>
      </x:c>
      <x:c r="D4235" s="12" t="n">
        <x:v>0</x:v>
      </x:c>
      <x:c r="E4235" s="12" t="n">
        <x:v>0.25566666666666665</x:v>
      </x:c>
      <x:c r="F4235" s="12" t="n">
        <x:v>0.2555</x:v>
      </x:c>
      <x:c r="G4235" s="12" t="n">
        <x:v>0</x:v>
      </x:c>
      <x:c r="H4235" s="1" t="n">
        <x:f>'Historical prices'!E4235</x:f>
        <x:v>1.05</x:v>
      </x:c>
      <x:c r="I4235" s="6" t="n">
        <x:f>'Historical prices'!D4235</x:f>
        <x:v>0.3638</x:v>
      </x:c>
      <x:c r="J4235" s="13" t="n">
        <x:f>D4235*I4235*H4235</x:f>
        <x:v>0</x:v>
      </x:c>
      <x:c r="K4235" s="13" t="n">
        <x:f>E4235*I4235*H4235</x:f>
        <x:v>0.09766211</x:v>
      </x:c>
      <x:c r="L4235" s="1" t="str">
        <x:f>TEXT(A4235,"mmm yyyy")</x:f>
        <x:v>Aug 2026</x:v>
      </x:c>
    </x:row>
    <x:row r="4236" ht="21" customHeight="1">
      <x:c r="A4236" s="10" t="n">
        <x:v>46236</x:v>
      </x:c>
      <x:c r="B4236" s="1" t="n">
        <x:v>18</x:v>
      </x:c>
      <x:c r="C4236" s="1" t="n">
        <x:v>6</x:v>
      </x:c>
      <x:c r="D4236" s="12" t="n">
        <x:v>0</x:v>
      </x:c>
      <x:c r="E4236" s="12" t="n">
        <x:v>0.24616666666666664</x:v>
      </x:c>
      <x:c r="F4236" s="12" t="n">
        <x:v>0.24541666666666664</x:v>
      </x:c>
      <x:c r="G4236" s="12" t="n">
        <x:v>0</x:v>
      </x:c>
      <x:c r="H4236" s="1" t="n">
        <x:f>'Historical prices'!E4236</x:f>
        <x:v>1.05</x:v>
      </x:c>
      <x:c r="I4236" s="6" t="n">
        <x:f>'Historical prices'!D4236</x:f>
        <x:v>0.4022</x:v>
      </x:c>
      <x:c r="J4236" s="13" t="n">
        <x:f>D4236*I4236*H4236</x:f>
        <x:v>0</x:v>
      </x:c>
      <x:c r="K4236" s="13" t="n">
        <x:f>E4236*I4236*H4236</x:f>
        <x:v>0.10395864499999999</x:v>
      </x:c>
      <x:c r="L4236" s="1" t="str">
        <x:f>TEXT(A4236,"mmm yyyy")</x:f>
        <x:v>Aug 2026</x:v>
      </x:c>
    </x:row>
    <x:row r="4237" ht="21" customHeight="1">
      <x:c r="A4237" s="10" t="n">
        <x:v>46236</x:v>
      </x:c>
      <x:c r="B4237" s="1" t="n">
        <x:v>18.5</x:v>
      </x:c>
      <x:c r="C4237" s="1" t="n">
        <x:v>6</x:v>
      </x:c>
      <x:c r="D4237" s="12" t="n">
        <x:v>0</x:v>
      </x:c>
      <x:c r="E4237" s="12" t="n">
        <x:v>0.22083333333333333</x:v>
      </x:c>
      <x:c r="F4237" s="12" t="n">
        <x:v>0.22075</x:v>
      </x:c>
      <x:c r="G4237" s="12" t="n">
        <x:v>0</x:v>
      </x:c>
      <x:c r="H4237" s="1" t="n">
        <x:f>'Historical prices'!E4237</x:f>
        <x:v>1.05</x:v>
      </x:c>
      <x:c r="I4237" s="6" t="n">
        <x:f>'Historical prices'!D4237</x:f>
        <x:v>0.4064</x:v>
      </x:c>
      <x:c r="J4237" s="13" t="n">
        <x:f>D4237*I4237*H4237</x:f>
        <x:v>0</x:v>
      </x:c>
      <x:c r="K4237" s="13" t="n">
        <x:f>E4237*I4237*H4237</x:f>
        <x:v>0.094234</x:v>
      </x:c>
      <x:c r="L4237" s="1" t="str">
        <x:f>TEXT(A4237,"mmm yyyy")</x:f>
        <x:v>Aug 2026</x:v>
      </x:c>
    </x:row>
    <x:row r="4238" ht="21" customHeight="1">
      <x:c r="A4238" s="10" t="n">
        <x:v>46236</x:v>
      </x:c>
      <x:c r="B4238" s="1" t="n">
        <x:v>19</x:v>
      </x:c>
      <x:c r="C4238" s="1" t="n">
        <x:v>6</x:v>
      </x:c>
      <x:c r="D4238" s="12" t="n">
        <x:v>0</x:v>
      </x:c>
      <x:c r="E4238" s="12" t="n">
        <x:v>0.22083333333333333</x:v>
      </x:c>
      <x:c r="F4238" s="12" t="n">
        <x:v>0.2205</x:v>
      </x:c>
      <x:c r="G4238" s="12" t="n">
        <x:v>0</x:v>
      </x:c>
      <x:c r="H4238" s="1" t="n">
        <x:f>'Historical prices'!E4238</x:f>
        <x:v>1.05</x:v>
      </x:c>
      <x:c r="I4238" s="6" t="n">
        <x:f>'Historical prices'!D4238</x:f>
        <x:v>0.29719999999999996</x:v>
      </x:c>
      <x:c r="J4238" s="13" t="n">
        <x:f>D4238*I4238*H4238</x:f>
        <x:v>0</x:v>
      </x:c>
      <x:c r="K4238" s="13" t="n">
        <x:f>E4238*I4238*H4238</x:f>
        <x:v>0.06891325</x:v>
      </x:c>
      <x:c r="L4238" s="1" t="str">
        <x:f>TEXT(A4238,"mmm yyyy")</x:f>
        <x:v>Aug 2026</x:v>
      </x:c>
    </x:row>
    <x:row r="4239" ht="21" customHeight="1">
      <x:c r="A4239" s="10" t="n">
        <x:v>46236</x:v>
      </x:c>
      <x:c r="B4239" s="1" t="n">
        <x:v>19.5</x:v>
      </x:c>
      <x:c r="C4239" s="1" t="n">
        <x:v>6</x:v>
      </x:c>
      <x:c r="D4239" s="12" t="n">
        <x:v>0</x:v>
      </x:c>
      <x:c r="E4239" s="12" t="n">
        <x:v>0.30416666666666664</x:v>
      </x:c>
      <x:c r="F4239" s="12" t="n">
        <x:v>0.30375</x:v>
      </x:c>
      <x:c r="G4239" s="12" t="n">
        <x:v>0</x:v>
      </x:c>
      <x:c r="H4239" s="1" t="n">
        <x:f>'Historical prices'!E4239</x:f>
        <x:v>1.05</x:v>
      </x:c>
      <x:c r="I4239" s="6" t="n">
        <x:f>'Historical prices'!D4239</x:f>
        <x:v>0.2843</x:v>
      </x:c>
      <x:c r="J4239" s="13" t="n">
        <x:f>D4239*I4239*H4239</x:f>
        <x:v>0</x:v>
      </x:c>
      <x:c r="K4239" s="13" t="n">
        <x:f>E4239*I4239*H4239</x:f>
        <x:v>0.09079831249999999</x:v>
      </x:c>
      <x:c r="L4239" s="1" t="str">
        <x:f>TEXT(A4239,"mmm yyyy")</x:f>
        <x:v>Aug 2026</x:v>
      </x:c>
    </x:row>
    <x:row r="4240" ht="21" customHeight="1">
      <x:c r="A4240" s="10" t="n">
        <x:v>46236</x:v>
      </x:c>
      <x:c r="B4240" s="1" t="n">
        <x:v>20</x:v>
      </x:c>
      <x:c r="C4240" s="1" t="n">
        <x:v>6</x:v>
      </x:c>
      <x:c r="D4240" s="12" t="n">
        <x:v>0</x:v>
      </x:c>
      <x:c r="E4240" s="12" t="n">
        <x:v>0.3759166666666666</x:v>
      </x:c>
      <x:c r="F4240" s="12" t="n">
        <x:v>0.3750833333333333</x:v>
      </x:c>
      <x:c r="G4240" s="12" t="n">
        <x:v>0</x:v>
      </x:c>
      <x:c r="H4240" s="1" t="n">
        <x:f>'Historical prices'!E4240</x:f>
        <x:v>1.05</x:v>
      </x:c>
      <x:c r="I4240" s="6" t="n">
        <x:f>'Historical prices'!D4240</x:f>
        <x:v>0.2852</x:v>
      </x:c>
      <x:c r="J4240" s="13" t="n">
        <x:f>D4240*I4240*H4240</x:f>
        <x:v>0</x:v>
      </x:c>
      <x:c r="K4240" s="13" t="n">
        <x:f>E4240*I4240*H4240</x:f>
        <x:v>0.112572005</x:v>
      </x:c>
      <x:c r="L4240" s="1" t="str">
        <x:f>TEXT(A4240,"mmm yyyy")</x:f>
        <x:v>Aug 2026</x:v>
      </x:c>
    </x:row>
    <x:row r="4241" ht="21" customHeight="1">
      <x:c r="A4241" s="10" t="n">
        <x:v>46236</x:v>
      </x:c>
      <x:c r="B4241" s="1" t="n">
        <x:v>20.5</x:v>
      </x:c>
      <x:c r="C4241" s="1" t="n">
        <x:v>6</x:v>
      </x:c>
      <x:c r="D4241" s="12" t="n">
        <x:v>0</x:v>
      </x:c>
      <x:c r="E4241" s="12" t="n">
        <x:v>0.2876666666666667</x:v>
      </x:c>
      <x:c r="F4241" s="12" t="n">
        <x:v>0.2875833333333333</x:v>
      </x:c>
      <x:c r="G4241" s="12" t="n">
        <x:v>0</x:v>
      </x:c>
      <x:c r="H4241" s="1" t="n">
        <x:f>'Historical prices'!E4241</x:f>
        <x:v>1.05</x:v>
      </x:c>
      <x:c r="I4241" s="6" t="n">
        <x:f>'Historical prices'!D4241</x:f>
        <x:v>0.2846</x:v>
      </x:c>
      <x:c r="J4241" s="13" t="n">
        <x:f>D4241*I4241*H4241</x:f>
        <x:v>0</x:v>
      </x:c>
      <x:c r="K4241" s="13" t="n">
        <x:f>E4241*I4241*H4241</x:f>
        <x:v>0.08596343000000001</x:v>
      </x:c>
      <x:c r="L4241" s="1" t="str">
        <x:f>TEXT(A4241,"mmm yyyy")</x:f>
        <x:v>Aug 2026</x:v>
      </x:c>
    </x:row>
    <x:row r="4242" ht="21" customHeight="1">
      <x:c r="A4242" s="10" t="n">
        <x:v>46236</x:v>
      </x:c>
      <x:c r="B4242" s="1" t="n">
        <x:v>21</x:v>
      </x:c>
      <x:c r="C4242" s="1" t="n">
        <x:v>6</x:v>
      </x:c>
      <x:c r="D4242" s="12" t="n">
        <x:v>0</x:v>
      </x:c>
      <x:c r="E4242" s="12" t="n">
        <x:v>0.2970833333333333</x:v>
      </x:c>
      <x:c r="F4242" s="12" t="n">
        <x:v>0.2965</x:v>
      </x:c>
      <x:c r="G4242" s="12" t="n">
        <x:v>0</x:v>
      </x:c>
      <x:c r="H4242" s="1" t="n">
        <x:f>'Historical prices'!E4242</x:f>
        <x:v>1.05</x:v>
      </x:c>
      <x:c r="I4242" s="6" t="n">
        <x:f>'Historical prices'!D4242</x:f>
        <x:v>0.2763</x:v>
      </x:c>
      <x:c r="J4242" s="13" t="n">
        <x:f>D4242*I4242*H4242</x:f>
        <x:v>0</x:v>
      </x:c>
      <x:c r="K4242" s="13" t="n">
        <x:f>E4242*I4242*H4242</x:f>
        <x:v>0.08618833125</x:v>
      </x:c>
      <x:c r="L4242" s="1" t="str">
        <x:f>TEXT(A4242,"mmm yyyy")</x:f>
        <x:v>Aug 2026</x:v>
      </x:c>
    </x:row>
    <x:row r="4243" ht="21" customHeight="1">
      <x:c r="A4243" s="10" t="n">
        <x:v>46236</x:v>
      </x:c>
      <x:c r="B4243" s="1" t="n">
        <x:v>21.5</x:v>
      </x:c>
      <x:c r="C4243" s="1" t="n">
        <x:v>6</x:v>
      </x:c>
      <x:c r="D4243" s="12" t="n">
        <x:v>0</x:v>
      </x:c>
      <x:c r="E4243" s="12" t="n">
        <x:v>0.3410833333333333</x:v>
      </x:c>
      <x:c r="F4243" s="12" t="n">
        <x:v>0.3406666666666667</x:v>
      </x:c>
      <x:c r="G4243" s="12" t="n">
        <x:v>0</x:v>
      </x:c>
      <x:c r="H4243" s="1" t="n">
        <x:f>'Historical prices'!E4243</x:f>
        <x:v>1.05</x:v>
      </x:c>
      <x:c r="I4243" s="6" t="n">
        <x:f>'Historical prices'!D4243</x:f>
        <x:v>0.2662</x:v>
      </x:c>
      <x:c r="J4243" s="13" t="n">
        <x:f>D4243*I4243*H4243</x:f>
        <x:v>0</x:v>
      </x:c>
      <x:c r="K4243" s="13" t="n">
        <x:f>E4243*I4243*H4243</x:f>
        <x:v>0.09533620249999998</x:v>
      </x:c>
      <x:c r="L4243" s="1" t="str">
        <x:f>TEXT(A4243,"mmm yyyy")</x:f>
        <x:v>Aug 2026</x:v>
      </x:c>
    </x:row>
    <x:row r="4244" ht="21" customHeight="1">
      <x:c r="A4244" s="10" t="n">
        <x:v>46236</x:v>
      </x:c>
      <x:c r="B4244" s="1" t="n">
        <x:v>22</x:v>
      </x:c>
      <x:c r="C4244" s="1" t="n">
        <x:v>6</x:v>
      </x:c>
      <x:c r="D4244" s="12" t="n">
        <x:v>0</x:v>
      </x:c>
      <x:c r="E4244" s="12" t="n">
        <x:v>0.31375000000000003</x:v>
      </x:c>
      <x:c r="F4244" s="12" t="n">
        <x:v>0.3135</x:v>
      </x:c>
      <x:c r="G4244" s="12" t="n">
        <x:v>0</x:v>
      </x:c>
      <x:c r="H4244" s="1" t="n">
        <x:f>'Historical prices'!E4244</x:f>
        <x:v>1.05</x:v>
      </x:c>
      <x:c r="I4244" s="6" t="n">
        <x:f>'Historical prices'!D4244</x:f>
        <x:v>0.2501</x:v>
      </x:c>
      <x:c r="J4244" s="13" t="n">
        <x:f>D4244*I4244*H4244</x:f>
        <x:v>0</x:v>
      </x:c>
      <x:c r="K4244" s="13" t="n">
        <x:f>E4244*I4244*H4244</x:f>
        <x:v>0.08239231875000001</x:v>
      </x:c>
      <x:c r="L4244" s="1" t="str">
        <x:f>TEXT(A4244,"mmm yyyy")</x:f>
        <x:v>Aug 2026</x:v>
      </x:c>
    </x:row>
    <x:row r="4245" ht="21" customHeight="1">
      <x:c r="A4245" s="10" t="n">
        <x:v>46236</x:v>
      </x:c>
      <x:c r="B4245" s="1" t="n">
        <x:v>22.5</x:v>
      </x:c>
      <x:c r="C4245" s="1" t="n">
        <x:v>6</x:v>
      </x:c>
      <x:c r="D4245" s="12" t="n">
        <x:v>0.155</x:v>
      </x:c>
      <x:c r="E4245" s="12" t="n">
        <x:v>0.203</x:v>
      </x:c>
      <x:c r="F4245" s="12" t="n">
        <x:v>0.039</x:v>
      </x:c>
      <x:c r="G4245" s="12" t="n">
        <x:v>0</x:v>
      </x:c>
      <x:c r="H4245" s="1" t="n">
        <x:f>'Historical prices'!E4245</x:f>
        <x:v>1.05</x:v>
      </x:c>
      <x:c r="I4245" s="6" t="n">
        <x:f>'Historical prices'!D4245</x:f>
        <x:v>0.21420000000000003</x:v>
      </x:c>
      <x:c r="J4245" s="13" t="n">
        <x:f>D4245*I4245*H4245</x:f>
        <x:v>0.034861050000000005</x:v>
      </x:c>
      <x:c r="K4245" s="13" t="n">
        <x:f>E4245*I4245*H4245</x:f>
        <x:v>0.04565673000000001</x:v>
      </x:c>
      <x:c r="L4245" s="1" t="str">
        <x:f>TEXT(A4245,"mmm yyyy")</x:f>
        <x:v>Aug 2026</x:v>
      </x:c>
    </x:row>
    <x:row r="4246" ht="21" customHeight="1">
      <x:c r="A4246" s="10" t="n">
        <x:v>46236</x:v>
      </x:c>
      <x:c r="B4246" s="1" t="n">
        <x:v>23</x:v>
      </x:c>
      <x:c r="C4246" s="1" t="n">
        <x:v>6</x:v>
      </x:c>
      <x:c r="D4246" s="12" t="n">
        <x:v>0.204</x:v>
      </x:c>
      <x:c r="E4246" s="12" t="n">
        <x:v>0.215</x:v>
      </x:c>
      <x:c r="F4246" s="12" t="n">
        <x:v>0</x:v>
      </x:c>
      <x:c r="G4246" s="12" t="n">
        <x:v>0</x:v>
      </x:c>
      <x:c r="H4246" s="1" t="n">
        <x:f>'Historical prices'!E4246</x:f>
        <x:v>1.05</x:v>
      </x:c>
      <x:c r="I4246" s="6" t="n">
        <x:f>'Historical prices'!D4246</x:f>
        <x:v>0.21109999999999998</x:v>
      </x:c>
      <x:c r="J4246" s="13" t="n">
        <x:f>D4246*I4246*H4246</x:f>
        <x:v>0.04521762</x:v>
      </x:c>
      <x:c r="K4246" s="13" t="n">
        <x:f>E4246*I4246*H4246</x:f>
        <x:v>0.047655825</x:v>
      </x:c>
      <x:c r="L4246" s="1" t="str">
        <x:f>TEXT(A4246,"mmm yyyy")</x:f>
        <x:v>Aug 2026</x:v>
      </x:c>
    </x:row>
    <x:row r="4247" ht="21" customHeight="1">
      <x:c r="A4247" s="10" t="n">
        <x:v>46236</x:v>
      </x:c>
      <x:c r="B4247" s="1" t="n">
        <x:v>23.5</x:v>
      </x:c>
      <x:c r="C4247" s="1" t="n">
        <x:v>6</x:v>
      </x:c>
      <x:c r="D4247" s="12" t="n">
        <x:v>0.2175</x:v>
      </x:c>
      <x:c r="E4247" s="12" t="n">
        <x:v>0.2275</x:v>
      </x:c>
      <x:c r="F4247" s="12" t="n">
        <x:v>0</x:v>
      </x:c>
      <x:c r="G4247" s="12" t="n">
        <x:v>0</x:v>
      </x:c>
      <x:c r="H4247" s="1" t="n">
        <x:f>'Historical prices'!E4247</x:f>
        <x:v>1.05</x:v>
      </x:c>
      <x:c r="I4247" s="6" t="n">
        <x:f>'Historical prices'!D4247</x:f>
        <x:v>0.1909</x:v>
      </x:c>
      <x:c r="J4247" s="13" t="n">
        <x:f>D4247*I4247*H4247</x:f>
        <x:v>0.0435967875</x:v>
      </x:c>
      <x:c r="K4247" s="13" t="n">
        <x:f>E4247*I4247*H4247</x:f>
        <x:v>0.045601237499999996</x:v>
      </x:c>
      <x:c r="L4247" s="1" t="str">
        <x:f>TEXT(A4247,"mmm yyyy")</x:f>
        <x:v>Aug 2026</x:v>
      </x:c>
    </x:row>
    <x:row r="4248" ht="21" customHeight="1">
      <x:c r="A4248" s="10" t="n">
        <x:v>46237</x:v>
      </x:c>
      <x:c r="B4248" s="1" t="n">
        <x:v>0</x:v>
      </x:c>
      <x:c r="C4248" s="1" t="n">
        <x:v>6</x:v>
      </x:c>
      <x:c r="D4248" s="12" t="n">
        <x:v>0.1285</x:v>
      </x:c>
      <x:c r="E4248" s="12" t="n">
        <x:v>0.13849999999999998</x:v>
      </x:c>
      <x:c r="F4248" s="12" t="n">
        <x:v>0</x:v>
      </x:c>
      <x:c r="G4248" s="12" t="n">
        <x:v>0</x:v>
      </x:c>
      <x:c r="H4248" s="1" t="n">
        <x:f>'Historical prices'!E4248</x:f>
        <x:v>1.05</x:v>
      </x:c>
      <x:c r="I4248" s="6" t="n">
        <x:f>'Historical prices'!D4248</x:f>
        <x:v>0.2138</x:v>
      </x:c>
      <x:c r="J4248" s="13" t="n">
        <x:f>D4248*I4248*H4248</x:f>
        <x:v>0.028846965</x:v>
      </x:c>
      <x:c r="K4248" s="13" t="n">
        <x:f>E4248*I4248*H4248</x:f>
        <x:v>0.031091864999999996</x:v>
      </x:c>
      <x:c r="L4248" s="1" t="str">
        <x:f>TEXT(A4248,"mmm yyyy")</x:f>
        <x:v>Aug 2026</x:v>
      </x:c>
    </x:row>
    <x:row r="4249" ht="21" customHeight="1">
      <x:c r="A4249" s="10" t="n">
        <x:v>46237</x:v>
      </x:c>
      <x:c r="B4249" s="1" t="n">
        <x:v>0.5</x:v>
      </x:c>
      <x:c r="C4249" s="1" t="n">
        <x:v>6</x:v>
      </x:c>
      <x:c r="D4249" s="12" t="n">
        <x:v>0.18125000000000002</x:v>
      </x:c>
      <x:c r="E4249" s="12" t="n">
        <x:v>0.19125</x:v>
      </x:c>
      <x:c r="F4249" s="12" t="n">
        <x:v>0</x:v>
      </x:c>
      <x:c r="G4249" s="12" t="n">
        <x:v>0</x:v>
      </x:c>
      <x:c r="H4249" s="1" t="n">
        <x:f>'Historical prices'!E4249</x:f>
        <x:v>1.05</x:v>
      </x:c>
      <x:c r="I4249" s="6" t="n">
        <x:f>'Historical prices'!D4249</x:f>
        <x:v>0.2102</x:v>
      </x:c>
      <x:c r="J4249" s="13" t="n">
        <x:f>D4249*I4249*H4249</x:f>
        <x:v>0.04000368750000001</x:v>
      </x:c>
      <x:c r="K4249" s="13" t="n">
        <x:f>E4249*I4249*H4249</x:f>
        <x:v>0.0422107875</x:v>
      </x:c>
      <x:c r="L4249" s="1" t="str">
        <x:f>TEXT(A4249,"mmm yyyy")</x:f>
        <x:v>Aug 2026</x:v>
      </x:c>
    </x:row>
    <x:row r="4250" ht="21" customHeight="1">
      <x:c r="A4250" s="10" t="n">
        <x:v>46237</x:v>
      </x:c>
      <x:c r="B4250" s="1" t="n">
        <x:v>1</x:v>
      </x:c>
      <x:c r="C4250" s="1" t="n">
        <x:v>6</x:v>
      </x:c>
      <x:c r="D4250" s="12" t="n">
        <x:v>0.177</x:v>
      </x:c>
      <x:c r="E4250" s="12" t="n">
        <x:v>0.187</x:v>
      </x:c>
      <x:c r="F4250" s="12" t="n">
        <x:v>0</x:v>
      </x:c>
      <x:c r="G4250" s="12" t="n">
        <x:v>0</x:v>
      </x:c>
      <x:c r="H4250" s="1" t="n">
        <x:f>'Historical prices'!E4250</x:f>
        <x:v>1.05</x:v>
      </x:c>
      <x:c r="I4250" s="6" t="n">
        <x:f>'Historical prices'!D4250</x:f>
        <x:v>0.19760000000000003</x:v>
      </x:c>
      <x:c r="J4250" s="13" t="n">
        <x:f>D4250*I4250*H4250</x:f>
        <x:v>0.03672396000000001</x:v>
      </x:c>
      <x:c r="K4250" s="13" t="n">
        <x:f>E4250*I4250*H4250</x:f>
        <x:v>0.03879876000000001</x:v>
      </x:c>
      <x:c r="L4250" s="1" t="str">
        <x:f>TEXT(A4250,"mmm yyyy")</x:f>
        <x:v>Aug 2026</x:v>
      </x:c>
    </x:row>
    <x:row r="4251" ht="21" customHeight="1">
      <x:c r="A4251" s="10" t="n">
        <x:v>46237</x:v>
      </x:c>
      <x:c r="B4251" s="1" t="n">
        <x:v>1.5</x:v>
      </x:c>
      <x:c r="C4251" s="1" t="n">
        <x:v>6</x:v>
      </x:c>
      <x:c r="D4251" s="12" t="n">
        <x:v>0.2525</x:v>
      </x:c>
      <x:c r="E4251" s="12" t="n">
        <x:v>0.2635</x:v>
      </x:c>
      <x:c r="F4251" s="12" t="n">
        <x:v>0</x:v>
      </x:c>
      <x:c r="G4251" s="12" t="n">
        <x:v>0</x:v>
      </x:c>
      <x:c r="H4251" s="1" t="n">
        <x:f>'Historical prices'!E4251</x:f>
        <x:v>1.05</x:v>
      </x:c>
      <x:c r="I4251" s="6" t="n">
        <x:f>'Historical prices'!D4251</x:f>
        <x:v>0.2046</x:v>
      </x:c>
      <x:c r="J4251" s="13" t="n">
        <x:f>D4251*I4251*H4251</x:f>
        <x:v>0.054244575</x:v>
      </x:c>
      <x:c r="K4251" s="13" t="n">
        <x:f>E4251*I4251*H4251</x:f>
        <x:v>0.05660770500000001</x:v>
      </x:c>
      <x:c r="L4251" s="1" t="str">
        <x:f>TEXT(A4251,"mmm yyyy")</x:f>
        <x:v>Aug 2026</x:v>
      </x:c>
    </x:row>
    <x:row r="4252" ht="21" customHeight="1">
      <x:c r="A4252" s="10" t="n">
        <x:v>46237</x:v>
      </x:c>
      <x:c r="B4252" s="1" t="n">
        <x:v>2</x:v>
      </x:c>
      <x:c r="C4252" s="1" t="n">
        <x:v>6</x:v>
      </x:c>
      <x:c r="D4252" s="12" t="n">
        <x:v>0.164</x:v>
      </x:c>
      <x:c r="E4252" s="12" t="n">
        <x:v>0.175</x:v>
      </x:c>
      <x:c r="F4252" s="12" t="n">
        <x:v>0</x:v>
      </x:c>
      <x:c r="G4252" s="12" t="n">
        <x:v>0</x:v>
      </x:c>
      <x:c r="H4252" s="1" t="n">
        <x:f>'Historical prices'!E4252</x:f>
        <x:v>1.05</x:v>
      </x:c>
      <x:c r="I4252" s="6" t="n">
        <x:f>'Historical prices'!D4252</x:f>
        <x:v>0.213</x:v>
      </x:c>
      <x:c r="J4252" s="13" t="n">
        <x:f>D4252*I4252*H4252</x:f>
        <x:v>0.0366786</x:v>
      </x:c>
      <x:c r="K4252" s="13" t="n">
        <x:f>E4252*I4252*H4252</x:f>
        <x:v>0.03913875</x:v>
      </x:c>
      <x:c r="L4252" s="1" t="str">
        <x:f>TEXT(A4252,"mmm yyyy")</x:f>
        <x:v>Aug 2026</x:v>
      </x:c>
    </x:row>
    <x:row r="4253" ht="21" customHeight="1">
      <x:c r="A4253" s="10" t="n">
        <x:v>46237</x:v>
      </x:c>
      <x:c r="B4253" s="1" t="n">
        <x:v>2.5</x:v>
      </x:c>
      <x:c r="C4253" s="1" t="n">
        <x:v>6</x:v>
      </x:c>
      <x:c r="D4253" s="12" t="n">
        <x:v>0.176</x:v>
      </x:c>
      <x:c r="E4253" s="12" t="n">
        <x:v>0.185</x:v>
      </x:c>
      <x:c r="F4253" s="12" t="n">
        <x:v>0</x:v>
      </x:c>
      <x:c r="G4253" s="12" t="n">
        <x:v>0</x:v>
      </x:c>
      <x:c r="H4253" s="1" t="n">
        <x:f>'Historical prices'!E4253</x:f>
        <x:v>1.05</x:v>
      </x:c>
      <x:c r="I4253" s="6" t="n">
        <x:f>'Historical prices'!D4253</x:f>
        <x:v>0.2102</x:v>
      </x:c>
      <x:c r="J4253" s="13" t="n">
        <x:f>D4253*I4253*H4253</x:f>
        <x:v>0.03884496</x:v>
      </x:c>
      <x:c r="K4253" s="13" t="n">
        <x:f>E4253*I4253*H4253</x:f>
        <x:v>0.04083135</x:v>
      </x:c>
      <x:c r="L4253" s="1" t="str">
        <x:f>TEXT(A4253,"mmm yyyy")</x:f>
        <x:v>Aug 2026</x:v>
      </x:c>
    </x:row>
    <x:row r="4254" ht="21" customHeight="1">
      <x:c r="A4254" s="10" t="n">
        <x:v>46237</x:v>
      </x:c>
      <x:c r="B4254" s="1" t="n">
        <x:v>3</x:v>
      </x:c>
      <x:c r="C4254" s="1" t="n">
        <x:v>6</x:v>
      </x:c>
      <x:c r="D4254" s="12" t="n">
        <x:v>0.157</x:v>
      </x:c>
      <x:c r="E4254" s="12" t="n">
        <x:v>0.16799999999999998</x:v>
      </x:c>
      <x:c r="F4254" s="12" t="n">
        <x:v>0</x:v>
      </x:c>
      <x:c r="G4254" s="12" t="n">
        <x:v>0</x:v>
      </x:c>
      <x:c r="H4254" s="1" t="n">
        <x:f>'Historical prices'!E4254</x:f>
        <x:v>1.05</x:v>
      </x:c>
      <x:c r="I4254" s="6" t="n">
        <x:f>'Historical prices'!D4254</x:f>
        <x:v>0.21559999999999999</x:v>
      </x:c>
      <x:c r="J4254" s="13" t="n">
        <x:f>D4254*I4254*H4254</x:f>
        <x:v>0.035541659999999996</x:v>
      </x:c>
      <x:c r="K4254" s="13" t="n">
        <x:f>E4254*I4254*H4254</x:f>
        <x:v>0.03803183999999999</x:v>
      </x:c>
      <x:c r="L4254" s="1" t="str">
        <x:f>TEXT(A4254,"mmm yyyy")</x:f>
        <x:v>Aug 2026</x:v>
      </x:c>
    </x:row>
    <x:row r="4255" ht="21" customHeight="1">
      <x:c r="A4255" s="10" t="n">
        <x:v>46237</x:v>
      </x:c>
      <x:c r="B4255" s="1" t="n">
        <x:v>3.5</x:v>
      </x:c>
      <x:c r="C4255" s="1" t="n">
        <x:v>6</x:v>
      </x:c>
      <x:c r="D4255" s="12" t="n">
        <x:v>0.2095</x:v>
      </x:c>
      <x:c r="E4255" s="12" t="n">
        <x:v>0.2205</x:v>
      </x:c>
      <x:c r="F4255" s="12" t="n">
        <x:v>0</x:v>
      </x:c>
      <x:c r="G4255" s="12" t="n">
        <x:v>0</x:v>
      </x:c>
      <x:c r="H4255" s="1" t="n">
        <x:f>'Historical prices'!E4255</x:f>
        <x:v>1.05</x:v>
      </x:c>
      <x:c r="I4255" s="6" t="n">
        <x:f>'Historical prices'!D4255</x:f>
        <x:v>0.2155</x:v>
      </x:c>
      <x:c r="J4255" s="13" t="n">
        <x:f>D4255*I4255*H4255</x:f>
        <x:v>0.0474046125</x:v>
      </x:c>
      <x:c r="K4255" s="13" t="n">
        <x:f>E4255*I4255*H4255</x:f>
        <x:v>0.0498936375</x:v>
      </x:c>
      <x:c r="L4255" s="1" t="str">
        <x:f>TEXT(A4255,"mmm yyyy")</x:f>
        <x:v>Aug 2026</x:v>
      </x:c>
    </x:row>
    <x:row r="4256" ht="21" customHeight="1">
      <x:c r="A4256" s="10" t="n">
        <x:v>46237</x:v>
      </x:c>
      <x:c r="B4256" s="1" t="n">
        <x:v>4</x:v>
      </x:c>
      <x:c r="C4256" s="1" t="n">
        <x:v>6</x:v>
      </x:c>
      <x:c r="D4256" s="12" t="n">
        <x:v>0.0315</x:v>
      </x:c>
      <x:c r="E4256" s="12" t="n">
        <x:v>0.21058333333333332</x:v>
      </x:c>
      <x:c r="F4256" s="12" t="n">
        <x:v>0.17666666666666667</x:v>
      </x:c>
      <x:c r="G4256" s="12" t="n">
        <x:v>0</x:v>
      </x:c>
      <x:c r="H4256" s="1" t="n">
        <x:f>'Historical prices'!E4256</x:f>
        <x:v>1.05</x:v>
      </x:c>
      <x:c r="I4256" s="6" t="n">
        <x:f>'Historical prices'!D4256</x:f>
        <x:v>0.2339</x:v>
      </x:c>
      <x:c r="J4256" s="13" t="n">
        <x:f>D4256*I4256*H4256</x:f>
        <x:v>0.0077362425</x:v>
      </x:c>
      <x:c r="K4256" s="13" t="n">
        <x:f>E4256*I4256*H4256</x:f>
        <x:v>0.05171821375</x:v>
      </x:c>
      <x:c r="L4256" s="1" t="str">
        <x:f>TEXT(A4256,"mmm yyyy")</x:f>
        <x:v>Aug 2026</x:v>
      </x:c>
    </x:row>
    <x:row r="4257" ht="21" customHeight="1">
      <x:c r="A4257" s="10" t="n">
        <x:v>46237</x:v>
      </x:c>
      <x:c r="B4257" s="1" t="n">
        <x:v>4.5</x:v>
      </x:c>
      <x:c r="C4257" s="1" t="n">
        <x:v>6</x:v>
      </x:c>
      <x:c r="D4257" s="12" t="n">
        <x:v>0.11599999999999999</x:v>
      </x:c>
      <x:c r="E4257" s="12" t="n">
        <x:v>0.16191666666666665</x:v>
      </x:c>
      <x:c r="F4257" s="12" t="n">
        <x:v>0.035916666666666666</x:v>
      </x:c>
      <x:c r="G4257" s="12" t="n">
        <x:v>0</x:v>
      </x:c>
      <x:c r="H4257" s="1" t="n">
        <x:f>'Historical prices'!E4257</x:f>
        <x:v>1.05</x:v>
      </x:c>
      <x:c r="I4257" s="6" t="n">
        <x:f>'Historical prices'!D4257</x:f>
        <x:v>0.22640000000000002</x:v>
      </x:c>
      <x:c r="J4257" s="13" t="n">
        <x:f>D4257*I4257*H4257</x:f>
        <x:v>0.027575520000000003</x:v>
      </x:c>
      <x:c r="K4257" s="13" t="n">
        <x:f>E4257*I4257*H4257</x:f>
        <x:v>0.03849083</x:v>
      </x:c>
      <x:c r="L4257" s="1" t="str">
        <x:f>TEXT(A4257,"mmm yyyy")</x:f>
        <x:v>Aug 2026</x:v>
      </x:c>
    </x:row>
    <x:row r="4258" ht="21" customHeight="1">
      <x:c r="A4258" s="10" t="n">
        <x:v>46237</x:v>
      </x:c>
      <x:c r="B4258" s="1" t="n">
        <x:v>5</x:v>
      </x:c>
      <x:c r="C4258" s="1" t="n">
        <x:v>6</x:v>
      </x:c>
      <x:c r="D4258" s="12" t="n">
        <x:v>0.0235</x:v>
      </x:c>
      <x:c r="E4258" s="12" t="n">
        <x:v>0.2441666666666667</x:v>
      </x:c>
      <x:c r="F4258" s="12" t="n">
        <x:v>0.21966666666666668</x:v>
      </x:c>
      <x:c r="G4258" s="12" t="n">
        <x:v>0</x:v>
      </x:c>
      <x:c r="H4258" s="1" t="n">
        <x:f>'Historical prices'!E4258</x:f>
        <x:v>1.05</x:v>
      </x:c>
      <x:c r="I4258" s="6" t="n">
        <x:f>'Historical prices'!D4258</x:f>
        <x:v>0.2482</x:v>
      </x:c>
      <x:c r="J4258" s="13" t="n">
        <x:f>D4258*I4258*H4258</x:f>
        <x:v>0.006124335</x:v>
      </x:c>
      <x:c r="K4258" s="13" t="n">
        <x:f>E4258*I4258*H4258</x:f>
        <x:v>0.063632275</x:v>
      </x:c>
      <x:c r="L4258" s="1" t="str">
        <x:f>TEXT(A4258,"mmm yyyy")</x:f>
        <x:v>Aug 2026</x:v>
      </x:c>
    </x:row>
    <x:row r="4259" ht="21" customHeight="1">
      <x:c r="A4259" s="10" t="n">
        <x:v>46237</x:v>
      </x:c>
      <x:c r="B4259" s="1" t="n">
        <x:v>5.5</x:v>
      </x:c>
      <x:c r="C4259" s="1" t="n">
        <x:v>6</x:v>
      </x:c>
      <x:c r="D4259" s="12" t="n">
        <x:v>0</x:v>
      </x:c>
      <x:c r="E4259" s="12" t="n">
        <x:v>0.259</x:v>
      </x:c>
      <x:c r="F4259" s="12" t="n">
        <x:v>0.25849999999999995</x:v>
      </x:c>
      <x:c r="G4259" s="12" t="n">
        <x:v>0</x:v>
      </x:c>
      <x:c r="H4259" s="1" t="n">
        <x:f>'Historical prices'!E4259</x:f>
        <x:v>1.05</x:v>
      </x:c>
      <x:c r="I4259" s="6" t="n">
        <x:f>'Historical prices'!D4259</x:f>
        <x:v>0.2581</x:v>
      </x:c>
      <x:c r="J4259" s="13" t="n">
        <x:f>D4259*I4259*H4259</x:f>
        <x:v>0</x:v>
      </x:c>
      <x:c r="K4259" s="13" t="n">
        <x:f>E4259*I4259*H4259</x:f>
        <x:v>0.070190295</x:v>
      </x:c>
      <x:c r="L4259" s="1" t="str">
        <x:f>TEXT(A4259,"mmm yyyy")</x:f>
        <x:v>Aug 2026</x:v>
      </x:c>
    </x:row>
    <x:row r="4260" ht="21" customHeight="1">
      <x:c r="A4260" s="10" t="n">
        <x:v>46237</x:v>
      </x:c>
      <x:c r="B4260" s="1" t="n">
        <x:v>6</x:v>
      </x:c>
      <x:c r="C4260" s="1" t="n">
        <x:v>6</x:v>
      </x:c>
      <x:c r="D4260" s="12" t="n">
        <x:v>0</x:v>
      </x:c>
      <x:c r="E4260" s="12" t="n">
        <x:v>0.26166666666666666</x:v>
      </x:c>
      <x:c r="F4260" s="12" t="n">
        <x:v>0.26158333333333333</x:v>
      </x:c>
      <x:c r="G4260" s="12" t="n">
        <x:v>0</x:v>
      </x:c>
      <x:c r="H4260" s="1" t="n">
        <x:f>'Historical prices'!E4260</x:f>
        <x:v>1.05</x:v>
      </x:c>
      <x:c r="I4260" s="6" t="n">
        <x:f>'Historical prices'!D4260</x:f>
        <x:v>0.2505</x:v>
      </x:c>
      <x:c r="J4260" s="13" t="n">
        <x:f>D4260*I4260*H4260</x:f>
        <x:v>0</x:v>
      </x:c>
      <x:c r="K4260" s="13" t="n">
        <x:f>E4260*I4260*H4260</x:f>
        <x:v>0.068824875</x:v>
      </x:c>
      <x:c r="L4260" s="1" t="str">
        <x:f>TEXT(A4260,"mmm yyyy")</x:f>
        <x:v>Aug 2026</x:v>
      </x:c>
    </x:row>
    <x:row r="4261" ht="21" customHeight="1">
      <x:c r="A4261" s="10" t="n">
        <x:v>46237</x:v>
      </x:c>
      <x:c r="B4261" s="1" t="n">
        <x:v>6.5</x:v>
      </x:c>
      <x:c r="C4261" s="1" t="n">
        <x:v>6</x:v>
      </x:c>
      <x:c r="D4261" s="12" t="n">
        <x:v>0</x:v>
      </x:c>
      <x:c r="E4261" s="12" t="n">
        <x:v>0.2389166666666667</x:v>
      </x:c>
      <x:c r="F4261" s="12" t="n">
        <x:v>0.23883333333333334</x:v>
      </x:c>
      <x:c r="G4261" s="12" t="n">
        <x:v>0</x:v>
      </x:c>
      <x:c r="H4261" s="1" t="n">
        <x:f>'Historical prices'!E4261</x:f>
        <x:v>1.05</x:v>
      </x:c>
      <x:c r="I4261" s="6" t="n">
        <x:f>'Historical prices'!D4261</x:f>
        <x:v>0.25980000000000003</x:v>
      </x:c>
      <x:c r="J4261" s="13" t="n">
        <x:f>D4261*I4261*H4261</x:f>
        <x:v>0</x:v>
      </x:c>
      <x:c r="K4261" s="13" t="n">
        <x:f>E4261*I4261*H4261</x:f>
        <x:v>0.06517407750000002</x:v>
      </x:c>
      <x:c r="L4261" s="1" t="str">
        <x:f>TEXT(A4261,"mmm yyyy")</x:f>
        <x:v>Aug 2026</x:v>
      </x:c>
    </x:row>
    <x:row r="4262" ht="21" customHeight="1">
      <x:c r="A4262" s="10" t="n">
        <x:v>46237</x:v>
      </x:c>
      <x:c r="B4262" s="1" t="n">
        <x:v>7</x:v>
      </x:c>
      <x:c r="C4262" s="1" t="n">
        <x:v>6</x:v>
      </x:c>
      <x:c r="D4262" s="12" t="n">
        <x:v>0</x:v>
      </x:c>
      <x:c r="E4262" s="12" t="n">
        <x:v>0.247</x:v>
      </x:c>
      <x:c r="F4262" s="12" t="n">
        <x:v>0.24641666666666667</x:v>
      </x:c>
      <x:c r="G4262" s="12" t="n">
        <x:v>0</x:v>
      </x:c>
      <x:c r="H4262" s="1" t="n">
        <x:f>'Historical prices'!E4262</x:f>
        <x:v>1.05</x:v>
      </x:c>
      <x:c r="I4262" s="6" t="n">
        <x:f>'Historical prices'!D4262</x:f>
        <x:v>0.2501</x:v>
      </x:c>
      <x:c r="J4262" s="13" t="n">
        <x:f>D4262*I4262*H4262</x:f>
        <x:v>0</x:v>
      </x:c>
      <x:c r="K4262" s="13" t="n">
        <x:f>E4262*I4262*H4262</x:f>
        <x:v>0.064863435</x:v>
      </x:c>
      <x:c r="L4262" s="1" t="str">
        <x:f>TEXT(A4262,"mmm yyyy")</x:f>
        <x:v>Aug 2026</x:v>
      </x:c>
    </x:row>
    <x:row r="4263" ht="21" customHeight="1">
      <x:c r="A4263" s="10" t="n">
        <x:v>46237</x:v>
      </x:c>
      <x:c r="B4263" s="1" t="n">
        <x:v>7.5</x:v>
      </x:c>
      <x:c r="C4263" s="1" t="n">
        <x:v>6</x:v>
      </x:c>
      <x:c r="D4263" s="12" t="n">
        <x:v>0</x:v>
      </x:c>
      <x:c r="E4263" s="12" t="n">
        <x:v>0.2816666666666667</x:v>
      </x:c>
      <x:c r="F4263" s="12" t="n">
        <x:v>0.28141666666666665</x:v>
      </x:c>
      <x:c r="G4263" s="12" t="n">
        <x:v>0</x:v>
      </x:c>
      <x:c r="H4263" s="1" t="n">
        <x:f>'Historical prices'!E4263</x:f>
        <x:v>1.05</x:v>
      </x:c>
      <x:c r="I4263" s="6" t="n">
        <x:f>'Historical prices'!D4263</x:f>
        <x:v>0.2585</x:v>
      </x:c>
      <x:c r="J4263" s="13" t="n">
        <x:f>D4263*I4263*H4263</x:f>
        <x:v>0</x:v>
      </x:c>
      <x:c r="K4263" s="13" t="n">
        <x:f>E4263*I4263*H4263</x:f>
        <x:v>0.076451375</x:v>
      </x:c>
      <x:c r="L4263" s="1" t="str">
        <x:f>TEXT(A4263,"mmm yyyy")</x:f>
        <x:v>Aug 2026</x:v>
      </x:c>
    </x:row>
    <x:row r="4264" ht="21" customHeight="1">
      <x:c r="A4264" s="10" t="n">
        <x:v>46237</x:v>
      </x:c>
      <x:c r="B4264" s="1" t="n">
        <x:v>8</x:v>
      </x:c>
      <x:c r="C4264" s="1" t="n">
        <x:v>6</x:v>
      </x:c>
      <x:c r="D4264" s="12" t="n">
        <x:v>0.17825000000000002</x:v>
      </x:c>
      <x:c r="E4264" s="12" t="n">
        <x:v>0.22625</x:v>
      </x:c>
      <x:c r="F4264" s="12" t="n">
        <x:v>0.038</x:v>
      </x:c>
      <x:c r="G4264" s="12" t="n">
        <x:v>0</x:v>
      </x:c>
      <x:c r="H4264" s="1" t="n">
        <x:f>'Historical prices'!E4264</x:f>
        <x:v>1.05</x:v>
      </x:c>
      <x:c r="I4264" s="6" t="n">
        <x:f>'Historical prices'!D4264</x:f>
        <x:v>0.2144</x:v>
      </x:c>
      <x:c r="J4264" s="13" t="n">
        <x:f>D4264*I4264*H4264</x:f>
        <x:v>0.040127640000000006</x:v>
      </x:c>
      <x:c r="K4264" s="13" t="n">
        <x:f>E4264*I4264*H4264</x:f>
        <x:v>0.050933400000000004</x:v>
      </x:c>
      <x:c r="L4264" s="1" t="str">
        <x:f>TEXT(A4264,"mmm yyyy")</x:f>
        <x:v>Aug 2026</x:v>
      </x:c>
    </x:row>
    <x:row r="4265" ht="21" customHeight="1">
      <x:c r="A4265" s="10" t="n">
        <x:v>46237</x:v>
      </x:c>
      <x:c r="B4265" s="1" t="n">
        <x:v>8.5</x:v>
      </x:c>
      <x:c r="C4265" s="1" t="n">
        <x:v>6</x:v>
      </x:c>
      <x:c r="D4265" s="12" t="n">
        <x:v>0.03325</x:v>
      </x:c>
      <x:c r="E4265" s="12" t="n">
        <x:v>0.26225</x:v>
      </x:c>
      <x:c r="F4265" s="12" t="n">
        <x:v>0.22775</x:v>
      </x:c>
      <x:c r="G4265" s="12" t="n">
        <x:v>0</x:v>
      </x:c>
      <x:c r="H4265" s="1" t="n">
        <x:f>'Historical prices'!E4265</x:f>
        <x:v>1.05</x:v>
      </x:c>
      <x:c r="I4265" s="6" t="n">
        <x:f>'Historical prices'!D4265</x:f>
        <x:v>0.2316</x:v>
      </x:c>
      <x:c r="J4265" s="13" t="n">
        <x:f>D4265*I4265*H4265</x:f>
        <x:v>0.008085735</x:v>
      </x:c>
      <x:c r="K4265" s="13" t="n">
        <x:f>E4265*I4265*H4265</x:f>
        <x:v>0.063773955</x:v>
      </x:c>
      <x:c r="L4265" s="1" t="str">
        <x:f>TEXT(A4265,"mmm yyyy")</x:f>
        <x:v>Aug 2026</x:v>
      </x:c>
    </x:row>
    <x:row r="4266" ht="21" customHeight="1">
      <x:c r="A4266" s="10" t="n">
        <x:v>46237</x:v>
      </x:c>
      <x:c r="B4266" s="1" t="n">
        <x:v>9</x:v>
      </x:c>
      <x:c r="C4266" s="1" t="n">
        <x:v>6</x:v>
      </x:c>
      <x:c r="D4266" s="12" t="n">
        <x:v>0</x:v>
      </x:c>
      <x:c r="E4266" s="12" t="n">
        <x:v>0.23791666666666667</x:v>
      </x:c>
      <x:c r="F4266" s="12" t="n">
        <x:v>0.2375833333333333</x:v>
      </x:c>
      <x:c r="G4266" s="12" t="n">
        <x:v>0</x:v>
      </x:c>
      <x:c r="H4266" s="1" t="n">
        <x:f>'Historical prices'!E4266</x:f>
        <x:v>1.05</x:v>
      </x:c>
      <x:c r="I4266" s="6" t="n">
        <x:f>'Historical prices'!D4266</x:f>
        <x:v>0.23879999999999998</x:v>
      </x:c>
      <x:c r="J4266" s="13" t="n">
        <x:f>D4266*I4266*H4266</x:f>
        <x:v>0</x:v>
      </x:c>
      <x:c r="K4266" s="13" t="n">
        <x:f>E4266*I4266*H4266</x:f>
        <x:v>0.059655225</x:v>
      </x:c>
      <x:c r="L4266" s="1" t="str">
        <x:f>TEXT(A4266,"mmm yyyy")</x:f>
        <x:v>Aug 2026</x:v>
      </x:c>
    </x:row>
    <x:row r="4267" ht="21" customHeight="1">
      <x:c r="A4267" s="10" t="n">
        <x:v>46237</x:v>
      </x:c>
      <x:c r="B4267" s="1" t="n">
        <x:v>9.5</x:v>
      </x:c>
      <x:c r="C4267" s="1" t="n">
        <x:v>6</x:v>
      </x:c>
      <x:c r="D4267" s="12" t="n">
        <x:v>0</x:v>
      </x:c>
      <x:c r="E4267" s="12" t="n">
        <x:v>0.30599999999999994</x:v>
      </x:c>
      <x:c r="F4267" s="12" t="n">
        <x:v>0.3058333333333333</x:v>
      </x:c>
      <x:c r="G4267" s="12" t="n">
        <x:v>0</x:v>
      </x:c>
      <x:c r="H4267" s="1" t="n">
        <x:f>'Historical prices'!E4267</x:f>
        <x:v>1.05</x:v>
      </x:c>
      <x:c r="I4267" s="6" t="n">
        <x:f>'Historical prices'!D4267</x:f>
        <x:v>0.2303</x:v>
      </x:c>
      <x:c r="J4267" s="13" t="n">
        <x:f>D4267*I4267*H4267</x:f>
        <x:v>0</x:v>
      </x:c>
      <x:c r="K4267" s="13" t="n">
        <x:f>E4267*I4267*H4267</x:f>
        <x:v>0.07399539</x:v>
      </x:c>
      <x:c r="L4267" s="1" t="str">
        <x:f>TEXT(A4267,"mmm yyyy")</x:f>
        <x:v>Aug 2026</x:v>
      </x:c>
    </x:row>
    <x:row r="4268" ht="21" customHeight="1">
      <x:c r="A4268" s="10" t="n">
        <x:v>46237</x:v>
      </x:c>
      <x:c r="B4268" s="1" t="n">
        <x:v>10</x:v>
      </x:c>
      <x:c r="C4268" s="1" t="n">
        <x:v>6</x:v>
      </x:c>
      <x:c r="D4268" s="12" t="n">
        <x:v>0.142</x:v>
      </x:c>
      <x:c r="E4268" s="12" t="n">
        <x:v>0.19741666666666666</x:v>
      </x:c>
      <x:c r="F4268" s="12" t="n">
        <x:v>0.046</x:v>
      </x:c>
      <x:c r="G4268" s="12" t="n">
        <x:v>0</x:v>
      </x:c>
      <x:c r="H4268" s="1" t="n">
        <x:f>'Historical prices'!E4268</x:f>
        <x:v>1.05</x:v>
      </x:c>
      <x:c r="I4268" s="6" t="n">
        <x:f>'Historical prices'!D4268</x:f>
        <x:v>0.1913</x:v>
      </x:c>
      <x:c r="J4268" s="13" t="n">
        <x:f>D4268*I4268*H4268</x:f>
        <x:v>0.02852283</x:v>
      </x:c>
      <x:c r="K4268" s="13" t="n">
        <x:f>E4268*I4268*H4268</x:f>
        <x:v>0.03965409875</x:v>
      </x:c>
      <x:c r="L4268" s="1" t="str">
        <x:f>TEXT(A4268,"mmm yyyy")</x:f>
        <x:v>Aug 2026</x:v>
      </x:c>
    </x:row>
    <x:row r="4269" ht="21" customHeight="1">
      <x:c r="A4269" s="10" t="n">
        <x:v>46237</x:v>
      </x:c>
      <x:c r="B4269" s="1" t="n">
        <x:v>10.5</x:v>
      </x:c>
      <x:c r="C4269" s="1" t="n">
        <x:v>6</x:v>
      </x:c>
      <x:c r="D4269" s="12" t="n">
        <x:v>0.1415</x:v>
      </x:c>
      <x:c r="E4269" s="12" t="n">
        <x:v>0.1525</x:v>
      </x:c>
      <x:c r="F4269" s="12" t="n">
        <x:v>0</x:v>
      </x:c>
      <x:c r="G4269" s="12" t="n">
        <x:v>0</x:v>
      </x:c>
      <x:c r="H4269" s="1" t="n">
        <x:f>'Historical prices'!E4269</x:f>
        <x:v>1.05</x:v>
      </x:c>
      <x:c r="I4269" s="6" t="n">
        <x:f>'Historical prices'!D4269</x:f>
        <x:v>0.1837</x:v>
      </x:c>
      <x:c r="J4269" s="13" t="n">
        <x:f>D4269*I4269*H4269</x:f>
        <x:v>0.0272932275</x:v>
      </x:c>
      <x:c r="K4269" s="13" t="n">
        <x:f>E4269*I4269*H4269</x:f>
        <x:v>0.029414962500000003</x:v>
      </x:c>
      <x:c r="L4269" s="1" t="str">
        <x:f>TEXT(A4269,"mmm yyyy")</x:f>
        <x:v>Aug 2026</x:v>
      </x:c>
    </x:row>
    <x:row r="4270" ht="21" customHeight="1">
      <x:c r="A4270" s="10" t="n">
        <x:v>46237</x:v>
      </x:c>
      <x:c r="B4270" s="1" t="n">
        <x:v>11</x:v>
      </x:c>
      <x:c r="C4270" s="1" t="n">
        <x:v>6</x:v>
      </x:c>
      <x:c r="D4270" s="12" t="n">
        <x:v>0.28425</x:v>
      </x:c>
      <x:c r="E4270" s="12" t="n">
        <x:v>0.29525</x:v>
      </x:c>
      <x:c r="F4270" s="12" t="n">
        <x:v>0</x:v>
      </x:c>
      <x:c r="G4270" s="12" t="n">
        <x:v>0</x:v>
      </x:c>
      <x:c r="H4270" s="1" t="n">
        <x:f>'Historical prices'!E4270</x:f>
        <x:v>1.05</x:v>
      </x:c>
      <x:c r="I4270" s="6" t="n">
        <x:f>'Historical prices'!D4270</x:f>
        <x:v>0.1852</x:v>
      </x:c>
      <x:c r="J4270" s="13" t="n">
        <x:f>D4270*I4270*H4270</x:f>
        <x:v>0.055275255</x:v>
      </x:c>
      <x:c r="K4270" s="13" t="n">
        <x:f>E4270*I4270*H4270</x:f>
        <x:v>0.057414315</x:v>
      </x:c>
      <x:c r="L4270" s="1" t="str">
        <x:f>TEXT(A4270,"mmm yyyy")</x:f>
        <x:v>Aug 2026</x:v>
      </x:c>
    </x:row>
    <x:row r="4271" ht="21" customHeight="1">
      <x:c r="A4271" s="10" t="n">
        <x:v>46237</x:v>
      </x:c>
      <x:c r="B4271" s="1" t="n">
        <x:v>11.5</x:v>
      </x:c>
      <x:c r="C4271" s="1" t="n">
        <x:v>6</x:v>
      </x:c>
      <x:c r="D4271" s="12" t="n">
        <x:v>0.22825</x:v>
      </x:c>
      <x:c r="E4271" s="12" t="n">
        <x:v>0.23925</x:v>
      </x:c>
      <x:c r="F4271" s="12" t="n">
        <x:v>0</x:v>
      </x:c>
      <x:c r="G4271" s="12" t="n">
        <x:v>0</x:v>
      </x:c>
      <x:c r="H4271" s="1" t="n">
        <x:f>'Historical prices'!E4271</x:f>
        <x:v>1.05</x:v>
      </x:c>
      <x:c r="I4271" s="6" t="n">
        <x:f>'Historical prices'!D4271</x:f>
        <x:v>0.1852</x:v>
      </x:c>
      <x:c r="J4271" s="13" t="n">
        <x:f>D4271*I4271*H4271</x:f>
        <x:v>0.044385495000000004</x:v>
      </x:c>
      <x:c r="K4271" s="13" t="n">
        <x:f>E4271*I4271*H4271</x:f>
        <x:v>0.046524555</x:v>
      </x:c>
      <x:c r="L4271" s="1" t="str">
        <x:f>TEXT(A4271,"mmm yyyy")</x:f>
        <x:v>Aug 2026</x:v>
      </x:c>
    </x:row>
    <x:row r="4272" ht="21" customHeight="1">
      <x:c r="A4272" s="10" t="n">
        <x:v>46237</x:v>
      </x:c>
      <x:c r="B4272" s="1" t="n">
        <x:v>12</x:v>
      </x:c>
      <x:c r="C4272" s="1" t="n">
        <x:v>6</x:v>
      </x:c>
      <x:c r="D4272" s="12" t="n">
        <x:v>3.895</x:v>
      </x:c>
      <x:c r="E4272" s="12" t="n">
        <x:v>0.338</x:v>
      </x:c>
      <x:c r="F4272" s="12" t="n">
        <x:v>0</x:v>
      </x:c>
      <x:c r="G4272" s="12" t="n">
        <x:v>3.5599999999999996</x:v>
      </x:c>
      <x:c r="H4272" s="1" t="n">
        <x:f>'Historical prices'!E4272</x:f>
        <x:v>1.05</x:v>
      </x:c>
      <x:c r="I4272" s="6" t="n">
        <x:f>'Historical prices'!D4272</x:f>
        <x:v>0.18289999999999998</x:v>
      </x:c>
      <x:c r="J4272" s="13" t="n">
        <x:f>D4272*I4272*H4272</x:f>
        <x:v>0.748015275</x:v>
      </x:c>
      <x:c r="K4272" s="13" t="n">
        <x:f>E4272*I4272*H4272</x:f>
        <x:v>0.06491121</x:v>
      </x:c>
      <x:c r="L4272" s="1" t="str">
        <x:f>TEXT(A4272,"mmm yyyy")</x:f>
        <x:v>Aug 2026</x:v>
      </x:c>
    </x:row>
    <x:row r="4273" ht="21" customHeight="1">
      <x:c r="A4273" s="10" t="n">
        <x:v>46237</x:v>
      </x:c>
      <x:c r="B4273" s="1" t="n">
        <x:v>12.5</x:v>
      </x:c>
      <x:c r="C4273" s="1" t="n">
        <x:v>6</x:v>
      </x:c>
      <x:c r="D4273" s="12" t="n">
        <x:v>0.9099999999999999</x:v>
      </x:c>
      <x:c r="E4273" s="12" t="n">
        <x:v>0.21</x:v>
      </x:c>
      <x:c r="F4273" s="12" t="n">
        <x:v>0</x:v>
      </x:c>
      <x:c r="G4273" s="12" t="n">
        <x:v>0.703</x:v>
      </x:c>
      <x:c r="H4273" s="1" t="n">
        <x:f>'Historical prices'!E4273</x:f>
        <x:v>1.05</x:v>
      </x:c>
      <x:c r="I4273" s="6" t="n">
        <x:f>'Historical prices'!D4273</x:f>
        <x:v>0.185</x:v>
      </x:c>
      <x:c r="J4273" s="13" t="n">
        <x:f>D4273*I4273*H4273</x:f>
        <x:v>0.17676749999999997</x:v>
      </x:c>
      <x:c r="K4273" s="13" t="n">
        <x:f>E4273*I4273*H4273</x:f>
        <x:v>0.040792499999999995</x:v>
      </x:c>
      <x:c r="L4273" s="1" t="str">
        <x:f>TEXT(A4273,"mmm yyyy")</x:f>
        <x:v>Aug 2026</x:v>
      </x:c>
    </x:row>
    <x:row r="4274" ht="21" customHeight="1">
      <x:c r="A4274" s="10" t="n">
        <x:v>46237</x:v>
      </x:c>
      <x:c r="B4274" s="1" t="n">
        <x:v>13</x:v>
      </x:c>
      <x:c r="C4274" s="1" t="n">
        <x:v>6</x:v>
      </x:c>
      <x:c r="D4274" s="12" t="n">
        <x:v>0.21125000000000002</x:v>
      </x:c>
      <x:c r="E4274" s="12" t="n">
        <x:v>0.22225</x:v>
      </x:c>
      <x:c r="F4274" s="12" t="n">
        <x:v>0</x:v>
      </x:c>
      <x:c r="G4274" s="12" t="n">
        <x:v>0</x:v>
      </x:c>
      <x:c r="H4274" s="1" t="n">
        <x:f>'Historical prices'!E4274</x:f>
        <x:v>1.05</x:v>
      </x:c>
      <x:c r="I4274" s="6" t="n">
        <x:f>'Historical prices'!D4274</x:f>
        <x:v>0.1833</x:v>
      </x:c>
      <x:c r="J4274" s="13" t="n">
        <x:f>D4274*I4274*H4274</x:f>
        <x:v>0.04065823125</x:v>
      </x:c>
      <x:c r="K4274" s="13" t="n">
        <x:f>E4274*I4274*H4274</x:f>
        <x:v>0.042775346250000006</x:v>
      </x:c>
      <x:c r="L4274" s="1" t="str">
        <x:f>TEXT(A4274,"mmm yyyy")</x:f>
        <x:v>Aug 2026</x:v>
      </x:c>
    </x:row>
    <x:row r="4275" ht="21" customHeight="1">
      <x:c r="A4275" s="10" t="n">
        <x:v>46237</x:v>
      </x:c>
      <x:c r="B4275" s="1" t="n">
        <x:v>13.5</x:v>
      </x:c>
      <x:c r="C4275" s="1" t="n">
        <x:v>6</x:v>
      </x:c>
      <x:c r="D4275" s="12" t="n">
        <x:v>4.1245</x:v>
      </x:c>
      <x:c r="E4275" s="12" t="n">
        <x:v>0.39849999999999997</x:v>
      </x:c>
      <x:c r="F4275" s="12" t="n">
        <x:v>0</x:v>
      </x:c>
      <x:c r="G4275" s="12" t="n">
        <x:v>3.7270000000000003</x:v>
      </x:c>
      <x:c r="H4275" s="1" t="n">
        <x:f>'Historical prices'!E4275</x:f>
        <x:v>1.05</x:v>
      </x:c>
      <x:c r="I4275" s="6" t="n">
        <x:f>'Historical prices'!D4275</x:f>
        <x:v>0.1825</x:v>
      </x:c>
      <x:c r="J4275" s="13" t="n">
        <x:f>D4275*I4275*H4275</x:f>
        <x:v>0.7903573125000001</x:v>
      </x:c>
      <x:c r="K4275" s="13" t="n">
        <x:f>E4275*I4275*H4275</x:f>
        <x:v>0.0763625625</x:v>
      </x:c>
      <x:c r="L4275" s="1" t="str">
        <x:f>TEXT(A4275,"mmm yyyy")</x:f>
        <x:v>Aug 2026</x:v>
      </x:c>
    </x:row>
    <x:row r="4276" ht="21" customHeight="1">
      <x:c r="A4276" s="10" t="n">
        <x:v>46237</x:v>
      </x:c>
      <x:c r="B4276" s="1" t="n">
        <x:v>14</x:v>
      </x:c>
      <x:c r="C4276" s="1" t="n">
        <x:v>6</x:v>
      </x:c>
      <x:c r="D4276" s="12" t="n">
        <x:v>0.8410000000000001</x:v>
      </x:c>
      <x:c r="E4276" s="12" t="n">
        <x:v>0.193</x:v>
      </x:c>
      <x:c r="F4276" s="12" t="n">
        <x:v>0</x:v>
      </x:c>
      <x:c r="G4276" s="12" t="n">
        <x:v>0.652</x:v>
      </x:c>
      <x:c r="H4276" s="1" t="n">
        <x:f>'Historical prices'!E4276</x:f>
        <x:v>1.05</x:v>
      </x:c>
      <x:c r="I4276" s="6" t="n">
        <x:f>'Historical prices'!D4276</x:f>
        <x:v>0.18710000000000002</x:v>
      </x:c>
      <x:c r="J4276" s="13" t="n">
        <x:f>D4276*I4276*H4276</x:f>
        <x:v>0.16521865500000002</x:v>
      </x:c>
      <x:c r="K4276" s="13" t="n">
        <x:f>E4276*I4276*H4276</x:f>
        <x:v>0.037915815000000005</x:v>
      </x:c>
      <x:c r="L4276" s="1" t="str">
        <x:f>TEXT(A4276,"mmm yyyy")</x:f>
        <x:v>Aug 2026</x:v>
      </x:c>
    </x:row>
    <x:row r="4277" ht="21" customHeight="1">
      <x:c r="A4277" s="10" t="n">
        <x:v>46237</x:v>
      </x:c>
      <x:c r="B4277" s="1" t="n">
        <x:v>14.5</x:v>
      </x:c>
      <x:c r="C4277" s="1" t="n">
        <x:v>6</x:v>
      </x:c>
      <x:c r="D4277" s="12" t="n">
        <x:v>0.1795</x:v>
      </x:c>
      <x:c r="E4277" s="12" t="n">
        <x:v>0.1905</x:v>
      </x:c>
      <x:c r="F4277" s="12" t="n">
        <x:v>0</x:v>
      </x:c>
      <x:c r="G4277" s="12" t="n">
        <x:v>0</x:v>
      </x:c>
      <x:c r="H4277" s="1" t="n">
        <x:f>'Historical prices'!E4277</x:f>
        <x:v>1.05</x:v>
      </x:c>
      <x:c r="I4277" s="6" t="n">
        <x:f>'Historical prices'!D4277</x:f>
        <x:v>0.18710000000000002</x:v>
      </x:c>
      <x:c r="J4277" s="13" t="n">
        <x:f>D4277*I4277*H4277</x:f>
        <x:v>0.0352636725</x:v>
      </x:c>
      <x:c r="K4277" s="13" t="n">
        <x:f>E4277*I4277*H4277</x:f>
        <x:v>0.0374246775</x:v>
      </x:c>
      <x:c r="L4277" s="1" t="str">
        <x:f>TEXT(A4277,"mmm yyyy")</x:f>
        <x:v>Aug 2026</x:v>
      </x:c>
    </x:row>
    <x:row r="4278" ht="21" customHeight="1">
      <x:c r="A4278" s="10" t="n">
        <x:v>46237</x:v>
      </x:c>
      <x:c r="B4278" s="1" t="n">
        <x:v>15</x:v>
      </x:c>
      <x:c r="C4278" s="1" t="n">
        <x:v>6</x:v>
      </x:c>
      <x:c r="D4278" s="12" t="n">
        <x:v>0.1735</x:v>
      </x:c>
      <x:c r="E4278" s="12" t="n">
        <x:v>0.1845</x:v>
      </x:c>
      <x:c r="F4278" s="12" t="n">
        <x:v>0</x:v>
      </x:c>
      <x:c r="G4278" s="12" t="n">
        <x:v>0</x:v>
      </x:c>
      <x:c r="H4278" s="1" t="n">
        <x:f>'Historical prices'!E4278</x:f>
        <x:v>1.05</x:v>
      </x:c>
      <x:c r="I4278" s="6" t="n">
        <x:f>'Historical prices'!D4278</x:f>
        <x:v>0.2104</x:v>
      </x:c>
      <x:c r="J4278" s="13" t="n">
        <x:f>D4278*I4278*H4278</x:f>
        <x:v>0.03832962</x:v>
      </x:c>
      <x:c r="K4278" s="13" t="n">
        <x:f>E4278*I4278*H4278</x:f>
        <x:v>0.04075974</x:v>
      </x:c>
      <x:c r="L4278" s="1" t="str">
        <x:f>TEXT(A4278,"mmm yyyy")</x:f>
        <x:v>Aug 2026</x:v>
      </x:c>
    </x:row>
    <x:row r="4279" ht="21" customHeight="1">
      <x:c r="A4279" s="10" t="n">
        <x:v>46237</x:v>
      </x:c>
      <x:c r="B4279" s="1" t="n">
        <x:v>15.5</x:v>
      </x:c>
      <x:c r="C4279" s="1" t="n">
        <x:v>6</x:v>
      </x:c>
      <x:c r="D4279" s="12" t="n">
        <x:v>0.29675</x:v>
      </x:c>
      <x:c r="E4279" s="12" t="n">
        <x:v>0.30675</x:v>
      </x:c>
      <x:c r="F4279" s="12" t="n">
        <x:v>0</x:v>
      </x:c>
      <x:c r="G4279" s="12" t="n">
        <x:v>0</x:v>
      </x:c>
      <x:c r="H4279" s="1" t="n">
        <x:f>'Historical prices'!E4279</x:f>
        <x:v>1.05</x:v>
      </x:c>
      <x:c r="I4279" s="6" t="n">
        <x:f>'Historical prices'!D4279</x:f>
        <x:v>0.2109</x:v>
      </x:c>
      <x:c r="J4279" s="13" t="n">
        <x:f>D4279*I4279*H4279</x:f>
        <x:v>0.06571380375000001</x:v>
      </x:c>
      <x:c r="K4279" s="13" t="n">
        <x:f>E4279*I4279*H4279</x:f>
        <x:v>0.06792825375</x:v>
      </x:c>
      <x:c r="L4279" s="1" t="str">
        <x:f>TEXT(A4279,"mmm yyyy")</x:f>
        <x:v>Aug 2026</x:v>
      </x:c>
    </x:row>
    <x:row r="4280" ht="21" customHeight="1">
      <x:c r="A4280" s="10" t="n">
        <x:v>46237</x:v>
      </x:c>
      <x:c r="B4280" s="1" t="n">
        <x:v>16</x:v>
      </x:c>
      <x:c r="C4280" s="1" t="n">
        <x:v>6</x:v>
      </x:c>
      <x:c r="D4280" s="12" t="n">
        <x:v>0.0275</x:v>
      </x:c>
      <x:c r="E4280" s="12" t="n">
        <x:v>0.22666666666666666</x:v>
      </x:c>
      <x:c r="F4280" s="12" t="n">
        <x:v>0.19591666666666666</x:v>
      </x:c>
      <x:c r="G4280" s="12" t="n">
        <x:v>0</x:v>
      </x:c>
      <x:c r="H4280" s="1" t="n">
        <x:f>'Historical prices'!E4280</x:f>
        <x:v>1.05</x:v>
      </x:c>
      <x:c r="I4280" s="6" t="n">
        <x:f>'Historical prices'!D4280</x:f>
        <x:v>0.3564</x:v>
      </x:c>
      <x:c r="J4280" s="13" t="n">
        <x:f>D4280*I4280*H4280</x:f>
        <x:v>0.010291050000000001</x:v>
      </x:c>
      <x:c r="K4280" s="13" t="n">
        <x:f>E4280*I4280*H4280</x:f>
        <x:v>0.0848232</x:v>
      </x:c>
      <x:c r="L4280" s="1" t="str">
        <x:f>TEXT(A4280,"mmm yyyy")</x:f>
        <x:v>Aug 2026</x:v>
      </x:c>
    </x:row>
    <x:row r="4281" ht="21" customHeight="1">
      <x:c r="A4281" s="10" t="n">
        <x:v>46237</x:v>
      </x:c>
      <x:c r="B4281" s="1" t="n">
        <x:v>16.5</x:v>
      </x:c>
      <x:c r="C4281" s="1" t="n">
        <x:v>6</x:v>
      </x:c>
      <x:c r="D4281" s="12" t="n">
        <x:v>0</x:v>
      </x:c>
      <x:c r="E4281" s="12" t="n">
        <x:v>0.21274999999999997</x:v>
      </x:c>
      <x:c r="F4281" s="12" t="n">
        <x:v>0.2125</x:v>
      </x:c>
      <x:c r="G4281" s="12" t="n">
        <x:v>0</x:v>
      </x:c>
      <x:c r="H4281" s="1" t="n">
        <x:f>'Historical prices'!E4281</x:f>
        <x:v>1.05</x:v>
      </x:c>
      <x:c r="I4281" s="6" t="n">
        <x:f>'Historical prices'!D4281</x:f>
        <x:v>0.3477</x:v>
      </x:c>
      <x:c r="J4281" s="13" t="n">
        <x:f>D4281*I4281*H4281</x:f>
        <x:v>0</x:v>
      </x:c>
      <x:c r="K4281" s="13" t="n">
        <x:f>E4281*I4281*H4281</x:f>
        <x:v>0.07767183374999999</x:v>
      </x:c>
      <x:c r="L4281" s="1" t="str">
        <x:f>TEXT(A4281,"mmm yyyy")</x:f>
        <x:v>Aug 2026</x:v>
      </x:c>
    </x:row>
    <x:row r="4282" ht="21" customHeight="1">
      <x:c r="A4282" s="10" t="n">
        <x:v>46237</x:v>
      </x:c>
      <x:c r="B4282" s="1" t="n">
        <x:v>17</x:v>
      </x:c>
      <x:c r="C4282" s="1" t="n">
        <x:v>6</x:v>
      </x:c>
      <x:c r="D4282" s="12" t="n">
        <x:v>0</x:v>
      </x:c>
      <x:c r="E4282" s="12" t="n">
        <x:v>0.25416666666666665</x:v>
      </x:c>
      <x:c r="F4282" s="12" t="n">
        <x:v>0.25375</x:v>
      </x:c>
      <x:c r="G4282" s="12" t="n">
        <x:v>0</x:v>
      </x:c>
      <x:c r="H4282" s="1" t="n">
        <x:f>'Historical prices'!E4282</x:f>
        <x:v>1.05</x:v>
      </x:c>
      <x:c r="I4282" s="6" t="n">
        <x:f>'Historical prices'!D4282</x:f>
        <x:v>0.3834</x:v>
      </x:c>
      <x:c r="J4282" s="13" t="n">
        <x:f>D4282*I4282*H4282</x:f>
        <x:v>0</x:v>
      </x:c>
      <x:c r="K4282" s="13" t="n">
        <x:f>E4282*I4282*H4282</x:f>
        <x:v>0.10231987499999999</x:v>
      </x:c>
      <x:c r="L4282" s="1" t="str">
        <x:f>TEXT(A4282,"mmm yyyy")</x:f>
        <x:v>Aug 2026</x:v>
      </x:c>
    </x:row>
    <x:row r="4283" ht="21" customHeight="1">
      <x:c r="A4283" s="10" t="n">
        <x:v>46237</x:v>
      </x:c>
      <x:c r="B4283" s="1" t="n">
        <x:v>17.5</x:v>
      </x:c>
      <x:c r="C4283" s="1" t="n">
        <x:v>6</x:v>
      </x:c>
      <x:c r="D4283" s="12" t="n">
        <x:v>0</x:v>
      </x:c>
      <x:c r="E4283" s="12" t="n">
        <x:v>0.2846666666666667</x:v>
      </x:c>
      <x:c r="F4283" s="12" t="n">
        <x:v>0.2843333333333333</x:v>
      </x:c>
      <x:c r="G4283" s="12" t="n">
        <x:v>0</x:v>
      </x:c>
      <x:c r="H4283" s="1" t="n">
        <x:f>'Historical prices'!E4283</x:f>
        <x:v>1.05</x:v>
      </x:c>
      <x:c r="I4283" s="6" t="n">
        <x:f>'Historical prices'!D4283</x:f>
        <x:v>0.3908</x:v>
      </x:c>
      <x:c r="J4283" s="13" t="n">
        <x:f>D4283*I4283*H4283</x:f>
        <x:v>0</x:v>
      </x:c>
      <x:c r="K4283" s="13" t="n">
        <x:f>E4283*I4283*H4283</x:f>
        <x:v>0.11681012</x:v>
      </x:c>
      <x:c r="L4283" s="1" t="str">
        <x:f>TEXT(A4283,"mmm yyyy")</x:f>
        <x:v>Aug 2026</x:v>
      </x:c>
    </x:row>
    <x:row r="4284" ht="21" customHeight="1">
      <x:c r="A4284" s="10" t="n">
        <x:v>46237</x:v>
      </x:c>
      <x:c r="B4284" s="1" t="n">
        <x:v>18</x:v>
      </x:c>
      <x:c r="C4284" s="1" t="n">
        <x:v>6</x:v>
      </x:c>
      <x:c r="D4284" s="12" t="n">
        <x:v>0</x:v>
      </x:c>
      <x:c r="E4284" s="12" t="n">
        <x:v>0.19674999999999998</x:v>
      </x:c>
      <x:c r="F4284" s="12" t="n">
        <x:v>0.19658333333333333</x:v>
      </x:c>
      <x:c r="G4284" s="12" t="n">
        <x:v>0</x:v>
      </x:c>
      <x:c r="H4284" s="1" t="n">
        <x:f>'Historical prices'!E4284</x:f>
        <x:v>1.05</x:v>
      </x:c>
      <x:c r="I4284" s="6" t="n">
        <x:f>'Historical prices'!D4284</x:f>
        <x:v>0.436</x:v>
      </x:c>
      <x:c r="J4284" s="13" t="n">
        <x:f>D4284*I4284*H4284</x:f>
        <x:v>0</x:v>
      </x:c>
      <x:c r="K4284" s="13" t="n">
        <x:f>E4284*I4284*H4284</x:f>
        <x:v>0.09007215</x:v>
      </x:c>
      <x:c r="L4284" s="1" t="str">
        <x:f>TEXT(A4284,"mmm yyyy")</x:f>
        <x:v>Aug 2026</x:v>
      </x:c>
    </x:row>
    <x:row r="4285" ht="21" customHeight="1">
      <x:c r="A4285" s="10" t="n">
        <x:v>46237</x:v>
      </x:c>
      <x:c r="B4285" s="1" t="n">
        <x:v>18.5</x:v>
      </x:c>
      <x:c r="C4285" s="1" t="n">
        <x:v>6</x:v>
      </x:c>
      <x:c r="D4285" s="12" t="n">
        <x:v>0</x:v>
      </x:c>
      <x:c r="E4285" s="12" t="n">
        <x:v>0.22108333333333333</x:v>
      </x:c>
      <x:c r="F4285" s="12" t="n">
        <x:v>0.22066666666666662</x:v>
      </x:c>
      <x:c r="G4285" s="12" t="n">
        <x:v>0</x:v>
      </x:c>
      <x:c r="H4285" s="1" t="n">
        <x:f>'Historical prices'!E4285</x:f>
        <x:v>1.05</x:v>
      </x:c>
      <x:c r="I4285" s="6" t="n">
        <x:f>'Historical prices'!D4285</x:f>
        <x:v>0.4397</x:v>
      </x:c>
      <x:c r="J4285" s="13" t="n">
        <x:f>D4285*I4285*H4285</x:f>
        <x:v>0</x:v>
      </x:c>
      <x:c r="K4285" s="13" t="n">
        <x:f>E4285*I4285*H4285</x:f>
        <x:v>0.10207085875</x:v>
      </x:c>
      <x:c r="L4285" s="1" t="str">
        <x:f>TEXT(A4285,"mmm yyyy")</x:f>
        <x:v>Aug 2026</x:v>
      </x:c>
    </x:row>
    <x:row r="4286" ht="21" customHeight="1">
      <x:c r="A4286" s="10" t="n">
        <x:v>46237</x:v>
      </x:c>
      <x:c r="B4286" s="1" t="n">
        <x:v>19</x:v>
      </x:c>
      <x:c r="C4286" s="1" t="n">
        <x:v>6</x:v>
      </x:c>
      <x:c r="D4286" s="12" t="n">
        <x:v>0</x:v>
      </x:c>
      <x:c r="E4286" s="12" t="n">
        <x:v>0.28008333333333335</x:v>
      </x:c>
      <x:c r="F4286" s="12" t="n">
        <x:v>0.2798333333333333</x:v>
      </x:c>
      <x:c r="G4286" s="12" t="n">
        <x:v>0</x:v>
      </x:c>
      <x:c r="H4286" s="1" t="n">
        <x:f>'Historical prices'!E4286</x:f>
        <x:v>1.05</x:v>
      </x:c>
      <x:c r="I4286" s="6" t="n">
        <x:f>'Historical prices'!D4286</x:f>
        <x:v>0.32780000000000004</x:v>
      </x:c>
      <x:c r="J4286" s="13" t="n">
        <x:f>D4286*I4286*H4286</x:f>
        <x:v>0</x:v>
      </x:c>
      <x:c r="K4286" s="13" t="n">
        <x:f>E4286*I4286*H4286</x:f>
        <x:v>0.09640188250000002</x:v>
      </x:c>
      <x:c r="L4286" s="1" t="str">
        <x:f>TEXT(A4286,"mmm yyyy")</x:f>
        <x:v>Aug 2026</x:v>
      </x:c>
    </x:row>
    <x:row r="4287" ht="21" customHeight="1">
      <x:c r="A4287" s="10" t="n">
        <x:v>46237</x:v>
      </x:c>
      <x:c r="B4287" s="1" t="n">
        <x:v>19.5</x:v>
      </x:c>
      <x:c r="C4287" s="1" t="n">
        <x:v>6</x:v>
      </x:c>
      <x:c r="D4287" s="12" t="n">
        <x:v>0</x:v>
      </x:c>
      <x:c r="E4287" s="12" t="n">
        <x:v>0.26666666666666666</x:v>
      </x:c>
      <x:c r="F4287" s="12" t="n">
        <x:v>0.2663333333333333</x:v>
      </x:c>
      <x:c r="G4287" s="12" t="n">
        <x:v>0</x:v>
      </x:c>
      <x:c r="H4287" s="1" t="n">
        <x:f>'Historical prices'!E4287</x:f>
        <x:v>1.05</x:v>
      </x:c>
      <x:c r="I4287" s="6" t="n">
        <x:f>'Historical prices'!D4287</x:f>
        <x:v>0.3236</x:v>
      </x:c>
      <x:c r="J4287" s="13" t="n">
        <x:f>D4287*I4287*H4287</x:f>
        <x:v>0</x:v>
      </x:c>
      <x:c r="K4287" s="13" t="n">
        <x:f>E4287*I4287*H4287</x:f>
        <x:v>0.09060800000000001</x:v>
      </x:c>
      <x:c r="L4287" s="1" t="str">
        <x:f>TEXT(A4287,"mmm yyyy")</x:f>
        <x:v>Aug 2026</x:v>
      </x:c>
    </x:row>
    <x:row r="4288" ht="21" customHeight="1">
      <x:c r="A4288" s="10" t="n">
        <x:v>46237</x:v>
      </x:c>
      <x:c r="B4288" s="1" t="n">
        <x:v>20</x:v>
      </x:c>
      <x:c r="C4288" s="1" t="n">
        <x:v>6</x:v>
      </x:c>
      <x:c r="D4288" s="12" t="n">
        <x:v>0</x:v>
      </x:c>
      <x:c r="E4288" s="12" t="n">
        <x:v>0.23608333333333334</x:v>
      </x:c>
      <x:c r="F4288" s="12" t="n">
        <x:v>0.23583333333333334</x:v>
      </x:c>
      <x:c r="G4288" s="12" t="n">
        <x:v>0</x:v>
      </x:c>
      <x:c r="H4288" s="1" t="n">
        <x:f>'Historical prices'!E4288</x:f>
        <x:v>1.05</x:v>
      </x:c>
      <x:c r="I4288" s="6" t="n">
        <x:f>'Historical prices'!D4288</x:f>
        <x:v>0.3179</x:v>
      </x:c>
      <x:c r="J4288" s="13" t="n">
        <x:f>D4288*I4288*H4288</x:f>
        <x:v>0</x:v>
      </x:c>
      <x:c r="K4288" s="13" t="n">
        <x:f>E4288*I4288*H4288</x:f>
        <x:v>0.07880343625000001</x:v>
      </x:c>
      <x:c r="L4288" s="1" t="str">
        <x:f>TEXT(A4288,"mmm yyyy")</x:f>
        <x:v>Aug 2026</x:v>
      </x:c>
    </x:row>
    <x:row r="4289" ht="21" customHeight="1">
      <x:c r="A4289" s="10" t="n">
        <x:v>46237</x:v>
      </x:c>
      <x:c r="B4289" s="1" t="n">
        <x:v>20.5</x:v>
      </x:c>
      <x:c r="C4289" s="1" t="n">
        <x:v>6</x:v>
      </x:c>
      <x:c r="D4289" s="12" t="n">
        <x:v>0</x:v>
      </x:c>
      <x:c r="E4289" s="12" t="n">
        <x:v>0.29433333333333334</x:v>
      </x:c>
      <x:c r="F4289" s="12" t="n">
        <x:v>0.2941666666666667</x:v>
      </x:c>
      <x:c r="G4289" s="12" t="n">
        <x:v>0</x:v>
      </x:c>
      <x:c r="H4289" s="1" t="n">
        <x:f>'Historical prices'!E4289</x:f>
        <x:v>1.05</x:v>
      </x:c>
      <x:c r="I4289" s="6" t="n">
        <x:f>'Historical prices'!D4289</x:f>
        <x:v>0.3125</x:v>
      </x:c>
      <x:c r="J4289" s="13" t="n">
        <x:f>D4289*I4289*H4289</x:f>
        <x:v>0</x:v>
      </x:c>
      <x:c r="K4289" s="13" t="n">
        <x:f>E4289*I4289*H4289</x:f>
        <x:v>0.096578125</x:v>
      </x:c>
      <x:c r="L4289" s="1" t="str">
        <x:f>TEXT(A4289,"mmm yyyy")</x:f>
        <x:v>Aug 2026</x:v>
      </x:c>
    </x:row>
    <x:row r="4290" ht="21" customHeight="1">
      <x:c r="A4290" s="10" t="n">
        <x:v>46237</x:v>
      </x:c>
      <x:c r="B4290" s="1" t="n">
        <x:v>21</x:v>
      </x:c>
      <x:c r="C4290" s="1" t="n">
        <x:v>6</x:v>
      </x:c>
      <x:c r="D4290" s="12" t="n">
        <x:v>0</x:v>
      </x:c>
      <x:c r="E4290" s="12" t="n">
        <x:v>0.28658333333333336</x:v>
      </x:c>
      <x:c r="F4290" s="12" t="n">
        <x:v>0.28625</x:v>
      </x:c>
      <x:c r="G4290" s="12" t="n">
        <x:v>0</x:v>
      </x:c>
      <x:c r="H4290" s="1" t="n">
        <x:f>'Historical prices'!E4290</x:f>
        <x:v>1.05</x:v>
      </x:c>
      <x:c r="I4290" s="6" t="n">
        <x:f>'Historical prices'!D4290</x:f>
        <x:v>0.3045</x:v>
      </x:c>
      <x:c r="J4290" s="13" t="n">
        <x:f>D4290*I4290*H4290</x:f>
        <x:v>0</x:v>
      </x:c>
      <x:c r="K4290" s="13" t="n">
        <x:f>E4290*I4290*H4290</x:f>
        <x:v>0.09162785625</x:v>
      </x:c>
      <x:c r="L4290" s="1" t="str">
        <x:f>TEXT(A4290,"mmm yyyy")</x:f>
        <x:v>Aug 2026</x:v>
      </x:c>
    </x:row>
    <x:row r="4291" ht="21" customHeight="1">
      <x:c r="A4291" s="10" t="n">
        <x:v>46237</x:v>
      </x:c>
      <x:c r="B4291" s="1" t="n">
        <x:v>21.5</x:v>
      </x:c>
      <x:c r="C4291" s="1" t="n">
        <x:v>6</x:v>
      </x:c>
      <x:c r="D4291" s="12" t="n">
        <x:v>0</x:v>
      </x:c>
      <x:c r="E4291" s="12" t="n">
        <x:v>0.2738333333333333</x:v>
      </x:c>
      <x:c r="F4291" s="12" t="n">
        <x:v>0.27366666666666667</x:v>
      </x:c>
      <x:c r="G4291" s="12" t="n">
        <x:v>0</x:v>
      </x:c>
      <x:c r="H4291" s="1" t="n">
        <x:f>'Historical prices'!E4291</x:f>
        <x:v>1.05</x:v>
      </x:c>
      <x:c r="I4291" s="6" t="n">
        <x:f>'Historical prices'!D4291</x:f>
        <x:v>0.2917</x:v>
      </x:c>
      <x:c r="J4291" s="13" t="n">
        <x:f>D4291*I4291*H4291</x:f>
        <x:v>0</x:v>
      </x:c>
      <x:c r="K4291" s="13" t="n">
        <x:f>E4291*I4291*H4291</x:f>
        <x:v>0.0838710425</x:v>
      </x:c>
      <x:c r="L4291" s="1" t="str">
        <x:f>TEXT(A4291,"mmm yyyy")</x:f>
        <x:v>Aug 2026</x:v>
      </x:c>
    </x:row>
    <x:row r="4292" ht="21" customHeight="1">
      <x:c r="A4292" s="10" t="n">
        <x:v>46237</x:v>
      </x:c>
      <x:c r="B4292" s="1" t="n">
        <x:v>22</x:v>
      </x:c>
      <x:c r="C4292" s="1" t="n">
        <x:v>6</x:v>
      </x:c>
      <x:c r="D4292" s="12" t="n">
        <x:v>0</x:v>
      </x:c>
      <x:c r="E4292" s="12" t="n">
        <x:v>0.35383333333333333</x:v>
      </x:c>
      <x:c r="F4292" s="12" t="n">
        <x:v>0.3534166666666666</x:v>
      </x:c>
      <x:c r="G4292" s="12" t="n">
        <x:v>0</x:v>
      </x:c>
      <x:c r="H4292" s="1" t="n">
        <x:f>'Historical prices'!E4292</x:f>
        <x:v>1.05</x:v>
      </x:c>
      <x:c r="I4292" s="6" t="n">
        <x:f>'Historical prices'!D4292</x:f>
        <x:v>0.2816</x:v>
      </x:c>
      <x:c r="J4292" s="13" t="n">
        <x:f>D4292*I4292*H4292</x:f>
        <x:v>0</x:v>
      </x:c>
      <x:c r="K4292" s="13" t="n">
        <x:f>E4292*I4292*H4292</x:f>
        <x:v>0.10462144000000001</x:v>
      </x:c>
      <x:c r="L4292" s="1" t="str">
        <x:f>TEXT(A4292,"mmm yyyy")</x:f>
        <x:v>Aug 2026</x:v>
      </x:c>
    </x:row>
    <x:row r="4293" ht="21" customHeight="1">
      <x:c r="A4293" s="10" t="n">
        <x:v>46237</x:v>
      </x:c>
      <x:c r="B4293" s="1" t="n">
        <x:v>22.5</x:v>
      </x:c>
      <x:c r="C4293" s="1" t="n">
        <x:v>6</x:v>
      </x:c>
      <x:c r="D4293" s="12" t="n">
        <x:v>0</x:v>
      </x:c>
      <x:c r="E4293" s="12" t="n">
        <x:v>0.27183333333333337</x:v>
      </x:c>
      <x:c r="F4293" s="12" t="n">
        <x:v>0.27158333333333334</x:v>
      </x:c>
      <x:c r="G4293" s="12" t="n">
        <x:v>0</x:v>
      </x:c>
      <x:c r="H4293" s="1" t="n">
        <x:f>'Historical prices'!E4293</x:f>
        <x:v>1.05</x:v>
      </x:c>
      <x:c r="I4293" s="6" t="n">
        <x:f>'Historical prices'!D4293</x:f>
        <x:v>0.2682</x:v>
      </x:c>
      <x:c r="J4293" s="13" t="n">
        <x:f>D4293*I4293*H4293</x:f>
        <x:v>0</x:v>
      </x:c>
      <x:c r="K4293" s="13" t="n">
        <x:f>E4293*I4293*H4293</x:f>
        <x:v>0.076550985</x:v>
      </x:c>
      <x:c r="L4293" s="1" t="str">
        <x:f>TEXT(A4293,"mmm yyyy")</x:f>
        <x:v>Aug 2026</x:v>
      </x:c>
    </x:row>
    <x:row r="4294" ht="21" customHeight="1">
      <x:c r="A4294" s="10" t="n">
        <x:v>46237</x:v>
      </x:c>
      <x:c r="B4294" s="1" t="n">
        <x:v>23</x:v>
      </x:c>
      <x:c r="C4294" s="1" t="n">
        <x:v>6</x:v>
      </x:c>
      <x:c r="D4294" s="12" t="n">
        <x:v>0</x:v>
      </x:c>
      <x:c r="E4294" s="12" t="n">
        <x:v>0.23066666666666666</x:v>
      </x:c>
      <x:c r="F4294" s="12" t="n">
        <x:v>0.2300833333333333</x:v>
      </x:c>
      <x:c r="G4294" s="12" t="n">
        <x:v>0</x:v>
      </x:c>
      <x:c r="H4294" s="1" t="n">
        <x:f>'Historical prices'!E4294</x:f>
        <x:v>1.05</x:v>
      </x:c>
      <x:c r="I4294" s="6" t="n">
        <x:f>'Historical prices'!D4294</x:f>
        <x:v>0.2571</x:v>
      </x:c>
      <x:c r="J4294" s="13" t="n">
        <x:f>D4294*I4294*H4294</x:f>
        <x:v>0</x:v>
      </x:c>
      <x:c r="K4294" s="13" t="n">
        <x:f>E4294*I4294*H4294</x:f>
        <x:v>0.062269620000000005</x:v>
      </x:c>
      <x:c r="L4294" s="1" t="str">
        <x:f>TEXT(A4294,"mmm yyyy")</x:f>
        <x:v>Aug 2026</x:v>
      </x:c>
    </x:row>
    <x:row r="4295" ht="21" customHeight="1">
      <x:c r="A4295" s="10" t="n">
        <x:v>46237</x:v>
      </x:c>
      <x:c r="B4295" s="1" t="n">
        <x:v>23.5</x:v>
      </x:c>
      <x:c r="C4295" s="1" t="n">
        <x:v>6</x:v>
      </x:c>
      <x:c r="D4295" s="12" t="n">
        <x:v>0</x:v>
      </x:c>
      <x:c r="E4295" s="12" t="n">
        <x:v>0.2769166666666667</x:v>
      </x:c>
      <x:c r="F4295" s="12" t="n">
        <x:v>0.2765833333333333</x:v>
      </x:c>
      <x:c r="G4295" s="12" t="n">
        <x:v>0</x:v>
      </x:c>
      <x:c r="H4295" s="1" t="n">
        <x:f>'Historical prices'!E4295</x:f>
        <x:v>1.05</x:v>
      </x:c>
      <x:c r="I4295" s="6" t="n">
        <x:f>'Historical prices'!D4295</x:f>
        <x:v>0.2522</x:v>
      </x:c>
      <x:c r="J4295" s="13" t="n">
        <x:f>D4295*I4295*H4295</x:f>
        <x:v>0</x:v>
      </x:c>
      <x:c r="K4295" s="13" t="n">
        <x:f>E4295*I4295*H4295</x:f>
        <x:v>0.07333030250000001</x:v>
      </x:c>
      <x:c r="L4295" s="1" t="str">
        <x:f>TEXT(A4295,"mmm yyyy")</x:f>
        <x:v>Aug 2026</x:v>
      </x:c>
    </x:row>
    <x:row r="4296" ht="21" customHeight="1">
      <x:c r="A4296" s="10" t="n">
        <x:v>46238</x:v>
      </x:c>
      <x:c r="B4296" s="1" t="n">
        <x:v>0</x:v>
      </x:c>
      <x:c r="C4296" s="1" t="n">
        <x:v>6</x:v>
      </x:c>
      <x:c r="D4296" s="12" t="n">
        <x:v>0.12725</x:v>
      </x:c>
      <x:c r="E4296" s="12" t="n">
        <x:v>0.18216666666666664</x:v>
      </x:c>
      <x:c r="F4296" s="12" t="n">
        <x:v>0.04491666666666667</x:v>
      </x:c>
      <x:c r="G4296" s="12" t="n">
        <x:v>0</x:v>
      </x:c>
      <x:c r="H4296" s="1" t="n">
        <x:f>'Historical prices'!E4296</x:f>
        <x:v>1.05</x:v>
      </x:c>
      <x:c r="I4296" s="6" t="n">
        <x:f>'Historical prices'!D4296</x:f>
        <x:v>0.223</x:v>
      </x:c>
      <x:c r="J4296" s="13" t="n">
        <x:f>D4296*I4296*H4296</x:f>
        <x:v>0.0297955875</x:v>
      </x:c>
      <x:c r="K4296" s="13" t="n">
        <x:f>E4296*I4296*H4296</x:f>
        <x:v>0.042654325</x:v>
      </x:c>
      <x:c r="L4296" s="1" t="str">
        <x:f>TEXT(A4296,"mmm yyyy")</x:f>
        <x:v>Aug 2026</x:v>
      </x:c>
    </x:row>
    <x:row r="4297" ht="21" customHeight="1">
      <x:c r="A4297" s="10" t="n">
        <x:v>46238</x:v>
      </x:c>
      <x:c r="B4297" s="1" t="n">
        <x:v>0.5</x:v>
      </x:c>
      <x:c r="C4297" s="1" t="n">
        <x:v>6</x:v>
      </x:c>
      <x:c r="D4297" s="12" t="n">
        <x:v>0.14375</x:v>
      </x:c>
      <x:c r="E4297" s="12" t="n">
        <x:v>0.15375</x:v>
      </x:c>
      <x:c r="F4297" s="12" t="n">
        <x:v>0</x:v>
      </x:c>
      <x:c r="G4297" s="12" t="n">
        <x:v>0</x:v>
      </x:c>
      <x:c r="H4297" s="1" t="n">
        <x:f>'Historical prices'!E4297</x:f>
        <x:v>1.05</x:v>
      </x:c>
      <x:c r="I4297" s="6" t="n">
        <x:f>'Historical prices'!D4297</x:f>
        <x:v>0.2146</x:v>
      </x:c>
      <x:c r="J4297" s="13" t="n">
        <x:f>D4297*I4297*H4297</x:f>
        <x:v>0.0323911875</x:v>
      </x:c>
      <x:c r="K4297" s="13" t="n">
        <x:f>E4297*I4297*H4297</x:f>
        <x:v>0.03464448750000001</x:v>
      </x:c>
      <x:c r="L4297" s="1" t="str">
        <x:f>TEXT(A4297,"mmm yyyy")</x:f>
        <x:v>Aug 2026</x:v>
      </x:c>
    </x:row>
    <x:row r="4298" ht="21" customHeight="1">
      <x:c r="A4298" s="10" t="n">
        <x:v>46238</x:v>
      </x:c>
      <x:c r="B4298" s="1" t="n">
        <x:v>1</x:v>
      </x:c>
      <x:c r="C4298" s="1" t="n">
        <x:v>6</x:v>
      </x:c>
      <x:c r="D4298" s="12" t="n">
        <x:v>0.19825</x:v>
      </x:c>
      <x:c r="E4298" s="12" t="n">
        <x:v>0.20825000000000002</x:v>
      </x:c>
      <x:c r="F4298" s="12" t="n">
        <x:v>0</x:v>
      </x:c>
      <x:c r="G4298" s="12" t="n">
        <x:v>0</x:v>
      </x:c>
      <x:c r="H4298" s="1" t="n">
        <x:f>'Historical prices'!E4298</x:f>
        <x:v>1.05</x:v>
      </x:c>
      <x:c r="I4298" s="6" t="n">
        <x:f>'Historical prices'!D4298</x:f>
        <x:v>0.21309999999999998</x:v>
      </x:c>
      <x:c r="J4298" s="13" t="n">
        <x:f>D4298*I4298*H4298</x:f>
        <x:v>0.044359428750000006</x:v>
      </x:c>
      <x:c r="K4298" s="13" t="n">
        <x:f>E4298*I4298*H4298</x:f>
        <x:v>0.046596978750000004</x:v>
      </x:c>
      <x:c r="L4298" s="1" t="str">
        <x:f>TEXT(A4298,"mmm yyyy")</x:f>
        <x:v>Aug 2026</x:v>
      </x:c>
    </x:row>
    <x:row r="4299" ht="21" customHeight="1">
      <x:c r="A4299" s="10" t="n">
        <x:v>46238</x:v>
      </x:c>
      <x:c r="B4299" s="1" t="n">
        <x:v>1.5</x:v>
      </x:c>
      <x:c r="C4299" s="1" t="n">
        <x:v>6</x:v>
      </x:c>
      <x:c r="D4299" s="12" t="n">
        <x:v>0.2</x:v>
      </x:c>
      <x:c r="E4299" s="12" t="n">
        <x:v>0.21</x:v>
      </x:c>
      <x:c r="F4299" s="12" t="n">
        <x:v>0</x:v>
      </x:c>
      <x:c r="G4299" s="12" t="n">
        <x:v>0</x:v>
      </x:c>
      <x:c r="H4299" s="1" t="n">
        <x:f>'Historical prices'!E4299</x:f>
        <x:v>1.05</x:v>
      </x:c>
      <x:c r="I4299" s="6" t="n">
        <x:f>'Historical prices'!D4299</x:f>
        <x:v>0.2047</x:v>
      </x:c>
      <x:c r="J4299" s="13" t="n">
        <x:f>D4299*I4299*H4299</x:f>
        <x:v>0.042987000000000004</x:v>
      </x:c>
      <x:c r="K4299" s="13" t="n">
        <x:f>E4299*I4299*H4299</x:f>
        <x:v>0.04513635</x:v>
      </x:c>
      <x:c r="L4299" s="1" t="str">
        <x:f>TEXT(A4299,"mmm yyyy")</x:f>
        <x:v>Aug 2026</x:v>
      </x:c>
    </x:row>
    <x:row r="4300" ht="21" customHeight="1">
      <x:c r="A4300" s="10" t="n">
        <x:v>46238</x:v>
      </x:c>
      <x:c r="B4300" s="1" t="n">
        <x:v>2</x:v>
      </x:c>
      <x:c r="C4300" s="1" t="n">
        <x:v>6</x:v>
      </x:c>
      <x:c r="D4300" s="12" t="n">
        <x:v>0.13399999999999998</x:v>
      </x:c>
      <x:c r="E4300" s="12" t="n">
        <x:v>0.145</x:v>
      </x:c>
      <x:c r="F4300" s="12" t="n">
        <x:v>0</x:v>
      </x:c>
      <x:c r="G4300" s="12" t="n">
        <x:v>0</x:v>
      </x:c>
      <x:c r="H4300" s="1" t="n">
        <x:f>'Historical prices'!E4300</x:f>
        <x:v>1.05</x:v>
      </x:c>
      <x:c r="I4300" s="6" t="n">
        <x:f>'Historical prices'!D4300</x:f>
        <x:v>0.2091</x:v>
      </x:c>
      <x:c r="J4300" s="13" t="n">
        <x:f>D4300*I4300*H4300</x:f>
        <x:v>0.029420369999999998</x:v>
      </x:c>
      <x:c r="K4300" s="13" t="n">
        <x:f>E4300*I4300*H4300</x:f>
        <x:v>0.031835475</x:v>
      </x:c>
      <x:c r="L4300" s="1" t="str">
        <x:f>TEXT(A4300,"mmm yyyy")</x:f>
        <x:v>Aug 2026</x:v>
      </x:c>
    </x:row>
    <x:row r="4301" ht="21" customHeight="1">
      <x:c r="A4301" s="10" t="n">
        <x:v>46238</x:v>
      </x:c>
      <x:c r="B4301" s="1" t="n">
        <x:v>2.5</x:v>
      </x:c>
      <x:c r="C4301" s="1" t="n">
        <x:v>6</x:v>
      </x:c>
      <x:c r="D4301" s="12" t="n">
        <x:v>0.18325</x:v>
      </x:c>
      <x:c r="E4301" s="12" t="n">
        <x:v>0.19325</x:v>
      </x:c>
      <x:c r="F4301" s="12" t="n">
        <x:v>0</x:v>
      </x:c>
      <x:c r="G4301" s="12" t="n">
        <x:v>0</x:v>
      </x:c>
      <x:c r="H4301" s="1" t="n">
        <x:f>'Historical prices'!E4301</x:f>
        <x:v>1.05</x:v>
      </x:c>
      <x:c r="I4301" s="6" t="n">
        <x:f>'Historical prices'!D4301</x:f>
        <x:v>0.2077</x:v>
      </x:c>
      <x:c r="J4301" s="13" t="n">
        <x:f>D4301*I4301*H4301</x:f>
        <x:v>0.03996407625</x:v>
      </x:c>
      <x:c r="K4301" s="13" t="n">
        <x:f>E4301*I4301*H4301</x:f>
        <x:v>0.042144926250000006</x:v>
      </x:c>
      <x:c r="L4301" s="1" t="str">
        <x:f>TEXT(A4301,"mmm yyyy")</x:f>
        <x:v>Aug 2026</x:v>
      </x:c>
    </x:row>
    <x:row r="4302" ht="21" customHeight="1">
      <x:c r="A4302" s="10" t="n">
        <x:v>46238</x:v>
      </x:c>
      <x:c r="B4302" s="1" t="n">
        <x:v>3</x:v>
      </x:c>
      <x:c r="C4302" s="1" t="n">
        <x:v>6</x:v>
      </x:c>
      <x:c r="D4302" s="12" t="n">
        <x:v>0.2705</x:v>
      </x:c>
      <x:c r="E4302" s="12" t="n">
        <x:v>0.28250000000000003</x:v>
      </x:c>
      <x:c r="F4302" s="12" t="n">
        <x:v>0</x:v>
      </x:c>
      <x:c r="G4302" s="12" t="n">
        <x:v>0</x:v>
      </x:c>
      <x:c r="H4302" s="1" t="n">
        <x:f>'Historical prices'!E4302</x:f>
        <x:v>1.05</x:v>
      </x:c>
      <x:c r="I4302" s="6" t="n">
        <x:f>'Historical prices'!D4302</x:f>
        <x:v>0.21359999999999998</x:v>
      </x:c>
      <x:c r="J4302" s="13" t="n">
        <x:f>D4302*I4302*H4302</x:f>
        <x:v>0.06066774</x:v>
      </x:c>
      <x:c r="K4302" s="13" t="n">
        <x:f>E4302*I4302*H4302</x:f>
        <x:v>0.0633591</x:v>
      </x:c>
      <x:c r="L4302" s="1" t="str">
        <x:f>TEXT(A4302,"mmm yyyy")</x:f>
        <x:v>Aug 2026</x:v>
      </x:c>
    </x:row>
    <x:row r="4303" ht="21" customHeight="1">
      <x:c r="A4303" s="10" t="n">
        <x:v>46238</x:v>
      </x:c>
      <x:c r="B4303" s="1" t="n">
        <x:v>3.5</x:v>
      </x:c>
      <x:c r="C4303" s="1" t="n">
        <x:v>6</x:v>
      </x:c>
      <x:c r="D4303" s="12" t="n">
        <x:v>0.16399999999999998</x:v>
      </x:c>
      <x:c r="E4303" s="12" t="n">
        <x:v>0.174</x:v>
      </x:c>
      <x:c r="F4303" s="12" t="n">
        <x:v>0</x:v>
      </x:c>
      <x:c r="G4303" s="12" t="n">
        <x:v>0</x:v>
      </x:c>
      <x:c r="H4303" s="1" t="n">
        <x:f>'Historical prices'!E4303</x:f>
        <x:v>1.05</x:v>
      </x:c>
      <x:c r="I4303" s="6" t="n">
        <x:f>'Historical prices'!D4303</x:f>
        <x:v>0.2102</x:v>
      </x:c>
      <x:c r="J4303" s="13" t="n">
        <x:f>D4303*I4303*H4303</x:f>
        <x:v>0.036196439999999996</x:v>
      </x:c>
      <x:c r="K4303" s="13" t="n">
        <x:f>E4303*I4303*H4303</x:f>
        <x:v>0.03840354</x:v>
      </x:c>
      <x:c r="L4303" s="1" t="str">
        <x:f>TEXT(A4303,"mmm yyyy")</x:f>
        <x:v>Aug 2026</x:v>
      </x:c>
    </x:row>
    <x:row r="4304" ht="21" customHeight="1">
      <x:c r="A4304" s="10" t="n">
        <x:v>46238</x:v>
      </x:c>
      <x:c r="B4304" s="1" t="n">
        <x:v>4</x:v>
      </x:c>
      <x:c r="C4304" s="1" t="n">
        <x:v>6</x:v>
      </x:c>
      <x:c r="D4304" s="12" t="n">
        <x:v>0.17425</x:v>
      </x:c>
      <x:c r="E4304" s="12" t="n">
        <x:v>0.18525</x:v>
      </x:c>
      <x:c r="F4304" s="12" t="n">
        <x:v>0</x:v>
      </x:c>
      <x:c r="G4304" s="12" t="n">
        <x:v>0</x:v>
      </x:c>
      <x:c r="H4304" s="1" t="n">
        <x:f>'Historical prices'!E4304</x:f>
        <x:v>1.05</x:v>
      </x:c>
      <x:c r="I4304" s="6" t="n">
        <x:f>'Historical prices'!D4304</x:f>
        <x:v>0.2216</x:v>
      </x:c>
      <x:c r="J4304" s="13" t="n">
        <x:f>D4304*I4304*H4304</x:f>
        <x:v>0.040544489999999996</x:v>
      </x:c>
      <x:c r="K4304" s="13" t="n">
        <x:f>E4304*I4304*H4304</x:f>
        <x:v>0.04310397</x:v>
      </x:c>
      <x:c r="L4304" s="1" t="str">
        <x:f>TEXT(A4304,"mmm yyyy")</x:f>
        <x:v>Aug 2026</x:v>
      </x:c>
    </x:row>
    <x:row r="4305" ht="21" customHeight="1">
      <x:c r="A4305" s="10" t="n">
        <x:v>46238</x:v>
      </x:c>
      <x:c r="B4305" s="1" t="n">
        <x:v>4.5</x:v>
      </x:c>
      <x:c r="C4305" s="1" t="n">
        <x:v>6</x:v>
      </x:c>
      <x:c r="D4305" s="12" t="n">
        <x:v>0.18275</x:v>
      </x:c>
      <x:c r="E4305" s="12" t="n">
        <x:v>0.19275</x:v>
      </x:c>
      <x:c r="F4305" s="12" t="n">
        <x:v>0</x:v>
      </x:c>
      <x:c r="G4305" s="12" t="n">
        <x:v>0</x:v>
      </x:c>
      <x:c r="H4305" s="1" t="n">
        <x:f>'Historical prices'!E4305</x:f>
        <x:v>1.05</x:v>
      </x:c>
      <x:c r="I4305" s="6" t="n">
        <x:f>'Historical prices'!D4305</x:f>
        <x:v>0.2186</x:v>
      </x:c>
      <x:c r="J4305" s="13" t="n">
        <x:f>D4305*I4305*H4305</x:f>
        <x:v>0.0419466075</x:v>
      </x:c>
      <x:c r="K4305" s="13" t="n">
        <x:f>E4305*I4305*H4305</x:f>
        <x:v>0.0442419075</x:v>
      </x:c>
      <x:c r="L4305" s="1" t="str">
        <x:f>TEXT(A4305,"mmm yyyy")</x:f>
        <x:v>Aug 2026</x:v>
      </x:c>
    </x:row>
    <x:row r="4306" ht="21" customHeight="1">
      <x:c r="A4306" s="10" t="n">
        <x:v>46238</x:v>
      </x:c>
      <x:c r="B4306" s="1" t="n">
        <x:v>5</x:v>
      </x:c>
      <x:c r="C4306" s="1" t="n">
        <x:v>6</x:v>
      </x:c>
      <x:c r="D4306" s="12" t="n">
        <x:v>0.14500000000000002</x:v>
      </x:c>
      <x:c r="E4306" s="12" t="n">
        <x:v>0.155</x:v>
      </x:c>
      <x:c r="F4306" s="12" t="n">
        <x:v>0</x:v>
      </x:c>
      <x:c r="G4306" s="12" t="n">
        <x:v>0</x:v>
      </x:c>
      <x:c r="H4306" s="1" t="n">
        <x:f>'Historical prices'!E4306</x:f>
        <x:v>1.05</x:v>
      </x:c>
      <x:c r="I4306" s="6" t="n">
        <x:f>'Historical prices'!D4306</x:f>
        <x:v>0.2409</x:v>
      </x:c>
      <x:c r="J4306" s="13" t="n">
        <x:f>D4306*I4306*H4306</x:f>
        <x:v>0.036677025</x:v>
      </x:c>
      <x:c r="K4306" s="13" t="n">
        <x:f>E4306*I4306*H4306</x:f>
        <x:v>0.039206475</x:v>
      </x:c>
      <x:c r="L4306" s="1" t="str">
        <x:f>TEXT(A4306,"mmm yyyy")</x:f>
        <x:v>Aug 2026</x:v>
      </x:c>
    </x:row>
    <x:row r="4307" ht="21" customHeight="1">
      <x:c r="A4307" s="10" t="n">
        <x:v>46238</x:v>
      </x:c>
      <x:c r="B4307" s="1" t="n">
        <x:v>5.5</x:v>
      </x:c>
      <x:c r="C4307" s="1" t="n">
        <x:v>6</x:v>
      </x:c>
      <x:c r="D4307" s="12" t="n">
        <x:v>0.02675</x:v>
      </x:c>
      <x:c r="E4307" s="12" t="n">
        <x:v>0.25175000000000003</x:v>
      </x:c>
      <x:c r="F4307" s="12" t="n">
        <x:v>0.22275</x:v>
      </x:c>
      <x:c r="G4307" s="12" t="n">
        <x:v>0</x:v>
      </x:c>
      <x:c r="H4307" s="1" t="n">
        <x:f>'Historical prices'!E4307</x:f>
        <x:v>1.05</x:v>
      </x:c>
      <x:c r="I4307" s="6" t="n">
        <x:f>'Historical prices'!D4307</x:f>
        <x:v>0.24530000000000002</x:v>
      </x:c>
      <x:c r="J4307" s="13" t="n">
        <x:f>D4307*I4307*H4307</x:f>
        <x:v>0.006889863750000001</x:v>
      </x:c>
      <x:c r="K4307" s="13" t="n">
        <x:f>E4307*I4307*H4307</x:f>
        <x:v>0.06484198875000001</x:v>
      </x:c>
      <x:c r="L4307" s="1" t="str">
        <x:f>TEXT(A4307,"mmm yyyy")</x:f>
        <x:v>Aug 2026</x:v>
      </x:c>
    </x:row>
    <x:row r="4308" ht="21" customHeight="1">
      <x:c r="A4308" s="10" t="n">
        <x:v>46238</x:v>
      </x:c>
      <x:c r="B4308" s="1" t="n">
        <x:v>6</x:v>
      </x:c>
      <x:c r="C4308" s="1" t="n">
        <x:v>6</x:v>
      </x:c>
      <x:c r="D4308" s="12" t="n">
        <x:v>0</x:v>
      </x:c>
      <x:c r="E4308" s="12" t="n">
        <x:v>0.2539166666666667</x:v>
      </x:c>
      <x:c r="F4308" s="12" t="n">
        <x:v>0.25366666666666665</x:v>
      </x:c>
      <x:c r="G4308" s="12" t="n">
        <x:v>0</x:v>
      </x:c>
      <x:c r="H4308" s="1" t="n">
        <x:f>'Historical prices'!E4308</x:f>
        <x:v>1.05</x:v>
      </x:c>
      <x:c r="I4308" s="6" t="n">
        <x:f>'Historical prices'!D4308</x:f>
        <x:v>0.2531</x:v>
      </x:c>
      <x:c r="J4308" s="13" t="n">
        <x:f>D4308*I4308*H4308</x:f>
        <x:v>0</x:v>
      </x:c>
      <x:c r="K4308" s="13" t="n">
        <x:f>E4308*I4308*H4308</x:f>
        <x:v>0.06747962375000001</x:v>
      </x:c>
      <x:c r="L4308" s="1" t="str">
        <x:f>TEXT(A4308,"mmm yyyy")</x:f>
        <x:v>Aug 2026</x:v>
      </x:c>
    </x:row>
    <x:row r="4309" ht="21" customHeight="1">
      <x:c r="A4309" s="10" t="n">
        <x:v>46238</x:v>
      </x:c>
      <x:c r="B4309" s="1" t="n">
        <x:v>6.5</x:v>
      </x:c>
      <x:c r="C4309" s="1" t="n">
        <x:v>6</x:v>
      </x:c>
      <x:c r="D4309" s="12" t="n">
        <x:v>0</x:v>
      </x:c>
      <x:c r="E4309" s="12" t="n">
        <x:v>0.22075</x:v>
      </x:c>
      <x:c r="F4309" s="12" t="n">
        <x:v>0.22066666666666668</x:v>
      </x:c>
      <x:c r="G4309" s="12" t="n">
        <x:v>0</x:v>
      </x:c>
      <x:c r="H4309" s="1" t="n">
        <x:f>'Historical prices'!E4309</x:f>
        <x:v>1.05</x:v>
      </x:c>
      <x:c r="I4309" s="6" t="n">
        <x:f>'Historical prices'!D4309</x:f>
        <x:v>0.2642</x:v>
      </x:c>
      <x:c r="J4309" s="13" t="n">
        <x:f>D4309*I4309*H4309</x:f>
        <x:v>0</x:v>
      </x:c>
      <x:c r="K4309" s="13" t="n">
        <x:f>E4309*I4309*H4309</x:f>
        <x:v>0.0612382575</x:v>
      </x:c>
      <x:c r="L4309" s="1" t="str">
        <x:f>TEXT(A4309,"mmm yyyy")</x:f>
        <x:v>Aug 2026</x:v>
      </x:c>
    </x:row>
    <x:row r="4310" ht="21" customHeight="1">
      <x:c r="A4310" s="10" t="n">
        <x:v>46238</x:v>
      </x:c>
      <x:c r="B4310" s="1" t="n">
        <x:v>7</x:v>
      </x:c>
      <x:c r="C4310" s="1" t="n">
        <x:v>6</x:v>
      </x:c>
      <x:c r="D4310" s="12" t="n">
        <x:v>0</x:v>
      </x:c>
      <x:c r="E4310" s="12" t="n">
        <x:v>0.251</x:v>
      </x:c>
      <x:c r="F4310" s="12" t="n">
        <x:v>0.25066666666666665</x:v>
      </x:c>
      <x:c r="G4310" s="12" t="n">
        <x:v>0</x:v>
      </x:c>
      <x:c r="H4310" s="1" t="n">
        <x:f>'Historical prices'!E4310</x:f>
        <x:v>1.05</x:v>
      </x:c>
      <x:c r="I4310" s="6" t="n">
        <x:f>'Historical prices'!D4310</x:f>
        <x:v>0.2516</x:v>
      </x:c>
      <x:c r="J4310" s="13" t="n">
        <x:f>D4310*I4310*H4310</x:f>
        <x:v>0</x:v>
      </x:c>
      <x:c r="K4310" s="13" t="n">
        <x:f>E4310*I4310*H4310</x:f>
        <x:v>0.06630918000000001</x:v>
      </x:c>
      <x:c r="L4310" s="1" t="str">
        <x:f>TEXT(A4310,"mmm yyyy")</x:f>
        <x:v>Aug 2026</x:v>
      </x:c>
    </x:row>
    <x:row r="4311" ht="21" customHeight="1">
      <x:c r="A4311" s="10" t="n">
        <x:v>46238</x:v>
      </x:c>
      <x:c r="B4311" s="1" t="n">
        <x:v>7.5</x:v>
      </x:c>
      <x:c r="C4311" s="1" t="n">
        <x:v>6</x:v>
      </x:c>
      <x:c r="D4311" s="12" t="n">
        <x:v>0</x:v>
      </x:c>
      <x:c r="E4311" s="12" t="n">
        <x:v>0.2909166666666667</x:v>
      </x:c>
      <x:c r="F4311" s="12" t="n">
        <x:v>0.29066666666666663</x:v>
      </x:c>
      <x:c r="G4311" s="12" t="n">
        <x:v>0</x:v>
      </x:c>
      <x:c r="H4311" s="1" t="n">
        <x:f>'Historical prices'!E4311</x:f>
        <x:v>1.05</x:v>
      </x:c>
      <x:c r="I4311" s="6" t="n">
        <x:f>'Historical prices'!D4311</x:f>
        <x:v>0.25980000000000003</x:v>
      </x:c>
      <x:c r="J4311" s="13" t="n">
        <x:f>D4311*I4311*H4311</x:f>
        <x:v>0</x:v>
      </x:c>
      <x:c r="K4311" s="13" t="n">
        <x:f>E4311*I4311*H4311</x:f>
        <x:v>0.07935915750000003</x:v>
      </x:c>
      <x:c r="L4311" s="1" t="str">
        <x:f>TEXT(A4311,"mmm yyyy")</x:f>
        <x:v>Aug 2026</x:v>
      </x:c>
    </x:row>
    <x:row r="4312" ht="21" customHeight="1">
      <x:c r="A4312" s="10" t="n">
        <x:v>46238</x:v>
      </x:c>
      <x:c r="B4312" s="1" t="n">
        <x:v>8</x:v>
      </x:c>
      <x:c r="C4312" s="1" t="n">
        <x:v>6</x:v>
      </x:c>
      <x:c r="D4312" s="12" t="n">
        <x:v>0.13474999999999998</x:v>
      </x:c>
      <x:c r="E4312" s="12" t="n">
        <x:v>0.18166666666666667</x:v>
      </x:c>
      <x:c r="F4312" s="12" t="n">
        <x:v>0.03791666666666667</x:v>
      </x:c>
      <x:c r="G4312" s="12" t="n">
        <x:v>0</x:v>
      </x:c>
      <x:c r="H4312" s="1" t="n">
        <x:f>'Historical prices'!E4312</x:f>
        <x:v>1.05</x:v>
      </x:c>
      <x:c r="I4312" s="6" t="n">
        <x:f>'Historical prices'!D4312</x:f>
        <x:v>0.23120000000000002</x:v>
      </x:c>
      <x:c r="J4312" s="13" t="n">
        <x:f>D4312*I4312*H4312</x:f>
        <x:v>0.03271191</x:v>
      </x:c>
      <x:c r="K4312" s="13" t="n">
        <x:f>E4312*I4312*H4312</x:f>
        <x:v>0.044101400000000006</x:v>
      </x:c>
      <x:c r="L4312" s="1" t="str">
        <x:f>TEXT(A4312,"mmm yyyy")</x:f>
        <x:v>Aug 2026</x:v>
      </x:c>
    </x:row>
    <x:row r="4313" ht="21" customHeight="1">
      <x:c r="A4313" s="10" t="n">
        <x:v>46238</x:v>
      </x:c>
      <x:c r="B4313" s="1" t="n">
        <x:v>8.5</x:v>
      </x:c>
      <x:c r="C4313" s="1" t="n">
        <x:v>6</x:v>
      </x:c>
      <x:c r="D4313" s="12" t="n">
        <x:v>0.25825</x:v>
      </x:c>
      <x:c r="E4313" s="12" t="n">
        <x:v>0.26925</x:v>
      </x:c>
      <x:c r="F4313" s="12" t="n">
        <x:v>0</x:v>
      </x:c>
      <x:c r="G4313" s="12" t="n">
        <x:v>0</x:v>
      </x:c>
      <x:c r="H4313" s="1" t="n">
        <x:f>'Historical prices'!E4313</x:f>
        <x:v>1.05</x:v>
      </x:c>
      <x:c r="I4313" s="6" t="n">
        <x:f>'Historical prices'!D4313</x:f>
        <x:v>0.23329999999999998</x:v>
      </x:c>
      <x:c r="J4313" s="13" t="n">
        <x:f>D4313*I4313*H4313</x:f>
        <x:v>0.06326221124999999</x:v>
      </x:c>
      <x:c r="K4313" s="13" t="n">
        <x:f>E4313*I4313*H4313</x:f>
        <x:v>0.06595682625</x:v>
      </x:c>
      <x:c r="L4313" s="1" t="str">
        <x:f>TEXT(A4313,"mmm yyyy")</x:f>
        <x:v>Aug 2026</x:v>
      </x:c>
    </x:row>
    <x:row r="4314" ht="21" customHeight="1">
      <x:c r="A4314" s="10" t="n">
        <x:v>46238</x:v>
      </x:c>
      <x:c r="B4314" s="1" t="n">
        <x:v>9</x:v>
      </x:c>
      <x:c r="C4314" s="1" t="n">
        <x:v>6</x:v>
      </x:c>
      <x:c r="D4314" s="12" t="n">
        <x:v>0.20500000000000002</x:v>
      </x:c>
      <x:c r="E4314" s="12" t="n">
        <x:v>0.21600000000000003</x:v>
      </x:c>
      <x:c r="F4314" s="12" t="n">
        <x:v>0</x:v>
      </x:c>
      <x:c r="G4314" s="12" t="n">
        <x:v>0</x:v>
      </x:c>
      <x:c r="H4314" s="1" t="n">
        <x:f>'Historical prices'!E4314</x:f>
        <x:v>1.05</x:v>
      </x:c>
      <x:c r="I4314" s="6" t="n">
        <x:f>'Historical prices'!D4314</x:f>
        <x:v>0.2165</x:v>
      </x:c>
      <x:c r="J4314" s="13" t="n">
        <x:f>D4314*I4314*H4314</x:f>
        <x:v>0.04660162500000001</x:v>
      </x:c>
      <x:c r="K4314" s="13" t="n">
        <x:f>E4314*I4314*H4314</x:f>
        <x:v>0.04910220000000001</x:v>
      </x:c>
      <x:c r="L4314" s="1" t="str">
        <x:f>TEXT(A4314,"mmm yyyy")</x:f>
        <x:v>Aug 2026</x:v>
      </x:c>
    </x:row>
    <x:row r="4315" ht="21" customHeight="1">
      <x:c r="A4315" s="10" t="n">
        <x:v>46238</x:v>
      </x:c>
      <x:c r="B4315" s="1" t="n">
        <x:v>9.5</x:v>
      </x:c>
      <x:c r="C4315" s="1" t="n">
        <x:v>6</x:v>
      </x:c>
      <x:c r="D4315" s="12" t="n">
        <x:v>0.18525</x:v>
      </x:c>
      <x:c r="E4315" s="12" t="n">
        <x:v>0.19525</x:v>
      </x:c>
      <x:c r="F4315" s="12" t="n">
        <x:v>0</x:v>
      </x:c>
      <x:c r="G4315" s="12" t="n">
        <x:v>0</x:v>
      </x:c>
      <x:c r="H4315" s="1" t="n">
        <x:f>'Historical prices'!E4315</x:f>
        <x:v>1.05</x:v>
      </x:c>
      <x:c r="I4315" s="6" t="n">
        <x:f>'Historical prices'!D4315</x:f>
        <x:v>0.2183</x:v>
      </x:c>
      <x:c r="J4315" s="13" t="n">
        <x:f>D4315*I4315*H4315</x:f>
        <x:v>0.04246207875</x:v>
      </x:c>
      <x:c r="K4315" s="13" t="n">
        <x:f>E4315*I4315*H4315</x:f>
        <x:v>0.04475422875000001</x:v>
      </x:c>
      <x:c r="L4315" s="1" t="str">
        <x:f>TEXT(A4315,"mmm yyyy")</x:f>
        <x:v>Aug 2026</x:v>
      </x:c>
    </x:row>
    <x:row r="4316" ht="21" customHeight="1">
      <x:c r="A4316" s="10" t="n">
        <x:v>46238</x:v>
      </x:c>
      <x:c r="B4316" s="1" t="n">
        <x:v>10</x:v>
      </x:c>
      <x:c r="C4316" s="1" t="n">
        <x:v>6</x:v>
      </x:c>
      <x:c r="D4316" s="12" t="n">
        <x:v>0.1875</x:v>
      </x:c>
      <x:c r="E4316" s="12" t="n">
        <x:v>0.1985</x:v>
      </x:c>
      <x:c r="F4316" s="12" t="n">
        <x:v>0</x:v>
      </x:c>
      <x:c r="G4316" s="12" t="n">
        <x:v>0</x:v>
      </x:c>
      <x:c r="H4316" s="1" t="n">
        <x:f>'Historical prices'!E4316</x:f>
        <x:v>1.05</x:v>
      </x:c>
      <x:c r="I4316" s="6" t="n">
        <x:f>'Historical prices'!D4316</x:f>
        <x:v>0.2186</x:v>
      </x:c>
      <x:c r="J4316" s="13" t="n">
        <x:f>D4316*I4316*H4316</x:f>
        <x:v>0.043036874999999995</x:v>
      </x:c>
      <x:c r="K4316" s="13" t="n">
        <x:f>E4316*I4316*H4316</x:f>
        <x:v>0.04556170500000001</x:v>
      </x:c>
      <x:c r="L4316" s="1" t="str">
        <x:f>TEXT(A4316,"mmm yyyy")</x:f>
        <x:v>Aug 2026</x:v>
      </x:c>
    </x:row>
    <x:row r="4317" ht="21" customHeight="1">
      <x:c r="A4317" s="10" t="n">
        <x:v>46238</x:v>
      </x:c>
      <x:c r="B4317" s="1" t="n">
        <x:v>10.5</x:v>
      </x:c>
      <x:c r="C4317" s="1" t="n">
        <x:v>6</x:v>
      </x:c>
      <x:c r="D4317" s="12" t="n">
        <x:v>0.1835</x:v>
      </x:c>
      <x:c r="E4317" s="12" t="n">
        <x:v>0.1935</x:v>
      </x:c>
      <x:c r="F4317" s="12" t="n">
        <x:v>0</x:v>
      </x:c>
      <x:c r="G4317" s="12" t="n">
        <x:v>0</x:v>
      </x:c>
      <x:c r="H4317" s="1" t="n">
        <x:f>'Historical prices'!E4317</x:f>
        <x:v>1.05</x:v>
      </x:c>
      <x:c r="I4317" s="6" t="n">
        <x:f>'Historical prices'!D4317</x:f>
        <x:v>0.2205</x:v>
      </x:c>
      <x:c r="J4317" s="13" t="n">
        <x:f>D4317*I4317*H4317</x:f>
        <x:v>0.0424848375</x:v>
      </x:c>
      <x:c r="K4317" s="13" t="n">
        <x:f>E4317*I4317*H4317</x:f>
        <x:v>0.0448000875</x:v>
      </x:c>
      <x:c r="L4317" s="1" t="str">
        <x:f>TEXT(A4317,"mmm yyyy")</x:f>
        <x:v>Aug 2026</x:v>
      </x:c>
    </x:row>
    <x:row r="4318" ht="21" customHeight="1">
      <x:c r="A4318" s="10" t="n">
        <x:v>46238</x:v>
      </x:c>
      <x:c r="B4318" s="1" t="n">
        <x:v>11</x:v>
      </x:c>
      <x:c r="C4318" s="1" t="n">
        <x:v>6</x:v>
      </x:c>
      <x:c r="D4318" s="12" t="n">
        <x:v>0.17600000000000002</x:v>
      </x:c>
      <x:c r="E4318" s="12" t="n">
        <x:v>0.187</x:v>
      </x:c>
      <x:c r="F4318" s="12" t="n">
        <x:v>0</x:v>
      </x:c>
      <x:c r="G4318" s="12" t="n">
        <x:v>0</x:v>
      </x:c>
      <x:c r="H4318" s="1" t="n">
        <x:f>'Historical prices'!E4318</x:f>
        <x:v>1.05</x:v>
      </x:c>
      <x:c r="I4318" s="6" t="n">
        <x:f>'Historical prices'!D4318</x:f>
        <x:v>0.20809999999999998</x:v>
      </x:c>
      <x:c r="J4318" s="13" t="n">
        <x:f>D4318*I4318*H4318</x:f>
        <x:v>0.038456880000000006</x:v>
      </x:c>
      <x:c r="K4318" s="13" t="n">
        <x:f>E4318*I4318*H4318</x:f>
        <x:v>0.040860435</x:v>
      </x:c>
      <x:c r="L4318" s="1" t="str">
        <x:f>TEXT(A4318,"mmm yyyy")</x:f>
        <x:v>Aug 2026</x:v>
      </x:c>
    </x:row>
    <x:row r="4319" ht="21" customHeight="1">
      <x:c r="A4319" s="10" t="n">
        <x:v>46238</x:v>
      </x:c>
      <x:c r="B4319" s="1" t="n">
        <x:v>11.5</x:v>
      </x:c>
      <x:c r="C4319" s="1" t="n">
        <x:v>6</x:v>
      </x:c>
      <x:c r="D4319" s="12" t="n">
        <x:v>0.20750000000000002</x:v>
      </x:c>
      <x:c r="E4319" s="12" t="n">
        <x:v>0.21750000000000003</x:v>
      </x:c>
      <x:c r="F4319" s="12" t="n">
        <x:v>0</x:v>
      </x:c>
      <x:c r="G4319" s="12" t="n">
        <x:v>0</x:v>
      </x:c>
      <x:c r="H4319" s="1" t="n">
        <x:f>'Historical prices'!E4319</x:f>
        <x:v>1.05</x:v>
      </x:c>
      <x:c r="I4319" s="6" t="n">
        <x:f>'Historical prices'!D4319</x:f>
        <x:v>0.2005</x:v>
      </x:c>
      <x:c r="J4319" s="13" t="n">
        <x:f>D4319*I4319*H4319</x:f>
        <x:v>0.04368393750000001</x:v>
      </x:c>
      <x:c r="K4319" s="13" t="n">
        <x:f>E4319*I4319*H4319</x:f>
        <x:v>0.04578918750000001</x:v>
      </x:c>
      <x:c r="L4319" s="1" t="str">
        <x:f>TEXT(A4319,"mmm yyyy")</x:f>
        <x:v>Aug 2026</x:v>
      </x:c>
    </x:row>
    <x:row r="4320" ht="21" customHeight="1">
      <x:c r="A4320" s="10" t="n">
        <x:v>46238</x:v>
      </x:c>
      <x:c r="B4320" s="1" t="n">
        <x:v>12</x:v>
      </x:c>
      <x:c r="C4320" s="1" t="n">
        <x:v>6</x:v>
      </x:c>
      <x:c r="D4320" s="12" t="n">
        <x:v>0.20475000000000002</x:v>
      </x:c>
      <x:c r="E4320" s="12" t="n">
        <x:v>0.21475</x:v>
      </x:c>
      <x:c r="F4320" s="12" t="n">
        <x:v>0</x:v>
      </x:c>
      <x:c r="G4320" s="12" t="n">
        <x:v>0</x:v>
      </x:c>
      <x:c r="H4320" s="1" t="n">
        <x:f>'Historical prices'!E4320</x:f>
        <x:v>1.05</x:v>
      </x:c>
      <x:c r="I4320" s="6" t="n">
        <x:f>'Historical prices'!D4320</x:f>
        <x:v>0.20850000000000002</x:v>
      </x:c>
      <x:c r="J4320" s="13" t="n">
        <x:f>D4320*I4320*H4320</x:f>
        <x:v>0.04482489375000001</x:v>
      </x:c>
      <x:c r="K4320" s="13" t="n">
        <x:f>E4320*I4320*H4320</x:f>
        <x:v>0.04701414375000001</x:v>
      </x:c>
      <x:c r="L4320" s="1" t="str">
        <x:f>TEXT(A4320,"mmm yyyy")</x:f>
        <x:v>Aug 2026</x:v>
      </x:c>
    </x:row>
    <x:row r="4321" ht="21" customHeight="1">
      <x:c r="A4321" s="10" t="n">
        <x:v>46238</x:v>
      </x:c>
      <x:c r="B4321" s="1" t="n">
        <x:v>12.5</x:v>
      </x:c>
      <x:c r="C4321" s="1" t="n">
        <x:v>6</x:v>
      </x:c>
      <x:c r="D4321" s="12" t="n">
        <x:v>0.16724999999999998</x:v>
      </x:c>
      <x:c r="E4321" s="12" t="n">
        <x:v>0.17825</x:v>
      </x:c>
      <x:c r="F4321" s="12" t="n">
        <x:v>0</x:v>
      </x:c>
      <x:c r="G4321" s="12" t="n">
        <x:v>0</x:v>
      </x:c>
      <x:c r="H4321" s="1" t="n">
        <x:f>'Historical prices'!E4321</x:f>
        <x:v>1.05</x:v>
      </x:c>
      <x:c r="I4321" s="6" t="n">
        <x:f>'Historical prices'!D4321</x:f>
        <x:v>0.195</x:v>
      </x:c>
      <x:c r="J4321" s="13" t="n">
        <x:f>D4321*I4321*H4321</x:f>
        <x:v>0.034244437499999995</x:v>
      </x:c>
      <x:c r="K4321" s="13" t="n">
        <x:f>E4321*I4321*H4321</x:f>
        <x:v>0.0364966875</x:v>
      </x:c>
      <x:c r="L4321" s="1" t="str">
        <x:f>TEXT(A4321,"mmm yyyy")</x:f>
        <x:v>Aug 2026</x:v>
      </x:c>
    </x:row>
    <x:row r="4322" ht="21" customHeight="1">
      <x:c r="A4322" s="10" t="n">
        <x:v>46238</x:v>
      </x:c>
      <x:c r="B4322" s="1" t="n">
        <x:v>13</x:v>
      </x:c>
      <x:c r="C4322" s="1" t="n">
        <x:v>6</x:v>
      </x:c>
      <x:c r="D4322" s="12" t="n">
        <x:v>0.2435</x:v>
      </x:c>
      <x:c r="E4322" s="12" t="n">
        <x:v>0.2545</x:v>
      </x:c>
      <x:c r="F4322" s="12" t="n">
        <x:v>0</x:v>
      </x:c>
      <x:c r="G4322" s="12" t="n">
        <x:v>0</x:v>
      </x:c>
      <x:c r="H4322" s="1" t="n">
        <x:f>'Historical prices'!E4322</x:f>
        <x:v>1.05</x:v>
      </x:c>
      <x:c r="I4322" s="6" t="n">
        <x:f>'Historical prices'!D4322</x:f>
        <x:v>0.21059999999999998</x:v>
      </x:c>
      <x:c r="J4322" s="13" t="n">
        <x:f>D4322*I4322*H4322</x:f>
        <x:v>0.053845155</x:v>
      </x:c>
      <x:c r="K4322" s="13" t="n">
        <x:f>E4322*I4322*H4322</x:f>
        <x:v>0.056277585</x:v>
      </x:c>
      <x:c r="L4322" s="1" t="str">
        <x:f>TEXT(A4322,"mmm yyyy")</x:f>
        <x:v>Aug 2026</x:v>
      </x:c>
    </x:row>
    <x:row r="4323" ht="21" customHeight="1">
      <x:c r="A4323" s="10" t="n">
        <x:v>46238</x:v>
      </x:c>
      <x:c r="B4323" s="1" t="n">
        <x:v>13.5</x:v>
      </x:c>
      <x:c r="C4323" s="1" t="n">
        <x:v>6</x:v>
      </x:c>
      <x:c r="D4323" s="12" t="n">
        <x:v>0.23375</x:v>
      </x:c>
      <x:c r="E4323" s="12" t="n">
        <x:v>0.24375000000000002</x:v>
      </x:c>
      <x:c r="F4323" s="12" t="n">
        <x:v>0</x:v>
      </x:c>
      <x:c r="G4323" s="12" t="n">
        <x:v>0</x:v>
      </x:c>
      <x:c r="H4323" s="1" t="n">
        <x:f>'Historical prices'!E4323</x:f>
        <x:v>1.05</x:v>
      </x:c>
      <x:c r="I4323" s="6" t="n">
        <x:f>'Historical prices'!D4323</x:f>
        <x:v>0.2029</x:v>
      </x:c>
      <x:c r="J4323" s="13" t="n">
        <x:f>D4323*I4323*H4323</x:f>
        <x:v>0.04979926875</x:v>
      </x:c>
      <x:c r="K4323" s="13" t="n">
        <x:f>E4323*I4323*H4323</x:f>
        <x:v>0.051929718750000006</x:v>
      </x:c>
      <x:c r="L4323" s="1" t="str">
        <x:f>TEXT(A4323,"mmm yyyy")</x:f>
        <x:v>Aug 2026</x:v>
      </x:c>
    </x:row>
    <x:row r="4324" ht="21" customHeight="1">
      <x:c r="A4324" s="10" t="n">
        <x:v>46238</x:v>
      </x:c>
      <x:c r="B4324" s="1" t="n">
        <x:v>14</x:v>
      </x:c>
      <x:c r="C4324" s="1" t="n">
        <x:v>6</x:v>
      </x:c>
      <x:c r="D4324" s="12" t="n">
        <x:v>0.16399999999999998</x:v>
      </x:c>
      <x:c r="E4324" s="12" t="n">
        <x:v>0.174</x:v>
      </x:c>
      <x:c r="F4324" s="12" t="n">
        <x:v>0</x:v>
      </x:c>
      <x:c r="G4324" s="12" t="n">
        <x:v>0</x:v>
      </x:c>
      <x:c r="H4324" s="1" t="n">
        <x:f>'Historical prices'!E4324</x:f>
        <x:v>1.05</x:v>
      </x:c>
      <x:c r="I4324" s="6" t="n">
        <x:f>'Historical prices'!D4324</x:f>
        <x:v>0.1956</x:v>
      </x:c>
      <x:c r="J4324" s="13" t="n">
        <x:f>D4324*I4324*H4324</x:f>
        <x:v>0.033682319999999995</x:v>
      </x:c>
      <x:c r="K4324" s="13" t="n">
        <x:f>E4324*I4324*H4324</x:f>
        <x:v>0.03573612</x:v>
      </x:c>
      <x:c r="L4324" s="1" t="str">
        <x:f>TEXT(A4324,"mmm yyyy")</x:f>
        <x:v>Aug 2026</x:v>
      </x:c>
    </x:row>
    <x:row r="4325" ht="21" customHeight="1">
      <x:c r="A4325" s="10" t="n">
        <x:v>46238</x:v>
      </x:c>
      <x:c r="B4325" s="1" t="n">
        <x:v>14.5</x:v>
      </x:c>
      <x:c r="C4325" s="1" t="n">
        <x:v>6</x:v>
      </x:c>
      <x:c r="D4325" s="12" t="n">
        <x:v>4.155</x:v>
      </x:c>
      <x:c r="E4325" s="12" t="n">
        <x:v>0.363</x:v>
      </x:c>
      <x:c r="F4325" s="12" t="n">
        <x:v>0</x:v>
      </x:c>
      <x:c r="G4325" s="12" t="n">
        <x:v>3.7939999999999996</x:v>
      </x:c>
      <x:c r="H4325" s="1" t="n">
        <x:f>'Historical prices'!E4325</x:f>
        <x:v>1.05</x:v>
      </x:c>
      <x:c r="I4325" s="6" t="n">
        <x:f>'Historical prices'!D4325</x:f>
        <x:v>0.1928</x:v>
      </x:c>
      <x:c r="J4325" s="13" t="n">
        <x:f>D4325*I4325*H4325</x:f>
        <x:v>0.8411382000000001</x:v>
      </x:c>
      <x:c r="K4325" s="13" t="n">
        <x:f>E4325*I4325*H4325</x:f>
        <x:v>0.07348572</x:v>
      </x:c>
      <x:c r="L4325" s="1" t="str">
        <x:f>TEXT(A4325,"mmm yyyy")</x:f>
        <x:v>Aug 2026</x:v>
      </x:c>
    </x:row>
    <x:row r="4326" ht="21" customHeight="1">
      <x:c r="A4326" s="10" t="n">
        <x:v>46238</x:v>
      </x:c>
      <x:c r="B4326" s="1" t="n">
        <x:v>15</x:v>
      </x:c>
      <x:c r="C4326" s="1" t="n">
        <x:v>6</x:v>
      </x:c>
      <x:c r="D4326" s="12" t="n">
        <x:v>0.9797500000000001</x:v>
      </x:c>
      <x:c r="E4326" s="12" t="n">
        <x:v>0.24275000000000002</x:v>
      </x:c>
      <x:c r="F4326" s="12" t="n">
        <x:v>0</x:v>
      </x:c>
      <x:c r="G4326" s="12" t="n">
        <x:v>0.739</x:v>
      </x:c>
      <x:c r="H4326" s="1" t="n">
        <x:f>'Historical prices'!E4326</x:f>
        <x:v>1.05</x:v>
      </x:c>
      <x:c r="I4326" s="6" t="n">
        <x:f>'Historical prices'!D4326</x:f>
        <x:v>0.1997</x:v>
      </x:c>
      <x:c r="J4326" s="13" t="n">
        <x:f>D4326*I4326*H4326</x:f>
        <x:v>0.20543887875000003</x:v>
      </x:c>
      <x:c r="K4326" s="13" t="n">
        <x:f>E4326*I4326*H4326</x:f>
        <x:v>0.050901033750000005</x:v>
      </x:c>
      <x:c r="L4326" s="1" t="str">
        <x:f>TEXT(A4326,"mmm yyyy")</x:f>
        <x:v>Aug 2026</x:v>
      </x:c>
    </x:row>
    <x:row r="4327" ht="21" customHeight="1">
      <x:c r="A4327" s="10" t="n">
        <x:v>46238</x:v>
      </x:c>
      <x:c r="B4327" s="1" t="n">
        <x:v>15.5</x:v>
      </x:c>
      <x:c r="C4327" s="1" t="n">
        <x:v>6</x:v>
      </x:c>
      <x:c r="D4327" s="12" t="n">
        <x:v>0.214</x:v>
      </x:c>
      <x:c r="E4327" s="12" t="n">
        <x:v>0.224</x:v>
      </x:c>
      <x:c r="F4327" s="12" t="n">
        <x:v>0</x:v>
      </x:c>
      <x:c r="G4327" s="12" t="n">
        <x:v>0</x:v>
      </x:c>
      <x:c r="H4327" s="1" t="n">
        <x:f>'Historical prices'!E4327</x:f>
        <x:v>1.05</x:v>
      </x:c>
      <x:c r="I4327" s="6" t="n">
        <x:f>'Historical prices'!D4327</x:f>
        <x:v>0.19760000000000003</x:v>
      </x:c>
      <x:c r="J4327" s="13" t="n">
        <x:f>D4327*I4327*H4327</x:f>
        <x:v>0.044400720000000005</x:v>
      </x:c>
      <x:c r="K4327" s="13" t="n">
        <x:f>E4327*I4327*H4327</x:f>
        <x:v>0.046475520000000006</x:v>
      </x:c>
      <x:c r="L4327" s="1" t="str">
        <x:f>TEXT(A4327,"mmm yyyy")</x:f>
        <x:v>Aug 2026</x:v>
      </x:c>
    </x:row>
    <x:row r="4328" ht="21" customHeight="1">
      <x:c r="A4328" s="10" t="n">
        <x:v>46238</x:v>
      </x:c>
      <x:c r="B4328" s="1" t="n">
        <x:v>16</x:v>
      </x:c>
      <x:c r="C4328" s="1" t="n">
        <x:v>6</x:v>
      </x:c>
      <x:c r="D4328" s="12" t="n">
        <x:v>0.02725</x:v>
      </x:c>
      <x:c r="E4328" s="12" t="n">
        <x:v>0.20508333333333334</x:v>
      </x:c>
      <x:c r="F4328" s="12" t="n">
        <x:v>0.17575</x:v>
      </x:c>
      <x:c r="G4328" s="12" t="n">
        <x:v>0</x:v>
      </x:c>
      <x:c r="H4328" s="1" t="n">
        <x:f>'Historical prices'!E4328</x:f>
        <x:v>1.05</x:v>
      </x:c>
      <x:c r="I4328" s="6" t="n">
        <x:f>'Historical prices'!D4328</x:f>
        <x:v>0.3348</x:v>
      </x:c>
      <x:c r="J4328" s="13" t="n">
        <x:f>D4328*I4328*H4328</x:f>
        <x:v>0.009579464999999999</x:v>
      </x:c>
      <x:c r="K4328" s="13" t="n">
        <x:f>E4328*I4328*H4328</x:f>
        <x:v>0.072094995</x:v>
      </x:c>
      <x:c r="L4328" s="1" t="str">
        <x:f>TEXT(A4328,"mmm yyyy")</x:f>
        <x:v>Aug 2026</x:v>
      </x:c>
    </x:row>
    <x:row r="4329" ht="21" customHeight="1">
      <x:c r="A4329" s="10" t="n">
        <x:v>46238</x:v>
      </x:c>
      <x:c r="B4329" s="1" t="n">
        <x:v>16.5</x:v>
      </x:c>
      <x:c r="C4329" s="1" t="n">
        <x:v>6</x:v>
      </x:c>
      <x:c r="D4329" s="12" t="n">
        <x:v>0</x:v>
      </x:c>
      <x:c r="E4329" s="12" t="n">
        <x:v>0.246</x:v>
      </x:c>
      <x:c r="F4329" s="12" t="n">
        <x:v>0.24583333333333335</x:v>
      </x:c>
      <x:c r="G4329" s="12" t="n">
        <x:v>0</x:v>
      </x:c>
      <x:c r="H4329" s="1" t="n">
        <x:f>'Historical prices'!E4329</x:f>
        <x:v>1.05</x:v>
      </x:c>
      <x:c r="I4329" s="6" t="n">
        <x:f>'Historical prices'!D4329</x:f>
        <x:v>0.32439999999999997</x:v>
      </x:c>
      <x:c r="J4329" s="13" t="n">
        <x:f>D4329*I4329*H4329</x:f>
        <x:v>0</x:v>
      </x:c>
      <x:c r="K4329" s="13" t="n">
        <x:f>E4329*I4329*H4329</x:f>
        <x:v>0.08379252</x:v>
      </x:c>
      <x:c r="L4329" s="1" t="str">
        <x:f>TEXT(A4329,"mmm yyyy")</x:f>
        <x:v>Aug 2026</x:v>
      </x:c>
    </x:row>
    <x:row r="4330" ht="21" customHeight="1">
      <x:c r="A4330" s="10" t="n">
        <x:v>46238</x:v>
      </x:c>
      <x:c r="B4330" s="1" t="n">
        <x:v>17</x:v>
      </x:c>
      <x:c r="C4330" s="1" t="n">
        <x:v>6</x:v>
      </x:c>
      <x:c r="D4330" s="12" t="n">
        <x:v>0</x:v>
      </x:c>
      <x:c r="E4330" s="12" t="n">
        <x:v>0.25383333333333336</x:v>
      </x:c>
      <x:c r="F4330" s="12" t="n">
        <x:v>0.2535833333333334</x:v>
      </x:c>
      <x:c r="G4330" s="12" t="n">
        <x:v>0</x:v>
      </x:c>
      <x:c r="H4330" s="1" t="n">
        <x:f>'Historical prices'!E4330</x:f>
        <x:v>1.05</x:v>
      </x:c>
      <x:c r="I4330" s="6" t="n">
        <x:f>'Historical prices'!D4330</x:f>
        <x:v>0.3452</x:v>
      </x:c>
      <x:c r="J4330" s="13" t="n">
        <x:f>D4330*I4330*H4330</x:f>
        <x:v>0</x:v>
      </x:c>
      <x:c r="K4330" s="13" t="n">
        <x:f>E4330*I4330*H4330</x:f>
        <x:v>0.09200443000000001</x:v>
      </x:c>
      <x:c r="L4330" s="1" t="str">
        <x:f>TEXT(A4330,"mmm yyyy")</x:f>
        <x:v>Aug 2026</x:v>
      </x:c>
    </x:row>
    <x:row r="4331" ht="21" customHeight="1">
      <x:c r="A4331" s="10" t="n">
        <x:v>46238</x:v>
      </x:c>
      <x:c r="B4331" s="1" t="n">
        <x:v>17.5</x:v>
      </x:c>
      <x:c r="C4331" s="1" t="n">
        <x:v>6</x:v>
      </x:c>
      <x:c r="D4331" s="12" t="n">
        <x:v>0</x:v>
      </x:c>
      <x:c r="E4331" s="12" t="n">
        <x:v>0.26166666666666666</x:v>
      </x:c>
      <x:c r="F4331" s="12" t="n">
        <x:v>0.26125</x:v>
      </x:c>
      <x:c r="G4331" s="12" t="n">
        <x:v>0</x:v>
      </x:c>
      <x:c r="H4331" s="1" t="n">
        <x:f>'Historical prices'!E4331</x:f>
        <x:v>1.05</x:v>
      </x:c>
      <x:c r="I4331" s="6" t="n">
        <x:f>'Historical prices'!D4331</x:f>
        <x:v>0.3582</x:v>
      </x:c>
      <x:c r="J4331" s="13" t="n">
        <x:f>D4331*I4331*H4331</x:f>
        <x:v>0</x:v>
      </x:c>
      <x:c r="K4331" s="13" t="n">
        <x:f>E4331*I4331*H4331</x:f>
        <x:v>0.09841545000000002</x:v>
      </x:c>
      <x:c r="L4331" s="1" t="str">
        <x:f>TEXT(A4331,"mmm yyyy")</x:f>
        <x:v>Aug 2026</x:v>
      </x:c>
    </x:row>
    <x:row r="4332" ht="21" customHeight="1">
      <x:c r="A4332" s="10" t="n">
        <x:v>46238</x:v>
      </x:c>
      <x:c r="B4332" s="1" t="n">
        <x:v>18</x:v>
      </x:c>
      <x:c r="C4332" s="1" t="n">
        <x:v>6</x:v>
      </x:c>
      <x:c r="D4332" s="12" t="n">
        <x:v>0</x:v>
      </x:c>
      <x:c r="E4332" s="12" t="n">
        <x:v>0.29508333333333336</x:v>
      </x:c>
      <x:c r="F4332" s="12" t="n">
        <x:v>0.2945833333333333</x:v>
      </x:c>
      <x:c r="G4332" s="12" t="n">
        <x:v>0</x:v>
      </x:c>
      <x:c r="H4332" s="1" t="n">
        <x:f>'Historical prices'!E4332</x:f>
        <x:v>1.05</x:v>
      </x:c>
      <x:c r="I4332" s="6" t="n">
        <x:f>'Historical prices'!D4332</x:f>
        <x:v>0.3754</x:v>
      </x:c>
      <x:c r="J4332" s="13" t="n">
        <x:f>D4332*I4332*H4332</x:f>
        <x:v>0</x:v>
      </x:c>
      <x:c r="K4332" s="13" t="n">
        <x:f>E4332*I4332*H4332</x:f>
        <x:v>0.11631299750000001</x:v>
      </x:c>
      <x:c r="L4332" s="1" t="str">
        <x:f>TEXT(A4332,"mmm yyyy")</x:f>
        <x:v>Aug 2026</x:v>
      </x:c>
    </x:row>
    <x:row r="4333" ht="21" customHeight="1">
      <x:c r="A4333" s="10" t="n">
        <x:v>46238</x:v>
      </x:c>
      <x:c r="B4333" s="1" t="n">
        <x:v>18.5</x:v>
      </x:c>
      <x:c r="C4333" s="1" t="n">
        <x:v>6</x:v>
      </x:c>
      <x:c r="D4333" s="12" t="n">
        <x:v>0</x:v>
      </x:c>
      <x:c r="E4333" s="12" t="n">
        <x:v>0.25658333333333333</x:v>
      </x:c>
      <x:c r="F4333" s="12" t="n">
        <x:v>0.2565</x:v>
      </x:c>
      <x:c r="G4333" s="12" t="n">
        <x:v>0</x:v>
      </x:c>
      <x:c r="H4333" s="1" t="n">
        <x:f>'Historical prices'!E4333</x:f>
        <x:v>1.05</x:v>
      </x:c>
      <x:c r="I4333" s="6" t="n">
        <x:f>'Historical prices'!D4333</x:f>
        <x:v>0.39</x:v>
      </x:c>
      <x:c r="J4333" s="13" t="n">
        <x:f>D4333*I4333*H4333</x:f>
        <x:v>0</x:v>
      </x:c>
      <x:c r="K4333" s="13" t="n">
        <x:f>E4333*I4333*H4333</x:f>
        <x:v>0.10507087500000001</x:v>
      </x:c>
      <x:c r="L4333" s="1" t="str">
        <x:f>TEXT(A4333,"mmm yyyy")</x:f>
        <x:v>Aug 2026</x:v>
      </x:c>
    </x:row>
    <x:row r="4334" ht="21" customHeight="1">
      <x:c r="A4334" s="10" t="n">
        <x:v>46238</x:v>
      </x:c>
      <x:c r="B4334" s="1" t="n">
        <x:v>19</x:v>
      </x:c>
      <x:c r="C4334" s="1" t="n">
        <x:v>6</x:v>
      </x:c>
      <x:c r="D4334" s="12" t="n">
        <x:v>0</x:v>
      </x:c>
      <x:c r="E4334" s="12" t="n">
        <x:v>0.29000000000000004</x:v>
      </x:c>
      <x:c r="F4334" s="12" t="n">
        <x:v>0.28974999999999995</x:v>
      </x:c>
      <x:c r="G4334" s="12" t="n">
        <x:v>0</x:v>
      </x:c>
      <x:c r="H4334" s="1" t="n">
        <x:f>'Historical prices'!E4334</x:f>
        <x:v>1.05</x:v>
      </x:c>
      <x:c r="I4334" s="6" t="n">
        <x:f>'Historical prices'!D4334</x:f>
        <x:v>0.293</x:v>
      </x:c>
      <x:c r="J4334" s="13" t="n">
        <x:f>D4334*I4334*H4334</x:f>
        <x:v>0</x:v>
      </x:c>
      <x:c r="K4334" s="13" t="n">
        <x:f>E4334*I4334*H4334</x:f>
        <x:v>0.0892185</x:v>
      </x:c>
      <x:c r="L4334" s="1" t="str">
        <x:f>TEXT(A4334,"mmm yyyy")</x:f>
        <x:v>Aug 2026</x:v>
      </x:c>
    </x:row>
    <x:row r="4335" ht="21" customHeight="1">
      <x:c r="A4335" s="10" t="n">
        <x:v>46238</x:v>
      </x:c>
      <x:c r="B4335" s="1" t="n">
        <x:v>19.5</x:v>
      </x:c>
      <x:c r="C4335" s="1" t="n">
        <x:v>6</x:v>
      </x:c>
      <x:c r="D4335" s="12" t="n">
        <x:v>0</x:v>
      </x:c>
      <x:c r="E4335" s="12" t="n">
        <x:v>0.26158333333333333</x:v>
      </x:c>
      <x:c r="F4335" s="12" t="n">
        <x:v>0.25966666666666666</x:v>
      </x:c>
      <x:c r="G4335" s="12" t="n">
        <x:v>0</x:v>
      </x:c>
      <x:c r="H4335" s="1" t="n">
        <x:f>'Historical prices'!E4335</x:f>
        <x:v>1.05</x:v>
      </x:c>
      <x:c r="I4335" s="6" t="n">
        <x:f>'Historical prices'!D4335</x:f>
        <x:v>0.2927</x:v>
      </x:c>
      <x:c r="J4335" s="13" t="n">
        <x:f>D4335*I4335*H4335</x:f>
        <x:v>0</x:v>
      </x:c>
      <x:c r="K4335" s="13" t="n">
        <x:f>E4335*I4335*H4335</x:f>
        <x:v>0.08039371375</x:v>
      </x:c>
      <x:c r="L4335" s="1" t="str">
        <x:f>TEXT(A4335,"mmm yyyy")</x:f>
        <x:v>Aug 2026</x:v>
      </x:c>
    </x:row>
    <x:row r="4336" ht="21" customHeight="1">
      <x:c r="A4336" s="10" t="n">
        <x:v>46238</x:v>
      </x:c>
      <x:c r="B4336" s="1" t="n">
        <x:v>20</x:v>
      </x:c>
      <x:c r="C4336" s="1" t="n">
        <x:v>6</x:v>
      </x:c>
      <x:c r="D4336" s="12" t="n">
        <x:v>0</x:v>
      </x:c>
      <x:c r="E4336" s="12" t="n">
        <x:v>0.31316666666666665</x:v>
      </x:c>
      <x:c r="F4336" s="12" t="n">
        <x:v>0.30874999999999997</x:v>
      </x:c>
      <x:c r="G4336" s="12" t="n">
        <x:v>0</x:v>
      </x:c>
      <x:c r="H4336" s="1" t="n">
        <x:f>'Historical prices'!E4336</x:f>
        <x:v>1.05</x:v>
      </x:c>
      <x:c r="I4336" s="6" t="n">
        <x:f>'Historical prices'!D4336</x:f>
        <x:v>0.2968</x:v>
      </x:c>
      <x:c r="J4336" s="13" t="n">
        <x:f>D4336*I4336*H4336</x:f>
        <x:v>0</x:v>
      </x:c>
      <x:c r="K4336" s="13" t="n">
        <x:f>E4336*I4336*H4336</x:f>
        <x:v>0.09759526</x:v>
      </x:c>
      <x:c r="L4336" s="1" t="str">
        <x:f>TEXT(A4336,"mmm yyyy")</x:f>
        <x:v>Aug 2026</x:v>
      </x:c>
    </x:row>
    <x:row r="4337" ht="21" customHeight="1">
      <x:c r="A4337" s="10" t="n">
        <x:v>46238</x:v>
      </x:c>
      <x:c r="B4337" s="1" t="n">
        <x:v>20.5</x:v>
      </x:c>
      <x:c r="C4337" s="1" t="n">
        <x:v>6</x:v>
      </x:c>
      <x:c r="D4337" s="12" t="n">
        <x:v>0</x:v>
      </x:c>
      <x:c r="E4337" s="12" t="n">
        <x:v>0.247</x:v>
      </x:c>
      <x:c r="F4337" s="12" t="n">
        <x:v>0.24650000000000002</x:v>
      </x:c>
      <x:c r="G4337" s="12" t="n">
        <x:v>0</x:v>
      </x:c>
      <x:c r="H4337" s="1" t="n">
        <x:f>'Historical prices'!E4337</x:f>
        <x:v>1.05</x:v>
      </x:c>
      <x:c r="I4337" s="6" t="n">
        <x:f>'Historical prices'!D4337</x:f>
        <x:v>0.2903</x:v>
      </x:c>
      <x:c r="J4337" s="13" t="n">
        <x:f>D4337*I4337*H4337</x:f>
        <x:v>0</x:v>
      </x:c>
      <x:c r="K4337" s="13" t="n">
        <x:f>E4337*I4337*H4337</x:f>
        <x:v>0.07528930500000001</x:v>
      </x:c>
      <x:c r="L4337" s="1" t="str">
        <x:f>TEXT(A4337,"mmm yyyy")</x:f>
        <x:v>Aug 2026</x:v>
      </x:c>
    </x:row>
    <x:row r="4338" ht="21" customHeight="1">
      <x:c r="A4338" s="10" t="n">
        <x:v>46238</x:v>
      </x:c>
      <x:c r="B4338" s="1" t="n">
        <x:v>21</x:v>
      </x:c>
      <x:c r="C4338" s="1" t="n">
        <x:v>6</x:v>
      </x:c>
      <x:c r="D4338" s="12" t="n">
        <x:v>0</x:v>
      </x:c>
      <x:c r="E4338" s="12" t="n">
        <x:v>0.2728333333333333</x:v>
      </x:c>
      <x:c r="F4338" s="12" t="n">
        <x:v>0.2725</x:v>
      </x:c>
      <x:c r="G4338" s="12" t="n">
        <x:v>0</x:v>
      </x:c>
      <x:c r="H4338" s="1" t="n">
        <x:f>'Historical prices'!E4338</x:f>
        <x:v>1.05</x:v>
      </x:c>
      <x:c r="I4338" s="6" t="n">
        <x:f>'Historical prices'!D4338</x:f>
        <x:v>0.2862</x:v>
      </x:c>
      <x:c r="J4338" s="13" t="n">
        <x:f>D4338*I4338*H4338</x:f>
        <x:v>0</x:v>
      </x:c>
      <x:c r="K4338" s="13" t="n">
        <x:f>E4338*I4338*H4338</x:f>
        <x:v>0.081989145</x:v>
      </x:c>
      <x:c r="L4338" s="1" t="str">
        <x:f>TEXT(A4338,"mmm yyyy")</x:f>
        <x:v>Aug 2026</x:v>
      </x:c>
    </x:row>
    <x:row r="4339" ht="21" customHeight="1">
      <x:c r="A4339" s="10" t="n">
        <x:v>46238</x:v>
      </x:c>
      <x:c r="B4339" s="1" t="n">
        <x:v>21.5</x:v>
      </x:c>
      <x:c r="C4339" s="1" t="n">
        <x:v>6</x:v>
      </x:c>
      <x:c r="D4339" s="12" t="n">
        <x:v>0</x:v>
      </x:c>
      <x:c r="E4339" s="12" t="n">
        <x:v>0.30291666666666667</x:v>
      </x:c>
      <x:c r="F4339" s="12" t="n">
        <x:v>0.30233333333333334</x:v>
      </x:c>
      <x:c r="G4339" s="12" t="n">
        <x:v>0</x:v>
      </x:c>
      <x:c r="H4339" s="1" t="n">
        <x:f>'Historical prices'!E4339</x:f>
        <x:v>1.05</x:v>
      </x:c>
      <x:c r="I4339" s="6" t="n">
        <x:f>'Historical prices'!D4339</x:f>
        <x:v>0.27699999999999997</x:v>
      </x:c>
      <x:c r="J4339" s="13" t="n">
        <x:f>D4339*I4339*H4339</x:f>
        <x:v>0</x:v>
      </x:c>
      <x:c r="K4339" s="13" t="n">
        <x:f>E4339*I4339*H4339</x:f>
        <x:v>0.08810331249999999</x:v>
      </x:c>
      <x:c r="L4339" s="1" t="str">
        <x:f>TEXT(A4339,"mmm yyyy")</x:f>
        <x:v>Aug 2026</x:v>
      </x:c>
    </x:row>
    <x:row r="4340" ht="21" customHeight="1">
      <x:c r="A4340" s="10" t="n">
        <x:v>46238</x:v>
      </x:c>
      <x:c r="B4340" s="1" t="n">
        <x:v>22</x:v>
      </x:c>
      <x:c r="C4340" s="1" t="n">
        <x:v>6</x:v>
      </x:c>
      <x:c r="D4340" s="12" t="n">
        <x:v>0</x:v>
      </x:c>
      <x:c r="E4340" s="12" t="n">
        <x:v>0.2838333333333333</x:v>
      </x:c>
      <x:c r="F4340" s="12" t="n">
        <x:v>0.2836666666666666</x:v>
      </x:c>
      <x:c r="G4340" s="12" t="n">
        <x:v>0</x:v>
      </x:c>
      <x:c r="H4340" s="1" t="n">
        <x:f>'Historical prices'!E4340</x:f>
        <x:v>1.05</x:v>
      </x:c>
      <x:c r="I4340" s="6" t="n">
        <x:f>'Historical prices'!D4340</x:f>
        <x:v>0.2614</x:v>
      </x:c>
      <x:c r="J4340" s="13" t="n">
        <x:f>D4340*I4340*H4340</x:f>
        <x:v>0</x:v>
      </x:c>
      <x:c r="K4340" s="13" t="n">
        <x:f>E4340*I4340*H4340</x:f>
        <x:v>0.07790373500000002</x:v>
      </x:c>
      <x:c r="L4340" s="1" t="str">
        <x:f>TEXT(A4340,"mmm yyyy")</x:f>
        <x:v>Aug 2026</x:v>
      </x:c>
    </x:row>
    <x:row r="4341" ht="21" customHeight="1">
      <x:c r="A4341" s="10" t="n">
        <x:v>46238</x:v>
      </x:c>
      <x:c r="B4341" s="1" t="n">
        <x:v>22.5</x:v>
      </x:c>
      <x:c r="C4341" s="1" t="n">
        <x:v>6</x:v>
      </x:c>
      <x:c r="D4341" s="12" t="n">
        <x:v>0</x:v>
      </x:c>
      <x:c r="E4341" s="12" t="n">
        <x:v>0.26975000000000005</x:v>
      </x:c>
      <x:c r="F4341" s="12" t="n">
        <x:v>0.26941666666666664</x:v>
      </x:c>
      <x:c r="G4341" s="12" t="n">
        <x:v>0</x:v>
      </x:c>
      <x:c r="H4341" s="1" t="n">
        <x:f>'Historical prices'!E4341</x:f>
        <x:v>1.05</x:v>
      </x:c>
      <x:c r="I4341" s="6" t="n">
        <x:f>'Historical prices'!D4341</x:f>
        <x:v>0.2413</x:v>
      </x:c>
      <x:c r="J4341" s="13" t="n">
        <x:f>D4341*I4341*H4341</x:f>
        <x:v>0</x:v>
      </x:c>
      <x:c r="K4341" s="13" t="n">
        <x:f>E4341*I4341*H4341</x:f>
        <x:v>0.06834520875</x:v>
      </x:c>
      <x:c r="L4341" s="1" t="str">
        <x:f>TEXT(A4341,"mmm yyyy")</x:f>
        <x:v>Aug 2026</x:v>
      </x:c>
    </x:row>
    <x:row r="4342" ht="21" customHeight="1">
      <x:c r="A4342" s="10" t="n">
        <x:v>46238</x:v>
      </x:c>
      <x:c r="B4342" s="1" t="n">
        <x:v>23</x:v>
      </x:c>
      <x:c r="C4342" s="1" t="n">
        <x:v>6</x:v>
      </x:c>
      <x:c r="D4342" s="12" t="n">
        <x:v>0</x:v>
      </x:c>
      <x:c r="E4342" s="12" t="n">
        <x:v>0.2609166666666667</x:v>
      </x:c>
      <x:c r="F4342" s="12" t="n">
        <x:v>0.26058333333333333</x:v>
      </x:c>
      <x:c r="G4342" s="12" t="n">
        <x:v>0</x:v>
      </x:c>
      <x:c r="H4342" s="1" t="n">
        <x:f>'Historical prices'!E4342</x:f>
        <x:v>1.05</x:v>
      </x:c>
      <x:c r="I4342" s="6" t="n">
        <x:f>'Historical prices'!D4342</x:f>
        <x:v>0.2302</x:v>
      </x:c>
      <x:c r="J4342" s="13" t="n">
        <x:f>D4342*I4342*H4342</x:f>
        <x:v>0</x:v>
      </x:c>
      <x:c r="K4342" s="13" t="n">
        <x:f>E4342*I4342*H4342</x:f>
        <x:v>0.0630661675</x:v>
      </x:c>
      <x:c r="L4342" s="1" t="str">
        <x:f>TEXT(A4342,"mmm yyyy")</x:f>
        <x:v>Aug 2026</x:v>
      </x:c>
    </x:row>
    <x:row r="4343" ht="21" customHeight="1">
      <x:c r="A4343" s="10" t="n">
        <x:v>46238</x:v>
      </x:c>
      <x:c r="B4343" s="1" t="n">
        <x:v>23.5</x:v>
      </x:c>
      <x:c r="C4343" s="1" t="n">
        <x:v>6</x:v>
      </x:c>
      <x:c r="D4343" s="12" t="n">
        <x:v>0</x:v>
      </x:c>
      <x:c r="E4343" s="12" t="n">
        <x:v>0.213</x:v>
      </x:c>
      <x:c r="F4343" s="12" t="n">
        <x:v>0.21275</x:v>
      </x:c>
      <x:c r="G4343" s="12" t="n">
        <x:v>0</x:v>
      </x:c>
      <x:c r="H4343" s="1" t="n">
        <x:f>'Historical prices'!E4343</x:f>
        <x:v>1.05</x:v>
      </x:c>
      <x:c r="I4343" s="6" t="n">
        <x:f>'Historical prices'!D4343</x:f>
        <x:v>0.23329999999999998</x:v>
      </x:c>
      <x:c r="J4343" s="13" t="n">
        <x:f>D4343*I4343*H4343</x:f>
        <x:v>0</x:v>
      </x:c>
      <x:c r="K4343" s="13" t="n">
        <x:f>E4343*I4343*H4343</x:f>
        <x:v>0.05217754499999999</x:v>
      </x:c>
      <x:c r="L4343" s="1" t="str">
        <x:f>TEXT(A4343,"mmm yyyy")</x:f>
        <x:v>Aug 2026</x:v>
      </x:c>
    </x:row>
    <x:row r="4344" ht="21" customHeight="1">
      <x:c r="A4344" s="10" t="n">
        <x:v>46239</x:v>
      </x:c>
      <x:c r="B4344" s="1" t="n">
        <x:v>0</x:v>
      </x:c>
      <x:c r="C4344" s="1" t="n">
        <x:v>6</x:v>
      </x:c>
      <x:c r="D4344" s="12" t="n">
        <x:v>0</x:v>
      </x:c>
      <x:c r="E4344" s="12" t="n">
        <x:v>0.3394166666666667</x:v>
      </x:c>
      <x:c r="F4344" s="12" t="n">
        <x:v>0.33866666666666667</x:v>
      </x:c>
      <x:c r="G4344" s="12" t="n">
        <x:v>0</x:v>
      </x:c>
      <x:c r="H4344" s="1" t="n">
        <x:f>'Historical prices'!E4344</x:f>
        <x:v>1.05</x:v>
      </x:c>
      <x:c r="I4344" s="6" t="n">
        <x:f>'Historical prices'!D4344</x:f>
        <x:v>0.2354</x:v>
      </x:c>
      <x:c r="J4344" s="13" t="n">
        <x:f>D4344*I4344*H4344</x:f>
        <x:v>0</x:v>
      </x:c>
      <x:c r="K4344" s="13" t="n">
        <x:f>E4344*I4344*H4344</x:f>
        <x:v>0.08389361750000002</x:v>
      </x:c>
      <x:c r="L4344" s="1" t="str">
        <x:f>TEXT(A4344,"mmm yyyy")</x:f>
        <x:v>Aug 2026</x:v>
      </x:c>
    </x:row>
    <x:row r="4345" ht="21" customHeight="1">
      <x:c r="A4345" s="10" t="n">
        <x:v>46239</x:v>
      </x:c>
      <x:c r="B4345" s="1" t="n">
        <x:v>0.5</x:v>
      </x:c>
      <x:c r="C4345" s="1" t="n">
        <x:v>6</x:v>
      </x:c>
      <x:c r="D4345" s="12" t="n">
        <x:v>0</x:v>
      </x:c>
      <x:c r="E4345" s="12" t="n">
        <x:v>0.2580833333333334</x:v>
      </x:c>
      <x:c r="F4345" s="12" t="n">
        <x:v>0.25758333333333333</x:v>
      </x:c>
      <x:c r="G4345" s="12" t="n">
        <x:v>0</x:v>
      </x:c>
      <x:c r="H4345" s="1" t="n">
        <x:f>'Historical prices'!E4345</x:f>
        <x:v>1.05</x:v>
      </x:c>
      <x:c r="I4345" s="6" t="n">
        <x:f>'Historical prices'!D4345</x:f>
        <x:v>0.22699999999999998</x:v>
      </x:c>
      <x:c r="J4345" s="13" t="n">
        <x:f>D4345*I4345*H4345</x:f>
        <x:v>0</x:v>
      </x:c>
      <x:c r="K4345" s="13" t="n">
        <x:f>E4345*I4345*H4345</x:f>
        <x:v>0.06151416250000001</x:v>
      </x:c>
      <x:c r="L4345" s="1" t="str">
        <x:f>TEXT(A4345,"mmm yyyy")</x:f>
        <x:v>Aug 2026</x:v>
      </x:c>
    </x:row>
    <x:row r="4346" ht="21" customHeight="1">
      <x:c r="A4346" s="10" t="n">
        <x:v>46239</x:v>
      </x:c>
      <x:c r="B4346" s="1" t="n">
        <x:v>1</x:v>
      </x:c>
      <x:c r="C4346" s="1" t="n">
        <x:v>6</x:v>
      </x:c>
      <x:c r="D4346" s="12" t="n">
        <x:v>0</x:v>
      </x:c>
      <x:c r="E4346" s="12" t="n">
        <x:v>0.22591666666666665</x:v>
      </x:c>
      <x:c r="F4346" s="12" t="n">
        <x:v>0.22558333333333333</x:v>
      </x:c>
      <x:c r="G4346" s="12" t="n">
        <x:v>0</x:v>
      </x:c>
      <x:c r="H4346" s="1" t="n">
        <x:f>'Historical prices'!E4346</x:f>
        <x:v>1.05</x:v>
      </x:c>
      <x:c r="I4346" s="6" t="n">
        <x:f>'Historical prices'!D4346</x:f>
        <x:v>0.22030000000000002</x:v>
      </x:c>
      <x:c r="J4346" s="13" t="n">
        <x:f>D4346*I4346*H4346</x:f>
        <x:v>0</x:v>
      </x:c>
      <x:c r="K4346" s="13" t="n">
        <x:f>E4346*I4346*H4346</x:f>
        <x:v>0.05225791375000001</x:v>
      </x:c>
      <x:c r="L4346" s="1" t="str">
        <x:f>TEXT(A4346,"mmm yyyy")</x:f>
        <x:v>Aug 2026</x:v>
      </x:c>
    </x:row>
    <x:row r="4347" ht="21" customHeight="1">
      <x:c r="A4347" s="10" t="n">
        <x:v>46239</x:v>
      </x:c>
      <x:c r="B4347" s="1" t="n">
        <x:v>1.5</x:v>
      </x:c>
      <x:c r="C4347" s="1" t="n">
        <x:v>6</x:v>
      </x:c>
      <x:c r="D4347" s="12" t="n">
        <x:v>0</x:v>
      </x:c>
      <x:c r="E4347" s="12" t="n">
        <x:v>0.205</x:v>
      </x:c>
      <x:c r="F4347" s="12" t="n">
        <x:v>0.20450000000000002</x:v>
      </x:c>
      <x:c r="G4347" s="12" t="n">
        <x:v>0</x:v>
      </x:c>
      <x:c r="H4347" s="1" t="n">
        <x:f>'Historical prices'!E4347</x:f>
        <x:v>1.05</x:v>
      </x:c>
      <x:c r="I4347" s="6" t="n">
        <x:f>'Historical prices'!D4347</x:f>
        <x:v>0.22260000000000002</x:v>
      </x:c>
      <x:c r="J4347" s="13" t="n">
        <x:f>D4347*I4347*H4347</x:f>
        <x:v>0</x:v>
      </x:c>
      <x:c r="K4347" s="13" t="n">
        <x:f>E4347*I4347*H4347</x:f>
        <x:v>0.04791465</x:v>
      </x:c>
      <x:c r="L4347" s="1" t="str">
        <x:f>TEXT(A4347,"mmm yyyy")</x:f>
        <x:v>Aug 2026</x:v>
      </x:c>
    </x:row>
    <x:row r="4348" ht="21" customHeight="1">
      <x:c r="A4348" s="10" t="n">
        <x:v>46239</x:v>
      </x:c>
      <x:c r="B4348" s="1" t="n">
        <x:v>2</x:v>
      </x:c>
      <x:c r="C4348" s="1" t="n">
        <x:v>6</x:v>
      </x:c>
      <x:c r="D4348" s="12" t="n">
        <x:v>0</x:v>
      </x:c>
      <x:c r="E4348" s="12" t="n">
        <x:v>0.2926666666666667</x:v>
      </x:c>
      <x:c r="F4348" s="12" t="n">
        <x:v>0.29233333333333333</x:v>
      </x:c>
      <x:c r="G4348" s="12" t="n">
        <x:v>0</x:v>
      </x:c>
      <x:c r="H4348" s="1" t="n">
        <x:f>'Historical prices'!E4348</x:f>
        <x:v>1.05</x:v>
      </x:c>
      <x:c r="I4348" s="6" t="n">
        <x:f>'Historical prices'!D4348</x:f>
        <x:v>0.22</x:v>
      </x:c>
      <x:c r="J4348" s="13" t="n">
        <x:f>D4348*I4348*H4348</x:f>
        <x:v>0</x:v>
      </x:c>
      <x:c r="K4348" s="13" t="n">
        <x:f>E4348*I4348*H4348</x:f>
        <x:v>0.06760600000000001</x:v>
      </x:c>
      <x:c r="L4348" s="1" t="str">
        <x:f>TEXT(A4348,"mmm yyyy")</x:f>
        <x:v>Aug 2026</x:v>
      </x:c>
    </x:row>
    <x:row r="4349" ht="21" customHeight="1">
      <x:c r="A4349" s="10" t="n">
        <x:v>46239</x:v>
      </x:c>
      <x:c r="B4349" s="1" t="n">
        <x:v>2.5</x:v>
      </x:c>
      <x:c r="C4349" s="1" t="n">
        <x:v>6</x:v>
      </x:c>
      <x:c r="D4349" s="12" t="n">
        <x:v>0</x:v>
      </x:c>
      <x:c r="E4349" s="12" t="n">
        <x:v>0.23900000000000002</x:v>
      </x:c>
      <x:c r="F4349" s="12" t="n">
        <x:v>0.23858333333333334</x:v>
      </x:c>
      <x:c r="G4349" s="12" t="n">
        <x:v>0</x:v>
      </x:c>
      <x:c r="H4349" s="1" t="n">
        <x:f>'Historical prices'!E4349</x:f>
        <x:v>1.05</x:v>
      </x:c>
      <x:c r="I4349" s="6" t="n">
        <x:f>'Historical prices'!D4349</x:f>
        <x:v>0.20929999999999999</x:v>
      </x:c>
      <x:c r="J4349" s="13" t="n">
        <x:f>D4349*I4349*H4349</x:f>
        <x:v>0</x:v>
      </x:c>
      <x:c r="K4349" s="13" t="n">
        <x:f>E4349*I4349*H4349</x:f>
        <x:v>0.052523835000000005</x:v>
      </x:c>
      <x:c r="L4349" s="1" t="str">
        <x:f>TEXT(A4349,"mmm yyyy")</x:f>
        <x:v>Aug 2026</x:v>
      </x:c>
    </x:row>
    <x:row r="4350" ht="21" customHeight="1">
      <x:c r="A4350" s="10" t="n">
        <x:v>46239</x:v>
      </x:c>
      <x:c r="B4350" s="1" t="n">
        <x:v>3</x:v>
      </x:c>
      <x:c r="C4350" s="1" t="n">
        <x:v>6</x:v>
      </x:c>
      <x:c r="D4350" s="12" t="n">
        <x:v>0</x:v>
      </x:c>
      <x:c r="E4350" s="12" t="n">
        <x:v>0.21125</x:v>
      </x:c>
      <x:c r="F4350" s="12" t="n">
        <x:v>0.2099166666666667</x:v>
      </x:c>
      <x:c r="G4350" s="12" t="n">
        <x:v>0</x:v>
      </x:c>
      <x:c r="H4350" s="1" t="n">
        <x:f>'Historical prices'!E4350</x:f>
        <x:v>1.05</x:v>
      </x:c>
      <x:c r="I4350" s="6" t="n">
        <x:f>'Historical prices'!D4350</x:f>
        <x:v>0.2046</x:v>
      </x:c>
      <x:c r="J4350" s="13" t="n">
        <x:f>D4350*I4350*H4350</x:f>
        <x:v>0</x:v>
      </x:c>
      <x:c r="K4350" s="13" t="n">
        <x:f>E4350*I4350*H4350</x:f>
        <x:v>0.045382837499999995</x:v>
      </x:c>
      <x:c r="L4350" s="1" t="str">
        <x:f>TEXT(A4350,"mmm yyyy")</x:f>
        <x:v>Aug 2026</x:v>
      </x:c>
    </x:row>
    <x:row r="4351" ht="21" customHeight="1">
      <x:c r="A4351" s="10" t="n">
        <x:v>46239</x:v>
      </x:c>
      <x:c r="B4351" s="1" t="n">
        <x:v>3.5</x:v>
      </x:c>
      <x:c r="C4351" s="1" t="n">
        <x:v>6</x:v>
      </x:c>
      <x:c r="D4351" s="12" t="n">
        <x:v>0</x:v>
      </x:c>
      <x:c r="E4351" s="12" t="n">
        <x:v>0.23275</x:v>
      </x:c>
      <x:c r="F4351" s="12" t="n">
        <x:v>0.23258333333333336</x:v>
      </x:c>
      <x:c r="G4351" s="12" t="n">
        <x:v>0</x:v>
      </x:c>
      <x:c r="H4351" s="1" t="n">
        <x:f>'Historical prices'!E4351</x:f>
        <x:v>1.05</x:v>
      </x:c>
      <x:c r="I4351" s="6" t="n">
        <x:f>'Historical prices'!D4351</x:f>
        <x:v>0.1954</x:v>
      </x:c>
      <x:c r="J4351" s="13" t="n">
        <x:f>D4351*I4351*H4351</x:f>
        <x:v>0</x:v>
      </x:c>
      <x:c r="K4351" s="13" t="n">
        <x:f>E4351*I4351*H4351</x:f>
        <x:v>0.0477533175</x:v>
      </x:c>
      <x:c r="L4351" s="1" t="str">
        <x:f>TEXT(A4351,"mmm yyyy")</x:f>
        <x:v>Aug 2026</x:v>
      </x:c>
    </x:row>
    <x:row r="4352" ht="21" customHeight="1">
      <x:c r="A4352" s="10" t="n">
        <x:v>46239</x:v>
      </x:c>
      <x:c r="B4352" s="1" t="n">
        <x:v>4</x:v>
      </x:c>
      <x:c r="C4352" s="1" t="n">
        <x:v>6</x:v>
      </x:c>
      <x:c r="D4352" s="12" t="n">
        <x:v>0</x:v>
      </x:c>
      <x:c r="E4352" s="12" t="n">
        <x:v>0.27416666666666667</x:v>
      </x:c>
      <x:c r="F4352" s="12" t="n">
        <x:v>0.27366666666666667</x:v>
      </x:c>
      <x:c r="G4352" s="12" t="n">
        <x:v>0</x:v>
      </x:c>
      <x:c r="H4352" s="1" t="n">
        <x:f>'Historical prices'!E4352</x:f>
        <x:v>1.05</x:v>
      </x:c>
      <x:c r="I4352" s="6" t="n">
        <x:f>'Historical prices'!D4352</x:f>
        <x:v>0.2125</x:v>
      </x:c>
      <x:c r="J4352" s="13" t="n">
        <x:f>D4352*I4352*H4352</x:f>
        <x:v>0</x:v>
      </x:c>
      <x:c r="K4352" s="13" t="n">
        <x:f>E4352*I4352*H4352</x:f>
        <x:v>0.061173437500000004</x:v>
      </x:c>
      <x:c r="L4352" s="1" t="str">
        <x:f>TEXT(A4352,"mmm yyyy")</x:f>
        <x:v>Aug 2026</x:v>
      </x:c>
    </x:row>
    <x:row r="4353" ht="21" customHeight="1">
      <x:c r="A4353" s="10" t="n">
        <x:v>46239</x:v>
      </x:c>
      <x:c r="B4353" s="1" t="n">
        <x:v>4.5</x:v>
      </x:c>
      <x:c r="C4353" s="1" t="n">
        <x:v>6</x:v>
      </x:c>
      <x:c r="D4353" s="12" t="n">
        <x:v>0</x:v>
      </x:c>
      <x:c r="E4353" s="12" t="n">
        <x:v>0.21633333333333335</x:v>
      </x:c>
      <x:c r="F4353" s="12" t="n">
        <x:v>0.21575</x:v>
      </x:c>
      <x:c r="G4353" s="12" t="n">
        <x:v>0</x:v>
      </x:c>
      <x:c r="H4353" s="1" t="n">
        <x:f>'Historical prices'!E4353</x:f>
        <x:v>1.05</x:v>
      </x:c>
      <x:c r="I4353" s="6" t="n">
        <x:f>'Historical prices'!D4353</x:f>
        <x:v>0.2047</x:v>
      </x:c>
      <x:c r="J4353" s="13" t="n">
        <x:f>D4353*I4353*H4353</x:f>
        <x:v>0</x:v>
      </x:c>
      <x:c r="K4353" s="13" t="n">
        <x:f>E4353*I4353*H4353</x:f>
        <x:v>0.046497605000000004</x:v>
      </x:c>
      <x:c r="L4353" s="1" t="str">
        <x:f>TEXT(A4353,"mmm yyyy")</x:f>
        <x:v>Aug 2026</x:v>
      </x:c>
    </x:row>
    <x:row r="4354" ht="21" customHeight="1">
      <x:c r="A4354" s="10" t="n">
        <x:v>46239</x:v>
      </x:c>
      <x:c r="B4354" s="1" t="n">
        <x:v>5</x:v>
      </x:c>
      <x:c r="C4354" s="1" t="n">
        <x:v>6</x:v>
      </x:c>
      <x:c r="D4354" s="12" t="n">
        <x:v>0</x:v>
      </x:c>
      <x:c r="E4354" s="12" t="n">
        <x:v>0.3428333333333334</x:v>
      </x:c>
      <x:c r="F4354" s="12" t="n">
        <x:v>0.34249999999999997</x:v>
      </x:c>
      <x:c r="G4354" s="12" t="n">
        <x:v>0</x:v>
      </x:c>
      <x:c r="H4354" s="1" t="n">
        <x:f>'Historical prices'!E4354</x:f>
        <x:v>1.05</x:v>
      </x:c>
      <x:c r="I4354" s="6" t="n">
        <x:f>'Historical prices'!D4354</x:f>
        <x:v>0.226</x:v>
      </x:c>
      <x:c r="J4354" s="13" t="n">
        <x:f>D4354*I4354*H4354</x:f>
        <x:v>0</x:v>
      </x:c>
      <x:c r="K4354" s="13" t="n">
        <x:f>E4354*I4354*H4354</x:f>
        <x:v>0.08135435000000002</x:v>
      </x:c>
      <x:c r="L4354" s="1" t="str">
        <x:f>TEXT(A4354,"mmm yyyy")</x:f>
        <x:v>Aug 2026</x:v>
      </x:c>
    </x:row>
    <x:row r="4355" ht="21" customHeight="1">
      <x:c r="A4355" s="10" t="n">
        <x:v>46239</x:v>
      </x:c>
      <x:c r="B4355" s="1" t="n">
        <x:v>5.5</x:v>
      </x:c>
      <x:c r="C4355" s="1" t="n">
        <x:v>6</x:v>
      </x:c>
      <x:c r="D4355" s="12" t="n">
        <x:v>0</x:v>
      </x:c>
      <x:c r="E4355" s="12" t="n">
        <x:v>0.21483333333333338</x:v>
      </x:c>
      <x:c r="F4355" s="12" t="n">
        <x:v>0.21475000000000002</x:v>
      </x:c>
      <x:c r="G4355" s="12" t="n">
        <x:v>0</x:v>
      </x:c>
      <x:c r="H4355" s="1" t="n">
        <x:f>'Historical prices'!E4355</x:f>
        <x:v>1.05</x:v>
      </x:c>
      <x:c r="I4355" s="6" t="n">
        <x:f>'Historical prices'!D4355</x:f>
        <x:v>0.2255</x:v>
      </x:c>
      <x:c r="J4355" s="13" t="n">
        <x:f>D4355*I4355*H4355</x:f>
        <x:v>0</x:v>
      </x:c>
      <x:c r="K4355" s="13" t="n">
        <x:f>E4355*I4355*H4355</x:f>
        <x:v>0.050867162500000014</x:v>
      </x:c>
      <x:c r="L4355" s="1" t="str">
        <x:f>TEXT(A4355,"mmm yyyy")</x:f>
        <x:v>Aug 2026</x:v>
      </x:c>
    </x:row>
    <x:row r="4356" ht="21" customHeight="1">
      <x:c r="A4356" s="10" t="n">
        <x:v>46239</x:v>
      </x:c>
      <x:c r="B4356" s="1" t="n">
        <x:v>6</x:v>
      </x:c>
      <x:c r="C4356" s="1" t="n">
        <x:v>6</x:v>
      </x:c>
      <x:c r="D4356" s="12" t="n">
        <x:v>0</x:v>
      </x:c>
      <x:c r="E4356" s="12" t="n">
        <x:v>0.2520833333333333</x:v>
      </x:c>
      <x:c r="F4356" s="12" t="n">
        <x:v>0.25166666666666665</x:v>
      </x:c>
      <x:c r="G4356" s="12" t="n">
        <x:v>0</x:v>
      </x:c>
      <x:c r="H4356" s="1" t="n">
        <x:f>'Historical prices'!E4356</x:f>
        <x:v>1.05</x:v>
      </x:c>
      <x:c r="I4356" s="6" t="n">
        <x:f>'Historical prices'!D4356</x:f>
        <x:v>0.2089</x:v>
      </x:c>
      <x:c r="J4356" s="13" t="n">
        <x:f>D4356*I4356*H4356</x:f>
        <x:v>0</x:v>
      </x:c>
      <x:c r="K4356" s="13" t="n">
        <x:f>E4356*I4356*H4356</x:f>
        <x:v>0.055293218750000005</x:v>
      </x:c>
      <x:c r="L4356" s="1" t="str">
        <x:f>TEXT(A4356,"mmm yyyy")</x:f>
        <x:v>Aug 2026</x:v>
      </x:c>
    </x:row>
    <x:row r="4357" ht="21" customHeight="1">
      <x:c r="A4357" s="10" t="n">
        <x:v>46239</x:v>
      </x:c>
      <x:c r="B4357" s="1" t="n">
        <x:v>6.5</x:v>
      </x:c>
      <x:c r="C4357" s="1" t="n">
        <x:v>6</x:v>
      </x:c>
      <x:c r="D4357" s="12" t="n">
        <x:v>0</x:v>
      </x:c>
      <x:c r="E4357" s="12" t="n">
        <x:v>0.28075</x:v>
      </x:c>
      <x:c r="F4357" s="12" t="n">
        <x:v>0.2805833333333333</x:v>
      </x:c>
      <x:c r="G4357" s="12" t="n">
        <x:v>0</x:v>
      </x:c>
      <x:c r="H4357" s="1" t="n">
        <x:f>'Historical prices'!E4357</x:f>
        <x:v>1.05</x:v>
      </x:c>
      <x:c r="I4357" s="6" t="n">
        <x:f>'Historical prices'!D4357</x:f>
        <x:v>0.22469999999999998</x:v>
      </x:c>
      <x:c r="J4357" s="13" t="n">
        <x:f>D4357*I4357*H4357</x:f>
        <x:v>0</x:v>
      </x:c>
      <x:c r="K4357" s="13" t="n">
        <x:f>E4357*I4357*H4357</x:f>
        <x:v>0.06623875124999999</x:v>
      </x:c>
      <x:c r="L4357" s="1" t="str">
        <x:f>TEXT(A4357,"mmm yyyy")</x:f>
        <x:v>Aug 2026</x:v>
      </x:c>
    </x:row>
    <x:row r="4358" ht="21" customHeight="1">
      <x:c r="A4358" s="10" t="n">
        <x:v>46239</x:v>
      </x:c>
      <x:c r="B4358" s="1" t="n">
        <x:v>7</x:v>
      </x:c>
      <x:c r="C4358" s="1" t="n">
        <x:v>6</x:v>
      </x:c>
      <x:c r="D4358" s="12" t="n">
        <x:v>0</x:v>
      </x:c>
      <x:c r="E4358" s="12" t="n">
        <x:v>0.24458333333333332</x:v>
      </x:c>
      <x:c r="F4358" s="12" t="n">
        <x:v>0.2441666666666667</x:v>
      </x:c>
      <x:c r="G4358" s="12" t="n">
        <x:v>0</x:v>
      </x:c>
      <x:c r="H4358" s="1" t="n">
        <x:f>'Historical prices'!E4358</x:f>
        <x:v>1.05</x:v>
      </x:c>
      <x:c r="I4358" s="6" t="n">
        <x:f>'Historical prices'!D4358</x:f>
        <x:v>0.21230000000000002</x:v>
      </x:c>
      <x:c r="J4358" s="13" t="n">
        <x:f>D4358*I4358*H4358</x:f>
        <x:v>0</x:v>
      </x:c>
      <x:c r="K4358" s="13" t="n">
        <x:f>E4358*I4358*H4358</x:f>
        <x:v>0.05452129375</x:v>
      </x:c>
      <x:c r="L4358" s="1" t="str">
        <x:f>TEXT(A4358,"mmm yyyy")</x:f>
        <x:v>Aug 2026</x:v>
      </x:c>
    </x:row>
    <x:row r="4359" ht="21" customHeight="1">
      <x:c r="A4359" s="10" t="n">
        <x:v>46239</x:v>
      </x:c>
      <x:c r="B4359" s="1" t="n">
        <x:v>7.5</x:v>
      </x:c>
      <x:c r="C4359" s="1" t="n">
        <x:v>6</x:v>
      </x:c>
      <x:c r="D4359" s="12" t="n">
        <x:v>0</x:v>
      </x:c>
      <x:c r="E4359" s="12" t="n">
        <x:v>0.2104166666666667</x:v>
      </x:c>
      <x:c r="F4359" s="12" t="n">
        <x:v>0.20991666666666667</x:v>
      </x:c>
      <x:c r="G4359" s="12" t="n">
        <x:v>0</x:v>
      </x:c>
      <x:c r="H4359" s="1" t="n">
        <x:f>'Historical prices'!E4359</x:f>
        <x:v>1.05</x:v>
      </x:c>
      <x:c r="I4359" s="6" t="n">
        <x:f>'Historical prices'!D4359</x:f>
        <x:v>0.2147</x:v>
      </x:c>
      <x:c r="J4359" s="13" t="n">
        <x:f>D4359*I4359*H4359</x:f>
        <x:v>0</x:v>
      </x:c>
      <x:c r="K4359" s="13" t="n">
        <x:f>E4359*I4359*H4359</x:f>
        <x:v>0.04743528125000001</x:v>
      </x:c>
      <x:c r="L4359" s="1" t="str">
        <x:f>TEXT(A4359,"mmm yyyy")</x:f>
        <x:v>Aug 2026</x:v>
      </x:c>
    </x:row>
    <x:row r="4360" ht="21" customHeight="1">
      <x:c r="A4360" s="10" t="n">
        <x:v>46239</x:v>
      </x:c>
      <x:c r="B4360" s="1" t="n">
        <x:v>8</x:v>
      </x:c>
      <x:c r="C4360" s="1" t="n">
        <x:v>6</x:v>
      </x:c>
      <x:c r="D4360" s="12" t="n">
        <x:v>0</x:v>
      </x:c>
      <x:c r="E4360" s="12" t="n">
        <x:v>0.32083333333333336</x:v>
      </x:c>
      <x:c r="F4360" s="12" t="n">
        <x:v>0.32058333333333333</x:v>
      </x:c>
      <x:c r="G4360" s="12" t="n">
        <x:v>0</x:v>
      </x:c>
      <x:c r="H4360" s="1" t="n">
        <x:f>'Historical prices'!E4360</x:f>
        <x:v>1.05</x:v>
      </x:c>
      <x:c r="I4360" s="6" t="n">
        <x:f>'Historical prices'!D4360</x:f>
        <x:v>0.1693</x:v>
      </x:c>
      <x:c r="J4360" s="13" t="n">
        <x:f>D4360*I4360*H4360</x:f>
        <x:v>0</x:v>
      </x:c>
      <x:c r="K4360" s="13" t="n">
        <x:f>E4360*I4360*H4360</x:f>
        <x:v>0.05703293750000001</x:v>
      </x:c>
      <x:c r="L4360" s="1" t="str">
        <x:f>TEXT(A4360,"mmm yyyy")</x:f>
        <x:v>Aug 2026</x:v>
      </x:c>
    </x:row>
    <x:row r="4361" ht="21" customHeight="1">
      <x:c r="A4361" s="10" t="n">
        <x:v>46239</x:v>
      </x:c>
      <x:c r="B4361" s="1" t="n">
        <x:v>8.5</x:v>
      </x:c>
      <x:c r="C4361" s="1" t="n">
        <x:v>6</x:v>
      </x:c>
      <x:c r="D4361" s="12" t="n">
        <x:v>0</x:v>
      </x:c>
      <x:c r="E4361" s="12" t="n">
        <x:v>0.29891666666666666</x:v>
      </x:c>
      <x:c r="F4361" s="12" t="n">
        <x:v>0.29866666666666664</x:v>
      </x:c>
      <x:c r="G4361" s="12" t="n">
        <x:v>0</x:v>
      </x:c>
      <x:c r="H4361" s="1" t="n">
        <x:f>'Historical prices'!E4361</x:f>
        <x:v>1.05</x:v>
      </x:c>
      <x:c r="I4361" s="6" t="n">
        <x:f>'Historical prices'!D4361</x:f>
        <x:v>0.16149999999999998</x:v>
      </x:c>
      <x:c r="J4361" s="13" t="n">
        <x:f>D4361*I4361*H4361</x:f>
        <x:v>0</x:v>
      </x:c>
      <x:c r="K4361" s="13" t="n">
        <x:f>E4361*I4361*H4361</x:f>
        <x:v>0.050688793749999995</x:v>
      </x:c>
      <x:c r="L4361" s="1" t="str">
        <x:f>TEXT(A4361,"mmm yyyy")</x:f>
        <x:v>Aug 2026</x:v>
      </x:c>
    </x:row>
    <x:row r="4362" ht="21" customHeight="1">
      <x:c r="A4362" s="10" t="n">
        <x:v>46239</x:v>
      </x:c>
      <x:c r="B4362" s="1" t="n">
        <x:v>9</x:v>
      </x:c>
      <x:c r="C4362" s="1" t="n">
        <x:v>6</x:v>
      </x:c>
      <x:c r="D4362" s="12" t="n">
        <x:v>0</x:v>
      </x:c>
      <x:c r="E4362" s="12" t="n">
        <x:v>0.26325000000000004</x:v>
      </x:c>
      <x:c r="F4362" s="12" t="n">
        <x:v>0.26283333333333336</x:v>
      </x:c>
      <x:c r="G4362" s="12" t="n">
        <x:v>0</x:v>
      </x:c>
      <x:c r="H4362" s="1" t="n">
        <x:f>'Historical prices'!E4362</x:f>
        <x:v>1.05</x:v>
      </x:c>
      <x:c r="I4362" s="6" t="n">
        <x:f>'Historical prices'!D4362</x:f>
        <x:v>0.0973</x:v>
      </x:c>
      <x:c r="J4362" s="13" t="n">
        <x:f>D4362*I4362*H4362</x:f>
        <x:v>0</x:v>
      </x:c>
      <x:c r="K4362" s="13" t="n">
        <x:f>E4362*I4362*H4362</x:f>
        <x:v>0.026894936250000005</x:v>
      </x:c>
      <x:c r="L4362" s="1" t="str">
        <x:f>TEXT(A4362,"mmm yyyy")</x:f>
        <x:v>Aug 2026</x:v>
      </x:c>
    </x:row>
    <x:row r="4363" ht="21" customHeight="1">
      <x:c r="A4363" s="10" t="n">
        <x:v>46239</x:v>
      </x:c>
      <x:c r="B4363" s="1" t="n">
        <x:v>9.5</x:v>
      </x:c>
      <x:c r="C4363" s="1" t="n">
        <x:v>6</x:v>
      </x:c>
      <x:c r="D4363" s="12" t="n">
        <x:v>0</x:v>
      </x:c>
      <x:c r="E4363" s="12" t="n">
        <x:v>0.25183333333333335</x:v>
      </x:c>
      <x:c r="F4363" s="12" t="n">
        <x:v>0.2515</x:v>
      </x:c>
      <x:c r="G4363" s="12" t="n">
        <x:v>0</x:v>
      </x:c>
      <x:c r="H4363" s="1" t="n">
        <x:f>'Historical prices'!E4363</x:f>
        <x:v>1.05</x:v>
      </x:c>
      <x:c r="I4363" s="6" t="n">
        <x:f>'Historical prices'!D4363</x:f>
        <x:v>0.053899999999999997</x:v>
      </x:c>
      <x:c r="J4363" s="13" t="n">
        <x:f>D4363*I4363*H4363</x:f>
        <x:v>0</x:v>
      </x:c>
      <x:c r="K4363" s="13" t="n">
        <x:f>E4363*I4363*H4363</x:f>
        <x:v>0.0142525075</x:v>
      </x:c>
      <x:c r="L4363" s="1" t="str">
        <x:f>TEXT(A4363,"mmm yyyy")</x:f>
        <x:v>Aug 2026</x:v>
      </x:c>
    </x:row>
    <x:row r="4364" ht="21" customHeight="1">
      <x:c r="A4364" s="10" t="n">
        <x:v>46239</x:v>
      </x:c>
      <x:c r="B4364" s="1" t="n">
        <x:v>10</x:v>
      </x:c>
      <x:c r="C4364" s="1" t="n">
        <x:v>6</x:v>
      </x:c>
      <x:c r="D4364" s="12" t="n">
        <x:v>0</x:v>
      </x:c>
      <x:c r="E4364" s="12" t="n">
        <x:v>0.3145833333333333</x:v>
      </x:c>
      <x:c r="F4364" s="12" t="n">
        <x:v>0.3145</x:v>
      </x:c>
      <x:c r="G4364" s="12" t="n">
        <x:v>0</x:v>
      </x:c>
      <x:c r="H4364" s="1" t="n">
        <x:f>'Historical prices'!E4364</x:f>
        <x:v>1.05</x:v>
      </x:c>
      <x:c r="I4364" s="6" t="n">
        <x:f>'Historical prices'!D4364</x:f>
        <x:v>-0.0098</x:v>
      </x:c>
      <x:c r="J4364" s="13" t="n">
        <x:f>D4364*I4364*H4364</x:f>
        <x:v>0</x:v>
      </x:c>
      <x:c r="K4364" s="13" t="n">
        <x:f>E4364*I4364*H4364</x:f>
        <x:v>-0.0032370625</x:v>
      </x:c>
      <x:c r="L4364" s="1" t="str">
        <x:f>TEXT(A4364,"mmm yyyy")</x:f>
        <x:v>Aug 2026</x:v>
      </x:c>
    </x:row>
    <x:row r="4365" ht="21" customHeight="1">
      <x:c r="A4365" s="10" t="n">
        <x:v>46239</x:v>
      </x:c>
      <x:c r="B4365" s="1" t="n">
        <x:v>10.5</x:v>
      </x:c>
      <x:c r="C4365" s="1" t="n">
        <x:v>6</x:v>
      </x:c>
      <x:c r="D4365" s="12" t="n">
        <x:v>0</x:v>
      </x:c>
      <x:c r="E4365" s="12" t="n">
        <x:v>0.26075</x:v>
      </x:c>
      <x:c r="F4365" s="12" t="n">
        <x:v>0.2604166666666667</x:v>
      </x:c>
      <x:c r="G4365" s="12" t="n">
        <x:v>0</x:v>
      </x:c>
      <x:c r="H4365" s="1" t="n">
        <x:f>'Historical prices'!E4365</x:f>
        <x:v>1.05</x:v>
      </x:c>
      <x:c r="I4365" s="6" t="n">
        <x:f>'Historical prices'!D4365</x:f>
        <x:v>-0.028999999999999998</x:v>
      </x:c>
      <x:c r="J4365" s="13" t="n">
        <x:f>D4365*I4365*H4365</x:f>
        <x:v>0</x:v>
      </x:c>
      <x:c r="K4365" s="13" t="n">
        <x:f>E4365*I4365*H4365</x:f>
        <x:v>-0.0079398375</x:v>
      </x:c>
      <x:c r="L4365" s="1" t="str">
        <x:f>TEXT(A4365,"mmm yyyy")</x:f>
        <x:v>Aug 2026</x:v>
      </x:c>
    </x:row>
    <x:row r="4366" ht="21" customHeight="1">
      <x:c r="A4366" s="10" t="n">
        <x:v>46239</x:v>
      </x:c>
      <x:c r="B4366" s="1" t="n">
        <x:v>11</x:v>
      </x:c>
      <x:c r="C4366" s="1" t="n">
        <x:v>6</x:v>
      </x:c>
      <x:c r="D4366" s="12" t="n">
        <x:v>0</x:v>
      </x:c>
      <x:c r="E4366" s="12" t="n">
        <x:v>0.2831666666666667</x:v>
      </x:c>
      <x:c r="F4366" s="12" t="n">
        <x:v>0.2826666666666667</x:v>
      </x:c>
      <x:c r="G4366" s="12" t="n">
        <x:v>0</x:v>
      </x:c>
      <x:c r="H4366" s="1" t="n">
        <x:f>'Historical prices'!E4366</x:f>
        <x:v>1.05</x:v>
      </x:c>
      <x:c r="I4366" s="6" t="n">
        <x:f>'Historical prices'!D4366</x:f>
        <x:v>-0.0316</x:v>
      </x:c>
      <x:c r="J4366" s="13" t="n">
        <x:f>D4366*I4366*H4366</x:f>
        <x:v>0</x:v>
      </x:c>
      <x:c r="K4366" s="13" t="n">
        <x:f>E4366*I4366*H4366</x:f>
        <x:v>-0.009395470000000001</x:v>
      </x:c>
      <x:c r="L4366" s="1" t="str">
        <x:f>TEXT(A4366,"mmm yyyy")</x:f>
        <x:v>Aug 2026</x:v>
      </x:c>
    </x:row>
    <x:row r="4367" ht="21" customHeight="1">
      <x:c r="A4367" s="10" t="n">
        <x:v>46239</x:v>
      </x:c>
      <x:c r="B4367" s="1" t="n">
        <x:v>11.5</x:v>
      </x:c>
      <x:c r="C4367" s="1" t="n">
        <x:v>6</x:v>
      </x:c>
      <x:c r="D4367" s="12" t="n">
        <x:v>0.1665</x:v>
      </x:c>
      <x:c r="E4367" s="12" t="n">
        <x:v>0.21650000000000003</x:v>
      </x:c>
      <x:c r="F4367" s="12" t="n">
        <x:v>0.04</x:v>
      </x:c>
      <x:c r="G4367" s="12" t="n">
        <x:v>0</x:v>
      </x:c>
      <x:c r="H4367" s="1" t="n">
        <x:f>'Historical prices'!E4367</x:f>
        <x:v>1.05</x:v>
      </x:c>
      <x:c r="I4367" s="6" t="n">
        <x:f>'Historical prices'!D4367</x:f>
        <x:v>-0.0344</x:v>
      </x:c>
      <x:c r="J4367" s="13" t="n">
        <x:f>D4367*I4367*H4367</x:f>
        <x:v>-0.00601398</x:v>
      </x:c>
      <x:c r="K4367" s="13" t="n">
        <x:f>E4367*I4367*H4367</x:f>
        <x:v>-0.007819980000000002</x:v>
      </x:c>
      <x:c r="L4367" s="1" t="str">
        <x:f>TEXT(A4367,"mmm yyyy")</x:f>
        <x:v>Aug 2026</x:v>
      </x:c>
    </x:row>
    <x:row r="4368" ht="21" customHeight="1">
      <x:c r="A4368" s="10" t="n">
        <x:v>46239</x:v>
      </x:c>
      <x:c r="B4368" s="1" t="n">
        <x:v>12</x:v>
      </x:c>
      <x:c r="C4368" s="1" t="n">
        <x:v>6</x:v>
      </x:c>
      <x:c r="D4368" s="12" t="n">
        <x:v>0.2415</x:v>
      </x:c>
      <x:c r="E4368" s="12" t="n">
        <x:v>0.2495</x:v>
      </x:c>
      <x:c r="F4368" s="12" t="n">
        <x:v>0</x:v>
      </x:c>
      <x:c r="G4368" s="12" t="n">
        <x:v>0</x:v>
      </x:c>
      <x:c r="H4368" s="1" t="n">
        <x:f>'Historical prices'!E4368</x:f>
        <x:v>1.05</x:v>
      </x:c>
      <x:c r="I4368" s="6" t="n">
        <x:f>'Historical prices'!D4368</x:f>
        <x:v>-0.037200000000000004</x:v>
      </x:c>
      <x:c r="J4368" s="13" t="n">
        <x:f>D4368*I4368*H4368</x:f>
        <x:v>-0.00943299</x:v>
      </x:c>
      <x:c r="K4368" s="13" t="n">
        <x:f>E4368*I4368*H4368</x:f>
        <x:v>-0.009745470000000001</x:v>
      </x:c>
      <x:c r="L4368" s="1" t="str">
        <x:f>TEXT(A4368,"mmm yyyy")</x:f>
        <x:v>Aug 2026</x:v>
      </x:c>
    </x:row>
    <x:row r="4369" ht="21" customHeight="1">
      <x:c r="A4369" s="10" t="n">
        <x:v>46239</x:v>
      </x:c>
      <x:c r="B4369" s="1" t="n">
        <x:v>12.5</x:v>
      </x:c>
      <x:c r="C4369" s="1" t="n">
        <x:v>6</x:v>
      </x:c>
      <x:c r="D4369" s="12" t="n">
        <x:v>0.1545</x:v>
      </x:c>
      <x:c r="E4369" s="12" t="n">
        <x:v>0.16749999999999998</x:v>
      </x:c>
      <x:c r="F4369" s="12" t="n">
        <x:v>0</x:v>
      </x:c>
      <x:c r="G4369" s="12" t="n">
        <x:v>0</x:v>
      </x:c>
      <x:c r="H4369" s="1" t="n">
        <x:f>'Historical prices'!E4369</x:f>
        <x:v>1.05</x:v>
      </x:c>
      <x:c r="I4369" s="6" t="n">
        <x:f>'Historical prices'!D4369</x:f>
        <x:v>-0.037200000000000004</x:v>
      </x:c>
      <x:c r="J4369" s="13" t="n">
        <x:f>D4369*I4369*H4369</x:f>
        <x:v>-0.006034770000000001</x:v>
      </x:c>
      <x:c r="K4369" s="13" t="n">
        <x:f>E4369*I4369*H4369</x:f>
        <x:v>-0.006542549999999999</x:v>
      </x:c>
      <x:c r="L4369" s="1" t="str">
        <x:f>TEXT(A4369,"mmm yyyy")</x:f>
        <x:v>Aug 2026</x:v>
      </x:c>
    </x:row>
    <x:row r="4370" ht="21" customHeight="1">
      <x:c r="A4370" s="10" t="n">
        <x:v>46239</x:v>
      </x:c>
      <x:c r="B4370" s="1" t="n">
        <x:v>13</x:v>
      </x:c>
      <x:c r="C4370" s="1" t="n">
        <x:v>6</x:v>
      </x:c>
      <x:c r="D4370" s="12" t="n">
        <x:v>3.87325</x:v>
      </x:c>
      <x:c r="E4370" s="12" t="n">
        <x:v>0.39025</x:v>
      </x:c>
      <x:c r="F4370" s="12" t="n">
        <x:v>0</x:v>
      </x:c>
      <x:c r="G4370" s="12" t="n">
        <x:v>3.484</x:v>
      </x:c>
      <x:c r="H4370" s="1" t="n">
        <x:f>'Historical prices'!E4370</x:f>
        <x:v>1.05</x:v>
      </x:c>
      <x:c r="I4370" s="6" t="n">
        <x:f>'Historical prices'!D4370</x:f>
        <x:v>-0.0387</x:v>
      </x:c>
      <x:c r="J4370" s="13" t="n">
        <x:f>D4370*I4370*H4370</x:f>
        <x:v>-0.15738951375000002</x:v>
      </x:c>
      <x:c r="K4370" s="13" t="n">
        <x:f>E4370*I4370*H4370</x:f>
        <x:v>-0.01585780875</x:v>
      </x:c>
      <x:c r="L4370" s="1" t="str">
        <x:f>TEXT(A4370,"mmm yyyy")</x:f>
        <x:v>Aug 2026</x:v>
      </x:c>
    </x:row>
    <x:row r="4371" ht="21" customHeight="1">
      <x:c r="A4371" s="10" t="n">
        <x:v>46239</x:v>
      </x:c>
      <x:c r="B4371" s="1" t="n">
        <x:v>13.5</x:v>
      </x:c>
      <x:c r="C4371" s="1" t="n">
        <x:v>6</x:v>
      </x:c>
      <x:c r="D4371" s="12" t="n">
        <x:v>4.5177499999999995</x:v>
      </x:c>
      <x:c r="E4371" s="12" t="n">
        <x:v>0.41374999999999995</x:v>
      </x:c>
      <x:c r="F4371" s="12" t="n">
        <x:v>0</x:v>
      </x:c>
      <x:c r="G4371" s="12" t="n">
        <x:v>4.104</x:v>
      </x:c>
      <x:c r="H4371" s="1" t="n">
        <x:f>'Historical prices'!E4371</x:f>
        <x:v>1.05</x:v>
      </x:c>
      <x:c r="I4371" s="6" t="n">
        <x:f>'Historical prices'!D4371</x:f>
        <x:v>-0.0384</x:v>
      </x:c>
      <x:c r="J4371" s="13" t="n">
        <x:f>D4371*I4371*H4371</x:f>
        <x:v>-0.18215567999999996</x:v>
      </x:c>
      <x:c r="K4371" s="13" t="n">
        <x:f>E4371*I4371*H4371</x:f>
        <x:v>-0.016682399999999997</x:v>
      </x:c>
      <x:c r="L4371" s="1" t="str">
        <x:f>TEXT(A4371,"mmm yyyy")</x:f>
        <x:v>Aug 2026</x:v>
      </x:c>
    </x:row>
    <x:row r="4372" ht="21" customHeight="1">
      <x:c r="A4372" s="10" t="n">
        <x:v>46239</x:v>
      </x:c>
      <x:c r="B4372" s="1" t="n">
        <x:v>14</x:v>
      </x:c>
      <x:c r="C4372" s="1" t="n">
        <x:v>6</x:v>
      </x:c>
      <x:c r="D4372" s="12" t="n">
        <x:v>4.679</x:v>
      </x:c>
      <x:c r="E4372" s="12" t="n">
        <x:v>0.41300000000000003</x:v>
      </x:c>
      <x:c r="F4372" s="12" t="n">
        <x:v>0</x:v>
      </x:c>
      <x:c r="G4372" s="12" t="n">
        <x:v>4.266</x:v>
      </x:c>
      <x:c r="H4372" s="1" t="n">
        <x:f>'Historical prices'!E4372</x:f>
        <x:v>1.05</x:v>
      </x:c>
      <x:c r="I4372" s="6" t="n">
        <x:f>'Historical prices'!D4372</x:f>
        <x:v>-0.0383</x:v>
      </x:c>
      <x:c r="J4372" s="13" t="n">
        <x:f>D4372*I4372*H4372</x:f>
        <x:v>-0.18816598500000004</x:v>
      </x:c>
      <x:c r="K4372" s="13" t="n">
        <x:f>E4372*I4372*H4372</x:f>
        <x:v>-0.016608795000000003</x:v>
      </x:c>
      <x:c r="L4372" s="1" t="str">
        <x:f>TEXT(A4372,"mmm yyyy")</x:f>
        <x:v>Aug 2026</x:v>
      </x:c>
    </x:row>
    <x:row r="4373" ht="21" customHeight="1">
      <x:c r="A4373" s="10" t="n">
        <x:v>46239</x:v>
      </x:c>
      <x:c r="B4373" s="1" t="n">
        <x:v>14.5</x:v>
      </x:c>
      <x:c r="C4373" s="1" t="n">
        <x:v>6</x:v>
      </x:c>
      <x:c r="D4373" s="12" t="n">
        <x:v>0.7424999999999999</x:v>
      </x:c>
      <x:c r="E4373" s="12" t="n">
        <x:v>0.19949999999999998</x:v>
      </x:c>
      <x:c r="F4373" s="12" t="n">
        <x:v>0</x:v>
      </x:c>
      <x:c r="G4373" s="12" t="n">
        <x:v>0.547</x:v>
      </x:c>
      <x:c r="H4373" s="1" t="n">
        <x:f>'Historical prices'!E4373</x:f>
        <x:v>1.05</x:v>
      </x:c>
      <x:c r="I4373" s="6" t="n">
        <x:f>'Historical prices'!D4373</x:f>
        <x:v>-0.037200000000000004</x:v>
      </x:c>
      <x:c r="J4373" s="13" t="n">
        <x:f>D4373*I4373*H4373</x:f>
        <x:v>-0.02900205</x:v>
      </x:c>
      <x:c r="K4373" s="13" t="n">
        <x:f>E4373*I4373*H4373</x:f>
        <x:v>-0.00779247</x:v>
      </x:c>
      <x:c r="L4373" s="1" t="str">
        <x:f>TEXT(A4373,"mmm yyyy")</x:f>
        <x:v>Aug 2026</x:v>
      </x:c>
    </x:row>
    <x:row r="4374" ht="21" customHeight="1">
      <x:c r="A4374" s="10" t="n">
        <x:v>46239</x:v>
      </x:c>
      <x:c r="B4374" s="1" t="n">
        <x:v>15</x:v>
      </x:c>
      <x:c r="C4374" s="1" t="n">
        <x:v>6</x:v>
      </x:c>
      <x:c r="D4374" s="12" t="n">
        <x:v>0.20224999999999999</x:v>
      </x:c>
      <x:c r="E4374" s="12" t="n">
        <x:v>0.21325</x:v>
      </x:c>
      <x:c r="F4374" s="12" t="n">
        <x:v>0</x:v>
      </x:c>
      <x:c r="G4374" s="12" t="n">
        <x:v>0</x:v>
      </x:c>
      <x:c r="H4374" s="1" t="n">
        <x:f>'Historical prices'!E4374</x:f>
        <x:v>1.05</x:v>
      </x:c>
      <x:c r="I4374" s="6" t="n">
        <x:f>'Historical prices'!D4374</x:f>
        <x:v>-0.037200000000000004</x:v>
      </x:c>
      <x:c r="J4374" s="13" t="n">
        <x:f>D4374*I4374*H4374</x:f>
        <x:v>-0.007899885</x:v>
      </x:c>
      <x:c r="K4374" s="13" t="n">
        <x:f>E4374*I4374*H4374</x:f>
        <x:v>-0.008329545000000002</x:v>
      </x:c>
      <x:c r="L4374" s="1" t="str">
        <x:f>TEXT(A4374,"mmm yyyy")</x:f>
        <x:v>Aug 2026</x:v>
      </x:c>
    </x:row>
    <x:row r="4375" ht="21" customHeight="1">
      <x:c r="A4375" s="10" t="n">
        <x:v>46239</x:v>
      </x:c>
      <x:c r="B4375" s="1" t="n">
        <x:v>15.5</x:v>
      </x:c>
      <x:c r="C4375" s="1" t="n">
        <x:v>6</x:v>
      </x:c>
      <x:c r="D4375" s="12" t="n">
        <x:v>0.16975</x:v>
      </x:c>
      <x:c r="E4375" s="12" t="n">
        <x:v>0.17775</x:v>
      </x:c>
      <x:c r="F4375" s="12" t="n">
        <x:v>0</x:v>
      </x:c>
      <x:c r="G4375" s="12" t="n">
        <x:v>0</x:v>
      </x:c>
      <x:c r="H4375" s="1" t="n">
        <x:f>'Historical prices'!E4375</x:f>
        <x:v>1.05</x:v>
      </x:c>
      <x:c r="I4375" s="6" t="n">
        <x:f>'Historical prices'!D4375</x:f>
        <x:v>-0.037200000000000004</x:v>
      </x:c>
      <x:c r="J4375" s="13" t="n">
        <x:f>D4375*I4375*H4375</x:f>
        <x:v>-0.006630435000000001</x:v>
      </x:c>
      <x:c r="K4375" s="13" t="n">
        <x:f>E4375*I4375*H4375</x:f>
        <x:v>-0.006942915000000001</x:v>
      </x:c>
      <x:c r="L4375" s="1" t="str">
        <x:f>TEXT(A4375,"mmm yyyy")</x:f>
        <x:v>Aug 2026</x:v>
      </x:c>
    </x:row>
    <x:row r="4376" ht="21" customHeight="1">
      <x:c r="A4376" s="10" t="n">
        <x:v>46239</x:v>
      </x:c>
      <x:c r="B4376" s="1" t="n">
        <x:v>16</x:v>
      </x:c>
      <x:c r="C4376" s="1" t="n">
        <x:v>6</x:v>
      </x:c>
      <x:c r="D4376" s="12" t="n">
        <x:v>0.03875</x:v>
      </x:c>
      <x:c r="E4376" s="12" t="n">
        <x:v>0.37475</x:v>
      </x:c>
      <x:c r="F4376" s="12" t="n">
        <x:v>0.33358333333333334</x:v>
      </x:c>
      <x:c r="G4376" s="12" t="n">
        <x:v>0</x:v>
      </x:c>
      <x:c r="H4376" s="1" t="n">
        <x:f>'Historical prices'!E4376</x:f>
        <x:v>1.05</x:v>
      </x:c>
      <x:c r="I4376" s="6" t="n">
        <x:f>'Historical prices'!D4376</x:f>
        <x:v>0.1242</x:v>
      </x:c>
      <x:c r="J4376" s="13" t="n">
        <x:f>D4376*I4376*H4376</x:f>
        <x:v>0.0050533875</x:v>
      </x:c>
      <x:c r="K4376" s="13" t="n">
        <x:f>E4376*I4376*H4376</x:f>
        <x:v>0.04887114750000001</x:v>
      </x:c>
      <x:c r="L4376" s="1" t="str">
        <x:f>TEXT(A4376,"mmm yyyy")</x:f>
        <x:v>Aug 2026</x:v>
      </x:c>
    </x:row>
    <x:row r="4377" ht="21" customHeight="1">
      <x:c r="A4377" s="10" t="n">
        <x:v>46239</x:v>
      </x:c>
      <x:c r="B4377" s="1" t="n">
        <x:v>16.5</x:v>
      </x:c>
      <x:c r="C4377" s="1" t="n">
        <x:v>6</x:v>
      </x:c>
      <x:c r="D4377" s="12" t="n">
        <x:v>0</x:v>
      </x:c>
      <x:c r="E4377" s="12" t="n">
        <x:v>0.26858333333333334</x:v>
      </x:c>
      <x:c r="F4377" s="12" t="n">
        <x:v>0.26841666666666664</x:v>
      </x:c>
      <x:c r="G4377" s="12" t="n">
        <x:v>0</x:v>
      </x:c>
      <x:c r="H4377" s="1" t="n">
        <x:f>'Historical prices'!E4377</x:f>
        <x:v>1.05</x:v>
      </x:c>
      <x:c r="I4377" s="6" t="n">
        <x:f>'Historical prices'!D4377</x:f>
        <x:v>0.18030000000000002</x:v>
      </x:c>
      <x:c r="J4377" s="13" t="n">
        <x:f>D4377*I4377*H4377</x:f>
        <x:v>0</x:v>
      </x:c>
      <x:c r="K4377" s="13" t="n">
        <x:f>E4377*I4377*H4377</x:f>
        <x:v>0.05084685375000001</x:v>
      </x:c>
      <x:c r="L4377" s="1" t="str">
        <x:f>TEXT(A4377,"mmm yyyy")</x:f>
        <x:v>Aug 2026</x:v>
      </x:c>
    </x:row>
    <x:row r="4378" ht="21" customHeight="1">
      <x:c r="A4378" s="10" t="n">
        <x:v>46239</x:v>
      </x:c>
      <x:c r="B4378" s="1" t="n">
        <x:v>17</x:v>
      </x:c>
      <x:c r="C4378" s="1" t="n">
        <x:v>6</x:v>
      </x:c>
      <x:c r="D4378" s="12" t="n">
        <x:v>0</x:v>
      </x:c>
      <x:c r="E4378" s="12" t="n">
        <x:v>0.21108333333333335</x:v>
      </x:c>
      <x:c r="F4378" s="12" t="n">
        <x:v>0.21066666666666667</x:v>
      </x:c>
      <x:c r="G4378" s="12" t="n">
        <x:v>0</x:v>
      </x:c>
      <x:c r="H4378" s="1" t="n">
        <x:f>'Historical prices'!E4378</x:f>
        <x:v>1.05</x:v>
      </x:c>
      <x:c r="I4378" s="6" t="n">
        <x:f>'Historical prices'!D4378</x:f>
        <x:v>0.2682</x:v>
      </x:c>
      <x:c r="J4378" s="13" t="n">
        <x:f>D4378*I4378*H4378</x:f>
        <x:v>0</x:v>
      </x:c>
      <x:c r="K4378" s="13" t="n">
        <x:f>E4378*I4378*H4378</x:f>
        <x:v>0.059443177500000006</x:v>
      </x:c>
      <x:c r="L4378" s="1" t="str">
        <x:f>TEXT(A4378,"mmm yyyy")</x:f>
        <x:v>Aug 2026</x:v>
      </x:c>
    </x:row>
    <x:row r="4379" ht="21" customHeight="1">
      <x:c r="A4379" s="10" t="n">
        <x:v>46239</x:v>
      </x:c>
      <x:c r="B4379" s="1" t="n">
        <x:v>17.5</x:v>
      </x:c>
      <x:c r="C4379" s="1" t="n">
        <x:v>6</x:v>
      </x:c>
      <x:c r="D4379" s="12" t="n">
        <x:v>0</x:v>
      </x:c>
      <x:c r="E4379" s="12" t="n">
        <x:v>0.22908333333333336</x:v>
      </x:c>
      <x:c r="F4379" s="12" t="n">
        <x:v>0.22874999999999998</x:v>
      </x:c>
      <x:c r="G4379" s="12" t="n">
        <x:v>0</x:v>
      </x:c>
      <x:c r="H4379" s="1" t="n">
        <x:f>'Historical prices'!E4379</x:f>
        <x:v>1.05</x:v>
      </x:c>
      <x:c r="I4379" s="6" t="n">
        <x:f>'Historical prices'!D4379</x:f>
        <x:v>0.2896</x:v>
      </x:c>
      <x:c r="J4379" s="13" t="n">
        <x:f>D4379*I4379*H4379</x:f>
        <x:v>0</x:v>
      </x:c>
      <x:c r="K4379" s="13" t="n">
        <x:f>E4379*I4379*H4379</x:f>
        <x:v>0.06965966000000001</x:v>
      </x:c>
      <x:c r="L4379" s="1" t="str">
        <x:f>TEXT(A4379,"mmm yyyy")</x:f>
        <x:v>Aug 2026</x:v>
      </x:c>
    </x:row>
    <x:row r="4380" ht="21" customHeight="1">
      <x:c r="A4380" s="10" t="n">
        <x:v>46239</x:v>
      </x:c>
      <x:c r="B4380" s="1" t="n">
        <x:v>18</x:v>
      </x:c>
      <x:c r="C4380" s="1" t="n">
        <x:v>6</x:v>
      </x:c>
      <x:c r="D4380" s="12" t="n">
        <x:v>0</x:v>
      </x:c>
      <x:c r="E4380" s="12" t="n">
        <x:v>0.2856666666666666</x:v>
      </x:c>
      <x:c r="F4380" s="12" t="n">
        <x:v>0.2853333333333333</x:v>
      </x:c>
      <x:c r="G4380" s="12" t="n">
        <x:v>0</x:v>
      </x:c>
      <x:c r="H4380" s="1" t="n">
        <x:f>'Historical prices'!E4380</x:f>
        <x:v>1.05</x:v>
      </x:c>
      <x:c r="I4380" s="6" t="n">
        <x:f>'Historical prices'!D4380</x:f>
        <x:v>0.3181</x:v>
      </x:c>
      <x:c r="J4380" s="13" t="n">
        <x:f>D4380*I4380*H4380</x:f>
        <x:v>0</x:v>
      </x:c>
      <x:c r="K4380" s="13" t="n">
        <x:f>E4380*I4380*H4380</x:f>
        <x:v>0.09541409499999999</x:v>
      </x:c>
      <x:c r="L4380" s="1" t="str">
        <x:f>TEXT(A4380,"mmm yyyy")</x:f>
        <x:v>Aug 2026</x:v>
      </x:c>
    </x:row>
    <x:row r="4381" ht="21" customHeight="1">
      <x:c r="A4381" s="10" t="n">
        <x:v>46239</x:v>
      </x:c>
      <x:c r="B4381" s="1" t="n">
        <x:v>18.5</x:v>
      </x:c>
      <x:c r="C4381" s="1" t="n">
        <x:v>6</x:v>
      </x:c>
      <x:c r="D4381" s="12" t="n">
        <x:v>0</x:v>
      </x:c>
      <x:c r="E4381" s="12" t="n">
        <x:v>0.22399999999999998</x:v>
      </x:c>
      <x:c r="F4381" s="12" t="n">
        <x:v>0.22383333333333333</x:v>
      </x:c>
      <x:c r="G4381" s="12" t="n">
        <x:v>0</x:v>
      </x:c>
      <x:c r="H4381" s="1" t="n">
        <x:f>'Historical prices'!E4381</x:f>
        <x:v>1.05</x:v>
      </x:c>
      <x:c r="I4381" s="6" t="n">
        <x:f>'Historical prices'!D4381</x:f>
        <x:v>0.3444</x:v>
      </x:c>
      <x:c r="J4381" s="13" t="n">
        <x:f>D4381*I4381*H4381</x:f>
        <x:v>0</x:v>
      </x:c>
      <x:c r="K4381" s="13" t="n">
        <x:f>E4381*I4381*H4381</x:f>
        <x:v>0.08100288</x:v>
      </x:c>
      <x:c r="L4381" s="1" t="str">
        <x:f>TEXT(A4381,"mmm yyyy")</x:f>
        <x:v>Aug 2026</x:v>
      </x:c>
    </x:row>
    <x:row r="4382" ht="21" customHeight="1">
      <x:c r="A4382" s="10" t="n">
        <x:v>46239</x:v>
      </x:c>
      <x:c r="B4382" s="1" t="n">
        <x:v>19</x:v>
      </x:c>
      <x:c r="C4382" s="1" t="n">
        <x:v>6</x:v>
      </x:c>
      <x:c r="D4382" s="12" t="n">
        <x:v>0</x:v>
      </x:c>
      <x:c r="E4382" s="12" t="n">
        <x:v>0.24608333333333335</x:v>
      </x:c>
      <x:c r="F4382" s="12" t="n">
        <x:v>0.24591666666666662</x:v>
      </x:c>
      <x:c r="G4382" s="12" t="n">
        <x:v>0</x:v>
      </x:c>
      <x:c r="H4382" s="1" t="n">
        <x:f>'Historical prices'!E4382</x:f>
        <x:v>1.05</x:v>
      </x:c>
      <x:c r="I4382" s="6" t="n">
        <x:f>'Historical prices'!D4382</x:f>
        <x:v>0.239</x:v>
      </x:c>
      <x:c r="J4382" s="13" t="n">
        <x:f>D4382*I4382*H4382</x:f>
        <x:v>0</x:v>
      </x:c>
      <x:c r="K4382" s="13" t="n">
        <x:f>E4382*I4382*H4382</x:f>
        <x:v>0.0617546125</x:v>
      </x:c>
      <x:c r="L4382" s="1" t="str">
        <x:f>TEXT(A4382,"mmm yyyy")</x:f>
        <x:v>Aug 2026</x:v>
      </x:c>
    </x:row>
    <x:row r="4383" ht="21" customHeight="1">
      <x:c r="A4383" s="10" t="n">
        <x:v>46239</x:v>
      </x:c>
      <x:c r="B4383" s="1" t="n">
        <x:v>19.5</x:v>
      </x:c>
      <x:c r="C4383" s="1" t="n">
        <x:v>6</x:v>
      </x:c>
      <x:c r="D4383" s="12" t="n">
        <x:v>0</x:v>
      </x:c>
      <x:c r="E4383" s="12" t="n">
        <x:v>0.25466666666666665</x:v>
      </x:c>
      <x:c r="F4383" s="12" t="n">
        <x:v>0.2544166666666667</x:v>
      </x:c>
      <x:c r="G4383" s="12" t="n">
        <x:v>0</x:v>
      </x:c>
      <x:c r="H4383" s="1" t="n">
        <x:f>'Historical prices'!E4383</x:f>
        <x:v>1.05</x:v>
      </x:c>
      <x:c r="I4383" s="6" t="n">
        <x:f>'Historical prices'!D4383</x:f>
        <x:v>0.2414</x:v>
      </x:c>
      <x:c r="J4383" s="13" t="n">
        <x:f>D4383*I4383*H4383</x:f>
        <x:v>0</x:v>
      </x:c>
      <x:c r="K4383" s="13" t="n">
        <x:f>E4383*I4383*H4383</x:f>
        <x:v>0.06455036</x:v>
      </x:c>
      <x:c r="L4383" s="1" t="str">
        <x:f>TEXT(A4383,"mmm yyyy")</x:f>
        <x:v>Aug 2026</x:v>
      </x:c>
    </x:row>
    <x:row r="4384" ht="21" customHeight="1">
      <x:c r="A4384" s="10" t="n">
        <x:v>46239</x:v>
      </x:c>
      <x:c r="B4384" s="1" t="n">
        <x:v>20</x:v>
      </x:c>
      <x:c r="C4384" s="1" t="n">
        <x:v>6</x:v>
      </x:c>
      <x:c r="D4384" s="12" t="n">
        <x:v>0</x:v>
      </x:c>
      <x:c r="E4384" s="12" t="n">
        <x:v>0.28525</x:v>
      </x:c>
      <x:c r="F4384" s="12" t="n">
        <x:v>0.2848333333333333</x:v>
      </x:c>
      <x:c r="G4384" s="12" t="n">
        <x:v>0</x:v>
      </x:c>
      <x:c r="H4384" s="1" t="n">
        <x:f>'Historical prices'!E4384</x:f>
        <x:v>1.05</x:v>
      </x:c>
      <x:c r="I4384" s="6" t="n">
        <x:f>'Historical prices'!D4384</x:f>
        <x:v>0.2395</x:v>
      </x:c>
      <x:c r="J4384" s="13" t="n">
        <x:f>D4384*I4384*H4384</x:f>
        <x:v>0</x:v>
      </x:c>
      <x:c r="K4384" s="13" t="n">
        <x:f>E4384*I4384*H4384</x:f>
        <x:v>0.07173324375000001</x:v>
      </x:c>
      <x:c r="L4384" s="1" t="str">
        <x:f>TEXT(A4384,"mmm yyyy")</x:f>
        <x:v>Aug 2026</x:v>
      </x:c>
    </x:row>
    <x:row r="4385" ht="21" customHeight="1">
      <x:c r="A4385" s="10" t="n">
        <x:v>46239</x:v>
      </x:c>
      <x:c r="B4385" s="1" t="n">
        <x:v>20.5</x:v>
      </x:c>
      <x:c r="C4385" s="1" t="n">
        <x:v>6</x:v>
      </x:c>
      <x:c r="D4385" s="12" t="n">
        <x:v>0</x:v>
      </x:c>
      <x:c r="E4385" s="12" t="n">
        <x:v>0.2975</x:v>
      </x:c>
      <x:c r="F4385" s="12" t="n">
        <x:v>0.29733333333333334</x:v>
      </x:c>
      <x:c r="G4385" s="12" t="n">
        <x:v>0</x:v>
      </x:c>
      <x:c r="H4385" s="1" t="n">
        <x:f>'Historical prices'!E4385</x:f>
        <x:v>1.05</x:v>
      </x:c>
      <x:c r="I4385" s="6" t="n">
        <x:f>'Historical prices'!D4385</x:f>
        <x:v>0.2384</x:v>
      </x:c>
      <x:c r="J4385" s="13" t="n">
        <x:f>D4385*I4385*H4385</x:f>
        <x:v>0</x:v>
      </x:c>
      <x:c r="K4385" s="13" t="n">
        <x:f>E4385*I4385*H4385</x:f>
        <x:v>0.0744702</x:v>
      </x:c>
      <x:c r="L4385" s="1" t="str">
        <x:f>TEXT(A4385,"mmm yyyy")</x:f>
        <x:v>Aug 2026</x:v>
      </x:c>
    </x:row>
    <x:row r="4386" ht="21" customHeight="1">
      <x:c r="A4386" s="10" t="n">
        <x:v>46239</x:v>
      </x:c>
      <x:c r="B4386" s="1" t="n">
        <x:v>21</x:v>
      </x:c>
      <x:c r="C4386" s="1" t="n">
        <x:v>6</x:v>
      </x:c>
      <x:c r="D4386" s="12" t="n">
        <x:v>0</x:v>
      </x:c>
      <x:c r="E4386" s="12" t="n">
        <x:v>0.28983333333333333</x:v>
      </x:c>
      <x:c r="F4386" s="12" t="n">
        <x:v>0.2895</x:v>
      </x:c>
      <x:c r="G4386" s="12" t="n">
        <x:v>0</x:v>
      </x:c>
      <x:c r="H4386" s="1" t="n">
        <x:f>'Historical prices'!E4386</x:f>
        <x:v>1.05</x:v>
      </x:c>
      <x:c r="I4386" s="6" t="n">
        <x:f>'Historical prices'!D4386</x:f>
        <x:v>0.2446</x:v>
      </x:c>
      <x:c r="J4386" s="13" t="n">
        <x:f>D4386*I4386*H4386</x:f>
        <x:v>0</x:v>
      </x:c>
      <x:c r="K4386" s="13" t="n">
        <x:f>E4386*I4386*H4386</x:f>
        <x:v>0.074437895</x:v>
      </x:c>
      <x:c r="L4386" s="1" t="str">
        <x:f>TEXT(A4386,"mmm yyyy")</x:f>
        <x:v>Aug 2026</x:v>
      </x:c>
    </x:row>
    <x:row r="4387" ht="21" customHeight="1">
      <x:c r="A4387" s="10" t="n">
        <x:v>46239</x:v>
      </x:c>
      <x:c r="B4387" s="1" t="n">
        <x:v>21.5</x:v>
      </x:c>
      <x:c r="C4387" s="1" t="n">
        <x:v>6</x:v>
      </x:c>
      <x:c r="D4387" s="12" t="n">
        <x:v>0</x:v>
      </x:c>
      <x:c r="E4387" s="12" t="n">
        <x:v>0.29891666666666666</x:v>
      </x:c>
      <x:c r="F4387" s="12" t="n">
        <x:v>0.29833333333333334</x:v>
      </x:c>
      <x:c r="G4387" s="12" t="n">
        <x:v>0</x:v>
      </x:c>
      <x:c r="H4387" s="1" t="n">
        <x:f>'Historical prices'!E4387</x:f>
        <x:v>1.05</x:v>
      </x:c>
      <x:c r="I4387" s="6" t="n">
        <x:f>'Historical prices'!D4387</x:f>
        <x:v>0.24170000000000003</x:v>
      </x:c>
      <x:c r="J4387" s="13" t="n">
        <x:f>D4387*I4387*H4387</x:f>
        <x:v>0</x:v>
      </x:c>
      <x:c r="K4387" s="13" t="n">
        <x:f>E4387*I4387*H4387</x:f>
        <x:v>0.07586056625000001</x:v>
      </x:c>
      <x:c r="L4387" s="1" t="str">
        <x:f>TEXT(A4387,"mmm yyyy")</x:f>
        <x:v>Aug 2026</x:v>
      </x:c>
    </x:row>
    <x:row r="4388" ht="21" customHeight="1">
      <x:c r="A4388" s="10" t="n">
        <x:v>46239</x:v>
      </x:c>
      <x:c r="B4388" s="1" t="n">
        <x:v>22</x:v>
      </x:c>
      <x:c r="C4388" s="1" t="n">
        <x:v>6</x:v>
      </x:c>
      <x:c r="D4388" s="12" t="n">
        <x:v>0</x:v>
      </x:c>
      <x:c r="E4388" s="12" t="n">
        <x:v>0.29983333333333334</x:v>
      </x:c>
      <x:c r="F4388" s="12" t="n">
        <x:v>0.2995833333333333</x:v>
      </x:c>
      <x:c r="G4388" s="12" t="n">
        <x:v>0</x:v>
      </x:c>
      <x:c r="H4388" s="1" t="n">
        <x:f>'Historical prices'!E4388</x:f>
        <x:v>1.05</x:v>
      </x:c>
      <x:c r="I4388" s="6" t="n">
        <x:f>'Historical prices'!D4388</x:f>
        <x:v>0.2416</x:v>
      </x:c>
      <x:c r="J4388" s="13" t="n">
        <x:f>D4388*I4388*H4388</x:f>
        <x:v>0</x:v>
      </x:c>
      <x:c r="K4388" s="13" t="n">
        <x:f>E4388*I4388*H4388</x:f>
        <x:v>0.07606172000000001</x:v>
      </x:c>
      <x:c r="L4388" s="1" t="str">
        <x:f>TEXT(A4388,"mmm yyyy")</x:f>
        <x:v>Aug 2026</x:v>
      </x:c>
    </x:row>
    <x:row r="4389" ht="21" customHeight="1">
      <x:c r="A4389" s="10" t="n">
        <x:v>46239</x:v>
      </x:c>
      <x:c r="B4389" s="1" t="n">
        <x:v>22.5</x:v>
      </x:c>
      <x:c r="C4389" s="1" t="n">
        <x:v>6</x:v>
      </x:c>
      <x:c r="D4389" s="12" t="n">
        <x:v>0</x:v>
      </x:c>
      <x:c r="E4389" s="12" t="n">
        <x:v>0.3188333333333333</x:v>
      </x:c>
      <x:c r="F4389" s="12" t="n">
        <x:v>0.31858333333333333</x:v>
      </x:c>
      <x:c r="G4389" s="12" t="n">
        <x:v>0</x:v>
      </x:c>
      <x:c r="H4389" s="1" t="n">
        <x:f>'Historical prices'!E4389</x:f>
        <x:v>1.05</x:v>
      </x:c>
      <x:c r="I4389" s="6" t="n">
        <x:f>'Historical prices'!D4389</x:f>
        <x:v>0.2305</x:v>
      </x:c>
      <x:c r="J4389" s="13" t="n">
        <x:f>D4389*I4389*H4389</x:f>
        <x:v>0</x:v>
      </x:c>
      <x:c r="K4389" s="13" t="n">
        <x:f>E4389*I4389*H4389</x:f>
        <x:v>0.0771656375</x:v>
      </x:c>
      <x:c r="L4389" s="1" t="str">
        <x:f>TEXT(A4389,"mmm yyyy")</x:f>
        <x:v>Aug 2026</x:v>
      </x:c>
    </x:row>
    <x:row r="4390" ht="21" customHeight="1">
      <x:c r="A4390" s="10" t="n">
        <x:v>46239</x:v>
      </x:c>
      <x:c r="B4390" s="1" t="n">
        <x:v>23</x:v>
      </x:c>
      <x:c r="C4390" s="1" t="n">
        <x:v>6</x:v>
      </x:c>
      <x:c r="D4390" s="12" t="n">
        <x:v>0</x:v>
      </x:c>
      <x:c r="E4390" s="12" t="n">
        <x:v>0.21325</x:v>
      </x:c>
      <x:c r="F4390" s="12" t="n">
        <x:v>0.2129166666666667</x:v>
      </x:c>
      <x:c r="G4390" s="12" t="n">
        <x:v>0</x:v>
      </x:c>
      <x:c r="H4390" s="1" t="n">
        <x:f>'Historical prices'!E4390</x:f>
        <x:v>1.05</x:v>
      </x:c>
      <x:c r="I4390" s="6" t="n">
        <x:f>'Historical prices'!D4390</x:f>
        <x:v>0.20920000000000002</x:v>
      </x:c>
      <x:c r="J4390" s="13" t="n">
        <x:f>D4390*I4390*H4390</x:f>
        <x:v>0</x:v>
      </x:c>
      <x:c r="K4390" s="13" t="n">
        <x:f>E4390*I4390*H4390</x:f>
        <x:v>0.046842495000000005</x:v>
      </x:c>
      <x:c r="L4390" s="1" t="str">
        <x:f>TEXT(A4390,"mmm yyyy")</x:f>
        <x:v>Aug 2026</x:v>
      </x:c>
    </x:row>
    <x:row r="4391" ht="21" customHeight="1">
      <x:c r="A4391" s="10" t="n">
        <x:v>46239</x:v>
      </x:c>
      <x:c r="B4391" s="1" t="n">
        <x:v>23.5</x:v>
      </x:c>
      <x:c r="C4391" s="1" t="n">
        <x:v>6</x:v>
      </x:c>
      <x:c r="D4391" s="12" t="n">
        <x:v>0</x:v>
      </x:c>
      <x:c r="E4391" s="12" t="n">
        <x:v>0.20991666666666667</x:v>
      </x:c>
      <x:c r="F4391" s="12" t="n">
        <x:v>0.2094166666666667</x:v>
      </x:c>
      <x:c r="G4391" s="12" t="n">
        <x:v>0</x:v>
      </x:c>
      <x:c r="H4391" s="1" t="n">
        <x:f>'Historical prices'!E4391</x:f>
        <x:v>1.05</x:v>
      </x:c>
      <x:c r="I4391" s="6" t="n">
        <x:f>'Historical prices'!D4391</x:f>
        <x:v>0.18230000000000002</x:v>
      </x:c>
      <x:c r="J4391" s="13" t="n">
        <x:f>D4391*I4391*H4391</x:f>
        <x:v>0</x:v>
      </x:c>
      <x:c r="K4391" s="13" t="n">
        <x:f>E4391*I4391*H4391</x:f>
        <x:v>0.04018119875000001</x:v>
      </x:c>
      <x:c r="L4391" s="1" t="str">
        <x:f>TEXT(A4391,"mmm yyyy")</x:f>
        <x:v>Aug 2026</x:v>
      </x:c>
    </x:row>
    <x:row r="4392" ht="21" customHeight="1">
      <x:c r="A4392" s="10" t="n">
        <x:v>46240</x:v>
      </x:c>
      <x:c r="B4392" s="1" t="n">
        <x:v>0</x:v>
      </x:c>
      <x:c r="C4392" s="1" t="n">
        <x:v>6</x:v>
      </x:c>
      <x:c r="D4392" s="12" t="n">
        <x:v>0</x:v>
      </x:c>
      <x:c r="E4392" s="12" t="n">
        <x:v>0.2811666666666666</x:v>
      </x:c>
      <x:c r="F4392" s="12" t="n">
        <x:v>0.2806666666666666</x:v>
      </x:c>
      <x:c r="G4392" s="12" t="n">
        <x:v>0</x:v>
      </x:c>
      <x:c r="H4392" s="1" t="n">
        <x:f>'Historical prices'!E4392</x:f>
        <x:v>1.05</x:v>
      </x:c>
      <x:c r="I4392" s="6" t="n">
        <x:f>'Historical prices'!D4392</x:f>
        <x:v>0.18739999999999998</x:v>
      </x:c>
      <x:c r="J4392" s="13" t="n">
        <x:f>D4392*I4392*H4392</x:f>
        <x:v>0</x:v>
      </x:c>
      <x:c r="K4392" s="13" t="n">
        <x:f>E4392*I4392*H4392</x:f>
        <x:v>0.05532516499999999</x:v>
      </x:c>
      <x:c r="L4392" s="1" t="str">
        <x:f>TEXT(A4392,"mmm yyyy")</x:f>
        <x:v>Aug 2026</x:v>
      </x:c>
    </x:row>
    <x:row r="4393" ht="21" customHeight="1">
      <x:c r="A4393" s="10" t="n">
        <x:v>46240</x:v>
      </x:c>
      <x:c r="B4393" s="1" t="n">
        <x:v>0.5</x:v>
      </x:c>
      <x:c r="C4393" s="1" t="n">
        <x:v>6</x:v>
      </x:c>
      <x:c r="D4393" s="12" t="n">
        <x:v>0</x:v>
      </x:c>
      <x:c r="E4393" s="12" t="n">
        <x:v>0.23491666666666666</x:v>
      </x:c>
      <x:c r="F4393" s="12" t="n">
        <x:v>0.23475000000000001</x:v>
      </x:c>
      <x:c r="G4393" s="12" t="n">
        <x:v>0</x:v>
      </x:c>
      <x:c r="H4393" s="1" t="n">
        <x:f>'Historical prices'!E4393</x:f>
        <x:v>1.05</x:v>
      </x:c>
      <x:c r="I4393" s="6" t="n">
        <x:f>'Historical prices'!D4393</x:f>
        <x:v>0.18960000000000002</x:v>
      </x:c>
      <x:c r="J4393" s="13" t="n">
        <x:f>D4393*I4393*H4393</x:f>
        <x:v>0</x:v>
      </x:c>
      <x:c r="K4393" s="13" t="n">
        <x:f>E4393*I4393*H4393</x:f>
        <x:v>0.046767210000000004</x:v>
      </x:c>
      <x:c r="L4393" s="1" t="str">
        <x:f>TEXT(A4393,"mmm yyyy")</x:f>
        <x:v>Aug 2026</x:v>
      </x:c>
    </x:row>
    <x:row r="4394" ht="21" customHeight="1">
      <x:c r="A4394" s="10" t="n">
        <x:v>46240</x:v>
      </x:c>
      <x:c r="B4394" s="1" t="n">
        <x:v>1</x:v>
      </x:c>
      <x:c r="C4394" s="1" t="n">
        <x:v>6</x:v>
      </x:c>
      <x:c r="D4394" s="12" t="n">
        <x:v>0</x:v>
      </x:c>
      <x:c r="E4394" s="12" t="n">
        <x:v>0.22091666666666668</x:v>
      </x:c>
      <x:c r="F4394" s="12" t="n">
        <x:v>0.2206666666666667</x:v>
      </x:c>
      <x:c r="G4394" s="12" t="n">
        <x:v>0</x:v>
      </x:c>
      <x:c r="H4394" s="1" t="n">
        <x:f>'Historical prices'!E4394</x:f>
        <x:v>1.05</x:v>
      </x:c>
      <x:c r="I4394" s="6" t="n">
        <x:f>'Historical prices'!D4394</x:f>
        <x:v>0.1788</x:v>
      </x:c>
      <x:c r="J4394" s="13" t="n">
        <x:f>D4394*I4394*H4394</x:f>
        <x:v>0</x:v>
      </x:c>
      <x:c r="K4394" s="13" t="n">
        <x:f>E4394*I4394*H4394</x:f>
        <x:v>0.041474895</x:v>
      </x:c>
      <x:c r="L4394" s="1" t="str">
        <x:f>TEXT(A4394,"mmm yyyy")</x:f>
        <x:v>Aug 2026</x:v>
      </x:c>
    </x:row>
    <x:row r="4395" ht="21" customHeight="1">
      <x:c r="A4395" s="10" t="n">
        <x:v>46240</x:v>
      </x:c>
      <x:c r="B4395" s="1" t="n">
        <x:v>1.5</x:v>
      </x:c>
      <x:c r="C4395" s="1" t="n">
        <x:v>6</x:v>
      </x:c>
      <x:c r="D4395" s="12" t="n">
        <x:v>0</x:v>
      </x:c>
      <x:c r="E4395" s="12" t="n">
        <x:v>0.23308333333333336</x:v>
      </x:c>
      <x:c r="F4395" s="12" t="n">
        <x:v>0.23275</x:v>
      </x:c>
      <x:c r="G4395" s="12" t="n">
        <x:v>0</x:v>
      </x:c>
      <x:c r="H4395" s="1" t="n">
        <x:f>'Historical prices'!E4395</x:f>
        <x:v>1.05</x:v>
      </x:c>
      <x:c r="I4395" s="6" t="n">
        <x:f>'Historical prices'!D4395</x:f>
        <x:v>0.1782</x:v>
      </x:c>
      <x:c r="J4395" s="13" t="n">
        <x:f>D4395*I4395*H4395</x:f>
        <x:v>0</x:v>
      </x:c>
      <x:c r="K4395" s="13" t="n">
        <x:f>E4395*I4395*H4395</x:f>
        <x:v>0.043612222500000006</x:v>
      </x:c>
      <x:c r="L4395" s="1" t="str">
        <x:f>TEXT(A4395,"mmm yyyy")</x:f>
        <x:v>Aug 2026</x:v>
      </x:c>
    </x:row>
    <x:row r="4396" ht="21" customHeight="1">
      <x:c r="A4396" s="10" t="n">
        <x:v>46240</x:v>
      </x:c>
      <x:c r="B4396" s="1" t="n">
        <x:v>2</x:v>
      </x:c>
      <x:c r="C4396" s="1" t="n">
        <x:v>6</x:v>
      </x:c>
      <x:c r="D4396" s="12" t="n">
        <x:v>0</x:v>
      </x:c>
      <x:c r="E4396" s="12" t="n">
        <x:v>0.326</x:v>
      </x:c>
      <x:c r="F4396" s="12" t="n">
        <x:v>0.32525</x:v>
      </x:c>
      <x:c r="G4396" s="12" t="n">
        <x:v>0</x:v>
      </x:c>
      <x:c r="H4396" s="1" t="n">
        <x:f>'Historical prices'!E4396</x:f>
        <x:v>1.05</x:v>
      </x:c>
      <x:c r="I4396" s="6" t="n">
        <x:f>'Historical prices'!D4396</x:f>
        <x:v>0.17300000000000001</x:v>
      </x:c>
      <x:c r="J4396" s="13" t="n">
        <x:f>D4396*I4396*H4396</x:f>
        <x:v>0</x:v>
      </x:c>
      <x:c r="K4396" s="13" t="n">
        <x:f>E4396*I4396*H4396</x:f>
        <x:v>0.059217900000000004</x:v>
      </x:c>
      <x:c r="L4396" s="1" t="str">
        <x:f>TEXT(A4396,"mmm yyyy")</x:f>
        <x:v>Aug 2026</x:v>
      </x:c>
    </x:row>
    <x:row r="4397" ht="21" customHeight="1">
      <x:c r="A4397" s="10" t="n">
        <x:v>46240</x:v>
      </x:c>
      <x:c r="B4397" s="1" t="n">
        <x:v>2.5</x:v>
      </x:c>
      <x:c r="C4397" s="1" t="n">
        <x:v>6</x:v>
      </x:c>
      <x:c r="D4397" s="12" t="n">
        <x:v>0</x:v>
      </x:c>
      <x:c r="E4397" s="12" t="n">
        <x:v>0.25475</x:v>
      </x:c>
      <x:c r="F4397" s="12" t="n">
        <x:v>0.2544166666666667</x:v>
      </x:c>
      <x:c r="G4397" s="12" t="n">
        <x:v>0</x:v>
      </x:c>
      <x:c r="H4397" s="1" t="n">
        <x:f>'Historical prices'!E4397</x:f>
        <x:v>1.05</x:v>
      </x:c>
      <x:c r="I4397" s="6" t="n">
        <x:f>'Historical prices'!D4397</x:f>
        <x:v>0.1714</x:v>
      </x:c>
      <x:c r="J4397" s="13" t="n">
        <x:f>D4397*I4397*H4397</x:f>
        <x:v>0</x:v>
      </x:c>
      <x:c r="K4397" s="13" t="n">
        <x:f>E4397*I4397*H4397</x:f>
        <x:v>0.04584735749999999</x:v>
      </x:c>
      <x:c r="L4397" s="1" t="str">
        <x:f>TEXT(A4397,"mmm yyyy")</x:f>
        <x:v>Aug 2026</x:v>
      </x:c>
    </x:row>
    <x:row r="4398" ht="21" customHeight="1">
      <x:c r="A4398" s="10" t="n">
        <x:v>46240</x:v>
      </x:c>
      <x:c r="B4398" s="1" t="n">
        <x:v>3</x:v>
      </x:c>
      <x:c r="C4398" s="1" t="n">
        <x:v>6</x:v>
      </x:c>
      <x:c r="D4398" s="12" t="n">
        <x:v>0</x:v>
      </x:c>
      <x:c r="E4398" s="12" t="n">
        <x:v>0.23958333333333331</x:v>
      </x:c>
      <x:c r="F4398" s="12" t="n">
        <x:v>0.23916666666666667</x:v>
      </x:c>
      <x:c r="G4398" s="12" t="n">
        <x:v>0</x:v>
      </x:c>
      <x:c r="H4398" s="1" t="n">
        <x:f>'Historical prices'!E4398</x:f>
        <x:v>1.05</x:v>
      </x:c>
      <x:c r="I4398" s="6" t="n">
        <x:f>'Historical prices'!D4398</x:f>
        <x:v>0.16620000000000001</x:v>
      </x:c>
      <x:c r="J4398" s="13" t="n">
        <x:f>D4398*I4398*H4398</x:f>
        <x:v>0</x:v>
      </x:c>
      <x:c r="K4398" s="13" t="n">
        <x:f>E4398*I4398*H4398</x:f>
        <x:v>0.041809687500000005</x:v>
      </x:c>
      <x:c r="L4398" s="1" t="str">
        <x:f>TEXT(A4398,"mmm yyyy")</x:f>
        <x:v>Aug 2026</x:v>
      </x:c>
    </x:row>
    <x:row r="4399" ht="21" customHeight="1">
      <x:c r="A4399" s="10" t="n">
        <x:v>46240</x:v>
      </x:c>
      <x:c r="B4399" s="1" t="n">
        <x:v>3.5</x:v>
      </x:c>
      <x:c r="C4399" s="1" t="n">
        <x:v>6</x:v>
      </x:c>
      <x:c r="D4399" s="12" t="n">
        <x:v>0</x:v>
      </x:c>
      <x:c r="E4399" s="12" t="n">
        <x:v>0.19825</x:v>
      </x:c>
      <x:c r="F4399" s="12" t="n">
        <x:v>0.19783333333333333</x:v>
      </x:c>
      <x:c r="G4399" s="12" t="n">
        <x:v>0</x:v>
      </x:c>
      <x:c r="H4399" s="1" t="n">
        <x:f>'Historical prices'!E4399</x:f>
        <x:v>1.05</x:v>
      </x:c>
      <x:c r="I4399" s="6" t="n">
        <x:f>'Historical prices'!D4399</x:f>
        <x:v>0.15810000000000002</x:v>
      </x:c>
      <x:c r="J4399" s="13" t="n">
        <x:f>D4399*I4399*H4399</x:f>
        <x:v>0</x:v>
      </x:c>
      <x:c r="K4399" s="13" t="n">
        <x:f>E4399*I4399*H4399</x:f>
        <x:v>0.03291049125000001</x:v>
      </x:c>
      <x:c r="L4399" s="1" t="str">
        <x:f>TEXT(A4399,"mmm yyyy")</x:f>
        <x:v>Aug 2026</x:v>
      </x:c>
    </x:row>
    <x:row r="4400" ht="21" customHeight="1">
      <x:c r="A4400" s="10" t="n">
        <x:v>46240</x:v>
      </x:c>
      <x:c r="B4400" s="1" t="n">
        <x:v>4</x:v>
      </x:c>
      <x:c r="C4400" s="1" t="n">
        <x:v>6</x:v>
      </x:c>
      <x:c r="D4400" s="12" t="n">
        <x:v>0</x:v>
      </x:c>
      <x:c r="E4400" s="12" t="n">
        <x:v>0.2609166666666667</x:v>
      </x:c>
      <x:c r="F4400" s="12" t="n">
        <x:v>0.25966666666666666</x:v>
      </x:c>
      <x:c r="G4400" s="12" t="n">
        <x:v>0</x:v>
      </x:c>
      <x:c r="H4400" s="1" t="n">
        <x:f>'Historical prices'!E4400</x:f>
        <x:v>1.05</x:v>
      </x:c>
      <x:c r="I4400" s="6" t="n">
        <x:f>'Historical prices'!D4400</x:f>
        <x:v>0.1724</x:v>
      </x:c>
      <x:c r="J4400" s="13" t="n">
        <x:f>D4400*I4400*H4400</x:f>
        <x:v>0</x:v>
      </x:c>
      <x:c r="K4400" s="13" t="n">
        <x:f>E4400*I4400*H4400</x:f>
        <x:v>0.04723113500000001</x:v>
      </x:c>
      <x:c r="L4400" s="1" t="str">
        <x:f>TEXT(A4400,"mmm yyyy")</x:f>
        <x:v>Aug 2026</x:v>
      </x:c>
    </x:row>
    <x:row r="4401" ht="21" customHeight="1">
      <x:c r="A4401" s="10" t="n">
        <x:v>46240</x:v>
      </x:c>
      <x:c r="B4401" s="1" t="n">
        <x:v>4.5</x:v>
      </x:c>
      <x:c r="C4401" s="1" t="n">
        <x:v>6</x:v>
      </x:c>
      <x:c r="D4401" s="12" t="n">
        <x:v>0</x:v>
      </x:c>
      <x:c r="E4401" s="12" t="n">
        <x:v>0.27675</x:v>
      </x:c>
      <x:c r="F4401" s="12" t="n">
        <x:v>0.2763333333333333</x:v>
      </x:c>
      <x:c r="G4401" s="12" t="n">
        <x:v>0</x:v>
      </x:c>
      <x:c r="H4401" s="1" t="n">
        <x:f>'Historical prices'!E4401</x:f>
        <x:v>1.05</x:v>
      </x:c>
      <x:c r="I4401" s="6" t="n">
        <x:f>'Historical prices'!D4401</x:f>
        <x:v>0.1728</x:v>
      </x:c>
      <x:c r="J4401" s="13" t="n">
        <x:f>D4401*I4401*H4401</x:f>
        <x:v>0</x:v>
      </x:c>
      <x:c r="K4401" s="13" t="n">
        <x:f>E4401*I4401*H4401</x:f>
        <x:v>0.050213520000000005</x:v>
      </x:c>
      <x:c r="L4401" s="1" t="str">
        <x:f>TEXT(A4401,"mmm yyyy")</x:f>
        <x:v>Aug 2026</x:v>
      </x:c>
    </x:row>
    <x:row r="4402" ht="21" customHeight="1">
      <x:c r="A4402" s="10" t="n">
        <x:v>46240</x:v>
      </x:c>
      <x:c r="B4402" s="1" t="n">
        <x:v>5</x:v>
      </x:c>
      <x:c r="C4402" s="1" t="n">
        <x:v>6</x:v>
      </x:c>
      <x:c r="D4402" s="12" t="n">
        <x:v>0</x:v>
      </x:c>
      <x:c r="E4402" s="12" t="n">
        <x:v>0.19691666666666666</x:v>
      </x:c>
      <x:c r="F4402" s="12" t="n">
        <x:v>0.19633333333333333</x:v>
      </x:c>
      <x:c r="G4402" s="12" t="n">
        <x:v>0</x:v>
      </x:c>
      <x:c r="H4402" s="1" t="n">
        <x:f>'Historical prices'!E4402</x:f>
        <x:v>1.05</x:v>
      </x:c>
      <x:c r="I4402" s="6" t="n">
        <x:f>'Historical prices'!D4402</x:f>
        <x:v>0.17379999999999998</x:v>
      </x:c>
      <x:c r="J4402" s="13" t="n">
        <x:f>D4402*I4402*H4402</x:f>
        <x:v>0</x:v>
      </x:c>
      <x:c r="K4402" s="13" t="n">
        <x:f>E4402*I4402*H4402</x:f>
        <x:v>0.03593532249999999</x:v>
      </x:c>
      <x:c r="L4402" s="1" t="str">
        <x:f>TEXT(A4402,"mmm yyyy")</x:f>
        <x:v>Aug 2026</x:v>
      </x:c>
    </x:row>
    <x:row r="4403" ht="21" customHeight="1">
      <x:c r="A4403" s="10" t="n">
        <x:v>46240</x:v>
      </x:c>
      <x:c r="B4403" s="1" t="n">
        <x:v>5.5</x:v>
      </x:c>
      <x:c r="C4403" s="1" t="n">
        <x:v>6</x:v>
      </x:c>
      <x:c r="D4403" s="12" t="n">
        <x:v>0</x:v>
      </x:c>
      <x:c r="E4403" s="12" t="n">
        <x:v>0.21016666666666667</x:v>
      </x:c>
      <x:c r="F4403" s="12" t="n">
        <x:v>0.20975</x:v>
      </x:c>
      <x:c r="G4403" s="12" t="n">
        <x:v>0</x:v>
      </x:c>
      <x:c r="H4403" s="1" t="n">
        <x:f>'Historical prices'!E4403</x:f>
        <x:v>1.05</x:v>
      </x:c>
      <x:c r="I4403" s="6" t="n">
        <x:f>'Historical prices'!D4403</x:f>
        <x:v>0.18710000000000002</x:v>
      </x:c>
      <x:c r="J4403" s="13" t="n">
        <x:f>D4403*I4403*H4403</x:f>
        <x:v>0</x:v>
      </x:c>
      <x:c r="K4403" s="13" t="n">
        <x:f>E4403*I4403*H4403</x:f>
        <x:v>0.041288292500000004</x:v>
      </x:c>
      <x:c r="L4403" s="1" t="str">
        <x:f>TEXT(A4403,"mmm yyyy")</x:f>
        <x:v>Aug 2026</x:v>
      </x:c>
    </x:row>
    <x:row r="4404" ht="21" customHeight="1">
      <x:c r="A4404" s="10" t="n">
        <x:v>46240</x:v>
      </x:c>
      <x:c r="B4404" s="1" t="n">
        <x:v>6</x:v>
      </x:c>
      <x:c r="C4404" s="1" t="n">
        <x:v>6</x:v>
      </x:c>
      <x:c r="D4404" s="12" t="n">
        <x:v>0</x:v>
      </x:c>
      <x:c r="E4404" s="12" t="n">
        <x:v>0.2928333333333333</x:v>
      </x:c>
      <x:c r="F4404" s="12" t="n">
        <x:v>0.29274999999999995</x:v>
      </x:c>
      <x:c r="G4404" s="12" t="n">
        <x:v>0</x:v>
      </x:c>
      <x:c r="H4404" s="1" t="n">
        <x:f>'Historical prices'!E4404</x:f>
        <x:v>1.05</x:v>
      </x:c>
      <x:c r="I4404" s="6" t="n">
        <x:f>'Historical prices'!D4404</x:f>
        <x:v>0.20079999999999998</x:v>
      </x:c>
      <x:c r="J4404" s="13" t="n">
        <x:f>D4404*I4404*H4404</x:f>
        <x:v>0</x:v>
      </x:c>
      <x:c r="K4404" s="13" t="n">
        <x:f>E4404*I4404*H4404</x:f>
        <x:v>0.06174097999999999</x:v>
      </x:c>
      <x:c r="L4404" s="1" t="str">
        <x:f>TEXT(A4404,"mmm yyyy")</x:f>
        <x:v>Aug 2026</x:v>
      </x:c>
    </x:row>
    <x:row r="4405" ht="21" customHeight="1">
      <x:c r="A4405" s="10" t="n">
        <x:v>46240</x:v>
      </x:c>
      <x:c r="B4405" s="1" t="n">
        <x:v>6.5</x:v>
      </x:c>
      <x:c r="C4405" s="1" t="n">
        <x:v>6</x:v>
      </x:c>
      <x:c r="D4405" s="12" t="n">
        <x:v>0</x:v>
      </x:c>
      <x:c r="E4405" s="12" t="n">
        <x:v>0.25475</x:v>
      </x:c>
      <x:c r="F4405" s="12" t="n">
        <x:v>0.2545</x:v>
      </x:c>
      <x:c r="G4405" s="12" t="n">
        <x:v>0</x:v>
      </x:c>
      <x:c r="H4405" s="1" t="n">
        <x:f>'Historical prices'!E4405</x:f>
        <x:v>1.05</x:v>
      </x:c>
      <x:c r="I4405" s="6" t="n">
        <x:f>'Historical prices'!D4405</x:f>
        <x:v>0.2163</x:v>
      </x:c>
      <x:c r="J4405" s="13" t="n">
        <x:f>D4405*I4405*H4405</x:f>
        <x:v>0</x:v>
      </x:c>
      <x:c r="K4405" s="13" t="n">
        <x:f>E4405*I4405*H4405</x:f>
        <x:v>0.05785754624999999</x:v>
      </x:c>
      <x:c r="L4405" s="1" t="str">
        <x:f>TEXT(A4405,"mmm yyyy")</x:f>
        <x:v>Aug 2026</x:v>
      </x:c>
    </x:row>
    <x:row r="4406" ht="21" customHeight="1">
      <x:c r="A4406" s="10" t="n">
        <x:v>46240</x:v>
      </x:c>
      <x:c r="B4406" s="1" t="n">
        <x:v>7</x:v>
      </x:c>
      <x:c r="C4406" s="1" t="n">
        <x:v>6</x:v>
      </x:c>
      <x:c r="D4406" s="12" t="n">
        <x:v>0</x:v>
      </x:c>
      <x:c r="E4406" s="12" t="n">
        <x:v>0.332</x:v>
      </x:c>
      <x:c r="F4406" s="12" t="n">
        <x:v>0.33166666666666667</x:v>
      </x:c>
      <x:c r="G4406" s="12" t="n">
        <x:v>0</x:v>
      </x:c>
      <x:c r="H4406" s="1" t="n">
        <x:f>'Historical prices'!E4406</x:f>
        <x:v>1.05</x:v>
      </x:c>
      <x:c r="I4406" s="6" t="n">
        <x:f>'Historical prices'!D4406</x:f>
        <x:v>0.20440000000000003</x:v>
      </x:c>
      <x:c r="J4406" s="13" t="n">
        <x:f>D4406*I4406*H4406</x:f>
        <x:v>0</x:v>
      </x:c>
      <x:c r="K4406" s="13" t="n">
        <x:f>E4406*I4406*H4406</x:f>
        <x:v>0.07125384000000001</x:v>
      </x:c>
      <x:c r="L4406" s="1" t="str">
        <x:f>TEXT(A4406,"mmm yyyy")</x:f>
        <x:v>Aug 2026</x:v>
      </x:c>
    </x:row>
    <x:row r="4407" ht="21" customHeight="1">
      <x:c r="A4407" s="10" t="n">
        <x:v>46240</x:v>
      </x:c>
      <x:c r="B4407" s="1" t="n">
        <x:v>7.5</x:v>
      </x:c>
      <x:c r="C4407" s="1" t="n">
        <x:v>6</x:v>
      </x:c>
      <x:c r="D4407" s="12" t="n">
        <x:v>0</x:v>
      </x:c>
      <x:c r="E4407" s="12" t="n">
        <x:v>0.27608333333333335</x:v>
      </x:c>
      <x:c r="F4407" s="12" t="n">
        <x:v>0.27575</x:v>
      </x:c>
      <x:c r="G4407" s="12" t="n">
        <x:v>0</x:v>
      </x:c>
      <x:c r="H4407" s="1" t="n">
        <x:f>'Historical prices'!E4407</x:f>
        <x:v>1.05</x:v>
      </x:c>
      <x:c r="I4407" s="6" t="n">
        <x:f>'Historical prices'!D4407</x:f>
        <x:v>0.20600000000000002</x:v>
      </x:c>
      <x:c r="J4407" s="13" t="n">
        <x:f>D4407*I4407*H4407</x:f>
        <x:v>0</x:v>
      </x:c>
      <x:c r="K4407" s="13" t="n">
        <x:f>E4407*I4407*H4407</x:f>
        <x:v>0.059716825000000015</x:v>
      </x:c>
      <x:c r="L4407" s="1" t="str">
        <x:f>TEXT(A4407,"mmm yyyy")</x:f>
        <x:v>Aug 2026</x:v>
      </x:c>
    </x:row>
    <x:row r="4408" ht="21" customHeight="1">
      <x:c r="A4408" s="10" t="n">
        <x:v>46240</x:v>
      </x:c>
      <x:c r="B4408" s="1" t="n">
        <x:v>8</x:v>
      </x:c>
      <x:c r="C4408" s="1" t="n">
        <x:v>6</x:v>
      </x:c>
      <x:c r="D4408" s="12" t="n">
        <x:v>0.17825000000000002</x:v>
      </x:c>
      <x:c r="E4408" s="12" t="n">
        <x:v>0.2349166666666667</x:v>
      </x:c>
      <x:c r="F4408" s="12" t="n">
        <x:v>0.04766666666666667</x:v>
      </x:c>
      <x:c r="G4408" s="12" t="n">
        <x:v>0</x:v>
      </x:c>
      <x:c r="H4408" s="1" t="n">
        <x:f>'Historical prices'!E4408</x:f>
        <x:v>1.05</x:v>
      </x:c>
      <x:c r="I4408" s="6" t="n">
        <x:f>'Historical prices'!D4408</x:f>
        <x:v>0.12710000000000002</x:v>
      </x:c>
      <x:c r="J4408" s="13" t="n">
        <x:f>D4408*I4408*H4408</x:f>
        <x:v>0.023788353750000005</x:v>
      </x:c>
      <x:c r="K4408" s="13" t="n">
        <x:f>E4408*I4408*H4408</x:f>
        <x:v>0.03135080375000001</x:v>
      </x:c>
      <x:c r="L4408" s="1" t="str">
        <x:f>TEXT(A4408,"mmm yyyy")</x:f>
        <x:v>Aug 2026</x:v>
      </x:c>
    </x:row>
    <x:row r="4409" ht="21" customHeight="1">
      <x:c r="A4409" s="10" t="n">
        <x:v>46240</x:v>
      </x:c>
      <x:c r="B4409" s="1" t="n">
        <x:v>8.5</x:v>
      </x:c>
      <x:c r="C4409" s="1" t="n">
        <x:v>6</x:v>
      </x:c>
      <x:c r="D4409" s="12" t="n">
        <x:v>0.03325</x:v>
      </x:c>
      <x:c r="E4409" s="12" t="n">
        <x:v>0.22616666666666668</x:v>
      </x:c>
      <x:c r="F4409" s="12" t="n">
        <x:v>0.19058333333333333</x:v>
      </x:c>
      <x:c r="G4409" s="12" t="n">
        <x:v>0</x:v>
      </x:c>
      <x:c r="H4409" s="1" t="n">
        <x:f>'Historical prices'!E4409</x:f>
        <x:v>1.05</x:v>
      </x:c>
      <x:c r="I4409" s="6" t="n">
        <x:f>'Historical prices'!D4409</x:f>
        <x:v>0.1519</x:v>
      </x:c>
      <x:c r="J4409" s="13" t="n">
        <x:f>D4409*I4409*H4409</x:f>
        <x:v>0.005303208750000001</x:v>
      </x:c>
      <x:c r="K4409" s="13" t="n">
        <x:f>E4409*I4409*H4409</x:f>
        <x:v>0.03607245250000001</x:v>
      </x:c>
      <x:c r="L4409" s="1" t="str">
        <x:f>TEXT(A4409,"mmm yyyy")</x:f>
        <x:v>Aug 2026</x:v>
      </x:c>
    </x:row>
    <x:row r="4410" ht="21" customHeight="1">
      <x:c r="A4410" s="10" t="n">
        <x:v>46240</x:v>
      </x:c>
      <x:c r="B4410" s="1" t="n">
        <x:v>9</x:v>
      </x:c>
      <x:c r="C4410" s="1" t="n">
        <x:v>6</x:v>
      </x:c>
      <x:c r="D4410" s="12" t="n">
        <x:v>0.15225</x:v>
      </x:c>
      <x:c r="E4410" s="12" t="n">
        <x:v>0.20225</x:v>
      </x:c>
      <x:c r="F4410" s="12" t="n">
        <x:v>0.041</x:v>
      </x:c>
      <x:c r="G4410" s="12" t="n">
        <x:v>0</x:v>
      </x:c>
      <x:c r="H4410" s="1" t="n">
        <x:f>'Historical prices'!E4410</x:f>
        <x:v>1.05</x:v>
      </x:c>
      <x:c r="I4410" s="6" t="n">
        <x:f>'Historical prices'!D4410</x:f>
        <x:v>0.1168</x:v>
      </x:c>
      <x:c r="J4410" s="13" t="n">
        <x:f>D4410*I4410*H4410</x:f>
        <x:v>0.01867194</x:v>
      </x:c>
      <x:c r="K4410" s="13" t="n">
        <x:f>E4410*I4410*H4410</x:f>
        <x:v>0.024803940000000003</x:v>
      </x:c>
      <x:c r="L4410" s="1" t="str">
        <x:f>TEXT(A4410,"mmm yyyy")</x:f>
        <x:v>Aug 2026</x:v>
      </x:c>
    </x:row>
    <x:row r="4411" ht="21" customHeight="1">
      <x:c r="A4411" s="10" t="n">
        <x:v>46240</x:v>
      </x:c>
      <x:c r="B4411" s="1" t="n">
        <x:v>9.5</x:v>
      </x:c>
      <x:c r="C4411" s="1" t="n">
        <x:v>6</x:v>
      </x:c>
      <x:c r="D4411" s="12" t="n">
        <x:v>0.17049999999999998</x:v>
      </x:c>
      <x:c r="E4411" s="12" t="n">
        <x:v>0.1825</x:v>
      </x:c>
      <x:c r="F4411" s="12" t="n">
        <x:v>0</x:v>
      </x:c>
      <x:c r="G4411" s="12" t="n">
        <x:v>0</x:v>
      </x:c>
      <x:c r="H4411" s="1" t="n">
        <x:f>'Historical prices'!E4411</x:f>
        <x:v>1.05</x:v>
      </x:c>
      <x:c r="I4411" s="6" t="n">
        <x:f>'Historical prices'!D4411</x:f>
        <x:v>0.1165</x:v>
      </x:c>
      <x:c r="J4411" s="13" t="n">
        <x:f>D4411*I4411*H4411</x:f>
        <x:v>0.0208564125</x:v>
      </x:c>
      <x:c r="K4411" s="13" t="n">
        <x:f>E4411*I4411*H4411</x:f>
        <x:v>0.022324312500000002</x:v>
      </x:c>
      <x:c r="L4411" s="1" t="str">
        <x:f>TEXT(A4411,"mmm yyyy")</x:f>
        <x:v>Aug 2026</x:v>
      </x:c>
    </x:row>
    <x:row r="4412" ht="21" customHeight="1">
      <x:c r="A4412" s="10" t="n">
        <x:v>46240</x:v>
      </x:c>
      <x:c r="B4412" s="1" t="n">
        <x:v>10</x:v>
      </x:c>
      <x:c r="C4412" s="1" t="n">
        <x:v>6</x:v>
      </x:c>
      <x:c r="D4412" s="12" t="n">
        <x:v>3.677</x:v>
      </x:c>
      <x:c r="E4412" s="12" t="n">
        <x:v>0.42800000000000005</x:v>
      </x:c>
      <x:c r="F4412" s="12" t="n">
        <x:v>0</x:v>
      </x:c>
      <x:c r="G4412" s="12" t="n">
        <x:v>3.25</x:v>
      </x:c>
      <x:c r="H4412" s="1" t="n">
        <x:f>'Historical prices'!E4412</x:f>
        <x:v>1.05</x:v>
      </x:c>
      <x:c r="I4412" s="6" t="n">
        <x:f>'Historical prices'!D4412</x:f>
        <x:v>0.1076</x:v>
      </x:c>
      <x:c r="J4412" s="13" t="n">
        <x:f>D4412*I4412*H4412</x:f>
        <x:v>0.41542746</x:v>
      </x:c>
      <x:c r="K4412" s="13" t="n">
        <x:f>E4412*I4412*H4412</x:f>
        <x:v>0.048355440000000006</x:v>
      </x:c>
      <x:c r="L4412" s="1" t="str">
        <x:f>TEXT(A4412,"mmm yyyy")</x:f>
        <x:v>Aug 2026</x:v>
      </x:c>
    </x:row>
    <x:row r="4413" ht="21" customHeight="1">
      <x:c r="A4413" s="10" t="n">
        <x:v>46240</x:v>
      </x:c>
      <x:c r="B4413" s="1" t="n">
        <x:v>10.5</x:v>
      </x:c>
      <x:c r="C4413" s="1" t="n">
        <x:v>6</x:v>
      </x:c>
      <x:c r="D4413" s="12" t="n">
        <x:v>4.301</x:v>
      </x:c>
      <x:c r="E4413" s="12" t="n">
        <x:v>0.434</x:v>
      </x:c>
      <x:c r="F4413" s="12" t="n">
        <x:v>0</x:v>
      </x:c>
      <x:c r="G4413" s="12" t="n">
        <x:v>3.867</x:v>
      </x:c>
      <x:c r="H4413" s="1" t="n">
        <x:f>'Historical prices'!E4413</x:f>
        <x:v>1.05</x:v>
      </x:c>
      <x:c r="I4413" s="6" t="n">
        <x:f>'Historical prices'!D4413</x:f>
        <x:v>0.1094</x:v>
      </x:c>
      <x:c r="J4413" s="13" t="n">
        <x:f>D4413*I4413*H4413</x:f>
        <x:v>0.49405587</x:v>
      </x:c>
      <x:c r="K4413" s="13" t="n">
        <x:f>E4413*I4413*H4413</x:f>
        <x:v>0.04985358</x:v>
      </x:c>
      <x:c r="L4413" s="1" t="str">
        <x:f>TEXT(A4413,"mmm yyyy")</x:f>
        <x:v>Aug 2026</x:v>
      </x:c>
    </x:row>
    <x:row r="4414" ht="21" customHeight="1">
      <x:c r="A4414" s="10" t="n">
        <x:v>46240</x:v>
      </x:c>
      <x:c r="B4414" s="1" t="n">
        <x:v>11</x:v>
      </x:c>
      <x:c r="C4414" s="1" t="n">
        <x:v>6</x:v>
      </x:c>
      <x:c r="D4414" s="12" t="n">
        <x:v>2.7944999999999998</x:v>
      </x:c>
      <x:c r="E4414" s="12" t="n">
        <x:v>0.2995</x:v>
      </x:c>
      <x:c r="F4414" s="12" t="n">
        <x:v>0</x:v>
      </x:c>
      <x:c r="G4414" s="12" t="n">
        <x:v>2.4949999999999997</x:v>
      </x:c>
      <x:c r="H4414" s="1" t="n">
        <x:f>'Historical prices'!E4414</x:f>
        <x:v>1.05</x:v>
      </x:c>
      <x:c r="I4414" s="6" t="n">
        <x:f>'Historical prices'!D4414</x:f>
        <x:v>0.11019999999999999</x:v>
      </x:c>
      <x:c r="J4414" s="13" t="n">
        <x:f>D4414*I4414*H4414</x:f>
        <x:v>0.32335159499999994</x:v>
      </x:c>
      <x:c r="K4414" s="13" t="n">
        <x:f>E4414*I4414*H4414</x:f>
        <x:v>0.034655145</x:v>
      </x:c>
      <x:c r="L4414" s="1" t="str">
        <x:f>TEXT(A4414,"mmm yyyy")</x:f>
        <x:v>Aug 2026</x:v>
      </x:c>
    </x:row>
    <x:row r="4415" ht="21" customHeight="1">
      <x:c r="A4415" s="10" t="n">
        <x:v>46240</x:v>
      </x:c>
      <x:c r="B4415" s="1" t="n">
        <x:v>11.5</x:v>
      </x:c>
      <x:c r="C4415" s="1" t="n">
        <x:v>6</x:v>
      </x:c>
      <x:c r="D4415" s="12" t="n">
        <x:v>0.42275000000000007</x:v>
      </x:c>
      <x:c r="E4415" s="12" t="n">
        <x:v>0.25775</x:v>
      </x:c>
      <x:c r="F4415" s="12" t="n">
        <x:v>0</x:v>
      </x:c>
      <x:c r="G4415" s="12" t="n">
        <x:v>0.173</x:v>
      </x:c>
      <x:c r="H4415" s="1" t="n">
        <x:f>'Historical prices'!E4415</x:f>
        <x:v>1.05</x:v>
      </x:c>
      <x:c r="I4415" s="6" t="n">
        <x:f>'Historical prices'!D4415</x:f>
        <x:v>0.1277</x:v>
      </x:c>
      <x:c r="J4415" s="13" t="n">
        <x:f>D4415*I4415*H4415</x:f>
        <x:v>0.05668443375000001</x:v>
      </x:c>
      <x:c r="K4415" s="13" t="n">
        <x:f>E4415*I4415*H4415</x:f>
        <x:v>0.03456040875</x:v>
      </x:c>
      <x:c r="L4415" s="1" t="str">
        <x:f>TEXT(A4415,"mmm yyyy")</x:f>
        <x:v>Aug 2026</x:v>
      </x:c>
    </x:row>
    <x:row r="4416" ht="21" customHeight="1">
      <x:c r="A4416" s="10" t="n">
        <x:v>46240</x:v>
      </x:c>
      <x:c r="B4416" s="1" t="n">
        <x:v>12</x:v>
      </x:c>
      <x:c r="C4416" s="1" t="n">
        <x:v>6</x:v>
      </x:c>
      <x:c r="D4416" s="12" t="n">
        <x:v>0.23500000000000001</x:v>
      </x:c>
      <x:c r="E4416" s="12" t="n">
        <x:v>0.24600000000000002</x:v>
      </x:c>
      <x:c r="F4416" s="12" t="n">
        <x:v>0</x:v>
      </x:c>
      <x:c r="G4416" s="12" t="n">
        <x:v>0</x:v>
      </x:c>
      <x:c r="H4416" s="1" t="n">
        <x:f>'Historical prices'!E4416</x:f>
        <x:v>1.05</x:v>
      </x:c>
      <x:c r="I4416" s="6" t="n">
        <x:f>'Historical prices'!D4416</x:f>
        <x:v>0.12380000000000001</x:v>
      </x:c>
      <x:c r="J4416" s="13" t="n">
        <x:f>D4416*I4416*H4416</x:f>
        <x:v>0.030547650000000006</x:v>
      </x:c>
      <x:c r="K4416" s="13" t="n">
        <x:f>E4416*I4416*H4416</x:f>
        <x:v>0.031977540000000006</x:v>
      </x:c>
      <x:c r="L4416" s="1" t="str">
        <x:f>TEXT(A4416,"mmm yyyy")</x:f>
        <x:v>Aug 2026</x:v>
      </x:c>
    </x:row>
    <x:row r="4417" ht="21" customHeight="1">
      <x:c r="A4417" s="10" t="n">
        <x:v>46240</x:v>
      </x:c>
      <x:c r="B4417" s="1" t="n">
        <x:v>12.5</x:v>
      </x:c>
      <x:c r="C4417" s="1" t="n">
        <x:v>6</x:v>
      </x:c>
      <x:c r="D4417" s="12" t="n">
        <x:v>0.0315</x:v>
      </x:c>
      <x:c r="E4417" s="12" t="n">
        <x:v>0.19766666666666666</x:v>
      </x:c>
      <x:c r="F4417" s="12" t="n">
        <x:v>0.16474999999999998</x:v>
      </x:c>
      <x:c r="G4417" s="12" t="n">
        <x:v>0</x:v>
      </x:c>
      <x:c r="H4417" s="1" t="n">
        <x:f>'Historical prices'!E4417</x:f>
        <x:v>1.05</x:v>
      </x:c>
      <x:c r="I4417" s="6" t="n">
        <x:f>'Historical prices'!D4417</x:f>
        <x:v>0.1451</x:v>
      </x:c>
      <x:c r="J4417" s="13" t="n">
        <x:f>D4417*I4417*H4417</x:f>
        <x:v>0.0047991825</x:v>
      </x:c>
      <x:c r="K4417" s="13" t="n">
        <x:f>E4417*I4417*H4417</x:f>
        <x:v>0.030115505</x:v>
      </x:c>
      <x:c r="L4417" s="1" t="str">
        <x:f>TEXT(A4417,"mmm yyyy")</x:f>
        <x:v>Aug 2026</x:v>
      </x:c>
    </x:row>
    <x:row r="4418" ht="21" customHeight="1">
      <x:c r="A4418" s="10" t="n">
        <x:v>46240</x:v>
      </x:c>
      <x:c r="B4418" s="1" t="n">
        <x:v>13</x:v>
      </x:c>
      <x:c r="C4418" s="1" t="n">
        <x:v>6</x:v>
      </x:c>
      <x:c r="D4418" s="12" t="n">
        <x:v>0</x:v>
      </x:c>
      <x:c r="E4418" s="12" t="n">
        <x:v>0.20158333333333334</x:v>
      </x:c>
      <x:c r="F4418" s="12" t="n">
        <x:v>0.19958333333333336</x:v>
      </x:c>
      <x:c r="G4418" s="12" t="n">
        <x:v>0</x:v>
      </x:c>
      <x:c r="H4418" s="1" t="n">
        <x:f>'Historical prices'!E4418</x:f>
        <x:v>1.05</x:v>
      </x:c>
      <x:c r="I4418" s="6" t="n">
        <x:f>'Historical prices'!D4418</x:f>
        <x:v>0.157</x:v>
      </x:c>
      <x:c r="J4418" s="13" t="n">
        <x:f>D4418*I4418*H4418</x:f>
        <x:v>0</x:v>
      </x:c>
      <x:c r="K4418" s="13" t="n">
        <x:f>E4418*I4418*H4418</x:f>
        <x:v>0.033231012500000004</x:v>
      </x:c>
      <x:c r="L4418" s="1" t="str">
        <x:f>TEXT(A4418,"mmm yyyy")</x:f>
        <x:v>Aug 2026</x:v>
      </x:c>
    </x:row>
    <x:row r="4419" ht="21" customHeight="1">
      <x:c r="A4419" s="10" t="n">
        <x:v>46240</x:v>
      </x:c>
      <x:c r="B4419" s="1" t="n">
        <x:v>13.5</x:v>
      </x:c>
      <x:c r="C4419" s="1" t="n">
        <x:v>6</x:v>
      </x:c>
      <x:c r="D4419" s="12" t="n">
        <x:v>0</x:v>
      </x:c>
      <x:c r="E4419" s="12" t="n">
        <x:v>0.26375</x:v>
      </x:c>
      <x:c r="F4419" s="12" t="n">
        <x:v>0.26358333333333334</x:v>
      </x:c>
      <x:c r="G4419" s="12" t="n">
        <x:v>0</x:v>
      </x:c>
      <x:c r="H4419" s="1" t="n">
        <x:f>'Historical prices'!E4419</x:f>
        <x:v>1.05</x:v>
      </x:c>
      <x:c r="I4419" s="6" t="n">
        <x:f>'Historical prices'!D4419</x:f>
        <x:v>0.1588</x:v>
      </x:c>
      <x:c r="J4419" s="13" t="n">
        <x:f>D4419*I4419*H4419</x:f>
        <x:v>0</x:v>
      </x:c>
      <x:c r="K4419" s="13" t="n">
        <x:f>E4419*I4419*H4419</x:f>
        <x:v>0.043977675</x:v>
      </x:c>
      <x:c r="L4419" s="1" t="str">
        <x:f>TEXT(A4419,"mmm yyyy")</x:f>
        <x:v>Aug 2026</x:v>
      </x:c>
    </x:row>
    <x:row r="4420" ht="21" customHeight="1">
      <x:c r="A4420" s="10" t="n">
        <x:v>46240</x:v>
      </x:c>
      <x:c r="B4420" s="1" t="n">
        <x:v>14</x:v>
      </x:c>
      <x:c r="C4420" s="1" t="n">
        <x:v>6</x:v>
      </x:c>
      <x:c r="D4420" s="12" t="n">
        <x:v>0</x:v>
      </x:c>
      <x:c r="E4420" s="12" t="n">
        <x:v>0.27208333333333334</x:v>
      </x:c>
      <x:c r="F4420" s="12" t="n">
        <x:v>0.2716666666666666</x:v>
      </x:c>
      <x:c r="G4420" s="12" t="n">
        <x:v>0</x:v>
      </x:c>
      <x:c r="H4420" s="1" t="n">
        <x:f>'Historical prices'!E4420</x:f>
        <x:v>1.05</x:v>
      </x:c>
      <x:c r="I4420" s="6" t="n">
        <x:f>'Historical prices'!D4420</x:f>
        <x:v>0.1598</x:v>
      </x:c>
      <x:c r="J4420" s="13" t="n">
        <x:f>D4420*I4420*H4420</x:f>
        <x:v>0</x:v>
      </x:c>
      <x:c r="K4420" s="13" t="n">
        <x:f>E4420*I4420*H4420</x:f>
        <x:v>0.0456528625</x:v>
      </x:c>
      <x:c r="L4420" s="1" t="str">
        <x:f>TEXT(A4420,"mmm yyyy")</x:f>
        <x:v>Aug 2026</x:v>
      </x:c>
    </x:row>
    <x:row r="4421" ht="21" customHeight="1">
      <x:c r="A4421" s="10" t="n">
        <x:v>46240</x:v>
      </x:c>
      <x:c r="B4421" s="1" t="n">
        <x:v>14.5</x:v>
      </x:c>
      <x:c r="C4421" s="1" t="n">
        <x:v>6</x:v>
      </x:c>
      <x:c r="D4421" s="12" t="n">
        <x:v>0</x:v>
      </x:c>
      <x:c r="E4421" s="12" t="n">
        <x:v>0.19716666666666666</x:v>
      </x:c>
      <x:c r="F4421" s="12" t="n">
        <x:v>0.19666666666666668</x:v>
      </x:c>
      <x:c r="G4421" s="12" t="n">
        <x:v>0</x:v>
      </x:c>
      <x:c r="H4421" s="1" t="n">
        <x:f>'Historical prices'!E4421</x:f>
        <x:v>1.05</x:v>
      </x:c>
      <x:c r="I4421" s="6" t="n">
        <x:f>'Historical prices'!D4421</x:f>
        <x:v>0.1632</x:v>
      </x:c>
      <x:c r="J4421" s="13" t="n">
        <x:f>D4421*I4421*H4421</x:f>
        <x:v>0</x:v>
      </x:c>
      <x:c r="K4421" s="13" t="n">
        <x:f>E4421*I4421*H4421</x:f>
        <x:v>0.03378648</x:v>
      </x:c>
      <x:c r="L4421" s="1" t="str">
        <x:f>TEXT(A4421,"mmm yyyy")</x:f>
        <x:v>Aug 2026</x:v>
      </x:c>
    </x:row>
    <x:row r="4422" ht="21" customHeight="1">
      <x:c r="A4422" s="10" t="n">
        <x:v>46240</x:v>
      </x:c>
      <x:c r="B4422" s="1" t="n">
        <x:v>15</x:v>
      </x:c>
      <x:c r="C4422" s="1" t="n">
        <x:v>6</x:v>
      </x:c>
      <x:c r="D4422" s="12" t="n">
        <x:v>0</x:v>
      </x:c>
      <x:c r="E4422" s="12" t="n">
        <x:v>0.24516666666666664</x:v>
      </x:c>
      <x:c r="F4422" s="12" t="n">
        <x:v>0.24491666666666664</x:v>
      </x:c>
      <x:c r="G4422" s="12" t="n">
        <x:v>0</x:v>
      </x:c>
      <x:c r="H4422" s="1" t="n">
        <x:f>'Historical prices'!E4422</x:f>
        <x:v>1.05</x:v>
      </x:c>
      <x:c r="I4422" s="6" t="n">
        <x:f>'Historical prices'!D4422</x:f>
        <x:v>0.16920000000000002</x:v>
      </x:c>
      <x:c r="J4422" s="13" t="n">
        <x:f>D4422*I4422*H4422</x:f>
        <x:v>0</x:v>
      </x:c>
      <x:c r="K4422" s="13" t="n">
        <x:f>E4422*I4422*H4422</x:f>
        <x:v>0.04355631000000001</x:v>
      </x:c>
      <x:c r="L4422" s="1" t="str">
        <x:f>TEXT(A4422,"mmm yyyy")</x:f>
        <x:v>Aug 2026</x:v>
      </x:c>
    </x:row>
    <x:row r="4423" ht="21" customHeight="1">
      <x:c r="A4423" s="10" t="n">
        <x:v>46240</x:v>
      </x:c>
      <x:c r="B4423" s="1" t="n">
        <x:v>15.5</x:v>
      </x:c>
      <x:c r="C4423" s="1" t="n">
        <x:v>6</x:v>
      </x:c>
      <x:c r="D4423" s="12" t="n">
        <x:v>0</x:v>
      </x:c>
      <x:c r="E4423" s="12" t="n">
        <x:v>0.24491666666666667</x:v>
      </x:c>
      <x:c r="F4423" s="12" t="n">
        <x:v>0.24475000000000002</x:v>
      </x:c>
      <x:c r="G4423" s="12" t="n">
        <x:v>0</x:v>
      </x:c>
      <x:c r="H4423" s="1" t="n">
        <x:f>'Historical prices'!E4423</x:f>
        <x:v>1.05</x:v>
      </x:c>
      <x:c r="I4423" s="6" t="n">
        <x:f>'Historical prices'!D4423</x:f>
        <x:v>0.1724</x:v>
      </x:c>
      <x:c r="J4423" s="13" t="n">
        <x:f>D4423*I4423*H4423</x:f>
        <x:v>0</x:v>
      </x:c>
      <x:c r="K4423" s="13" t="n">
        <x:f>E4423*I4423*H4423</x:f>
        <x:v>0.04433481500000001</x:v>
      </x:c>
      <x:c r="L4423" s="1" t="str">
        <x:f>TEXT(A4423,"mmm yyyy")</x:f>
        <x:v>Aug 2026</x:v>
      </x:c>
    </x:row>
    <x:row r="4424" ht="21" customHeight="1">
      <x:c r="A4424" s="10" t="n">
        <x:v>46240</x:v>
      </x:c>
      <x:c r="B4424" s="1" t="n">
        <x:v>16</x:v>
      </x:c>
      <x:c r="C4424" s="1" t="n">
        <x:v>6</x:v>
      </x:c>
      <x:c r="D4424" s="12" t="n">
        <x:v>0</x:v>
      </x:c>
      <x:c r="E4424" s="12" t="n">
        <x:v>0.31675000000000003</x:v>
      </x:c>
      <x:c r="F4424" s="12" t="n">
        <x:v>0.3165833333333333</x:v>
      </x:c>
      <x:c r="G4424" s="12" t="n">
        <x:v>0</x:v>
      </x:c>
      <x:c r="H4424" s="1" t="n">
        <x:f>'Historical prices'!E4424</x:f>
        <x:v>1.05</x:v>
      </x:c>
      <x:c r="I4424" s="6" t="n">
        <x:f>'Historical prices'!D4424</x:f>
        <x:v>0.326</x:v>
      </x:c>
      <x:c r="J4424" s="13" t="n">
        <x:f>D4424*I4424*H4424</x:f>
        <x:v>0</x:v>
      </x:c>
      <x:c r="K4424" s="13" t="n">
        <x:f>E4424*I4424*H4424</x:f>
        <x:v>0.10842352500000002</x:v>
      </x:c>
      <x:c r="L4424" s="1" t="str">
        <x:f>TEXT(A4424,"mmm yyyy")</x:f>
        <x:v>Aug 2026</x:v>
      </x:c>
    </x:row>
    <x:row r="4425" ht="21" customHeight="1">
      <x:c r="A4425" s="10" t="n">
        <x:v>46240</x:v>
      </x:c>
      <x:c r="B4425" s="1" t="n">
        <x:v>16.5</x:v>
      </x:c>
      <x:c r="C4425" s="1" t="n">
        <x:v>6</x:v>
      </x:c>
      <x:c r="D4425" s="12" t="n">
        <x:v>0</x:v>
      </x:c>
      <x:c r="E4425" s="12" t="n">
        <x:v>0.23625000000000002</x:v>
      </x:c>
      <x:c r="F4425" s="12" t="n">
        <x:v>0.2356666666666667</x:v>
      </x:c>
      <x:c r="G4425" s="12" t="n">
        <x:v>0</x:v>
      </x:c>
      <x:c r="H4425" s="1" t="n">
        <x:f>'Historical prices'!E4425</x:f>
        <x:v>1.05</x:v>
      </x:c>
      <x:c r="I4425" s="6" t="n">
        <x:f>'Historical prices'!D4425</x:f>
        <x:v>0.322</x:v>
      </x:c>
      <x:c r="J4425" s="13" t="n">
        <x:f>D4425*I4425*H4425</x:f>
        <x:v>0</x:v>
      </x:c>
      <x:c r="K4425" s="13" t="n">
        <x:f>E4425*I4425*H4425</x:f>
        <x:v>0.079876125</x:v>
      </x:c>
      <x:c r="L4425" s="1" t="str">
        <x:f>TEXT(A4425,"mmm yyyy")</x:f>
        <x:v>Aug 2026</x:v>
      </x:c>
    </x:row>
    <x:row r="4426" ht="21" customHeight="1">
      <x:c r="A4426" s="10" t="n">
        <x:v>46240</x:v>
      </x:c>
      <x:c r="B4426" s="1" t="n">
        <x:v>17</x:v>
      </x:c>
      <x:c r="C4426" s="1" t="n">
        <x:v>6</x:v>
      </x:c>
      <x:c r="D4426" s="12" t="n">
        <x:v>0</x:v>
      </x:c>
      <x:c r="E4426" s="12" t="n">
        <x:v>0.21375</x:v>
      </x:c>
      <x:c r="F4426" s="12" t="n">
        <x:v>0.21358333333333335</x:v>
      </x:c>
      <x:c r="G4426" s="12" t="n">
        <x:v>0</x:v>
      </x:c>
      <x:c r="H4426" s="1" t="n">
        <x:f>'Historical prices'!E4426</x:f>
        <x:v>1.05</x:v>
      </x:c>
      <x:c r="I4426" s="6" t="n">
        <x:f>'Historical prices'!D4426</x:f>
        <x:v>0.33520000000000005</x:v>
      </x:c>
      <x:c r="J4426" s="13" t="n">
        <x:f>D4426*I4426*H4426</x:f>
        <x:v>0</x:v>
      </x:c>
      <x:c r="K4426" s="13" t="n">
        <x:f>E4426*I4426*H4426</x:f>
        <x:v>0.07523145</x:v>
      </x:c>
      <x:c r="L4426" s="1" t="str">
        <x:f>TEXT(A4426,"mmm yyyy")</x:f>
        <x:v>Aug 2026</x:v>
      </x:c>
    </x:row>
    <x:row r="4427" ht="21" customHeight="1">
      <x:c r="A4427" s="10" t="n">
        <x:v>46240</x:v>
      </x:c>
      <x:c r="B4427" s="1" t="n">
        <x:v>17.5</x:v>
      </x:c>
      <x:c r="C4427" s="1" t="n">
        <x:v>6</x:v>
      </x:c>
      <x:c r="D4427" s="12" t="n">
        <x:v>0</x:v>
      </x:c>
      <x:c r="E4427" s="12" t="n">
        <x:v>0.2028333333333333</x:v>
      </x:c>
      <x:c r="F4427" s="12" t="n">
        <x:v>0.20274999999999999</x:v>
      </x:c>
      <x:c r="G4427" s="12" t="n">
        <x:v>0</x:v>
      </x:c>
      <x:c r="H4427" s="1" t="n">
        <x:f>'Historical prices'!E4427</x:f>
        <x:v>1.05</x:v>
      </x:c>
      <x:c r="I4427" s="6" t="n">
        <x:f>'Historical prices'!D4427</x:f>
        <x:v>0.34490000000000004</x:v>
      </x:c>
      <x:c r="J4427" s="13" t="n">
        <x:f>D4427*I4427*H4427</x:f>
        <x:v>0</x:v>
      </x:c>
      <x:c r="K4427" s="13" t="n">
        <x:f>E4427*I4427*H4427</x:f>
        <x:v>0.07345507750000001</x:v>
      </x:c>
      <x:c r="L4427" s="1" t="str">
        <x:f>TEXT(A4427,"mmm yyyy")</x:f>
        <x:v>Aug 2026</x:v>
      </x:c>
    </x:row>
    <x:row r="4428" ht="21" customHeight="1">
      <x:c r="A4428" s="10" t="n">
        <x:v>46240</x:v>
      </x:c>
      <x:c r="B4428" s="1" t="n">
        <x:v>18</x:v>
      </x:c>
      <x:c r="C4428" s="1" t="n">
        <x:v>6</x:v>
      </x:c>
      <x:c r="D4428" s="12" t="n">
        <x:v>0</x:v>
      </x:c>
      <x:c r="E4428" s="12" t="n">
        <x:v>0.2738333333333333</x:v>
      </x:c>
      <x:c r="F4428" s="12" t="n">
        <x:v>0.2738333333333333</x:v>
      </x:c>
      <x:c r="G4428" s="12" t="n">
        <x:v>0</x:v>
      </x:c>
      <x:c r="H4428" s="1" t="n">
        <x:f>'Historical prices'!E4428</x:f>
        <x:v>1.05</x:v>
      </x:c>
      <x:c r="I4428" s="6" t="n">
        <x:f>'Historical prices'!D4428</x:f>
        <x:v>0.3483</x:v>
      </x:c>
      <x:c r="J4428" s="13" t="n">
        <x:f>D4428*I4428*H4428</x:f>
        <x:v>0</x:v>
      </x:c>
      <x:c r="K4428" s="13" t="n">
        <x:f>E4428*I4428*H4428</x:f>
        <x:v>0.10014495749999999</x:v>
      </x:c>
      <x:c r="L4428" s="1" t="str">
        <x:f>TEXT(A4428,"mmm yyyy")</x:f>
        <x:v>Aug 2026</x:v>
      </x:c>
    </x:row>
    <x:row r="4429" ht="21" customHeight="1">
      <x:c r="A4429" s="10" t="n">
        <x:v>46240</x:v>
      </x:c>
      <x:c r="B4429" s="1" t="n">
        <x:v>18.5</x:v>
      </x:c>
      <x:c r="C4429" s="1" t="n">
        <x:v>6</x:v>
      </x:c>
      <x:c r="D4429" s="12" t="n">
        <x:v>0</x:v>
      </x:c>
      <x:c r="E4429" s="12" t="n">
        <x:v>0.22716666666666666</x:v>
      </x:c>
      <x:c r="F4429" s="12" t="n">
        <x:v>0.22675000000000003</x:v>
      </x:c>
      <x:c r="G4429" s="12" t="n">
        <x:v>0</x:v>
      </x:c>
      <x:c r="H4429" s="1" t="n">
        <x:f>'Historical prices'!E4429</x:f>
        <x:v>1.05</x:v>
      </x:c>
      <x:c r="I4429" s="6" t="n">
        <x:f>'Historical prices'!D4429</x:f>
        <x:v>0.368</x:v>
      </x:c>
      <x:c r="J4429" s="13" t="n">
        <x:f>D4429*I4429*H4429</x:f>
        <x:v>0</x:v>
      </x:c>
      <x:c r="K4429" s="13" t="n">
        <x:f>E4429*I4429*H4429</x:f>
        <x:v>0.0877772</x:v>
      </x:c>
      <x:c r="L4429" s="1" t="str">
        <x:f>TEXT(A4429,"mmm yyyy")</x:f>
        <x:v>Aug 2026</x:v>
      </x:c>
    </x:row>
    <x:row r="4430" ht="21" customHeight="1">
      <x:c r="A4430" s="10" t="n">
        <x:v>46240</x:v>
      </x:c>
      <x:c r="B4430" s="1" t="n">
        <x:v>19</x:v>
      </x:c>
      <x:c r="C4430" s="1" t="n">
        <x:v>6</x:v>
      </x:c>
      <x:c r="D4430" s="12" t="n">
        <x:v>0</x:v>
      </x:c>
      <x:c r="E4430" s="12" t="n">
        <x:v>0.2109166666666667</x:v>
      </x:c>
      <x:c r="F4430" s="12" t="n">
        <x:v>0.21050000000000002</x:v>
      </x:c>
      <x:c r="G4430" s="12" t="n">
        <x:v>0</x:v>
      </x:c>
      <x:c r="H4430" s="1" t="n">
        <x:f>'Historical prices'!E4430</x:f>
        <x:v>1.05</x:v>
      </x:c>
      <x:c r="I4430" s="6" t="n">
        <x:f>'Historical prices'!D4430</x:f>
        <x:v>0.2877</x:v>
      </x:c>
      <x:c r="J4430" s="13" t="n">
        <x:f>D4430*I4430*H4430</x:f>
        <x:v>0</x:v>
      </x:c>
      <x:c r="K4430" s="13" t="n">
        <x:f>E4430*I4430*H4430</x:f>
        <x:v>0.06371476125000002</x:v>
      </x:c>
      <x:c r="L4430" s="1" t="str">
        <x:f>TEXT(A4430,"mmm yyyy")</x:f>
        <x:v>Aug 2026</x:v>
      </x:c>
    </x:row>
    <x:row r="4431" ht="21" customHeight="1">
      <x:c r="A4431" s="10" t="n">
        <x:v>46240</x:v>
      </x:c>
      <x:c r="B4431" s="1" t="n">
        <x:v>19.5</x:v>
      </x:c>
      <x:c r="C4431" s="1" t="n">
        <x:v>6</x:v>
      </x:c>
      <x:c r="D4431" s="12" t="n">
        <x:v>0</x:v>
      </x:c>
      <x:c r="E4431" s="12" t="n">
        <x:v>0.28250000000000003</x:v>
      </x:c>
      <x:c r="F4431" s="12" t="n">
        <x:v>0.2821666666666667</x:v>
      </x:c>
      <x:c r="G4431" s="12" t="n">
        <x:v>0</x:v>
      </x:c>
      <x:c r="H4431" s="1" t="n">
        <x:f>'Historical prices'!E4431</x:f>
        <x:v>1.05</x:v>
      </x:c>
      <x:c r="I4431" s="6" t="n">
        <x:f>'Historical prices'!D4431</x:f>
        <x:v>0.28550000000000003</x:v>
      </x:c>
      <x:c r="J4431" s="13" t="n">
        <x:f>D4431*I4431*H4431</x:f>
        <x:v>0</x:v>
      </x:c>
      <x:c r="K4431" s="13" t="n">
        <x:f>E4431*I4431*H4431</x:f>
        <x:v>0.08468643750000003</x:v>
      </x:c>
      <x:c r="L4431" s="1" t="str">
        <x:f>TEXT(A4431,"mmm yyyy")</x:f>
        <x:v>Aug 2026</x:v>
      </x:c>
    </x:row>
    <x:row r="4432" ht="21" customHeight="1">
      <x:c r="A4432" s="10" t="n">
        <x:v>46240</x:v>
      </x:c>
      <x:c r="B4432" s="1" t="n">
        <x:v>20</x:v>
      </x:c>
      <x:c r="C4432" s="1" t="n">
        <x:v>6</x:v>
      </x:c>
      <x:c r="D4432" s="12" t="n">
        <x:v>0</x:v>
      </x:c>
      <x:c r="E4432" s="12" t="n">
        <x:v>0.32283333333333336</x:v>
      </x:c>
      <x:c r="F4432" s="12" t="n">
        <x:v>0.3224166666666667</x:v>
      </x:c>
      <x:c r="G4432" s="12" t="n">
        <x:v>0</x:v>
      </x:c>
      <x:c r="H4432" s="1" t="n">
        <x:f>'Historical prices'!E4432</x:f>
        <x:v>1.05</x:v>
      </x:c>
      <x:c r="I4432" s="6" t="n">
        <x:f>'Historical prices'!D4432</x:f>
        <x:v>0.2858</x:v>
      </x:c>
      <x:c r="J4432" s="13" t="n">
        <x:f>D4432*I4432*H4432</x:f>
        <x:v>0</x:v>
      </x:c>
      <x:c r="K4432" s="13" t="n">
        <x:f>E4432*I4432*H4432</x:f>
        <x:v>0.09687905500000002</x:v>
      </x:c>
      <x:c r="L4432" s="1" t="str">
        <x:f>TEXT(A4432,"mmm yyyy")</x:f>
        <x:v>Aug 2026</x:v>
      </x:c>
    </x:row>
    <x:row r="4433" ht="21" customHeight="1">
      <x:c r="A4433" s="10" t="n">
        <x:v>46240</x:v>
      </x:c>
      <x:c r="B4433" s="1" t="n">
        <x:v>20.5</x:v>
      </x:c>
      <x:c r="C4433" s="1" t="n">
        <x:v>6</x:v>
      </x:c>
      <x:c r="D4433" s="12" t="n">
        <x:v>0</x:v>
      </x:c>
      <x:c r="E4433" s="12" t="n">
        <x:v>0.24591666666666664</x:v>
      </x:c>
      <x:c r="F4433" s="12" t="n">
        <x:v>0.2455</x:v>
      </x:c>
      <x:c r="G4433" s="12" t="n">
        <x:v>0</x:v>
      </x:c>
      <x:c r="H4433" s="1" t="n">
        <x:f>'Historical prices'!E4433</x:f>
        <x:v>1.05</x:v>
      </x:c>
      <x:c r="I4433" s="6" t="n">
        <x:f>'Historical prices'!D4433</x:f>
        <x:v>0.2879</x:v>
      </x:c>
      <x:c r="J4433" s="13" t="n">
        <x:f>D4433*I4433*H4433</x:f>
        <x:v>0</x:v>
      </x:c>
      <x:c r="K4433" s="13" t="n">
        <x:f>E4433*I4433*H4433</x:f>
        <x:v>0.07433937874999999</x:v>
      </x:c>
      <x:c r="L4433" s="1" t="str">
        <x:f>TEXT(A4433,"mmm yyyy")</x:f>
        <x:v>Aug 2026</x:v>
      </x:c>
    </x:row>
    <x:row r="4434" ht="21" customHeight="1">
      <x:c r="A4434" s="10" t="n">
        <x:v>46240</x:v>
      </x:c>
      <x:c r="B4434" s="1" t="n">
        <x:v>21</x:v>
      </x:c>
      <x:c r="C4434" s="1" t="n">
        <x:v>6</x:v>
      </x:c>
      <x:c r="D4434" s="12" t="n">
        <x:v>0</x:v>
      </x:c>
      <x:c r="E4434" s="12" t="n">
        <x:v>0.35141666666666665</x:v>
      </x:c>
      <x:c r="F4434" s="12" t="n">
        <x:v>0.35075</x:v>
      </x:c>
      <x:c r="G4434" s="12" t="n">
        <x:v>0</x:v>
      </x:c>
      <x:c r="H4434" s="1" t="n">
        <x:f>'Historical prices'!E4434</x:f>
        <x:v>1.05</x:v>
      </x:c>
      <x:c r="I4434" s="6" t="n">
        <x:f>'Historical prices'!D4434</x:f>
        <x:v>0.28190000000000004</x:v>
      </x:c>
      <x:c r="J4434" s="13" t="n">
        <x:f>D4434*I4434*H4434</x:f>
        <x:v>0</x:v>
      </x:c>
      <x:c r="K4434" s="13" t="n">
        <x:f>E4434*I4434*H4434</x:f>
        <x:v>0.10401757625000001</x:v>
      </x:c>
      <x:c r="L4434" s="1" t="str">
        <x:f>TEXT(A4434,"mmm yyyy")</x:f>
        <x:v>Aug 2026</x:v>
      </x:c>
    </x:row>
    <x:row r="4435" ht="21" customHeight="1">
      <x:c r="A4435" s="10" t="n">
        <x:v>46240</x:v>
      </x:c>
      <x:c r="B4435" s="1" t="n">
        <x:v>21.5</x:v>
      </x:c>
      <x:c r="C4435" s="1" t="n">
        <x:v>6</x:v>
      </x:c>
      <x:c r="D4435" s="12" t="n">
        <x:v>0</x:v>
      </x:c>
      <x:c r="E4435" s="12" t="n">
        <x:v>0.28075</x:v>
      </x:c>
      <x:c r="F4435" s="12" t="n">
        <x:v>0.28049999999999997</x:v>
      </x:c>
      <x:c r="G4435" s="12" t="n">
        <x:v>0</x:v>
      </x:c>
      <x:c r="H4435" s="1" t="n">
        <x:f>'Historical prices'!E4435</x:f>
        <x:v>1.05</x:v>
      </x:c>
      <x:c r="I4435" s="6" t="n">
        <x:f>'Historical prices'!D4435</x:f>
        <x:v>0.2832</x:v>
      </x:c>
      <x:c r="J4435" s="13" t="n">
        <x:f>D4435*I4435*H4435</x:f>
        <x:v>0</x:v>
      </x:c>
      <x:c r="K4435" s="13" t="n">
        <x:f>E4435*I4435*H4435</x:f>
        <x:v>0.08348382000000001</x:v>
      </x:c>
      <x:c r="L4435" s="1" t="str">
        <x:f>TEXT(A4435,"mmm yyyy")</x:f>
        <x:v>Aug 2026</x:v>
      </x:c>
    </x:row>
    <x:row r="4436" ht="21" customHeight="1">
      <x:c r="A4436" s="10" t="n">
        <x:v>46240</x:v>
      </x:c>
      <x:c r="B4436" s="1" t="n">
        <x:v>22</x:v>
      </x:c>
      <x:c r="C4436" s="1" t="n">
        <x:v>6</x:v>
      </x:c>
      <x:c r="D4436" s="12" t="n">
        <x:v>0</x:v>
      </x:c>
      <x:c r="E4436" s="12" t="n">
        <x:v>0.2841666666666666</x:v>
      </x:c>
      <x:c r="F4436" s="12" t="n">
        <x:v>0.2836666666666666</x:v>
      </x:c>
      <x:c r="G4436" s="12" t="n">
        <x:v>0</x:v>
      </x:c>
      <x:c r="H4436" s="1" t="n">
        <x:f>'Historical prices'!E4436</x:f>
        <x:v>1.05</x:v>
      </x:c>
      <x:c r="I4436" s="6" t="n">
        <x:f>'Historical prices'!D4436</x:f>
        <x:v>0.276</x:v>
      </x:c>
      <x:c r="J4436" s="13" t="n">
        <x:f>D4436*I4436*H4436</x:f>
        <x:v>0</x:v>
      </x:c>
      <x:c r="K4436" s="13" t="n">
        <x:f>E4436*I4436*H4436</x:f>
        <x:v>0.08235150000000001</x:v>
      </x:c>
      <x:c r="L4436" s="1" t="str">
        <x:f>TEXT(A4436,"mmm yyyy")</x:f>
        <x:v>Aug 2026</x:v>
      </x:c>
    </x:row>
    <x:row r="4437" ht="21" customHeight="1">
      <x:c r="A4437" s="10" t="n">
        <x:v>46240</x:v>
      </x:c>
      <x:c r="B4437" s="1" t="n">
        <x:v>22.5</x:v>
      </x:c>
      <x:c r="C4437" s="1" t="n">
        <x:v>6</x:v>
      </x:c>
      <x:c r="D4437" s="12" t="n">
        <x:v>0</x:v>
      </x:c>
      <x:c r="E4437" s="12" t="n">
        <x:v>0.2788333333333333</x:v>
      </x:c>
      <x:c r="F4437" s="12" t="n">
        <x:v>0.27841666666666665</x:v>
      </x:c>
      <x:c r="G4437" s="12" t="n">
        <x:v>0</x:v>
      </x:c>
      <x:c r="H4437" s="1" t="n">
        <x:f>'Historical prices'!E4437</x:f>
        <x:v>1.05</x:v>
      </x:c>
      <x:c r="I4437" s="6" t="n">
        <x:f>'Historical prices'!D4437</x:f>
        <x:v>0.2648</x:v>
      </x:c>
      <x:c r="J4437" s="13" t="n">
        <x:f>D4437*I4437*H4437</x:f>
        <x:v>0</x:v>
      </x:c>
      <x:c r="K4437" s="13" t="n">
        <x:f>E4437*I4437*H4437</x:f>
        <x:v>0.07752682</x:v>
      </x:c>
      <x:c r="L4437" s="1" t="str">
        <x:f>TEXT(A4437,"mmm yyyy")</x:f>
        <x:v>Aug 2026</x:v>
      </x:c>
    </x:row>
    <x:row r="4438" ht="21" customHeight="1">
      <x:c r="A4438" s="10" t="n">
        <x:v>46240</x:v>
      </x:c>
      <x:c r="B4438" s="1" t="n">
        <x:v>23</x:v>
      </x:c>
      <x:c r="C4438" s="1" t="n">
        <x:v>6</x:v>
      </x:c>
      <x:c r="D4438" s="12" t="n">
        <x:v>0</x:v>
      </x:c>
      <x:c r="E4438" s="12" t="n">
        <x:v>0.2376666666666667</x:v>
      </x:c>
      <x:c r="F4438" s="12" t="n">
        <x:v>0.23758333333333337</x:v>
      </x:c>
      <x:c r="G4438" s="12" t="n">
        <x:v>0</x:v>
      </x:c>
      <x:c r="H4438" s="1" t="n">
        <x:f>'Historical prices'!E4438</x:f>
        <x:v>1.05</x:v>
      </x:c>
      <x:c r="I4438" s="6" t="n">
        <x:f>'Historical prices'!D4438</x:f>
        <x:v>0.2396</x:v>
      </x:c>
      <x:c r="J4438" s="13" t="n">
        <x:f>D4438*I4438*H4438</x:f>
        <x:v>0</x:v>
      </x:c>
      <x:c r="K4438" s="13" t="n">
        <x:f>E4438*I4438*H4438</x:f>
        <x:v>0.059792180000000014</x:v>
      </x:c>
      <x:c r="L4438" s="1" t="str">
        <x:f>TEXT(A4438,"mmm yyyy")</x:f>
        <x:v>Aug 2026</x:v>
      </x:c>
    </x:row>
    <x:row r="4439" ht="21" customHeight="1">
      <x:c r="A4439" s="10" t="n">
        <x:v>46240</x:v>
      </x:c>
      <x:c r="B4439" s="1" t="n">
        <x:v>23.5</x:v>
      </x:c>
      <x:c r="C4439" s="1" t="n">
        <x:v>6</x:v>
      </x:c>
      <x:c r="D4439" s="12" t="n">
        <x:v>0</x:v>
      </x:c>
      <x:c r="E4439" s="12" t="n">
        <x:v>0.20383333333333334</x:v>
      </x:c>
      <x:c r="F4439" s="12" t="n">
        <x:v>0.2036666666666667</x:v>
      </x:c>
      <x:c r="G4439" s="12" t="n">
        <x:v>0</x:v>
      </x:c>
      <x:c r="H4439" s="1" t="n">
        <x:f>'Historical prices'!E4439</x:f>
        <x:v>1.05</x:v>
      </x:c>
      <x:c r="I4439" s="6" t="n">
        <x:f>'Historical prices'!D4439</x:f>
        <x:v>0.2396</x:v>
      </x:c>
      <x:c r="J4439" s="13" t="n">
        <x:f>D4439*I4439*H4439</x:f>
        <x:v>0</x:v>
      </x:c>
      <x:c r="K4439" s="13" t="n">
        <x:f>E4439*I4439*H4439</x:f>
        <x:v>0.05128039000000001</x:v>
      </x:c>
      <x:c r="L4439" s="1" t="str">
        <x:f>TEXT(A4439,"mmm yyyy")</x:f>
        <x:v>Aug 2026</x:v>
      </x:c>
    </x:row>
    <x:row r="4440" ht="21" customHeight="1">
      <x:c r="A4440" s="10" t="n">
        <x:v>46241</x:v>
      </x:c>
      <x:c r="B4440" s="1" t="n">
        <x:v>0</x:v>
      </x:c>
      <x:c r="C4440" s="1" t="n">
        <x:v>6</x:v>
      </x:c>
      <x:c r="D4440" s="12" t="n">
        <x:v>0</x:v>
      </x:c>
      <x:c r="E4440" s="12" t="n">
        <x:v>0.2778333333333333</x:v>
      </x:c>
      <x:c r="F4440" s="12" t="n">
        <x:v>0.2775833333333333</x:v>
      </x:c>
      <x:c r="G4440" s="12" t="n">
        <x:v>0</x:v>
      </x:c>
      <x:c r="H4440" s="1" t="n">
        <x:f>'Historical prices'!E4440</x:f>
        <x:v>1.05</x:v>
      </x:c>
      <x:c r="I4440" s="6" t="n">
        <x:f>'Historical prices'!D4440</x:f>
        <x:v>0.2291</x:v>
      </x:c>
      <x:c r="J4440" s="13" t="n">
        <x:f>D4440*I4440*H4440</x:f>
        <x:v>0</x:v>
      </x:c>
      <x:c r="K4440" s="13" t="n">
        <x:f>E4440*I4440*H4440</x:f>
        <x:v>0.0668341975</x:v>
      </x:c>
      <x:c r="L4440" s="1" t="str">
        <x:f>TEXT(A4440,"mmm yyyy")</x:f>
        <x:v>Aug 2026</x:v>
      </x:c>
    </x:row>
    <x:row r="4441" ht="21" customHeight="1">
      <x:c r="A4441" s="10" t="n">
        <x:v>46241</x:v>
      </x:c>
      <x:c r="B4441" s="1" t="n">
        <x:v>0.5</x:v>
      </x:c>
      <x:c r="C4441" s="1" t="n">
        <x:v>6</x:v>
      </x:c>
      <x:c r="D4441" s="12" t="n">
        <x:v>0</x:v>
      </x:c>
      <x:c r="E4441" s="12" t="n">
        <x:v>0.24758333333333332</x:v>
      </x:c>
      <x:c r="F4441" s="12" t="n">
        <x:v>0.24733333333333332</x:v>
      </x:c>
      <x:c r="G4441" s="12" t="n">
        <x:v>0</x:v>
      </x:c>
      <x:c r="H4441" s="1" t="n">
        <x:f>'Historical prices'!E4441</x:f>
        <x:v>1.05</x:v>
      </x:c>
      <x:c r="I4441" s="6" t="n">
        <x:f>'Historical prices'!D4441</x:f>
        <x:v>0.2234</x:v>
      </x:c>
      <x:c r="J4441" s="13" t="n">
        <x:f>D4441*I4441*H4441</x:f>
        <x:v>0</x:v>
      </x:c>
      <x:c r="K4441" s="13" t="n">
        <x:f>E4441*I4441*H4441</x:f>
        <x:v>0.05807562249999999</x:v>
      </x:c>
      <x:c r="L4441" s="1" t="str">
        <x:f>TEXT(A4441,"mmm yyyy")</x:f>
        <x:v>Aug 2026</x:v>
      </x:c>
    </x:row>
    <x:row r="4442" ht="21" customHeight="1">
      <x:c r="A4442" s="10" t="n">
        <x:v>46241</x:v>
      </x:c>
      <x:c r="B4442" s="1" t="n">
        <x:v>1</x:v>
      </x:c>
      <x:c r="C4442" s="1" t="n">
        <x:v>6</x:v>
      </x:c>
      <x:c r="D4442" s="12" t="n">
        <x:v>0</x:v>
      </x:c>
      <x:c r="E4442" s="12" t="n">
        <x:v>0.18808333333333335</x:v>
      </x:c>
      <x:c r="F4442" s="12" t="n">
        <x:v>0.18758333333333335</x:v>
      </x:c>
      <x:c r="G4442" s="12" t="n">
        <x:v>0</x:v>
      </x:c>
      <x:c r="H4442" s="1" t="n">
        <x:f>'Historical prices'!E4442</x:f>
        <x:v>1.05</x:v>
      </x:c>
      <x:c r="I4442" s="6" t="n">
        <x:f>'Historical prices'!D4442</x:f>
        <x:v>0.2087</x:v>
      </x:c>
      <x:c r="J4442" s="13" t="n">
        <x:f>D4442*I4442*H4442</x:f>
        <x:v>0</x:v>
      </x:c>
      <x:c r="K4442" s="13" t="n">
        <x:f>E4442*I4442*H4442</x:f>
        <x:v>0.041215641250000004</x:v>
      </x:c>
      <x:c r="L4442" s="1" t="str">
        <x:f>TEXT(A4442,"mmm yyyy")</x:f>
        <x:v>Aug 2026</x:v>
      </x:c>
    </x:row>
    <x:row r="4443" ht="21" customHeight="1">
      <x:c r="A4443" s="10" t="n">
        <x:v>46241</x:v>
      </x:c>
      <x:c r="B4443" s="1" t="n">
        <x:v>1.5</x:v>
      </x:c>
      <x:c r="C4443" s="1" t="n">
        <x:v>6</x:v>
      </x:c>
      <x:c r="D4443" s="12" t="n">
        <x:v>0</x:v>
      </x:c>
      <x:c r="E4443" s="12" t="n">
        <x:v>0.323</x:v>
      </x:c>
      <x:c r="F4443" s="12" t="n">
        <x:v>0.32266666666666666</x:v>
      </x:c>
      <x:c r="G4443" s="12" t="n">
        <x:v>0</x:v>
      </x:c>
      <x:c r="H4443" s="1" t="n">
        <x:f>'Historical prices'!E4443</x:f>
        <x:v>1.05</x:v>
      </x:c>
      <x:c r="I4443" s="6" t="n">
        <x:f>'Historical prices'!D4443</x:f>
        <x:v>0.20329999999999998</x:v>
      </x:c>
      <x:c r="J4443" s="13" t="n">
        <x:f>D4443*I4443*H4443</x:f>
        <x:v>0</x:v>
      </x:c>
      <x:c r="K4443" s="13" t="n">
        <x:f>E4443*I4443*H4443</x:f>
        <x:v>0.068949195</x:v>
      </x:c>
      <x:c r="L4443" s="1" t="str">
        <x:f>TEXT(A4443,"mmm yyyy")</x:f>
        <x:v>Aug 2026</x:v>
      </x:c>
    </x:row>
    <x:row r="4444" ht="21" customHeight="1">
      <x:c r="A4444" s="10" t="n">
        <x:v>46241</x:v>
      </x:c>
      <x:c r="B4444" s="1" t="n">
        <x:v>2</x:v>
      </x:c>
      <x:c r="C4444" s="1" t="n">
        <x:v>6</x:v>
      </x:c>
      <x:c r="D4444" s="12" t="n">
        <x:v>0</x:v>
      </x:c>
      <x:c r="E4444" s="12" t="n">
        <x:v>0.28091666666666665</x:v>
      </x:c>
      <x:c r="F4444" s="12" t="n">
        <x:v>0.28049999999999997</x:v>
      </x:c>
      <x:c r="G4444" s="12" t="n">
        <x:v>0</x:v>
      </x:c>
      <x:c r="H4444" s="1" t="n">
        <x:f>'Historical prices'!E4444</x:f>
        <x:v>1.05</x:v>
      </x:c>
      <x:c r="I4444" s="6" t="n">
        <x:f>'Historical prices'!D4444</x:f>
        <x:v>0.1997</x:v>
      </x:c>
      <x:c r="J4444" s="13" t="n">
        <x:f>D4444*I4444*H4444</x:f>
        <x:v>0</x:v>
      </x:c>
      <x:c r="K4444" s="13" t="n">
        <x:f>E4444*I4444*H4444</x:f>
        <x:v>0.05890401124999999</x:v>
      </x:c>
      <x:c r="L4444" s="1" t="str">
        <x:f>TEXT(A4444,"mmm yyyy")</x:f>
        <x:v>Aug 2026</x:v>
      </x:c>
    </x:row>
    <x:row r="4445" ht="21" customHeight="1">
      <x:c r="A4445" s="10" t="n">
        <x:v>46241</x:v>
      </x:c>
      <x:c r="B4445" s="1" t="n">
        <x:v>2.5</x:v>
      </x:c>
      <x:c r="C4445" s="1" t="n">
        <x:v>6</x:v>
      </x:c>
      <x:c r="D4445" s="12" t="n">
        <x:v>0</x:v>
      </x:c>
      <x:c r="E4445" s="12" t="n">
        <x:v>0.20291666666666663</x:v>
      </x:c>
      <x:c r="F4445" s="12" t="n">
        <x:v>0.20266666666666666</x:v>
      </x:c>
      <x:c r="G4445" s="12" t="n">
        <x:v>0</x:v>
      </x:c>
      <x:c r="H4445" s="1" t="n">
        <x:f>'Historical prices'!E4445</x:f>
        <x:v>1.05</x:v>
      </x:c>
      <x:c r="I4445" s="6" t="n">
        <x:f>'Historical prices'!D4445</x:f>
        <x:v>0.1955</x:v>
      </x:c>
      <x:c r="J4445" s="13" t="n">
        <x:f>D4445*I4445*H4445</x:f>
        <x:v>0</x:v>
      </x:c>
      <x:c r="K4445" s="13" t="n">
        <x:f>E4445*I4445*H4445</x:f>
        <x:v>0.04165371875</x:v>
      </x:c>
      <x:c r="L4445" s="1" t="str">
        <x:f>TEXT(A4445,"mmm yyyy")</x:f>
        <x:v>Aug 2026</x:v>
      </x:c>
    </x:row>
    <x:row r="4446" ht="21" customHeight="1">
      <x:c r="A4446" s="10" t="n">
        <x:v>46241</x:v>
      </x:c>
      <x:c r="B4446" s="1" t="n">
        <x:v>3</x:v>
      </x:c>
      <x:c r="C4446" s="1" t="n">
        <x:v>6</x:v>
      </x:c>
      <x:c r="D4446" s="12" t="n">
        <x:v>0</x:v>
      </x:c>
      <x:c r="E4446" s="12" t="n">
        <x:v>0.21416666666666667</x:v>
      </x:c>
      <x:c r="F4446" s="12" t="n">
        <x:v>0.21383333333333332</x:v>
      </x:c>
      <x:c r="G4446" s="12" t="n">
        <x:v>0</x:v>
      </x:c>
      <x:c r="H4446" s="1" t="n">
        <x:f>'Historical prices'!E4446</x:f>
        <x:v>1.05</x:v>
      </x:c>
      <x:c r="I4446" s="6" t="n">
        <x:f>'Historical prices'!D4446</x:f>
        <x:v>0.1997</x:v>
      </x:c>
      <x:c r="J4446" s="13" t="n">
        <x:f>D4446*I4446*H4446</x:f>
        <x:v>0</x:v>
      </x:c>
      <x:c r="K4446" s="13" t="n">
        <x:f>E4446*I4446*H4446</x:f>
        <x:v>0.044907537500000004</x:v>
      </x:c>
      <x:c r="L4446" s="1" t="str">
        <x:f>TEXT(A4446,"mmm yyyy")</x:f>
        <x:v>Aug 2026</x:v>
      </x:c>
    </x:row>
    <x:row r="4447" ht="21" customHeight="1">
      <x:c r="A4447" s="10" t="n">
        <x:v>46241</x:v>
      </x:c>
      <x:c r="B4447" s="1" t="n">
        <x:v>3.5</x:v>
      </x:c>
      <x:c r="C4447" s="1" t="n">
        <x:v>6</x:v>
      </x:c>
      <x:c r="D4447" s="12" t="n">
        <x:v>0</x:v>
      </x:c>
      <x:c r="E4447" s="12" t="n">
        <x:v>0.28125</x:v>
      </x:c>
      <x:c r="F4447" s="12" t="n">
        <x:v>0.28049999999999997</x:v>
      </x:c>
      <x:c r="G4447" s="12" t="n">
        <x:v>0</x:v>
      </x:c>
      <x:c r="H4447" s="1" t="n">
        <x:f>'Historical prices'!E4447</x:f>
        <x:v>1.05</x:v>
      </x:c>
      <x:c r="I4447" s="6" t="n">
        <x:f>'Historical prices'!D4447</x:f>
        <x:v>0.1955</x:v>
      </x:c>
      <x:c r="J4447" s="13" t="n">
        <x:f>D4447*I4447*H4447</x:f>
        <x:v>0</x:v>
      </x:c>
      <x:c r="K4447" s="13" t="n">
        <x:f>E4447*I4447*H4447</x:f>
        <x:v>0.057733593750000006</x:v>
      </x:c>
      <x:c r="L4447" s="1" t="str">
        <x:f>TEXT(A4447,"mmm yyyy")</x:f>
        <x:v>Aug 2026</x:v>
      </x:c>
    </x:row>
    <x:row r="4448" ht="21" customHeight="1">
      <x:c r="A4448" s="10" t="n">
        <x:v>46241</x:v>
      </x:c>
      <x:c r="B4448" s="1" t="n">
        <x:v>4</x:v>
      </x:c>
      <x:c r="C4448" s="1" t="n">
        <x:v>6</x:v>
      </x:c>
      <x:c r="D4448" s="12" t="n">
        <x:v>0</x:v>
      </x:c>
      <x:c r="E4448" s="12" t="n">
        <x:v>0.2265833333333333</x:v>
      </x:c>
      <x:c r="F4448" s="12" t="n">
        <x:v>0.22641666666666665</x:v>
      </x:c>
      <x:c r="G4448" s="12" t="n">
        <x:v>0</x:v>
      </x:c>
      <x:c r="H4448" s="1" t="n">
        <x:f>'Historical prices'!E4448</x:f>
        <x:v>1.05</x:v>
      </x:c>
      <x:c r="I4448" s="6" t="n">
        <x:f>'Historical prices'!D4448</x:f>
        <x:v>0.20809999999999998</x:v>
      </x:c>
      <x:c r="J4448" s="13" t="n">
        <x:f>D4448*I4448*H4448</x:f>
        <x:v>0</x:v>
      </x:c>
      <x:c r="K4448" s="13" t="n">
        <x:f>E4448*I4448*H4448</x:f>
        <x:v>0.04950959124999999</x:v>
      </x:c>
      <x:c r="L4448" s="1" t="str">
        <x:f>TEXT(A4448,"mmm yyyy")</x:f>
        <x:v>Aug 2026</x:v>
      </x:c>
    </x:row>
    <x:row r="4449" ht="21" customHeight="1">
      <x:c r="A4449" s="10" t="n">
        <x:v>46241</x:v>
      </x:c>
      <x:c r="B4449" s="1" t="n">
        <x:v>4.5</x:v>
      </x:c>
      <x:c r="C4449" s="1" t="n">
        <x:v>6</x:v>
      </x:c>
      <x:c r="D4449" s="12" t="n">
        <x:v>0</x:v>
      </x:c>
      <x:c r="E4449" s="12" t="n">
        <x:v>0.22099999999999997</x:v>
      </x:c>
      <x:c r="F4449" s="12" t="n">
        <x:v>0.22066666666666668</x:v>
      </x:c>
      <x:c r="G4449" s="12" t="n">
        <x:v>0</x:v>
      </x:c>
      <x:c r="H4449" s="1" t="n">
        <x:f>'Historical prices'!E4449</x:f>
        <x:v>1.05</x:v>
      </x:c>
      <x:c r="I4449" s="6" t="n">
        <x:f>'Historical prices'!D4449</x:f>
        <x:v>0.2039</x:v>
      </x:c>
      <x:c r="J4449" s="13" t="n">
        <x:f>D4449*I4449*H4449</x:f>
        <x:v>0</x:v>
      </x:c>
      <x:c r="K4449" s="13" t="n">
        <x:f>E4449*I4449*H4449</x:f>
        <x:v>0.047314995</x:v>
      </x:c>
      <x:c r="L4449" s="1" t="str">
        <x:f>TEXT(A4449,"mmm yyyy")</x:f>
        <x:v>Aug 2026</x:v>
      </x:c>
    </x:row>
    <x:row r="4450" ht="21" customHeight="1">
      <x:c r="A4450" s="10" t="n">
        <x:v>46241</x:v>
      </x:c>
      <x:c r="B4450" s="1" t="n">
        <x:v>5</x:v>
      </x:c>
      <x:c r="C4450" s="1" t="n">
        <x:v>6</x:v>
      </x:c>
      <x:c r="D4450" s="12" t="n">
        <x:v>0</x:v>
      </x:c>
      <x:c r="E4450" s="12" t="n">
        <x:v>0.23274999999999996</x:v>
      </x:c>
      <x:c r="F4450" s="12" t="n">
        <x:v>0.23249999999999998</x:v>
      </x:c>
      <x:c r="G4450" s="12" t="n">
        <x:v>0</x:v>
      </x:c>
      <x:c r="H4450" s="1" t="n">
        <x:f>'Historical prices'!E4450</x:f>
        <x:v>1.05</x:v>
      </x:c>
      <x:c r="I4450" s="6" t="n">
        <x:f>'Historical prices'!D4450</x:f>
        <x:v>0.2306</x:v>
      </x:c>
      <x:c r="J4450" s="13" t="n">
        <x:f>D4450*I4450*H4450</x:f>
        <x:v>0</x:v>
      </x:c>
      <x:c r="K4450" s="13" t="n">
        <x:f>E4450*I4450*H4450</x:f>
        <x:v>0.05635575749999999</x:v>
      </x:c>
      <x:c r="L4450" s="1" t="str">
        <x:f>TEXT(A4450,"mmm yyyy")</x:f>
        <x:v>Aug 2026</x:v>
      </x:c>
    </x:row>
    <x:row r="4451" ht="21" customHeight="1">
      <x:c r="A4451" s="10" t="n">
        <x:v>46241</x:v>
      </x:c>
      <x:c r="B4451" s="1" t="n">
        <x:v>5.5</x:v>
      </x:c>
      <x:c r="C4451" s="1" t="n">
        <x:v>6</x:v>
      </x:c>
      <x:c r="D4451" s="12" t="n">
        <x:v>0</x:v>
      </x:c>
      <x:c r="E4451" s="12" t="n">
        <x:v>0.24808333333333332</x:v>
      </x:c>
      <x:c r="F4451" s="12" t="n">
        <x:v>0.24750000000000003</x:v>
      </x:c>
      <x:c r="G4451" s="12" t="n">
        <x:v>0</x:v>
      </x:c>
      <x:c r="H4451" s="1" t="n">
        <x:f>'Historical prices'!E4451</x:f>
        <x:v>1.05</x:v>
      </x:c>
      <x:c r="I4451" s="6" t="n">
        <x:f>'Historical prices'!D4451</x:f>
        <x:v>0.2293</x:v>
      </x:c>
      <x:c r="J4451" s="13" t="n">
        <x:f>D4451*I4451*H4451</x:f>
        <x:v>0</x:v>
      </x:c>
      <x:c r="K4451" s="13" t="n">
        <x:f>E4451*I4451*H4451</x:f>
        <x:v>0.05972978375</x:v>
      </x:c>
      <x:c r="L4451" s="1" t="str">
        <x:f>TEXT(A4451,"mmm yyyy")</x:f>
        <x:v>Aug 2026</x:v>
      </x:c>
    </x:row>
    <x:row r="4452" ht="21" customHeight="1">
      <x:c r="A4452" s="10" t="n">
        <x:v>46241</x:v>
      </x:c>
      <x:c r="B4452" s="1" t="n">
        <x:v>6</x:v>
      </x:c>
      <x:c r="C4452" s="1" t="n">
        <x:v>6</x:v>
      </x:c>
      <x:c r="D4452" s="12" t="n">
        <x:v>0</x:v>
      </x:c>
      <x:c r="E4452" s="12" t="n">
        <x:v>0.3139166666666667</x:v>
      </x:c>
      <x:c r="F4452" s="12" t="n">
        <x:v>0.3133333333333333</x:v>
      </x:c>
      <x:c r="G4452" s="12" t="n">
        <x:v>0</x:v>
      </x:c>
      <x:c r="H4452" s="1" t="n">
        <x:f>'Historical prices'!E4452</x:f>
        <x:v>1.05</x:v>
      </x:c>
      <x:c r="I4452" s="6" t="n">
        <x:f>'Historical prices'!D4452</x:f>
        <x:v>0.2318</x:v>
      </x:c>
      <x:c r="J4452" s="13" t="n">
        <x:f>D4452*I4452*H4452</x:f>
        <x:v>0</x:v>
      </x:c>
      <x:c r="K4452" s="13" t="n">
        <x:f>E4452*I4452*H4452</x:f>
        <x:v>0.0764041775</x:v>
      </x:c>
      <x:c r="L4452" s="1" t="str">
        <x:f>TEXT(A4452,"mmm yyyy")</x:f>
        <x:v>Aug 2026</x:v>
      </x:c>
    </x:row>
    <x:row r="4453" ht="21" customHeight="1">
      <x:c r="A4453" s="10" t="n">
        <x:v>46241</x:v>
      </x:c>
      <x:c r="B4453" s="1" t="n">
        <x:v>6.5</x:v>
      </x:c>
      <x:c r="C4453" s="1" t="n">
        <x:v>6</x:v>
      </x:c>
      <x:c r="D4453" s="12" t="n">
        <x:v>0</x:v>
      </x:c>
      <x:c r="E4453" s="12" t="n">
        <x:v>0.24966666666666668</x:v>
      </x:c>
      <x:c r="F4453" s="12" t="n">
        <x:v>0.24958333333333335</x:v>
      </x:c>
      <x:c r="G4453" s="12" t="n">
        <x:v>0</x:v>
      </x:c>
      <x:c r="H4453" s="1" t="n">
        <x:f>'Historical prices'!E4453</x:f>
        <x:v>1.05</x:v>
      </x:c>
      <x:c r="I4453" s="6" t="n">
        <x:f>'Historical prices'!D4453</x:f>
        <x:v>0.2447</x:v>
      </x:c>
      <x:c r="J4453" s="13" t="n">
        <x:f>D4453*I4453*H4453</x:f>
        <x:v>0</x:v>
      </x:c>
      <x:c r="K4453" s="13" t="n">
        <x:f>E4453*I4453*H4453</x:f>
        <x:v>0.06414810500000001</x:v>
      </x:c>
      <x:c r="L4453" s="1" t="str">
        <x:f>TEXT(A4453,"mmm yyyy")</x:f>
        <x:v>Aug 2026</x:v>
      </x:c>
    </x:row>
    <x:row r="4454" ht="21" customHeight="1">
      <x:c r="A4454" s="10" t="n">
        <x:v>46241</x:v>
      </x:c>
      <x:c r="B4454" s="1" t="n">
        <x:v>7</x:v>
      </x:c>
      <x:c r="C4454" s="1" t="n">
        <x:v>6</x:v>
      </x:c>
      <x:c r="D4454" s="12" t="n">
        <x:v>0</x:v>
      </x:c>
      <x:c r="E4454" s="12" t="n">
        <x:v>0.2045</x:v>
      </x:c>
      <x:c r="F4454" s="12" t="n">
        <x:v>0.20366666666666666</x:v>
      </x:c>
      <x:c r="G4454" s="12" t="n">
        <x:v>0</x:v>
      </x:c>
      <x:c r="H4454" s="1" t="n">
        <x:f>'Historical prices'!E4454</x:f>
        <x:v>1.05</x:v>
      </x:c>
      <x:c r="I4454" s="6" t="n">
        <x:f>'Historical prices'!D4454</x:f>
        <x:v>0.2186</x:v>
      </x:c>
      <x:c r="J4454" s="13" t="n">
        <x:f>D4454*I4454*H4454</x:f>
        <x:v>0</x:v>
      </x:c>
      <x:c r="K4454" s="13" t="n">
        <x:f>E4454*I4454*H4454</x:f>
        <x:v>0.04693888499999999</x:v>
      </x:c>
      <x:c r="L4454" s="1" t="str">
        <x:f>TEXT(A4454,"mmm yyyy")</x:f>
        <x:v>Aug 2026</x:v>
      </x:c>
    </x:row>
    <x:row r="4455" ht="21" customHeight="1">
      <x:c r="A4455" s="10" t="n">
        <x:v>46241</x:v>
      </x:c>
      <x:c r="B4455" s="1" t="n">
        <x:v>7.5</x:v>
      </x:c>
      <x:c r="C4455" s="1" t="n">
        <x:v>6</x:v>
      </x:c>
      <x:c r="D4455" s="12" t="n">
        <x:v>0</x:v>
      </x:c>
      <x:c r="E4455" s="12" t="n">
        <x:v>0.30675</x:v>
      </x:c>
      <x:c r="F4455" s="12" t="n">
        <x:v>0.3065</x:v>
      </x:c>
      <x:c r="G4455" s="12" t="n">
        <x:v>0</x:v>
      </x:c>
      <x:c r="H4455" s="1" t="n">
        <x:f>'Historical prices'!E4455</x:f>
        <x:v>1.05</x:v>
      </x:c>
      <x:c r="I4455" s="6" t="n">
        <x:f>'Historical prices'!D4455</x:f>
        <x:v>0.23190000000000002</x:v>
      </x:c>
      <x:c r="J4455" s="13" t="n">
        <x:f>D4455*I4455*H4455</x:f>
        <x:v>0</x:v>
      </x:c>
      <x:c r="K4455" s="13" t="n">
        <x:f>E4455*I4455*H4455</x:f>
        <x:v>0.07469209125000002</x:v>
      </x:c>
      <x:c r="L4455" s="1" t="str">
        <x:f>TEXT(A4455,"mmm yyyy")</x:f>
        <x:v>Aug 2026</x:v>
      </x:c>
    </x:row>
    <x:row r="4456" ht="21" customHeight="1">
      <x:c r="A4456" s="10" t="n">
        <x:v>46241</x:v>
      </x:c>
      <x:c r="B4456" s="1" t="n">
        <x:v>8</x:v>
      </x:c>
      <x:c r="C4456" s="1" t="n">
        <x:v>6</x:v>
      </x:c>
      <x:c r="D4456" s="12" t="n">
        <x:v>0</x:v>
      </x:c>
      <x:c r="E4456" s="12" t="n">
        <x:v>0.27875</x:v>
      </x:c>
      <x:c r="F4456" s="12" t="n">
        <x:v>0.27849999999999997</x:v>
      </x:c>
      <x:c r="G4456" s="12" t="n">
        <x:v>0</x:v>
      </x:c>
      <x:c r="H4456" s="1" t="n">
        <x:f>'Historical prices'!E4456</x:f>
        <x:v>1.05</x:v>
      </x:c>
      <x:c r="I4456" s="6" t="n">
        <x:f>'Historical prices'!D4456</x:f>
        <x:v>0.19760000000000003</x:v>
      </x:c>
      <x:c r="J4456" s="13" t="n">
        <x:f>D4456*I4456*H4456</x:f>
        <x:v>0</x:v>
      </x:c>
      <x:c r="K4456" s="13" t="n">
        <x:f>E4456*I4456*H4456</x:f>
        <x:v>0.057835050000000006</x:v>
      </x:c>
      <x:c r="L4456" s="1" t="str">
        <x:f>TEXT(A4456,"mmm yyyy")</x:f>
        <x:v>Aug 2026</x:v>
      </x:c>
    </x:row>
    <x:row r="4457" ht="21" customHeight="1">
      <x:c r="A4457" s="10" t="n">
        <x:v>46241</x:v>
      </x:c>
      <x:c r="B4457" s="1" t="n">
        <x:v>8.5</x:v>
      </x:c>
      <x:c r="C4457" s="1" t="n">
        <x:v>6</x:v>
      </x:c>
      <x:c r="D4457" s="12" t="n">
        <x:v>0</x:v>
      </x:c>
      <x:c r="E4457" s="12" t="n">
        <x:v>0.21375</x:v>
      </x:c>
      <x:c r="F4457" s="12" t="n">
        <x:v>0.21283333333333335</x:v>
      </x:c>
      <x:c r="G4457" s="12" t="n">
        <x:v>0</x:v>
      </x:c>
      <x:c r="H4457" s="1" t="n">
        <x:f>'Historical prices'!E4457</x:f>
        <x:v>1.05</x:v>
      </x:c>
      <x:c r="I4457" s="6" t="n">
        <x:f>'Historical prices'!D4457</x:f>
        <x:v>0.1809</x:v>
      </x:c>
      <x:c r="J4457" s="13" t="n">
        <x:f>D4457*I4457*H4457</x:f>
        <x:v>0</x:v>
      </x:c>
      <x:c r="K4457" s="13" t="n">
        <x:f>E4457*I4457*H4457</x:f>
        <x:v>0.04060074375</x:v>
      </x:c>
      <x:c r="L4457" s="1" t="str">
        <x:f>TEXT(A4457,"mmm yyyy")</x:f>
        <x:v>Aug 2026</x:v>
      </x:c>
    </x:row>
    <x:row r="4458" ht="21" customHeight="1">
      <x:c r="A4458" s="10" t="n">
        <x:v>46241</x:v>
      </x:c>
      <x:c r="B4458" s="1" t="n">
        <x:v>9</x:v>
      </x:c>
      <x:c r="C4458" s="1" t="n">
        <x:v>6</x:v>
      </x:c>
      <x:c r="D4458" s="12" t="n">
        <x:v>0</x:v>
      </x:c>
      <x:c r="E4458" s="12" t="n">
        <x:v>0.23291666666666666</x:v>
      </x:c>
      <x:c r="F4458" s="12" t="n">
        <x:v>0.23266666666666663</x:v>
      </x:c>
      <x:c r="G4458" s="12" t="n">
        <x:v>0</x:v>
      </x:c>
      <x:c r="H4458" s="1" t="n">
        <x:f>'Historical prices'!E4458</x:f>
        <x:v>1.05</x:v>
      </x:c>
      <x:c r="I4458" s="6" t="n">
        <x:f>'Historical prices'!D4458</x:f>
        <x:v>0.1766</x:v>
      </x:c>
      <x:c r="J4458" s="13" t="n">
        <x:f>D4458*I4458*H4458</x:f>
        <x:v>0</x:v>
      </x:c>
      <x:c r="K4458" s="13" t="n">
        <x:f>E4458*I4458*H4458</x:f>
        <x:v>0.043189737500000006</x:v>
      </x:c>
      <x:c r="L4458" s="1" t="str">
        <x:f>TEXT(A4458,"mmm yyyy")</x:f>
        <x:v>Aug 2026</x:v>
      </x:c>
    </x:row>
    <x:row r="4459" ht="21" customHeight="1">
      <x:c r="A4459" s="10" t="n">
        <x:v>46241</x:v>
      </x:c>
      <x:c r="B4459" s="1" t="n">
        <x:v>9.5</x:v>
      </x:c>
      <x:c r="C4459" s="1" t="n">
        <x:v>6</x:v>
      </x:c>
      <x:c r="D4459" s="12" t="n">
        <x:v>0.20825000000000002</x:v>
      </x:c>
      <x:c r="E4459" s="12" t="n">
        <x:v>0.2699166666666667</x:v>
      </x:c>
      <x:c r="F4459" s="12" t="n">
        <x:v>0.05266666666666667</x:v>
      </x:c>
      <x:c r="G4459" s="12" t="n">
        <x:v>0</x:v>
      </x:c>
      <x:c r="H4459" s="1" t="n">
        <x:f>'Historical prices'!E4459</x:f>
        <x:v>1.05</x:v>
      </x:c>
      <x:c r="I4459" s="6" t="n">
        <x:f>'Historical prices'!D4459</x:f>
        <x:v>0.1396</x:v>
      </x:c>
      <x:c r="J4459" s="13" t="n">
        <x:f>D4459*I4459*H4459</x:f>
        <x:v>0.030525285000000003</x:v>
      </x:c>
      <x:c r="K4459" s="13" t="n">
        <x:f>E4459*I4459*H4459</x:f>
        <x:v>0.03956438500000001</x:v>
      </x:c>
      <x:c r="L4459" s="1" t="str">
        <x:f>TEXT(A4459,"mmm yyyy")</x:f>
        <x:v>Aug 2026</x:v>
      </x:c>
    </x:row>
    <x:row r="4460" ht="21" customHeight="1">
      <x:c r="A4460" s="10" t="n">
        <x:v>46241</x:v>
      </x:c>
      <x:c r="B4460" s="1" t="n">
        <x:v>10</x:v>
      </x:c>
      <x:c r="C4460" s="1" t="n">
        <x:v>6</x:v>
      </x:c>
      <x:c r="D4460" s="12" t="n">
        <x:v>0.15099999999999997</x:v>
      </x:c>
      <x:c r="E4460" s="12" t="n">
        <x:v>0.16199999999999998</x:v>
      </x:c>
      <x:c r="F4460" s="12" t="n">
        <x:v>0</x:v>
      </x:c>
      <x:c r="G4460" s="12" t="n">
        <x:v>0</x:v>
      </x:c>
      <x:c r="H4460" s="1" t="n">
        <x:f>'Historical prices'!E4460</x:f>
        <x:v>1.05</x:v>
      </x:c>
      <x:c r="I4460" s="6" t="n">
        <x:f>'Historical prices'!D4460</x:f>
        <x:v>0.15</x:v>
      </x:c>
      <x:c r="J4460" s="13" t="n">
        <x:f>D4460*I4460*H4460</x:f>
        <x:v>0.023782499999999995</x:v>
      </x:c>
      <x:c r="K4460" s="13" t="n">
        <x:f>E4460*I4460*H4460</x:f>
        <x:v>0.025514999999999996</x:v>
      </x:c>
      <x:c r="L4460" s="1" t="str">
        <x:f>TEXT(A4460,"mmm yyyy")</x:f>
        <x:v>Aug 2026</x:v>
      </x:c>
    </x:row>
    <x:row r="4461" ht="21" customHeight="1">
      <x:c r="A4461" s="10" t="n">
        <x:v>46241</x:v>
      </x:c>
      <x:c r="B4461" s="1" t="n">
        <x:v>10.5</x:v>
      </x:c>
      <x:c r="C4461" s="1" t="n">
        <x:v>6</x:v>
      </x:c>
      <x:c r="D4461" s="12" t="n">
        <x:v>0.241</x:v>
      </x:c>
      <x:c r="E4461" s="12" t="n">
        <x:v>0.252</x:v>
      </x:c>
      <x:c r="F4461" s="12" t="n">
        <x:v>0</x:v>
      </x:c>
      <x:c r="G4461" s="12" t="n">
        <x:v>0</x:v>
      </x:c>
      <x:c r="H4461" s="1" t="n">
        <x:f>'Historical prices'!E4461</x:f>
        <x:v>1.05</x:v>
      </x:c>
      <x:c r="I4461" s="6" t="n">
        <x:f>'Historical prices'!D4461</x:f>
        <x:v>0.1388</x:v>
      </x:c>
      <x:c r="J4461" s="13" t="n">
        <x:f>D4461*I4461*H4461</x:f>
        <x:v>0.03512334</x:v>
      </x:c>
      <x:c r="K4461" s="13" t="n">
        <x:f>E4461*I4461*H4461</x:f>
        <x:v>0.036726480000000006</x:v>
      </x:c>
      <x:c r="L4461" s="1" t="str">
        <x:f>TEXT(A4461,"mmm yyyy")</x:f>
        <x:v>Aug 2026</x:v>
      </x:c>
    </x:row>
    <x:row r="4462" ht="21" customHeight="1">
      <x:c r="A4462" s="10" t="n">
        <x:v>46241</x:v>
      </x:c>
      <x:c r="B4462" s="1" t="n">
        <x:v>11</x:v>
      </x:c>
      <x:c r="C4462" s="1" t="n">
        <x:v>6</x:v>
      </x:c>
      <x:c r="D4462" s="12" t="n">
        <x:v>0.20800000000000002</x:v>
      </x:c>
      <x:c r="E4462" s="12" t="n">
        <x:v>0.21800000000000003</x:v>
      </x:c>
      <x:c r="F4462" s="12" t="n">
        <x:v>0</x:v>
      </x:c>
      <x:c r="G4462" s="12" t="n">
        <x:v>0</x:v>
      </x:c>
      <x:c r="H4462" s="1" t="n">
        <x:f>'Historical prices'!E4462</x:f>
        <x:v>1.05</x:v>
      </x:c>
      <x:c r="I4462" s="6" t="n">
        <x:f>'Historical prices'!D4462</x:f>
        <x:v>0.1393</x:v>
      </x:c>
      <x:c r="J4462" s="13" t="n">
        <x:f>D4462*I4462*H4462</x:f>
        <x:v>0.030423120000000005</x:v>
      </x:c>
      <x:c r="K4462" s="13" t="n">
        <x:f>E4462*I4462*H4462</x:f>
        <x:v>0.03188577000000001</x:v>
      </x:c>
      <x:c r="L4462" s="1" t="str">
        <x:f>TEXT(A4462,"mmm yyyy")</x:f>
        <x:v>Aug 2026</x:v>
      </x:c>
    </x:row>
    <x:row r="4463" ht="21" customHeight="1">
      <x:c r="A4463" s="10" t="n">
        <x:v>46241</x:v>
      </x:c>
      <x:c r="B4463" s="1" t="n">
        <x:v>11.5</x:v>
      </x:c>
      <x:c r="C4463" s="1" t="n">
        <x:v>6</x:v>
      </x:c>
      <x:c r="D4463" s="12" t="n">
        <x:v>0.18975</x:v>
      </x:c>
      <x:c r="E4463" s="12" t="n">
        <x:v>0.20075</x:v>
      </x:c>
      <x:c r="F4463" s="12" t="n">
        <x:v>0</x:v>
      </x:c>
      <x:c r="G4463" s="12" t="n">
        <x:v>0</x:v>
      </x:c>
      <x:c r="H4463" s="1" t="n">
        <x:f>'Historical prices'!E4463</x:f>
        <x:v>1.05</x:v>
      </x:c>
      <x:c r="I4463" s="6" t="n">
        <x:f>'Historical prices'!D4463</x:f>
        <x:v>0.1311</x:v>
      </x:c>
      <x:c r="J4463" s="13" t="n">
        <x:f>D4463*I4463*H4463</x:f>
        <x:v>0.02612003625</x:v>
      </x:c>
      <x:c r="K4463" s="13" t="n">
        <x:f>E4463*I4463*H4463</x:f>
        <x:v>0.02763424125</x:v>
      </x:c>
      <x:c r="L4463" s="1" t="str">
        <x:f>TEXT(A4463,"mmm yyyy")</x:f>
        <x:v>Aug 2026</x:v>
      </x:c>
    </x:row>
    <x:row r="4464" ht="21" customHeight="1">
      <x:c r="A4464" s="10" t="n">
        <x:v>46241</x:v>
      </x:c>
      <x:c r="B4464" s="1" t="n">
        <x:v>12</x:v>
      </x:c>
      <x:c r="C4464" s="1" t="n">
        <x:v>6</x:v>
      </x:c>
      <x:c r="D4464" s="12" t="n">
        <x:v>0.154</x:v>
      </x:c>
      <x:c r="E4464" s="12" t="n">
        <x:v>0.166</x:v>
      </x:c>
      <x:c r="F4464" s="12" t="n">
        <x:v>0</x:v>
      </x:c>
      <x:c r="G4464" s="12" t="n">
        <x:v>0</x:v>
      </x:c>
      <x:c r="H4464" s="1" t="n">
        <x:f>'Historical prices'!E4464</x:f>
        <x:v>1.05</x:v>
      </x:c>
      <x:c r="I4464" s="6" t="n">
        <x:f>'Historical prices'!D4464</x:f>
        <x:v>0.133</x:v>
      </x:c>
      <x:c r="J4464" s="13" t="n">
        <x:f>D4464*I4464*H4464</x:f>
        <x:v>0.0215061</x:v>
      </x:c>
      <x:c r="K4464" s="13" t="n">
        <x:f>E4464*I4464*H4464</x:f>
        <x:v>0.023181900000000005</x:v>
      </x:c>
      <x:c r="L4464" s="1" t="str">
        <x:f>TEXT(A4464,"mmm yyyy")</x:f>
        <x:v>Aug 2026</x:v>
      </x:c>
    </x:row>
    <x:row r="4465" ht="21" customHeight="1">
      <x:c r="A4465" s="10" t="n">
        <x:v>46241</x:v>
      </x:c>
      <x:c r="B4465" s="1" t="n">
        <x:v>12.5</x:v>
      </x:c>
      <x:c r="C4465" s="1" t="n">
        <x:v>6</x:v>
      </x:c>
      <x:c r="D4465" s="12" t="n">
        <x:v>0.173</x:v>
      </x:c>
      <x:c r="E4465" s="12" t="n">
        <x:v>0.183</x:v>
      </x:c>
      <x:c r="F4465" s="12" t="n">
        <x:v>0</x:v>
      </x:c>
      <x:c r="G4465" s="12" t="n">
        <x:v>0</x:v>
      </x:c>
      <x:c r="H4465" s="1" t="n">
        <x:f>'Historical prices'!E4465</x:f>
        <x:v>1.05</x:v>
      </x:c>
      <x:c r="I4465" s="6" t="n">
        <x:f>'Historical prices'!D4465</x:f>
        <x:v>0.1353</x:v>
      </x:c>
      <x:c r="J4465" s="13" t="n">
        <x:f>D4465*I4465*H4465</x:f>
        <x:v>0.024577244999999998</x:v>
      </x:c>
      <x:c r="K4465" s="13" t="n">
        <x:f>E4465*I4465*H4465</x:f>
        <x:v>0.025997895000000004</x:v>
      </x:c>
      <x:c r="L4465" s="1" t="str">
        <x:f>TEXT(A4465,"mmm yyyy")</x:f>
        <x:v>Aug 2026</x:v>
      </x:c>
    </x:row>
    <x:row r="4466" ht="21" customHeight="1">
      <x:c r="A4466" s="10" t="n">
        <x:v>46241</x:v>
      </x:c>
      <x:c r="B4466" s="1" t="n">
        <x:v>13</x:v>
      </x:c>
      <x:c r="C4466" s="1" t="n">
        <x:v>6</x:v>
      </x:c>
      <x:c r="D4466" s="12" t="n">
        <x:v>0.169</x:v>
      </x:c>
      <x:c r="E4466" s="12" t="n">
        <x:v>0.17900000000000002</x:v>
      </x:c>
      <x:c r="F4466" s="12" t="n">
        <x:v>0</x:v>
      </x:c>
      <x:c r="G4466" s="12" t="n">
        <x:v>0</x:v>
      </x:c>
      <x:c r="H4466" s="1" t="n">
        <x:f>'Historical prices'!E4466</x:f>
        <x:v>1.05</x:v>
      </x:c>
      <x:c r="I4466" s="6" t="n">
        <x:f>'Historical prices'!D4466</x:f>
        <x:v>0.1346</x:v>
      </x:c>
      <x:c r="J4466" s="13" t="n">
        <x:f>D4466*I4466*H4466</x:f>
        <x:v>0.023884770000000003</x:v>
      </x:c>
      <x:c r="K4466" s="13" t="n">
        <x:f>E4466*I4466*H4466</x:f>
        <x:v>0.025298070000000002</x:v>
      </x:c>
      <x:c r="L4466" s="1" t="str">
        <x:f>TEXT(A4466,"mmm yyyy")</x:f>
        <x:v>Aug 2026</x:v>
      </x:c>
    </x:row>
    <x:row r="4467" ht="21" customHeight="1">
      <x:c r="A4467" s="10" t="n">
        <x:v>46241</x:v>
      </x:c>
      <x:c r="B4467" s="1" t="n">
        <x:v>13.5</x:v>
      </x:c>
      <x:c r="C4467" s="1" t="n">
        <x:v>6</x:v>
      </x:c>
      <x:c r="D4467" s="12" t="n">
        <x:v>0.22550000000000003</x:v>
      </x:c>
      <x:c r="E4467" s="12" t="n">
        <x:v>0.23550000000000001</x:v>
      </x:c>
      <x:c r="F4467" s="12" t="n">
        <x:v>0</x:v>
      </x:c>
      <x:c r="G4467" s="12" t="n">
        <x:v>0</x:v>
      </x:c>
      <x:c r="H4467" s="1" t="n">
        <x:f>'Historical prices'!E4467</x:f>
        <x:v>1.05</x:v>
      </x:c>
      <x:c r="I4467" s="6" t="n">
        <x:f>'Historical prices'!D4467</x:f>
        <x:v>0.1272</x:v>
      </x:c>
      <x:c r="J4467" s="13" t="n">
        <x:f>D4467*I4467*H4467</x:f>
        <x:v>0.030117780000000007</x:v>
      </x:c>
      <x:c r="K4467" s="13" t="n">
        <x:f>E4467*I4467*H4467</x:f>
        <x:v>0.03145338</x:v>
      </x:c>
      <x:c r="L4467" s="1" t="str">
        <x:f>TEXT(A4467,"mmm yyyy")</x:f>
        <x:v>Aug 2026</x:v>
      </x:c>
    </x:row>
    <x:row r="4468" ht="21" customHeight="1">
      <x:c r="A4468" s="10" t="n">
        <x:v>46241</x:v>
      </x:c>
      <x:c r="B4468" s="1" t="n">
        <x:v>14</x:v>
      </x:c>
      <x:c r="C4468" s="1" t="n">
        <x:v>6</x:v>
      </x:c>
      <x:c r="D4468" s="12" t="n">
        <x:v>0.1825</x:v>
      </x:c>
      <x:c r="E4468" s="12" t="n">
        <x:v>0.1935</x:v>
      </x:c>
      <x:c r="F4468" s="12" t="n">
        <x:v>0</x:v>
      </x:c>
      <x:c r="G4468" s="12" t="n">
        <x:v>0</x:v>
      </x:c>
      <x:c r="H4468" s="1" t="n">
        <x:f>'Historical prices'!E4468</x:f>
        <x:v>1.05</x:v>
      </x:c>
      <x:c r="I4468" s="6" t="n">
        <x:f>'Historical prices'!D4468</x:f>
        <x:v>0.1346</x:v>
      </x:c>
      <x:c r="J4468" s="13" t="n">
        <x:f>D4468*I4468*H4468</x:f>
        <x:v>0.025792725</x:v>
      </x:c>
      <x:c r="K4468" s="13" t="n">
        <x:f>E4468*I4468*H4468</x:f>
        <x:v>0.027347355000000004</x:v>
      </x:c>
      <x:c r="L4468" s="1" t="str">
        <x:f>TEXT(A4468,"mmm yyyy")</x:f>
        <x:v>Aug 2026</x:v>
      </x:c>
    </x:row>
    <x:row r="4469" ht="21" customHeight="1">
      <x:c r="A4469" s="10" t="n">
        <x:v>46241</x:v>
      </x:c>
      <x:c r="B4469" s="1" t="n">
        <x:v>14.5</x:v>
      </x:c>
      <x:c r="C4469" s="1" t="n">
        <x:v>6</x:v>
      </x:c>
      <x:c r="D4469" s="12" t="n">
        <x:v>0.27575</x:v>
      </x:c>
      <x:c r="E4469" s="12" t="n">
        <x:v>0.28575</x:v>
      </x:c>
      <x:c r="F4469" s="12" t="n">
        <x:v>0</x:v>
      </x:c>
      <x:c r="G4469" s="12" t="n">
        <x:v>0</x:v>
      </x:c>
      <x:c r="H4469" s="1" t="n">
        <x:f>'Historical prices'!E4469</x:f>
        <x:v>1.05</x:v>
      </x:c>
      <x:c r="I4469" s="6" t="n">
        <x:f>'Historical prices'!D4469</x:f>
        <x:v>0.1336</x:v>
      </x:c>
      <x:c r="J4469" s="13" t="n">
        <x:f>D4469*I4469*H4469</x:f>
        <x:v>0.038682209999999995</x:v>
      </x:c>
      <x:c r="K4469" s="13" t="n">
        <x:f>E4469*I4469*H4469</x:f>
        <x:v>0.040085010000000004</x:v>
      </x:c>
      <x:c r="L4469" s="1" t="str">
        <x:f>TEXT(A4469,"mmm yyyy")</x:f>
        <x:v>Aug 2026</x:v>
      </x:c>
    </x:row>
    <x:row r="4470" ht="21" customHeight="1">
      <x:c r="A4470" s="10" t="n">
        <x:v>46241</x:v>
      </x:c>
      <x:c r="B4470" s="1" t="n">
        <x:v>15</x:v>
      </x:c>
      <x:c r="C4470" s="1" t="n">
        <x:v>6</x:v>
      </x:c>
      <x:c r="D4470" s="12" t="n">
        <x:v>0.5625</x:v>
      </x:c>
      <x:c r="E4470" s="12" t="n">
        <x:v>0.5735</x:v>
      </x:c>
      <x:c r="F4470" s="12" t="n">
        <x:v>0</x:v>
      </x:c>
      <x:c r="G4470" s="12" t="n">
        <x:v>0</x:v>
      </x:c>
      <x:c r="H4470" s="1" t="n">
        <x:f>'Historical prices'!E4470</x:f>
        <x:v>1.05</x:v>
      </x:c>
      <x:c r="I4470" s="6" t="n">
        <x:f>'Historical prices'!D4470</x:f>
        <x:v>0.1282</x:v>
      </x:c>
      <x:c r="J4470" s="13" t="n">
        <x:f>D4470*I4470*H4470</x:f>
        <x:v>0.07571812500000001</x:v>
      </x:c>
      <x:c r="K4470" s="13" t="n">
        <x:f>E4470*I4470*H4470</x:f>
        <x:v>0.07719883500000001</x:v>
      </x:c>
      <x:c r="L4470" s="1" t="str">
        <x:f>TEXT(A4470,"mmm yyyy")</x:f>
        <x:v>Aug 2026</x:v>
      </x:c>
    </x:row>
    <x:row r="4471" ht="21" customHeight="1">
      <x:c r="A4471" s="10" t="n">
        <x:v>46241</x:v>
      </x:c>
      <x:c r="B4471" s="1" t="n">
        <x:v>15.5</x:v>
      </x:c>
      <x:c r="C4471" s="1" t="n">
        <x:v>6</x:v>
      </x:c>
      <x:c r="D4471" s="12" t="n">
        <x:v>4.17125</x:v>
      </x:c>
      <x:c r="E4471" s="12" t="n">
        <x:v>0.7012499999999999</x:v>
      </x:c>
      <x:c r="F4471" s="12" t="n">
        <x:v>0</x:v>
      </x:c>
      <x:c r="G4471" s="12" t="n">
        <x:v>3.471</x:v>
      </x:c>
      <x:c r="H4471" s="1" t="n">
        <x:f>'Historical prices'!E4471</x:f>
        <x:v>1.05</x:v>
      </x:c>
      <x:c r="I4471" s="6" t="n">
        <x:f>'Historical prices'!D4471</x:f>
        <x:v>0.1234</x:v>
      </x:c>
      <x:c r="J4471" s="13" t="n">
        <x:f>D4471*I4471*H4471</x:f>
        <x:v>0.5404688624999999</x:v>
      </x:c>
      <x:c r="K4471" s="13" t="n">
        <x:f>E4471*I4471*H4471</x:f>
        <x:v>0.0908609625</x:v>
      </x:c>
      <x:c r="L4471" s="1" t="str">
        <x:f>TEXT(A4471,"mmm yyyy")</x:f>
        <x:v>Aug 2026</x:v>
      </x:c>
    </x:row>
    <x:row r="4472" ht="21" customHeight="1">
      <x:c r="A4472" s="10" t="n">
        <x:v>46241</x:v>
      </x:c>
      <x:c r="B4472" s="1" t="n">
        <x:v>16</x:v>
      </x:c>
      <x:c r="C4472" s="1" t="n">
        <x:v>6</x:v>
      </x:c>
      <x:c r="D4472" s="12" t="n">
        <x:v>0.82425</x:v>
      </x:c>
      <x:c r="E4472" s="12" t="n">
        <x:v>1.3291666666666666</x:v>
      </x:c>
      <x:c r="F4472" s="12" t="n">
        <x:v>1.2059166666666667</x:v>
      </x:c>
      <x:c r="G4472" s="12" t="n">
        <x:v>0.703</x:v>
      </x:c>
      <x:c r="H4472" s="1" t="n">
        <x:f>'Historical prices'!E4472</x:f>
        <x:v>1.05</x:v>
      </x:c>
      <x:c r="I4472" s="6" t="n">
        <x:f>'Historical prices'!D4472</x:f>
        <x:v>0.2816</x:v>
      </x:c>
      <x:c r="J4472" s="13" t="n">
        <x:f>D4472*I4472*H4472</x:f>
        <x:v>0.24371424000000005</x:v>
      </x:c>
      <x:c r="K4472" s="13" t="n">
        <x:f>E4472*I4472*H4472</x:f>
        <x:v>0.393008</x:v>
      </x:c>
      <x:c r="L4472" s="1" t="str">
        <x:f>TEXT(A4472,"mmm yyyy")</x:f>
        <x:v>Aug 2026</x:v>
      </x:c>
    </x:row>
    <x:row r="4473" ht="21" customHeight="1">
      <x:c r="A4473" s="10" t="n">
        <x:v>46241</x:v>
      </x:c>
      <x:c r="B4473" s="1" t="n">
        <x:v>16.5</x:v>
      </x:c>
      <x:c r="C4473" s="1" t="n">
        <x:v>6</x:v>
      </x:c>
      <x:c r="D4473" s="12" t="n">
        <x:v>0</x:v>
      </x:c>
      <x:c r="E4473" s="12" t="n">
        <x:v>0.6438333333333333</x:v>
      </x:c>
      <x:c r="F4473" s="12" t="n">
        <x:v>0.6436666666666666</x:v>
      </x:c>
      <x:c r="G4473" s="12" t="n">
        <x:v>0</x:v>
      </x:c>
      <x:c r="H4473" s="1" t="n">
        <x:f>'Historical prices'!E4473</x:f>
        <x:v>1.05</x:v>
      </x:c>
      <x:c r="I4473" s="6" t="n">
        <x:f>'Historical prices'!D4473</x:f>
        <x:v>0.2892</x:v>
      </x:c>
      <x:c r="J4473" s="13" t="n">
        <x:f>D4473*I4473*H4473</x:f>
        <x:v>0</x:v>
      </x:c>
      <x:c r="K4473" s="13" t="n">
        <x:f>E4473*I4473*H4473</x:f>
        <x:v>0.19550643</x:v>
      </x:c>
      <x:c r="L4473" s="1" t="str">
        <x:f>TEXT(A4473,"mmm yyyy")</x:f>
        <x:v>Aug 2026</x:v>
      </x:c>
    </x:row>
    <x:row r="4474" ht="21" customHeight="1">
      <x:c r="A4474" s="10" t="n">
        <x:v>46241</x:v>
      </x:c>
      <x:c r="B4474" s="1" t="n">
        <x:v>17</x:v>
      </x:c>
      <x:c r="C4474" s="1" t="n">
        <x:v>6</x:v>
      </x:c>
      <x:c r="D4474" s="12" t="n">
        <x:v>0.015333333333333332</x:v>
      </x:c>
      <x:c r="E4474" s="12" t="n">
        <x:v>1.1301666666666668</x:v>
      </x:c>
      <x:c r="F4474" s="12" t="n">
        <x:v>1.1028333333333333</x:v>
      </x:c>
      <x:c r="G4474" s="12" t="n">
        <x:v>0</x:v>
      </x:c>
      <x:c r="H4474" s="1" t="n">
        <x:f>'Historical prices'!E4474</x:f>
        <x:v>1.05</x:v>
      </x:c>
      <x:c r="I4474" s="6" t="n">
        <x:f>'Historical prices'!D4474</x:f>
        <x:v>0.3332</x:v>
      </x:c>
      <x:c r="J4474" s="13" t="n">
        <x:f>D4474*I4474*H4474</x:f>
        <x:v>0.005364519999999999</x:v>
      </x:c>
      <x:c r="K4474" s="13" t="n">
        <x:f>E4474*I4474*H4474</x:f>
        <x:v>0.3954001100000001</x:v>
      </x:c>
      <x:c r="L4474" s="1" t="str">
        <x:f>TEXT(A4474,"mmm yyyy")</x:f>
        <x:v>Aug 2026</x:v>
      </x:c>
    </x:row>
    <x:row r="4475" ht="21" customHeight="1">
      <x:c r="A4475" s="10" t="n">
        <x:v>46241</x:v>
      </x:c>
      <x:c r="B4475" s="1" t="n">
        <x:v>17.5</x:v>
      </x:c>
      <x:c r="C4475" s="1" t="n">
        <x:v>6</x:v>
      </x:c>
      <x:c r="D4475" s="12" t="n">
        <x:v>0</x:v>
      </x:c>
      <x:c r="E4475" s="12" t="n">
        <x:v>0.79875</x:v>
      </x:c>
      <x:c r="F4475" s="12" t="n">
        <x:v>0.7984166666666667</x:v>
      </x:c>
      <x:c r="G4475" s="12" t="n">
        <x:v>0</x:v>
      </x:c>
      <x:c r="H4475" s="1" t="n">
        <x:f>'Historical prices'!E4475</x:f>
        <x:v>1.05</x:v>
      </x:c>
      <x:c r="I4475" s="6" t="n">
        <x:f>'Historical prices'!D4475</x:f>
        <x:v>0.3306</x:v>
      </x:c>
      <x:c r="J4475" s="13" t="n">
        <x:f>D4475*I4475*H4475</x:f>
        <x:v>0</x:v>
      </x:c>
      <x:c r="K4475" s="13" t="n">
        <x:f>E4475*I4475*H4475</x:f>
        <x:v>0.27727008750000004</x:v>
      </x:c>
      <x:c r="L4475" s="1" t="str">
        <x:f>TEXT(A4475,"mmm yyyy")</x:f>
        <x:v>Aug 2026</x:v>
      </x:c>
    </x:row>
    <x:row r="4476" ht="21" customHeight="1">
      <x:c r="A4476" s="10" t="n">
        <x:v>46241</x:v>
      </x:c>
      <x:c r="B4476" s="1" t="n">
        <x:v>18</x:v>
      </x:c>
      <x:c r="C4476" s="1" t="n">
        <x:v>6</x:v>
      </x:c>
      <x:c r="D4476" s="12" t="n">
        <x:v>0</x:v>
      </x:c>
      <x:c r="E4476" s="12" t="n">
        <x:v>0.5908333333333333</x:v>
      </x:c>
      <x:c r="F4476" s="12" t="n">
        <x:v>0.5905833333333333</x:v>
      </x:c>
      <x:c r="G4476" s="12" t="n">
        <x:v>0</x:v>
      </x:c>
      <x:c r="H4476" s="1" t="n">
        <x:f>'Historical prices'!E4476</x:f>
        <x:v>1.05</x:v>
      </x:c>
      <x:c r="I4476" s="6" t="n">
        <x:f>'Historical prices'!D4476</x:f>
        <x:v>0.35869999999999996</x:v>
      </x:c>
      <x:c r="J4476" s="13" t="n">
        <x:f>D4476*I4476*H4476</x:f>
        <x:v>0</x:v>
      </x:c>
      <x:c r="K4476" s="13" t="n">
        <x:f>E4476*I4476*H4476</x:f>
        <x:v>0.22252851249999997</x:v>
      </x:c>
      <x:c r="L4476" s="1" t="str">
        <x:f>TEXT(A4476,"mmm yyyy")</x:f>
        <x:v>Aug 2026</x:v>
      </x:c>
    </x:row>
    <x:row r="4477" ht="21" customHeight="1">
      <x:c r="A4477" s="10" t="n">
        <x:v>46241</x:v>
      </x:c>
      <x:c r="B4477" s="1" t="n">
        <x:v>18.5</x:v>
      </x:c>
      <x:c r="C4477" s="1" t="n">
        <x:v>6</x:v>
      </x:c>
      <x:c r="D4477" s="12" t="n">
        <x:v>0</x:v>
      </x:c>
      <x:c r="E4477" s="12" t="n">
        <x:v>0.9267500000000001</x:v>
      </x:c>
      <x:c r="F4477" s="12" t="n">
        <x:v>0.9205</x:v>
      </x:c>
      <x:c r="G4477" s="12" t="n">
        <x:v>0</x:v>
      </x:c>
      <x:c r="H4477" s="1" t="n">
        <x:f>'Historical prices'!E4477</x:f>
        <x:v>1.05</x:v>
      </x:c>
      <x:c r="I4477" s="6" t="n">
        <x:f>'Historical prices'!D4477</x:f>
        <x:v>0.373</x:v>
      </x:c>
      <x:c r="J4477" s="13" t="n">
        <x:f>D4477*I4477*H4477</x:f>
        <x:v>0</x:v>
      </x:c>
      <x:c r="K4477" s="13" t="n">
        <x:f>E4477*I4477*H4477</x:f>
        <x:v>0.36296163750000004</x:v>
      </x:c>
      <x:c r="L4477" s="1" t="str">
        <x:f>TEXT(A4477,"mmm yyyy")</x:f>
        <x:v>Aug 2026</x:v>
      </x:c>
    </x:row>
    <x:row r="4478" ht="21" customHeight="1">
      <x:c r="A4478" s="10" t="n">
        <x:v>46241</x:v>
      </x:c>
      <x:c r="B4478" s="1" t="n">
        <x:v>19</x:v>
      </x:c>
      <x:c r="C4478" s="1" t="n">
        <x:v>6</x:v>
      </x:c>
      <x:c r="D4478" s="12" t="n">
        <x:v>0</x:v>
      </x:c>
      <x:c r="E4478" s="12" t="n">
        <x:v>1.0687499999999999</x:v>
      </x:c>
      <x:c r="F4478" s="12" t="n">
        <x:v>1.0684166666666666</x:v>
      </x:c>
      <x:c r="G4478" s="12" t="n">
        <x:v>0</x:v>
      </x:c>
      <x:c r="H4478" s="1" t="n">
        <x:f>'Historical prices'!E4478</x:f>
        <x:v>1.05</x:v>
      </x:c>
      <x:c r="I4478" s="6" t="n">
        <x:f>'Historical prices'!D4478</x:f>
        <x:v>0.2692</x:v>
      </x:c>
      <x:c r="J4478" s="13" t="n">
        <x:f>D4478*I4478*H4478</x:f>
        <x:v>0</x:v>
      </x:c>
      <x:c r="K4478" s="13" t="n">
        <x:f>E4478*I4478*H4478</x:f>
        <x:v>0.302092875</x:v>
      </x:c>
      <x:c r="L4478" s="1" t="str">
        <x:f>TEXT(A4478,"mmm yyyy")</x:f>
        <x:v>Aug 2026</x:v>
      </x:c>
    </x:row>
    <x:row r="4479" ht="21" customHeight="1">
      <x:c r="A4479" s="10" t="n">
        <x:v>46241</x:v>
      </x:c>
      <x:c r="B4479" s="1" t="n">
        <x:v>19.5</x:v>
      </x:c>
      <x:c r="C4479" s="1" t="n">
        <x:v>6</x:v>
      </x:c>
      <x:c r="D4479" s="12" t="n">
        <x:v>0.026333333333333334</x:v>
      </x:c>
      <x:c r="E4479" s="12" t="n">
        <x:v>0.7647499999999999</x:v>
      </x:c>
      <x:c r="F4479" s="12" t="n">
        <x:v>0.73825</x:v>
      </x:c>
      <x:c r="G4479" s="12" t="n">
        <x:v>0</x:v>
      </x:c>
      <x:c r="H4479" s="1" t="n">
        <x:f>'Historical prices'!E4479</x:f>
        <x:v>1.05</x:v>
      </x:c>
      <x:c r="I4479" s="6" t="n">
        <x:f>'Historical prices'!D4479</x:f>
        <x:v>0.26899999999999996</x:v>
      </x:c>
      <x:c r="J4479" s="13" t="n">
        <x:f>D4479*I4479*H4479</x:f>
        <x:v>0.007437849999999999</x:v>
      </x:c>
      <x:c r="K4479" s="13" t="n">
        <x:f>E4479*I4479*H4479</x:f>
        <x:v>0.21600363749999996</x:v>
      </x:c>
      <x:c r="L4479" s="1" t="str">
        <x:f>TEXT(A4479,"mmm yyyy")</x:f>
        <x:v>Aug 2026</x:v>
      </x:c>
    </x:row>
    <x:row r="4480" ht="21" customHeight="1">
      <x:c r="A4480" s="10" t="n">
        <x:v>46241</x:v>
      </x:c>
      <x:c r="B4480" s="1" t="n">
        <x:v>20</x:v>
      </x:c>
      <x:c r="C4480" s="1" t="n">
        <x:v>6</x:v>
      </x:c>
      <x:c r="D4480" s="12" t="n">
        <x:v>0</x:v>
      </x:c>
      <x:c r="E4480" s="12" t="n">
        <x:v>0.5269166666666666</x:v>
      </x:c>
      <x:c r="F4480" s="12" t="n">
        <x:v>0.5266666666666666</x:v>
      </x:c>
      <x:c r="G4480" s="12" t="n">
        <x:v>0</x:v>
      </x:c>
      <x:c r="H4480" s="1" t="n">
        <x:f>'Historical prices'!E4480</x:f>
        <x:v>1.05</x:v>
      </x:c>
      <x:c r="I4480" s="6" t="n">
        <x:f>'Historical prices'!D4480</x:f>
        <x:v>0.262</x:v>
      </x:c>
      <x:c r="J4480" s="13" t="n">
        <x:f>D4480*I4480*H4480</x:f>
        <x:v>0</x:v>
      </x:c>
      <x:c r="K4480" s="13" t="n">
        <x:f>E4480*I4480*H4480</x:f>
        <x:v>0.14495477499999998</x:v>
      </x:c>
      <x:c r="L4480" s="1" t="str">
        <x:f>TEXT(A4480,"mmm yyyy")</x:f>
        <x:v>Aug 2026</x:v>
      </x:c>
    </x:row>
    <x:row r="4481" ht="21" customHeight="1">
      <x:c r="A4481" s="10" t="n">
        <x:v>46241</x:v>
      </x:c>
      <x:c r="B4481" s="1" t="n">
        <x:v>20.5</x:v>
      </x:c>
      <x:c r="C4481" s="1" t="n">
        <x:v>6</x:v>
      </x:c>
      <x:c r="D4481" s="12" t="n">
        <x:v>0</x:v>
      </x:c>
      <x:c r="E4481" s="12" t="n">
        <x:v>0.6376666666666666</x:v>
      </x:c>
      <x:c r="F4481" s="12" t="n">
        <x:v>0.6374166666666666</x:v>
      </x:c>
      <x:c r="G4481" s="12" t="n">
        <x:v>0</x:v>
      </x:c>
      <x:c r="H4481" s="1" t="n">
        <x:f>'Historical prices'!E4481</x:f>
        <x:v>1.05</x:v>
      </x:c>
      <x:c r="I4481" s="6" t="n">
        <x:f>'Historical prices'!D4481</x:f>
        <x:v>0.2648</x:v>
      </x:c>
      <x:c r="J4481" s="13" t="n">
        <x:f>D4481*I4481*H4481</x:f>
        <x:v>0</x:v>
      </x:c>
      <x:c r="K4481" s="13" t="n">
        <x:f>E4481*I4481*H4481</x:f>
        <x:v>0.17729683999999996</x:v>
      </x:c>
      <x:c r="L4481" s="1" t="str">
        <x:f>TEXT(A4481,"mmm yyyy")</x:f>
        <x:v>Aug 2026</x:v>
      </x:c>
    </x:row>
    <x:row r="4482" ht="21" customHeight="1">
      <x:c r="A4482" s="10" t="n">
        <x:v>46241</x:v>
      </x:c>
      <x:c r="B4482" s="1" t="n">
        <x:v>21</x:v>
      </x:c>
      <x:c r="C4482" s="1" t="n">
        <x:v>6</x:v>
      </x:c>
      <x:c r="D4482" s="12" t="n">
        <x:v>0</x:v>
      </x:c>
      <x:c r="E4482" s="12" t="n">
        <x:v>0.55175</x:v>
      </x:c>
      <x:c r="F4482" s="12" t="n">
        <x:v>0.5515</x:v>
      </x:c>
      <x:c r="G4482" s="12" t="n">
        <x:v>0</x:v>
      </x:c>
      <x:c r="H4482" s="1" t="n">
        <x:f>'Historical prices'!E4482</x:f>
        <x:v>1.05</x:v>
      </x:c>
      <x:c r="I4482" s="6" t="n">
        <x:f>'Historical prices'!D4482</x:f>
        <x:v>0.2675</x:v>
      </x:c>
      <x:c r="J4482" s="13" t="n">
        <x:f>D4482*I4482*H4482</x:f>
        <x:v>0</x:v>
      </x:c>
      <x:c r="K4482" s="13" t="n">
        <x:f>E4482*I4482*H4482</x:f>
        <x:v>0.15497278125</x:v>
      </x:c>
      <x:c r="L4482" s="1" t="str">
        <x:f>TEXT(A4482,"mmm yyyy")</x:f>
        <x:v>Aug 2026</x:v>
      </x:c>
    </x:row>
    <x:row r="4483" ht="21" customHeight="1">
      <x:c r="A4483" s="10" t="n">
        <x:v>46241</x:v>
      </x:c>
      <x:c r="B4483" s="1" t="n">
        <x:v>21.5</x:v>
      </x:c>
      <x:c r="C4483" s="1" t="n">
        <x:v>6</x:v>
      </x:c>
      <x:c r="D4483" s="12" t="n">
        <x:v>0</x:v>
      </x:c>
      <x:c r="E4483" s="12" t="n">
        <x:v>0.7396666666666667</x:v>
      </x:c>
      <x:c r="F4483" s="12" t="n">
        <x:v>0.7388333333333333</x:v>
      </x:c>
      <x:c r="G4483" s="12" t="n">
        <x:v>0</x:v>
      </x:c>
      <x:c r="H4483" s="1" t="n">
        <x:f>'Historical prices'!E4483</x:f>
        <x:v>1.05</x:v>
      </x:c>
      <x:c r="I4483" s="6" t="n">
        <x:f>'Historical prices'!D4483</x:f>
        <x:v>0.26899999999999996</x:v>
      </x:c>
      <x:c r="J4483" s="13" t="n">
        <x:f>D4483*I4483*H4483</x:f>
        <x:v>0</x:v>
      </x:c>
      <x:c r="K4483" s="13" t="n">
        <x:f>E4483*I4483*H4483</x:f>
        <x:v>0.20891885</x:v>
      </x:c>
      <x:c r="L4483" s="1" t="str">
        <x:f>TEXT(A4483,"mmm yyyy")</x:f>
        <x:v>Aug 2026</x:v>
      </x:c>
    </x:row>
    <x:row r="4484" ht="21" customHeight="1">
      <x:c r="A4484" s="10" t="n">
        <x:v>46241</x:v>
      </x:c>
      <x:c r="B4484" s="1" t="n">
        <x:v>22</x:v>
      </x:c>
      <x:c r="C4484" s="1" t="n">
        <x:v>6</x:v>
      </x:c>
      <x:c r="D4484" s="12" t="n">
        <x:v>0</x:v>
      </x:c>
      <x:c r="E4484" s="12" t="n">
        <x:v>0.30125</x:v>
      </x:c>
      <x:c r="F4484" s="12" t="n">
        <x:v>0.30083333333333334</x:v>
      </x:c>
      <x:c r="G4484" s="12" t="n">
        <x:v>0</x:v>
      </x:c>
      <x:c r="H4484" s="1" t="n">
        <x:f>'Historical prices'!E4484</x:f>
        <x:v>1.05</x:v>
      </x:c>
      <x:c r="I4484" s="6" t="n">
        <x:f>'Historical prices'!D4484</x:f>
        <x:v>0.256</x:v>
      </x:c>
      <x:c r="J4484" s="13" t="n">
        <x:f>D4484*I4484*H4484</x:f>
        <x:v>0</x:v>
      </x:c>
      <x:c r="K4484" s="13" t="n">
        <x:f>E4484*I4484*H4484</x:f>
        <x:v>0.080976</x:v>
      </x:c>
      <x:c r="L4484" s="1" t="str">
        <x:f>TEXT(A4484,"mmm yyyy")</x:f>
        <x:v>Aug 2026</x:v>
      </x:c>
    </x:row>
    <x:row r="4485" ht="21" customHeight="1">
      <x:c r="A4485" s="10" t="n">
        <x:v>46241</x:v>
      </x:c>
      <x:c r="B4485" s="1" t="n">
        <x:v>22.5</x:v>
      </x:c>
      <x:c r="C4485" s="1" t="n">
        <x:v>6</x:v>
      </x:c>
      <x:c r="D4485" s="12" t="n">
        <x:v>0</x:v>
      </x:c>
      <x:c r="E4485" s="12" t="n">
        <x:v>0.29483333333333334</x:v>
      </x:c>
      <x:c r="F4485" s="12" t="n">
        <x:v>0.2945</x:v>
      </x:c>
      <x:c r="G4485" s="12" t="n">
        <x:v>0</x:v>
      </x:c>
      <x:c r="H4485" s="1" t="n">
        <x:f>'Historical prices'!E4485</x:f>
        <x:v>1.05</x:v>
      </x:c>
      <x:c r="I4485" s="6" t="n">
        <x:f>'Historical prices'!D4485</x:f>
        <x:v>0.24850000000000003</x:v>
      </x:c>
      <x:c r="J4485" s="13" t="n">
        <x:f>D4485*I4485*H4485</x:f>
        <x:v>0</x:v>
      </x:c>
      <x:c r="K4485" s="13" t="n">
        <x:f>E4485*I4485*H4485</x:f>
        <x:v>0.07692938750000002</x:v>
      </x:c>
      <x:c r="L4485" s="1" t="str">
        <x:f>TEXT(A4485,"mmm yyyy")</x:f>
        <x:v>Aug 2026</x:v>
      </x:c>
    </x:row>
    <x:row r="4486" ht="21" customHeight="1">
      <x:c r="A4486" s="10" t="n">
        <x:v>46241</x:v>
      </x:c>
      <x:c r="B4486" s="1" t="n">
        <x:v>23</x:v>
      </x:c>
      <x:c r="C4486" s="1" t="n">
        <x:v>6</x:v>
      </x:c>
      <x:c r="D4486" s="12" t="n">
        <x:v>0</x:v>
      </x:c>
      <x:c r="E4486" s="12" t="n">
        <x:v>0.296</x:v>
      </x:c>
      <x:c r="F4486" s="12" t="n">
        <x:v>0.2955</x:v>
      </x:c>
      <x:c r="G4486" s="12" t="n">
        <x:v>0</x:v>
      </x:c>
      <x:c r="H4486" s="1" t="n">
        <x:f>'Historical prices'!E4486</x:f>
        <x:v>1.05</x:v>
      </x:c>
      <x:c r="I4486" s="6" t="n">
        <x:f>'Historical prices'!D4486</x:f>
        <x:v>0.2386</x:v>
      </x:c>
      <x:c r="J4486" s="13" t="n">
        <x:f>D4486*I4486*H4486</x:f>
        <x:v>0</x:v>
      </x:c>
      <x:c r="K4486" s="13" t="n">
        <x:f>E4486*I4486*H4486</x:f>
        <x:v>0.07415688</x:v>
      </x:c>
      <x:c r="L4486" s="1" t="str">
        <x:f>TEXT(A4486,"mmm yyyy")</x:f>
        <x:v>Aug 2026</x:v>
      </x:c>
    </x:row>
    <x:row r="4487" ht="21" customHeight="1">
      <x:c r="A4487" s="10" t="n">
        <x:v>46241</x:v>
      </x:c>
      <x:c r="B4487" s="1" t="n">
        <x:v>23.5</x:v>
      </x:c>
      <x:c r="C4487" s="1" t="n">
        <x:v>6</x:v>
      </x:c>
      <x:c r="D4487" s="12" t="n">
        <x:v>0</x:v>
      </x:c>
      <x:c r="E4487" s="12" t="n">
        <x:v>0.2886666666666666</x:v>
      </x:c>
      <x:c r="F4487" s="12" t="n">
        <x:v>0.28841666666666665</x:v>
      </x:c>
      <x:c r="G4487" s="12" t="n">
        <x:v>0</x:v>
      </x:c>
      <x:c r="H4487" s="1" t="n">
        <x:f>'Historical prices'!E4487</x:f>
        <x:v>1.05</x:v>
      </x:c>
      <x:c r="I4487" s="6" t="n">
        <x:f>'Historical prices'!D4487</x:f>
        <x:v>0.23120000000000002</x:v>
      </x:c>
      <x:c r="J4487" s="13" t="n">
        <x:f>D4487*I4487*H4487</x:f>
        <x:v>0</x:v>
      </x:c>
      <x:c r="K4487" s="13" t="n">
        <x:f>E4487*I4487*H4487</x:f>
        <x:v>0.07007672</x:v>
      </x:c>
      <x:c r="L4487" s="1" t="str">
        <x:f>TEXT(A4487,"mmm yyyy")</x:f>
        <x:v>Aug 2026</x:v>
      </x:c>
    </x:row>
    <x:row r="4488" ht="21" customHeight="1">
      <x:c r="A4488" s="10" t="n">
        <x:v>46242</x:v>
      </x:c>
      <x:c r="B4488" s="1" t="n">
        <x:v>0</x:v>
      </x:c>
      <x:c r="C4488" s="1" t="n">
        <x:v>6</x:v>
      </x:c>
      <x:c r="D4488" s="12" t="n">
        <x:v>0</x:v>
      </x:c>
      <x:c r="E4488" s="12" t="n">
        <x:v>0.23208333333333334</x:v>
      </x:c>
      <x:c r="F4488" s="12" t="n">
        <x:v>0.2316666666666667</x:v>
      </x:c>
      <x:c r="G4488" s="12" t="n">
        <x:v>0</x:v>
      </x:c>
      <x:c r="H4488" s="1" t="n">
        <x:f>'Historical prices'!E4488</x:f>
        <x:v>1.05</x:v>
      </x:c>
      <x:c r="I4488" s="6" t="n">
        <x:f>'Historical prices'!D4488</x:f>
        <x:v>0.2274</x:v>
      </x:c>
      <x:c r="J4488" s="13" t="n">
        <x:f>D4488*I4488*H4488</x:f>
        <x:v>0</x:v>
      </x:c>
      <x:c r="K4488" s="13" t="n">
        <x:f>E4488*I4488*H4488</x:f>
        <x:v>0.0554145375</x:v>
      </x:c>
      <x:c r="L4488" s="1" t="str">
        <x:f>TEXT(A4488,"mmm yyyy")</x:f>
        <x:v>Aug 2026</x:v>
      </x:c>
    </x:row>
    <x:row r="4489" ht="21" customHeight="1">
      <x:c r="A4489" s="10" t="n">
        <x:v>46242</x:v>
      </x:c>
      <x:c r="B4489" s="1" t="n">
        <x:v>0.5</x:v>
      </x:c>
      <x:c r="C4489" s="1" t="n">
        <x:v>6</x:v>
      </x:c>
      <x:c r="D4489" s="12" t="n">
        <x:v>0</x:v>
      </x:c>
      <x:c r="E4489" s="12" t="n">
        <x:v>0.26975</x:v>
      </x:c>
      <x:c r="F4489" s="12" t="n">
        <x:v>0.2695</x:v>
      </x:c>
      <x:c r="G4489" s="12" t="n">
        <x:v>0</x:v>
      </x:c>
      <x:c r="H4489" s="1" t="n">
        <x:f>'Historical prices'!E4489</x:f>
        <x:v>1.05</x:v>
      </x:c>
      <x:c r="I4489" s="6" t="n">
        <x:f>'Historical prices'!D4489</x:f>
        <x:v>0.218</x:v>
      </x:c>
      <x:c r="J4489" s="13" t="n">
        <x:f>D4489*I4489*H4489</x:f>
        <x:v>0</x:v>
      </x:c>
      <x:c r="K4489" s="13" t="n">
        <x:f>E4489*I4489*H4489</x:f>
        <x:v>0.061745774999999996</x:v>
      </x:c>
      <x:c r="L4489" s="1" t="str">
        <x:f>TEXT(A4489,"mmm yyyy")</x:f>
        <x:v>Aug 2026</x:v>
      </x:c>
    </x:row>
    <x:row r="4490" ht="21" customHeight="1">
      <x:c r="A4490" s="10" t="n">
        <x:v>46242</x:v>
      </x:c>
      <x:c r="B4490" s="1" t="n">
        <x:v>1</x:v>
      </x:c>
      <x:c r="C4490" s="1" t="n">
        <x:v>6</x:v>
      </x:c>
      <x:c r="D4490" s="12" t="n">
        <x:v>0</x:v>
      </x:c>
      <x:c r="E4490" s="12" t="n">
        <x:v>0.2926666666666667</x:v>
      </x:c>
      <x:c r="F4490" s="12" t="n">
        <x:v>0.2905</x:v>
      </x:c>
      <x:c r="G4490" s="12" t="n">
        <x:v>0</x:v>
      </x:c>
      <x:c r="H4490" s="1" t="n">
        <x:f>'Historical prices'!E4490</x:f>
        <x:v>1.05</x:v>
      </x:c>
      <x:c r="I4490" s="6" t="n">
        <x:f>'Historical prices'!D4490</x:f>
        <x:v>0.21230000000000002</x:v>
      </x:c>
      <x:c r="J4490" s="13" t="n">
        <x:f>D4490*I4490*H4490</x:f>
        <x:v>0</x:v>
      </x:c>
      <x:c r="K4490" s="13" t="n">
        <x:f>E4490*I4490*H4490</x:f>
        <x:v>0.06523979</x:v>
      </x:c>
      <x:c r="L4490" s="1" t="str">
        <x:f>TEXT(A4490,"mmm yyyy")</x:f>
        <x:v>Aug 2026</x:v>
      </x:c>
    </x:row>
    <x:row r="4491" ht="21" customHeight="1">
      <x:c r="A4491" s="10" t="n">
        <x:v>46242</x:v>
      </x:c>
      <x:c r="B4491" s="1" t="n">
        <x:v>1.5</x:v>
      </x:c>
      <x:c r="C4491" s="1" t="n">
        <x:v>6</x:v>
      </x:c>
      <x:c r="D4491" s="12" t="n">
        <x:v>0</x:v>
      </x:c>
      <x:c r="E4491" s="12" t="n">
        <x:v>0.3335833333333333</x:v>
      </x:c>
      <x:c r="F4491" s="12" t="n">
        <x:v>0.33341666666666664</x:v>
      </x:c>
      <x:c r="G4491" s="12" t="n">
        <x:v>0</x:v>
      </x:c>
      <x:c r="H4491" s="1" t="n">
        <x:f>'Historical prices'!E4491</x:f>
        <x:v>1.05</x:v>
      </x:c>
      <x:c r="I4491" s="6" t="n">
        <x:f>'Historical prices'!D4491</x:f>
        <x:v>0.21230000000000002</x:v>
      </x:c>
      <x:c r="J4491" s="13" t="n">
        <x:f>D4491*I4491*H4491</x:f>
        <x:v>0</x:v>
      </x:c>
      <x:c r="K4491" s="13" t="n">
        <x:f>E4491*I4491*H4491</x:f>
        <x:v>0.07436072875</x:v>
      </x:c>
      <x:c r="L4491" s="1" t="str">
        <x:f>TEXT(A4491,"mmm yyyy")</x:f>
        <x:v>Aug 2026</x:v>
      </x:c>
    </x:row>
    <x:row r="4492" ht="21" customHeight="1">
      <x:c r="A4492" s="10" t="n">
        <x:v>46242</x:v>
      </x:c>
      <x:c r="B4492" s="1" t="n">
        <x:v>2</x:v>
      </x:c>
      <x:c r="C4492" s="1" t="n">
        <x:v>6</x:v>
      </x:c>
      <x:c r="D4492" s="12" t="n">
        <x:v>0</x:v>
      </x:c>
      <x:c r="E4492" s="12" t="n">
        <x:v>0.21291666666666667</x:v>
      </x:c>
      <x:c r="F4492" s="12" t="n">
        <x:v>0.21258333333333335</x:v>
      </x:c>
      <x:c r="G4492" s="12" t="n">
        <x:v>0</x:v>
      </x:c>
      <x:c r="H4492" s="1" t="n">
        <x:f>'Historical prices'!E4492</x:f>
        <x:v>1.05</x:v>
      </x:c>
      <x:c r="I4492" s="6" t="n">
        <x:f>'Historical prices'!D4492</x:f>
        <x:v>0.2107</x:v>
      </x:c>
      <x:c r="J4492" s="13" t="n">
        <x:f>D4492*I4492*H4492</x:f>
        <x:v>0</x:v>
      </x:c>
      <x:c r="K4492" s="13" t="n">
        <x:f>E4492*I4492*H4492</x:f>
        <x:v>0.04710461875</x:v>
      </x:c>
      <x:c r="L4492" s="1" t="str">
        <x:f>TEXT(A4492,"mmm yyyy")</x:f>
        <x:v>Aug 2026</x:v>
      </x:c>
    </x:row>
    <x:row r="4493" ht="21" customHeight="1">
      <x:c r="A4493" s="10" t="n">
        <x:v>46242</x:v>
      </x:c>
      <x:c r="B4493" s="1" t="n">
        <x:v>2.5</x:v>
      </x:c>
      <x:c r="C4493" s="1" t="n">
        <x:v>6</x:v>
      </x:c>
      <x:c r="D4493" s="12" t="n">
        <x:v>0</x:v>
      </x:c>
      <x:c r="E4493" s="12" t="n">
        <x:v>0.28883333333333333</x:v>
      </x:c>
      <x:c r="F4493" s="12" t="n">
        <x:v>0.28858333333333336</x:v>
      </x:c>
      <x:c r="G4493" s="12" t="n">
        <x:v>0</x:v>
      </x:c>
      <x:c r="H4493" s="1" t="n">
        <x:f>'Historical prices'!E4493</x:f>
        <x:v>1.05</x:v>
      </x:c>
      <x:c r="I4493" s="6" t="n">
        <x:f>'Historical prices'!D4493</x:f>
        <x:v>0.2175</x:v>
      </x:c>
      <x:c r="J4493" s="13" t="n">
        <x:f>D4493*I4493*H4493</x:f>
        <x:v>0</x:v>
      </x:c>
      <x:c r="K4493" s="13" t="n">
        <x:f>E4493*I4493*H4493</x:f>
        <x:v>0.0659623125</x:v>
      </x:c>
      <x:c r="L4493" s="1" t="str">
        <x:f>TEXT(A4493,"mmm yyyy")</x:f>
        <x:v>Aug 2026</x:v>
      </x:c>
    </x:row>
    <x:row r="4494" ht="21" customHeight="1">
      <x:c r="A4494" s="10" t="n">
        <x:v>46242</x:v>
      </x:c>
      <x:c r="B4494" s="1" t="n">
        <x:v>3</x:v>
      </x:c>
      <x:c r="C4494" s="1" t="n">
        <x:v>6</x:v>
      </x:c>
      <x:c r="D4494" s="12" t="n">
        <x:v>0</x:v>
      </x:c>
      <x:c r="E4494" s="12" t="n">
        <x:v>0.258</x:v>
      </x:c>
      <x:c r="F4494" s="12" t="n">
        <x:v>0.25766666666666665</x:v>
      </x:c>
      <x:c r="G4494" s="12" t="n">
        <x:v>0</x:v>
      </x:c>
      <x:c r="H4494" s="1" t="n">
        <x:f>'Historical prices'!E4494</x:f>
        <x:v>1.05</x:v>
      </x:c>
      <x:c r="I4494" s="6" t="n">
        <x:f>'Historical prices'!D4494</x:f>
        <x:v>0.21989999999999998</x:v>
      </x:c>
      <x:c r="J4494" s="13" t="n">
        <x:f>D4494*I4494*H4494</x:f>
        <x:v>0</x:v>
      </x:c>
      <x:c r="K4494" s="13" t="n">
        <x:f>E4494*I4494*H4494</x:f>
        <x:v>0.05957091</x:v>
      </x:c>
      <x:c r="L4494" s="1" t="str">
        <x:f>TEXT(A4494,"mmm yyyy")</x:f>
        <x:v>Aug 2026</x:v>
      </x:c>
    </x:row>
    <x:row r="4495" ht="21" customHeight="1">
      <x:c r="A4495" s="10" t="n">
        <x:v>46242</x:v>
      </x:c>
      <x:c r="B4495" s="1" t="n">
        <x:v>3.5</x:v>
      </x:c>
      <x:c r="C4495" s="1" t="n">
        <x:v>6</x:v>
      </x:c>
      <x:c r="D4495" s="12" t="n">
        <x:v>0</x:v>
      </x:c>
      <x:c r="E4495" s="12" t="n">
        <x:v>0.21041666666666667</x:v>
      </x:c>
      <x:c r="F4495" s="12" t="n">
        <x:v>0.2096666666666667</x:v>
      </x:c>
      <x:c r="G4495" s="12" t="n">
        <x:v>0</x:v>
      </x:c>
      <x:c r="H4495" s="1" t="n">
        <x:f>'Historical prices'!E4495</x:f>
        <x:v>1.05</x:v>
      </x:c>
      <x:c r="I4495" s="6" t="n">
        <x:f>'Historical prices'!D4495</x:f>
        <x:v>0.204</x:v>
      </x:c>
      <x:c r="J4495" s="13" t="n">
        <x:f>D4495*I4495*H4495</x:f>
        <x:v>0</x:v>
      </x:c>
      <x:c r="K4495" s="13" t="n">
        <x:f>E4495*I4495*H4495</x:f>
        <x:v>0.04507125</x:v>
      </x:c>
      <x:c r="L4495" s="1" t="str">
        <x:f>TEXT(A4495,"mmm yyyy")</x:f>
        <x:v>Aug 2026</x:v>
      </x:c>
    </x:row>
    <x:row r="4496" ht="21" customHeight="1">
      <x:c r="A4496" s="10" t="n">
        <x:v>46242</x:v>
      </x:c>
      <x:c r="B4496" s="1" t="n">
        <x:v>4</x:v>
      </x:c>
      <x:c r="C4496" s="1" t="n">
        <x:v>6</x:v>
      </x:c>
      <x:c r="D4496" s="12" t="n">
        <x:v>0</x:v>
      </x:c>
      <x:c r="E4496" s="12" t="n">
        <x:v>0.242</x:v>
      </x:c>
      <x:c r="F4496" s="12" t="n">
        <x:v>0.24166666666666664</x:v>
      </x:c>
      <x:c r="G4496" s="12" t="n">
        <x:v>0</x:v>
      </x:c>
      <x:c r="H4496" s="1" t="n">
        <x:f>'Historical prices'!E4496</x:f>
        <x:v>1.05</x:v>
      </x:c>
      <x:c r="I4496" s="6" t="n">
        <x:f>'Historical prices'!D4496</x:f>
        <x:v>0.21559999999999999</x:v>
      </x:c>
      <x:c r="J4496" s="13" t="n">
        <x:f>D4496*I4496*H4496</x:f>
        <x:v>0</x:v>
      </x:c>
      <x:c r="K4496" s="13" t="n">
        <x:f>E4496*I4496*H4496</x:f>
        <x:v>0.05478396</x:v>
      </x:c>
      <x:c r="L4496" s="1" t="str">
        <x:f>TEXT(A4496,"mmm yyyy")</x:f>
        <x:v>Aug 2026</x:v>
      </x:c>
    </x:row>
    <x:row r="4497" ht="21" customHeight="1">
      <x:c r="A4497" s="10" t="n">
        <x:v>46242</x:v>
      </x:c>
      <x:c r="B4497" s="1" t="n">
        <x:v>4.5</x:v>
      </x:c>
      <x:c r="C4497" s="1" t="n">
        <x:v>6</x:v>
      </x:c>
      <x:c r="D4497" s="12" t="n">
        <x:v>0</x:v>
      </x:c>
      <x:c r="E4497" s="12" t="n">
        <x:v>0.30375</x:v>
      </x:c>
      <x:c r="F4497" s="12" t="n">
        <x:v>0.30166666666666664</x:v>
      </x:c>
      <x:c r="G4497" s="12" t="n">
        <x:v>0</x:v>
      </x:c>
      <x:c r="H4497" s="1" t="n">
        <x:f>'Historical prices'!E4497</x:f>
        <x:v>1.05</x:v>
      </x:c>
      <x:c r="I4497" s="6" t="n">
        <x:f>'Historical prices'!D4497</x:f>
        <x:v>0.21289999999999998</x:v>
      </x:c>
      <x:c r="J4497" s="13" t="n">
        <x:f>D4497*I4497*H4497</x:f>
        <x:v>0</x:v>
      </x:c>
      <x:c r="K4497" s="13" t="n">
        <x:f>E4497*I4497*H4497</x:f>
        <x:v>0.06790179375000001</x:v>
      </x:c>
      <x:c r="L4497" s="1" t="str">
        <x:f>TEXT(A4497,"mmm yyyy")</x:f>
        <x:v>Aug 2026</x:v>
      </x:c>
    </x:row>
    <x:row r="4498" ht="21" customHeight="1">
      <x:c r="A4498" s="10" t="n">
        <x:v>46242</x:v>
      </x:c>
      <x:c r="B4498" s="1" t="n">
        <x:v>5</x:v>
      </x:c>
      <x:c r="C4498" s="1" t="n">
        <x:v>6</x:v>
      </x:c>
      <x:c r="D4498" s="12" t="n">
        <x:v>0</x:v>
      </x:c>
      <x:c r="E4498" s="12" t="n">
        <x:v>0.24691666666666667</x:v>
      </x:c>
      <x:c r="F4498" s="12" t="n">
        <x:v>0.24658333333333332</x:v>
      </x:c>
      <x:c r="G4498" s="12" t="n">
        <x:v>0</x:v>
      </x:c>
      <x:c r="H4498" s="1" t="n">
        <x:f>'Historical prices'!E4498</x:f>
        <x:v>1.05</x:v>
      </x:c>
      <x:c r="I4498" s="6" t="n">
        <x:f>'Historical prices'!D4498</x:f>
        <x:v>0.2224</x:v>
      </x:c>
      <x:c r="J4498" s="13" t="n">
        <x:f>D4498*I4498*H4498</x:f>
        <x:v>0</x:v>
      </x:c>
      <x:c r="K4498" s="13" t="n">
        <x:f>E4498*I4498*H4498</x:f>
        <x:v>0.05765998</x:v>
      </x:c>
      <x:c r="L4498" s="1" t="str">
        <x:f>TEXT(A4498,"mmm yyyy")</x:f>
        <x:v>Aug 2026</x:v>
      </x:c>
    </x:row>
    <x:row r="4499" ht="21" customHeight="1">
      <x:c r="A4499" s="10" t="n">
        <x:v>46242</x:v>
      </x:c>
      <x:c r="B4499" s="1" t="n">
        <x:v>5.5</x:v>
      </x:c>
      <x:c r="C4499" s="1" t="n">
        <x:v>6</x:v>
      </x:c>
      <x:c r="D4499" s="12" t="n">
        <x:v>0</x:v>
      </x:c>
      <x:c r="E4499" s="12" t="n">
        <x:v>0.23516666666666666</x:v>
      </x:c>
      <x:c r="F4499" s="12" t="n">
        <x:v>0.23458333333333334</x:v>
      </x:c>
      <x:c r="G4499" s="12" t="n">
        <x:v>0</x:v>
      </x:c>
      <x:c r="H4499" s="1" t="n">
        <x:f>'Historical prices'!E4499</x:f>
        <x:v>1.05</x:v>
      </x:c>
      <x:c r="I4499" s="6" t="n">
        <x:f>'Historical prices'!D4499</x:f>
        <x:v>0.2184</x:v>
      </x:c>
      <x:c r="J4499" s="13" t="n">
        <x:f>D4499*I4499*H4499</x:f>
        <x:v>0</x:v>
      </x:c>
      <x:c r="K4499" s="13" t="n">
        <x:f>E4499*I4499*H4499</x:f>
        <x:v>0.053928420000000005</x:v>
      </x:c>
      <x:c r="L4499" s="1" t="str">
        <x:f>TEXT(A4499,"mmm yyyy")</x:f>
        <x:v>Aug 2026</x:v>
      </x:c>
    </x:row>
    <x:row r="4500" ht="21" customHeight="1">
      <x:c r="A4500" s="10" t="n">
        <x:v>46242</x:v>
      </x:c>
      <x:c r="B4500" s="1" t="n">
        <x:v>6</x:v>
      </x:c>
      <x:c r="C4500" s="1" t="n">
        <x:v>6</x:v>
      </x:c>
      <x:c r="D4500" s="12" t="n">
        <x:v>0</x:v>
      </x:c>
      <x:c r="E4500" s="12" t="n">
        <x:v>0.5326666666666666</x:v>
      </x:c>
      <x:c r="F4500" s="12" t="n">
        <x:v>0.5326666666666666</x:v>
      </x:c>
      <x:c r="G4500" s="12" t="n">
        <x:v>0</x:v>
      </x:c>
      <x:c r="H4500" s="1" t="n">
        <x:f>'Historical prices'!E4500</x:f>
        <x:v>1.05</x:v>
      </x:c>
      <x:c r="I4500" s="6" t="n">
        <x:f>'Historical prices'!D4500</x:f>
        <x:v>0.20559999999999998</x:v>
      </x:c>
      <x:c r="J4500" s="13" t="n">
        <x:f>D4500*I4500*H4500</x:f>
        <x:v>0</x:v>
      </x:c>
      <x:c r="K4500" s="13" t="n">
        <x:f>E4500*I4500*H4500</x:f>
        <x:v>0.11499207999999998</x:v>
      </x:c>
      <x:c r="L4500" s="1" t="str">
        <x:f>TEXT(A4500,"mmm yyyy")</x:f>
        <x:v>Aug 2026</x:v>
      </x:c>
    </x:row>
    <x:row r="4501" ht="21" customHeight="1">
      <x:c r="A4501" s="10" t="n">
        <x:v>46242</x:v>
      </x:c>
      <x:c r="B4501" s="1" t="n">
        <x:v>6.5</x:v>
      </x:c>
      <x:c r="C4501" s="1" t="n">
        <x:v>6</x:v>
      </x:c>
      <x:c r="D4501" s="12" t="n">
        <x:v>0</x:v>
      </x:c>
      <x:c r="E4501" s="12" t="n">
        <x:v>0.5539999999999999</x:v>
      </x:c>
      <x:c r="F4501" s="12" t="n">
        <x:v>0.5535833333333333</x:v>
      </x:c>
      <x:c r="G4501" s="12" t="n">
        <x:v>0</x:v>
      </x:c>
      <x:c r="H4501" s="1" t="n">
        <x:f>'Historical prices'!E4501</x:f>
        <x:v>1.05</x:v>
      </x:c>
      <x:c r="I4501" s="6" t="n">
        <x:f>'Historical prices'!D4501</x:f>
        <x:v>0.2119</x:v>
      </x:c>
      <x:c r="J4501" s="13" t="n">
        <x:f>D4501*I4501*H4501</x:f>
        <x:v>0</x:v>
      </x:c>
      <x:c r="K4501" s="13" t="n">
        <x:f>E4501*I4501*H4501</x:f>
        <x:v>0.12326222999999999</x:v>
      </x:c>
      <x:c r="L4501" s="1" t="str">
        <x:f>TEXT(A4501,"mmm yyyy")</x:f>
        <x:v>Aug 2026</x:v>
      </x:c>
    </x:row>
    <x:row r="4502" ht="21" customHeight="1">
      <x:c r="A4502" s="10" t="n">
        <x:v>46242</x:v>
      </x:c>
      <x:c r="B4502" s="1" t="n">
        <x:v>7</x:v>
      </x:c>
      <x:c r="C4502" s="1" t="n">
        <x:v>6</x:v>
      </x:c>
      <x:c r="D4502" s="12" t="n">
        <x:v>0</x:v>
      </x:c>
      <x:c r="E4502" s="12" t="n">
        <x:v>0.5500833333333334</x:v>
      </x:c>
      <x:c r="F4502" s="12" t="n">
        <x:v>0.5415</x:v>
      </x:c>
      <x:c r="G4502" s="12" t="n">
        <x:v>0</x:v>
      </x:c>
      <x:c r="H4502" s="1" t="n">
        <x:f>'Historical prices'!E4502</x:f>
        <x:v>1.05</x:v>
      </x:c>
      <x:c r="I4502" s="6" t="n">
        <x:f>'Historical prices'!D4502</x:f>
        <x:v>0.1433</x:v>
      </x:c>
      <x:c r="J4502" s="13" t="n">
        <x:f>D4502*I4502*H4502</x:f>
        <x:v>0</x:v>
      </x:c>
      <x:c r="K4502" s="13" t="n">
        <x:f>E4502*I4502*H4502</x:f>
        <x:v>0.08276828875000002</x:v>
      </x:c>
      <x:c r="L4502" s="1" t="str">
        <x:f>TEXT(A4502,"mmm yyyy")</x:f>
        <x:v>Aug 2026</x:v>
      </x:c>
    </x:row>
    <x:row r="4503" ht="21" customHeight="1">
      <x:c r="A4503" s="10" t="n">
        <x:v>46242</x:v>
      </x:c>
      <x:c r="B4503" s="1" t="n">
        <x:v>7.5</x:v>
      </x:c>
      <x:c r="C4503" s="1" t="n">
        <x:v>6</x:v>
      </x:c>
      <x:c r="D4503" s="12" t="n">
        <x:v>0</x:v>
      </x:c>
      <x:c r="E4503" s="12" t="n">
        <x:v>0.6249166666666667</x:v>
      </x:c>
      <x:c r="F4503" s="12" t="n">
        <x:v>0.6244166666666666</x:v>
      </x:c>
      <x:c r="G4503" s="12" t="n">
        <x:v>0</x:v>
      </x:c>
      <x:c r="H4503" s="1" t="n">
        <x:f>'Historical prices'!E4503</x:f>
        <x:v>1.05</x:v>
      </x:c>
      <x:c r="I4503" s="6" t="n">
        <x:f>'Historical prices'!D4503</x:f>
        <x:v>0.16820000000000002</x:v>
      </x:c>
      <x:c r="J4503" s="13" t="n">
        <x:f>D4503*I4503*H4503</x:f>
        <x:v>0</x:v>
      </x:c>
      <x:c r="K4503" s="13" t="n">
        <x:f>E4503*I4503*H4503</x:f>
        <x:v>0.1103665325</x:v>
      </x:c>
      <x:c r="L4503" s="1" t="str">
        <x:f>TEXT(A4503,"mmm yyyy")</x:f>
        <x:v>Aug 2026</x:v>
      </x:c>
    </x:row>
    <x:row r="4504" ht="21" customHeight="1">
      <x:c r="A4504" s="10" t="n">
        <x:v>46242</x:v>
      </x:c>
      <x:c r="B4504" s="1" t="n">
        <x:v>8</x:v>
      </x:c>
      <x:c r="C4504" s="1" t="n">
        <x:v>6</x:v>
      </x:c>
      <x:c r="D4504" s="12" t="n">
        <x:v>0</x:v>
      </x:c>
      <x:c r="E4504" s="12" t="n">
        <x:v>0.5553333333333333</x:v>
      </x:c>
      <x:c r="F4504" s="12" t="n">
        <x:v>0.55475</x:v>
      </x:c>
      <x:c r="G4504" s="12" t="n">
        <x:v>0</x:v>
      </x:c>
      <x:c r="H4504" s="1" t="n">
        <x:f>'Historical prices'!E4504</x:f>
        <x:v>1.05</x:v>
      </x:c>
      <x:c r="I4504" s="6" t="n">
        <x:f>'Historical prices'!D4504</x:f>
        <x:v>0.1422</x:v>
      </x:c>
      <x:c r="J4504" s="13" t="n">
        <x:f>D4504*I4504*H4504</x:f>
        <x:v>0</x:v>
      </x:c>
      <x:c r="K4504" s="13" t="n">
        <x:f>E4504*I4504*H4504</x:f>
        <x:v>0.08291682</x:v>
      </x:c>
      <x:c r="L4504" s="1" t="str">
        <x:f>TEXT(A4504,"mmm yyyy")</x:f>
        <x:v>Aug 2026</x:v>
      </x:c>
    </x:row>
    <x:row r="4505" ht="21" customHeight="1">
      <x:c r="A4505" s="10" t="n">
        <x:v>46242</x:v>
      </x:c>
      <x:c r="B4505" s="1" t="n">
        <x:v>8.5</x:v>
      </x:c>
      <x:c r="C4505" s="1" t="n">
        <x:v>6</x:v>
      </x:c>
      <x:c r="D4505" s="12" t="n">
        <x:v>0</x:v>
      </x:c>
      <x:c r="E4505" s="12" t="n">
        <x:v>0.5083333333333333</x:v>
      </x:c>
      <x:c r="F4505" s="12" t="n">
        <x:v>0.5058333333333334</x:v>
      </x:c>
      <x:c r="G4505" s="12" t="n">
        <x:v>0</x:v>
      </x:c>
      <x:c r="H4505" s="1" t="n">
        <x:f>'Historical prices'!E4505</x:f>
        <x:v>1.05</x:v>
      </x:c>
      <x:c r="I4505" s="6" t="n">
        <x:f>'Historical prices'!D4505</x:f>
        <x:v>0.1245</x:v>
      </x:c>
      <x:c r="J4505" s="13" t="n">
        <x:f>D4505*I4505*H4505</x:f>
        <x:v>0</x:v>
      </x:c>
      <x:c r="K4505" s="13" t="n">
        <x:f>E4505*I4505*H4505</x:f>
        <x:v>0.066451875</x:v>
      </x:c>
      <x:c r="L4505" s="1" t="str">
        <x:f>TEXT(A4505,"mmm yyyy")</x:f>
        <x:v>Aug 2026</x:v>
      </x:c>
    </x:row>
    <x:row r="4506" ht="21" customHeight="1">
      <x:c r="A4506" s="10" t="n">
        <x:v>46242</x:v>
      </x:c>
      <x:c r="B4506" s="1" t="n">
        <x:v>9</x:v>
      </x:c>
      <x:c r="C4506" s="1" t="n">
        <x:v>6</x:v>
      </x:c>
      <x:c r="D4506" s="12" t="n">
        <x:v>0</x:v>
      </x:c>
      <x:c r="E4506" s="12" t="n">
        <x:v>0.5085833333333334</x:v>
      </x:c>
      <x:c r="F4506" s="12" t="n">
        <x:v>0.5084166666666666</x:v>
      </x:c>
      <x:c r="G4506" s="12" t="n">
        <x:v>0</x:v>
      </x:c>
      <x:c r="H4506" s="1" t="n">
        <x:f>'Historical prices'!E4506</x:f>
        <x:v>1.05</x:v>
      </x:c>
      <x:c r="I4506" s="6" t="n">
        <x:f>'Historical prices'!D4506</x:f>
        <x:v>0.1153</x:v>
      </x:c>
      <x:c r="J4506" s="13" t="n">
        <x:f>D4506*I4506*H4506</x:f>
        <x:v>0</x:v>
      </x:c>
      <x:c r="K4506" s="13" t="n">
        <x:f>E4506*I4506*H4506</x:f>
        <x:v>0.06157164125000001</x:v>
      </x:c>
      <x:c r="L4506" s="1" t="str">
        <x:f>TEXT(A4506,"mmm yyyy")</x:f>
        <x:v>Aug 2026</x:v>
      </x:c>
    </x:row>
    <x:row r="4507" ht="21" customHeight="1">
      <x:c r="A4507" s="10" t="n">
        <x:v>46242</x:v>
      </x:c>
      <x:c r="B4507" s="1" t="n">
        <x:v>9.5</x:v>
      </x:c>
      <x:c r="C4507" s="1" t="n">
        <x:v>6</x:v>
      </x:c>
      <x:c r="D4507" s="12" t="n">
        <x:v>0</x:v>
      </x:c>
      <x:c r="E4507" s="12" t="n">
        <x:v>0.6641666666666666</x:v>
      </x:c>
      <x:c r="F4507" s="12" t="n">
        <x:v>0.6579999999999999</x:v>
      </x:c>
      <x:c r="G4507" s="12" t="n">
        <x:v>0</x:v>
      </x:c>
      <x:c r="H4507" s="1" t="n">
        <x:f>'Historical prices'!E4507</x:f>
        <x:v>1.05</x:v>
      </x:c>
      <x:c r="I4507" s="6" t="n">
        <x:f>'Historical prices'!D4507</x:f>
        <x:v>0.0768</x:v>
      </x:c>
      <x:c r="J4507" s="13" t="n">
        <x:f>D4507*I4507*H4507</x:f>
        <x:v>0</x:v>
      </x:c>
      <x:c r="K4507" s="13" t="n">
        <x:f>E4507*I4507*H4507</x:f>
        <x:v>0.05355839999999999</x:v>
      </x:c>
      <x:c r="L4507" s="1" t="str">
        <x:f>TEXT(A4507,"mmm yyyy")</x:f>
        <x:v>Aug 2026</x:v>
      </x:c>
    </x:row>
    <x:row r="4508" ht="21" customHeight="1">
      <x:c r="A4508" s="10" t="n">
        <x:v>46242</x:v>
      </x:c>
      <x:c r="B4508" s="1" t="n">
        <x:v>10</x:v>
      </x:c>
      <x:c r="C4508" s="1" t="n">
        <x:v>6</x:v>
      </x:c>
      <x:c r="D4508" s="12" t="n">
        <x:v>0</x:v>
      </x:c>
      <x:c r="E4508" s="12" t="n">
        <x:v>0.6668333333333334</x:v>
      </x:c>
      <x:c r="F4508" s="12" t="n">
        <x:v>0.6666666666666667</x:v>
      </x:c>
      <x:c r="G4508" s="12" t="n">
        <x:v>0</x:v>
      </x:c>
      <x:c r="H4508" s="1" t="n">
        <x:f>'Historical prices'!E4508</x:f>
        <x:v>1.05</x:v>
      </x:c>
      <x:c r="I4508" s="6" t="n">
        <x:f>'Historical prices'!D4508</x:f>
        <x:v>0.0154</x:v>
      </x:c>
      <x:c r="J4508" s="13" t="n">
        <x:f>D4508*I4508*H4508</x:f>
        <x:v>0</x:v>
      </x:c>
      <x:c r="K4508" s="13" t="n">
        <x:f>E4508*I4508*H4508</x:f>
        <x:v>0.010782695000000002</x:v>
      </x:c>
      <x:c r="L4508" s="1" t="str">
        <x:f>TEXT(A4508,"mmm yyyy")</x:f>
        <x:v>Aug 2026</x:v>
      </x:c>
    </x:row>
    <x:row r="4509" ht="21" customHeight="1">
      <x:c r="A4509" s="10" t="n">
        <x:v>46242</x:v>
      </x:c>
      <x:c r="B4509" s="1" t="n">
        <x:v>10.5</x:v>
      </x:c>
      <x:c r="C4509" s="1" t="n">
        <x:v>6</x:v>
      </x:c>
      <x:c r="D4509" s="12" t="n">
        <x:v>0</x:v>
      </x:c>
      <x:c r="E4509" s="12" t="n">
        <x:v>0.57075</x:v>
      </x:c>
      <x:c r="F4509" s="12" t="n">
        <x:v>0.5680833333333333</x:v>
      </x:c>
      <x:c r="G4509" s="12" t="n">
        <x:v>0</x:v>
      </x:c>
      <x:c r="H4509" s="1" t="n">
        <x:f>'Historical prices'!E4509</x:f>
        <x:v>1.05</x:v>
      </x:c>
      <x:c r="I4509" s="6" t="n">
        <x:f>'Historical prices'!D4509</x:f>
        <x:v>-0.0123</x:v>
      </x:c>
      <x:c r="J4509" s="13" t="n">
        <x:f>D4509*I4509*H4509</x:f>
        <x:v>0</x:v>
      </x:c>
      <x:c r="K4509" s="13" t="n">
        <x:f>E4509*I4509*H4509</x:f>
        <x:v>-0.00737123625</x:v>
      </x:c>
      <x:c r="L4509" s="1" t="str">
        <x:f>TEXT(A4509,"mmm yyyy")</x:f>
        <x:v>Aug 2026</x:v>
      </x:c>
    </x:row>
    <x:row r="4510" ht="21" customHeight="1">
      <x:c r="A4510" s="10" t="n">
        <x:v>46242</x:v>
      </x:c>
      <x:c r="B4510" s="1" t="n">
        <x:v>11</x:v>
      </x:c>
      <x:c r="C4510" s="1" t="n">
        <x:v>6</x:v>
      </x:c>
      <x:c r="D4510" s="12" t="n">
        <x:v>0</x:v>
      </x:c>
      <x:c r="E4510" s="12" t="n">
        <x:v>0.5849166666666666</x:v>
      </x:c>
      <x:c r="F4510" s="12" t="n">
        <x:v>0.5845</x:v>
      </x:c>
      <x:c r="G4510" s="12" t="n">
        <x:v>0</x:v>
      </x:c>
      <x:c r="H4510" s="1" t="n">
        <x:f>'Historical prices'!E4510</x:f>
        <x:v>1.05</x:v>
      </x:c>
      <x:c r="I4510" s="6" t="n">
        <x:f>'Historical prices'!D4510</x:f>
        <x:v>-0.008199999999999999</x:v>
      </x:c>
      <x:c r="J4510" s="13" t="n">
        <x:f>D4510*I4510*H4510</x:f>
        <x:v>0</x:v>
      </x:c>
      <x:c r="K4510" s="13" t="n">
        <x:f>E4510*I4510*H4510</x:f>
        <x:v>-0.005036132499999999</x:v>
      </x:c>
      <x:c r="L4510" s="1" t="str">
        <x:f>TEXT(A4510,"mmm yyyy")</x:f>
        <x:v>Aug 2026</x:v>
      </x:c>
    </x:row>
    <x:row r="4511" ht="21" customHeight="1">
      <x:c r="A4511" s="10" t="n">
        <x:v>46242</x:v>
      </x:c>
      <x:c r="B4511" s="1" t="n">
        <x:v>11.5</x:v>
      </x:c>
      <x:c r="C4511" s="1" t="n">
        <x:v>6</x:v>
      </x:c>
      <x:c r="D4511" s="12" t="n">
        <x:v>0.33175</x:v>
      </x:c>
      <x:c r="E4511" s="12" t="n">
        <x:v>0.4585</x:v>
      </x:c>
      <x:c r="F4511" s="12" t="n">
        <x:v>0.11575</x:v>
      </x:c>
      <x:c r="G4511" s="12" t="n">
        <x:v>0</x:v>
      </x:c>
      <x:c r="H4511" s="1" t="n">
        <x:f>'Historical prices'!E4511</x:f>
        <x:v>1.05</x:v>
      </x:c>
      <x:c r="I4511" s="6" t="n">
        <x:f>'Historical prices'!D4511</x:f>
        <x:v>-0.0259</x:v>
      </x:c>
      <x:c r="J4511" s="13" t="n">
        <x:f>D4511*I4511*H4511</x:f>
        <x:v>-0.00902194125</x:v>
      </x:c>
      <x:c r="K4511" s="13" t="n">
        <x:f>E4511*I4511*H4511</x:f>
        <x:v>-0.012468907500000001</x:v>
      </x:c>
      <x:c r="L4511" s="1" t="str">
        <x:f>TEXT(A4511,"mmm yyyy")</x:f>
        <x:v>Aug 2026</x:v>
      </x:c>
    </x:row>
    <x:row r="4512" ht="21" customHeight="1">
      <x:c r="A4512" s="10" t="n">
        <x:v>46242</x:v>
      </x:c>
      <x:c r="B4512" s="1" t="n">
        <x:v>12</x:v>
      </x:c>
      <x:c r="C4512" s="1" t="n">
        <x:v>6</x:v>
      </x:c>
      <x:c r="D4512" s="12" t="n">
        <x:v>4.39225</x:v>
      </x:c>
      <x:c r="E4512" s="12" t="n">
        <x:v>0.58525</x:v>
      </x:c>
      <x:c r="F4512" s="12" t="n">
        <x:v>0</x:v>
      </x:c>
      <x:c r="G4512" s="12" t="n">
        <x:v>3.8070000000000004</x:v>
      </x:c>
      <x:c r="H4512" s="1" t="n">
        <x:f>'Historical prices'!E4512</x:f>
        <x:v>1.05</x:v>
      </x:c>
      <x:c r="I4512" s="6" t="n">
        <x:f>'Historical prices'!D4512</x:f>
        <x:v>-0.0297</x:v>
      </x:c>
      <x:c r="J4512" s="13" t="n">
        <x:f>D4512*I4512*H4512</x:f>
        <x:v>-0.13697231625</x:v>
      </x:c>
      <x:c r="K4512" s="13" t="n">
        <x:f>E4512*I4512*H4512</x:f>
        <x:v>-0.018251021250000003</x:v>
      </x:c>
      <x:c r="L4512" s="1" t="str">
        <x:f>TEXT(A4512,"mmm yyyy")</x:f>
        <x:v>Aug 2026</x:v>
      </x:c>
    </x:row>
    <x:row r="4513" ht="21" customHeight="1">
      <x:c r="A4513" s="10" t="n">
        <x:v>46242</x:v>
      </x:c>
      <x:c r="B4513" s="1" t="n">
        <x:v>12.5</x:v>
      </x:c>
      <x:c r="C4513" s="1" t="n">
        <x:v>6</x:v>
      </x:c>
      <x:c r="D4513" s="12" t="n">
        <x:v>5.12525</x:v>
      </x:c>
      <x:c r="E4513" s="12" t="n">
        <x:v>0.59125</x:v>
      </x:c>
      <x:c r="F4513" s="12" t="n">
        <x:v>0</x:v>
      </x:c>
      <x:c r="G4513" s="12" t="n">
        <x:v>4.533999999999999</x:v>
      </x:c>
      <x:c r="H4513" s="1" t="n">
        <x:f>'Historical prices'!E4513</x:f>
        <x:v>1.05</x:v>
      </x:c>
      <x:c r="I4513" s="6" t="n">
        <x:f>'Historical prices'!D4513</x:f>
        <x:v>-0.04</x:v>
      </x:c>
      <x:c r="J4513" s="13" t="n">
        <x:f>D4513*I4513*H4513</x:f>
        <x:v>-0.21526050000000005</x:v>
      </x:c>
      <x:c r="K4513" s="13" t="n">
        <x:f>E4513*I4513*H4513</x:f>
        <x:v>-0.024832500000000007</x:v>
      </x:c>
      <x:c r="L4513" s="1" t="str">
        <x:f>TEXT(A4513,"mmm yyyy")</x:f>
        <x:v>Aug 2026</x:v>
      </x:c>
    </x:row>
    <x:row r="4514" ht="21" customHeight="1">
      <x:c r="A4514" s="10" t="n">
        <x:v>46242</x:v>
      </x:c>
      <x:c r="B4514" s="1" t="n">
        <x:v>13</x:v>
      </x:c>
      <x:c r="C4514" s="1" t="n">
        <x:v>6</x:v>
      </x:c>
      <x:c r="D4514" s="12" t="n">
        <x:v>5.027</x:v>
      </x:c>
      <x:c r="E4514" s="12" t="n">
        <x:v>0.5800000000000001</x:v>
      </x:c>
      <x:c r="F4514" s="12" t="n">
        <x:v>0</x:v>
      </x:c>
      <x:c r="G4514" s="12" t="n">
        <x:v>4.447</x:v>
      </x:c>
      <x:c r="H4514" s="1" t="n">
        <x:f>'Historical prices'!E4514</x:f>
        <x:v>1.05</x:v>
      </x:c>
      <x:c r="I4514" s="6" t="n">
        <x:f>'Historical prices'!D4514</x:f>
        <x:v>-0.0273</x:v>
      </x:c>
      <x:c r="J4514" s="13" t="n">
        <x:f>D4514*I4514*H4514</x:f>
        <x:v>-0.144098955</x:v>
      </x:c>
      <x:c r="K4514" s="13" t="n">
        <x:f>E4514*I4514*H4514</x:f>
        <x:v>-0.016625700000000004</x:v>
      </x:c>
      <x:c r="L4514" s="1" t="str">
        <x:f>TEXT(A4514,"mmm yyyy")</x:f>
        <x:v>Aug 2026</x:v>
      </x:c>
    </x:row>
    <x:row r="4515" ht="21" customHeight="1">
      <x:c r="A4515" s="10" t="n">
        <x:v>46242</x:v>
      </x:c>
      <x:c r="B4515" s="1" t="n">
        <x:v>13.5</x:v>
      </x:c>
      <x:c r="C4515" s="1" t="n">
        <x:v>6</x:v>
      </x:c>
      <x:c r="D4515" s="12" t="n">
        <x:v>5.40175</x:v>
      </x:c>
      <x:c r="E4515" s="12" t="n">
        <x:v>0.61675</x:v>
      </x:c>
      <x:c r="F4515" s="12" t="n">
        <x:v>0</x:v>
      </x:c>
      <x:c r="G4515" s="12" t="n">
        <x:v>4.785</x:v>
      </x:c>
      <x:c r="H4515" s="1" t="n">
        <x:f>'Historical prices'!E4515</x:f>
        <x:v>1.05</x:v>
      </x:c>
      <x:c r="I4515" s="6" t="n">
        <x:f>'Historical prices'!D4515</x:f>
        <x:v>-0.0321</x:v>
      </x:c>
      <x:c r="J4515" s="13" t="n">
        <x:f>D4515*I4515*H4515</x:f>
        <x:v>-0.18206598375</x:v>
      </x:c>
      <x:c r="K4515" s="13" t="n">
        <x:f>E4515*I4515*H4515</x:f>
        <x:v>-0.020787558749999997</x:v>
      </x:c>
      <x:c r="L4515" s="1" t="str">
        <x:f>TEXT(A4515,"mmm yyyy")</x:f>
        <x:v>Aug 2026</x:v>
      </x:c>
    </x:row>
    <x:row r="4516" ht="21" customHeight="1">
      <x:c r="A4516" s="10" t="n">
        <x:v>46242</x:v>
      </x:c>
      <x:c r="B4516" s="1" t="n">
        <x:v>14</x:v>
      </x:c>
      <x:c r="C4516" s="1" t="n">
        <x:v>6</x:v>
      </x:c>
      <x:c r="D4516" s="12" t="n">
        <x:v>5.37</x:v>
      </x:c>
      <x:c r="E4516" s="12" t="n">
        <x:v>0.713</x:v>
      </x:c>
      <x:c r="F4516" s="12" t="n">
        <x:v>0</x:v>
      </x:c>
      <x:c r="G4516" s="12" t="n">
        <x:v>4.657</x:v>
      </x:c>
      <x:c r="H4516" s="1" t="n">
        <x:f>'Historical prices'!E4516</x:f>
        <x:v>1.05</x:v>
      </x:c>
      <x:c r="I4516" s="6" t="n">
        <x:f>'Historical prices'!D4516</x:f>
        <x:v>-0.0282</x:v>
      </x:c>
      <x:c r="J4516" s="13" t="n">
        <x:f>D4516*I4516*H4516</x:f>
        <x:v>-0.15900570000000003</x:v>
      </x:c>
      <x:c r="K4516" s="13" t="n">
        <x:f>E4516*I4516*H4516</x:f>
        <x:v>-0.02111193</x:v>
      </x:c>
      <x:c r="L4516" s="1" t="str">
        <x:f>TEXT(A4516,"mmm yyyy")</x:f>
        <x:v>Aug 2026</x:v>
      </x:c>
    </x:row>
    <x:row r="4517" ht="21" customHeight="1">
      <x:c r="A4517" s="10" t="n">
        <x:v>46242</x:v>
      </x:c>
      <x:c r="B4517" s="1" t="n">
        <x:v>14.5</x:v>
      </x:c>
      <x:c r="C4517" s="1" t="n">
        <x:v>6</x:v>
      </x:c>
      <x:c r="D4517" s="12" t="n">
        <x:v>5.029</x:v>
      </x:c>
      <x:c r="E4517" s="12" t="n">
        <x:v>0.669</x:v>
      </x:c>
      <x:c r="F4517" s="12" t="n">
        <x:v>0</x:v>
      </x:c>
      <x:c r="G4517" s="12" t="n">
        <x:v>4.36</x:v>
      </x:c>
      <x:c r="H4517" s="1" t="n">
        <x:f>'Historical prices'!E4517</x:f>
        <x:v>1.05</x:v>
      </x:c>
      <x:c r="I4517" s="6" t="n">
        <x:f>'Historical prices'!D4517</x:f>
        <x:v>-0.028300000000000002</x:v>
      </x:c>
      <x:c r="J4517" s="13" t="n">
        <x:f>D4517*I4517*H4517</x:f>
        <x:v>-0.14943673500000004</x:v>
      </x:c>
      <x:c r="K4517" s="13" t="n">
        <x:f>E4517*I4517*H4517</x:f>
        <x:v>-0.019879335000000005</x:v>
      </x:c>
      <x:c r="L4517" s="1" t="str">
        <x:f>TEXT(A4517,"mmm yyyy")</x:f>
        <x:v>Aug 2026</x:v>
      </x:c>
    </x:row>
    <x:row r="4518" ht="21" customHeight="1">
      <x:c r="A4518" s="10" t="n">
        <x:v>46242</x:v>
      </x:c>
      <x:c r="B4518" s="1" t="n">
        <x:v>15</x:v>
      </x:c>
      <x:c r="C4518" s="1" t="n">
        <x:v>6</x:v>
      </x:c>
      <x:c r="D4518" s="12" t="n">
        <x:v>2.4234999999999998</x:v>
      </x:c>
      <x:c r="E4518" s="12" t="n">
        <x:v>0.6785</x:v>
      </x:c>
      <x:c r="F4518" s="12" t="n">
        <x:v>0</x:v>
      </x:c>
      <x:c r="G4518" s="12" t="n">
        <x:v>1.745</x:v>
      </x:c>
      <x:c r="H4518" s="1" t="n">
        <x:f>'Historical prices'!E4518</x:f>
        <x:v>1.05</x:v>
      </x:c>
      <x:c r="I4518" s="6" t="n">
        <x:f>'Historical prices'!D4518</x:f>
        <x:v>-0.0271</x:v>
      </x:c>
      <x:c r="J4518" s="13" t="n">
        <x:f>D4518*I4518*H4518</x:f>
        <x:v>-0.0689606925</x:v>
      </x:c>
      <x:c r="K4518" s="13" t="n">
        <x:f>E4518*I4518*H4518</x:f>
        <x:v>-0.0193067175</x:v>
      </x:c>
      <x:c r="L4518" s="1" t="str">
        <x:f>TEXT(A4518,"mmm yyyy")</x:f>
        <x:v>Aug 2026</x:v>
      </x:c>
    </x:row>
    <x:row r="4519" ht="21" customHeight="1">
      <x:c r="A4519" s="10" t="n">
        <x:v>46242</x:v>
      </x:c>
      <x:c r="B4519" s="1" t="n">
        <x:v>15.5</x:v>
      </x:c>
      <x:c r="C4519" s="1" t="n">
        <x:v>6</x:v>
      </x:c>
      <x:c r="D4519" s="12" t="n">
        <x:v>0.6352500000000001</x:v>
      </x:c>
      <x:c r="E4519" s="12" t="n">
        <x:v>0.4432499999999999</x:v>
      </x:c>
      <x:c r="F4519" s="12" t="n">
        <x:v>0</x:v>
      </x:c>
      <x:c r="G4519" s="12" t="n">
        <x:v>0.19299999999999998</x:v>
      </x:c>
      <x:c r="H4519" s="1" t="n">
        <x:f>'Historical prices'!E4519</x:f>
        <x:v>1.05</x:v>
      </x:c>
      <x:c r="I4519" s="6" t="n">
        <x:f>'Historical prices'!D4519</x:f>
        <x:v>-0.019799999999999998</x:v>
      </x:c>
      <x:c r="J4519" s="13" t="n">
        <x:f>D4519*I4519*H4519</x:f>
        <x:v>-0.013206847500000002</x:v>
      </x:c>
      <x:c r="K4519" s="13" t="n">
        <x:f>E4519*I4519*H4519</x:f>
        <x:v>-0.009215167499999998</x:v>
      </x:c>
      <x:c r="L4519" s="1" t="str">
        <x:f>TEXT(A4519,"mmm yyyy")</x:f>
        <x:v>Aug 2026</x:v>
      </x:c>
    </x:row>
    <x:row r="4520" ht="21" customHeight="1">
      <x:c r="A4520" s="10" t="n">
        <x:v>46242</x:v>
      </x:c>
      <x:c r="B4520" s="1" t="n">
        <x:v>16</x:v>
      </x:c>
      <x:c r="C4520" s="1" t="n">
        <x:v>6</x:v>
      </x:c>
      <x:c r="D4520" s="12" t="n">
        <x:v>0.069</x:v>
      </x:c>
      <x:c r="E4520" s="12" t="n">
        <x:v>0.4608333333333333</x:v>
      </x:c>
      <x:c r="F4520" s="12" t="n">
        <x:v>0.3895</x:v>
      </x:c>
      <x:c r="G4520" s="12" t="n">
        <x:v>0</x:v>
      </x:c>
      <x:c r="H4520" s="1" t="n">
        <x:f>'Historical prices'!E4520</x:f>
        <x:v>1.05</x:v>
      </x:c>
      <x:c r="I4520" s="6" t="n">
        <x:f>'Historical prices'!D4520</x:f>
        <x:v>0.15380000000000002</x:v>
      </x:c>
      <x:c r="J4520" s="13" t="n">
        <x:f>D4520*I4520*H4520</x:f>
        <x:v>0.011142810000000003</x:v>
      </x:c>
      <x:c r="K4520" s="13" t="n">
        <x:f>E4520*I4520*H4520</x:f>
        <x:v>0.07441997500000001</x:v>
      </x:c>
      <x:c r="L4520" s="1" t="str">
        <x:f>TEXT(A4520,"mmm yyyy")</x:f>
        <x:v>Aug 2026</x:v>
      </x:c>
    </x:row>
    <x:row r="4521" ht="21" customHeight="1">
      <x:c r="A4521" s="10" t="n">
        <x:v>46242</x:v>
      </x:c>
      <x:c r="B4521" s="1" t="n">
        <x:v>16.5</x:v>
      </x:c>
      <x:c r="C4521" s="1" t="n">
        <x:v>6</x:v>
      </x:c>
      <x:c r="D4521" s="12" t="n">
        <x:v>0</x:v>
      </x:c>
      <x:c r="E4521" s="12" t="n">
        <x:v>0.43049999999999994</x:v>
      </x:c>
      <x:c r="F4521" s="12" t="n">
        <x:v>0.4303333333333333</x:v>
      </x:c>
      <x:c r="G4521" s="12" t="n">
        <x:v>0</x:v>
      </x:c>
      <x:c r="H4521" s="1" t="n">
        <x:f>'Historical prices'!E4521</x:f>
        <x:v>1.05</x:v>
      </x:c>
      <x:c r="I4521" s="6" t="n">
        <x:f>'Historical prices'!D4521</x:f>
        <x:v>0.2</x:v>
      </x:c>
      <x:c r="J4521" s="13" t="n">
        <x:f>D4521*I4521*H4521</x:f>
        <x:v>0</x:v>
      </x:c>
      <x:c r="K4521" s="13" t="n">
        <x:f>E4521*I4521*H4521</x:f>
        <x:v>0.090405</x:v>
      </x:c>
      <x:c r="L4521" s="1" t="str">
        <x:f>TEXT(A4521,"mmm yyyy")</x:f>
        <x:v>Aug 2026</x:v>
      </x:c>
    </x:row>
    <x:row r="4522" ht="21" customHeight="1">
      <x:c r="A4522" s="10" t="n">
        <x:v>46242</x:v>
      </x:c>
      <x:c r="B4522" s="1" t="n">
        <x:v>17</x:v>
      </x:c>
      <x:c r="C4522" s="1" t="n">
        <x:v>6</x:v>
      </x:c>
      <x:c r="D4522" s="12" t="n">
        <x:v>0</x:v>
      </x:c>
      <x:c r="E4522" s="12" t="n">
        <x:v>0.393</x:v>
      </x:c>
      <x:c r="F4522" s="12" t="n">
        <x:v>0.39266666666666666</x:v>
      </x:c>
      <x:c r="G4522" s="12" t="n">
        <x:v>0</x:v>
      </x:c>
      <x:c r="H4522" s="1" t="n">
        <x:f>'Historical prices'!E4522</x:f>
        <x:v>1.05</x:v>
      </x:c>
      <x:c r="I4522" s="6" t="n">
        <x:f>'Historical prices'!D4522</x:f>
        <x:v>0.3029</x:v>
      </x:c>
      <x:c r="J4522" s="13" t="n">
        <x:f>D4522*I4522*H4522</x:f>
        <x:v>0</x:v>
      </x:c>
      <x:c r="K4522" s="13" t="n">
        <x:f>E4522*I4522*H4522</x:f>
        <x:v>0.12499168500000002</x:v>
      </x:c>
      <x:c r="L4522" s="1" t="str">
        <x:f>TEXT(A4522,"mmm yyyy")</x:f>
        <x:v>Aug 2026</x:v>
      </x:c>
    </x:row>
    <x:row r="4523" ht="21" customHeight="1">
      <x:c r="A4523" s="10" t="n">
        <x:v>46242</x:v>
      </x:c>
      <x:c r="B4523" s="1" t="n">
        <x:v>17.5</x:v>
      </x:c>
      <x:c r="C4523" s="1" t="n">
        <x:v>6</x:v>
      </x:c>
      <x:c r="D4523" s="12" t="n">
        <x:v>0</x:v>
      </x:c>
      <x:c r="E4523" s="12" t="n">
        <x:v>0.38916666666666666</x:v>
      </x:c>
      <x:c r="F4523" s="12" t="n">
        <x:v>0.38675</x:v>
      </x:c>
      <x:c r="G4523" s="12" t="n">
        <x:v>0</x:v>
      </x:c>
      <x:c r="H4523" s="1" t="n">
        <x:f>'Historical prices'!E4523</x:f>
        <x:v>1.05</x:v>
      </x:c>
      <x:c r="I4523" s="6" t="n">
        <x:f>'Historical prices'!D4523</x:f>
        <x:v>0.3218</x:v>
      </x:c>
      <x:c r="J4523" s="13" t="n">
        <x:f>D4523*I4523*H4523</x:f>
        <x:v>0</x:v>
      </x:c>
      <x:c r="K4523" s="13" t="n">
        <x:f>E4523*I4523*H4523</x:f>
        <x:v>0.131495525</x:v>
      </x:c>
      <x:c r="L4523" s="1" t="str">
        <x:f>TEXT(A4523,"mmm yyyy")</x:f>
        <x:v>Aug 2026</x:v>
      </x:c>
    </x:row>
    <x:row r="4524" ht="21" customHeight="1">
      <x:c r="A4524" s="10" t="n">
        <x:v>46242</x:v>
      </x:c>
      <x:c r="B4524" s="1" t="n">
        <x:v>18</x:v>
      </x:c>
      <x:c r="C4524" s="1" t="n">
        <x:v>6</x:v>
      </x:c>
      <x:c r="D4524" s="12" t="n">
        <x:v>0</x:v>
      </x:c>
      <x:c r="E4524" s="12" t="n">
        <x:v>0.5771666666666666</x:v>
      </x:c>
      <x:c r="F4524" s="12" t="n">
        <x:v>0.5638333333333333</x:v>
      </x:c>
      <x:c r="G4524" s="12" t="n">
        <x:v>0</x:v>
      </x:c>
      <x:c r="H4524" s="1" t="n">
        <x:f>'Historical prices'!E4524</x:f>
        <x:v>1.05</x:v>
      </x:c>
      <x:c r="I4524" s="6" t="n">
        <x:f>'Historical prices'!D4524</x:f>
        <x:v>0.3722</x:v>
      </x:c>
      <x:c r="J4524" s="13" t="n">
        <x:f>D4524*I4524*H4524</x:f>
        <x:v>0</x:v>
      </x:c>
      <x:c r="K4524" s="13" t="n">
        <x:f>E4524*I4524*H4524</x:f>
        <x:v>0.22556250499999997</x:v>
      </x:c>
      <x:c r="L4524" s="1" t="str">
        <x:f>TEXT(A4524,"mmm yyyy")</x:f>
        <x:v>Aug 2026</x:v>
      </x:c>
    </x:row>
    <x:row r="4525" ht="21" customHeight="1">
      <x:c r="A4525" s="10" t="n">
        <x:v>46242</x:v>
      </x:c>
      <x:c r="B4525" s="1" t="n">
        <x:v>18.5</x:v>
      </x:c>
      <x:c r="C4525" s="1" t="n">
        <x:v>6</x:v>
      </x:c>
      <x:c r="D4525" s="12" t="n">
        <x:v>0</x:v>
      </x:c>
      <x:c r="E4525" s="12" t="n">
        <x:v>0.8518333333333332</x:v>
      </x:c>
      <x:c r="F4525" s="12" t="n">
        <x:v>0.8514166666666667</x:v>
      </x:c>
      <x:c r="G4525" s="12" t="n">
        <x:v>0</x:v>
      </x:c>
      <x:c r="H4525" s="1" t="n">
        <x:f>'Historical prices'!E4525</x:f>
        <x:v>1.05</x:v>
      </x:c>
      <x:c r="I4525" s="6" t="n">
        <x:f>'Historical prices'!D4525</x:f>
        <x:v>0.3764</x:v>
      </x:c>
      <x:c r="J4525" s="13" t="n">
        <x:f>D4525*I4525*H4525</x:f>
        <x:v>0</x:v>
      </x:c>
      <x:c r="K4525" s="13" t="n">
        <x:f>E4525*I4525*H4525</x:f>
        <x:v>0.33666157</x:v>
      </x:c>
      <x:c r="L4525" s="1" t="str">
        <x:f>TEXT(A4525,"mmm yyyy")</x:f>
        <x:v>Aug 2026</x:v>
      </x:c>
    </x:row>
    <x:row r="4526" ht="21" customHeight="1">
      <x:c r="A4526" s="10" t="n">
        <x:v>46242</x:v>
      </x:c>
      <x:c r="B4526" s="1" t="n">
        <x:v>19</x:v>
      </x:c>
      <x:c r="C4526" s="1" t="n">
        <x:v>6</x:v>
      </x:c>
      <x:c r="D4526" s="12" t="n">
        <x:v>0</x:v>
      </x:c>
      <x:c r="E4526" s="12" t="n">
        <x:v>0.6088333333333333</x:v>
      </x:c>
      <x:c r="F4526" s="12" t="n">
        <x:v>0.6085</x:v>
      </x:c>
      <x:c r="G4526" s="12" t="n">
        <x:v>0</x:v>
      </x:c>
      <x:c r="H4526" s="1" t="n">
        <x:f>'Historical prices'!E4526</x:f>
        <x:v>1.05</x:v>
      </x:c>
      <x:c r="I4526" s="6" t="n">
        <x:f>'Historical prices'!D4526</x:f>
        <x:v>0.26649999999999996</x:v>
      </x:c>
      <x:c r="J4526" s="13" t="n">
        <x:f>D4526*I4526*H4526</x:f>
        <x:v>0</x:v>
      </x:c>
      <x:c r="K4526" s="13" t="n">
        <x:f>E4526*I4526*H4526</x:f>
        <x:v>0.17036678749999998</x:v>
      </x:c>
      <x:c r="L4526" s="1" t="str">
        <x:f>TEXT(A4526,"mmm yyyy")</x:f>
        <x:v>Aug 2026</x:v>
      </x:c>
    </x:row>
    <x:row r="4527" ht="21" customHeight="1">
      <x:c r="A4527" s="10" t="n">
        <x:v>46242</x:v>
      </x:c>
      <x:c r="B4527" s="1" t="n">
        <x:v>19.5</x:v>
      </x:c>
      <x:c r="C4527" s="1" t="n">
        <x:v>6</x:v>
      </x:c>
      <x:c r="D4527" s="12" t="n">
        <x:v>0</x:v>
      </x:c>
      <x:c r="E4527" s="12" t="n">
        <x:v>0.7920833333333334</x:v>
      </x:c>
      <x:c r="F4527" s="12" t="n">
        <x:v>0.7917500000000001</x:v>
      </x:c>
      <x:c r="G4527" s="12" t="n">
        <x:v>0</x:v>
      </x:c>
      <x:c r="H4527" s="1" t="n">
        <x:f>'Historical prices'!E4527</x:f>
        <x:v>1.05</x:v>
      </x:c>
      <x:c r="I4527" s="6" t="n">
        <x:f>'Historical prices'!D4527</x:f>
        <x:v>0.2671</x:v>
      </x:c>
      <x:c r="J4527" s="13" t="n">
        <x:f>D4527*I4527*H4527</x:f>
        <x:v>0</x:v>
      </x:c>
      <x:c r="K4527" s="13" t="n">
        <x:f>E4527*I4527*H4527</x:f>
        <x:v>0.22214373125000003</x:v>
      </x:c>
      <x:c r="L4527" s="1" t="str">
        <x:f>TEXT(A4527,"mmm yyyy")</x:f>
        <x:v>Aug 2026</x:v>
      </x:c>
    </x:row>
    <x:row r="4528" ht="21" customHeight="1">
      <x:c r="A4528" s="10" t="n">
        <x:v>46242</x:v>
      </x:c>
      <x:c r="B4528" s="1" t="n">
        <x:v>20</x:v>
      </x:c>
      <x:c r="C4528" s="1" t="n">
        <x:v>6</x:v>
      </x:c>
      <x:c r="D4528" s="12" t="n">
        <x:v>0</x:v>
      </x:c>
      <x:c r="E4528" s="12" t="n">
        <x:v>0.5020833333333333</x:v>
      </x:c>
      <x:c r="F4528" s="12" t="n">
        <x:v>0.50175</x:v>
      </x:c>
      <x:c r="G4528" s="12" t="n">
        <x:v>0</x:v>
      </x:c>
      <x:c r="H4528" s="1" t="n">
        <x:f>'Historical prices'!E4528</x:f>
        <x:v>1.05</x:v>
      </x:c>
      <x:c r="I4528" s="6" t="n">
        <x:f>'Historical prices'!D4528</x:f>
        <x:v>0.2746</x:v>
      </x:c>
      <x:c r="J4528" s="13" t="n">
        <x:f>D4528*I4528*H4528</x:f>
        <x:v>0</x:v>
      </x:c>
      <x:c r="K4528" s="13" t="n">
        <x:f>E4528*I4528*H4528</x:f>
        <x:v>0.14476568750000002</x:v>
      </x:c>
      <x:c r="L4528" s="1" t="str">
        <x:f>TEXT(A4528,"mmm yyyy")</x:f>
        <x:v>Aug 2026</x:v>
      </x:c>
    </x:row>
    <x:row r="4529" ht="21" customHeight="1">
      <x:c r="A4529" s="10" t="n">
        <x:v>46242</x:v>
      </x:c>
      <x:c r="B4529" s="1" t="n">
        <x:v>20.5</x:v>
      </x:c>
      <x:c r="C4529" s="1" t="n">
        <x:v>6</x:v>
      </x:c>
      <x:c r="D4529" s="12" t="n">
        <x:v>0</x:v>
      </x:c>
      <x:c r="E4529" s="12" t="n">
        <x:v>0.5263333333333333</x:v>
      </x:c>
      <x:c r="F4529" s="12" t="n">
        <x:v>0.5257499999999999</x:v>
      </x:c>
      <x:c r="G4529" s="12" t="n">
        <x:v>0</x:v>
      </x:c>
      <x:c r="H4529" s="1" t="n">
        <x:f>'Historical prices'!E4529</x:f>
        <x:v>1.05</x:v>
      </x:c>
      <x:c r="I4529" s="6" t="n">
        <x:f>'Historical prices'!D4529</x:f>
        <x:v>0.2757</x:v>
      </x:c>
      <x:c r="J4529" s="13" t="n">
        <x:f>D4529*I4529*H4529</x:f>
        <x:v>0</x:v>
      </x:c>
      <x:c r="K4529" s="13" t="n">
        <x:f>E4529*I4529*H4529</x:f>
        <x:v>0.152365605</x:v>
      </x:c>
      <x:c r="L4529" s="1" t="str">
        <x:f>TEXT(A4529,"mmm yyyy")</x:f>
        <x:v>Aug 2026</x:v>
      </x:c>
    </x:row>
    <x:row r="4530" ht="21" customHeight="1">
      <x:c r="A4530" s="10" t="n">
        <x:v>46242</x:v>
      </x:c>
      <x:c r="B4530" s="1" t="n">
        <x:v>21</x:v>
      </x:c>
      <x:c r="C4530" s="1" t="n">
        <x:v>6</x:v>
      </x:c>
      <x:c r="D4530" s="12" t="n">
        <x:v>0.0115</x:v>
      </x:c>
      <x:c r="E4530" s="12" t="n">
        <x:v>0.5933333333333334</x:v>
      </x:c>
      <x:c r="F4530" s="12" t="n">
        <x:v>0.5814999999999999</x:v>
      </x:c>
      <x:c r="G4530" s="12" t="n">
        <x:v>0</x:v>
      </x:c>
      <x:c r="H4530" s="1" t="n">
        <x:f>'Historical prices'!E4530</x:f>
        <x:v>1.05</x:v>
      </x:c>
      <x:c r="I4530" s="6" t="n">
        <x:f>'Historical prices'!D4530</x:f>
        <x:v>0.2609</x:v>
      </x:c>
      <x:c r="J4530" s="13" t="n">
        <x:f>D4530*I4530*H4530</x:f>
        <x:v>0.0031503675000000004</x:v>
      </x:c>
      <x:c r="K4530" s="13" t="n">
        <x:f>E4530*I4530*H4530</x:f>
        <x:v>0.16254070000000004</x:v>
      </x:c>
      <x:c r="L4530" s="1" t="str">
        <x:f>TEXT(A4530,"mmm yyyy")</x:f>
        <x:v>Aug 2026</x:v>
      </x:c>
    </x:row>
    <x:row r="4531" ht="21" customHeight="1">
      <x:c r="A4531" s="10" t="n">
        <x:v>46242</x:v>
      </x:c>
      <x:c r="B4531" s="1" t="n">
        <x:v>21.5</x:v>
      </x:c>
      <x:c r="C4531" s="1" t="n">
        <x:v>6</x:v>
      </x:c>
      <x:c r="D4531" s="12" t="n">
        <x:v>0</x:v>
      </x:c>
      <x:c r="E4531" s="12" t="n">
        <x:v>0.9740000000000001</x:v>
      </x:c>
      <x:c r="F4531" s="12" t="n">
        <x:v>0.9735833333333334</x:v>
      </x:c>
      <x:c r="G4531" s="12" t="n">
        <x:v>0</x:v>
      </x:c>
      <x:c r="H4531" s="1" t="n">
        <x:f>'Historical prices'!E4531</x:f>
        <x:v>1.05</x:v>
      </x:c>
      <x:c r="I4531" s="6" t="n">
        <x:f>'Historical prices'!D4531</x:f>
        <x:v>0.2518</x:v>
      </x:c>
      <x:c r="J4531" s="13" t="n">
        <x:f>D4531*I4531*H4531</x:f>
        <x:v>0</x:v>
      </x:c>
      <x:c r="K4531" s="13" t="n">
        <x:f>E4531*I4531*H4531</x:f>
        <x:v>0.25751586000000004</x:v>
      </x:c>
      <x:c r="L4531" s="1" t="str">
        <x:f>TEXT(A4531,"mmm yyyy")</x:f>
        <x:v>Aug 2026</x:v>
      </x:c>
    </x:row>
    <x:row r="4532" ht="21" customHeight="1">
      <x:c r="A4532" s="10" t="n">
        <x:v>46242</x:v>
      </x:c>
      <x:c r="B4532" s="1" t="n">
        <x:v>22</x:v>
      </x:c>
      <x:c r="C4532" s="1" t="n">
        <x:v>6</x:v>
      </x:c>
      <x:c r="D4532" s="12" t="n">
        <x:v>0</x:v>
      </x:c>
      <x:c r="E4532" s="12" t="n">
        <x:v>0.33791666666666664</x:v>
      </x:c>
      <x:c r="F4532" s="12" t="n">
        <x:v>0.33766666666666667</x:v>
      </x:c>
      <x:c r="G4532" s="12" t="n">
        <x:v>0</x:v>
      </x:c>
      <x:c r="H4532" s="1" t="n">
        <x:f>'Historical prices'!E4532</x:f>
        <x:v>1.05</x:v>
      </x:c>
      <x:c r="I4532" s="6" t="n">
        <x:f>'Historical prices'!D4532</x:f>
        <x:v>0.2389</x:v>
      </x:c>
      <x:c r="J4532" s="13" t="n">
        <x:f>D4532*I4532*H4532</x:f>
        <x:v>0</x:v>
      </x:c>
      <x:c r="K4532" s="13" t="n">
        <x:f>E4532*I4532*H4532</x:f>
        <x:v>0.08476470625</x:v>
      </x:c>
      <x:c r="L4532" s="1" t="str">
        <x:f>TEXT(A4532,"mmm yyyy")</x:f>
        <x:v>Aug 2026</x:v>
      </x:c>
    </x:row>
    <x:row r="4533" ht="21" customHeight="1">
      <x:c r="A4533" s="10" t="n">
        <x:v>46242</x:v>
      </x:c>
      <x:c r="B4533" s="1" t="n">
        <x:v>22.5</x:v>
      </x:c>
      <x:c r="C4533" s="1" t="n">
        <x:v>6</x:v>
      </x:c>
      <x:c r="D4533" s="12" t="n">
        <x:v>0</x:v>
      </x:c>
      <x:c r="E4533" s="12" t="n">
        <x:v>0.28800000000000003</x:v>
      </x:c>
      <x:c r="F4533" s="12" t="n">
        <x:v>0.28758333333333336</x:v>
      </x:c>
      <x:c r="G4533" s="12" t="n">
        <x:v>0</x:v>
      </x:c>
      <x:c r="H4533" s="1" t="n">
        <x:f>'Historical prices'!E4533</x:f>
        <x:v>1.05</x:v>
      </x:c>
      <x:c r="I4533" s="6" t="n">
        <x:f>'Historical prices'!D4533</x:f>
        <x:v>0.21989999999999998</x:v>
      </x:c>
      <x:c r="J4533" s="13" t="n">
        <x:f>D4533*I4533*H4533</x:f>
        <x:v>0</x:v>
      </x:c>
      <x:c r="K4533" s="13" t="n">
        <x:f>E4533*I4533*H4533</x:f>
        <x:v>0.06649776</x:v>
      </x:c>
      <x:c r="L4533" s="1" t="str">
        <x:f>TEXT(A4533,"mmm yyyy")</x:f>
        <x:v>Aug 2026</x:v>
      </x:c>
    </x:row>
    <x:row r="4534" ht="21" customHeight="1">
      <x:c r="A4534" s="10" t="n">
        <x:v>46242</x:v>
      </x:c>
      <x:c r="B4534" s="1" t="n">
        <x:v>23</x:v>
      </x:c>
      <x:c r="C4534" s="1" t="n">
        <x:v>6</x:v>
      </x:c>
      <x:c r="D4534" s="12" t="n">
        <x:v>0</x:v>
      </x:c>
      <x:c r="E4534" s="12" t="n">
        <x:v>0.27325</x:v>
      </x:c>
      <x:c r="F4534" s="12" t="n">
        <x:v>0.27266666666666667</x:v>
      </x:c>
      <x:c r="G4534" s="12" t="n">
        <x:v>0</x:v>
      </x:c>
      <x:c r="H4534" s="1" t="n">
        <x:f>'Historical prices'!E4534</x:f>
        <x:v>1.05</x:v>
      </x:c>
      <x:c r="I4534" s="6" t="n">
        <x:f>'Historical prices'!D4534</x:f>
        <x:v>0.2183</x:v>
      </x:c>
      <x:c r="J4534" s="13" t="n">
        <x:f>D4534*I4534*H4534</x:f>
        <x:v>0</x:v>
      </x:c>
      <x:c r="K4534" s="13" t="n">
        <x:f>E4534*I4534*H4534</x:f>
        <x:v>0.06263299875</x:v>
      </x:c>
      <x:c r="L4534" s="1" t="str">
        <x:f>TEXT(A4534,"mmm yyyy")</x:f>
        <x:v>Aug 2026</x:v>
      </x:c>
    </x:row>
    <x:row r="4535" ht="21" customHeight="1">
      <x:c r="A4535" s="10" t="n">
        <x:v>46242</x:v>
      </x:c>
      <x:c r="B4535" s="1" t="n">
        <x:v>23.5</x:v>
      </x:c>
      <x:c r="C4535" s="1" t="n">
        <x:v>6</x:v>
      </x:c>
      <x:c r="D4535" s="12" t="n">
        <x:v>0</x:v>
      </x:c>
      <x:c r="E4535" s="12" t="n">
        <x:v>0.32258333333333333</x:v>
      </x:c>
      <x:c r="F4535" s="12" t="n">
        <x:v>0.32258333333333333</x:v>
      </x:c>
      <x:c r="G4535" s="12" t="n">
        <x:v>0</x:v>
      </x:c>
      <x:c r="H4535" s="1" t="n">
        <x:f>'Historical prices'!E4535</x:f>
        <x:v>1.05</x:v>
      </x:c>
      <x:c r="I4535" s="6" t="n">
        <x:f>'Historical prices'!D4535</x:f>
        <x:v>0.226</x:v>
      </x:c>
      <x:c r="J4535" s="13" t="n">
        <x:f>D4535*I4535*H4535</x:f>
        <x:v>0</x:v>
      </x:c>
      <x:c r="K4535" s="13" t="n">
        <x:f>E4535*I4535*H4535</x:f>
        <x:v>0.076549025</x:v>
      </x:c>
      <x:c r="L4535" s="1" t="str">
        <x:f>TEXT(A4535,"mmm yyyy")</x:f>
        <x:v>Aug 2026</x:v>
      </x:c>
    </x:row>
    <x:row r="4536" ht="21" customHeight="1">
      <x:c r="A4536" s="10" t="n">
        <x:v>46243</x:v>
      </x:c>
      <x:c r="B4536" s="1" t="n">
        <x:v>0</x:v>
      </x:c>
      <x:c r="C4536" s="1" t="n">
        <x:v>6</x:v>
      </x:c>
      <x:c r="D4536" s="12" t="n">
        <x:v>0</x:v>
      </x:c>
      <x:c r="E4536" s="12" t="n">
        <x:v>0.29916666666666664</x:v>
      </x:c>
      <x:c r="F4536" s="12" t="n">
        <x:v>0.29891666666666666</x:v>
      </x:c>
      <x:c r="G4536" s="12" t="n">
        <x:v>0</x:v>
      </x:c>
      <x:c r="H4536" s="1" t="n">
        <x:f>'Historical prices'!E4536</x:f>
        <x:v>1.05</x:v>
      </x:c>
      <x:c r="I4536" s="6" t="n">
        <x:f>'Historical prices'!D4536</x:f>
        <x:v>0.2271</x:v>
      </x:c>
      <x:c r="J4536" s="13" t="n">
        <x:f>D4536*I4536*H4536</x:f>
        <x:v>0</x:v>
      </x:c>
      <x:c r="K4536" s="13" t="n">
        <x:f>E4536*I4536*H4536</x:f>
        <x:v>0.0713377875</x:v>
      </x:c>
      <x:c r="L4536" s="1" t="str">
        <x:f>TEXT(A4536,"mmm yyyy")</x:f>
        <x:v>Aug 2026</x:v>
      </x:c>
    </x:row>
    <x:row r="4537" ht="21" customHeight="1">
      <x:c r="A4537" s="10" t="n">
        <x:v>46243</x:v>
      </x:c>
      <x:c r="B4537" s="1" t="n">
        <x:v>0.5</x:v>
      </x:c>
      <x:c r="C4537" s="1" t="n">
        <x:v>6</x:v>
      </x:c>
      <x:c r="D4537" s="12" t="n">
        <x:v>0</x:v>
      </x:c>
      <x:c r="E4537" s="12" t="n">
        <x:v>0.31391666666666673</x:v>
      </x:c>
      <x:c r="F4537" s="12" t="n">
        <x:v>0.31366666666666665</x:v>
      </x:c>
      <x:c r="G4537" s="12" t="n">
        <x:v>0</x:v>
      </x:c>
      <x:c r="H4537" s="1" t="n">
        <x:f>'Historical prices'!E4537</x:f>
        <x:v>1.05</x:v>
      </x:c>
      <x:c r="I4537" s="6" t="n">
        <x:f>'Historical prices'!D4537</x:f>
        <x:v>0.2249</x:v>
      </x:c>
      <x:c r="J4537" s="13" t="n">
        <x:f>D4537*I4537*H4537</x:f>
        <x:v>0</x:v>
      </x:c>
      <x:c r="K4537" s="13" t="n">
        <x:f>E4537*I4537*H4537</x:f>
        <x:v>0.07412985125000002</x:v>
      </x:c>
      <x:c r="L4537" s="1" t="str">
        <x:f>TEXT(A4537,"mmm yyyy")</x:f>
        <x:v>Aug 2026</x:v>
      </x:c>
    </x:row>
    <x:row r="4538" ht="21" customHeight="1">
      <x:c r="A4538" s="10" t="n">
        <x:v>46243</x:v>
      </x:c>
      <x:c r="B4538" s="1" t="n">
        <x:v>1</x:v>
      </x:c>
      <x:c r="C4538" s="1" t="n">
        <x:v>6</x:v>
      </x:c>
      <x:c r="D4538" s="12" t="n">
        <x:v>0</x:v>
      </x:c>
      <x:c r="E4538" s="12" t="n">
        <x:v>0.29583333333333334</x:v>
      </x:c>
      <x:c r="F4538" s="12" t="n">
        <x:v>0.29541666666666666</x:v>
      </x:c>
      <x:c r="G4538" s="12" t="n">
        <x:v>0</x:v>
      </x:c>
      <x:c r="H4538" s="1" t="n">
        <x:f>'Historical prices'!E4538</x:f>
        <x:v>1.05</x:v>
      </x:c>
      <x:c r="I4538" s="6" t="n">
        <x:f>'Historical prices'!D4538</x:f>
        <x:v>0.20809999999999998</x:v>
      </x:c>
      <x:c r="J4538" s="13" t="n">
        <x:f>D4538*I4538*H4538</x:f>
        <x:v>0</x:v>
      </x:c>
      <x:c r="K4538" s="13" t="n">
        <x:f>E4538*I4538*H4538</x:f>
        <x:v>0.0646410625</x:v>
      </x:c>
      <x:c r="L4538" s="1" t="str">
        <x:f>TEXT(A4538,"mmm yyyy")</x:f>
        <x:v>Aug 2026</x:v>
      </x:c>
    </x:row>
    <x:row r="4539" ht="21" customHeight="1">
      <x:c r="A4539" s="10" t="n">
        <x:v>46243</x:v>
      </x:c>
      <x:c r="B4539" s="1" t="n">
        <x:v>1.5</x:v>
      </x:c>
      <x:c r="C4539" s="1" t="n">
        <x:v>6</x:v>
      </x:c>
      <x:c r="D4539" s="12" t="n">
        <x:v>0</x:v>
      </x:c>
      <x:c r="E4539" s="12" t="n">
        <x:v>0.349</x:v>
      </x:c>
      <x:c r="F4539" s="12" t="n">
        <x:v>0.34841666666666665</x:v>
      </x:c>
      <x:c r="G4539" s="12" t="n">
        <x:v>0</x:v>
      </x:c>
      <x:c r="H4539" s="1" t="n">
        <x:f>'Historical prices'!E4539</x:f>
        <x:v>1.05</x:v>
      </x:c>
      <x:c r="I4539" s="6" t="n">
        <x:f>'Historical prices'!D4539</x:f>
        <x:v>0.2175</x:v>
      </x:c>
      <x:c r="J4539" s="13" t="n">
        <x:f>D4539*I4539*H4539</x:f>
        <x:v>0</x:v>
      </x:c>
      <x:c r="K4539" s="13" t="n">
        <x:f>E4539*I4539*H4539</x:f>
        <x:v>0.07970287499999999</x:v>
      </x:c>
      <x:c r="L4539" s="1" t="str">
        <x:f>TEXT(A4539,"mmm yyyy")</x:f>
        <x:v>Aug 2026</x:v>
      </x:c>
    </x:row>
    <x:row r="4540" ht="21" customHeight="1">
      <x:c r="A4540" s="10" t="n">
        <x:v>46243</x:v>
      </x:c>
      <x:c r="B4540" s="1" t="n">
        <x:v>2</x:v>
      </x:c>
      <x:c r="C4540" s="1" t="n">
        <x:v>6</x:v>
      </x:c>
      <x:c r="D4540" s="12" t="n">
        <x:v>0</x:v>
      </x:c>
      <x:c r="E4540" s="12" t="n">
        <x:v>0.24408333333333335</x:v>
      </x:c>
      <x:c r="F4540" s="12" t="n">
        <x:v>0.2436666666666667</x:v>
      </x:c>
      <x:c r="G4540" s="12" t="n">
        <x:v>0</x:v>
      </x:c>
      <x:c r="H4540" s="1" t="n">
        <x:f>'Historical prices'!E4540</x:f>
        <x:v>1.05</x:v>
      </x:c>
      <x:c r="I4540" s="6" t="n">
        <x:f>'Historical prices'!D4540</x:f>
        <x:v>0.20809999999999998</x:v>
      </x:c>
      <x:c r="J4540" s="13" t="n">
        <x:f>D4540*I4540*H4540</x:f>
        <x:v>0</x:v>
      </x:c>
      <x:c r="K4540" s="13" t="n">
        <x:f>E4540*I4540*H4540</x:f>
        <x:v>0.053333428749999995</x:v>
      </x:c>
      <x:c r="L4540" s="1" t="str">
        <x:f>TEXT(A4540,"mmm yyyy")</x:f>
        <x:v>Aug 2026</x:v>
      </x:c>
    </x:row>
    <x:row r="4541" ht="21" customHeight="1">
      <x:c r="A4541" s="10" t="n">
        <x:v>46243</x:v>
      </x:c>
      <x:c r="B4541" s="1" t="n">
        <x:v>2.5</x:v>
      </x:c>
      <x:c r="C4541" s="1" t="n">
        <x:v>6</x:v>
      </x:c>
      <x:c r="D4541" s="12" t="n">
        <x:v>0</x:v>
      </x:c>
      <x:c r="E4541" s="12" t="n">
        <x:v>0.26691666666666664</x:v>
      </x:c>
      <x:c r="F4541" s="12" t="n">
        <x:v>0.2665</x:v>
      </x:c>
      <x:c r="G4541" s="12" t="n">
        <x:v>0</x:v>
      </x:c>
      <x:c r="H4541" s="1" t="n">
        <x:f>'Historical prices'!E4541</x:f>
        <x:v>1.05</x:v>
      </x:c>
      <x:c r="I4541" s="6" t="n">
        <x:f>'Historical prices'!D4541</x:f>
        <x:v>0.21100000000000002</x:v>
      </x:c>
      <x:c r="J4541" s="13" t="n">
        <x:f>D4541*I4541*H4541</x:f>
        <x:v>0</x:v>
      </x:c>
      <x:c r="K4541" s="13" t="n">
        <x:f>E4541*I4541*H4541</x:f>
        <x:v>0.0591353875</x:v>
      </x:c>
      <x:c r="L4541" s="1" t="str">
        <x:f>TEXT(A4541,"mmm yyyy")</x:f>
        <x:v>Aug 2026</x:v>
      </x:c>
    </x:row>
    <x:row r="4542" ht="21" customHeight="1">
      <x:c r="A4542" s="10" t="n">
        <x:v>46243</x:v>
      </x:c>
      <x:c r="B4542" s="1" t="n">
        <x:v>3</x:v>
      </x:c>
      <x:c r="C4542" s="1" t="n">
        <x:v>6</x:v>
      </x:c>
      <x:c r="D4542" s="12" t="n">
        <x:v>0</x:v>
      </x:c>
      <x:c r="E4542" s="12" t="n">
        <x:v>0.30816666666666664</x:v>
      </x:c>
      <x:c r="F4542" s="12" t="n">
        <x:v>0.30766666666666664</x:v>
      </x:c>
      <x:c r="G4542" s="12" t="n">
        <x:v>0</x:v>
      </x:c>
      <x:c r="H4542" s="1" t="n">
        <x:f>'Historical prices'!E4542</x:f>
        <x:v>1.05</x:v>
      </x:c>
      <x:c r="I4542" s="6" t="n">
        <x:f>'Historical prices'!D4542</x:f>
        <x:v>0.22149999999999997</x:v>
      </x:c>
      <x:c r="J4542" s="13" t="n">
        <x:f>D4542*I4542*H4542</x:f>
        <x:v>0</x:v>
      </x:c>
      <x:c r="K4542" s="13" t="n">
        <x:f>E4542*I4542*H4542</x:f>
        <x:v>0.07167186249999999</x:v>
      </x:c>
      <x:c r="L4542" s="1" t="str">
        <x:f>TEXT(A4542,"mmm yyyy")</x:f>
        <x:v>Aug 2026</x:v>
      </x:c>
    </x:row>
    <x:row r="4543" ht="21" customHeight="1">
      <x:c r="A4543" s="10" t="n">
        <x:v>46243</x:v>
      </x:c>
      <x:c r="B4543" s="1" t="n">
        <x:v>3.5</x:v>
      </x:c>
      <x:c r="C4543" s="1" t="n">
        <x:v>6</x:v>
      </x:c>
      <x:c r="D4543" s="12" t="n">
        <x:v>0</x:v>
      </x:c>
      <x:c r="E4543" s="12" t="n">
        <x:v>0.29875</x:v>
      </x:c>
      <x:c r="F4543" s="12" t="n">
        <x:v>0.29841666666666666</x:v>
      </x:c>
      <x:c r="G4543" s="12" t="n">
        <x:v>0</x:v>
      </x:c>
      <x:c r="H4543" s="1" t="n">
        <x:f>'Historical prices'!E4543</x:f>
        <x:v>1.05</x:v>
      </x:c>
      <x:c r="I4543" s="6" t="n">
        <x:f>'Historical prices'!D4543</x:f>
        <x:v>0.2183</x:v>
      </x:c>
      <x:c r="J4543" s="13" t="n">
        <x:f>D4543*I4543*H4543</x:f>
        <x:v>0</x:v>
      </x:c>
      <x:c r="K4543" s="13" t="n">
        <x:f>E4543*I4543*H4543</x:f>
        <x:v>0.06847798125</x:v>
      </x:c>
      <x:c r="L4543" s="1" t="str">
        <x:f>TEXT(A4543,"mmm yyyy")</x:f>
        <x:v>Aug 2026</x:v>
      </x:c>
    </x:row>
    <x:row r="4544" ht="21" customHeight="1">
      <x:c r="A4544" s="10" t="n">
        <x:v>46243</x:v>
      </x:c>
      <x:c r="B4544" s="1" t="n">
        <x:v>4</x:v>
      </x:c>
      <x:c r="C4544" s="1" t="n">
        <x:v>6</x:v>
      </x:c>
      <x:c r="D4544" s="12" t="n">
        <x:v>0</x:v>
      </x:c>
      <x:c r="E4544" s="12" t="n">
        <x:v>0.261</x:v>
      </x:c>
      <x:c r="F4544" s="12" t="n">
        <x:v>0.26066666666666666</x:v>
      </x:c>
      <x:c r="G4544" s="12" t="n">
        <x:v>0</x:v>
      </x:c>
      <x:c r="H4544" s="1" t="n">
        <x:f>'Historical prices'!E4544</x:f>
        <x:v>1.05</x:v>
      </x:c>
      <x:c r="I4544" s="6" t="n">
        <x:f>'Historical prices'!D4544</x:f>
        <x:v>0.2232</x:v>
      </x:c>
      <x:c r="J4544" s="13" t="n">
        <x:f>D4544*I4544*H4544</x:f>
        <x:v>0</x:v>
      </x:c>
      <x:c r="K4544" s="13" t="n">
        <x:f>E4544*I4544*H4544</x:f>
        <x:v>0.06116796000000001</x:v>
      </x:c>
      <x:c r="L4544" s="1" t="str">
        <x:f>TEXT(A4544,"mmm yyyy")</x:f>
        <x:v>Aug 2026</x:v>
      </x:c>
    </x:row>
    <x:row r="4545" ht="21" customHeight="1">
      <x:c r="A4545" s="10" t="n">
        <x:v>46243</x:v>
      </x:c>
      <x:c r="B4545" s="1" t="n">
        <x:v>4.5</x:v>
      </x:c>
      <x:c r="C4545" s="1" t="n">
        <x:v>6</x:v>
      </x:c>
      <x:c r="D4545" s="12" t="n">
        <x:v>0</x:v>
      </x:c>
      <x:c r="E4545" s="12" t="n">
        <x:v>0.3136666666666667</x:v>
      </x:c>
      <x:c r="F4545" s="12" t="n">
        <x:v>0.3135833333333333</x:v>
      </x:c>
      <x:c r="G4545" s="12" t="n">
        <x:v>0</x:v>
      </x:c>
      <x:c r="H4545" s="1" t="n">
        <x:f>'Historical prices'!E4545</x:f>
        <x:v>1.05</x:v>
      </x:c>
      <x:c r="I4545" s="6" t="n">
        <x:f>'Historical prices'!D4545</x:f>
        <x:v>0.2223</x:v>
      </x:c>
      <x:c r="J4545" s="13" t="n">
        <x:f>D4545*I4545*H4545</x:f>
        <x:v>0</x:v>
      </x:c>
      <x:c r="K4545" s="13" t="n">
        <x:f>E4545*I4545*H4545</x:f>
        <x:v>0.073214505</x:v>
      </x:c>
      <x:c r="L4545" s="1" t="str">
        <x:f>TEXT(A4545,"mmm yyyy")</x:f>
        <x:v>Aug 2026</x:v>
      </x:c>
    </x:row>
    <x:row r="4546" ht="21" customHeight="1">
      <x:c r="A4546" s="10" t="n">
        <x:v>46243</x:v>
      </x:c>
      <x:c r="B4546" s="1" t="n">
        <x:v>5</x:v>
      </x:c>
      <x:c r="C4546" s="1" t="n">
        <x:v>6</x:v>
      </x:c>
      <x:c r="D4546" s="12" t="n">
        <x:v>0</x:v>
      </x:c>
      <x:c r="E4546" s="12" t="n">
        <x:v>0.3308333333333333</x:v>
      </x:c>
      <x:c r="F4546" s="12" t="n">
        <x:v>0.33066666666666666</x:v>
      </x:c>
      <x:c r="G4546" s="12" t="n">
        <x:v>0</x:v>
      </x:c>
      <x:c r="H4546" s="1" t="n">
        <x:f>'Historical prices'!E4546</x:f>
        <x:v>1.05</x:v>
      </x:c>
      <x:c r="I4546" s="6" t="n">
        <x:f>'Historical prices'!D4546</x:f>
        <x:v>0.21350000000000002</x:v>
      </x:c>
      <x:c r="J4546" s="13" t="n">
        <x:f>D4546*I4546*H4546</x:f>
        <x:v>0</x:v>
      </x:c>
      <x:c r="K4546" s="13" t="n">
        <x:f>E4546*I4546*H4546</x:f>
        <x:v>0.0741645625</x:v>
      </x:c>
      <x:c r="L4546" s="1" t="str">
        <x:f>TEXT(A4546,"mmm yyyy")</x:f>
        <x:v>Aug 2026</x:v>
      </x:c>
    </x:row>
    <x:row r="4547" ht="21" customHeight="1">
      <x:c r="A4547" s="10" t="n">
        <x:v>46243</x:v>
      </x:c>
      <x:c r="B4547" s="1" t="n">
        <x:v>5.5</x:v>
      </x:c>
      <x:c r="C4547" s="1" t="n">
        <x:v>6</x:v>
      </x:c>
      <x:c r="D4547" s="12" t="n">
        <x:v>0</x:v>
      </x:c>
      <x:c r="E4547" s="12" t="n">
        <x:v>0.28850000000000003</x:v>
      </x:c>
      <x:c r="F4547" s="12" t="n">
        <x:v>0.2875833333333333</x:v>
      </x:c>
      <x:c r="G4547" s="12" t="n">
        <x:v>0</x:v>
      </x:c>
      <x:c r="H4547" s="1" t="n">
        <x:f>'Historical prices'!E4547</x:f>
        <x:v>1.05</x:v>
      </x:c>
      <x:c r="I4547" s="6" t="n">
        <x:f>'Historical prices'!D4547</x:f>
        <x:v>0.204</x:v>
      </x:c>
      <x:c r="J4547" s="13" t="n">
        <x:f>D4547*I4547*H4547</x:f>
        <x:v>0</x:v>
      </x:c>
      <x:c r="K4547" s="13" t="n">
        <x:f>E4547*I4547*H4547</x:f>
        <x:v>0.0617967</x:v>
      </x:c>
      <x:c r="L4547" s="1" t="str">
        <x:f>TEXT(A4547,"mmm yyyy")</x:f>
        <x:v>Aug 2026</x:v>
      </x:c>
    </x:row>
    <x:row r="4548" ht="21" customHeight="1">
      <x:c r="A4548" s="10" t="n">
        <x:v>46243</x:v>
      </x:c>
      <x:c r="B4548" s="1" t="n">
        <x:v>6</x:v>
      </x:c>
      <x:c r="C4548" s="1" t="n">
        <x:v>6</x:v>
      </x:c>
      <x:c r="D4548" s="12" t="n">
        <x:v>0</x:v>
      </x:c>
      <x:c r="E4548" s="12" t="n">
        <x:v>0.41674999999999995</x:v>
      </x:c>
      <x:c r="F4548" s="12" t="n">
        <x:v>0.4165</x:v>
      </x:c>
      <x:c r="G4548" s="12" t="n">
        <x:v>0</x:v>
      </x:c>
      <x:c r="H4548" s="1" t="n">
        <x:f>'Historical prices'!E4548</x:f>
        <x:v>1.05</x:v>
      </x:c>
      <x:c r="I4548" s="6" t="n">
        <x:f>'Historical prices'!D4548</x:f>
        <x:v>0.1813</x:v>
      </x:c>
      <x:c r="J4548" s="13" t="n">
        <x:f>D4548*I4548*H4548</x:f>
        <x:v>0</x:v>
      </x:c>
      <x:c r="K4548" s="13" t="n">
        <x:f>E4548*I4548*H4548</x:f>
        <x:v>0.07933461374999999</x:v>
      </x:c>
      <x:c r="L4548" s="1" t="str">
        <x:f>TEXT(A4548,"mmm yyyy")</x:f>
        <x:v>Aug 2026</x:v>
      </x:c>
    </x:row>
    <x:row r="4549" ht="21" customHeight="1">
      <x:c r="A4549" s="10" t="n">
        <x:v>46243</x:v>
      </x:c>
      <x:c r="B4549" s="1" t="n">
        <x:v>6.5</x:v>
      </x:c>
      <x:c r="C4549" s="1" t="n">
        <x:v>6</x:v>
      </x:c>
      <x:c r="D4549" s="12" t="n">
        <x:v>0</x:v>
      </x:c>
      <x:c r="E4549" s="12" t="n">
        <x:v>0.52725</x:v>
      </x:c>
      <x:c r="F4549" s="12" t="n">
        <x:v>0.52675</x:v>
      </x:c>
      <x:c r="G4549" s="12" t="n">
        <x:v>0</x:v>
      </x:c>
      <x:c r="H4549" s="1" t="n">
        <x:f>'Historical prices'!E4549</x:f>
        <x:v>1.05</x:v>
      </x:c>
      <x:c r="I4549" s="6" t="n">
        <x:f>'Historical prices'!D4549</x:f>
        <x:v>0.17670000000000002</x:v>
      </x:c>
      <x:c r="J4549" s="13" t="n">
        <x:f>D4549*I4549*H4549</x:f>
        <x:v>0</x:v>
      </x:c>
      <x:c r="K4549" s="13" t="n">
        <x:f>E4549*I4549*H4549</x:f>
        <x:v>0.09782332875000002</x:v>
      </x:c>
      <x:c r="L4549" s="1" t="str">
        <x:f>TEXT(A4549,"mmm yyyy")</x:f>
        <x:v>Aug 2026</x:v>
      </x:c>
    </x:row>
    <x:row r="4550" ht="21" customHeight="1">
      <x:c r="A4550" s="10" t="n">
        <x:v>46243</x:v>
      </x:c>
      <x:c r="B4550" s="1" t="n">
        <x:v>7</x:v>
      </x:c>
      <x:c r="C4550" s="1" t="n">
        <x:v>6</x:v>
      </x:c>
      <x:c r="D4550" s="12" t="n">
        <x:v>0</x:v>
      </x:c>
      <x:c r="E4550" s="12" t="n">
        <x:v>0.518</x:v>
      </x:c>
      <x:c r="F4550" s="12" t="n">
        <x:v>0.5175833333333333</x:v>
      </x:c>
      <x:c r="G4550" s="12" t="n">
        <x:v>0</x:v>
      </x:c>
      <x:c r="H4550" s="1" t="n">
        <x:f>'Historical prices'!E4550</x:f>
        <x:v>1.05</x:v>
      </x:c>
      <x:c r="I4550" s="6" t="n">
        <x:f>'Historical prices'!D4550</x:f>
        <x:v>0.1329</x:v>
      </x:c>
      <x:c r="J4550" s="13" t="n">
        <x:f>D4550*I4550*H4550</x:f>
        <x:v>0</x:v>
      </x:c>
      <x:c r="K4550" s="13" t="n">
        <x:f>E4550*I4550*H4550</x:f>
        <x:v>0.07228430999999999</x:v>
      </x:c>
      <x:c r="L4550" s="1" t="str">
        <x:f>TEXT(A4550,"mmm yyyy")</x:f>
        <x:v>Aug 2026</x:v>
      </x:c>
    </x:row>
    <x:row r="4551" ht="21" customHeight="1">
      <x:c r="A4551" s="10" t="n">
        <x:v>46243</x:v>
      </x:c>
      <x:c r="B4551" s="1" t="n">
        <x:v>7.5</x:v>
      </x:c>
      <x:c r="C4551" s="1" t="n">
        <x:v>6</x:v>
      </x:c>
      <x:c r="D4551" s="12" t="n">
        <x:v>0</x:v>
      </x:c>
      <x:c r="E4551" s="12" t="n">
        <x:v>1.2822500000000001</x:v>
      </x:c>
      <x:c r="F4551" s="12" t="n">
        <x:v>1.2814999999999999</x:v>
      </x:c>
      <x:c r="G4551" s="12" t="n">
        <x:v>0</x:v>
      </x:c>
      <x:c r="H4551" s="1" t="n">
        <x:f>'Historical prices'!E4551</x:f>
        <x:v>1.05</x:v>
      </x:c>
      <x:c r="I4551" s="6" t="n">
        <x:f>'Historical prices'!D4551</x:f>
        <x:v>0.1358</x:v>
      </x:c>
      <x:c r="J4551" s="13" t="n">
        <x:f>D4551*I4551*H4551</x:f>
        <x:v>0</x:v>
      </x:c>
      <x:c r="K4551" s="13" t="n">
        <x:f>E4551*I4551*H4551</x:f>
        <x:v>0.18283602750000003</x:v>
      </x:c>
      <x:c r="L4551" s="1" t="str">
        <x:f>TEXT(A4551,"mmm yyyy")</x:f>
        <x:v>Aug 2026</x:v>
      </x:c>
    </x:row>
    <x:row r="4552" ht="21" customHeight="1">
      <x:c r="A4552" s="10" t="n">
        <x:v>46243</x:v>
      </x:c>
      <x:c r="B4552" s="1" t="n">
        <x:v>8</x:v>
      </x:c>
      <x:c r="C4552" s="1" t="n">
        <x:v>6</x:v>
      </x:c>
      <x:c r="D4552" s="12" t="n">
        <x:v>0</x:v>
      </x:c>
      <x:c r="E4552" s="12" t="n">
        <x:v>0.5726666666666667</x:v>
      </x:c>
      <x:c r="F4552" s="12" t="n">
        <x:v>0.5721666666666666</x:v>
      </x:c>
      <x:c r="G4552" s="12" t="n">
        <x:v>0</x:v>
      </x:c>
      <x:c r="H4552" s="1" t="n">
        <x:f>'Historical prices'!E4552</x:f>
        <x:v>1.05</x:v>
      </x:c>
      <x:c r="I4552" s="6" t="n">
        <x:f>'Historical prices'!D4552</x:f>
        <x:v>0.0886</x:v>
      </x:c>
      <x:c r="J4552" s="13" t="n">
        <x:f>D4552*I4552*H4552</x:f>
        <x:v>0</x:v>
      </x:c>
      <x:c r="K4552" s="13" t="n">
        <x:f>E4552*I4552*H4552</x:f>
        <x:v>0.05327518</x:v>
      </x:c>
      <x:c r="L4552" s="1" t="str">
        <x:f>TEXT(A4552,"mmm yyyy")</x:f>
        <x:v>Aug 2026</x:v>
      </x:c>
    </x:row>
    <x:row r="4553" ht="21" customHeight="1">
      <x:c r="A4553" s="10" t="n">
        <x:v>46243</x:v>
      </x:c>
      <x:c r="B4553" s="1" t="n">
        <x:v>8.5</x:v>
      </x:c>
      <x:c r="C4553" s="1" t="n">
        <x:v>6</x:v>
      </x:c>
      <x:c r="D4553" s="12" t="n">
        <x:v>0</x:v>
      </x:c>
      <x:c r="E4553" s="12" t="n">
        <x:v>0.5168333333333334</x:v>
      </x:c>
      <x:c r="F4553" s="12" t="n">
        <x:v>0.5163333333333334</x:v>
      </x:c>
      <x:c r="G4553" s="12" t="n">
        <x:v>0</x:v>
      </x:c>
      <x:c r="H4553" s="1" t="n">
        <x:f>'Historical prices'!E4553</x:f>
        <x:v>1.05</x:v>
      </x:c>
      <x:c r="I4553" s="6" t="n">
        <x:f>'Historical prices'!D4553</x:f>
        <x:v>0.07769999999999999</x:v>
      </x:c>
      <x:c r="J4553" s="13" t="n">
        <x:f>D4553*I4553*H4553</x:f>
        <x:v>0</x:v>
      </x:c>
      <x:c r="K4553" s="13" t="n">
        <x:f>E4553*I4553*H4553</x:f>
        <x:v>0.0421658475</x:v>
      </x:c>
      <x:c r="L4553" s="1" t="str">
        <x:f>TEXT(A4553,"mmm yyyy")</x:f>
        <x:v>Aug 2026</x:v>
      </x:c>
    </x:row>
    <x:row r="4554" ht="21" customHeight="1">
      <x:c r="A4554" s="10" t="n">
        <x:v>46243</x:v>
      </x:c>
      <x:c r="B4554" s="1" t="n">
        <x:v>9</x:v>
      </x:c>
      <x:c r="C4554" s="1" t="n">
        <x:v>6</x:v>
      </x:c>
      <x:c r="D4554" s="12" t="n">
        <x:v>0</x:v>
      </x:c>
      <x:c r="E4554" s="12" t="n">
        <x:v>0.62675</x:v>
      </x:c>
      <x:c r="F4554" s="12" t="n">
        <x:v>0.6264166666666666</x:v>
      </x:c>
      <x:c r="G4554" s="12" t="n">
        <x:v>0</x:v>
      </x:c>
      <x:c r="H4554" s="1" t="n">
        <x:f>'Historical prices'!E4554</x:f>
        <x:v>1.05</x:v>
      </x:c>
      <x:c r="I4554" s="6" t="n">
        <x:f>'Historical prices'!D4554</x:f>
        <x:v>0.045700000000000005</x:v>
      </x:c>
      <x:c r="J4554" s="13" t="n">
        <x:f>D4554*I4554*H4554</x:f>
        <x:v>0</x:v>
      </x:c>
      <x:c r="K4554" s="13" t="n">
        <x:f>E4554*I4554*H4554</x:f>
        <x:v>0.030074598750000004</x:v>
      </x:c>
      <x:c r="L4554" s="1" t="str">
        <x:f>TEXT(A4554,"mmm yyyy")</x:f>
        <x:v>Aug 2026</x:v>
      </x:c>
    </x:row>
    <x:row r="4555" ht="21" customHeight="1">
      <x:c r="A4555" s="10" t="n">
        <x:v>46243</x:v>
      </x:c>
      <x:c r="B4555" s="1" t="n">
        <x:v>9.5</x:v>
      </x:c>
      <x:c r="C4555" s="1" t="n">
        <x:v>6</x:v>
      </x:c>
      <x:c r="D4555" s="12" t="n">
        <x:v>0.59625</x:v>
      </x:c>
      <x:c r="E4555" s="12" t="n">
        <x:v>0.6943333333333334</x:v>
      </x:c>
      <x:c r="F4555" s="12" t="n">
        <x:v>0.09</x:v>
      </x:c>
      <x:c r="G4555" s="12" t="n">
        <x:v>0</x:v>
      </x:c>
      <x:c r="H4555" s="1" t="n">
        <x:f>'Historical prices'!E4555</x:f>
        <x:v>1.05</x:v>
      </x:c>
      <x:c r="I4555" s="6" t="n">
        <x:f>'Historical prices'!D4555</x:f>
        <x:v>0.0262</x:v>
      </x:c>
      <x:c r="J4555" s="13" t="n">
        <x:f>D4555*I4555*H4555</x:f>
        <x:v>0.0164028375</x:v>
      </x:c>
      <x:c r="K4555" s="13" t="n">
        <x:f>E4555*I4555*H4555</x:f>
        <x:v>0.019101110000000004</x:v>
      </x:c>
      <x:c r="L4555" s="1" t="str">
        <x:f>TEXT(A4555,"mmm yyyy")</x:f>
        <x:v>Aug 2026</x:v>
      </x:c>
    </x:row>
    <x:row r="4556" ht="21" customHeight="1">
      <x:c r="A4556" s="10" t="n">
        <x:v>46243</x:v>
      </x:c>
      <x:c r="B4556" s="1" t="n">
        <x:v>10</x:v>
      </x:c>
      <x:c r="C4556" s="1" t="n">
        <x:v>6</x:v>
      </x:c>
      <x:c r="D4556" s="12" t="n">
        <x:v>0.6655</x:v>
      </x:c>
      <x:c r="E4556" s="12" t="n">
        <x:v>0.6755</x:v>
      </x:c>
      <x:c r="F4556" s="12" t="n">
        <x:v>0</x:v>
      </x:c>
      <x:c r="G4556" s="12" t="n">
        <x:v>0</x:v>
      </x:c>
      <x:c r="H4556" s="1" t="n">
        <x:f>'Historical prices'!E4556</x:f>
        <x:v>1.05</x:v>
      </x:c>
      <x:c r="I4556" s="6" t="n">
        <x:f>'Historical prices'!D4556</x:f>
        <x:v>0.0233</x:v>
      </x:c>
      <x:c r="J4556" s="13" t="n">
        <x:f>D4556*I4556*H4556</x:f>
        <x:v>0.0162814575</x:v>
      </x:c>
      <x:c r="K4556" s="13" t="n">
        <x:f>E4556*I4556*H4556</x:f>
        <x:v>0.0165261075</x:v>
      </x:c>
      <x:c r="L4556" s="1" t="str">
        <x:f>TEXT(A4556,"mmm yyyy")</x:f>
        <x:v>Aug 2026</x:v>
      </x:c>
    </x:row>
    <x:row r="4557" ht="21" customHeight="1">
      <x:c r="A4557" s="10" t="n">
        <x:v>46243</x:v>
      </x:c>
      <x:c r="B4557" s="1" t="n">
        <x:v>10.5</x:v>
      </x:c>
      <x:c r="C4557" s="1" t="n">
        <x:v>6</x:v>
      </x:c>
      <x:c r="D4557" s="12" t="n">
        <x:v>0.53375</x:v>
      </x:c>
      <x:c r="E4557" s="12" t="n">
        <x:v>0.54575</x:v>
      </x:c>
      <x:c r="F4557" s="12" t="n">
        <x:v>0</x:v>
      </x:c>
      <x:c r="G4557" s="12" t="n">
        <x:v>0</x:v>
      </x:c>
      <x:c r="H4557" s="1" t="n">
        <x:f>'Historical prices'!E4557</x:f>
        <x:v>1.05</x:v>
      </x:c>
      <x:c r="I4557" s="6" t="n">
        <x:f>'Historical prices'!D4557</x:f>
        <x:v>0.0199</x:v>
      </x:c>
      <x:c r="J4557" s="13" t="n">
        <x:f>D4557*I4557*H4557</x:f>
        <x:v>0.01115270625</x:v>
      </x:c>
      <x:c r="K4557" s="13" t="n">
        <x:f>E4557*I4557*H4557</x:f>
        <x:v>0.011403446250000001</x:v>
      </x:c>
      <x:c r="L4557" s="1" t="str">
        <x:f>TEXT(A4557,"mmm yyyy")</x:f>
        <x:v>Aug 2026</x:v>
      </x:c>
    </x:row>
    <x:row r="4558" ht="21" customHeight="1">
      <x:c r="A4558" s="10" t="n">
        <x:v>46243</x:v>
      </x:c>
      <x:c r="B4558" s="1" t="n">
        <x:v>11</x:v>
      </x:c>
      <x:c r="C4558" s="1" t="n">
        <x:v>6</x:v>
      </x:c>
      <x:c r="D4558" s="12" t="n">
        <x:v>0.47674999999999995</x:v>
      </x:c>
      <x:c r="E4558" s="12" t="n">
        <x:v>0.48874999999999996</x:v>
      </x:c>
      <x:c r="F4558" s="12" t="n">
        <x:v>0</x:v>
      </x:c>
      <x:c r="G4558" s="12" t="n">
        <x:v>0</x:v>
      </x:c>
      <x:c r="H4558" s="1" t="n">
        <x:f>'Historical prices'!E4558</x:f>
        <x:v>1.05</x:v>
      </x:c>
      <x:c r="I4558" s="6" t="n">
        <x:f>'Historical prices'!D4558</x:f>
        <x:v>0.0172</x:v>
      </x:c>
      <x:c r="J4558" s="13" t="n">
        <x:f>D4558*I4558*H4558</x:f>
        <x:v>0.008610104999999998</x:v>
      </x:c>
      <x:c r="K4558" s="13" t="n">
        <x:f>E4558*I4558*H4558</x:f>
        <x:v>0.008826825</x:v>
      </x:c>
      <x:c r="L4558" s="1" t="str">
        <x:f>TEXT(A4558,"mmm yyyy")</x:f>
        <x:v>Aug 2026</x:v>
      </x:c>
    </x:row>
    <x:row r="4559" ht="21" customHeight="1">
      <x:c r="A4559" s="10" t="n">
        <x:v>46243</x:v>
      </x:c>
      <x:c r="B4559" s="1" t="n">
        <x:v>11.5</x:v>
      </x:c>
      <x:c r="C4559" s="1" t="n">
        <x:v>6</x:v>
      </x:c>
      <x:c r="D4559" s="12" t="n">
        <x:v>1.85075</x:v>
      </x:c>
      <x:c r="E4559" s="12" t="n">
        <x:v>0.49875</x:v>
      </x:c>
      <x:c r="F4559" s="12" t="n">
        <x:v>0</x:v>
      </x:c>
      <x:c r="G4559" s="12" t="n">
        <x:v>1.359</x:v>
      </x:c>
      <x:c r="H4559" s="1" t="n">
        <x:f>'Historical prices'!E4559</x:f>
        <x:v>1.05</x:v>
      </x:c>
      <x:c r="I4559" s="6" t="n">
        <x:f>'Historical prices'!D4559</x:f>
        <x:v>0.016</x:v>
      </x:c>
      <x:c r="J4559" s="13" t="n">
        <x:f>D4559*I4559*H4559</x:f>
        <x:v>0.0310926</x:v>
      </x:c>
      <x:c r="K4559" s="13" t="n">
        <x:f>E4559*I4559*H4559</x:f>
        <x:v>0.008379000000000001</x:v>
      </x:c>
      <x:c r="L4559" s="1" t="str">
        <x:f>TEXT(A4559,"mmm yyyy")</x:f>
        <x:v>Aug 2026</x:v>
      </x:c>
    </x:row>
    <x:row r="4560" ht="21" customHeight="1">
      <x:c r="A4560" s="10" t="n">
        <x:v>46243</x:v>
      </x:c>
      <x:c r="B4560" s="1" t="n">
        <x:v>12</x:v>
      </x:c>
      <x:c r="C4560" s="1" t="n">
        <x:v>6</x:v>
      </x:c>
      <x:c r="D4560" s="12" t="n">
        <x:v>1.20325</x:v>
      </x:c>
      <x:c r="E4560" s="12" t="n">
        <x:v>0.48424999999999996</x:v>
      </x:c>
      <x:c r="F4560" s="12" t="n">
        <x:v>0</x:v>
      </x:c>
      <x:c r="G4560" s="12" t="n">
        <x:v>0.723</x:v>
      </x:c>
      <x:c r="H4560" s="1" t="n">
        <x:f>'Historical prices'!E4560</x:f>
        <x:v>1.05</x:v>
      </x:c>
      <x:c r="I4560" s="6" t="n">
        <x:f>'Historical prices'!D4560</x:f>
        <x:v>0.0213</x:v>
      </x:c>
      <x:c r="J4560" s="13" t="n">
        <x:f>D4560*I4560*H4560</x:f>
        <x:v>0.02691068625</x:v>
      </x:c>
      <x:c r="K4560" s="13" t="n">
        <x:f>E4560*I4560*H4560</x:f>
        <x:v>0.010830251249999999</x:v>
      </x:c>
      <x:c r="L4560" s="1" t="str">
        <x:f>TEXT(A4560,"mmm yyyy")</x:f>
        <x:v>Aug 2026</x:v>
      </x:c>
    </x:row>
    <x:row r="4561" ht="21" customHeight="1">
      <x:c r="A4561" s="10" t="n">
        <x:v>46243</x:v>
      </x:c>
      <x:c r="B4561" s="1" t="n">
        <x:v>12.5</x:v>
      </x:c>
      <x:c r="C4561" s="1" t="n">
        <x:v>6</x:v>
      </x:c>
      <x:c r="D4561" s="12" t="n">
        <x:v>0.45975</x:v>
      </x:c>
      <x:c r="E4561" s="12" t="n">
        <x:v>0.46975</x:v>
      </x:c>
      <x:c r="F4561" s="12" t="n">
        <x:v>0</x:v>
      </x:c>
      <x:c r="G4561" s="12" t="n">
        <x:v>0</x:v>
      </x:c>
      <x:c r="H4561" s="1" t="n">
        <x:f>'Historical prices'!E4561</x:f>
        <x:v>1.05</x:v>
      </x:c>
      <x:c r="I4561" s="6" t="n">
        <x:f>'Historical prices'!D4561</x:f>
        <x:v>0.0213</x:v>
      </x:c>
      <x:c r="J4561" s="13" t="n">
        <x:f>D4561*I4561*H4561</x:f>
        <x:v>0.01028230875</x:v>
      </x:c>
      <x:c r="K4561" s="13" t="n">
        <x:f>E4561*I4561*H4561</x:f>
        <x:v>0.01050595875</x:v>
      </x:c>
      <x:c r="L4561" s="1" t="str">
        <x:f>TEXT(A4561,"mmm yyyy")</x:f>
        <x:v>Aug 2026</x:v>
      </x:c>
    </x:row>
    <x:row r="4562" ht="21" customHeight="1">
      <x:c r="A4562" s="10" t="n">
        <x:v>46243</x:v>
      </x:c>
      <x:c r="B4562" s="1" t="n">
        <x:v>13</x:v>
      </x:c>
      <x:c r="C4562" s="1" t="n">
        <x:v>6</x:v>
      </x:c>
      <x:c r="D4562" s="12" t="n">
        <x:v>0.40225</x:v>
      </x:c>
      <x:c r="E4562" s="12" t="n">
        <x:v>0.41325</x:v>
      </x:c>
      <x:c r="F4562" s="12" t="n">
        <x:v>0</x:v>
      </x:c>
      <x:c r="G4562" s="12" t="n">
        <x:v>0</x:v>
      </x:c>
      <x:c r="H4562" s="1" t="n">
        <x:f>'Historical prices'!E4562</x:f>
        <x:v>1.05</x:v>
      </x:c>
      <x:c r="I4562" s="6" t="n">
        <x:f>'Historical prices'!D4562</x:f>
        <x:v>0.0212</x:v>
      </x:c>
      <x:c r="J4562" s="13" t="n">
        <x:f>D4562*I4562*H4562</x:f>
        <x:v>0.008954084999999999</x:v>
      </x:c>
      <x:c r="K4562" s="13" t="n">
        <x:f>E4562*I4562*H4562</x:f>
        <x:v>0.009198945</x:v>
      </x:c>
      <x:c r="L4562" s="1" t="str">
        <x:f>TEXT(A4562,"mmm yyyy")</x:f>
        <x:v>Aug 2026</x:v>
      </x:c>
    </x:row>
    <x:row r="4563" ht="21" customHeight="1">
      <x:c r="A4563" s="10" t="n">
        <x:v>46243</x:v>
      </x:c>
      <x:c r="B4563" s="1" t="n">
        <x:v>13.5</x:v>
      </x:c>
      <x:c r="C4563" s="1" t="n">
        <x:v>6</x:v>
      </x:c>
      <x:c r="D4563" s="12" t="n">
        <x:v>4.08975</x:v>
      </x:c>
      <x:c r="E4563" s="12" t="n">
        <x:v>0.6577500000000001</x:v>
      </x:c>
      <x:c r="F4563" s="12" t="n">
        <x:v>0</x:v>
      </x:c>
      <x:c r="G4563" s="12" t="n">
        <x:v>3.4330000000000007</x:v>
      </x:c>
      <x:c r="H4563" s="1" t="n">
        <x:f>'Historical prices'!E4563</x:f>
        <x:v>1.05</x:v>
      </x:c>
      <x:c r="I4563" s="6" t="n">
        <x:f>'Historical prices'!D4563</x:f>
        <x:v>0.0096</x:v>
      </x:c>
      <x:c r="J4563" s="13" t="n">
        <x:f>D4563*I4563*H4563</x:f>
        <x:v>0.04122468</x:v>
      </x:c>
      <x:c r="K4563" s="13" t="n">
        <x:f>E4563*I4563*H4563</x:f>
        <x:v>0.006630120000000001</x:v>
      </x:c>
      <x:c r="L4563" s="1" t="str">
        <x:f>TEXT(A4563,"mmm yyyy")</x:f>
        <x:v>Aug 2026</x:v>
      </x:c>
    </x:row>
    <x:row r="4564" ht="21" customHeight="1">
      <x:c r="A4564" s="10" t="n">
        <x:v>46243</x:v>
      </x:c>
      <x:c r="B4564" s="1" t="n">
        <x:v>14</x:v>
      </x:c>
      <x:c r="C4564" s="1" t="n">
        <x:v>6</x:v>
      </x:c>
      <x:c r="D4564" s="12" t="n">
        <x:v>1.4060000000000001</x:v>
      </x:c>
      <x:c r="E4564" s="12" t="n">
        <x:v>0.5840000000000001</x:v>
      </x:c>
      <x:c r="F4564" s="12" t="n">
        <x:v>0</x:v>
      </x:c>
      <x:c r="G4564" s="12" t="n">
        <x:v>0.8240000000000001</x:v>
      </x:c>
      <x:c r="H4564" s="1" t="n">
        <x:f>'Historical prices'!E4564</x:f>
        <x:v>1.05</x:v>
      </x:c>
      <x:c r="I4564" s="6" t="n">
        <x:f>'Historical prices'!D4564</x:f>
        <x:v>0.0174</x:v>
      </x:c>
      <x:c r="J4564" s="13" t="n">
        <x:f>D4564*I4564*H4564</x:f>
        <x:v>0.02568762</x:v>
      </x:c>
      <x:c r="K4564" s="13" t="n">
        <x:f>E4564*I4564*H4564</x:f>
        <x:v>0.01066968</x:v>
      </x:c>
      <x:c r="L4564" s="1" t="str">
        <x:f>TEXT(A4564,"mmm yyyy")</x:f>
        <x:v>Aug 2026</x:v>
      </x:c>
    </x:row>
    <x:row r="4565" ht="21" customHeight="1">
      <x:c r="A4565" s="10" t="n">
        <x:v>46243</x:v>
      </x:c>
      <x:c r="B4565" s="1" t="n">
        <x:v>14.5</x:v>
      </x:c>
      <x:c r="C4565" s="1" t="n">
        <x:v>6</x:v>
      </x:c>
      <x:c r="D4565" s="12" t="n">
        <x:v>0.5555</x:v>
      </x:c>
      <x:c r="E4565" s="12" t="n">
        <x:v>0.48250000000000004</x:v>
      </x:c>
      <x:c r="F4565" s="12" t="n">
        <x:v>0</x:v>
      </x:c>
      <x:c r="G4565" s="12" t="n">
        <x:v>0.081</x:v>
      </x:c>
      <x:c r="H4565" s="1" t="n">
        <x:f>'Historical prices'!E4565</x:f>
        <x:v>1.05</x:v>
      </x:c>
      <x:c r="I4565" s="6" t="n">
        <x:f>'Historical prices'!D4565</x:f>
        <x:v>0.023</x:v>
      </x:c>
      <x:c r="J4565" s="13" t="n">
        <x:f>D4565*I4565*H4565</x:f>
        <x:v>0.013415325</x:v>
      </x:c>
      <x:c r="K4565" s="13" t="n">
        <x:f>E4565*I4565*H4565</x:f>
        <x:v>0.011652375000000001</x:v>
      </x:c>
      <x:c r="L4565" s="1" t="str">
        <x:f>TEXT(A4565,"mmm yyyy")</x:f>
        <x:v>Aug 2026</x:v>
      </x:c>
    </x:row>
    <x:row r="4566" ht="21" customHeight="1">
      <x:c r="A4566" s="10" t="n">
        <x:v>46243</x:v>
      </x:c>
      <x:c r="B4566" s="1" t="n">
        <x:v>15</x:v>
      </x:c>
      <x:c r="C4566" s="1" t="n">
        <x:v>6</x:v>
      </x:c>
      <x:c r="D4566" s="12" t="n">
        <x:v>0.0745</x:v>
      </x:c>
      <x:c r="E4566" s="12" t="n">
        <x:v>0.5288333333333333</x:v>
      </x:c>
      <x:c r="F4566" s="12" t="n">
        <x:v>0.45075000000000004</x:v>
      </x:c>
      <x:c r="G4566" s="12" t="n">
        <x:v>0</x:v>
      </x:c>
      <x:c r="H4566" s="1" t="n">
        <x:f>'Historical prices'!E4566</x:f>
        <x:v>1.05</x:v>
      </x:c>
      <x:c r="I4566" s="6" t="n">
        <x:f>'Historical prices'!D4566</x:f>
        <x:v>0.0375</x:v>
      </x:c>
      <x:c r="J4566" s="13" t="n">
        <x:f>D4566*I4566*H4566</x:f>
        <x:v>0.0029334375</x:v>
      </x:c>
      <x:c r="K4566" s="13" t="n">
        <x:f>E4566*I4566*H4566</x:f>
        <x:v>0.0208228125</x:v>
      </x:c>
      <x:c r="L4566" s="1" t="str">
        <x:f>TEXT(A4566,"mmm yyyy")</x:f>
        <x:v>Aug 2026</x:v>
      </x:c>
    </x:row>
    <x:row r="4567" ht="21" customHeight="1">
      <x:c r="A4567" s="10" t="n">
        <x:v>46243</x:v>
      </x:c>
      <x:c r="B4567" s="1" t="n">
        <x:v>15.5</x:v>
      </x:c>
      <x:c r="C4567" s="1" t="n">
        <x:v>6</x:v>
      </x:c>
      <x:c r="D4567" s="12" t="n">
        <x:v>0</x:v>
      </x:c>
      <x:c r="E4567" s="12" t="n">
        <x:v>0.5575833333333333</x:v>
      </x:c>
      <x:c r="F4567" s="12" t="n">
        <x:v>0.55275</x:v>
      </x:c>
      <x:c r="G4567" s="12" t="n">
        <x:v>0</x:v>
      </x:c>
      <x:c r="H4567" s="1" t="n">
        <x:f>'Historical prices'!E4567</x:f>
        <x:v>1.05</x:v>
      </x:c>
      <x:c r="I4567" s="6" t="n">
        <x:f>'Historical prices'!D4567</x:f>
        <x:v>0.059500000000000004</x:v>
      </x:c>
      <x:c r="J4567" s="13" t="n">
        <x:f>D4567*I4567*H4567</x:f>
        <x:v>0</x:v>
      </x:c>
      <x:c r="K4567" s="13" t="n">
        <x:f>E4567*I4567*H4567</x:f>
        <x:v>0.03483501875</x:v>
      </x:c>
      <x:c r="L4567" s="1" t="str">
        <x:f>TEXT(A4567,"mmm yyyy")</x:f>
        <x:v>Aug 2026</x:v>
      </x:c>
    </x:row>
    <x:row r="4568" ht="21" customHeight="1">
      <x:c r="A4568" s="10" t="n">
        <x:v>46243</x:v>
      </x:c>
      <x:c r="B4568" s="1" t="n">
        <x:v>16</x:v>
      </x:c>
      <x:c r="C4568" s="1" t="n">
        <x:v>6</x:v>
      </x:c>
      <x:c r="D4568" s="12" t="n">
        <x:v>0</x:v>
      </x:c>
      <x:c r="E4568" s="12" t="n">
        <x:v>0.5559166666666666</x:v>
      </x:c>
      <x:c r="F4568" s="12" t="n">
        <x:v>0.5556666666666666</x:v>
      </x:c>
      <x:c r="G4568" s="12" t="n">
        <x:v>0</x:v>
      </x:c>
      <x:c r="H4568" s="1" t="n">
        <x:f>'Historical prices'!E4568</x:f>
        <x:v>1.05</x:v>
      </x:c>
      <x:c r="I4568" s="6" t="n">
        <x:f>'Historical prices'!D4568</x:f>
        <x:v>0.23670000000000002</x:v>
      </x:c>
      <x:c r="J4568" s="13" t="n">
        <x:f>D4568*I4568*H4568</x:f>
        <x:v>0</x:v>
      </x:c>
      <x:c r="K4568" s="13" t="n">
        <x:f>E4568*I4568*H4568</x:f>
        <x:v>0.13816474875</x:v>
      </x:c>
      <x:c r="L4568" s="1" t="str">
        <x:f>TEXT(A4568,"mmm yyyy")</x:f>
        <x:v>Aug 2026</x:v>
      </x:c>
    </x:row>
    <x:row r="4569" ht="21" customHeight="1">
      <x:c r="A4569" s="10" t="n">
        <x:v>46243</x:v>
      </x:c>
      <x:c r="B4569" s="1" t="n">
        <x:v>16.5</x:v>
      </x:c>
      <x:c r="C4569" s="1" t="n">
        <x:v>6</x:v>
      </x:c>
      <x:c r="D4569" s="12" t="n">
        <x:v>0</x:v>
      </x:c>
      <x:c r="E4569" s="12" t="n">
        <x:v>0.6198333333333333</x:v>
      </x:c>
      <x:c r="F4569" s="12" t="n">
        <x:v>0.6198333333333333</x:v>
      </x:c>
      <x:c r="G4569" s="12" t="n">
        <x:v>0</x:v>
      </x:c>
      <x:c r="H4569" s="1" t="n">
        <x:f>'Historical prices'!E4569</x:f>
        <x:v>1.05</x:v>
      </x:c>
      <x:c r="I4569" s="6" t="n">
        <x:f>'Historical prices'!D4569</x:f>
        <x:v>0.2658</x:v>
      </x:c>
      <x:c r="J4569" s="13" t="n">
        <x:f>D4569*I4569*H4569</x:f>
        <x:v>0</x:v>
      </x:c>
      <x:c r="K4569" s="13" t="n">
        <x:f>E4569*I4569*H4569</x:f>
        <x:v>0.17298928500000002</x:v>
      </x:c>
      <x:c r="L4569" s="1" t="str">
        <x:f>TEXT(A4569,"mmm yyyy")</x:f>
        <x:v>Aug 2026</x:v>
      </x:c>
    </x:row>
    <x:row r="4570" ht="21" customHeight="1">
      <x:c r="A4570" s="10" t="n">
        <x:v>46243</x:v>
      </x:c>
      <x:c r="B4570" s="1" t="n">
        <x:v>17</x:v>
      </x:c>
      <x:c r="C4570" s="1" t="n">
        <x:v>6</x:v>
      </x:c>
      <x:c r="D4570" s="12" t="n">
        <x:v>0</x:v>
      </x:c>
      <x:c r="E4570" s="12" t="n">
        <x:v>0.4869166666666666</x:v>
      </x:c>
      <x:c r="F4570" s="12" t="n">
        <x:v>0.48649999999999993</x:v>
      </x:c>
      <x:c r="G4570" s="12" t="n">
        <x:v>0</x:v>
      </x:c>
      <x:c r="H4570" s="1" t="n">
        <x:f>'Historical prices'!E4570</x:f>
        <x:v>1.05</x:v>
      </x:c>
      <x:c r="I4570" s="6" t="n">
        <x:f>'Historical prices'!D4570</x:f>
        <x:v>0.3513</x:v>
      </x:c>
      <x:c r="J4570" s="13" t="n">
        <x:f>D4570*I4570*H4570</x:f>
        <x:v>0</x:v>
      </x:c>
      <x:c r="K4570" s="13" t="n">
        <x:f>E4570*I4570*H4570</x:f>
        <x:v>0.17960651625</x:v>
      </x:c>
      <x:c r="L4570" s="1" t="str">
        <x:f>TEXT(A4570,"mmm yyyy")</x:f>
        <x:v>Aug 2026</x:v>
      </x:c>
    </x:row>
    <x:row r="4571" ht="21" customHeight="1">
      <x:c r="A4571" s="10" t="n">
        <x:v>46243</x:v>
      </x:c>
      <x:c r="B4571" s="1" t="n">
        <x:v>17.5</x:v>
      </x:c>
      <x:c r="C4571" s="1" t="n">
        <x:v>6</x:v>
      </x:c>
      <x:c r="D4571" s="12" t="n">
        <x:v>0</x:v>
      </x:c>
      <x:c r="E4571" s="12" t="n">
        <x:v>0.48583333333333334</x:v>
      </x:c>
      <x:c r="F4571" s="12" t="n">
        <x:v>0.4854166666666667</x:v>
      </x:c>
      <x:c r="G4571" s="12" t="n">
        <x:v>0</x:v>
      </x:c>
      <x:c r="H4571" s="1" t="n">
        <x:f>'Historical prices'!E4571</x:f>
        <x:v>1.05</x:v>
      </x:c>
      <x:c r="I4571" s="6" t="n">
        <x:f>'Historical prices'!D4571</x:f>
        <x:v>0.34</x:v>
      </x:c>
      <x:c r="J4571" s="13" t="n">
        <x:f>D4571*I4571*H4571</x:f>
        <x:v>0</x:v>
      </x:c>
      <x:c r="K4571" s="13" t="n">
        <x:f>E4571*I4571*H4571</x:f>
        <x:v>0.17344250000000003</x:v>
      </x:c>
      <x:c r="L4571" s="1" t="str">
        <x:f>TEXT(A4571,"mmm yyyy")</x:f>
        <x:v>Aug 2026</x:v>
      </x:c>
    </x:row>
    <x:row r="4572" ht="21" customHeight="1">
      <x:c r="A4572" s="10" t="n">
        <x:v>46243</x:v>
      </x:c>
      <x:c r="B4572" s="1" t="n">
        <x:v>18</x:v>
      </x:c>
      <x:c r="C4572" s="1" t="n">
        <x:v>6</x:v>
      </x:c>
      <x:c r="D4572" s="12" t="n">
        <x:v>0</x:v>
      </x:c>
      <x:c r="E4572" s="12" t="n">
        <x:v>0.49574999999999997</x:v>
      </x:c>
      <x:c r="F4572" s="12" t="n">
        <x:v>0.49533333333333335</x:v>
      </x:c>
      <x:c r="G4572" s="12" t="n">
        <x:v>0</x:v>
      </x:c>
      <x:c r="H4572" s="1" t="n">
        <x:f>'Historical prices'!E4572</x:f>
        <x:v>1.05</x:v>
      </x:c>
      <x:c r="I4572" s="6" t="n">
        <x:f>'Historical prices'!D4572</x:f>
        <x:v>0.37310000000000004</x:v>
      </x:c>
      <x:c r="J4572" s="13" t="n">
        <x:f>D4572*I4572*H4572</x:f>
        <x:v>0</x:v>
      </x:c>
      <x:c r="K4572" s="13" t="n">
        <x:f>E4572*I4572*H4572</x:f>
        <x:v>0.19421254125</x:v>
      </x:c>
      <x:c r="L4572" s="1" t="str">
        <x:f>TEXT(A4572,"mmm yyyy")</x:f>
        <x:v>Aug 2026</x:v>
      </x:c>
    </x:row>
    <x:row r="4573" ht="21" customHeight="1">
      <x:c r="A4573" s="10" t="n">
        <x:v>46243</x:v>
      </x:c>
      <x:c r="B4573" s="1" t="n">
        <x:v>18.5</x:v>
      </x:c>
      <x:c r="C4573" s="1" t="n">
        <x:v>6</x:v>
      </x:c>
      <x:c r="D4573" s="12" t="n">
        <x:v>0</x:v>
      </x:c>
      <x:c r="E4573" s="12" t="n">
        <x:v>0.6120833333333333</x:v>
      </x:c>
      <x:c r="F4573" s="12" t="n">
        <x:v>0.6118333333333332</x:v>
      </x:c>
      <x:c r="G4573" s="12" t="n">
        <x:v>0</x:v>
      </x:c>
      <x:c r="H4573" s="1" t="n">
        <x:f>'Historical prices'!E4573</x:f>
        <x:v>1.05</x:v>
      </x:c>
      <x:c r="I4573" s="6" t="n">
        <x:f>'Historical prices'!D4573</x:f>
        <x:v>0.3613</x:v>
      </x:c>
      <x:c r="J4573" s="13" t="n">
        <x:f>D4573*I4573*H4573</x:f>
        <x:v>0</x:v>
      </x:c>
      <x:c r="K4573" s="13" t="n">
        <x:f>E4573*I4573*H4573</x:f>
        <x:v>0.23220299375</x:v>
      </x:c>
      <x:c r="L4573" s="1" t="str">
        <x:f>TEXT(A4573,"mmm yyyy")</x:f>
        <x:v>Aug 2026</x:v>
      </x:c>
    </x:row>
    <x:row r="4574" ht="21" customHeight="1">
      <x:c r="A4574" s="10" t="n">
        <x:v>46243</x:v>
      </x:c>
      <x:c r="B4574" s="1" t="n">
        <x:v>19</x:v>
      </x:c>
      <x:c r="C4574" s="1" t="n">
        <x:v>6</x:v>
      </x:c>
      <x:c r="D4574" s="12" t="n">
        <x:v>0</x:v>
      </x:c>
      <x:c r="E4574" s="12" t="n">
        <x:v>0.5860833333333333</x:v>
      </x:c>
      <x:c r="F4574" s="12" t="n">
        <x:v>0.5854166666666666</x:v>
      </x:c>
      <x:c r="G4574" s="12" t="n">
        <x:v>0</x:v>
      </x:c>
      <x:c r="H4574" s="1" t="n">
        <x:f>'Historical prices'!E4574</x:f>
        <x:v>1.05</x:v>
      </x:c>
      <x:c r="I4574" s="6" t="n">
        <x:f>'Historical prices'!D4574</x:f>
        <x:v>0.2774</x:v>
      </x:c>
      <x:c r="J4574" s="13" t="n">
        <x:f>D4574*I4574*H4574</x:f>
        <x:v>0</x:v>
      </x:c>
      <x:c r="K4574" s="13" t="n">
        <x:f>E4574*I4574*H4574</x:f>
        <x:v>0.17070849249999998</x:v>
      </x:c>
      <x:c r="L4574" s="1" t="str">
        <x:f>TEXT(A4574,"mmm yyyy")</x:f>
        <x:v>Aug 2026</x:v>
      </x:c>
    </x:row>
    <x:row r="4575" ht="21" customHeight="1">
      <x:c r="A4575" s="10" t="n">
        <x:v>46243</x:v>
      </x:c>
      <x:c r="B4575" s="1" t="n">
        <x:v>19.5</x:v>
      </x:c>
      <x:c r="C4575" s="1" t="n">
        <x:v>6</x:v>
      </x:c>
      <x:c r="D4575" s="12" t="n">
        <x:v>0</x:v>
      </x:c>
      <x:c r="E4575" s="12" t="n">
        <x:v>0.7934999999999999</x:v>
      </x:c>
      <x:c r="F4575" s="12" t="n">
        <x:v>0.7932499999999999</x:v>
      </x:c>
      <x:c r="G4575" s="12" t="n">
        <x:v>0</x:v>
      </x:c>
      <x:c r="H4575" s="1" t="n">
        <x:f>'Historical prices'!E4575</x:f>
        <x:v>1.05</x:v>
      </x:c>
      <x:c r="I4575" s="6" t="n">
        <x:f>'Historical prices'!D4575</x:f>
        <x:v>0.2816</x:v>
      </x:c>
      <x:c r="J4575" s="13" t="n">
        <x:f>D4575*I4575*H4575</x:f>
        <x:v>0</x:v>
      </x:c>
      <x:c r="K4575" s="13" t="n">
        <x:f>E4575*I4575*H4575</x:f>
        <x:v>0.23462207999999998</x:v>
      </x:c>
      <x:c r="L4575" s="1" t="str">
        <x:f>TEXT(A4575,"mmm yyyy")</x:f>
        <x:v>Aug 2026</x:v>
      </x:c>
    </x:row>
    <x:row r="4576" ht="21" customHeight="1">
      <x:c r="A4576" s="10" t="n">
        <x:v>46243</x:v>
      </x:c>
      <x:c r="B4576" s="1" t="n">
        <x:v>20</x:v>
      </x:c>
      <x:c r="C4576" s="1" t="n">
        <x:v>6</x:v>
      </x:c>
      <x:c r="D4576" s="12" t="n">
        <x:v>0</x:v>
      </x:c>
      <x:c r="E4576" s="12" t="n">
        <x:v>0.43583333333333335</x:v>
      </x:c>
      <x:c r="F4576" s="12" t="n">
        <x:v>0.42775</x:v>
      </x:c>
      <x:c r="G4576" s="12" t="n">
        <x:v>0</x:v>
      </x:c>
      <x:c r="H4576" s="1" t="n">
        <x:f>'Historical prices'!E4576</x:f>
        <x:v>1.05</x:v>
      </x:c>
      <x:c r="I4576" s="6" t="n">
        <x:f>'Historical prices'!D4576</x:f>
        <x:v>0.2816</x:v>
      </x:c>
      <x:c r="J4576" s="13" t="n">
        <x:f>D4576*I4576*H4576</x:f>
        <x:v>0</x:v>
      </x:c>
      <x:c r="K4576" s="13" t="n">
        <x:f>E4576*I4576*H4576</x:f>
        <x:v>0.12886720000000002</x:v>
      </x:c>
      <x:c r="L4576" s="1" t="str">
        <x:f>TEXT(A4576,"mmm yyyy")</x:f>
        <x:v>Aug 2026</x:v>
      </x:c>
    </x:row>
    <x:row r="4577" ht="21" customHeight="1">
      <x:c r="A4577" s="10" t="n">
        <x:v>46243</x:v>
      </x:c>
      <x:c r="B4577" s="1" t="n">
        <x:v>20.5</x:v>
      </x:c>
      <x:c r="C4577" s="1" t="n">
        <x:v>6</x:v>
      </x:c>
      <x:c r="D4577" s="12" t="n">
        <x:v>0</x:v>
      </x:c>
      <x:c r="E4577" s="12" t="n">
        <x:v>0.47950000000000004</x:v>
      </x:c>
      <x:c r="F4577" s="12" t="n">
        <x:v>0.4794166666666667</x:v>
      </x:c>
      <x:c r="G4577" s="12" t="n">
        <x:v>0</x:v>
      </x:c>
      <x:c r="H4577" s="1" t="n">
        <x:f>'Historical prices'!E4577</x:f>
        <x:v>1.05</x:v>
      </x:c>
      <x:c r="I4577" s="6" t="n">
        <x:f>'Historical prices'!D4577</x:f>
        <x:v>0.28600000000000003</x:v>
      </x:c>
      <x:c r="J4577" s="13" t="n">
        <x:f>D4577*I4577*H4577</x:f>
        <x:v>0</x:v>
      </x:c>
      <x:c r="K4577" s="13" t="n">
        <x:f>E4577*I4577*H4577</x:f>
        <x:v>0.14399385000000003</x:v>
      </x:c>
      <x:c r="L4577" s="1" t="str">
        <x:f>TEXT(A4577,"mmm yyyy")</x:f>
        <x:v>Aug 2026</x:v>
      </x:c>
    </x:row>
    <x:row r="4578" ht="21" customHeight="1">
      <x:c r="A4578" s="10" t="n">
        <x:v>46243</x:v>
      </x:c>
      <x:c r="B4578" s="1" t="n">
        <x:v>21</x:v>
      </x:c>
      <x:c r="C4578" s="1" t="n">
        <x:v>6</x:v>
      </x:c>
      <x:c r="D4578" s="12" t="n">
        <x:v>0</x:v>
      </x:c>
      <x:c r="E4578" s="12" t="n">
        <x:v>0.588</x:v>
      </x:c>
      <x:c r="F4578" s="12" t="n">
        <x:v>0.5875833333333333</x:v>
      </x:c>
      <x:c r="G4578" s="12" t="n">
        <x:v>0</x:v>
      </x:c>
      <x:c r="H4578" s="1" t="n">
        <x:f>'Historical prices'!E4578</x:f>
        <x:v>1.05</x:v>
      </x:c>
      <x:c r="I4578" s="6" t="n">
        <x:f>'Historical prices'!D4578</x:f>
        <x:v>0.2764</x:v>
      </x:c>
      <x:c r="J4578" s="13" t="n">
        <x:f>D4578*I4578*H4578</x:f>
        <x:v>0</x:v>
      </x:c>
      <x:c r="K4578" s="13" t="n">
        <x:f>E4578*I4578*H4578</x:f>
        <x:v>0.17064935999999997</x:v>
      </x:c>
      <x:c r="L4578" s="1" t="str">
        <x:f>TEXT(A4578,"mmm yyyy")</x:f>
        <x:v>Aug 2026</x:v>
      </x:c>
    </x:row>
    <x:row r="4579" ht="21" customHeight="1">
      <x:c r="A4579" s="10" t="n">
        <x:v>46243</x:v>
      </x:c>
      <x:c r="B4579" s="1" t="n">
        <x:v>21.5</x:v>
      </x:c>
      <x:c r="C4579" s="1" t="n">
        <x:v>6</x:v>
      </x:c>
      <x:c r="D4579" s="12" t="n">
        <x:v>0</x:v>
      </x:c>
      <x:c r="E4579" s="12" t="n">
        <x:v>0.9886666666666666</x:v>
      </x:c>
      <x:c r="F4579" s="12" t="n">
        <x:v>0.9884999999999999</x:v>
      </x:c>
      <x:c r="G4579" s="12" t="n">
        <x:v>0</x:v>
      </x:c>
      <x:c r="H4579" s="1" t="n">
        <x:f>'Historical prices'!E4579</x:f>
        <x:v>1.05</x:v>
      </x:c>
      <x:c r="I4579" s="6" t="n">
        <x:f>'Historical prices'!D4579</x:f>
        <x:v>0.2761</x:v>
      </x:c>
      <x:c r="J4579" s="13" t="n">
        <x:f>D4579*I4579*H4579</x:f>
        <x:v>0</x:v>
      </x:c>
      <x:c r="K4579" s="13" t="n">
        <x:f>E4579*I4579*H4579</x:f>
        <x:v>0.28661940999999996</x:v>
      </x:c>
      <x:c r="L4579" s="1" t="str">
        <x:f>TEXT(A4579,"mmm yyyy")</x:f>
        <x:v>Aug 2026</x:v>
      </x:c>
    </x:row>
    <x:row r="4580" ht="21" customHeight="1">
      <x:c r="A4580" s="10" t="n">
        <x:v>46243</x:v>
      </x:c>
      <x:c r="B4580" s="1" t="n">
        <x:v>22</x:v>
      </x:c>
      <x:c r="C4580" s="1" t="n">
        <x:v>6</x:v>
      </x:c>
      <x:c r="D4580" s="12" t="n">
        <x:v>0</x:v>
      </x:c>
      <x:c r="E4580" s="12" t="n">
        <x:v>0.3141666666666667</x:v>
      </x:c>
      <x:c r="F4580" s="12" t="n">
        <x:v>0.3135833333333333</x:v>
      </x:c>
      <x:c r="G4580" s="12" t="n">
        <x:v>0</x:v>
      </x:c>
      <x:c r="H4580" s="1" t="n">
        <x:f>'Historical prices'!E4580</x:f>
        <x:v>1.05</x:v>
      </x:c>
      <x:c r="I4580" s="6" t="n">
        <x:f>'Historical prices'!D4580</x:f>
        <x:v>0.26649999999999996</x:v>
      </x:c>
      <x:c r="J4580" s="13" t="n">
        <x:f>D4580*I4580*H4580</x:f>
        <x:v>0</x:v>
      </x:c>
      <x:c r="K4580" s="13" t="n">
        <x:f>E4580*I4580*H4580</x:f>
        <x:v>0.0879116875</x:v>
      </x:c>
      <x:c r="L4580" s="1" t="str">
        <x:f>TEXT(A4580,"mmm yyyy")</x:f>
        <x:v>Aug 2026</x:v>
      </x:c>
    </x:row>
    <x:row r="4581" ht="21" customHeight="1">
      <x:c r="A4581" s="10" t="n">
        <x:v>46243</x:v>
      </x:c>
      <x:c r="B4581" s="1" t="n">
        <x:v>22.5</x:v>
      </x:c>
      <x:c r="C4581" s="1" t="n">
        <x:v>6</x:v>
      </x:c>
      <x:c r="D4581" s="12" t="n">
        <x:v>0</x:v>
      </x:c>
      <x:c r="E4581" s="12" t="n">
        <x:v>0.29583333333333334</x:v>
      </x:c>
      <x:c r="F4581" s="12" t="n">
        <x:v>0.29575</x:v>
      </x:c>
      <x:c r="G4581" s="12" t="n">
        <x:v>0</x:v>
      </x:c>
      <x:c r="H4581" s="1" t="n">
        <x:f>'Historical prices'!E4581</x:f>
        <x:v>1.05</x:v>
      </x:c>
      <x:c r="I4581" s="6" t="n">
        <x:f>'Historical prices'!D4581</x:f>
        <x:v>0.2463</x:v>
      </x:c>
      <x:c r="J4581" s="13" t="n">
        <x:f>D4581*I4581*H4581</x:f>
        <x:v>0</x:v>
      </x:c>
      <x:c r="K4581" s="13" t="n">
        <x:f>E4581*I4581*H4581</x:f>
        <x:v>0.07650693750000001</x:v>
      </x:c>
      <x:c r="L4581" s="1" t="str">
        <x:f>TEXT(A4581,"mmm yyyy")</x:f>
        <x:v>Aug 2026</x:v>
      </x:c>
    </x:row>
    <x:row r="4582" ht="21" customHeight="1">
      <x:c r="A4582" s="10" t="n">
        <x:v>46243</x:v>
      </x:c>
      <x:c r="B4582" s="1" t="n">
        <x:v>23</x:v>
      </x:c>
      <x:c r="C4582" s="1" t="n">
        <x:v>6</x:v>
      </x:c>
      <x:c r="D4582" s="12" t="n">
        <x:v>0</x:v>
      </x:c>
      <x:c r="E4582" s="12" t="n">
        <x:v>0.3545833333333333</x:v>
      </x:c>
      <x:c r="F4582" s="12" t="n">
        <x:v>0.3545</x:v>
      </x:c>
      <x:c r="G4582" s="12" t="n">
        <x:v>0</x:v>
      </x:c>
      <x:c r="H4582" s="1" t="n">
        <x:f>'Historical prices'!E4582</x:f>
        <x:v>1.05</x:v>
      </x:c>
      <x:c r="I4582" s="6" t="n">
        <x:f>'Historical prices'!D4582</x:f>
        <x:v>0.23670000000000002</x:v>
      </x:c>
      <x:c r="J4582" s="13" t="n">
        <x:f>D4582*I4582*H4582</x:f>
        <x:v>0</x:v>
      </x:c>
      <x:c r="K4582" s="13" t="n">
        <x:f>E4582*I4582*H4582</x:f>
        <x:v>0.08812636875</x:v>
      </x:c>
      <x:c r="L4582" s="1" t="str">
        <x:f>TEXT(A4582,"mmm yyyy")</x:f>
        <x:v>Aug 2026</x:v>
      </x:c>
    </x:row>
    <x:row r="4583" ht="21" customHeight="1">
      <x:c r="A4583" s="10" t="n">
        <x:v>46243</x:v>
      </x:c>
      <x:c r="B4583" s="1" t="n">
        <x:v>23.5</x:v>
      </x:c>
      <x:c r="C4583" s="1" t="n">
        <x:v>6</x:v>
      </x:c>
      <x:c r="D4583" s="12" t="n">
        <x:v>0.142</x:v>
      </x:c>
      <x:c r="E4583" s="12" t="n">
        <x:v>0.19308333333333333</x:v>
      </x:c>
      <x:c r="F4583" s="12" t="n">
        <x:v>0.041</x:v>
      </x:c>
      <x:c r="G4583" s="12" t="n">
        <x:v>0</x:v>
      </x:c>
      <x:c r="H4583" s="1" t="n">
        <x:f>'Historical prices'!E4583</x:f>
        <x:v>1.05</x:v>
      </x:c>
      <x:c r="I4583" s="6" t="n">
        <x:f>'Historical prices'!D4583</x:f>
        <x:v>0.222</x:v>
      </x:c>
      <x:c r="J4583" s="13" t="n">
        <x:f>D4583*I4583*H4583</x:f>
        <x:v>0.033100199999999996</x:v>
      </x:c>
      <x:c r="K4583" s="13" t="n">
        <x:f>E4583*I4583*H4583</x:f>
        <x:v>0.045007725</x:v>
      </x:c>
      <x:c r="L4583" s="1" t="str">
        <x:f>TEXT(A4583,"mmm yyyy")</x:f>
        <x:v>Aug 2026</x:v>
      </x:c>
    </x:row>
    <x:row r="4584" ht="21" customHeight="1">
      <x:c r="A4584" s="10" t="n">
        <x:v>46244</x:v>
      </x:c>
      <x:c r="B4584" s="1" t="n">
        <x:v>0</x:v>
      </x:c>
      <x:c r="C4584" s="1" t="n">
        <x:v>6</x:v>
      </x:c>
      <x:c r="D4584" s="12" t="n">
        <x:v>0.223</x:v>
      </x:c>
      <x:c r="E4584" s="12" t="n">
        <x:v>0.234</x:v>
      </x:c>
      <x:c r="F4584" s="12" t="n">
        <x:v>0</x:v>
      </x:c>
      <x:c r="G4584" s="12" t="n">
        <x:v>0</x:v>
      </x:c>
      <x:c r="H4584" s="1" t="n">
        <x:f>'Historical prices'!E4584</x:f>
        <x:v>1.05</x:v>
      </x:c>
      <x:c r="I4584" s="6" t="n">
        <x:f>'Historical prices'!D4584</x:f>
        <x:v>0.20739999999999997</x:v>
      </x:c>
      <x:c r="J4584" s="13" t="n">
        <x:f>D4584*I4584*H4584</x:f>
        <x:v>0.04856271</x:v>
      </x:c>
      <x:c r="K4584" s="13" t="n">
        <x:f>E4584*I4584*H4584</x:f>
        <x:v>0.05095818</x:v>
      </x:c>
      <x:c r="L4584" s="1" t="str">
        <x:f>TEXT(A4584,"mmm yyyy")</x:f>
        <x:v>Aug 2026</x:v>
      </x:c>
    </x:row>
    <x:row r="4585" ht="21" customHeight="1">
      <x:c r="A4585" s="10" t="n">
        <x:v>46244</x:v>
      </x:c>
      <x:c r="B4585" s="1" t="n">
        <x:v>0.5</x:v>
      </x:c>
      <x:c r="C4585" s="1" t="n">
        <x:v>6</x:v>
      </x:c>
      <x:c r="D4585" s="12" t="n">
        <x:v>0.23950000000000002</x:v>
      </x:c>
      <x:c r="E4585" s="12" t="n">
        <x:v>0.24950000000000003</x:v>
      </x:c>
      <x:c r="F4585" s="12" t="n">
        <x:v>0</x:v>
      </x:c>
      <x:c r="G4585" s="12" t="n">
        <x:v>0</x:v>
      </x:c>
      <x:c r="H4585" s="1" t="n">
        <x:f>'Historical prices'!E4585</x:f>
        <x:v>1.05</x:v>
      </x:c>
      <x:c r="I4585" s="6" t="n">
        <x:f>'Historical prices'!D4585</x:f>
        <x:v>0.215</x:v>
      </x:c>
      <x:c r="J4585" s="13" t="n">
        <x:f>D4585*I4585*H4585</x:f>
        <x:v>0.05406712500000001</x:v>
      </x:c>
      <x:c r="K4585" s="13" t="n">
        <x:f>E4585*I4585*H4585</x:f>
        <x:v>0.056324625</x:v>
      </x:c>
      <x:c r="L4585" s="1" t="str">
        <x:f>TEXT(A4585,"mmm yyyy")</x:f>
        <x:v>Aug 2026</x:v>
      </x:c>
    </x:row>
    <x:row r="4586" ht="21" customHeight="1">
      <x:c r="A4586" s="10" t="n">
        <x:v>46244</x:v>
      </x:c>
      <x:c r="B4586" s="1" t="n">
        <x:v>1</x:v>
      </x:c>
      <x:c r="C4586" s="1" t="n">
        <x:v>6</x:v>
      </x:c>
      <x:c r="D4586" s="12" t="n">
        <x:v>0.1565</x:v>
      </x:c>
      <x:c r="E4586" s="12" t="n">
        <x:v>0.16849999999999998</x:v>
      </x:c>
      <x:c r="F4586" s="12" t="n">
        <x:v>0</x:v>
      </x:c>
      <x:c r="G4586" s="12" t="n">
        <x:v>0</x:v>
      </x:c>
      <x:c r="H4586" s="1" t="n">
        <x:f>'Historical prices'!E4586</x:f>
        <x:v>1.05</x:v>
      </x:c>
      <x:c r="I4586" s="6" t="n">
        <x:f>'Historical prices'!D4586</x:f>
        <x:v>0.20739999999999997</x:v>
      </x:c>
      <x:c r="J4586" s="13" t="n">
        <x:f>D4586*I4586*H4586</x:f>
        <x:v>0.034081005</x:v>
      </x:c>
      <x:c r="K4586" s="13" t="n">
        <x:f>E4586*I4586*H4586</x:f>
        <x:v>0.03669424499999999</x:v>
      </x:c>
      <x:c r="L4586" s="1" t="str">
        <x:f>TEXT(A4586,"mmm yyyy")</x:f>
        <x:v>Aug 2026</x:v>
      </x:c>
    </x:row>
    <x:row r="4587" ht="21" customHeight="1">
      <x:c r="A4587" s="10" t="n">
        <x:v>46244</x:v>
      </x:c>
      <x:c r="B4587" s="1" t="n">
        <x:v>1.5</x:v>
      </x:c>
      <x:c r="C4587" s="1" t="n">
        <x:v>6</x:v>
      </x:c>
      <x:c r="D4587" s="12" t="n">
        <x:v>0.16875</x:v>
      </x:c>
      <x:c r="E4587" s="12" t="n">
        <x:v>0.17875</x:v>
      </x:c>
      <x:c r="F4587" s="12" t="n">
        <x:v>0</x:v>
      </x:c>
      <x:c r="G4587" s="12" t="n">
        <x:v>0</x:v>
      </x:c>
      <x:c r="H4587" s="1" t="n">
        <x:f>'Historical prices'!E4587</x:f>
        <x:v>1.05</x:v>
      </x:c>
      <x:c r="I4587" s="6" t="n">
        <x:f>'Historical prices'!D4587</x:f>
        <x:v>0.20879999999999999</x:v>
      </x:c>
      <x:c r="J4587" s="13" t="n">
        <x:f>D4587*I4587*H4587</x:f>
        <x:v>0.03699675</x:v>
      </x:c>
      <x:c r="K4587" s="13" t="n">
        <x:f>E4587*I4587*H4587</x:f>
        <x:v>0.03918915</x:v>
      </x:c>
      <x:c r="L4587" s="1" t="str">
        <x:f>TEXT(A4587,"mmm yyyy")</x:f>
        <x:v>Aug 2026</x:v>
      </x:c>
    </x:row>
    <x:row r="4588" ht="21" customHeight="1">
      <x:c r="A4588" s="10" t="n">
        <x:v>46244</x:v>
      </x:c>
      <x:c r="B4588" s="1" t="n">
        <x:v>2</x:v>
      </x:c>
      <x:c r="C4588" s="1" t="n">
        <x:v>6</x:v>
      </x:c>
      <x:c r="D4588" s="12" t="n">
        <x:v>0.19775</x:v>
      </x:c>
      <x:c r="E4588" s="12" t="n">
        <x:v>0.20875000000000002</x:v>
      </x:c>
      <x:c r="F4588" s="12" t="n">
        <x:v>0</x:v>
      </x:c>
      <x:c r="G4588" s="12" t="n">
        <x:v>0</x:v>
      </x:c>
      <x:c r="H4588" s="1" t="n">
        <x:f>'Historical prices'!E4588</x:f>
        <x:v>1.05</x:v>
      </x:c>
      <x:c r="I4588" s="6" t="n">
        <x:f>'Historical prices'!D4588</x:f>
        <x:v>0.1997</x:v>
      </x:c>
      <x:c r="J4588" s="13" t="n">
        <x:f>D4588*I4588*H4588</x:f>
        <x:v>0.04146520875</x:v>
      </x:c>
      <x:c r="K4588" s="13" t="n">
        <x:f>E4588*I4588*H4588</x:f>
        <x:v>0.04377174375</x:v>
      </x:c>
      <x:c r="L4588" s="1" t="str">
        <x:f>TEXT(A4588,"mmm yyyy")</x:f>
        <x:v>Aug 2026</x:v>
      </x:c>
    </x:row>
    <x:row r="4589" ht="21" customHeight="1">
      <x:c r="A4589" s="10" t="n">
        <x:v>46244</x:v>
      </x:c>
      <x:c r="B4589" s="1" t="n">
        <x:v>2.5</x:v>
      </x:c>
      <x:c r="C4589" s="1" t="n">
        <x:v>6</x:v>
      </x:c>
      <x:c r="D4589" s="12" t="n">
        <x:v>0.21000000000000002</x:v>
      </x:c>
      <x:c r="E4589" s="12" t="n">
        <x:v>0.22</x:v>
      </x:c>
      <x:c r="F4589" s="12" t="n">
        <x:v>0</x:v>
      </x:c>
      <x:c r="G4589" s="12" t="n">
        <x:v>0</x:v>
      </x:c>
      <x:c r="H4589" s="1" t="n">
        <x:f>'Historical prices'!E4589</x:f>
        <x:v>1.05</x:v>
      </x:c>
      <x:c r="I4589" s="6" t="n">
        <x:f>'Historical prices'!D4589</x:f>
        <x:v>0.1961</x:v>
      </x:c>
      <x:c r="J4589" s="13" t="n">
        <x:f>D4589*I4589*H4589</x:f>
        <x:v>0.04324005</x:v>
      </x:c>
      <x:c r="K4589" s="13" t="n">
        <x:f>E4589*I4589*H4589</x:f>
        <x:v>0.0452991</x:v>
      </x:c>
      <x:c r="L4589" s="1" t="str">
        <x:f>TEXT(A4589,"mmm yyyy")</x:f>
        <x:v>Aug 2026</x:v>
      </x:c>
    </x:row>
    <x:row r="4590" ht="21" customHeight="1">
      <x:c r="A4590" s="10" t="n">
        <x:v>46244</x:v>
      </x:c>
      <x:c r="B4590" s="1" t="n">
        <x:v>3</x:v>
      </x:c>
      <x:c r="C4590" s="1" t="n">
        <x:v>6</x:v>
      </x:c>
      <x:c r="D4590" s="12" t="n">
        <x:v>0.179</x:v>
      </x:c>
      <x:c r="E4590" s="12" t="n">
        <x:v>0.19</x:v>
      </x:c>
      <x:c r="F4590" s="12" t="n">
        <x:v>0</x:v>
      </x:c>
      <x:c r="G4590" s="12" t="n">
        <x:v>0</x:v>
      </x:c>
      <x:c r="H4590" s="1" t="n">
        <x:f>'Historical prices'!E4590</x:f>
        <x:v>1.05</x:v>
      </x:c>
      <x:c r="I4590" s="6" t="n">
        <x:f>'Historical prices'!D4590</x:f>
        <x:v>0.2009</x:v>
      </x:c>
      <x:c r="J4590" s="13" t="n">
        <x:f>D4590*I4590*H4590</x:f>
        <x:v>0.037759154999999996</x:v>
      </x:c>
      <x:c r="K4590" s="13" t="n">
        <x:f>E4590*I4590*H4590</x:f>
        <x:v>0.04007955</x:v>
      </x:c>
      <x:c r="L4590" s="1" t="str">
        <x:f>TEXT(A4590,"mmm yyyy")</x:f>
        <x:v>Aug 2026</x:v>
      </x:c>
    </x:row>
    <x:row r="4591" ht="21" customHeight="1">
      <x:c r="A4591" s="10" t="n">
        <x:v>46244</x:v>
      </x:c>
      <x:c r="B4591" s="1" t="n">
        <x:v>3.5</x:v>
      </x:c>
      <x:c r="C4591" s="1" t="n">
        <x:v>6</x:v>
      </x:c>
      <x:c r="D4591" s="12" t="n">
        <x:v>0.17875000000000002</x:v>
      </x:c>
      <x:c r="E4591" s="12" t="n">
        <x:v>0.18975</x:v>
      </x:c>
      <x:c r="F4591" s="12" t="n">
        <x:v>0</x:v>
      </x:c>
      <x:c r="G4591" s="12" t="n">
        <x:v>0</x:v>
      </x:c>
      <x:c r="H4591" s="1" t="n">
        <x:f>'Historical prices'!E4591</x:f>
        <x:v>1.05</x:v>
      </x:c>
      <x:c r="I4591" s="6" t="n">
        <x:f>'Historical prices'!D4591</x:f>
        <x:v>0.19760000000000003</x:v>
      </x:c>
      <x:c r="J4591" s="13" t="n">
        <x:f>D4591*I4591*H4591</x:f>
        <x:v>0.03708705000000001</x:v>
      </x:c>
      <x:c r="K4591" s="13" t="n">
        <x:f>E4591*I4591*H4591</x:f>
        <x:v>0.03936933000000001</x:v>
      </x:c>
      <x:c r="L4591" s="1" t="str">
        <x:f>TEXT(A4591,"mmm yyyy")</x:f>
        <x:v>Aug 2026</x:v>
      </x:c>
    </x:row>
    <x:row r="4592" ht="21" customHeight="1">
      <x:c r="A4592" s="10" t="n">
        <x:v>46244</x:v>
      </x:c>
      <x:c r="B4592" s="1" t="n">
        <x:v>4</x:v>
      </x:c>
      <x:c r="C4592" s="1" t="n">
        <x:v>6</x:v>
      </x:c>
      <x:c r="D4592" s="12" t="n">
        <x:v>0.16924999999999998</x:v>
      </x:c>
      <x:c r="E4592" s="12" t="n">
        <x:v>0.18025</x:v>
      </x:c>
      <x:c r="F4592" s="12" t="n">
        <x:v>0</x:v>
      </x:c>
      <x:c r="G4592" s="12" t="n">
        <x:v>0</x:v>
      </x:c>
      <x:c r="H4592" s="1" t="n">
        <x:f>'Historical prices'!E4592</x:f>
        <x:v>1.05</x:v>
      </x:c>
      <x:c r="I4592" s="6" t="n">
        <x:f>'Historical prices'!D4592</x:f>
        <x:v>0.20420000000000002</x:v>
      </x:c>
      <x:c r="J4592" s="13" t="n">
        <x:f>D4592*I4592*H4592</x:f>
        <x:v>0.036288892499999996</x:v>
      </x:c>
      <x:c r="K4592" s="13" t="n">
        <x:f>E4592*I4592*H4592</x:f>
        <x:v>0.038647402500000004</x:v>
      </x:c>
      <x:c r="L4592" s="1" t="str">
        <x:f>TEXT(A4592,"mmm yyyy")</x:f>
        <x:v>Aug 2026</x:v>
      </x:c>
    </x:row>
    <x:row r="4593" ht="21" customHeight="1">
      <x:c r="A4593" s="10" t="n">
        <x:v>46244</x:v>
      </x:c>
      <x:c r="B4593" s="1" t="n">
        <x:v>4.5</x:v>
      </x:c>
      <x:c r="C4593" s="1" t="n">
        <x:v>6</x:v>
      </x:c>
      <x:c r="D4593" s="12" t="n">
        <x:v>0.275</x:v>
      </x:c>
      <x:c r="E4593" s="12" t="n">
        <x:v>0.284</x:v>
      </x:c>
      <x:c r="F4593" s="12" t="n">
        <x:v>0</x:v>
      </x:c>
      <x:c r="G4593" s="12" t="n">
        <x:v>0</x:v>
      </x:c>
      <x:c r="H4593" s="1" t="n">
        <x:f>'Historical prices'!E4593</x:f>
        <x:v>1.05</x:v>
      </x:c>
      <x:c r="I4593" s="6" t="n">
        <x:f>'Historical prices'!D4593</x:f>
        <x:v>0.2053</x:v>
      </x:c>
      <x:c r="J4593" s="13" t="n">
        <x:f>D4593*I4593*H4593</x:f>
        <x:v>0.05928037500000001</x:v>
      </x:c>
      <x:c r="K4593" s="13" t="n">
        <x:f>E4593*I4593*H4593</x:f>
        <x:v>0.06122046</x:v>
      </x:c>
      <x:c r="L4593" s="1" t="str">
        <x:f>TEXT(A4593,"mmm yyyy")</x:f>
        <x:v>Aug 2026</x:v>
      </x:c>
    </x:row>
    <x:row r="4594" ht="21" customHeight="1">
      <x:c r="A4594" s="10" t="n">
        <x:v>46244</x:v>
      </x:c>
      <x:c r="B4594" s="1" t="n">
        <x:v>5</x:v>
      </x:c>
      <x:c r="C4594" s="1" t="n">
        <x:v>6</x:v>
      </x:c>
      <x:c r="D4594" s="12" t="n">
        <x:v>0.04075</x:v>
      </x:c>
      <x:c r="E4594" s="12" t="n">
        <x:v>0.26391666666666663</x:v>
      </x:c>
      <x:c r="F4594" s="12" t="n">
        <x:v>0.21983333333333335</x:v>
      </x:c>
      <x:c r="G4594" s="12" t="n">
        <x:v>0</x:v>
      </x:c>
      <x:c r="H4594" s="1" t="n">
        <x:f>'Historical prices'!E4594</x:f>
        <x:v>1.05</x:v>
      </x:c>
      <x:c r="I4594" s="6" t="n">
        <x:f>'Historical prices'!D4594</x:f>
        <x:v>0.23629999999999998</x:v>
      </x:c>
      <x:c r="J4594" s="13" t="n">
        <x:f>D4594*I4594*H4594</x:f>
        <x:v>0.01011068625</x:v>
      </x:c>
      <x:c r="K4594" s="13" t="n">
        <x:f>E4594*I4594*H4594</x:f>
        <x:v>0.06548168374999999</x:v>
      </x:c>
      <x:c r="L4594" s="1" t="str">
        <x:f>TEXT(A4594,"mmm yyyy")</x:f>
        <x:v>Aug 2026</x:v>
      </x:c>
    </x:row>
    <x:row r="4595" ht="21" customHeight="1">
      <x:c r="A4595" s="10" t="n">
        <x:v>46244</x:v>
      </x:c>
      <x:c r="B4595" s="1" t="n">
        <x:v>5.5</x:v>
      </x:c>
      <x:c r="C4595" s="1" t="n">
        <x:v>6</x:v>
      </x:c>
      <x:c r="D4595" s="12" t="n">
        <x:v>0</x:v>
      </x:c>
      <x:c r="E4595" s="12" t="n">
        <x:v>0.23766666666666666</x:v>
      </x:c>
      <x:c r="F4595" s="12" t="n">
        <x:v>0.23725</x:v>
      </x:c>
      <x:c r="G4595" s="12" t="n">
        <x:v>0</x:v>
      </x:c>
      <x:c r="H4595" s="1" t="n">
        <x:f>'Historical prices'!E4595</x:f>
        <x:v>1.05</x:v>
      </x:c>
      <x:c r="I4595" s="6" t="n">
        <x:f>'Historical prices'!D4595</x:f>
        <x:v>0.2384</x:v>
      </x:c>
      <x:c r="J4595" s="13" t="n">
        <x:f>D4595*I4595*H4595</x:f>
        <x:v>0</x:v>
      </x:c>
      <x:c r="K4595" s="13" t="n">
        <x:f>E4595*I4595*H4595</x:f>
        <x:v>0.05949272</x:v>
      </x:c>
      <x:c r="L4595" s="1" t="str">
        <x:f>TEXT(A4595,"mmm yyyy")</x:f>
        <x:v>Aug 2026</x:v>
      </x:c>
    </x:row>
    <x:row r="4596" ht="21" customHeight="1">
      <x:c r="A4596" s="10" t="n">
        <x:v>46244</x:v>
      </x:c>
      <x:c r="B4596" s="1" t="n">
        <x:v>6</x:v>
      </x:c>
      <x:c r="C4596" s="1" t="n">
        <x:v>6</x:v>
      </x:c>
      <x:c r="D4596" s="12" t="n">
        <x:v>0</x:v>
      </x:c>
      <x:c r="E4596" s="12" t="n">
        <x:v>0.26916666666666667</x:v>
      </x:c>
      <x:c r="F4596" s="12" t="n">
        <x:v>0.26866666666666666</x:v>
      </x:c>
      <x:c r="G4596" s="12" t="n">
        <x:v>0</x:v>
      </x:c>
      <x:c r="H4596" s="1" t="n">
        <x:f>'Historical prices'!E4596</x:f>
        <x:v>1.05</x:v>
      </x:c>
      <x:c r="I4596" s="6" t="n">
        <x:f>'Historical prices'!D4596</x:f>
        <x:v>0.235</x:v>
      </x:c>
      <x:c r="J4596" s="13" t="n">
        <x:f>D4596*I4596*H4596</x:f>
        <x:v>0</x:v>
      </x:c>
      <x:c r="K4596" s="13" t="n">
        <x:f>E4596*I4596*H4596</x:f>
        <x:v>0.066416875</x:v>
      </x:c>
      <x:c r="L4596" s="1" t="str">
        <x:f>TEXT(A4596,"mmm yyyy")</x:f>
        <x:v>Aug 2026</x:v>
      </x:c>
    </x:row>
    <x:row r="4597" ht="21" customHeight="1">
      <x:c r="A4597" s="10" t="n">
        <x:v>46244</x:v>
      </x:c>
      <x:c r="B4597" s="1" t="n">
        <x:v>6.5</x:v>
      </x:c>
      <x:c r="C4597" s="1" t="n">
        <x:v>6</x:v>
      </x:c>
      <x:c r="D4597" s="12" t="n">
        <x:v>0</x:v>
      </x:c>
      <x:c r="E4597" s="12" t="n">
        <x:v>0.6006666666666667</x:v>
      </x:c>
      <x:c r="F4597" s="12" t="n">
        <x:v>0.6005</x:v>
      </x:c>
      <x:c r="G4597" s="12" t="n">
        <x:v>0</x:v>
      </x:c>
      <x:c r="H4597" s="1" t="n">
        <x:f>'Historical prices'!E4597</x:f>
        <x:v>1.05</x:v>
      </x:c>
      <x:c r="I4597" s="6" t="n">
        <x:f>'Historical prices'!D4597</x:f>
        <x:v>0.24559999999999998</x:v>
      </x:c>
      <x:c r="J4597" s="13" t="n">
        <x:f>D4597*I4597*H4597</x:f>
        <x:v>0</x:v>
      </x:c>
      <x:c r="K4597" s="13" t="n">
        <x:f>E4597*I4597*H4597</x:f>
        <x:v>0.15489992</x:v>
      </x:c>
      <x:c r="L4597" s="1" t="str">
        <x:f>TEXT(A4597,"mmm yyyy")</x:f>
        <x:v>Aug 2026</x:v>
      </x:c>
    </x:row>
    <x:row r="4598" ht="21" customHeight="1">
      <x:c r="A4598" s="10" t="n">
        <x:v>46244</x:v>
      </x:c>
      <x:c r="B4598" s="1" t="n">
        <x:v>7</x:v>
      </x:c>
      <x:c r="C4598" s="1" t="n">
        <x:v>6</x:v>
      </x:c>
      <x:c r="D4598" s="12" t="n">
        <x:v>0</x:v>
      </x:c>
      <x:c r="E4598" s="12" t="n">
        <x:v>0.55</x:v>
      </x:c>
      <x:c r="F4598" s="12" t="n">
        <x:v>0.5495</x:v>
      </x:c>
      <x:c r="G4598" s="12" t="n">
        <x:v>0</x:v>
      </x:c>
      <x:c r="H4598" s="1" t="n">
        <x:f>'Historical prices'!E4598</x:f>
        <x:v>1.05</x:v>
      </x:c>
      <x:c r="I4598" s="6" t="n">
        <x:f>'Historical prices'!D4598</x:f>
        <x:v>0.2339</x:v>
      </x:c>
      <x:c r="J4598" s="13" t="n">
        <x:f>D4598*I4598*H4598</x:f>
        <x:v>0</x:v>
      </x:c>
      <x:c r="K4598" s="13" t="n">
        <x:f>E4598*I4598*H4598</x:f>
        <x:v>0.13507725</x:v>
      </x:c>
      <x:c r="L4598" s="1" t="str">
        <x:f>TEXT(A4598,"mmm yyyy")</x:f>
        <x:v>Aug 2026</x:v>
      </x:c>
    </x:row>
    <x:row r="4599" ht="21" customHeight="1">
      <x:c r="A4599" s="10" t="n">
        <x:v>46244</x:v>
      </x:c>
      <x:c r="B4599" s="1" t="n">
        <x:v>7.5</x:v>
      </x:c>
      <x:c r="C4599" s="1" t="n">
        <x:v>6</x:v>
      </x:c>
      <x:c r="D4599" s="12" t="n">
        <x:v>0</x:v>
      </x:c>
      <x:c r="E4599" s="12" t="n">
        <x:v>0.5505</x:v>
      </x:c>
      <x:c r="F4599" s="12" t="n">
        <x:v>0.5501666666666667</x:v>
      </x:c>
      <x:c r="G4599" s="12" t="n">
        <x:v>0</x:v>
      </x:c>
      <x:c r="H4599" s="1" t="n">
        <x:f>'Historical prices'!E4599</x:f>
        <x:v>1.05</x:v>
      </x:c>
      <x:c r="I4599" s="6" t="n">
        <x:f>'Historical prices'!D4599</x:f>
        <x:v>0.24539999999999998</x:v>
      </x:c>
      <x:c r="J4599" s="13" t="n">
        <x:f>D4599*I4599*H4599</x:f>
        <x:v>0</x:v>
      </x:c>
      <x:c r="K4599" s="13" t="n">
        <x:f>E4599*I4599*H4599</x:f>
        <x:v>0.141847335</x:v>
      </x:c>
      <x:c r="L4599" s="1" t="str">
        <x:f>TEXT(A4599,"mmm yyyy")</x:f>
        <x:v>Aug 2026</x:v>
      </x:c>
    </x:row>
    <x:row r="4600" ht="21" customHeight="1">
      <x:c r="A4600" s="10" t="n">
        <x:v>46244</x:v>
      </x:c>
      <x:c r="B4600" s="1" t="n">
        <x:v>8</x:v>
      </x:c>
      <x:c r="C4600" s="1" t="n">
        <x:v>6</x:v>
      </x:c>
      <x:c r="D4600" s="12" t="n">
        <x:v>0</x:v>
      </x:c>
      <x:c r="E4600" s="12" t="n">
        <x:v>0.5136666666666667</x:v>
      </x:c>
      <x:c r="F4600" s="12" t="n">
        <x:v>0.5134166666666666</x:v>
      </x:c>
      <x:c r="G4600" s="12" t="n">
        <x:v>0</x:v>
      </x:c>
      <x:c r="H4600" s="1" t="n">
        <x:f>'Historical prices'!E4600</x:f>
        <x:v>1.05</x:v>
      </x:c>
      <x:c r="I4600" s="6" t="n">
        <x:f>'Historical prices'!D4600</x:f>
        <x:v>0.2489</x:v>
      </x:c>
      <x:c r="J4600" s="13" t="n">
        <x:f>D4600*I4600*H4600</x:f>
        <x:v>0</x:v>
      </x:c>
      <x:c r="K4600" s="13" t="n">
        <x:f>E4600*I4600*H4600</x:f>
        <x:v>0.13424421500000003</x:v>
      </x:c>
      <x:c r="L4600" s="1" t="str">
        <x:f>TEXT(A4600,"mmm yyyy")</x:f>
        <x:v>Aug 2026</x:v>
      </x:c>
    </x:row>
    <x:row r="4601" ht="21" customHeight="1">
      <x:c r="A4601" s="10" t="n">
        <x:v>46244</x:v>
      </x:c>
      <x:c r="B4601" s="1" t="n">
        <x:v>8.5</x:v>
      </x:c>
      <x:c r="C4601" s="1" t="n">
        <x:v>6</x:v>
      </x:c>
      <x:c r="D4601" s="12" t="n">
        <x:v>0</x:v>
      </x:c>
      <x:c r="E4601" s="12" t="n">
        <x:v>0.5354166666666665</x:v>
      </x:c>
      <x:c r="F4601" s="12" t="n">
        <x:v>0.5325833333333333</x:v>
      </x:c>
      <x:c r="G4601" s="12" t="n">
        <x:v>0</x:v>
      </x:c>
      <x:c r="H4601" s="1" t="n">
        <x:f>'Historical prices'!E4601</x:f>
        <x:v>1.05</x:v>
      </x:c>
      <x:c r="I4601" s="6" t="n">
        <x:f>'Historical prices'!D4601</x:f>
        <x:v>0.2398</x:v>
      </x:c>
      <x:c r="J4601" s="13" t="n">
        <x:f>D4601*I4601*H4601</x:f>
        <x:v>0</x:v>
      </x:c>
      <x:c r="K4601" s="13" t="n">
        <x:f>E4601*I4601*H4601</x:f>
        <x:v>0.13481256249999998</x:v>
      </x:c>
      <x:c r="L4601" s="1" t="str">
        <x:f>TEXT(A4601,"mmm yyyy")</x:f>
        <x:v>Aug 2026</x:v>
      </x:c>
    </x:row>
    <x:row r="4602" ht="21" customHeight="1">
      <x:c r="A4602" s="10" t="n">
        <x:v>46244</x:v>
      </x:c>
      <x:c r="B4602" s="1" t="n">
        <x:v>9</x:v>
      </x:c>
      <x:c r="C4602" s="1" t="n">
        <x:v>6</x:v>
      </x:c>
      <x:c r="D4602" s="12" t="n">
        <x:v>0.54425</x:v>
      </x:c>
      <x:c r="E4602" s="12" t="n">
        <x:v>0.6481666666666666</x:v>
      </x:c>
      <x:c r="F4602" s="12" t="n">
        <x:v>0.09291666666666666</x:v>
      </x:c>
      <x:c r="G4602" s="12" t="n">
        <x:v>0</x:v>
      </x:c>
      <x:c r="H4602" s="1" t="n">
        <x:f>'Historical prices'!E4602</x:f>
        <x:v>1.05</x:v>
      </x:c>
      <x:c r="I4602" s="6" t="n">
        <x:f>'Historical prices'!D4602</x:f>
        <x:v>0.1935</x:v>
      </x:c>
      <x:c r="J4602" s="13" t="n">
        <x:f>D4602*I4602*H4602</x:f>
        <x:v>0.11057799375</x:v>
      </x:c>
      <x:c r="K4602" s="13" t="n">
        <x:f>E4602*I4602*H4602</x:f>
        <x:v>0.1316912625</x:v>
      </x:c>
      <x:c r="L4602" s="1" t="str">
        <x:f>TEXT(A4602,"mmm yyyy")</x:f>
        <x:v>Aug 2026</x:v>
      </x:c>
    </x:row>
    <x:row r="4603" ht="21" customHeight="1">
      <x:c r="A4603" s="10" t="n">
        <x:v>46244</x:v>
      </x:c>
      <x:c r="B4603" s="1" t="n">
        <x:v>9.5</x:v>
      </x:c>
      <x:c r="C4603" s="1" t="n">
        <x:v>6</x:v>
      </x:c>
      <x:c r="D4603" s="12" t="n">
        <x:v>0.5519999999999999</x:v>
      </x:c>
      <x:c r="E4603" s="12" t="n">
        <x:v>0.5619999999999999</x:v>
      </x:c>
      <x:c r="F4603" s="12" t="n">
        <x:v>0</x:v>
      </x:c>
      <x:c r="G4603" s="12" t="n">
        <x:v>0</x:v>
      </x:c>
      <x:c r="H4603" s="1" t="n">
        <x:f>'Historical prices'!E4603</x:f>
        <x:v>1.05</x:v>
      </x:c>
      <x:c r="I4603" s="6" t="n">
        <x:f>'Historical prices'!D4603</x:f>
        <x:v>0.2046</x:v>
      </x:c>
      <x:c r="J4603" s="13" t="n">
        <x:f>D4603*I4603*H4603</x:f>
        <x:v>0.11858616</x:v>
      </x:c>
      <x:c r="K4603" s="13" t="n">
        <x:f>E4603*I4603*H4603</x:f>
        <x:v>0.12073446</x:v>
      </x:c>
      <x:c r="L4603" s="1" t="str">
        <x:f>TEXT(A4603,"mmm yyyy")</x:f>
        <x:v>Aug 2026</x:v>
      </x:c>
    </x:row>
    <x:row r="4604" ht="21" customHeight="1">
      <x:c r="A4604" s="10" t="n">
        <x:v>46244</x:v>
      </x:c>
      <x:c r="B4604" s="1" t="n">
        <x:v>10</x:v>
      </x:c>
      <x:c r="C4604" s="1" t="n">
        <x:v>6</x:v>
      </x:c>
      <x:c r="D4604" s="12" t="n">
        <x:v>4.62425</x:v>
      </x:c>
      <x:c r="E4604" s="12" t="n">
        <x:v>0.8862500000000001</x:v>
      </x:c>
      <x:c r="F4604" s="12" t="n">
        <x:v>0</x:v>
      </x:c>
      <x:c r="G4604" s="12" t="n">
        <x:v>3.739</x:v>
      </x:c>
      <x:c r="H4604" s="1" t="n">
        <x:f>'Historical prices'!E4604</x:f>
        <x:v>1.05</x:v>
      </x:c>
      <x:c r="I4604" s="6" t="n">
        <x:f>'Historical prices'!D4604</x:f>
        <x:v>0.1818</x:v>
      </x:c>
      <x:c r="J4604" s="13" t="n">
        <x:f>D4604*I4604*H4604</x:f>
        <x:v>0.8827230825</x:v>
      </x:c>
      <x:c r="K4604" s="13" t="n">
        <x:f>E4604*I4604*H4604</x:f>
        <x:v>0.16917626250000004</x:v>
      </x:c>
      <x:c r="L4604" s="1" t="str">
        <x:f>TEXT(A4604,"mmm yyyy")</x:f>
        <x:v>Aug 2026</x:v>
      </x:c>
    </x:row>
    <x:row r="4605" ht="21" customHeight="1">
      <x:c r="A4605" s="10" t="n">
        <x:v>46244</x:v>
      </x:c>
      <x:c r="B4605" s="1" t="n">
        <x:v>10.5</x:v>
      </x:c>
      <x:c r="C4605" s="1" t="n">
        <x:v>6</x:v>
      </x:c>
      <x:c r="D4605" s="12" t="n">
        <x:v>1.26125</x:v>
      </x:c>
      <x:c r="E4605" s="12" t="n">
        <x:v>0.53025</x:v>
      </x:c>
      <x:c r="F4605" s="12" t="n">
        <x:v>0</x:v>
      </x:c>
      <x:c r="G4605" s="12" t="n">
        <x:v>0.733</x:v>
      </x:c>
      <x:c r="H4605" s="1" t="n">
        <x:f>'Historical prices'!E4605</x:f>
        <x:v>1.05</x:v>
      </x:c>
      <x:c r="I4605" s="6" t="n">
        <x:f>'Historical prices'!D4605</x:f>
        <x:v>0.19440000000000002</x:v>
      </x:c>
      <x:c r="J4605" s="13" t="n">
        <x:f>D4605*I4605*H4605</x:f>
        <x:v>0.25744635000000005</x:v>
      </x:c>
      <x:c r="K4605" s="13" t="n">
        <x:f>E4605*I4605*H4605</x:f>
        <x:v>0.10823463000000001</x:v>
      </x:c>
      <x:c r="L4605" s="1" t="str">
        <x:f>TEXT(A4605,"mmm yyyy")</x:f>
        <x:v>Aug 2026</x:v>
      </x:c>
    </x:row>
    <x:row r="4606" ht="21" customHeight="1">
      <x:c r="A4606" s="10" t="n">
        <x:v>46244</x:v>
      </x:c>
      <x:c r="B4606" s="1" t="n">
        <x:v>11</x:v>
      </x:c>
      <x:c r="C4606" s="1" t="n">
        <x:v>6</x:v>
      </x:c>
      <x:c r="D4606" s="12" t="n">
        <x:v>0.5245</x:v>
      </x:c>
      <x:c r="E4606" s="12" t="n">
        <x:v>0.5355</x:v>
      </x:c>
      <x:c r="F4606" s="12" t="n">
        <x:v>0</x:v>
      </x:c>
      <x:c r="G4606" s="12" t="n">
        <x:v>0</x:v>
      </x:c>
      <x:c r="H4606" s="1" t="n">
        <x:f>'Historical prices'!E4606</x:f>
        <x:v>1.05</x:v>
      </x:c>
      <x:c r="I4606" s="6" t="n">
        <x:f>'Historical prices'!D4606</x:f>
        <x:v>0.1886</x:v>
      </x:c>
      <x:c r="J4606" s="13" t="n">
        <x:f>D4606*I4606*H4606</x:f>
        <x:v>0.10386673499999999</x:v>
      </x:c>
      <x:c r="K4606" s="13" t="n">
        <x:f>E4606*I4606*H4606</x:f>
        <x:v>0.106045065</x:v>
      </x:c>
      <x:c r="L4606" s="1" t="str">
        <x:f>TEXT(A4606,"mmm yyyy")</x:f>
        <x:v>Aug 2026</x:v>
      </x:c>
    </x:row>
    <x:row r="4607" ht="21" customHeight="1">
      <x:c r="A4607" s="10" t="n">
        <x:v>46244</x:v>
      </x:c>
      <x:c r="B4607" s="1" t="n">
        <x:v>11.5</x:v>
      </x:c>
      <x:c r="C4607" s="1" t="n">
        <x:v>6</x:v>
      </x:c>
      <x:c r="D4607" s="12" t="n">
        <x:v>0.5275</x:v>
      </x:c>
      <x:c r="E4607" s="12" t="n">
        <x:v>0.5395</x:v>
      </x:c>
      <x:c r="F4607" s="12" t="n">
        <x:v>0</x:v>
      </x:c>
      <x:c r="G4607" s="12" t="n">
        <x:v>0</x:v>
      </x:c>
      <x:c r="H4607" s="1" t="n">
        <x:f>'Historical prices'!E4607</x:f>
        <x:v>1.05</x:v>
      </x:c>
      <x:c r="I4607" s="6" t="n">
        <x:f>'Historical prices'!D4607</x:f>
        <x:v>0.18460000000000001</x:v>
      </x:c>
      <x:c r="J4607" s="13" t="n">
        <x:f>D4607*I4607*H4607</x:f>
        <x:v>0.10224532500000001</x:v>
      </x:c>
      <x:c r="K4607" s="13" t="n">
        <x:f>E4607*I4607*H4607</x:f>
        <x:v>0.10457128500000001</x:v>
      </x:c>
      <x:c r="L4607" s="1" t="str">
        <x:f>TEXT(A4607,"mmm yyyy")</x:f>
        <x:v>Aug 2026</x:v>
      </x:c>
    </x:row>
    <x:row r="4608" ht="21" customHeight="1">
      <x:c r="A4608" s="10" t="n">
        <x:v>46244</x:v>
      </x:c>
      <x:c r="B4608" s="1" t="n">
        <x:v>12</x:v>
      </x:c>
      <x:c r="C4608" s="1" t="n">
        <x:v>6</x:v>
      </x:c>
      <x:c r="D4608" s="12" t="n">
        <x:v>0.47000000000000003</x:v>
      </x:c>
      <x:c r="E4608" s="12" t="n">
        <x:v>0.48100000000000004</x:v>
      </x:c>
      <x:c r="F4608" s="12" t="n">
        <x:v>0</x:v>
      </x:c>
      <x:c r="G4608" s="12" t="n">
        <x:v>0</x:v>
      </x:c>
      <x:c r="H4608" s="1" t="n">
        <x:f>'Historical prices'!E4608</x:f>
        <x:v>1.05</x:v>
      </x:c>
      <x:c r="I4608" s="6" t="n">
        <x:f>'Historical prices'!D4608</x:f>
        <x:v>0.1867</x:v>
      </x:c>
      <x:c r="J4608" s="13" t="n">
        <x:f>D4608*I4608*H4608</x:f>
        <x:v>0.09213645000000001</x:v>
      </x:c>
      <x:c r="K4608" s="13" t="n">
        <x:f>E4608*I4608*H4608</x:f>
        <x:v>0.09429283500000002</x:v>
      </x:c>
      <x:c r="L4608" s="1" t="str">
        <x:f>TEXT(A4608,"mmm yyyy")</x:f>
        <x:v>Aug 2026</x:v>
      </x:c>
    </x:row>
    <x:row r="4609" ht="21" customHeight="1">
      <x:c r="A4609" s="10" t="n">
        <x:v>46244</x:v>
      </x:c>
      <x:c r="B4609" s="1" t="n">
        <x:v>12.5</x:v>
      </x:c>
      <x:c r="C4609" s="1" t="n">
        <x:v>6</x:v>
      </x:c>
      <x:c r="D4609" s="12" t="n">
        <x:v>0.46825</x:v>
      </x:c>
      <x:c r="E4609" s="12" t="n">
        <x:v>0.47825</x:v>
      </x:c>
      <x:c r="F4609" s="12" t="n">
        <x:v>0</x:v>
      </x:c>
      <x:c r="G4609" s="12" t="n">
        <x:v>0</x:v>
      </x:c>
      <x:c r="H4609" s="1" t="n">
        <x:f>'Historical prices'!E4609</x:f>
        <x:v>1.05</x:v>
      </x:c>
      <x:c r="I4609" s="6" t="n">
        <x:f>'Historical prices'!D4609</x:f>
        <x:v>0.18469999999999998</x:v>
      </x:c>
      <x:c r="J4609" s="13" t="n">
        <x:f>D4609*I4609*H4609</x:f>
        <x:v>0.09081006374999999</x:v>
      </x:c>
      <x:c r="K4609" s="13" t="n">
        <x:f>E4609*I4609*H4609</x:f>
        <x:v>0.09274941375</x:v>
      </x:c>
      <x:c r="L4609" s="1" t="str">
        <x:f>TEXT(A4609,"mmm yyyy")</x:f>
        <x:v>Aug 2026</x:v>
      </x:c>
    </x:row>
    <x:row r="4610" ht="21" customHeight="1">
      <x:c r="A4610" s="10" t="n">
        <x:v>46244</x:v>
      </x:c>
      <x:c r="B4610" s="1" t="n">
        <x:v>13</x:v>
      </x:c>
      <x:c r="C4610" s="1" t="n">
        <x:v>6</x:v>
      </x:c>
      <x:c r="D4610" s="12" t="n">
        <x:v>4.78675</x:v>
      </x:c>
      <x:c r="E4610" s="12" t="n">
        <x:v>0.8047499999999999</x:v>
      </x:c>
      <x:c r="F4610" s="12" t="n">
        <x:v>0</x:v>
      </x:c>
      <x:c r="G4610" s="12" t="n">
        <x:v>3.984</x:v>
      </x:c>
      <x:c r="H4610" s="1" t="n">
        <x:f>'Historical prices'!E4610</x:f>
        <x:v>1.05</x:v>
      </x:c>
      <x:c r="I4610" s="6" t="n">
        <x:f>'Historical prices'!D4610</x:f>
        <x:v>0.1818</x:v>
      </x:c>
      <x:c r="J4610" s="13" t="n">
        <x:f>D4610*I4610*H4610</x:f>
        <x:v>0.9137427074999999</x:v>
      </x:c>
      <x:c r="K4610" s="13" t="n">
        <x:f>E4610*I4610*H4610</x:f>
        <x:v>0.15361872749999997</x:v>
      </x:c>
      <x:c r="L4610" s="1" t="str">
        <x:f>TEXT(A4610,"mmm yyyy")</x:f>
        <x:v>Aug 2026</x:v>
      </x:c>
    </x:row>
    <x:row r="4611" ht="21" customHeight="1">
      <x:c r="A4611" s="10" t="n">
        <x:v>46244</x:v>
      </x:c>
      <x:c r="B4611" s="1" t="n">
        <x:v>13.5</x:v>
      </x:c>
      <x:c r="C4611" s="1" t="n">
        <x:v>6</x:v>
      </x:c>
      <x:c r="D4611" s="12" t="n">
        <x:v>5.5440000000000005</x:v>
      </x:c>
      <x:c r="E4611" s="12" t="n">
        <x:v>0.758</x:v>
      </x:c>
      <x:c r="F4611" s="12" t="n">
        <x:v>0</x:v>
      </x:c>
      <x:c r="G4611" s="12" t="n">
        <x:v>4.7860000000000005</x:v>
      </x:c>
      <x:c r="H4611" s="1" t="n">
        <x:f>'Historical prices'!E4611</x:f>
        <x:v>1.05</x:v>
      </x:c>
      <x:c r="I4611" s="6" t="n">
        <x:f>'Historical prices'!D4611</x:f>
        <x:v>0.1818</x:v>
      </x:c>
      <x:c r="J4611" s="13" t="n">
        <x:f>D4611*I4611*H4611</x:f>
        <x:v>1.05829416</x:v>
      </x:c>
      <x:c r="K4611" s="13" t="n">
        <x:f>E4611*I4611*H4611</x:f>
        <x:v>0.14469462</x:v>
      </x:c>
      <x:c r="L4611" s="1" t="str">
        <x:f>TEXT(A4611,"mmm yyyy")</x:f>
        <x:v>Aug 2026</x:v>
      </x:c>
    </x:row>
    <x:row r="4612" ht="21" customHeight="1">
      <x:c r="A4612" s="10" t="n">
        <x:v>46244</x:v>
      </x:c>
      <x:c r="B4612" s="1" t="n">
        <x:v>14</x:v>
      </x:c>
      <x:c r="C4612" s="1" t="n">
        <x:v>6</x:v>
      </x:c>
      <x:c r="D4612" s="12" t="n">
        <x:v>5.3767499999999995</x:v>
      </x:c>
      <x:c r="E4612" s="12" t="n">
        <x:v>0.7217500000000001</x:v>
      </x:c>
      <x:c r="F4612" s="12" t="n">
        <x:v>0</x:v>
      </x:c>
      <x:c r="G4612" s="12" t="n">
        <x:v>4.655</x:v>
      </x:c>
      <x:c r="H4612" s="1" t="n">
        <x:f>'Historical prices'!E4612</x:f>
        <x:v>1.05</x:v>
      </x:c>
      <x:c r="I4612" s="6" t="n">
        <x:f>'Historical prices'!D4612</x:f>
        <x:v>0.18350000000000002</x:v>
      </x:c>
      <x:c r="J4612" s="13" t="n">
        <x:f>D4612*I4612*H4612</x:f>
        <x:v>1.03596530625</x:v>
      </x:c>
      <x:c r="K4612" s="13" t="n">
        <x:f>E4612*I4612*H4612</x:f>
        <x:v>0.13906318125000006</x:v>
      </x:c>
      <x:c r="L4612" s="1" t="str">
        <x:f>TEXT(A4612,"mmm yyyy")</x:f>
        <x:v>Aug 2026</x:v>
      </x:c>
    </x:row>
    <x:row r="4613" ht="21" customHeight="1">
      <x:c r="A4613" s="10" t="n">
        <x:v>46244</x:v>
      </x:c>
      <x:c r="B4613" s="1" t="n">
        <x:v>14.5</x:v>
      </x:c>
      <x:c r="C4613" s="1" t="n">
        <x:v>6</x:v>
      </x:c>
      <x:c r="D4613" s="12" t="n">
        <x:v>1.6370000000000002</x:v>
      </x:c>
      <x:c r="E4613" s="12" t="n">
        <x:v>0.552</x:v>
      </x:c>
      <x:c r="F4613" s="12" t="n">
        <x:v>0</x:v>
      </x:c>
      <x:c r="G4613" s="12" t="n">
        <x:v>1.085</x:v>
      </x:c>
      <x:c r="H4613" s="1" t="n">
        <x:f>'Historical prices'!E4613</x:f>
        <x:v>1.05</x:v>
      </x:c>
      <x:c r="I4613" s="6" t="n">
        <x:f>'Historical prices'!D4613</x:f>
        <x:v>0.18460000000000001</x:v>
      </x:c>
      <x:c r="J4613" s="13" t="n">
        <x:f>D4613*I4613*H4613</x:f>
        <x:v>0.31729971000000007</x:v>
      </x:c>
      <x:c r="K4613" s="13" t="n">
        <x:f>E4613*I4613*H4613</x:f>
        <x:v>0.10699416000000003</x:v>
      </x:c>
      <x:c r="L4613" s="1" t="str">
        <x:f>TEXT(A4613,"mmm yyyy")</x:f>
        <x:v>Aug 2026</x:v>
      </x:c>
    </x:row>
    <x:row r="4614" ht="21" customHeight="1">
      <x:c r="A4614" s="10" t="n">
        <x:v>46244</x:v>
      </x:c>
      <x:c r="B4614" s="1" t="n">
        <x:v>15</x:v>
      </x:c>
      <x:c r="C4614" s="1" t="n">
        <x:v>6</x:v>
      </x:c>
      <x:c r="D4614" s="12" t="n">
        <x:v>0.58425</x:v>
      </x:c>
      <x:c r="E4614" s="12" t="n">
        <x:v>0.53025</x:v>
      </x:c>
      <x:c r="F4614" s="12" t="n">
        <x:v>0</x:v>
      </x:c>
      <x:c r="G4614" s="12" t="n">
        <x:v>0.064</x:v>
      </x:c>
      <x:c r="H4614" s="1" t="n">
        <x:f>'Historical prices'!E4614</x:f>
        <x:v>1.05</x:v>
      </x:c>
      <x:c r="I4614" s="6" t="n">
        <x:f>'Historical prices'!D4614</x:f>
        <x:v>0.1892</x:v>
      </x:c>
      <x:c r="J4614" s="13" t="n">
        <x:f>D4614*I4614*H4614</x:f>
        <x:v>0.11606710500000002</x:v>
      </x:c>
      <x:c r="K4614" s="13" t="n">
        <x:f>E4614*I4614*H4614</x:f>
        <x:v>0.10533946500000001</x:v>
      </x:c>
      <x:c r="L4614" s="1" t="str">
        <x:f>TEXT(A4614,"mmm yyyy")</x:f>
        <x:v>Aug 2026</x:v>
      </x:c>
    </x:row>
    <x:row r="4615" ht="21" customHeight="1">
      <x:c r="A4615" s="10" t="n">
        <x:v>46244</x:v>
      </x:c>
      <x:c r="B4615" s="1" t="n">
        <x:v>15.5</x:v>
      </x:c>
      <x:c r="C4615" s="1" t="n">
        <x:v>6</x:v>
      </x:c>
      <x:c r="D4615" s="12" t="n">
        <x:v>0.48875</x:v>
      </x:c>
      <x:c r="E4615" s="12" t="n">
        <x:v>0.49975</x:v>
      </x:c>
      <x:c r="F4615" s="12" t="n">
        <x:v>0</x:v>
      </x:c>
      <x:c r="G4615" s="12" t="n">
        <x:v>0</x:v>
      </x:c>
      <x:c r="H4615" s="1" t="n">
        <x:f>'Historical prices'!E4615</x:f>
        <x:v>1.05</x:v>
      </x:c>
      <x:c r="I4615" s="6" t="n">
        <x:f>'Historical prices'!D4615</x:f>
        <x:v>0.1881</x:v>
      </x:c>
      <x:c r="J4615" s="13" t="n">
        <x:f>D4615*I4615*H4615</x:f>
        <x:v>0.09653056875</x:v>
      </x:c>
      <x:c r="K4615" s="13" t="n">
        <x:f>E4615*I4615*H4615</x:f>
        <x:v>0.09870312375000001</x:v>
      </x:c>
      <x:c r="L4615" s="1" t="str">
        <x:f>TEXT(A4615,"mmm yyyy")</x:f>
        <x:v>Aug 2026</x:v>
      </x:c>
    </x:row>
    <x:row r="4616" ht="21" customHeight="1">
      <x:c r="A4616" s="10" t="n">
        <x:v>46244</x:v>
      </x:c>
      <x:c r="B4616" s="1" t="n">
        <x:v>16</x:v>
      </x:c>
      <x:c r="C4616" s="1" t="n">
        <x:v>6</x:v>
      </x:c>
      <x:c r="D4616" s="12" t="n">
        <x:v>0.067</x:v>
      </x:c>
      <x:c r="E4616" s="12" t="n">
        <x:v>0.49291666666666667</x:v>
      </x:c>
      <x:c r="F4616" s="12" t="n">
        <x:v>0.4249166666666666</x:v>
      </x:c>
      <x:c r="G4616" s="12" t="n">
        <x:v>0</x:v>
      </x:c>
      <x:c r="H4616" s="1" t="n">
        <x:f>'Historical prices'!E4616</x:f>
        <x:v>1.05</x:v>
      </x:c>
      <x:c r="I4616" s="6" t="n">
        <x:f>'Historical prices'!D4616</x:f>
        <x:v>0.31129999999999997</x:v>
      </x:c>
      <x:c r="J4616" s="13" t="n">
        <x:f>D4616*I4616*H4616</x:f>
        <x:v>0.021899955000000002</x:v>
      </x:c>
      <x:c r="K4616" s="13" t="n">
        <x:f>E4616*I4616*H4616</x:f>
        <x:v>0.16111720625</x:v>
      </x:c>
      <x:c r="L4616" s="1" t="str">
        <x:f>TEXT(A4616,"mmm yyyy")</x:f>
        <x:v>Aug 2026</x:v>
      </x:c>
    </x:row>
    <x:row r="4617" ht="21" customHeight="1">
      <x:c r="A4617" s="10" t="n">
        <x:v>46244</x:v>
      </x:c>
      <x:c r="B4617" s="1" t="n">
        <x:v>16.5</x:v>
      </x:c>
      <x:c r="C4617" s="1" t="n">
        <x:v>6</x:v>
      </x:c>
      <x:c r="D4617" s="12" t="n">
        <x:v>0</x:v>
      </x:c>
      <x:c r="E4617" s="12" t="n">
        <x:v>0.5425833333333333</x:v>
      </x:c>
      <x:c r="F4617" s="12" t="n">
        <x:v>0.5425833333333333</x:v>
      </x:c>
      <x:c r="G4617" s="12" t="n">
        <x:v>0</x:v>
      </x:c>
      <x:c r="H4617" s="1" t="n">
        <x:f>'Historical prices'!E4617</x:f>
        <x:v>1.05</x:v>
      </x:c>
      <x:c r="I4617" s="6" t="n">
        <x:f>'Historical prices'!D4617</x:f>
        <x:v>0.3211</x:v>
      </x:c>
      <x:c r="J4617" s="13" t="n">
        <x:f>D4617*I4617*H4617</x:f>
        <x:v>0</x:v>
      </x:c>
      <x:c r="K4617" s="13" t="n">
        <x:f>E4617*I4617*H4617</x:f>
        <x:v>0.18293468375</x:v>
      </x:c>
      <x:c r="L4617" s="1" t="str">
        <x:f>TEXT(A4617,"mmm yyyy")</x:f>
        <x:v>Aug 2026</x:v>
      </x:c>
    </x:row>
    <x:row r="4618" ht="21" customHeight="1">
      <x:c r="A4618" s="10" t="n">
        <x:v>46244</x:v>
      </x:c>
      <x:c r="B4618" s="1" t="n">
        <x:v>17</x:v>
      </x:c>
      <x:c r="C4618" s="1" t="n">
        <x:v>6</x:v>
      </x:c>
      <x:c r="D4618" s="12" t="n">
        <x:v>0</x:v>
      </x:c>
      <x:c r="E4618" s="12" t="n">
        <x:v>0.6488333333333334</x:v>
      </x:c>
      <x:c r="F4618" s="12" t="n">
        <x:v>0.6483333333333334</x:v>
      </x:c>
      <x:c r="G4618" s="12" t="n">
        <x:v>0</x:v>
      </x:c>
      <x:c r="H4618" s="1" t="n">
        <x:f>'Historical prices'!E4618</x:f>
        <x:v>1.05</x:v>
      </x:c>
      <x:c r="I4618" s="6" t="n">
        <x:f>'Historical prices'!D4618</x:f>
        <x:v>0.3361</x:v>
      </x:c>
      <x:c r="J4618" s="13" t="n">
        <x:f>D4618*I4618*H4618</x:f>
        <x:v>0</x:v>
      </x:c>
      <x:c r="K4618" s="13" t="n">
        <x:f>E4618*I4618*H4618</x:f>
        <x:v>0.22897652750000003</x:v>
      </x:c>
      <x:c r="L4618" s="1" t="str">
        <x:f>TEXT(A4618,"mmm yyyy")</x:f>
        <x:v>Aug 2026</x:v>
      </x:c>
    </x:row>
    <x:row r="4619" ht="21" customHeight="1">
      <x:c r="A4619" s="10" t="n">
        <x:v>46244</x:v>
      </x:c>
      <x:c r="B4619" s="1" t="n">
        <x:v>17.5</x:v>
      </x:c>
      <x:c r="C4619" s="1" t="n">
        <x:v>6</x:v>
      </x:c>
      <x:c r="D4619" s="12" t="n">
        <x:v>0</x:v>
      </x:c>
      <x:c r="E4619" s="12" t="n">
        <x:v>0.8389166666666666</x:v>
      </x:c>
      <x:c r="F4619" s="12" t="n">
        <x:v>0.8388333333333333</x:v>
      </x:c>
      <x:c r="G4619" s="12" t="n">
        <x:v>0</x:v>
      </x:c>
      <x:c r="H4619" s="1" t="n">
        <x:f>'Historical prices'!E4619</x:f>
        <x:v>1.05</x:v>
      </x:c>
      <x:c r="I4619" s="6" t="n">
        <x:f>'Historical prices'!D4619</x:f>
        <x:v>0.3642</x:v>
      </x:c>
      <x:c r="J4619" s="13" t="n">
        <x:f>D4619*I4619*H4619</x:f>
        <x:v>0</x:v>
      </x:c>
      <x:c r="K4619" s="13" t="n">
        <x:f>E4619*I4619*H4619</x:f>
        <x:v>0.3208101225</x:v>
      </x:c>
      <x:c r="L4619" s="1" t="str">
        <x:f>TEXT(A4619,"mmm yyyy")</x:f>
        <x:v>Aug 2026</x:v>
      </x:c>
    </x:row>
    <x:row r="4620" ht="21" customHeight="1">
      <x:c r="A4620" s="10" t="n">
        <x:v>46244</x:v>
      </x:c>
      <x:c r="B4620" s="1" t="n">
        <x:v>18</x:v>
      </x:c>
      <x:c r="C4620" s="1" t="n">
        <x:v>6</x:v>
      </x:c>
      <x:c r="D4620" s="12" t="n">
        <x:v>0</x:v>
      </x:c>
      <x:c r="E4620" s="12" t="n">
        <x:v>0.5675</x:v>
      </x:c>
      <x:c r="F4620" s="12" t="n">
        <x:v>0.5670833333333333</x:v>
      </x:c>
      <x:c r="G4620" s="12" t="n">
        <x:v>0</x:v>
      </x:c>
      <x:c r="H4620" s="1" t="n">
        <x:f>'Historical prices'!E4620</x:f>
        <x:v>1.05</x:v>
      </x:c>
      <x:c r="I4620" s="6" t="n">
        <x:f>'Historical prices'!D4620</x:f>
        <x:v>0.4</x:v>
      </x:c>
      <x:c r="J4620" s="13" t="n">
        <x:f>D4620*I4620*H4620</x:f>
        <x:v>0</x:v>
      </x:c>
      <x:c r="K4620" s="13" t="n">
        <x:f>E4620*I4620*H4620</x:f>
        <x:v>0.23835</x:v>
      </x:c>
      <x:c r="L4620" s="1" t="str">
        <x:f>TEXT(A4620,"mmm yyyy")</x:f>
        <x:v>Aug 2026</x:v>
      </x:c>
    </x:row>
    <x:row r="4621" ht="21" customHeight="1">
      <x:c r="A4621" s="10" t="n">
        <x:v>46244</x:v>
      </x:c>
      <x:c r="B4621" s="1" t="n">
        <x:v>18.5</x:v>
      </x:c>
      <x:c r="C4621" s="1" t="n">
        <x:v>6</x:v>
      </x:c>
      <x:c r="D4621" s="12" t="n">
        <x:v>0</x:v>
      </x:c>
      <x:c r="E4621" s="12" t="n">
        <x:v>0.5868333333333333</x:v>
      </x:c>
      <x:c r="F4621" s="12" t="n">
        <x:v>0.5865</x:v>
      </x:c>
      <x:c r="G4621" s="12" t="n">
        <x:v>0</x:v>
      </x:c>
      <x:c r="H4621" s="1" t="n">
        <x:f>'Historical prices'!E4621</x:f>
        <x:v>1.05</x:v>
      </x:c>
      <x:c r="I4621" s="6" t="n">
        <x:f>'Historical prices'!D4621</x:f>
        <x:v>0.4252</x:v>
      </x:c>
      <x:c r="J4621" s="13" t="n">
        <x:f>D4621*I4621*H4621</x:f>
        <x:v>0</x:v>
      </x:c>
      <x:c r="K4621" s="13" t="n">
        <x:f>E4621*I4621*H4621</x:f>
        <x:v>0.26199761000000005</x:v>
      </x:c>
      <x:c r="L4621" s="1" t="str">
        <x:f>TEXT(A4621,"mmm yyyy")</x:f>
        <x:v>Aug 2026</x:v>
      </x:c>
    </x:row>
    <x:row r="4622" ht="21" customHeight="1">
      <x:c r="A4622" s="10" t="n">
        <x:v>46244</x:v>
      </x:c>
      <x:c r="B4622" s="1" t="n">
        <x:v>19</x:v>
      </x:c>
      <x:c r="C4622" s="1" t="n">
        <x:v>6</x:v>
      </x:c>
      <x:c r="D4622" s="12" t="n">
        <x:v>0</x:v>
      </x:c>
      <x:c r="E4622" s="12" t="n">
        <x:v>0.6249166666666666</x:v>
      </x:c>
      <x:c r="F4622" s="12" t="n">
        <x:v>0.6246666666666666</x:v>
      </x:c>
      <x:c r="G4622" s="12" t="n">
        <x:v>0</x:v>
      </x:c>
      <x:c r="H4622" s="1" t="n">
        <x:f>'Historical prices'!E4622</x:f>
        <x:v>1.05</x:v>
      </x:c>
      <x:c r="I4622" s="6" t="n">
        <x:f>'Historical prices'!D4622</x:f>
        <x:v>0.3243</x:v>
      </x:c>
      <x:c r="J4622" s="13" t="n">
        <x:f>D4622*I4622*H4622</x:f>
        <x:v>0</x:v>
      </x:c>
      <x:c r="K4622" s="13" t="n">
        <x:f>E4622*I4622*H4622</x:f>
        <x:v>0.21279349874999995</x:v>
      </x:c>
      <x:c r="L4622" s="1" t="str">
        <x:f>TEXT(A4622,"mmm yyyy")</x:f>
        <x:v>Aug 2026</x:v>
      </x:c>
    </x:row>
    <x:row r="4623" ht="21" customHeight="1">
      <x:c r="A4623" s="10" t="n">
        <x:v>46244</x:v>
      </x:c>
      <x:c r="B4623" s="1" t="n">
        <x:v>19.5</x:v>
      </x:c>
      <x:c r="C4623" s="1" t="n">
        <x:v>6</x:v>
      </x:c>
      <x:c r="D4623" s="12" t="n">
        <x:v>0</x:v>
      </x:c>
      <x:c r="E4623" s="12" t="n">
        <x:v>0.5999166666666667</x:v>
      </x:c>
      <x:c r="F4623" s="12" t="n">
        <x:v>0.5993333333333334</x:v>
      </x:c>
      <x:c r="G4623" s="12" t="n">
        <x:v>0</x:v>
      </x:c>
      <x:c r="H4623" s="1" t="n">
        <x:f>'Historical prices'!E4623</x:f>
        <x:v>1.05</x:v>
      </x:c>
      <x:c r="I4623" s="6" t="n">
        <x:f>'Historical prices'!D4623</x:f>
        <x:v>0.3204</x:v>
      </x:c>
      <x:c r="J4623" s="13" t="n">
        <x:f>D4623*I4623*H4623</x:f>
        <x:v>0</x:v>
      </x:c>
      <x:c r="K4623" s="13" t="n">
        <x:f>E4623*I4623*H4623</x:f>
        <x:v>0.20182396500000002</x:v>
      </x:c>
      <x:c r="L4623" s="1" t="str">
        <x:f>TEXT(A4623,"mmm yyyy")</x:f>
        <x:v>Aug 2026</x:v>
      </x:c>
    </x:row>
    <x:row r="4624" ht="21" customHeight="1">
      <x:c r="A4624" s="10" t="n">
        <x:v>46244</x:v>
      </x:c>
      <x:c r="B4624" s="1" t="n">
        <x:v>20</x:v>
      </x:c>
      <x:c r="C4624" s="1" t="n">
        <x:v>6</x:v>
      </x:c>
      <x:c r="D4624" s="12" t="n">
        <x:v>0</x:v>
      </x:c>
      <x:c r="E4624" s="12" t="n">
        <x:v>0.9577499999999999</x:v>
      </x:c>
      <x:c r="F4624" s="12" t="n">
        <x:v>0.9575833333333332</x:v>
      </x:c>
      <x:c r="G4624" s="12" t="n">
        <x:v>0</x:v>
      </x:c>
      <x:c r="H4624" s="1" t="n">
        <x:f>'Historical prices'!E4624</x:f>
        <x:v>1.05</x:v>
      </x:c>
      <x:c r="I4624" s="6" t="n">
        <x:f>'Historical prices'!D4624</x:f>
        <x:v>0.32030000000000003</x:v>
      </x:c>
      <x:c r="J4624" s="13" t="n">
        <x:f>D4624*I4624*H4624</x:f>
        <x:v>0</x:v>
      </x:c>
      <x:c r="K4624" s="13" t="n">
        <x:f>E4624*I4624*H4624</x:f>
        <x:v>0.32210569125</x:v>
      </x:c>
      <x:c r="L4624" s="1" t="str">
        <x:f>TEXT(A4624,"mmm yyyy")</x:f>
        <x:v>Aug 2026</x:v>
      </x:c>
    </x:row>
    <x:row r="4625" ht="21" customHeight="1">
      <x:c r="A4625" s="10" t="n">
        <x:v>46244</x:v>
      </x:c>
      <x:c r="B4625" s="1" t="n">
        <x:v>20.5</x:v>
      </x:c>
      <x:c r="C4625" s="1" t="n">
        <x:v>6</x:v>
      </x:c>
      <x:c r="D4625" s="12" t="n">
        <x:v>0</x:v>
      </x:c>
      <x:c r="E4625" s="12" t="n">
        <x:v>0.6899166666666666</x:v>
      </x:c>
      <x:c r="F4625" s="12" t="n">
        <x:v>0.6895833333333333</x:v>
      </x:c>
      <x:c r="G4625" s="12" t="n">
        <x:v>0</x:v>
      </x:c>
      <x:c r="H4625" s="1" t="n">
        <x:f>'Historical prices'!E4625</x:f>
        <x:v>1.05</x:v>
      </x:c>
      <x:c r="I4625" s="6" t="n">
        <x:f>'Historical prices'!D4625</x:f>
        <x:v>0.3188</x:v>
      </x:c>
      <x:c r="J4625" s="13" t="n">
        <x:f>D4625*I4625*H4625</x:f>
        <x:v>0</x:v>
      </x:c>
      <x:c r="K4625" s="13" t="n">
        <x:f>E4625*I4625*H4625</x:f>
        <x:v>0.23094270499999997</x:v>
      </x:c>
      <x:c r="L4625" s="1" t="str">
        <x:f>TEXT(A4625,"mmm yyyy")</x:f>
        <x:v>Aug 2026</x:v>
      </x:c>
    </x:row>
    <x:row r="4626" ht="21" customHeight="1">
      <x:c r="A4626" s="10" t="n">
        <x:v>46244</x:v>
      </x:c>
      <x:c r="B4626" s="1" t="n">
        <x:v>21</x:v>
      </x:c>
      <x:c r="C4626" s="1" t="n">
        <x:v>6</x:v>
      </x:c>
      <x:c r="D4626" s="12" t="n">
        <x:v>0</x:v>
      </x:c>
      <x:c r="E4626" s="12" t="n">
        <x:v>0.6419166666666666</x:v>
      </x:c>
      <x:c r="F4626" s="12" t="n">
        <x:v>0.6415</x:v>
      </x:c>
      <x:c r="G4626" s="12" t="n">
        <x:v>0</x:v>
      </x:c>
      <x:c r="H4626" s="1" t="n">
        <x:f>'Historical prices'!E4626</x:f>
        <x:v>1.05</x:v>
      </x:c>
      <x:c r="I4626" s="6" t="n">
        <x:f>'Historical prices'!D4626</x:f>
        <x:v>0.32659999999999995</x:v>
      </x:c>
      <x:c r="J4626" s="13" t="n">
        <x:f>D4626*I4626*H4626</x:f>
        <x:v>0</x:v>
      </x:c>
      <x:c r="K4626" s="13" t="n">
        <x:f>E4626*I4626*H4626</x:f>
        <x:v>0.22013248249999992</x:v>
      </x:c>
      <x:c r="L4626" s="1" t="str">
        <x:f>TEXT(A4626,"mmm yyyy")</x:f>
        <x:v>Aug 2026</x:v>
      </x:c>
    </x:row>
    <x:row r="4627" ht="21" customHeight="1">
      <x:c r="A4627" s="10" t="n">
        <x:v>46244</x:v>
      </x:c>
      <x:c r="B4627" s="1" t="n">
        <x:v>21.5</x:v>
      </x:c>
      <x:c r="C4627" s="1" t="n">
        <x:v>6</x:v>
      </x:c>
      <x:c r="D4627" s="12" t="n">
        <x:v>0</x:v>
      </x:c>
      <x:c r="E4627" s="12" t="n">
        <x:v>0.67875</x:v>
      </x:c>
      <x:c r="F4627" s="12" t="n">
        <x:v>0.6784166666666667</x:v>
      </x:c>
      <x:c r="G4627" s="12" t="n">
        <x:v>0</x:v>
      </x:c>
      <x:c r="H4627" s="1" t="n">
        <x:f>'Historical prices'!E4627</x:f>
        <x:v>1.05</x:v>
      </x:c>
      <x:c r="I4627" s="6" t="n">
        <x:f>'Historical prices'!D4627</x:f>
        <x:v>0.29960000000000003</x:v>
      </x:c>
      <x:c r="J4627" s="13" t="n">
        <x:f>D4627*I4627*H4627</x:f>
        <x:v>0</x:v>
      </x:c>
      <x:c r="K4627" s="13" t="n">
        <x:f>E4627*I4627*H4627</x:f>
        <x:v>0.21352117500000004</x:v>
      </x:c>
      <x:c r="L4627" s="1" t="str">
        <x:f>TEXT(A4627,"mmm yyyy")</x:f>
        <x:v>Aug 2026</x:v>
      </x:c>
    </x:row>
    <x:row r="4628" ht="21" customHeight="1">
      <x:c r="A4628" s="10" t="n">
        <x:v>46244</x:v>
      </x:c>
      <x:c r="B4628" s="1" t="n">
        <x:v>22</x:v>
      </x:c>
      <x:c r="C4628" s="1" t="n">
        <x:v>6</x:v>
      </x:c>
      <x:c r="D4628" s="12" t="n">
        <x:v>0</x:v>
      </x:c>
      <x:c r="E4628" s="12" t="n">
        <x:v>0.7839166666666668</x:v>
      </x:c>
      <x:c r="F4628" s="12" t="n">
        <x:v>0.7834166666666668</x:v>
      </x:c>
      <x:c r="G4628" s="12" t="n">
        <x:v>0</x:v>
      </x:c>
      <x:c r="H4628" s="1" t="n">
        <x:f>'Historical prices'!E4628</x:f>
        <x:v>1.05</x:v>
      </x:c>
      <x:c r="I4628" s="6" t="n">
        <x:f>'Historical prices'!D4628</x:f>
        <x:v>0.2813</x:v>
      </x:c>
      <x:c r="J4628" s="13" t="n">
        <x:f>D4628*I4628*H4628</x:f>
        <x:v>0</x:v>
      </x:c>
      <x:c r="K4628" s="13" t="n">
        <x:f>E4628*I4628*H4628</x:f>
        <x:v>0.23154154625000004</x:v>
      </x:c>
      <x:c r="L4628" s="1" t="str">
        <x:f>TEXT(A4628,"mmm yyyy")</x:f>
        <x:v>Aug 2026</x:v>
      </x:c>
    </x:row>
    <x:row r="4629" ht="21" customHeight="1">
      <x:c r="A4629" s="10" t="n">
        <x:v>46244</x:v>
      </x:c>
      <x:c r="B4629" s="1" t="n">
        <x:v>22.5</x:v>
      </x:c>
      <x:c r="C4629" s="1" t="n">
        <x:v>6</x:v>
      </x:c>
      <x:c r="D4629" s="12" t="n">
        <x:v>0</x:v>
      </x:c>
      <x:c r="E4629" s="12" t="n">
        <x:v>0.23858333333333334</x:v>
      </x:c>
      <x:c r="F4629" s="12" t="n">
        <x:v>0.23833333333333334</x:v>
      </x:c>
      <x:c r="G4629" s="12" t="n">
        <x:v>0</x:v>
      </x:c>
      <x:c r="H4629" s="1" t="n">
        <x:f>'Historical prices'!E4629</x:f>
        <x:v>1.05</x:v>
      </x:c>
      <x:c r="I4629" s="6" t="n">
        <x:f>'Historical prices'!D4629</x:f>
        <x:v>0.26289999999999997</x:v>
      </x:c>
      <x:c r="J4629" s="13" t="n">
        <x:f>D4629*I4629*H4629</x:f>
        <x:v>0</x:v>
      </x:c>
      <x:c r="K4629" s="13" t="n">
        <x:f>E4629*I4629*H4629</x:f>
        <x:v>0.06585973625</x:v>
      </x:c>
      <x:c r="L4629" s="1" t="str">
        <x:f>TEXT(A4629,"mmm yyyy")</x:f>
        <x:v>Aug 2026</x:v>
      </x:c>
    </x:row>
    <x:row r="4630" ht="21" customHeight="1">
      <x:c r="A4630" s="10" t="n">
        <x:v>46244</x:v>
      </x:c>
      <x:c r="B4630" s="1" t="n">
        <x:v>23</x:v>
      </x:c>
      <x:c r="C4630" s="1" t="n">
        <x:v>6</x:v>
      </x:c>
      <x:c r="D4630" s="12" t="n">
        <x:v>0</x:v>
      </x:c>
      <x:c r="E4630" s="12" t="n">
        <x:v>0.27416666666666667</x:v>
      </x:c>
      <x:c r="F4630" s="12" t="n">
        <x:v>0.27366666666666667</x:v>
      </x:c>
      <x:c r="G4630" s="12" t="n">
        <x:v>0</x:v>
      </x:c>
      <x:c r="H4630" s="1" t="n">
        <x:f>'Historical prices'!E4630</x:f>
        <x:v>1.05</x:v>
      </x:c>
      <x:c r="I4630" s="6" t="n">
        <x:f>'Historical prices'!D4630</x:f>
        <x:v>0.2375</x:v>
      </x:c>
      <x:c r="J4630" s="13" t="n">
        <x:f>D4630*I4630*H4630</x:f>
        <x:v>0</x:v>
      </x:c>
      <x:c r="K4630" s="13" t="n">
        <x:f>E4630*I4630*H4630</x:f>
        <x:v>0.0683703125</x:v>
      </x:c>
      <x:c r="L4630" s="1" t="str">
        <x:f>TEXT(A4630,"mmm yyyy")</x:f>
        <x:v>Aug 2026</x:v>
      </x:c>
    </x:row>
    <x:row r="4631" ht="21" customHeight="1">
      <x:c r="A4631" s="10" t="n">
        <x:v>46244</x:v>
      </x:c>
      <x:c r="B4631" s="1" t="n">
        <x:v>23.5</x:v>
      </x:c>
      <x:c r="C4631" s="1" t="n">
        <x:v>6</x:v>
      </x:c>
      <x:c r="D4631" s="12" t="n">
        <x:v>0</x:v>
      </x:c>
      <x:c r="E4631" s="12" t="n">
        <x:v>0.33175000000000004</x:v>
      </x:c>
      <x:c r="F4631" s="12" t="n">
        <x:v>0.3314166666666667</x:v>
      </x:c>
      <x:c r="G4631" s="12" t="n">
        <x:v>0</x:v>
      </x:c>
      <x:c r="H4631" s="1" t="n">
        <x:f>'Historical prices'!E4631</x:f>
        <x:v>1.05</x:v>
      </x:c>
      <x:c r="I4631" s="6" t="n">
        <x:f>'Historical prices'!D4631</x:f>
        <x:v>0.2354</x:v>
      </x:c>
      <x:c r="J4631" s="13" t="n">
        <x:f>D4631*I4631*H4631</x:f>
        <x:v>0</x:v>
      </x:c>
      <x:c r="K4631" s="13" t="n">
        <x:f>E4631*I4631*H4631</x:f>
        <x:v>0.08199864750000001</x:v>
      </x:c>
      <x:c r="L4631" s="1" t="str">
        <x:f>TEXT(A4631,"mmm yyyy")</x:f>
        <x:v>Aug 2026</x:v>
      </x:c>
    </x:row>
    <x:row r="4632" ht="21" customHeight="1">
      <x:c r="A4632" s="10" t="n">
        <x:v>46245</x:v>
      </x:c>
      <x:c r="B4632" s="1" t="n">
        <x:v>0</x:v>
      </x:c>
      <x:c r="C4632" s="1" t="n">
        <x:v>6</x:v>
      </x:c>
      <x:c r="D4632" s="12" t="n">
        <x:v>0</x:v>
      </x:c>
      <x:c r="E4632" s="12" t="n">
        <x:v>0.2880833333333333</x:v>
      </x:c>
      <x:c r="F4632" s="12" t="n">
        <x:v>0.2875</x:v>
      </x:c>
      <x:c r="G4632" s="12" t="n">
        <x:v>0</x:v>
      </x:c>
      <x:c r="H4632" s="1" t="n">
        <x:f>'Historical prices'!E4632</x:f>
        <x:v>1.05</x:v>
      </x:c>
      <x:c r="I4632" s="6" t="n">
        <x:f>'Historical prices'!D4632</x:f>
        <x:v>0.23129999999999998</x:v>
      </x:c>
      <x:c r="J4632" s="13" t="n">
        <x:f>D4632*I4632*H4632</x:f>
        <x:v>0</x:v>
      </x:c>
      <x:c r="K4632" s="13" t="n">
        <x:f>E4632*I4632*H4632</x:f>
        <x:v>0.06996535875</x:v>
      </x:c>
      <x:c r="L4632" s="1" t="str">
        <x:f>TEXT(A4632,"mmm yyyy")</x:f>
        <x:v>Aug 2026</x:v>
      </x:c>
    </x:row>
    <x:row r="4633" ht="21" customHeight="1">
      <x:c r="A4633" s="10" t="n">
        <x:v>46245</x:v>
      </x:c>
      <x:c r="B4633" s="1" t="n">
        <x:v>0.5</x:v>
      </x:c>
      <x:c r="C4633" s="1" t="n">
        <x:v>6</x:v>
      </x:c>
      <x:c r="D4633" s="12" t="n">
        <x:v>0</x:v>
      </x:c>
      <x:c r="E4633" s="12" t="n">
        <x:v>0.32275000000000004</x:v>
      </x:c>
      <x:c r="F4633" s="12" t="n">
        <x:v>0.32216666666666666</x:v>
      </x:c>
      <x:c r="G4633" s="12" t="n">
        <x:v>0</x:v>
      </x:c>
      <x:c r="H4633" s="1" t="n">
        <x:f>'Historical prices'!E4633</x:f>
        <x:v>1.05</x:v>
      </x:c>
      <x:c r="I4633" s="6" t="n">
        <x:f>'Historical prices'!D4633</x:f>
        <x:v>0.2365</x:v>
      </x:c>
      <x:c r="J4633" s="13" t="n">
        <x:f>D4633*I4633*H4633</x:f>
        <x:v>0</x:v>
      </x:c>
      <x:c r="K4633" s="13" t="n">
        <x:f>E4633*I4633*H4633</x:f>
        <x:v>0.08014689375</x:v>
      </x:c>
      <x:c r="L4633" s="1" t="str">
        <x:f>TEXT(A4633,"mmm yyyy")</x:f>
        <x:v>Aug 2026</x:v>
      </x:c>
    </x:row>
    <x:row r="4634" ht="21" customHeight="1">
      <x:c r="A4634" s="10" t="n">
        <x:v>46245</x:v>
      </x:c>
      <x:c r="B4634" s="1" t="n">
        <x:v>1</x:v>
      </x:c>
      <x:c r="C4634" s="1" t="n">
        <x:v>6</x:v>
      </x:c>
      <x:c r="D4634" s="12" t="n">
        <x:v>0</x:v>
      </x:c>
      <x:c r="E4634" s="12" t="n">
        <x:v>0.285</x:v>
      </x:c>
      <x:c r="F4634" s="12" t="n">
        <x:v>0.2845</x:v>
      </x:c>
      <x:c r="G4634" s="12" t="n">
        <x:v>0</x:v>
      </x:c>
      <x:c r="H4634" s="1" t="n">
        <x:f>'Historical prices'!E4634</x:f>
        <x:v>1.05</x:v>
      </x:c>
      <x:c r="I4634" s="6" t="n">
        <x:f>'Historical prices'!D4634</x:f>
        <x:v>0.218</x:v>
      </x:c>
      <x:c r="J4634" s="13" t="n">
        <x:f>D4634*I4634*H4634</x:f>
        <x:v>0</x:v>
      </x:c>
      <x:c r="K4634" s="13" t="n">
        <x:f>E4634*I4634*H4634</x:f>
        <x:v>0.0652365</x:v>
      </x:c>
      <x:c r="L4634" s="1" t="str">
        <x:f>TEXT(A4634,"mmm yyyy")</x:f>
        <x:v>Aug 2026</x:v>
      </x:c>
    </x:row>
    <x:row r="4635" ht="21" customHeight="1">
      <x:c r="A4635" s="10" t="n">
        <x:v>46245</x:v>
      </x:c>
      <x:c r="B4635" s="1" t="n">
        <x:v>1.5</x:v>
      </x:c>
      <x:c r="C4635" s="1" t="n">
        <x:v>6</x:v>
      </x:c>
      <x:c r="D4635" s="12" t="n">
        <x:v>0</x:v>
      </x:c>
      <x:c r="E4635" s="12" t="n">
        <x:v>0.2776666666666667</x:v>
      </x:c>
      <x:c r="F4635" s="12" t="n">
        <x:v>0.2776666666666667</x:v>
      </x:c>
      <x:c r="G4635" s="12" t="n">
        <x:v>0</x:v>
      </x:c>
      <x:c r="H4635" s="1" t="n">
        <x:f>'Historical prices'!E4635</x:f>
        <x:v>1.05</x:v>
      </x:c>
      <x:c r="I4635" s="6" t="n">
        <x:f>'Historical prices'!D4635</x:f>
        <x:v>0.2157</x:v>
      </x:c>
      <x:c r="J4635" s="13" t="n">
        <x:f>D4635*I4635*H4635</x:f>
        <x:v>0</x:v>
      </x:c>
      <x:c r="K4635" s="13" t="n">
        <x:f>E4635*I4635*H4635</x:f>
        <x:v>0.062887335</x:v>
      </x:c>
      <x:c r="L4635" s="1" t="str">
        <x:f>TEXT(A4635,"mmm yyyy")</x:f>
        <x:v>Aug 2026</x:v>
      </x:c>
    </x:row>
    <x:row r="4636" ht="21" customHeight="1">
      <x:c r="A4636" s="10" t="n">
        <x:v>46245</x:v>
      </x:c>
      <x:c r="B4636" s="1" t="n">
        <x:v>2</x:v>
      </x:c>
      <x:c r="C4636" s="1" t="n">
        <x:v>6</x:v>
      </x:c>
      <x:c r="D4636" s="12" t="n">
        <x:v>0</x:v>
      </x:c>
      <x:c r="E4636" s="12" t="n">
        <x:v>0.27958333333333335</x:v>
      </x:c>
      <x:c r="F4636" s="12" t="n">
        <x:v>0.27908333333333335</x:v>
      </x:c>
      <x:c r="G4636" s="12" t="n">
        <x:v>0</x:v>
      </x:c>
      <x:c r="H4636" s="1" t="n">
        <x:f>'Historical prices'!E4636</x:f>
        <x:v>1.05</x:v>
      </x:c>
      <x:c r="I4636" s="6" t="n">
        <x:f>'Historical prices'!D4636</x:f>
        <x:v>0.21969999999999998</x:v>
      </x:c>
      <x:c r="J4636" s="13" t="n">
        <x:f>D4636*I4636*H4636</x:f>
        <x:v>0</x:v>
      </x:c>
      <x:c r="K4636" s="13" t="n">
        <x:f>E4636*I4636*H4636</x:f>
        <x:v>0.06449568125</x:v>
      </x:c>
      <x:c r="L4636" s="1" t="str">
        <x:f>TEXT(A4636,"mmm yyyy")</x:f>
        <x:v>Aug 2026</x:v>
      </x:c>
    </x:row>
    <x:row r="4637" ht="21" customHeight="1">
      <x:c r="A4637" s="10" t="n">
        <x:v>46245</x:v>
      </x:c>
      <x:c r="B4637" s="1" t="n">
        <x:v>2.5</x:v>
      </x:c>
      <x:c r="C4637" s="1" t="n">
        <x:v>6</x:v>
      </x:c>
      <x:c r="D4637" s="12" t="n">
        <x:v>0</x:v>
      </x:c>
      <x:c r="E4637" s="12" t="n">
        <x:v>0.24908333333333332</x:v>
      </x:c>
      <x:c r="F4637" s="12" t="n">
        <x:v>0.2473333333333333</x:v>
      </x:c>
      <x:c r="G4637" s="12" t="n">
        <x:v>0</x:v>
      </x:c>
      <x:c r="H4637" s="1" t="n">
        <x:f>'Historical prices'!E4637</x:f>
        <x:v>1.05</x:v>
      </x:c>
      <x:c r="I4637" s="6" t="n">
        <x:f>'Historical prices'!D4637</x:f>
        <x:v>0.21710000000000002</x:v>
      </x:c>
      <x:c r="J4637" s="13" t="n">
        <x:f>D4637*I4637*H4637</x:f>
        <x:v>0</x:v>
      </x:c>
      <x:c r="K4637" s="13" t="n">
        <x:f>E4637*I4637*H4637</x:f>
        <x:v>0.05677979125</x:v>
      </x:c>
      <x:c r="L4637" s="1" t="str">
        <x:f>TEXT(A4637,"mmm yyyy")</x:f>
        <x:v>Aug 2026</x:v>
      </x:c>
    </x:row>
    <x:row r="4638" ht="21" customHeight="1">
      <x:c r="A4638" s="10" t="n">
        <x:v>46245</x:v>
      </x:c>
      <x:c r="B4638" s="1" t="n">
        <x:v>3</x:v>
      </x:c>
      <x:c r="C4638" s="1" t="n">
        <x:v>6</x:v>
      </x:c>
      <x:c r="D4638" s="12" t="n">
        <x:v>0</x:v>
      </x:c>
      <x:c r="E4638" s="12" t="n">
        <x:v>0.24100000000000002</x:v>
      </x:c>
      <x:c r="F4638" s="12" t="n">
        <x:v>0.24066666666666667</x:v>
      </x:c>
      <x:c r="G4638" s="12" t="n">
        <x:v>0</x:v>
      </x:c>
      <x:c r="H4638" s="1" t="n">
        <x:f>'Historical prices'!E4638</x:f>
        <x:v>1.05</x:v>
      </x:c>
      <x:c r="I4638" s="6" t="n">
        <x:f>'Historical prices'!D4638</x:f>
        <x:v>0.214</x:v>
      </x:c>
      <x:c r="J4638" s="13" t="n">
        <x:f>D4638*I4638*H4638</x:f>
        <x:v>0</x:v>
      </x:c>
      <x:c r="K4638" s="13" t="n">
        <x:f>E4638*I4638*H4638</x:f>
        <x:v>0.054152700000000005</x:v>
      </x:c>
      <x:c r="L4638" s="1" t="str">
        <x:f>TEXT(A4638,"mmm yyyy")</x:f>
        <x:v>Aug 2026</x:v>
      </x:c>
    </x:row>
    <x:row r="4639" ht="21" customHeight="1">
      <x:c r="A4639" s="10" t="n">
        <x:v>46245</x:v>
      </x:c>
      <x:c r="B4639" s="1" t="n">
        <x:v>3.5</x:v>
      </x:c>
      <x:c r="C4639" s="1" t="n">
        <x:v>6</x:v>
      </x:c>
      <x:c r="D4639" s="12" t="n">
        <x:v>0</x:v>
      </x:c>
      <x:c r="E4639" s="12" t="n">
        <x:v>0.22425</x:v>
      </x:c>
      <x:c r="F4639" s="12" t="n">
        <x:v>0.22366666666666668</x:v>
      </x:c>
      <x:c r="G4639" s="12" t="n">
        <x:v>0</x:v>
      </x:c>
      <x:c r="H4639" s="1" t="n">
        <x:f>'Historical prices'!E4639</x:f>
        <x:v>1.05</x:v>
      </x:c>
      <x:c r="I4639" s="6" t="n">
        <x:f>'Historical prices'!D4639</x:f>
        <x:v>0.2094</x:v>
      </x:c>
      <x:c r="J4639" s="13" t="n">
        <x:f>D4639*I4639*H4639</x:f>
        <x:v>0</x:v>
      </x:c>
      <x:c r="K4639" s="13" t="n">
        <x:f>E4639*I4639*H4639</x:f>
        <x:v>0.0493058475</x:v>
      </x:c>
      <x:c r="L4639" s="1" t="str">
        <x:f>TEXT(A4639,"mmm yyyy")</x:f>
        <x:v>Aug 2026</x:v>
      </x:c>
    </x:row>
    <x:row r="4640" ht="21" customHeight="1">
      <x:c r="A4640" s="10" t="n">
        <x:v>46245</x:v>
      </x:c>
      <x:c r="B4640" s="1" t="n">
        <x:v>4</x:v>
      </x:c>
      <x:c r="C4640" s="1" t="n">
        <x:v>6</x:v>
      </x:c>
      <x:c r="D4640" s="12" t="n">
        <x:v>0</x:v>
      </x:c>
      <x:c r="E4640" s="12" t="n">
        <x:v>0.31100000000000005</x:v>
      </x:c>
      <x:c r="F4640" s="12" t="n">
        <x:v>0.3104166666666666</x:v>
      </x:c>
      <x:c r="G4640" s="12" t="n">
        <x:v>0</x:v>
      </x:c>
      <x:c r="H4640" s="1" t="n">
        <x:f>'Historical prices'!E4640</x:f>
        <x:v>1.05</x:v>
      </x:c>
      <x:c r="I4640" s="6" t="n">
        <x:f>'Historical prices'!D4640</x:f>
        <x:v>0.2296</x:v>
      </x:c>
      <x:c r="J4640" s="13" t="n">
        <x:f>D4640*I4640*H4640</x:f>
        <x:v>0</x:v>
      </x:c>
      <x:c r="K4640" s="13" t="n">
        <x:f>E4640*I4640*H4640</x:f>
        <x:v>0.07497588000000002</x:v>
      </x:c>
      <x:c r="L4640" s="1" t="str">
        <x:f>TEXT(A4640,"mmm yyyy")</x:f>
        <x:v>Aug 2026</x:v>
      </x:c>
    </x:row>
    <x:row r="4641" ht="21" customHeight="1">
      <x:c r="A4641" s="10" t="n">
        <x:v>46245</x:v>
      </x:c>
      <x:c r="B4641" s="1" t="n">
        <x:v>4.5</x:v>
      </x:c>
      <x:c r="C4641" s="1" t="n">
        <x:v>6</x:v>
      </x:c>
      <x:c r="D4641" s="12" t="n">
        <x:v>0</x:v>
      </x:c>
      <x:c r="E4641" s="12" t="n">
        <x:v>0.24458333333333332</x:v>
      </x:c>
      <x:c r="F4641" s="12" t="n">
        <x:v>0.2445</x:v>
      </x:c>
      <x:c r="G4641" s="12" t="n">
        <x:v>0</x:v>
      </x:c>
      <x:c r="H4641" s="1" t="n">
        <x:f>'Historical prices'!E4641</x:f>
        <x:v>1.05</x:v>
      </x:c>
      <x:c r="I4641" s="6" t="n">
        <x:f>'Historical prices'!D4641</x:f>
        <x:v>0.22829999999999998</x:v>
      </x:c>
      <x:c r="J4641" s="13" t="n">
        <x:f>D4641*I4641*H4641</x:f>
        <x:v>0</x:v>
      </x:c>
      <x:c r="K4641" s="13" t="n">
        <x:f>E4641*I4641*H4641</x:f>
        <x:v>0.05863029374999999</x:v>
      </x:c>
      <x:c r="L4641" s="1" t="str">
        <x:f>TEXT(A4641,"mmm yyyy")</x:f>
        <x:v>Aug 2026</x:v>
      </x:c>
    </x:row>
    <x:row r="4642" ht="21" customHeight="1">
      <x:c r="A4642" s="10" t="n">
        <x:v>46245</x:v>
      </x:c>
      <x:c r="B4642" s="1" t="n">
        <x:v>5</x:v>
      </x:c>
      <x:c r="C4642" s="1" t="n">
        <x:v>6</x:v>
      </x:c>
      <x:c r="D4642" s="12" t="n">
        <x:v>0</x:v>
      </x:c>
      <x:c r="E4642" s="12" t="n">
        <x:v>0.29566666666666663</x:v>
      </x:c>
      <x:c r="F4642" s="12" t="n">
        <x:v>0.2955833333333333</x:v>
      </x:c>
      <x:c r="G4642" s="12" t="n">
        <x:v>0</x:v>
      </x:c>
      <x:c r="H4642" s="1" t="n">
        <x:f>'Historical prices'!E4642</x:f>
        <x:v>1.05</x:v>
      </x:c>
      <x:c r="I4642" s="6" t="n">
        <x:f>'Historical prices'!D4642</x:f>
        <x:v>0.2564</x:v>
      </x:c>
      <x:c r="J4642" s="13" t="n">
        <x:f>D4642*I4642*H4642</x:f>
        <x:v>0</x:v>
      </x:c>
      <x:c r="K4642" s="13" t="n">
        <x:f>E4642*I4642*H4642</x:f>
        <x:v>0.07959938</x:v>
      </x:c>
      <x:c r="L4642" s="1" t="str">
        <x:f>TEXT(A4642,"mmm yyyy")</x:f>
        <x:v>Aug 2026</x:v>
      </x:c>
    </x:row>
    <x:row r="4643" ht="21" customHeight="1">
      <x:c r="A4643" s="10" t="n">
        <x:v>46245</x:v>
      </x:c>
      <x:c r="B4643" s="1" t="n">
        <x:v>5.5</x:v>
      </x:c>
      <x:c r="C4643" s="1" t="n">
        <x:v>6</x:v>
      </x:c>
      <x:c r="D4643" s="12" t="n">
        <x:v>0.08633333333333333</x:v>
      </x:c>
      <x:c r="E4643" s="12" t="n">
        <x:v>0.3853333333333333</x:v>
      </x:c>
      <x:c r="F4643" s="12" t="n">
        <x:v>0.29875</x:v>
      </x:c>
      <x:c r="G4643" s="12" t="n">
        <x:v>0</x:v>
      </x:c>
      <x:c r="H4643" s="1" t="n">
        <x:f>'Historical prices'!E4643</x:f>
        <x:v>1.05</x:v>
      </x:c>
      <x:c r="I4643" s="6" t="n">
        <x:f>'Historical prices'!D4643</x:f>
        <x:v>0.2581</x:v>
      </x:c>
      <x:c r="J4643" s="13" t="n">
        <x:f>D4643*I4643*H4643</x:f>
        <x:v>0.023396765</x:v>
      </x:c>
      <x:c r="K4643" s="13" t="n">
        <x:f>E4643*I4643*H4643</x:f>
        <x:v>0.10442726000000001</x:v>
      </x:c>
      <x:c r="L4643" s="1" t="str">
        <x:f>TEXT(A4643,"mmm yyyy")</x:f>
        <x:v>Aug 2026</x:v>
      </x:c>
    </x:row>
    <x:row r="4644" ht="21" customHeight="1">
      <x:c r="A4644" s="10" t="n">
        <x:v>46245</x:v>
      </x:c>
      <x:c r="B4644" s="1" t="n">
        <x:v>6</x:v>
      </x:c>
      <x:c r="C4644" s="1" t="n">
        <x:v>6</x:v>
      </x:c>
      <x:c r="D4644" s="12" t="n">
        <x:v>0</x:v>
      </x:c>
      <x:c r="E4644" s="12" t="n">
        <x:v>0.5805833333333333</x:v>
      </x:c>
      <x:c r="F4644" s="12" t="n">
        <x:v>0.5804166666666667</x:v>
      </x:c>
      <x:c r="G4644" s="12" t="n">
        <x:v>0</x:v>
      </x:c>
      <x:c r="H4644" s="1" t="n">
        <x:f>'Historical prices'!E4644</x:f>
        <x:v>1.05</x:v>
      </x:c>
      <x:c r="I4644" s="6" t="n">
        <x:f>'Historical prices'!D4644</x:f>
        <x:v>0.2505</x:v>
      </x:c>
      <x:c r="J4644" s="13" t="n">
        <x:f>D4644*I4644*H4644</x:f>
        <x:v>0</x:v>
      </x:c>
      <x:c r="K4644" s="13" t="n">
        <x:f>E4644*I4644*H4644</x:f>
        <x:v>0.15270793125</x:v>
      </x:c>
      <x:c r="L4644" s="1" t="str">
        <x:f>TEXT(A4644,"mmm yyyy")</x:f>
        <x:v>Aug 2026</x:v>
      </x:c>
    </x:row>
    <x:row r="4645" ht="21" customHeight="1">
      <x:c r="A4645" s="10" t="n">
        <x:v>46245</x:v>
      </x:c>
      <x:c r="B4645" s="1" t="n">
        <x:v>6.5</x:v>
      </x:c>
      <x:c r="C4645" s="1" t="n">
        <x:v>6</x:v>
      </x:c>
      <x:c r="D4645" s="12" t="n">
        <x:v>0</x:v>
      </x:c>
      <x:c r="E4645" s="12" t="n">
        <x:v>0.6333333333333333</x:v>
      </x:c>
      <x:c r="F4645" s="12" t="n">
        <x:v>0.6328333333333334</x:v>
      </x:c>
      <x:c r="G4645" s="12" t="n">
        <x:v>0</x:v>
      </x:c>
      <x:c r="H4645" s="1" t="n">
        <x:f>'Historical prices'!E4645</x:f>
        <x:v>1.05</x:v>
      </x:c>
      <x:c r="I4645" s="6" t="n">
        <x:f>'Historical prices'!D4645</x:f>
        <x:v>0.2753</x:v>
      </x:c>
      <x:c r="J4645" s="13" t="n">
        <x:f>D4645*I4645*H4645</x:f>
        <x:v>0</x:v>
      </x:c>
      <x:c r="K4645" s="13" t="n">
        <x:f>E4645*I4645*H4645</x:f>
        <x:v>0.1830745</x:v>
      </x:c>
      <x:c r="L4645" s="1" t="str">
        <x:f>TEXT(A4645,"mmm yyyy")</x:f>
        <x:v>Aug 2026</x:v>
      </x:c>
    </x:row>
    <x:row r="4646" ht="21" customHeight="1">
      <x:c r="A4646" s="10" t="n">
        <x:v>46245</x:v>
      </x:c>
      <x:c r="B4646" s="1" t="n">
        <x:v>7</x:v>
      </x:c>
      <x:c r="C4646" s="1" t="n">
        <x:v>6</x:v>
      </x:c>
      <x:c r="D4646" s="12" t="n">
        <x:v>0</x:v>
      </x:c>
      <x:c r="E4646" s="12" t="n">
        <x:v>0.5287499999999999</x:v>
      </x:c>
      <x:c r="F4646" s="12" t="n">
        <x:v>0.5285</x:v>
      </x:c>
      <x:c r="G4646" s="12" t="n">
        <x:v>0</x:v>
      </x:c>
      <x:c r="H4646" s="1" t="n">
        <x:f>'Historical prices'!E4646</x:f>
        <x:v>1.05</x:v>
      </x:c>
      <x:c r="I4646" s="6" t="n">
        <x:f>'Historical prices'!D4646</x:f>
        <x:v>0.2522</x:v>
      </x:c>
      <x:c r="J4646" s="13" t="n">
        <x:f>D4646*I4646*H4646</x:f>
        <x:v>0</x:v>
      </x:c>
      <x:c r="K4646" s="13" t="n">
        <x:f>E4646*I4646*H4646</x:f>
        <x:v>0.14001828749999998</x:v>
      </x:c>
      <x:c r="L4646" s="1" t="str">
        <x:f>TEXT(A4646,"mmm yyyy")</x:f>
        <x:v>Aug 2026</x:v>
      </x:c>
    </x:row>
    <x:row r="4647" ht="21" customHeight="1">
      <x:c r="A4647" s="10" t="n">
        <x:v>46245</x:v>
      </x:c>
      <x:c r="B4647" s="1" t="n">
        <x:v>7.5</x:v>
      </x:c>
      <x:c r="C4647" s="1" t="n">
        <x:v>6</x:v>
      </x:c>
      <x:c r="D4647" s="12" t="n">
        <x:v>0</x:v>
      </x:c>
      <x:c r="E4647" s="12" t="n">
        <x:v>0.475</x:v>
      </x:c>
      <x:c r="F4647" s="12" t="n">
        <x:v>0.47458333333333336</x:v>
      </x:c>
      <x:c r="G4647" s="12" t="n">
        <x:v>0</x:v>
      </x:c>
      <x:c r="H4647" s="1" t="n">
        <x:f>'Historical prices'!E4647</x:f>
        <x:v>1.05</x:v>
      </x:c>
      <x:c r="I4647" s="6" t="n">
        <x:f>'Historical prices'!D4647</x:f>
        <x:v>0.2588</x:v>
      </x:c>
      <x:c r="J4647" s="13" t="n">
        <x:f>D4647*I4647*H4647</x:f>
        <x:v>0</x:v>
      </x:c>
      <x:c r="K4647" s="13" t="n">
        <x:f>E4647*I4647*H4647</x:f>
        <x:v>0.12907649999999998</x:v>
      </x:c>
      <x:c r="L4647" s="1" t="str">
        <x:f>TEXT(A4647,"mmm yyyy")</x:f>
        <x:v>Aug 2026</x:v>
      </x:c>
    </x:row>
    <x:row r="4648" ht="21" customHeight="1">
      <x:c r="A4648" s="10" t="n">
        <x:v>46245</x:v>
      </x:c>
      <x:c r="B4648" s="1" t="n">
        <x:v>8</x:v>
      </x:c>
      <x:c r="C4648" s="1" t="n">
        <x:v>6</x:v>
      </x:c>
      <x:c r="D4648" s="12" t="n">
        <x:v>0</x:v>
      </x:c>
      <x:c r="E4648" s="12" t="n">
        <x:v>0.5297499999999999</x:v>
      </x:c>
      <x:c r="F4648" s="12" t="n">
        <x:v>0.5294166666666666</x:v>
      </x:c>
      <x:c r="G4648" s="12" t="n">
        <x:v>0</x:v>
      </x:c>
      <x:c r="H4648" s="1" t="n">
        <x:f>'Historical prices'!E4648</x:f>
        <x:v>1.05</x:v>
      </x:c>
      <x:c r="I4648" s="6" t="n">
        <x:f>'Historical prices'!D4648</x:f>
        <x:v>0.2501</x:v>
      </x:c>
      <x:c r="J4648" s="13" t="n">
        <x:f>D4648*I4648*H4648</x:f>
        <x:v>0</x:v>
      </x:c>
      <x:c r="K4648" s="13" t="n">
        <x:f>E4648*I4648*H4648</x:f>
        <x:v>0.13911499874999997</x:v>
      </x:c>
      <x:c r="L4648" s="1" t="str">
        <x:f>TEXT(A4648,"mmm yyyy")</x:f>
        <x:v>Aug 2026</x:v>
      </x:c>
    </x:row>
    <x:row r="4649" ht="21" customHeight="1">
      <x:c r="A4649" s="10" t="n">
        <x:v>46245</x:v>
      </x:c>
      <x:c r="B4649" s="1" t="n">
        <x:v>8.5</x:v>
      </x:c>
      <x:c r="C4649" s="1" t="n">
        <x:v>6</x:v>
      </x:c>
      <x:c r="D4649" s="12" t="n">
        <x:v>0</x:v>
      </x:c>
      <x:c r="E4649" s="12" t="n">
        <x:v>0.5689166666666666</x:v>
      </x:c>
      <x:c r="F4649" s="12" t="n">
        <x:v>0.5686666666666667</x:v>
      </x:c>
      <x:c r="G4649" s="12" t="n">
        <x:v>0</x:v>
      </x:c>
      <x:c r="H4649" s="1" t="n">
        <x:f>'Historical prices'!E4649</x:f>
        <x:v>1.05</x:v>
      </x:c>
      <x:c r="I4649" s="6" t="n">
        <x:f>'Historical prices'!D4649</x:f>
        <x:v>0.2455</x:v>
      </x:c>
      <x:c r="J4649" s="13" t="n">
        <x:f>D4649*I4649*H4649</x:f>
        <x:v>0</x:v>
      </x:c>
      <x:c r="K4649" s="13" t="n">
        <x:f>E4649*I4649*H4649</x:f>
        <x:v>0.14665249375</x:v>
      </x:c>
      <x:c r="L4649" s="1" t="str">
        <x:f>TEXT(A4649,"mmm yyyy")</x:f>
        <x:v>Aug 2026</x:v>
      </x:c>
    </x:row>
    <x:row r="4650" ht="21" customHeight="1">
      <x:c r="A4650" s="10" t="n">
        <x:v>46245</x:v>
      </x:c>
      <x:c r="B4650" s="1" t="n">
        <x:v>9</x:v>
      </x:c>
      <x:c r="C4650" s="1" t="n">
        <x:v>6</x:v>
      </x:c>
      <x:c r="D4650" s="12" t="n">
        <x:v>0</x:v>
      </x:c>
      <x:c r="E4650" s="12" t="n">
        <x:v>0.61875</x:v>
      </x:c>
      <x:c r="F4650" s="12" t="n">
        <x:v>0.6184999999999999</x:v>
      </x:c>
      <x:c r="G4650" s="12" t="n">
        <x:v>0</x:v>
      </x:c>
      <x:c r="H4650" s="1" t="n">
        <x:f>'Historical prices'!E4650</x:f>
        <x:v>1.05</x:v>
      </x:c>
      <x:c r="I4650" s="6" t="n">
        <x:f>'Historical prices'!D4650</x:f>
        <x:v>0.2375</x:v>
      </x:c>
      <x:c r="J4650" s="13" t="n">
        <x:f>D4650*I4650*H4650</x:f>
        <x:v>0</x:v>
      </x:c>
      <x:c r="K4650" s="13" t="n">
        <x:f>E4650*I4650*H4650</x:f>
        <x:v>0.15430078125</x:v>
      </x:c>
      <x:c r="L4650" s="1" t="str">
        <x:f>TEXT(A4650,"mmm yyyy")</x:f>
        <x:v>Aug 2026</x:v>
      </x:c>
    </x:row>
    <x:row r="4651" ht="21" customHeight="1">
      <x:c r="A4651" s="10" t="n">
        <x:v>46245</x:v>
      </x:c>
      <x:c r="B4651" s="1" t="n">
        <x:v>9.5</x:v>
      </x:c>
      <x:c r="C4651" s="1" t="n">
        <x:v>6</x:v>
      </x:c>
      <x:c r="D4651" s="12" t="n">
        <x:v>0</x:v>
      </x:c>
      <x:c r="E4651" s="12" t="n">
        <x:v>0.5586666666666666</x:v>
      </x:c>
      <x:c r="F4651" s="12" t="n">
        <x:v>0.5584166666666667</x:v>
      </x:c>
      <x:c r="G4651" s="12" t="n">
        <x:v>0</x:v>
      </x:c>
      <x:c r="H4651" s="1" t="n">
        <x:f>'Historical prices'!E4651</x:f>
        <x:v>1.05</x:v>
      </x:c>
      <x:c r="I4651" s="6" t="n">
        <x:f>'Historical prices'!D4651</x:f>
        <x:v>0.24420000000000003</x:v>
      </x:c>
      <x:c r="J4651" s="13" t="n">
        <x:f>D4651*I4651*H4651</x:f>
        <x:v>0</x:v>
      </x:c>
      <x:c r="K4651" s="13" t="n">
        <x:f>E4651*I4651*H4651</x:f>
        <x:v>0.14324772000000002</x:v>
      </x:c>
      <x:c r="L4651" s="1" t="str">
        <x:f>TEXT(A4651,"mmm yyyy")</x:f>
        <x:v>Aug 2026</x:v>
      </x:c>
    </x:row>
    <x:row r="4652" ht="21" customHeight="1">
      <x:c r="A4652" s="10" t="n">
        <x:v>46245</x:v>
      </x:c>
      <x:c r="B4652" s="1" t="n">
        <x:v>10</x:v>
      </x:c>
      <x:c r="C4652" s="1" t="n">
        <x:v>6</x:v>
      </x:c>
      <x:c r="D4652" s="12" t="n">
        <x:v>0</x:v>
      </x:c>
      <x:c r="E4652" s="12" t="n">
        <x:v>0.7078333333333333</x:v>
      </x:c>
      <x:c r="F4652" s="12" t="n">
        <x:v>0.7066666666666667</x:v>
      </x:c>
      <x:c r="G4652" s="12" t="n">
        <x:v>0</x:v>
      </x:c>
      <x:c r="H4652" s="1" t="n">
        <x:f>'Historical prices'!E4652</x:f>
        <x:v>1.05</x:v>
      </x:c>
      <x:c r="I4652" s="6" t="n">
        <x:f>'Historical prices'!D4652</x:f>
        <x:v>0.22640000000000002</x:v>
      </x:c>
      <x:c r="J4652" s="13" t="n">
        <x:f>D4652*I4652*H4652</x:f>
        <x:v>0</x:v>
      </x:c>
      <x:c r="K4652" s="13" t="n">
        <x:f>E4652*I4652*H4652</x:f>
        <x:v>0.16826614</x:v>
      </x:c>
      <x:c r="L4652" s="1" t="str">
        <x:f>TEXT(A4652,"mmm yyyy")</x:f>
        <x:v>Aug 2026</x:v>
      </x:c>
    </x:row>
    <x:row r="4653" ht="21" customHeight="1">
      <x:c r="A4653" s="10" t="n">
        <x:v>46245</x:v>
      </x:c>
      <x:c r="B4653" s="1" t="n">
        <x:v>10.5</x:v>
      </x:c>
      <x:c r="C4653" s="1" t="n">
        <x:v>6</x:v>
      </x:c>
      <x:c r="D4653" s="12" t="n">
        <x:v>0</x:v>
      </x:c>
      <x:c r="E4653" s="12" t="n">
        <x:v>0.5715833333333333</x:v>
      </x:c>
      <x:c r="F4653" s="12" t="n">
        <x:v>0.5644166666666667</x:v>
      </x:c>
      <x:c r="G4653" s="12" t="n">
        <x:v>0</x:v>
      </x:c>
      <x:c r="H4653" s="1" t="n">
        <x:f>'Historical prices'!E4653</x:f>
        <x:v>1.05</x:v>
      </x:c>
      <x:c r="I4653" s="6" t="n">
        <x:f>'Historical prices'!D4653</x:f>
        <x:v>0.2186</x:v>
      </x:c>
      <x:c r="J4653" s="13" t="n">
        <x:f>D4653*I4653*H4653</x:f>
        <x:v>0</x:v>
      </x:c>
      <x:c r="K4653" s="13" t="n">
        <x:f>E4653*I4653*H4653</x:f>
        <x:v>0.1311955225</x:v>
      </x:c>
      <x:c r="L4653" s="1" t="str">
        <x:f>TEXT(A4653,"mmm yyyy")</x:f>
        <x:v>Aug 2026</x:v>
      </x:c>
    </x:row>
    <x:row r="4654" ht="21" customHeight="1">
      <x:c r="A4654" s="10" t="n">
        <x:v>46245</x:v>
      </x:c>
      <x:c r="B4654" s="1" t="n">
        <x:v>11</x:v>
      </x:c>
      <x:c r="C4654" s="1" t="n">
        <x:v>6</x:v>
      </x:c>
      <x:c r="D4654" s="12" t="n">
        <x:v>0.75625</x:v>
      </x:c>
      <x:c r="E4654" s="12" t="n">
        <x:v>0.9121666666666667</x:v>
      </x:c>
      <x:c r="F4654" s="12" t="n">
        <x:v>0.14191666666666666</x:v>
      </x:c>
      <x:c r="G4654" s="12" t="n">
        <x:v>0</x:v>
      </x:c>
      <x:c r="H4654" s="1" t="n">
        <x:f>'Historical prices'!E4654</x:f>
        <x:v>1.05</x:v>
      </x:c>
      <x:c r="I4654" s="6" t="n">
        <x:f>'Historical prices'!D4654</x:f>
        <x:v>0.1934</x:v>
      </x:c>
      <x:c r="J4654" s="13" t="n">
        <x:f>D4654*I4654*H4654</x:f>
        <x:v>0.1535716875</x:v>
      </x:c>
      <x:c r="K4654" s="13" t="n">
        <x:f>E4654*I4654*H4654</x:f>
        <x:v>0.185233685</x:v>
      </x:c>
      <x:c r="L4654" s="1" t="str">
        <x:f>TEXT(A4654,"mmm yyyy")</x:f>
        <x:v>Aug 2026</x:v>
      </x:c>
    </x:row>
    <x:row r="4655" ht="21" customHeight="1">
      <x:c r="A4655" s="10" t="n">
        <x:v>46245</x:v>
      </x:c>
      <x:c r="B4655" s="1" t="n">
        <x:v>11.5</x:v>
      </x:c>
      <x:c r="C4655" s="1" t="n">
        <x:v>6</x:v>
      </x:c>
      <x:c r="D4655" s="12" t="n">
        <x:v>0.39374999999999993</x:v>
      </x:c>
      <x:c r="E4655" s="12" t="n">
        <x:v>0.40474999999999994</x:v>
      </x:c>
      <x:c r="F4655" s="12" t="n">
        <x:v>0</x:v>
      </x:c>
      <x:c r="G4655" s="12" t="n">
        <x:v>0</x:v>
      </x:c>
      <x:c r="H4655" s="1" t="n">
        <x:f>'Historical prices'!E4655</x:f>
        <x:v>1.05</x:v>
      </x:c>
      <x:c r="I4655" s="6" t="n">
        <x:f>'Historical prices'!D4655</x:f>
        <x:v>0.184</x:v>
      </x:c>
      <x:c r="J4655" s="13" t="n">
        <x:f>D4655*I4655*H4655</x:f>
        <x:v>0.07607249999999999</x:v>
      </x:c>
      <x:c r="K4655" s="13" t="n">
        <x:f>E4655*I4655*H4655</x:f>
        <x:v>0.07819769999999998</x:v>
      </x:c>
      <x:c r="L4655" s="1" t="str">
        <x:f>TEXT(A4655,"mmm yyyy")</x:f>
        <x:v>Aug 2026</x:v>
      </x:c>
    </x:row>
    <x:row r="4656" ht="21" customHeight="1">
      <x:c r="A4656" s="10" t="n">
        <x:v>46245</x:v>
      </x:c>
      <x:c r="B4656" s="1" t="n">
        <x:v>12</x:v>
      </x:c>
      <x:c r="C4656" s="1" t="n">
        <x:v>6</x:v>
      </x:c>
      <x:c r="D4656" s="12" t="n">
        <x:v>0.41725</x:v>
      </x:c>
      <x:c r="E4656" s="12" t="n">
        <x:v>0.42725</x:v>
      </x:c>
      <x:c r="F4656" s="12" t="n">
        <x:v>0</x:v>
      </x:c>
      <x:c r="G4656" s="12" t="n">
        <x:v>0</x:v>
      </x:c>
      <x:c r="H4656" s="1" t="n">
        <x:f>'Historical prices'!E4656</x:f>
        <x:v>1.05</x:v>
      </x:c>
      <x:c r="I4656" s="6" t="n">
        <x:f>'Historical prices'!D4656</x:f>
        <x:v>0.18530000000000002</x:v>
      </x:c>
      <x:c r="J4656" s="13" t="n">
        <x:f>D4656*I4656*H4656</x:f>
        <x:v>0.08118224625</x:v>
      </x:c>
      <x:c r="K4656" s="13" t="n">
        <x:f>E4656*I4656*H4656</x:f>
        <x:v>0.08312789625000001</x:v>
      </x:c>
      <x:c r="L4656" s="1" t="str">
        <x:f>TEXT(A4656,"mmm yyyy")</x:f>
        <x:v>Aug 2026</x:v>
      </x:c>
    </x:row>
    <x:row r="4657" ht="21" customHeight="1">
      <x:c r="A4657" s="10" t="n">
        <x:v>46245</x:v>
      </x:c>
      <x:c r="B4657" s="1" t="n">
        <x:v>12.5</x:v>
      </x:c>
      <x:c r="C4657" s="1" t="n">
        <x:v>6</x:v>
      </x:c>
      <x:c r="D4657" s="12" t="n">
        <x:v>0.3845</x:v>
      </x:c>
      <x:c r="E4657" s="12" t="n">
        <x:v>0.3945</x:v>
      </x:c>
      <x:c r="F4657" s="12" t="n">
        <x:v>0</x:v>
      </x:c>
      <x:c r="G4657" s="12" t="n">
        <x:v>0</x:v>
      </x:c>
      <x:c r="H4657" s="1" t="n">
        <x:f>'Historical prices'!E4657</x:f>
        <x:v>1.05</x:v>
      </x:c>
      <x:c r="I4657" s="6" t="n">
        <x:f>'Historical prices'!D4657</x:f>
        <x:v>0.1787</x:v>
      </x:c>
      <x:c r="J4657" s="13" t="n">
        <x:f>D4657*I4657*H4657</x:f>
        <x:v>0.0721456575</x:v>
      </x:c>
      <x:c r="K4657" s="13" t="n">
        <x:f>E4657*I4657*H4657</x:f>
        <x:v>0.07402200750000001</x:v>
      </x:c>
      <x:c r="L4657" s="1" t="str">
        <x:f>TEXT(A4657,"mmm yyyy")</x:f>
        <x:v>Aug 2026</x:v>
      </x:c>
    </x:row>
    <x:row r="4658" ht="21" customHeight="1">
      <x:c r="A4658" s="10" t="n">
        <x:v>46245</x:v>
      </x:c>
      <x:c r="B4658" s="1" t="n">
        <x:v>13</x:v>
      </x:c>
      <x:c r="C4658" s="1" t="n">
        <x:v>6</x:v>
      </x:c>
      <x:c r="D4658" s="12" t="n">
        <x:v>0.33675000000000005</x:v>
      </x:c>
      <x:c r="E4658" s="12" t="n">
        <x:v>0.34975</x:v>
      </x:c>
      <x:c r="F4658" s="12" t="n">
        <x:v>0</x:v>
      </x:c>
      <x:c r="G4658" s="12" t="n">
        <x:v>0</x:v>
      </x:c>
      <x:c r="H4658" s="1" t="n">
        <x:f>'Historical prices'!E4658</x:f>
        <x:v>1.05</x:v>
      </x:c>
      <x:c r="I4658" s="6" t="n">
        <x:f>'Historical prices'!D4658</x:f>
        <x:v>0.1711</x:v>
      </x:c>
      <x:c r="J4658" s="13" t="n">
        <x:f>D4658*I4658*H4658</x:f>
        <x:v>0.06049882125000001</x:v>
      </x:c>
      <x:c r="K4658" s="13" t="n">
        <x:f>E4658*I4658*H4658</x:f>
        <x:v>0.06283433625</x:v>
      </x:c>
      <x:c r="L4658" s="1" t="str">
        <x:f>TEXT(A4658,"mmm yyyy")</x:f>
        <x:v>Aug 2026</x:v>
      </x:c>
    </x:row>
    <x:row r="4659" ht="21" customHeight="1">
      <x:c r="A4659" s="10" t="n">
        <x:v>46245</x:v>
      </x:c>
      <x:c r="B4659" s="1" t="n">
        <x:v>13.5</x:v>
      </x:c>
      <x:c r="C4659" s="1" t="n">
        <x:v>6</x:v>
      </x:c>
      <x:c r="D4659" s="12" t="n">
        <x:v>4.377000000000001</x:v>
      </x:c>
      <x:c r="E4659" s="12" t="n">
        <x:v>0.574</x:v>
      </x:c>
      <x:c r="F4659" s="12" t="n">
        <x:v>0</x:v>
      </x:c>
      <x:c r="G4659" s="12" t="n">
        <x:v>3.8039999999999994</x:v>
      </x:c>
      <x:c r="H4659" s="1" t="n">
        <x:f>'Historical prices'!E4659</x:f>
        <x:v>1.05</x:v>
      </x:c>
      <x:c r="I4659" s="6" t="n">
        <x:f>'Historical prices'!D4659</x:f>
        <x:v>0.15960000000000002</x:v>
      </x:c>
      <x:c r="J4659" s="13" t="n">
        <x:f>D4659*I4659*H4659</x:f>
        <x:v>0.7334976600000003</x:v>
      </x:c>
      <x:c r="K4659" s="13" t="n">
        <x:f>E4659*I4659*H4659</x:f>
        <x:v>0.09619092000000001</x:v>
      </x:c>
      <x:c r="L4659" s="1" t="str">
        <x:f>TEXT(A4659,"mmm yyyy")</x:f>
        <x:v>Aug 2026</x:v>
      </x:c>
    </x:row>
    <x:row r="4660" ht="21" customHeight="1">
      <x:c r="A4660" s="10" t="n">
        <x:v>46245</x:v>
      </x:c>
      <x:c r="B4660" s="1" t="n">
        <x:v>14</x:v>
      </x:c>
      <x:c r="C4660" s="1" t="n">
        <x:v>6</x:v>
      </x:c>
      <x:c r="D4660" s="12" t="n">
        <x:v>5.136</x:v>
      </x:c>
      <x:c r="E4660" s="12" t="n">
        <x:v>0.6299999999999999</x:v>
      </x:c>
      <x:c r="F4660" s="12" t="n">
        <x:v>0</x:v>
      </x:c>
      <x:c r="G4660" s="12" t="n">
        <x:v>4.506</x:v>
      </x:c>
      <x:c r="H4660" s="1" t="n">
        <x:f>'Historical prices'!E4660</x:f>
        <x:v>1.05</x:v>
      </x:c>
      <x:c r="I4660" s="6" t="n">
        <x:f>'Historical prices'!D4660</x:f>
        <x:v>0.1632</x:v>
      </x:c>
      <x:c r="J4660" s="13" t="n">
        <x:f>D4660*I4660*H4660</x:f>
        <x:v>0.88010496</x:v>
      </x:c>
      <x:c r="K4660" s="13" t="n">
        <x:f>E4660*I4660*H4660</x:f>
        <x:v>0.10795679999999999</x:v>
      </x:c>
      <x:c r="L4660" s="1" t="str">
        <x:f>TEXT(A4660,"mmm yyyy")</x:f>
        <x:v>Aug 2026</x:v>
      </x:c>
    </x:row>
    <x:row r="4661" ht="21" customHeight="1">
      <x:c r="A4661" s="10" t="n">
        <x:v>46245</x:v>
      </x:c>
      <x:c r="B4661" s="1" t="n">
        <x:v>14.5</x:v>
      </x:c>
      <x:c r="C4661" s="1" t="n">
        <x:v>6</x:v>
      </x:c>
      <x:c r="D4661" s="12" t="n">
        <x:v>5.4014999999999995</x:v>
      </x:c>
      <x:c r="E4661" s="12" t="n">
        <x:v>0.6855000000000001</x:v>
      </x:c>
      <x:c r="F4661" s="12" t="n">
        <x:v>0</x:v>
      </x:c>
      <x:c r="G4661" s="12" t="n">
        <x:v>4.715999999999999</x:v>
      </x:c>
      <x:c r="H4661" s="1" t="n">
        <x:f>'Historical prices'!E4661</x:f>
        <x:v>1.05</x:v>
      </x:c>
      <x:c r="I4661" s="6" t="n">
        <x:f>'Historical prices'!D4661</x:f>
        <x:v>0.1691</x:v>
      </x:c>
      <x:c r="J4661" s="13" t="n">
        <x:f>D4661*I4661*H4661</x:f>
        <x:v>0.9590633325</x:v>
      </x:c>
      <x:c r="K4661" s="13" t="n">
        <x:f>E4661*I4661*H4661</x:f>
        <x:v>0.12171395250000003</x:v>
      </x:c>
      <x:c r="L4661" s="1" t="str">
        <x:f>TEXT(A4661,"mmm yyyy")</x:f>
        <x:v>Aug 2026</x:v>
      </x:c>
    </x:row>
    <x:row r="4662" ht="21" customHeight="1">
      <x:c r="A4662" s="10" t="n">
        <x:v>46245</x:v>
      </x:c>
      <x:c r="B4662" s="1" t="n">
        <x:v>15</x:v>
      </x:c>
      <x:c r="C4662" s="1" t="n">
        <x:v>6</x:v>
      </x:c>
      <x:c r="D4662" s="12" t="n">
        <x:v>1.8375</x:v>
      </x:c>
      <x:c r="E4662" s="12" t="n">
        <x:v>1.0785</x:v>
      </x:c>
      <x:c r="F4662" s="12" t="n">
        <x:v>0</x:v>
      </x:c>
      <x:c r="G4662" s="12" t="n">
        <x:v>0.762</x:v>
      </x:c>
      <x:c r="H4662" s="1" t="n">
        <x:f>'Historical prices'!E4662</x:f>
        <x:v>1.05</x:v>
      </x:c>
      <x:c r="I4662" s="6" t="n">
        <x:f>'Historical prices'!D4662</x:f>
        <x:v>0.171</x:v>
      </x:c>
      <x:c r="J4662" s="13" t="n">
        <x:f>D4662*I4662*H4662</x:f>
        <x:v>0.32992312500000004</x:v>
      </x:c>
      <x:c r="K4662" s="13" t="n">
        <x:f>E4662*I4662*H4662</x:f>
        <x:v>0.19364467500000002</x:v>
      </x:c>
      <x:c r="L4662" s="1" t="str">
        <x:f>TEXT(A4662,"mmm yyyy")</x:f>
        <x:v>Aug 2026</x:v>
      </x:c>
    </x:row>
    <x:row r="4663" ht="21" customHeight="1">
      <x:c r="A4663" s="10" t="n">
        <x:v>46245</x:v>
      </x:c>
      <x:c r="B4663" s="1" t="n">
        <x:v>15.5</x:v>
      </x:c>
      <x:c r="C4663" s="1" t="n">
        <x:v>6</x:v>
      </x:c>
      <x:c r="D4663" s="12" t="n">
        <x:v>0.5209999999999999</x:v>
      </x:c>
      <x:c r="E4663" s="12" t="n">
        <x:v>0.5329999999999999</x:v>
      </x:c>
      <x:c r="F4663" s="12" t="n">
        <x:v>0</x:v>
      </x:c>
      <x:c r="G4663" s="12" t="n">
        <x:v>0</x:v>
      </x:c>
      <x:c r="H4663" s="1" t="n">
        <x:f>'Historical prices'!E4663</x:f>
        <x:v>1.05</x:v>
      </x:c>
      <x:c r="I4663" s="6" t="n">
        <x:f>'Historical prices'!D4663</x:f>
        <x:v>0.1736</x:v>
      </x:c>
      <x:c r="J4663" s="13" t="n">
        <x:f>D4663*I4663*H4663</x:f>
        <x:v>0.09496787999999999</x:v>
      </x:c>
      <x:c r="K4663" s="13" t="n">
        <x:f>E4663*I4663*H4663</x:f>
        <x:v>0.09715524</x:v>
      </x:c>
      <x:c r="L4663" s="1" t="str">
        <x:f>TEXT(A4663,"mmm yyyy")</x:f>
        <x:v>Aug 2026</x:v>
      </x:c>
    </x:row>
    <x:row r="4664" ht="21" customHeight="1">
      <x:c r="A4664" s="10" t="n">
        <x:v>46245</x:v>
      </x:c>
      <x:c r="B4664" s="1" t="n">
        <x:v>16</x:v>
      </x:c>
      <x:c r="C4664" s="1" t="n">
        <x:v>6</x:v>
      </x:c>
      <x:c r="D4664" s="12" t="n">
        <x:v>0.088</x:v>
      </x:c>
      <x:c r="E4664" s="12" t="n">
        <x:v>0.6659166666666666</x:v>
      </x:c>
      <x:c r="F4664" s="12" t="n">
        <x:v>0.5755</x:v>
      </x:c>
      <x:c r="G4664" s="12" t="n">
        <x:v>0</x:v>
      </x:c>
      <x:c r="H4664" s="1" t="n">
        <x:f>'Historical prices'!E4664</x:f>
        <x:v>1.05</x:v>
      </x:c>
      <x:c r="I4664" s="6" t="n">
        <x:f>'Historical prices'!D4664</x:f>
        <x:v>0.2932</x:v>
      </x:c>
      <x:c r="J4664" s="13" t="n">
        <x:f>D4664*I4664*H4664</x:f>
        <x:v>0.027091680000000003</x:v>
      </x:c>
      <x:c r="K4664" s="13" t="n">
        <x:f>E4664*I4664*H4664</x:f>
        <x:v>0.205009105</x:v>
      </x:c>
      <x:c r="L4664" s="1" t="str">
        <x:f>TEXT(A4664,"mmm yyyy")</x:f>
        <x:v>Aug 2026</x:v>
      </x:c>
    </x:row>
    <x:row r="4665" ht="21" customHeight="1">
      <x:c r="A4665" s="10" t="n">
        <x:v>46245</x:v>
      </x:c>
      <x:c r="B4665" s="1" t="n">
        <x:v>16.5</x:v>
      </x:c>
      <x:c r="C4665" s="1" t="n">
        <x:v>6</x:v>
      </x:c>
      <x:c r="D4665" s="12" t="n">
        <x:v>0</x:v>
      </x:c>
      <x:c r="E4665" s="12" t="n">
        <x:v>0.9269166666666666</x:v>
      </x:c>
      <x:c r="F4665" s="12" t="n">
        <x:v>0.9266666666666666</x:v>
      </x:c>
      <x:c r="G4665" s="12" t="n">
        <x:v>0</x:v>
      </x:c>
      <x:c r="H4665" s="1" t="n">
        <x:f>'Historical prices'!E4665</x:f>
        <x:v>1.05</x:v>
      </x:c>
      <x:c r="I4665" s="6" t="n">
        <x:f>'Historical prices'!D4665</x:f>
        <x:v>0.2966</x:v>
      </x:c>
      <x:c r="J4665" s="13" t="n">
        <x:f>D4665*I4665*H4665</x:f>
        <x:v>0</x:v>
      </x:c>
      <x:c r="K4665" s="13" t="n">
        <x:f>E4665*I4665*H4665</x:f>
        <x:v>0.28866965749999995</x:v>
      </x:c>
      <x:c r="L4665" s="1" t="str">
        <x:f>TEXT(A4665,"mmm yyyy")</x:f>
        <x:v>Aug 2026</x:v>
      </x:c>
    </x:row>
    <x:row r="4666" ht="21" customHeight="1">
      <x:c r="A4666" s="10" t="n">
        <x:v>46245</x:v>
      </x:c>
      <x:c r="B4666" s="1" t="n">
        <x:v>17</x:v>
      </x:c>
      <x:c r="C4666" s="1" t="n">
        <x:v>6</x:v>
      </x:c>
      <x:c r="D4666" s="12" t="n">
        <x:v>0</x:v>
      </x:c>
      <x:c r="E4666" s="12" t="n">
        <x:v>0.5735833333333333</x:v>
      </x:c>
      <x:c r="F4666" s="12" t="n">
        <x:v>0.5733333333333333</x:v>
      </x:c>
      <x:c r="G4666" s="12" t="n">
        <x:v>0</x:v>
      </x:c>
      <x:c r="H4666" s="1" t="n">
        <x:f>'Historical prices'!E4666</x:f>
        <x:v>1.05</x:v>
      </x:c>
      <x:c r="I4666" s="6" t="n">
        <x:f>'Historical prices'!D4666</x:f>
        <x:v>0.3638</x:v>
      </x:c>
      <x:c r="J4666" s="13" t="n">
        <x:f>D4666*I4666*H4666</x:f>
        <x:v>0</x:v>
      </x:c>
      <x:c r="K4666" s="13" t="n">
        <x:f>E4666*I4666*H4666</x:f>
        <x:v>0.2191030975</x:v>
      </x:c>
      <x:c r="L4666" s="1" t="str">
        <x:f>TEXT(A4666,"mmm yyyy")</x:f>
        <x:v>Aug 2026</x:v>
      </x:c>
    </x:row>
    <x:row r="4667" ht="21" customHeight="1">
      <x:c r="A4667" s="10" t="n">
        <x:v>46245</x:v>
      </x:c>
      <x:c r="B4667" s="1" t="n">
        <x:v>17.5</x:v>
      </x:c>
      <x:c r="C4667" s="1" t="n">
        <x:v>6</x:v>
      </x:c>
      <x:c r="D4667" s="12" t="n">
        <x:v>0</x:v>
      </x:c>
      <x:c r="E4667" s="12" t="n">
        <x:v>0.6028333333333333</x:v>
      </x:c>
      <x:c r="F4667" s="12" t="n">
        <x:v>0.6023333333333333</x:v>
      </x:c>
      <x:c r="G4667" s="12" t="n">
        <x:v>0</x:v>
      </x:c>
      <x:c r="H4667" s="1" t="n">
        <x:f>'Historical prices'!E4667</x:f>
        <x:v>1.05</x:v>
      </x:c>
      <x:c r="I4667" s="6" t="n">
        <x:f>'Historical prices'!D4667</x:f>
        <x:v>0.35960000000000003</x:v>
      </x:c>
      <x:c r="J4667" s="13" t="n">
        <x:f>D4667*I4667*H4667</x:f>
        <x:v>0</x:v>
      </x:c>
      <x:c r="K4667" s="13" t="n">
        <x:f>E4667*I4667*H4667</x:f>
        <x:v>0.22761781000000003</x:v>
      </x:c>
      <x:c r="L4667" s="1" t="str">
        <x:f>TEXT(A4667,"mmm yyyy")</x:f>
        <x:v>Aug 2026</x:v>
      </x:c>
    </x:row>
    <x:row r="4668" ht="21" customHeight="1">
      <x:c r="A4668" s="10" t="n">
        <x:v>46245</x:v>
      </x:c>
      <x:c r="B4668" s="1" t="n">
        <x:v>18</x:v>
      </x:c>
      <x:c r="C4668" s="1" t="n">
        <x:v>6</x:v>
      </x:c>
      <x:c r="D4668" s="12" t="n">
        <x:v>0</x:v>
      </x:c>
      <x:c r="E4668" s="12" t="n">
        <x:v>0.5924166666666666</x:v>
      </x:c>
      <x:c r="F4668" s="12" t="n">
        <x:v>0.5922499999999999</x:v>
      </x:c>
      <x:c r="G4668" s="12" t="n">
        <x:v>0</x:v>
      </x:c>
      <x:c r="H4668" s="1" t="n">
        <x:f>'Historical prices'!E4668</x:f>
        <x:v>1.05</x:v>
      </x:c>
      <x:c r="I4668" s="6" t="n">
        <x:f>'Historical prices'!D4668</x:f>
        <x:v>0.41350000000000003</x:v>
      </x:c>
      <x:c r="J4668" s="13" t="n">
        <x:f>D4668*I4668*H4668</x:f>
        <x:v>0</x:v>
      </x:c>
      <x:c r="K4668" s="13" t="n">
        <x:f>E4668*I4668*H4668</x:f>
        <x:v>0.25721250625000003</x:v>
      </x:c>
      <x:c r="L4668" s="1" t="str">
        <x:f>TEXT(A4668,"mmm yyyy")</x:f>
        <x:v>Aug 2026</x:v>
      </x:c>
    </x:row>
    <x:row r="4669" ht="21" customHeight="1">
      <x:c r="A4669" s="10" t="n">
        <x:v>46245</x:v>
      </x:c>
      <x:c r="B4669" s="1" t="n">
        <x:v>18.5</x:v>
      </x:c>
      <x:c r="C4669" s="1" t="n">
        <x:v>6</x:v>
      </x:c>
      <x:c r="D4669" s="12" t="n">
        <x:v>0</x:v>
      </x:c>
      <x:c r="E4669" s="12" t="n">
        <x:v>0.984</x:v>
      </x:c>
      <x:c r="F4669" s="12" t="n">
        <x:v>0.9839166666666666</x:v>
      </x:c>
      <x:c r="G4669" s="12" t="n">
        <x:v>0</x:v>
      </x:c>
      <x:c r="H4669" s="1" t="n">
        <x:f>'Historical prices'!E4669</x:f>
        <x:v>1.05</x:v>
      </x:c>
      <x:c r="I4669" s="6" t="n">
        <x:f>'Historical prices'!D4669</x:f>
        <x:v>0.4321</x:v>
      </x:c>
      <x:c r="J4669" s="13" t="n">
        <x:f>D4669*I4669*H4669</x:f>
        <x:v>0</x:v>
      </x:c>
      <x:c r="K4669" s="13" t="n">
        <x:f>E4669*I4669*H4669</x:f>
        <x:v>0.44644572</x:v>
      </x:c>
      <x:c r="L4669" s="1" t="str">
        <x:f>TEXT(A4669,"mmm yyyy")</x:f>
        <x:v>Aug 2026</x:v>
      </x:c>
    </x:row>
    <x:row r="4670" ht="21" customHeight="1">
      <x:c r="A4670" s="10" t="n">
        <x:v>46245</x:v>
      </x:c>
      <x:c r="B4670" s="1" t="n">
        <x:v>19</x:v>
      </x:c>
      <x:c r="C4670" s="1" t="n">
        <x:v>6</x:v>
      </x:c>
      <x:c r="D4670" s="12" t="n">
        <x:v>0</x:v>
      </x:c>
      <x:c r="E4670" s="12" t="n">
        <x:v>0.7175833333333332</x:v>
      </x:c>
      <x:c r="F4670" s="12" t="n">
        <x:v>0.7174999999999999</x:v>
      </x:c>
      <x:c r="G4670" s="12" t="n">
        <x:v>0</x:v>
      </x:c>
      <x:c r="H4670" s="1" t="n">
        <x:f>'Historical prices'!E4670</x:f>
        <x:v>1.05</x:v>
      </x:c>
      <x:c r="I4670" s="6" t="n">
        <x:f>'Historical prices'!D4670</x:f>
        <x:v>0.3119</x:v>
      </x:c>
      <x:c r="J4670" s="13" t="n">
        <x:f>D4670*I4670*H4670</x:f>
        <x:v>0</x:v>
      </x:c>
      <x:c r="K4670" s="13" t="n">
        <x:f>E4670*I4670*H4670</x:f>
        <x:v>0.23500495374999997</x:v>
      </x:c>
      <x:c r="L4670" s="1" t="str">
        <x:f>TEXT(A4670,"mmm yyyy")</x:f>
        <x:v>Aug 2026</x:v>
      </x:c>
    </x:row>
    <x:row r="4671" ht="21" customHeight="1">
      <x:c r="A4671" s="10" t="n">
        <x:v>46245</x:v>
      </x:c>
      <x:c r="B4671" s="1" t="n">
        <x:v>19.5</x:v>
      </x:c>
      <x:c r="C4671" s="1" t="n">
        <x:v>6</x:v>
      </x:c>
      <x:c r="D4671" s="12" t="n">
        <x:v>0</x:v>
      </x:c>
      <x:c r="E4671" s="12" t="n">
        <x:v>0.9323333333333335</x:v>
      </x:c>
      <x:c r="F4671" s="12" t="n">
        <x:v>0.9307500000000002</x:v>
      </x:c>
      <x:c r="G4671" s="12" t="n">
        <x:v>0</x:v>
      </x:c>
      <x:c r="H4671" s="1" t="n">
        <x:f>'Historical prices'!E4671</x:f>
        <x:v>1.05</x:v>
      </x:c>
      <x:c r="I4671" s="6" t="n">
        <x:f>'Historical prices'!D4671</x:f>
        <x:v>0.3195</x:v>
      </x:c>
      <x:c r="J4671" s="13" t="n">
        <x:f>D4671*I4671*H4671</x:f>
        <x:v>0</x:v>
      </x:c>
      <x:c r="K4671" s="13" t="n">
        <x:f>E4671*I4671*H4671</x:f>
        <x:v>0.3127745250000001</x:v>
      </x:c>
      <x:c r="L4671" s="1" t="str">
        <x:f>TEXT(A4671,"mmm yyyy")</x:f>
        <x:v>Aug 2026</x:v>
      </x:c>
    </x:row>
    <x:row r="4672" ht="21" customHeight="1">
      <x:c r="A4672" s="10" t="n">
        <x:v>46245</x:v>
      </x:c>
      <x:c r="B4672" s="1" t="n">
        <x:v>20</x:v>
      </x:c>
      <x:c r="C4672" s="1" t="n">
        <x:v>6</x:v>
      </x:c>
      <x:c r="D4672" s="12" t="n">
        <x:v>0</x:v>
      </x:c>
      <x:c r="E4672" s="12" t="n">
        <x:v>0.6325</x:v>
      </x:c>
      <x:c r="F4672" s="12" t="n">
        <x:v>0.63225</x:v>
      </x:c>
      <x:c r="G4672" s="12" t="n">
        <x:v>0</x:v>
      </x:c>
      <x:c r="H4672" s="1" t="n">
        <x:f>'Historical prices'!E4672</x:f>
        <x:v>1.05</x:v>
      </x:c>
      <x:c r="I4672" s="6" t="n">
        <x:f>'Historical prices'!D4672</x:f>
        <x:v>0.3065</x:v>
      </x:c>
      <x:c r="J4672" s="13" t="n">
        <x:f>D4672*I4672*H4672</x:f>
        <x:v>0</x:v>
      </x:c>
      <x:c r="K4672" s="13" t="n">
        <x:f>E4672*I4672*H4672</x:f>
        <x:v>0.2035543125</x:v>
      </x:c>
      <x:c r="L4672" s="1" t="str">
        <x:f>TEXT(A4672,"mmm yyyy")</x:f>
        <x:v>Aug 2026</x:v>
      </x:c>
    </x:row>
    <x:row r="4673" ht="21" customHeight="1">
      <x:c r="A4673" s="10" t="n">
        <x:v>46245</x:v>
      </x:c>
      <x:c r="B4673" s="1" t="n">
        <x:v>20.5</x:v>
      </x:c>
      <x:c r="C4673" s="1" t="n">
        <x:v>6</x:v>
      </x:c>
      <x:c r="D4673" s="12" t="n">
        <x:v>0</x:v>
      </x:c>
      <x:c r="E4673" s="12" t="n">
        <x:v>0.6623333333333333</x:v>
      </x:c>
      <x:c r="F4673" s="12" t="n">
        <x:v>0.6617500000000001</x:v>
      </x:c>
      <x:c r="G4673" s="12" t="n">
        <x:v>0</x:v>
      </x:c>
      <x:c r="H4673" s="1" t="n">
        <x:f>'Historical prices'!E4673</x:f>
        <x:v>1.05</x:v>
      </x:c>
      <x:c r="I4673" s="6" t="n">
        <x:f>'Historical prices'!D4673</x:f>
        <x:v>0.30760000000000004</x:v>
      </x:c>
      <x:c r="J4673" s="13" t="n">
        <x:f>D4673*I4673*H4673</x:f>
        <x:v>0</x:v>
      </x:c>
      <x:c r="K4673" s="13" t="n">
        <x:f>E4673*I4673*H4673</x:f>
        <x:v>0.21392042000000003</x:v>
      </x:c>
      <x:c r="L4673" s="1" t="str">
        <x:f>TEXT(A4673,"mmm yyyy")</x:f>
        <x:v>Aug 2026</x:v>
      </x:c>
    </x:row>
    <x:row r="4674" ht="21" customHeight="1">
      <x:c r="A4674" s="10" t="n">
        <x:v>46245</x:v>
      </x:c>
      <x:c r="B4674" s="1" t="n">
        <x:v>21</x:v>
      </x:c>
      <x:c r="C4674" s="1" t="n">
        <x:v>6</x:v>
      </x:c>
      <x:c r="D4674" s="12" t="n">
        <x:v>0</x:v>
      </x:c>
      <x:c r="E4674" s="12" t="n">
        <x:v>0.5667500000000001</x:v>
      </x:c>
      <x:c r="F4674" s="12" t="n">
        <x:v>0.5663333333333332</x:v>
      </x:c>
      <x:c r="G4674" s="12" t="n">
        <x:v>0</x:v>
      </x:c>
      <x:c r="H4674" s="1" t="n">
        <x:f>'Historical prices'!E4674</x:f>
        <x:v>1.05</x:v>
      </x:c>
      <x:c r="I4674" s="6" t="n">
        <x:f>'Historical prices'!D4674</x:f>
        <x:v>0.2904</x:v>
      </x:c>
      <x:c r="J4674" s="13" t="n">
        <x:f>D4674*I4674*H4674</x:f>
        <x:v>0</x:v>
      </x:c>
      <x:c r="K4674" s="13" t="n">
        <x:f>E4674*I4674*H4674</x:f>
        <x:v>0.17281341000000003</x:v>
      </x:c>
      <x:c r="L4674" s="1" t="str">
        <x:f>TEXT(A4674,"mmm yyyy")</x:f>
        <x:v>Aug 2026</x:v>
      </x:c>
    </x:row>
    <x:row r="4675" ht="21" customHeight="1">
      <x:c r="A4675" s="10" t="n">
        <x:v>46245</x:v>
      </x:c>
      <x:c r="B4675" s="1" t="n">
        <x:v>21.5</x:v>
      </x:c>
      <x:c r="C4675" s="1" t="n">
        <x:v>6</x:v>
      </x:c>
      <x:c r="D4675" s="12" t="n">
        <x:v>0</x:v>
      </x:c>
      <x:c r="E4675" s="12" t="n">
        <x:v>0.8888333333333334</x:v>
      </x:c>
      <x:c r="F4675" s="12" t="n">
        <x:v>0.8883333333333333</x:v>
      </x:c>
      <x:c r="G4675" s="12" t="n">
        <x:v>0</x:v>
      </x:c>
      <x:c r="H4675" s="1" t="n">
        <x:f>'Historical prices'!E4675</x:f>
        <x:v>1.05</x:v>
      </x:c>
      <x:c r="I4675" s="6" t="n">
        <x:f>'Historical prices'!D4675</x:f>
        <x:v>0.282</x:v>
      </x:c>
      <x:c r="J4675" s="13" t="n">
        <x:f>D4675*I4675*H4675</x:f>
        <x:v>0</x:v>
      </x:c>
      <x:c r="K4675" s="13" t="n">
        <x:f>E4675*I4675*H4675</x:f>
        <x:v>0.26318355</x:v>
      </x:c>
      <x:c r="L4675" s="1" t="str">
        <x:f>TEXT(A4675,"mmm yyyy")</x:f>
        <x:v>Aug 2026</x:v>
      </x:c>
    </x:row>
    <x:row r="4676" ht="21" customHeight="1">
      <x:c r="A4676" s="10" t="n">
        <x:v>46245</x:v>
      </x:c>
      <x:c r="B4676" s="1" t="n">
        <x:v>22</x:v>
      </x:c>
      <x:c r="C4676" s="1" t="n">
        <x:v>6</x:v>
      </x:c>
      <x:c r="D4676" s="12" t="n">
        <x:v>0</x:v>
      </x:c>
      <x:c r="E4676" s="12" t="n">
        <x:v>0.43458333333333327</x:v>
      </x:c>
      <x:c r="F4676" s="12" t="n">
        <x:v>0.4343333333333333</x:v>
      </x:c>
      <x:c r="G4676" s="12" t="n">
        <x:v>0</x:v>
      </x:c>
      <x:c r="H4676" s="1" t="n">
        <x:f>'Historical prices'!E4676</x:f>
        <x:v>1.05</x:v>
      </x:c>
      <x:c r="I4676" s="6" t="n">
        <x:f>'Historical prices'!D4676</x:f>
        <x:v>0.2656</x:v>
      </x:c>
      <x:c r="J4676" s="13" t="n">
        <x:f>D4676*I4676*H4676</x:f>
        <x:v>0</x:v>
      </x:c>
      <x:c r="K4676" s="13" t="n">
        <x:f>E4676*I4676*H4676</x:f>
        <x:v>0.12119659999999999</x:v>
      </x:c>
      <x:c r="L4676" s="1" t="str">
        <x:f>TEXT(A4676,"mmm yyyy")</x:f>
        <x:v>Aug 2026</x:v>
      </x:c>
    </x:row>
    <x:row r="4677" ht="21" customHeight="1">
      <x:c r="A4677" s="10" t="n">
        <x:v>46245</x:v>
      </x:c>
      <x:c r="B4677" s="1" t="n">
        <x:v>22.5</x:v>
      </x:c>
      <x:c r="C4677" s="1" t="n">
        <x:v>6</x:v>
      </x:c>
      <x:c r="D4677" s="12" t="n">
        <x:v>0</x:v>
      </x:c>
      <x:c r="E4677" s="12" t="n">
        <x:v>0.2771666666666667</x:v>
      </x:c>
      <x:c r="F4677" s="12" t="n">
        <x:v>0.2766666666666666</x:v>
      </x:c>
      <x:c r="G4677" s="12" t="n">
        <x:v>0</x:v>
      </x:c>
      <x:c r="H4677" s="1" t="n">
        <x:f>'Historical prices'!E4677</x:f>
        <x:v>1.05</x:v>
      </x:c>
      <x:c r="I4677" s="6" t="n">
        <x:f>'Historical prices'!D4677</x:f>
        <x:v>0.24719999999999998</x:v>
      </x:c>
      <x:c r="J4677" s="13" t="n">
        <x:f>D4677*I4677*H4677</x:f>
        <x:v>0</x:v>
      </x:c>
      <x:c r="K4677" s="13" t="n">
        <x:f>E4677*I4677*H4677</x:f>
        <x:v>0.07194138</x:v>
      </x:c>
      <x:c r="L4677" s="1" t="str">
        <x:f>TEXT(A4677,"mmm yyyy")</x:f>
        <x:v>Aug 2026</x:v>
      </x:c>
    </x:row>
    <x:row r="4678" ht="21" customHeight="1">
      <x:c r="A4678" s="10" t="n">
        <x:v>46245</x:v>
      </x:c>
      <x:c r="B4678" s="1" t="n">
        <x:v>23</x:v>
      </x:c>
      <x:c r="C4678" s="1" t="n">
        <x:v>6</x:v>
      </x:c>
      <x:c r="D4678" s="12" t="n">
        <x:v>0</x:v>
      </x:c>
      <x:c r="E4678" s="12" t="n">
        <x:v>0.3638333333333334</x:v>
      </x:c>
      <x:c r="F4678" s="12" t="n">
        <x:v>0.36333333333333334</x:v>
      </x:c>
      <x:c r="G4678" s="12" t="n">
        <x:v>0</x:v>
      </x:c>
      <x:c r="H4678" s="1" t="n">
        <x:f>'Historical prices'!E4678</x:f>
        <x:v>1.05</x:v>
      </x:c>
      <x:c r="I4678" s="6" t="n">
        <x:f>'Historical prices'!D4678</x:f>
        <x:v>0.25379999999999997</x:v>
      </x:c>
      <x:c r="J4678" s="13" t="n">
        <x:f>D4678*I4678*H4678</x:f>
        <x:v>0</x:v>
      </x:c>
      <x:c r="K4678" s="13" t="n">
        <x:f>E4678*I4678*H4678</x:f>
        <x:v>0.096957945</x:v>
      </x:c>
      <x:c r="L4678" s="1" t="str">
        <x:f>TEXT(A4678,"mmm yyyy")</x:f>
        <x:v>Aug 2026</x:v>
      </x:c>
    </x:row>
    <x:row r="4679" ht="21" customHeight="1">
      <x:c r="A4679" s="10" t="n">
        <x:v>46245</x:v>
      </x:c>
      <x:c r="B4679" s="1" t="n">
        <x:v>23.5</x:v>
      </x:c>
      <x:c r="C4679" s="1" t="n">
        <x:v>6</x:v>
      </x:c>
      <x:c r="D4679" s="12" t="n">
        <x:v>0</x:v>
      </x:c>
      <x:c r="E4679" s="12" t="n">
        <x:v>0.30266666666666664</x:v>
      </x:c>
      <x:c r="F4679" s="12" t="n">
        <x:v>0.3024166666666666</x:v>
      </x:c>
      <x:c r="G4679" s="12" t="n">
        <x:v>0</x:v>
      </x:c>
      <x:c r="H4679" s="1" t="n">
        <x:f>'Historical prices'!E4679</x:f>
        <x:v>1.05</x:v>
      </x:c>
      <x:c r="I4679" s="6" t="n">
        <x:f>'Historical prices'!D4679</x:f>
        <x:v>0.23379999999999998</x:v>
      </x:c>
      <x:c r="J4679" s="13" t="n">
        <x:f>D4679*I4679*H4679</x:f>
        <x:v>0</x:v>
      </x:c>
      <x:c r="K4679" s="13" t="n">
        <x:f>E4679*I4679*H4679</x:f>
        <x:v>0.07430163999999999</x:v>
      </x:c>
      <x:c r="L4679" s="1" t="str">
        <x:f>TEXT(A4679,"mmm yyyy")</x:f>
        <x:v>Aug 2026</x:v>
      </x:c>
    </x:row>
    <x:row r="4680" ht="21" customHeight="1">
      <x:c r="A4680" s="10" t="n">
        <x:v>46246</x:v>
      </x:c>
      <x:c r="B4680" s="1" t="n">
        <x:v>0</x:v>
      </x:c>
      <x:c r="C4680" s="1" t="n">
        <x:v>6</x:v>
      </x:c>
      <x:c r="D4680" s="12" t="n">
        <x:v>0</x:v>
      </x:c>
      <x:c r="E4680" s="12" t="n">
        <x:v>0.26983333333333337</x:v>
      </x:c>
      <x:c r="F4680" s="12" t="n">
        <x:v>0.26375</x:v>
      </x:c>
      <x:c r="G4680" s="12" t="n">
        <x:v>0</x:v>
      </x:c>
      <x:c r="H4680" s="1" t="n">
        <x:f>'Historical prices'!E4680</x:f>
        <x:v>1.05</x:v>
      </x:c>
      <x:c r="I4680" s="6" t="n">
        <x:f>'Historical prices'!D4680</x:f>
        <x:v>0.2286</x:v>
      </x:c>
      <x:c r="J4680" s="13" t="n">
        <x:f>D4680*I4680*H4680</x:f>
        <x:v>0</x:v>
      </x:c>
      <x:c r="K4680" s="13" t="n">
        <x:f>E4680*I4680*H4680</x:f>
        <x:v>0.06476809500000001</x:v>
      </x:c>
      <x:c r="L4680" s="1" t="str">
        <x:f>TEXT(A4680,"mmm yyyy")</x:f>
        <x:v>Aug 2026</x:v>
      </x:c>
    </x:row>
    <x:row r="4681" ht="21" customHeight="1">
      <x:c r="A4681" s="10" t="n">
        <x:v>46246</x:v>
      </x:c>
      <x:c r="B4681" s="1" t="n">
        <x:v>0.5</x:v>
      </x:c>
      <x:c r="C4681" s="1" t="n">
        <x:v>6</x:v>
      </x:c>
      <x:c r="D4681" s="12" t="n">
        <x:v>0</x:v>
      </x:c>
      <x:c r="E4681" s="12" t="n">
        <x:v>0.38858333333333334</x:v>
      </x:c>
      <x:c r="F4681" s="12" t="n">
        <x:v>0.38816666666666666</x:v>
      </x:c>
      <x:c r="G4681" s="12" t="n">
        <x:v>0</x:v>
      </x:c>
      <x:c r="H4681" s="1" t="n">
        <x:f>'Historical prices'!E4681</x:f>
        <x:v>1.05</x:v>
      </x:c>
      <x:c r="I4681" s="6" t="n">
        <x:f>'Historical prices'!D4681</x:f>
        <x:v>0.2169</x:v>
      </x:c>
      <x:c r="J4681" s="13" t="n">
        <x:f>D4681*I4681*H4681</x:f>
        <x:v>0</x:v>
      </x:c>
      <x:c r="K4681" s="13" t="n">
        <x:f>E4681*I4681*H4681</x:f>
        <x:v>0.08849791125</x:v>
      </x:c>
      <x:c r="L4681" s="1" t="str">
        <x:f>TEXT(A4681,"mmm yyyy")</x:f>
        <x:v>Aug 2026</x:v>
      </x:c>
    </x:row>
    <x:row r="4682" ht="21" customHeight="1">
      <x:c r="A4682" s="10" t="n">
        <x:v>46246</x:v>
      </x:c>
      <x:c r="B4682" s="1" t="n">
        <x:v>1</x:v>
      </x:c>
      <x:c r="C4682" s="1" t="n">
        <x:v>6</x:v>
      </x:c>
      <x:c r="D4682" s="12" t="n">
        <x:v>0</x:v>
      </x:c>
      <x:c r="E4682" s="12" t="n">
        <x:v>0.33541666666666664</x:v>
      </x:c>
      <x:c r="F4682" s="12" t="n">
        <x:v>0.33475</x:v>
      </x:c>
      <x:c r="G4682" s="12" t="n">
        <x:v>0</x:v>
      </x:c>
      <x:c r="H4682" s="1" t="n">
        <x:f>'Historical prices'!E4682</x:f>
        <x:v>1.05</x:v>
      </x:c>
      <x:c r="I4682" s="6" t="n">
        <x:f>'Historical prices'!D4682</x:f>
        <x:v>0.2148</x:v>
      </x:c>
      <x:c r="J4682" s="13" t="n">
        <x:f>D4682*I4682*H4682</x:f>
        <x:v>0</x:v>
      </x:c>
      <x:c r="K4682" s="13" t="n">
        <x:f>E4682*I4682*H4682</x:f>
        <x:v>0.07564987499999999</x:v>
      </x:c>
      <x:c r="L4682" s="1" t="str">
        <x:f>TEXT(A4682,"mmm yyyy")</x:f>
        <x:v>Aug 2026</x:v>
      </x:c>
    </x:row>
    <x:row r="4683" ht="21" customHeight="1">
      <x:c r="A4683" s="10" t="n">
        <x:v>46246</x:v>
      </x:c>
      <x:c r="B4683" s="1" t="n">
        <x:v>1.5</x:v>
      </x:c>
      <x:c r="C4683" s="1" t="n">
        <x:v>6</x:v>
      </x:c>
      <x:c r="D4683" s="12" t="n">
        <x:v>0</x:v>
      </x:c>
      <x:c r="E4683" s="12" t="n">
        <x:v>0.3055</x:v>
      </x:c>
      <x:c r="F4683" s="12" t="n">
        <x:v>0.30541666666666667</x:v>
      </x:c>
      <x:c r="G4683" s="12" t="n">
        <x:v>0</x:v>
      </x:c>
      <x:c r="H4683" s="1" t="n">
        <x:f>'Historical prices'!E4683</x:f>
        <x:v>1.05</x:v>
      </x:c>
      <x:c r="I4683" s="6" t="n">
        <x:f>'Historical prices'!D4683</x:f>
        <x:v>0.2182</x:v>
      </x:c>
      <x:c r="J4683" s="13" t="n">
        <x:f>D4683*I4683*H4683</x:f>
        <x:v>0</x:v>
      </x:c>
      <x:c r="K4683" s="13" t="n">
        <x:f>E4683*I4683*H4683</x:f>
        <x:v>0.069993105</x:v>
      </x:c>
      <x:c r="L4683" s="1" t="str">
        <x:f>TEXT(A4683,"mmm yyyy")</x:f>
        <x:v>Aug 2026</x:v>
      </x:c>
    </x:row>
    <x:row r="4684" ht="21" customHeight="1">
      <x:c r="A4684" s="10" t="n">
        <x:v>46246</x:v>
      </x:c>
      <x:c r="B4684" s="1" t="n">
        <x:v>2</x:v>
      </x:c>
      <x:c r="C4684" s="1" t="n">
        <x:v>6</x:v>
      </x:c>
      <x:c r="D4684" s="12" t="n">
        <x:v>0</x:v>
      </x:c>
      <x:c r="E4684" s="12" t="n">
        <x:v>0.31625</x:v>
      </x:c>
      <x:c r="F4684" s="12" t="n">
        <x:v>0.31583333333333335</x:v>
      </x:c>
      <x:c r="G4684" s="12" t="n">
        <x:v>0</x:v>
      </x:c>
      <x:c r="H4684" s="1" t="n">
        <x:f>'Historical prices'!E4684</x:f>
        <x:v>1.05</x:v>
      </x:c>
      <x:c r="I4684" s="6" t="n">
        <x:f>'Historical prices'!D4684</x:f>
        <x:v>0.21600000000000003</x:v>
      </x:c>
      <x:c r="J4684" s="13" t="n">
        <x:f>D4684*I4684*H4684</x:f>
        <x:v>0</x:v>
      </x:c>
      <x:c r="K4684" s="13" t="n">
        <x:f>E4684*I4684*H4684</x:f>
        <x:v>0.07172550000000001</x:v>
      </x:c>
      <x:c r="L4684" s="1" t="str">
        <x:f>TEXT(A4684,"mmm yyyy")</x:f>
        <x:v>Aug 2026</x:v>
      </x:c>
    </x:row>
    <x:row r="4685" ht="21" customHeight="1">
      <x:c r="A4685" s="10" t="n">
        <x:v>46246</x:v>
      </x:c>
      <x:c r="B4685" s="1" t="n">
        <x:v>2.5</x:v>
      </x:c>
      <x:c r="C4685" s="1" t="n">
        <x:v>6</x:v>
      </x:c>
      <x:c r="D4685" s="12" t="n">
        <x:v>0.20175</x:v>
      </x:c>
      <x:c r="E4685" s="12" t="n">
        <x:v>0.26333333333333336</x:v>
      </x:c>
      <x:c r="F4685" s="12" t="n">
        <x:v>0.051583333333333335</x:v>
      </x:c>
      <x:c r="G4685" s="12" t="n">
        <x:v>0</x:v>
      </x:c>
      <x:c r="H4685" s="1" t="n">
        <x:f>'Historical prices'!E4685</x:f>
        <x:v>1.05</x:v>
      </x:c>
      <x:c r="I4685" s="6" t="n">
        <x:f>'Historical prices'!D4685</x:f>
        <x:v>0.2112</x:v>
      </x:c>
      <x:c r="J4685" s="13" t="n">
        <x:f>D4685*I4685*H4685</x:f>
        <x:v>0.04474008000000001</x:v>
      </x:c>
      <x:c r="K4685" s="13" t="n">
        <x:f>E4685*I4685*H4685</x:f>
        <x:v>0.058396800000000006</x:v>
      </x:c>
      <x:c r="L4685" s="1" t="str">
        <x:f>TEXT(A4685,"mmm yyyy")</x:f>
        <x:v>Aug 2026</x:v>
      </x:c>
    </x:row>
    <x:row r="4686" ht="21" customHeight="1">
      <x:c r="A4686" s="10" t="n">
        <x:v>46246</x:v>
      </x:c>
      <x:c r="B4686" s="1" t="n">
        <x:v>3</x:v>
      </x:c>
      <x:c r="C4686" s="1" t="n">
        <x:v>6</x:v>
      </x:c>
      <x:c r="D4686" s="12" t="n">
        <x:v>0.0315</x:v>
      </x:c>
      <x:c r="E4686" s="12" t="n">
        <x:v>0.2613333333333333</x:v>
      </x:c>
      <x:c r="F4686" s="12" t="n">
        <x:v>0.22758333333333333</x:v>
      </x:c>
      <x:c r="G4686" s="12" t="n">
        <x:v>0</x:v>
      </x:c>
      <x:c r="H4686" s="1" t="n">
        <x:f>'Historical prices'!E4686</x:f>
        <x:v>1.05</x:v>
      </x:c>
      <x:c r="I4686" s="6" t="n">
        <x:f>'Historical prices'!D4686</x:f>
        <x:v>0.2187</x:v>
      </x:c>
      <x:c r="J4686" s="13" t="n">
        <x:f>D4686*I4686*H4686</x:f>
        <x:v>0.0072335025</x:v>
      </x:c>
      <x:c r="K4686" s="13" t="n">
        <x:f>E4686*I4686*H4686</x:f>
        <x:v>0.06001128</x:v>
      </x:c>
      <x:c r="L4686" s="1" t="str">
        <x:f>TEXT(A4686,"mmm yyyy")</x:f>
        <x:v>Aug 2026</x:v>
      </x:c>
    </x:row>
    <x:row r="4687" ht="21" customHeight="1">
      <x:c r="A4687" s="10" t="n">
        <x:v>46246</x:v>
      </x:c>
      <x:c r="B4687" s="1" t="n">
        <x:v>3.5</x:v>
      </x:c>
      <x:c r="C4687" s="1" t="n">
        <x:v>6</x:v>
      </x:c>
      <x:c r="D4687" s="12" t="n">
        <x:v>0</x:v>
      </x:c>
      <x:c r="E4687" s="12" t="n">
        <x:v>0.3381666666666666</x:v>
      </x:c>
      <x:c r="F4687" s="12" t="n">
        <x:v>0.33766666666666667</x:v>
      </x:c>
      <x:c r="G4687" s="12" t="n">
        <x:v>0</x:v>
      </x:c>
      <x:c r="H4687" s="1" t="n">
        <x:f>'Historical prices'!E4687</x:f>
        <x:v>1.05</x:v>
      </x:c>
      <x:c r="I4687" s="6" t="n">
        <x:f>'Historical prices'!D4687</x:f>
        <x:v>0.2157</x:v>
      </x:c>
      <x:c r="J4687" s="13" t="n">
        <x:f>D4687*I4687*H4687</x:f>
        <x:v>0</x:v>
      </x:c>
      <x:c r="K4687" s="13" t="n">
        <x:f>E4687*I4687*H4687</x:f>
        <x:v>0.0765896775</x:v>
      </x:c>
      <x:c r="L4687" s="1" t="str">
        <x:f>TEXT(A4687,"mmm yyyy")</x:f>
        <x:v>Aug 2026</x:v>
      </x:c>
    </x:row>
    <x:row r="4688" ht="21" customHeight="1">
      <x:c r="A4688" s="10" t="n">
        <x:v>46246</x:v>
      </x:c>
      <x:c r="B4688" s="1" t="n">
        <x:v>4</x:v>
      </x:c>
      <x:c r="C4688" s="1" t="n">
        <x:v>6</x:v>
      </x:c>
      <x:c r="D4688" s="12" t="n">
        <x:v>0</x:v>
      </x:c>
      <x:c r="E4688" s="12" t="n">
        <x:v>0.3139166666666667</x:v>
      </x:c>
      <x:c r="F4688" s="12" t="n">
        <x:v>0.3135833333333333</x:v>
      </x:c>
      <x:c r="G4688" s="12" t="n">
        <x:v>0</x:v>
      </x:c>
      <x:c r="H4688" s="1" t="n">
        <x:f>'Historical prices'!E4688</x:f>
        <x:v>1.05</x:v>
      </x:c>
      <x:c r="I4688" s="6" t="n">
        <x:f>'Historical prices'!D4688</x:f>
        <x:v>0.223</x:v>
      </x:c>
      <x:c r="J4688" s="13" t="n">
        <x:f>D4688*I4688*H4688</x:f>
        <x:v>0</x:v>
      </x:c>
      <x:c r="K4688" s="13" t="n">
        <x:f>E4688*I4688*H4688</x:f>
        <x:v>0.0735035875</x:v>
      </x:c>
      <x:c r="L4688" s="1" t="str">
        <x:f>TEXT(A4688,"mmm yyyy")</x:f>
        <x:v>Aug 2026</x:v>
      </x:c>
    </x:row>
    <x:row r="4689" ht="21" customHeight="1">
      <x:c r="A4689" s="10" t="n">
        <x:v>46246</x:v>
      </x:c>
      <x:c r="B4689" s="1" t="n">
        <x:v>4.5</x:v>
      </x:c>
      <x:c r="C4689" s="1" t="n">
        <x:v>6</x:v>
      </x:c>
      <x:c r="D4689" s="12" t="n">
        <x:v>0</x:v>
      </x:c>
      <x:c r="E4689" s="12" t="n">
        <x:v>0.266</x:v>
      </x:c>
      <x:c r="F4689" s="12" t="n">
        <x:v>0.2655</x:v>
      </x:c>
      <x:c r="G4689" s="12" t="n">
        <x:v>0</x:v>
      </x:c>
      <x:c r="H4689" s="1" t="n">
        <x:f>'Historical prices'!E4689</x:f>
        <x:v>1.05</x:v>
      </x:c>
      <x:c r="I4689" s="6" t="n">
        <x:f>'Historical prices'!D4689</x:f>
        <x:v>0.21739999999999998</x:v>
      </x:c>
      <x:c r="J4689" s="13" t="n">
        <x:f>D4689*I4689*H4689</x:f>
        <x:v>0</x:v>
      </x:c>
      <x:c r="K4689" s="13" t="n">
        <x:f>E4689*I4689*H4689</x:f>
        <x:v>0.06071982</x:v>
      </x:c>
      <x:c r="L4689" s="1" t="str">
        <x:f>TEXT(A4689,"mmm yyyy")</x:f>
        <x:v>Aug 2026</x:v>
      </x:c>
    </x:row>
    <x:row r="4690" ht="21" customHeight="1">
      <x:c r="A4690" s="10" t="n">
        <x:v>46246</x:v>
      </x:c>
      <x:c r="B4690" s="1" t="n">
        <x:v>5</x:v>
      </x:c>
      <x:c r="C4690" s="1" t="n">
        <x:v>6</x:v>
      </x:c>
      <x:c r="D4690" s="12" t="n">
        <x:v>0</x:v>
      </x:c>
      <x:c r="E4690" s="12" t="n">
        <x:v>0.29983333333333334</x:v>
      </x:c>
      <x:c r="F4690" s="12" t="n">
        <x:v>0.29941666666666666</x:v>
      </x:c>
      <x:c r="G4690" s="12" t="n">
        <x:v>0</x:v>
      </x:c>
      <x:c r="H4690" s="1" t="n">
        <x:f>'Historical prices'!E4690</x:f>
        <x:v>1.05</x:v>
      </x:c>
      <x:c r="I4690" s="6" t="n">
        <x:f>'Historical prices'!D4690</x:f>
        <x:v>0.2357</x:v>
      </x:c>
      <x:c r="J4690" s="13" t="n">
        <x:f>D4690*I4690*H4690</x:f>
        <x:v>0</x:v>
      </x:c>
      <x:c r="K4690" s="13" t="n">
        <x:f>E4690*I4690*H4690</x:f>
        <x:v>0.0742042525</x:v>
      </x:c>
      <x:c r="L4690" s="1" t="str">
        <x:f>TEXT(A4690,"mmm yyyy")</x:f>
        <x:v>Aug 2026</x:v>
      </x:c>
    </x:row>
    <x:row r="4691" ht="21" customHeight="1">
      <x:c r="A4691" s="10" t="n">
        <x:v>46246</x:v>
      </x:c>
      <x:c r="B4691" s="1" t="n">
        <x:v>5.5</x:v>
      </x:c>
      <x:c r="C4691" s="1" t="n">
        <x:v>6</x:v>
      </x:c>
      <x:c r="D4691" s="12" t="n">
        <x:v>0</x:v>
      </x:c>
      <x:c r="E4691" s="12" t="n">
        <x:v>0.45391666666666663</x:v>
      </x:c>
      <x:c r="F4691" s="12" t="n">
        <x:v>0.45366666666666666</x:v>
      </x:c>
      <x:c r="G4691" s="12" t="n">
        <x:v>0</x:v>
      </x:c>
      <x:c r="H4691" s="1" t="n">
        <x:f>'Historical prices'!E4691</x:f>
        <x:v>1.05</x:v>
      </x:c>
      <x:c r="I4691" s="6" t="n">
        <x:f>'Historical prices'!D4691</x:f>
        <x:v>0.2413</x:v>
      </x:c>
      <x:c r="J4691" s="13" t="n">
        <x:f>D4691*I4691*H4691</x:f>
        <x:v>0</x:v>
      </x:c>
      <x:c r="K4691" s="13" t="n">
        <x:f>E4691*I4691*H4691</x:f>
        <x:v>0.11500659624999998</x:v>
      </x:c>
      <x:c r="L4691" s="1" t="str">
        <x:f>TEXT(A4691,"mmm yyyy")</x:f>
        <x:v>Aug 2026</x:v>
      </x:c>
    </x:row>
    <x:row r="4692" ht="21" customHeight="1">
      <x:c r="A4692" s="10" t="n">
        <x:v>46246</x:v>
      </x:c>
      <x:c r="B4692" s="1" t="n">
        <x:v>6</x:v>
      </x:c>
      <x:c r="C4692" s="1" t="n">
        <x:v>6</x:v>
      </x:c>
      <x:c r="D4692" s="12" t="n">
        <x:v>0</x:v>
      </x:c>
      <x:c r="E4692" s="12" t="n">
        <x:v>0.3364166666666667</x:v>
      </x:c>
      <x:c r="F4692" s="12" t="n">
        <x:v>0.3361666666666666</x:v>
      </x:c>
      <x:c r="G4692" s="12" t="n">
        <x:v>0</x:v>
      </x:c>
      <x:c r="H4692" s="1" t="n">
        <x:f>'Historical prices'!E4692</x:f>
        <x:v>1.05</x:v>
      </x:c>
      <x:c r="I4692" s="6" t="n">
        <x:f>'Historical prices'!D4692</x:f>
        <x:v>0.2427</x:v>
      </x:c>
      <x:c r="J4692" s="13" t="n">
        <x:f>D4692*I4692*H4692</x:f>
        <x:v>0</x:v>
      </x:c>
      <x:c r="K4692" s="13" t="n">
        <x:f>E4692*I4692*H4692</x:f>
        <x:v>0.08573074125</x:v>
      </x:c>
      <x:c r="L4692" s="1" t="str">
        <x:f>TEXT(A4692,"mmm yyyy")</x:f>
        <x:v>Aug 2026</x:v>
      </x:c>
    </x:row>
    <x:row r="4693" ht="21" customHeight="1">
      <x:c r="A4693" s="10" t="n">
        <x:v>46246</x:v>
      </x:c>
      <x:c r="B4693" s="1" t="n">
        <x:v>6.5</x:v>
      </x:c>
      <x:c r="C4693" s="1" t="n">
        <x:v>6</x:v>
      </x:c>
      <x:c r="D4693" s="12" t="n">
        <x:v>0</x:v>
      </x:c>
      <x:c r="E4693" s="12" t="n">
        <x:v>0.48924999999999996</x:v>
      </x:c>
      <x:c r="F4693" s="12" t="n">
        <x:v>0.48783333333333334</x:v>
      </x:c>
      <x:c r="G4693" s="12" t="n">
        <x:v>0</x:v>
      </x:c>
      <x:c r="H4693" s="1" t="n">
        <x:f>'Historical prices'!E4693</x:f>
        <x:v>1.05</x:v>
      </x:c>
      <x:c r="I4693" s="6" t="n">
        <x:f>'Historical prices'!D4693</x:f>
        <x:v>0.2669</x:v>
      </x:c>
      <x:c r="J4693" s="13" t="n">
        <x:f>D4693*I4693*H4693</x:f>
        <x:v>0</x:v>
      </x:c>
      <x:c r="K4693" s="13" t="n">
        <x:f>E4693*I4693*H4693</x:f>
        <x:v>0.13710986625000002</x:v>
      </x:c>
      <x:c r="L4693" s="1" t="str">
        <x:f>TEXT(A4693,"mmm yyyy")</x:f>
        <x:v>Aug 2026</x:v>
      </x:c>
    </x:row>
    <x:row r="4694" ht="21" customHeight="1">
      <x:c r="A4694" s="10" t="n">
        <x:v>46246</x:v>
      </x:c>
      <x:c r="B4694" s="1" t="n">
        <x:v>7</x:v>
      </x:c>
      <x:c r="C4694" s="1" t="n">
        <x:v>6</x:v>
      </x:c>
      <x:c r="D4694" s="12" t="n">
        <x:v>0</x:v>
      </x:c>
      <x:c r="E4694" s="12" t="n">
        <x:v>0.7258333333333333</x:v>
      </x:c>
      <x:c r="F4694" s="12" t="n">
        <x:v>0.7205833333333334</x:v>
      </x:c>
      <x:c r="G4694" s="12" t="n">
        <x:v>0</x:v>
      </x:c>
      <x:c r="H4694" s="1" t="n">
        <x:f>'Historical prices'!E4694</x:f>
        <x:v>1.05</x:v>
      </x:c>
      <x:c r="I4694" s="6" t="n">
        <x:f>'Historical prices'!D4694</x:f>
        <x:v>0.2375</x:v>
      </x:c>
      <x:c r="J4694" s="13" t="n">
        <x:f>D4694*I4694*H4694</x:f>
        <x:v>0</x:v>
      </x:c>
      <x:c r="K4694" s="13" t="n">
        <x:f>E4694*I4694*H4694</x:f>
        <x:v>0.18100468749999998</x:v>
      </x:c>
      <x:c r="L4694" s="1" t="str">
        <x:f>TEXT(A4694,"mmm yyyy")</x:f>
        <x:v>Aug 2026</x:v>
      </x:c>
    </x:row>
    <x:row r="4695" ht="21" customHeight="1">
      <x:c r="A4695" s="10" t="n">
        <x:v>46246</x:v>
      </x:c>
      <x:c r="B4695" s="1" t="n">
        <x:v>7.5</x:v>
      </x:c>
      <x:c r="C4695" s="1" t="n">
        <x:v>6</x:v>
      </x:c>
      <x:c r="D4695" s="12" t="n">
        <x:v>0</x:v>
      </x:c>
      <x:c r="E4695" s="12" t="n">
        <x:v>0.56975</x:v>
      </x:c>
      <x:c r="F4695" s="12" t="n">
        <x:v>0.5694999999999999</x:v>
      </x:c>
      <x:c r="G4695" s="12" t="n">
        <x:v>0</x:v>
      </x:c>
      <x:c r="H4695" s="1" t="n">
        <x:f>'Historical prices'!E4695</x:f>
        <x:v>1.05</x:v>
      </x:c>
      <x:c r="I4695" s="6" t="n">
        <x:f>'Historical prices'!D4695</x:f>
        <x:v>0.25670000000000004</x:v>
      </x:c>
      <x:c r="J4695" s="13" t="n">
        <x:f>D4695*I4695*H4695</x:f>
        <x:v>0</x:v>
      </x:c>
      <x:c r="K4695" s="13" t="n">
        <x:f>E4695*I4695*H4695</x:f>
        <x:v>0.15356756625</x:v>
      </x:c>
      <x:c r="L4695" s="1" t="str">
        <x:f>TEXT(A4695,"mmm yyyy")</x:f>
        <x:v>Aug 2026</x:v>
      </x:c>
    </x:row>
    <x:row r="4696" ht="21" customHeight="1">
      <x:c r="A4696" s="10" t="n">
        <x:v>46246</x:v>
      </x:c>
      <x:c r="B4696" s="1" t="n">
        <x:v>8</x:v>
      </x:c>
      <x:c r="C4696" s="1" t="n">
        <x:v>6</x:v>
      </x:c>
      <x:c r="D4696" s="12" t="n">
        <x:v>0</x:v>
      </x:c>
      <x:c r="E4696" s="12" t="n">
        <x:v>0.5190833333333333</x:v>
      </x:c>
      <x:c r="F4696" s="12" t="n">
        <x:v>0.5186666666666666</x:v>
      </x:c>
      <x:c r="G4696" s="12" t="n">
        <x:v>0</x:v>
      </x:c>
      <x:c r="H4696" s="1" t="n">
        <x:f>'Historical prices'!E4696</x:f>
        <x:v>1.05</x:v>
      </x:c>
      <x:c r="I4696" s="6" t="n">
        <x:f>'Historical prices'!D4696</x:f>
        <x:v>0.2164</x:v>
      </x:c>
      <x:c r="J4696" s="13" t="n">
        <x:f>D4696*I4696*H4696</x:f>
        <x:v>0</x:v>
      </x:c>
      <x:c r="K4696" s="13" t="n">
        <x:f>E4696*I4696*H4696</x:f>
        <x:v>0.11794611500000002</x:v>
      </x:c>
      <x:c r="L4696" s="1" t="str">
        <x:f>TEXT(A4696,"mmm yyyy")</x:f>
        <x:v>Aug 2026</x:v>
      </x:c>
    </x:row>
    <x:row r="4697" ht="21" customHeight="1">
      <x:c r="A4697" s="10" t="n">
        <x:v>46246</x:v>
      </x:c>
      <x:c r="B4697" s="1" t="n">
        <x:v>8.5</x:v>
      </x:c>
      <x:c r="C4697" s="1" t="n">
        <x:v>6</x:v>
      </x:c>
      <x:c r="D4697" s="12" t="n">
        <x:v>0</x:v>
      </x:c>
      <x:c r="E4697" s="12" t="n">
        <x:v>0.5730833333333334</x:v>
      </x:c>
      <x:c r="F4697" s="12" t="n">
        <x:v>0.5725</x:v>
      </x:c>
      <x:c r="G4697" s="12" t="n">
        <x:v>0</x:v>
      </x:c>
      <x:c r="H4697" s="1" t="n">
        <x:f>'Historical prices'!E4697</x:f>
        <x:v>1.05</x:v>
      </x:c>
      <x:c r="I4697" s="6" t="n">
        <x:f>'Historical prices'!D4697</x:f>
        <x:v>0.2118</x:v>
      </x:c>
      <x:c r="J4697" s="13" t="n">
        <x:f>D4697*I4697*H4697</x:f>
        <x:v>0</x:v>
      </x:c>
      <x:c r="K4697" s="13" t="n">
        <x:f>E4697*I4697*H4697</x:f>
        <x:v>0.12744800250000002</x:v>
      </x:c>
      <x:c r="L4697" s="1" t="str">
        <x:f>TEXT(A4697,"mmm yyyy")</x:f>
        <x:v>Aug 2026</x:v>
      </x:c>
    </x:row>
    <x:row r="4698" ht="21" customHeight="1">
      <x:c r="A4698" s="10" t="n">
        <x:v>46246</x:v>
      </x:c>
      <x:c r="B4698" s="1" t="n">
        <x:v>9</x:v>
      </x:c>
      <x:c r="C4698" s="1" t="n">
        <x:v>6</x:v>
      </x:c>
      <x:c r="D4698" s="12" t="n">
        <x:v>0</x:v>
      </x:c>
      <x:c r="E4698" s="12" t="n">
        <x:v>0.6620833333333334</x:v>
      </x:c>
      <x:c r="F4698" s="12" t="n">
        <x:v>0.6614166666666667</x:v>
      </x:c>
      <x:c r="G4698" s="12" t="n">
        <x:v>0</x:v>
      </x:c>
      <x:c r="H4698" s="1" t="n">
        <x:f>'Historical prices'!E4698</x:f>
        <x:v>1.05</x:v>
      </x:c>
      <x:c r="I4698" s="6" t="n">
        <x:f>'Historical prices'!D4698</x:f>
        <x:v>0.2118</x:v>
      </x:c>
      <x:c r="J4698" s="13" t="n">
        <x:f>D4698*I4698*H4698</x:f>
        <x:v>0</x:v>
      </x:c>
      <x:c r="K4698" s="13" t="n">
        <x:f>E4698*I4698*H4698</x:f>
        <x:v>0.1472407125</x:v>
      </x:c>
      <x:c r="L4698" s="1" t="str">
        <x:f>TEXT(A4698,"mmm yyyy")</x:f>
        <x:v>Aug 2026</x:v>
      </x:c>
    </x:row>
    <x:row r="4699" ht="21" customHeight="1">
      <x:c r="A4699" s="10" t="n">
        <x:v>46246</x:v>
      </x:c>
      <x:c r="B4699" s="1" t="n">
        <x:v>9.5</x:v>
      </x:c>
      <x:c r="C4699" s="1" t="n">
        <x:v>6</x:v>
      </x:c>
      <x:c r="D4699" s="12" t="n">
        <x:v>0</x:v>
      </x:c>
      <x:c r="E4699" s="12" t="n">
        <x:v>0.5586666666666666</x:v>
      </x:c>
      <x:c r="F4699" s="12" t="n">
        <x:v>0.5585833333333333</x:v>
      </x:c>
      <x:c r="G4699" s="12" t="n">
        <x:v>0</x:v>
      </x:c>
      <x:c r="H4699" s="1" t="n">
        <x:f>'Historical prices'!E4699</x:f>
        <x:v>1.05</x:v>
      </x:c>
      <x:c r="I4699" s="6" t="n">
        <x:f>'Historical prices'!D4699</x:f>
        <x:v>0.2167</x:v>
      </x:c>
      <x:c r="J4699" s="13" t="n">
        <x:f>D4699*I4699*H4699</x:f>
        <x:v>0</x:v>
      </x:c>
      <x:c r="K4699" s="13" t="n">
        <x:f>E4699*I4699*H4699</x:f>
        <x:v>0.12711622</x:v>
      </x:c>
      <x:c r="L4699" s="1" t="str">
        <x:f>TEXT(A4699,"mmm yyyy")</x:f>
        <x:v>Aug 2026</x:v>
      </x:c>
    </x:row>
    <x:row r="4700" ht="21" customHeight="1">
      <x:c r="A4700" s="10" t="n">
        <x:v>46246</x:v>
      </x:c>
      <x:c r="B4700" s="1" t="n">
        <x:v>10</x:v>
      </x:c>
      <x:c r="C4700" s="1" t="n">
        <x:v>6</x:v>
      </x:c>
      <x:c r="D4700" s="12" t="n">
        <x:v>0.5105000000000001</x:v>
      </x:c>
      <x:c r="E4700" s="12" t="n">
        <x:v>0.6274166666666667</x:v>
      </x:c>
      <x:c r="F4700" s="12" t="n">
        <x:v>0.10391666666666667</x:v>
      </x:c>
      <x:c r="G4700" s="12" t="n">
        <x:v>0</x:v>
      </x:c>
      <x:c r="H4700" s="1" t="n">
        <x:f>'Historical prices'!E4700</x:f>
        <x:v>1.05</x:v>
      </x:c>
      <x:c r="I4700" s="6" t="n">
        <x:f>'Historical prices'!D4700</x:f>
        <x:v>0.1937</x:v>
      </x:c>
      <x:c r="J4700" s="13" t="n">
        <x:f>D4700*I4700*H4700</x:f>
        <x:v>0.10382804250000002</x:v>
      </x:c>
      <x:c r="K4700" s="13" t="n">
        <x:f>E4700*I4700*H4700</x:f>
        <x:v>0.12760713875000004</x:v>
      </x:c>
      <x:c r="L4700" s="1" t="str">
        <x:f>TEXT(A4700,"mmm yyyy")</x:f>
        <x:v>Aug 2026</x:v>
      </x:c>
    </x:row>
    <x:row r="4701" ht="21" customHeight="1">
      <x:c r="A4701" s="10" t="n">
        <x:v>46246</x:v>
      </x:c>
      <x:c r="B4701" s="1" t="n">
        <x:v>10.5</x:v>
      </x:c>
      <x:c r="C4701" s="1" t="n">
        <x:v>6</x:v>
      </x:c>
      <x:c r="D4701" s="12" t="n">
        <x:v>0.54625</x:v>
      </x:c>
      <x:c r="E4701" s="12" t="n">
        <x:v>0.56225</x:v>
      </x:c>
      <x:c r="F4701" s="12" t="n">
        <x:v>0</x:v>
      </x:c>
      <x:c r="G4701" s="12" t="n">
        <x:v>0</x:v>
      </x:c>
      <x:c r="H4701" s="1" t="n">
        <x:f>'Historical prices'!E4701</x:f>
        <x:v>1.05</x:v>
      </x:c>
      <x:c r="I4701" s="6" t="n">
        <x:f>'Historical prices'!D4701</x:f>
        <x:v>0.1752</x:v>
      </x:c>
      <x:c r="J4701" s="13" t="n">
        <x:f>D4701*I4701*H4701</x:f>
        <x:v>0.10048815</x:v>
      </x:c>
      <x:c r="K4701" s="13" t="n">
        <x:f>E4701*I4701*H4701</x:f>
        <x:v>0.10343151</x:v>
      </x:c>
      <x:c r="L4701" s="1" t="str">
        <x:f>TEXT(A4701,"mmm yyyy")</x:f>
        <x:v>Aug 2026</x:v>
      </x:c>
    </x:row>
    <x:row r="4702" ht="21" customHeight="1">
      <x:c r="A4702" s="10" t="n">
        <x:v>46246</x:v>
      </x:c>
      <x:c r="B4702" s="1" t="n">
        <x:v>11</x:v>
      </x:c>
      <x:c r="C4702" s="1" t="n">
        <x:v>6</x:v>
      </x:c>
      <x:c r="D4702" s="12" t="n">
        <x:v>4.56625</x:v>
      </x:c>
      <x:c r="E4702" s="12" t="n">
        <x:v>0.70325</x:v>
      </x:c>
      <x:c r="F4702" s="12" t="n">
        <x:v>0</x:v>
      </x:c>
      <x:c r="G4702" s="12" t="n">
        <x:v>3.8659999999999997</x:v>
      </x:c>
      <x:c r="H4702" s="1" t="n">
        <x:f>'Historical prices'!E4702</x:f>
        <x:v>1.05</x:v>
      </x:c>
      <x:c r="I4702" s="6" t="n">
        <x:f>'Historical prices'!D4702</x:f>
        <x:v>0.1663</x:v>
      </x:c>
      <x:c r="J4702" s="13" t="n">
        <x:f>D4702*I4702*H4702</x:f>
        <x:v>0.7973357437500002</x:v>
      </x:c>
      <x:c r="K4702" s="13" t="n">
        <x:f>E4702*I4702*H4702</x:f>
        <x:v>0.12279799875000001</x:v>
      </x:c>
      <x:c r="L4702" s="1" t="str">
        <x:f>TEXT(A4702,"mmm yyyy")</x:f>
        <x:v>Aug 2026</x:v>
      </x:c>
    </x:row>
    <x:row r="4703" ht="21" customHeight="1">
      <x:c r="A4703" s="10" t="n">
        <x:v>46246</x:v>
      </x:c>
      <x:c r="B4703" s="1" t="n">
        <x:v>11.5</x:v>
      </x:c>
      <x:c r="C4703" s="1" t="n">
        <x:v>6</x:v>
      </x:c>
      <x:c r="D4703" s="12" t="n">
        <x:v>5.368250000000001</x:v>
      </x:c>
      <x:c r="E4703" s="12" t="n">
        <x:v>0.7442499999999999</x:v>
      </x:c>
      <x:c r="F4703" s="12" t="n">
        <x:v>0</x:v>
      </x:c>
      <x:c r="G4703" s="12" t="n">
        <x:v>4.6240000000000006</x:v>
      </x:c>
      <x:c r="H4703" s="1" t="n">
        <x:f>'Historical prices'!E4703</x:f>
        <x:v>1.05</x:v>
      </x:c>
      <x:c r="I4703" s="6" t="n">
        <x:f>'Historical prices'!D4703</x:f>
        <x:v>0.1663</x:v>
      </x:c>
      <x:c r="J4703" s="13" t="n">
        <x:f>D4703*I4703*H4703</x:f>
        <x:v>0.9373769737500002</x:v>
      </x:c>
      <x:c r="K4703" s="13" t="n">
        <x:f>E4703*I4703*H4703</x:f>
        <x:v>0.12995721375</x:v>
      </x:c>
      <x:c r="L4703" s="1" t="str">
        <x:f>TEXT(A4703,"mmm yyyy")</x:f>
        <x:v>Aug 2026</x:v>
      </x:c>
    </x:row>
    <x:row r="4704" ht="21" customHeight="1">
      <x:c r="A4704" s="10" t="n">
        <x:v>46246</x:v>
      </x:c>
      <x:c r="B4704" s="1" t="n">
        <x:v>12</x:v>
      </x:c>
      <x:c r="C4704" s="1" t="n">
        <x:v>6</x:v>
      </x:c>
      <x:c r="D4704" s="12" t="n">
        <x:v>1.25</x:v>
      </x:c>
      <x:c r="E4704" s="12" t="n">
        <x:v>0.513</x:v>
      </x:c>
      <x:c r="F4704" s="12" t="n">
        <x:v>0</x:v>
      </x:c>
      <x:c r="G4704" s="12" t="n">
        <x:v>0.739</x:v>
      </x:c>
      <x:c r="H4704" s="1" t="n">
        <x:f>'Historical prices'!E4704</x:f>
        <x:v>1.05</x:v>
      </x:c>
      <x:c r="I4704" s="6" t="n">
        <x:f>'Historical prices'!D4704</x:f>
        <x:v>0.17489999999999997</x:v>
      </x:c>
      <x:c r="J4704" s="13" t="n">
        <x:f>D4704*I4704*H4704</x:f>
        <x:v>0.22955624999999996</x:v>
      </x:c>
      <x:c r="K4704" s="13" t="n">
        <x:f>E4704*I4704*H4704</x:f>
        <x:v>0.094209885</x:v>
      </x:c>
      <x:c r="L4704" s="1" t="str">
        <x:f>TEXT(A4704,"mmm yyyy")</x:f>
        <x:v>Aug 2026</x:v>
      </x:c>
    </x:row>
    <x:row r="4705" ht="21" customHeight="1">
      <x:c r="A4705" s="10" t="n">
        <x:v>46246</x:v>
      </x:c>
      <x:c r="B4705" s="1" t="n">
        <x:v>12.5</x:v>
      </x:c>
      <x:c r="C4705" s="1" t="n">
        <x:v>6</x:v>
      </x:c>
      <x:c r="D4705" s="12" t="n">
        <x:v>0.44475000000000003</x:v>
      </x:c>
      <x:c r="E4705" s="12" t="n">
        <x:v>0.45675000000000004</x:v>
      </x:c>
      <x:c r="F4705" s="12" t="n">
        <x:v>0</x:v>
      </x:c>
      <x:c r="G4705" s="12" t="n">
        <x:v>0</x:v>
      </x:c>
      <x:c r="H4705" s="1" t="n">
        <x:f>'Historical prices'!E4705</x:f>
        <x:v>1.05</x:v>
      </x:c>
      <x:c r="I4705" s="6" t="n">
        <x:f>'Historical prices'!D4705</x:f>
        <x:v>0.17300000000000001</x:v>
      </x:c>
      <x:c r="J4705" s="13" t="n">
        <x:f>D4705*I4705*H4705</x:f>
        <x:v>0.08078883750000002</x:v>
      </x:c>
      <x:c r="K4705" s="13" t="n">
        <x:f>E4705*I4705*H4705</x:f>
        <x:v>0.08296863750000001</x:v>
      </x:c>
      <x:c r="L4705" s="1" t="str">
        <x:f>TEXT(A4705,"mmm yyyy")</x:f>
        <x:v>Aug 2026</x:v>
      </x:c>
    </x:row>
    <x:row r="4706" ht="21" customHeight="1">
      <x:c r="A4706" s="10" t="n">
        <x:v>46246</x:v>
      </x:c>
      <x:c r="B4706" s="1" t="n">
        <x:v>13</x:v>
      </x:c>
      <x:c r="C4706" s="1" t="n">
        <x:v>6</x:v>
      </x:c>
      <x:c r="D4706" s="12" t="n">
        <x:v>4.58575</x:v>
      </x:c>
      <x:c r="E4706" s="12" t="n">
        <x:v>0.65975</x:v>
      </x:c>
      <x:c r="F4706" s="12" t="n">
        <x:v>0</x:v>
      </x:c>
      <x:c r="G4706" s="12" t="n">
        <x:v>3.928</x:v>
      </x:c>
      <x:c r="H4706" s="1" t="n">
        <x:f>'Historical prices'!E4706</x:f>
        <x:v>1.05</x:v>
      </x:c>
      <x:c r="I4706" s="6" t="n">
        <x:f>'Historical prices'!D4706</x:f>
        <x:v>0.16820000000000002</x:v>
      </x:c>
      <x:c r="J4706" s="13" t="n">
        <x:f>D4706*I4706*H4706</x:f>
        <x:v>0.8098893075000001</x:v>
      </x:c>
      <x:c r="K4706" s="13" t="n">
        <x:f>E4706*I4706*H4706</x:f>
        <x:v>0.1165184475</x:v>
      </x:c>
      <x:c r="L4706" s="1" t="str">
        <x:f>TEXT(A4706,"mmm yyyy")</x:f>
        <x:v>Aug 2026</x:v>
      </x:c>
    </x:row>
    <x:row r="4707" ht="21" customHeight="1">
      <x:c r="A4707" s="10" t="n">
        <x:v>46246</x:v>
      </x:c>
      <x:c r="B4707" s="1" t="n">
        <x:v>13.5</x:v>
      </x:c>
      <x:c r="C4707" s="1" t="n">
        <x:v>6</x:v>
      </x:c>
      <x:c r="D4707" s="12" t="n">
        <x:v>5.49225</x:v>
      </x:c>
      <x:c r="E4707" s="12" t="n">
        <x:v>0.71825</x:v>
      </x:c>
      <x:c r="F4707" s="12" t="n">
        <x:v>0</x:v>
      </x:c>
      <x:c r="G4707" s="12" t="n">
        <x:v>4.774</x:v>
      </x:c>
      <x:c r="H4707" s="1" t="n">
        <x:f>'Historical prices'!E4707</x:f>
        <x:v>1.05</x:v>
      </x:c>
      <x:c r="I4707" s="6" t="n">
        <x:f>'Historical prices'!D4707</x:f>
        <x:v>0.1668</x:v>
      </x:c>
      <x:c r="J4707" s="13" t="n">
        <x:f>D4707*I4707*H4707</x:f>
        <x:v>0.9619126650000002</x:v>
      </x:c>
      <x:c r="K4707" s="13" t="n">
        <x:f>E4707*I4707*H4707</x:f>
        <x:v>0.12579430500000002</x:v>
      </x:c>
      <x:c r="L4707" s="1" t="str">
        <x:f>TEXT(A4707,"mmm yyyy")</x:f>
        <x:v>Aug 2026</x:v>
      </x:c>
    </x:row>
    <x:row r="4708" ht="21" customHeight="1">
      <x:c r="A4708" s="10" t="n">
        <x:v>46246</x:v>
      </x:c>
      <x:c r="B4708" s="1" t="n">
        <x:v>14</x:v>
      </x:c>
      <x:c r="C4708" s="1" t="n">
        <x:v>6</x:v>
      </x:c>
      <x:c r="D4708" s="12" t="n">
        <x:v>1.3492500000000003</x:v>
      </x:c>
      <x:c r="E4708" s="12" t="n">
        <x:v>0.55225</x:v>
      </x:c>
      <x:c r="F4708" s="12" t="n">
        <x:v>0</x:v>
      </x:c>
      <x:c r="G4708" s="12" t="n">
        <x:v>0.801</x:v>
      </x:c>
      <x:c r="H4708" s="1" t="n">
        <x:f>'Historical prices'!E4708</x:f>
        <x:v>1.05</x:v>
      </x:c>
      <x:c r="I4708" s="6" t="n">
        <x:f>'Historical prices'!D4708</x:f>
        <x:v>0.17</x:v>
      </x:c>
      <x:c r="J4708" s="13" t="n">
        <x:f>D4708*I4708*H4708</x:f>
        <x:v>0.24084112500000007</x:v>
      </x:c>
      <x:c r="K4708" s="13" t="n">
        <x:f>E4708*I4708*H4708</x:f>
        <x:v>0.09857662500000001</x:v>
      </x:c>
      <x:c r="L4708" s="1" t="str">
        <x:f>TEXT(A4708,"mmm yyyy")</x:f>
        <x:v>Aug 2026</x:v>
      </x:c>
    </x:row>
    <x:row r="4709" ht="21" customHeight="1">
      <x:c r="A4709" s="10" t="n">
        <x:v>46246</x:v>
      </x:c>
      <x:c r="B4709" s="1" t="n">
        <x:v>14.5</x:v>
      </x:c>
      <x:c r="C4709" s="1" t="n">
        <x:v>6</x:v>
      </x:c>
      <x:c r="D4709" s="12" t="n">
        <x:v>0.44075</x:v>
      </x:c>
      <x:c r="E4709" s="12" t="n">
        <x:v>0.45274999999999993</x:v>
      </x:c>
      <x:c r="F4709" s="12" t="n">
        <x:v>0</x:v>
      </x:c>
      <x:c r="G4709" s="12" t="n">
        <x:v>0</x:v>
      </x:c>
      <x:c r="H4709" s="1" t="n">
        <x:f>'Historical prices'!E4709</x:f>
        <x:v>1.05</x:v>
      </x:c>
      <x:c r="I4709" s="6" t="n">
        <x:f>'Historical prices'!D4709</x:f>
        <x:v>0.18420000000000003</x:v>
      </x:c>
      <x:c r="J4709" s="13" t="n">
        <x:f>D4709*I4709*H4709</x:f>
        <x:v>0.08524545750000001</x:v>
      </x:c>
      <x:c r="K4709" s="13" t="n">
        <x:f>E4709*I4709*H4709</x:f>
        <x:v>0.0875663775</x:v>
      </x:c>
      <x:c r="L4709" s="1" t="str">
        <x:f>TEXT(A4709,"mmm yyyy")</x:f>
        <x:v>Aug 2026</x:v>
      </x:c>
    </x:row>
    <x:row r="4710" ht="21" customHeight="1">
      <x:c r="A4710" s="10" t="n">
        <x:v>46246</x:v>
      </x:c>
      <x:c r="B4710" s="1" t="n">
        <x:v>15</x:v>
      </x:c>
      <x:c r="C4710" s="1" t="n">
        <x:v>6</x:v>
      </x:c>
      <x:c r="D4710" s="12" t="n">
        <x:v>0.49175</x:v>
      </x:c>
      <x:c r="E4710" s="12" t="n">
        <x:v>0.50175</x:v>
      </x:c>
      <x:c r="F4710" s="12" t="n">
        <x:v>0</x:v>
      </x:c>
      <x:c r="G4710" s="12" t="n">
        <x:v>0</x:v>
      </x:c>
      <x:c r="H4710" s="1" t="n">
        <x:f>'Historical prices'!E4710</x:f>
        <x:v>1.05</x:v>
      </x:c>
      <x:c r="I4710" s="6" t="n">
        <x:f>'Historical prices'!D4710</x:f>
        <x:v>0.19760000000000003</x:v>
      </x:c>
      <x:c r="J4710" s="13" t="n">
        <x:f>D4710*I4710*H4710</x:f>
        <x:v>0.10202829000000002</x:v>
      </x:c>
      <x:c r="K4710" s="13" t="n">
        <x:f>E4710*I4710*H4710</x:f>
        <x:v>0.10410309000000002</x:v>
      </x:c>
      <x:c r="L4710" s="1" t="str">
        <x:f>TEXT(A4710,"mmm yyyy")</x:f>
        <x:v>Aug 2026</x:v>
      </x:c>
    </x:row>
    <x:row r="4711" ht="21" customHeight="1">
      <x:c r="A4711" s="10" t="n">
        <x:v>46246</x:v>
      </x:c>
      <x:c r="B4711" s="1" t="n">
        <x:v>15.5</x:v>
      </x:c>
      <x:c r="C4711" s="1" t="n">
        <x:v>6</x:v>
      </x:c>
      <x:c r="D4711" s="12" t="n">
        <x:v>0.53775</x:v>
      </x:c>
      <x:c r="E4711" s="12" t="n">
        <x:v>0.54875</x:v>
      </x:c>
      <x:c r="F4711" s="12" t="n">
        <x:v>0</x:v>
      </x:c>
      <x:c r="G4711" s="12" t="n">
        <x:v>0</x:v>
      </x:c>
      <x:c r="H4711" s="1" t="n">
        <x:f>'Historical prices'!E4711</x:f>
        <x:v>1.05</x:v>
      </x:c>
      <x:c r="I4711" s="6" t="n">
        <x:f>'Historical prices'!D4711</x:f>
        <x:v>0.20929999999999999</x:v>
      </x:c>
      <x:c r="J4711" s="13" t="n">
        <x:f>D4711*I4711*H4711</x:f>
        <x:v>0.11817862874999999</x:v>
      </x:c>
      <x:c r="K4711" s="13" t="n">
        <x:f>E4711*I4711*H4711</x:f>
        <x:v>0.12059604374999998</x:v>
      </x:c>
      <x:c r="L4711" s="1" t="str">
        <x:f>TEXT(A4711,"mmm yyyy")</x:f>
        <x:v>Aug 2026</x:v>
      </x:c>
    </x:row>
    <x:row r="4712" ht="21" customHeight="1">
      <x:c r="A4712" s="10" t="n">
        <x:v>46246</x:v>
      </x:c>
      <x:c r="B4712" s="1" t="n">
        <x:v>16</x:v>
      </x:c>
      <x:c r="C4712" s="1" t="n">
        <x:v>6</x:v>
      </x:c>
      <x:c r="D4712" s="12" t="n">
        <x:v>0.076</x:v>
      </x:c>
      <x:c r="E4712" s="12" t="n">
        <x:v>0.5016666666666666</x:v>
      </x:c>
      <x:c r="F4712" s="12" t="n">
        <x:v>0.42158333333333337</x:v>
      </x:c>
      <x:c r="G4712" s="12" t="n">
        <x:v>0</x:v>
      </x:c>
      <x:c r="H4712" s="1" t="n">
        <x:f>'Historical prices'!E4712</x:f>
        <x:v>1.05</x:v>
      </x:c>
      <x:c r="I4712" s="6" t="n">
        <x:f>'Historical prices'!D4712</x:f>
        <x:v>0.37</x:v>
      </x:c>
      <x:c r="J4712" s="13" t="n">
        <x:f>D4712*I4712*H4712</x:f>
        <x:v>0.029526</x:v>
      </x:c>
      <x:c r="K4712" s="13" t="n">
        <x:f>E4712*I4712*H4712</x:f>
        <x:v>0.19489749999999997</x:v>
      </x:c>
      <x:c r="L4712" s="1" t="str">
        <x:f>TEXT(A4712,"mmm yyyy")</x:f>
        <x:v>Aug 2026</x:v>
      </x:c>
    </x:row>
    <x:row r="4713" ht="21" customHeight="1">
      <x:c r="A4713" s="10" t="n">
        <x:v>46246</x:v>
      </x:c>
      <x:c r="B4713" s="1" t="n">
        <x:v>16.5</x:v>
      </x:c>
      <x:c r="C4713" s="1" t="n">
        <x:v>6</x:v>
      </x:c>
      <x:c r="D4713" s="12" t="n">
        <x:v>0</x:v>
      </x:c>
      <x:c r="E4713" s="12" t="n">
        <x:v>0.509</x:v>
      </x:c>
      <x:c r="F4713" s="12" t="n">
        <x:v>0.5087499999999999</x:v>
      </x:c>
      <x:c r="G4713" s="12" t="n">
        <x:v>0</x:v>
      </x:c>
      <x:c r="H4713" s="1" t="n">
        <x:f>'Historical prices'!E4713</x:f>
        <x:v>1.05</x:v>
      </x:c>
      <x:c r="I4713" s="6" t="n">
        <x:f>'Historical prices'!D4713</x:f>
        <x:v>0.3508</x:v>
      </x:c>
      <x:c r="J4713" s="13" t="n">
        <x:f>D4713*I4713*H4713</x:f>
        <x:v>0</x:v>
      </x:c>
      <x:c r="K4713" s="13" t="n">
        <x:f>E4713*I4713*H4713</x:f>
        <x:v>0.18748506</x:v>
      </x:c>
      <x:c r="L4713" s="1" t="str">
        <x:f>TEXT(A4713,"mmm yyyy")</x:f>
        <x:v>Aug 2026</x:v>
      </x:c>
    </x:row>
    <x:row r="4714" ht="21" customHeight="1">
      <x:c r="A4714" s="10" t="n">
        <x:v>46246</x:v>
      </x:c>
      <x:c r="B4714" s="1" t="n">
        <x:v>17</x:v>
      </x:c>
      <x:c r="C4714" s="1" t="n">
        <x:v>6</x:v>
      </x:c>
      <x:c r="D4714" s="12" t="n">
        <x:v>0</x:v>
      </x:c>
      <x:c r="E4714" s="12" t="n">
        <x:v>0.5136666666666666</x:v>
      </x:c>
      <x:c r="F4714" s="12" t="n">
        <x:v>0.5135833333333333</x:v>
      </x:c>
      <x:c r="G4714" s="12" t="n">
        <x:v>0</x:v>
      </x:c>
      <x:c r="H4714" s="1" t="n">
        <x:f>'Historical prices'!E4714</x:f>
        <x:v>1.05</x:v>
      </x:c>
      <x:c r="I4714" s="6" t="n">
        <x:f>'Historical prices'!D4714</x:f>
        <x:v>0.41509999999999997</x:v>
      </x:c>
      <x:c r="J4714" s="13" t="n">
        <x:f>D4714*I4714*H4714</x:f>
        <x:v>0</x:v>
      </x:c>
      <x:c r="K4714" s="13" t="n">
        <x:f>E4714*I4714*H4714</x:f>
        <x:v>0.22388418499999996</x:v>
      </x:c>
      <x:c r="L4714" s="1" t="str">
        <x:f>TEXT(A4714,"mmm yyyy")</x:f>
        <x:v>Aug 2026</x:v>
      </x:c>
    </x:row>
    <x:row r="4715" ht="21" customHeight="1">
      <x:c r="A4715" s="10" t="n">
        <x:v>46246</x:v>
      </x:c>
      <x:c r="B4715" s="1" t="n">
        <x:v>17.5</x:v>
      </x:c>
      <x:c r="C4715" s="1" t="n">
        <x:v>6</x:v>
      </x:c>
      <x:c r="D4715" s="12" t="n">
        <x:v>0</x:v>
      </x:c>
      <x:c r="E4715" s="12" t="n">
        <x:v>0.50675</x:v>
      </x:c>
      <x:c r="F4715" s="12" t="n">
        <x:v>0.5063333333333333</x:v>
      </x:c>
      <x:c r="G4715" s="12" t="n">
        <x:v>0</x:v>
      </x:c>
      <x:c r="H4715" s="1" t="n">
        <x:f>'Historical prices'!E4715</x:f>
        <x:v>1.05</x:v>
      </x:c>
      <x:c r="I4715" s="6" t="n">
        <x:f>'Historical prices'!D4715</x:f>
        <x:v>0.4472</x:v>
      </x:c>
      <x:c r="J4715" s="13" t="n">
        <x:f>D4715*I4715*H4715</x:f>
        <x:v>0</x:v>
      </x:c>
      <x:c r="K4715" s="13" t="n">
        <x:f>E4715*I4715*H4715</x:f>
        <x:v>0.23794953000000002</x:v>
      </x:c>
      <x:c r="L4715" s="1" t="str">
        <x:f>TEXT(A4715,"mmm yyyy")</x:f>
        <x:v>Aug 2026</x:v>
      </x:c>
    </x:row>
    <x:row r="4716" ht="21" customHeight="1">
      <x:c r="A4716" s="10" t="n">
        <x:v>46246</x:v>
      </x:c>
      <x:c r="B4716" s="1" t="n">
        <x:v>18</x:v>
      </x:c>
      <x:c r="C4716" s="1" t="n">
        <x:v>6</x:v>
      </x:c>
      <x:c r="D4716" s="12" t="n">
        <x:v>0</x:v>
      </x:c>
      <x:c r="E4716" s="12" t="n">
        <x:v>0.5979166666666667</x:v>
      </x:c>
      <x:c r="F4716" s="12" t="n">
        <x:v>0.5975</x:v>
      </x:c>
      <x:c r="G4716" s="12" t="n">
        <x:v>0</x:v>
      </x:c>
      <x:c r="H4716" s="1" t="n">
        <x:f>'Historical prices'!E4716</x:f>
        <x:v>1.05</x:v>
      </x:c>
      <x:c r="I4716" s="6" t="n">
        <x:f>'Historical prices'!D4716</x:f>
        <x:v>0.5437</x:v>
      </x:c>
      <x:c r="J4716" s="13" t="n">
        <x:f>D4716*I4716*H4716</x:f>
        <x:v>0</x:v>
      </x:c>
      <x:c r="K4716" s="13" t="n">
        <x:f>E4716*I4716*H4716</x:f>
        <x:v>0.34134165624999996</x:v>
      </x:c>
      <x:c r="L4716" s="1" t="str">
        <x:f>TEXT(A4716,"mmm yyyy")</x:f>
        <x:v>Aug 2026</x:v>
      </x:c>
    </x:row>
    <x:row r="4717" ht="21" customHeight="1">
      <x:c r="A4717" s="10" t="n">
        <x:v>46246</x:v>
      </x:c>
      <x:c r="B4717" s="1" t="n">
        <x:v>18.5</x:v>
      </x:c>
      <x:c r="C4717" s="1" t="n">
        <x:v>6</x:v>
      </x:c>
      <x:c r="D4717" s="12" t="n">
        <x:v>0</x:v>
      </x:c>
      <x:c r="E4717" s="12" t="n">
        <x:v>0.9882499999999999</x:v>
      </x:c>
      <x:c r="F4717" s="12" t="n">
        <x:v>0.9874166666666666</x:v>
      </x:c>
      <x:c r="G4717" s="12" t="n">
        <x:v>0</x:v>
      </x:c>
      <x:c r="H4717" s="1" t="n">
        <x:f>'Historical prices'!E4717</x:f>
        <x:v>1.05</x:v>
      </x:c>
      <x:c r="I4717" s="6" t="n">
        <x:f>'Historical prices'!D4717</x:f>
        <x:v>0.5724</x:v>
      </x:c>
      <x:c r="J4717" s="13" t="n">
        <x:f>D4717*I4717*H4717</x:f>
        <x:v>0</x:v>
      </x:c>
      <x:c r="K4717" s="13" t="n">
        <x:f>E4717*I4717*H4717</x:f>
        <x:v>0.593958015</x:v>
      </x:c>
      <x:c r="L4717" s="1" t="str">
        <x:f>TEXT(A4717,"mmm yyyy")</x:f>
        <x:v>Aug 2026</x:v>
      </x:c>
    </x:row>
    <x:row r="4718" ht="21" customHeight="1">
      <x:c r="A4718" s="10" t="n">
        <x:v>46246</x:v>
      </x:c>
      <x:c r="B4718" s="1" t="n">
        <x:v>19</x:v>
      </x:c>
      <x:c r="C4718" s="1" t="n">
        <x:v>6</x:v>
      </x:c>
      <x:c r="D4718" s="12" t="n">
        <x:v>0</x:v>
      </x:c>
      <x:c r="E4718" s="12" t="n">
        <x:v>1.1496666666666666</x:v>
      </x:c>
      <x:c r="F4718" s="12" t="n">
        <x:v>1.1494166666666668</x:v>
      </x:c>
      <x:c r="G4718" s="12" t="n">
        <x:v>0</x:v>
      </x:c>
      <x:c r="H4718" s="1" t="n">
        <x:f>'Historical prices'!E4718</x:f>
        <x:v>1.05</x:v>
      </x:c>
      <x:c r="I4718" s="6" t="n">
        <x:f>'Historical prices'!D4718</x:f>
        <x:v>0.4667</x:v>
      </x:c>
      <x:c r="J4718" s="13" t="n">
        <x:f>D4718*I4718*H4718</x:f>
        <x:v>0</x:v>
      </x:c>
      <x:c r="K4718" s="13" t="n">
        <x:f>E4718*I4718*H4718</x:f>
        <x:v>0.5633769049999999</x:v>
      </x:c>
      <x:c r="L4718" s="1" t="str">
        <x:f>TEXT(A4718,"mmm yyyy")</x:f>
        <x:v>Aug 2026</x:v>
      </x:c>
    </x:row>
    <x:row r="4719" ht="21" customHeight="1">
      <x:c r="A4719" s="10" t="n">
        <x:v>46246</x:v>
      </x:c>
      <x:c r="B4719" s="1" t="n">
        <x:v>19.5</x:v>
      </x:c>
      <x:c r="C4719" s="1" t="n">
        <x:v>6</x:v>
      </x:c>
      <x:c r="D4719" s="12" t="n">
        <x:v>0</x:v>
      </x:c>
      <x:c r="E4719" s="12" t="n">
        <x:v>0.7369166666666667</x:v>
      </x:c>
      <x:c r="F4719" s="12" t="n">
        <x:v>0.7366666666666666</x:v>
      </x:c>
      <x:c r="G4719" s="12" t="n">
        <x:v>0</x:v>
      </x:c>
      <x:c r="H4719" s="1" t="n">
        <x:f>'Historical prices'!E4719</x:f>
        <x:v>1.05</x:v>
      </x:c>
      <x:c r="I4719" s="6" t="n">
        <x:f>'Historical prices'!D4719</x:f>
        <x:v>0.4594</x:v>
      </x:c>
      <x:c r="J4719" s="13" t="n">
        <x:f>D4719*I4719*H4719</x:f>
        <x:v>0</x:v>
      </x:c>
      <x:c r="K4719" s="13" t="n">
        <x:f>E4719*I4719*H4719</x:f>
        <x:v>0.3554664925</x:v>
      </x:c>
      <x:c r="L4719" s="1" t="str">
        <x:f>TEXT(A4719,"mmm yyyy")</x:f>
        <x:v>Aug 2026</x:v>
      </x:c>
    </x:row>
    <x:row r="4720" ht="21" customHeight="1">
      <x:c r="A4720" s="10" t="n">
        <x:v>46246</x:v>
      </x:c>
      <x:c r="B4720" s="1" t="n">
        <x:v>20</x:v>
      </x:c>
      <x:c r="C4720" s="1" t="n">
        <x:v>6</x:v>
      </x:c>
      <x:c r="D4720" s="12" t="n">
        <x:v>0</x:v>
      </x:c>
      <x:c r="E4720" s="12" t="n">
        <x:v>0.8368333333333333</x:v>
      </x:c>
      <x:c r="F4720" s="12" t="n">
        <x:v>0.8365833333333332</x:v>
      </x:c>
      <x:c r="G4720" s="12" t="n">
        <x:v>0</x:v>
      </x:c>
      <x:c r="H4720" s="1" t="n">
        <x:f>'Historical prices'!E4720</x:f>
        <x:v>1.05</x:v>
      </x:c>
      <x:c r="I4720" s="6" t="n">
        <x:f>'Historical prices'!D4720</x:f>
        <x:v>0.408</x:v>
      </x:c>
      <x:c r="J4720" s="13" t="n">
        <x:f>D4720*I4720*H4720</x:f>
        <x:v>0</x:v>
      </x:c>
      <x:c r="K4720" s="13" t="n">
        <x:f>E4720*I4720*H4720</x:f>
        <x:v>0.35849939999999997</x:v>
      </x:c>
      <x:c r="L4720" s="1" t="str">
        <x:f>TEXT(A4720,"mmm yyyy")</x:f>
        <x:v>Aug 2026</x:v>
      </x:c>
    </x:row>
    <x:row r="4721" ht="21" customHeight="1">
      <x:c r="A4721" s="10" t="n">
        <x:v>46246</x:v>
      </x:c>
      <x:c r="B4721" s="1" t="n">
        <x:v>20.5</x:v>
      </x:c>
      <x:c r="C4721" s="1" t="n">
        <x:v>6</x:v>
      </x:c>
      <x:c r="D4721" s="12" t="n">
        <x:v>0</x:v>
      </x:c>
      <x:c r="E4721" s="12" t="n">
        <x:v>0.6126666666666667</x:v>
      </x:c>
      <x:c r="F4721" s="12" t="n">
        <x:v>0.6125</x:v>
      </x:c>
      <x:c r="G4721" s="12" t="n">
        <x:v>0</x:v>
      </x:c>
      <x:c r="H4721" s="1" t="n">
        <x:f>'Historical prices'!E4721</x:f>
        <x:v>1.05</x:v>
      </x:c>
      <x:c r="I4721" s="6" t="n">
        <x:f>'Historical prices'!D4721</x:f>
        <x:v>0.3908</x:v>
      </x:c>
      <x:c r="J4721" s="13" t="n">
        <x:f>D4721*I4721*H4721</x:f>
        <x:v>0</x:v>
      </x:c>
      <x:c r="K4721" s="13" t="n">
        <x:f>E4721*I4721*H4721</x:f>
        <x:v>0.25140164</x:v>
      </x:c>
      <x:c r="L4721" s="1" t="str">
        <x:f>TEXT(A4721,"mmm yyyy")</x:f>
        <x:v>Aug 2026</x:v>
      </x:c>
    </x:row>
    <x:row r="4722" ht="21" customHeight="1">
      <x:c r="A4722" s="10" t="n">
        <x:v>46246</x:v>
      </x:c>
      <x:c r="B4722" s="1" t="n">
        <x:v>21</x:v>
      </x:c>
      <x:c r="C4722" s="1" t="n">
        <x:v>6</x:v>
      </x:c>
      <x:c r="D4722" s="12" t="n">
        <x:v>0</x:v>
      </x:c>
      <x:c r="E4722" s="12" t="n">
        <x:v>0.57975</x:v>
      </x:c>
      <x:c r="F4722" s="12" t="n">
        <x:v>0.5794999999999999</x:v>
      </x:c>
      <x:c r="G4722" s="12" t="n">
        <x:v>0</x:v>
      </x:c>
      <x:c r="H4722" s="1" t="n">
        <x:f>'Historical prices'!E4722</x:f>
        <x:v>1.05</x:v>
      </x:c>
      <x:c r="I4722" s="6" t="n">
        <x:f>'Historical prices'!D4722</x:f>
        <x:v>0.3373</x:v>
      </x:c>
      <x:c r="J4722" s="13" t="n">
        <x:f>D4722*I4722*H4722</x:f>
        <x:v>0</x:v>
      </x:c>
      <x:c r="K4722" s="13" t="n">
        <x:f>E4722*I4722*H4722</x:f>
        <x:v>0.20532715875</x:v>
      </x:c>
      <x:c r="L4722" s="1" t="str">
        <x:f>TEXT(A4722,"mmm yyyy")</x:f>
        <x:v>Aug 2026</x:v>
      </x:c>
    </x:row>
    <x:row r="4723" ht="21" customHeight="1">
      <x:c r="A4723" s="10" t="n">
        <x:v>46246</x:v>
      </x:c>
      <x:c r="B4723" s="1" t="n">
        <x:v>21.5</x:v>
      </x:c>
      <x:c r="C4723" s="1" t="n">
        <x:v>6</x:v>
      </x:c>
      <x:c r="D4723" s="12" t="n">
        <x:v>0</x:v>
      </x:c>
      <x:c r="E4723" s="12" t="n">
        <x:v>0.5368333333333334</x:v>
      </x:c>
      <x:c r="F4723" s="12" t="n">
        <x:v>0.5363333333333333</x:v>
      </x:c>
      <x:c r="G4723" s="12" t="n">
        <x:v>0</x:v>
      </x:c>
      <x:c r="H4723" s="1" t="n">
        <x:f>'Historical prices'!E4723</x:f>
        <x:v>1.05</x:v>
      </x:c>
      <x:c r="I4723" s="6" t="n">
        <x:f>'Historical prices'!D4723</x:f>
        <x:v>0.3194</x:v>
      </x:c>
      <x:c r="J4723" s="13" t="n">
        <x:f>D4723*I4723*H4723</x:f>
        <x:v>0</x:v>
      </x:c>
      <x:c r="K4723" s="13" t="n">
        <x:f>E4723*I4723*H4723</x:f>
        <x:v>0.18003779500000003</x:v>
      </x:c>
      <x:c r="L4723" s="1" t="str">
        <x:f>TEXT(A4723,"mmm yyyy")</x:f>
        <x:v>Aug 2026</x:v>
      </x:c>
    </x:row>
    <x:row r="4724" ht="21" customHeight="1">
      <x:c r="A4724" s="10" t="n">
        <x:v>46246</x:v>
      </x:c>
      <x:c r="B4724" s="1" t="n">
        <x:v>22</x:v>
      </x:c>
      <x:c r="C4724" s="1" t="n">
        <x:v>6</x:v>
      </x:c>
      <x:c r="D4724" s="12" t="n">
        <x:v>0</x:v>
      </x:c>
      <x:c r="E4724" s="12" t="n">
        <x:v>0.8098333333333334</x:v>
      </x:c>
      <x:c r="F4724" s="12" t="n">
        <x:v>0.8095833333333333</x:v>
      </x:c>
      <x:c r="G4724" s="12" t="n">
        <x:v>0</x:v>
      </x:c>
      <x:c r="H4724" s="1" t="n">
        <x:f>'Historical prices'!E4724</x:f>
        <x:v>1.05</x:v>
      </x:c>
      <x:c r="I4724" s="6" t="n">
        <x:f>'Historical prices'!D4724</x:f>
        <x:v>0.2953</x:v>
      </x:c>
      <x:c r="J4724" s="13" t="n">
        <x:f>D4724*I4724*H4724</x:f>
        <x:v>0</x:v>
      </x:c>
      <x:c r="K4724" s="13" t="n">
        <x:f>E4724*I4724*H4724</x:f>
        <x:v>0.2511009725</x:v>
      </x:c>
      <x:c r="L4724" s="1" t="str">
        <x:f>TEXT(A4724,"mmm yyyy")</x:f>
        <x:v>Aug 2026</x:v>
      </x:c>
    </x:row>
    <x:row r="4725" ht="21" customHeight="1">
      <x:c r="A4725" s="10" t="n">
        <x:v>46246</x:v>
      </x:c>
      <x:c r="B4725" s="1" t="n">
        <x:v>22.5</x:v>
      </x:c>
      <x:c r="C4725" s="1" t="n">
        <x:v>6</x:v>
      </x:c>
      <x:c r="D4725" s="12" t="n">
        <x:v>0</x:v>
      </x:c>
      <x:c r="E4725" s="12" t="n">
        <x:v>0.3645</x:v>
      </x:c>
      <x:c r="F4725" s="12" t="n">
        <x:v>0.3641666666666667</x:v>
      </x:c>
      <x:c r="G4725" s="12" t="n">
        <x:v>0</x:v>
      </x:c>
      <x:c r="H4725" s="1" t="n">
        <x:f>'Historical prices'!E4725</x:f>
        <x:v>1.05</x:v>
      </x:c>
      <x:c r="I4725" s="6" t="n">
        <x:f>'Historical prices'!D4725</x:f>
        <x:v>0.2705</x:v>
      </x:c>
      <x:c r="J4725" s="13" t="n">
        <x:f>D4725*I4725*H4725</x:f>
        <x:v>0</x:v>
      </x:c>
      <x:c r="K4725" s="13" t="n">
        <x:f>E4725*I4725*H4725</x:f>
        <x:v>0.1035271125</x:v>
      </x:c>
      <x:c r="L4725" s="1" t="str">
        <x:f>TEXT(A4725,"mmm yyyy")</x:f>
        <x:v>Aug 2026</x:v>
      </x:c>
    </x:row>
    <x:row r="4726" ht="21" customHeight="1">
      <x:c r="A4726" s="10" t="n">
        <x:v>46246</x:v>
      </x:c>
      <x:c r="B4726" s="1" t="n">
        <x:v>23</x:v>
      </x:c>
      <x:c r="C4726" s="1" t="n">
        <x:v>6</x:v>
      </x:c>
      <x:c r="D4726" s="12" t="n">
        <x:v>0.22824999999999995</x:v>
      </x:c>
      <x:c r="E4726" s="12" t="n">
        <x:v>0.29724999999999996</x:v>
      </x:c>
      <x:c r="F4726" s="12" t="n">
        <x:v>0.059</x:v>
      </x:c>
      <x:c r="G4726" s="12" t="n">
        <x:v>0</x:v>
      </x:c>
      <x:c r="H4726" s="1" t="n">
        <x:f>'Historical prices'!E4726</x:f>
        <x:v>1.05</x:v>
      </x:c>
      <x:c r="I4726" s="6" t="n">
        <x:f>'Historical prices'!D4726</x:f>
        <x:v>0.243</x:v>
      </x:c>
      <x:c r="J4726" s="13" t="n">
        <x:f>D4726*I4726*H4726</x:f>
        <x:v>0.05823798749999999</x:v>
      </x:c>
      <x:c r="K4726" s="13" t="n">
        <x:f>E4726*I4726*H4726</x:f>
        <x:v>0.07584333749999998</x:v>
      </x:c>
      <x:c r="L4726" s="1" t="str">
        <x:f>TEXT(A4726,"mmm yyyy")</x:f>
        <x:v>Aug 2026</x:v>
      </x:c>
    </x:row>
    <x:row r="4727" ht="21" customHeight="1">
      <x:c r="A4727" s="10" t="n">
        <x:v>46246</x:v>
      </x:c>
      <x:c r="B4727" s="1" t="n">
        <x:v>23.5</x:v>
      </x:c>
      <x:c r="C4727" s="1" t="n">
        <x:v>6</x:v>
      </x:c>
      <x:c r="D4727" s="12" t="n">
        <x:v>0.2025</x:v>
      </x:c>
      <x:c r="E4727" s="12" t="n">
        <x:v>0.21250000000000002</x:v>
      </x:c>
      <x:c r="F4727" s="12" t="n">
        <x:v>0</x:v>
      </x:c>
      <x:c r="G4727" s="12" t="n">
        <x:v>0</x:v>
      </x:c>
      <x:c r="H4727" s="1" t="n">
        <x:f>'Historical prices'!E4727</x:f>
        <x:v>1.05</x:v>
      </x:c>
      <x:c r="I4727" s="6" t="n">
        <x:f>'Historical prices'!D4727</x:f>
        <x:v>0.2488</x:v>
      </x:c>
      <x:c r="J4727" s="13" t="n">
        <x:f>D4727*I4727*H4727</x:f>
        <x:v>0.052901100000000006</x:v>
      </x:c>
      <x:c r="K4727" s="13" t="n">
        <x:f>E4727*I4727*H4727</x:f>
        <x:v>0.05551350000000001</x:v>
      </x:c>
      <x:c r="L4727" s="1" t="str">
        <x:f>TEXT(A4727,"mmm yyyy")</x:f>
        <x:v>Aug 2026</x:v>
      </x:c>
    </x:row>
    <x:row r="4728" ht="21" customHeight="1">
      <x:c r="A4728" s="10" t="n">
        <x:v>46247</x:v>
      </x:c>
      <x:c r="B4728" s="1" t="n">
        <x:v>0</x:v>
      </x:c>
      <x:c r="C4728" s="1" t="n">
        <x:v>6</x:v>
      </x:c>
      <x:c r="D4728" s="12" t="n">
        <x:v>0.20775000000000002</x:v>
      </x:c>
      <x:c r="E4728" s="12" t="n">
        <x:v>0.21875</x:v>
      </x:c>
      <x:c r="F4728" s="12" t="n">
        <x:v>0</x:v>
      </x:c>
      <x:c r="G4728" s="12" t="n">
        <x:v>0</x:v>
      </x:c>
      <x:c r="H4728" s="1" t="n">
        <x:f>'Historical prices'!E4728</x:f>
        <x:v>1.05</x:v>
      </x:c>
      <x:c r="I4728" s="6" t="n">
        <x:f>'Historical prices'!D4728</x:f>
        <x:v>0.23260000000000003</x:v>
      </x:c>
      <x:c r="J4728" s="13" t="n">
        <x:f>D4728*I4728*H4728</x:f>
        <x:v>0.05073878250000001</x:v>
      </x:c>
      <x:c r="K4728" s="13" t="n">
        <x:f>E4728*I4728*H4728</x:f>
        <x:v>0.0534253125</x:v>
      </x:c>
      <x:c r="L4728" s="1" t="str">
        <x:f>TEXT(A4728,"mmm yyyy")</x:f>
        <x:v>Aug 2026</x:v>
      </x:c>
    </x:row>
    <x:row r="4729" ht="21" customHeight="1">
      <x:c r="A4729" s="10" t="n">
        <x:v>46247</x:v>
      </x:c>
      <x:c r="B4729" s="1" t="n">
        <x:v>0.5</x:v>
      </x:c>
      <x:c r="C4729" s="1" t="n">
        <x:v>6</x:v>
      </x:c>
      <x:c r="D4729" s="12" t="n">
        <x:v>0.15575</x:v>
      </x:c>
      <x:c r="E4729" s="12" t="n">
        <x:v>0.16674999999999998</x:v>
      </x:c>
      <x:c r="F4729" s="12" t="n">
        <x:v>0</x:v>
      </x:c>
      <x:c r="G4729" s="12" t="n">
        <x:v>0</x:v>
      </x:c>
      <x:c r="H4729" s="1" t="n">
        <x:f>'Historical prices'!E4729</x:f>
        <x:v>1.05</x:v>
      </x:c>
      <x:c r="I4729" s="6" t="n">
        <x:f>'Historical prices'!D4729</x:f>
        <x:v>0.2306</x:v>
      </x:c>
      <x:c r="J4729" s="13" t="n">
        <x:f>D4729*I4729*H4729</x:f>
        <x:v>0.037711747500000004</x:v>
      </x:c>
      <x:c r="K4729" s="13" t="n">
        <x:f>E4729*I4729*H4729</x:f>
        <x:v>0.0403751775</x:v>
      </x:c>
      <x:c r="L4729" s="1" t="str">
        <x:f>TEXT(A4729,"mmm yyyy")</x:f>
        <x:v>Aug 2026</x:v>
      </x:c>
    </x:row>
    <x:row r="4730" ht="21" customHeight="1">
      <x:c r="A4730" s="10" t="n">
        <x:v>46247</x:v>
      </x:c>
      <x:c r="B4730" s="1" t="n">
        <x:v>1</x:v>
      </x:c>
      <x:c r="C4730" s="1" t="n">
        <x:v>6</x:v>
      </x:c>
      <x:c r="D4730" s="12" t="n">
        <x:v>0.23900000000000002</x:v>
      </x:c>
      <x:c r="E4730" s="12" t="n">
        <x:v>0.24900000000000003</x:v>
      </x:c>
      <x:c r="F4730" s="12" t="n">
        <x:v>0</x:v>
      </x:c>
      <x:c r="G4730" s="12" t="n">
        <x:v>0</x:v>
      </x:c>
      <x:c r="H4730" s="1" t="n">
        <x:f>'Historical prices'!E4730</x:f>
        <x:v>1.05</x:v>
      </x:c>
      <x:c r="I4730" s="6" t="n">
        <x:f>'Historical prices'!D4730</x:f>
        <x:v>0.2218</x:v>
      </x:c>
      <x:c r="J4730" s="13" t="n">
        <x:f>D4730*I4730*H4730</x:f>
        <x:v>0.05566071</x:v>
      </x:c>
      <x:c r="K4730" s="13" t="n">
        <x:f>E4730*I4730*H4730</x:f>
        <x:v>0.05798961000000001</x:v>
      </x:c>
      <x:c r="L4730" s="1" t="str">
        <x:f>TEXT(A4730,"mmm yyyy")</x:f>
        <x:v>Aug 2026</x:v>
      </x:c>
    </x:row>
    <x:row r="4731" ht="21" customHeight="1">
      <x:c r="A4731" s="10" t="n">
        <x:v>46247</x:v>
      </x:c>
      <x:c r="B4731" s="1" t="n">
        <x:v>1.5</x:v>
      </x:c>
      <x:c r="C4731" s="1" t="n">
        <x:v>6</x:v>
      </x:c>
      <x:c r="D4731" s="12" t="n">
        <x:v>0.28675000000000006</x:v>
      </x:c>
      <x:c r="E4731" s="12" t="n">
        <x:v>0.29675000000000007</x:v>
      </x:c>
      <x:c r="F4731" s="12" t="n">
        <x:v>0</x:v>
      </x:c>
      <x:c r="G4731" s="12" t="n">
        <x:v>0</x:v>
      </x:c>
      <x:c r="H4731" s="1" t="n">
        <x:f>'Historical prices'!E4731</x:f>
        <x:v>1.05</x:v>
      </x:c>
      <x:c r="I4731" s="6" t="n">
        <x:f>'Historical prices'!D4731</x:f>
        <x:v>0.2266</x:v>
      </x:c>
      <x:c r="J4731" s="13" t="n">
        <x:f>D4731*I4731*H4731</x:f>
        <x:v>0.0682264275</x:v>
      </x:c>
      <x:c r="K4731" s="13" t="n">
        <x:f>E4731*I4731*H4731</x:f>
        <x:v>0.07060572750000002</x:v>
      </x:c>
      <x:c r="L4731" s="1" t="str">
        <x:f>TEXT(A4731,"mmm yyyy")</x:f>
        <x:v>Aug 2026</x:v>
      </x:c>
    </x:row>
    <x:row r="4732" ht="21" customHeight="1">
      <x:c r="A4732" s="10" t="n">
        <x:v>46247</x:v>
      </x:c>
      <x:c r="B4732" s="1" t="n">
        <x:v>2</x:v>
      </x:c>
      <x:c r="C4732" s="1" t="n">
        <x:v>6</x:v>
      </x:c>
      <x:c r="D4732" s="12" t="n">
        <x:v>0.135</x:v>
      </x:c>
      <x:c r="E4732" s="12" t="n">
        <x:v>0.146</x:v>
      </x:c>
      <x:c r="F4732" s="12" t="n">
        <x:v>0</x:v>
      </x:c>
      <x:c r="G4732" s="12" t="n">
        <x:v>0</x:v>
      </x:c>
      <x:c r="H4732" s="1" t="n">
        <x:f>'Historical prices'!E4732</x:f>
        <x:v>1.05</x:v>
      </x:c>
      <x:c r="I4732" s="6" t="n">
        <x:f>'Historical prices'!D4732</x:f>
        <x:v>0.223</x:v>
      </x:c>
      <x:c r="J4732" s="13" t="n">
        <x:f>D4732*I4732*H4732</x:f>
        <x:v>0.031610250000000006</x:v>
      </x:c>
      <x:c r="K4732" s="13" t="n">
        <x:f>E4732*I4732*H4732</x:f>
        <x:v>0.0341859</x:v>
      </x:c>
      <x:c r="L4732" s="1" t="str">
        <x:f>TEXT(A4732,"mmm yyyy")</x:f>
        <x:v>Aug 2026</x:v>
      </x:c>
    </x:row>
    <x:row r="4733" ht="21" customHeight="1">
      <x:c r="A4733" s="10" t="n">
        <x:v>46247</x:v>
      </x:c>
      <x:c r="B4733" s="1" t="n">
        <x:v>2.5</x:v>
      </x:c>
      <x:c r="C4733" s="1" t="n">
        <x:v>6</x:v>
      </x:c>
      <x:c r="D4733" s="12" t="n">
        <x:v>0.1705</x:v>
      </x:c>
      <x:c r="E4733" s="12" t="n">
        <x:v>0.18050000000000002</x:v>
      </x:c>
      <x:c r="F4733" s="12" t="n">
        <x:v>0</x:v>
      </x:c>
      <x:c r="G4733" s="12" t="n">
        <x:v>0</x:v>
      </x:c>
      <x:c r="H4733" s="1" t="n">
        <x:f>'Historical prices'!E4733</x:f>
        <x:v>1.05</x:v>
      </x:c>
      <x:c r="I4733" s="6" t="n">
        <x:f>'Historical prices'!D4733</x:f>
        <x:v>0.223</x:v>
      </x:c>
      <x:c r="J4733" s="13" t="n">
        <x:f>D4733*I4733*H4733</x:f>
        <x:v>0.03992257500000001</x:v>
      </x:c>
      <x:c r="K4733" s="13" t="n">
        <x:f>E4733*I4733*H4733</x:f>
        <x:v>0.042264075000000005</x:v>
      </x:c>
      <x:c r="L4733" s="1" t="str">
        <x:f>TEXT(A4733,"mmm yyyy")</x:f>
        <x:v>Aug 2026</x:v>
      </x:c>
    </x:row>
    <x:row r="4734" ht="21" customHeight="1">
      <x:c r="A4734" s="10" t="n">
        <x:v>46247</x:v>
      </x:c>
      <x:c r="B4734" s="1" t="n">
        <x:v>3</x:v>
      </x:c>
      <x:c r="C4734" s="1" t="n">
        <x:v>6</x:v>
      </x:c>
      <x:c r="D4734" s="12" t="n">
        <x:v>0.22925000000000004</x:v>
      </x:c>
      <x:c r="E4734" s="12" t="n">
        <x:v>0.24025000000000005</x:v>
      </x:c>
      <x:c r="F4734" s="12" t="n">
        <x:v>0</x:v>
      </x:c>
      <x:c r="G4734" s="12" t="n">
        <x:v>0</x:v>
      </x:c>
      <x:c r="H4734" s="1" t="n">
        <x:f>'Historical prices'!E4734</x:f>
        <x:v>1.05</x:v>
      </x:c>
      <x:c r="I4734" s="6" t="n">
        <x:f>'Historical prices'!D4734</x:f>
        <x:v>0.2253</x:v>
      </x:c>
      <x:c r="J4734" s="13" t="n">
        <x:f>D4734*I4734*H4734</x:f>
        <x:v>0.05423252625000001</x:v>
      </x:c>
      <x:c r="K4734" s="13" t="n">
        <x:f>E4734*I4734*H4734</x:f>
        <x:v>0.056834741250000015</x:v>
      </x:c>
      <x:c r="L4734" s="1" t="str">
        <x:f>TEXT(A4734,"mmm yyyy")</x:f>
        <x:v>Aug 2026</x:v>
      </x:c>
    </x:row>
    <x:row r="4735" ht="21" customHeight="1">
      <x:c r="A4735" s="10" t="n">
        <x:v>46247</x:v>
      </x:c>
      <x:c r="B4735" s="1" t="n">
        <x:v>3.5</x:v>
      </x:c>
      <x:c r="C4735" s="1" t="n">
        <x:v>6</x:v>
      </x:c>
      <x:c r="D4735" s="12" t="n">
        <x:v>0.191</x:v>
      </x:c>
      <x:c r="E4735" s="12" t="n">
        <x:v>0.201</x:v>
      </x:c>
      <x:c r="F4735" s="12" t="n">
        <x:v>0</x:v>
      </x:c>
      <x:c r="G4735" s="12" t="n">
        <x:v>0</x:v>
      </x:c>
      <x:c r="H4735" s="1" t="n">
        <x:f>'Historical prices'!E4735</x:f>
        <x:v>1.05</x:v>
      </x:c>
      <x:c r="I4735" s="6" t="n">
        <x:f>'Historical prices'!D4735</x:f>
        <x:v>0.22829999999999998</x:v>
      </x:c>
      <x:c r="J4735" s="13" t="n">
        <x:f>D4735*I4735*H4735</x:f>
        <x:v>0.04578556499999999</x:v>
      </x:c>
      <x:c r="K4735" s="13" t="n">
        <x:f>E4735*I4735*H4735</x:f>
        <x:v>0.048182715</x:v>
      </x:c>
      <x:c r="L4735" s="1" t="str">
        <x:f>TEXT(A4735,"mmm yyyy")</x:f>
        <x:v>Aug 2026</x:v>
      </x:c>
    </x:row>
    <x:row r="4736" ht="21" customHeight="1">
      <x:c r="A4736" s="10" t="n">
        <x:v>46247</x:v>
      </x:c>
      <x:c r="B4736" s="1" t="n">
        <x:v>4</x:v>
      </x:c>
      <x:c r="C4736" s="1" t="n">
        <x:v>6</x:v>
      </x:c>
      <x:c r="D4736" s="12" t="n">
        <x:v>0.15275</x:v>
      </x:c>
      <x:c r="E4736" s="12" t="n">
        <x:v>0.16374999999999998</x:v>
      </x:c>
      <x:c r="F4736" s="12" t="n">
        <x:v>0</x:v>
      </x:c>
      <x:c r="G4736" s="12" t="n">
        <x:v>0</x:v>
      </x:c>
      <x:c r="H4736" s="1" t="n">
        <x:f>'Historical prices'!E4736</x:f>
        <x:v>1.05</x:v>
      </x:c>
      <x:c r="I4736" s="6" t="n">
        <x:f>'Historical prices'!D4736</x:f>
        <x:v>0.24780000000000002</x:v>
      </x:c>
      <x:c r="J4736" s="13" t="n">
        <x:f>D4736*I4736*H4736</x:f>
        <x:v>0.039744022500000004</x:v>
      </x:c>
      <x:c r="K4736" s="13" t="n">
        <x:f>E4736*I4736*H4736</x:f>
        <x:v>0.042606112499999994</x:v>
      </x:c>
      <x:c r="L4736" s="1" t="str">
        <x:f>TEXT(A4736,"mmm yyyy")</x:f>
        <x:v>Aug 2026</x:v>
      </x:c>
    </x:row>
    <x:row r="4737" ht="21" customHeight="1">
      <x:c r="A4737" s="10" t="n">
        <x:v>46247</x:v>
      </x:c>
      <x:c r="B4737" s="1" t="n">
        <x:v>4.5</x:v>
      </x:c>
      <x:c r="C4737" s="1" t="n">
        <x:v>6</x:v>
      </x:c>
      <x:c r="D4737" s="12" t="n">
        <x:v>0.19225</x:v>
      </x:c>
      <x:c r="E4737" s="12" t="n">
        <x:v>0.20325000000000001</x:v>
      </x:c>
      <x:c r="F4737" s="12" t="n">
        <x:v>0</x:v>
      </x:c>
      <x:c r="G4737" s="12" t="n">
        <x:v>0</x:v>
      </x:c>
      <x:c r="H4737" s="1" t="n">
        <x:f>'Historical prices'!E4737</x:f>
        <x:v>1.05</x:v>
      </x:c>
      <x:c r="I4737" s="6" t="n">
        <x:f>'Historical prices'!D4737</x:f>
        <x:v>0.2469</x:v>
      </x:c>
      <x:c r="J4737" s="13" t="n">
        <x:f>D4737*I4737*H4737</x:f>
        <x:v>0.049839851250000004</x:v>
      </x:c>
      <x:c r="K4737" s="13" t="n">
        <x:f>E4737*I4737*H4737</x:f>
        <x:v>0.052691546250000006</x:v>
      </x:c>
      <x:c r="L4737" s="1" t="str">
        <x:f>TEXT(A4737,"mmm yyyy")</x:f>
        <x:v>Aug 2026</x:v>
      </x:c>
    </x:row>
    <x:row r="4738" ht="21" customHeight="1">
      <x:c r="A4738" s="10" t="n">
        <x:v>46247</x:v>
      </x:c>
      <x:c r="B4738" s="1" t="n">
        <x:v>5</x:v>
      </x:c>
      <x:c r="C4738" s="1" t="n">
        <x:v>6</x:v>
      </x:c>
      <x:c r="D4738" s="12" t="n">
        <x:v>0.03275</x:v>
      </x:c>
      <x:c r="E4738" s="12" t="n">
        <x:v>0.24458333333333335</x:v>
      </x:c>
      <x:c r="F4738" s="12" t="n">
        <x:v>0.20966666666666667</x:v>
      </x:c>
      <x:c r="G4738" s="12" t="n">
        <x:v>0</x:v>
      </x:c>
      <x:c r="H4738" s="1" t="n">
        <x:f>'Historical prices'!E4738</x:f>
        <x:v>1.05</x:v>
      </x:c>
      <x:c r="I4738" s="6" t="n">
        <x:f>'Historical prices'!D4738</x:f>
        <x:v>0.2669</x:v>
      </x:c>
      <x:c r="J4738" s="13" t="n">
        <x:f>D4738*I4738*H4738</x:f>
        <x:v>0.009178023750000002</x:v>
      </x:c>
      <x:c r="K4738" s="13" t="n">
        <x:f>E4738*I4738*H4738</x:f>
        <x:v>0.06854325625000002</x:v>
      </x:c>
      <x:c r="L4738" s="1" t="str">
        <x:f>TEXT(A4738,"mmm yyyy")</x:f>
        <x:v>Aug 2026</x:v>
      </x:c>
    </x:row>
    <x:row r="4739" ht="21" customHeight="1">
      <x:c r="A4739" s="10" t="n">
        <x:v>46247</x:v>
      </x:c>
      <x:c r="B4739" s="1" t="n">
        <x:v>5.5</x:v>
      </x:c>
      <x:c r="C4739" s="1" t="n">
        <x:v>6</x:v>
      </x:c>
      <x:c r="D4739" s="12" t="n">
        <x:v>0</x:v>
      </x:c>
      <x:c r="E4739" s="12" t="n">
        <x:v>0.26091666666666663</x:v>
      </x:c>
      <x:c r="F4739" s="12" t="n">
        <x:v>0.26075</x:v>
      </x:c>
      <x:c r="G4739" s="12" t="n">
        <x:v>0</x:v>
      </x:c>
      <x:c r="H4739" s="1" t="n">
        <x:f>'Historical prices'!E4739</x:f>
        <x:v>1.05</x:v>
      </x:c>
      <x:c r="I4739" s="6" t="n">
        <x:f>'Historical prices'!D4739</x:f>
        <x:v>0.2695</x:v>
      </x:c>
      <x:c r="J4739" s="13" t="n">
        <x:f>D4739*I4739*H4739</x:f>
        <x:v>0</x:v>
      </x:c>
      <x:c r="K4739" s="13" t="n">
        <x:f>E4739*I4739*H4739</x:f>
        <x:v>0.07383289375</x:v>
      </x:c>
      <x:c r="L4739" s="1" t="str">
        <x:f>TEXT(A4739,"mmm yyyy")</x:f>
        <x:v>Aug 2026</x:v>
      </x:c>
    </x:row>
    <x:row r="4740" ht="21" customHeight="1">
      <x:c r="A4740" s="10" t="n">
        <x:v>46247</x:v>
      </x:c>
      <x:c r="B4740" s="1" t="n">
        <x:v>6</x:v>
      </x:c>
      <x:c r="C4740" s="1" t="n">
        <x:v>6</x:v>
      </x:c>
      <x:c r="D4740" s="12" t="n">
        <x:v>0</x:v>
      </x:c>
      <x:c r="E4740" s="12" t="n">
        <x:v>0.42691666666666667</x:v>
      </x:c>
      <x:c r="F4740" s="12" t="n">
        <x:v>0.4255</x:v>
      </x:c>
      <x:c r="G4740" s="12" t="n">
        <x:v>0</x:v>
      </x:c>
      <x:c r="H4740" s="1" t="n">
        <x:f>'Historical prices'!E4740</x:f>
        <x:v>1.05</x:v>
      </x:c>
      <x:c r="I4740" s="6" t="n">
        <x:f>'Historical prices'!D4740</x:f>
        <x:v>0.2698</x:v>
      </x:c>
      <x:c r="J4740" s="13" t="n">
        <x:f>D4740*I4740*H4740</x:f>
        <x:v>0</x:v>
      </x:c>
      <x:c r="K4740" s="13" t="n">
        <x:f>E4740*I4740*H4740</x:f>
        <x:v>0.12094122249999999</x:v>
      </x:c>
      <x:c r="L4740" s="1" t="str">
        <x:f>TEXT(A4740,"mmm yyyy")</x:f>
        <x:v>Aug 2026</x:v>
      </x:c>
    </x:row>
    <x:row r="4741" ht="21" customHeight="1">
      <x:c r="A4741" s="10" t="n">
        <x:v>46247</x:v>
      </x:c>
      <x:c r="B4741" s="1" t="n">
        <x:v>6.5</x:v>
      </x:c>
      <x:c r="C4741" s="1" t="n">
        <x:v>6</x:v>
      </x:c>
      <x:c r="D4741" s="12" t="n">
        <x:v>0</x:v>
      </x:c>
      <x:c r="E4741" s="12" t="n">
        <x:v>0.48075</x:v>
      </x:c>
      <x:c r="F4741" s="12" t="n">
        <x:v>0.48041666666666666</x:v>
      </x:c>
      <x:c r="G4741" s="12" t="n">
        <x:v>0</x:v>
      </x:c>
      <x:c r="H4741" s="1" t="n">
        <x:f>'Historical prices'!E4741</x:f>
        <x:v>1.05</x:v>
      </x:c>
      <x:c r="I4741" s="6" t="n">
        <x:f>'Historical prices'!D4741</x:f>
        <x:v>0.2777</x:v>
      </x:c>
      <x:c r="J4741" s="13" t="n">
        <x:f>D4741*I4741*H4741</x:f>
        <x:v>0</x:v>
      </x:c>
      <x:c r="K4741" s="13" t="n">
        <x:f>E4741*I4741*H4741</x:f>
        <x:v>0.14017948875000003</x:v>
      </x:c>
      <x:c r="L4741" s="1" t="str">
        <x:f>TEXT(A4741,"mmm yyyy")</x:f>
        <x:v>Aug 2026</x:v>
      </x:c>
    </x:row>
    <x:row r="4742" ht="21" customHeight="1">
      <x:c r="A4742" s="10" t="n">
        <x:v>46247</x:v>
      </x:c>
      <x:c r="B4742" s="1" t="n">
        <x:v>7</x:v>
      </x:c>
      <x:c r="C4742" s="1" t="n">
        <x:v>6</x:v>
      </x:c>
      <x:c r="D4742" s="12" t="n">
        <x:v>0.5245</x:v>
      </x:c>
      <x:c r="E4742" s="12" t="n">
        <x:v>0.6106666666666667</x:v>
      </x:c>
      <x:c r="F4742" s="12" t="n">
        <x:v>0.075</x:v>
      </x:c>
      <x:c r="G4742" s="12" t="n">
        <x:v>0</x:v>
      </x:c>
      <x:c r="H4742" s="1" t="n">
        <x:f>'Historical prices'!E4742</x:f>
        <x:v>1.05</x:v>
      </x:c>
      <x:c r="I4742" s="6" t="n">
        <x:f>'Historical prices'!D4742</x:f>
        <x:v>0.2386</x:v>
      </x:c>
      <x:c r="J4742" s="13" t="n">
        <x:f>D4742*I4742*H4742</x:f>
        <x:v>0.131402985</x:v>
      </x:c>
      <x:c r="K4742" s="13" t="n">
        <x:f>E4742*I4742*H4742</x:f>
        <x:v>0.15299032000000004</x:v>
      </x:c>
      <x:c r="L4742" s="1" t="str">
        <x:f>TEXT(A4742,"mmm yyyy")</x:f>
        <x:v>Aug 2026</x:v>
      </x:c>
    </x:row>
    <x:row r="4743" ht="21" customHeight="1">
      <x:c r="A4743" s="10" t="n">
        <x:v>46247</x:v>
      </x:c>
      <x:c r="B4743" s="1" t="n">
        <x:v>7.5</x:v>
      </x:c>
      <x:c r="C4743" s="1" t="n">
        <x:v>6</x:v>
      </x:c>
      <x:c r="D4743" s="12" t="n">
        <x:v>0.5609999999999999</x:v>
      </x:c>
      <x:c r="E4743" s="12" t="n">
        <x:v>0.571</x:v>
      </x:c>
      <x:c r="F4743" s="12" t="n">
        <x:v>0</x:v>
      </x:c>
      <x:c r="G4743" s="12" t="n">
        <x:v>0</x:v>
      </x:c>
      <x:c r="H4743" s="1" t="n">
        <x:f>'Historical prices'!E4743</x:f>
        <x:v>1.05</x:v>
      </x:c>
      <x:c r="I4743" s="6" t="n">
        <x:f>'Historical prices'!D4743</x:f>
        <x:v>0.2577</x:v>
      </x:c>
      <x:c r="J4743" s="13" t="n">
        <x:f>D4743*I4743*H4743</x:f>
        <x:v>0.15179818499999997</x:v>
      </x:c>
      <x:c r="K4743" s="13" t="n">
        <x:f>E4743*I4743*H4743</x:f>
        <x:v>0.15450403499999998</x:v>
      </x:c>
      <x:c r="L4743" s="1" t="str">
        <x:f>TEXT(A4743,"mmm yyyy")</x:f>
        <x:v>Aug 2026</x:v>
      </x:c>
    </x:row>
    <x:row r="4744" ht="21" customHeight="1">
      <x:c r="A4744" s="10" t="n">
        <x:v>46247</x:v>
      </x:c>
      <x:c r="B4744" s="1" t="n">
        <x:v>8</x:v>
      </x:c>
      <x:c r="C4744" s="1" t="n">
        <x:v>6</x:v>
      </x:c>
      <x:c r="D4744" s="12" t="n">
        <x:v>0.4255</x:v>
      </x:c>
      <x:c r="E4744" s="12" t="n">
        <x:v>0.4375</x:v>
      </x:c>
      <x:c r="F4744" s="12" t="n">
        <x:v>0</x:v>
      </x:c>
      <x:c r="G4744" s="12" t="n">
        <x:v>0</x:v>
      </x:c>
      <x:c r="H4744" s="1" t="n">
        <x:f>'Historical prices'!E4744</x:f>
        <x:v>1.05</x:v>
      </x:c>
      <x:c r="I4744" s="6" t="n">
        <x:f>'Historical prices'!D4744</x:f>
        <x:v>0.256</x:v>
      </x:c>
      <x:c r="J4744" s="13" t="n">
        <x:f>D4744*I4744*H4744</x:f>
        <x:v>0.1143744</x:v>
      </x:c>
      <x:c r="K4744" s="13" t="n">
        <x:f>E4744*I4744*H4744</x:f>
        <x:v>0.11760000000000001</x:v>
      </x:c>
      <x:c r="L4744" s="1" t="str">
        <x:f>TEXT(A4744,"mmm yyyy")</x:f>
        <x:v>Aug 2026</x:v>
      </x:c>
    </x:row>
    <x:row r="4745" ht="21" customHeight="1">
      <x:c r="A4745" s="10" t="n">
        <x:v>46247</x:v>
      </x:c>
      <x:c r="B4745" s="1" t="n">
        <x:v>8.5</x:v>
      </x:c>
      <x:c r="C4745" s="1" t="n">
        <x:v>6</x:v>
      </x:c>
      <x:c r="D4745" s="12" t="n">
        <x:v>0.45125</x:v>
      </x:c>
      <x:c r="E4745" s="12" t="n">
        <x:v>0.46125</x:v>
      </x:c>
      <x:c r="F4745" s="12" t="n">
        <x:v>0</x:v>
      </x:c>
      <x:c r="G4745" s="12" t="n">
        <x:v>0</x:v>
      </x:c>
      <x:c r="H4745" s="1" t="n">
        <x:f>'Historical prices'!E4745</x:f>
        <x:v>1.05</x:v>
      </x:c>
      <x:c r="I4745" s="6" t="n">
        <x:f>'Historical prices'!D4745</x:f>
        <x:v>0.244</x:v>
      </x:c>
      <x:c r="J4745" s="13" t="n">
        <x:f>D4745*I4745*H4745</x:f>
        <x:v>0.11561025</x:v>
      </x:c>
      <x:c r="K4745" s="13" t="n">
        <x:f>E4745*I4745*H4745</x:f>
        <x:v>0.11817224999999999</x:v>
      </x:c>
      <x:c r="L4745" s="1" t="str">
        <x:f>TEXT(A4745,"mmm yyyy")</x:f>
        <x:v>Aug 2026</x:v>
      </x:c>
    </x:row>
    <x:row r="4746" ht="21" customHeight="1">
      <x:c r="A4746" s="10" t="n">
        <x:v>46247</x:v>
      </x:c>
      <x:c r="B4746" s="1" t="n">
        <x:v>9</x:v>
      </x:c>
      <x:c r="C4746" s="1" t="n">
        <x:v>6</x:v>
      </x:c>
      <x:c r="D4746" s="12" t="n">
        <x:v>0.086</x:v>
      </x:c>
      <x:c r="E4746" s="12" t="n">
        <x:v>0.7491666666666666</x:v>
      </x:c>
      <x:c r="F4746" s="12" t="n">
        <x:v>0.6597500000000001</x:v>
      </x:c>
      <x:c r="G4746" s="12" t="n">
        <x:v>0</x:v>
      </x:c>
      <x:c r="H4746" s="1" t="n">
        <x:f>'Historical prices'!E4746</x:f>
        <x:v>1.05</x:v>
      </x:c>
      <x:c r="I4746" s="6" t="n">
        <x:f>'Historical prices'!D4746</x:f>
        <x:v>0.2631</x:v>
      </x:c>
      <x:c r="J4746" s="13" t="n">
        <x:f>D4746*I4746*H4746</x:f>
        <x:v>0.023757929999999997</x:v>
      </x:c>
      <x:c r="K4746" s="13" t="n">
        <x:f>E4746*I4746*H4746</x:f>
        <x:v>0.2069610375</x:v>
      </x:c>
      <x:c r="L4746" s="1" t="str">
        <x:f>TEXT(A4746,"mmm yyyy")</x:f>
        <x:v>Aug 2026</x:v>
      </x:c>
    </x:row>
    <x:row r="4747" ht="21" customHeight="1">
      <x:c r="A4747" s="10" t="n">
        <x:v>46247</x:v>
      </x:c>
      <x:c r="B4747" s="1" t="n">
        <x:v>9.5</x:v>
      </x:c>
      <x:c r="C4747" s="1" t="n">
        <x:v>6</x:v>
      </x:c>
      <x:c r="D4747" s="12" t="n">
        <x:v>0</x:v>
      </x:c>
      <x:c r="E4747" s="12" t="n">
        <x:v>0.7118333333333333</x:v>
      </x:c>
      <x:c r="F4747" s="12" t="n">
        <x:v>0.7113333333333333</x:v>
      </x:c>
      <x:c r="G4747" s="12" t="n">
        <x:v>0</x:v>
      </x:c>
      <x:c r="H4747" s="1" t="n">
        <x:f>'Historical prices'!E4747</x:f>
        <x:v>1.05</x:v>
      </x:c>
      <x:c r="I4747" s="6" t="n">
        <x:f>'Historical prices'!D4747</x:f>
        <x:v>0.266</x:v>
      </x:c>
      <x:c r="J4747" s="13" t="n">
        <x:f>D4747*I4747*H4747</x:f>
        <x:v>0</x:v>
      </x:c>
      <x:c r="K4747" s="13" t="n">
        <x:f>E4747*I4747*H4747</x:f>
        <x:v>0.19881505</x:v>
      </x:c>
      <x:c r="L4747" s="1" t="str">
        <x:f>TEXT(A4747,"mmm yyyy")</x:f>
        <x:v>Aug 2026</x:v>
      </x:c>
    </x:row>
    <x:row r="4748" ht="21" customHeight="1">
      <x:c r="A4748" s="10" t="n">
        <x:v>46247</x:v>
      </x:c>
      <x:c r="B4748" s="1" t="n">
        <x:v>10</x:v>
      </x:c>
      <x:c r="C4748" s="1" t="n">
        <x:v>6</x:v>
      </x:c>
      <x:c r="D4748" s="12" t="n">
        <x:v>0.49824999999999997</x:v>
      </x:c>
      <x:c r="E4748" s="12" t="n">
        <x:v>0.6170833333333333</x:v>
      </x:c>
      <x:c r="F4748" s="12" t="n">
        <x:v>0.10783333333333334</x:v>
      </x:c>
      <x:c r="G4748" s="12" t="n">
        <x:v>0</x:v>
      </x:c>
      <x:c r="H4748" s="1" t="n">
        <x:f>'Historical prices'!E4748</x:f>
        <x:v>1.05</x:v>
      </x:c>
      <x:c r="I4748" s="6" t="n">
        <x:f>'Historical prices'!D4748</x:f>
        <x:v>0.2438</x:v>
      </x:c>
      <x:c r="J4748" s="13" t="n">
        <x:f>D4748*I4748*H4748</x:f>
        <x:v>0.1275470175</x:v>
      </x:c>
      <x:c r="K4748" s="13" t="n">
        <x:f>E4748*I4748*H4748</x:f>
        <x:v>0.15796716249999998</x:v>
      </x:c>
      <x:c r="L4748" s="1" t="str">
        <x:f>TEXT(A4748,"mmm yyyy")</x:f>
        <x:v>Aug 2026</x:v>
      </x:c>
    </x:row>
    <x:row r="4749" ht="21" customHeight="1">
      <x:c r="A4749" s="10" t="n">
        <x:v>46247</x:v>
      </x:c>
      <x:c r="B4749" s="1" t="n">
        <x:v>10.5</x:v>
      </x:c>
      <x:c r="C4749" s="1" t="n">
        <x:v>6</x:v>
      </x:c>
      <x:c r="D4749" s="12" t="n">
        <x:v>0.76875</x:v>
      </x:c>
      <x:c r="E4749" s="12" t="n">
        <x:v>0.7797499999999999</x:v>
      </x:c>
      <x:c r="F4749" s="12" t="n">
        <x:v>0</x:v>
      </x:c>
      <x:c r="G4749" s="12" t="n">
        <x:v>0</x:v>
      </x:c>
      <x:c r="H4749" s="1" t="n">
        <x:f>'Historical prices'!E4749</x:f>
        <x:v>1.05</x:v>
      </x:c>
      <x:c r="I4749" s="6" t="n">
        <x:f>'Historical prices'!D4749</x:f>
        <x:v>0.2228</x:v>
      </x:c>
      <x:c r="J4749" s="13" t="n">
        <x:f>D4749*I4749*H4749</x:f>
        <x:v>0.179841375</x:v>
      </x:c>
      <x:c r="K4749" s="13" t="n">
        <x:f>E4749*I4749*H4749</x:f>
        <x:v>0.18241471499999998</x:v>
      </x:c>
      <x:c r="L4749" s="1" t="str">
        <x:f>TEXT(A4749,"mmm yyyy")</x:f>
        <x:v>Aug 2026</x:v>
      </x:c>
    </x:row>
    <x:row r="4750" ht="21" customHeight="1">
      <x:c r="A4750" s="10" t="n">
        <x:v>46247</x:v>
      </x:c>
      <x:c r="B4750" s="1" t="n">
        <x:v>11</x:v>
      </x:c>
      <x:c r="C4750" s="1" t="n">
        <x:v>6</x:v>
      </x:c>
      <x:c r="D4750" s="12" t="n">
        <x:v>0.5825</x:v>
      </x:c>
      <x:c r="E4750" s="12" t="n">
        <x:v>0.5935</x:v>
      </x:c>
      <x:c r="F4750" s="12" t="n">
        <x:v>0</x:v>
      </x:c>
      <x:c r="G4750" s="12" t="n">
        <x:v>0</x:v>
      </x:c>
      <x:c r="H4750" s="1" t="n">
        <x:f>'Historical prices'!E4750</x:f>
        <x:v>1.05</x:v>
      </x:c>
      <x:c r="I4750" s="6" t="n">
        <x:f>'Historical prices'!D4750</x:f>
        <x:v>0.2206</x:v>
      </x:c>
      <x:c r="J4750" s="13" t="n">
        <x:f>D4750*I4750*H4750</x:f>
        <x:v>0.134924475</x:v>
      </x:c>
      <x:c r="K4750" s="13" t="n">
        <x:f>E4750*I4750*H4750</x:f>
        <x:v>0.137472405</x:v>
      </x:c>
      <x:c r="L4750" s="1" t="str">
        <x:f>TEXT(A4750,"mmm yyyy")</x:f>
        <x:v>Aug 2026</x:v>
      </x:c>
    </x:row>
    <x:row r="4751" ht="21" customHeight="1">
      <x:c r="A4751" s="10" t="n">
        <x:v>46247</x:v>
      </x:c>
      <x:c r="B4751" s="1" t="n">
        <x:v>11.5</x:v>
      </x:c>
      <x:c r="C4751" s="1" t="n">
        <x:v>6</x:v>
      </x:c>
      <x:c r="D4751" s="12" t="n">
        <x:v>0.5235</x:v>
      </x:c>
      <x:c r="E4751" s="12" t="n">
        <x:v>0.5345</x:v>
      </x:c>
      <x:c r="F4751" s="12" t="n">
        <x:v>0</x:v>
      </x:c>
      <x:c r="G4751" s="12" t="n">
        <x:v>0</x:v>
      </x:c>
      <x:c r="H4751" s="1" t="n">
        <x:f>'Historical prices'!E4751</x:f>
        <x:v>1.05</x:v>
      </x:c>
      <x:c r="I4751" s="6" t="n">
        <x:f>'Historical prices'!D4751</x:f>
        <x:v>0.215</x:v>
      </x:c>
      <x:c r="J4751" s="13" t="n">
        <x:f>D4751*I4751*H4751</x:f>
        <x:v>0.118180125</x:v>
      </x:c>
      <x:c r="K4751" s="13" t="n">
        <x:f>E4751*I4751*H4751</x:f>
        <x:v>0.120663375</x:v>
      </x:c>
      <x:c r="L4751" s="1" t="str">
        <x:f>TEXT(A4751,"mmm yyyy")</x:f>
        <x:v>Aug 2026</x:v>
      </x:c>
    </x:row>
    <x:row r="4752" ht="21" customHeight="1">
      <x:c r="A4752" s="10" t="n">
        <x:v>46247</x:v>
      </x:c>
      <x:c r="B4752" s="1" t="n">
        <x:v>12</x:v>
      </x:c>
      <x:c r="C4752" s="1" t="n">
        <x:v>6</x:v>
      </x:c>
      <x:c r="D4752" s="12" t="n">
        <x:v>0.555</x:v>
      </x:c>
      <x:c r="E4752" s="12" t="n">
        <x:v>0.5660000000000001</x:v>
      </x:c>
      <x:c r="F4752" s="12" t="n">
        <x:v>0</x:v>
      </x:c>
      <x:c r="G4752" s="12" t="n">
        <x:v>0</x:v>
      </x:c>
      <x:c r="H4752" s="1" t="n">
        <x:f>'Historical prices'!E4752</x:f>
        <x:v>1.05</x:v>
      </x:c>
      <x:c r="I4752" s="6" t="n">
        <x:f>'Historical prices'!D4752</x:f>
        <x:v>0.2163</x:v>
      </x:c>
      <x:c r="J4752" s="13" t="n">
        <x:f>D4752*I4752*H4752</x:f>
        <x:v>0.126048825</x:v>
      </x:c>
      <x:c r="K4752" s="13" t="n">
        <x:f>E4752*I4752*H4752</x:f>
        <x:v>0.12854709000000003</x:v>
      </x:c>
      <x:c r="L4752" s="1" t="str">
        <x:f>TEXT(A4752,"mmm yyyy")</x:f>
        <x:v>Aug 2026</x:v>
      </x:c>
    </x:row>
    <x:row r="4753" ht="21" customHeight="1">
      <x:c r="A4753" s="10" t="n">
        <x:v>46247</x:v>
      </x:c>
      <x:c r="B4753" s="1" t="n">
        <x:v>12.5</x:v>
      </x:c>
      <x:c r="C4753" s="1" t="n">
        <x:v>6</x:v>
      </x:c>
      <x:c r="D4753" s="12" t="n">
        <x:v>0.5467500000000001</x:v>
      </x:c>
      <x:c r="E4753" s="12" t="n">
        <x:v>0.5577500000000001</x:v>
      </x:c>
      <x:c r="F4753" s="12" t="n">
        <x:v>0</x:v>
      </x:c>
      <x:c r="G4753" s="12" t="n">
        <x:v>0</x:v>
      </x:c>
      <x:c r="H4753" s="1" t="n">
        <x:f>'Historical prices'!E4753</x:f>
        <x:v>1.05</x:v>
      </x:c>
      <x:c r="I4753" s="6" t="n">
        <x:f>'Historical prices'!D4753</x:f>
        <x:v>0.21710000000000002</x:v>
      </x:c>
      <x:c r="J4753" s="13" t="n">
        <x:f>D4753*I4753*H4753</x:f>
        <x:v>0.12463439625000003</x:v>
      </x:c>
      <x:c r="K4753" s="13" t="n">
        <x:f>E4753*I4753*H4753</x:f>
        <x:v>0.12714190125000002</x:v>
      </x:c>
      <x:c r="L4753" s="1" t="str">
        <x:f>TEXT(A4753,"mmm yyyy")</x:f>
        <x:v>Aug 2026</x:v>
      </x:c>
    </x:row>
    <x:row r="4754" ht="21" customHeight="1">
      <x:c r="A4754" s="10" t="n">
        <x:v>46247</x:v>
      </x:c>
      <x:c r="B4754" s="1" t="n">
        <x:v>13</x:v>
      </x:c>
      <x:c r="C4754" s="1" t="n">
        <x:v>6</x:v>
      </x:c>
      <x:c r="D4754" s="12" t="n">
        <x:v>0.5577499999999999</x:v>
      </x:c>
      <x:c r="E4754" s="12" t="n">
        <x:v>0.5677499999999999</x:v>
      </x:c>
      <x:c r="F4754" s="12" t="n">
        <x:v>0</x:v>
      </x:c>
      <x:c r="G4754" s="12" t="n">
        <x:v>0</x:v>
      </x:c>
      <x:c r="H4754" s="1" t="n">
        <x:f>'Historical prices'!E4754</x:f>
        <x:v>1.05</x:v>
      </x:c>
      <x:c r="I4754" s="6" t="n">
        <x:f>'Historical prices'!D4754</x:f>
        <x:v>0.215</x:v>
      </x:c>
      <x:c r="J4754" s="13" t="n">
        <x:f>D4754*I4754*H4754</x:f>
        <x:v>0.12591206249999998</x:v>
      </x:c>
      <x:c r="K4754" s="13" t="n">
        <x:f>E4754*I4754*H4754</x:f>
        <x:v>0.12816956249999997</x:v>
      </x:c>
      <x:c r="L4754" s="1" t="str">
        <x:f>TEXT(A4754,"mmm yyyy")</x:f>
        <x:v>Aug 2026</x:v>
      </x:c>
    </x:row>
    <x:row r="4755" ht="21" customHeight="1">
      <x:c r="A4755" s="10" t="n">
        <x:v>46247</x:v>
      </x:c>
      <x:c r="B4755" s="1" t="n">
        <x:v>13.5</x:v>
      </x:c>
      <x:c r="C4755" s="1" t="n">
        <x:v>6</x:v>
      </x:c>
      <x:c r="D4755" s="12" t="n">
        <x:v>0.5314999999999999</x:v>
      </x:c>
      <x:c r="E4755" s="12" t="n">
        <x:v>0.5425</x:v>
      </x:c>
      <x:c r="F4755" s="12" t="n">
        <x:v>0</x:v>
      </x:c>
      <x:c r="G4755" s="12" t="n">
        <x:v>0</x:v>
      </x:c>
      <x:c r="H4755" s="1" t="n">
        <x:f>'Historical prices'!E4755</x:f>
        <x:v>1.05</x:v>
      </x:c>
      <x:c r="I4755" s="6" t="n">
        <x:f>'Historical prices'!D4755</x:f>
        <x:v>0.21350000000000002</x:v>
      </x:c>
      <x:c r="J4755" s="13" t="n">
        <x:f>D4755*I4755*H4755</x:f>
        <x:v>0.11914901249999998</x:v>
      </x:c>
      <x:c r="K4755" s="13" t="n">
        <x:f>E4755*I4755*H4755</x:f>
        <x:v>0.1216149375</x:v>
      </x:c>
      <x:c r="L4755" s="1" t="str">
        <x:f>TEXT(A4755,"mmm yyyy")</x:f>
        <x:v>Aug 2026</x:v>
      </x:c>
    </x:row>
    <x:row r="4756" ht="21" customHeight="1">
      <x:c r="A4756" s="10" t="n">
        <x:v>46247</x:v>
      </x:c>
      <x:c r="B4756" s="1" t="n">
        <x:v>14</x:v>
      </x:c>
      <x:c r="C4756" s="1" t="n">
        <x:v>6</x:v>
      </x:c>
      <x:c r="D4756" s="12" t="n">
        <x:v>0.9470000000000001</x:v>
      </x:c>
      <x:c r="E4756" s="12" t="n">
        <x:v>0.5239999999999999</x:v>
      </x:c>
      <x:c r="F4756" s="12" t="n">
        <x:v>0</x:v>
      </x:c>
      <x:c r="G4756" s="12" t="n">
        <x:v>0.431</x:v>
      </x:c>
      <x:c r="H4756" s="1" t="n">
        <x:f>'Historical prices'!E4756</x:f>
        <x:v>1.05</x:v>
      </x:c>
      <x:c r="I4756" s="6" t="n">
        <x:f>'Historical prices'!D4756</x:f>
        <x:v>0.2121</x:v>
      </x:c>
      <x:c r="J4756" s="13" t="n">
        <x:f>D4756*I4756*H4756</x:f>
        <x:v>0.21090163500000003</x:v>
      </x:c>
      <x:c r="K4756" s="13" t="n">
        <x:f>E4756*I4756*H4756</x:f>
        <x:v>0.11669742</x:v>
      </x:c>
      <x:c r="L4756" s="1" t="str">
        <x:f>TEXT(A4756,"mmm yyyy")</x:f>
        <x:v>Aug 2026</x:v>
      </x:c>
    </x:row>
    <x:row r="4757" ht="21" customHeight="1">
      <x:c r="A4757" s="10" t="n">
        <x:v>46247</x:v>
      </x:c>
      <x:c r="B4757" s="1" t="n">
        <x:v>14.5</x:v>
      </x:c>
      <x:c r="C4757" s="1" t="n">
        <x:v>6</x:v>
      </x:c>
      <x:c r="D4757" s="12" t="n">
        <x:v>0.68575</x:v>
      </x:c>
      <x:c r="E4757" s="12" t="n">
        <x:v>0.48274999999999996</x:v>
      </x:c>
      <x:c r="F4757" s="12" t="n">
        <x:v>0</x:v>
      </x:c>
      <x:c r="G4757" s="12" t="n">
        <x:v>0.218</x:v>
      </x:c>
      <x:c r="H4757" s="1" t="n">
        <x:f>'Historical prices'!E4757</x:f>
        <x:v>1.05</x:v>
      </x:c>
      <x:c r="I4757" s="6" t="n">
        <x:f>'Historical prices'!D4757</x:f>
        <x:v>0.21239999999999998</x:v>
      </x:c>
      <x:c r="J4757" s="13" t="n">
        <x:f>D4757*I4757*H4757</x:f>
        <x:v>0.15293596499999998</x:v>
      </x:c>
      <x:c r="K4757" s="13" t="n">
        <x:f>E4757*I4757*H4757</x:f>
        <x:v>0.10766290499999998</x:v>
      </x:c>
      <x:c r="L4757" s="1" t="str">
        <x:f>TEXT(A4757,"mmm yyyy")</x:f>
        <x:v>Aug 2026</x:v>
      </x:c>
    </x:row>
    <x:row r="4758" ht="21" customHeight="1">
      <x:c r="A4758" s="10" t="n">
        <x:v>46247</x:v>
      </x:c>
      <x:c r="B4758" s="1" t="n">
        <x:v>15</x:v>
      </x:c>
      <x:c r="C4758" s="1" t="n">
        <x:v>6</x:v>
      </x:c>
      <x:c r="D4758" s="12" t="n">
        <x:v>4.612500000000001</x:v>
      </x:c>
      <x:c r="E4758" s="12" t="n">
        <x:v>0.6875</x:v>
      </x:c>
      <x:c r="F4758" s="12" t="n">
        <x:v>0</x:v>
      </x:c>
      <x:c r="G4758" s="12" t="n">
        <x:v>3.931</x:v>
      </x:c>
      <x:c r="H4758" s="1" t="n">
        <x:f>'Historical prices'!E4758</x:f>
        <x:v>1.05</x:v>
      </x:c>
      <x:c r="I4758" s="6" t="n">
        <x:f>'Historical prices'!D4758</x:f>
        <x:v>0.2084</x:v>
      </x:c>
      <x:c r="J4758" s="13" t="n">
        <x:f>D4758*I4758*H4758</x:f>
        <x:v>1.0093072500000002</x:v>
      </x:c>
      <x:c r="K4758" s="13" t="n">
        <x:f>E4758*I4758*H4758</x:f>
        <x:v>0.15043875</x:v>
      </x:c>
      <x:c r="L4758" s="1" t="str">
        <x:f>TEXT(A4758,"mmm yyyy")</x:f>
        <x:v>Aug 2026</x:v>
      </x:c>
    </x:row>
    <x:row r="4759" ht="21" customHeight="1">
      <x:c r="A4759" s="10" t="n">
        <x:v>46247</x:v>
      </x:c>
      <x:c r="B4759" s="1" t="n">
        <x:v>15.5</x:v>
      </x:c>
      <x:c r="C4759" s="1" t="n">
        <x:v>6</x:v>
      </x:c>
      <x:c r="D4759" s="12" t="n">
        <x:v>1.3405</x:v>
      </x:c>
      <x:c r="E4759" s="12" t="n">
        <x:v>0.5745</x:v>
      </x:c>
      <x:c r="F4759" s="12" t="n">
        <x:v>0</x:v>
      </x:c>
      <x:c r="G4759" s="12" t="n">
        <x:v>0.769</x:v>
      </x:c>
      <x:c r="H4759" s="1" t="n">
        <x:f>'Historical prices'!E4759</x:f>
        <x:v>1.05</x:v>
      </x:c>
      <x:c r="I4759" s="6" t="n">
        <x:f>'Historical prices'!D4759</x:f>
        <x:v>0.2144</x:v>
      </x:c>
      <x:c r="J4759" s="13" t="n">
        <x:f>D4759*I4759*H4759</x:f>
        <x:v>0.30177336000000005</x:v>
      </x:c>
      <x:c r="K4759" s="13" t="n">
        <x:f>E4759*I4759*H4759</x:f>
        <x:v>0.12933144000000002</x:v>
      </x:c>
      <x:c r="L4759" s="1" t="str">
        <x:f>TEXT(A4759,"mmm yyyy")</x:f>
        <x:v>Aug 2026</x:v>
      </x:c>
    </x:row>
    <x:row r="4760" ht="21" customHeight="1">
      <x:c r="A4760" s="10" t="n">
        <x:v>46247</x:v>
      </x:c>
      <x:c r="B4760" s="1" t="n">
        <x:v>16</x:v>
      </x:c>
      <x:c r="C4760" s="1" t="n">
        <x:v>6</x:v>
      </x:c>
      <x:c r="D4760" s="12" t="n">
        <x:v>0.07125</x:v>
      </x:c>
      <x:c r="E4760" s="12" t="n">
        <x:v>0.49475</x:v>
      </x:c>
      <x:c r="F4760" s="12" t="n">
        <x:v>0.42200000000000004</x:v>
      </x:c>
      <x:c r="G4760" s="12" t="n">
        <x:v>0</x:v>
      </x:c>
      <x:c r="H4760" s="1" t="n">
        <x:f>'Historical prices'!E4760</x:f>
        <x:v>1.05</x:v>
      </x:c>
      <x:c r="I4760" s="6" t="n">
        <x:f>'Historical prices'!D4760</x:f>
        <x:v>0.3663</x:v>
      </x:c>
      <x:c r="J4760" s="13" t="n">
        <x:f>D4760*I4760*H4760</x:f>
        <x:v>0.02740381875</x:v>
      </x:c>
      <x:c r="K4760" s="13" t="n">
        <x:f>E4760*I4760*H4760</x:f>
        <x:v>0.19028827125000003</x:v>
      </x:c>
      <x:c r="L4760" s="1" t="str">
        <x:f>TEXT(A4760,"mmm yyyy")</x:f>
        <x:v>Aug 2026</x:v>
      </x:c>
    </x:row>
    <x:row r="4761" ht="21" customHeight="1">
      <x:c r="A4761" s="10" t="n">
        <x:v>46247</x:v>
      </x:c>
      <x:c r="B4761" s="1" t="n">
        <x:v>16.5</x:v>
      </x:c>
      <x:c r="C4761" s="1" t="n">
        <x:v>6</x:v>
      </x:c>
      <x:c r="D4761" s="12" t="n">
        <x:v>0</x:v>
      </x:c>
      <x:c r="E4761" s="12" t="n">
        <x:v>0.46775</x:v>
      </x:c>
      <x:c r="F4761" s="12" t="n">
        <x:v>0.4670833333333334</x:v>
      </x:c>
      <x:c r="G4761" s="12" t="n">
        <x:v>0</x:v>
      </x:c>
      <x:c r="H4761" s="1" t="n">
        <x:f>'Historical prices'!E4761</x:f>
        <x:v>1.05</x:v>
      </x:c>
      <x:c r="I4761" s="6" t="n">
        <x:f>'Historical prices'!D4761</x:f>
        <x:v>0.3667</x:v>
      </x:c>
      <x:c r="J4761" s="13" t="n">
        <x:f>D4761*I4761*H4761</x:f>
        <x:v>0</x:v>
      </x:c>
      <x:c r="K4761" s="13" t="n">
        <x:f>E4761*I4761*H4761</x:f>
        <x:v>0.18010012125000002</x:v>
      </x:c>
      <x:c r="L4761" s="1" t="str">
        <x:f>TEXT(A4761,"mmm yyyy")</x:f>
        <x:v>Aug 2026</x:v>
      </x:c>
    </x:row>
    <x:row r="4762" ht="21" customHeight="1">
      <x:c r="A4762" s="10" t="n">
        <x:v>46247</x:v>
      </x:c>
      <x:c r="B4762" s="1" t="n">
        <x:v>17</x:v>
      </x:c>
      <x:c r="C4762" s="1" t="n">
        <x:v>6</x:v>
      </x:c>
      <x:c r="D4762" s="12" t="n">
        <x:v>0</x:v>
      </x:c>
      <x:c r="E4762" s="12" t="n">
        <x:v>0.5029999999999999</x:v>
      </x:c>
      <x:c r="F4762" s="12" t="n">
        <x:v>0.5028333333333332</x:v>
      </x:c>
      <x:c r="G4762" s="12" t="n">
        <x:v>0</x:v>
      </x:c>
      <x:c r="H4762" s="1" t="n">
        <x:f>'Historical prices'!E4762</x:f>
        <x:v>1.05</x:v>
      </x:c>
      <x:c r="I4762" s="6" t="n">
        <x:f>'Historical prices'!D4762</x:f>
        <x:v>0.4389</x:v>
      </x:c>
      <x:c r="J4762" s="13" t="n">
        <x:f>D4762*I4762*H4762</x:f>
        <x:v>0</x:v>
      </x:c>
      <x:c r="K4762" s="13" t="n">
        <x:f>E4762*I4762*H4762</x:f>
        <x:v>0.23180503499999996</x:v>
      </x:c>
      <x:c r="L4762" s="1" t="str">
        <x:f>TEXT(A4762,"mmm yyyy")</x:f>
        <x:v>Aug 2026</x:v>
      </x:c>
    </x:row>
    <x:row r="4763" ht="21" customHeight="1">
      <x:c r="A4763" s="10" t="n">
        <x:v>46247</x:v>
      </x:c>
      <x:c r="B4763" s="1" t="n">
        <x:v>17.5</x:v>
      </x:c>
      <x:c r="C4763" s="1" t="n">
        <x:v>6</x:v>
      </x:c>
      <x:c r="D4763" s="12" t="n">
        <x:v>0</x:v>
      </x:c>
      <x:c r="E4763" s="12" t="n">
        <x:v>0.5805833333333333</x:v>
      </x:c>
      <x:c r="F4763" s="12" t="n">
        <x:v>0.5805</x:v>
      </x:c>
      <x:c r="G4763" s="12" t="n">
        <x:v>0</x:v>
      </x:c>
      <x:c r="H4763" s="1" t="n">
        <x:f>'Historical prices'!E4763</x:f>
        <x:v>1.05</x:v>
      </x:c>
      <x:c r="I4763" s="6" t="n">
        <x:f>'Historical prices'!D4763</x:f>
        <x:v>0.47759999999999997</x:v>
      </x:c>
      <x:c r="J4763" s="13" t="n">
        <x:f>D4763*I4763*H4763</x:f>
        <x:v>0</x:v>
      </x:c>
      <x:c r="K4763" s="13" t="n">
        <x:f>E4763*I4763*H4763</x:f>
        <x:v>0.29115093000000003</x:v>
      </x:c>
      <x:c r="L4763" s="1" t="str">
        <x:f>TEXT(A4763,"mmm yyyy")</x:f>
        <x:v>Aug 2026</x:v>
      </x:c>
    </x:row>
    <x:row r="4764" ht="21" customHeight="1">
      <x:c r="A4764" s="10" t="n">
        <x:v>46247</x:v>
      </x:c>
      <x:c r="B4764" s="1" t="n">
        <x:v>18</x:v>
      </x:c>
      <x:c r="C4764" s="1" t="n">
        <x:v>6</x:v>
      </x:c>
      <x:c r="D4764" s="12" t="n">
        <x:v>0</x:v>
      </x:c>
      <x:c r="E4764" s="12" t="n">
        <x:v>0.5480833333333334</x:v>
      </x:c>
      <x:c r="F4764" s="12" t="n">
        <x:v>0.5476666666666666</x:v>
      </x:c>
      <x:c r="G4764" s="12" t="n">
        <x:v>0</x:v>
      </x:c>
      <x:c r="H4764" s="1" t="n">
        <x:f>'Historical prices'!E4764</x:f>
        <x:v>1.05</x:v>
      </x:c>
      <x:c r="I4764" s="6" t="n">
        <x:f>'Historical prices'!D4764</x:f>
        <x:v>0.6725</x:v>
      </x:c>
      <x:c r="J4764" s="13" t="n">
        <x:f>D4764*I4764*H4764</x:f>
        <x:v>0</x:v>
      </x:c>
      <x:c r="K4764" s="13" t="n">
        <x:f>E4764*I4764*H4764</x:f>
        <x:v>0.3870153437500001</x:v>
      </x:c>
      <x:c r="L4764" s="1" t="str">
        <x:f>TEXT(A4764,"mmm yyyy")</x:f>
        <x:v>Aug 2026</x:v>
      </x:c>
    </x:row>
    <x:row r="4765" ht="21" customHeight="1">
      <x:c r="A4765" s="10" t="n">
        <x:v>46247</x:v>
      </x:c>
      <x:c r="B4765" s="1" t="n">
        <x:v>18.5</x:v>
      </x:c>
      <x:c r="C4765" s="1" t="n">
        <x:v>6</x:v>
      </x:c>
      <x:c r="D4765" s="12" t="n">
        <x:v>0</x:v>
      </x:c>
      <x:c r="E4765" s="12" t="n">
        <x:v>0.9130833333333335</x:v>
      </x:c>
      <x:c r="F4765" s="12" t="n">
        <x:v>0.9126666666666667</x:v>
      </x:c>
      <x:c r="G4765" s="12" t="n">
        <x:v>0</x:v>
      </x:c>
      <x:c r="H4765" s="1" t="n">
        <x:f>'Historical prices'!E4765</x:f>
        <x:v>1.05</x:v>
      </x:c>
      <x:c r="I4765" s="6" t="n">
        <x:f>'Historical prices'!D4765</x:f>
        <x:v>0.6822</x:v>
      </x:c>
      <x:c r="J4765" s="13" t="n">
        <x:f>D4765*I4765*H4765</x:f>
        <x:v>0</x:v>
      </x:c>
      <x:c r="K4765" s="13" t="n">
        <x:f>E4765*I4765*H4765</x:f>
        <x:v>0.6540507225000001</x:v>
      </x:c>
      <x:c r="L4765" s="1" t="str">
        <x:f>TEXT(A4765,"mmm yyyy")</x:f>
        <x:v>Aug 2026</x:v>
      </x:c>
    </x:row>
    <x:row r="4766" ht="21" customHeight="1">
      <x:c r="A4766" s="10" t="n">
        <x:v>46247</x:v>
      </x:c>
      <x:c r="B4766" s="1" t="n">
        <x:v>19</x:v>
      </x:c>
      <x:c r="C4766" s="1" t="n">
        <x:v>6</x:v>
      </x:c>
      <x:c r="D4766" s="12" t="n">
        <x:v>0</x:v>
      </x:c>
      <x:c r="E4766" s="12" t="n">
        <x:v>0.6369166666666666</x:v>
      </x:c>
      <x:c r="F4766" s="12" t="n">
        <x:v>0.6369166666666666</x:v>
      </x:c>
      <x:c r="G4766" s="12" t="n">
        <x:v>0</x:v>
      </x:c>
      <x:c r="H4766" s="1" t="n">
        <x:f>'Historical prices'!E4766</x:f>
        <x:v>1.05</x:v>
      </x:c>
      <x:c r="I4766" s="6" t="n">
        <x:f>'Historical prices'!D4766</x:f>
        <x:v>0.5659000000000001</x:v>
      </x:c>
      <x:c r="J4766" s="13" t="n">
        <x:f>D4766*I4766*H4766</x:f>
        <x:v>0</x:v>
      </x:c>
      <x:c r="K4766" s="13" t="n">
        <x:f>E4766*I4766*H4766</x:f>
        <x:v>0.37845269875000004</x:v>
      </x:c>
      <x:c r="L4766" s="1" t="str">
        <x:f>TEXT(A4766,"mmm yyyy")</x:f>
        <x:v>Aug 2026</x:v>
      </x:c>
    </x:row>
    <x:row r="4767" ht="21" customHeight="1">
      <x:c r="A4767" s="10" t="n">
        <x:v>46247</x:v>
      </x:c>
      <x:c r="B4767" s="1" t="n">
        <x:v>19.5</x:v>
      </x:c>
      <x:c r="C4767" s="1" t="n">
        <x:v>6</x:v>
      </x:c>
      <x:c r="D4767" s="12" t="n">
        <x:v>0</x:v>
      </x:c>
      <x:c r="E4767" s="12" t="n">
        <x:v>0.8530833333333333</x:v>
      </x:c>
      <x:c r="F4767" s="12" t="n">
        <x:v>0.8527499999999999</x:v>
      </x:c>
      <x:c r="G4767" s="12" t="n">
        <x:v>0</x:v>
      </x:c>
      <x:c r="H4767" s="1" t="n">
        <x:f>'Historical prices'!E4767</x:f>
        <x:v>1.05</x:v>
      </x:c>
      <x:c r="I4767" s="6" t="n">
        <x:f>'Historical prices'!D4767</x:f>
        <x:v>0.5756</x:v>
      </x:c>
      <x:c r="J4767" s="13" t="n">
        <x:f>D4767*I4767*H4767</x:f>
        <x:v>0</x:v>
      </x:c>
      <x:c r="K4767" s="13" t="n">
        <x:f>E4767*I4767*H4767</x:f>
        <x:v>0.515586505</x:v>
      </x:c>
      <x:c r="L4767" s="1" t="str">
        <x:f>TEXT(A4767,"mmm yyyy")</x:f>
        <x:v>Aug 2026</x:v>
      </x:c>
    </x:row>
    <x:row r="4768" ht="21" customHeight="1">
      <x:c r="A4768" s="10" t="n">
        <x:v>46247</x:v>
      </x:c>
      <x:c r="B4768" s="1" t="n">
        <x:v>20</x:v>
      </x:c>
      <x:c r="C4768" s="1" t="n">
        <x:v>6</x:v>
      </x:c>
      <x:c r="D4768" s="12" t="n">
        <x:v>0</x:v>
      </x:c>
      <x:c r="E4768" s="12" t="n">
        <x:v>0.5585833333333333</x:v>
      </x:c>
      <x:c r="F4768" s="12" t="n">
        <x:v>0.5584166666666666</x:v>
      </x:c>
      <x:c r="G4768" s="12" t="n">
        <x:v>0</x:v>
      </x:c>
      <x:c r="H4768" s="1" t="n">
        <x:f>'Historical prices'!E4768</x:f>
        <x:v>1.05</x:v>
      </x:c>
      <x:c r="I4768" s="6" t="n">
        <x:f>'Historical prices'!D4768</x:f>
        <x:v>0.4486</x:v>
      </x:c>
      <x:c r="J4768" s="13" t="n">
        <x:f>D4768*I4768*H4768</x:f>
        <x:v>0</x:v>
      </x:c>
      <x:c r="K4768" s="13" t="n">
        <x:f>E4768*I4768*H4768</x:f>
        <x:v>0.2631095075</x:v>
      </x:c>
      <x:c r="L4768" s="1" t="str">
        <x:f>TEXT(A4768,"mmm yyyy")</x:f>
        <x:v>Aug 2026</x:v>
      </x:c>
    </x:row>
    <x:row r="4769" ht="21" customHeight="1">
      <x:c r="A4769" s="10" t="n">
        <x:v>46247</x:v>
      </x:c>
      <x:c r="B4769" s="1" t="n">
        <x:v>20.5</x:v>
      </x:c>
      <x:c r="C4769" s="1" t="n">
        <x:v>6</x:v>
      </x:c>
      <x:c r="D4769" s="12" t="n">
        <x:v>0</x:v>
      </x:c>
      <x:c r="E4769" s="12" t="n">
        <x:v>0.6399166666666667</x:v>
      </x:c>
      <x:c r="F4769" s="12" t="n">
        <x:v>0.6396666666666666</x:v>
      </x:c>
      <x:c r="G4769" s="12" t="n">
        <x:v>0</x:v>
      </x:c>
      <x:c r="H4769" s="1" t="n">
        <x:f>'Historical prices'!E4769</x:f>
        <x:v>1.05</x:v>
      </x:c>
      <x:c r="I4769" s="6" t="n">
        <x:f>'Historical prices'!D4769</x:f>
        <x:v>0.4416</x:v>
      </x:c>
      <x:c r="J4769" s="13" t="n">
        <x:f>D4769*I4769*H4769</x:f>
        <x:v>0</x:v>
      </x:c>
      <x:c r="K4769" s="13" t="n">
        <x:f>E4769*I4769*H4769</x:f>
        <x:v>0.29671656</x:v>
      </x:c>
      <x:c r="L4769" s="1" t="str">
        <x:f>TEXT(A4769,"mmm yyyy")</x:f>
        <x:v>Aug 2026</x:v>
      </x:c>
    </x:row>
    <x:row r="4770" ht="21" customHeight="1">
      <x:c r="A4770" s="10" t="n">
        <x:v>46247</x:v>
      </x:c>
      <x:c r="B4770" s="1" t="n">
        <x:v>21</x:v>
      </x:c>
      <x:c r="C4770" s="1" t="n">
        <x:v>6</x:v>
      </x:c>
      <x:c r="D4770" s="12" t="n">
        <x:v>0</x:v>
      </x:c>
      <x:c r="E4770" s="12" t="n">
        <x:v>0.5709166666666666</x:v>
      </x:c>
      <x:c r="F4770" s="12" t="n">
        <x:v>0.5705833333333333</x:v>
      </x:c>
      <x:c r="G4770" s="12" t="n">
        <x:v>0</x:v>
      </x:c>
      <x:c r="H4770" s="1" t="n">
        <x:f>'Historical prices'!E4770</x:f>
        <x:v>1.05</x:v>
      </x:c>
      <x:c r="I4770" s="6" t="n">
        <x:f>'Historical prices'!D4770</x:f>
        <x:v>0.38659999999999994</x:v>
      </x:c>
      <x:c r="J4770" s="13" t="n">
        <x:f>D4770*I4770*H4770</x:f>
        <x:v>0</x:v>
      </x:c>
      <x:c r="K4770" s="13" t="n">
        <x:f>E4770*I4770*H4770</x:f>
        <x:v>0.23175220249999998</x:v>
      </x:c>
      <x:c r="L4770" s="1" t="str">
        <x:f>TEXT(A4770,"mmm yyyy")</x:f>
        <x:v>Aug 2026</x:v>
      </x:c>
    </x:row>
    <x:row r="4771" ht="21" customHeight="1">
      <x:c r="A4771" s="10" t="n">
        <x:v>46247</x:v>
      </x:c>
      <x:c r="B4771" s="1" t="n">
        <x:v>21.5</x:v>
      </x:c>
      <x:c r="C4771" s="1" t="n">
        <x:v>6</x:v>
      </x:c>
      <x:c r="D4771" s="12" t="n">
        <x:v>0</x:v>
      </x:c>
      <x:c r="E4771" s="12" t="n">
        <x:v>0.9326666666666666</x:v>
      </x:c>
      <x:c r="F4771" s="12" t="n">
        <x:v>0.9323333333333333</x:v>
      </x:c>
      <x:c r="G4771" s="12" t="n">
        <x:v>0</x:v>
      </x:c>
      <x:c r="H4771" s="1" t="n">
        <x:f>'Historical prices'!E4771</x:f>
        <x:v>1.05</x:v>
      </x:c>
      <x:c r="I4771" s="6" t="n">
        <x:f>'Historical prices'!D4771</x:f>
        <x:v>0.3386</x:v>
      </x:c>
      <x:c r="J4771" s="13" t="n">
        <x:f>D4771*I4771*H4771</x:f>
        <x:v>0</x:v>
      </x:c>
      <x:c r="K4771" s="13" t="n">
        <x:f>E4771*I4771*H4771</x:f>
        <x:v>0.33159098</x:v>
      </x:c>
      <x:c r="L4771" s="1" t="str">
        <x:f>TEXT(A4771,"mmm yyyy")</x:f>
        <x:v>Aug 2026</x:v>
      </x:c>
    </x:row>
    <x:row r="4772" ht="21" customHeight="1">
      <x:c r="A4772" s="10" t="n">
        <x:v>46247</x:v>
      </x:c>
      <x:c r="B4772" s="1" t="n">
        <x:v>22</x:v>
      </x:c>
      <x:c r="C4772" s="1" t="n">
        <x:v>6</x:v>
      </x:c>
      <x:c r="D4772" s="12" t="n">
        <x:v>0</x:v>
      </x:c>
      <x:c r="E4772" s="12" t="n">
        <x:v>0.3949166666666667</x:v>
      </x:c>
      <x:c r="F4772" s="12" t="n">
        <x:v>0.39475</x:v>
      </x:c>
      <x:c r="G4772" s="12" t="n">
        <x:v>0</x:v>
      </x:c>
      <x:c r="H4772" s="1" t="n">
        <x:f>'Historical prices'!E4772</x:f>
        <x:v>1.05</x:v>
      </x:c>
      <x:c r="I4772" s="6" t="n">
        <x:f>'Historical prices'!D4772</x:f>
        <x:v>0.32020000000000004</x:v>
      </x:c>
      <x:c r="J4772" s="13" t="n">
        <x:f>D4772*I4772*H4772</x:f>
        <x:v>0</x:v>
      </x:c>
      <x:c r="K4772" s="13" t="n">
        <x:f>E4772*I4772*H4772</x:f>
        <x:v>0.13277493250000005</x:v>
      </x:c>
      <x:c r="L4772" s="1" t="str">
        <x:f>TEXT(A4772,"mmm yyyy")</x:f>
        <x:v>Aug 2026</x:v>
      </x:c>
    </x:row>
    <x:row r="4773" ht="21" customHeight="1">
      <x:c r="A4773" s="10" t="n">
        <x:v>46247</x:v>
      </x:c>
      <x:c r="B4773" s="1" t="n">
        <x:v>22.5</x:v>
      </x:c>
      <x:c r="C4773" s="1" t="n">
        <x:v>6</x:v>
      </x:c>
      <x:c r="D4773" s="12" t="n">
        <x:v>0</x:v>
      </x:c>
      <x:c r="E4773" s="12" t="n">
        <x:v>0.28741666666666665</x:v>
      </x:c>
      <x:c r="F4773" s="12" t="n">
        <x:v>0.2866666666666667</x:v>
      </x:c>
      <x:c r="G4773" s="12" t="n">
        <x:v>0</x:v>
      </x:c>
      <x:c r="H4773" s="1" t="n">
        <x:f>'Historical prices'!E4773</x:f>
        <x:v>1.05</x:v>
      </x:c>
      <x:c r="I4773" s="6" t="n">
        <x:f>'Historical prices'!D4773</x:f>
        <x:v>0.3068</x:v>
      </x:c>
      <x:c r="J4773" s="13" t="n">
        <x:f>D4773*I4773*H4773</x:f>
        <x:v>0</x:v>
      </x:c>
      <x:c r="K4773" s="13" t="n">
        <x:f>E4773*I4773*H4773</x:f>
        <x:v>0.092588405</x:v>
      </x:c>
      <x:c r="L4773" s="1" t="str">
        <x:f>TEXT(A4773,"mmm yyyy")</x:f>
        <x:v>Aug 2026</x:v>
      </x:c>
    </x:row>
    <x:row r="4774" ht="21" customHeight="1">
      <x:c r="A4774" s="10" t="n">
        <x:v>46247</x:v>
      </x:c>
      <x:c r="B4774" s="1" t="n">
        <x:v>23</x:v>
      </x:c>
      <x:c r="C4774" s="1" t="n">
        <x:v>6</x:v>
      </x:c>
      <x:c r="D4774" s="12" t="n">
        <x:v>0</x:v>
      </x:c>
      <x:c r="E4774" s="12" t="n">
        <x:v>0.33775</x:v>
      </x:c>
      <x:c r="F4774" s="12" t="n">
        <x:v>0.33758333333333335</x:v>
      </x:c>
      <x:c r="G4774" s="12" t="n">
        <x:v>0</x:v>
      </x:c>
      <x:c r="H4774" s="1" t="n">
        <x:f>'Historical prices'!E4774</x:f>
        <x:v>1.05</x:v>
      </x:c>
      <x:c r="I4774" s="6" t="n">
        <x:f>'Historical prices'!D4774</x:f>
        <x:v>0.2801</x:v>
      </x:c>
      <x:c r="J4774" s="13" t="n">
        <x:f>D4774*I4774*H4774</x:f>
        <x:v>0</x:v>
      </x:c>
      <x:c r="K4774" s="13" t="n">
        <x:f>E4774*I4774*H4774</x:f>
        <x:v>0.09933396375</x:v>
      </x:c>
      <x:c r="L4774" s="1" t="str">
        <x:f>TEXT(A4774,"mmm yyyy")</x:f>
        <x:v>Aug 2026</x:v>
      </x:c>
    </x:row>
    <x:row r="4775" ht="21" customHeight="1">
      <x:c r="A4775" s="10" t="n">
        <x:v>46247</x:v>
      </x:c>
      <x:c r="B4775" s="1" t="n">
        <x:v>23.5</x:v>
      </x:c>
      <x:c r="C4775" s="1" t="n">
        <x:v>6</x:v>
      </x:c>
      <x:c r="D4775" s="12" t="n">
        <x:v>0</x:v>
      </x:c>
      <x:c r="E4775" s="12" t="n">
        <x:v>0.38066666666666665</x:v>
      </x:c>
      <x:c r="F4775" s="12" t="n">
        <x:v>0.3804166666666667</x:v>
      </x:c>
      <x:c r="G4775" s="12" t="n">
        <x:v>0</x:v>
      </x:c>
      <x:c r="H4775" s="1" t="n">
        <x:f>'Historical prices'!E4775</x:f>
        <x:v>1.05</x:v>
      </x:c>
      <x:c r="I4775" s="6" t="n">
        <x:f>'Historical prices'!D4775</x:f>
        <x:v>0.2766</x:v>
      </x:c>
      <x:c r="J4775" s="13" t="n">
        <x:f>D4775*I4775*H4775</x:f>
        <x:v>0</x:v>
      </x:c>
      <x:c r="K4775" s="13" t="n">
        <x:f>E4775*I4775*H4775</x:f>
        <x:v>0.11055701999999999</x:v>
      </x:c>
      <x:c r="L4775" s="1" t="str">
        <x:f>TEXT(A4775,"mmm yyyy")</x:f>
        <x:v>Aug 2026</x:v>
      </x:c>
    </x:row>
    <x:row r="4776" ht="21" customHeight="1">
      <x:c r="A4776" s="10" t="n">
        <x:v>46248</x:v>
      </x:c>
      <x:c r="B4776" s="1" t="n">
        <x:v>0</x:v>
      </x:c>
      <x:c r="C4776" s="1" t="n">
        <x:v>6</x:v>
      </x:c>
      <x:c r="D4776" s="12" t="n">
        <x:v>0.199</x:v>
      </x:c>
      <x:c r="E4776" s="12" t="n">
        <x:v>0.27608333333333335</x:v>
      </x:c>
      <x:c r="F4776" s="12" t="n">
        <x:v>0.067</x:v>
      </x:c>
      <x:c r="G4776" s="12" t="n">
        <x:v>0</x:v>
      </x:c>
      <x:c r="H4776" s="1" t="n">
        <x:f>'Historical prices'!E4776</x:f>
        <x:v>1.05</x:v>
      </x:c>
      <x:c r="I4776" s="6" t="n">
        <x:f>'Historical prices'!D4776</x:f>
        <x:v>0.2585</x:v>
      </x:c>
      <x:c r="J4776" s="13" t="n">
        <x:f>D4776*I4776*H4776</x:f>
        <x:v>0.054013575</x:v>
      </x:c>
      <x:c r="K4776" s="13" t="n">
        <x:f>E4776*I4776*H4776</x:f>
        <x:v>0.07493591875000001</x:v>
      </x:c>
      <x:c r="L4776" s="1" t="str">
        <x:f>TEXT(A4776,"mmm yyyy")</x:f>
        <x:v>Aug 2026</x:v>
      </x:c>
    </x:row>
    <x:row r="4777" ht="21" customHeight="1">
      <x:c r="A4777" s="10" t="n">
        <x:v>46248</x:v>
      </x:c>
      <x:c r="B4777" s="1" t="n">
        <x:v>0.5</x:v>
      </x:c>
      <x:c r="C4777" s="1" t="n">
        <x:v>6</x:v>
      </x:c>
      <x:c r="D4777" s="12" t="n">
        <x:v>0.23325</x:v>
      </x:c>
      <x:c r="E4777" s="12" t="n">
        <x:v>0.24425000000000002</x:v>
      </x:c>
      <x:c r="F4777" s="12" t="n">
        <x:v>0</x:v>
      </x:c>
      <x:c r="G4777" s="12" t="n">
        <x:v>0</x:v>
      </x:c>
      <x:c r="H4777" s="1" t="n">
        <x:f>'Historical prices'!E4777</x:f>
        <x:v>1.05</x:v>
      </x:c>
      <x:c r="I4777" s="6" t="n">
        <x:f>'Historical prices'!D4777</x:f>
        <x:v>0.2502</x:v>
      </x:c>
      <x:c r="J4777" s="13" t="n">
        <x:f>D4777*I4777*H4777</x:f>
        <x:v>0.061277107500000004</x:v>
      </x:c>
      <x:c r="K4777" s="13" t="n">
        <x:f>E4777*I4777*H4777</x:f>
        <x:v>0.0641669175</x:v>
      </x:c>
      <x:c r="L4777" s="1" t="str">
        <x:f>TEXT(A4777,"mmm yyyy")</x:f>
        <x:v>Aug 2026</x:v>
      </x:c>
    </x:row>
    <x:row r="4778" ht="21" customHeight="1">
      <x:c r="A4778" s="10" t="n">
        <x:v>46248</x:v>
      </x:c>
      <x:c r="B4778" s="1" t="n">
        <x:v>1</x:v>
      </x:c>
      <x:c r="C4778" s="1" t="n">
        <x:v>6</x:v>
      </x:c>
      <x:c r="D4778" s="12" t="n">
        <x:v>0.21600000000000003</x:v>
      </x:c>
      <x:c r="E4778" s="12" t="n">
        <x:v>0.226</x:v>
      </x:c>
      <x:c r="F4778" s="12" t="n">
        <x:v>0</x:v>
      </x:c>
      <x:c r="G4778" s="12" t="n">
        <x:v>0</x:v>
      </x:c>
      <x:c r="H4778" s="1" t="n">
        <x:f>'Historical prices'!E4778</x:f>
        <x:v>1.05</x:v>
      </x:c>
      <x:c r="I4778" s="6" t="n">
        <x:f>'Historical prices'!D4778</x:f>
        <x:v>0.24350000000000002</x:v>
      </x:c>
      <x:c r="J4778" s="13" t="n">
        <x:f>D4778*I4778*H4778</x:f>
        <x:v>0.05522580000000001</x:v>
      </x:c>
      <x:c r="K4778" s="13" t="n">
        <x:f>E4778*I4778*H4778</x:f>
        <x:v>0.05778255000000001</x:v>
      </x:c>
      <x:c r="L4778" s="1" t="str">
        <x:f>TEXT(A4778,"mmm yyyy")</x:f>
        <x:v>Aug 2026</x:v>
      </x:c>
    </x:row>
    <x:row r="4779" ht="21" customHeight="1">
      <x:c r="A4779" s="10" t="n">
        <x:v>46248</x:v>
      </x:c>
      <x:c r="B4779" s="1" t="n">
        <x:v>1.5</x:v>
      </x:c>
      <x:c r="C4779" s="1" t="n">
        <x:v>6</x:v>
      </x:c>
      <x:c r="D4779" s="12" t="n">
        <x:v>0.2885</x:v>
      </x:c>
      <x:c r="E4779" s="12" t="n">
        <x:v>0.2995</x:v>
      </x:c>
      <x:c r="F4779" s="12" t="n">
        <x:v>0</x:v>
      </x:c>
      <x:c r="G4779" s="12" t="n">
        <x:v>0</x:v>
      </x:c>
      <x:c r="H4779" s="1" t="n">
        <x:f>'Historical prices'!E4779</x:f>
        <x:v>1.05</x:v>
      </x:c>
      <x:c r="I4779" s="6" t="n">
        <x:f>'Historical prices'!D4779</x:f>
        <x:v>0.2375</x:v>
      </x:c>
      <x:c r="J4779" s="13" t="n">
        <x:f>D4779*I4779*H4779</x:f>
        <x:v>0.07194468749999999</x:v>
      </x:c>
      <x:c r="K4779" s="13" t="n">
        <x:f>E4779*I4779*H4779</x:f>
        <x:v>0.07468781249999999</x:v>
      </x:c>
      <x:c r="L4779" s="1" t="str">
        <x:f>TEXT(A4779,"mmm yyyy")</x:f>
        <x:v>Aug 2026</x:v>
      </x:c>
    </x:row>
    <x:row r="4780" ht="21" customHeight="1">
      <x:c r="A4780" s="10" t="n">
        <x:v>46248</x:v>
      </x:c>
      <x:c r="B4780" s="1" t="n">
        <x:v>2</x:v>
      </x:c>
      <x:c r="C4780" s="1" t="n">
        <x:v>6</x:v>
      </x:c>
      <x:c r="D4780" s="12" t="n">
        <x:v>0.19225</x:v>
      </x:c>
      <x:c r="E4780" s="12" t="n">
        <x:v>0.20325000000000001</x:v>
      </x:c>
      <x:c r="F4780" s="12" t="n">
        <x:v>0</x:v>
      </x:c>
      <x:c r="G4780" s="12" t="n">
        <x:v>0</x:v>
      </x:c>
      <x:c r="H4780" s="1" t="n">
        <x:f>'Historical prices'!E4780</x:f>
        <x:v>1.05</x:v>
      </x:c>
      <x:c r="I4780" s="6" t="n">
        <x:f>'Historical prices'!D4780</x:f>
        <x:v>0.23620000000000002</x:v>
      </x:c>
      <x:c r="J4780" s="13" t="n">
        <x:f>D4780*I4780*H4780</x:f>
        <x:v>0.047679922500000006</x:v>
      </x:c>
      <x:c r="K4780" s="13" t="n">
        <x:f>E4780*I4780*H4780</x:f>
        <x:v>0.050408032500000005</x:v>
      </x:c>
      <x:c r="L4780" s="1" t="str">
        <x:f>TEXT(A4780,"mmm yyyy")</x:f>
        <x:v>Aug 2026</x:v>
      </x:c>
    </x:row>
    <x:row r="4781" ht="21" customHeight="1">
      <x:c r="A4781" s="10" t="n">
        <x:v>46248</x:v>
      </x:c>
      <x:c r="B4781" s="1" t="n">
        <x:v>2.5</x:v>
      </x:c>
      <x:c r="C4781" s="1" t="n">
        <x:v>6</x:v>
      </x:c>
      <x:c r="D4781" s="12" t="n">
        <x:v>0.27199999999999996</x:v>
      </x:c>
      <x:c r="E4781" s="12" t="n">
        <x:v>0.282</x:v>
      </x:c>
      <x:c r="F4781" s="12" t="n">
        <x:v>0</x:v>
      </x:c>
      <x:c r="G4781" s="12" t="n">
        <x:v>0</x:v>
      </x:c>
      <x:c r="H4781" s="1" t="n">
        <x:f>'Historical prices'!E4781</x:f>
        <x:v>1.05</x:v>
      </x:c>
      <x:c r="I4781" s="6" t="n">
        <x:f>'Historical prices'!D4781</x:f>
        <x:v>0.2347</x:v>
      </x:c>
      <x:c r="J4781" s="13" t="n">
        <x:f>D4781*I4781*H4781</x:f>
        <x:v>0.06703031999999999</x:v>
      </x:c>
      <x:c r="K4781" s="13" t="n">
        <x:f>E4781*I4781*H4781</x:f>
        <x:v>0.06949467</x:v>
      </x:c>
      <x:c r="L4781" s="1" t="str">
        <x:f>TEXT(A4781,"mmm yyyy")</x:f>
        <x:v>Aug 2026</x:v>
      </x:c>
    </x:row>
    <x:row r="4782" ht="21" customHeight="1">
      <x:c r="A4782" s="10" t="n">
        <x:v>46248</x:v>
      </x:c>
      <x:c r="B4782" s="1" t="n">
        <x:v>3</x:v>
      </x:c>
      <x:c r="C4782" s="1" t="n">
        <x:v>6</x:v>
      </x:c>
      <x:c r="D4782" s="12" t="n">
        <x:v>0.26375</x:v>
      </x:c>
      <x:c r="E4782" s="12" t="n">
        <x:v>0.27374999999999994</x:v>
      </x:c>
      <x:c r="F4782" s="12" t="n">
        <x:v>0</x:v>
      </x:c>
      <x:c r="G4782" s="12" t="n">
        <x:v>0</x:v>
      </x:c>
      <x:c r="H4782" s="1" t="n">
        <x:f>'Historical prices'!E4782</x:f>
        <x:v>1.05</x:v>
      </x:c>
      <x:c r="I4782" s="6" t="n">
        <x:f>'Historical prices'!D4782</x:f>
        <x:v>0.23870000000000002</x:v>
      </x:c>
      <x:c r="J4782" s="13" t="n">
        <x:f>D4782*I4782*H4782</x:f>
        <x:v>0.06610498125</x:v>
      </x:c>
      <x:c r="K4782" s="13" t="n">
        <x:f>E4782*I4782*H4782</x:f>
        <x:v>0.06861133124999999</x:v>
      </x:c>
      <x:c r="L4782" s="1" t="str">
        <x:f>TEXT(A4782,"mmm yyyy")</x:f>
        <x:v>Aug 2026</x:v>
      </x:c>
    </x:row>
    <x:row r="4783" ht="21" customHeight="1">
      <x:c r="A4783" s="10" t="n">
        <x:v>46248</x:v>
      </x:c>
      <x:c r="B4783" s="1" t="n">
        <x:v>3.5</x:v>
      </x:c>
      <x:c r="C4783" s="1" t="n">
        <x:v>6</x:v>
      </x:c>
      <x:c r="D4783" s="12" t="n">
        <x:v>0.1905</x:v>
      </x:c>
      <x:c r="E4783" s="12" t="n">
        <x:v>0.2015</x:v>
      </x:c>
      <x:c r="F4783" s="12" t="n">
        <x:v>0</x:v>
      </x:c>
      <x:c r="G4783" s="12" t="n">
        <x:v>0</x:v>
      </x:c>
      <x:c r="H4783" s="1" t="n">
        <x:f>'Historical prices'!E4783</x:f>
        <x:v>1.05</x:v>
      </x:c>
      <x:c r="I4783" s="6" t="n">
        <x:f>'Historical prices'!D4783</x:f>
        <x:v>0.2351</x:v>
      </x:c>
      <x:c r="J4783" s="13" t="n">
        <x:f>D4783*I4783*H4783</x:f>
        <x:v>0.0470258775</x:v>
      </x:c>
      <x:c r="K4783" s="13" t="n">
        <x:f>E4783*I4783*H4783</x:f>
        <x:v>0.049741282500000004</x:v>
      </x:c>
      <x:c r="L4783" s="1" t="str">
        <x:f>TEXT(A4783,"mmm yyyy")</x:f>
        <x:v>Aug 2026</x:v>
      </x:c>
    </x:row>
    <x:row r="4784" ht="21" customHeight="1">
      <x:c r="A4784" s="10" t="n">
        <x:v>46248</x:v>
      </x:c>
      <x:c r="B4784" s="1" t="n">
        <x:v>4</x:v>
      </x:c>
      <x:c r="C4784" s="1" t="n">
        <x:v>6</x:v>
      </x:c>
      <x:c r="D4784" s="12" t="n">
        <x:v>0.20900000000000002</x:v>
      </x:c>
      <x:c r="E4784" s="12" t="n">
        <x:v>0.21900000000000003</x:v>
      </x:c>
      <x:c r="F4784" s="12" t="n">
        <x:v>0</x:v>
      </x:c>
      <x:c r="G4784" s="12" t="n">
        <x:v>0</x:v>
      </x:c>
      <x:c r="H4784" s="1" t="n">
        <x:f>'Historical prices'!E4784</x:f>
        <x:v>1.05</x:v>
      </x:c>
      <x:c r="I4784" s="6" t="n">
        <x:f>'Historical prices'!D4784</x:f>
        <x:v>0.2569</x:v>
      </x:c>
      <x:c r="J4784" s="13" t="n">
        <x:f>D4784*I4784*H4784</x:f>
        <x:v>0.056376705000000006</x:v>
      </x:c>
      <x:c r="K4784" s="13" t="n">
        <x:f>E4784*I4784*H4784</x:f>
        <x:v>0.05907415500000001</x:v>
      </x:c>
      <x:c r="L4784" s="1" t="str">
        <x:f>TEXT(A4784,"mmm yyyy")</x:f>
        <x:v>Aug 2026</x:v>
      </x:c>
    </x:row>
    <x:row r="4785" ht="21" customHeight="1">
      <x:c r="A4785" s="10" t="n">
        <x:v>46248</x:v>
      </x:c>
      <x:c r="B4785" s="1" t="n">
        <x:v>4.5</x:v>
      </x:c>
      <x:c r="C4785" s="1" t="n">
        <x:v>6</x:v>
      </x:c>
      <x:c r="D4785" s="12" t="n">
        <x:v>0.2155</x:v>
      </x:c>
      <x:c r="E4785" s="12" t="n">
        <x:v>0.2265</x:v>
      </x:c>
      <x:c r="F4785" s="12" t="n">
        <x:v>0</x:v>
      </x:c>
      <x:c r="G4785" s="12" t="n">
        <x:v>0</x:v>
      </x:c>
      <x:c r="H4785" s="1" t="n">
        <x:f>'Historical prices'!E4785</x:f>
        <x:v>1.05</x:v>
      </x:c>
      <x:c r="I4785" s="6" t="n">
        <x:f>'Historical prices'!D4785</x:f>
        <x:v>0.2593</x:v>
      </x:c>
      <x:c r="J4785" s="13" t="n">
        <x:f>D4785*I4785*H4785</x:f>
        <x:v>0.058673107499999995</x:v>
      </x:c>
      <x:c r="K4785" s="13" t="n">
        <x:f>E4785*I4785*H4785</x:f>
        <x:v>0.0616680225</x:v>
      </x:c>
      <x:c r="L4785" s="1" t="str">
        <x:f>TEXT(A4785,"mmm yyyy")</x:f>
        <x:v>Aug 2026</x:v>
      </x:c>
    </x:row>
    <x:row r="4786" ht="21" customHeight="1">
      <x:c r="A4786" s="10" t="n">
        <x:v>46248</x:v>
      </x:c>
      <x:c r="B4786" s="1" t="n">
        <x:v>5</x:v>
      </x:c>
      <x:c r="C4786" s="1" t="n">
        <x:v>6</x:v>
      </x:c>
      <x:c r="D4786" s="12" t="n">
        <x:v>0.037</x:v>
      </x:c>
      <x:c r="E4786" s="12" t="n">
        <x:v>0.3541666666666667</x:v>
      </x:c>
      <x:c r="F4786" s="12" t="n">
        <x:v>0.31566666666666665</x:v>
      </x:c>
      <x:c r="G4786" s="12" t="n">
        <x:v>0</x:v>
      </x:c>
      <x:c r="H4786" s="1" t="n">
        <x:f>'Historical prices'!E4786</x:f>
        <x:v>1.05</x:v>
      </x:c>
      <x:c r="I4786" s="6" t="n">
        <x:f>'Historical prices'!D4786</x:f>
        <x:v>0.2791</x:v>
      </x:c>
      <x:c r="J4786" s="13" t="n">
        <x:f>D4786*I4786*H4786</x:f>
        <x:v>0.010843034999999999</x:v>
      </x:c>
      <x:c r="K4786" s="13" t="n">
        <x:f>E4786*I4786*H4786</x:f>
        <x:v>0.10379031250000001</x:v>
      </x:c>
      <x:c r="L4786" s="1" t="str">
        <x:f>TEXT(A4786,"mmm yyyy")</x:f>
        <x:v>Aug 2026</x:v>
      </x:c>
    </x:row>
    <x:row r="4787" ht="21" customHeight="1">
      <x:c r="A4787" s="10" t="n">
        <x:v>46248</x:v>
      </x:c>
      <x:c r="B4787" s="1" t="n">
        <x:v>5.5</x:v>
      </x:c>
      <x:c r="C4787" s="1" t="n">
        <x:v>6</x:v>
      </x:c>
      <x:c r="D4787" s="12" t="n">
        <x:v>0</x:v>
      </x:c>
      <x:c r="E4787" s="12" t="n">
        <x:v>0.32025000000000003</x:v>
      </x:c>
      <x:c r="F4787" s="12" t="n">
        <x:v>0.31966666666666665</x:v>
      </x:c>
      <x:c r="G4787" s="12" t="n">
        <x:v>0</x:v>
      </x:c>
      <x:c r="H4787" s="1" t="n">
        <x:f>'Historical prices'!E4787</x:f>
        <x:v>1.05</x:v>
      </x:c>
      <x:c r="I4787" s="6" t="n">
        <x:f>'Historical prices'!D4787</x:f>
        <x:v>0.2858</x:v>
      </x:c>
      <x:c r="J4787" s="13" t="n">
        <x:f>D4787*I4787*H4787</x:f>
        <x:v>0</x:v>
      </x:c>
      <x:c r="K4787" s="13" t="n">
        <x:f>E4787*I4787*H4787</x:f>
        <x:v>0.09610382250000002</x:v>
      </x:c>
      <x:c r="L4787" s="1" t="str">
        <x:f>TEXT(A4787,"mmm yyyy")</x:f>
        <x:v>Aug 2026</x:v>
      </x:c>
    </x:row>
    <x:row r="4788" ht="21" customHeight="1">
      <x:c r="A4788" s="10" t="n">
        <x:v>46248</x:v>
      </x:c>
      <x:c r="B4788" s="1" t="n">
        <x:v>6</x:v>
      </x:c>
      <x:c r="C4788" s="1" t="n">
        <x:v>6</x:v>
      </x:c>
      <x:c r="D4788" s="12" t="n">
        <x:v>0</x:v>
      </x:c>
      <x:c r="E4788" s="12" t="n">
        <x:v>0.3075833333333334</x:v>
      </x:c>
      <x:c r="F4788" s="12" t="n">
        <x:v>0.30733333333333335</x:v>
      </x:c>
      <x:c r="G4788" s="12" t="n">
        <x:v>0</x:v>
      </x:c>
      <x:c r="H4788" s="1" t="n">
        <x:f>'Historical prices'!E4788</x:f>
        <x:v>1.05</x:v>
      </x:c>
      <x:c r="I4788" s="6" t="n">
        <x:f>'Historical prices'!D4788</x:f>
        <x:v>0.2814</x:v>
      </x:c>
      <x:c r="J4788" s="13" t="n">
        <x:f>D4788*I4788*H4788</x:f>
        <x:v>0</x:v>
      </x:c>
      <x:c r="K4788" s="13" t="n">
        <x:f>E4788*I4788*H4788</x:f>
        <x:v>0.09088164750000001</x:v>
      </x:c>
      <x:c r="L4788" s="1" t="str">
        <x:f>TEXT(A4788,"mmm yyyy")</x:f>
        <x:v>Aug 2026</x:v>
      </x:c>
    </x:row>
    <x:row r="4789" ht="21" customHeight="1">
      <x:c r="A4789" s="10" t="n">
        <x:v>46248</x:v>
      </x:c>
      <x:c r="B4789" s="1" t="n">
        <x:v>6.5</x:v>
      </x:c>
      <x:c r="C4789" s="1" t="n">
        <x:v>6</x:v>
      </x:c>
      <x:c r="D4789" s="12" t="n">
        <x:v>0</x:v>
      </x:c>
      <x:c r="E4789" s="12" t="n">
        <x:v>0.6426666666666667</x:v>
      </x:c>
      <x:c r="F4789" s="12" t="n">
        <x:v>0.6421666666666666</x:v>
      </x:c>
      <x:c r="G4789" s="12" t="n">
        <x:v>0</x:v>
      </x:c>
      <x:c r="H4789" s="1" t="n">
        <x:f>'Historical prices'!E4789</x:f>
        <x:v>1.05</x:v>
      </x:c>
      <x:c r="I4789" s="6" t="n">
        <x:f>'Historical prices'!D4789</x:f>
        <x:v>0.2903</x:v>
      </x:c>
      <x:c r="J4789" s="13" t="n">
        <x:f>D4789*I4789*H4789</x:f>
        <x:v>0</x:v>
      </x:c>
      <x:c r="K4789" s="13" t="n">
        <x:f>E4789*I4789*H4789</x:f>
        <x:v>0.19589444000000003</x:v>
      </x:c>
      <x:c r="L4789" s="1" t="str">
        <x:f>TEXT(A4789,"mmm yyyy")</x:f>
        <x:v>Aug 2026</x:v>
      </x:c>
    </x:row>
    <x:row r="4790" ht="21" customHeight="1">
      <x:c r="A4790" s="10" t="n">
        <x:v>46248</x:v>
      </x:c>
      <x:c r="B4790" s="1" t="n">
        <x:v>7</x:v>
      </x:c>
      <x:c r="C4790" s="1" t="n">
        <x:v>6</x:v>
      </x:c>
      <x:c r="D4790" s="12" t="n">
        <x:v>0.021333333333333333</x:v>
      </x:c>
      <x:c r="E4790" s="12" t="n">
        <x:v>0.591</x:v>
      </x:c>
      <x:c r="F4790" s="12" t="n">
        <x:v>0.5636666666666666</x:v>
      </x:c>
      <x:c r="G4790" s="12" t="n">
        <x:v>0</x:v>
      </x:c>
      <x:c r="H4790" s="1" t="n">
        <x:f>'Historical prices'!E4790</x:f>
        <x:v>1.05</x:v>
      </x:c>
      <x:c r="I4790" s="6" t="n">
        <x:f>'Historical prices'!D4790</x:f>
        <x:v>0.2669</x:v>
      </x:c>
      <x:c r="J4790" s="13" t="n">
        <x:f>D4790*I4790*H4790</x:f>
        <x:v>0.005978560000000001</x:v>
      </x:c>
      <x:c r="K4790" s="13" t="n">
        <x:f>E4790*I4790*H4790</x:f>
        <x:v>0.16562479500000002</x:v>
      </x:c>
      <x:c r="L4790" s="1" t="str">
        <x:f>TEXT(A4790,"mmm yyyy")</x:f>
        <x:v>Aug 2026</x:v>
      </x:c>
    </x:row>
    <x:row r="4791" ht="21" customHeight="1">
      <x:c r="A4791" s="10" t="n">
        <x:v>46248</x:v>
      </x:c>
      <x:c r="B4791" s="1" t="n">
        <x:v>7.5</x:v>
      </x:c>
      <x:c r="C4791" s="1" t="n">
        <x:v>6</x:v>
      </x:c>
      <x:c r="D4791" s="12" t="n">
        <x:v>0</x:v>
      </x:c>
      <x:c r="E4791" s="12" t="n">
        <x:v>0.6494166666666668</x:v>
      </x:c>
      <x:c r="F4791" s="12" t="n">
        <x:v>0.6490833333333333</x:v>
      </x:c>
      <x:c r="G4791" s="12" t="n">
        <x:v>0</x:v>
      </x:c>
      <x:c r="H4791" s="1" t="n">
        <x:f>'Historical prices'!E4791</x:f>
        <x:v>1.05</x:v>
      </x:c>
      <x:c r="I4791" s="6" t="n">
        <x:f>'Historical prices'!D4791</x:f>
        <x:v>0.2722</x:v>
      </x:c>
      <x:c r="J4791" s="13" t="n">
        <x:f>D4791*I4791*H4791</x:f>
        <x:v>0</x:v>
      </x:c>
      <x:c r="K4791" s="13" t="n">
        <x:f>E4791*I4791*H4791</x:f>
        <x:v>0.18560977750000002</x:v>
      </x:c>
      <x:c r="L4791" s="1" t="str">
        <x:f>TEXT(A4791,"mmm yyyy")</x:f>
        <x:v>Aug 2026</x:v>
      </x:c>
    </x:row>
    <x:row r="4792" ht="21" customHeight="1">
      <x:c r="A4792" s="10" t="n">
        <x:v>46248</x:v>
      </x:c>
      <x:c r="B4792" s="1" t="n">
        <x:v>8</x:v>
      </x:c>
      <x:c r="C4792" s="1" t="n">
        <x:v>6</x:v>
      </x:c>
      <x:c r="D4792" s="12" t="n">
        <x:v>1.1392499999999999</x:v>
      </x:c>
      <x:c r="E4792" s="12" t="n">
        <x:v>1.2581666666666667</x:v>
      </x:c>
      <x:c r="F4792" s="12" t="n">
        <x:v>0.10191666666666667</x:v>
      </x:c>
      <x:c r="G4792" s="12" t="n">
        <x:v>0</x:v>
      </x:c>
      <x:c r="H4792" s="1" t="n">
        <x:f>'Historical prices'!E4792</x:f>
        <x:v>1.05</x:v>
      </x:c>
      <x:c r="I4792" s="6" t="n">
        <x:f>'Historical prices'!D4792</x:f>
        <x:v>0.2366</x:v>
      </x:c>
      <x:c r="J4792" s="13" t="n">
        <x:f>D4792*I4792*H4792</x:f>
        <x:v>0.2830238775</x:v>
      </x:c>
      <x:c r="K4792" s="13" t="n">
        <x:f>E4792*I4792*H4792</x:f>
        <x:v>0.312566345</x:v>
      </x:c>
      <x:c r="L4792" s="1" t="str">
        <x:f>TEXT(A4792,"mmm yyyy")</x:f>
        <x:v>Aug 2026</x:v>
      </x:c>
    </x:row>
    <x:row r="4793" ht="21" customHeight="1">
      <x:c r="A4793" s="10" t="n">
        <x:v>46248</x:v>
      </x:c>
      <x:c r="B4793" s="1" t="n">
        <x:v>8.5</x:v>
      </x:c>
      <x:c r="C4793" s="1" t="n">
        <x:v>6</x:v>
      </x:c>
      <x:c r="D4793" s="12" t="n">
        <x:v>0.67075</x:v>
      </x:c>
      <x:c r="E4793" s="12" t="n">
        <x:v>0.68775</x:v>
      </x:c>
      <x:c r="F4793" s="12" t="n">
        <x:v>0</x:v>
      </x:c>
      <x:c r="G4793" s="12" t="n">
        <x:v>0</x:v>
      </x:c>
      <x:c r="H4793" s="1" t="n">
        <x:f>'Historical prices'!E4793</x:f>
        <x:v>1.05</x:v>
      </x:c>
      <x:c r="I4793" s="6" t="n">
        <x:f>'Historical prices'!D4793</x:f>
        <x:v>0.2339</x:v>
      </x:c>
      <x:c r="J4793" s="13" t="n">
        <x:f>D4793*I4793*H4793</x:f>
        <x:v>0.16473284625</x:v>
      </x:c>
      <x:c r="K4793" s="13" t="n">
        <x:f>E4793*I4793*H4793</x:f>
        <x:v>0.16890796125</x:v>
      </x:c>
      <x:c r="L4793" s="1" t="str">
        <x:f>TEXT(A4793,"mmm yyyy")</x:f>
        <x:v>Aug 2026</x:v>
      </x:c>
    </x:row>
    <x:row r="4794" ht="21" customHeight="1">
      <x:c r="A4794" s="10" t="n">
        <x:v>46248</x:v>
      </x:c>
      <x:c r="B4794" s="1" t="n">
        <x:v>9</x:v>
      </x:c>
      <x:c r="C4794" s="1" t="n">
        <x:v>6</x:v>
      </x:c>
      <x:c r="D4794" s="12" t="n">
        <x:v>1.3202500000000001</x:v>
      </x:c>
      <x:c r="E4794" s="12" t="n">
        <x:v>1.33625</x:v>
      </x:c>
      <x:c r="F4794" s="12" t="n">
        <x:v>0</x:v>
      </x:c>
      <x:c r="G4794" s="12" t="n">
        <x:v>0</x:v>
      </x:c>
      <x:c r="H4794" s="1" t="n">
        <x:f>'Historical prices'!E4794</x:f>
        <x:v>1.05</x:v>
      </x:c>
      <x:c r="I4794" s="6" t="n">
        <x:f>'Historical prices'!D4794</x:f>
        <x:v>0.2266</x:v>
      </x:c>
      <x:c r="J4794" s="13" t="n">
        <x:f>D4794*I4794*H4794</x:f>
        <x:v>0.31412708250000004</x:v>
      </x:c>
      <x:c r="K4794" s="13" t="n">
        <x:f>E4794*I4794*H4794</x:f>
        <x:v>0.3179339625</x:v>
      </x:c>
      <x:c r="L4794" s="1" t="str">
        <x:f>TEXT(A4794,"mmm yyyy")</x:f>
        <x:v>Aug 2026</x:v>
      </x:c>
    </x:row>
    <x:row r="4795" ht="21" customHeight="1">
      <x:c r="A4795" s="10" t="n">
        <x:v>46248</x:v>
      </x:c>
      <x:c r="B4795" s="1" t="n">
        <x:v>9.5</x:v>
      </x:c>
      <x:c r="C4795" s="1" t="n">
        <x:v>6</x:v>
      </x:c>
      <x:c r="D4795" s="12" t="n">
        <x:v>1.401</x:v>
      </x:c>
      <x:c r="E4795" s="12" t="n">
        <x:v>1.416</x:v>
      </x:c>
      <x:c r="F4795" s="12" t="n">
        <x:v>0</x:v>
      </x:c>
      <x:c r="G4795" s="12" t="n">
        <x:v>0</x:v>
      </x:c>
      <x:c r="H4795" s="1" t="n">
        <x:f>'Historical prices'!E4795</x:f>
        <x:v>1.05</x:v>
      </x:c>
      <x:c r="I4795" s="6" t="n">
        <x:f>'Historical prices'!D4795</x:f>
        <x:v>0.2354</x:v>
      </x:c>
      <x:c r="J4795" s="13" t="n">
        <x:f>D4795*I4795*H4795</x:f>
        <x:v>0.34628517000000003</x:v>
      </x:c>
      <x:c r="K4795" s="13" t="n">
        <x:f>E4795*I4795*H4795</x:f>
        <x:v>0.34999272</x:v>
      </x:c>
      <x:c r="L4795" s="1" t="str">
        <x:f>TEXT(A4795,"mmm yyyy")</x:f>
        <x:v>Aug 2026</x:v>
      </x:c>
    </x:row>
    <x:row r="4796" ht="21" customHeight="1">
      <x:c r="A4796" s="10" t="n">
        <x:v>46248</x:v>
      </x:c>
      <x:c r="B4796" s="1" t="n">
        <x:v>10</x:v>
      </x:c>
      <x:c r="C4796" s="1" t="n">
        <x:v>6</x:v>
      </x:c>
      <x:c r="D4796" s="12" t="n">
        <x:v>1.0015</x:v>
      </x:c>
      <x:c r="E4796" s="12" t="n">
        <x:v>1.0175</x:v>
      </x:c>
      <x:c r="F4796" s="12" t="n">
        <x:v>0</x:v>
      </x:c>
      <x:c r="G4796" s="12" t="n">
        <x:v>0</x:v>
      </x:c>
      <x:c r="H4796" s="1" t="n">
        <x:f>'Historical prices'!E4796</x:f>
        <x:v>1.05</x:v>
      </x:c>
      <x:c r="I4796" s="6" t="n">
        <x:f>'Historical prices'!D4796</x:f>
        <x:v>0.2302</x:v>
      </x:c>
      <x:c r="J4796" s="13" t="n">
        <x:f>D4796*I4796*H4796</x:f>
        <x:v>0.24207256500000002</x:v>
      </x:c>
      <x:c r="K4796" s="13" t="n">
        <x:f>E4796*I4796*H4796</x:f>
        <x:v>0.245939925</x:v>
      </x:c>
      <x:c r="L4796" s="1" t="str">
        <x:f>TEXT(A4796,"mmm yyyy")</x:f>
        <x:v>Aug 2026</x:v>
      </x:c>
    </x:row>
    <x:row r="4797" ht="21" customHeight="1">
      <x:c r="A4797" s="10" t="n">
        <x:v>46248</x:v>
      </x:c>
      <x:c r="B4797" s="1" t="n">
        <x:v>10.5</x:v>
      </x:c>
      <x:c r="C4797" s="1" t="n">
        <x:v>6</x:v>
      </x:c>
      <x:c r="D4797" s="12" t="n">
        <x:v>0.8564999999999999</x:v>
      </x:c>
      <x:c r="E4797" s="12" t="n">
        <x:v>0.8704999999999999</x:v>
      </x:c>
      <x:c r="F4797" s="12" t="n">
        <x:v>0</x:v>
      </x:c>
      <x:c r="G4797" s="12" t="n">
        <x:v>0</x:v>
      </x:c>
      <x:c r="H4797" s="1" t="n">
        <x:f>'Historical prices'!E4797</x:f>
        <x:v>1.05</x:v>
      </x:c>
      <x:c r="I4797" s="6" t="n">
        <x:f>'Historical prices'!D4797</x:f>
        <x:v>0.21600000000000003</x:v>
      </x:c>
      <x:c r="J4797" s="13" t="n">
        <x:f>D4797*I4797*H4797</x:f>
        <x:v>0.19425420000000002</x:v>
      </x:c>
      <x:c r="K4797" s="13" t="n">
        <x:f>E4797*I4797*H4797</x:f>
        <x:v>0.1974294</x:v>
      </x:c>
      <x:c r="L4797" s="1" t="str">
        <x:f>TEXT(A4797,"mmm yyyy")</x:f>
        <x:v>Aug 2026</x:v>
      </x:c>
    </x:row>
    <x:row r="4798" ht="21" customHeight="1">
      <x:c r="A4798" s="10" t="n">
        <x:v>46248</x:v>
      </x:c>
      <x:c r="B4798" s="1" t="n">
        <x:v>11</x:v>
      </x:c>
      <x:c r="C4798" s="1" t="n">
        <x:v>6</x:v>
      </x:c>
      <x:c r="D4798" s="12" t="n">
        <x:v>0.46849999999999997</x:v>
      </x:c>
      <x:c r="E4798" s="12" t="n">
        <x:v>0.4845</x:v>
      </x:c>
      <x:c r="F4798" s="12" t="n">
        <x:v>0</x:v>
      </x:c>
      <x:c r="G4798" s="12" t="n">
        <x:v>0</x:v>
      </x:c>
      <x:c r="H4798" s="1" t="n">
        <x:f>'Historical prices'!E4798</x:f>
        <x:v>1.05</x:v>
      </x:c>
      <x:c r="I4798" s="6" t="n">
        <x:f>'Historical prices'!D4798</x:f>
        <x:v>0.2148</x:v>
      </x:c>
      <x:c r="J4798" s="13" t="n">
        <x:f>D4798*I4798*H4798</x:f>
        <x:v>0.10566549</x:v>
      </x:c>
      <x:c r="K4798" s="13" t="n">
        <x:f>E4798*I4798*H4798</x:f>
        <x:v>0.10927413</x:v>
      </x:c>
      <x:c r="L4798" s="1" t="str">
        <x:f>TEXT(A4798,"mmm yyyy")</x:f>
        <x:v>Aug 2026</x:v>
      </x:c>
    </x:row>
    <x:row r="4799" ht="21" customHeight="1">
      <x:c r="A4799" s="10" t="n">
        <x:v>46248</x:v>
      </x:c>
      <x:c r="B4799" s="1" t="n">
        <x:v>11.5</x:v>
      </x:c>
      <x:c r="C4799" s="1" t="n">
        <x:v>6</x:v>
      </x:c>
      <x:c r="D4799" s="12" t="n">
        <x:v>0.455</x:v>
      </x:c>
      <x:c r="E4799" s="12" t="n">
        <x:v>0.47000000000000003</x:v>
      </x:c>
      <x:c r="F4799" s="12" t="n">
        <x:v>0</x:v>
      </x:c>
      <x:c r="G4799" s="12" t="n">
        <x:v>0</x:v>
      </x:c>
      <x:c r="H4799" s="1" t="n">
        <x:f>'Historical prices'!E4799</x:f>
        <x:v>1.05</x:v>
      </x:c>
      <x:c r="I4799" s="6" t="n">
        <x:f>'Historical prices'!D4799</x:f>
        <x:v>0.2113</x:v>
      </x:c>
      <x:c r="J4799" s="13" t="n">
        <x:f>D4799*I4799*H4799</x:f>
        <x:v>0.100948575</x:v>
      </x:c>
      <x:c r="K4799" s="13" t="n">
        <x:f>E4799*I4799*H4799</x:f>
        <x:v>0.10427655</x:v>
      </x:c>
      <x:c r="L4799" s="1" t="str">
        <x:f>TEXT(A4799,"mmm yyyy")</x:f>
        <x:v>Aug 2026</x:v>
      </x:c>
    </x:row>
    <x:row r="4800" ht="21" customHeight="1">
      <x:c r="A4800" s="10" t="n">
        <x:v>46248</x:v>
      </x:c>
      <x:c r="B4800" s="1" t="n">
        <x:v>12</x:v>
      </x:c>
      <x:c r="C4800" s="1" t="n">
        <x:v>6</x:v>
      </x:c>
      <x:c r="D4800" s="12" t="n">
        <x:v>0.4775</x:v>
      </x:c>
      <x:c r="E4800" s="12" t="n">
        <x:v>0.4935</x:v>
      </x:c>
      <x:c r="F4800" s="12" t="n">
        <x:v>0</x:v>
      </x:c>
      <x:c r="G4800" s="12" t="n">
        <x:v>0</x:v>
      </x:c>
      <x:c r="H4800" s="1" t="n">
        <x:f>'Historical prices'!E4800</x:f>
        <x:v>1.05</x:v>
      </x:c>
      <x:c r="I4800" s="6" t="n">
        <x:f>'Historical prices'!D4800</x:f>
        <x:v>0.2113</x:v>
      </x:c>
      <x:c r="J4800" s="13" t="n">
        <x:f>D4800*I4800*H4800</x:f>
        <x:v>0.1059405375</x:v>
      </x:c>
      <x:c r="K4800" s="13" t="n">
        <x:f>E4800*I4800*H4800</x:f>
        <x:v>0.1094903775</x:v>
      </x:c>
      <x:c r="L4800" s="1" t="str">
        <x:f>TEXT(A4800,"mmm yyyy")</x:f>
        <x:v>Aug 2026</x:v>
      </x:c>
    </x:row>
    <x:row r="4801" ht="21" customHeight="1">
      <x:c r="A4801" s="10" t="n">
        <x:v>46248</x:v>
      </x:c>
      <x:c r="B4801" s="1" t="n">
        <x:v>12.5</x:v>
      </x:c>
      <x:c r="C4801" s="1" t="n">
        <x:v>6</x:v>
      </x:c>
      <x:c r="D4801" s="12" t="n">
        <x:v>0.45525</x:v>
      </x:c>
      <x:c r="E4801" s="12" t="n">
        <x:v>0.46925</x:v>
      </x:c>
      <x:c r="F4801" s="12" t="n">
        <x:v>0</x:v>
      </x:c>
      <x:c r="G4801" s="12" t="n">
        <x:v>0</x:v>
      </x:c>
      <x:c r="H4801" s="1" t="n">
        <x:f>'Historical prices'!E4801</x:f>
        <x:v>1.05</x:v>
      </x:c>
      <x:c r="I4801" s="6" t="n">
        <x:f>'Historical prices'!D4801</x:f>
        <x:v>0.2113</x:v>
      </x:c>
      <x:c r="J4801" s="13" t="n">
        <x:f>D4801*I4801*H4801</x:f>
        <x:v>0.10100404125</x:v>
      </x:c>
      <x:c r="K4801" s="13" t="n">
        <x:f>E4801*I4801*H4801</x:f>
        <x:v>0.10411015124999999</x:v>
      </x:c>
      <x:c r="L4801" s="1" t="str">
        <x:f>TEXT(A4801,"mmm yyyy")</x:f>
        <x:v>Aug 2026</x:v>
      </x:c>
    </x:row>
    <x:row r="4802" ht="21" customHeight="1">
      <x:c r="A4802" s="10" t="n">
        <x:v>46248</x:v>
      </x:c>
      <x:c r="B4802" s="1" t="n">
        <x:v>13</x:v>
      </x:c>
      <x:c r="C4802" s="1" t="n">
        <x:v>6</x:v>
      </x:c>
      <x:c r="D4802" s="12" t="n">
        <x:v>4.7375</x:v>
      </x:c>
      <x:c r="E4802" s="12" t="n">
        <x:v>0.7615000000000001</x:v>
      </x:c>
      <x:c r="F4802" s="12" t="n">
        <x:v>0</x:v>
      </x:c>
      <x:c r="G4802" s="12" t="n">
        <x:v>3.9800000000000004</x:v>
      </x:c>
      <x:c r="H4802" s="1" t="n">
        <x:f>'Historical prices'!E4802</x:f>
        <x:v>1.05</x:v>
      </x:c>
      <x:c r="I4802" s="6" t="n">
        <x:f>'Historical prices'!D4802</x:f>
        <x:v>0.20809999999999998</x:v>
      </x:c>
      <x:c r="J4802" s="13" t="n">
        <x:f>D4802*I4802*H4802</x:f>
        <x:v>1.0351674375</x:v>
      </x:c>
      <x:c r="K4802" s="13" t="n">
        <x:f>E4802*I4802*H4802</x:f>
        <x:v>0.1663915575</x:v>
      </x:c>
      <x:c r="L4802" s="1" t="str">
        <x:f>TEXT(A4802,"mmm yyyy")</x:f>
        <x:v>Aug 2026</x:v>
      </x:c>
    </x:row>
    <x:row r="4803" ht="21" customHeight="1">
      <x:c r="A4803" s="10" t="n">
        <x:v>46248</x:v>
      </x:c>
      <x:c r="B4803" s="1" t="n">
        <x:v>13.5</x:v>
      </x:c>
      <x:c r="C4803" s="1" t="n">
        <x:v>6</x:v>
      </x:c>
      <x:c r="D4803" s="12" t="n">
        <x:v>5.392250000000001</x:v>
      </x:c>
      <x:c r="E4803" s="12" t="n">
        <x:v>0.73925</x:v>
      </x:c>
      <x:c r="F4803" s="12" t="n">
        <x:v>0</x:v>
      </x:c>
      <x:c r="G4803" s="12" t="n">
        <x:v>4.653</x:v>
      </x:c>
      <x:c r="H4803" s="1" t="n">
        <x:f>'Historical prices'!E4803</x:f>
        <x:v>1.05</x:v>
      </x:c>
      <x:c r="I4803" s="6" t="n">
        <x:f>'Historical prices'!D4803</x:f>
        <x:v>0.2073</x:v>
      </x:c>
      <x:c r="J4803" s="13" t="n">
        <x:f>D4803*I4803*H4803</x:f>
        <x:v>1.1737040962500003</x:v>
      </x:c>
      <x:c r="K4803" s="13" t="n">
        <x:f>E4803*I4803*H4803</x:f>
        <x:v>0.16090885125</x:v>
      </x:c>
      <x:c r="L4803" s="1" t="str">
        <x:f>TEXT(A4803,"mmm yyyy")</x:f>
        <x:v>Aug 2026</x:v>
      </x:c>
    </x:row>
    <x:row r="4804" ht="21" customHeight="1">
      <x:c r="A4804" s="10" t="n">
        <x:v>46248</x:v>
      </x:c>
      <x:c r="B4804" s="1" t="n">
        <x:v>14</x:v>
      </x:c>
      <x:c r="C4804" s="1" t="n">
        <x:v>6</x:v>
      </x:c>
      <x:c r="D4804" s="12" t="n">
        <x:v>5.357499999999999</x:v>
      </x:c>
      <x:c r="E4804" s="12" t="n">
        <x:v>0.7344999999999999</x:v>
      </x:c>
      <x:c r="F4804" s="12" t="n">
        <x:v>0</x:v>
      </x:c>
      <x:c r="G4804" s="12" t="n">
        <x:v>4.623</x:v>
      </x:c>
      <x:c r="H4804" s="1" t="n">
        <x:f>'Historical prices'!E4804</x:f>
        <x:v>1.05</x:v>
      </x:c>
      <x:c r="I4804" s="6" t="n">
        <x:f>'Historical prices'!D4804</x:f>
        <x:v>0.20670000000000002</x:v>
      </x:c>
      <x:c r="J4804" s="13" t="n">
        <x:f>D4804*I4804*H4804</x:f>
        <x:v>1.1627650125</x:v>
      </x:c>
      <x:c r="K4804" s="13" t="n">
        <x:f>E4804*I4804*H4804</x:f>
        <x:v>0.1594122075</x:v>
      </x:c>
      <x:c r="L4804" s="1" t="str">
        <x:f>TEXT(A4804,"mmm yyyy")</x:f>
        <x:v>Aug 2026</x:v>
      </x:c>
    </x:row>
    <x:row r="4805" ht="21" customHeight="1">
      <x:c r="A4805" s="10" t="n">
        <x:v>46248</x:v>
      </x:c>
      <x:c r="B4805" s="1" t="n">
        <x:v>14.5</x:v>
      </x:c>
      <x:c r="C4805" s="1" t="n">
        <x:v>6</x:v>
      </x:c>
      <x:c r="D4805" s="12" t="n">
        <x:v>5.495</x:v>
      </x:c>
      <x:c r="E4805" s="12" t="n">
        <x:v>0.741</x:v>
      </x:c>
      <x:c r="F4805" s="12" t="n">
        <x:v>0</x:v>
      </x:c>
      <x:c r="G4805" s="12" t="n">
        <x:v>4.7540000000000004</x:v>
      </x:c>
      <x:c r="H4805" s="1" t="n">
        <x:f>'Historical prices'!E4805</x:f>
        <x:v>1.05</x:v>
      </x:c>
      <x:c r="I4805" s="6" t="n">
        <x:f>'Historical prices'!D4805</x:f>
        <x:v>0.2096</x:v>
      </x:c>
      <x:c r="J4805" s="13" t="n">
        <x:f>D4805*I4805*H4805</x:f>
        <x:v>1.2093396</x:v>
      </x:c>
      <x:c r="K4805" s="13" t="n">
        <x:f>E4805*I4805*H4805</x:f>
        <x:v>0.16307928</x:v>
      </x:c>
      <x:c r="L4805" s="1" t="str">
        <x:f>TEXT(A4805,"mmm yyyy")</x:f>
        <x:v>Aug 2026</x:v>
      </x:c>
    </x:row>
    <x:row r="4806" ht="21" customHeight="1">
      <x:c r="A4806" s="10" t="n">
        <x:v>46248</x:v>
      </x:c>
      <x:c r="B4806" s="1" t="n">
        <x:v>15</x:v>
      </x:c>
      <x:c r="C4806" s="1" t="n">
        <x:v>6</x:v>
      </x:c>
      <x:c r="D4806" s="12" t="n">
        <x:v>1.3422500000000002</x:v>
      </x:c>
      <x:c r="E4806" s="12" t="n">
        <x:v>0.54425</x:v>
      </x:c>
      <x:c r="F4806" s="12" t="n">
        <x:v>0</x:v>
      </x:c>
      <x:c r="G4806" s="12" t="n">
        <x:v>0.8</x:v>
      </x:c>
      <x:c r="H4806" s="1" t="n">
        <x:f>'Historical prices'!E4806</x:f>
        <x:v>1.05</x:v>
      </x:c>
      <x:c r="I4806" s="6" t="n">
        <x:f>'Historical prices'!D4806</x:f>
        <x:v>0.2119</x:v>
      </x:c>
      <x:c r="J4806" s="13" t="n">
        <x:f>D4806*I4806*H4806</x:f>
        <x:v>0.29864391375000005</x:v>
      </x:c>
      <x:c r="K4806" s="13" t="n">
        <x:f>E4806*I4806*H4806</x:f>
        <x:v>0.12109290375000001</x:v>
      </x:c>
      <x:c r="L4806" s="1" t="str">
        <x:f>TEXT(A4806,"mmm yyyy")</x:f>
        <x:v>Aug 2026</x:v>
      </x:c>
    </x:row>
    <x:row r="4807" ht="21" customHeight="1">
      <x:c r="A4807" s="10" t="n">
        <x:v>46248</x:v>
      </x:c>
      <x:c r="B4807" s="1" t="n">
        <x:v>15.5</x:v>
      </x:c>
      <x:c r="C4807" s="1" t="n">
        <x:v>6</x:v>
      </x:c>
      <x:c r="D4807" s="12" t="n">
        <x:v>4.58225</x:v>
      </x:c>
      <x:c r="E4807" s="12" t="n">
        <x:v>0.7042500000000002</x:v>
      </x:c>
      <x:c r="F4807" s="12" t="n">
        <x:v>0</x:v>
      </x:c>
      <x:c r="G4807" s="12" t="n">
        <x:v>3.8790000000000004</x:v>
      </x:c>
      <x:c r="H4807" s="1" t="n">
        <x:f>'Historical prices'!E4807</x:f>
        <x:v>1.05</x:v>
      </x:c>
      <x:c r="I4807" s="6" t="n">
        <x:f>'Historical prices'!D4807</x:f>
        <x:v>0.2097</x:v>
      </x:c>
      <x:c r="J4807" s="13" t="n">
        <x:f>D4807*I4807*H4807</x:f>
        <x:v>1.00894271625</x:v>
      </x:c>
      <x:c r="K4807" s="13" t="n">
        <x:f>E4807*I4807*H4807</x:f>
        <x:v>0.15506528625000005</x:v>
      </x:c>
      <x:c r="L4807" s="1" t="str">
        <x:f>TEXT(A4807,"mmm yyyy")</x:f>
        <x:v>Aug 2026</x:v>
      </x:c>
    </x:row>
    <x:row r="4808" ht="21" customHeight="1">
      <x:c r="A4808" s="10" t="n">
        <x:v>46248</x:v>
      </x:c>
      <x:c r="B4808" s="1" t="n">
        <x:v>16</x:v>
      </x:c>
      <x:c r="C4808" s="1" t="n">
        <x:v>6</x:v>
      </x:c>
      <x:c r="D4808" s="12" t="n">
        <x:v>0.8785</x:v>
      </x:c>
      <x:c r="E4808" s="12" t="n">
        <x:v>0.54525</x:v>
      </x:c>
      <x:c r="F4808" s="12" t="n">
        <x:v>0.42200000000000004</x:v>
      </x:c>
      <x:c r="G4808" s="12" t="n">
        <x:v>0.757</x:v>
      </x:c>
      <x:c r="H4808" s="1" t="n">
        <x:f>'Historical prices'!E4808</x:f>
        <x:v>1.05</x:v>
      </x:c>
      <x:c r="I4808" s="6" t="n">
        <x:f>'Historical prices'!D4808</x:f>
        <x:v>0.353</x:v>
      </x:c>
      <x:c r="J4808" s="13" t="n">
        <x:f>D4808*I4808*H4808</x:f>
        <x:v>0.325616025</x:v>
      </x:c>
      <x:c r="K4808" s="13" t="n">
        <x:f>E4808*I4808*H4808</x:f>
        <x:v>0.2020969125</x:v>
      </x:c>
      <x:c r="L4808" s="1" t="str">
        <x:f>TEXT(A4808,"mmm yyyy")</x:f>
        <x:v>Aug 2026</x:v>
      </x:c>
    </x:row>
    <x:row r="4809" ht="21" customHeight="1">
      <x:c r="A4809" s="10" t="n">
        <x:v>46248</x:v>
      </x:c>
      <x:c r="B4809" s="1" t="n">
        <x:v>16.5</x:v>
      </x:c>
      <x:c r="C4809" s="1" t="n">
        <x:v>6</x:v>
      </x:c>
      <x:c r="D4809" s="12" t="n">
        <x:v>0</x:v>
      </x:c>
      <x:c r="E4809" s="12" t="n">
        <x:v>0.5236666666666666</x:v>
      </x:c>
      <x:c r="F4809" s="12" t="n">
        <x:v>0.5235833333333333</x:v>
      </x:c>
      <x:c r="G4809" s="12" t="n">
        <x:v>0</x:v>
      </x:c>
      <x:c r="H4809" s="1" t="n">
        <x:f>'Historical prices'!E4809</x:f>
        <x:v>1.05</x:v>
      </x:c>
      <x:c r="I4809" s="6" t="n">
        <x:f>'Historical prices'!D4809</x:f>
        <x:v>0.35119999999999996</x:v>
      </x:c>
      <x:c r="J4809" s="13" t="n">
        <x:f>D4809*I4809*H4809</x:f>
        <x:v>0</x:v>
      </x:c>
      <x:c r="K4809" s="13" t="n">
        <x:f>E4809*I4809*H4809</x:f>
        <x:v>0.19310731999999997</x:v>
      </x:c>
      <x:c r="L4809" s="1" t="str">
        <x:f>TEXT(A4809,"mmm yyyy")</x:f>
        <x:v>Aug 2026</x:v>
      </x:c>
    </x:row>
    <x:row r="4810" ht="21" customHeight="1">
      <x:c r="A4810" s="10" t="n">
        <x:v>46248</x:v>
      </x:c>
      <x:c r="B4810" s="1" t="n">
        <x:v>17</x:v>
      </x:c>
      <x:c r="C4810" s="1" t="n">
        <x:v>6</x:v>
      </x:c>
      <x:c r="D4810" s="12" t="n">
        <x:v>0</x:v>
      </x:c>
      <x:c r="E4810" s="12" t="n">
        <x:v>0.5599166666666666</x:v>
      </x:c>
      <x:c r="F4810" s="12" t="n">
        <x:v>0.5595833333333332</x:v>
      </x:c>
      <x:c r="G4810" s="12" t="n">
        <x:v>0</x:v>
      </x:c>
      <x:c r="H4810" s="1" t="n">
        <x:f>'Historical prices'!E4810</x:f>
        <x:v>1.05</x:v>
      </x:c>
      <x:c r="I4810" s="6" t="n">
        <x:f>'Historical prices'!D4810</x:f>
        <x:v>0.41850000000000004</x:v>
      </x:c>
      <x:c r="J4810" s="13" t="n">
        <x:f>D4810*I4810*H4810</x:f>
        <x:v>0</x:v>
      </x:c>
      <x:c r="K4810" s="13" t="n">
        <x:f>E4810*I4810*H4810</x:f>
        <x:v>0.24604138125</x:v>
      </x:c>
      <x:c r="L4810" s="1" t="str">
        <x:f>TEXT(A4810,"mmm yyyy")</x:f>
        <x:v>Aug 2026</x:v>
      </x:c>
    </x:row>
    <x:row r="4811" ht="21" customHeight="1">
      <x:c r="A4811" s="10" t="n">
        <x:v>46248</x:v>
      </x:c>
      <x:c r="B4811" s="1" t="n">
        <x:v>17.5</x:v>
      </x:c>
      <x:c r="C4811" s="1" t="n">
        <x:v>6</x:v>
      </x:c>
      <x:c r="D4811" s="12" t="n">
        <x:v>0</x:v>
      </x:c>
      <x:c r="E4811" s="12" t="n">
        <x:v>0.5535</x:v>
      </x:c>
      <x:c r="F4811" s="12" t="n">
        <x:v>0.5531666666666666</x:v>
      </x:c>
      <x:c r="G4811" s="12" t="n">
        <x:v>0</x:v>
      </x:c>
      <x:c r="H4811" s="1" t="n">
        <x:f>'Historical prices'!E4811</x:f>
        <x:v>1.05</x:v>
      </x:c>
      <x:c r="I4811" s="6" t="n">
        <x:f>'Historical prices'!D4811</x:f>
        <x:v>0.4351</x:v>
      </x:c>
      <x:c r="J4811" s="13" t="n">
        <x:f>D4811*I4811*H4811</x:f>
        <x:v>0</x:v>
      </x:c>
      <x:c r="K4811" s="13" t="n">
        <x:f>E4811*I4811*H4811</x:f>
        <x:v>0.2528692425</x:v>
      </x:c>
      <x:c r="L4811" s="1" t="str">
        <x:f>TEXT(A4811,"mmm yyyy")</x:f>
        <x:v>Aug 2026</x:v>
      </x:c>
    </x:row>
    <x:row r="4812" ht="21" customHeight="1">
      <x:c r="A4812" s="10" t="n">
        <x:v>46248</x:v>
      </x:c>
      <x:c r="B4812" s="1" t="n">
        <x:v>18</x:v>
      </x:c>
      <x:c r="C4812" s="1" t="n">
        <x:v>6</x:v>
      </x:c>
      <x:c r="D4812" s="12" t="n">
        <x:v>0</x:v>
      </x:c>
      <x:c r="E4812" s="12" t="n">
        <x:v>0.5438333333333333</x:v>
      </x:c>
      <x:c r="F4812" s="12" t="n">
        <x:v>0.5435833333333333</x:v>
      </x:c>
      <x:c r="G4812" s="12" t="n">
        <x:v>0</x:v>
      </x:c>
      <x:c r="H4812" s="1" t="n">
        <x:f>'Historical prices'!E4812</x:f>
        <x:v>1.05</x:v>
      </x:c>
      <x:c r="I4812" s="6" t="n">
        <x:f>'Historical prices'!D4812</x:f>
        <x:v>0.4851</x:v>
      </x:c>
      <x:c r="J4812" s="13" t="n">
        <x:f>D4812*I4812*H4812</x:f>
        <x:v>0</x:v>
      </x:c>
      <x:c r="K4812" s="13" t="n">
        <x:f>E4812*I4812*H4812</x:f>
        <x:v>0.2770042275</x:v>
      </x:c>
      <x:c r="L4812" s="1" t="str">
        <x:f>TEXT(A4812,"mmm yyyy")</x:f>
        <x:v>Aug 2026</x:v>
      </x:c>
    </x:row>
    <x:row r="4813" ht="21" customHeight="1">
      <x:c r="A4813" s="10" t="n">
        <x:v>46248</x:v>
      </x:c>
      <x:c r="B4813" s="1" t="n">
        <x:v>18.5</x:v>
      </x:c>
      <x:c r="C4813" s="1" t="n">
        <x:v>6</x:v>
      </x:c>
      <x:c r="D4813" s="12" t="n">
        <x:v>0.07350000000000001</x:v>
      </x:c>
      <x:c r="E4813" s="12" t="n">
        <x:v>1.0944166666666666</x:v>
      </x:c>
      <x:c r="F4813" s="12" t="n">
        <x:v>1.01275</x:v>
      </x:c>
      <x:c r="G4813" s="12" t="n">
        <x:v>0</x:v>
      </x:c>
      <x:c r="H4813" s="1" t="n">
        <x:f>'Historical prices'!E4813</x:f>
        <x:v>1.05</x:v>
      </x:c>
      <x:c r="I4813" s="6" t="n">
        <x:f>'Historical prices'!D4813</x:f>
        <x:v>0.5085000000000001</x:v>
      </x:c>
      <x:c r="J4813" s="13" t="n">
        <x:f>D4813*I4813*H4813</x:f>
        <x:v>0.039243487500000014</x:v>
      </x:c>
      <x:c r="K4813" s="13" t="n">
        <x:f>E4813*I4813*H4813</x:f>
        <x:v>0.5843364187500001</x:v>
      </x:c>
      <x:c r="L4813" s="1" t="str">
        <x:f>TEXT(A4813,"mmm yyyy")</x:f>
        <x:v>Aug 2026</x:v>
      </x:c>
    </x:row>
    <x:row r="4814" ht="21" customHeight="1">
      <x:c r="A4814" s="10" t="n">
        <x:v>46248</x:v>
      </x:c>
      <x:c r="B4814" s="1" t="n">
        <x:v>19</x:v>
      </x:c>
      <x:c r="C4814" s="1" t="n">
        <x:v>6</x:v>
      </x:c>
      <x:c r="D4814" s="12" t="n">
        <x:v>0.013833333333333333</x:v>
      </x:c>
      <x:c r="E4814" s="12" t="n">
        <x:v>0.7378333333333332</x:v>
      </x:c>
      <x:c r="F4814" s="12" t="n">
        <x:v>0.7237499999999999</x:v>
      </x:c>
      <x:c r="G4814" s="12" t="n">
        <x:v>0</x:v>
      </x:c>
      <x:c r="H4814" s="1" t="n">
        <x:f>'Historical prices'!E4814</x:f>
        <x:v>1.05</x:v>
      </x:c>
      <x:c r="I4814" s="6" t="n">
        <x:f>'Historical prices'!D4814</x:f>
        <x:v>0.38189999999999996</x:v>
      </x:c>
      <x:c r="J4814" s="13" t="n">
        <x:f>D4814*I4814*H4814</x:f>
        <x:v>0.005547097499999999</x:v>
      </x:c>
      <x:c r="K4814" s="13" t="n">
        <x:f>E4814*I4814*H4814</x:f>
        <x:v>0.2958674774999999</x:v>
      </x:c>
      <x:c r="L4814" s="1" t="str">
        <x:f>TEXT(A4814,"mmm yyyy")</x:f>
        <x:v>Aug 2026</x:v>
      </x:c>
    </x:row>
    <x:row r="4815" ht="21" customHeight="1">
      <x:c r="A4815" s="10" t="n">
        <x:v>46248</x:v>
      </x:c>
      <x:c r="B4815" s="1" t="n">
        <x:v>19.5</x:v>
      </x:c>
      <x:c r="C4815" s="1" t="n">
        <x:v>6</x:v>
      </x:c>
      <x:c r="D4815" s="12" t="n">
        <x:v>0</x:v>
      </x:c>
      <x:c r="E4815" s="12" t="n">
        <x:v>0.5569166666666666</x:v>
      </x:c>
      <x:c r="F4815" s="12" t="n">
        <x:v>0.5568333333333333</x:v>
      </x:c>
      <x:c r="G4815" s="12" t="n">
        <x:v>0</x:v>
      </x:c>
      <x:c r="H4815" s="1" t="n">
        <x:f>'Historical prices'!E4815</x:f>
        <x:v>1.05</x:v>
      </x:c>
      <x:c r="I4815" s="6" t="n">
        <x:f>'Historical prices'!D4815</x:f>
        <x:v>0.40299999999999997</x:v>
      </x:c>
      <x:c r="J4815" s="13" t="n">
        <x:f>D4815*I4815*H4815</x:f>
        <x:v>0</x:v>
      </x:c>
      <x:c r="K4815" s="13" t="n">
        <x:f>E4815*I4815*H4815</x:f>
        <x:v>0.23565928749999998</x:v>
      </x:c>
      <x:c r="L4815" s="1" t="str">
        <x:f>TEXT(A4815,"mmm yyyy")</x:f>
        <x:v>Aug 2026</x:v>
      </x:c>
    </x:row>
    <x:row r="4816" ht="21" customHeight="1">
      <x:c r="A4816" s="10" t="n">
        <x:v>46248</x:v>
      </x:c>
      <x:c r="B4816" s="1" t="n">
        <x:v>20</x:v>
      </x:c>
      <x:c r="C4816" s="1" t="n">
        <x:v>6</x:v>
      </x:c>
      <x:c r="D4816" s="12" t="n">
        <x:v>0</x:v>
      </x:c>
      <x:c r="E4816" s="12" t="n">
        <x:v>0.7287499999999999</x:v>
      </x:c>
      <x:c r="F4816" s="12" t="n">
        <x:v>0.7284166666666666</x:v>
      </x:c>
      <x:c r="G4816" s="12" t="n">
        <x:v>0</x:v>
      </x:c>
      <x:c r="H4816" s="1" t="n">
        <x:f>'Historical prices'!E4816</x:f>
        <x:v>1.05</x:v>
      </x:c>
      <x:c r="I4816" s="6" t="n">
        <x:f>'Historical prices'!D4816</x:f>
        <x:v>0.3786</x:v>
      </x:c>
      <x:c r="J4816" s="13" t="n">
        <x:f>D4816*I4816*H4816</x:f>
        <x:v>0</x:v>
      </x:c>
      <x:c r="K4816" s="13" t="n">
        <x:f>E4816*I4816*H4816</x:f>
        <x:v>0.2896999875</x:v>
      </x:c>
      <x:c r="L4816" s="1" t="str">
        <x:f>TEXT(A4816,"mmm yyyy")</x:f>
        <x:v>Aug 2026</x:v>
      </x:c>
    </x:row>
    <x:row r="4817" ht="21" customHeight="1">
      <x:c r="A4817" s="10" t="n">
        <x:v>46248</x:v>
      </x:c>
      <x:c r="B4817" s="1" t="n">
        <x:v>20.5</x:v>
      </x:c>
      <x:c r="C4817" s="1" t="n">
        <x:v>6</x:v>
      </x:c>
      <x:c r="D4817" s="12" t="n">
        <x:v>0</x:v>
      </x:c>
      <x:c r="E4817" s="12" t="n">
        <x:v>0.5458333333333334</x:v>
      </x:c>
      <x:c r="F4817" s="12" t="n">
        <x:v>0.5454999999999999</x:v>
      </x:c>
      <x:c r="G4817" s="12" t="n">
        <x:v>0</x:v>
      </x:c>
      <x:c r="H4817" s="1" t="n">
        <x:f>'Historical prices'!E4817</x:f>
        <x:v>1.05</x:v>
      </x:c>
      <x:c r="I4817" s="6" t="n">
        <x:f>'Historical prices'!D4817</x:f>
        <x:v>0.3846</x:v>
      </x:c>
      <x:c r="J4817" s="13" t="n">
        <x:f>D4817*I4817*H4817</x:f>
        <x:v>0</x:v>
      </x:c>
      <x:c r="K4817" s="13" t="n">
        <x:f>E4817*I4817*H4817</x:f>
        <x:v>0.22042387500000002</x:v>
      </x:c>
      <x:c r="L4817" s="1" t="str">
        <x:f>TEXT(A4817,"mmm yyyy")</x:f>
        <x:v>Aug 2026</x:v>
      </x:c>
    </x:row>
    <x:row r="4818" ht="21" customHeight="1">
      <x:c r="A4818" s="10" t="n">
        <x:v>46248</x:v>
      </x:c>
      <x:c r="B4818" s="1" t="n">
        <x:v>21</x:v>
      </x:c>
      <x:c r="C4818" s="1" t="n">
        <x:v>6</x:v>
      </x:c>
      <x:c r="D4818" s="12" t="n">
        <x:v>0</x:v>
      </x:c>
      <x:c r="E4818" s="12" t="n">
        <x:v>0.5507500000000001</x:v>
      </x:c>
      <x:c r="F4818" s="12" t="n">
        <x:v>0.5504166666666667</x:v>
      </x:c>
      <x:c r="G4818" s="12" t="n">
        <x:v>0</x:v>
      </x:c>
      <x:c r="H4818" s="1" t="n">
        <x:f>'Historical prices'!E4818</x:f>
        <x:v>1.05</x:v>
      </x:c>
      <x:c r="I4818" s="6" t="n">
        <x:f>'Historical prices'!D4818</x:f>
        <x:v>0.3343</x:v>
      </x:c>
      <x:c r="J4818" s="13" t="n">
        <x:f>D4818*I4818*H4818</x:f>
        <x:v>0</x:v>
      </x:c>
      <x:c r="K4818" s="13" t="n">
        <x:f>E4818*I4818*H4818</x:f>
        <x:v>0.19332151125000002</x:v>
      </x:c>
      <x:c r="L4818" s="1" t="str">
        <x:f>TEXT(A4818,"mmm yyyy")</x:f>
        <x:v>Aug 2026</x:v>
      </x:c>
    </x:row>
    <x:row r="4819" ht="21" customHeight="1">
      <x:c r="A4819" s="10" t="n">
        <x:v>46248</x:v>
      </x:c>
      <x:c r="B4819" s="1" t="n">
        <x:v>21.5</x:v>
      </x:c>
      <x:c r="C4819" s="1" t="n">
        <x:v>6</x:v>
      </x:c>
      <x:c r="D4819" s="12" t="n">
        <x:v>0</x:v>
      </x:c>
      <x:c r="E4819" s="12" t="n">
        <x:v>0.48975</x:v>
      </x:c>
      <x:c r="F4819" s="12" t="n">
        <x:v>0.48950000000000005</x:v>
      </x:c>
      <x:c r="G4819" s="12" t="n">
        <x:v>0</x:v>
      </x:c>
      <x:c r="H4819" s="1" t="n">
        <x:f>'Historical prices'!E4819</x:f>
        <x:v>1.05</x:v>
      </x:c>
      <x:c r="I4819" s="6" t="n">
        <x:f>'Historical prices'!D4819</x:f>
        <x:v>0.33030000000000004</x:v>
      </x:c>
      <x:c r="J4819" s="13" t="n">
        <x:f>D4819*I4819*H4819</x:f>
        <x:v>0</x:v>
      </x:c>
      <x:c r="K4819" s="13" t="n">
        <x:f>E4819*I4819*H4819</x:f>
        <x:v>0.16985264625000002</x:v>
      </x:c>
      <x:c r="L4819" s="1" t="str">
        <x:f>TEXT(A4819,"mmm yyyy")</x:f>
        <x:v>Aug 2026</x:v>
      </x:c>
    </x:row>
    <x:row r="4820" ht="21" customHeight="1">
      <x:c r="A4820" s="10" t="n">
        <x:v>46248</x:v>
      </x:c>
      <x:c r="B4820" s="1" t="n">
        <x:v>22</x:v>
      </x:c>
      <x:c r="C4820" s="1" t="n">
        <x:v>6</x:v>
      </x:c>
      <x:c r="D4820" s="12" t="n">
        <x:v>0</x:v>
      </x:c>
      <x:c r="E4820" s="12" t="n">
        <x:v>0.7735833333333332</x:v>
      </x:c>
      <x:c r="F4820" s="12" t="n">
        <x:v>0.7733333333333332</x:v>
      </x:c>
      <x:c r="G4820" s="12" t="n">
        <x:v>0</x:v>
      </x:c>
      <x:c r="H4820" s="1" t="n">
        <x:f>'Historical prices'!E4820</x:f>
        <x:v>1.05</x:v>
      </x:c>
      <x:c r="I4820" s="6" t="n">
        <x:f>'Historical prices'!D4820</x:f>
        <x:v>0.30469999999999997</x:v>
      </x:c>
      <x:c r="J4820" s="13" t="n">
        <x:f>D4820*I4820*H4820</x:f>
        <x:v>0</x:v>
      </x:c>
      <x:c r="K4820" s="13" t="n">
        <x:f>E4820*I4820*H4820</x:f>
        <x:v>0.24749638374999994</x:v>
      </x:c>
      <x:c r="L4820" s="1" t="str">
        <x:f>TEXT(A4820,"mmm yyyy")</x:f>
        <x:v>Aug 2026</x:v>
      </x:c>
    </x:row>
    <x:row r="4821" ht="21" customHeight="1">
      <x:c r="A4821" s="10" t="n">
        <x:v>46248</x:v>
      </x:c>
      <x:c r="B4821" s="1" t="n">
        <x:v>22.5</x:v>
      </x:c>
      <x:c r="C4821" s="1" t="n">
        <x:v>6</x:v>
      </x:c>
      <x:c r="D4821" s="12" t="n">
        <x:v>0</x:v>
      </x:c>
      <x:c r="E4821" s="12" t="n">
        <x:v>0.3520833333333333</x:v>
      </x:c>
      <x:c r="F4821" s="12" t="n">
        <x:v>0.35175</x:v>
      </x:c>
      <x:c r="G4821" s="12" t="n">
        <x:v>0</x:v>
      </x:c>
      <x:c r="H4821" s="1" t="n">
        <x:f>'Historical prices'!E4821</x:f>
        <x:v>1.05</x:v>
      </x:c>
      <x:c r="I4821" s="6" t="n">
        <x:f>'Historical prices'!D4821</x:f>
        <x:v>0.2934</x:v>
      </x:c>
      <x:c r="J4821" s="13" t="n">
        <x:f>D4821*I4821*H4821</x:f>
        <x:v>0</x:v>
      </x:c>
      <x:c r="K4821" s="13" t="n">
        <x:f>E4821*I4821*H4821</x:f>
        <x:v>0.10846631249999998</x:v>
      </x:c>
      <x:c r="L4821" s="1" t="str">
        <x:f>TEXT(A4821,"mmm yyyy")</x:f>
        <x:v>Aug 2026</x:v>
      </x:c>
    </x:row>
    <x:row r="4822" ht="21" customHeight="1">
      <x:c r="A4822" s="10" t="n">
        <x:v>46248</x:v>
      </x:c>
      <x:c r="B4822" s="1" t="n">
        <x:v>23</x:v>
      </x:c>
      <x:c r="C4822" s="1" t="n">
        <x:v>6</x:v>
      </x:c>
      <x:c r="D4822" s="12" t="n">
        <x:v>0</x:v>
      </x:c>
      <x:c r="E4822" s="12" t="n">
        <x:v>0.3208333333333333</x:v>
      </x:c>
      <x:c r="F4822" s="12" t="n">
        <x:v>0.3205</x:v>
      </x:c>
      <x:c r="G4822" s="12" t="n">
        <x:v>0</x:v>
      </x:c>
      <x:c r="H4822" s="1" t="n">
        <x:f>'Historical prices'!E4822</x:f>
        <x:v>1.05</x:v>
      </x:c>
      <x:c r="I4822" s="6" t="n">
        <x:f>'Historical prices'!D4822</x:f>
        <x:v>0.2648</x:v>
      </x:c>
      <x:c r="J4822" s="13" t="n">
        <x:f>D4822*I4822*H4822</x:f>
        <x:v>0</x:v>
      </x:c>
      <x:c r="K4822" s="13" t="n">
        <x:f>E4822*I4822*H4822</x:f>
        <x:v>0.08920449999999999</x:v>
      </x:c>
      <x:c r="L4822" s="1" t="str">
        <x:f>TEXT(A4822,"mmm yyyy")</x:f>
        <x:v>Aug 2026</x:v>
      </x:c>
    </x:row>
    <x:row r="4823" ht="21" customHeight="1">
      <x:c r="A4823" s="10" t="n">
        <x:v>46248</x:v>
      </x:c>
      <x:c r="B4823" s="1" t="n">
        <x:v>23.5</x:v>
      </x:c>
      <x:c r="C4823" s="1" t="n">
        <x:v>6</x:v>
      </x:c>
      <x:c r="D4823" s="12" t="n">
        <x:v>0</x:v>
      </x:c>
      <x:c r="E4823" s="12" t="n">
        <x:v>0.3484166666666667</x:v>
      </x:c>
      <x:c r="F4823" s="12" t="n">
        <x:v>0.3484166666666667</x:v>
      </x:c>
      <x:c r="G4823" s="12" t="n">
        <x:v>0</x:v>
      </x:c>
      <x:c r="H4823" s="1" t="n">
        <x:f>'Historical prices'!E4823</x:f>
        <x:v>1.05</x:v>
      </x:c>
      <x:c r="I4823" s="6" t="n">
        <x:f>'Historical prices'!D4823</x:f>
        <x:v>0.27699999999999997</x:v>
      </x:c>
      <x:c r="J4823" s="13" t="n">
        <x:f>D4823*I4823*H4823</x:f>
        <x:v>0</x:v>
      </x:c>
      <x:c r="K4823" s="13" t="n">
        <x:f>E4823*I4823*H4823</x:f>
        <x:v>0.1013369875</x:v>
      </x:c>
      <x:c r="L4823" s="1" t="str">
        <x:f>TEXT(A4823,"mmm yyyy")</x:f>
        <x:v>Aug 2026</x:v>
      </x:c>
    </x:row>
    <x:row r="4824" ht="21" customHeight="1">
      <x:c r="A4824" s="10" t="n">
        <x:v>46249</x:v>
      </x:c>
      <x:c r="B4824" s="1" t="n">
        <x:v>0</x:v>
      </x:c>
      <x:c r="C4824" s="1" t="n">
        <x:v>6</x:v>
      </x:c>
      <x:c r="D4824" s="12" t="n">
        <x:v>0</x:v>
      </x:c>
      <x:c r="E4824" s="12" t="n">
        <x:v>0.3838333333333333</x:v>
      </x:c>
      <x:c r="F4824" s="12" t="n">
        <x:v>0.376</x:v>
      </x:c>
      <x:c r="G4824" s="12" t="n">
        <x:v>0</x:v>
      </x:c>
      <x:c r="H4824" s="1" t="n">
        <x:f>'Historical prices'!E4824</x:f>
        <x:v>1.05</x:v>
      </x:c>
      <x:c r="I4824" s="6" t="n">
        <x:f>'Historical prices'!D4824</x:f>
        <x:v>0.2711</x:v>
      </x:c>
      <x:c r="J4824" s="13" t="n">
        <x:f>D4824*I4824*H4824</x:f>
        <x:v>0</x:v>
      </x:c>
      <x:c r="K4824" s="13" t="n">
        <x:f>E4824*I4824*H4824</x:f>
        <x:v>0.1092600775</x:v>
      </x:c>
      <x:c r="L4824" s="1" t="str">
        <x:f>TEXT(A4824,"mmm yyyy")</x:f>
        <x:v>Aug 2026</x:v>
      </x:c>
    </x:row>
    <x:row r="4825" ht="21" customHeight="1">
      <x:c r="A4825" s="10" t="n">
        <x:v>46249</x:v>
      </x:c>
      <x:c r="B4825" s="1" t="n">
        <x:v>0.5</x:v>
      </x:c>
      <x:c r="C4825" s="1" t="n">
        <x:v>6</x:v>
      </x:c>
      <x:c r="D4825" s="12" t="n">
        <x:v>0</x:v>
      </x:c>
      <x:c r="E4825" s="12" t="n">
        <x:v>0.27016666666666667</x:v>
      </x:c>
      <x:c r="F4825" s="12" t="n">
        <x:v>0.26991666666666664</x:v>
      </x:c>
      <x:c r="G4825" s="12" t="n">
        <x:v>0</x:v>
      </x:c>
      <x:c r="H4825" s="1" t="n">
        <x:f>'Historical prices'!E4825</x:f>
        <x:v>1.05</x:v>
      </x:c>
      <x:c r="I4825" s="6" t="n">
        <x:f>'Historical prices'!D4825</x:f>
        <x:v>0.2589</x:v>
      </x:c>
      <x:c r="J4825" s="13" t="n">
        <x:f>D4825*I4825*H4825</x:f>
        <x:v>0</x:v>
      </x:c>
      <x:c r="K4825" s="13" t="n">
        <x:f>E4825*I4825*H4825</x:f>
        <x:v>0.0734434575</x:v>
      </x:c>
      <x:c r="L4825" s="1" t="str">
        <x:f>TEXT(A4825,"mmm yyyy")</x:f>
        <x:v>Aug 2026</x:v>
      </x:c>
    </x:row>
    <x:row r="4826" ht="21" customHeight="1">
      <x:c r="A4826" s="10" t="n">
        <x:v>46249</x:v>
      </x:c>
      <x:c r="B4826" s="1" t="n">
        <x:v>1</x:v>
      </x:c>
      <x:c r="C4826" s="1" t="n">
        <x:v>6</x:v>
      </x:c>
      <x:c r="D4826" s="12" t="n">
        <x:v>0</x:v>
      </x:c>
      <x:c r="E4826" s="12" t="n">
        <x:v>0.31016666666666665</x:v>
      </x:c>
      <x:c r="F4826" s="12" t="n">
        <x:v>0.30875</x:v>
      </x:c>
      <x:c r="G4826" s="12" t="n">
        <x:v>0</x:v>
      </x:c>
      <x:c r="H4826" s="1" t="n">
        <x:f>'Historical prices'!E4826</x:f>
        <x:v>1.05</x:v>
      </x:c>
      <x:c r="I4826" s="6" t="n">
        <x:f>'Historical prices'!D4826</x:f>
        <x:v>0.2626</x:v>
      </x:c>
      <x:c r="J4826" s="13" t="n">
        <x:f>D4826*I4826*H4826</x:f>
        <x:v>0</x:v>
      </x:c>
      <x:c r="K4826" s="13" t="n">
        <x:f>E4826*I4826*H4826</x:f>
        <x:v>0.08552225499999999</x:v>
      </x:c>
      <x:c r="L4826" s="1" t="str">
        <x:f>TEXT(A4826,"mmm yyyy")</x:f>
        <x:v>Aug 2026</x:v>
      </x:c>
    </x:row>
    <x:row r="4827" ht="21" customHeight="1">
      <x:c r="A4827" s="10" t="n">
        <x:v>46249</x:v>
      </x:c>
      <x:c r="B4827" s="1" t="n">
        <x:v>1.5</x:v>
      </x:c>
      <x:c r="C4827" s="1" t="n">
        <x:v>6</x:v>
      </x:c>
      <x:c r="D4827" s="12" t="n">
        <x:v>0</x:v>
      </x:c>
      <x:c r="E4827" s="12" t="n">
        <x:v>0.28400000000000003</x:v>
      </x:c>
      <x:c r="F4827" s="12" t="n">
        <x:v>0.2836666666666667</x:v>
      </x:c>
      <x:c r="G4827" s="12" t="n">
        <x:v>0</x:v>
      </x:c>
      <x:c r="H4827" s="1" t="n">
        <x:f>'Historical prices'!E4827</x:f>
        <x:v>1.05</x:v>
      </x:c>
      <x:c r="I4827" s="6" t="n">
        <x:f>'Historical prices'!D4827</x:f>
        <x:v>0.25239999999999996</x:v>
      </x:c>
      <x:c r="J4827" s="13" t="n">
        <x:f>D4827*I4827*H4827</x:f>
        <x:v>0</x:v>
      </x:c>
      <x:c r="K4827" s="13" t="n">
        <x:f>E4827*I4827*H4827</x:f>
        <x:v>0.07526568</x:v>
      </x:c>
      <x:c r="L4827" s="1" t="str">
        <x:f>TEXT(A4827,"mmm yyyy")</x:f>
        <x:v>Aug 2026</x:v>
      </x:c>
    </x:row>
    <x:row r="4828" ht="21" customHeight="1">
      <x:c r="A4828" s="10" t="n">
        <x:v>46249</x:v>
      </x:c>
      <x:c r="B4828" s="1" t="n">
        <x:v>2</x:v>
      </x:c>
      <x:c r="C4828" s="1" t="n">
        <x:v>6</x:v>
      </x:c>
      <x:c r="D4828" s="12" t="n">
        <x:v>0</x:v>
      </x:c>
      <x:c r="E4828" s="12" t="n">
        <x:v>0.25216666666666665</x:v>
      </x:c>
      <x:c r="F4828" s="12" t="n">
        <x:v>0.25175000000000003</x:v>
      </x:c>
      <x:c r="G4828" s="12" t="n">
        <x:v>0</x:v>
      </x:c>
      <x:c r="H4828" s="1" t="n">
        <x:f>'Historical prices'!E4828</x:f>
        <x:v>1.05</x:v>
      </x:c>
      <x:c r="I4828" s="6" t="n">
        <x:f>'Historical prices'!D4828</x:f>
        <x:v>0.2438</x:v>
      </x:c>
      <x:c r="J4828" s="13" t="n">
        <x:f>D4828*I4828*H4828</x:f>
        <x:v>0</x:v>
      </x:c>
      <x:c r="K4828" s="13" t="n">
        <x:f>E4828*I4828*H4828</x:f>
        <x:v>0.06455214499999999</x:v>
      </x:c>
      <x:c r="L4828" s="1" t="str">
        <x:f>TEXT(A4828,"mmm yyyy")</x:f>
        <x:v>Aug 2026</x:v>
      </x:c>
    </x:row>
    <x:row r="4829" ht="21" customHeight="1">
      <x:c r="A4829" s="10" t="n">
        <x:v>46249</x:v>
      </x:c>
      <x:c r="B4829" s="1" t="n">
        <x:v>2.5</x:v>
      </x:c>
      <x:c r="C4829" s="1" t="n">
        <x:v>6</x:v>
      </x:c>
      <x:c r="D4829" s="12" t="n">
        <x:v>0</x:v>
      </x:c>
      <x:c r="E4829" s="12" t="n">
        <x:v>0.26866666666666666</x:v>
      </x:c>
      <x:c r="F4829" s="12" t="n">
        <x:v>0.26849999999999996</x:v>
      </x:c>
      <x:c r="G4829" s="12" t="n">
        <x:v>0</x:v>
      </x:c>
      <x:c r="H4829" s="1" t="n">
        <x:f>'Historical prices'!E4829</x:f>
        <x:v>1.05</x:v>
      </x:c>
      <x:c r="I4829" s="6" t="n">
        <x:f>'Historical prices'!D4829</x:f>
        <x:v>0.2361</x:v>
      </x:c>
      <x:c r="J4829" s="13" t="n">
        <x:f>D4829*I4829*H4829</x:f>
        <x:v>0</x:v>
      </x:c>
      <x:c r="K4829" s="13" t="n">
        <x:f>E4829*I4829*H4829</x:f>
        <x:v>0.06660381</x:v>
      </x:c>
      <x:c r="L4829" s="1" t="str">
        <x:f>TEXT(A4829,"mmm yyyy")</x:f>
        <x:v>Aug 2026</x:v>
      </x:c>
    </x:row>
    <x:row r="4830" ht="21" customHeight="1">
      <x:c r="A4830" s="10" t="n">
        <x:v>46249</x:v>
      </x:c>
      <x:c r="B4830" s="1" t="n">
        <x:v>3</x:v>
      </x:c>
      <x:c r="C4830" s="1" t="n">
        <x:v>6</x:v>
      </x:c>
      <x:c r="D4830" s="12" t="n">
        <x:v>0</x:v>
      </x:c>
      <x:c r="E4830" s="12" t="n">
        <x:v>0.3114166666666667</x:v>
      </x:c>
      <x:c r="F4830" s="12" t="n">
        <x:v>0.3109166666666667</x:v>
      </x:c>
      <x:c r="G4830" s="12" t="n">
        <x:v>0</x:v>
      </x:c>
      <x:c r="H4830" s="1" t="n">
        <x:f>'Historical prices'!E4830</x:f>
        <x:v>1.05</x:v>
      </x:c>
      <x:c r="I4830" s="6" t="n">
        <x:f>'Historical prices'!D4830</x:f>
        <x:v>0.2389</x:v>
      </x:c>
      <x:c r="J4830" s="13" t="n">
        <x:f>D4830*I4830*H4830</x:f>
        <x:v>0</x:v>
      </x:c>
      <x:c r="K4830" s="13" t="n">
        <x:f>E4830*I4830*H4830</x:f>
        <x:v>0.07811731375000001</x:v>
      </x:c>
      <x:c r="L4830" s="1" t="str">
        <x:f>TEXT(A4830,"mmm yyyy")</x:f>
        <x:v>Aug 2026</x:v>
      </x:c>
    </x:row>
    <x:row r="4831" ht="21" customHeight="1">
      <x:c r="A4831" s="10" t="n">
        <x:v>46249</x:v>
      </x:c>
      <x:c r="B4831" s="1" t="n">
        <x:v>3.5</x:v>
      </x:c>
      <x:c r="C4831" s="1" t="n">
        <x:v>6</x:v>
      </x:c>
      <x:c r="D4831" s="12" t="n">
        <x:v>0</x:v>
      </x:c>
      <x:c r="E4831" s="12" t="n">
        <x:v>0.28099999999999997</x:v>
      </x:c>
      <x:c r="F4831" s="12" t="n">
        <x:v>0.2806666666666667</x:v>
      </x:c>
      <x:c r="G4831" s="12" t="n">
        <x:v>0</x:v>
      </x:c>
      <x:c r="H4831" s="1" t="n">
        <x:f>'Historical prices'!E4831</x:f>
        <x:v>1.05</x:v>
      </x:c>
      <x:c r="I4831" s="6" t="n">
        <x:f>'Historical prices'!D4831</x:f>
        <x:v>0.2345</x:v>
      </x:c>
      <x:c r="J4831" s="13" t="n">
        <x:f>D4831*I4831*H4831</x:f>
        <x:v>0</x:v>
      </x:c>
      <x:c r="K4831" s="13" t="n">
        <x:f>E4831*I4831*H4831</x:f>
        <x:v>0.069189225</x:v>
      </x:c>
      <x:c r="L4831" s="1" t="str">
        <x:f>TEXT(A4831,"mmm yyyy")</x:f>
        <x:v>Aug 2026</x:v>
      </x:c>
    </x:row>
    <x:row r="4832" ht="21" customHeight="1">
      <x:c r="A4832" s="10" t="n">
        <x:v>46249</x:v>
      </x:c>
      <x:c r="B4832" s="1" t="n">
        <x:v>4</x:v>
      </x:c>
      <x:c r="C4832" s="1" t="n">
        <x:v>6</x:v>
      </x:c>
      <x:c r="D4832" s="12" t="n">
        <x:v>0</x:v>
      </x:c>
      <x:c r="E4832" s="12" t="n">
        <x:v>0.2938333333333333</x:v>
      </x:c>
      <x:c r="F4832" s="12" t="n">
        <x:v>0.29366666666666663</x:v>
      </x:c>
      <x:c r="G4832" s="12" t="n">
        <x:v>0</x:v>
      </x:c>
      <x:c r="H4832" s="1" t="n">
        <x:f>'Historical prices'!E4832</x:f>
        <x:v>1.05</x:v>
      </x:c>
      <x:c r="I4832" s="6" t="n">
        <x:f>'Historical prices'!D4832</x:f>
        <x:v>0.25730000000000003</x:v>
      </x:c>
      <x:c r="J4832" s="13" t="n">
        <x:f>D4832*I4832*H4832</x:f>
        <x:v>0</x:v>
      </x:c>
      <x:c r="K4832" s="13" t="n">
        <x:f>E4832*I4832*H4832</x:f>
        <x:v>0.07938348249999999</x:v>
      </x:c>
      <x:c r="L4832" s="1" t="str">
        <x:f>TEXT(A4832,"mmm yyyy")</x:f>
        <x:v>Aug 2026</x:v>
      </x:c>
    </x:row>
    <x:row r="4833" ht="21" customHeight="1">
      <x:c r="A4833" s="10" t="n">
        <x:v>46249</x:v>
      </x:c>
      <x:c r="B4833" s="1" t="n">
        <x:v>4.5</x:v>
      </x:c>
      <x:c r="C4833" s="1" t="n">
        <x:v>6</x:v>
      </x:c>
      <x:c r="D4833" s="12" t="n">
        <x:v>0</x:v>
      </x:c>
      <x:c r="E4833" s="12" t="n">
        <x:v>0.36475</x:v>
      </x:c>
      <x:c r="F4833" s="12" t="n">
        <x:v>0.3640833333333333</x:v>
      </x:c>
      <x:c r="G4833" s="12" t="n">
        <x:v>0</x:v>
      </x:c>
      <x:c r="H4833" s="1" t="n">
        <x:f>'Historical prices'!E4833</x:f>
        <x:v>1.05</x:v>
      </x:c>
      <x:c r="I4833" s="6" t="n">
        <x:f>'Historical prices'!D4833</x:f>
        <x:v>0.2521</x:v>
      </x:c>
      <x:c r="J4833" s="13" t="n">
        <x:f>D4833*I4833*H4833</x:f>
        <x:v>0</x:v>
      </x:c>
      <x:c r="K4833" s="13" t="n">
        <x:f>E4833*I4833*H4833</x:f>
        <x:v>0.09655114875000001</x:v>
      </x:c>
      <x:c r="L4833" s="1" t="str">
        <x:f>TEXT(A4833,"mmm yyyy")</x:f>
        <x:v>Aug 2026</x:v>
      </x:c>
    </x:row>
    <x:row r="4834" ht="21" customHeight="1">
      <x:c r="A4834" s="10" t="n">
        <x:v>46249</x:v>
      </x:c>
      <x:c r="B4834" s="1" t="n">
        <x:v>5</x:v>
      </x:c>
      <x:c r="C4834" s="1" t="n">
        <x:v>6</x:v>
      </x:c>
      <x:c r="D4834" s="12" t="n">
        <x:v>0</x:v>
      </x:c>
      <x:c r="E4834" s="12" t="n">
        <x:v>0.43125</x:v>
      </x:c>
      <x:c r="F4834" s="12" t="n">
        <x:v>0.4303333333333333</x:v>
      </x:c>
      <x:c r="G4834" s="12" t="n">
        <x:v>0</x:v>
      </x:c>
      <x:c r="H4834" s="1" t="n">
        <x:f>'Historical prices'!E4834</x:f>
        <x:v>1.05</x:v>
      </x:c>
      <x:c r="I4834" s="6" t="n">
        <x:f>'Historical prices'!D4834</x:f>
        <x:v>0.25</x:v>
      </x:c>
      <x:c r="J4834" s="13" t="n">
        <x:f>D4834*I4834*H4834</x:f>
        <x:v>0</x:v>
      </x:c>
      <x:c r="K4834" s="13" t="n">
        <x:f>E4834*I4834*H4834</x:f>
        <x:v>0.11320312500000002</x:v>
      </x:c>
      <x:c r="L4834" s="1" t="str">
        <x:f>TEXT(A4834,"mmm yyyy")</x:f>
        <x:v>Aug 2026</x:v>
      </x:c>
    </x:row>
    <x:row r="4835" ht="21" customHeight="1">
      <x:c r="A4835" s="10" t="n">
        <x:v>46249</x:v>
      </x:c>
      <x:c r="B4835" s="1" t="n">
        <x:v>5.5</x:v>
      </x:c>
      <x:c r="C4835" s="1" t="n">
        <x:v>6</x:v>
      </x:c>
      <x:c r="D4835" s="12" t="n">
        <x:v>0</x:v>
      </x:c>
      <x:c r="E4835" s="12" t="n">
        <x:v>0.32725</x:v>
      </x:c>
      <x:c r="F4835" s="12" t="n">
        <x:v>0.32675</x:v>
      </x:c>
      <x:c r="G4835" s="12" t="n">
        <x:v>0</x:v>
      </x:c>
      <x:c r="H4835" s="1" t="n">
        <x:f>'Historical prices'!E4835</x:f>
        <x:v>1.05</x:v>
      </x:c>
      <x:c r="I4835" s="6" t="n">
        <x:f>'Historical prices'!D4835</x:f>
        <x:v>0.2514</x:v>
      </x:c>
      <x:c r="J4835" s="13" t="n">
        <x:f>D4835*I4835*H4835</x:f>
        <x:v>0</x:v>
      </x:c>
      <x:c r="K4835" s="13" t="n">
        <x:f>E4835*I4835*H4835</x:f>
        <x:v>0.0863841825</x:v>
      </x:c>
      <x:c r="L4835" s="1" t="str">
        <x:f>TEXT(A4835,"mmm yyyy")</x:f>
        <x:v>Aug 2026</x:v>
      </x:c>
    </x:row>
    <x:row r="4836" ht="21" customHeight="1">
      <x:c r="A4836" s="10" t="n">
        <x:v>46249</x:v>
      </x:c>
      <x:c r="B4836" s="1" t="n">
        <x:v>6</x:v>
      </x:c>
      <x:c r="C4836" s="1" t="n">
        <x:v>6</x:v>
      </x:c>
      <x:c r="D4836" s="12" t="n">
        <x:v>0</x:v>
      </x:c>
      <x:c r="E4836" s="12" t="n">
        <x:v>0.4666666666666667</x:v>
      </x:c>
      <x:c r="F4836" s="12" t="n">
        <x:v>0.46658333333333324</x:v>
      </x:c>
      <x:c r="G4836" s="12" t="n">
        <x:v>0</x:v>
      </x:c>
      <x:c r="H4836" s="1" t="n">
        <x:f>'Historical prices'!E4836</x:f>
        <x:v>1.05</x:v>
      </x:c>
      <x:c r="I4836" s="6" t="n">
        <x:f>'Historical prices'!D4836</x:f>
        <x:v>0.24480000000000002</x:v>
      </x:c>
      <x:c r="J4836" s="13" t="n">
        <x:f>D4836*I4836*H4836</x:f>
        <x:v>0</x:v>
      </x:c>
      <x:c r="K4836" s="13" t="n">
        <x:f>E4836*I4836*H4836</x:f>
        <x:v>0.11995200000000002</x:v>
      </x:c>
      <x:c r="L4836" s="1" t="str">
        <x:f>TEXT(A4836,"mmm yyyy")</x:f>
        <x:v>Aug 2026</x:v>
      </x:c>
    </x:row>
    <x:row r="4837" ht="21" customHeight="1">
      <x:c r="A4837" s="10" t="n">
        <x:v>46249</x:v>
      </x:c>
      <x:c r="B4837" s="1" t="n">
        <x:v>6.5</x:v>
      </x:c>
      <x:c r="C4837" s="1" t="n">
        <x:v>6</x:v>
      </x:c>
      <x:c r="D4837" s="12" t="n">
        <x:v>0</x:v>
      </x:c>
      <x:c r="E4837" s="12" t="n">
        <x:v>0.6179166666666667</x:v>
      </x:c>
      <x:c r="F4837" s="12" t="n">
        <x:v>0.6179166666666667</x:v>
      </x:c>
      <x:c r="G4837" s="12" t="n">
        <x:v>0</x:v>
      </x:c>
      <x:c r="H4837" s="1" t="n">
        <x:f>'Historical prices'!E4837</x:f>
        <x:v>1.05</x:v>
      </x:c>
      <x:c r="I4837" s="6" t="n">
        <x:f>'Historical prices'!D4837</x:f>
        <x:v>0.2631</x:v>
      </x:c>
      <x:c r="J4837" s="13" t="n">
        <x:f>D4837*I4837*H4837</x:f>
        <x:v>0</x:v>
      </x:c>
      <x:c r="K4837" s="13" t="n">
        <x:f>E4837*I4837*H4837</x:f>
        <x:v>0.17070256875</x:v>
      </x:c>
      <x:c r="L4837" s="1" t="str">
        <x:f>TEXT(A4837,"mmm yyyy")</x:f>
        <x:v>Aug 2026</x:v>
      </x:c>
    </x:row>
    <x:row r="4838" ht="21" customHeight="1">
      <x:c r="A4838" s="10" t="n">
        <x:v>46249</x:v>
      </x:c>
      <x:c r="B4838" s="1" t="n">
        <x:v>7</x:v>
      </x:c>
      <x:c r="C4838" s="1" t="n">
        <x:v>6</x:v>
      </x:c>
      <x:c r="D4838" s="12" t="n">
        <x:v>0</x:v>
      </x:c>
      <x:c r="E4838" s="12" t="n">
        <x:v>0.5903333333333333</x:v>
      </x:c>
      <x:c r="F4838" s="12" t="n">
        <x:v>0.5903333333333333</x:v>
      </x:c>
      <x:c r="G4838" s="12" t="n">
        <x:v>0</x:v>
      </x:c>
      <x:c r="H4838" s="1" t="n">
        <x:f>'Historical prices'!E4838</x:f>
        <x:v>1.05</x:v>
      </x:c>
      <x:c r="I4838" s="6" t="n">
        <x:f>'Historical prices'!D4838</x:f>
        <x:v>0.2165</x:v>
      </x:c>
      <x:c r="J4838" s="13" t="n">
        <x:f>D4838*I4838*H4838</x:f>
        <x:v>0</x:v>
      </x:c>
      <x:c r="K4838" s="13" t="n">
        <x:f>E4838*I4838*H4838</x:f>
        <x:v>0.13419752499999998</x:v>
      </x:c>
      <x:c r="L4838" s="1" t="str">
        <x:f>TEXT(A4838,"mmm yyyy")</x:f>
        <x:v>Aug 2026</x:v>
      </x:c>
    </x:row>
    <x:row r="4839" ht="21" customHeight="1">
      <x:c r="A4839" s="10" t="n">
        <x:v>46249</x:v>
      </x:c>
      <x:c r="B4839" s="1" t="n">
        <x:v>7.5</x:v>
      </x:c>
      <x:c r="C4839" s="1" t="n">
        <x:v>6</x:v>
      </x:c>
      <x:c r="D4839" s="12" t="n">
        <x:v>0</x:v>
      </x:c>
      <x:c r="E4839" s="12" t="n">
        <x:v>0.5869166666666666</x:v>
      </x:c>
      <x:c r="F4839" s="12" t="n">
        <x:v>0.5863333333333334</x:v>
      </x:c>
      <x:c r="G4839" s="12" t="n">
        <x:v>0</x:v>
      </x:c>
      <x:c r="H4839" s="1" t="n">
        <x:f>'Historical prices'!E4839</x:f>
        <x:v>1.05</x:v>
      </x:c>
      <x:c r="I4839" s="6" t="n">
        <x:f>'Historical prices'!D4839</x:f>
        <x:v>0.25429999999999997</x:v>
      </x:c>
      <x:c r="J4839" s="13" t="n">
        <x:f>D4839*I4839*H4839</x:f>
        <x:v>0</x:v>
      </x:c>
      <x:c r="K4839" s="13" t="n">
        <x:f>E4839*I4839*H4839</x:f>
        <x:v>0.15671555375</x:v>
      </x:c>
      <x:c r="L4839" s="1" t="str">
        <x:f>TEXT(A4839,"mmm yyyy")</x:f>
        <x:v>Aug 2026</x:v>
      </x:c>
    </x:row>
    <x:row r="4840" ht="21" customHeight="1">
      <x:c r="A4840" s="10" t="n">
        <x:v>46249</x:v>
      </x:c>
      <x:c r="B4840" s="1" t="n">
        <x:v>8</x:v>
      </x:c>
      <x:c r="C4840" s="1" t="n">
        <x:v>6</x:v>
      </x:c>
      <x:c r="D4840" s="12" t="n">
        <x:v>0</x:v>
      </x:c>
      <x:c r="E4840" s="12" t="n">
        <x:v>0.537</x:v>
      </x:c>
      <x:c r="F4840" s="12" t="n">
        <x:v>0.5366666666666667</x:v>
      </x:c>
      <x:c r="G4840" s="12" t="n">
        <x:v>0</x:v>
      </x:c>
      <x:c r="H4840" s="1" t="n">
        <x:f>'Historical prices'!E4840</x:f>
        <x:v>1.05</x:v>
      </x:c>
      <x:c r="I4840" s="6" t="n">
        <x:f>'Historical prices'!D4840</x:f>
        <x:v>0.2183</x:v>
      </x:c>
      <x:c r="J4840" s="13" t="n">
        <x:f>D4840*I4840*H4840</x:f>
        <x:v>0</x:v>
      </x:c>
      <x:c r="K4840" s="13" t="n">
        <x:f>E4840*I4840*H4840</x:f>
        <x:v>0.123088455</x:v>
      </x:c>
      <x:c r="L4840" s="1" t="str">
        <x:f>TEXT(A4840,"mmm yyyy")</x:f>
        <x:v>Aug 2026</x:v>
      </x:c>
    </x:row>
    <x:row r="4841" ht="21" customHeight="1">
      <x:c r="A4841" s="10" t="n">
        <x:v>46249</x:v>
      </x:c>
      <x:c r="B4841" s="1" t="n">
        <x:v>8.5</x:v>
      </x:c>
      <x:c r="C4841" s="1" t="n">
        <x:v>6</x:v>
      </x:c>
      <x:c r="D4841" s="12" t="n">
        <x:v>0</x:v>
      </x:c>
      <x:c r="E4841" s="12" t="n">
        <x:v>0.4975</x:v>
      </x:c>
      <x:c r="F4841" s="12" t="n">
        <x:v>0.4974166666666667</x:v>
      </x:c>
      <x:c r="G4841" s="12" t="n">
        <x:v>0</x:v>
      </x:c>
      <x:c r="H4841" s="1" t="n">
        <x:f>'Historical prices'!E4841</x:f>
        <x:v>1.05</x:v>
      </x:c>
      <x:c r="I4841" s="6" t="n">
        <x:f>'Historical prices'!D4841</x:f>
        <x:v>0.2141</x:v>
      </x:c>
      <x:c r="J4841" s="13" t="n">
        <x:f>D4841*I4841*H4841</x:f>
        <x:v>0</x:v>
      </x:c>
      <x:c r="K4841" s="13" t="n">
        <x:f>E4841*I4841*H4841</x:f>
        <x:v>0.11184048750000002</x:v>
      </x:c>
      <x:c r="L4841" s="1" t="str">
        <x:f>TEXT(A4841,"mmm yyyy")</x:f>
        <x:v>Aug 2026</x:v>
      </x:c>
    </x:row>
    <x:row r="4842" ht="21" customHeight="1">
      <x:c r="A4842" s="10" t="n">
        <x:v>46249</x:v>
      </x:c>
      <x:c r="B4842" s="1" t="n">
        <x:v>9</x:v>
      </x:c>
      <x:c r="C4842" s="1" t="n">
        <x:v>6</x:v>
      </x:c>
      <x:c r="D4842" s="12" t="n">
        <x:v>0</x:v>
      </x:c>
      <x:c r="E4842" s="12" t="n">
        <x:v>0.4458333333333333</x:v>
      </x:c>
      <x:c r="F4842" s="12" t="n">
        <x:v>0.44558333333333333</x:v>
      </x:c>
      <x:c r="G4842" s="12" t="n">
        <x:v>0</x:v>
      </x:c>
      <x:c r="H4842" s="1" t="n">
        <x:f>'Historical prices'!E4842</x:f>
        <x:v>1.05</x:v>
      </x:c>
      <x:c r="I4842" s="6" t="n">
        <x:f>'Historical prices'!D4842</x:f>
        <x:v>0.2243</x:v>
      </x:c>
      <x:c r="J4842" s="13" t="n">
        <x:f>D4842*I4842*H4842</x:f>
        <x:v>0</x:v>
      </x:c>
      <x:c r="K4842" s="13" t="n">
        <x:f>E4842*I4842*H4842</x:f>
        <x:v>0.1050004375</x:v>
      </x:c>
      <x:c r="L4842" s="1" t="str">
        <x:f>TEXT(A4842,"mmm yyyy")</x:f>
        <x:v>Aug 2026</x:v>
      </x:c>
    </x:row>
    <x:row r="4843" ht="21" customHeight="1">
      <x:c r="A4843" s="10" t="n">
        <x:v>46249</x:v>
      </x:c>
      <x:c r="B4843" s="1" t="n">
        <x:v>9.5</x:v>
      </x:c>
      <x:c r="C4843" s="1" t="n">
        <x:v>6</x:v>
      </x:c>
      <x:c r="D4843" s="12" t="n">
        <x:v>0</x:v>
      </x:c>
      <x:c r="E4843" s="12" t="n">
        <x:v>0.505</x:v>
      </x:c>
      <x:c r="F4843" s="12" t="n">
        <x:v>0.5045833333333333</x:v>
      </x:c>
      <x:c r="G4843" s="12" t="n">
        <x:v>0</x:v>
      </x:c>
      <x:c r="H4843" s="1" t="n">
        <x:f>'Historical prices'!E4843</x:f>
        <x:v>1.05</x:v>
      </x:c>
      <x:c r="I4843" s="6" t="n">
        <x:f>'Historical prices'!D4843</x:f>
        <x:v>0.22510000000000002</x:v>
      </x:c>
      <x:c r="J4843" s="13" t="n">
        <x:f>D4843*I4843*H4843</x:f>
        <x:v>0</x:v>
      </x:c>
      <x:c r="K4843" s="13" t="n">
        <x:f>E4843*I4843*H4843</x:f>
        <x:v>0.11935927500000001</x:v>
      </x:c>
      <x:c r="L4843" s="1" t="str">
        <x:f>TEXT(A4843,"mmm yyyy")</x:f>
        <x:v>Aug 2026</x:v>
      </x:c>
    </x:row>
    <x:row r="4844" ht="21" customHeight="1">
      <x:c r="A4844" s="10" t="n">
        <x:v>46249</x:v>
      </x:c>
      <x:c r="B4844" s="1" t="n">
        <x:v>10</x:v>
      </x:c>
      <x:c r="C4844" s="1" t="n">
        <x:v>6</x:v>
      </x:c>
      <x:c r="D4844" s="12" t="n">
        <x:v>0</x:v>
      </x:c>
      <x:c r="E4844" s="12" t="n">
        <x:v>0.6336666666666666</x:v>
      </x:c>
      <x:c r="F4844" s="12" t="n">
        <x:v>0.6331666666666667</x:v>
      </x:c>
      <x:c r="G4844" s="12" t="n">
        <x:v>0</x:v>
      </x:c>
      <x:c r="H4844" s="1" t="n">
        <x:f>'Historical prices'!E4844</x:f>
        <x:v>1.05</x:v>
      </x:c>
      <x:c r="I4844" s="6" t="n">
        <x:f>'Historical prices'!D4844</x:f>
        <x:v>0.18719999999999998</x:v>
      </x:c>
      <x:c r="J4844" s="13" t="n">
        <x:f>D4844*I4844*H4844</x:f>
        <x:v>0</x:v>
      </x:c>
      <x:c r="K4844" s="13" t="n">
        <x:f>E4844*I4844*H4844</x:f>
        <x:v>0.12455351999999997</x:v>
      </x:c>
      <x:c r="L4844" s="1" t="str">
        <x:f>TEXT(A4844,"mmm yyyy")</x:f>
        <x:v>Aug 2026</x:v>
      </x:c>
    </x:row>
    <x:row r="4845" ht="21" customHeight="1">
      <x:c r="A4845" s="10" t="n">
        <x:v>46249</x:v>
      </x:c>
      <x:c r="B4845" s="1" t="n">
        <x:v>10.5</x:v>
      </x:c>
      <x:c r="C4845" s="1" t="n">
        <x:v>6</x:v>
      </x:c>
      <x:c r="D4845" s="12" t="n">
        <x:v>0.36949999999999994</x:v>
      </x:c>
      <x:c r="E4845" s="12" t="n">
        <x:v>0.5348333333333333</x:v>
      </x:c>
      <x:c r="F4845" s="12" t="n">
        <x:v>0.155</x:v>
      </x:c>
      <x:c r="G4845" s="12" t="n">
        <x:v>0</x:v>
      </x:c>
      <x:c r="H4845" s="1" t="n">
        <x:f>'Historical prices'!E4845</x:f>
        <x:v>1.05</x:v>
      </x:c>
      <x:c r="I4845" s="6" t="n">
        <x:f>'Historical prices'!D4845</x:f>
        <x:v>0.16820000000000002</x:v>
      </x:c>
      <x:c r="J4845" s="13" t="n">
        <x:f>D4845*I4845*H4845</x:f>
        <x:v>0.065257395</x:v>
      </x:c>
      <x:c r="K4845" s="13" t="n">
        <x:f>E4845*I4845*H4845</x:f>
        <x:v>0.094456915</x:v>
      </x:c>
      <x:c r="L4845" s="1" t="str">
        <x:f>TEXT(A4845,"mmm yyyy")</x:f>
        <x:v>Aug 2026</x:v>
      </x:c>
    </x:row>
    <x:row r="4846" ht="21" customHeight="1">
      <x:c r="A4846" s="10" t="n">
        <x:v>46249</x:v>
      </x:c>
      <x:c r="B4846" s="1" t="n">
        <x:v>11</x:v>
      </x:c>
      <x:c r="C4846" s="1" t="n">
        <x:v>6</x:v>
      </x:c>
      <x:c r="D4846" s="12" t="n">
        <x:v>0.4385</x:v>
      </x:c>
      <x:c r="E4846" s="12" t="n">
        <x:v>0.44949999999999996</x:v>
      </x:c>
      <x:c r="F4846" s="12" t="n">
        <x:v>0</x:v>
      </x:c>
      <x:c r="G4846" s="12" t="n">
        <x:v>0</x:v>
      </x:c>
      <x:c r="H4846" s="1" t="n">
        <x:f>'Historical prices'!E4846</x:f>
        <x:v>1.05</x:v>
      </x:c>
      <x:c r="I4846" s="6" t="n">
        <x:f>'Historical prices'!D4846</x:f>
        <x:v>0.1577</x:v>
      </x:c>
      <x:c r="J4846" s="13" t="n">
        <x:f>D4846*I4846*H4846</x:f>
        <x:v>0.07260902250000001</x:v>
      </x:c>
      <x:c r="K4846" s="13" t="n">
        <x:f>E4846*I4846*H4846</x:f>
        <x:v>0.07443045749999999</x:v>
      </x:c>
      <x:c r="L4846" s="1" t="str">
        <x:f>TEXT(A4846,"mmm yyyy")</x:f>
        <x:v>Aug 2026</x:v>
      </x:c>
    </x:row>
    <x:row r="4847" ht="21" customHeight="1">
      <x:c r="A4847" s="10" t="n">
        <x:v>46249</x:v>
      </x:c>
      <x:c r="B4847" s="1" t="n">
        <x:v>11.5</x:v>
      </x:c>
      <x:c r="C4847" s="1" t="n">
        <x:v>6</x:v>
      </x:c>
      <x:c r="D4847" s="12" t="n">
        <x:v>0.41100000000000003</x:v>
      </x:c>
      <x:c r="E4847" s="12" t="n">
        <x:v>0.42100000000000004</x:v>
      </x:c>
      <x:c r="F4847" s="12" t="n">
        <x:v>0</x:v>
      </x:c>
      <x:c r="G4847" s="12" t="n">
        <x:v>0</x:v>
      </x:c>
      <x:c r="H4847" s="1" t="n">
        <x:f>'Historical prices'!E4847</x:f>
        <x:v>1.05</x:v>
      </x:c>
      <x:c r="I4847" s="6" t="n">
        <x:f>'Historical prices'!D4847</x:f>
        <x:v>0.1472</x:v>
      </x:c>
      <x:c r="J4847" s="13" t="n">
        <x:f>D4847*I4847*H4847</x:f>
        <x:v>0.06352416000000001</x:v>
      </x:c>
      <x:c r="K4847" s="13" t="n">
        <x:f>E4847*I4847*H4847</x:f>
        <x:v>0.06506976</x:v>
      </x:c>
      <x:c r="L4847" s="1" t="str">
        <x:f>TEXT(A4847,"mmm yyyy")</x:f>
        <x:v>Aug 2026</x:v>
      </x:c>
    </x:row>
    <x:row r="4848" ht="21" customHeight="1">
      <x:c r="A4848" s="10" t="n">
        <x:v>46249</x:v>
      </x:c>
      <x:c r="B4848" s="1" t="n">
        <x:v>12</x:v>
      </x:c>
      <x:c r="C4848" s="1" t="n">
        <x:v>6</x:v>
      </x:c>
      <x:c r="D4848" s="12" t="n">
        <x:v>0.39749999999999996</x:v>
      </x:c>
      <x:c r="E4848" s="12" t="n">
        <x:v>0.4085</x:v>
      </x:c>
      <x:c r="F4848" s="12" t="n">
        <x:v>0</x:v>
      </x:c>
      <x:c r="G4848" s="12" t="n">
        <x:v>0</x:v>
      </x:c>
      <x:c r="H4848" s="1" t="n">
        <x:f>'Historical prices'!E4848</x:f>
        <x:v>1.05</x:v>
      </x:c>
      <x:c r="I4848" s="6" t="n">
        <x:f>'Historical prices'!D4848</x:f>
        <x:v>0.16190000000000002</x:v>
      </x:c>
      <x:c r="J4848" s="13" t="n">
        <x:f>D4848*I4848*H4848</x:f>
        <x:v>0.0675730125</x:v>
      </x:c>
      <x:c r="K4848" s="13" t="n">
        <x:f>E4848*I4848*H4848</x:f>
        <x:v>0.06944295750000001</x:v>
      </x:c>
      <x:c r="L4848" s="1" t="str">
        <x:f>TEXT(A4848,"mmm yyyy")</x:f>
        <x:v>Aug 2026</x:v>
      </x:c>
    </x:row>
    <x:row r="4849" ht="21" customHeight="1">
      <x:c r="A4849" s="10" t="n">
        <x:v>46249</x:v>
      </x:c>
      <x:c r="B4849" s="1" t="n">
        <x:v>12.5</x:v>
      </x:c>
      <x:c r="C4849" s="1" t="n">
        <x:v>6</x:v>
      </x:c>
      <x:c r="D4849" s="12" t="n">
        <x:v>0.33575</x:v>
      </x:c>
      <x:c r="E4849" s="12" t="n">
        <x:v>0.34675</x:v>
      </x:c>
      <x:c r="F4849" s="12" t="n">
        <x:v>0</x:v>
      </x:c>
      <x:c r="G4849" s="12" t="n">
        <x:v>0</x:v>
      </x:c>
      <x:c r="H4849" s="1" t="n">
        <x:f>'Historical prices'!E4849</x:f>
        <x:v>1.05</x:v>
      </x:c>
      <x:c r="I4849" s="6" t="n">
        <x:f>'Historical prices'!D4849</x:f>
        <x:v>0.15560000000000002</x:v>
      </x:c>
      <x:c r="J4849" s="13" t="n">
        <x:f>D4849*I4849*H4849</x:f>
        <x:v>0.054854835000000005</x:v>
      </x:c>
      <x:c r="K4849" s="13" t="n">
        <x:f>E4849*I4849*H4849</x:f>
        <x:v>0.05665201500000001</x:v>
      </x:c>
      <x:c r="L4849" s="1" t="str">
        <x:f>TEXT(A4849,"mmm yyyy")</x:f>
        <x:v>Aug 2026</x:v>
      </x:c>
    </x:row>
    <x:row r="4850" ht="21" customHeight="1">
      <x:c r="A4850" s="10" t="n">
        <x:v>46249</x:v>
      </x:c>
      <x:c r="B4850" s="1" t="n">
        <x:v>13</x:v>
      </x:c>
      <x:c r="C4850" s="1" t="n">
        <x:v>6</x:v>
      </x:c>
      <x:c r="D4850" s="12" t="n">
        <x:v>0.355</x:v>
      </x:c>
      <x:c r="E4850" s="12" t="n">
        <x:v>0.365</x:v>
      </x:c>
      <x:c r="F4850" s="12" t="n">
        <x:v>0</x:v>
      </x:c>
      <x:c r="G4850" s="12" t="n">
        <x:v>0</x:v>
      </x:c>
      <x:c r="H4850" s="1" t="n">
        <x:f>'Historical prices'!E4850</x:f>
        <x:v>1.05</x:v>
      </x:c>
      <x:c r="I4850" s="6" t="n">
        <x:f>'Historical prices'!D4850</x:f>
        <x:v>0.1463</x:v>
      </x:c>
      <x:c r="J4850" s="13" t="n">
        <x:f>D4850*I4850*H4850</x:f>
        <x:v>0.05453332500000001</x:v>
      </x:c>
      <x:c r="K4850" s="13" t="n">
        <x:f>E4850*I4850*H4850</x:f>
        <x:v>0.05606947500000001</x:v>
      </x:c>
      <x:c r="L4850" s="1" t="str">
        <x:f>TEXT(A4850,"mmm yyyy")</x:f>
        <x:v>Aug 2026</x:v>
      </x:c>
    </x:row>
    <x:row r="4851" ht="21" customHeight="1">
      <x:c r="A4851" s="10" t="n">
        <x:v>46249</x:v>
      </x:c>
      <x:c r="B4851" s="1" t="n">
        <x:v>13.5</x:v>
      </x:c>
      <x:c r="C4851" s="1" t="n">
        <x:v>6</x:v>
      </x:c>
      <x:c r="D4851" s="12" t="n">
        <x:v>0.33525</x:v>
      </x:c>
      <x:c r="E4851" s="12" t="n">
        <x:v>0.34525</x:v>
      </x:c>
      <x:c r="F4851" s="12" t="n">
        <x:v>0</x:v>
      </x:c>
      <x:c r="G4851" s="12" t="n">
        <x:v>0</x:v>
      </x:c>
      <x:c r="H4851" s="1" t="n">
        <x:f>'Historical prices'!E4851</x:f>
        <x:v>1.05</x:v>
      </x:c>
      <x:c r="I4851" s="6" t="n">
        <x:f>'Historical prices'!D4851</x:f>
        <x:v>0.1499</x:v>
      </x:c>
      <x:c r="J4851" s="13" t="n">
        <x:f>D4851*I4851*H4851</x:f>
        <x:v>0.05276667375</x:v>
      </x:c>
      <x:c r="K4851" s="13" t="n">
        <x:f>E4851*I4851*H4851</x:f>
        <x:v>0.054340623750000004</x:v>
      </x:c>
      <x:c r="L4851" s="1" t="str">
        <x:f>TEXT(A4851,"mmm yyyy")</x:f>
        <x:v>Aug 2026</x:v>
      </x:c>
    </x:row>
    <x:row r="4852" ht="21" customHeight="1">
      <x:c r="A4852" s="10" t="n">
        <x:v>46249</x:v>
      </x:c>
      <x:c r="B4852" s="1" t="n">
        <x:v>14</x:v>
      </x:c>
      <x:c r="C4852" s="1" t="n">
        <x:v>6</x:v>
      </x:c>
      <x:c r="D4852" s="12" t="n">
        <x:v>4.53</x:v>
      </x:c>
      <x:c r="E4852" s="12" t="n">
        <x:v>0.548</x:v>
      </x:c>
      <x:c r="F4852" s="12" t="n">
        <x:v>0</x:v>
      </x:c>
      <x:c r="G4852" s="12" t="n">
        <x:v>3.984</x:v>
      </x:c>
      <x:c r="H4852" s="1" t="n">
        <x:f>'Historical prices'!E4852</x:f>
        <x:v>1.05</x:v>
      </x:c>
      <x:c r="I4852" s="6" t="n">
        <x:f>'Historical prices'!D4852</x:f>
        <x:v>0.1388</x:v>
      </x:c>
      <x:c r="J4852" s="13" t="n">
        <x:f>D4852*I4852*H4852</x:f>
        <x:v>0.6602022000000002</x:v>
      </x:c>
      <x:c r="K4852" s="13" t="n">
        <x:f>E4852*I4852*H4852</x:f>
        <x:v>0.07986552000000002</x:v>
      </x:c>
      <x:c r="L4852" s="1" t="str">
        <x:f>TEXT(A4852,"mmm yyyy")</x:f>
        <x:v>Aug 2026</x:v>
      </x:c>
    </x:row>
    <x:row r="4853" ht="21" customHeight="1">
      <x:c r="A4853" s="10" t="n">
        <x:v>46249</x:v>
      </x:c>
      <x:c r="B4853" s="1" t="n">
        <x:v>14.5</x:v>
      </x:c>
      <x:c r="C4853" s="1" t="n">
        <x:v>6</x:v>
      </x:c>
      <x:c r="D4853" s="12" t="n">
        <x:v>5.26</x:v>
      </x:c>
      <x:c r="E4853" s="12" t="n">
        <x:v>0.65</x:v>
      </x:c>
      <x:c r="F4853" s="12" t="n">
        <x:v>0</x:v>
      </x:c>
      <x:c r="G4853" s="12" t="n">
        <x:v>4.61</x:v>
      </x:c>
      <x:c r="H4853" s="1" t="n">
        <x:f>'Historical prices'!E4853</x:f>
        <x:v>1.05</x:v>
      </x:c>
      <x:c r="I4853" s="6" t="n">
        <x:f>'Historical prices'!D4853</x:f>
        <x:v>0.1311</x:v>
      </x:c>
      <x:c r="J4853" s="13" t="n">
        <x:f>D4853*I4853*H4853</x:f>
        <x:v>0.7240652999999999</x:v>
      </x:c>
      <x:c r="K4853" s="13" t="n">
        <x:f>E4853*I4853*H4853</x:f>
        <x:v>0.08947575</x:v>
      </x:c>
      <x:c r="L4853" s="1" t="str">
        <x:f>TEXT(A4853,"mmm yyyy")</x:f>
        <x:v>Aug 2026</x:v>
      </x:c>
    </x:row>
    <x:row r="4854" ht="21" customHeight="1">
      <x:c r="A4854" s="10" t="n">
        <x:v>46249</x:v>
      </x:c>
      <x:c r="B4854" s="1" t="n">
        <x:v>15</x:v>
      </x:c>
      <x:c r="C4854" s="1" t="n">
        <x:v>6</x:v>
      </x:c>
      <x:c r="D4854" s="12" t="n">
        <x:v>3.716</x:v>
      </x:c>
      <x:c r="E4854" s="12" t="n">
        <x:v>0.5790000000000001</x:v>
      </x:c>
      <x:c r="F4854" s="12" t="n">
        <x:v>0</x:v>
      </x:c>
      <x:c r="G4854" s="12" t="n">
        <x:v>3.138</x:v>
      </x:c>
      <x:c r="H4854" s="1" t="n">
        <x:f>'Historical prices'!E4854</x:f>
        <x:v>1.05</x:v>
      </x:c>
      <x:c r="I4854" s="6" t="n">
        <x:f>'Historical prices'!D4854</x:f>
        <x:v>0.14300000000000002</x:v>
      </x:c>
      <x:c r="J4854" s="13" t="n">
        <x:f>D4854*I4854*H4854</x:f>
        <x:v>0.5579574000000002</x:v>
      </x:c>
      <x:c r="K4854" s="13" t="n">
        <x:f>E4854*I4854*H4854</x:f>
        <x:v>0.08693685000000002</x:v>
      </x:c>
      <x:c r="L4854" s="1" t="str">
        <x:f>TEXT(A4854,"mmm yyyy")</x:f>
        <x:v>Aug 2026</x:v>
      </x:c>
    </x:row>
    <x:row r="4855" ht="21" customHeight="1">
      <x:c r="A4855" s="10" t="n">
        <x:v>46249</x:v>
      </x:c>
      <x:c r="B4855" s="1" t="n">
        <x:v>15.5</x:v>
      </x:c>
      <x:c r="C4855" s="1" t="n">
        <x:v>6</x:v>
      </x:c>
      <x:c r="D4855" s="12" t="n">
        <x:v>0.92175</x:v>
      </x:c>
      <x:c r="E4855" s="12" t="n">
        <x:v>0.52675</x:v>
      </x:c>
      <x:c r="F4855" s="12" t="n">
        <x:v>0</x:v>
      </x:c>
      <x:c r="G4855" s="12" t="n">
        <x:v>0.39799999999999996</x:v>
      </x:c>
      <x:c r="H4855" s="1" t="n">
        <x:f>'Historical prices'!E4855</x:f>
        <x:v>1.05</x:v>
      </x:c>
      <x:c r="I4855" s="6" t="n">
        <x:f>'Historical prices'!D4855</x:f>
        <x:v>0.15109999999999998</x:v>
      </x:c>
      <x:c r="J4855" s="13" t="n">
        <x:f>D4855*I4855*H4855</x:f>
        <x:v>0.14624024624999998</x:v>
      </x:c>
      <x:c r="K4855" s="13" t="n">
        <x:f>E4855*I4855*H4855</x:f>
        <x:v>0.08357152125</x:v>
      </x:c>
      <x:c r="L4855" s="1" t="str">
        <x:f>TEXT(A4855,"mmm yyyy")</x:f>
        <x:v>Aug 2026</x:v>
      </x:c>
    </x:row>
    <x:row r="4856" ht="21" customHeight="1">
      <x:c r="A4856" s="10" t="n">
        <x:v>46249</x:v>
      </x:c>
      <x:c r="B4856" s="1" t="n">
        <x:v>16</x:v>
      </x:c>
      <x:c r="C4856" s="1" t="n">
        <x:v>6</x:v>
      </x:c>
      <x:c r="D4856" s="12" t="n">
        <x:v>0.114</x:v>
      </x:c>
      <x:c r="E4856" s="12" t="n">
        <x:v>0.4481666666666666</x:v>
      </x:c>
      <x:c r="F4856" s="12" t="n">
        <x:v>0.3755</x:v>
      </x:c>
      <x:c r="G4856" s="12" t="n">
        <x:v>0.042</x:v>
      </x:c>
      <x:c r="H4856" s="1" t="n">
        <x:f>'Historical prices'!E4856</x:f>
        <x:v>1.05</x:v>
      </x:c>
      <x:c r="I4856" s="6" t="n">
        <x:f>'Historical prices'!D4856</x:f>
        <x:v>0.3155</x:v>
      </x:c>
      <x:c r="J4856" s="13" t="n">
        <x:f>D4856*I4856*H4856</x:f>
        <x:v>0.03776535</x:v>
      </x:c>
      <x:c r="K4856" s="13" t="n">
        <x:f>E4856*I4856*H4856</x:f>
        <x:v>0.1484664125</x:v>
      </x:c>
      <x:c r="L4856" s="1" t="str">
        <x:f>TEXT(A4856,"mmm yyyy")</x:f>
        <x:v>Aug 2026</x:v>
      </x:c>
    </x:row>
    <x:row r="4857" ht="21" customHeight="1">
      <x:c r="A4857" s="10" t="n">
        <x:v>46249</x:v>
      </x:c>
      <x:c r="B4857" s="1" t="n">
        <x:v>16.5</x:v>
      </x:c>
      <x:c r="C4857" s="1" t="n">
        <x:v>6</x:v>
      </x:c>
      <x:c r="D4857" s="12" t="n">
        <x:v>0</x:v>
      </x:c>
      <x:c r="E4857" s="12" t="n">
        <x:v>0.5285833333333334</x:v>
      </x:c>
      <x:c r="F4857" s="12" t="n">
        <x:v>0.5284166666666666</x:v>
      </x:c>
      <x:c r="G4857" s="12" t="n">
        <x:v>0</x:v>
      </x:c>
      <x:c r="H4857" s="1" t="n">
        <x:f>'Historical prices'!E4857</x:f>
        <x:v>1.05</x:v>
      </x:c>
      <x:c r="I4857" s="6" t="n">
        <x:f>'Historical prices'!D4857</x:f>
        <x:v>0.3155</x:v>
      </x:c>
      <x:c r="J4857" s="13" t="n">
        <x:f>D4857*I4857*H4857</x:f>
        <x:v>0</x:v>
      </x:c>
      <x:c r="K4857" s="13" t="n">
        <x:f>E4857*I4857*H4857</x:f>
        <x:v>0.17510644375000003</x:v>
      </x:c>
      <x:c r="L4857" s="1" t="str">
        <x:f>TEXT(A4857,"mmm yyyy")</x:f>
        <x:v>Aug 2026</x:v>
      </x:c>
    </x:row>
    <x:row r="4858" ht="21" customHeight="1">
      <x:c r="A4858" s="10" t="n">
        <x:v>46249</x:v>
      </x:c>
      <x:c r="B4858" s="1" t="n">
        <x:v>17</x:v>
      </x:c>
      <x:c r="C4858" s="1" t="n">
        <x:v>6</x:v>
      </x:c>
      <x:c r="D4858" s="12" t="n">
        <x:v>0</x:v>
      </x:c>
      <x:c r="E4858" s="12" t="n">
        <x:v>0.5299999999999999</x:v>
      </x:c>
      <x:c r="F4858" s="12" t="n">
        <x:v>0.5294999999999999</x:v>
      </x:c>
      <x:c r="G4858" s="12" t="n">
        <x:v>0</x:v>
      </x:c>
      <x:c r="H4858" s="1" t="n">
        <x:f>'Historical prices'!E4858</x:f>
        <x:v>1.05</x:v>
      </x:c>
      <x:c r="I4858" s="6" t="n">
        <x:f>'Historical prices'!D4858</x:f>
        <x:v>0.3663</x:v>
      </x:c>
      <x:c r="J4858" s="13" t="n">
        <x:f>D4858*I4858*H4858</x:f>
        <x:v>0</x:v>
      </x:c>
      <x:c r="K4858" s="13" t="n">
        <x:f>E4858*I4858*H4858</x:f>
        <x:v>0.20384595</x:v>
      </x:c>
      <x:c r="L4858" s="1" t="str">
        <x:f>TEXT(A4858,"mmm yyyy")</x:f>
        <x:v>Aug 2026</x:v>
      </x:c>
    </x:row>
    <x:row r="4859" ht="21" customHeight="1">
      <x:c r="A4859" s="10" t="n">
        <x:v>46249</x:v>
      </x:c>
      <x:c r="B4859" s="1" t="n">
        <x:v>17.5</x:v>
      </x:c>
      <x:c r="C4859" s="1" t="n">
        <x:v>6</x:v>
      </x:c>
      <x:c r="D4859" s="12" t="n">
        <x:v>0</x:v>
      </x:c>
      <x:c r="E4859" s="12" t="n">
        <x:v>0.5039166666666667</x:v>
      </x:c>
      <x:c r="F4859" s="12" t="n">
        <x:v>0.5035000000000001</x:v>
      </x:c>
      <x:c r="G4859" s="12" t="n">
        <x:v>0</x:v>
      </x:c>
      <x:c r="H4859" s="1" t="n">
        <x:f>'Historical prices'!E4859</x:f>
        <x:v>1.05</x:v>
      </x:c>
      <x:c r="I4859" s="6" t="n">
        <x:f>'Historical prices'!D4859</x:f>
        <x:v>0.3851</x:v>
      </x:c>
      <x:c r="J4859" s="13" t="n">
        <x:f>D4859*I4859*H4859</x:f>
        <x:v>0</x:v>
      </x:c>
      <x:c r="K4859" s="13" t="n">
        <x:f>E4859*I4859*H4859</x:f>
        <x:v>0.20376122375000003</x:v>
      </x:c>
      <x:c r="L4859" s="1" t="str">
        <x:f>TEXT(A4859,"mmm yyyy")</x:f>
        <x:v>Aug 2026</x:v>
      </x:c>
    </x:row>
    <x:row r="4860" ht="21" customHeight="1">
      <x:c r="A4860" s="10" t="n">
        <x:v>46249</x:v>
      </x:c>
      <x:c r="B4860" s="1" t="n">
        <x:v>18</x:v>
      </x:c>
      <x:c r="C4860" s="1" t="n">
        <x:v>6</x:v>
      </x:c>
      <x:c r="D4860" s="12" t="n">
        <x:v>0</x:v>
      </x:c>
      <x:c r="E4860" s="12" t="n">
        <x:v>0.5876666666666667</x:v>
      </x:c>
      <x:c r="F4860" s="12" t="n">
        <x:v>0.5865833333333332</x:v>
      </x:c>
      <x:c r="G4860" s="12" t="n">
        <x:v>0</x:v>
      </x:c>
      <x:c r="H4860" s="1" t="n">
        <x:f>'Historical prices'!E4860</x:f>
        <x:v>1.05</x:v>
      </x:c>
      <x:c r="I4860" s="6" t="n">
        <x:f>'Historical prices'!D4860</x:f>
        <x:v>0.3957</x:v>
      </x:c>
      <x:c r="J4860" s="13" t="n">
        <x:f>D4860*I4860*H4860</x:f>
        <x:v>0</x:v>
      </x:c>
      <x:c r="K4860" s="13" t="n">
        <x:f>E4860*I4860*H4860</x:f>
        <x:v>0.244166685</x:v>
      </x:c>
      <x:c r="L4860" s="1" t="str">
        <x:f>TEXT(A4860,"mmm yyyy")</x:f>
        <x:v>Aug 2026</x:v>
      </x:c>
    </x:row>
    <x:row r="4861" ht="21" customHeight="1">
      <x:c r="A4861" s="10" t="n">
        <x:v>46249</x:v>
      </x:c>
      <x:c r="B4861" s="1" t="n">
        <x:v>18.5</x:v>
      </x:c>
      <x:c r="C4861" s="1" t="n">
        <x:v>6</x:v>
      </x:c>
      <x:c r="D4861" s="12" t="n">
        <x:v>0</x:v>
      </x:c>
      <x:c r="E4861" s="12" t="n">
        <x:v>0.8950833333333333</x:v>
      </x:c>
      <x:c r="F4861" s="12" t="n">
        <x:v>0.8945000000000001</x:v>
      </x:c>
      <x:c r="G4861" s="12" t="n">
        <x:v>0</x:v>
      </x:c>
      <x:c r="H4861" s="1" t="n">
        <x:f>'Historical prices'!E4861</x:f>
        <x:v>1.05</x:v>
      </x:c>
      <x:c r="I4861" s="6" t="n">
        <x:f>'Historical prices'!D4861</x:f>
        <x:v>0.41729999999999995</x:v>
      </x:c>
      <x:c r="J4861" s="13" t="n">
        <x:f>D4861*I4861*H4861</x:f>
        <x:v>0</x:v>
      </x:c>
      <x:c r="K4861" s="13" t="n">
        <x:f>E4861*I4861*H4861</x:f>
        <x:v>0.39219418874999995</x:v>
      </x:c>
      <x:c r="L4861" s="1" t="str">
        <x:f>TEXT(A4861,"mmm yyyy")</x:f>
        <x:v>Aug 2026</x:v>
      </x:c>
    </x:row>
    <x:row r="4862" ht="21" customHeight="1">
      <x:c r="A4862" s="10" t="n">
        <x:v>46249</x:v>
      </x:c>
      <x:c r="B4862" s="1" t="n">
        <x:v>19</x:v>
      </x:c>
      <x:c r="C4862" s="1" t="n">
        <x:v>6</x:v>
      </x:c>
      <x:c r="D4862" s="12" t="n">
        <x:v>0</x:v>
      </x:c>
      <x:c r="E4862" s="12" t="n">
        <x:v>0.6745833333333332</x:v>
      </x:c>
      <x:c r="F4862" s="12" t="n">
        <x:v>0.6743333333333332</x:v>
      </x:c>
      <x:c r="G4862" s="12" t="n">
        <x:v>0</x:v>
      </x:c>
      <x:c r="H4862" s="1" t="n">
        <x:f>'Historical prices'!E4862</x:f>
        <x:v>1.05</x:v>
      </x:c>
      <x:c r="I4862" s="6" t="n">
        <x:f>'Historical prices'!D4862</x:f>
        <x:v>0.3103</x:v>
      </x:c>
      <x:c r="J4862" s="13" t="n">
        <x:f>D4862*I4862*H4862</x:f>
        <x:v>0</x:v>
      </x:c>
      <x:c r="K4862" s="13" t="n">
        <x:f>E4862*I4862*H4862</x:f>
        <x:v>0.21978936875</x:v>
      </x:c>
      <x:c r="L4862" s="1" t="str">
        <x:f>TEXT(A4862,"mmm yyyy")</x:f>
        <x:v>Aug 2026</x:v>
      </x:c>
    </x:row>
    <x:row r="4863" ht="21" customHeight="1">
      <x:c r="A4863" s="10" t="n">
        <x:v>46249</x:v>
      </x:c>
      <x:c r="B4863" s="1" t="n">
        <x:v>19.5</x:v>
      </x:c>
      <x:c r="C4863" s="1" t="n">
        <x:v>6</x:v>
      </x:c>
      <x:c r="D4863" s="12" t="n">
        <x:v>0</x:v>
      </x:c>
      <x:c r="E4863" s="12" t="n">
        <x:v>0.7701666666666668</x:v>
      </x:c>
      <x:c r="F4863" s="12" t="n">
        <x:v>0.7695833333333334</x:v>
      </x:c>
      <x:c r="G4863" s="12" t="n">
        <x:v>0</x:v>
      </x:c>
      <x:c r="H4863" s="1" t="n">
        <x:f>'Historical prices'!E4863</x:f>
        <x:v>1.05</x:v>
      </x:c>
      <x:c r="I4863" s="6" t="n">
        <x:f>'Historical prices'!D4863</x:f>
        <x:v>0.31329999999999997</x:v>
      </x:c>
      <x:c r="J4863" s="13" t="n">
        <x:f>D4863*I4863*H4863</x:f>
        <x:v>0</x:v>
      </x:c>
      <x:c r="K4863" s="13" t="n">
        <x:f>E4863*I4863*H4863</x:f>
        <x:v>0.2533578775</x:v>
      </x:c>
      <x:c r="L4863" s="1" t="str">
        <x:f>TEXT(A4863,"mmm yyyy")</x:f>
        <x:v>Aug 2026</x:v>
      </x:c>
    </x:row>
    <x:row r="4864" ht="21" customHeight="1">
      <x:c r="A4864" s="10" t="n">
        <x:v>46249</x:v>
      </x:c>
      <x:c r="B4864" s="1" t="n">
        <x:v>20</x:v>
      </x:c>
      <x:c r="C4864" s="1" t="n">
        <x:v>6</x:v>
      </x:c>
      <x:c r="D4864" s="12" t="n">
        <x:v>0</x:v>
      </x:c>
      <x:c r="E4864" s="12" t="n">
        <x:v>0.518</x:v>
      </x:c>
      <x:c r="F4864" s="12" t="n">
        <x:v>0.5176666666666667</x:v>
      </x:c>
      <x:c r="G4864" s="12" t="n">
        <x:v>0</x:v>
      </x:c>
      <x:c r="H4864" s="1" t="n">
        <x:f>'Historical prices'!E4864</x:f>
        <x:v>1.05</x:v>
      </x:c>
      <x:c r="I4864" s="6" t="n">
        <x:f>'Historical prices'!D4864</x:f>
        <x:v>0.30469999999999997</x:v>
      </x:c>
      <x:c r="J4864" s="13" t="n">
        <x:f>D4864*I4864*H4864</x:f>
        <x:v>0</x:v>
      </x:c>
      <x:c r="K4864" s="13" t="n">
        <x:f>E4864*I4864*H4864</x:f>
        <x:v>0.16572633</x:v>
      </x:c>
      <x:c r="L4864" s="1" t="str">
        <x:f>TEXT(A4864,"mmm yyyy")</x:f>
        <x:v>Aug 2026</x:v>
      </x:c>
    </x:row>
    <x:row r="4865" ht="21" customHeight="1">
      <x:c r="A4865" s="10" t="n">
        <x:v>46249</x:v>
      </x:c>
      <x:c r="B4865" s="1" t="n">
        <x:v>20.5</x:v>
      </x:c>
      <x:c r="C4865" s="1" t="n">
        <x:v>6</x:v>
      </x:c>
      <x:c r="D4865" s="12" t="n">
        <x:v>0</x:v>
      </x:c>
      <x:c r="E4865" s="12" t="n">
        <x:v>0.5845</x:v>
      </x:c>
      <x:c r="F4865" s="12" t="n">
        <x:v>0.5841666666666667</x:v>
      </x:c>
      <x:c r="G4865" s="12" t="n">
        <x:v>0</x:v>
      </x:c>
      <x:c r="H4865" s="1" t="n">
        <x:f>'Historical prices'!E4865</x:f>
        <x:v>1.05</x:v>
      </x:c>
      <x:c r="I4865" s="6" t="n">
        <x:f>'Historical prices'!D4865</x:f>
        <x:v>0.3057</x:v>
      </x:c>
      <x:c r="J4865" s="13" t="n">
        <x:f>D4865*I4865*H4865</x:f>
        <x:v>0</x:v>
      </x:c>
      <x:c r="K4865" s="13" t="n">
        <x:f>E4865*I4865*H4865</x:f>
        <x:v>0.18761573250000002</x:v>
      </x:c>
      <x:c r="L4865" s="1" t="str">
        <x:f>TEXT(A4865,"mmm yyyy")</x:f>
        <x:v>Aug 2026</x:v>
      </x:c>
    </x:row>
    <x:row r="4866" ht="21" customHeight="1">
      <x:c r="A4866" s="10" t="n">
        <x:v>46249</x:v>
      </x:c>
      <x:c r="B4866" s="1" t="n">
        <x:v>21</x:v>
      </x:c>
      <x:c r="C4866" s="1" t="n">
        <x:v>6</x:v>
      </x:c>
      <x:c r="D4866" s="12" t="n">
        <x:v>0</x:v>
      </x:c>
      <x:c r="E4866" s="12" t="n">
        <x:v>0.5245</x:v>
      </x:c>
      <x:c r="F4866" s="12" t="n">
        <x:v>0.5207499999999999</x:v>
      </x:c>
      <x:c r="G4866" s="12" t="n">
        <x:v>0</x:v>
      </x:c>
      <x:c r="H4866" s="1" t="n">
        <x:f>'Historical prices'!E4866</x:f>
        <x:v>1.05</x:v>
      </x:c>
      <x:c r="I4866" s="6" t="n">
        <x:f>'Historical prices'!D4866</x:f>
        <x:v>0.302</x:v>
      </x:c>
      <x:c r="J4866" s="13" t="n">
        <x:f>D4866*I4866*H4866</x:f>
        <x:v>0</x:v>
      </x:c>
      <x:c r="K4866" s="13" t="n">
        <x:f>E4866*I4866*H4866</x:f>
        <x:v>0.16631895</x:v>
      </x:c>
      <x:c r="L4866" s="1" t="str">
        <x:f>TEXT(A4866,"mmm yyyy")</x:f>
        <x:v>Aug 2026</x:v>
      </x:c>
    </x:row>
    <x:row r="4867" ht="21" customHeight="1">
      <x:c r="A4867" s="10" t="n">
        <x:v>46249</x:v>
      </x:c>
      <x:c r="B4867" s="1" t="n">
        <x:v>21.5</x:v>
      </x:c>
      <x:c r="C4867" s="1" t="n">
        <x:v>6</x:v>
      </x:c>
      <x:c r="D4867" s="12" t="n">
        <x:v>0</x:v>
      </x:c>
      <x:c r="E4867" s="12" t="n">
        <x:v>0.8966666666666666</x:v>
      </x:c>
      <x:c r="F4867" s="12" t="n">
        <x:v>0.8964166666666668</x:v>
      </x:c>
      <x:c r="G4867" s="12" t="n">
        <x:v>0</x:v>
      </x:c>
      <x:c r="H4867" s="1" t="n">
        <x:f>'Historical prices'!E4867</x:f>
        <x:v>1.05</x:v>
      </x:c>
      <x:c r="I4867" s="6" t="n">
        <x:f>'Historical prices'!D4867</x:f>
        <x:v>0.3016</x:v>
      </x:c>
      <x:c r="J4867" s="13" t="n">
        <x:f>D4867*I4867*H4867</x:f>
        <x:v>0</x:v>
      </x:c>
      <x:c r="K4867" s="13" t="n">
        <x:f>E4867*I4867*H4867</x:f>
        <x:v>0.2839564</x:v>
      </x:c>
      <x:c r="L4867" s="1" t="str">
        <x:f>TEXT(A4867,"mmm yyyy")</x:f>
        <x:v>Aug 2026</x:v>
      </x:c>
    </x:row>
    <x:row r="4868" ht="21" customHeight="1">
      <x:c r="A4868" s="10" t="n">
        <x:v>46249</x:v>
      </x:c>
      <x:c r="B4868" s="1" t="n">
        <x:v>22</x:v>
      </x:c>
      <x:c r="C4868" s="1" t="n">
        <x:v>6</x:v>
      </x:c>
      <x:c r="D4868" s="12" t="n">
        <x:v>0</x:v>
      </x:c>
      <x:c r="E4868" s="12" t="n">
        <x:v>0.4981666666666667</x:v>
      </x:c>
      <x:c r="F4868" s="12" t="n">
        <x:v>0.49775</x:v>
      </x:c>
      <x:c r="G4868" s="12" t="n">
        <x:v>0</x:v>
      </x:c>
      <x:c r="H4868" s="1" t="n">
        <x:f>'Historical prices'!E4868</x:f>
        <x:v>1.05</x:v>
      </x:c>
      <x:c r="I4868" s="6" t="n">
        <x:f>'Historical prices'!D4868</x:f>
        <x:v>0.30260000000000004</x:v>
      </x:c>
      <x:c r="J4868" s="13" t="n">
        <x:f>D4868*I4868*H4868</x:f>
        <x:v>0</x:v>
      </x:c>
      <x:c r="K4868" s="13" t="n">
        <x:f>E4868*I4868*H4868</x:f>
        <x:v>0.15828249500000005</x:v>
      </x:c>
      <x:c r="L4868" s="1" t="str">
        <x:f>TEXT(A4868,"mmm yyyy")</x:f>
        <x:v>Aug 2026</x:v>
      </x:c>
    </x:row>
    <x:row r="4869" ht="21" customHeight="1">
      <x:c r="A4869" s="10" t="n">
        <x:v>46249</x:v>
      </x:c>
      <x:c r="B4869" s="1" t="n">
        <x:v>22.5</x:v>
      </x:c>
      <x:c r="C4869" s="1" t="n">
        <x:v>6</x:v>
      </x:c>
      <x:c r="D4869" s="12" t="n">
        <x:v>0</x:v>
      </x:c>
      <x:c r="E4869" s="12" t="n">
        <x:v>0.31449999999999995</x:v>
      </x:c>
      <x:c r="F4869" s="12" t="n">
        <x:v>0.3144166666666666</x:v>
      </x:c>
      <x:c r="G4869" s="12" t="n">
        <x:v>0</x:v>
      </x:c>
      <x:c r="H4869" s="1" t="n">
        <x:f>'Historical prices'!E4869</x:f>
        <x:v>1.05</x:v>
      </x:c>
      <x:c r="I4869" s="6" t="n">
        <x:f>'Historical prices'!D4869</x:f>
        <x:v>0.2839</x:v>
      </x:c>
      <x:c r="J4869" s="13" t="n">
        <x:f>D4869*I4869*H4869</x:f>
        <x:v>0</x:v>
      </x:c>
      <x:c r="K4869" s="13" t="n">
        <x:f>E4869*I4869*H4869</x:f>
        <x:v>0.09375087749999998</x:v>
      </x:c>
      <x:c r="L4869" s="1" t="str">
        <x:f>TEXT(A4869,"mmm yyyy")</x:f>
        <x:v>Aug 2026</x:v>
      </x:c>
    </x:row>
    <x:row r="4870" ht="21" customHeight="1">
      <x:c r="A4870" s="10" t="n">
        <x:v>46249</x:v>
      </x:c>
      <x:c r="B4870" s="1" t="n">
        <x:v>23</x:v>
      </x:c>
      <x:c r="C4870" s="1" t="n">
        <x:v>6</x:v>
      </x:c>
      <x:c r="D4870" s="12" t="n">
        <x:v>0</x:v>
      </x:c>
      <x:c r="E4870" s="12" t="n">
        <x:v>0.34591666666666665</x:v>
      </x:c>
      <x:c r="F4870" s="12" t="n">
        <x:v>0.3455</x:v>
      </x:c>
      <x:c r="G4870" s="12" t="n">
        <x:v>0</x:v>
      </x:c>
      <x:c r="H4870" s="1" t="n">
        <x:f>'Historical prices'!E4870</x:f>
        <x:v>1.05</x:v>
      </x:c>
      <x:c r="I4870" s="6" t="n">
        <x:f>'Historical prices'!D4870</x:f>
        <x:v>0.2859</x:v>
      </x:c>
      <x:c r="J4870" s="13" t="n">
        <x:f>D4870*I4870*H4870</x:f>
        <x:v>0</x:v>
      </x:c>
      <x:c r="K4870" s="13" t="n">
        <x:f>E4870*I4870*H4870</x:f>
        <x:v>0.10384245375</x:v>
      </x:c>
      <x:c r="L4870" s="1" t="str">
        <x:f>TEXT(A4870,"mmm yyyy")</x:f>
        <x:v>Aug 2026</x:v>
      </x:c>
    </x:row>
    <x:row r="4871" ht="21" customHeight="1">
      <x:c r="A4871" s="10" t="n">
        <x:v>46249</x:v>
      </x:c>
      <x:c r="B4871" s="1" t="n">
        <x:v>23.5</x:v>
      </x:c>
      <x:c r="C4871" s="1" t="n">
        <x:v>6</x:v>
      </x:c>
      <x:c r="D4871" s="12" t="n">
        <x:v>0</x:v>
      </x:c>
      <x:c r="E4871" s="12" t="n">
        <x:v>0.30291666666666667</x:v>
      </x:c>
      <x:c r="F4871" s="12" t="n">
        <x:v>0.3025833333333333</x:v>
      </x:c>
      <x:c r="G4871" s="12" t="n">
        <x:v>0</x:v>
      </x:c>
      <x:c r="H4871" s="1" t="n">
        <x:f>'Historical prices'!E4871</x:f>
        <x:v>1.05</x:v>
      </x:c>
      <x:c r="I4871" s="6" t="n">
        <x:f>'Historical prices'!D4871</x:f>
        <x:v>0.2648</x:v>
      </x:c>
      <x:c r="J4871" s="13" t="n">
        <x:f>D4871*I4871*H4871</x:f>
        <x:v>0</x:v>
      </x:c>
      <x:c r="K4871" s="13" t="n">
        <x:f>E4871*I4871*H4871</x:f>
        <x:v>0.08422295</x:v>
      </x:c>
      <x:c r="L4871" s="1" t="str">
        <x:f>TEXT(A4871,"mmm yyyy")</x:f>
        <x:v>Aug 2026</x:v>
      </x:c>
    </x:row>
    <x:row r="4872" ht="21" customHeight="1">
      <x:c r="A4872" s="10" t="n">
        <x:v>46250</x:v>
      </x:c>
      <x:c r="B4872" s="1" t="n">
        <x:v>0</x:v>
      </x:c>
      <x:c r="C4872" s="1" t="n">
        <x:v>6</x:v>
      </x:c>
      <x:c r="D4872" s="12" t="n">
        <x:v>0</x:v>
      </x:c>
      <x:c r="E4872" s="12" t="n">
        <x:v>0.25766666666666665</x:v>
      </x:c>
      <x:c r="F4872" s="12" t="n">
        <x:v>0.25658333333333333</x:v>
      </x:c>
      <x:c r="G4872" s="12" t="n">
        <x:v>0</x:v>
      </x:c>
      <x:c r="H4872" s="1" t="n">
        <x:f>'Historical prices'!E4872</x:f>
        <x:v>1.05</x:v>
      </x:c>
      <x:c r="I4872" s="6" t="n">
        <x:f>'Historical prices'!D4872</x:f>
        <x:v>0.26839999999999997</x:v>
      </x:c>
      <x:c r="J4872" s="13" t="n">
        <x:f>D4872*I4872*H4872</x:f>
        <x:v>0</x:v>
      </x:c>
      <x:c r="K4872" s="13" t="n">
        <x:f>E4872*I4872*H4872</x:f>
        <x:v>0.07261561999999999</x:v>
      </x:c>
      <x:c r="L4872" s="1" t="str">
        <x:f>TEXT(A4872,"mmm yyyy")</x:f>
        <x:v>Aug 2026</x:v>
      </x:c>
    </x:row>
    <x:row r="4873" ht="21" customHeight="1">
      <x:c r="A4873" s="10" t="n">
        <x:v>46250</x:v>
      </x:c>
      <x:c r="B4873" s="1" t="n">
        <x:v>0.5</x:v>
      </x:c>
      <x:c r="C4873" s="1" t="n">
        <x:v>6</x:v>
      </x:c>
      <x:c r="D4873" s="12" t="n">
        <x:v>0</x:v>
      </x:c>
      <x:c r="E4873" s="12" t="n">
        <x:v>0.26325000000000004</x:v>
      </x:c>
      <x:c r="F4873" s="12" t="n">
        <x:v>0.26275</x:v>
      </x:c>
      <x:c r="G4873" s="12" t="n">
        <x:v>0</x:v>
      </x:c>
      <x:c r="H4873" s="1" t="n">
        <x:f>'Historical prices'!E4873</x:f>
        <x:v>1.05</x:v>
      </x:c>
      <x:c r="I4873" s="6" t="n">
        <x:f>'Historical prices'!D4873</x:f>
        <x:v>0.2608</x:v>
      </x:c>
      <x:c r="J4873" s="13" t="n">
        <x:f>D4873*I4873*H4873</x:f>
        <x:v>0</x:v>
      </x:c>
      <x:c r="K4873" s="13" t="n">
        <x:f>E4873*I4873*H4873</x:f>
        <x:v>0.07208838</x:v>
      </x:c>
      <x:c r="L4873" s="1" t="str">
        <x:f>TEXT(A4873,"mmm yyyy")</x:f>
        <x:v>Aug 2026</x:v>
      </x:c>
    </x:row>
    <x:row r="4874" ht="21" customHeight="1">
      <x:c r="A4874" s="10" t="n">
        <x:v>46250</x:v>
      </x:c>
      <x:c r="B4874" s="1" t="n">
        <x:v>1</x:v>
      </x:c>
      <x:c r="C4874" s="1" t="n">
        <x:v>6</x:v>
      </x:c>
      <x:c r="D4874" s="12" t="n">
        <x:v>0.20024999999999998</x:v>
      </x:c>
      <x:c r="E4874" s="12" t="n">
        <x:v>0.2591666666666667</x:v>
      </x:c>
      <x:c r="F4874" s="12" t="n">
        <x:v>0.049916666666666665</x:v>
      </x:c>
      <x:c r="G4874" s="12" t="n">
        <x:v>0</x:v>
      </x:c>
      <x:c r="H4874" s="1" t="n">
        <x:f>'Historical prices'!E4874</x:f>
        <x:v>1.05</x:v>
      </x:c>
      <x:c r="I4874" s="6" t="n">
        <x:f>'Historical prices'!D4874</x:f>
        <x:v>0.25429999999999997</x:v>
      </x:c>
      <x:c r="J4874" s="13" t="n">
        <x:f>D4874*I4874*H4874</x:f>
        <x:v>0.053469753749999994</x:v>
      </x:c>
      <x:c r="K4874" s="13" t="n">
        <x:f>E4874*I4874*H4874</x:f>
        <x:v>0.0692013875</x:v>
      </x:c>
      <x:c r="L4874" s="1" t="str">
        <x:f>TEXT(A4874,"mmm yyyy")</x:f>
        <x:v>Aug 2026</x:v>
      </x:c>
    </x:row>
    <x:row r="4875" ht="21" customHeight="1">
      <x:c r="A4875" s="10" t="n">
        <x:v>46250</x:v>
      </x:c>
      <x:c r="B4875" s="1" t="n">
        <x:v>1.5</x:v>
      </x:c>
      <x:c r="C4875" s="1" t="n">
        <x:v>6</x:v>
      </x:c>
      <x:c r="D4875" s="12" t="n">
        <x:v>0.2275</x:v>
      </x:c>
      <x:c r="E4875" s="12" t="n">
        <x:v>0.23850000000000002</x:v>
      </x:c>
      <x:c r="F4875" s="12" t="n">
        <x:v>0</x:v>
      </x:c>
      <x:c r="G4875" s="12" t="n">
        <x:v>0</x:v>
      </x:c>
      <x:c r="H4875" s="1" t="n">
        <x:f>'Historical prices'!E4875</x:f>
        <x:v>1.05</x:v>
      </x:c>
      <x:c r="I4875" s="6" t="n">
        <x:f>'Historical prices'!D4875</x:f>
        <x:v>0.2506</x:v>
      </x:c>
      <x:c r="J4875" s="13" t="n">
        <x:f>D4875*I4875*H4875</x:f>
        <x:v>0.059862075</x:v>
      </x:c>
      <x:c r="K4875" s="13" t="n">
        <x:f>E4875*I4875*H4875</x:f>
        <x:v>0.062756505</x:v>
      </x:c>
      <x:c r="L4875" s="1" t="str">
        <x:f>TEXT(A4875,"mmm yyyy")</x:f>
        <x:v>Aug 2026</x:v>
      </x:c>
    </x:row>
    <x:row r="4876" ht="21" customHeight="1">
      <x:c r="A4876" s="10" t="n">
        <x:v>46250</x:v>
      </x:c>
      <x:c r="B4876" s="1" t="n">
        <x:v>2</x:v>
      </x:c>
      <x:c r="C4876" s="1" t="n">
        <x:v>6</x:v>
      </x:c>
      <x:c r="D4876" s="12" t="n">
        <x:v>0.302</x:v>
      </x:c>
      <x:c r="E4876" s="12" t="n">
        <x:v>0.312</x:v>
      </x:c>
      <x:c r="F4876" s="12" t="n">
        <x:v>0</x:v>
      </x:c>
      <x:c r="G4876" s="12" t="n">
        <x:v>0</x:v>
      </x:c>
      <x:c r="H4876" s="1" t="n">
        <x:f>'Historical prices'!E4876</x:f>
        <x:v>1.05</x:v>
      </x:c>
      <x:c r="I4876" s="6" t="n">
        <x:f>'Historical prices'!D4876</x:f>
        <x:v>0.24559999999999998</x:v>
      </x:c>
      <x:c r="J4876" s="13" t="n">
        <x:f>D4876*I4876*H4876</x:f>
        <x:v>0.07787975999999999</x:v>
      </x:c>
      <x:c r="K4876" s="13" t="n">
        <x:f>E4876*I4876*H4876</x:f>
        <x:v>0.08045856</x:v>
      </x:c>
      <x:c r="L4876" s="1" t="str">
        <x:f>TEXT(A4876,"mmm yyyy")</x:f>
        <x:v>Aug 2026</x:v>
      </x:c>
    </x:row>
    <x:row r="4877" ht="21" customHeight="1">
      <x:c r="A4877" s="10" t="n">
        <x:v>46250</x:v>
      </x:c>
      <x:c r="B4877" s="1" t="n">
        <x:v>2.5</x:v>
      </x:c>
      <x:c r="C4877" s="1" t="n">
        <x:v>6</x:v>
      </x:c>
      <x:c r="D4877" s="12" t="n">
        <x:v>0.26625</x:v>
      </x:c>
      <x:c r="E4877" s="12" t="n">
        <x:v>0.27725</x:v>
      </x:c>
      <x:c r="F4877" s="12" t="n">
        <x:v>0</x:v>
      </x:c>
      <x:c r="G4877" s="12" t="n">
        <x:v>0</x:v>
      </x:c>
      <x:c r="H4877" s="1" t="n">
        <x:f>'Historical prices'!E4877</x:f>
        <x:v>1.05</x:v>
      </x:c>
      <x:c r="I4877" s="6" t="n">
        <x:f>'Historical prices'!D4877</x:f>
        <x:v>0.2463</x:v>
      </x:c>
      <x:c r="J4877" s="13" t="n">
        <x:f>D4877*I4877*H4877</x:f>
        <x:v>0.06885624374999999</x:v>
      </x:c>
      <x:c r="K4877" s="13" t="n">
        <x:f>E4877*I4877*H4877</x:f>
        <x:v>0.07170100874999999</x:v>
      </x:c>
      <x:c r="L4877" s="1" t="str">
        <x:f>TEXT(A4877,"mmm yyyy")</x:f>
        <x:v>Aug 2026</x:v>
      </x:c>
    </x:row>
    <x:row r="4878" ht="21" customHeight="1">
      <x:c r="A4878" s="10" t="n">
        <x:v>46250</x:v>
      </x:c>
      <x:c r="B4878" s="1" t="n">
        <x:v>3</x:v>
      </x:c>
      <x:c r="C4878" s="1" t="n">
        <x:v>6</x:v>
      </x:c>
      <x:c r="D4878" s="12" t="n">
        <x:v>0.2205</x:v>
      </x:c>
      <x:c r="E4878" s="12" t="n">
        <x:v>0.2315</x:v>
      </x:c>
      <x:c r="F4878" s="12" t="n">
        <x:v>0</x:v>
      </x:c>
      <x:c r="G4878" s="12" t="n">
        <x:v>0</x:v>
      </x:c>
      <x:c r="H4878" s="1" t="n">
        <x:f>'Historical prices'!E4878</x:f>
        <x:v>1.05</x:v>
      </x:c>
      <x:c r="I4878" s="6" t="n">
        <x:f>'Historical prices'!D4878</x:f>
        <x:v>0.2489</x:v>
      </x:c>
      <x:c r="J4878" s="13" t="n">
        <x:f>D4878*I4878*H4878</x:f>
        <x:v>0.0576265725</x:v>
      </x:c>
      <x:c r="K4878" s="13" t="n">
        <x:f>E4878*I4878*H4878</x:f>
        <x:v>0.060501367500000014</x:v>
      </x:c>
      <x:c r="L4878" s="1" t="str">
        <x:f>TEXT(A4878,"mmm yyyy")</x:f>
        <x:v>Aug 2026</x:v>
      </x:c>
    </x:row>
    <x:row r="4879" ht="21" customHeight="1">
      <x:c r="A4879" s="10" t="n">
        <x:v>46250</x:v>
      </x:c>
      <x:c r="B4879" s="1" t="n">
        <x:v>3.5</x:v>
      </x:c>
      <x:c r="C4879" s="1" t="n">
        <x:v>6</x:v>
      </x:c>
      <x:c r="D4879" s="12" t="n">
        <x:v>0.1905</x:v>
      </x:c>
      <x:c r="E4879" s="12" t="n">
        <x:v>0.2005</x:v>
      </x:c>
      <x:c r="F4879" s="12" t="n">
        <x:v>0</x:v>
      </x:c>
      <x:c r="G4879" s="12" t="n">
        <x:v>0</x:v>
      </x:c>
      <x:c r="H4879" s="1" t="n">
        <x:f>'Historical prices'!E4879</x:f>
        <x:v>1.05</x:v>
      </x:c>
      <x:c r="I4879" s="6" t="n">
        <x:f>'Historical prices'!D4879</x:f>
        <x:v>0.2463</x:v>
      </x:c>
      <x:c r="J4879" s="13" t="n">
        <x:f>D4879*I4879*H4879</x:f>
        <x:v>0.049266157500000005</x:v>
      </x:c>
      <x:c r="K4879" s="13" t="n">
        <x:f>E4879*I4879*H4879</x:f>
        <x:v>0.0518523075</x:v>
      </x:c>
      <x:c r="L4879" s="1" t="str">
        <x:f>TEXT(A4879,"mmm yyyy")</x:f>
        <x:v>Aug 2026</x:v>
      </x:c>
    </x:row>
    <x:row r="4880" ht="21" customHeight="1">
      <x:c r="A4880" s="10" t="n">
        <x:v>46250</x:v>
      </x:c>
      <x:c r="B4880" s="1" t="n">
        <x:v>4</x:v>
      </x:c>
      <x:c r="C4880" s="1" t="n">
        <x:v>6</x:v>
      </x:c>
      <x:c r="D4880" s="12" t="n">
        <x:v>0.2205</x:v>
      </x:c>
      <x:c r="E4880" s="12" t="n">
        <x:v>0.2305</x:v>
      </x:c>
      <x:c r="F4880" s="12" t="n">
        <x:v>0</x:v>
      </x:c>
      <x:c r="G4880" s="12" t="n">
        <x:v>0</x:v>
      </x:c>
      <x:c r="H4880" s="1" t="n">
        <x:f>'Historical prices'!E4880</x:f>
        <x:v>1.05</x:v>
      </x:c>
      <x:c r="I4880" s="6" t="n">
        <x:f>'Historical prices'!D4880</x:f>
        <x:v>0.2502</x:v>
      </x:c>
      <x:c r="J4880" s="13" t="n">
        <x:f>D4880*I4880*H4880</x:f>
        <x:v>0.057927555</x:v>
      </x:c>
      <x:c r="K4880" s="13" t="n">
        <x:f>E4880*I4880*H4880</x:f>
        <x:v>0.060554655</x:v>
      </x:c>
      <x:c r="L4880" s="1" t="str">
        <x:f>TEXT(A4880,"mmm yyyy")</x:f>
        <x:v>Aug 2026</x:v>
      </x:c>
    </x:row>
    <x:row r="4881" ht="21" customHeight="1">
      <x:c r="A4881" s="10" t="n">
        <x:v>46250</x:v>
      </x:c>
      <x:c r="B4881" s="1" t="n">
        <x:v>4.5</x:v>
      </x:c>
      <x:c r="C4881" s="1" t="n">
        <x:v>6</x:v>
      </x:c>
      <x:c r="D4881" s="12" t="n">
        <x:v>0.23825000000000002</x:v>
      </x:c>
      <x:c r="E4881" s="12" t="n">
        <x:v>0.24825</x:v>
      </x:c>
      <x:c r="F4881" s="12" t="n">
        <x:v>0</x:v>
      </x:c>
      <x:c r="G4881" s="12" t="n">
        <x:v>0</x:v>
      </x:c>
      <x:c r="H4881" s="1" t="n">
        <x:f>'Historical prices'!E4881</x:f>
        <x:v>1.05</x:v>
      </x:c>
      <x:c r="I4881" s="6" t="n">
        <x:f>'Historical prices'!D4881</x:f>
        <x:v>0.249</x:v>
      </x:c>
      <x:c r="J4881" s="13" t="n">
        <x:f>D4881*I4881*H4881</x:f>
        <x:v>0.062290462500000005</x:v>
      </x:c>
      <x:c r="K4881" s="13" t="n">
        <x:f>E4881*I4881*H4881</x:f>
        <x:v>0.06490496250000001</x:v>
      </x:c>
      <x:c r="L4881" s="1" t="str">
        <x:f>TEXT(A4881,"mmm yyyy")</x:f>
        <x:v>Aug 2026</x:v>
      </x:c>
    </x:row>
    <x:row r="4882" ht="21" customHeight="1">
      <x:c r="A4882" s="10" t="n">
        <x:v>46250</x:v>
      </x:c>
      <x:c r="B4882" s="1" t="n">
        <x:v>5</x:v>
      </x:c>
      <x:c r="C4882" s="1" t="n">
        <x:v>6</x:v>
      </x:c>
      <x:c r="D4882" s="12" t="n">
        <x:v>0.03525</x:v>
      </x:c>
      <x:c r="E4882" s="12" t="n">
        <x:v>0.27699999999999997</x:v>
      </x:c>
      <x:c r="F4882" s="12" t="n">
        <x:v>0.23958333333333331</x:v>
      </x:c>
      <x:c r="G4882" s="12" t="n">
        <x:v>0</x:v>
      </x:c>
      <x:c r="H4882" s="1" t="n">
        <x:f>'Historical prices'!E4882</x:f>
        <x:v>1.05</x:v>
      </x:c>
      <x:c r="I4882" s="6" t="n">
        <x:f>'Historical prices'!D4882</x:f>
        <x:v>0.25739999999999996</x:v>
      </x:c>
      <x:c r="J4882" s="13" t="n">
        <x:f>D4882*I4882*H4882</x:f>
        <x:v>0.009527017499999998</x:v>
      </x:c>
      <x:c r="K4882" s="13" t="n">
        <x:f>E4882*I4882*H4882</x:f>
        <x:v>0.07486478999999999</x:v>
      </x:c>
      <x:c r="L4882" s="1" t="str">
        <x:f>TEXT(A4882,"mmm yyyy")</x:f>
        <x:v>Aug 2026</x:v>
      </x:c>
    </x:row>
    <x:row r="4883" ht="21" customHeight="1">
      <x:c r="A4883" s="10" t="n">
        <x:v>46250</x:v>
      </x:c>
      <x:c r="B4883" s="1" t="n">
        <x:v>5.5</x:v>
      </x:c>
      <x:c r="C4883" s="1" t="n">
        <x:v>6</x:v>
      </x:c>
      <x:c r="D4883" s="12" t="n">
        <x:v>0.2205</x:v>
      </x:c>
      <x:c r="E4883" s="12" t="n">
        <x:v>0.27458333333333335</x:v>
      </x:c>
      <x:c r="F4883" s="12" t="n">
        <x:v>0.045</x:v>
      </x:c>
      <x:c r="G4883" s="12" t="n">
        <x:v>0</x:v>
      </x:c>
      <x:c r="H4883" s="1" t="n">
        <x:f>'Historical prices'!E4883</x:f>
        <x:v>1.05</x:v>
      </x:c>
      <x:c r="I4883" s="6" t="n">
        <x:f>'Historical prices'!D4883</x:f>
        <x:v>0.2503</x:v>
      </x:c>
      <x:c r="J4883" s="13" t="n">
        <x:f>D4883*I4883*H4883</x:f>
        <x:v>0.05795070750000001</x:v>
      </x:c>
      <x:c r="K4883" s="13" t="n">
        <x:f>E4883*I4883*H4883</x:f>
        <x:v>0.07216461875000002</x:v>
      </x:c>
      <x:c r="L4883" s="1" t="str">
        <x:f>TEXT(A4883,"mmm yyyy")</x:f>
        <x:v>Aug 2026</x:v>
      </x:c>
    </x:row>
    <x:row r="4884" ht="21" customHeight="1">
      <x:c r="A4884" s="10" t="n">
        <x:v>46250</x:v>
      </x:c>
      <x:c r="B4884" s="1" t="n">
        <x:v>6</x:v>
      </x:c>
      <x:c r="C4884" s="1" t="n">
        <x:v>6</x:v>
      </x:c>
      <x:c r="D4884" s="12" t="n">
        <x:v>0.323</x:v>
      </x:c>
      <x:c r="E4884" s="12" t="n">
        <x:v>0.333</x:v>
      </x:c>
      <x:c r="F4884" s="12" t="n">
        <x:v>0</x:v>
      </x:c>
      <x:c r="G4884" s="12" t="n">
        <x:v>0</x:v>
      </x:c>
      <x:c r="H4884" s="1" t="n">
        <x:f>'Historical prices'!E4884</x:f>
        <x:v>1.05</x:v>
      </x:c>
      <x:c r="I4884" s="6" t="n">
        <x:f>'Historical prices'!D4884</x:f>
        <x:v>0.2446</x:v>
      </x:c>
      <x:c r="J4884" s="13" t="n">
        <x:f>D4884*I4884*H4884</x:f>
        <x:v>0.08295609000000001</x:v>
      </x:c>
      <x:c r="K4884" s="13" t="n">
        <x:f>E4884*I4884*H4884</x:f>
        <x:v>0.08552439</x:v>
      </x:c>
      <x:c r="L4884" s="1" t="str">
        <x:f>TEXT(A4884,"mmm yyyy")</x:f>
        <x:v>Aug 2026</x:v>
      </x:c>
    </x:row>
    <x:row r="4885" ht="21" customHeight="1">
      <x:c r="A4885" s="10" t="n">
        <x:v>46250</x:v>
      </x:c>
      <x:c r="B4885" s="1" t="n">
        <x:v>6.5</x:v>
      </x:c>
      <x:c r="C4885" s="1" t="n">
        <x:v>6</x:v>
      </x:c>
      <x:c r="D4885" s="12" t="n">
        <x:v>0.44399999999999995</x:v>
      </x:c>
      <x:c r="E4885" s="12" t="n">
        <x:v>0.45499999999999996</x:v>
      </x:c>
      <x:c r="F4885" s="12" t="n">
        <x:v>0</x:v>
      </x:c>
      <x:c r="G4885" s="12" t="n">
        <x:v>0</x:v>
      </x:c>
      <x:c r="H4885" s="1" t="n">
        <x:f>'Historical prices'!E4885</x:f>
        <x:v>1.05</x:v>
      </x:c>
      <x:c r="I4885" s="6" t="n">
        <x:f>'Historical prices'!D4885</x:f>
        <x:v>0.2486</x:v>
      </x:c>
      <x:c r="J4885" s="13" t="n">
        <x:f>D4885*I4885*H4885</x:f>
        <x:v>0.11589732</x:v>
      </x:c>
      <x:c r="K4885" s="13" t="n">
        <x:f>E4885*I4885*H4885</x:f>
        <x:v>0.11876864999999999</x:v>
      </x:c>
      <x:c r="L4885" s="1" t="str">
        <x:f>TEXT(A4885,"mmm yyyy")</x:f>
        <x:v>Aug 2026</x:v>
      </x:c>
    </x:row>
    <x:row r="4886" ht="21" customHeight="1">
      <x:c r="A4886" s="10" t="n">
        <x:v>46250</x:v>
      </x:c>
      <x:c r="B4886" s="1" t="n">
        <x:v>7</x:v>
      </x:c>
      <x:c r="C4886" s="1" t="n">
        <x:v>6</x:v>
      </x:c>
      <x:c r="D4886" s="12" t="n">
        <x:v>0.53625</x:v>
      </x:c>
      <x:c r="E4886" s="12" t="n">
        <x:v>0.54725</x:v>
      </x:c>
      <x:c r="F4886" s="12" t="n">
        <x:v>0</x:v>
      </x:c>
      <x:c r="G4886" s="12" t="n">
        <x:v>0</x:v>
      </x:c>
      <x:c r="H4886" s="1" t="n">
        <x:f>'Historical prices'!E4886</x:f>
        <x:v>1.05</x:v>
      </x:c>
      <x:c r="I4886" s="6" t="n">
        <x:f>'Historical prices'!D4886</x:f>
        <x:v>0.23120000000000002</x:v>
      </x:c>
      <x:c r="J4886" s="13" t="n">
        <x:f>D4886*I4886*H4886</x:f>
        <x:v>0.13018005000000002</x:v>
      </x:c>
      <x:c r="K4886" s="13" t="n">
        <x:f>E4886*I4886*H4886</x:f>
        <x:v>0.13285041</x:v>
      </x:c>
      <x:c r="L4886" s="1" t="str">
        <x:f>TEXT(A4886,"mmm yyyy")</x:f>
        <x:v>Aug 2026</x:v>
      </x:c>
    </x:row>
    <x:row r="4887" ht="21" customHeight="1">
      <x:c r="A4887" s="10" t="n">
        <x:v>46250</x:v>
      </x:c>
      <x:c r="B4887" s="1" t="n">
        <x:v>7.5</x:v>
      </x:c>
      <x:c r="C4887" s="1" t="n">
        <x:v>6</x:v>
      </x:c>
      <x:c r="D4887" s="12" t="n">
        <x:v>0.63125</x:v>
      </x:c>
      <x:c r="E4887" s="12" t="n">
        <x:v>0.64125</x:v>
      </x:c>
      <x:c r="F4887" s="12" t="n">
        <x:v>0</x:v>
      </x:c>
      <x:c r="G4887" s="12" t="n">
        <x:v>0</x:v>
      </x:c>
      <x:c r="H4887" s="1" t="n">
        <x:f>'Historical prices'!E4887</x:f>
        <x:v>1.05</x:v>
      </x:c>
      <x:c r="I4887" s="6" t="n">
        <x:f>'Historical prices'!D4887</x:f>
        <x:v>0.2375</x:v>
      </x:c>
      <x:c r="J4887" s="13" t="n">
        <x:f>D4887*I4887*H4887</x:f>
        <x:v>0.15741796875</x:v>
      </x:c>
      <x:c r="K4887" s="13" t="n">
        <x:f>E4887*I4887*H4887</x:f>
        <x:v>0.15991171875000001</x:v>
      </x:c>
      <x:c r="L4887" s="1" t="str">
        <x:f>TEXT(A4887,"mmm yyyy")</x:f>
        <x:v>Aug 2026</x:v>
      </x:c>
    </x:row>
    <x:row r="4888" ht="21" customHeight="1">
      <x:c r="A4888" s="10" t="n">
        <x:v>46250</x:v>
      </x:c>
      <x:c r="B4888" s="1" t="n">
        <x:v>8</x:v>
      </x:c>
      <x:c r="C4888" s="1" t="n">
        <x:v>6</x:v>
      </x:c>
      <x:c r="D4888" s="12" t="n">
        <x:v>0.4925</x:v>
      </x:c>
      <x:c r="E4888" s="12" t="n">
        <x:v>0.5035</x:v>
      </x:c>
      <x:c r="F4888" s="12" t="n">
        <x:v>0</x:v>
      </x:c>
      <x:c r="G4888" s="12" t="n">
        <x:v>0</x:v>
      </x:c>
      <x:c r="H4888" s="1" t="n">
        <x:f>'Historical prices'!E4888</x:f>
        <x:v>1.05</x:v>
      </x:c>
      <x:c r="I4888" s="6" t="n">
        <x:f>'Historical prices'!D4888</x:f>
        <x:v>0.2291</x:v>
      </x:c>
      <x:c r="J4888" s="13" t="n">
        <x:f>D4888*I4888*H4888</x:f>
        <x:v>0.1184733375</x:v>
      </x:c>
      <x:c r="K4888" s="13" t="n">
        <x:f>E4888*I4888*H4888</x:f>
        <x:v>0.1211194425</x:v>
      </x:c>
      <x:c r="L4888" s="1" t="str">
        <x:f>TEXT(A4888,"mmm yyyy")</x:f>
        <x:v>Aug 2026</x:v>
      </x:c>
    </x:row>
    <x:row r="4889" ht="21" customHeight="1">
      <x:c r="A4889" s="10" t="n">
        <x:v>46250</x:v>
      </x:c>
      <x:c r="B4889" s="1" t="n">
        <x:v>8.5</x:v>
      </x:c>
      <x:c r="C4889" s="1" t="n">
        <x:v>6</x:v>
      </x:c>
      <x:c r="D4889" s="12" t="n">
        <x:v>0.5217499999999999</x:v>
      </x:c>
      <x:c r="E4889" s="12" t="n">
        <x:v>0.53175</x:v>
      </x:c>
      <x:c r="F4889" s="12" t="n">
        <x:v>0</x:v>
      </x:c>
      <x:c r="G4889" s="12" t="n">
        <x:v>0</x:v>
      </x:c>
      <x:c r="H4889" s="1" t="n">
        <x:f>'Historical prices'!E4889</x:f>
        <x:v>1.05</x:v>
      </x:c>
      <x:c r="I4889" s="6" t="n">
        <x:f>'Historical prices'!D4889</x:f>
        <x:v>0.2323</x:v>
      </x:c>
      <x:c r="J4889" s="13" t="n">
        <x:f>D4889*I4889*H4889</x:f>
        <x:v>0.12726265125</x:v>
      </x:c>
      <x:c r="K4889" s="13" t="n">
        <x:f>E4889*I4889*H4889</x:f>
        <x:v>0.12970180125</x:v>
      </x:c>
      <x:c r="L4889" s="1" t="str">
        <x:f>TEXT(A4889,"mmm yyyy")</x:f>
        <x:v>Aug 2026</x:v>
      </x:c>
    </x:row>
    <x:row r="4890" ht="21" customHeight="1">
      <x:c r="A4890" s="10" t="n">
        <x:v>46250</x:v>
      </x:c>
      <x:c r="B4890" s="1" t="n">
        <x:v>9</x:v>
      </x:c>
      <x:c r="C4890" s="1" t="n">
        <x:v>6</x:v>
      </x:c>
      <x:c r="D4890" s="12" t="n">
        <x:v>0.4985</x:v>
      </x:c>
      <x:c r="E4890" s="12" t="n">
        <x:v>0.5095</x:v>
      </x:c>
      <x:c r="F4890" s="12" t="n">
        <x:v>0</x:v>
      </x:c>
      <x:c r="G4890" s="12" t="n">
        <x:v>0</x:v>
      </x:c>
      <x:c r="H4890" s="1" t="n">
        <x:f>'Historical prices'!E4890</x:f>
        <x:v>1.05</x:v>
      </x:c>
      <x:c r="I4890" s="6" t="n">
        <x:f>'Historical prices'!D4890</x:f>
        <x:v>0.2349</x:v>
      </x:c>
      <x:c r="J4890" s="13" t="n">
        <x:f>D4890*I4890*H4890</x:f>
        <x:v>0.1229525325</x:v>
      </x:c>
      <x:c r="K4890" s="13" t="n">
        <x:f>E4890*I4890*H4890</x:f>
        <x:v>0.1256656275</x:v>
      </x:c>
      <x:c r="L4890" s="1" t="str">
        <x:f>TEXT(A4890,"mmm yyyy")</x:f>
        <x:v>Aug 2026</x:v>
      </x:c>
    </x:row>
    <x:row r="4891" ht="21" customHeight="1">
      <x:c r="A4891" s="10" t="n">
        <x:v>46250</x:v>
      </x:c>
      <x:c r="B4891" s="1" t="n">
        <x:v>9.5</x:v>
      </x:c>
      <x:c r="C4891" s="1" t="n">
        <x:v>6</x:v>
      </x:c>
      <x:c r="D4891" s="12" t="n">
        <x:v>0.5770000000000001</x:v>
      </x:c>
      <x:c r="E4891" s="12" t="n">
        <x:v>0.5880000000000001</x:v>
      </x:c>
      <x:c r="F4891" s="12" t="n">
        <x:v>0</x:v>
      </x:c>
      <x:c r="G4891" s="12" t="n">
        <x:v>0</x:v>
      </x:c>
      <x:c r="H4891" s="1" t="n">
        <x:f>'Historical prices'!E4891</x:f>
        <x:v>1.05</x:v>
      </x:c>
      <x:c r="I4891" s="6" t="n">
        <x:f>'Historical prices'!D4891</x:f>
        <x:v>0.2291</x:v>
      </x:c>
      <x:c r="J4891" s="13" t="n">
        <x:f>D4891*I4891*H4891</x:f>
        <x:v>0.13880023500000002</x:v>
      </x:c>
      <x:c r="K4891" s="13" t="n">
        <x:f>E4891*I4891*H4891</x:f>
        <x:v>0.14144634000000003</x:v>
      </x:c>
      <x:c r="L4891" s="1" t="str">
        <x:f>TEXT(A4891,"mmm yyyy")</x:f>
        <x:v>Aug 2026</x:v>
      </x:c>
    </x:row>
    <x:row r="4892" ht="21" customHeight="1">
      <x:c r="A4892" s="10" t="n">
        <x:v>46250</x:v>
      </x:c>
      <x:c r="B4892" s="1" t="n">
        <x:v>10</x:v>
      </x:c>
      <x:c r="C4892" s="1" t="n">
        <x:v>6</x:v>
      </x:c>
      <x:c r="D4892" s="12" t="n">
        <x:v>0.48674999999999996</x:v>
      </x:c>
      <x:c r="E4892" s="12" t="n">
        <x:v>0.49574999999999997</x:v>
      </x:c>
      <x:c r="F4892" s="12" t="n">
        <x:v>0</x:v>
      </x:c>
      <x:c r="G4892" s="12" t="n">
        <x:v>0</x:v>
      </x:c>
      <x:c r="H4892" s="1" t="n">
        <x:f>'Historical prices'!E4892</x:f>
        <x:v>1.05</x:v>
      </x:c>
      <x:c r="I4892" s="6" t="n">
        <x:f>'Historical prices'!D4892</x:f>
        <x:v>0.2429</x:v>
      </x:c>
      <x:c r="J4892" s="13" t="n">
        <x:f>D4892*I4892*H4892</x:f>
        <x:v>0.12414315375</x:v>
      </x:c>
      <x:c r="K4892" s="13" t="n">
        <x:f>E4892*I4892*H4892</x:f>
        <x:v>0.12643855874999999</x:v>
      </x:c>
      <x:c r="L4892" s="1" t="str">
        <x:f>TEXT(A4892,"mmm yyyy")</x:f>
        <x:v>Aug 2026</x:v>
      </x:c>
    </x:row>
    <x:row r="4893" ht="21" customHeight="1">
      <x:c r="A4893" s="10" t="n">
        <x:v>46250</x:v>
      </x:c>
      <x:c r="B4893" s="1" t="n">
        <x:v>10.5</x:v>
      </x:c>
      <x:c r="C4893" s="1" t="n">
        <x:v>6</x:v>
      </x:c>
      <x:c r="D4893" s="12" t="n">
        <x:v>0.788</x:v>
      </x:c>
      <x:c r="E4893" s="12" t="n">
        <x:v>0.799</x:v>
      </x:c>
      <x:c r="F4893" s="12" t="n">
        <x:v>0</x:v>
      </x:c>
      <x:c r="G4893" s="12" t="n">
        <x:v>0</x:v>
      </x:c>
      <x:c r="H4893" s="1" t="n">
        <x:f>'Historical prices'!E4893</x:f>
        <x:v>1.05</x:v>
      </x:c>
      <x:c r="I4893" s="6" t="n">
        <x:f>'Historical prices'!D4893</x:f>
        <x:v>0.2375</x:v>
      </x:c>
      <x:c r="J4893" s="13" t="n">
        <x:f>D4893*I4893*H4893</x:f>
        <x:v>0.19650750000000003</x:v>
      </x:c>
      <x:c r="K4893" s="13" t="n">
        <x:f>E4893*I4893*H4893</x:f>
        <x:v>0.19925062500000001</x:v>
      </x:c>
      <x:c r="L4893" s="1" t="str">
        <x:f>TEXT(A4893,"mmm yyyy")</x:f>
        <x:v>Aug 2026</x:v>
      </x:c>
    </x:row>
    <x:row r="4894" ht="21" customHeight="1">
      <x:c r="A4894" s="10" t="n">
        <x:v>46250</x:v>
      </x:c>
      <x:c r="B4894" s="1" t="n">
        <x:v>11</x:v>
      </x:c>
      <x:c r="C4894" s="1" t="n">
        <x:v>6</x:v>
      </x:c>
      <x:c r="D4894" s="12" t="n">
        <x:v>0.7080000000000001</x:v>
      </x:c>
      <x:c r="E4894" s="12" t="n">
        <x:v>0.7190000000000001</x:v>
      </x:c>
      <x:c r="F4894" s="12" t="n">
        <x:v>0</x:v>
      </x:c>
      <x:c r="G4894" s="12" t="n">
        <x:v>0</x:v>
      </x:c>
      <x:c r="H4894" s="1" t="n">
        <x:f>'Historical prices'!E4894</x:f>
        <x:v>1.05</x:v>
      </x:c>
      <x:c r="I4894" s="6" t="n">
        <x:f>'Historical prices'!D4894</x:f>
        <x:v>0.231</x:v>
      </x:c>
      <x:c r="J4894" s="13" t="n">
        <x:f>D4894*I4894*H4894</x:f>
        <x:v>0.17172540000000003</x:v>
      </x:c>
      <x:c r="K4894" s="13" t="n">
        <x:f>E4894*I4894*H4894</x:f>
        <x:v>0.17439345000000003</x:v>
      </x:c>
      <x:c r="L4894" s="1" t="str">
        <x:f>TEXT(A4894,"mmm yyyy")</x:f>
        <x:v>Aug 2026</x:v>
      </x:c>
    </x:row>
    <x:row r="4895" ht="21" customHeight="1">
      <x:c r="A4895" s="10" t="n">
        <x:v>46250</x:v>
      </x:c>
      <x:c r="B4895" s="1" t="n">
        <x:v>11.5</x:v>
      </x:c>
      <x:c r="C4895" s="1" t="n">
        <x:v>6</x:v>
      </x:c>
      <x:c r="D4895" s="12" t="n">
        <x:v>1.1915</x:v>
      </x:c>
      <x:c r="E4895" s="12" t="n">
        <x:v>1.2025</x:v>
      </x:c>
      <x:c r="F4895" s="12" t="n">
        <x:v>0</x:v>
      </x:c>
      <x:c r="G4895" s="12" t="n">
        <x:v>0</x:v>
      </x:c>
      <x:c r="H4895" s="1" t="n">
        <x:f>'Historical prices'!E4895</x:f>
        <x:v>1.05</x:v>
      </x:c>
      <x:c r="I4895" s="6" t="n">
        <x:f>'Historical prices'!D4895</x:f>
        <x:v>0.2237</x:v>
      </x:c>
      <x:c r="J4895" s="13" t="n">
        <x:f>D4895*I4895*H4895</x:f>
        <x:v>0.2798654775</x:v>
      </x:c>
      <x:c r="K4895" s="13" t="n">
        <x:f>E4895*I4895*H4895</x:f>
        <x:v>0.2824492125</x:v>
      </x:c>
      <x:c r="L4895" s="1" t="str">
        <x:f>TEXT(A4895,"mmm yyyy")</x:f>
        <x:v>Aug 2026</x:v>
      </x:c>
    </x:row>
    <x:row r="4896" ht="21" customHeight="1">
      <x:c r="A4896" s="10" t="n">
        <x:v>46250</x:v>
      </x:c>
      <x:c r="B4896" s="1" t="n">
        <x:v>12</x:v>
      </x:c>
      <x:c r="C4896" s="1" t="n">
        <x:v>6</x:v>
      </x:c>
      <x:c r="D4896" s="12" t="n">
        <x:v>0.7109999999999999</x:v>
      </x:c>
      <x:c r="E4896" s="12" t="n">
        <x:v>0.7209999999999999</x:v>
      </x:c>
      <x:c r="F4896" s="12" t="n">
        <x:v>0</x:v>
      </x:c>
      <x:c r="G4896" s="12" t="n">
        <x:v>0</x:v>
      </x:c>
      <x:c r="H4896" s="1" t="n">
        <x:f>'Historical prices'!E4896</x:f>
        <x:v>1.05</x:v>
      </x:c>
      <x:c r="I4896" s="6" t="n">
        <x:f>'Historical prices'!D4896</x:f>
        <x:v>0.2231</x:v>
      </x:c>
      <x:c r="J4896" s="13" t="n">
        <x:f>D4896*I4896*H4896</x:f>
        <x:v>0.16655530499999996</x:v>
      </x:c>
      <x:c r="K4896" s="13" t="n">
        <x:f>E4896*I4896*H4896</x:f>
        <x:v>0.16889785499999999</x:v>
      </x:c>
      <x:c r="L4896" s="1" t="str">
        <x:f>TEXT(A4896,"mmm yyyy")</x:f>
        <x:v>Aug 2026</x:v>
      </x:c>
    </x:row>
    <x:row r="4897" ht="21" customHeight="1">
      <x:c r="A4897" s="10" t="n">
        <x:v>46250</x:v>
      </x:c>
      <x:c r="B4897" s="1" t="n">
        <x:v>12.5</x:v>
      </x:c>
      <x:c r="C4897" s="1" t="n">
        <x:v>6</x:v>
      </x:c>
      <x:c r="D4897" s="12" t="n">
        <x:v>0.9412499999999999</x:v>
      </x:c>
      <x:c r="E4897" s="12" t="n">
        <x:v>0.9522499999999999</x:v>
      </x:c>
      <x:c r="F4897" s="12" t="n">
        <x:v>0</x:v>
      </x:c>
      <x:c r="G4897" s="12" t="n">
        <x:v>0</x:v>
      </x:c>
      <x:c r="H4897" s="1" t="n">
        <x:f>'Historical prices'!E4897</x:f>
        <x:v>1.05</x:v>
      </x:c>
      <x:c r="I4897" s="6" t="n">
        <x:f>'Historical prices'!D4897</x:f>
        <x:v>0.2127</x:v>
      </x:c>
      <x:c r="J4897" s="13" t="n">
        <x:f>D4897*I4897*H4897</x:f>
        <x:v>0.21021406874999998</x:v>
      </x:c>
      <x:c r="K4897" s="13" t="n">
        <x:f>E4897*I4897*H4897</x:f>
        <x:v>0.21267075375</x:v>
      </x:c>
      <x:c r="L4897" s="1" t="str">
        <x:f>TEXT(A4897,"mmm yyyy")</x:f>
        <x:v>Aug 2026</x:v>
      </x:c>
    </x:row>
    <x:row r="4898" ht="21" customHeight="1">
      <x:c r="A4898" s="10" t="n">
        <x:v>46250</x:v>
      </x:c>
      <x:c r="B4898" s="1" t="n">
        <x:v>13</x:v>
      </x:c>
      <x:c r="C4898" s="1" t="n">
        <x:v>6</x:v>
      </x:c>
      <x:c r="D4898" s="12" t="n">
        <x:v>0.7847499999999998</x:v>
      </x:c>
      <x:c r="E4898" s="12" t="n">
        <x:v>0.79575</x:v>
      </x:c>
      <x:c r="F4898" s="12" t="n">
        <x:v>0</x:v>
      </x:c>
      <x:c r="G4898" s="12" t="n">
        <x:v>0</x:v>
      </x:c>
      <x:c r="H4898" s="1" t="n">
        <x:f>'Historical prices'!E4898</x:f>
        <x:v>1.05</x:v>
      </x:c>
      <x:c r="I4898" s="6" t="n">
        <x:f>'Historical prices'!D4898</x:f>
        <x:v>0.2168</x:v>
      </x:c>
      <x:c r="J4898" s="13" t="n">
        <x:f>D4898*I4898*H4898</x:f>
        <x:v>0.17864048999999996</x:v>
      </x:c>
      <x:c r="K4898" s="13" t="n">
        <x:f>E4898*I4898*H4898</x:f>
        <x:v>0.18114453</x:v>
      </x:c>
      <x:c r="L4898" s="1" t="str">
        <x:f>TEXT(A4898,"mmm yyyy")</x:f>
        <x:v>Aug 2026</x:v>
      </x:c>
    </x:row>
    <x:row r="4899" ht="21" customHeight="1">
      <x:c r="A4899" s="10" t="n">
        <x:v>46250</x:v>
      </x:c>
      <x:c r="B4899" s="1" t="n">
        <x:v>13.5</x:v>
      </x:c>
      <x:c r="C4899" s="1" t="n">
        <x:v>6</x:v>
      </x:c>
      <x:c r="D4899" s="12" t="n">
        <x:v>0.8757500000000001</x:v>
      </x:c>
      <x:c r="E4899" s="12" t="n">
        <x:v>0.88575</x:v>
      </x:c>
      <x:c r="F4899" s="12" t="n">
        <x:v>0</x:v>
      </x:c>
      <x:c r="G4899" s="12" t="n">
        <x:v>0</x:v>
      </x:c>
      <x:c r="H4899" s="1" t="n">
        <x:f>'Historical prices'!E4899</x:f>
        <x:v>1.05</x:v>
      </x:c>
      <x:c r="I4899" s="6" t="n">
        <x:f>'Historical prices'!D4899</x:f>
        <x:v>0.21239999999999998</x:v>
      </x:c>
      <x:c r="J4899" s="13" t="n">
        <x:f>D4899*I4899*H4899</x:f>
        <x:v>0.19530976500000002</x:v>
      </x:c>
      <x:c r="K4899" s="13" t="n">
        <x:f>E4899*I4899*H4899</x:f>
        <x:v>0.19753996499999998</x:v>
      </x:c>
      <x:c r="L4899" s="1" t="str">
        <x:f>TEXT(A4899,"mmm yyyy")</x:f>
        <x:v>Aug 2026</x:v>
      </x:c>
    </x:row>
    <x:row r="4900" ht="21" customHeight="1">
      <x:c r="A4900" s="10" t="n">
        <x:v>46250</x:v>
      </x:c>
      <x:c r="B4900" s="1" t="n">
        <x:v>14</x:v>
      </x:c>
      <x:c r="C4900" s="1" t="n">
        <x:v>6</x:v>
      </x:c>
      <x:c r="D4900" s="12" t="n">
        <x:v>5.37325</x:v>
      </x:c>
      <x:c r="E4900" s="12" t="n">
        <x:v>1.38625</x:v>
      </x:c>
      <x:c r="F4900" s="12" t="n">
        <x:v>0</x:v>
      </x:c>
      <x:c r="G4900" s="12" t="n">
        <x:v>3.9890000000000003</x:v>
      </x:c>
      <x:c r="H4900" s="1" t="n">
        <x:f>'Historical prices'!E4900</x:f>
        <x:v>1.05</x:v>
      </x:c>
      <x:c r="I4900" s="6" t="n">
        <x:f>'Historical prices'!D4900</x:f>
        <x:v>0.2039</x:v>
      </x:c>
      <x:c r="J4900" s="13" t="n">
        <x:f>D4900*I4900*H4900</x:f>
        <x:v>1.1503859587499998</x:v>
      </x:c>
      <x:c r="K4900" s="13" t="n">
        <x:f>E4900*I4900*H4900</x:f>
        <x:v>0.29678919375</x:v>
      </x:c>
      <x:c r="L4900" s="1" t="str">
        <x:f>TEXT(A4900,"mmm yyyy")</x:f>
        <x:v>Aug 2026</x:v>
      </x:c>
    </x:row>
    <x:row r="4901" ht="21" customHeight="1">
      <x:c r="A4901" s="10" t="n">
        <x:v>46250</x:v>
      </x:c>
      <x:c r="B4901" s="1" t="n">
        <x:v>14.5</x:v>
      </x:c>
      <x:c r="C4901" s="1" t="n">
        <x:v>6</x:v>
      </x:c>
      <x:c r="D4901" s="12" t="n">
        <x:v>5.5142500000000005</x:v>
      </x:c>
      <x:c r="E4901" s="12" t="n">
        <x:v>0.76425</x:v>
      </x:c>
      <x:c r="F4901" s="12" t="n">
        <x:v>0</x:v>
      </x:c>
      <x:c r="G4901" s="12" t="n">
        <x:v>4.750000000000001</x:v>
      </x:c>
      <x:c r="H4901" s="1" t="n">
        <x:f>'Historical prices'!E4901</x:f>
        <x:v>1.05</x:v>
      </x:c>
      <x:c r="I4901" s="6" t="n">
        <x:f>'Historical prices'!D4901</x:f>
        <x:v>0.20620000000000002</x:v>
      </x:c>
      <x:c r="J4901" s="13" t="n">
        <x:f>D4901*I4901*H4901</x:f>
        <x:v>1.1938902675000003</x:v>
      </x:c>
      <x:c r="K4901" s="13" t="n">
        <x:f>E4901*I4901*H4901</x:f>
        <x:v>0.16546776750000003</x:v>
      </x:c>
      <x:c r="L4901" s="1" t="str">
        <x:f>TEXT(A4901,"mmm yyyy")</x:f>
        <x:v>Aug 2026</x:v>
      </x:c>
    </x:row>
    <x:row r="4902" ht="21" customHeight="1">
      <x:c r="A4902" s="10" t="n">
        <x:v>46250</x:v>
      </x:c>
      <x:c r="B4902" s="1" t="n">
        <x:v>15</x:v>
      </x:c>
      <x:c r="C4902" s="1" t="n">
        <x:v>6</x:v>
      </x:c>
      <x:c r="D4902" s="12" t="n">
        <x:v>1.28425</x:v>
      </x:c>
      <x:c r="E4902" s="12" t="n">
        <x:v>0.50425</x:v>
      </x:c>
      <x:c r="F4902" s="12" t="n">
        <x:v>0</x:v>
      </x:c>
      <x:c r="G4902" s="12" t="n">
        <x:v>0.783</x:v>
      </x:c>
      <x:c r="H4902" s="1" t="n">
        <x:f>'Historical prices'!E4902</x:f>
        <x:v>1.05</x:v>
      </x:c>
      <x:c r="I4902" s="6" t="n">
        <x:f>'Historical prices'!D4902</x:f>
        <x:v>0.2186</x:v>
      </x:c>
      <x:c r="J4902" s="13" t="n">
        <x:f>D4902*I4902*H4902</x:f>
        <x:v>0.2947739025</x:v>
      </x:c>
      <x:c r="K4902" s="13" t="n">
        <x:f>E4902*I4902*H4902</x:f>
        <x:v>0.1157405025</x:v>
      </x:c>
      <x:c r="L4902" s="1" t="str">
        <x:f>TEXT(A4902,"mmm yyyy")</x:f>
        <x:v>Aug 2026</x:v>
      </x:c>
    </x:row>
    <x:row r="4903" ht="21" customHeight="1">
      <x:c r="A4903" s="10" t="n">
        <x:v>46250</x:v>
      </x:c>
      <x:c r="B4903" s="1" t="n">
        <x:v>15.5</x:v>
      </x:c>
      <x:c r="C4903" s="1" t="n">
        <x:v>6</x:v>
      </x:c>
      <x:c r="D4903" s="12" t="n">
        <x:v>0.525</x:v>
      </x:c>
      <x:c r="E4903" s="12" t="n">
        <x:v>0.535</x:v>
      </x:c>
      <x:c r="F4903" s="12" t="n">
        <x:v>0</x:v>
      </x:c>
      <x:c r="G4903" s="12" t="n">
        <x:v>0</x:v>
      </x:c>
      <x:c r="H4903" s="1" t="n">
        <x:f>'Historical prices'!E4903</x:f>
        <x:v>1.05</x:v>
      </x:c>
      <x:c r="I4903" s="6" t="n">
        <x:f>'Historical prices'!D4903</x:f>
        <x:v>0.21739999999999998</x:v>
      </x:c>
      <x:c r="J4903" s="13" t="n">
        <x:f>D4903*I4903*H4903</x:f>
        <x:v>0.11984175000000001</x:v>
      </x:c>
      <x:c r="K4903" s="13" t="n">
        <x:f>E4903*I4903*H4903</x:f>
        <x:v>0.12212445</x:v>
      </x:c>
      <x:c r="L4903" s="1" t="str">
        <x:f>TEXT(A4903,"mmm yyyy")</x:f>
        <x:v>Aug 2026</x:v>
      </x:c>
    </x:row>
    <x:row r="4904" ht="21" customHeight="1">
      <x:c r="A4904" s="10" t="n">
        <x:v>46250</x:v>
      </x:c>
      <x:c r="B4904" s="1" t="n">
        <x:v>16</x:v>
      </x:c>
      <x:c r="C4904" s="1" t="n">
        <x:v>6</x:v>
      </x:c>
      <x:c r="D4904" s="12" t="n">
        <x:v>0.10975</x:v>
      </x:c>
      <x:c r="E4904" s="12" t="n">
        <x:v>0.6443333333333333</x:v>
      </x:c>
      <x:c r="F4904" s="12" t="n">
        <x:v>0.5305</x:v>
      </x:c>
      <x:c r="G4904" s="12" t="n">
        <x:v>0</x:v>
      </x:c>
      <x:c r="H4904" s="1" t="n">
        <x:f>'Historical prices'!E4904</x:f>
        <x:v>1.05</x:v>
      </x:c>
      <x:c r="I4904" s="6" t="n">
        <x:f>'Historical prices'!D4904</x:f>
        <x:v>0.35090000000000005</x:v>
      </x:c>
      <x:c r="J4904" s="13" t="n">
        <x:f>D4904*I4904*H4904</x:f>
        <x:v>0.04043683875000001</x:v>
      </x:c>
      <x:c r="K4904" s="13" t="n">
        <x:f>E4904*I4904*H4904</x:f>
        <x:v>0.23740139500000004</x:v>
      </x:c>
      <x:c r="L4904" s="1" t="str">
        <x:f>TEXT(A4904,"mmm yyyy")</x:f>
        <x:v>Aug 2026</x:v>
      </x:c>
    </x:row>
    <x:row r="4905" ht="21" customHeight="1">
      <x:c r="A4905" s="10" t="n">
        <x:v>46250</x:v>
      </x:c>
      <x:c r="B4905" s="1" t="n">
        <x:v>16.5</x:v>
      </x:c>
      <x:c r="C4905" s="1" t="n">
        <x:v>6</x:v>
      </x:c>
      <x:c r="D4905" s="12" t="n">
        <x:v>0</x:v>
      </x:c>
      <x:c r="E4905" s="12" t="n">
        <x:v>0.585</x:v>
      </x:c>
      <x:c r="F4905" s="12" t="n">
        <x:v>0.58475</x:v>
      </x:c>
      <x:c r="G4905" s="12" t="n">
        <x:v>0</x:v>
      </x:c>
      <x:c r="H4905" s="1" t="n">
        <x:f>'Historical prices'!E4905</x:f>
        <x:v>1.05</x:v>
      </x:c>
      <x:c r="I4905" s="6" t="n">
        <x:f>'Historical prices'!D4905</x:f>
        <x:v>0.3575</x:v>
      </x:c>
      <x:c r="J4905" s="13" t="n">
        <x:f>D4905*I4905*H4905</x:f>
        <x:v>0</x:v>
      </x:c>
      <x:c r="K4905" s="13" t="n">
        <x:f>E4905*I4905*H4905</x:f>
        <x:v>0.21959437499999998</x:v>
      </x:c>
      <x:c r="L4905" s="1" t="str">
        <x:f>TEXT(A4905,"mmm yyyy")</x:f>
        <x:v>Aug 2026</x:v>
      </x:c>
    </x:row>
    <x:row r="4906" ht="21" customHeight="1">
      <x:c r="A4906" s="10" t="n">
        <x:v>46250</x:v>
      </x:c>
      <x:c r="B4906" s="1" t="n">
        <x:v>17</x:v>
      </x:c>
      <x:c r="C4906" s="1" t="n">
        <x:v>6</x:v>
      </x:c>
      <x:c r="D4906" s="12" t="n">
        <x:v>0</x:v>
      </x:c>
      <x:c r="E4906" s="12" t="n">
        <x:v>0.5556666666666666</x:v>
      </x:c>
      <x:c r="F4906" s="12" t="n">
        <x:v>0.5554166666666667</x:v>
      </x:c>
      <x:c r="G4906" s="12" t="n">
        <x:v>0</x:v>
      </x:c>
      <x:c r="H4906" s="1" t="n">
        <x:f>'Historical prices'!E4906</x:f>
        <x:v>1.05</x:v>
      </x:c>
      <x:c r="I4906" s="6" t="n">
        <x:f>'Historical prices'!D4906</x:f>
        <x:v>0.39799999999999996</x:v>
      </x:c>
      <x:c r="J4906" s="13" t="n">
        <x:f>D4906*I4906*H4906</x:f>
        <x:v>0</x:v>
      </x:c>
      <x:c r="K4906" s="13" t="n">
        <x:f>E4906*I4906*H4906</x:f>
        <x:v>0.23221309999999998</x:v>
      </x:c>
      <x:c r="L4906" s="1" t="str">
        <x:f>TEXT(A4906,"mmm yyyy")</x:f>
        <x:v>Aug 2026</x:v>
      </x:c>
    </x:row>
    <x:row r="4907" ht="21" customHeight="1">
      <x:c r="A4907" s="10" t="n">
        <x:v>46250</x:v>
      </x:c>
      <x:c r="B4907" s="1" t="n">
        <x:v>17.5</x:v>
      </x:c>
      <x:c r="C4907" s="1" t="n">
        <x:v>6</x:v>
      </x:c>
      <x:c r="D4907" s="12" t="n">
        <x:v>0</x:v>
      </x:c>
      <x:c r="E4907" s="12" t="n">
        <x:v>0.5567500000000001</x:v>
      </x:c>
      <x:c r="F4907" s="12" t="n">
        <x:v>0.5561666666666667</x:v>
      </x:c>
      <x:c r="G4907" s="12" t="n">
        <x:v>0</x:v>
      </x:c>
      <x:c r="H4907" s="1" t="n">
        <x:f>'Historical prices'!E4907</x:f>
        <x:v>1.05</x:v>
      </x:c>
      <x:c r="I4907" s="6" t="n">
        <x:f>'Historical prices'!D4907</x:f>
        <x:v>0.41619999999999996</x:v>
      </x:c>
      <x:c r="J4907" s="13" t="n">
        <x:f>D4907*I4907*H4907</x:f>
        <x:v>0</x:v>
      </x:c>
      <x:c r="K4907" s="13" t="n">
        <x:f>E4907*I4907*H4907</x:f>
        <x:v>0.24330531750000003</x:v>
      </x:c>
      <x:c r="L4907" s="1" t="str">
        <x:f>TEXT(A4907,"mmm yyyy")</x:f>
        <x:v>Aug 2026</x:v>
      </x:c>
    </x:row>
    <x:row r="4908" ht="21" customHeight="1">
      <x:c r="A4908" s="10" t="n">
        <x:v>46250</x:v>
      </x:c>
      <x:c r="B4908" s="1" t="n">
        <x:v>18</x:v>
      </x:c>
      <x:c r="C4908" s="1" t="n">
        <x:v>6</x:v>
      </x:c>
      <x:c r="D4908" s="12" t="n">
        <x:v>0</x:v>
      </x:c>
      <x:c r="E4908" s="12" t="n">
        <x:v>0.55525</x:v>
      </x:c>
      <x:c r="F4908" s="12" t="n">
        <x:v>0.55475</x:v>
      </x:c>
      <x:c r="G4908" s="12" t="n">
        <x:v>0</x:v>
      </x:c>
      <x:c r="H4908" s="1" t="n">
        <x:f>'Historical prices'!E4908</x:f>
        <x:v>1.05</x:v>
      </x:c>
      <x:c r="I4908" s="6" t="n">
        <x:f>'Historical prices'!D4908</x:f>
        <x:v>0.42229999999999995</x:v>
      </x:c>
      <x:c r="J4908" s="13" t="n">
        <x:f>D4908*I4908*H4908</x:f>
        <x:v>0</x:v>
      </x:c>
      <x:c r="K4908" s="13" t="n">
        <x:f>E4908*I4908*H4908</x:f>
        <x:v>0.24620617875</x:v>
      </x:c>
      <x:c r="L4908" s="1" t="str">
        <x:f>TEXT(A4908,"mmm yyyy")</x:f>
        <x:v>Aug 2026</x:v>
      </x:c>
    </x:row>
    <x:row r="4909" ht="21" customHeight="1">
      <x:c r="A4909" s="10" t="n">
        <x:v>46250</x:v>
      </x:c>
      <x:c r="B4909" s="1" t="n">
        <x:v>18.5</x:v>
      </x:c>
      <x:c r="C4909" s="1" t="n">
        <x:v>6</x:v>
      </x:c>
      <x:c r="D4909" s="12" t="n">
        <x:v>0.010666666666666666</x:v>
      </x:c>
      <x:c r="E4909" s="12" t="n">
        <x:v>0.5768333333333334</x:v>
      </x:c>
      <x:c r="F4909" s="12" t="n">
        <x:v>0.5526666666666665</x:v>
      </x:c>
      <x:c r="G4909" s="12" t="n">
        <x:v>0</x:v>
      </x:c>
      <x:c r="H4909" s="1" t="n">
        <x:f>'Historical prices'!E4909</x:f>
        <x:v>1.05</x:v>
      </x:c>
      <x:c r="I4909" s="6" t="n">
        <x:f>'Historical prices'!D4909</x:f>
        <x:v>0.43119999999999997</x:v>
      </x:c>
      <x:c r="J4909" s="13" t="n">
        <x:f>D4909*I4909*H4909</x:f>
        <x:v>0.00482944</x:v>
      </x:c>
      <x:c r="K4909" s="13" t="n">
        <x:f>E4909*I4909*H4909</x:f>
        <x:v>0.26116706000000006</x:v>
      </x:c>
      <x:c r="L4909" s="1" t="str">
        <x:f>TEXT(A4909,"mmm yyyy")</x:f>
        <x:v>Aug 2026</x:v>
      </x:c>
    </x:row>
    <x:row r="4910" ht="21" customHeight="1">
      <x:c r="A4910" s="10" t="n">
        <x:v>46250</x:v>
      </x:c>
      <x:c r="B4910" s="1" t="n">
        <x:v>19</x:v>
      </x:c>
      <x:c r="C4910" s="1" t="n">
        <x:v>6</x:v>
      </x:c>
      <x:c r="D4910" s="12" t="n">
        <x:v>0.46424999999999994</x:v>
      </x:c>
      <x:c r="E4910" s="12" t="n">
        <x:v>0.5715</x:v>
      </x:c>
      <x:c r="F4910" s="12" t="n">
        <x:v>0.091</x:v>
      </x:c>
      <x:c r="G4910" s="12" t="n">
        <x:v>0</x:v>
      </x:c>
      <x:c r="H4910" s="1" t="n">
        <x:f>'Historical prices'!E4910</x:f>
        <x:v>1.05</x:v>
      </x:c>
      <x:c r="I4910" s="6" t="n">
        <x:f>'Historical prices'!D4910</x:f>
        <x:v>0.33130000000000004</x:v>
      </x:c>
      <x:c r="J4910" s="13" t="n">
        <x:f>D4910*I4910*H4910</x:f>
        <x:v>0.16149632625</x:v>
      </x:c>
      <x:c r="K4910" s="13" t="n">
        <x:f>E4910*I4910*H4910</x:f>
        <x:v>0.19880484750000005</x:v>
      </x:c>
      <x:c r="L4910" s="1" t="str">
        <x:f>TEXT(A4910,"mmm yyyy")</x:f>
        <x:v>Aug 2026</x:v>
      </x:c>
    </x:row>
    <x:row r="4911" ht="21" customHeight="1">
      <x:c r="A4911" s="10" t="n">
        <x:v>46250</x:v>
      </x:c>
      <x:c r="B4911" s="1" t="n">
        <x:v>19.5</x:v>
      </x:c>
      <x:c r="C4911" s="1" t="n">
        <x:v>6</x:v>
      </x:c>
      <x:c r="D4911" s="12" t="n">
        <x:v>0.6155</x:v>
      </x:c>
      <x:c r="E4911" s="12" t="n">
        <x:v>0.6265000000000001</x:v>
      </x:c>
      <x:c r="F4911" s="12" t="n">
        <x:v>0</x:v>
      </x:c>
      <x:c r="G4911" s="12" t="n">
        <x:v>0</x:v>
      </x:c>
      <x:c r="H4911" s="1" t="n">
        <x:f>'Historical prices'!E4911</x:f>
        <x:v>1.05</x:v>
      </x:c>
      <x:c r="I4911" s="6" t="n">
        <x:f>'Historical prices'!D4911</x:f>
        <x:v>0.331</x:v>
      </x:c>
      <x:c r="J4911" s="13" t="n">
        <x:f>D4911*I4911*H4911</x:f>
        <x:v>0.21391702500000004</x:v>
      </x:c>
      <x:c r="K4911" s="13" t="n">
        <x:f>E4911*I4911*H4911</x:f>
        <x:v>0.21774007500000006</x:v>
      </x:c>
      <x:c r="L4911" s="1" t="str">
        <x:f>TEXT(A4911,"mmm yyyy")</x:f>
        <x:v>Aug 2026</x:v>
      </x:c>
    </x:row>
    <x:row r="4912" ht="21" customHeight="1">
      <x:c r="A4912" s="10" t="n">
        <x:v>46250</x:v>
      </x:c>
      <x:c r="B4912" s="1" t="n">
        <x:v>20</x:v>
      </x:c>
      <x:c r="C4912" s="1" t="n">
        <x:v>6</x:v>
      </x:c>
      <x:c r="D4912" s="12" t="n">
        <x:v>0.09825</x:v>
      </x:c>
      <x:c r="E4912" s="12" t="n">
        <x:v>0.6473333333333333</x:v>
      </x:c>
      <x:c r="F4912" s="12" t="n">
        <x:v>0.5465833333333333</x:v>
      </x:c>
      <x:c r="G4912" s="12" t="n">
        <x:v>0</x:v>
      </x:c>
      <x:c r="H4912" s="1" t="n">
        <x:f>'Historical prices'!E4912</x:f>
        <x:v>1.05</x:v>
      </x:c>
      <x:c r="I4912" s="6" t="n">
        <x:f>'Historical prices'!D4912</x:f>
        <x:v>0.3392</x:v>
      </x:c>
      <x:c r="J4912" s="13" t="n">
        <x:f>D4912*I4912*H4912</x:f>
        <x:v>0.03499272</x:v>
      </x:c>
      <x:c r="K4912" s="13" t="n">
        <x:f>E4912*I4912*H4912</x:f>
        <x:v>0.23055424</x:v>
      </x:c>
      <x:c r="L4912" s="1" t="str">
        <x:f>TEXT(A4912,"mmm yyyy")</x:f>
        <x:v>Aug 2026</x:v>
      </x:c>
    </x:row>
    <x:row r="4913" ht="21" customHeight="1">
      <x:c r="A4913" s="10" t="n">
        <x:v>46250</x:v>
      </x:c>
      <x:c r="B4913" s="1" t="n">
        <x:v>20.5</x:v>
      </x:c>
      <x:c r="C4913" s="1" t="n">
        <x:v>6</x:v>
      </x:c>
      <x:c r="D4913" s="12" t="n">
        <x:v>0.48550000000000004</x:v>
      </x:c>
      <x:c r="E4913" s="12" t="n">
        <x:v>0.6064166666666667</x:v>
      </x:c>
      <x:c r="F4913" s="12" t="n">
        <x:v>0.11191666666666666</x:v>
      </x:c>
      <x:c r="G4913" s="12" t="n">
        <x:v>0</x:v>
      </x:c>
      <x:c r="H4913" s="1" t="n">
        <x:f>'Historical prices'!E4913</x:f>
        <x:v>1.05</x:v>
      </x:c>
      <x:c r="I4913" s="6" t="n">
        <x:f>'Historical prices'!D4913</x:f>
        <x:v>0.3362</x:v>
      </x:c>
      <x:c r="J4913" s="13" t="n">
        <x:f>D4913*I4913*H4913</x:f>
        <x:v>0.17138635500000002</x:v>
      </x:c>
      <x:c r="K4913" s="13" t="n">
        <x:f>E4913*I4913*H4913</x:f>
        <x:v>0.21407114750000003</x:v>
      </x:c>
      <x:c r="L4913" s="1" t="str">
        <x:f>TEXT(A4913,"mmm yyyy")</x:f>
        <x:v>Aug 2026</x:v>
      </x:c>
    </x:row>
    <x:row r="4914" ht="21" customHeight="1">
      <x:c r="A4914" s="10" t="n">
        <x:v>46250</x:v>
      </x:c>
      <x:c r="B4914" s="1" t="n">
        <x:v>21</x:v>
      </x:c>
      <x:c r="C4914" s="1" t="n">
        <x:v>6</x:v>
      </x:c>
      <x:c r="D4914" s="12" t="n">
        <x:v>0.09525</x:v>
      </x:c>
      <x:c r="E4914" s="12" t="n">
        <x:v>0.6144166666666666</x:v>
      </x:c>
      <x:c r="F4914" s="12" t="n">
        <x:v>0.5156666666666666</x:v>
      </x:c>
      <x:c r="G4914" s="12" t="n">
        <x:v>0</x:v>
      </x:c>
      <x:c r="H4914" s="1" t="n">
        <x:f>'Historical prices'!E4914</x:f>
        <x:v>1.05</x:v>
      </x:c>
      <x:c r="I4914" s="6" t="n">
        <x:f>'Historical prices'!D4914</x:f>
        <x:v>0.3418</x:v>
      </x:c>
      <x:c r="J4914" s="13" t="n">
        <x:f>D4914*I4914*H4914</x:f>
        <x:v>0.0341842725</x:v>
      </x:c>
      <x:c r="K4914" s="13" t="n">
        <x:f>E4914*I4914*H4914</x:f>
        <x:v>0.2205079975</x:v>
      </x:c>
      <x:c r="L4914" s="1" t="str">
        <x:f>TEXT(A4914,"mmm yyyy")</x:f>
        <x:v>Aug 2026</x:v>
      </x:c>
    </x:row>
    <x:row r="4915" ht="21" customHeight="1">
      <x:c r="A4915" s="10" t="n">
        <x:v>46250</x:v>
      </x:c>
      <x:c r="B4915" s="1" t="n">
        <x:v>21.5</x:v>
      </x:c>
      <x:c r="C4915" s="1" t="n">
        <x:v>6</x:v>
      </x:c>
      <x:c r="D4915" s="12" t="n">
        <x:v>0</x:v>
      </x:c>
      <x:c r="E4915" s="12" t="n">
        <x:v>0.58775</x:v>
      </x:c>
      <x:c r="F4915" s="12" t="n">
        <x:v>0.5875833333333333</x:v>
      </x:c>
      <x:c r="G4915" s="12" t="n">
        <x:v>0</x:v>
      </x:c>
      <x:c r="H4915" s="1" t="n">
        <x:f>'Historical prices'!E4915</x:f>
        <x:v>1.05</x:v>
      </x:c>
      <x:c r="I4915" s="6" t="n">
        <x:f>'Historical prices'!D4915</x:f>
        <x:v>0.34009999999999996</x:v>
      </x:c>
      <x:c r="J4915" s="13" t="n">
        <x:f>D4915*I4915*H4915</x:f>
        <x:v>0</x:v>
      </x:c>
      <x:c r="K4915" s="13" t="n">
        <x:f>E4915*I4915*H4915</x:f>
        <x:v>0.20988846374999998</x:v>
      </x:c>
      <x:c r="L4915" s="1" t="str">
        <x:f>TEXT(A4915,"mmm yyyy")</x:f>
        <x:v>Aug 2026</x:v>
      </x:c>
    </x:row>
    <x:row r="4916" ht="21" customHeight="1">
      <x:c r="A4916" s="10" t="n">
        <x:v>46250</x:v>
      </x:c>
      <x:c r="B4916" s="1" t="n">
        <x:v>22</x:v>
      </x:c>
      <x:c r="C4916" s="1" t="n">
        <x:v>6</x:v>
      </x:c>
      <x:c r="D4916" s="12" t="n">
        <x:v>0.41675</x:v>
      </x:c>
      <x:c r="E4916" s="12" t="n">
        <x:v>0.49800000000000005</x:v>
      </x:c>
      <x:c r="F4916" s="12" t="n">
        <x:v>0.07</x:v>
      </x:c>
      <x:c r="G4916" s="12" t="n">
        <x:v>0</x:v>
      </x:c>
      <x:c r="H4916" s="1" t="n">
        <x:f>'Historical prices'!E4916</x:f>
        <x:v>1.05</x:v>
      </x:c>
      <x:c r="I4916" s="6" t="n">
        <x:f>'Historical prices'!D4916</x:f>
        <x:v>0.3214</x:v>
      </x:c>
      <x:c r="J4916" s="13" t="n">
        <x:f>D4916*I4916*H4916</x:f>
        <x:v>0.14064062250000003</x:v>
      </x:c>
      <x:c r="K4916" s="13" t="n">
        <x:f>E4916*I4916*H4916</x:f>
        <x:v>0.16806006000000004</x:v>
      </x:c>
      <x:c r="L4916" s="1" t="str">
        <x:f>TEXT(A4916,"mmm yyyy")</x:f>
        <x:v>Aug 2026</x:v>
      </x:c>
    </x:row>
    <x:row r="4917" ht="21" customHeight="1">
      <x:c r="A4917" s="10" t="n">
        <x:v>46250</x:v>
      </x:c>
      <x:c r="B4917" s="1" t="n">
        <x:v>22.5</x:v>
      </x:c>
      <x:c r="C4917" s="1" t="n">
        <x:v>6</x:v>
      </x:c>
      <x:c r="D4917" s="12" t="n">
        <x:v>0.22025</x:v>
      </x:c>
      <x:c r="E4917" s="12" t="n">
        <x:v>0.23125</x:v>
      </x:c>
      <x:c r="F4917" s="12" t="n">
        <x:v>0</x:v>
      </x:c>
      <x:c r="G4917" s="12" t="n">
        <x:v>0</x:v>
      </x:c>
      <x:c r="H4917" s="1" t="n">
        <x:f>'Historical prices'!E4917</x:f>
        <x:v>1.05</x:v>
      </x:c>
      <x:c r="I4917" s="6" t="n">
        <x:f>'Historical prices'!D4917</x:f>
        <x:v>0.3048</x:v>
      </x:c>
      <x:c r="J4917" s="13" t="n">
        <x:f>D4917*I4917*H4917</x:f>
        <x:v>0.07048881000000001</x:v>
      </x:c>
      <x:c r="K4917" s="13" t="n">
        <x:f>E4917*I4917*H4917</x:f>
        <x:v>0.07400925000000001</x:v>
      </x:c>
      <x:c r="L4917" s="1" t="str">
        <x:f>TEXT(A4917,"mmm yyyy")</x:f>
        <x:v>Aug 2026</x:v>
      </x:c>
    </x:row>
    <x:row r="4918" ht="21" customHeight="1">
      <x:c r="A4918" s="10" t="n">
        <x:v>46250</x:v>
      </x:c>
      <x:c r="B4918" s="1" t="n">
        <x:v>23</x:v>
      </x:c>
      <x:c r="C4918" s="1" t="n">
        <x:v>6</x:v>
      </x:c>
      <x:c r="D4918" s="12" t="n">
        <x:v>0.29324999999999996</x:v>
      </x:c>
      <x:c r="E4918" s="12" t="n">
        <x:v>0.30424999999999996</x:v>
      </x:c>
      <x:c r="F4918" s="12" t="n">
        <x:v>0</x:v>
      </x:c>
      <x:c r="G4918" s="12" t="n">
        <x:v>0</x:v>
      </x:c>
      <x:c r="H4918" s="1" t="n">
        <x:f>'Historical prices'!E4918</x:f>
        <x:v>1.05</x:v>
      </x:c>
      <x:c r="I4918" s="6" t="n">
        <x:f>'Historical prices'!D4918</x:f>
        <x:v>0.32770000000000005</x:v>
      </x:c>
      <x:c r="J4918" s="13" t="n">
        <x:f>D4918*I4918*H4918</x:f>
        <x:v>0.10090292625000001</x:v>
      </x:c>
      <x:c r="K4918" s="13" t="n">
        <x:f>E4918*I4918*H4918</x:f>
        <x:v>0.10468786125000001</x:v>
      </x:c>
      <x:c r="L4918" s="1" t="str">
        <x:f>TEXT(A4918,"mmm yyyy")</x:f>
        <x:v>Aug 2026</x:v>
      </x:c>
    </x:row>
    <x:row r="4919" ht="21" customHeight="1">
      <x:c r="A4919" s="10" t="n">
        <x:v>46250</x:v>
      </x:c>
      <x:c r="B4919" s="1" t="n">
        <x:v>23.5</x:v>
      </x:c>
      <x:c r="C4919" s="1" t="n">
        <x:v>6</x:v>
      </x:c>
      <x:c r="D4919" s="12" t="n">
        <x:v>0.29425</x:v>
      </x:c>
      <x:c r="E4919" s="12" t="n">
        <x:v>0.30625</x:v>
      </x:c>
      <x:c r="F4919" s="12" t="n">
        <x:v>0</x:v>
      </x:c>
      <x:c r="G4919" s="12" t="n">
        <x:v>0</x:v>
      </x:c>
      <x:c r="H4919" s="1" t="n">
        <x:f>'Historical prices'!E4919</x:f>
        <x:v>1.05</x:v>
      </x:c>
      <x:c r="I4919" s="6" t="n">
        <x:f>'Historical prices'!D4919</x:f>
        <x:v>0.30760000000000004</x:v>
      </x:c>
      <x:c r="J4919" s="13" t="n">
        <x:f>D4919*I4919*H4919</x:f>
        <x:v>0.09503686500000003</x:v>
      </x:c>
      <x:c r="K4919" s="13" t="n">
        <x:f>E4919*I4919*H4919</x:f>
        <x:v>0.09891262500000003</x:v>
      </x:c>
      <x:c r="L4919" s="1" t="str">
        <x:f>TEXT(A4919,"mmm yyyy")</x:f>
        <x:v>Aug 2026</x:v>
      </x:c>
    </x:row>
    <x:row r="4920" ht="21" customHeight="1">
      <x:c r="A4920" s="10" t="n">
        <x:v>46251</x:v>
      </x:c>
      <x:c r="B4920" s="1" t="n">
        <x:v>0</x:v>
      </x:c>
      <x:c r="C4920" s="1" t="n">
        <x:v>6</x:v>
      </x:c>
      <x:c r="D4920" s="12" t="n">
        <x:v>0.5782499999999999</x:v>
      </x:c>
      <x:c r="E4920" s="12" t="n">
        <x:v>0.5882499999999999</x:v>
      </x:c>
      <x:c r="F4920" s="12" t="n">
        <x:v>0</x:v>
      </x:c>
      <x:c r="G4920" s="12" t="n">
        <x:v>0</x:v>
      </x:c>
      <x:c r="H4920" s="1" t="n">
        <x:f>'Historical prices'!E4920</x:f>
        <x:v>1.05</x:v>
      </x:c>
      <x:c r="I4920" s="6" t="n">
        <x:f>'Historical prices'!D4920</x:f>
        <x:v>0.29710000000000003</x:v>
      </x:c>
      <x:c r="J4920" s="13" t="n">
        <x:f>D4920*I4920*H4920</x:f>
        <x:v>0.18038797875</x:v>
      </x:c>
      <x:c r="K4920" s="13" t="n">
        <x:f>E4920*I4920*H4920</x:f>
        <x:v>0.18350752875</x:v>
      </x:c>
      <x:c r="L4920" s="1" t="str">
        <x:f>TEXT(A4920,"mmm yyyy")</x:f>
        <x:v>Aug 2026</x:v>
      </x:c>
    </x:row>
    <x:row r="4921" ht="21" customHeight="1">
      <x:c r="A4921" s="10" t="n">
        <x:v>46251</x:v>
      </x:c>
      <x:c r="B4921" s="1" t="n">
        <x:v>0.5</x:v>
      </x:c>
      <x:c r="C4921" s="1" t="n">
        <x:v>6</x:v>
      </x:c>
      <x:c r="D4921" s="12" t="n">
        <x:v>0.31425000000000003</x:v>
      </x:c>
      <x:c r="E4921" s="12" t="n">
        <x:v>0.32425000000000004</x:v>
      </x:c>
      <x:c r="F4921" s="12" t="n">
        <x:v>0</x:v>
      </x:c>
      <x:c r="G4921" s="12" t="n">
        <x:v>0</x:v>
      </x:c>
      <x:c r="H4921" s="1" t="n">
        <x:f>'Historical prices'!E4921</x:f>
        <x:v>1.05</x:v>
      </x:c>
      <x:c r="I4921" s="6" t="n">
        <x:f>'Historical prices'!D4921</x:f>
        <x:v>0.3005</x:v>
      </x:c>
      <x:c r="J4921" s="13" t="n">
        <x:f>D4921*I4921*H4921</x:f>
        <x:v>0.09915373125000002</x:v>
      </x:c>
      <x:c r="K4921" s="13" t="n">
        <x:f>E4921*I4921*H4921</x:f>
        <x:v>0.10230898125000001</x:v>
      </x:c>
      <x:c r="L4921" s="1" t="str">
        <x:f>TEXT(A4921,"mmm yyyy")</x:f>
        <x:v>Aug 2026</x:v>
      </x:c>
    </x:row>
    <x:row r="4922" ht="21" customHeight="1">
      <x:c r="A4922" s="10" t="n">
        <x:v>46251</x:v>
      </x:c>
      <x:c r="B4922" s="1" t="n">
        <x:v>1</x:v>
      </x:c>
      <x:c r="C4922" s="1" t="n">
        <x:v>6</x:v>
      </x:c>
      <x:c r="D4922" s="12" t="n">
        <x:v>0.22025</x:v>
      </x:c>
      <x:c r="E4922" s="12" t="n">
        <x:v>0.23025</x:v>
      </x:c>
      <x:c r="F4922" s="12" t="n">
        <x:v>0</x:v>
      </x:c>
      <x:c r="G4922" s="12" t="n">
        <x:v>0</x:v>
      </x:c>
      <x:c r="H4922" s="1" t="n">
        <x:f>'Historical prices'!E4922</x:f>
        <x:v>1.05</x:v>
      </x:c>
      <x:c r="I4922" s="6" t="n">
        <x:f>'Historical prices'!D4922</x:f>
        <x:v>0.292</x:v>
      </x:c>
      <x:c r="J4922" s="13" t="n">
        <x:f>D4922*I4922*H4922</x:f>
        <x:v>0.06752865</x:v>
      </x:c>
      <x:c r="K4922" s="13" t="n">
        <x:f>E4922*I4922*H4922</x:f>
        <x:v>0.07059465000000001</x:v>
      </x:c>
      <x:c r="L4922" s="1" t="str">
        <x:f>TEXT(A4922,"mmm yyyy")</x:f>
        <x:v>Aug 2026</x:v>
      </x:c>
    </x:row>
    <x:row r="4923" ht="21" customHeight="1">
      <x:c r="A4923" s="10" t="n">
        <x:v>46251</x:v>
      </x:c>
      <x:c r="B4923" s="1" t="n">
        <x:v>1.5</x:v>
      </x:c>
      <x:c r="C4923" s="1" t="n">
        <x:v>6</x:v>
      </x:c>
      <x:c r="D4923" s="12" t="n">
        <x:v>0.1965</x:v>
      </x:c>
      <x:c r="E4923" s="12" t="n">
        <x:v>0.2085</x:v>
      </x:c>
      <x:c r="F4923" s="12" t="n">
        <x:v>0</x:v>
      </x:c>
      <x:c r="G4923" s="12" t="n">
        <x:v>0</x:v>
      </x:c>
      <x:c r="H4923" s="1" t="n">
        <x:f>'Historical prices'!E4923</x:f>
        <x:v>1.05</x:v>
      </x:c>
      <x:c r="I4923" s="6" t="n">
        <x:f>'Historical prices'!D4923</x:f>
        <x:v>0.2822</x:v>
      </x:c>
      <x:c r="J4923" s="13" t="n">
        <x:f>D4923*I4923*H4923</x:f>
        <x:v>0.05822491500000001</x:v>
      </x:c>
      <x:c r="K4923" s="13" t="n">
        <x:f>E4923*I4923*H4923</x:f>
        <x:v>0.061780635</x:v>
      </x:c>
      <x:c r="L4923" s="1" t="str">
        <x:f>TEXT(A4923,"mmm yyyy")</x:f>
        <x:v>Aug 2026</x:v>
      </x:c>
    </x:row>
    <x:row r="4924" ht="21" customHeight="1">
      <x:c r="A4924" s="10" t="n">
        <x:v>46251</x:v>
      </x:c>
      <x:c r="B4924" s="1" t="n">
        <x:v>2</x:v>
      </x:c>
      <x:c r="C4924" s="1" t="n">
        <x:v>6</x:v>
      </x:c>
      <x:c r="D4924" s="12" t="n">
        <x:v>0.24100000000000002</x:v>
      </x:c>
      <x:c r="E4924" s="12" t="n">
        <x:v>0.25</x:v>
      </x:c>
      <x:c r="F4924" s="12" t="n">
        <x:v>0</x:v>
      </x:c>
      <x:c r="G4924" s="12" t="n">
        <x:v>0</x:v>
      </x:c>
      <x:c r="H4924" s="1" t="n">
        <x:f>'Historical prices'!E4924</x:f>
        <x:v>1.05</x:v>
      </x:c>
      <x:c r="I4924" s="6" t="n">
        <x:f>'Historical prices'!D4924</x:f>
        <x:v>0.2796</x:v>
      </x:c>
      <x:c r="J4924" s="13" t="n">
        <x:f>D4924*I4924*H4924</x:f>
        <x:v>0.07075278000000002</x:v>
      </x:c>
      <x:c r="K4924" s="13" t="n">
        <x:f>E4924*I4924*H4924</x:f>
        <x:v>0.073395</x:v>
      </x:c>
      <x:c r="L4924" s="1" t="str">
        <x:f>TEXT(A4924,"mmm yyyy")</x:f>
        <x:v>Aug 2026</x:v>
      </x:c>
    </x:row>
    <x:row r="4925" ht="21" customHeight="1">
      <x:c r="A4925" s="10" t="n">
        <x:v>46251</x:v>
      </x:c>
      <x:c r="B4925" s="1" t="n">
        <x:v>2.5</x:v>
      </x:c>
      <x:c r="C4925" s="1" t="n">
        <x:v>6</x:v>
      </x:c>
      <x:c r="D4925" s="12" t="n">
        <x:v>0.24575000000000002</x:v>
      </x:c>
      <x:c r="E4925" s="12" t="n">
        <x:v>0.25675</x:v>
      </x:c>
      <x:c r="F4925" s="12" t="n">
        <x:v>0</x:v>
      </x:c>
      <x:c r="G4925" s="12" t="n">
        <x:v>0</x:v>
      </x:c>
      <x:c r="H4925" s="1" t="n">
        <x:f>'Historical prices'!E4925</x:f>
        <x:v>1.05</x:v>
      </x:c>
      <x:c r="I4925" s="6" t="n">
        <x:f>'Historical prices'!D4925</x:f>
        <x:v>0.2803</x:v>
      </x:c>
      <x:c r="J4925" s="13" t="n">
        <x:f>D4925*I4925*H4925</x:f>
        <x:v>0.07232791125000002</x:v>
      </x:c>
      <x:c r="K4925" s="13" t="n">
        <x:f>E4925*I4925*H4925</x:f>
        <x:v>0.07556537625</x:v>
      </x:c>
      <x:c r="L4925" s="1" t="str">
        <x:f>TEXT(A4925,"mmm yyyy")</x:f>
        <x:v>Aug 2026</x:v>
      </x:c>
    </x:row>
    <x:row r="4926" ht="21" customHeight="1">
      <x:c r="A4926" s="10" t="n">
        <x:v>46251</x:v>
      </x:c>
      <x:c r="B4926" s="1" t="n">
        <x:v>3</x:v>
      </x:c>
      <x:c r="C4926" s="1" t="n">
        <x:v>6</x:v>
      </x:c>
      <x:c r="D4926" s="12" t="n">
        <x:v>0.2185</x:v>
      </x:c>
      <x:c r="E4926" s="12" t="n">
        <x:v>0.2285</x:v>
      </x:c>
      <x:c r="F4926" s="12" t="n">
        <x:v>0</x:v>
      </x:c>
      <x:c r="G4926" s="12" t="n">
        <x:v>0</x:v>
      </x:c>
      <x:c r="H4926" s="1" t="n">
        <x:f>'Historical prices'!E4926</x:f>
        <x:v>1.05</x:v>
      </x:c>
      <x:c r="I4926" s="6" t="n">
        <x:f>'Historical prices'!D4926</x:f>
        <x:v>0.2839</x:v>
      </x:c>
      <x:c r="J4926" s="13" t="n">
        <x:f>D4926*I4926*H4926</x:f>
        <x:v>0.0651337575</x:v>
      </x:c>
      <x:c r="K4926" s="13" t="n">
        <x:f>E4926*I4926*H4926</x:f>
        <x:v>0.06811470750000001</x:v>
      </x:c>
      <x:c r="L4926" s="1" t="str">
        <x:f>TEXT(A4926,"mmm yyyy")</x:f>
        <x:v>Aug 2026</x:v>
      </x:c>
    </x:row>
    <x:row r="4927" ht="21" customHeight="1">
      <x:c r="A4927" s="10" t="n">
        <x:v>46251</x:v>
      </x:c>
      <x:c r="B4927" s="1" t="n">
        <x:v>3.5</x:v>
      </x:c>
      <x:c r="C4927" s="1" t="n">
        <x:v>6</x:v>
      </x:c>
      <x:c r="D4927" s="12" t="n">
        <x:v>0.26325</x:v>
      </x:c>
      <x:c r="E4927" s="12" t="n">
        <x:v>0.27325</x:v>
      </x:c>
      <x:c r="F4927" s="12" t="n">
        <x:v>0</x:v>
      </x:c>
      <x:c r="G4927" s="12" t="n">
        <x:v>0</x:v>
      </x:c>
      <x:c r="H4927" s="1" t="n">
        <x:f>'Historical prices'!E4927</x:f>
        <x:v>1.05</x:v>
      </x:c>
      <x:c r="I4927" s="6" t="n">
        <x:f>'Historical prices'!D4927</x:f>
        <x:v>0.2793</x:v>
      </x:c>
      <x:c r="J4927" s="13" t="n">
        <x:f>D4927*I4927*H4927</x:f>
        <x:v>0.07720201125000001</x:v>
      </x:c>
      <x:c r="K4927" s="13" t="n">
        <x:f>E4927*I4927*H4927</x:f>
        <x:v>0.08013466124999999</x:v>
      </x:c>
      <x:c r="L4927" s="1" t="str">
        <x:f>TEXT(A4927,"mmm yyyy")</x:f>
        <x:v>Aug 2026</x:v>
      </x:c>
    </x:row>
    <x:row r="4928" ht="21" customHeight="1">
      <x:c r="A4928" s="10" t="n">
        <x:v>46251</x:v>
      </x:c>
      <x:c r="B4928" s="1" t="n">
        <x:v>4</x:v>
      </x:c>
      <x:c r="C4928" s="1" t="n">
        <x:v>6</x:v>
      </x:c>
      <x:c r="D4928" s="12" t="n">
        <x:v>0.23875000000000002</x:v>
      </x:c>
      <x:c r="E4928" s="12" t="n">
        <x:v>0.24975000000000003</x:v>
      </x:c>
      <x:c r="F4928" s="12" t="n">
        <x:v>0</x:v>
      </x:c>
      <x:c r="G4928" s="12" t="n">
        <x:v>0</x:v>
      </x:c>
      <x:c r="H4928" s="1" t="n">
        <x:f>'Historical prices'!E4928</x:f>
        <x:v>1.05</x:v>
      </x:c>
      <x:c r="I4928" s="6" t="n">
        <x:f>'Historical prices'!D4928</x:f>
        <x:v>0.2955</x:v>
      </x:c>
      <x:c r="J4928" s="13" t="n">
        <x:f>D4928*I4928*H4928</x:f>
        <x:v>0.07407815625000001</x:v>
      </x:c>
      <x:c r="K4928" s="13" t="n">
        <x:f>E4928*I4928*H4928</x:f>
        <x:v>0.07749118125000001</x:v>
      </x:c>
      <x:c r="L4928" s="1" t="str">
        <x:f>TEXT(A4928,"mmm yyyy")</x:f>
        <x:v>Aug 2026</x:v>
      </x:c>
    </x:row>
    <x:row r="4929" ht="21" customHeight="1">
      <x:c r="A4929" s="10" t="n">
        <x:v>46251</x:v>
      </x:c>
      <x:c r="B4929" s="1" t="n">
        <x:v>4.5</x:v>
      </x:c>
      <x:c r="C4929" s="1" t="n">
        <x:v>6</x:v>
      </x:c>
      <x:c r="D4929" s="12" t="n">
        <x:v>0.19325</x:v>
      </x:c>
      <x:c r="E4929" s="12" t="n">
        <x:v>0.20325000000000001</x:v>
      </x:c>
      <x:c r="F4929" s="12" t="n">
        <x:v>0</x:v>
      </x:c>
      <x:c r="G4929" s="12" t="n">
        <x:v>0</x:v>
      </x:c>
      <x:c r="H4929" s="1" t="n">
        <x:f>'Historical prices'!E4929</x:f>
        <x:v>1.05</x:v>
      </x:c>
      <x:c r="I4929" s="6" t="n">
        <x:f>'Historical prices'!D4929</x:f>
        <x:v>0.2789</x:v>
      </x:c>
      <x:c r="J4929" s="13" t="n">
        <x:f>D4929*I4929*H4929</x:f>
        <x:v>0.05659229625</x:v>
      </x:c>
      <x:c r="K4929" s="13" t="n">
        <x:f>E4929*I4929*H4929</x:f>
        <x:v>0.05952074625</x:v>
      </x:c>
      <x:c r="L4929" s="1" t="str">
        <x:f>TEXT(A4929,"mmm yyyy")</x:f>
        <x:v>Aug 2026</x:v>
      </x:c>
    </x:row>
    <x:row r="4930" ht="21" customHeight="1">
      <x:c r="A4930" s="10" t="n">
        <x:v>46251</x:v>
      </x:c>
      <x:c r="B4930" s="1" t="n">
        <x:v>5</x:v>
      </x:c>
      <x:c r="C4930" s="1" t="n">
        <x:v>6</x:v>
      </x:c>
      <x:c r="D4930" s="12" t="n">
        <x:v>0.22400000000000003</x:v>
      </x:c>
      <x:c r="E4930" s="12" t="n">
        <x:v>0.23400000000000004</x:v>
      </x:c>
      <x:c r="F4930" s="12" t="n">
        <x:v>0</x:v>
      </x:c>
      <x:c r="G4930" s="12" t="n">
        <x:v>0</x:v>
      </x:c>
      <x:c r="H4930" s="1" t="n">
        <x:f>'Historical prices'!E4930</x:f>
        <x:v>1.05</x:v>
      </x:c>
      <x:c r="I4930" s="6" t="n">
        <x:f>'Historical prices'!D4930</x:f>
        <x:v>0.3206</x:v>
      </x:c>
      <x:c r="J4930" s="13" t="n">
        <x:f>D4930*I4930*H4930</x:f>
        <x:v>0.07540512000000002</x:v>
      </x:c>
      <x:c r="K4930" s="13" t="n">
        <x:f>E4930*I4930*H4930</x:f>
        <x:v>0.07877142000000002</x:v>
      </x:c>
      <x:c r="L4930" s="1" t="str">
        <x:f>TEXT(A4930,"mmm yyyy")</x:f>
        <x:v>Aug 2026</x:v>
      </x:c>
    </x:row>
    <x:row r="4931" ht="21" customHeight="1">
      <x:c r="A4931" s="10" t="n">
        <x:v>46251</x:v>
      </x:c>
      <x:c r="B4931" s="1" t="n">
        <x:v>5.5</x:v>
      </x:c>
      <x:c r="C4931" s="1" t="n">
        <x:v>6</x:v>
      </x:c>
      <x:c r="D4931" s="12" t="n">
        <x:v>0.33075</x:v>
      </x:c>
      <x:c r="E4931" s="12" t="n">
        <x:v>0.34175</x:v>
      </x:c>
      <x:c r="F4931" s="12" t="n">
        <x:v>0</x:v>
      </x:c>
      <x:c r="G4931" s="12" t="n">
        <x:v>0</x:v>
      </x:c>
      <x:c r="H4931" s="1" t="n">
        <x:f>'Historical prices'!E4931</x:f>
        <x:v>1.05</x:v>
      </x:c>
      <x:c r="I4931" s="6" t="n">
        <x:f>'Historical prices'!D4931</x:f>
        <x:v>0.32409999999999994</x:v>
      </x:c>
      <x:c r="J4931" s="13" t="n">
        <x:f>D4931*I4931*H4931</x:f>
        <x:v>0.11255587874999998</x:v>
      </x:c>
      <x:c r="K4931" s="13" t="n">
        <x:f>E4931*I4931*H4931</x:f>
        <x:v>0.11629923374999998</x:v>
      </x:c>
      <x:c r="L4931" s="1" t="str">
        <x:f>TEXT(A4931,"mmm yyyy")</x:f>
        <x:v>Aug 2026</x:v>
      </x:c>
    </x:row>
    <x:row r="4932" ht="21" customHeight="1">
      <x:c r="A4932" s="10" t="n">
        <x:v>46251</x:v>
      </x:c>
      <x:c r="B4932" s="1" t="n">
        <x:v>6</x:v>
      </x:c>
      <x:c r="C4932" s="1" t="n">
        <x:v>6</x:v>
      </x:c>
      <x:c r="D4932" s="12" t="n">
        <x:v>0.3125</x:v>
      </x:c>
      <x:c r="E4932" s="12" t="n">
        <x:v>0.3225</x:v>
      </x:c>
      <x:c r="F4932" s="12" t="n">
        <x:v>0</x:v>
      </x:c>
      <x:c r="G4932" s="12" t="n">
        <x:v>0</x:v>
      </x:c>
      <x:c r="H4932" s="1" t="n">
        <x:f>'Historical prices'!E4932</x:f>
        <x:v>1.05</x:v>
      </x:c>
      <x:c r="I4932" s="6" t="n">
        <x:f>'Historical prices'!D4932</x:f>
        <x:v>0.3328</x:v>
      </x:c>
      <x:c r="J4932" s="13" t="n">
        <x:f>D4932*I4932*H4932</x:f>
        <x:v>0.1092</x:v>
      </x:c>
      <x:c r="K4932" s="13" t="n">
        <x:f>E4932*I4932*H4932</x:f>
        <x:v>0.1126944</x:v>
      </x:c>
      <x:c r="L4932" s="1" t="str">
        <x:f>TEXT(A4932,"mmm yyyy")</x:f>
        <x:v>Aug 2026</x:v>
      </x:c>
    </x:row>
    <x:row r="4933" ht="21" customHeight="1">
      <x:c r="A4933" s="10" t="n">
        <x:v>46251</x:v>
      </x:c>
      <x:c r="B4933" s="1" t="n">
        <x:v>6.5</x:v>
      </x:c>
      <x:c r="C4933" s="1" t="n">
        <x:v>6</x:v>
      </x:c>
      <x:c r="D4933" s="12" t="n">
        <x:v>0.07225</x:v>
      </x:c>
      <x:c r="E4933" s="12" t="n">
        <x:v>0.5543333333333333</x:v>
      </x:c>
      <x:c r="F4933" s="12" t="n">
        <x:v>0.47975</x:v>
      </x:c>
      <x:c r="G4933" s="12" t="n">
        <x:v>0</x:v>
      </x:c>
      <x:c r="H4933" s="1" t="n">
        <x:f>'Historical prices'!E4933</x:f>
        <x:v>1.05</x:v>
      </x:c>
      <x:c r="I4933" s="6" t="n">
        <x:f>'Historical prices'!D4933</x:f>
        <x:v>0.34</x:v>
      </x:c>
      <x:c r="J4933" s="13" t="n">
        <x:f>D4933*I4933*H4933</x:f>
        <x:v>0.02579325</x:v>
      </x:c>
      <x:c r="K4933" s="13" t="n">
        <x:f>E4933*I4933*H4933</x:f>
        <x:v>0.19789700000000002</x:v>
      </x:c>
      <x:c r="L4933" s="1" t="str">
        <x:f>TEXT(A4933,"mmm yyyy")</x:f>
        <x:v>Aug 2026</x:v>
      </x:c>
    </x:row>
    <x:row r="4934" ht="21" customHeight="1">
      <x:c r="A4934" s="10" t="n">
        <x:v>46251</x:v>
      </x:c>
      <x:c r="B4934" s="1" t="n">
        <x:v>7</x:v>
      </x:c>
      <x:c r="C4934" s="1" t="n">
        <x:v>6</x:v>
      </x:c>
      <x:c r="D4934" s="12" t="n">
        <x:v>0</x:v>
      </x:c>
      <x:c r="E4934" s="12" t="n">
        <x:v>0.58675</x:v>
      </x:c>
      <x:c r="F4934" s="12" t="n">
        <x:v>0.5786666666666667</x:v>
      </x:c>
      <x:c r="G4934" s="12" t="n">
        <x:v>0</x:v>
      </x:c>
      <x:c r="H4934" s="1" t="n">
        <x:f>'Historical prices'!E4934</x:f>
        <x:v>1.05</x:v>
      </x:c>
      <x:c r="I4934" s="6" t="n">
        <x:f>'Historical prices'!D4934</x:f>
        <x:v>0.3469</x:v>
      </x:c>
      <x:c r="J4934" s="13" t="n">
        <x:f>D4934*I4934*H4934</x:f>
        <x:v>0</x:v>
      </x:c>
      <x:c r="K4934" s="13" t="n">
        <x:f>E4934*I4934*H4934</x:f>
        <x:v>0.21372075375</x:v>
      </x:c>
      <x:c r="L4934" s="1" t="str">
        <x:f>TEXT(A4934,"mmm yyyy")</x:f>
        <x:v>Aug 2026</x:v>
      </x:c>
    </x:row>
    <x:row r="4935" ht="21" customHeight="1">
      <x:c r="A4935" s="10" t="n">
        <x:v>46251</x:v>
      </x:c>
      <x:c r="B4935" s="1" t="n">
        <x:v>7.5</x:v>
      </x:c>
      <x:c r="C4935" s="1" t="n">
        <x:v>6</x:v>
      </x:c>
      <x:c r="D4935" s="12" t="n">
        <x:v>0</x:v>
      </x:c>
      <x:c r="E4935" s="12" t="n">
        <x:v>1.0795833333333333</x:v>
      </x:c>
      <x:c r="F4935" s="12" t="n">
        <x:v>1.0791666666666666</x:v>
      </x:c>
      <x:c r="G4935" s="12" t="n">
        <x:v>0</x:v>
      </x:c>
      <x:c r="H4935" s="1" t="n">
        <x:f>'Historical prices'!E4935</x:f>
        <x:v>1.05</x:v>
      </x:c>
      <x:c r="I4935" s="6" t="n">
        <x:f>'Historical prices'!D4935</x:f>
        <x:v>0.3661</x:v>
      </x:c>
      <x:c r="J4935" s="13" t="n">
        <x:f>D4935*I4935*H4935</x:f>
        <x:v>0</x:v>
      </x:c>
      <x:c r="K4935" s="13" t="n">
        <x:f>E4935*I4935*H4935</x:f>
        <x:v>0.41499723125</x:v>
      </x:c>
      <x:c r="L4935" s="1" t="str">
        <x:f>TEXT(A4935,"mmm yyyy")</x:f>
        <x:v>Aug 2026</x:v>
      </x:c>
    </x:row>
    <x:row r="4936" ht="21" customHeight="1">
      <x:c r="A4936" s="10" t="n">
        <x:v>46251</x:v>
      </x:c>
      <x:c r="B4936" s="1" t="n">
        <x:v>8</x:v>
      </x:c>
      <x:c r="C4936" s="1" t="n">
        <x:v>6</x:v>
      </x:c>
      <x:c r="D4936" s="12" t="n">
        <x:v>0</x:v>
      </x:c>
      <x:c r="E4936" s="12" t="n">
        <x:v>0.6448333333333334</x:v>
      </x:c>
      <x:c r="F4936" s="12" t="n">
        <x:v>0.6443333333333333</x:v>
      </x:c>
      <x:c r="G4936" s="12" t="n">
        <x:v>0</x:v>
      </x:c>
      <x:c r="H4936" s="1" t="n">
        <x:f>'Historical prices'!E4936</x:f>
        <x:v>1.05</x:v>
      </x:c>
      <x:c r="I4936" s="6" t="n">
        <x:f>'Historical prices'!D4936</x:f>
        <x:v>0.3582</x:v>
      </x:c>
      <x:c r="J4936" s="13" t="n">
        <x:f>D4936*I4936*H4936</x:f>
        <x:v>0</x:v>
      </x:c>
      <x:c r="K4936" s="13" t="n">
        <x:f>E4936*I4936*H4936</x:f>
        <x:v>0.24252826500000005</x:v>
      </x:c>
      <x:c r="L4936" s="1" t="str">
        <x:f>TEXT(A4936,"mmm yyyy")</x:f>
        <x:v>Aug 2026</x:v>
      </x:c>
    </x:row>
    <x:row r="4937" ht="21" customHeight="1">
      <x:c r="A4937" s="10" t="n">
        <x:v>46251</x:v>
      </x:c>
      <x:c r="B4937" s="1" t="n">
        <x:v>8.5</x:v>
      </x:c>
      <x:c r="C4937" s="1" t="n">
        <x:v>6</x:v>
      </x:c>
      <x:c r="D4937" s="12" t="n">
        <x:v>0</x:v>
      </x:c>
      <x:c r="E4937" s="12" t="n">
        <x:v>0.9429166666666667</x:v>
      </x:c>
      <x:c r="F4937" s="12" t="n">
        <x:v>0.9425</x:v>
      </x:c>
      <x:c r="G4937" s="12" t="n">
        <x:v>0</x:v>
      </x:c>
      <x:c r="H4937" s="1" t="n">
        <x:f>'Historical prices'!E4937</x:f>
        <x:v>1.05</x:v>
      </x:c>
      <x:c r="I4937" s="6" t="n">
        <x:f>'Historical prices'!D4937</x:f>
        <x:v>0.3575</x:v>
      </x:c>
      <x:c r="J4937" s="13" t="n">
        <x:f>D4937*I4937*H4937</x:f>
        <x:v>0</x:v>
      </x:c>
      <x:c r="K4937" s="13" t="n">
        <x:f>E4937*I4937*H4937</x:f>
        <x:v>0.35394734375000003</x:v>
      </x:c>
      <x:c r="L4937" s="1" t="str">
        <x:f>TEXT(A4937,"mmm yyyy")</x:f>
        <x:v>Aug 2026</x:v>
      </x:c>
    </x:row>
    <x:row r="4938" ht="21" customHeight="1">
      <x:c r="A4938" s="10" t="n">
        <x:v>46251</x:v>
      </x:c>
      <x:c r="B4938" s="1" t="n">
        <x:v>9</x:v>
      </x:c>
      <x:c r="C4938" s="1" t="n">
        <x:v>6</x:v>
      </x:c>
      <x:c r="D4938" s="12" t="n">
        <x:v>0.48875</x:v>
      </x:c>
      <x:c r="E4938" s="12" t="n">
        <x:v>0.7612499999999999</x:v>
      </x:c>
      <x:c r="F4938" s="12" t="n">
        <x:v>0.26</x:v>
      </x:c>
      <x:c r="G4938" s="12" t="n">
        <x:v>0</x:v>
      </x:c>
      <x:c r="H4938" s="1" t="n">
        <x:f>'Historical prices'!E4938</x:f>
        <x:v>1.05</x:v>
      </x:c>
      <x:c r="I4938" s="6" t="n">
        <x:f>'Historical prices'!D4938</x:f>
        <x:v>0.306</x:v>
      </x:c>
      <x:c r="J4938" s="13" t="n">
        <x:f>D4938*I4938*H4938</x:f>
        <x:v>0.157035375</x:v>
      </x:c>
      <x:c r="K4938" s="13" t="n">
        <x:f>E4938*I4938*H4938</x:f>
        <x:v>0.24458962499999998</x:v>
      </x:c>
      <x:c r="L4938" s="1" t="str">
        <x:f>TEXT(A4938,"mmm yyyy")</x:f>
        <x:v>Aug 2026</x:v>
      </x:c>
    </x:row>
    <x:row r="4939" ht="21" customHeight="1">
      <x:c r="A4939" s="10" t="n">
        <x:v>46251</x:v>
      </x:c>
      <x:c r="B4939" s="1" t="n">
        <x:v>9.5</x:v>
      </x:c>
      <x:c r="C4939" s="1" t="n">
        <x:v>6</x:v>
      </x:c>
      <x:c r="D4939" s="12" t="n">
        <x:v>0.5257499999999999</x:v>
      </x:c>
      <x:c r="E4939" s="12" t="n">
        <x:v>0.53775</x:v>
      </x:c>
      <x:c r="F4939" s="12" t="n">
        <x:v>0</x:v>
      </x:c>
      <x:c r="G4939" s="12" t="n">
        <x:v>0</x:v>
      </x:c>
      <x:c r="H4939" s="1" t="n">
        <x:f>'Historical prices'!E4939</x:f>
        <x:v>1.05</x:v>
      </x:c>
      <x:c r="I4939" s="6" t="n">
        <x:f>'Historical prices'!D4939</x:f>
        <x:v>0.31170000000000003</x:v>
      </x:c>
      <x:c r="J4939" s="13" t="n">
        <x:f>D4939*I4939*H4939</x:f>
        <x:v>0.17207008875</x:v>
      </x:c>
      <x:c r="K4939" s="13" t="n">
        <x:f>E4939*I4939*H4939</x:f>
        <x:v>0.17599750875</x:v>
      </x:c>
      <x:c r="L4939" s="1" t="str">
        <x:f>TEXT(A4939,"mmm yyyy")</x:f>
        <x:v>Aug 2026</x:v>
      </x:c>
    </x:row>
    <x:row r="4940" ht="21" customHeight="1">
      <x:c r="A4940" s="10" t="n">
        <x:v>46251</x:v>
      </x:c>
      <x:c r="B4940" s="1" t="n">
        <x:v>10</x:v>
      </x:c>
      <x:c r="C4940" s="1" t="n">
        <x:v>6</x:v>
      </x:c>
      <x:c r="D4940" s="12" t="n">
        <x:v>0.5035000000000001</x:v>
      </x:c>
      <x:c r="E4940" s="12" t="n">
        <x:v>0.5135000000000001</x:v>
      </x:c>
      <x:c r="F4940" s="12" t="n">
        <x:v>0</x:v>
      </x:c>
      <x:c r="G4940" s="12" t="n">
        <x:v>0</x:v>
      </x:c>
      <x:c r="H4940" s="1" t="n">
        <x:f>'Historical prices'!E4940</x:f>
        <x:v>1.05</x:v>
      </x:c>
      <x:c r="I4940" s="6" t="n">
        <x:f>'Historical prices'!D4940</x:f>
        <x:v>0.331</x:v>
      </x:c>
      <x:c r="J4940" s="13" t="n">
        <x:f>D4940*I4940*H4940</x:f>
        <x:v>0.17499142500000003</x:v>
      </x:c>
      <x:c r="K4940" s="13" t="n">
        <x:f>E4940*I4940*H4940</x:f>
        <x:v>0.17846692500000003</x:v>
      </x:c>
      <x:c r="L4940" s="1" t="str">
        <x:f>TEXT(A4940,"mmm yyyy")</x:f>
        <x:v>Aug 2026</x:v>
      </x:c>
    </x:row>
    <x:row r="4941" ht="21" customHeight="1">
      <x:c r="A4941" s="10" t="n">
        <x:v>46251</x:v>
      </x:c>
      <x:c r="B4941" s="1" t="n">
        <x:v>10.5</x:v>
      </x:c>
      <x:c r="C4941" s="1" t="n">
        <x:v>6</x:v>
      </x:c>
      <x:c r="D4941" s="12" t="n">
        <x:v>0.50125</x:v>
      </x:c>
      <x:c r="E4941" s="12" t="n">
        <x:v>0.51325</x:v>
      </x:c>
      <x:c r="F4941" s="12" t="n">
        <x:v>0</x:v>
      </x:c>
      <x:c r="G4941" s="12" t="n">
        <x:v>0</x:v>
      </x:c>
      <x:c r="H4941" s="1" t="n">
        <x:f>'Historical prices'!E4941</x:f>
        <x:v>1.05</x:v>
      </x:c>
      <x:c r="I4941" s="6" t="n">
        <x:f>'Historical prices'!D4941</x:f>
        <x:v>0.3284</x:v>
      </x:c>
      <x:c r="J4941" s="13" t="n">
        <x:f>D4941*I4941*H4941</x:f>
        <x:v>0.172841025</x:v>
      </x:c>
      <x:c r="K4941" s="13" t="n">
        <x:f>E4941*I4941*H4941</x:f>
        <x:v>0.176978865</x:v>
      </x:c>
      <x:c r="L4941" s="1" t="str">
        <x:f>TEXT(A4941,"mmm yyyy")</x:f>
        <x:v>Aug 2026</x:v>
      </x:c>
    </x:row>
    <x:row r="4942" ht="21" customHeight="1">
      <x:c r="A4942" s="10" t="n">
        <x:v>46251</x:v>
      </x:c>
      <x:c r="B4942" s="1" t="n">
        <x:v>11</x:v>
      </x:c>
      <x:c r="C4942" s="1" t="n">
        <x:v>6</x:v>
      </x:c>
      <x:c r="D4942" s="12" t="n">
        <x:v>0.40275000000000005</x:v>
      </x:c>
      <x:c r="E4942" s="12" t="n">
        <x:v>0.41275000000000006</x:v>
      </x:c>
      <x:c r="F4942" s="12" t="n">
        <x:v>0</x:v>
      </x:c>
      <x:c r="G4942" s="12" t="n">
        <x:v>0</x:v>
      </x:c>
      <x:c r="H4942" s="1" t="n">
        <x:f>'Historical prices'!E4942</x:f>
        <x:v>1.05</x:v>
      </x:c>
      <x:c r="I4942" s="6" t="n">
        <x:f>'Historical prices'!D4942</x:f>
        <x:v>0.2918</x:v>
      </x:c>
      <x:c r="J4942" s="13" t="n">
        <x:f>D4942*I4942*H4942</x:f>
        <x:v>0.12339857250000003</x:v>
      </x:c>
      <x:c r="K4942" s="13" t="n">
        <x:f>E4942*I4942*H4942</x:f>
        <x:v>0.12646247250000003</x:v>
      </x:c>
      <x:c r="L4942" s="1" t="str">
        <x:f>TEXT(A4942,"mmm yyyy")</x:f>
        <x:v>Aug 2026</x:v>
      </x:c>
    </x:row>
    <x:row r="4943" ht="21" customHeight="1">
      <x:c r="A4943" s="10" t="n">
        <x:v>46251</x:v>
      </x:c>
      <x:c r="B4943" s="1" t="n">
        <x:v>11.5</x:v>
      </x:c>
      <x:c r="C4943" s="1" t="n">
        <x:v>6</x:v>
      </x:c>
      <x:c r="D4943" s="12" t="n">
        <x:v>0.4405</x:v>
      </x:c>
      <x:c r="E4943" s="12" t="n">
        <x:v>0.4515</x:v>
      </x:c>
      <x:c r="F4943" s="12" t="n">
        <x:v>0</x:v>
      </x:c>
      <x:c r="G4943" s="12" t="n">
        <x:v>0</x:v>
      </x:c>
      <x:c r="H4943" s="1" t="n">
        <x:f>'Historical prices'!E4943</x:f>
        <x:v>1.05</x:v>
      </x:c>
      <x:c r="I4943" s="6" t="n">
        <x:f>'Historical prices'!D4943</x:f>
        <x:v>0.2942</x:v>
      </x:c>
      <x:c r="J4943" s="13" t="n">
        <x:f>D4943*I4943*H4943</x:f>
        <x:v>0.13607485500000002</x:v>
      </x:c>
      <x:c r="K4943" s="13" t="n">
        <x:f>E4943*I4943*H4943</x:f>
        <x:v>0.13947286500000003</x:v>
      </x:c>
      <x:c r="L4943" s="1" t="str">
        <x:f>TEXT(A4943,"mmm yyyy")</x:f>
        <x:v>Aug 2026</x:v>
      </x:c>
    </x:row>
    <x:row r="4944" ht="21" customHeight="1">
      <x:c r="A4944" s="10" t="n">
        <x:v>46251</x:v>
      </x:c>
      <x:c r="B4944" s="1" t="n">
        <x:v>12</x:v>
      </x:c>
      <x:c r="C4944" s="1" t="n">
        <x:v>6</x:v>
      </x:c>
      <x:c r="D4944" s="12" t="n">
        <x:v>0.4149999999999999</x:v>
      </x:c>
      <x:c r="E4944" s="12" t="n">
        <x:v>0.42599999999999993</x:v>
      </x:c>
      <x:c r="F4944" s="12" t="n">
        <x:v>0</x:v>
      </x:c>
      <x:c r="G4944" s="12" t="n">
        <x:v>0</x:v>
      </x:c>
      <x:c r="H4944" s="1" t="n">
        <x:f>'Historical prices'!E4944</x:f>
        <x:v>1.05</x:v>
      </x:c>
      <x:c r="I4944" s="6" t="n">
        <x:f>'Historical prices'!D4944</x:f>
        <x:v>0.2964</x:v>
      </x:c>
      <x:c r="J4944" s="13" t="n">
        <x:f>D4944*I4944*H4944</x:f>
        <x:v>0.12915629999999997</x:v>
      </x:c>
      <x:c r="K4944" s="13" t="n">
        <x:f>E4944*I4944*H4944</x:f>
        <x:v>0.13257971999999998</x:v>
      </x:c>
      <x:c r="L4944" s="1" t="str">
        <x:f>TEXT(A4944,"mmm yyyy")</x:f>
        <x:v>Aug 2026</x:v>
      </x:c>
    </x:row>
    <x:row r="4945" ht="21" customHeight="1">
      <x:c r="A4945" s="10" t="n">
        <x:v>46251</x:v>
      </x:c>
      <x:c r="B4945" s="1" t="n">
        <x:v>12.5</x:v>
      </x:c>
      <x:c r="C4945" s="1" t="n">
        <x:v>6</x:v>
      </x:c>
      <x:c r="D4945" s="12" t="n">
        <x:v>0.38375000000000004</x:v>
      </x:c>
      <x:c r="E4945" s="12" t="n">
        <x:v>0.39375000000000004</x:v>
      </x:c>
      <x:c r="F4945" s="12" t="n">
        <x:v>0</x:v>
      </x:c>
      <x:c r="G4945" s="12" t="n">
        <x:v>0</x:v>
      </x:c>
      <x:c r="H4945" s="1" t="n">
        <x:f>'Historical prices'!E4945</x:f>
        <x:v>1.05</x:v>
      </x:c>
      <x:c r="I4945" s="6" t="n">
        <x:f>'Historical prices'!D4945</x:f>
        <x:v>0.29100000000000004</x:v>
      </x:c>
      <x:c r="J4945" s="13" t="n">
        <x:f>D4945*I4945*H4945</x:f>
        <x:v>0.11725481250000003</x:v>
      </x:c>
      <x:c r="K4945" s="13" t="n">
        <x:f>E4945*I4945*H4945</x:f>
        <x:v>0.12031031250000003</x:v>
      </x:c>
      <x:c r="L4945" s="1" t="str">
        <x:f>TEXT(A4945,"mmm yyyy")</x:f>
        <x:v>Aug 2026</x:v>
      </x:c>
    </x:row>
    <x:row r="4946" ht="21" customHeight="1">
      <x:c r="A4946" s="10" t="n">
        <x:v>46251</x:v>
      </x:c>
      <x:c r="B4946" s="1" t="n">
        <x:v>13</x:v>
      </x:c>
      <x:c r="C4946" s="1" t="n">
        <x:v>6</x:v>
      </x:c>
      <x:c r="D4946" s="12" t="n">
        <x:v>0.59275</x:v>
      </x:c>
      <x:c r="E4946" s="12" t="n">
        <x:v>0.6037499999999999</x:v>
      </x:c>
      <x:c r="F4946" s="12" t="n">
        <x:v>0</x:v>
      </x:c>
      <x:c r="G4946" s="12" t="n">
        <x:v>0</x:v>
      </x:c>
      <x:c r="H4946" s="1" t="n">
        <x:f>'Historical prices'!E4946</x:f>
        <x:v>1.05</x:v>
      </x:c>
      <x:c r="I4946" s="6" t="n">
        <x:f>'Historical prices'!D4946</x:f>
        <x:v>0.2921</x:v>
      </x:c>
      <x:c r="J4946" s="13" t="n">
        <x:f>D4946*I4946*H4946</x:f>
        <x:v>0.18179938875</x:v>
      </x:c>
      <x:c r="K4946" s="13" t="n">
        <x:f>E4946*I4946*H4946</x:f>
        <x:v>0.18517314375</x:v>
      </x:c>
      <x:c r="L4946" s="1" t="str">
        <x:f>TEXT(A4946,"mmm yyyy")</x:f>
        <x:v>Aug 2026</x:v>
      </x:c>
    </x:row>
    <x:row r="4947" ht="21" customHeight="1">
      <x:c r="A4947" s="10" t="n">
        <x:v>46251</x:v>
      </x:c>
      <x:c r="B4947" s="1" t="n">
        <x:v>13.5</x:v>
      </x:c>
      <x:c r="C4947" s="1" t="n">
        <x:v>6</x:v>
      </x:c>
      <x:c r="D4947" s="12" t="n">
        <x:v>0.45525</x:v>
      </x:c>
      <x:c r="E4947" s="12" t="n">
        <x:v>0.46525</x:v>
      </x:c>
      <x:c r="F4947" s="12" t="n">
        <x:v>0</x:v>
      </x:c>
      <x:c r="G4947" s="12" t="n">
        <x:v>0</x:v>
      </x:c>
      <x:c r="H4947" s="1" t="n">
        <x:f>'Historical prices'!E4947</x:f>
        <x:v>1.05</x:v>
      </x:c>
      <x:c r="I4947" s="6" t="n">
        <x:f>'Historical prices'!D4947</x:f>
        <x:v>0.29</x:v>
      </x:c>
      <x:c r="J4947" s="13" t="n">
        <x:f>D4947*I4947*H4947</x:f>
        <x:v>0.138623625</x:v>
      </x:c>
      <x:c r="K4947" s="13" t="n">
        <x:f>E4947*I4947*H4947</x:f>
        <x:v>0.14166862500000002</x:v>
      </x:c>
      <x:c r="L4947" s="1" t="str">
        <x:f>TEXT(A4947,"mmm yyyy")</x:f>
        <x:v>Aug 2026</x:v>
      </x:c>
    </x:row>
    <x:row r="4948" ht="21" customHeight="1">
      <x:c r="A4948" s="10" t="n">
        <x:v>46251</x:v>
      </x:c>
      <x:c r="B4948" s="1" t="n">
        <x:v>14</x:v>
      </x:c>
      <x:c r="C4948" s="1" t="n">
        <x:v>6</x:v>
      </x:c>
      <x:c r="D4948" s="12" t="n">
        <x:v>4.58125</x:v>
      </x:c>
      <x:c r="E4948" s="12" t="n">
        <x:v>0.65225</x:v>
      </x:c>
      <x:c r="F4948" s="12" t="n">
        <x:v>0</x:v>
      </x:c>
      <x:c r="G4948" s="12" t="n">
        <x:v>3.931000000000001</x:v>
      </x:c>
      <x:c r="H4948" s="1" t="n">
        <x:f>'Historical prices'!E4948</x:f>
        <x:v>1.05</x:v>
      </x:c>
      <x:c r="I4948" s="6" t="n">
        <x:f>'Historical prices'!D4948</x:f>
        <x:v>0.2708</x:v>
      </x:c>
      <x:c r="J4948" s="13" t="n">
        <x:f>D4948*I4948*H4948</x:f>
        <x:v>1.3026326249999998</x:v>
      </x:c>
      <x:c r="K4948" s="13" t="n">
        <x:f>E4948*I4948*H4948</x:f>
        <x:v>0.185460765</x:v>
      </x:c>
      <x:c r="L4948" s="1" t="str">
        <x:f>TEXT(A4948,"mmm yyyy")</x:f>
        <x:v>Aug 2026</x:v>
      </x:c>
    </x:row>
    <x:row r="4949" ht="21" customHeight="1">
      <x:c r="A4949" s="10" t="n">
        <x:v>46251</x:v>
      </x:c>
      <x:c r="B4949" s="1" t="n">
        <x:v>14.5</x:v>
      </x:c>
      <x:c r="C4949" s="1" t="n">
        <x:v>6</x:v>
      </x:c>
      <x:c r="D4949" s="12" t="n">
        <x:v>5.290749999999999</x:v>
      </x:c>
      <x:c r="E4949" s="12" t="n">
        <x:v>0.6897500000000001</x:v>
      </x:c>
      <x:c r="F4949" s="12" t="n">
        <x:v>0</x:v>
      </x:c>
      <x:c r="G4949" s="12" t="n">
        <x:v>4.601</x:v>
      </x:c>
      <x:c r="H4949" s="1" t="n">
        <x:f>'Historical prices'!E4949</x:f>
        <x:v>1.05</x:v>
      </x:c>
      <x:c r="I4949" s="6" t="n">
        <x:f>'Historical prices'!D4949</x:f>
        <x:v>0.2697</x:v>
      </x:c>
      <x:c r="J4949" s="13" t="n">
        <x:f>D4949*I4949*H4949</x:f>
        <x:v>1.49826103875</x:v>
      </x:c>
      <x:c r="K4949" s="13" t="n">
        <x:f>E4949*I4949*H4949</x:f>
        <x:v>0.19532685375000003</x:v>
      </x:c>
      <x:c r="L4949" s="1" t="str">
        <x:f>TEXT(A4949,"mmm yyyy")</x:f>
        <x:v>Aug 2026</x:v>
      </x:c>
    </x:row>
    <x:row r="4950" ht="21" customHeight="1">
      <x:c r="A4950" s="10" t="n">
        <x:v>46251</x:v>
      </x:c>
      <x:c r="B4950" s="1" t="n">
        <x:v>15</x:v>
      </x:c>
      <x:c r="C4950" s="1" t="n">
        <x:v>6</x:v>
      </x:c>
      <x:c r="D4950" s="12" t="n">
        <x:v>1.283</x:v>
      </x:c>
      <x:c r="E4950" s="12" t="n">
        <x:v>0.521</x:v>
      </x:c>
      <x:c r="F4950" s="12" t="n">
        <x:v>0</x:v>
      </x:c>
      <x:c r="G4950" s="12" t="n">
        <x:v>0.768</x:v>
      </x:c>
      <x:c r="H4950" s="1" t="n">
        <x:f>'Historical prices'!E4950</x:f>
        <x:v>1.05</x:v>
      </x:c>
      <x:c r="I4950" s="6" t="n">
        <x:f>'Historical prices'!D4950</x:f>
        <x:v>0.2784</x:v>
      </x:c>
      <x:c r="J4950" s="13" t="n">
        <x:f>D4950*I4950*H4950</x:f>
        <x:v>0.3750465599999999</x:v>
      </x:c>
      <x:c r="K4950" s="13" t="n">
        <x:f>E4950*I4950*H4950</x:f>
        <x:v>0.15229872</x:v>
      </x:c>
      <x:c r="L4950" s="1" t="str">
        <x:f>TEXT(A4950,"mmm yyyy")</x:f>
        <x:v>Aug 2026</x:v>
      </x:c>
    </x:row>
    <x:row r="4951" ht="21" customHeight="1">
      <x:c r="A4951" s="10" t="n">
        <x:v>46251</x:v>
      </x:c>
      <x:c r="B4951" s="1" t="n">
        <x:v>15.5</x:v>
      </x:c>
      <x:c r="C4951" s="1" t="n">
        <x:v>6</x:v>
      </x:c>
      <x:c r="D4951" s="12" t="n">
        <x:v>0.54375</x:v>
      </x:c>
      <x:c r="E4951" s="12" t="n">
        <x:v>0.5547500000000001</x:v>
      </x:c>
      <x:c r="F4951" s="12" t="n">
        <x:v>0</x:v>
      </x:c>
      <x:c r="G4951" s="12" t="n">
        <x:v>0</x:v>
      </x:c>
      <x:c r="H4951" s="1" t="n">
        <x:f>'Historical prices'!E4951</x:f>
        <x:v>1.05</x:v>
      </x:c>
      <x:c r="I4951" s="6" t="n">
        <x:f>'Historical prices'!D4951</x:f>
        <x:v>0.29</x:v>
      </x:c>
      <x:c r="J4951" s="13" t="n">
        <x:f>D4951*I4951*H4951</x:f>
        <x:v>0.16557187499999998</x:v>
      </x:c>
      <x:c r="K4951" s="13" t="n">
        <x:f>E4951*I4951*H4951</x:f>
        <x:v>0.168921375</x:v>
      </x:c>
      <x:c r="L4951" s="1" t="str">
        <x:f>TEXT(A4951,"mmm yyyy")</x:f>
        <x:v>Aug 2026</x:v>
      </x:c>
    </x:row>
    <x:row r="4952" ht="21" customHeight="1">
      <x:c r="A4952" s="10" t="n">
        <x:v>46251</x:v>
      </x:c>
      <x:c r="B4952" s="1" t="n">
        <x:v>16</x:v>
      </x:c>
      <x:c r="C4952" s="1" t="n">
        <x:v>6</x:v>
      </x:c>
      <x:c r="D4952" s="12" t="n">
        <x:v>0.06825</x:v>
      </x:c>
      <x:c r="E4952" s="12" t="n">
        <x:v>0.4963333333333334</x:v>
      </x:c>
      <x:c r="F4952" s="12" t="n">
        <x:v>0.4235</x:v>
      </x:c>
      <x:c r="G4952" s="12" t="n">
        <x:v>0</x:v>
      </x:c>
      <x:c r="H4952" s="1" t="n">
        <x:f>'Historical prices'!E4952</x:f>
        <x:v>1.05</x:v>
      </x:c>
      <x:c r="I4952" s="6" t="n">
        <x:f>'Historical prices'!D4952</x:f>
        <x:v>0.40630000000000005</x:v>
      </x:c>
      <x:c r="J4952" s="13" t="n">
        <x:f>D4952*I4952*H4952</x:f>
        <x:v>0.029116473750000007</x:v>
      </x:c>
      <x:c r="K4952" s="13" t="n">
        <x:f>E4952*I4952*H4952</x:f>
        <x:v>0.21174324500000005</x:v>
      </x:c>
      <x:c r="L4952" s="1" t="str">
        <x:f>TEXT(A4952,"mmm yyyy")</x:f>
        <x:v>Aug 2026</x:v>
      </x:c>
    </x:row>
    <x:row r="4953" ht="21" customHeight="1">
      <x:c r="A4953" s="10" t="n">
        <x:v>46251</x:v>
      </x:c>
      <x:c r="B4953" s="1" t="n">
        <x:v>16.5</x:v>
      </x:c>
      <x:c r="C4953" s="1" t="n">
        <x:v>6</x:v>
      </x:c>
      <x:c r="D4953" s="12" t="n">
        <x:v>0</x:v>
      </x:c>
      <x:c r="E4953" s="12" t="n">
        <x:v>0.52675</x:v>
      </x:c>
      <x:c r="F4953" s="12" t="n">
        <x:v>0.5263333333333333</x:v>
      </x:c>
      <x:c r="G4953" s="12" t="n">
        <x:v>0</x:v>
      </x:c>
      <x:c r="H4953" s="1" t="n">
        <x:f>'Historical prices'!E4953</x:f>
        <x:v>1.05</x:v>
      </x:c>
      <x:c r="I4953" s="6" t="n">
        <x:f>'Historical prices'!D4953</x:f>
        <x:v>0.3924</x:v>
      </x:c>
      <x:c r="J4953" s="13" t="n">
        <x:f>D4953*I4953*H4953</x:f>
        <x:v>0</x:v>
      </x:c>
      <x:c r="K4953" s="13" t="n">
        <x:f>E4953*I4953*H4953</x:f>
        <x:v>0.21703153500000005</x:v>
      </x:c>
      <x:c r="L4953" s="1" t="str">
        <x:f>TEXT(A4953,"mmm yyyy")</x:f>
        <x:v>Aug 2026</x:v>
      </x:c>
    </x:row>
    <x:row r="4954" ht="21" customHeight="1">
      <x:c r="A4954" s="10" t="n">
        <x:v>46251</x:v>
      </x:c>
      <x:c r="B4954" s="1" t="n">
        <x:v>17</x:v>
      </x:c>
      <x:c r="C4954" s="1" t="n">
        <x:v>6</x:v>
      </x:c>
      <x:c r="D4954" s="12" t="n">
        <x:v>0</x:v>
      </x:c>
      <x:c r="E4954" s="12" t="n">
        <x:v>0.5121666666666667</x:v>
      </x:c>
      <x:c r="F4954" s="12" t="n">
        <x:v>0.5115</x:v>
      </x:c>
      <x:c r="G4954" s="12" t="n">
        <x:v>0</x:v>
      </x:c>
      <x:c r="H4954" s="1" t="n">
        <x:f>'Historical prices'!E4954</x:f>
        <x:v>1.05</x:v>
      </x:c>
      <x:c r="I4954" s="6" t="n">
        <x:f>'Historical prices'!D4954</x:f>
        <x:v>0.43229999999999996</x:v>
      </x:c>
      <x:c r="J4954" s="13" t="n">
        <x:f>D4954*I4954*H4954</x:f>
        <x:v>0</x:v>
      </x:c>
      <x:c r="K4954" s="13" t="n">
        <x:f>E4954*I4954*H4954</x:f>
        <x:v>0.2324801325</x:v>
      </x:c>
      <x:c r="L4954" s="1" t="str">
        <x:f>TEXT(A4954,"mmm yyyy")</x:f>
        <x:v>Aug 2026</x:v>
      </x:c>
    </x:row>
    <x:row r="4955" ht="21" customHeight="1">
      <x:c r="A4955" s="10" t="n">
        <x:v>46251</x:v>
      </x:c>
      <x:c r="B4955" s="1" t="n">
        <x:v>17.5</x:v>
      </x:c>
      <x:c r="C4955" s="1" t="n">
        <x:v>6</x:v>
      </x:c>
      <x:c r="D4955" s="12" t="n">
        <x:v>0</x:v>
      </x:c>
      <x:c r="E4955" s="12" t="n">
        <x:v>0.5470833333333334</x:v>
      </x:c>
      <x:c r="F4955" s="12" t="n">
        <x:v>0.5463333333333332</x:v>
      </x:c>
      <x:c r="G4955" s="12" t="n">
        <x:v>0</x:v>
      </x:c>
      <x:c r="H4955" s="1" t="n">
        <x:f>'Historical prices'!E4955</x:f>
        <x:v>1.05</x:v>
      </x:c>
      <x:c r="I4955" s="6" t="n">
        <x:f>'Historical prices'!D4955</x:f>
        <x:v>0.4646</x:v>
      </x:c>
      <x:c r="J4955" s="13" t="n">
        <x:f>D4955*I4955*H4955</x:f>
        <x:v>0</x:v>
      </x:c>
      <x:c r="K4955" s="13" t="n">
        <x:f>E4955*I4955*H4955</x:f>
        <x:v>0.26688366250000006</x:v>
      </x:c>
      <x:c r="L4955" s="1" t="str">
        <x:f>TEXT(A4955,"mmm yyyy")</x:f>
        <x:v>Aug 2026</x:v>
      </x:c>
    </x:row>
    <x:row r="4956" ht="21" customHeight="1">
      <x:c r="A4956" s="10" t="n">
        <x:v>46251</x:v>
      </x:c>
      <x:c r="B4956" s="1" t="n">
        <x:v>18</x:v>
      </x:c>
      <x:c r="C4956" s="1" t="n">
        <x:v>6</x:v>
      </x:c>
      <x:c r="D4956" s="12" t="n">
        <x:v>0</x:v>
      </x:c>
      <x:c r="E4956" s="12" t="n">
        <x:v>0.56175</x:v>
      </x:c>
      <x:c r="F4956" s="12" t="n">
        <x:v>0.5611666666666666</x:v>
      </x:c>
      <x:c r="G4956" s="12" t="n">
        <x:v>0</x:v>
      </x:c>
      <x:c r="H4956" s="1" t="n">
        <x:f>'Historical prices'!E4956</x:f>
        <x:v>1.05</x:v>
      </x:c>
      <x:c r="I4956" s="6" t="n">
        <x:f>'Historical prices'!D4956</x:f>
        <x:v>0.4833</x:v>
      </x:c>
      <x:c r="J4956" s="13" t="n">
        <x:f>D4956*I4956*H4956</x:f>
        <x:v>0</x:v>
      </x:c>
      <x:c r="K4956" s="13" t="n">
        <x:f>E4956*I4956*H4956</x:f>
        <x:v>0.28506846375</x:v>
      </x:c>
      <x:c r="L4956" s="1" t="str">
        <x:f>TEXT(A4956,"mmm yyyy")</x:f>
        <x:v>Aug 2026</x:v>
      </x:c>
    </x:row>
    <x:row r="4957" ht="21" customHeight="1">
      <x:c r="A4957" s="10" t="n">
        <x:v>46251</x:v>
      </x:c>
      <x:c r="B4957" s="1" t="n">
        <x:v>18.5</x:v>
      </x:c>
      <x:c r="C4957" s="1" t="n">
        <x:v>6</x:v>
      </x:c>
      <x:c r="D4957" s="12" t="n">
        <x:v>0</x:v>
      </x:c>
      <x:c r="E4957" s="12" t="n">
        <x:v>0.6196666666666667</x:v>
      </x:c>
      <x:c r="F4957" s="12" t="n">
        <x:v>0.6193333333333334</x:v>
      </x:c>
      <x:c r="G4957" s="12" t="n">
        <x:v>0</x:v>
      </x:c>
      <x:c r="H4957" s="1" t="n">
        <x:f>'Historical prices'!E4957</x:f>
        <x:v>1.05</x:v>
      </x:c>
      <x:c r="I4957" s="6" t="n">
        <x:f>'Historical prices'!D4957</x:f>
        <x:v>0.48560000000000003</x:v>
      </x:c>
      <x:c r="J4957" s="13" t="n">
        <x:f>D4957*I4957*H4957</x:f>
        <x:v>0</x:v>
      </x:c>
      <x:c r="K4957" s="13" t="n">
        <x:f>E4957*I4957*H4957</x:f>
        <x:v>0.3159556400000001</x:v>
      </x:c>
      <x:c r="L4957" s="1" t="str">
        <x:f>TEXT(A4957,"mmm yyyy")</x:f>
        <x:v>Aug 2026</x:v>
      </x:c>
    </x:row>
    <x:row r="4958" ht="21" customHeight="1">
      <x:c r="A4958" s="10" t="n">
        <x:v>46251</x:v>
      </x:c>
      <x:c r="B4958" s="1" t="n">
        <x:v>19</x:v>
      </x:c>
      <x:c r="C4958" s="1" t="n">
        <x:v>6</x:v>
      </x:c>
      <x:c r="D4958" s="12" t="n">
        <x:v>0</x:v>
      </x:c>
      <x:c r="E4958" s="12" t="n">
        <x:v>0.6295833333333334</x:v>
      </x:c>
      <x:c r="F4958" s="12" t="n">
        <x:v>0.6290833333333333</x:v>
      </x:c>
      <x:c r="G4958" s="12" t="n">
        <x:v>0</x:v>
      </x:c>
      <x:c r="H4958" s="1" t="n">
        <x:f>'Historical prices'!E4958</x:f>
        <x:v>1.05</x:v>
      </x:c>
      <x:c r="I4958" s="6" t="n">
        <x:f>'Historical prices'!D4958</x:f>
        <x:v>0.3425</x:v>
      </x:c>
      <x:c r="J4958" s="13" t="n">
        <x:f>D4958*I4958*H4958</x:f>
        <x:v>0</x:v>
      </x:c>
      <x:c r="K4958" s="13" t="n">
        <x:f>E4958*I4958*H4958</x:f>
        <x:v>0.22641390625000005</x:v>
      </x:c>
      <x:c r="L4958" s="1" t="str">
        <x:f>TEXT(A4958,"mmm yyyy")</x:f>
        <x:v>Aug 2026</x:v>
      </x:c>
    </x:row>
    <x:row r="4959" ht="21" customHeight="1">
      <x:c r="A4959" s="10" t="n">
        <x:v>46251</x:v>
      </x:c>
      <x:c r="B4959" s="1" t="n">
        <x:v>19.5</x:v>
      </x:c>
      <x:c r="C4959" s="1" t="n">
        <x:v>6</x:v>
      </x:c>
      <x:c r="D4959" s="12" t="n">
        <x:v>0</x:v>
      </x:c>
      <x:c r="E4959" s="12" t="n">
        <x:v>0.8046666666666666</x:v>
      </x:c>
      <x:c r="F4959" s="12" t="n">
        <x:v>0.8043333333333333</x:v>
      </x:c>
      <x:c r="G4959" s="12" t="n">
        <x:v>0</x:v>
      </x:c>
      <x:c r="H4959" s="1" t="n">
        <x:f>'Historical prices'!E4959</x:f>
        <x:v>1.05</x:v>
      </x:c>
      <x:c r="I4959" s="6" t="n">
        <x:f>'Historical prices'!D4959</x:f>
        <x:v>0.33390000000000003</x:v>
      </x:c>
      <x:c r="J4959" s="13" t="n">
        <x:f>D4959*I4959*H4959</x:f>
        <x:v>0</x:v>
      </x:c>
      <x:c r="K4959" s="13" t="n">
        <x:f>E4959*I4959*H4959</x:f>
        <x:v>0.28211211</x:v>
      </x:c>
      <x:c r="L4959" s="1" t="str">
        <x:f>TEXT(A4959,"mmm yyyy")</x:f>
        <x:v>Aug 2026</x:v>
      </x:c>
    </x:row>
    <x:row r="4960" ht="21" customHeight="1">
      <x:c r="A4960" s="10" t="n">
        <x:v>46251</x:v>
      </x:c>
      <x:c r="B4960" s="1" t="n">
        <x:v>20</x:v>
      </x:c>
      <x:c r="C4960" s="1" t="n">
        <x:v>6</x:v>
      </x:c>
      <x:c r="D4960" s="12" t="n">
        <x:v>0</x:v>
      </x:c>
      <x:c r="E4960" s="12" t="n">
        <x:v>0.5750000000000001</x:v>
      </x:c>
      <x:c r="F4960" s="12" t="n">
        <x:v>0.5745</x:v>
      </x:c>
      <x:c r="G4960" s="12" t="n">
        <x:v>0</x:v>
      </x:c>
      <x:c r="H4960" s="1" t="n">
        <x:f>'Historical prices'!E4960</x:f>
        <x:v>1.05</x:v>
      </x:c>
      <x:c r="I4960" s="6" t="n">
        <x:f>'Historical prices'!D4960</x:f>
        <x:v>0.3448</x:v>
      </x:c>
      <x:c r="J4960" s="13" t="n">
        <x:f>D4960*I4960*H4960</x:f>
        <x:v>0</x:v>
      </x:c>
      <x:c r="K4960" s="13" t="n">
        <x:f>E4960*I4960*H4960</x:f>
        <x:v>0.20817300000000002</x:v>
      </x:c>
      <x:c r="L4960" s="1" t="str">
        <x:f>TEXT(A4960,"mmm yyyy")</x:f>
        <x:v>Aug 2026</x:v>
      </x:c>
    </x:row>
    <x:row r="4961" ht="21" customHeight="1">
      <x:c r="A4961" s="10" t="n">
        <x:v>46251</x:v>
      </x:c>
      <x:c r="B4961" s="1" t="n">
        <x:v>20.5</x:v>
      </x:c>
      <x:c r="C4961" s="1" t="n">
        <x:v>6</x:v>
      </x:c>
      <x:c r="D4961" s="12" t="n">
        <x:v>0</x:v>
      </x:c>
      <x:c r="E4961" s="12" t="n">
        <x:v>0.4838333333333334</x:v>
      </x:c>
      <x:c r="F4961" s="12" t="n">
        <x:v>0.48341666666666666</x:v>
      </x:c>
      <x:c r="G4961" s="12" t="n">
        <x:v>0</x:v>
      </x:c>
      <x:c r="H4961" s="1" t="n">
        <x:f>'Historical prices'!E4961</x:f>
        <x:v>1.05</x:v>
      </x:c>
      <x:c r="I4961" s="6" t="n">
        <x:f>'Historical prices'!D4961</x:f>
        <x:v>0.34119999999999995</x:v>
      </x:c>
      <x:c r="J4961" s="13" t="n">
        <x:f>D4961*I4961*H4961</x:f>
        <x:v>0</x:v>
      </x:c>
      <x:c r="K4961" s="13" t="n">
        <x:f>E4961*I4961*H4961</x:f>
        <x:v>0.17333813</x:v>
      </x:c>
      <x:c r="L4961" s="1" t="str">
        <x:f>TEXT(A4961,"mmm yyyy")</x:f>
        <x:v>Aug 2026</x:v>
      </x:c>
    </x:row>
    <x:row r="4962" ht="21" customHeight="1">
      <x:c r="A4962" s="10" t="n">
        <x:v>46251</x:v>
      </x:c>
      <x:c r="B4962" s="1" t="n">
        <x:v>21</x:v>
      </x:c>
      <x:c r="C4962" s="1" t="n">
        <x:v>6</x:v>
      </x:c>
      <x:c r="D4962" s="12" t="n">
        <x:v>0</x:v>
      </x:c>
      <x:c r="E4962" s="12" t="n">
        <x:v>0.5789166666666666</x:v>
      </x:c>
      <x:c r="F4962" s="12" t="n">
        <x:v>0.5785833333333333</x:v>
      </x:c>
      <x:c r="G4962" s="12" t="n">
        <x:v>0</x:v>
      </x:c>
      <x:c r="H4962" s="1" t="n">
        <x:f>'Historical prices'!E4962</x:f>
        <x:v>1.05</x:v>
      </x:c>
      <x:c r="I4962" s="6" t="n">
        <x:f>'Historical prices'!D4962</x:f>
        <x:v>0.33649999999999997</x:v>
      </x:c>
      <x:c r="J4962" s="13" t="n">
        <x:f>D4962*I4962*H4962</x:f>
        <x:v>0</x:v>
      </x:c>
      <x:c r="K4962" s="13" t="n">
        <x:f>E4962*I4962*H4962</x:f>
        <x:v>0.20454573124999997</x:v>
      </x:c>
      <x:c r="L4962" s="1" t="str">
        <x:f>TEXT(A4962,"mmm yyyy")</x:f>
        <x:v>Aug 2026</x:v>
      </x:c>
    </x:row>
    <x:row r="4963" ht="21" customHeight="1">
      <x:c r="A4963" s="10" t="n">
        <x:v>46251</x:v>
      </x:c>
      <x:c r="B4963" s="1" t="n">
        <x:v>21.5</x:v>
      </x:c>
      <x:c r="C4963" s="1" t="n">
        <x:v>6</x:v>
      </x:c>
      <x:c r="D4963" s="12" t="n">
        <x:v>0</x:v>
      </x:c>
      <x:c r="E4963" s="12" t="n">
        <x:v>0.9795833333333333</x:v>
      </x:c>
      <x:c r="F4963" s="12" t="n">
        <x:v>0.97925</x:v>
      </x:c>
      <x:c r="G4963" s="12" t="n">
        <x:v>0</x:v>
      </x:c>
      <x:c r="H4963" s="1" t="n">
        <x:f>'Historical prices'!E4963</x:f>
        <x:v>1.05</x:v>
      </x:c>
      <x:c r="I4963" s="6" t="n">
        <x:f>'Historical prices'!D4963</x:f>
        <x:v>0.3218</x:v>
      </x:c>
      <x:c r="J4963" s="13" t="n">
        <x:f>D4963*I4963*H4963</x:f>
        <x:v>0</x:v>
      </x:c>
      <x:c r="K4963" s="13" t="n">
        <x:f>E4963*I4963*H4963</x:f>
        <x:v>0.33099141249999997</x:v>
      </x:c>
      <x:c r="L4963" s="1" t="str">
        <x:f>TEXT(A4963,"mmm yyyy")</x:f>
        <x:v>Aug 2026</x:v>
      </x:c>
    </x:row>
    <x:row r="4964" ht="21" customHeight="1">
      <x:c r="A4964" s="10" t="n">
        <x:v>46251</x:v>
      </x:c>
      <x:c r="B4964" s="1" t="n">
        <x:v>22</x:v>
      </x:c>
      <x:c r="C4964" s="1" t="n">
        <x:v>6</x:v>
      </x:c>
      <x:c r="D4964" s="12" t="n">
        <x:v>0</x:v>
      </x:c>
      <x:c r="E4964" s="12" t="n">
        <x:v>0.4020000000000001</x:v>
      </x:c>
      <x:c r="F4964" s="12" t="n">
        <x:v>0.4015</x:v>
      </x:c>
      <x:c r="G4964" s="12" t="n">
        <x:v>0</x:v>
      </x:c>
      <x:c r="H4964" s="1" t="n">
        <x:f>'Historical prices'!E4964</x:f>
        <x:v>1.05</x:v>
      </x:c>
      <x:c r="I4964" s="6" t="n">
        <x:f>'Historical prices'!D4964</x:f>
        <x:v>0.29719999999999996</x:v>
      </x:c>
      <x:c r="J4964" s="13" t="n">
        <x:f>D4964*I4964*H4964</x:f>
        <x:v>0</x:v>
      </x:c>
      <x:c r="K4964" s="13" t="n">
        <x:f>E4964*I4964*H4964</x:f>
        <x:v>0.12544812000000002</x:v>
      </x:c>
      <x:c r="L4964" s="1" t="str">
        <x:f>TEXT(A4964,"mmm yyyy")</x:f>
        <x:v>Aug 2026</x:v>
      </x:c>
    </x:row>
    <x:row r="4965" ht="21" customHeight="1">
      <x:c r="A4965" s="10" t="n">
        <x:v>46251</x:v>
      </x:c>
      <x:c r="B4965" s="1" t="n">
        <x:v>22.5</x:v>
      </x:c>
      <x:c r="C4965" s="1" t="n">
        <x:v>6</x:v>
      </x:c>
      <x:c r="D4965" s="12" t="n">
        <x:v>0</x:v>
      </x:c>
      <x:c r="E4965" s="12" t="n">
        <x:v>0.32566666666666666</x:v>
      </x:c>
      <x:c r="F4965" s="12" t="n">
        <x:v>0.3253333333333333</x:v>
      </x:c>
      <x:c r="G4965" s="12" t="n">
        <x:v>0</x:v>
      </x:c>
      <x:c r="H4965" s="1" t="n">
        <x:f>'Historical prices'!E4965</x:f>
        <x:v>1.05</x:v>
      </x:c>
      <x:c r="I4965" s="6" t="n">
        <x:f>'Historical prices'!D4965</x:f>
        <x:v>0.2724</x:v>
      </x:c>
      <x:c r="J4965" s="13" t="n">
        <x:f>D4965*I4965*H4965</x:f>
        <x:v>0</x:v>
      </x:c>
      <x:c r="K4965" s="13" t="n">
        <x:f>E4965*I4965*H4965</x:f>
        <x:v>0.09314718</x:v>
      </x:c>
      <x:c r="L4965" s="1" t="str">
        <x:f>TEXT(A4965,"mmm yyyy")</x:f>
        <x:v>Aug 2026</x:v>
      </x:c>
    </x:row>
    <x:row r="4966" ht="21" customHeight="1">
      <x:c r="A4966" s="10" t="n">
        <x:v>46251</x:v>
      </x:c>
      <x:c r="B4966" s="1" t="n">
        <x:v>23</x:v>
      </x:c>
      <x:c r="C4966" s="1" t="n">
        <x:v>6</x:v>
      </x:c>
      <x:c r="D4966" s="12" t="n">
        <x:v>0</x:v>
      </x:c>
      <x:c r="E4966" s="12" t="n">
        <x:v>0.3486666666666666</x:v>
      </x:c>
      <x:c r="F4966" s="12" t="n">
        <x:v>0.34825</x:v>
      </x:c>
      <x:c r="G4966" s="12" t="n">
        <x:v>0</x:v>
      </x:c>
      <x:c r="H4966" s="1" t="n">
        <x:f>'Historical prices'!E4966</x:f>
        <x:v>1.05</x:v>
      </x:c>
      <x:c r="I4966" s="6" t="n">
        <x:f>'Historical prices'!D4966</x:f>
        <x:v>0.27449999999999997</x:v>
      </x:c>
      <x:c r="J4966" s="13" t="n">
        <x:f>D4966*I4966*H4966</x:f>
        <x:v>0</x:v>
      </x:c>
      <x:c r="K4966" s="13" t="n">
        <x:f>E4966*I4966*H4966</x:f>
        <x:v>0.10049444999999997</x:v>
      </x:c>
      <x:c r="L4966" s="1" t="str">
        <x:f>TEXT(A4966,"mmm yyyy")</x:f>
        <x:v>Aug 2026</x:v>
      </x:c>
    </x:row>
    <x:row r="4967" ht="21" customHeight="1">
      <x:c r="A4967" s="10" t="n">
        <x:v>46251</x:v>
      </x:c>
      <x:c r="B4967" s="1" t="n">
        <x:v>23.5</x:v>
      </x:c>
      <x:c r="C4967" s="1" t="n">
        <x:v>6</x:v>
      </x:c>
      <x:c r="D4967" s="12" t="n">
        <x:v>0</x:v>
      </x:c>
      <x:c r="E4967" s="12" t="n">
        <x:v>0.3308333333333333</x:v>
      </x:c>
      <x:c r="F4967" s="12" t="n">
        <x:v>0.33066666666666666</x:v>
      </x:c>
      <x:c r="G4967" s="12" t="n">
        <x:v>0</x:v>
      </x:c>
      <x:c r="H4967" s="1" t="n">
        <x:f>'Historical prices'!E4967</x:f>
        <x:v>1.05</x:v>
      </x:c>
      <x:c r="I4967" s="6" t="n">
        <x:f>'Historical prices'!D4967</x:f>
        <x:v>0.2672</x:v>
      </x:c>
      <x:c r="J4967" s="13" t="n">
        <x:f>D4967*I4967*H4967</x:f>
        <x:v>0</x:v>
      </x:c>
      <x:c r="K4967" s="13" t="n">
        <x:f>E4967*I4967*H4967</x:f>
        <x:v>0.09281859999999999</x:v>
      </x:c>
      <x:c r="L4967" s="1" t="str">
        <x:f>TEXT(A4967,"mmm yyyy")</x:f>
        <x:v>Aug 2026</x:v>
      </x:c>
    </x:row>
    <x:row r="4968" ht="21" customHeight="1">
      <x:c r="A4968" s="10" t="n">
        <x:v>46252</x:v>
      </x:c>
      <x:c r="B4968" s="1" t="n">
        <x:v>0</x:v>
      </x:c>
      <x:c r="C4968" s="1" t="n">
        <x:v>6</x:v>
      </x:c>
      <x:c r="D4968" s="12" t="n">
        <x:v>0</x:v>
      </x:c>
      <x:c r="E4968" s="12" t="n">
        <x:v>0.32083333333333336</x:v>
      </x:c>
      <x:c r="F4968" s="12" t="n">
        <x:v>0.32025000000000003</x:v>
      </x:c>
      <x:c r="G4968" s="12" t="n">
        <x:v>0</x:v>
      </x:c>
      <x:c r="H4968" s="1" t="n">
        <x:f>'Historical prices'!E4968</x:f>
        <x:v>1.05</x:v>
      </x:c>
      <x:c r="I4968" s="6" t="n">
        <x:f>'Historical prices'!D4968</x:f>
        <x:v>0.26280000000000003</x:v>
      </x:c>
      <x:c r="J4968" s="13" t="n">
        <x:f>D4968*I4968*H4968</x:f>
        <x:v>0</x:v>
      </x:c>
      <x:c r="K4968" s="13" t="n">
        <x:f>E4968*I4968*H4968</x:f>
        <x:v>0.08853075000000002</x:v>
      </x:c>
      <x:c r="L4968" s="1" t="str">
        <x:f>TEXT(A4968,"mmm yyyy")</x:f>
        <x:v>Aug 2026</x:v>
      </x:c>
    </x:row>
    <x:row r="4969" ht="21" customHeight="1">
      <x:c r="A4969" s="10" t="n">
        <x:v>46252</x:v>
      </x:c>
      <x:c r="B4969" s="1" t="n">
        <x:v>0.5</x:v>
      </x:c>
      <x:c r="C4969" s="1" t="n">
        <x:v>6</x:v>
      </x:c>
      <x:c r="D4969" s="12" t="n">
        <x:v>0.15775</x:v>
      </x:c>
      <x:c r="E4969" s="12" t="n">
        <x:v>0.21275</x:v>
      </x:c>
      <x:c r="F4969" s="12" t="n">
        <x:v>0.046</x:v>
      </x:c>
      <x:c r="G4969" s="12" t="n">
        <x:v>0</x:v>
      </x:c>
      <x:c r="H4969" s="1" t="n">
        <x:f>'Historical prices'!E4969</x:f>
        <x:v>1.05</x:v>
      </x:c>
      <x:c r="I4969" s="6" t="n">
        <x:f>'Historical prices'!D4969</x:f>
        <x:v>0.2493</x:v>
      </x:c>
      <x:c r="J4969" s="13" t="n">
        <x:f>D4969*I4969*H4969</x:f>
        <x:v>0.04129342875</x:v>
      </x:c>
      <x:c r="K4969" s="13" t="n">
        <x:f>E4969*I4969*H4969</x:f>
        <x:v>0.05569050375</x:v>
      </x:c>
      <x:c r="L4969" s="1" t="str">
        <x:f>TEXT(A4969,"mmm yyyy")</x:f>
        <x:v>Aug 2026</x:v>
      </x:c>
    </x:row>
    <x:row r="4970" ht="21" customHeight="1">
      <x:c r="A4970" s="10" t="n">
        <x:v>46252</x:v>
      </x:c>
      <x:c r="B4970" s="1" t="n">
        <x:v>1</x:v>
      </x:c>
      <x:c r="C4970" s="1" t="n">
        <x:v>6</x:v>
      </x:c>
      <x:c r="D4970" s="12" t="n">
        <x:v>0.19475</x:v>
      </x:c>
      <x:c r="E4970" s="12" t="n">
        <x:v>0.20575000000000002</x:v>
      </x:c>
      <x:c r="F4970" s="12" t="n">
        <x:v>0</x:v>
      </x:c>
      <x:c r="G4970" s="12" t="n">
        <x:v>0</x:v>
      </x:c>
      <x:c r="H4970" s="1" t="n">
        <x:f>'Historical prices'!E4970</x:f>
        <x:v>1.05</x:v>
      </x:c>
      <x:c r="I4970" s="6" t="n">
        <x:f>'Historical prices'!D4970</x:f>
        <x:v>0.23120000000000002</x:v>
      </x:c>
      <x:c r="J4970" s="13" t="n">
        <x:f>D4970*I4970*H4970</x:f>
        <x:v>0.04727751</x:v>
      </x:c>
      <x:c r="K4970" s="13" t="n">
        <x:f>E4970*I4970*H4970</x:f>
        <x:v>0.049947870000000005</x:v>
      </x:c>
      <x:c r="L4970" s="1" t="str">
        <x:f>TEXT(A4970,"mmm yyyy")</x:f>
        <x:v>Aug 2026</x:v>
      </x:c>
    </x:row>
    <x:row r="4971" ht="21" customHeight="1">
      <x:c r="A4971" s="10" t="n">
        <x:v>46252</x:v>
      </x:c>
      <x:c r="B4971" s="1" t="n">
        <x:v>1.5</x:v>
      </x:c>
      <x:c r="C4971" s="1" t="n">
        <x:v>6</x:v>
      </x:c>
      <x:c r="D4971" s="12" t="n">
        <x:v>0.23450000000000001</x:v>
      </x:c>
      <x:c r="E4971" s="12" t="n">
        <x:v>0.2455</x:v>
      </x:c>
      <x:c r="F4971" s="12" t="n">
        <x:v>0</x:v>
      </x:c>
      <x:c r="G4971" s="12" t="n">
        <x:v>0</x:v>
      </x:c>
      <x:c r="H4971" s="1" t="n">
        <x:f>'Historical prices'!E4971</x:f>
        <x:v>1.05</x:v>
      </x:c>
      <x:c r="I4971" s="6" t="n">
        <x:f>'Historical prices'!D4971</x:f>
        <x:v>0.23879999999999998</x:v>
      </x:c>
      <x:c r="J4971" s="13" t="n">
        <x:f>D4971*I4971*H4971</x:f>
        <x:v>0.05879853000000001</x:v>
      </x:c>
      <x:c r="K4971" s="13" t="n">
        <x:f>E4971*I4971*H4971</x:f>
        <x:v>0.061556669999999994</x:v>
      </x:c>
      <x:c r="L4971" s="1" t="str">
        <x:f>TEXT(A4971,"mmm yyyy")</x:f>
        <x:v>Aug 2026</x:v>
      </x:c>
    </x:row>
    <x:row r="4972" ht="21" customHeight="1">
      <x:c r="A4972" s="10" t="n">
        <x:v>46252</x:v>
      </x:c>
      <x:c r="B4972" s="1" t="n">
        <x:v>2</x:v>
      </x:c>
      <x:c r="C4972" s="1" t="n">
        <x:v>6</x:v>
      </x:c>
      <x:c r="D4972" s="12" t="n">
        <x:v>0.27625</x:v>
      </x:c>
      <x:c r="E4972" s="12" t="n">
        <x:v>0.28725</x:v>
      </x:c>
      <x:c r="F4972" s="12" t="n">
        <x:v>0</x:v>
      </x:c>
      <x:c r="G4972" s="12" t="n">
        <x:v>0</x:v>
      </x:c>
      <x:c r="H4972" s="1" t="n">
        <x:f>'Historical prices'!E4972</x:f>
        <x:v>1.05</x:v>
      </x:c>
      <x:c r="I4972" s="6" t="n">
        <x:f>'Historical prices'!D4972</x:f>
        <x:v>0.2419</x:v>
      </x:c>
      <x:c r="J4972" s="13" t="n">
        <x:f>D4972*I4972*H4972</x:f>
        <x:v>0.07016611875</x:v>
      </x:c>
      <x:c r="K4972" s="13" t="n">
        <x:f>E4972*I4972*H4972</x:f>
        <x:v>0.07296006375</x:v>
      </x:c>
      <x:c r="L4972" s="1" t="str">
        <x:f>TEXT(A4972,"mmm yyyy")</x:f>
        <x:v>Aug 2026</x:v>
      </x:c>
    </x:row>
    <x:row r="4973" ht="21" customHeight="1">
      <x:c r="A4973" s="10" t="n">
        <x:v>46252</x:v>
      </x:c>
      <x:c r="B4973" s="1" t="n">
        <x:v>2.5</x:v>
      </x:c>
      <x:c r="C4973" s="1" t="n">
        <x:v>6</x:v>
      </x:c>
      <x:c r="D4973" s="12" t="n">
        <x:v>0.22625</x:v>
      </x:c>
      <x:c r="E4973" s="12" t="n">
        <x:v>0.23525000000000001</x:v>
      </x:c>
      <x:c r="F4973" s="12" t="n">
        <x:v>0</x:v>
      </x:c>
      <x:c r="G4973" s="12" t="n">
        <x:v>0</x:v>
      </x:c>
      <x:c r="H4973" s="1" t="n">
        <x:f>'Historical prices'!E4973</x:f>
        <x:v>1.05</x:v>
      </x:c>
      <x:c r="I4973" s="6" t="n">
        <x:f>'Historical prices'!D4973</x:f>
        <x:v>0.23199999999999998</x:v>
      </x:c>
      <x:c r="J4973" s="13" t="n">
        <x:f>D4973*I4973*H4973</x:f>
        <x:v>0.0551145</x:v>
      </x:c>
      <x:c r="K4973" s="13" t="n">
        <x:f>E4973*I4973*H4973</x:f>
        <x:v>0.0573069</x:v>
      </x:c>
      <x:c r="L4973" s="1" t="str">
        <x:f>TEXT(A4973,"mmm yyyy")</x:f>
        <x:v>Aug 2026</x:v>
      </x:c>
    </x:row>
    <x:row r="4974" ht="21" customHeight="1">
      <x:c r="A4974" s="10" t="n">
        <x:v>46252</x:v>
      </x:c>
      <x:c r="B4974" s="1" t="n">
        <x:v>3</x:v>
      </x:c>
      <x:c r="C4974" s="1" t="n">
        <x:v>6</x:v>
      </x:c>
      <x:c r="D4974" s="12" t="n">
        <x:v>0.30825</x:v>
      </x:c>
      <x:c r="E4974" s="12" t="n">
        <x:v>0.31925</x:v>
      </x:c>
      <x:c r="F4974" s="12" t="n">
        <x:v>0</x:v>
      </x:c>
      <x:c r="G4974" s="12" t="n">
        <x:v>0</x:v>
      </x:c>
      <x:c r="H4974" s="1" t="n">
        <x:f>'Historical prices'!E4974</x:f>
        <x:v>1.05</x:v>
      </x:c>
      <x:c r="I4974" s="6" t="n">
        <x:f>'Historical prices'!D4974</x:f>
        <x:v>0.2302</x:v>
      </x:c>
      <x:c r="J4974" s="13" t="n">
        <x:f>D4974*I4974*H4974</x:f>
        <x:v>0.0745071075</x:v>
      </x:c>
      <x:c r="K4974" s="13" t="n">
        <x:f>E4974*I4974*H4974</x:f>
        <x:v>0.0771659175</x:v>
      </x:c>
      <x:c r="L4974" s="1" t="str">
        <x:f>TEXT(A4974,"mmm yyyy")</x:f>
        <x:v>Aug 2026</x:v>
      </x:c>
    </x:row>
    <x:row r="4975" ht="21" customHeight="1">
      <x:c r="A4975" s="10" t="n">
        <x:v>46252</x:v>
      </x:c>
      <x:c r="B4975" s="1" t="n">
        <x:v>3.5</x:v>
      </x:c>
      <x:c r="C4975" s="1" t="n">
        <x:v>6</x:v>
      </x:c>
      <x:c r="D4975" s="12" t="n">
        <x:v>0.26025000000000004</x:v>
      </x:c>
      <x:c r="E4975" s="12" t="n">
        <x:v>0.27125</x:v>
      </x:c>
      <x:c r="F4975" s="12" t="n">
        <x:v>0</x:v>
      </x:c>
      <x:c r="G4975" s="12" t="n">
        <x:v>0</x:v>
      </x:c>
      <x:c r="H4975" s="1" t="n">
        <x:f>'Historical prices'!E4975</x:f>
        <x:v>1.05</x:v>
      </x:c>
      <x:c r="I4975" s="6" t="n">
        <x:f>'Historical prices'!D4975</x:f>
        <x:v>0.2249</x:v>
      </x:c>
      <x:c r="J4975" s="13" t="n">
        <x:f>D4975*I4975*H4975</x:f>
        <x:v>0.061456736250000005</x:v>
      </x:c>
      <x:c r="K4975" s="13" t="n">
        <x:f>E4975*I4975*H4975</x:f>
        <x:v>0.06405433125</x:v>
      </x:c>
      <x:c r="L4975" s="1" t="str">
        <x:f>TEXT(A4975,"mmm yyyy")</x:f>
        <x:v>Aug 2026</x:v>
      </x:c>
    </x:row>
    <x:row r="4976" ht="21" customHeight="1">
      <x:c r="A4976" s="10" t="n">
        <x:v>46252</x:v>
      </x:c>
      <x:c r="B4976" s="1" t="n">
        <x:v>4</x:v>
      </x:c>
      <x:c r="C4976" s="1" t="n">
        <x:v>6</x:v>
      </x:c>
      <x:c r="D4976" s="12" t="n">
        <x:v>0.25825</x:v>
      </x:c>
      <x:c r="E4976" s="12" t="n">
        <x:v>0.26925</x:v>
      </x:c>
      <x:c r="F4976" s="12" t="n">
        <x:v>0</x:v>
      </x:c>
      <x:c r="G4976" s="12" t="n">
        <x:v>0</x:v>
      </x:c>
      <x:c r="H4976" s="1" t="n">
        <x:f>'Historical prices'!E4976</x:f>
        <x:v>1.05</x:v>
      </x:c>
      <x:c r="I4976" s="6" t="n">
        <x:f>'Historical prices'!D4976</x:f>
        <x:v>0.2323</x:v>
      </x:c>
      <x:c r="J4976" s="13" t="n">
        <x:f>D4976*I4976*H4976</x:f>
        <x:v>0.06299104875</x:v>
      </x:c>
      <x:c r="K4976" s="13" t="n">
        <x:f>E4976*I4976*H4976</x:f>
        <x:v>0.06567411375</x:v>
      </x:c>
      <x:c r="L4976" s="1" t="str">
        <x:f>TEXT(A4976,"mmm yyyy")</x:f>
        <x:v>Aug 2026</x:v>
      </x:c>
    </x:row>
    <x:row r="4977" ht="21" customHeight="1">
      <x:c r="A4977" s="10" t="n">
        <x:v>46252</x:v>
      </x:c>
      <x:c r="B4977" s="1" t="n">
        <x:v>4.5</x:v>
      </x:c>
      <x:c r="C4977" s="1" t="n">
        <x:v>6</x:v>
      </x:c>
      <x:c r="D4977" s="12" t="n">
        <x:v>0.23750000000000002</x:v>
      </x:c>
      <x:c r="E4977" s="12" t="n">
        <x:v>0.2475</x:v>
      </x:c>
      <x:c r="F4977" s="12" t="n">
        <x:v>0</x:v>
      </x:c>
      <x:c r="G4977" s="12" t="n">
        <x:v>0</x:v>
      </x:c>
      <x:c r="H4977" s="1" t="n">
        <x:f>'Historical prices'!E4977</x:f>
        <x:v>1.05</x:v>
      </x:c>
      <x:c r="I4977" s="6" t="n">
        <x:f>'Historical prices'!D4977</x:f>
        <x:v>0.23079999999999998</x:v>
      </x:c>
      <x:c r="J4977" s="13" t="n">
        <x:f>D4977*I4977*H4977</x:f>
        <x:v>0.057555749999999996</x:v>
      </x:c>
      <x:c r="K4977" s="13" t="n">
        <x:f>E4977*I4977*H4977</x:f>
        <x:v>0.059979149999999995</x:v>
      </x:c>
      <x:c r="L4977" s="1" t="str">
        <x:f>TEXT(A4977,"mmm yyyy")</x:f>
        <x:v>Aug 2026</x:v>
      </x:c>
    </x:row>
    <x:row r="4978" ht="21" customHeight="1">
      <x:c r="A4978" s="10" t="n">
        <x:v>46252</x:v>
      </x:c>
      <x:c r="B4978" s="1" t="n">
        <x:v>5</x:v>
      </x:c>
      <x:c r="C4978" s="1" t="n">
        <x:v>6</x:v>
      </x:c>
      <x:c r="D4978" s="12" t="n">
        <x:v>0.185</x:v>
      </x:c>
      <x:c r="E4978" s="12" t="n">
        <x:v>0.196</x:v>
      </x:c>
      <x:c r="F4978" s="12" t="n">
        <x:v>0</x:v>
      </x:c>
      <x:c r="G4978" s="12" t="n">
        <x:v>0</x:v>
      </x:c>
      <x:c r="H4978" s="1" t="n">
        <x:f>'Historical prices'!E4978</x:f>
        <x:v>1.05</x:v>
      </x:c>
      <x:c r="I4978" s="6" t="n">
        <x:f>'Historical prices'!D4978</x:f>
        <x:v>0.2514</x:v>
      </x:c>
      <x:c r="J4978" s="13" t="n">
        <x:f>D4978*I4978*H4978</x:f>
        <x:v>0.04883445</x:v>
      </x:c>
      <x:c r="K4978" s="13" t="n">
        <x:f>E4978*I4978*H4978</x:f>
        <x:v>0.051738120000000005</x:v>
      </x:c>
      <x:c r="L4978" s="1" t="str">
        <x:f>TEXT(A4978,"mmm yyyy")</x:f>
        <x:v>Aug 2026</x:v>
      </x:c>
    </x:row>
    <x:row r="4979" ht="21" customHeight="1">
      <x:c r="A4979" s="10" t="n">
        <x:v>46252</x:v>
      </x:c>
      <x:c r="B4979" s="1" t="n">
        <x:v>5.5</x:v>
      </x:c>
      <x:c r="C4979" s="1" t="n">
        <x:v>6</x:v>
      </x:c>
      <x:c r="D4979" s="12" t="n">
        <x:v>0.21625000000000003</x:v>
      </x:c>
      <x:c r="E4979" s="12" t="n">
        <x:v>0.22625000000000003</x:v>
      </x:c>
      <x:c r="F4979" s="12" t="n">
        <x:v>0</x:v>
      </x:c>
      <x:c r="G4979" s="12" t="n">
        <x:v>0</x:v>
      </x:c>
      <x:c r="H4979" s="1" t="n">
        <x:f>'Historical prices'!E4979</x:f>
        <x:v>1.05</x:v>
      </x:c>
      <x:c r="I4979" s="6" t="n">
        <x:f>'Historical prices'!D4979</x:f>
        <x:v>0.2539</x:v>
      </x:c>
      <x:c r="J4979" s="13" t="n">
        <x:f>D4979*I4979*H4979</x:f>
        <x:v>0.05765116875000001</x:v>
      </x:c>
      <x:c r="K4979" s="13" t="n">
        <x:f>E4979*I4979*H4979</x:f>
        <x:v>0.060317118750000016</x:v>
      </x:c>
      <x:c r="L4979" s="1" t="str">
        <x:f>TEXT(A4979,"mmm yyyy")</x:f>
        <x:v>Aug 2026</x:v>
      </x:c>
    </x:row>
    <x:row r="4980" ht="21" customHeight="1">
      <x:c r="A4980" s="10" t="n">
        <x:v>46252</x:v>
      </x:c>
      <x:c r="B4980" s="1" t="n">
        <x:v>6</x:v>
      </x:c>
      <x:c r="C4980" s="1" t="n">
        <x:v>6</x:v>
      </x:c>
      <x:c r="D4980" s="12" t="n">
        <x:v>0.04425</x:v>
      </x:c>
      <x:c r="E4980" s="12" t="n">
        <x:v>0.4350833333333333</x:v>
      </x:c>
      <x:c r="F4980" s="12" t="n">
        <x:v>0.38849999999999996</x:v>
      </x:c>
      <x:c r="G4980" s="12" t="n">
        <x:v>0</x:v>
      </x:c>
      <x:c r="H4980" s="1" t="n">
        <x:f>'Historical prices'!E4980</x:f>
        <x:v>1.05</x:v>
      </x:c>
      <x:c r="I4980" s="6" t="n">
        <x:f>'Historical prices'!D4980</x:f>
        <x:v>0.2693</x:v>
      </x:c>
      <x:c r="J4980" s="13" t="n">
        <x:f>D4980*I4980*H4980</x:f>
        <x:v>0.01251235125</x:v>
      </x:c>
      <x:c r="K4980" s="13" t="n">
        <x:f>E4980*I4980*H4980</x:f>
        <x:v>0.12302633874999999</x:v>
      </x:c>
      <x:c r="L4980" s="1" t="str">
        <x:f>TEXT(A4980,"mmm yyyy")</x:f>
        <x:v>Aug 2026</x:v>
      </x:c>
    </x:row>
    <x:row r="4981" ht="21" customHeight="1">
      <x:c r="A4981" s="10" t="n">
        <x:v>46252</x:v>
      </x:c>
      <x:c r="B4981" s="1" t="n">
        <x:v>6.5</x:v>
      </x:c>
      <x:c r="C4981" s="1" t="n">
        <x:v>6</x:v>
      </x:c>
      <x:c r="D4981" s="12" t="n">
        <x:v>0</x:v>
      </x:c>
      <x:c r="E4981" s="12" t="n">
        <x:v>0.6831666666666667</x:v>
      </x:c>
      <x:c r="F4981" s="12" t="n">
        <x:v>0.6815833333333334</x:v>
      </x:c>
      <x:c r="G4981" s="12" t="n">
        <x:v>0</x:v>
      </x:c>
      <x:c r="H4981" s="1" t="n">
        <x:f>'Historical prices'!E4981</x:f>
        <x:v>1.05</x:v>
      </x:c>
      <x:c r="I4981" s="6" t="n">
        <x:f>'Historical prices'!D4981</x:f>
        <x:v>0.28550000000000003</x:v>
      </x:c>
      <x:c r="J4981" s="13" t="n">
        <x:f>D4981*I4981*H4981</x:f>
        <x:v>0</x:v>
      </x:c>
      <x:c r="K4981" s="13" t="n">
        <x:f>E4981*I4981*H4981</x:f>
        <x:v>0.20479628750000003</x:v>
      </x:c>
      <x:c r="L4981" s="1" t="str">
        <x:f>TEXT(A4981,"mmm yyyy")</x:f>
        <x:v>Aug 2026</x:v>
      </x:c>
    </x:row>
    <x:row r="4982" ht="21" customHeight="1">
      <x:c r="A4982" s="10" t="n">
        <x:v>46252</x:v>
      </x:c>
      <x:c r="B4982" s="1" t="n">
        <x:v>7</x:v>
      </x:c>
      <x:c r="C4982" s="1" t="n">
        <x:v>6</x:v>
      </x:c>
      <x:c r="D4982" s="12" t="n">
        <x:v>0</x:v>
      </x:c>
      <x:c r="E4982" s="12" t="n">
        <x:v>0.64975</x:v>
      </x:c>
      <x:c r="F4982" s="12" t="n">
        <x:v>0.6493333333333333</x:v>
      </x:c>
      <x:c r="G4982" s="12" t="n">
        <x:v>0</x:v>
      </x:c>
      <x:c r="H4982" s="1" t="n">
        <x:f>'Historical prices'!E4982</x:f>
        <x:v>1.05</x:v>
      </x:c>
      <x:c r="I4982" s="6" t="n">
        <x:f>'Historical prices'!D4982</x:f>
        <x:v>0.2711</x:v>
      </x:c>
      <x:c r="J4982" s="13" t="n">
        <x:f>D4982*I4982*H4982</x:f>
        <x:v>0</x:v>
      </x:c>
      <x:c r="K4982" s="13" t="n">
        <x:f>E4982*I4982*H4982</x:f>
        <x:v>0.18495458625000002</x:v>
      </x:c>
      <x:c r="L4982" s="1" t="str">
        <x:f>TEXT(A4982,"mmm yyyy")</x:f>
        <x:v>Aug 2026</x:v>
      </x:c>
    </x:row>
    <x:row r="4983" ht="21" customHeight="1">
      <x:c r="A4983" s="10" t="n">
        <x:v>46252</x:v>
      </x:c>
      <x:c r="B4983" s="1" t="n">
        <x:v>7.5</x:v>
      </x:c>
      <x:c r="C4983" s="1" t="n">
        <x:v>6</x:v>
      </x:c>
      <x:c r="D4983" s="12" t="n">
        <x:v>0</x:v>
      </x:c>
      <x:c r="E4983" s="12" t="n">
        <x:v>0.7100833333333334</x:v>
      </x:c>
      <x:c r="F4983" s="12" t="n">
        <x:v>0.70975</x:v>
      </x:c>
      <x:c r="G4983" s="12" t="n">
        <x:v>0</x:v>
      </x:c>
      <x:c r="H4983" s="1" t="n">
        <x:f>'Historical prices'!E4983</x:f>
        <x:v>1.05</x:v>
      </x:c>
      <x:c r="I4983" s="6" t="n">
        <x:f>'Historical prices'!D4983</x:f>
        <x:v>0.2816</x:v>
      </x:c>
      <x:c r="J4983" s="13" t="n">
        <x:f>D4983*I4983*H4983</x:f>
        <x:v>0</x:v>
      </x:c>
      <x:c r="K4983" s="13" t="n">
        <x:f>E4983*I4983*H4983</x:f>
        <x:v>0.20995744000000005</x:v>
      </x:c>
      <x:c r="L4983" s="1" t="str">
        <x:f>TEXT(A4983,"mmm yyyy")</x:f>
        <x:v>Aug 2026</x:v>
      </x:c>
    </x:row>
    <x:row r="4984" ht="21" customHeight="1">
      <x:c r="A4984" s="10" t="n">
        <x:v>46252</x:v>
      </x:c>
      <x:c r="B4984" s="1" t="n">
        <x:v>8</x:v>
      </x:c>
      <x:c r="C4984" s="1" t="n">
        <x:v>6</x:v>
      </x:c>
      <x:c r="D4984" s="12" t="n">
        <x:v>0</x:v>
      </x:c>
      <x:c r="E4984" s="12" t="n">
        <x:v>0.6553333333333333</x:v>
      </x:c>
      <x:c r="F4984" s="12" t="n">
        <x:v>0.6543333333333333</x:v>
      </x:c>
      <x:c r="G4984" s="12" t="n">
        <x:v>0</x:v>
      </x:c>
      <x:c r="H4984" s="1" t="n">
        <x:f>'Historical prices'!E4984</x:f>
        <x:v>1.05</x:v>
      </x:c>
      <x:c r="I4984" s="6" t="n">
        <x:f>'Historical prices'!D4984</x:f>
        <x:v>0.2606</x:v>
      </x:c>
      <x:c r="J4984" s="13" t="n">
        <x:f>D4984*I4984*H4984</x:f>
        <x:v>0</x:v>
      </x:c>
      <x:c r="K4984" s="13" t="n">
        <x:f>E4984*I4984*H4984</x:f>
        <x:v>0.17931886</x:v>
      </x:c>
      <x:c r="L4984" s="1" t="str">
        <x:f>TEXT(A4984,"mmm yyyy")</x:f>
        <x:v>Aug 2026</x:v>
      </x:c>
    </x:row>
    <x:row r="4985" ht="21" customHeight="1">
      <x:c r="A4985" s="10" t="n">
        <x:v>46252</x:v>
      </x:c>
      <x:c r="B4985" s="1" t="n">
        <x:v>8.5</x:v>
      </x:c>
      <x:c r="C4985" s="1" t="n">
        <x:v>6</x:v>
      </x:c>
      <x:c r="D4985" s="12" t="n">
        <x:v>0</x:v>
      </x:c>
      <x:c r="E4985" s="12" t="n">
        <x:v>0.6628333333333334</x:v>
      </x:c>
      <x:c r="F4985" s="12" t="n">
        <x:v>0.6613333333333333</x:v>
      </x:c>
      <x:c r="G4985" s="12" t="n">
        <x:v>0</x:v>
      </x:c>
      <x:c r="H4985" s="1" t="n">
        <x:f>'Historical prices'!E4985</x:f>
        <x:v>1.05</x:v>
      </x:c>
      <x:c r="I4985" s="6" t="n">
        <x:f>'Historical prices'!D4985</x:f>
        <x:v>0.26789999999999997</x:v>
      </x:c>
      <x:c r="J4985" s="13" t="n">
        <x:f>D4985*I4985*H4985</x:f>
        <x:v>0</x:v>
      </x:c>
      <x:c r="K4985" s="13" t="n">
        <x:f>E4985*I4985*H4985</x:f>
        <x:v>0.18645170249999998</x:v>
      </x:c>
      <x:c r="L4985" s="1" t="str">
        <x:f>TEXT(A4985,"mmm yyyy")</x:f>
        <x:v>Aug 2026</x:v>
      </x:c>
    </x:row>
    <x:row r="4986" ht="21" customHeight="1">
      <x:c r="A4986" s="10" t="n">
        <x:v>46252</x:v>
      </x:c>
      <x:c r="B4986" s="1" t="n">
        <x:v>9</x:v>
      </x:c>
      <x:c r="C4986" s="1" t="n">
        <x:v>6</x:v>
      </x:c>
      <x:c r="D4986" s="12" t="n">
        <x:v>0.43999999999999995</x:v>
      </x:c>
      <x:c r="E4986" s="12" t="n">
        <x:v>0.5550833333333333</x:v>
      </x:c>
      <x:c r="F4986" s="12" t="n">
        <x:v>0.105</x:v>
      </x:c>
      <x:c r="G4986" s="12" t="n">
        <x:v>0</x:v>
      </x:c>
      <x:c r="H4986" s="1" t="n">
        <x:f>'Historical prices'!E4986</x:f>
        <x:v>1.05</x:v>
      </x:c>
      <x:c r="I4986" s="6" t="n">
        <x:f>'Historical prices'!D4986</x:f>
        <x:v>0.24059999999999998</x:v>
      </x:c>
      <x:c r="J4986" s="13" t="n">
        <x:f>D4986*I4986*H4986</x:f>
        <x:v>0.11115719999999997</x:v>
      </x:c>
      <x:c r="K4986" s="13" t="n">
        <x:f>E4986*I4986*H4986</x:f>
        <x:v>0.14023070249999997</x:v>
      </x:c>
      <x:c r="L4986" s="1" t="str">
        <x:f>TEXT(A4986,"mmm yyyy")</x:f>
        <x:v>Aug 2026</x:v>
      </x:c>
    </x:row>
    <x:row r="4987" ht="21" customHeight="1">
      <x:c r="A4987" s="10" t="n">
        <x:v>46252</x:v>
      </x:c>
      <x:c r="B4987" s="1" t="n">
        <x:v>9.5</x:v>
      </x:c>
      <x:c r="C4987" s="1" t="n">
        <x:v>6</x:v>
      </x:c>
      <x:c r="D4987" s="12" t="n">
        <x:v>0.53025</x:v>
      </x:c>
      <x:c r="E4987" s="12" t="n">
        <x:v>0.54025</x:v>
      </x:c>
      <x:c r="F4987" s="12" t="n">
        <x:v>0</x:v>
      </x:c>
      <x:c r="G4987" s="12" t="n">
        <x:v>0</x:v>
      </x:c>
      <x:c r="H4987" s="1" t="n">
        <x:f>'Historical prices'!E4987</x:f>
        <x:v>1.05</x:v>
      </x:c>
      <x:c r="I4987" s="6" t="n">
        <x:f>'Historical prices'!D4987</x:f>
        <x:v>0.23879999999999998</x:v>
      </x:c>
      <x:c r="J4987" s="13" t="n">
        <x:f>D4987*I4987*H4987</x:f>
        <x:v>0.132954885</x:v>
      </x:c>
      <x:c r="K4987" s="13" t="n">
        <x:f>E4987*I4987*H4987</x:f>
        <x:v>0.13546228500000002</x:v>
      </x:c>
      <x:c r="L4987" s="1" t="str">
        <x:f>TEXT(A4987,"mmm yyyy")</x:f>
        <x:v>Aug 2026</x:v>
      </x:c>
    </x:row>
    <x:row r="4988" ht="21" customHeight="1">
      <x:c r="A4988" s="10" t="n">
        <x:v>46252</x:v>
      </x:c>
      <x:c r="B4988" s="1" t="n">
        <x:v>10</x:v>
      </x:c>
      <x:c r="C4988" s="1" t="n">
        <x:v>6</x:v>
      </x:c>
      <x:c r="D4988" s="12" t="n">
        <x:v>0.527</x:v>
      </x:c>
      <x:c r="E4988" s="12" t="n">
        <x:v>0.538</x:v>
      </x:c>
      <x:c r="F4988" s="12" t="n">
        <x:v>0</x:v>
      </x:c>
      <x:c r="G4988" s="12" t="n">
        <x:v>0</x:v>
      </x:c>
      <x:c r="H4988" s="1" t="n">
        <x:f>'Historical prices'!E4988</x:f>
        <x:v>1.05</x:v>
      </x:c>
      <x:c r="I4988" s="6" t="n">
        <x:f>'Historical prices'!D4988</x:f>
        <x:v>0.2249</x:v>
      </x:c>
      <x:c r="J4988" s="13" t="n">
        <x:f>D4988*I4988*H4988</x:f>
        <x:v>0.124448415</x:v>
      </x:c>
      <x:c r="K4988" s="13" t="n">
        <x:f>E4988*I4988*H4988</x:f>
        <x:v>0.12704601000000001</x:v>
      </x:c>
      <x:c r="L4988" s="1" t="str">
        <x:f>TEXT(A4988,"mmm yyyy")</x:f>
        <x:v>Aug 2026</x:v>
      </x:c>
    </x:row>
    <x:row r="4989" ht="21" customHeight="1">
      <x:c r="A4989" s="10" t="n">
        <x:v>46252</x:v>
      </x:c>
      <x:c r="B4989" s="1" t="n">
        <x:v>10.5</x:v>
      </x:c>
      <x:c r="C4989" s="1" t="n">
        <x:v>6</x:v>
      </x:c>
      <x:c r="D4989" s="12" t="n">
        <x:v>0.52325</x:v>
      </x:c>
      <x:c r="E4989" s="12" t="n">
        <x:v>0.5342500000000001</x:v>
      </x:c>
      <x:c r="F4989" s="12" t="n">
        <x:v>0</x:v>
      </x:c>
      <x:c r="G4989" s="12" t="n">
        <x:v>0</x:v>
      </x:c>
      <x:c r="H4989" s="1" t="n">
        <x:f>'Historical prices'!E4989</x:f>
        <x:v>1.05</x:v>
      </x:c>
      <x:c r="I4989" s="6" t="n">
        <x:f>'Historical prices'!D4989</x:f>
        <x:v>0.21350000000000002</x:v>
      </x:c>
      <x:c r="J4989" s="13" t="n">
        <x:f>D4989*I4989*H4989</x:f>
        <x:v>0.11729956875000001</x:v>
      </x:c>
      <x:c r="K4989" s="13" t="n">
        <x:f>E4989*I4989*H4989</x:f>
        <x:v>0.11976549375000005</x:v>
      </x:c>
      <x:c r="L4989" s="1" t="str">
        <x:f>TEXT(A4989,"mmm yyyy")</x:f>
        <x:v>Aug 2026</x:v>
      </x:c>
    </x:row>
    <x:row r="4990" ht="21" customHeight="1">
      <x:c r="A4990" s="10" t="n">
        <x:v>46252</x:v>
      </x:c>
      <x:c r="B4990" s="1" t="n">
        <x:v>11</x:v>
      </x:c>
      <x:c r="C4990" s="1" t="n">
        <x:v>6</x:v>
      </x:c>
      <x:c r="D4990" s="12" t="n">
        <x:v>4.515750000000001</x:v>
      </x:c>
      <x:c r="E4990" s="12" t="n">
        <x:v>0.6117500000000001</x:v>
      </x:c>
      <x:c r="F4990" s="12" t="n">
        <x:v>0</x:v>
      </x:c>
      <x:c r="G4990" s="12" t="n">
        <x:v>3.9059999999999997</x:v>
      </x:c>
      <x:c r="H4990" s="1" t="n">
        <x:f>'Historical prices'!E4990</x:f>
        <x:v>1.05</x:v>
      </x:c>
      <x:c r="I4990" s="6" t="n">
        <x:f>'Historical prices'!D4990</x:f>
        <x:v>0.2089</x:v>
      </x:c>
      <x:c r="J4990" s="13" t="n">
        <x:f>D4990*I4990*H4990</x:f>
        <x:v>0.9905071837500001</x:v>
      </x:c>
      <x:c r="K4990" s="13" t="n">
        <x:f>E4990*I4990*H4990</x:f>
        <x:v>0.13418430375000004</x:v>
      </x:c>
      <x:c r="L4990" s="1" t="str">
        <x:f>TEXT(A4990,"mmm yyyy")</x:f>
        <x:v>Aug 2026</x:v>
      </x:c>
    </x:row>
    <x:row r="4991" ht="21" customHeight="1">
      <x:c r="A4991" s="10" t="n">
        <x:v>46252</x:v>
      </x:c>
      <x:c r="B4991" s="1" t="n">
        <x:v>11.5</x:v>
      </x:c>
      <x:c r="C4991" s="1" t="n">
        <x:v>6</x:v>
      </x:c>
      <x:c r="D4991" s="12" t="n">
        <x:v>1.3864999999999998</x:v>
      </x:c>
      <x:c r="E4991" s="12" t="n">
        <x:v>0.6075</x:v>
      </x:c>
      <x:c r="F4991" s="12" t="n">
        <x:v>0</x:v>
      </x:c>
      <x:c r="G4991" s="12" t="n">
        <x:v>0.788</x:v>
      </x:c>
      <x:c r="H4991" s="1" t="n">
        <x:f>'Historical prices'!E4991</x:f>
        <x:v>1.05</x:v>
      </x:c>
      <x:c r="I4991" s="6" t="n">
        <x:f>'Historical prices'!D4991</x:f>
        <x:v>0.2145</x:v>
      </x:c>
      <x:c r="J4991" s="13" t="n">
        <x:f>D4991*I4991*H4991</x:f>
        <x:v>0.3122744625</x:v>
      </x:c>
      <x:c r="K4991" s="13" t="n">
        <x:f>E4991*I4991*H4991</x:f>
        <x:v>0.1368241875</x:v>
      </x:c>
      <x:c r="L4991" s="1" t="str">
        <x:f>TEXT(A4991,"mmm yyyy")</x:f>
        <x:v>Aug 2026</x:v>
      </x:c>
    </x:row>
    <x:row r="4992" ht="21" customHeight="1">
      <x:c r="A4992" s="10" t="n">
        <x:v>46252</x:v>
      </x:c>
      <x:c r="B4992" s="1" t="n">
        <x:v>12</x:v>
      </x:c>
      <x:c r="C4992" s="1" t="n">
        <x:v>6</x:v>
      </x:c>
      <x:c r="D4992" s="12" t="n">
        <x:v>0.41000000000000003</x:v>
      </x:c>
      <x:c r="E4992" s="12" t="n">
        <x:v>0.42099999999999993</x:v>
      </x:c>
      <x:c r="F4992" s="12" t="n">
        <x:v>0</x:v>
      </x:c>
      <x:c r="G4992" s="12" t="n">
        <x:v>0</x:v>
      </x:c>
      <x:c r="H4992" s="1" t="n">
        <x:f>'Historical prices'!E4992</x:f>
        <x:v>1.05</x:v>
      </x:c>
      <x:c r="I4992" s="6" t="n">
        <x:f>'Historical prices'!D4992</x:f>
        <x:v>0.21760000000000002</x:v>
      </x:c>
      <x:c r="J4992" s="13" t="n">
        <x:f>D4992*I4992*H4992</x:f>
        <x:v>0.09367680000000002</x:v>
      </x:c>
      <x:c r="K4992" s="13" t="n">
        <x:f>E4992*I4992*H4992</x:f>
        <x:v>0.09619007999999998</x:v>
      </x:c>
      <x:c r="L4992" s="1" t="str">
        <x:f>TEXT(A4992,"mmm yyyy")</x:f>
        <x:v>Aug 2026</x:v>
      </x:c>
    </x:row>
    <x:row r="4993" ht="21" customHeight="1">
      <x:c r="A4993" s="10" t="n">
        <x:v>46252</x:v>
      </x:c>
      <x:c r="B4993" s="1" t="n">
        <x:v>12.5</x:v>
      </x:c>
      <x:c r="C4993" s="1" t="n">
        <x:v>6</x:v>
      </x:c>
      <x:c r="D4993" s="12" t="n">
        <x:v>0.40775</x:v>
      </x:c>
      <x:c r="E4993" s="12" t="n">
        <x:v>0.41875</x:v>
      </x:c>
      <x:c r="F4993" s="12" t="n">
        <x:v>0</x:v>
      </x:c>
      <x:c r="G4993" s="12" t="n">
        <x:v>0</x:v>
      </x:c>
      <x:c r="H4993" s="1" t="n">
        <x:f>'Historical prices'!E4993</x:f>
        <x:v>1.05</x:v>
      </x:c>
      <x:c r="I4993" s="6" t="n">
        <x:f>'Historical prices'!D4993</x:f>
        <x:v>0.2112</x:v>
      </x:c>
      <x:c r="J4993" s="13" t="n">
        <x:f>D4993*I4993*H4993</x:f>
        <x:v>0.09042264</x:v>
      </x:c>
      <x:c r="K4993" s="13" t="n">
        <x:f>E4993*I4993*H4993</x:f>
        <x:v>0.09286200000000001</x:v>
      </x:c>
      <x:c r="L4993" s="1" t="str">
        <x:f>TEXT(A4993,"mmm yyyy")</x:f>
        <x:v>Aug 2026</x:v>
      </x:c>
    </x:row>
    <x:row r="4994" ht="21" customHeight="1">
      <x:c r="A4994" s="10" t="n">
        <x:v>46252</x:v>
      </x:c>
      <x:c r="B4994" s="1" t="n">
        <x:v>13</x:v>
      </x:c>
      <x:c r="C4994" s="1" t="n">
        <x:v>6</x:v>
      </x:c>
      <x:c r="D4994" s="12" t="n">
        <x:v>1.51675</x:v>
      </x:c>
      <x:c r="E4994" s="12" t="n">
        <x:v>0.45475</x:v>
      </x:c>
      <x:c r="F4994" s="12" t="n">
        <x:v>0</x:v>
      </x:c>
      <x:c r="G4994" s="12" t="n">
        <x:v>1.068</x:v>
      </x:c>
      <x:c r="H4994" s="1" t="n">
        <x:f>'Historical prices'!E4994</x:f>
        <x:v>1.05</x:v>
      </x:c>
      <x:c r="I4994" s="6" t="n">
        <x:f>'Historical prices'!D4994</x:f>
        <x:v>0.2096</x:v>
      </x:c>
      <x:c r="J4994" s="13" t="n">
        <x:f>D4994*I4994*H4994</x:f>
        <x:v>0.3338063400000001</x:v>
      </x:c>
      <x:c r="K4994" s="13" t="n">
        <x:f>E4994*I4994*H4994</x:f>
        <x:v>0.10008138000000001</x:v>
      </x:c>
      <x:c r="L4994" s="1" t="str">
        <x:f>TEXT(A4994,"mmm yyyy")</x:f>
        <x:v>Aug 2026</x:v>
      </x:c>
    </x:row>
    <x:row r="4995" ht="21" customHeight="1">
      <x:c r="A4995" s="10" t="n">
        <x:v>46252</x:v>
      </x:c>
      <x:c r="B4995" s="1" t="n">
        <x:v>13.5</x:v>
      </x:c>
      <x:c r="C4995" s="1" t="n">
        <x:v>6</x:v>
      </x:c>
      <x:c r="D4995" s="12" t="n">
        <x:v>4.9967500000000005</x:v>
      </x:c>
      <x:c r="E4995" s="12" t="n">
        <x:v>0.60275</x:v>
      </x:c>
      <x:c r="F4995" s="12" t="n">
        <x:v>0</x:v>
      </x:c>
      <x:c r="G4995" s="12" t="n">
        <x:v>4.394</x:v>
      </x:c>
      <x:c r="H4995" s="1" t="n">
        <x:f>'Historical prices'!E4995</x:f>
        <x:v>1.05</x:v>
      </x:c>
      <x:c r="I4995" s="6" t="n">
        <x:f>'Historical prices'!D4995</x:f>
        <x:v>0.2064</x:v>
      </x:c>
      <x:c r="J4995" s="13" t="n">
        <x:f>D4995*I4995*H4995</x:f>
        <x:v>1.0828956600000001</x:v>
      </x:c>
      <x:c r="K4995" s="13" t="n">
        <x:f>E4995*I4995*H4995</x:f>
        <x:v>0.13062798</x:v>
      </x:c>
      <x:c r="L4995" s="1" t="str">
        <x:f>TEXT(A4995,"mmm yyyy")</x:f>
        <x:v>Aug 2026</x:v>
      </x:c>
    </x:row>
    <x:row r="4996" ht="21" customHeight="1">
      <x:c r="A4996" s="10" t="n">
        <x:v>46252</x:v>
      </x:c>
      <x:c r="B4996" s="1" t="n">
        <x:v>14</x:v>
      </x:c>
      <x:c r="C4996" s="1" t="n">
        <x:v>6</x:v>
      </x:c>
      <x:c r="D4996" s="12" t="n">
        <x:v>1.3107500000000003</x:v>
      </x:c>
      <x:c r="E4996" s="12" t="n">
        <x:v>0.5567500000000001</x:v>
      </x:c>
      <x:c r="F4996" s="12" t="n">
        <x:v>0</x:v>
      </x:c>
      <x:c r="G4996" s="12" t="n">
        <x:v>0.759</x:v>
      </x:c>
      <x:c r="H4996" s="1" t="n">
        <x:f>'Historical prices'!E4996</x:f>
        <x:v>1.05</x:v>
      </x:c>
      <x:c r="I4996" s="6" t="n">
        <x:f>'Historical prices'!D4996</x:f>
        <x:v>0.2148</x:v>
      </x:c>
      <x:c r="J4996" s="13" t="n">
        <x:f>D4996*I4996*H4996</x:f>
        <x:v>0.29562655500000007</x:v>
      </x:c>
      <x:c r="K4996" s="13" t="n">
        <x:f>E4996*I4996*H4996</x:f>
        <x:v>0.12556939500000003</x:v>
      </x:c>
      <x:c r="L4996" s="1" t="str">
        <x:f>TEXT(A4996,"mmm yyyy")</x:f>
        <x:v>Aug 2026</x:v>
      </x:c>
    </x:row>
    <x:row r="4997" ht="21" customHeight="1">
      <x:c r="A4997" s="10" t="n">
        <x:v>46252</x:v>
      </x:c>
      <x:c r="B4997" s="1" t="n">
        <x:v>14.5</x:v>
      </x:c>
      <x:c r="C4997" s="1" t="n">
        <x:v>6</x:v>
      </x:c>
      <x:c r="D4997" s="12" t="n">
        <x:v>1.20475</x:v>
      </x:c>
      <x:c r="E4997" s="12" t="n">
        <x:v>0.82275</x:v>
      </x:c>
      <x:c r="F4997" s="12" t="n">
        <x:v>0</x:v>
      </x:c>
      <x:c r="G4997" s="12" t="n">
        <x:v>0.386</x:v>
      </x:c>
      <x:c r="H4997" s="1" t="n">
        <x:f>'Historical prices'!E4997</x:f>
        <x:v>1.05</x:v>
      </x:c>
      <x:c r="I4997" s="6" t="n">
        <x:f>'Historical prices'!D4997</x:f>
        <x:v>0.2102</x:v>
      </x:c>
      <x:c r="J4997" s="13" t="n">
        <x:f>D4997*I4997*H4997</x:f>
        <x:v>0.26590037250000004</x:v>
      </x:c>
      <x:c r="K4997" s="13" t="n">
        <x:f>E4997*I4997*H4997</x:f>
        <x:v>0.1815891525</x:v>
      </x:c>
      <x:c r="L4997" s="1" t="str">
        <x:f>TEXT(A4997,"mmm yyyy")</x:f>
        <x:v>Aug 2026</x:v>
      </x:c>
    </x:row>
    <x:row r="4998" ht="21" customHeight="1">
      <x:c r="A4998" s="10" t="n">
        <x:v>46252</x:v>
      </x:c>
      <x:c r="B4998" s="1" t="n">
        <x:v>15</x:v>
      </x:c>
      <x:c r="C4998" s="1" t="n">
        <x:v>6</x:v>
      </x:c>
      <x:c r="D4998" s="12" t="n">
        <x:v>0.5427500000000001</x:v>
      </x:c>
      <x:c r="E4998" s="12" t="n">
        <x:v>0.5527500000000001</x:v>
      </x:c>
      <x:c r="F4998" s="12" t="n">
        <x:v>0</x:v>
      </x:c>
      <x:c r="G4998" s="12" t="n">
        <x:v>0</x:v>
      </x:c>
      <x:c r="H4998" s="1" t="n">
        <x:f>'Historical prices'!E4998</x:f>
        <x:v>1.05</x:v>
      </x:c>
      <x:c r="I4998" s="6" t="n">
        <x:f>'Historical prices'!D4998</x:f>
        <x:v>0.2186</x:v>
      </x:c>
      <x:c r="J4998" s="13" t="n">
        <x:f>D4998*I4998*H4998</x:f>
        <x:v>0.12457740750000001</x:v>
      </x:c>
      <x:c r="K4998" s="13" t="n">
        <x:f>E4998*I4998*H4998</x:f>
        <x:v>0.12687270750000001</x:v>
      </x:c>
      <x:c r="L4998" s="1" t="str">
        <x:f>TEXT(A4998,"mmm yyyy")</x:f>
        <x:v>Aug 2026</x:v>
      </x:c>
    </x:row>
    <x:row r="4999" ht="21" customHeight="1">
      <x:c r="A4999" s="10" t="n">
        <x:v>46252</x:v>
      </x:c>
      <x:c r="B4999" s="1" t="n">
        <x:v>15.5</x:v>
      </x:c>
      <x:c r="C4999" s="1" t="n">
        <x:v>6</x:v>
      </x:c>
      <x:c r="D4999" s="12" t="n">
        <x:v>0.49349999999999994</x:v>
      </x:c>
      <x:c r="E4999" s="12" t="n">
        <x:v>0.5055</x:v>
      </x:c>
      <x:c r="F4999" s="12" t="n">
        <x:v>0</x:v>
      </x:c>
      <x:c r="G4999" s="12" t="n">
        <x:v>0</x:v>
      </x:c>
      <x:c r="H4999" s="1" t="n">
        <x:f>'Historical prices'!E4999</x:f>
        <x:v>1.05</x:v>
      </x:c>
      <x:c r="I4999" s="6" t="n">
        <x:f>'Historical prices'!D4999</x:f>
        <x:v>0.2255</x:v>
      </x:c>
      <x:c r="J4999" s="13" t="n">
        <x:f>D4999*I4999*H4999</x:f>
        <x:v>0.11684846249999999</x:v>
      </x:c>
      <x:c r="K4999" s="13" t="n">
        <x:f>E4999*I4999*H4999</x:f>
        <x:v>0.11968976249999999</x:v>
      </x:c>
      <x:c r="L4999" s="1" t="str">
        <x:f>TEXT(A4999,"mmm yyyy")</x:f>
        <x:v>Aug 2026</x:v>
      </x:c>
    </x:row>
    <x:row r="5000" ht="21" customHeight="1">
      <x:c r="A5000" s="10" t="n">
        <x:v>46252</x:v>
      </x:c>
      <x:c r="B5000" s="1" t="n">
        <x:v>16</x:v>
      </x:c>
      <x:c r="C5000" s="1" t="n">
        <x:v>6</x:v>
      </x:c>
      <x:c r="D5000" s="12" t="n">
        <x:v>0.0755</x:v>
      </x:c>
      <x:c r="E5000" s="12" t="n">
        <x:v>0.71175</x:v>
      </x:c>
      <x:c r="F5000" s="12" t="n">
        <x:v>0.634</x:v>
      </x:c>
      <x:c r="G5000" s="12" t="n">
        <x:v>0</x:v>
      </x:c>
      <x:c r="H5000" s="1" t="n">
        <x:f>'Historical prices'!E5000</x:f>
        <x:v>1.05</x:v>
      </x:c>
      <x:c r="I5000" s="6" t="n">
        <x:f>'Historical prices'!D5000</x:f>
        <x:v>0.36119999999999997</x:v>
      </x:c>
      <x:c r="J5000" s="13" t="n">
        <x:f>D5000*I5000*H5000</x:f>
        <x:v>0.028634129999999997</x:v>
      </x:c>
      <x:c r="K5000" s="13" t="n">
        <x:f>E5000*I5000*H5000</x:f>
        <x:v>0.269938305</x:v>
      </x:c>
      <x:c r="L5000" s="1" t="str">
        <x:f>TEXT(A5000,"mmm yyyy")</x:f>
        <x:v>Aug 2026</x:v>
      </x:c>
    </x:row>
    <x:row r="5001" ht="21" customHeight="1">
      <x:c r="A5001" s="10" t="n">
        <x:v>46252</x:v>
      </x:c>
      <x:c r="B5001" s="1" t="n">
        <x:v>16.5</x:v>
      </x:c>
      <x:c r="C5001" s="1" t="n">
        <x:v>6</x:v>
      </x:c>
      <x:c r="D5001" s="12" t="n">
        <x:v>0</x:v>
      </x:c>
      <x:c r="E5001" s="12" t="n">
        <x:v>0.6014999999999999</x:v>
      </x:c>
      <x:c r="F5001" s="12" t="n">
        <x:v>0.601</x:v>
      </x:c>
      <x:c r="G5001" s="12" t="n">
        <x:v>0</x:v>
      </x:c>
      <x:c r="H5001" s="1" t="n">
        <x:f>'Historical prices'!E5001</x:f>
        <x:v>1.05</x:v>
      </x:c>
      <x:c r="I5001" s="6" t="n">
        <x:f>'Historical prices'!D5001</x:f>
        <x:v>0.3699</x:v>
      </x:c>
      <x:c r="J5001" s="13" t="n">
        <x:f>D5001*I5001*H5001</x:f>
        <x:v>0</x:v>
      </x:c>
      <x:c r="K5001" s="13" t="n">
        <x:f>E5001*I5001*H5001</x:f>
        <x:v>0.23361959249999997</x:v>
      </x:c>
      <x:c r="L5001" s="1" t="str">
        <x:f>TEXT(A5001,"mmm yyyy")</x:f>
        <x:v>Aug 2026</x:v>
      </x:c>
    </x:row>
    <x:row r="5002" ht="21" customHeight="1">
      <x:c r="A5002" s="10" t="n">
        <x:v>46252</x:v>
      </x:c>
      <x:c r="B5002" s="1" t="n">
        <x:v>17</x:v>
      </x:c>
      <x:c r="C5002" s="1" t="n">
        <x:v>6</x:v>
      </x:c>
      <x:c r="D5002" s="12" t="n">
        <x:v>0</x:v>
      </x:c>
      <x:c r="E5002" s="12" t="n">
        <x:v>0.4538333333333333</x:v>
      </x:c>
      <x:c r="F5002" s="12" t="n">
        <x:v>0.45358333333333334</x:v>
      </x:c>
      <x:c r="G5002" s="12" t="n">
        <x:v>0</x:v>
      </x:c>
      <x:c r="H5002" s="1" t="n">
        <x:f>'Historical prices'!E5002</x:f>
        <x:v>1.05</x:v>
      </x:c>
      <x:c r="I5002" s="6" t="n">
        <x:f>'Historical prices'!D5002</x:f>
        <x:v>0.4046</x:v>
      </x:c>
      <x:c r="J5002" s="13" t="n">
        <x:f>D5002*I5002*H5002</x:f>
        <x:v>0</x:v>
      </x:c>
      <x:c r="K5002" s="13" t="n">
        <x:f>E5002*I5002*H5002</x:f>
        <x:v>0.192802015</x:v>
      </x:c>
      <x:c r="L5002" s="1" t="str">
        <x:f>TEXT(A5002,"mmm yyyy")</x:f>
        <x:v>Aug 2026</x:v>
      </x:c>
    </x:row>
    <x:row r="5003" ht="21" customHeight="1">
      <x:c r="A5003" s="10" t="n">
        <x:v>46252</x:v>
      </x:c>
      <x:c r="B5003" s="1" t="n">
        <x:v>17.5</x:v>
      </x:c>
      <x:c r="C5003" s="1" t="n">
        <x:v>6</x:v>
      </x:c>
      <x:c r="D5003" s="12" t="n">
        <x:v>0</x:v>
      </x:c>
      <x:c r="E5003" s="12" t="n">
        <x:v>0.5166666666666666</x:v>
      </x:c>
      <x:c r="F5003" s="12" t="n">
        <x:v>0.5165833333333333</x:v>
      </x:c>
      <x:c r="G5003" s="12" t="n">
        <x:v>0</x:v>
      </x:c>
      <x:c r="H5003" s="1" t="n">
        <x:f>'Historical prices'!E5003</x:f>
        <x:v>1.05</x:v>
      </x:c>
      <x:c r="I5003" s="6" t="n">
        <x:f>'Historical prices'!D5003</x:f>
        <x:v>0.42590000000000006</x:v>
      </x:c>
      <x:c r="J5003" s="13" t="n">
        <x:f>D5003*I5003*H5003</x:f>
        <x:v>0</x:v>
      </x:c>
      <x:c r="K5003" s="13" t="n">
        <x:f>E5003*I5003*H5003</x:f>
        <x:v>0.23105075000000003</x:v>
      </x:c>
      <x:c r="L5003" s="1" t="str">
        <x:f>TEXT(A5003,"mmm yyyy")</x:f>
        <x:v>Aug 2026</x:v>
      </x:c>
    </x:row>
    <x:row r="5004" ht="21" customHeight="1">
      <x:c r="A5004" s="10" t="n">
        <x:v>46252</x:v>
      </x:c>
      <x:c r="B5004" s="1" t="n">
        <x:v>18</x:v>
      </x:c>
      <x:c r="C5004" s="1" t="n">
        <x:v>6</x:v>
      </x:c>
      <x:c r="D5004" s="12" t="n">
        <x:v>0</x:v>
      </x:c>
      <x:c r="E5004" s="12" t="n">
        <x:v>0.7780833333333332</x:v>
      </x:c>
      <x:c r="F5004" s="12" t="n">
        <x:v>0.7775833333333333</x:v>
      </x:c>
      <x:c r="G5004" s="12" t="n">
        <x:v>0</x:v>
      </x:c>
      <x:c r="H5004" s="1" t="n">
        <x:f>'Historical prices'!E5004</x:f>
        <x:v>1.05</x:v>
      </x:c>
      <x:c r="I5004" s="6" t="n">
        <x:f>'Historical prices'!D5004</x:f>
        <x:v>0.44189999999999996</x:v>
      </x:c>
      <x:c r="J5004" s="13" t="n">
        <x:f>D5004*I5004*H5004</x:f>
        <x:v>0</x:v>
      </x:c>
      <x:c r="K5004" s="13" t="n">
        <x:f>E5004*I5004*H5004</x:f>
        <x:v>0.3610267762499999</x:v>
      </x:c>
      <x:c r="L5004" s="1" t="str">
        <x:f>TEXT(A5004,"mmm yyyy")</x:f>
        <x:v>Aug 2026</x:v>
      </x:c>
    </x:row>
    <x:row r="5005" ht="21" customHeight="1">
      <x:c r="A5005" s="10" t="n">
        <x:v>46252</x:v>
      </x:c>
      <x:c r="B5005" s="1" t="n">
        <x:v>18.5</x:v>
      </x:c>
      <x:c r="C5005" s="1" t="n">
        <x:v>6</x:v>
      </x:c>
      <x:c r="D5005" s="12" t="n">
        <x:v>0</x:v>
      </x:c>
      <x:c r="E5005" s="12" t="n">
        <x:v>1.0659166666666668</x:v>
      </x:c>
      <x:c r="F5005" s="12" t="n">
        <x:v>1.0655</x:v>
      </x:c>
      <x:c r="G5005" s="12" t="n">
        <x:v>0</x:v>
      </x:c>
      <x:c r="H5005" s="1" t="n">
        <x:f>'Historical prices'!E5005</x:f>
        <x:v>1.05</x:v>
      </x:c>
      <x:c r="I5005" s="6" t="n">
        <x:f>'Historical prices'!D5005</x:f>
        <x:v>0.45130000000000003</x:v>
      </x:c>
      <x:c r="J5005" s="13" t="n">
        <x:f>D5005*I5005*H5005</x:f>
        <x:v>0</x:v>
      </x:c>
      <x:c r="K5005" s="13" t="n">
        <x:f>E5005*I5005*H5005</x:f>
        <x:v>0.5051006012500001</x:v>
      </x:c>
      <x:c r="L5005" s="1" t="str">
        <x:f>TEXT(A5005,"mmm yyyy")</x:f>
        <x:v>Aug 2026</x:v>
      </x:c>
    </x:row>
    <x:row r="5006" ht="21" customHeight="1">
      <x:c r="A5006" s="10" t="n">
        <x:v>46252</x:v>
      </x:c>
      <x:c r="B5006" s="1" t="n">
        <x:v>19</x:v>
      </x:c>
      <x:c r="C5006" s="1" t="n">
        <x:v>6</x:v>
      </x:c>
      <x:c r="D5006" s="12" t="n">
        <x:v>0</x:v>
      </x:c>
      <x:c r="E5006" s="12" t="n">
        <x:v>0.5944166666666666</x:v>
      </x:c>
      <x:c r="F5006" s="12" t="n">
        <x:v>0.594</x:v>
      </x:c>
      <x:c r="G5006" s="12" t="n">
        <x:v>0</x:v>
      </x:c>
      <x:c r="H5006" s="1" t="n">
        <x:f>'Historical prices'!E5006</x:f>
        <x:v>1.05</x:v>
      </x:c>
      <x:c r="I5006" s="6" t="n">
        <x:f>'Historical prices'!D5006</x:f>
        <x:v>0.324</x:v>
      </x:c>
      <x:c r="J5006" s="13" t="n">
        <x:f>D5006*I5006*H5006</x:f>
        <x:v>0</x:v>
      </x:c>
      <x:c r="K5006" s="13" t="n">
        <x:f>E5006*I5006*H5006</x:f>
        <x:v>0.20222055</x:v>
      </x:c>
      <x:c r="L5006" s="1" t="str">
        <x:f>TEXT(A5006,"mmm yyyy")</x:f>
        <x:v>Aug 2026</x:v>
      </x:c>
    </x:row>
    <x:row r="5007" ht="21" customHeight="1">
      <x:c r="A5007" s="10" t="n">
        <x:v>46252</x:v>
      </x:c>
      <x:c r="B5007" s="1" t="n">
        <x:v>19.5</x:v>
      </x:c>
      <x:c r="C5007" s="1" t="n">
        <x:v>6</x:v>
      </x:c>
      <x:c r="D5007" s="12" t="n">
        <x:v>0</x:v>
      </x:c>
      <x:c r="E5007" s="12" t="n">
        <x:v>0.8069999999999999</x:v>
      </x:c>
      <x:c r="F5007" s="12" t="n">
        <x:v>0.8065833333333332</x:v>
      </x:c>
      <x:c r="G5007" s="12" t="n">
        <x:v>0</x:v>
      </x:c>
      <x:c r="H5007" s="1" t="n">
        <x:f>'Historical prices'!E5007</x:f>
        <x:v>1.05</x:v>
      </x:c>
      <x:c r="I5007" s="6" t="n">
        <x:f>'Historical prices'!D5007</x:f>
        <x:v>0.3344</x:v>
      </x:c>
      <x:c r="J5007" s="13" t="n">
        <x:f>D5007*I5007*H5007</x:f>
        <x:v>0</x:v>
      </x:c>
      <x:c r="K5007" s="13" t="n">
        <x:f>E5007*I5007*H5007</x:f>
        <x:v>0.28335383999999997</x:v>
      </x:c>
      <x:c r="L5007" s="1" t="str">
        <x:f>TEXT(A5007,"mmm yyyy")</x:f>
        <x:v>Aug 2026</x:v>
      </x:c>
    </x:row>
    <x:row r="5008" ht="21" customHeight="1">
      <x:c r="A5008" s="10" t="n">
        <x:v>46252</x:v>
      </x:c>
      <x:c r="B5008" s="1" t="n">
        <x:v>20</x:v>
      </x:c>
      <x:c r="C5008" s="1" t="n">
        <x:v>6</x:v>
      </x:c>
      <x:c r="D5008" s="12" t="n">
        <x:v>0</x:v>
      </x:c>
      <x:c r="E5008" s="12" t="n">
        <x:v>0.5208333333333334</x:v>
      </x:c>
      <x:c r="F5008" s="12" t="n">
        <x:v>0.5204166666666667</x:v>
      </x:c>
      <x:c r="G5008" s="12" t="n">
        <x:v>0</x:v>
      </x:c>
      <x:c r="H5008" s="1" t="n">
        <x:f>'Historical prices'!E5008</x:f>
        <x:v>1.05</x:v>
      </x:c>
      <x:c r="I5008" s="6" t="n">
        <x:f>'Historical prices'!D5008</x:f>
        <x:v>0.3256</x:v>
      </x:c>
      <x:c r="J5008" s="13" t="n">
        <x:f>D5008*I5008*H5008</x:f>
        <x:v>0</x:v>
      </x:c>
      <x:c r="K5008" s="13" t="n">
        <x:f>E5008*I5008*H5008</x:f>
        <x:v>0.1780625</x:v>
      </x:c>
      <x:c r="L5008" s="1" t="str">
        <x:f>TEXT(A5008,"mmm yyyy")</x:f>
        <x:v>Aug 2026</x:v>
      </x:c>
    </x:row>
    <x:row r="5009" ht="21" customHeight="1">
      <x:c r="A5009" s="10" t="n">
        <x:v>46252</x:v>
      </x:c>
      <x:c r="B5009" s="1" t="n">
        <x:v>20.5</x:v>
      </x:c>
      <x:c r="C5009" s="1" t="n">
        <x:v>6</x:v>
      </x:c>
      <x:c r="D5009" s="12" t="n">
        <x:v>0</x:v>
      </x:c>
      <x:c r="E5009" s="12" t="n">
        <x:v>0.5099166666666667</x:v>
      </x:c>
      <x:c r="F5009" s="12" t="n">
        <x:v>0.5014166666666666</x:v>
      </x:c>
      <x:c r="G5009" s="12" t="n">
        <x:v>0</x:v>
      </x:c>
      <x:c r="H5009" s="1" t="n">
        <x:f>'Historical prices'!E5009</x:f>
        <x:v>1.05</x:v>
      </x:c>
      <x:c r="I5009" s="6" t="n">
        <x:f>'Historical prices'!D5009</x:f>
        <x:v>0.3307</x:v>
      </x:c>
      <x:c r="J5009" s="13" t="n">
        <x:f>D5009*I5009*H5009</x:f>
        <x:v>0</x:v>
      </x:c>
      <x:c r="K5009" s="13" t="n">
        <x:f>E5009*I5009*H5009</x:f>
        <x:v>0.17706091375</x:v>
      </x:c>
      <x:c r="L5009" s="1" t="str">
        <x:f>TEXT(A5009,"mmm yyyy")</x:f>
        <x:v>Aug 2026</x:v>
      </x:c>
    </x:row>
    <x:row r="5010" ht="21" customHeight="1">
      <x:c r="A5010" s="10" t="n">
        <x:v>46252</x:v>
      </x:c>
      <x:c r="B5010" s="1" t="n">
        <x:v>21</x:v>
      </x:c>
      <x:c r="C5010" s="1" t="n">
        <x:v>6</x:v>
      </x:c>
      <x:c r="D5010" s="12" t="n">
        <x:v>0</x:v>
      </x:c>
      <x:c r="E5010" s="12" t="n">
        <x:v>0.5811666666666666</x:v>
      </x:c>
      <x:c r="F5010" s="12" t="n">
        <x:v>0.5808333333333333</x:v>
      </x:c>
      <x:c r="G5010" s="12" t="n">
        <x:v>0</x:v>
      </x:c>
      <x:c r="H5010" s="1" t="n">
        <x:f>'Historical prices'!E5010</x:f>
        <x:v>1.05</x:v>
      </x:c>
      <x:c r="I5010" s="6" t="n">
        <x:f>'Historical prices'!D5010</x:f>
        <x:v>0.3311</x:v>
      </x:c>
      <x:c r="J5010" s="13" t="n">
        <x:f>D5010*I5010*H5010</x:f>
        <x:v>0</x:v>
      </x:c>
      <x:c r="K5010" s="13" t="n">
        <x:f>E5010*I5010*H5010</x:f>
        <x:v>0.20204549749999998</x:v>
      </x:c>
      <x:c r="L5010" s="1" t="str">
        <x:f>TEXT(A5010,"mmm yyyy")</x:f>
        <x:v>Aug 2026</x:v>
      </x:c>
    </x:row>
    <x:row r="5011" ht="21" customHeight="1">
      <x:c r="A5011" s="10" t="n">
        <x:v>46252</x:v>
      </x:c>
      <x:c r="B5011" s="1" t="n">
        <x:v>21.5</x:v>
      </x:c>
      <x:c r="C5011" s="1" t="n">
        <x:v>6</x:v>
      </x:c>
      <x:c r="D5011" s="12" t="n">
        <x:v>0</x:v>
      </x:c>
      <x:c r="E5011" s="12" t="n">
        <x:v>0.9499166666666667</x:v>
      </x:c>
      <x:c r="F5011" s="12" t="n">
        <x:v>0.9494166666666667</x:v>
      </x:c>
      <x:c r="G5011" s="12" t="n">
        <x:v>0</x:v>
      </x:c>
      <x:c r="H5011" s="1" t="n">
        <x:f>'Historical prices'!E5011</x:f>
        <x:v>1.05</x:v>
      </x:c>
      <x:c r="I5011" s="6" t="n">
        <x:f>'Historical prices'!D5011</x:f>
        <x:v>0.3186</x:v>
      </x:c>
      <x:c r="J5011" s="13" t="n">
        <x:f>D5011*I5011*H5011</x:f>
        <x:v>0</x:v>
      </x:c>
      <x:c r="K5011" s="13" t="n">
        <x:f>E5011*I5011*H5011</x:f>
        <x:v>0.3177756225000001</x:v>
      </x:c>
      <x:c r="L5011" s="1" t="str">
        <x:f>TEXT(A5011,"mmm yyyy")</x:f>
        <x:v>Aug 2026</x:v>
      </x:c>
    </x:row>
    <x:row r="5012" ht="21" customHeight="1">
      <x:c r="A5012" s="10" t="n">
        <x:v>46252</x:v>
      </x:c>
      <x:c r="B5012" s="1" t="n">
        <x:v>22</x:v>
      </x:c>
      <x:c r="C5012" s="1" t="n">
        <x:v>6</x:v>
      </x:c>
      <x:c r="D5012" s="12" t="n">
        <x:v>0</x:v>
      </x:c>
      <x:c r="E5012" s="12" t="n">
        <x:v>0.33291666666666664</x:v>
      </x:c>
      <x:c r="F5012" s="12" t="n">
        <x:v>0.3323333333333333</x:v>
      </x:c>
      <x:c r="G5012" s="12" t="n">
        <x:v>0</x:v>
      </x:c>
      <x:c r="H5012" s="1" t="n">
        <x:f>'Historical prices'!E5012</x:f>
        <x:v>1.05</x:v>
      </x:c>
      <x:c r="I5012" s="6" t="n">
        <x:f>'Historical prices'!D5012</x:f>
        <x:v>0.302</x:v>
      </x:c>
      <x:c r="J5012" s="13" t="n">
        <x:f>D5012*I5012*H5012</x:f>
        <x:v>0</x:v>
      </x:c>
      <x:c r="K5012" s="13" t="n">
        <x:f>E5012*I5012*H5012</x:f>
        <x:v>0.10556787499999999</x:v>
      </x:c>
      <x:c r="L5012" s="1" t="str">
        <x:f>TEXT(A5012,"mmm yyyy")</x:f>
        <x:v>Aug 2026</x:v>
      </x:c>
    </x:row>
    <x:row r="5013" ht="21" customHeight="1">
      <x:c r="A5013" s="10" t="n">
        <x:v>46252</x:v>
      </x:c>
      <x:c r="B5013" s="1" t="n">
        <x:v>22.5</x:v>
      </x:c>
      <x:c r="C5013" s="1" t="n">
        <x:v>6</x:v>
      </x:c>
      <x:c r="D5013" s="12" t="n">
        <x:v>0.23449999999999996</x:v>
      </x:c>
      <x:c r="E5013" s="12" t="n">
        <x:v>0.30316666666666664</x:v>
      </x:c>
      <x:c r="F5013" s="12" t="n">
        <x:v>0.057666666666666665</x:v>
      </x:c>
      <x:c r="G5013" s="12" t="n">
        <x:v>0</x:v>
      </x:c>
      <x:c r="H5013" s="1" t="n">
        <x:f>'Historical prices'!E5013</x:f>
        <x:v>1.05</x:v>
      </x:c>
      <x:c r="I5013" s="6" t="n">
        <x:f>'Historical prices'!D5013</x:f>
        <x:v>0.2732</x:v>
      </x:c>
      <x:c r="J5013" s="13" t="n">
        <x:f>D5013*I5013*H5013</x:f>
        <x:v>0.06726867</x:v>
      </x:c>
      <x:c r="K5013" s="13" t="n">
        <x:f>E5013*I5013*H5013</x:f>
        <x:v>0.08696639</x:v>
      </x:c>
      <x:c r="L5013" s="1" t="str">
        <x:f>TEXT(A5013,"mmm yyyy")</x:f>
        <x:v>Aug 2026</x:v>
      </x:c>
    </x:row>
    <x:row r="5014" ht="21" customHeight="1">
      <x:c r="A5014" s="10" t="n">
        <x:v>46252</x:v>
      </x:c>
      <x:c r="B5014" s="1" t="n">
        <x:v>23</x:v>
      </x:c>
      <x:c r="C5014" s="1" t="n">
        <x:v>6</x:v>
      </x:c>
      <x:c r="D5014" s="12" t="n">
        <x:v>0.0455</x:v>
      </x:c>
      <x:c r="E5014" s="12" t="n">
        <x:v>0.31908333333333333</x:v>
      </x:c>
      <x:c r="F5014" s="12" t="n">
        <x:v>0.27141666666666664</x:v>
      </x:c>
      <x:c r="G5014" s="12" t="n">
        <x:v>0</x:v>
      </x:c>
      <x:c r="H5014" s="1" t="n">
        <x:f>'Historical prices'!E5014</x:f>
        <x:v>1.05</x:v>
      </x:c>
      <x:c r="I5014" s="6" t="n">
        <x:f>'Historical prices'!D5014</x:f>
        <x:v>0.2864</x:v>
      </x:c>
      <x:c r="J5014" s="13" t="n">
        <x:f>D5014*I5014*H5014</x:f>
        <x:v>0.01368276</x:v>
      </x:c>
      <x:c r="K5014" s="13" t="n">
        <x:f>E5014*I5014*H5014</x:f>
        <x:v>0.09595474</x:v>
      </x:c>
      <x:c r="L5014" s="1" t="str">
        <x:f>TEXT(A5014,"mmm yyyy")</x:f>
        <x:v>Aug 2026</x:v>
      </x:c>
    </x:row>
    <x:row r="5015" ht="21" customHeight="1">
      <x:c r="A5015" s="10" t="n">
        <x:v>46252</x:v>
      </x:c>
      <x:c r="B5015" s="1" t="n">
        <x:v>23.5</x:v>
      </x:c>
      <x:c r="C5015" s="1" t="n">
        <x:v>6</x:v>
      </x:c>
      <x:c r="D5015" s="12" t="n">
        <x:v>0</x:v>
      </x:c>
      <x:c r="E5015" s="12" t="n">
        <x:v>0.3306666666666667</x:v>
      </x:c>
      <x:c r="F5015" s="12" t="n">
        <x:v>0.33041666666666664</x:v>
      </x:c>
      <x:c r="G5015" s="12" t="n">
        <x:v>0</x:v>
      </x:c>
      <x:c r="H5015" s="1" t="n">
        <x:f>'Historical prices'!E5015</x:f>
        <x:v>1.05</x:v>
      </x:c>
      <x:c r="I5015" s="6" t="n">
        <x:f>'Historical prices'!D5015</x:f>
        <x:v>0.29469999999999996</x:v>
      </x:c>
      <x:c r="J5015" s="13" t="n">
        <x:f>D5015*I5015*H5015</x:f>
        <x:v>0</x:v>
      </x:c>
      <x:c r="K5015" s="13" t="n">
        <x:f>E5015*I5015*H5015</x:f>
        <x:v>0.10231984000000001</x:v>
      </x:c>
      <x:c r="L5015" s="1" t="str">
        <x:f>TEXT(A5015,"mmm yyyy")</x:f>
        <x:v>Aug 2026</x:v>
      </x:c>
    </x:row>
    <x:row r="5016" ht="21" customHeight="1">
      <x:c r="A5016" s="10" t="n">
        <x:v>46253</x:v>
      </x:c>
      <x:c r="B5016" s="1" t="n">
        <x:v>0</x:v>
      </x:c>
      <x:c r="C5016" s="1" t="n">
        <x:v>6</x:v>
      </x:c>
      <x:c r="D5016" s="12" t="n">
        <x:v>0.19975</x:v>
      </x:c>
      <x:c r="E5016" s="12" t="n">
        <x:v>0.2699166666666667</x:v>
      </x:c>
      <x:c r="F5016" s="12" t="n">
        <x:v>0.06</x:v>
      </x:c>
      <x:c r="G5016" s="12" t="n">
        <x:v>0</x:v>
      </x:c>
      <x:c r="H5016" s="1" t="n">
        <x:f>'Historical prices'!E5016</x:f>
        <x:v>1.05</x:v>
      </x:c>
      <x:c r="I5016" s="6" t="n">
        <x:f>'Historical prices'!D5016</x:f>
        <x:v>0.2691</x:v>
      </x:c>
      <x:c r="J5016" s="13" t="n">
        <x:f>D5016*I5016*H5016</x:f>
        <x:v>0.05644036125</x:v>
      </x:c>
      <x:c r="K5016" s="13" t="n">
        <x:f>E5016*I5016*H5016</x:f>
        <x:v>0.07626630375000001</x:v>
      </x:c>
      <x:c r="L5016" s="1" t="str">
        <x:f>TEXT(A5016,"mmm yyyy")</x:f>
        <x:v>Aug 2026</x:v>
      </x:c>
    </x:row>
    <x:row r="5017" ht="21" customHeight="1">
      <x:c r="A5017" s="10" t="n">
        <x:v>46253</x:v>
      </x:c>
      <x:c r="B5017" s="1" t="n">
        <x:v>0.5</x:v>
      </x:c>
      <x:c r="C5017" s="1" t="n">
        <x:v>6</x:v>
      </x:c>
      <x:c r="D5017" s="12" t="n">
        <x:v>0.189</x:v>
      </x:c>
      <x:c r="E5017" s="12" t="n">
        <x:v>0.2</x:v>
      </x:c>
      <x:c r="F5017" s="12" t="n">
        <x:v>0</x:v>
      </x:c>
      <x:c r="G5017" s="12" t="n">
        <x:v>0</x:v>
      </x:c>
      <x:c r="H5017" s="1" t="n">
        <x:f>'Historical prices'!E5017</x:f>
        <x:v>1.05</x:v>
      </x:c>
      <x:c r="I5017" s="6" t="n">
        <x:f>'Historical prices'!D5017</x:f>
        <x:v>0.2627</x:v>
      </x:c>
      <x:c r="J5017" s="13" t="n">
        <x:f>D5017*I5017*H5017</x:f>
        <x:v>0.052132815000000006</x:v>
      </x:c>
      <x:c r="K5017" s="13" t="n">
        <x:f>E5017*I5017*H5017</x:f>
        <x:v>0.05516700000000001</x:v>
      </x:c>
      <x:c r="L5017" s="1" t="str">
        <x:f>TEXT(A5017,"mmm yyyy")</x:f>
        <x:v>Aug 2026</x:v>
      </x:c>
    </x:row>
    <x:row r="5018" ht="21" customHeight="1">
      <x:c r="A5018" s="10" t="n">
        <x:v>46253</x:v>
      </x:c>
      <x:c r="B5018" s="1" t="n">
        <x:v>1</x:v>
      </x:c>
      <x:c r="C5018" s="1" t="n">
        <x:v>6</x:v>
      </x:c>
      <x:c r="D5018" s="12" t="n">
        <x:v>0.21700000000000003</x:v>
      </x:c>
      <x:c r="E5018" s="12" t="n">
        <x:v>0.22700000000000004</x:v>
      </x:c>
      <x:c r="F5018" s="12" t="n">
        <x:v>0</x:v>
      </x:c>
      <x:c r="G5018" s="12" t="n">
        <x:v>0</x:v>
      </x:c>
      <x:c r="H5018" s="1" t="n">
        <x:f>'Historical prices'!E5018</x:f>
        <x:v>1.05</x:v>
      </x:c>
      <x:c r="I5018" s="6" t="n">
        <x:f>'Historical prices'!D5018</x:f>
        <x:v>0.248</x:v>
      </x:c>
      <x:c r="J5018" s="13" t="n">
        <x:f>D5018*I5018*H5018</x:f>
        <x:v>0.0565068</x:v>
      </x:c>
      <x:c r="K5018" s="13" t="n">
        <x:f>E5018*I5018*H5018</x:f>
        <x:v>0.05911080000000001</x:v>
      </x:c>
      <x:c r="L5018" s="1" t="str">
        <x:f>TEXT(A5018,"mmm yyyy")</x:f>
        <x:v>Aug 2026</x:v>
      </x:c>
    </x:row>
    <x:row r="5019" ht="21" customHeight="1">
      <x:c r="A5019" s="10" t="n">
        <x:v>46253</x:v>
      </x:c>
      <x:c r="B5019" s="1" t="n">
        <x:v>1.5</x:v>
      </x:c>
      <x:c r="C5019" s="1" t="n">
        <x:v>6</x:v>
      </x:c>
      <x:c r="D5019" s="12" t="n">
        <x:v>0.22575</x:v>
      </x:c>
      <x:c r="E5019" s="12" t="n">
        <x:v>0.23675000000000002</x:v>
      </x:c>
      <x:c r="F5019" s="12" t="n">
        <x:v>0</x:v>
      </x:c>
      <x:c r="G5019" s="12" t="n">
        <x:v>0</x:v>
      </x:c>
      <x:c r="H5019" s="1" t="n">
        <x:f>'Historical prices'!E5019</x:f>
        <x:v>1.05</x:v>
      </x:c>
      <x:c r="I5019" s="6" t="n">
        <x:f>'Historical prices'!D5019</x:f>
        <x:v>0.2473</x:v>
      </x:c>
      <x:c r="J5019" s="13" t="n">
        <x:f>D5019*I5019*H5019</x:f>
        <x:v>0.05861937375</x:v>
      </x:c>
      <x:c r="K5019" s="13" t="n">
        <x:f>E5019*I5019*H5019</x:f>
        <x:v>0.06147568875000001</x:v>
      </x:c>
      <x:c r="L5019" s="1" t="str">
        <x:f>TEXT(A5019,"mmm yyyy")</x:f>
        <x:v>Aug 2026</x:v>
      </x:c>
    </x:row>
    <x:row r="5020" ht="21" customHeight="1">
      <x:c r="A5020" s="10" t="n">
        <x:v>46253</x:v>
      </x:c>
      <x:c r="B5020" s="1" t="n">
        <x:v>2</x:v>
      </x:c>
      <x:c r="C5020" s="1" t="n">
        <x:v>6</x:v>
      </x:c>
      <x:c r="D5020" s="12" t="n">
        <x:v>0.2475</x:v>
      </x:c>
      <x:c r="E5020" s="12" t="n">
        <x:v>0.2575</x:v>
      </x:c>
      <x:c r="F5020" s="12" t="n">
        <x:v>0</x:v>
      </x:c>
      <x:c r="G5020" s="12" t="n">
        <x:v>0</x:v>
      </x:c>
      <x:c r="H5020" s="1" t="n">
        <x:f>'Historical prices'!E5020</x:f>
        <x:v>1.05</x:v>
      </x:c>
      <x:c r="I5020" s="6" t="n">
        <x:f>'Historical prices'!D5020</x:f>
        <x:v>0.25079999999999997</x:v>
      </x:c>
      <x:c r="J5020" s="13" t="n">
        <x:f>D5020*I5020*H5020</x:f>
        <x:v>0.06517664999999999</x:v>
      </x:c>
      <x:c r="K5020" s="13" t="n">
        <x:f>E5020*I5020*H5020</x:f>
        <x:v>0.06781005</x:v>
      </x:c>
      <x:c r="L5020" s="1" t="str">
        <x:f>TEXT(A5020,"mmm yyyy")</x:f>
        <x:v>Aug 2026</x:v>
      </x:c>
    </x:row>
    <x:row r="5021" ht="21" customHeight="1">
      <x:c r="A5021" s="10" t="n">
        <x:v>46253</x:v>
      </x:c>
      <x:c r="B5021" s="1" t="n">
        <x:v>2.5</x:v>
      </x:c>
      <x:c r="C5021" s="1" t="n">
        <x:v>6</x:v>
      </x:c>
      <x:c r="D5021" s="12" t="n">
        <x:v>0.27075</x:v>
      </x:c>
      <x:c r="E5021" s="12" t="n">
        <x:v>0.28175</x:v>
      </x:c>
      <x:c r="F5021" s="12" t="n">
        <x:v>0</x:v>
      </x:c>
      <x:c r="G5021" s="12" t="n">
        <x:v>0</x:v>
      </x:c>
      <x:c r="H5021" s="1" t="n">
        <x:f>'Historical prices'!E5021</x:f>
        <x:v>1.05</x:v>
      </x:c>
      <x:c r="I5021" s="6" t="n">
        <x:f>'Historical prices'!D5021</x:f>
        <x:v>0.24539999999999998</x:v>
      </x:c>
      <x:c r="J5021" s="13" t="n">
        <x:f>D5021*I5021*H5021</x:f>
        <x:v>0.0697641525</x:v>
      </x:c>
      <x:c r="K5021" s="13" t="n">
        <x:f>E5021*I5021*H5021</x:f>
        <x:v>0.0725985225</x:v>
      </x:c>
      <x:c r="L5021" s="1" t="str">
        <x:f>TEXT(A5021,"mmm yyyy")</x:f>
        <x:v>Aug 2026</x:v>
      </x:c>
    </x:row>
    <x:row r="5022" ht="21" customHeight="1">
      <x:c r="A5022" s="10" t="n">
        <x:v>46253</x:v>
      </x:c>
      <x:c r="B5022" s="1" t="n">
        <x:v>3</x:v>
      </x:c>
      <x:c r="C5022" s="1" t="n">
        <x:v>6</x:v>
      </x:c>
      <x:c r="D5022" s="12" t="n">
        <x:v>0.3</x:v>
      </x:c>
      <x:c r="E5022" s="12" t="n">
        <x:v>0.31099999999999994</x:v>
      </x:c>
      <x:c r="F5022" s="12" t="n">
        <x:v>0</x:v>
      </x:c>
      <x:c r="G5022" s="12" t="n">
        <x:v>0</x:v>
      </x:c>
      <x:c r="H5022" s="1" t="n">
        <x:f>'Historical prices'!E5022</x:f>
        <x:v>1.05</x:v>
      </x:c>
      <x:c r="I5022" s="6" t="n">
        <x:f>'Historical prices'!D5022</x:f>
        <x:v>0.25</x:v>
      </x:c>
      <x:c r="J5022" s="13" t="n">
        <x:f>D5022*I5022*H5022</x:f>
        <x:v>0.07875</x:v>
      </x:c>
      <x:c r="K5022" s="13" t="n">
        <x:f>E5022*I5022*H5022</x:f>
        <x:v>0.08163749999999999</x:v>
      </x:c>
      <x:c r="L5022" s="1" t="str">
        <x:f>TEXT(A5022,"mmm yyyy")</x:f>
        <x:v>Aug 2026</x:v>
      </x:c>
    </x:row>
    <x:row r="5023" ht="21" customHeight="1">
      <x:c r="A5023" s="10" t="n">
        <x:v>46253</x:v>
      </x:c>
      <x:c r="B5023" s="1" t="n">
        <x:v>3.5</x:v>
      </x:c>
      <x:c r="C5023" s="1" t="n">
        <x:v>6</x:v>
      </x:c>
      <x:c r="D5023" s="12" t="n">
        <x:v>0.293</x:v>
      </x:c>
      <x:c r="E5023" s="12" t="n">
        <x:v>0.303</x:v>
      </x:c>
      <x:c r="F5023" s="12" t="n">
        <x:v>0</x:v>
      </x:c>
      <x:c r="G5023" s="12" t="n">
        <x:v>0</x:v>
      </x:c>
      <x:c r="H5023" s="1" t="n">
        <x:f>'Historical prices'!E5023</x:f>
        <x:v>1.05</x:v>
      </x:c>
      <x:c r="I5023" s="6" t="n">
        <x:f>'Historical prices'!D5023</x:f>
        <x:v>0.2466</x:v>
      </x:c>
      <x:c r="J5023" s="13" t="n">
        <x:f>D5023*I5023*H5023</x:f>
        <x:v>0.07586649</x:v>
      </x:c>
      <x:c r="K5023" s="13" t="n">
        <x:f>E5023*I5023*H5023</x:f>
        <x:v>0.07845579000000001</x:v>
      </x:c>
      <x:c r="L5023" s="1" t="str">
        <x:f>TEXT(A5023,"mmm yyyy")</x:f>
        <x:v>Aug 2026</x:v>
      </x:c>
    </x:row>
    <x:row r="5024" ht="21" customHeight="1">
      <x:c r="A5024" s="10" t="n">
        <x:v>46253</x:v>
      </x:c>
      <x:c r="B5024" s="1" t="n">
        <x:v>4</x:v>
      </x:c>
      <x:c r="C5024" s="1" t="n">
        <x:v>6</x:v>
      </x:c>
      <x:c r="D5024" s="12" t="n">
        <x:v>0.26875000000000004</x:v>
      </x:c>
      <x:c r="E5024" s="12" t="n">
        <x:v>0.27875</x:v>
      </x:c>
      <x:c r="F5024" s="12" t="n">
        <x:v>0</x:v>
      </x:c>
      <x:c r="G5024" s="12" t="n">
        <x:v>0</x:v>
      </x:c>
      <x:c r="H5024" s="1" t="n">
        <x:f>'Historical prices'!E5024</x:f>
        <x:v>1.05</x:v>
      </x:c>
      <x:c r="I5024" s="6" t="n">
        <x:f>'Historical prices'!D5024</x:f>
        <x:v>0.2516</x:v>
      </x:c>
      <x:c r="J5024" s="13" t="n">
        <x:f>D5024*I5024*H5024</x:f>
        <x:v>0.07099837500000002</x:v>
      </x:c>
      <x:c r="K5024" s="13" t="n">
        <x:f>E5024*I5024*H5024</x:f>
        <x:v>0.073640175</x:v>
      </x:c>
      <x:c r="L5024" s="1" t="str">
        <x:f>TEXT(A5024,"mmm yyyy")</x:f>
        <x:v>Aug 2026</x:v>
      </x:c>
    </x:row>
    <x:row r="5025" ht="21" customHeight="1">
      <x:c r="A5025" s="10" t="n">
        <x:v>46253</x:v>
      </x:c>
      <x:c r="B5025" s="1" t="n">
        <x:v>4.5</x:v>
      </x:c>
      <x:c r="C5025" s="1" t="n">
        <x:v>6</x:v>
      </x:c>
      <x:c r="D5025" s="12" t="n">
        <x:v>0.25725</x:v>
      </x:c>
      <x:c r="E5025" s="12" t="n">
        <x:v>0.26725</x:v>
      </x:c>
      <x:c r="F5025" s="12" t="n">
        <x:v>0</x:v>
      </x:c>
      <x:c r="G5025" s="12" t="n">
        <x:v>0</x:v>
      </x:c>
      <x:c r="H5025" s="1" t="n">
        <x:f>'Historical prices'!E5025</x:f>
        <x:v>1.05</x:v>
      </x:c>
      <x:c r="I5025" s="6" t="n">
        <x:f>'Historical prices'!D5025</x:f>
        <x:v>0.2532</x:v>
      </x:c>
      <x:c r="J5025" s="13" t="n">
        <x:f>D5025*I5025*H5025</x:f>
        <x:v>0.06839248499999999</x:v>
      </x:c>
      <x:c r="K5025" s="13" t="n">
        <x:f>E5025*I5025*H5025</x:f>
        <x:v>0.071051085</x:v>
      </x:c>
      <x:c r="L5025" s="1" t="str">
        <x:f>TEXT(A5025,"mmm yyyy")</x:f>
        <x:v>Aug 2026</x:v>
      </x:c>
    </x:row>
    <x:row r="5026" ht="21" customHeight="1">
      <x:c r="A5026" s="10" t="n">
        <x:v>46253</x:v>
      </x:c>
      <x:c r="B5026" s="1" t="n">
        <x:v>5</x:v>
      </x:c>
      <x:c r="C5026" s="1" t="n">
        <x:v>6</x:v>
      </x:c>
      <x:c r="D5026" s="12" t="n">
        <x:v>0.0425</x:v>
      </x:c>
      <x:c r="E5026" s="12" t="n">
        <x:v>0.2896666666666667</x:v>
      </x:c>
      <x:c r="F5026" s="12" t="n">
        <x:v>0.24450000000000002</x:v>
      </x:c>
      <x:c r="G5026" s="12" t="n">
        <x:v>0</x:v>
      </x:c>
      <x:c r="H5026" s="1" t="n">
        <x:f>'Historical prices'!E5026</x:f>
        <x:v>1.05</x:v>
      </x:c>
      <x:c r="I5026" s="6" t="n">
        <x:f>'Historical prices'!D5026</x:f>
        <x:v>0.2948</x:v>
      </x:c>
      <x:c r="J5026" s="13" t="n">
        <x:f>D5026*I5026*H5026</x:f>
        <x:v>0.013155450000000003</x:v>
      </x:c>
      <x:c r="K5026" s="13" t="n">
        <x:f>E5026*I5026*H5026</x:f>
        <x:v>0.08966342000000002</x:v>
      </x:c>
      <x:c r="L5026" s="1" t="str">
        <x:f>TEXT(A5026,"mmm yyyy")</x:f>
        <x:v>Aug 2026</x:v>
      </x:c>
    </x:row>
    <x:row r="5027" ht="21" customHeight="1">
      <x:c r="A5027" s="10" t="n">
        <x:v>46253</x:v>
      </x:c>
      <x:c r="B5027" s="1" t="n">
        <x:v>5.5</x:v>
      </x:c>
      <x:c r="C5027" s="1" t="n">
        <x:v>6</x:v>
      </x:c>
      <x:c r="D5027" s="12" t="n">
        <x:v>0</x:v>
      </x:c>
      <x:c r="E5027" s="12" t="n">
        <x:v>0.2579166666666667</x:v>
      </x:c>
      <x:c r="F5027" s="12" t="n">
        <x:v>0.25766666666666665</x:v>
      </x:c>
      <x:c r="G5027" s="12" t="n">
        <x:v>0</x:v>
      </x:c>
      <x:c r="H5027" s="1" t="n">
        <x:f>'Historical prices'!E5027</x:f>
        <x:v>1.05</x:v>
      </x:c>
      <x:c r="I5027" s="6" t="n">
        <x:f>'Historical prices'!D5027</x:f>
        <x:v>0.2984</x:v>
      </x:c>
      <x:c r="J5027" s="13" t="n">
        <x:f>D5027*I5027*H5027</x:f>
        <x:v>0</x:v>
      </x:c>
      <x:c r="K5027" s="13" t="n">
        <x:f>E5027*I5027*H5027</x:f>
        <x:v>0.08081045</x:v>
      </x:c>
      <x:c r="L5027" s="1" t="str">
        <x:f>TEXT(A5027,"mmm yyyy")</x:f>
        <x:v>Aug 2026</x:v>
      </x:c>
    </x:row>
    <x:row r="5028" ht="21" customHeight="1">
      <x:c r="A5028" s="10" t="n">
        <x:v>46253</x:v>
      </x:c>
      <x:c r="B5028" s="1" t="n">
        <x:v>6</x:v>
      </x:c>
      <x:c r="C5028" s="1" t="n">
        <x:v>6</x:v>
      </x:c>
      <x:c r="D5028" s="12" t="n">
        <x:v>0</x:v>
      </x:c>
      <x:c r="E5028" s="12" t="n">
        <x:v>0.6641666666666667</x:v>
      </x:c>
      <x:c r="F5028" s="12" t="n">
        <x:v>0.6636666666666667</x:v>
      </x:c>
      <x:c r="G5028" s="12" t="n">
        <x:v>0</x:v>
      </x:c>
      <x:c r="H5028" s="1" t="n">
        <x:f>'Historical prices'!E5028</x:f>
        <x:v>1.05</x:v>
      </x:c>
      <x:c r="I5028" s="6" t="n">
        <x:f>'Historical prices'!D5028</x:f>
        <x:v>0.30079999999999996</x:v>
      </x:c>
      <x:c r="J5028" s="13" t="n">
        <x:f>D5028*I5028*H5028</x:f>
        <x:v>0</x:v>
      </x:c>
      <x:c r="K5028" s="13" t="n">
        <x:f>E5028*I5028*H5028</x:f>
        <x:v>0.2097704</x:v>
      </x:c>
      <x:c r="L5028" s="1" t="str">
        <x:f>TEXT(A5028,"mmm yyyy")</x:f>
        <x:v>Aug 2026</x:v>
      </x:c>
    </x:row>
    <x:row r="5029" ht="21" customHeight="1">
      <x:c r="A5029" s="10" t="n">
        <x:v>46253</x:v>
      </x:c>
      <x:c r="B5029" s="1" t="n">
        <x:v>6.5</x:v>
      </x:c>
      <x:c r="C5029" s="1" t="n">
        <x:v>6</x:v>
      </x:c>
      <x:c r="D5029" s="12" t="n">
        <x:v>0</x:v>
      </x:c>
      <x:c r="E5029" s="12" t="n">
        <x:v>0.6975</x:v>
      </x:c>
      <x:c r="F5029" s="12" t="n">
        <x:v>0.6971666666666666</x:v>
      </x:c>
      <x:c r="G5029" s="12" t="n">
        <x:v>0</x:v>
      </x:c>
      <x:c r="H5029" s="1" t="n">
        <x:f>'Historical prices'!E5029</x:f>
        <x:v>1.05</x:v>
      </x:c>
      <x:c r="I5029" s="6" t="n">
        <x:f>'Historical prices'!D5029</x:f>
        <x:v>0.30579999999999996</x:v>
      </x:c>
      <x:c r="J5029" s="13" t="n">
        <x:f>D5029*I5029*H5029</x:f>
        <x:v>0</x:v>
      </x:c>
      <x:c r="K5029" s="13" t="n">
        <x:f>E5029*I5029*H5029</x:f>
        <x:v>0.223960275</x:v>
      </x:c>
      <x:c r="L5029" s="1" t="str">
        <x:f>TEXT(A5029,"mmm yyyy")</x:f>
        <x:v>Aug 2026</x:v>
      </x:c>
    </x:row>
    <x:row r="5030" ht="21" customHeight="1">
      <x:c r="A5030" s="10" t="n">
        <x:v>46253</x:v>
      </x:c>
      <x:c r="B5030" s="1" t="n">
        <x:v>7</x:v>
      </x:c>
      <x:c r="C5030" s="1" t="n">
        <x:v>6</x:v>
      </x:c>
      <x:c r="D5030" s="12" t="n">
        <x:v>0</x:v>
      </x:c>
      <x:c r="E5030" s="12" t="n">
        <x:v>0.7395833333333334</x:v>
      </x:c>
      <x:c r="F5030" s="12" t="n">
        <x:v>0.7393333333333334</x:v>
      </x:c>
      <x:c r="G5030" s="12" t="n">
        <x:v>0</x:v>
      </x:c>
      <x:c r="H5030" s="1" t="n">
        <x:f>'Historical prices'!E5030</x:f>
        <x:v>1.05</x:v>
      </x:c>
      <x:c r="I5030" s="6" t="n">
        <x:f>'Historical prices'!D5030</x:f>
        <x:v>0.28350000000000003</x:v>
      </x:c>
      <x:c r="J5030" s="13" t="n">
        <x:f>D5030*I5030*H5030</x:f>
        <x:v>0</x:v>
      </x:c>
      <x:c r="K5030" s="13" t="n">
        <x:f>E5030*I5030*H5030</x:f>
        <x:v>0.22015546875000006</x:v>
      </x:c>
      <x:c r="L5030" s="1" t="str">
        <x:f>TEXT(A5030,"mmm yyyy")</x:f>
        <x:v>Aug 2026</x:v>
      </x:c>
    </x:row>
    <x:row r="5031" ht="21" customHeight="1">
      <x:c r="A5031" s="10" t="n">
        <x:v>46253</x:v>
      </x:c>
      <x:c r="B5031" s="1" t="n">
        <x:v>7.5</x:v>
      </x:c>
      <x:c r="C5031" s="1" t="n">
        <x:v>6</x:v>
      </x:c>
      <x:c r="D5031" s="12" t="n">
        <x:v>0</x:v>
      </x:c>
      <x:c r="E5031" s="12" t="n">
        <x:v>0.7619166666666666</x:v>
      </x:c>
      <x:c r="F5031" s="12" t="n">
        <x:v>0.7573333333333332</x:v>
      </x:c>
      <x:c r="G5031" s="12" t="n">
        <x:v>0</x:v>
      </x:c>
      <x:c r="H5031" s="1" t="n">
        <x:f>'Historical prices'!E5031</x:f>
        <x:v>1.05</x:v>
      </x:c>
      <x:c r="I5031" s="6" t="n">
        <x:f>'Historical prices'!D5031</x:f>
        <x:v>0.2934</x:v>
      </x:c>
      <x:c r="J5031" s="13" t="n">
        <x:f>D5031*I5031*H5031</x:f>
        <x:v>0</x:v>
      </x:c>
      <x:c r="K5031" s="13" t="n">
        <x:f>E5031*I5031*H5031</x:f>
        <x:v>0.23472366749999998</x:v>
      </x:c>
      <x:c r="L5031" s="1" t="str">
        <x:f>TEXT(A5031,"mmm yyyy")</x:f>
        <x:v>Aug 2026</x:v>
      </x:c>
    </x:row>
    <x:row r="5032" ht="21" customHeight="1">
      <x:c r="A5032" s="10" t="n">
        <x:v>46253</x:v>
      </x:c>
      <x:c r="B5032" s="1" t="n">
        <x:v>8</x:v>
      </x:c>
      <x:c r="C5032" s="1" t="n">
        <x:v>6</x:v>
      </x:c>
      <x:c r="D5032" s="12" t="n">
        <x:v>0.42125</x:v>
      </x:c>
      <x:c r="E5032" s="12" t="n">
        <x:v>0.52625</x:v>
      </x:c>
      <x:c r="F5032" s="12" t="n">
        <x:v>0.09</x:v>
      </x:c>
      <x:c r="G5032" s="12" t="n">
        <x:v>0</x:v>
      </x:c>
      <x:c r="H5032" s="1" t="n">
        <x:f>'Historical prices'!E5032</x:f>
        <x:v>1.05</x:v>
      </x:c>
      <x:c r="I5032" s="6" t="n">
        <x:f>'Historical prices'!D5032</x:f>
        <x:v>0.2757</x:v>
      </x:c>
      <x:c r="J5032" s="13" t="n">
        <x:f>D5032*I5032*H5032</x:f>
        <x:v>0.12194555625000002</x:v>
      </x:c>
      <x:c r="K5032" s="13" t="n">
        <x:f>E5032*I5032*H5032</x:f>
        <x:v>0.15234148125000002</x:v>
      </x:c>
      <x:c r="L5032" s="1" t="str">
        <x:f>TEXT(A5032,"mmm yyyy")</x:f>
        <x:v>Aug 2026</x:v>
      </x:c>
    </x:row>
    <x:row r="5033" ht="21" customHeight="1">
      <x:c r="A5033" s="10" t="n">
        <x:v>46253</x:v>
      </x:c>
      <x:c r="B5033" s="1" t="n">
        <x:v>8.5</x:v>
      </x:c>
      <x:c r="C5033" s="1" t="n">
        <x:v>6</x:v>
      </x:c>
      <x:c r="D5033" s="12" t="n">
        <x:v>0.671</x:v>
      </x:c>
      <x:c r="E5033" s="12" t="n">
        <x:v>0.687</x:v>
      </x:c>
      <x:c r="F5033" s="12" t="n">
        <x:v>0</x:v>
      </x:c>
      <x:c r="G5033" s="12" t="n">
        <x:v>0</x:v>
      </x:c>
      <x:c r="H5033" s="1" t="n">
        <x:f>'Historical prices'!E5033</x:f>
        <x:v>1.05</x:v>
      </x:c>
      <x:c r="I5033" s="6" t="n">
        <x:f>'Historical prices'!D5033</x:f>
        <x:v>0.2648</x:v>
      </x:c>
      <x:c r="J5033" s="13" t="n">
        <x:f>D5033*I5033*H5033</x:f>
        <x:v>0.18656484</x:v>
      </x:c>
      <x:c r="K5033" s="13" t="n">
        <x:f>E5033*I5033*H5033</x:f>
        <x:v>0.19101348</x:v>
      </x:c>
      <x:c r="L5033" s="1" t="str">
        <x:f>TEXT(A5033,"mmm yyyy")</x:f>
        <x:v>Aug 2026</x:v>
      </x:c>
    </x:row>
    <x:row r="5034" ht="21" customHeight="1">
      <x:c r="A5034" s="10" t="n">
        <x:v>46253</x:v>
      </x:c>
      <x:c r="B5034" s="1" t="n">
        <x:v>9</x:v>
      </x:c>
      <x:c r="C5034" s="1" t="n">
        <x:v>6</x:v>
      </x:c>
      <x:c r="D5034" s="12" t="n">
        <x:v>0.54</x:v>
      </x:c>
      <x:c r="E5034" s="12" t="n">
        <x:v>0.556</x:v>
      </x:c>
      <x:c r="F5034" s="12" t="n">
        <x:v>0</x:v>
      </x:c>
      <x:c r="G5034" s="12" t="n">
        <x:v>0</x:v>
      </x:c>
      <x:c r="H5034" s="1" t="n">
        <x:f>'Historical prices'!E5034</x:f>
        <x:v>1.05</x:v>
      </x:c>
      <x:c r="I5034" s="6" t="n">
        <x:f>'Historical prices'!D5034</x:f>
        <x:v>0.2583</x:v>
      </x:c>
      <x:c r="J5034" s="13" t="n">
        <x:f>D5034*I5034*H5034</x:f>
        <x:v>0.1464561</x:v>
      </x:c>
      <x:c r="K5034" s="13" t="n">
        <x:f>E5034*I5034*H5034</x:f>
        <x:v>0.15079554</x:v>
      </x:c>
      <x:c r="L5034" s="1" t="str">
        <x:f>TEXT(A5034,"mmm yyyy")</x:f>
        <x:v>Aug 2026</x:v>
      </x:c>
    </x:row>
    <x:row r="5035" ht="21" customHeight="1">
      <x:c r="A5035" s="10" t="n">
        <x:v>46253</x:v>
      </x:c>
      <x:c r="B5035" s="1" t="n">
        <x:v>9.5</x:v>
      </x:c>
      <x:c r="C5035" s="1" t="n">
        <x:v>6</x:v>
      </x:c>
      <x:c r="D5035" s="12" t="n">
        <x:v>0.5850000000000001</x:v>
      </x:c>
      <x:c r="E5035" s="12" t="n">
        <x:v>0.5980000000000001</x:v>
      </x:c>
      <x:c r="F5035" s="12" t="n">
        <x:v>0</x:v>
      </x:c>
      <x:c r="G5035" s="12" t="n">
        <x:v>0</x:v>
      </x:c>
      <x:c r="H5035" s="1" t="n">
        <x:f>'Historical prices'!E5035</x:f>
        <x:v>1.05</x:v>
      </x:c>
      <x:c r="I5035" s="6" t="n">
        <x:f>'Historical prices'!D5035</x:f>
        <x:v>0.2484</x:v>
      </x:c>
      <x:c r="J5035" s="13" t="n">
        <x:f>D5035*I5035*H5035</x:f>
        <x:v>0.15257970000000004</x:v>
      </x:c>
      <x:c r="K5035" s="13" t="n">
        <x:f>E5035*I5035*H5035</x:f>
        <x:v>0.15597036000000003</x:v>
      </x:c>
      <x:c r="L5035" s="1" t="str">
        <x:f>TEXT(A5035,"mmm yyyy")</x:f>
        <x:v>Aug 2026</x:v>
      </x:c>
    </x:row>
    <x:row r="5036" ht="21" customHeight="1">
      <x:c r="A5036" s="10" t="n">
        <x:v>46253</x:v>
      </x:c>
      <x:c r="B5036" s="1" t="n">
        <x:v>10</x:v>
      </x:c>
      <x:c r="C5036" s="1" t="n">
        <x:v>6</x:v>
      </x:c>
      <x:c r="D5036" s="12" t="n">
        <x:v>0.514</x:v>
      </x:c>
      <x:c r="E5036" s="12" t="n">
        <x:v>0.525</x:v>
      </x:c>
      <x:c r="F5036" s="12" t="n">
        <x:v>0</x:v>
      </x:c>
      <x:c r="G5036" s="12" t="n">
        <x:v>0</x:v>
      </x:c>
      <x:c r="H5036" s="1" t="n">
        <x:f>'Historical prices'!E5036</x:f>
        <x:v>1.05</x:v>
      </x:c>
      <x:c r="I5036" s="6" t="n">
        <x:f>'Historical prices'!D5036</x:f>
        <x:v>0.23829999999999998</x:v>
      </x:c>
      <x:c r="J5036" s="13" t="n">
        <x:f>D5036*I5036*H5036</x:f>
        <x:v>0.12861050999999998</x:v>
      </x:c>
      <x:c r="K5036" s="13" t="n">
        <x:f>E5036*I5036*H5036</x:f>
        <x:v>0.13136287500000002</x:v>
      </x:c>
      <x:c r="L5036" s="1" t="str">
        <x:f>TEXT(A5036,"mmm yyyy")</x:f>
        <x:v>Aug 2026</x:v>
      </x:c>
    </x:row>
    <x:row r="5037" ht="21" customHeight="1">
      <x:c r="A5037" s="10" t="n">
        <x:v>46253</x:v>
      </x:c>
      <x:c r="B5037" s="1" t="n">
        <x:v>10.5</x:v>
      </x:c>
      <x:c r="C5037" s="1" t="n">
        <x:v>6</x:v>
      </x:c>
      <x:c r="D5037" s="12" t="n">
        <x:v>0.45225</x:v>
      </x:c>
      <x:c r="E5037" s="12" t="n">
        <x:v>0.46125</x:v>
      </x:c>
      <x:c r="F5037" s="12" t="n">
        <x:v>0</x:v>
      </x:c>
      <x:c r="G5037" s="12" t="n">
        <x:v>0</x:v>
      </x:c>
      <x:c r="H5037" s="1" t="n">
        <x:f>'Historical prices'!E5037</x:f>
        <x:v>1.05</x:v>
      </x:c>
      <x:c r="I5037" s="6" t="n">
        <x:f>'Historical prices'!D5037</x:f>
        <x:v>0.2325</x:v>
      </x:c>
      <x:c r="J5037" s="13" t="n">
        <x:f>D5037*I5037*H5037</x:f>
        <x:v>0.11040553125000001</x:v>
      </x:c>
      <x:c r="K5037" s="13" t="n">
        <x:f>E5037*I5037*H5037</x:f>
        <x:v>0.11260265625000002</x:v>
      </x:c>
      <x:c r="L5037" s="1" t="str">
        <x:f>TEXT(A5037,"mmm yyyy")</x:f>
        <x:v>Aug 2026</x:v>
      </x:c>
    </x:row>
    <x:row r="5038" ht="21" customHeight="1">
      <x:c r="A5038" s="10" t="n">
        <x:v>46253</x:v>
      </x:c>
      <x:c r="B5038" s="1" t="n">
        <x:v>11</x:v>
      </x:c>
      <x:c r="C5038" s="1" t="n">
        <x:v>6</x:v>
      </x:c>
      <x:c r="D5038" s="12" t="n">
        <x:v>0.49349999999999994</x:v>
      </x:c>
      <x:c r="E5038" s="12" t="n">
        <x:v>0.5045</x:v>
      </x:c>
      <x:c r="F5038" s="12" t="n">
        <x:v>0</x:v>
      </x:c>
      <x:c r="G5038" s="12" t="n">
        <x:v>0</x:v>
      </x:c>
      <x:c r="H5038" s="1" t="n">
        <x:f>'Historical prices'!E5038</x:f>
        <x:v>1.05</x:v>
      </x:c>
      <x:c r="I5038" s="6" t="n">
        <x:f>'Historical prices'!D5038</x:f>
        <x:v>0.2274</x:v>
      </x:c>
      <x:c r="J5038" s="13" t="n">
        <x:f>D5038*I5038*H5038</x:f>
        <x:v>0.117832995</x:v>
      </x:c>
      <x:c r="K5038" s="13" t="n">
        <x:f>E5038*I5038*H5038</x:f>
        <x:v>0.12045946499999999</x:v>
      </x:c>
      <x:c r="L5038" s="1" t="str">
        <x:f>TEXT(A5038,"mmm yyyy")</x:f>
        <x:v>Aug 2026</x:v>
      </x:c>
    </x:row>
    <x:row r="5039" ht="21" customHeight="1">
      <x:c r="A5039" s="10" t="n">
        <x:v>46253</x:v>
      </x:c>
      <x:c r="B5039" s="1" t="n">
        <x:v>11.5</x:v>
      </x:c>
      <x:c r="C5039" s="1" t="n">
        <x:v>6</x:v>
      </x:c>
      <x:c r="D5039" s="12" t="n">
        <x:v>0.50525</x:v>
      </x:c>
      <x:c r="E5039" s="12" t="n">
        <x:v>0.51625</x:v>
      </x:c>
      <x:c r="F5039" s="12" t="n">
        <x:v>0</x:v>
      </x:c>
      <x:c r="G5039" s="12" t="n">
        <x:v>0</x:v>
      </x:c>
      <x:c r="H5039" s="1" t="n">
        <x:f>'Historical prices'!E5039</x:f>
        <x:v>1.05</x:v>
      </x:c>
      <x:c r="I5039" s="6" t="n">
        <x:f>'Historical prices'!D5039</x:f>
        <x:v>0.22699999999999998</x:v>
      </x:c>
      <x:c r="J5039" s="13" t="n">
        <x:f>D5039*I5039*H5039</x:f>
        <x:v>0.12042633749999998</x:v>
      </x:c>
      <x:c r="K5039" s="13" t="n">
        <x:f>E5039*I5039*H5039</x:f>
        <x:v>0.12304818749999999</x:v>
      </x:c>
      <x:c r="L5039" s="1" t="str">
        <x:f>TEXT(A5039,"mmm yyyy")</x:f>
        <x:v>Aug 2026</x:v>
      </x:c>
    </x:row>
    <x:row r="5040" ht="21" customHeight="1">
      <x:c r="A5040" s="10" t="n">
        <x:v>46253</x:v>
      </x:c>
      <x:c r="B5040" s="1" t="n">
        <x:v>12</x:v>
      </x:c>
      <x:c r="C5040" s="1" t="n">
        <x:v>6</x:v>
      </x:c>
      <x:c r="D5040" s="12" t="n">
        <x:v>0.5475</x:v>
      </x:c>
      <x:c r="E5040" s="12" t="n">
        <x:v>0.5585</x:v>
      </x:c>
      <x:c r="F5040" s="12" t="n">
        <x:v>0</x:v>
      </x:c>
      <x:c r="G5040" s="12" t="n">
        <x:v>0</x:v>
      </x:c>
      <x:c r="H5040" s="1" t="n">
        <x:f>'Historical prices'!E5040</x:f>
        <x:v>1.05</x:v>
      </x:c>
      <x:c r="I5040" s="6" t="n">
        <x:f>'Historical prices'!D5040</x:f>
        <x:v>0.22699999999999998</x:v>
      </x:c>
      <x:c r="J5040" s="13" t="n">
        <x:f>D5040*I5040*H5040</x:f>
        <x:v>0.130496625</x:v>
      </x:c>
      <x:c r="K5040" s="13" t="n">
        <x:f>E5040*I5040*H5040</x:f>
        <x:v>0.13311847499999999</x:v>
      </x:c>
      <x:c r="L5040" s="1" t="str">
        <x:f>TEXT(A5040,"mmm yyyy")</x:f>
        <x:v>Aug 2026</x:v>
      </x:c>
    </x:row>
    <x:row r="5041" ht="21" customHeight="1">
      <x:c r="A5041" s="10" t="n">
        <x:v>46253</x:v>
      </x:c>
      <x:c r="B5041" s="1" t="n">
        <x:v>12.5</x:v>
      </x:c>
      <x:c r="C5041" s="1" t="n">
        <x:v>6</x:v>
      </x:c>
      <x:c r="D5041" s="12" t="n">
        <x:v>0.49225</x:v>
      </x:c>
      <x:c r="E5041" s="12" t="n">
        <x:v>0.50325</x:v>
      </x:c>
      <x:c r="F5041" s="12" t="n">
        <x:v>0</x:v>
      </x:c>
      <x:c r="G5041" s="12" t="n">
        <x:v>0</x:v>
      </x:c>
      <x:c r="H5041" s="1" t="n">
        <x:f>'Historical prices'!E5041</x:f>
        <x:v>1.05</x:v>
      </x:c>
      <x:c r="I5041" s="6" t="n">
        <x:f>'Historical prices'!D5041</x:f>
        <x:v>0.22699999999999998</x:v>
      </x:c>
      <x:c r="J5041" s="13" t="n">
        <x:f>D5041*I5041*H5041</x:f>
        <x:v>0.1173277875</x:v>
      </x:c>
      <x:c r="K5041" s="13" t="n">
        <x:f>E5041*I5041*H5041</x:f>
        <x:v>0.11994963749999998</x:v>
      </x:c>
      <x:c r="L5041" s="1" t="str">
        <x:f>TEXT(A5041,"mmm yyyy")</x:f>
        <x:v>Aug 2026</x:v>
      </x:c>
    </x:row>
    <x:row r="5042" ht="21" customHeight="1">
      <x:c r="A5042" s="10" t="n">
        <x:v>46253</x:v>
      </x:c>
      <x:c r="B5042" s="1" t="n">
        <x:v>13</x:v>
      </x:c>
      <x:c r="C5042" s="1" t="n">
        <x:v>6</x:v>
      </x:c>
      <x:c r="D5042" s="12" t="n">
        <x:v>4.6955</x:v>
      </x:c>
      <x:c r="E5042" s="12" t="n">
        <x:v>0.7154999999999999</x:v>
      </x:c>
      <x:c r="F5042" s="12" t="n">
        <x:v>0</x:v>
      </x:c>
      <x:c r="G5042" s="12" t="n">
        <x:v>3.9800000000000004</x:v>
      </x:c>
      <x:c r="H5042" s="1" t="n">
        <x:f>'Historical prices'!E5042</x:f>
        <x:v>1.05</x:v>
      </x:c>
      <x:c r="I5042" s="6" t="n">
        <x:f>'Historical prices'!D5042</x:f>
        <x:v>0.2241</x:v>
      </x:c>
      <x:c r="J5042" s="13" t="n">
        <x:f>D5042*I5042*H5042</x:f>
        <x:v>1.1048746274999999</x:v>
      </x:c>
      <x:c r="K5042" s="13" t="n">
        <x:f>E5042*I5042*H5042</x:f>
        <x:v>0.16836072749999997</x:v>
      </x:c>
      <x:c r="L5042" s="1" t="str">
        <x:f>TEXT(A5042,"mmm yyyy")</x:f>
        <x:v>Aug 2026</x:v>
      </x:c>
    </x:row>
    <x:row r="5043" ht="21" customHeight="1">
      <x:c r="A5043" s="10" t="n">
        <x:v>46253</x:v>
      </x:c>
      <x:c r="B5043" s="1" t="n">
        <x:v>13.5</x:v>
      </x:c>
      <x:c r="C5043" s="1" t="n">
        <x:v>6</x:v>
      </x:c>
      <x:c r="D5043" s="12" t="n">
        <x:v>5.422</x:v>
      </x:c>
      <x:c r="E5043" s="12" t="n">
        <x:v>0.682</x:v>
      </x:c>
      <x:c r="F5043" s="12" t="n">
        <x:v>0</x:v>
      </x:c>
      <x:c r="G5043" s="12" t="n">
        <x:v>4.74</x:v>
      </x:c>
      <x:c r="H5043" s="1" t="n">
        <x:f>'Historical prices'!E5043</x:f>
        <x:v>1.05</x:v>
      </x:c>
      <x:c r="I5043" s="6" t="n">
        <x:f>'Historical prices'!D5043</x:f>
        <x:v>0.2229</x:v>
      </x:c>
      <x:c r="J5043" s="13" t="n">
        <x:f>D5043*I5043*H5043</x:f>
        <x:v>1.26899199</x:v>
      </x:c>
      <x:c r="K5043" s="13" t="n">
        <x:f>E5043*I5043*H5043</x:f>
        <x:v>0.15961869</x:v>
      </x:c>
      <x:c r="L5043" s="1" t="str">
        <x:f>TEXT(A5043,"mmm yyyy")</x:f>
        <x:v>Aug 2026</x:v>
      </x:c>
    </x:row>
    <x:row r="5044" ht="21" customHeight="1">
      <x:c r="A5044" s="10" t="n">
        <x:v>46253</x:v>
      </x:c>
      <x:c r="B5044" s="1" t="n">
        <x:v>14</x:v>
      </x:c>
      <x:c r="C5044" s="1" t="n">
        <x:v>6</x:v>
      </x:c>
      <x:c r="D5044" s="12" t="n">
        <x:v>5.33725</x:v>
      </x:c>
      <x:c r="E5044" s="12" t="n">
        <x:v>0.7842500000000001</x:v>
      </x:c>
      <x:c r="F5044" s="12" t="n">
        <x:v>0</x:v>
      </x:c>
      <x:c r="G5044" s="12" t="n">
        <x:v>4.553</x:v>
      </x:c>
      <x:c r="H5044" s="1" t="n">
        <x:f>'Historical prices'!E5044</x:f>
        <x:v>1.05</x:v>
      </x:c>
      <x:c r="I5044" s="6" t="n">
        <x:f>'Historical prices'!D5044</x:f>
        <x:v>0.2241</x:v>
      </x:c>
      <x:c r="J5044" s="13" t="n">
        <x:f>D5044*I5044*H5044</x:f>
        <x:v>1.25588161125</x:v>
      </x:c>
      <x:c r="K5044" s="13" t="n">
        <x:f>E5044*I5044*H5044</x:f>
        <x:v>0.18453794625000003</x:v>
      </x:c>
      <x:c r="L5044" s="1" t="str">
        <x:f>TEXT(A5044,"mmm yyyy")</x:f>
        <x:v>Aug 2026</x:v>
      </x:c>
    </x:row>
    <x:row r="5045" ht="21" customHeight="1">
      <x:c r="A5045" s="10" t="n">
        <x:v>46253</x:v>
      </x:c>
      <x:c r="B5045" s="1" t="n">
        <x:v>14.5</x:v>
      </x:c>
      <x:c r="C5045" s="1" t="n">
        <x:v>6</x:v>
      </x:c>
      <x:c r="D5045" s="12" t="n">
        <x:v>5.5175</x:v>
      </x:c>
      <x:c r="E5045" s="12" t="n">
        <x:v>0.7525000000000001</x:v>
      </x:c>
      <x:c r="F5045" s="12" t="n">
        <x:v>0</x:v>
      </x:c>
      <x:c r="G5045" s="12" t="n">
        <x:v>4.765000000000001</x:v>
      </x:c>
      <x:c r="H5045" s="1" t="n">
        <x:f>'Historical prices'!E5045</x:f>
        <x:v>1.05</x:v>
      </x:c>
      <x:c r="I5045" s="6" t="n">
        <x:f>'Historical prices'!D5045</x:f>
        <x:v>0.2241</x:v>
      </x:c>
      <x:c r="J5045" s="13" t="n">
        <x:f>D5045*I5045*H5045</x:f>
        <x:v>1.2982953375</x:v>
      </x:c>
      <x:c r="K5045" s="13" t="n">
        <x:f>E5045*I5045*H5045</x:f>
        <x:v>0.1770670125</x:v>
      </x:c>
      <x:c r="L5045" s="1" t="str">
        <x:f>TEXT(A5045,"mmm yyyy")</x:f>
        <x:v>Aug 2026</x:v>
      </x:c>
    </x:row>
    <x:row r="5046" ht="21" customHeight="1">
      <x:c r="A5046" s="10" t="n">
        <x:v>46253</x:v>
      </x:c>
      <x:c r="B5046" s="1" t="n">
        <x:v>15</x:v>
      </x:c>
      <x:c r="C5046" s="1" t="n">
        <x:v>6</x:v>
      </x:c>
      <x:c r="D5046" s="12" t="n">
        <x:v>5.351249999999999</x:v>
      </x:c>
      <x:c r="E5046" s="12" t="n">
        <x:v>0.72525</x:v>
      </x:c>
      <x:c r="F5046" s="12" t="n">
        <x:v>0</x:v>
      </x:c>
      <x:c r="G5046" s="12" t="n">
        <x:v>4.626</x:v>
      </x:c>
      <x:c r="H5046" s="1" t="n">
        <x:f>'Historical prices'!E5046</x:f>
        <x:v>1.05</x:v>
      </x:c>
      <x:c r="I5046" s="6" t="n">
        <x:f>'Historical prices'!D5046</x:f>
        <x:v>0.2249</x:v>
      </x:c>
      <x:c r="J5046" s="13" t="n">
        <x:f>D5046*I5046*H5046</x:f>
        <x:v>1.2636709312499999</x:v>
      </x:c>
      <x:c r="K5046" s="13" t="n">
        <x:f>E5046*I5046*H5046</x:f>
        <x:v>0.17126416125</x:v>
      </x:c>
      <x:c r="L5046" s="1" t="str">
        <x:f>TEXT(A5046,"mmm yyyy")</x:f>
        <x:v>Aug 2026</x:v>
      </x:c>
    </x:row>
    <x:row r="5047" ht="21" customHeight="1">
      <x:c r="A5047" s="10" t="n">
        <x:v>46253</x:v>
      </x:c>
      <x:c r="B5047" s="1" t="n">
        <x:v>15.5</x:v>
      </x:c>
      <x:c r="C5047" s="1" t="n">
        <x:v>6</x:v>
      </x:c>
      <x:c r="D5047" s="12" t="n">
        <x:v>1.39175</x:v>
      </x:c>
      <x:c r="E5047" s="12" t="n">
        <x:v>0.6267499999999999</x:v>
      </x:c>
      <x:c r="F5047" s="12" t="n">
        <x:v>0</x:v>
      </x:c>
      <x:c r="G5047" s="12" t="n">
        <x:v>0.768</x:v>
      </x:c>
      <x:c r="H5047" s="1" t="n">
        <x:f>'Historical prices'!E5047</x:f>
        <x:v>1.05</x:v>
      </x:c>
      <x:c r="I5047" s="6" t="n">
        <x:f>'Historical prices'!D5047</x:f>
        <x:v>0.22699999999999998</x:v>
      </x:c>
      <x:c r="J5047" s="13" t="n">
        <x:f>D5047*I5047*H5047</x:f>
        <x:v>0.3317236125</x:v>
      </x:c>
      <x:c r="K5047" s="13" t="n">
        <x:f>E5047*I5047*H5047</x:f>
        <x:v>0.14938586249999997</x:v>
      </x:c>
      <x:c r="L5047" s="1" t="str">
        <x:f>TEXT(A5047,"mmm yyyy")</x:f>
        <x:v>Aug 2026</x:v>
      </x:c>
    </x:row>
    <x:row r="5048" ht="21" customHeight="1">
      <x:c r="A5048" s="10" t="n">
        <x:v>46253</x:v>
      </x:c>
      <x:c r="B5048" s="1" t="n">
        <x:v>16</x:v>
      </x:c>
      <x:c r="C5048" s="1" t="n">
        <x:v>6</x:v>
      </x:c>
      <x:c r="D5048" s="12" t="n">
        <x:v>0.08775</x:v>
      </x:c>
      <x:c r="E5048" s="12" t="n">
        <x:v>0.5483333333333333</x:v>
      </x:c>
      <x:c r="F5048" s="12" t="n">
        <x:v>0.45824999999999994</x:v>
      </x:c>
      <x:c r="G5048" s="12" t="n">
        <x:v>0</x:v>
      </x:c>
      <x:c r="H5048" s="1" t="n">
        <x:f>'Historical prices'!E5048</x:f>
        <x:v>1.05</x:v>
      </x:c>
      <x:c r="I5048" s="6" t="n">
        <x:f>'Historical prices'!D5048</x:f>
        <x:v>0.3701</x:v>
      </x:c>
      <x:c r="J5048" s="13" t="n">
        <x:f>D5048*I5048*H5048</x:f>
        <x:v>0.03410008875</x:v>
      </x:c>
      <x:c r="K5048" s="13" t="n">
        <x:f>E5048*I5048*H5048</x:f>
        <x:v>0.213085075</x:v>
      </x:c>
      <x:c r="L5048" s="1" t="str">
        <x:f>TEXT(A5048,"mmm yyyy")</x:f>
        <x:v>Aug 2026</x:v>
      </x:c>
    </x:row>
    <x:row r="5049" ht="21" customHeight="1">
      <x:c r="A5049" s="10" t="n">
        <x:v>46253</x:v>
      </x:c>
      <x:c r="B5049" s="1" t="n">
        <x:v>16.5</x:v>
      </x:c>
      <x:c r="C5049" s="1" t="n">
        <x:v>6</x:v>
      </x:c>
      <x:c r="D5049" s="12" t="n">
        <x:v>0</x:v>
      </x:c>
      <x:c r="E5049" s="12" t="n">
        <x:v>0.5521666666666667</x:v>
      </x:c>
      <x:c r="F5049" s="12" t="n">
        <x:v>0.5515833333333333</x:v>
      </x:c>
      <x:c r="G5049" s="12" t="n">
        <x:v>0</x:v>
      </x:c>
      <x:c r="H5049" s="1" t="n">
        <x:f>'Historical prices'!E5049</x:f>
        <x:v>1.05</x:v>
      </x:c>
      <x:c r="I5049" s="6" t="n">
        <x:f>'Historical prices'!D5049</x:f>
        <x:v>0.3774</x:v>
      </x:c>
      <x:c r="J5049" s="13" t="n">
        <x:f>D5049*I5049*H5049</x:f>
        <x:v>0</x:v>
      </x:c>
      <x:c r="K5049" s="13" t="n">
        <x:f>E5049*I5049*H5049</x:f>
        <x:v>0.218807085</x:v>
      </x:c>
      <x:c r="L5049" s="1" t="str">
        <x:f>TEXT(A5049,"mmm yyyy")</x:f>
        <x:v>Aug 2026</x:v>
      </x:c>
    </x:row>
    <x:row r="5050" ht="21" customHeight="1">
      <x:c r="A5050" s="10" t="n">
        <x:v>46253</x:v>
      </x:c>
      <x:c r="B5050" s="1" t="n">
        <x:v>17</x:v>
      </x:c>
      <x:c r="C5050" s="1" t="n">
        <x:v>6</x:v>
      </x:c>
      <x:c r="D5050" s="12" t="n">
        <x:v>0</x:v>
      </x:c>
      <x:c r="E5050" s="12" t="n">
        <x:v>0.6414166666666667</x:v>
      </x:c>
      <x:c r="F5050" s="12" t="n">
        <x:v>0.6403333333333333</x:v>
      </x:c>
      <x:c r="G5050" s="12" t="n">
        <x:v>0</x:v>
      </x:c>
      <x:c r="H5050" s="1" t="n">
        <x:f>'Historical prices'!E5050</x:f>
        <x:v>1.05</x:v>
      </x:c>
      <x:c r="I5050" s="6" t="n">
        <x:f>'Historical prices'!D5050</x:f>
        <x:v>0.39740000000000003</x:v>
      </x:c>
      <x:c r="J5050" s="13" t="n">
        <x:f>D5050*I5050*H5050</x:f>
        <x:v>0</x:v>
      </x:c>
      <x:c r="K5050" s="13" t="n">
        <x:f>E5050*I5050*H5050</x:f>
        <x:v>0.26764393250000007</x:v>
      </x:c>
      <x:c r="L5050" s="1" t="str">
        <x:f>TEXT(A5050,"mmm yyyy")</x:f>
        <x:v>Aug 2026</x:v>
      </x:c>
    </x:row>
    <x:row r="5051" ht="21" customHeight="1">
      <x:c r="A5051" s="10" t="n">
        <x:v>46253</x:v>
      </x:c>
      <x:c r="B5051" s="1" t="n">
        <x:v>17.5</x:v>
      </x:c>
      <x:c r="C5051" s="1" t="n">
        <x:v>6</x:v>
      </x:c>
      <x:c r="D5051" s="12" t="n">
        <x:v>0</x:v>
      </x:c>
      <x:c r="E5051" s="12" t="n">
        <x:v>0.58175</x:v>
      </x:c>
      <x:c r="F5051" s="12" t="n">
        <x:v>0.58125</x:v>
      </x:c>
      <x:c r="G5051" s="12" t="n">
        <x:v>0</x:v>
      </x:c>
      <x:c r="H5051" s="1" t="n">
        <x:f>'Historical prices'!E5051</x:f>
        <x:v>1.05</x:v>
      </x:c>
      <x:c r="I5051" s="6" t="n">
        <x:f>'Historical prices'!D5051</x:f>
        <x:v>0.4138</x:v>
      </x:c>
      <x:c r="J5051" s="13" t="n">
        <x:f>D5051*I5051*H5051</x:f>
        <x:v>0</x:v>
      </x:c>
      <x:c r="K5051" s="13" t="n">
        <x:f>E5051*I5051*H5051</x:f>
        <x:v>0.2527645575</x:v>
      </x:c>
      <x:c r="L5051" s="1" t="str">
        <x:f>TEXT(A5051,"mmm yyyy")</x:f>
        <x:v>Aug 2026</x:v>
      </x:c>
    </x:row>
    <x:row r="5052" ht="21" customHeight="1">
      <x:c r="A5052" s="10" t="n">
        <x:v>46253</x:v>
      </x:c>
      <x:c r="B5052" s="1" t="n">
        <x:v>18</x:v>
      </x:c>
      <x:c r="C5052" s="1" t="n">
        <x:v>6</x:v>
      </x:c>
      <x:c r="D5052" s="12" t="n">
        <x:v>0</x:v>
      </x:c>
      <x:c r="E5052" s="12" t="n">
        <x:v>0.67475</x:v>
      </x:c>
      <x:c r="F5052" s="12" t="n">
        <x:v>0.6745</x:v>
      </x:c>
      <x:c r="G5052" s="12" t="n">
        <x:v>0</x:v>
      </x:c>
      <x:c r="H5052" s="1" t="n">
        <x:f>'Historical prices'!E5052</x:f>
        <x:v>1.05</x:v>
      </x:c>
      <x:c r="I5052" s="6" t="n">
        <x:f>'Historical prices'!D5052</x:f>
        <x:v>0.4424</x:v>
      </x:c>
      <x:c r="J5052" s="13" t="n">
        <x:f>D5052*I5052*H5052</x:f>
        <x:v>0</x:v>
      </x:c>
      <x:c r="K5052" s="13" t="n">
        <x:f>E5052*I5052*H5052</x:f>
        <x:v>0.31343487</x:v>
      </x:c>
      <x:c r="L5052" s="1" t="str">
        <x:f>TEXT(A5052,"mmm yyyy")</x:f>
        <x:v>Aug 2026</x:v>
      </x:c>
    </x:row>
    <x:row r="5053" ht="21" customHeight="1">
      <x:c r="A5053" s="10" t="n">
        <x:v>46253</x:v>
      </x:c>
      <x:c r="B5053" s="1" t="n">
        <x:v>18.5</x:v>
      </x:c>
      <x:c r="C5053" s="1" t="n">
        <x:v>6</x:v>
      </x:c>
      <x:c r="D5053" s="12" t="n">
        <x:v>0</x:v>
      </x:c>
      <x:c r="E5053" s="12" t="n">
        <x:v>0.5410833333333334</x:v>
      </x:c>
      <x:c r="F5053" s="12" t="n">
        <x:v>0.5409999999999999</x:v>
      </x:c>
      <x:c r="G5053" s="12" t="n">
        <x:v>0</x:v>
      </x:c>
      <x:c r="H5053" s="1" t="n">
        <x:f>'Historical prices'!E5053</x:f>
        <x:v>1.05</x:v>
      </x:c>
      <x:c r="I5053" s="6" t="n">
        <x:f>'Historical prices'!D5053</x:f>
        <x:v>0.4578</x:v>
      </x:c>
      <x:c r="J5053" s="13" t="n">
        <x:f>D5053*I5053*H5053</x:f>
        <x:v>0</x:v>
      </x:c>
      <x:c r="K5053" s="13" t="n">
        <x:f>E5053*I5053*H5053</x:f>
        <x:v>0.2600933475</x:v>
      </x:c>
      <x:c r="L5053" s="1" t="str">
        <x:f>TEXT(A5053,"mmm yyyy")</x:f>
        <x:v>Aug 2026</x:v>
      </x:c>
    </x:row>
    <x:row r="5054" ht="21" customHeight="1">
      <x:c r="A5054" s="10" t="n">
        <x:v>46253</x:v>
      </x:c>
      <x:c r="B5054" s="1" t="n">
        <x:v>19</x:v>
      </x:c>
      <x:c r="C5054" s="1" t="n">
        <x:v>6</x:v>
      </x:c>
      <x:c r="D5054" s="12" t="n">
        <x:v>0</x:v>
      </x:c>
      <x:c r="E5054" s="12" t="n">
        <x:v>0.7489166666666667</x:v>
      </x:c>
      <x:c r="F5054" s="12" t="n">
        <x:v>0.7486666666666666</x:v>
      </x:c>
      <x:c r="G5054" s="12" t="n">
        <x:v>0</x:v>
      </x:c>
      <x:c r="H5054" s="1" t="n">
        <x:f>'Historical prices'!E5054</x:f>
        <x:v>1.05</x:v>
      </x:c>
      <x:c r="I5054" s="6" t="n">
        <x:f>'Historical prices'!D5054</x:f>
        <x:v>0.35509999999999997</x:v>
      </x:c>
      <x:c r="J5054" s="13" t="n">
        <x:f>D5054*I5054*H5054</x:f>
        <x:v>0</x:v>
      </x:c>
      <x:c r="K5054" s="13" t="n">
        <x:f>E5054*I5054*H5054</x:f>
        <x:v>0.27923732375</x:v>
      </x:c>
      <x:c r="L5054" s="1" t="str">
        <x:f>TEXT(A5054,"mmm yyyy")</x:f>
        <x:v>Aug 2026</x:v>
      </x:c>
    </x:row>
    <x:row r="5055" ht="21" customHeight="1">
      <x:c r="A5055" s="10" t="n">
        <x:v>46253</x:v>
      </x:c>
      <x:c r="B5055" s="1" t="n">
        <x:v>19.5</x:v>
      </x:c>
      <x:c r="C5055" s="1" t="n">
        <x:v>6</x:v>
      </x:c>
      <x:c r="D5055" s="12" t="n">
        <x:v>0</x:v>
      </x:c>
      <x:c r="E5055" s="12" t="n">
        <x:v>0.5532499999999999</x:v>
      </x:c>
      <x:c r="F5055" s="12" t="n">
        <x:v>0.55275</x:v>
      </x:c>
      <x:c r="G5055" s="12" t="n">
        <x:v>0</x:v>
      </x:c>
      <x:c r="H5055" s="1" t="n">
        <x:f>'Historical prices'!E5055</x:f>
        <x:v>1.05</x:v>
      </x:c>
      <x:c r="I5055" s="6" t="n">
        <x:f>'Historical prices'!D5055</x:f>
        <x:v>0.35509999999999997</x:v>
      </x:c>
      <x:c r="J5055" s="13" t="n">
        <x:f>D5055*I5055*H5055</x:f>
        <x:v>0</x:v>
      </x:c>
      <x:c r="K5055" s="13" t="n">
        <x:f>E5055*I5055*H5055</x:f>
        <x:v>0.20628202874999996</x:v>
      </x:c>
      <x:c r="L5055" s="1" t="str">
        <x:f>TEXT(A5055,"mmm yyyy")</x:f>
        <x:v>Aug 2026</x:v>
      </x:c>
    </x:row>
    <x:row r="5056" ht="21" customHeight="1">
      <x:c r="A5056" s="10" t="n">
        <x:v>46253</x:v>
      </x:c>
      <x:c r="B5056" s="1" t="n">
        <x:v>20</x:v>
      </x:c>
      <x:c r="C5056" s="1" t="n">
        <x:v>6</x:v>
      </x:c>
      <x:c r="D5056" s="12" t="n">
        <x:v>0</x:v>
      </x:c>
      <x:c r="E5056" s="12" t="n">
        <x:v>0.8568333333333334</x:v>
      </x:c>
      <x:c r="F5056" s="12" t="n">
        <x:v>0.8561666666666666</x:v>
      </x:c>
      <x:c r="G5056" s="12" t="n">
        <x:v>0</x:v>
      </x:c>
      <x:c r="H5056" s="1" t="n">
        <x:f>'Historical prices'!E5056</x:f>
        <x:v>1.05</x:v>
      </x:c>
      <x:c r="I5056" s="6" t="n">
        <x:f>'Historical prices'!D5056</x:f>
        <x:v>0.35509999999999997</x:v>
      </x:c>
      <x:c r="J5056" s="13" t="n">
        <x:f>D5056*I5056*H5056</x:f>
        <x:v>0</x:v>
      </x:c>
      <x:c r="K5056" s="13" t="n">
        <x:f>E5056*I5056*H5056</x:f>
        <x:v>0.31947459250000004</x:v>
      </x:c>
      <x:c r="L5056" s="1" t="str">
        <x:f>TEXT(A5056,"mmm yyyy")</x:f>
        <x:v>Aug 2026</x:v>
      </x:c>
    </x:row>
    <x:row r="5057" ht="21" customHeight="1">
      <x:c r="A5057" s="10" t="n">
        <x:v>46253</x:v>
      </x:c>
      <x:c r="B5057" s="1" t="n">
        <x:v>20.5</x:v>
      </x:c>
      <x:c r="C5057" s="1" t="n">
        <x:v>6</x:v>
      </x:c>
      <x:c r="D5057" s="12" t="n">
        <x:v>0</x:v>
      </x:c>
      <x:c r="E5057" s="12" t="n">
        <x:v>0.5445833333333333</x:v>
      </x:c>
      <x:c r="F5057" s="12" t="n">
        <x:v>0.5441666666666667</x:v>
      </x:c>
      <x:c r="G5057" s="12" t="n">
        <x:v>0</x:v>
      </x:c>
      <x:c r="H5057" s="1" t="n">
        <x:f>'Historical prices'!E5057</x:f>
        <x:v>1.05</x:v>
      </x:c>
      <x:c r="I5057" s="6" t="n">
        <x:f>'Historical prices'!D5057</x:f>
        <x:v>0.3529</x:v>
      </x:c>
      <x:c r="J5057" s="13" t="n">
        <x:f>D5057*I5057*H5057</x:f>
        <x:v>0</x:v>
      </x:c>
      <x:c r="K5057" s="13" t="n">
        <x:f>E5057*I5057*H5057</x:f>
        <x:v>0.20179263125</x:v>
      </x:c>
      <x:c r="L5057" s="1" t="str">
        <x:f>TEXT(A5057,"mmm yyyy")</x:f>
        <x:v>Aug 2026</x:v>
      </x:c>
    </x:row>
    <x:row r="5058" ht="21" customHeight="1">
      <x:c r="A5058" s="10" t="n">
        <x:v>46253</x:v>
      </x:c>
      <x:c r="B5058" s="1" t="n">
        <x:v>21</x:v>
      </x:c>
      <x:c r="C5058" s="1" t="n">
        <x:v>6</x:v>
      </x:c>
      <x:c r="D5058" s="12" t="n">
        <x:v>0</x:v>
      </x:c>
      <x:c r="E5058" s="12" t="n">
        <x:v>0.58675</x:v>
      </x:c>
      <x:c r="F5058" s="12" t="n">
        <x:v>0.5865833333333333</x:v>
      </x:c>
      <x:c r="G5058" s="12" t="n">
        <x:v>0</x:v>
      </x:c>
      <x:c r="H5058" s="1" t="n">
        <x:f>'Historical prices'!E5058</x:f>
        <x:v>1.05</x:v>
      </x:c>
      <x:c r="I5058" s="6" t="n">
        <x:f>'Historical prices'!D5058</x:f>
        <x:v>0.353</x:v>
      </x:c>
      <x:c r="J5058" s="13" t="n">
        <x:f>D5058*I5058*H5058</x:f>
        <x:v>0</x:v>
      </x:c>
      <x:c r="K5058" s="13" t="n">
        <x:f>E5058*I5058*H5058</x:f>
        <x:v>0.2174788875</x:v>
      </x:c>
      <x:c r="L5058" s="1" t="str">
        <x:f>TEXT(A5058,"mmm yyyy")</x:f>
        <x:v>Aug 2026</x:v>
      </x:c>
    </x:row>
    <x:row r="5059" ht="21" customHeight="1">
      <x:c r="A5059" s="10" t="n">
        <x:v>46253</x:v>
      </x:c>
      <x:c r="B5059" s="1" t="n">
        <x:v>21.5</x:v>
      </x:c>
      <x:c r="C5059" s="1" t="n">
        <x:v>6</x:v>
      </x:c>
      <x:c r="D5059" s="12" t="n">
        <x:v>0</x:v>
      </x:c>
      <x:c r="E5059" s="12" t="n">
        <x:v>0.5429999999999999</x:v>
      </x:c>
      <x:c r="F5059" s="12" t="n">
        <x:v>0.5425</x:v>
      </x:c>
      <x:c r="G5059" s="12" t="n">
        <x:v>0</x:v>
      </x:c>
      <x:c r="H5059" s="1" t="n">
        <x:f>'Historical prices'!E5059</x:f>
        <x:v>1.05</x:v>
      </x:c>
      <x:c r="I5059" s="6" t="n">
        <x:f>'Historical prices'!D5059</x:f>
        <x:v>0.32780000000000004</x:v>
      </x:c>
      <x:c r="J5059" s="13" t="n">
        <x:f>D5059*I5059*H5059</x:f>
        <x:v>0</x:v>
      </x:c>
      <x:c r="K5059" s="13" t="n">
        <x:f>E5059*I5059*H5059</x:f>
        <x:v>0.18689517</x:v>
      </x:c>
      <x:c r="L5059" s="1" t="str">
        <x:f>TEXT(A5059,"mmm yyyy")</x:f>
        <x:v>Aug 2026</x:v>
      </x:c>
    </x:row>
    <x:row r="5060" ht="21" customHeight="1">
      <x:c r="A5060" s="10" t="n">
        <x:v>46253</x:v>
      </x:c>
      <x:c r="B5060" s="1" t="n">
        <x:v>22</x:v>
      </x:c>
      <x:c r="C5060" s="1" t="n">
        <x:v>6</x:v>
      </x:c>
      <x:c r="D5060" s="12" t="n">
        <x:v>0</x:v>
      </x:c>
      <x:c r="E5060" s="12" t="n">
        <x:v>0.7561666666666667</x:v>
      </x:c>
      <x:c r="F5060" s="12" t="n">
        <x:v>0.7555</x:v>
      </x:c>
      <x:c r="G5060" s="12" t="n">
        <x:v>0</x:v>
      </x:c>
      <x:c r="H5060" s="1" t="n">
        <x:f>'Historical prices'!E5060</x:f>
        <x:v>1.05</x:v>
      </x:c>
      <x:c r="I5060" s="6" t="n">
        <x:f>'Historical prices'!D5060</x:f>
        <x:v>0.32780000000000004</x:v>
      </x:c>
      <x:c r="J5060" s="13" t="n">
        <x:f>D5060*I5060*H5060</x:f>
        <x:v>0</x:v>
      </x:c>
      <x:c r="K5060" s="13" t="n">
        <x:f>E5060*I5060*H5060</x:f>
        <x:v>0.26026500500000005</x:v>
      </x:c>
      <x:c r="L5060" s="1" t="str">
        <x:f>TEXT(A5060,"mmm yyyy")</x:f>
        <x:v>Aug 2026</x:v>
      </x:c>
    </x:row>
    <x:row r="5061" ht="21" customHeight="1">
      <x:c r="A5061" s="10" t="n">
        <x:v>46253</x:v>
      </x:c>
      <x:c r="B5061" s="1" t="n">
        <x:v>22.5</x:v>
      </x:c>
      <x:c r="C5061" s="1" t="n">
        <x:v>6</x:v>
      </x:c>
      <x:c r="D5061" s="12" t="n">
        <x:v>0.01633333333333333</x:v>
      </x:c>
      <x:c r="E5061" s="12" t="n">
        <x:v>0.30633333333333335</x:v>
      </x:c>
      <x:c r="F5061" s="12" t="n">
        <x:v>0.2798333333333333</x:v>
      </x:c>
      <x:c r="G5061" s="12" t="n">
        <x:v>0</x:v>
      </x:c>
      <x:c r="H5061" s="1" t="n">
        <x:f>'Historical prices'!E5061</x:f>
        <x:v>1.05</x:v>
      </x:c>
      <x:c r="I5061" s="6" t="n">
        <x:f>'Historical prices'!D5061</x:f>
        <x:v>0.2991</x:v>
      </x:c>
      <x:c r="J5061" s="13" t="n">
        <x:f>D5061*I5061*H5061</x:f>
        <x:v>0.005129565</x:v>
      </x:c>
      <x:c r="K5061" s="13" t="n">
        <x:f>E5061*I5061*H5061</x:f>
        <x:v>0.09620551499999999</x:v>
      </x:c>
      <x:c r="L5061" s="1" t="str">
        <x:f>TEXT(A5061,"mmm yyyy")</x:f>
        <x:v>Aug 2026</x:v>
      </x:c>
    </x:row>
    <x:row r="5062" ht="21" customHeight="1">
      <x:c r="A5062" s="10" t="n">
        <x:v>46253</x:v>
      </x:c>
      <x:c r="B5062" s="1" t="n">
        <x:v>23</x:v>
      </x:c>
      <x:c r="C5062" s="1" t="n">
        <x:v>6</x:v>
      </x:c>
      <x:c r="D5062" s="12" t="n">
        <x:v>0.20425000000000001</x:v>
      </x:c>
      <x:c r="E5062" s="12" t="n">
        <x:v>0.27116666666666667</x:v>
      </x:c>
      <x:c r="F5062" s="12" t="n">
        <x:v>0.057916666666666665</x:v>
      </x:c>
      <x:c r="G5062" s="12" t="n">
        <x:v>0</x:v>
      </x:c>
      <x:c r="H5062" s="1" t="n">
        <x:f>'Historical prices'!E5062</x:f>
        <x:v>1.05</x:v>
      </x:c>
      <x:c r="I5062" s="6" t="n">
        <x:f>'Historical prices'!D5062</x:f>
        <x:v>0.2737</x:v>
      </x:c>
      <x:c r="J5062" s="13" t="n">
        <x:f>D5062*I5062*H5062</x:f>
        <x:v>0.058698386250000005</x:v>
      </x:c>
      <x:c r="K5062" s="13" t="n">
        <x:f>E5062*I5062*H5062</x:f>
        <x:v>0.07792923250000001</x:v>
      </x:c>
      <x:c r="L5062" s="1" t="str">
        <x:f>TEXT(A5062,"mmm yyyy")</x:f>
        <x:v>Aug 2026</x:v>
      </x:c>
    </x:row>
    <x:row r="5063" ht="21" customHeight="1">
      <x:c r="A5063" s="10" t="n">
        <x:v>46253</x:v>
      </x:c>
      <x:c r="B5063" s="1" t="n">
        <x:v>23.5</x:v>
      </x:c>
      <x:c r="C5063" s="1" t="n">
        <x:v>6</x:v>
      </x:c>
      <x:c r="D5063" s="12" t="n">
        <x:v>0.04075</x:v>
      </x:c>
      <x:c r="E5063" s="12" t="n">
        <x:v>0.3218333333333333</x:v>
      </x:c>
      <x:c r="F5063" s="12" t="n">
        <x:v>0.27275</x:v>
      </x:c>
      <x:c r="G5063" s="12" t="n">
        <x:v>0</x:v>
      </x:c>
      <x:c r="H5063" s="1" t="n">
        <x:f>'Historical prices'!E5063</x:f>
        <x:v>1.05</x:v>
      </x:c>
      <x:c r="I5063" s="6" t="n">
        <x:f>'Historical prices'!D5063</x:f>
        <x:v>0.28850000000000003</x:v>
      </x:c>
      <x:c r="J5063" s="13" t="n">
        <x:f>D5063*I5063*H5063</x:f>
        <x:v>0.012344193750000001</x:v>
      </x:c>
      <x:c r="K5063" s="13" t="n">
        <x:f>E5063*I5063*H5063</x:f>
        <x:v>0.09749136250000001</x:v>
      </x:c>
      <x:c r="L5063" s="1" t="str">
        <x:f>TEXT(A5063,"mmm yyyy")</x:f>
        <x:v>Aug 2026</x:v>
      </x:c>
    </x:row>
    <x:row r="5064" ht="21" customHeight="1">
      <x:c r="A5064" s="10" t="n">
        <x:v>46254</x:v>
      </x:c>
      <x:c r="B5064" s="1" t="n">
        <x:v>0</x:v>
      </x:c>
      <x:c r="C5064" s="1" t="n">
        <x:v>6</x:v>
      </x:c>
      <x:c r="D5064" s="12" t="n">
        <x:v>0.159</x:v>
      </x:c>
      <x:c r="E5064" s="12" t="n">
        <x:v>0.215</x:v>
      </x:c>
      <x:c r="F5064" s="12" t="n">
        <x:v>0.046</x:v>
      </x:c>
      <x:c r="G5064" s="12" t="n">
        <x:v>0</x:v>
      </x:c>
      <x:c r="H5064" s="1" t="n">
        <x:f>'Historical prices'!E5064</x:f>
        <x:v>1.05</x:v>
      </x:c>
      <x:c r="I5064" s="6" t="n">
        <x:f>'Historical prices'!D5064</x:f>
        <x:v>0.2615</x:v>
      </x:c>
      <x:c r="J5064" s="13" t="n">
        <x:f>D5064*I5064*H5064</x:f>
        <x:v>0.04365742500000001</x:v>
      </x:c>
      <x:c r="K5064" s="13" t="n">
        <x:f>E5064*I5064*H5064</x:f>
        <x:v>0.059033625000000006</x:v>
      </x:c>
      <x:c r="L5064" s="1" t="str">
        <x:f>TEXT(A5064,"mmm yyyy")</x:f>
        <x:v>Aug 2026</x:v>
      </x:c>
    </x:row>
    <x:row r="5065" ht="21" customHeight="1">
      <x:c r="A5065" s="10" t="n">
        <x:v>46254</x:v>
      </x:c>
      <x:c r="B5065" s="1" t="n">
        <x:v>0.5</x:v>
      </x:c>
      <x:c r="C5065" s="1" t="n">
        <x:v>6</x:v>
      </x:c>
      <x:c r="D5065" s="12" t="n">
        <x:v>0.20500000000000002</x:v>
      </x:c>
      <x:c r="E5065" s="12" t="n">
        <x:v>0.21500000000000002</x:v>
      </x:c>
      <x:c r="F5065" s="12" t="n">
        <x:v>0</x:v>
      </x:c>
      <x:c r="G5065" s="12" t="n">
        <x:v>0</x:v>
      </x:c>
      <x:c r="H5065" s="1" t="n">
        <x:f>'Historical prices'!E5065</x:f>
        <x:v>1.05</x:v>
      </x:c>
      <x:c r="I5065" s="6" t="n">
        <x:f>'Historical prices'!D5065</x:f>
        <x:v>0.2455</x:v>
      </x:c>
      <x:c r="J5065" s="13" t="n">
        <x:f>D5065*I5065*H5065</x:f>
        <x:v>0.052843875000000005</x:v>
      </x:c>
      <x:c r="K5065" s="13" t="n">
        <x:f>E5065*I5065*H5065</x:f>
        <x:v>0.055421625</x:v>
      </x:c>
      <x:c r="L5065" s="1" t="str">
        <x:f>TEXT(A5065,"mmm yyyy")</x:f>
        <x:v>Aug 2026</x:v>
      </x:c>
    </x:row>
    <x:row r="5066" ht="21" customHeight="1">
      <x:c r="A5066" s="10" t="n">
        <x:v>46254</x:v>
      </x:c>
      <x:c r="B5066" s="1" t="n">
        <x:v>1</x:v>
      </x:c>
      <x:c r="C5066" s="1" t="n">
        <x:v>6</x:v>
      </x:c>
      <x:c r="D5066" s="12" t="n">
        <x:v>0.218</x:v>
      </x:c>
      <x:c r="E5066" s="12" t="n">
        <x:v>0.229</x:v>
      </x:c>
      <x:c r="F5066" s="12" t="n">
        <x:v>0</x:v>
      </x:c>
      <x:c r="G5066" s="12" t="n">
        <x:v>0</x:v>
      </x:c>
      <x:c r="H5066" s="1" t="n">
        <x:f>'Historical prices'!E5066</x:f>
        <x:v>1.05</x:v>
      </x:c>
      <x:c r="I5066" s="6" t="n">
        <x:f>'Historical prices'!D5066</x:f>
        <x:v>0.2465</x:v>
      </x:c>
      <x:c r="J5066" s="13" t="n">
        <x:f>D5066*I5066*H5066</x:f>
        <x:v>0.056423850000000005</x:v>
      </x:c>
      <x:c r="K5066" s="13" t="n">
        <x:f>E5066*I5066*H5066</x:f>
        <x:v>0.059270925</x:v>
      </x:c>
      <x:c r="L5066" s="1" t="str">
        <x:f>TEXT(A5066,"mmm yyyy")</x:f>
        <x:v>Aug 2026</x:v>
      </x:c>
    </x:row>
    <x:row r="5067" ht="21" customHeight="1">
      <x:c r="A5067" s="10" t="n">
        <x:v>46254</x:v>
      </x:c>
      <x:c r="B5067" s="1" t="n">
        <x:v>1.5</x:v>
      </x:c>
      <x:c r="C5067" s="1" t="n">
        <x:v>6</x:v>
      </x:c>
      <x:c r="D5067" s="12" t="n">
        <x:v>0.20450000000000002</x:v>
      </x:c>
      <x:c r="E5067" s="12" t="n">
        <x:v>0.21549999999999997</x:v>
      </x:c>
      <x:c r="F5067" s="12" t="n">
        <x:v>0</x:v>
      </x:c>
      <x:c r="G5067" s="12" t="n">
        <x:v>0</x:v>
      </x:c>
      <x:c r="H5067" s="1" t="n">
        <x:f>'Historical prices'!E5067</x:f>
        <x:v>1.05</x:v>
      </x:c>
      <x:c r="I5067" s="6" t="n">
        <x:f>'Historical prices'!D5067</x:f>
        <x:v>0.2354</x:v>
      </x:c>
      <x:c r="J5067" s="13" t="n">
        <x:f>D5067*I5067*H5067</x:f>
        <x:v>0.05054626500000001</x:v>
      </x:c>
      <x:c r="K5067" s="13" t="n">
        <x:f>E5067*I5067*H5067</x:f>
        <x:v>0.053265135</x:v>
      </x:c>
      <x:c r="L5067" s="1" t="str">
        <x:f>TEXT(A5067,"mmm yyyy")</x:f>
        <x:v>Aug 2026</x:v>
      </x:c>
    </x:row>
    <x:row r="5068" ht="21" customHeight="1">
      <x:c r="A5068" s="10" t="n">
        <x:v>46254</x:v>
      </x:c>
      <x:c r="B5068" s="1" t="n">
        <x:v>2</x:v>
      </x:c>
      <x:c r="C5068" s="1" t="n">
        <x:v>6</x:v>
      </x:c>
      <x:c r="D5068" s="12" t="n">
        <x:v>0.25599999999999995</x:v>
      </x:c>
      <x:c r="E5068" s="12" t="n">
        <x:v>0.26699999999999996</x:v>
      </x:c>
      <x:c r="F5068" s="12" t="n">
        <x:v>0</x:v>
      </x:c>
      <x:c r="G5068" s="12" t="n">
        <x:v>0</x:v>
      </x:c>
      <x:c r="H5068" s="1" t="n">
        <x:f>'Historical prices'!E5068</x:f>
        <x:v>1.05</x:v>
      </x:c>
      <x:c r="I5068" s="6" t="n">
        <x:f>'Historical prices'!D5068</x:f>
        <x:v>0.2354</x:v>
      </x:c>
      <x:c r="J5068" s="13" t="n">
        <x:f>D5068*I5068*H5068</x:f>
        <x:v>0.06327551999999999</x:v>
      </x:c>
      <x:c r="K5068" s="13" t="n">
        <x:f>E5068*I5068*H5068</x:f>
        <x:v>0.06599438999999999</x:v>
      </x:c>
      <x:c r="L5068" s="1" t="str">
        <x:f>TEXT(A5068,"mmm yyyy")</x:f>
        <x:v>Aug 2026</x:v>
      </x:c>
    </x:row>
    <x:row r="5069" ht="21" customHeight="1">
      <x:c r="A5069" s="10" t="n">
        <x:v>46254</x:v>
      </x:c>
      <x:c r="B5069" s="1" t="n">
        <x:v>2.5</x:v>
      </x:c>
      <x:c r="C5069" s="1" t="n">
        <x:v>6</x:v>
      </x:c>
      <x:c r="D5069" s="12" t="n">
        <x:v>0.20450000000000002</x:v>
      </x:c>
      <x:c r="E5069" s="12" t="n">
        <x:v>0.21450000000000002</x:v>
      </x:c>
      <x:c r="F5069" s="12" t="n">
        <x:v>0</x:v>
      </x:c>
      <x:c r="G5069" s="12" t="n">
        <x:v>0</x:v>
      </x:c>
      <x:c r="H5069" s="1" t="n">
        <x:f>'Historical prices'!E5069</x:f>
        <x:v>1.05</x:v>
      </x:c>
      <x:c r="I5069" s="6" t="n">
        <x:f>'Historical prices'!D5069</x:f>
        <x:v>0.2297</x:v>
      </x:c>
      <x:c r="J5069" s="13" t="n">
        <x:f>D5069*I5069*H5069</x:f>
        <x:v>0.0493223325</x:v>
      </x:c>
      <x:c r="K5069" s="13" t="n">
        <x:f>E5069*I5069*H5069</x:f>
        <x:v>0.05173418250000001</x:v>
      </x:c>
      <x:c r="L5069" s="1" t="str">
        <x:f>TEXT(A5069,"mmm yyyy")</x:f>
        <x:v>Aug 2026</x:v>
      </x:c>
    </x:row>
    <x:row r="5070" ht="21" customHeight="1">
      <x:c r="A5070" s="10" t="n">
        <x:v>46254</x:v>
      </x:c>
      <x:c r="B5070" s="1" t="n">
        <x:v>3</x:v>
      </x:c>
      <x:c r="C5070" s="1" t="n">
        <x:v>6</x:v>
      </x:c>
      <x:c r="D5070" s="12" t="n">
        <x:v>0.312</x:v>
      </x:c>
      <x:c r="E5070" s="12" t="n">
        <x:v>0.322</x:v>
      </x:c>
      <x:c r="F5070" s="12" t="n">
        <x:v>0</x:v>
      </x:c>
      <x:c r="G5070" s="12" t="n">
        <x:v>0</x:v>
      </x:c>
      <x:c r="H5070" s="1" t="n">
        <x:f>'Historical prices'!E5070</x:f>
        <x:v>1.05</x:v>
      </x:c>
      <x:c r="I5070" s="6" t="n">
        <x:f>'Historical prices'!D5070</x:f>
        <x:v>0.2375</x:v>
      </x:c>
      <x:c r="J5070" s="13" t="n">
        <x:f>D5070*I5070*H5070</x:f>
        <x:v>0.077805</x:v>
      </x:c>
      <x:c r="K5070" s="13" t="n">
        <x:f>E5070*I5070*H5070</x:f>
        <x:v>0.08029875</x:v>
      </x:c>
      <x:c r="L5070" s="1" t="str">
        <x:f>TEXT(A5070,"mmm yyyy")</x:f>
        <x:v>Aug 2026</x:v>
      </x:c>
    </x:row>
    <x:row r="5071" ht="21" customHeight="1">
      <x:c r="A5071" s="10" t="n">
        <x:v>46254</x:v>
      </x:c>
      <x:c r="B5071" s="1" t="n">
        <x:v>3.5</x:v>
      </x:c>
      <x:c r="C5071" s="1" t="n">
        <x:v>6</x:v>
      </x:c>
      <x:c r="D5071" s="12" t="n">
        <x:v>0.1815</x:v>
      </x:c>
      <x:c r="E5071" s="12" t="n">
        <x:v>0.1915</x:v>
      </x:c>
      <x:c r="F5071" s="12" t="n">
        <x:v>0</x:v>
      </x:c>
      <x:c r="G5071" s="12" t="n">
        <x:v>0</x:v>
      </x:c>
      <x:c r="H5071" s="1" t="n">
        <x:f>'Historical prices'!E5071</x:f>
        <x:v>1.05</x:v>
      </x:c>
      <x:c r="I5071" s="6" t="n">
        <x:f>'Historical prices'!D5071</x:f>
        <x:v>0.2353</x:v>
      </x:c>
      <x:c r="J5071" s="13" t="n">
        <x:f>D5071*I5071*H5071</x:f>
        <x:v>0.0448422975</x:v>
      </x:c>
      <x:c r="K5071" s="13" t="n">
        <x:f>E5071*I5071*H5071</x:f>
        <x:v>0.0473129475</x:v>
      </x:c>
      <x:c r="L5071" s="1" t="str">
        <x:f>TEXT(A5071,"mmm yyyy")</x:f>
        <x:v>Aug 2026</x:v>
      </x:c>
    </x:row>
    <x:row r="5072" ht="21" customHeight="1">
      <x:c r="A5072" s="10" t="n">
        <x:v>46254</x:v>
      </x:c>
      <x:c r="B5072" s="1" t="n">
        <x:v>4</x:v>
      </x:c>
      <x:c r="C5072" s="1" t="n">
        <x:v>6</x:v>
      </x:c>
      <x:c r="D5072" s="12" t="n">
        <x:v>0.22150000000000003</x:v>
      </x:c>
      <x:c r="E5072" s="12" t="n">
        <x:v>0.23350000000000004</x:v>
      </x:c>
      <x:c r="F5072" s="12" t="n">
        <x:v>0</x:v>
      </x:c>
      <x:c r="G5072" s="12" t="n">
        <x:v>0</x:v>
      </x:c>
      <x:c r="H5072" s="1" t="n">
        <x:f>'Historical prices'!E5072</x:f>
        <x:v>1.05</x:v>
      </x:c>
      <x:c r="I5072" s="6" t="n">
        <x:f>'Historical prices'!D5072</x:f>
        <x:v>0.2466</x:v>
      </x:c>
      <x:c r="J5072" s="13" t="n">
        <x:f>D5072*I5072*H5072</x:f>
        <x:v>0.05735299500000001</x:v>
      </x:c>
      <x:c r="K5072" s="13" t="n">
        <x:f>E5072*I5072*H5072</x:f>
        <x:v>0.060460155000000015</x:v>
      </x:c>
      <x:c r="L5072" s="1" t="str">
        <x:f>TEXT(A5072,"mmm yyyy")</x:f>
        <x:v>Aug 2026</x:v>
      </x:c>
    </x:row>
    <x:row r="5073" ht="21" customHeight="1">
      <x:c r="A5073" s="10" t="n">
        <x:v>46254</x:v>
      </x:c>
      <x:c r="B5073" s="1" t="n">
        <x:v>4.5</x:v>
      </x:c>
      <x:c r="C5073" s="1" t="n">
        <x:v>6</x:v>
      </x:c>
      <x:c r="D5073" s="12" t="n">
        <x:v>0.24800000000000003</x:v>
      </x:c>
      <x:c r="E5073" s="12" t="n">
        <x:v>0.258</x:v>
      </x:c>
      <x:c r="F5073" s="12" t="n">
        <x:v>0</x:v>
      </x:c>
      <x:c r="G5073" s="12" t="n">
        <x:v>0</x:v>
      </x:c>
      <x:c r="H5073" s="1" t="n">
        <x:f>'Historical prices'!E5073</x:f>
        <x:v>1.05</x:v>
      </x:c>
      <x:c r="I5073" s="6" t="n">
        <x:f>'Historical prices'!D5073</x:f>
        <x:v>0.247</x:v>
      </x:c>
      <x:c r="J5073" s="13" t="n">
        <x:f>D5073*I5073*H5073</x:f>
        <x:v>0.06431880000000001</x:v>
      </x:c>
      <x:c r="K5073" s="13" t="n">
        <x:f>E5073*I5073*H5073</x:f>
        <x:v>0.06691230000000001</x:v>
      </x:c>
      <x:c r="L5073" s="1" t="str">
        <x:f>TEXT(A5073,"mmm yyyy")</x:f>
        <x:v>Aug 2026</x:v>
      </x:c>
    </x:row>
    <x:row r="5074" ht="21" customHeight="1">
      <x:c r="A5074" s="10" t="n">
        <x:v>46254</x:v>
      </x:c>
      <x:c r="B5074" s="1" t="n">
        <x:v>5</x:v>
      </x:c>
      <x:c r="C5074" s="1" t="n">
        <x:v>6</x:v>
      </x:c>
      <x:c r="D5074" s="12" t="n">
        <x:v>0.24175000000000002</x:v>
      </x:c>
      <x:c r="E5074" s="12" t="n">
        <x:v>0.25175</x:v>
      </x:c>
      <x:c r="F5074" s="12" t="n">
        <x:v>0</x:v>
      </x:c>
      <x:c r="G5074" s="12" t="n">
        <x:v>0</x:v>
      </x:c>
      <x:c r="H5074" s="1" t="n">
        <x:f>'Historical prices'!E5074</x:f>
        <x:v>1.05</x:v>
      </x:c>
      <x:c r="I5074" s="6" t="n">
        <x:f>'Historical prices'!D5074</x:f>
        <x:v>0.26839999999999997</x:v>
      </x:c>
      <x:c r="J5074" s="13" t="n">
        <x:f>D5074*I5074*H5074</x:f>
        <x:v>0.068129985</x:v>
      </x:c>
      <x:c r="K5074" s="13" t="n">
        <x:f>E5074*I5074*H5074</x:f>
        <x:v>0.07094818499999998</x:v>
      </x:c>
      <x:c r="L5074" s="1" t="str">
        <x:f>TEXT(A5074,"mmm yyyy")</x:f>
        <x:v>Aug 2026</x:v>
      </x:c>
    </x:row>
    <x:row r="5075" ht="21" customHeight="1">
      <x:c r="A5075" s="10" t="n">
        <x:v>46254</x:v>
      </x:c>
      <x:c r="B5075" s="1" t="n">
        <x:v>5.5</x:v>
      </x:c>
      <x:c r="C5075" s="1" t="n">
        <x:v>6</x:v>
      </x:c>
      <x:c r="D5075" s="12" t="n">
        <x:v>0.19899999999999998</x:v>
      </x:c>
      <x:c r="E5075" s="12" t="n">
        <x:v>0.209</x:v>
      </x:c>
      <x:c r="F5075" s="12" t="n">
        <x:v>0</x:v>
      </x:c>
      <x:c r="G5075" s="12" t="n">
        <x:v>0</x:v>
      </x:c>
      <x:c r="H5075" s="1" t="n">
        <x:f>'Historical prices'!E5075</x:f>
        <x:v>1.05</x:v>
      </x:c>
      <x:c r="I5075" s="6" t="n">
        <x:f>'Historical prices'!D5075</x:f>
        <x:v>0.271</x:v>
      </x:c>
      <x:c r="J5075" s="13" t="n">
        <x:f>D5075*I5075*H5075</x:f>
        <x:v>0.05662545</x:v>
      </x:c>
      <x:c r="K5075" s="13" t="n">
        <x:f>E5075*I5075*H5075</x:f>
        <x:v>0.05947095</x:v>
      </x:c>
      <x:c r="L5075" s="1" t="str">
        <x:f>TEXT(A5075,"mmm yyyy")</x:f>
        <x:v>Aug 2026</x:v>
      </x:c>
    </x:row>
    <x:row r="5076" ht="21" customHeight="1">
      <x:c r="A5076" s="10" t="n">
        <x:v>46254</x:v>
      </x:c>
      <x:c r="B5076" s="1" t="n">
        <x:v>6</x:v>
      </x:c>
      <x:c r="C5076" s="1" t="n">
        <x:v>6</x:v>
      </x:c>
      <x:c r="D5076" s="12" t="n">
        <x:v>0.031</x:v>
      </x:c>
      <x:c r="E5076" s="12" t="n">
        <x:v>0.44316666666666665</x:v>
      </x:c>
      <x:c r="F5076" s="12" t="n">
        <x:v>0.40974999999999995</x:v>
      </x:c>
      <x:c r="G5076" s="12" t="n">
        <x:v>0</x:v>
      </x:c>
      <x:c r="H5076" s="1" t="n">
        <x:f>'Historical prices'!E5076</x:f>
        <x:v>1.05</x:v>
      </x:c>
      <x:c r="I5076" s="6" t="n">
        <x:f>'Historical prices'!D5076</x:f>
        <x:v>0.2829</x:v>
      </x:c>
      <x:c r="J5076" s="13" t="n">
        <x:f>D5076*I5076*H5076</x:f>
        <x:v>0.009208395</x:v>
      </x:c>
      <x:c r="K5076" s="13" t="n">
        <x:f>E5076*I5076*H5076</x:f>
        <x:v>0.13164044249999998</x:v>
      </x:c>
      <x:c r="L5076" s="1" t="str">
        <x:f>TEXT(A5076,"mmm yyyy")</x:f>
        <x:v>Aug 2026</x:v>
      </x:c>
    </x:row>
    <x:row r="5077" ht="21" customHeight="1">
      <x:c r="A5077" s="10" t="n">
        <x:v>46254</x:v>
      </x:c>
      <x:c r="B5077" s="1" t="n">
        <x:v>6.5</x:v>
      </x:c>
      <x:c r="C5077" s="1" t="n">
        <x:v>6</x:v>
      </x:c>
      <x:c r="D5077" s="12" t="n">
        <x:v>0.008583333333333333</x:v>
      </x:c>
      <x:c r="E5077" s="12" t="n">
        <x:v>0.60125</x:v>
      </x:c>
      <x:c r="F5077" s="12" t="n">
        <x:v>0.5894166666666666</x:v>
      </x:c>
      <x:c r="G5077" s="12" t="n">
        <x:v>0</x:v>
      </x:c>
      <x:c r="H5077" s="1" t="n">
        <x:f>'Historical prices'!E5077</x:f>
        <x:v>1.05</x:v>
      </x:c>
      <x:c r="I5077" s="6" t="n">
        <x:f>'Historical prices'!D5077</x:f>
        <x:v>0.2963</x:v>
      </x:c>
      <x:c r="J5077" s="13" t="n">
        <x:f>D5077*I5077*H5077</x:f>
        <x:v>0.00267040375</x:v>
      </x:c>
      <x:c r="K5077" s="13" t="n">
        <x:f>E5077*I5077*H5077</x:f>
        <x:v>0.18705789375</x:v>
      </x:c>
      <x:c r="L5077" s="1" t="str">
        <x:f>TEXT(A5077,"mmm yyyy")</x:f>
        <x:v>Aug 2026</x:v>
      </x:c>
    </x:row>
    <x:row r="5078" ht="21" customHeight="1">
      <x:c r="A5078" s="10" t="n">
        <x:v>46254</x:v>
      </x:c>
      <x:c r="B5078" s="1" t="n">
        <x:v>7</x:v>
      </x:c>
      <x:c r="C5078" s="1" t="n">
        <x:v>6</x:v>
      </x:c>
      <x:c r="D5078" s="12" t="n">
        <x:v>0.41974999999999996</x:v>
      </x:c>
      <x:c r="E5078" s="12" t="n">
        <x:v>0.5186666666666666</x:v>
      </x:c>
      <x:c r="F5078" s="12" t="n">
        <x:v>0.08991666666666667</x:v>
      </x:c>
      <x:c r="G5078" s="12" t="n">
        <x:v>0</x:v>
      </x:c>
      <x:c r="H5078" s="1" t="n">
        <x:f>'Historical prices'!E5078</x:f>
        <x:v>1.05</x:v>
      </x:c>
      <x:c r="I5078" s="6" t="n">
        <x:f>'Historical prices'!D5078</x:f>
        <x:v>0.2657</x:v>
      </x:c>
      <x:c r="J5078" s="13" t="n">
        <x:f>D5078*I5078*H5078</x:f>
        <x:v>0.11710395374999999</x:v>
      </x:c>
      <x:c r="K5078" s="13" t="n">
        <x:f>E5078*I5078*H5078</x:f>
        <x:v>0.14470022</x:v>
      </x:c>
      <x:c r="L5078" s="1" t="str">
        <x:f>TEXT(A5078,"mmm yyyy")</x:f>
        <x:v>Aug 2026</x:v>
      </x:c>
    </x:row>
    <x:row r="5079" ht="21" customHeight="1">
      <x:c r="A5079" s="10" t="n">
        <x:v>46254</x:v>
      </x:c>
      <x:c r="B5079" s="1" t="n">
        <x:v>7.5</x:v>
      </x:c>
      <x:c r="C5079" s="1" t="n">
        <x:v>6</x:v>
      </x:c>
      <x:c r="D5079" s="12" t="n">
        <x:v>0.10875</x:v>
      </x:c>
      <x:c r="E5079" s="12" t="n">
        <x:v>0.5863333333333333</x:v>
      </x:c>
      <x:c r="F5079" s="12" t="n">
        <x:v>0.47324999999999995</x:v>
      </x:c>
      <x:c r="G5079" s="12" t="n">
        <x:v>0</x:v>
      </x:c>
      <x:c r="H5079" s="1" t="n">
        <x:f>'Historical prices'!E5079</x:f>
        <x:v>1.05</x:v>
      </x:c>
      <x:c r="I5079" s="6" t="n">
        <x:f>'Historical prices'!D5079</x:f>
        <x:v>0.275</x:v>
      </x:c>
      <x:c r="J5079" s="13" t="n">
        <x:f>D5079*I5079*H5079</x:f>
        <x:v>0.0314015625</x:v>
      </x:c>
      <x:c r="K5079" s="13" t="n">
        <x:f>E5079*I5079*H5079</x:f>
        <x:v>0.16930375</x:v>
      </x:c>
      <x:c r="L5079" s="1" t="str">
        <x:f>TEXT(A5079,"mmm yyyy")</x:f>
        <x:v>Aug 2026</x:v>
      </x:c>
    </x:row>
    <x:row r="5080" ht="21" customHeight="1">
      <x:c r="A5080" s="10" t="n">
        <x:v>46254</x:v>
      </x:c>
      <x:c r="B5080" s="1" t="n">
        <x:v>8</x:v>
      </x:c>
      <x:c r="C5080" s="1" t="n">
        <x:v>6</x:v>
      </x:c>
      <x:c r="D5080" s="12" t="n">
        <x:v>0.45649999999999996</x:v>
      </x:c>
      <x:c r="E5080" s="12" t="n">
        <x:v>0.5543333333333333</x:v>
      </x:c>
      <x:c r="F5080" s="12" t="n">
        <x:v>0.08783333333333333</x:v>
      </x:c>
      <x:c r="G5080" s="12" t="n">
        <x:v>0</x:v>
      </x:c>
      <x:c r="H5080" s="1" t="n">
        <x:f>'Historical prices'!E5080</x:f>
        <x:v>1.05</x:v>
      </x:c>
      <x:c r="I5080" s="6" t="n">
        <x:f>'Historical prices'!D5080</x:f>
        <x:v>0.23670000000000002</x:v>
      </x:c>
      <x:c r="J5080" s="13" t="n">
        <x:f>D5080*I5080*H5080</x:f>
        <x:v>0.1134562275</x:v>
      </x:c>
      <x:c r="K5080" s="13" t="n">
        <x:f>E5080*I5080*H5080</x:f>
        <x:v>0.13777123500000002</x:v>
      </x:c>
      <x:c r="L5080" s="1" t="str">
        <x:f>TEXT(A5080,"mmm yyyy")</x:f>
        <x:v>Aug 2026</x:v>
      </x:c>
    </x:row>
    <x:row r="5081" ht="21" customHeight="1">
      <x:c r="A5081" s="10" t="n">
        <x:v>46254</x:v>
      </x:c>
      <x:c r="B5081" s="1" t="n">
        <x:v>8.5</x:v>
      </x:c>
      <x:c r="C5081" s="1" t="n">
        <x:v>6</x:v>
      </x:c>
      <x:c r="D5081" s="12" t="n">
        <x:v>0.4985</x:v>
      </x:c>
      <x:c r="E5081" s="12" t="n">
        <x:v>0.5095000000000001</x:v>
      </x:c>
      <x:c r="F5081" s="12" t="n">
        <x:v>0</x:v>
      </x:c>
      <x:c r="G5081" s="12" t="n">
        <x:v>0</x:v>
      </x:c>
      <x:c r="H5081" s="1" t="n">
        <x:f>'Historical prices'!E5081</x:f>
        <x:v>1.05</x:v>
      </x:c>
      <x:c r="I5081" s="6" t="n">
        <x:f>'Historical prices'!D5081</x:f>
        <x:v>0.2646</x:v>
      </x:c>
      <x:c r="J5081" s="13" t="n">
        <x:f>D5081*I5081*H5081</x:f>
        <x:v>0.13849825500000001</x:v>
      </x:c>
      <x:c r="K5081" s="13" t="n">
        <x:f>E5081*I5081*H5081</x:f>
        <x:v>0.141554385</x:v>
      </x:c>
      <x:c r="L5081" s="1" t="str">
        <x:f>TEXT(A5081,"mmm yyyy")</x:f>
        <x:v>Aug 2026</x:v>
      </x:c>
    </x:row>
    <x:row r="5082" ht="21" customHeight="1">
      <x:c r="A5082" s="10" t="n">
        <x:v>46254</x:v>
      </x:c>
      <x:c r="B5082" s="1" t="n">
        <x:v>9</x:v>
      </x:c>
      <x:c r="C5082" s="1" t="n">
        <x:v>6</x:v>
      </x:c>
      <x:c r="D5082" s="12" t="n">
        <x:v>0.5960000000000001</x:v>
      </x:c>
      <x:c r="E5082" s="12" t="n">
        <x:v>0.6060000000000001</x:v>
      </x:c>
      <x:c r="F5082" s="12" t="n">
        <x:v>0</x:v>
      </x:c>
      <x:c r="G5082" s="12" t="n">
        <x:v>0</x:v>
      </x:c>
      <x:c r="H5082" s="1" t="n">
        <x:f>'Historical prices'!E5082</x:f>
        <x:v>1.05</x:v>
      </x:c>
      <x:c r="I5082" s="6" t="n">
        <x:f>'Historical prices'!D5082</x:f>
        <x:v>0.23620000000000002</x:v>
      </x:c>
      <x:c r="J5082" s="13" t="n">
        <x:f>D5082*I5082*H5082</x:f>
        <x:v>0.14781396000000005</x:v>
      </x:c>
      <x:c r="K5082" s="13" t="n">
        <x:f>E5082*I5082*H5082</x:f>
        <x:v>0.15029406000000006</x:v>
      </x:c>
      <x:c r="L5082" s="1" t="str">
        <x:f>TEXT(A5082,"mmm yyyy")</x:f>
        <x:v>Aug 2026</x:v>
      </x:c>
    </x:row>
    <x:row r="5083" ht="21" customHeight="1">
      <x:c r="A5083" s="10" t="n">
        <x:v>46254</x:v>
      </x:c>
      <x:c r="B5083" s="1" t="n">
        <x:v>9.5</x:v>
      </x:c>
      <x:c r="C5083" s="1" t="n">
        <x:v>6</x:v>
      </x:c>
      <x:c r="D5083" s="12" t="n">
        <x:v>0.652</x:v>
      </x:c>
      <x:c r="E5083" s="12" t="n">
        <x:v>0.663</x:v>
      </x:c>
      <x:c r="F5083" s="12" t="n">
        <x:v>0</x:v>
      </x:c>
      <x:c r="G5083" s="12" t="n">
        <x:v>0</x:v>
      </x:c>
      <x:c r="H5083" s="1" t="n">
        <x:f>'Historical prices'!E5083</x:f>
        <x:v>1.05</x:v>
      </x:c>
      <x:c r="I5083" s="6" t="n">
        <x:f>'Historical prices'!D5083</x:f>
        <x:v>0.22699999999999998</x:v>
      </x:c>
      <x:c r="J5083" s="13" t="n">
        <x:f>D5083*I5083*H5083</x:f>
        <x:v>0.1554042</x:v>
      </x:c>
      <x:c r="K5083" s="13" t="n">
        <x:f>E5083*I5083*H5083</x:f>
        <x:v>0.15802605</x:v>
      </x:c>
      <x:c r="L5083" s="1" t="str">
        <x:f>TEXT(A5083,"mmm yyyy")</x:f>
        <x:v>Aug 2026</x:v>
      </x:c>
    </x:row>
    <x:row r="5084" ht="21" customHeight="1">
      <x:c r="A5084" s="10" t="n">
        <x:v>46254</x:v>
      </x:c>
      <x:c r="B5084" s="1" t="n">
        <x:v>10</x:v>
      </x:c>
      <x:c r="C5084" s="1" t="n">
        <x:v>6</x:v>
      </x:c>
      <x:c r="D5084" s="12" t="n">
        <x:v>0.6205</x:v>
      </x:c>
      <x:c r="E5084" s="12" t="n">
        <x:v>0.6305000000000001</x:v>
      </x:c>
      <x:c r="F5084" s="12" t="n">
        <x:v>0</x:v>
      </x:c>
      <x:c r="G5084" s="12" t="n">
        <x:v>0</x:v>
      </x:c>
      <x:c r="H5084" s="1" t="n">
        <x:f>'Historical prices'!E5084</x:f>
        <x:v>1.05</x:v>
      </x:c>
      <x:c r="I5084" s="6" t="n">
        <x:f>'Historical prices'!D5084</x:f>
        <x:v>0.23120000000000002</x:v>
      </x:c>
      <x:c r="J5084" s="13" t="n">
        <x:f>D5084*I5084*H5084</x:f>
        <x:v>0.15063258000000002</x:v>
      </x:c>
      <x:c r="K5084" s="13" t="n">
        <x:f>E5084*I5084*H5084</x:f>
        <x:v>0.15306018000000005</x:v>
      </x:c>
      <x:c r="L5084" s="1" t="str">
        <x:f>TEXT(A5084,"mmm yyyy")</x:f>
        <x:v>Aug 2026</x:v>
      </x:c>
    </x:row>
    <x:row r="5085" ht="21" customHeight="1">
      <x:c r="A5085" s="10" t="n">
        <x:v>46254</x:v>
      </x:c>
      <x:c r="B5085" s="1" t="n">
        <x:v>10.5</x:v>
      </x:c>
      <x:c r="C5085" s="1" t="n">
        <x:v>6</x:v>
      </x:c>
      <x:c r="D5085" s="12" t="n">
        <x:v>0.65075</x:v>
      </x:c>
      <x:c r="E5085" s="12" t="n">
        <x:v>0.6607500000000001</x:v>
      </x:c>
      <x:c r="F5085" s="12" t="n">
        <x:v>0</x:v>
      </x:c>
      <x:c r="G5085" s="12" t="n">
        <x:v>0</x:v>
      </x:c>
      <x:c r="H5085" s="1" t="n">
        <x:f>'Historical prices'!E5085</x:f>
        <x:v>1.05</x:v>
      </x:c>
      <x:c r="I5085" s="6" t="n">
        <x:f>'Historical prices'!D5085</x:f>
        <x:v>0.2278</x:v>
      </x:c>
      <x:c r="J5085" s="13" t="n">
        <x:f>D5085*I5085*H5085</x:f>
        <x:v>0.1556528925</x:v>
      </x:c>
      <x:c r="K5085" s="13" t="n">
        <x:f>E5085*I5085*H5085</x:f>
        <x:v>0.1580447925</x:v>
      </x:c>
      <x:c r="L5085" s="1" t="str">
        <x:f>TEXT(A5085,"mmm yyyy")</x:f>
        <x:v>Aug 2026</x:v>
      </x:c>
    </x:row>
    <x:row r="5086" ht="21" customHeight="1">
      <x:c r="A5086" s="10" t="n">
        <x:v>46254</x:v>
      </x:c>
      <x:c r="B5086" s="1" t="n">
        <x:v>11</x:v>
      </x:c>
      <x:c r="C5086" s="1" t="n">
        <x:v>6</x:v>
      </x:c>
      <x:c r="D5086" s="12" t="n">
        <x:v>0.5517500000000001</x:v>
      </x:c>
      <x:c r="E5086" s="12" t="n">
        <x:v>0.5617500000000001</x:v>
      </x:c>
      <x:c r="F5086" s="12" t="n">
        <x:v>0</x:v>
      </x:c>
      <x:c r="G5086" s="12" t="n">
        <x:v>0</x:v>
      </x:c>
      <x:c r="H5086" s="1" t="n">
        <x:f>'Historical prices'!E5086</x:f>
        <x:v>1.05</x:v>
      </x:c>
      <x:c r="I5086" s="6" t="n">
        <x:f>'Historical prices'!D5086</x:f>
        <x:v>0.22949999999999998</x:v>
      </x:c>
      <x:c r="J5086" s="13" t="n">
        <x:f>D5086*I5086*H5086</x:f>
        <x:v>0.13295795625000004</x:v>
      </x:c>
      <x:c r="K5086" s="13" t="n">
        <x:f>E5086*I5086*H5086</x:f>
        <x:v>0.13536770625000002</x:v>
      </x:c>
      <x:c r="L5086" s="1" t="str">
        <x:f>TEXT(A5086,"mmm yyyy")</x:f>
        <x:v>Aug 2026</x:v>
      </x:c>
    </x:row>
    <x:row r="5087" ht="21" customHeight="1">
      <x:c r="A5087" s="10" t="n">
        <x:v>46254</x:v>
      </x:c>
      <x:c r="B5087" s="1" t="n">
        <x:v>11.5</x:v>
      </x:c>
      <x:c r="C5087" s="1" t="n">
        <x:v>6</x:v>
      </x:c>
      <x:c r="D5087" s="12" t="n">
        <x:v>0.44925</x:v>
      </x:c>
      <x:c r="E5087" s="12" t="n">
        <x:v>0.46025</x:v>
      </x:c>
      <x:c r="F5087" s="12" t="n">
        <x:v>0</x:v>
      </x:c>
      <x:c r="G5087" s="12" t="n">
        <x:v>0</x:v>
      </x:c>
      <x:c r="H5087" s="1" t="n">
        <x:f>'Historical prices'!E5087</x:f>
        <x:v>1.05</x:v>
      </x:c>
      <x:c r="I5087" s="6" t="n">
        <x:f>'Historical prices'!D5087</x:f>
        <x:v>0.2236</x:v>
      </x:c>
      <x:c r="J5087" s="13" t="n">
        <x:f>D5087*I5087*H5087</x:f>
        <x:v>0.105474915</x:v>
      </x:c>
      <x:c r="K5087" s="13" t="n">
        <x:f>E5087*I5087*H5087</x:f>
        <x:v>0.108057495</x:v>
      </x:c>
      <x:c r="L5087" s="1" t="str">
        <x:f>TEXT(A5087,"mmm yyyy")</x:f>
        <x:v>Aug 2026</x:v>
      </x:c>
    </x:row>
    <x:row r="5088" ht="21" customHeight="1">
      <x:c r="A5088" s="10" t="n">
        <x:v>46254</x:v>
      </x:c>
      <x:c r="B5088" s="1" t="n">
        <x:v>12</x:v>
      </x:c>
      <x:c r="C5088" s="1" t="n">
        <x:v>6</x:v>
      </x:c>
      <x:c r="D5088" s="12" t="n">
        <x:v>0.396</x:v>
      </x:c>
      <x:c r="E5088" s="12" t="n">
        <x:v>0.40700000000000003</x:v>
      </x:c>
      <x:c r="F5088" s="12" t="n">
        <x:v>0</x:v>
      </x:c>
      <x:c r="G5088" s="12" t="n">
        <x:v>0</x:v>
      </x:c>
      <x:c r="H5088" s="1" t="n">
        <x:f>'Historical prices'!E5088</x:f>
        <x:v>1.05</x:v>
      </x:c>
      <x:c r="I5088" s="6" t="n">
        <x:f>'Historical prices'!D5088</x:f>
        <x:v>0.22699999999999998</x:v>
      </x:c>
      <x:c r="J5088" s="13" t="n">
        <x:f>D5088*I5088*H5088</x:f>
        <x:v>0.0943866</x:v>
      </x:c>
      <x:c r="K5088" s="13" t="n">
        <x:f>E5088*I5088*H5088</x:f>
        <x:v>0.09700845</x:v>
      </x:c>
      <x:c r="L5088" s="1" t="str">
        <x:f>TEXT(A5088,"mmm yyyy")</x:f>
        <x:v>Aug 2026</x:v>
      </x:c>
    </x:row>
    <x:row r="5089" ht="21" customHeight="1">
      <x:c r="A5089" s="10" t="n">
        <x:v>46254</x:v>
      </x:c>
      <x:c r="B5089" s="1" t="n">
        <x:v>12.5</x:v>
      </x:c>
      <x:c r="C5089" s="1" t="n">
        <x:v>6</x:v>
      </x:c>
      <x:c r="D5089" s="12" t="n">
        <x:v>0.346</x:v>
      </x:c>
      <x:c r="E5089" s="12" t="n">
        <x:v>0.356</x:v>
      </x:c>
      <x:c r="F5089" s="12" t="n">
        <x:v>0</x:v>
      </x:c>
      <x:c r="G5089" s="12" t="n">
        <x:v>0</x:v>
      </x:c>
      <x:c r="H5089" s="1" t="n">
        <x:f>'Historical prices'!E5089</x:f>
        <x:v>1.05</x:v>
      </x:c>
      <x:c r="I5089" s="6" t="n">
        <x:f>'Historical prices'!D5089</x:f>
        <x:v>0.22519999999999998</x:v>
      </x:c>
      <x:c r="J5089" s="13" t="n">
        <x:f>D5089*I5089*H5089</x:f>
        <x:v>0.08181516</x:v>
      </x:c>
      <x:c r="K5089" s="13" t="n">
        <x:f>E5089*I5089*H5089</x:f>
        <x:v>0.08417975999999999</x:v>
      </x:c>
      <x:c r="L5089" s="1" t="str">
        <x:f>TEXT(A5089,"mmm yyyy")</x:f>
        <x:v>Aug 2026</x:v>
      </x:c>
    </x:row>
    <x:row r="5090" ht="21" customHeight="1">
      <x:c r="A5090" s="10" t="n">
        <x:v>46254</x:v>
      </x:c>
      <x:c r="B5090" s="1" t="n">
        <x:v>13</x:v>
      </x:c>
      <x:c r="C5090" s="1" t="n">
        <x:v>6</x:v>
      </x:c>
      <x:c r="D5090" s="12" t="n">
        <x:v>0.499</x:v>
      </x:c>
      <x:c r="E5090" s="12" t="n">
        <x:v>0.51</x:v>
      </x:c>
      <x:c r="F5090" s="12" t="n">
        <x:v>0</x:v>
      </x:c>
      <x:c r="G5090" s="12" t="n">
        <x:v>0</x:v>
      </x:c>
      <x:c r="H5090" s="1" t="n">
        <x:f>'Historical prices'!E5090</x:f>
        <x:v>1.05</x:v>
      </x:c>
      <x:c r="I5090" s="6" t="n">
        <x:f>'Historical prices'!D5090</x:f>
        <x:v>0.2254</x:v>
      </x:c>
      <x:c r="J5090" s="13" t="n">
        <x:f>D5090*I5090*H5090</x:f>
        <x:v>0.11809833</x:v>
      </x:c>
      <x:c r="K5090" s="13" t="n">
        <x:f>E5090*I5090*H5090</x:f>
        <x:v>0.12070170000000001</x:v>
      </x:c>
      <x:c r="L5090" s="1" t="str">
        <x:f>TEXT(A5090,"mmm yyyy")</x:f>
        <x:v>Aug 2026</x:v>
      </x:c>
    </x:row>
    <x:row r="5091" ht="21" customHeight="1">
      <x:c r="A5091" s="10" t="n">
        <x:v>46254</x:v>
      </x:c>
      <x:c r="B5091" s="1" t="n">
        <x:v>13.5</x:v>
      </x:c>
      <x:c r="C5091" s="1" t="n">
        <x:v>6</x:v>
      </x:c>
      <x:c r="D5091" s="12" t="n">
        <x:v>0.9155</x:v>
      </x:c>
      <x:c r="E5091" s="12" t="n">
        <x:v>0.9255</x:v>
      </x:c>
      <x:c r="F5091" s="12" t="n">
        <x:v>0</x:v>
      </x:c>
      <x:c r="G5091" s="12" t="n">
        <x:v>0</x:v>
      </x:c>
      <x:c r="H5091" s="1" t="n">
        <x:f>'Historical prices'!E5091</x:f>
        <x:v>1.05</x:v>
      </x:c>
      <x:c r="I5091" s="6" t="n">
        <x:f>'Historical prices'!D5091</x:f>
        <x:v>0.2256</x:v>
      </x:c>
      <x:c r="J5091" s="13" t="n">
        <x:f>D5091*I5091*H5091</x:f>
        <x:v>0.21686364</x:v>
      </x:c>
      <x:c r="K5091" s="13" t="n">
        <x:f>E5091*I5091*H5091</x:f>
        <x:v>0.21923244</x:v>
      </x:c>
      <x:c r="L5091" s="1" t="str">
        <x:f>TEXT(A5091,"mmm yyyy")</x:f>
        <x:v>Aug 2026</x:v>
      </x:c>
    </x:row>
    <x:row r="5092" ht="21" customHeight="1">
      <x:c r="A5092" s="10" t="n">
        <x:v>46254</x:v>
      </x:c>
      <x:c r="B5092" s="1" t="n">
        <x:v>14</x:v>
      </x:c>
      <x:c r="C5092" s="1" t="n">
        <x:v>6</x:v>
      </x:c>
      <x:c r="D5092" s="12" t="n">
        <x:v>4.5040000000000004</x:v>
      </x:c>
      <x:c r="E5092" s="12" t="n">
        <x:v>0.7430000000000001</x:v>
      </x:c>
      <x:c r="F5092" s="12" t="n">
        <x:v>0</x:v>
      </x:c>
      <x:c r="G5092" s="12" t="n">
        <x:v>3.763</x:v>
      </x:c>
      <x:c r="H5092" s="1" t="n">
        <x:f>'Historical prices'!E5092</x:f>
        <x:v>1.05</x:v>
      </x:c>
      <x:c r="I5092" s="6" t="n">
        <x:f>'Historical prices'!D5092</x:f>
        <x:v>0.2192</x:v>
      </x:c>
      <x:c r="J5092" s="13" t="n">
        <x:f>D5092*I5092*H5092</x:f>
        <x:v>1.0366406400000003</x:v>
      </x:c>
      <x:c r="K5092" s="13" t="n">
        <x:f>E5092*I5092*H5092</x:f>
        <x:v>0.17100888000000003</x:v>
      </x:c>
      <x:c r="L5092" s="1" t="str">
        <x:f>TEXT(A5092,"mmm yyyy")</x:f>
        <x:v>Aug 2026</x:v>
      </x:c>
    </x:row>
    <x:row r="5093" ht="21" customHeight="1">
      <x:c r="A5093" s="10" t="n">
        <x:v>46254</x:v>
      </x:c>
      <x:c r="B5093" s="1" t="n">
        <x:v>14.5</x:v>
      </x:c>
      <x:c r="C5093" s="1" t="n">
        <x:v>6</x:v>
      </x:c>
      <x:c r="D5093" s="12" t="n">
        <x:v>4.9857499999999995</x:v>
      </x:c>
      <x:c r="E5093" s="12" t="n">
        <x:v>0.71475</x:v>
      </x:c>
      <x:c r="F5093" s="12" t="n">
        <x:v>0</x:v>
      </x:c>
      <x:c r="G5093" s="12" t="n">
        <x:v>4.270999999999999</x:v>
      </x:c>
      <x:c r="H5093" s="1" t="n">
        <x:f>'Historical prices'!E5093</x:f>
        <x:v>1.05</x:v>
      </x:c>
      <x:c r="I5093" s="6" t="n">
        <x:f>'Historical prices'!D5093</x:f>
        <x:v>0.2177</x:v>
      </x:c>
      <x:c r="J5093" s="13" t="n">
        <x:f>D5093*I5093*H5093</x:f>
        <x:v>1.1396676637499998</x:v>
      </x:c>
      <x:c r="K5093" s="13" t="n">
        <x:f>E5093*I5093*H5093</x:f>
        <x:v>0.16338112875000002</x:v>
      </x:c>
      <x:c r="L5093" s="1" t="str">
        <x:f>TEXT(A5093,"mmm yyyy")</x:f>
        <x:v>Aug 2026</x:v>
      </x:c>
    </x:row>
    <x:row r="5094" ht="21" customHeight="1">
      <x:c r="A5094" s="10" t="n">
        <x:v>46254</x:v>
      </x:c>
      <x:c r="B5094" s="1" t="n">
        <x:v>15</x:v>
      </x:c>
      <x:c r="C5094" s="1" t="n">
        <x:v>6</x:v>
      </x:c>
      <x:c r="D5094" s="12" t="n">
        <x:v>1.2175</x:v>
      </x:c>
      <x:c r="E5094" s="12" t="n">
        <x:v>0.4915</x:v>
      </x:c>
      <x:c r="F5094" s="12" t="n">
        <x:v>0</x:v>
      </x:c>
      <x:c r="G5094" s="12" t="n">
        <x:v>0.728</x:v>
      </x:c>
      <x:c r="H5094" s="1" t="n">
        <x:f>'Historical prices'!E5094</x:f>
        <x:v>1.05</x:v>
      </x:c>
      <x:c r="I5094" s="6" t="n">
        <x:f>'Historical prices'!D5094</x:f>
        <x:v>0.2249</x:v>
      </x:c>
      <x:c r="J5094" s="13" t="n">
        <x:f>D5094*I5094*H5094</x:f>
        <x:v>0.2875065375</x:v>
      </x:c>
      <x:c r="K5094" s="13" t="n">
        <x:f>E5094*I5094*H5094</x:f>
        <x:v>0.1160652675</x:v>
      </x:c>
      <x:c r="L5094" s="1" t="str">
        <x:f>TEXT(A5094,"mmm yyyy")</x:f>
        <x:v>Aug 2026</x:v>
      </x:c>
    </x:row>
    <x:row r="5095" ht="21" customHeight="1">
      <x:c r="A5095" s="10" t="n">
        <x:v>46254</x:v>
      </x:c>
      <x:c r="B5095" s="1" t="n">
        <x:v>15.5</x:v>
      </x:c>
      <x:c r="C5095" s="1" t="n">
        <x:v>6</x:v>
      </x:c>
      <x:c r="D5095" s="12" t="n">
        <x:v>4.4315</x:v>
      </x:c>
      <x:c r="E5095" s="12" t="n">
        <x:v>0.6535</x:v>
      </x:c>
      <x:c r="F5095" s="12" t="n">
        <x:v>0</x:v>
      </x:c>
      <x:c r="G5095" s="12" t="n">
        <x:v>3.779</x:v>
      </x:c>
      <x:c r="H5095" s="1" t="n">
        <x:f>'Historical prices'!E5095</x:f>
        <x:v>1.05</x:v>
      </x:c>
      <x:c r="I5095" s="6" t="n">
        <x:f>'Historical prices'!D5095</x:f>
        <x:v>0.21780000000000002</x:v>
      </x:c>
      <x:c r="J5095" s="13" t="n">
        <x:f>D5095*I5095*H5095</x:f>
        <x:v>1.013439735</x:v>
      </x:c>
      <x:c r="K5095" s="13" t="n">
        <x:f>E5095*I5095*H5095</x:f>
        <x:v>0.149448915</x:v>
      </x:c>
      <x:c r="L5095" s="1" t="str">
        <x:f>TEXT(A5095,"mmm yyyy")</x:f>
        <x:v>Aug 2026</x:v>
      </x:c>
    </x:row>
    <x:row r="5096" ht="21" customHeight="1">
      <x:c r="A5096" s="10" t="n">
        <x:v>46254</x:v>
      </x:c>
      <x:c r="B5096" s="1" t="n">
        <x:v>16</x:v>
      </x:c>
      <x:c r="C5096" s="1" t="n">
        <x:v>6</x:v>
      </x:c>
      <x:c r="D5096" s="12" t="n">
        <x:v>0.8485</x:v>
      </x:c>
      <x:c r="E5096" s="12" t="n">
        <x:v>0.56975</x:v>
      </x:c>
      <x:c r="F5096" s="12" t="n">
        <x:v>0.4608333333333333</x:v>
      </x:c>
      <x:c r="G5096" s="12" t="n">
        <x:v>0.741</x:v>
      </x:c>
      <x:c r="H5096" s="1" t="n">
        <x:f>'Historical prices'!E5096</x:f>
        <x:v>1.05</x:v>
      </x:c>
      <x:c r="I5096" s="6" t="n">
        <x:f>'Historical prices'!D5096</x:f>
        <x:v>0.3281</x:v>
      </x:c>
      <x:c r="J5096" s="13" t="n">
        <x:f>D5096*I5096*H5096</x:f>
        <x:v>0.2923124925</x:v>
      </x:c>
      <x:c r="K5096" s="13" t="n">
        <x:f>E5096*I5096*H5096</x:f>
        <x:v>0.19628172375</x:v>
      </x:c>
      <x:c r="L5096" s="1" t="str">
        <x:f>TEXT(A5096,"mmm yyyy")</x:f>
        <x:v>Aug 2026</x:v>
      </x:c>
    </x:row>
    <x:row r="5097" ht="21" customHeight="1">
      <x:c r="A5097" s="10" t="n">
        <x:v>46254</x:v>
      </x:c>
      <x:c r="B5097" s="1" t="n">
        <x:v>16.5</x:v>
      </x:c>
      <x:c r="C5097" s="1" t="n">
        <x:v>6</x:v>
      </x:c>
      <x:c r="D5097" s="12" t="n">
        <x:v>0</x:v>
      </x:c>
      <x:c r="E5097" s="12" t="n">
        <x:v>0.5529166666666666</x:v>
      </x:c>
      <x:c r="F5097" s="12" t="n">
        <x:v>0.5523333333333333</x:v>
      </x:c>
      <x:c r="G5097" s="12" t="n">
        <x:v>0</x:v>
      </x:c>
      <x:c r="H5097" s="1" t="n">
        <x:f>'Historical prices'!E5097</x:f>
        <x:v>1.05</x:v>
      </x:c>
      <x:c r="I5097" s="6" t="n">
        <x:f>'Historical prices'!D5097</x:f>
        <x:v>0.34490000000000004</x:v>
      </x:c>
      <x:c r="J5097" s="13" t="n">
        <x:f>D5097*I5097*H5097</x:f>
        <x:v>0</x:v>
      </x:c>
      <x:c r="K5097" s="13" t="n">
        <x:f>E5097*I5097*H5097</x:f>
        <x:v>0.20023600625000001</x:v>
      </x:c>
      <x:c r="L5097" s="1" t="str">
        <x:f>TEXT(A5097,"mmm yyyy")</x:f>
        <x:v>Aug 2026</x:v>
      </x:c>
    </x:row>
    <x:row r="5098" ht="21" customHeight="1">
      <x:c r="A5098" s="10" t="n">
        <x:v>46254</x:v>
      </x:c>
      <x:c r="B5098" s="1" t="n">
        <x:v>17</x:v>
      </x:c>
      <x:c r="C5098" s="1" t="n">
        <x:v>6</x:v>
      </x:c>
      <x:c r="D5098" s="12" t="n">
        <x:v>0</x:v>
      </x:c>
      <x:c r="E5098" s="12" t="n">
        <x:v>0.42741666666666667</x:v>
      </x:c>
      <x:c r="F5098" s="12" t="n">
        <x:v>0.42683333333333334</x:v>
      </x:c>
      <x:c r="G5098" s="12" t="n">
        <x:v>0</x:v>
      </x:c>
      <x:c r="H5098" s="1" t="n">
        <x:f>'Historical prices'!E5098</x:f>
        <x:v>1.05</x:v>
      </x:c>
      <x:c r="I5098" s="6" t="n">
        <x:f>'Historical prices'!D5098</x:f>
        <x:v>0.3686</x:v>
      </x:c>
      <x:c r="J5098" s="13" t="n">
        <x:f>D5098*I5098*H5098</x:f>
        <x:v>0</x:v>
      </x:c>
      <x:c r="K5098" s="13" t="n">
        <x:f>E5098*I5098*H5098</x:f>
        <x:v>0.1654230725</x:v>
      </x:c>
      <x:c r="L5098" s="1" t="str">
        <x:f>TEXT(A5098,"mmm yyyy")</x:f>
        <x:v>Aug 2026</x:v>
      </x:c>
    </x:row>
    <x:row r="5099" ht="21" customHeight="1">
      <x:c r="A5099" s="10" t="n">
        <x:v>46254</x:v>
      </x:c>
      <x:c r="B5099" s="1" t="n">
        <x:v>17.5</x:v>
      </x:c>
      <x:c r="C5099" s="1" t="n">
        <x:v>6</x:v>
      </x:c>
      <x:c r="D5099" s="12" t="n">
        <x:v>0</x:v>
      </x:c>
      <x:c r="E5099" s="12" t="n">
        <x:v>0.5704166666666667</x:v>
      </x:c>
      <x:c r="F5099" s="12" t="n">
        <x:v>0.5701666666666667</x:v>
      </x:c>
      <x:c r="G5099" s="12" t="n">
        <x:v>0</x:v>
      </x:c>
      <x:c r="H5099" s="1" t="n">
        <x:f>'Historical prices'!E5099</x:f>
        <x:v>1.05</x:v>
      </x:c>
      <x:c r="I5099" s="6" t="n">
        <x:f>'Historical prices'!D5099</x:f>
        <x:v>0.38520000000000004</x:v>
      </x:c>
      <x:c r="J5099" s="13" t="n">
        <x:f>D5099*I5099*H5099</x:f>
        <x:v>0</x:v>
      </x:c>
      <x:c r="K5099" s="13" t="n">
        <x:f>E5099*I5099*H5099</x:f>
        <x:v>0.23071072500000003</x:v>
      </x:c>
      <x:c r="L5099" s="1" t="str">
        <x:f>TEXT(A5099,"mmm yyyy")</x:f>
        <x:v>Aug 2026</x:v>
      </x:c>
    </x:row>
    <x:row r="5100" ht="21" customHeight="1">
      <x:c r="A5100" s="10" t="n">
        <x:v>46254</x:v>
      </x:c>
      <x:c r="B5100" s="1" t="n">
        <x:v>18</x:v>
      </x:c>
      <x:c r="C5100" s="1" t="n">
        <x:v>6</x:v>
      </x:c>
      <x:c r="D5100" s="12" t="n">
        <x:v>0</x:v>
      </x:c>
      <x:c r="E5100" s="12" t="n">
        <x:v>0.47583333333333333</x:v>
      </x:c>
      <x:c r="F5100" s="12" t="n">
        <x:v>0.4756666666666667</x:v>
      </x:c>
      <x:c r="G5100" s="12" t="n">
        <x:v>0</x:v>
      </x:c>
      <x:c r="H5100" s="1" t="n">
        <x:f>'Historical prices'!E5100</x:f>
        <x:v>1.05</x:v>
      </x:c>
      <x:c r="I5100" s="6" t="n">
        <x:f>'Historical prices'!D5100</x:f>
        <x:v>0.40159999999999996</x:v>
      </x:c>
      <x:c r="J5100" s="13" t="n">
        <x:f>D5100*I5100*H5100</x:f>
        <x:v>0</x:v>
      </x:c>
      <x:c r="K5100" s="13" t="n">
        <x:f>E5100*I5100*H5100</x:f>
        <x:v>0.20064939999999998</x:v>
      </x:c>
      <x:c r="L5100" s="1" t="str">
        <x:f>TEXT(A5100,"mmm yyyy")</x:f>
        <x:v>Aug 2026</x:v>
      </x:c>
    </x:row>
    <x:row r="5101" ht="21" customHeight="1">
      <x:c r="A5101" s="10" t="n">
        <x:v>46254</x:v>
      </x:c>
      <x:c r="B5101" s="1" t="n">
        <x:v>18.5</x:v>
      </x:c>
      <x:c r="C5101" s="1" t="n">
        <x:v>6</x:v>
      </x:c>
      <x:c r="D5101" s="12" t="n">
        <x:v>0</x:v>
      </x:c>
      <x:c r="E5101" s="12" t="n">
        <x:v>0.7895</x:v>
      </x:c>
      <x:c r="F5101" s="12" t="n">
        <x:v>0.7885833333333334</x:v>
      </x:c>
      <x:c r="G5101" s="12" t="n">
        <x:v>0</x:v>
      </x:c>
      <x:c r="H5101" s="1" t="n">
        <x:f>'Historical prices'!E5101</x:f>
        <x:v>1.05</x:v>
      </x:c>
      <x:c r="I5101" s="6" t="n">
        <x:f>'Historical prices'!D5101</x:f>
        <x:v>0.4121</x:v>
      </x:c>
      <x:c r="J5101" s="13" t="n">
        <x:f>D5101*I5101*H5101</x:f>
        <x:v>0</x:v>
      </x:c>
      <x:c r="K5101" s="13" t="n">
        <x:f>E5101*I5101*H5101</x:f>
        <x:v>0.34162059750000007</x:v>
      </x:c>
      <x:c r="L5101" s="1" t="str">
        <x:f>TEXT(A5101,"mmm yyyy")</x:f>
        <x:v>Aug 2026</x:v>
      </x:c>
    </x:row>
    <x:row r="5102" ht="21" customHeight="1">
      <x:c r="A5102" s="10" t="n">
        <x:v>46254</x:v>
      </x:c>
      <x:c r="B5102" s="1" t="n">
        <x:v>19</x:v>
      </x:c>
      <x:c r="C5102" s="1" t="n">
        <x:v>6</x:v>
      </x:c>
      <x:c r="D5102" s="12" t="n">
        <x:v>0</x:v>
      </x:c>
      <x:c r="E5102" s="12" t="n">
        <x:v>0.7199166666666666</x:v>
      </x:c>
      <x:c r="F5102" s="12" t="n">
        <x:v>0.7194166666666666</x:v>
      </x:c>
      <x:c r="G5102" s="12" t="n">
        <x:v>0</x:v>
      </x:c>
      <x:c r="H5102" s="1" t="n">
        <x:f>'Historical prices'!E5102</x:f>
        <x:v>1.05</x:v>
      </x:c>
      <x:c r="I5102" s="6" t="n">
        <x:f>'Historical prices'!D5102</x:f>
        <x:v>0.3098</x:v>
      </x:c>
      <x:c r="J5102" s="13" t="n">
        <x:f>D5102*I5102*H5102</x:f>
        <x:v>0</x:v>
      </x:c>
      <x:c r="K5102" s="13" t="n">
        <x:f>E5102*I5102*H5102</x:f>
        <x:v>0.23418169250000004</x:v>
      </x:c>
      <x:c r="L5102" s="1" t="str">
        <x:f>TEXT(A5102,"mmm yyyy")</x:f>
        <x:v>Aug 2026</x:v>
      </x:c>
    </x:row>
    <x:row r="5103" ht="21" customHeight="1">
      <x:c r="A5103" s="10" t="n">
        <x:v>46254</x:v>
      </x:c>
      <x:c r="B5103" s="1" t="n">
        <x:v>19.5</x:v>
      </x:c>
      <x:c r="C5103" s="1" t="n">
        <x:v>6</x:v>
      </x:c>
      <x:c r="D5103" s="12" t="n">
        <x:v>0</x:v>
      </x:c>
      <x:c r="E5103" s="12" t="n">
        <x:v>0.8469166666666667</x:v>
      </x:c>
      <x:c r="F5103" s="12" t="n">
        <x:v>0.8466666666666667</x:v>
      </x:c>
      <x:c r="G5103" s="12" t="n">
        <x:v>0</x:v>
      </x:c>
      <x:c r="H5103" s="1" t="n">
        <x:f>'Historical prices'!E5103</x:f>
        <x:v>1.05</x:v>
      </x:c>
      <x:c r="I5103" s="6" t="n">
        <x:f>'Historical prices'!D5103</x:f>
        <x:v>0.3121</x:v>
      </x:c>
      <x:c r="J5103" s="13" t="n">
        <x:f>D5103*I5103*H5103</x:f>
        <x:v>0</x:v>
      </x:c>
      <x:c r="K5103" s="13" t="n">
        <x:f>E5103*I5103*H5103</x:f>
        <x:v>0.27753882625000004</x:v>
      </x:c>
      <x:c r="L5103" s="1" t="str">
        <x:f>TEXT(A5103,"mmm yyyy")</x:f>
        <x:v>Aug 2026</x:v>
      </x:c>
    </x:row>
    <x:row r="5104" ht="21" customHeight="1">
      <x:c r="A5104" s="10" t="n">
        <x:v>46254</x:v>
      </x:c>
      <x:c r="B5104" s="1" t="n">
        <x:v>20</x:v>
      </x:c>
      <x:c r="C5104" s="1" t="n">
        <x:v>6</x:v>
      </x:c>
      <x:c r="D5104" s="12" t="n">
        <x:v>0</x:v>
      </x:c>
      <x:c r="E5104" s="12" t="n">
        <x:v>0.5488333333333333</x:v>
      </x:c>
      <x:c r="F5104" s="12" t="n">
        <x:v>0.5484999999999999</x:v>
      </x:c>
      <x:c r="G5104" s="12" t="n">
        <x:v>0</x:v>
      </x:c>
      <x:c r="H5104" s="1" t="n">
        <x:f>'Historical prices'!E5104</x:f>
        <x:v>1.05</x:v>
      </x:c>
      <x:c r="I5104" s="6" t="n">
        <x:f>'Historical prices'!D5104</x:f>
        <x:v>0.3139</x:v>
      </x:c>
      <x:c r="J5104" s="13" t="n">
        <x:f>D5104*I5104*H5104</x:f>
        <x:v>0</x:v>
      </x:c>
      <x:c r="K5104" s="13" t="n">
        <x:f>E5104*I5104*H5104</x:f>
        <x:v>0.1808927225</x:v>
      </x:c>
      <x:c r="L5104" s="1" t="str">
        <x:f>TEXT(A5104,"mmm yyyy")</x:f>
        <x:v>Aug 2026</x:v>
      </x:c>
    </x:row>
    <x:row r="5105" ht="21" customHeight="1">
      <x:c r="A5105" s="10" t="n">
        <x:v>46254</x:v>
      </x:c>
      <x:c r="B5105" s="1" t="n">
        <x:v>20.5</x:v>
      </x:c>
      <x:c r="C5105" s="1" t="n">
        <x:v>6</x:v>
      </x:c>
      <x:c r="D5105" s="12" t="n">
        <x:v>0</x:v>
      </x:c>
      <x:c r="E5105" s="12" t="n">
        <x:v>0.5625</x:v>
      </x:c>
      <x:c r="F5105" s="12" t="n">
        <x:v>0.5623333333333334</x:v>
      </x:c>
      <x:c r="G5105" s="12" t="n">
        <x:v>0</x:v>
      </x:c>
      <x:c r="H5105" s="1" t="n">
        <x:f>'Historical prices'!E5105</x:f>
        <x:v>1.05</x:v>
      </x:c>
      <x:c r="I5105" s="6" t="n">
        <x:f>'Historical prices'!D5105</x:f>
        <x:v>0.3189</x:v>
      </x:c>
      <x:c r="J5105" s="13" t="n">
        <x:f>D5105*I5105*H5105</x:f>
        <x:v>0</x:v>
      </x:c>
      <x:c r="K5105" s="13" t="n">
        <x:f>E5105*I5105*H5105</x:f>
        <x:v>0.18835031250000003</x:v>
      </x:c>
      <x:c r="L5105" s="1" t="str">
        <x:f>TEXT(A5105,"mmm yyyy")</x:f>
        <x:v>Aug 2026</x:v>
      </x:c>
    </x:row>
    <x:row r="5106" ht="21" customHeight="1">
      <x:c r="A5106" s="10" t="n">
        <x:v>46254</x:v>
      </x:c>
      <x:c r="B5106" s="1" t="n">
        <x:v>21</x:v>
      </x:c>
      <x:c r="C5106" s="1" t="n">
        <x:v>6</x:v>
      </x:c>
      <x:c r="D5106" s="12" t="n">
        <x:v>0</x:v>
      </x:c>
      <x:c r="E5106" s="12" t="n">
        <x:v>0.5644166666666667</x:v>
      </x:c>
      <x:c r="F5106" s="12" t="n">
        <x:v>0.5642499999999999</x:v>
      </x:c>
      <x:c r="G5106" s="12" t="n">
        <x:v>0</x:v>
      </x:c>
      <x:c r="H5106" s="1" t="n">
        <x:f>'Historical prices'!E5106</x:f>
        <x:v>1.05</x:v>
      </x:c>
      <x:c r="I5106" s="6" t="n">
        <x:f>'Historical prices'!D5106</x:f>
        <x:v>0.3171</x:v>
      </x:c>
      <x:c r="J5106" s="13" t="n">
        <x:f>D5106*I5106*H5106</x:f>
        <x:v>0</x:v>
      </x:c>
      <x:c r="K5106" s="13" t="n">
        <x:f>E5106*I5106*H5106</x:f>
        <x:v>0.18792535125</x:v>
      </x:c>
      <x:c r="L5106" s="1" t="str">
        <x:f>TEXT(A5106,"mmm yyyy")</x:f>
        <x:v>Aug 2026</x:v>
      </x:c>
    </x:row>
    <x:row r="5107" ht="21" customHeight="1">
      <x:c r="A5107" s="10" t="n">
        <x:v>46254</x:v>
      </x:c>
      <x:c r="B5107" s="1" t="n">
        <x:v>21.5</x:v>
      </x:c>
      <x:c r="C5107" s="1" t="n">
        <x:v>6</x:v>
      </x:c>
      <x:c r="D5107" s="12" t="n">
        <x:v>0</x:v>
      </x:c>
      <x:c r="E5107" s="12" t="n">
        <x:v>0.8467499999999999</x:v>
      </x:c>
      <x:c r="F5107" s="12" t="n">
        <x:v>0.8461666666666666</x:v>
      </x:c>
      <x:c r="G5107" s="12" t="n">
        <x:v>0</x:v>
      </x:c>
      <x:c r="H5107" s="1" t="n">
        <x:f>'Historical prices'!E5107</x:f>
        <x:v>1.05</x:v>
      </x:c>
      <x:c r="I5107" s="6" t="n">
        <x:f>'Historical prices'!D5107</x:f>
        <x:v>0.3145</x:v>
      </x:c>
      <x:c r="J5107" s="13" t="n">
        <x:f>D5107*I5107*H5107</x:f>
        <x:v>0</x:v>
      </x:c>
      <x:c r="K5107" s="13" t="n">
        <x:f>E5107*I5107*H5107</x:f>
        <x:v>0.27961801875000003</x:v>
      </x:c>
      <x:c r="L5107" s="1" t="str">
        <x:f>TEXT(A5107,"mmm yyyy")</x:f>
        <x:v>Aug 2026</x:v>
      </x:c>
    </x:row>
    <x:row r="5108" ht="21" customHeight="1">
      <x:c r="A5108" s="10" t="n">
        <x:v>46254</x:v>
      </x:c>
      <x:c r="B5108" s="1" t="n">
        <x:v>22</x:v>
      </x:c>
      <x:c r="C5108" s="1" t="n">
        <x:v>6</x:v>
      </x:c>
      <x:c r="D5108" s="12" t="n">
        <x:v>0</x:v>
      </x:c>
      <x:c r="E5108" s="12" t="n">
        <x:v>0.33599999999999997</x:v>
      </x:c>
      <x:c r="F5108" s="12" t="n">
        <x:v>0.33524999999999994</x:v>
      </x:c>
      <x:c r="G5108" s="12" t="n">
        <x:v>0</x:v>
      </x:c>
      <x:c r="H5108" s="1" t="n">
        <x:f>'Historical prices'!E5108</x:f>
        <x:v>1.05</x:v>
      </x:c>
      <x:c r="I5108" s="6" t="n">
        <x:f>'Historical prices'!D5108</x:f>
        <x:v>0.2912</x:v>
      </x:c>
      <x:c r="J5108" s="13" t="n">
        <x:f>D5108*I5108*H5108</x:f>
        <x:v>0</x:v>
      </x:c>
      <x:c r="K5108" s="13" t="n">
        <x:f>E5108*I5108*H5108</x:f>
        <x:v>0.10273536</x:v>
      </x:c>
      <x:c r="L5108" s="1" t="str">
        <x:f>TEXT(A5108,"mmm yyyy")</x:f>
        <x:v>Aug 2026</x:v>
      </x:c>
    </x:row>
    <x:row r="5109" ht="21" customHeight="1">
      <x:c r="A5109" s="10" t="n">
        <x:v>46254</x:v>
      </x:c>
      <x:c r="B5109" s="1" t="n">
        <x:v>22.5</x:v>
      </x:c>
      <x:c r="C5109" s="1" t="n">
        <x:v>6</x:v>
      </x:c>
      <x:c r="D5109" s="12" t="n">
        <x:v>0.17975000000000002</x:v>
      </x:c>
      <x:c r="E5109" s="12" t="n">
        <x:v>0.2335</x:v>
      </x:c>
      <x:c r="F5109" s="12" t="n">
        <x:v>0.04475</x:v>
      </x:c>
      <x:c r="G5109" s="12" t="n">
        <x:v>0</x:v>
      </x:c>
      <x:c r="H5109" s="1" t="n">
        <x:f>'Historical prices'!E5109</x:f>
        <x:v>1.05</x:v>
      </x:c>
      <x:c r="I5109" s="6" t="n">
        <x:f>'Historical prices'!D5109</x:f>
        <x:v>0.27649999999999997</x:v>
      </x:c>
      <x:c r="J5109" s="13" t="n">
        <x:f>D5109*I5109*H5109</x:f>
        <x:v>0.05218591875</x:v>
      </x:c>
      <x:c r="K5109" s="13" t="n">
        <x:f>E5109*I5109*H5109</x:f>
        <x:v>0.06779088750000001</x:v>
      </x:c>
      <x:c r="L5109" s="1" t="str">
        <x:f>TEXT(A5109,"mmm yyyy")</x:f>
        <x:v>Aug 2026</x:v>
      </x:c>
    </x:row>
    <x:row r="5110" ht="21" customHeight="1">
      <x:c r="A5110" s="10" t="n">
        <x:v>46254</x:v>
      </x:c>
      <x:c r="B5110" s="1" t="n">
        <x:v>23</x:v>
      </x:c>
      <x:c r="C5110" s="1" t="n">
        <x:v>6</x:v>
      </x:c>
      <x:c r="D5110" s="12" t="n">
        <x:v>0.22250000000000003</x:v>
      </x:c>
      <x:c r="E5110" s="12" t="n">
        <x:v>0.23350000000000004</x:v>
      </x:c>
      <x:c r="F5110" s="12" t="n">
        <x:v>0</x:v>
      </x:c>
      <x:c r="G5110" s="12" t="n">
        <x:v>0</x:v>
      </x:c>
      <x:c r="H5110" s="1" t="n">
        <x:f>'Historical prices'!E5110</x:f>
        <x:v>1.05</x:v>
      </x:c>
      <x:c r="I5110" s="6" t="n">
        <x:f>'Historical prices'!D5110</x:f>
        <x:v>0.2692</x:v>
      </x:c>
      <x:c r="J5110" s="13" t="n">
        <x:f>D5110*I5110*H5110</x:f>
        <x:v>0.06289185000000001</x:v>
      </x:c>
      <x:c r="K5110" s="13" t="n">
        <x:f>E5110*I5110*H5110</x:f>
        <x:v>0.06600111</x:v>
      </x:c>
      <x:c r="L5110" s="1" t="str">
        <x:f>TEXT(A5110,"mmm yyyy")</x:f>
        <x:v>Aug 2026</x:v>
      </x:c>
    </x:row>
    <x:row r="5111" ht="21" customHeight="1">
      <x:c r="A5111" s="10" t="n">
        <x:v>46254</x:v>
      </x:c>
      <x:c r="B5111" s="1" t="n">
        <x:v>23.5</x:v>
      </x:c>
      <x:c r="C5111" s="1" t="n">
        <x:v>6</x:v>
      </x:c>
      <x:c r="D5111" s="12" t="n">
        <x:v>0.255</x:v>
      </x:c>
      <x:c r="E5111" s="12" t="n">
        <x:v>0.266</x:v>
      </x:c>
      <x:c r="F5111" s="12" t="n">
        <x:v>0</x:v>
      </x:c>
      <x:c r="G5111" s="12" t="n">
        <x:v>0</x:v>
      </x:c>
      <x:c r="H5111" s="1" t="n">
        <x:f>'Historical prices'!E5111</x:f>
        <x:v>1.05</x:v>
      </x:c>
      <x:c r="I5111" s="6" t="n">
        <x:f>'Historical prices'!D5111</x:f>
        <x:v>0.2732</x:v>
      </x:c>
      <x:c r="J5111" s="13" t="n">
        <x:f>D5111*I5111*H5111</x:f>
        <x:v>0.07314930000000001</x:v>
      </x:c>
      <x:c r="K5111" s="13" t="n">
        <x:f>E5111*I5111*H5111</x:f>
        <x:v>0.07630476000000001</x:v>
      </x:c>
      <x:c r="L5111" s="1" t="str">
        <x:f>TEXT(A5111,"mmm yyyy")</x:f>
        <x:v>Aug 2026</x:v>
      </x:c>
    </x:row>
    <x:row r="5112" ht="21" customHeight="1">
      <x:c r="A5112" s="10" t="n">
        <x:v>46255</x:v>
      </x:c>
      <x:c r="B5112" s="1" t="n">
        <x:v>0</x:v>
      </x:c>
      <x:c r="C5112" s="1" t="n">
        <x:v>6</x:v>
      </x:c>
      <x:c r="D5112" s="12" t="n">
        <x:v>0.1785</x:v>
      </x:c>
      <x:c r="E5112" s="12" t="n">
        <x:v>0.1895</x:v>
      </x:c>
      <x:c r="F5112" s="12" t="n">
        <x:v>0</x:v>
      </x:c>
      <x:c r="G5112" s="12" t="n">
        <x:v>0</x:v>
      </x:c>
      <x:c r="H5112" s="1" t="n">
        <x:f>'Historical prices'!E5112</x:f>
        <x:v>1.05</x:v>
      </x:c>
      <x:c r="I5112" s="6" t="n">
        <x:f>'Historical prices'!D5112</x:f>
        <x:v>0.2541</x:v>
      </x:c>
      <x:c r="J5112" s="13" t="n">
        <x:f>D5112*I5112*H5112</x:f>
        <x:v>0.047624692499999996</x:v>
      </x:c>
      <x:c r="K5112" s="13" t="n">
        <x:f>E5112*I5112*H5112</x:f>
        <x:v>0.0505595475</x:v>
      </x:c>
      <x:c r="L5112" s="1" t="str">
        <x:f>TEXT(A5112,"mmm yyyy")</x:f>
        <x:v>Aug 2026</x:v>
      </x:c>
    </x:row>
    <x:row r="5113" ht="21" customHeight="1">
      <x:c r="A5113" s="10" t="n">
        <x:v>46255</x:v>
      </x:c>
      <x:c r="B5113" s="1" t="n">
        <x:v>0.5</x:v>
      </x:c>
      <x:c r="C5113" s="1" t="n">
        <x:v>6</x:v>
      </x:c>
      <x:c r="D5113" s="12" t="n">
        <x:v>0.17475000000000002</x:v>
      </x:c>
      <x:c r="E5113" s="12" t="n">
        <x:v>0.18475</x:v>
      </x:c>
      <x:c r="F5113" s="12" t="n">
        <x:v>0</x:v>
      </x:c>
      <x:c r="G5113" s="12" t="n">
        <x:v>0</x:v>
      </x:c>
      <x:c r="H5113" s="1" t="n">
        <x:f>'Historical prices'!E5113</x:f>
        <x:v>1.05</x:v>
      </x:c>
      <x:c r="I5113" s="6" t="n">
        <x:f>'Historical prices'!D5113</x:f>
        <x:v>0.2518</x:v>
      </x:c>
      <x:c r="J5113" s="13" t="n">
        <x:f>D5113*I5113*H5113</x:f>
        <x:v>0.04620215250000001</x:v>
      </x:c>
      <x:c r="K5113" s="13" t="n">
        <x:f>E5113*I5113*H5113</x:f>
        <x:v>0.04884605250000001</x:v>
      </x:c>
      <x:c r="L5113" s="1" t="str">
        <x:f>TEXT(A5113,"mmm yyyy")</x:f>
        <x:v>Aug 2026</x:v>
      </x:c>
    </x:row>
    <x:row r="5114" ht="21" customHeight="1">
      <x:c r="A5114" s="10" t="n">
        <x:v>46255</x:v>
      </x:c>
      <x:c r="B5114" s="1" t="n">
        <x:v>1</x:v>
      </x:c>
      <x:c r="C5114" s="1" t="n">
        <x:v>6</x:v>
      </x:c>
      <x:c r="D5114" s="12" t="n">
        <x:v>0.16549999999999998</x:v>
      </x:c>
      <x:c r="E5114" s="12" t="n">
        <x:v>0.1755</x:v>
      </x:c>
      <x:c r="F5114" s="12" t="n">
        <x:v>0</x:v>
      </x:c>
      <x:c r="G5114" s="12" t="n">
        <x:v>0</x:v>
      </x:c>
      <x:c r="H5114" s="1" t="n">
        <x:f>'Historical prices'!E5114</x:f>
        <x:v>1.05</x:v>
      </x:c>
      <x:c r="I5114" s="6" t="n">
        <x:f>'Historical prices'!D5114</x:f>
        <x:v>0.24739999999999998</x:v>
      </x:c>
      <x:c r="J5114" s="13" t="n">
        <x:f>D5114*I5114*H5114</x:f>
        <x:v>0.042991934999999995</x:v>
      </x:c>
      <x:c r="K5114" s="13" t="n">
        <x:f>E5114*I5114*H5114</x:f>
        <x:v>0.04558963499999999</x:v>
      </x:c>
      <x:c r="L5114" s="1" t="str">
        <x:f>TEXT(A5114,"mmm yyyy")</x:f>
        <x:v>Aug 2026</x:v>
      </x:c>
    </x:row>
    <x:row r="5115" ht="21" customHeight="1">
      <x:c r="A5115" s="10" t="n">
        <x:v>46255</x:v>
      </x:c>
      <x:c r="B5115" s="1" t="n">
        <x:v>1.5</x:v>
      </x:c>
      <x:c r="C5115" s="1" t="n">
        <x:v>6</x:v>
      </x:c>
      <x:c r="D5115" s="12" t="n">
        <x:v>0.21025000000000002</x:v>
      </x:c>
      <x:c r="E5115" s="12" t="n">
        <x:v>0.22125000000000003</x:v>
      </x:c>
      <x:c r="F5115" s="12" t="n">
        <x:v>0</x:v>
      </x:c>
      <x:c r="G5115" s="12" t="n">
        <x:v>0</x:v>
      </x:c>
      <x:c r="H5115" s="1" t="n">
        <x:f>'Historical prices'!E5115</x:f>
        <x:v>1.05</x:v>
      </x:c>
      <x:c r="I5115" s="6" t="n">
        <x:f>'Historical prices'!D5115</x:f>
        <x:v>0.2486</x:v>
      </x:c>
      <x:c r="J5115" s="13" t="n">
        <x:f>D5115*I5115*H5115</x:f>
        <x:v>0.054881557500000004</x:v>
      </x:c>
      <x:c r="K5115" s="13" t="n">
        <x:f>E5115*I5115*H5115</x:f>
        <x:v>0.0577528875</x:v>
      </x:c>
      <x:c r="L5115" s="1" t="str">
        <x:f>TEXT(A5115,"mmm yyyy")</x:f>
        <x:v>Aug 2026</x:v>
      </x:c>
    </x:row>
    <x:row r="5116" ht="21" customHeight="1">
      <x:c r="A5116" s="10" t="n">
        <x:v>46255</x:v>
      </x:c>
      <x:c r="B5116" s="1" t="n">
        <x:v>2</x:v>
      </x:c>
      <x:c r="C5116" s="1" t="n">
        <x:v>6</x:v>
      </x:c>
      <x:c r="D5116" s="12" t="n">
        <x:v>0.2805</x:v>
      </x:c>
      <x:c r="E5116" s="12" t="n">
        <x:v>0.29150000000000004</x:v>
      </x:c>
      <x:c r="F5116" s="12" t="n">
        <x:v>0</x:v>
      </x:c>
      <x:c r="G5116" s="12" t="n">
        <x:v>0</x:v>
      </x:c>
      <x:c r="H5116" s="1" t="n">
        <x:f>'Historical prices'!E5116</x:f>
        <x:v>1.05</x:v>
      </x:c>
      <x:c r="I5116" s="6" t="n">
        <x:f>'Historical prices'!D5116</x:f>
        <x:v>0.2473</x:v>
      </x:c>
      <x:c r="J5116" s="13" t="n">
        <x:f>D5116*I5116*H5116</x:f>
        <x:v>0.07283603250000001</x:v>
      </x:c>
      <x:c r="K5116" s="13" t="n">
        <x:f>E5116*I5116*H5116</x:f>
        <x:v>0.07569234750000002</x:v>
      </x:c>
      <x:c r="L5116" s="1" t="str">
        <x:f>TEXT(A5116,"mmm yyyy")</x:f>
        <x:v>Aug 2026</x:v>
      </x:c>
    </x:row>
    <x:row r="5117" ht="21" customHeight="1">
      <x:c r="A5117" s="10" t="n">
        <x:v>46255</x:v>
      </x:c>
      <x:c r="B5117" s="1" t="n">
        <x:v>2.5</x:v>
      </x:c>
      <x:c r="C5117" s="1" t="n">
        <x:v>6</x:v>
      </x:c>
      <x:c r="D5117" s="12" t="n">
        <x:v>0.15925</x:v>
      </x:c>
      <x:c r="E5117" s="12" t="n">
        <x:v>0.16924999999999998</x:v>
      </x:c>
      <x:c r="F5117" s="12" t="n">
        <x:v>0</x:v>
      </x:c>
      <x:c r="G5117" s="12" t="n">
        <x:v>0</x:v>
      </x:c>
      <x:c r="H5117" s="1" t="n">
        <x:f>'Historical prices'!E5117</x:f>
        <x:v>1.05</x:v>
      </x:c>
      <x:c r="I5117" s="6" t="n">
        <x:f>'Historical prices'!D5117</x:f>
        <x:v>0.2425</x:v>
      </x:c>
      <x:c r="J5117" s="13" t="n">
        <x:f>D5117*I5117*H5117</x:f>
        <x:v>0.04054903125</x:v>
      </x:c>
      <x:c r="K5117" s="13" t="n">
        <x:f>E5117*I5117*H5117</x:f>
        <x:v>0.04309528124999999</x:v>
      </x:c>
      <x:c r="L5117" s="1" t="str">
        <x:f>TEXT(A5117,"mmm yyyy")</x:f>
        <x:v>Aug 2026</x:v>
      </x:c>
    </x:row>
    <x:row r="5118" ht="21" customHeight="1">
      <x:c r="A5118" s="10" t="n">
        <x:v>46255</x:v>
      </x:c>
      <x:c r="B5118" s="1" t="n">
        <x:v>3</x:v>
      </x:c>
      <x:c r="C5118" s="1" t="n">
        <x:v>6</x:v>
      </x:c>
      <x:c r="D5118" s="12" t="n">
        <x:v>0.19575</x:v>
      </x:c>
      <x:c r="E5118" s="12" t="n">
        <x:v>0.20575000000000002</x:v>
      </x:c>
      <x:c r="F5118" s="12" t="n">
        <x:v>0</x:v>
      </x:c>
      <x:c r="G5118" s="12" t="n">
        <x:v>0</x:v>
      </x:c>
      <x:c r="H5118" s="1" t="n">
        <x:f>'Historical prices'!E5118</x:f>
        <x:v>1.05</x:v>
      </x:c>
      <x:c r="I5118" s="6" t="n">
        <x:f>'Historical prices'!D5118</x:f>
        <x:v>0.24600000000000002</x:v>
      </x:c>
      <x:c r="J5118" s="13" t="n">
        <x:f>D5118*I5118*H5118</x:f>
        <x:v>0.05056222500000001</x:v>
      </x:c>
      <x:c r="K5118" s="13" t="n">
        <x:f>E5118*I5118*H5118</x:f>
        <x:v>0.05314522500000001</x:v>
      </x:c>
      <x:c r="L5118" s="1" t="str">
        <x:f>TEXT(A5118,"mmm yyyy")</x:f>
        <x:v>Aug 2026</x:v>
      </x:c>
    </x:row>
    <x:row r="5119" ht="21" customHeight="1">
      <x:c r="A5119" s="10" t="n">
        <x:v>46255</x:v>
      </x:c>
      <x:c r="B5119" s="1" t="n">
        <x:v>3.5</x:v>
      </x:c>
      <x:c r="C5119" s="1" t="n">
        <x:v>6</x:v>
      </x:c>
      <x:c r="D5119" s="12" t="n">
        <x:v>0.1715</x:v>
      </x:c>
      <x:c r="E5119" s="12" t="n">
        <x:v>0.1825</x:v>
      </x:c>
      <x:c r="F5119" s="12" t="n">
        <x:v>0</x:v>
      </x:c>
      <x:c r="G5119" s="12" t="n">
        <x:v>0</x:v>
      </x:c>
      <x:c r="H5119" s="1" t="n">
        <x:f>'Historical prices'!E5119</x:f>
        <x:v>1.05</x:v>
      </x:c>
      <x:c r="I5119" s="6" t="n">
        <x:f>'Historical prices'!D5119</x:f>
        <x:v>0.2416</x:v>
      </x:c>
      <x:c r="J5119" s="13" t="n">
        <x:f>D5119*I5119*H5119</x:f>
        <x:v>0.04350612</x:v>
      </x:c>
      <x:c r="K5119" s="13" t="n">
        <x:f>E5119*I5119*H5119</x:f>
        <x:v>0.0462966</x:v>
      </x:c>
      <x:c r="L5119" s="1" t="str">
        <x:f>TEXT(A5119,"mmm yyyy")</x:f>
        <x:v>Aug 2026</x:v>
      </x:c>
    </x:row>
    <x:row r="5120" ht="21" customHeight="1">
      <x:c r="A5120" s="10" t="n">
        <x:v>46255</x:v>
      </x:c>
      <x:c r="B5120" s="1" t="n">
        <x:v>4</x:v>
      </x:c>
      <x:c r="C5120" s="1" t="n">
        <x:v>6</x:v>
      </x:c>
      <x:c r="D5120" s="12" t="n">
        <x:v>0.26</x:v>
      </x:c>
      <x:c r="E5120" s="12" t="n">
        <x:v>0.27</x:v>
      </x:c>
      <x:c r="F5120" s="12" t="n">
        <x:v>0</x:v>
      </x:c>
      <x:c r="G5120" s="12" t="n">
        <x:v>0</x:v>
      </x:c>
      <x:c r="H5120" s="1" t="n">
        <x:f>'Historical prices'!E5120</x:f>
        <x:v>1.05</x:v>
      </x:c>
      <x:c r="I5120" s="6" t="n">
        <x:f>'Historical prices'!D5120</x:f>
        <x:v>0.2554</x:v>
      </x:c>
      <x:c r="J5120" s="13" t="n">
        <x:f>D5120*I5120*H5120</x:f>
        <x:v>0.06972420000000001</x:v>
      </x:c>
      <x:c r="K5120" s="13" t="n">
        <x:f>E5120*I5120*H5120</x:f>
        <x:v>0.07240590000000001</x:v>
      </x:c>
      <x:c r="L5120" s="1" t="str">
        <x:f>TEXT(A5120,"mmm yyyy")</x:f>
        <x:v>Aug 2026</x:v>
      </x:c>
    </x:row>
    <x:row r="5121" ht="21" customHeight="1">
      <x:c r="A5121" s="10" t="n">
        <x:v>46255</x:v>
      </x:c>
      <x:c r="B5121" s="1" t="n">
        <x:v>4.5</x:v>
      </x:c>
      <x:c r="C5121" s="1" t="n">
        <x:v>6</x:v>
      </x:c>
      <x:c r="D5121" s="12" t="n">
        <x:v>0.181</x:v>
      </x:c>
      <x:c r="E5121" s="12" t="n">
        <x:v>0.192</x:v>
      </x:c>
      <x:c r="F5121" s="12" t="n">
        <x:v>0</x:v>
      </x:c>
      <x:c r="G5121" s="12" t="n">
        <x:v>0</x:v>
      </x:c>
      <x:c r="H5121" s="1" t="n">
        <x:f>'Historical prices'!E5121</x:f>
        <x:v>1.05</x:v>
      </x:c>
      <x:c r="I5121" s="6" t="n">
        <x:f>'Historical prices'!D5121</x:f>
        <x:v>0.2531</x:v>
      </x:c>
      <x:c r="J5121" s="13" t="n">
        <x:f>D5121*I5121*H5121</x:f>
        <x:v>0.048101655</x:v>
      </x:c>
      <x:c r="K5121" s="13" t="n">
        <x:f>E5121*I5121*H5121</x:f>
        <x:v>0.05102496</x:v>
      </x:c>
      <x:c r="L5121" s="1" t="str">
        <x:f>TEXT(A5121,"mmm yyyy")</x:f>
        <x:v>Aug 2026</x:v>
      </x:c>
    </x:row>
    <x:row r="5122" ht="21" customHeight="1">
      <x:c r="A5122" s="10" t="n">
        <x:v>46255</x:v>
      </x:c>
      <x:c r="B5122" s="1" t="n">
        <x:v>5</x:v>
      </x:c>
      <x:c r="C5122" s="1" t="n">
        <x:v>6</x:v>
      </x:c>
      <x:c r="D5122" s="12" t="n">
        <x:v>0.0285</x:v>
      </x:c>
      <x:c r="E5122" s="12" t="n">
        <x:v>0.2668333333333333</x:v>
      </x:c>
      <x:c r="F5122" s="12" t="n">
        <x:v>0.23574999999999996</x:v>
      </x:c>
      <x:c r="G5122" s="12" t="n">
        <x:v>0</x:v>
      </x:c>
      <x:c r="H5122" s="1" t="n">
        <x:f>'Historical prices'!E5122</x:f>
        <x:v>1.05</x:v>
      </x:c>
      <x:c r="I5122" s="6" t="n">
        <x:f>'Historical prices'!D5122</x:f>
        <x:v>0.2897</x:v>
      </x:c>
      <x:c r="J5122" s="13" t="n">
        <x:f>D5122*I5122*H5122</x:f>
        <x:v>0.0086692725</x:v>
      </x:c>
      <x:c r="K5122" s="13" t="n">
        <x:f>E5122*I5122*H5122</x:f>
        <x:v>0.08116669750000001</x:v>
      </x:c>
      <x:c r="L5122" s="1" t="str">
        <x:f>TEXT(A5122,"mmm yyyy")</x:f>
        <x:v>Aug 2026</x:v>
      </x:c>
    </x:row>
    <x:row r="5123" ht="21" customHeight="1">
      <x:c r="A5123" s="10" t="n">
        <x:v>46255</x:v>
      </x:c>
      <x:c r="B5123" s="1" t="n">
        <x:v>5.5</x:v>
      </x:c>
      <x:c r="C5123" s="1" t="n">
        <x:v>6</x:v>
      </x:c>
      <x:c r="D5123" s="12" t="n">
        <x:v>0.025750000000000002</x:v>
      </x:c>
      <x:c r="E5123" s="12" t="n">
        <x:v>0.23866666666666664</x:v>
      </x:c>
      <x:c r="F5123" s="12" t="n">
        <x:v>0.2125</x:v>
      </x:c>
      <x:c r="G5123" s="12" t="n">
        <x:v>0</x:v>
      </x:c>
      <x:c r="H5123" s="1" t="n">
        <x:f>'Historical prices'!E5123</x:f>
        <x:v>1.05</x:v>
      </x:c>
      <x:c r="I5123" s="6" t="n">
        <x:f>'Historical prices'!D5123</x:f>
        <x:v>0.295</x:v>
      </x:c>
      <x:c r="J5123" s="13" t="n">
        <x:f>D5123*I5123*H5123</x:f>
        <x:v>0.0079760625</x:v>
      </x:c>
      <x:c r="K5123" s="13" t="n">
        <x:f>E5123*I5123*H5123</x:f>
        <x:v>0.07392699999999999</x:v>
      </x:c>
      <x:c r="L5123" s="1" t="str">
        <x:f>TEXT(A5123,"mmm yyyy")</x:f>
        <x:v>Aug 2026</x:v>
      </x:c>
    </x:row>
    <x:row r="5124" ht="21" customHeight="1">
      <x:c r="A5124" s="10" t="n">
        <x:v>46255</x:v>
      </x:c>
      <x:c r="B5124" s="1" t="n">
        <x:v>6</x:v>
      </x:c>
      <x:c r="C5124" s="1" t="n">
        <x:v>6</x:v>
      </x:c>
      <x:c r="D5124" s="12" t="n">
        <x:v>0</x:v>
      </x:c>
      <x:c r="E5124" s="12" t="n">
        <x:v>0.3411666666666666</x:v>
      </x:c>
      <x:c r="F5124" s="12" t="n">
        <x:v>0.34075</x:v>
      </x:c>
      <x:c r="G5124" s="12" t="n">
        <x:v>0</x:v>
      </x:c>
      <x:c r="H5124" s="1" t="n">
        <x:f>'Historical prices'!E5124</x:f>
        <x:v>1.05</x:v>
      </x:c>
      <x:c r="I5124" s="6" t="n">
        <x:f>'Historical prices'!D5124</x:f>
        <x:v>0.3078</x:v>
      </x:c>
      <x:c r="J5124" s="13" t="n">
        <x:f>D5124*I5124*H5124</x:f>
        <x:v>0</x:v>
      </x:c>
      <x:c r="K5124" s="13" t="n">
        <x:f>E5124*I5124*H5124</x:f>
        <x:v>0.110261655</x:v>
      </x:c>
      <x:c r="L5124" s="1" t="str">
        <x:f>TEXT(A5124,"mmm yyyy")</x:f>
        <x:v>Aug 2026</x:v>
      </x:c>
    </x:row>
    <x:row r="5125" ht="21" customHeight="1">
      <x:c r="A5125" s="10" t="n">
        <x:v>46255</x:v>
      </x:c>
      <x:c r="B5125" s="1" t="n">
        <x:v>6.5</x:v>
      </x:c>
      <x:c r="C5125" s="1" t="n">
        <x:v>6</x:v>
      </x:c>
      <x:c r="D5125" s="12" t="n">
        <x:v>0</x:v>
      </x:c>
      <x:c r="E5125" s="12" t="n">
        <x:v>0.7185833333333335</x:v>
      </x:c>
      <x:c r="F5125" s="12" t="n">
        <x:v>0.71825</x:v>
      </x:c>
      <x:c r="G5125" s="12" t="n">
        <x:v>0</x:v>
      </x:c>
      <x:c r="H5125" s="1" t="n">
        <x:f>'Historical prices'!E5125</x:f>
        <x:v>1.05</x:v>
      </x:c>
      <x:c r="I5125" s="6" t="n">
        <x:f>'Historical prices'!D5125</x:f>
        <x:v>0.3143</x:v>
      </x:c>
      <x:c r="J5125" s="13" t="n">
        <x:f>D5125*I5125*H5125</x:f>
        <x:v>0</x:v>
      </x:c>
      <x:c r="K5125" s="13" t="n">
        <x:f>E5125*I5125*H5125</x:f>
        <x:v>0.23714327875000007</x:v>
      </x:c>
      <x:c r="L5125" s="1" t="str">
        <x:f>TEXT(A5125,"mmm yyyy")</x:f>
        <x:v>Aug 2026</x:v>
      </x:c>
    </x:row>
    <x:row r="5126" ht="21" customHeight="1">
      <x:c r="A5126" s="10" t="n">
        <x:v>46255</x:v>
      </x:c>
      <x:c r="B5126" s="1" t="n">
        <x:v>7</x:v>
      </x:c>
      <x:c r="C5126" s="1" t="n">
        <x:v>6</x:v>
      </x:c>
      <x:c r="D5126" s="12" t="n">
        <x:v>0</x:v>
      </x:c>
      <x:c r="E5126" s="12" t="n">
        <x:v>0.5795</x:v>
      </x:c>
      <x:c r="F5126" s="12" t="n">
        <x:v>0.5793333333333334</x:v>
      </x:c>
      <x:c r="G5126" s="12" t="n">
        <x:v>0</x:v>
      </x:c>
      <x:c r="H5126" s="1" t="n">
        <x:f>'Historical prices'!E5126</x:f>
        <x:v>1.05</x:v>
      </x:c>
      <x:c r="I5126" s="6" t="n">
        <x:f>'Historical prices'!D5126</x:f>
        <x:v>0.30510000000000004</x:v>
      </x:c>
      <x:c r="J5126" s="13" t="n">
        <x:f>D5126*I5126*H5126</x:f>
        <x:v>0</x:v>
      </x:c>
      <x:c r="K5126" s="13" t="n">
        <x:f>E5126*I5126*H5126</x:f>
        <x:v>0.18564572250000003</x:v>
      </x:c>
      <x:c r="L5126" s="1" t="str">
        <x:f>TEXT(A5126,"mmm yyyy")</x:f>
        <x:v>Aug 2026</x:v>
      </x:c>
    </x:row>
    <x:row r="5127" ht="21" customHeight="1">
      <x:c r="A5127" s="10" t="n">
        <x:v>46255</x:v>
      </x:c>
      <x:c r="B5127" s="1" t="n">
        <x:v>7.5</x:v>
      </x:c>
      <x:c r="C5127" s="1" t="n">
        <x:v>6</x:v>
      </x:c>
      <x:c r="D5127" s="12" t="n">
        <x:v>0</x:v>
      </x:c>
      <x:c r="E5127" s="12" t="n">
        <x:v>0.5714166666666667</x:v>
      </x:c>
      <x:c r="F5127" s="12" t="n">
        <x:v>0.5706666666666667</x:v>
      </x:c>
      <x:c r="G5127" s="12" t="n">
        <x:v>0</x:v>
      </x:c>
      <x:c r="H5127" s="1" t="n">
        <x:f>'Historical prices'!E5127</x:f>
        <x:v>1.05</x:v>
      </x:c>
      <x:c r="I5127" s="6" t="n">
        <x:f>'Historical prices'!D5127</x:f>
        <x:v>0.3129</x:v>
      </x:c>
      <x:c r="J5127" s="13" t="n">
        <x:f>D5127*I5127*H5127</x:f>
        <x:v>0</x:v>
      </x:c>
      <x:c r="K5127" s="13" t="n">
        <x:f>E5127*I5127*H5127</x:f>
        <x:v>0.18773608875</x:v>
      </x:c>
      <x:c r="L5127" s="1" t="str">
        <x:f>TEXT(A5127,"mmm yyyy")</x:f>
        <x:v>Aug 2026</x:v>
      </x:c>
    </x:row>
    <x:row r="5128" ht="21" customHeight="1">
      <x:c r="A5128" s="10" t="n">
        <x:v>46255</x:v>
      </x:c>
      <x:c r="B5128" s="1" t="n">
        <x:v>8</x:v>
      </x:c>
      <x:c r="C5128" s="1" t="n">
        <x:v>6</x:v>
      </x:c>
      <x:c r="D5128" s="12" t="n">
        <x:v>0.367</x:v>
      </x:c>
      <x:c r="E5128" s="12" t="n">
        <x:v>0.4671666666666667</x:v>
      </x:c>
      <x:c r="F5128" s="12" t="n">
        <x:v>0.089</x:v>
      </x:c>
      <x:c r="G5128" s="12" t="n">
        <x:v>0</x:v>
      </x:c>
      <x:c r="H5128" s="1" t="n">
        <x:f>'Historical prices'!E5128</x:f>
        <x:v>1.05</x:v>
      </x:c>
      <x:c r="I5128" s="6" t="n">
        <x:f>'Historical prices'!D5128</x:f>
        <x:v>0.26899999999999996</x:v>
      </x:c>
      <x:c r="J5128" s="13" t="n">
        <x:f>D5128*I5128*H5128</x:f>
        <x:v>0.10365914999999998</x:v>
      </x:c>
      <x:c r="K5128" s="13" t="n">
        <x:f>E5128*I5128*H5128</x:f>
        <x:v>0.13195122499999998</x:v>
      </x:c>
      <x:c r="L5128" s="1" t="str">
        <x:f>TEXT(A5128,"mmm yyyy")</x:f>
        <x:v>Aug 2026</x:v>
      </x:c>
    </x:row>
    <x:row r="5129" ht="21" customHeight="1">
      <x:c r="A5129" s="10" t="n">
        <x:v>46255</x:v>
      </x:c>
      <x:c r="B5129" s="1" t="n">
        <x:v>8.5</x:v>
      </x:c>
      <x:c r="C5129" s="1" t="n">
        <x:v>6</x:v>
      </x:c>
      <x:c r="D5129" s="12" t="n">
        <x:v>0.47</x:v>
      </x:c>
      <x:c r="E5129" s="12" t="n">
        <x:v>0.481</x:v>
      </x:c>
      <x:c r="F5129" s="12" t="n">
        <x:v>0</x:v>
      </x:c>
      <x:c r="G5129" s="12" t="n">
        <x:v>0</x:v>
      </x:c>
      <x:c r="H5129" s="1" t="n">
        <x:f>'Historical prices'!E5129</x:f>
        <x:v>1.05</x:v>
      </x:c>
      <x:c r="I5129" s="6" t="n">
        <x:f>'Historical prices'!D5129</x:f>
        <x:v>0.2686</x:v>
      </x:c>
      <x:c r="J5129" s="13" t="n">
        <x:f>D5129*I5129*H5129</x:f>
        <x:v>0.1325541</x:v>
      </x:c>
      <x:c r="K5129" s="13" t="n">
        <x:f>E5129*I5129*H5129</x:f>
        <x:v>0.13565643</x:v>
      </x:c>
      <x:c r="L5129" s="1" t="str">
        <x:f>TEXT(A5129,"mmm yyyy")</x:f>
        <x:v>Aug 2026</x:v>
      </x:c>
    </x:row>
    <x:row r="5130" ht="21" customHeight="1">
      <x:c r="A5130" s="10" t="n">
        <x:v>46255</x:v>
      </x:c>
      <x:c r="B5130" s="1" t="n">
        <x:v>9</x:v>
      </x:c>
      <x:c r="C5130" s="1" t="n">
        <x:v>6</x:v>
      </x:c>
      <x:c r="D5130" s="12" t="n">
        <x:v>0.93725</x:v>
      </x:c>
      <x:c r="E5130" s="12" t="n">
        <x:v>0.94825</x:v>
      </x:c>
      <x:c r="F5130" s="12" t="n">
        <x:v>0</x:v>
      </x:c>
      <x:c r="G5130" s="12" t="n">
        <x:v>0</x:v>
      </x:c>
      <x:c r="H5130" s="1" t="n">
        <x:f>'Historical prices'!E5130</x:f>
        <x:v>1.05</x:v>
      </x:c>
      <x:c r="I5130" s="6" t="n">
        <x:f>'Historical prices'!D5130</x:f>
        <x:v>0.26170000000000004</x:v>
      </x:c>
      <x:c r="J5130" s="13" t="n">
        <x:f>D5130*I5130*H5130</x:f>
        <x:v>0.2575422412500001</x:v>
      </x:c>
      <x:c r="K5130" s="13" t="n">
        <x:f>E5130*I5130*H5130</x:f>
        <x:v>0.2605648762500001</x:v>
      </x:c>
      <x:c r="L5130" s="1" t="str">
        <x:f>TEXT(A5130,"mmm yyyy")</x:f>
        <x:v>Aug 2026</x:v>
      </x:c>
    </x:row>
    <x:row r="5131" ht="21" customHeight="1">
      <x:c r="A5131" s="10" t="n">
        <x:v>46255</x:v>
      </x:c>
      <x:c r="B5131" s="1" t="n">
        <x:v>9.5</x:v>
      </x:c>
      <x:c r="C5131" s="1" t="n">
        <x:v>6</x:v>
      </x:c>
      <x:c r="D5131" s="12" t="n">
        <x:v>0.716</x:v>
      </x:c>
      <x:c r="E5131" s="12" t="n">
        <x:v>0.726</x:v>
      </x:c>
      <x:c r="F5131" s="12" t="n">
        <x:v>0</x:v>
      </x:c>
      <x:c r="G5131" s="12" t="n">
        <x:v>0</x:v>
      </x:c>
      <x:c r="H5131" s="1" t="n">
        <x:f>'Historical prices'!E5131</x:f>
        <x:v>1.05</x:v>
      </x:c>
      <x:c r="I5131" s="6" t="n">
        <x:f>'Historical prices'!D5131</x:f>
        <x:v>0.248</x:v>
      </x:c>
      <x:c r="J5131" s="13" t="n">
        <x:f>D5131*I5131*H5131</x:f>
        <x:v>0.1864464</x:v>
      </x:c>
      <x:c r="K5131" s="13" t="n">
        <x:f>E5131*I5131*H5131</x:f>
        <x:v>0.18905039999999998</x:v>
      </x:c>
      <x:c r="L5131" s="1" t="str">
        <x:f>TEXT(A5131,"mmm yyyy")</x:f>
        <x:v>Aug 2026</x:v>
      </x:c>
    </x:row>
    <x:row r="5132" ht="21" customHeight="1">
      <x:c r="A5132" s="10" t="n">
        <x:v>46255</x:v>
      </x:c>
      <x:c r="B5132" s="1" t="n">
        <x:v>10</x:v>
      </x:c>
      <x:c r="C5132" s="1" t="n">
        <x:v>6</x:v>
      </x:c>
      <x:c r="D5132" s="12" t="n">
        <x:v>0.47975</x:v>
      </x:c>
      <x:c r="E5132" s="12" t="n">
        <x:v>0.49075</x:v>
      </x:c>
      <x:c r="F5132" s="12" t="n">
        <x:v>0</x:v>
      </x:c>
      <x:c r="G5132" s="12" t="n">
        <x:v>0</x:v>
      </x:c>
      <x:c r="H5132" s="1" t="n">
        <x:f>'Historical prices'!E5132</x:f>
        <x:v>1.05</x:v>
      </x:c>
      <x:c r="I5132" s="6" t="n">
        <x:f>'Historical prices'!D5132</x:f>
        <x:v>0.2291</x:v>
      </x:c>
      <x:c r="J5132" s="13" t="n">
        <x:f>D5132*I5132*H5132</x:f>
        <x:v>0.11540626125</x:v>
      </x:c>
      <x:c r="K5132" s="13" t="n">
        <x:f>E5132*I5132*H5132</x:f>
        <x:v>0.11805236625</x:v>
      </x:c>
      <x:c r="L5132" s="1" t="str">
        <x:f>TEXT(A5132,"mmm yyyy")</x:f>
        <x:v>Aug 2026</x:v>
      </x:c>
    </x:row>
    <x:row r="5133" ht="21" customHeight="1">
      <x:c r="A5133" s="10" t="n">
        <x:v>46255</x:v>
      </x:c>
      <x:c r="B5133" s="1" t="n">
        <x:v>10.5</x:v>
      </x:c>
      <x:c r="C5133" s="1" t="n">
        <x:v>6</x:v>
      </x:c>
      <x:c r="D5133" s="12" t="n">
        <x:v>4.21525</x:v>
      </x:c>
      <x:c r="E5133" s="12" t="n">
        <x:v>0.69725</x:v>
      </x:c>
      <x:c r="F5133" s="12" t="n">
        <x:v>0</x:v>
      </x:c>
      <x:c r="G5133" s="12" t="n">
        <x:v>3.52</x:v>
      </x:c>
      <x:c r="H5133" s="1" t="n">
        <x:f>'Historical prices'!E5133</x:f>
        <x:v>1.05</x:v>
      </x:c>
      <x:c r="I5133" s="6" t="n">
        <x:f>'Historical prices'!D5133</x:f>
        <x:v>0.2249</x:v>
      </x:c>
      <x:c r="J5133" s="13" t="n">
        <x:f>D5133*I5133*H5133</x:f>
        <x:v>0.9954102112500001</x:v>
      </x:c>
      <x:c r="K5133" s="13" t="n">
        <x:f>E5133*I5133*H5133</x:f>
        <x:v>0.16465210125000002</x:v>
      </x:c>
      <x:c r="L5133" s="1" t="str">
        <x:f>TEXT(A5133,"mmm yyyy")</x:f>
        <x:v>Aug 2026</x:v>
      </x:c>
    </x:row>
    <x:row r="5134" ht="21" customHeight="1">
      <x:c r="A5134" s="10" t="n">
        <x:v>46255</x:v>
      </x:c>
      <x:c r="B5134" s="1" t="n">
        <x:v>11</x:v>
      </x:c>
      <x:c r="C5134" s="1" t="n">
        <x:v>6</x:v>
      </x:c>
      <x:c r="D5134" s="12" t="n">
        <x:v>1.202</x:v>
      </x:c>
      <x:c r="E5134" s="12" t="n">
        <x:v>0.549</x:v>
      </x:c>
      <x:c r="F5134" s="12" t="n">
        <x:v>0</x:v>
      </x:c>
      <x:c r="G5134" s="12" t="n">
        <x:v>0.658</x:v>
      </x:c>
      <x:c r="H5134" s="1" t="n">
        <x:f>'Historical prices'!E5134</x:f>
        <x:v>1.05</x:v>
      </x:c>
      <x:c r="I5134" s="6" t="n">
        <x:f>'Historical prices'!D5134</x:f>
        <x:v>0.23070000000000002</x:v>
      </x:c>
      <x:c r="J5134" s="13" t="n">
        <x:f>D5134*I5134*H5134</x:f>
        <x:v>0.29116647000000007</x:v>
      </x:c>
      <x:c r="K5134" s="13" t="n">
        <x:f>E5134*I5134*H5134</x:f>
        <x:v>0.13298701500000004</x:v>
      </x:c>
      <x:c r="L5134" s="1" t="str">
        <x:f>TEXT(A5134,"mmm yyyy")</x:f>
        <x:v>Aug 2026</x:v>
      </x:c>
    </x:row>
    <x:row r="5135" ht="21" customHeight="1">
      <x:c r="A5135" s="10" t="n">
        <x:v>46255</x:v>
      </x:c>
      <x:c r="B5135" s="1" t="n">
        <x:v>11.5</x:v>
      </x:c>
      <x:c r="C5135" s="1" t="n">
        <x:v>6</x:v>
      </x:c>
      <x:c r="D5135" s="12" t="n">
        <x:v>0.5507500000000001</x:v>
      </x:c>
      <x:c r="E5135" s="12" t="n">
        <x:v>0.56275</x:v>
      </x:c>
      <x:c r="F5135" s="12" t="n">
        <x:v>0</x:v>
      </x:c>
      <x:c r="G5135" s="12" t="n">
        <x:v>0</x:v>
      </x:c>
      <x:c r="H5135" s="1" t="n">
        <x:f>'Historical prices'!E5135</x:f>
        <x:v>1.05</x:v>
      </x:c>
      <x:c r="I5135" s="6" t="n">
        <x:f>'Historical prices'!D5135</x:f>
        <x:v>0.2354</x:v>
      </x:c>
      <x:c r="J5135" s="13" t="n">
        <x:f>D5135*I5135*H5135</x:f>
        <x:v>0.13612887750000002</x:v>
      </x:c>
      <x:c r="K5135" s="13" t="n">
        <x:f>E5135*I5135*H5135</x:f>
        <x:v>0.1390949175</x:v>
      </x:c>
      <x:c r="L5135" s="1" t="str">
        <x:f>TEXT(A5135,"mmm yyyy")</x:f>
        <x:v>Aug 2026</x:v>
      </x:c>
    </x:row>
    <x:row r="5136" ht="21" customHeight="1">
      <x:c r="A5136" s="10" t="n">
        <x:v>46255</x:v>
      </x:c>
      <x:c r="B5136" s="1" t="n">
        <x:v>12</x:v>
      </x:c>
      <x:c r="C5136" s="1" t="n">
        <x:v>6</x:v>
      </x:c>
      <x:c r="D5136" s="12" t="n">
        <x:v>0.44149999999999995</x:v>
      </x:c>
      <x:c r="E5136" s="12" t="n">
        <x:v>0.45249999999999996</x:v>
      </x:c>
      <x:c r="F5136" s="12" t="n">
        <x:v>0</x:v>
      </x:c>
      <x:c r="G5136" s="12" t="n">
        <x:v>0</x:v>
      </x:c>
      <x:c r="H5136" s="1" t="n">
        <x:f>'Historical prices'!E5136</x:f>
        <x:v>1.05</x:v>
      </x:c>
      <x:c r="I5136" s="6" t="n">
        <x:f>'Historical prices'!D5136</x:f>
        <x:v>0.23010000000000003</x:v>
      </x:c>
      <x:c r="J5136" s="13" t="n">
        <x:f>D5136*I5136*H5136</x:f>
        <x:v>0.10666860750000001</x:v>
      </x:c>
      <x:c r="K5136" s="13" t="n">
        <x:f>E5136*I5136*H5136</x:f>
        <x:v>0.10932626250000001</x:v>
      </x:c>
      <x:c r="L5136" s="1" t="str">
        <x:f>TEXT(A5136,"mmm yyyy")</x:f>
        <x:v>Aug 2026</x:v>
      </x:c>
    </x:row>
    <x:row r="5137" ht="21" customHeight="1">
      <x:c r="A5137" s="10" t="n">
        <x:v>46255</x:v>
      </x:c>
      <x:c r="B5137" s="1" t="n">
        <x:v>12.5</x:v>
      </x:c>
      <x:c r="C5137" s="1" t="n">
        <x:v>6</x:v>
      </x:c>
      <x:c r="D5137" s="12" t="n">
        <x:v>0.42100000000000004</x:v>
      </x:c>
      <x:c r="E5137" s="12" t="n">
        <x:v>0.43</x:v>
      </x:c>
      <x:c r="F5137" s="12" t="n">
        <x:v>0</x:v>
      </x:c>
      <x:c r="G5137" s="12" t="n">
        <x:v>0</x:v>
      </x:c>
      <x:c r="H5137" s="1" t="n">
        <x:f>'Historical prices'!E5137</x:f>
        <x:v>1.05</x:v>
      </x:c>
      <x:c r="I5137" s="6" t="n">
        <x:f>'Historical prices'!D5137</x:f>
        <x:v>0.2291</x:v>
      </x:c>
      <x:c r="J5137" s="13" t="n">
        <x:f>D5137*I5137*H5137</x:f>
        <x:v>0.10127365500000002</x:v>
      </x:c>
      <x:c r="K5137" s="13" t="n">
        <x:f>E5137*I5137*H5137</x:f>
        <x:v>0.10343865000000001</x:v>
      </x:c>
      <x:c r="L5137" s="1" t="str">
        <x:f>TEXT(A5137,"mmm yyyy")</x:f>
        <x:v>Aug 2026</x:v>
      </x:c>
    </x:row>
    <x:row r="5138" ht="21" customHeight="1">
      <x:c r="A5138" s="10" t="n">
        <x:v>46255</x:v>
      </x:c>
      <x:c r="B5138" s="1" t="n">
        <x:v>13</x:v>
      </x:c>
      <x:c r="C5138" s="1" t="n">
        <x:v>6</x:v>
      </x:c>
      <x:c r="D5138" s="12" t="n">
        <x:v>0.47074999999999995</x:v>
      </x:c>
      <x:c r="E5138" s="12" t="n">
        <x:v>0.48174999999999996</x:v>
      </x:c>
      <x:c r="F5138" s="12" t="n">
        <x:v>0</x:v>
      </x:c>
      <x:c r="G5138" s="12" t="n">
        <x:v>0</x:v>
      </x:c>
      <x:c r="H5138" s="1" t="n">
        <x:f>'Historical prices'!E5138</x:f>
        <x:v>1.05</x:v>
      </x:c>
      <x:c r="I5138" s="6" t="n">
        <x:f>'Historical prices'!D5138</x:f>
        <x:v>0.23260000000000003</x:v>
      </x:c>
      <x:c r="J5138" s="13" t="n">
        <x:f>D5138*I5138*H5138</x:f>
        <x:v>0.1149712725</x:v>
      </x:c>
      <x:c r="K5138" s="13" t="n">
        <x:f>E5138*I5138*H5138</x:f>
        <x:v>0.1176578025</x:v>
      </x:c>
      <x:c r="L5138" s="1" t="str">
        <x:f>TEXT(A5138,"mmm yyyy")</x:f>
        <x:v>Aug 2026</x:v>
      </x:c>
    </x:row>
    <x:row r="5139" ht="21" customHeight="1">
      <x:c r="A5139" s="10" t="n">
        <x:v>46255</x:v>
      </x:c>
      <x:c r="B5139" s="1" t="n">
        <x:v>13.5</x:v>
      </x:c>
      <x:c r="C5139" s="1" t="n">
        <x:v>6</x:v>
      </x:c>
      <x:c r="D5139" s="12" t="n">
        <x:v>0.41100000000000003</x:v>
      </x:c>
      <x:c r="E5139" s="12" t="n">
        <x:v>0.42200000000000004</x:v>
      </x:c>
      <x:c r="F5139" s="12" t="n">
        <x:v>0</x:v>
      </x:c>
      <x:c r="G5139" s="12" t="n">
        <x:v>0</x:v>
      </x:c>
      <x:c r="H5139" s="1" t="n">
        <x:f>'Historical prices'!E5139</x:f>
        <x:v>1.05</x:v>
      </x:c>
      <x:c r="I5139" s="6" t="n">
        <x:f>'Historical prices'!D5139</x:f>
        <x:v>0.2291</x:v>
      </x:c>
      <x:c r="J5139" s="13" t="n">
        <x:f>D5139*I5139*H5139</x:f>
        <x:v>0.09886810500000001</x:v>
      </x:c>
      <x:c r="K5139" s="13" t="n">
        <x:f>E5139*I5139*H5139</x:f>
        <x:v>0.10151421000000001</x:v>
      </x:c>
      <x:c r="L5139" s="1" t="str">
        <x:f>TEXT(A5139,"mmm yyyy")</x:f>
        <x:v>Aug 2026</x:v>
      </x:c>
    </x:row>
    <x:row r="5140" ht="21" customHeight="1">
      <x:c r="A5140" s="10" t="n">
        <x:v>46255</x:v>
      </x:c>
      <x:c r="B5140" s="1" t="n">
        <x:v>14</x:v>
      </x:c>
      <x:c r="C5140" s="1" t="n">
        <x:v>6</x:v>
      </x:c>
      <x:c r="D5140" s="12" t="n">
        <x:v>0.49125</x:v>
      </x:c>
      <x:c r="E5140" s="12" t="n">
        <x:v>0.50225</x:v>
      </x:c>
      <x:c r="F5140" s="12" t="n">
        <x:v>0</x:v>
      </x:c>
      <x:c r="G5140" s="12" t="n">
        <x:v>0</x:v>
      </x:c>
      <x:c r="H5140" s="1" t="n">
        <x:f>'Historical prices'!E5140</x:f>
        <x:v>1.05</x:v>
      </x:c>
      <x:c r="I5140" s="6" t="n">
        <x:f>'Historical prices'!D5140</x:f>
        <x:v>0.2314</x:v>
      </x:c>
      <x:c r="J5140" s="13" t="n">
        <x:f>D5140*I5140*H5140</x:f>
        <x:v>0.11935901250000001</x:v>
      </x:c>
      <x:c r="K5140" s="13" t="n">
        <x:f>E5140*I5140*H5140</x:f>
        <x:v>0.1220316825</x:v>
      </x:c>
      <x:c r="L5140" s="1" t="str">
        <x:f>TEXT(A5140,"mmm yyyy")</x:f>
        <x:v>Aug 2026</x:v>
      </x:c>
    </x:row>
    <x:row r="5141" ht="21" customHeight="1">
      <x:c r="A5141" s="10" t="n">
        <x:v>46255</x:v>
      </x:c>
      <x:c r="B5141" s="1" t="n">
        <x:v>14.5</x:v>
      </x:c>
      <x:c r="C5141" s="1" t="n">
        <x:v>6</x:v>
      </x:c>
      <x:c r="D5141" s="12" t="n">
        <x:v>0.5235</x:v>
      </x:c>
      <x:c r="E5141" s="12" t="n">
        <x:v>0.5335</x:v>
      </x:c>
      <x:c r="F5141" s="12" t="n">
        <x:v>0</x:v>
      </x:c>
      <x:c r="G5141" s="12" t="n">
        <x:v>0</x:v>
      </x:c>
      <x:c r="H5141" s="1" t="n">
        <x:f>'Historical prices'!E5141</x:f>
        <x:v>1.05</x:v>
      </x:c>
      <x:c r="I5141" s="6" t="n">
        <x:f>'Historical prices'!D5141</x:f>
        <x:v>0.2291</x:v>
      </x:c>
      <x:c r="J5141" s="13" t="n">
        <x:f>D5141*I5141*H5141</x:f>
        <x:v>0.1259305425</x:v>
      </x:c>
      <x:c r="K5141" s="13" t="n">
        <x:f>E5141*I5141*H5141</x:f>
        <x:v>0.1283360925</x:v>
      </x:c>
      <x:c r="L5141" s="1" t="str">
        <x:f>TEXT(A5141,"mmm yyyy")</x:f>
        <x:v>Aug 2026</x:v>
      </x:c>
    </x:row>
    <x:row r="5142" ht="21" customHeight="1">
      <x:c r="A5142" s="10" t="n">
        <x:v>46255</x:v>
      </x:c>
      <x:c r="B5142" s="1" t="n">
        <x:v>15</x:v>
      </x:c>
      <x:c r="C5142" s="1" t="n">
        <x:v>6</x:v>
      </x:c>
      <x:c r="D5142" s="12" t="n">
        <x:v>0.50025</x:v>
      </x:c>
      <x:c r="E5142" s="12" t="n">
        <x:v>0.51025</x:v>
      </x:c>
      <x:c r="F5142" s="12" t="n">
        <x:v>0</x:v>
      </x:c>
      <x:c r="G5142" s="12" t="n">
        <x:v>0</x:v>
      </x:c>
      <x:c r="H5142" s="1" t="n">
        <x:f>'Historical prices'!E5142</x:f>
        <x:v>1.05</x:v>
      </x:c>
      <x:c r="I5142" s="6" t="n">
        <x:f>'Historical prices'!D5142</x:f>
        <x:v>0.23629999999999998</x:v>
      </x:c>
      <x:c r="J5142" s="13" t="n">
        <x:f>D5142*I5142*H5142</x:f>
        <x:v>0.12411952874999999</x:v>
      </x:c>
      <x:c r="K5142" s="13" t="n">
        <x:f>E5142*I5142*H5142</x:f>
        <x:v>0.12660067875</x:v>
      </x:c>
      <x:c r="L5142" s="1" t="str">
        <x:f>TEXT(A5142,"mmm yyyy")</x:f>
        <x:v>Aug 2026</x:v>
      </x:c>
    </x:row>
    <x:row r="5143" ht="21" customHeight="1">
      <x:c r="A5143" s="10" t="n">
        <x:v>46255</x:v>
      </x:c>
      <x:c r="B5143" s="1" t="n">
        <x:v>15.5</x:v>
      </x:c>
      <x:c r="C5143" s="1" t="n">
        <x:v>6</x:v>
      </x:c>
      <x:c r="D5143" s="12" t="n">
        <x:v>0.45275</x:v>
      </x:c>
      <x:c r="E5143" s="12" t="n">
        <x:v>0.46375</x:v>
      </x:c>
      <x:c r="F5143" s="12" t="n">
        <x:v>0</x:v>
      </x:c>
      <x:c r="G5143" s="12" t="n">
        <x:v>0</x:v>
      </x:c>
      <x:c r="H5143" s="1" t="n">
        <x:f>'Historical prices'!E5143</x:f>
        <x:v>1.05</x:v>
      </x:c>
      <x:c r="I5143" s="6" t="n">
        <x:f>'Historical prices'!D5143</x:f>
        <x:v>0.2364</x:v>
      </x:c>
      <x:c r="J5143" s="13" t="n">
        <x:f>D5143*I5143*H5143</x:f>
        <x:v>0.11238160500000001</x:v>
      </x:c>
      <x:c r="K5143" s="13" t="n">
        <x:f>E5143*I5143*H5143</x:f>
        <x:v>0.11511202499999999</x:v>
      </x:c>
      <x:c r="L5143" s="1" t="str">
        <x:f>TEXT(A5143,"mmm yyyy")</x:f>
        <x:v>Aug 2026</x:v>
      </x:c>
    </x:row>
    <x:row r="5144" ht="21" customHeight="1">
      <x:c r="A5144" s="10" t="n">
        <x:v>46255</x:v>
      </x:c>
      <x:c r="B5144" s="1" t="n">
        <x:v>16</x:v>
      </x:c>
      <x:c r="C5144" s="1" t="n">
        <x:v>6</x:v>
      </x:c>
      <x:c r="D5144" s="12" t="n">
        <x:v>0.06775</x:v>
      </x:c>
      <x:c r="E5144" s="12" t="n">
        <x:v>0.5505</x:v>
      </x:c>
      <x:c r="F5144" s="12" t="n">
        <x:v>0.48158333333333336</x:v>
      </x:c>
      <x:c r="G5144" s="12" t="n">
        <x:v>0</x:v>
      </x:c>
      <x:c r="H5144" s="1" t="n">
        <x:f>'Historical prices'!E5144</x:f>
        <x:v>1.05</x:v>
      </x:c>
      <x:c r="I5144" s="6" t="n">
        <x:f>'Historical prices'!D5144</x:f>
        <x:v>0.3832</x:v>
      </x:c>
      <x:c r="J5144" s="13" t="n">
        <x:f>D5144*I5144*H5144</x:f>
        <x:v>0.027259890000000002</x:v>
      </x:c>
      <x:c r="K5144" s="13" t="n">
        <x:f>E5144*I5144*H5144</x:f>
        <x:v>0.22149918</x:v>
      </x:c>
      <x:c r="L5144" s="1" t="str">
        <x:f>TEXT(A5144,"mmm yyyy")</x:f>
        <x:v>Aug 2026</x:v>
      </x:c>
    </x:row>
    <x:row r="5145" ht="21" customHeight="1">
      <x:c r="A5145" s="10" t="n">
        <x:v>46255</x:v>
      </x:c>
      <x:c r="B5145" s="1" t="n">
        <x:v>16.5</x:v>
      </x:c>
      <x:c r="C5145" s="1" t="n">
        <x:v>6</x:v>
      </x:c>
      <x:c r="D5145" s="12" t="n">
        <x:v>0</x:v>
      </x:c>
      <x:c r="E5145" s="12" t="n">
        <x:v>0.48941666666666667</x:v>
      </x:c>
      <x:c r="F5145" s="12" t="n">
        <x:v>0.48875</x:v>
      </x:c>
      <x:c r="G5145" s="12" t="n">
        <x:v>0</x:v>
      </x:c>
      <x:c r="H5145" s="1" t="n">
        <x:f>'Historical prices'!E5145</x:f>
        <x:v>1.05</x:v>
      </x:c>
      <x:c r="I5145" s="6" t="n">
        <x:f>'Historical prices'!D5145</x:f>
        <x:v>0.37810000000000005</x:v>
      </x:c>
      <x:c r="J5145" s="13" t="n">
        <x:f>D5145*I5145*H5145</x:f>
        <x:v>0</x:v>
      </x:c>
      <x:c r="K5145" s="13" t="n">
        <x:f>E5145*I5145*H5145</x:f>
        <x:v>0.19430086375000005</x:v>
      </x:c>
      <x:c r="L5145" s="1" t="str">
        <x:f>TEXT(A5145,"mmm yyyy")</x:f>
        <x:v>Aug 2026</x:v>
      </x:c>
    </x:row>
    <x:row r="5146" ht="21" customHeight="1">
      <x:c r="A5146" s="10" t="n">
        <x:v>46255</x:v>
      </x:c>
      <x:c r="B5146" s="1" t="n">
        <x:v>17</x:v>
      </x:c>
      <x:c r="C5146" s="1" t="n">
        <x:v>6</x:v>
      </x:c>
      <x:c r="D5146" s="12" t="n">
        <x:v>0</x:v>
      </x:c>
      <x:c r="E5146" s="12" t="n">
        <x:v>0.48858333333333337</x:v>
      </x:c>
      <x:c r="F5146" s="12" t="n">
        <x:v>0.48783333333333334</x:v>
      </x:c>
      <x:c r="G5146" s="12" t="n">
        <x:v>0</x:v>
      </x:c>
      <x:c r="H5146" s="1" t="n">
        <x:f>'Historical prices'!E5146</x:f>
        <x:v>1.05</x:v>
      </x:c>
      <x:c r="I5146" s="6" t="n">
        <x:f>'Historical prices'!D5146</x:f>
        <x:v>0.39270000000000005</x:v>
      </x:c>
      <x:c r="J5146" s="13" t="n">
        <x:f>D5146*I5146*H5146</x:f>
        <x:v>0</x:v>
      </x:c>
      <x:c r="K5146" s="13" t="n">
        <x:f>E5146*I5146*H5146</x:f>
        <x:v>0.20146000875000006</x:v>
      </x:c>
      <x:c r="L5146" s="1" t="str">
        <x:f>TEXT(A5146,"mmm yyyy")</x:f>
        <x:v>Aug 2026</x:v>
      </x:c>
    </x:row>
    <x:row r="5147" ht="21" customHeight="1">
      <x:c r="A5147" s="10" t="n">
        <x:v>46255</x:v>
      </x:c>
      <x:c r="B5147" s="1" t="n">
        <x:v>17.5</x:v>
      </x:c>
      <x:c r="C5147" s="1" t="n">
        <x:v>6</x:v>
      </x:c>
      <x:c r="D5147" s="12" t="n">
        <x:v>0</x:v>
      </x:c>
      <x:c r="E5147" s="12" t="n">
        <x:v>0.5625</x:v>
      </x:c>
      <x:c r="F5147" s="12" t="n">
        <x:v>0.5624166666666667</x:v>
      </x:c>
      <x:c r="G5147" s="12" t="n">
        <x:v>0</x:v>
      </x:c>
      <x:c r="H5147" s="1" t="n">
        <x:f>'Historical prices'!E5147</x:f>
        <x:v>1.05</x:v>
      </x:c>
      <x:c r="I5147" s="6" t="n">
        <x:f>'Historical prices'!D5147</x:f>
        <x:v>0.41090000000000004</x:v>
      </x:c>
      <x:c r="J5147" s="13" t="n">
        <x:f>D5147*I5147*H5147</x:f>
        <x:v>0</x:v>
      </x:c>
      <x:c r="K5147" s="13" t="n">
        <x:f>E5147*I5147*H5147</x:f>
        <x:v>0.24268781250000002</x:v>
      </x:c>
      <x:c r="L5147" s="1" t="str">
        <x:f>TEXT(A5147,"mmm yyyy")</x:f>
        <x:v>Aug 2026</x:v>
      </x:c>
    </x:row>
    <x:row r="5148" ht="21" customHeight="1">
      <x:c r="A5148" s="10" t="n">
        <x:v>46255</x:v>
      </x:c>
      <x:c r="B5148" s="1" t="n">
        <x:v>18</x:v>
      </x:c>
      <x:c r="C5148" s="1" t="n">
        <x:v>6</x:v>
      </x:c>
      <x:c r="D5148" s="12" t="n">
        <x:v>0</x:v>
      </x:c>
      <x:c r="E5148" s="12" t="n">
        <x:v>0.47875</x:v>
      </x:c>
      <x:c r="F5148" s="12" t="n">
        <x:v>0.4784166666666667</x:v>
      </x:c>
      <x:c r="G5148" s="12" t="n">
        <x:v>0</x:v>
      </x:c>
      <x:c r="H5148" s="1" t="n">
        <x:f>'Historical prices'!E5148</x:f>
        <x:v>1.05</x:v>
      </x:c>
      <x:c r="I5148" s="6" t="n">
        <x:f>'Historical prices'!D5148</x:f>
        <x:v>0.4165</x:v>
      </x:c>
      <x:c r="J5148" s="13" t="n">
        <x:f>D5148*I5148*H5148</x:f>
        <x:v>0</x:v>
      </x:c>
      <x:c r="K5148" s="13" t="n">
        <x:f>E5148*I5148*H5148</x:f>
        <x:v>0.20936934375</x:v>
      </x:c>
      <x:c r="L5148" s="1" t="str">
        <x:f>TEXT(A5148,"mmm yyyy")</x:f>
        <x:v>Aug 2026</x:v>
      </x:c>
    </x:row>
    <x:row r="5149" ht="21" customHeight="1">
      <x:c r="A5149" s="10" t="n">
        <x:v>46255</x:v>
      </x:c>
      <x:c r="B5149" s="1" t="n">
        <x:v>18.5</x:v>
      </x:c>
      <x:c r="C5149" s="1" t="n">
        <x:v>6</x:v>
      </x:c>
      <x:c r="D5149" s="12" t="n">
        <x:v>0</x:v>
      </x:c>
      <x:c r="E5149" s="12" t="n">
        <x:v>0.5176666666666667</x:v>
      </x:c>
      <x:c r="F5149" s="12" t="n">
        <x:v>0.5174166666666666</x:v>
      </x:c>
      <x:c r="G5149" s="12" t="n">
        <x:v>0</x:v>
      </x:c>
      <x:c r="H5149" s="1" t="n">
        <x:f>'Historical prices'!E5149</x:f>
        <x:v>1.05</x:v>
      </x:c>
      <x:c r="I5149" s="6" t="n">
        <x:f>'Historical prices'!D5149</x:f>
        <x:v>0.4278</x:v>
      </x:c>
      <x:c r="J5149" s="13" t="n">
        <x:f>D5149*I5149*H5149</x:f>
        <x:v>0</x:v>
      </x:c>
      <x:c r="K5149" s="13" t="n">
        <x:f>E5149*I5149*H5149</x:f>
        <x:v>0.23253069000000004</x:v>
      </x:c>
      <x:c r="L5149" s="1" t="str">
        <x:f>TEXT(A5149,"mmm yyyy")</x:f>
        <x:v>Aug 2026</x:v>
      </x:c>
    </x:row>
    <x:row r="5150" ht="21" customHeight="1">
      <x:c r="A5150" s="10" t="n">
        <x:v>46255</x:v>
      </x:c>
      <x:c r="B5150" s="1" t="n">
        <x:v>19</x:v>
      </x:c>
      <x:c r="C5150" s="1" t="n">
        <x:v>6</x:v>
      </x:c>
      <x:c r="D5150" s="12" t="n">
        <x:v>0</x:v>
      </x:c>
      <x:c r="E5150" s="12" t="n">
        <x:v>0.49175</x:v>
      </x:c>
      <x:c r="F5150" s="12" t="n">
        <x:v>0.4913333333333333</x:v>
      </x:c>
      <x:c r="G5150" s="12" t="n">
        <x:v>0</x:v>
      </x:c>
      <x:c r="H5150" s="1" t="n">
        <x:f>'Historical prices'!E5150</x:f>
        <x:v>1.05</x:v>
      </x:c>
      <x:c r="I5150" s="6" t="n">
        <x:f>'Historical prices'!D5150</x:f>
        <x:v>0.32420000000000004</x:v>
      </x:c>
      <x:c r="J5150" s="13" t="n">
        <x:f>D5150*I5150*H5150</x:f>
        <x:v>0</x:v>
      </x:c>
      <x:c r="K5150" s="13" t="n">
        <x:f>E5150*I5150*H5150</x:f>
        <x:v>0.16739661750000004</x:v>
      </x:c>
      <x:c r="L5150" s="1" t="str">
        <x:f>TEXT(A5150,"mmm yyyy")</x:f>
        <x:v>Aug 2026</x:v>
      </x:c>
    </x:row>
    <x:row r="5151" ht="21" customHeight="1">
      <x:c r="A5151" s="10" t="n">
        <x:v>46255</x:v>
      </x:c>
      <x:c r="B5151" s="1" t="n">
        <x:v>19.5</x:v>
      </x:c>
      <x:c r="C5151" s="1" t="n">
        <x:v>6</x:v>
      </x:c>
      <x:c r="D5151" s="12" t="n">
        <x:v>0</x:v>
      </x:c>
      <x:c r="E5151" s="12" t="n">
        <x:v>0.5935</x:v>
      </x:c>
      <x:c r="F5151" s="12" t="n">
        <x:v>0.572</x:v>
      </x:c>
      <x:c r="G5151" s="12" t="n">
        <x:v>0</x:v>
      </x:c>
      <x:c r="H5151" s="1" t="n">
        <x:f>'Historical prices'!E5151</x:f>
        <x:v>1.05</x:v>
      </x:c>
      <x:c r="I5151" s="6" t="n">
        <x:f>'Historical prices'!D5151</x:f>
        <x:v>0.3268</x:v>
      </x:c>
      <x:c r="J5151" s="13" t="n">
        <x:f>D5151*I5151*H5151</x:f>
        <x:v>0</x:v>
      </x:c>
      <x:c r="K5151" s="13" t="n">
        <x:f>E5151*I5151*H5151</x:f>
        <x:v>0.20365359</x:v>
      </x:c>
      <x:c r="L5151" s="1" t="str">
        <x:f>TEXT(A5151,"mmm yyyy")</x:f>
        <x:v>Aug 2026</x:v>
      </x:c>
    </x:row>
    <x:row r="5152" ht="21" customHeight="1">
      <x:c r="A5152" s="10" t="n">
        <x:v>46255</x:v>
      </x:c>
      <x:c r="B5152" s="1" t="n">
        <x:v>20</x:v>
      </x:c>
      <x:c r="C5152" s="1" t="n">
        <x:v>6</x:v>
      </x:c>
      <x:c r="D5152" s="12" t="n">
        <x:v>0</x:v>
      </x:c>
      <x:c r="E5152" s="12" t="n">
        <x:v>0.5135</x:v>
      </x:c>
      <x:c r="F5152" s="12" t="n">
        <x:v>0.5088333333333334</x:v>
      </x:c>
      <x:c r="G5152" s="12" t="n">
        <x:v>0</x:v>
      </x:c>
      <x:c r="H5152" s="1" t="n">
        <x:f>'Historical prices'!E5152</x:f>
        <x:v>1.05</x:v>
      </x:c>
      <x:c r="I5152" s="6" t="n">
        <x:f>'Historical prices'!D5152</x:f>
        <x:v>0.332</x:v>
      </x:c>
      <x:c r="J5152" s="13" t="n">
        <x:f>D5152*I5152*H5152</x:f>
        <x:v>0</x:v>
      </x:c>
      <x:c r="K5152" s="13" t="n">
        <x:f>E5152*I5152*H5152</x:f>
        <x:v>0.1790061</x:v>
      </x:c>
      <x:c r="L5152" s="1" t="str">
        <x:f>TEXT(A5152,"mmm yyyy")</x:f>
        <x:v>Aug 2026</x:v>
      </x:c>
    </x:row>
    <x:row r="5153" ht="21" customHeight="1">
      <x:c r="A5153" s="10" t="n">
        <x:v>46255</x:v>
      </x:c>
      <x:c r="B5153" s="1" t="n">
        <x:v>20.5</x:v>
      </x:c>
      <x:c r="C5153" s="1" t="n">
        <x:v>6</x:v>
      </x:c>
      <x:c r="D5153" s="12" t="n">
        <x:v>0</x:v>
      </x:c>
      <x:c r="E5153" s="12" t="n">
        <x:v>0.5778333333333333</x:v>
      </x:c>
      <x:c r="F5153" s="12" t="n">
        <x:v>0.5773333333333334</x:v>
      </x:c>
      <x:c r="G5153" s="12" t="n">
        <x:v>0</x:v>
      </x:c>
      <x:c r="H5153" s="1" t="n">
        <x:f>'Historical prices'!E5153</x:f>
        <x:v>1.05</x:v>
      </x:c>
      <x:c r="I5153" s="6" t="n">
        <x:f>'Historical prices'!D5153</x:f>
        <x:v>0.332</x:v>
      </x:c>
      <x:c r="J5153" s="13" t="n">
        <x:f>D5153*I5153*H5153</x:f>
        <x:v>0</x:v>
      </x:c>
      <x:c r="K5153" s="13" t="n">
        <x:f>E5153*I5153*H5153</x:f>
        <x:v>0.2014327</x:v>
      </x:c>
      <x:c r="L5153" s="1" t="str">
        <x:f>TEXT(A5153,"mmm yyyy")</x:f>
        <x:v>Aug 2026</x:v>
      </x:c>
    </x:row>
    <x:row r="5154" ht="21" customHeight="1">
      <x:c r="A5154" s="10" t="n">
        <x:v>46255</x:v>
      </x:c>
      <x:c r="B5154" s="1" t="n">
        <x:v>21</x:v>
      </x:c>
      <x:c r="C5154" s="1" t="n">
        <x:v>6</x:v>
      </x:c>
      <x:c r="D5154" s="12" t="n">
        <x:v>0</x:v>
      </x:c>
      <x:c r="E5154" s="12" t="n">
        <x:v>0.4838333333333334</x:v>
      </x:c>
      <x:c r="F5154" s="12" t="n">
        <x:v>0.48325000000000007</x:v>
      </x:c>
      <x:c r="G5154" s="12" t="n">
        <x:v>0</x:v>
      </x:c>
      <x:c r="H5154" s="1" t="n">
        <x:f>'Historical prices'!E5154</x:f>
        <x:v>1.05</x:v>
      </x:c>
      <x:c r="I5154" s="6" t="n">
        <x:f>'Historical prices'!D5154</x:f>
        <x:v>0.3281</x:v>
      </x:c>
      <x:c r="J5154" s="13" t="n">
        <x:f>D5154*I5154*H5154</x:f>
        <x:v>0</x:v>
      </x:c>
      <x:c r="K5154" s="13" t="n">
        <x:f>E5154*I5154*H5154</x:f>
        <x:v>0.1666830025</x:v>
      </x:c>
      <x:c r="L5154" s="1" t="str">
        <x:f>TEXT(A5154,"mmm yyyy")</x:f>
        <x:v>Aug 2026</x:v>
      </x:c>
    </x:row>
    <x:row r="5155" ht="21" customHeight="1">
      <x:c r="A5155" s="10" t="n">
        <x:v>46255</x:v>
      </x:c>
      <x:c r="B5155" s="1" t="n">
        <x:v>21.5</x:v>
      </x:c>
      <x:c r="C5155" s="1" t="n">
        <x:v>6</x:v>
      </x:c>
      <x:c r="D5155" s="12" t="n">
        <x:v>0</x:v>
      </x:c>
      <x:c r="E5155" s="12" t="n">
        <x:v>0.6669166666666667</x:v>
      </x:c>
      <x:c r="F5155" s="12" t="n">
        <x:v>0.6663333333333333</x:v>
      </x:c>
      <x:c r="G5155" s="12" t="n">
        <x:v>0</x:v>
      </x:c>
      <x:c r="H5155" s="1" t="n">
        <x:f>'Historical prices'!E5155</x:f>
        <x:v>1.05</x:v>
      </x:c>
      <x:c r="I5155" s="6" t="n">
        <x:f>'Historical prices'!D5155</x:f>
        <x:v>0.3147</x:v>
      </x:c>
      <x:c r="J5155" s="13" t="n">
        <x:f>D5155*I5155*H5155</x:f>
        <x:v>0</x:v>
      </x:c>
      <x:c r="K5155" s="13" t="n">
        <x:f>E5155*I5155*H5155</x:f>
        <x:v>0.22037260875000003</x:v>
      </x:c>
      <x:c r="L5155" s="1" t="str">
        <x:f>TEXT(A5155,"mmm yyyy")</x:f>
        <x:v>Aug 2026</x:v>
      </x:c>
    </x:row>
    <x:row r="5156" ht="21" customHeight="1">
      <x:c r="A5156" s="10" t="n">
        <x:v>46255</x:v>
      </x:c>
      <x:c r="B5156" s="1" t="n">
        <x:v>22</x:v>
      </x:c>
      <x:c r="C5156" s="1" t="n">
        <x:v>6</x:v>
      </x:c>
      <x:c r="D5156" s="12" t="n">
        <x:v>0</x:v>
      </x:c>
      <x:c r="E5156" s="12" t="n">
        <x:v>0.7998333333333334</x:v>
      </x:c>
      <x:c r="F5156" s="12" t="n">
        <x:v>0.7995833333333334</x:v>
      </x:c>
      <x:c r="G5156" s="12" t="n">
        <x:v>0</x:v>
      </x:c>
      <x:c r="H5156" s="1" t="n">
        <x:f>'Historical prices'!E5156</x:f>
        <x:v>1.05</x:v>
      </x:c>
      <x:c r="I5156" s="6" t="n">
        <x:f>'Historical prices'!D5156</x:f>
        <x:v>0.2921</x:v>
      </x:c>
      <x:c r="J5156" s="13" t="n">
        <x:f>D5156*I5156*H5156</x:f>
        <x:v>0</x:v>
      </x:c>
      <x:c r="K5156" s="13" t="n">
        <x:f>E5156*I5156*H5156</x:f>
        <x:v>0.24531288250000005</x:v>
      </x:c>
      <x:c r="L5156" s="1" t="str">
        <x:f>TEXT(A5156,"mmm yyyy")</x:f>
        <x:v>Aug 2026</x:v>
      </x:c>
    </x:row>
    <x:row r="5157" ht="21" customHeight="1">
      <x:c r="A5157" s="10" t="n">
        <x:v>46255</x:v>
      </x:c>
      <x:c r="B5157" s="1" t="n">
        <x:v>22.5</x:v>
      </x:c>
      <x:c r="C5157" s="1" t="n">
        <x:v>6</x:v>
      </x:c>
      <x:c r="D5157" s="12" t="n">
        <x:v>0</x:v>
      </x:c>
      <x:c r="E5157" s="12" t="n">
        <x:v>0.26041666666666663</x:v>
      </x:c>
      <x:c r="F5157" s="12" t="n">
        <x:v>0.26041666666666663</x:v>
      </x:c>
      <x:c r="G5157" s="12" t="n">
        <x:v>0</x:v>
      </x:c>
      <x:c r="H5157" s="1" t="n">
        <x:f>'Historical prices'!E5157</x:f>
        <x:v>1.05</x:v>
      </x:c>
      <x:c r="I5157" s="6" t="n">
        <x:f>'Historical prices'!D5157</x:f>
        <x:v>0.2687</x:v>
      </x:c>
      <x:c r="J5157" s="13" t="n">
        <x:f>D5157*I5157*H5157</x:f>
        <x:v>0</x:v>
      </x:c>
      <x:c r="K5157" s="13" t="n">
        <x:f>E5157*I5157*H5157</x:f>
        <x:v>0.07347265624999999</x:v>
      </x:c>
      <x:c r="L5157" s="1" t="str">
        <x:f>TEXT(A5157,"mmm yyyy")</x:f>
        <x:v>Aug 2026</x:v>
      </x:c>
    </x:row>
    <x:row r="5158" ht="21" customHeight="1">
      <x:c r="A5158" s="10" t="n">
        <x:v>46255</x:v>
      </x:c>
      <x:c r="B5158" s="1" t="n">
        <x:v>23</x:v>
      </x:c>
      <x:c r="C5158" s="1" t="n">
        <x:v>6</x:v>
      </x:c>
      <x:c r="D5158" s="12" t="n">
        <x:v>0</x:v>
      </x:c>
      <x:c r="E5158" s="12" t="n">
        <x:v>0.3005833333333333</x:v>
      </x:c>
      <x:c r="F5158" s="12" t="n">
        <x:v>0.3003333333333333</x:v>
      </x:c>
      <x:c r="G5158" s="12" t="n">
        <x:v>0</x:v>
      </x:c>
      <x:c r="H5158" s="1" t="n">
        <x:f>'Historical prices'!E5158</x:f>
        <x:v>1.05</x:v>
      </x:c>
      <x:c r="I5158" s="6" t="n">
        <x:f>'Historical prices'!D5158</x:f>
        <x:v>0.2526</x:v>
      </x:c>
      <x:c r="J5158" s="13" t="n">
        <x:f>D5158*I5158*H5158</x:f>
        <x:v>0</x:v>
      </x:c>
      <x:c r="K5158" s="13" t="n">
        <x:f>E5158*I5158*H5158</x:f>
        <x:v>0.0797237175</x:v>
      </x:c>
      <x:c r="L5158" s="1" t="str">
        <x:f>TEXT(A5158,"mmm yyyy")</x:f>
        <x:v>Aug 2026</x:v>
      </x:c>
    </x:row>
    <x:row r="5159" ht="21" customHeight="1">
      <x:c r="A5159" s="10" t="n">
        <x:v>46255</x:v>
      </x:c>
      <x:c r="B5159" s="1" t="n">
        <x:v>23.5</x:v>
      </x:c>
      <x:c r="C5159" s="1" t="n">
        <x:v>6</x:v>
      </x:c>
      <x:c r="D5159" s="12" t="n">
        <x:v>0</x:v>
      </x:c>
      <x:c r="E5159" s="12" t="n">
        <x:v>0.28308333333333335</x:v>
      </x:c>
      <x:c r="F5159" s="12" t="n">
        <x:v>0.2825</x:v>
      </x:c>
      <x:c r="G5159" s="12" t="n">
        <x:v>0</x:v>
      </x:c>
      <x:c r="H5159" s="1" t="n">
        <x:f>'Historical prices'!E5159</x:f>
        <x:v>1.05</x:v>
      </x:c>
      <x:c r="I5159" s="6" t="n">
        <x:f>'Historical prices'!D5159</x:f>
        <x:v>0.2711</x:v>
      </x:c>
      <x:c r="J5159" s="13" t="n">
        <x:f>D5159*I5159*H5159</x:f>
        <x:v>0</x:v>
      </x:c>
      <x:c r="K5159" s="13" t="n">
        <x:f>E5159*I5159*H5159</x:f>
        <x:v>0.08058108625000002</x:v>
      </x:c>
      <x:c r="L5159" s="1" t="str">
        <x:f>TEXT(A5159,"mmm yyyy")</x:f>
        <x:v>Aug 2026</x:v>
      </x:c>
    </x:row>
    <x:row r="5160" ht="21" customHeight="1">
      <x:c r="A5160" s="10" t="n">
        <x:v>46256</x:v>
      </x:c>
      <x:c r="B5160" s="1" t="n">
        <x:v>0</x:v>
      </x:c>
      <x:c r="C5160" s="1" t="n">
        <x:v>6</x:v>
      </x:c>
      <x:c r="D5160" s="12" t="n">
        <x:v>0</x:v>
      </x:c>
      <x:c r="E5160" s="12" t="n">
        <x:v>0.7391666666666665</x:v>
      </x:c>
      <x:c r="F5160" s="12" t="n">
        <x:v>0.73875</x:v>
      </x:c>
      <x:c r="G5160" s="12" t="n">
        <x:v>0</x:v>
      </x:c>
      <x:c r="H5160" s="1" t="n">
        <x:f>'Historical prices'!E5160</x:f>
        <x:v>1.05</x:v>
      </x:c>
      <x:c r="I5160" s="6" t="n">
        <x:f>'Historical prices'!D5160</x:f>
        <x:v>0.26289999999999997</x:v>
      </x:c>
      <x:c r="J5160" s="13" t="n">
        <x:f>D5160*I5160*H5160</x:f>
        <x:v>0</x:v>
      </x:c>
      <x:c r="K5160" s="13" t="n">
        <x:f>E5160*I5160*H5160</x:f>
        <x:v>0.20404326249999993</x:v>
      </x:c>
      <x:c r="L5160" s="1" t="str">
        <x:f>TEXT(A5160,"mmm yyyy")</x:f>
        <x:v>Aug 2026</x:v>
      </x:c>
    </x:row>
    <x:row r="5161" ht="21" customHeight="1">
      <x:c r="A5161" s="10" t="n">
        <x:v>46256</x:v>
      </x:c>
      <x:c r="B5161" s="1" t="n">
        <x:v>0.5</x:v>
      </x:c>
      <x:c r="C5161" s="1" t="n">
        <x:v>6</x:v>
      </x:c>
      <x:c r="D5161" s="12" t="n">
        <x:v>0</x:v>
      </x:c>
      <x:c r="E5161" s="12" t="n">
        <x:v>0.21</x:v>
      </x:c>
      <x:c r="F5161" s="12" t="n">
        <x:v>0.20925</x:v>
      </x:c>
      <x:c r="G5161" s="12" t="n">
        <x:v>0</x:v>
      </x:c>
      <x:c r="H5161" s="1" t="n">
        <x:f>'Historical prices'!E5161</x:f>
        <x:v>1.05</x:v>
      </x:c>
      <x:c r="I5161" s="6" t="n">
        <x:f>'Historical prices'!D5161</x:f>
        <x:v>0.2648</x:v>
      </x:c>
      <x:c r="J5161" s="13" t="n">
        <x:f>D5161*I5161*H5161</x:f>
        <x:v>0</x:v>
      </x:c>
      <x:c r="K5161" s="13" t="n">
        <x:f>E5161*I5161*H5161</x:f>
        <x:v>0.05838839999999999</x:v>
      </x:c>
      <x:c r="L5161" s="1" t="str">
        <x:f>TEXT(A5161,"mmm yyyy")</x:f>
        <x:v>Aug 2026</x:v>
      </x:c>
    </x:row>
    <x:row r="5162" ht="21" customHeight="1">
      <x:c r="A5162" s="10" t="n">
        <x:v>46256</x:v>
      </x:c>
      <x:c r="B5162" s="1" t="n">
        <x:v>1</x:v>
      </x:c>
      <x:c r="C5162" s="1" t="n">
        <x:v>6</x:v>
      </x:c>
      <x:c r="D5162" s="12" t="n">
        <x:v>0</x:v>
      </x:c>
      <x:c r="E5162" s="12" t="n">
        <x:v>0.34316666666666673</x:v>
      </x:c>
      <x:c r="F5162" s="12" t="n">
        <x:v>0.3426666666666666</x:v>
      </x:c>
      <x:c r="G5162" s="12" t="n">
        <x:v>0</x:v>
      </x:c>
      <x:c r="H5162" s="1" t="n">
        <x:f>'Historical prices'!E5162</x:f>
        <x:v>1.05</x:v>
      </x:c>
      <x:c r="I5162" s="6" t="n">
        <x:f>'Historical prices'!D5162</x:f>
        <x:v>0.2545</x:v>
      </x:c>
      <x:c r="J5162" s="13" t="n">
        <x:f>D5162*I5162*H5162</x:f>
        <x:v>0</x:v>
      </x:c>
      <x:c r="K5162" s="13" t="n">
        <x:f>E5162*I5162*H5162</x:f>
        <x:v>0.09170271250000002</x:v>
      </x:c>
      <x:c r="L5162" s="1" t="str">
        <x:f>TEXT(A5162,"mmm yyyy")</x:f>
        <x:v>Aug 2026</x:v>
      </x:c>
    </x:row>
    <x:row r="5163" ht="21" customHeight="1">
      <x:c r="A5163" s="10" t="n">
        <x:v>46256</x:v>
      </x:c>
      <x:c r="B5163" s="1" t="n">
        <x:v>1.5</x:v>
      </x:c>
      <x:c r="C5163" s="1" t="n">
        <x:v>6</x:v>
      </x:c>
      <x:c r="D5163" s="12" t="n">
        <x:v>0</x:v>
      </x:c>
      <x:c r="E5163" s="12" t="n">
        <x:v>0.2468333333333333</x:v>
      </x:c>
      <x:c r="F5163" s="12" t="n">
        <x:v>0.24633333333333335</x:v>
      </x:c>
      <x:c r="G5163" s="12" t="n">
        <x:v>0</x:v>
      </x:c>
      <x:c r="H5163" s="1" t="n">
        <x:f>'Historical prices'!E5163</x:f>
        <x:v>1.05</x:v>
      </x:c>
      <x:c r="I5163" s="6" t="n">
        <x:f>'Historical prices'!D5163</x:f>
        <x:v>0.2606</x:v>
      </x:c>
      <x:c r="J5163" s="13" t="n">
        <x:f>D5163*I5163*H5163</x:f>
        <x:v>0</x:v>
      </x:c>
      <x:c r="K5163" s="13" t="n">
        <x:f>E5163*I5163*H5163</x:f>
        <x:v>0.06754100499999999</x:v>
      </x:c>
      <x:c r="L5163" s="1" t="str">
        <x:f>TEXT(A5163,"mmm yyyy")</x:f>
        <x:v>Aug 2026</x:v>
      </x:c>
    </x:row>
    <x:row r="5164" ht="21" customHeight="1">
      <x:c r="A5164" s="10" t="n">
        <x:v>46256</x:v>
      </x:c>
      <x:c r="B5164" s="1" t="n">
        <x:v>2</x:v>
      </x:c>
      <x:c r="C5164" s="1" t="n">
        <x:v>6</x:v>
      </x:c>
      <x:c r="D5164" s="12" t="n">
        <x:v>0</x:v>
      </x:c>
      <x:c r="E5164" s="12" t="n">
        <x:v>0.2885</x:v>
      </x:c>
      <x:c r="F5164" s="12" t="n">
        <x:v>0.28275</x:v>
      </x:c>
      <x:c r="G5164" s="12" t="n">
        <x:v>0</x:v>
      </x:c>
      <x:c r="H5164" s="1" t="n">
        <x:f>'Historical prices'!E5164</x:f>
        <x:v>1.05</x:v>
      </x:c>
      <x:c r="I5164" s="6" t="n">
        <x:f>'Historical prices'!D5164</x:f>
        <x:v>0.24239999999999998</x:v>
      </x:c>
      <x:c r="J5164" s="13" t="n">
        <x:f>D5164*I5164*H5164</x:f>
        <x:v>0</x:v>
      </x:c>
      <x:c r="K5164" s="13" t="n">
        <x:f>E5164*I5164*H5164</x:f>
        <x:v>0.07342902</x:v>
      </x:c>
      <x:c r="L5164" s="1" t="str">
        <x:f>TEXT(A5164,"mmm yyyy")</x:f>
        <x:v>Aug 2026</x:v>
      </x:c>
    </x:row>
    <x:row r="5165" ht="21" customHeight="1">
      <x:c r="A5165" s="10" t="n">
        <x:v>46256</x:v>
      </x:c>
      <x:c r="B5165" s="1" t="n">
        <x:v>2.5</x:v>
      </x:c>
      <x:c r="C5165" s="1" t="n">
        <x:v>6</x:v>
      </x:c>
      <x:c r="D5165" s="12" t="n">
        <x:v>0</x:v>
      </x:c>
      <x:c r="E5165" s="12" t="n">
        <x:v>0.25675</x:v>
      </x:c>
      <x:c r="F5165" s="12" t="n">
        <x:v>0.25658333333333333</x:v>
      </x:c>
      <x:c r="G5165" s="12" t="n">
        <x:v>0</x:v>
      </x:c>
      <x:c r="H5165" s="1" t="n">
        <x:f>'Historical prices'!E5165</x:f>
        <x:v>1.05</x:v>
      </x:c>
      <x:c r="I5165" s="6" t="n">
        <x:f>'Historical prices'!D5165</x:f>
        <x:v>0.2464</x:v>
      </x:c>
      <x:c r="J5165" s="13" t="n">
        <x:f>D5165*I5165*H5165</x:f>
        <x:v>0</x:v>
      </x:c>
      <x:c r="K5165" s="13" t="n">
        <x:f>E5165*I5165*H5165</x:f>
        <x:v>0.06642635999999999</x:v>
      </x:c>
      <x:c r="L5165" s="1" t="str">
        <x:f>TEXT(A5165,"mmm yyyy")</x:f>
        <x:v>Aug 2026</x:v>
      </x:c>
    </x:row>
    <x:row r="5166" ht="21" customHeight="1">
      <x:c r="A5166" s="10" t="n">
        <x:v>46256</x:v>
      </x:c>
      <x:c r="B5166" s="1" t="n">
        <x:v>3</x:v>
      </x:c>
      <x:c r="C5166" s="1" t="n">
        <x:v>6</x:v>
      </x:c>
      <x:c r="D5166" s="12" t="n">
        <x:v>0</x:v>
      </x:c>
      <x:c r="E5166" s="12" t="n">
        <x:v>0.243</x:v>
      </x:c>
      <x:c r="F5166" s="12" t="n">
        <x:v>0.24258333333333332</x:v>
      </x:c>
      <x:c r="G5166" s="12" t="n">
        <x:v>0</x:v>
      </x:c>
      <x:c r="H5166" s="1" t="n">
        <x:f>'Historical prices'!E5166</x:f>
        <x:v>1.05</x:v>
      </x:c>
      <x:c r="I5166" s="6" t="n">
        <x:f>'Historical prices'!D5166</x:f>
        <x:v>0.2489</x:v>
      </x:c>
      <x:c r="J5166" s="13" t="n">
        <x:f>D5166*I5166*H5166</x:f>
        <x:v>0</x:v>
      </x:c>
      <x:c r="K5166" s="13" t="n">
        <x:f>E5166*I5166*H5166</x:f>
        <x:v>0.063506835</x:v>
      </x:c>
      <x:c r="L5166" s="1" t="str">
        <x:f>TEXT(A5166,"mmm yyyy")</x:f>
        <x:v>Aug 2026</x:v>
      </x:c>
    </x:row>
    <x:row r="5167" ht="21" customHeight="1">
      <x:c r="A5167" s="10" t="n">
        <x:v>46256</x:v>
      </x:c>
      <x:c r="B5167" s="1" t="n">
        <x:v>3.5</x:v>
      </x:c>
      <x:c r="C5167" s="1" t="n">
        <x:v>6</x:v>
      </x:c>
      <x:c r="D5167" s="12" t="n">
        <x:v>0</x:v>
      </x:c>
      <x:c r="E5167" s="12" t="n">
        <x:v>0.26475</x:v>
      </x:c>
      <x:c r="F5167" s="12" t="n">
        <x:v>0.26416666666666666</x:v>
      </x:c>
      <x:c r="G5167" s="12" t="n">
        <x:v>0</x:v>
      </x:c>
      <x:c r="H5167" s="1" t="n">
        <x:f>'Historical prices'!E5167</x:f>
        <x:v>1.05</x:v>
      </x:c>
      <x:c r="I5167" s="6" t="n">
        <x:f>'Historical prices'!D5167</x:f>
        <x:v>0.23920000000000002</x:v>
      </x:c>
      <x:c r="J5167" s="13" t="n">
        <x:f>D5167*I5167*H5167</x:f>
        <x:v>0</x:v>
      </x:c>
      <x:c r="K5167" s="13" t="n">
        <x:f>E5167*I5167*H5167</x:f>
        <x:v>0.06649461000000001</x:v>
      </x:c>
      <x:c r="L5167" s="1" t="str">
        <x:f>TEXT(A5167,"mmm yyyy")</x:f>
        <x:v>Aug 2026</x:v>
      </x:c>
    </x:row>
    <x:row r="5168" ht="21" customHeight="1">
      <x:c r="A5168" s="10" t="n">
        <x:v>46256</x:v>
      </x:c>
      <x:c r="B5168" s="1" t="n">
        <x:v>4</x:v>
      </x:c>
      <x:c r="C5168" s="1" t="n">
        <x:v>6</x:v>
      </x:c>
      <x:c r="D5168" s="12" t="n">
        <x:v>0</x:v>
      </x:c>
      <x:c r="E5168" s="12" t="n">
        <x:v>0.25508333333333333</x:v>
      </x:c>
      <x:c r="F5168" s="12" t="n">
        <x:v>0.2545</x:v>
      </x:c>
      <x:c r="G5168" s="12" t="n">
        <x:v>0</x:v>
      </x:c>
      <x:c r="H5168" s="1" t="n">
        <x:f>'Historical prices'!E5168</x:f>
        <x:v>1.05</x:v>
      </x:c>
      <x:c r="I5168" s="6" t="n">
        <x:f>'Historical prices'!D5168</x:f>
        <x:v>0.2419</x:v>
      </x:c>
      <x:c r="J5168" s="13" t="n">
        <x:f>D5168*I5168*H5168</x:f>
        <x:v>0</x:v>
      </x:c>
      <x:c r="K5168" s="13" t="n">
        <x:f>E5168*I5168*H5168</x:f>
        <x:v>0.06478989125000001</x:v>
      </x:c>
      <x:c r="L5168" s="1" t="str">
        <x:f>TEXT(A5168,"mmm yyyy")</x:f>
        <x:v>Aug 2026</x:v>
      </x:c>
    </x:row>
    <x:row r="5169" ht="21" customHeight="1">
      <x:c r="A5169" s="10" t="n">
        <x:v>46256</x:v>
      </x:c>
      <x:c r="B5169" s="1" t="n">
        <x:v>4.5</x:v>
      </x:c>
      <x:c r="C5169" s="1" t="n">
        <x:v>6</x:v>
      </x:c>
      <x:c r="D5169" s="12" t="n">
        <x:v>0</x:v>
      </x:c>
      <x:c r="E5169" s="12" t="n">
        <x:v>0.29983333333333334</x:v>
      </x:c>
      <x:c r="F5169" s="12" t="n">
        <x:v>0.29916666666666664</x:v>
      </x:c>
      <x:c r="G5169" s="12" t="n">
        <x:v>0</x:v>
      </x:c>
      <x:c r="H5169" s="1" t="n">
        <x:f>'Historical prices'!E5169</x:f>
        <x:v>1.05</x:v>
      </x:c>
      <x:c r="I5169" s="6" t="n">
        <x:f>'Historical prices'!D5169</x:f>
        <x:v>0.2373</x:v>
      </x:c>
      <x:c r="J5169" s="13" t="n">
        <x:f>D5169*I5169*H5169</x:f>
        <x:v>0</x:v>
      </x:c>
      <x:c r="K5169" s="13" t="n">
        <x:f>E5169*I5169*H5169</x:f>
        <x:v>0.07470797250000001</x:v>
      </x:c>
      <x:c r="L5169" s="1" t="str">
        <x:f>TEXT(A5169,"mmm yyyy")</x:f>
        <x:v>Aug 2026</x:v>
      </x:c>
    </x:row>
    <x:row r="5170" ht="21" customHeight="1">
      <x:c r="A5170" s="10" t="n">
        <x:v>46256</x:v>
      </x:c>
      <x:c r="B5170" s="1" t="n">
        <x:v>5</x:v>
      </x:c>
      <x:c r="C5170" s="1" t="n">
        <x:v>6</x:v>
      </x:c>
      <x:c r="D5170" s="12" t="n">
        <x:v>0</x:v>
      </x:c>
      <x:c r="E5170" s="12" t="n">
        <x:v>0.2270833333333333</x:v>
      </x:c>
      <x:c r="F5170" s="12" t="n">
        <x:v>0.22641666666666665</x:v>
      </x:c>
      <x:c r="G5170" s="12" t="n">
        <x:v>0</x:v>
      </x:c>
      <x:c r="H5170" s="1" t="n">
        <x:f>'Historical prices'!E5170</x:f>
        <x:v>1.05</x:v>
      </x:c>
      <x:c r="I5170" s="6" t="n">
        <x:f>'Historical prices'!D5170</x:f>
        <x:v>0.2477</x:v>
      </x:c>
      <x:c r="J5170" s="13" t="n">
        <x:f>D5170*I5170*H5170</x:f>
        <x:v>0</x:v>
      </x:c>
      <x:c r="K5170" s="13" t="n">
        <x:f>E5170*I5170*H5170</x:f>
        <x:v>0.05906096874999999</x:v>
      </x:c>
      <x:c r="L5170" s="1" t="str">
        <x:f>TEXT(A5170,"mmm yyyy")</x:f>
        <x:v>Aug 2026</x:v>
      </x:c>
    </x:row>
    <x:row r="5171" ht="21" customHeight="1">
      <x:c r="A5171" s="10" t="n">
        <x:v>46256</x:v>
      </x:c>
      <x:c r="B5171" s="1" t="n">
        <x:v>5.5</x:v>
      </x:c>
      <x:c r="C5171" s="1" t="n">
        <x:v>6</x:v>
      </x:c>
      <x:c r="D5171" s="12" t="n">
        <x:v>0</x:v>
      </x:c>
      <x:c r="E5171" s="12" t="n">
        <x:v>0.30125</x:v>
      </x:c>
      <x:c r="F5171" s="12" t="n">
        <x:v>0.3009166666666667</x:v>
      </x:c>
      <x:c r="G5171" s="12" t="n">
        <x:v>0</x:v>
      </x:c>
      <x:c r="H5171" s="1" t="n">
        <x:f>'Historical prices'!E5171</x:f>
        <x:v>1.05</x:v>
      </x:c>
      <x:c r="I5171" s="6" t="n">
        <x:f>'Historical prices'!D5171</x:f>
        <x:v>0.2401</x:v>
      </x:c>
      <x:c r="J5171" s="13" t="n">
        <x:f>D5171*I5171*H5171</x:f>
        <x:v>0</x:v>
      </x:c>
      <x:c r="K5171" s="13" t="n">
        <x:f>E5171*I5171*H5171</x:f>
        <x:v>0.07594663125000001</x:v>
      </x:c>
      <x:c r="L5171" s="1" t="str">
        <x:f>TEXT(A5171,"mmm yyyy")</x:f>
        <x:v>Aug 2026</x:v>
      </x:c>
    </x:row>
    <x:row r="5172" ht="21" customHeight="1">
      <x:c r="A5172" s="10" t="n">
        <x:v>46256</x:v>
      </x:c>
      <x:c r="B5172" s="1" t="n">
        <x:v>6</x:v>
      </x:c>
      <x:c r="C5172" s="1" t="n">
        <x:v>6</x:v>
      </x:c>
      <x:c r="D5172" s="12" t="n">
        <x:v>0</x:v>
      </x:c>
      <x:c r="E5172" s="12" t="n">
        <x:v>0.33566666666666667</x:v>
      </x:c>
      <x:c r="F5172" s="12" t="n">
        <x:v>0.33508333333333334</x:v>
      </x:c>
      <x:c r="G5172" s="12" t="n">
        <x:v>0</x:v>
      </x:c>
      <x:c r="H5172" s="1" t="n">
        <x:f>'Historical prices'!E5172</x:f>
        <x:v>1.05</x:v>
      </x:c>
      <x:c r="I5172" s="6" t="n">
        <x:f>'Historical prices'!D5172</x:f>
        <x:v>0.2113</x:v>
      </x:c>
      <x:c r="J5172" s="13" t="n">
        <x:f>D5172*I5172*H5172</x:f>
        <x:v>0</x:v>
      </x:c>
      <x:c r="K5172" s="13" t="n">
        <x:f>E5172*I5172*H5172</x:f>
        <x:v>0.074472685</x:v>
      </x:c>
      <x:c r="L5172" s="1" t="str">
        <x:f>TEXT(A5172,"mmm yyyy")</x:f>
        <x:v>Aug 2026</x:v>
      </x:c>
    </x:row>
    <x:row r="5173" ht="21" customHeight="1">
      <x:c r="A5173" s="10" t="n">
        <x:v>46256</x:v>
      </x:c>
      <x:c r="B5173" s="1" t="n">
        <x:v>6.5</x:v>
      </x:c>
      <x:c r="C5173" s="1" t="n">
        <x:v>6</x:v>
      </x:c>
      <x:c r="D5173" s="12" t="n">
        <x:v>0</x:v>
      </x:c>
      <x:c r="E5173" s="12" t="n">
        <x:v>0.62725</x:v>
      </x:c>
      <x:c r="F5173" s="12" t="n">
        <x:v>0.6270833333333333</x:v>
      </x:c>
      <x:c r="G5173" s="12" t="n">
        <x:v>0</x:v>
      </x:c>
      <x:c r="H5173" s="1" t="n">
        <x:f>'Historical prices'!E5173</x:f>
        <x:v>1.05</x:v>
      </x:c>
      <x:c r="I5173" s="6" t="n">
        <x:f>'Historical prices'!D5173</x:f>
        <x:v>0.2127</x:v>
      </x:c>
      <x:c r="J5173" s="13" t="n">
        <x:f>D5173*I5173*H5173</x:f>
        <x:v>0</x:v>
      </x:c>
      <x:c r="K5173" s="13" t="n">
        <x:f>E5173*I5173*H5173</x:f>
        <x:v>0.14008687875</x:v>
      </x:c>
      <x:c r="L5173" s="1" t="str">
        <x:f>TEXT(A5173,"mmm yyyy")</x:f>
        <x:v>Aug 2026</x:v>
      </x:c>
    </x:row>
    <x:row r="5174" ht="21" customHeight="1">
      <x:c r="A5174" s="10" t="n">
        <x:v>46256</x:v>
      </x:c>
      <x:c r="B5174" s="1" t="n">
        <x:v>7</x:v>
      </x:c>
      <x:c r="C5174" s="1" t="n">
        <x:v>6</x:v>
      </x:c>
      <x:c r="D5174" s="12" t="n">
        <x:v>0</x:v>
      </x:c>
      <x:c r="E5174" s="12" t="n">
        <x:v>0.55725</x:v>
      </x:c>
      <x:c r="F5174" s="12" t="n">
        <x:v>0.5565</x:v>
      </x:c>
      <x:c r="G5174" s="12" t="n">
        <x:v>0</x:v>
      </x:c>
      <x:c r="H5174" s="1" t="n">
        <x:f>'Historical prices'!E5174</x:f>
        <x:v>1.05</x:v>
      </x:c>
      <x:c r="I5174" s="6" t="n">
        <x:f>'Historical prices'!D5174</x:f>
        <x:v>0.1909</x:v>
      </x:c>
      <x:c r="J5174" s="13" t="n">
        <x:f>D5174*I5174*H5174</x:f>
        <x:v>0</x:v>
      </x:c>
      <x:c r="K5174" s="13" t="n">
        <x:f>E5174*I5174*H5174</x:f>
        <x:v>0.11169797625000001</x:v>
      </x:c>
      <x:c r="L5174" s="1" t="str">
        <x:f>TEXT(A5174,"mmm yyyy")</x:f>
        <x:v>Aug 2026</x:v>
      </x:c>
    </x:row>
    <x:row r="5175" ht="21" customHeight="1">
      <x:c r="A5175" s="10" t="n">
        <x:v>46256</x:v>
      </x:c>
      <x:c r="B5175" s="1" t="n">
        <x:v>7.5</x:v>
      </x:c>
      <x:c r="C5175" s="1" t="n">
        <x:v>6</x:v>
      </x:c>
      <x:c r="D5175" s="12" t="n">
        <x:v>0</x:v>
      </x:c>
      <x:c r="E5175" s="12" t="n">
        <x:v>0.5568333333333334</x:v>
      </x:c>
      <x:c r="F5175" s="12" t="n">
        <x:v>0.5565833333333333</x:v>
      </x:c>
      <x:c r="G5175" s="12" t="n">
        <x:v>0</x:v>
      </x:c>
      <x:c r="H5175" s="1" t="n">
        <x:f>'Historical prices'!E5175</x:f>
        <x:v>1.05</x:v>
      </x:c>
      <x:c r="I5175" s="6" t="n">
        <x:f>'Historical prices'!D5175</x:f>
        <x:v>0.1957</x:v>
      </x:c>
      <x:c r="J5175" s="13" t="n">
        <x:f>D5175*I5175*H5175</x:f>
        <x:v>0</x:v>
      </x:c>
      <x:c r="K5175" s="13" t="n">
        <x:f>E5175*I5175*H5175</x:f>
        <x:v>0.11442089750000002</x:v>
      </x:c>
      <x:c r="L5175" s="1" t="str">
        <x:f>TEXT(A5175,"mmm yyyy")</x:f>
        <x:v>Aug 2026</x:v>
      </x:c>
    </x:row>
    <x:row r="5176" ht="21" customHeight="1">
      <x:c r="A5176" s="10" t="n">
        <x:v>46256</x:v>
      </x:c>
      <x:c r="B5176" s="1" t="n">
        <x:v>8</x:v>
      </x:c>
      <x:c r="C5176" s="1" t="n">
        <x:v>6</x:v>
      </x:c>
      <x:c r="D5176" s="12" t="n">
        <x:v>0.39425</x:v>
      </x:c>
      <x:c r="E5176" s="12" t="n">
        <x:v>0.49349999999999994</x:v>
      </x:c>
      <x:c r="F5176" s="12" t="n">
        <x:v>0.088</x:v>
      </x:c>
      <x:c r="G5176" s="12" t="n">
        <x:v>0</x:v>
      </x:c>
      <x:c r="H5176" s="1" t="n">
        <x:f>'Historical prices'!E5176</x:f>
        <x:v>1.05</x:v>
      </x:c>
      <x:c r="I5176" s="6" t="n">
        <x:f>'Historical prices'!D5176</x:f>
        <x:v>0.16510000000000002</x:v>
      </x:c>
      <x:c r="J5176" s="13" t="n">
        <x:f>D5176*I5176*H5176</x:f>
        <x:v>0.06834520875000002</x:v>
      </x:c>
      <x:c r="K5176" s="13" t="n">
        <x:f>E5176*I5176*H5176</x:f>
        <x:v>0.08555069250000001</x:v>
      </x:c>
      <x:c r="L5176" s="1" t="str">
        <x:f>TEXT(A5176,"mmm yyyy")</x:f>
        <x:v>Aug 2026</x:v>
      </x:c>
    </x:row>
    <x:row r="5177" ht="21" customHeight="1">
      <x:c r="A5177" s="10" t="n">
        <x:v>46256</x:v>
      </x:c>
      <x:c r="B5177" s="1" t="n">
        <x:v>8.5</x:v>
      </x:c>
      <x:c r="C5177" s="1" t="n">
        <x:v>6</x:v>
      </x:c>
      <x:c r="D5177" s="12" t="n">
        <x:v>0.57525</x:v>
      </x:c>
      <x:c r="E5177" s="12" t="n">
        <x:v>0.58625</x:v>
      </x:c>
      <x:c r="F5177" s="12" t="n">
        <x:v>0</x:v>
      </x:c>
      <x:c r="G5177" s="12" t="n">
        <x:v>0</x:v>
      </x:c>
      <x:c r="H5177" s="1" t="n">
        <x:f>'Historical prices'!E5177</x:f>
        <x:v>1.05</x:v>
      </x:c>
      <x:c r="I5177" s="6" t="n">
        <x:f>'Historical prices'!D5177</x:f>
        <x:v>0.16</x:v>
      </x:c>
      <x:c r="J5177" s="13" t="n">
        <x:f>D5177*I5177*H5177</x:f>
        <x:v>0.09664200000000002</x:v>
      </x:c>
      <x:c r="K5177" s="13" t="n">
        <x:f>E5177*I5177*H5177</x:f>
        <x:v>0.09849000000000001</x:v>
      </x:c>
      <x:c r="L5177" s="1" t="str">
        <x:f>TEXT(A5177,"mmm yyyy")</x:f>
        <x:v>Aug 2026</x:v>
      </x:c>
    </x:row>
    <x:row r="5178" ht="21" customHeight="1">
      <x:c r="A5178" s="10" t="n">
        <x:v>46256</x:v>
      </x:c>
      <x:c r="B5178" s="1" t="n">
        <x:v>9</x:v>
      </x:c>
      <x:c r="C5178" s="1" t="n">
        <x:v>6</x:v>
      </x:c>
      <x:c r="D5178" s="12" t="n">
        <x:v>4.31</x:v>
      </x:c>
      <x:c r="E5178" s="12" t="n">
        <x:v>0.7270000000000001</x:v>
      </x:c>
      <x:c r="F5178" s="12" t="n">
        <x:v>0</x:v>
      </x:c>
      <x:c r="G5178" s="12" t="n">
        <x:v>3.584</x:v>
      </x:c>
      <x:c r="H5178" s="1" t="n">
        <x:f>'Historical prices'!E5178</x:f>
        <x:v>1.05</x:v>
      </x:c>
      <x:c r="I5178" s="6" t="n">
        <x:f>'Historical prices'!D5178</x:f>
        <x:v>0.1419</x:v>
      </x:c>
      <x:c r="J5178" s="13" t="n">
        <x:f>D5178*I5178*H5178</x:f>
        <x:v>0.64216845</x:v>
      </x:c>
      <x:c r="K5178" s="13" t="n">
        <x:f>E5178*I5178*H5178</x:f>
        <x:v>0.10831936500000001</x:v>
      </x:c>
      <x:c r="L5178" s="1" t="str">
        <x:f>TEXT(A5178,"mmm yyyy")</x:f>
        <x:v>Aug 2026</x:v>
      </x:c>
    </x:row>
    <x:row r="5179" ht="21" customHeight="1">
      <x:c r="A5179" s="10" t="n">
        <x:v>46256</x:v>
      </x:c>
      <x:c r="B5179" s="1" t="n">
        <x:v>9.5</x:v>
      </x:c>
      <x:c r="C5179" s="1" t="n">
        <x:v>6</x:v>
      </x:c>
      <x:c r="D5179" s="12" t="n">
        <x:v>4.9662500000000005</x:v>
      </x:c>
      <x:c r="E5179" s="12" t="n">
        <x:v>0.71925</x:v>
      </x:c>
      <x:c r="F5179" s="12" t="n">
        <x:v>0</x:v>
      </x:c>
      <x:c r="G5179" s="12" t="n">
        <x:v>4.247</x:v>
      </x:c>
      <x:c r="H5179" s="1" t="n">
        <x:f>'Historical prices'!E5179</x:f>
        <x:v>1.05</x:v>
      </x:c>
      <x:c r="I5179" s="6" t="n">
        <x:f>'Historical prices'!D5179</x:f>
        <x:v>0.1368</x:v>
      </x:c>
      <x:c r="J5179" s="13" t="n">
        <x:f>D5179*I5179*H5179</x:f>
        <x:v>0.7133521500000001</x:v>
      </x:c>
      <x:c r="K5179" s="13" t="n">
        <x:f>E5179*I5179*H5179</x:f>
        <x:v>0.10331306999999999</x:v>
      </x:c>
      <x:c r="L5179" s="1" t="str">
        <x:f>TEXT(A5179,"mmm yyyy")</x:f>
        <x:v>Aug 2026</x:v>
      </x:c>
    </x:row>
    <x:row r="5180" ht="21" customHeight="1">
      <x:c r="A5180" s="10" t="n">
        <x:v>46256</x:v>
      </x:c>
      <x:c r="B5180" s="1" t="n">
        <x:v>10</x:v>
      </x:c>
      <x:c r="C5180" s="1" t="n">
        <x:v>6</x:v>
      </x:c>
      <x:c r="D5180" s="12" t="n">
        <x:v>1.487</x:v>
      </x:c>
      <x:c r="E5180" s="12" t="n">
        <x:v>0.7550000000000001</x:v>
      </x:c>
      <x:c r="F5180" s="12" t="n">
        <x:v>0</x:v>
      </x:c>
      <x:c r="G5180" s="12" t="n">
        <x:v>0.732</x:v>
      </x:c>
      <x:c r="H5180" s="1" t="n">
        <x:f>'Historical prices'!E5180</x:f>
        <x:v>1.05</x:v>
      </x:c>
      <x:c r="I5180" s="6" t="n">
        <x:f>'Historical prices'!D5180</x:f>
        <x:v>0.1598</x:v>
      </x:c>
      <x:c r="J5180" s="13" t="n">
        <x:f>D5180*I5180*H5180</x:f>
        <x:v>0.24950373000000003</x:v>
      </x:c>
      <x:c r="K5180" s="13" t="n">
        <x:f>E5180*I5180*H5180</x:f>
        <x:v>0.12668145000000003</x:v>
      </x:c>
      <x:c r="L5180" s="1" t="str">
        <x:f>TEXT(A5180,"mmm yyyy")</x:f>
        <x:v>Aug 2026</x:v>
      </x:c>
    </x:row>
    <x:row r="5181" ht="21" customHeight="1">
      <x:c r="A5181" s="10" t="n">
        <x:v>46256</x:v>
      </x:c>
      <x:c r="B5181" s="1" t="n">
        <x:v>10.5</x:v>
      </x:c>
      <x:c r="C5181" s="1" t="n">
        <x:v>6</x:v>
      </x:c>
      <x:c r="D5181" s="12" t="n">
        <x:v>0.502</x:v>
      </x:c>
      <x:c r="E5181" s="12" t="n">
        <x:v>0.514</x:v>
      </x:c>
      <x:c r="F5181" s="12" t="n">
        <x:v>0</x:v>
      </x:c>
      <x:c r="G5181" s="12" t="n">
        <x:v>0</x:v>
      </x:c>
      <x:c r="H5181" s="1" t="n">
        <x:f>'Historical prices'!E5181</x:f>
        <x:v>1.05</x:v>
      </x:c>
      <x:c r="I5181" s="6" t="n">
        <x:f>'Historical prices'!D5181</x:f>
        <x:v>0.15789999999999998</x:v>
      </x:c>
      <x:c r="J5181" s="13" t="n">
        <x:f>D5181*I5181*H5181</x:f>
        <x:v>0.08322909</x:v>
      </x:c>
      <x:c r="K5181" s="13" t="n">
        <x:f>E5181*I5181*H5181</x:f>
        <x:v>0.08521863</x:v>
      </x:c>
      <x:c r="L5181" s="1" t="str">
        <x:f>TEXT(A5181,"mmm yyyy")</x:f>
        <x:v>Aug 2026</x:v>
      </x:c>
    </x:row>
    <x:row r="5182" ht="21" customHeight="1">
      <x:c r="A5182" s="10" t="n">
        <x:v>46256</x:v>
      </x:c>
      <x:c r="B5182" s="1" t="n">
        <x:v>11</x:v>
      </x:c>
      <x:c r="C5182" s="1" t="n">
        <x:v>6</x:v>
      </x:c>
      <x:c r="D5182" s="12" t="n">
        <x:v>0.46025</x:v>
      </x:c>
      <x:c r="E5182" s="12" t="n">
        <x:v>0.47125</x:v>
      </x:c>
      <x:c r="F5182" s="12" t="n">
        <x:v>0</x:v>
      </x:c>
      <x:c r="G5182" s="12" t="n">
        <x:v>0</x:v>
      </x:c>
      <x:c r="H5182" s="1" t="n">
        <x:f>'Historical prices'!E5182</x:f>
        <x:v>1.05</x:v>
      </x:c>
      <x:c r="I5182" s="6" t="n">
        <x:f>'Historical prices'!D5182</x:f>
        <x:v>0.1605</x:v>
      </x:c>
      <x:c r="J5182" s="13" t="n">
        <x:f>D5182*I5182*H5182</x:f>
        <x:v>0.07756363125</x:v>
      </x:c>
      <x:c r="K5182" s="13" t="n">
        <x:f>E5182*I5182*H5182</x:f>
        <x:v>0.07941740625</x:v>
      </x:c>
      <x:c r="L5182" s="1" t="str">
        <x:f>TEXT(A5182,"mmm yyyy")</x:f>
        <x:v>Aug 2026</x:v>
      </x:c>
    </x:row>
    <x:row r="5183" ht="21" customHeight="1">
      <x:c r="A5183" s="10" t="n">
        <x:v>46256</x:v>
      </x:c>
      <x:c r="B5183" s="1" t="n">
        <x:v>11.5</x:v>
      </x:c>
      <x:c r="C5183" s="1" t="n">
        <x:v>6</x:v>
      </x:c>
      <x:c r="D5183" s="12" t="n">
        <x:v>0.44375000000000003</x:v>
      </x:c>
      <x:c r="E5183" s="12" t="n">
        <x:v>0.45575000000000004</x:v>
      </x:c>
      <x:c r="F5183" s="12" t="n">
        <x:v>0</x:v>
      </x:c>
      <x:c r="G5183" s="12" t="n">
        <x:v>0</x:v>
      </x:c>
      <x:c r="H5183" s="1" t="n">
        <x:f>'Historical prices'!E5183</x:f>
        <x:v>1.05</x:v>
      </x:c>
      <x:c r="I5183" s="6" t="n">
        <x:f>'Historical prices'!D5183</x:f>
        <x:v>0.1516</x:v>
      </x:c>
      <x:c r="J5183" s="13" t="n">
        <x:f>D5183*I5183*H5183</x:f>
        <x:v>0.07063612500000002</x:v>
      </x:c>
      <x:c r="K5183" s="13" t="n">
        <x:f>E5183*I5183*H5183</x:f>
        <x:v>0.07254628500000002</x:v>
      </x:c>
      <x:c r="L5183" s="1" t="str">
        <x:f>TEXT(A5183,"mmm yyyy")</x:f>
        <x:v>Aug 2026</x:v>
      </x:c>
    </x:row>
    <x:row r="5184" ht="21" customHeight="1">
      <x:c r="A5184" s="10" t="n">
        <x:v>46256</x:v>
      </x:c>
      <x:c r="B5184" s="1" t="n">
        <x:v>12</x:v>
      </x:c>
      <x:c r="C5184" s="1" t="n">
        <x:v>6</x:v>
      </x:c>
      <x:c r="D5184" s="12" t="n">
        <x:v>0.45025</x:v>
      </x:c>
      <x:c r="E5184" s="12" t="n">
        <x:v>0.46025</x:v>
      </x:c>
      <x:c r="F5184" s="12" t="n">
        <x:v>0</x:v>
      </x:c>
      <x:c r="G5184" s="12" t="n">
        <x:v>0</x:v>
      </x:c>
      <x:c r="H5184" s="1" t="n">
        <x:f>'Historical prices'!E5184</x:f>
        <x:v>1.05</x:v>
      </x:c>
      <x:c r="I5184" s="6" t="n">
        <x:f>'Historical prices'!D5184</x:f>
        <x:v>0.1637</x:v>
      </x:c>
      <x:c r="J5184" s="13" t="n">
        <x:f>D5184*I5184*H5184</x:f>
        <x:v>0.07739122125</x:v>
      </x:c>
      <x:c r="K5184" s="13" t="n">
        <x:f>E5184*I5184*H5184</x:f>
        <x:v>0.07911007125000001</x:v>
      </x:c>
      <x:c r="L5184" s="1" t="str">
        <x:f>TEXT(A5184,"mmm yyyy")</x:f>
        <x:v>Aug 2026</x:v>
      </x:c>
    </x:row>
    <x:row r="5185" ht="21" customHeight="1">
      <x:c r="A5185" s="10" t="n">
        <x:v>46256</x:v>
      </x:c>
      <x:c r="B5185" s="1" t="n">
        <x:v>12.5</x:v>
      </x:c>
      <x:c r="C5185" s="1" t="n">
        <x:v>6</x:v>
      </x:c>
      <x:c r="D5185" s="12" t="n">
        <x:v>0.396</x:v>
      </x:c>
      <x:c r="E5185" s="12" t="n">
        <x:v>0.40700000000000003</x:v>
      </x:c>
      <x:c r="F5185" s="12" t="n">
        <x:v>0</x:v>
      </x:c>
      <x:c r="G5185" s="12" t="n">
        <x:v>0</x:v>
      </x:c>
      <x:c r="H5185" s="1" t="n">
        <x:f>'Historical prices'!E5185</x:f>
        <x:v>1.05</x:v>
      </x:c>
      <x:c r="I5185" s="6" t="n">
        <x:f>'Historical prices'!D5185</x:f>
        <x:v>0.1568</x:v>
      </x:c>
      <x:c r="J5185" s="13" t="n">
        <x:f>D5185*I5185*H5185</x:f>
        <x:v>0.06519744000000001</x:v>
      </x:c>
      <x:c r="K5185" s="13" t="n">
        <x:f>E5185*I5185*H5185</x:f>
        <x:v>0.06700848000000001</x:v>
      </x:c>
      <x:c r="L5185" s="1" t="str">
        <x:f>TEXT(A5185,"mmm yyyy")</x:f>
        <x:v>Aug 2026</x:v>
      </x:c>
    </x:row>
    <x:row r="5186" ht="21" customHeight="1">
      <x:c r="A5186" s="10" t="n">
        <x:v>46256</x:v>
      </x:c>
      <x:c r="B5186" s="1" t="n">
        <x:v>13</x:v>
      </x:c>
      <x:c r="C5186" s="1" t="n">
        <x:v>6</x:v>
      </x:c>
      <x:c r="D5186" s="12" t="n">
        <x:v>0.7422500000000001</x:v>
      </x:c>
      <x:c r="E5186" s="12" t="n">
        <x:v>0.75225</x:v>
      </x:c>
      <x:c r="F5186" s="12" t="n">
        <x:v>0</x:v>
      </x:c>
      <x:c r="G5186" s="12" t="n">
        <x:v>0</x:v>
      </x:c>
      <x:c r="H5186" s="1" t="n">
        <x:f>'Historical prices'!E5186</x:f>
        <x:v>1.05</x:v>
      </x:c>
      <x:c r="I5186" s="6" t="n">
        <x:f>'Historical prices'!D5186</x:f>
        <x:v>0.1605</x:v>
      </x:c>
      <x:c r="J5186" s="13" t="n">
        <x:f>D5186*I5186*H5186</x:f>
        <x:v>0.12508768125000003</x:v>
      </x:c>
      <x:c r="K5186" s="13" t="n">
        <x:f>E5186*I5186*H5186</x:f>
        <x:v>0.12677293125</x:v>
      </x:c>
      <x:c r="L5186" s="1" t="str">
        <x:f>TEXT(A5186,"mmm yyyy")</x:f>
        <x:v>Aug 2026</x:v>
      </x:c>
    </x:row>
    <x:row r="5187" ht="21" customHeight="1">
      <x:c r="A5187" s="10" t="n">
        <x:v>46256</x:v>
      </x:c>
      <x:c r="B5187" s="1" t="n">
        <x:v>13.5</x:v>
      </x:c>
      <x:c r="C5187" s="1" t="n">
        <x:v>6</x:v>
      </x:c>
      <x:c r="D5187" s="12" t="n">
        <x:v>0.5945</x:v>
      </x:c>
      <x:c r="E5187" s="12" t="n">
        <x:v>0.6065</x:v>
      </x:c>
      <x:c r="F5187" s="12" t="n">
        <x:v>0</x:v>
      </x:c>
      <x:c r="G5187" s="12" t="n">
        <x:v>0</x:v>
      </x:c>
      <x:c r="H5187" s="1" t="n">
        <x:f>'Historical prices'!E5187</x:f>
        <x:v>1.05</x:v>
      </x:c>
      <x:c r="I5187" s="6" t="n">
        <x:f>'Historical prices'!D5187</x:f>
        <x:v>0.16</x:v>
      </x:c>
      <x:c r="J5187" s="13" t="n">
        <x:f>D5187*I5187*H5187</x:f>
        <x:v>0.09987600000000002</x:v>
      </x:c>
      <x:c r="K5187" s="13" t="n">
        <x:f>E5187*I5187*H5187</x:f>
        <x:v>0.10189200000000002</x:v>
      </x:c>
      <x:c r="L5187" s="1" t="str">
        <x:f>TEXT(A5187,"mmm yyyy")</x:f>
        <x:v>Aug 2026</x:v>
      </x:c>
    </x:row>
    <x:row r="5188" ht="21" customHeight="1">
      <x:c r="A5188" s="10" t="n">
        <x:v>46256</x:v>
      </x:c>
      <x:c r="B5188" s="1" t="n">
        <x:v>14</x:v>
      </x:c>
      <x:c r="C5188" s="1" t="n">
        <x:v>6</x:v>
      </x:c>
      <x:c r="D5188" s="12" t="n">
        <x:v>2.4315</x:v>
      </x:c>
      <x:c r="E5188" s="12" t="n">
        <x:v>0.5435</x:v>
      </x:c>
      <x:c r="F5188" s="12" t="n">
        <x:v>0</x:v>
      </x:c>
      <x:c r="G5188" s="12" t="n">
        <x:v>1.8889999999999998</x:v>
      </x:c>
      <x:c r="H5188" s="1" t="n">
        <x:f>'Historical prices'!E5188</x:f>
        <x:v>1.05</x:v>
      </x:c>
      <x:c r="I5188" s="6" t="n">
        <x:f>'Historical prices'!D5188</x:f>
        <x:v>0.1474</x:v>
      </x:c>
      <x:c r="J5188" s="13" t="n">
        <x:f>D5188*I5188*H5188</x:f>
        <x:v>0.376323255</x:v>
      </x:c>
      <x:c r="K5188" s="13" t="n">
        <x:f>E5188*I5188*H5188</x:f>
        <x:v>0.084117495</x:v>
      </x:c>
      <x:c r="L5188" s="1" t="str">
        <x:f>TEXT(A5188,"mmm yyyy")</x:f>
        <x:v>Aug 2026</x:v>
      </x:c>
    </x:row>
    <x:row r="5189" ht="21" customHeight="1">
      <x:c r="A5189" s="10" t="n">
        <x:v>46256</x:v>
      </x:c>
      <x:c r="B5189" s="1" t="n">
        <x:v>14.5</x:v>
      </x:c>
      <x:c r="C5189" s="1" t="n">
        <x:v>6</x:v>
      </x:c>
      <x:c r="D5189" s="12" t="n">
        <x:v>1.33475</x:v>
      </x:c>
      <x:c r="E5189" s="12" t="n">
        <x:v>1.34775</x:v>
      </x:c>
      <x:c r="F5189" s="12" t="n">
        <x:v>0</x:v>
      </x:c>
      <x:c r="G5189" s="12" t="n">
        <x:v>0</x:v>
      </x:c>
      <x:c r="H5189" s="1" t="n">
        <x:f>'Historical prices'!E5189</x:f>
        <x:v>1.05</x:v>
      </x:c>
      <x:c r="I5189" s="6" t="n">
        <x:f>'Historical prices'!D5189</x:f>
        <x:v>0.1576</x:v>
      </x:c>
      <x:c r="J5189" s="13" t="n">
        <x:f>D5189*I5189*H5189</x:f>
        <x:v>0.22087443</x:v>
      </x:c>
      <x:c r="K5189" s="13" t="n">
        <x:f>E5189*I5189*H5189</x:f>
        <x:v>0.22302567</x:v>
      </x:c>
      <x:c r="L5189" s="1" t="str">
        <x:f>TEXT(A5189,"mmm yyyy")</x:f>
        <x:v>Aug 2026</x:v>
      </x:c>
    </x:row>
    <x:row r="5190" ht="21" customHeight="1">
      <x:c r="A5190" s="10" t="n">
        <x:v>46256</x:v>
      </x:c>
      <x:c r="B5190" s="1" t="n">
        <x:v>15</x:v>
      </x:c>
      <x:c r="C5190" s="1" t="n">
        <x:v>6</x:v>
      </x:c>
      <x:c r="D5190" s="12" t="n">
        <x:v>0.55325</x:v>
      </x:c>
      <x:c r="E5190" s="12" t="n">
        <x:v>0.56325</x:v>
      </x:c>
      <x:c r="F5190" s="12" t="n">
        <x:v>0</x:v>
      </x:c>
      <x:c r="G5190" s="12" t="n">
        <x:v>0</x:v>
      </x:c>
      <x:c r="H5190" s="1" t="n">
        <x:f>'Historical prices'!E5190</x:f>
        <x:v>1.05</x:v>
      </x:c>
      <x:c r="I5190" s="6" t="n">
        <x:f>'Historical prices'!D5190</x:f>
        <x:v>0.1588</x:v>
      </x:c>
      <x:c r="J5190" s="13" t="n">
        <x:f>D5190*I5190*H5190</x:f>
        <x:v>0.092248905</x:v>
      </x:c>
      <x:c r="K5190" s="13" t="n">
        <x:f>E5190*I5190*H5190</x:f>
        <x:v>0.093916305</x:v>
      </x:c>
      <x:c r="L5190" s="1" t="str">
        <x:f>TEXT(A5190,"mmm yyyy")</x:f>
        <x:v>Aug 2026</x:v>
      </x:c>
    </x:row>
    <x:row r="5191" ht="21" customHeight="1">
      <x:c r="A5191" s="10" t="n">
        <x:v>46256</x:v>
      </x:c>
      <x:c r="B5191" s="1" t="n">
        <x:v>15.5</x:v>
      </x:c>
      <x:c r="C5191" s="1" t="n">
        <x:v>6</x:v>
      </x:c>
      <x:c r="D5191" s="12" t="n">
        <x:v>0.4482499999999999</x:v>
      </x:c>
      <x:c r="E5191" s="12" t="n">
        <x:v>0.45924999999999994</x:v>
      </x:c>
      <x:c r="F5191" s="12" t="n">
        <x:v>0</x:v>
      </x:c>
      <x:c r="G5191" s="12" t="n">
        <x:v>0</x:v>
      </x:c>
      <x:c r="H5191" s="1" t="n">
        <x:f>'Historical prices'!E5191</x:f>
        <x:v>1.05</x:v>
      </x:c>
      <x:c r="I5191" s="6" t="n">
        <x:f>'Historical prices'!D5191</x:f>
        <x:v>0.161</x:v>
      </x:c>
      <x:c r="J5191" s="13" t="n">
        <x:f>D5191*I5191*H5191</x:f>
        <x:v>0.0757766625</x:v>
      </x:c>
      <x:c r="K5191" s="13" t="n">
        <x:f>E5191*I5191*H5191</x:f>
        <x:v>0.0776362125</x:v>
      </x:c>
      <x:c r="L5191" s="1" t="str">
        <x:f>TEXT(A5191,"mmm yyyy")</x:f>
        <x:v>Aug 2026</x:v>
      </x:c>
    </x:row>
    <x:row r="5192" ht="21" customHeight="1">
      <x:c r="A5192" s="10" t="n">
        <x:v>46256</x:v>
      </x:c>
      <x:c r="B5192" s="1" t="n">
        <x:v>16</x:v>
      </x:c>
      <x:c r="C5192" s="1" t="n">
        <x:v>6</x:v>
      </x:c>
      <x:c r="D5192" s="12" t="n">
        <x:v>0.0725</x:v>
      </x:c>
      <x:c r="E5192" s="12" t="n">
        <x:v>0.5396666666666667</x:v>
      </x:c>
      <x:c r="F5192" s="12" t="n">
        <x:v>0.4644166666666667</x:v>
      </x:c>
      <x:c r="G5192" s="12" t="n">
        <x:v>0</x:v>
      </x:c>
      <x:c r="H5192" s="1" t="n">
        <x:f>'Historical prices'!E5192</x:f>
        <x:v>1.05</x:v>
      </x:c>
      <x:c r="I5192" s="6" t="n">
        <x:f>'Historical prices'!D5192</x:f>
        <x:v>0.3131</x:v>
      </x:c>
      <x:c r="J5192" s="13" t="n">
        <x:f>D5192*I5192*H5192</x:f>
        <x:v>0.023834737499999998</x:v>
      </x:c>
      <x:c r="K5192" s="13" t="n">
        <x:f>E5192*I5192*H5192</x:f>
        <x:v>0.17741811500000002</x:v>
      </x:c>
      <x:c r="L5192" s="1" t="str">
        <x:f>TEXT(A5192,"mmm yyyy")</x:f>
        <x:v>Aug 2026</x:v>
      </x:c>
    </x:row>
    <x:row r="5193" ht="21" customHeight="1">
      <x:c r="A5193" s="10" t="n">
        <x:v>46256</x:v>
      </x:c>
      <x:c r="B5193" s="1" t="n">
        <x:v>16.5</x:v>
      </x:c>
      <x:c r="C5193" s="1" t="n">
        <x:v>6</x:v>
      </x:c>
      <x:c r="D5193" s="12" t="n">
        <x:v>0</x:v>
      </x:c>
      <x:c r="E5193" s="12" t="n">
        <x:v>0.5139166666666667</x:v>
      </x:c>
      <x:c r="F5193" s="12" t="n">
        <x:v>0.5134166666666666</x:v>
      </x:c>
      <x:c r="G5193" s="12" t="n">
        <x:v>0</x:v>
      </x:c>
      <x:c r="H5193" s="1" t="n">
        <x:f>'Historical prices'!E5193</x:f>
        <x:v>1.05</x:v>
      </x:c>
      <x:c r="I5193" s="6" t="n">
        <x:f>'Historical prices'!D5193</x:f>
        <x:v>0.3176</x:v>
      </x:c>
      <x:c r="J5193" s="13" t="n">
        <x:f>D5193*I5193*H5193</x:f>
        <x:v>0</x:v>
      </x:c>
      <x:c r="K5193" s="13" t="n">
        <x:f>E5193*I5193*H5193</x:f>
        <x:v>0.17138093000000001</x:v>
      </x:c>
      <x:c r="L5193" s="1" t="str">
        <x:f>TEXT(A5193,"mmm yyyy")</x:f>
        <x:v>Aug 2026</x:v>
      </x:c>
    </x:row>
    <x:row r="5194" ht="21" customHeight="1">
      <x:c r="A5194" s="10" t="n">
        <x:v>46256</x:v>
      </x:c>
      <x:c r="B5194" s="1" t="n">
        <x:v>17</x:v>
      </x:c>
      <x:c r="C5194" s="1" t="n">
        <x:v>6</x:v>
      </x:c>
      <x:c r="D5194" s="12" t="n">
        <x:v>0</x:v>
      </x:c>
      <x:c r="E5194" s="12" t="n">
        <x:v>0.5755833333333333</x:v>
      </x:c>
      <x:c r="F5194" s="12" t="n">
        <x:v>0.57525</x:v>
      </x:c>
      <x:c r="G5194" s="12" t="n">
        <x:v>0</x:v>
      </x:c>
      <x:c r="H5194" s="1" t="n">
        <x:f>'Historical prices'!E5194</x:f>
        <x:v>1.05</x:v>
      </x:c>
      <x:c r="I5194" s="6" t="n">
        <x:f>'Historical prices'!D5194</x:f>
        <x:v>0.3693</x:v>
      </x:c>
      <x:c r="J5194" s="13" t="n">
        <x:f>D5194*I5194*H5194</x:f>
        <x:v>0</x:v>
      </x:c>
      <x:c r="K5194" s="13" t="n">
        <x:f>E5194*I5194*H5194</x:f>
        <x:v>0.22319107125</x:v>
      </x:c>
      <x:c r="L5194" s="1" t="str">
        <x:f>TEXT(A5194,"mmm yyyy")</x:f>
        <x:v>Aug 2026</x:v>
      </x:c>
    </x:row>
    <x:row r="5195" ht="21" customHeight="1">
      <x:c r="A5195" s="10" t="n">
        <x:v>46256</x:v>
      </x:c>
      <x:c r="B5195" s="1" t="n">
        <x:v>17.5</x:v>
      </x:c>
      <x:c r="C5195" s="1" t="n">
        <x:v>6</x:v>
      </x:c>
      <x:c r="D5195" s="12" t="n">
        <x:v>0</x:v>
      </x:c>
      <x:c r="E5195" s="12" t="n">
        <x:v>0.505</x:v>
      </x:c>
      <x:c r="F5195" s="12" t="n">
        <x:v>0.5046666666666667</x:v>
      </x:c>
      <x:c r="G5195" s="12" t="n">
        <x:v>0</x:v>
      </x:c>
      <x:c r="H5195" s="1" t="n">
        <x:f>'Historical prices'!E5195</x:f>
        <x:v>1.05</x:v>
      </x:c>
      <x:c r="I5195" s="6" t="n">
        <x:f>'Historical prices'!D5195</x:f>
        <x:v>0.3953</x:v>
      </x:c>
      <x:c r="J5195" s="13" t="n">
        <x:f>D5195*I5195*H5195</x:f>
        <x:v>0</x:v>
      </x:c>
      <x:c r="K5195" s="13" t="n">
        <x:f>E5195*I5195*H5195</x:f>
        <x:v>0.209607825</x:v>
      </x:c>
      <x:c r="L5195" s="1" t="str">
        <x:f>TEXT(A5195,"mmm yyyy")</x:f>
        <x:v>Aug 2026</x:v>
      </x:c>
    </x:row>
    <x:row r="5196" ht="21" customHeight="1">
      <x:c r="A5196" s="10" t="n">
        <x:v>46256</x:v>
      </x:c>
      <x:c r="B5196" s="1" t="n">
        <x:v>18</x:v>
      </x:c>
      <x:c r="C5196" s="1" t="n">
        <x:v>6</x:v>
      </x:c>
      <x:c r="D5196" s="12" t="n">
        <x:v>0</x:v>
      </x:c>
      <x:c r="E5196" s="12" t="n">
        <x:v>0.9586666666666667</x:v>
      </x:c>
      <x:c r="F5196" s="12" t="n">
        <x:v>0.9556666666666667</x:v>
      </x:c>
      <x:c r="G5196" s="12" t="n">
        <x:v>0</x:v>
      </x:c>
      <x:c r="H5196" s="1" t="n">
        <x:f>'Historical prices'!E5196</x:f>
        <x:v>1.05</x:v>
      </x:c>
      <x:c r="I5196" s="6" t="n">
        <x:f>'Historical prices'!D5196</x:f>
        <x:v>0.397</x:v>
      </x:c>
      <x:c r="J5196" s="13" t="n">
        <x:f>D5196*I5196*H5196</x:f>
        <x:v>0</x:v>
      </x:c>
      <x:c r="K5196" s="13" t="n">
        <x:f>E5196*I5196*H5196</x:f>
        <x:v>0.39962020000000004</x:v>
      </x:c>
      <x:c r="L5196" s="1" t="str">
        <x:f>TEXT(A5196,"mmm yyyy")</x:f>
        <x:v>Aug 2026</x:v>
      </x:c>
    </x:row>
    <x:row r="5197" ht="21" customHeight="1">
      <x:c r="A5197" s="10" t="n">
        <x:v>46256</x:v>
      </x:c>
      <x:c r="B5197" s="1" t="n">
        <x:v>18.5</x:v>
      </x:c>
      <x:c r="C5197" s="1" t="n">
        <x:v>6</x:v>
      </x:c>
      <x:c r="D5197" s="12" t="n">
        <x:v>0</x:v>
      </x:c>
      <x:c r="E5197" s="12" t="n">
        <x:v>0.8969166666666667</x:v>
      </x:c>
      <x:c r="F5197" s="12" t="n">
        <x:v>0.8968333333333334</x:v>
      </x:c>
      <x:c r="G5197" s="12" t="n">
        <x:v>0</x:v>
      </x:c>
      <x:c r="H5197" s="1" t="n">
        <x:f>'Historical prices'!E5197</x:f>
        <x:v>1.05</x:v>
      </x:c>
      <x:c r="I5197" s="6" t="n">
        <x:f>'Historical prices'!D5197</x:f>
        <x:v>0.4056</x:v>
      </x:c>
      <x:c r="J5197" s="13" t="n">
        <x:f>D5197*I5197*H5197</x:f>
        <x:v>0</x:v>
      </x:c>
      <x:c r="K5197" s="13" t="n">
        <x:f>E5197*I5197*H5197</x:f>
        <x:v>0.3819788700000001</x:v>
      </x:c>
      <x:c r="L5197" s="1" t="str">
        <x:f>TEXT(A5197,"mmm yyyy")</x:f>
        <x:v>Aug 2026</x:v>
      </x:c>
    </x:row>
    <x:row r="5198" ht="21" customHeight="1">
      <x:c r="A5198" s="10" t="n">
        <x:v>46256</x:v>
      </x:c>
      <x:c r="B5198" s="1" t="n">
        <x:v>19</x:v>
      </x:c>
      <x:c r="C5198" s="1" t="n">
        <x:v>6</x:v>
      </x:c>
      <x:c r="D5198" s="12" t="n">
        <x:v>0</x:v>
      </x:c>
      <x:c r="E5198" s="12" t="n">
        <x:v>0.6139166666666667</x:v>
      </x:c>
      <x:c r="F5198" s="12" t="n">
        <x:v>0.6134166666666666</x:v>
      </x:c>
      <x:c r="G5198" s="12" t="n">
        <x:v>0</x:v>
      </x:c>
      <x:c r="H5198" s="1" t="n">
        <x:f>'Historical prices'!E5198</x:f>
        <x:v>1.05</x:v>
      </x:c>
      <x:c r="I5198" s="6" t="n">
        <x:f>'Historical prices'!D5198</x:f>
        <x:v>0.29</x:v>
      </x:c>
      <x:c r="J5198" s="13" t="n">
        <x:f>D5198*I5198*H5198</x:f>
        <x:v>0</x:v>
      </x:c>
      <x:c r="K5198" s="13" t="n">
        <x:f>E5198*I5198*H5198</x:f>
        <x:v>0.186937625</x:v>
      </x:c>
      <x:c r="L5198" s="1" t="str">
        <x:f>TEXT(A5198,"mmm yyyy")</x:f>
        <x:v>Aug 2026</x:v>
      </x:c>
    </x:row>
    <x:row r="5199" ht="21" customHeight="1">
      <x:c r="A5199" s="10" t="n">
        <x:v>46256</x:v>
      </x:c>
      <x:c r="B5199" s="1" t="n">
        <x:v>19.5</x:v>
      </x:c>
      <x:c r="C5199" s="1" t="n">
        <x:v>6</x:v>
      </x:c>
      <x:c r="D5199" s="12" t="n">
        <x:v>0</x:v>
      </x:c>
      <x:c r="E5199" s="12" t="n">
        <x:v>0.805</x:v>
      </x:c>
      <x:c r="F5199" s="12" t="n">
        <x:v>0.8045</x:v>
      </x:c>
      <x:c r="G5199" s="12" t="n">
        <x:v>0</x:v>
      </x:c>
      <x:c r="H5199" s="1" t="n">
        <x:f>'Historical prices'!E5199</x:f>
        <x:v>1.05</x:v>
      </x:c>
      <x:c r="I5199" s="6" t="n">
        <x:f>'Historical prices'!D5199</x:f>
        <x:v>0.3016</x:v>
      </x:c>
      <x:c r="J5199" s="13" t="n">
        <x:f>D5199*I5199*H5199</x:f>
        <x:v>0</x:v>
      </x:c>
      <x:c r="K5199" s="13" t="n">
        <x:f>E5199*I5199*H5199</x:f>
        <x:v>0.2549274</x:v>
      </x:c>
      <x:c r="L5199" s="1" t="str">
        <x:f>TEXT(A5199,"mmm yyyy")</x:f>
        <x:v>Aug 2026</x:v>
      </x:c>
    </x:row>
    <x:row r="5200" ht="21" customHeight="1">
      <x:c r="A5200" s="10" t="n">
        <x:v>46256</x:v>
      </x:c>
      <x:c r="B5200" s="1" t="n">
        <x:v>20</x:v>
      </x:c>
      <x:c r="C5200" s="1" t="n">
        <x:v>6</x:v>
      </x:c>
      <x:c r="D5200" s="12" t="n">
        <x:v>0</x:v>
      </x:c>
      <x:c r="E5200" s="12" t="n">
        <x:v>0.5971666666666666</x:v>
      </x:c>
      <x:c r="F5200" s="12" t="n">
        <x:v>0.5966666666666667</x:v>
      </x:c>
      <x:c r="G5200" s="12" t="n">
        <x:v>0</x:v>
      </x:c>
      <x:c r="H5200" s="1" t="n">
        <x:f>'Historical prices'!E5200</x:f>
        <x:v>1.05</x:v>
      </x:c>
      <x:c r="I5200" s="6" t="n">
        <x:f>'Historical prices'!D5200</x:f>
        <x:v>0.30670000000000003</x:v>
      </x:c>
      <x:c r="J5200" s="13" t="n">
        <x:f>D5200*I5200*H5200</x:f>
        <x:v>0</x:v>
      </x:c>
      <x:c r="K5200" s="13" t="n">
        <x:f>E5200*I5200*H5200</x:f>
        <x:v>0.1923085675</x:v>
      </x:c>
      <x:c r="L5200" s="1" t="str">
        <x:f>TEXT(A5200,"mmm yyyy")</x:f>
        <x:v>Aug 2026</x:v>
      </x:c>
    </x:row>
    <x:row r="5201" ht="21" customHeight="1">
      <x:c r="A5201" s="10" t="n">
        <x:v>46256</x:v>
      </x:c>
      <x:c r="B5201" s="1" t="n">
        <x:v>20.5</x:v>
      </x:c>
      <x:c r="C5201" s="1" t="n">
        <x:v>6</x:v>
      </x:c>
      <x:c r="D5201" s="12" t="n">
        <x:v>0</x:v>
      </x:c>
      <x:c r="E5201" s="12" t="n">
        <x:v>0.5489166666666667</x:v>
      </x:c>
      <x:c r="F5201" s="12" t="n">
        <x:v>0.5419166666666666</x:v>
      </x:c>
      <x:c r="G5201" s="12" t="n">
        <x:v>0</x:v>
      </x:c>
      <x:c r="H5201" s="1" t="n">
        <x:f>'Historical prices'!E5201</x:f>
        <x:v>1.05</x:v>
      </x:c>
      <x:c r="I5201" s="6" t="n">
        <x:f>'Historical prices'!D5201</x:f>
        <x:v>0.3118</x:v>
      </x:c>
      <x:c r="J5201" s="13" t="n">
        <x:f>D5201*I5201*H5201</x:f>
        <x:v>0</x:v>
      </x:c>
      <x:c r="K5201" s="13" t="n">
        <x:f>E5201*I5201*H5201</x:f>
        <x:v>0.17970982750000003</x:v>
      </x:c>
      <x:c r="L5201" s="1" t="str">
        <x:f>TEXT(A5201,"mmm yyyy")</x:f>
        <x:v>Aug 2026</x:v>
      </x:c>
    </x:row>
    <x:row r="5202" ht="21" customHeight="1">
      <x:c r="A5202" s="10" t="n">
        <x:v>46256</x:v>
      </x:c>
      <x:c r="B5202" s="1" t="n">
        <x:v>21</x:v>
      </x:c>
      <x:c r="C5202" s="1" t="n">
        <x:v>6</x:v>
      </x:c>
      <x:c r="D5202" s="12" t="n">
        <x:v>0</x:v>
      </x:c>
      <x:c r="E5202" s="12" t="n">
        <x:v>0.51475</x:v>
      </x:c>
      <x:c r="F5202" s="12" t="n">
        <x:v>0.51425</x:v>
      </x:c>
      <x:c r="G5202" s="12" t="n">
        <x:v>0</x:v>
      </x:c>
      <x:c r="H5202" s="1" t="n">
        <x:f>'Historical prices'!E5202</x:f>
        <x:v>1.05</x:v>
      </x:c>
      <x:c r="I5202" s="6" t="n">
        <x:f>'Historical prices'!D5202</x:f>
        <x:v>0.3131</x:v>
      </x:c>
      <x:c r="J5202" s="13" t="n">
        <x:f>D5202*I5202*H5202</x:f>
        <x:v>0</x:v>
      </x:c>
      <x:c r="K5202" s="13" t="n">
        <x:f>E5202*I5202*H5202</x:f>
        <x:v>0.16922663625</x:v>
      </x:c>
      <x:c r="L5202" s="1" t="str">
        <x:f>TEXT(A5202,"mmm yyyy")</x:f>
        <x:v>Aug 2026</x:v>
      </x:c>
    </x:row>
    <x:row r="5203" ht="21" customHeight="1">
      <x:c r="A5203" s="10" t="n">
        <x:v>46256</x:v>
      </x:c>
      <x:c r="B5203" s="1" t="n">
        <x:v>21.5</x:v>
      </x:c>
      <x:c r="C5203" s="1" t="n">
        <x:v>6</x:v>
      </x:c>
      <x:c r="D5203" s="12" t="n">
        <x:v>0</x:v>
      </x:c>
      <x:c r="E5203" s="12" t="n">
        <x:v>0.9080833333333334</x:v>
      </x:c>
      <x:c r="F5203" s="12" t="n">
        <x:v>0.9077500000000001</x:v>
      </x:c>
      <x:c r="G5203" s="12" t="n">
        <x:v>0</x:v>
      </x:c>
      <x:c r="H5203" s="1" t="n">
        <x:f>'Historical prices'!E5203</x:f>
        <x:v>1.05</x:v>
      </x:c>
      <x:c r="I5203" s="6" t="n">
        <x:f>'Historical prices'!D5203</x:f>
        <x:v>0.2989</x:v>
      </x:c>
      <x:c r="J5203" s="13" t="n">
        <x:f>D5203*I5203*H5203</x:f>
        <x:v>0</x:v>
      </x:c>
      <x:c r="K5203" s="13" t="n">
        <x:f>E5203*I5203*H5203</x:f>
        <x:v>0.28499741375000004</x:v>
      </x:c>
      <x:c r="L5203" s="1" t="str">
        <x:f>TEXT(A5203,"mmm yyyy")</x:f>
        <x:v>Aug 2026</x:v>
      </x:c>
    </x:row>
    <x:row r="5204" ht="21" customHeight="1">
      <x:c r="A5204" s="10" t="n">
        <x:v>46256</x:v>
      </x:c>
      <x:c r="B5204" s="1" t="n">
        <x:v>22</x:v>
      </x:c>
      <x:c r="C5204" s="1" t="n">
        <x:v>6</x:v>
      </x:c>
      <x:c r="D5204" s="12" t="n">
        <x:v>0</x:v>
      </x:c>
      <x:c r="E5204" s="12" t="n">
        <x:v>0.30866666666666664</x:v>
      </x:c>
      <x:c r="F5204" s="12" t="n">
        <x:v>0.30833333333333335</x:v>
      </x:c>
      <x:c r="G5204" s="12" t="n">
        <x:v>0</x:v>
      </x:c>
      <x:c r="H5204" s="1" t="n">
        <x:f>'Historical prices'!E5204</x:f>
        <x:v>1.05</x:v>
      </x:c>
      <x:c r="I5204" s="6" t="n">
        <x:f>'Historical prices'!D5204</x:f>
        <x:v>0.3135</x:v>
      </x:c>
      <x:c r="J5204" s="13" t="n">
        <x:f>D5204*I5204*H5204</x:f>
        <x:v>0</x:v>
      </x:c>
      <x:c r="K5204" s="13" t="n">
        <x:f>E5204*I5204*H5204</x:f>
        <x:v>0.10160535</x:v>
      </x:c>
      <x:c r="L5204" s="1" t="str">
        <x:f>TEXT(A5204,"mmm yyyy")</x:f>
        <x:v>Aug 2026</x:v>
      </x:c>
    </x:row>
    <x:row r="5205" ht="21" customHeight="1">
      <x:c r="A5205" s="10" t="n">
        <x:v>46256</x:v>
      </x:c>
      <x:c r="B5205" s="1" t="n">
        <x:v>22.5</x:v>
      </x:c>
      <x:c r="C5205" s="1" t="n">
        <x:v>6</x:v>
      </x:c>
      <x:c r="D5205" s="12" t="n">
        <x:v>0</x:v>
      </x:c>
      <x:c r="E5205" s="12" t="n">
        <x:v>0.31866666666666665</x:v>
      </x:c>
      <x:c r="F5205" s="12" t="n">
        <x:v>0.3184166666666667</x:v>
      </x:c>
      <x:c r="G5205" s="12" t="n">
        <x:v>0</x:v>
      </x:c>
      <x:c r="H5205" s="1" t="n">
        <x:f>'Historical prices'!E5205</x:f>
        <x:v>1.05</x:v>
      </x:c>
      <x:c r="I5205" s="6" t="n">
        <x:f>'Historical prices'!D5205</x:f>
        <x:v>0.2854</x:v>
      </x:c>
      <x:c r="J5205" s="13" t="n">
        <x:f>D5205*I5205*H5205</x:f>
        <x:v>0</x:v>
      </x:c>
      <x:c r="K5205" s="13" t="n">
        <x:f>E5205*I5205*H5205</x:f>
        <x:v>0.09549484</x:v>
      </x:c>
      <x:c r="L5205" s="1" t="str">
        <x:f>TEXT(A5205,"mmm yyyy")</x:f>
        <x:v>Aug 2026</x:v>
      </x:c>
    </x:row>
    <x:row r="5206" ht="21" customHeight="1">
      <x:c r="A5206" s="10" t="n">
        <x:v>46256</x:v>
      </x:c>
      <x:c r="B5206" s="1" t="n">
        <x:v>23</x:v>
      </x:c>
      <x:c r="C5206" s="1" t="n">
        <x:v>6</x:v>
      </x:c>
      <x:c r="D5206" s="12" t="n">
        <x:v>0</x:v>
      </x:c>
      <x:c r="E5206" s="12" t="n">
        <x:v>0.23083333333333333</x:v>
      </x:c>
      <x:c r="F5206" s="12" t="n">
        <x:v>0.23025</x:v>
      </x:c>
      <x:c r="G5206" s="12" t="n">
        <x:v>0</x:v>
      </x:c>
      <x:c r="H5206" s="1" t="n">
        <x:f>'Historical prices'!E5206</x:f>
        <x:v>1.05</x:v>
      </x:c>
      <x:c r="I5206" s="6" t="n">
        <x:f>'Historical prices'!D5206</x:f>
        <x:v>0.2659</x:v>
      </x:c>
      <x:c r="J5206" s="13" t="n">
        <x:f>D5206*I5206*H5206</x:f>
        <x:v>0</x:v>
      </x:c>
      <x:c r="K5206" s="13" t="n">
        <x:f>E5206*I5206*H5206</x:f>
        <x:v>0.06444751250000001</x:v>
      </x:c>
      <x:c r="L5206" s="1" t="str">
        <x:f>TEXT(A5206,"mmm yyyy")</x:f>
        <x:v>Aug 2026</x:v>
      </x:c>
    </x:row>
    <x:row r="5207" ht="21" customHeight="1">
      <x:c r="A5207" s="10" t="n">
        <x:v>46256</x:v>
      </x:c>
      <x:c r="B5207" s="1" t="n">
        <x:v>23.5</x:v>
      </x:c>
      <x:c r="C5207" s="1" t="n">
        <x:v>6</x:v>
      </x:c>
      <x:c r="D5207" s="12" t="n">
        <x:v>0</x:v>
      </x:c>
      <x:c r="E5207" s="12" t="n">
        <x:v>0.3453333333333334</x:v>
      </x:c>
      <x:c r="F5207" s="12" t="n">
        <x:v>0.3450833333333333</x:v>
      </x:c>
      <x:c r="G5207" s="12" t="n">
        <x:v>0</x:v>
      </x:c>
      <x:c r="H5207" s="1" t="n">
        <x:f>'Historical prices'!E5207</x:f>
        <x:v>1.05</x:v>
      </x:c>
      <x:c r="I5207" s="6" t="n">
        <x:f>'Historical prices'!D5207</x:f>
        <x:v>0.2634</x:v>
      </x:c>
      <x:c r="J5207" s="13" t="n">
        <x:f>D5207*I5207*H5207</x:f>
        <x:v>0</x:v>
      </x:c>
      <x:c r="K5207" s="13" t="n">
        <x:f>E5207*I5207*H5207</x:f>
        <x:v>0.09550884000000003</x:v>
      </x:c>
      <x:c r="L5207" s="1" t="str">
        <x:f>TEXT(A5207,"mmm yyyy")</x:f>
        <x:v>Aug 2026</x:v>
      </x:c>
    </x:row>
    <x:row r="5208" ht="21" customHeight="1">
      <x:c r="A5208" s="10" t="n">
        <x:v>46257</x:v>
      </x:c>
      <x:c r="B5208" s="1" t="n">
        <x:v>0</x:v>
      </x:c>
      <x:c r="C5208" s="1" t="n">
        <x:v>6</x:v>
      </x:c>
      <x:c r="D5208" s="12" t="n">
        <x:v>0</x:v>
      </x:c>
      <x:c r="E5208" s="12" t="n">
        <x:v>0.27449999999999997</x:v>
      </x:c>
      <x:c r="F5208" s="12" t="n">
        <x:v>0.27399999999999997</x:v>
      </x:c>
      <x:c r="G5208" s="12" t="n">
        <x:v>0</x:v>
      </x:c>
      <x:c r="H5208" s="1" t="n">
        <x:f>'Historical prices'!E5208</x:f>
        <x:v>1.05</x:v>
      </x:c>
      <x:c r="I5208" s="6" t="n">
        <x:f>'Historical prices'!D5208</x:f>
        <x:v>0.262</x:v>
      </x:c>
      <x:c r="J5208" s="13" t="n">
        <x:f>D5208*I5208*H5208</x:f>
        <x:v>0</x:v>
      </x:c>
      <x:c r="K5208" s="13" t="n">
        <x:f>E5208*I5208*H5208</x:f>
        <x:v>0.07551495</x:v>
      </x:c>
      <x:c r="L5208" s="1" t="str">
        <x:f>TEXT(A5208,"mmm yyyy")</x:f>
        <x:v>Aug 2026</x:v>
      </x:c>
    </x:row>
    <x:row r="5209" ht="21" customHeight="1">
      <x:c r="A5209" s="10" t="n">
        <x:v>46257</x:v>
      </x:c>
      <x:c r="B5209" s="1" t="n">
        <x:v>0.5</x:v>
      </x:c>
      <x:c r="C5209" s="1" t="n">
        <x:v>6</x:v>
      </x:c>
      <x:c r="D5209" s="12" t="n">
        <x:v>0</x:v>
      </x:c>
      <x:c r="E5209" s="12" t="n">
        <x:v>0.2776666666666666</x:v>
      </x:c>
      <x:c r="F5209" s="12" t="n">
        <x:v>0.27749999999999997</x:v>
      </x:c>
      <x:c r="G5209" s="12" t="n">
        <x:v>0</x:v>
      </x:c>
      <x:c r="H5209" s="1" t="n">
        <x:f>'Historical prices'!E5209</x:f>
        <x:v>1.05</x:v>
      </x:c>
      <x:c r="I5209" s="6" t="n">
        <x:f>'Historical prices'!D5209</x:f>
        <x:v>0.2596</x:v>
      </x:c>
      <x:c r="J5209" s="13" t="n">
        <x:f>D5209*I5209*H5209</x:f>
        <x:v>0</x:v>
      </x:c>
      <x:c r="K5209" s="13" t="n">
        <x:f>E5209*I5209*H5209</x:f>
        <x:v>0.07568638</x:v>
      </x:c>
      <x:c r="L5209" s="1" t="str">
        <x:f>TEXT(A5209,"mmm yyyy")</x:f>
        <x:v>Aug 2026</x:v>
      </x:c>
    </x:row>
    <x:row r="5210" ht="21" customHeight="1">
      <x:c r="A5210" s="10" t="n">
        <x:v>46257</x:v>
      </x:c>
      <x:c r="B5210" s="1" t="n">
        <x:v>1</x:v>
      </x:c>
      <x:c r="C5210" s="1" t="n">
        <x:v>6</x:v>
      </x:c>
      <x:c r="D5210" s="12" t="n">
        <x:v>0</x:v>
      </x:c>
      <x:c r="E5210" s="12" t="n">
        <x:v>0.22133333333333333</x:v>
      </x:c>
      <x:c r="F5210" s="12" t="n">
        <x:v>0.22075000000000003</x:v>
      </x:c>
      <x:c r="G5210" s="12" t="n">
        <x:v>0</x:v>
      </x:c>
      <x:c r="H5210" s="1" t="n">
        <x:f>'Historical prices'!E5210</x:f>
        <x:v>1.05</x:v>
      </x:c>
      <x:c r="I5210" s="6" t="n">
        <x:f>'Historical prices'!D5210</x:f>
        <x:v>0.26649999999999996</x:v>
      </x:c>
      <x:c r="J5210" s="13" t="n">
        <x:f>D5210*I5210*H5210</x:f>
        <x:v>0</x:v>
      </x:c>
      <x:c r="K5210" s="13" t="n">
        <x:f>E5210*I5210*H5210</x:f>
        <x:v>0.061934599999999985</x:v>
      </x:c>
      <x:c r="L5210" s="1" t="str">
        <x:f>TEXT(A5210,"mmm yyyy")</x:f>
        <x:v>Aug 2026</x:v>
      </x:c>
    </x:row>
    <x:row r="5211" ht="21" customHeight="1">
      <x:c r="A5211" s="10" t="n">
        <x:v>46257</x:v>
      </x:c>
      <x:c r="B5211" s="1" t="n">
        <x:v>1.5</x:v>
      </x:c>
      <x:c r="C5211" s="1" t="n">
        <x:v>6</x:v>
      </x:c>
      <x:c r="D5211" s="12" t="n">
        <x:v>0</x:v>
      </x:c>
      <x:c r="E5211" s="12" t="n">
        <x:v>0.26816666666666666</x:v>
      </x:c>
      <x:c r="F5211" s="12" t="n">
        <x:v>0.2675833333333333</x:v>
      </x:c>
      <x:c r="G5211" s="12" t="n">
        <x:v>0</x:v>
      </x:c>
      <x:c r="H5211" s="1" t="n">
        <x:f>'Historical prices'!E5211</x:f>
        <x:v>1.05</x:v>
      </x:c>
      <x:c r="I5211" s="6" t="n">
        <x:f>'Historical prices'!D5211</x:f>
        <x:v>0.26280000000000003</x:v>
      </x:c>
      <x:c r="J5211" s="13" t="n">
        <x:f>D5211*I5211*H5211</x:f>
        <x:v>0</x:v>
      </x:c>
      <x:c r="K5211" s="13" t="n">
        <x:f>E5211*I5211*H5211</x:f>
        <x:v>0.07399791000000001</x:v>
      </x:c>
      <x:c r="L5211" s="1" t="str">
        <x:f>TEXT(A5211,"mmm yyyy")</x:f>
        <x:v>Aug 2026</x:v>
      </x:c>
    </x:row>
    <x:row r="5212" ht="21" customHeight="1">
      <x:c r="A5212" s="10" t="n">
        <x:v>46257</x:v>
      </x:c>
      <x:c r="B5212" s="1" t="n">
        <x:v>2</x:v>
      </x:c>
      <x:c r="C5212" s="1" t="n">
        <x:v>6</x:v>
      </x:c>
      <x:c r="D5212" s="12" t="n">
        <x:v>0</x:v>
      </x:c>
      <x:c r="E5212" s="12" t="n">
        <x:v>0.28775</x:v>
      </x:c>
      <x:c r="F5212" s="12" t="n">
        <x:v>0.28741666666666665</x:v>
      </x:c>
      <x:c r="G5212" s="12" t="n">
        <x:v>0</x:v>
      </x:c>
      <x:c r="H5212" s="1" t="n">
        <x:f>'Historical prices'!E5212</x:f>
        <x:v>1.05</x:v>
      </x:c>
      <x:c r="I5212" s="6" t="n">
        <x:f>'Historical prices'!D5212</x:f>
        <x:v>0.2627</x:v>
      </x:c>
      <x:c r="J5212" s="13" t="n">
        <x:f>D5212*I5212*H5212</x:f>
        <x:v>0</x:v>
      </x:c>
      <x:c r="K5212" s="13" t="n">
        <x:f>E5212*I5212*H5212</x:f>
        <x:v>0.07937152125000001</x:v>
      </x:c>
      <x:c r="L5212" s="1" t="str">
        <x:f>TEXT(A5212,"mmm yyyy")</x:f>
        <x:v>Aug 2026</x:v>
      </x:c>
    </x:row>
    <x:row r="5213" ht="21" customHeight="1">
      <x:c r="A5213" s="10" t="n">
        <x:v>46257</x:v>
      </x:c>
      <x:c r="B5213" s="1" t="n">
        <x:v>2.5</x:v>
      </x:c>
      <x:c r="C5213" s="1" t="n">
        <x:v>6</x:v>
      </x:c>
      <x:c r="D5213" s="12" t="n">
        <x:v>0</x:v>
      </x:c>
      <x:c r="E5213" s="12" t="n">
        <x:v>0.26383333333333336</x:v>
      </x:c>
      <x:c r="F5213" s="12" t="n">
        <x:v>0.26341666666666663</x:v>
      </x:c>
      <x:c r="G5213" s="12" t="n">
        <x:v>0</x:v>
      </x:c>
      <x:c r="H5213" s="1" t="n">
        <x:f>'Historical prices'!E5213</x:f>
        <x:v>1.05</x:v>
      </x:c>
      <x:c r="I5213" s="6" t="n">
        <x:f>'Historical prices'!D5213</x:f>
        <x:v>0.2503</x:v>
      </x:c>
      <x:c r="J5213" s="13" t="n">
        <x:f>D5213*I5213*H5213</x:f>
        <x:v>0</x:v>
      </x:c>
      <x:c r="K5213" s="13" t="n">
        <x:f>E5213*I5213*H5213</x:f>
        <x:v>0.06933935750000002</x:v>
      </x:c>
      <x:c r="L5213" s="1" t="str">
        <x:f>TEXT(A5213,"mmm yyyy")</x:f>
        <x:v>Aug 2026</x:v>
      </x:c>
    </x:row>
    <x:row r="5214" ht="21" customHeight="1">
      <x:c r="A5214" s="10" t="n">
        <x:v>46257</x:v>
      </x:c>
      <x:c r="B5214" s="1" t="n">
        <x:v>3</x:v>
      </x:c>
      <x:c r="C5214" s="1" t="n">
        <x:v>6</x:v>
      </x:c>
      <x:c r="D5214" s="12" t="n">
        <x:v>0</x:v>
      </x:c>
      <x:c r="E5214" s="12" t="n">
        <x:v>0.25966666666666666</x:v>
      </x:c>
      <x:c r="F5214" s="12" t="n">
        <x:v>0.25941666666666663</x:v>
      </x:c>
      <x:c r="G5214" s="12" t="n">
        <x:v>0</x:v>
      </x:c>
      <x:c r="H5214" s="1" t="n">
        <x:f>'Historical prices'!E5214</x:f>
        <x:v>1.05</x:v>
      </x:c>
      <x:c r="I5214" s="6" t="n">
        <x:f>'Historical prices'!D5214</x:f>
        <x:v>0.2528</x:v>
      </x:c>
      <x:c r="J5214" s="13" t="n">
        <x:f>D5214*I5214*H5214</x:f>
        <x:v>0</x:v>
      </x:c>
      <x:c r="K5214" s="13" t="n">
        <x:f>E5214*I5214*H5214</x:f>
        <x:v>0.06892592000000002</x:v>
      </x:c>
      <x:c r="L5214" s="1" t="str">
        <x:f>TEXT(A5214,"mmm yyyy")</x:f>
        <x:v>Aug 2026</x:v>
      </x:c>
    </x:row>
    <x:row r="5215" ht="21" customHeight="1">
      <x:c r="A5215" s="10" t="n">
        <x:v>46257</x:v>
      </x:c>
      <x:c r="B5215" s="1" t="n">
        <x:v>3.5</x:v>
      </x:c>
      <x:c r="C5215" s="1" t="n">
        <x:v>6</x:v>
      </x:c>
      <x:c r="D5215" s="12" t="n">
        <x:v>0.1615</x:v>
      </x:c>
      <x:c r="E5215" s="12" t="n">
        <x:v>0.21033333333333334</x:v>
      </x:c>
      <x:c r="F5215" s="12" t="n">
        <x:v>0.03883333333333333</x:v>
      </x:c>
      <x:c r="G5215" s="12" t="n">
        <x:v>0</x:v>
      </x:c>
      <x:c r="H5215" s="1" t="n">
        <x:f>'Historical prices'!E5215</x:f>
        <x:v>1.05</x:v>
      </x:c>
      <x:c r="I5215" s="6" t="n">
        <x:f>'Historical prices'!D5215</x:f>
        <x:v>0.2401</x:v>
      </x:c>
      <x:c r="J5215" s="13" t="n">
        <x:f>D5215*I5215*H5215</x:f>
        <x:v>0.0407149575</x:v>
      </x:c>
      <x:c r="K5215" s="13" t="n">
        <x:f>E5215*I5215*H5215</x:f>
        <x:v>0.05302608500000001</x:v>
      </x:c>
      <x:c r="L5215" s="1" t="str">
        <x:f>TEXT(A5215,"mmm yyyy")</x:f>
        <x:v>Aug 2026</x:v>
      </x:c>
    </x:row>
    <x:row r="5216" ht="21" customHeight="1">
      <x:c r="A5216" s="10" t="n">
        <x:v>46257</x:v>
      </x:c>
      <x:c r="B5216" s="1" t="n">
        <x:v>4</x:v>
      </x:c>
      <x:c r="C5216" s="1" t="n">
        <x:v>6</x:v>
      </x:c>
      <x:c r="D5216" s="12" t="n">
        <x:v>0.30074999999999996</x:v>
      </x:c>
      <x:c r="E5216" s="12" t="n">
        <x:v>0.31074999999999997</x:v>
      </x:c>
      <x:c r="F5216" s="12" t="n">
        <x:v>0</x:v>
      </x:c>
      <x:c r="G5216" s="12" t="n">
        <x:v>0</x:v>
      </x:c>
      <x:c r="H5216" s="1" t="n">
        <x:f>'Historical prices'!E5216</x:f>
        <x:v>1.05</x:v>
      </x:c>
      <x:c r="I5216" s="6" t="n">
        <x:f>'Historical prices'!D5216</x:f>
        <x:v>0.2446</x:v>
      </x:c>
      <x:c r="J5216" s="13" t="n">
        <x:f>D5216*I5216*H5216</x:f>
        <x:v>0.0772416225</x:v>
      </x:c>
      <x:c r="K5216" s="13" t="n">
        <x:f>E5216*I5216*H5216</x:f>
        <x:v>0.07980992249999999</x:v>
      </x:c>
      <x:c r="L5216" s="1" t="str">
        <x:f>TEXT(A5216,"mmm yyyy")</x:f>
        <x:v>Aug 2026</x:v>
      </x:c>
    </x:row>
    <x:row r="5217" ht="21" customHeight="1">
      <x:c r="A5217" s="10" t="n">
        <x:v>46257</x:v>
      </x:c>
      <x:c r="B5217" s="1" t="n">
        <x:v>4.5</x:v>
      </x:c>
      <x:c r="C5217" s="1" t="n">
        <x:v>6</x:v>
      </x:c>
      <x:c r="D5217" s="12" t="n">
        <x:v>0.17875000000000002</x:v>
      </x:c>
      <x:c r="E5217" s="12" t="n">
        <x:v>0.18975</x:v>
      </x:c>
      <x:c r="F5217" s="12" t="n">
        <x:v>0</x:v>
      </x:c>
      <x:c r="G5217" s="12" t="n">
        <x:v>0</x:v>
      </x:c>
      <x:c r="H5217" s="1" t="n">
        <x:f>'Historical prices'!E5217</x:f>
        <x:v>1.05</x:v>
      </x:c>
      <x:c r="I5217" s="6" t="n">
        <x:f>'Historical prices'!D5217</x:f>
        <x:v>0.2378</x:v>
      </x:c>
      <x:c r="J5217" s="13" t="n">
        <x:f>D5217*I5217*H5217</x:f>
        <x:v>0.044632087500000014</x:v>
      </x:c>
      <x:c r="K5217" s="13" t="n">
        <x:f>E5217*I5217*H5217</x:f>
        <x:v>0.04737867750000001</x:v>
      </x:c>
      <x:c r="L5217" s="1" t="str">
        <x:f>TEXT(A5217,"mmm yyyy")</x:f>
        <x:v>Aug 2026</x:v>
      </x:c>
    </x:row>
    <x:row r="5218" ht="21" customHeight="1">
      <x:c r="A5218" s="10" t="n">
        <x:v>46257</x:v>
      </x:c>
      <x:c r="B5218" s="1" t="n">
        <x:v>5</x:v>
      </x:c>
      <x:c r="C5218" s="1" t="n">
        <x:v>6</x:v>
      </x:c>
      <x:c r="D5218" s="12" t="n">
        <x:v>0.03675</x:v>
      </x:c>
      <x:c r="E5218" s="12" t="n">
        <x:v>0.26775</x:v>
      </x:c>
      <x:c r="F5218" s="12" t="n">
        <x:v>0.22866666666666668</x:v>
      </x:c>
      <x:c r="G5218" s="12" t="n">
        <x:v>0</x:v>
      </x:c>
      <x:c r="H5218" s="1" t="n">
        <x:f>'Historical prices'!E5218</x:f>
        <x:v>1.05</x:v>
      </x:c>
      <x:c r="I5218" s="6" t="n">
        <x:f>'Historical prices'!D5218</x:f>
        <x:v>0.2468</x:v>
      </x:c>
      <x:c r="J5218" s="13" t="n">
        <x:f>D5218*I5218*H5218</x:f>
        <x:v>0.009523394999999999</x:v>
      </x:c>
      <x:c r="K5218" s="13" t="n">
        <x:f>E5218*I5218*H5218</x:f>
        <x:v>0.06938473499999999</x:v>
      </x:c>
      <x:c r="L5218" s="1" t="str">
        <x:f>TEXT(A5218,"mmm yyyy")</x:f>
        <x:v>Aug 2026</x:v>
      </x:c>
    </x:row>
    <x:row r="5219" ht="21" customHeight="1">
      <x:c r="A5219" s="10" t="n">
        <x:v>46257</x:v>
      </x:c>
      <x:c r="B5219" s="1" t="n">
        <x:v>5.5</x:v>
      </x:c>
      <x:c r="C5219" s="1" t="n">
        <x:v>6</x:v>
      </x:c>
      <x:c r="D5219" s="12" t="n">
        <x:v>0.141</x:v>
      </x:c>
      <x:c r="E5219" s="12" t="n">
        <x:v>0.186</x:v>
      </x:c>
      <x:c r="F5219" s="12" t="n">
        <x:v>0.036</x:v>
      </x:c>
      <x:c r="G5219" s="12" t="n">
        <x:v>0</x:v>
      </x:c>
      <x:c r="H5219" s="1" t="n">
        <x:f>'Historical prices'!E5219</x:f>
        <x:v>1.05</x:v>
      </x:c>
      <x:c r="I5219" s="6" t="n">
        <x:f>'Historical prices'!D5219</x:f>
        <x:v>0.2382</x:v>
      </x:c>
      <x:c r="J5219" s="13" t="n">
        <x:f>D5219*I5219*H5219</x:f>
        <x:v>0.03526551</x:v>
      </x:c>
      <x:c r="K5219" s="13" t="n">
        <x:f>E5219*I5219*H5219</x:f>
        <x:v>0.04652046</x:v>
      </x:c>
      <x:c r="L5219" s="1" t="str">
        <x:f>TEXT(A5219,"mmm yyyy")</x:f>
        <x:v>Aug 2026</x:v>
      </x:c>
    </x:row>
    <x:row r="5220" ht="21" customHeight="1">
      <x:c r="A5220" s="10" t="n">
        <x:v>46257</x:v>
      </x:c>
      <x:c r="B5220" s="1" t="n">
        <x:v>6</x:v>
      </x:c>
      <x:c r="C5220" s="1" t="n">
        <x:v>6</x:v>
      </x:c>
      <x:c r="D5220" s="12" t="n">
        <x:v>0.03975</x:v>
      </x:c>
      <x:c r="E5220" s="12" t="n">
        <x:v>0.29850000000000004</x:v>
      </x:c>
      <x:c r="F5220" s="12" t="n">
        <x:v>0.25658333333333333</x:v>
      </x:c>
      <x:c r="G5220" s="12" t="n">
        <x:v>0</x:v>
      </x:c>
      <x:c r="H5220" s="1" t="n">
        <x:f>'Historical prices'!E5220</x:f>
        <x:v>1.05</x:v>
      </x:c>
      <x:c r="I5220" s="6" t="n">
        <x:f>'Historical prices'!D5220</x:f>
        <x:v>0.2484</x:v>
      </x:c>
      <x:c r="J5220" s="13" t="n">
        <x:f>D5220*I5220*H5220</x:f>
        <x:v>0.010367595</x:v>
      </x:c>
      <x:c r="K5220" s="13" t="n">
        <x:f>E5220*I5220*H5220</x:f>
        <x:v>0.07785477000000002</x:v>
      </x:c>
      <x:c r="L5220" s="1" t="str">
        <x:f>TEXT(A5220,"mmm yyyy")</x:f>
        <x:v>Aug 2026</x:v>
      </x:c>
    </x:row>
    <x:row r="5221" ht="21" customHeight="1">
      <x:c r="A5221" s="10" t="n">
        <x:v>46257</x:v>
      </x:c>
      <x:c r="B5221" s="1" t="n">
        <x:v>6.5</x:v>
      </x:c>
      <x:c r="C5221" s="1" t="n">
        <x:v>6</x:v>
      </x:c>
      <x:c r="D5221" s="12" t="n">
        <x:v>0</x:v>
      </x:c>
      <x:c r="E5221" s="12" t="n">
        <x:v>0.5106666666666667</x:v>
      </x:c>
      <x:c r="F5221" s="12" t="n">
        <x:v>0.5038333333333334</x:v>
      </x:c>
      <x:c r="G5221" s="12" t="n">
        <x:v>0</x:v>
      </x:c>
      <x:c r="H5221" s="1" t="n">
        <x:f>'Historical prices'!E5221</x:f>
        <x:v>1.05</x:v>
      </x:c>
      <x:c r="I5221" s="6" t="n">
        <x:f>'Historical prices'!D5221</x:f>
        <x:v>0.2502</x:v>
      </x:c>
      <x:c r="J5221" s="13" t="n">
        <x:f>D5221*I5221*H5221</x:f>
        <x:v>0</x:v>
      </x:c>
      <x:c r="K5221" s="13" t="n">
        <x:f>E5221*I5221*H5221</x:f>
        <x:v>0.13415723999999998</x:v>
      </x:c>
      <x:c r="L5221" s="1" t="str">
        <x:f>TEXT(A5221,"mmm yyyy")</x:f>
        <x:v>Aug 2026</x:v>
      </x:c>
    </x:row>
    <x:row r="5222" ht="21" customHeight="1">
      <x:c r="A5222" s="10" t="n">
        <x:v>46257</x:v>
      </x:c>
      <x:c r="B5222" s="1" t="n">
        <x:v>7</x:v>
      </x:c>
      <x:c r="C5222" s="1" t="n">
        <x:v>6</x:v>
      </x:c>
      <x:c r="D5222" s="12" t="n">
        <x:v>0</x:v>
      </x:c>
      <x:c r="E5222" s="12" t="n">
        <x:v>0.68725</x:v>
      </x:c>
      <x:c r="F5222" s="12" t="n">
        <x:v>0.6865833333333333</x:v>
      </x:c>
      <x:c r="G5222" s="12" t="n">
        <x:v>0</x:v>
      </x:c>
      <x:c r="H5222" s="1" t="n">
        <x:f>'Historical prices'!E5222</x:f>
        <x:v>1.05</x:v>
      </x:c>
      <x:c r="I5222" s="6" t="n">
        <x:f>'Historical prices'!D5222</x:f>
        <x:v>0.25170000000000003</x:v>
      </x:c>
      <x:c r="J5222" s="13" t="n">
        <x:f>D5222*I5222*H5222</x:f>
        <x:v>0</x:v>
      </x:c>
      <x:c r="K5222" s="13" t="n">
        <x:f>E5222*I5222*H5222</x:f>
        <x:v>0.18162986625000005</x:v>
      </x:c>
      <x:c r="L5222" s="1" t="str">
        <x:f>TEXT(A5222,"mmm yyyy")</x:f>
        <x:v>Aug 2026</x:v>
      </x:c>
    </x:row>
    <x:row r="5223" ht="21" customHeight="1">
      <x:c r="A5223" s="10" t="n">
        <x:v>46257</x:v>
      </x:c>
      <x:c r="B5223" s="1" t="n">
        <x:v>7.5</x:v>
      </x:c>
      <x:c r="C5223" s="1" t="n">
        <x:v>6</x:v>
      </x:c>
      <x:c r="D5223" s="12" t="n">
        <x:v>0</x:v>
      </x:c>
      <x:c r="E5223" s="12" t="n">
        <x:v>0.6416666666666666</x:v>
      </x:c>
      <x:c r="F5223" s="12" t="n">
        <x:v>0.6414166666666666</x:v>
      </x:c>
      <x:c r="G5223" s="12" t="n">
        <x:v>0</x:v>
      </x:c>
      <x:c r="H5223" s="1" t="n">
        <x:f>'Historical prices'!E5223</x:f>
        <x:v>1.05</x:v>
      </x:c>
      <x:c r="I5223" s="6" t="n">
        <x:f>'Historical prices'!D5223</x:f>
        <x:v>0.2484</x:v>
      </x:c>
      <x:c r="J5223" s="13" t="n">
        <x:f>D5223*I5223*H5223</x:f>
        <x:v>0</x:v>
      </x:c>
      <x:c r="K5223" s="13" t="n">
        <x:f>E5223*I5223*H5223</x:f>
        <x:v>0.16735950000000002</x:v>
      </x:c>
      <x:c r="L5223" s="1" t="str">
        <x:f>TEXT(A5223,"mmm yyyy")</x:f>
        <x:v>Aug 2026</x:v>
      </x:c>
    </x:row>
    <x:row r="5224" ht="21" customHeight="1">
      <x:c r="A5224" s="10" t="n">
        <x:v>46257</x:v>
      </x:c>
      <x:c r="B5224" s="1" t="n">
        <x:v>8</x:v>
      </x:c>
      <x:c r="C5224" s="1" t="n">
        <x:v>6</x:v>
      </x:c>
      <x:c r="D5224" s="12" t="n">
        <x:v>1.16725</x:v>
      </x:c>
      <x:c r="E5224" s="12" t="n">
        <x:v>1.29175</x:v>
      </x:c>
      <x:c r="F5224" s="12" t="n">
        <x:v>0.112</x:v>
      </x:c>
      <x:c r="G5224" s="12" t="n">
        <x:v>0</x:v>
      </x:c>
      <x:c r="H5224" s="1" t="n">
        <x:f>'Historical prices'!E5224</x:f>
        <x:v>1.05</x:v>
      </x:c>
      <x:c r="I5224" s="6" t="n">
        <x:f>'Historical prices'!D5224</x:f>
        <x:v>0.2439</x:v>
      </x:c>
      <x:c r="J5224" s="13" t="n">
        <x:f>D5224*I5224*H5224</x:f>
        <x:v>0.29892688875</x:v>
      </x:c>
      <x:c r="K5224" s="13" t="n">
        <x:f>E5224*I5224*H5224</x:f>
        <x:v>0.33081071625</x:v>
      </x:c>
      <x:c r="L5224" s="1" t="str">
        <x:f>TEXT(A5224,"mmm yyyy")</x:f>
        <x:v>Aug 2026</x:v>
      </x:c>
    </x:row>
    <x:row r="5225" ht="21" customHeight="1">
      <x:c r="A5225" s="10" t="n">
        <x:v>46257</x:v>
      </x:c>
      <x:c r="B5225" s="1" t="n">
        <x:v>8.5</x:v>
      </x:c>
      <x:c r="C5225" s="1" t="n">
        <x:v>6</x:v>
      </x:c>
      <x:c r="D5225" s="12" t="n">
        <x:v>0.543</x:v>
      </x:c>
      <x:c r="E5225" s="12" t="n">
        <x:v>0.554</x:v>
      </x:c>
      <x:c r="F5225" s="12" t="n">
        <x:v>0</x:v>
      </x:c>
      <x:c r="G5225" s="12" t="n">
        <x:v>0</x:v>
      </x:c>
      <x:c r="H5225" s="1" t="n">
        <x:f>'Historical prices'!E5225</x:f>
        <x:v>1.05</x:v>
      </x:c>
      <x:c r="I5225" s="6" t="n">
        <x:f>'Historical prices'!D5225</x:f>
        <x:v>0.23829999999999998</x:v>
      </x:c>
      <x:c r="J5225" s="13" t="n">
        <x:f>D5225*I5225*H5225</x:f>
        <x:v>0.135866745</x:v>
      </x:c>
      <x:c r="K5225" s="13" t="n">
        <x:f>E5225*I5225*H5225</x:f>
        <x:v>0.13861911000000002</x:v>
      </x:c>
      <x:c r="L5225" s="1" t="str">
        <x:f>TEXT(A5225,"mmm yyyy")</x:f>
        <x:v>Aug 2026</x:v>
      </x:c>
    </x:row>
    <x:row r="5226" ht="21" customHeight="1">
      <x:c r="A5226" s="10" t="n">
        <x:v>46257</x:v>
      </x:c>
      <x:c r="B5226" s="1" t="n">
        <x:v>9</x:v>
      </x:c>
      <x:c r="C5226" s="1" t="n">
        <x:v>6</x:v>
      </x:c>
      <x:c r="D5226" s="12" t="n">
        <x:v>0.8115</x:v>
      </x:c>
      <x:c r="E5226" s="12" t="n">
        <x:v>0.8225</x:v>
      </x:c>
      <x:c r="F5226" s="12" t="n">
        <x:v>0</x:v>
      </x:c>
      <x:c r="G5226" s="12" t="n">
        <x:v>0</x:v>
      </x:c>
      <x:c r="H5226" s="1" t="n">
        <x:f>'Historical prices'!E5226</x:f>
        <x:v>1.05</x:v>
      </x:c>
      <x:c r="I5226" s="6" t="n">
        <x:f>'Historical prices'!D5226</x:f>
        <x:v>0.2115</x:v>
      </x:c>
      <x:c r="J5226" s="13" t="n">
        <x:f>D5226*I5226*H5226</x:f>
        <x:v>0.1802138625</x:v>
      </x:c>
      <x:c r="K5226" s="13" t="n">
        <x:f>E5226*I5226*H5226</x:f>
        <x:v>0.1826566875</x:v>
      </x:c>
      <x:c r="L5226" s="1" t="str">
        <x:f>TEXT(A5226,"mmm yyyy")</x:f>
        <x:v>Aug 2026</x:v>
      </x:c>
    </x:row>
    <x:row r="5227" ht="21" customHeight="1">
      <x:c r="A5227" s="10" t="n">
        <x:v>46257</x:v>
      </x:c>
      <x:c r="B5227" s="1" t="n">
        <x:v>9.5</x:v>
      </x:c>
      <x:c r="C5227" s="1" t="n">
        <x:v>6</x:v>
      </x:c>
      <x:c r="D5227" s="12" t="n">
        <x:v>1.208</x:v>
      </x:c>
      <x:c r="E5227" s="12" t="n">
        <x:v>1.218</x:v>
      </x:c>
      <x:c r="F5227" s="12" t="n">
        <x:v>0</x:v>
      </x:c>
      <x:c r="G5227" s="12" t="n">
        <x:v>0</x:v>
      </x:c>
      <x:c r="H5227" s="1" t="n">
        <x:f>'Historical prices'!E5227</x:f>
        <x:v>1.05</x:v>
      </x:c>
      <x:c r="I5227" s="6" t="n">
        <x:f>'Historical prices'!D5227</x:f>
        <x:v>0.2034</x:v>
      </x:c>
      <x:c r="J5227" s="13" t="n">
        <x:f>D5227*I5227*H5227</x:f>
        <x:v>0.25799256</x:v>
      </x:c>
      <x:c r="K5227" s="13" t="n">
        <x:f>E5227*I5227*H5227</x:f>
        <x:v>0.26012826</x:v>
      </x:c>
      <x:c r="L5227" s="1" t="str">
        <x:f>TEXT(A5227,"mmm yyyy")</x:f>
        <x:v>Aug 2026</x:v>
      </x:c>
    </x:row>
    <x:row r="5228" ht="21" customHeight="1">
      <x:c r="A5228" s="10" t="n">
        <x:v>46257</x:v>
      </x:c>
      <x:c r="B5228" s="1" t="n">
        <x:v>10</x:v>
      </x:c>
      <x:c r="C5228" s="1" t="n">
        <x:v>6</x:v>
      </x:c>
      <x:c r="D5228" s="12" t="n">
        <x:v>1.16775</x:v>
      </x:c>
      <x:c r="E5228" s="12" t="n">
        <x:v>1.17875</x:v>
      </x:c>
      <x:c r="F5228" s="12" t="n">
        <x:v>0</x:v>
      </x:c>
      <x:c r="G5228" s="12" t="n">
        <x:v>0</x:v>
      </x:c>
      <x:c r="H5228" s="1" t="n">
        <x:f>'Historical prices'!E5228</x:f>
        <x:v>1.05</x:v>
      </x:c>
      <x:c r="I5228" s="6" t="n">
        <x:f>'Historical prices'!D5228</x:f>
        <x:v>0.20370000000000002</x:v>
      </x:c>
      <x:c r="J5228" s="13" t="n">
        <x:f>D5228*I5228*H5228</x:f>
        <x:v>0.24976420875000005</x:v>
      </x:c>
      <x:c r="K5228" s="13" t="n">
        <x:f>E5228*I5228*H5228</x:f>
        <x:v>0.25211694375000004</x:v>
      </x:c>
      <x:c r="L5228" s="1" t="str">
        <x:f>TEXT(A5228,"mmm yyyy")</x:f>
        <x:v>Aug 2026</x:v>
      </x:c>
    </x:row>
    <x:row r="5229" ht="21" customHeight="1">
      <x:c r="A5229" s="10" t="n">
        <x:v>46257</x:v>
      </x:c>
      <x:c r="B5229" s="1" t="n">
        <x:v>10.5</x:v>
      </x:c>
      <x:c r="C5229" s="1" t="n">
        <x:v>6</x:v>
      </x:c>
      <x:c r="D5229" s="12" t="n">
        <x:v>0.46625000000000005</x:v>
      </x:c>
      <x:c r="E5229" s="12" t="n">
        <x:v>0.47624999999999995</x:v>
      </x:c>
      <x:c r="F5229" s="12" t="n">
        <x:v>0</x:v>
      </x:c>
      <x:c r="G5229" s="12" t="n">
        <x:v>0</x:v>
      </x:c>
      <x:c r="H5229" s="1" t="n">
        <x:f>'Historical prices'!E5229</x:f>
        <x:v>1.05</x:v>
      </x:c>
      <x:c r="I5229" s="6" t="n">
        <x:f>'Historical prices'!D5229</x:f>
        <x:v>0.2039</x:v>
      </x:c>
      <x:c r="J5229" s="13" t="n">
        <x:f>D5229*I5229*H5229</x:f>
        <x:v>0.09982179375000001</x:v>
      </x:c>
      <x:c r="K5229" s="13" t="n">
        <x:f>E5229*I5229*H5229</x:f>
        <x:v>0.10196274375</x:v>
      </x:c>
      <x:c r="L5229" s="1" t="str">
        <x:f>TEXT(A5229,"mmm yyyy")</x:f>
        <x:v>Aug 2026</x:v>
      </x:c>
    </x:row>
    <x:row r="5230" ht="21" customHeight="1">
      <x:c r="A5230" s="10" t="n">
        <x:v>46257</x:v>
      </x:c>
      <x:c r="B5230" s="1" t="n">
        <x:v>11</x:v>
      </x:c>
      <x:c r="C5230" s="1" t="n">
        <x:v>6</x:v>
      </x:c>
      <x:c r="D5230" s="12" t="n">
        <x:v>0.54575</x:v>
      </x:c>
      <x:c r="E5230" s="12" t="n">
        <x:v>0.55575</x:v>
      </x:c>
      <x:c r="F5230" s="12" t="n">
        <x:v>0</x:v>
      </x:c>
      <x:c r="G5230" s="12" t="n">
        <x:v>0</x:v>
      </x:c>
      <x:c r="H5230" s="1" t="n">
        <x:f>'Historical prices'!E5230</x:f>
        <x:v>1.05</x:v>
      </x:c>
      <x:c r="I5230" s="6" t="n">
        <x:f>'Historical prices'!D5230</x:f>
        <x:v>0.201</x:v>
      </x:c>
      <x:c r="J5230" s="13" t="n">
        <x:f>D5230*I5230*H5230</x:f>
        <x:v>0.1151805375</x:v>
      </x:c>
      <x:c r="K5230" s="13" t="n">
        <x:f>E5230*I5230*H5230</x:f>
        <x:v>0.11729103750000001</x:v>
      </x:c>
      <x:c r="L5230" s="1" t="str">
        <x:f>TEXT(A5230,"mmm yyyy")</x:f>
        <x:v>Aug 2026</x:v>
      </x:c>
    </x:row>
    <x:row r="5231" ht="21" customHeight="1">
      <x:c r="A5231" s="10" t="n">
        <x:v>46257</x:v>
      </x:c>
      <x:c r="B5231" s="1" t="n">
        <x:v>11.5</x:v>
      </x:c>
      <x:c r="C5231" s="1" t="n">
        <x:v>6</x:v>
      </x:c>
      <x:c r="D5231" s="12" t="n">
        <x:v>3.18825</x:v>
      </x:c>
      <x:c r="E5231" s="12" t="n">
        <x:v>0.6412500000000001</x:v>
      </x:c>
      <x:c r="F5231" s="12" t="n">
        <x:v>0</x:v>
      </x:c>
      <x:c r="G5231" s="12" t="n">
        <x:v>2.55</x:v>
      </x:c>
      <x:c r="H5231" s="1" t="n">
        <x:f>'Historical prices'!E5231</x:f>
        <x:v>1.05</x:v>
      </x:c>
      <x:c r="I5231" s="6" t="n">
        <x:f>'Historical prices'!D5231</x:f>
        <x:v>0.1997</x:v>
      </x:c>
      <x:c r="J5231" s="13" t="n">
        <x:f>D5231*I5231*H5231</x:f>
        <x:v>0.66852820125</x:v>
      </x:c>
      <x:c r="K5231" s="13" t="n">
        <x:f>E5231*I5231*H5231</x:f>
        <x:v>0.13446050625000003</x:v>
      </x:c>
      <x:c r="L5231" s="1" t="str">
        <x:f>TEXT(A5231,"mmm yyyy")</x:f>
        <x:v>Aug 2026</x:v>
      </x:c>
    </x:row>
    <x:row r="5232" ht="21" customHeight="1">
      <x:c r="A5232" s="10" t="n">
        <x:v>46257</x:v>
      </x:c>
      <x:c r="B5232" s="1" t="n">
        <x:v>12</x:v>
      </x:c>
      <x:c r="C5232" s="1" t="n">
        <x:v>6</x:v>
      </x:c>
      <x:c r="D5232" s="12" t="n">
        <x:v>5.14175</x:v>
      </x:c>
      <x:c r="E5232" s="12" t="n">
        <x:v>0.53875</x:v>
      </x:c>
      <x:c r="F5232" s="12" t="n">
        <x:v>0</x:v>
      </x:c>
      <x:c r="G5232" s="12" t="n">
        <x:v>4.603000000000001</x:v>
      </x:c>
      <x:c r="H5232" s="1" t="n">
        <x:f>'Historical prices'!E5232</x:f>
        <x:v>1.05</x:v>
      </x:c>
      <x:c r="I5232" s="6" t="n">
        <x:f>'Historical prices'!D5232</x:f>
        <x:v>0.1942</x:v>
      </x:c>
      <x:c r="J5232" s="13" t="n">
        <x:f>D5232*I5232*H5232</x:f>
        <x:v>1.0484542425</x:v>
      </x:c>
      <x:c r="K5232" s="13" t="n">
        <x:f>E5232*I5232*H5232</x:f>
        <x:v>0.1098565125</x:v>
      </x:c>
      <x:c r="L5232" s="1" t="str">
        <x:f>TEXT(A5232,"mmm yyyy")</x:f>
        <x:v>Aug 2026</x:v>
      </x:c>
    </x:row>
    <x:row r="5233" ht="21" customHeight="1">
      <x:c r="A5233" s="10" t="n">
        <x:v>46257</x:v>
      </x:c>
      <x:c r="B5233" s="1" t="n">
        <x:v>12.5</x:v>
      </x:c>
      <x:c r="C5233" s="1" t="n">
        <x:v>6</x:v>
      </x:c>
      <x:c r="D5233" s="12" t="n">
        <x:v>4.9487499999999995</x:v>
      </x:c>
      <x:c r="E5233" s="12" t="n">
        <x:v>0.53075</x:v>
      </x:c>
      <x:c r="F5233" s="12" t="n">
        <x:v>0</x:v>
      </x:c>
      <x:c r="G5233" s="12" t="n">
        <x:v>4.417999999999999</x:v>
      </x:c>
      <x:c r="H5233" s="1" t="n">
        <x:f>'Historical prices'!E5233</x:f>
        <x:v>1.05</x:v>
      </x:c>
      <x:c r="I5233" s="6" t="n">
        <x:f>'Historical prices'!D5233</x:f>
        <x:v>0.1966</x:v>
      </x:c>
      <x:c r="J5233" s="13" t="n">
        <x:f>D5233*I5233*H5233</x:f>
        <x:v>1.0215704625</x:v>
      </x:c>
      <x:c r="K5233" s="13" t="n">
        <x:f>E5233*I5233*H5233</x:f>
        <x:v>0.10956272250000001</x:v>
      </x:c>
      <x:c r="L5233" s="1" t="str">
        <x:f>TEXT(A5233,"mmm yyyy")</x:f>
        <x:v>Aug 2026</x:v>
      </x:c>
    </x:row>
    <x:row r="5234" ht="21" customHeight="1">
      <x:c r="A5234" s="10" t="n">
        <x:v>46257</x:v>
      </x:c>
      <x:c r="B5234" s="1" t="n">
        <x:v>13</x:v>
      </x:c>
      <x:c r="C5234" s="1" t="n">
        <x:v>6</x:v>
      </x:c>
      <x:c r="D5234" s="12" t="n">
        <x:v>1.269</x:v>
      </x:c>
      <x:c r="E5234" s="12" t="n">
        <x:v>0.518</x:v>
      </x:c>
      <x:c r="F5234" s="12" t="n">
        <x:v>0</x:v>
      </x:c>
      <x:c r="G5234" s="12" t="n">
        <x:v>0.756</x:v>
      </x:c>
      <x:c r="H5234" s="1" t="n">
        <x:f>'Historical prices'!E5234</x:f>
        <x:v>1.05</x:v>
      </x:c>
      <x:c r="I5234" s="6" t="n">
        <x:f>'Historical prices'!D5234</x:f>
        <x:v>0.2112</x:v>
      </x:c>
      <x:c r="J5234" s="13" t="n">
        <x:f>D5234*I5234*H5234</x:f>
        <x:v>0.28141344</x:v>
      </x:c>
      <x:c r="K5234" s="13" t="n">
        <x:f>E5234*I5234*H5234</x:f>
        <x:v>0.11487168</x:v>
      </x:c>
      <x:c r="L5234" s="1" t="str">
        <x:f>TEXT(A5234,"mmm yyyy")</x:f>
        <x:v>Aug 2026</x:v>
      </x:c>
    </x:row>
    <x:row r="5235" ht="21" customHeight="1">
      <x:c r="A5235" s="10" t="n">
        <x:v>46257</x:v>
      </x:c>
      <x:c r="B5235" s="1" t="n">
        <x:v>13.5</x:v>
      </x:c>
      <x:c r="C5235" s="1" t="n">
        <x:v>6</x:v>
      </x:c>
      <x:c r="D5235" s="12" t="n">
        <x:v>0.30025</x:v>
      </x:c>
      <x:c r="E5235" s="12" t="n">
        <x:v>0.31125</x:v>
      </x:c>
      <x:c r="F5235" s="12" t="n">
        <x:v>0</x:v>
      </x:c>
      <x:c r="G5235" s="12" t="n">
        <x:v>0</x:v>
      </x:c>
      <x:c r="H5235" s="1" t="n">
        <x:f>'Historical prices'!E5235</x:f>
        <x:v>1.05</x:v>
      </x:c>
      <x:c r="I5235" s="6" t="n">
        <x:f>'Historical prices'!D5235</x:f>
        <x:v>0.21230000000000002</x:v>
      </x:c>
      <x:c r="J5235" s="13" t="n">
        <x:f>D5235*I5235*H5235</x:f>
        <x:v>0.06693022875000001</x:v>
      </x:c>
      <x:c r="K5235" s="13" t="n">
        <x:f>E5235*I5235*H5235</x:f>
        <x:v>0.06938229375000002</x:v>
      </x:c>
      <x:c r="L5235" s="1" t="str">
        <x:f>TEXT(A5235,"mmm yyyy")</x:f>
        <x:v>Aug 2026</x:v>
      </x:c>
    </x:row>
    <x:row r="5236" ht="21" customHeight="1">
      <x:c r="A5236" s="10" t="n">
        <x:v>46257</x:v>
      </x:c>
      <x:c r="B5236" s="1" t="n">
        <x:v>14</x:v>
      </x:c>
      <x:c r="C5236" s="1" t="n">
        <x:v>6</x:v>
      </x:c>
      <x:c r="D5236" s="12" t="n">
        <x:v>0.23650000000000002</x:v>
      </x:c>
      <x:c r="E5236" s="12" t="n">
        <x:v>0.24750000000000003</x:v>
      </x:c>
      <x:c r="F5236" s="12" t="n">
        <x:v>0</x:v>
      </x:c>
      <x:c r="G5236" s="12" t="n">
        <x:v>0</x:v>
      </x:c>
      <x:c r="H5236" s="1" t="n">
        <x:f>'Historical prices'!E5236</x:f>
        <x:v>1.05</x:v>
      </x:c>
      <x:c r="I5236" s="6" t="n">
        <x:f>'Historical prices'!D5236</x:f>
        <x:v>0.21230000000000002</x:v>
      </x:c>
      <x:c r="J5236" s="13" t="n">
        <x:f>D5236*I5236*H5236</x:f>
        <x:v>0.052719397500000015</x:v>
      </x:c>
      <x:c r="K5236" s="13" t="n">
        <x:f>E5236*I5236*H5236</x:f>
        <x:v>0.05517146250000001</x:v>
      </x:c>
      <x:c r="L5236" s="1" t="str">
        <x:f>TEXT(A5236,"mmm yyyy")</x:f>
        <x:v>Aug 2026</x:v>
      </x:c>
    </x:row>
    <x:row r="5237" ht="21" customHeight="1">
      <x:c r="A5237" s="10" t="n">
        <x:v>46257</x:v>
      </x:c>
      <x:c r="B5237" s="1" t="n">
        <x:v>14.5</x:v>
      </x:c>
      <x:c r="C5237" s="1" t="n">
        <x:v>6</x:v>
      </x:c>
      <x:c r="D5237" s="12" t="n">
        <x:v>0.26375000000000004</x:v>
      </x:c>
      <x:c r="E5237" s="12" t="n">
        <x:v>0.27475</x:v>
      </x:c>
      <x:c r="F5237" s="12" t="n">
        <x:v>0</x:v>
      </x:c>
      <x:c r="G5237" s="12" t="n">
        <x:v>0</x:v>
      </x:c>
      <x:c r="H5237" s="1" t="n">
        <x:f>'Historical prices'!E5237</x:f>
        <x:v>1.05</x:v>
      </x:c>
      <x:c r="I5237" s="6" t="n">
        <x:f>'Historical prices'!D5237</x:f>
        <x:v>0.21530000000000002</x:v>
      </x:c>
      <x:c r="J5237" s="13" t="n">
        <x:f>D5237*I5237*H5237</x:f>
        <x:v>0.05962464375000002</x:v>
      </x:c>
      <x:c r="K5237" s="13" t="n">
        <x:f>E5237*I5237*H5237</x:f>
        <x:v>0.062111358750000005</x:v>
      </x:c>
      <x:c r="L5237" s="1" t="str">
        <x:f>TEXT(A5237,"mmm yyyy")</x:f>
        <x:v>Aug 2026</x:v>
      </x:c>
    </x:row>
    <x:row r="5238" ht="21" customHeight="1">
      <x:c r="A5238" s="10" t="n">
        <x:v>46257</x:v>
      </x:c>
      <x:c r="B5238" s="1" t="n">
        <x:v>15</x:v>
      </x:c>
      <x:c r="C5238" s="1" t="n">
        <x:v>6</x:v>
      </x:c>
      <x:c r="D5238" s="12" t="n">
        <x:v>0.29450000000000004</x:v>
      </x:c>
      <x:c r="E5238" s="12" t="n">
        <x:v>0.3055</x:v>
      </x:c>
      <x:c r="F5238" s="12" t="n">
        <x:v>0</x:v>
      </x:c>
      <x:c r="G5238" s="12" t="n">
        <x:v>0</x:v>
      </x:c>
      <x:c r="H5238" s="1" t="n">
        <x:f>'Historical prices'!E5238</x:f>
        <x:v>1.05</x:v>
      </x:c>
      <x:c r="I5238" s="6" t="n">
        <x:f>'Historical prices'!D5238</x:f>
        <x:v>0.23120000000000002</x:v>
      </x:c>
      <x:c r="J5238" s="13" t="n">
        <x:f>D5238*I5238*H5238</x:f>
        <x:v>0.07149282000000001</x:v>
      </x:c>
      <x:c r="K5238" s="13" t="n">
        <x:f>E5238*I5238*H5238</x:f>
        <x:v>0.07416318000000001</x:v>
      </x:c>
      <x:c r="L5238" s="1" t="str">
        <x:f>TEXT(A5238,"mmm yyyy")</x:f>
        <x:v>Aug 2026</x:v>
      </x:c>
    </x:row>
    <x:row r="5239" ht="21" customHeight="1">
      <x:c r="A5239" s="10" t="n">
        <x:v>46257</x:v>
      </x:c>
      <x:c r="B5239" s="1" t="n">
        <x:v>15.5</x:v>
      </x:c>
      <x:c r="C5239" s="1" t="n">
        <x:v>6</x:v>
      </x:c>
      <x:c r="D5239" s="12" t="n">
        <x:v>0.24125000000000002</x:v>
      </x:c>
      <x:c r="E5239" s="12" t="n">
        <x:v>0.25225000000000003</x:v>
      </x:c>
      <x:c r="F5239" s="12" t="n">
        <x:v>0</x:v>
      </x:c>
      <x:c r="G5239" s="12" t="n">
        <x:v>0</x:v>
      </x:c>
      <x:c r="H5239" s="1" t="n">
        <x:f>'Historical prices'!E5239</x:f>
        <x:v>1.05</x:v>
      </x:c>
      <x:c r="I5239" s="6" t="n">
        <x:f>'Historical prices'!D5239</x:f>
        <x:v>0.2368</x:v>
      </x:c>
      <x:c r="J5239" s="13" t="n">
        <x:f>D5239*I5239*H5239</x:f>
        <x:v>0.05998440000000001</x:v>
      </x:c>
      <x:c r="K5239" s="13" t="n">
        <x:f>E5239*I5239*H5239</x:f>
        <x:v>0.06271944000000002</x:v>
      </x:c>
      <x:c r="L5239" s="1" t="str">
        <x:f>TEXT(A5239,"mmm yyyy")</x:f>
        <x:v>Aug 2026</x:v>
      </x:c>
    </x:row>
    <x:row r="5240" ht="21" customHeight="1">
      <x:c r="A5240" s="10" t="n">
        <x:v>46257</x:v>
      </x:c>
      <x:c r="B5240" s="1" t="n">
        <x:v>16</x:v>
      </x:c>
      <x:c r="C5240" s="1" t="n">
        <x:v>6</x:v>
      </x:c>
      <x:c r="D5240" s="12" t="n">
        <x:v>0.04225</x:v>
      </x:c>
      <x:c r="E5240" s="12" t="n">
        <x:v>0.3143333333333333</x:v>
      </x:c>
      <x:c r="F5240" s="12" t="n">
        <x:v>0.27</x:v>
      </x:c>
      <x:c r="G5240" s="12" t="n">
        <x:v>0</x:v>
      </x:c>
      <x:c r="H5240" s="1" t="n">
        <x:f>'Historical prices'!E5240</x:f>
        <x:v>1.05</x:v>
      </x:c>
      <x:c r="I5240" s="6" t="n">
        <x:f>'Historical prices'!D5240</x:f>
        <x:v>0.3936</x:v>
      </x:c>
      <x:c r="J5240" s="13" t="n">
        <x:f>D5240*I5240*H5240</x:f>
        <x:v>0.017461080000000004</x:v>
      </x:c>
      <x:c r="K5240" s="13" t="n">
        <x:f>E5240*I5240*H5240</x:f>
        <x:v>0.12990768</x:v>
      </x:c>
      <x:c r="L5240" s="1" t="str">
        <x:f>TEXT(A5240,"mmm yyyy")</x:f>
        <x:v>Aug 2026</x:v>
      </x:c>
    </x:row>
    <x:row r="5241" ht="21" customHeight="1">
      <x:c r="A5241" s="10" t="n">
        <x:v>46257</x:v>
      </x:c>
      <x:c r="B5241" s="1" t="n">
        <x:v>16.5</x:v>
      </x:c>
      <x:c r="C5241" s="1" t="n">
        <x:v>6</x:v>
      </x:c>
      <x:c r="D5241" s="12" t="n">
        <x:v>0</x:v>
      </x:c>
      <x:c r="E5241" s="12" t="n">
        <x:v>0.3361666666666667</x:v>
      </x:c>
      <x:c r="F5241" s="12" t="n">
        <x:v>0.33566666666666667</x:v>
      </x:c>
      <x:c r="G5241" s="12" t="n">
        <x:v>0</x:v>
      </x:c>
      <x:c r="H5241" s="1" t="n">
        <x:f>'Historical prices'!E5241</x:f>
        <x:v>1.05</x:v>
      </x:c>
      <x:c r="I5241" s="6" t="n">
        <x:f>'Historical prices'!D5241</x:f>
        <x:v>0.38270000000000004</x:v>
      </x:c>
      <x:c r="J5241" s="13" t="n">
        <x:f>D5241*I5241*H5241</x:f>
        <x:v>0</x:v>
      </x:c>
      <x:c r="K5241" s="13" t="n">
        <x:f>E5241*I5241*H5241</x:f>
        <x:v>0.13508353250000002</x:v>
      </x:c>
      <x:c r="L5241" s="1" t="str">
        <x:f>TEXT(A5241,"mmm yyyy")</x:f>
        <x:v>Aug 2026</x:v>
      </x:c>
    </x:row>
    <x:row r="5242" ht="21" customHeight="1">
      <x:c r="A5242" s="10" t="n">
        <x:v>46257</x:v>
      </x:c>
      <x:c r="B5242" s="1" t="n">
        <x:v>17</x:v>
      </x:c>
      <x:c r="C5242" s="1" t="n">
        <x:v>6</x:v>
      </x:c>
      <x:c r="D5242" s="12" t="n">
        <x:v>0</x:v>
      </x:c>
      <x:c r="E5242" s="12" t="n">
        <x:v>0.42974999999999997</x:v>
      </x:c>
      <x:c r="F5242" s="12" t="n">
        <x:v>0.42941666666666667</x:v>
      </x:c>
      <x:c r="G5242" s="12" t="n">
        <x:v>0</x:v>
      </x:c>
      <x:c r="H5242" s="1" t="n">
        <x:f>'Historical prices'!E5242</x:f>
        <x:v>1.05</x:v>
      </x:c>
      <x:c r="I5242" s="6" t="n">
        <x:f>'Historical prices'!D5242</x:f>
        <x:v>0.38789999999999997</x:v>
      </x:c>
      <x:c r="J5242" s="13" t="n">
        <x:f>D5242*I5242*H5242</x:f>
        <x:v>0</x:v>
      </x:c>
      <x:c r="K5242" s="13" t="n">
        <x:f>E5242*I5242*H5242</x:f>
        <x:v>0.17503502624999998</x:v>
      </x:c>
      <x:c r="L5242" s="1" t="str">
        <x:f>TEXT(A5242,"mmm yyyy")</x:f>
        <x:v>Aug 2026</x:v>
      </x:c>
    </x:row>
    <x:row r="5243" ht="21" customHeight="1">
      <x:c r="A5243" s="10" t="n">
        <x:v>46257</x:v>
      </x:c>
      <x:c r="B5243" s="1" t="n">
        <x:v>17.5</x:v>
      </x:c>
      <x:c r="C5243" s="1" t="n">
        <x:v>6</x:v>
      </x:c>
      <x:c r="D5243" s="12" t="n">
        <x:v>0</x:v>
      </x:c>
      <x:c r="E5243" s="12" t="n">
        <x:v>0.5355</x:v>
      </x:c>
      <x:c r="F5243" s="12" t="n">
        <x:v>0.5325</x:v>
      </x:c>
      <x:c r="G5243" s="12" t="n">
        <x:v>0</x:v>
      </x:c>
      <x:c r="H5243" s="1" t="n">
        <x:f>'Historical prices'!E5243</x:f>
        <x:v>1.05</x:v>
      </x:c>
      <x:c r="I5243" s="6" t="n">
        <x:f>'Historical prices'!D5243</x:f>
        <x:v>0.4133</x:v>
      </x:c>
      <x:c r="J5243" s="13" t="n">
        <x:f>D5243*I5243*H5243</x:f>
        <x:v>0</x:v>
      </x:c>
      <x:c r="K5243" s="13" t="n">
        <x:f>E5243*I5243*H5243</x:f>
        <x:v>0.2323882575</x:v>
      </x:c>
      <x:c r="L5243" s="1" t="str">
        <x:f>TEXT(A5243,"mmm yyyy")</x:f>
        <x:v>Aug 2026</x:v>
      </x:c>
    </x:row>
    <x:row r="5244" ht="21" customHeight="1">
      <x:c r="A5244" s="10" t="n">
        <x:v>46257</x:v>
      </x:c>
      <x:c r="B5244" s="1" t="n">
        <x:v>18</x:v>
      </x:c>
      <x:c r="C5244" s="1" t="n">
        <x:v>6</x:v>
      </x:c>
      <x:c r="D5244" s="12" t="n">
        <x:v>0</x:v>
      </x:c>
      <x:c r="E5244" s="12" t="n">
        <x:v>0.5690833333333334</x:v>
      </x:c>
      <x:c r="F5244" s="12" t="n">
        <x:v>0.5684166666666667</x:v>
      </x:c>
      <x:c r="G5244" s="12" t="n">
        <x:v>0</x:v>
      </x:c>
      <x:c r="H5244" s="1" t="n">
        <x:f>'Historical prices'!E5244</x:f>
        <x:v>1.05</x:v>
      </x:c>
      <x:c r="I5244" s="6" t="n">
        <x:f>'Historical prices'!D5244</x:f>
        <x:v>0.4328</x:v>
      </x:c>
      <x:c r="J5244" s="13" t="n">
        <x:f>D5244*I5244*H5244</x:f>
        <x:v>0</x:v>
      </x:c>
      <x:c r="K5244" s="13" t="n">
        <x:f>E5244*I5244*H5244</x:f>
        <x:v>0.25861423000000006</x:v>
      </x:c>
      <x:c r="L5244" s="1" t="str">
        <x:f>TEXT(A5244,"mmm yyyy")</x:f>
        <x:v>Aug 2026</x:v>
      </x:c>
    </x:row>
    <x:row r="5245" ht="21" customHeight="1">
      <x:c r="A5245" s="10" t="n">
        <x:v>46257</x:v>
      </x:c>
      <x:c r="B5245" s="1" t="n">
        <x:v>18.5</x:v>
      </x:c>
      <x:c r="C5245" s="1" t="n">
        <x:v>6</x:v>
      </x:c>
      <x:c r="D5245" s="12" t="n">
        <x:v>0</x:v>
      </x:c>
      <x:c r="E5245" s="12" t="n">
        <x:v>0.9368333333333334</x:v>
      </x:c>
      <x:c r="F5245" s="12" t="n">
        <x:v>0.9365833333333333</x:v>
      </x:c>
      <x:c r="G5245" s="12" t="n">
        <x:v>0</x:v>
      </x:c>
      <x:c r="H5245" s="1" t="n">
        <x:f>'Historical prices'!E5245</x:f>
        <x:v>1.05</x:v>
      </x:c>
      <x:c r="I5245" s="6" t="n">
        <x:f>'Historical prices'!D5245</x:f>
        <x:v>0.4403</x:v>
      </x:c>
      <x:c r="J5245" s="13" t="n">
        <x:f>D5245*I5245*H5245</x:f>
        <x:v>0</x:v>
      </x:c>
      <x:c r="K5245" s="13" t="n">
        <x:f>E5245*I5245*H5245</x:f>
        <x:v>0.4331121025000001</x:v>
      </x:c>
      <x:c r="L5245" s="1" t="str">
        <x:f>TEXT(A5245,"mmm yyyy")</x:f>
        <x:v>Aug 2026</x:v>
      </x:c>
    </x:row>
    <x:row r="5246" ht="21" customHeight="1">
      <x:c r="A5246" s="10" t="n">
        <x:v>46257</x:v>
      </x:c>
      <x:c r="B5246" s="1" t="n">
        <x:v>19</x:v>
      </x:c>
      <x:c r="C5246" s="1" t="n">
        <x:v>6</x:v>
      </x:c>
      <x:c r="D5246" s="12" t="n">
        <x:v>0</x:v>
      </x:c>
      <x:c r="E5246" s="12" t="n">
        <x:v>0.5648333333333333</x:v>
      </x:c>
      <x:c r="F5246" s="12" t="n">
        <x:v>0.5646666666666667</x:v>
      </x:c>
      <x:c r="G5246" s="12" t="n">
        <x:v>0</x:v>
      </x:c>
      <x:c r="H5246" s="1" t="n">
        <x:f>'Historical prices'!E5246</x:f>
        <x:v>1.05</x:v>
      </x:c>
      <x:c r="I5246" s="6" t="n">
        <x:f>'Historical prices'!D5246</x:f>
        <x:v>0.3172</x:v>
      </x:c>
      <x:c r="J5246" s="13" t="n">
        <x:f>D5246*I5246*H5246</x:f>
        <x:v>0</x:v>
      </x:c>
      <x:c r="K5246" s="13" t="n">
        <x:f>E5246*I5246*H5246</x:f>
        <x:v>0.18812338999999997</x:v>
      </x:c>
      <x:c r="L5246" s="1" t="str">
        <x:f>TEXT(A5246,"mmm yyyy")</x:f>
        <x:v>Aug 2026</x:v>
      </x:c>
    </x:row>
    <x:row r="5247" ht="21" customHeight="1">
      <x:c r="A5247" s="10" t="n">
        <x:v>46257</x:v>
      </x:c>
      <x:c r="B5247" s="1" t="n">
        <x:v>19.5</x:v>
      </x:c>
      <x:c r="C5247" s="1" t="n">
        <x:v>6</x:v>
      </x:c>
      <x:c r="D5247" s="12" t="n">
        <x:v>0</x:v>
      </x:c>
      <x:c r="E5247" s="12" t="n">
        <x:v>0.9484166666666667</x:v>
      </x:c>
      <x:c r="F5247" s="12" t="n">
        <x:v>0.94825</x:v>
      </x:c>
      <x:c r="G5247" s="12" t="n">
        <x:v>0</x:v>
      </x:c>
      <x:c r="H5247" s="1" t="n">
        <x:f>'Historical prices'!E5247</x:f>
        <x:v>1.05</x:v>
      </x:c>
      <x:c r="I5247" s="6" t="n">
        <x:f>'Historical prices'!D5247</x:f>
        <x:v>0.3173</x:v>
      </x:c>
      <x:c r="J5247" s="13" t="n">
        <x:f>D5247*I5247*H5247</x:f>
        <x:v>0</x:v>
      </x:c>
      <x:c r="K5247" s="13" t="n">
        <x:f>E5247*I5247*H5247</x:f>
        <x:v>0.31597923875000006</x:v>
      </x:c>
      <x:c r="L5247" s="1" t="str">
        <x:f>TEXT(A5247,"mmm yyyy")</x:f>
        <x:v>Aug 2026</x:v>
      </x:c>
    </x:row>
    <x:row r="5248" ht="21" customHeight="1">
      <x:c r="A5248" s="10" t="n">
        <x:v>46257</x:v>
      </x:c>
      <x:c r="B5248" s="1" t="n">
        <x:v>20</x:v>
      </x:c>
      <x:c r="C5248" s="1" t="n">
        <x:v>6</x:v>
      </x:c>
      <x:c r="D5248" s="12" t="n">
        <x:v>0</x:v>
      </x:c>
      <x:c r="E5248" s="12" t="n">
        <x:v>0.5211666666666667</x:v>
      </x:c>
      <x:c r="F5248" s="12" t="n">
        <x:v>0.52075</x:v>
      </x:c>
      <x:c r="G5248" s="12" t="n">
        <x:v>0</x:v>
      </x:c>
      <x:c r="H5248" s="1" t="n">
        <x:f>'Historical prices'!E5248</x:f>
        <x:v>1.05</x:v>
      </x:c>
      <x:c r="I5248" s="6" t="n">
        <x:f>'Historical prices'!D5248</x:f>
        <x:v>0.3194</x:v>
      </x:c>
      <x:c r="J5248" s="13" t="n">
        <x:f>D5248*I5248*H5248</x:f>
        <x:v>0</x:v>
      </x:c>
      <x:c r="K5248" s="13" t="n">
        <x:f>E5248*I5248*H5248</x:f>
        <x:v>0.174783665</x:v>
      </x:c>
      <x:c r="L5248" s="1" t="str">
        <x:f>TEXT(A5248,"mmm yyyy")</x:f>
        <x:v>Aug 2026</x:v>
      </x:c>
    </x:row>
    <x:row r="5249" ht="21" customHeight="1">
      <x:c r="A5249" s="10" t="n">
        <x:v>46257</x:v>
      </x:c>
      <x:c r="B5249" s="1" t="n">
        <x:v>20.5</x:v>
      </x:c>
      <x:c r="C5249" s="1" t="n">
        <x:v>6</x:v>
      </x:c>
      <x:c r="D5249" s="12" t="n">
        <x:v>0</x:v>
      </x:c>
      <x:c r="E5249" s="12" t="n">
        <x:v>0.5467500000000001</x:v>
      </x:c>
      <x:c r="F5249" s="12" t="n">
        <x:v>0.5461666666666667</x:v>
      </x:c>
      <x:c r="G5249" s="12" t="n">
        <x:v>0</x:v>
      </x:c>
      <x:c r="H5249" s="1" t="n">
        <x:f>'Historical prices'!E5249</x:f>
        <x:v>1.05</x:v>
      </x:c>
      <x:c r="I5249" s="6" t="n">
        <x:f>'Historical prices'!D5249</x:f>
        <x:v>0.3173</x:v>
      </x:c>
      <x:c r="J5249" s="13" t="n">
        <x:f>D5249*I5249*H5249</x:f>
        <x:v>0</x:v>
      </x:c>
      <x:c r="K5249" s="13" t="n">
        <x:f>E5249*I5249*H5249</x:f>
        <x:v>0.18215796375000004</x:v>
      </x:c>
      <x:c r="L5249" s="1" t="str">
        <x:f>TEXT(A5249,"mmm yyyy")</x:f>
        <x:v>Aug 2026</x:v>
      </x:c>
    </x:row>
    <x:row r="5250" ht="21" customHeight="1">
      <x:c r="A5250" s="10" t="n">
        <x:v>46257</x:v>
      </x:c>
      <x:c r="B5250" s="1" t="n">
        <x:v>21</x:v>
      </x:c>
      <x:c r="C5250" s="1" t="n">
        <x:v>6</x:v>
      </x:c>
      <x:c r="D5250" s="12" t="n">
        <x:v>0</x:v>
      </x:c>
      <x:c r="E5250" s="12" t="n">
        <x:v>0.5358333333333333</x:v>
      </x:c>
      <x:c r="F5250" s="12" t="n">
        <x:v>0.53575</x:v>
      </x:c>
      <x:c r="G5250" s="12" t="n">
        <x:v>0</x:v>
      </x:c>
      <x:c r="H5250" s="1" t="n">
        <x:f>'Historical prices'!E5250</x:f>
        <x:v>1.05</x:v>
      </x:c>
      <x:c r="I5250" s="6" t="n">
        <x:f>'Historical prices'!D5250</x:f>
        <x:v>0.3194</x:v>
      </x:c>
      <x:c r="J5250" s="13" t="n">
        <x:f>D5250*I5250*H5250</x:f>
        <x:v>0</x:v>
      </x:c>
      <x:c r="K5250" s="13" t="n">
        <x:f>E5250*I5250*H5250</x:f>
        <x:v>0.179702425</x:v>
      </x:c>
      <x:c r="L5250" s="1" t="str">
        <x:f>TEXT(A5250,"mmm yyyy")</x:f>
        <x:v>Aug 2026</x:v>
      </x:c>
    </x:row>
    <x:row r="5251" ht="21" customHeight="1">
      <x:c r="A5251" s="10" t="n">
        <x:v>46257</x:v>
      </x:c>
      <x:c r="B5251" s="1" t="n">
        <x:v>21.5</x:v>
      </x:c>
      <x:c r="C5251" s="1" t="n">
        <x:v>6</x:v>
      </x:c>
      <x:c r="D5251" s="12" t="n">
        <x:v>0</x:v>
      </x:c>
      <x:c r="E5251" s="12" t="n">
        <x:v>0.9108333333333334</x:v>
      </x:c>
      <x:c r="F5251" s="12" t="n">
        <x:v>0.9105000000000001</x:v>
      </x:c>
      <x:c r="G5251" s="12" t="n">
        <x:v>0</x:v>
      </x:c>
      <x:c r="H5251" s="1" t="n">
        <x:f>'Historical prices'!E5251</x:f>
        <x:v>1.05</x:v>
      </x:c>
      <x:c r="I5251" s="6" t="n">
        <x:f>'Historical prices'!D5251</x:f>
        <x:v>0.3084</x:v>
      </x:c>
      <x:c r="J5251" s="13" t="n">
        <x:f>D5251*I5251*H5251</x:f>
        <x:v>0</x:v>
      </x:c>
      <x:c r="K5251" s="13" t="n">
        <x:f>E5251*I5251*H5251</x:f>
        <x:v>0.29494605</x:v>
      </x:c>
      <x:c r="L5251" s="1" t="str">
        <x:f>TEXT(A5251,"mmm yyyy")</x:f>
        <x:v>Aug 2026</x:v>
      </x:c>
    </x:row>
    <x:row r="5252" ht="21" customHeight="1">
      <x:c r="A5252" s="10" t="n">
        <x:v>46257</x:v>
      </x:c>
      <x:c r="B5252" s="1" t="n">
        <x:v>22</x:v>
      </x:c>
      <x:c r="C5252" s="1" t="n">
        <x:v>6</x:v>
      </x:c>
      <x:c r="D5252" s="12" t="n">
        <x:v>0</x:v>
      </x:c>
      <x:c r="E5252" s="12" t="n">
        <x:v>0.27166666666666667</x:v>
      </x:c>
      <x:c r="F5252" s="12" t="n">
        <x:v>0.27125</x:v>
      </x:c>
      <x:c r="G5252" s="12" t="n">
        <x:v>0</x:v>
      </x:c>
      <x:c r="H5252" s="1" t="n">
        <x:f>'Historical prices'!E5252</x:f>
        <x:v>1.05</x:v>
      </x:c>
      <x:c r="I5252" s="6" t="n">
        <x:f>'Historical prices'!D5252</x:f>
        <x:v>0.30219999999999997</x:v>
      </x:c>
      <x:c r="J5252" s="13" t="n">
        <x:f>D5252*I5252*H5252</x:f>
        <x:v>0</x:v>
      </x:c>
      <x:c r="K5252" s="13" t="n">
        <x:f>E5252*I5252*H5252</x:f>
        <x:v>0.08620254999999999</x:v>
      </x:c>
      <x:c r="L5252" s="1" t="str">
        <x:f>TEXT(A5252,"mmm yyyy")</x:f>
        <x:v>Aug 2026</x:v>
      </x:c>
    </x:row>
    <x:row r="5253" ht="21" customHeight="1">
      <x:c r="A5253" s="10" t="n">
        <x:v>46257</x:v>
      </x:c>
      <x:c r="B5253" s="1" t="n">
        <x:v>22.5</x:v>
      </x:c>
      <x:c r="C5253" s="1" t="n">
        <x:v>6</x:v>
      </x:c>
      <x:c r="D5253" s="12" t="n">
        <x:v>0.2025</x:v>
      </x:c>
      <x:c r="E5253" s="12" t="n">
        <x:v>0.25766666666666665</x:v>
      </x:c>
      <x:c r="F5253" s="12" t="n">
        <x:v>0.045</x:v>
      </x:c>
      <x:c r="G5253" s="12" t="n">
        <x:v>0</x:v>
      </x:c>
      <x:c r="H5253" s="1" t="n">
        <x:f>'Historical prices'!E5253</x:f>
        <x:v>1.05</x:v>
      </x:c>
      <x:c r="I5253" s="6" t="n">
        <x:f>'Historical prices'!D5253</x:f>
        <x:v>0.2774</x:v>
      </x:c>
      <x:c r="J5253" s="13" t="n">
        <x:f>D5253*I5253*H5253</x:f>
        <x:v>0.058982175000000005</x:v>
      </x:c>
      <x:c r="K5253" s="13" t="n">
        <x:f>E5253*I5253*H5253</x:f>
        <x:v>0.07505056999999998</x:v>
      </x:c>
      <x:c r="L5253" s="1" t="str">
        <x:f>TEXT(A5253,"mmm yyyy")</x:f>
        <x:v>Aug 2026</x:v>
      </x:c>
    </x:row>
    <x:row r="5254" ht="21" customHeight="1">
      <x:c r="A5254" s="10" t="n">
        <x:v>46257</x:v>
      </x:c>
      <x:c r="B5254" s="1" t="n">
        <x:v>23</x:v>
      </x:c>
      <x:c r="C5254" s="1" t="n">
        <x:v>6</x:v>
      </x:c>
      <x:c r="D5254" s="12" t="n">
        <x:v>4.11725</x:v>
      </x:c>
      <x:c r="E5254" s="12" t="n">
        <x:v>0.44525</x:v>
      </x:c>
      <x:c r="F5254" s="12" t="n">
        <x:v>0</x:v>
      </x:c>
      <x:c r="G5254" s="12" t="n">
        <x:v>3.6739999999999995</x:v>
      </x:c>
      <x:c r="H5254" s="1" t="n">
        <x:f>'Historical prices'!E5254</x:f>
        <x:v>1.05</x:v>
      </x:c>
      <x:c r="I5254" s="6" t="n">
        <x:f>'Historical prices'!D5254</x:f>
        <x:v>0.22699999999999998</x:v>
      </x:c>
      <x:c r="J5254" s="13" t="n">
        <x:f>D5254*I5254*H5254</x:f>
        <x:v>0.9813465375</x:v>
      </x:c>
      <x:c r="K5254" s="13" t="n">
        <x:f>E5254*I5254*H5254</x:f>
        <x:v>0.10612533749999999</x:v>
      </x:c>
      <x:c r="L5254" s="1" t="str">
        <x:f>TEXT(A5254,"mmm yyyy")</x:f>
        <x:v>Aug 2026</x:v>
      </x:c>
    </x:row>
    <x:row r="5255" ht="21" customHeight="1">
      <x:c r="A5255" s="10" t="n">
        <x:v>46257</x:v>
      </x:c>
      <x:c r="B5255" s="1" t="n">
        <x:v>23.5</x:v>
      </x:c>
      <x:c r="C5255" s="1" t="n">
        <x:v>6</x:v>
      </x:c>
      <x:c r="D5255" s="12" t="n">
        <x:v>0.93125</x:v>
      </x:c>
      <x:c r="E5255" s="12" t="n">
        <x:v>0.21125</x:v>
      </x:c>
      <x:c r="F5255" s="12" t="n">
        <x:v>0</x:v>
      </x:c>
      <x:c r="G5255" s="12" t="n">
        <x:v>0.72</x:v>
      </x:c>
      <x:c r="H5255" s="1" t="n">
        <x:f>'Historical prices'!E5255</x:f>
        <x:v>1.05</x:v>
      </x:c>
      <x:c r="I5255" s="6" t="n">
        <x:f>'Historical prices'!D5255</x:f>
        <x:v>0.23870000000000002</x:v>
      </x:c>
      <x:c r="J5255" s="13" t="n">
        <x:f>D5255*I5255*H5255</x:f>
        <x:v>0.23340384375000006</x:v>
      </x:c>
      <x:c r="K5255" s="13" t="n">
        <x:f>E5255*I5255*H5255</x:f>
        <x:v>0.05294664375</x:v>
      </x:c>
      <x:c r="L5255" s="1" t="str">
        <x:f>TEXT(A5255,"mmm yyyy")</x:f>
        <x:v>Aug 2026</x:v>
      </x:c>
    </x:row>
    <x:row r="5256" ht="21" customHeight="1">
      <x:c r="A5256" s="10" t="n">
        <x:v>46258</x:v>
      </x:c>
      <x:c r="B5256" s="1" t="n">
        <x:v>0</x:v>
      </x:c>
      <x:c r="C5256" s="1" t="n">
        <x:v>6</x:v>
      </x:c>
      <x:c r="D5256" s="12" t="n">
        <x:v>0.17099999999999999</x:v>
      </x:c>
      <x:c r="E5256" s="12" t="n">
        <x:v>0.183</x:v>
      </x:c>
      <x:c r="F5256" s="12" t="n">
        <x:v>0</x:v>
      </x:c>
      <x:c r="G5256" s="12" t="n">
        <x:v>0</x:v>
      </x:c>
      <x:c r="H5256" s="1" t="n">
        <x:f>'Historical prices'!E5256</x:f>
        <x:v>1.05</x:v>
      </x:c>
      <x:c r="I5256" s="6" t="n">
        <x:f>'Historical prices'!D5256</x:f>
        <x:v>0.2487</x:v>
      </x:c>
      <x:c r="J5256" s="13" t="n">
        <x:f>D5256*I5256*H5256</x:f>
        <x:v>0.044654084999999996</x:v>
      </x:c>
      <x:c r="K5256" s="13" t="n">
        <x:f>E5256*I5256*H5256</x:f>
        <x:v>0.047787705</x:v>
      </x:c>
      <x:c r="L5256" s="1" t="str">
        <x:f>TEXT(A5256,"mmm yyyy")</x:f>
        <x:v>Aug 2026</x:v>
      </x:c>
    </x:row>
    <x:row r="5257" ht="21" customHeight="1">
      <x:c r="A5257" s="10" t="n">
        <x:v>46258</x:v>
      </x:c>
      <x:c r="B5257" s="1" t="n">
        <x:v>0.5</x:v>
      </x:c>
      <x:c r="C5257" s="1" t="n">
        <x:v>6</x:v>
      </x:c>
      <x:c r="D5257" s="12" t="n">
        <x:v>0.2315</x:v>
      </x:c>
      <x:c r="E5257" s="12" t="n">
        <x:v>0.24150000000000002</x:v>
      </x:c>
      <x:c r="F5257" s="12" t="n">
        <x:v>0</x:v>
      </x:c>
      <x:c r="G5257" s="12" t="n">
        <x:v>0</x:v>
      </x:c>
      <x:c r="H5257" s="1" t="n">
        <x:f>'Historical prices'!E5257</x:f>
        <x:v>1.05</x:v>
      </x:c>
      <x:c r="I5257" s="6" t="n">
        <x:f>'Historical prices'!D5257</x:f>
        <x:v>0.2459</x:v>
      </x:c>
      <x:c r="J5257" s="13" t="n">
        <x:f>D5257*I5257*H5257</x:f>
        <x:v>0.05977214250000001</x:v>
      </x:c>
      <x:c r="K5257" s="13" t="n">
        <x:f>E5257*I5257*H5257</x:f>
        <x:v>0.06235409250000001</x:v>
      </x:c>
      <x:c r="L5257" s="1" t="str">
        <x:f>TEXT(A5257,"mmm yyyy")</x:f>
        <x:v>Aug 2026</x:v>
      </x:c>
    </x:row>
    <x:row r="5258" ht="21" customHeight="1">
      <x:c r="A5258" s="10" t="n">
        <x:v>46258</x:v>
      </x:c>
      <x:c r="B5258" s="1" t="n">
        <x:v>1</x:v>
      </x:c>
      <x:c r="C5258" s="1" t="n">
        <x:v>6</x:v>
      </x:c>
      <x:c r="D5258" s="12" t="n">
        <x:v>0.16999999999999998</x:v>
      </x:c>
      <x:c r="E5258" s="12" t="n">
        <x:v>0.18</x:v>
      </x:c>
      <x:c r="F5258" s="12" t="n">
        <x:v>0</x:v>
      </x:c>
      <x:c r="G5258" s="12" t="n">
        <x:v>0</x:v>
      </x:c>
      <x:c r="H5258" s="1" t="n">
        <x:f>'Historical prices'!E5258</x:f>
        <x:v>1.05</x:v>
      </x:c>
      <x:c r="I5258" s="6" t="n">
        <x:f>'Historical prices'!D5258</x:f>
        <x:v>0.2465</x:v>
      </x:c>
      <x:c r="J5258" s="13" t="n">
        <x:f>D5258*I5258*H5258</x:f>
        <x:v>0.04400025</x:v>
      </x:c>
      <x:c r="K5258" s="13" t="n">
        <x:f>E5258*I5258*H5258</x:f>
        <x:v>0.046588500000000005</x:v>
      </x:c>
      <x:c r="L5258" s="1" t="str">
        <x:f>TEXT(A5258,"mmm yyyy")</x:f>
        <x:v>Aug 2026</x:v>
      </x:c>
    </x:row>
    <x:row r="5259" ht="21" customHeight="1">
      <x:c r="A5259" s="10" t="n">
        <x:v>46258</x:v>
      </x:c>
      <x:c r="B5259" s="1" t="n">
        <x:v>1.5</x:v>
      </x:c>
      <x:c r="C5259" s="1" t="n">
        <x:v>6</x:v>
      </x:c>
      <x:c r="D5259" s="12" t="n">
        <x:v>0.17200000000000001</x:v>
      </x:c>
      <x:c r="E5259" s="12" t="n">
        <x:v>0.183</x:v>
      </x:c>
      <x:c r="F5259" s="12" t="n">
        <x:v>0</x:v>
      </x:c>
      <x:c r="G5259" s="12" t="n">
        <x:v>0</x:v>
      </x:c>
      <x:c r="H5259" s="1" t="n">
        <x:f>'Historical prices'!E5259</x:f>
        <x:v>1.05</x:v>
      </x:c>
      <x:c r="I5259" s="6" t="n">
        <x:f>'Historical prices'!D5259</x:f>
        <x:v>0.24789999999999998</x:v>
      </x:c>
      <x:c r="J5259" s="13" t="n">
        <x:f>D5259*I5259*H5259</x:f>
        <x:v>0.044770739999999996</x:v>
      </x:c>
      <x:c r="K5259" s="13" t="n">
        <x:f>E5259*I5259*H5259</x:f>
        <x:v>0.047633985</x:v>
      </x:c>
      <x:c r="L5259" s="1" t="str">
        <x:f>TEXT(A5259,"mmm yyyy")</x:f>
        <x:v>Aug 2026</x:v>
      </x:c>
    </x:row>
    <x:row r="5260" ht="21" customHeight="1">
      <x:c r="A5260" s="10" t="n">
        <x:v>46258</x:v>
      </x:c>
      <x:c r="B5260" s="1" t="n">
        <x:v>2</x:v>
      </x:c>
      <x:c r="C5260" s="1" t="n">
        <x:v>6</x:v>
      </x:c>
      <x:c r="D5260" s="12" t="n">
        <x:v>0.20525000000000002</x:v>
      </x:c>
      <x:c r="E5260" s="12" t="n">
        <x:v>0.21525</x:v>
      </x:c>
      <x:c r="F5260" s="12" t="n">
        <x:v>0</x:v>
      </x:c>
      <x:c r="G5260" s="12" t="n">
        <x:v>0</x:v>
      </x:c>
      <x:c r="H5260" s="1" t="n">
        <x:f>'Historical prices'!E5260</x:f>
        <x:v>1.05</x:v>
      </x:c>
      <x:c r="I5260" s="6" t="n">
        <x:f>'Historical prices'!D5260</x:f>
        <x:v>0.2458</x:v>
      </x:c>
      <x:c r="J5260" s="13" t="n">
        <x:f>D5260*I5260*H5260</x:f>
        <x:v>0.0529729725</x:v>
      </x:c>
      <x:c r="K5260" s="13" t="n">
        <x:f>E5260*I5260*H5260</x:f>
        <x:v>0.0555538725</x:v>
      </x:c>
      <x:c r="L5260" s="1" t="str">
        <x:f>TEXT(A5260,"mmm yyyy")</x:f>
        <x:v>Aug 2026</x:v>
      </x:c>
    </x:row>
    <x:row r="5261" ht="21" customHeight="1">
      <x:c r="A5261" s="10" t="n">
        <x:v>46258</x:v>
      </x:c>
      <x:c r="B5261" s="1" t="n">
        <x:v>2.5</x:v>
      </x:c>
      <x:c r="C5261" s="1" t="n">
        <x:v>6</x:v>
      </x:c>
      <x:c r="D5261" s="12" t="n">
        <x:v>0.27699999999999997</x:v>
      </x:c>
      <x:c r="E5261" s="12" t="n">
        <x:v>0.288</x:v>
      </x:c>
      <x:c r="F5261" s="12" t="n">
        <x:v>0</x:v>
      </x:c>
      <x:c r="G5261" s="12" t="n">
        <x:v>0</x:v>
      </x:c>
      <x:c r="H5261" s="1" t="n">
        <x:f>'Historical prices'!E5261</x:f>
        <x:v>1.05</x:v>
      </x:c>
      <x:c r="I5261" s="6" t="n">
        <x:f>'Historical prices'!D5261</x:f>
        <x:v>0.242</x:v>
      </x:c>
      <x:c r="J5261" s="13" t="n">
        <x:f>D5261*I5261*H5261</x:f>
        <x:v>0.0703857</x:v>
      </x:c>
      <x:c r="K5261" s="13" t="n">
        <x:f>E5261*I5261*H5261</x:f>
        <x:v>0.07318079999999999</x:v>
      </x:c>
      <x:c r="L5261" s="1" t="str">
        <x:f>TEXT(A5261,"mmm yyyy")</x:f>
        <x:v>Aug 2026</x:v>
      </x:c>
    </x:row>
    <x:row r="5262" ht="21" customHeight="1">
      <x:c r="A5262" s="10" t="n">
        <x:v>46258</x:v>
      </x:c>
      <x:c r="B5262" s="1" t="n">
        <x:v>3</x:v>
      </x:c>
      <x:c r="C5262" s="1" t="n">
        <x:v>6</x:v>
      </x:c>
      <x:c r="D5262" s="12" t="n">
        <x:v>0.19375</x:v>
      </x:c>
      <x:c r="E5262" s="12" t="n">
        <x:v>0.20375</x:v>
      </x:c>
      <x:c r="F5262" s="12" t="n">
        <x:v>0</x:v>
      </x:c>
      <x:c r="G5262" s="12" t="n">
        <x:v>0</x:v>
      </x:c>
      <x:c r="H5262" s="1" t="n">
        <x:f>'Historical prices'!E5262</x:f>
        <x:v>1.05</x:v>
      </x:c>
      <x:c r="I5262" s="6" t="n">
        <x:f>'Historical prices'!D5262</x:f>
        <x:v>0.2446</x:v>
      </x:c>
      <x:c r="J5262" s="13" t="n">
        <x:f>D5262*I5262*H5262</x:f>
        <x:v>0.04976081250000001</x:v>
      </x:c>
      <x:c r="K5262" s="13" t="n">
        <x:f>E5262*I5262*H5262</x:f>
        <x:v>0.052329112500000004</x:v>
      </x:c>
      <x:c r="L5262" s="1" t="str">
        <x:f>TEXT(A5262,"mmm yyyy")</x:f>
        <x:v>Aug 2026</x:v>
      </x:c>
    </x:row>
    <x:row r="5263" ht="21" customHeight="1">
      <x:c r="A5263" s="10" t="n">
        <x:v>46258</x:v>
      </x:c>
      <x:c r="B5263" s="1" t="n">
        <x:v>3.5</x:v>
      </x:c>
      <x:c r="C5263" s="1" t="n">
        <x:v>6</x:v>
      </x:c>
      <x:c r="D5263" s="12" t="n">
        <x:v>0.22725</x:v>
      </x:c>
      <x:c r="E5263" s="12" t="n">
        <x:v>0.23825000000000002</x:v>
      </x:c>
      <x:c r="F5263" s="12" t="n">
        <x:v>0</x:v>
      </x:c>
      <x:c r="G5263" s="12" t="n">
        <x:v>0</x:v>
      </x:c>
      <x:c r="H5263" s="1" t="n">
        <x:f>'Historical prices'!E5263</x:f>
        <x:v>1.05</x:v>
      </x:c>
      <x:c r="I5263" s="6" t="n">
        <x:f>'Historical prices'!D5263</x:f>
        <x:v>0.2421</x:v>
      </x:c>
      <x:c r="J5263" s="13" t="n">
        <x:f>D5263*I5263*H5263</x:f>
        <x:v>0.05776808625</x:v>
      </x:c>
      <x:c r="K5263" s="13" t="n">
        <x:f>E5263*I5263*H5263</x:f>
        <x:v>0.06056434125000001</x:v>
      </x:c>
      <x:c r="L5263" s="1" t="str">
        <x:f>TEXT(A5263,"mmm yyyy")</x:f>
        <x:v>Aug 2026</x:v>
      </x:c>
    </x:row>
    <x:row r="5264" ht="21" customHeight="1">
      <x:c r="A5264" s="10" t="n">
        <x:v>46258</x:v>
      </x:c>
      <x:c r="B5264" s="1" t="n">
        <x:v>4</x:v>
      </x:c>
      <x:c r="C5264" s="1" t="n">
        <x:v>6</x:v>
      </x:c>
      <x:c r="D5264" s="12" t="n">
        <x:v>0.20600000000000002</x:v>
      </x:c>
      <x:c r="E5264" s="12" t="n">
        <x:v>0.21600000000000003</x:v>
      </x:c>
      <x:c r="F5264" s="12" t="n">
        <x:v>0</x:v>
      </x:c>
      <x:c r="G5264" s="12" t="n">
        <x:v>0</x:v>
      </x:c>
      <x:c r="H5264" s="1" t="n">
        <x:f>'Historical prices'!E5264</x:f>
        <x:v>1.05</x:v>
      </x:c>
      <x:c r="I5264" s="6" t="n">
        <x:f>'Historical prices'!D5264</x:f>
        <x:v>0.2627</x:v>
      </x:c>
      <x:c r="J5264" s="13" t="n">
        <x:f>D5264*I5264*H5264</x:f>
        <x:v>0.056822010000000006</x:v>
      </x:c>
      <x:c r="K5264" s="13" t="n">
        <x:f>E5264*I5264*H5264</x:f>
        <x:v>0.05958036000000001</x:v>
      </x:c>
      <x:c r="L5264" s="1" t="str">
        <x:f>TEXT(A5264,"mmm yyyy")</x:f>
        <x:v>Aug 2026</x:v>
      </x:c>
    </x:row>
    <x:row r="5265" ht="21" customHeight="1">
      <x:c r="A5265" s="10" t="n">
        <x:v>46258</x:v>
      </x:c>
      <x:c r="B5265" s="1" t="n">
        <x:v>4.5</x:v>
      </x:c>
      <x:c r="C5265" s="1" t="n">
        <x:v>6</x:v>
      </x:c>
      <x:c r="D5265" s="12" t="n">
        <x:v>0.19925</x:v>
      </x:c>
      <x:c r="E5265" s="12" t="n">
        <x:v>0.21025</x:v>
      </x:c>
      <x:c r="F5265" s="12" t="n">
        <x:v>0</x:v>
      </x:c>
      <x:c r="G5265" s="12" t="n">
        <x:v>0</x:v>
      </x:c>
      <x:c r="H5265" s="1" t="n">
        <x:f>'Historical prices'!E5265</x:f>
        <x:v>1.05</x:v>
      </x:c>
      <x:c r="I5265" s="6" t="n">
        <x:f>'Historical prices'!D5265</x:f>
        <x:v>0.24670000000000003</x:v>
      </x:c>
      <x:c r="J5265" s="13" t="n">
        <x:f>D5265*I5265*H5265</x:f>
        <x:v>0.05161272375000001</x:v>
      </x:c>
      <x:c r="K5265" s="13" t="n">
        <x:f>E5265*I5265*H5265</x:f>
        <x:v>0.05446210875000001</x:v>
      </x:c>
      <x:c r="L5265" s="1" t="str">
        <x:f>TEXT(A5265,"mmm yyyy")</x:f>
        <x:v>Aug 2026</x:v>
      </x:c>
    </x:row>
    <x:row r="5266" ht="21" customHeight="1">
      <x:c r="A5266" s="10" t="n">
        <x:v>46258</x:v>
      </x:c>
      <x:c r="B5266" s="1" t="n">
        <x:v>5</x:v>
      </x:c>
      <x:c r="C5266" s="1" t="n">
        <x:v>6</x:v>
      </x:c>
      <x:c r="D5266" s="12" t="n">
        <x:v>0.032</x:v>
      </x:c>
      <x:c r="E5266" s="12" t="n">
        <x:v>0.2495</x:v>
      </x:c>
      <x:c r="F5266" s="12" t="n">
        <x:v>0.21533333333333332</x:v>
      </x:c>
      <x:c r="G5266" s="12" t="n">
        <x:v>0</x:v>
      </x:c>
      <x:c r="H5266" s="1" t="n">
        <x:f>'Historical prices'!E5266</x:f>
        <x:v>1.05</x:v>
      </x:c>
      <x:c r="I5266" s="6" t="n">
        <x:f>'Historical prices'!D5266</x:f>
        <x:v>0.31</x:v>
      </x:c>
      <x:c r="J5266" s="13" t="n">
        <x:f>D5266*I5266*H5266</x:f>
        <x:v>0.010416</x:v>
      </x:c>
      <x:c r="K5266" s="13" t="n">
        <x:f>E5266*I5266*H5266</x:f>
        <x:v>0.08121225</x:v>
      </x:c>
      <x:c r="L5266" s="1" t="str">
        <x:f>TEXT(A5266,"mmm yyyy")</x:f>
        <x:v>Aug 2026</x:v>
      </x:c>
    </x:row>
    <x:row r="5267" ht="21" customHeight="1">
      <x:c r="A5267" s="10" t="n">
        <x:v>46258</x:v>
      </x:c>
      <x:c r="B5267" s="1" t="n">
        <x:v>5.5</x:v>
      </x:c>
      <x:c r="C5267" s="1" t="n">
        <x:v>6</x:v>
      </x:c>
      <x:c r="D5267" s="12" t="n">
        <x:v>0</x:v>
      </x:c>
      <x:c r="E5267" s="12" t="n">
        <x:v>0.296</x:v>
      </x:c>
      <x:c r="F5267" s="12" t="n">
        <x:v>0.29566666666666663</x:v>
      </x:c>
      <x:c r="G5267" s="12" t="n">
        <x:v>0</x:v>
      </x:c>
      <x:c r="H5267" s="1" t="n">
        <x:f>'Historical prices'!E5267</x:f>
        <x:v>1.05</x:v>
      </x:c>
      <x:c r="I5267" s="6" t="n">
        <x:f>'Historical prices'!D5267</x:f>
        <x:v>0.2984</x:v>
      </x:c>
      <x:c r="J5267" s="13" t="n">
        <x:f>D5267*I5267*H5267</x:f>
        <x:v>0</x:v>
      </x:c>
      <x:c r="K5267" s="13" t="n">
        <x:f>E5267*I5267*H5267</x:f>
        <x:v>0.09274272</x:v>
      </x:c>
      <x:c r="L5267" s="1" t="str">
        <x:f>TEXT(A5267,"mmm yyyy")</x:f>
        <x:v>Aug 2026</x:v>
      </x:c>
    </x:row>
    <x:row r="5268" ht="21" customHeight="1">
      <x:c r="A5268" s="10" t="n">
        <x:v>46258</x:v>
      </x:c>
      <x:c r="B5268" s="1" t="n">
        <x:v>6</x:v>
      </x:c>
      <x:c r="C5268" s="1" t="n">
        <x:v>6</x:v>
      </x:c>
      <x:c r="D5268" s="12" t="n">
        <x:v>0</x:v>
      </x:c>
      <x:c r="E5268" s="12" t="n">
        <x:v>0.35558333333333336</x:v>
      </x:c>
      <x:c r="F5268" s="12" t="n">
        <x:v>0.35475</x:v>
      </x:c>
      <x:c r="G5268" s="12" t="n">
        <x:v>0</x:v>
      </x:c>
      <x:c r="H5268" s="1" t="n">
        <x:f>'Historical prices'!E5268</x:f>
        <x:v>1.05</x:v>
      </x:c>
      <x:c r="I5268" s="6" t="n">
        <x:f>'Historical prices'!D5268</x:f>
        <x:v>0.31379999999999997</x:v>
      </x:c>
      <x:c r="J5268" s="13" t="n">
        <x:f>D5268*I5268*H5268</x:f>
        <x:v>0</x:v>
      </x:c>
      <x:c r="K5268" s="13" t="n">
        <x:f>E5268*I5268*H5268</x:f>
        <x:v>0.1171611525</x:v>
      </x:c>
      <x:c r="L5268" s="1" t="str">
        <x:f>TEXT(A5268,"mmm yyyy")</x:f>
        <x:v>Aug 2026</x:v>
      </x:c>
    </x:row>
    <x:row r="5269" ht="21" customHeight="1">
      <x:c r="A5269" s="10" t="n">
        <x:v>46258</x:v>
      </x:c>
      <x:c r="B5269" s="1" t="n">
        <x:v>6.5</x:v>
      </x:c>
      <x:c r="C5269" s="1" t="n">
        <x:v>6</x:v>
      </x:c>
      <x:c r="D5269" s="12" t="n">
        <x:v>0</x:v>
      </x:c>
      <x:c r="E5269" s="12" t="n">
        <x:v>0.5266666666666667</x:v>
      </x:c>
      <x:c r="F5269" s="12" t="n">
        <x:v>0.5265833333333333</x:v>
      </x:c>
      <x:c r="G5269" s="12" t="n">
        <x:v>0</x:v>
      </x:c>
      <x:c r="H5269" s="1" t="n">
        <x:f>'Historical prices'!E5269</x:f>
        <x:v>1.05</x:v>
      </x:c>
      <x:c r="I5269" s="6" t="n">
        <x:f>'Historical prices'!D5269</x:f>
        <x:v>0.3194</x:v>
      </x:c>
      <x:c r="J5269" s="13" t="n">
        <x:f>D5269*I5269*H5269</x:f>
        <x:v>0</x:v>
      </x:c>
      <x:c r="K5269" s="13" t="n">
        <x:f>E5269*I5269*H5269</x:f>
        <x:v>0.17662820000000004</x:v>
      </x:c>
      <x:c r="L5269" s="1" t="str">
        <x:f>TEXT(A5269,"mmm yyyy")</x:f>
        <x:v>Aug 2026</x:v>
      </x:c>
    </x:row>
    <x:row r="5270" ht="21" customHeight="1">
      <x:c r="A5270" s="10" t="n">
        <x:v>46258</x:v>
      </x:c>
      <x:c r="B5270" s="1" t="n">
        <x:v>7</x:v>
      </x:c>
      <x:c r="C5270" s="1" t="n">
        <x:v>6</x:v>
      </x:c>
      <x:c r="D5270" s="12" t="n">
        <x:v>0</x:v>
      </x:c>
      <x:c r="E5270" s="12" t="n">
        <x:v>1.0483333333333333</x:v>
      </x:c>
      <x:c r="F5270" s="12" t="n">
        <x:v>1.0473333333333334</x:v>
      </x:c>
      <x:c r="G5270" s="12" t="n">
        <x:v>0</x:v>
      </x:c>
      <x:c r="H5270" s="1" t="n">
        <x:f>'Historical prices'!E5270</x:f>
        <x:v>1.05</x:v>
      </x:c>
      <x:c r="I5270" s="6" t="n">
        <x:f>'Historical prices'!D5270</x:f>
        <x:v>0.2991</x:v>
      </x:c>
      <x:c r="J5270" s="13" t="n">
        <x:f>D5270*I5270*H5270</x:f>
        <x:v>0</x:v>
      </x:c>
      <x:c r="K5270" s="13" t="n">
        <x:f>E5270*I5270*H5270</x:f>
        <x:v>0.329234325</x:v>
      </x:c>
      <x:c r="L5270" s="1" t="str">
        <x:f>TEXT(A5270,"mmm yyyy")</x:f>
        <x:v>Aug 2026</x:v>
      </x:c>
    </x:row>
    <x:row r="5271" ht="21" customHeight="1">
      <x:c r="A5271" s="10" t="n">
        <x:v>46258</x:v>
      </x:c>
      <x:c r="B5271" s="1" t="n">
        <x:v>7.5</x:v>
      </x:c>
      <x:c r="C5271" s="1" t="n">
        <x:v>6</x:v>
      </x:c>
      <x:c r="D5271" s="12" t="n">
        <x:v>0</x:v>
      </x:c>
      <x:c r="E5271" s="12" t="n">
        <x:v>0.4976666666666667</x:v>
      </x:c>
      <x:c r="F5271" s="12" t="n">
        <x:v>0.4975833333333334</x:v>
      </x:c>
      <x:c r="G5271" s="12" t="n">
        <x:v>0</x:v>
      </x:c>
      <x:c r="H5271" s="1" t="n">
        <x:f>'Historical prices'!E5271</x:f>
        <x:v>1.05</x:v>
      </x:c>
      <x:c r="I5271" s="6" t="n">
        <x:f>'Historical prices'!D5271</x:f>
        <x:v>0.30829999999999996</x:v>
      </x:c>
      <x:c r="J5271" s="13" t="n">
        <x:f>D5271*I5271*H5271</x:f>
        <x:v>0</x:v>
      </x:c>
      <x:c r="K5271" s="13" t="n">
        <x:f>E5271*I5271*H5271</x:f>
        <x:v>0.161102165</x:v>
      </x:c>
      <x:c r="L5271" s="1" t="str">
        <x:f>TEXT(A5271,"mmm yyyy")</x:f>
        <x:v>Aug 2026</x:v>
      </x:c>
    </x:row>
    <x:row r="5272" ht="21" customHeight="1">
      <x:c r="A5272" s="10" t="n">
        <x:v>46258</x:v>
      </x:c>
      <x:c r="B5272" s="1" t="n">
        <x:v>8</x:v>
      </x:c>
      <x:c r="C5272" s="1" t="n">
        <x:v>6</x:v>
      </x:c>
      <x:c r="D5272" s="12" t="n">
        <x:v>0</x:v>
      </x:c>
      <x:c r="E5272" s="12" t="n">
        <x:v>0.5371666666666667</x:v>
      </x:c>
      <x:c r="F5272" s="12" t="n">
        <x:v>0.5365833333333333</x:v>
      </x:c>
      <x:c r="G5272" s="12" t="n">
        <x:v>0</x:v>
      </x:c>
      <x:c r="H5272" s="1" t="n">
        <x:f>'Historical prices'!E5272</x:f>
        <x:v>1.05</x:v>
      </x:c>
      <x:c r="I5272" s="6" t="n">
        <x:f>'Historical prices'!D5272</x:f>
        <x:v>0.2901</x:v>
      </x:c>
      <x:c r="J5272" s="13" t="n">
        <x:f>D5272*I5272*H5272</x:f>
        <x:v>0</x:v>
      </x:c>
      <x:c r="K5272" s="13" t="n">
        <x:f>E5272*I5272*H5272</x:f>
        <x:v>0.16362365250000002</x:v>
      </x:c>
      <x:c r="L5272" s="1" t="str">
        <x:f>TEXT(A5272,"mmm yyyy")</x:f>
        <x:v>Aug 2026</x:v>
      </x:c>
    </x:row>
    <x:row r="5273" ht="21" customHeight="1">
      <x:c r="A5273" s="10" t="n">
        <x:v>46258</x:v>
      </x:c>
      <x:c r="B5273" s="1" t="n">
        <x:v>8.5</x:v>
      </x:c>
      <x:c r="C5273" s="1" t="n">
        <x:v>6</x:v>
      </x:c>
      <x:c r="D5273" s="12" t="n">
        <x:v>0</x:v>
      </x:c>
      <x:c r="E5273" s="12" t="n">
        <x:v>0.5543333333333333</x:v>
      </x:c>
      <x:c r="F5273" s="12" t="n">
        <x:v>0.5529999999999999</x:v>
      </x:c>
      <x:c r="G5273" s="12" t="n">
        <x:v>0</x:v>
      </x:c>
      <x:c r="H5273" s="1" t="n">
        <x:f>'Historical prices'!E5273</x:f>
        <x:v>1.05</x:v>
      </x:c>
      <x:c r="I5273" s="6" t="n">
        <x:f>'Historical prices'!D5273</x:f>
        <x:v>0.2914</x:v>
      </x:c>
      <x:c r="J5273" s="13" t="n">
        <x:f>D5273*I5273*H5273</x:f>
        <x:v>0</x:v>
      </x:c>
      <x:c r="K5273" s="13" t="n">
        <x:f>E5273*I5273*H5273</x:f>
        <x:v>0.16960937</x:v>
      </x:c>
      <x:c r="L5273" s="1" t="str">
        <x:f>TEXT(A5273,"mmm yyyy")</x:f>
        <x:v>Aug 2026</x:v>
      </x:c>
    </x:row>
    <x:row r="5274" ht="21" customHeight="1">
      <x:c r="A5274" s="10" t="n">
        <x:v>46258</x:v>
      </x:c>
      <x:c r="B5274" s="1" t="n">
        <x:v>9</x:v>
      </x:c>
      <x:c r="C5274" s="1" t="n">
        <x:v>6</x:v>
      </x:c>
      <x:c r="D5274" s="12" t="n">
        <x:v>0.34775</x:v>
      </x:c>
      <x:c r="E5274" s="12" t="n">
        <x:v>0.4468333333333333</x:v>
      </x:c>
      <x:c r="F5274" s="12" t="n">
        <x:v>0.089</x:v>
      </x:c>
      <x:c r="G5274" s="12" t="n">
        <x:v>0</x:v>
      </x:c>
      <x:c r="H5274" s="1" t="n">
        <x:f>'Historical prices'!E5274</x:f>
        <x:v>1.05</x:v>
      </x:c>
      <x:c r="I5274" s="6" t="n">
        <x:f>'Historical prices'!D5274</x:f>
        <x:v>0.2753</x:v>
      </x:c>
      <x:c r="J5274" s="13" t="n">
        <x:f>D5274*I5274*H5274</x:f>
        <x:v>0.10052235375</x:v>
      </x:c>
      <x:c r="K5274" s="13" t="n">
        <x:f>E5274*I5274*H5274</x:f>
        <x:v>0.1291638775</x:v>
      </x:c>
      <x:c r="L5274" s="1" t="str">
        <x:f>TEXT(A5274,"mmm yyyy")</x:f>
        <x:v>Aug 2026</x:v>
      </x:c>
    </x:row>
    <x:row r="5275" ht="21" customHeight="1">
      <x:c r="A5275" s="10" t="n">
        <x:v>46258</x:v>
      </x:c>
      <x:c r="B5275" s="1" t="n">
        <x:v>9.5</x:v>
      </x:c>
      <x:c r="C5275" s="1" t="n">
        <x:v>6</x:v>
      </x:c>
      <x:c r="D5275" s="12" t="n">
        <x:v>0.5125000000000001</x:v>
      </x:c>
      <x:c r="E5275" s="12" t="n">
        <x:v>0.5225000000000001</x:v>
      </x:c>
      <x:c r="F5275" s="12" t="n">
        <x:v>0</x:v>
      </x:c>
      <x:c r="G5275" s="12" t="n">
        <x:v>0</x:v>
      </x:c>
      <x:c r="H5275" s="1" t="n">
        <x:f>'Historical prices'!E5275</x:f>
        <x:v>1.05</x:v>
      </x:c>
      <x:c r="I5275" s="6" t="n">
        <x:f>'Historical prices'!D5275</x:f>
        <x:v>0.2669</x:v>
      </x:c>
      <x:c r="J5275" s="13" t="n">
        <x:f>D5275*I5275*H5275</x:f>
        <x:v>0.14362556250000003</x:v>
      </x:c>
      <x:c r="K5275" s="13" t="n">
        <x:f>E5275*I5275*H5275</x:f>
        <x:v>0.14642801250000004</x:v>
      </x:c>
      <x:c r="L5275" s="1" t="str">
        <x:f>TEXT(A5275,"mmm yyyy")</x:f>
        <x:v>Aug 2026</x:v>
      </x:c>
    </x:row>
    <x:row r="5276" ht="21" customHeight="1">
      <x:c r="A5276" s="10" t="n">
        <x:v>46258</x:v>
      </x:c>
      <x:c r="B5276" s="1" t="n">
        <x:v>10</x:v>
      </x:c>
      <x:c r="C5276" s="1" t="n">
        <x:v>6</x:v>
      </x:c>
      <x:c r="D5276" s="12" t="n">
        <x:v>0.5145</x:v>
      </x:c>
      <x:c r="E5276" s="12" t="n">
        <x:v>0.5255</x:v>
      </x:c>
      <x:c r="F5276" s="12" t="n">
        <x:v>0</x:v>
      </x:c>
      <x:c r="G5276" s="12" t="n">
        <x:v>0</x:v>
      </x:c>
      <x:c r="H5276" s="1" t="n">
        <x:f>'Historical prices'!E5276</x:f>
        <x:v>1.05</x:v>
      </x:c>
      <x:c r="I5276" s="6" t="n">
        <x:f>'Historical prices'!D5276</x:f>
        <x:v>0.2619</x:v>
      </x:c>
      <x:c r="J5276" s="13" t="n">
        <x:f>D5276*I5276*H5276</x:f>
        <x:v>0.1414849275</x:v>
      </x:c>
      <x:c r="K5276" s="13" t="n">
        <x:f>E5276*I5276*H5276</x:f>
        <x:v>0.14450987250000003</x:v>
      </x:c>
      <x:c r="L5276" s="1" t="str">
        <x:f>TEXT(A5276,"mmm yyyy")</x:f>
        <x:v>Aug 2026</x:v>
      </x:c>
    </x:row>
    <x:row r="5277" ht="21" customHeight="1">
      <x:c r="A5277" s="10" t="n">
        <x:v>46258</x:v>
      </x:c>
      <x:c r="B5277" s="1" t="n">
        <x:v>10.5</x:v>
      </x:c>
      <x:c r="C5277" s="1" t="n">
        <x:v>6</x:v>
      </x:c>
      <x:c r="D5277" s="12" t="n">
        <x:v>0.42374999999999996</x:v>
      </x:c>
      <x:c r="E5277" s="12" t="n">
        <x:v>0.43374999999999997</x:v>
      </x:c>
      <x:c r="F5277" s="12" t="n">
        <x:v>0</x:v>
      </x:c>
      <x:c r="G5277" s="12" t="n">
        <x:v>0</x:v>
      </x:c>
      <x:c r="H5277" s="1" t="n">
        <x:f>'Historical prices'!E5277</x:f>
        <x:v>1.05</x:v>
      </x:c>
      <x:c r="I5277" s="6" t="n">
        <x:f>'Historical prices'!D5277</x:f>
        <x:v>0.2561</x:v>
      </x:c>
      <x:c r="J5277" s="13" t="n">
        <x:f>D5277*I5277*H5277</x:f>
        <x:v>0.11394849374999999</x:v>
      </x:c>
      <x:c r="K5277" s="13" t="n">
        <x:f>E5277*I5277*H5277</x:f>
        <x:v>0.11663754374999999</x:v>
      </x:c>
      <x:c r="L5277" s="1" t="str">
        <x:f>TEXT(A5277,"mmm yyyy")</x:f>
        <x:v>Aug 2026</x:v>
      </x:c>
    </x:row>
    <x:row r="5278" ht="21" customHeight="1">
      <x:c r="A5278" s="10" t="n">
        <x:v>46258</x:v>
      </x:c>
      <x:c r="B5278" s="1" t="n">
        <x:v>11</x:v>
      </x:c>
      <x:c r="C5278" s="1" t="n">
        <x:v>6</x:v>
      </x:c>
      <x:c r="D5278" s="12" t="n">
        <x:v>0.48074999999999996</x:v>
      </x:c>
      <x:c r="E5278" s="12" t="n">
        <x:v>0.49174999999999996</x:v>
      </x:c>
      <x:c r="F5278" s="12" t="n">
        <x:v>0</x:v>
      </x:c>
      <x:c r="G5278" s="12" t="n">
        <x:v>0</x:v>
      </x:c>
      <x:c r="H5278" s="1" t="n">
        <x:f>'Historical prices'!E5278</x:f>
        <x:v>1.05</x:v>
      </x:c>
      <x:c r="I5278" s="6" t="n">
        <x:f>'Historical prices'!D5278</x:f>
        <x:v>0.2591</x:v>
      </x:c>
      <x:c r="J5278" s="13" t="n">
        <x:f>D5278*I5278*H5278</x:f>
        <x:v>0.13079044125</x:v>
      </x:c>
      <x:c r="K5278" s="13" t="n">
        <x:f>E5278*I5278*H5278</x:f>
        <x:v>0.13378304625</x:v>
      </x:c>
      <x:c r="L5278" s="1" t="str">
        <x:f>TEXT(A5278,"mmm yyyy")</x:f>
        <x:v>Aug 2026</x:v>
      </x:c>
    </x:row>
    <x:row r="5279" ht="21" customHeight="1">
      <x:c r="A5279" s="10" t="n">
        <x:v>46258</x:v>
      </x:c>
      <x:c r="B5279" s="1" t="n">
        <x:v>11.5</x:v>
      </x:c>
      <x:c r="C5279" s="1" t="n">
        <x:v>6</x:v>
      </x:c>
      <x:c r="D5279" s="12" t="n">
        <x:v>0.45</x:v>
      </x:c>
      <x:c r="E5279" s="12" t="n">
        <x:v>0.46</x:v>
      </x:c>
      <x:c r="F5279" s="12" t="n">
        <x:v>0</x:v>
      </x:c>
      <x:c r="G5279" s="12" t="n">
        <x:v>0</x:v>
      </x:c>
      <x:c r="H5279" s="1" t="n">
        <x:f>'Historical prices'!E5279</x:f>
        <x:v>1.05</x:v>
      </x:c>
      <x:c r="I5279" s="6" t="n">
        <x:f>'Historical prices'!D5279</x:f>
        <x:v>0.2465</x:v>
      </x:c>
      <x:c r="J5279" s="13" t="n">
        <x:f>D5279*I5279*H5279</x:f>
        <x:v>0.11647125</x:v>
      </x:c>
      <x:c r="K5279" s="13" t="n">
        <x:f>E5279*I5279*H5279</x:f>
        <x:v>0.11905950000000001</x:v>
      </x:c>
      <x:c r="L5279" s="1" t="str">
        <x:f>TEXT(A5279,"mmm yyyy")</x:f>
        <x:v>Aug 2026</x:v>
      </x:c>
    </x:row>
    <x:row r="5280" ht="21" customHeight="1">
      <x:c r="A5280" s="10" t="n">
        <x:v>46258</x:v>
      </x:c>
      <x:c r="B5280" s="1" t="n">
        <x:v>12</x:v>
      </x:c>
      <x:c r="C5280" s="1" t="n">
        <x:v>6</x:v>
      </x:c>
      <x:c r="D5280" s="12" t="n">
        <x:v>0.53925</x:v>
      </x:c>
      <x:c r="E5280" s="12" t="n">
        <x:v>0.55025</x:v>
      </x:c>
      <x:c r="F5280" s="12" t="n">
        <x:v>0</x:v>
      </x:c>
      <x:c r="G5280" s="12" t="n">
        <x:v>0</x:v>
      </x:c>
      <x:c r="H5280" s="1" t="n">
        <x:f>'Historical prices'!E5280</x:f>
        <x:v>1.05</x:v>
      </x:c>
      <x:c r="I5280" s="6" t="n">
        <x:f>'Historical prices'!D5280</x:f>
        <x:v>0.2433</x:v>
      </x:c>
      <x:c r="J5280" s="13" t="n">
        <x:f>D5280*I5280*H5280</x:f>
        <x:v>0.13775950125</x:v>
      </x:c>
      <x:c r="K5280" s="13" t="n">
        <x:f>E5280*I5280*H5280</x:f>
        <x:v>0.14056961625</x:v>
      </x:c>
      <x:c r="L5280" s="1" t="str">
        <x:f>TEXT(A5280,"mmm yyyy")</x:f>
        <x:v>Aug 2026</x:v>
      </x:c>
    </x:row>
    <x:row r="5281" ht="21" customHeight="1">
      <x:c r="A5281" s="10" t="n">
        <x:v>46258</x:v>
      </x:c>
      <x:c r="B5281" s="1" t="n">
        <x:v>12.5</x:v>
      </x:c>
      <x:c r="C5281" s="1" t="n">
        <x:v>6</x:v>
      </x:c>
      <x:c r="D5281" s="12" t="n">
        <x:v>0.394</x:v>
      </x:c>
      <x:c r="E5281" s="12" t="n">
        <x:v>0.404</x:v>
      </x:c>
      <x:c r="F5281" s="12" t="n">
        <x:v>0</x:v>
      </x:c>
      <x:c r="G5281" s="12" t="n">
        <x:v>0</x:v>
      </x:c>
      <x:c r="H5281" s="1" t="n">
        <x:f>'Historical prices'!E5281</x:f>
        <x:v>1.05</x:v>
      </x:c>
      <x:c r="I5281" s="6" t="n">
        <x:f>'Historical prices'!D5281</x:f>
        <x:v>0.2404</x:v>
      </x:c>
      <x:c r="J5281" s="13" t="n">
        <x:f>D5281*I5281*H5281</x:f>
        <x:v>0.09945348</x:v>
      </x:c>
      <x:c r="K5281" s="13" t="n">
        <x:f>E5281*I5281*H5281</x:f>
        <x:v>0.10197768</x:v>
      </x:c>
      <x:c r="L5281" s="1" t="str">
        <x:f>TEXT(A5281,"mmm yyyy")</x:f>
        <x:v>Aug 2026</x:v>
      </x:c>
    </x:row>
    <x:row r="5282" ht="21" customHeight="1">
      <x:c r="A5282" s="10" t="n">
        <x:v>46258</x:v>
      </x:c>
      <x:c r="B5282" s="1" t="n">
        <x:v>13</x:v>
      </x:c>
      <x:c r="C5282" s="1" t="n">
        <x:v>6</x:v>
      </x:c>
      <x:c r="D5282" s="12" t="n">
        <x:v>0.43224999999999997</x:v>
      </x:c>
      <x:c r="E5282" s="12" t="n">
        <x:v>0.44225</x:v>
      </x:c>
      <x:c r="F5282" s="12" t="n">
        <x:v>0</x:v>
      </x:c>
      <x:c r="G5282" s="12" t="n">
        <x:v>0</x:v>
      </x:c>
      <x:c r="H5282" s="1" t="n">
        <x:f>'Historical prices'!E5282</x:f>
        <x:v>1.05</x:v>
      </x:c>
      <x:c r="I5282" s="6" t="n">
        <x:f>'Historical prices'!D5282</x:f>
        <x:v>0.24</x:v>
      </x:c>
      <x:c r="J5282" s="13" t="n">
        <x:f>D5282*I5282*H5282</x:f>
        <x:v>0.10892699999999998</x:v>
      </x:c>
      <x:c r="K5282" s="13" t="n">
        <x:f>E5282*I5282*H5282</x:f>
        <x:v>0.11144699999999999</x:v>
      </x:c>
      <x:c r="L5282" s="1" t="str">
        <x:f>TEXT(A5282,"mmm yyyy")</x:f>
        <x:v>Aug 2026</x:v>
      </x:c>
    </x:row>
    <x:row r="5283" ht="21" customHeight="1">
      <x:c r="A5283" s="10" t="n">
        <x:v>46258</x:v>
      </x:c>
      <x:c r="B5283" s="1" t="n">
        <x:v>13.5</x:v>
      </x:c>
      <x:c r="C5283" s="1" t="n">
        <x:v>6</x:v>
      </x:c>
      <x:c r="D5283" s="12" t="n">
        <x:v>0.44699999999999995</x:v>
      </x:c>
      <x:c r="E5283" s="12" t="n">
        <x:v>0.45799999999999996</x:v>
      </x:c>
      <x:c r="F5283" s="12" t="n">
        <x:v>0</x:v>
      </x:c>
      <x:c r="G5283" s="12" t="n">
        <x:v>0</x:v>
      </x:c>
      <x:c r="H5283" s="1" t="n">
        <x:f>'Historical prices'!E5283</x:f>
        <x:v>1.05</x:v>
      </x:c>
      <x:c r="I5283" s="6" t="n">
        <x:f>'Historical prices'!D5283</x:f>
        <x:v>0.23550000000000001</x:v>
      </x:c>
      <x:c r="J5283" s="13" t="n">
        <x:f>D5283*I5283*H5283</x:f>
        <x:v>0.110531925</x:v>
      </x:c>
      <x:c r="K5283" s="13" t="n">
        <x:f>E5283*I5283*H5283</x:f>
        <x:v>0.11325195</x:v>
      </x:c>
      <x:c r="L5283" s="1" t="str">
        <x:f>TEXT(A5283,"mmm yyyy")</x:f>
        <x:v>Aug 2026</x:v>
      </x:c>
    </x:row>
    <x:row r="5284" ht="21" customHeight="1">
      <x:c r="A5284" s="10" t="n">
        <x:v>46258</x:v>
      </x:c>
      <x:c r="B5284" s="1" t="n">
        <x:v>14</x:v>
      </x:c>
      <x:c r="C5284" s="1" t="n">
        <x:v>6</x:v>
      </x:c>
      <x:c r="D5284" s="12" t="n">
        <x:v>0.41925</x:v>
      </x:c>
      <x:c r="E5284" s="12" t="n">
        <x:v>0.42925</x:v>
      </x:c>
      <x:c r="F5284" s="12" t="n">
        <x:v>0</x:v>
      </x:c>
      <x:c r="G5284" s="12" t="n">
        <x:v>0</x:v>
      </x:c>
      <x:c r="H5284" s="1" t="n">
        <x:f>'Historical prices'!E5284</x:f>
        <x:v>1.05</x:v>
      </x:c>
      <x:c r="I5284" s="6" t="n">
        <x:f>'Historical prices'!D5284</x:f>
        <x:v>0.2298</x:v>
      </x:c>
      <x:c r="J5284" s="13" t="n">
        <x:f>D5284*I5284*H5284</x:f>
        <x:v>0.1011608325</x:v>
      </x:c>
      <x:c r="K5284" s="13" t="n">
        <x:f>E5284*I5284*H5284</x:f>
        <x:v>0.10357373250000002</x:v>
      </x:c>
      <x:c r="L5284" s="1" t="str">
        <x:f>TEXT(A5284,"mmm yyyy")</x:f>
        <x:v>Aug 2026</x:v>
      </x:c>
    </x:row>
    <x:row r="5285" ht="21" customHeight="1">
      <x:c r="A5285" s="10" t="n">
        <x:v>46258</x:v>
      </x:c>
      <x:c r="B5285" s="1" t="n">
        <x:v>14.5</x:v>
      </x:c>
      <x:c r="C5285" s="1" t="n">
        <x:v>6</x:v>
      </x:c>
      <x:c r="D5285" s="12" t="n">
        <x:v>1.4365</x:v>
      </x:c>
      <x:c r="E5285" s="12" t="n">
        <x:v>0.47750000000000004</x:v>
      </x:c>
      <x:c r="F5285" s="12" t="n">
        <x:v>0</x:v>
      </x:c>
      <x:c r="G5285" s="12" t="n">
        <x:v>0.967</x:v>
      </x:c>
      <x:c r="H5285" s="1" t="n">
        <x:f>'Historical prices'!E5285</x:f>
        <x:v>1.05</x:v>
      </x:c>
      <x:c r="I5285" s="6" t="n">
        <x:f>'Historical prices'!D5285</x:f>
        <x:v>0.2288</x:v>
      </x:c>
      <x:c r="J5285" s="13" t="n">
        <x:f>D5285*I5285*H5285</x:f>
        <x:v>0.34510476000000007</x:v>
      </x:c>
      <x:c r="K5285" s="13" t="n">
        <x:f>E5285*I5285*H5285</x:f>
        <x:v>0.11471460000000003</x:v>
      </x:c>
      <x:c r="L5285" s="1" t="str">
        <x:f>TEXT(A5285,"mmm yyyy")</x:f>
        <x:v>Aug 2026</x:v>
      </x:c>
    </x:row>
    <x:row r="5286" ht="21" customHeight="1">
      <x:c r="A5286" s="10" t="n">
        <x:v>46258</x:v>
      </x:c>
      <x:c r="B5286" s="1" t="n">
        <x:v>15</x:v>
      </x:c>
      <x:c r="C5286" s="1" t="n">
        <x:v>6</x:v>
      </x:c>
      <x:c r="D5286" s="12" t="n">
        <x:v>5.2245</x:v>
      </x:c>
      <x:c r="E5286" s="12" t="n">
        <x:v>0.8295</x:v>
      </x:c>
      <x:c r="F5286" s="12" t="n">
        <x:v>0</x:v>
      </x:c>
      <x:c r="G5286" s="12" t="n">
        <x:v>4.395</x:v>
      </x:c>
      <x:c r="H5286" s="1" t="n">
        <x:f>'Historical prices'!E5286</x:f>
        <x:v>1.05</x:v>
      </x:c>
      <x:c r="I5286" s="6" t="n">
        <x:f>'Historical prices'!D5286</x:f>
        <x:v>0.2253</x:v>
      </x:c>
      <x:c r="J5286" s="13" t="n">
        <x:f>D5286*I5286*H5286</x:f>
        <x:v>1.2359338425</x:v>
      </x:c>
      <x:c r="K5286" s="13" t="n">
        <x:f>E5286*I5286*H5286</x:f>
        <x:v>0.1962306675</x:v>
      </x:c>
      <x:c r="L5286" s="1" t="str">
        <x:f>TEXT(A5286,"mmm yyyy")</x:f>
        <x:v>Aug 2026</x:v>
      </x:c>
    </x:row>
    <x:row r="5287" ht="21" customHeight="1">
      <x:c r="A5287" s="10" t="n">
        <x:v>46258</x:v>
      </x:c>
      <x:c r="B5287" s="1" t="n">
        <x:v>15.5</x:v>
      </x:c>
      <x:c r="C5287" s="1" t="n">
        <x:v>6</x:v>
      </x:c>
      <x:c r="D5287" s="12" t="n">
        <x:v>1.6827499999999997</x:v>
      </x:c>
      <x:c r="E5287" s="12" t="n">
        <x:v>0.8967499999999999</x:v>
      </x:c>
      <x:c r="F5287" s="12" t="n">
        <x:v>0</x:v>
      </x:c>
      <x:c r="G5287" s="12" t="n">
        <x:v>0.79</x:v>
      </x:c>
      <x:c r="H5287" s="1" t="n">
        <x:f>'Historical prices'!E5287</x:f>
        <x:v>1.05</x:v>
      </x:c>
      <x:c r="I5287" s="6" t="n">
        <x:f>'Historical prices'!D5287</x:f>
        <x:v>0.2322</x:v>
      </x:c>
      <x:c r="J5287" s="13" t="n">
        <x:f>D5287*I5287*H5287</x:f>
        <x:v>0.4102712774999999</x:v>
      </x:c>
      <x:c r="K5287" s="13" t="n">
        <x:f>E5287*I5287*H5287</x:f>
        <x:v>0.2186366175</x:v>
      </x:c>
      <x:c r="L5287" s="1" t="str">
        <x:f>TEXT(A5287,"mmm yyyy")</x:f>
        <x:v>Aug 2026</x:v>
      </x:c>
    </x:row>
    <x:row r="5288" ht="21" customHeight="1">
      <x:c r="A5288" s="10" t="n">
        <x:v>46258</x:v>
      </x:c>
      <x:c r="B5288" s="1" t="n">
        <x:v>16</x:v>
      </x:c>
      <x:c r="C5288" s="1" t="n">
        <x:v>6</x:v>
      </x:c>
      <x:c r="D5288" s="12" t="n">
        <x:v>0.08625</x:v>
      </x:c>
      <x:c r="E5288" s="12" t="n">
        <x:v>0.4656666666666666</x:v>
      </x:c>
      <x:c r="F5288" s="12" t="n">
        <x:v>0.3755833333333333</x:v>
      </x:c>
      <x:c r="G5288" s="12" t="n">
        <x:v>0</x:v>
      </x:c>
      <x:c r="H5288" s="1" t="n">
        <x:f>'Historical prices'!E5288</x:f>
        <x:v>1.05</x:v>
      </x:c>
      <x:c r="I5288" s="6" t="n">
        <x:f>'Historical prices'!D5288</x:f>
        <x:v>0.35810000000000003</x:v>
      </x:c>
      <x:c r="J5288" s="13" t="n">
        <x:f>D5288*I5288*H5288</x:f>
        <x:v>0.03243043125</x:v>
      </x:c>
      <x:c r="K5288" s="13" t="n">
        <x:f>E5288*I5288*H5288</x:f>
        <x:v>0.175092995</x:v>
      </x:c>
      <x:c r="L5288" s="1" t="str">
        <x:f>TEXT(A5288,"mmm yyyy")</x:f>
        <x:v>Aug 2026</x:v>
      </x:c>
    </x:row>
    <x:row r="5289" ht="21" customHeight="1">
      <x:c r="A5289" s="10" t="n">
        <x:v>46258</x:v>
      </x:c>
      <x:c r="B5289" s="1" t="n">
        <x:v>16.5</x:v>
      </x:c>
      <x:c r="C5289" s="1" t="n">
        <x:v>6</x:v>
      </x:c>
      <x:c r="D5289" s="12" t="n">
        <x:v>0</x:v>
      </x:c>
      <x:c r="E5289" s="12" t="n">
        <x:v>0.5489166666666666</x:v>
      </x:c>
      <x:c r="F5289" s="12" t="n">
        <x:v>0.54825</x:v>
      </x:c>
      <x:c r="G5289" s="12" t="n">
        <x:v>0</x:v>
      </x:c>
      <x:c r="H5289" s="1" t="n">
        <x:f>'Historical prices'!E5289</x:f>
        <x:v>1.05</x:v>
      </x:c>
      <x:c r="I5289" s="6" t="n">
        <x:f>'Historical prices'!D5289</x:f>
        <x:v>0.3605</x:v>
      </x:c>
      <x:c r="J5289" s="13" t="n">
        <x:f>D5289*I5289*H5289</x:f>
        <x:v>0</x:v>
      </x:c>
      <x:c r="K5289" s="13" t="n">
        <x:f>E5289*I5289*H5289</x:f>
        <x:v>0.20777868124999999</x:v>
      </x:c>
      <x:c r="L5289" s="1" t="str">
        <x:f>TEXT(A5289,"mmm yyyy")</x:f>
        <x:v>Aug 2026</x:v>
      </x:c>
    </x:row>
    <x:row r="5290" ht="21" customHeight="1">
      <x:c r="A5290" s="10" t="n">
        <x:v>46258</x:v>
      </x:c>
      <x:c r="B5290" s="1" t="n">
        <x:v>17</x:v>
      </x:c>
      <x:c r="C5290" s="1" t="n">
        <x:v>6</x:v>
      </x:c>
      <x:c r="D5290" s="12" t="n">
        <x:v>0</x:v>
      </x:c>
      <x:c r="E5290" s="12" t="n">
        <x:v>0.5966666666666667</x:v>
      </x:c>
      <x:c r="F5290" s="12" t="n">
        <x:v>0.5955833333333334</x:v>
      </x:c>
      <x:c r="G5290" s="12" t="n">
        <x:v>0</x:v>
      </x:c>
      <x:c r="H5290" s="1" t="n">
        <x:f>'Historical prices'!E5290</x:f>
        <x:v>1.05</x:v>
      </x:c>
      <x:c r="I5290" s="6" t="n">
        <x:f>'Historical prices'!D5290</x:f>
        <x:v>0.3909</x:v>
      </x:c>
      <x:c r="J5290" s="13" t="n">
        <x:f>D5290*I5290*H5290</x:f>
        <x:v>0</x:v>
      </x:c>
      <x:c r="K5290" s="13" t="n">
        <x:f>E5290*I5290*H5290</x:f>
        <x:v>0.24489885000000003</x:v>
      </x:c>
      <x:c r="L5290" s="1" t="str">
        <x:f>TEXT(A5290,"mmm yyyy")</x:f>
        <x:v>Aug 2026</x:v>
      </x:c>
    </x:row>
    <x:row r="5291" ht="21" customHeight="1">
      <x:c r="A5291" s="10" t="n">
        <x:v>46258</x:v>
      </x:c>
      <x:c r="B5291" s="1" t="n">
        <x:v>17.5</x:v>
      </x:c>
      <x:c r="C5291" s="1" t="n">
        <x:v>6</x:v>
      </x:c>
      <x:c r="D5291" s="12" t="n">
        <x:v>0</x:v>
      </x:c>
      <x:c r="E5291" s="12" t="n">
        <x:v>0.60175</x:v>
      </x:c>
      <x:c r="F5291" s="12" t="n">
        <x:v>0.6012500000000001</x:v>
      </x:c>
      <x:c r="G5291" s="12" t="n">
        <x:v>0</x:v>
      </x:c>
      <x:c r="H5291" s="1" t="n">
        <x:f>'Historical prices'!E5291</x:f>
        <x:v>1.05</x:v>
      </x:c>
      <x:c r="I5291" s="6" t="n">
        <x:f>'Historical prices'!D5291</x:f>
        <x:v>0.41850000000000004</x:v>
      </x:c>
      <x:c r="J5291" s="13" t="n">
        <x:f>D5291*I5291*H5291</x:f>
        <x:v>0</x:v>
      </x:c>
      <x:c r="K5291" s="13" t="n">
        <x:f>E5291*I5291*H5291</x:f>
        <x:v>0.2644239937500001</x:v>
      </x:c>
      <x:c r="L5291" s="1" t="str">
        <x:f>TEXT(A5291,"mmm yyyy")</x:f>
        <x:v>Aug 2026</x:v>
      </x:c>
    </x:row>
    <x:row r="5292" ht="21" customHeight="1">
      <x:c r="A5292" s="10" t="n">
        <x:v>46258</x:v>
      </x:c>
      <x:c r="B5292" s="1" t="n">
        <x:v>18</x:v>
      </x:c>
      <x:c r="C5292" s="1" t="n">
        <x:v>6</x:v>
      </x:c>
      <x:c r="D5292" s="12" t="n">
        <x:v>0</x:v>
      </x:c>
      <x:c r="E5292" s="12" t="n">
        <x:v>0.5486666666666666</x:v>
      </x:c>
      <x:c r="F5292" s="12" t="n">
        <x:v>0.54775</x:v>
      </x:c>
      <x:c r="G5292" s="12" t="n">
        <x:v>0</x:v>
      </x:c>
      <x:c r="H5292" s="1" t="n">
        <x:f>'Historical prices'!E5292</x:f>
        <x:v>1.05</x:v>
      </x:c>
      <x:c r="I5292" s="6" t="n">
        <x:f>'Historical prices'!D5292</x:f>
        <x:v>0.4457</x:v>
      </x:c>
      <x:c r="J5292" s="13" t="n">
        <x:f>D5292*I5292*H5292</x:f>
        <x:v>0</x:v>
      </x:c>
      <x:c r="K5292" s="13" t="n">
        <x:f>E5292*I5292*H5292</x:f>
        <x:v>0.25676777</x:v>
      </x:c>
      <x:c r="L5292" s="1" t="str">
        <x:f>TEXT(A5292,"mmm yyyy")</x:f>
        <x:v>Aug 2026</x:v>
      </x:c>
    </x:row>
    <x:row r="5293" ht="21" customHeight="1">
      <x:c r="A5293" s="10" t="n">
        <x:v>46258</x:v>
      </x:c>
      <x:c r="B5293" s="1" t="n">
        <x:v>18.5</x:v>
      </x:c>
      <x:c r="C5293" s="1" t="n">
        <x:v>6</x:v>
      </x:c>
      <x:c r="D5293" s="12" t="n">
        <x:v>0</x:v>
      </x:c>
      <x:c r="E5293" s="12" t="n">
        <x:v>1.2553333333333334</x:v>
      </x:c>
      <x:c r="F5293" s="12" t="n">
        <x:v>1.2544166666666667</x:v>
      </x:c>
      <x:c r="G5293" s="12" t="n">
        <x:v>0</x:v>
      </x:c>
      <x:c r="H5293" s="1" t="n">
        <x:f>'Historical prices'!E5293</x:f>
        <x:v>1.05</x:v>
      </x:c>
      <x:c r="I5293" s="6" t="n">
        <x:f>'Historical prices'!D5293</x:f>
        <x:v>0.4573</x:v>
      </x:c>
      <x:c r="J5293" s="13" t="n">
        <x:f>D5293*I5293*H5293</x:f>
        <x:v>0</x:v>
      </x:c>
      <x:c r="K5293" s="13" t="n">
        <x:f>E5293*I5293*H5293</x:f>
        <x:v>0.60276713</x:v>
      </x:c>
      <x:c r="L5293" s="1" t="str">
        <x:f>TEXT(A5293,"mmm yyyy")</x:f>
        <x:v>Aug 2026</x:v>
      </x:c>
    </x:row>
    <x:row r="5294" ht="21" customHeight="1">
      <x:c r="A5294" s="10" t="n">
        <x:v>46258</x:v>
      </x:c>
      <x:c r="B5294" s="1" t="n">
        <x:v>19</x:v>
      </x:c>
      <x:c r="C5294" s="1" t="n">
        <x:v>6</x:v>
      </x:c>
      <x:c r="D5294" s="12" t="n">
        <x:v>0</x:v>
      </x:c>
      <x:c r="E5294" s="12" t="n">
        <x:v>0.72625</x:v>
      </x:c>
      <x:c r="F5294" s="12" t="n">
        <x:v>0.7261666666666666</x:v>
      </x:c>
      <x:c r="G5294" s="12" t="n">
        <x:v>0</x:v>
      </x:c>
      <x:c r="H5294" s="1" t="n">
        <x:f>'Historical prices'!E5294</x:f>
        <x:v>1.05</x:v>
      </x:c>
      <x:c r="I5294" s="6" t="n">
        <x:f>'Historical prices'!D5294</x:f>
        <x:v>0.325</x:v>
      </x:c>
      <x:c r="J5294" s="13" t="n">
        <x:f>D5294*I5294*H5294</x:f>
        <x:v>0</x:v>
      </x:c>
      <x:c r="K5294" s="13" t="n">
        <x:f>E5294*I5294*H5294</x:f>
        <x:v>0.2478328125</x:v>
      </x:c>
      <x:c r="L5294" s="1" t="str">
        <x:f>TEXT(A5294,"mmm yyyy")</x:f>
        <x:v>Aug 2026</x:v>
      </x:c>
    </x:row>
    <x:row r="5295" ht="21" customHeight="1">
      <x:c r="A5295" s="10" t="n">
        <x:v>46258</x:v>
      </x:c>
      <x:c r="B5295" s="1" t="n">
        <x:v>19.5</x:v>
      </x:c>
      <x:c r="C5295" s="1" t="n">
        <x:v>6</x:v>
      </x:c>
      <x:c r="D5295" s="12" t="n">
        <x:v>0</x:v>
      </x:c>
      <x:c r="E5295" s="12" t="n">
        <x:v>0.8681666666666666</x:v>
      </x:c>
      <x:c r="F5295" s="12" t="n">
        <x:v>0.8675833333333334</x:v>
      </x:c>
      <x:c r="G5295" s="12" t="n">
        <x:v>0</x:v>
      </x:c>
      <x:c r="H5295" s="1" t="n">
        <x:f>'Historical prices'!E5295</x:f>
        <x:v>1.05</x:v>
      </x:c>
      <x:c r="I5295" s="6" t="n">
        <x:f>'Historical prices'!D5295</x:f>
        <x:v>0.3257</x:v>
      </x:c>
      <x:c r="J5295" s="13" t="n">
        <x:f>D5295*I5295*H5295</x:f>
        <x:v>0</x:v>
      </x:c>
      <x:c r="K5295" s="13" t="n">
        <x:f>E5295*I5295*H5295</x:f>
        <x:v>0.29689997749999997</x:v>
      </x:c>
      <x:c r="L5295" s="1" t="str">
        <x:f>TEXT(A5295,"mmm yyyy")</x:f>
        <x:v>Aug 2026</x:v>
      </x:c>
    </x:row>
    <x:row r="5296" ht="21" customHeight="1">
      <x:c r="A5296" s="10" t="n">
        <x:v>46258</x:v>
      </x:c>
      <x:c r="B5296" s="1" t="n">
        <x:v>20</x:v>
      </x:c>
      <x:c r="C5296" s="1" t="n">
        <x:v>6</x:v>
      </x:c>
      <x:c r="D5296" s="12" t="n">
        <x:v>0</x:v>
      </x:c>
      <x:c r="E5296" s="12" t="n">
        <x:v>0.5938333333333332</x:v>
      </x:c>
      <x:c r="F5296" s="12" t="n">
        <x:v>0.5935833333333332</x:v>
      </x:c>
      <x:c r="G5296" s="12" t="n">
        <x:v>0</x:v>
      </x:c>
      <x:c r="H5296" s="1" t="n">
        <x:f>'Historical prices'!E5296</x:f>
        <x:v>1.05</x:v>
      </x:c>
      <x:c r="I5296" s="6" t="n">
        <x:f>'Historical prices'!D5296</x:f>
        <x:v>0.3165</x:v>
      </x:c>
      <x:c r="J5296" s="13" t="n">
        <x:f>D5296*I5296*H5296</x:f>
        <x:v>0</x:v>
      </x:c>
      <x:c r="K5296" s="13" t="n">
        <x:f>E5296*I5296*H5296</x:f>
        <x:v>0.19734566249999996</x:v>
      </x:c>
      <x:c r="L5296" s="1" t="str">
        <x:f>TEXT(A5296,"mmm yyyy")</x:f>
        <x:v>Aug 2026</x:v>
      </x:c>
    </x:row>
    <x:row r="5297" ht="21" customHeight="1">
      <x:c r="A5297" s="10" t="n">
        <x:v>46258</x:v>
      </x:c>
      <x:c r="B5297" s="1" t="n">
        <x:v>20.5</x:v>
      </x:c>
      <x:c r="C5297" s="1" t="n">
        <x:v>6</x:v>
      </x:c>
      <x:c r="D5297" s="12" t="n">
        <x:v>0</x:v>
      </x:c>
      <x:c r="E5297" s="12" t="n">
        <x:v>0.54625</x:v>
      </x:c>
      <x:c r="F5297" s="12" t="n">
        <x:v>0.5459166666666667</x:v>
      </x:c>
      <x:c r="G5297" s="12" t="n">
        <x:v>0</x:v>
      </x:c>
      <x:c r="H5297" s="1" t="n">
        <x:f>'Historical prices'!E5297</x:f>
        <x:v>1.05</x:v>
      </x:c>
      <x:c r="I5297" s="6" t="n">
        <x:f>'Historical prices'!D5297</x:f>
        <x:v>0.3095</x:v>
      </x:c>
      <x:c r="J5297" s="13" t="n">
        <x:f>D5297*I5297*H5297</x:f>
        <x:v>0</x:v>
      </x:c>
      <x:c r="K5297" s="13" t="n">
        <x:f>E5297*I5297*H5297</x:f>
        <x:v>0.17751759375</x:v>
      </x:c>
      <x:c r="L5297" s="1" t="str">
        <x:f>TEXT(A5297,"mmm yyyy")</x:f>
        <x:v>Aug 2026</x:v>
      </x:c>
    </x:row>
    <x:row r="5298" ht="21" customHeight="1">
      <x:c r="A5298" s="10" t="n">
        <x:v>46258</x:v>
      </x:c>
      <x:c r="B5298" s="1" t="n">
        <x:v>21</x:v>
      </x:c>
      <x:c r="C5298" s="1" t="n">
        <x:v>6</x:v>
      </x:c>
      <x:c r="D5298" s="12" t="n">
        <x:v>0</x:v>
      </x:c>
      <x:c r="E5298" s="12" t="n">
        <x:v>0.5370833333333332</x:v>
      </x:c>
      <x:c r="F5298" s="12" t="n">
        <x:v>0.5369166666666666</x:v>
      </x:c>
      <x:c r="G5298" s="12" t="n">
        <x:v>0</x:v>
      </x:c>
      <x:c r="H5298" s="1" t="n">
        <x:f>'Historical prices'!E5298</x:f>
        <x:v>1.05</x:v>
      </x:c>
      <x:c r="I5298" s="6" t="n">
        <x:f>'Historical prices'!D5298</x:f>
        <x:v>0.2961</x:v>
      </x:c>
      <x:c r="J5298" s="13" t="n">
        <x:f>D5298*I5298*H5298</x:f>
        <x:v>0</x:v>
      </x:c>
      <x:c r="K5298" s="13" t="n">
        <x:f>E5298*I5298*H5298</x:f>
        <x:v>0.16698189374999997</x:v>
      </x:c>
      <x:c r="L5298" s="1" t="str">
        <x:f>TEXT(A5298,"mmm yyyy")</x:f>
        <x:v>Aug 2026</x:v>
      </x:c>
    </x:row>
    <x:row r="5299" ht="21" customHeight="1">
      <x:c r="A5299" s="10" t="n">
        <x:v>46258</x:v>
      </x:c>
      <x:c r="B5299" s="1" t="n">
        <x:v>21.5</x:v>
      </x:c>
      <x:c r="C5299" s="1" t="n">
        <x:v>6</x:v>
      </x:c>
      <x:c r="D5299" s="12" t="n">
        <x:v>0.5992500000000001</x:v>
      </x:c>
      <x:c r="E5299" s="12" t="n">
        <x:v>1.04925</x:v>
      </x:c>
      <x:c r="F5299" s="12" t="n">
        <x:v>0.44575</x:v>
      </x:c>
      <x:c r="G5299" s="12" t="n">
        <x:v>0</x:v>
      </x:c>
      <x:c r="H5299" s="1" t="n">
        <x:f>'Historical prices'!E5299</x:f>
        <x:v>1.05</x:v>
      </x:c>
      <x:c r="I5299" s="6" t="n">
        <x:f>'Historical prices'!D5299</x:f>
        <x:v>0.2837</x:v>
      </x:c>
      <x:c r="J5299" s="13" t="n">
        <x:f>D5299*I5299*H5299</x:f>
        <x:v>0.17850758625000002</x:v>
      </x:c>
      <x:c r="K5299" s="13" t="n">
        <x:f>E5299*I5299*H5299</x:f>
        <x:v>0.31255583625000005</x:v>
      </x:c>
      <x:c r="L5299" s="1" t="str">
        <x:f>TEXT(A5299,"mmm yyyy")</x:f>
        <x:v>Aug 2026</x:v>
      </x:c>
    </x:row>
    <x:row r="5300" ht="21" customHeight="1">
      <x:c r="A5300" s="10" t="n">
        <x:v>46258</x:v>
      </x:c>
      <x:c r="B5300" s="1" t="n">
        <x:v>22</x:v>
      </x:c>
      <x:c r="C5300" s="1" t="n">
        <x:v>6</x:v>
      </x:c>
      <x:c r="D5300" s="12" t="n">
        <x:v>0.2695</x:v>
      </x:c>
      <x:c r="E5300" s="12" t="n">
        <x:v>0.3095</x:v>
      </x:c>
      <x:c r="F5300" s="12" t="n">
        <x:v>0.029</x:v>
      </x:c>
      <x:c r="G5300" s="12" t="n">
        <x:v>0</x:v>
      </x:c>
      <x:c r="H5300" s="1" t="n">
        <x:f>'Historical prices'!E5300</x:f>
        <x:v>1.05</x:v>
      </x:c>
      <x:c r="I5300" s="6" t="n">
        <x:f>'Historical prices'!D5300</x:f>
        <x:v>0.2612</x:v>
      </x:c>
      <x:c r="J5300" s="13" t="n">
        <x:f>D5300*I5300*H5300</x:f>
        <x:v>0.07391307</x:v>
      </x:c>
      <x:c r="K5300" s="13" t="n">
        <x:f>E5300*I5300*H5300</x:f>
        <x:v>0.08488347</x:v>
      </x:c>
      <x:c r="L5300" s="1" t="str">
        <x:f>TEXT(A5300,"mmm yyyy")</x:f>
        <x:v>Aug 2026</x:v>
      </x:c>
    </x:row>
    <x:row r="5301" ht="21" customHeight="1">
      <x:c r="A5301" s="10" t="n">
        <x:v>46258</x:v>
      </x:c>
      <x:c r="B5301" s="1" t="n">
        <x:v>22.5</x:v>
      </x:c>
      <x:c r="C5301" s="1" t="n">
        <x:v>6</x:v>
      </x:c>
      <x:c r="D5301" s="12" t="n">
        <x:v>0.16674999999999998</x:v>
      </x:c>
      <x:c r="E5301" s="12" t="n">
        <x:v>0.17675</x:v>
      </x:c>
      <x:c r="F5301" s="12" t="n">
        <x:v>0</x:v>
      </x:c>
      <x:c r="G5301" s="12" t="n">
        <x:v>0</x:v>
      </x:c>
      <x:c r="H5301" s="1" t="n">
        <x:f>'Historical prices'!E5301</x:f>
        <x:v>1.05</x:v>
      </x:c>
      <x:c r="I5301" s="6" t="n">
        <x:f>'Historical prices'!D5301</x:f>
        <x:v>0.2447</x:v>
      </x:c>
      <x:c r="J5301" s="13" t="n">
        <x:f>D5301*I5301*H5301</x:f>
        <x:v>0.04284391125</x:v>
      </x:c>
      <x:c r="K5301" s="13" t="n">
        <x:f>E5301*I5301*H5301</x:f>
        <x:v>0.045413261249999996</x:v>
      </x:c>
      <x:c r="L5301" s="1" t="str">
        <x:f>TEXT(A5301,"mmm yyyy")</x:f>
        <x:v>Aug 2026</x:v>
      </x:c>
    </x:row>
    <x:row r="5302" ht="21" customHeight="1">
      <x:c r="A5302" s="10" t="n">
        <x:v>46258</x:v>
      </x:c>
      <x:c r="B5302" s="1" t="n">
        <x:v>23</x:v>
      </x:c>
      <x:c r="C5302" s="1" t="n">
        <x:v>6</x:v>
      </x:c>
      <x:c r="D5302" s="12" t="n">
        <x:v>0.17725000000000002</x:v>
      </x:c>
      <x:c r="E5302" s="12" t="n">
        <x:v>0.18825</x:v>
      </x:c>
      <x:c r="F5302" s="12" t="n">
        <x:v>0</x:v>
      </x:c>
      <x:c r="G5302" s="12" t="n">
        <x:v>0</x:v>
      </x:c>
      <x:c r="H5302" s="1" t="n">
        <x:f>'Historical prices'!E5302</x:f>
        <x:v>1.05</x:v>
      </x:c>
      <x:c r="I5302" s="6" t="n">
        <x:f>'Historical prices'!D5302</x:f>
        <x:v>0.2566</x:v>
      </x:c>
      <x:c r="J5302" s="13" t="n">
        <x:f>D5302*I5302*H5302</x:f>
        <x:v>0.047756467500000004</x:v>
      </x:c>
      <x:c r="K5302" s="13" t="n">
        <x:f>E5302*I5302*H5302</x:f>
        <x:v>0.0507201975</x:v>
      </x:c>
      <x:c r="L5302" s="1" t="str">
        <x:f>TEXT(A5302,"mmm yyyy")</x:f>
        <x:v>Aug 2026</x:v>
      </x:c>
    </x:row>
    <x:row r="5303" ht="21" customHeight="1">
      <x:c r="A5303" s="10" t="n">
        <x:v>46258</x:v>
      </x:c>
      <x:c r="B5303" s="1" t="n">
        <x:v>23.5</x:v>
      </x:c>
      <x:c r="C5303" s="1" t="n">
        <x:v>6</x:v>
      </x:c>
      <x:c r="D5303" s="12" t="n">
        <x:v>0.2525</x:v>
      </x:c>
      <x:c r="E5303" s="12" t="n">
        <x:v>0.2625</x:v>
      </x:c>
      <x:c r="F5303" s="12" t="n">
        <x:v>0</x:v>
      </x:c>
      <x:c r="G5303" s="12" t="n">
        <x:v>0</x:v>
      </x:c>
      <x:c r="H5303" s="1" t="n">
        <x:f>'Historical prices'!E5303</x:f>
        <x:v>1.05</x:v>
      </x:c>
      <x:c r="I5303" s="6" t="n">
        <x:f>'Historical prices'!D5303</x:f>
        <x:v>0.2632</x:v>
      </x:c>
      <x:c r="J5303" s="13" t="n">
        <x:f>D5303*I5303*H5303</x:f>
        <x:v>0.0697809</x:v>
      </x:c>
      <x:c r="K5303" s="13" t="n">
        <x:f>E5303*I5303*H5303</x:f>
        <x:v>0.0725445</x:v>
      </x:c>
      <x:c r="L5303" s="1" t="str">
        <x:f>TEXT(A5303,"mmm yyyy")</x:f>
        <x:v>Aug 2026</x:v>
      </x:c>
    </x:row>
    <x:row r="5304" ht="21" customHeight="1">
      <x:c r="A5304" s="10" t="n">
        <x:v>46259</x:v>
      </x:c>
      <x:c r="B5304" s="1" t="n">
        <x:v>0</x:v>
      </x:c>
      <x:c r="C5304" s="1" t="n">
        <x:v>6</x:v>
      </x:c>
      <x:c r="D5304" s="12" t="n">
        <x:v>0.19249999999999998</x:v>
      </x:c>
      <x:c r="E5304" s="12" t="n">
        <x:v>0.2035</x:v>
      </x:c>
      <x:c r="F5304" s="12" t="n">
        <x:v>0</x:v>
      </x:c>
      <x:c r="G5304" s="12" t="n">
        <x:v>0</x:v>
      </x:c>
      <x:c r="H5304" s="1" t="n">
        <x:f>'Historical prices'!E5304</x:f>
        <x:v>1.05</x:v>
      </x:c>
      <x:c r="I5304" s="6" t="n">
        <x:f>'Historical prices'!D5304</x:f>
        <x:v>0.2488</x:v>
      </x:c>
      <x:c r="J5304" s="13" t="n">
        <x:f>D5304*I5304*H5304</x:f>
        <x:v>0.05028869999999999</x:v>
      </x:c>
      <x:c r="K5304" s="13" t="n">
        <x:f>E5304*I5304*H5304</x:f>
        <x:v>0.053162339999999995</x:v>
      </x:c>
      <x:c r="L5304" s="1" t="str">
        <x:f>TEXT(A5304,"mmm yyyy")</x:f>
        <x:v>Aug 2026</x:v>
      </x:c>
    </x:row>
    <x:row r="5305" ht="21" customHeight="1">
      <x:c r="A5305" s="10" t="n">
        <x:v>46259</x:v>
      </x:c>
      <x:c r="B5305" s="1" t="n">
        <x:v>0.5</x:v>
      </x:c>
      <x:c r="C5305" s="1" t="n">
        <x:v>6</x:v>
      </x:c>
      <x:c r="D5305" s="12" t="n">
        <x:v>0.159</x:v>
      </x:c>
      <x:c r="E5305" s="12" t="n">
        <x:v>0.169</x:v>
      </x:c>
      <x:c r="F5305" s="12" t="n">
        <x:v>0</x:v>
      </x:c>
      <x:c r="G5305" s="12" t="n">
        <x:v>0</x:v>
      </x:c>
      <x:c r="H5305" s="1" t="n">
        <x:f>'Historical prices'!E5305</x:f>
        <x:v>1.05</x:v>
      </x:c>
      <x:c r="I5305" s="6" t="n">
        <x:f>'Historical prices'!D5305</x:f>
        <x:v>0.24530000000000002</x:v>
      </x:c>
      <x:c r="J5305" s="13" t="n">
        <x:f>D5305*I5305*H5305</x:f>
        <x:v>0.040952835</x:v>
      </x:c>
      <x:c r="K5305" s="13" t="n">
        <x:f>E5305*I5305*H5305</x:f>
        <x:v>0.043528485000000006</x:v>
      </x:c>
      <x:c r="L5305" s="1" t="str">
        <x:f>TEXT(A5305,"mmm yyyy")</x:f>
        <x:v>Aug 2026</x:v>
      </x:c>
    </x:row>
    <x:row r="5306" ht="21" customHeight="1">
      <x:c r="A5306" s="10" t="n">
        <x:v>46259</x:v>
      </x:c>
      <x:c r="B5306" s="1" t="n">
        <x:v>1</x:v>
      </x:c>
      <x:c r="C5306" s="1" t="n">
        <x:v>6</x:v>
      </x:c>
      <x:c r="D5306" s="12" t="n">
        <x:v>0.186</x:v>
      </x:c>
      <x:c r="E5306" s="12" t="n">
        <x:v>0.196</x:v>
      </x:c>
      <x:c r="F5306" s="12" t="n">
        <x:v>0</x:v>
      </x:c>
      <x:c r="G5306" s="12" t="n">
        <x:v>0</x:v>
      </x:c>
      <x:c r="H5306" s="1" t="n">
        <x:f>'Historical prices'!E5306</x:f>
        <x:v>1.05</x:v>
      </x:c>
      <x:c r="I5306" s="6" t="n">
        <x:f>'Historical prices'!D5306</x:f>
        <x:v>0.2412</x:v>
      </x:c>
      <x:c r="J5306" s="13" t="n">
        <x:f>D5306*I5306*H5306</x:f>
        <x:v>0.04710636</x:v>
      </x:c>
      <x:c r="K5306" s="13" t="n">
        <x:f>E5306*I5306*H5306</x:f>
        <x:v>0.04963896</x:v>
      </x:c>
      <x:c r="L5306" s="1" t="str">
        <x:f>TEXT(A5306,"mmm yyyy")</x:f>
        <x:v>Aug 2026</x:v>
      </x:c>
    </x:row>
    <x:row r="5307" ht="21" customHeight="1">
      <x:c r="A5307" s="10" t="n">
        <x:v>46259</x:v>
      </x:c>
      <x:c r="B5307" s="1" t="n">
        <x:v>1.5</x:v>
      </x:c>
      <x:c r="C5307" s="1" t="n">
        <x:v>6</x:v>
      </x:c>
      <x:c r="D5307" s="12" t="n">
        <x:v>0.26775</x:v>
      </x:c>
      <x:c r="E5307" s="12" t="n">
        <x:v>0.27875</x:v>
      </x:c>
      <x:c r="F5307" s="12" t="n">
        <x:v>0</x:v>
      </x:c>
      <x:c r="G5307" s="12" t="n">
        <x:v>0</x:v>
      </x:c>
      <x:c r="H5307" s="1" t="n">
        <x:f>'Historical prices'!E5307</x:f>
        <x:v>1.05</x:v>
      </x:c>
      <x:c r="I5307" s="6" t="n">
        <x:f>'Historical prices'!D5307</x:f>
        <x:v>0.2462</x:v>
      </x:c>
      <x:c r="J5307" s="13" t="n">
        <x:f>D5307*I5307*H5307</x:f>
        <x:v>0.0692160525</x:v>
      </x:c>
      <x:c r="K5307" s="13" t="n">
        <x:f>E5307*I5307*H5307</x:f>
        <x:v>0.07205966250000001</x:v>
      </x:c>
      <x:c r="L5307" s="1" t="str">
        <x:f>TEXT(A5307,"mmm yyyy")</x:f>
        <x:v>Aug 2026</x:v>
      </x:c>
    </x:row>
    <x:row r="5308" ht="21" customHeight="1">
      <x:c r="A5308" s="10" t="n">
        <x:v>46259</x:v>
      </x:c>
      <x:c r="B5308" s="1" t="n">
        <x:v>2</x:v>
      </x:c>
      <x:c r="C5308" s="1" t="n">
        <x:v>6</x:v>
      </x:c>
      <x:c r="D5308" s="12" t="n">
        <x:v>0.0395</x:v>
      </x:c>
      <x:c r="E5308" s="12" t="n">
        <x:v>0.25016666666666665</x:v>
      </x:c>
      <x:c r="F5308" s="12" t="n">
        <x:v>0.20750000000000002</x:v>
      </x:c>
      <x:c r="G5308" s="12" t="n">
        <x:v>0</x:v>
      </x:c>
      <x:c r="H5308" s="1" t="n">
        <x:f>'Historical prices'!E5308</x:f>
        <x:v>1.05</x:v>
      </x:c>
      <x:c r="I5308" s="6" t="n">
        <x:f>'Historical prices'!D5308</x:f>
        <x:v>0.2488</x:v>
      </x:c>
      <x:c r="J5308" s="13" t="n">
        <x:f>D5308*I5308*H5308</x:f>
        <x:v>0.010318980000000002</x:v>
      </x:c>
      <x:c r="K5308" s="13" t="n">
        <x:f>E5308*I5308*H5308</x:f>
        <x:v>0.06535354</x:v>
      </x:c>
      <x:c r="L5308" s="1" t="str">
        <x:f>TEXT(A5308,"mmm yyyy")</x:f>
        <x:v>Aug 2026</x:v>
      </x:c>
    </x:row>
    <x:row r="5309" ht="21" customHeight="1">
      <x:c r="A5309" s="10" t="n">
        <x:v>46259</x:v>
      </x:c>
      <x:c r="B5309" s="1" t="n">
        <x:v>2.5</x:v>
      </x:c>
      <x:c r="C5309" s="1" t="n">
        <x:v>6</x:v>
      </x:c>
      <x:c r="D5309" s="12" t="n">
        <x:v>0</x:v>
      </x:c>
      <x:c r="E5309" s="12" t="n">
        <x:v>0.27325000000000005</x:v>
      </x:c>
      <x:c r="F5309" s="12" t="n">
        <x:v>0.26883333333333326</x:v>
      </x:c>
      <x:c r="G5309" s="12" t="n">
        <x:v>0</x:v>
      </x:c>
      <x:c r="H5309" s="1" t="n">
        <x:f>'Historical prices'!E5309</x:f>
        <x:v>1.05</x:v>
      </x:c>
      <x:c r="I5309" s="6" t="n">
        <x:f>'Historical prices'!D5309</x:f>
        <x:v>0.24359999999999998</x:v>
      </x:c>
      <x:c r="J5309" s="13" t="n">
        <x:f>D5309*I5309*H5309</x:f>
        <x:v>0</x:v>
      </x:c>
      <x:c r="K5309" s="13" t="n">
        <x:f>E5309*I5309*H5309</x:f>
        <x:v>0.069891885</x:v>
      </x:c>
      <x:c r="L5309" s="1" t="str">
        <x:f>TEXT(A5309,"mmm yyyy")</x:f>
        <x:v>Aug 2026</x:v>
      </x:c>
    </x:row>
    <x:row r="5310" ht="21" customHeight="1">
      <x:c r="A5310" s="10" t="n">
        <x:v>46259</x:v>
      </x:c>
      <x:c r="B5310" s="1" t="n">
        <x:v>3</x:v>
      </x:c>
      <x:c r="C5310" s="1" t="n">
        <x:v>6</x:v>
      </x:c>
      <x:c r="D5310" s="12" t="n">
        <x:v>0.16183333333333333</x:v>
      </x:c>
      <x:c r="E5310" s="12" t="n">
        <x:v>0.21458333333333335</x:v>
      </x:c>
      <x:c r="F5310" s="12" t="n">
        <x:v>0.04075</x:v>
      </x:c>
      <x:c r="G5310" s="12" t="n">
        <x:v>0</x:v>
      </x:c>
      <x:c r="H5310" s="1" t="n">
        <x:f>'Historical prices'!E5310</x:f>
        <x:v>1.05</x:v>
      </x:c>
      <x:c r="I5310" s="6" t="n">
        <x:f>'Historical prices'!D5310</x:f>
        <x:v>0.24050000000000002</x:v>
      </x:c>
      <x:c r="J5310" s="13" t="n">
        <x:f>D5310*I5310*H5310</x:f>
        <x:v>0.0408669625</x:v>
      </x:c>
      <x:c r="K5310" s="13" t="n">
        <x:f>E5310*I5310*H5310</x:f>
        <x:v>0.05418765625000001</x:v>
      </x:c>
      <x:c r="L5310" s="1" t="str">
        <x:f>TEXT(A5310,"mmm yyyy")</x:f>
        <x:v>Aug 2026</x:v>
      </x:c>
    </x:row>
    <x:row r="5311" ht="21" customHeight="1">
      <x:c r="A5311" s="10" t="n">
        <x:v>46259</x:v>
      </x:c>
      <x:c r="B5311" s="1" t="n">
        <x:v>3.5</x:v>
      </x:c>
      <x:c r="C5311" s="1" t="n">
        <x:v>6</x:v>
      </x:c>
      <x:c r="D5311" s="12" t="n">
        <x:v>0.28400000000000003</x:v>
      </x:c>
      <x:c r="E5311" s="12" t="n">
        <x:v>0.29500000000000004</x:v>
      </x:c>
      <x:c r="F5311" s="12" t="n">
        <x:v>0</x:v>
      </x:c>
      <x:c r="G5311" s="12" t="n">
        <x:v>0</x:v>
      </x:c>
      <x:c r="H5311" s="1" t="n">
        <x:f>'Historical prices'!E5311</x:f>
        <x:v>1.05</x:v>
      </x:c>
      <x:c r="I5311" s="6" t="n">
        <x:f>'Historical prices'!D5311</x:f>
        <x:v>0.2349</x:v>
      </x:c>
      <x:c r="J5311" s="13" t="n">
        <x:f>D5311*I5311*H5311</x:f>
        <x:v>0.07004718000000001</x:v>
      </x:c>
      <x:c r="K5311" s="13" t="n">
        <x:f>E5311*I5311*H5311</x:f>
        <x:v>0.07276027500000001</x:v>
      </x:c>
      <x:c r="L5311" s="1" t="str">
        <x:f>TEXT(A5311,"mmm yyyy")</x:f>
        <x:v>Aug 2026</x:v>
      </x:c>
    </x:row>
    <x:row r="5312" ht="21" customHeight="1">
      <x:c r="A5312" s="10" t="n">
        <x:v>46259</x:v>
      </x:c>
      <x:c r="B5312" s="1" t="n">
        <x:v>4</x:v>
      </x:c>
      <x:c r="C5312" s="1" t="n">
        <x:v>6</x:v>
      </x:c>
      <x:c r="D5312" s="12" t="n">
        <x:v>0.16925</x:v>
      </x:c>
      <x:c r="E5312" s="12" t="n">
        <x:v>0.17825000000000002</x:v>
      </x:c>
      <x:c r="F5312" s="12" t="n">
        <x:v>0</x:v>
      </x:c>
      <x:c r="G5312" s="12" t="n">
        <x:v>0</x:v>
      </x:c>
      <x:c r="H5312" s="1" t="n">
        <x:f>'Historical prices'!E5312</x:f>
        <x:v>1.05</x:v>
      </x:c>
      <x:c r="I5312" s="6" t="n">
        <x:f>'Historical prices'!D5312</x:f>
        <x:v>0.252</x:v>
      </x:c>
      <x:c r="J5312" s="13" t="n">
        <x:f>D5312*I5312*H5312</x:f>
        <x:v>0.044783550000000005</x:v>
      </x:c>
      <x:c r="K5312" s="13" t="n">
        <x:f>E5312*I5312*H5312</x:f>
        <x:v>0.04716495000000001</x:v>
      </x:c>
      <x:c r="L5312" s="1" t="str">
        <x:f>TEXT(A5312,"mmm yyyy")</x:f>
        <x:v>Aug 2026</x:v>
      </x:c>
    </x:row>
    <x:row r="5313" ht="21" customHeight="1">
      <x:c r="A5313" s="10" t="n">
        <x:v>46259</x:v>
      </x:c>
      <x:c r="B5313" s="1" t="n">
        <x:v>4.5</x:v>
      </x:c>
      <x:c r="C5313" s="1" t="n">
        <x:v>6</x:v>
      </x:c>
      <x:c r="D5313" s="12" t="n">
        <x:v>0.223</x:v>
      </x:c>
      <x:c r="E5313" s="12" t="n">
        <x:v>0.23299999999999998</x:v>
      </x:c>
      <x:c r="F5313" s="12" t="n">
        <x:v>0</x:v>
      </x:c>
      <x:c r="G5313" s="12" t="n">
        <x:v>0</x:v>
      </x:c>
      <x:c r="H5313" s="1" t="n">
        <x:f>'Historical prices'!E5313</x:f>
        <x:v>1.05</x:v>
      </x:c>
      <x:c r="I5313" s="6" t="n">
        <x:f>'Historical prices'!D5313</x:f>
        <x:v>0.2486</x:v>
      </x:c>
      <x:c r="J5313" s="13" t="n">
        <x:f>D5313*I5313*H5313</x:f>
        <x:v>0.058209689999999994</x:v>
      </x:c>
      <x:c r="K5313" s="13" t="n">
        <x:f>E5313*I5313*H5313</x:f>
        <x:v>0.06081998999999999</x:v>
      </x:c>
      <x:c r="L5313" s="1" t="str">
        <x:f>TEXT(A5313,"mmm yyyy")</x:f>
        <x:v>Aug 2026</x:v>
      </x:c>
    </x:row>
    <x:row r="5314" ht="21" customHeight="1">
      <x:c r="A5314" s="10" t="n">
        <x:v>46259</x:v>
      </x:c>
      <x:c r="B5314" s="1" t="n">
        <x:v>5</x:v>
      </x:c>
      <x:c r="C5314" s="1" t="n">
        <x:v>6</x:v>
      </x:c>
      <x:c r="D5314" s="12" t="n">
        <x:v>0.10950000000000001</x:v>
      </x:c>
      <x:c r="E5314" s="12" t="n">
        <x:v>0.2575</x:v>
      </x:c>
      <x:c r="F5314" s="12" t="n">
        <x:v>0.14166666666666666</x:v>
      </x:c>
      <x:c r="G5314" s="12" t="n">
        <x:v>0</x:v>
      </x:c>
      <x:c r="H5314" s="1" t="n">
        <x:f>'Historical prices'!E5314</x:f>
        <x:v>1.05</x:v>
      </x:c>
      <x:c r="I5314" s="6" t="n">
        <x:f>'Historical prices'!D5314</x:f>
        <x:v>0.29</x:v>
      </x:c>
      <x:c r="J5314" s="13" t="n">
        <x:f>D5314*I5314*H5314</x:f>
        <x:v>0.03334275</x:v>
      </x:c>
      <x:c r="K5314" s="13" t="n">
        <x:f>E5314*I5314*H5314</x:f>
        <x:v>0.07840875</x:v>
      </x:c>
      <x:c r="L5314" s="1" t="str">
        <x:f>TEXT(A5314,"mmm yyyy")</x:f>
        <x:v>Aug 2026</x:v>
      </x:c>
    </x:row>
    <x:row r="5315" ht="21" customHeight="1">
      <x:c r="A5315" s="10" t="n">
        <x:v>46259</x:v>
      </x:c>
      <x:c r="B5315" s="1" t="n">
        <x:v>5.5</x:v>
      </x:c>
      <x:c r="C5315" s="1" t="n">
        <x:v>6</x:v>
      </x:c>
      <x:c r="D5315" s="12" t="n">
        <x:v>0.03025</x:v>
      </x:c>
      <x:c r="E5315" s="12" t="n">
        <x:v>0.2555</x:v>
      </x:c>
      <x:c r="F5315" s="12" t="n">
        <x:v>0.22250000000000003</x:v>
      </x:c>
      <x:c r="G5315" s="12" t="n">
        <x:v>0</x:v>
      </x:c>
      <x:c r="H5315" s="1" t="n">
        <x:f>'Historical prices'!E5315</x:f>
        <x:v>1.05</x:v>
      </x:c>
      <x:c r="I5315" s="6" t="n">
        <x:f>'Historical prices'!D5315</x:f>
        <x:v>0.2948</x:v>
      </x:c>
      <x:c r="J5315" s="13" t="n">
        <x:f>D5315*I5315*H5315</x:f>
        <x:v>0.009363585</x:v>
      </x:c>
      <x:c r="K5315" s="13" t="n">
        <x:f>E5315*I5315*H5315</x:f>
        <x:v>0.07908746999999999</x:v>
      </x:c>
      <x:c r="L5315" s="1" t="str">
        <x:f>TEXT(A5315,"mmm yyyy")</x:f>
        <x:v>Aug 2026</x:v>
      </x:c>
    </x:row>
    <x:row r="5316" ht="21" customHeight="1">
      <x:c r="A5316" s="10" t="n">
        <x:v>46259</x:v>
      </x:c>
      <x:c r="B5316" s="1" t="n">
        <x:v>6</x:v>
      </x:c>
      <x:c r="C5316" s="1" t="n">
        <x:v>6</x:v>
      </x:c>
      <x:c r="D5316" s="12" t="n">
        <x:v>0</x:v>
      </x:c>
      <x:c r="E5316" s="12" t="n">
        <x:v>0.5462500000000001</x:v>
      </x:c>
      <x:c r="F5316" s="12" t="n">
        <x:v>0.54575</x:v>
      </x:c>
      <x:c r="G5316" s="12" t="n">
        <x:v>0</x:v>
      </x:c>
      <x:c r="H5316" s="1" t="n">
        <x:f>'Historical prices'!E5316</x:f>
        <x:v>1.05</x:v>
      </x:c>
      <x:c r="I5316" s="6" t="n">
        <x:f>'Historical prices'!D5316</x:f>
        <x:v>0.3065</x:v>
      </x:c>
      <x:c r="J5316" s="13" t="n">
        <x:f>D5316*I5316*H5316</x:f>
        <x:v>0</x:v>
      </x:c>
      <x:c r="K5316" s="13" t="n">
        <x:f>E5316*I5316*H5316</x:f>
        <x:v>0.17579690625000002</x:v>
      </x:c>
      <x:c r="L5316" s="1" t="str">
        <x:f>TEXT(A5316,"mmm yyyy")</x:f>
        <x:v>Aug 2026</x:v>
      </x:c>
    </x:row>
    <x:row r="5317" ht="21" customHeight="1">
      <x:c r="A5317" s="10" t="n">
        <x:v>46259</x:v>
      </x:c>
      <x:c r="B5317" s="1" t="n">
        <x:v>6.5</x:v>
      </x:c>
      <x:c r="C5317" s="1" t="n">
        <x:v>6</x:v>
      </x:c>
      <x:c r="D5317" s="12" t="n">
        <x:v>0</x:v>
      </x:c>
      <x:c r="E5317" s="12" t="n">
        <x:v>0.5740000000000001</x:v>
      </x:c>
      <x:c r="F5317" s="12" t="n">
        <x:v>0.5735</x:v>
      </x:c>
      <x:c r="G5317" s="12" t="n">
        <x:v>0</x:v>
      </x:c>
      <x:c r="H5317" s="1" t="n">
        <x:f>'Historical prices'!E5317</x:f>
        <x:v>1.05</x:v>
      </x:c>
      <x:c r="I5317" s="6" t="n">
        <x:f>'Historical prices'!D5317</x:f>
        <x:v>0.30879999999999996</x:v>
      </x:c>
      <x:c r="J5317" s="13" t="n">
        <x:f>D5317*I5317*H5317</x:f>
        <x:v>0</x:v>
      </x:c>
      <x:c r="K5317" s="13" t="n">
        <x:f>E5317*I5317*H5317</x:f>
        <x:v>0.18611376000000002</x:v>
      </x:c>
      <x:c r="L5317" s="1" t="str">
        <x:f>TEXT(A5317,"mmm yyyy")</x:f>
        <x:v>Aug 2026</x:v>
      </x:c>
    </x:row>
    <x:row r="5318" ht="21" customHeight="1">
      <x:c r="A5318" s="10" t="n">
        <x:v>46259</x:v>
      </x:c>
      <x:c r="B5318" s="1" t="n">
        <x:v>7</x:v>
      </x:c>
      <x:c r="C5318" s="1" t="n">
        <x:v>6</x:v>
      </x:c>
      <x:c r="D5318" s="12" t="n">
        <x:v>0</x:v>
      </x:c>
      <x:c r="E5318" s="12" t="n">
        <x:v>0.5761666666666666</x:v>
      </x:c>
      <x:c r="F5318" s="12" t="n">
        <x:v>0.576</x:v>
      </x:c>
      <x:c r="G5318" s="12" t="n">
        <x:v>0</x:v>
      </x:c>
      <x:c r="H5318" s="1" t="n">
        <x:f>'Historical prices'!E5318</x:f>
        <x:v>1.05</x:v>
      </x:c>
      <x:c r="I5318" s="6" t="n">
        <x:f>'Historical prices'!D5318</x:f>
        <x:v>0.2981</x:v>
      </x:c>
      <x:c r="J5318" s="13" t="n">
        <x:f>D5318*I5318*H5318</x:f>
        <x:v>0</x:v>
      </x:c>
      <x:c r="K5318" s="13" t="n">
        <x:f>E5318*I5318*H5318</x:f>
        <x:v>0.1803430475</x:v>
      </x:c>
      <x:c r="L5318" s="1" t="str">
        <x:f>TEXT(A5318,"mmm yyyy")</x:f>
        <x:v>Aug 2026</x:v>
      </x:c>
    </x:row>
    <x:row r="5319" ht="21" customHeight="1">
      <x:c r="A5319" s="10" t="n">
        <x:v>46259</x:v>
      </x:c>
      <x:c r="B5319" s="1" t="n">
        <x:v>7.5</x:v>
      </x:c>
      <x:c r="C5319" s="1" t="n">
        <x:v>6</x:v>
      </x:c>
      <x:c r="D5319" s="12" t="n">
        <x:v>0</x:v>
      </x:c>
      <x:c r="E5319" s="12" t="n">
        <x:v>0.5825</x:v>
      </x:c>
      <x:c r="F5319" s="12" t="n">
        <x:v>0.5824166666666666</x:v>
      </x:c>
      <x:c r="G5319" s="12" t="n">
        <x:v>0</x:v>
      </x:c>
      <x:c r="H5319" s="1" t="n">
        <x:f>'Historical prices'!E5319</x:f>
        <x:v>1.05</x:v>
      </x:c>
      <x:c r="I5319" s="6" t="n">
        <x:f>'Historical prices'!D5319</x:f>
        <x:v>0.30519999999999997</x:v>
      </x:c>
      <x:c r="J5319" s="13" t="n">
        <x:f>D5319*I5319*H5319</x:f>
        <x:v>0</x:v>
      </x:c>
      <x:c r="K5319" s="13" t="n">
        <x:f>E5319*I5319*H5319</x:f>
        <x:v>0.18666795</x:v>
      </x:c>
      <x:c r="L5319" s="1" t="str">
        <x:f>TEXT(A5319,"mmm yyyy")</x:f>
        <x:v>Aug 2026</x:v>
      </x:c>
    </x:row>
    <x:row r="5320" ht="21" customHeight="1">
      <x:c r="A5320" s="10" t="n">
        <x:v>46259</x:v>
      </x:c>
      <x:c r="B5320" s="1" t="n">
        <x:v>8</x:v>
      </x:c>
      <x:c r="C5320" s="1" t="n">
        <x:v>6</x:v>
      </x:c>
      <x:c r="D5320" s="12" t="n">
        <x:v>0</x:v>
      </x:c>
      <x:c r="E5320" s="12" t="n">
        <x:v>0.6351666666666667</x:v>
      </x:c>
      <x:c r="F5320" s="12" t="n">
        <x:v>0.6346666666666667</x:v>
      </x:c>
      <x:c r="G5320" s="12" t="n">
        <x:v>0</x:v>
      </x:c>
      <x:c r="H5320" s="1" t="n">
        <x:f>'Historical prices'!E5320</x:f>
        <x:v>1.05</x:v>
      </x:c>
      <x:c r="I5320" s="6" t="n">
        <x:f>'Historical prices'!D5320</x:f>
        <x:v>0.30260000000000004</x:v>
      </x:c>
      <x:c r="J5320" s="13" t="n">
        <x:f>D5320*I5320*H5320</x:f>
        <x:v>0</x:v>
      </x:c>
      <x:c r="K5320" s="13" t="n">
        <x:f>E5320*I5320*H5320</x:f>
        <x:v>0.20181150500000003</x:v>
      </x:c>
      <x:c r="L5320" s="1" t="str">
        <x:f>TEXT(A5320,"mmm yyyy")</x:f>
        <x:v>Aug 2026</x:v>
      </x:c>
    </x:row>
    <x:row r="5321" ht="21" customHeight="1">
      <x:c r="A5321" s="10" t="n">
        <x:v>46259</x:v>
      </x:c>
      <x:c r="B5321" s="1" t="n">
        <x:v>8.5</x:v>
      </x:c>
      <x:c r="C5321" s="1" t="n">
        <x:v>6</x:v>
      </x:c>
      <x:c r="D5321" s="12" t="n">
        <x:v>0</x:v>
      </x:c>
      <x:c r="E5321" s="12" t="n">
        <x:v>0.5740833333333334</x:v>
      </x:c>
      <x:c r="F5321" s="12" t="n">
        <x:v>0.5714999999999999</x:v>
      </x:c>
      <x:c r="G5321" s="12" t="n">
        <x:v>0</x:v>
      </x:c>
      <x:c r="H5321" s="1" t="n">
        <x:f>'Historical prices'!E5321</x:f>
        <x:v>1.05</x:v>
      </x:c>
      <x:c r="I5321" s="6" t="n">
        <x:f>'Historical prices'!D5321</x:f>
        <x:v>0.2963</x:v>
      </x:c>
      <x:c r="J5321" s="13" t="n">
        <x:f>D5321*I5321*H5321</x:f>
        <x:v>0</x:v>
      </x:c>
      <x:c r="K5321" s="13" t="n">
        <x:f>E5321*I5321*H5321</x:f>
        <x:v>0.17860593625000004</x:v>
      </x:c>
      <x:c r="L5321" s="1" t="str">
        <x:f>TEXT(A5321,"mmm yyyy")</x:f>
        <x:v>Aug 2026</x:v>
      </x:c>
    </x:row>
    <x:row r="5322" ht="21" customHeight="1">
      <x:c r="A5322" s="10" t="n">
        <x:v>46259</x:v>
      </x:c>
      <x:c r="B5322" s="1" t="n">
        <x:v>9</x:v>
      </x:c>
      <x:c r="C5322" s="1" t="n">
        <x:v>6</x:v>
      </x:c>
      <x:c r="D5322" s="12" t="n">
        <x:v>0.7464166666666666</x:v>
      </x:c>
      <x:c r="E5322" s="12" t="n">
        <x:v>0.7124166666666667</x:v>
      </x:c>
      <x:c r="F5322" s="12" t="n">
        <x:v>0.056</x:v>
      </x:c>
      <x:c r="G5322" s="12" t="n">
        <x:v>0.095</x:v>
      </x:c>
      <x:c r="H5322" s="1" t="n">
        <x:f>'Historical prices'!E5322</x:f>
        <x:v>1.05</x:v>
      </x:c>
      <x:c r="I5322" s="6" t="n">
        <x:f>'Historical prices'!D5322</x:f>
        <x:v>0.2711</x:v>
      </x:c>
      <x:c r="J5322" s="13" t="n">
        <x:f>D5322*I5322*H5322</x:f>
        <x:v>0.21247123625</x:v>
      </x:c>
      <x:c r="K5322" s="13" t="n">
        <x:f>E5322*I5322*H5322</x:f>
        <x:v>0.20279296625</x:v>
      </x:c>
      <x:c r="L5322" s="1" t="str">
        <x:f>TEXT(A5322,"mmm yyyy")</x:f>
        <x:v>Aug 2026</x:v>
      </x:c>
    </x:row>
    <x:row r="5323" ht="21" customHeight="1">
      <x:c r="A5323" s="10" t="n">
        <x:v>46259</x:v>
      </x:c>
      <x:c r="B5323" s="1" t="n">
        <x:v>9.5</x:v>
      </x:c>
      <x:c r="C5323" s="1" t="n">
        <x:v>6</x:v>
      </x:c>
      <x:c r="D5323" s="12" t="n">
        <x:v>0.681</x:v>
      </x:c>
      <x:c r="E5323" s="12" t="n">
        <x:v>0.701</x:v>
      </x:c>
      <x:c r="F5323" s="12" t="n">
        <x:v>0</x:v>
      </x:c>
      <x:c r="G5323" s="12" t="n">
        <x:v>0</x:v>
      </x:c>
      <x:c r="H5323" s="1" t="n">
        <x:f>'Historical prices'!E5323</x:f>
        <x:v>1.05</x:v>
      </x:c>
      <x:c r="I5323" s="6" t="n">
        <x:f>'Historical prices'!D5323</x:f>
        <x:v>0.2357</x:v>
      </x:c>
      <x:c r="J5323" s="13" t="n">
        <x:f>D5323*I5323*H5323</x:f>
        <x:v>0.168537285</x:v>
      </x:c>
      <x:c r="K5323" s="13" t="n">
        <x:f>E5323*I5323*H5323</x:f>
        <x:v>0.17348698499999998</x:v>
      </x:c>
      <x:c r="L5323" s="1" t="str">
        <x:f>TEXT(A5323,"mmm yyyy")</x:f>
        <x:v>Aug 2026</x:v>
      </x:c>
    </x:row>
    <x:row r="5324" ht="21" customHeight="1">
      <x:c r="A5324" s="10" t="n">
        <x:v>46259</x:v>
      </x:c>
      <x:c r="B5324" s="1" t="n">
        <x:v>10</x:v>
      </x:c>
      <x:c r="C5324" s="1" t="n">
        <x:v>6</x:v>
      </x:c>
      <x:c r="D5324" s="12" t="n">
        <x:v>0.6235</x:v>
      </x:c>
      <x:c r="E5324" s="12" t="n">
        <x:v>0.6435000000000001</x:v>
      </x:c>
      <x:c r="F5324" s="12" t="n">
        <x:v>0</x:v>
      </x:c>
      <x:c r="G5324" s="12" t="n">
        <x:v>0</x:v>
      </x:c>
      <x:c r="H5324" s="1" t="n">
        <x:f>'Historical prices'!E5324</x:f>
        <x:v>1.05</x:v>
      </x:c>
      <x:c r="I5324" s="6" t="n">
        <x:f>'Historical prices'!D5324</x:f>
        <x:v>0.228</x:v>
      </x:c>
      <x:c r="J5324" s="13" t="n">
        <x:f>D5324*I5324*H5324</x:f>
        <x:v>0.1492659</x:v>
      </x:c>
      <x:c r="K5324" s="13" t="n">
        <x:f>E5324*I5324*H5324</x:f>
        <x:v>0.15405390000000002</x:v>
      </x:c>
      <x:c r="L5324" s="1" t="str">
        <x:f>TEXT(A5324,"mmm yyyy")</x:f>
        <x:v>Aug 2026</x:v>
      </x:c>
    </x:row>
    <x:row r="5325" ht="21" customHeight="1">
      <x:c r="A5325" s="10" t="n">
        <x:v>46259</x:v>
      </x:c>
      <x:c r="B5325" s="1" t="n">
        <x:v>10.5</x:v>
      </x:c>
      <x:c r="C5325" s="1" t="n">
        <x:v>6</x:v>
      </x:c>
      <x:c r="D5325" s="12" t="n">
        <x:v>0.6472499999999999</x:v>
      </x:c>
      <x:c r="E5325" s="12" t="n">
        <x:v>0.6632499999999999</x:v>
      </x:c>
      <x:c r="F5325" s="12" t="n">
        <x:v>0</x:v>
      </x:c>
      <x:c r="G5325" s="12" t="n">
        <x:v>0</x:v>
      </x:c>
      <x:c r="H5325" s="1" t="n">
        <x:f>'Historical prices'!E5325</x:f>
        <x:v>1.05</x:v>
      </x:c>
      <x:c r="I5325" s="6" t="n">
        <x:f>'Historical prices'!D5325</x:f>
        <x:v>0.1913</x:v>
      </x:c>
      <x:c r="J5325" s="13" t="n">
        <x:f>D5325*I5325*H5325</x:f>
        <x:v>0.13000987125</x:v>
      </x:c>
      <x:c r="K5325" s="13" t="n">
        <x:f>E5325*I5325*H5325</x:f>
        <x:v>0.13322371125</x:v>
      </x:c>
      <x:c r="L5325" s="1" t="str">
        <x:f>TEXT(A5325,"mmm yyyy")</x:f>
        <x:v>Aug 2026</x:v>
      </x:c>
    </x:row>
    <x:row r="5326" ht="21" customHeight="1">
      <x:c r="A5326" s="10" t="n">
        <x:v>46259</x:v>
      </x:c>
      <x:c r="B5326" s="1" t="n">
        <x:v>11</x:v>
      </x:c>
      <x:c r="C5326" s="1" t="n">
        <x:v>6</x:v>
      </x:c>
      <x:c r="D5326" s="12" t="n">
        <x:v>0.64625</x:v>
      </x:c>
      <x:c r="E5326" s="12" t="n">
        <x:v>0.54925</x:v>
      </x:c>
      <x:c r="F5326" s="12" t="n">
        <x:v>0</x:v>
      </x:c>
      <x:c r="G5326" s="12" t="n">
        <x:v>0.108</x:v>
      </x:c>
      <x:c r="H5326" s="1" t="n">
        <x:f>'Historical prices'!E5326</x:f>
        <x:v>1.05</x:v>
      </x:c>
      <x:c r="I5326" s="6" t="n">
        <x:f>'Historical prices'!D5326</x:f>
        <x:v>0.1888</x:v>
      </x:c>
      <x:c r="J5326" s="13" t="n">
        <x:f>D5326*I5326*H5326</x:f>
        <x:v>0.1281126</x:v>
      </x:c>
      <x:c r="K5326" s="13" t="n">
        <x:f>E5326*I5326*H5326</x:f>
        <x:v>0.10888332</x:v>
      </x:c>
      <x:c r="L5326" s="1" t="str">
        <x:f>TEXT(A5326,"mmm yyyy")</x:f>
        <x:v>Aug 2026</x:v>
      </x:c>
    </x:row>
    <x:row r="5327" ht="21" customHeight="1">
      <x:c r="A5327" s="10" t="n">
        <x:v>46259</x:v>
      </x:c>
      <x:c r="B5327" s="1" t="n">
        <x:v>11.5</x:v>
      </x:c>
      <x:c r="C5327" s="1" t="n">
        <x:v>6</x:v>
      </x:c>
      <x:c r="D5327" s="12" t="n">
        <x:v>0.484</x:v>
      </x:c>
      <x:c r="E5327" s="12" t="n">
        <x:v>0.44299999999999995</x:v>
      </x:c>
      <x:c r="F5327" s="12" t="n">
        <x:v>0</x:v>
      </x:c>
      <x:c r="G5327" s="12" t="n">
        <x:v>0.053</x:v>
      </x:c>
      <x:c r="H5327" s="1" t="n">
        <x:f>'Historical prices'!E5327</x:f>
        <x:v>1.05</x:v>
      </x:c>
      <x:c r="I5327" s="6" t="n">
        <x:f>'Historical prices'!D5327</x:f>
        <x:v>0.2014</x:v>
      </x:c>
      <x:c r="J5327" s="13" t="n">
        <x:f>D5327*I5327*H5327</x:f>
        <x:v>0.10235148000000001</x:v>
      </x:c>
      <x:c r="K5327" s="13" t="n">
        <x:f>E5327*I5327*H5327</x:f>
        <x:v>0.09368120999999999</x:v>
      </x:c>
      <x:c r="L5327" s="1" t="str">
        <x:f>TEXT(A5327,"mmm yyyy")</x:f>
        <x:v>Aug 2026</x:v>
      </x:c>
    </x:row>
    <x:row r="5328" ht="21" customHeight="1">
      <x:c r="A5328" s="10" t="n">
        <x:v>46259</x:v>
      </x:c>
      <x:c r="B5328" s="1" t="n">
        <x:v>12</x:v>
      </x:c>
      <x:c r="C5328" s="1" t="n">
        <x:v>6</x:v>
      </x:c>
      <x:c r="D5328" s="12" t="n">
        <x:v>4.45</x:v>
      </x:c>
      <x:c r="E5328" s="12" t="n">
        <x:v>0.597</x:v>
      </x:c>
      <x:c r="F5328" s="12" t="n">
        <x:v>0</x:v>
      </x:c>
      <x:c r="G5328" s="12" t="n">
        <x:v>3.856</x:v>
      </x:c>
      <x:c r="H5328" s="1" t="n">
        <x:f>'Historical prices'!E5328</x:f>
        <x:v>1.05</x:v>
      </x:c>
      <x:c r="I5328" s="6" t="n">
        <x:f>'Historical prices'!D5328</x:f>
        <x:v>0.18350000000000002</x:v>
      </x:c>
      <x:c r="J5328" s="13" t="n">
        <x:f>D5328*I5328*H5328</x:f>
        <x:v>0.8574037500000002</x:v>
      </x:c>
      <x:c r="K5328" s="13" t="n">
        <x:f>E5328*I5328*H5328</x:f>
        <x:v>0.11502697500000002</x:v>
      </x:c>
      <x:c r="L5328" s="1" t="str">
        <x:f>TEXT(A5328,"mmm yyyy")</x:f>
        <x:v>Aug 2026</x:v>
      </x:c>
    </x:row>
    <x:row r="5329" ht="21" customHeight="1">
      <x:c r="A5329" s="10" t="n">
        <x:v>46259</x:v>
      </x:c>
      <x:c r="B5329" s="1" t="n">
        <x:v>12.5</x:v>
      </x:c>
      <x:c r="C5329" s="1" t="n">
        <x:v>6</x:v>
      </x:c>
      <x:c r="D5329" s="12" t="n">
        <x:v>5.37825</x:v>
      </x:c>
      <x:c r="E5329" s="12" t="n">
        <x:v>0.74225</x:v>
      </x:c>
      <x:c r="F5329" s="12" t="n">
        <x:v>0</x:v>
      </x:c>
      <x:c r="G5329" s="12" t="n">
        <x:v>4.636</x:v>
      </x:c>
      <x:c r="H5329" s="1" t="n">
        <x:f>'Historical prices'!E5329</x:f>
        <x:v>1.05</x:v>
      </x:c>
      <x:c r="I5329" s="6" t="n">
        <x:f>'Historical prices'!D5329</x:f>
        <x:v>0.1866</x:v>
      </x:c>
      <x:c r="J5329" s="13" t="n">
        <x:f>D5329*I5329*H5329</x:f>
        <x:v>1.0537605225</x:v>
      </x:c>
      <x:c r="K5329" s="13" t="n">
        <x:f>E5329*I5329*H5329</x:f>
        <x:v>0.1454290425</x:v>
      </x:c>
      <x:c r="L5329" s="1" t="str">
        <x:f>TEXT(A5329,"mmm yyyy")</x:f>
        <x:v>Aug 2026</x:v>
      </x:c>
    </x:row>
    <x:row r="5330" ht="21" customHeight="1">
      <x:c r="A5330" s="10" t="n">
        <x:v>46259</x:v>
      </x:c>
      <x:c r="B5330" s="1" t="n">
        <x:v>13</x:v>
      </x:c>
      <x:c r="C5330" s="1" t="n">
        <x:v>6</x:v>
      </x:c>
      <x:c r="D5330" s="12" t="n">
        <x:v>5.093500000000001</x:v>
      </x:c>
      <x:c r="E5330" s="12" t="n">
        <x:v>0.6715</x:v>
      </x:c>
      <x:c r="F5330" s="12" t="n">
        <x:v>0</x:v>
      </x:c>
      <x:c r="G5330" s="12" t="n">
        <x:v>4.422</x:v>
      </x:c>
      <x:c r="H5330" s="1" t="n">
        <x:f>'Historical prices'!E5330</x:f>
        <x:v>1.05</x:v>
      </x:c>
      <x:c r="I5330" s="6" t="n">
        <x:f>'Historical prices'!D5330</x:f>
        <x:v>0.1843</x:v>
      </x:c>
      <x:c r="J5330" s="13" t="n">
        <x:f>D5330*I5330*H5330</x:f>
        <x:v>0.9856686525000001</x:v>
      </x:c>
      <x:c r="K5330" s="13" t="n">
        <x:f>E5330*I5330*H5330</x:f>
        <x:v>0.1299453225</x:v>
      </x:c>
      <x:c r="L5330" s="1" t="str">
        <x:f>TEXT(A5330,"mmm yyyy")</x:f>
        <x:v>Aug 2026</x:v>
      </x:c>
    </x:row>
    <x:row r="5331" ht="21" customHeight="1">
      <x:c r="A5331" s="10" t="n">
        <x:v>46259</x:v>
      </x:c>
      <x:c r="B5331" s="1" t="n">
        <x:v>13.5</x:v>
      </x:c>
      <x:c r="C5331" s="1" t="n">
        <x:v>6</x:v>
      </x:c>
      <x:c r="D5331" s="12" t="n">
        <x:v>5.4875</x:v>
      </x:c>
      <x:c r="E5331" s="12" t="n">
        <x:v>0.8035</x:v>
      </x:c>
      <x:c r="F5331" s="12" t="n">
        <x:v>0</x:v>
      </x:c>
      <x:c r="G5331" s="12" t="n">
        <x:v>4.684</x:v>
      </x:c>
      <x:c r="H5331" s="1" t="n">
        <x:f>'Historical prices'!E5331</x:f>
        <x:v>1.05</x:v>
      </x:c>
      <x:c r="I5331" s="6" t="n">
        <x:f>'Historical prices'!D5331</x:f>
        <x:v>0.1873</x:v>
      </x:c>
      <x:c r="J5331" s="13" t="n">
        <x:f>D5331*I5331*H5331</x:f>
        <x:v>1.0791991875</x:v>
      </x:c>
      <x:c r="K5331" s="13" t="n">
        <x:f>E5331*I5331*H5331</x:f>
        <x:v>0.1580203275</x:v>
      </x:c>
      <x:c r="L5331" s="1" t="str">
        <x:f>TEXT(A5331,"mmm yyyy")</x:f>
        <x:v>Aug 2026</x:v>
      </x:c>
    </x:row>
    <x:row r="5332" ht="21" customHeight="1">
      <x:c r="A5332" s="10" t="n">
        <x:v>46259</x:v>
      </x:c>
      <x:c r="B5332" s="1" t="n">
        <x:v>14</x:v>
      </x:c>
      <x:c r="C5332" s="1" t="n">
        <x:v>6</x:v>
      </x:c>
      <x:c r="D5332" s="12" t="n">
        <x:v>1.3767499999999997</x:v>
      </x:c>
      <x:c r="E5332" s="12" t="n">
        <x:v>0.58475</x:v>
      </x:c>
      <x:c r="F5332" s="12" t="n">
        <x:v>0</x:v>
      </x:c>
      <x:c r="G5332" s="12" t="n">
        <x:v>0.801</x:v>
      </x:c>
      <x:c r="H5332" s="1" t="n">
        <x:f>'Historical prices'!E5332</x:f>
        <x:v>1.05</x:v>
      </x:c>
      <x:c r="I5332" s="6" t="n">
        <x:f>'Historical prices'!D5332</x:f>
        <x:v>0.2059</x:v>
      </x:c>
      <x:c r="J5332" s="13" t="n">
        <x:f>D5332*I5332*H5332</x:f>
        <x:v>0.29764646624999996</x:v>
      </x:c>
      <x:c r="K5332" s="13" t="n">
        <x:f>E5332*I5332*H5332</x:f>
        <x:v>0.12642002625</x:v>
      </x:c>
      <x:c r="L5332" s="1" t="str">
        <x:f>TEXT(A5332,"mmm yyyy")</x:f>
        <x:v>Aug 2026</x:v>
      </x:c>
    </x:row>
    <x:row r="5333" ht="21" customHeight="1">
      <x:c r="A5333" s="10" t="n">
        <x:v>46259</x:v>
      </x:c>
      <x:c r="B5333" s="1" t="n">
        <x:v>14.5</x:v>
      </x:c>
      <x:c r="C5333" s="1" t="n">
        <x:v>6</x:v>
      </x:c>
      <x:c r="D5333" s="12" t="n">
        <x:v>0.46825</x:v>
      </x:c>
      <x:c r="E5333" s="12" t="n">
        <x:v>0.47825</x:v>
      </x:c>
      <x:c r="F5333" s="12" t="n">
        <x:v>0</x:v>
      </x:c>
      <x:c r="G5333" s="12" t="n">
        <x:v>0</x:v>
      </x:c>
      <x:c r="H5333" s="1" t="n">
        <x:f>'Historical prices'!E5333</x:f>
        <x:v>1.05</x:v>
      </x:c>
      <x:c r="I5333" s="6" t="n">
        <x:f>'Historical prices'!D5333</x:f>
        <x:v>0.1923</x:v>
      </x:c>
      <x:c r="J5333" s="13" t="n">
        <x:f>D5333*I5333*H5333</x:f>
        <x:v>0.09454669875</x:v>
      </x:c>
      <x:c r="K5333" s="13" t="n">
        <x:f>E5333*I5333*H5333</x:f>
        <x:v>0.09656584875000002</x:v>
      </x:c>
      <x:c r="L5333" s="1" t="str">
        <x:f>TEXT(A5333,"mmm yyyy")</x:f>
        <x:v>Aug 2026</x:v>
      </x:c>
    </x:row>
    <x:row r="5334" ht="21" customHeight="1">
      <x:c r="A5334" s="10" t="n">
        <x:v>46259</x:v>
      </x:c>
      <x:c r="B5334" s="1" t="n">
        <x:v>15</x:v>
      </x:c>
      <x:c r="C5334" s="1" t="n">
        <x:v>6</x:v>
      </x:c>
      <x:c r="D5334" s="12" t="n">
        <x:v>0.42974999999999997</x:v>
      </x:c>
      <x:c r="E5334" s="12" t="n">
        <x:v>0.44175</x:v>
      </x:c>
      <x:c r="F5334" s="12" t="n">
        <x:v>0</x:v>
      </x:c>
      <x:c r="G5334" s="12" t="n">
        <x:v>0</x:v>
      </x:c>
      <x:c r="H5334" s="1" t="n">
        <x:f>'Historical prices'!E5334</x:f>
        <x:v>1.05</x:v>
      </x:c>
      <x:c r="I5334" s="6" t="n">
        <x:f>'Historical prices'!D5334</x:f>
        <x:v>0.20079999999999998</x:v>
      </x:c>
      <x:c r="J5334" s="13" t="n">
        <x:f>D5334*I5334*H5334</x:f>
        <x:v>0.09060849</x:v>
      </x:c>
      <x:c r="K5334" s="13" t="n">
        <x:f>E5334*I5334*H5334</x:f>
        <x:v>0.09313856999999999</x:v>
      </x:c>
      <x:c r="L5334" s="1" t="str">
        <x:f>TEXT(A5334,"mmm yyyy")</x:f>
        <x:v>Aug 2026</x:v>
      </x:c>
    </x:row>
    <x:row r="5335" ht="21" customHeight="1">
      <x:c r="A5335" s="10" t="n">
        <x:v>46259</x:v>
      </x:c>
      <x:c r="B5335" s="1" t="n">
        <x:v>15.5</x:v>
      </x:c>
      <x:c r="C5335" s="1" t="n">
        <x:v>6</x:v>
      </x:c>
      <x:c r="D5335" s="12" t="n">
        <x:v>0.56075</x:v>
      </x:c>
      <x:c r="E5335" s="12" t="n">
        <x:v>0.57075</x:v>
      </x:c>
      <x:c r="F5335" s="12" t="n">
        <x:v>0</x:v>
      </x:c>
      <x:c r="G5335" s="12" t="n">
        <x:v>0</x:v>
      </x:c>
      <x:c r="H5335" s="1" t="n">
        <x:f>'Historical prices'!E5335</x:f>
        <x:v>1.05</x:v>
      </x:c>
      <x:c r="I5335" s="6" t="n">
        <x:f>'Historical prices'!D5335</x:f>
        <x:v>0.22010000000000002</x:v>
      </x:c>
      <x:c r="J5335" s="13" t="n">
        <x:f>D5335*I5335*H5335</x:f>
        <x:v>0.12959212875</x:v>
      </x:c>
      <x:c r="K5335" s="13" t="n">
        <x:f>E5335*I5335*H5335</x:f>
        <x:v>0.13190317875000002</x:v>
      </x:c>
      <x:c r="L5335" s="1" t="str">
        <x:f>TEXT(A5335,"mmm yyyy")</x:f>
        <x:v>Aug 2026</x:v>
      </x:c>
    </x:row>
    <x:row r="5336" ht="21" customHeight="1">
      <x:c r="A5336" s="10" t="n">
        <x:v>46259</x:v>
      </x:c>
      <x:c r="B5336" s="1" t="n">
        <x:v>16</x:v>
      </x:c>
      <x:c r="C5336" s="1" t="n">
        <x:v>6</x:v>
      </x:c>
      <x:c r="D5336" s="12" t="n">
        <x:v>0.12575</x:v>
      </x:c>
      <x:c r="E5336" s="12" t="n">
        <x:v>0.77475</x:v>
      </x:c>
      <x:c r="F5336" s="12" t="n">
        <x:v>0.6308333333333334</x:v>
      </x:c>
      <x:c r="G5336" s="12" t="n">
        <x:v>0</x:v>
      </x:c>
      <x:c r="H5336" s="1" t="n">
        <x:f>'Historical prices'!E5336</x:f>
        <x:v>1.05</x:v>
      </x:c>
      <x:c r="I5336" s="6" t="n">
        <x:f>'Historical prices'!D5336</x:f>
        <x:v>0.3575</x:v>
      </x:c>
      <x:c r="J5336" s="13" t="n">
        <x:f>D5336*I5336*H5336</x:f>
        <x:v>0.04720340625</x:v>
      </x:c>
      <x:c r="K5336" s="13" t="n">
        <x:f>E5336*I5336*H5336</x:f>
        <x:v>0.29082178125</x:v>
      </x:c>
      <x:c r="L5336" s="1" t="str">
        <x:f>TEXT(A5336,"mmm yyyy")</x:f>
        <x:v>Aug 2026</x:v>
      </x:c>
    </x:row>
    <x:row r="5337" ht="21" customHeight="1">
      <x:c r="A5337" s="10" t="n">
        <x:v>46259</x:v>
      </x:c>
      <x:c r="B5337" s="1" t="n">
        <x:v>16.5</x:v>
      </x:c>
      <x:c r="C5337" s="1" t="n">
        <x:v>6</x:v>
      </x:c>
      <x:c r="D5337" s="12" t="n">
        <x:v>0</x:v>
      </x:c>
      <x:c r="E5337" s="12" t="n">
        <x:v>0.5521666666666667</x:v>
      </x:c>
      <x:c r="F5337" s="12" t="n">
        <x:v>0.5495833333333333</x:v>
      </x:c>
      <x:c r="G5337" s="12" t="n">
        <x:v>0</x:v>
      </x:c>
      <x:c r="H5337" s="1" t="n">
        <x:f>'Historical prices'!E5337</x:f>
        <x:v>1.05</x:v>
      </x:c>
      <x:c r="I5337" s="6" t="n">
        <x:f>'Historical prices'!D5337</x:f>
        <x:v>0.35960000000000003</x:v>
      </x:c>
      <x:c r="J5337" s="13" t="n">
        <x:f>D5337*I5337*H5337</x:f>
        <x:v>0</x:v>
      </x:c>
      <x:c r="K5337" s="13" t="n">
        <x:f>E5337*I5337*H5337</x:f>
        <x:v>0.20848709000000004</x:v>
      </x:c>
      <x:c r="L5337" s="1" t="str">
        <x:f>TEXT(A5337,"mmm yyyy")</x:f>
        <x:v>Aug 2026</x:v>
      </x:c>
    </x:row>
    <x:row r="5338" ht="21" customHeight="1">
      <x:c r="A5338" s="10" t="n">
        <x:v>46259</x:v>
      </x:c>
      <x:c r="B5338" s="1" t="n">
        <x:v>17</x:v>
      </x:c>
      <x:c r="C5338" s="1" t="n">
        <x:v>6</x:v>
      </x:c>
      <x:c r="D5338" s="12" t="n">
        <x:v>0</x:v>
      </x:c>
      <x:c r="E5338" s="12" t="n">
        <x:v>0.62925</x:v>
      </x:c>
      <x:c r="F5338" s="12" t="n">
        <x:v>0.6288333333333332</x:v>
      </x:c>
      <x:c r="G5338" s="12" t="n">
        <x:v>0</x:v>
      </x:c>
      <x:c r="H5338" s="1" t="n">
        <x:f>'Historical prices'!E5338</x:f>
        <x:v>1.05</x:v>
      </x:c>
      <x:c r="I5338" s="6" t="n">
        <x:f>'Historical prices'!D5338</x:f>
        <x:v>0.39840000000000003</x:v>
      </x:c>
      <x:c r="J5338" s="13" t="n">
        <x:f>D5338*I5338*H5338</x:f>
        <x:v>0</x:v>
      </x:c>
      <x:c r="K5338" s="13" t="n">
        <x:f>E5338*I5338*H5338</x:f>
        <x:v>0.26322786000000004</x:v>
      </x:c>
      <x:c r="L5338" s="1" t="str">
        <x:f>TEXT(A5338,"mmm yyyy")</x:f>
        <x:v>Aug 2026</x:v>
      </x:c>
    </x:row>
    <x:row r="5339" ht="21" customHeight="1">
      <x:c r="A5339" s="10" t="n">
        <x:v>46259</x:v>
      </x:c>
      <x:c r="B5339" s="1" t="n">
        <x:v>17.5</x:v>
      </x:c>
      <x:c r="C5339" s="1" t="n">
        <x:v>6</x:v>
      </x:c>
      <x:c r="D5339" s="12" t="n">
        <x:v>0</x:v>
      </x:c>
      <x:c r="E5339" s="12" t="n">
        <x:v>0.5305833333333333</x:v>
      </x:c>
      <x:c r="F5339" s="12" t="n">
        <x:v>0.5295</x:v>
      </x:c>
      <x:c r="G5339" s="12" t="n">
        <x:v>0</x:v>
      </x:c>
      <x:c r="H5339" s="1" t="n">
        <x:f>'Historical prices'!E5339</x:f>
        <x:v>1.05</x:v>
      </x:c>
      <x:c r="I5339" s="6" t="n">
        <x:f>'Historical prices'!D5339</x:f>
        <x:v>0.45299999999999996</x:v>
      </x:c>
      <x:c r="J5339" s="13" t="n">
        <x:f>D5339*I5339*H5339</x:f>
        <x:v>0</x:v>
      </x:c>
      <x:c r="K5339" s="13" t="n">
        <x:f>E5339*I5339*H5339</x:f>
        <x:v>0.2523719625</x:v>
      </x:c>
      <x:c r="L5339" s="1" t="str">
        <x:f>TEXT(A5339,"mmm yyyy")</x:f>
        <x:v>Aug 2026</x:v>
      </x:c>
    </x:row>
    <x:row r="5340" ht="21" customHeight="1">
      <x:c r="A5340" s="10" t="n">
        <x:v>46259</x:v>
      </x:c>
      <x:c r="B5340" s="1" t="n">
        <x:v>18</x:v>
      </x:c>
      <x:c r="C5340" s="1" t="n">
        <x:v>6</x:v>
      </x:c>
      <x:c r="D5340" s="12" t="n">
        <x:v>0</x:v>
      </x:c>
      <x:c r="E5340" s="12" t="n">
        <x:v>0.5124166666666666</x:v>
      </x:c>
      <x:c r="F5340" s="12" t="n">
        <x:v>0.51175</x:v>
      </x:c>
      <x:c r="G5340" s="12" t="n">
        <x:v>0</x:v>
      </x:c>
      <x:c r="H5340" s="1" t="n">
        <x:f>'Historical prices'!E5340</x:f>
        <x:v>1.05</x:v>
      </x:c>
      <x:c r="I5340" s="6" t="n">
        <x:f>'Historical prices'!D5340</x:f>
        <x:v>0.4593</x:v>
      </x:c>
      <x:c r="J5340" s="13" t="n">
        <x:f>D5340*I5340*H5340</x:f>
        <x:v>0</x:v>
      </x:c>
      <x:c r="K5340" s="13" t="n">
        <x:f>E5340*I5340*H5340</x:f>
        <x:v>0.24712062374999996</x:v>
      </x:c>
      <x:c r="L5340" s="1" t="str">
        <x:f>TEXT(A5340,"mmm yyyy")</x:f>
        <x:v>Aug 2026</x:v>
      </x:c>
    </x:row>
    <x:row r="5341" ht="21" customHeight="1">
      <x:c r="A5341" s="10" t="n">
        <x:v>46259</x:v>
      </x:c>
      <x:c r="B5341" s="1" t="n">
        <x:v>18.5</x:v>
      </x:c>
      <x:c r="C5341" s="1" t="n">
        <x:v>6</x:v>
      </x:c>
      <x:c r="D5341" s="12" t="n">
        <x:v>0</x:v>
      </x:c>
      <x:c r="E5341" s="12" t="n">
        <x:v>0.7102499999999999</x:v>
      </x:c>
      <x:c r="F5341" s="12" t="n">
        <x:v>0.7098333333333333</x:v>
      </x:c>
      <x:c r="G5341" s="12" t="n">
        <x:v>0</x:v>
      </x:c>
      <x:c r="H5341" s="1" t="n">
        <x:f>'Historical prices'!E5341</x:f>
        <x:v>1.05</x:v>
      </x:c>
      <x:c r="I5341" s="6" t="n">
        <x:f>'Historical prices'!D5341</x:f>
        <x:v>0.47369999999999995</x:v>
      </x:c>
      <x:c r="J5341" s="13" t="n">
        <x:f>D5341*I5341*H5341</x:f>
        <x:v>0</x:v>
      </x:c>
      <x:c r="K5341" s="13" t="n">
        <x:f>E5341*I5341*H5341</x:f>
        <x:v>0.35326769625</x:v>
      </x:c>
      <x:c r="L5341" s="1" t="str">
        <x:f>TEXT(A5341,"mmm yyyy")</x:f>
        <x:v>Aug 2026</x:v>
      </x:c>
    </x:row>
    <x:row r="5342" ht="21" customHeight="1">
      <x:c r="A5342" s="10" t="n">
        <x:v>46259</x:v>
      </x:c>
      <x:c r="B5342" s="1" t="n">
        <x:v>19</x:v>
      </x:c>
      <x:c r="C5342" s="1" t="n">
        <x:v>6</x:v>
      </x:c>
      <x:c r="D5342" s="12" t="n">
        <x:v>0</x:v>
      </x:c>
      <x:c r="E5342" s="12" t="n">
        <x:v>0.6569166666666666</x:v>
      </x:c>
      <x:c r="F5342" s="12" t="n">
        <x:v>0.65675</x:v>
      </x:c>
      <x:c r="G5342" s="12" t="n">
        <x:v>0</x:v>
      </x:c>
      <x:c r="H5342" s="1" t="n">
        <x:f>'Historical prices'!E5342</x:f>
        <x:v>1.05</x:v>
      </x:c>
      <x:c r="I5342" s="6" t="n">
        <x:f>'Historical prices'!D5342</x:f>
        <x:v>0.3513</x:v>
      </x:c>
      <x:c r="J5342" s="13" t="n">
        <x:f>D5342*I5342*H5342</x:f>
        <x:v>0</x:v>
      </x:c>
      <x:c r="K5342" s="13" t="n">
        <x:f>E5342*I5342*H5342</x:f>
        <x:v>0.24231356624999997</x:v>
      </x:c>
      <x:c r="L5342" s="1" t="str">
        <x:f>TEXT(A5342,"mmm yyyy")</x:f>
        <x:v>Aug 2026</x:v>
      </x:c>
    </x:row>
    <x:row r="5343" ht="21" customHeight="1">
      <x:c r="A5343" s="10" t="n">
        <x:v>46259</x:v>
      </x:c>
      <x:c r="B5343" s="1" t="n">
        <x:v>19.5</x:v>
      </x:c>
      <x:c r="C5343" s="1" t="n">
        <x:v>6</x:v>
      </x:c>
      <x:c r="D5343" s="12" t="n">
        <x:v>0</x:v>
      </x:c>
      <x:c r="E5343" s="12" t="n">
        <x:v>0.8135000000000001</x:v>
      </x:c>
      <x:c r="F5343" s="12" t="n">
        <x:v>0.8130833333333334</x:v>
      </x:c>
      <x:c r="G5343" s="12" t="n">
        <x:v>0</x:v>
      </x:c>
      <x:c r="H5343" s="1" t="n">
        <x:f>'Historical prices'!E5343</x:f>
        <x:v>1.05</x:v>
      </x:c>
      <x:c r="I5343" s="6" t="n">
        <x:f>'Historical prices'!D5343</x:f>
        <x:v>0.354</x:v>
      </x:c>
      <x:c r="J5343" s="13" t="n">
        <x:f>D5343*I5343*H5343</x:f>
        <x:v>0</x:v>
      </x:c>
      <x:c r="K5343" s="13" t="n">
        <x:f>E5343*I5343*H5343</x:f>
        <x:v>0.30237795000000006</x:v>
      </x:c>
      <x:c r="L5343" s="1" t="str">
        <x:f>TEXT(A5343,"mmm yyyy")</x:f>
        <x:v>Aug 2026</x:v>
      </x:c>
    </x:row>
    <x:row r="5344" ht="21" customHeight="1">
      <x:c r="A5344" s="10" t="n">
        <x:v>46259</x:v>
      </x:c>
      <x:c r="B5344" s="1" t="n">
        <x:v>20</x:v>
      </x:c>
      <x:c r="C5344" s="1" t="n">
        <x:v>6</x:v>
      </x:c>
      <x:c r="D5344" s="12" t="n">
        <x:v>0</x:v>
      </x:c>
      <x:c r="E5344" s="12" t="n">
        <x:v>0.44158333333333327</x:v>
      </x:c>
      <x:c r="F5344" s="12" t="n">
        <x:v>0.44149999999999995</x:v>
      </x:c>
      <x:c r="G5344" s="12" t="n">
        <x:v>0</x:v>
      </x:c>
      <x:c r="H5344" s="1" t="n">
        <x:f>'Historical prices'!E5344</x:f>
        <x:v>1.05</x:v>
      </x:c>
      <x:c r="I5344" s="6" t="n">
        <x:f>'Historical prices'!D5344</x:f>
        <x:v>0.3139</x:v>
      </x:c>
      <x:c r="J5344" s="13" t="n">
        <x:f>D5344*I5344*H5344</x:f>
        <x:v>0</x:v>
      </x:c>
      <x:c r="K5344" s="13" t="n">
        <x:f>E5344*I5344*H5344</x:f>
        <x:v>0.14554365875</x:v>
      </x:c>
      <x:c r="L5344" s="1" t="str">
        <x:f>TEXT(A5344,"mmm yyyy")</x:f>
        <x:v>Aug 2026</x:v>
      </x:c>
    </x:row>
    <x:row r="5345" ht="21" customHeight="1">
      <x:c r="A5345" s="10" t="n">
        <x:v>46259</x:v>
      </x:c>
      <x:c r="B5345" s="1" t="n">
        <x:v>20.5</x:v>
      </x:c>
      <x:c r="C5345" s="1" t="n">
        <x:v>6</x:v>
      </x:c>
      <x:c r="D5345" s="12" t="n">
        <x:v>0</x:v>
      </x:c>
      <x:c r="E5345" s="12" t="n">
        <x:v>0.48191666666666666</x:v>
      </x:c>
      <x:c r="F5345" s="12" t="n">
        <x:v>0.4815833333333333</x:v>
      </x:c>
      <x:c r="G5345" s="12" t="n">
        <x:v>0</x:v>
      </x:c>
      <x:c r="H5345" s="1" t="n">
        <x:f>'Historical prices'!E5345</x:f>
        <x:v>1.05</x:v>
      </x:c>
      <x:c r="I5345" s="6" t="n">
        <x:f>'Historical prices'!D5345</x:f>
        <x:v>0.31170000000000003</x:v>
      </x:c>
      <x:c r="J5345" s="13" t="n">
        <x:f>D5345*I5345*H5345</x:f>
        <x:v>0</x:v>
      </x:c>
      <x:c r="K5345" s="13" t="n">
        <x:f>E5345*I5345*H5345</x:f>
        <x:v>0.15772409625000003</x:v>
      </x:c>
      <x:c r="L5345" s="1" t="str">
        <x:f>TEXT(A5345,"mmm yyyy")</x:f>
        <x:v>Aug 2026</x:v>
      </x:c>
    </x:row>
    <x:row r="5346" ht="21" customHeight="1">
      <x:c r="A5346" s="10" t="n">
        <x:v>46259</x:v>
      </x:c>
      <x:c r="B5346" s="1" t="n">
        <x:v>21</x:v>
      </x:c>
      <x:c r="C5346" s="1" t="n">
        <x:v>6</x:v>
      </x:c>
      <x:c r="D5346" s="12" t="n">
        <x:v>0</x:v>
      </x:c>
      <x:c r="E5346" s="12" t="n">
        <x:v>0.6148333333333333</x:v>
      </x:c>
      <x:c r="F5346" s="12" t="n">
        <x:v>0.6142500000000001</x:v>
      </x:c>
      <x:c r="G5346" s="12" t="n">
        <x:v>0</x:v>
      </x:c>
      <x:c r="H5346" s="1" t="n">
        <x:f>'Historical prices'!E5346</x:f>
        <x:v>1.05</x:v>
      </x:c>
      <x:c r="I5346" s="6" t="n">
        <x:f>'Historical prices'!D5346</x:f>
        <x:v>0.3085</x:v>
      </x:c>
      <x:c r="J5346" s="13" t="n">
        <x:f>D5346*I5346*H5346</x:f>
        <x:v>0</x:v>
      </x:c>
      <x:c r="K5346" s="13" t="n">
        <x:f>E5346*I5346*H5346</x:f>
        <x:v>0.1991598875</x:v>
      </x:c>
      <x:c r="L5346" s="1" t="str">
        <x:f>TEXT(A5346,"mmm yyyy")</x:f>
        <x:v>Aug 2026</x:v>
      </x:c>
    </x:row>
    <x:row r="5347" ht="21" customHeight="1">
      <x:c r="A5347" s="10" t="n">
        <x:v>46259</x:v>
      </x:c>
      <x:c r="B5347" s="1" t="n">
        <x:v>21.5</x:v>
      </x:c>
      <x:c r="C5347" s="1" t="n">
        <x:v>6</x:v>
      </x:c>
      <x:c r="D5347" s="12" t="n">
        <x:v>0</x:v>
      </x:c>
      <x:c r="E5347" s="12" t="n">
        <x:v>0.9446666666666665</x:v>
      </x:c>
      <x:c r="F5347" s="12" t="n">
        <x:v>0.9365833333333333</x:v>
      </x:c>
      <x:c r="G5347" s="12" t="n">
        <x:v>0</x:v>
      </x:c>
      <x:c r="H5347" s="1" t="n">
        <x:f>'Historical prices'!E5347</x:f>
        <x:v>1.05</x:v>
      </x:c>
      <x:c r="I5347" s="6" t="n">
        <x:f>'Historical prices'!D5347</x:f>
        <x:v>0.2901</x:v>
      </x:c>
      <x:c r="J5347" s="13" t="n">
        <x:f>D5347*I5347*H5347</x:f>
        <x:v>0</x:v>
      </x:c>
      <x:c r="K5347" s="13" t="n">
        <x:f>E5347*I5347*H5347</x:f>
        <x:v>0.28775019</x:v>
      </x:c>
      <x:c r="L5347" s="1" t="str">
        <x:f>TEXT(A5347,"mmm yyyy")</x:f>
        <x:v>Aug 2026</x:v>
      </x:c>
    </x:row>
    <x:row r="5348" ht="21" customHeight="1">
      <x:c r="A5348" s="10" t="n">
        <x:v>46259</x:v>
      </x:c>
      <x:c r="B5348" s="1" t="n">
        <x:v>22</x:v>
      </x:c>
      <x:c r="C5348" s="1" t="n">
        <x:v>6</x:v>
      </x:c>
      <x:c r="D5348" s="12" t="n">
        <x:v>0</x:v>
      </x:c>
      <x:c r="E5348" s="12" t="n">
        <x:v>0.34808333333333336</x:v>
      </x:c>
      <x:c r="F5348" s="12" t="n">
        <x:v>0.3463333333333334</x:v>
      </x:c>
      <x:c r="G5348" s="12" t="n">
        <x:v>0</x:v>
      </x:c>
      <x:c r="H5348" s="1" t="n">
        <x:f>'Historical prices'!E5348</x:f>
        <x:v>1.05</x:v>
      </x:c>
      <x:c r="I5348" s="6" t="n">
        <x:f>'Historical prices'!D5348</x:f>
        <x:v>0.2822</x:v>
      </x:c>
      <x:c r="J5348" s="13" t="n">
        <x:f>D5348*I5348*H5348</x:f>
        <x:v>0</x:v>
      </x:c>
      <x:c r="K5348" s="13" t="n">
        <x:f>E5348*I5348*H5348</x:f>
        <x:v>0.10314057250000001</x:v>
      </x:c>
      <x:c r="L5348" s="1" t="str">
        <x:f>TEXT(A5348,"mmm yyyy")</x:f>
        <x:v>Aug 2026</x:v>
      </x:c>
    </x:row>
    <x:row r="5349" ht="21" customHeight="1">
      <x:c r="A5349" s="10" t="n">
        <x:v>46259</x:v>
      </x:c>
      <x:c r="B5349" s="1" t="n">
        <x:v>22.5</x:v>
      </x:c>
      <x:c r="C5349" s="1" t="n">
        <x:v>6</x:v>
      </x:c>
      <x:c r="D5349" s="12" t="n">
        <x:v>0.19225</x:v>
      </x:c>
      <x:c r="E5349" s="12" t="n">
        <x:v>0.25033333333333335</x:v>
      </x:c>
      <x:c r="F5349" s="12" t="n">
        <x:v>0.049</x:v>
      </x:c>
      <x:c r="G5349" s="12" t="n">
        <x:v>0</x:v>
      </x:c>
      <x:c r="H5349" s="1" t="n">
        <x:f>'Historical prices'!E5349</x:f>
        <x:v>1.05</x:v>
      </x:c>
      <x:c r="I5349" s="6" t="n">
        <x:f>'Historical prices'!D5349</x:f>
        <x:v>0.2623</x:v>
      </x:c>
      <x:c r="J5349" s="13" t="n">
        <x:f>D5349*I5349*H5349</x:f>
        <x:v>0.05294853375</x:v>
      </x:c>
      <x:c r="K5349" s="13" t="n">
        <x:f>E5349*I5349*H5349</x:f>
        <x:v>0.068945555</x:v>
      </x:c>
      <x:c r="L5349" s="1" t="str">
        <x:f>TEXT(A5349,"mmm yyyy")</x:f>
        <x:v>Aug 2026</x:v>
      </x:c>
    </x:row>
    <x:row r="5350" ht="21" customHeight="1">
      <x:c r="A5350" s="10" t="n">
        <x:v>46259</x:v>
      </x:c>
      <x:c r="B5350" s="1" t="n">
        <x:v>23</x:v>
      </x:c>
      <x:c r="C5350" s="1" t="n">
        <x:v>6</x:v>
      </x:c>
      <x:c r="D5350" s="12" t="n">
        <x:v>0.2605</x:v>
      </x:c>
      <x:c r="E5350" s="12" t="n">
        <x:v>0.2705</x:v>
      </x:c>
      <x:c r="F5350" s="12" t="n">
        <x:v>0</x:v>
      </x:c>
      <x:c r="G5350" s="12" t="n">
        <x:v>0</x:v>
      </x:c>
      <x:c r="H5350" s="1" t="n">
        <x:f>'Historical prices'!E5350</x:f>
        <x:v>1.05</x:v>
      </x:c>
      <x:c r="I5350" s="6" t="n">
        <x:f>'Historical prices'!D5350</x:f>
        <x:v>0.26239999999999997</x:v>
      </x:c>
      <x:c r="J5350" s="13" t="n">
        <x:f>D5350*I5350*H5350</x:f>
        <x:v>0.07177296</x:v>
      </x:c>
      <x:c r="K5350" s="13" t="n">
        <x:f>E5350*I5350*H5350</x:f>
        <x:v>0.07452816</x:v>
      </x:c>
      <x:c r="L5350" s="1" t="str">
        <x:f>TEXT(A5350,"mmm yyyy")</x:f>
        <x:v>Aug 2026</x:v>
      </x:c>
    </x:row>
    <x:row r="5351" ht="21" customHeight="1">
      <x:c r="A5351" s="10" t="n">
        <x:v>46259</x:v>
      </x:c>
      <x:c r="B5351" s="1" t="n">
        <x:v>23.5</x:v>
      </x:c>
      <x:c r="C5351" s="1" t="n">
        <x:v>6</x:v>
      </x:c>
      <x:c r="D5351" s="12" t="n">
        <x:v>0.194</x:v>
      </x:c>
      <x:c r="E5351" s="12" t="n">
        <x:v>0.205</x:v>
      </x:c>
      <x:c r="F5351" s="12" t="n">
        <x:v>0</x:v>
      </x:c>
      <x:c r="G5351" s="12" t="n">
        <x:v>0</x:v>
      </x:c>
      <x:c r="H5351" s="1" t="n">
        <x:f>'Historical prices'!E5351</x:f>
        <x:v>1.05</x:v>
      </x:c>
      <x:c r="I5351" s="6" t="n">
        <x:f>'Historical prices'!D5351</x:f>
        <x:v>0.2462</x:v>
      </x:c>
      <x:c r="J5351" s="13" t="n">
        <x:f>D5351*I5351*H5351</x:f>
        <x:v>0.050150940000000005</x:v>
      </x:c>
      <x:c r="K5351" s="13" t="n">
        <x:f>E5351*I5351*H5351</x:f>
        <x:v>0.052994549999999994</x:v>
      </x:c>
      <x:c r="L5351" s="1" t="str">
        <x:f>TEXT(A5351,"mmm yyyy")</x:f>
        <x:v>Aug 2026</x:v>
      </x:c>
    </x:row>
    <x:row r="5352" ht="21" customHeight="1">
      <x:c r="A5352" s="10" t="n">
        <x:v>46260</x:v>
      </x:c>
      <x:c r="B5352" s="1" t="n">
        <x:v>0</x:v>
      </x:c>
      <x:c r="C5352" s="1" t="n">
        <x:v>6</x:v>
      </x:c>
      <x:c r="D5352" s="12" t="n">
        <x:v>0.20725000000000002</x:v>
      </x:c>
      <x:c r="E5352" s="12" t="n">
        <x:v>0.21725000000000003</x:v>
      </x:c>
      <x:c r="F5352" s="12" t="n">
        <x:v>0</x:v>
      </x:c>
      <x:c r="G5352" s="12" t="n">
        <x:v>0</x:v>
      </x:c>
      <x:c r="H5352" s="1" t="n">
        <x:f>'Historical prices'!E5352</x:f>
        <x:v>1.05</x:v>
      </x:c>
      <x:c r="I5352" s="6" t="n">
        <x:f>'Historical prices'!D5352</x:f>
        <x:v>0.2375</x:v>
      </x:c>
      <x:c r="J5352" s="13" t="n">
        <x:f>D5352*I5352*H5352</x:f>
        <x:v>0.05168296875000001</x:v>
      </x:c>
      <x:c r="K5352" s="13" t="n">
        <x:f>E5352*I5352*H5352</x:f>
        <x:v>0.05417671875000001</x:v>
      </x:c>
      <x:c r="L5352" s="1" t="str">
        <x:f>TEXT(A5352,"mmm yyyy")</x:f>
        <x:v>Aug 2026</x:v>
      </x:c>
    </x:row>
    <x:row r="5353" ht="21" customHeight="1">
      <x:c r="A5353" s="10" t="n">
        <x:v>46260</x:v>
      </x:c>
      <x:c r="B5353" s="1" t="n">
        <x:v>0.5</x:v>
      </x:c>
      <x:c r="C5353" s="1" t="n">
        <x:v>6</x:v>
      </x:c>
      <x:c r="D5353" s="12" t="n">
        <x:v>0.20875000000000002</x:v>
      </x:c>
      <x:c r="E5353" s="12" t="n">
        <x:v>0.21875000000000003</x:v>
      </x:c>
      <x:c r="F5353" s="12" t="n">
        <x:v>0</x:v>
      </x:c>
      <x:c r="G5353" s="12" t="n">
        <x:v>0</x:v>
      </x:c>
      <x:c r="H5353" s="1" t="n">
        <x:f>'Historical prices'!E5353</x:f>
        <x:v>1.05</x:v>
      </x:c>
      <x:c r="I5353" s="6" t="n">
        <x:f>'Historical prices'!D5353</x:f>
        <x:v>0.2328</x:v>
      </x:c>
      <x:c r="J5353" s="13" t="n">
        <x:f>D5353*I5353*H5353</x:f>
        <x:v>0.05102685000000001</x:v>
      </x:c>
      <x:c r="K5353" s="13" t="n">
        <x:f>E5353*I5353*H5353</x:f>
        <x:v>0.053471250000000005</x:v>
      </x:c>
      <x:c r="L5353" s="1" t="str">
        <x:f>TEXT(A5353,"mmm yyyy")</x:f>
        <x:v>Aug 2026</x:v>
      </x:c>
    </x:row>
    <x:row r="5354" ht="21" customHeight="1">
      <x:c r="A5354" s="10" t="n">
        <x:v>46260</x:v>
      </x:c>
      <x:c r="B5354" s="1" t="n">
        <x:v>1</x:v>
      </x:c>
      <x:c r="C5354" s="1" t="n">
        <x:v>6</x:v>
      </x:c>
      <x:c r="D5354" s="12" t="n">
        <x:v>0.21075000000000002</x:v>
      </x:c>
      <x:c r="E5354" s="12" t="n">
        <x:v>0.22275</x:v>
      </x:c>
      <x:c r="F5354" s="12" t="n">
        <x:v>0</x:v>
      </x:c>
      <x:c r="G5354" s="12" t="n">
        <x:v>0</x:v>
      </x:c>
      <x:c r="H5354" s="1" t="n">
        <x:f>'Historical prices'!E5354</x:f>
        <x:v>1.05</x:v>
      </x:c>
      <x:c r="I5354" s="6" t="n">
        <x:f>'Historical prices'!D5354</x:f>
        <x:v>0.2323</x:v>
      </x:c>
      <x:c r="J5354" s="13" t="n">
        <x:f>D5354*I5354*H5354</x:f>
        <x:v>0.05140508625000001</x:v>
      </x:c>
      <x:c r="K5354" s="13" t="n">
        <x:f>E5354*I5354*H5354</x:f>
        <x:v>0.054332066250000005</x:v>
      </x:c>
      <x:c r="L5354" s="1" t="str">
        <x:f>TEXT(A5354,"mmm yyyy")</x:f>
        <x:v>Aug 2026</x:v>
      </x:c>
    </x:row>
    <x:row r="5355" ht="21" customHeight="1">
      <x:c r="A5355" s="10" t="n">
        <x:v>46260</x:v>
      </x:c>
      <x:c r="B5355" s="1" t="n">
        <x:v>1.5</x:v>
      </x:c>
      <x:c r="C5355" s="1" t="n">
        <x:v>6</x:v>
      </x:c>
      <x:c r="D5355" s="12" t="n">
        <x:v>0.17174999999999999</x:v>
      </x:c>
      <x:c r="E5355" s="12" t="n">
        <x:v>0.18075</x:v>
      </x:c>
      <x:c r="F5355" s="12" t="n">
        <x:v>0</x:v>
      </x:c>
      <x:c r="G5355" s="12" t="n">
        <x:v>0</x:v>
      </x:c>
      <x:c r="H5355" s="1" t="n">
        <x:f>'Historical prices'!E5355</x:f>
        <x:v>1.05</x:v>
      </x:c>
      <x:c r="I5355" s="6" t="n">
        <x:f>'Historical prices'!D5355</x:f>
        <x:v>0.23329999999999998</x:v>
      </x:c>
      <x:c r="J5355" s="13" t="n">
        <x:f>D5355*I5355*H5355</x:f>
        <x:v>0.04207273875</x:v>
      </x:c>
      <x:c r="K5355" s="13" t="n">
        <x:f>E5355*I5355*H5355</x:f>
        <x:v>0.044277423749999996</x:v>
      </x:c>
      <x:c r="L5355" s="1" t="str">
        <x:f>TEXT(A5355,"mmm yyyy")</x:f>
        <x:v>Aug 2026</x:v>
      </x:c>
    </x:row>
    <x:row r="5356" ht="21" customHeight="1">
      <x:c r="A5356" s="10" t="n">
        <x:v>46260</x:v>
      </x:c>
      <x:c r="B5356" s="1" t="n">
        <x:v>2</x:v>
      </x:c>
      <x:c r="C5356" s="1" t="n">
        <x:v>6</x:v>
      </x:c>
      <x:c r="D5356" s="12" t="n">
        <x:v>0.20975000000000002</x:v>
      </x:c>
      <x:c r="E5356" s="12" t="n">
        <x:v>0.22075000000000003</x:v>
      </x:c>
      <x:c r="F5356" s="12" t="n">
        <x:v>0</x:v>
      </x:c>
      <x:c r="G5356" s="12" t="n">
        <x:v>0</x:v>
      </x:c>
      <x:c r="H5356" s="1" t="n">
        <x:f>'Historical prices'!E5356</x:f>
        <x:v>1.05</x:v>
      </x:c>
      <x:c r="I5356" s="6" t="n">
        <x:f>'Historical prices'!D5356</x:f>
        <x:v>0.23120000000000002</x:v>
      </x:c>
      <x:c r="J5356" s="13" t="n">
        <x:f>D5356*I5356*H5356</x:f>
        <x:v>0.05091891000000001</x:v>
      </x:c>
      <x:c r="K5356" s="13" t="n">
        <x:f>E5356*I5356*H5356</x:f>
        <x:v>0.053589270000000015</x:v>
      </x:c>
      <x:c r="L5356" s="1" t="str">
        <x:f>TEXT(A5356,"mmm yyyy")</x:f>
        <x:v>Aug 2026</x:v>
      </x:c>
    </x:row>
    <x:row r="5357" ht="21" customHeight="1">
      <x:c r="A5357" s="10" t="n">
        <x:v>46260</x:v>
      </x:c>
      <x:c r="B5357" s="1" t="n">
        <x:v>2.5</x:v>
      </x:c>
      <x:c r="C5357" s="1" t="n">
        <x:v>6</x:v>
      </x:c>
      <x:c r="D5357" s="12" t="n">
        <x:v>0.25875</x:v>
      </x:c>
      <x:c r="E5357" s="12" t="n">
        <x:v>0.26875</x:v>
      </x:c>
      <x:c r="F5357" s="12" t="n">
        <x:v>0</x:v>
      </x:c>
      <x:c r="G5357" s="12" t="n">
        <x:v>0</x:v>
      </x:c>
      <x:c r="H5357" s="1" t="n">
        <x:f>'Historical prices'!E5357</x:f>
        <x:v>1.05</x:v>
      </x:c>
      <x:c r="I5357" s="6" t="n">
        <x:f>'Historical prices'!D5357</x:f>
        <x:v>0.23120000000000002</x:v>
      </x:c>
      <x:c r="J5357" s="13" t="n">
        <x:f>D5357*I5357*H5357</x:f>
        <x:v>0.06281415</x:v>
      </x:c>
      <x:c r="K5357" s="13" t="n">
        <x:f>E5357*I5357*H5357</x:f>
        <x:v>0.06524175</x:v>
      </x:c>
      <x:c r="L5357" s="1" t="str">
        <x:f>TEXT(A5357,"mmm yyyy")</x:f>
        <x:v>Aug 2026</x:v>
      </x:c>
    </x:row>
    <x:row r="5358" ht="21" customHeight="1">
      <x:c r="A5358" s="10" t="n">
        <x:v>46260</x:v>
      </x:c>
      <x:c r="B5358" s="1" t="n">
        <x:v>3</x:v>
      </x:c>
      <x:c r="C5358" s="1" t="n">
        <x:v>6</x:v>
      </x:c>
      <x:c r="D5358" s="12" t="n">
        <x:v>0.22500000000000003</x:v>
      </x:c>
      <x:c r="E5358" s="12" t="n">
        <x:v>0.23600000000000002</x:v>
      </x:c>
      <x:c r="F5358" s="12" t="n">
        <x:v>0</x:v>
      </x:c>
      <x:c r="G5358" s="12" t="n">
        <x:v>0</x:v>
      </x:c>
      <x:c r="H5358" s="1" t="n">
        <x:f>'Historical prices'!E5358</x:f>
        <x:v>1.05</x:v>
      </x:c>
      <x:c r="I5358" s="6" t="n">
        <x:f>'Historical prices'!D5358</x:f>
        <x:v>0.2343</x:v>
      </x:c>
      <x:c r="J5358" s="13" t="n">
        <x:f>D5358*I5358*H5358</x:f>
        <x:v>0.05535337500000001</x:v>
      </x:c>
      <x:c r="K5358" s="13" t="n">
        <x:f>E5358*I5358*H5358</x:f>
        <x:v>0.05805954000000001</x:v>
      </x:c>
      <x:c r="L5358" s="1" t="str">
        <x:f>TEXT(A5358,"mmm yyyy")</x:f>
        <x:v>Aug 2026</x:v>
      </x:c>
    </x:row>
    <x:row r="5359" ht="21" customHeight="1">
      <x:c r="A5359" s="10" t="n">
        <x:v>46260</x:v>
      </x:c>
      <x:c r="B5359" s="1" t="n">
        <x:v>3.5</x:v>
      </x:c>
      <x:c r="C5359" s="1" t="n">
        <x:v>6</x:v>
      </x:c>
      <x:c r="D5359" s="12" t="n">
        <x:v>0.21200000000000002</x:v>
      </x:c>
      <x:c r="E5359" s="12" t="n">
        <x:v>0.222</x:v>
      </x:c>
      <x:c r="F5359" s="12" t="n">
        <x:v>0</x:v>
      </x:c>
      <x:c r="G5359" s="12" t="n">
        <x:v>0</x:v>
      </x:c>
      <x:c r="H5359" s="1" t="n">
        <x:f>'Historical prices'!E5359</x:f>
        <x:v>1.05</x:v>
      </x:c>
      <x:c r="I5359" s="6" t="n">
        <x:f>'Historical prices'!D5359</x:f>
        <x:v>0.23120000000000002</x:v>
      </x:c>
      <x:c r="J5359" s="13" t="n">
        <x:f>D5359*I5359*H5359</x:f>
        <x:v>0.05146512000000001</x:v>
      </x:c>
      <x:c r="K5359" s="13" t="n">
        <x:f>E5359*I5359*H5359</x:f>
        <x:v>0.053892720000000005</x:v>
      </x:c>
      <x:c r="L5359" s="1" t="str">
        <x:f>TEXT(A5359,"mmm yyyy")</x:f>
        <x:v>Aug 2026</x:v>
      </x:c>
    </x:row>
    <x:row r="5360" ht="21" customHeight="1">
      <x:c r="A5360" s="10" t="n">
        <x:v>46260</x:v>
      </x:c>
      <x:c r="B5360" s="1" t="n">
        <x:v>4</x:v>
      </x:c>
      <x:c r="C5360" s="1" t="n">
        <x:v>6</x:v>
      </x:c>
      <x:c r="D5360" s="12" t="n">
        <x:v>0.17675</x:v>
      </x:c>
      <x:c r="E5360" s="12" t="n">
        <x:v>0.18675</x:v>
      </x:c>
      <x:c r="F5360" s="12" t="n">
        <x:v>0</x:v>
      </x:c>
      <x:c r="G5360" s="12" t="n">
        <x:v>0</x:v>
      </x:c>
      <x:c r="H5360" s="1" t="n">
        <x:f>'Historical prices'!E5360</x:f>
        <x:v>1.05</x:v>
      </x:c>
      <x:c r="I5360" s="6" t="n">
        <x:f>'Historical prices'!D5360</x:f>
        <x:v>0.2369</x:v>
      </x:c>
      <x:c r="J5360" s="13" t="n">
        <x:f>D5360*I5360*H5360</x:f>
        <x:v>0.043965678749999994</x:v>
      </x:c>
      <x:c r="K5360" s="13" t="n">
        <x:f>E5360*I5360*H5360</x:f>
        <x:v>0.04645312875</x:v>
      </x:c>
      <x:c r="L5360" s="1" t="str">
        <x:f>TEXT(A5360,"mmm yyyy")</x:f>
        <x:v>Aug 2026</x:v>
      </x:c>
    </x:row>
    <x:row r="5361" ht="21" customHeight="1">
      <x:c r="A5361" s="10" t="n">
        <x:v>46260</x:v>
      </x:c>
      <x:c r="B5361" s="1" t="n">
        <x:v>4.5</x:v>
      </x:c>
      <x:c r="C5361" s="1" t="n">
        <x:v>6</x:v>
      </x:c>
      <x:c r="D5361" s="12" t="n">
        <x:v>0.161</x:v>
      </x:c>
      <x:c r="E5361" s="12" t="n">
        <x:v>0.172</x:v>
      </x:c>
      <x:c r="F5361" s="12" t="n">
        <x:v>0</x:v>
      </x:c>
      <x:c r="G5361" s="12" t="n">
        <x:v>0</x:v>
      </x:c>
      <x:c r="H5361" s="1" t="n">
        <x:f>'Historical prices'!E5361</x:f>
        <x:v>1.05</x:v>
      </x:c>
      <x:c r="I5361" s="6" t="n">
        <x:f>'Historical prices'!D5361</x:f>
        <x:v>0.23329999999999998</x:v>
      </x:c>
      <x:c r="J5361" s="13" t="n">
        <x:f>D5361*I5361*H5361</x:f>
        <x:v>0.039439365</x:v>
      </x:c>
      <x:c r="K5361" s="13" t="n">
        <x:f>E5361*I5361*H5361</x:f>
        <x:v>0.042133979999999994</x:v>
      </x:c>
      <x:c r="L5361" s="1" t="str">
        <x:f>TEXT(A5361,"mmm yyyy")</x:f>
        <x:v>Aug 2026</x:v>
      </x:c>
    </x:row>
    <x:row r="5362" ht="21" customHeight="1">
      <x:c r="A5362" s="10" t="n">
        <x:v>46260</x:v>
      </x:c>
      <x:c r="B5362" s="1" t="n">
        <x:v>5</x:v>
      </x:c>
      <x:c r="C5362" s="1" t="n">
        <x:v>6</x:v>
      </x:c>
      <x:c r="D5362" s="12" t="n">
        <x:v>0.2485</x:v>
      </x:c>
      <x:c r="E5362" s="12" t="n">
        <x:v>0.2585</x:v>
      </x:c>
      <x:c r="F5362" s="12" t="n">
        <x:v>0</x:v>
      </x:c>
      <x:c r="G5362" s="12" t="n">
        <x:v>0</x:v>
      </x:c>
      <x:c r="H5362" s="1" t="n">
        <x:f>'Historical prices'!E5362</x:f>
        <x:v>1.05</x:v>
      </x:c>
      <x:c r="I5362" s="6" t="n">
        <x:f>'Historical prices'!D5362</x:f>
        <x:v>0.2668</x:v>
      </x:c>
      <x:c r="J5362" s="13" t="n">
        <x:f>D5362*I5362*H5362</x:f>
        <x:v>0.06961479</x:v>
      </x:c>
      <x:c r="K5362" s="13" t="n">
        <x:f>E5362*I5362*H5362</x:f>
        <x:v>0.07241619</x:v>
      </x:c>
      <x:c r="L5362" s="1" t="str">
        <x:f>TEXT(A5362,"mmm yyyy")</x:f>
        <x:v>Aug 2026</x:v>
      </x:c>
    </x:row>
    <x:row r="5363" ht="21" customHeight="1">
      <x:c r="A5363" s="10" t="n">
        <x:v>46260</x:v>
      </x:c>
      <x:c r="B5363" s="1" t="n">
        <x:v>5.5</x:v>
      </x:c>
      <x:c r="C5363" s="1" t="n">
        <x:v>6</x:v>
      </x:c>
      <x:c r="D5363" s="12" t="n">
        <x:v>0.03525</x:v>
      </x:c>
      <x:c r="E5363" s="12" t="n">
        <x:v>0.2594166666666667</x:v>
      </x:c>
      <x:c r="F5363" s="12" t="n">
        <x:v>0.20683333333333334</x:v>
      </x:c>
      <x:c r="G5363" s="12" t="n">
        <x:v>0</x:v>
      </x:c>
      <x:c r="H5363" s="1" t="n">
        <x:f>'Historical prices'!E5363</x:f>
        <x:v>1.05</x:v>
      </x:c>
      <x:c r="I5363" s="6" t="n">
        <x:f>'Historical prices'!D5363</x:f>
        <x:v>0.2842</x:v>
      </x:c>
      <x:c r="J5363" s="13" t="n">
        <x:f>D5363*I5363*H5363</x:f>
        <x:v>0.0105189525</x:v>
      </x:c>
      <x:c r="K5363" s="13" t="n">
        <x:f>E5363*I5363*H5363</x:f>
        <x:v>0.07741252750000001</x:v>
      </x:c>
      <x:c r="L5363" s="1" t="str">
        <x:f>TEXT(A5363,"mmm yyyy")</x:f>
        <x:v>Aug 2026</x:v>
      </x:c>
    </x:row>
    <x:row r="5364" ht="21" customHeight="1">
      <x:c r="A5364" s="10" t="n">
        <x:v>46260</x:v>
      </x:c>
      <x:c r="B5364" s="1" t="n">
        <x:v>6</x:v>
      </x:c>
      <x:c r="C5364" s="1" t="n">
        <x:v>6</x:v>
      </x:c>
      <x:c r="D5364" s="12" t="n">
        <x:v>0</x:v>
      </x:c>
      <x:c r="E5364" s="12" t="n">
        <x:v>0.29366666666666663</x:v>
      </x:c>
      <x:c r="F5364" s="12" t="n">
        <x:v>0.29033333333333333</x:v>
      </x:c>
      <x:c r="G5364" s="12" t="n">
        <x:v>0</x:v>
      </x:c>
      <x:c r="H5364" s="1" t="n">
        <x:f>'Historical prices'!E5364</x:f>
        <x:v>1.05</x:v>
      </x:c>
      <x:c r="I5364" s="6" t="n">
        <x:f>'Historical prices'!D5364</x:f>
        <x:v>0.2837</x:v>
      </x:c>
      <x:c r="J5364" s="13" t="n">
        <x:f>D5364*I5364*H5364</x:f>
        <x:v>0</x:v>
      </x:c>
      <x:c r="K5364" s="13" t="n">
        <x:f>E5364*I5364*H5364</x:f>
        <x:v>0.08747889499999999</x:v>
      </x:c>
      <x:c r="L5364" s="1" t="str">
        <x:f>TEXT(A5364,"mmm yyyy")</x:f>
        <x:v>Aug 2026</x:v>
      </x:c>
    </x:row>
    <x:row r="5365" ht="21" customHeight="1">
      <x:c r="A5365" s="10" t="n">
        <x:v>46260</x:v>
      </x:c>
      <x:c r="B5365" s="1" t="n">
        <x:v>6.5</x:v>
      </x:c>
      <x:c r="C5365" s="1" t="n">
        <x:v>6</x:v>
      </x:c>
      <x:c r="D5365" s="12" t="n">
        <x:v>0</x:v>
      </x:c>
      <x:c r="E5365" s="12" t="n">
        <x:v>0.6290833333333334</x:v>
      </x:c>
      <x:c r="F5365" s="12" t="n">
        <x:v>0.6286666666666667</x:v>
      </x:c>
      <x:c r="G5365" s="12" t="n">
        <x:v>0</x:v>
      </x:c>
      <x:c r="H5365" s="1" t="n">
        <x:f>'Historical prices'!E5365</x:f>
        <x:v>1.05</x:v>
      </x:c>
      <x:c r="I5365" s="6" t="n">
        <x:f>'Historical prices'!D5365</x:f>
        <x:v>0.308</x:v>
      </x:c>
      <x:c r="J5365" s="13" t="n">
        <x:f>D5365*I5365*H5365</x:f>
        <x:v>0</x:v>
      </x:c>
      <x:c r="K5365" s="13" t="n">
        <x:f>E5365*I5365*H5365</x:f>
        <x:v>0.20344555000000003</x:v>
      </x:c>
      <x:c r="L5365" s="1" t="str">
        <x:f>TEXT(A5365,"mmm yyyy")</x:f>
        <x:v>Aug 2026</x:v>
      </x:c>
    </x:row>
    <x:row r="5366" ht="21" customHeight="1">
      <x:c r="A5366" s="10" t="n">
        <x:v>46260</x:v>
      </x:c>
      <x:c r="B5366" s="1" t="n">
        <x:v>7</x:v>
      </x:c>
      <x:c r="C5366" s="1" t="n">
        <x:v>6</x:v>
      </x:c>
      <x:c r="D5366" s="12" t="n">
        <x:v>0</x:v>
      </x:c>
      <x:c r="E5366" s="12" t="n">
        <x:v>0.8218333333333333</x:v>
      </x:c>
      <x:c r="F5366" s="12" t="n">
        <x:v>0.82125</x:v>
      </x:c>
      <x:c r="G5366" s="12" t="n">
        <x:v>0</x:v>
      </x:c>
      <x:c r="H5366" s="1" t="n">
        <x:f>'Historical prices'!E5366</x:f>
        <x:v>1.05</x:v>
      </x:c>
      <x:c r="I5366" s="6" t="n">
        <x:f>'Historical prices'!D5366</x:f>
        <x:v>0.3106</x:v>
      </x:c>
      <x:c r="J5366" s="13" t="n">
        <x:f>D5366*I5366*H5366</x:f>
        <x:v>0</x:v>
      </x:c>
      <x:c r="K5366" s="13" t="n">
        <x:f>E5366*I5366*H5366</x:f>
        <x:v>0.26802450499999997</x:v>
      </x:c>
      <x:c r="L5366" s="1" t="str">
        <x:f>TEXT(A5366,"mmm yyyy")</x:f>
        <x:v>Aug 2026</x:v>
      </x:c>
    </x:row>
    <x:row r="5367" ht="21" customHeight="1">
      <x:c r="A5367" s="10" t="n">
        <x:v>46260</x:v>
      </x:c>
      <x:c r="B5367" s="1" t="n">
        <x:v>7.5</x:v>
      </x:c>
      <x:c r="C5367" s="1" t="n">
        <x:v>6</x:v>
      </x:c>
      <x:c r="D5367" s="12" t="n">
        <x:v>0</x:v>
      </x:c>
      <x:c r="E5367" s="12" t="n">
        <x:v>0.6035</x:v>
      </x:c>
      <x:c r="F5367" s="12" t="n">
        <x:v>0.603</x:v>
      </x:c>
      <x:c r="G5367" s="12" t="n">
        <x:v>0</x:v>
      </x:c>
      <x:c r="H5367" s="1" t="n">
        <x:f>'Historical prices'!E5367</x:f>
        <x:v>1.05</x:v>
      </x:c>
      <x:c r="I5367" s="6" t="n">
        <x:f>'Historical prices'!D5367</x:f>
        <x:v>0.3178</x:v>
      </x:c>
      <x:c r="J5367" s="13" t="n">
        <x:f>D5367*I5367*H5367</x:f>
        <x:v>0</x:v>
      </x:c>
      <x:c r="K5367" s="13" t="n">
        <x:f>E5367*I5367*H5367</x:f>
        <x:v>0.20138191500000005</x:v>
      </x:c>
      <x:c r="L5367" s="1" t="str">
        <x:f>TEXT(A5367,"mmm yyyy")</x:f>
        <x:v>Aug 2026</x:v>
      </x:c>
    </x:row>
    <x:row r="5368" ht="21" customHeight="1">
      <x:c r="A5368" s="10" t="n">
        <x:v>46260</x:v>
      </x:c>
      <x:c r="B5368" s="1" t="n">
        <x:v>8</x:v>
      </x:c>
      <x:c r="C5368" s="1" t="n">
        <x:v>6</x:v>
      </x:c>
      <x:c r="D5368" s="12" t="n">
        <x:v>0.38375000000000004</x:v>
      </x:c>
      <x:c r="E5368" s="12" t="n">
        <x:v>0.49200000000000005</x:v>
      </x:c>
      <x:c r="F5368" s="12" t="n">
        <x:v>0.097</x:v>
      </x:c>
      <x:c r="G5368" s="12" t="n">
        <x:v>0</x:v>
      </x:c>
      <x:c r="H5368" s="1" t="n">
        <x:f>'Historical prices'!E5368</x:f>
        <x:v>1.05</x:v>
      </x:c>
      <x:c r="I5368" s="6" t="n">
        <x:f>'Historical prices'!D5368</x:f>
        <x:v>0.2734</x:v>
      </x:c>
      <x:c r="J5368" s="13" t="n">
        <x:f>D5368*I5368*H5368</x:f>
        <x:v>0.11016311250000001</x:v>
      </x:c>
      <x:c r="K5368" s="13" t="n">
        <x:f>E5368*I5368*H5368</x:f>
        <x:v>0.14123844</x:v>
      </x:c>
      <x:c r="L5368" s="1" t="str">
        <x:f>TEXT(A5368,"mmm yyyy")</x:f>
        <x:v>Aug 2026</x:v>
      </x:c>
    </x:row>
    <x:row r="5369" ht="21" customHeight="1">
      <x:c r="A5369" s="10" t="n">
        <x:v>46260</x:v>
      </x:c>
      <x:c r="B5369" s="1" t="n">
        <x:v>8.5</x:v>
      </x:c>
      <x:c r="C5369" s="1" t="n">
        <x:v>6</x:v>
      </x:c>
      <x:c r="D5369" s="12" t="n">
        <x:v>0.0765</x:v>
      </x:c>
      <x:c r="E5369" s="12" t="n">
        <x:v>0.6125</x:v>
      </x:c>
      <x:c r="F5369" s="12" t="n">
        <x:v>0.5333333333333333</x:v>
      </x:c>
      <x:c r="G5369" s="12" t="n">
        <x:v>0</x:v>
      </x:c>
      <x:c r="H5369" s="1" t="n">
        <x:f>'Historical prices'!E5369</x:f>
        <x:v>1.05</x:v>
      </x:c>
      <x:c r="I5369" s="6" t="n">
        <x:f>'Historical prices'!D5369</x:f>
        <x:v>0.2799</x:v>
      </x:c>
      <x:c r="J5369" s="13" t="n">
        <x:f>D5369*I5369*H5369</x:f>
        <x:v>0.022482967499999996</x:v>
      </x:c>
      <x:c r="K5369" s="13" t="n">
        <x:f>E5369*I5369*H5369</x:f>
        <x:v>0.18001068750000002</x:v>
      </x:c>
      <x:c r="L5369" s="1" t="str">
        <x:f>TEXT(A5369,"mmm yyyy")</x:f>
        <x:v>Aug 2026</x:v>
      </x:c>
    </x:row>
    <x:row r="5370" ht="21" customHeight="1">
      <x:c r="A5370" s="10" t="n">
        <x:v>46260</x:v>
      </x:c>
      <x:c r="B5370" s="1" t="n">
        <x:v>9</x:v>
      </x:c>
      <x:c r="C5370" s="1" t="n">
        <x:v>6</x:v>
      </x:c>
      <x:c r="D5370" s="12" t="n">
        <x:v>0</x:v>
      </x:c>
      <x:c r="E5370" s="12" t="n">
        <x:v>0.6672499999999999</x:v>
      </x:c>
      <x:c r="F5370" s="12" t="n">
        <x:v>0.6624166666666667</x:v>
      </x:c>
      <x:c r="G5370" s="12" t="n">
        <x:v>0</x:v>
      </x:c>
      <x:c r="H5370" s="1" t="n">
        <x:f>'Historical prices'!E5370</x:f>
        <x:v>1.05</x:v>
      </x:c>
      <x:c r="I5370" s="6" t="n">
        <x:f>'Historical prices'!D5370</x:f>
        <x:v>0.2781</x:v>
      </x:c>
      <x:c r="J5370" s="13" t="n">
        <x:f>D5370*I5370*H5370</x:f>
        <x:v>0</x:v>
      </x:c>
      <x:c r="K5370" s="13" t="n">
        <x:f>E5370*I5370*H5370</x:f>
        <x:v>0.19484033624999997</x:v>
      </x:c>
      <x:c r="L5370" s="1" t="str">
        <x:f>TEXT(A5370,"mmm yyyy")</x:f>
        <x:v>Aug 2026</x:v>
      </x:c>
    </x:row>
    <x:row r="5371" ht="21" customHeight="1">
      <x:c r="A5371" s="10" t="n">
        <x:v>46260</x:v>
      </x:c>
      <x:c r="B5371" s="1" t="n">
        <x:v>9.5</x:v>
      </x:c>
      <x:c r="C5371" s="1" t="n">
        <x:v>6</x:v>
      </x:c>
      <x:c r="D5371" s="12" t="n">
        <x:v>0.38675</x:v>
      </x:c>
      <x:c r="E5371" s="12" t="n">
        <x:v>0.48175</x:v>
      </x:c>
      <x:c r="F5371" s="12" t="n">
        <x:v>0.085</x:v>
      </x:c>
      <x:c r="G5371" s="12" t="n">
        <x:v>0</x:v>
      </x:c>
      <x:c r="H5371" s="1" t="n">
        <x:f>'Historical prices'!E5371</x:f>
        <x:v>1.05</x:v>
      </x:c>
      <x:c r="I5371" s="6" t="n">
        <x:f>'Historical prices'!D5371</x:f>
        <x:v>0.2737</x:v>
      </x:c>
      <x:c r="J5371" s="13" t="n">
        <x:f>D5371*I5371*H5371</x:f>
        <x:v>0.11114614874999999</x:v>
      </x:c>
      <x:c r="K5371" s="13" t="n">
        <x:f>E5371*I5371*H5371</x:f>
        <x:v>0.13844772375000003</x:v>
      </x:c>
      <x:c r="L5371" s="1" t="str">
        <x:f>TEXT(A5371,"mmm yyyy")</x:f>
        <x:v>Aug 2026</x:v>
      </x:c>
    </x:row>
    <x:row r="5372" ht="21" customHeight="1">
      <x:c r="A5372" s="10" t="n">
        <x:v>46260</x:v>
      </x:c>
      <x:c r="B5372" s="1" t="n">
        <x:v>10</x:v>
      </x:c>
      <x:c r="C5372" s="1" t="n">
        <x:v>6</x:v>
      </x:c>
      <x:c r="D5372" s="12" t="n">
        <x:v>0.07725</x:v>
      </x:c>
      <x:c r="E5372" s="12" t="n">
        <x:v>0.5910000000000001</x:v>
      </x:c>
      <x:c r="F5372" s="12" t="n">
        <x:v>0.51025</x:v>
      </x:c>
      <x:c r="G5372" s="12" t="n">
        <x:v>0</x:v>
      </x:c>
      <x:c r="H5372" s="1" t="n">
        <x:f>'Historical prices'!E5372</x:f>
        <x:v>1.05</x:v>
      </x:c>
      <x:c r="I5372" s="6" t="n">
        <x:f>'Historical prices'!D5372</x:f>
        <x:v>0.2884</x:v>
      </x:c>
      <x:c r="J5372" s="13" t="n">
        <x:f>D5372*I5372*H5372</x:f>
        <x:v>0.023392845</x:v>
      </x:c>
      <x:c r="K5372" s="13" t="n">
        <x:f>E5372*I5372*H5372</x:f>
        <x:v>0.17896662000000002</x:v>
      </x:c>
      <x:c r="L5372" s="1" t="str">
        <x:f>TEXT(A5372,"mmm yyyy")</x:f>
        <x:v>Aug 2026</x:v>
      </x:c>
    </x:row>
    <x:row r="5373" ht="21" customHeight="1">
      <x:c r="A5373" s="10" t="n">
        <x:v>46260</x:v>
      </x:c>
      <x:c r="B5373" s="1" t="n">
        <x:v>10.5</x:v>
      </x:c>
      <x:c r="C5373" s="1" t="n">
        <x:v>6</x:v>
      </x:c>
      <x:c r="D5373" s="12" t="n">
        <x:v>0.41724999999999995</x:v>
      </x:c>
      <x:c r="E5373" s="12" t="n">
        <x:v>0.5225833333333334</x:v>
      </x:c>
      <x:c r="F5373" s="12" t="n">
        <x:v>0.095</x:v>
      </x:c>
      <x:c r="G5373" s="12" t="n">
        <x:v>0</x:v>
      </x:c>
      <x:c r="H5373" s="1" t="n">
        <x:f>'Historical prices'!E5373</x:f>
        <x:v>1.05</x:v>
      </x:c>
      <x:c r="I5373" s="6" t="n">
        <x:f>'Historical prices'!D5373</x:f>
        <x:v>0.26839999999999997</x:v>
      </x:c>
      <x:c r="J5373" s="13" t="n">
        <x:f>D5373*I5373*H5373</x:f>
        <x:v>0.11758939499999999</x:v>
      </x:c>
      <x:c r="K5373" s="13" t="n">
        <x:f>E5373*I5373*H5373</x:f>
        <x:v>0.147274435</x:v>
      </x:c>
      <x:c r="L5373" s="1" t="str">
        <x:f>TEXT(A5373,"mmm yyyy")</x:f>
        <x:v>Aug 2026</x:v>
      </x:c>
    </x:row>
    <x:row r="5374" ht="21" customHeight="1">
      <x:c r="A5374" s="10" t="n">
        <x:v>46260</x:v>
      </x:c>
      <x:c r="B5374" s="1" t="n">
        <x:v>11</x:v>
      </x:c>
      <x:c r="C5374" s="1" t="n">
        <x:v>6</x:v>
      </x:c>
      <x:c r="D5374" s="12" t="n">
        <x:v>0.47875</x:v>
      </x:c>
      <x:c r="E5374" s="12" t="n">
        <x:v>0.49075</x:v>
      </x:c>
      <x:c r="F5374" s="12" t="n">
        <x:v>0</x:v>
      </x:c>
      <x:c r="G5374" s="12" t="n">
        <x:v>0</x:v>
      </x:c>
      <x:c r="H5374" s="1" t="n">
        <x:f>'Historical prices'!E5374</x:f>
        <x:v>1.05</x:v>
      </x:c>
      <x:c r="I5374" s="6" t="n">
        <x:f>'Historical prices'!D5374</x:f>
        <x:v>0.2636</x:v>
      </x:c>
      <x:c r="J5374" s="13" t="n">
        <x:f>D5374*I5374*H5374</x:f>
        <x:v>0.13250842499999999</x:v>
      </x:c>
      <x:c r="K5374" s="13" t="n">
        <x:f>E5374*I5374*H5374</x:f>
        <x:v>0.135829785</x:v>
      </x:c>
      <x:c r="L5374" s="1" t="str">
        <x:f>TEXT(A5374,"mmm yyyy")</x:f>
        <x:v>Aug 2026</x:v>
      </x:c>
    </x:row>
    <x:row r="5375" ht="21" customHeight="1">
      <x:c r="A5375" s="10" t="n">
        <x:v>46260</x:v>
      </x:c>
      <x:c r="B5375" s="1" t="n">
        <x:v>11.5</x:v>
      </x:c>
      <x:c r="C5375" s="1" t="n">
        <x:v>6</x:v>
      </x:c>
      <x:c r="D5375" s="12" t="n">
        <x:v>0.5239999999999999</x:v>
      </x:c>
      <x:c r="E5375" s="12" t="n">
        <x:v>0.5349999999999999</x:v>
      </x:c>
      <x:c r="F5375" s="12" t="n">
        <x:v>0</x:v>
      </x:c>
      <x:c r="G5375" s="12" t="n">
        <x:v>0</x:v>
      </x:c>
      <x:c r="H5375" s="1" t="n">
        <x:f>'Historical prices'!E5375</x:f>
        <x:v>1.05</x:v>
      </x:c>
      <x:c r="I5375" s="6" t="n">
        <x:f>'Historical prices'!D5375</x:f>
        <x:v>0.24480000000000002</x:v>
      </x:c>
      <x:c r="J5375" s="13" t="n">
        <x:f>D5375*I5375*H5375</x:f>
        <x:v>0.13468896</x:v>
      </x:c>
      <x:c r="K5375" s="13" t="n">
        <x:f>E5375*I5375*H5375</x:f>
        <x:v>0.1375164</x:v>
      </x:c>
      <x:c r="L5375" s="1" t="str">
        <x:f>TEXT(A5375,"mmm yyyy")</x:f>
        <x:v>Aug 2026</x:v>
      </x:c>
    </x:row>
    <x:row r="5376" ht="21" customHeight="1">
      <x:c r="A5376" s="10" t="n">
        <x:v>46260</x:v>
      </x:c>
      <x:c r="B5376" s="1" t="n">
        <x:v>12</x:v>
      </x:c>
      <x:c r="C5376" s="1" t="n">
        <x:v>6</x:v>
      </x:c>
      <x:c r="D5376" s="12" t="n">
        <x:v>0.57425</x:v>
      </x:c>
      <x:c r="E5376" s="12" t="n">
        <x:v>0.58425</x:v>
      </x:c>
      <x:c r="F5376" s="12" t="n">
        <x:v>0</x:v>
      </x:c>
      <x:c r="G5376" s="12" t="n">
        <x:v>0</x:v>
      </x:c>
      <x:c r="H5376" s="1" t="n">
        <x:f>'Historical prices'!E5376</x:f>
        <x:v>1.05</x:v>
      </x:c>
      <x:c r="I5376" s="6" t="n">
        <x:f>'Historical prices'!D5376</x:f>
        <x:v>0.2309</x:v>
      </x:c>
      <x:c r="J5376" s="13" t="n">
        <x:f>D5376*I5376*H5376</x:f>
        <x:v>0.13922404125</x:v>
      </x:c>
      <x:c r="K5376" s="13" t="n">
        <x:f>E5376*I5376*H5376</x:f>
        <x:v>0.14164849125000004</x:v>
      </x:c>
      <x:c r="L5376" s="1" t="str">
        <x:f>TEXT(A5376,"mmm yyyy")</x:f>
        <x:v>Aug 2026</x:v>
      </x:c>
    </x:row>
    <x:row r="5377" ht="21" customHeight="1">
      <x:c r="A5377" s="10" t="n">
        <x:v>46260</x:v>
      </x:c>
      <x:c r="B5377" s="1" t="n">
        <x:v>12.5</x:v>
      </x:c>
      <x:c r="C5377" s="1" t="n">
        <x:v>6</x:v>
      </x:c>
      <x:c r="D5377" s="12" t="n">
        <x:v>0.4645</x:v>
      </x:c>
      <x:c r="E5377" s="12" t="n">
        <x:v>0.47450000000000003</x:v>
      </x:c>
      <x:c r="F5377" s="12" t="n">
        <x:v>0</x:v>
      </x:c>
      <x:c r="G5377" s="12" t="n">
        <x:v>0</x:v>
      </x:c>
      <x:c r="H5377" s="1" t="n">
        <x:f>'Historical prices'!E5377</x:f>
        <x:v>1.05</x:v>
      </x:c>
      <x:c r="I5377" s="6" t="n">
        <x:f>'Historical prices'!D5377</x:f>
        <x:v>0.22820000000000001</x:v>
      </x:c>
      <x:c r="J5377" s="13" t="n">
        <x:f>D5377*I5377*H5377</x:f>
        <x:v>0.11129884500000001</x:v>
      </x:c>
      <x:c r="K5377" s="13" t="n">
        <x:f>E5377*I5377*H5377</x:f>
        <x:v>0.11369494500000002</x:v>
      </x:c>
      <x:c r="L5377" s="1" t="str">
        <x:f>TEXT(A5377,"mmm yyyy")</x:f>
        <x:v>Aug 2026</x:v>
      </x:c>
    </x:row>
    <x:row r="5378" ht="21" customHeight="1">
      <x:c r="A5378" s="10" t="n">
        <x:v>46260</x:v>
      </x:c>
      <x:c r="B5378" s="1" t="n">
        <x:v>13</x:v>
      </x:c>
      <x:c r="C5378" s="1" t="n">
        <x:v>6</x:v>
      </x:c>
      <x:c r="D5378" s="12" t="n">
        <x:v>0.5900000000000001</x:v>
      </x:c>
      <x:c r="E5378" s="12" t="n">
        <x:v>0.601</x:v>
      </x:c>
      <x:c r="F5378" s="12" t="n">
        <x:v>0</x:v>
      </x:c>
      <x:c r="G5378" s="12" t="n">
        <x:v>0</x:v>
      </x:c>
      <x:c r="H5378" s="1" t="n">
        <x:f>'Historical prices'!E5378</x:f>
        <x:v>1.05</x:v>
      </x:c>
      <x:c r="I5378" s="6" t="n">
        <x:f>'Historical prices'!D5378</x:f>
        <x:v>0.2289</x:v>
      </x:c>
      <x:c r="J5378" s="13" t="n">
        <x:f>D5378*I5378*H5378</x:f>
        <x:v>0.14180355</x:v>
      </x:c>
      <x:c r="K5378" s="13" t="n">
        <x:f>E5378*I5378*H5378</x:f>
        <x:v>0.144447345</x:v>
      </x:c>
      <x:c r="L5378" s="1" t="str">
        <x:f>TEXT(A5378,"mmm yyyy")</x:f>
        <x:v>Aug 2026</x:v>
      </x:c>
    </x:row>
    <x:row r="5379" ht="21" customHeight="1">
      <x:c r="A5379" s="10" t="n">
        <x:v>46260</x:v>
      </x:c>
      <x:c r="B5379" s="1" t="n">
        <x:v>13.5</x:v>
      </x:c>
      <x:c r="C5379" s="1" t="n">
        <x:v>6</x:v>
      </x:c>
      <x:c r="D5379" s="12" t="n">
        <x:v>4.8165</x:v>
      </x:c>
      <x:c r="E5379" s="12" t="n">
        <x:v>0.9145</x:v>
      </x:c>
      <x:c r="F5379" s="12" t="n">
        <x:v>0</x:v>
      </x:c>
      <x:c r="G5379" s="12" t="n">
        <x:v>3.9040000000000004</x:v>
      </x:c>
      <x:c r="H5379" s="1" t="n">
        <x:f>'Historical prices'!E5379</x:f>
        <x:v>1.05</x:v>
      </x:c>
      <x:c r="I5379" s="6" t="n">
        <x:f>'Historical prices'!D5379</x:f>
        <x:v>0.2186</x:v>
      </x:c>
      <x:c r="J5379" s="13" t="n">
        <x:f>D5379*I5379*H5379</x:f>
        <x:v>1.1055312449999999</x:v>
      </x:c>
      <x:c r="K5379" s="13" t="n">
        <x:f>E5379*I5379*H5379</x:f>
        <x:v>0.209905185</x:v>
      </x:c>
      <x:c r="L5379" s="1" t="str">
        <x:f>TEXT(A5379,"mmm yyyy")</x:f>
        <x:v>Aug 2026</x:v>
      </x:c>
    </x:row>
    <x:row r="5380" ht="21" customHeight="1">
      <x:c r="A5380" s="10" t="n">
        <x:v>46260</x:v>
      </x:c>
      <x:c r="B5380" s="1" t="n">
        <x:v>14</x:v>
      </x:c>
      <x:c r="C5380" s="1" t="n">
        <x:v>6</x:v>
      </x:c>
      <x:c r="D5380" s="12" t="n">
        <x:v>1.46025</x:v>
      </x:c>
      <x:c r="E5380" s="12" t="n">
        <x:v>0.71225</x:v>
      </x:c>
      <x:c r="F5380" s="12" t="n">
        <x:v>0</x:v>
      </x:c>
      <x:c r="G5380" s="12" t="n">
        <x:v>0.75</x:v>
      </x:c>
      <x:c r="H5380" s="1" t="n">
        <x:f>'Historical prices'!E5380</x:f>
        <x:v>1.05</x:v>
      </x:c>
      <x:c r="I5380" s="6" t="n">
        <x:f>'Historical prices'!D5380</x:f>
        <x:v>0.2298</x:v>
      </x:c>
      <x:c r="J5380" s="13" t="n">
        <x:f>D5380*I5380*H5380</x:f>
        <x:v>0.35234372250000007</x:v>
      </x:c>
      <x:c r="K5380" s="13" t="n">
        <x:f>E5380*I5380*H5380</x:f>
        <x:v>0.17185880250000002</x:v>
      </x:c>
      <x:c r="L5380" s="1" t="str">
        <x:f>TEXT(A5380,"mmm yyyy")</x:f>
        <x:v>Aug 2026</x:v>
      </x:c>
    </x:row>
    <x:row r="5381" ht="21" customHeight="1">
      <x:c r="A5381" s="10" t="n">
        <x:v>46260</x:v>
      </x:c>
      <x:c r="B5381" s="1" t="n">
        <x:v>14.5</x:v>
      </x:c>
      <x:c r="C5381" s="1" t="n">
        <x:v>6</x:v>
      </x:c>
      <x:c r="D5381" s="12" t="n">
        <x:v>0.61725</x:v>
      </x:c>
      <x:c r="E5381" s="12" t="n">
        <x:v>0.62825</x:v>
      </x:c>
      <x:c r="F5381" s="12" t="n">
        <x:v>0</x:v>
      </x:c>
      <x:c r="G5381" s="12" t="n">
        <x:v>0</x:v>
      </x:c>
      <x:c r="H5381" s="1" t="n">
        <x:f>'Historical prices'!E5381</x:f>
        <x:v>1.05</x:v>
      </x:c>
      <x:c r="I5381" s="6" t="n">
        <x:f>'Historical prices'!D5381</x:f>
        <x:v>0.2351</x:v>
      </x:c>
      <x:c r="J5381" s="13" t="n">
        <x:f>D5381*I5381*H5381</x:f>
        <x:v>0.15237124875</x:v>
      </x:c>
      <x:c r="K5381" s="13" t="n">
        <x:f>E5381*I5381*H5381</x:f>
        <x:v>0.15508665375</x:v>
      </x:c>
      <x:c r="L5381" s="1" t="str">
        <x:f>TEXT(A5381,"mmm yyyy")</x:f>
        <x:v>Aug 2026</x:v>
      </x:c>
    </x:row>
    <x:row r="5382" ht="21" customHeight="1">
      <x:c r="A5382" s="10" t="n">
        <x:v>46260</x:v>
      </x:c>
      <x:c r="B5382" s="1" t="n">
        <x:v>15</x:v>
      </x:c>
      <x:c r="C5382" s="1" t="n">
        <x:v>6</x:v>
      </x:c>
      <x:c r="D5382" s="12" t="n">
        <x:v>2.85375</x:v>
      </x:c>
      <x:c r="E5382" s="12" t="n">
        <x:v>0.83575</x:v>
      </x:c>
      <x:c r="F5382" s="12" t="n">
        <x:v>0</x:v>
      </x:c>
      <x:c r="G5382" s="12" t="n">
        <x:v>2.02</x:v>
      </x:c>
      <x:c r="H5382" s="1" t="n">
        <x:f>'Historical prices'!E5382</x:f>
        <x:v>1.05</x:v>
      </x:c>
      <x:c r="I5382" s="6" t="n">
        <x:f>'Historical prices'!D5382</x:f>
        <x:v>0.2241</x:v>
      </x:c>
      <x:c r="J5382" s="13" t="n">
        <x:f>D5382*I5382*H5382</x:f>
        <x:v>0.67150164375</x:v>
      </x:c>
      <x:c r="K5382" s="13" t="n">
        <x:f>E5382*I5382*H5382</x:f>
        <x:v>0.19665615375</x:v>
      </x:c>
      <x:c r="L5382" s="1" t="str">
        <x:f>TEXT(A5382,"mmm yyyy")</x:f>
        <x:v>Aug 2026</x:v>
      </x:c>
    </x:row>
    <x:row r="5383" ht="21" customHeight="1">
      <x:c r="A5383" s="10" t="n">
        <x:v>46260</x:v>
      </x:c>
      <x:c r="B5383" s="1" t="n">
        <x:v>15.5</x:v>
      </x:c>
      <x:c r="C5383" s="1" t="n">
        <x:v>6</x:v>
      </x:c>
      <x:c r="D5383" s="12" t="n">
        <x:v>0.7962499999999999</x:v>
      </x:c>
      <x:c r="E5383" s="12" t="n">
        <x:v>0.7742499999999999</x:v>
      </x:c>
      <x:c r="F5383" s="12" t="n">
        <x:v>0</x:v>
      </x:c>
      <x:c r="G5383" s="12" t="n">
        <x:v>0.031</x:v>
      </x:c>
      <x:c r="H5383" s="1" t="n">
        <x:f>'Historical prices'!E5383</x:f>
        <x:v>1.05</x:v>
      </x:c>
      <x:c r="I5383" s="6" t="n">
        <x:f>'Historical prices'!D5383</x:f>
        <x:v>0.23120000000000002</x:v>
      </x:c>
      <x:c r="J5383" s="13" t="n">
        <x:f>D5383*I5383*H5383</x:f>
        <x:v>0.19329765</x:v>
      </x:c>
      <x:c r="K5383" s="13" t="n">
        <x:f>E5383*I5383*H5383</x:f>
        <x:v>0.18795693</x:v>
      </x:c>
      <x:c r="L5383" s="1" t="str">
        <x:f>TEXT(A5383,"mmm yyyy")</x:f>
        <x:v>Aug 2026</x:v>
      </x:c>
    </x:row>
    <x:row r="5384" ht="21" customHeight="1">
      <x:c r="A5384" s="10" t="n">
        <x:v>46260</x:v>
      </x:c>
      <x:c r="B5384" s="1" t="n">
        <x:v>16</x:v>
      </x:c>
      <x:c r="C5384" s="1" t="n">
        <x:v>6</x:v>
      </x:c>
      <x:c r="D5384" s="12" t="n">
        <x:v>0.076</x:v>
      </x:c>
      <x:c r="E5384" s="12" t="n">
        <x:v>0.6701666666666667</x:v>
      </x:c>
      <x:c r="F5384" s="12" t="n">
        <x:v>0.5919166666666668</x:v>
      </x:c>
      <x:c r="G5384" s="12" t="n">
        <x:v>0</x:v>
      </x:c>
      <x:c r="H5384" s="1" t="n">
        <x:f>'Historical prices'!E5384</x:f>
        <x:v>1.05</x:v>
      </x:c>
      <x:c r="I5384" s="6" t="n">
        <x:f>'Historical prices'!D5384</x:f>
        <x:v>0.3764</x:v>
      </x:c>
      <x:c r="J5384" s="13" t="n">
        <x:f>D5384*I5384*H5384</x:f>
        <x:v>0.030036720000000003</x:v>
      </x:c>
      <x:c r="K5384" s="13" t="n">
        <x:f>E5384*I5384*H5384</x:f>
        <x:v>0.26486327000000004</x:v>
      </x:c>
      <x:c r="L5384" s="1" t="str">
        <x:f>TEXT(A5384,"mmm yyyy")</x:f>
        <x:v>Aug 2026</x:v>
      </x:c>
    </x:row>
    <x:row r="5385" ht="21" customHeight="1">
      <x:c r="A5385" s="10" t="n">
        <x:v>46260</x:v>
      </x:c>
      <x:c r="B5385" s="1" t="n">
        <x:v>16.5</x:v>
      </x:c>
      <x:c r="C5385" s="1" t="n">
        <x:v>6</x:v>
      </x:c>
      <x:c r="D5385" s="12" t="n">
        <x:v>0</x:v>
      </x:c>
      <x:c r="E5385" s="12" t="n">
        <x:v>0.8981666666666666</x:v>
      </x:c>
      <x:c r="F5385" s="12" t="n">
        <x:v>0.8933333333333333</x:v>
      </x:c>
      <x:c r="G5385" s="12" t="n">
        <x:v>0</x:v>
      </x:c>
      <x:c r="H5385" s="1" t="n">
        <x:f>'Historical prices'!E5385</x:f>
        <x:v>1.05</x:v>
      </x:c>
      <x:c r="I5385" s="6" t="n">
        <x:f>'Historical prices'!D5385</x:f>
        <x:v>0.379</x:v>
      </x:c>
      <x:c r="J5385" s="13" t="n">
        <x:f>D5385*I5385*H5385</x:f>
        <x:v>0</x:v>
      </x:c>
      <x:c r="K5385" s="13" t="n">
        <x:f>E5385*I5385*H5385</x:f>
        <x:v>0.357425425</x:v>
      </x:c>
      <x:c r="L5385" s="1" t="str">
        <x:f>TEXT(A5385,"mmm yyyy")</x:f>
        <x:v>Aug 2026</x:v>
      </x:c>
    </x:row>
    <x:row r="5386" ht="21" customHeight="1">
      <x:c r="A5386" s="10" t="n">
        <x:v>46260</x:v>
      </x:c>
      <x:c r="B5386" s="1" t="n">
        <x:v>17</x:v>
      </x:c>
      <x:c r="C5386" s="1" t="n">
        <x:v>6</x:v>
      </x:c>
      <x:c r="D5386" s="12" t="n">
        <x:v>0</x:v>
      </x:c>
      <x:c r="E5386" s="12" t="n">
        <x:v>0.7616666666666666</x:v>
      </x:c>
      <x:c r="F5386" s="12" t="n">
        <x:v>0.7609166666666668</x:v>
      </x:c>
      <x:c r="G5386" s="12" t="n">
        <x:v>0</x:v>
      </x:c>
      <x:c r="H5386" s="1" t="n">
        <x:f>'Historical prices'!E5386</x:f>
        <x:v>1.05</x:v>
      </x:c>
      <x:c r="I5386" s="6" t="n">
        <x:f>'Historical prices'!D5386</x:f>
        <x:v>0.4204</x:v>
      </x:c>
      <x:c r="J5386" s="13" t="n">
        <x:f>D5386*I5386*H5386</x:f>
        <x:v>0</x:v>
      </x:c>
      <x:c r="K5386" s="13" t="n">
        <x:f>E5386*I5386*H5386</x:f>
        <x:v>0.3362149</x:v>
      </x:c>
      <x:c r="L5386" s="1" t="str">
        <x:f>TEXT(A5386,"mmm yyyy")</x:f>
        <x:v>Aug 2026</x:v>
      </x:c>
    </x:row>
    <x:row r="5387" ht="21" customHeight="1">
      <x:c r="A5387" s="10" t="n">
        <x:v>46260</x:v>
      </x:c>
      <x:c r="B5387" s="1" t="n">
        <x:v>17.5</x:v>
      </x:c>
      <x:c r="C5387" s="1" t="n">
        <x:v>6</x:v>
      </x:c>
      <x:c r="D5387" s="12" t="n">
        <x:v>0</x:v>
      </x:c>
      <x:c r="E5387" s="12" t="n">
        <x:v>0.6716666666666667</x:v>
      </x:c>
      <x:c r="F5387" s="12" t="n">
        <x:v>0.6683333333333333</x:v>
      </x:c>
      <x:c r="G5387" s="12" t="n">
        <x:v>0</x:v>
      </x:c>
      <x:c r="H5387" s="1" t="n">
        <x:f>'Historical prices'!E5387</x:f>
        <x:v>1.05</x:v>
      </x:c>
      <x:c r="I5387" s="6" t="n">
        <x:f>'Historical prices'!D5387</x:f>
        <x:v>0.4415</x:v>
      </x:c>
      <x:c r="J5387" s="13" t="n">
        <x:f>D5387*I5387*H5387</x:f>
        <x:v>0</x:v>
      </x:c>
      <x:c r="K5387" s="13" t="n">
        <x:f>E5387*I5387*H5387</x:f>
        <x:v>0.31136787500000007</x:v>
      </x:c>
      <x:c r="L5387" s="1" t="str">
        <x:f>TEXT(A5387,"mmm yyyy")</x:f>
        <x:v>Aug 2026</x:v>
      </x:c>
    </x:row>
    <x:row r="5388" ht="21" customHeight="1">
      <x:c r="A5388" s="10" t="n">
        <x:v>46260</x:v>
      </x:c>
      <x:c r="B5388" s="1" t="n">
        <x:v>18</x:v>
      </x:c>
      <x:c r="C5388" s="1" t="n">
        <x:v>6</x:v>
      </x:c>
      <x:c r="D5388" s="12" t="n">
        <x:v>0</x:v>
      </x:c>
      <x:c r="E5388" s="12" t="n">
        <x:v>0.631</x:v>
      </x:c>
      <x:c r="F5388" s="12" t="n">
        <x:v>0.62425</x:v>
      </x:c>
      <x:c r="G5388" s="12" t="n">
        <x:v>0</x:v>
      </x:c>
      <x:c r="H5388" s="1" t="n">
        <x:f>'Historical prices'!E5388</x:f>
        <x:v>1.05</x:v>
      </x:c>
      <x:c r="I5388" s="6" t="n">
        <x:f>'Historical prices'!D5388</x:f>
        <x:v>0.4618</x:v>
      </x:c>
      <x:c r="J5388" s="13" t="n">
        <x:f>D5388*I5388*H5388</x:f>
        <x:v>0</x:v>
      </x:c>
      <x:c r="K5388" s="13" t="n">
        <x:f>E5388*I5388*H5388</x:f>
        <x:v>0.30596559</x:v>
      </x:c>
      <x:c r="L5388" s="1" t="str">
        <x:f>TEXT(A5388,"mmm yyyy")</x:f>
        <x:v>Aug 2026</x:v>
      </x:c>
    </x:row>
    <x:row r="5389" ht="21" customHeight="1">
      <x:c r="A5389" s="10" t="n">
        <x:v>46260</x:v>
      </x:c>
      <x:c r="B5389" s="1" t="n">
        <x:v>18.5</x:v>
      </x:c>
      <x:c r="C5389" s="1" t="n">
        <x:v>6</x:v>
      </x:c>
      <x:c r="D5389" s="12" t="n">
        <x:v>0</x:v>
      </x:c>
      <x:c r="E5389" s="12" t="n">
        <x:v>0.8005</x:v>
      </x:c>
      <x:c r="F5389" s="12" t="n">
        <x:v>0.8001666666666666</x:v>
      </x:c>
      <x:c r="G5389" s="12" t="n">
        <x:v>0</x:v>
      </x:c>
      <x:c r="H5389" s="1" t="n">
        <x:f>'Historical prices'!E5389</x:f>
        <x:v>1.05</x:v>
      </x:c>
      <x:c r="I5389" s="6" t="n">
        <x:f>'Historical prices'!D5389</x:f>
        <x:v>0.4689</x:v>
      </x:c>
      <x:c r="J5389" s="13" t="n">
        <x:f>D5389*I5389*H5389</x:f>
        <x:v>0</x:v>
      </x:c>
      <x:c r="K5389" s="13" t="n">
        <x:f>E5389*I5389*H5389</x:f>
        <x:v>0.39412217250000003</x:v>
      </x:c>
      <x:c r="L5389" s="1" t="str">
        <x:f>TEXT(A5389,"mmm yyyy")</x:f>
        <x:v>Aug 2026</x:v>
      </x:c>
    </x:row>
    <x:row r="5390" ht="21" customHeight="1">
      <x:c r="A5390" s="10" t="n">
        <x:v>46260</x:v>
      </x:c>
      <x:c r="B5390" s="1" t="n">
        <x:v>19</x:v>
      </x:c>
      <x:c r="C5390" s="1" t="n">
        <x:v>6</x:v>
      </x:c>
      <x:c r="D5390" s="12" t="n">
        <x:v>0</x:v>
      </x:c>
      <x:c r="E5390" s="12" t="n">
        <x:v>0.6380833333333332</x:v>
      </x:c>
      <x:c r="F5390" s="12" t="n">
        <x:v>0.6375833333333333</x:v>
      </x:c>
      <x:c r="G5390" s="12" t="n">
        <x:v>0</x:v>
      </x:c>
      <x:c r="H5390" s="1" t="n">
        <x:f>'Historical prices'!E5390</x:f>
        <x:v>1.05</x:v>
      </x:c>
      <x:c r="I5390" s="6" t="n">
        <x:f>'Historical prices'!D5390</x:f>
        <x:v>0.3214</x:v>
      </x:c>
      <x:c r="J5390" s="13" t="n">
        <x:f>D5390*I5390*H5390</x:f>
        <x:v>0</x:v>
      </x:c>
      <x:c r="K5390" s="13" t="n">
        <x:f>E5390*I5390*H5390</x:f>
        <x:v>0.21533398249999997</x:v>
      </x:c>
      <x:c r="L5390" s="1" t="str">
        <x:f>TEXT(A5390,"mmm yyyy")</x:f>
        <x:v>Aug 2026</x:v>
      </x:c>
    </x:row>
    <x:row r="5391" ht="21" customHeight="1">
      <x:c r="A5391" s="10" t="n">
        <x:v>46260</x:v>
      </x:c>
      <x:c r="B5391" s="1" t="n">
        <x:v>19.5</x:v>
      </x:c>
      <x:c r="C5391" s="1" t="n">
        <x:v>6</x:v>
      </x:c>
      <x:c r="D5391" s="12" t="n">
        <x:v>0</x:v>
      </x:c>
      <x:c r="E5391" s="12" t="n">
        <x:v>0.8743333333333334</x:v>
      </x:c>
      <x:c r="F5391" s="12" t="n">
        <x:v>0.8711666666666668</x:v>
      </x:c>
      <x:c r="G5391" s="12" t="n">
        <x:v>0</x:v>
      </x:c>
      <x:c r="H5391" s="1" t="n">
        <x:f>'Historical prices'!E5391</x:f>
        <x:v>1.05</x:v>
      </x:c>
      <x:c r="I5391" s="6" t="n">
        <x:f>'Historical prices'!D5391</x:f>
        <x:v>0.3258</x:v>
      </x:c>
      <x:c r="J5391" s="13" t="n">
        <x:f>D5391*I5391*H5391</x:f>
        <x:v>0</x:v>
      </x:c>
      <x:c r="K5391" s="13" t="n">
        <x:f>E5391*I5391*H5391</x:f>
        <x:v>0.29910069</x:v>
      </x:c>
      <x:c r="L5391" s="1" t="str">
        <x:f>TEXT(A5391,"mmm yyyy")</x:f>
        <x:v>Aug 2026</x:v>
      </x:c>
    </x:row>
    <x:row r="5392" ht="21" customHeight="1">
      <x:c r="A5392" s="10" t="n">
        <x:v>46260</x:v>
      </x:c>
      <x:c r="B5392" s="1" t="n">
        <x:v>20</x:v>
      </x:c>
      <x:c r="C5392" s="1" t="n">
        <x:v>6</x:v>
      </x:c>
      <x:c r="D5392" s="12" t="n">
        <x:v>0</x:v>
      </x:c>
      <x:c r="E5392" s="12" t="n">
        <x:v>0.656</x:v>
      </x:c>
      <x:c r="F5392" s="12" t="n">
        <x:v>0.6555</x:v>
      </x:c>
      <x:c r="G5392" s="12" t="n">
        <x:v>0</x:v>
      </x:c>
      <x:c r="H5392" s="1" t="n">
        <x:f>'Historical prices'!E5392</x:f>
        <x:v>1.05</x:v>
      </x:c>
      <x:c r="I5392" s="6" t="n">
        <x:f>'Historical prices'!D5392</x:f>
        <x:v>0.31129999999999997</x:v>
      </x:c>
      <x:c r="J5392" s="13" t="n">
        <x:f>D5392*I5392*H5392</x:f>
        <x:v>0</x:v>
      </x:c>
      <x:c r="K5392" s="13" t="n">
        <x:f>E5392*I5392*H5392</x:f>
        <x:v>0.21442344000000002</x:v>
      </x:c>
      <x:c r="L5392" s="1" t="str">
        <x:f>TEXT(A5392,"mmm yyyy")</x:f>
        <x:v>Aug 2026</x:v>
      </x:c>
    </x:row>
    <x:row r="5393" ht="21" customHeight="1">
      <x:c r="A5393" s="10" t="n">
        <x:v>46260</x:v>
      </x:c>
      <x:c r="B5393" s="1" t="n">
        <x:v>20.5</x:v>
      </x:c>
      <x:c r="C5393" s="1" t="n">
        <x:v>6</x:v>
      </x:c>
      <x:c r="D5393" s="12" t="n">
        <x:v>0</x:v>
      </x:c>
      <x:c r="E5393" s="12" t="n">
        <x:v>0.6308333333333332</x:v>
      </x:c>
      <x:c r="F5393" s="12" t="n">
        <x:v>0.6308333333333332</x:v>
      </x:c>
      <x:c r="G5393" s="12" t="n">
        <x:v>0</x:v>
      </x:c>
      <x:c r="H5393" s="1" t="n">
        <x:f>'Historical prices'!E5393</x:f>
        <x:v>1.05</x:v>
      </x:c>
      <x:c r="I5393" s="6" t="n">
        <x:f>'Historical prices'!D5393</x:f>
        <x:v>0.3114</x:v>
      </x:c>
      <x:c r="J5393" s="13" t="n">
        <x:f>D5393*I5393*H5393</x:f>
        <x:v>0</x:v>
      </x:c>
      <x:c r="K5393" s="13" t="n">
        <x:f>E5393*I5393*H5393</x:f>
        <x:v>0.206263575</x:v>
      </x:c>
      <x:c r="L5393" s="1" t="str">
        <x:f>TEXT(A5393,"mmm yyyy")</x:f>
        <x:v>Aug 2026</x:v>
      </x:c>
    </x:row>
    <x:row r="5394" ht="21" customHeight="1">
      <x:c r="A5394" s="10" t="n">
        <x:v>46260</x:v>
      </x:c>
      <x:c r="B5394" s="1" t="n">
        <x:v>21</x:v>
      </x:c>
      <x:c r="C5394" s="1" t="n">
        <x:v>6</x:v>
      </x:c>
      <x:c r="D5394" s="12" t="n">
        <x:v>0</x:v>
      </x:c>
      <x:c r="E5394" s="12" t="n">
        <x:v>0.6456666666666666</x:v>
      </x:c>
      <x:c r="F5394" s="12" t="n">
        <x:v>0.6455</x:v>
      </x:c>
      <x:c r="G5394" s="12" t="n">
        <x:v>0</x:v>
      </x:c>
      <x:c r="H5394" s="1" t="n">
        <x:f>'Historical prices'!E5394</x:f>
        <x:v>1.05</x:v>
      </x:c>
      <x:c r="I5394" s="6" t="n">
        <x:f>'Historical prices'!D5394</x:f>
        <x:v>0.30219999999999997</x:v>
      </x:c>
      <x:c r="J5394" s="13" t="n">
        <x:f>D5394*I5394*H5394</x:f>
        <x:v>0</x:v>
      </x:c>
      <x:c r="K5394" s="13" t="n">
        <x:f>E5394*I5394*H5394</x:f>
        <x:v>0.20487648999999997</x:v>
      </x:c>
      <x:c r="L5394" s="1" t="str">
        <x:f>TEXT(A5394,"mmm yyyy")</x:f>
        <x:v>Aug 2026</x:v>
      </x:c>
    </x:row>
    <x:row r="5395" ht="21" customHeight="1">
      <x:c r="A5395" s="10" t="n">
        <x:v>46260</x:v>
      </x:c>
      <x:c r="B5395" s="1" t="n">
        <x:v>21.5</x:v>
      </x:c>
      <x:c r="C5395" s="1" t="n">
        <x:v>6</x:v>
      </x:c>
      <x:c r="D5395" s="12" t="n">
        <x:v>0.76525</x:v>
      </x:c>
      <x:c r="E5395" s="12" t="n">
        <x:v>0.87625</x:v>
      </x:c>
      <x:c r="F5395" s="12" t="n">
        <x:v>0.1</x:v>
      </x:c>
      <x:c r="G5395" s="12" t="n">
        <x:v>0</x:v>
      </x:c>
      <x:c r="H5395" s="1" t="n">
        <x:f>'Historical prices'!E5395</x:f>
        <x:v>1.05</x:v>
      </x:c>
      <x:c r="I5395" s="6" t="n">
        <x:f>'Historical prices'!D5395</x:f>
        <x:v>0.2571</x:v>
      </x:c>
      <x:c r="J5395" s="13" t="n">
        <x:f>D5395*I5395*H5395</x:f>
        <x:v>0.20658306375</x:v>
      </x:c>
      <x:c r="K5395" s="13" t="n">
        <x:f>E5395*I5395*H5395</x:f>
        <x:v>0.23654806875</x:v>
      </x:c>
      <x:c r="L5395" s="1" t="str">
        <x:f>TEXT(A5395,"mmm yyyy")</x:f>
        <x:v>Aug 2026</x:v>
      </x:c>
    </x:row>
    <x:row r="5396" ht="21" customHeight="1">
      <x:c r="A5396" s="10" t="n">
        <x:v>46260</x:v>
      </x:c>
      <x:c r="B5396" s="1" t="n">
        <x:v>22</x:v>
      </x:c>
      <x:c r="C5396" s="1" t="n">
        <x:v>6</x:v>
      </x:c>
      <x:c r="D5396" s="12" t="n">
        <x:v>0.277</x:v>
      </x:c>
      <x:c r="E5396" s="12" t="n">
        <x:v>0.28800000000000003</x:v>
      </x:c>
      <x:c r="F5396" s="12" t="n">
        <x:v>0</x:v>
      </x:c>
      <x:c r="G5396" s="12" t="n">
        <x:v>0</x:v>
      </x:c>
      <x:c r="H5396" s="1" t="n">
        <x:f>'Historical prices'!E5396</x:f>
        <x:v>1.05</x:v>
      </x:c>
      <x:c r="I5396" s="6" t="n">
        <x:f>'Historical prices'!D5396</x:f>
        <x:v>0.2658</x:v>
      </x:c>
      <x:c r="J5396" s="13" t="n">
        <x:f>D5396*I5396*H5396</x:f>
        <x:v>0.07730793</x:v>
      </x:c>
      <x:c r="K5396" s="13" t="n">
        <x:f>E5396*I5396*H5396</x:f>
        <x:v>0.08037792</x:v>
      </x:c>
      <x:c r="L5396" s="1" t="str">
        <x:f>TEXT(A5396,"mmm yyyy")</x:f>
        <x:v>Aug 2026</x:v>
      </x:c>
    </x:row>
    <x:row r="5397" ht="21" customHeight="1">
      <x:c r="A5397" s="10" t="n">
        <x:v>46260</x:v>
      </x:c>
      <x:c r="B5397" s="1" t="n">
        <x:v>22.5</x:v>
      </x:c>
      <x:c r="C5397" s="1" t="n">
        <x:v>6</x:v>
      </x:c>
      <x:c r="D5397" s="12" t="n">
        <x:v>0.28475</x:v>
      </x:c>
      <x:c r="E5397" s="12" t="n">
        <x:v>0.29575</x:v>
      </x:c>
      <x:c r="F5397" s="12" t="n">
        <x:v>0</x:v>
      </x:c>
      <x:c r="G5397" s="12" t="n">
        <x:v>0</x:v>
      </x:c>
      <x:c r="H5397" s="1" t="n">
        <x:f>'Historical prices'!E5397</x:f>
        <x:v>1.05</x:v>
      </x:c>
      <x:c r="I5397" s="6" t="n">
        <x:f>'Historical prices'!D5397</x:f>
        <x:v>0.2556</x:v>
      </x:c>
      <x:c r="J5397" s="13" t="n">
        <x:f>D5397*I5397*H5397</x:f>
        <x:v>0.076421205</x:v>
      </x:c>
      <x:c r="K5397" s="13" t="n">
        <x:f>E5397*I5397*H5397</x:f>
        <x:v>0.079373385</x:v>
      </x:c>
      <x:c r="L5397" s="1" t="str">
        <x:f>TEXT(A5397,"mmm yyyy")</x:f>
        <x:v>Aug 2026</x:v>
      </x:c>
    </x:row>
    <x:row r="5398" ht="21" customHeight="1">
      <x:c r="A5398" s="10" t="n">
        <x:v>46260</x:v>
      </x:c>
      <x:c r="B5398" s="1" t="n">
        <x:v>23</x:v>
      </x:c>
      <x:c r="C5398" s="1" t="n">
        <x:v>6</x:v>
      </x:c>
      <x:c r="D5398" s="12" t="n">
        <x:v>0.23375</x:v>
      </x:c>
      <x:c r="E5398" s="12" t="n">
        <x:v>0.24275000000000002</x:v>
      </x:c>
      <x:c r="F5398" s="12" t="n">
        <x:v>0</x:v>
      </x:c>
      <x:c r="G5398" s="12" t="n">
        <x:v>0</x:v>
      </x:c>
      <x:c r="H5398" s="1" t="n">
        <x:f>'Historical prices'!E5398</x:f>
        <x:v>1.05</x:v>
      </x:c>
      <x:c r="I5398" s="6" t="n">
        <x:f>'Historical prices'!D5398</x:f>
        <x:v>0.2612</x:v>
      </x:c>
      <x:c r="J5398" s="13" t="n">
        <x:f>D5398*I5398*H5398</x:f>
        <x:v>0.064108275</x:v>
      </x:c>
      <x:c r="K5398" s="13" t="n">
        <x:f>E5398*I5398*H5398</x:f>
        <x:v>0.066576615</x:v>
      </x:c>
      <x:c r="L5398" s="1" t="str">
        <x:f>TEXT(A5398,"mmm yyyy")</x:f>
        <x:v>Aug 2026</x:v>
      </x:c>
    </x:row>
    <x:row r="5399" ht="21" customHeight="1">
      <x:c r="A5399" s="10" t="n">
        <x:v>46260</x:v>
      </x:c>
      <x:c r="B5399" s="1" t="n">
        <x:v>23.5</x:v>
      </x:c>
      <x:c r="C5399" s="1" t="n">
        <x:v>6</x:v>
      </x:c>
      <x:c r="D5399" s="12" t="n">
        <x:v>0.20350000000000001</x:v>
      </x:c>
      <x:c r="E5399" s="12" t="n">
        <x:v>0.21450000000000002</x:v>
      </x:c>
      <x:c r="F5399" s="12" t="n">
        <x:v>0</x:v>
      </x:c>
      <x:c r="G5399" s="12" t="n">
        <x:v>0</x:v>
      </x:c>
      <x:c r="H5399" s="1" t="n">
        <x:f>'Historical prices'!E5399</x:f>
        <x:v>1.05</x:v>
      </x:c>
      <x:c r="I5399" s="6" t="n">
        <x:f>'Historical prices'!D5399</x:f>
        <x:v>0.244</x:v>
      </x:c>
      <x:c r="J5399" s="13" t="n">
        <x:f>D5399*I5399*H5399</x:f>
        <x:v>0.05213670000000001</x:v>
      </x:c>
      <x:c r="K5399" s="13" t="n">
        <x:f>E5399*I5399*H5399</x:f>
        <x:v>0.05495490000000001</x:v>
      </x:c>
      <x:c r="L5399" s="1" t="str">
        <x:f>TEXT(A5399,"mmm yyyy")</x:f>
        <x:v>Aug 2026</x:v>
      </x:c>
    </x:row>
    <x:row r="5400" ht="21" customHeight="1">
      <x:c r="A5400" s="10" t="n">
        <x:v>46261</x:v>
      </x:c>
      <x:c r="B5400" s="1" t="n">
        <x:v>0</x:v>
      </x:c>
      <x:c r="C5400" s="1" t="n">
        <x:v>6</x:v>
      </x:c>
      <x:c r="D5400" s="12" t="n">
        <x:v>0.20800000000000002</x:v>
      </x:c>
      <x:c r="E5400" s="12" t="n">
        <x:v>0.21900000000000003</x:v>
      </x:c>
      <x:c r="F5400" s="12" t="n">
        <x:v>0</x:v>
      </x:c>
      <x:c r="G5400" s="12" t="n">
        <x:v>0</x:v>
      </x:c>
      <x:c r="H5400" s="1" t="n">
        <x:f>'Historical prices'!E5400</x:f>
        <x:v>1.05</x:v>
      </x:c>
      <x:c r="I5400" s="6" t="n">
        <x:f>'Historical prices'!D5400</x:f>
        <x:v>0.23989999999999997</x:v>
      </x:c>
      <x:c r="J5400" s="13" t="n">
        <x:f>D5400*I5400*H5400</x:f>
        <x:v>0.05239416</x:v>
      </x:c>
      <x:c r="K5400" s="13" t="n">
        <x:f>E5400*I5400*H5400</x:f>
        <x:v>0.05516500500000001</x:v>
      </x:c>
      <x:c r="L5400" s="1" t="str">
        <x:f>TEXT(A5400,"mmm yyyy")</x:f>
        <x:v>Aug 2026</x:v>
      </x:c>
    </x:row>
    <x:row r="5401" ht="21" customHeight="1">
      <x:c r="A5401" s="10" t="n">
        <x:v>46261</x:v>
      </x:c>
      <x:c r="B5401" s="1" t="n">
        <x:v>0.5</x:v>
      </x:c>
      <x:c r="C5401" s="1" t="n">
        <x:v>6</x:v>
      </x:c>
      <x:c r="D5401" s="12" t="n">
        <x:v>0.27074999999999994</x:v>
      </x:c>
      <x:c r="E5401" s="12" t="n">
        <x:v>0.28074999999999994</x:v>
      </x:c>
      <x:c r="F5401" s="12" t="n">
        <x:v>0</x:v>
      </x:c>
      <x:c r="G5401" s="12" t="n">
        <x:v>0</x:v>
      </x:c>
      <x:c r="H5401" s="1" t="n">
        <x:f>'Historical prices'!E5401</x:f>
        <x:v>1.05</x:v>
      </x:c>
      <x:c r="I5401" s="6" t="n">
        <x:f>'Historical prices'!D5401</x:f>
        <x:v>0.2349</x:v>
      </x:c>
      <x:c r="J5401" s="13" t="n">
        <x:f>D5401*I5401*H5401</x:f>
        <x:v>0.06677913374999998</x:v>
      </x:c>
      <x:c r="K5401" s="13" t="n">
        <x:f>E5401*I5401*H5401</x:f>
        <x:v>0.06924558374999999</x:v>
      </x:c>
      <x:c r="L5401" s="1" t="str">
        <x:f>TEXT(A5401,"mmm yyyy")</x:f>
        <x:v>Aug 2026</x:v>
      </x:c>
    </x:row>
    <x:row r="5402" ht="21" customHeight="1">
      <x:c r="A5402" s="10" t="n">
        <x:v>46261</x:v>
      </x:c>
      <x:c r="B5402" s="1" t="n">
        <x:v>1</x:v>
      </x:c>
      <x:c r="C5402" s="1" t="n">
        <x:v>6</x:v>
      </x:c>
      <x:c r="D5402" s="12" t="n">
        <x:v>0.21525</x:v>
      </x:c>
      <x:c r="E5402" s="12" t="n">
        <x:v>0.22525</x:v>
      </x:c>
      <x:c r="F5402" s="12" t="n">
        <x:v>0</x:v>
      </x:c>
      <x:c r="G5402" s="12" t="n">
        <x:v>0</x:v>
      </x:c>
      <x:c r="H5402" s="1" t="n">
        <x:f>'Historical prices'!E5402</x:f>
        <x:v>1.05</x:v>
      </x:c>
      <x:c r="I5402" s="6" t="n">
        <x:f>'Historical prices'!D5402</x:f>
        <x:v>0.2293</x:v>
      </x:c>
      <x:c r="J5402" s="13" t="n">
        <x:f>D5402*I5402*H5402</x:f>
        <x:v>0.051824666250000005</x:v>
      </x:c>
      <x:c r="K5402" s="13" t="n">
        <x:f>E5402*I5402*H5402</x:f>
        <x:v>0.05423231625</x:v>
      </x:c>
      <x:c r="L5402" s="1" t="str">
        <x:f>TEXT(A5402,"mmm yyyy")</x:f>
        <x:v>Aug 2026</x:v>
      </x:c>
    </x:row>
    <x:row r="5403" ht="21" customHeight="1">
      <x:c r="A5403" s="10" t="n">
        <x:v>46261</x:v>
      </x:c>
      <x:c r="B5403" s="1" t="n">
        <x:v>1.5</x:v>
      </x:c>
      <x:c r="C5403" s="1" t="n">
        <x:v>6</x:v>
      </x:c>
      <x:c r="D5403" s="12" t="n">
        <x:v>0.198</x:v>
      </x:c>
      <x:c r="E5403" s="12" t="n">
        <x:v>0.20800000000000002</x:v>
      </x:c>
      <x:c r="F5403" s="12" t="n">
        <x:v>0</x:v>
      </x:c>
      <x:c r="G5403" s="12" t="n">
        <x:v>0</x:v>
      </x:c>
      <x:c r="H5403" s="1" t="n">
        <x:f>'Historical prices'!E5403</x:f>
        <x:v>1.05</x:v>
      </x:c>
      <x:c r="I5403" s="6" t="n">
        <x:f>'Historical prices'!D5403</x:f>
        <x:v>0.2293</x:v>
      </x:c>
      <x:c r="J5403" s="13" t="n">
        <x:f>D5403*I5403*H5403</x:f>
        <x:v>0.04767147</x:v>
      </x:c>
      <x:c r="K5403" s="13" t="n">
        <x:f>E5403*I5403*H5403</x:f>
        <x:v>0.050079120000000005</x:v>
      </x:c>
      <x:c r="L5403" s="1" t="str">
        <x:f>TEXT(A5403,"mmm yyyy")</x:f>
        <x:v>Aug 2026</x:v>
      </x:c>
    </x:row>
    <x:row r="5404" ht="21" customHeight="1">
      <x:c r="A5404" s="10" t="n">
        <x:v>46261</x:v>
      </x:c>
      <x:c r="B5404" s="1" t="n">
        <x:v>2</x:v>
      </x:c>
      <x:c r="C5404" s="1" t="n">
        <x:v>6</x:v>
      </x:c>
      <x:c r="D5404" s="12" t="n">
        <x:v>0.31975</x:v>
      </x:c>
      <x:c r="E5404" s="12" t="n">
        <x:v>0.33075</x:v>
      </x:c>
      <x:c r="F5404" s="12" t="n">
        <x:v>0</x:v>
      </x:c>
      <x:c r="G5404" s="12" t="n">
        <x:v>0</x:v>
      </x:c>
      <x:c r="H5404" s="1" t="n">
        <x:f>'Historical prices'!E5404</x:f>
        <x:v>1.05</x:v>
      </x:c>
      <x:c r="I5404" s="6" t="n">
        <x:f>'Historical prices'!D5404</x:f>
        <x:v>0.2261</x:v>
      </x:c>
      <x:c r="J5404" s="13" t="n">
        <x:f>D5404*I5404*H5404</x:f>
        <x:v>0.07591024875</x:v>
      </x:c>
      <x:c r="K5404" s="13" t="n">
        <x:f>E5404*I5404*H5404</x:f>
        <x:v>0.07852170374999999</x:v>
      </x:c>
      <x:c r="L5404" s="1" t="str">
        <x:f>TEXT(A5404,"mmm yyyy")</x:f>
        <x:v>Aug 2026</x:v>
      </x:c>
    </x:row>
    <x:row r="5405" ht="21" customHeight="1">
      <x:c r="A5405" s="10" t="n">
        <x:v>46261</x:v>
      </x:c>
      <x:c r="B5405" s="1" t="n">
        <x:v>2.5</x:v>
      </x:c>
      <x:c r="C5405" s="1" t="n">
        <x:v>6</x:v>
      </x:c>
      <x:c r="D5405" s="12" t="n">
        <x:v>4.4965</x:v>
      </x:c>
      <x:c r="E5405" s="12" t="n">
        <x:v>0.5105</x:v>
      </x:c>
      <x:c r="F5405" s="12" t="n">
        <x:v>0</x:v>
      </x:c>
      <x:c r="G5405" s="12" t="n">
        <x:v>3.9870000000000005</x:v>
      </x:c>
      <x:c r="H5405" s="1" t="n">
        <x:f>'Historical prices'!E5405</x:f>
        <x:v>1.05</x:v>
      </x:c>
      <x:c r="I5405" s="6" t="n">
        <x:f>'Historical prices'!D5405</x:f>
        <x:v>0.21239999999999998</x:v>
      </x:c>
      <x:c r="J5405" s="13" t="n">
        <x:f>D5405*I5405*H5405</x:f>
        <x:v>1.00280943</x:v>
      </x:c>
      <x:c r="K5405" s="13" t="n">
        <x:f>E5405*I5405*H5405</x:f>
        <x:v>0.11385170999999998</x:v>
      </x:c>
      <x:c r="L5405" s="1" t="str">
        <x:f>TEXT(A5405,"mmm yyyy")</x:f>
        <x:v>Aug 2026</x:v>
      </x:c>
    </x:row>
    <x:row r="5406" ht="21" customHeight="1">
      <x:c r="A5406" s="10" t="n">
        <x:v>46261</x:v>
      </x:c>
      <x:c r="B5406" s="1" t="n">
        <x:v>3</x:v>
      </x:c>
      <x:c r="C5406" s="1" t="n">
        <x:v>6</x:v>
      </x:c>
      <x:c r="D5406" s="12" t="n">
        <x:v>5.15975</x:v>
      </x:c>
      <x:c r="E5406" s="12" t="n">
        <x:v>0.46175</x:v>
      </x:c>
      <x:c r="F5406" s="12" t="n">
        <x:v>0</x:v>
      </x:c>
      <x:c r="G5406" s="12" t="n">
        <x:v>4.6979999999999995</x:v>
      </x:c>
      <x:c r="H5406" s="1" t="n">
        <x:f>'Historical prices'!E5406</x:f>
        <x:v>1.05</x:v>
      </x:c>
      <x:c r="I5406" s="6" t="n">
        <x:f>'Historical prices'!D5406</x:f>
        <x:v>0.2169</x:v>
      </x:c>
      <x:c r="J5406" s="13" t="n">
        <x:f>D5406*I5406*H5406</x:f>
        <x:v>1.1751072637500002</x:v>
      </x:c>
      <x:c r="K5406" s="13" t="n">
        <x:f>E5406*I5406*H5406</x:f>
        <x:v>0.10516125375000002</x:v>
      </x:c>
      <x:c r="L5406" s="1" t="str">
        <x:f>TEXT(A5406,"mmm yyyy")</x:f>
        <x:v>Aug 2026</x:v>
      </x:c>
    </x:row>
    <x:row r="5407" ht="21" customHeight="1">
      <x:c r="A5407" s="10" t="n">
        <x:v>46261</x:v>
      </x:c>
      <x:c r="B5407" s="1" t="n">
        <x:v>3.5</x:v>
      </x:c>
      <x:c r="C5407" s="1" t="n">
        <x:v>6</x:v>
      </x:c>
      <x:c r="D5407" s="12" t="n">
        <x:v>5.18375</x:v>
      </x:c>
      <x:c r="E5407" s="12" t="n">
        <x:v>0.48275000000000007</x:v>
      </x:c>
      <x:c r="F5407" s="12" t="n">
        <x:v>0</x:v>
      </x:c>
      <x:c r="G5407" s="12" t="n">
        <x:v>4.7010000000000005</x:v>
      </x:c>
      <x:c r="H5407" s="1" t="n">
        <x:f>'Historical prices'!E5407</x:f>
        <x:v>1.05</x:v>
      </x:c>
      <x:c r="I5407" s="6" t="n">
        <x:f>'Historical prices'!D5407</x:f>
        <x:v>0.2151</x:v>
      </x:c>
      <x:c r="J5407" s="13" t="n">
        <x:f>D5407*I5407*H5407</x:f>
        <x:v>1.1707758562500001</x:v>
      </x:c>
      <x:c r="K5407" s="13" t="n">
        <x:f>E5407*I5407*H5407</x:f>
        <x:v>0.10903150125000002</x:v>
      </x:c>
      <x:c r="L5407" s="1" t="str">
        <x:f>TEXT(A5407,"mmm yyyy")</x:f>
        <x:v>Aug 2026</x:v>
      </x:c>
    </x:row>
    <x:row r="5408" ht="21" customHeight="1">
      <x:c r="A5408" s="10" t="n">
        <x:v>46261</x:v>
      </x:c>
      <x:c r="B5408" s="1" t="n">
        <x:v>4</x:v>
      </x:c>
      <x:c r="C5408" s="1" t="n">
        <x:v>6</x:v>
      </x:c>
      <x:c r="D5408" s="12" t="n">
        <x:v>3.2830000000000004</x:v>
      </x:c>
      <x:c r="E5408" s="12" t="n">
        <x:v>0.42399999999999993</x:v>
      </x:c>
      <x:c r="F5408" s="12" t="n">
        <x:v>0</x:v>
      </x:c>
      <x:c r="G5408" s="12" t="n">
        <x:v>2.859</x:v>
      </x:c>
      <x:c r="H5408" s="1" t="n">
        <x:f>'Historical prices'!E5408</x:f>
        <x:v>1.05</x:v>
      </x:c>
      <x:c r="I5408" s="6" t="n">
        <x:f>'Historical prices'!D5408</x:f>
        <x:v>0.2169</x:v>
      </x:c>
      <x:c r="J5408" s="13" t="n">
        <x:f>D5408*I5408*H5408</x:f>
        <x:v>0.7476868350000001</x:v>
      </x:c>
      <x:c r="K5408" s="13" t="n">
        <x:f>E5408*I5408*H5408</x:f>
        <x:v>0.09656388</x:v>
      </x:c>
      <x:c r="L5408" s="1" t="str">
        <x:f>TEXT(A5408,"mmm yyyy")</x:f>
        <x:v>Aug 2026</x:v>
      </x:c>
    </x:row>
    <x:row r="5409" ht="21" customHeight="1">
      <x:c r="A5409" s="10" t="n">
        <x:v>46261</x:v>
      </x:c>
      <x:c r="B5409" s="1" t="n">
        <x:v>4.5</x:v>
      </x:c>
      <x:c r="C5409" s="1" t="n">
        <x:v>6</x:v>
      </x:c>
      <x:c r="D5409" s="12" t="n">
        <x:v>0.30574999999999997</x:v>
      </x:c>
      <x:c r="E5409" s="12" t="n">
        <x:v>0.25575</x:v>
      </x:c>
      <x:c r="F5409" s="12" t="n">
        <x:v>0</x:v>
      </x:c>
      <x:c r="G5409" s="12" t="n">
        <x:v>0.059</x:v>
      </x:c>
      <x:c r="H5409" s="1" t="n">
        <x:f>'Historical prices'!E5409</x:f>
        <x:v>1.05</x:v>
      </x:c>
      <x:c r="I5409" s="6" t="n">
        <x:f>'Historical prices'!D5409</x:f>
        <x:v>0.2257</x:v>
      </x:c>
      <x:c r="J5409" s="13" t="n">
        <x:f>D5409*I5409*H5409</x:f>
        <x:v>0.07245816375</x:v>
      </x:c>
      <x:c r="K5409" s="13" t="n">
        <x:f>E5409*I5409*H5409</x:f>
        <x:v>0.06060891375</x:v>
      </x:c>
      <x:c r="L5409" s="1" t="str">
        <x:f>TEXT(A5409,"mmm yyyy")</x:f>
        <x:v>Aug 2026</x:v>
      </x:c>
    </x:row>
    <x:row r="5410" ht="21" customHeight="1">
      <x:c r="A5410" s="10" t="n">
        <x:v>46261</x:v>
      </x:c>
      <x:c r="B5410" s="1" t="n">
        <x:v>5</x:v>
      </x:c>
      <x:c r="C5410" s="1" t="n">
        <x:v>6</x:v>
      </x:c>
      <x:c r="D5410" s="12" t="n">
        <x:v>0.21500000000000002</x:v>
      </x:c>
      <x:c r="E5410" s="12" t="n">
        <x:v>0.22500000000000003</x:v>
      </x:c>
      <x:c r="F5410" s="12" t="n">
        <x:v>0</x:v>
      </x:c>
      <x:c r="G5410" s="12" t="n">
        <x:v>0</x:v>
      </x:c>
      <x:c r="H5410" s="1" t="n">
        <x:f>'Historical prices'!E5410</x:f>
        <x:v>1.05</x:v>
      </x:c>
      <x:c r="I5410" s="6" t="n">
        <x:f>'Historical prices'!D5410</x:f>
        <x:v>0.2606</x:v>
      </x:c>
      <x:c r="J5410" s="13" t="n">
        <x:f>D5410*I5410*H5410</x:f>
        <x:v>0.05883045000000001</x:v>
      </x:c>
      <x:c r="K5410" s="13" t="n">
        <x:f>E5410*I5410*H5410</x:f>
        <x:v>0.06156675000000001</x:v>
      </x:c>
      <x:c r="L5410" s="1" t="str">
        <x:f>TEXT(A5410,"mmm yyyy")</x:f>
        <x:v>Aug 2026</x:v>
      </x:c>
    </x:row>
    <x:row r="5411" ht="21" customHeight="1">
      <x:c r="A5411" s="10" t="n">
        <x:v>46261</x:v>
      </x:c>
      <x:c r="B5411" s="1" t="n">
        <x:v>5.5</x:v>
      </x:c>
      <x:c r="C5411" s="1" t="n">
        <x:v>6</x:v>
      </x:c>
      <x:c r="D5411" s="12" t="n">
        <x:v>0.22775</x:v>
      </x:c>
      <x:c r="E5411" s="12" t="n">
        <x:v>0.23875</x:v>
      </x:c>
      <x:c r="F5411" s="12" t="n">
        <x:v>0</x:v>
      </x:c>
      <x:c r="G5411" s="12" t="n">
        <x:v>0</x:v>
      </x:c>
      <x:c r="H5411" s="1" t="n">
        <x:f>'Historical prices'!E5411</x:f>
        <x:v>1.05</x:v>
      </x:c>
      <x:c r="I5411" s="6" t="n">
        <x:f>'Historical prices'!D5411</x:f>
        <x:v>0.271</x:v>
      </x:c>
      <x:c r="J5411" s="13" t="n">
        <x:f>D5411*I5411*H5411</x:f>
        <x:v>0.0648062625</x:v>
      </x:c>
      <x:c r="K5411" s="13" t="n">
        <x:f>E5411*I5411*H5411</x:f>
        <x:v>0.0679363125</x:v>
      </x:c>
      <x:c r="L5411" s="1" t="str">
        <x:f>TEXT(A5411,"mmm yyyy")</x:f>
        <x:v>Aug 2026</x:v>
      </x:c>
    </x:row>
    <x:row r="5412" ht="21" customHeight="1">
      <x:c r="A5412" s="10" t="n">
        <x:v>46261</x:v>
      </x:c>
      <x:c r="B5412" s="1" t="n">
        <x:v>6</x:v>
      </x:c>
      <x:c r="C5412" s="1" t="n">
        <x:v>6</x:v>
      </x:c>
      <x:c r="D5412" s="12" t="n">
        <x:v>0.1115</x:v>
      </x:c>
      <x:c r="E5412" s="12" t="n">
        <x:v>0.34533333333333327</x:v>
      </x:c>
      <x:c r="F5412" s="12" t="n">
        <x:v>0.23083333333333333</x:v>
      </x:c>
      <x:c r="G5412" s="12" t="n">
        <x:v>0</x:v>
      </x:c>
      <x:c r="H5412" s="1" t="n">
        <x:f>'Historical prices'!E5412</x:f>
        <x:v>1.05</x:v>
      </x:c>
      <x:c r="I5412" s="6" t="n">
        <x:f>'Historical prices'!D5412</x:f>
        <x:v>0.2711</x:v>
      </x:c>
      <x:c r="J5412" s="13" t="n">
        <x:f>D5412*I5412*H5412</x:f>
        <x:v>0.0317390325</x:v>
      </x:c>
      <x:c r="K5412" s="13" t="n">
        <x:f>E5412*I5412*H5412</x:f>
        <x:v>0.09830085999999999</x:v>
      </x:c>
      <x:c r="L5412" s="1" t="str">
        <x:f>TEXT(A5412,"mmm yyyy")</x:f>
        <x:v>Aug 2026</x:v>
      </x:c>
    </x:row>
    <x:row r="5413" ht="21" customHeight="1">
      <x:c r="A5413" s="10" t="n">
        <x:v>46261</x:v>
      </x:c>
      <x:c r="B5413" s="1" t="n">
        <x:v>6.5</x:v>
      </x:c>
      <x:c r="C5413" s="1" t="n">
        <x:v>6</x:v>
      </x:c>
      <x:c r="D5413" s="12" t="n">
        <x:v>0</x:v>
      </x:c>
      <x:c r="E5413" s="12" t="n">
        <x:v>0.6244166666666666</x:v>
      </x:c>
      <x:c r="F5413" s="12" t="n">
        <x:v>0.6238333333333334</x:v>
      </x:c>
      <x:c r="G5413" s="12" t="n">
        <x:v>0</x:v>
      </x:c>
      <x:c r="H5413" s="1" t="n">
        <x:f>'Historical prices'!E5413</x:f>
        <x:v>1.05</x:v>
      </x:c>
      <x:c r="I5413" s="6" t="n">
        <x:f>'Historical prices'!D5413</x:f>
        <x:v>0.28850000000000003</x:v>
      </x:c>
      <x:c r="J5413" s="13" t="n">
        <x:f>D5413*I5413*H5413</x:f>
        <x:v>0</x:v>
      </x:c>
      <x:c r="K5413" s="13" t="n">
        <x:f>E5413*I5413*H5413</x:f>
        <x:v>0.18915141875</x:v>
      </x:c>
      <x:c r="L5413" s="1" t="str">
        <x:f>TEXT(A5413,"mmm yyyy")</x:f>
        <x:v>Aug 2026</x:v>
      </x:c>
    </x:row>
    <x:row r="5414" ht="21" customHeight="1">
      <x:c r="A5414" s="10" t="n">
        <x:v>46261</x:v>
      </x:c>
      <x:c r="B5414" s="1" t="n">
        <x:v>7</x:v>
      </x:c>
      <x:c r="C5414" s="1" t="n">
        <x:v>6</x:v>
      </x:c>
      <x:c r="D5414" s="12" t="n">
        <x:v>0</x:v>
      </x:c>
      <x:c r="E5414" s="12" t="n">
        <x:v>0.7800833333333332</x:v>
      </x:c>
      <x:c r="F5414" s="12" t="n">
        <x:v>0.78</x:v>
      </x:c>
      <x:c r="G5414" s="12" t="n">
        <x:v>0</x:v>
      </x:c>
      <x:c r="H5414" s="1" t="n">
        <x:f>'Historical prices'!E5414</x:f>
        <x:v>1.05</x:v>
      </x:c>
      <x:c r="I5414" s="6" t="n">
        <x:f>'Historical prices'!D5414</x:f>
        <x:v>0.2762</x:v>
      </x:c>
      <x:c r="J5414" s="13" t="n">
        <x:f>D5414*I5414*H5414</x:f>
        <x:v>0</x:v>
      </x:c>
      <x:c r="K5414" s="13" t="n">
        <x:f>E5414*I5414*H5414</x:f>
        <x:v>0.2262319675</x:v>
      </x:c>
      <x:c r="L5414" s="1" t="str">
        <x:f>TEXT(A5414,"mmm yyyy")</x:f>
        <x:v>Aug 2026</x:v>
      </x:c>
    </x:row>
    <x:row r="5415" ht="21" customHeight="1">
      <x:c r="A5415" s="10" t="n">
        <x:v>46261</x:v>
      </x:c>
      <x:c r="B5415" s="1" t="n">
        <x:v>7.5</x:v>
      </x:c>
      <x:c r="C5415" s="1" t="n">
        <x:v>6</x:v>
      </x:c>
      <x:c r="D5415" s="12" t="n">
        <x:v>0.010833333333333334</x:v>
      </x:c>
      <x:c r="E5415" s="12" t="n">
        <x:v>1.4536666666666667</x:v>
      </x:c>
      <x:c r="F5415" s="12" t="n">
        <x:v>1.4417499999999999</x:v>
      </x:c>
      <x:c r="G5415" s="12" t="n">
        <x:v>0</x:v>
      </x:c>
      <x:c r="H5415" s="1" t="n">
        <x:f>'Historical prices'!E5415</x:f>
        <x:v>1.05</x:v>
      </x:c>
      <x:c r="I5415" s="6" t="n">
        <x:f>'Historical prices'!D5415</x:f>
        <x:v>0.2967</x:v>
      </x:c>
      <x:c r="J5415" s="13" t="n">
        <x:f>D5415*I5415*H5415</x:f>
        <x:v>0.0033749625000000006</x:v>
      </x:c>
      <x:c r="K5415" s="13" t="n">
        <x:f>E5415*I5415*H5415</x:f>
        <x:v>0.45286804500000005</x:v>
      </x:c>
      <x:c r="L5415" s="1" t="str">
        <x:f>TEXT(A5415,"mmm yyyy")</x:f>
        <x:v>Aug 2026</x:v>
      </x:c>
    </x:row>
    <x:row r="5416" ht="21" customHeight="1">
      <x:c r="A5416" s="10" t="n">
        <x:v>46261</x:v>
      </x:c>
      <x:c r="B5416" s="1" t="n">
        <x:v>8</x:v>
      </x:c>
      <x:c r="C5416" s="1" t="n">
        <x:v>6</x:v>
      </x:c>
      <x:c r="D5416" s="12" t="n">
        <x:v>0</x:v>
      </x:c>
      <x:c r="E5416" s="12" t="n">
        <x:v>0.6688333333333333</x:v>
      </x:c>
      <x:c r="F5416" s="12" t="n">
        <x:v>0.6683333333333333</x:v>
      </x:c>
      <x:c r="G5416" s="12" t="n">
        <x:v>0</x:v>
      </x:c>
      <x:c r="H5416" s="1" t="n">
        <x:f>'Historical prices'!E5416</x:f>
        <x:v>1.05</x:v>
      </x:c>
      <x:c r="I5416" s="6" t="n">
        <x:f>'Historical prices'!D5416</x:f>
        <x:v>0.2921</x:v>
      </x:c>
      <x:c r="J5416" s="13" t="n">
        <x:f>D5416*I5416*H5416</x:f>
        <x:v>0</x:v>
      </x:c>
      <x:c r="K5416" s="13" t="n">
        <x:f>E5416*I5416*H5416</x:f>
        <x:v>0.20513452750000002</x:v>
      </x:c>
      <x:c r="L5416" s="1" t="str">
        <x:f>TEXT(A5416,"mmm yyyy")</x:f>
        <x:v>Aug 2026</x:v>
      </x:c>
    </x:row>
    <x:row r="5417" ht="21" customHeight="1">
      <x:c r="A5417" s="10" t="n">
        <x:v>46261</x:v>
      </x:c>
      <x:c r="B5417" s="1" t="n">
        <x:v>8.5</x:v>
      </x:c>
      <x:c r="C5417" s="1" t="n">
        <x:v>6</x:v>
      </x:c>
      <x:c r="D5417" s="12" t="n">
        <x:v>0</x:v>
      </x:c>
      <x:c r="E5417" s="12" t="n">
        <x:v>1.259</x:v>
      </x:c>
      <x:c r="F5417" s="12" t="n">
        <x:v>1.2584166666666667</x:v>
      </x:c>
      <x:c r="G5417" s="12" t="n">
        <x:v>0</x:v>
      </x:c>
      <x:c r="H5417" s="1" t="n">
        <x:f>'Historical prices'!E5417</x:f>
        <x:v>1.05</x:v>
      </x:c>
      <x:c r="I5417" s="6" t="n">
        <x:f>'Historical prices'!D5417</x:f>
        <x:v>0.2969</x:v>
      </x:c>
      <x:c r="J5417" s="13" t="n">
        <x:f>D5417*I5417*H5417</x:f>
        <x:v>0</x:v>
      </x:c>
      <x:c r="K5417" s="13" t="n">
        <x:f>E5417*I5417*H5417</x:f>
        <x:v>0.392486955</x:v>
      </x:c>
      <x:c r="L5417" s="1" t="str">
        <x:f>TEXT(A5417,"mmm yyyy")</x:f>
        <x:v>Aug 2026</x:v>
      </x:c>
    </x:row>
    <x:row r="5418" ht="21" customHeight="1">
      <x:c r="A5418" s="10" t="n">
        <x:v>46261</x:v>
      </x:c>
      <x:c r="B5418" s="1" t="n">
        <x:v>9</x:v>
      </x:c>
      <x:c r="C5418" s="1" t="n">
        <x:v>6</x:v>
      </x:c>
      <x:c r="D5418" s="12" t="n">
        <x:v>0</x:v>
      </x:c>
      <x:c r="E5418" s="12" t="n">
        <x:v>0.9030833333333332</x:v>
      </x:c>
      <x:c r="F5418" s="12" t="n">
        <x:v>0.9023333333333333</x:v>
      </x:c>
      <x:c r="G5418" s="12" t="n">
        <x:v>0</x:v>
      </x:c>
      <x:c r="H5418" s="1" t="n">
        <x:f>'Historical prices'!E5418</x:f>
        <x:v>1.05</x:v>
      </x:c>
      <x:c r="I5418" s="6" t="n">
        <x:f>'Historical prices'!D5418</x:f>
        <x:v>0.2818</x:v>
      </x:c>
      <x:c r="J5418" s="13" t="n">
        <x:f>D5418*I5418*H5418</x:f>
        <x:v>0</x:v>
      </x:c>
      <x:c r="K5418" s="13" t="n">
        <x:f>E5418*I5418*H5418</x:f>
        <x:v>0.2672133275</x:v>
      </x:c>
      <x:c r="L5418" s="1" t="str">
        <x:f>TEXT(A5418,"mmm yyyy")</x:f>
        <x:v>Aug 2026</x:v>
      </x:c>
    </x:row>
    <x:row r="5419" ht="21" customHeight="1">
      <x:c r="A5419" s="10" t="n">
        <x:v>46261</x:v>
      </x:c>
      <x:c r="B5419" s="1" t="n">
        <x:v>9.5</x:v>
      </x:c>
      <x:c r="C5419" s="1" t="n">
        <x:v>6</x:v>
      </x:c>
      <x:c r="D5419" s="12" t="n">
        <x:v>0</x:v>
      </x:c>
      <x:c r="E5419" s="12" t="n">
        <x:v>0.80875</x:v>
      </x:c>
      <x:c r="F5419" s="12" t="n">
        <x:v>0.80825</x:v>
      </x:c>
      <x:c r="G5419" s="12" t="n">
        <x:v>0</x:v>
      </x:c>
      <x:c r="H5419" s="1" t="n">
        <x:f>'Historical prices'!E5419</x:f>
        <x:v>1.05</x:v>
      </x:c>
      <x:c r="I5419" s="6" t="n">
        <x:f>'Historical prices'!D5419</x:f>
        <x:v>0.2766</x:v>
      </x:c>
      <x:c r="J5419" s="13" t="n">
        <x:f>D5419*I5419*H5419</x:f>
        <x:v>0</x:v>
      </x:c>
      <x:c r="K5419" s="13" t="n">
        <x:f>E5419*I5419*H5419</x:f>
        <x:v>0.2348852625</x:v>
      </x:c>
      <x:c r="L5419" s="1" t="str">
        <x:f>TEXT(A5419,"mmm yyyy")</x:f>
        <x:v>Aug 2026</x:v>
      </x:c>
    </x:row>
    <x:row r="5420" ht="21" customHeight="1">
      <x:c r="A5420" s="10" t="n">
        <x:v>46261</x:v>
      </x:c>
      <x:c r="B5420" s="1" t="n">
        <x:v>10</x:v>
      </x:c>
      <x:c r="C5420" s="1" t="n">
        <x:v>6</x:v>
      </x:c>
      <x:c r="D5420" s="12" t="n">
        <x:v>0.009583333333333333</x:v>
      </x:c>
      <x:c r="E5420" s="12" t="n">
        <x:v>0.8144166666666667</x:v>
      </x:c>
      <x:c r="F5420" s="12" t="n">
        <x:v>0.8045833333333333</x:v>
      </x:c>
      <x:c r="G5420" s="12" t="n">
        <x:v>0</x:v>
      </x:c>
      <x:c r="H5420" s="1" t="n">
        <x:f>'Historical prices'!E5420</x:f>
        <x:v>1.05</x:v>
      </x:c>
      <x:c r="I5420" s="6" t="n">
        <x:f>'Historical prices'!D5420</x:f>
        <x:v>0.2791</x:v>
      </x:c>
      <x:c r="J5420" s="13" t="n">
        <x:f>D5420*I5420*H5420</x:f>
        <x:v>0.00280844375</x:v>
      </x:c>
      <x:c r="K5420" s="13" t="n">
        <x:f>E5420*I5420*H5420</x:f>
        <x:v>0.23866887625000002</x:v>
      </x:c>
      <x:c r="L5420" s="1" t="str">
        <x:f>TEXT(A5420,"mmm yyyy")</x:f>
        <x:v>Aug 2026</x:v>
      </x:c>
    </x:row>
    <x:row r="5421" ht="21" customHeight="1">
      <x:c r="A5421" s="10" t="n">
        <x:v>46261</x:v>
      </x:c>
      <x:c r="B5421" s="1" t="n">
        <x:v>10.5</x:v>
      </x:c>
      <x:c r="C5421" s="1" t="n">
        <x:v>6</x:v>
      </x:c>
      <x:c r="D5421" s="12" t="n">
        <x:v>0</x:v>
      </x:c>
      <x:c r="E5421" s="12" t="n">
        <x:v>0.9056666666666667</x:v>
      </x:c>
      <x:c r="F5421" s="12" t="n">
        <x:v>0.90525</x:v>
      </x:c>
      <x:c r="G5421" s="12" t="n">
        <x:v>0</x:v>
      </x:c>
      <x:c r="H5421" s="1" t="n">
        <x:f>'Historical prices'!E5421</x:f>
        <x:v>1.05</x:v>
      </x:c>
      <x:c r="I5421" s="6" t="n">
        <x:f>'Historical prices'!D5421</x:f>
        <x:v>0.27190000000000003</x:v>
      </x:c>
      <x:c r="J5421" s="13" t="n">
        <x:f>D5421*I5421*H5421</x:f>
        <x:v>0</x:v>
      </x:c>
      <x:c r="K5421" s="13" t="n">
        <x:f>E5421*I5421*H5421</x:f>
        <x:v>0.2585633050000001</x:v>
      </x:c>
      <x:c r="L5421" s="1" t="str">
        <x:f>TEXT(A5421,"mmm yyyy")</x:f>
        <x:v>Aug 2026</x:v>
      </x:c>
    </x:row>
    <x:row r="5422" ht="21" customHeight="1">
      <x:c r="A5422" s="10" t="n">
        <x:v>46261</x:v>
      </x:c>
      <x:c r="B5422" s="1" t="n">
        <x:v>11</x:v>
      </x:c>
      <x:c r="C5422" s="1" t="n">
        <x:v>6</x:v>
      </x:c>
      <x:c r="D5422" s="12" t="n">
        <x:v>0.71925</x:v>
      </x:c>
      <x:c r="E5422" s="12" t="n">
        <x:v>0.8574166666666667</x:v>
      </x:c>
      <x:c r="F5422" s="12" t="n">
        <x:v>0.127</x:v>
      </x:c>
      <x:c r="G5422" s="12" t="n">
        <x:v>0</x:v>
      </x:c>
      <x:c r="H5422" s="1" t="n">
        <x:f>'Historical prices'!E5422</x:f>
        <x:v>1.05</x:v>
      </x:c>
      <x:c r="I5422" s="6" t="n">
        <x:f>'Historical prices'!D5422</x:f>
        <x:v>0.2613</x:v>
      </x:c>
      <x:c r="J5422" s="13" t="n">
        <x:f>D5422*I5422*H5422</x:f>
        <x:v>0.19733702624999996</x:v>
      </x:c>
      <x:c r="K5422" s="13" t="n">
        <x:f>E5422*I5422*H5422</x:f>
        <x:v>0.23524512375</x:v>
      </x:c>
      <x:c r="L5422" s="1" t="str">
        <x:f>TEXT(A5422,"mmm yyyy")</x:f>
        <x:v>Aug 2026</x:v>
      </x:c>
    </x:row>
    <x:row r="5423" ht="21" customHeight="1">
      <x:c r="A5423" s="10" t="n">
        <x:v>46261</x:v>
      </x:c>
      <x:c r="B5423" s="1" t="n">
        <x:v>11.5</x:v>
      </x:c>
      <x:c r="C5423" s="1" t="n">
        <x:v>6</x:v>
      </x:c>
      <x:c r="D5423" s="12" t="n">
        <x:v>0.97175</x:v>
      </x:c>
      <x:c r="E5423" s="12" t="n">
        <x:v>0.98175</x:v>
      </x:c>
      <x:c r="F5423" s="12" t="n">
        <x:v>0</x:v>
      </x:c>
      <x:c r="G5423" s="12" t="n">
        <x:v>0</x:v>
      </x:c>
      <x:c r="H5423" s="1" t="n">
        <x:f>'Historical prices'!E5423</x:f>
        <x:v>1.05</x:v>
      </x:c>
      <x:c r="I5423" s="6" t="n">
        <x:f>'Historical prices'!D5423</x:f>
        <x:v>0.2459</x:v>
      </x:c>
      <x:c r="J5423" s="13" t="n">
        <x:f>D5423*I5423*H5423</x:f>
        <x:v>0.25090099125</x:v>
      </x:c>
      <x:c r="K5423" s="13" t="n">
        <x:f>E5423*I5423*H5423</x:f>
        <x:v>0.25348294125000004</x:v>
      </x:c>
      <x:c r="L5423" s="1" t="str">
        <x:f>TEXT(A5423,"mmm yyyy")</x:f>
        <x:v>Aug 2026</x:v>
      </x:c>
    </x:row>
    <x:row r="5424" ht="21" customHeight="1">
      <x:c r="A5424" s="10" t="n">
        <x:v>46261</x:v>
      </x:c>
      <x:c r="B5424" s="1" t="n">
        <x:v>12</x:v>
      </x:c>
      <x:c r="C5424" s="1" t="n">
        <x:v>6</x:v>
      </x:c>
      <x:c r="D5424" s="12" t="n">
        <x:v>0.5887499999999999</x:v>
      </x:c>
      <x:c r="E5424" s="12" t="n">
        <x:v>0.6007499999999999</x:v>
      </x:c>
      <x:c r="F5424" s="12" t="n">
        <x:v>0</x:v>
      </x:c>
      <x:c r="G5424" s="12" t="n">
        <x:v>0</x:v>
      </x:c>
      <x:c r="H5424" s="1" t="n">
        <x:f>'Historical prices'!E5424</x:f>
        <x:v>1.05</x:v>
      </x:c>
      <x:c r="I5424" s="6" t="n">
        <x:f>'Historical prices'!D5424</x:f>
        <x:v>0.25329999999999997</x:v>
      </x:c>
      <x:c r="J5424" s="13" t="n">
        <x:f>D5424*I5424*H5424</x:f>
        <x:v>0.15658689374999996</x:v>
      </x:c>
      <x:c r="K5424" s="13" t="n">
        <x:f>E5424*I5424*H5424</x:f>
        <x:v>0.15977847374999996</x:v>
      </x:c>
      <x:c r="L5424" s="1" t="str">
        <x:f>TEXT(A5424,"mmm yyyy")</x:f>
        <x:v>Aug 2026</x:v>
      </x:c>
    </x:row>
    <x:row r="5425" ht="21" customHeight="1">
      <x:c r="A5425" s="10" t="n">
        <x:v>46261</x:v>
      </x:c>
      <x:c r="B5425" s="1" t="n">
        <x:v>12.5</x:v>
      </x:c>
      <x:c r="C5425" s="1" t="n">
        <x:v>6</x:v>
      </x:c>
      <x:c r="D5425" s="12" t="n">
        <x:v>0.46575</x:v>
      </x:c>
      <x:c r="E5425" s="12" t="n">
        <x:v>0.47675</x:v>
      </x:c>
      <x:c r="F5425" s="12" t="n">
        <x:v>0</x:v>
      </x:c>
      <x:c r="G5425" s="12" t="n">
        <x:v>0</x:v>
      </x:c>
      <x:c r="H5425" s="1" t="n">
        <x:f>'Historical prices'!E5425</x:f>
        <x:v>1.05</x:v>
      </x:c>
      <x:c r="I5425" s="6" t="n">
        <x:f>'Historical prices'!D5425</x:f>
        <x:v>0.24359999999999998</x:v>
      </x:c>
      <x:c r="J5425" s="13" t="n">
        <x:f>D5425*I5425*H5425</x:f>
        <x:v>0.119129535</x:v>
      </x:c>
      <x:c r="K5425" s="13" t="n">
        <x:f>E5425*I5425*H5425</x:f>
        <x:v>0.121943115</x:v>
      </x:c>
      <x:c r="L5425" s="1" t="str">
        <x:f>TEXT(A5425,"mmm yyyy")</x:f>
        <x:v>Aug 2026</x:v>
      </x:c>
    </x:row>
    <x:row r="5426" ht="21" customHeight="1">
      <x:c r="A5426" s="10" t="n">
        <x:v>46261</x:v>
      </x:c>
      <x:c r="B5426" s="1" t="n">
        <x:v>13</x:v>
      </x:c>
      <x:c r="C5426" s="1" t="n">
        <x:v>6</x:v>
      </x:c>
      <x:c r="D5426" s="12" t="n">
        <x:v>0.50825</x:v>
      </x:c>
      <x:c r="E5426" s="12" t="n">
        <x:v>0.51725</x:v>
      </x:c>
      <x:c r="F5426" s="12" t="n">
        <x:v>0</x:v>
      </x:c>
      <x:c r="G5426" s="12" t="n">
        <x:v>0</x:v>
      </x:c>
      <x:c r="H5426" s="1" t="n">
        <x:f>'Historical prices'!E5426</x:f>
        <x:v>1.05</x:v>
      </x:c>
      <x:c r="I5426" s="6" t="n">
        <x:f>'Historical prices'!D5426</x:f>
        <x:v>0.2348</x:v>
      </x:c>
      <x:c r="J5426" s="13" t="n">
        <x:f>D5426*I5426*H5426</x:f>
        <x:v>0.125303955</x:v>
      </x:c>
      <x:c r="K5426" s="13" t="n">
        <x:f>E5426*I5426*H5426</x:f>
        <x:v>0.127522815</x:v>
      </x:c>
      <x:c r="L5426" s="1" t="str">
        <x:f>TEXT(A5426,"mmm yyyy")</x:f>
        <x:v>Aug 2026</x:v>
      </x:c>
    </x:row>
    <x:row r="5427" ht="21" customHeight="1">
      <x:c r="A5427" s="10" t="n">
        <x:v>46261</x:v>
      </x:c>
      <x:c r="B5427" s="1" t="n">
        <x:v>13.5</x:v>
      </x:c>
      <x:c r="C5427" s="1" t="n">
        <x:v>6</x:v>
      </x:c>
      <x:c r="D5427" s="12" t="n">
        <x:v>0.38975</x:v>
      </x:c>
      <x:c r="E5427" s="12" t="n">
        <x:v>0.40075</x:v>
      </x:c>
      <x:c r="F5427" s="12" t="n">
        <x:v>0</x:v>
      </x:c>
      <x:c r="G5427" s="12" t="n">
        <x:v>0</x:v>
      </x:c>
      <x:c r="H5427" s="1" t="n">
        <x:f>'Historical prices'!E5427</x:f>
        <x:v>1.05</x:v>
      </x:c>
      <x:c r="I5427" s="6" t="n">
        <x:f>'Historical prices'!D5427</x:f>
        <x:v>0.22699999999999998</x:v>
      </x:c>
      <x:c r="J5427" s="13" t="n">
        <x:f>D5427*I5427*H5427</x:f>
        <x:v>0.0928969125</x:v>
      </x:c>
      <x:c r="K5427" s="13" t="n">
        <x:f>E5427*I5427*H5427</x:f>
        <x:v>0.09551876249999999</x:v>
      </x:c>
      <x:c r="L5427" s="1" t="str">
        <x:f>TEXT(A5427,"mmm yyyy")</x:f>
        <x:v>Aug 2026</x:v>
      </x:c>
    </x:row>
    <x:row r="5428" ht="21" customHeight="1">
      <x:c r="A5428" s="10" t="n">
        <x:v>46261</x:v>
      </x:c>
      <x:c r="B5428" s="1" t="n">
        <x:v>14</x:v>
      </x:c>
      <x:c r="C5428" s="1" t="n">
        <x:v>6</x:v>
      </x:c>
      <x:c r="D5428" s="12" t="n">
        <x:v>0.41675</x:v>
      </x:c>
      <x:c r="E5428" s="12" t="n">
        <x:v>0.42675</x:v>
      </x:c>
      <x:c r="F5428" s="12" t="n">
        <x:v>0</x:v>
      </x:c>
      <x:c r="G5428" s="12" t="n">
        <x:v>0</x:v>
      </x:c>
      <x:c r="H5428" s="1" t="n">
        <x:f>'Historical prices'!E5428</x:f>
        <x:v>1.05</x:v>
      </x:c>
      <x:c r="I5428" s="6" t="n">
        <x:f>'Historical prices'!D5428</x:f>
        <x:v>0.2309</x:v>
      </x:c>
      <x:c r="J5428" s="13" t="n">
        <x:f>D5428*I5428*H5428</x:f>
        <x:v>0.10103895375</x:v>
      </x:c>
      <x:c r="K5428" s="13" t="n">
        <x:f>E5428*I5428*H5428</x:f>
        <x:v>0.10346340375</x:v>
      </x:c>
      <x:c r="L5428" s="1" t="str">
        <x:f>TEXT(A5428,"mmm yyyy")</x:f>
        <x:v>Aug 2026</x:v>
      </x:c>
    </x:row>
    <x:row r="5429" ht="21" customHeight="1">
      <x:c r="A5429" s="10" t="n">
        <x:v>46261</x:v>
      </x:c>
      <x:c r="B5429" s="1" t="n">
        <x:v>14.5</x:v>
      </x:c>
      <x:c r="C5429" s="1" t="n">
        <x:v>6</x:v>
      </x:c>
      <x:c r="D5429" s="12" t="n">
        <x:v>0.42025</x:v>
      </x:c>
      <x:c r="E5429" s="12" t="n">
        <x:v>0.43025</x:v>
      </x:c>
      <x:c r="F5429" s="12" t="n">
        <x:v>0</x:v>
      </x:c>
      <x:c r="G5429" s="12" t="n">
        <x:v>0</x:v>
      </x:c>
      <x:c r="H5429" s="1" t="n">
        <x:f>'Historical prices'!E5429</x:f>
        <x:v>1.05</x:v>
      </x:c>
      <x:c r="I5429" s="6" t="n">
        <x:f>'Historical prices'!D5429</x:f>
        <x:v>0.2293</x:v>
      </x:c>
      <x:c r="J5429" s="13" t="n">
        <x:f>D5429*I5429*H5429</x:f>
        <x:v>0.10118149125</x:v>
      </x:c>
      <x:c r="K5429" s="13" t="n">
        <x:f>E5429*I5429*H5429</x:f>
        <x:v>0.10358914125</x:v>
      </x:c>
      <x:c r="L5429" s="1" t="str">
        <x:f>TEXT(A5429,"mmm yyyy")</x:f>
        <x:v>Aug 2026</x:v>
      </x:c>
    </x:row>
    <x:row r="5430" ht="21" customHeight="1">
      <x:c r="A5430" s="10" t="n">
        <x:v>46261</x:v>
      </x:c>
      <x:c r="B5430" s="1" t="n">
        <x:v>15</x:v>
      </x:c>
      <x:c r="C5430" s="1" t="n">
        <x:v>6</x:v>
      </x:c>
      <x:c r="D5430" s="12" t="n">
        <x:v>0.45925</x:v>
      </x:c>
      <x:c r="E5430" s="12" t="n">
        <x:v>0.47025</x:v>
      </x:c>
      <x:c r="F5430" s="12" t="n">
        <x:v>0</x:v>
      </x:c>
      <x:c r="G5430" s="12" t="n">
        <x:v>0</x:v>
      </x:c>
      <x:c r="H5430" s="1" t="n">
        <x:f>'Historical prices'!E5430</x:f>
        <x:v>1.05</x:v>
      </x:c>
      <x:c r="I5430" s="6" t="n">
        <x:f>'Historical prices'!D5430</x:f>
        <x:v>0.2182</x:v>
      </x:c>
      <x:c r="J5430" s="13" t="n">
        <x:f>D5430*I5430*H5430</x:f>
        <x:v>0.1052187675</x:v>
      </x:c>
      <x:c r="K5430" s="13" t="n">
        <x:f>E5430*I5430*H5430</x:f>
        <x:v>0.10773897750000001</x:v>
      </x:c>
      <x:c r="L5430" s="1" t="str">
        <x:f>TEXT(A5430,"mmm yyyy")</x:f>
        <x:v>Aug 2026</x:v>
      </x:c>
    </x:row>
    <x:row r="5431" ht="21" customHeight="1">
      <x:c r="A5431" s="10" t="n">
        <x:v>46261</x:v>
      </x:c>
      <x:c r="B5431" s="1" t="n">
        <x:v>15.5</x:v>
      </x:c>
      <x:c r="C5431" s="1" t="n">
        <x:v>6</x:v>
      </x:c>
      <x:c r="D5431" s="12" t="n">
        <x:v>0.418</x:v>
      </x:c>
      <x:c r="E5431" s="12" t="n">
        <x:v>0.428</x:v>
      </x:c>
      <x:c r="F5431" s="12" t="n">
        <x:v>0</x:v>
      </x:c>
      <x:c r="G5431" s="12" t="n">
        <x:v>0</x:v>
      </x:c>
      <x:c r="H5431" s="1" t="n">
        <x:f>'Historical prices'!E5431</x:f>
        <x:v>1.05</x:v>
      </x:c>
      <x:c r="I5431" s="6" t="n">
        <x:f>'Historical prices'!D5431</x:f>
        <x:v>0.22829999999999998</x:v>
      </x:c>
      <x:c r="J5431" s="13" t="n">
        <x:f>D5431*I5431*H5431</x:f>
        <x:v>0.10020086999999998</x:v>
      </x:c>
      <x:c r="K5431" s="13" t="n">
        <x:f>E5431*I5431*H5431</x:f>
        <x:v>0.10259802</x:v>
      </x:c>
      <x:c r="L5431" s="1" t="str">
        <x:f>TEXT(A5431,"mmm yyyy")</x:f>
        <x:v>Aug 2026</x:v>
      </x:c>
    </x:row>
    <x:row r="5432" ht="21" customHeight="1">
      <x:c r="A5432" s="10" t="n">
        <x:v>46261</x:v>
      </x:c>
      <x:c r="B5432" s="1" t="n">
        <x:v>16</x:v>
      </x:c>
      <x:c r="C5432" s="1" t="n">
        <x:v>6</x:v>
      </x:c>
      <x:c r="D5432" s="12" t="n">
        <x:v>0.0665</x:v>
      </x:c>
      <x:c r="E5432" s="12" t="n">
        <x:v>0.6024166666666667</x:v>
      </x:c>
      <x:c r="F5432" s="12" t="n">
        <x:v>0.5336666666666666</x:v>
      </x:c>
      <x:c r="G5432" s="12" t="n">
        <x:v>0</x:v>
      </x:c>
      <x:c r="H5432" s="1" t="n">
        <x:f>'Historical prices'!E5432</x:f>
        <x:v>1.05</x:v>
      </x:c>
      <x:c r="I5432" s="6" t="n">
        <x:f>'Historical prices'!D5432</x:f>
        <x:v>0.3546</x:v>
      </x:c>
      <x:c r="J5432" s="13" t="n">
        <x:f>D5432*I5432*H5432</x:f>
        <x:v>0.024759945000000002</x:v>
      </x:c>
      <x:c r="K5432" s="13" t="n">
        <x:f>E5432*I5432*H5432</x:f>
        <x:v>0.22429779750000003</x:v>
      </x:c>
      <x:c r="L5432" s="1" t="str">
        <x:f>TEXT(A5432,"mmm yyyy")</x:f>
        <x:v>Aug 2026</x:v>
      </x:c>
    </x:row>
    <x:row r="5433" ht="21" customHeight="1">
      <x:c r="A5433" s="10" t="n">
        <x:v>46261</x:v>
      </x:c>
      <x:c r="B5433" s="1" t="n">
        <x:v>16.5</x:v>
      </x:c>
      <x:c r="C5433" s="1" t="n">
        <x:v>6</x:v>
      </x:c>
      <x:c r="D5433" s="12" t="n">
        <x:v>0</x:v>
      </x:c>
      <x:c r="E5433" s="12" t="n">
        <x:v>0.6393333333333334</x:v>
      </x:c>
      <x:c r="F5433" s="12" t="n">
        <x:v>0.6385000000000001</x:v>
      </x:c>
      <x:c r="G5433" s="12" t="n">
        <x:v>0</x:v>
      </x:c>
      <x:c r="H5433" s="1" t="n">
        <x:f>'Historical prices'!E5433</x:f>
        <x:v>1.05</x:v>
      </x:c>
      <x:c r="I5433" s="6" t="n">
        <x:f>'Historical prices'!D5433</x:f>
        <x:v>0.3636</x:v>
      </x:c>
      <x:c r="J5433" s="13" t="n">
        <x:f>D5433*I5433*H5433</x:f>
        <x:v>0</x:v>
      </x:c>
      <x:c r="K5433" s="13" t="n">
        <x:f>E5433*I5433*H5433</x:f>
        <x:v>0.24408468000000003</x:v>
      </x:c>
      <x:c r="L5433" s="1" t="str">
        <x:f>TEXT(A5433,"mmm yyyy")</x:f>
        <x:v>Aug 2026</x:v>
      </x:c>
    </x:row>
    <x:row r="5434" ht="21" customHeight="1">
      <x:c r="A5434" s="10" t="n">
        <x:v>46261</x:v>
      </x:c>
      <x:c r="B5434" s="1" t="n">
        <x:v>17</x:v>
      </x:c>
      <x:c r="C5434" s="1" t="n">
        <x:v>6</x:v>
      </x:c>
      <x:c r="D5434" s="12" t="n">
        <x:v>0</x:v>
      </x:c>
      <x:c r="E5434" s="12" t="n">
        <x:v>0.6185833333333334</x:v>
      </x:c>
      <x:c r="F5434" s="12" t="n">
        <x:v>0.6183333333333334</x:v>
      </x:c>
      <x:c r="G5434" s="12" t="n">
        <x:v>0</x:v>
      </x:c>
      <x:c r="H5434" s="1" t="n">
        <x:f>'Historical prices'!E5434</x:f>
        <x:v>1.05</x:v>
      </x:c>
      <x:c r="I5434" s="6" t="n">
        <x:f>'Historical prices'!D5434</x:f>
        <x:v>0.40399999999999997</x:v>
      </x:c>
      <x:c r="J5434" s="13" t="n">
        <x:f>D5434*I5434*H5434</x:f>
        <x:v>0</x:v>
      </x:c>
      <x:c r="K5434" s="13" t="n">
        <x:f>E5434*I5434*H5434</x:f>
        <x:v>0.26240305</x:v>
      </x:c>
      <x:c r="L5434" s="1" t="str">
        <x:f>TEXT(A5434,"mmm yyyy")</x:f>
        <x:v>Aug 2026</x:v>
      </x:c>
    </x:row>
    <x:row r="5435" ht="21" customHeight="1">
      <x:c r="A5435" s="10" t="n">
        <x:v>46261</x:v>
      </x:c>
      <x:c r="B5435" s="1" t="n">
        <x:v>17.5</x:v>
      </x:c>
      <x:c r="C5435" s="1" t="n">
        <x:v>6</x:v>
      </x:c>
      <x:c r="D5435" s="12" t="n">
        <x:v>0</x:v>
      </x:c>
      <x:c r="E5435" s="12" t="n">
        <x:v>0.62475</x:v>
      </x:c>
      <x:c r="F5435" s="12" t="n">
        <x:v>0.6243333333333333</x:v>
      </x:c>
      <x:c r="G5435" s="12" t="n">
        <x:v>0</x:v>
      </x:c>
      <x:c r="H5435" s="1" t="n">
        <x:f>'Historical prices'!E5435</x:f>
        <x:v>1.05</x:v>
      </x:c>
      <x:c r="I5435" s="6" t="n">
        <x:f>'Historical prices'!D5435</x:f>
        <x:v>0.43200000000000005</x:v>
      </x:c>
      <x:c r="J5435" s="13" t="n">
        <x:f>D5435*I5435*H5435</x:f>
        <x:v>0</x:v>
      </x:c>
      <x:c r="K5435" s="13" t="n">
        <x:f>E5435*I5435*H5435</x:f>
        <x:v>0.28338660000000004</x:v>
      </x:c>
      <x:c r="L5435" s="1" t="str">
        <x:f>TEXT(A5435,"mmm yyyy")</x:f>
        <x:v>Aug 2026</x:v>
      </x:c>
    </x:row>
    <x:row r="5436" ht="21" customHeight="1">
      <x:c r="A5436" s="10" t="n">
        <x:v>46261</x:v>
      </x:c>
      <x:c r="B5436" s="1" t="n">
        <x:v>18</x:v>
      </x:c>
      <x:c r="C5436" s="1" t="n">
        <x:v>6</x:v>
      </x:c>
      <x:c r="D5436" s="12" t="n">
        <x:v>0</x:v>
      </x:c>
      <x:c r="E5436" s="12" t="n">
        <x:v>0.5915</x:v>
      </x:c>
      <x:c r="F5436" s="12" t="n">
        <x:v>0.5913333333333333</x:v>
      </x:c>
      <x:c r="G5436" s="12" t="n">
        <x:v>0</x:v>
      </x:c>
      <x:c r="H5436" s="1" t="n">
        <x:f>'Historical prices'!E5436</x:f>
        <x:v>1.05</x:v>
      </x:c>
      <x:c r="I5436" s="6" t="n">
        <x:f>'Historical prices'!D5436</x:f>
        <x:v>0.43939999999999996</x:v>
      </x:c>
      <x:c r="J5436" s="13" t="n">
        <x:f>D5436*I5436*H5436</x:f>
        <x:v>0</x:v>
      </x:c>
      <x:c r="K5436" s="13" t="n">
        <x:f>E5436*I5436*H5436</x:f>
        <x:v>0.27290035500000004</x:v>
      </x:c>
      <x:c r="L5436" s="1" t="str">
        <x:f>TEXT(A5436,"mmm yyyy")</x:f>
        <x:v>Aug 2026</x:v>
      </x:c>
    </x:row>
    <x:row r="5437" ht="21" customHeight="1">
      <x:c r="A5437" s="10" t="n">
        <x:v>46261</x:v>
      </x:c>
      <x:c r="B5437" s="1" t="n">
        <x:v>18.5</x:v>
      </x:c>
      <x:c r="C5437" s="1" t="n">
        <x:v>6</x:v>
      </x:c>
      <x:c r="D5437" s="12" t="n">
        <x:v>0</x:v>
      </x:c>
      <x:c r="E5437" s="12" t="n">
        <x:v>0.8988333333333335</x:v>
      </x:c>
      <x:c r="F5437" s="12" t="n">
        <x:v>0.8985833333333334</x:v>
      </x:c>
      <x:c r="G5437" s="12" t="n">
        <x:v>0</x:v>
      </x:c>
      <x:c r="H5437" s="1" t="n">
        <x:f>'Historical prices'!E5437</x:f>
        <x:v>1.05</x:v>
      </x:c>
      <x:c r="I5437" s="6" t="n">
        <x:f>'Historical prices'!D5437</x:f>
        <x:v>0.4487</x:v>
      </x:c>
      <x:c r="J5437" s="13" t="n">
        <x:f>D5437*I5437*H5437</x:f>
        <x:v>0</x:v>
      </x:c>
      <x:c r="K5437" s="13" t="n">
        <x:f>E5437*I5437*H5437</x:f>
        <x:v>0.4234718425000001</x:v>
      </x:c>
      <x:c r="L5437" s="1" t="str">
        <x:f>TEXT(A5437,"mmm yyyy")</x:f>
        <x:v>Aug 2026</x:v>
      </x:c>
    </x:row>
    <x:row r="5438" ht="21" customHeight="1">
      <x:c r="A5438" s="10" t="n">
        <x:v>46261</x:v>
      </x:c>
      <x:c r="B5438" s="1" t="n">
        <x:v>19</x:v>
      </x:c>
      <x:c r="C5438" s="1" t="n">
        <x:v>6</x:v>
      </x:c>
      <x:c r="D5438" s="12" t="n">
        <x:v>0</x:v>
      </x:c>
      <x:c r="E5438" s="12" t="n">
        <x:v>0.5578333333333333</x:v>
      </x:c>
      <x:c r="F5438" s="12" t="n">
        <x:v>0.5575833333333333</x:v>
      </x:c>
      <x:c r="G5438" s="12" t="n">
        <x:v>0</x:v>
      </x:c>
      <x:c r="H5438" s="1" t="n">
        <x:f>'Historical prices'!E5438</x:f>
        <x:v>1.05</x:v>
      </x:c>
      <x:c r="I5438" s="6" t="n">
        <x:f>'Historical prices'!D5438</x:f>
        <x:v>0.3276</x:v>
      </x:c>
      <x:c r="J5438" s="13" t="n">
        <x:f>D5438*I5438*H5438</x:f>
        <x:v>0</x:v>
      </x:c>
      <x:c r="K5438" s="13" t="n">
        <x:f>E5438*I5438*H5438</x:f>
        <x:v>0.19188351</x:v>
      </x:c>
      <x:c r="L5438" s="1" t="str">
        <x:f>TEXT(A5438,"mmm yyyy")</x:f>
        <x:v>Aug 2026</x:v>
      </x:c>
    </x:row>
    <x:row r="5439" ht="21" customHeight="1">
      <x:c r="A5439" s="10" t="n">
        <x:v>46261</x:v>
      </x:c>
      <x:c r="B5439" s="1" t="n">
        <x:v>19.5</x:v>
      </x:c>
      <x:c r="C5439" s="1" t="n">
        <x:v>6</x:v>
      </x:c>
      <x:c r="D5439" s="12" t="n">
        <x:v>0</x:v>
      </x:c>
      <x:c r="E5439" s="12" t="n">
        <x:v>0.8165</x:v>
      </x:c>
      <x:c r="F5439" s="12" t="n">
        <x:v>0.8162499999999999</x:v>
      </x:c>
      <x:c r="G5439" s="12" t="n">
        <x:v>0</x:v>
      </x:c>
      <x:c r="H5439" s="1" t="n">
        <x:f>'Historical prices'!E5439</x:f>
        <x:v>1.05</x:v>
      </x:c>
      <x:c r="I5439" s="6" t="n">
        <x:f>'Historical prices'!D5439</x:f>
        <x:v>0.32799999999999996</x:v>
      </x:c>
      <x:c r="J5439" s="13" t="n">
        <x:f>D5439*I5439*H5439</x:f>
        <x:v>0</x:v>
      </x:c>
      <x:c r="K5439" s="13" t="n">
        <x:f>E5439*I5439*H5439</x:f>
        <x:v>0.2812026</x:v>
      </x:c>
      <x:c r="L5439" s="1" t="str">
        <x:f>TEXT(A5439,"mmm yyyy")</x:f>
        <x:v>Aug 2026</x:v>
      </x:c>
    </x:row>
    <x:row r="5440" ht="21" customHeight="1">
      <x:c r="A5440" s="10" t="n">
        <x:v>46261</x:v>
      </x:c>
      <x:c r="B5440" s="1" t="n">
        <x:v>20</x:v>
      </x:c>
      <x:c r="C5440" s="1" t="n">
        <x:v>6</x:v>
      </x:c>
      <x:c r="D5440" s="12" t="n">
        <x:v>0</x:v>
      </x:c>
      <x:c r="E5440" s="12" t="n">
        <x:v>0.5664166666666666</x:v>
      </x:c>
      <x:c r="F5440" s="12" t="n">
        <x:v>0.5638333333333333</x:v>
      </x:c>
      <x:c r="G5440" s="12" t="n">
        <x:v>0</x:v>
      </x:c>
      <x:c r="H5440" s="1" t="n">
        <x:f>'Historical prices'!E5440</x:f>
        <x:v>1.05</x:v>
      </x:c>
      <x:c r="I5440" s="6" t="n">
        <x:f>'Historical prices'!D5440</x:f>
        <x:v>0.3173</x:v>
      </x:c>
      <x:c r="J5440" s="13" t="n">
        <x:f>D5440*I5440*H5440</x:f>
        <x:v>0</x:v>
      </x:c>
      <x:c r="K5440" s="13" t="n">
        <x:f>E5440*I5440*H5440</x:f>
        <x:v>0.18871020875</x:v>
      </x:c>
      <x:c r="L5440" s="1" t="str">
        <x:f>TEXT(A5440,"mmm yyyy")</x:f>
        <x:v>Aug 2026</x:v>
      </x:c>
    </x:row>
    <x:row r="5441" ht="21" customHeight="1">
      <x:c r="A5441" s="10" t="n">
        <x:v>46261</x:v>
      </x:c>
      <x:c r="B5441" s="1" t="n">
        <x:v>20.5</x:v>
      </x:c>
      <x:c r="C5441" s="1" t="n">
        <x:v>6</x:v>
      </x:c>
      <x:c r="D5441" s="12" t="n">
        <x:v>0</x:v>
      </x:c>
      <x:c r="E5441" s="12" t="n">
        <x:v>0.4956666666666667</x:v>
      </x:c>
      <x:c r="F5441" s="12" t="n">
        <x:v>0.49525</x:v>
      </x:c>
      <x:c r="G5441" s="12" t="n">
        <x:v>0</x:v>
      </x:c>
      <x:c r="H5441" s="1" t="n">
        <x:f>'Historical prices'!E5441</x:f>
        <x:v>1.05</x:v>
      </x:c>
      <x:c r="I5441" s="6" t="n">
        <x:f>'Historical prices'!D5441</x:f>
        <x:v>0.3151</x:v>
      </x:c>
      <x:c r="J5441" s="13" t="n">
        <x:f>D5441*I5441*H5441</x:f>
        <x:v>0</x:v>
      </x:c>
      <x:c r="K5441" s="13" t="n">
        <x:f>E5441*I5441*H5441</x:f>
        <x:v>0.163993795</x:v>
      </x:c>
      <x:c r="L5441" s="1" t="str">
        <x:f>TEXT(A5441,"mmm yyyy")</x:f>
        <x:v>Aug 2026</x:v>
      </x:c>
    </x:row>
    <x:row r="5442" ht="21" customHeight="1">
      <x:c r="A5442" s="10" t="n">
        <x:v>46261</x:v>
      </x:c>
      <x:c r="B5442" s="1" t="n">
        <x:v>21</x:v>
      </x:c>
      <x:c r="C5442" s="1" t="n">
        <x:v>6</x:v>
      </x:c>
      <x:c r="D5442" s="12" t="n">
        <x:v>0</x:v>
      </x:c>
      <x:c r="E5442" s="12" t="n">
        <x:v>0.5783333333333334</x:v>
      </x:c>
      <x:c r="F5442" s="12" t="n">
        <x:v>0.5780833333333334</x:v>
      </x:c>
      <x:c r="G5442" s="12" t="n">
        <x:v>0</x:v>
      </x:c>
      <x:c r="H5442" s="1" t="n">
        <x:f>'Historical prices'!E5442</x:f>
        <x:v>1.05</x:v>
      </x:c>
      <x:c r="I5442" s="6" t="n">
        <x:f>'Historical prices'!D5442</x:f>
        <x:v>0.3131</x:v>
      </x:c>
      <x:c r="J5442" s="13" t="n">
        <x:f>D5442*I5442*H5442</x:f>
        <x:v>0</x:v>
      </x:c>
      <x:c r="K5442" s="13" t="n">
        <x:f>E5442*I5442*H5442</x:f>
        <x:v>0.190129975</x:v>
      </x:c>
      <x:c r="L5442" s="1" t="str">
        <x:f>TEXT(A5442,"mmm yyyy")</x:f>
        <x:v>Aug 2026</x:v>
      </x:c>
    </x:row>
    <x:row r="5443" ht="21" customHeight="1">
      <x:c r="A5443" s="10" t="n">
        <x:v>46261</x:v>
      </x:c>
      <x:c r="B5443" s="1" t="n">
        <x:v>21.5</x:v>
      </x:c>
      <x:c r="C5443" s="1" t="n">
        <x:v>6</x:v>
      </x:c>
      <x:c r="D5443" s="12" t="n">
        <x:v>0</x:v>
      </x:c>
      <x:c r="E5443" s="12" t="n">
        <x:v>0.9279166666666667</x:v>
      </x:c>
      <x:c r="F5443" s="12" t="n">
        <x:v>0.9275</x:v>
      </x:c>
      <x:c r="G5443" s="12" t="n">
        <x:v>0</x:v>
      </x:c>
      <x:c r="H5443" s="1" t="n">
        <x:f>'Historical prices'!E5443</x:f>
        <x:v>1.05</x:v>
      </x:c>
      <x:c r="I5443" s="6" t="n">
        <x:f>'Historical prices'!D5443</x:f>
        <x:v>0.2919</x:v>
      </x:c>
      <x:c r="J5443" s="13" t="n">
        <x:f>D5443*I5443*H5443</x:f>
        <x:v>0</x:v>
      </x:c>
      <x:c r="K5443" s="13" t="n">
        <x:f>E5443*I5443*H5443</x:f>
        <x:v>0.28440181875000003</x:v>
      </x:c>
      <x:c r="L5443" s="1" t="str">
        <x:f>TEXT(A5443,"mmm yyyy")</x:f>
        <x:v>Aug 2026</x:v>
      </x:c>
    </x:row>
    <x:row r="5444" ht="21" customHeight="1">
      <x:c r="A5444" s="10" t="n">
        <x:v>46261</x:v>
      </x:c>
      <x:c r="B5444" s="1" t="n">
        <x:v>22</x:v>
      </x:c>
      <x:c r="C5444" s="1" t="n">
        <x:v>6</x:v>
      </x:c>
      <x:c r="D5444" s="12" t="n">
        <x:v>0.11516666666666667</x:v>
      </x:c>
      <x:c r="E5444" s="12" t="n">
        <x:v>0.39383333333333337</x:v>
      </x:c>
      <x:c r="F5444" s="12" t="n">
        <x:v>0.272</x:v>
      </x:c>
      <x:c r="G5444" s="12" t="n">
        <x:v>0</x:v>
      </x:c>
      <x:c r="H5444" s="1" t="n">
        <x:f>'Historical prices'!E5444</x:f>
        <x:v>1.05</x:v>
      </x:c>
      <x:c r="I5444" s="6" t="n">
        <x:f>'Historical prices'!D5444</x:f>
        <x:v>0.2834</x:v>
      </x:c>
      <x:c r="J5444" s="13" t="n">
        <x:f>D5444*I5444*H5444</x:f>
        <x:v>0.034270144999999995</x:v>
      </x:c>
      <x:c r="K5444" s="13" t="n">
        <x:f>E5444*I5444*H5444</x:f>
        <x:v>0.11719298500000001</x:v>
      </x:c>
      <x:c r="L5444" s="1" t="str">
        <x:f>TEXT(A5444,"mmm yyyy")</x:f>
        <x:v>Aug 2026</x:v>
      </x:c>
    </x:row>
    <x:row r="5445" ht="21" customHeight="1">
      <x:c r="A5445" s="10" t="n">
        <x:v>46261</x:v>
      </x:c>
      <x:c r="B5445" s="1" t="n">
        <x:v>22.5</x:v>
      </x:c>
      <x:c r="C5445" s="1" t="n">
        <x:v>6</x:v>
      </x:c>
      <x:c r="D5445" s="12" t="n">
        <x:v>0.256</x:v>
      </x:c>
      <x:c r="E5445" s="12" t="n">
        <x:v>0.28</x:v>
      </x:c>
      <x:c r="F5445" s="12" t="n">
        <x:v>0.016</x:v>
      </x:c>
      <x:c r="G5445" s="12" t="n">
        <x:v>0</x:v>
      </x:c>
      <x:c r="H5445" s="1" t="n">
        <x:f>'Historical prices'!E5445</x:f>
        <x:v>1.05</x:v>
      </x:c>
      <x:c r="I5445" s="6" t="n">
        <x:f>'Historical prices'!D5445</x:f>
        <x:v>0.2669</x:v>
      </x:c>
      <x:c r="J5445" s="13" t="n">
        <x:f>D5445*I5445*H5445</x:f>
        <x:v>0.07174272000000001</x:v>
      </x:c>
      <x:c r="K5445" s="13" t="n">
        <x:f>E5445*I5445*H5445</x:f>
        <x:v>0.07846860000000003</x:v>
      </x:c>
      <x:c r="L5445" s="1" t="str">
        <x:f>TEXT(A5445,"mmm yyyy")</x:f>
        <x:v>Aug 2026</x:v>
      </x:c>
    </x:row>
    <x:row r="5446" ht="21" customHeight="1">
      <x:c r="A5446" s="10" t="n">
        <x:v>46261</x:v>
      </x:c>
      <x:c r="B5446" s="1" t="n">
        <x:v>23</x:v>
      </x:c>
      <x:c r="C5446" s="1" t="n">
        <x:v>6</x:v>
      </x:c>
      <x:c r="D5446" s="12" t="n">
        <x:v>0.24575</x:v>
      </x:c>
      <x:c r="E5446" s="12" t="n">
        <x:v>0.25675</x:v>
      </x:c>
      <x:c r="F5446" s="12" t="n">
        <x:v>0</x:v>
      </x:c>
      <x:c r="G5446" s="12" t="n">
        <x:v>0</x:v>
      </x:c>
      <x:c r="H5446" s="1" t="n">
        <x:f>'Historical prices'!E5446</x:f>
        <x:v>1.05</x:v>
      </x:c>
      <x:c r="I5446" s="6" t="n">
        <x:f>'Historical prices'!D5446</x:f>
        <x:v>0.2816</x:v>
      </x:c>
      <x:c r="J5446" s="13" t="n">
        <x:f>D5446*I5446*H5446</x:f>
        <x:v>0.07266336000000001</x:v>
      </x:c>
      <x:c r="K5446" s="13" t="n">
        <x:f>E5446*I5446*H5446</x:f>
        <x:v>0.07591584</x:v>
      </x:c>
      <x:c r="L5446" s="1" t="str">
        <x:f>TEXT(A5446,"mmm yyyy")</x:f>
        <x:v>Aug 2026</x:v>
      </x:c>
    </x:row>
    <x:row r="5447" ht="21" customHeight="1">
      <x:c r="A5447" s="10" t="n">
        <x:v>46261</x:v>
      </x:c>
      <x:c r="B5447" s="1" t="n">
        <x:v>23.5</x:v>
      </x:c>
      <x:c r="C5447" s="1" t="n">
        <x:v>6</x:v>
      </x:c>
      <x:c r="D5447" s="12" t="n">
        <x:v>0.23424999999999999</x:v>
      </x:c>
      <x:c r="E5447" s="12" t="n">
        <x:v>0.24425</x:v>
      </x:c>
      <x:c r="F5447" s="12" t="n">
        <x:v>0</x:v>
      </x:c>
      <x:c r="G5447" s="12" t="n">
        <x:v>0</x:v>
      </x:c>
      <x:c r="H5447" s="1" t="n">
        <x:f>'Historical prices'!E5447</x:f>
        <x:v>1.05</x:v>
      </x:c>
      <x:c r="I5447" s="6" t="n">
        <x:f>'Historical prices'!D5447</x:f>
        <x:v>0.2816</x:v>
      </x:c>
      <x:c r="J5447" s="13" t="n">
        <x:f>D5447*I5447*H5447</x:f>
        <x:v>0.06926304000000001</x:v>
      </x:c>
      <x:c r="K5447" s="13" t="n">
        <x:f>E5447*I5447*H5447</x:f>
        <x:v>0.07221984000000001</x:v>
      </x:c>
      <x:c r="L5447" s="1" t="str">
        <x:f>TEXT(A5447,"mmm yyyy")</x:f>
        <x:v>Aug 2026</x:v>
      </x:c>
    </x:row>
    <x:row r="5448" ht="21" customHeight="1">
      <x:c r="A5448" s="10" t="n">
        <x:v>46262</x:v>
      </x:c>
      <x:c r="B5448" s="1" t="n">
        <x:v>0</x:v>
      </x:c>
      <x:c r="C5448" s="1" t="n">
        <x:v>6</x:v>
      </x:c>
      <x:c r="D5448" s="12" t="n">
        <x:v>0.238</x:v>
      </x:c>
      <x:c r="E5448" s="12" t="n">
        <x:v>0.248</x:v>
      </x:c>
      <x:c r="F5448" s="12" t="n">
        <x:v>0</x:v>
      </x:c>
      <x:c r="G5448" s="12" t="n">
        <x:v>0</x:v>
      </x:c>
      <x:c r="H5448" s="1" t="n">
        <x:f>'Historical prices'!E5448</x:f>
        <x:v>1.05</x:v>
      </x:c>
      <x:c r="I5448" s="6" t="n">
        <x:f>'Historical prices'!D5448</x:f>
        <x:v>0.28059999999999996</x:v>
      </x:c>
      <x:c r="J5448" s="13" t="n">
        <x:f>D5448*I5448*H5448</x:f>
        <x:v>0.07012194</x:v>
      </x:c>
      <x:c r="K5448" s="13" t="n">
        <x:f>E5448*I5448*H5448</x:f>
        <x:v>0.07306823999999999</x:v>
      </x:c>
      <x:c r="L5448" s="1" t="str">
        <x:f>TEXT(A5448,"mmm yyyy")</x:f>
        <x:v>Aug 2026</x:v>
      </x:c>
    </x:row>
    <x:row r="5449" ht="21" customHeight="1">
      <x:c r="A5449" s="10" t="n">
        <x:v>46262</x:v>
      </x:c>
      <x:c r="B5449" s="1" t="n">
        <x:v>0.5</x:v>
      </x:c>
      <x:c r="C5449" s="1" t="n">
        <x:v>6</x:v>
      </x:c>
      <x:c r="D5449" s="12" t="n">
        <x:v>0.308</x:v>
      </x:c>
      <x:c r="E5449" s="12" t="n">
        <x:v>0.319</x:v>
      </x:c>
      <x:c r="F5449" s="12" t="n">
        <x:v>0</x:v>
      </x:c>
      <x:c r="G5449" s="12" t="n">
        <x:v>0</x:v>
      </x:c>
      <x:c r="H5449" s="1" t="n">
        <x:f>'Historical prices'!E5449</x:f>
        <x:v>1.05</x:v>
      </x:c>
      <x:c r="I5449" s="6" t="n">
        <x:f>'Historical prices'!D5449</x:f>
        <x:v>0.2686</x:v>
      </x:c>
      <x:c r="J5449" s="13" t="n">
        <x:f>D5449*I5449*H5449</x:f>
        <x:v>0.08686524000000001</x:v>
      </x:c>
      <x:c r="K5449" s="13" t="n">
        <x:f>E5449*I5449*H5449</x:f>
        <x:v>0.08996757000000001</x:v>
      </x:c>
      <x:c r="L5449" s="1" t="str">
        <x:f>TEXT(A5449,"mmm yyyy")</x:f>
        <x:v>Aug 2026</x:v>
      </x:c>
    </x:row>
    <x:row r="5450" ht="21" customHeight="1">
      <x:c r="A5450" s="10" t="n">
        <x:v>46262</x:v>
      </x:c>
      <x:c r="B5450" s="1" t="n">
        <x:v>1</x:v>
      </x:c>
      <x:c r="C5450" s="1" t="n">
        <x:v>6</x:v>
      </x:c>
      <x:c r="D5450" s="12" t="n">
        <x:v>0.2505</x:v>
      </x:c>
      <x:c r="E5450" s="12" t="n">
        <x:v>0.2615</x:v>
      </x:c>
      <x:c r="F5450" s="12" t="n">
        <x:v>0</x:v>
      </x:c>
      <x:c r="G5450" s="12" t="n">
        <x:v>0</x:v>
      </x:c>
      <x:c r="H5450" s="1" t="n">
        <x:f>'Historical prices'!E5450</x:f>
        <x:v>1.05</x:v>
      </x:c>
      <x:c r="I5450" s="6" t="n">
        <x:f>'Historical prices'!D5450</x:f>
        <x:v>0.26899999999999996</x:v>
      </x:c>
      <x:c r="J5450" s="13" t="n">
        <x:f>D5450*I5450*H5450</x:f>
        <x:v>0.07075372499999999</x:v>
      </x:c>
      <x:c r="K5450" s="13" t="n">
        <x:f>E5450*I5450*H5450</x:f>
        <x:v>0.07386067499999999</x:v>
      </x:c>
      <x:c r="L5450" s="1" t="str">
        <x:f>TEXT(A5450,"mmm yyyy")</x:f>
        <x:v>Aug 2026</x:v>
      </x:c>
    </x:row>
    <x:row r="5451" ht="21" customHeight="1">
      <x:c r="A5451" s="10" t="n">
        <x:v>46262</x:v>
      </x:c>
      <x:c r="B5451" s="1" t="n">
        <x:v>1.5</x:v>
      </x:c>
      <x:c r="C5451" s="1" t="n">
        <x:v>6</x:v>
      </x:c>
      <x:c r="D5451" s="12" t="n">
        <x:v>0.29375</x:v>
      </x:c>
      <x:c r="E5451" s="12" t="n">
        <x:v>0.30275</x:v>
      </x:c>
      <x:c r="F5451" s="12" t="n">
        <x:v>0</x:v>
      </x:c>
      <x:c r="G5451" s="12" t="n">
        <x:v>0</x:v>
      </x:c>
      <x:c r="H5451" s="1" t="n">
        <x:f>'Historical prices'!E5451</x:f>
        <x:v>1.05</x:v>
      </x:c>
      <x:c r="I5451" s="6" t="n">
        <x:f>'Historical prices'!D5451</x:f>
        <x:v>0.26289999999999997</x:v>
      </x:c>
      <x:c r="J5451" s="13" t="n">
        <x:f>D5451*I5451*H5451</x:f>
        <x:v>0.08108821874999998</x:v>
      </x:c>
      <x:c r="K5451" s="13" t="n">
        <x:f>E5451*I5451*H5451</x:f>
        <x:v>0.08357262375</x:v>
      </x:c>
      <x:c r="L5451" s="1" t="str">
        <x:f>TEXT(A5451,"mmm yyyy")</x:f>
        <x:v>Aug 2026</x:v>
      </x:c>
    </x:row>
    <x:row r="5452" ht="21" customHeight="1">
      <x:c r="A5452" s="10" t="n">
        <x:v>46262</x:v>
      </x:c>
      <x:c r="B5452" s="1" t="n">
        <x:v>2</x:v>
      </x:c>
      <x:c r="C5452" s="1" t="n">
        <x:v>6</x:v>
      </x:c>
      <x:c r="D5452" s="12" t="n">
        <x:v>0.23800000000000002</x:v>
      </x:c>
      <x:c r="E5452" s="12" t="n">
        <x:v>0.24900000000000003</x:v>
      </x:c>
      <x:c r="F5452" s="12" t="n">
        <x:v>0</x:v>
      </x:c>
      <x:c r="G5452" s="12" t="n">
        <x:v>0</x:v>
      </x:c>
      <x:c r="H5452" s="1" t="n">
        <x:f>'Historical prices'!E5452</x:f>
        <x:v>1.05</x:v>
      </x:c>
      <x:c r="I5452" s="6" t="n">
        <x:f>'Historical prices'!D5452</x:f>
        <x:v>0.25579999999999997</x:v>
      </x:c>
      <x:c r="J5452" s="13" t="n">
        <x:f>D5452*I5452*H5452</x:f>
        <x:v>0.06392442</x:v>
      </x:c>
      <x:c r="K5452" s="13" t="n">
        <x:f>E5452*I5452*H5452</x:f>
        <x:v>0.06687891000000001</x:v>
      </x:c>
      <x:c r="L5452" s="1" t="str">
        <x:f>TEXT(A5452,"mmm yyyy")</x:f>
        <x:v>Aug 2026</x:v>
      </x:c>
    </x:row>
    <x:row r="5453" ht="21" customHeight="1">
      <x:c r="A5453" s="10" t="n">
        <x:v>46262</x:v>
      </x:c>
      <x:c r="B5453" s="1" t="n">
        <x:v>2.5</x:v>
      </x:c>
      <x:c r="C5453" s="1" t="n">
        <x:v>6</x:v>
      </x:c>
      <x:c r="D5453" s="12" t="n">
        <x:v>0.27999999999999997</x:v>
      </x:c>
      <x:c r="E5453" s="12" t="n">
        <x:v>0.291</x:v>
      </x:c>
      <x:c r="F5453" s="12" t="n">
        <x:v>0</x:v>
      </x:c>
      <x:c r="G5453" s="12" t="n">
        <x:v>0</x:v>
      </x:c>
      <x:c r="H5453" s="1" t="n">
        <x:f>'Historical prices'!E5453</x:f>
        <x:v>1.05</x:v>
      </x:c>
      <x:c r="I5453" s="6" t="n">
        <x:f>'Historical prices'!D5453</x:f>
        <x:v>0.24559999999999998</x:v>
      </x:c>
      <x:c r="J5453" s="13" t="n">
        <x:f>D5453*I5453*H5453</x:f>
        <x:v>0.07220639999999999</x:v>
      </x:c>
      <x:c r="K5453" s="13" t="n">
        <x:f>E5453*I5453*H5453</x:f>
        <x:v>0.07504308</x:v>
      </x:c>
      <x:c r="L5453" s="1" t="str">
        <x:f>TEXT(A5453,"mmm yyyy")</x:f>
        <x:v>Aug 2026</x:v>
      </x:c>
    </x:row>
    <x:row r="5454" ht="21" customHeight="1">
      <x:c r="A5454" s="10" t="n">
        <x:v>46262</x:v>
      </x:c>
      <x:c r="B5454" s="1" t="n">
        <x:v>3</x:v>
      </x:c>
      <x:c r="C5454" s="1" t="n">
        <x:v>6</x:v>
      </x:c>
      <x:c r="D5454" s="12" t="n">
        <x:v>0.1975</x:v>
      </x:c>
      <x:c r="E5454" s="12" t="n">
        <x:v>0.20750000000000002</x:v>
      </x:c>
      <x:c r="F5454" s="12" t="n">
        <x:v>0</x:v>
      </x:c>
      <x:c r="G5454" s="12" t="n">
        <x:v>0</x:v>
      </x:c>
      <x:c r="H5454" s="1" t="n">
        <x:f>'Historical prices'!E5454</x:f>
        <x:v>1.05</x:v>
      </x:c>
      <x:c r="I5454" s="6" t="n">
        <x:f>'Historical prices'!D5454</x:f>
        <x:v>0.2462</x:v>
      </x:c>
      <x:c r="J5454" s="13" t="n">
        <x:f>D5454*I5454*H5454</x:f>
        <x:v>0.051055725</x:v>
      </x:c>
      <x:c r="K5454" s="13" t="n">
        <x:f>E5454*I5454*H5454</x:f>
        <x:v>0.05364082500000001</x:v>
      </x:c>
      <x:c r="L5454" s="1" t="str">
        <x:f>TEXT(A5454,"mmm yyyy")</x:f>
        <x:v>Aug 2026</x:v>
      </x:c>
    </x:row>
    <x:row r="5455" ht="21" customHeight="1">
      <x:c r="A5455" s="10" t="n">
        <x:v>46262</x:v>
      </x:c>
      <x:c r="B5455" s="1" t="n">
        <x:v>3.5</x:v>
      </x:c>
      <x:c r="C5455" s="1" t="n">
        <x:v>6</x:v>
      </x:c>
      <x:c r="D5455" s="12" t="n">
        <x:v>0.27075</x:v>
      </x:c>
      <x:c r="E5455" s="12" t="n">
        <x:v>0.28075</x:v>
      </x:c>
      <x:c r="F5455" s="12" t="n">
        <x:v>0</x:v>
      </x:c>
      <x:c r="G5455" s="12" t="n">
        <x:v>0</x:v>
      </x:c>
      <x:c r="H5455" s="1" t="n">
        <x:f>'Historical prices'!E5455</x:f>
        <x:v>1.05</x:v>
      </x:c>
      <x:c r="I5455" s="6" t="n">
        <x:f>'Historical prices'!D5455</x:f>
        <x:v>0.24480000000000002</x:v>
      </x:c>
      <x:c r="J5455" s="13" t="n">
        <x:f>D5455*I5455*H5455</x:f>
        <x:v>0.06959358000000002</x:v>
      </x:c>
      <x:c r="K5455" s="13" t="n">
        <x:f>E5455*I5455*H5455</x:f>
        <x:v>0.07216398</x:v>
      </x:c>
      <x:c r="L5455" s="1" t="str">
        <x:f>TEXT(A5455,"mmm yyyy")</x:f>
        <x:v>Aug 2026</x:v>
      </x:c>
    </x:row>
    <x:row r="5456" ht="21" customHeight="1">
      <x:c r="A5456" s="10" t="n">
        <x:v>46262</x:v>
      </x:c>
      <x:c r="B5456" s="1" t="n">
        <x:v>4</x:v>
      </x:c>
      <x:c r="C5456" s="1" t="n">
        <x:v>6</x:v>
      </x:c>
      <x:c r="D5456" s="12" t="n">
        <x:v>0.265</x:v>
      </x:c>
      <x:c r="E5456" s="12" t="n">
        <x:v>0.276</x:v>
      </x:c>
      <x:c r="F5456" s="12" t="n">
        <x:v>0</x:v>
      </x:c>
      <x:c r="G5456" s="12" t="n">
        <x:v>0</x:v>
      </x:c>
      <x:c r="H5456" s="1" t="n">
        <x:f>'Historical prices'!E5456</x:f>
        <x:v>1.05</x:v>
      </x:c>
      <x:c r="I5456" s="6" t="n">
        <x:f>'Historical prices'!D5456</x:f>
        <x:v>0.2627</x:v>
      </x:c>
      <x:c r="J5456" s="13" t="n">
        <x:f>D5456*I5456*H5456</x:f>
        <x:v>0.073096275</x:v>
      </x:c>
      <x:c r="K5456" s="13" t="n">
        <x:f>E5456*I5456*H5456</x:f>
        <x:v>0.07613046000000001</x:v>
      </x:c>
      <x:c r="L5456" s="1" t="str">
        <x:f>TEXT(A5456,"mmm yyyy")</x:f>
        <x:v>Aug 2026</x:v>
      </x:c>
    </x:row>
    <x:row r="5457" ht="21" customHeight="1">
      <x:c r="A5457" s="10" t="n">
        <x:v>46262</x:v>
      </x:c>
      <x:c r="B5457" s="1" t="n">
        <x:v>4.5</x:v>
      </x:c>
      <x:c r="C5457" s="1" t="n">
        <x:v>6</x:v>
      </x:c>
      <x:c r="D5457" s="12" t="n">
        <x:v>0.29425</x:v>
      </x:c>
      <x:c r="E5457" s="12" t="n">
        <x:v>0.30425</x:v>
      </x:c>
      <x:c r="F5457" s="12" t="n">
        <x:v>0</x:v>
      </x:c>
      <x:c r="G5457" s="12" t="n">
        <x:v>0</x:v>
      </x:c>
      <x:c r="H5457" s="1" t="n">
        <x:f>'Historical prices'!E5457</x:f>
        <x:v>1.05</x:v>
      </x:c>
      <x:c r="I5457" s="6" t="n">
        <x:f>'Historical prices'!D5457</x:f>
        <x:v>0.2585</x:v>
      </x:c>
      <x:c r="J5457" s="13" t="n">
        <x:f>D5457*I5457*H5457</x:f>
        <x:v>0.07986680625000002</x:v>
      </x:c>
      <x:c r="K5457" s="13" t="n">
        <x:f>E5457*I5457*H5457</x:f>
        <x:v>0.08258105625000002</x:v>
      </x:c>
      <x:c r="L5457" s="1" t="str">
        <x:f>TEXT(A5457,"mmm yyyy")</x:f>
        <x:v>Aug 2026</x:v>
      </x:c>
    </x:row>
    <x:row r="5458" ht="21" customHeight="1">
      <x:c r="A5458" s="10" t="n">
        <x:v>46262</x:v>
      </x:c>
      <x:c r="B5458" s="1" t="n">
        <x:v>5</x:v>
      </x:c>
      <x:c r="C5458" s="1" t="n">
        <x:v>6</x:v>
      </x:c>
      <x:c r="D5458" s="12" t="n">
        <x:v>0.04075</x:v>
      </x:c>
      <x:c r="E5458" s="12" t="n">
        <x:v>0.30625</x:v>
      </x:c>
      <x:c r="F5458" s="12" t="n">
        <x:v>0.26091666666666663</x:v>
      </x:c>
      <x:c r="G5458" s="12" t="n">
        <x:v>0</x:v>
      </x:c>
      <x:c r="H5458" s="1" t="n">
        <x:f>'Historical prices'!E5458</x:f>
        <x:v>1.05</x:v>
      </x:c>
      <x:c r="I5458" s="6" t="n">
        <x:f>'Historical prices'!D5458</x:f>
        <x:v>0.2845</x:v>
      </x:c>
      <x:c r="J5458" s="13" t="n">
        <x:f>D5458*I5458*H5458</x:f>
        <x:v>0.01217304375</x:v>
      </x:c>
      <x:c r="K5458" s="13" t="n">
        <x:f>E5458*I5458*H5458</x:f>
        <x:v>0.09148453125</x:v>
      </x:c>
      <x:c r="L5458" s="1" t="str">
        <x:f>TEXT(A5458,"mmm yyyy")</x:f>
        <x:v>Aug 2026</x:v>
      </x:c>
    </x:row>
    <x:row r="5459" ht="21" customHeight="1">
      <x:c r="A5459" s="10" t="n">
        <x:v>46262</x:v>
      </x:c>
      <x:c r="B5459" s="1" t="n">
        <x:v>5.5</x:v>
      </x:c>
      <x:c r="C5459" s="1" t="n">
        <x:v>6</x:v>
      </x:c>
      <x:c r="D5459" s="12" t="n">
        <x:v>0.18475</x:v>
      </x:c>
      <x:c r="E5459" s="12" t="n">
        <x:v>0.24625000000000002</x:v>
      </x:c>
      <x:c r="F5459" s="12" t="n">
        <x:v>0.0505</x:v>
      </x:c>
      <x:c r="G5459" s="12" t="n">
        <x:v>0</x:v>
      </x:c>
      <x:c r="H5459" s="1" t="n">
        <x:f>'Historical prices'!E5459</x:f>
        <x:v>1.05</x:v>
      </x:c>
      <x:c r="I5459" s="6" t="n">
        <x:f>'Historical prices'!D5459</x:f>
        <x:v>0.282</x:v>
      </x:c>
      <x:c r="J5459" s="13" t="n">
        <x:f>D5459*I5459*H5459</x:f>
        <x:v>0.054704474999999995</x:v>
      </x:c>
      <x:c r="K5459" s="13" t="n">
        <x:f>E5459*I5459*H5459</x:f>
        <x:v>0.07291462500000001</x:v>
      </x:c>
      <x:c r="L5459" s="1" t="str">
        <x:f>TEXT(A5459,"mmm yyyy")</x:f>
        <x:v>Aug 2026</x:v>
      </x:c>
    </x:row>
    <x:row r="5460" ht="21" customHeight="1">
      <x:c r="A5460" s="10" t="n">
        <x:v>46262</x:v>
      </x:c>
      <x:c r="B5460" s="1" t="n">
        <x:v>6</x:v>
      </x:c>
      <x:c r="C5460" s="1" t="n">
        <x:v>6</x:v>
      </x:c>
      <x:c r="D5460" s="12" t="n">
        <x:v>0.02925</x:v>
      </x:c>
      <x:c r="E5460" s="12" t="n">
        <x:v>0.2775833333333333</x:v>
      </x:c>
      <x:c r="F5460" s="12" t="n">
        <x:v>0.24674999999999997</x:v>
      </x:c>
      <x:c r="G5460" s="12" t="n">
        <x:v>0</x:v>
      </x:c>
      <x:c r="H5460" s="1" t="n">
        <x:f>'Historical prices'!E5460</x:f>
        <x:v>1.05</x:v>
      </x:c>
      <x:c r="I5460" s="6" t="n">
        <x:f>'Historical prices'!D5460</x:f>
        <x:v>0.2843</x:v>
      </x:c>
      <x:c r="J5460" s="13" t="n">
        <x:f>D5460*I5460*H5460</x:f>
        <x:v>0.00873156375</x:v>
      </x:c>
      <x:c r="K5460" s="13" t="n">
        <x:f>E5460*I5460*H5460</x:f>
        <x:v>0.08286278875</x:v>
      </x:c>
      <x:c r="L5460" s="1" t="str">
        <x:f>TEXT(A5460,"mmm yyyy")</x:f>
        <x:v>Aug 2026</x:v>
      </x:c>
    </x:row>
    <x:row r="5461" ht="21" customHeight="1">
      <x:c r="A5461" s="10" t="n">
        <x:v>46262</x:v>
      </x:c>
      <x:c r="B5461" s="1" t="n">
        <x:v>6.5</x:v>
      </x:c>
      <x:c r="C5461" s="1" t="n">
        <x:v>6</x:v>
      </x:c>
      <x:c r="D5461" s="12" t="n">
        <x:v>0</x:v>
      </x:c>
      <x:c r="E5461" s="12" t="n">
        <x:v>0.6905833333333333</x:v>
      </x:c>
      <x:c r="F5461" s="12" t="n">
        <x:v>0.6905</x:v>
      </x:c>
      <x:c r="G5461" s="12" t="n">
        <x:v>0</x:v>
      </x:c>
      <x:c r="H5461" s="1" t="n">
        <x:f>'Historical prices'!E5461</x:f>
        <x:v>1.05</x:v>
      </x:c>
      <x:c r="I5461" s="6" t="n">
        <x:f>'Historical prices'!D5461</x:f>
        <x:v>0.29969999999999997</x:v>
      </x:c>
      <x:c r="J5461" s="13" t="n">
        <x:f>D5461*I5461*H5461</x:f>
        <x:v>0</x:v>
      </x:c>
      <x:c r="K5461" s="13" t="n">
        <x:f>E5461*I5461*H5461</x:f>
        <x:v>0.21731621624999997</x:v>
      </x:c>
      <x:c r="L5461" s="1" t="str">
        <x:f>TEXT(A5461,"mmm yyyy")</x:f>
        <x:v>Aug 2026</x:v>
      </x:c>
    </x:row>
    <x:row r="5462" ht="21" customHeight="1">
      <x:c r="A5462" s="10" t="n">
        <x:v>46262</x:v>
      </x:c>
      <x:c r="B5462" s="1" t="n">
        <x:v>7</x:v>
      </x:c>
      <x:c r="C5462" s="1" t="n">
        <x:v>6</x:v>
      </x:c>
      <x:c r="D5462" s="12" t="n">
        <x:v>0.504</x:v>
      </x:c>
      <x:c r="E5462" s="12" t="n">
        <x:v>0.6088333333333333</x:v>
      </x:c>
      <x:c r="F5462" s="12" t="n">
        <x:v>0.09583333333333334</x:v>
      </x:c>
      <x:c r="G5462" s="12" t="n">
        <x:v>0</x:v>
      </x:c>
      <x:c r="H5462" s="1" t="n">
        <x:f>'Historical prices'!E5462</x:f>
        <x:v>1.05</x:v>
      </x:c>
      <x:c r="I5462" s="6" t="n">
        <x:f>'Historical prices'!D5462</x:f>
        <x:v>0.2812</x:v>
      </x:c>
      <x:c r="J5462" s="13" t="n">
        <x:f>D5462*I5462*H5462</x:f>
        <x:v>0.14881104</x:v>
      </x:c>
      <x:c r="K5462" s="13" t="n">
        <x:f>E5462*I5462*H5462</x:f>
        <x:v>0.17976413000000002</x:v>
      </x:c>
      <x:c r="L5462" s="1" t="str">
        <x:f>TEXT(A5462,"mmm yyyy")</x:f>
        <x:v>Aug 2026</x:v>
      </x:c>
    </x:row>
    <x:row r="5463" ht="21" customHeight="1">
      <x:c r="A5463" s="10" t="n">
        <x:v>46262</x:v>
      </x:c>
      <x:c r="B5463" s="1" t="n">
        <x:v>7.5</x:v>
      </x:c>
      <x:c r="C5463" s="1" t="n">
        <x:v>6</x:v>
      </x:c>
      <x:c r="D5463" s="12" t="n">
        <x:v>0.097</x:v>
      </x:c>
      <x:c r="E5463" s="12" t="n">
        <x:v>1.3564166666666668</x:v>
      </x:c>
      <x:c r="F5463" s="12" t="n">
        <x:v>1.2554166666666666</x:v>
      </x:c>
      <x:c r="G5463" s="12" t="n">
        <x:v>0</x:v>
      </x:c>
      <x:c r="H5463" s="1" t="n">
        <x:f>'Historical prices'!E5463</x:f>
        <x:v>1.05</x:v>
      </x:c>
      <x:c r="I5463" s="6" t="n">
        <x:f>'Historical prices'!D5463</x:f>
        <x:v>0.2953</x:v>
      </x:c>
      <x:c r="J5463" s="13" t="n">
        <x:f>D5463*I5463*H5463</x:f>
        <x:v>0.030076305000000005</x:v>
      </x:c>
      <x:c r="K5463" s="13" t="n">
        <x:f>E5463*I5463*H5463</x:f>
        <x:v>0.4205773337500001</x:v>
      </x:c>
      <x:c r="L5463" s="1" t="str">
        <x:f>TEXT(A5463,"mmm yyyy")</x:f>
        <x:v>Aug 2026</x:v>
      </x:c>
    </x:row>
    <x:row r="5464" ht="21" customHeight="1">
      <x:c r="A5464" s="10" t="n">
        <x:v>46262</x:v>
      </x:c>
      <x:c r="B5464" s="1" t="n">
        <x:v>8</x:v>
      </x:c>
      <x:c r="C5464" s="1" t="n">
        <x:v>6</x:v>
      </x:c>
      <x:c r="D5464" s="12" t="n">
        <x:v>0.73325</x:v>
      </x:c>
      <x:c r="E5464" s="12" t="n">
        <x:v>0.7172499999999999</x:v>
      </x:c>
      <x:c r="F5464" s="12" t="n">
        <x:v>0.099</x:v>
      </x:c>
      <x:c r="G5464" s="12" t="n">
        <x:v>0.119</x:v>
      </x:c>
      <x:c r="H5464" s="1" t="n">
        <x:f>'Historical prices'!E5464</x:f>
        <x:v>1.05</x:v>
      </x:c>
      <x:c r="I5464" s="6" t="n">
        <x:f>'Historical prices'!D5464</x:f>
        <x:v>0.2871</x:v>
      </x:c>
      <x:c r="J5464" s="13" t="n">
        <x:f>D5464*I5464*H5464</x:f>
        <x:v>0.22104187875</x:v>
      </x:c>
      <x:c r="K5464" s="13" t="n">
        <x:f>E5464*I5464*H5464</x:f>
        <x:v>0.21621859875</x:v>
      </x:c>
      <x:c r="L5464" s="1" t="str">
        <x:f>TEXT(A5464,"mmm yyyy")</x:f>
        <x:v>Aug 2026</x:v>
      </x:c>
    </x:row>
    <x:row r="5465" ht="21" customHeight="1">
      <x:c r="A5465" s="10" t="n">
        <x:v>46262</x:v>
      </x:c>
      <x:c r="B5465" s="1" t="n">
        <x:v>8.5</x:v>
      </x:c>
      <x:c r="C5465" s="1" t="n">
        <x:v>6</x:v>
      </x:c>
      <x:c r="D5465" s="12" t="n">
        <x:v>0.6735</x:v>
      </x:c>
      <x:c r="E5465" s="12" t="n">
        <x:v>0.6875</x:v>
      </x:c>
      <x:c r="F5465" s="12" t="n">
        <x:v>0</x:v>
      </x:c>
      <x:c r="G5465" s="12" t="n">
        <x:v>0</x:v>
      </x:c>
      <x:c r="H5465" s="1" t="n">
        <x:f>'Historical prices'!E5465</x:f>
        <x:v>1.05</x:v>
      </x:c>
      <x:c r="I5465" s="6" t="n">
        <x:f>'Historical prices'!D5465</x:f>
        <x:v>0.2789</x:v>
      </x:c>
      <x:c r="J5465" s="13" t="n">
        <x:f>D5465*I5465*H5465</x:f>
        <x:v>0.1972311075</x:v>
      </x:c>
      <x:c r="K5465" s="13" t="n">
        <x:f>E5465*I5465*H5465</x:f>
        <x:v>0.2013309375</x:v>
      </x:c>
      <x:c r="L5465" s="1" t="str">
        <x:f>TEXT(A5465,"mmm yyyy")</x:f>
        <x:v>Aug 2026</x:v>
      </x:c>
    </x:row>
    <x:row r="5466" ht="21" customHeight="1">
      <x:c r="A5466" s="10" t="n">
        <x:v>46262</x:v>
      </x:c>
      <x:c r="B5466" s="1" t="n">
        <x:v>9</x:v>
      </x:c>
      <x:c r="C5466" s="1" t="n">
        <x:v>6</x:v>
      </x:c>
      <x:c r="D5466" s="12" t="n">
        <x:v>0.78525</x:v>
      </x:c>
      <x:c r="E5466" s="12" t="n">
        <x:v>0.8002500000000001</x:v>
      </x:c>
      <x:c r="F5466" s="12" t="n">
        <x:v>0</x:v>
      </x:c>
      <x:c r="G5466" s="12" t="n">
        <x:v>0</x:v>
      </x:c>
      <x:c r="H5466" s="1" t="n">
        <x:f>'Historical prices'!E5466</x:f>
        <x:v>1.05</x:v>
      </x:c>
      <x:c r="I5466" s="6" t="n">
        <x:f>'Historical prices'!D5466</x:f>
        <x:v>0.2691</x:v>
      </x:c>
      <x:c r="J5466" s="13" t="n">
        <x:f>D5466*I5466*H5466</x:f>
        <x:v>0.22187631375000003</x:v>
      </x:c>
      <x:c r="K5466" s="13" t="n">
        <x:f>E5466*I5466*H5466</x:f>
        <x:v>0.22611463875000004</x:v>
      </x:c>
      <x:c r="L5466" s="1" t="str">
        <x:f>TEXT(A5466,"mmm yyyy")</x:f>
        <x:v>Aug 2026</x:v>
      </x:c>
    </x:row>
    <x:row r="5467" ht="21" customHeight="1">
      <x:c r="A5467" s="10" t="n">
        <x:v>46262</x:v>
      </x:c>
      <x:c r="B5467" s="1" t="n">
        <x:v>9.5</x:v>
      </x:c>
      <x:c r="C5467" s="1" t="n">
        <x:v>6</x:v>
      </x:c>
      <x:c r="D5467" s="12" t="n">
        <x:v>0.8069999999999999</x:v>
      </x:c>
      <x:c r="E5467" s="12" t="n">
        <x:v>0.823</x:v>
      </x:c>
      <x:c r="F5467" s="12" t="n">
        <x:v>0</x:v>
      </x:c>
      <x:c r="G5467" s="12" t="n">
        <x:v>0</x:v>
      </x:c>
      <x:c r="H5467" s="1" t="n">
        <x:f>'Historical prices'!E5467</x:f>
        <x:v>1.05</x:v>
      </x:c>
      <x:c r="I5467" s="6" t="n">
        <x:f>'Historical prices'!D5467</x:f>
        <x:v>0.24989999999999998</x:v>
      </x:c>
      <x:c r="J5467" s="13" t="n">
        <x:f>D5467*I5467*H5467</x:f>
        <x:v>0.21175276499999998</x:v>
      </x:c>
      <x:c r="K5467" s="13" t="n">
        <x:f>E5467*I5467*H5467</x:f>
        <x:v>0.215951085</x:v>
      </x:c>
      <x:c r="L5467" s="1" t="str">
        <x:f>TEXT(A5467,"mmm yyyy")</x:f>
        <x:v>Aug 2026</x:v>
      </x:c>
    </x:row>
    <x:row r="5468" ht="21" customHeight="1">
      <x:c r="A5468" s="10" t="n">
        <x:v>46262</x:v>
      </x:c>
      <x:c r="B5468" s="1" t="n">
        <x:v>10</x:v>
      </x:c>
      <x:c r="C5468" s="1" t="n">
        <x:v>6</x:v>
      </x:c>
      <x:c r="D5468" s="12" t="n">
        <x:v>0.77225</x:v>
      </x:c>
      <x:c r="E5468" s="12" t="n">
        <x:v>0.78025</x:v>
      </x:c>
      <x:c r="F5468" s="12" t="n">
        <x:v>0</x:v>
      </x:c>
      <x:c r="G5468" s="12" t="n">
        <x:v>0</x:v>
      </x:c>
      <x:c r="H5468" s="1" t="n">
        <x:f>'Historical prices'!E5468</x:f>
        <x:v>1.05</x:v>
      </x:c>
      <x:c r="I5468" s="6" t="n">
        <x:f>'Historical prices'!D5468</x:f>
        <x:v>0.2554</x:v>
      </x:c>
      <x:c r="J5468" s="13" t="n">
        <x:f>D5468*I5468*H5468</x:f>
        <x:v>0.20709428250000003</x:v>
      </x:c>
      <x:c r="K5468" s="13" t="n">
        <x:f>E5468*I5468*H5468</x:f>
        <x:v>0.20923964250000002</x:v>
      </x:c>
      <x:c r="L5468" s="1" t="str">
        <x:f>TEXT(A5468,"mmm yyyy")</x:f>
        <x:v>Aug 2026</x:v>
      </x:c>
    </x:row>
    <x:row r="5469" ht="21" customHeight="1">
      <x:c r="A5469" s="10" t="n">
        <x:v>46262</x:v>
      </x:c>
      <x:c r="B5469" s="1" t="n">
        <x:v>10.5</x:v>
      </x:c>
      <x:c r="C5469" s="1" t="n">
        <x:v>6</x:v>
      </x:c>
      <x:c r="D5469" s="12" t="n">
        <x:v>0.78725</x:v>
      </x:c>
      <x:c r="E5469" s="12" t="n">
        <x:v>0.79125</x:v>
      </x:c>
      <x:c r="F5469" s="12" t="n">
        <x:v>0</x:v>
      </x:c>
      <x:c r="G5469" s="12" t="n">
        <x:v>0</x:v>
      </x:c>
      <x:c r="H5469" s="1" t="n">
        <x:f>'Historical prices'!E5469</x:f>
        <x:v>1.05</x:v>
      </x:c>
      <x:c r="I5469" s="6" t="n">
        <x:f>'Historical prices'!D5469</x:f>
        <x:v>0.26890000000000003</x:v>
      </x:c>
      <x:c r="J5469" s="13" t="n">
        <x:f>D5469*I5469*H5469</x:f>
        <x:v>0.22227610125000002</x:v>
      </x:c>
      <x:c r="K5469" s="13" t="n">
        <x:f>E5469*I5469*H5469</x:f>
        <x:v>0.22340548125000004</x:v>
      </x:c>
      <x:c r="L5469" s="1" t="str">
        <x:f>TEXT(A5469,"mmm yyyy")</x:f>
        <x:v>Aug 2026</x:v>
      </x:c>
    </x:row>
    <x:row r="5470" ht="21" customHeight="1">
      <x:c r="A5470" s="10" t="n">
        <x:v>46262</x:v>
      </x:c>
      <x:c r="B5470" s="1" t="n">
        <x:v>11</x:v>
      </x:c>
      <x:c r="C5470" s="1" t="n">
        <x:v>6</x:v>
      </x:c>
      <x:c r="D5470" s="12" t="n">
        <x:v>0.7595000000000001</x:v>
      </x:c>
      <x:c r="E5470" s="12" t="n">
        <x:v>0.7645</x:v>
      </x:c>
      <x:c r="F5470" s="12" t="n">
        <x:v>0</x:v>
      </x:c>
      <x:c r="G5470" s="12" t="n">
        <x:v>0</x:v>
      </x:c>
      <x:c r="H5470" s="1" t="n">
        <x:f>'Historical prices'!E5470</x:f>
        <x:v>1.05</x:v>
      </x:c>
      <x:c r="I5470" s="6" t="n">
        <x:f>'Historical prices'!D5470</x:f>
        <x:v>0.27140000000000003</x:v>
      </x:c>
      <x:c r="J5470" s="13" t="n">
        <x:f>D5470*I5470*H5470</x:f>
        <x:v>0.21643471500000006</x:v>
      </x:c>
      <x:c r="K5470" s="13" t="n">
        <x:f>E5470*I5470*H5470</x:f>
        <x:v>0.21785956500000003</x:v>
      </x:c>
      <x:c r="L5470" s="1" t="str">
        <x:f>TEXT(A5470,"mmm yyyy")</x:f>
        <x:v>Aug 2026</x:v>
      </x:c>
    </x:row>
    <x:row r="5471" ht="21" customHeight="1">
      <x:c r="A5471" s="10" t="n">
        <x:v>46262</x:v>
      </x:c>
      <x:c r="B5471" s="1" t="n">
        <x:v>11.5</x:v>
      </x:c>
      <x:c r="C5471" s="1" t="n">
        <x:v>6</x:v>
      </x:c>
      <x:c r="D5471" s="12" t="n">
        <x:v>0.6287499999999999</x:v>
      </x:c>
      <x:c r="E5471" s="12" t="n">
        <x:v>0.6317499999999999</x:v>
      </x:c>
      <x:c r="F5471" s="12" t="n">
        <x:v>0</x:v>
      </x:c>
      <x:c r="G5471" s="12" t="n">
        <x:v>0</x:v>
      </x:c>
      <x:c r="H5471" s="1" t="n">
        <x:f>'Historical prices'!E5471</x:f>
        <x:v>1.05</x:v>
      </x:c>
      <x:c r="I5471" s="6" t="n">
        <x:f>'Historical prices'!D5471</x:f>
        <x:v>0.2697</x:v>
      </x:c>
      <x:c r="J5471" s="13" t="n">
        <x:f>D5471*I5471*H5471</x:f>
        <x:v>0.17805256875</x:v>
      </x:c>
      <x:c r="K5471" s="13" t="n">
        <x:f>E5471*I5471*H5471</x:f>
        <x:v>0.17890212374999998</x:v>
      </x:c>
      <x:c r="L5471" s="1" t="str">
        <x:f>TEXT(A5471,"mmm yyyy")</x:f>
        <x:v>Aug 2026</x:v>
      </x:c>
    </x:row>
    <x:row r="5472" ht="21" customHeight="1">
      <x:c r="A5472" s="10" t="n">
        <x:v>46262</x:v>
      </x:c>
      <x:c r="B5472" s="1" t="n">
        <x:v>12</x:v>
      </x:c>
      <x:c r="C5472" s="1" t="n">
        <x:v>6</x:v>
      </x:c>
      <x:c r="D5472" s="12" t="n">
        <x:v>0.61175</x:v>
      </x:c>
      <x:c r="E5472" s="12" t="n">
        <x:v>0.61575</x:v>
      </x:c>
      <x:c r="F5472" s="12" t="n">
        <x:v>0</x:v>
      </x:c>
      <x:c r="G5472" s="12" t="n">
        <x:v>0</x:v>
      </x:c>
      <x:c r="H5472" s="1" t="n">
        <x:f>'Historical prices'!E5472</x:f>
        <x:v>1.05</x:v>
      </x:c>
      <x:c r="I5472" s="6" t="n">
        <x:f>'Historical prices'!D5472</x:f>
        <x:v>0.2564</x:v>
      </x:c>
      <x:c r="J5472" s="13" t="n">
        <x:f>D5472*I5472*H5472</x:f>
        <x:v>0.16469533500000003</x:v>
      </x:c>
      <x:c r="K5472" s="13" t="n">
        <x:f>E5472*I5472*H5472</x:f>
        <x:v>0.16577221500000003</x:v>
      </x:c>
      <x:c r="L5472" s="1" t="str">
        <x:f>TEXT(A5472,"mmm yyyy")</x:f>
        <x:v>Aug 2026</x:v>
      </x:c>
    </x:row>
    <x:row r="5473" ht="21" customHeight="1">
      <x:c r="A5473" s="10" t="n">
        <x:v>46262</x:v>
      </x:c>
      <x:c r="B5473" s="1" t="n">
        <x:v>12.5</x:v>
      </x:c>
      <x:c r="C5473" s="1" t="n">
        <x:v>6</x:v>
      </x:c>
      <x:c r="D5473" s="12" t="n">
        <x:v>0.534</x:v>
      </x:c>
      <x:c r="E5473" s="12" t="n">
        <x:v>0.536</x:v>
      </x:c>
      <x:c r="F5473" s="12" t="n">
        <x:v>0</x:v>
      </x:c>
      <x:c r="G5473" s="12" t="n">
        <x:v>0</x:v>
      </x:c>
      <x:c r="H5473" s="1" t="n">
        <x:f>'Historical prices'!E5473</x:f>
        <x:v>1.05</x:v>
      </x:c>
      <x:c r="I5473" s="6" t="n">
        <x:f>'Historical prices'!D5473</x:f>
        <x:v>0.23879999999999998</x:v>
      </x:c>
      <x:c r="J5473" s="13" t="n">
        <x:f>D5473*I5473*H5473</x:f>
        <x:v>0.13389516</x:v>
      </x:c>
      <x:c r="K5473" s="13" t="n">
        <x:f>E5473*I5473*H5473</x:f>
        <x:v>0.13439664</x:v>
      </x:c>
      <x:c r="L5473" s="1" t="str">
        <x:f>TEXT(A5473,"mmm yyyy")</x:f>
        <x:v>Aug 2026</x:v>
      </x:c>
    </x:row>
    <x:row r="5474" ht="21" customHeight="1">
      <x:c r="A5474" s="10" t="n">
        <x:v>46262</x:v>
      </x:c>
      <x:c r="B5474" s="1" t="n">
        <x:v>13</x:v>
      </x:c>
      <x:c r="C5474" s="1" t="n">
        <x:v>6</x:v>
      </x:c>
      <x:c r="D5474" s="12" t="n">
        <x:v>0.6572500000000001</x:v>
      </x:c>
      <x:c r="E5474" s="12" t="n">
        <x:v>0.6592500000000001</x:v>
      </x:c>
      <x:c r="F5474" s="12" t="n">
        <x:v>0</x:v>
      </x:c>
      <x:c r="G5474" s="12" t="n">
        <x:v>0</x:v>
      </x:c>
      <x:c r="H5474" s="1" t="n">
        <x:f>'Historical prices'!E5474</x:f>
        <x:v>1.05</x:v>
      </x:c>
      <x:c r="I5474" s="6" t="n">
        <x:f>'Historical prices'!D5474</x:f>
        <x:v>0.2365</x:v>
      </x:c>
      <x:c r="J5474" s="13" t="n">
        <x:f>D5474*I5474*H5474</x:f>
        <x:v>0.16321160625000003</x:v>
      </x:c>
      <x:c r="K5474" s="13" t="n">
        <x:f>E5474*I5474*H5474</x:f>
        <x:v>0.16370825625000004</x:v>
      </x:c>
      <x:c r="L5474" s="1" t="str">
        <x:f>TEXT(A5474,"mmm yyyy")</x:f>
        <x:v>Aug 2026</x:v>
      </x:c>
    </x:row>
    <x:row r="5475" ht="21" customHeight="1">
      <x:c r="A5475" s="10" t="n">
        <x:v>46262</x:v>
      </x:c>
      <x:c r="B5475" s="1" t="n">
        <x:v>13.5</x:v>
      </x:c>
      <x:c r="C5475" s="1" t="n">
        <x:v>6</x:v>
      </x:c>
      <x:c r="D5475" s="12" t="n">
        <x:v>0.69675</x:v>
      </x:c>
      <x:c r="E5475" s="12" t="n">
        <x:v>0.69875</x:v>
      </x:c>
      <x:c r="F5475" s="12" t="n">
        <x:v>0</x:v>
      </x:c>
      <x:c r="G5475" s="12" t="n">
        <x:v>0</x:v>
      </x:c>
      <x:c r="H5475" s="1" t="n">
        <x:f>'Historical prices'!E5475</x:f>
        <x:v>1.05</x:v>
      </x:c>
      <x:c r="I5475" s="6" t="n">
        <x:f>'Historical prices'!D5475</x:f>
        <x:v>0.22190000000000001</x:v>
      </x:c>
      <x:c r="J5475" s="13" t="n">
        <x:f>D5475*I5475*H5475</x:f>
        <x:v>0.16233926625</x:v>
      </x:c>
      <x:c r="K5475" s="13" t="n">
        <x:f>E5475*I5475*H5475</x:f>
        <x:v>0.16280525625</x:v>
      </x:c>
      <x:c r="L5475" s="1" t="str">
        <x:f>TEXT(A5475,"mmm yyyy")</x:f>
        <x:v>Aug 2026</x:v>
      </x:c>
    </x:row>
    <x:row r="5476" ht="21" customHeight="1">
      <x:c r="A5476" s="10" t="n">
        <x:v>46262</x:v>
      </x:c>
      <x:c r="B5476" s="1" t="n">
        <x:v>14</x:v>
      </x:c>
      <x:c r="C5476" s="1" t="n">
        <x:v>6</x:v>
      </x:c>
      <x:c r="D5476" s="12" t="n">
        <x:v>1.0935000000000001</x:v>
      </x:c>
      <x:c r="E5476" s="12" t="n">
        <x:v>0.6495</x:v>
      </x:c>
      <x:c r="F5476" s="12" t="n">
        <x:v>0</x:v>
      </x:c>
      <x:c r="G5476" s="12" t="n">
        <x:v>0.446</x:v>
      </x:c>
      <x:c r="H5476" s="1" t="n">
        <x:f>'Historical prices'!E5476</x:f>
        <x:v>1.05</x:v>
      </x:c>
      <x:c r="I5476" s="6" t="n">
        <x:f>'Historical prices'!D5476</x:f>
        <x:v>0.22030000000000002</x:v>
      </x:c>
      <x:c r="J5476" s="13" t="n">
        <x:f>D5476*I5476*H5476</x:f>
        <x:v>0.2529429525000001</x:v>
      </x:c>
      <x:c r="K5476" s="13" t="n">
        <x:f>E5476*I5476*H5476</x:f>
        <x:v>0.15023909250000003</x:v>
      </x:c>
      <x:c r="L5476" s="1" t="str">
        <x:f>TEXT(A5476,"mmm yyyy")</x:f>
        <x:v>Aug 2026</x:v>
      </x:c>
    </x:row>
    <x:row r="5477" ht="21" customHeight="1">
      <x:c r="A5477" s="10" t="n">
        <x:v>46262</x:v>
      </x:c>
      <x:c r="B5477" s="1" t="n">
        <x:v>14.5</x:v>
      </x:c>
      <x:c r="C5477" s="1" t="n">
        <x:v>6</x:v>
      </x:c>
      <x:c r="D5477" s="12" t="n">
        <x:v>5.171</x:v>
      </x:c>
      <x:c r="E5477" s="12" t="n">
        <x:v>1.0759999999999998</x:v>
      </x:c>
      <x:c r="F5477" s="12" t="n">
        <x:v>0</x:v>
      </x:c>
      <x:c r="G5477" s="12" t="n">
        <x:v>4.095</x:v>
      </x:c>
      <x:c r="H5477" s="1" t="n">
        <x:f>'Historical prices'!E5477</x:f>
        <x:v>1.05</x:v>
      </x:c>
      <x:c r="I5477" s="6" t="n">
        <x:f>'Historical prices'!D5477</x:f>
        <x:v>0.2186</x:v>
      </x:c>
      <x:c r="J5477" s="13" t="n">
        <x:f>D5477*I5477*H5477</x:f>
        <x:v>1.18689963</x:v>
      </x:c>
      <x:c r="K5477" s="13" t="n">
        <x:f>E5477*I5477*H5477</x:f>
        <x:v>0.24697427999999996</x:v>
      </x:c>
      <x:c r="L5477" s="1" t="str">
        <x:f>TEXT(A5477,"mmm yyyy")</x:f>
        <x:v>Aug 2026</x:v>
      </x:c>
    </x:row>
    <x:row r="5478" ht="21" customHeight="1">
      <x:c r="A5478" s="10" t="n">
        <x:v>46262</x:v>
      </x:c>
      <x:c r="B5478" s="1" t="n">
        <x:v>15</x:v>
      </x:c>
      <x:c r="C5478" s="1" t="n">
        <x:v>6</x:v>
      </x:c>
      <x:c r="D5478" s="12" t="n">
        <x:v>5.6985</x:v>
      </x:c>
      <x:c r="E5478" s="12" t="n">
        <x:v>1.0195</x:v>
      </x:c>
      <x:c r="F5478" s="12" t="n">
        <x:v>0</x:v>
      </x:c>
      <x:c r="G5478" s="12" t="n">
        <x:v>4.679</x:v>
      </x:c>
      <x:c r="H5478" s="1" t="n">
        <x:f>'Historical prices'!E5478</x:f>
        <x:v>1.05</x:v>
      </x:c>
      <x:c r="I5478" s="6" t="n">
        <x:f>'Historical prices'!D5478</x:f>
        <x:v>0.19760000000000003</x:v>
      </x:c>
      <x:c r="J5478" s="13" t="n">
        <x:f>D5478*I5478*H5478</x:f>
        <x:v>1.18232478</x:v>
      </x:c>
      <x:c r="K5478" s="13" t="n">
        <x:f>E5478*I5478*H5478</x:f>
        <x:v>0.21152586000000004</x:v>
      </x:c>
      <x:c r="L5478" s="1" t="str">
        <x:f>TEXT(A5478,"mmm yyyy")</x:f>
        <x:v>Aug 2026</x:v>
      </x:c>
    </x:row>
    <x:row r="5479" ht="21" customHeight="1">
      <x:c r="A5479" s="10" t="n">
        <x:v>46262</x:v>
      </x:c>
      <x:c r="B5479" s="1" t="n">
        <x:v>15.5</x:v>
      </x:c>
      <x:c r="C5479" s="1" t="n">
        <x:v>6</x:v>
      </x:c>
      <x:c r="D5479" s="12" t="n">
        <x:v>5.6735</x:v>
      </x:c>
      <x:c r="E5479" s="12" t="n">
        <x:v>1.1985000000000001</x:v>
      </x:c>
      <x:c r="F5479" s="12" t="n">
        <x:v>0</x:v>
      </x:c>
      <x:c r="G5479" s="12" t="n">
        <x:v>4.475</x:v>
      </x:c>
      <x:c r="H5479" s="1" t="n">
        <x:f>'Historical prices'!E5479</x:f>
        <x:v>1.05</x:v>
      </x:c>
      <x:c r="I5479" s="6" t="n">
        <x:f>'Historical prices'!D5479</x:f>
        <x:v>0.19760000000000003</x:v>
      </x:c>
      <x:c r="J5479" s="13" t="n">
        <x:f>D5479*I5479*H5479</x:f>
        <x:v>1.1771377800000002</x:v>
      </x:c>
      <x:c r="K5479" s="13" t="n">
        <x:f>E5479*I5479*H5479</x:f>
        <x:v>0.24866478000000006</x:v>
      </x:c>
      <x:c r="L5479" s="1" t="str">
        <x:f>TEXT(A5479,"mmm yyyy")</x:f>
        <x:v>Aug 2026</x:v>
      </x:c>
    </x:row>
    <x:row r="5480" ht="21" customHeight="1">
      <x:c r="A5480" s="10" t="n">
        <x:v>46262</x:v>
      </x:c>
      <x:c r="B5480" s="1" t="n">
        <x:v>16</x:v>
      </x:c>
      <x:c r="C5480" s="1" t="n">
        <x:v>6</x:v>
      </x:c>
      <x:c r="D5480" s="12" t="n">
        <x:v>0.963</x:v>
      </x:c>
      <x:c r="E5480" s="12" t="n">
        <x:v>0.9459166666666667</x:v>
      </x:c>
      <x:c r="F5480" s="12" t="n">
        <x:v>0.7386666666666667</x:v>
      </x:c>
      <x:c r="G5480" s="12" t="n">
        <x:v>0.758</x:v>
      </x:c>
      <x:c r="H5480" s="1" t="n">
        <x:f>'Historical prices'!E5480</x:f>
        <x:v>1.05</x:v>
      </x:c>
      <x:c r="I5480" s="6" t="n">
        <x:f>'Historical prices'!D5480</x:f>
        <x:v>0.33409999999999995</x:v>
      </x:c>
      <x:c r="J5480" s="13" t="n">
        <x:f>D5480*I5480*H5480</x:f>
        <x:v>0.33782521499999996</x:v>
      </x:c>
      <x:c r="K5480" s="13" t="n">
        <x:f>E5480*I5480*H5480</x:f>
        <x:v>0.33183229625</x:v>
      </x:c>
      <x:c r="L5480" s="1" t="str">
        <x:f>TEXT(A5480,"mmm yyyy")</x:f>
        <x:v>Aug 2026</x:v>
      </x:c>
    </x:row>
    <x:row r="5481" ht="21" customHeight="1">
      <x:c r="A5481" s="10" t="n">
        <x:v>46262</x:v>
      </x:c>
      <x:c r="B5481" s="1" t="n">
        <x:v>16.5</x:v>
      </x:c>
      <x:c r="C5481" s="1" t="n">
        <x:v>6</x:v>
      </x:c>
      <x:c r="D5481" s="12" t="n">
        <x:v>0</x:v>
      </x:c>
      <x:c r="E5481" s="12" t="n">
        <x:v>0.7729166666666667</x:v>
      </x:c>
      <x:c r="F5481" s="12" t="n">
        <x:v>0.7723333333333334</x:v>
      </x:c>
      <x:c r="G5481" s="12" t="n">
        <x:v>0</x:v>
      </x:c>
      <x:c r="H5481" s="1" t="n">
        <x:f>'Historical prices'!E5481</x:f>
        <x:v>1.05</x:v>
      </x:c>
      <x:c r="I5481" s="6" t="n">
        <x:f>'Historical prices'!D5481</x:f>
        <x:v>0.3386</x:v>
      </x:c>
      <x:c r="J5481" s="13" t="n">
        <x:f>D5481*I5481*H5481</x:f>
        <x:v>0</x:v>
      </x:c>
      <x:c r="K5481" s="13" t="n">
        <x:f>E5481*I5481*H5481</x:f>
        <x:v>0.2747950625</x:v>
      </x:c>
      <x:c r="L5481" s="1" t="str">
        <x:f>TEXT(A5481,"mmm yyyy")</x:f>
        <x:v>Aug 2026</x:v>
      </x:c>
    </x:row>
    <x:row r="5482" ht="21" customHeight="1">
      <x:c r="A5482" s="10" t="n">
        <x:v>46262</x:v>
      </x:c>
      <x:c r="B5482" s="1" t="n">
        <x:v>17</x:v>
      </x:c>
      <x:c r="C5482" s="1" t="n">
        <x:v>6</x:v>
      </x:c>
      <x:c r="D5482" s="12" t="n">
        <x:v>0</x:v>
      </x:c>
      <x:c r="E5482" s="12" t="n">
        <x:v>0.7900833333333332</x:v>
      </x:c>
      <x:c r="F5482" s="12" t="n">
        <x:v>0.7895833333333333</x:v>
      </x:c>
      <x:c r="G5482" s="12" t="n">
        <x:v>0</x:v>
      </x:c>
      <x:c r="H5482" s="1" t="n">
        <x:f>'Historical prices'!E5482</x:f>
        <x:v>1.05</x:v>
      </x:c>
      <x:c r="I5482" s="6" t="n">
        <x:f>'Historical prices'!D5482</x:f>
        <x:v>0.3834</x:v>
      </x:c>
      <x:c r="J5482" s="13" t="n">
        <x:f>D5482*I5482*H5482</x:f>
        <x:v>0</x:v>
      </x:c>
      <x:c r="K5482" s="13" t="n">
        <x:f>E5482*I5482*H5482</x:f>
        <x:v>0.3180638475</x:v>
      </x:c>
      <x:c r="L5482" s="1" t="str">
        <x:f>TEXT(A5482,"mmm yyyy")</x:f>
        <x:v>Aug 2026</x:v>
      </x:c>
    </x:row>
    <x:row r="5483" ht="21" customHeight="1">
      <x:c r="A5483" s="10" t="n">
        <x:v>46262</x:v>
      </x:c>
      <x:c r="B5483" s="1" t="n">
        <x:v>17.5</x:v>
      </x:c>
      <x:c r="C5483" s="1" t="n">
        <x:v>6</x:v>
      </x:c>
      <x:c r="D5483" s="12" t="n">
        <x:v>0</x:v>
      </x:c>
      <x:c r="E5483" s="12" t="n">
        <x:v>0.66375</x:v>
      </x:c>
      <x:c r="F5483" s="12" t="n">
        <x:v>0.6634166666666667</x:v>
      </x:c>
      <x:c r="G5483" s="12" t="n">
        <x:v>0</x:v>
      </x:c>
      <x:c r="H5483" s="1" t="n">
        <x:f>'Historical prices'!E5483</x:f>
        <x:v>1.05</x:v>
      </x:c>
      <x:c r="I5483" s="6" t="n">
        <x:f>'Historical prices'!D5483</x:f>
        <x:v>0.37670000000000003</x:v>
      </x:c>
      <x:c r="J5483" s="13" t="n">
        <x:f>D5483*I5483*H5483</x:f>
        <x:v>0</x:v>
      </x:c>
      <x:c r="K5483" s="13" t="n">
        <x:f>E5483*I5483*H5483</x:f>
        <x:v>0.26253635625000005</x:v>
      </x:c>
      <x:c r="L5483" s="1" t="str">
        <x:f>TEXT(A5483,"mmm yyyy")</x:f>
        <x:v>Aug 2026</x:v>
      </x:c>
    </x:row>
    <x:row r="5484" ht="21" customHeight="1">
      <x:c r="A5484" s="10" t="n">
        <x:v>46262</x:v>
      </x:c>
      <x:c r="B5484" s="1" t="n">
        <x:v>18</x:v>
      </x:c>
      <x:c r="C5484" s="1" t="n">
        <x:v>6</x:v>
      </x:c>
      <x:c r="D5484" s="12" t="n">
        <x:v>0</x:v>
      </x:c>
      <x:c r="E5484" s="12" t="n">
        <x:v>0.6441666666666667</x:v>
      </x:c>
      <x:c r="F5484" s="12" t="n">
        <x:v>0.64375</x:v>
      </x:c>
      <x:c r="G5484" s="12" t="n">
        <x:v>0</x:v>
      </x:c>
      <x:c r="H5484" s="1" t="n">
        <x:f>'Historical prices'!E5484</x:f>
        <x:v>1.05</x:v>
      </x:c>
      <x:c r="I5484" s="6" t="n">
        <x:f>'Historical prices'!D5484</x:f>
        <x:v>0.4111</x:v>
      </x:c>
      <x:c r="J5484" s="13" t="n">
        <x:f>D5484*I5484*H5484</x:f>
        <x:v>0</x:v>
      </x:c>
      <x:c r="K5484" s="13" t="n">
        <x:f>E5484*I5484*H5484</x:f>
        <x:v>0.2780577625</x:v>
      </x:c>
      <x:c r="L5484" s="1" t="str">
        <x:f>TEXT(A5484,"mmm yyyy")</x:f>
        <x:v>Aug 2026</x:v>
      </x:c>
    </x:row>
    <x:row r="5485" ht="21" customHeight="1">
      <x:c r="A5485" s="10" t="n">
        <x:v>46262</x:v>
      </x:c>
      <x:c r="B5485" s="1" t="n">
        <x:v>18.5</x:v>
      </x:c>
      <x:c r="C5485" s="1" t="n">
        <x:v>6</x:v>
      </x:c>
      <x:c r="D5485" s="12" t="n">
        <x:v>0</x:v>
      </x:c>
      <x:c r="E5485" s="12" t="n">
        <x:v>1.1199999999999999</x:v>
      </x:c>
      <x:c r="F5485" s="12" t="n">
        <x:v>1.1195</x:v>
      </x:c>
      <x:c r="G5485" s="12" t="n">
        <x:v>0</x:v>
      </x:c>
      <x:c r="H5485" s="1" t="n">
        <x:f>'Historical prices'!E5485</x:f>
        <x:v>1.05</x:v>
      </x:c>
      <x:c r="I5485" s="6" t="n">
        <x:f>'Historical prices'!D5485</x:f>
        <x:v>0.4142</x:v>
      </x:c>
      <x:c r="J5485" s="13" t="n">
        <x:f>D5485*I5485*H5485</x:f>
        <x:v>0</x:v>
      </x:c>
      <x:c r="K5485" s="13" t="n">
        <x:f>E5485*I5485*H5485</x:f>
        <x:v>0.4870992</x:v>
      </x:c>
      <x:c r="L5485" s="1" t="str">
        <x:f>TEXT(A5485,"mmm yyyy")</x:f>
        <x:v>Aug 2026</x:v>
      </x:c>
    </x:row>
    <x:row r="5486" ht="21" customHeight="1">
      <x:c r="A5486" s="10" t="n">
        <x:v>46262</x:v>
      </x:c>
      <x:c r="B5486" s="1" t="n">
        <x:v>19</x:v>
      </x:c>
      <x:c r="C5486" s="1" t="n">
        <x:v>6</x:v>
      </x:c>
      <x:c r="D5486" s="12" t="n">
        <x:v>0</x:v>
      </x:c>
      <x:c r="E5486" s="12" t="n">
        <x:v>0.8395833333333333</x:v>
      </x:c>
      <x:c r="F5486" s="12" t="n">
        <x:v>0.8385833333333333</x:v>
      </x:c>
      <x:c r="G5486" s="12" t="n">
        <x:v>0</x:v>
      </x:c>
      <x:c r="H5486" s="1" t="n">
        <x:f>'Historical prices'!E5486</x:f>
        <x:v>1.05</x:v>
      </x:c>
      <x:c r="I5486" s="6" t="n">
        <x:f>'Historical prices'!D5486</x:f>
        <x:v>0.2918</x:v>
      </x:c>
      <x:c r="J5486" s="13" t="n">
        <x:f>D5486*I5486*H5486</x:f>
        <x:v>0</x:v>
      </x:c>
      <x:c r="K5486" s="13" t="n">
        <x:f>E5486*I5486*H5486</x:f>
        <x:v>0.2572399375</x:v>
      </x:c>
      <x:c r="L5486" s="1" t="str">
        <x:f>TEXT(A5486,"mmm yyyy")</x:f>
        <x:v>Aug 2026</x:v>
      </x:c>
    </x:row>
    <x:row r="5487" ht="21" customHeight="1">
      <x:c r="A5487" s="10" t="n">
        <x:v>46262</x:v>
      </x:c>
      <x:c r="B5487" s="1" t="n">
        <x:v>19.5</x:v>
      </x:c>
      <x:c r="C5487" s="1" t="n">
        <x:v>6</x:v>
      </x:c>
      <x:c r="D5487" s="12" t="n">
        <x:v>0</x:v>
      </x:c>
      <x:c r="E5487" s="12" t="n">
        <x:v>0.858</x:v>
      </x:c>
      <x:c r="F5487" s="12" t="n">
        <x:v>0.85775</x:v>
      </x:c>
      <x:c r="G5487" s="12" t="n">
        <x:v>0</x:v>
      </x:c>
      <x:c r="H5487" s="1" t="n">
        <x:f>'Historical prices'!E5487</x:f>
        <x:v>1.05</x:v>
      </x:c>
      <x:c r="I5487" s="6" t="n">
        <x:f>'Historical prices'!D5487</x:f>
        <x:v>0.29359999999999997</x:v>
      </x:c>
      <x:c r="J5487" s="13" t="n">
        <x:f>D5487*I5487*H5487</x:f>
        <x:v>0</x:v>
      </x:c>
      <x:c r="K5487" s="13" t="n">
        <x:f>E5487*I5487*H5487</x:f>
        <x:v>0.26450424</x:v>
      </x:c>
      <x:c r="L5487" s="1" t="str">
        <x:f>TEXT(A5487,"mmm yyyy")</x:f>
        <x:v>Aug 2026</x:v>
      </x:c>
    </x:row>
    <x:row r="5488" ht="21" customHeight="1">
      <x:c r="A5488" s="10" t="n">
        <x:v>46262</x:v>
      </x:c>
      <x:c r="B5488" s="1" t="n">
        <x:v>20</x:v>
      </x:c>
      <x:c r="C5488" s="1" t="n">
        <x:v>6</x:v>
      </x:c>
      <x:c r="D5488" s="12" t="n">
        <x:v>0</x:v>
      </x:c>
      <x:c r="E5488" s="12" t="n">
        <x:v>0.7731666666666667</x:v>
      </x:c>
      <x:c r="F5488" s="12" t="n">
        <x:v>0.77275</x:v>
      </x:c>
      <x:c r="G5488" s="12" t="n">
        <x:v>0</x:v>
      </x:c>
      <x:c r="H5488" s="1" t="n">
        <x:f>'Historical prices'!E5488</x:f>
        <x:v>1.05</x:v>
      </x:c>
      <x:c r="I5488" s="6" t="n">
        <x:f>'Historical prices'!D5488</x:f>
        <x:v>0.2958</x:v>
      </x:c>
      <x:c r="J5488" s="13" t="n">
        <x:f>D5488*I5488*H5488</x:f>
        <x:v>0</x:v>
      </x:c>
      <x:c r="K5488" s="13" t="n">
        <x:f>E5488*I5488*H5488</x:f>
        <x:v>0.24013783500000002</x:v>
      </x:c>
      <x:c r="L5488" s="1" t="str">
        <x:f>TEXT(A5488,"mmm yyyy")</x:f>
        <x:v>Aug 2026</x:v>
      </x:c>
    </x:row>
    <x:row r="5489" ht="21" customHeight="1">
      <x:c r="A5489" s="10" t="n">
        <x:v>46262</x:v>
      </x:c>
      <x:c r="B5489" s="1" t="n">
        <x:v>20.5</x:v>
      </x:c>
      <x:c r="C5489" s="1" t="n">
        <x:v>6</x:v>
      </x:c>
      <x:c r="D5489" s="12" t="n">
        <x:v>0</x:v>
      </x:c>
      <x:c r="E5489" s="12" t="n">
        <x:v>0.7137499999999999</x:v>
      </x:c>
      <x:c r="F5489" s="12" t="n">
        <x:v>0.7134166666666666</x:v>
      </x:c>
      <x:c r="G5489" s="12" t="n">
        <x:v>0</x:v>
      </x:c>
      <x:c r="H5489" s="1" t="n">
        <x:f>'Historical prices'!E5489</x:f>
        <x:v>1.05</x:v>
      </x:c>
      <x:c r="I5489" s="6" t="n">
        <x:f>'Historical prices'!D5489</x:f>
        <x:v>0.2967</x:v>
      </x:c>
      <x:c r="J5489" s="13" t="n">
        <x:f>D5489*I5489*H5489</x:f>
        <x:v>0</x:v>
      </x:c>
      <x:c r="K5489" s="13" t="n">
        <x:f>E5489*I5489*H5489</x:f>
        <x:v>0.22235810625</x:v>
      </x:c>
      <x:c r="L5489" s="1" t="str">
        <x:f>TEXT(A5489,"mmm yyyy")</x:f>
        <x:v>Aug 2026</x:v>
      </x:c>
    </x:row>
    <x:row r="5490" ht="21" customHeight="1">
      <x:c r="A5490" s="10" t="n">
        <x:v>46262</x:v>
      </x:c>
      <x:c r="B5490" s="1" t="n">
        <x:v>21</x:v>
      </x:c>
      <x:c r="C5490" s="1" t="n">
        <x:v>6</x:v>
      </x:c>
      <x:c r="D5490" s="12" t="n">
        <x:v>0</x:v>
      </x:c>
      <x:c r="E5490" s="12" t="n">
        <x:v>0.6895833333333333</x:v>
      </x:c>
      <x:c r="F5490" s="12" t="n">
        <x:v>0.6893333333333334</x:v>
      </x:c>
      <x:c r="G5490" s="12" t="n">
        <x:v>0</x:v>
      </x:c>
      <x:c r="H5490" s="1" t="n">
        <x:f>'Historical prices'!E5490</x:f>
        <x:v>1.05</x:v>
      </x:c>
      <x:c r="I5490" s="6" t="n">
        <x:f>'Historical prices'!D5490</x:f>
        <x:v>0.30210000000000004</x:v>
      </x:c>
      <x:c r="J5490" s="13" t="n">
        <x:f>D5490*I5490*H5490</x:f>
        <x:v>0</x:v>
      </x:c>
      <x:c r="K5490" s="13" t="n">
        <x:f>E5490*I5490*H5490</x:f>
        <x:v>0.21873928125000003</x:v>
      </x:c>
      <x:c r="L5490" s="1" t="str">
        <x:f>TEXT(A5490,"mmm yyyy")</x:f>
        <x:v>Aug 2026</x:v>
      </x:c>
    </x:row>
    <x:row r="5491" ht="21" customHeight="1">
      <x:c r="A5491" s="10" t="n">
        <x:v>46262</x:v>
      </x:c>
      <x:c r="B5491" s="1" t="n">
        <x:v>21.5</x:v>
      </x:c>
      <x:c r="C5491" s="1" t="n">
        <x:v>6</x:v>
      </x:c>
      <x:c r="D5491" s="12" t="n">
        <x:v>0</x:v>
      </x:c>
      <x:c r="E5491" s="12" t="n">
        <x:v>0.7733333333333334</x:v>
      </x:c>
      <x:c r="F5491" s="12" t="n">
        <x:v>0.7727499999999999</x:v>
      </x:c>
      <x:c r="G5491" s="12" t="n">
        <x:v>0</x:v>
      </x:c>
      <x:c r="H5491" s="1" t="n">
        <x:f>'Historical prices'!E5491</x:f>
        <x:v>1.05</x:v>
      </x:c>
      <x:c r="I5491" s="6" t="n">
        <x:f>'Historical prices'!D5491</x:f>
        <x:v>0.28559999999999997</x:v>
      </x:c>
      <x:c r="J5491" s="13" t="n">
        <x:f>D5491*I5491*H5491</x:f>
        <x:v>0</x:v>
      </x:c>
      <x:c r="K5491" s="13" t="n">
        <x:f>E5491*I5491*H5491</x:f>
        <x:v>0.2319072</x:v>
      </x:c>
      <x:c r="L5491" s="1" t="str">
        <x:f>TEXT(A5491,"mmm yyyy")</x:f>
        <x:v>Aug 2026</x:v>
      </x:c>
    </x:row>
    <x:row r="5492" ht="21" customHeight="1">
      <x:c r="A5492" s="10" t="n">
        <x:v>46262</x:v>
      </x:c>
      <x:c r="B5492" s="1" t="n">
        <x:v>22</x:v>
      </x:c>
      <x:c r="C5492" s="1" t="n">
        <x:v>6</x:v>
      </x:c>
      <x:c r="D5492" s="12" t="n">
        <x:v>0</x:v>
      </x:c>
      <x:c r="E5492" s="12" t="n">
        <x:v>0.5935</x:v>
      </x:c>
      <x:c r="F5492" s="12" t="n">
        <x:v>0.5935</x:v>
      </x:c>
      <x:c r="G5492" s="12" t="n">
        <x:v>0</x:v>
      </x:c>
      <x:c r="H5492" s="1" t="n">
        <x:f>'Historical prices'!E5492</x:f>
        <x:v>1.05</x:v>
      </x:c>
      <x:c r="I5492" s="6" t="n">
        <x:f>'Historical prices'!D5492</x:f>
        <x:v>0.2685</x:v>
      </x:c>
      <x:c r="J5492" s="13" t="n">
        <x:f>D5492*I5492*H5492</x:f>
        <x:v>0</x:v>
      </x:c>
      <x:c r="K5492" s="13" t="n">
        <x:f>E5492*I5492*H5492</x:f>
        <x:v>0.16732248750000003</x:v>
      </x:c>
      <x:c r="L5492" s="1" t="str">
        <x:f>TEXT(A5492,"mmm yyyy")</x:f>
        <x:v>Aug 2026</x:v>
      </x:c>
    </x:row>
    <x:row r="5493" ht="21" customHeight="1">
      <x:c r="A5493" s="10" t="n">
        <x:v>46262</x:v>
      </x:c>
      <x:c r="B5493" s="1" t="n">
        <x:v>22.5</x:v>
      </x:c>
      <x:c r="C5493" s="1" t="n">
        <x:v>6</x:v>
      </x:c>
      <x:c r="D5493" s="12" t="n">
        <x:v>0</x:v>
      </x:c>
      <x:c r="E5493" s="12" t="n">
        <x:v>0.3779166666666666</x:v>
      </x:c>
      <x:c r="F5493" s="12" t="n">
        <x:v>0.37733333333333335</x:v>
      </x:c>
      <x:c r="G5493" s="12" t="n">
        <x:v>0</x:v>
      </x:c>
      <x:c r="H5493" s="1" t="n">
        <x:f>'Historical prices'!E5493</x:f>
        <x:v>1.05</x:v>
      </x:c>
      <x:c r="I5493" s="6" t="n">
        <x:f>'Historical prices'!D5493</x:f>
        <x:v>0.2346</x:v>
      </x:c>
      <x:c r="J5493" s="13" t="n">
        <x:f>D5493*I5493*H5493</x:f>
        <x:v>0</x:v>
      </x:c>
      <x:c r="K5493" s="13" t="n">
        <x:f>E5493*I5493*H5493</x:f>
        <x:v>0.0930922125</x:v>
      </x:c>
      <x:c r="L5493" s="1" t="str">
        <x:f>TEXT(A5493,"mmm yyyy")</x:f>
        <x:v>Aug 2026</x:v>
      </x:c>
    </x:row>
    <x:row r="5494" ht="21" customHeight="1">
      <x:c r="A5494" s="10" t="n">
        <x:v>46262</x:v>
      </x:c>
      <x:c r="B5494" s="1" t="n">
        <x:v>23</x:v>
      </x:c>
      <x:c r="C5494" s="1" t="n">
        <x:v>6</x:v>
      </x:c>
      <x:c r="D5494" s="12" t="n">
        <x:v>0</x:v>
      </x:c>
      <x:c r="E5494" s="12" t="n">
        <x:v>0.3278333333333333</x:v>
      </x:c>
      <x:c r="F5494" s="12" t="n">
        <x:v>0.32725</x:v>
      </x:c>
      <x:c r="G5494" s="12" t="n">
        <x:v>0</x:v>
      </x:c>
      <x:c r="H5494" s="1" t="n">
        <x:f>'Historical prices'!E5494</x:f>
        <x:v>1.05</x:v>
      </x:c>
      <x:c r="I5494" s="6" t="n">
        <x:f>'Historical prices'!D5494</x:f>
        <x:v>0.2186</x:v>
      </x:c>
      <x:c r="J5494" s="13" t="n">
        <x:f>D5494*I5494*H5494</x:f>
        <x:v>0</x:v>
      </x:c>
      <x:c r="K5494" s="13" t="n">
        <x:f>E5494*I5494*H5494</x:f>
        <x:v>0.07524758499999999</x:v>
      </x:c>
      <x:c r="L5494" s="1" t="str">
        <x:f>TEXT(A5494,"mmm yyyy")</x:f>
        <x:v>Aug 2026</x:v>
      </x:c>
    </x:row>
    <x:row r="5495" ht="21" customHeight="1">
      <x:c r="A5495" s="10" t="n">
        <x:v>46262</x:v>
      </x:c>
      <x:c r="B5495" s="1" t="n">
        <x:v>23.5</x:v>
      </x:c>
      <x:c r="C5495" s="1" t="n">
        <x:v>6</x:v>
      </x:c>
      <x:c r="D5495" s="12" t="n">
        <x:v>0.17124999999999999</x:v>
      </x:c>
      <x:c r="E5495" s="12" t="n">
        <x:v>0.23158333333333334</x:v>
      </x:c>
      <x:c r="F5495" s="12" t="n">
        <x:v>0.05</x:v>
      </x:c>
      <x:c r="G5495" s="12" t="n">
        <x:v>0</x:v>
      </x:c>
      <x:c r="H5495" s="1" t="n">
        <x:f>'Historical prices'!E5495</x:f>
        <x:v>1.05</x:v>
      </x:c>
      <x:c r="I5495" s="6" t="n">
        <x:f>'Historical prices'!D5495</x:f>
        <x:v>0.18489999999999998</x:v>
      </x:c>
      <x:c r="J5495" s="13" t="n">
        <x:f>D5495*I5495*H5495</x:f>
        <x:v>0.03324733125</x:v>
      </x:c>
      <x:c r="K5495" s="13" t="n">
        <x:f>E5495*I5495*H5495</x:f>
        <x:v>0.04496074625</x:v>
      </x:c>
      <x:c r="L5495" s="1" t="str">
        <x:f>TEXT(A5495,"mmm yyyy")</x:f>
        <x:v>Aug 2026</x:v>
      </x:c>
    </x:row>
    <x:row r="5496" ht="21" customHeight="1">
      <x:c r="A5496" s="10" t="n">
        <x:v>46263</x:v>
      </x:c>
      <x:c r="B5496" s="1" t="n">
        <x:v>0</x:v>
      </x:c>
      <x:c r="C5496" s="1" t="n">
        <x:v>6</x:v>
      </x:c>
      <x:c r="D5496" s="12" t="n">
        <x:v>0.20975000000000002</x:v>
      </x:c>
      <x:c r="E5496" s="12" t="n">
        <x:v>0.21975000000000003</x:v>
      </x:c>
      <x:c r="F5496" s="12" t="n">
        <x:v>0</x:v>
      </x:c>
      <x:c r="G5496" s="12" t="n">
        <x:v>0</x:v>
      </x:c>
      <x:c r="H5496" s="1" t="n">
        <x:f>'Historical prices'!E5496</x:f>
        <x:v>1.05</x:v>
      </x:c>
      <x:c r="I5496" s="6" t="n">
        <x:f>'Historical prices'!D5496</x:f>
        <x:v>0.16269999999999998</x:v>
      </x:c>
      <x:c r="J5496" s="13" t="n">
        <x:f>D5496*I5496*H5496</x:f>
        <x:v>0.03583264125</x:v>
      </x:c>
      <x:c r="K5496" s="13" t="n">
        <x:f>E5496*I5496*H5496</x:f>
        <x:v>0.03754099125</x:v>
      </x:c>
      <x:c r="L5496" s="1" t="str">
        <x:f>TEXT(A5496,"mmm yyyy")</x:f>
        <x:v>Aug 2026</x:v>
      </x:c>
    </x:row>
    <x:row r="5497" ht="21" customHeight="1">
      <x:c r="A5497" s="10" t="n">
        <x:v>46263</x:v>
      </x:c>
      <x:c r="B5497" s="1" t="n">
        <x:v>0.5</x:v>
      </x:c>
      <x:c r="C5497" s="1" t="n">
        <x:v>6</x:v>
      </x:c>
      <x:c r="D5497" s="12" t="n">
        <x:v>0.27475</x:v>
      </x:c>
      <x:c r="E5497" s="12" t="n">
        <x:v>0.28575</x:v>
      </x:c>
      <x:c r="F5497" s="12" t="n">
        <x:v>0</x:v>
      </x:c>
      <x:c r="G5497" s="12" t="n">
        <x:v>0</x:v>
      </x:c>
      <x:c r="H5497" s="1" t="n">
        <x:f>'Historical prices'!E5497</x:f>
        <x:v>1.05</x:v>
      </x:c>
      <x:c r="I5497" s="6" t="n">
        <x:f>'Historical prices'!D5497</x:f>
        <x:v>0.15560000000000002</x:v>
      </x:c>
      <x:c r="J5497" s="13" t="n">
        <x:f>D5497*I5497*H5497</x:f>
        <x:v>0.044888655</x:v>
      </x:c>
      <x:c r="K5497" s="13" t="n">
        <x:f>E5497*I5497*H5497</x:f>
        <x:v>0.04668583500000001</x:v>
      </x:c>
      <x:c r="L5497" s="1" t="str">
        <x:f>TEXT(A5497,"mmm yyyy")</x:f>
        <x:v>Aug 2026</x:v>
      </x:c>
    </x:row>
    <x:row r="5498" ht="21" customHeight="1">
      <x:c r="A5498" s="10" t="n">
        <x:v>46263</x:v>
      </x:c>
      <x:c r="B5498" s="1" t="n">
        <x:v>1</x:v>
      </x:c>
      <x:c r="C5498" s="1" t="n">
        <x:v>6</x:v>
      </x:c>
      <x:c r="D5498" s="12" t="n">
        <x:v>0.3</x:v>
      </x:c>
      <x:c r="E5498" s="12" t="n">
        <x:v>0.31</x:v>
      </x:c>
      <x:c r="F5498" s="12" t="n">
        <x:v>0</x:v>
      </x:c>
      <x:c r="G5498" s="12" t="n">
        <x:v>0</x:v>
      </x:c>
      <x:c r="H5498" s="1" t="n">
        <x:f>'Historical prices'!E5498</x:f>
        <x:v>1.05</x:v>
      </x:c>
      <x:c r="I5498" s="6" t="n">
        <x:f>'Historical prices'!D5498</x:f>
        <x:v>0.15560000000000002</x:v>
      </x:c>
      <x:c r="J5498" s="13" t="n">
        <x:f>D5498*I5498*H5498</x:f>
        <x:v>0.04901400000000001</x:v>
      </x:c>
      <x:c r="K5498" s="13" t="n">
        <x:f>E5498*I5498*H5498</x:f>
        <x:v>0.050647800000000014</x:v>
      </x:c>
      <x:c r="L5498" s="1" t="str">
        <x:f>TEXT(A5498,"mmm yyyy")</x:f>
        <x:v>Aug 2026</x:v>
      </x:c>
    </x:row>
    <x:row r="5499" ht="21" customHeight="1">
      <x:c r="A5499" s="10" t="n">
        <x:v>46263</x:v>
      </x:c>
      <x:c r="B5499" s="1" t="n">
        <x:v>1.5</x:v>
      </x:c>
      <x:c r="C5499" s="1" t="n">
        <x:v>6</x:v>
      </x:c>
      <x:c r="D5499" s="12" t="n">
        <x:v>0.19775</x:v>
      </x:c>
      <x:c r="E5499" s="12" t="n">
        <x:v>0.20775000000000002</x:v>
      </x:c>
      <x:c r="F5499" s="12" t="n">
        <x:v>0</x:v>
      </x:c>
      <x:c r="G5499" s="12" t="n">
        <x:v>0</x:v>
      </x:c>
      <x:c r="H5499" s="1" t="n">
        <x:f>'Historical prices'!E5499</x:f>
        <x:v>1.05</x:v>
      </x:c>
      <x:c r="I5499" s="6" t="n">
        <x:f>'Historical prices'!D5499</x:f>
        <x:v>0.15560000000000002</x:v>
      </x:c>
      <x:c r="J5499" s="13" t="n">
        <x:f>D5499*I5499*H5499</x:f>
        <x:v>0.03230839500000001</x:v>
      </x:c>
      <x:c r="K5499" s="13" t="n">
        <x:f>E5499*I5499*H5499</x:f>
        <x:v>0.03394219500000001</x:v>
      </x:c>
      <x:c r="L5499" s="1" t="str">
        <x:f>TEXT(A5499,"mmm yyyy")</x:f>
        <x:v>Aug 2026</x:v>
      </x:c>
    </x:row>
    <x:row r="5500" ht="21" customHeight="1">
      <x:c r="A5500" s="10" t="n">
        <x:v>46263</x:v>
      </x:c>
      <x:c r="B5500" s="1" t="n">
        <x:v>2</x:v>
      </x:c>
      <x:c r="C5500" s="1" t="n">
        <x:v>6</x:v>
      </x:c>
      <x:c r="D5500" s="12" t="n">
        <x:v>0.2</x:v>
      </x:c>
      <x:c r="E5500" s="12" t="n">
        <x:v>0.211</x:v>
      </x:c>
      <x:c r="F5500" s="12" t="n">
        <x:v>0</x:v>
      </x:c>
      <x:c r="G5500" s="12" t="n">
        <x:v>0</x:v>
      </x:c>
      <x:c r="H5500" s="1" t="n">
        <x:f>'Historical prices'!E5500</x:f>
        <x:v>1.05</x:v>
      </x:c>
      <x:c r="I5500" s="6" t="n">
        <x:f>'Historical prices'!D5500</x:f>
        <x:v>0.15560000000000002</x:v>
      </x:c>
      <x:c r="J5500" s="13" t="n">
        <x:f>D5500*I5500*H5500</x:f>
        <x:v>0.032676000000000004</x:v>
      </x:c>
      <x:c r="K5500" s="13" t="n">
        <x:f>E5500*I5500*H5500</x:f>
        <x:v>0.034473180000000006</x:v>
      </x:c>
      <x:c r="L5500" s="1" t="str">
        <x:f>TEXT(A5500,"mmm yyyy")</x:f>
        <x:v>Aug 2026</x:v>
      </x:c>
    </x:row>
    <x:row r="5501" ht="21" customHeight="1">
      <x:c r="A5501" s="10" t="n">
        <x:v>46263</x:v>
      </x:c>
      <x:c r="B5501" s="1" t="n">
        <x:v>2.5</x:v>
      </x:c>
      <x:c r="C5501" s="1" t="n">
        <x:v>6</x:v>
      </x:c>
      <x:c r="D5501" s="12" t="n">
        <x:v>0.2175</x:v>
      </x:c>
      <x:c r="E5501" s="12" t="n">
        <x:v>0.2275</x:v>
      </x:c>
      <x:c r="F5501" s="12" t="n">
        <x:v>0</x:v>
      </x:c>
      <x:c r="G5501" s="12" t="n">
        <x:v>0</x:v>
      </x:c>
      <x:c r="H5501" s="1" t="n">
        <x:f>'Historical prices'!E5501</x:f>
        <x:v>1.05</x:v>
      </x:c>
      <x:c r="I5501" s="6" t="n">
        <x:f>'Historical prices'!D5501</x:f>
        <x:v>0.15560000000000002</x:v>
      </x:c>
      <x:c r="J5501" s="13" t="n">
        <x:f>D5501*I5501*H5501</x:f>
        <x:v>0.03553515000000001</x:v>
      </x:c>
      <x:c r="K5501" s="13" t="n">
        <x:f>E5501*I5501*H5501</x:f>
        <x:v>0.037168950000000006</x:v>
      </x:c>
      <x:c r="L5501" s="1" t="str">
        <x:f>TEXT(A5501,"mmm yyyy")</x:f>
        <x:v>Aug 2026</x:v>
      </x:c>
    </x:row>
    <x:row r="5502" ht="21" customHeight="1">
      <x:c r="A5502" s="10" t="n">
        <x:v>46263</x:v>
      </x:c>
      <x:c r="B5502" s="1" t="n">
        <x:v>3</x:v>
      </x:c>
      <x:c r="C5502" s="1" t="n">
        <x:v>6</x:v>
      </x:c>
      <x:c r="D5502" s="12" t="n">
        <x:v>4.28475</x:v>
      </x:c>
      <x:c r="E5502" s="12" t="n">
        <x:v>0.42475</x:v>
      </x:c>
      <x:c r="F5502" s="12" t="n">
        <x:v>0</x:v>
      </x:c>
      <x:c r="G5502" s="12" t="n">
        <x:v>3.862</x:v>
      </x:c>
      <x:c r="H5502" s="1" t="n">
        <x:f>'Historical prices'!E5502</x:f>
        <x:v>1.05</x:v>
      </x:c>
      <x:c r="I5502" s="6" t="n">
        <x:f>'Historical prices'!D5502</x:f>
        <x:v>0.1535</x:v>
      </x:c>
      <x:c r="J5502" s="13" t="n">
        <x:f>D5502*I5502*H5502</x:f>
        <x:v>0.6905945812500001</x:v>
      </x:c>
      <x:c r="K5502" s="13" t="n">
        <x:f>E5502*I5502*H5502</x:f>
        <x:v>0.06845908125</x:v>
      </x:c>
      <x:c r="L5502" s="1" t="str">
        <x:f>TEXT(A5502,"mmm yyyy")</x:f>
        <x:v>Aug 2026</x:v>
      </x:c>
    </x:row>
    <x:row r="5503" ht="21" customHeight="1">
      <x:c r="A5503" s="10" t="n">
        <x:v>46263</x:v>
      </x:c>
      <x:c r="B5503" s="1" t="n">
        <x:v>3.5</x:v>
      </x:c>
      <x:c r="C5503" s="1" t="n">
        <x:v>6</x:v>
      </x:c>
      <x:c r="D5503" s="12" t="n">
        <x:v>4.96025</x:v>
      </x:c>
      <x:c r="E5503" s="12" t="n">
        <x:v>0.44825000000000004</x:v>
      </x:c>
      <x:c r="F5503" s="12" t="n">
        <x:v>0</x:v>
      </x:c>
      <x:c r="G5503" s="12" t="n">
        <x:v>4.5120000000000005</x:v>
      </x:c>
      <x:c r="H5503" s="1" t="n">
        <x:f>'Historical prices'!E5503</x:f>
        <x:v>1.05</x:v>
      </x:c>
      <x:c r="I5503" s="6" t="n">
        <x:f>'Historical prices'!D5503</x:f>
        <x:v>0.14400000000000002</x:v>
      </x:c>
      <x:c r="J5503" s="13" t="n">
        <x:f>D5503*I5503*H5503</x:f>
        <x:v>0.7499898000000002</x:v>
      </x:c>
      <x:c r="K5503" s="13" t="n">
        <x:f>E5503*I5503*H5503</x:f>
        <x:v>0.06777540000000001</x:v>
      </x:c>
      <x:c r="L5503" s="1" t="str">
        <x:f>TEXT(A5503,"mmm yyyy")</x:f>
        <x:v>Aug 2026</x:v>
      </x:c>
    </x:row>
    <x:row r="5504" ht="21" customHeight="1">
      <x:c r="A5504" s="10" t="n">
        <x:v>46263</x:v>
      </x:c>
      <x:c r="B5504" s="1" t="n">
        <x:v>4</x:v>
      </x:c>
      <x:c r="C5504" s="1" t="n">
        <x:v>6</x:v>
      </x:c>
      <x:c r="D5504" s="12" t="n">
        <x:v>4.6370000000000005</x:v>
      </x:c>
      <x:c r="E5504" s="12" t="n">
        <x:v>0.43300000000000005</x:v>
      </x:c>
      <x:c r="F5504" s="12" t="n">
        <x:v>0</x:v>
      </x:c>
      <x:c r="G5504" s="12" t="n">
        <x:v>4.204</x:v>
      </x:c>
      <x:c r="H5504" s="1" t="n">
        <x:f>'Historical prices'!E5504</x:f>
        <x:v>1.05</x:v>
      </x:c>
      <x:c r="I5504" s="6" t="n">
        <x:f>'Historical prices'!D5504</x:f>
        <x:v>0.15560000000000002</x:v>
      </x:c>
      <x:c r="J5504" s="13" t="n">
        <x:f>D5504*I5504*H5504</x:f>
        <x:v>0.7575930600000003</x:v>
      </x:c>
      <x:c r="K5504" s="13" t="n">
        <x:f>E5504*I5504*H5504</x:f>
        <x:v>0.07074354000000002</x:v>
      </x:c>
      <x:c r="L5504" s="1" t="str">
        <x:f>TEXT(A5504,"mmm yyyy")</x:f>
        <x:v>Aug 2026</x:v>
      </x:c>
    </x:row>
    <x:row r="5505" ht="21" customHeight="1">
      <x:c r="A5505" s="10" t="n">
        <x:v>46263</x:v>
      </x:c>
      <x:c r="B5505" s="1" t="n">
        <x:v>4.5</x:v>
      </x:c>
      <x:c r="C5505" s="1" t="n">
        <x:v>6</x:v>
      </x:c>
      <x:c r="D5505" s="12" t="n">
        <x:v>0.78475</x:v>
      </x:c>
      <x:c r="E5505" s="12" t="n">
        <x:v>0.21175000000000002</x:v>
      </x:c>
      <x:c r="F5505" s="12" t="n">
        <x:v>0</x:v>
      </x:c>
      <x:c r="G5505" s="12" t="n">
        <x:v>0.578</x:v>
      </x:c>
      <x:c r="H5505" s="1" t="n">
        <x:f>'Historical prices'!E5505</x:f>
        <x:v>1.05</x:v>
      </x:c>
      <x:c r="I5505" s="6" t="n">
        <x:f>'Historical prices'!D5505</x:f>
        <x:v>0.15560000000000002</x:v>
      </x:c>
      <x:c r="J5505" s="13" t="n">
        <x:f>D5505*I5505*H5505</x:f>
        <x:v>0.128212455</x:v>
      </x:c>
      <x:c r="K5505" s="13" t="n">
        <x:f>E5505*I5505*H5505</x:f>
        <x:v>0.034595715000000006</x:v>
      </x:c>
      <x:c r="L5505" s="1" t="str">
        <x:f>TEXT(A5505,"mmm yyyy")</x:f>
        <x:v>Aug 2026</x:v>
      </x:c>
    </x:row>
    <x:row r="5506" ht="21" customHeight="1">
      <x:c r="A5506" s="10" t="n">
        <x:v>46263</x:v>
      </x:c>
      <x:c r="B5506" s="1" t="n">
        <x:v>5</x:v>
      </x:c>
      <x:c r="C5506" s="1" t="n">
        <x:v>6</x:v>
      </x:c>
      <x:c r="D5506" s="12" t="n">
        <x:v>4.064</x:v>
      </x:c>
      <x:c r="E5506" s="12" t="n">
        <x:v>0.41600000000000004</x:v>
      </x:c>
      <x:c r="F5506" s="12" t="n">
        <x:v>0</x:v>
      </x:c>
      <x:c r="G5506" s="12" t="n">
        <x:v>3.6500000000000004</x:v>
      </x:c>
      <x:c r="H5506" s="1" t="n">
        <x:f>'Historical prices'!E5506</x:f>
        <x:v>1.05</x:v>
      </x:c>
      <x:c r="I5506" s="6" t="n">
        <x:f>'Historical prices'!D5506</x:f>
        <x:v>0.1535</x:v>
      </x:c>
      <x:c r="J5506" s="13" t="n">
        <x:f>D5506*I5506*H5506</x:f>
        <x:v>0.6550152</x:v>
      </x:c>
      <x:c r="K5506" s="13" t="n">
        <x:f>E5506*I5506*H5506</x:f>
        <x:v>0.06704880000000002</x:v>
      </x:c>
      <x:c r="L5506" s="1" t="str">
        <x:f>TEXT(A5506,"mmm yyyy")</x:f>
        <x:v>Aug 2026</x:v>
      </x:c>
    </x:row>
    <x:row r="5507" ht="21" customHeight="1">
      <x:c r="A5507" s="10" t="n">
        <x:v>46263</x:v>
      </x:c>
      <x:c r="B5507" s="1" t="n">
        <x:v>5.5</x:v>
      </x:c>
      <x:c r="C5507" s="1" t="n">
        <x:v>6</x:v>
      </x:c>
      <x:c r="D5507" s="12" t="n">
        <x:v>1.8405000000000002</x:v>
      </x:c>
      <x:c r="E5507" s="12" t="n">
        <x:v>0.2995</x:v>
      </x:c>
      <x:c r="F5507" s="12" t="n">
        <x:v>0</x:v>
      </x:c>
      <x:c r="G5507" s="12" t="n">
        <x:v>1.541</x:v>
      </x:c>
      <x:c r="H5507" s="1" t="n">
        <x:f>'Historical prices'!E5507</x:f>
        <x:v>1.05</x:v>
      </x:c>
      <x:c r="I5507" s="6" t="n">
        <x:f>'Historical prices'!D5507</x:f>
        <x:v>0.15560000000000002</x:v>
      </x:c>
      <x:c r="J5507" s="13" t="n">
        <x:f>D5507*I5507*H5507</x:f>
        <x:v>0.3007008900000001</x:v>
      </x:c>
      <x:c r="K5507" s="13" t="n">
        <x:f>E5507*I5507*H5507</x:f>
        <x:v>0.04893231000000001</x:v>
      </x:c>
      <x:c r="L5507" s="1" t="str">
        <x:f>TEXT(A5507,"mmm yyyy")</x:f>
        <x:v>Aug 2026</x:v>
      </x:c>
    </x:row>
    <x:row r="5508" ht="21" customHeight="1">
      <x:c r="A5508" s="10" t="n">
        <x:v>46263</x:v>
      </x:c>
      <x:c r="B5508" s="1" t="n">
        <x:v>6</x:v>
      </x:c>
      <x:c r="C5508" s="1" t="n">
        <x:v>6</x:v>
      </x:c>
      <x:c r="D5508" s="12" t="n">
        <x:v>0.41750000000000004</x:v>
      </x:c>
      <x:c r="E5508" s="12" t="n">
        <x:v>0.27649999999999997</x:v>
      </x:c>
      <x:c r="F5508" s="12" t="n">
        <x:v>0</x:v>
      </x:c>
      <x:c r="G5508" s="12" t="n">
        <x:v>0.14400000000000002</x:v>
      </x:c>
      <x:c r="H5508" s="1" t="n">
        <x:f>'Historical prices'!E5508</x:f>
        <x:v>1.05</x:v>
      </x:c>
      <x:c r="I5508" s="6" t="n">
        <x:f>'Historical prices'!D5508</x:f>
        <x:v>0.15560000000000002</x:v>
      </x:c>
      <x:c r="J5508" s="13" t="n">
        <x:f>D5508*I5508*H5508</x:f>
        <x:v>0.06821115000000001</x:v>
      </x:c>
      <x:c r="K5508" s="13" t="n">
        <x:f>E5508*I5508*H5508</x:f>
        <x:v>0.04517457</x:v>
      </x:c>
      <x:c r="L5508" s="1" t="str">
        <x:f>TEXT(A5508,"mmm yyyy")</x:f>
        <x:v>Aug 2026</x:v>
      </x:c>
    </x:row>
    <x:row r="5509" ht="21" customHeight="1">
      <x:c r="A5509" s="10" t="n">
        <x:v>46263</x:v>
      </x:c>
      <x:c r="B5509" s="1" t="n">
        <x:v>6.5</x:v>
      </x:c>
      <x:c r="C5509" s="1" t="n">
        <x:v>6</x:v>
      </x:c>
      <x:c r="D5509" s="12" t="n">
        <x:v>0.6465</x:v>
      </x:c>
      <x:c r="E5509" s="12" t="n">
        <x:v>0.47150000000000003</x:v>
      </x:c>
      <x:c r="F5509" s="12" t="n">
        <x:v>0</x:v>
      </x:c>
      <x:c r="G5509" s="12" t="n">
        <x:v>0.182</x:v>
      </x:c>
      <x:c r="H5509" s="1" t="n">
        <x:f>'Historical prices'!E5509</x:f>
        <x:v>1.05</x:v>
      </x:c>
      <x:c r="I5509" s="6" t="n">
        <x:f>'Historical prices'!D5509</x:f>
        <x:v>0.1783</x:v>
      </x:c>
      <x:c r="J5509" s="13" t="n">
        <x:f>D5509*I5509*H5509</x:f>
        <x:v>0.12103449749999999</x:v>
      </x:c>
      <x:c r="K5509" s="13" t="n">
        <x:f>E5509*I5509*H5509</x:f>
        <x:v>0.0882718725</x:v>
      </x:c>
      <x:c r="L5509" s="1" t="str">
        <x:f>TEXT(A5509,"mmm yyyy")</x:f>
        <x:v>Aug 2026</x:v>
      </x:c>
    </x:row>
    <x:row r="5510" ht="21" customHeight="1">
      <x:c r="A5510" s="10" t="n">
        <x:v>46263</x:v>
      </x:c>
      <x:c r="B5510" s="1" t="n">
        <x:v>7</x:v>
      </x:c>
      <x:c r="C5510" s="1" t="n">
        <x:v>6</x:v>
      </x:c>
      <x:c r="D5510" s="12" t="n">
        <x:v>0.7424999999999999</x:v>
      </x:c>
      <x:c r="E5510" s="12" t="n">
        <x:v>0.6555</x:v>
      </x:c>
      <x:c r="F5510" s="12" t="n">
        <x:v>0</x:v>
      </x:c>
      <x:c r="G5510" s="12" t="n">
        <x:v>0.095</x:v>
      </x:c>
      <x:c r="H5510" s="1" t="n">
        <x:f>'Historical prices'!E5510</x:f>
        <x:v>1.05</x:v>
      </x:c>
      <x:c r="I5510" s="6" t="n">
        <x:f>'Historical prices'!D5510</x:f>
        <x:v>0.1797</x:v>
      </x:c>
      <x:c r="J5510" s="13" t="n">
        <x:f>D5510*I5510*H5510</x:f>
        <x:v>0.1400986125</x:v>
      </x:c>
      <x:c r="K5510" s="13" t="n">
        <x:f>E5510*I5510*H5510</x:f>
        <x:v>0.12368301749999999</x:v>
      </x:c>
      <x:c r="L5510" s="1" t="str">
        <x:f>TEXT(A5510,"mmm yyyy")</x:f>
        <x:v>Aug 2026</x:v>
      </x:c>
    </x:row>
    <x:row r="5511" ht="21" customHeight="1">
      <x:c r="A5511" s="10" t="n">
        <x:v>46263</x:v>
      </x:c>
      <x:c r="B5511" s="1" t="n">
        <x:v>7.5</x:v>
      </x:c>
      <x:c r="C5511" s="1" t="n">
        <x:v>6</x:v>
      </x:c>
      <x:c r="D5511" s="12" t="n">
        <x:v>0.48175</x:v>
      </x:c>
      <x:c r="E5511" s="12" t="n">
        <x:v>0.6747500000000001</x:v>
      </x:c>
      <x:c r="F5511" s="12" t="n">
        <x:v>0.191</x:v>
      </x:c>
      <x:c r="G5511" s="12" t="n">
        <x:v>0</x:v>
      </x:c>
      <x:c r="H5511" s="1" t="n">
        <x:f>'Historical prices'!E5511</x:f>
        <x:v>1.05</x:v>
      </x:c>
      <x:c r="I5511" s="6" t="n">
        <x:f>'Historical prices'!D5511</x:f>
        <x:v>0.21969999999999998</x:v>
      </x:c>
      <x:c r="J5511" s="13" t="n">
        <x:f>D5511*I5511*H5511</x:f>
        <x:v>0.11113249874999999</x:v>
      </x:c>
      <x:c r="K5511" s="13" t="n">
        <x:f>E5511*I5511*H5511</x:f>
        <x:v>0.15565470374999998</x:v>
      </x:c>
      <x:c r="L5511" s="1" t="str">
        <x:f>TEXT(A5511,"mmm yyyy")</x:f>
        <x:v>Aug 2026</x:v>
      </x:c>
    </x:row>
    <x:row r="5512" ht="21" customHeight="1">
      <x:c r="A5512" s="10" t="n">
        <x:v>46263</x:v>
      </x:c>
      <x:c r="B5512" s="1" t="n">
        <x:v>8</x:v>
      </x:c>
      <x:c r="C5512" s="1" t="n">
        <x:v>6</x:v>
      </x:c>
      <x:c r="D5512" s="12" t="n">
        <x:v>0.0715</x:v>
      </x:c>
      <x:c r="E5512" s="12" t="n">
        <x:v>1.4573333333333334</x:v>
      </x:c>
      <x:c r="F5512" s="12" t="n">
        <x:v>1.3853333333333335</x:v>
      </x:c>
      <x:c r="G5512" s="12" t="n">
        <x:v>0</x:v>
      </x:c>
      <x:c r="H5512" s="1" t="n">
        <x:f>'Historical prices'!E5512</x:f>
        <x:v>1.05</x:v>
      </x:c>
      <x:c r="I5512" s="6" t="n">
        <x:f>'Historical prices'!D5512</x:f>
        <x:v>0.25120000000000003</x:v>
      </x:c>
      <x:c r="J5512" s="13" t="n">
        <x:f>D5512*I5512*H5512</x:f>
        <x:v>0.01885884</x:v>
      </x:c>
      <x:c r="K5512" s="13" t="n">
        <x:f>E5512*I5512*H5512</x:f>
        <x:v>0.3843862400000001</x:v>
      </x:c>
      <x:c r="L5512" s="1" t="str">
        <x:f>TEXT(A5512,"mmm yyyy")</x:f>
        <x:v>Aug 2026</x:v>
      </x:c>
    </x:row>
    <x:row r="5513" ht="21" customHeight="1">
      <x:c r="A5513" s="10" t="n">
        <x:v>46263</x:v>
      </x:c>
      <x:c r="B5513" s="1" t="n">
        <x:v>8.5</x:v>
      </x:c>
      <x:c r="C5513" s="1" t="n">
        <x:v>6</x:v>
      </x:c>
      <x:c r="D5513" s="12" t="n">
        <x:v>0</x:v>
      </x:c>
      <x:c r="E5513" s="12" t="n">
        <x:v>0.9726666666666668</x:v>
      </x:c>
      <x:c r="F5513" s="12" t="n">
        <x:v>0.9722500000000001</x:v>
      </x:c>
      <x:c r="G5513" s="12" t="n">
        <x:v>0</x:v>
      </x:c>
      <x:c r="H5513" s="1" t="n">
        <x:f>'Historical prices'!E5513</x:f>
        <x:v>1.05</x:v>
      </x:c>
      <x:c r="I5513" s="6" t="n">
        <x:f>'Historical prices'!D5513</x:f>
        <x:v>0.2788</x:v>
      </x:c>
      <x:c r="J5513" s="13" t="n">
        <x:f>D5513*I5513*H5513</x:f>
        <x:v>0</x:v>
      </x:c>
      <x:c r="K5513" s="13" t="n">
        <x:f>E5513*I5513*H5513</x:f>
        <x:v>0.28473844000000004</x:v>
      </x:c>
      <x:c r="L5513" s="1" t="str">
        <x:f>TEXT(A5513,"mmm yyyy")</x:f>
        <x:v>Aug 2026</x:v>
      </x:c>
    </x:row>
    <x:row r="5514" ht="21" customHeight="1">
      <x:c r="A5514" s="10" t="n">
        <x:v>46263</x:v>
      </x:c>
      <x:c r="B5514" s="1" t="n">
        <x:v>9</x:v>
      </x:c>
      <x:c r="C5514" s="1" t="n">
        <x:v>6</x:v>
      </x:c>
      <x:c r="D5514" s="12" t="n">
        <x:v>0.23966666666666667</x:v>
      </x:c>
      <x:c r="E5514" s="12" t="n">
        <x:v>1.2600833333333334</x:v>
      </x:c>
      <x:c r="F5514" s="12" t="n">
        <x:v>1.02</x:v>
      </x:c>
      <x:c r="G5514" s="12" t="n">
        <x:v>0</x:v>
      </x:c>
      <x:c r="H5514" s="1" t="n">
        <x:f>'Historical prices'!E5514</x:f>
        <x:v>1.05</x:v>
      </x:c>
      <x:c r="I5514" s="6" t="n">
        <x:f>'Historical prices'!D5514</x:f>
        <x:v>0.2929</x:v>
      </x:c>
      <x:c r="J5514" s="13" t="n">
        <x:f>D5514*I5514*H5514</x:f>
        <x:v>0.073708285</x:v>
      </x:c>
      <x:c r="K5514" s="13" t="n">
        <x:f>E5514*I5514*H5514</x:f>
        <x:v>0.38753232875000004</x:v>
      </x:c>
      <x:c r="L5514" s="1" t="str">
        <x:f>TEXT(A5514,"mmm yyyy")</x:f>
        <x:v>Aug 2026</x:v>
      </x:c>
    </x:row>
    <x:row r="5515" ht="21" customHeight="1">
      <x:c r="A5515" s="10" t="n">
        <x:v>46263</x:v>
      </x:c>
      <x:c r="B5515" s="1" t="n">
        <x:v>9.5</x:v>
      </x:c>
      <x:c r="C5515" s="1" t="n">
        <x:v>6</x:v>
      </x:c>
      <x:c r="D5515" s="12" t="n">
        <x:v>0.11225</x:v>
      </x:c>
      <x:c r="E5515" s="12" t="n">
        <x:v>1.5281666666666665</x:v>
      </x:c>
      <x:c r="F5515" s="12" t="n">
        <x:v>1.4155833333333332</x:v>
      </x:c>
      <x:c r="G5515" s="12" t="n">
        <x:v>0</x:v>
      </x:c>
      <x:c r="H5515" s="1" t="n">
        <x:f>'Historical prices'!E5515</x:f>
        <x:v>1.05</x:v>
      </x:c>
      <x:c r="I5515" s="6" t="n">
        <x:f>'Historical prices'!D5515</x:f>
        <x:v>0.30210000000000004</x:v>
      </x:c>
      <x:c r="J5515" s="13" t="n">
        <x:f>D5515*I5515*H5515</x:f>
        <x:v>0.03560626125000001</x:v>
      </x:c>
      <x:c r="K5515" s="13" t="n">
        <x:f>E5515*I5515*H5515</x:f>
        <x:v>0.48474210749999996</x:v>
      </x:c>
      <x:c r="L5515" s="1" t="str">
        <x:f>TEXT(A5515,"mmm yyyy")</x:f>
        <x:v>Aug 2026</x:v>
      </x:c>
    </x:row>
    <x:row r="5516" ht="21" customHeight="1">
      <x:c r="A5516" s="10" t="n">
        <x:v>46263</x:v>
      </x:c>
      <x:c r="B5516" s="1" t="n">
        <x:v>10</x:v>
      </x:c>
      <x:c r="C5516" s="1" t="n">
        <x:v>6</x:v>
      </x:c>
      <x:c r="D5516" s="12" t="n">
        <x:v>0</x:v>
      </x:c>
      <x:c r="E5516" s="12" t="n">
        <x:v>1.1710833333333333</x:v>
      </x:c>
      <x:c r="F5516" s="12" t="n">
        <x:v>1.170583333333333</x:v>
      </x:c>
      <x:c r="G5516" s="12" t="n">
        <x:v>0</x:v>
      </x:c>
      <x:c r="H5516" s="1" t="n">
        <x:f>'Historical prices'!E5516</x:f>
        <x:v>1.05</x:v>
      </x:c>
      <x:c r="I5516" s="6" t="n">
        <x:f>'Historical prices'!D5516</x:f>
        <x:v>0.3041</x:v>
      </x:c>
      <x:c r="J5516" s="13" t="n">
        <x:f>D5516*I5516*H5516</x:f>
        <x:v>0</x:v>
      </x:c>
      <x:c r="K5516" s="13" t="n">
        <x:f>E5516*I5516*H5516</x:f>
        <x:v>0.37393276374999995</x:v>
      </x:c>
      <x:c r="L5516" s="1" t="str">
        <x:f>TEXT(A5516,"mmm yyyy")</x:f>
        <x:v>Aug 2026</x:v>
      </x:c>
    </x:row>
    <x:row r="5517" ht="21" customHeight="1">
      <x:c r="A5517" s="10" t="n">
        <x:v>46263</x:v>
      </x:c>
      <x:c r="B5517" s="1" t="n">
        <x:v>10.5</x:v>
      </x:c>
      <x:c r="C5517" s="1" t="n">
        <x:v>6</x:v>
      </x:c>
      <x:c r="D5517" s="12" t="n">
        <x:v>0</x:v>
      </x:c>
      <x:c r="E5517" s="12" t="n">
        <x:v>0.9298333333333334</x:v>
      </x:c>
      <x:c r="F5517" s="12" t="n">
        <x:v>0.9294166666666668</x:v>
      </x:c>
      <x:c r="G5517" s="12" t="n">
        <x:v>0</x:v>
      </x:c>
      <x:c r="H5517" s="1" t="n">
        <x:f>'Historical prices'!E5517</x:f>
        <x:v>1.05</x:v>
      </x:c>
      <x:c r="I5517" s="6" t="n">
        <x:f>'Historical prices'!D5517</x:f>
        <x:v>0.30829999999999996</x:v>
      </x:c>
      <x:c r="J5517" s="13" t="n">
        <x:f>D5517*I5517*H5517</x:f>
        <x:v>0</x:v>
      </x:c>
      <x:c r="K5517" s="13" t="n">
        <x:f>E5517*I5517*H5517</x:f>
        <x:v>0.30100099750000003</x:v>
      </x:c>
      <x:c r="L5517" s="1" t="str">
        <x:f>TEXT(A5517,"mmm yyyy")</x:f>
        <x:v>Aug 2026</x:v>
      </x:c>
    </x:row>
    <x:row r="5518" ht="21" customHeight="1">
      <x:c r="A5518" s="10" t="n">
        <x:v>46263</x:v>
      </x:c>
      <x:c r="B5518" s="1" t="n">
        <x:v>11</x:v>
      </x:c>
      <x:c r="C5518" s="1" t="n">
        <x:v>6</x:v>
      </x:c>
      <x:c r="D5518" s="12" t="n">
        <x:v>0</x:v>
      </x:c>
      <x:c r="E5518" s="12" t="n">
        <x:v>0.8200833333333333</x:v>
      </x:c>
      <x:c r="F5518" s="12" t="n">
        <x:v>0.8170000000000001</x:v>
      </x:c>
      <x:c r="G5518" s="12" t="n">
        <x:v>0</x:v>
      </x:c>
      <x:c r="H5518" s="1" t="n">
        <x:f>'Historical prices'!E5518</x:f>
        <x:v>1.05</x:v>
      </x:c>
      <x:c r="I5518" s="6" t="n">
        <x:f>'Historical prices'!D5518</x:f>
        <x:v>0.29760000000000003</x:v>
      </x:c>
      <x:c r="J5518" s="13" t="n">
        <x:f>D5518*I5518*H5518</x:f>
        <x:v>0</x:v>
      </x:c>
      <x:c r="K5518" s="13" t="n">
        <x:f>E5518*I5518*H5518</x:f>
        <x:v>0.25625964</x:v>
      </x:c>
      <x:c r="L5518" s="1" t="str">
        <x:f>TEXT(A5518,"mmm yyyy")</x:f>
        <x:v>Aug 2026</x:v>
      </x:c>
    </x:row>
    <x:row r="5519" ht="21" customHeight="1">
      <x:c r="A5519" s="10" t="n">
        <x:v>46263</x:v>
      </x:c>
      <x:c r="B5519" s="1" t="n">
        <x:v>11.5</x:v>
      </x:c>
      <x:c r="C5519" s="1" t="n">
        <x:v>6</x:v>
      </x:c>
      <x:c r="D5519" s="12" t="n">
        <x:v>0</x:v>
      </x:c>
      <x:c r="E5519" s="12" t="n">
        <x:v>0.8328333333333333</x:v>
      </x:c>
      <x:c r="F5519" s="12" t="n">
        <x:v>0.8324166666666667</x:v>
      </x:c>
      <x:c r="G5519" s="12" t="n">
        <x:v>0</x:v>
      </x:c>
      <x:c r="H5519" s="1" t="n">
        <x:f>'Historical prices'!E5519</x:f>
        <x:v>1.05</x:v>
      </x:c>
      <x:c r="I5519" s="6" t="n">
        <x:f>'Historical prices'!D5519</x:f>
        <x:v>0.30260000000000004</x:v>
      </x:c>
      <x:c r="J5519" s="13" t="n">
        <x:f>D5519*I5519*H5519</x:f>
        <x:v>0</x:v>
      </x:c>
      <x:c r="K5519" s="13" t="n">
        <x:f>E5519*I5519*H5519</x:f>
        <x:v>0.26461613500000003</x:v>
      </x:c>
      <x:c r="L5519" s="1" t="str">
        <x:f>TEXT(A5519,"mmm yyyy")</x:f>
        <x:v>Aug 2026</x:v>
      </x:c>
    </x:row>
    <x:row r="5520" ht="21" customHeight="1">
      <x:c r="A5520" s="10" t="n">
        <x:v>46263</x:v>
      </x:c>
      <x:c r="B5520" s="1" t="n">
        <x:v>12</x:v>
      </x:c>
      <x:c r="C5520" s="1" t="n">
        <x:v>6</x:v>
      </x:c>
      <x:c r="D5520" s="12" t="n">
        <x:v>0</x:v>
      </x:c>
      <x:c r="E5520" s="12" t="n">
        <x:v>0.8969166666666667</x:v>
      </x:c>
      <x:c r="F5520" s="12" t="n">
        <x:v>0.8921666666666668</x:v>
      </x:c>
      <x:c r="G5520" s="12" t="n">
        <x:v>0</x:v>
      </x:c>
      <x:c r="H5520" s="1" t="n">
        <x:f>'Historical prices'!E5520</x:f>
        <x:v>1.05</x:v>
      </x:c>
      <x:c r="I5520" s="6" t="n">
        <x:f>'Historical prices'!D5520</x:f>
        <x:v>0.307</x:v>
      </x:c>
      <x:c r="J5520" s="13" t="n">
        <x:f>D5520*I5520*H5520</x:f>
        <x:v>0</x:v>
      </x:c>
      <x:c r="K5520" s="13" t="n">
        <x:f>E5520*I5520*H5520</x:f>
        <x:v>0.28912108750000004</x:v>
      </x:c>
      <x:c r="L5520" s="1" t="str">
        <x:f>TEXT(A5520,"mmm yyyy")</x:f>
        <x:v>Aug 2026</x:v>
      </x:c>
    </x:row>
    <x:row r="5521" ht="21" customHeight="1">
      <x:c r="A5521" s="10" t="n">
        <x:v>46263</x:v>
      </x:c>
      <x:c r="B5521" s="1" t="n">
        <x:v>12.5</x:v>
      </x:c>
      <x:c r="C5521" s="1" t="n">
        <x:v>6</x:v>
      </x:c>
      <x:c r="D5521" s="12" t="n">
        <x:v>0</x:v>
      </x:c>
      <x:c r="E5521" s="12" t="n">
        <x:v>0.8627499999999999</x:v>
      </x:c>
      <x:c r="F5521" s="12" t="n">
        <x:v>0.8620833333333333</x:v>
      </x:c>
      <x:c r="G5521" s="12" t="n">
        <x:v>0</x:v>
      </x:c>
      <x:c r="H5521" s="1" t="n">
        <x:f>'Historical prices'!E5521</x:f>
        <x:v>1.05</x:v>
      </x:c>
      <x:c r="I5521" s="6" t="n">
        <x:f>'Historical prices'!D5521</x:f>
        <x:v>0.3073</x:v>
      </x:c>
      <x:c r="J5521" s="13" t="n">
        <x:f>D5521*I5521*H5521</x:f>
        <x:v>0</x:v>
      </x:c>
      <x:c r="K5521" s="13" t="n">
        <x:f>E5521*I5521*H5521</x:f>
        <x:v>0.27837922875</x:v>
      </x:c>
      <x:c r="L5521" s="1" t="str">
        <x:f>TEXT(A5521,"mmm yyyy")</x:f>
        <x:v>Aug 2026</x:v>
      </x:c>
    </x:row>
    <x:row r="5522" ht="21" customHeight="1">
      <x:c r="A5522" s="10" t="n">
        <x:v>46263</x:v>
      </x:c>
      <x:c r="B5522" s="1" t="n">
        <x:v>13</x:v>
      </x:c>
      <x:c r="C5522" s="1" t="n">
        <x:v>6</x:v>
      </x:c>
      <x:c r="D5522" s="12" t="n">
        <x:v>0</x:v>
      </x:c>
      <x:c r="E5522" s="12" t="n">
        <x:v>0.8280000000000001</x:v>
      </x:c>
      <x:c r="F5522" s="12" t="n">
        <x:v>0.8275000000000001</x:v>
      </x:c>
      <x:c r="G5522" s="12" t="n">
        <x:v>0</x:v>
      </x:c>
      <x:c r="H5522" s="1" t="n">
        <x:f>'Historical prices'!E5522</x:f>
        <x:v>1.05</x:v>
      </x:c>
      <x:c r="I5522" s="6" t="n">
        <x:f>'Historical prices'!D5522</x:f>
        <x:v>0.30260000000000004</x:v>
      </x:c>
      <x:c r="J5522" s="13" t="n">
        <x:f>D5522*I5522*H5522</x:f>
        <x:v>0</x:v>
      </x:c>
      <x:c r="K5522" s="13" t="n">
        <x:f>E5522*I5522*H5522</x:f>
        <x:v>0.2630804400000001</x:v>
      </x:c>
      <x:c r="L5522" s="1" t="str">
        <x:f>TEXT(A5522,"mmm yyyy")</x:f>
        <x:v>Aug 2026</x:v>
      </x:c>
    </x:row>
    <x:row r="5523" ht="21" customHeight="1">
      <x:c r="A5523" s="10" t="n">
        <x:v>46263</x:v>
      </x:c>
      <x:c r="B5523" s="1" t="n">
        <x:v>13.5</x:v>
      </x:c>
      <x:c r="C5523" s="1" t="n">
        <x:v>6</x:v>
      </x:c>
      <x:c r="D5523" s="12" t="n">
        <x:v>0.62675</x:v>
      </x:c>
      <x:c r="E5523" s="12" t="n">
        <x:v>0.8008333333333334</x:v>
      </x:c>
      <x:c r="F5523" s="12" t="n">
        <x:v>0.163</x:v>
      </x:c>
      <x:c r="G5523" s="12" t="n">
        <x:v>0</x:v>
      </x:c>
      <x:c r="H5523" s="1" t="n">
        <x:f>'Historical prices'!E5523</x:f>
        <x:v>1.05</x:v>
      </x:c>
      <x:c r="I5523" s="6" t="n">
        <x:f>'Historical prices'!D5523</x:f>
        <x:v>0.2929</x:v>
      </x:c>
      <x:c r="J5523" s="13" t="n">
        <x:f>D5523*I5523*H5523</x:f>
        <x:v>0.19275382875000002</x:v>
      </x:c>
      <x:c r="K5523" s="13" t="n">
        <x:f>E5523*I5523*H5523</x:f>
        <x:v>0.2462922875</x:v>
      </x:c>
      <x:c r="L5523" s="1" t="str">
        <x:f>TEXT(A5523,"mmm yyyy")</x:f>
        <x:v>Aug 2026</x:v>
      </x:c>
    </x:row>
    <x:row r="5524" ht="21" customHeight="1">
      <x:c r="A5524" s="10" t="n">
        <x:v>46263</x:v>
      </x:c>
      <x:c r="B5524" s="1" t="n">
        <x:v>14</x:v>
      </x:c>
      <x:c r="C5524" s="1" t="n">
        <x:v>6</x:v>
      </x:c>
      <x:c r="D5524" s="12" t="n">
        <x:v>0.7470000000000001</x:v>
      </x:c>
      <x:c r="E5524" s="12" t="n">
        <x:v>0.7570000000000001</x:v>
      </x:c>
      <x:c r="F5524" s="12" t="n">
        <x:v>0</x:v>
      </x:c>
      <x:c r="G5524" s="12" t="n">
        <x:v>0</x:v>
      </x:c>
      <x:c r="H5524" s="1" t="n">
        <x:f>'Historical prices'!E5524</x:f>
        <x:v>1.05</x:v>
      </x:c>
      <x:c r="I5524" s="6" t="n">
        <x:f>'Historical prices'!D5524</x:f>
        <x:v>0.2742</x:v>
      </x:c>
      <x:c r="J5524" s="13" t="n">
        <x:f>D5524*I5524*H5524</x:f>
        <x:v>0.21506877000000002</x:v>
      </x:c>
      <x:c r="K5524" s="13" t="n">
        <x:f>E5524*I5524*H5524</x:f>
        <x:v>0.21794787000000004</x:v>
      </x:c>
      <x:c r="L5524" s="1" t="str">
        <x:f>TEXT(A5524,"mmm yyyy")</x:f>
        <x:v>Aug 2026</x:v>
      </x:c>
    </x:row>
    <x:row r="5525" ht="21" customHeight="1">
      <x:c r="A5525" s="10" t="n">
        <x:v>46263</x:v>
      </x:c>
      <x:c r="B5525" s="1" t="n">
        <x:v>14.5</x:v>
      </x:c>
      <x:c r="C5525" s="1" t="n">
        <x:v>6</x:v>
      </x:c>
      <x:c r="D5525" s="12" t="n">
        <x:v>0.89175</x:v>
      </x:c>
      <x:c r="E5525" s="12" t="n">
        <x:v>0.90375</x:v>
      </x:c>
      <x:c r="F5525" s="12" t="n">
        <x:v>0</x:v>
      </x:c>
      <x:c r="G5525" s="12" t="n">
        <x:v>0</x:v>
      </x:c>
      <x:c r="H5525" s="1" t="n">
        <x:f>'Historical prices'!E5525</x:f>
        <x:v>1.05</x:v>
      </x:c>
      <x:c r="I5525" s="6" t="n">
        <x:f>'Historical prices'!D5525</x:f>
        <x:v>0.271</x:v>
      </x:c>
      <x:c r="J5525" s="13" t="n">
        <x:f>D5525*I5525*H5525</x:f>
        <x:v>0.2537474625</x:v>
      </x:c>
      <x:c r="K5525" s="13" t="n">
        <x:f>E5525*I5525*H5525</x:f>
        <x:v>0.25716206250000007</x:v>
      </x:c>
      <x:c r="L5525" s="1" t="str">
        <x:f>TEXT(A5525,"mmm yyyy")</x:f>
        <x:v>Aug 2026</x:v>
      </x:c>
    </x:row>
    <x:row r="5526" ht="21" customHeight="1">
      <x:c r="A5526" s="10" t="n">
        <x:v>46263</x:v>
      </x:c>
      <x:c r="B5526" s="1" t="n">
        <x:v>15</x:v>
      </x:c>
      <x:c r="C5526" s="1" t="n">
        <x:v>6</x:v>
      </x:c>
      <x:c r="D5526" s="12" t="n">
        <x:v>0.77925</x:v>
      </x:c>
      <x:c r="E5526" s="12" t="n">
        <x:v>0.78925</x:v>
      </x:c>
      <x:c r="F5526" s="12" t="n">
        <x:v>0</x:v>
      </x:c>
      <x:c r="G5526" s="12" t="n">
        <x:v>0</x:v>
      </x:c>
      <x:c r="H5526" s="1" t="n">
        <x:f>'Historical prices'!E5526</x:f>
        <x:v>1.05</x:v>
      </x:c>
      <x:c r="I5526" s="6" t="n">
        <x:f>'Historical prices'!D5526</x:f>
        <x:v>0.2671</x:v>
      </x:c>
      <x:c r="J5526" s="13" t="n">
        <x:f>D5526*I5526*H5526</x:f>
        <x:v>0.21854455875</x:v>
      </x:c>
      <x:c r="K5526" s="13" t="n">
        <x:f>E5526*I5526*H5526</x:f>
        <x:v>0.22134910875000002</x:v>
      </x:c>
      <x:c r="L5526" s="1" t="str">
        <x:f>TEXT(A5526,"mmm yyyy")</x:f>
        <x:v>Aug 2026</x:v>
      </x:c>
    </x:row>
    <x:row r="5527" ht="21" customHeight="1">
      <x:c r="A5527" s="10" t="n">
        <x:v>46263</x:v>
      </x:c>
      <x:c r="B5527" s="1" t="n">
        <x:v>15.5</x:v>
      </x:c>
      <x:c r="C5527" s="1" t="n">
        <x:v>6</x:v>
      </x:c>
      <x:c r="D5527" s="12" t="n">
        <x:v>0.778</x:v>
      </x:c>
      <x:c r="E5527" s="12" t="n">
        <x:v>0.7890000000000001</x:v>
      </x:c>
      <x:c r="F5527" s="12" t="n">
        <x:v>0</x:v>
      </x:c>
      <x:c r="G5527" s="12" t="n">
        <x:v>0</x:v>
      </x:c>
      <x:c r="H5527" s="1" t="n">
        <x:f>'Historical prices'!E5527</x:f>
        <x:v>1.05</x:v>
      </x:c>
      <x:c r="I5527" s="6" t="n">
        <x:f>'Historical prices'!D5527</x:f>
        <x:v>0.27399999999999997</x:v>
      </x:c>
      <x:c r="J5527" s="13" t="n">
        <x:f>D5527*I5527*H5527</x:f>
        <x:v>0.2238306</x:v>
      </x:c>
      <x:c r="K5527" s="13" t="n">
        <x:f>E5527*I5527*H5527</x:f>
        <x:v>0.22699530000000004</x:v>
      </x:c>
      <x:c r="L5527" s="1" t="str">
        <x:f>TEXT(A5527,"mmm yyyy")</x:f>
        <x:v>Aug 2026</x:v>
      </x:c>
    </x:row>
    <x:row r="5528" ht="21" customHeight="1">
      <x:c r="A5528" s="10" t="n">
        <x:v>46263</x:v>
      </x:c>
      <x:c r="B5528" s="1" t="n">
        <x:v>16</x:v>
      </x:c>
      <x:c r="C5528" s="1" t="n">
        <x:v>6</x:v>
      </x:c>
      <x:c r="D5528" s="12" t="n">
        <x:v>0.12425</x:v>
      </x:c>
      <x:c r="E5528" s="12" t="n">
        <x:v>0.7998333333333334</x:v>
      </x:c>
      <x:c r="F5528" s="12" t="n">
        <x:v>0.6726666666666667</x:v>
      </x:c>
      <x:c r="G5528" s="12" t="n">
        <x:v>0</x:v>
      </x:c>
      <x:c r="H5528" s="1" t="n">
        <x:f>'Historical prices'!E5528</x:f>
        <x:v>1.05</x:v>
      </x:c>
      <x:c r="I5528" s="6" t="n">
        <x:f>'Historical prices'!D5528</x:f>
        <x:v>0.42340000000000005</x:v>
      </x:c>
      <x:c r="J5528" s="13" t="n">
        <x:f>D5528*I5528*H5528</x:f>
        <x:v>0.05523782250000001</x:v>
      </x:c>
      <x:c r="K5528" s="13" t="n">
        <x:f>E5528*I5528*H5528</x:f>
        <x:v>0.3555819050000001</x:v>
      </x:c>
      <x:c r="L5528" s="1" t="str">
        <x:f>TEXT(A5528,"mmm yyyy")</x:f>
        <x:v>Aug 2026</x:v>
      </x:c>
    </x:row>
    <x:row r="5529" ht="21" customHeight="1">
      <x:c r="A5529" s="10" t="n">
        <x:v>46263</x:v>
      </x:c>
      <x:c r="B5529" s="1" t="n">
        <x:v>16.5</x:v>
      </x:c>
      <x:c r="C5529" s="1" t="n">
        <x:v>6</x:v>
      </x:c>
      <x:c r="D5529" s="12" t="n">
        <x:v>0</x:v>
      </x:c>
      <x:c r="E5529" s="12" t="n">
        <x:v>0.7674166666666667</x:v>
      </x:c>
      <x:c r="F5529" s="12" t="n">
        <x:v>0.7673333333333333</x:v>
      </x:c>
      <x:c r="G5529" s="12" t="n">
        <x:v>0</x:v>
      </x:c>
      <x:c r="H5529" s="1" t="n">
        <x:f>'Historical prices'!E5529</x:f>
        <x:v>1.05</x:v>
      </x:c>
      <x:c r="I5529" s="6" t="n">
        <x:f>'Historical prices'!D5529</x:f>
        <x:v>0.4388</x:v>
      </x:c>
      <x:c r="J5529" s="13" t="n">
        <x:f>D5529*I5529*H5529</x:f>
        <x:v>0</x:v>
      </x:c>
      <x:c r="K5529" s="13" t="n">
        <x:f>E5529*I5529*H5529</x:f>
        <x:v>0.35357955500000005</x:v>
      </x:c>
      <x:c r="L5529" s="1" t="str">
        <x:f>TEXT(A5529,"mmm yyyy")</x:f>
        <x:v>Aug 2026</x:v>
      </x:c>
    </x:row>
    <x:row r="5530" ht="21" customHeight="1">
      <x:c r="A5530" s="10" t="n">
        <x:v>46263</x:v>
      </x:c>
      <x:c r="B5530" s="1" t="n">
        <x:v>17</x:v>
      </x:c>
      <x:c r="C5530" s="1" t="n">
        <x:v>6</x:v>
      </x:c>
      <x:c r="D5530" s="12" t="n">
        <x:v>0</x:v>
      </x:c>
      <x:c r="E5530" s="12" t="n">
        <x:v>0.8337500000000001</x:v>
      </x:c>
      <x:c r="F5530" s="12" t="n">
        <x:v>0.8334999999999999</x:v>
      </x:c>
      <x:c r="G5530" s="12" t="n">
        <x:v>0</x:v>
      </x:c>
      <x:c r="H5530" s="1" t="n">
        <x:f>'Historical prices'!E5530</x:f>
        <x:v>1.05</x:v>
      </x:c>
      <x:c r="I5530" s="6" t="n">
        <x:f>'Historical prices'!D5530</x:f>
        <x:v>0.4471</x:v>
      </x:c>
      <x:c r="J5530" s="13" t="n">
        <x:f>D5530*I5530*H5530</x:f>
        <x:v>0</x:v>
      </x:c>
      <x:c r="K5530" s="13" t="n">
        <x:f>E5530*I5530*H5530</x:f>
        <x:v>0.39140810625000005</x:v>
      </x:c>
      <x:c r="L5530" s="1" t="str">
        <x:f>TEXT(A5530,"mmm yyyy")</x:f>
        <x:v>Aug 2026</x:v>
      </x:c>
    </x:row>
    <x:row r="5531" ht="21" customHeight="1">
      <x:c r="A5531" s="10" t="n">
        <x:v>46263</x:v>
      </x:c>
      <x:c r="B5531" s="1" t="n">
        <x:v>17.5</x:v>
      </x:c>
      <x:c r="C5531" s="1" t="n">
        <x:v>6</x:v>
      </x:c>
      <x:c r="D5531" s="12" t="n">
        <x:v>0</x:v>
      </x:c>
      <x:c r="E5531" s="12" t="n">
        <x:v>0.7359166666666667</x:v>
      </x:c>
      <x:c r="F5531" s="12" t="n">
        <x:v>0.7355833333333334</x:v>
      </x:c>
      <x:c r="G5531" s="12" t="n">
        <x:v>0</x:v>
      </x:c>
      <x:c r="H5531" s="1" t="n">
        <x:f>'Historical prices'!E5531</x:f>
        <x:v>1.05</x:v>
      </x:c>
      <x:c r="I5531" s="6" t="n">
        <x:f>'Historical prices'!D5531</x:f>
        <x:v>0.4465</x:v>
      </x:c>
      <x:c r="J5531" s="13" t="n">
        <x:f>D5531*I5531*H5531</x:f>
        <x:v>0</x:v>
      </x:c>
      <x:c r="K5531" s="13" t="n">
        <x:f>E5531*I5531*H5531</x:f>
        <x:v>0.34501613125</x:v>
      </x:c>
      <x:c r="L5531" s="1" t="str">
        <x:f>TEXT(A5531,"mmm yyyy")</x:f>
        <x:v>Aug 2026</x:v>
      </x:c>
    </x:row>
    <x:row r="5532" ht="21" customHeight="1">
      <x:c r="A5532" s="10" t="n">
        <x:v>46263</x:v>
      </x:c>
      <x:c r="B5532" s="1" t="n">
        <x:v>18</x:v>
      </x:c>
      <x:c r="C5532" s="1" t="n">
        <x:v>6</x:v>
      </x:c>
      <x:c r="D5532" s="12" t="n">
        <x:v>0</x:v>
      </x:c>
      <x:c r="E5532" s="12" t="n">
        <x:v>0.6706666666666666</x:v>
      </x:c>
      <x:c r="F5532" s="12" t="n">
        <x:v>0.6703333333333333</x:v>
      </x:c>
      <x:c r="G5532" s="12" t="n">
        <x:v>0</x:v>
      </x:c>
      <x:c r="H5532" s="1" t="n">
        <x:f>'Historical prices'!E5532</x:f>
        <x:v>1.05</x:v>
      </x:c>
      <x:c r="I5532" s="6" t="n">
        <x:f>'Historical prices'!D5532</x:f>
        <x:v>0.44179999999999997</x:v>
      </x:c>
      <x:c r="J5532" s="13" t="n">
        <x:f>D5532*I5532*H5532</x:f>
        <x:v>0</x:v>
      </x:c>
      <x:c r="K5532" s="13" t="n">
        <x:f>E5532*I5532*H5532</x:f>
        <x:v>0.31111555999999996</x:v>
      </x:c>
      <x:c r="L5532" s="1" t="str">
        <x:f>TEXT(A5532,"mmm yyyy")</x:f>
        <x:v>Aug 2026</x:v>
      </x:c>
    </x:row>
    <x:row r="5533" ht="21" customHeight="1">
      <x:c r="A5533" s="10" t="n">
        <x:v>46263</x:v>
      </x:c>
      <x:c r="B5533" s="1" t="n">
        <x:v>18.5</x:v>
      </x:c>
      <x:c r="C5533" s="1" t="n">
        <x:v>6</x:v>
      </x:c>
      <x:c r="D5533" s="12" t="n">
        <x:v>0</x:v>
      </x:c>
      <x:c r="E5533" s="12" t="n">
        <x:v>2.1413333333333333</x:v>
      </x:c>
      <x:c r="F5533" s="12" t="n">
        <x:v>2.1406666666666667</x:v>
      </x:c>
      <x:c r="G5533" s="12" t="n">
        <x:v>0</x:v>
      </x:c>
      <x:c r="H5533" s="1" t="n">
        <x:f>'Historical prices'!E5533</x:f>
        <x:v>1.05</x:v>
      </x:c>
      <x:c r="I5533" s="6" t="n">
        <x:f>'Historical prices'!D5533</x:f>
        <x:v>0.4375</x:v>
      </x:c>
      <x:c r="J5533" s="13" t="n">
        <x:f>D5533*I5533*H5533</x:f>
        <x:v>0</x:v>
      </x:c>
      <x:c r="K5533" s="13" t="n">
        <x:f>E5533*I5533*H5533</x:f>
        <x:v>0.983675</x:v>
      </x:c>
      <x:c r="L5533" s="1" t="str">
        <x:f>TEXT(A5533,"mmm yyyy")</x:f>
        <x:v>Aug 2026</x:v>
      </x:c>
    </x:row>
    <x:row r="5534" ht="21" customHeight="1">
      <x:c r="A5534" s="10" t="n">
        <x:v>46263</x:v>
      </x:c>
      <x:c r="B5534" s="1" t="n">
        <x:v>19</x:v>
      </x:c>
      <x:c r="C5534" s="1" t="n">
        <x:v>6</x:v>
      </x:c>
      <x:c r="D5534" s="12" t="n">
        <x:v>0</x:v>
      </x:c>
      <x:c r="E5534" s="12" t="n">
        <x:v>1.0685833333333332</x:v>
      </x:c>
      <x:c r="F5534" s="12" t="n">
        <x:v>1.0650833333333334</x:v>
      </x:c>
      <x:c r="G5534" s="12" t="n">
        <x:v>0</x:v>
      </x:c>
      <x:c r="H5534" s="1" t="n">
        <x:f>'Historical prices'!E5534</x:f>
        <x:v>1.05</x:v>
      </x:c>
      <x:c r="I5534" s="6" t="n">
        <x:f>'Historical prices'!D5534</x:f>
        <x:v>0.3223</x:v>
      </x:c>
      <x:c r="J5534" s="13" t="n">
        <x:f>D5534*I5534*H5534</x:f>
        <x:v>0</x:v>
      </x:c>
      <x:c r="K5534" s="13" t="n">
        <x:f>E5534*I5534*H5534</x:f>
        <x:v>0.3616246287499999</x:v>
      </x:c>
      <x:c r="L5534" s="1" t="str">
        <x:f>TEXT(A5534,"mmm yyyy")</x:f>
        <x:v>Aug 2026</x:v>
      </x:c>
    </x:row>
    <x:row r="5535" ht="21" customHeight="1">
      <x:c r="A5535" s="10" t="n">
        <x:v>46263</x:v>
      </x:c>
      <x:c r="B5535" s="1" t="n">
        <x:v>19.5</x:v>
      </x:c>
      <x:c r="C5535" s="1" t="n">
        <x:v>6</x:v>
      </x:c>
      <x:c r="D5535" s="12" t="n">
        <x:v>0.5363333333333333</x:v>
      </x:c>
      <x:c r="E5535" s="12" t="n">
        <x:v>0.6773333333333332</x:v>
      </x:c>
      <x:c r="F5535" s="12" t="n">
        <x:v>0.131</x:v>
      </x:c>
      <x:c r="G5535" s="12" t="n">
        <x:v>0</x:v>
      </x:c>
      <x:c r="H5535" s="1" t="n">
        <x:f>'Historical prices'!E5535</x:f>
        <x:v>1.05</x:v>
      </x:c>
      <x:c r="I5535" s="6" t="n">
        <x:f>'Historical prices'!D5535</x:f>
        <x:v>0.32</x:v>
      </x:c>
      <x:c r="J5535" s="13" t="n">
        <x:f>D5535*I5535*H5535</x:f>
        <x:v>0.180208</x:v>
      </x:c>
      <x:c r="K5535" s="13" t="n">
        <x:f>E5535*I5535*H5535</x:f>
        <x:v>0.22758399999999998</x:v>
      </x:c>
      <x:c r="L5535" s="1" t="str">
        <x:f>TEXT(A5535,"mmm yyyy")</x:f>
        <x:v>Aug 2026</x:v>
      </x:c>
    </x:row>
    <x:row r="5536" ht="21" customHeight="1">
      <x:c r="A5536" s="10" t="n">
        <x:v>46263</x:v>
      </x:c>
      <x:c r="B5536" s="1" t="n">
        <x:v>20</x:v>
      </x:c>
      <x:c r="C5536" s="1" t="n">
        <x:v>6</x:v>
      </x:c>
      <x:c r="D5536" s="12" t="n">
        <x:v>0.102</x:v>
      </x:c>
      <x:c r="E5536" s="12" t="n">
        <x:v>0.7001666666666666</x:v>
      </x:c>
      <x:c r="F5536" s="12" t="n">
        <x:v>0.59575</x:v>
      </x:c>
      <x:c r="G5536" s="12" t="n">
        <x:v>0</x:v>
      </x:c>
      <x:c r="H5536" s="1" t="n">
        <x:f>'Historical prices'!E5536</x:f>
        <x:v>1.05</x:v>
      </x:c>
      <x:c r="I5536" s="6" t="n">
        <x:f>'Historical prices'!D5536</x:f>
        <x:v>0.32780000000000004</x:v>
      </x:c>
      <x:c r="J5536" s="13" t="n">
        <x:f>D5536*I5536*H5536</x:f>
        <x:v>0.03510738000000001</x:v>
      </x:c>
      <x:c r="K5536" s="13" t="n">
        <x:f>E5536*I5536*H5536</x:f>
        <x:v>0.240990365</x:v>
      </x:c>
      <x:c r="L5536" s="1" t="str">
        <x:f>TEXT(A5536,"mmm yyyy")</x:f>
        <x:v>Aug 2026</x:v>
      </x:c>
    </x:row>
    <x:row r="5537" ht="21" customHeight="1">
      <x:c r="A5537" s="10" t="n">
        <x:v>46263</x:v>
      </x:c>
      <x:c r="B5537" s="1" t="n">
        <x:v>20.5</x:v>
      </x:c>
      <x:c r="C5537" s="1" t="n">
        <x:v>6</x:v>
      </x:c>
      <x:c r="D5537" s="12" t="n">
        <x:v>0</x:v>
      </x:c>
      <x:c r="E5537" s="12" t="n">
        <x:v>0.6708333333333333</x:v>
      </x:c>
      <x:c r="F5537" s="12" t="n">
        <x:v>0.6705833333333333</x:v>
      </x:c>
      <x:c r="G5537" s="12" t="n">
        <x:v>0</x:v>
      </x:c>
      <x:c r="H5537" s="1" t="n">
        <x:f>'Historical prices'!E5537</x:f>
        <x:v>1.05</x:v>
      </x:c>
      <x:c r="I5537" s="6" t="n">
        <x:f>'Historical prices'!D5537</x:f>
        <x:v>0.32439999999999997</x:v>
      </x:c>
      <x:c r="J5537" s="13" t="n">
        <x:f>D5537*I5537*H5537</x:f>
        <x:v>0</x:v>
      </x:c>
      <x:c r="K5537" s="13" t="n">
        <x:f>E5537*I5537*H5537</x:f>
        <x:v>0.22849925</x:v>
      </x:c>
      <x:c r="L5537" s="1" t="str">
        <x:f>TEXT(A5537,"mmm yyyy")</x:f>
        <x:v>Aug 2026</x:v>
      </x:c>
    </x:row>
    <x:row r="5538" ht="21" customHeight="1">
      <x:c r="A5538" s="10" t="n">
        <x:v>46263</x:v>
      </x:c>
      <x:c r="B5538" s="1" t="n">
        <x:v>21</x:v>
      </x:c>
      <x:c r="C5538" s="1" t="n">
        <x:v>6</x:v>
      </x:c>
      <x:c r="D5538" s="12" t="n">
        <x:v>0</x:v>
      </x:c>
      <x:c r="E5538" s="12" t="n">
        <x:v>0.6769166666666666</x:v>
      </x:c>
      <x:c r="F5538" s="12" t="n">
        <x:v>0.6765</x:v>
      </x:c>
      <x:c r="G5538" s="12" t="n">
        <x:v>0</x:v>
      </x:c>
      <x:c r="H5538" s="1" t="n">
        <x:f>'Historical prices'!E5538</x:f>
        <x:v>1.05</x:v>
      </x:c>
      <x:c r="I5538" s="6" t="n">
        <x:f>'Historical prices'!D5538</x:f>
        <x:v>0.3236</x:v>
      </x:c>
      <x:c r="J5538" s="13" t="n">
        <x:f>D5538*I5538*H5538</x:f>
        <x:v>0</x:v>
      </x:c>
      <x:c r="K5538" s="13" t="n">
        <x:f>E5538*I5538*H5538</x:f>
        <x:v>0.23000274499999998</x:v>
      </x:c>
      <x:c r="L5538" s="1" t="str">
        <x:f>TEXT(A5538,"mmm yyyy")</x:f>
        <x:v>Aug 2026</x:v>
      </x:c>
    </x:row>
    <x:row r="5539" ht="21" customHeight="1">
      <x:c r="A5539" s="10" t="n">
        <x:v>46263</x:v>
      </x:c>
      <x:c r="B5539" s="1" t="n">
        <x:v>21.5</x:v>
      </x:c>
      <x:c r="C5539" s="1" t="n">
        <x:v>6</x:v>
      </x:c>
      <x:c r="D5539" s="12" t="n">
        <x:v>0</x:v>
      </x:c>
      <x:c r="E5539" s="12" t="n">
        <x:v>0.6318333333333332</x:v>
      </x:c>
      <x:c r="F5539" s="12" t="n">
        <x:v>0.6316666666666666</x:v>
      </x:c>
      <x:c r="G5539" s="12" t="n">
        <x:v>0</x:v>
      </x:c>
      <x:c r="H5539" s="1" t="n">
        <x:f>'Historical prices'!E5539</x:f>
        <x:v>1.05</x:v>
      </x:c>
      <x:c r="I5539" s="6" t="n">
        <x:f>'Historical prices'!D5539</x:f>
        <x:v>0.3023</x:v>
      </x:c>
      <x:c r="J5539" s="13" t="n">
        <x:f>D5539*I5539*H5539</x:f>
        <x:v>0</x:v>
      </x:c>
      <x:c r="K5539" s="13" t="n">
        <x:f>E5539*I5539*H5539</x:f>
        <x:v>0.2005533775</x:v>
      </x:c>
      <x:c r="L5539" s="1" t="str">
        <x:f>TEXT(A5539,"mmm yyyy")</x:f>
        <x:v>Aug 2026</x:v>
      </x:c>
    </x:row>
    <x:row r="5540" ht="21" customHeight="1">
      <x:c r="A5540" s="10" t="n">
        <x:v>46263</x:v>
      </x:c>
      <x:c r="B5540" s="1" t="n">
        <x:v>22</x:v>
      </x:c>
      <x:c r="C5540" s="1" t="n">
        <x:v>6</x:v>
      </x:c>
      <x:c r="D5540" s="12" t="n">
        <x:v>0.3188333333333333</x:v>
      </x:c>
      <x:c r="E5540" s="12" t="n">
        <x:v>0.6780833333333333</x:v>
      </x:c>
      <x:c r="F5540" s="12" t="n">
        <x:v>0.422</x:v>
      </x:c>
      <x:c r="G5540" s="12" t="n">
        <x:v>0.07100000000000001</x:v>
      </x:c>
      <x:c r="H5540" s="1" t="n">
        <x:f>'Historical prices'!E5540</x:f>
        <x:v>1.05</x:v>
      </x:c>
      <x:c r="I5540" s="6" t="n">
        <x:f>'Historical prices'!D5540</x:f>
        <x:v>0.3016</x:v>
      </x:c>
      <x:c r="J5540" s="13" t="n">
        <x:f>D5540*I5540*H5540</x:f>
        <x:v>0.10096813999999998</x:v>
      </x:c>
      <x:c r="K5540" s="13" t="n">
        <x:f>E5540*I5540*H5540</x:f>
        <x:v>0.21473542999999998</x:v>
      </x:c>
      <x:c r="L5540" s="1" t="str">
        <x:f>TEXT(A5540,"mmm yyyy")</x:f>
        <x:v>Aug 2026</x:v>
      </x:c>
    </x:row>
    <x:row r="5541" ht="21" customHeight="1">
      <x:c r="A5541" s="10" t="n">
        <x:v>46263</x:v>
      </x:c>
      <x:c r="B5541" s="1" t="n">
        <x:v>22.5</x:v>
      </x:c>
      <x:c r="C5541" s="1" t="n">
        <x:v>6</x:v>
      </x:c>
      <x:c r="D5541" s="12" t="n">
        <x:v>0.4535</x:v>
      </x:c>
      <x:c r="E5541" s="12" t="n">
        <x:v>0.34049999999999997</x:v>
      </x:c>
      <x:c r="F5541" s="12" t="n">
        <x:v>0</x:v>
      </x:c>
      <x:c r="G5541" s="12" t="n">
        <x:v>0.11299999999999999</x:v>
      </x:c>
      <x:c r="H5541" s="1" t="n">
        <x:f>'Historical prices'!E5541</x:f>
        <x:v>1.05</x:v>
      </x:c>
      <x:c r="I5541" s="6" t="n">
        <x:f>'Historical prices'!D5541</x:f>
        <x:v>0.2488</x:v>
      </x:c>
      <x:c r="J5541" s="13" t="n">
        <x:f>D5541*I5541*H5541</x:f>
        <x:v>0.11847234</x:v>
      </x:c>
      <x:c r="K5541" s="13" t="n">
        <x:f>E5541*I5541*H5541</x:f>
        <x:v>0.08895221999999998</x:v>
      </x:c>
      <x:c r="L5541" s="1" t="str">
        <x:f>TEXT(A5541,"mmm yyyy")</x:f>
        <x:v>Aug 2026</x:v>
      </x:c>
    </x:row>
    <x:row r="5542" ht="21" customHeight="1">
      <x:c r="A5542" s="10" t="n">
        <x:v>46263</x:v>
      </x:c>
      <x:c r="B5542" s="1" t="n">
        <x:v>23</x:v>
      </x:c>
      <x:c r="C5542" s="1" t="n">
        <x:v>6</x:v>
      </x:c>
      <x:c r="D5542" s="12" t="n">
        <x:v>0.324</x:v>
      </x:c>
      <x:c r="E5542" s="12" t="n">
        <x:v>0.33</x:v>
      </x:c>
      <x:c r="F5542" s="12" t="n">
        <x:v>0</x:v>
      </x:c>
      <x:c r="G5542" s="12" t="n">
        <x:v>0</x:v>
      </x:c>
      <x:c r="H5542" s="1" t="n">
        <x:f>'Historical prices'!E5542</x:f>
        <x:v>1.05</x:v>
      </x:c>
      <x:c r="I5542" s="6" t="n">
        <x:f>'Historical prices'!D5542</x:f>
        <x:v>0.2663</x:v>
      </x:c>
      <x:c r="J5542" s="13" t="n">
        <x:f>D5542*I5542*H5542</x:f>
        <x:v>0.09059526000000001</x:v>
      </x:c>
      <x:c r="K5542" s="13" t="n">
        <x:f>E5542*I5542*H5542</x:f>
        <x:v>0.09227295</x:v>
      </x:c>
      <x:c r="L5542" s="1" t="str">
        <x:f>TEXT(A5542,"mmm yyyy")</x:f>
        <x:v>Aug 2026</x:v>
      </x:c>
    </x:row>
    <x:row r="5543" ht="21" customHeight="1">
      <x:c r="A5543" s="10" t="n">
        <x:v>46263</x:v>
      </x:c>
      <x:c r="B5543" s="1" t="n">
        <x:v>23.5</x:v>
      </x:c>
      <x:c r="C5543" s="1" t="n">
        <x:v>6</x:v>
      </x:c>
      <x:c r="D5543" s="12" t="n">
        <x:v>0.36950000000000005</x:v>
      </x:c>
      <x:c r="E5543" s="12" t="n">
        <x:v>0.37550000000000006</x:v>
      </x:c>
      <x:c r="F5543" s="12" t="n">
        <x:v>0</x:v>
      </x:c>
      <x:c r="G5543" s="12" t="n">
        <x:v>0</x:v>
      </x:c>
      <x:c r="H5543" s="1" t="n">
        <x:f>'Historical prices'!E5543</x:f>
        <x:v>1.05</x:v>
      </x:c>
      <x:c r="I5543" s="6" t="n">
        <x:f>'Historical prices'!D5543</x:f>
        <x:v>0.26039999999999996</x:v>
      </x:c>
      <x:c r="J5543" s="13" t="n">
        <x:f>D5543*I5543*H5543</x:f>
        <x:v>0.10102869</x:v>
      </x:c>
      <x:c r="K5543" s="13" t="n">
        <x:f>E5543*I5543*H5543</x:f>
        <x:v>0.10266921</x:v>
      </x:c>
      <x:c r="L5543" s="1" t="str">
        <x:f>TEXT(A5543,"mmm yyyy")</x:f>
        <x:v>Aug 2026</x:v>
      </x:c>
    </x:row>
    <x:row r="5544" ht="21" customHeight="1">
      <x:c r="A5544" s="10" t="n">
        <x:v>46264</x:v>
      </x:c>
      <x:c r="B5544" s="1" t="n">
        <x:v>0</x:v>
      </x:c>
      <x:c r="C5544" s="1" t="n">
        <x:v>6</x:v>
      </x:c>
      <x:c r="D5544" s="12" t="n">
        <x:v>0.702</x:v>
      </x:c>
      <x:c r="E5544" s="12" t="n">
        <x:v>0.706</x:v>
      </x:c>
      <x:c r="F5544" s="12" t="n">
        <x:v>0</x:v>
      </x:c>
      <x:c r="G5544" s="12" t="n">
        <x:v>0</x:v>
      </x:c>
      <x:c r="H5544" s="1" t="n">
        <x:f>'Historical prices'!E5544</x:f>
        <x:v>1.05</x:v>
      </x:c>
      <x:c r="I5544" s="6" t="n">
        <x:f>'Historical prices'!D5544</x:f>
        <x:v>0.2708</x:v>
      </x:c>
      <x:c r="J5544" s="13" t="n">
        <x:f>D5544*I5544*H5544</x:f>
        <x:v>0.19960667999999998</x:v>
      </x:c>
      <x:c r="K5544" s="13" t="n">
        <x:f>E5544*I5544*H5544</x:f>
        <x:v>0.20074403999999998</x:v>
      </x:c>
      <x:c r="L5544" s="1" t="str">
        <x:f>TEXT(A5544,"mmm yyyy")</x:f>
        <x:v>Aug 2026</x:v>
      </x:c>
    </x:row>
    <x:row r="5545" ht="21" customHeight="1">
      <x:c r="A5545" s="10" t="n">
        <x:v>46264</x:v>
      </x:c>
      <x:c r="B5545" s="1" t="n">
        <x:v>0.5</x:v>
      </x:c>
      <x:c r="C5545" s="1" t="n">
        <x:v>6</x:v>
      </x:c>
      <x:c r="D5545" s="12" t="n">
        <x:v>0.254</x:v>
      </x:c>
      <x:c r="E5545" s="12" t="n">
        <x:v>0.257</x:v>
      </x:c>
      <x:c r="F5545" s="12" t="n">
        <x:v>0</x:v>
      </x:c>
      <x:c r="G5545" s="12" t="n">
        <x:v>0</x:v>
      </x:c>
      <x:c r="H5545" s="1" t="n">
        <x:f>'Historical prices'!E5545</x:f>
        <x:v>1.05</x:v>
      </x:c>
      <x:c r="I5545" s="6" t="n">
        <x:f>'Historical prices'!D5545</x:f>
        <x:v>0.2633</x:v>
      </x:c>
      <x:c r="J5545" s="13" t="n">
        <x:f>D5545*I5545*H5545</x:f>
        <x:v>0.07022211</x:v>
      </x:c>
      <x:c r="K5545" s="13" t="n">
        <x:f>E5545*I5545*H5545</x:f>
        <x:v>0.071051505</x:v>
      </x:c>
      <x:c r="L5545" s="1" t="str">
        <x:f>TEXT(A5545,"mmm yyyy")</x:f>
        <x:v>Aug 2026</x:v>
      </x:c>
    </x:row>
    <x:row r="5546" ht="21" customHeight="1">
      <x:c r="A5546" s="10" t="n">
        <x:v>46264</x:v>
      </x:c>
      <x:c r="B5546" s="1" t="n">
        <x:v>1</x:v>
      </x:c>
      <x:c r="C5546" s="1" t="n">
        <x:v>6</x:v>
      </x:c>
      <x:c r="D5546" s="12" t="n">
        <x:v>0.22725</x:v>
      </x:c>
      <x:c r="E5546" s="12" t="n">
        <x:v>0.23025</x:v>
      </x:c>
      <x:c r="F5546" s="12" t="n">
        <x:v>0</x:v>
      </x:c>
      <x:c r="G5546" s="12" t="n">
        <x:v>0</x:v>
      </x:c>
      <x:c r="H5546" s="1" t="n">
        <x:f>'Historical prices'!E5546</x:f>
        <x:v>1.05</x:v>
      </x:c>
      <x:c r="I5546" s="6" t="n">
        <x:f>'Historical prices'!D5546</x:f>
        <x:v>0.26899999999999996</x:v>
      </x:c>
      <x:c r="J5546" s="13" t="n">
        <x:f>D5546*I5546*H5546</x:f>
        <x:v>0.0641867625</x:v>
      </x:c>
      <x:c r="K5546" s="13" t="n">
        <x:f>E5546*I5546*H5546</x:f>
        <x:v>0.06503411249999999</x:v>
      </x:c>
      <x:c r="L5546" s="1" t="str">
        <x:f>TEXT(A5546,"mmm yyyy")</x:f>
        <x:v>Aug 2026</x:v>
      </x:c>
    </x:row>
    <x:row r="5547" ht="21" customHeight="1">
      <x:c r="A5547" s="10" t="n">
        <x:v>46264</x:v>
      </x:c>
      <x:c r="B5547" s="1" t="n">
        <x:v>1.5</x:v>
      </x:c>
      <x:c r="C5547" s="1" t="n">
        <x:v>6</x:v>
      </x:c>
      <x:c r="D5547" s="12" t="n">
        <x:v>0.21775000000000003</x:v>
      </x:c>
      <x:c r="E5547" s="12" t="n">
        <x:v>0.22075</x:v>
      </x:c>
      <x:c r="F5547" s="12" t="n">
        <x:v>0</x:v>
      </x:c>
      <x:c r="G5547" s="12" t="n">
        <x:v>0</x:v>
      </x:c>
      <x:c r="H5547" s="1" t="n">
        <x:f>'Historical prices'!E5547</x:f>
        <x:v>1.05</x:v>
      </x:c>
      <x:c r="I5547" s="6" t="n">
        <x:f>'Historical prices'!D5547</x:f>
        <x:v>0.265</x:v>
      </x:c>
      <x:c r="J5547" s="13" t="n">
        <x:f>D5547*I5547*H5547</x:f>
        <x:v>0.060588937500000016</x:v>
      </x:c>
      <x:c r="K5547" s="13" t="n">
        <x:f>E5547*I5547*H5547</x:f>
        <x:v>0.061423687500000004</x:v>
      </x:c>
      <x:c r="L5547" s="1" t="str">
        <x:f>TEXT(A5547,"mmm yyyy")</x:f>
        <x:v>Aug 2026</x:v>
      </x:c>
    </x:row>
    <x:row r="5548" ht="21" customHeight="1">
      <x:c r="A5548" s="10" t="n">
        <x:v>46264</x:v>
      </x:c>
      <x:c r="B5548" s="1" t="n">
        <x:v>2</x:v>
      </x:c>
      <x:c r="C5548" s="1" t="n">
        <x:v>6</x:v>
      </x:c>
      <x:c r="D5548" s="12" t="n">
        <x:v>0.28500000000000003</x:v>
      </x:c>
      <x:c r="E5548" s="12" t="n">
        <x:v>0.28700000000000003</x:v>
      </x:c>
      <x:c r="F5548" s="12" t="n">
        <x:v>0</x:v>
      </x:c>
      <x:c r="G5548" s="12" t="n">
        <x:v>0</x:v>
      </x:c>
      <x:c r="H5548" s="1" t="n">
        <x:f>'Historical prices'!E5548</x:f>
        <x:v>1.05</x:v>
      </x:c>
      <x:c r="I5548" s="6" t="n">
        <x:f>'Historical prices'!D5548</x:f>
        <x:v>0.25370000000000004</x:v>
      </x:c>
      <x:c r="J5548" s="13" t="n">
        <x:f>D5548*I5548*H5548</x:f>
        <x:v>0.07591972500000002</x:v>
      </x:c>
      <x:c r="K5548" s="13" t="n">
        <x:f>E5548*I5548*H5548</x:f>
        <x:v>0.07645249500000002</x:v>
      </x:c>
      <x:c r="L5548" s="1" t="str">
        <x:f>TEXT(A5548,"mmm yyyy")</x:f>
        <x:v>Aug 2026</x:v>
      </x:c>
    </x:row>
    <x:row r="5549" ht="21" customHeight="1">
      <x:c r="A5549" s="10" t="n">
        <x:v>46264</x:v>
      </x:c>
      <x:c r="B5549" s="1" t="n">
        <x:v>2.5</x:v>
      </x:c>
      <x:c r="C5549" s="1" t="n">
        <x:v>6</x:v>
      </x:c>
      <x:c r="D5549" s="12" t="n">
        <x:v>0.2385</x:v>
      </x:c>
      <x:c r="E5549" s="12" t="n">
        <x:v>0.2415</x:v>
      </x:c>
      <x:c r="F5549" s="12" t="n">
        <x:v>0</x:v>
      </x:c>
      <x:c r="G5549" s="12" t="n">
        <x:v>0</x:v>
      </x:c>
      <x:c r="H5549" s="1" t="n">
        <x:f>'Historical prices'!E5549</x:f>
        <x:v>1.05</x:v>
      </x:c>
      <x:c r="I5549" s="6" t="n">
        <x:f>'Historical prices'!D5549</x:f>
        <x:v>0.2377</x:v>
      </x:c>
      <x:c r="J5549" s="13" t="n">
        <x:f>D5549*I5549*H5549</x:f>
        <x:v>0.0595260225</x:v>
      </x:c>
      <x:c r="K5549" s="13" t="n">
        <x:f>E5549*I5549*H5549</x:f>
        <x:v>0.0602747775</x:v>
      </x:c>
      <x:c r="L5549" s="1" t="str">
        <x:f>TEXT(A5549,"mmm yyyy")</x:f>
        <x:v>Aug 2026</x:v>
      </x:c>
    </x:row>
    <x:row r="5550" ht="21" customHeight="1">
      <x:c r="A5550" s="10" t="n">
        <x:v>46264</x:v>
      </x:c>
      <x:c r="B5550" s="1" t="n">
        <x:v>3</x:v>
      </x:c>
      <x:c r="C5550" s="1" t="n">
        <x:v>6</x:v>
      </x:c>
      <x:c r="D5550" s="12" t="n">
        <x:v>4.29425</x:v>
      </x:c>
      <x:c r="E5550" s="12" t="n">
        <x:v>0.41325</x:v>
      </x:c>
      <x:c r="F5550" s="12" t="n">
        <x:v>0</x:v>
      </x:c>
      <x:c r="G5550" s="12" t="n">
        <x:v>3.88</x:v>
      </x:c>
      <x:c r="H5550" s="1" t="n">
        <x:f>'Historical prices'!E5550</x:f>
        <x:v>1.05</x:v>
      </x:c>
      <x:c r="I5550" s="6" t="n">
        <x:f>'Historical prices'!D5550</x:f>
        <x:v>0.2165</x:v>
      </x:c>
      <x:c r="J5550" s="13" t="n">
        <x:f>D5550*I5550*H5550</x:f>
        <x:v>0.97619038125</x:v>
      </x:c>
      <x:c r="K5550" s="13" t="n">
        <x:f>E5550*I5550*H5550</x:f>
        <x:v>0.09394205625</x:v>
      </x:c>
      <x:c r="L5550" s="1" t="str">
        <x:f>TEXT(A5550,"mmm yyyy")</x:f>
        <x:v>Aug 2026</x:v>
      </x:c>
    </x:row>
    <x:row r="5551" ht="21" customHeight="1">
      <x:c r="A5551" s="10" t="n">
        <x:v>46264</x:v>
      </x:c>
      <x:c r="B5551" s="1" t="n">
        <x:v>3.5</x:v>
      </x:c>
      <x:c r="C5551" s="1" t="n">
        <x:v>6</x:v>
      </x:c>
      <x:c r="D5551" s="12" t="n">
        <x:v>5.27825</x:v>
      </x:c>
      <x:c r="E5551" s="12" t="n">
        <x:v>0.55625</x:v>
      </x:c>
      <x:c r="F5551" s="12" t="n">
        <x:v>0</x:v>
      </x:c>
      <x:c r="G5551" s="12" t="n">
        <x:v>4.722</x:v>
      </x:c>
      <x:c r="H5551" s="1" t="n">
        <x:f>'Historical prices'!E5551</x:f>
        <x:v>1.05</x:v>
      </x:c>
      <x:c r="I5551" s="6" t="n">
        <x:f>'Historical prices'!D5551</x:f>
        <x:v>0.2181</x:v>
      </x:c>
      <x:c r="J5551" s="13" t="n">
        <x:f>D5551*I5551*H5551</x:f>
        <x:v>1.20874564125</x:v>
      </x:c>
      <x:c r="K5551" s="13" t="n">
        <x:f>E5551*I5551*H5551</x:f>
        <x:v>0.12738403125</x:v>
      </x:c>
      <x:c r="L5551" s="1" t="str">
        <x:f>TEXT(A5551,"mmm yyyy")</x:f>
        <x:v>Aug 2026</x:v>
      </x:c>
    </x:row>
    <x:row r="5552" ht="21" customHeight="1">
      <x:c r="A5552" s="10" t="n">
        <x:v>46264</x:v>
      </x:c>
      <x:c r="B5552" s="1" t="n">
        <x:v>4</x:v>
      </x:c>
      <x:c r="C5552" s="1" t="n">
        <x:v>6</x:v>
      </x:c>
      <x:c r="D5552" s="12" t="n">
        <x:v>0.9952500000000001</x:v>
      </x:c>
      <x:c r="E5552" s="12" t="n">
        <x:v>0.26625</x:v>
      </x:c>
      <x:c r="F5552" s="12" t="n">
        <x:v>0</x:v>
      </x:c>
      <x:c r="G5552" s="12" t="n">
        <x:v>0.731</x:v>
      </x:c>
      <x:c r="H5552" s="1" t="n">
        <x:f>'Historical prices'!E5552</x:f>
        <x:v>1.05</x:v>
      </x:c>
      <x:c r="I5552" s="6" t="n">
        <x:f>'Historical prices'!D5552</x:f>
        <x:v>0.2253</x:v>
      </x:c>
      <x:c r="J5552" s="13" t="n">
        <x:f>D5552*I5552*H5552</x:f>
        <x:v>0.23544131625000003</x:v>
      </x:c>
      <x:c r="K5552" s="13" t="n">
        <x:f>E5552*I5552*H5552</x:f>
        <x:v>0.06298543125</x:v>
      </x:c>
      <x:c r="L5552" s="1" t="str">
        <x:f>TEXT(A5552,"mmm yyyy")</x:f>
        <x:v>Aug 2026</x:v>
      </x:c>
    </x:row>
    <x:row r="5553" ht="21" customHeight="1">
      <x:c r="A5553" s="10" t="n">
        <x:v>46264</x:v>
      </x:c>
      <x:c r="B5553" s="1" t="n">
        <x:v>4.5</x:v>
      </x:c>
      <x:c r="C5553" s="1" t="n">
        <x:v>6</x:v>
      </x:c>
      <x:c r="D5553" s="12" t="n">
        <x:v>0.18225</x:v>
      </x:c>
      <x:c r="E5553" s="12" t="n">
        <x:v>0.19325</x:v>
      </x:c>
      <x:c r="F5553" s="12" t="n">
        <x:v>0</x:v>
      </x:c>
      <x:c r="G5553" s="12" t="n">
        <x:v>0</x:v>
      </x:c>
      <x:c r="H5553" s="1" t="n">
        <x:f>'Historical prices'!E5553</x:f>
        <x:v>1.05</x:v>
      </x:c>
      <x:c r="I5553" s="6" t="n">
        <x:f>'Historical prices'!D5553</x:f>
        <x:v>0.2304</x:v>
      </x:c>
      <x:c r="J5553" s="13" t="n">
        <x:f>D5553*I5553*H5553</x:f>
        <x:v>0.04408992</x:v>
      </x:c>
      <x:c r="K5553" s="13" t="n">
        <x:f>E5553*I5553*H5553</x:f>
        <x:v>0.04675104000000001</x:v>
      </x:c>
      <x:c r="L5553" s="1" t="str">
        <x:f>TEXT(A5553,"mmm yyyy")</x:f>
        <x:v>Aug 2026</x:v>
      </x:c>
    </x:row>
    <x:row r="5554" ht="21" customHeight="1">
      <x:c r="A5554" s="10" t="n">
        <x:v>46264</x:v>
      </x:c>
      <x:c r="B5554" s="1" t="n">
        <x:v>5</x:v>
      </x:c>
      <x:c r="C5554" s="1" t="n">
        <x:v>6</x:v>
      </x:c>
      <x:c r="D5554" s="12" t="n">
        <x:v>0.1935</x:v>
      </x:c>
      <x:c r="E5554" s="12" t="n">
        <x:v>0.20450000000000002</x:v>
      </x:c>
      <x:c r="F5554" s="12" t="n">
        <x:v>0</x:v>
      </x:c>
      <x:c r="G5554" s="12" t="n">
        <x:v>0</x:v>
      </x:c>
      <x:c r="H5554" s="1" t="n">
        <x:f>'Historical prices'!E5554</x:f>
        <x:v>1.05</x:v>
      </x:c>
      <x:c r="I5554" s="6" t="n">
        <x:f>'Historical prices'!D5554</x:f>
        <x:v>0.2279</x:v>
      </x:c>
      <x:c r="J5554" s="13" t="n">
        <x:f>D5554*I5554*H5554</x:f>
        <x:v>0.046303582499999996</x:v>
      </x:c>
      <x:c r="K5554" s="13" t="n">
        <x:f>E5554*I5554*H5554</x:f>
        <x:v>0.04893582750000001</x:v>
      </x:c>
      <x:c r="L5554" s="1" t="str">
        <x:f>TEXT(A5554,"mmm yyyy")</x:f>
        <x:v>Aug 2026</x:v>
      </x:c>
    </x:row>
    <x:row r="5555" ht="21" customHeight="1">
      <x:c r="A5555" s="10" t="n">
        <x:v>46264</x:v>
      </x:c>
      <x:c r="B5555" s="1" t="n">
        <x:v>5.5</x:v>
      </x:c>
      <x:c r="C5555" s="1" t="n">
        <x:v>6</x:v>
      </x:c>
      <x:c r="D5555" s="12" t="n">
        <x:v>4.28725</x:v>
      </x:c>
      <x:c r="E5555" s="12" t="n">
        <x:v>0.41225</x:v>
      </x:c>
      <x:c r="F5555" s="12" t="n">
        <x:v>0</x:v>
      </x:c>
      <x:c r="G5555" s="12" t="n">
        <x:v>3.877</x:v>
      </x:c>
      <x:c r="H5555" s="1" t="n">
        <x:f>'Historical prices'!E5555</x:f>
        <x:v>1.05</x:v>
      </x:c>
      <x:c r="I5555" s="6" t="n">
        <x:f>'Historical prices'!D5555</x:f>
        <x:v>0.2202</x:v>
      </x:c>
      <x:c r="J5555" s="13" t="n">
        <x:f>D5555*I5555*H5555</x:f>
        <x:v>0.9912550725000001</x:v>
      </x:c>
      <x:c r="K5555" s="13" t="n">
        <x:f>E5555*I5555*H5555</x:f>
        <x:v>0.09531632250000001</x:v>
      </x:c>
      <x:c r="L5555" s="1" t="str">
        <x:f>TEXT(A5555,"mmm yyyy")</x:f>
        <x:v>Aug 2026</x:v>
      </x:c>
    </x:row>
    <x:row r="5556" ht="21" customHeight="1">
      <x:c r="A5556" s="10" t="n">
        <x:v>46264</x:v>
      </x:c>
      <x:c r="B5556" s="1" t="n">
        <x:v>6</x:v>
      </x:c>
      <x:c r="C5556" s="1" t="n">
        <x:v>6</x:v>
      </x:c>
      <x:c r="D5556" s="12" t="n">
        <x:v>1.02725</x:v>
      </x:c>
      <x:c r="E5556" s="12" t="n">
        <x:v>0.27025000000000005</x:v>
      </x:c>
      <x:c r="F5556" s="12" t="n">
        <x:v>0</x:v>
      </x:c>
      <x:c r="G5556" s="12" t="n">
        <x:v>0.759</x:v>
      </x:c>
      <x:c r="H5556" s="1" t="n">
        <x:f>'Historical prices'!E5556</x:f>
        <x:v>1.05</x:v>
      </x:c>
      <x:c r="I5556" s="6" t="n">
        <x:f>'Historical prices'!D5556</x:f>
        <x:v>0.2304</x:v>
      </x:c>
      <x:c r="J5556" s="13" t="n">
        <x:f>D5556*I5556*H5556</x:f>
        <x:v>0.24851231999999998</x:v>
      </x:c>
      <x:c r="K5556" s="13" t="n">
        <x:f>E5556*I5556*H5556</x:f>
        <x:v>0.06537888000000001</x:v>
      </x:c>
      <x:c r="L5556" s="1" t="str">
        <x:f>TEXT(A5556,"mmm yyyy")</x:f>
        <x:v>Aug 2026</x:v>
      </x:c>
    </x:row>
    <x:row r="5557" ht="21" customHeight="1">
      <x:c r="A5557" s="10" t="n">
        <x:v>46264</x:v>
      </x:c>
      <x:c r="B5557" s="1" t="n">
        <x:v>6.5</x:v>
      </x:c>
      <x:c r="C5557" s="1" t="n">
        <x:v>6</x:v>
      </x:c>
      <x:c r="D5557" s="12" t="n">
        <x:v>0.7062499999999999</x:v>
      </x:c>
      <x:c r="E5557" s="12" t="n">
        <x:v>0.7162499999999999</x:v>
      </x:c>
      <x:c r="F5557" s="12" t="n">
        <x:v>0</x:v>
      </x:c>
      <x:c r="G5557" s="12" t="n">
        <x:v>0</x:v>
      </x:c>
      <x:c r="H5557" s="1" t="n">
        <x:f>'Historical prices'!E5557</x:f>
        <x:v>1.05</x:v>
      </x:c>
      <x:c r="I5557" s="6" t="n">
        <x:f>'Historical prices'!D5557</x:f>
        <x:v>0.2304</x:v>
      </x:c>
      <x:c r="J5557" s="13" t="n">
        <x:f>D5557*I5557*H5557</x:f>
        <x:v>0.17085599999999998</x:v>
      </x:c>
      <x:c r="K5557" s="13" t="n">
        <x:f>E5557*I5557*H5557</x:f>
        <x:v>0.1732752</x:v>
      </x:c>
      <x:c r="L5557" s="1" t="str">
        <x:f>TEXT(A5557,"mmm yyyy")</x:f>
        <x:v>Aug 2026</x:v>
      </x:c>
    </x:row>
    <x:row r="5558" ht="21" customHeight="1">
      <x:c r="A5558" s="10" t="n">
        <x:v>46264</x:v>
      </x:c>
      <x:c r="B5558" s="1" t="n">
        <x:v>7</x:v>
      </x:c>
      <x:c r="C5558" s="1" t="n">
        <x:v>6</x:v>
      </x:c>
      <x:c r="D5558" s="12" t="n">
        <x:v>0.7209999999999999</x:v>
      </x:c>
      <x:c r="E5558" s="12" t="n">
        <x:v>0.7329999999999999</x:v>
      </x:c>
      <x:c r="F5558" s="12" t="n">
        <x:v>0</x:v>
      </x:c>
      <x:c r="G5558" s="12" t="n">
        <x:v>0</x:v>
      </x:c>
      <x:c r="H5558" s="1" t="n">
        <x:f>'Historical prices'!E5558</x:f>
        <x:v>1.05</x:v>
      </x:c>
      <x:c r="I5558" s="6" t="n">
        <x:f>'Historical prices'!D5558</x:f>
        <x:v>0.2325</x:v>
      </x:c>
      <x:c r="J5558" s="13" t="n">
        <x:f>D5558*I5558*H5558</x:f>
        <x:v>0.176014125</x:v>
      </x:c>
      <x:c r="K5558" s="13" t="n">
        <x:f>E5558*I5558*H5558</x:f>
        <x:v>0.178943625</x:v>
      </x:c>
      <x:c r="L5558" s="1" t="str">
        <x:f>TEXT(A5558,"mmm yyyy")</x:f>
        <x:v>Aug 2026</x:v>
      </x:c>
    </x:row>
    <x:row r="5559" ht="21" customHeight="1">
      <x:c r="A5559" s="10" t="n">
        <x:v>46264</x:v>
      </x:c>
      <x:c r="B5559" s="1" t="n">
        <x:v>7.5</x:v>
      </x:c>
      <x:c r="C5559" s="1" t="n">
        <x:v>6</x:v>
      </x:c>
      <x:c r="D5559" s="12" t="n">
        <x:v>1.264</x:v>
      </x:c>
      <x:c r="E5559" s="12" t="n">
        <x:v>1.275</x:v>
      </x:c>
      <x:c r="F5559" s="12" t="n">
        <x:v>0</x:v>
      </x:c>
      <x:c r="G5559" s="12" t="n">
        <x:v>0</x:v>
      </x:c>
      <x:c r="H5559" s="1" t="n">
        <x:f>'Historical prices'!E5559</x:f>
        <x:v>1.05</x:v>
      </x:c>
      <x:c r="I5559" s="6" t="n">
        <x:f>'Historical prices'!D5559</x:f>
        <x:v>0.254</x:v>
      </x:c>
      <x:c r="J5559" s="13" t="n">
        <x:f>D5559*I5559*H5559</x:f>
        <x:v>0.33710880000000004</x:v>
      </x:c>
      <x:c r="K5559" s="13" t="n">
        <x:f>E5559*I5559*H5559</x:f>
        <x:v>0.34004249999999997</x:v>
      </x:c>
      <x:c r="L5559" s="1" t="str">
        <x:f>TEXT(A5559,"mmm yyyy")</x:f>
        <x:v>Aug 2026</x:v>
      </x:c>
    </x:row>
    <x:row r="5560" ht="21" customHeight="1">
      <x:c r="A5560" s="10" t="n">
        <x:v>46264</x:v>
      </x:c>
      <x:c r="B5560" s="1" t="n">
        <x:v>8</x:v>
      </x:c>
      <x:c r="C5560" s="1" t="n">
        <x:v>6</x:v>
      </x:c>
      <x:c r="D5560" s="12" t="n">
        <x:v>0.5467500000000001</x:v>
      </x:c>
      <x:c r="E5560" s="12" t="n">
        <x:v>0.55775</x:v>
      </x:c>
      <x:c r="F5560" s="12" t="n">
        <x:v>0</x:v>
      </x:c>
      <x:c r="G5560" s="12" t="n">
        <x:v>0</x:v>
      </x:c>
      <x:c r="H5560" s="1" t="n">
        <x:f>'Historical prices'!E5560</x:f>
        <x:v>1.05</x:v>
      </x:c>
      <x:c r="I5560" s="6" t="n">
        <x:f>'Historical prices'!D5560</x:f>
        <x:v>0.25989999999999996</x:v>
      </x:c>
      <x:c r="J5560" s="13" t="n">
        <x:f>D5560*I5560*H5560</x:f>
        <x:v>0.14920534125</x:v>
      </x:c>
      <x:c r="K5560" s="13" t="n">
        <x:f>E5560*I5560*H5560</x:f>
        <x:v>0.15220718625</x:v>
      </x:c>
      <x:c r="L5560" s="1" t="str">
        <x:f>TEXT(A5560,"mmm yyyy")</x:f>
        <x:v>Aug 2026</x:v>
      </x:c>
    </x:row>
    <x:row r="5561" ht="21" customHeight="1">
      <x:c r="A5561" s="10" t="n">
        <x:v>46264</x:v>
      </x:c>
      <x:c r="B5561" s="1" t="n">
        <x:v>8.5</x:v>
      </x:c>
      <x:c r="C5561" s="1" t="n">
        <x:v>6</x:v>
      </x:c>
      <x:c r="D5561" s="12" t="n">
        <x:v>0.664</x:v>
      </x:c>
      <x:c r="E5561" s="12" t="n">
        <x:v>0.674</x:v>
      </x:c>
      <x:c r="F5561" s="12" t="n">
        <x:v>0</x:v>
      </x:c>
      <x:c r="G5561" s="12" t="n">
        <x:v>0</x:v>
      </x:c>
      <x:c r="H5561" s="1" t="n">
        <x:f>'Historical prices'!E5561</x:f>
        <x:v>1.05</x:v>
      </x:c>
      <x:c r="I5561" s="6" t="n">
        <x:f>'Historical prices'!D5561</x:f>
        <x:v>0.2704</x:v>
      </x:c>
      <x:c r="J5561" s="13" t="n">
        <x:f>D5561*I5561*H5561</x:f>
        <x:v>0.18852288</x:v>
      </x:c>
      <x:c r="K5561" s="13" t="n">
        <x:f>E5561*I5561*H5561</x:f>
        <x:v>0.19136208</x:v>
      </x:c>
      <x:c r="L5561" s="1" t="str">
        <x:f>TEXT(A5561,"mmm yyyy")</x:f>
        <x:v>Aug 2026</x:v>
      </x:c>
    </x:row>
    <x:row r="5562" ht="21" customHeight="1">
      <x:c r="A5562" s="10" t="n">
        <x:v>46264</x:v>
      </x:c>
      <x:c r="B5562" s="1" t="n">
        <x:v>9</x:v>
      </x:c>
      <x:c r="C5562" s="1" t="n">
        <x:v>6</x:v>
      </x:c>
      <x:c r="D5562" s="12" t="n">
        <x:v>0.79375</x:v>
      </x:c>
      <x:c r="E5562" s="12" t="n">
        <x:v>0.80475</x:v>
      </x:c>
      <x:c r="F5562" s="12" t="n">
        <x:v>0</x:v>
      </x:c>
      <x:c r="G5562" s="12" t="n">
        <x:v>0</x:v>
      </x:c>
      <x:c r="H5562" s="1" t="n">
        <x:f>'Historical prices'!E5562</x:f>
        <x:v>1.05</x:v>
      </x:c>
      <x:c r="I5562" s="6" t="n">
        <x:f>'Historical prices'!D5562</x:f>
        <x:v>0.2625</x:v>
      </x:c>
      <x:c r="J5562" s="13" t="n">
        <x:f>D5562*I5562*H5562</x:f>
        <x:v>0.21877734375</x:v>
      </x:c>
      <x:c r="K5562" s="13" t="n">
        <x:f>E5562*I5562*H5562</x:f>
        <x:v>0.22180921875</x:v>
      </x:c>
      <x:c r="L5562" s="1" t="str">
        <x:f>TEXT(A5562,"mmm yyyy")</x:f>
        <x:v>Aug 2026</x:v>
      </x:c>
    </x:row>
    <x:row r="5563" ht="21" customHeight="1">
      <x:c r="A5563" s="10" t="n">
        <x:v>46264</x:v>
      </x:c>
      <x:c r="B5563" s="1" t="n">
        <x:v>9.5</x:v>
      </x:c>
      <x:c r="C5563" s="1" t="n">
        <x:v>6</x:v>
      </x:c>
      <x:c r="D5563" s="12" t="n">
        <x:v>3.6885</x:v>
      </x:c>
      <x:c r="E5563" s="12" t="n">
        <x:v>3.6985</x:v>
      </x:c>
      <x:c r="F5563" s="12" t="n">
        <x:v>0</x:v>
      </x:c>
      <x:c r="G5563" s="12" t="n">
        <x:v>0</x:v>
      </x:c>
      <x:c r="H5563" s="1" t="n">
        <x:f>'Historical prices'!E5563</x:f>
        <x:v>1.05</x:v>
      </x:c>
      <x:c r="I5563" s="6" t="n">
        <x:f>'Historical prices'!D5563</x:f>
        <x:v>0.2559</x:v>
      </x:c>
      <x:c r="J5563" s="13" t="n">
        <x:f>D5563*I5563*H5563</x:f>
        <x:v>0.9910815075</x:v>
      </x:c>
      <x:c r="K5563" s="13" t="n">
        <x:f>E5563*I5563*H5563</x:f>
        <x:v>0.9937684575000001</x:v>
      </x:c>
      <x:c r="L5563" s="1" t="str">
        <x:f>TEXT(A5563,"mmm yyyy")</x:f>
        <x:v>Aug 2026</x:v>
      </x:c>
    </x:row>
    <x:row r="5564" ht="21" customHeight="1">
      <x:c r="A5564" s="10" t="n">
        <x:v>46264</x:v>
      </x:c>
      <x:c r="B5564" s="1" t="n">
        <x:v>10</x:v>
      </x:c>
      <x:c r="C5564" s="1" t="n">
        <x:v>6</x:v>
      </x:c>
      <x:c r="D5564" s="12" t="n">
        <x:v>2.931</x:v>
      </x:c>
      <x:c r="E5564" s="12" t="n">
        <x:v>2.941</x:v>
      </x:c>
      <x:c r="F5564" s="12" t="n">
        <x:v>0</x:v>
      </x:c>
      <x:c r="G5564" s="12" t="n">
        <x:v>0</x:v>
      </x:c>
      <x:c r="H5564" s="1" t="n">
        <x:f>'Historical prices'!E5564</x:f>
        <x:v>1.05</x:v>
      </x:c>
      <x:c r="I5564" s="6" t="n">
        <x:f>'Historical prices'!D5564</x:f>
        <x:v>0.2606</x:v>
      </x:c>
      <x:c r="J5564" s="13" t="n">
        <x:f>D5564*I5564*H5564</x:f>
        <x:v>0.8020095300000001</x:v>
      </x:c>
      <x:c r="K5564" s="13" t="n">
        <x:f>E5564*I5564*H5564</x:f>
        <x:v>0.8047458299999999</x:v>
      </x:c>
      <x:c r="L5564" s="1" t="str">
        <x:f>TEXT(A5564,"mmm yyyy")</x:f>
        <x:v>Aug 2026</x:v>
      </x:c>
    </x:row>
    <x:row r="5565" ht="21" customHeight="1">
      <x:c r="A5565" s="10" t="n">
        <x:v>46264</x:v>
      </x:c>
      <x:c r="B5565" s="1" t="n">
        <x:v>10.5</x:v>
      </x:c>
      <x:c r="C5565" s="1" t="n">
        <x:v>6</x:v>
      </x:c>
      <x:c r="D5565" s="12" t="n">
        <x:v>2.7272499999999997</x:v>
      </x:c>
      <x:c r="E5565" s="12" t="n">
        <x:v>2.73825</x:v>
      </x:c>
      <x:c r="F5565" s="12" t="n">
        <x:v>0</x:v>
      </x:c>
      <x:c r="G5565" s="12" t="n">
        <x:v>0</x:v>
      </x:c>
      <x:c r="H5565" s="1" t="n">
        <x:f>'Historical prices'!E5565</x:f>
        <x:v>1.05</x:v>
      </x:c>
      <x:c r="I5565" s="6" t="n">
        <x:f>'Historical prices'!D5565</x:f>
        <x:v>0.2554</x:v>
      </x:c>
      <x:c r="J5565" s="13" t="n">
        <x:f>D5565*I5565*H5565</x:f>
        <x:v>0.7313666325</x:v>
      </x:c>
      <x:c r="K5565" s="13" t="n">
        <x:f>E5565*I5565*H5565</x:f>
        <x:v>0.7343165025</x:v>
      </x:c>
      <x:c r="L5565" s="1" t="str">
        <x:f>TEXT(A5565,"mmm yyyy")</x:f>
        <x:v>Aug 2026</x:v>
      </x:c>
    </x:row>
    <x:row r="5566" ht="21" customHeight="1">
      <x:c r="A5566" s="10" t="n">
        <x:v>46264</x:v>
      </x:c>
      <x:c r="B5566" s="1" t="n">
        <x:v>11</x:v>
      </x:c>
      <x:c r="C5566" s="1" t="n">
        <x:v>6</x:v>
      </x:c>
      <x:c r="D5566" s="12" t="n">
        <x:v>0.7597499999999999</x:v>
      </x:c>
      <x:c r="E5566" s="12" t="n">
        <x:v>0.7697499999999999</x:v>
      </x:c>
      <x:c r="F5566" s="12" t="n">
        <x:v>0</x:v>
      </x:c>
      <x:c r="G5566" s="12" t="n">
        <x:v>0</x:v>
      </x:c>
      <x:c r="H5566" s="1" t="n">
        <x:f>'Historical prices'!E5566</x:f>
        <x:v>1.05</x:v>
      </x:c>
      <x:c r="I5566" s="6" t="n">
        <x:f>'Historical prices'!D5566</x:f>
        <x:v>0.2488</x:v>
      </x:c>
      <x:c r="J5566" s="13" t="n">
        <x:f>D5566*I5566*H5566</x:f>
        <x:v>0.19847708999999997</x:v>
      </x:c>
      <x:c r="K5566" s="13" t="n">
        <x:f>E5566*I5566*H5566</x:f>
        <x:v>0.20108948999999998</x:v>
      </x:c>
      <x:c r="L5566" s="1" t="str">
        <x:f>TEXT(A5566,"mmm yyyy")</x:f>
        <x:v>Aug 2026</x:v>
      </x:c>
    </x:row>
    <x:row r="5567" ht="21" customHeight="1">
      <x:c r="A5567" s="10" t="n">
        <x:v>46264</x:v>
      </x:c>
      <x:c r="B5567" s="1" t="n">
        <x:v>11.5</x:v>
      </x:c>
      <x:c r="C5567" s="1" t="n">
        <x:v>6</x:v>
      </x:c>
      <x:c r="D5567" s="12" t="n">
        <x:v>0.677</x:v>
      </x:c>
      <x:c r="E5567" s="12" t="n">
        <x:v>0.6880000000000001</x:v>
      </x:c>
      <x:c r="F5567" s="12" t="n">
        <x:v>0</x:v>
      </x:c>
      <x:c r="G5567" s="12" t="n">
        <x:v>0</x:v>
      </x:c>
      <x:c r="H5567" s="1" t="n">
        <x:f>'Historical prices'!E5567</x:f>
        <x:v>1.05</x:v>
      </x:c>
      <x:c r="I5567" s="6" t="n">
        <x:f>'Historical prices'!D5567</x:f>
        <x:v>0.2321</x:v>
      </x:c>
      <x:c r="J5567" s="13" t="n">
        <x:f>D5567*I5567*H5567</x:f>
        <x:v>0.164988285</x:v>
      </x:c>
      <x:c r="K5567" s="13" t="n">
        <x:f>E5567*I5567*H5567</x:f>
        <x:v>0.16766904000000002</x:v>
      </x:c>
      <x:c r="L5567" s="1" t="str">
        <x:f>TEXT(A5567,"mmm yyyy")</x:f>
        <x:v>Aug 2026</x:v>
      </x:c>
    </x:row>
    <x:row r="5568" ht="21" customHeight="1">
      <x:c r="A5568" s="10" t="n">
        <x:v>46264</x:v>
      </x:c>
      <x:c r="B5568" s="1" t="n">
        <x:v>12</x:v>
      </x:c>
      <x:c r="C5568" s="1" t="n">
        <x:v>6</x:v>
      </x:c>
      <x:c r="D5568" s="12" t="n">
        <x:v>0.6849999999999999</x:v>
      </x:c>
      <x:c r="E5568" s="12" t="n">
        <x:v>0.695</x:v>
      </x:c>
      <x:c r="F5568" s="12" t="n">
        <x:v>0</x:v>
      </x:c>
      <x:c r="G5568" s="12" t="n">
        <x:v>0</x:v>
      </x:c>
      <x:c r="H5568" s="1" t="n">
        <x:f>'Historical prices'!E5568</x:f>
        <x:v>1.05</x:v>
      </x:c>
      <x:c r="I5568" s="6" t="n">
        <x:f>'Historical prices'!D5568</x:f>
        <x:v>0.2375</x:v>
      </x:c>
      <x:c r="J5568" s="13" t="n">
        <x:f>D5568*I5568*H5568</x:f>
        <x:v>0.17082187499999998</x:v>
      </x:c>
      <x:c r="K5568" s="13" t="n">
        <x:f>E5568*I5568*H5568</x:f>
        <x:v>0.17331562499999997</x:v>
      </x:c>
      <x:c r="L5568" s="1" t="str">
        <x:f>TEXT(A5568,"mmm yyyy")</x:f>
        <x:v>Aug 2026</x:v>
      </x:c>
    </x:row>
    <x:row r="5569" ht="21" customHeight="1">
      <x:c r="A5569" s="10" t="n">
        <x:v>46264</x:v>
      </x:c>
      <x:c r="B5569" s="1" t="n">
        <x:v>12.5</x:v>
      </x:c>
      <x:c r="C5569" s="1" t="n">
        <x:v>6</x:v>
      </x:c>
      <x:c r="D5569" s="12" t="n">
        <x:v>0.67825</x:v>
      </x:c>
      <x:c r="E5569" s="12" t="n">
        <x:v>0.68825</x:v>
      </x:c>
      <x:c r="F5569" s="12" t="n">
        <x:v>0</x:v>
      </x:c>
      <x:c r="G5569" s="12" t="n">
        <x:v>0</x:v>
      </x:c>
      <x:c r="H5569" s="1" t="n">
        <x:f>'Historical prices'!E5569</x:f>
        <x:v>1.05</x:v>
      </x:c>
      <x:c r="I5569" s="6" t="n">
        <x:f>'Historical prices'!D5569</x:f>
        <x:v>0.2304</x:v>
      </x:c>
      <x:c r="J5569" s="13" t="n">
        <x:f>D5569*I5569*H5569</x:f>
        <x:v>0.16408224000000002</x:v>
      </x:c>
      <x:c r="K5569" s="13" t="n">
        <x:f>E5569*I5569*H5569</x:f>
        <x:v>0.16650144000000003</x:v>
      </x:c>
      <x:c r="L5569" s="1" t="str">
        <x:f>TEXT(A5569,"mmm yyyy")</x:f>
        <x:v>Aug 2026</x:v>
      </x:c>
    </x:row>
    <x:row r="5570" ht="21" customHeight="1">
      <x:c r="A5570" s="10" t="n">
        <x:v>46264</x:v>
      </x:c>
      <x:c r="B5570" s="1" t="n">
        <x:v>13</x:v>
      </x:c>
      <x:c r="C5570" s="1" t="n">
        <x:v>6</x:v>
      </x:c>
      <x:c r="D5570" s="12" t="n">
        <x:v>0.69275</x:v>
      </x:c>
      <x:c r="E5570" s="12" t="n">
        <x:v>0.70375</x:v>
      </x:c>
      <x:c r="F5570" s="12" t="n">
        <x:v>0</x:v>
      </x:c>
      <x:c r="G5570" s="12" t="n">
        <x:v>0</x:v>
      </x:c>
      <x:c r="H5570" s="1" t="n">
        <x:f>'Historical prices'!E5570</x:f>
        <x:v>1.05</x:v>
      </x:c>
      <x:c r="I5570" s="6" t="n">
        <x:f>'Historical prices'!D5570</x:f>
        <x:v>0.2304</x:v>
      </x:c>
      <x:c r="J5570" s="13" t="n">
        <x:f>D5570*I5570*H5570</x:f>
        <x:v>0.16759008</x:v>
      </x:c>
      <x:c r="K5570" s="13" t="n">
        <x:f>E5570*I5570*H5570</x:f>
        <x:v>0.1702512</x:v>
      </x:c>
      <x:c r="L5570" s="1" t="str">
        <x:f>TEXT(A5570,"mmm yyyy")</x:f>
        <x:v>Aug 2026</x:v>
      </x:c>
    </x:row>
    <x:row r="5571" ht="21" customHeight="1">
      <x:c r="A5571" s="10" t="n">
        <x:v>46264</x:v>
      </x:c>
      <x:c r="B5571" s="1" t="n">
        <x:v>13.5</x:v>
      </x:c>
      <x:c r="C5571" s="1" t="n">
        <x:v>6</x:v>
      </x:c>
      <x:c r="D5571" s="12" t="n">
        <x:v>0.8117500000000001</x:v>
      </x:c>
      <x:c r="E5571" s="12" t="n">
        <x:v>0.8217500000000001</x:v>
      </x:c>
      <x:c r="F5571" s="12" t="n">
        <x:v>0</x:v>
      </x:c>
      <x:c r="G5571" s="12" t="n">
        <x:v>0</x:v>
      </x:c>
      <x:c r="H5571" s="1" t="n">
        <x:f>'Historical prices'!E5571</x:f>
        <x:v>1.05</x:v>
      </x:c>
      <x:c r="I5571" s="6" t="n">
        <x:f>'Historical prices'!D5571</x:f>
        <x:v>0.2304</x:v>
      </x:c>
      <x:c r="J5571" s="13" t="n">
        <x:f>D5571*I5571*H5571</x:f>
        <x:v>0.19637856</x:v>
      </x:c>
      <x:c r="K5571" s="13" t="n">
        <x:f>E5571*I5571*H5571</x:f>
        <x:v>0.19879776000000002</x:v>
      </x:c>
      <x:c r="L5571" s="1" t="str">
        <x:f>TEXT(A5571,"mmm yyyy")</x:f>
        <x:v>Aug 2026</x:v>
      </x:c>
    </x:row>
    <x:row r="5572" ht="21" customHeight="1">
      <x:c r="A5572" s="10" t="n">
        <x:v>46264</x:v>
      </x:c>
      <x:c r="B5572" s="1" t="n">
        <x:v>14</x:v>
      </x:c>
      <x:c r="C5572" s="1" t="n">
        <x:v>6</x:v>
      </x:c>
      <x:c r="D5572" s="12" t="n">
        <x:v>1.03425</x:v>
      </x:c>
      <x:c r="E5572" s="12" t="n">
        <x:v>0.7552499999999999</x:v>
      </x:c>
      <x:c r="F5572" s="12" t="n">
        <x:v>0</x:v>
      </x:c>
      <x:c r="G5572" s="12" t="n">
        <x:v>0.28400000000000003</x:v>
      </x:c>
      <x:c r="H5572" s="1" t="n">
        <x:f>'Historical prices'!E5572</x:f>
        <x:v>1.05</x:v>
      </x:c>
      <x:c r="I5572" s="6" t="n">
        <x:f>'Historical prices'!D5572</x:f>
        <x:v>0.2207</x:v>
      </x:c>
      <x:c r="J5572" s="13" t="n">
        <x:f>D5572*I5572*H5572</x:f>
        <x:v>0.23967192375</x:v>
      </x:c>
      <x:c r="K5572" s="13" t="n">
        <x:f>E5572*I5572*H5572</x:f>
        <x:v>0.17501785874999998</x:v>
      </x:c>
      <x:c r="L5572" s="1" t="str">
        <x:f>TEXT(A5572,"mmm yyyy")</x:f>
        <x:v>Aug 2026</x:v>
      </x:c>
    </x:row>
    <x:row r="5573" ht="21" customHeight="1">
      <x:c r="A5573" s="10" t="n">
        <x:v>46264</x:v>
      </x:c>
      <x:c r="B5573" s="1" t="n">
        <x:v>14.5</x:v>
      </x:c>
      <x:c r="C5573" s="1" t="n">
        <x:v>6</x:v>
      </x:c>
      <x:c r="D5573" s="12" t="n">
        <x:v>0.6194999999999999</x:v>
      </x:c>
      <x:c r="E5573" s="12" t="n">
        <x:v>0.6295</x:v>
      </x:c>
      <x:c r="F5573" s="12" t="n">
        <x:v>0</x:v>
      </x:c>
      <x:c r="G5573" s="12" t="n">
        <x:v>0</x:v>
      </x:c>
      <x:c r="H5573" s="1" t="n">
        <x:f>'Historical prices'!E5573</x:f>
        <x:v>1.05</x:v>
      </x:c>
      <x:c r="I5573" s="6" t="n">
        <x:f>'Historical prices'!D5573</x:f>
        <x:v>0.2249</x:v>
      </x:c>
      <x:c r="J5573" s="13" t="n">
        <x:f>D5573*I5573*H5573</x:f>
        <x:v>0.1462918275</x:v>
      </x:c>
      <x:c r="K5573" s="13" t="n">
        <x:f>E5573*I5573*H5573</x:f>
        <x:v>0.1486532775</x:v>
      </x:c>
      <x:c r="L5573" s="1" t="str">
        <x:f>TEXT(A5573,"mmm yyyy")</x:f>
        <x:v>Aug 2026</x:v>
      </x:c>
    </x:row>
    <x:row r="5574" ht="21" customHeight="1">
      <x:c r="A5574" s="10" t="n">
        <x:v>46264</x:v>
      </x:c>
      <x:c r="B5574" s="1" t="n">
        <x:v>15</x:v>
      </x:c>
      <x:c r="C5574" s="1" t="n">
        <x:v>6</x:v>
      </x:c>
      <x:c r="D5574" s="12" t="n">
        <x:v>0.66675</x:v>
      </x:c>
      <x:c r="E5574" s="12" t="n">
        <x:v>0.67775</x:v>
      </x:c>
      <x:c r="F5574" s="12" t="n">
        <x:v>0</x:v>
      </x:c>
      <x:c r="G5574" s="12" t="n">
        <x:v>0</x:v>
      </x:c>
      <x:c r="H5574" s="1" t="n">
        <x:f>'Historical prices'!E5574</x:f>
        <x:v>1.05</x:v>
      </x:c>
      <x:c r="I5574" s="6" t="n">
        <x:f>'Historical prices'!D5574</x:f>
        <x:v>0.226</x:v>
      </x:c>
      <x:c r="J5574" s="13" t="n">
        <x:f>D5574*I5574*H5574</x:f>
        <x:v>0.158219775</x:v>
      </x:c>
      <x:c r="K5574" s="13" t="n">
        <x:f>E5574*I5574*H5574</x:f>
        <x:v>0.160830075</x:v>
      </x:c>
      <x:c r="L5574" s="1" t="str">
        <x:f>TEXT(A5574,"mmm yyyy")</x:f>
        <x:v>Aug 2026</x:v>
      </x:c>
    </x:row>
    <x:row r="5575" ht="21" customHeight="1">
      <x:c r="A5575" s="10" t="n">
        <x:v>46264</x:v>
      </x:c>
      <x:c r="B5575" s="1" t="n">
        <x:v>15.5</x:v>
      </x:c>
      <x:c r="C5575" s="1" t="n">
        <x:v>6</x:v>
      </x:c>
      <x:c r="D5575" s="12" t="n">
        <x:v>0.5385000000000001</x:v>
      </x:c>
      <x:c r="E5575" s="12" t="n">
        <x:v>0.5495</x:v>
      </x:c>
      <x:c r="F5575" s="12" t="n">
        <x:v>0</x:v>
      </x:c>
      <x:c r="G5575" s="12" t="n">
        <x:v>0</x:v>
      </x:c>
      <x:c r="H5575" s="1" t="n">
        <x:f>'Historical prices'!E5575</x:f>
        <x:v>1.05</x:v>
      </x:c>
      <x:c r="I5575" s="6" t="n">
        <x:f>'Historical prices'!D5575</x:f>
        <x:v>0.2304</x:v>
      </x:c>
      <x:c r="J5575" s="13" t="n">
        <x:f>D5575*I5575*H5575</x:f>
        <x:v>0.13027392000000002</x:v>
      </x:c>
      <x:c r="K5575" s="13" t="n">
        <x:f>E5575*I5575*H5575</x:f>
        <x:v>0.13293504</x:v>
      </x:c>
      <x:c r="L5575" s="1" t="str">
        <x:f>TEXT(A5575,"mmm yyyy")</x:f>
        <x:v>Aug 2026</x:v>
      </x:c>
    </x:row>
    <x:row r="5576" ht="21" customHeight="1">
      <x:c r="A5576" s="10" t="n">
        <x:v>46264</x:v>
      </x:c>
      <x:c r="B5576" s="1" t="n">
        <x:v>16</x:v>
      </x:c>
      <x:c r="C5576" s="1" t="n">
        <x:v>6</x:v>
      </x:c>
      <x:c r="D5576" s="12" t="n">
        <x:v>0.06975</x:v>
      </x:c>
      <x:c r="E5576" s="12" t="n">
        <x:v>0.5285</x:v>
      </x:c>
      <x:c r="F5576" s="12" t="n">
        <x:v>0.45749999999999996</x:v>
      </x:c>
      <x:c r="G5576" s="12" t="n">
        <x:v>0</x:v>
      </x:c>
      <x:c r="H5576" s="1" t="n">
        <x:f>'Historical prices'!E5576</x:f>
        <x:v>1.05</x:v>
      </x:c>
      <x:c r="I5576" s="6" t="n">
        <x:f>'Historical prices'!D5576</x:f>
        <x:v>0.3472</x:v>
      </x:c>
      <x:c r="J5576" s="13" t="n">
        <x:f>D5576*I5576*H5576</x:f>
        <x:v>0.025428060000000002</x:v>
      </x:c>
      <x:c r="K5576" s="13" t="n">
        <x:f>E5576*I5576*H5576</x:f>
        <x:v>0.19266996</x:v>
      </x:c>
      <x:c r="L5576" s="1" t="str">
        <x:f>TEXT(A5576,"mmm yyyy")</x:f>
        <x:v>Aug 2026</x:v>
      </x:c>
    </x:row>
    <x:row r="5577" ht="21" customHeight="1">
      <x:c r="A5577" s="10" t="n">
        <x:v>46264</x:v>
      </x:c>
      <x:c r="B5577" s="1" t="n">
        <x:v>16.5</x:v>
      </x:c>
      <x:c r="C5577" s="1" t="n">
        <x:v>6</x:v>
      </x:c>
      <x:c r="D5577" s="12" t="n">
        <x:v>0</x:v>
      </x:c>
      <x:c r="E5577" s="12" t="n">
        <x:v>0.7260833333333333</x:v>
      </x:c>
      <x:c r="F5577" s="12" t="n">
        <x:v>0.7258333333333333</x:v>
      </x:c>
      <x:c r="G5577" s="12" t="n">
        <x:v>0</x:v>
      </x:c>
      <x:c r="H5577" s="1" t="n">
        <x:f>'Historical prices'!E5577</x:f>
        <x:v>1.05</x:v>
      </x:c>
      <x:c r="I5577" s="6" t="n">
        <x:f>'Historical prices'!D5577</x:f>
        <x:v>0.3704</x:v>
      </x:c>
      <x:c r="J5577" s="13" t="n">
        <x:f>D5577*I5577*H5577</x:f>
        <x:v>0</x:v>
      </x:c>
      <x:c r="K5577" s="13" t="n">
        <x:f>E5577*I5577*H5577</x:f>
        <x:v>0.28238833</x:v>
      </x:c>
      <x:c r="L5577" s="1" t="str">
        <x:f>TEXT(A5577,"mmm yyyy")</x:f>
        <x:v>Aug 2026</x:v>
      </x:c>
    </x:row>
    <x:row r="5578" ht="21" customHeight="1">
      <x:c r="A5578" s="10" t="n">
        <x:v>46264</x:v>
      </x:c>
      <x:c r="B5578" s="1" t="n">
        <x:v>17</x:v>
      </x:c>
      <x:c r="C5578" s="1" t="n">
        <x:v>6</x:v>
      </x:c>
      <x:c r="D5578" s="12" t="n">
        <x:v>0</x:v>
      </x:c>
      <x:c r="E5578" s="12" t="n">
        <x:v>0.6805833333333333</x:v>
      </x:c>
      <x:c r="F5578" s="12" t="n">
        <x:v>0.6800833333333333</x:v>
      </x:c>
      <x:c r="G5578" s="12" t="n">
        <x:v>0</x:v>
      </x:c>
      <x:c r="H5578" s="1" t="n">
        <x:f>'Historical prices'!E5578</x:f>
        <x:v>1.05</x:v>
      </x:c>
      <x:c r="I5578" s="6" t="n">
        <x:f>'Historical prices'!D5578</x:f>
        <x:v>0.387</x:v>
      </x:c>
      <x:c r="J5578" s="13" t="n">
        <x:f>D5578*I5578*H5578</x:f>
        <x:v>0</x:v>
      </x:c>
      <x:c r="K5578" s="13" t="n">
        <x:f>E5578*I5578*H5578</x:f>
        <x:v>0.2765550375</x:v>
      </x:c>
      <x:c r="L5578" s="1" t="str">
        <x:f>TEXT(A5578,"mmm yyyy")</x:f>
        <x:v>Aug 2026</x:v>
      </x:c>
    </x:row>
    <x:row r="5579" ht="21" customHeight="1">
      <x:c r="A5579" s="10" t="n">
        <x:v>46264</x:v>
      </x:c>
      <x:c r="B5579" s="1" t="n">
        <x:v>17.5</x:v>
      </x:c>
      <x:c r="C5579" s="1" t="n">
        <x:v>6</x:v>
      </x:c>
      <x:c r="D5579" s="12" t="n">
        <x:v>0</x:v>
      </x:c>
      <x:c r="E5579" s="12" t="n">
        <x:v>0.6273333333333333</x:v>
      </x:c>
      <x:c r="F5579" s="12" t="n">
        <x:v>0.6268333333333334</x:v>
      </x:c>
      <x:c r="G5579" s="12" t="n">
        <x:v>0</x:v>
      </x:c>
      <x:c r="H5579" s="1" t="n">
        <x:f>'Historical prices'!E5579</x:f>
        <x:v>1.05</x:v>
      </x:c>
      <x:c r="I5579" s="6" t="n">
        <x:f>'Historical prices'!D5579</x:f>
        <x:v>0.3994</x:v>
      </x:c>
      <x:c r="J5579" s="13" t="n">
        <x:f>D5579*I5579*H5579</x:f>
        <x:v>0</x:v>
      </x:c>
      <x:c r="K5579" s="13" t="n">
        <x:f>E5579*I5579*H5579</x:f>
        <x:v>0.26308477999999996</x:v>
      </x:c>
      <x:c r="L5579" s="1" t="str">
        <x:f>TEXT(A5579,"mmm yyyy")</x:f>
        <x:v>Aug 2026</x:v>
      </x:c>
    </x:row>
    <x:row r="5580" ht="21" customHeight="1">
      <x:c r="A5580" s="10" t="n">
        <x:v>46264</x:v>
      </x:c>
      <x:c r="B5580" s="1" t="n">
        <x:v>18</x:v>
      </x:c>
      <x:c r="C5580" s="1" t="n">
        <x:v>6</x:v>
      </x:c>
      <x:c r="D5580" s="12" t="n">
        <x:v>0</x:v>
      </x:c>
      <x:c r="E5580" s="12" t="n">
        <x:v>0.6231666666666666</x:v>
      </x:c>
      <x:c r="F5580" s="12" t="n">
        <x:v>0.619</x:v>
      </x:c>
      <x:c r="G5580" s="12" t="n">
        <x:v>0</x:v>
      </x:c>
      <x:c r="H5580" s="1" t="n">
        <x:f>'Historical prices'!E5580</x:f>
        <x:v>1.05</x:v>
      </x:c>
      <x:c r="I5580" s="6" t="n">
        <x:f>'Historical prices'!D5580</x:f>
        <x:v>0.4233</x:v>
      </x:c>
      <x:c r="J5580" s="13" t="n">
        <x:f>D5580*I5580*H5580</x:f>
        <x:v>0</x:v>
      </x:c>
      <x:c r="K5580" s="13" t="n">
        <x:f>E5580*I5580*H5580</x:f>
        <x:v>0.2769757725</x:v>
      </x:c>
      <x:c r="L5580" s="1" t="str">
        <x:f>TEXT(A5580,"mmm yyyy")</x:f>
        <x:v>Aug 2026</x:v>
      </x:c>
    </x:row>
    <x:row r="5581" ht="21" customHeight="1">
      <x:c r="A5581" s="10" t="n">
        <x:v>46264</x:v>
      </x:c>
      <x:c r="B5581" s="1" t="n">
        <x:v>18.5</x:v>
      </x:c>
      <x:c r="C5581" s="1" t="n">
        <x:v>6</x:v>
      </x:c>
      <x:c r="D5581" s="12" t="n">
        <x:v>0.02333333333333333</x:v>
      </x:c>
      <x:c r="E5581" s="12" t="n">
        <x:v>1.0635833333333335</x:v>
      </x:c>
      <x:c r="F5581" s="12" t="n">
        <x:v>1.0396666666666667</x:v>
      </x:c>
      <x:c r="G5581" s="12" t="n">
        <x:v>0</x:v>
      </x:c>
      <x:c r="H5581" s="1" t="n">
        <x:f>'Historical prices'!E5581</x:f>
        <x:v>1.05</x:v>
      </x:c>
      <x:c r="I5581" s="6" t="n">
        <x:f>'Historical prices'!D5581</x:f>
        <x:v>0.4226</x:v>
      </x:c>
      <x:c r="J5581" s="13" t="n">
        <x:f>D5581*I5581*H5581</x:f>
        <x:v>0.010353699999999999</x:v>
      </x:c>
      <x:c r="K5581" s="13" t="n">
        <x:f>E5581*I5581*H5581</x:f>
        <x:v>0.4719438325000001</x:v>
      </x:c>
      <x:c r="L5581" s="1" t="str">
        <x:f>TEXT(A5581,"mmm yyyy")</x:f>
        <x:v>Aug 2026</x:v>
      </x:c>
    </x:row>
    <x:row r="5582" ht="21" customHeight="1">
      <x:c r="A5582" s="10" t="n">
        <x:v>46264</x:v>
      </x:c>
      <x:c r="B5582" s="1" t="n">
        <x:v>19</x:v>
      </x:c>
      <x:c r="C5582" s="1" t="n">
        <x:v>6</x:v>
      </x:c>
      <x:c r="D5582" s="12" t="n">
        <x:v>0</x:v>
      </x:c>
      <x:c r="E5582" s="12" t="n">
        <x:v>0.8184166666666667</x:v>
      </x:c>
      <x:c r="F5582" s="12" t="n">
        <x:v>0.8183333333333334</x:v>
      </x:c>
      <x:c r="G5582" s="12" t="n">
        <x:v>0</x:v>
      </x:c>
      <x:c r="H5582" s="1" t="n">
        <x:f>'Historical prices'!E5582</x:f>
        <x:v>1.05</x:v>
      </x:c>
      <x:c r="I5582" s="6" t="n">
        <x:f>'Historical prices'!D5582</x:f>
        <x:v>0.3215</x:v>
      </x:c>
      <x:c r="J5582" s="13" t="n">
        <x:f>D5582*I5582*H5582</x:f>
        <x:v>0</x:v>
      </x:c>
      <x:c r="K5582" s="13" t="n">
        <x:f>E5582*I5582*H5582</x:f>
        <x:v>0.27627700625</x:v>
      </x:c>
      <x:c r="L5582" s="1" t="str">
        <x:f>TEXT(A5582,"mmm yyyy")</x:f>
        <x:v>Aug 2026</x:v>
      </x:c>
    </x:row>
    <x:row r="5583" ht="21" customHeight="1">
      <x:c r="A5583" s="10" t="n">
        <x:v>46264</x:v>
      </x:c>
      <x:c r="B5583" s="1" t="n">
        <x:v>19.5</x:v>
      </x:c>
      <x:c r="C5583" s="1" t="n">
        <x:v>6</x:v>
      </x:c>
      <x:c r="D5583" s="12" t="n">
        <x:v>0</x:v>
      </x:c>
      <x:c r="E5583" s="12" t="n">
        <x:v>0.9070833333333334</x:v>
      </x:c>
      <x:c r="F5583" s="12" t="n">
        <x:v>0.9064166666666666</x:v>
      </x:c>
      <x:c r="G5583" s="12" t="n">
        <x:v>0</x:v>
      </x:c>
      <x:c r="H5583" s="1" t="n">
        <x:f>'Historical prices'!E5583</x:f>
        <x:v>1.05</x:v>
      </x:c>
      <x:c r="I5583" s="6" t="n">
        <x:f>'Historical prices'!D5583</x:f>
        <x:v>0.3215</x:v>
      </x:c>
      <x:c r="J5583" s="13" t="n">
        <x:f>D5583*I5583*H5583</x:f>
        <x:v>0</x:v>
      </x:c>
      <x:c r="K5583" s="13" t="n">
        <x:f>E5583*I5583*H5583</x:f>
        <x:v>0.30620865625000004</x:v>
      </x:c>
      <x:c r="L5583" s="1" t="str">
        <x:f>TEXT(A5583,"mmm yyyy")</x:f>
        <x:v>Aug 2026</x:v>
      </x:c>
    </x:row>
    <x:row r="5584" ht="21" customHeight="1">
      <x:c r="A5584" s="10" t="n">
        <x:v>46264</x:v>
      </x:c>
      <x:c r="B5584" s="1" t="n">
        <x:v>20</x:v>
      </x:c>
      <x:c r="C5584" s="1" t="n">
        <x:v>6</x:v>
      </x:c>
      <x:c r="D5584" s="12" t="n">
        <x:v>0</x:v>
      </x:c>
      <x:c r="E5584" s="12" t="n">
        <x:v>0.6633333333333333</x:v>
      </x:c>
      <x:c r="F5584" s="12" t="n">
        <x:v>0.6630833333333332</x:v>
      </x:c>
      <x:c r="G5584" s="12" t="n">
        <x:v>0</x:v>
      </x:c>
      <x:c r="H5584" s="1" t="n">
        <x:f>'Historical prices'!E5584</x:f>
        <x:v>1.05</x:v>
      </x:c>
      <x:c r="I5584" s="6" t="n">
        <x:f>'Historical prices'!D5584</x:f>
        <x:v>0.3211</x:v>
      </x:c>
      <x:c r="J5584" s="13" t="n">
        <x:f>D5584*I5584*H5584</x:f>
        <x:v>0</x:v>
      </x:c>
      <x:c r="K5584" s="13" t="n">
        <x:f>E5584*I5584*H5584</x:f>
        <x:v>0.22364615000000002</x:v>
      </x:c>
      <x:c r="L5584" s="1" t="str">
        <x:f>TEXT(A5584,"mmm yyyy")</x:f>
        <x:v>Aug 2026</x:v>
      </x:c>
    </x:row>
    <x:row r="5585" ht="21" customHeight="1">
      <x:c r="A5585" s="10" t="n">
        <x:v>46264</x:v>
      </x:c>
      <x:c r="B5585" s="1" t="n">
        <x:v>20.5</x:v>
      </x:c>
      <x:c r="C5585" s="1" t="n">
        <x:v>6</x:v>
      </x:c>
      <x:c r="D5585" s="12" t="n">
        <x:v>0</x:v>
      </x:c>
      <x:c r="E5585" s="12" t="n">
        <x:v>0.69025</x:v>
      </x:c>
      <x:c r="F5585" s="12" t="n">
        <x:v>0.6886666666666666</x:v>
      </x:c>
      <x:c r="G5585" s="12" t="n">
        <x:v>0</x:v>
      </x:c>
      <x:c r="H5585" s="1" t="n">
        <x:f>'Historical prices'!E5585</x:f>
        <x:v>1.05</x:v>
      </x:c>
      <x:c r="I5585" s="6" t="n">
        <x:f>'Historical prices'!D5585</x:f>
        <x:v>0.3179</x:v>
      </x:c>
      <x:c r="J5585" s="13" t="n">
        <x:f>D5585*I5585*H5585</x:f>
        <x:v>0</x:v>
      </x:c>
      <x:c r="K5585" s="13" t="n">
        <x:f>E5585*I5585*H5585</x:f>
        <x:v>0.23040199875000003</x:v>
      </x:c>
      <x:c r="L5585" s="1" t="str">
        <x:f>TEXT(A5585,"mmm yyyy")</x:f>
        <x:v>Aug 2026</x:v>
      </x:c>
    </x:row>
    <x:row r="5586" ht="21" customHeight="1">
      <x:c r="A5586" s="10" t="n">
        <x:v>46264</x:v>
      </x:c>
      <x:c r="B5586" s="1" t="n">
        <x:v>21</x:v>
      </x:c>
      <x:c r="C5586" s="1" t="n">
        <x:v>6</x:v>
      </x:c>
      <x:c r="D5586" s="12" t="n">
        <x:v>0</x:v>
      </x:c>
      <x:c r="E5586" s="12" t="n">
        <x:v>0.6059166666666667</x:v>
      </x:c>
      <x:c r="F5586" s="12" t="n">
        <x:v>0.6055833333333333</x:v>
      </x:c>
      <x:c r="G5586" s="12" t="n">
        <x:v>0</x:v>
      </x:c>
      <x:c r="H5586" s="1" t="n">
        <x:f>'Historical prices'!E5586</x:f>
        <x:v>1.05</x:v>
      </x:c>
      <x:c r="I5586" s="6" t="n">
        <x:f>'Historical prices'!D5586</x:f>
        <x:v>0.30469999999999997</x:v>
      </x:c>
      <x:c r="J5586" s="13" t="n">
        <x:f>D5586*I5586*H5586</x:f>
        <x:v>0</x:v>
      </x:c>
      <x:c r="K5586" s="13" t="n">
        <x:f>E5586*I5586*H5586</x:f>
        <x:v>0.19385394874999998</x:v>
      </x:c>
      <x:c r="L5586" s="1" t="str">
        <x:f>TEXT(A5586,"mmm yyyy")</x:f>
        <x:v>Aug 2026</x:v>
      </x:c>
    </x:row>
    <x:row r="5587" ht="21" customHeight="1">
      <x:c r="A5587" s="10" t="n">
        <x:v>46264</x:v>
      </x:c>
      <x:c r="B5587" s="1" t="n">
        <x:v>21.5</x:v>
      </x:c>
      <x:c r="C5587" s="1" t="n">
        <x:v>6</x:v>
      </x:c>
      <x:c r="D5587" s="12" t="n">
        <x:v>0</x:v>
      </x:c>
      <x:c r="E5587" s="12" t="n">
        <x:v>1.03475</x:v>
      </x:c>
      <x:c r="F5587" s="12" t="n">
        <x:v>1.0343333333333333</x:v>
      </x:c>
      <x:c r="G5587" s="12" t="n">
        <x:v>0</x:v>
      </x:c>
      <x:c r="H5587" s="1" t="n">
        <x:f>'Historical prices'!E5587</x:f>
        <x:v>1.05</x:v>
      </x:c>
      <x:c r="I5587" s="6" t="n">
        <x:f>'Historical prices'!D5587</x:f>
        <x:v>0.287</x:v>
      </x:c>
      <x:c r="J5587" s="13" t="n">
        <x:f>D5587*I5587*H5587</x:f>
        <x:v>0</x:v>
      </x:c>
      <x:c r="K5587" s="13" t="n">
        <x:f>E5587*I5587*H5587</x:f>
        <x:v>0.31182191249999996</x:v>
      </x:c>
      <x:c r="L5587" s="1" t="str">
        <x:f>TEXT(A5587,"mmm yyyy")</x:f>
        <x:v>Aug 2026</x:v>
      </x:c>
    </x:row>
    <x:row r="5588" ht="21" customHeight="1">
      <x:c r="A5588" s="10" t="n">
        <x:v>46264</x:v>
      </x:c>
      <x:c r="B5588" s="1" t="n">
        <x:v>22</x:v>
      </x:c>
      <x:c r="C5588" s="1" t="n">
        <x:v>6</x:v>
      </x:c>
      <x:c r="D5588" s="12" t="n">
        <x:v>0</x:v>
      </x:c>
      <x:c r="E5588" s="12" t="n">
        <x:v>0.555</x:v>
      </x:c>
      <x:c r="F5588" s="12" t="n">
        <x:v>0.5541666666666667</x:v>
      </x:c>
      <x:c r="G5588" s="12" t="n">
        <x:v>0</x:v>
      </x:c>
      <x:c r="H5588" s="1" t="n">
        <x:f>'Historical prices'!E5588</x:f>
        <x:v>1.05</x:v>
      </x:c>
      <x:c r="I5588" s="6" t="n">
        <x:f>'Historical prices'!D5588</x:f>
        <x:v>0.2627</x:v>
      </x:c>
      <x:c r="J5588" s="13" t="n">
        <x:f>D5588*I5588*H5588</x:f>
        <x:v>0</x:v>
      </x:c>
      <x:c r="K5588" s="13" t="n">
        <x:f>E5588*I5588*H5588</x:f>
        <x:v>0.153088425</x:v>
      </x:c>
      <x:c r="L5588" s="1" t="str">
        <x:f>TEXT(A5588,"mmm yyyy")</x:f>
        <x:v>Aug 2026</x:v>
      </x:c>
    </x:row>
    <x:row r="5589" ht="21" customHeight="1">
      <x:c r="A5589" s="10" t="n">
        <x:v>46264</x:v>
      </x:c>
      <x:c r="B5589" s="1" t="n">
        <x:v>22.5</x:v>
      </x:c>
      <x:c r="C5589" s="1" t="n">
        <x:v>6</x:v>
      </x:c>
      <x:c r="D5589" s="12" t="n">
        <x:v>0</x:v>
      </x:c>
      <x:c r="E5589" s="12" t="n">
        <x:v>0.3289166666666667</x:v>
      </x:c>
      <x:c r="F5589" s="12" t="n">
        <x:v>0.32841666666666663</x:v>
      </x:c>
      <x:c r="G5589" s="12" t="n">
        <x:v>0</x:v>
      </x:c>
      <x:c r="H5589" s="1" t="n">
        <x:f>'Historical prices'!E5589</x:f>
        <x:v>1.05</x:v>
      </x:c>
      <x:c r="I5589" s="6" t="n">
        <x:f>'Historical prices'!D5589</x:f>
        <x:v>0.2627</x:v>
      </x:c>
      <x:c r="J5589" s="13" t="n">
        <x:f>D5589*I5589*H5589</x:f>
        <x:v>0</x:v>
      </x:c>
      <x:c r="K5589" s="13" t="n">
        <x:f>E5589*I5589*H5589</x:f>
        <x:v>0.09072672875000001</x:v>
      </x:c>
      <x:c r="L5589" s="1" t="str">
        <x:f>TEXT(A5589,"mmm yyyy")</x:f>
        <x:v>Aug 2026</x:v>
      </x:c>
    </x:row>
    <x:row r="5590" ht="21" customHeight="1">
      <x:c r="A5590" s="10" t="n">
        <x:v>46264</x:v>
      </x:c>
      <x:c r="B5590" s="1" t="n">
        <x:v>23</x:v>
      </x:c>
      <x:c r="C5590" s="1" t="n">
        <x:v>6</x:v>
      </x:c>
      <x:c r="D5590" s="12" t="n">
        <x:v>0</x:v>
      </x:c>
      <x:c r="E5590" s="12" t="n">
        <x:v>0.2599166666666667</x:v>
      </x:c>
      <x:c r="F5590" s="12" t="n">
        <x:v>0.2595</x:v>
      </x:c>
      <x:c r="G5590" s="12" t="n">
        <x:v>0</x:v>
      </x:c>
      <x:c r="H5590" s="1" t="n">
        <x:f>'Historical prices'!E5590</x:f>
        <x:v>1.05</x:v>
      </x:c>
      <x:c r="I5590" s="6" t="n">
        <x:f>'Historical prices'!D5590</x:f>
        <x:v>0.2872</x:v>
      </x:c>
      <x:c r="J5590" s="13" t="n">
        <x:f>D5590*I5590*H5590</x:f>
        <x:v>0</x:v>
      </x:c>
      <x:c r="K5590" s="13" t="n">
        <x:f>E5590*I5590*H5590</x:f>
        <x:v>0.07838047000000002</x:v>
      </x:c>
      <x:c r="L5590" s="1" t="str">
        <x:f>TEXT(A5590,"mmm yyyy")</x:f>
        <x:v>Aug 2026</x:v>
      </x:c>
    </x:row>
    <x:row r="5591" ht="21" customHeight="1">
      <x:c r="A5591" s="10" t="n">
        <x:v>46264</x:v>
      </x:c>
      <x:c r="B5591" s="1" t="n">
        <x:v>23.5</x:v>
      </x:c>
      <x:c r="C5591" s="1" t="n">
        <x:v>6</x:v>
      </x:c>
      <x:c r="D5591" s="12" t="n">
        <x:v>0</x:v>
      </x:c>
      <x:c r="E5591" s="12" t="n">
        <x:v>0.38275</x:v>
      </x:c>
      <x:c r="F5591" s="12" t="n">
        <x:v>0.3824166666666667</x:v>
      </x:c>
      <x:c r="G5591" s="12" t="n">
        <x:v>0</x:v>
      </x:c>
      <x:c r="H5591" s="1" t="n">
        <x:f>'Historical prices'!E5591</x:f>
        <x:v>1.05</x:v>
      </x:c>
      <x:c r="I5591" s="6" t="n">
        <x:f>'Historical prices'!D5591</x:f>
        <x:v>0.2681</x:v>
      </x:c>
      <x:c r="J5591" s="13" t="n">
        <x:f>D5591*I5591*H5591</x:f>
        <x:v>0</x:v>
      </x:c>
      <x:c r="K5591" s="13" t="n">
        <x:f>E5591*I5591*H5591</x:f>
        <x:v>0.10774603875</x:v>
      </x:c>
      <x:c r="L5591" s="1" t="str">
        <x:f>TEXT(A5591,"mmm yyyy")</x:f>
        <x:v>Aug 2026</x:v>
      </x:c>
    </x:row>
    <x:row r="5592" ht="21" customHeight="1">
      <x:c r="A5592" s="10" t="n">
        <x:v>46265</x:v>
      </x:c>
      <x:c r="B5592" s="1" t="n">
        <x:v>0</x:v>
      </x:c>
      <x:c r="C5592" s="1" t="n">
        <x:v>6</x:v>
      </x:c>
      <x:c r="D5592" s="12" t="n">
        <x:v>0</x:v>
      </x:c>
      <x:c r="E5592" s="12" t="n">
        <x:v>0.29975</x:v>
      </x:c>
      <x:c r="F5592" s="12" t="n">
        <x:v>0.2993333333333334</x:v>
      </x:c>
      <x:c r="G5592" s="12" t="n">
        <x:v>0</x:v>
      </x:c>
      <x:c r="H5592" s="1" t="n">
        <x:f>'Historical prices'!E5592</x:f>
        <x:v>1.05</x:v>
      </x:c>
      <x:c r="I5592" s="6" t="n">
        <x:f>'Historical prices'!D5592</x:f>
        <x:v>0.257</x:v>
      </x:c>
      <x:c r="J5592" s="13" t="n">
        <x:f>D5592*I5592*H5592</x:f>
        <x:v>0</x:v>
      </x:c>
      <x:c r="K5592" s="13" t="n">
        <x:f>E5592*I5592*H5592</x:f>
        <x:v>0.08088753750000001</x:v>
      </x:c>
      <x:c r="L5592" s="1" t="str">
        <x:f>TEXT(A5592,"mmm yyyy")</x:f>
        <x:v>Aug 2026</x:v>
      </x:c>
    </x:row>
    <x:row r="5593" ht="21" customHeight="1">
      <x:c r="A5593" s="10" t="n">
        <x:v>46265</x:v>
      </x:c>
      <x:c r="B5593" s="1" t="n">
        <x:v>0.5</x:v>
      </x:c>
      <x:c r="C5593" s="1" t="n">
        <x:v>6</x:v>
      </x:c>
      <x:c r="D5593" s="12" t="n">
        <x:v>0.21350000000000002</x:v>
      </x:c>
      <x:c r="E5593" s="12" t="n">
        <x:v>0.2775</x:v>
      </x:c>
      <x:c r="F5593" s="12" t="n">
        <x:v>0.055</x:v>
      </x:c>
      <x:c r="G5593" s="12" t="n">
        <x:v>0</x:v>
      </x:c>
      <x:c r="H5593" s="1" t="n">
        <x:f>'Historical prices'!E5593</x:f>
        <x:v>1.05</x:v>
      </x:c>
      <x:c r="I5593" s="6" t="n">
        <x:f>'Historical prices'!D5593</x:f>
        <x:v>0.24710000000000001</x:v>
      </x:c>
      <x:c r="J5593" s="13" t="n">
        <x:f>D5593*I5593*H5593</x:f>
        <x:v>0.05539364250000001</x:v>
      </x:c>
      <x:c r="K5593" s="13" t="n">
        <x:f>E5593*I5593*H5593</x:f>
        <x:v>0.07199876250000002</x:v>
      </x:c>
      <x:c r="L5593" s="1" t="str">
        <x:f>TEXT(A5593,"mmm yyyy")</x:f>
        <x:v>Aug 2026</x:v>
      </x:c>
    </x:row>
    <x:row r="5594" ht="21" customHeight="1">
      <x:c r="A5594" s="10" t="n">
        <x:v>46265</x:v>
      </x:c>
      <x:c r="B5594" s="1" t="n">
        <x:v>1</x:v>
      </x:c>
      <x:c r="C5594" s="1" t="n">
        <x:v>6</x:v>
      </x:c>
      <x:c r="D5594" s="12" t="n">
        <x:v>0.27125</x:v>
      </x:c>
      <x:c r="E5594" s="12" t="n">
        <x:v>0.28225</x:v>
      </x:c>
      <x:c r="F5594" s="12" t="n">
        <x:v>0</x:v>
      </x:c>
      <x:c r="G5594" s="12" t="n">
        <x:v>0</x:v>
      </x:c>
      <x:c r="H5594" s="1" t="n">
        <x:f>'Historical prices'!E5594</x:f>
        <x:v>1.05</x:v>
      </x:c>
      <x:c r="I5594" s="6" t="n">
        <x:f>'Historical prices'!D5594</x:f>
        <x:v>0.23920000000000002</x:v>
      </x:c>
      <x:c r="J5594" s="13" t="n">
        <x:f>D5594*I5594*H5594</x:f>
        <x:v>0.06812715000000001</x:v>
      </x:c>
      <x:c r="K5594" s="13" t="n">
        <x:f>E5594*I5594*H5594</x:f>
        <x:v>0.07088991000000001</x:v>
      </x:c>
      <x:c r="L5594" s="1" t="str">
        <x:f>TEXT(A5594,"mmm yyyy")</x:f>
        <x:v>Aug 2026</x:v>
      </x:c>
    </x:row>
    <x:row r="5595" ht="21" customHeight="1">
      <x:c r="A5595" s="10" t="n">
        <x:v>46265</x:v>
      </x:c>
      <x:c r="B5595" s="1" t="n">
        <x:v>1.5</x:v>
      </x:c>
      <x:c r="C5595" s="1" t="n">
        <x:v>6</x:v>
      </x:c>
      <x:c r="D5595" s="12" t="n">
        <x:v>0.269</x:v>
      </x:c>
      <x:c r="E5595" s="12" t="n">
        <x:v>0.279</x:v>
      </x:c>
      <x:c r="F5595" s="12" t="n">
        <x:v>0</x:v>
      </x:c>
      <x:c r="G5595" s="12" t="n">
        <x:v>0</x:v>
      </x:c>
      <x:c r="H5595" s="1" t="n">
        <x:f>'Historical prices'!E5595</x:f>
        <x:v>1.05</x:v>
      </x:c>
      <x:c r="I5595" s="6" t="n">
        <x:f>'Historical prices'!D5595</x:f>
        <x:v>0.2457</x:v>
      </x:c>
      <x:c r="J5595" s="13" t="n">
        <x:f>D5595*I5595*H5595</x:f>
        <x:v>0.069397965</x:v>
      </x:c>
      <x:c r="K5595" s="13" t="n">
        <x:f>E5595*I5595*H5595</x:f>
        <x:v>0.07197781500000001</x:v>
      </x:c>
      <x:c r="L5595" s="1" t="str">
        <x:f>TEXT(A5595,"mmm yyyy")</x:f>
        <x:v>Aug 2026</x:v>
      </x:c>
    </x:row>
    <x:row r="5596" ht="21" customHeight="1">
      <x:c r="A5596" s="10" t="n">
        <x:v>46265</x:v>
      </x:c>
      <x:c r="B5596" s="1" t="n">
        <x:v>2</x:v>
      </x:c>
      <x:c r="C5596" s="1" t="n">
        <x:v>6</x:v>
      </x:c>
      <x:c r="D5596" s="12" t="n">
        <x:v>0.22975</x:v>
      </x:c>
      <x:c r="E5596" s="12" t="n">
        <x:v>0.23975000000000002</x:v>
      </x:c>
      <x:c r="F5596" s="12" t="n">
        <x:v>0</x:v>
      </x:c>
      <x:c r="G5596" s="12" t="n">
        <x:v>0</x:v>
      </x:c>
      <x:c r="H5596" s="1" t="n">
        <x:f>'Historical prices'!E5596</x:f>
        <x:v>1.05</x:v>
      </x:c>
      <x:c r="I5596" s="6" t="n">
        <x:f>'Historical prices'!D5596</x:f>
        <x:v>0.2341</x:v>
      </x:c>
      <x:c r="J5596" s="13" t="n">
        <x:f>D5596*I5596*H5596</x:f>
        <x:v>0.05647369875000001</x:v>
      </x:c>
      <x:c r="K5596" s="13" t="n">
        <x:f>E5596*I5596*H5596</x:f>
        <x:v>0.05893174875000001</x:v>
      </x:c>
      <x:c r="L5596" s="1" t="str">
        <x:f>TEXT(A5596,"mmm yyyy")</x:f>
        <x:v>Aug 2026</x:v>
      </x:c>
    </x:row>
    <x:row r="5597" ht="21" customHeight="1">
      <x:c r="A5597" s="10" t="n">
        <x:v>46265</x:v>
      </x:c>
      <x:c r="B5597" s="1" t="n">
        <x:v>2.5</x:v>
      </x:c>
      <x:c r="C5597" s="1" t="n">
        <x:v>6</x:v>
      </x:c>
      <x:c r="D5597" s="12" t="n">
        <x:v>0.22775</x:v>
      </x:c>
      <x:c r="E5597" s="12" t="n">
        <x:v>0.23875000000000002</x:v>
      </x:c>
      <x:c r="F5597" s="12" t="n">
        <x:v>0</x:v>
      </x:c>
      <x:c r="G5597" s="12" t="n">
        <x:v>0</x:v>
      </x:c>
      <x:c r="H5597" s="1" t="n">
        <x:f>'Historical prices'!E5597</x:f>
        <x:v>1.05</x:v>
      </x:c>
      <x:c r="I5597" s="6" t="n">
        <x:f>'Historical prices'!D5597</x:f>
        <x:v>0.23070000000000002</x:v>
      </x:c>
      <x:c r="J5597" s="13" t="n">
        <x:f>D5597*I5597*H5597</x:f>
        <x:v>0.055169021250000005</x:v>
      </x:c>
      <x:c r="K5597" s="13" t="n">
        <x:f>E5597*I5597*H5597</x:f>
        <x:v>0.05783360625000001</x:v>
      </x:c>
      <x:c r="L5597" s="1" t="str">
        <x:f>TEXT(A5597,"mmm yyyy")</x:f>
        <x:v>Aug 2026</x:v>
      </x:c>
    </x:row>
    <x:row r="5598" ht="21" customHeight="1">
      <x:c r="A5598" s="10" t="n">
        <x:v>46265</x:v>
      </x:c>
      <x:c r="B5598" s="1" t="n">
        <x:v>3</x:v>
      </x:c>
      <x:c r="C5598" s="1" t="n">
        <x:v>6</x:v>
      </x:c>
      <x:c r="D5598" s="12" t="n">
        <x:v>0.24050000000000002</x:v>
      </x:c>
      <x:c r="E5598" s="12" t="n">
        <x:v>0.2515</x:v>
      </x:c>
      <x:c r="F5598" s="12" t="n">
        <x:v>0</x:v>
      </x:c>
      <x:c r="G5598" s="12" t="n">
        <x:v>0</x:v>
      </x:c>
      <x:c r="H5598" s="1" t="n">
        <x:f>'Historical prices'!E5598</x:f>
        <x:v>1.05</x:v>
      </x:c>
      <x:c r="I5598" s="6" t="n">
        <x:f>'Historical prices'!D5598</x:f>
        <x:v>0.2228</x:v>
      </x:c>
      <x:c r="J5598" s="13" t="n">
        <x:f>D5598*I5598*H5598</x:f>
        <x:v>0.056262570000000005</x:v>
      </x:c>
      <x:c r="K5598" s="13" t="n">
        <x:f>E5598*I5598*H5598</x:f>
        <x:v>0.058835910000000005</x:v>
      </x:c>
      <x:c r="L5598" s="1" t="str">
        <x:f>TEXT(A5598,"mmm yyyy")</x:f>
        <x:v>Aug 2026</x:v>
      </x:c>
    </x:row>
    <x:row r="5599" ht="21" customHeight="1">
      <x:c r="A5599" s="10" t="n">
        <x:v>46265</x:v>
      </x:c>
      <x:c r="B5599" s="1" t="n">
        <x:v>3.5</x:v>
      </x:c>
      <x:c r="C5599" s="1" t="n">
        <x:v>6</x:v>
      </x:c>
      <x:c r="D5599" s="12" t="n">
        <x:v>0.23975000000000002</x:v>
      </x:c>
      <x:c r="E5599" s="12" t="n">
        <x:v>0.24875000000000003</x:v>
      </x:c>
      <x:c r="F5599" s="12" t="n">
        <x:v>0</x:v>
      </x:c>
      <x:c r="G5599" s="12" t="n">
        <x:v>0</x:v>
      </x:c>
      <x:c r="H5599" s="1" t="n">
        <x:f>'Historical prices'!E5599</x:f>
        <x:v>1.05</x:v>
      </x:c>
      <x:c r="I5599" s="6" t="n">
        <x:f>'Historical prices'!D5599</x:f>
        <x:v>0.2186</x:v>
      </x:c>
      <x:c r="J5599" s="13" t="n">
        <x:f>D5599*I5599*H5599</x:f>
        <x:v>0.0550298175</x:v>
      </x:c>
      <x:c r="K5599" s="13" t="n">
        <x:f>E5599*I5599*H5599</x:f>
        <x:v>0.0570955875</x:v>
      </x:c>
      <x:c r="L5599" s="1" t="str">
        <x:f>TEXT(A5599,"mmm yyyy")</x:f>
        <x:v>Aug 2026</x:v>
      </x:c>
    </x:row>
    <x:row r="5600" ht="21" customHeight="1">
      <x:c r="A5600" s="10" t="n">
        <x:v>46265</x:v>
      </x:c>
      <x:c r="B5600" s="1" t="n">
        <x:v>4</x:v>
      </x:c>
      <x:c r="C5600" s="1" t="n">
        <x:v>6</x:v>
      </x:c>
      <x:c r="D5600" s="12" t="n">
        <x:v>0.19325</x:v>
      </x:c>
      <x:c r="E5600" s="12" t="n">
        <x:v>0.20425000000000001</x:v>
      </x:c>
      <x:c r="F5600" s="12" t="n">
        <x:v>0</x:v>
      </x:c>
      <x:c r="G5600" s="12" t="n">
        <x:v>0</x:v>
      </x:c>
      <x:c r="H5600" s="1" t="n">
        <x:f>'Historical prices'!E5600</x:f>
        <x:v>1.05</x:v>
      </x:c>
      <x:c r="I5600" s="6" t="n">
        <x:f>'Historical prices'!D5600</x:f>
        <x:v>0.223</x:v>
      </x:c>
      <x:c r="J5600" s="13" t="n">
        <x:f>D5600*I5600*H5600</x:f>
        <x:v>0.045249487500000005</x:v>
      </x:c>
      <x:c r="K5600" s="13" t="n">
        <x:f>E5600*I5600*H5600</x:f>
        <x:v>0.04782513750000001</x:v>
      </x:c>
      <x:c r="L5600" s="1" t="str">
        <x:f>TEXT(A5600,"mmm yyyy")</x:f>
        <x:v>Aug 2026</x:v>
      </x:c>
    </x:row>
    <x:row r="5601" ht="21" customHeight="1">
      <x:c r="A5601" s="10" t="n">
        <x:v>46265</x:v>
      </x:c>
      <x:c r="B5601" s="1" t="n">
        <x:v>4.5</x:v>
      </x:c>
      <x:c r="C5601" s="1" t="n">
        <x:v>6</x:v>
      </x:c>
      <x:c r="D5601" s="12" t="n">
        <x:v>0.289</x:v>
      </x:c>
      <x:c r="E5601" s="12" t="n">
        <x:v>0.299</x:v>
      </x:c>
      <x:c r="F5601" s="12" t="n">
        <x:v>0</x:v>
      </x:c>
      <x:c r="G5601" s="12" t="n">
        <x:v>0</x:v>
      </x:c>
      <x:c r="H5601" s="1" t="n">
        <x:f>'Historical prices'!E5601</x:f>
        <x:v>1.05</x:v>
      </x:c>
      <x:c r="I5601" s="6" t="n">
        <x:f>'Historical prices'!D5601</x:f>
        <x:v>0.22010000000000002</x:v>
      </x:c>
      <x:c r="J5601" s="13" t="n">
        <x:f>D5601*I5601*H5601</x:f>
        <x:v>0.066789345</x:v>
      </x:c>
      <x:c r="K5601" s="13" t="n">
        <x:f>E5601*I5601*H5601</x:f>
        <x:v>0.06910039500000001</x:v>
      </x:c>
      <x:c r="L5601" s="1" t="str">
        <x:f>TEXT(A5601,"mmm yyyy")</x:f>
        <x:v>Aug 2026</x:v>
      </x:c>
    </x:row>
    <x:row r="5602" ht="21" customHeight="1">
      <x:c r="A5602" s="10" t="n">
        <x:v>46265</x:v>
      </x:c>
      <x:c r="B5602" s="1" t="n">
        <x:v>5</x:v>
      </x:c>
      <x:c r="C5602" s="1" t="n">
        <x:v>6</x:v>
      </x:c>
      <x:c r="D5602" s="12" t="n">
        <x:v>0.04575</x:v>
      </x:c>
      <x:c r="E5602" s="12" t="n">
        <x:v>0.329</x:v>
      </x:c>
      <x:c r="F5602" s="12" t="n">
        <x:v>0.28091666666666665</x:v>
      </x:c>
      <x:c r="G5602" s="12" t="n">
        <x:v>0</x:v>
      </x:c>
      <x:c r="H5602" s="1" t="n">
        <x:f>'Historical prices'!E5602</x:f>
        <x:v>1.05</x:v>
      </x:c>
      <x:c r="I5602" s="6" t="n">
        <x:f>'Historical prices'!D5602</x:f>
        <x:v>0.2562</x:v>
      </x:c>
      <x:c r="J5602" s="13" t="n">
        <x:f>D5602*I5602*H5602</x:f>
        <x:v>0.0123072075</x:v>
      </x:c>
      <x:c r="K5602" s="13" t="n">
        <x:f>E5602*I5602*H5602</x:f>
        <x:v>0.08850429</x:v>
      </x:c>
      <x:c r="L5602" s="1" t="str">
        <x:f>TEXT(A5602,"mmm yyyy")</x:f>
        <x:v>Aug 2026</x:v>
      </x:c>
    </x:row>
    <x:row r="5603" ht="21" customHeight="1">
      <x:c r="A5603" s="10" t="n">
        <x:v>46265</x:v>
      </x:c>
      <x:c r="B5603" s="1" t="n">
        <x:v>5.5</x:v>
      </x:c>
      <x:c r="C5603" s="1" t="n">
        <x:v>6</x:v>
      </x:c>
      <x:c r="D5603" s="12" t="n">
        <x:v>0</x:v>
      </x:c>
      <x:c r="E5603" s="12" t="n">
        <x:v>0.24600000000000002</x:v>
      </x:c>
      <x:c r="F5603" s="12" t="n">
        <x:v>0.24566666666666667</x:v>
      </x:c>
      <x:c r="G5603" s="12" t="n">
        <x:v>0</x:v>
      </x:c>
      <x:c r="H5603" s="1" t="n">
        <x:f>'Historical prices'!E5603</x:f>
        <x:v>1.05</x:v>
      </x:c>
      <x:c r="I5603" s="6" t="n">
        <x:f>'Historical prices'!D5603</x:f>
        <x:v>0.2572</x:v>
      </x:c>
      <x:c r="J5603" s="13" t="n">
        <x:f>D5603*I5603*H5603</x:f>
        <x:v>0</x:v>
      </x:c>
      <x:c r="K5603" s="13" t="n">
        <x:f>E5603*I5603*H5603</x:f>
        <x:v>0.06643476000000001</x:v>
      </x:c>
      <x:c r="L5603" s="1" t="str">
        <x:f>TEXT(A5603,"mmm yyyy")</x:f>
        <x:v>Aug 2026</x:v>
      </x:c>
    </x:row>
    <x:row r="5604" ht="21" customHeight="1">
      <x:c r="A5604" s="10" t="n">
        <x:v>46265</x:v>
      </x:c>
      <x:c r="B5604" s="1" t="n">
        <x:v>6</x:v>
      </x:c>
      <x:c r="C5604" s="1" t="n">
        <x:v>6</x:v>
      </x:c>
      <x:c r="D5604" s="12" t="n">
        <x:v>0</x:v>
      </x:c>
      <x:c r="E5604" s="12" t="n">
        <x:v>0.27958333333333335</x:v>
      </x:c>
      <x:c r="F5604" s="12" t="n">
        <x:v>0.2776666666666667</x:v>
      </x:c>
      <x:c r="G5604" s="12" t="n">
        <x:v>0</x:v>
      </x:c>
      <x:c r="H5604" s="1" t="n">
        <x:f>'Historical prices'!E5604</x:f>
        <x:v>1.05</x:v>
      </x:c>
      <x:c r="I5604" s="6" t="n">
        <x:f>'Historical prices'!D5604</x:f>
        <x:v>0.2918</x:v>
      </x:c>
      <x:c r="J5604" s="13" t="n">
        <x:f>D5604*I5604*H5604</x:f>
        <x:v>0</x:v>
      </x:c>
      <x:c r="K5604" s="13" t="n">
        <x:f>E5604*I5604*H5604</x:f>
        <x:v>0.08566153750000001</x:v>
      </x:c>
      <x:c r="L5604" s="1" t="str">
        <x:f>TEXT(A5604,"mmm yyyy")</x:f>
        <x:v>Aug 2026</x:v>
      </x:c>
    </x:row>
    <x:row r="5605" ht="21" customHeight="1">
      <x:c r="A5605" s="10" t="n">
        <x:v>46265</x:v>
      </x:c>
      <x:c r="B5605" s="1" t="n">
        <x:v>6.5</x:v>
      </x:c>
      <x:c r="C5605" s="1" t="n">
        <x:v>6</x:v>
      </x:c>
      <x:c r="D5605" s="12" t="n">
        <x:v>0</x:v>
      </x:c>
      <x:c r="E5605" s="12" t="n">
        <x:v>0.6064166666666666</x:v>
      </x:c>
      <x:c r="F5605" s="12" t="n">
        <x:v>0.6060833333333333</x:v>
      </x:c>
      <x:c r="G5605" s="12" t="n">
        <x:v>0</x:v>
      </x:c>
      <x:c r="H5605" s="1" t="n">
        <x:f>'Historical prices'!E5605</x:f>
        <x:v>1.05</x:v>
      </x:c>
      <x:c r="I5605" s="6" t="n">
        <x:f>'Historical prices'!D5605</x:f>
        <x:v>0.2874</x:v>
      </x:c>
      <x:c r="J5605" s="13" t="n">
        <x:f>D5605*I5605*H5605</x:f>
        <x:v>0</x:v>
      </x:c>
      <x:c r="K5605" s="13" t="n">
        <x:f>E5605*I5605*H5605</x:f>
        <x:v>0.1829983575</x:v>
      </x:c>
      <x:c r="L5605" s="1" t="str">
        <x:f>TEXT(A5605,"mmm yyyy")</x:f>
        <x:v>Aug 2026</x:v>
      </x:c>
    </x:row>
    <x:row r="5606" ht="21" customHeight="1">
      <x:c r="A5606" s="10" t="n">
        <x:v>46265</x:v>
      </x:c>
      <x:c r="B5606" s="1" t="n">
        <x:v>7</x:v>
      </x:c>
      <x:c r="C5606" s="1" t="n">
        <x:v>6</x:v>
      </x:c>
      <x:c r="D5606" s="12" t="n">
        <x:v>0.3378333333333333</x:v>
      </x:c>
      <x:c r="E5606" s="12" t="n">
        <x:v>0.6099166666666667</x:v>
      </x:c>
      <x:c r="F5606" s="12" t="n">
        <x:v>0.2634166666666667</x:v>
      </x:c>
      <x:c r="G5606" s="12" t="n">
        <x:v>0</x:v>
      </x:c>
      <x:c r="H5606" s="1" t="n">
        <x:f>'Historical prices'!E5606</x:f>
        <x:v>1.05</x:v>
      </x:c>
      <x:c r="I5606" s="6" t="n">
        <x:f>'Historical prices'!D5606</x:f>
        <x:v>0.2561</x:v>
      </x:c>
      <x:c r="J5606" s="13" t="n">
        <x:f>D5606*I5606*H5606</x:f>
        <x:v>0.0908450725</x:v>
      </x:c>
      <x:c r="K5606" s="13" t="n">
        <x:f>E5606*I5606*H5606</x:f>
        <x:v>0.16400964125</x:v>
      </x:c>
      <x:c r="L5606" s="1" t="str">
        <x:f>TEXT(A5606,"mmm yyyy")</x:f>
        <x:v>Aug 2026</x:v>
      </x:c>
    </x:row>
    <x:row r="5607" ht="21" customHeight="1">
      <x:c r="A5607" s="10" t="n">
        <x:v>46265</x:v>
      </x:c>
      <x:c r="B5607" s="1" t="n">
        <x:v>7.5</x:v>
      </x:c>
      <x:c r="C5607" s="1" t="n">
        <x:v>6</x:v>
      </x:c>
      <x:c r="D5607" s="12" t="n">
        <x:v>0</x:v>
      </x:c>
      <x:c r="E5607" s="12" t="n">
        <x:v>0.6485833333333334</x:v>
      </x:c>
      <x:c r="F5607" s="12" t="n">
        <x:v>0.6389166666666667</x:v>
      </x:c>
      <x:c r="G5607" s="12" t="n">
        <x:v>0</x:v>
      </x:c>
      <x:c r="H5607" s="1" t="n">
        <x:f>'Historical prices'!E5607</x:f>
        <x:v>1.05</x:v>
      </x:c>
      <x:c r="I5607" s="6" t="n">
        <x:f>'Historical prices'!D5607</x:f>
        <x:v>0.2557</x:v>
      </x:c>
      <x:c r="J5607" s="13" t="n">
        <x:f>D5607*I5607*H5607</x:f>
        <x:v>0</x:v>
      </x:c>
      <x:c r="K5607" s="13" t="n">
        <x:f>E5607*I5607*H5607</x:f>
        <x:v>0.17413489625</x:v>
      </x:c>
      <x:c r="L5607" s="1" t="str">
        <x:f>TEXT(A5607,"mmm yyyy")</x:f>
        <x:v>Aug 2026</x:v>
      </x:c>
    </x:row>
    <x:row r="5608" ht="21" customHeight="1">
      <x:c r="A5608" s="10" t="n">
        <x:v>46265</x:v>
      </x:c>
      <x:c r="B5608" s="1" t="n">
        <x:v>8</x:v>
      </x:c>
      <x:c r="C5608" s="1" t="n">
        <x:v>6</x:v>
      </x:c>
      <x:c r="D5608" s="12" t="n">
        <x:v>0.4455</x:v>
      </x:c>
      <x:c r="E5608" s="12" t="n">
        <x:v>0.5624166666666666</x:v>
      </x:c>
      <x:c r="F5608" s="12" t="n">
        <x:v>0.105</x:v>
      </x:c>
      <x:c r="G5608" s="12" t="n">
        <x:v>0</x:v>
      </x:c>
      <x:c r="H5608" s="1" t="n">
        <x:f>'Historical prices'!E5608</x:f>
        <x:v>1.05</x:v>
      </x:c>
      <x:c r="I5608" s="6" t="n">
        <x:f>'Historical prices'!D5608</x:f>
        <x:v>0.20809999999999998</x:v>
      </x:c>
      <x:c r="J5608" s="13" t="n">
        <x:f>D5608*I5608*H5608</x:f>
        <x:v>0.09734397749999998</x:v>
      </x:c>
      <x:c r="K5608" s="13" t="n">
        <x:f>E5608*I5608*H5608</x:f>
        <x:v>0.12289085374999997</x:v>
      </x:c>
      <x:c r="L5608" s="1" t="str">
        <x:f>TEXT(A5608,"mmm yyyy")</x:f>
        <x:v>Aug 2026</x:v>
      </x:c>
    </x:row>
    <x:row r="5609" ht="21" customHeight="1">
      <x:c r="A5609" s="10" t="n">
        <x:v>46265</x:v>
      </x:c>
      <x:c r="B5609" s="1" t="n">
        <x:v>8.5</x:v>
      </x:c>
      <x:c r="C5609" s="1" t="n">
        <x:v>6</x:v>
      </x:c>
      <x:c r="D5609" s="12" t="n">
        <x:v>0.3375</x:v>
      </x:c>
      <x:c r="E5609" s="12" t="n">
        <x:v>0.6064166666666667</x:v>
      </x:c>
      <x:c r="F5609" s="12" t="n">
        <x:v>0.31983333333333336</x:v>
      </x:c>
      <x:c r="G5609" s="12" t="n">
        <x:v>0.053</x:v>
      </x:c>
      <x:c r="H5609" s="1" t="n">
        <x:f>'Historical prices'!E5609</x:f>
        <x:v>1.05</x:v>
      </x:c>
      <x:c r="I5609" s="6" t="n">
        <x:f>'Historical prices'!D5609</x:f>
        <x:v>0.2257</x:v>
      </x:c>
      <x:c r="J5609" s="13" t="n">
        <x:f>D5609*I5609*H5609</x:f>
        <x:v>0.07998243750000002</x:v>
      </x:c>
      <x:c r="K5609" s="13" t="n">
        <x:f>E5609*I5609*H5609</x:f>
        <x:v>0.14371165375000003</x:v>
      </x:c>
      <x:c r="L5609" s="1" t="str">
        <x:f>TEXT(A5609,"mmm yyyy")</x:f>
        <x:v>Aug 2026</x:v>
      </x:c>
    </x:row>
    <x:row r="5610" ht="21" customHeight="1">
      <x:c r="A5610" s="10" t="n">
        <x:v>46265</x:v>
      </x:c>
      <x:c r="B5610" s="1" t="n">
        <x:v>9</x:v>
      </x:c>
      <x:c r="C5610" s="1" t="n">
        <x:v>6</x:v>
      </x:c>
      <x:c r="D5610" s="12" t="n">
        <x:v>0.9442499999999999</x:v>
      </x:c>
      <x:c r="E5610" s="12" t="n">
        <x:v>0.85025</x:v>
      </x:c>
      <x:c r="F5610" s="12" t="n">
        <x:v>0</x:v>
      </x:c>
      <x:c r="G5610" s="12" t="n">
        <x:v>0.094</x:v>
      </x:c>
      <x:c r="H5610" s="1" t="n">
        <x:f>'Historical prices'!E5610</x:f>
        <x:v>1.05</x:v>
      </x:c>
      <x:c r="I5610" s="6" t="n">
        <x:f>'Historical prices'!D5610</x:f>
        <x:v>0.1393</x:v>
      </x:c>
      <x:c r="J5610" s="13" t="n">
        <x:f>D5610*I5610*H5610</x:f>
        <x:v>0.13811072625</x:v>
      </x:c>
      <x:c r="K5610" s="13" t="n">
        <x:f>E5610*I5610*H5610</x:f>
        <x:v>0.12436181625</x:v>
      </x:c>
      <x:c r="L5610" s="1" t="str">
        <x:f>TEXT(A5610,"mmm yyyy")</x:f>
        <x:v>Aug 2026</x:v>
      </x:c>
    </x:row>
    <x:row r="5611" ht="21" customHeight="1">
      <x:c r="A5611" s="10" t="n">
        <x:v>46265</x:v>
      </x:c>
      <x:c r="B5611" s="1" t="n">
        <x:v>9.5</x:v>
      </x:c>
      <x:c r="C5611" s="1" t="n">
        <x:v>6</x:v>
      </x:c>
      <x:c r="D5611" s="12" t="n">
        <x:v>1.1892500000000001</x:v>
      </x:c>
      <x:c r="E5611" s="12" t="n">
        <x:v>1.10025</x:v>
      </x:c>
      <x:c r="F5611" s="12" t="n">
        <x:v>0</x:v>
      </x:c>
      <x:c r="G5611" s="12" t="n">
        <x:v>0.089</x:v>
      </x:c>
      <x:c r="H5611" s="1" t="n">
        <x:f>'Historical prices'!E5611</x:f>
        <x:v>1.05</x:v>
      </x:c>
      <x:c r="I5611" s="6" t="n">
        <x:f>'Historical prices'!D5611</x:f>
        <x:v>0.0959</x:v>
      </x:c>
      <x:c r="J5611" s="13" t="n">
        <x:f>D5611*I5611*H5611</x:f>
        <x:v>0.11975152875000002</x:v>
      </x:c>
      <x:c r="K5611" s="13" t="n">
        <x:f>E5611*I5611*H5611</x:f>
        <x:v>0.11078967375</x:v>
      </x:c>
      <x:c r="L5611" s="1" t="str">
        <x:f>TEXT(A5611,"mmm yyyy")</x:f>
        <x:v>Aug 2026</x:v>
      </x:c>
    </x:row>
    <x:row r="5612" ht="21" customHeight="1">
      <x:c r="A5612" s="10" t="n">
        <x:v>46265</x:v>
      </x:c>
      <x:c r="B5612" s="1" t="n">
        <x:v>10</x:v>
      </x:c>
      <x:c r="C5612" s="1" t="n">
        <x:v>6</x:v>
      </x:c>
      <x:c r="D5612" s="12" t="n">
        <x:v>0.9717499999999999</x:v>
      </x:c>
      <x:c r="E5612" s="12" t="n">
        <x:v>0.8827500000000001</x:v>
      </x:c>
      <x:c r="F5612" s="12" t="n">
        <x:v>0</x:v>
      </x:c>
      <x:c r="G5612" s="12" t="n">
        <x:v>0.089</x:v>
      </x:c>
      <x:c r="H5612" s="1" t="n">
        <x:f>'Historical prices'!E5612</x:f>
        <x:v>1.05</x:v>
      </x:c>
      <x:c r="I5612" s="6" t="n">
        <x:f>'Historical prices'!D5612</x:f>
        <x:v>0.0623</x:v>
      </x:c>
      <x:c r="J5612" s="13" t="n">
        <x:f>D5612*I5612*H5612</x:f>
        <x:v>0.06356702625</x:v>
      </x:c>
      <x:c r="K5612" s="13" t="n">
        <x:f>E5612*I5612*H5612</x:f>
        <x:v>0.05774509125000001</x:v>
      </x:c>
      <x:c r="L5612" s="1" t="str">
        <x:f>TEXT(A5612,"mmm yyyy")</x:f>
        <x:v>Aug 2026</x:v>
      </x:c>
    </x:row>
    <x:row r="5613" ht="21" customHeight="1">
      <x:c r="A5613" s="10" t="n">
        <x:v>46265</x:v>
      </x:c>
      <x:c r="B5613" s="1" t="n">
        <x:v>10.5</x:v>
      </x:c>
      <x:c r="C5613" s="1" t="n">
        <x:v>6</x:v>
      </x:c>
      <x:c r="D5613" s="12" t="n">
        <x:v>0.6295</x:v>
      </x:c>
      <x:c r="E5613" s="12" t="n">
        <x:v>0.5405</x:v>
      </x:c>
      <x:c r="F5613" s="12" t="n">
        <x:v>0</x:v>
      </x:c>
      <x:c r="G5613" s="12" t="n">
        <x:v>0.089</x:v>
      </x:c>
      <x:c r="H5613" s="1" t="n">
        <x:f>'Historical prices'!E5613</x:f>
        <x:v>1.05</x:v>
      </x:c>
      <x:c r="I5613" s="6" t="n">
        <x:f>'Historical prices'!D5613</x:f>
        <x:v>0.035699999999999996</x:v>
      </x:c>
      <x:c r="J5613" s="13" t="n">
        <x:f>D5613*I5613*H5613</x:f>
        <x:v>0.023596807499999994</x:v>
      </x:c>
      <x:c r="K5613" s="13" t="n">
        <x:f>E5613*I5613*H5613</x:f>
        <x:v>0.0202606425</x:v>
      </x:c>
      <x:c r="L5613" s="1" t="str">
        <x:f>TEXT(A5613,"mmm yyyy")</x:f>
        <x:v>Aug 2026</x:v>
      </x:c>
    </x:row>
    <x:row r="5614" ht="21" customHeight="1">
      <x:c r="A5614" s="10" t="n">
        <x:v>46265</x:v>
      </x:c>
      <x:c r="B5614" s="1" t="n">
        <x:v>11</x:v>
      </x:c>
      <x:c r="C5614" s="1" t="n">
        <x:v>6</x:v>
      </x:c>
      <x:c r="D5614" s="12" t="n">
        <x:v>0.8069999999999999</x:v>
      </x:c>
      <x:c r="E5614" s="12" t="n">
        <x:v>0.7210000000000001</x:v>
      </x:c>
      <x:c r="F5614" s="12" t="n">
        <x:v>0</x:v>
      </x:c>
      <x:c r="G5614" s="12" t="n">
        <x:v>0.086</x:v>
      </x:c>
      <x:c r="H5614" s="1" t="n">
        <x:f>'Historical prices'!E5614</x:f>
        <x:v>1.05</x:v>
      </x:c>
      <x:c r="I5614" s="6" t="n">
        <x:f>'Historical prices'!D5614</x:f>
        <x:v>0.0294</x:v>
      </x:c>
      <x:c r="J5614" s="13" t="n">
        <x:f>D5614*I5614*H5614</x:f>
        <x:v>0.024912089999999998</x:v>
      </x:c>
      <x:c r="K5614" s="13" t="n">
        <x:f>E5614*I5614*H5614</x:f>
        <x:v>0.022257270000000003</x:v>
      </x:c>
      <x:c r="L5614" s="1" t="str">
        <x:f>TEXT(A5614,"mmm yyyy")</x:f>
        <x:v>Aug 2026</x:v>
      </x:c>
    </x:row>
    <x:row r="5615" ht="21" customHeight="1">
      <x:c r="A5615" s="10" t="n">
        <x:v>46265</x:v>
      </x:c>
      <x:c r="B5615" s="1" t="n">
        <x:v>11.5</x:v>
      </x:c>
      <x:c r="C5615" s="1" t="n">
        <x:v>6</x:v>
      </x:c>
      <x:c r="D5615" s="12" t="n">
        <x:v>0.8220000000000001</x:v>
      </x:c>
      <x:c r="E5615" s="12" t="n">
        <x:v>0.734</x:v>
      </x:c>
      <x:c r="F5615" s="12" t="n">
        <x:v>0</x:v>
      </x:c>
      <x:c r="G5615" s="12" t="n">
        <x:v>0.088</x:v>
      </x:c>
      <x:c r="H5615" s="1" t="n">
        <x:f>'Historical prices'!E5615</x:f>
        <x:v>1.05</x:v>
      </x:c>
      <x:c r="I5615" s="6" t="n">
        <x:f>'Historical prices'!D5615</x:f>
        <x:v>0.0152</x:v>
      </x:c>
      <x:c r="J5615" s="13" t="n">
        <x:f>D5615*I5615*H5615</x:f>
        <x:v>0.013119120000000001</x:v>
      </x:c>
      <x:c r="K5615" s="13" t="n">
        <x:f>E5615*I5615*H5615</x:f>
        <x:v>0.01171464</x:v>
      </x:c>
      <x:c r="L5615" s="1" t="str">
        <x:f>TEXT(A5615,"mmm yyyy")</x:f>
        <x:v>Aug 2026</x:v>
      </x:c>
    </x:row>
    <x:row r="5616" ht="21" customHeight="1">
      <x:c r="A5616" s="10" t="n">
        <x:v>46265</x:v>
      </x:c>
      <x:c r="B5616" s="1" t="n">
        <x:v>12</x:v>
      </x:c>
      <x:c r="C5616" s="1" t="n">
        <x:v>6</x:v>
      </x:c>
      <x:c r="D5616" s="12" t="n">
        <x:v>0.7602499999999999</x:v>
      </x:c>
      <x:c r="E5616" s="12" t="n">
        <x:v>0.66825</x:v>
      </x:c>
      <x:c r="F5616" s="12" t="n">
        <x:v>0</x:v>
      </x:c>
      <x:c r="G5616" s="12" t="n">
        <x:v>0.092</x:v>
      </x:c>
      <x:c r="H5616" s="1" t="n">
        <x:f>'Historical prices'!E5616</x:f>
        <x:v>1.05</x:v>
      </x:c>
      <x:c r="I5616" s="6" t="n">
        <x:f>'Historical prices'!D5616</x:f>
        <x:v>0.012</x:v>
      </x:c>
      <x:c r="J5616" s="13" t="n">
        <x:f>D5616*I5616*H5616</x:f>
        <x:v>0.00957915</x:v>
      </x:c>
      <x:c r="K5616" s="13" t="n">
        <x:f>E5616*I5616*H5616</x:f>
        <x:v>0.00841995</x:v>
      </x:c>
      <x:c r="L5616" s="1" t="str">
        <x:f>TEXT(A5616,"mmm yyyy")</x:f>
        <x:v>Aug 2026</x:v>
      </x:c>
    </x:row>
    <x:row r="5617" ht="21" customHeight="1">
      <x:c r="A5617" s="10" t="n">
        <x:v>46265</x:v>
      </x:c>
      <x:c r="B5617" s="1" t="n">
        <x:v>12.5</x:v>
      </x:c>
      <x:c r="C5617" s="1" t="n">
        <x:v>6</x:v>
      </x:c>
      <x:c r="D5617" s="12" t="n">
        <x:v>4.6545000000000005</x:v>
      </x:c>
      <x:c r="E5617" s="12" t="n">
        <x:v>0.7755000000000001</x:v>
      </x:c>
      <x:c r="F5617" s="12" t="n">
        <x:v>0</x:v>
      </x:c>
      <x:c r="G5617" s="12" t="n">
        <x:v>3.8790000000000004</x:v>
      </x:c>
      <x:c r="H5617" s="1" t="n">
        <x:f>'Historical prices'!E5617</x:f>
        <x:v>1.05</x:v>
      </x:c>
      <x:c r="I5617" s="6" t="n">
        <x:f>'Historical prices'!D5617</x:f>
        <x:v>-0.003</x:v>
      </x:c>
      <x:c r="J5617" s="13" t="n">
        <x:f>D5617*I5617*H5617</x:f>
        <x:v>-0.014661675000000002</x:v>
      </x:c>
      <x:c r="K5617" s="13" t="n">
        <x:f>E5617*I5617*H5617</x:f>
        <x:v>-0.0024428250000000005</x:v>
      </x:c>
      <x:c r="L5617" s="1" t="str">
        <x:f>TEXT(A5617,"mmm yyyy")</x:f>
        <x:v>Aug 2026</x:v>
      </x:c>
    </x:row>
    <x:row r="5618" ht="21" customHeight="1">
      <x:c r="A5618" s="10" t="n">
        <x:v>46265</x:v>
      </x:c>
      <x:c r="B5618" s="1" t="n">
        <x:v>13</x:v>
      </x:c>
      <x:c r="C5618" s="1" t="n">
        <x:v>6</x:v>
      </x:c>
      <x:c r="D5618" s="12" t="n">
        <x:v>5.492500000000001</x:v>
      </x:c>
      <x:c r="E5618" s="12" t="n">
        <x:v>0.8465</x:v>
      </x:c>
      <x:c r="F5618" s="12" t="n">
        <x:v>0</x:v>
      </x:c>
      <x:c r="G5618" s="12" t="n">
        <x:v>4.646000000000001</x:v>
      </x:c>
      <x:c r="H5618" s="1" t="n">
        <x:f>'Historical prices'!E5618</x:f>
        <x:v>1.05</x:v>
      </x:c>
      <x:c r="I5618" s="6" t="n">
        <x:f>'Historical prices'!D5618</x:f>
        <x:v>-0.0038</x:v>
      </x:c>
      <x:c r="J5618" s="13" t="n">
        <x:f>D5618*I5618*H5618</x:f>
        <x:v>-0.021915075000000003</x:v>
      </x:c>
      <x:c r="K5618" s="13" t="n">
        <x:f>E5618*I5618*H5618</x:f>
        <x:v>-0.0033775350000000005</x:v>
      </x:c>
      <x:c r="L5618" s="1" t="str">
        <x:f>TEXT(A5618,"mmm yyyy")</x:f>
        <x:v>Aug 2026</x:v>
      </x:c>
    </x:row>
    <x:row r="5619" ht="21" customHeight="1">
      <x:c r="A5619" s="10" t="n">
        <x:v>46265</x:v>
      </x:c>
      <x:c r="B5619" s="1" t="n">
        <x:v>13.5</x:v>
      </x:c>
      <x:c r="C5619" s="1" t="n">
        <x:v>6</x:v>
      </x:c>
      <x:c r="D5619" s="12" t="n">
        <x:v>5.324</x:v>
      </x:c>
      <x:c r="E5619" s="12" t="n">
        <x:v>0.8919999999999999</x:v>
      </x:c>
      <x:c r="F5619" s="12" t="n">
        <x:v>0</x:v>
      </x:c>
      <x:c r="G5619" s="12" t="n">
        <x:v>4.4319999999999995</x:v>
      </x:c>
      <x:c r="H5619" s="1" t="n">
        <x:f>'Historical prices'!E5619</x:f>
        <x:v>1.05</x:v>
      </x:c>
      <x:c r="I5619" s="6" t="n">
        <x:f>'Historical prices'!D5619</x:f>
        <x:v>-0.014499999999999999</x:v>
      </x:c>
      <x:c r="J5619" s="13" t="n">
        <x:f>D5619*I5619*H5619</x:f>
        <x:v>-0.08105789999999999</x:v>
      </x:c>
      <x:c r="K5619" s="13" t="n">
        <x:f>E5619*I5619*H5619</x:f>
        <x:v>-0.013580699999999998</x:v>
      </x:c>
      <x:c r="L5619" s="1" t="str">
        <x:f>TEXT(A5619,"mmm yyyy")</x:f>
        <x:v>Aug 2026</x:v>
      </x:c>
    </x:row>
    <x:row r="5620" ht="21" customHeight="1">
      <x:c r="A5620" s="10" t="n">
        <x:v>46265</x:v>
      </x:c>
      <x:c r="B5620" s="1" t="n">
        <x:v>14</x:v>
      </x:c>
      <x:c r="C5620" s="1" t="n">
        <x:v>6</x:v>
      </x:c>
      <x:c r="D5620" s="12" t="n">
        <x:v>5.385</x:v>
      </x:c>
      <x:c r="E5620" s="12" t="n">
        <x:v>0.739</x:v>
      </x:c>
      <x:c r="F5620" s="12" t="n">
        <x:v>0</x:v>
      </x:c>
      <x:c r="G5620" s="12" t="n">
        <x:v>4.646</x:v>
      </x:c>
      <x:c r="H5620" s="1" t="n">
        <x:f>'Historical prices'!E5620</x:f>
        <x:v>1.05</x:v>
      </x:c>
      <x:c r="I5620" s="6" t="n">
        <x:f>'Historical prices'!D5620</x:f>
        <x:v>-0.0124</x:v>
      </x:c>
      <x:c r="J5620" s="13" t="n">
        <x:f>D5620*I5620*H5620</x:f>
        <x:v>-0.0701127</x:v>
      </x:c>
      <x:c r="K5620" s="13" t="n">
        <x:f>E5620*I5620*H5620</x:f>
        <x:v>-0.00962178</x:v>
      </x:c>
      <x:c r="L5620" s="1" t="str">
        <x:f>TEXT(A5620,"mmm yyyy")</x:f>
        <x:v>Aug 2026</x:v>
      </x:c>
    </x:row>
    <x:row r="5621" ht="21" customHeight="1">
      <x:c r="A5621" s="10" t="n">
        <x:v>46265</x:v>
      </x:c>
      <x:c r="B5621" s="1" t="n">
        <x:v>14.5</x:v>
      </x:c>
      <x:c r="C5621" s="1" t="n">
        <x:v>6</x:v>
      </x:c>
      <x:c r="D5621" s="12" t="n">
        <x:v>5.3765</x:v>
      </x:c>
      <x:c r="E5621" s="12" t="n">
        <x:v>0.7125</x:v>
      </x:c>
      <x:c r="F5621" s="12" t="n">
        <x:v>0</x:v>
      </x:c>
      <x:c r="G5621" s="12" t="n">
        <x:v>4.664000000000001</x:v>
      </x:c>
      <x:c r="H5621" s="1" t="n">
        <x:f>'Historical prices'!E5621</x:f>
        <x:v>1.05</x:v>
      </x:c>
      <x:c r="I5621" s="6" t="n">
        <x:f>'Historical prices'!D5621</x:f>
        <x:v>-0.0103</x:v>
      </x:c>
      <x:c r="J5621" s="13" t="n">
        <x:f>D5621*I5621*H5621</x:f>
        <x:v>-0.05814684750000001</x:v>
      </x:c>
      <x:c r="K5621" s="13" t="n">
        <x:f>E5621*I5621*H5621</x:f>
        <x:v>-0.007705687500000001</x:v>
      </x:c>
      <x:c r="L5621" s="1" t="str">
        <x:f>TEXT(A5621,"mmm yyyy")</x:f>
        <x:v>Aug 2026</x:v>
      </x:c>
    </x:row>
    <x:row r="5622" ht="21" customHeight="1">
      <x:c r="A5622" s="10" t="n">
        <x:v>46265</x:v>
      </x:c>
      <x:c r="B5622" s="1" t="n">
        <x:v>15</x:v>
      </x:c>
      <x:c r="C5622" s="1" t="n">
        <x:v>6</x:v>
      </x:c>
      <x:c r="D5622" s="12" t="n">
        <x:v>5.4365</x:v>
      </x:c>
      <x:c r="E5622" s="12" t="n">
        <x:v>0.7765</x:v>
      </x:c>
      <x:c r="F5622" s="12" t="n">
        <x:v>0</x:v>
      </x:c>
      <x:c r="G5622" s="12" t="n">
        <x:v>4.66</x:v>
      </x:c>
      <x:c r="H5622" s="1" t="n">
        <x:f>'Historical prices'!E5622</x:f>
        <x:v>1.05</x:v>
      </x:c>
      <x:c r="I5622" s="6" t="n">
        <x:f>'Historical prices'!D5622</x:f>
        <x:v>-0.0018</x:v>
      </x:c>
      <x:c r="J5622" s="13" t="n">
        <x:f>D5622*I5622*H5622</x:f>
        <x:v>-0.010274985</x:v>
      </x:c>
      <x:c r="K5622" s="13" t="n">
        <x:f>E5622*I5622*H5622</x:f>
        <x:v>-0.001467585</x:v>
      </x:c>
      <x:c r="L5622" s="1" t="str">
        <x:f>TEXT(A5622,"mmm yyyy")</x:f>
        <x:v>Aug 2026</x:v>
      </x:c>
    </x:row>
    <x:row r="5623" ht="21" customHeight="1">
      <x:c r="A5623" s="10" t="n">
        <x:v>46265</x:v>
      </x:c>
      <x:c r="B5623" s="1" t="n">
        <x:v>15.5</x:v>
      </x:c>
      <x:c r="C5623" s="1" t="n">
        <x:v>6</x:v>
      </x:c>
      <x:c r="D5623" s="12" t="n">
        <x:v>2.8605</x:v>
      </x:c>
      <x:c r="E5623" s="12" t="n">
        <x:v>0.7005</x:v>
      </x:c>
      <x:c r="F5623" s="12" t="n">
        <x:v>0</x:v>
      </x:c>
      <x:c r="G5623" s="12" t="n">
        <x:v>2.1599999999999997</x:v>
      </x:c>
      <x:c r="H5623" s="1" t="n">
        <x:f>'Historical prices'!E5623</x:f>
        <x:v>1.05</x:v>
      </x:c>
      <x:c r="I5623" s="6" t="n">
        <x:f>'Historical prices'!D5623</x:f>
        <x:v>0.009899999999999999</x:v>
      </x:c>
      <x:c r="J5623" s="13" t="n">
        <x:f>D5623*I5623*H5623</x:f>
        <x:v>0.0297348975</x:v>
      </x:c>
      <x:c r="K5623" s="13" t="n">
        <x:f>E5623*I5623*H5623</x:f>
        <x:v>0.0072816975</x:v>
      </x:c>
      <x:c r="L5623" s="1" t="str">
        <x:f>TEXT(A5623,"mmm yyyy")</x:f>
        <x:v>Aug 2026</x:v>
      </x:c>
    </x:row>
    <x:row r="5624" ht="21" customHeight="1">
      <x:c r="A5624" s="10" t="n">
        <x:v>46265</x:v>
      </x:c>
      <x:c r="B5624" s="1" t="n">
        <x:v>16</x:v>
      </x:c>
      <x:c r="C5624" s="1" t="n">
        <x:v>6</x:v>
      </x:c>
      <x:c r="D5624" s="12" t="n">
        <x:v>0.299</x:v>
      </x:c>
      <x:c r="E5624" s="12" t="n">
        <x:v>0.6919166666666667</x:v>
      </x:c>
      <x:c r="F5624" s="12" t="n">
        <x:v>0.5748333333333333</x:v>
      </x:c>
      <x:c r="G5624" s="12" t="n">
        <x:v>0.185</x:v>
      </x:c>
      <x:c r="H5624" s="1" t="n">
        <x:f>'Historical prices'!E5624</x:f>
        <x:v>1.05</x:v>
      </x:c>
      <x:c r="I5624" s="6" t="n">
        <x:f>'Historical prices'!D5624</x:f>
        <x:v>0.251</x:v>
      </x:c>
      <x:c r="J5624" s="13" t="n">
        <x:f>D5624*I5624*H5624</x:f>
        <x:v>0.07880145</x:v>
      </x:c>
      <x:c r="K5624" s="13" t="n">
        <x:f>E5624*I5624*H5624</x:f>
        <x:v>0.18235463750000003</x:v>
      </x:c>
      <x:c r="L5624" s="1" t="str">
        <x:f>TEXT(A5624,"mmm yyyy")</x:f>
        <x:v>Aug 2026</x:v>
      </x:c>
    </x:row>
    <x:row r="5625" ht="21" customHeight="1">
      <x:c r="A5625" s="10" t="n">
        <x:v>46265</x:v>
      </x:c>
      <x:c r="B5625" s="1" t="n">
        <x:v>16.5</x:v>
      </x:c>
      <x:c r="C5625" s="1" t="n">
        <x:v>6</x:v>
      </x:c>
      <x:c r="D5625" s="12" t="n">
        <x:v>0.008916666666666666</x:v>
      </x:c>
      <x:c r="E5625" s="12" t="n">
        <x:v>0.71025</x:v>
      </x:c>
      <x:c r="F5625" s="12" t="n">
        <x:v>0.69075</x:v>
      </x:c>
      <x:c r="G5625" s="12" t="n">
        <x:v>0</x:v>
      </x:c>
      <x:c r="H5625" s="1" t="n">
        <x:f>'Historical prices'!E5625</x:f>
        <x:v>1.05</x:v>
      </x:c>
      <x:c r="I5625" s="6" t="n">
        <x:f>'Historical prices'!D5625</x:f>
        <x:v>0.299</x:v>
      </x:c>
      <x:c r="J5625" s="13" t="n">
        <x:f>D5625*I5625*H5625</x:f>
        <x:v>0.0027993875</x:v>
      </x:c>
      <x:c r="K5625" s="13" t="n">
        <x:f>E5625*I5625*H5625</x:f>
        <x:v>0.22298298750000003</x:v>
      </x:c>
      <x:c r="L5625" s="1" t="str">
        <x:f>TEXT(A5625,"mmm yyyy")</x:f>
        <x:v>Aug 2026</x:v>
      </x:c>
    </x:row>
    <x:row r="5626" ht="21" customHeight="1">
      <x:c r="A5626" s="10" t="n">
        <x:v>46265</x:v>
      </x:c>
      <x:c r="B5626" s="1" t="n">
        <x:v>17</x:v>
      </x:c>
      <x:c r="C5626" s="1" t="n">
        <x:v>6</x:v>
      </x:c>
      <x:c r="D5626" s="12" t="n">
        <x:v>0</x:v>
      </x:c>
      <x:c r="E5626" s="12" t="n">
        <x:v>0.6744166666666667</x:v>
      </x:c>
      <x:c r="F5626" s="12" t="n">
        <x:v>0.67425</x:v>
      </x:c>
      <x:c r="G5626" s="12" t="n">
        <x:v>0</x:v>
      </x:c>
      <x:c r="H5626" s="1" t="n">
        <x:f>'Historical prices'!E5626</x:f>
        <x:v>1.05</x:v>
      </x:c>
      <x:c r="I5626" s="6" t="n">
        <x:f>'Historical prices'!D5626</x:f>
        <x:v>0.4044</x:v>
      </x:c>
      <x:c r="J5626" s="13" t="n">
        <x:f>D5626*I5626*H5626</x:f>
        <x:v>0</x:v>
      </x:c>
      <x:c r="K5626" s="13" t="n">
        <x:f>E5626*I5626*H5626</x:f>
        <x:v>0.286370805</x:v>
      </x:c>
      <x:c r="L5626" s="1" t="str">
        <x:f>TEXT(A5626,"mmm yyyy")</x:f>
        <x:v>Aug 2026</x:v>
      </x:c>
    </x:row>
    <x:row r="5627" ht="21" customHeight="1">
      <x:c r="A5627" s="10" t="n">
        <x:v>46265</x:v>
      </x:c>
      <x:c r="B5627" s="1" t="n">
        <x:v>17.5</x:v>
      </x:c>
      <x:c r="C5627" s="1" t="n">
        <x:v>6</x:v>
      </x:c>
      <x:c r="D5627" s="12" t="n">
        <x:v>0</x:v>
      </x:c>
      <x:c r="E5627" s="12" t="n">
        <x:v>0.9560000000000001</x:v>
      </x:c>
      <x:c r="F5627" s="12" t="n">
        <x:v>0.9555833333333335</x:v>
      </x:c>
      <x:c r="G5627" s="12" t="n">
        <x:v>0</x:v>
      </x:c>
      <x:c r="H5627" s="1" t="n">
        <x:f>'Historical prices'!E5627</x:f>
        <x:v>1.05</x:v>
      </x:c>
      <x:c r="I5627" s="6" t="n">
        <x:f>'Historical prices'!D5627</x:f>
        <x:v>0.4216</x:v>
      </x:c>
      <x:c r="J5627" s="13" t="n">
        <x:f>D5627*I5627*H5627</x:f>
        <x:v>0</x:v>
      </x:c>
      <x:c r="K5627" s="13" t="n">
        <x:f>E5627*I5627*H5627</x:f>
        <x:v>0.42320208000000004</x:v>
      </x:c>
      <x:c r="L5627" s="1" t="str">
        <x:f>TEXT(A5627,"mmm yyyy")</x:f>
        <x:v>Aug 2026</x:v>
      </x:c>
    </x:row>
    <x:row r="5628" ht="21" customHeight="1">
      <x:c r="A5628" s="10" t="n">
        <x:v>46265</x:v>
      </x:c>
      <x:c r="B5628" s="1" t="n">
        <x:v>18</x:v>
      </x:c>
      <x:c r="C5628" s="1" t="n">
        <x:v>6</x:v>
      </x:c>
      <x:c r="D5628" s="12" t="n">
        <x:v>0</x:v>
      </x:c>
      <x:c r="E5628" s="12" t="n">
        <x:v>0.6745833333333333</x:v>
      </x:c>
      <x:c r="F5628" s="12" t="n">
        <x:v>0.6739166666666666</x:v>
      </x:c>
      <x:c r="G5628" s="12" t="n">
        <x:v>0</x:v>
      </x:c>
      <x:c r="H5628" s="1" t="n">
        <x:f>'Historical prices'!E5628</x:f>
        <x:v>1.05</x:v>
      </x:c>
      <x:c r="I5628" s="6" t="n">
        <x:f>'Historical prices'!D5628</x:f>
        <x:v>0.4241</x:v>
      </x:c>
      <x:c r="J5628" s="13" t="n">
        <x:f>D5628*I5628*H5628</x:f>
        <x:v>0</x:v>
      </x:c>
      <x:c r="K5628" s="13" t="n">
        <x:f>E5628*I5628*H5628</x:f>
        <x:v>0.30039533124999995</x:v>
      </x:c>
      <x:c r="L5628" s="1" t="str">
        <x:f>TEXT(A5628,"mmm yyyy")</x:f>
        <x:v>Aug 2026</x:v>
      </x:c>
    </x:row>
    <x:row r="5629" ht="21" customHeight="1">
      <x:c r="A5629" s="10" t="n">
        <x:v>46265</x:v>
      </x:c>
      <x:c r="B5629" s="1" t="n">
        <x:v>18.5</x:v>
      </x:c>
      <x:c r="C5629" s="1" t="n">
        <x:v>6</x:v>
      </x:c>
      <x:c r="D5629" s="12" t="n">
        <x:v>0</x:v>
      </x:c>
      <x:c r="E5629" s="12" t="n">
        <x:v>0.5565833333333333</x:v>
      </x:c>
      <x:c r="F5629" s="12" t="n">
        <x:v>0.5563333333333332</x:v>
      </x:c>
      <x:c r="G5629" s="12" t="n">
        <x:v>0</x:v>
      </x:c>
      <x:c r="H5629" s="1" t="n">
        <x:f>'Historical prices'!E5629</x:f>
        <x:v>1.05</x:v>
      </x:c>
      <x:c r="I5629" s="6" t="n">
        <x:f>'Historical prices'!D5629</x:f>
        <x:v>0.4203</x:v>
      </x:c>
      <x:c r="J5629" s="13" t="n">
        <x:f>D5629*I5629*H5629</x:f>
        <x:v>0</x:v>
      </x:c>
      <x:c r="K5629" s="13" t="n">
        <x:f>E5629*I5629*H5629</x:f>
        <x:v>0.24562857375</x:v>
      </x:c>
      <x:c r="L5629" s="1" t="str">
        <x:f>TEXT(A5629,"mmm yyyy")</x:f>
        <x:v>Aug 2026</x:v>
      </x:c>
    </x:row>
    <x:row r="5630" ht="21" customHeight="1">
      <x:c r="A5630" s="10" t="n">
        <x:v>46265</x:v>
      </x:c>
      <x:c r="B5630" s="1" t="n">
        <x:v>19</x:v>
      </x:c>
      <x:c r="C5630" s="1" t="n">
        <x:v>6</x:v>
      </x:c>
      <x:c r="D5630" s="12" t="n">
        <x:v>0</x:v>
      </x:c>
      <x:c r="E5630" s="12" t="n">
        <x:v>0.596</x:v>
      </x:c>
      <x:c r="F5630" s="12" t="n">
        <x:v>0.5955833333333334</x:v>
      </x:c>
      <x:c r="G5630" s="12" t="n">
        <x:v>0</x:v>
      </x:c>
      <x:c r="H5630" s="1" t="n">
        <x:f>'Historical prices'!E5630</x:f>
        <x:v>1.05</x:v>
      </x:c>
      <x:c r="I5630" s="6" t="n">
        <x:f>'Historical prices'!D5630</x:f>
        <x:v>0.3231</x:v>
      </x:c>
      <x:c r="J5630" s="13" t="n">
        <x:f>D5630*I5630*H5630</x:f>
        <x:v>0</x:v>
      </x:c>
      <x:c r="K5630" s="13" t="n">
        <x:f>E5630*I5630*H5630</x:f>
        <x:v>0.20219598</x:v>
      </x:c>
      <x:c r="L5630" s="1" t="str">
        <x:f>TEXT(A5630,"mmm yyyy")</x:f>
        <x:v>Aug 2026</x:v>
      </x:c>
    </x:row>
    <x:row r="5631" ht="21" customHeight="1">
      <x:c r="A5631" s="10" t="n">
        <x:v>46265</x:v>
      </x:c>
      <x:c r="B5631" s="1" t="n">
        <x:v>19.5</x:v>
      </x:c>
      <x:c r="C5631" s="1" t="n">
        <x:v>6</x:v>
      </x:c>
      <x:c r="D5631" s="12" t="n">
        <x:v>0</x:v>
      </x:c>
      <x:c r="E5631" s="12" t="n">
        <x:v>0.8828333333333332</x:v>
      </x:c>
      <x:c r="F5631" s="12" t="n">
        <x:v>0.8825</x:v>
      </x:c>
      <x:c r="G5631" s="12" t="n">
        <x:v>0</x:v>
      </x:c>
      <x:c r="H5631" s="1" t="n">
        <x:f>'Historical prices'!E5631</x:f>
        <x:v>1.05</x:v>
      </x:c>
      <x:c r="I5631" s="6" t="n">
        <x:f>'Historical prices'!D5631</x:f>
        <x:v>0.34090000000000004</x:v>
      </x:c>
      <x:c r="J5631" s="13" t="n">
        <x:f>D5631*I5631*H5631</x:f>
        <x:v>0</x:v>
      </x:c>
      <x:c r="K5631" s="13" t="n">
        <x:f>E5631*I5631*H5631</x:f>
        <x:v>0.31600577750000003</x:v>
      </x:c>
      <x:c r="L5631" s="1" t="str">
        <x:f>TEXT(A5631,"mmm yyyy")</x:f>
        <x:v>Aug 2026</x:v>
      </x:c>
    </x:row>
    <x:row r="5632" ht="21" customHeight="1">
      <x:c r="A5632" s="10" t="n">
        <x:v>46265</x:v>
      </x:c>
      <x:c r="B5632" s="1" t="n">
        <x:v>20</x:v>
      </x:c>
      <x:c r="C5632" s="1" t="n">
        <x:v>6</x:v>
      </x:c>
      <x:c r="D5632" s="12" t="n">
        <x:v>0</x:v>
      </x:c>
      <x:c r="E5632" s="12" t="n">
        <x:v>0.4931666666666666</x:v>
      </x:c>
      <x:c r="F5632" s="12" t="n">
        <x:v>0.4926666666666666</x:v>
      </x:c>
      <x:c r="G5632" s="12" t="n">
        <x:v>0</x:v>
      </x:c>
      <x:c r="H5632" s="1" t="n">
        <x:f>'Historical prices'!E5632</x:f>
        <x:v>1.05</x:v>
      </x:c>
      <x:c r="I5632" s="6" t="n">
        <x:f>'Historical prices'!D5632</x:f>
        <x:v>0.2984</x:v>
      </x:c>
      <x:c r="J5632" s="13" t="n">
        <x:f>D5632*I5632*H5632</x:f>
        <x:v>0</x:v>
      </x:c>
      <x:c r="K5632" s="13" t="n">
        <x:f>E5632*I5632*H5632</x:f>
        <x:v>0.15451897999999997</x:v>
      </x:c>
      <x:c r="L5632" s="1" t="str">
        <x:f>TEXT(A5632,"mmm yyyy")</x:f>
        <x:v>Aug 2026</x:v>
      </x:c>
    </x:row>
    <x:row r="5633" ht="21" customHeight="1">
      <x:c r="A5633" s="10" t="n">
        <x:v>46265</x:v>
      </x:c>
      <x:c r="B5633" s="1" t="n">
        <x:v>20.5</x:v>
      </x:c>
      <x:c r="C5633" s="1" t="n">
        <x:v>6</x:v>
      </x:c>
      <x:c r="D5633" s="12" t="n">
        <x:v>0</x:v>
      </x:c>
      <x:c r="E5633" s="12" t="n">
        <x:v>0.7311666666666666</x:v>
      </x:c>
      <x:c r="F5633" s="12" t="n">
        <x:v>0.7306666666666667</x:v>
      </x:c>
      <x:c r="G5633" s="12" t="n">
        <x:v>0</x:v>
      </x:c>
      <x:c r="H5633" s="1" t="n">
        <x:f>'Historical prices'!E5633</x:f>
        <x:v>1.05</x:v>
      </x:c>
      <x:c r="I5633" s="6" t="n">
        <x:f>'Historical prices'!D5633</x:f>
        <x:v>0.3059</x:v>
      </x:c>
      <x:c r="J5633" s="13" t="n">
        <x:f>D5633*I5633*H5633</x:f>
        <x:v>0</x:v>
      </x:c>
      <x:c r="K5633" s="13" t="n">
        <x:f>E5633*I5633*H5633</x:f>
        <x:v>0.2348470775</x:v>
      </x:c>
      <x:c r="L5633" s="1" t="str">
        <x:f>TEXT(A5633,"mmm yyyy")</x:f>
        <x:v>Aug 2026</x:v>
      </x:c>
    </x:row>
    <x:row r="5634" ht="21" customHeight="1">
      <x:c r="A5634" s="10" t="n">
        <x:v>46265</x:v>
      </x:c>
      <x:c r="B5634" s="1" t="n">
        <x:v>21</x:v>
      </x:c>
      <x:c r="C5634" s="1" t="n">
        <x:v>6</x:v>
      </x:c>
      <x:c r="D5634" s="12" t="n">
        <x:v>0</x:v>
      </x:c>
      <x:c r="E5634" s="12" t="n">
        <x:v>0.8229166666666666</x:v>
      </x:c>
      <x:c r="F5634" s="12" t="n">
        <x:v>0.8225</x:v>
      </x:c>
      <x:c r="G5634" s="12" t="n">
        <x:v>0</x:v>
      </x:c>
      <x:c r="H5634" s="1" t="n">
        <x:f>'Historical prices'!E5634</x:f>
        <x:v>1.05</x:v>
      </x:c>
      <x:c r="I5634" s="6" t="n">
        <x:f>'Historical prices'!D5634</x:f>
        <x:v>0.2889</x:v>
      </x:c>
      <x:c r="J5634" s="13" t="n">
        <x:f>D5634*I5634*H5634</x:f>
        <x:v>0</x:v>
      </x:c>
      <x:c r="K5634" s="13" t="n">
        <x:f>E5634*I5634*H5634</x:f>
        <x:v>0.24962765625</x:v>
      </x:c>
      <x:c r="L5634" s="1" t="str">
        <x:f>TEXT(A5634,"mmm yyyy")</x:f>
        <x:v>Aug 2026</x:v>
      </x:c>
    </x:row>
    <x:row r="5635" ht="21" customHeight="1">
      <x:c r="A5635" s="10" t="n">
        <x:v>46265</x:v>
      </x:c>
      <x:c r="B5635" s="1" t="n">
        <x:v>21.5</x:v>
      </x:c>
      <x:c r="C5635" s="1" t="n">
        <x:v>6</x:v>
      </x:c>
      <x:c r="D5635" s="12" t="n">
        <x:v>0</x:v>
      </x:c>
      <x:c r="E5635" s="12" t="n">
        <x:v>0.7969166666666667</x:v>
      </x:c>
      <x:c r="F5635" s="12" t="n">
        <x:v>0.7966666666666667</x:v>
      </x:c>
      <x:c r="G5635" s="12" t="n">
        <x:v>0</x:v>
      </x:c>
      <x:c r="H5635" s="1" t="n">
        <x:f>'Historical prices'!E5635</x:f>
        <x:v>1.05</x:v>
      </x:c>
      <x:c r="I5635" s="6" t="n">
        <x:f>'Historical prices'!D5635</x:f>
        <x:v>0.2808</x:v>
      </x:c>
      <x:c r="J5635" s="13" t="n">
        <x:f>D5635*I5635*H5635</x:f>
        <x:v>0</x:v>
      </x:c>
      <x:c r="K5635" s="13" t="n">
        <x:f>E5635*I5635*H5635</x:f>
        <x:v>0.23496291000000002</x:v>
      </x:c>
      <x:c r="L5635" s="1" t="str">
        <x:f>TEXT(A5635,"mmm yyyy")</x:f>
        <x:v>Aug 2026</x:v>
      </x:c>
    </x:row>
    <x:row r="5636" ht="21" customHeight="1">
      <x:c r="A5636" s="10" t="n">
        <x:v>46265</x:v>
      </x:c>
      <x:c r="B5636" s="1" t="n">
        <x:v>22</x:v>
      </x:c>
      <x:c r="C5636" s="1" t="n">
        <x:v>6</x:v>
      </x:c>
      <x:c r="D5636" s="12" t="n">
        <x:v>0</x:v>
      </x:c>
      <x:c r="E5636" s="12" t="n">
        <x:v>0.5089166666666667</x:v>
      </x:c>
      <x:c r="F5636" s="12" t="n">
        <x:v>0.5085000000000001</x:v>
      </x:c>
      <x:c r="G5636" s="12" t="n">
        <x:v>0</x:v>
      </x:c>
      <x:c r="H5636" s="1" t="n">
        <x:f>'Historical prices'!E5636</x:f>
        <x:v>1.05</x:v>
      </x:c>
      <x:c r="I5636" s="6" t="n">
        <x:f>'Historical prices'!D5636</x:f>
        <x:v>0.2801</x:v>
      </x:c>
      <x:c r="J5636" s="13" t="n">
        <x:f>D5636*I5636*H5636</x:f>
        <x:v>0</x:v>
      </x:c>
      <x:c r="K5636" s="13" t="n">
        <x:f>E5636*I5636*H5636</x:f>
        <x:v>0.14967493625000003</x:v>
      </x:c>
      <x:c r="L5636" s="1" t="str">
        <x:f>TEXT(A5636,"mmm yyyy")</x:f>
        <x:v>Aug 2026</x:v>
      </x:c>
    </x:row>
    <x:row r="5637" ht="21" customHeight="1">
      <x:c r="A5637" s="10" t="n">
        <x:v>46265</x:v>
      </x:c>
      <x:c r="B5637" s="1" t="n">
        <x:v>22.5</x:v>
      </x:c>
      <x:c r="C5637" s="1" t="n">
        <x:v>6</x:v>
      </x:c>
      <x:c r="D5637" s="12" t="n">
        <x:v>0.011666666666666667</x:v>
      </x:c>
      <x:c r="E5637" s="12" t="n">
        <x:v>0.38774999999999993</x:v>
      </x:c>
      <x:c r="F5637" s="12" t="n">
        <x:v>0.37566666666666665</x:v>
      </x:c>
      <x:c r="G5637" s="12" t="n">
        <x:v>0</x:v>
      </x:c>
      <x:c r="H5637" s="1" t="n">
        <x:f>'Historical prices'!E5637</x:f>
        <x:v>1.05</x:v>
      </x:c>
      <x:c r="I5637" s="6" t="n">
        <x:f>'Historical prices'!D5637</x:f>
        <x:v>0.2528</x:v>
      </x:c>
      <x:c r="J5637" s="13" t="n">
        <x:f>D5637*I5637*H5637</x:f>
        <x:v>0.0030968000000000007</x:v>
      </x:c>
      <x:c r="K5637" s="13" t="n">
        <x:f>E5637*I5637*H5637</x:f>
        <x:v>0.10292435999999999</x:v>
      </x:c>
      <x:c r="L5637" s="1" t="str">
        <x:f>TEXT(A5637,"mmm yyyy")</x:f>
        <x:v>Aug 2026</x:v>
      </x:c>
    </x:row>
    <x:row r="5638" ht="21" customHeight="1">
      <x:c r="A5638" s="10" t="n">
        <x:v>46265</x:v>
      </x:c>
      <x:c r="B5638" s="1" t="n">
        <x:v>23</x:v>
      </x:c>
      <x:c r="C5638" s="1" t="n">
        <x:v>6</x:v>
      </x:c>
      <x:c r="D5638" s="12" t="n">
        <x:v>0</x:v>
      </x:c>
      <x:c r="E5638" s="12" t="n">
        <x:v>0.3344166666666667</x:v>
      </x:c>
      <x:c r="F5638" s="12" t="n">
        <x:v>0.33358333333333334</x:v>
      </x:c>
      <x:c r="G5638" s="12" t="n">
        <x:v>0</x:v>
      </x:c>
      <x:c r="H5638" s="1" t="n">
        <x:f>'Historical prices'!E5638</x:f>
        <x:v>1.05</x:v>
      </x:c>
      <x:c r="I5638" s="6" t="n">
        <x:f>'Historical prices'!D5638</x:f>
        <x:v>0.2648</x:v>
      </x:c>
      <x:c r="J5638" s="13" t="n">
        <x:f>D5638*I5638*H5638</x:f>
        <x:v>0</x:v>
      </x:c>
      <x:c r="K5638" s="13" t="n">
        <x:f>E5638*I5638*H5638</x:f>
        <x:v>0.09298121000000001</x:v>
      </x:c>
      <x:c r="L5638" s="1" t="str">
        <x:f>TEXT(A5638,"mmm yyyy")</x:f>
        <x:v>Aug 2026</x:v>
      </x:c>
    </x:row>
    <x:row r="5639" ht="21" customHeight="1">
      <x:c r="A5639" s="10" t="n">
        <x:v>46265</x:v>
      </x:c>
      <x:c r="B5639" s="1" t="n">
        <x:v>23.5</x:v>
      </x:c>
      <x:c r="C5639" s="1" t="n">
        <x:v>6</x:v>
      </x:c>
      <x:c r="D5639" s="12" t="n">
        <x:v>0</x:v>
      </x:c>
      <x:c r="E5639" s="12" t="n">
        <x:v>0.3675833333333333</x:v>
      </x:c>
      <x:c r="F5639" s="12" t="n">
        <x:v>0.36733333333333335</x:v>
      </x:c>
      <x:c r="G5639" s="12" t="n">
        <x:v>0</x:v>
      </x:c>
      <x:c r="H5639" s="1" t="n">
        <x:f>'Historical prices'!E5639</x:f>
        <x:v>1.05</x:v>
      </x:c>
      <x:c r="I5639" s="6" t="n">
        <x:f>'Historical prices'!D5639</x:f>
        <x:v>0.26899999999999996</x:v>
      </x:c>
      <x:c r="J5639" s="13" t="n">
        <x:f>D5639*I5639*H5639</x:f>
        <x:v>0</x:v>
      </x:c>
      <x:c r="K5639" s="13" t="n">
        <x:f>E5639*I5639*H5639</x:f>
        <x:v>0.10382391249999999</x:v>
      </x:c>
      <x:c r="L5639" s="1" t="str">
        <x:f>TEXT(A5639,"mmm yyyy")</x:f>
        <x:v>Aug 2026</x:v>
      </x:c>
    </x:row>
    <x:row r="5640" ht="21" customHeight="1">
      <x:c r="A5640" s="10" t="n">
        <x:v>46266</x:v>
      </x:c>
      <x:c r="B5640" s="1" t="n">
        <x:v>0</x:v>
      </x:c>
      <x:c r="C5640" s="1" t="n">
        <x:v>6</x:v>
      </x:c>
      <x:c r="D5640" s="12" t="n">
        <x:v>0.03883333333333333</x:v>
      </x:c>
      <x:c r="E5640" s="12" t="n">
        <x:v>0.37725000000000003</x:v>
      </x:c>
      <x:c r="F5640" s="12" t="n">
        <x:v>0.33791666666666664</x:v>
      </x:c>
      <x:c r="G5640" s="12" t="n">
        <x:v>0</x:v>
      </x:c>
      <x:c r="H5640" s="1" t="n">
        <x:f>'Historical prices'!E5640</x:f>
        <x:v>1.05</x:v>
      </x:c>
      <x:c r="I5640" s="6" t="n">
        <x:f>'Historical prices'!D5640</x:f>
        <x:v>0.268</x:v>
      </x:c>
      <x:c r="J5640" s="13" t="n">
        <x:f>D5640*I5640*H5640</x:f>
        <x:v>0.0109277</x:v>
      </x:c>
      <x:c r="K5640" s="13" t="n">
        <x:f>E5640*I5640*H5640</x:f>
        <x:v>0.10615815000000002</x:v>
      </x:c>
      <x:c r="L5640" s="1" t="str">
        <x:f>TEXT(A5640,"mmm yyyy")</x:f>
        <x:v>Sep 2026</x:v>
      </x:c>
    </x:row>
    <x:row r="5641" ht="21" customHeight="1">
      <x:c r="A5641" s="10" t="n">
        <x:v>46266</x:v>
      </x:c>
      <x:c r="B5641" s="1" t="n">
        <x:v>0.5</x:v>
      </x:c>
      <x:c r="C5641" s="1" t="n">
        <x:v>6</x:v>
      </x:c>
      <x:c r="D5641" s="12" t="n">
        <x:v>0</x:v>
      </x:c>
      <x:c r="E5641" s="12" t="n">
        <x:v>0.31758333333333333</x:v>
      </x:c>
      <x:c r="F5641" s="12" t="n">
        <x:v>0.31733333333333336</x:v>
      </x:c>
      <x:c r="G5641" s="12" t="n">
        <x:v>0</x:v>
      </x:c>
      <x:c r="H5641" s="1" t="n">
        <x:f>'Historical prices'!E5641</x:f>
        <x:v>1.05</x:v>
      </x:c>
      <x:c r="I5641" s="6" t="n">
        <x:f>'Historical prices'!D5641</x:f>
        <x:v>0.2675</x:v>
      </x:c>
      <x:c r="J5641" s="13" t="n">
        <x:f>D5641*I5641*H5641</x:f>
        <x:v>0</x:v>
      </x:c>
      <x:c r="K5641" s="13" t="n">
        <x:f>E5641*I5641*H5641</x:f>
        <x:v>0.08920121875</x:v>
      </x:c>
      <x:c r="L5641" s="1" t="str">
        <x:f>TEXT(A5641,"mmm yyyy")</x:f>
        <x:v>Sep 2026</x:v>
      </x:c>
    </x:row>
    <x:row r="5642" ht="21" customHeight="1">
      <x:c r="A5642" s="10" t="n">
        <x:v>46266</x:v>
      </x:c>
      <x:c r="B5642" s="1" t="n">
        <x:v>1</x:v>
      </x:c>
      <x:c r="C5642" s="1" t="n">
        <x:v>6</x:v>
      </x:c>
      <x:c r="D5642" s="12" t="n">
        <x:v>0</x:v>
      </x:c>
      <x:c r="E5642" s="12" t="n">
        <x:v>0.3065</x:v>
      </x:c>
      <x:c r="F5642" s="12" t="n">
        <x:v>0.3058333333333333</x:v>
      </x:c>
      <x:c r="G5642" s="12" t="n">
        <x:v>0</x:v>
      </x:c>
      <x:c r="H5642" s="1" t="n">
        <x:f>'Historical prices'!E5642</x:f>
        <x:v>1.05</x:v>
      </x:c>
      <x:c r="I5642" s="6" t="n">
        <x:f>'Historical prices'!D5642</x:f>
        <x:v>0.24710000000000001</x:v>
      </x:c>
      <x:c r="J5642" s="13" t="n">
        <x:f>D5642*I5642*H5642</x:f>
        <x:v>0</x:v>
      </x:c>
      <x:c r="K5642" s="13" t="n">
        <x:f>E5642*I5642*H5642</x:f>
        <x:v>0.0795229575</x:v>
      </x:c>
      <x:c r="L5642" s="1" t="str">
        <x:f>TEXT(A5642,"mmm yyyy")</x:f>
        <x:v>Sep 2026</x:v>
      </x:c>
    </x:row>
    <x:row r="5643" ht="21" customHeight="1">
      <x:c r="A5643" s="10" t="n">
        <x:v>46266</x:v>
      </x:c>
      <x:c r="B5643" s="1" t="n">
        <x:v>1.5</x:v>
      </x:c>
      <x:c r="C5643" s="1" t="n">
        <x:v>6</x:v>
      </x:c>
      <x:c r="D5643" s="12" t="n">
        <x:v>0</x:v>
      </x:c>
      <x:c r="E5643" s="12" t="n">
        <x:v>0.363</x:v>
      </x:c>
      <x:c r="F5643" s="12" t="n">
        <x:v>0.3625</x:v>
      </x:c>
      <x:c r="G5643" s="12" t="n">
        <x:v>0</x:v>
      </x:c>
      <x:c r="H5643" s="1" t="n">
        <x:f>'Historical prices'!E5643</x:f>
        <x:v>1.05</x:v>
      </x:c>
      <x:c r="I5643" s="6" t="n">
        <x:f>'Historical prices'!D5643</x:f>
        <x:v>0.2421</x:v>
      </x:c>
      <x:c r="J5643" s="13" t="n">
        <x:f>D5643*I5643*H5643</x:f>
        <x:v>0</x:v>
      </x:c>
      <x:c r="K5643" s="13" t="n">
        <x:f>E5643*I5643*H5643</x:f>
        <x:v>0.092276415</x:v>
      </x:c>
      <x:c r="L5643" s="1" t="str">
        <x:f>TEXT(A5643,"mmm yyyy")</x:f>
        <x:v>Sep 2026</x:v>
      </x:c>
    </x:row>
    <x:row r="5644" ht="21" customHeight="1">
      <x:c r="A5644" s="10" t="n">
        <x:v>46266</x:v>
      </x:c>
      <x:c r="B5644" s="1" t="n">
        <x:v>2</x:v>
      </x:c>
      <x:c r="C5644" s="1" t="n">
        <x:v>6</x:v>
      </x:c>
      <x:c r="D5644" s="12" t="n">
        <x:v>0</x:v>
      </x:c>
      <x:c r="E5644" s="12" t="n">
        <x:v>0.3969166666666667</x:v>
      </x:c>
      <x:c r="F5644" s="12" t="n">
        <x:v>0.3965833333333334</x:v>
      </x:c>
      <x:c r="G5644" s="12" t="n">
        <x:v>0</x:v>
      </x:c>
      <x:c r="H5644" s="1" t="n">
        <x:f>'Historical prices'!E5644</x:f>
        <x:v>1.05</x:v>
      </x:c>
      <x:c r="I5644" s="6" t="n">
        <x:f>'Historical prices'!D5644</x:f>
        <x:v>0.2427</x:v>
      </x:c>
      <x:c r="J5644" s="13" t="n">
        <x:f>D5644*I5644*H5644</x:f>
        <x:v>0</x:v>
      </x:c>
      <x:c r="K5644" s="13" t="n">
        <x:f>E5644*I5644*H5644</x:f>
        <x:v>0.10114825875000001</x:v>
      </x:c>
      <x:c r="L5644" s="1" t="str">
        <x:f>TEXT(A5644,"mmm yyyy")</x:f>
        <x:v>Sep 2026</x:v>
      </x:c>
    </x:row>
    <x:row r="5645" ht="21" customHeight="1">
      <x:c r="A5645" s="10" t="n">
        <x:v>46266</x:v>
      </x:c>
      <x:c r="B5645" s="1" t="n">
        <x:v>2.5</x:v>
      </x:c>
      <x:c r="C5645" s="1" t="n">
        <x:v>6</x:v>
      </x:c>
      <x:c r="D5645" s="12" t="n">
        <x:v>0</x:v>
      </x:c>
      <x:c r="E5645" s="12" t="n">
        <x:v>0.3951666666666666</x:v>
      </x:c>
      <x:c r="F5645" s="12" t="n">
        <x:v>0.3945833333333333</x:v>
      </x:c>
      <x:c r="G5645" s="12" t="n">
        <x:v>0</x:v>
      </x:c>
      <x:c r="H5645" s="1" t="n">
        <x:f>'Historical prices'!E5645</x:f>
        <x:v>1.05</x:v>
      </x:c>
      <x:c r="I5645" s="6" t="n">
        <x:f>'Historical prices'!D5645</x:f>
        <x:v>0.24170000000000003</x:v>
      </x:c>
      <x:c r="J5645" s="13" t="n">
        <x:f>D5645*I5645*H5645</x:f>
        <x:v>0</x:v>
      </x:c>
      <x:c r="K5645" s="13" t="n">
        <x:f>E5645*I5645*H5645</x:f>
        <x:v>0.10028737250000001</x:v>
      </x:c>
      <x:c r="L5645" s="1" t="str">
        <x:f>TEXT(A5645,"mmm yyyy")</x:f>
        <x:v>Sep 2026</x:v>
      </x:c>
    </x:row>
    <x:row r="5646" ht="21" customHeight="1">
      <x:c r="A5646" s="10" t="n">
        <x:v>46266</x:v>
      </x:c>
      <x:c r="B5646" s="1" t="n">
        <x:v>3</x:v>
      </x:c>
      <x:c r="C5646" s="1" t="n">
        <x:v>6</x:v>
      </x:c>
      <x:c r="D5646" s="12" t="n">
        <x:v>0</x:v>
      </x:c>
      <x:c r="E5646" s="12" t="n">
        <x:v>0.36691666666666667</x:v>
      </x:c>
      <x:c r="F5646" s="12" t="n">
        <x:v>0.3664166666666666</x:v>
      </x:c>
      <x:c r="G5646" s="12" t="n">
        <x:v>0</x:v>
      </x:c>
      <x:c r="H5646" s="1" t="n">
        <x:f>'Historical prices'!E5646</x:f>
        <x:v>1.05</x:v>
      </x:c>
      <x:c r="I5646" s="6" t="n">
        <x:f>'Historical prices'!D5646</x:f>
        <x:v>0.2389</x:v>
      </x:c>
      <x:c r="J5646" s="13" t="n">
        <x:f>D5646*I5646*H5646</x:f>
        <x:v>0</x:v>
      </x:c>
      <x:c r="K5646" s="13" t="n">
        <x:f>E5646*I5646*H5646</x:f>
        <x:v>0.09203921125</x:v>
      </x:c>
      <x:c r="L5646" s="1" t="str">
        <x:f>TEXT(A5646,"mmm yyyy")</x:f>
        <x:v>Sep 2026</x:v>
      </x:c>
    </x:row>
    <x:row r="5647" ht="21" customHeight="1">
      <x:c r="A5647" s="10" t="n">
        <x:v>46266</x:v>
      </x:c>
      <x:c r="B5647" s="1" t="n">
        <x:v>3.5</x:v>
      </x:c>
      <x:c r="C5647" s="1" t="n">
        <x:v>6</x:v>
      </x:c>
      <x:c r="D5647" s="12" t="n">
        <x:v>0</x:v>
      </x:c>
      <x:c r="E5647" s="12" t="n">
        <x:v>0.3291666666666666</x:v>
      </x:c>
      <x:c r="F5647" s="12" t="n">
        <x:v>0.32849999999999996</x:v>
      </x:c>
      <x:c r="G5647" s="12" t="n">
        <x:v>0</x:v>
      </x:c>
      <x:c r="H5647" s="1" t="n">
        <x:f>'Historical prices'!E5647</x:f>
        <x:v>1.05</x:v>
      </x:c>
      <x:c r="I5647" s="6" t="n">
        <x:f>'Historical prices'!D5647</x:f>
        <x:v>0.23120000000000002</x:v>
      </x:c>
      <x:c r="J5647" s="13" t="n">
        <x:f>D5647*I5647*H5647</x:f>
        <x:v>0</x:v>
      </x:c>
      <x:c r="K5647" s="13" t="n">
        <x:f>E5647*I5647*H5647</x:f>
        <x:v>0.0799085</x:v>
      </x:c>
      <x:c r="L5647" s="1" t="str">
        <x:f>TEXT(A5647,"mmm yyyy")</x:f>
        <x:v>Sep 2026</x:v>
      </x:c>
    </x:row>
    <x:row r="5648" ht="21" customHeight="1">
      <x:c r="A5648" s="10" t="n">
        <x:v>46266</x:v>
      </x:c>
      <x:c r="B5648" s="1" t="n">
        <x:v>4</x:v>
      </x:c>
      <x:c r="C5648" s="1" t="n">
        <x:v>6</x:v>
      </x:c>
      <x:c r="D5648" s="12" t="n">
        <x:v>0.07266666666666667</x:v>
      </x:c>
      <x:c r="E5648" s="12" t="n">
        <x:v>0.30900000000000005</x:v>
      </x:c>
      <x:c r="F5648" s="12" t="n">
        <x:v>0.22874999999999998</x:v>
      </x:c>
      <x:c r="G5648" s="12" t="n">
        <x:v>0</x:v>
      </x:c>
      <x:c r="H5648" s="1" t="n">
        <x:f>'Historical prices'!E5648</x:f>
        <x:v>1.05</x:v>
      </x:c>
      <x:c r="I5648" s="6" t="n">
        <x:f>'Historical prices'!D5648</x:f>
        <x:v>0.2541</x:v>
      </x:c>
      <x:c r="J5648" s="13" t="n">
        <x:f>D5648*I5648*H5648</x:f>
        <x:v>0.01938783</x:v>
      </x:c>
      <x:c r="K5648" s="13" t="n">
        <x:f>E5648*I5648*H5648</x:f>
        <x:v>0.08244274500000003</x:v>
      </x:c>
      <x:c r="L5648" s="1" t="str">
        <x:f>TEXT(A5648,"mmm yyyy")</x:f>
        <x:v>Sep 2026</x:v>
      </x:c>
    </x:row>
    <x:row r="5649" ht="21" customHeight="1">
      <x:c r="A5649" s="10" t="n">
        <x:v>46266</x:v>
      </x:c>
      <x:c r="B5649" s="1" t="n">
        <x:v>4.5</x:v>
      </x:c>
      <x:c r="C5649" s="1" t="n">
        <x:v>6</x:v>
      </x:c>
      <x:c r="D5649" s="12" t="n">
        <x:v>0.16441666666666666</x:v>
      </x:c>
      <x:c r="E5649" s="12" t="n">
        <x:v>0.3744166666666667</x:v>
      </x:c>
      <x:c r="F5649" s="12" t="n">
        <x:v>0.21000000000000002</x:v>
      </x:c>
      <x:c r="G5649" s="12" t="n">
        <x:v>0</x:v>
      </x:c>
      <x:c r="H5649" s="1" t="n">
        <x:f>'Historical prices'!E5649</x:f>
        <x:v>1.05</x:v>
      </x:c>
      <x:c r="I5649" s="6" t="n">
        <x:f>'Historical prices'!D5649</x:f>
        <x:v>0.2526</x:v>
      </x:c>
      <x:c r="J5649" s="13" t="n">
        <x:f>D5649*I5649*H5649</x:f>
        <x:v>0.043608232499999997</x:v>
      </x:c>
      <x:c r="K5649" s="13" t="n">
        <x:f>E5649*I5649*H5649</x:f>
        <x:v>0.0993065325</x:v>
      </x:c>
      <x:c r="L5649" s="1" t="str">
        <x:f>TEXT(A5649,"mmm yyyy")</x:f>
        <x:v>Sep 2026</x:v>
      </x:c>
    </x:row>
    <x:row r="5650" ht="21" customHeight="1">
      <x:c r="A5650" s="10" t="n">
        <x:v>46266</x:v>
      </x:c>
      <x:c r="B5650" s="1" t="n">
        <x:v>5</x:v>
      </x:c>
      <x:c r="C5650" s="1" t="n">
        <x:v>6</x:v>
      </x:c>
      <x:c r="D5650" s="12" t="n">
        <x:v>0</x:v>
      </x:c>
      <x:c r="E5650" s="12" t="n">
        <x:v>0.3525</x:v>
      </x:c>
      <x:c r="F5650" s="12" t="n">
        <x:v>0.3516666666666667</x:v>
      </x:c>
      <x:c r="G5650" s="12" t="n">
        <x:v>0</x:v>
      </x:c>
      <x:c r="H5650" s="1" t="n">
        <x:f>'Historical prices'!E5650</x:f>
        <x:v>1.05</x:v>
      </x:c>
      <x:c r="I5650" s="6" t="n">
        <x:f>'Historical prices'!D5650</x:f>
        <x:v>0.3109</x:v>
      </x:c>
      <x:c r="J5650" s="13" t="n">
        <x:f>D5650*I5650*H5650</x:f>
        <x:v>0</x:v>
      </x:c>
      <x:c r="K5650" s="13" t="n">
        <x:f>E5650*I5650*H5650</x:f>
        <x:v>0.11507186250000001</x:v>
      </x:c>
      <x:c r="L5650" s="1" t="str">
        <x:f>TEXT(A5650,"mmm yyyy")</x:f>
        <x:v>Sep 2026</x:v>
      </x:c>
    </x:row>
    <x:row r="5651" ht="21" customHeight="1">
      <x:c r="A5651" s="10" t="n">
        <x:v>46266</x:v>
      </x:c>
      <x:c r="B5651" s="1" t="n">
        <x:v>5.5</x:v>
      </x:c>
      <x:c r="C5651" s="1" t="n">
        <x:v>6</x:v>
      </x:c>
      <x:c r="D5651" s="12" t="n">
        <x:v>0</x:v>
      </x:c>
      <x:c r="E5651" s="12" t="n">
        <x:v>0.31575</x:v>
      </x:c>
      <x:c r="F5651" s="12" t="n">
        <x:v>0.31533333333333335</x:v>
      </x:c>
      <x:c r="G5651" s="12" t="n">
        <x:v>0</x:v>
      </x:c>
      <x:c r="H5651" s="1" t="n">
        <x:f>'Historical prices'!E5651</x:f>
        <x:v>1.05</x:v>
      </x:c>
      <x:c r="I5651" s="6" t="n">
        <x:f>'Historical prices'!D5651</x:f>
        <x:v>0.3084</x:v>
      </x:c>
      <x:c r="J5651" s="13" t="n">
        <x:f>D5651*I5651*H5651</x:f>
        <x:v>0</x:v>
      </x:c>
      <x:c r="K5651" s="13" t="n">
        <x:f>E5651*I5651*H5651</x:f>
        <x:v>0.102246165</x:v>
      </x:c>
      <x:c r="L5651" s="1" t="str">
        <x:f>TEXT(A5651,"mmm yyyy")</x:f>
        <x:v>Sep 2026</x:v>
      </x:c>
    </x:row>
    <x:row r="5652" ht="21" customHeight="1">
      <x:c r="A5652" s="10" t="n">
        <x:v>46266</x:v>
      </x:c>
      <x:c r="B5652" s="1" t="n">
        <x:v>6</x:v>
      </x:c>
      <x:c r="C5652" s="1" t="n">
        <x:v>6</x:v>
      </x:c>
      <x:c r="D5652" s="12" t="n">
        <x:v>0</x:v>
      </x:c>
      <x:c r="E5652" s="12" t="n">
        <x:v>0.5650000000000001</x:v>
      </x:c>
      <x:c r="F5652" s="12" t="n">
        <x:v>0.5518333333333334</x:v>
      </x:c>
      <x:c r="G5652" s="12" t="n">
        <x:v>0</x:v>
      </x:c>
      <x:c r="H5652" s="1" t="n">
        <x:f>'Historical prices'!E5652</x:f>
        <x:v>1.05</x:v>
      </x:c>
      <x:c r="I5652" s="6" t="n">
        <x:f>'Historical prices'!D5652</x:f>
        <x:v>0.32799999999999996</x:v>
      </x:c>
      <x:c r="J5652" s="13" t="n">
        <x:f>D5652*I5652*H5652</x:f>
        <x:v>0</x:v>
      </x:c>
      <x:c r="K5652" s="13" t="n">
        <x:f>E5652*I5652*H5652</x:f>
        <x:v>0.19458599999999998</x:v>
      </x:c>
      <x:c r="L5652" s="1" t="str">
        <x:f>TEXT(A5652,"mmm yyyy")</x:f>
        <x:v>Sep 2026</x:v>
      </x:c>
    </x:row>
    <x:row r="5653" ht="21" customHeight="1">
      <x:c r="A5653" s="10" t="n">
        <x:v>46266</x:v>
      </x:c>
      <x:c r="B5653" s="1" t="n">
        <x:v>6.5</x:v>
      </x:c>
      <x:c r="C5653" s="1" t="n">
        <x:v>6</x:v>
      </x:c>
      <x:c r="D5653" s="12" t="n">
        <x:v>0</x:v>
      </x:c>
      <x:c r="E5653" s="12" t="n">
        <x:v>0.8270833333333332</x:v>
      </x:c>
      <x:c r="F5653" s="12" t="n">
        <x:v>0.82625</x:v>
      </x:c>
      <x:c r="G5653" s="12" t="n">
        <x:v>0</x:v>
      </x:c>
      <x:c r="H5653" s="1" t="n">
        <x:f>'Historical prices'!E5653</x:f>
        <x:v>1.05</x:v>
      </x:c>
      <x:c r="I5653" s="6" t="n">
        <x:f>'Historical prices'!D5653</x:f>
        <x:v>0.3382</x:v>
      </x:c>
      <x:c r="J5653" s="13" t="n">
        <x:f>D5653*I5653*H5653</x:f>
        <x:v>0</x:v>
      </x:c>
      <x:c r="K5653" s="13" t="n">
        <x:f>E5653*I5653*H5653</x:f>
        <x:v>0.29370556249999996</x:v>
      </x:c>
      <x:c r="L5653" s="1" t="str">
        <x:f>TEXT(A5653,"mmm yyyy")</x:f>
        <x:v>Sep 2026</x:v>
      </x:c>
    </x:row>
    <x:row r="5654" ht="21" customHeight="1">
      <x:c r="A5654" s="10" t="n">
        <x:v>46266</x:v>
      </x:c>
      <x:c r="B5654" s="1" t="n">
        <x:v>7</x:v>
      </x:c>
      <x:c r="C5654" s="1" t="n">
        <x:v>6</x:v>
      </x:c>
      <x:c r="D5654" s="12" t="n">
        <x:v>0</x:v>
      </x:c>
      <x:c r="E5654" s="12" t="n">
        <x:v>0.7871666666666666</x:v>
      </x:c>
      <x:c r="F5654" s="12" t="n">
        <x:v>0.7864166666666667</x:v>
      </x:c>
      <x:c r="G5654" s="12" t="n">
        <x:v>0</x:v>
      </x:c>
      <x:c r="H5654" s="1" t="n">
        <x:f>'Historical prices'!E5654</x:f>
        <x:v>1.05</x:v>
      </x:c>
      <x:c r="I5654" s="6" t="n">
        <x:f>'Historical prices'!D5654</x:f>
        <x:v>0.3091</x:v>
      </x:c>
      <x:c r="J5654" s="13" t="n">
        <x:f>D5654*I5654*H5654</x:f>
        <x:v>0</x:v>
      </x:c>
      <x:c r="K5654" s="13" t="n">
        <x:f>E5654*I5654*H5654</x:f>
        <x:v>0.2554788775</x:v>
      </x:c>
      <x:c r="L5654" s="1" t="str">
        <x:f>TEXT(A5654,"mmm yyyy")</x:f>
        <x:v>Sep 2026</x:v>
      </x:c>
    </x:row>
    <x:row r="5655" ht="21" customHeight="1">
      <x:c r="A5655" s="10" t="n">
        <x:v>46266</x:v>
      </x:c>
      <x:c r="B5655" s="1" t="n">
        <x:v>7.5</x:v>
      </x:c>
      <x:c r="C5655" s="1" t="n">
        <x:v>6</x:v>
      </x:c>
      <x:c r="D5655" s="12" t="n">
        <x:v>0</x:v>
      </x:c>
      <x:c r="E5655" s="12" t="n">
        <x:v>1.3817499999999998</x:v>
      </x:c>
      <x:c r="F5655" s="12" t="n">
        <x:v>1.3815</x:v>
      </x:c>
      <x:c r="G5655" s="12" t="n">
        <x:v>0</x:v>
      </x:c>
      <x:c r="H5655" s="1" t="n">
        <x:f>'Historical prices'!E5655</x:f>
        <x:v>1.05</x:v>
      </x:c>
      <x:c r="I5655" s="6" t="n">
        <x:f>'Historical prices'!D5655</x:f>
        <x:v>0.3211</x:v>
      </x:c>
      <x:c r="J5655" s="13" t="n">
        <x:f>D5655*I5655*H5655</x:f>
        <x:v>0</x:v>
      </x:c>
      <x:c r="K5655" s="13" t="n">
        <x:f>E5655*I5655*H5655</x:f>
        <x:v>0.4658639212499999</x:v>
      </x:c>
      <x:c r="L5655" s="1" t="str">
        <x:f>TEXT(A5655,"mmm yyyy")</x:f>
        <x:v>Sep 2026</x:v>
      </x:c>
    </x:row>
    <x:row r="5656" ht="21" customHeight="1">
      <x:c r="A5656" s="10" t="n">
        <x:v>46266</x:v>
      </x:c>
      <x:c r="B5656" s="1" t="n">
        <x:v>8</x:v>
      </x:c>
      <x:c r="C5656" s="1" t="n">
        <x:v>6</x:v>
      </x:c>
      <x:c r="D5656" s="12" t="n">
        <x:v>0</x:v>
      </x:c>
      <x:c r="E5656" s="12" t="n">
        <x:v>0.7896666666666667</x:v>
      </x:c>
      <x:c r="F5656" s="12" t="n">
        <x:v>0.7894166666666668</x:v>
      </x:c>
      <x:c r="G5656" s="12" t="n">
        <x:v>0</x:v>
      </x:c>
      <x:c r="H5656" s="1" t="n">
        <x:f>'Historical prices'!E5656</x:f>
        <x:v>1.05</x:v>
      </x:c>
      <x:c r="I5656" s="6" t="n">
        <x:f>'Historical prices'!D5656</x:f>
        <x:v>0.2766</x:v>
      </x:c>
      <x:c r="J5656" s="13" t="n">
        <x:f>D5656*I5656*H5656</x:f>
        <x:v>0</x:v>
      </x:c>
      <x:c r="K5656" s="13" t="n">
        <x:f>E5656*I5656*H5656</x:f>
        <x:v>0.22934289000000005</x:v>
      </x:c>
      <x:c r="L5656" s="1" t="str">
        <x:f>TEXT(A5656,"mmm yyyy")</x:f>
        <x:v>Sep 2026</x:v>
      </x:c>
    </x:row>
    <x:row r="5657" ht="21" customHeight="1">
      <x:c r="A5657" s="10" t="n">
        <x:v>46266</x:v>
      </x:c>
      <x:c r="B5657" s="1" t="n">
        <x:v>8.5</x:v>
      </x:c>
      <x:c r="C5657" s="1" t="n">
        <x:v>6</x:v>
      </x:c>
      <x:c r="D5657" s="12" t="n">
        <x:v>0</x:v>
      </x:c>
      <x:c r="E5657" s="12" t="n">
        <x:v>0.66175</x:v>
      </x:c>
      <x:c r="F5657" s="12" t="n">
        <x:v>0.6615</x:v>
      </x:c>
      <x:c r="G5657" s="12" t="n">
        <x:v>0</x:v>
      </x:c>
      <x:c r="H5657" s="1" t="n">
        <x:f>'Historical prices'!E5657</x:f>
        <x:v>1.05</x:v>
      </x:c>
      <x:c r="I5657" s="6" t="n">
        <x:f>'Historical prices'!D5657</x:f>
        <x:v>0.2494</x:v>
      </x:c>
      <x:c r="J5657" s="13" t="n">
        <x:f>D5657*I5657*H5657</x:f>
        <x:v>0</x:v>
      </x:c>
      <x:c r="K5657" s="13" t="n">
        <x:f>E5657*I5657*H5657</x:f>
        <x:v>0.17329247250000002</x:v>
      </x:c>
      <x:c r="L5657" s="1" t="str">
        <x:f>TEXT(A5657,"mmm yyyy")</x:f>
        <x:v>Sep 2026</x:v>
      </x:c>
    </x:row>
    <x:row r="5658" ht="21" customHeight="1">
      <x:c r="A5658" s="10" t="n">
        <x:v>46266</x:v>
      </x:c>
      <x:c r="B5658" s="1" t="n">
        <x:v>9</x:v>
      </x:c>
      <x:c r="C5658" s="1" t="n">
        <x:v>6</x:v>
      </x:c>
      <x:c r="D5658" s="12" t="n">
        <x:v>0</x:v>
      </x:c>
      <x:c r="E5658" s="12" t="n">
        <x:v>0.8183333333333332</x:v>
      </x:c>
      <x:c r="F5658" s="12" t="n">
        <x:v>0.81775</x:v>
      </x:c>
      <x:c r="G5658" s="12" t="n">
        <x:v>0</x:v>
      </x:c>
      <x:c r="H5658" s="1" t="n">
        <x:f>'Historical prices'!E5658</x:f>
        <x:v>1.05</x:v>
      </x:c>
      <x:c r="I5658" s="6" t="n">
        <x:f>'Historical prices'!D5658</x:f>
        <x:v>0.2389</x:v>
      </x:c>
      <x:c r="J5658" s="13" t="n">
        <x:f>D5658*I5658*H5658</x:f>
        <x:v>0</x:v>
      </x:c>
      <x:c r="K5658" s="13" t="n">
        <x:f>E5658*I5658*H5658</x:f>
        <x:v>0.205274825</x:v>
      </x:c>
      <x:c r="L5658" s="1" t="str">
        <x:f>TEXT(A5658,"mmm yyyy")</x:f>
        <x:v>Sep 2026</x:v>
      </x:c>
    </x:row>
    <x:row r="5659" ht="21" customHeight="1">
      <x:c r="A5659" s="10" t="n">
        <x:v>46266</x:v>
      </x:c>
      <x:c r="B5659" s="1" t="n">
        <x:v>9.5</x:v>
      </x:c>
      <x:c r="C5659" s="1" t="n">
        <x:v>6</x:v>
      </x:c>
      <x:c r="D5659" s="12" t="n">
        <x:v>0</x:v>
      </x:c>
      <x:c r="E5659" s="12" t="n">
        <x:v>1.0465833333333332</x:v>
      </x:c>
      <x:c r="F5659" s="12" t="n">
        <x:v>1.0465</x:v>
      </x:c>
      <x:c r="G5659" s="12" t="n">
        <x:v>0</x:v>
      </x:c>
      <x:c r="H5659" s="1" t="n">
        <x:f>'Historical prices'!E5659</x:f>
        <x:v>1.05</x:v>
      </x:c>
      <x:c r="I5659" s="6" t="n">
        <x:f>'Historical prices'!D5659</x:f>
        <x:v>0.1866</x:v>
      </x:c>
      <x:c r="J5659" s="13" t="n">
        <x:f>D5659*I5659*H5659</x:f>
        <x:v>0</x:v>
      </x:c>
      <x:c r="K5659" s="13" t="n">
        <x:f>E5659*I5659*H5659</x:f>
        <x:v>0.20505707249999996</x:v>
      </x:c>
      <x:c r="L5659" s="1" t="str">
        <x:f>TEXT(A5659,"mmm yyyy")</x:f>
        <x:v>Sep 2026</x:v>
      </x:c>
    </x:row>
    <x:row r="5660" ht="21" customHeight="1">
      <x:c r="A5660" s="10" t="n">
        <x:v>46266</x:v>
      </x:c>
      <x:c r="B5660" s="1" t="n">
        <x:v>10</x:v>
      </x:c>
      <x:c r="C5660" s="1" t="n">
        <x:v>6</x:v>
      </x:c>
      <x:c r="D5660" s="12" t="n">
        <x:v>0</x:v>
      </x:c>
      <x:c r="E5660" s="12" t="n">
        <x:v>0.7669166666666666</x:v>
      </x:c>
      <x:c r="F5660" s="12" t="n">
        <x:v>0.7664166666666667</x:v>
      </x:c>
      <x:c r="G5660" s="12" t="n">
        <x:v>0</x:v>
      </x:c>
      <x:c r="H5660" s="1" t="n">
        <x:f>'Historical prices'!E5660</x:f>
        <x:v>1.05</x:v>
      </x:c>
      <x:c r="I5660" s="6" t="n">
        <x:f>'Historical prices'!D5660</x:f>
        <x:v>0.15039999999999998</x:v>
      </x:c>
      <x:c r="J5660" s="13" t="n">
        <x:f>D5660*I5660*H5660</x:f>
        <x:v>0</x:v>
      </x:c>
      <x:c r="K5660" s="13" t="n">
        <x:f>E5660*I5660*H5660</x:f>
        <x:v>0.12111147999999998</x:v>
      </x:c>
      <x:c r="L5660" s="1" t="str">
        <x:f>TEXT(A5660,"mmm yyyy")</x:f>
        <x:v>Sep 2026</x:v>
      </x:c>
    </x:row>
    <x:row r="5661" ht="21" customHeight="1">
      <x:c r="A5661" s="10" t="n">
        <x:v>46266</x:v>
      </x:c>
      <x:c r="B5661" s="1" t="n">
        <x:v>10.5</x:v>
      </x:c>
      <x:c r="C5661" s="1" t="n">
        <x:v>6</x:v>
      </x:c>
      <x:c r="D5661" s="12" t="n">
        <x:v>0</x:v>
      </x:c>
      <x:c r="E5661" s="12" t="n">
        <x:v>1.2642499999999999</x:v>
      </x:c>
      <x:c r="F5661" s="12" t="n">
        <x:v>1.2638333333333334</x:v>
      </x:c>
      <x:c r="G5661" s="12" t="n">
        <x:v>0</x:v>
      </x:c>
      <x:c r="H5661" s="1" t="n">
        <x:f>'Historical prices'!E5661</x:f>
        <x:v>1.05</x:v>
      </x:c>
      <x:c r="I5661" s="6" t="n">
        <x:f>'Historical prices'!D5661</x:f>
        <x:v>0.1493</x:v>
      </x:c>
      <x:c r="J5661" s="13" t="n">
        <x:f>D5661*I5661*H5661</x:f>
        <x:v>0</x:v>
      </x:c>
      <x:c r="K5661" s="13" t="n">
        <x:f>E5661*I5661*H5661</x:f>
        <x:v>0.19819015124999997</x:v>
      </x:c>
      <x:c r="L5661" s="1" t="str">
        <x:f>TEXT(A5661,"mmm yyyy")</x:f>
        <x:v>Sep 2026</x:v>
      </x:c>
    </x:row>
    <x:row r="5662" ht="21" customHeight="1">
      <x:c r="A5662" s="10" t="n">
        <x:v>46266</x:v>
      </x:c>
      <x:c r="B5662" s="1" t="n">
        <x:v>11</x:v>
      </x:c>
      <x:c r="C5662" s="1" t="n">
        <x:v>6</x:v>
      </x:c>
      <x:c r="D5662" s="12" t="n">
        <x:v>0.5155000000000001</x:v>
      </x:c>
      <x:c r="E5662" s="12" t="n">
        <x:v>0.6443333333333334</x:v>
      </x:c>
      <x:c r="F5662" s="12" t="n">
        <x:v>0.11683333333333333</x:v>
      </x:c>
      <x:c r="G5662" s="12" t="n">
        <x:v>0</x:v>
      </x:c>
      <x:c r="H5662" s="1" t="n">
        <x:f>'Historical prices'!E5662</x:f>
        <x:v>1.05</x:v>
      </x:c>
      <x:c r="I5662" s="6" t="n">
        <x:f>'Historical prices'!D5662</x:f>
        <x:v>0.1052</x:v>
      </x:c>
      <x:c r="J5662" s="13" t="n">
        <x:f>D5662*I5662*H5662</x:f>
        <x:v>0.056942130000000014</x:v>
      </x:c>
      <x:c r="K5662" s="13" t="n">
        <x:f>E5662*I5662*H5662</x:f>
        <x:v>0.07117306000000001</x:v>
      </x:c>
      <x:c r="L5662" s="1" t="str">
        <x:f>TEXT(A5662,"mmm yyyy")</x:f>
        <x:v>Sep 2026</x:v>
      </x:c>
    </x:row>
    <x:row r="5663" ht="21" customHeight="1">
      <x:c r="A5663" s="10" t="n">
        <x:v>46266</x:v>
      </x:c>
      <x:c r="B5663" s="1" t="n">
        <x:v>11.5</x:v>
      </x:c>
      <x:c r="C5663" s="1" t="n">
        <x:v>6</x:v>
      </x:c>
      <x:c r="D5663" s="12" t="n">
        <x:v>4.25125</x:v>
      </x:c>
      <x:c r="E5663" s="12" t="n">
        <x:v>0.74425</x:v>
      </x:c>
      <x:c r="F5663" s="12" t="n">
        <x:v>0</x:v>
      </x:c>
      <x:c r="G5663" s="12" t="n">
        <x:v>3.508</x:v>
      </x:c>
      <x:c r="H5663" s="1" t="n">
        <x:f>'Historical prices'!E5663</x:f>
        <x:v>1.05</x:v>
      </x:c>
      <x:c r="I5663" s="6" t="n">
        <x:f>'Historical prices'!D5663</x:f>
        <x:v>0.0989</x:v>
      </x:c>
      <x:c r="J5663" s="13" t="n">
        <x:f>D5663*I5663*H5663</x:f>
        <x:v>0.44147105625</x:v>
      </x:c>
      <x:c r="K5663" s="13" t="n">
        <x:f>E5663*I5663*H5663</x:f>
        <x:v>0.07728664125000001</x:v>
      </x:c>
      <x:c r="L5663" s="1" t="str">
        <x:f>TEXT(A5663,"mmm yyyy")</x:f>
        <x:v>Sep 2026</x:v>
      </x:c>
    </x:row>
    <x:row r="5664" ht="21" customHeight="1">
      <x:c r="A5664" s="10" t="n">
        <x:v>46266</x:v>
      </x:c>
      <x:c r="B5664" s="1" t="n">
        <x:v>12</x:v>
      </x:c>
      <x:c r="C5664" s="1" t="n">
        <x:v>6</x:v>
      </x:c>
      <x:c r="D5664" s="12" t="n">
        <x:v>4.87875</x:v>
      </x:c>
      <x:c r="E5664" s="12" t="n">
        <x:v>0.7147500000000001</x:v>
      </x:c>
      <x:c r="F5664" s="12" t="n">
        <x:v>0</x:v>
      </x:c>
      <x:c r="G5664" s="12" t="n">
        <x:v>4.164</x:v>
      </x:c>
      <x:c r="H5664" s="1" t="n">
        <x:f>'Historical prices'!E5664</x:f>
        <x:v>1.05</x:v>
      </x:c>
      <x:c r="I5664" s="6" t="n">
        <x:f>'Historical prices'!D5664</x:f>
        <x:v>0.10310000000000001</x:v>
      </x:c>
      <x:c r="J5664" s="13" t="n">
        <x:f>D5664*I5664*H5664</x:f>
        <x:v>0.5281490812500002</x:v>
      </x:c>
      <x:c r="K5664" s="13" t="n">
        <x:f>E5664*I5664*H5664</x:f>
        <x:v>0.07737526125000002</x:v>
      </x:c>
      <x:c r="L5664" s="1" t="str">
        <x:f>TEXT(A5664,"mmm yyyy")</x:f>
        <x:v>Sep 2026</x:v>
      </x:c>
    </x:row>
    <x:row r="5665" ht="21" customHeight="1">
      <x:c r="A5665" s="10" t="n">
        <x:v>46266</x:v>
      </x:c>
      <x:c r="B5665" s="1" t="n">
        <x:v>12.5</x:v>
      </x:c>
      <x:c r="C5665" s="1" t="n">
        <x:v>6</x:v>
      </x:c>
      <x:c r="D5665" s="12" t="n">
        <x:v>5.32325</x:v>
      </x:c>
      <x:c r="E5665" s="12" t="n">
        <x:v>0.7462500000000001</x:v>
      </x:c>
      <x:c r="F5665" s="12" t="n">
        <x:v>0</x:v>
      </x:c>
      <x:c r="G5665" s="12" t="n">
        <x:v>4.577</x:v>
      </x:c>
      <x:c r="H5665" s="1" t="n">
        <x:f>'Historical prices'!E5665</x:f>
        <x:v>1.05</x:v>
      </x:c>
      <x:c r="I5665" s="6" t="n">
        <x:f>'Historical prices'!D5665</x:f>
        <x:v>0.09759999999999999</x:v>
      </x:c>
      <x:c r="J5665" s="13" t="n">
        <x:f>D5665*I5665*H5665</x:f>
        <x:v>0.5455266599999999</x:v>
      </x:c>
      <x:c r="K5665" s="13" t="n">
        <x:f>E5665*I5665*H5665</x:f>
        <x:v>0.0764757</x:v>
      </x:c>
      <x:c r="L5665" s="1" t="str">
        <x:f>TEXT(A5665,"mmm yyyy")</x:f>
        <x:v>Sep 2026</x:v>
      </x:c>
    </x:row>
    <x:row r="5666" ht="21" customHeight="1">
      <x:c r="A5666" s="10" t="n">
        <x:v>46266</x:v>
      </x:c>
      <x:c r="B5666" s="1" t="n">
        <x:v>13</x:v>
      </x:c>
      <x:c r="C5666" s="1" t="n">
        <x:v>6</x:v>
      </x:c>
      <x:c r="D5666" s="12" t="n">
        <x:v>5.49775</x:v>
      </x:c>
      <x:c r="E5666" s="12" t="n">
        <x:v>1.01775</x:v>
      </x:c>
      <x:c r="F5666" s="12" t="n">
        <x:v>0</x:v>
      </x:c>
      <x:c r="G5666" s="12" t="n">
        <x:v>4.4799999999999995</x:v>
      </x:c>
      <x:c r="H5666" s="1" t="n">
        <x:f>'Historical prices'!E5666</x:f>
        <x:v>1.05</x:v>
      </x:c>
      <x:c r="I5666" s="6" t="n">
        <x:f>'Historical prices'!D5666</x:f>
        <x:v>0.10310000000000001</x:v>
      </x:c>
      <x:c r="J5666" s="13" t="n">
        <x:f>D5666*I5666*H5666</x:f>
        <x:v>0.59515892625</x:v>
      </x:c>
      <x:c r="K5666" s="13" t="n">
        <x:f>E5666*I5666*H5666</x:f>
        <x:v>0.11017652625000002</x:v>
      </x:c>
      <x:c r="L5666" s="1" t="str">
        <x:f>TEXT(A5666,"mmm yyyy")</x:f>
        <x:v>Sep 2026</x:v>
      </x:c>
    </x:row>
    <x:row r="5667" ht="21" customHeight="1">
      <x:c r="A5667" s="10" t="n">
        <x:v>46266</x:v>
      </x:c>
      <x:c r="B5667" s="1" t="n">
        <x:v>13.5</x:v>
      </x:c>
      <x:c r="C5667" s="1" t="n">
        <x:v>6</x:v>
      </x:c>
      <x:c r="D5667" s="12" t="n">
        <x:v>3.7800000000000002</x:v>
      </x:c>
      <x:c r="E5667" s="12" t="n">
        <x:v>0.7480000000000001</x:v>
      </x:c>
      <x:c r="F5667" s="12" t="n">
        <x:v>0</x:v>
      </x:c>
      <x:c r="G5667" s="12" t="n">
        <x:v>3.027</x:v>
      </x:c>
      <x:c r="H5667" s="1" t="n">
        <x:f>'Historical prices'!E5667</x:f>
        <x:v>1.05</x:v>
      </x:c>
      <x:c r="I5667" s="6" t="n">
        <x:f>'Historical prices'!D5667</x:f>
        <x:v>0.10310000000000001</x:v>
      </x:c>
      <x:c r="J5667" s="13" t="n">
        <x:f>D5667*I5667*H5667</x:f>
        <x:v>0.40920390000000006</x:v>
      </x:c>
      <x:c r="K5667" s="13" t="n">
        <x:f>E5667*I5667*H5667</x:f>
        <x:v>0.08097474000000002</x:v>
      </x:c>
      <x:c r="L5667" s="1" t="str">
        <x:f>TEXT(A5667,"mmm yyyy")</x:f>
        <x:v>Sep 2026</x:v>
      </x:c>
    </x:row>
    <x:row r="5668" ht="21" customHeight="1">
      <x:c r="A5668" s="10" t="n">
        <x:v>46266</x:v>
      </x:c>
      <x:c r="B5668" s="1" t="n">
        <x:v>14</x:v>
      </x:c>
      <x:c r="C5668" s="1" t="n">
        <x:v>6</x:v>
      </x:c>
      <x:c r="D5668" s="12" t="n">
        <x:v>0.895</x:v>
      </x:c>
      <x:c r="E5668" s="12" t="n">
        <x:v>0.542</x:v>
      </x:c>
      <x:c r="F5668" s="12" t="n">
        <x:v>0</x:v>
      </x:c>
      <x:c r="G5668" s="12" t="n">
        <x:v>0.349</x:v>
      </x:c>
      <x:c r="H5668" s="1" t="n">
        <x:f>'Historical prices'!E5668</x:f>
        <x:v>1.05</x:v>
      </x:c>
      <x:c r="I5668" s="6" t="n">
        <x:f>'Historical prices'!D5668</x:f>
        <x:v>0.1052</x:v>
      </x:c>
      <x:c r="J5668" s="13" t="n">
        <x:f>D5668*I5668*H5668</x:f>
        <x:v>0.09886170000000001</x:v>
      </x:c>
      <x:c r="K5668" s="13" t="n">
        <x:f>E5668*I5668*H5668</x:f>
        <x:v>0.059869320000000004</x:v>
      </x:c>
      <x:c r="L5668" s="1" t="str">
        <x:f>TEXT(A5668,"mmm yyyy")</x:f>
        <x:v>Sep 2026</x:v>
      </x:c>
    </x:row>
    <x:row r="5669" ht="21" customHeight="1">
      <x:c r="A5669" s="10" t="n">
        <x:v>46266</x:v>
      </x:c>
      <x:c r="B5669" s="1" t="n">
        <x:v>14.5</x:v>
      </x:c>
      <x:c r="C5669" s="1" t="n">
        <x:v>6</x:v>
      </x:c>
      <x:c r="D5669" s="12" t="n">
        <x:v>0.668</x:v>
      </x:c>
      <x:c r="E5669" s="12" t="n">
        <x:v>0.542</x:v>
      </x:c>
      <x:c r="F5669" s="12" t="n">
        <x:v>0</x:v>
      </x:c>
      <x:c r="G5669" s="12" t="n">
        <x:v>0.135</x:v>
      </x:c>
      <x:c r="H5669" s="1" t="n">
        <x:f>'Historical prices'!E5669</x:f>
        <x:v>1.05</x:v>
      </x:c>
      <x:c r="I5669" s="6" t="n">
        <x:f>'Historical prices'!D5669</x:f>
        <x:v>0.1124</x:v>
      </x:c>
      <x:c r="J5669" s="13" t="n">
        <x:f>D5669*I5669*H5669</x:f>
        <x:v>0.07883736000000001</x:v>
      </x:c>
      <x:c r="K5669" s="13" t="n">
        <x:f>E5669*I5669*H5669</x:f>
        <x:v>0.06396684000000001</x:v>
      </x:c>
      <x:c r="L5669" s="1" t="str">
        <x:f>TEXT(A5669,"mmm yyyy")</x:f>
        <x:v>Sep 2026</x:v>
      </x:c>
    </x:row>
    <x:row r="5670" ht="21" customHeight="1">
      <x:c r="A5670" s="10" t="n">
        <x:v>46266</x:v>
      </x:c>
      <x:c r="B5670" s="1" t="n">
        <x:v>15</x:v>
      </x:c>
      <x:c r="C5670" s="1" t="n">
        <x:v>6</x:v>
      </x:c>
      <x:c r="D5670" s="12" t="n">
        <x:v>0.0905</x:v>
      </x:c>
      <x:c r="E5670" s="12" t="n">
        <x:v>0.6504166666666666</x:v>
      </x:c>
      <x:c r="F5670" s="12" t="n">
        <x:v>0.5575</x:v>
      </x:c>
      <x:c r="G5670" s="12" t="n">
        <x:v>0</x:v>
      </x:c>
      <x:c r="H5670" s="1" t="n">
        <x:f>'Historical prices'!E5670</x:f>
        <x:v>1.05</x:v>
      </x:c>
      <x:c r="I5670" s="6" t="n">
        <x:f>'Historical prices'!D5670</x:f>
        <x:v>0.1535</x:v>
      </x:c>
      <x:c r="J5670" s="13" t="n">
        <x:f>D5670*I5670*H5670</x:f>
        <x:v>0.014586337500000001</x:v>
      </x:c>
      <x:c r="K5670" s="13" t="n">
        <x:f>E5670*I5670*H5670</x:f>
        <x:v>0.10483090625</x:v>
      </x:c>
      <x:c r="L5670" s="1" t="str">
        <x:f>TEXT(A5670,"mmm yyyy")</x:f>
        <x:v>Sep 2026</x:v>
      </x:c>
    </x:row>
    <x:row r="5671" ht="21" customHeight="1">
      <x:c r="A5671" s="10" t="n">
        <x:v>46266</x:v>
      </x:c>
      <x:c r="B5671" s="1" t="n">
        <x:v>15.5</x:v>
      </x:c>
      <x:c r="C5671" s="1" t="n">
        <x:v>6</x:v>
      </x:c>
      <x:c r="D5671" s="12" t="n">
        <x:v>0</x:v>
      </x:c>
      <x:c r="E5671" s="12" t="n">
        <x:v>0.7309166666666667</x:v>
      </x:c>
      <x:c r="F5671" s="12" t="n">
        <x:v>0.73075</x:v>
      </x:c>
      <x:c r="G5671" s="12" t="n">
        <x:v>0</x:v>
      </x:c>
      <x:c r="H5671" s="1" t="n">
        <x:f>'Historical prices'!E5671</x:f>
        <x:v>1.05</x:v>
      </x:c>
      <x:c r="I5671" s="6" t="n">
        <x:f>'Historical prices'!D5671</x:f>
        <x:v>0.15</x:v>
      </x:c>
      <x:c r="J5671" s="13" t="n">
        <x:f>D5671*I5671*H5671</x:f>
        <x:v>0</x:v>
      </x:c>
      <x:c r="K5671" s="13" t="n">
        <x:f>E5671*I5671*H5671</x:f>
        <x:v>0.11511937500000001</x:v>
      </x:c>
      <x:c r="L5671" s="1" t="str">
        <x:f>TEXT(A5671,"mmm yyyy")</x:f>
        <x:v>Sep 2026</x:v>
      </x:c>
    </x:row>
    <x:row r="5672" ht="21" customHeight="1">
      <x:c r="A5672" s="10" t="n">
        <x:v>46266</x:v>
      </x:c>
      <x:c r="B5672" s="1" t="n">
        <x:v>16</x:v>
      </x:c>
      <x:c r="C5672" s="1" t="n">
        <x:v>6</x:v>
      </x:c>
      <x:c r="D5672" s="12" t="n">
        <x:v>0</x:v>
      </x:c>
      <x:c r="E5672" s="12" t="n">
        <x:v>0.7699166666666666</x:v>
      </x:c>
      <x:c r="F5672" s="12" t="n">
        <x:v>0.7694166666666666</x:v>
      </x:c>
      <x:c r="G5672" s="12" t="n">
        <x:v>0</x:v>
      </x:c>
      <x:c r="H5672" s="1" t="n">
        <x:f>'Historical prices'!E5672</x:f>
        <x:v>1.05</x:v>
      </x:c>
      <x:c r="I5672" s="6" t="n">
        <x:f>'Historical prices'!D5672</x:f>
        <x:v>0.342</x:v>
      </x:c>
      <x:c r="J5672" s="13" t="n">
        <x:f>D5672*I5672*H5672</x:f>
        <x:v>0</x:v>
      </x:c>
      <x:c r="K5672" s="13" t="n">
        <x:f>E5672*I5672*H5672</x:f>
        <x:v>0.27647707499999996</x:v>
      </x:c>
      <x:c r="L5672" s="1" t="str">
        <x:f>TEXT(A5672,"mmm yyyy")</x:f>
        <x:v>Sep 2026</x:v>
      </x:c>
    </x:row>
    <x:row r="5673" ht="21" customHeight="1">
      <x:c r="A5673" s="10" t="n">
        <x:v>46266</x:v>
      </x:c>
      <x:c r="B5673" s="1" t="n">
        <x:v>16.5</x:v>
      </x:c>
      <x:c r="C5673" s="1" t="n">
        <x:v>6</x:v>
      </x:c>
      <x:c r="D5673" s="12" t="n">
        <x:v>0</x:v>
      </x:c>
      <x:c r="E5673" s="12" t="n">
        <x:v>0.67825</x:v>
      </x:c>
      <x:c r="F5673" s="12" t="n">
        <x:v>0.67775</x:v>
      </x:c>
      <x:c r="G5673" s="12" t="n">
        <x:v>0</x:v>
      </x:c>
      <x:c r="H5673" s="1" t="n">
        <x:f>'Historical prices'!E5673</x:f>
        <x:v>1.05</x:v>
      </x:c>
      <x:c r="I5673" s="6" t="n">
        <x:f>'Historical prices'!D5673</x:f>
        <x:v>0.3533</x:v>
      </x:c>
      <x:c r="J5673" s="13" t="n">
        <x:f>D5673*I5673*H5673</x:f>
        <x:v>0</x:v>
      </x:c>
      <x:c r="K5673" s="13" t="n">
        <x:f>E5673*I5673*H5673</x:f>
        <x:v>0.25160701125</x:v>
      </x:c>
      <x:c r="L5673" s="1" t="str">
        <x:f>TEXT(A5673,"mmm yyyy")</x:f>
        <x:v>Sep 2026</x:v>
      </x:c>
    </x:row>
    <x:row r="5674" ht="21" customHeight="1">
      <x:c r="A5674" s="10" t="n">
        <x:v>46266</x:v>
      </x:c>
      <x:c r="B5674" s="1" t="n">
        <x:v>17</x:v>
      </x:c>
      <x:c r="C5674" s="1" t="n">
        <x:v>6</x:v>
      </x:c>
      <x:c r="D5674" s="12" t="n">
        <x:v>0</x:v>
      </x:c>
      <x:c r="E5674" s="12" t="n">
        <x:v>0.83775</x:v>
      </x:c>
      <x:c r="F5674" s="12" t="n">
        <x:v>0.8375833333333333</x:v>
      </x:c>
      <x:c r="G5674" s="12" t="n">
        <x:v>0</x:v>
      </x:c>
      <x:c r="H5674" s="1" t="n">
        <x:f>'Historical prices'!E5674</x:f>
        <x:v>1.05</x:v>
      </x:c>
      <x:c r="I5674" s="6" t="n">
        <x:f>'Historical prices'!D5674</x:f>
        <x:v>0.41840000000000005</x:v>
      </x:c>
      <x:c r="J5674" s="13" t="n">
        <x:f>D5674*I5674*H5674</x:f>
        <x:v>0</x:v>
      </x:c>
      <x:c r="K5674" s="13" t="n">
        <x:f>E5674*I5674*H5674</x:f>
        <x:v>0.3680403300000001</x:v>
      </x:c>
      <x:c r="L5674" s="1" t="str">
        <x:f>TEXT(A5674,"mmm yyyy")</x:f>
        <x:v>Sep 2026</x:v>
      </x:c>
    </x:row>
    <x:row r="5675" ht="21" customHeight="1">
      <x:c r="A5675" s="10" t="n">
        <x:v>46266</x:v>
      </x:c>
      <x:c r="B5675" s="1" t="n">
        <x:v>17.5</x:v>
      </x:c>
      <x:c r="C5675" s="1" t="n">
        <x:v>6</x:v>
      </x:c>
      <x:c r="D5675" s="12" t="n">
        <x:v>0</x:v>
      </x:c>
      <x:c r="E5675" s="12" t="n">
        <x:v>0.6922499999999999</x:v>
      </x:c>
      <x:c r="F5675" s="12" t="n">
        <x:v>0.6916666666666667</x:v>
      </x:c>
      <x:c r="G5675" s="12" t="n">
        <x:v>0</x:v>
      </x:c>
      <x:c r="H5675" s="1" t="n">
        <x:f>'Historical prices'!E5675</x:f>
        <x:v>1.05</x:v>
      </x:c>
      <x:c r="I5675" s="6" t="n">
        <x:f>'Historical prices'!D5675</x:f>
        <x:v>0.4069</x:v>
      </x:c>
      <x:c r="J5675" s="13" t="n">
        <x:f>D5675*I5675*H5675</x:f>
        <x:v>0</x:v>
      </x:c>
      <x:c r="K5675" s="13" t="n">
        <x:f>E5675*I5675*H5675</x:f>
        <x:v>0.29576035124999994</x:v>
      </x:c>
      <x:c r="L5675" s="1" t="str">
        <x:f>TEXT(A5675,"mmm yyyy")</x:f>
        <x:v>Sep 2026</x:v>
      </x:c>
    </x:row>
    <x:row r="5676" ht="21" customHeight="1">
      <x:c r="A5676" s="10" t="n">
        <x:v>46266</x:v>
      </x:c>
      <x:c r="B5676" s="1" t="n">
        <x:v>18</x:v>
      </x:c>
      <x:c r="C5676" s="1" t="n">
        <x:v>6</x:v>
      </x:c>
      <x:c r="D5676" s="12" t="n">
        <x:v>0</x:v>
      </x:c>
      <x:c r="E5676" s="12" t="n">
        <x:v>0.7363333333333333</x:v>
      </x:c>
      <x:c r="F5676" s="12" t="n">
        <x:v>0.7356666666666667</x:v>
      </x:c>
      <x:c r="G5676" s="12" t="n">
        <x:v>0</x:v>
      </x:c>
      <x:c r="H5676" s="1" t="n">
        <x:f>'Historical prices'!E5676</x:f>
        <x:v>1.05</x:v>
      </x:c>
      <x:c r="I5676" s="6" t="n">
        <x:f>'Historical prices'!D5676</x:f>
        <x:v>0.4656</x:v>
      </x:c>
      <x:c r="J5676" s="13" t="n">
        <x:f>D5676*I5676*H5676</x:f>
        <x:v>0</x:v>
      </x:c>
      <x:c r="K5676" s="13" t="n">
        <x:f>E5676*I5676*H5676</x:f>
        <x:v>0.35997864</x:v>
      </x:c>
      <x:c r="L5676" s="1" t="str">
        <x:f>TEXT(A5676,"mmm yyyy")</x:f>
        <x:v>Sep 2026</x:v>
      </x:c>
    </x:row>
    <x:row r="5677" ht="21" customHeight="1">
      <x:c r="A5677" s="10" t="n">
        <x:v>46266</x:v>
      </x:c>
      <x:c r="B5677" s="1" t="n">
        <x:v>18.5</x:v>
      </x:c>
      <x:c r="C5677" s="1" t="n">
        <x:v>6</x:v>
      </x:c>
      <x:c r="D5677" s="12" t="n">
        <x:v>0.01775</x:v>
      </x:c>
      <x:c r="E5677" s="12" t="n">
        <x:v>1.1020833333333333</x:v>
      </x:c>
      <x:c r="F5677" s="12" t="n">
        <x:v>1.0788333333333333</x:v>
      </x:c>
      <x:c r="G5677" s="12" t="n">
        <x:v>0</x:v>
      </x:c>
      <x:c r="H5677" s="1" t="n">
        <x:f>'Historical prices'!E5677</x:f>
        <x:v>1.05</x:v>
      </x:c>
      <x:c r="I5677" s="6" t="n">
        <x:f>'Historical prices'!D5677</x:f>
        <x:v>0.46880000000000005</x:v>
      </x:c>
      <x:c r="J5677" s="13" t="n">
        <x:f>D5677*I5677*H5677</x:f>
        <x:v>0.008737260000000002</x:v>
      </x:c>
      <x:c r="K5677" s="13" t="n">
        <x:f>E5677*I5677*H5677</x:f>
        <x:v>0.5424895</x:v>
      </x:c>
      <x:c r="L5677" s="1" t="str">
        <x:f>TEXT(A5677,"mmm yyyy")</x:f>
        <x:v>Sep 2026</x:v>
      </x:c>
    </x:row>
    <x:row r="5678" ht="21" customHeight="1">
      <x:c r="A5678" s="10" t="n">
        <x:v>46266</x:v>
      </x:c>
      <x:c r="B5678" s="1" t="n">
        <x:v>19</x:v>
      </x:c>
      <x:c r="C5678" s="1" t="n">
        <x:v>6</x:v>
      </x:c>
      <x:c r="D5678" s="12" t="n">
        <x:v>0</x:v>
      </x:c>
      <x:c r="E5678" s="12" t="n">
        <x:v>0.729</x:v>
      </x:c>
      <x:c r="F5678" s="12" t="n">
        <x:v>0.7225833333333334</x:v>
      </x:c>
      <x:c r="G5678" s="12" t="n">
        <x:v>0</x:v>
      </x:c>
      <x:c r="H5678" s="1" t="n">
        <x:f>'Historical prices'!E5678</x:f>
        <x:v>1.05</x:v>
      </x:c>
      <x:c r="I5678" s="6" t="n">
        <x:f>'Historical prices'!D5678</x:f>
        <x:v>0.36</x:v>
      </x:c>
      <x:c r="J5678" s="13" t="n">
        <x:f>D5678*I5678*H5678</x:f>
        <x:v>0</x:v>
      </x:c>
      <x:c r="K5678" s="13" t="n">
        <x:f>E5678*I5678*H5678</x:f>
        <x:v>0.27556200000000003</x:v>
      </x:c>
      <x:c r="L5678" s="1" t="str">
        <x:f>TEXT(A5678,"mmm yyyy")</x:f>
        <x:v>Sep 2026</x:v>
      </x:c>
    </x:row>
    <x:row r="5679" ht="21" customHeight="1">
      <x:c r="A5679" s="10" t="n">
        <x:v>46266</x:v>
      </x:c>
      <x:c r="B5679" s="1" t="n">
        <x:v>19.5</x:v>
      </x:c>
      <x:c r="C5679" s="1" t="n">
        <x:v>6</x:v>
      </x:c>
      <x:c r="D5679" s="12" t="n">
        <x:v>0</x:v>
      </x:c>
      <x:c r="E5679" s="12" t="n">
        <x:v>0.6720833333333334</x:v>
      </x:c>
      <x:c r="F5679" s="12" t="n">
        <x:v>0.6716666666666667</x:v>
      </x:c>
      <x:c r="G5679" s="12" t="n">
        <x:v>0</x:v>
      </x:c>
      <x:c r="H5679" s="1" t="n">
        <x:f>'Historical prices'!E5679</x:f>
        <x:v>1.05</x:v>
      </x:c>
      <x:c r="I5679" s="6" t="n">
        <x:f>'Historical prices'!D5679</x:f>
        <x:v>0.36560000000000004</x:v>
      </x:c>
      <x:c r="J5679" s="13" t="n">
        <x:f>D5679*I5679*H5679</x:f>
        <x:v>0</x:v>
      </x:c>
      <x:c r="K5679" s="13" t="n">
        <x:f>E5679*I5679*H5679</x:f>
        <x:v>0.25799935</x:v>
      </x:c>
      <x:c r="L5679" s="1" t="str">
        <x:f>TEXT(A5679,"mmm yyyy")</x:f>
        <x:v>Sep 2026</x:v>
      </x:c>
    </x:row>
    <x:row r="5680" ht="21" customHeight="1">
      <x:c r="A5680" s="10" t="n">
        <x:v>46266</x:v>
      </x:c>
      <x:c r="B5680" s="1" t="n">
        <x:v>20</x:v>
      </x:c>
      <x:c r="C5680" s="1" t="n">
        <x:v>6</x:v>
      </x:c>
      <x:c r="D5680" s="12" t="n">
        <x:v>0</x:v>
      </x:c>
      <x:c r="E5680" s="12" t="n">
        <x:v>1.0638333333333334</x:v>
      </x:c>
      <x:c r="F5680" s="12" t="n">
        <x:v>1.0635000000000001</x:v>
      </x:c>
      <x:c r="G5680" s="12" t="n">
        <x:v>0</x:v>
      </x:c>
      <x:c r="H5680" s="1" t="n">
        <x:f>'Historical prices'!E5680</x:f>
        <x:v>1.05</x:v>
      </x:c>
      <x:c r="I5680" s="6" t="n">
        <x:f>'Historical prices'!D5680</x:f>
        <x:v>0.3592</x:v>
      </x:c>
      <x:c r="J5680" s="13" t="n">
        <x:f>D5680*I5680*H5680</x:f>
        <x:v>0</x:v>
      </x:c>
      <x:c r="K5680" s="13" t="n">
        <x:f>E5680*I5680*H5680</x:f>
        <x:v>0.40123538000000003</x:v>
      </x:c>
      <x:c r="L5680" s="1" t="str">
        <x:f>TEXT(A5680,"mmm yyyy")</x:f>
        <x:v>Sep 2026</x:v>
      </x:c>
    </x:row>
    <x:row r="5681" ht="21" customHeight="1">
      <x:c r="A5681" s="10" t="n">
        <x:v>46266</x:v>
      </x:c>
      <x:c r="B5681" s="1" t="n">
        <x:v>20.5</x:v>
      </x:c>
      <x:c r="C5681" s="1" t="n">
        <x:v>6</x:v>
      </x:c>
      <x:c r="D5681" s="12" t="n">
        <x:v>0</x:v>
      </x:c>
      <x:c r="E5681" s="12" t="n">
        <x:v>0.639</x:v>
      </x:c>
      <x:c r="F5681" s="12" t="n">
        <x:v>0.6388333333333334</x:v>
      </x:c>
      <x:c r="G5681" s="12" t="n">
        <x:v>0</x:v>
      </x:c>
      <x:c r="H5681" s="1" t="n">
        <x:f>'Historical prices'!E5681</x:f>
        <x:v>1.05</x:v>
      </x:c>
      <x:c r="I5681" s="6" t="n">
        <x:f>'Historical prices'!D5681</x:f>
        <x:v>0.3481</x:v>
      </x:c>
      <x:c r="J5681" s="13" t="n">
        <x:f>D5681*I5681*H5681</x:f>
        <x:v>0</x:v>
      </x:c>
      <x:c r="K5681" s="13" t="n">
        <x:f>E5681*I5681*H5681</x:f>
        <x:v>0.23355769500000004</x:v>
      </x:c>
      <x:c r="L5681" s="1" t="str">
        <x:f>TEXT(A5681,"mmm yyyy")</x:f>
        <x:v>Sep 2026</x:v>
      </x:c>
    </x:row>
    <x:row r="5682" ht="21" customHeight="1">
      <x:c r="A5682" s="10" t="n">
        <x:v>46266</x:v>
      </x:c>
      <x:c r="B5682" s="1" t="n">
        <x:v>21</x:v>
      </x:c>
      <x:c r="C5682" s="1" t="n">
        <x:v>6</x:v>
      </x:c>
      <x:c r="D5682" s="12" t="n">
        <x:v>0</x:v>
      </x:c>
      <x:c r="E5682" s="12" t="n">
        <x:v>0.6326666666666666</x:v>
      </x:c>
      <x:c r="F5682" s="12" t="n">
        <x:v>0.6324166666666666</x:v>
      </x:c>
      <x:c r="G5682" s="12" t="n">
        <x:v>0</x:v>
      </x:c>
      <x:c r="H5682" s="1" t="n">
        <x:f>'Historical prices'!E5682</x:f>
        <x:v>1.05</x:v>
      </x:c>
      <x:c r="I5682" s="6" t="n">
        <x:f>'Historical prices'!D5682</x:f>
        <x:v>0.32939999999999997</x:v>
      </x:c>
      <x:c r="J5682" s="13" t="n">
        <x:f>D5682*I5682*H5682</x:f>
        <x:v>0</x:v>
      </x:c>
      <x:c r="K5682" s="13" t="n">
        <x:f>E5682*I5682*H5682</x:f>
        <x:v>0.21882041999999996</x:v>
      </x:c>
      <x:c r="L5682" s="1" t="str">
        <x:f>TEXT(A5682,"mmm yyyy")</x:f>
        <x:v>Sep 2026</x:v>
      </x:c>
    </x:row>
    <x:row r="5683" ht="21" customHeight="1">
      <x:c r="A5683" s="10" t="n">
        <x:v>46266</x:v>
      </x:c>
      <x:c r="B5683" s="1" t="n">
        <x:v>21.5</x:v>
      </x:c>
      <x:c r="C5683" s="1" t="n">
        <x:v>6</x:v>
      </x:c>
      <x:c r="D5683" s="12" t="n">
        <x:v>0</x:v>
      </x:c>
      <x:c r="E5683" s="12" t="n">
        <x:v>0.7360833333333333</x:v>
      </x:c>
      <x:c r="F5683" s="12" t="n">
        <x:v>0.73575</x:v>
      </x:c>
      <x:c r="G5683" s="12" t="n">
        <x:v>0</x:v>
      </x:c>
      <x:c r="H5683" s="1" t="n">
        <x:f>'Historical prices'!E5683</x:f>
        <x:v>1.05</x:v>
      </x:c>
      <x:c r="I5683" s="6" t="n">
        <x:f>'Historical prices'!D5683</x:f>
        <x:v>0.3089</x:v>
      </x:c>
      <x:c r="J5683" s="13" t="n">
        <x:f>D5683*I5683*H5683</x:f>
        <x:v>0</x:v>
      </x:c>
      <x:c r="K5683" s="13" t="n">
        <x:f>E5683*I5683*H5683</x:f>
        <x:v>0.23874494875000002</x:v>
      </x:c>
      <x:c r="L5683" s="1" t="str">
        <x:f>TEXT(A5683,"mmm yyyy")</x:f>
        <x:v>Sep 2026</x:v>
      </x:c>
    </x:row>
    <x:row r="5684" ht="21" customHeight="1">
      <x:c r="A5684" s="10" t="n">
        <x:v>46266</x:v>
      </x:c>
      <x:c r="B5684" s="1" t="n">
        <x:v>22</x:v>
      </x:c>
      <x:c r="C5684" s="1" t="n">
        <x:v>6</x:v>
      </x:c>
      <x:c r="D5684" s="12" t="n">
        <x:v>0.6400000000000001</x:v>
      </x:c>
      <x:c r="E5684" s="12" t="n">
        <x:v>0.9750833333333333</x:v>
      </x:c>
      <x:c r="F5684" s="12" t="n">
        <x:v>0.322</x:v>
      </x:c>
      <x:c r="G5684" s="12" t="n">
        <x:v>0</x:v>
      </x:c>
      <x:c r="H5684" s="1" t="n">
        <x:f>'Historical prices'!E5684</x:f>
        <x:v>1.05</x:v>
      </x:c>
      <x:c r="I5684" s="6" t="n">
        <x:f>'Historical prices'!D5684</x:f>
        <x:v>0.2964</x:v>
      </x:c>
      <x:c r="J5684" s="13" t="n">
        <x:f>D5684*I5684*H5684</x:f>
        <x:v>0.19918080000000005</x:v>
      </x:c>
      <x:c r="K5684" s="13" t="n">
        <x:f>E5684*I5684*H5684</x:f>
        <x:v>0.303465435</x:v>
      </x:c>
      <x:c r="L5684" s="1" t="str">
        <x:f>TEXT(A5684,"mmm yyyy")</x:f>
        <x:v>Sep 2026</x:v>
      </x:c>
    </x:row>
    <x:row r="5685" ht="21" customHeight="1">
      <x:c r="A5685" s="10" t="n">
        <x:v>46266</x:v>
      </x:c>
      <x:c r="B5685" s="1" t="n">
        <x:v>22.5</x:v>
      </x:c>
      <x:c r="C5685" s="1" t="n">
        <x:v>6</x:v>
      </x:c>
      <x:c r="D5685" s="12" t="n">
        <x:v>0.36625</x:v>
      </x:c>
      <x:c r="E5685" s="12" t="n">
        <x:v>0.37725000000000003</x:v>
      </x:c>
      <x:c r="F5685" s="12" t="n">
        <x:v>0</x:v>
      </x:c>
      <x:c r="G5685" s="12" t="n">
        <x:v>0</x:v>
      </x:c>
      <x:c r="H5685" s="1" t="n">
        <x:f>'Historical prices'!E5685</x:f>
        <x:v>1.05</x:v>
      </x:c>
      <x:c r="I5685" s="6" t="n">
        <x:f>'Historical prices'!D5685</x:f>
        <x:v>0.2837</x:v>
      </x:c>
      <x:c r="J5685" s="13" t="n">
        <x:f>D5685*I5685*H5685</x:f>
        <x:v>0.10910038125000002</x:v>
      </x:c>
      <x:c r="K5685" s="13" t="n">
        <x:f>E5685*I5685*H5685</x:f>
        <x:v>0.11237711625</x:v>
      </x:c>
      <x:c r="L5685" s="1" t="str">
        <x:f>TEXT(A5685,"mmm yyyy")</x:f>
        <x:v>Sep 2026</x:v>
      </x:c>
    </x:row>
    <x:row r="5686" ht="21" customHeight="1">
      <x:c r="A5686" s="10" t="n">
        <x:v>46266</x:v>
      </x:c>
      <x:c r="B5686" s="1" t="n">
        <x:v>23</x:v>
      </x:c>
      <x:c r="C5686" s="1" t="n">
        <x:v>6</x:v>
      </x:c>
      <x:c r="D5686" s="12" t="n">
        <x:v>0.3215</x:v>
      </x:c>
      <x:c r="E5686" s="12" t="n">
        <x:v>0.3315</x:v>
      </x:c>
      <x:c r="F5686" s="12" t="n">
        <x:v>0</x:v>
      </x:c>
      <x:c r="G5686" s="12" t="n">
        <x:v>0</x:v>
      </x:c>
      <x:c r="H5686" s="1" t="n">
        <x:f>'Historical prices'!E5686</x:f>
        <x:v>1.05</x:v>
      </x:c>
      <x:c r="I5686" s="6" t="n">
        <x:f>'Historical prices'!D5686</x:f>
        <x:v>0.2753</x:v>
      </x:c>
      <x:c r="J5686" s="13" t="n">
        <x:f>D5686*I5686*H5686</x:f>
        <x:v>0.0929343975</x:v>
      </x:c>
      <x:c r="K5686" s="13" t="n">
        <x:f>E5686*I5686*H5686</x:f>
        <x:v>0.0958250475</x:v>
      </x:c>
      <x:c r="L5686" s="1" t="str">
        <x:f>TEXT(A5686,"mmm yyyy")</x:f>
        <x:v>Sep 2026</x:v>
      </x:c>
    </x:row>
    <x:row r="5687" ht="21" customHeight="1">
      <x:c r="A5687" s="10" t="n">
        <x:v>46266</x:v>
      </x:c>
      <x:c r="B5687" s="1" t="n">
        <x:v>23.5</x:v>
      </x:c>
      <x:c r="C5687" s="1" t="n">
        <x:v>6</x:v>
      </x:c>
      <x:c r="D5687" s="12" t="n">
        <x:v>0.32625</x:v>
      </x:c>
      <x:c r="E5687" s="12" t="n">
        <x:v>0.33725</x:v>
      </x:c>
      <x:c r="F5687" s="12" t="n">
        <x:v>0</x:v>
      </x:c>
      <x:c r="G5687" s="12" t="n">
        <x:v>0</x:v>
      </x:c>
      <x:c r="H5687" s="1" t="n">
        <x:f>'Historical prices'!E5687</x:f>
        <x:v>1.05</x:v>
      </x:c>
      <x:c r="I5687" s="6" t="n">
        <x:f>'Historical prices'!D5687</x:f>
        <x:v>0.2711</x:v>
      </x:c>
      <x:c r="J5687" s="13" t="n">
        <x:f>D5687*I5687*H5687</x:f>
        <x:v>0.09286869375</x:v>
      </x:c>
      <x:c r="K5687" s="13" t="n">
        <x:f>E5687*I5687*H5687</x:f>
        <x:v>0.09599989874999999</x:v>
      </x:c>
      <x:c r="L5687" s="1" t="str">
        <x:f>TEXT(A5687,"mmm yyyy")</x:f>
        <x:v>Sep 2026</x:v>
      </x:c>
    </x:row>
    <x:row r="5688" ht="21" customHeight="1">
      <x:c r="A5688" s="10" t="n">
        <x:v>46267</x:v>
      </x:c>
      <x:c r="B5688" s="1" t="n">
        <x:v>0</x:v>
      </x:c>
      <x:c r="C5688" s="1" t="n">
        <x:v>6</x:v>
      </x:c>
      <x:c r="D5688" s="12" t="n">
        <x:v>0.33249999999999996</x:v>
      </x:c>
      <x:c r="E5688" s="12" t="n">
        <x:v>0.34349999999999997</x:v>
      </x:c>
      <x:c r="F5688" s="12" t="n">
        <x:v>0</x:v>
      </x:c>
      <x:c r="G5688" s="12" t="n">
        <x:v>0</x:v>
      </x:c>
      <x:c r="H5688" s="1" t="n">
        <x:f>'Historical prices'!E5688</x:f>
        <x:v>1.05</x:v>
      </x:c>
      <x:c r="I5688" s="6" t="n">
        <x:f>'Historical prices'!D5688</x:f>
        <x:v>0.24969999999999998</x:v>
      </x:c>
      <x:c r="J5688" s="13" t="n">
        <x:f>D5688*I5688*H5688</x:f>
        <x:v>0.08717651249999998</x:v>
      </x:c>
      <x:c r="K5688" s="13" t="n">
        <x:f>E5688*I5688*H5688</x:f>
        <x:v>0.09006054749999999</x:v>
      </x:c>
      <x:c r="L5688" s="1" t="str">
        <x:f>TEXT(A5688,"mmm yyyy")</x:f>
        <x:v>Sep 2026</x:v>
      </x:c>
    </x:row>
    <x:row r="5689" ht="21" customHeight="1">
      <x:c r="A5689" s="10" t="n">
        <x:v>46267</x:v>
      </x:c>
      <x:c r="B5689" s="1" t="n">
        <x:v>0.5</x:v>
      </x:c>
      <x:c r="C5689" s="1" t="n">
        <x:v>6</x:v>
      </x:c>
      <x:c r="D5689" s="12" t="n">
        <x:v>0.257</x:v>
      </x:c>
      <x:c r="E5689" s="12" t="n">
        <x:v>0.268</x:v>
      </x:c>
      <x:c r="F5689" s="12" t="n">
        <x:v>0</x:v>
      </x:c>
      <x:c r="G5689" s="12" t="n">
        <x:v>0</x:v>
      </x:c>
      <x:c r="H5689" s="1" t="n">
        <x:f>'Historical prices'!E5689</x:f>
        <x:v>1.05</x:v>
      </x:c>
      <x:c r="I5689" s="6" t="n">
        <x:f>'Historical prices'!D5689</x:f>
        <x:v>0.2528</x:v>
      </x:c>
      <x:c r="J5689" s="13" t="n">
        <x:f>D5689*I5689*H5689</x:f>
        <x:v>0.06821808</x:v>
      </x:c>
      <x:c r="K5689" s="13" t="n">
        <x:f>E5689*I5689*H5689</x:f>
        <x:v>0.07113792000000002</x:v>
      </x:c>
      <x:c r="L5689" s="1" t="str">
        <x:f>TEXT(A5689,"mmm yyyy")</x:f>
        <x:v>Sep 2026</x:v>
      </x:c>
    </x:row>
    <x:row r="5690" ht="21" customHeight="1">
      <x:c r="A5690" s="10" t="n">
        <x:v>46267</x:v>
      </x:c>
      <x:c r="B5690" s="1" t="n">
        <x:v>1</x:v>
      </x:c>
      <x:c r="C5690" s="1" t="n">
        <x:v>6</x:v>
      </x:c>
      <x:c r="D5690" s="12" t="n">
        <x:v>4.1705</x:v>
      </x:c>
      <x:c r="E5690" s="12" t="n">
        <x:v>0.5465</x:v>
      </x:c>
      <x:c r="F5690" s="12" t="n">
        <x:v>0</x:v>
      </x:c>
      <x:c r="G5690" s="12" t="n">
        <x:v>3.6249999999999996</x:v>
      </x:c>
      <x:c r="H5690" s="1" t="n">
        <x:f>'Historical prices'!E5690</x:f>
        <x:v>1.05</x:v>
      </x:c>
      <x:c r="I5690" s="6" t="n">
        <x:f>'Historical prices'!D5690</x:f>
        <x:v>0.2463</x:v>
      </x:c>
      <x:c r="J5690" s="13" t="n">
        <x:f>D5690*I5690*H5690</x:f>
        <x:v>1.0785538575</x:v>
      </x:c>
      <x:c r="K5690" s="13" t="n">
        <x:f>E5690*I5690*H5690</x:f>
        <x:v>0.1413330975</x:v>
      </x:c>
      <x:c r="L5690" s="1" t="str">
        <x:f>TEXT(A5690,"mmm yyyy")</x:f>
        <x:v>Sep 2026</x:v>
      </x:c>
    </x:row>
    <x:row r="5691" ht="21" customHeight="1">
      <x:c r="A5691" s="10" t="n">
        <x:v>46267</x:v>
      </x:c>
      <x:c r="B5691" s="1" t="n">
        <x:v>1.5</x:v>
      </x:c>
      <x:c r="C5691" s="1" t="n">
        <x:v>6</x:v>
      </x:c>
      <x:c r="D5691" s="12" t="n">
        <x:v>1.031</x:v>
      </x:c>
      <x:c r="E5691" s="12" t="n">
        <x:v>0.334</x:v>
      </x:c>
      <x:c r="F5691" s="12" t="n">
        <x:v>0</x:v>
      </x:c>
      <x:c r="G5691" s="12" t="n">
        <x:v>0.703</x:v>
      </x:c>
      <x:c r="H5691" s="1" t="n">
        <x:f>'Historical prices'!E5691</x:f>
        <x:v>1.05</x:v>
      </x:c>
      <x:c r="I5691" s="6" t="n">
        <x:f>'Historical prices'!D5691</x:f>
        <x:v>0.2487</x:v>
      </x:c>
      <x:c r="J5691" s="13" t="n">
        <x:f>D5691*I5691*H5691</x:f>
        <x:v>0.26923018499999996</x:v>
      </x:c>
      <x:c r="K5691" s="13" t="n">
        <x:f>E5691*I5691*H5691</x:f>
        <x:v>0.08721909000000001</x:v>
      </x:c>
      <x:c r="L5691" s="1" t="str">
        <x:f>TEXT(A5691,"mmm yyyy")</x:f>
        <x:v>Sep 2026</x:v>
      </x:c>
    </x:row>
    <x:row r="5692" ht="21" customHeight="1">
      <x:c r="A5692" s="10" t="n">
        <x:v>46267</x:v>
      </x:c>
      <x:c r="B5692" s="1" t="n">
        <x:v>2</x:v>
      </x:c>
      <x:c r="C5692" s="1" t="n">
        <x:v>6</x:v>
      </x:c>
      <x:c r="D5692" s="12" t="n">
        <x:v>0.233</x:v>
      </x:c>
      <x:c r="E5692" s="12" t="n">
        <x:v>0.21000000000000002</x:v>
      </x:c>
      <x:c r="F5692" s="12" t="n">
        <x:v>0</x:v>
      </x:c>
      <x:c r="G5692" s="12" t="n">
        <x:v>0.033</x:v>
      </x:c>
      <x:c r="H5692" s="1" t="n">
        <x:f>'Historical prices'!E5692</x:f>
        <x:v>1.05</x:v>
      </x:c>
      <x:c r="I5692" s="6" t="n">
        <x:f>'Historical prices'!D5692</x:f>
        <x:v>0.2463</x:v>
      </x:c>
      <x:c r="J5692" s="13" t="n">
        <x:f>D5692*I5692*H5692</x:f>
        <x:v>0.060257295</x:v>
      </x:c>
      <x:c r="K5692" s="13" t="n">
        <x:f>E5692*I5692*H5692</x:f>
        <x:v>0.05430915000000001</x:v>
      </x:c>
      <x:c r="L5692" s="1" t="str">
        <x:f>TEXT(A5692,"mmm yyyy")</x:f>
        <x:v>Sep 2026</x:v>
      </x:c>
    </x:row>
    <x:row r="5693" ht="21" customHeight="1">
      <x:c r="A5693" s="10" t="n">
        <x:v>46267</x:v>
      </x:c>
      <x:c r="B5693" s="1" t="n">
        <x:v>2.5</x:v>
      </x:c>
      <x:c r="C5693" s="1" t="n">
        <x:v>6</x:v>
      </x:c>
      <x:c r="D5693" s="12" t="n">
        <x:v>3.4725</x:v>
      </x:c>
      <x:c r="E5693" s="12" t="n">
        <x:v>0.41950000000000004</x:v>
      </x:c>
      <x:c r="F5693" s="12" t="n">
        <x:v>0</x:v>
      </x:c>
      <x:c r="G5693" s="12" t="n">
        <x:v>3.0549999999999997</x:v>
      </x:c>
      <x:c r="H5693" s="1" t="n">
        <x:f>'Historical prices'!E5693</x:f>
        <x:v>1.05</x:v>
      </x:c>
      <x:c r="I5693" s="6" t="n">
        <x:f>'Historical prices'!D5693</x:f>
        <x:v>0.2452</x:v>
      </x:c>
      <x:c r="J5693" s="13" t="n">
        <x:f>D5693*I5693*H5693</x:f>
        <x:v>0.89402985</x:v>
      </x:c>
      <x:c r="K5693" s="13" t="n">
        <x:f>E5693*I5693*H5693</x:f>
        <x:v>0.10800447</x:v>
      </x:c>
      <x:c r="L5693" s="1" t="str">
        <x:f>TEXT(A5693,"mmm yyyy")</x:f>
        <x:v>Sep 2026</x:v>
      </x:c>
    </x:row>
    <x:row r="5694" ht="21" customHeight="1">
      <x:c r="A5694" s="10" t="n">
        <x:v>46267</x:v>
      </x:c>
      <x:c r="B5694" s="1" t="n">
        <x:v>3</x:v>
      </x:c>
      <x:c r="C5694" s="1" t="n">
        <x:v>6</x:v>
      </x:c>
      <x:c r="D5694" s="12" t="n">
        <x:v>1.45475</x:v>
      </x:c>
      <x:c r="E5694" s="12" t="n">
        <x:v>0.32875</x:v>
      </x:c>
      <x:c r="F5694" s="12" t="n">
        <x:v>0</x:v>
      </x:c>
      <x:c r="G5694" s="12" t="n">
        <x:v>1.127</x:v>
      </x:c>
      <x:c r="H5694" s="1" t="n">
        <x:f>'Historical prices'!E5694</x:f>
        <x:v>1.05</x:v>
      </x:c>
      <x:c r="I5694" s="6" t="n">
        <x:f>'Historical prices'!D5694</x:f>
        <x:v>0.2463</x:v>
      </x:c>
      <x:c r="J5694" s="13" t="n">
        <x:f>D5694*I5694*H5694</x:f>
        <x:v>0.37622017125</x:v>
      </x:c>
      <x:c r="K5694" s="13" t="n">
        <x:f>E5694*I5694*H5694</x:f>
        <x:v>0.08501968124999999</x:v>
      </x:c>
      <x:c r="L5694" s="1" t="str">
        <x:f>TEXT(A5694,"mmm yyyy")</x:f>
        <x:v>Sep 2026</x:v>
      </x:c>
    </x:row>
    <x:row r="5695" ht="21" customHeight="1">
      <x:c r="A5695" s="10" t="n">
        <x:v>46267</x:v>
      </x:c>
      <x:c r="B5695" s="1" t="n">
        <x:v>3.5</x:v>
      </x:c>
      <x:c r="C5695" s="1" t="n">
        <x:v>6</x:v>
      </x:c>
      <x:c r="D5695" s="12" t="n">
        <x:v>4.08125</x:v>
      </x:c>
      <x:c r="E5695" s="12" t="n">
        <x:v>0.41325</x:v>
      </x:c>
      <x:c r="F5695" s="12" t="n">
        <x:v>0</x:v>
      </x:c>
      <x:c r="G5695" s="12" t="n">
        <x:v>3.668</x:v>
      </x:c>
      <x:c r="H5695" s="1" t="n">
        <x:f>'Historical prices'!E5695</x:f>
        <x:v>1.05</x:v>
      </x:c>
      <x:c r="I5695" s="6" t="n">
        <x:f>'Historical prices'!D5695</x:f>
        <x:v>0.24350000000000002</x:v>
      </x:c>
      <x:c r="J5695" s="13" t="n">
        <x:f>D5695*I5695*H5695</x:f>
        <x:v>1.0434735937500002</x:v>
      </x:c>
      <x:c r="K5695" s="13" t="n">
        <x:f>E5695*I5695*H5695</x:f>
        <x:v>0.10565769375</x:v>
      </x:c>
      <x:c r="L5695" s="1" t="str">
        <x:f>TEXT(A5695,"mmm yyyy")</x:f>
        <x:v>Sep 2026</x:v>
      </x:c>
    </x:row>
    <x:row r="5696" ht="21" customHeight="1">
      <x:c r="A5696" s="10" t="n">
        <x:v>46267</x:v>
      </x:c>
      <x:c r="B5696" s="1" t="n">
        <x:v>4</x:v>
      </x:c>
      <x:c r="C5696" s="1" t="n">
        <x:v>6</x:v>
      </x:c>
      <x:c r="D5696" s="12" t="n">
        <x:v>0.893</x:v>
      </x:c>
      <x:c r="E5696" s="12" t="n">
        <x:v>0.302</x:v>
      </x:c>
      <x:c r="F5696" s="12" t="n">
        <x:v>0</x:v>
      </x:c>
      <x:c r="G5696" s="12" t="n">
        <x:v>0.595</x:v>
      </x:c>
      <x:c r="H5696" s="1" t="n">
        <x:f>'Historical prices'!E5696</x:f>
        <x:v>1.05</x:v>
      </x:c>
      <x:c r="I5696" s="6" t="n">
        <x:f>'Historical prices'!D5696</x:f>
        <x:v>0.2611</x:v>
      </x:c>
      <x:c r="J5696" s="13" t="n">
        <x:f>D5696*I5696*H5696</x:f>
        <x:v>0.24482041500000004</x:v>
      </x:c>
      <x:c r="K5696" s="13" t="n">
        <x:f>E5696*I5696*H5696</x:f>
        <x:v>0.08279481</x:v>
      </x:c>
      <x:c r="L5696" s="1" t="str">
        <x:f>TEXT(A5696,"mmm yyyy")</x:f>
        <x:v>Sep 2026</x:v>
      </x:c>
    </x:row>
    <x:row r="5697" ht="21" customHeight="1">
      <x:c r="A5697" s="10" t="n">
        <x:v>46267</x:v>
      </x:c>
      <x:c r="B5697" s="1" t="n">
        <x:v>4.5</x:v>
      </x:c>
      <x:c r="C5697" s="1" t="n">
        <x:v>6</x:v>
      </x:c>
      <x:c r="D5697" s="12" t="n">
        <x:v>0.2835</x:v>
      </x:c>
      <x:c r="E5697" s="12" t="n">
        <x:v>0.2935</x:v>
      </x:c>
      <x:c r="F5697" s="12" t="n">
        <x:v>0</x:v>
      </x:c>
      <x:c r="G5697" s="12" t="n">
        <x:v>0</x:v>
      </x:c>
      <x:c r="H5697" s="1" t="n">
        <x:f>'Historical prices'!E5697</x:f>
        <x:v>1.05</x:v>
      </x:c>
      <x:c r="I5697" s="6" t="n">
        <x:f>'Historical prices'!D5697</x:f>
        <x:v>0.25980000000000003</x:v>
      </x:c>
      <x:c r="J5697" s="13" t="n">
        <x:f>D5697*I5697*H5697</x:f>
        <x:v>0.077335965</x:v>
      </x:c>
      <x:c r="K5697" s="13" t="n">
        <x:f>E5697*I5697*H5697</x:f>
        <x:v>0.08006386500000001</x:v>
      </x:c>
      <x:c r="L5697" s="1" t="str">
        <x:f>TEXT(A5697,"mmm yyyy")</x:f>
        <x:v>Sep 2026</x:v>
      </x:c>
    </x:row>
    <x:row r="5698" ht="21" customHeight="1">
      <x:c r="A5698" s="10" t="n">
        <x:v>46267</x:v>
      </x:c>
      <x:c r="B5698" s="1" t="n">
        <x:v>5</x:v>
      </x:c>
      <x:c r="C5698" s="1" t="n">
        <x:v>6</x:v>
      </x:c>
      <x:c r="D5698" s="12" t="n">
        <x:v>0.27125</x:v>
      </x:c>
      <x:c r="E5698" s="12" t="n">
        <x:v>0.28125</x:v>
      </x:c>
      <x:c r="F5698" s="12" t="n">
        <x:v>0</x:v>
      </x:c>
      <x:c r="G5698" s="12" t="n">
        <x:v>0</x:v>
      </x:c>
      <x:c r="H5698" s="1" t="n">
        <x:f>'Historical prices'!E5698</x:f>
        <x:v>1.05</x:v>
      </x:c>
      <x:c r="I5698" s="6" t="n">
        <x:f>'Historical prices'!D5698</x:f>
        <x:v>0.2918</x:v>
      </x:c>
      <x:c r="J5698" s="13" t="n">
        <x:f>D5698*I5698*H5698</x:f>
        <x:v>0.08310828749999999</x:v>
      </x:c>
      <x:c r="K5698" s="13" t="n">
        <x:f>E5698*I5698*H5698</x:f>
        <x:v>0.0861721875</x:v>
      </x:c>
      <x:c r="L5698" s="1" t="str">
        <x:f>TEXT(A5698,"mmm yyyy")</x:f>
        <x:v>Sep 2026</x:v>
      </x:c>
    </x:row>
    <x:row r="5699" ht="21" customHeight="1">
      <x:c r="A5699" s="10" t="n">
        <x:v>46267</x:v>
      </x:c>
      <x:c r="B5699" s="1" t="n">
        <x:v>5.5</x:v>
      </x:c>
      <x:c r="C5699" s="1" t="n">
        <x:v>6</x:v>
      </x:c>
      <x:c r="D5699" s="12" t="n">
        <x:v>0.306</x:v>
      </x:c>
      <x:c r="E5699" s="12" t="n">
        <x:v>0.316</x:v>
      </x:c>
      <x:c r="F5699" s="12" t="n">
        <x:v>0</x:v>
      </x:c>
      <x:c r="G5699" s="12" t="n">
        <x:v>0</x:v>
      </x:c>
      <x:c r="H5699" s="1" t="n">
        <x:f>'Historical prices'!E5699</x:f>
        <x:v>1.05</x:v>
      </x:c>
      <x:c r="I5699" s="6" t="n">
        <x:f>'Historical prices'!D5699</x:f>
        <x:v>0.3005</x:v>
      </x:c>
      <x:c r="J5699" s="13" t="n">
        <x:f>D5699*I5699*H5699</x:f>
        <x:v>0.09655065</x:v>
      </x:c>
      <x:c r="K5699" s="13" t="n">
        <x:f>E5699*I5699*H5699</x:f>
        <x:v>0.0997059</x:v>
      </x:c>
      <x:c r="L5699" s="1" t="str">
        <x:f>TEXT(A5699,"mmm yyyy")</x:f>
        <x:v>Sep 2026</x:v>
      </x:c>
    </x:row>
    <x:row r="5700" ht="21" customHeight="1">
      <x:c r="A5700" s="10" t="n">
        <x:v>46267</x:v>
      </x:c>
      <x:c r="B5700" s="1" t="n">
        <x:v>6</x:v>
      </x:c>
      <x:c r="C5700" s="1" t="n">
        <x:v>6</x:v>
      </x:c>
      <x:c r="D5700" s="12" t="n">
        <x:v>0.49125</x:v>
      </x:c>
      <x:c r="E5700" s="12" t="n">
        <x:v>0.5012500000000001</x:v>
      </x:c>
      <x:c r="F5700" s="12" t="n">
        <x:v>0</x:v>
      </x:c>
      <x:c r="G5700" s="12" t="n">
        <x:v>0</x:v>
      </x:c>
      <x:c r="H5700" s="1" t="n">
        <x:f>'Historical prices'!E5700</x:f>
        <x:v>1.05</x:v>
      </x:c>
      <x:c r="I5700" s="6" t="n">
        <x:f>'Historical prices'!D5700</x:f>
        <x:v>0.29469999999999996</x:v>
      </x:c>
      <x:c r="J5700" s="13" t="n">
        <x:f>D5700*I5700*H5700</x:f>
        <x:v>0.15200994375</x:v>
      </x:c>
      <x:c r="K5700" s="13" t="n">
        <x:f>E5700*I5700*H5700</x:f>
        <x:v>0.15510429375</x:v>
      </x:c>
      <x:c r="L5700" s="1" t="str">
        <x:f>TEXT(A5700,"mmm yyyy")</x:f>
        <x:v>Sep 2026</x:v>
      </x:c>
    </x:row>
    <x:row r="5701" ht="21" customHeight="1">
      <x:c r="A5701" s="10" t="n">
        <x:v>46267</x:v>
      </x:c>
      <x:c r="B5701" s="1" t="n">
        <x:v>6.5</x:v>
      </x:c>
      <x:c r="C5701" s="1" t="n">
        <x:v>6</x:v>
      </x:c>
      <x:c r="D5701" s="12" t="n">
        <x:v>0.14225</x:v>
      </x:c>
      <x:c r="E5701" s="12" t="n">
        <x:v>0.69425</x:v>
      </x:c>
      <x:c r="F5701" s="12" t="n">
        <x:v>0.5495</x:v>
      </x:c>
      <x:c r="G5701" s="12" t="n">
        <x:v>0</x:v>
      </x:c>
      <x:c r="H5701" s="1" t="n">
        <x:f>'Historical prices'!E5701</x:f>
        <x:v>1.05</x:v>
      </x:c>
      <x:c r="I5701" s="6" t="n">
        <x:f>'Historical prices'!D5701</x:f>
        <x:v>0.33740000000000003</x:v>
      </x:c>
      <x:c r="J5701" s="13" t="n">
        <x:f>D5701*I5701*H5701</x:f>
        <x:v>0.0503949075</x:v>
      </x:c>
      <x:c r="K5701" s="13" t="n">
        <x:f>E5701*I5701*H5701</x:f>
        <x:v>0.24595194750000005</x:v>
      </x:c>
      <x:c r="L5701" s="1" t="str">
        <x:f>TEXT(A5701,"mmm yyyy")</x:f>
        <x:v>Sep 2026</x:v>
      </x:c>
    </x:row>
    <x:row r="5702" ht="21" customHeight="1">
      <x:c r="A5702" s="10" t="n">
        <x:v>46267</x:v>
      </x:c>
      <x:c r="B5702" s="1" t="n">
        <x:v>7</x:v>
      </x:c>
      <x:c r="C5702" s="1" t="n">
        <x:v>6</x:v>
      </x:c>
      <x:c r="D5702" s="12" t="n">
        <x:v>0</x:v>
      </x:c>
      <x:c r="E5702" s="12" t="n">
        <x:v>0.7371666666666666</x:v>
      </x:c>
      <x:c r="F5702" s="12" t="n">
        <x:v>0.722</x:v>
      </x:c>
      <x:c r="G5702" s="12" t="n">
        <x:v>0</x:v>
      </x:c>
      <x:c r="H5702" s="1" t="n">
        <x:f>'Historical prices'!E5702</x:f>
        <x:v>1.05</x:v>
      </x:c>
      <x:c r="I5702" s="6" t="n">
        <x:f>'Historical prices'!D5702</x:f>
        <x:v>0.3265</x:v>
      </x:c>
      <x:c r="J5702" s="13" t="n">
        <x:f>D5702*I5702*H5702</x:f>
        <x:v>0</x:v>
      </x:c>
      <x:c r="K5702" s="13" t="n">
        <x:f>E5702*I5702*H5702</x:f>
        <x:v>0.2527191625</x:v>
      </x:c>
      <x:c r="L5702" s="1" t="str">
        <x:f>TEXT(A5702,"mmm yyyy")</x:f>
        <x:v>Sep 2026</x:v>
      </x:c>
    </x:row>
    <x:row r="5703" ht="21" customHeight="1">
      <x:c r="A5703" s="10" t="n">
        <x:v>46267</x:v>
      </x:c>
      <x:c r="B5703" s="1" t="n">
        <x:v>7.5</x:v>
      </x:c>
      <x:c r="C5703" s="1" t="n">
        <x:v>6</x:v>
      </x:c>
      <x:c r="D5703" s="12" t="n">
        <x:v>0</x:v>
      </x:c>
      <x:c r="E5703" s="12" t="n">
        <x:v>0.8343333333333334</x:v>
      </x:c>
      <x:c r="F5703" s="12" t="n">
        <x:v>0.8338333333333334</x:v>
      </x:c>
      <x:c r="G5703" s="12" t="n">
        <x:v>0</x:v>
      </x:c>
      <x:c r="H5703" s="1" t="n">
        <x:f>'Historical prices'!E5703</x:f>
        <x:v>1.05</x:v>
      </x:c>
      <x:c r="I5703" s="6" t="n">
        <x:f>'Historical prices'!D5703</x:f>
        <x:v>0.34659999999999996</x:v>
      </x:c>
      <x:c r="J5703" s="13" t="n">
        <x:f>D5703*I5703*H5703</x:f>
        <x:v>0</x:v>
      </x:c>
      <x:c r="K5703" s="13" t="n">
        <x:f>E5703*I5703*H5703</x:f>
        <x:v>0.30363893</x:v>
      </x:c>
      <x:c r="L5703" s="1" t="str">
        <x:f>TEXT(A5703,"mmm yyyy")</x:f>
        <x:v>Sep 2026</x:v>
      </x:c>
    </x:row>
    <x:row r="5704" ht="21" customHeight="1">
      <x:c r="A5704" s="10" t="n">
        <x:v>46267</x:v>
      </x:c>
      <x:c r="B5704" s="1" t="n">
        <x:v>8</x:v>
      </x:c>
      <x:c r="C5704" s="1" t="n">
        <x:v>6</x:v>
      </x:c>
      <x:c r="D5704" s="12" t="n">
        <x:v>0</x:v>
      </x:c>
      <x:c r="E5704" s="12" t="n">
        <x:v>0.7369166666666667</x:v>
      </x:c>
      <x:c r="F5704" s="12" t="n">
        <x:v>0.721</x:v>
      </x:c>
      <x:c r="G5704" s="12" t="n">
        <x:v>0</x:v>
      </x:c>
      <x:c r="H5704" s="1" t="n">
        <x:f>'Historical prices'!E5704</x:f>
        <x:v>1.05</x:v>
      </x:c>
      <x:c r="I5704" s="6" t="n">
        <x:f>'Historical prices'!D5704</x:f>
        <x:v>0.3011</x:v>
      </x:c>
      <x:c r="J5704" s="13" t="n">
        <x:f>D5704*I5704*H5704</x:f>
        <x:v>0</x:v>
      </x:c>
      <x:c r="K5704" s="13" t="n">
        <x:f>E5704*I5704*H5704</x:f>
        <x:v>0.23297988875</x:v>
      </x:c>
      <x:c r="L5704" s="1" t="str">
        <x:f>TEXT(A5704,"mmm yyyy")</x:f>
        <x:v>Sep 2026</x:v>
      </x:c>
    </x:row>
    <x:row r="5705" ht="21" customHeight="1">
      <x:c r="A5705" s="10" t="n">
        <x:v>46267</x:v>
      </x:c>
      <x:c r="B5705" s="1" t="n">
        <x:v>8.5</x:v>
      </x:c>
      <x:c r="C5705" s="1" t="n">
        <x:v>6</x:v>
      </x:c>
      <x:c r="D5705" s="12" t="n">
        <x:v>0.009</x:v>
      </x:c>
      <x:c r="E5705" s="12" t="n">
        <x:v>0.77525</x:v>
      </x:c>
      <x:c r="F5705" s="12" t="n">
        <x:v>0.766</x:v>
      </x:c>
      <x:c r="G5705" s="12" t="n">
        <x:v>0</x:v>
      </x:c>
      <x:c r="H5705" s="1" t="n">
        <x:f>'Historical prices'!E5705</x:f>
        <x:v>1.05</x:v>
      </x:c>
      <x:c r="I5705" s="6" t="n">
        <x:f>'Historical prices'!D5705</x:f>
        <x:v>0.30260000000000004</x:v>
      </x:c>
      <x:c r="J5705" s="13" t="n">
        <x:f>D5705*I5705*H5705</x:f>
        <x:v>0.00285957</x:v>
      </x:c>
      <x:c r="K5705" s="13" t="n">
        <x:f>E5705*I5705*H5705</x:f>
        <x:v>0.24632018250000004</x:v>
      </x:c>
      <x:c r="L5705" s="1" t="str">
        <x:f>TEXT(A5705,"mmm yyyy")</x:f>
        <x:v>Sep 2026</x:v>
      </x:c>
    </x:row>
    <x:row r="5706" ht="21" customHeight="1">
      <x:c r="A5706" s="10" t="n">
        <x:v>46267</x:v>
      </x:c>
      <x:c r="B5706" s="1" t="n">
        <x:v>9</x:v>
      </x:c>
      <x:c r="C5706" s="1" t="n">
        <x:v>6</x:v>
      </x:c>
      <x:c r="D5706" s="12" t="n">
        <x:v>0.008916666666666666</x:v>
      </x:c>
      <x:c r="E5706" s="12" t="n">
        <x:v>0.8208333333333333</x:v>
      </x:c>
      <x:c r="F5706" s="12" t="n">
        <x:v>0.805</x:v>
      </x:c>
      <x:c r="G5706" s="12" t="n">
        <x:v>0</x:v>
      </x:c>
      <x:c r="H5706" s="1" t="n">
        <x:f>'Historical prices'!E5706</x:f>
        <x:v>1.05</x:v>
      </x:c>
      <x:c r="I5706" s="6" t="n">
        <x:f>'Historical prices'!D5706</x:f>
        <x:v>0.3054</x:v>
      </x:c>
      <x:c r="J5706" s="13" t="n">
        <x:f>D5706*I5706*H5706</x:f>
        <x:v>0.0028593075000000003</x:v>
      </x:c>
      <x:c r="K5706" s="13" t="n">
        <x:f>E5706*I5706*H5706</x:f>
        <x:v>0.263216625</x:v>
      </x:c>
      <x:c r="L5706" s="1" t="str">
        <x:f>TEXT(A5706,"mmm yyyy")</x:f>
        <x:v>Sep 2026</x:v>
      </x:c>
    </x:row>
    <x:row r="5707" ht="21" customHeight="1">
      <x:c r="A5707" s="10" t="n">
        <x:v>46267</x:v>
      </x:c>
      <x:c r="B5707" s="1" t="n">
        <x:v>9.5</x:v>
      </x:c>
      <x:c r="C5707" s="1" t="n">
        <x:v>6</x:v>
      </x:c>
      <x:c r="D5707" s="12" t="n">
        <x:v>0.6639999999999999</x:v>
      </x:c>
      <x:c r="E5707" s="12" t="n">
        <x:v>0.8149166666666666</x:v>
      </x:c>
      <x:c r="F5707" s="12" t="n">
        <x:v>0.14091666666666666</x:v>
      </x:c>
      <x:c r="G5707" s="12" t="n">
        <x:v>0</x:v>
      </x:c>
      <x:c r="H5707" s="1" t="n">
        <x:f>'Historical prices'!E5707</x:f>
        <x:v>1.05</x:v>
      </x:c>
      <x:c r="I5707" s="6" t="n">
        <x:f>'Historical prices'!D5707</x:f>
        <x:v>0.2942</x:v>
      </x:c>
      <x:c r="J5707" s="13" t="n">
        <x:f>D5707*I5707*H5707</x:f>
        <x:v>0.20511624</x:v>
      </x:c>
      <x:c r="K5707" s="13" t="n">
        <x:f>E5707*I5707*H5707</x:f>
        <x:v>0.2517359075</x:v>
      </x:c>
      <x:c r="L5707" s="1" t="str">
        <x:f>TEXT(A5707,"mmm yyyy")</x:f>
        <x:v>Sep 2026</x:v>
      </x:c>
    </x:row>
    <x:row r="5708" ht="21" customHeight="1">
      <x:c r="A5708" s="10" t="n">
        <x:v>46267</x:v>
      </x:c>
      <x:c r="B5708" s="1" t="n">
        <x:v>10</x:v>
      </x:c>
      <x:c r="C5708" s="1" t="n">
        <x:v>6</x:v>
      </x:c>
      <x:c r="D5708" s="12" t="n">
        <x:v>0.581</x:v>
      </x:c>
      <x:c r="E5708" s="12" t="n">
        <x:v>0.592</x:v>
      </x:c>
      <x:c r="F5708" s="12" t="n">
        <x:v>0</x:v>
      </x:c>
      <x:c r="G5708" s="12" t="n">
        <x:v>0</x:v>
      </x:c>
      <x:c r="H5708" s="1" t="n">
        <x:f>'Historical prices'!E5708</x:f>
        <x:v>1.05</x:v>
      </x:c>
      <x:c r="I5708" s="6" t="n">
        <x:f>'Historical prices'!D5708</x:f>
        <x:v>0.2921</x:v>
      </x:c>
      <x:c r="J5708" s="13" t="n">
        <x:f>D5708*I5708*H5708</x:f>
        <x:v>0.178195605</x:v>
      </x:c>
      <x:c r="K5708" s="13" t="n">
        <x:f>E5708*I5708*H5708</x:f>
        <x:v>0.18156936</x:v>
      </x:c>
      <x:c r="L5708" s="1" t="str">
        <x:f>TEXT(A5708,"mmm yyyy")</x:f>
        <x:v>Sep 2026</x:v>
      </x:c>
    </x:row>
    <x:row r="5709" ht="21" customHeight="1">
      <x:c r="A5709" s="10" t="n">
        <x:v>46267</x:v>
      </x:c>
      <x:c r="B5709" s="1" t="n">
        <x:v>10.5</x:v>
      </x:c>
      <x:c r="C5709" s="1" t="n">
        <x:v>6</x:v>
      </x:c>
      <x:c r="D5709" s="12" t="n">
        <x:v>0.77725</x:v>
      </x:c>
      <x:c r="E5709" s="12" t="n">
        <x:v>0.7872500000000001</x:v>
      </x:c>
      <x:c r="F5709" s="12" t="n">
        <x:v>0</x:v>
      </x:c>
      <x:c r="G5709" s="12" t="n">
        <x:v>0</x:v>
      </x:c>
      <x:c r="H5709" s="1" t="n">
        <x:f>'Historical prices'!E5709</x:f>
        <x:v>1.05</x:v>
      </x:c>
      <x:c r="I5709" s="6" t="n">
        <x:f>'Historical prices'!D5709</x:f>
        <x:v>0.282</x:v>
      </x:c>
      <x:c r="J5709" s="13" t="n">
        <x:f>D5709*I5709*H5709</x:f>
        <x:v>0.230143725</x:v>
      </x:c>
      <x:c r="K5709" s="13" t="n">
        <x:f>E5709*I5709*H5709</x:f>
        <x:v>0.23310472500000004</x:v>
      </x:c>
      <x:c r="L5709" s="1" t="str">
        <x:f>TEXT(A5709,"mmm yyyy")</x:f>
        <x:v>Sep 2026</x:v>
      </x:c>
    </x:row>
    <x:row r="5710" ht="21" customHeight="1">
      <x:c r="A5710" s="10" t="n">
        <x:v>46267</x:v>
      </x:c>
      <x:c r="B5710" s="1" t="n">
        <x:v>11</x:v>
      </x:c>
      <x:c r="C5710" s="1" t="n">
        <x:v>6</x:v>
      </x:c>
      <x:c r="D5710" s="12" t="n">
        <x:v>0.6092500000000001</x:v>
      </x:c>
      <x:c r="E5710" s="12" t="n">
        <x:v>0.6192500000000001</x:v>
      </x:c>
      <x:c r="F5710" s="12" t="n">
        <x:v>0</x:v>
      </x:c>
      <x:c r="G5710" s="12" t="n">
        <x:v>0</x:v>
      </x:c>
      <x:c r="H5710" s="1" t="n">
        <x:f>'Historical prices'!E5710</x:f>
        <x:v>1.05</x:v>
      </x:c>
      <x:c r="I5710" s="6" t="n">
        <x:f>'Historical prices'!D5710</x:f>
        <x:v>0.2799</x:v>
      </x:c>
      <x:c r="J5710" s="13" t="n">
        <x:f>D5710*I5710*H5710</x:f>
        <x:v>0.17905552875</x:v>
      </x:c>
      <x:c r="K5710" s="13" t="n">
        <x:f>E5710*I5710*H5710</x:f>
        <x:v>0.18199447875</x:v>
      </x:c>
      <x:c r="L5710" s="1" t="str">
        <x:f>TEXT(A5710,"mmm yyyy")</x:f>
        <x:v>Sep 2026</x:v>
      </x:c>
    </x:row>
    <x:row r="5711" ht="21" customHeight="1">
      <x:c r="A5711" s="10" t="n">
        <x:v>46267</x:v>
      </x:c>
      <x:c r="B5711" s="1" t="n">
        <x:v>11.5</x:v>
      </x:c>
      <x:c r="C5711" s="1" t="n">
        <x:v>6</x:v>
      </x:c>
      <x:c r="D5711" s="12" t="n">
        <x:v>0.5634999999999999</x:v>
      </x:c>
      <x:c r="E5711" s="12" t="n">
        <x:v>0.5734999999999999</x:v>
      </x:c>
      <x:c r="F5711" s="12" t="n">
        <x:v>0</x:v>
      </x:c>
      <x:c r="G5711" s="12" t="n">
        <x:v>0</x:v>
      </x:c>
      <x:c r="H5711" s="1" t="n">
        <x:f>'Historical prices'!E5711</x:f>
        <x:v>1.05</x:v>
      </x:c>
      <x:c r="I5711" s="6" t="n">
        <x:f>'Historical prices'!D5711</x:f>
        <x:v>0.2774</x:v>
      </x:c>
      <x:c r="J5711" s="13" t="n">
        <x:f>D5711*I5711*H5711</x:f>
        <x:v>0.16413064499999996</x:v>
      </x:c>
      <x:c r="K5711" s="13" t="n">
        <x:f>E5711*I5711*H5711</x:f>
        <x:v>0.16704334499999995</x:v>
      </x:c>
      <x:c r="L5711" s="1" t="str">
        <x:f>TEXT(A5711,"mmm yyyy")</x:f>
        <x:v>Sep 2026</x:v>
      </x:c>
    </x:row>
    <x:row r="5712" ht="21" customHeight="1">
      <x:c r="A5712" s="10" t="n">
        <x:v>46267</x:v>
      </x:c>
      <x:c r="B5712" s="1" t="n">
        <x:v>12</x:v>
      </x:c>
      <x:c r="C5712" s="1" t="n">
        <x:v>6</x:v>
      </x:c>
      <x:c r="D5712" s="12" t="n">
        <x:v>0.5902499999999999</x:v>
      </x:c>
      <x:c r="E5712" s="12" t="n">
        <x:v>0.60125</x:v>
      </x:c>
      <x:c r="F5712" s="12" t="n">
        <x:v>0</x:v>
      </x:c>
      <x:c r="G5712" s="12" t="n">
        <x:v>0</x:v>
      </x:c>
      <x:c r="H5712" s="1" t="n">
        <x:f>'Historical prices'!E5712</x:f>
        <x:v>1.05</x:v>
      </x:c>
      <x:c r="I5712" s="6" t="n">
        <x:f>'Historical prices'!D5712</x:f>
        <x:v>0.2601</x:v>
      </x:c>
      <x:c r="J5712" s="13" t="n">
        <x:f>D5712*I5712*H5712</x:f>
        <x:v>0.16120022625</x:v>
      </x:c>
      <x:c r="K5712" s="13" t="n">
        <x:f>E5712*I5712*H5712</x:f>
        <x:v>0.16420438125</x:v>
      </x:c>
      <x:c r="L5712" s="1" t="str">
        <x:f>TEXT(A5712,"mmm yyyy")</x:f>
        <x:v>Sep 2026</x:v>
      </x:c>
    </x:row>
    <x:row r="5713" ht="21" customHeight="1">
      <x:c r="A5713" s="10" t="n">
        <x:v>46267</x:v>
      </x:c>
      <x:c r="B5713" s="1" t="n">
        <x:v>12.5</x:v>
      </x:c>
      <x:c r="C5713" s="1" t="n">
        <x:v>6</x:v>
      </x:c>
      <x:c r="D5713" s="12" t="n">
        <x:v>0.6020000000000001</x:v>
      </x:c>
      <x:c r="E5713" s="12" t="n">
        <x:v>0.6120000000000001</x:v>
      </x:c>
      <x:c r="F5713" s="12" t="n">
        <x:v>0</x:v>
      </x:c>
      <x:c r="G5713" s="12" t="n">
        <x:v>0</x:v>
      </x:c>
      <x:c r="H5713" s="1" t="n">
        <x:f>'Historical prices'!E5713</x:f>
        <x:v>1.05</x:v>
      </x:c>
      <x:c r="I5713" s="6" t="n">
        <x:f>'Historical prices'!D5713</x:f>
        <x:v>0.2522</x:v>
      </x:c>
      <x:c r="J5713" s="13" t="n">
        <x:f>D5713*I5713*H5713</x:f>
        <x:v>0.15941562</x:v>
      </x:c>
      <x:c r="K5713" s="13" t="n">
        <x:f>E5713*I5713*H5713</x:f>
        <x:v>0.16206372000000002</x:v>
      </x:c>
      <x:c r="L5713" s="1" t="str">
        <x:f>TEXT(A5713,"mmm yyyy")</x:f>
        <x:v>Sep 2026</x:v>
      </x:c>
    </x:row>
    <x:row r="5714" ht="21" customHeight="1">
      <x:c r="A5714" s="10" t="n">
        <x:v>46267</x:v>
      </x:c>
      <x:c r="B5714" s="1" t="n">
        <x:v>13</x:v>
      </x:c>
      <x:c r="C5714" s="1" t="n">
        <x:v>6</x:v>
      </x:c>
      <x:c r="D5714" s="12" t="n">
        <x:v>0.56975</x:v>
      </x:c>
      <x:c r="E5714" s="12" t="n">
        <x:v>0.57975</x:v>
      </x:c>
      <x:c r="F5714" s="12" t="n">
        <x:v>0</x:v>
      </x:c>
      <x:c r="G5714" s="12" t="n">
        <x:v>0</x:v>
      </x:c>
      <x:c r="H5714" s="1" t="n">
        <x:f>'Historical prices'!E5714</x:f>
        <x:v>1.05</x:v>
      </x:c>
      <x:c r="I5714" s="6" t="n">
        <x:f>'Historical prices'!D5714</x:f>
        <x:v>0.2564</x:v>
      </x:c>
      <x:c r="J5714" s="13" t="n">
        <x:f>D5714*I5714*H5714</x:f>
        <x:v>0.15338809500000003</x:v>
      </x:c>
      <x:c r="K5714" s="13" t="n">
        <x:f>E5714*I5714*H5714</x:f>
        <x:v>0.156080295</x:v>
      </x:c>
      <x:c r="L5714" s="1" t="str">
        <x:f>TEXT(A5714,"mmm yyyy")</x:f>
        <x:v>Sep 2026</x:v>
      </x:c>
    </x:row>
    <x:row r="5715" ht="21" customHeight="1">
      <x:c r="A5715" s="10" t="n">
        <x:v>46267</x:v>
      </x:c>
      <x:c r="B5715" s="1" t="n">
        <x:v>13.5</x:v>
      </x:c>
      <x:c r="C5715" s="1" t="n">
        <x:v>6</x:v>
      </x:c>
      <x:c r="D5715" s="12" t="n">
        <x:v>0.6035</x:v>
      </x:c>
      <x:c r="E5715" s="12" t="n">
        <x:v>0.6145</x:v>
      </x:c>
      <x:c r="F5715" s="12" t="n">
        <x:v>0</x:v>
      </x:c>
      <x:c r="G5715" s="12" t="n">
        <x:v>0</x:v>
      </x:c>
      <x:c r="H5715" s="1" t="n">
        <x:f>'Historical prices'!E5715</x:f>
        <x:v>1.05</x:v>
      </x:c>
      <x:c r="I5715" s="6" t="n">
        <x:f>'Historical prices'!D5715</x:f>
        <x:v>0.2522</x:v>
      </x:c>
      <x:c r="J5715" s="13" t="n">
        <x:f>D5715*I5715*H5715</x:f>
        <x:v>0.15981283500000001</x:v>
      </x:c>
      <x:c r="K5715" s="13" t="n">
        <x:f>E5715*I5715*H5715</x:f>
        <x:v>0.162725745</x:v>
      </x:c>
      <x:c r="L5715" s="1" t="str">
        <x:f>TEXT(A5715,"mmm yyyy")</x:f>
        <x:v>Sep 2026</x:v>
      </x:c>
    </x:row>
    <x:row r="5716" ht="21" customHeight="1">
      <x:c r="A5716" s="10" t="n">
        <x:v>46267</x:v>
      </x:c>
      <x:c r="B5716" s="1" t="n">
        <x:v>14</x:v>
      </x:c>
      <x:c r="C5716" s="1" t="n">
        <x:v>6</x:v>
      </x:c>
      <x:c r="D5716" s="12" t="n">
        <x:v>0.5415</x:v>
      </x:c>
      <x:c r="E5716" s="12" t="n">
        <x:v>0.5505</x:v>
      </x:c>
      <x:c r="F5716" s="12" t="n">
        <x:v>0</x:v>
      </x:c>
      <x:c r="G5716" s="12" t="n">
        <x:v>0</x:v>
      </x:c>
      <x:c r="H5716" s="1" t="n">
        <x:f>'Historical prices'!E5716</x:f>
        <x:v>1.05</x:v>
      </x:c>
      <x:c r="I5716" s="6" t="n">
        <x:f>'Historical prices'!D5716</x:f>
        <x:v>0.2523</x:v>
      </x:c>
      <x:c r="J5716" s="13" t="n">
        <x:f>D5716*I5716*H5716</x:f>
        <x:v>0.1434514725</x:v>
      </x:c>
      <x:c r="K5716" s="13" t="n">
        <x:f>E5716*I5716*H5716</x:f>
        <x:v>0.14583570750000002</x:v>
      </x:c>
      <x:c r="L5716" s="1" t="str">
        <x:f>TEXT(A5716,"mmm yyyy")</x:f>
        <x:v>Sep 2026</x:v>
      </x:c>
    </x:row>
    <x:row r="5717" ht="21" customHeight="1">
      <x:c r="A5717" s="10" t="n">
        <x:v>46267</x:v>
      </x:c>
      <x:c r="B5717" s="1" t="n">
        <x:v>14.5</x:v>
      </x:c>
      <x:c r="C5717" s="1" t="n">
        <x:v>6</x:v>
      </x:c>
      <x:c r="D5717" s="12" t="n">
        <x:v>0.7047500000000001</x:v>
      </x:c>
      <x:c r="E5717" s="12" t="n">
        <x:v>0.7157500000000001</x:v>
      </x:c>
      <x:c r="F5717" s="12" t="n">
        <x:v>0</x:v>
      </x:c>
      <x:c r="G5717" s="12" t="n">
        <x:v>0</x:v>
      </x:c>
      <x:c r="H5717" s="1" t="n">
        <x:f>'Historical prices'!E5717</x:f>
        <x:v>1.05</x:v>
      </x:c>
      <x:c r="I5717" s="6" t="n">
        <x:f>'Historical prices'!D5717</x:f>
        <x:v>0.2463</x:v>
      </x:c>
      <x:c r="J5717" s="13" t="n">
        <x:f>D5717*I5717*H5717</x:f>
        <x:v>0.18225892125000004</x:v>
      </x:c>
      <x:c r="K5717" s="13" t="n">
        <x:f>E5717*I5717*H5717</x:f>
        <x:v>0.18510368625000004</x:v>
      </x:c>
      <x:c r="L5717" s="1" t="str">
        <x:f>TEXT(A5717,"mmm yyyy")</x:f>
        <x:v>Sep 2026</x:v>
      </x:c>
    </x:row>
    <x:row r="5718" ht="21" customHeight="1">
      <x:c r="A5718" s="10" t="n">
        <x:v>46267</x:v>
      </x:c>
      <x:c r="B5718" s="1" t="n">
        <x:v>15</x:v>
      </x:c>
      <x:c r="C5718" s="1" t="n">
        <x:v>6</x:v>
      </x:c>
      <x:c r="D5718" s="12" t="n">
        <x:v>0.5467500000000001</x:v>
      </x:c>
      <x:c r="E5718" s="12" t="n">
        <x:v>0.55775</x:v>
      </x:c>
      <x:c r="F5718" s="12" t="n">
        <x:v>0</x:v>
      </x:c>
      <x:c r="G5718" s="12" t="n">
        <x:v>0</x:v>
      </x:c>
      <x:c r="H5718" s="1" t="n">
        <x:f>'Historical prices'!E5718</x:f>
        <x:v>1.05</x:v>
      </x:c>
      <x:c r="I5718" s="6" t="n">
        <x:f>'Historical prices'!D5718</x:f>
        <x:v>0.2463</x:v>
      </x:c>
      <x:c r="J5718" s="13" t="n">
        <x:f>D5718*I5718*H5718</x:f>
        <x:v>0.14139775125</x:v>
      </x:c>
      <x:c r="K5718" s="13" t="n">
        <x:f>E5718*I5718*H5718</x:f>
        <x:v>0.14424251624999998</x:v>
      </x:c>
      <x:c r="L5718" s="1" t="str">
        <x:f>TEXT(A5718,"mmm yyyy")</x:f>
        <x:v>Sep 2026</x:v>
      </x:c>
    </x:row>
    <x:row r="5719" ht="21" customHeight="1">
      <x:c r="A5719" s="10" t="n">
        <x:v>46267</x:v>
      </x:c>
      <x:c r="B5719" s="1" t="n">
        <x:v>15.5</x:v>
      </x:c>
      <x:c r="C5719" s="1" t="n">
        <x:v>6</x:v>
      </x:c>
      <x:c r="D5719" s="12" t="n">
        <x:v>0.63225</x:v>
      </x:c>
      <x:c r="E5719" s="12" t="n">
        <x:v>0.64225</x:v>
      </x:c>
      <x:c r="F5719" s="12" t="n">
        <x:v>0</x:v>
      </x:c>
      <x:c r="G5719" s="12" t="n">
        <x:v>0</x:v>
      </x:c>
      <x:c r="H5719" s="1" t="n">
        <x:f>'Historical prices'!E5719</x:f>
        <x:v>1.05</x:v>
      </x:c>
      <x:c r="I5719" s="6" t="n">
        <x:f>'Historical prices'!D5719</x:f>
        <x:v>0.24789999999999998</x:v>
      </x:c>
      <x:c r="J5719" s="13" t="n">
        <x:f>D5719*I5719*H5719</x:f>
        <x:v>0.16457151375</x:v>
      </x:c>
      <x:c r="K5719" s="13" t="n">
        <x:f>E5719*I5719*H5719</x:f>
        <x:v>0.16717446374999997</x:v>
      </x:c>
      <x:c r="L5719" s="1" t="str">
        <x:f>TEXT(A5719,"mmm yyyy")</x:f>
        <x:v>Sep 2026</x:v>
      </x:c>
    </x:row>
    <x:row r="5720" ht="21" customHeight="1">
      <x:c r="A5720" s="10" t="n">
        <x:v>46267</x:v>
      </x:c>
      <x:c r="B5720" s="1" t="n">
        <x:v>16</x:v>
      </x:c>
      <x:c r="C5720" s="1" t="n">
        <x:v>6</x:v>
      </x:c>
      <x:c r="D5720" s="12" t="n">
        <x:v>0.11225</x:v>
      </x:c>
      <x:c r="E5720" s="12" t="n">
        <x:v>0.74475</x:v>
      </x:c>
      <x:c r="F5720" s="12" t="n">
        <x:v>0.6265000000000001</x:v>
      </x:c>
      <x:c r="G5720" s="12" t="n">
        <x:v>0</x:v>
      </x:c>
      <x:c r="H5720" s="1" t="n">
        <x:f>'Historical prices'!E5720</x:f>
        <x:v>1.05</x:v>
      </x:c>
      <x:c r="I5720" s="6" t="n">
        <x:f>'Historical prices'!D5720</x:f>
        <x:v>0.3901</x:v>
      </x:c>
      <x:c r="J5720" s="13" t="n">
        <x:f>D5720*I5720*H5720</x:f>
        <x:v>0.04597816125</x:v>
      </x:c>
      <x:c r="K5720" s="13" t="n">
        <x:f>E5720*I5720*H5720</x:f>
        <x:v>0.30505332375000005</x:v>
      </x:c>
      <x:c r="L5720" s="1" t="str">
        <x:f>TEXT(A5720,"mmm yyyy")</x:f>
        <x:v>Sep 2026</x:v>
      </x:c>
    </x:row>
    <x:row r="5721" ht="21" customHeight="1">
      <x:c r="A5721" s="10" t="n">
        <x:v>46267</x:v>
      </x:c>
      <x:c r="B5721" s="1" t="n">
        <x:v>16.5</x:v>
      </x:c>
      <x:c r="C5721" s="1" t="n">
        <x:v>6</x:v>
      </x:c>
      <x:c r="D5721" s="12" t="n">
        <x:v>0</x:v>
      </x:c>
      <x:c r="E5721" s="12" t="n">
        <x:v>0.8579166666666668</x:v>
      </x:c>
      <x:c r="F5721" s="12" t="n">
        <x:v>0.8577500000000001</x:v>
      </x:c>
      <x:c r="G5721" s="12" t="n">
        <x:v>0</x:v>
      </x:c>
      <x:c r="H5721" s="1" t="n">
        <x:f>'Historical prices'!E5721</x:f>
        <x:v>1.05</x:v>
      </x:c>
      <x:c r="I5721" s="6" t="n">
        <x:f>'Historical prices'!D5721</x:f>
        <x:v>0.401</x:v>
      </x:c>
      <x:c r="J5721" s="13" t="n">
        <x:f>D5721*I5721*H5721</x:f>
        <x:v>0</x:v>
      </x:c>
      <x:c r="K5721" s="13" t="n">
        <x:f>E5721*I5721*H5721</x:f>
        <x:v>0.3612258125000001</x:v>
      </x:c>
      <x:c r="L5721" s="1" t="str">
        <x:f>TEXT(A5721,"mmm yyyy")</x:f>
        <x:v>Sep 2026</x:v>
      </x:c>
    </x:row>
    <x:row r="5722" ht="21" customHeight="1">
      <x:c r="A5722" s="10" t="n">
        <x:v>46267</x:v>
      </x:c>
      <x:c r="B5722" s="1" t="n">
        <x:v>17</x:v>
      </x:c>
      <x:c r="C5722" s="1" t="n">
        <x:v>6</x:v>
      </x:c>
      <x:c r="D5722" s="12" t="n">
        <x:v>0.041166666666666664</x:v>
      </x:c>
      <x:c r="E5722" s="12" t="n">
        <x:v>0.8091666666666666</x:v>
      </x:c>
      <x:c r="F5722" s="12" t="n">
        <x:v>0.7676666666666667</x:v>
      </x:c>
      <x:c r="G5722" s="12" t="n">
        <x:v>0</x:v>
      </x:c>
      <x:c r="H5722" s="1" t="n">
        <x:f>'Historical prices'!E5722</x:f>
        <x:v>1.05</x:v>
      </x:c>
      <x:c r="I5722" s="6" t="n">
        <x:f>'Historical prices'!D5722</x:f>
        <x:v>0.4325</x:v>
      </x:c>
      <x:c r="J5722" s="13" t="n">
        <x:f>D5722*I5722*H5722</x:f>
        <x:v>0.018694812499999998</x:v>
      </x:c>
      <x:c r="K5722" s="13" t="n">
        <x:f>E5722*I5722*H5722</x:f>
        <x:v>0.36746281249999996</x:v>
      </x:c>
      <x:c r="L5722" s="1" t="str">
        <x:f>TEXT(A5722,"mmm yyyy")</x:f>
        <x:v>Sep 2026</x:v>
      </x:c>
    </x:row>
    <x:row r="5723" ht="21" customHeight="1">
      <x:c r="A5723" s="10" t="n">
        <x:v>46267</x:v>
      </x:c>
      <x:c r="B5723" s="1" t="n">
        <x:v>17.5</x:v>
      </x:c>
      <x:c r="C5723" s="1" t="n">
        <x:v>6</x:v>
      </x:c>
      <x:c r="D5723" s="12" t="n">
        <x:v>0.012416666666666666</x:v>
      </x:c>
      <x:c r="E5723" s="12" t="n">
        <x:v>0.7245</x:v>
      </x:c>
      <x:c r="F5723" s="12" t="n">
        <x:v>0.7008333333333333</x:v>
      </x:c>
      <x:c r="G5723" s="12" t="n">
        <x:v>0</x:v>
      </x:c>
      <x:c r="H5723" s="1" t="n">
        <x:f>'Historical prices'!E5723</x:f>
        <x:v>1.05</x:v>
      </x:c>
      <x:c r="I5723" s="6" t="n">
        <x:f>'Historical prices'!D5723</x:f>
        <x:v>0.4436</x:v>
      </x:c>
      <x:c r="J5723" s="13" t="n">
        <x:f>D5723*I5723*H5723</x:f>
        <x:v>0.005783435</x:v>
      </x:c>
      <x:c r="K5723" s="13" t="n">
        <x:f>E5723*I5723*H5723</x:f>
        <x:v>0.33745761</x:v>
      </x:c>
      <x:c r="L5723" s="1" t="str">
        <x:f>TEXT(A5723,"mmm yyyy")</x:f>
        <x:v>Sep 2026</x:v>
      </x:c>
    </x:row>
    <x:row r="5724" ht="21" customHeight="1">
      <x:c r="A5724" s="10" t="n">
        <x:v>46267</x:v>
      </x:c>
      <x:c r="B5724" s="1" t="n">
        <x:v>18</x:v>
      </x:c>
      <x:c r="C5724" s="1" t="n">
        <x:v>6</x:v>
      </x:c>
      <x:c r="D5724" s="12" t="n">
        <x:v>0</x:v>
      </x:c>
      <x:c r="E5724" s="12" t="n">
        <x:v>0.7370833333333333</x:v>
      </x:c>
      <x:c r="F5724" s="12" t="n">
        <x:v>0.7365</x:v>
      </x:c>
      <x:c r="G5724" s="12" t="n">
        <x:v>0</x:v>
      </x:c>
      <x:c r="H5724" s="1" t="n">
        <x:f>'Historical prices'!E5724</x:f>
        <x:v>1.05</x:v>
      </x:c>
      <x:c r="I5724" s="6" t="n">
        <x:f>'Historical prices'!D5724</x:f>
        <x:v>0.48460000000000003</x:v>
      </x:c>
      <x:c r="J5724" s="13" t="n">
        <x:f>D5724*I5724*H5724</x:f>
        <x:v>0</x:v>
      </x:c>
      <x:c r="K5724" s="13" t="n">
        <x:f>E5724*I5724*H5724</x:f>
        <x:v>0.37505011250000003</x:v>
      </x:c>
      <x:c r="L5724" s="1" t="str">
        <x:f>TEXT(A5724,"mmm yyyy")</x:f>
        <x:v>Sep 2026</x:v>
      </x:c>
    </x:row>
    <x:row r="5725" ht="21" customHeight="1">
      <x:c r="A5725" s="10" t="n">
        <x:v>46267</x:v>
      </x:c>
      <x:c r="B5725" s="1" t="n">
        <x:v>18.5</x:v>
      </x:c>
      <x:c r="C5725" s="1" t="n">
        <x:v>6</x:v>
      </x:c>
      <x:c r="D5725" s="12" t="n">
        <x:v>0</x:v>
      </x:c>
      <x:c r="E5725" s="12" t="n">
        <x:v>1.0985833333333332</x:v>
      </x:c>
      <x:c r="F5725" s="12" t="n">
        <x:v>1.0915833333333333</x:v>
      </x:c>
      <x:c r="G5725" s="12" t="n">
        <x:v>0</x:v>
      </x:c>
      <x:c r="H5725" s="1" t="n">
        <x:f>'Historical prices'!E5725</x:f>
        <x:v>1.05</x:v>
      </x:c>
      <x:c r="I5725" s="6" t="n">
        <x:f>'Historical prices'!D5725</x:f>
        <x:v>0.4752</x:v>
      </x:c>
      <x:c r="J5725" s="13" t="n">
        <x:f>D5725*I5725*H5725</x:f>
        <x:v>0</x:v>
      </x:c>
      <x:c r="K5725" s="13" t="n">
        <x:f>E5725*I5725*H5725</x:f>
        <x:v>0.5481491399999999</x:v>
      </x:c>
      <x:c r="L5725" s="1" t="str">
        <x:f>TEXT(A5725,"mmm yyyy")</x:f>
        <x:v>Sep 2026</x:v>
      </x:c>
    </x:row>
    <x:row r="5726" ht="21" customHeight="1">
      <x:c r="A5726" s="10" t="n">
        <x:v>46267</x:v>
      </x:c>
      <x:c r="B5726" s="1" t="n">
        <x:v>19</x:v>
      </x:c>
      <x:c r="C5726" s="1" t="n">
        <x:v>6</x:v>
      </x:c>
      <x:c r="D5726" s="12" t="n">
        <x:v>0.009333333333333334</x:v>
      </x:c>
      <x:c r="E5726" s="12" t="n">
        <x:v>0.8594166666666667</x:v>
      </x:c>
      <x:c r="F5726" s="12" t="n">
        <x:v>0.8495833333333335</x:v>
      </x:c>
      <x:c r="G5726" s="12" t="n">
        <x:v>0</x:v>
      </x:c>
      <x:c r="H5726" s="1" t="n">
        <x:f>'Historical prices'!E5726</x:f>
        <x:v>1.05</x:v>
      </x:c>
      <x:c r="I5726" s="6" t="n">
        <x:f>'Historical prices'!D5726</x:f>
        <x:v>0.35969999999999996</x:v>
      </x:c>
      <x:c r="J5726" s="13" t="n">
        <x:f>D5726*I5726*H5726</x:f>
        <x:v>0.00352506</x:v>
      </x:c>
      <x:c r="K5726" s="13" t="n">
        <x:f>E5726*I5726*H5726</x:f>
        <x:v>0.32458878375</x:v>
      </x:c>
      <x:c r="L5726" s="1" t="str">
        <x:f>TEXT(A5726,"mmm yyyy")</x:f>
        <x:v>Sep 2026</x:v>
      </x:c>
    </x:row>
    <x:row r="5727" ht="21" customHeight="1">
      <x:c r="A5727" s="10" t="n">
        <x:v>46267</x:v>
      </x:c>
      <x:c r="B5727" s="1" t="n">
        <x:v>19.5</x:v>
      </x:c>
      <x:c r="C5727" s="1" t="n">
        <x:v>6</x:v>
      </x:c>
      <x:c r="D5727" s="12" t="n">
        <x:v>0</x:v>
      </x:c>
      <x:c r="E5727" s="12" t="n">
        <x:v>1.0650833333333332</x:v>
      </x:c>
      <x:c r="F5727" s="12" t="n">
        <x:v>1.0643333333333334</x:v>
      </x:c>
      <x:c r="G5727" s="12" t="n">
        <x:v>0</x:v>
      </x:c>
      <x:c r="H5727" s="1" t="n">
        <x:f>'Historical prices'!E5727</x:f>
        <x:v>1.05</x:v>
      </x:c>
      <x:c r="I5727" s="6" t="n">
        <x:f>'Historical prices'!D5727</x:f>
        <x:v>0.3547</x:v>
      </x:c>
      <x:c r="J5727" s="13" t="n">
        <x:f>D5727*I5727*H5727</x:f>
        <x:v>0</x:v>
      </x:c>
      <x:c r="K5727" s="13" t="n">
        <x:f>E5727*I5727*H5727</x:f>
        <x:v>0.39667431125</x:v>
      </x:c>
      <x:c r="L5727" s="1" t="str">
        <x:f>TEXT(A5727,"mmm yyyy")</x:f>
        <x:v>Sep 2026</x:v>
      </x:c>
    </x:row>
    <x:row r="5728" ht="21" customHeight="1">
      <x:c r="A5728" s="10" t="n">
        <x:v>46267</x:v>
      </x:c>
      <x:c r="B5728" s="1" t="n">
        <x:v>20</x:v>
      </x:c>
      <x:c r="C5728" s="1" t="n">
        <x:v>6</x:v>
      </x:c>
      <x:c r="D5728" s="12" t="n">
        <x:v>0</x:v>
      </x:c>
      <x:c r="E5728" s="12" t="n">
        <x:v>0.7555833333333333</x:v>
      </x:c>
      <x:c r="F5728" s="12" t="n">
        <x:v>0.7526666666666666</x:v>
      </x:c>
      <x:c r="G5728" s="12" t="n">
        <x:v>0</x:v>
      </x:c>
      <x:c r="H5728" s="1" t="n">
        <x:f>'Historical prices'!E5728</x:f>
        <x:v>1.05</x:v>
      </x:c>
      <x:c r="I5728" s="6" t="n">
        <x:f>'Historical prices'!D5728</x:f>
        <x:v>0.3503</x:v>
      </x:c>
      <x:c r="J5728" s="13" t="n">
        <x:f>D5728*I5728*H5728</x:f>
        <x:v>0</x:v>
      </x:c>
      <x:c r="K5728" s="13" t="n">
        <x:f>E5728*I5728*H5728</x:f>
        <x:v>0.27791488375</x:v>
      </x:c>
      <x:c r="L5728" s="1" t="str">
        <x:f>TEXT(A5728,"mmm yyyy")</x:f>
        <x:v>Sep 2026</x:v>
      </x:c>
    </x:row>
    <x:row r="5729" ht="21" customHeight="1">
      <x:c r="A5729" s="10" t="n">
        <x:v>46267</x:v>
      </x:c>
      <x:c r="B5729" s="1" t="n">
        <x:v>20.5</x:v>
      </x:c>
      <x:c r="C5729" s="1" t="n">
        <x:v>6</x:v>
      </x:c>
      <x:c r="D5729" s="12" t="n">
        <x:v>0</x:v>
      </x:c>
      <x:c r="E5729" s="12" t="n">
        <x:v>0.7364166666666667</x:v>
      </x:c>
      <x:c r="F5729" s="12" t="n">
        <x:v>0.7359166666666667</x:v>
      </x:c>
      <x:c r="G5729" s="12" t="n">
        <x:v>0</x:v>
      </x:c>
      <x:c r="H5729" s="1" t="n">
        <x:f>'Historical prices'!E5729</x:f>
        <x:v>1.05</x:v>
      </x:c>
      <x:c r="I5729" s="6" t="n">
        <x:f>'Historical prices'!D5729</x:f>
        <x:v>0.3261</x:v>
      </x:c>
      <x:c r="J5729" s="13" t="n">
        <x:f>D5729*I5729*H5729</x:f>
        <x:v>0</x:v>
      </x:c>
      <x:c r="K5729" s="13" t="n">
        <x:f>E5729*I5729*H5729</x:f>
        <x:v>0.25215274875000004</x:v>
      </x:c>
      <x:c r="L5729" s="1" t="str">
        <x:f>TEXT(A5729,"mmm yyyy")</x:f>
        <x:v>Sep 2026</x:v>
      </x:c>
    </x:row>
    <x:row r="5730" ht="21" customHeight="1">
      <x:c r="A5730" s="10" t="n">
        <x:v>46267</x:v>
      </x:c>
      <x:c r="B5730" s="1" t="n">
        <x:v>21</x:v>
      </x:c>
      <x:c r="C5730" s="1" t="n">
        <x:v>6</x:v>
      </x:c>
      <x:c r="D5730" s="12" t="n">
        <x:v>0</x:v>
      </x:c>
      <x:c r="E5730" s="12" t="n">
        <x:v>0.7012499999999999</x:v>
      </x:c>
      <x:c r="F5730" s="12" t="n">
        <x:v>0.6945</x:v>
      </x:c>
      <x:c r="G5730" s="12" t="n">
        <x:v>0</x:v>
      </x:c>
      <x:c r="H5730" s="1" t="n">
        <x:f>'Historical prices'!E5730</x:f>
        <x:v>1.05</x:v>
      </x:c>
      <x:c r="I5730" s="6" t="n">
        <x:f>'Historical prices'!D5730</x:f>
        <x:v>0.3097</x:v>
      </x:c>
      <x:c r="J5730" s="13" t="n">
        <x:f>D5730*I5730*H5730</x:f>
        <x:v>0</x:v>
      </x:c>
      <x:c r="K5730" s="13" t="n">
        <x:f>E5730*I5730*H5730</x:f>
        <x:v>0.22803598125</x:v>
      </x:c>
      <x:c r="L5730" s="1" t="str">
        <x:f>TEXT(A5730,"mmm yyyy")</x:f>
        <x:v>Sep 2026</x:v>
      </x:c>
    </x:row>
    <x:row r="5731" ht="21" customHeight="1">
      <x:c r="A5731" s="10" t="n">
        <x:v>46267</x:v>
      </x:c>
      <x:c r="B5731" s="1" t="n">
        <x:v>21.5</x:v>
      </x:c>
      <x:c r="C5731" s="1" t="n">
        <x:v>6</x:v>
      </x:c>
      <x:c r="D5731" s="12" t="n">
        <x:v>0</x:v>
      </x:c>
      <x:c r="E5731" s="12" t="n">
        <x:v>1.0637500000000002</x:v>
      </x:c>
      <x:c r="F5731" s="12" t="n">
        <x:v>1.0634166666666667</x:v>
      </x:c>
      <x:c r="G5731" s="12" t="n">
        <x:v>0</x:v>
      </x:c>
      <x:c r="H5731" s="1" t="n">
        <x:f>'Historical prices'!E5731</x:f>
        <x:v>1.05</x:v>
      </x:c>
      <x:c r="I5731" s="6" t="n">
        <x:f>'Historical prices'!D5731</x:f>
        <x:v>0.2915</x:v>
      </x:c>
      <x:c r="J5731" s="13" t="n">
        <x:f>D5731*I5731*H5731</x:f>
        <x:v>0</x:v>
      </x:c>
      <x:c r="K5731" s="13" t="n">
        <x:f>E5731*I5731*H5731</x:f>
        <x:v>0.32558728125</x:v>
      </x:c>
      <x:c r="L5731" s="1" t="str">
        <x:f>TEXT(A5731,"mmm yyyy")</x:f>
        <x:v>Sep 2026</x:v>
      </x:c>
    </x:row>
    <x:row r="5732" ht="21" customHeight="1">
      <x:c r="A5732" s="10" t="n">
        <x:v>46267</x:v>
      </x:c>
      <x:c r="B5732" s="1" t="n">
        <x:v>22</x:v>
      </x:c>
      <x:c r="C5732" s="1" t="n">
        <x:v>6</x:v>
      </x:c>
      <x:c r="D5732" s="12" t="n">
        <x:v>0</x:v>
      </x:c>
      <x:c r="E5732" s="12" t="n">
        <x:v>0.40991666666666665</x:v>
      </x:c>
      <x:c r="F5732" s="12" t="n">
        <x:v>0.40958333333333335</x:v>
      </x:c>
      <x:c r="G5732" s="12" t="n">
        <x:v>0</x:v>
      </x:c>
      <x:c r="H5732" s="1" t="n">
        <x:f>'Historical prices'!E5732</x:f>
        <x:v>1.05</x:v>
      </x:c>
      <x:c r="I5732" s="6" t="n">
        <x:f>'Historical prices'!D5732</x:f>
        <x:v>0.2667</x:v>
      </x:c>
      <x:c r="J5732" s="13" t="n">
        <x:f>D5732*I5732*H5732</x:f>
        <x:v>0</x:v>
      </x:c>
      <x:c r="K5732" s="13" t="n">
        <x:f>E5732*I5732*H5732</x:f>
        <x:v>0.11479101375</x:v>
      </x:c>
      <x:c r="L5732" s="1" t="str">
        <x:f>TEXT(A5732,"mmm yyyy")</x:f>
        <x:v>Sep 2026</x:v>
      </x:c>
    </x:row>
    <x:row r="5733" ht="21" customHeight="1">
      <x:c r="A5733" s="10" t="n">
        <x:v>46267</x:v>
      </x:c>
      <x:c r="B5733" s="1" t="n">
        <x:v>22.5</x:v>
      </x:c>
      <x:c r="C5733" s="1" t="n">
        <x:v>6</x:v>
      </x:c>
      <x:c r="D5733" s="12" t="n">
        <x:v>0</x:v>
      </x:c>
      <x:c r="E5733" s="12" t="n">
        <x:v>0.4078333333333334</x:v>
      </x:c>
      <x:c r="F5733" s="12" t="n">
        <x:v>0.4075000000000001</x:v>
      </x:c>
      <x:c r="G5733" s="12" t="n">
        <x:v>0</x:v>
      </x:c>
      <x:c r="H5733" s="1" t="n">
        <x:f>'Historical prices'!E5733</x:f>
        <x:v>1.05</x:v>
      </x:c>
      <x:c r="I5733" s="6" t="n">
        <x:f>'Historical prices'!D5733</x:f>
        <x:v>0.2421</x:v>
      </x:c>
      <x:c r="J5733" s="13" t="n">
        <x:f>D5733*I5733*H5733</x:f>
        <x:v>0</x:v>
      </x:c>
      <x:c r="K5733" s="13" t="n">
        <x:f>E5733*I5733*H5733</x:f>
        <x:v>0.10367327250000002</x:v>
      </x:c>
      <x:c r="L5733" s="1" t="str">
        <x:f>TEXT(A5733,"mmm yyyy")</x:f>
        <x:v>Sep 2026</x:v>
      </x:c>
    </x:row>
    <x:row r="5734" ht="21" customHeight="1">
      <x:c r="A5734" s="10" t="n">
        <x:v>46267</x:v>
      </x:c>
      <x:c r="B5734" s="1" t="n">
        <x:v>23</x:v>
      </x:c>
      <x:c r="C5734" s="1" t="n">
        <x:v>6</x:v>
      </x:c>
      <x:c r="D5734" s="12" t="n">
        <x:v>0</x:v>
      </x:c>
      <x:c r="E5734" s="12" t="n">
        <x:v>0.45791666666666675</x:v>
      </x:c>
      <x:c r="F5734" s="12" t="n">
        <x:v>0.45758333333333334</x:v>
      </x:c>
      <x:c r="G5734" s="12" t="n">
        <x:v>0</x:v>
      </x:c>
      <x:c r="H5734" s="1" t="n">
        <x:f>'Historical prices'!E5734</x:f>
        <x:v>1.05</x:v>
      </x:c>
      <x:c r="I5734" s="6" t="n">
        <x:f>'Historical prices'!D5734</x:f>
        <x:v>0.2858</x:v>
      </x:c>
      <x:c r="J5734" s="13" t="n">
        <x:f>D5734*I5734*H5734</x:f>
        <x:v>0</x:v>
      </x:c>
      <x:c r="K5734" s="13" t="n">
        <x:f>E5734*I5734*H5734</x:f>
        <x:v>0.13741621250000002</x:v>
      </x:c>
      <x:c r="L5734" s="1" t="str">
        <x:f>TEXT(A5734,"mmm yyyy")</x:f>
        <x:v>Sep 2026</x:v>
      </x:c>
    </x:row>
    <x:row r="5735" ht="21" customHeight="1">
      <x:c r="A5735" s="10" t="n">
        <x:v>46267</x:v>
      </x:c>
      <x:c r="B5735" s="1" t="n">
        <x:v>23.5</x:v>
      </x:c>
      <x:c r="C5735" s="1" t="n">
        <x:v>6</x:v>
      </x:c>
      <x:c r="D5735" s="12" t="n">
        <x:v>0</x:v>
      </x:c>
      <x:c r="E5735" s="12" t="n">
        <x:v>0.4919166666666666</x:v>
      </x:c>
      <x:c r="F5735" s="12" t="n">
        <x:v>0.4915</x:v>
      </x:c>
      <x:c r="G5735" s="12" t="n">
        <x:v>0</x:v>
      </x:c>
      <x:c r="H5735" s="1" t="n">
        <x:f>'Historical prices'!E5735</x:f>
        <x:v>1.05</x:v>
      </x:c>
      <x:c r="I5735" s="6" t="n">
        <x:f>'Historical prices'!D5735</x:f>
        <x:v>0.2842</x:v>
      </x:c>
      <x:c r="J5735" s="13" t="n">
        <x:f>D5735*I5735*H5735</x:f>
        <x:v>0</x:v>
      </x:c>
      <x:c r="K5735" s="13" t="n">
        <x:f>E5735*I5735*H5735</x:f>
        <x:v>0.1467928525</x:v>
      </x:c>
      <x:c r="L5735" s="1" t="str">
        <x:f>TEXT(A5735,"mmm yyyy")</x:f>
        <x:v>Sep 2026</x:v>
      </x:c>
    </x:row>
    <x:row r="5736" ht="21" customHeight="1">
      <x:c r="A5736" s="10" t="n">
        <x:v>46268</x:v>
      </x:c>
      <x:c r="B5736" s="1" t="n">
        <x:v>0</x:v>
      </x:c>
      <x:c r="C5736" s="1" t="n">
        <x:v>6</x:v>
      </x:c>
      <x:c r="D5736" s="12" t="n">
        <x:v>0</x:v>
      </x:c>
      <x:c r="E5736" s="12" t="n">
        <x:v>0.4049166666666667</x:v>
      </x:c>
      <x:c r="F5736" s="12" t="n">
        <x:v>0.4045</x:v>
      </x:c>
      <x:c r="G5736" s="12" t="n">
        <x:v>0</x:v>
      </x:c>
      <x:c r="H5736" s="1" t="n">
        <x:f>'Historical prices'!E5736</x:f>
        <x:v>1.05</x:v>
      </x:c>
      <x:c r="I5736" s="6" t="n">
        <x:f>'Historical prices'!D5736</x:f>
        <x:v>0.3035</x:v>
      </x:c>
      <x:c r="J5736" s="13" t="n">
        <x:f>D5736*I5736*H5736</x:f>
        <x:v>0</x:v>
      </x:c>
      <x:c r="K5736" s="13" t="n">
        <x:f>E5736*I5736*H5736</x:f>
        <x:v>0.12903681875</x:v>
      </x:c>
      <x:c r="L5736" s="1" t="str">
        <x:f>TEXT(A5736,"mmm yyyy")</x:f>
        <x:v>Sep 2026</x:v>
      </x:c>
    </x:row>
    <x:row r="5737" ht="21" customHeight="1">
      <x:c r="A5737" s="10" t="n">
        <x:v>46268</x:v>
      </x:c>
      <x:c r="B5737" s="1" t="n">
        <x:v>0.5</x:v>
      </x:c>
      <x:c r="C5737" s="1" t="n">
        <x:v>6</x:v>
      </x:c>
      <x:c r="D5737" s="12" t="n">
        <x:v>0</x:v>
      </x:c>
      <x:c r="E5737" s="12" t="n">
        <x:v>0.43975</x:v>
      </x:c>
      <x:c r="F5737" s="12" t="n">
        <x:v>0.4394166666666667</x:v>
      </x:c>
      <x:c r="G5737" s="12" t="n">
        <x:v>0</x:v>
      </x:c>
      <x:c r="H5737" s="1" t="n">
        <x:f>'Historical prices'!E5737</x:f>
        <x:v>1.05</x:v>
      </x:c>
      <x:c r="I5737" s="6" t="n">
        <x:f>'Historical prices'!D5737</x:f>
        <x:v>0.2658</x:v>
      </x:c>
      <x:c r="J5737" s="13" t="n">
        <x:f>D5737*I5737*H5737</x:f>
        <x:v>0</x:v>
      </x:c>
      <x:c r="K5737" s="13" t="n">
        <x:f>E5737*I5737*H5737</x:f>
        <x:v>0.1227298275</x:v>
      </x:c>
      <x:c r="L5737" s="1" t="str">
        <x:f>TEXT(A5737,"mmm yyyy")</x:f>
        <x:v>Sep 2026</x:v>
      </x:c>
    </x:row>
    <x:row r="5738" ht="21" customHeight="1">
      <x:c r="A5738" s="10" t="n">
        <x:v>46268</x:v>
      </x:c>
      <x:c r="B5738" s="1" t="n">
        <x:v>1</x:v>
      </x:c>
      <x:c r="C5738" s="1" t="n">
        <x:v>6</x:v>
      </x:c>
      <x:c r="D5738" s="12" t="n">
        <x:v>0</x:v>
      </x:c>
      <x:c r="E5738" s="12" t="n">
        <x:v>0.45733333333333337</x:v>
      </x:c>
      <x:c r="F5738" s="12" t="n">
        <x:v>0.45675</x:v>
      </x:c>
      <x:c r="G5738" s="12" t="n">
        <x:v>0</x:v>
      </x:c>
      <x:c r="H5738" s="1" t="n">
        <x:f>'Historical prices'!E5738</x:f>
        <x:v>1.05</x:v>
      </x:c>
      <x:c r="I5738" s="6" t="n">
        <x:f>'Historical prices'!D5738</x:f>
        <x:v>0.2634</x:v>
      </x:c>
      <x:c r="J5738" s="13" t="n">
        <x:f>D5738*I5738*H5738</x:f>
        <x:v>0</x:v>
      </x:c>
      <x:c r="K5738" s="13" t="n">
        <x:f>E5738*I5738*H5738</x:f>
        <x:v>0.12648468000000002</x:v>
      </x:c>
      <x:c r="L5738" s="1" t="str">
        <x:f>TEXT(A5738,"mmm yyyy")</x:f>
        <x:v>Sep 2026</x:v>
      </x:c>
    </x:row>
    <x:row r="5739" ht="21" customHeight="1">
      <x:c r="A5739" s="10" t="n">
        <x:v>46268</x:v>
      </x:c>
      <x:c r="B5739" s="1" t="n">
        <x:v>1.5</x:v>
      </x:c>
      <x:c r="C5739" s="1" t="n">
        <x:v>6</x:v>
      </x:c>
      <x:c r="D5739" s="12" t="n">
        <x:v>0</x:v>
      </x:c>
      <x:c r="E5739" s="12" t="n">
        <x:v>0.38941666666666663</x:v>
      </x:c>
      <x:c r="F5739" s="12" t="n">
        <x:v>0.3873333333333333</x:v>
      </x:c>
      <x:c r="G5739" s="12" t="n">
        <x:v>0</x:v>
      </x:c>
      <x:c r="H5739" s="1" t="n">
        <x:f>'Historical prices'!E5739</x:f>
        <x:v>1.05</x:v>
      </x:c>
      <x:c r="I5739" s="6" t="n">
        <x:f>'Historical prices'!D5739</x:f>
        <x:v>0.2493</x:v>
      </x:c>
      <x:c r="J5739" s="13" t="n">
        <x:f>D5739*I5739*H5739</x:f>
        <x:v>0</x:v>
      </x:c>
      <x:c r="K5739" s="13" t="n">
        <x:f>E5739*I5739*H5739</x:f>
        <x:v>0.10193565375</x:v>
      </x:c>
      <x:c r="L5739" s="1" t="str">
        <x:f>TEXT(A5739,"mmm yyyy")</x:f>
        <x:v>Sep 2026</x:v>
      </x:c>
    </x:row>
    <x:row r="5740" ht="21" customHeight="1">
      <x:c r="A5740" s="10" t="n">
        <x:v>46268</x:v>
      </x:c>
      <x:c r="B5740" s="1" t="n">
        <x:v>2</x:v>
      </x:c>
      <x:c r="C5740" s="1" t="n">
        <x:v>6</x:v>
      </x:c>
      <x:c r="D5740" s="12" t="n">
        <x:v>0</x:v>
      </x:c>
      <x:c r="E5740" s="12" t="n">
        <x:v>0.42308333333333337</x:v>
      </x:c>
      <x:c r="F5740" s="12" t="n">
        <x:v>0.42275000000000007</x:v>
      </x:c>
      <x:c r="G5740" s="12" t="n">
        <x:v>0</x:v>
      </x:c>
      <x:c r="H5740" s="1" t="n">
        <x:f>'Historical prices'!E5740</x:f>
        <x:v>1.05</x:v>
      </x:c>
      <x:c r="I5740" s="6" t="n">
        <x:f>'Historical prices'!D5740</x:f>
        <x:v>0.2408</x:v>
      </x:c>
      <x:c r="J5740" s="13" t="n">
        <x:f>D5740*I5740*H5740</x:f>
        <x:v>0</x:v>
      </x:c>
      <x:c r="K5740" s="13" t="n">
        <x:f>E5740*I5740*H5740</x:f>
        <x:v>0.10697239</x:v>
      </x:c>
      <x:c r="L5740" s="1" t="str">
        <x:f>TEXT(A5740,"mmm yyyy")</x:f>
        <x:v>Sep 2026</x:v>
      </x:c>
    </x:row>
    <x:row r="5741" ht="21" customHeight="1">
      <x:c r="A5741" s="10" t="n">
        <x:v>46268</x:v>
      </x:c>
      <x:c r="B5741" s="1" t="n">
        <x:v>2.5</x:v>
      </x:c>
      <x:c r="C5741" s="1" t="n">
        <x:v>6</x:v>
      </x:c>
      <x:c r="D5741" s="12" t="n">
        <x:v>0</x:v>
      </x:c>
      <x:c r="E5741" s="12" t="n">
        <x:v>0.45291666666666663</x:v>
      </x:c>
      <x:c r="F5741" s="12" t="n">
        <x:v>0.4523333333333333</x:v>
      </x:c>
      <x:c r="G5741" s="12" t="n">
        <x:v>0</x:v>
      </x:c>
      <x:c r="H5741" s="1" t="n">
        <x:f>'Historical prices'!E5741</x:f>
        <x:v>1.05</x:v>
      </x:c>
      <x:c r="I5741" s="6" t="n">
        <x:f>'Historical prices'!D5741</x:f>
        <x:v>0.2322</x:v>
      </x:c>
      <x:c r="J5741" s="13" t="n">
        <x:f>D5741*I5741*H5741</x:f>
        <x:v>0</x:v>
      </x:c>
      <x:c r="K5741" s="13" t="n">
        <x:f>E5741*I5741*H5741</x:f>
        <x:v>0.11042561249999999</x:v>
      </x:c>
      <x:c r="L5741" s="1" t="str">
        <x:f>TEXT(A5741,"mmm yyyy")</x:f>
        <x:v>Sep 2026</x:v>
      </x:c>
    </x:row>
    <x:row r="5742" ht="21" customHeight="1">
      <x:c r="A5742" s="10" t="n">
        <x:v>46268</x:v>
      </x:c>
      <x:c r="B5742" s="1" t="n">
        <x:v>3</x:v>
      </x:c>
      <x:c r="C5742" s="1" t="n">
        <x:v>6</x:v>
      </x:c>
      <x:c r="D5742" s="12" t="n">
        <x:v>0.2375</x:v>
      </x:c>
      <x:c r="E5742" s="12" t="n">
        <x:v>0.38175</x:v>
      </x:c>
      <x:c r="F5742" s="12" t="n">
        <x:v>0.141</x:v>
      </x:c>
      <x:c r="G5742" s="12" t="n">
        <x:v>0</x:v>
      </x:c>
      <x:c r="H5742" s="1" t="n">
        <x:f>'Historical prices'!E5742</x:f>
        <x:v>1.05</x:v>
      </x:c>
      <x:c r="I5742" s="6" t="n">
        <x:f>'Historical prices'!D5742</x:f>
        <x:v>0.23120000000000002</x:v>
      </x:c>
      <x:c r="J5742" s="13" t="n">
        <x:f>D5742*I5742*H5742</x:f>
        <x:v>0.057655500000000005</x:v>
      </x:c>
      <x:c r="K5742" s="13" t="n">
        <x:f>E5742*I5742*H5742</x:f>
        <x:v>0.09267362999999999</x:v>
      </x:c>
      <x:c r="L5742" s="1" t="str">
        <x:f>TEXT(A5742,"mmm yyyy")</x:f>
        <x:v>Sep 2026</x:v>
      </x:c>
    </x:row>
    <x:row r="5743" ht="21" customHeight="1">
      <x:c r="A5743" s="10" t="n">
        <x:v>46268</x:v>
      </x:c>
      <x:c r="B5743" s="1" t="n">
        <x:v>3.5</x:v>
      </x:c>
      <x:c r="C5743" s="1" t="n">
        <x:v>6</x:v>
      </x:c>
      <x:c r="D5743" s="12" t="n">
        <x:v>0.33499999999999996</x:v>
      </x:c>
      <x:c r="E5743" s="12" t="n">
        <x:v>0.348</x:v>
      </x:c>
      <x:c r="F5743" s="12" t="n">
        <x:v>0</x:v>
      </x:c>
      <x:c r="G5743" s="12" t="n">
        <x:v>0</x:v>
      </x:c>
      <x:c r="H5743" s="1" t="n">
        <x:f>'Historical prices'!E5743</x:f>
        <x:v>1.05</x:v>
      </x:c>
      <x:c r="I5743" s="6" t="n">
        <x:f>'Historical prices'!D5743</x:f>
        <x:v>0.2259</x:v>
      </x:c>
      <x:c r="J5743" s="13" t="n">
        <x:f>D5743*I5743*H5743</x:f>
        <x:v>0.079460325</x:v>
      </x:c>
      <x:c r="K5743" s="13" t="n">
        <x:f>E5743*I5743*H5743</x:f>
        <x:v>0.08254386</x:v>
      </x:c>
      <x:c r="L5743" s="1" t="str">
        <x:f>TEXT(A5743,"mmm yyyy")</x:f>
        <x:v>Sep 2026</x:v>
      </x:c>
    </x:row>
    <x:row r="5744" ht="21" customHeight="1">
      <x:c r="A5744" s="10" t="n">
        <x:v>46268</x:v>
      </x:c>
      <x:c r="B5744" s="1" t="n">
        <x:v>4</x:v>
      </x:c>
      <x:c r="C5744" s="1" t="n">
        <x:v>6</x:v>
      </x:c>
      <x:c r="D5744" s="12" t="n">
        <x:v>0.182</x:v>
      </x:c>
      <x:c r="E5744" s="12" t="n">
        <x:v>0.47708333333333336</x:v>
      </x:c>
      <x:c r="F5744" s="12" t="n">
        <x:v>0.28674999999999995</x:v>
      </x:c>
      <x:c r="G5744" s="12" t="n">
        <x:v>0</x:v>
      </x:c>
      <x:c r="H5744" s="1" t="n">
        <x:f>'Historical prices'!E5744</x:f>
        <x:v>1.05</x:v>
      </x:c>
      <x:c r="I5744" s="6" t="n">
        <x:f>'Historical prices'!D5744</x:f>
        <x:v>0.24309999999999998</x:v>
      </x:c>
      <x:c r="J5744" s="13" t="n">
        <x:f>D5744*I5744*H5744</x:f>
        <x:v>0.04645641</x:v>
      </x:c>
      <x:c r="K5744" s="13" t="n">
        <x:f>E5744*I5744*H5744</x:f>
        <x:v>0.12177790625</x:v>
      </x:c>
      <x:c r="L5744" s="1" t="str">
        <x:f>TEXT(A5744,"mmm yyyy")</x:f>
        <x:v>Sep 2026</x:v>
      </x:c>
    </x:row>
    <x:row r="5745" ht="21" customHeight="1">
      <x:c r="A5745" s="10" t="n">
        <x:v>46268</x:v>
      </x:c>
      <x:c r="B5745" s="1" t="n">
        <x:v>4.5</x:v>
      </x:c>
      <x:c r="C5745" s="1" t="n">
        <x:v>6</x:v>
      </x:c>
      <x:c r="D5745" s="12" t="n">
        <x:v>0.24366666666666664</x:v>
      </x:c>
      <x:c r="E5745" s="12" t="n">
        <x:v>0.37566666666666665</x:v>
      </x:c>
      <x:c r="F5745" s="12" t="n">
        <x:v>0.125</x:v>
      </x:c>
      <x:c r="G5745" s="12" t="n">
        <x:v>0</x:v>
      </x:c>
      <x:c r="H5745" s="1" t="n">
        <x:f>'Historical prices'!E5745</x:f>
        <x:v>1.05</x:v>
      </x:c>
      <x:c r="I5745" s="6" t="n">
        <x:f>'Historical prices'!D5745</x:f>
        <x:v>0.2396</x:v>
      </x:c>
      <x:c r="J5745" s="13" t="n">
        <x:f>D5745*I5745*H5745</x:f>
        <x:v>0.061301659999999994</x:v>
      </x:c>
      <x:c r="K5745" s="13" t="n">
        <x:f>E5745*I5745*H5745</x:f>
        <x:v>0.09451021999999999</x:v>
      </x:c>
      <x:c r="L5745" s="1" t="str">
        <x:f>TEXT(A5745,"mmm yyyy")</x:f>
        <x:v>Sep 2026</x:v>
      </x:c>
    </x:row>
    <x:row r="5746" ht="21" customHeight="1">
      <x:c r="A5746" s="10" t="n">
        <x:v>46268</x:v>
      </x:c>
      <x:c r="B5746" s="1" t="n">
        <x:v>5</x:v>
      </x:c>
      <x:c r="C5746" s="1" t="n">
        <x:v>6</x:v>
      </x:c>
      <x:c r="D5746" s="12" t="n">
        <x:v>0</x:v>
      </x:c>
      <x:c r="E5746" s="12" t="n">
        <x:v>0.41358333333333325</x:v>
      </x:c>
      <x:c r="F5746" s="12" t="n">
        <x:v>0.40958333333333335</x:v>
      </x:c>
      <x:c r="G5746" s="12" t="n">
        <x:v>0</x:v>
      </x:c>
      <x:c r="H5746" s="1" t="n">
        <x:f>'Historical prices'!E5746</x:f>
        <x:v>1.05</x:v>
      </x:c>
      <x:c r="I5746" s="6" t="n">
        <x:f>'Historical prices'!D5746</x:f>
        <x:v>0.2666</x:v>
      </x:c>
      <x:c r="J5746" s="13" t="n">
        <x:f>D5746*I5746*H5746</x:f>
        <x:v>0</x:v>
      </x:c>
      <x:c r="K5746" s="13" t="n">
        <x:f>E5746*I5746*H5746</x:f>
        <x:v>0.1157743825</x:v>
      </x:c>
      <x:c r="L5746" s="1" t="str">
        <x:f>TEXT(A5746,"mmm yyyy")</x:f>
        <x:v>Sep 2026</x:v>
      </x:c>
    </x:row>
    <x:row r="5747" ht="21" customHeight="1">
      <x:c r="A5747" s="10" t="n">
        <x:v>46268</x:v>
      </x:c>
      <x:c r="B5747" s="1" t="n">
        <x:v>5.5</x:v>
      </x:c>
      <x:c r="C5747" s="1" t="n">
        <x:v>6</x:v>
      </x:c>
      <x:c r="D5747" s="12" t="n">
        <x:v>0</x:v>
      </x:c>
      <x:c r="E5747" s="12" t="n">
        <x:v>0.43416666666666665</x:v>
      </x:c>
      <x:c r="F5747" s="12" t="n">
        <x:v>0.4335833333333334</x:v>
      </x:c>
      <x:c r="G5747" s="12" t="n">
        <x:v>0</x:v>
      </x:c>
      <x:c r="H5747" s="1" t="n">
        <x:f>'Historical prices'!E5747</x:f>
        <x:v>1.05</x:v>
      </x:c>
      <x:c r="I5747" s="6" t="n">
        <x:f>'Historical prices'!D5747</x:f>
        <x:v>0.29410000000000003</x:v>
      </x:c>
      <x:c r="J5747" s="13" t="n">
        <x:f>D5747*I5747*H5747</x:f>
        <x:v>0</x:v>
      </x:c>
      <x:c r="K5747" s="13" t="n">
        <x:f>E5747*I5747*H5747</x:f>
        <x:v>0.1340728375</x:v>
      </x:c>
      <x:c r="L5747" s="1" t="str">
        <x:f>TEXT(A5747,"mmm yyyy")</x:f>
        <x:v>Sep 2026</x:v>
      </x:c>
    </x:row>
    <x:row r="5748" ht="21" customHeight="1">
      <x:c r="A5748" s="10" t="n">
        <x:v>46268</x:v>
      </x:c>
      <x:c r="B5748" s="1" t="n">
        <x:v>6</x:v>
      </x:c>
      <x:c r="C5748" s="1" t="n">
        <x:v>6</x:v>
      </x:c>
      <x:c r="D5748" s="12" t="n">
        <x:v>0</x:v>
      </x:c>
      <x:c r="E5748" s="12" t="n">
        <x:v>0.6390833333333333</x:v>
      </x:c>
      <x:c r="F5748" s="12" t="n">
        <x:v>0.6386666666666667</x:v>
      </x:c>
      <x:c r="G5748" s="12" t="n">
        <x:v>0</x:v>
      </x:c>
      <x:c r="H5748" s="1" t="n">
        <x:f>'Historical prices'!E5748</x:f>
        <x:v>1.05</x:v>
      </x:c>
      <x:c r="I5748" s="6" t="n">
        <x:f>'Historical prices'!D5748</x:f>
        <x:v>0.2892</x:v>
      </x:c>
      <x:c r="J5748" s="13" t="n">
        <x:f>D5748*I5748*H5748</x:f>
        <x:v>0</x:v>
      </x:c>
      <x:c r="K5748" s="13" t="n">
        <x:f>E5748*I5748*H5748</x:f>
        <x:v>0.19406404500000002</x:v>
      </x:c>
      <x:c r="L5748" s="1" t="str">
        <x:f>TEXT(A5748,"mmm yyyy")</x:f>
        <x:v>Sep 2026</x:v>
      </x:c>
    </x:row>
    <x:row r="5749" ht="21" customHeight="1">
      <x:c r="A5749" s="10" t="n">
        <x:v>46268</x:v>
      </x:c>
      <x:c r="B5749" s="1" t="n">
        <x:v>6.5</x:v>
      </x:c>
      <x:c r="C5749" s="1" t="n">
        <x:v>6</x:v>
      </x:c>
      <x:c r="D5749" s="12" t="n">
        <x:v>0</x:v>
      </x:c>
      <x:c r="E5749" s="12" t="n">
        <x:v>0.8048333333333334</x:v>
      </x:c>
      <x:c r="F5749" s="12" t="n">
        <x:v>0.8044166666666667</x:v>
      </x:c>
      <x:c r="G5749" s="12" t="n">
        <x:v>0</x:v>
      </x:c>
      <x:c r="H5749" s="1" t="n">
        <x:f>'Historical prices'!E5749</x:f>
        <x:v>1.05</x:v>
      </x:c>
      <x:c r="I5749" s="6" t="n">
        <x:f>'Historical prices'!D5749</x:f>
        <x:v>0.3234</x:v>
      </x:c>
      <x:c r="J5749" s="13" t="n">
        <x:f>D5749*I5749*H5749</x:f>
        <x:v>0</x:v>
      </x:c>
      <x:c r="K5749" s="13" t="n">
        <x:f>E5749*I5749*H5749</x:f>
        <x:v>0.27329725500000007</x:v>
      </x:c>
      <x:c r="L5749" s="1" t="str">
        <x:f>TEXT(A5749,"mmm yyyy")</x:f>
        <x:v>Sep 2026</x:v>
      </x:c>
    </x:row>
    <x:row r="5750" ht="21" customHeight="1">
      <x:c r="A5750" s="10" t="n">
        <x:v>46268</x:v>
      </x:c>
      <x:c r="B5750" s="1" t="n">
        <x:v>7</x:v>
      </x:c>
      <x:c r="C5750" s="1" t="n">
        <x:v>6</x:v>
      </x:c>
      <x:c r="D5750" s="12" t="n">
        <x:v>0</x:v>
      </x:c>
      <x:c r="E5750" s="12" t="n">
        <x:v>0.7981666666666667</x:v>
      </x:c>
      <x:c r="F5750" s="12" t="n">
        <x:v>0.7975833333333334</x:v>
      </x:c>
      <x:c r="G5750" s="12" t="n">
        <x:v>0</x:v>
      </x:c>
      <x:c r="H5750" s="1" t="n">
        <x:f>'Historical prices'!E5750</x:f>
        <x:v>1.05</x:v>
      </x:c>
      <x:c r="I5750" s="6" t="n">
        <x:f>'Historical prices'!D5750</x:f>
        <x:v>0.2948</x:v>
      </x:c>
      <x:c r="J5750" s="13" t="n">
        <x:f>D5750*I5750*H5750</x:f>
        <x:v>0</x:v>
      </x:c>
      <x:c r="K5750" s="13" t="n">
        <x:f>E5750*I5750*H5750</x:f>
        <x:v>0.24706451000000001</x:v>
      </x:c>
      <x:c r="L5750" s="1" t="str">
        <x:f>TEXT(A5750,"mmm yyyy")</x:f>
        <x:v>Sep 2026</x:v>
      </x:c>
    </x:row>
    <x:row r="5751" ht="21" customHeight="1">
      <x:c r="A5751" s="10" t="n">
        <x:v>46268</x:v>
      </x:c>
      <x:c r="B5751" s="1" t="n">
        <x:v>7.5</x:v>
      </x:c>
      <x:c r="C5751" s="1" t="n">
        <x:v>6</x:v>
      </x:c>
      <x:c r="D5751" s="12" t="n">
        <x:v>0</x:v>
      </x:c>
      <x:c r="E5751" s="12" t="n">
        <x:v>0.6983333333333333</x:v>
      </x:c>
      <x:c r="F5751" s="12" t="n">
        <x:v>0.6897499999999999</x:v>
      </x:c>
      <x:c r="G5751" s="12" t="n">
        <x:v>0</x:v>
      </x:c>
      <x:c r="H5751" s="1" t="n">
        <x:f>'Historical prices'!E5751</x:f>
        <x:v>1.05</x:v>
      </x:c>
      <x:c r="I5751" s="6" t="n">
        <x:f>'Historical prices'!D5751</x:f>
        <x:v>0.3215</x:v>
      </x:c>
      <x:c r="J5751" s="13" t="n">
        <x:f>D5751*I5751*H5751</x:f>
        <x:v>0</x:v>
      </x:c>
      <x:c r="K5751" s="13" t="n">
        <x:f>E5751*I5751*H5751</x:f>
        <x:v>0.235739875</x:v>
      </x:c>
      <x:c r="L5751" s="1" t="str">
        <x:f>TEXT(A5751,"mmm yyyy")</x:f>
        <x:v>Sep 2026</x:v>
      </x:c>
    </x:row>
    <x:row r="5752" ht="21" customHeight="1">
      <x:c r="A5752" s="10" t="n">
        <x:v>46268</x:v>
      </x:c>
      <x:c r="B5752" s="1" t="n">
        <x:v>8</x:v>
      </x:c>
      <x:c r="C5752" s="1" t="n">
        <x:v>6</x:v>
      </x:c>
      <x:c r="D5752" s="12" t="n">
        <x:v>0</x:v>
      </x:c>
      <x:c r="E5752" s="12" t="n">
        <x:v>0.5510833333333334</x:v>
      </x:c>
      <x:c r="F5752" s="12" t="n">
        <x:v>0.5509166666666666</x:v>
      </x:c>
      <x:c r="G5752" s="12" t="n">
        <x:v>0</x:v>
      </x:c>
      <x:c r="H5752" s="1" t="n">
        <x:f>'Historical prices'!E5752</x:f>
        <x:v>1.05</x:v>
      </x:c>
      <x:c r="I5752" s="6" t="n">
        <x:f>'Historical prices'!D5752</x:f>
        <x:v>0.256</x:v>
      </x:c>
      <x:c r="J5752" s="13" t="n">
        <x:f>D5752*I5752*H5752</x:f>
        <x:v>0</x:v>
      </x:c>
      <x:c r="K5752" s="13" t="n">
        <x:f>E5752*I5752*H5752</x:f>
        <x:v>0.14813120000000002</x:v>
      </x:c>
      <x:c r="L5752" s="1" t="str">
        <x:f>TEXT(A5752,"mmm yyyy")</x:f>
        <x:v>Sep 2026</x:v>
      </x:c>
    </x:row>
    <x:row r="5753" ht="21" customHeight="1">
      <x:c r="A5753" s="10" t="n">
        <x:v>46268</x:v>
      </x:c>
      <x:c r="B5753" s="1" t="n">
        <x:v>8.5</x:v>
      </x:c>
      <x:c r="C5753" s="1" t="n">
        <x:v>6</x:v>
      </x:c>
      <x:c r="D5753" s="12" t="n">
        <x:v>0</x:v>
      </x:c>
      <x:c r="E5753" s="12" t="n">
        <x:v>0.7146666666666667</x:v>
      </x:c>
      <x:c r="F5753" s="12" t="n">
        <x:v>0.714</x:v>
      </x:c>
      <x:c r="G5753" s="12" t="n">
        <x:v>0</x:v>
      </x:c>
      <x:c r="H5753" s="1" t="n">
        <x:f>'Historical prices'!E5753</x:f>
        <x:v>1.05</x:v>
      </x:c>
      <x:c r="I5753" s="6" t="n">
        <x:f>'Historical prices'!D5753</x:f>
        <x:v>0.2569</x:v>
      </x:c>
      <x:c r="J5753" s="13" t="n">
        <x:f>D5753*I5753*H5753</x:f>
        <x:v>0</x:v>
      </x:c>
      <x:c r="K5753" s="13" t="n">
        <x:f>E5753*I5753*H5753</x:f>
        <x:v>0.19277776000000005</x:v>
      </x:c>
      <x:c r="L5753" s="1" t="str">
        <x:f>TEXT(A5753,"mmm yyyy")</x:f>
        <x:v>Sep 2026</x:v>
      </x:c>
    </x:row>
    <x:row r="5754" ht="21" customHeight="1">
      <x:c r="A5754" s="10" t="n">
        <x:v>46268</x:v>
      </x:c>
      <x:c r="B5754" s="1" t="n">
        <x:v>9</x:v>
      </x:c>
      <x:c r="C5754" s="1" t="n">
        <x:v>6</x:v>
      </x:c>
      <x:c r="D5754" s="12" t="n">
        <x:v>0</x:v>
      </x:c>
      <x:c r="E5754" s="12" t="n">
        <x:v>0.6934166666666666</x:v>
      </x:c>
      <x:c r="F5754" s="12" t="n">
        <x:v>0.6898333333333333</x:v>
      </x:c>
      <x:c r="G5754" s="12" t="n">
        <x:v>0</x:v>
      </x:c>
      <x:c r="H5754" s="1" t="n">
        <x:f>'Historical prices'!E5754</x:f>
        <x:v>1.05</x:v>
      </x:c>
      <x:c r="I5754" s="6" t="n">
        <x:f>'Historical prices'!D5754</x:f>
        <x:v>0.18289999999999998</x:v>
      </x:c>
      <x:c r="J5754" s="13" t="n">
        <x:f>D5754*I5754*H5754</x:f>
        <x:v>0</x:v>
      </x:c>
      <x:c r="K5754" s="13" t="n">
        <x:f>E5754*I5754*H5754</x:f>
        <x:v>0.13316720374999996</x:v>
      </x:c>
      <x:c r="L5754" s="1" t="str">
        <x:f>TEXT(A5754,"mmm yyyy")</x:f>
        <x:v>Sep 2026</x:v>
      </x:c>
    </x:row>
    <x:row r="5755" ht="21" customHeight="1">
      <x:c r="A5755" s="10" t="n">
        <x:v>46268</x:v>
      </x:c>
      <x:c r="B5755" s="1" t="n">
        <x:v>9.5</x:v>
      </x:c>
      <x:c r="C5755" s="1" t="n">
        <x:v>6</x:v>
      </x:c>
      <x:c r="D5755" s="12" t="n">
        <x:v>0</x:v>
      </x:c>
      <x:c r="E5755" s="12" t="n">
        <x:v>0.6613333333333332</x:v>
      </x:c>
      <x:c r="F5755" s="12" t="n">
        <x:v>0.6611666666666666</x:v>
      </x:c>
      <x:c r="G5755" s="12" t="n">
        <x:v>0</x:v>
      </x:c>
      <x:c r="H5755" s="1" t="n">
        <x:f>'Historical prices'!E5755</x:f>
        <x:v>1.05</x:v>
      </x:c>
      <x:c r="I5755" s="6" t="n">
        <x:f>'Historical prices'!D5755</x:f>
        <x:v>0.1972</x:v>
      </x:c>
      <x:c r="J5755" s="13" t="n">
        <x:f>D5755*I5755*H5755</x:f>
        <x:v>0</x:v>
      </x:c>
      <x:c r="K5755" s="13" t="n">
        <x:f>E5755*I5755*H5755</x:f>
        <x:v>0.13693567999999995</x:v>
      </x:c>
      <x:c r="L5755" s="1" t="str">
        <x:f>TEXT(A5755,"mmm yyyy")</x:f>
        <x:v>Sep 2026</x:v>
      </x:c>
    </x:row>
    <x:row r="5756" ht="21" customHeight="1">
      <x:c r="A5756" s="10" t="n">
        <x:v>46268</x:v>
      </x:c>
      <x:c r="B5756" s="1" t="n">
        <x:v>10</x:v>
      </x:c>
      <x:c r="C5756" s="1" t="n">
        <x:v>6</x:v>
      </x:c>
      <x:c r="D5756" s="12" t="n">
        <x:v>0</x:v>
      </x:c>
      <x:c r="E5756" s="12" t="n">
        <x:v>0.7010833333333333</x:v>
      </x:c>
      <x:c r="F5756" s="12" t="n">
        <x:v>0.7005</x:v>
      </x:c>
      <x:c r="G5756" s="12" t="n">
        <x:v>0</x:v>
      </x:c>
      <x:c r="H5756" s="1" t="n">
        <x:f>'Historical prices'!E5756</x:f>
        <x:v>1.05</x:v>
      </x:c>
      <x:c r="I5756" s="6" t="n">
        <x:f>'Historical prices'!D5756</x:f>
        <x:v>0.1508</x:v>
      </x:c>
      <x:c r="J5756" s="13" t="n">
        <x:f>D5756*I5756*H5756</x:f>
        <x:v>0</x:v>
      </x:c>
      <x:c r="K5756" s="13" t="n">
        <x:f>E5756*I5756*H5756</x:f>
        <x:v>0.11100953499999999</x:v>
      </x:c>
      <x:c r="L5756" s="1" t="str">
        <x:f>TEXT(A5756,"mmm yyyy")</x:f>
        <x:v>Sep 2026</x:v>
      </x:c>
    </x:row>
    <x:row r="5757" ht="21" customHeight="1">
      <x:c r="A5757" s="10" t="n">
        <x:v>46268</x:v>
      </x:c>
      <x:c r="B5757" s="1" t="n">
        <x:v>10.5</x:v>
      </x:c>
      <x:c r="C5757" s="1" t="n">
        <x:v>6</x:v>
      </x:c>
      <x:c r="D5757" s="12" t="n">
        <x:v>0.5356666666666666</x:v>
      </x:c>
      <x:c r="E5757" s="12" t="n">
        <x:v>0.7784166666666665</x:v>
      </x:c>
      <x:c r="F5757" s="12" t="n">
        <x:v>0.34391666666666665</x:v>
      </x:c>
      <x:c r="G5757" s="12" t="n">
        <x:v>0.104</x:v>
      </x:c>
      <x:c r="H5757" s="1" t="n">
        <x:f>'Historical prices'!E5757</x:f>
        <x:v>1.05</x:v>
      </x:c>
      <x:c r="I5757" s="6" t="n">
        <x:f>'Historical prices'!D5757</x:f>
        <x:v>0.1437</x:v>
      </x:c>
      <x:c r="J5757" s="13" t="n">
        <x:f>D5757*I5757*H5757</x:f>
        <x:v>0.080824065</x:v>
      </x:c>
      <x:c r="K5757" s="13" t="n">
        <x:f>E5757*I5757*H5757</x:f>
        <x:v>0.11745139874999998</x:v>
      </x:c>
      <x:c r="L5757" s="1" t="str">
        <x:f>TEXT(A5757,"mmm yyyy")</x:f>
        <x:v>Sep 2026</x:v>
      </x:c>
    </x:row>
    <x:row r="5758" ht="21" customHeight="1">
      <x:c r="A5758" s="10" t="n">
        <x:v>46268</x:v>
      </x:c>
      <x:c r="B5758" s="1" t="n">
        <x:v>11</x:v>
      </x:c>
      <x:c r="C5758" s="1" t="n">
        <x:v>6</x:v>
      </x:c>
      <x:c r="D5758" s="12" t="n">
        <x:v>0.6900000000000001</x:v>
      </x:c>
      <x:c r="E5758" s="12" t="n">
        <x:v>0.6240000000000001</x:v>
      </x:c>
      <x:c r="F5758" s="12" t="n">
        <x:v>0</x:v>
      </x:c>
      <x:c r="G5758" s="12" t="n">
        <x:v>0.066</x:v>
      </x:c>
      <x:c r="H5758" s="1" t="n">
        <x:f>'Historical prices'!E5758</x:f>
        <x:v>1.05</x:v>
      </x:c>
      <x:c r="I5758" s="6" t="n">
        <x:f>'Historical prices'!D5758</x:f>
        <x:v>0.1027</x:v>
      </x:c>
      <x:c r="J5758" s="13" t="n">
        <x:f>D5758*I5758*H5758</x:f>
        <x:v>0.07440615000000002</x:v>
      </x:c>
      <x:c r="K5758" s="13" t="n">
        <x:f>E5758*I5758*H5758</x:f>
        <x:v>0.06728904000000001</x:v>
      </x:c>
      <x:c r="L5758" s="1" t="str">
        <x:f>TEXT(A5758,"mmm yyyy")</x:f>
        <x:v>Sep 2026</x:v>
      </x:c>
    </x:row>
    <x:row r="5759" ht="21" customHeight="1">
      <x:c r="A5759" s="10" t="n">
        <x:v>46268</x:v>
      </x:c>
      <x:c r="B5759" s="1" t="n">
        <x:v>11.5</x:v>
      </x:c>
      <x:c r="C5759" s="1" t="n">
        <x:v>6</x:v>
      </x:c>
      <x:c r="D5759" s="12" t="n">
        <x:v>1.3875</x:v>
      </x:c>
      <x:c r="E5759" s="12" t="n">
        <x:v>0.5385</x:v>
      </x:c>
      <x:c r="F5759" s="12" t="n">
        <x:v>0</x:v>
      </x:c>
      <x:c r="G5759" s="12" t="n">
        <x:v>0.849</x:v>
      </x:c>
      <x:c r="H5759" s="1" t="n">
        <x:f>'Historical prices'!E5759</x:f>
        <x:v>1.05</x:v>
      </x:c>
      <x:c r="I5759" s="6" t="n">
        <x:f>'Historical prices'!D5759</x:f>
        <x:v>0.1016</x:v>
      </x:c>
      <x:c r="J5759" s="13" t="n">
        <x:f>D5759*I5759*H5759</x:f>
        <x:v>0.1480185</x:v>
      </x:c>
      <x:c r="K5759" s="13" t="n">
        <x:f>E5759*I5759*H5759</x:f>
        <x:v>0.057447179999999994</x:v>
      </x:c>
      <x:c r="L5759" s="1" t="str">
        <x:f>TEXT(A5759,"mmm yyyy")</x:f>
        <x:v>Sep 2026</x:v>
      </x:c>
    </x:row>
    <x:row r="5760" ht="21" customHeight="1">
      <x:c r="A5760" s="10" t="n">
        <x:v>46268</x:v>
      </x:c>
      <x:c r="B5760" s="1" t="n">
        <x:v>12</x:v>
      </x:c>
      <x:c r="C5760" s="1" t="n">
        <x:v>6</x:v>
      </x:c>
      <x:c r="D5760" s="12" t="n">
        <x:v>5.042</x:v>
      </x:c>
      <x:c r="E5760" s="12" t="n">
        <x:v>0.732</x:v>
      </x:c>
      <x:c r="F5760" s="12" t="n">
        <x:v>0</x:v>
      </x:c>
      <x:c r="G5760" s="12" t="n">
        <x:v>4.3100000000000005</x:v>
      </x:c>
      <x:c r="H5760" s="1" t="n">
        <x:f>'Historical prices'!E5760</x:f>
        <x:v>1.05</x:v>
      </x:c>
      <x:c r="I5760" s="6" t="n">
        <x:f>'Historical prices'!D5760</x:f>
        <x:v>0.0909</x:v>
      </x:c>
      <x:c r="J5760" s="13" t="n">
        <x:f>D5760*I5760*H5760</x:f>
        <x:v>0.48123368999999994</x:v>
      </x:c>
      <x:c r="K5760" s="13" t="n">
        <x:f>E5760*I5760*H5760</x:f>
        <x:v>0.06986574</x:v>
      </x:c>
      <x:c r="L5760" s="1" t="str">
        <x:f>TEXT(A5760,"mmm yyyy")</x:f>
        <x:v>Sep 2026</x:v>
      </x:c>
    </x:row>
    <x:row r="5761" ht="21" customHeight="1">
      <x:c r="A5761" s="10" t="n">
        <x:v>46268</x:v>
      </x:c>
      <x:c r="B5761" s="1" t="n">
        <x:v>12.5</x:v>
      </x:c>
      <x:c r="C5761" s="1" t="n">
        <x:v>6</x:v>
      </x:c>
      <x:c r="D5761" s="12" t="n">
        <x:v>5.31575</x:v>
      </x:c>
      <x:c r="E5761" s="12" t="n">
        <x:v>0.69675</x:v>
      </x:c>
      <x:c r="F5761" s="12" t="n">
        <x:v>0</x:v>
      </x:c>
      <x:c r="G5761" s="12" t="n">
        <x:v>4.619000000000001</x:v>
      </x:c>
      <x:c r="H5761" s="1" t="n">
        <x:f>'Historical prices'!E5761</x:f>
        <x:v>1.05</x:v>
      </x:c>
      <x:c r="I5761" s="6" t="n">
        <x:f>'Historical prices'!D5761</x:f>
        <x:v>0.0883</x:v>
      </x:c>
      <x:c r="J5761" s="13" t="n">
        <x:f>D5761*I5761*H5761</x:f>
        <x:v>0.4928497612500001</x:v>
      </x:c>
      <x:c r="K5761" s="13" t="n">
        <x:f>E5761*I5761*H5761</x:f>
        <x:v>0.06459917625</x:v>
      </x:c>
      <x:c r="L5761" s="1" t="str">
        <x:f>TEXT(A5761,"mmm yyyy")</x:f>
        <x:v>Sep 2026</x:v>
      </x:c>
    </x:row>
    <x:row r="5762" ht="21" customHeight="1">
      <x:c r="A5762" s="10" t="n">
        <x:v>46268</x:v>
      </x:c>
      <x:c r="B5762" s="1" t="n">
        <x:v>13</x:v>
      </x:c>
      <x:c r="C5762" s="1" t="n">
        <x:v>6</x:v>
      </x:c>
      <x:c r="D5762" s="12" t="n">
        <x:v>5.317</x:v>
      </x:c>
      <x:c r="E5762" s="12" t="n">
        <x:v>0.7989999999999999</x:v>
      </x:c>
      <x:c r="F5762" s="12" t="n">
        <x:v>0</x:v>
      </x:c>
      <x:c r="G5762" s="12" t="n">
        <x:v>4.518</x:v>
      </x:c>
      <x:c r="H5762" s="1" t="n">
        <x:f>'Historical prices'!E5762</x:f>
        <x:v>1.05</x:v>
      </x:c>
      <x:c r="I5762" s="6" t="n">
        <x:f>'Historical prices'!D5762</x:f>
        <x:v>0.0806</x:v>
      </x:c>
      <x:c r="J5762" s="13" t="n">
        <x:f>D5762*I5762*H5762</x:f>
        <x:v>0.4499777100000001</x:v>
      </x:c>
      <x:c r="K5762" s="13" t="n">
        <x:f>E5762*I5762*H5762</x:f>
        <x:v>0.06761937</x:v>
      </x:c>
      <x:c r="L5762" s="1" t="str">
        <x:f>TEXT(A5762,"mmm yyyy")</x:f>
        <x:v>Sep 2026</x:v>
      </x:c>
    </x:row>
    <x:row r="5763" ht="21" customHeight="1">
      <x:c r="A5763" s="10" t="n">
        <x:v>46268</x:v>
      </x:c>
      <x:c r="B5763" s="1" t="n">
        <x:v>13.5</x:v>
      </x:c>
      <x:c r="C5763" s="1" t="n">
        <x:v>6</x:v>
      </x:c>
      <x:c r="D5763" s="12" t="n">
        <x:v>5.5017499999999995</x:v>
      </x:c>
      <x:c r="E5763" s="12" t="n">
        <x:v>0.7357500000000001</x:v>
      </x:c>
      <x:c r="F5763" s="12" t="n">
        <x:v>0</x:v>
      </x:c>
      <x:c r="G5763" s="12" t="n">
        <x:v>4.766</x:v>
      </x:c>
      <x:c r="H5763" s="1" t="n">
        <x:f>'Historical prices'!E5763</x:f>
        <x:v>1.05</x:v>
      </x:c>
      <x:c r="I5763" s="6" t="n">
        <x:f>'Historical prices'!D5763</x:f>
        <x:v>0.0784</x:v>
      </x:c>
      <x:c r="J5763" s="13" t="n">
        <x:f>D5763*I5763*H5763</x:f>
        <x:v>0.45290405999999994</x:v>
      </x:c>
      <x:c r="K5763" s="13" t="n">
        <x:f>E5763*I5763*H5763</x:f>
        <x:v>0.06056694000000001</x:v>
      </x:c>
      <x:c r="L5763" s="1" t="str">
        <x:f>TEXT(A5763,"mmm yyyy")</x:f>
        <x:v>Sep 2026</x:v>
      </x:c>
    </x:row>
    <x:row r="5764" ht="21" customHeight="1">
      <x:c r="A5764" s="10" t="n">
        <x:v>46268</x:v>
      </x:c>
      <x:c r="B5764" s="1" t="n">
        <x:v>14</x:v>
      </x:c>
      <x:c r="C5764" s="1" t="n">
        <x:v>6</x:v>
      </x:c>
      <x:c r="D5764" s="12" t="n">
        <x:v>5.3515</x:v>
      </x:c>
      <x:c r="E5764" s="12" t="n">
        <x:v>0.6785000000000001</x:v>
      </x:c>
      <x:c r="F5764" s="12" t="n">
        <x:v>0</x:v>
      </x:c>
      <x:c r="G5764" s="12" t="n">
        <x:v>4.673</x:v>
      </x:c>
      <x:c r="H5764" s="1" t="n">
        <x:f>'Historical prices'!E5764</x:f>
        <x:v>1.05</x:v>
      </x:c>
      <x:c r="I5764" s="6" t="n">
        <x:f>'Historical prices'!D5764</x:f>
        <x:v>0.0821</x:v>
      </x:c>
      <x:c r="J5764" s="13" t="n">
        <x:f>D5764*I5764*H5764</x:f>
        <x:v>0.4613260575</x:v>
      </x:c>
      <x:c r="K5764" s="13" t="n">
        <x:f>E5764*I5764*H5764</x:f>
        <x:v>0.058490092500000014</x:v>
      </x:c>
      <x:c r="L5764" s="1" t="str">
        <x:f>TEXT(A5764,"mmm yyyy")</x:f>
        <x:v>Sep 2026</x:v>
      </x:c>
    </x:row>
    <x:row r="5765" ht="21" customHeight="1">
      <x:c r="A5765" s="10" t="n">
        <x:v>46268</x:v>
      </x:c>
      <x:c r="B5765" s="1" t="n">
        <x:v>14.5</x:v>
      </x:c>
      <x:c r="C5765" s="1" t="n">
        <x:v>6</x:v>
      </x:c>
      <x:c r="D5765" s="12" t="n">
        <x:v>1.5524999999999998</x:v>
      </x:c>
      <x:c r="E5765" s="12" t="n">
        <x:v>0.4975</x:v>
      </x:c>
      <x:c r="F5765" s="12" t="n">
        <x:v>0</x:v>
      </x:c>
      <x:c r="G5765" s="12" t="n">
        <x:v>1.057</x:v>
      </x:c>
      <x:c r="H5765" s="1" t="n">
        <x:f>'Historical prices'!E5765</x:f>
        <x:v>1.05</x:v>
      </x:c>
      <x:c r="I5765" s="6" t="n">
        <x:f>'Historical prices'!D5765</x:f>
        <x:v>0.1059</x:v>
      </x:c>
      <x:c r="J5765" s="13" t="n">
        <x:f>D5765*I5765*H5765</x:f>
        <x:v>0.17263023749999998</x:v>
      </x:c>
      <x:c r="K5765" s="13" t="n">
        <x:f>E5765*I5765*H5765</x:f>
        <x:v>0.0553195125</x:v>
      </x:c>
      <x:c r="L5765" s="1" t="str">
        <x:f>TEXT(A5765,"mmm yyyy")</x:f>
        <x:v>Sep 2026</x:v>
      </x:c>
    </x:row>
    <x:row r="5766" ht="21" customHeight="1">
      <x:c r="A5766" s="10" t="n">
        <x:v>46268</x:v>
      </x:c>
      <x:c r="B5766" s="1" t="n">
        <x:v>15</x:v>
      </x:c>
      <x:c r="C5766" s="1" t="n">
        <x:v>6</x:v>
      </x:c>
      <x:c r="D5766" s="12" t="n">
        <x:v>0.76475</x:v>
      </x:c>
      <x:c r="E5766" s="12" t="n">
        <x:v>1.05175</x:v>
      </x:c>
      <x:c r="F5766" s="12" t="n">
        <x:v>0.28300000000000003</x:v>
      </x:c>
      <x:c r="G5766" s="12" t="n">
        <x:v>0</x:v>
      </x:c>
      <x:c r="H5766" s="1" t="n">
        <x:f>'Historical prices'!E5766</x:f>
        <x:v>1.05</x:v>
      </x:c>
      <x:c r="I5766" s="6" t="n">
        <x:f>'Historical prices'!D5766</x:f>
        <x:v>0.1265</x:v>
      </x:c>
      <x:c r="J5766" s="13" t="n">
        <x:f>D5766*I5766*H5766</x:f>
        <x:v>0.10157791875000001</x:v>
      </x:c>
      <x:c r="K5766" s="13" t="n">
        <x:f>E5766*I5766*H5766</x:f>
        <x:v>0.13969869375</x:v>
      </x:c>
      <x:c r="L5766" s="1" t="str">
        <x:f>TEXT(A5766,"mmm yyyy")</x:f>
        <x:v>Sep 2026</x:v>
      </x:c>
    </x:row>
    <x:row r="5767" ht="21" customHeight="1">
      <x:c r="A5767" s="10" t="n">
        <x:v>46268</x:v>
      </x:c>
      <x:c r="B5767" s="1" t="n">
        <x:v>15.5</x:v>
      </x:c>
      <x:c r="C5767" s="1" t="n">
        <x:v>6</x:v>
      </x:c>
      <x:c r="D5767" s="12" t="n">
        <x:v>0.09916666666666667</x:v>
      </x:c>
      <x:c r="E5767" s="12" t="n">
        <x:v>0.6281666666666668</x:v>
      </x:c>
      <x:c r="F5767" s="12" t="n">
        <x:v>0.52475</x:v>
      </x:c>
      <x:c r="G5767" s="12" t="n">
        <x:v>0</x:v>
      </x:c>
      <x:c r="H5767" s="1" t="n">
        <x:f>'Historical prices'!E5767</x:f>
        <x:v>1.05</x:v>
      </x:c>
      <x:c r="I5767" s="6" t="n">
        <x:f>'Historical prices'!D5767</x:f>
        <x:v>0.1586</x:v>
      </x:c>
      <x:c r="J5767" s="13" t="n">
        <x:f>D5767*I5767*H5767</x:f>
        <x:v>0.016514225</x:v>
      </x:c>
      <x:c r="K5767" s="13" t="n">
        <x:f>E5767*I5767*H5767</x:f>
        <x:v>0.10460859500000001</x:v>
      </x:c>
      <x:c r="L5767" s="1" t="str">
        <x:f>TEXT(A5767,"mmm yyyy")</x:f>
        <x:v>Sep 2026</x:v>
      </x:c>
    </x:row>
    <x:row r="5768" ht="21" customHeight="1">
      <x:c r="A5768" s="10" t="n">
        <x:v>46268</x:v>
      </x:c>
      <x:c r="B5768" s="1" t="n">
        <x:v>16</x:v>
      </x:c>
      <x:c r="C5768" s="1" t="n">
        <x:v>6</x:v>
      </x:c>
      <x:c r="D5768" s="12" t="n">
        <x:v>0</x:v>
      </x:c>
      <x:c r="E5768" s="12" t="n">
        <x:v>0.88225</x:v>
      </x:c>
      <x:c r="F5768" s="12" t="n">
        <x:v>0.87575</x:v>
      </x:c>
      <x:c r="G5768" s="12" t="n">
        <x:v>0</x:v>
      </x:c>
      <x:c r="H5768" s="1" t="n">
        <x:f>'Historical prices'!E5768</x:f>
        <x:v>1.05</x:v>
      </x:c>
      <x:c r="I5768" s="6" t="n">
        <x:f>'Historical prices'!D5768</x:f>
        <x:v>0.3176</x:v>
      </x:c>
      <x:c r="J5768" s="13" t="n">
        <x:f>D5768*I5768*H5768</x:f>
        <x:v>0</x:v>
      </x:c>
      <x:c r="K5768" s="13" t="n">
        <x:f>E5768*I5768*H5768</x:f>
        <x:v>0.29421273</x:v>
      </x:c>
      <x:c r="L5768" s="1" t="str">
        <x:f>TEXT(A5768,"mmm yyyy")</x:f>
        <x:v>Sep 2026</x:v>
      </x:c>
    </x:row>
    <x:row r="5769" ht="21" customHeight="1">
      <x:c r="A5769" s="10" t="n">
        <x:v>46268</x:v>
      </x:c>
      <x:c r="B5769" s="1" t="n">
        <x:v>16.5</x:v>
      </x:c>
      <x:c r="C5769" s="1" t="n">
        <x:v>6</x:v>
      </x:c>
      <x:c r="D5769" s="12" t="n">
        <x:v>0</x:v>
      </x:c>
      <x:c r="E5769" s="12" t="n">
        <x:v>0.6756666666666666</x:v>
      </x:c>
      <x:c r="F5769" s="12" t="n">
        <x:v>0.6755833333333333</x:v>
      </x:c>
      <x:c r="G5769" s="12" t="n">
        <x:v>0</x:v>
      </x:c>
      <x:c r="H5769" s="1" t="n">
        <x:f>'Historical prices'!E5769</x:f>
        <x:v>1.05</x:v>
      </x:c>
      <x:c r="I5769" s="6" t="n">
        <x:f>'Historical prices'!D5769</x:f>
        <x:v>0.3378</x:v>
      </x:c>
      <x:c r="J5769" s="13" t="n">
        <x:f>D5769*I5769*H5769</x:f>
        <x:v>0</x:v>
      </x:c>
      <x:c r="K5769" s="13" t="n">
        <x:f>E5769*I5769*H5769</x:f>
        <x:v>0.23965220999999998</x:v>
      </x:c>
      <x:c r="L5769" s="1" t="str">
        <x:f>TEXT(A5769,"mmm yyyy")</x:f>
        <x:v>Sep 2026</x:v>
      </x:c>
    </x:row>
    <x:row r="5770" ht="21" customHeight="1">
      <x:c r="A5770" s="10" t="n">
        <x:v>46268</x:v>
      </x:c>
      <x:c r="B5770" s="1" t="n">
        <x:v>17</x:v>
      </x:c>
      <x:c r="C5770" s="1" t="n">
        <x:v>6</x:v>
      </x:c>
      <x:c r="D5770" s="12" t="n">
        <x:v>0</x:v>
      </x:c>
      <x:c r="E5770" s="12" t="n">
        <x:v>0.6632499999999999</x:v>
      </x:c>
      <x:c r="F5770" s="12" t="n">
        <x:v>0.6626666666666667</x:v>
      </x:c>
      <x:c r="G5770" s="12" t="n">
        <x:v>0</x:v>
      </x:c>
      <x:c r="H5770" s="1" t="n">
        <x:f>'Historical prices'!E5770</x:f>
        <x:v>1.05</x:v>
      </x:c>
      <x:c r="I5770" s="6" t="n">
        <x:f>'Historical prices'!D5770</x:f>
        <x:v>0.4045</x:v>
      </x:c>
      <x:c r="J5770" s="13" t="n">
        <x:f>D5770*I5770*H5770</x:f>
        <x:v>0</x:v>
      </x:c>
      <x:c r="K5770" s="13" t="n">
        <x:f>E5770*I5770*H5770</x:f>
        <x:v>0.28169885625</x:v>
      </x:c>
      <x:c r="L5770" s="1" t="str">
        <x:f>TEXT(A5770,"mmm yyyy")</x:f>
        <x:v>Sep 2026</x:v>
      </x:c>
    </x:row>
    <x:row r="5771" ht="21" customHeight="1">
      <x:c r="A5771" s="10" t="n">
        <x:v>46268</x:v>
      </x:c>
      <x:c r="B5771" s="1" t="n">
        <x:v>17.5</x:v>
      </x:c>
      <x:c r="C5771" s="1" t="n">
        <x:v>6</x:v>
      </x:c>
      <x:c r="D5771" s="12" t="n">
        <x:v>0.008916666666666666</x:v>
      </x:c>
      <x:c r="E5771" s="12" t="n">
        <x:v>0.5278333333333333</x:v>
      </x:c>
      <x:c r="F5771" s="12" t="n">
        <x:v>0.5184166666666666</x:v>
      </x:c>
      <x:c r="G5771" s="12" t="n">
        <x:v>0</x:v>
      </x:c>
      <x:c r="H5771" s="1" t="n">
        <x:f>'Historical prices'!E5771</x:f>
        <x:v>1.05</x:v>
      </x:c>
      <x:c r="I5771" s="6" t="n">
        <x:f>'Historical prices'!D5771</x:f>
        <x:v>0.43689999999999996</x:v>
      </x:c>
      <x:c r="J5771" s="13" t="n">
        <x:f>D5771*I5771*H5771</x:f>
        <x:v>0.00409047625</x:v>
      </x:c>
      <x:c r="K5771" s="13" t="n">
        <x:f>E5771*I5771*H5771</x:f>
        <x:v>0.24214090249999995</x:v>
      </x:c>
      <x:c r="L5771" s="1" t="str">
        <x:f>TEXT(A5771,"mmm yyyy")</x:f>
        <x:v>Sep 2026</x:v>
      </x:c>
    </x:row>
    <x:row r="5772" ht="21" customHeight="1">
      <x:c r="A5772" s="10" t="n">
        <x:v>46268</x:v>
      </x:c>
      <x:c r="B5772" s="1" t="n">
        <x:v>18</x:v>
      </x:c>
      <x:c r="C5772" s="1" t="n">
        <x:v>6</x:v>
      </x:c>
      <x:c r="D5772" s="12" t="n">
        <x:v>0</x:v>
      </x:c>
      <x:c r="E5772" s="12" t="n">
        <x:v>0.643</x:v>
      </x:c>
      <x:c r="F5772" s="12" t="n">
        <x:v>0.6425833333333333</x:v>
      </x:c>
      <x:c r="G5772" s="12" t="n">
        <x:v>0</x:v>
      </x:c>
      <x:c r="H5772" s="1" t="n">
        <x:f>'Historical prices'!E5772</x:f>
        <x:v>1.05</x:v>
      </x:c>
      <x:c r="I5772" s="6" t="n">
        <x:f>'Historical prices'!D5772</x:f>
        <x:v>0.4604</x:v>
      </x:c>
      <x:c r="J5772" s="13" t="n">
        <x:f>D5772*I5772*H5772</x:f>
        <x:v>0</x:v>
      </x:c>
      <x:c r="K5772" s="13" t="n">
        <x:f>E5772*I5772*H5772</x:f>
        <x:v>0.31083906</x:v>
      </x:c>
      <x:c r="L5772" s="1" t="str">
        <x:f>TEXT(A5772,"mmm yyyy")</x:f>
        <x:v>Sep 2026</x:v>
      </x:c>
    </x:row>
    <x:row r="5773" ht="21" customHeight="1">
      <x:c r="A5773" s="10" t="n">
        <x:v>46268</x:v>
      </x:c>
      <x:c r="B5773" s="1" t="n">
        <x:v>18.5</x:v>
      </x:c>
      <x:c r="C5773" s="1" t="n">
        <x:v>6</x:v>
      </x:c>
      <x:c r="D5773" s="12" t="n">
        <x:v>0</x:v>
      </x:c>
      <x:c r="E5773" s="12" t="n">
        <x:v>1.1493333333333333</x:v>
      </x:c>
      <x:c r="F5773" s="12" t="n">
        <x:v>1.1484166666666666</x:v>
      </x:c>
      <x:c r="G5773" s="12" t="n">
        <x:v>0</x:v>
      </x:c>
      <x:c r="H5773" s="1" t="n">
        <x:f>'Historical prices'!E5773</x:f>
        <x:v>1.05</x:v>
      </x:c>
      <x:c r="I5773" s="6" t="n">
        <x:f>'Historical prices'!D5773</x:f>
        <x:v>0.4608</x:v>
      </x:c>
      <x:c r="J5773" s="13" t="n">
        <x:f>D5773*I5773*H5773</x:f>
        <x:v>0</x:v>
      </x:c>
      <x:c r="K5773" s="13" t="n">
        <x:f>E5773*I5773*H5773</x:f>
        <x:v>0.55609344</x:v>
      </x:c>
      <x:c r="L5773" s="1" t="str">
        <x:f>TEXT(A5773,"mmm yyyy")</x:f>
        <x:v>Sep 2026</x:v>
      </x:c>
    </x:row>
    <x:row r="5774" ht="21" customHeight="1">
      <x:c r="A5774" s="10" t="n">
        <x:v>46268</x:v>
      </x:c>
      <x:c r="B5774" s="1" t="n">
        <x:v>19</x:v>
      </x:c>
      <x:c r="C5774" s="1" t="n">
        <x:v>6</x:v>
      </x:c>
      <x:c r="D5774" s="12" t="n">
        <x:v>0</x:v>
      </x:c>
      <x:c r="E5774" s="12" t="n">
        <x:v>0.8205833333333332</x:v>
      </x:c>
      <x:c r="F5774" s="12" t="n">
        <x:v>0.8200833333333333</x:v>
      </x:c>
      <x:c r="G5774" s="12" t="n">
        <x:v>0</x:v>
      </x:c>
      <x:c r="H5774" s="1" t="n">
        <x:f>'Historical prices'!E5774</x:f>
        <x:v>1.05</x:v>
      </x:c>
      <x:c r="I5774" s="6" t="n">
        <x:f>'Historical prices'!D5774</x:f>
        <x:v>0.35719999999999996</x:v>
      </x:c>
      <x:c r="J5774" s="13" t="n">
        <x:f>D5774*I5774*H5774</x:f>
        <x:v>0</x:v>
      </x:c>
      <x:c r="K5774" s="13" t="n">
        <x:f>E5774*I5774*H5774</x:f>
        <x:v>0.3077679849999999</x:v>
      </x:c>
      <x:c r="L5774" s="1" t="str">
        <x:f>TEXT(A5774,"mmm yyyy")</x:f>
        <x:v>Sep 2026</x:v>
      </x:c>
    </x:row>
    <x:row r="5775" ht="21" customHeight="1">
      <x:c r="A5775" s="10" t="n">
        <x:v>46268</x:v>
      </x:c>
      <x:c r="B5775" s="1" t="n">
        <x:v>19.5</x:v>
      </x:c>
      <x:c r="C5775" s="1" t="n">
        <x:v>6</x:v>
      </x:c>
      <x:c r="D5775" s="12" t="n">
        <x:v>0</x:v>
      </x:c>
      <x:c r="E5775" s="12" t="n">
        <x:v>0.8227500000000001</x:v>
      </x:c>
      <x:c r="F5775" s="12" t="n">
        <x:v>0.8225833333333333</x:v>
      </x:c>
      <x:c r="G5775" s="12" t="n">
        <x:v>0</x:v>
      </x:c>
      <x:c r="H5775" s="1" t="n">
        <x:f>'Historical prices'!E5775</x:f>
        <x:v>1.05</x:v>
      </x:c>
      <x:c r="I5775" s="6" t="n">
        <x:f>'Historical prices'!D5775</x:f>
        <x:v>0.3589</x:v>
      </x:c>
      <x:c r="J5775" s="13" t="n">
        <x:f>D5775*I5775*H5775</x:f>
        <x:v>0</x:v>
      </x:c>
      <x:c r="K5775" s="13" t="n">
        <x:f>E5775*I5775*H5775</x:f>
        <x:v>0.31004922375</x:v>
      </x:c>
      <x:c r="L5775" s="1" t="str">
        <x:f>TEXT(A5775,"mmm yyyy")</x:f>
        <x:v>Sep 2026</x:v>
      </x:c>
    </x:row>
    <x:row r="5776" ht="21" customHeight="1">
      <x:c r="A5776" s="10" t="n">
        <x:v>46268</x:v>
      </x:c>
      <x:c r="B5776" s="1" t="n">
        <x:v>20</x:v>
      </x:c>
      <x:c r="C5776" s="1" t="n">
        <x:v>6</x:v>
      </x:c>
      <x:c r="D5776" s="12" t="n">
        <x:v>0</x:v>
      </x:c>
      <x:c r="E5776" s="12" t="n">
        <x:v>0.527</x:v>
      </x:c>
      <x:c r="F5776" s="12" t="n">
        <x:v>0.5178333333333333</x:v>
      </x:c>
      <x:c r="G5776" s="12" t="n">
        <x:v>0</x:v>
      </x:c>
      <x:c r="H5776" s="1" t="n">
        <x:f>'Historical prices'!E5776</x:f>
        <x:v>1.05</x:v>
      </x:c>
      <x:c r="I5776" s="6" t="n">
        <x:f>'Historical prices'!D5776</x:f>
        <x:v>0.3467</x:v>
      </x:c>
      <x:c r="J5776" s="13" t="n">
        <x:f>D5776*I5776*H5776</x:f>
        <x:v>0</x:v>
      </x:c>
      <x:c r="K5776" s="13" t="n">
        <x:f>E5776*I5776*H5776</x:f>
        <x:v>0.191846445</x:v>
      </x:c>
      <x:c r="L5776" s="1" t="str">
        <x:f>TEXT(A5776,"mmm yyyy")</x:f>
        <x:v>Sep 2026</x:v>
      </x:c>
    </x:row>
    <x:row r="5777" ht="21" customHeight="1">
      <x:c r="A5777" s="10" t="n">
        <x:v>46268</x:v>
      </x:c>
      <x:c r="B5777" s="1" t="n">
        <x:v>20.5</x:v>
      </x:c>
      <x:c r="C5777" s="1" t="n">
        <x:v>6</x:v>
      </x:c>
      <x:c r="D5777" s="12" t="n">
        <x:v>0</x:v>
      </x:c>
      <x:c r="E5777" s="12" t="n">
        <x:v>0.5168333333333334</x:v>
      </x:c>
      <x:c r="F5777" s="12" t="n">
        <x:v>0.5145000000000001</x:v>
      </x:c>
      <x:c r="G5777" s="12" t="n">
        <x:v>0</x:v>
      </x:c>
      <x:c r="H5777" s="1" t="n">
        <x:f>'Historical prices'!E5777</x:f>
        <x:v>1.05</x:v>
      </x:c>
      <x:c r="I5777" s="6" t="n">
        <x:f>'Historical prices'!D5777</x:f>
        <x:v>0.32780000000000004</x:v>
      </x:c>
      <x:c r="J5777" s="13" t="n">
        <x:f>D5777*I5777*H5777</x:f>
        <x:v>0</x:v>
      </x:c>
      <x:c r="K5777" s="13" t="n">
        <x:f>E5777*I5777*H5777</x:f>
        <x:v>0.17788886500000003</x:v>
      </x:c>
      <x:c r="L5777" s="1" t="str">
        <x:f>TEXT(A5777,"mmm yyyy")</x:f>
        <x:v>Sep 2026</x:v>
      </x:c>
    </x:row>
    <x:row r="5778" ht="21" customHeight="1">
      <x:c r="A5778" s="10" t="n">
        <x:v>46268</x:v>
      </x:c>
      <x:c r="B5778" s="1" t="n">
        <x:v>21</x:v>
      </x:c>
      <x:c r="C5778" s="1" t="n">
        <x:v>6</x:v>
      </x:c>
      <x:c r="D5778" s="12" t="n">
        <x:v>0</x:v>
      </x:c>
      <x:c r="E5778" s="12" t="n">
        <x:v>0.512</x:v>
      </x:c>
      <x:c r="F5778" s="12" t="n">
        <x:v>0.5116666666666667</x:v>
      </x:c>
      <x:c r="G5778" s="12" t="n">
        <x:v>0</x:v>
      </x:c>
      <x:c r="H5778" s="1" t="n">
        <x:f>'Historical prices'!E5778</x:f>
        <x:v>1.05</x:v>
      </x:c>
      <x:c r="I5778" s="6" t="n">
        <x:f>'Historical prices'!D5778</x:f>
        <x:v>0.3298</x:v>
      </x:c>
      <x:c r="J5778" s="13" t="n">
        <x:f>D5778*I5778*H5778</x:f>
        <x:v>0</x:v>
      </x:c>
      <x:c r="K5778" s="13" t="n">
        <x:f>E5778*I5778*H5778</x:f>
        <x:v>0.17730048</x:v>
      </x:c>
      <x:c r="L5778" s="1" t="str">
        <x:f>TEXT(A5778,"mmm yyyy")</x:f>
        <x:v>Sep 2026</x:v>
      </x:c>
    </x:row>
    <x:row r="5779" ht="21" customHeight="1">
      <x:c r="A5779" s="10" t="n">
        <x:v>46268</x:v>
      </x:c>
      <x:c r="B5779" s="1" t="n">
        <x:v>21.5</x:v>
      </x:c>
      <x:c r="C5779" s="1" t="n">
        <x:v>6</x:v>
      </x:c>
      <x:c r="D5779" s="12" t="n">
        <x:v>0</x:v>
      </x:c>
      <x:c r="E5779" s="12" t="n">
        <x:v>1.131</x:v>
      </x:c>
      <x:c r="F5779" s="12" t="n">
        <x:v>1.13025</x:v>
      </x:c>
      <x:c r="G5779" s="12" t="n">
        <x:v>0</x:v>
      </x:c>
      <x:c r="H5779" s="1" t="n">
        <x:f>'Historical prices'!E5779</x:f>
        <x:v>1.05</x:v>
      </x:c>
      <x:c r="I5779" s="6" t="n">
        <x:f>'Historical prices'!D5779</x:f>
        <x:v>0.2711</x:v>
      </x:c>
      <x:c r="J5779" s="13" t="n">
        <x:f>D5779*I5779*H5779</x:f>
        <x:v>0</x:v>
      </x:c>
      <x:c r="K5779" s="13" t="n">
        <x:f>E5779*I5779*H5779</x:f>
        <x:v>0.321944805</x:v>
      </x:c>
      <x:c r="L5779" s="1" t="str">
        <x:f>TEXT(A5779,"mmm yyyy")</x:f>
        <x:v>Sep 2026</x:v>
      </x:c>
    </x:row>
    <x:row r="5780" ht="21" customHeight="1">
      <x:c r="A5780" s="10" t="n">
        <x:v>46268</x:v>
      </x:c>
      <x:c r="B5780" s="1" t="n">
        <x:v>22</x:v>
      </x:c>
      <x:c r="C5780" s="1" t="n">
        <x:v>6</x:v>
      </x:c>
      <x:c r="D5780" s="12" t="n">
        <x:v>0</x:v>
      </x:c>
      <x:c r="E5780" s="12" t="n">
        <x:v>0.48250000000000004</x:v>
      </x:c>
      <x:c r="F5780" s="12" t="n">
        <x:v>0.48225</x:v>
      </x:c>
      <x:c r="G5780" s="12" t="n">
        <x:v>0</x:v>
      </x:c>
      <x:c r="H5780" s="1" t="n">
        <x:f>'Historical prices'!E5780</x:f>
        <x:v>1.05</x:v>
      </x:c>
      <x:c r="I5780" s="6" t="n">
        <x:f>'Historical prices'!D5780</x:f>
        <x:v>0.2812</x:v>
      </x:c>
      <x:c r="J5780" s="13" t="n">
        <x:f>D5780*I5780*H5780</x:f>
        <x:v>0</x:v>
      </x:c>
      <x:c r="K5780" s="13" t="n">
        <x:f>E5780*I5780*H5780</x:f>
        <x:v>0.14246295000000003</x:v>
      </x:c>
      <x:c r="L5780" s="1" t="str">
        <x:f>TEXT(A5780,"mmm yyyy")</x:f>
        <x:v>Sep 2026</x:v>
      </x:c>
    </x:row>
    <x:row r="5781" ht="21" customHeight="1">
      <x:c r="A5781" s="10" t="n">
        <x:v>46268</x:v>
      </x:c>
      <x:c r="B5781" s="1" t="n">
        <x:v>22.5</x:v>
      </x:c>
      <x:c r="C5781" s="1" t="n">
        <x:v>6</x:v>
      </x:c>
      <x:c r="D5781" s="12" t="n">
        <x:v>0</x:v>
      </x:c>
      <x:c r="E5781" s="12" t="n">
        <x:v>0.3353333333333333</x:v>
      </x:c>
      <x:c r="F5781" s="12" t="n">
        <x:v>0.3345</x:v>
      </x:c>
      <x:c r="G5781" s="12" t="n">
        <x:v>0</x:v>
      </x:c>
      <x:c r="H5781" s="1" t="n">
        <x:f>'Historical prices'!E5781</x:f>
        <x:v>1.05</x:v>
      </x:c>
      <x:c r="I5781" s="6" t="n">
        <x:f>'Historical prices'!D5781</x:f>
        <x:v>0.249</x:v>
      </x:c>
      <x:c r="J5781" s="13" t="n">
        <x:f>D5781*I5781*H5781</x:f>
        <x:v>0</x:v>
      </x:c>
      <x:c r="K5781" s="13" t="n">
        <x:f>E5781*I5781*H5781</x:f>
        <x:v>0.0876729</x:v>
      </x:c>
      <x:c r="L5781" s="1" t="str">
        <x:f>TEXT(A5781,"mmm yyyy")</x:f>
        <x:v>Sep 2026</x:v>
      </x:c>
    </x:row>
    <x:row r="5782" ht="21" customHeight="1">
      <x:c r="A5782" s="10" t="n">
        <x:v>46268</x:v>
      </x:c>
      <x:c r="B5782" s="1" t="n">
        <x:v>23</x:v>
      </x:c>
      <x:c r="C5782" s="1" t="n">
        <x:v>6</x:v>
      </x:c>
      <x:c r="D5782" s="12" t="n">
        <x:v>0</x:v>
      </x:c>
      <x:c r="E5782" s="12" t="n">
        <x:v>0.362</x:v>
      </x:c>
      <x:c r="F5782" s="12" t="n">
        <x:v>0.36133333333333334</x:v>
      </x:c>
      <x:c r="G5782" s="12" t="n">
        <x:v>0</x:v>
      </x:c>
      <x:c r="H5782" s="1" t="n">
        <x:f>'Historical prices'!E5782</x:f>
        <x:v>1.05</x:v>
      </x:c>
      <x:c r="I5782" s="6" t="n">
        <x:f>'Historical prices'!D5782</x:f>
        <x:v>0.2655</x:v>
      </x:c>
      <x:c r="J5782" s="13" t="n">
        <x:f>D5782*I5782*H5782</x:f>
        <x:v>0</x:v>
      </x:c>
      <x:c r="K5782" s="13" t="n">
        <x:f>E5782*I5782*H5782</x:f>
        <x:v>0.10091655000000001</x:v>
      </x:c>
      <x:c r="L5782" s="1" t="str">
        <x:f>TEXT(A5782,"mmm yyyy")</x:f>
        <x:v>Sep 2026</x:v>
      </x:c>
    </x:row>
    <x:row r="5783" ht="21" customHeight="1">
      <x:c r="A5783" s="10" t="n">
        <x:v>46268</x:v>
      </x:c>
      <x:c r="B5783" s="1" t="n">
        <x:v>23.5</x:v>
      </x:c>
      <x:c r="C5783" s="1" t="n">
        <x:v>6</x:v>
      </x:c>
      <x:c r="D5783" s="12" t="n">
        <x:v>0</x:v>
      </x:c>
      <x:c r="E5783" s="12" t="n">
        <x:v>0.3807499999999999</x:v>
      </x:c>
      <x:c r="F5783" s="12" t="n">
        <x:v>0.38025</x:v>
      </x:c>
      <x:c r="G5783" s="12" t="n">
        <x:v>0</x:v>
      </x:c>
      <x:c r="H5783" s="1" t="n">
        <x:f>'Historical prices'!E5783</x:f>
        <x:v>1.05</x:v>
      </x:c>
      <x:c r="I5783" s="6" t="n">
        <x:f>'Historical prices'!D5783</x:f>
        <x:v>0.2421</x:v>
      </x:c>
      <x:c r="J5783" s="13" t="n">
        <x:f>D5783*I5783*H5783</x:f>
        <x:v>0</x:v>
      </x:c>
      <x:c r="K5783" s="13" t="n">
        <x:f>E5783*I5783*H5783</x:f>
        <x:v>0.09678855374999999</x:v>
      </x:c>
      <x:c r="L5783" s="1" t="str">
        <x:f>TEXT(A5783,"mmm yyyy")</x:f>
        <x:v>Sep 2026</x:v>
      </x:c>
    </x:row>
    <x:row r="5784" ht="21" customHeight="1">
      <x:c r="A5784" s="10" t="n">
        <x:v>46269</x:v>
      </x:c>
      <x:c r="B5784" s="1" t="n">
        <x:v>0</x:v>
      </x:c>
      <x:c r="C5784" s="1" t="n">
        <x:v>6</x:v>
      </x:c>
      <x:c r="D5784" s="12" t="n">
        <x:v>0</x:v>
      </x:c>
      <x:c r="E5784" s="12" t="n">
        <x:v>0.3486666666666667</x:v>
      </x:c>
      <x:c r="F5784" s="12" t="n">
        <x:v>0.33283333333333337</x:v>
      </x:c>
      <x:c r="G5784" s="12" t="n">
        <x:v>0</x:v>
      </x:c>
      <x:c r="H5784" s="1" t="n">
        <x:f>'Historical prices'!E5784</x:f>
        <x:v>1.05</x:v>
      </x:c>
      <x:c r="I5784" s="6" t="n">
        <x:f>'Historical prices'!D5784</x:f>
        <x:v>0.247</x:v>
      </x:c>
      <x:c r="J5784" s="13" t="n">
        <x:f>D5784*I5784*H5784</x:f>
        <x:v>0</x:v>
      </x:c>
      <x:c r="K5784" s="13" t="n">
        <x:f>E5784*I5784*H5784</x:f>
        <x:v>0.0904267</x:v>
      </x:c>
      <x:c r="L5784" s="1" t="str">
        <x:f>TEXT(A5784,"mmm yyyy")</x:f>
        <x:v>Sep 2026</x:v>
      </x:c>
    </x:row>
    <x:row r="5785" ht="21" customHeight="1">
      <x:c r="A5785" s="10" t="n">
        <x:v>46269</x:v>
      </x:c>
      <x:c r="B5785" s="1" t="n">
        <x:v>0.5</x:v>
      </x:c>
      <x:c r="C5785" s="1" t="n">
        <x:v>6</x:v>
      </x:c>
      <x:c r="D5785" s="12" t="n">
        <x:v>0</x:v>
      </x:c>
      <x:c r="E5785" s="12" t="n">
        <x:v>0.34891666666666665</x:v>
      </x:c>
      <x:c r="F5785" s="12" t="n">
        <x:v>0.34825</x:v>
      </x:c>
      <x:c r="G5785" s="12" t="n">
        <x:v>0</x:v>
      </x:c>
      <x:c r="H5785" s="1" t="n">
        <x:f>'Historical prices'!E5785</x:f>
        <x:v>1.05</x:v>
      </x:c>
      <x:c r="I5785" s="6" t="n">
        <x:f>'Historical prices'!D5785</x:f>
        <x:v>0.22649999999999998</x:v>
      </x:c>
      <x:c r="J5785" s="13" t="n">
        <x:f>D5785*I5785*H5785</x:f>
        <x:v>0</x:v>
      </x:c>
      <x:c r="K5785" s="13" t="n">
        <x:f>E5785*I5785*H5785</x:f>
        <x:v>0.08298110624999999</x:v>
      </x:c>
      <x:c r="L5785" s="1" t="str">
        <x:f>TEXT(A5785,"mmm yyyy")</x:f>
        <x:v>Sep 2026</x:v>
      </x:c>
    </x:row>
    <x:row r="5786" ht="21" customHeight="1">
      <x:c r="A5786" s="10" t="n">
        <x:v>46269</x:v>
      </x:c>
      <x:c r="B5786" s="1" t="n">
        <x:v>1</x:v>
      </x:c>
      <x:c r="C5786" s="1" t="n">
        <x:v>6</x:v>
      </x:c>
      <x:c r="D5786" s="12" t="n">
        <x:v>0</x:v>
      </x:c>
      <x:c r="E5786" s="12" t="n">
        <x:v>0.34241666666666665</x:v>
      </x:c>
      <x:c r="F5786" s="12" t="n">
        <x:v>0.3415833333333333</x:v>
      </x:c>
      <x:c r="G5786" s="12" t="n">
        <x:v>0</x:v>
      </x:c>
      <x:c r="H5786" s="1" t="n">
        <x:f>'Historical prices'!E5786</x:f>
        <x:v>1.05</x:v>
      </x:c>
      <x:c r="I5786" s="6" t="n">
        <x:f>'Historical prices'!D5786</x:f>
        <x:v>0.2007</x:v>
      </x:c>
      <x:c r="J5786" s="13" t="n">
        <x:f>D5786*I5786*H5786</x:f>
        <x:v>0</x:v>
      </x:c>
      <x:c r="K5786" s="13" t="n">
        <x:f>E5786*I5786*H5786</x:f>
        <x:v>0.07215917625</x:v>
      </x:c>
      <x:c r="L5786" s="1" t="str">
        <x:f>TEXT(A5786,"mmm yyyy")</x:f>
        <x:v>Sep 2026</x:v>
      </x:c>
    </x:row>
    <x:row r="5787" ht="21" customHeight="1">
      <x:c r="A5787" s="10" t="n">
        <x:v>46269</x:v>
      </x:c>
      <x:c r="B5787" s="1" t="n">
        <x:v>1.5</x:v>
      </x:c>
      <x:c r="C5787" s="1" t="n">
        <x:v>6</x:v>
      </x:c>
      <x:c r="D5787" s="12" t="n">
        <x:v>0</x:v>
      </x:c>
      <x:c r="E5787" s="12" t="n">
        <x:v>0.3114166666666667</x:v>
      </x:c>
      <x:c r="F5787" s="12" t="n">
        <x:v>0.3111666666666667</x:v>
      </x:c>
      <x:c r="G5787" s="12" t="n">
        <x:v>0</x:v>
      </x:c>
      <x:c r="H5787" s="1" t="n">
        <x:f>'Historical prices'!E5787</x:f>
        <x:v>1.05</x:v>
      </x:c>
      <x:c r="I5787" s="6" t="n">
        <x:f>'Historical prices'!D5787</x:f>
        <x:v>0.19870000000000002</x:v>
      </x:c>
      <x:c r="J5787" s="13" t="n">
        <x:f>D5787*I5787*H5787</x:f>
        <x:v>0</x:v>
      </x:c>
      <x:c r="K5787" s="13" t="n">
        <x:f>E5787*I5787*H5787</x:f>
        <x:v>0.06497241625000001</x:v>
      </x:c>
      <x:c r="L5787" s="1" t="str">
        <x:f>TEXT(A5787,"mmm yyyy")</x:f>
        <x:v>Sep 2026</x:v>
      </x:c>
    </x:row>
    <x:row r="5788" ht="21" customHeight="1">
      <x:c r="A5788" s="10" t="n">
        <x:v>46269</x:v>
      </x:c>
      <x:c r="B5788" s="1" t="n">
        <x:v>2</x:v>
      </x:c>
      <x:c r="C5788" s="1" t="n">
        <x:v>6</x:v>
      </x:c>
      <x:c r="D5788" s="12" t="n">
        <x:v>0</x:v>
      </x:c>
      <x:c r="E5788" s="12" t="n">
        <x:v>0.38025000000000003</x:v>
      </x:c>
      <x:c r="F5788" s="12" t="n">
        <x:v>0.3795</x:v>
      </x:c>
      <x:c r="G5788" s="12" t="n">
        <x:v>0</x:v>
      </x:c>
      <x:c r="H5788" s="1" t="n">
        <x:f>'Historical prices'!E5788</x:f>
        <x:v>1.05</x:v>
      </x:c>
      <x:c r="I5788" s="6" t="n">
        <x:f>'Historical prices'!D5788</x:f>
        <x:v>0.2076</x:v>
      </x:c>
      <x:c r="J5788" s="13" t="n">
        <x:f>D5788*I5788*H5788</x:f>
        <x:v>0</x:v>
      </x:c>
      <x:c r="K5788" s="13" t="n">
        <x:f>E5788*I5788*H5788</x:f>
        <x:v>0.08288689500000002</x:v>
      </x:c>
      <x:c r="L5788" s="1" t="str">
        <x:f>TEXT(A5788,"mmm yyyy")</x:f>
        <x:v>Sep 2026</x:v>
      </x:c>
    </x:row>
    <x:row r="5789" ht="21" customHeight="1">
      <x:c r="A5789" s="10" t="n">
        <x:v>46269</x:v>
      </x:c>
      <x:c r="B5789" s="1" t="n">
        <x:v>2.5</x:v>
      </x:c>
      <x:c r="C5789" s="1" t="n">
        <x:v>6</x:v>
      </x:c>
      <x:c r="D5789" s="12" t="n">
        <x:v>0</x:v>
      </x:c>
      <x:c r="E5789" s="12" t="n">
        <x:v>0.38566666666666666</x:v>
      </x:c>
      <x:c r="F5789" s="12" t="n">
        <x:v>0.38316666666666666</x:v>
      </x:c>
      <x:c r="G5789" s="12" t="n">
        <x:v>0</x:v>
      </x:c>
      <x:c r="H5789" s="1" t="n">
        <x:f>'Historical prices'!E5789</x:f>
        <x:v>1.05</x:v>
      </x:c>
      <x:c r="I5789" s="6" t="n">
        <x:f>'Historical prices'!D5789</x:f>
        <x:v>0.19820000000000002</x:v>
      </x:c>
      <x:c r="J5789" s="13" t="n">
        <x:f>D5789*I5789*H5789</x:f>
        <x:v>0</x:v>
      </x:c>
      <x:c r="K5789" s="13" t="n">
        <x:f>E5789*I5789*H5789</x:f>
        <x:v>0.08026109000000001</x:v>
      </x:c>
      <x:c r="L5789" s="1" t="str">
        <x:f>TEXT(A5789,"mmm yyyy")</x:f>
        <x:v>Sep 2026</x:v>
      </x:c>
    </x:row>
    <x:row r="5790" ht="21" customHeight="1">
      <x:c r="A5790" s="10" t="n">
        <x:v>46269</x:v>
      </x:c>
      <x:c r="B5790" s="1" t="n">
        <x:v>3</x:v>
      </x:c>
      <x:c r="C5790" s="1" t="n">
        <x:v>6</x:v>
      </x:c>
      <x:c r="D5790" s="12" t="n">
        <x:v>0.03975</x:v>
      </x:c>
      <x:c r="E5790" s="12" t="n">
        <x:v>0.31666666666666665</x:v>
      </x:c>
      <x:c r="F5790" s="12" t="n">
        <x:v>0.2688333333333333</x:v>
      </x:c>
      <x:c r="G5790" s="12" t="n">
        <x:v>0</x:v>
      </x:c>
      <x:c r="H5790" s="1" t="n">
        <x:f>'Historical prices'!E5790</x:f>
        <x:v>1.05</x:v>
      </x:c>
      <x:c r="I5790" s="6" t="n">
        <x:f>'Historical prices'!D5790</x:f>
        <x:v>0.2144</x:v>
      </x:c>
      <x:c r="J5790" s="13" t="n">
        <x:f>D5790*I5790*H5790</x:f>
        <x:v>0.008948520000000001</x:v>
      </x:c>
      <x:c r="K5790" s="13" t="n">
        <x:f>E5790*I5790*H5790</x:f>
        <x:v>0.071288</x:v>
      </x:c>
      <x:c r="L5790" s="1" t="str">
        <x:f>TEXT(A5790,"mmm yyyy")</x:f>
        <x:v>Sep 2026</x:v>
      </x:c>
    </x:row>
    <x:row r="5791" ht="21" customHeight="1">
      <x:c r="A5791" s="10" t="n">
        <x:v>46269</x:v>
      </x:c>
      <x:c r="B5791" s="1" t="n">
        <x:v>3.5</x:v>
      </x:c>
      <x:c r="C5791" s="1" t="n">
        <x:v>6</x:v>
      </x:c>
      <x:c r="D5791" s="12" t="n">
        <x:v>0</x:v>
      </x:c>
      <x:c r="E5791" s="12" t="n">
        <x:v>0.30783333333333335</x:v>
      </x:c>
      <x:c r="F5791" s="12" t="n">
        <x:v>0.30725</x:v>
      </x:c>
      <x:c r="G5791" s="12" t="n">
        <x:v>0</x:v>
      </x:c>
      <x:c r="H5791" s="1" t="n">
        <x:f>'Historical prices'!E5791</x:f>
        <x:v>1.05</x:v>
      </x:c>
      <x:c r="I5791" s="6" t="n">
        <x:f>'Historical prices'!D5791</x:f>
        <x:v>0.20600000000000002</x:v>
      </x:c>
      <x:c r="J5791" s="13" t="n">
        <x:f>D5791*I5791*H5791</x:f>
        <x:v>0</x:v>
      </x:c>
      <x:c r="K5791" s="13" t="n">
        <x:f>E5791*I5791*H5791</x:f>
        <x:v>0.06658435000000001</x:v>
      </x:c>
      <x:c r="L5791" s="1" t="str">
        <x:f>TEXT(A5791,"mmm yyyy")</x:f>
        <x:v>Sep 2026</x:v>
      </x:c>
    </x:row>
    <x:row r="5792" ht="21" customHeight="1">
      <x:c r="A5792" s="10" t="n">
        <x:v>46269</x:v>
      </x:c>
      <x:c r="B5792" s="1" t="n">
        <x:v>4</x:v>
      </x:c>
      <x:c r="C5792" s="1" t="n">
        <x:v>6</x:v>
      </x:c>
      <x:c r="D5792" s="12" t="n">
        <x:v>0</x:v>
      </x:c>
      <x:c r="E5792" s="12" t="n">
        <x:v>0.358</x:v>
      </x:c>
      <x:c r="F5792" s="12" t="n">
        <x:v>0.3575</x:v>
      </x:c>
      <x:c r="G5792" s="12" t="n">
        <x:v>0</x:v>
      </x:c>
      <x:c r="H5792" s="1" t="n">
        <x:f>'Historical prices'!E5792</x:f>
        <x:v>1.05</x:v>
      </x:c>
      <x:c r="I5792" s="6" t="n">
        <x:f>'Historical prices'!D5792</x:f>
        <x:v>0.2144</x:v>
      </x:c>
      <x:c r="J5792" s="13" t="n">
        <x:f>D5792*I5792*H5792</x:f>
        <x:v>0</x:v>
      </x:c>
      <x:c r="K5792" s="13" t="n">
        <x:f>E5792*I5792*H5792</x:f>
        <x:v>0.08059296</x:v>
      </x:c>
      <x:c r="L5792" s="1" t="str">
        <x:f>TEXT(A5792,"mmm yyyy")</x:f>
        <x:v>Sep 2026</x:v>
      </x:c>
    </x:row>
    <x:row r="5793" ht="21" customHeight="1">
      <x:c r="A5793" s="10" t="n">
        <x:v>46269</x:v>
      </x:c>
      <x:c r="B5793" s="1" t="n">
        <x:v>4.5</x:v>
      </x:c>
      <x:c r="C5793" s="1" t="n">
        <x:v>6</x:v>
      </x:c>
      <x:c r="D5793" s="12" t="n">
        <x:v>0</x:v>
      </x:c>
      <x:c r="E5793" s="12" t="n">
        <x:v>0.3979166666666667</x:v>
      </x:c>
      <x:c r="F5793" s="12" t="n">
        <x:v>0.39725</x:v>
      </x:c>
      <x:c r="G5793" s="12" t="n">
        <x:v>0</x:v>
      </x:c>
      <x:c r="H5793" s="1" t="n">
        <x:f>'Historical prices'!E5793</x:f>
        <x:v>1.05</x:v>
      </x:c>
      <x:c r="I5793" s="6" t="n">
        <x:f>'Historical prices'!D5793</x:f>
        <x:v>0.20600000000000002</x:v>
      </x:c>
      <x:c r="J5793" s="13" t="n">
        <x:f>D5793*I5793*H5793</x:f>
        <x:v>0</x:v>
      </x:c>
      <x:c r="K5793" s="13" t="n">
        <x:f>E5793*I5793*H5793</x:f>
        <x:v>0.08606937500000002</x:v>
      </x:c>
      <x:c r="L5793" s="1" t="str">
        <x:f>TEXT(A5793,"mmm yyyy")</x:f>
        <x:v>Sep 2026</x:v>
      </x:c>
    </x:row>
    <x:row r="5794" ht="21" customHeight="1">
      <x:c r="A5794" s="10" t="n">
        <x:v>46269</x:v>
      </x:c>
      <x:c r="B5794" s="1" t="n">
        <x:v>5</x:v>
      </x:c>
      <x:c r="C5794" s="1" t="n">
        <x:v>6</x:v>
      </x:c>
      <x:c r="D5794" s="12" t="n">
        <x:v>0</x:v>
      </x:c>
      <x:c r="E5794" s="12" t="n">
        <x:v>0.328</x:v>
      </x:c>
      <x:c r="F5794" s="12" t="n">
        <x:v>0.32766666666666666</x:v>
      </x:c>
      <x:c r="G5794" s="12" t="n">
        <x:v>0</x:v>
      </x:c>
      <x:c r="H5794" s="1" t="n">
        <x:f>'Historical prices'!E5794</x:f>
        <x:v>1.05</x:v>
      </x:c>
      <x:c r="I5794" s="6" t="n">
        <x:f>'Historical prices'!D5794</x:f>
        <x:v>0.21989999999999998</x:v>
      </x:c>
      <x:c r="J5794" s="13" t="n">
        <x:f>D5794*I5794*H5794</x:f>
        <x:v>0</x:v>
      </x:c>
      <x:c r="K5794" s="13" t="n">
        <x:f>E5794*I5794*H5794</x:f>
        <x:v>0.07573356</x:v>
      </x:c>
      <x:c r="L5794" s="1" t="str">
        <x:f>TEXT(A5794,"mmm yyyy")</x:f>
        <x:v>Sep 2026</x:v>
      </x:c>
    </x:row>
    <x:row r="5795" ht="21" customHeight="1">
      <x:c r="A5795" s="10" t="n">
        <x:v>46269</x:v>
      </x:c>
      <x:c r="B5795" s="1" t="n">
        <x:v>5.5</x:v>
      </x:c>
      <x:c r="C5795" s="1" t="n">
        <x:v>6</x:v>
      </x:c>
      <x:c r="D5795" s="12" t="n">
        <x:v>0</x:v>
      </x:c>
      <x:c r="E5795" s="12" t="n">
        <x:v>0.34791666666666665</x:v>
      </x:c>
      <x:c r="F5795" s="12" t="n">
        <x:v>0.3473333333333333</x:v>
      </x:c>
      <x:c r="G5795" s="12" t="n">
        <x:v>0</x:v>
      </x:c>
      <x:c r="H5795" s="1" t="n">
        <x:f>'Historical prices'!E5795</x:f>
        <x:v>1.05</x:v>
      </x:c>
      <x:c r="I5795" s="6" t="n">
        <x:f>'Historical prices'!D5795</x:f>
        <x:v>0.2267</x:v>
      </x:c>
      <x:c r="J5795" s="13" t="n">
        <x:f>D5795*I5795*H5795</x:f>
        <x:v>0</x:v>
      </x:c>
      <x:c r="K5795" s="13" t="n">
        <x:f>E5795*I5795*H5795</x:f>
        <x:v>0.08281634375000001</x:v>
      </x:c>
      <x:c r="L5795" s="1" t="str">
        <x:f>TEXT(A5795,"mmm yyyy")</x:f>
        <x:v>Sep 2026</x:v>
      </x:c>
    </x:row>
    <x:row r="5796" ht="21" customHeight="1">
      <x:c r="A5796" s="10" t="n">
        <x:v>46269</x:v>
      </x:c>
      <x:c r="B5796" s="1" t="n">
        <x:v>6</x:v>
      </x:c>
      <x:c r="C5796" s="1" t="n">
        <x:v>6</x:v>
      </x:c>
      <x:c r="D5796" s="12" t="n">
        <x:v>0</x:v>
      </x:c>
      <x:c r="E5796" s="12" t="n">
        <x:v>0.46408333333333335</x:v>
      </x:c>
      <x:c r="F5796" s="12" t="n">
        <x:v>0.46325</x:v>
      </x:c>
      <x:c r="G5796" s="12" t="n">
        <x:v>0</x:v>
      </x:c>
      <x:c r="H5796" s="1" t="n">
        <x:f>'Historical prices'!E5796</x:f>
        <x:v>1.05</x:v>
      </x:c>
      <x:c r="I5796" s="6" t="n">
        <x:f>'Historical prices'!D5796</x:f>
        <x:v>0.2235</x:v>
      </x:c>
      <x:c r="J5796" s="13" t="n">
        <x:f>D5796*I5796*H5796</x:f>
        <x:v>0</x:v>
      </x:c>
      <x:c r="K5796" s="13" t="n">
        <x:f>E5796*I5796*H5796</x:f>
        <x:v>0.10890875625</x:v>
      </x:c>
      <x:c r="L5796" s="1" t="str">
        <x:f>TEXT(A5796,"mmm yyyy")</x:f>
        <x:v>Sep 2026</x:v>
      </x:c>
    </x:row>
    <x:row r="5797" ht="21" customHeight="1">
      <x:c r="A5797" s="10" t="n">
        <x:v>46269</x:v>
      </x:c>
      <x:c r="B5797" s="1" t="n">
        <x:v>6.5</x:v>
      </x:c>
      <x:c r="C5797" s="1" t="n">
        <x:v>6</x:v>
      </x:c>
      <x:c r="D5797" s="12" t="n">
        <x:v>0</x:v>
      </x:c>
      <x:c r="E5797" s="12" t="n">
        <x:v>0.6579999999999999</x:v>
      </x:c>
      <x:c r="F5797" s="12" t="n">
        <x:v>0.6575833333333333</x:v>
      </x:c>
      <x:c r="G5797" s="12" t="n">
        <x:v>0</x:v>
      </x:c>
      <x:c r="H5797" s="1" t="n">
        <x:f>'Historical prices'!E5797</x:f>
        <x:v>1.05</x:v>
      </x:c>
      <x:c r="I5797" s="6" t="n">
        <x:f>'Historical prices'!D5797</x:f>
        <x:v>0.2527</x:v>
      </x:c>
      <x:c r="J5797" s="13" t="n">
        <x:f>D5797*I5797*H5797</x:f>
        <x:v>0</x:v>
      </x:c>
      <x:c r="K5797" s="13" t="n">
        <x:f>E5797*I5797*H5797</x:f>
        <x:v>0.17459042999999996</x:v>
      </x:c>
      <x:c r="L5797" s="1" t="str">
        <x:f>TEXT(A5797,"mmm yyyy")</x:f>
        <x:v>Sep 2026</x:v>
      </x:c>
    </x:row>
    <x:row r="5798" ht="21" customHeight="1">
      <x:c r="A5798" s="10" t="n">
        <x:v>46269</x:v>
      </x:c>
      <x:c r="B5798" s="1" t="n">
        <x:v>7</x:v>
      </x:c>
      <x:c r="C5798" s="1" t="n">
        <x:v>6</x:v>
      </x:c>
      <x:c r="D5798" s="12" t="n">
        <x:v>0</x:v>
      </x:c>
      <x:c r="E5798" s="12" t="n">
        <x:v>0.7830833333333332</x:v>
      </x:c>
      <x:c r="F5798" s="12" t="n">
        <x:v>0.7824166666666666</x:v>
      </x:c>
      <x:c r="G5798" s="12" t="n">
        <x:v>0</x:v>
      </x:c>
      <x:c r="H5798" s="1" t="n">
        <x:f>'Historical prices'!E5798</x:f>
        <x:v>1.05</x:v>
      </x:c>
      <x:c r="I5798" s="6" t="n">
        <x:f>'Historical prices'!D5798</x:f>
        <x:v>0.2554</x:v>
      </x:c>
      <x:c r="J5798" s="13" t="n">
        <x:f>D5798*I5798*H5798</x:f>
        <x:v>0</x:v>
      </x:c>
      <x:c r="K5798" s="13" t="n">
        <x:f>E5798*I5798*H5798</x:f>
        <x:v>0.2099994575</x:v>
      </x:c>
      <x:c r="L5798" s="1" t="str">
        <x:f>TEXT(A5798,"mmm yyyy")</x:f>
        <x:v>Sep 2026</x:v>
      </x:c>
    </x:row>
    <x:row r="5799" ht="21" customHeight="1">
      <x:c r="A5799" s="10" t="n">
        <x:v>46269</x:v>
      </x:c>
      <x:c r="B5799" s="1" t="n">
        <x:v>7.5</x:v>
      </x:c>
      <x:c r="C5799" s="1" t="n">
        <x:v>6</x:v>
      </x:c>
      <x:c r="D5799" s="12" t="n">
        <x:v>0</x:v>
      </x:c>
      <x:c r="E5799" s="12" t="n">
        <x:v>0.71475</x:v>
      </x:c>
      <x:c r="F5799" s="12" t="n">
        <x:v>0.7086666666666667</x:v>
      </x:c>
      <x:c r="G5799" s="12" t="n">
        <x:v>0</x:v>
      </x:c>
      <x:c r="H5799" s="1" t="n">
        <x:f>'Historical prices'!E5799</x:f>
        <x:v>1.05</x:v>
      </x:c>
      <x:c r="I5799" s="6" t="n">
        <x:f>'Historical prices'!D5799</x:f>
        <x:v>0.25989999999999996</x:v>
      </x:c>
      <x:c r="J5799" s="13" t="n">
        <x:f>D5799*I5799*H5799</x:f>
        <x:v>0</x:v>
      </x:c>
      <x:c r="K5799" s="13" t="n">
        <x:f>E5799*I5799*H5799</x:f>
        <x:v>0.19505170125</x:v>
      </x:c>
      <x:c r="L5799" s="1" t="str">
        <x:f>TEXT(A5799,"mmm yyyy")</x:f>
        <x:v>Sep 2026</x:v>
      </x:c>
    </x:row>
    <x:row r="5800" ht="21" customHeight="1">
      <x:c r="A5800" s="10" t="n">
        <x:v>46269</x:v>
      </x:c>
      <x:c r="B5800" s="1" t="n">
        <x:v>8</x:v>
      </x:c>
      <x:c r="C5800" s="1" t="n">
        <x:v>6</x:v>
      </x:c>
      <x:c r="D5800" s="12" t="n">
        <x:v>0</x:v>
      </x:c>
      <x:c r="E5800" s="12" t="n">
        <x:v>1.6250833333333334</x:v>
      </x:c>
      <x:c r="F5800" s="12" t="n">
        <x:v>1.6244999999999998</x:v>
      </x:c>
      <x:c r="G5800" s="12" t="n">
        <x:v>0</x:v>
      </x:c>
      <x:c r="H5800" s="1" t="n">
        <x:f>'Historical prices'!E5800</x:f>
        <x:v>1.05</x:v>
      </x:c>
      <x:c r="I5800" s="6" t="n">
        <x:f>'Historical prices'!D5800</x:f>
        <x:v>0.23329999999999998</x:v>
      </x:c>
      <x:c r="J5800" s="13" t="n">
        <x:f>D5800*I5800*H5800</x:f>
        <x:v>0</x:v>
      </x:c>
      <x:c r="K5800" s="13" t="n">
        <x:f>E5800*I5800*H5800</x:f>
        <x:v>0.39808853875</x:v>
      </x:c>
      <x:c r="L5800" s="1" t="str">
        <x:f>TEXT(A5800,"mmm yyyy")</x:f>
        <x:v>Sep 2026</x:v>
      </x:c>
    </x:row>
    <x:row r="5801" ht="21" customHeight="1">
      <x:c r="A5801" s="10" t="n">
        <x:v>46269</x:v>
      </x:c>
      <x:c r="B5801" s="1" t="n">
        <x:v>8.5</x:v>
      </x:c>
      <x:c r="C5801" s="1" t="n">
        <x:v>6</x:v>
      </x:c>
      <x:c r="D5801" s="12" t="n">
        <x:v>0</x:v>
      </x:c>
      <x:c r="E5801" s="12" t="n">
        <x:v>0.6793333333333333</x:v>
      </x:c>
      <x:c r="F5801" s="12" t="n">
        <x:v>0.67875</x:v>
      </x:c>
      <x:c r="G5801" s="12" t="n">
        <x:v>0</x:v>
      </x:c>
      <x:c r="H5801" s="1" t="n">
        <x:f>'Historical prices'!E5801</x:f>
        <x:v>1.05</x:v>
      </x:c>
      <x:c r="I5801" s="6" t="n">
        <x:f>'Historical prices'!D5801</x:f>
        <x:v>0.1968</x:v>
      </x:c>
      <x:c r="J5801" s="13" t="n">
        <x:f>D5801*I5801*H5801</x:f>
        <x:v>0</x:v>
      </x:c>
      <x:c r="K5801" s="13" t="n">
        <x:f>E5801*I5801*H5801</x:f>
        <x:v>0.14037744000000002</x:v>
      </x:c>
      <x:c r="L5801" s="1" t="str">
        <x:f>TEXT(A5801,"mmm yyyy")</x:f>
        <x:v>Sep 2026</x:v>
      </x:c>
    </x:row>
    <x:row r="5802" ht="21" customHeight="1">
      <x:c r="A5802" s="10" t="n">
        <x:v>46269</x:v>
      </x:c>
      <x:c r="B5802" s="1" t="n">
        <x:v>9</x:v>
      </x:c>
      <x:c r="C5802" s="1" t="n">
        <x:v>6</x:v>
      </x:c>
      <x:c r="D5802" s="12" t="n">
        <x:v>0</x:v>
      </x:c>
      <x:c r="E5802" s="12" t="n">
        <x:v>1.3381666666666667</x:v>
      </x:c>
      <x:c r="F5802" s="12" t="n">
        <x:v>1.3375833333333333</x:v>
      </x:c>
      <x:c r="G5802" s="12" t="n">
        <x:v>0</x:v>
      </x:c>
      <x:c r="H5802" s="1" t="n">
        <x:f>'Historical prices'!E5802</x:f>
        <x:v>1.05</x:v>
      </x:c>
      <x:c r="I5802" s="6" t="n">
        <x:f>'Historical prices'!D5802</x:f>
        <x:v>0.1547</x:v>
      </x:c>
      <x:c r="J5802" s="13" t="n">
        <x:f>D5802*I5802*H5802</x:f>
        <x:v>0</x:v>
      </x:c>
      <x:c r="K5802" s="13" t="n">
        <x:f>E5802*I5802*H5802</x:f>
        <x:v>0.21736510250000005</x:v>
      </x:c>
      <x:c r="L5802" s="1" t="str">
        <x:f>TEXT(A5802,"mmm yyyy")</x:f>
        <x:v>Sep 2026</x:v>
      </x:c>
    </x:row>
    <x:row r="5803" ht="21" customHeight="1">
      <x:c r="A5803" s="10" t="n">
        <x:v>46269</x:v>
      </x:c>
      <x:c r="B5803" s="1" t="n">
        <x:v>9.5</x:v>
      </x:c>
      <x:c r="C5803" s="1" t="n">
        <x:v>6</x:v>
      </x:c>
      <x:c r="D5803" s="12" t="n">
        <x:v>0</x:v>
      </x:c>
      <x:c r="E5803" s="12" t="n">
        <x:v>1.149833333333333</x:v>
      </x:c>
      <x:c r="F5803" s="12" t="n">
        <x:v>1.1494999999999997</x:v>
      </x:c>
      <x:c r="G5803" s="12" t="n">
        <x:v>0</x:v>
      </x:c>
      <x:c r="H5803" s="1" t="n">
        <x:f>'Historical prices'!E5803</x:f>
        <x:v>1.05</x:v>
      </x:c>
      <x:c r="I5803" s="6" t="n">
        <x:f>'Historical prices'!D5803</x:f>
        <x:v>0.10619999999999999</x:v>
      </x:c>
      <x:c r="J5803" s="13" t="n">
        <x:f>D5803*I5803*H5803</x:f>
        <x:v>0</x:v>
      </x:c>
      <x:c r="K5803" s="13" t="n">
        <x:f>E5803*I5803*H5803</x:f>
        <x:v>0.12821791499999996</x:v>
      </x:c>
      <x:c r="L5803" s="1" t="str">
        <x:f>TEXT(A5803,"mmm yyyy")</x:f>
        <x:v>Sep 2026</x:v>
      </x:c>
    </x:row>
    <x:row r="5804" ht="21" customHeight="1">
      <x:c r="A5804" s="10" t="n">
        <x:v>46269</x:v>
      </x:c>
      <x:c r="B5804" s="1" t="n">
        <x:v>10</x:v>
      </x:c>
      <x:c r="C5804" s="1" t="n">
        <x:v>6</x:v>
      </x:c>
      <x:c r="D5804" s="12" t="n">
        <x:v>0</x:v>
      </x:c>
      <x:c r="E5804" s="12" t="n">
        <x:v>1.104</x:v>
      </x:c>
      <x:c r="F5804" s="12" t="n">
        <x:v>1.1035</x:v>
      </x:c>
      <x:c r="G5804" s="12" t="n">
        <x:v>0</x:v>
      </x:c>
      <x:c r="H5804" s="1" t="n">
        <x:f>'Historical prices'!E5804</x:f>
        <x:v>1.05</x:v>
      </x:c>
      <x:c r="I5804" s="6" t="n">
        <x:f>'Historical prices'!D5804</x:f>
        <x:v>0.0785</x:v>
      </x:c>
      <x:c r="J5804" s="13" t="n">
        <x:f>D5804*I5804*H5804</x:f>
        <x:v>0</x:v>
      </x:c>
      <x:c r="K5804" s="13" t="n">
        <x:f>E5804*I5804*H5804</x:f>
        <x:v>0.09099720000000001</x:v>
      </x:c>
      <x:c r="L5804" s="1" t="str">
        <x:f>TEXT(A5804,"mmm yyyy")</x:f>
        <x:v>Sep 2026</x:v>
      </x:c>
    </x:row>
    <x:row r="5805" ht="21" customHeight="1">
      <x:c r="A5805" s="10" t="n">
        <x:v>46269</x:v>
      </x:c>
      <x:c r="B5805" s="1" t="n">
        <x:v>10.5</x:v>
      </x:c>
      <x:c r="C5805" s="1" t="n">
        <x:v>6</x:v>
      </x:c>
      <x:c r="D5805" s="12" t="n">
        <x:v>0.61325</x:v>
      </x:c>
      <x:c r="E5805" s="12" t="n">
        <x:v>0.8519166666666667</x:v>
      </x:c>
      <x:c r="F5805" s="12" t="n">
        <x:v>0.22766666666666666</x:v>
      </x:c>
      <x:c r="G5805" s="12" t="n">
        <x:v>0</x:v>
      </x:c>
      <x:c r="H5805" s="1" t="n">
        <x:f>'Historical prices'!E5805</x:f>
        <x:v>1.05</x:v>
      </x:c>
      <x:c r="I5805" s="6" t="n">
        <x:f>'Historical prices'!D5805</x:f>
        <x:v>0.0086</x:v>
      </x:c>
      <x:c r="J5805" s="13" t="n">
        <x:f>D5805*I5805*H5805</x:f>
        <x:v>0.0055376474999999994</x:v>
      </x:c>
      <x:c r="K5805" s="13" t="n">
        <x:f>E5805*I5805*H5805</x:f>
        <x:v>0.0076928075</x:v>
      </x:c>
      <x:c r="L5805" s="1" t="str">
        <x:f>TEXT(A5805,"mmm yyyy")</x:f>
        <x:v>Sep 2026</x:v>
      </x:c>
    </x:row>
    <x:row r="5806" ht="21" customHeight="1">
      <x:c r="A5806" s="10" t="n">
        <x:v>46269</x:v>
      </x:c>
      <x:c r="B5806" s="1" t="n">
        <x:v>11</x:v>
      </x:c>
      <x:c r="C5806" s="1" t="n">
        <x:v>6</x:v>
      </x:c>
      <x:c r="D5806" s="12" t="n">
        <x:v>0.24841666666666665</x:v>
      </x:c>
      <x:c r="E5806" s="12" t="n">
        <x:v>0.55225</x:v>
      </x:c>
      <x:c r="F5806" s="12" t="n">
        <x:v>0.33958333333333335</x:v>
      </x:c>
      <x:c r="G5806" s="12" t="n">
        <x:v>0.035</x:v>
      </x:c>
      <x:c r="H5806" s="1" t="n">
        <x:f>'Historical prices'!E5806</x:f>
        <x:v>1.05</x:v>
      </x:c>
      <x:c r="I5806" s="6" t="n">
        <x:f>'Historical prices'!D5806</x:f>
        <x:v>0.015600000000000001</x:v>
      </x:c>
      <x:c r="J5806" s="13" t="n">
        <x:f>D5806*I5806*H5806</x:f>
        <x:v>0.004069065</x:v>
      </x:c>
      <x:c r="K5806" s="13" t="n">
        <x:f>E5806*I5806*H5806</x:f>
        <x:v>0.009045855</x:v>
      </x:c>
      <x:c r="L5806" s="1" t="str">
        <x:f>TEXT(A5806,"mmm yyyy")</x:f>
        <x:v>Sep 2026</x:v>
      </x:c>
    </x:row>
    <x:row r="5807" ht="21" customHeight="1">
      <x:c r="A5807" s="10" t="n">
        <x:v>46269</x:v>
      </x:c>
      <x:c r="B5807" s="1" t="n">
        <x:v>11.5</x:v>
      </x:c>
      <x:c r="C5807" s="1" t="n">
        <x:v>6</x:v>
      </x:c>
      <x:c r="D5807" s="12" t="n">
        <x:v>2.9580833333333327</x:v>
      </x:c>
      <x:c r="E5807" s="12" t="n">
        <x:v>0.66025</x:v>
      </x:c>
      <x:c r="F5807" s="12" t="n">
        <x:v>0.148</x:v>
      </x:c>
      <x:c r="G5807" s="12" t="n">
        <x:v>2.446</x:v>
      </x:c>
      <x:c r="H5807" s="1" t="n">
        <x:f>'Historical prices'!E5807</x:f>
        <x:v>1.05</x:v>
      </x:c>
      <x:c r="I5807" s="6" t="n">
        <x:f>'Historical prices'!D5807</x:f>
        <x:v>-0.0097</x:v>
      </x:c>
      <x:c r="J5807" s="13" t="n">
        <x:f>D5807*I5807*H5807</x:f>
        <x:v>-0.03012807875</x:v>
      </x:c>
      <x:c r="K5807" s="13" t="n">
        <x:f>E5807*I5807*H5807</x:f>
        <x:v>-0.006724646250000001</x:v>
      </x:c>
      <x:c r="L5807" s="1" t="str">
        <x:f>TEXT(A5807,"mmm yyyy")</x:f>
        <x:v>Sep 2026</x:v>
      </x:c>
    </x:row>
    <x:row r="5808" ht="21" customHeight="1">
      <x:c r="A5808" s="10" t="n">
        <x:v>46269</x:v>
      </x:c>
      <x:c r="B5808" s="1" t="n">
        <x:v>12</x:v>
      </x:c>
      <x:c r="C5808" s="1" t="n">
        <x:v>6</x:v>
      </x:c>
      <x:c r="D5808" s="12" t="n">
        <x:v>4.6362499999999995</x:v>
      </x:c>
      <x:c r="E5808" s="12" t="n">
        <x:v>0.7583333333333333</x:v>
      </x:c>
      <x:c r="F5808" s="12" t="n">
        <x:v>0.098</x:v>
      </x:c>
      <x:c r="G5808" s="12" t="n">
        <x:v>3.9760000000000004</x:v>
      </x:c>
      <x:c r="H5808" s="1" t="n">
        <x:f>'Historical prices'!E5808</x:f>
        <x:v>1.05</x:v>
      </x:c>
      <x:c r="I5808" s="6" t="n">
        <x:f>'Historical prices'!D5808</x:f>
        <x:v>-0.0258</x:v>
      </x:c>
      <x:c r="J5808" s="13" t="n">
        <x:f>D5808*I5808*H5808</x:f>
        <x:v>-0.1255960125</x:v>
      </x:c>
      <x:c r="K5808" s="13" t="n">
        <x:f>E5808*I5808*H5808</x:f>
        <x:v>-0.02054325</x:v>
      </x:c>
      <x:c r="L5808" s="1" t="str">
        <x:f>TEXT(A5808,"mmm yyyy")</x:f>
        <x:v>Sep 2026</x:v>
      </x:c>
    </x:row>
    <x:row r="5809" ht="21" customHeight="1">
      <x:c r="A5809" s="10" t="n">
        <x:v>46269</x:v>
      </x:c>
      <x:c r="B5809" s="1" t="n">
        <x:v>12.5</x:v>
      </x:c>
      <x:c r="C5809" s="1" t="n">
        <x:v>6</x:v>
      </x:c>
      <x:c r="D5809" s="12" t="n">
        <x:v>5.4495</x:v>
      </x:c>
      <x:c r="E5809" s="12" t="n">
        <x:v>0.7615000000000001</x:v>
      </x:c>
      <x:c r="F5809" s="12" t="n">
        <x:v>0</x:v>
      </x:c>
      <x:c r="G5809" s="12" t="n">
        <x:v>4.688000000000001</x:v>
      </x:c>
      <x:c r="H5809" s="1" t="n">
        <x:f>'Historical prices'!E5809</x:f>
        <x:v>1.05</x:v>
      </x:c>
      <x:c r="I5809" s="6" t="n">
        <x:f>'Historical prices'!D5809</x:f>
        <x:v>-0.019799999999999998</x:v>
      </x:c>
      <x:c r="J5809" s="13" t="n">
        <x:f>D5809*I5809*H5809</x:f>
        <x:v>-0.113295105</x:v>
      </x:c>
      <x:c r="K5809" s="13" t="n">
        <x:f>E5809*I5809*H5809</x:f>
        <x:v>-0.015831585</x:v>
      </x:c>
      <x:c r="L5809" s="1" t="str">
        <x:f>TEXT(A5809,"mmm yyyy")</x:f>
        <x:v>Sep 2026</x:v>
      </x:c>
    </x:row>
    <x:row r="5810" ht="21" customHeight="1">
      <x:c r="A5810" s="10" t="n">
        <x:v>46269</x:v>
      </x:c>
      <x:c r="B5810" s="1" t="n">
        <x:v>13</x:v>
      </x:c>
      <x:c r="C5810" s="1" t="n">
        <x:v>6</x:v>
      </x:c>
      <x:c r="D5810" s="12" t="n">
        <x:v>5.43825</x:v>
      </x:c>
      <x:c r="E5810" s="12" t="n">
        <x:v>0.79525</x:v>
      </x:c>
      <x:c r="F5810" s="12" t="n">
        <x:v>0</x:v>
      </x:c>
      <x:c r="G5810" s="12" t="n">
        <x:v>4.643000000000001</x:v>
      </x:c>
      <x:c r="H5810" s="1" t="n">
        <x:f>'Historical prices'!E5810</x:f>
        <x:v>1.05</x:v>
      </x:c>
      <x:c r="I5810" s="6" t="n">
        <x:f>'Historical prices'!D5810</x:f>
        <x:v>-0.0207</x:v>
      </x:c>
      <x:c r="J5810" s="13" t="n">
        <x:f>D5810*I5810*H5810</x:f>
        <x:v>-0.11820036375000001</x:v>
      </x:c>
      <x:c r="K5810" s="13" t="n">
        <x:f>E5810*I5810*H5810</x:f>
        <x:v>-0.01728475875</x:v>
      </x:c>
      <x:c r="L5810" s="1" t="str">
        <x:f>TEXT(A5810,"mmm yyyy")</x:f>
        <x:v>Sep 2026</x:v>
      </x:c>
    </x:row>
    <x:row r="5811" ht="21" customHeight="1">
      <x:c r="A5811" s="10" t="n">
        <x:v>46269</x:v>
      </x:c>
      <x:c r="B5811" s="1" t="n">
        <x:v>13.5</x:v>
      </x:c>
      <x:c r="C5811" s="1" t="n">
        <x:v>6</x:v>
      </x:c>
      <x:c r="D5811" s="12" t="n">
        <x:v>5.3655</x:v>
      </x:c>
      <x:c r="E5811" s="12" t="n">
        <x:v>0.5835</x:v>
      </x:c>
      <x:c r="F5811" s="12" t="n">
        <x:v>0</x:v>
      </x:c>
      <x:c r="G5811" s="12" t="n">
        <x:v>4.782</x:v>
      </x:c>
      <x:c r="H5811" s="1" t="n">
        <x:f>'Historical prices'!E5811</x:f>
        <x:v>1.05</x:v>
      </x:c>
      <x:c r="I5811" s="6" t="n">
        <x:f>'Historical prices'!D5811</x:f>
        <x:v>-0.024700000000000003</x:v>
      </x:c>
      <x:c r="J5811" s="13" t="n">
        <x:f>D5811*I5811*H5811</x:f>
        <x:v>-0.1391542425</x:v>
      </x:c>
      <x:c r="K5811" s="13" t="n">
        <x:f>E5811*I5811*H5811</x:f>
        <x:v>-0.015133072500000002</x:v>
      </x:c>
      <x:c r="L5811" s="1" t="str">
        <x:f>TEXT(A5811,"mmm yyyy")</x:f>
        <x:v>Sep 2026</x:v>
      </x:c>
    </x:row>
    <x:row r="5812" ht="21" customHeight="1">
      <x:c r="A5812" s="10" t="n">
        <x:v>46269</x:v>
      </x:c>
      <x:c r="B5812" s="1" t="n">
        <x:v>14</x:v>
      </x:c>
      <x:c r="C5812" s="1" t="n">
        <x:v>6</x:v>
      </x:c>
      <x:c r="D5812" s="12" t="n">
        <x:v>5.168</x:v>
      </x:c>
      <x:c r="E5812" s="12" t="n">
        <x:v>0.571</x:v>
      </x:c>
      <x:c r="F5812" s="12" t="n">
        <x:v>0</x:v>
      </x:c>
      <x:c r="G5812" s="12" t="n">
        <x:v>4.597</x:v>
      </x:c>
      <x:c r="H5812" s="1" t="n">
        <x:f>'Historical prices'!E5812</x:f>
        <x:v>1.05</x:v>
      </x:c>
      <x:c r="I5812" s="6" t="n">
        <x:f>'Historical prices'!D5812</x:f>
        <x:v>-0.0187</x:v>
      </x:c>
      <x:c r="J5812" s="13" t="n">
        <x:f>D5812*I5812*H5812</x:f>
        <x:v>-0.10147368000000001</x:v>
      </x:c>
      <x:c r="K5812" s="13" t="n">
        <x:f>E5812*I5812*H5812</x:f>
        <x:v>-0.011211585000000001</x:v>
      </x:c>
      <x:c r="L5812" s="1" t="str">
        <x:f>TEXT(A5812,"mmm yyyy")</x:f>
        <x:v>Sep 2026</x:v>
      </x:c>
    </x:row>
    <x:row r="5813" ht="21" customHeight="1">
      <x:c r="A5813" s="10" t="n">
        <x:v>46269</x:v>
      </x:c>
      <x:c r="B5813" s="1" t="n">
        <x:v>14.5</x:v>
      </x:c>
      <x:c r="C5813" s="1" t="n">
        <x:v>6</x:v>
      </x:c>
      <x:c r="D5813" s="12" t="n">
        <x:v>4.601750000000001</x:v>
      </x:c>
      <x:c r="E5813" s="12" t="n">
        <x:v>0.53675</x:v>
      </x:c>
      <x:c r="F5813" s="12" t="n">
        <x:v>0</x:v>
      </x:c>
      <x:c r="G5813" s="12" t="n">
        <x:v>4.065</x:v>
      </x:c>
      <x:c r="H5813" s="1" t="n">
        <x:f>'Historical prices'!E5813</x:f>
        <x:v>1.05</x:v>
      </x:c>
      <x:c r="I5813" s="6" t="n">
        <x:f>'Historical prices'!D5813</x:f>
        <x:v>-0.0229</x:v>
      </x:c>
      <x:c r="J5813" s="13" t="n">
        <x:f>D5813*I5813*H5813</x:f>
        <x:v>-0.11064907875000002</x:v>
      </x:c>
      <x:c r="K5813" s="13" t="n">
        <x:f>E5813*I5813*H5813</x:f>
        <x:v>-0.01290615375</x:v>
      </x:c>
      <x:c r="L5813" s="1" t="str">
        <x:f>TEXT(A5813,"mmm yyyy")</x:f>
        <x:v>Sep 2026</x:v>
      </x:c>
    </x:row>
    <x:row r="5814" ht="21" customHeight="1">
      <x:c r="A5814" s="10" t="n">
        <x:v>46269</x:v>
      </x:c>
      <x:c r="B5814" s="1" t="n">
        <x:v>15</x:v>
      </x:c>
      <x:c r="C5814" s="1" t="n">
        <x:v>6</x:v>
      </x:c>
      <x:c r="D5814" s="12" t="n">
        <x:v>1.934</x:v>
      </x:c>
      <x:c r="E5814" s="12" t="n">
        <x:v>0.639</x:v>
      </x:c>
      <x:c r="F5814" s="12" t="n">
        <x:v>0</x:v>
      </x:c>
      <x:c r="G5814" s="12" t="n">
        <x:v>1.2950000000000002</x:v>
      </x:c>
      <x:c r="H5814" s="1" t="n">
        <x:f>'Historical prices'!E5814</x:f>
        <x:v>1.05</x:v>
      </x:c>
      <x:c r="I5814" s="6" t="n">
        <x:f>'Historical prices'!D5814</x:f>
        <x:v>-0.015300000000000001</x:v>
      </x:c>
      <x:c r="J5814" s="13" t="n">
        <x:f>D5814*I5814*H5814</x:f>
        <x:v>-0.03106971</x:v>
      </x:c>
      <x:c r="K5814" s="13" t="n">
        <x:f>E5814*I5814*H5814</x:f>
        <x:v>-0.010265535000000001</x:v>
      </x:c>
      <x:c r="L5814" s="1" t="str">
        <x:f>TEXT(A5814,"mmm yyyy")</x:f>
        <x:v>Sep 2026</x:v>
      </x:c>
    </x:row>
    <x:row r="5815" ht="21" customHeight="1">
      <x:c r="A5815" s="10" t="n">
        <x:v>46269</x:v>
      </x:c>
      <x:c r="B5815" s="1" t="n">
        <x:v>15.5</x:v>
      </x:c>
      <x:c r="C5815" s="1" t="n">
        <x:v>6</x:v>
      </x:c>
      <x:c r="D5815" s="12" t="n">
        <x:v>0.62075</x:v>
      </x:c>
      <x:c r="E5815" s="12" t="n">
        <x:v>0.59875</x:v>
      </x:c>
      <x:c r="F5815" s="12" t="n">
        <x:v>0</x:v>
      </x:c>
      <x:c r="G5815" s="12" t="n">
        <x:v>0.031</x:v>
      </x:c>
      <x:c r="H5815" s="1" t="n">
        <x:f>'Historical prices'!E5815</x:f>
        <x:v>1.05</x:v>
      </x:c>
      <x:c r="I5815" s="6" t="n">
        <x:f>'Historical prices'!D5815</x:f>
        <x:v>0.0027</x:v>
      </x:c>
      <x:c r="J5815" s="13" t="n">
        <x:f>D5815*I5815*H5815</x:f>
        <x:v>0.0017598262500000004</x:v>
      </x:c>
      <x:c r="K5815" s="13" t="n">
        <x:f>E5815*I5815*H5815</x:f>
        <x:v>0.00169745625</x:v>
      </x:c>
      <x:c r="L5815" s="1" t="str">
        <x:f>TEXT(A5815,"mmm yyyy")</x:f>
        <x:v>Sep 2026</x:v>
      </x:c>
    </x:row>
    <x:row r="5816" ht="21" customHeight="1">
      <x:c r="A5816" s="10" t="n">
        <x:v>46269</x:v>
      </x:c>
      <x:c r="B5816" s="1" t="n">
        <x:v>16</x:v>
      </x:c>
      <x:c r="C5816" s="1" t="n">
        <x:v>6</x:v>
      </x:c>
      <x:c r="D5816" s="12" t="n">
        <x:v>0.0655</x:v>
      </x:c>
      <x:c r="E5816" s="12" t="n">
        <x:v>0.6034166666666667</x:v>
      </x:c>
      <x:c r="F5816" s="12" t="n">
        <x:v>0.5355</x:v>
      </x:c>
      <x:c r="G5816" s="12" t="n">
        <x:v>0</x:v>
      </x:c>
      <x:c r="H5816" s="1" t="n">
        <x:f>'Historical prices'!E5816</x:f>
        <x:v>1.05</x:v>
      </x:c>
      <x:c r="I5816" s="6" t="n">
        <x:f>'Historical prices'!D5816</x:f>
        <x:v>0.1595</x:v>
      </x:c>
      <x:c r="J5816" s="13" t="n">
        <x:f>D5816*I5816*H5816</x:f>
        <x:v>0.0109696125</x:v>
      </x:c>
      <x:c r="K5816" s="13" t="n">
        <x:f>E5816*I5816*H5816</x:f>
        <x:v>0.10105720625</x:v>
      </x:c>
      <x:c r="L5816" s="1" t="str">
        <x:f>TEXT(A5816,"mmm yyyy")</x:f>
        <x:v>Sep 2026</x:v>
      </x:c>
    </x:row>
    <x:row r="5817" ht="21" customHeight="1">
      <x:c r="A5817" s="10" t="n">
        <x:v>46269</x:v>
      </x:c>
      <x:c r="B5817" s="1" t="n">
        <x:v>16.5</x:v>
      </x:c>
      <x:c r="C5817" s="1" t="n">
        <x:v>6</x:v>
      </x:c>
      <x:c r="D5817" s="12" t="n">
        <x:v>0</x:v>
      </x:c>
      <x:c r="E5817" s="12" t="n">
        <x:v>0.7144999999999999</x:v>
      </x:c>
      <x:c r="F5817" s="12" t="n">
        <x:v>0.7136666666666667</x:v>
      </x:c>
      <x:c r="G5817" s="12" t="n">
        <x:v>0</x:v>
      </x:c>
      <x:c r="H5817" s="1" t="n">
        <x:f>'Historical prices'!E5817</x:f>
        <x:v>1.05</x:v>
      </x:c>
      <x:c r="I5817" s="6" t="n">
        <x:f>'Historical prices'!D5817</x:f>
        <x:v>0.22519999999999998</x:v>
      </x:c>
      <x:c r="J5817" s="13" t="n">
        <x:f>D5817*I5817*H5817</x:f>
        <x:v>0</x:v>
      </x:c>
      <x:c r="K5817" s="13" t="n">
        <x:f>E5817*I5817*H5817</x:f>
        <x:v>0.16895066999999997</x:v>
      </x:c>
      <x:c r="L5817" s="1" t="str">
        <x:f>TEXT(A5817,"mmm yyyy")</x:f>
        <x:v>Sep 2026</x:v>
      </x:c>
    </x:row>
    <x:row r="5818" ht="21" customHeight="1">
      <x:c r="A5818" s="10" t="n">
        <x:v>46269</x:v>
      </x:c>
      <x:c r="B5818" s="1" t="n">
        <x:v>17</x:v>
      </x:c>
      <x:c r="C5818" s="1" t="n">
        <x:v>6</x:v>
      </x:c>
      <x:c r="D5818" s="12" t="n">
        <x:v>0</x:v>
      </x:c>
      <x:c r="E5818" s="12" t="n">
        <x:v>0.5509999999999999</x:v>
      </x:c>
      <x:c r="F5818" s="12" t="n">
        <x:v>0.5505833333333332</x:v>
      </x:c>
      <x:c r="G5818" s="12" t="n">
        <x:v>0</x:v>
      </x:c>
      <x:c r="H5818" s="1" t="n">
        <x:f>'Historical prices'!E5818</x:f>
        <x:v>1.05</x:v>
      </x:c>
      <x:c r="I5818" s="6" t="n">
        <x:f>'Historical prices'!D5818</x:f>
        <x:v>0.3084</x:v>
      </x:c>
      <x:c r="J5818" s="13" t="n">
        <x:f>D5818*I5818*H5818</x:f>
        <x:v>0</x:v>
      </x:c>
      <x:c r="K5818" s="13" t="n">
        <x:f>E5818*I5818*H5818</x:f>
        <x:v>0.17842481999999998</x:v>
      </x:c>
      <x:c r="L5818" s="1" t="str">
        <x:f>TEXT(A5818,"mmm yyyy")</x:f>
        <x:v>Sep 2026</x:v>
      </x:c>
    </x:row>
    <x:row r="5819" ht="21" customHeight="1">
      <x:c r="A5819" s="10" t="n">
        <x:v>46269</x:v>
      </x:c>
      <x:c r="B5819" s="1" t="n">
        <x:v>17.5</x:v>
      </x:c>
      <x:c r="C5819" s="1" t="n">
        <x:v>6</x:v>
      </x:c>
      <x:c r="D5819" s="12" t="n">
        <x:v>0</x:v>
      </x:c>
      <x:c r="E5819" s="12" t="n">
        <x:v>0.55</x:v>
      </x:c>
      <x:c r="F5819" s="12" t="n">
        <x:v>0.5493333333333332</x:v>
      </x:c>
      <x:c r="G5819" s="12" t="n">
        <x:v>0</x:v>
      </x:c>
      <x:c r="H5819" s="1" t="n">
        <x:f>'Historical prices'!E5819</x:f>
        <x:v>1.05</x:v>
      </x:c>
      <x:c r="I5819" s="6" t="n">
        <x:f>'Historical prices'!D5819</x:f>
        <x:v>0.33520000000000005</x:v>
      </x:c>
      <x:c r="J5819" s="13" t="n">
        <x:f>D5819*I5819*H5819</x:f>
        <x:v>0</x:v>
      </x:c>
      <x:c r="K5819" s="13" t="n">
        <x:f>E5819*I5819*H5819</x:f>
        <x:v>0.19357800000000006</x:v>
      </x:c>
      <x:c r="L5819" s="1" t="str">
        <x:f>TEXT(A5819,"mmm yyyy")</x:f>
        <x:v>Sep 2026</x:v>
      </x:c>
    </x:row>
    <x:row r="5820" ht="21" customHeight="1">
      <x:c r="A5820" s="10" t="n">
        <x:v>46269</x:v>
      </x:c>
      <x:c r="B5820" s="1" t="n">
        <x:v>18</x:v>
      </x:c>
      <x:c r="C5820" s="1" t="n">
        <x:v>6</x:v>
      </x:c>
      <x:c r="D5820" s="12" t="n">
        <x:v>0</x:v>
      </x:c>
      <x:c r="E5820" s="12" t="n">
        <x:v>0.5716666666666667</x:v>
      </x:c>
      <x:c r="F5820" s="12" t="n">
        <x:v>0.5711666666666666</x:v>
      </x:c>
      <x:c r="G5820" s="12" t="n">
        <x:v>0</x:v>
      </x:c>
      <x:c r="H5820" s="1" t="n">
        <x:f>'Historical prices'!E5820</x:f>
        <x:v>1.05</x:v>
      </x:c>
      <x:c r="I5820" s="6" t="n">
        <x:f>'Historical prices'!D5820</x:f>
        <x:v>0.3398</x:v>
      </x:c>
      <x:c r="J5820" s="13" t="n">
        <x:f>D5820*I5820*H5820</x:f>
        <x:v>0</x:v>
      </x:c>
      <x:c r="K5820" s="13" t="n">
        <x:f>E5820*I5820*H5820</x:f>
        <x:v>0.20396495</x:v>
      </x:c>
      <x:c r="L5820" s="1" t="str">
        <x:f>TEXT(A5820,"mmm yyyy")</x:f>
        <x:v>Sep 2026</x:v>
      </x:c>
    </x:row>
    <x:row r="5821" ht="21" customHeight="1">
      <x:c r="A5821" s="10" t="n">
        <x:v>46269</x:v>
      </x:c>
      <x:c r="B5821" s="1" t="n">
        <x:v>18.5</x:v>
      </x:c>
      <x:c r="C5821" s="1" t="n">
        <x:v>6</x:v>
      </x:c>
      <x:c r="D5821" s="12" t="n">
        <x:v>0</x:v>
      </x:c>
      <x:c r="E5821" s="12" t="n">
        <x:v>0.8960833333333335</x:v>
      </x:c>
      <x:c r="F5821" s="12" t="n">
        <x:v>0.8954166666666667</x:v>
      </x:c>
      <x:c r="G5821" s="12" t="n">
        <x:v>0</x:v>
      </x:c>
      <x:c r="H5821" s="1" t="n">
        <x:f>'Historical prices'!E5821</x:f>
        <x:v>1.05</x:v>
      </x:c>
      <x:c r="I5821" s="6" t="n">
        <x:f>'Historical prices'!D5821</x:f>
        <x:v>0.34600000000000003</x:v>
      </x:c>
      <x:c r="J5821" s="13" t="n">
        <x:f>D5821*I5821*H5821</x:f>
        <x:v>0</x:v>
      </x:c>
      <x:c r="K5821" s="13" t="n">
        <x:f>E5821*I5821*H5821</x:f>
        <x:v>0.3255470750000001</x:v>
      </x:c>
      <x:c r="L5821" s="1" t="str">
        <x:f>TEXT(A5821,"mmm yyyy")</x:f>
        <x:v>Sep 2026</x:v>
      </x:c>
    </x:row>
    <x:row r="5822" ht="21" customHeight="1">
      <x:c r="A5822" s="10" t="n">
        <x:v>46269</x:v>
      </x:c>
      <x:c r="B5822" s="1" t="n">
        <x:v>19</x:v>
      </x:c>
      <x:c r="C5822" s="1" t="n">
        <x:v>6</x:v>
      </x:c>
      <x:c r="D5822" s="12" t="n">
        <x:v>0</x:v>
      </x:c>
      <x:c r="E5822" s="12" t="n">
        <x:v>0.6609166666666666</x:v>
      </x:c>
      <x:c r="F5822" s="12" t="n">
        <x:v>0.6604166666666665</x:v>
      </x:c>
      <x:c r="G5822" s="12" t="n">
        <x:v>0</x:v>
      </x:c>
      <x:c r="H5822" s="1" t="n">
        <x:f>'Historical prices'!E5822</x:f>
        <x:v>1.05</x:v>
      </x:c>
      <x:c r="I5822" s="6" t="n">
        <x:f>'Historical prices'!D5822</x:f>
        <x:v>0.2127</x:v>
      </x:c>
      <x:c r="J5822" s="13" t="n">
        <x:f>D5822*I5822*H5822</x:f>
        <x:v>0</x:v>
      </x:c>
      <x:c r="K5822" s="13" t="n">
        <x:f>E5822*I5822*H5822</x:f>
        <x:v>0.14760582375</x:v>
      </x:c>
      <x:c r="L5822" s="1" t="str">
        <x:f>TEXT(A5822,"mmm yyyy")</x:f>
        <x:v>Sep 2026</x:v>
      </x:c>
    </x:row>
    <x:row r="5823" ht="21" customHeight="1">
      <x:c r="A5823" s="10" t="n">
        <x:v>46269</x:v>
      </x:c>
      <x:c r="B5823" s="1" t="n">
        <x:v>19.5</x:v>
      </x:c>
      <x:c r="C5823" s="1" t="n">
        <x:v>6</x:v>
      </x:c>
      <x:c r="D5823" s="12" t="n">
        <x:v>0</x:v>
      </x:c>
      <x:c r="E5823" s="12" t="n">
        <x:v>0.8413333333333333</x:v>
      </x:c>
      <x:c r="F5823" s="12" t="n">
        <x:v>0.8406666666666667</x:v>
      </x:c>
      <x:c r="G5823" s="12" t="n">
        <x:v>0</x:v>
      </x:c>
      <x:c r="H5823" s="1" t="n">
        <x:f>'Historical prices'!E5823</x:f>
        <x:v>1.05</x:v>
      </x:c>
      <x:c r="I5823" s="6" t="n">
        <x:f>'Historical prices'!D5823</x:f>
        <x:v>0.2299</x:v>
      </x:c>
      <x:c r="J5823" s="13" t="n">
        <x:f>D5823*I5823*H5823</x:f>
        <x:v>0</x:v>
      </x:c>
      <x:c r="K5823" s="13" t="n">
        <x:f>E5823*I5823*H5823</x:f>
        <x:v>0.20309365999999998</x:v>
      </x:c>
      <x:c r="L5823" s="1" t="str">
        <x:f>TEXT(A5823,"mmm yyyy")</x:f>
        <x:v>Sep 2026</x:v>
      </x:c>
    </x:row>
    <x:row r="5824" ht="21" customHeight="1">
      <x:c r="A5824" s="10" t="n">
        <x:v>46269</x:v>
      </x:c>
      <x:c r="B5824" s="1" t="n">
        <x:v>20</x:v>
      </x:c>
      <x:c r="C5824" s="1" t="n">
        <x:v>6</x:v>
      </x:c>
      <x:c r="D5824" s="12" t="n">
        <x:v>0</x:v>
      </x:c>
      <x:c r="E5824" s="12" t="n">
        <x:v>0.7639166666666666</x:v>
      </x:c>
      <x:c r="F5824" s="12" t="n">
        <x:v>0.7636666666666666</x:v>
      </x:c>
      <x:c r="G5824" s="12" t="n">
        <x:v>0</x:v>
      </x:c>
      <x:c r="H5824" s="1" t="n">
        <x:f>'Historical prices'!E5824</x:f>
        <x:v>1.05</x:v>
      </x:c>
      <x:c r="I5824" s="6" t="n">
        <x:f>'Historical prices'!D5824</x:f>
        <x:v>0.2299</x:v>
      </x:c>
      <x:c r="J5824" s="13" t="n">
        <x:f>D5824*I5824*H5824</x:f>
        <x:v>0</x:v>
      </x:c>
      <x:c r="K5824" s="13" t="n">
        <x:f>E5824*I5824*H5824</x:f>
        <x:v>0.18440566374999998</x:v>
      </x:c>
      <x:c r="L5824" s="1" t="str">
        <x:f>TEXT(A5824,"mmm yyyy")</x:f>
        <x:v>Sep 2026</x:v>
      </x:c>
    </x:row>
    <x:row r="5825" ht="21" customHeight="1">
      <x:c r="A5825" s="10" t="n">
        <x:v>46269</x:v>
      </x:c>
      <x:c r="B5825" s="1" t="n">
        <x:v>20.5</x:v>
      </x:c>
      <x:c r="C5825" s="1" t="n">
        <x:v>6</x:v>
      </x:c>
      <x:c r="D5825" s="12" t="n">
        <x:v>0</x:v>
      </x:c>
      <x:c r="E5825" s="12" t="n">
        <x:v>0.6434166666666666</x:v>
      </x:c>
      <x:c r="F5825" s="12" t="n">
        <x:v>0.6428333333333333</x:v>
      </x:c>
      <x:c r="G5825" s="12" t="n">
        <x:v>0</x:v>
      </x:c>
      <x:c r="H5825" s="1" t="n">
        <x:f>'Historical prices'!E5825</x:f>
        <x:v>1.05</x:v>
      </x:c>
      <x:c r="I5825" s="6" t="n">
        <x:f>'Historical prices'!D5825</x:f>
        <x:v>0.2207</x:v>
      </x:c>
      <x:c r="J5825" s="13" t="n">
        <x:f>D5825*I5825*H5825</x:f>
        <x:v>0</x:v>
      </x:c>
      <x:c r="K5825" s="13" t="n">
        <x:f>E5825*I5825*H5825</x:f>
        <x:v>0.14910216125</x:v>
      </x:c>
      <x:c r="L5825" s="1" t="str">
        <x:f>TEXT(A5825,"mmm yyyy")</x:f>
        <x:v>Sep 2026</x:v>
      </x:c>
    </x:row>
    <x:row r="5826" ht="21" customHeight="1">
      <x:c r="A5826" s="10" t="n">
        <x:v>46269</x:v>
      </x:c>
      <x:c r="B5826" s="1" t="n">
        <x:v>21</x:v>
      </x:c>
      <x:c r="C5826" s="1" t="n">
        <x:v>6</x:v>
      </x:c>
      <x:c r="D5826" s="12" t="n">
        <x:v>0</x:v>
      </x:c>
      <x:c r="E5826" s="12" t="n">
        <x:v>0.6855833333333333</x:v>
      </x:c>
      <x:c r="F5826" s="12" t="n">
        <x:v>0.6851666666666667</x:v>
      </x:c>
      <x:c r="G5826" s="12" t="n">
        <x:v>0</x:v>
      </x:c>
      <x:c r="H5826" s="1" t="n">
        <x:f>'Historical prices'!E5826</x:f>
        <x:v>1.05</x:v>
      </x:c>
      <x:c r="I5826" s="6" t="n">
        <x:f>'Historical prices'!D5826</x:f>
        <x:v>0.2186</x:v>
      </x:c>
      <x:c r="J5826" s="13" t="n">
        <x:f>D5826*I5826*H5826</x:f>
        <x:v>0</x:v>
      </x:c>
      <x:c r="K5826" s="13" t="n">
        <x:f>E5826*I5826*H5826</x:f>
        <x:v>0.1573619425</x:v>
      </x:c>
      <x:c r="L5826" s="1" t="str">
        <x:f>TEXT(A5826,"mmm yyyy")</x:f>
        <x:v>Sep 2026</x:v>
      </x:c>
    </x:row>
    <x:row r="5827" ht="21" customHeight="1">
      <x:c r="A5827" s="10" t="n">
        <x:v>46269</x:v>
      </x:c>
      <x:c r="B5827" s="1" t="n">
        <x:v>21.5</x:v>
      </x:c>
      <x:c r="C5827" s="1" t="n">
        <x:v>6</x:v>
      </x:c>
      <x:c r="D5827" s="12" t="n">
        <x:v>0</x:v>
      </x:c>
      <x:c r="E5827" s="12" t="n">
        <x:v>0.8169166666666667</x:v>
      </x:c>
      <x:c r="F5827" s="12" t="n">
        <x:v>0.8165</x:v>
      </x:c>
      <x:c r="G5827" s="12" t="n">
        <x:v>0</x:v>
      </x:c>
      <x:c r="H5827" s="1" t="n">
        <x:f>'Historical prices'!E5827</x:f>
        <x:v>1.05</x:v>
      </x:c>
      <x:c r="I5827" s="6" t="n">
        <x:f>'Historical prices'!D5827</x:f>
        <x:v>0.21230000000000002</x:v>
      </x:c>
      <x:c r="J5827" s="13" t="n">
        <x:f>D5827*I5827*H5827</x:f>
        <x:v>0</x:v>
      </x:c>
      <x:c r="K5827" s="13" t="n">
        <x:f>E5827*I5827*H5827</x:f>
        <x:v>0.18210297875000003</x:v>
      </x:c>
      <x:c r="L5827" s="1" t="str">
        <x:f>TEXT(A5827,"mmm yyyy")</x:f>
        <x:v>Sep 2026</x:v>
      </x:c>
    </x:row>
    <x:row r="5828" ht="21" customHeight="1">
      <x:c r="A5828" s="10" t="n">
        <x:v>46269</x:v>
      </x:c>
      <x:c r="B5828" s="1" t="n">
        <x:v>22</x:v>
      </x:c>
      <x:c r="C5828" s="1" t="n">
        <x:v>6</x:v>
      </x:c>
      <x:c r="D5828" s="12" t="n">
        <x:v>0</x:v>
      </x:c>
      <x:c r="E5828" s="12" t="n">
        <x:v>0.569</x:v>
      </x:c>
      <x:c r="F5828" s="12" t="n">
        <x:v>0.5685</x:v>
      </x:c>
      <x:c r="G5828" s="12" t="n">
        <x:v>0</x:v>
      </x:c>
      <x:c r="H5828" s="1" t="n">
        <x:f>'Historical prices'!E5828</x:f>
        <x:v>1.05</x:v>
      </x:c>
      <x:c r="I5828" s="6" t="n">
        <x:f>'Historical prices'!D5828</x:f>
        <x:v>0.1766</x:v>
      </x:c>
      <x:c r="J5828" s="13" t="n">
        <x:f>D5828*I5828*H5828</x:f>
        <x:v>0</x:v>
      </x:c>
      <x:c r="K5828" s="13" t="n">
        <x:f>E5828*I5828*H5828</x:f>
        <x:v>0.10550966999999999</x:v>
      </x:c>
      <x:c r="L5828" s="1" t="str">
        <x:f>TEXT(A5828,"mmm yyyy")</x:f>
        <x:v>Sep 2026</x:v>
      </x:c>
    </x:row>
    <x:row r="5829" ht="21" customHeight="1">
      <x:c r="A5829" s="10" t="n">
        <x:v>46269</x:v>
      </x:c>
      <x:c r="B5829" s="1" t="n">
        <x:v>22.5</x:v>
      </x:c>
      <x:c r="C5829" s="1" t="n">
        <x:v>6</x:v>
      </x:c>
      <x:c r="D5829" s="12" t="n">
        <x:v>0</x:v>
      </x:c>
      <x:c r="E5829" s="12" t="n">
        <x:v>0.32499999999999996</x:v>
      </x:c>
      <x:c r="F5829" s="12" t="n">
        <x:v>0.32458333333333333</x:v>
      </x:c>
      <x:c r="G5829" s="12" t="n">
        <x:v>0</x:v>
      </x:c>
      <x:c r="H5829" s="1" t="n">
        <x:f>'Historical prices'!E5829</x:f>
        <x:v>1.05</x:v>
      </x:c>
      <x:c r="I5829" s="6" t="n">
        <x:f>'Historical prices'!D5829</x:f>
        <x:v>0.1505</x:v>
      </x:c>
      <x:c r="J5829" s="13" t="n">
        <x:f>D5829*I5829*H5829</x:f>
        <x:v>0</x:v>
      </x:c>
      <x:c r="K5829" s="13" t="n">
        <x:f>E5829*I5829*H5829</x:f>
        <x:v>0.05135812499999999</x:v>
      </x:c>
      <x:c r="L5829" s="1" t="str">
        <x:f>TEXT(A5829,"mmm yyyy")</x:f>
        <x:v>Sep 2026</x:v>
      </x:c>
    </x:row>
    <x:row r="5830" ht="21" customHeight="1">
      <x:c r="A5830" s="10" t="n">
        <x:v>46269</x:v>
      </x:c>
      <x:c r="B5830" s="1" t="n">
        <x:v>23</x:v>
      </x:c>
      <x:c r="C5830" s="1" t="n">
        <x:v>6</x:v>
      </x:c>
      <x:c r="D5830" s="12" t="n">
        <x:v>0</x:v>
      </x:c>
      <x:c r="E5830" s="12" t="n">
        <x:v>0.252</x:v>
      </x:c>
      <x:c r="F5830" s="12" t="n">
        <x:v>0.25125</x:v>
      </x:c>
      <x:c r="G5830" s="12" t="n">
        <x:v>0</x:v>
      </x:c>
      <x:c r="H5830" s="1" t="n">
        <x:f>'Historical prices'!E5830</x:f>
        <x:v>1.05</x:v>
      </x:c>
      <x:c r="I5830" s="6" t="n">
        <x:f>'Historical prices'!D5830</x:f>
        <x:v>0.10869999999999999</x:v>
      </x:c>
      <x:c r="J5830" s="13" t="n">
        <x:f>D5830*I5830*H5830</x:f>
        <x:v>0</x:v>
      </x:c>
      <x:c r="K5830" s="13" t="n">
        <x:f>E5830*I5830*H5830</x:f>
        <x:v>0.02876202</x:v>
      </x:c>
      <x:c r="L5830" s="1" t="str">
        <x:f>TEXT(A5830,"mmm yyyy")</x:f>
        <x:v>Sep 2026</x:v>
      </x:c>
    </x:row>
    <x:row r="5831" ht="21" customHeight="1">
      <x:c r="A5831" s="10" t="n">
        <x:v>46269</x:v>
      </x:c>
      <x:c r="B5831" s="1" t="n">
        <x:v>23.5</x:v>
      </x:c>
      <x:c r="C5831" s="1" t="n">
        <x:v>6</x:v>
      </x:c>
      <x:c r="D5831" s="12" t="n">
        <x:v>0</x:v>
      </x:c>
      <x:c r="E5831" s="12" t="n">
        <x:v>0.27608333333333335</x:v>
      </x:c>
      <x:c r="F5831" s="12" t="n">
        <x:v>0.27549999999999997</x:v>
      </x:c>
      <x:c r="G5831" s="12" t="n">
        <x:v>0</x:v>
      </x:c>
      <x:c r="H5831" s="1" t="n">
        <x:f>'Historical prices'!E5831</x:f>
        <x:v>1.05</x:v>
      </x:c>
      <x:c r="I5831" s="6" t="n">
        <x:f>'Historical prices'!D5831</x:f>
        <x:v>0.0784</x:v>
      </x:c>
      <x:c r="J5831" s="13" t="n">
        <x:f>D5831*I5831*H5831</x:f>
        <x:v>0</x:v>
      </x:c>
      <x:c r="K5831" s="13" t="n">
        <x:f>E5831*I5831*H5831</x:f>
        <x:v>0.022727180000000003</x:v>
      </x:c>
      <x:c r="L5831" s="1" t="str">
        <x:f>TEXT(A5831,"mmm yyyy")</x:f>
        <x:v>Sep 2026</x:v>
      </x:c>
    </x:row>
    <x:row r="5832" ht="21" customHeight="1">
      <x:c r="A5832" s="10" t="n">
        <x:v>46270</x:v>
      </x:c>
      <x:c r="B5832" s="1" t="n">
        <x:v>0</x:v>
      </x:c>
      <x:c r="C5832" s="1" t="n">
        <x:v>6</x:v>
      </x:c>
      <x:c r="D5832" s="12" t="n">
        <x:v>0</x:v>
      </x:c>
      <x:c r="E5832" s="12" t="n">
        <x:v>0.36725</x:v>
      </x:c>
      <x:c r="F5832" s="12" t="n">
        <x:v>0.36674999999999996</x:v>
      </x:c>
      <x:c r="G5832" s="12" t="n">
        <x:v>0</x:v>
      </x:c>
      <x:c r="H5832" s="1" t="n">
        <x:f>'Historical prices'!E5832</x:f>
        <x:v>1.05</x:v>
      </x:c>
      <x:c r="I5832" s="6" t="n">
        <x:f>'Historical prices'!D5832</x:f>
        <x:v>0.08259999999999999</x:v>
      </x:c>
      <x:c r="J5832" s="13" t="n">
        <x:f>D5832*I5832*H5832</x:f>
        <x:v>0</x:v>
      </x:c>
      <x:c r="K5832" s="13" t="n">
        <x:f>E5832*I5832*H5832</x:f>
        <x:v>0.031851592500000005</x:v>
      </x:c>
      <x:c r="L5832" s="1" t="str">
        <x:f>TEXT(A5832,"mmm yyyy")</x:f>
        <x:v>Sep 2026</x:v>
      </x:c>
    </x:row>
    <x:row r="5833" ht="21" customHeight="1">
      <x:c r="A5833" s="10" t="n">
        <x:v>46270</x:v>
      </x:c>
      <x:c r="B5833" s="1" t="n">
        <x:v>0.5</x:v>
      </x:c>
      <x:c r="C5833" s="1" t="n">
        <x:v>6</x:v>
      </x:c>
      <x:c r="D5833" s="12" t="n">
        <x:v>0</x:v>
      </x:c>
      <x:c r="E5833" s="12" t="n">
        <x:v>0.24641666666666667</x:v>
      </x:c>
      <x:c r="F5833" s="12" t="n">
        <x:v>0.2459166666666667</x:v>
      </x:c>
      <x:c r="G5833" s="12" t="n">
        <x:v>0</x:v>
      </x:c>
      <x:c r="H5833" s="1" t="n">
        <x:f>'Historical prices'!E5833</x:f>
        <x:v>1.05</x:v>
      </x:c>
      <x:c r="I5833" s="6" t="n">
        <x:f>'Historical prices'!D5833</x:f>
        <x:v>0.0781</x:v>
      </x:c>
      <x:c r="J5833" s="13" t="n">
        <x:f>D5833*I5833*H5833</x:f>
        <x:v>0</x:v>
      </x:c>
      <x:c r="K5833" s="13" t="n">
        <x:f>E5833*I5833*H5833</x:f>
        <x:v>0.02020739875</x:v>
      </x:c>
      <x:c r="L5833" s="1" t="str">
        <x:f>TEXT(A5833,"mmm yyyy")</x:f>
        <x:v>Sep 2026</x:v>
      </x:c>
    </x:row>
    <x:row r="5834" ht="21" customHeight="1">
      <x:c r="A5834" s="10" t="n">
        <x:v>46270</x:v>
      </x:c>
      <x:c r="B5834" s="1" t="n">
        <x:v>1</x:v>
      </x:c>
      <x:c r="C5834" s="1" t="n">
        <x:v>6</x:v>
      </x:c>
      <x:c r="D5834" s="12" t="n">
        <x:v>0</x:v>
      </x:c>
      <x:c r="E5834" s="12" t="n">
        <x:v>0.23275</x:v>
      </x:c>
      <x:c r="F5834" s="12" t="n">
        <x:v>0.23241666666666666</x:v>
      </x:c>
      <x:c r="G5834" s="12" t="n">
        <x:v>0</x:v>
      </x:c>
      <x:c r="H5834" s="1" t="n">
        <x:f>'Historical prices'!E5834</x:f>
        <x:v>1.05</x:v>
      </x:c>
      <x:c r="I5834" s="6" t="n">
        <x:f>'Historical prices'!D5834</x:f>
        <x:v>0.0779</x:v>
      </x:c>
      <x:c r="J5834" s="13" t="n">
        <x:f>D5834*I5834*H5834</x:f>
        <x:v>0</x:v>
      </x:c>
      <x:c r="K5834" s="13" t="n">
        <x:f>E5834*I5834*H5834</x:f>
        <x:v>0.01903778625</x:v>
      </x:c>
      <x:c r="L5834" s="1" t="str">
        <x:f>TEXT(A5834,"mmm yyyy")</x:f>
        <x:v>Sep 2026</x:v>
      </x:c>
    </x:row>
    <x:row r="5835" ht="21" customHeight="1">
      <x:c r="A5835" s="10" t="n">
        <x:v>46270</x:v>
      </x:c>
      <x:c r="B5835" s="1" t="n">
        <x:v>1.5</x:v>
      </x:c>
      <x:c r="C5835" s="1" t="n">
        <x:v>6</x:v>
      </x:c>
      <x:c r="D5835" s="12" t="n">
        <x:v>0</x:v>
      </x:c>
      <x:c r="E5835" s="12" t="n">
        <x:v>0.2778333333333333</x:v>
      </x:c>
      <x:c r="F5835" s="12" t="n">
        <x:v>0.27733333333333327</x:v>
      </x:c>
      <x:c r="G5835" s="12" t="n">
        <x:v>0</x:v>
      </x:c>
      <x:c r="H5835" s="1" t="n">
        <x:f>'Historical prices'!E5835</x:f>
        <x:v>1.05</x:v>
      </x:c>
      <x:c r="I5835" s="6" t="n">
        <x:f>'Historical prices'!D5835</x:f>
        <x:v>0.0848</x:v>
      </x:c>
      <x:c r="J5835" s="13" t="n">
        <x:f>D5835*I5835*H5835</x:f>
        <x:v>0</x:v>
      </x:c>
      <x:c r="K5835" s="13" t="n">
        <x:f>E5835*I5835*H5835</x:f>
        <x:v>0.02473828</x:v>
      </x:c>
      <x:c r="L5835" s="1" t="str">
        <x:f>TEXT(A5835,"mmm yyyy")</x:f>
        <x:v>Sep 2026</x:v>
      </x:c>
    </x:row>
    <x:row r="5836" ht="21" customHeight="1">
      <x:c r="A5836" s="10" t="n">
        <x:v>46270</x:v>
      </x:c>
      <x:c r="B5836" s="1" t="n">
        <x:v>2</x:v>
      </x:c>
      <x:c r="C5836" s="1" t="n">
        <x:v>6</x:v>
      </x:c>
      <x:c r="D5836" s="12" t="n">
        <x:v>0</x:v>
      </x:c>
      <x:c r="E5836" s="12" t="n">
        <x:v>0.2529166666666667</x:v>
      </x:c>
      <x:c r="F5836" s="12" t="n">
        <x:v>0.2525833333333333</x:v>
      </x:c>
      <x:c r="G5836" s="12" t="n">
        <x:v>0</x:v>
      </x:c>
      <x:c r="H5836" s="1" t="n">
        <x:f>'Historical prices'!E5836</x:f>
        <x:v>1.05</x:v>
      </x:c>
      <x:c r="I5836" s="6" t="n">
        <x:f>'Historical prices'!D5836</x:f>
        <x:v>0.0674</x:v>
      </x:c>
      <x:c r="J5836" s="13" t="n">
        <x:f>D5836*I5836*H5836</x:f>
        <x:v>0</x:v>
      </x:c>
      <x:c r="K5836" s="13" t="n">
        <x:f>E5836*I5836*H5836</x:f>
        <x:v>0.017898912500000003</x:v>
      </x:c>
      <x:c r="L5836" s="1" t="str">
        <x:f>TEXT(A5836,"mmm yyyy")</x:f>
        <x:v>Sep 2026</x:v>
      </x:c>
    </x:row>
    <x:row r="5837" ht="21" customHeight="1">
      <x:c r="A5837" s="10" t="n">
        <x:v>46270</x:v>
      </x:c>
      <x:c r="B5837" s="1" t="n">
        <x:v>2.5</x:v>
      </x:c>
      <x:c r="C5837" s="1" t="n">
        <x:v>6</x:v>
      </x:c>
      <x:c r="D5837" s="12" t="n">
        <x:v>0</x:v>
      </x:c>
      <x:c r="E5837" s="12" t="n">
        <x:v>0.26825</x:v>
      </x:c>
      <x:c r="F5837" s="12" t="n">
        <x:v>0.2675</x:v>
      </x:c>
      <x:c r="G5837" s="12" t="n">
        <x:v>0</x:v>
      </x:c>
      <x:c r="H5837" s="1" t="n">
        <x:f>'Historical prices'!E5837</x:f>
        <x:v>1.05</x:v>
      </x:c>
      <x:c r="I5837" s="6" t="n">
        <x:f>'Historical prices'!D5837</x:f>
        <x:v>0.0675</x:v>
      </x:c>
      <x:c r="J5837" s="13" t="n">
        <x:f>D5837*I5837*H5837</x:f>
        <x:v>0</x:v>
      </x:c>
      <x:c r="K5837" s="13" t="n">
        <x:f>E5837*I5837*H5837</x:f>
        <x:v>0.019012218750000004</x:v>
      </x:c>
      <x:c r="L5837" s="1" t="str">
        <x:f>TEXT(A5837,"mmm yyyy")</x:f>
        <x:v>Sep 2026</x:v>
      </x:c>
    </x:row>
    <x:row r="5838" ht="21" customHeight="1">
      <x:c r="A5838" s="10" t="n">
        <x:v>46270</x:v>
      </x:c>
      <x:c r="B5838" s="1" t="n">
        <x:v>3</x:v>
      </x:c>
      <x:c r="C5838" s="1" t="n">
        <x:v>6</x:v>
      </x:c>
      <x:c r="D5838" s="12" t="n">
        <x:v>0</x:v>
      </x:c>
      <x:c r="E5838" s="12" t="n">
        <x:v>0.2559166666666667</x:v>
      </x:c>
      <x:c r="F5838" s="12" t="n">
        <x:v>0.2555</x:v>
      </x:c>
      <x:c r="G5838" s="12" t="n">
        <x:v>0</x:v>
      </x:c>
      <x:c r="H5838" s="1" t="n">
        <x:f>'Historical prices'!E5838</x:f>
        <x:v>1.05</x:v>
      </x:c>
      <x:c r="I5838" s="6" t="n">
        <x:f>'Historical prices'!D5838</x:f>
        <x:v>0.0603</x:v>
      </x:c>
      <x:c r="J5838" s="13" t="n">
        <x:f>D5838*I5838*H5838</x:f>
        <x:v>0</x:v>
      </x:c>
      <x:c r="K5838" s="13" t="n">
        <x:f>E5838*I5838*H5838</x:f>
        <x:v>0.01620336375</x:v>
      </x:c>
      <x:c r="L5838" s="1" t="str">
        <x:f>TEXT(A5838,"mmm yyyy")</x:f>
        <x:v>Sep 2026</x:v>
      </x:c>
    </x:row>
    <x:row r="5839" ht="21" customHeight="1">
      <x:c r="A5839" s="10" t="n">
        <x:v>46270</x:v>
      </x:c>
      <x:c r="B5839" s="1" t="n">
        <x:v>3.5</x:v>
      </x:c>
      <x:c r="C5839" s="1" t="n">
        <x:v>6</x:v>
      </x:c>
      <x:c r="D5839" s="12" t="n">
        <x:v>0</x:v>
      </x:c>
      <x:c r="E5839" s="12" t="n">
        <x:v>0.24575</x:v>
      </x:c>
      <x:c r="F5839" s="12" t="n">
        <x:v>0.24258333333333335</x:v>
      </x:c>
      <x:c r="G5839" s="12" t="n">
        <x:v>0</x:v>
      </x:c>
      <x:c r="H5839" s="1" t="n">
        <x:f>'Historical prices'!E5839</x:f>
        <x:v>1.05</x:v>
      </x:c>
      <x:c r="I5839" s="6" t="n">
        <x:f>'Historical prices'!D5839</x:f>
        <x:v>0.062400000000000004</x:v>
      </x:c>
      <x:c r="J5839" s="13" t="n">
        <x:f>D5839*I5839*H5839</x:f>
        <x:v>0</x:v>
      </x:c>
      <x:c r="K5839" s="13" t="n">
        <x:f>E5839*I5839*H5839</x:f>
        <x:v>0.01610154</x:v>
      </x:c>
      <x:c r="L5839" s="1" t="str">
        <x:f>TEXT(A5839,"mmm yyyy")</x:f>
        <x:v>Sep 2026</x:v>
      </x:c>
    </x:row>
    <x:row r="5840" ht="21" customHeight="1">
      <x:c r="A5840" s="10" t="n">
        <x:v>46270</x:v>
      </x:c>
      <x:c r="B5840" s="1" t="n">
        <x:v>4</x:v>
      </x:c>
      <x:c r="C5840" s="1" t="n">
        <x:v>6</x:v>
      </x:c>
      <x:c r="D5840" s="12" t="n">
        <x:v>0</x:v>
      </x:c>
      <x:c r="E5840" s="12" t="n">
        <x:v>0.2653333333333333</x:v>
      </x:c>
      <x:c r="F5840" s="12" t="n">
        <x:v>0.26458333333333334</x:v>
      </x:c>
      <x:c r="G5840" s="12" t="n">
        <x:v>0</x:v>
      </x:c>
      <x:c r="H5840" s="1" t="n">
        <x:f>'Historical prices'!E5840</x:f>
        <x:v>1.05</x:v>
      </x:c>
      <x:c r="I5840" s="6" t="n">
        <x:f>'Historical prices'!D5840</x:f>
        <x:v>0.0443</x:v>
      </x:c>
      <x:c r="J5840" s="13" t="n">
        <x:f>D5840*I5840*H5840</x:f>
        <x:v>0</x:v>
      </x:c>
      <x:c r="K5840" s="13" t="n">
        <x:f>E5840*I5840*H5840</x:f>
        <x:v>0.012341979999999999</x:v>
      </x:c>
      <x:c r="L5840" s="1" t="str">
        <x:f>TEXT(A5840,"mmm yyyy")</x:f>
        <x:v>Sep 2026</x:v>
      </x:c>
    </x:row>
    <x:row r="5841" ht="21" customHeight="1">
      <x:c r="A5841" s="10" t="n">
        <x:v>46270</x:v>
      </x:c>
      <x:c r="B5841" s="1" t="n">
        <x:v>4.5</x:v>
      </x:c>
      <x:c r="C5841" s="1" t="n">
        <x:v>6</x:v>
      </x:c>
      <x:c r="D5841" s="12" t="n">
        <x:v>0</x:v>
      </x:c>
      <x:c r="E5841" s="12" t="n">
        <x:v>0.3818333333333333</x:v>
      </x:c>
      <x:c r="F5841" s="12" t="n">
        <x:v>0.3814166666666666</x:v>
      </x:c>
      <x:c r="G5841" s="12" t="n">
        <x:v>0</x:v>
      </x:c>
      <x:c r="H5841" s="1" t="n">
        <x:f>'Historical prices'!E5841</x:f>
        <x:v>1.05</x:v>
      </x:c>
      <x:c r="I5841" s="6" t="n">
        <x:f>'Historical prices'!D5841</x:f>
        <x:v>0.0426</x:v>
      </x:c>
      <x:c r="J5841" s="13" t="n">
        <x:f>D5841*I5841*H5841</x:f>
        <x:v>0</x:v>
      </x:c>
      <x:c r="K5841" s="13" t="n">
        <x:f>E5841*I5841*H5841</x:f>
        <x:v>0.017079405</x:v>
      </x:c>
      <x:c r="L5841" s="1" t="str">
        <x:f>TEXT(A5841,"mmm yyyy")</x:f>
        <x:v>Sep 2026</x:v>
      </x:c>
    </x:row>
    <x:row r="5842" ht="21" customHeight="1">
      <x:c r="A5842" s="10" t="n">
        <x:v>46270</x:v>
      </x:c>
      <x:c r="B5842" s="1" t="n">
        <x:v>5</x:v>
      </x:c>
      <x:c r="C5842" s="1" t="n">
        <x:v>6</x:v>
      </x:c>
      <x:c r="D5842" s="12" t="n">
        <x:v>0</x:v>
      </x:c>
      <x:c r="E5842" s="12" t="n">
        <x:v>0.2300833333333333</x:v>
      </x:c>
      <x:c r="F5842" s="12" t="n">
        <x:v>0.22941666666666666</x:v>
      </x:c>
      <x:c r="G5842" s="12" t="n">
        <x:v>0</x:v>
      </x:c>
      <x:c r="H5842" s="1" t="n">
        <x:f>'Historical prices'!E5842</x:f>
        <x:v>1.05</x:v>
      </x:c>
      <x:c r="I5842" s="6" t="n">
        <x:f>'Historical prices'!D5842</x:f>
        <x:v>0.0521</x:v>
      </x:c>
      <x:c r="J5842" s="13" t="n">
        <x:f>D5842*I5842*H5842</x:f>
        <x:v>0</x:v>
      </x:c>
      <x:c r="K5842" s="13" t="n">
        <x:f>E5842*I5842*H5842</x:f>
        <x:v>0.012586708749999998</x:v>
      </x:c>
      <x:c r="L5842" s="1" t="str">
        <x:f>TEXT(A5842,"mmm yyyy")</x:f>
        <x:v>Sep 2026</x:v>
      </x:c>
    </x:row>
    <x:row r="5843" ht="21" customHeight="1">
      <x:c r="A5843" s="10" t="n">
        <x:v>46270</x:v>
      </x:c>
      <x:c r="B5843" s="1" t="n">
        <x:v>5.5</x:v>
      </x:c>
      <x:c r="C5843" s="1" t="n">
        <x:v>6</x:v>
      </x:c>
      <x:c r="D5843" s="12" t="n">
        <x:v>0</x:v>
      </x:c>
      <x:c r="E5843" s="12" t="n">
        <x:v>0.22316666666666668</x:v>
      </x:c>
      <x:c r="F5843" s="12" t="n">
        <x:v>0.2225</x:v>
      </x:c>
      <x:c r="G5843" s="12" t="n">
        <x:v>0</x:v>
      </x:c>
      <x:c r="H5843" s="1" t="n">
        <x:f>'Historical prices'!E5843</x:f>
        <x:v>1.05</x:v>
      </x:c>
      <x:c r="I5843" s="6" t="n">
        <x:f>'Historical prices'!D5843</x:f>
        <x:v>0.0521</x:v>
      </x:c>
      <x:c r="J5843" s="13" t="n">
        <x:f>D5843*I5843*H5843</x:f>
        <x:v>0</x:v>
      </x:c>
      <x:c r="K5843" s="13" t="n">
        <x:f>E5843*I5843*H5843</x:f>
        <x:v>0.0122083325</x:v>
      </x:c>
      <x:c r="L5843" s="1" t="str">
        <x:f>TEXT(A5843,"mmm yyyy")</x:f>
        <x:v>Sep 2026</x:v>
      </x:c>
    </x:row>
    <x:row r="5844" ht="21" customHeight="1">
      <x:c r="A5844" s="10" t="n">
        <x:v>46270</x:v>
      </x:c>
      <x:c r="B5844" s="1" t="n">
        <x:v>6</x:v>
      </x:c>
      <x:c r="C5844" s="1" t="n">
        <x:v>6</x:v>
      </x:c>
      <x:c r="D5844" s="12" t="n">
        <x:v>0</x:v>
      </x:c>
      <x:c r="E5844" s="12" t="n">
        <x:v>0.36191666666666666</x:v>
      </x:c>
      <x:c r="F5844" s="12" t="n">
        <x:v>0.36125</x:v>
      </x:c>
      <x:c r="G5844" s="12" t="n">
        <x:v>0</x:v>
      </x:c>
      <x:c r="H5844" s="1" t="n">
        <x:f>'Historical prices'!E5844</x:f>
        <x:v>1.05</x:v>
      </x:c>
      <x:c r="I5844" s="6" t="n">
        <x:f>'Historical prices'!D5844</x:f>
        <x:v>0.052300000000000006</x:v>
      </x:c>
      <x:c r="J5844" s="13" t="n">
        <x:f>D5844*I5844*H5844</x:f>
        <x:v>0</x:v>
      </x:c>
      <x:c r="K5844" s="13" t="n">
        <x:f>E5844*I5844*H5844</x:f>
        <x:v>0.019874653750000002</x:v>
      </x:c>
      <x:c r="L5844" s="1" t="str">
        <x:f>TEXT(A5844,"mmm yyyy")</x:f>
        <x:v>Sep 2026</x:v>
      </x:c>
    </x:row>
    <x:row r="5845" ht="21" customHeight="1">
      <x:c r="A5845" s="10" t="n">
        <x:v>46270</x:v>
      </x:c>
      <x:c r="B5845" s="1" t="n">
        <x:v>6.5</x:v>
      </x:c>
      <x:c r="C5845" s="1" t="n">
        <x:v>6</x:v>
      </x:c>
      <x:c r="D5845" s="12" t="n">
        <x:v>0</x:v>
      </x:c>
      <x:c r="E5845" s="12" t="n">
        <x:v>0.7349166666666667</x:v>
      </x:c>
      <x:c r="F5845" s="12" t="n">
        <x:v>0.7346666666666667</x:v>
      </x:c>
      <x:c r="G5845" s="12" t="n">
        <x:v>0</x:v>
      </x:c>
      <x:c r="H5845" s="1" t="n">
        <x:f>'Historical prices'!E5845</x:f>
        <x:v>1.05</x:v>
      </x:c>
      <x:c r="I5845" s="6" t="n">
        <x:f>'Historical prices'!D5845</x:f>
        <x:v>0.056100000000000004</x:v>
      </x:c>
      <x:c r="J5845" s="13" t="n">
        <x:f>D5845*I5845*H5845</x:f>
        <x:v>0</x:v>
      </x:c>
      <x:c r="K5845" s="13" t="n">
        <x:f>E5845*I5845*H5845</x:f>
        <x:v>0.04329026625000001</x:v>
      </x:c>
      <x:c r="L5845" s="1" t="str">
        <x:f>TEXT(A5845,"mmm yyyy")</x:f>
        <x:v>Sep 2026</x:v>
      </x:c>
    </x:row>
    <x:row r="5846" ht="21" customHeight="1">
      <x:c r="A5846" s="10" t="n">
        <x:v>46270</x:v>
      </x:c>
      <x:c r="B5846" s="1" t="n">
        <x:v>7</x:v>
      </x:c>
      <x:c r="C5846" s="1" t="n">
        <x:v>6</x:v>
      </x:c>
      <x:c r="D5846" s="12" t="n">
        <x:v>0</x:v>
      </x:c>
      <x:c r="E5846" s="12" t="n">
        <x:v>0.6398333333333334</x:v>
      </x:c>
      <x:c r="F5846" s="12" t="n">
        <x:v>0.6396666666666667</x:v>
      </x:c>
      <x:c r="G5846" s="12" t="n">
        <x:v>0</x:v>
      </x:c>
      <x:c r="H5846" s="1" t="n">
        <x:f>'Historical prices'!E5846</x:f>
        <x:v>1.05</x:v>
      </x:c>
      <x:c r="I5846" s="6" t="n">
        <x:f>'Historical prices'!D5846</x:f>
        <x:v>0.028300000000000002</x:v>
      </x:c>
      <x:c r="J5846" s="13" t="n">
        <x:f>D5846*I5846*H5846</x:f>
        <x:v>0</x:v>
      </x:c>
      <x:c r="K5846" s="13" t="n">
        <x:f>E5846*I5846*H5846</x:f>
        <x:v>0.019012647500000004</x:v>
      </x:c>
      <x:c r="L5846" s="1" t="str">
        <x:f>TEXT(A5846,"mmm yyyy")</x:f>
        <x:v>Sep 2026</x:v>
      </x:c>
    </x:row>
    <x:row r="5847" ht="21" customHeight="1">
      <x:c r="A5847" s="10" t="n">
        <x:v>46270</x:v>
      </x:c>
      <x:c r="B5847" s="1" t="n">
        <x:v>7.5</x:v>
      </x:c>
      <x:c r="C5847" s="1" t="n">
        <x:v>6</x:v>
      </x:c>
      <x:c r="D5847" s="12" t="n">
        <x:v>0</x:v>
      </x:c>
      <x:c r="E5847" s="12" t="n">
        <x:v>0.7160833333333334</x:v>
      </x:c>
      <x:c r="F5847" s="12" t="n">
        <x:v>0.7155833333333333</x:v>
      </x:c>
      <x:c r="G5847" s="12" t="n">
        <x:v>0</x:v>
      </x:c>
      <x:c r="H5847" s="1" t="n">
        <x:f>'Historical prices'!E5847</x:f>
        <x:v>1.05</x:v>
      </x:c>
      <x:c r="I5847" s="6" t="n">
        <x:f>'Historical prices'!D5847</x:f>
        <x:v>0.042199999999999994</x:v>
      </x:c>
      <x:c r="J5847" s="13" t="n">
        <x:f>D5847*I5847*H5847</x:f>
        <x:v>0</x:v>
      </x:c>
      <x:c r="K5847" s="13" t="n">
        <x:f>E5847*I5847*H5847</x:f>
        <x:v>0.031729652500000004</x:v>
      </x:c>
      <x:c r="L5847" s="1" t="str">
        <x:f>TEXT(A5847,"mmm yyyy")</x:f>
        <x:v>Sep 2026</x:v>
      </x:c>
    </x:row>
    <x:row r="5848" ht="21" customHeight="1">
      <x:c r="A5848" s="10" t="n">
        <x:v>46270</x:v>
      </x:c>
      <x:c r="B5848" s="1" t="n">
        <x:v>8</x:v>
      </x:c>
      <x:c r="C5848" s="1" t="n">
        <x:v>6</x:v>
      </x:c>
      <x:c r="D5848" s="12" t="n">
        <x:v>0</x:v>
      </x:c>
      <x:c r="E5848" s="12" t="n">
        <x:v>0.6934166666666667</x:v>
      </x:c>
      <x:c r="F5848" s="12" t="n">
        <x:v>0.6829999999999999</x:v>
      </x:c>
      <x:c r="G5848" s="12" t="n">
        <x:v>0</x:v>
      </x:c>
      <x:c r="H5848" s="1" t="n">
        <x:f>'Historical prices'!E5848</x:f>
        <x:v>1.05</x:v>
      </x:c>
      <x:c r="I5848" s="6" t="n">
        <x:f>'Historical prices'!D5848</x:f>
        <x:v>0.0506</x:v>
      </x:c>
      <x:c r="J5848" s="13" t="n">
        <x:f>D5848*I5848*H5848</x:f>
        <x:v>0</x:v>
      </x:c>
      <x:c r="K5848" s="13" t="n">
        <x:f>E5848*I5848*H5848</x:f>
        <x:v>0.036841227500000004</x:v>
      </x:c>
      <x:c r="L5848" s="1" t="str">
        <x:f>TEXT(A5848,"mmm yyyy")</x:f>
        <x:v>Sep 2026</x:v>
      </x:c>
    </x:row>
    <x:row r="5849" ht="21" customHeight="1">
      <x:c r="A5849" s="10" t="n">
        <x:v>46270</x:v>
      </x:c>
      <x:c r="B5849" s="1" t="n">
        <x:v>8.5</x:v>
      </x:c>
      <x:c r="C5849" s="1" t="n">
        <x:v>6</x:v>
      </x:c>
      <x:c r="D5849" s="12" t="n">
        <x:v>0</x:v>
      </x:c>
      <x:c r="E5849" s="12" t="n">
        <x:v>0.6212500000000001</x:v>
      </x:c>
      <x:c r="F5849" s="12" t="n">
        <x:v>0.6145833333333333</x:v>
      </x:c>
      <x:c r="G5849" s="12" t="n">
        <x:v>0</x:v>
      </x:c>
      <x:c r="H5849" s="1" t="n">
        <x:f>'Historical prices'!E5849</x:f>
        <x:v>1.05</x:v>
      </x:c>
      <x:c r="I5849" s="6" t="n">
        <x:f>'Historical prices'!D5849</x:f>
        <x:v>0.0401</x:v>
      </x:c>
      <x:c r="J5849" s="13" t="n">
        <x:f>D5849*I5849*H5849</x:f>
        <x:v>0</x:v>
      </x:c>
      <x:c r="K5849" s="13" t="n">
        <x:f>E5849*I5849*H5849</x:f>
        <x:v>0.02615773125</x:v>
      </x:c>
      <x:c r="L5849" s="1" t="str">
        <x:f>TEXT(A5849,"mmm yyyy")</x:f>
        <x:v>Sep 2026</x:v>
      </x:c>
    </x:row>
    <x:row r="5850" ht="21" customHeight="1">
      <x:c r="A5850" s="10" t="n">
        <x:v>46270</x:v>
      </x:c>
      <x:c r="B5850" s="1" t="n">
        <x:v>9</x:v>
      </x:c>
      <x:c r="C5850" s="1" t="n">
        <x:v>6</x:v>
      </x:c>
      <x:c r="D5850" s="12" t="n">
        <x:v>0</x:v>
      </x:c>
      <x:c r="E5850" s="12" t="n">
        <x:v>0.6871666666666666</x:v>
      </x:c>
      <x:c r="F5850" s="12" t="n">
        <x:v>0.6866666666666666</x:v>
      </x:c>
      <x:c r="G5850" s="12" t="n">
        <x:v>0</x:v>
      </x:c>
      <x:c r="H5850" s="1" t="n">
        <x:f>'Historical prices'!E5850</x:f>
        <x:v>1.05</x:v>
      </x:c>
      <x:c r="I5850" s="6" t="n">
        <x:f>'Historical prices'!D5850</x:f>
        <x:v>-0.0005</x:v>
      </x:c>
      <x:c r="J5850" s="13" t="n">
        <x:f>D5850*I5850*H5850</x:f>
        <x:v>0</x:v>
      </x:c>
      <x:c r="K5850" s="13" t="n">
        <x:f>E5850*I5850*H5850</x:f>
        <x:v>-0.0003607625</x:v>
      </x:c>
      <x:c r="L5850" s="1" t="str">
        <x:f>TEXT(A5850,"mmm yyyy")</x:f>
        <x:v>Sep 2026</x:v>
      </x:c>
    </x:row>
    <x:row r="5851" ht="21" customHeight="1">
      <x:c r="A5851" s="10" t="n">
        <x:v>46270</x:v>
      </x:c>
      <x:c r="B5851" s="1" t="n">
        <x:v>9.5</x:v>
      </x:c>
      <x:c r="C5851" s="1" t="n">
        <x:v>6</x:v>
      </x:c>
      <x:c r="D5851" s="12" t="n">
        <x:v>4.117999999999999</x:v>
      </x:c>
      <x:c r="E5851" s="12" t="n">
        <x:v>0.7980833333333334</x:v>
      </x:c>
      <x:c r="F5851" s="12" t="n">
        <x:v>0.1</x:v>
      </x:c>
      <x:c r="G5851" s="12" t="n">
        <x:v>3.42</x:v>
      </x:c>
      <x:c r="H5851" s="1" t="n">
        <x:f>'Historical prices'!E5851</x:f>
        <x:v>1.05</x:v>
      </x:c>
      <x:c r="I5851" s="6" t="n">
        <x:f>'Historical prices'!D5851</x:f>
        <x:v>-0.0229</x:v>
      </x:c>
      <x:c r="J5851" s="13" t="n">
        <x:f>D5851*I5851*H5851</x:f>
        <x:v>-0.09901731</x:v>
      </x:c>
      <x:c r="K5851" s="13" t="n">
        <x:f>E5851*I5851*H5851</x:f>
        <x:v>-0.019189913750000002</x:v>
      </x:c>
      <x:c r="L5851" s="1" t="str">
        <x:f>TEXT(A5851,"mmm yyyy")</x:f>
        <x:v>Sep 2026</x:v>
      </x:c>
    </x:row>
    <x:row r="5852" ht="21" customHeight="1">
      <x:c r="A5852" s="10" t="n">
        <x:v>46270</x:v>
      </x:c>
      <x:c r="B5852" s="1" t="n">
        <x:v>10</x:v>
      </x:c>
      <x:c r="C5852" s="1" t="n">
        <x:v>6</x:v>
      </x:c>
      <x:c r="D5852" s="12" t="n">
        <x:v>0.832</x:v>
      </x:c>
      <x:c r="E5852" s="12" t="n">
        <x:v>1.0683333333333334</x:v>
      </x:c>
      <x:c r="F5852" s="12" t="n">
        <x:v>0.8943333333333333</x:v>
      </x:c>
      <x:c r="G5852" s="12" t="n">
        <x:v>0.658</x:v>
      </x:c>
      <x:c r="H5852" s="1" t="n">
        <x:f>'Historical prices'!E5852</x:f>
        <x:v>1.05</x:v>
      </x:c>
      <x:c r="I5852" s="6" t="n">
        <x:f>'Historical prices'!D5852</x:f>
        <x:v>-0.012</x:v>
      </x:c>
      <x:c r="J5852" s="13" t="n">
        <x:f>D5852*I5852*H5852</x:f>
        <x:v>-0.0104832</x:v>
      </x:c>
      <x:c r="K5852" s="13" t="n">
        <x:f>E5852*I5852*H5852</x:f>
        <x:v>-0.013461</x:v>
      </x:c>
      <x:c r="L5852" s="1" t="str">
        <x:f>TEXT(A5852,"mmm yyyy")</x:f>
        <x:v>Sep 2026</x:v>
      </x:c>
    </x:row>
    <x:row r="5853" ht="21" customHeight="1">
      <x:c r="A5853" s="10" t="n">
        <x:v>46270</x:v>
      </x:c>
      <x:c r="B5853" s="1" t="n">
        <x:v>10.5</x:v>
      </x:c>
      <x:c r="C5853" s="1" t="n">
        <x:v>6</x:v>
      </x:c>
      <x:c r="D5853" s="12" t="n">
        <x:v>0</x:v>
      </x:c>
      <x:c r="E5853" s="12" t="n">
        <x:v>0.7152499999999999</x:v>
      </x:c>
      <x:c r="F5853" s="12" t="n">
        <x:v>0.71475</x:v>
      </x:c>
      <x:c r="G5853" s="12" t="n">
        <x:v>0</x:v>
      </x:c>
      <x:c r="H5853" s="1" t="n">
        <x:f>'Historical prices'!E5853</x:f>
        <x:v>1.05</x:v>
      </x:c>
      <x:c r="I5853" s="6" t="n">
        <x:f>'Historical prices'!D5853</x:f>
        <x:v>-0.0182</x:v>
      </x:c>
      <x:c r="J5853" s="13" t="n">
        <x:f>D5853*I5853*H5853</x:f>
        <x:v>0</x:v>
      </x:c>
      <x:c r="K5853" s="13" t="n">
        <x:f>E5853*I5853*H5853</x:f>
        <x:v>-0.0136684275</x:v>
      </x:c>
      <x:c r="L5853" s="1" t="str">
        <x:f>TEXT(A5853,"mmm yyyy")</x:f>
        <x:v>Sep 2026</x:v>
      </x:c>
    </x:row>
    <x:row r="5854" ht="21" customHeight="1">
      <x:c r="A5854" s="10" t="n">
        <x:v>46270</x:v>
      </x:c>
      <x:c r="B5854" s="1" t="n">
        <x:v>11</x:v>
      </x:c>
      <x:c r="C5854" s="1" t="n">
        <x:v>6</x:v>
      </x:c>
      <x:c r="D5854" s="12" t="n">
        <x:v>4.076</x:v>
      </x:c>
      <x:c r="E5854" s="12" t="n">
        <x:v>0.7280833333333334</x:v>
      </x:c>
      <x:c r="F5854" s="12" t="n">
        <x:v>0.102</x:v>
      </x:c>
      <x:c r="G5854" s="12" t="n">
        <x:v>3.4500000000000006</x:v>
      </x:c>
      <x:c r="H5854" s="1" t="n">
        <x:f>'Historical prices'!E5854</x:f>
        <x:v>1.05</x:v>
      </x:c>
      <x:c r="I5854" s="6" t="n">
        <x:f>'Historical prices'!D5854</x:f>
        <x:v>-0.03</x:v>
      </x:c>
      <x:c r="J5854" s="13" t="n">
        <x:f>D5854*I5854*H5854</x:f>
        <x:v>-0.12839399999999998</x:v>
      </x:c>
      <x:c r="K5854" s="13" t="n">
        <x:f>E5854*I5854*H5854</x:f>
        <x:v>-0.022934625</x:v>
      </x:c>
      <x:c r="L5854" s="1" t="str">
        <x:f>TEXT(A5854,"mmm yyyy")</x:f>
        <x:v>Sep 2026</x:v>
      </x:c>
    </x:row>
    <x:row r="5855" ht="21" customHeight="1">
      <x:c r="A5855" s="10" t="n">
        <x:v>46270</x:v>
      </x:c>
      <x:c r="B5855" s="1" t="n">
        <x:v>11.5</x:v>
      </x:c>
      <x:c r="C5855" s="1" t="n">
        <x:v>6</x:v>
      </x:c>
      <x:c r="D5855" s="12" t="n">
        <x:v>4.6335</x:v>
      </x:c>
      <x:c r="E5855" s="12" t="n">
        <x:v>0.6695</x:v>
      </x:c>
      <x:c r="F5855" s="12" t="n">
        <x:v>0</x:v>
      </x:c>
      <x:c r="G5855" s="12" t="n">
        <x:v>3.9640000000000004</x:v>
      </x:c>
      <x:c r="H5855" s="1" t="n">
        <x:f>'Historical prices'!E5855</x:f>
        <x:v>1.05</x:v>
      </x:c>
      <x:c r="I5855" s="6" t="n">
        <x:f>'Historical prices'!D5855</x:f>
        <x:v>-0.0231</x:v>
      </x:c>
      <x:c r="J5855" s="13" t="n">
        <x:f>D5855*I5855*H5855</x:f>
        <x:v>-0.11238554249999999</x:v>
      </x:c>
      <x:c r="K5855" s="13" t="n">
        <x:f>E5855*I5855*H5855</x:f>
        <x:v>-0.0162387225</x:v>
      </x:c>
      <x:c r="L5855" s="1" t="str">
        <x:f>TEXT(A5855,"mmm yyyy")</x:f>
        <x:v>Sep 2026</x:v>
      </x:c>
    </x:row>
    <x:row r="5856" ht="21" customHeight="1">
      <x:c r="A5856" s="10" t="n">
        <x:v>46270</x:v>
      </x:c>
      <x:c r="B5856" s="1" t="n">
        <x:v>12</x:v>
      </x:c>
      <x:c r="C5856" s="1" t="n">
        <x:v>6</x:v>
      </x:c>
      <x:c r="D5856" s="12" t="n">
        <x:v>5.10475</x:v>
      </x:c>
      <x:c r="E5856" s="12" t="n">
        <x:v>0.8287500000000001</x:v>
      </x:c>
      <x:c r="F5856" s="12" t="n">
        <x:v>0</x:v>
      </x:c>
      <x:c r="G5856" s="12" t="n">
        <x:v>4.276</x:v>
      </x:c>
      <x:c r="H5856" s="1" t="n">
        <x:f>'Historical prices'!E5856</x:f>
        <x:v>1.05</x:v>
      </x:c>
      <x:c r="I5856" s="6" t="n">
        <x:f>'Historical prices'!D5856</x:f>
        <x:v>-0.026600000000000002</x:v>
      </x:c>
      <x:c r="J5856" s="13" t="n">
        <x:f>D5856*I5856*H5856</x:f>
        <x:v>-0.14257566750000003</x:v>
      </x:c>
      <x:c r="K5856" s="13" t="n">
        <x:f>E5856*I5856*H5856</x:f>
        <x:v>-0.023146987500000007</x:v>
      </x:c>
      <x:c r="L5856" s="1" t="str">
        <x:f>TEXT(A5856,"mmm yyyy")</x:f>
        <x:v>Sep 2026</x:v>
      </x:c>
    </x:row>
    <x:row r="5857" ht="21" customHeight="1">
      <x:c r="A5857" s="10" t="n">
        <x:v>46270</x:v>
      </x:c>
      <x:c r="B5857" s="1" t="n">
        <x:v>12.5</x:v>
      </x:c>
      <x:c r="C5857" s="1" t="n">
        <x:v>6</x:v>
      </x:c>
      <x:c r="D5857" s="12" t="n">
        <x:v>0.86075</x:v>
      </x:c>
      <x:c r="E5857" s="12" t="n">
        <x:v>0.6170000000000001</x:v>
      </x:c>
      <x:c r="F5857" s="12" t="n">
        <x:v>0.48275</x:v>
      </x:c>
      <x:c r="G5857" s="12" t="n">
        <x:v>0.728</x:v>
      </x:c>
      <x:c r="H5857" s="1" t="n">
        <x:f>'Historical prices'!E5857</x:f>
        <x:v>1.05</x:v>
      </x:c>
      <x:c r="I5857" s="6" t="n">
        <x:f>'Historical prices'!D5857</x:f>
        <x:v>-0.018799999999999997</x:v>
      </x:c>
      <x:c r="J5857" s="13" t="n">
        <x:f>D5857*I5857*H5857</x:f>
        <x:v>-0.016991205</x:v>
      </x:c>
      <x:c r="K5857" s="13" t="n">
        <x:f>E5857*I5857*H5857</x:f>
        <x:v>-0.01217958</x:v>
      </x:c>
      <x:c r="L5857" s="1" t="str">
        <x:f>TEXT(A5857,"mmm yyyy")</x:f>
        <x:v>Sep 2026</x:v>
      </x:c>
    </x:row>
    <x:row r="5858" ht="21" customHeight="1">
      <x:c r="A5858" s="10" t="n">
        <x:v>46270</x:v>
      </x:c>
      <x:c r="B5858" s="1" t="n">
        <x:v>13</x:v>
      </x:c>
      <x:c r="C5858" s="1" t="n">
        <x:v>6</x:v>
      </x:c>
      <x:c r="D5858" s="12" t="n">
        <x:v>3.676</x:v>
      </x:c>
      <x:c r="E5858" s="12" t="n">
        <x:v>0.65475</x:v>
      </x:c>
      <x:c r="F5858" s="12" t="n">
        <x:v>0.08675</x:v>
      </x:c>
      <x:c r="G5858" s="12" t="n">
        <x:v>3.1080000000000005</x:v>
      </x:c>
      <x:c r="H5858" s="1" t="n">
        <x:f>'Historical prices'!E5858</x:f>
        <x:v>1.05</x:v>
      </x:c>
      <x:c r="I5858" s="6" t="n">
        <x:f>'Historical prices'!D5858</x:f>
        <x:v>-0.0262</x:v>
      </x:c>
      <x:c r="J5858" s="13" t="n">
        <x:f>D5858*I5858*H5858</x:f>
        <x:v>-0.10112676000000002</x:v>
      </x:c>
      <x:c r="K5858" s="13" t="n">
        <x:f>E5858*I5858*H5858</x:f>
        <x:v>-0.018012172500000003</x:v>
      </x:c>
      <x:c r="L5858" s="1" t="str">
        <x:f>TEXT(A5858,"mmm yyyy")</x:f>
        <x:v>Sep 2026</x:v>
      </x:c>
    </x:row>
    <x:row r="5859" ht="21" customHeight="1">
      <x:c r="A5859" s="10" t="n">
        <x:v>46270</x:v>
      </x:c>
      <x:c r="B5859" s="1" t="n">
        <x:v>13.5</x:v>
      </x:c>
      <x:c r="C5859" s="1" t="n">
        <x:v>6</x:v>
      </x:c>
      <x:c r="D5859" s="12" t="n">
        <x:v>0.9675</x:v>
      </x:c>
      <x:c r="E5859" s="12" t="n">
        <x:v>0.7624166666666667</x:v>
      </x:c>
      <x:c r="F5859" s="12" t="n">
        <x:v>0.3959166666666667</x:v>
      </x:c>
      <x:c r="G5859" s="12" t="n">
        <x:v>0.601</x:v>
      </x:c>
      <x:c r="H5859" s="1" t="n">
        <x:f>'Historical prices'!E5859</x:f>
        <x:v>1.05</x:v>
      </x:c>
      <x:c r="I5859" s="6" t="n">
        <x:f>'Historical prices'!D5859</x:f>
        <x:v>-0.026699999999999998</x:v>
      </x:c>
      <x:c r="J5859" s="13" t="n">
        <x:f>D5859*I5859*H5859</x:f>
        <x:v>-0.0271238625</x:v>
      </x:c>
      <x:c r="K5859" s="13" t="n">
        <x:f>E5859*I5859*H5859</x:f>
        <x:v>-0.02137435125</x:v>
      </x:c>
      <x:c r="L5859" s="1" t="str">
        <x:f>TEXT(A5859,"mmm yyyy")</x:f>
        <x:v>Sep 2026</x:v>
      </x:c>
    </x:row>
    <x:row r="5860" ht="21" customHeight="1">
      <x:c r="A5860" s="10" t="n">
        <x:v>46270</x:v>
      </x:c>
      <x:c r="B5860" s="1" t="n">
        <x:v>14</x:v>
      </x:c>
      <x:c r="C5860" s="1" t="n">
        <x:v>6</x:v>
      </x:c>
      <x:c r="D5860" s="12" t="n">
        <x:v>0</x:v>
      </x:c>
      <x:c r="E5860" s="12" t="n">
        <x:v>0.6629166666666666</x:v>
      </x:c>
      <x:c r="F5860" s="12" t="n">
        <x:v>0.6625</x:v>
      </x:c>
      <x:c r="G5860" s="12" t="n">
        <x:v>0</x:v>
      </x:c>
      <x:c r="H5860" s="1" t="n">
        <x:f>'Historical prices'!E5860</x:f>
        <x:v>1.05</x:v>
      </x:c>
      <x:c r="I5860" s="6" t="n">
        <x:f>'Historical prices'!D5860</x:f>
        <x:v>-0.025099999999999997</x:v>
      </x:c>
      <x:c r="J5860" s="13" t="n">
        <x:f>D5860*I5860*H5860</x:f>
        <x:v>0</x:v>
      </x:c>
      <x:c r="K5860" s="13" t="n">
        <x:f>E5860*I5860*H5860</x:f>
        <x:v>-0.017471168749999995</x:v>
      </x:c>
      <x:c r="L5860" s="1" t="str">
        <x:f>TEXT(A5860,"mmm yyyy")</x:f>
        <x:v>Sep 2026</x:v>
      </x:c>
    </x:row>
    <x:row r="5861" ht="21" customHeight="1">
      <x:c r="A5861" s="10" t="n">
        <x:v>46270</x:v>
      </x:c>
      <x:c r="B5861" s="1" t="n">
        <x:v>14.5</x:v>
      </x:c>
      <x:c r="C5861" s="1" t="n">
        <x:v>6</x:v>
      </x:c>
      <x:c r="D5861" s="12" t="n">
        <x:v>0</x:v>
      </x:c>
      <x:c r="E5861" s="12" t="n">
        <x:v>0.55225</x:v>
      </x:c>
      <x:c r="F5861" s="12" t="n">
        <x:v>0.5466666666666666</x:v>
      </x:c>
      <x:c r="G5861" s="12" t="n">
        <x:v>0</x:v>
      </x:c>
      <x:c r="H5861" s="1" t="n">
        <x:f>'Historical prices'!E5861</x:f>
        <x:v>1.05</x:v>
      </x:c>
      <x:c r="I5861" s="6" t="n">
        <x:f>'Historical prices'!D5861</x:f>
        <x:v>-0.006999999999999999</x:v>
      </x:c>
      <x:c r="J5861" s="13" t="n">
        <x:f>D5861*I5861*H5861</x:f>
        <x:v>0</x:v>
      </x:c>
      <x:c r="K5861" s="13" t="n">
        <x:f>E5861*I5861*H5861</x:f>
        <x:v>-0.0040590375</x:v>
      </x:c>
      <x:c r="L5861" s="1" t="str">
        <x:f>TEXT(A5861,"mmm yyyy")</x:f>
        <x:v>Sep 2026</x:v>
      </x:c>
    </x:row>
    <x:row r="5862" ht="21" customHeight="1">
      <x:c r="A5862" s="10" t="n">
        <x:v>46270</x:v>
      </x:c>
      <x:c r="B5862" s="1" t="n">
        <x:v>15</x:v>
      </x:c>
      <x:c r="C5862" s="1" t="n">
        <x:v>6</x:v>
      </x:c>
      <x:c r="D5862" s="12" t="n">
        <x:v>2.30325</x:v>
      </x:c>
      <x:c r="E5862" s="12" t="n">
        <x:v>0.61425</x:v>
      </x:c>
      <x:c r="F5862" s="12" t="n">
        <x:v>0.091</x:v>
      </x:c>
      <x:c r="G5862" s="12" t="n">
        <x:v>1.78</x:v>
      </x:c>
      <x:c r="H5862" s="1" t="n">
        <x:f>'Historical prices'!E5862</x:f>
        <x:v>1.05</x:v>
      </x:c>
      <x:c r="I5862" s="6" t="n">
        <x:f>'Historical prices'!D5862</x:f>
        <x:v>-0.04190000000000001</x:v>
      </x:c>
      <x:c r="J5862" s="13" t="n">
        <x:f>D5862*I5862*H5862</x:f>
        <x:v>-0.10133148375000002</x:v>
      </x:c>
      <x:c r="K5862" s="13" t="n">
        <x:f>E5862*I5862*H5862</x:f>
        <x:v>-0.027023928750000002</x:v>
      </x:c>
      <x:c r="L5862" s="1" t="str">
        <x:f>TEXT(A5862,"mmm yyyy")</x:f>
        <x:v>Sep 2026</x:v>
      </x:c>
    </x:row>
    <x:row r="5863" ht="21" customHeight="1">
      <x:c r="A5863" s="10" t="n">
        <x:v>46270</x:v>
      </x:c>
      <x:c r="B5863" s="1" t="n">
        <x:v>15.5</x:v>
      </x:c>
      <x:c r="C5863" s="1" t="n">
        <x:v>6</x:v>
      </x:c>
      <x:c r="D5863" s="12" t="n">
        <x:v>0.086</x:v>
      </x:c>
      <x:c r="E5863" s="12" t="n">
        <x:v>0.5858333333333333</x:v>
      </x:c>
      <x:c r="F5863" s="12" t="n">
        <x:v>0.4996666666666667</x:v>
      </x:c>
      <x:c r="G5863" s="12" t="n">
        <x:v>0</x:v>
      </x:c>
      <x:c r="H5863" s="1" t="n">
        <x:f>'Historical prices'!E5863</x:f>
        <x:v>1.05</x:v>
      </x:c>
      <x:c r="I5863" s="6" t="n">
        <x:f>'Historical prices'!D5863</x:f>
        <x:v>-0.0019</x:v>
      </x:c>
      <x:c r="J5863" s="13" t="n">
        <x:f>D5863*I5863*H5863</x:f>
        <x:v>-0.00017156999999999999</x:v>
      </x:c>
      <x:c r="K5863" s="13" t="n">
        <x:f>E5863*I5863*H5863</x:f>
        <x:v>-0.0011687375</x:v>
      </x:c>
      <x:c r="L5863" s="1" t="str">
        <x:f>TEXT(A5863,"mmm yyyy")</x:f>
        <x:v>Sep 2026</x:v>
      </x:c>
    </x:row>
    <x:row r="5864" ht="21" customHeight="1">
      <x:c r="A5864" s="10" t="n">
        <x:v>46270</x:v>
      </x:c>
      <x:c r="B5864" s="1" t="n">
        <x:v>16</x:v>
      </x:c>
      <x:c r="C5864" s="1" t="n">
        <x:v>6</x:v>
      </x:c>
      <x:c r="D5864" s="12" t="n">
        <x:v>0</x:v>
      </x:c>
      <x:c r="E5864" s="12" t="n">
        <x:v>0.5290833333333333</x:v>
      </x:c>
      <x:c r="F5864" s="12" t="n">
        <x:v>0.5284166666666666</x:v>
      </x:c>
      <x:c r="G5864" s="12" t="n">
        <x:v>0</x:v>
      </x:c>
      <x:c r="H5864" s="1" t="n">
        <x:f>'Historical prices'!E5864</x:f>
        <x:v>1.05</x:v>
      </x:c>
      <x:c r="I5864" s="6" t="n">
        <x:f>'Historical prices'!D5864</x:f>
        <x:v>0.18170000000000003</x:v>
      </x:c>
      <x:c r="J5864" s="13" t="n">
        <x:f>D5864*I5864*H5864</x:f>
        <x:v>0</x:v>
      </x:c>
      <x:c r="K5864" s="13" t="n">
        <x:f>E5864*I5864*H5864</x:f>
        <x:v>0.10094116375000002</x:v>
      </x:c>
      <x:c r="L5864" s="1" t="str">
        <x:f>TEXT(A5864,"mmm yyyy")</x:f>
        <x:v>Sep 2026</x:v>
      </x:c>
    </x:row>
    <x:row r="5865" ht="21" customHeight="1">
      <x:c r="A5865" s="10" t="n">
        <x:v>46270</x:v>
      </x:c>
      <x:c r="B5865" s="1" t="n">
        <x:v>16.5</x:v>
      </x:c>
      <x:c r="C5865" s="1" t="n">
        <x:v>6</x:v>
      </x:c>
      <x:c r="D5865" s="12" t="n">
        <x:v>0</x:v>
      </x:c>
      <x:c r="E5865" s="12" t="n">
        <x:v>0.48691666666666666</x:v>
      </x:c>
      <x:c r="F5865" s="12" t="n">
        <x:v>0.4863333333333333</x:v>
      </x:c>
      <x:c r="G5865" s="12" t="n">
        <x:v>0</x:v>
      </x:c>
      <x:c r="H5865" s="1" t="n">
        <x:f>'Historical prices'!E5865</x:f>
        <x:v>1.05</x:v>
      </x:c>
      <x:c r="I5865" s="6" t="n">
        <x:f>'Historical prices'!D5865</x:f>
        <x:v>0.2752</x:v>
      </x:c>
      <x:c r="J5865" s="13" t="n">
        <x:f>D5865*I5865*H5865</x:f>
        <x:v>0</x:v>
      </x:c>
      <x:c r="K5865" s="13" t="n">
        <x:f>E5865*I5865*H5865</x:f>
        <x:v>0.14069944</x:v>
      </x:c>
      <x:c r="L5865" s="1" t="str">
        <x:f>TEXT(A5865,"mmm yyyy")</x:f>
        <x:v>Sep 2026</x:v>
      </x:c>
    </x:row>
    <x:row r="5866" ht="21" customHeight="1">
      <x:c r="A5866" s="10" t="n">
        <x:v>46270</x:v>
      </x:c>
      <x:c r="B5866" s="1" t="n">
        <x:v>17</x:v>
      </x:c>
      <x:c r="C5866" s="1" t="n">
        <x:v>6</x:v>
      </x:c>
      <x:c r="D5866" s="12" t="n">
        <x:v>0</x:v>
      </x:c>
      <x:c r="E5866" s="12" t="n">
        <x:v>0.5678333333333333</x:v>
      </x:c>
      <x:c r="F5866" s="12" t="n">
        <x:v>0.5674166666666667</x:v>
      </x:c>
      <x:c r="G5866" s="12" t="n">
        <x:v>0</x:v>
      </x:c>
      <x:c r="H5866" s="1" t="n">
        <x:f>'Historical prices'!E5866</x:f>
        <x:v>1.05</x:v>
      </x:c>
      <x:c r="I5866" s="6" t="n">
        <x:f>'Historical prices'!D5866</x:f>
        <x:v>0.4058</x:v>
      </x:c>
      <x:c r="J5866" s="13" t="n">
        <x:f>D5866*I5866*H5866</x:f>
        <x:v>0</x:v>
      </x:c>
      <x:c r="K5866" s="13" t="n">
        <x:f>E5866*I5866*H5866</x:f>
        <x:v>0.241948105</x:v>
      </x:c>
      <x:c r="L5866" s="1" t="str">
        <x:f>TEXT(A5866,"mmm yyyy")</x:f>
        <x:v>Sep 2026</x:v>
      </x:c>
    </x:row>
    <x:row r="5867" ht="21" customHeight="1">
      <x:c r="A5867" s="10" t="n">
        <x:v>46270</x:v>
      </x:c>
      <x:c r="B5867" s="1" t="n">
        <x:v>17.5</x:v>
      </x:c>
      <x:c r="C5867" s="1" t="n">
        <x:v>6</x:v>
      </x:c>
      <x:c r="D5867" s="12" t="n">
        <x:v>0</x:v>
      </x:c>
      <x:c r="E5867" s="12" t="n">
        <x:v>0.6770833333333333</x:v>
      </x:c>
      <x:c r="F5867" s="12" t="n">
        <x:v>0.6764166666666667</x:v>
      </x:c>
      <x:c r="G5867" s="12" t="n">
        <x:v>0</x:v>
      </x:c>
      <x:c r="H5867" s="1" t="n">
        <x:f>'Historical prices'!E5867</x:f>
        <x:v>1.05</x:v>
      </x:c>
      <x:c r="I5867" s="6" t="n">
        <x:f>'Historical prices'!D5867</x:f>
        <x:v>0.4119</x:v>
      </x:c>
      <x:c r="J5867" s="13" t="n">
        <x:f>D5867*I5867*H5867</x:f>
        <x:v>0</x:v>
      </x:c>
      <x:c r="K5867" s="13" t="n">
        <x:f>E5867*I5867*H5867</x:f>
        <x:v>0.29283515624999995</x:v>
      </x:c>
      <x:c r="L5867" s="1" t="str">
        <x:f>TEXT(A5867,"mmm yyyy")</x:f>
        <x:v>Sep 2026</x:v>
      </x:c>
    </x:row>
    <x:row r="5868" ht="21" customHeight="1">
      <x:c r="A5868" s="10" t="n">
        <x:v>46270</x:v>
      </x:c>
      <x:c r="B5868" s="1" t="n">
        <x:v>18</x:v>
      </x:c>
      <x:c r="C5868" s="1" t="n">
        <x:v>6</x:v>
      </x:c>
      <x:c r="D5868" s="12" t="n">
        <x:v>0</x:v>
      </x:c>
      <x:c r="E5868" s="12" t="n">
        <x:v>1.0539166666666666</x:v>
      </x:c>
      <x:c r="F5868" s="12" t="n">
        <x:v>1.0533333333333335</x:v>
      </x:c>
      <x:c r="G5868" s="12" t="n">
        <x:v>0</x:v>
      </x:c>
      <x:c r="H5868" s="1" t="n">
        <x:f>'Historical prices'!E5868</x:f>
        <x:v>1.05</x:v>
      </x:c>
      <x:c r="I5868" s="6" t="n">
        <x:f>'Historical prices'!D5868</x:f>
        <x:v>0.42469999999999997</x:v>
      </x:c>
      <x:c r="J5868" s="13" t="n">
        <x:f>D5868*I5868*H5868</x:f>
        <x:v>0</x:v>
      </x:c>
      <x:c r="K5868" s="13" t="n">
        <x:f>E5868*I5868*H5868</x:f>
        <x:v>0.46997832874999995</x:v>
      </x:c>
      <x:c r="L5868" s="1" t="str">
        <x:f>TEXT(A5868,"mmm yyyy")</x:f>
        <x:v>Sep 2026</x:v>
      </x:c>
    </x:row>
    <x:row r="5869" ht="21" customHeight="1">
      <x:c r="A5869" s="10" t="n">
        <x:v>46270</x:v>
      </x:c>
      <x:c r="B5869" s="1" t="n">
        <x:v>18.5</x:v>
      </x:c>
      <x:c r="C5869" s="1" t="n">
        <x:v>6</x:v>
      </x:c>
      <x:c r="D5869" s="12" t="n">
        <x:v>0</x:v>
      </x:c>
      <x:c r="E5869" s="12" t="n">
        <x:v>1.2199166666666668</x:v>
      </x:c>
      <x:c r="F5869" s="12" t="n">
        <x:v>1.2195833333333335</x:v>
      </x:c>
      <x:c r="G5869" s="12" t="n">
        <x:v>0</x:v>
      </x:c>
      <x:c r="H5869" s="1" t="n">
        <x:f>'Historical prices'!E5869</x:f>
        <x:v>1.05</x:v>
      </x:c>
      <x:c r="I5869" s="6" t="n">
        <x:f>'Historical prices'!D5869</x:f>
        <x:v>0.4289</x:v>
      </x:c>
      <x:c r="J5869" s="13" t="n">
        <x:f>D5869*I5869*H5869</x:f>
        <x:v>0</x:v>
      </x:c>
      <x:c r="K5869" s="13" t="n">
        <x:f>E5869*I5869*H5869</x:f>
        <x:v>0.54938337125</x:v>
      </x:c>
      <x:c r="L5869" s="1" t="str">
        <x:f>TEXT(A5869,"mmm yyyy")</x:f>
        <x:v>Sep 2026</x:v>
      </x:c>
    </x:row>
    <x:row r="5870" ht="21" customHeight="1">
      <x:c r="A5870" s="10" t="n">
        <x:v>46270</x:v>
      </x:c>
      <x:c r="B5870" s="1" t="n">
        <x:v>19</x:v>
      </x:c>
      <x:c r="C5870" s="1" t="n">
        <x:v>6</x:v>
      </x:c>
      <x:c r="D5870" s="12" t="n">
        <x:v>0</x:v>
      </x:c>
      <x:c r="E5870" s="12" t="n">
        <x:v>0.5940833333333333</x:v>
      </x:c>
      <x:c r="F5870" s="12" t="n">
        <x:v>0.5934166666666666</x:v>
      </x:c>
      <x:c r="G5870" s="12" t="n">
        <x:v>0</x:v>
      </x:c>
      <x:c r="H5870" s="1" t="n">
        <x:f>'Historical prices'!E5870</x:f>
        <x:v>1.05</x:v>
      </x:c>
      <x:c r="I5870" s="6" t="n">
        <x:f>'Historical prices'!D5870</x:f>
        <x:v>0.33590000000000003</x:v>
      </x:c>
      <x:c r="J5870" s="13" t="n">
        <x:f>D5870*I5870*H5870</x:f>
        <x:v>0</x:v>
      </x:c>
      <x:c r="K5870" s="13" t="n">
        <x:f>E5870*I5870*H5870</x:f>
        <x:v>0.20953022125</x:v>
      </x:c>
      <x:c r="L5870" s="1" t="str">
        <x:f>TEXT(A5870,"mmm yyyy")</x:f>
        <x:v>Sep 2026</x:v>
      </x:c>
    </x:row>
    <x:row r="5871" ht="21" customHeight="1">
      <x:c r="A5871" s="10" t="n">
        <x:v>46270</x:v>
      </x:c>
      <x:c r="B5871" s="1" t="n">
        <x:v>19.5</x:v>
      </x:c>
      <x:c r="C5871" s="1" t="n">
        <x:v>6</x:v>
      </x:c>
      <x:c r="D5871" s="12" t="n">
        <x:v>0</x:v>
      </x:c>
      <x:c r="E5871" s="12" t="n">
        <x:v>0.79275</x:v>
      </x:c>
      <x:c r="F5871" s="12" t="n">
        <x:v>0.7923333333333333</x:v>
      </x:c>
      <x:c r="G5871" s="12" t="n">
        <x:v>0</x:v>
      </x:c>
      <x:c r="H5871" s="1" t="n">
        <x:f>'Historical prices'!E5871</x:f>
        <x:v>1.05</x:v>
      </x:c>
      <x:c r="I5871" s="6" t="n">
        <x:f>'Historical prices'!D5871</x:f>
        <x:v>0.33149999999999996</x:v>
      </x:c>
      <x:c r="J5871" s="13" t="n">
        <x:f>D5871*I5871*H5871</x:f>
        <x:v>0</x:v>
      </x:c>
      <x:c r="K5871" s="13" t="n">
        <x:f>E5871*I5871*H5871</x:f>
        <x:v>0.27593645624999996</x:v>
      </x:c>
      <x:c r="L5871" s="1" t="str">
        <x:f>TEXT(A5871,"mmm yyyy")</x:f>
        <x:v>Sep 2026</x:v>
      </x:c>
    </x:row>
    <x:row r="5872" ht="21" customHeight="1">
      <x:c r="A5872" s="10" t="n">
        <x:v>46270</x:v>
      </x:c>
      <x:c r="B5872" s="1" t="n">
        <x:v>20</x:v>
      </x:c>
      <x:c r="C5872" s="1" t="n">
        <x:v>6</x:v>
      </x:c>
      <x:c r="D5872" s="12" t="n">
        <x:v>0</x:v>
      </x:c>
      <x:c r="E5872" s="12" t="n">
        <x:v>0.5069166666666667</x:v>
      </x:c>
      <x:c r="F5872" s="12" t="n">
        <x:v>0.5065833333333333</x:v>
      </x:c>
      <x:c r="G5872" s="12" t="n">
        <x:v>0</x:v>
      </x:c>
      <x:c r="H5872" s="1" t="n">
        <x:f>'Historical prices'!E5872</x:f>
        <x:v>1.05</x:v>
      </x:c>
      <x:c r="I5872" s="6" t="n">
        <x:f>'Historical prices'!D5872</x:f>
        <x:v>0.3383</x:v>
      </x:c>
      <x:c r="J5872" s="13" t="n">
        <x:f>D5872*I5872*H5872</x:f>
        <x:v>0</x:v>
      </x:c>
      <x:c r="K5872" s="13" t="n">
        <x:f>E5872*I5872*H5872</x:f>
        <x:v>0.18006440375</x:v>
      </x:c>
      <x:c r="L5872" s="1" t="str">
        <x:f>TEXT(A5872,"mmm yyyy")</x:f>
        <x:v>Sep 2026</x:v>
      </x:c>
    </x:row>
    <x:row r="5873" ht="21" customHeight="1">
      <x:c r="A5873" s="10" t="n">
        <x:v>46270</x:v>
      </x:c>
      <x:c r="B5873" s="1" t="n">
        <x:v>20.5</x:v>
      </x:c>
      <x:c r="C5873" s="1" t="n">
        <x:v>6</x:v>
      </x:c>
      <x:c r="D5873" s="12" t="n">
        <x:v>0</x:v>
      </x:c>
      <x:c r="E5873" s="12" t="n">
        <x:v>0.4936666666666667</x:v>
      </x:c>
      <x:c r="F5873" s="12" t="n">
        <x:v>0.49333333333333335</x:v>
      </x:c>
      <x:c r="G5873" s="12" t="n">
        <x:v>0</x:v>
      </x:c>
      <x:c r="H5873" s="1" t="n">
        <x:f>'Historical prices'!E5873</x:f>
        <x:v>1.05</x:v>
      </x:c>
      <x:c r="I5873" s="6" t="n">
        <x:f>'Historical prices'!D5873</x:f>
        <x:v>0.3373</x:v>
      </x:c>
      <x:c r="J5873" s="13" t="n">
        <x:f>D5873*I5873*H5873</x:f>
        <x:v>0</x:v>
      </x:c>
      <x:c r="K5873" s="13" t="n">
        <x:f>E5873*I5873*H5873</x:f>
        <x:v>0.174839455</x:v>
      </x:c>
      <x:c r="L5873" s="1" t="str">
        <x:f>TEXT(A5873,"mmm yyyy")</x:f>
        <x:v>Sep 2026</x:v>
      </x:c>
    </x:row>
    <x:row r="5874" ht="21" customHeight="1">
      <x:c r="A5874" s="10" t="n">
        <x:v>46270</x:v>
      </x:c>
      <x:c r="B5874" s="1" t="n">
        <x:v>21</x:v>
      </x:c>
      <x:c r="C5874" s="1" t="n">
        <x:v>6</x:v>
      </x:c>
      <x:c r="D5874" s="12" t="n">
        <x:v>0</x:v>
      </x:c>
      <x:c r="E5874" s="12" t="n">
        <x:v>0.49125</x:v>
      </x:c>
      <x:c r="F5874" s="12" t="n">
        <x:v>0.49083333333333334</x:v>
      </x:c>
      <x:c r="G5874" s="12" t="n">
        <x:v>0</x:v>
      </x:c>
      <x:c r="H5874" s="1" t="n">
        <x:f>'Historical prices'!E5874</x:f>
        <x:v>1.05</x:v>
      </x:c>
      <x:c r="I5874" s="6" t="n">
        <x:f>'Historical prices'!D5874</x:f>
        <x:v>0.3342</x:v>
      </x:c>
      <x:c r="J5874" s="13" t="n">
        <x:f>D5874*I5874*H5874</x:f>
        <x:v>0</x:v>
      </x:c>
      <x:c r="K5874" s="13" t="n">
        <x:f>E5874*I5874*H5874</x:f>
        <x:v>0.17238453750000002</x:v>
      </x:c>
      <x:c r="L5874" s="1" t="str">
        <x:f>TEXT(A5874,"mmm yyyy")</x:f>
        <x:v>Sep 2026</x:v>
      </x:c>
    </x:row>
    <x:row r="5875" ht="21" customHeight="1">
      <x:c r="A5875" s="10" t="n">
        <x:v>46270</x:v>
      </x:c>
      <x:c r="B5875" s="1" t="n">
        <x:v>21.5</x:v>
      </x:c>
      <x:c r="C5875" s="1" t="n">
        <x:v>6</x:v>
      </x:c>
      <x:c r="D5875" s="12" t="n">
        <x:v>0</x:v>
      </x:c>
      <x:c r="E5875" s="12" t="n">
        <x:v>0.9775</x:v>
      </x:c>
      <x:c r="F5875" s="12" t="n">
        <x:v>0.97725</x:v>
      </x:c>
      <x:c r="G5875" s="12" t="n">
        <x:v>0</x:v>
      </x:c>
      <x:c r="H5875" s="1" t="n">
        <x:f>'Historical prices'!E5875</x:f>
        <x:v>1.05</x:v>
      </x:c>
      <x:c r="I5875" s="6" t="n">
        <x:f>'Historical prices'!D5875</x:f>
        <x:v>0.3299</x:v>
      </x:c>
      <x:c r="J5875" s="13" t="n">
        <x:f>D5875*I5875*H5875</x:f>
        <x:v>0</x:v>
      </x:c>
      <x:c r="K5875" s="13" t="n">
        <x:f>E5875*I5875*H5875</x:f>
        <x:v>0.3386011125000001</x:v>
      </x:c>
      <x:c r="L5875" s="1" t="str">
        <x:f>TEXT(A5875,"mmm yyyy")</x:f>
        <x:v>Sep 2026</x:v>
      </x:c>
    </x:row>
    <x:row r="5876" ht="21" customHeight="1">
      <x:c r="A5876" s="10" t="n">
        <x:v>46270</x:v>
      </x:c>
      <x:c r="B5876" s="1" t="n">
        <x:v>22</x:v>
      </x:c>
      <x:c r="C5876" s="1" t="n">
        <x:v>6</x:v>
      </x:c>
      <x:c r="D5876" s="12" t="n">
        <x:v>0</x:v>
      </x:c>
      <x:c r="E5876" s="12" t="n">
        <x:v>0.40299999999999997</x:v>
      </x:c>
      <x:c r="F5876" s="12" t="n">
        <x:v>0.40241666666666664</x:v>
      </x:c>
      <x:c r="G5876" s="12" t="n">
        <x:v>0</x:v>
      </x:c>
      <x:c r="H5876" s="1" t="n">
        <x:f>'Historical prices'!E5876</x:f>
        <x:v>1.05</x:v>
      </x:c>
      <x:c r="I5876" s="6" t="n">
        <x:f>'Historical prices'!D5876</x:f>
        <x:v>0.30260000000000004</x:v>
      </x:c>
      <x:c r="J5876" s="13" t="n">
        <x:f>D5876*I5876*H5876</x:f>
        <x:v>0</x:v>
      </x:c>
      <x:c r="K5876" s="13" t="n">
        <x:f>E5876*I5876*H5876</x:f>
        <x:v>0.12804519</x:v>
      </x:c>
      <x:c r="L5876" s="1" t="str">
        <x:f>TEXT(A5876,"mmm yyyy")</x:f>
        <x:v>Sep 2026</x:v>
      </x:c>
    </x:row>
    <x:row r="5877" ht="21" customHeight="1">
      <x:c r="A5877" s="10" t="n">
        <x:v>46270</x:v>
      </x:c>
      <x:c r="B5877" s="1" t="n">
        <x:v>22.5</x:v>
      </x:c>
      <x:c r="C5877" s="1" t="n">
        <x:v>6</x:v>
      </x:c>
      <x:c r="D5877" s="12" t="n">
        <x:v>0</x:v>
      </x:c>
      <x:c r="E5877" s="12" t="n">
        <x:v>0.19208333333333336</x:v>
      </x:c>
      <x:c r="F5877" s="12" t="n">
        <x:v>0.1915</x:v>
      </x:c>
      <x:c r="G5877" s="12" t="n">
        <x:v>0</x:v>
      </x:c>
      <x:c r="H5877" s="1" t="n">
        <x:f>'Historical prices'!E5877</x:f>
        <x:v>1.05</x:v>
      </x:c>
      <x:c r="I5877" s="6" t="n">
        <x:f>'Historical prices'!D5877</x:f>
        <x:v>0.2892</x:v>
      </x:c>
      <x:c r="J5877" s="13" t="n">
        <x:f>D5877*I5877*H5877</x:f>
        <x:v>0</x:v>
      </x:c>
      <x:c r="K5877" s="13" t="n">
        <x:f>E5877*I5877*H5877</x:f>
        <x:v>0.05832802500000001</x:v>
      </x:c>
      <x:c r="L5877" s="1" t="str">
        <x:f>TEXT(A5877,"mmm yyyy")</x:f>
        <x:v>Sep 2026</x:v>
      </x:c>
    </x:row>
    <x:row r="5878" ht="21" customHeight="1">
      <x:c r="A5878" s="10" t="n">
        <x:v>46270</x:v>
      </x:c>
      <x:c r="B5878" s="1" t="n">
        <x:v>23</x:v>
      </x:c>
      <x:c r="C5878" s="1" t="n">
        <x:v>6</x:v>
      </x:c>
      <x:c r="D5878" s="12" t="n">
        <x:v>0</x:v>
      </x:c>
      <x:c r="E5878" s="12" t="n">
        <x:v>0.23399999999999999</x:v>
      </x:c>
      <x:c r="F5878" s="12" t="n">
        <x:v>0.23333333333333334</x:v>
      </x:c>
      <x:c r="G5878" s="12" t="n">
        <x:v>0</x:v>
      </x:c>
      <x:c r="H5878" s="1" t="n">
        <x:f>'Historical prices'!E5878</x:f>
        <x:v>1.05</x:v>
      </x:c>
      <x:c r="I5878" s="6" t="n">
        <x:f>'Historical prices'!D5878</x:f>
        <x:v>0.3139</x:v>
      </x:c>
      <x:c r="J5878" s="13" t="n">
        <x:f>D5878*I5878*H5878</x:f>
        <x:v>0</x:v>
      </x:c>
      <x:c r="K5878" s="13" t="n">
        <x:f>E5878*I5878*H5878</x:f>
        <x:v>0.07712522999999999</x:v>
      </x:c>
      <x:c r="L5878" s="1" t="str">
        <x:f>TEXT(A5878,"mmm yyyy")</x:f>
        <x:v>Sep 2026</x:v>
      </x:c>
    </x:row>
    <x:row r="5879" ht="21" customHeight="1">
      <x:c r="A5879" s="10" t="n">
        <x:v>46270</x:v>
      </x:c>
      <x:c r="B5879" s="1" t="n">
        <x:v>23.5</x:v>
      </x:c>
      <x:c r="C5879" s="1" t="n">
        <x:v>6</x:v>
      </x:c>
      <x:c r="D5879" s="12" t="n">
        <x:v>0</x:v>
      </x:c>
      <x:c r="E5879" s="12" t="n">
        <x:v>0.3433333333333334</x:v>
      </x:c>
      <x:c r="F5879" s="12" t="n">
        <x:v>0.34241666666666665</x:v>
      </x:c>
      <x:c r="G5879" s="12" t="n">
        <x:v>0</x:v>
      </x:c>
      <x:c r="H5879" s="1" t="n">
        <x:f>'Historical prices'!E5879</x:f>
        <x:v>1.05</x:v>
      </x:c>
      <x:c r="I5879" s="6" t="n">
        <x:f>'Historical prices'!D5879</x:f>
        <x:v>0.3005</x:v>
      </x:c>
      <x:c r="J5879" s="13" t="n">
        <x:f>D5879*I5879*H5879</x:f>
        <x:v>0</x:v>
      </x:c>
      <x:c r="K5879" s="13" t="n">
        <x:f>E5879*I5879*H5879</x:f>
        <x:v>0.10833025000000002</x:v>
      </x:c>
      <x:c r="L5879" s="1" t="str">
        <x:f>TEXT(A5879,"mmm yyyy")</x:f>
        <x:v>Sep 2026</x:v>
      </x:c>
    </x:row>
    <x:row r="5880" ht="21" customHeight="1">
      <x:c r="A5880" s="10" t="n">
        <x:v>46271</x:v>
      </x:c>
      <x:c r="B5880" s="1" t="n">
        <x:v>0</x:v>
      </x:c>
      <x:c r="C5880" s="1" t="n">
        <x:v>6</x:v>
      </x:c>
      <x:c r="D5880" s="12" t="n">
        <x:v>0</x:v>
      </x:c>
      <x:c r="E5880" s="12" t="n">
        <x:v>0.24158333333333332</x:v>
      </x:c>
      <x:c r="F5880" s="12" t="n">
        <x:v>0.24041666666666667</x:v>
      </x:c>
      <x:c r="G5880" s="12" t="n">
        <x:v>0</x:v>
      </x:c>
      <x:c r="H5880" s="1" t="n">
        <x:f>'Historical prices'!E5880</x:f>
        <x:v>1.05</x:v>
      </x:c>
      <x:c r="I5880" s="6" t="n">
        <x:f>'Historical prices'!D5880</x:f>
        <x:v>0.3086</x:v>
      </x:c>
      <x:c r="J5880" s="13" t="n">
        <x:f>D5880*I5880*H5880</x:f>
        <x:v>0</x:v>
      </x:c>
      <x:c r="K5880" s="13" t="n">
        <x:f>E5880*I5880*H5880</x:f>
        <x:v>0.0782802475</x:v>
      </x:c>
      <x:c r="L5880" s="1" t="str">
        <x:f>TEXT(A5880,"mmm yyyy")</x:f>
        <x:v>Sep 2026</x:v>
      </x:c>
    </x:row>
    <x:row r="5881" ht="21" customHeight="1">
      <x:c r="A5881" s="10" t="n">
        <x:v>46271</x:v>
      </x:c>
      <x:c r="B5881" s="1" t="n">
        <x:v>0.5</x:v>
      </x:c>
      <x:c r="C5881" s="1" t="n">
        <x:v>6</x:v>
      </x:c>
      <x:c r="D5881" s="12" t="n">
        <x:v>0</x:v>
      </x:c>
      <x:c r="E5881" s="12" t="n">
        <x:v>0.2099166666666667</x:v>
      </x:c>
      <x:c r="F5881" s="12" t="n">
        <x:v>0.20958333333333334</x:v>
      </x:c>
      <x:c r="G5881" s="12" t="n">
        <x:v>0</x:v>
      </x:c>
      <x:c r="H5881" s="1" t="n">
        <x:f>'Historical prices'!E5881</x:f>
        <x:v>1.05</x:v>
      </x:c>
      <x:c r="I5881" s="6" t="n">
        <x:f>'Historical prices'!D5881</x:f>
        <x:v>0.3064</x:v>
      </x:c>
      <x:c r="J5881" s="13" t="n">
        <x:f>D5881*I5881*H5881</x:f>
        <x:v>0</x:v>
      </x:c>
      <x:c r="K5881" s="13" t="n">
        <x:f>E5881*I5881*H5881</x:f>
        <x:v>0.06753439000000001</x:v>
      </x:c>
      <x:c r="L5881" s="1" t="str">
        <x:f>TEXT(A5881,"mmm yyyy")</x:f>
        <x:v>Sep 2026</x:v>
      </x:c>
    </x:row>
    <x:row r="5882" ht="21" customHeight="1">
      <x:c r="A5882" s="10" t="n">
        <x:v>46271</x:v>
      </x:c>
      <x:c r="B5882" s="1" t="n">
        <x:v>1</x:v>
      </x:c>
      <x:c r="C5882" s="1" t="n">
        <x:v>6</x:v>
      </x:c>
      <x:c r="D5882" s="12" t="n">
        <x:v>0</x:v>
      </x:c>
      <x:c r="E5882" s="12" t="n">
        <x:v>0.27208333333333334</x:v>
      </x:c>
      <x:c r="F5882" s="12" t="n">
        <x:v>0.2715</x:v>
      </x:c>
      <x:c r="G5882" s="12" t="n">
        <x:v>0</x:v>
      </x:c>
      <x:c r="H5882" s="1" t="n">
        <x:f>'Historical prices'!E5882</x:f>
        <x:v>1.05</x:v>
      </x:c>
      <x:c r="I5882" s="6" t="n">
        <x:f>'Historical prices'!D5882</x:f>
        <x:v>0.2875</x:v>
      </x:c>
      <x:c r="J5882" s="13" t="n">
        <x:f>D5882*I5882*H5882</x:f>
        <x:v>0</x:v>
      </x:c>
      <x:c r="K5882" s="13" t="n">
        <x:f>E5882*I5882*H5882</x:f>
        <x:v>0.08213515625</x:v>
      </x:c>
      <x:c r="L5882" s="1" t="str">
        <x:f>TEXT(A5882,"mmm yyyy")</x:f>
        <x:v>Sep 2026</x:v>
      </x:c>
    </x:row>
    <x:row r="5883" ht="21" customHeight="1">
      <x:c r="A5883" s="10" t="n">
        <x:v>46271</x:v>
      </x:c>
      <x:c r="B5883" s="1" t="n">
        <x:v>1.5</x:v>
      </x:c>
      <x:c r="C5883" s="1" t="n">
        <x:v>6</x:v>
      </x:c>
      <x:c r="D5883" s="12" t="n">
        <x:v>0</x:v>
      </x:c>
      <x:c r="E5883" s="12" t="n">
        <x:v>0.24566666666666664</x:v>
      </x:c>
      <x:c r="F5883" s="12" t="n">
        <x:v>0.24541666666666667</x:v>
      </x:c>
      <x:c r="G5883" s="12" t="n">
        <x:v>0</x:v>
      </x:c>
      <x:c r="H5883" s="1" t="n">
        <x:f>'Historical prices'!E5883</x:f>
        <x:v>1.05</x:v>
      </x:c>
      <x:c r="I5883" s="6" t="n">
        <x:f>'Historical prices'!D5883</x:f>
        <x:v>0.2816</x:v>
      </x:c>
      <x:c r="J5883" s="13" t="n">
        <x:f>D5883*I5883*H5883</x:f>
        <x:v>0</x:v>
      </x:c>
      <x:c r="K5883" s="13" t="n">
        <x:f>E5883*I5883*H5883</x:f>
        <x:v>0.07263871999999999</x:v>
      </x:c>
      <x:c r="L5883" s="1" t="str">
        <x:f>TEXT(A5883,"mmm yyyy")</x:f>
        <x:v>Sep 2026</x:v>
      </x:c>
    </x:row>
    <x:row r="5884" ht="21" customHeight="1">
      <x:c r="A5884" s="10" t="n">
        <x:v>46271</x:v>
      </x:c>
      <x:c r="B5884" s="1" t="n">
        <x:v>2</x:v>
      </x:c>
      <x:c r="C5884" s="1" t="n">
        <x:v>6</x:v>
      </x:c>
      <x:c r="D5884" s="12" t="n">
        <x:v>0</x:v>
      </x:c>
      <x:c r="E5884" s="12" t="n">
        <x:v>0.2553333333333333</x:v>
      </x:c>
      <x:c r="F5884" s="12" t="n">
        <x:v>0.25458333333333333</x:v>
      </x:c>
      <x:c r="G5884" s="12" t="n">
        <x:v>0</x:v>
      </x:c>
      <x:c r="H5884" s="1" t="n">
        <x:f>'Historical prices'!E5884</x:f>
        <x:v>1.05</x:v>
      </x:c>
      <x:c r="I5884" s="6" t="n">
        <x:f>'Historical prices'!D5884</x:f>
        <x:v>0.2673</x:v>
      </x:c>
      <x:c r="J5884" s="13" t="n">
        <x:f>D5884*I5884*H5884</x:f>
        <x:v>0</x:v>
      </x:c>
      <x:c r="K5884" s="13" t="n">
        <x:f>E5884*I5884*H5884</x:f>
        <x:v>0.07166312999999998</x:v>
      </x:c>
      <x:c r="L5884" s="1" t="str">
        <x:f>TEXT(A5884,"mmm yyyy")</x:f>
        <x:v>Sep 2026</x:v>
      </x:c>
    </x:row>
    <x:row r="5885" ht="21" customHeight="1">
      <x:c r="A5885" s="10" t="n">
        <x:v>46271</x:v>
      </x:c>
      <x:c r="B5885" s="1" t="n">
        <x:v>2.5</x:v>
      </x:c>
      <x:c r="C5885" s="1" t="n">
        <x:v>6</x:v>
      </x:c>
      <x:c r="D5885" s="12" t="n">
        <x:v>0</x:v>
      </x:c>
      <x:c r="E5885" s="12" t="n">
        <x:v>0.25883333333333336</x:v>
      </x:c>
      <x:c r="F5885" s="12" t="n">
        <x:v>0.2583333333333333</x:v>
      </x:c>
      <x:c r="G5885" s="12" t="n">
        <x:v>0</x:v>
      </x:c>
      <x:c r="H5885" s="1" t="n">
        <x:f>'Historical prices'!E5885</x:f>
        <x:v>1.05</x:v>
      </x:c>
      <x:c r="I5885" s="6" t="n">
        <x:f>'Historical prices'!D5885</x:f>
        <x:v>0.2327</x:v>
      </x:c>
      <x:c r="J5885" s="13" t="n">
        <x:f>D5885*I5885*H5885</x:f>
        <x:v>0</x:v>
      </x:c>
      <x:c r="K5885" s="13" t="n">
        <x:f>E5885*I5885*H5885</x:f>
        <x:v>0.06324204250000001</x:v>
      </x:c>
      <x:c r="L5885" s="1" t="str">
        <x:f>TEXT(A5885,"mmm yyyy")</x:f>
        <x:v>Sep 2026</x:v>
      </x:c>
    </x:row>
    <x:row r="5886" ht="21" customHeight="1">
      <x:c r="A5886" s="10" t="n">
        <x:v>46271</x:v>
      </x:c>
      <x:c r="B5886" s="1" t="n">
        <x:v>3</x:v>
      </x:c>
      <x:c r="C5886" s="1" t="n">
        <x:v>6</x:v>
      </x:c>
      <x:c r="D5886" s="12" t="n">
        <x:v>0</x:v>
      </x:c>
      <x:c r="E5886" s="12" t="n">
        <x:v>0.24991666666666662</x:v>
      </x:c>
      <x:c r="F5886" s="12" t="n">
        <x:v>0.2495</x:v>
      </x:c>
      <x:c r="G5886" s="12" t="n">
        <x:v>0</x:v>
      </x:c>
      <x:c r="H5886" s="1" t="n">
        <x:f>'Historical prices'!E5886</x:f>
        <x:v>1.05</x:v>
      </x:c>
      <x:c r="I5886" s="6" t="n">
        <x:f>'Historical prices'!D5886</x:f>
        <x:v>0.2279</x:v>
      </x:c>
      <x:c r="J5886" s="13" t="n">
        <x:f>D5886*I5886*H5886</x:f>
        <x:v>0</x:v>
      </x:c>
      <x:c r="K5886" s="13" t="n">
        <x:f>E5886*I5886*H5886</x:f>
        <x:v>0.05980380874999999</x:v>
      </x:c>
      <x:c r="L5886" s="1" t="str">
        <x:f>TEXT(A5886,"mmm yyyy")</x:f>
        <x:v>Sep 2026</x:v>
      </x:c>
    </x:row>
    <x:row r="5887" ht="21" customHeight="1">
      <x:c r="A5887" s="10" t="n">
        <x:v>46271</x:v>
      </x:c>
      <x:c r="B5887" s="1" t="n">
        <x:v>3.5</x:v>
      </x:c>
      <x:c r="C5887" s="1" t="n">
        <x:v>6</x:v>
      </x:c>
      <x:c r="D5887" s="12" t="n">
        <x:v>0</x:v>
      </x:c>
      <x:c r="E5887" s="12" t="n">
        <x:v>0.39383333333333337</x:v>
      </x:c>
      <x:c r="F5887" s="12" t="n">
        <x:v>0.3934166666666667</x:v>
      </x:c>
      <x:c r="G5887" s="12" t="n">
        <x:v>0</x:v>
      </x:c>
      <x:c r="H5887" s="1" t="n">
        <x:f>'Historical prices'!E5887</x:f>
        <x:v>1.05</x:v>
      </x:c>
      <x:c r="I5887" s="6" t="n">
        <x:f>'Historical prices'!D5887</x:f>
        <x:v>0.1902</x:v>
      </x:c>
      <x:c r="J5887" s="13" t="n">
        <x:f>D5887*I5887*H5887</x:f>
        <x:v>0</x:v>
      </x:c>
      <x:c r="K5887" s="13" t="n">
        <x:f>E5887*I5887*H5887</x:f>
        <x:v>0.07865245500000001</x:v>
      </x:c>
      <x:c r="L5887" s="1" t="str">
        <x:f>TEXT(A5887,"mmm yyyy")</x:f>
        <x:v>Sep 2026</x:v>
      </x:c>
    </x:row>
    <x:row r="5888" ht="21" customHeight="1">
      <x:c r="A5888" s="10" t="n">
        <x:v>46271</x:v>
      </x:c>
      <x:c r="B5888" s="1" t="n">
        <x:v>4</x:v>
      </x:c>
      <x:c r="C5888" s="1" t="n">
        <x:v>6</x:v>
      </x:c>
      <x:c r="D5888" s="12" t="n">
        <x:v>0</x:v>
      </x:c>
      <x:c r="E5888" s="12" t="n">
        <x:v>0.29891666666666666</x:v>
      </x:c>
      <x:c r="F5888" s="12" t="n">
        <x:v>0.29833333333333334</x:v>
      </x:c>
      <x:c r="G5888" s="12" t="n">
        <x:v>0</x:v>
      </x:c>
      <x:c r="H5888" s="1" t="n">
        <x:f>'Historical prices'!E5888</x:f>
        <x:v>1.05</x:v>
      </x:c>
      <x:c r="I5888" s="6" t="n">
        <x:f>'Historical prices'!D5888</x:f>
        <x:v>0.19699999999999998</x:v>
      </x:c>
      <x:c r="J5888" s="13" t="n">
        <x:f>D5888*I5888*H5888</x:f>
        <x:v>0</x:v>
      </x:c>
      <x:c r="K5888" s="13" t="n">
        <x:f>E5888*I5888*H5888</x:f>
        <x:v>0.061830912499999995</x:v>
      </x:c>
      <x:c r="L5888" s="1" t="str">
        <x:f>TEXT(A5888,"mmm yyyy")</x:f>
        <x:v>Sep 2026</x:v>
      </x:c>
    </x:row>
    <x:row r="5889" ht="21" customHeight="1">
      <x:c r="A5889" s="10" t="n">
        <x:v>46271</x:v>
      </x:c>
      <x:c r="B5889" s="1" t="n">
        <x:v>4.5</x:v>
      </x:c>
      <x:c r="C5889" s="1" t="n">
        <x:v>6</x:v>
      </x:c>
      <x:c r="D5889" s="12" t="n">
        <x:v>0</x:v>
      </x:c>
      <x:c r="E5889" s="12" t="n">
        <x:v>0.23675000000000002</x:v>
      </x:c>
      <x:c r="F5889" s="12" t="n">
        <x:v>0.23641666666666666</x:v>
      </x:c>
      <x:c r="G5889" s="12" t="n">
        <x:v>0</x:v>
      </x:c>
      <x:c r="H5889" s="1" t="n">
        <x:f>'Historical prices'!E5889</x:f>
        <x:v>1.05</x:v>
      </x:c>
      <x:c r="I5889" s="6" t="n">
        <x:f>'Historical prices'!D5889</x:f>
        <x:v>0.1705</x:v>
      </x:c>
      <x:c r="J5889" s="13" t="n">
        <x:f>D5889*I5889*H5889</x:f>
        <x:v>0</x:v>
      </x:c>
      <x:c r="K5889" s="13" t="n">
        <x:f>E5889*I5889*H5889</x:f>
        <x:v>0.042384168750000006</x:v>
      </x:c>
      <x:c r="L5889" s="1" t="str">
        <x:f>TEXT(A5889,"mmm yyyy")</x:f>
        <x:v>Sep 2026</x:v>
      </x:c>
    </x:row>
    <x:row r="5890" ht="21" customHeight="1">
      <x:c r="A5890" s="10" t="n">
        <x:v>46271</x:v>
      </x:c>
      <x:c r="B5890" s="1" t="n">
        <x:v>5</x:v>
      </x:c>
      <x:c r="C5890" s="1" t="n">
        <x:v>6</x:v>
      </x:c>
      <x:c r="D5890" s="12" t="n">
        <x:v>0</x:v>
      </x:c>
      <x:c r="E5890" s="12" t="n">
        <x:v>0.22658333333333333</x:v>
      </x:c>
      <x:c r="F5890" s="12" t="n">
        <x:v>0.22633333333333333</x:v>
      </x:c>
      <x:c r="G5890" s="12" t="n">
        <x:v>0</x:v>
      </x:c>
      <x:c r="H5890" s="1" t="n">
        <x:f>'Historical prices'!E5890</x:f>
        <x:v>1.05</x:v>
      </x:c>
      <x:c r="I5890" s="6" t="n">
        <x:f>'Historical prices'!D5890</x:f>
        <x:v>0.21309999999999998</x:v>
      </x:c>
      <x:c r="J5890" s="13" t="n">
        <x:f>D5890*I5890*H5890</x:f>
        <x:v>0</x:v>
      </x:c>
      <x:c r="K5890" s="13" t="n">
        <x:f>E5890*I5890*H5890</x:f>
        <x:v>0.050699153749999996</x:v>
      </x:c>
      <x:c r="L5890" s="1" t="str">
        <x:f>TEXT(A5890,"mmm yyyy")</x:f>
        <x:v>Sep 2026</x:v>
      </x:c>
    </x:row>
    <x:row r="5891" ht="21" customHeight="1">
      <x:c r="A5891" s="10" t="n">
        <x:v>46271</x:v>
      </x:c>
      <x:c r="B5891" s="1" t="n">
        <x:v>5.5</x:v>
      </x:c>
      <x:c r="C5891" s="1" t="n">
        <x:v>6</x:v>
      </x:c>
      <x:c r="D5891" s="12" t="n">
        <x:v>0</x:v>
      </x:c>
      <x:c r="E5891" s="12" t="n">
        <x:v>0.28275</x:v>
      </x:c>
      <x:c r="F5891" s="12" t="n">
        <x:v>0.28225</x:v>
      </x:c>
      <x:c r="G5891" s="12" t="n">
        <x:v>0</x:v>
      </x:c>
      <x:c r="H5891" s="1" t="n">
        <x:f>'Historical prices'!E5891</x:f>
        <x:v>1.05</x:v>
      </x:c>
      <x:c r="I5891" s="6" t="n">
        <x:f>'Historical prices'!D5891</x:f>
        <x:v>0.1932</x:v>
      </x:c>
      <x:c r="J5891" s="13" t="n">
        <x:f>D5891*I5891*H5891</x:f>
        <x:v>0</x:v>
      </x:c>
      <x:c r="K5891" s="13" t="n">
        <x:f>E5891*I5891*H5891</x:f>
        <x:v>0.057358665</x:v>
      </x:c>
      <x:c r="L5891" s="1" t="str">
        <x:f>TEXT(A5891,"mmm yyyy")</x:f>
        <x:v>Sep 2026</x:v>
      </x:c>
    </x:row>
    <x:row r="5892" ht="21" customHeight="1">
      <x:c r="A5892" s="10" t="n">
        <x:v>46271</x:v>
      </x:c>
      <x:c r="B5892" s="1" t="n">
        <x:v>6</x:v>
      </x:c>
      <x:c r="C5892" s="1" t="n">
        <x:v>6</x:v>
      </x:c>
      <x:c r="D5892" s="12" t="n">
        <x:v>0</x:v>
      </x:c>
      <x:c r="E5892" s="12" t="n">
        <x:v>0.2838333333333334</x:v>
      </x:c>
      <x:c r="F5892" s="12" t="n">
        <x:v>0.28341666666666665</x:v>
      </x:c>
      <x:c r="G5892" s="12" t="n">
        <x:v>0</x:v>
      </x:c>
      <x:c r="H5892" s="1" t="n">
        <x:f>'Historical prices'!E5892</x:f>
        <x:v>1.05</x:v>
      </x:c>
      <x:c r="I5892" s="6" t="n">
        <x:f>'Historical prices'!D5892</x:f>
        <x:v>0.18710000000000002</x:v>
      </x:c>
      <x:c r="J5892" s="13" t="n">
        <x:f>D5892*I5892*H5892</x:f>
        <x:v>0</x:v>
      </x:c>
      <x:c r="K5892" s="13" t="n">
        <x:f>E5892*I5892*H5892</x:f>
        <x:v>0.055760477500000016</x:v>
      </x:c>
      <x:c r="L5892" s="1" t="str">
        <x:f>TEXT(A5892,"mmm yyyy")</x:f>
        <x:v>Sep 2026</x:v>
      </x:c>
    </x:row>
    <x:row r="5893" ht="21" customHeight="1">
      <x:c r="A5893" s="10" t="n">
        <x:v>46271</x:v>
      </x:c>
      <x:c r="B5893" s="1" t="n">
        <x:v>6.5</x:v>
      </x:c>
      <x:c r="C5893" s="1" t="n">
        <x:v>6</x:v>
      </x:c>
      <x:c r="D5893" s="12" t="n">
        <x:v>0</x:v>
      </x:c>
      <x:c r="E5893" s="12" t="n">
        <x:v>0.5220833333333332</x:v>
      </x:c>
      <x:c r="F5893" s="12" t="n">
        <x:v>0.5216666666666666</x:v>
      </x:c>
      <x:c r="G5893" s="12" t="n">
        <x:v>0</x:v>
      </x:c>
      <x:c r="H5893" s="1" t="n">
        <x:f>'Historical prices'!E5893</x:f>
        <x:v>1.05</x:v>
      </x:c>
      <x:c r="I5893" s="6" t="n">
        <x:f>'Historical prices'!D5893</x:f>
        <x:v>0.175</x:v>
      </x:c>
      <x:c r="J5893" s="13" t="n">
        <x:f>D5893*I5893*H5893</x:f>
        <x:v>0</x:v>
      </x:c>
      <x:c r="K5893" s="13" t="n">
        <x:f>E5893*I5893*H5893</x:f>
        <x:v>0.09593281249999998</x:v>
      </x:c>
      <x:c r="L5893" s="1" t="str">
        <x:f>TEXT(A5893,"mmm yyyy")</x:f>
        <x:v>Sep 2026</x:v>
      </x:c>
    </x:row>
    <x:row r="5894" ht="21" customHeight="1">
      <x:c r="A5894" s="10" t="n">
        <x:v>46271</x:v>
      </x:c>
      <x:c r="B5894" s="1" t="n">
        <x:v>7</x:v>
      </x:c>
      <x:c r="C5894" s="1" t="n">
        <x:v>6</x:v>
      </x:c>
      <x:c r="D5894" s="12" t="n">
        <x:v>0</x:v>
      </x:c>
      <x:c r="E5894" s="12" t="n">
        <x:v>0.6836666666666666</x:v>
      </x:c>
      <x:c r="F5894" s="12" t="n">
        <x:v>0.6831666666666667</x:v>
      </x:c>
      <x:c r="G5894" s="12" t="n">
        <x:v>0</x:v>
      </x:c>
      <x:c r="H5894" s="1" t="n">
        <x:f>'Historical prices'!E5894</x:f>
        <x:v>1.05</x:v>
      </x:c>
      <x:c r="I5894" s="6" t="n">
        <x:f>'Historical prices'!D5894</x:f>
        <x:v>0.1405</x:v>
      </x:c>
      <x:c r="J5894" s="13" t="n">
        <x:f>D5894*I5894*H5894</x:f>
        <x:v>0</x:v>
      </x:c>
      <x:c r="K5894" s="13" t="n">
        <x:f>E5894*I5894*H5894</x:f>
        <x:v>0.10085792500000001</x:v>
      </x:c>
      <x:c r="L5894" s="1" t="str">
        <x:f>TEXT(A5894,"mmm yyyy")</x:f>
        <x:v>Sep 2026</x:v>
      </x:c>
    </x:row>
    <x:row r="5895" ht="21" customHeight="1">
      <x:c r="A5895" s="10" t="n">
        <x:v>46271</x:v>
      </x:c>
      <x:c r="B5895" s="1" t="n">
        <x:v>7.5</x:v>
      </x:c>
      <x:c r="C5895" s="1" t="n">
        <x:v>6</x:v>
      </x:c>
      <x:c r="D5895" s="12" t="n">
        <x:v>0</x:v>
      </x:c>
      <x:c r="E5895" s="12" t="n">
        <x:v>0.7225833333333334</x:v>
      </x:c>
      <x:c r="F5895" s="12" t="n">
        <x:v>0.7114166666666667</x:v>
      </x:c>
      <x:c r="G5895" s="12" t="n">
        <x:v>0</x:v>
      </x:c>
      <x:c r="H5895" s="1" t="n">
        <x:f>'Historical prices'!E5895</x:f>
        <x:v>1.05</x:v>
      </x:c>
      <x:c r="I5895" s="6" t="n">
        <x:f>'Historical prices'!D5895</x:f>
        <x:v>0.12369999999999999</x:v>
      </x:c>
      <x:c r="J5895" s="13" t="n">
        <x:f>D5895*I5895*H5895</x:f>
        <x:v>0</x:v>
      </x:c>
      <x:c r="K5895" s="13" t="n">
        <x:f>E5895*I5895*H5895</x:f>
        <x:v>0.09385273625</x:v>
      </x:c>
      <x:c r="L5895" s="1" t="str">
        <x:f>TEXT(A5895,"mmm yyyy")</x:f>
        <x:v>Sep 2026</x:v>
      </x:c>
    </x:row>
    <x:row r="5896" ht="21" customHeight="1">
      <x:c r="A5896" s="10" t="n">
        <x:v>46271</x:v>
      </x:c>
      <x:c r="B5896" s="1" t="n">
        <x:v>8</x:v>
      </x:c>
      <x:c r="C5896" s="1" t="n">
        <x:v>6</x:v>
      </x:c>
      <x:c r="D5896" s="12" t="n">
        <x:v>0</x:v>
      </x:c>
      <x:c r="E5896" s="12" t="n">
        <x:v>0.7248333333333333</x:v>
      </x:c>
      <x:c r="F5896" s="12" t="n">
        <x:v>0.7244999999999999</x:v>
      </x:c>
      <x:c r="G5896" s="12" t="n">
        <x:v>0</x:v>
      </x:c>
      <x:c r="H5896" s="1" t="n">
        <x:f>'Historical prices'!E5896</x:f>
        <x:v>1.05</x:v>
      </x:c>
      <x:c r="I5896" s="6" t="n">
        <x:f>'Historical prices'!D5896</x:f>
        <x:v>-0.0124</x:v>
      </x:c>
      <x:c r="J5896" s="13" t="n">
        <x:f>D5896*I5896*H5896</x:f>
        <x:v>0</x:v>
      </x:c>
      <x:c r="K5896" s="13" t="n">
        <x:f>E5896*I5896*H5896</x:f>
        <x:v>-0.00943733</x:v>
      </x:c>
      <x:c r="L5896" s="1" t="str">
        <x:f>TEXT(A5896,"mmm yyyy")</x:f>
        <x:v>Sep 2026</x:v>
      </x:c>
    </x:row>
    <x:row r="5897" ht="21" customHeight="1">
      <x:c r="A5897" s="10" t="n">
        <x:v>46271</x:v>
      </x:c>
      <x:c r="B5897" s="1" t="n">
        <x:v>8.5</x:v>
      </x:c>
      <x:c r="C5897" s="1" t="n">
        <x:v>6</x:v>
      </x:c>
      <x:c r="D5897" s="12" t="n">
        <x:v>0</x:v>
      </x:c>
      <x:c r="E5897" s="12" t="n">
        <x:v>0.54725</x:v>
      </x:c>
      <x:c r="F5897" s="12" t="n">
        <x:v>0.5465833333333333</x:v>
      </x:c>
      <x:c r="G5897" s="12" t="n">
        <x:v>0</x:v>
      </x:c>
      <x:c r="H5897" s="1" t="n">
        <x:f>'Historical prices'!E5897</x:f>
        <x:v>1.05</x:v>
      </x:c>
      <x:c r="I5897" s="6" t="n">
        <x:f>'Historical prices'!D5897</x:f>
        <x:v>0.018000000000000002</x:v>
      </x:c>
      <x:c r="J5897" s="13" t="n">
        <x:f>D5897*I5897*H5897</x:f>
        <x:v>0</x:v>
      </x:c>
      <x:c r="K5897" s="13" t="n">
        <x:f>E5897*I5897*H5897</x:f>
        <x:v>0.010343025000000002</x:v>
      </x:c>
      <x:c r="L5897" s="1" t="str">
        <x:f>TEXT(A5897,"mmm yyyy")</x:f>
        <x:v>Sep 2026</x:v>
      </x:c>
    </x:row>
    <x:row r="5898" ht="21" customHeight="1">
      <x:c r="A5898" s="10" t="n">
        <x:v>46271</x:v>
      </x:c>
      <x:c r="B5898" s="1" t="n">
        <x:v>9</x:v>
      </x:c>
      <x:c r="C5898" s="1" t="n">
        <x:v>6</x:v>
      </x:c>
      <x:c r="D5898" s="12" t="n">
        <x:v>0</x:v>
      </x:c>
      <x:c r="E5898" s="12" t="n">
        <x:v>0.491</x:v>
      </x:c>
      <x:c r="F5898" s="12" t="n">
        <x:v>0.49058333333333337</x:v>
      </x:c>
      <x:c r="G5898" s="12" t="n">
        <x:v>0</x:v>
      </x:c>
      <x:c r="H5898" s="1" t="n">
        <x:f>'Historical prices'!E5898</x:f>
        <x:v>1.05</x:v>
      </x:c>
      <x:c r="I5898" s="6" t="n">
        <x:f>'Historical prices'!D5898</x:f>
        <x:v>-0.0074</x:v>
      </x:c>
      <x:c r="J5898" s="13" t="n">
        <x:f>D5898*I5898*H5898</x:f>
        <x:v>0</x:v>
      </x:c>
      <x:c r="K5898" s="13" t="n">
        <x:f>E5898*I5898*H5898</x:f>
        <x:v>-0.0038150700000000003</x:v>
      </x:c>
      <x:c r="L5898" s="1" t="str">
        <x:f>TEXT(A5898,"mmm yyyy")</x:f>
        <x:v>Sep 2026</x:v>
      </x:c>
    </x:row>
    <x:row r="5899" ht="21" customHeight="1">
      <x:c r="A5899" s="10" t="n">
        <x:v>46271</x:v>
      </x:c>
      <x:c r="B5899" s="1" t="n">
        <x:v>9.5</x:v>
      </x:c>
      <x:c r="C5899" s="1" t="n">
        <x:v>6</x:v>
      </x:c>
      <x:c r="D5899" s="12" t="n">
        <x:v>0</x:v>
      </x:c>
      <x:c r="E5899" s="12" t="n">
        <x:v>0.49066666666666664</x:v>
      </x:c>
      <x:c r="F5899" s="12" t="n">
        <x:v>0.49024999999999996</x:v>
      </x:c>
      <x:c r="G5899" s="12" t="n">
        <x:v>0</x:v>
      </x:c>
      <x:c r="H5899" s="1" t="n">
        <x:f>'Historical prices'!E5899</x:f>
        <x:v>1.05</x:v>
      </x:c>
      <x:c r="I5899" s="6" t="n">
        <x:f>'Historical prices'!D5899</x:f>
        <x:v>-0.0212</x:v>
      </x:c>
      <x:c r="J5899" s="13" t="n">
        <x:f>D5899*I5899*H5899</x:f>
        <x:v>0</x:v>
      </x:c>
      <x:c r="K5899" s="13" t="n">
        <x:f>E5899*I5899*H5899</x:f>
        <x:v>-0.01092224</x:v>
      </x:c>
      <x:c r="L5899" s="1" t="str">
        <x:f>TEXT(A5899,"mmm yyyy")</x:f>
        <x:v>Sep 2026</x:v>
      </x:c>
    </x:row>
    <x:row r="5900" ht="21" customHeight="1">
      <x:c r="A5900" s="10" t="n">
        <x:v>46271</x:v>
      </x:c>
      <x:c r="B5900" s="1" t="n">
        <x:v>10</x:v>
      </x:c>
      <x:c r="C5900" s="1" t="n">
        <x:v>6</x:v>
      </x:c>
      <x:c r="D5900" s="12" t="n">
        <x:v>0</x:v>
      </x:c>
      <x:c r="E5900" s="12" t="n">
        <x:v>0.4869166666666667</x:v>
      </x:c>
      <x:c r="F5900" s="12" t="n">
        <x:v>0.4868333333333334</x:v>
      </x:c>
      <x:c r="G5900" s="12" t="n">
        <x:v>0</x:v>
      </x:c>
      <x:c r="H5900" s="1" t="n">
        <x:f>'Historical prices'!E5900</x:f>
        <x:v>1.05</x:v>
      </x:c>
      <x:c r="I5900" s="6" t="n">
        <x:f>'Historical prices'!D5900</x:f>
        <x:v>-0.0215</x:v>
      </x:c>
      <x:c r="J5900" s="13" t="n">
        <x:f>D5900*I5900*H5900</x:f>
        <x:v>0</x:v>
      </x:c>
      <x:c r="K5900" s="13" t="n">
        <x:f>E5900*I5900*H5900</x:f>
        <x:v>-0.01099214375</x:v>
      </x:c>
      <x:c r="L5900" s="1" t="str">
        <x:f>TEXT(A5900,"mmm yyyy")</x:f>
        <x:v>Sep 2026</x:v>
      </x:c>
    </x:row>
    <x:row r="5901" ht="21" customHeight="1">
      <x:c r="A5901" s="10" t="n">
        <x:v>46271</x:v>
      </x:c>
      <x:c r="B5901" s="1" t="n">
        <x:v>10.5</x:v>
      </x:c>
      <x:c r="C5901" s="1" t="n">
        <x:v>6</x:v>
      </x:c>
      <x:c r="D5901" s="12" t="n">
        <x:v>0</x:v>
      </x:c>
      <x:c r="E5901" s="12" t="n">
        <x:v>0.49425</x:v>
      </x:c>
      <x:c r="F5901" s="12" t="n">
        <x:v>0.4936666666666667</x:v>
      </x:c>
      <x:c r="G5901" s="12" t="n">
        <x:v>0</x:v>
      </x:c>
      <x:c r="H5901" s="1" t="n">
        <x:f>'Historical prices'!E5901</x:f>
        <x:v>1.05</x:v>
      </x:c>
      <x:c r="I5901" s="6" t="n">
        <x:f>'Historical prices'!D5901</x:f>
        <x:v>-0.0302</x:v>
      </x:c>
      <x:c r="J5901" s="13" t="n">
        <x:f>D5901*I5901*H5901</x:f>
        <x:v>0</x:v>
      </x:c>
      <x:c r="K5901" s="13" t="n">
        <x:f>E5901*I5901*H5901</x:f>
        <x:v>-0.0156726675</x:v>
      </x:c>
      <x:c r="L5901" s="1" t="str">
        <x:f>TEXT(A5901,"mmm yyyy")</x:f>
        <x:v>Sep 2026</x:v>
      </x:c>
    </x:row>
    <x:row r="5902" ht="21" customHeight="1">
      <x:c r="A5902" s="10" t="n">
        <x:v>46271</x:v>
      </x:c>
      <x:c r="B5902" s="1" t="n">
        <x:v>11</x:v>
      </x:c>
      <x:c r="C5902" s="1" t="n">
        <x:v>6</x:v>
      </x:c>
      <x:c r="D5902" s="12" t="n">
        <x:v>4.03725</x:v>
      </x:c>
      <x:c r="E5902" s="12" t="n">
        <x:v>0.6309166666666667</x:v>
      </x:c>
      <x:c r="F5902" s="12" t="n">
        <x:v>0.07366666666666667</x:v>
      </x:c>
      <x:c r="G5902" s="12" t="n">
        <x:v>3.4800000000000004</x:v>
      </x:c>
      <x:c r="H5902" s="1" t="n">
        <x:f>'Historical prices'!E5902</x:f>
        <x:v>1.05</x:v>
      </x:c>
      <x:c r="I5902" s="6" t="n">
        <x:f>'Historical prices'!D5902</x:f>
        <x:v>-0.0363</x:v>
      </x:c>
      <x:c r="J5902" s="13" t="n">
        <x:f>D5902*I5902*H5902</x:f>
        <x:v>-0.15387978375000003</x:v>
      </x:c>
      <x:c r="K5902" s="13" t="n">
        <x:f>E5902*I5902*H5902</x:f>
        <x:v>-0.02404738875</x:v>
      </x:c>
      <x:c r="L5902" s="1" t="str">
        <x:f>TEXT(A5902,"mmm yyyy")</x:f>
        <x:v>Sep 2026</x:v>
      </x:c>
    </x:row>
    <x:row r="5903" ht="21" customHeight="1">
      <x:c r="A5903" s="10" t="n">
        <x:v>46271</x:v>
      </x:c>
      <x:c r="B5903" s="1" t="n">
        <x:v>11.5</x:v>
      </x:c>
      <x:c r="C5903" s="1" t="n">
        <x:v>6</x:v>
      </x:c>
      <x:c r="D5903" s="12" t="n">
        <x:v>4.696</x:v>
      </x:c>
      <x:c r="E5903" s="12" t="n">
        <x:v>0.672</x:v>
      </x:c>
      <x:c r="F5903" s="12" t="n">
        <x:v>0</x:v>
      </x:c>
      <x:c r="G5903" s="12" t="n">
        <x:v>4.024</x:v>
      </x:c>
      <x:c r="H5903" s="1" t="n">
        <x:f>'Historical prices'!E5903</x:f>
        <x:v>1.05</x:v>
      </x:c>
      <x:c r="I5903" s="6" t="n">
        <x:f>'Historical prices'!D5903</x:f>
        <x:v>-0.0349</x:v>
      </x:c>
      <x:c r="J5903" s="13" t="n">
        <x:f>D5903*I5903*H5903</x:f>
        <x:v>-0.17208492</x:v>
      </x:c>
      <x:c r="K5903" s="13" t="n">
        <x:f>E5903*I5903*H5903</x:f>
        <x:v>-0.024625440000000005</x:v>
      </x:c>
      <x:c r="L5903" s="1" t="str">
        <x:f>TEXT(A5903,"mmm yyyy")</x:f>
        <x:v>Sep 2026</x:v>
      </x:c>
    </x:row>
    <x:row r="5904" ht="21" customHeight="1">
      <x:c r="A5904" s="10" t="n">
        <x:v>46271</x:v>
      </x:c>
      <x:c r="B5904" s="1" t="n">
        <x:v>12</x:v>
      </x:c>
      <x:c r="C5904" s="1" t="n">
        <x:v>6</x:v>
      </x:c>
      <x:c r="D5904" s="12" t="n">
        <x:v>0.805</x:v>
      </x:c>
      <x:c r="E5904" s="12" t="n">
        <x:v>0.5454166666666667</x:v>
      </x:c>
      <x:c r="F5904" s="12" t="n">
        <x:v>0.41800000000000004</x:v>
      </x:c>
      <x:c r="G5904" s="12" t="n">
        <x:v>0.679</x:v>
      </x:c>
      <x:c r="H5904" s="1" t="n">
        <x:f>'Historical prices'!E5904</x:f>
        <x:v>1.05</x:v>
      </x:c>
      <x:c r="I5904" s="6" t="n">
        <x:f>'Historical prices'!D5904</x:f>
        <x:v>-0.030899999999999997</x:v>
      </x:c>
      <x:c r="J5904" s="13" t="n">
        <x:f>D5904*I5904*H5904</x:f>
        <x:v>-0.026118225</x:v>
      </x:c>
      <x:c r="K5904" s="13" t="n">
        <x:f>E5904*I5904*H5904</x:f>
        <x:v>-0.017696043749999998</x:v>
      </x:c>
      <x:c r="L5904" s="1" t="str">
        <x:f>TEXT(A5904,"mmm yyyy")</x:f>
        <x:v>Sep 2026</x:v>
      </x:c>
    </x:row>
    <x:row r="5905" ht="21" customHeight="1">
      <x:c r="A5905" s="10" t="n">
        <x:v>46271</x:v>
      </x:c>
      <x:c r="B5905" s="1" t="n">
        <x:v>12.5</x:v>
      </x:c>
      <x:c r="C5905" s="1" t="n">
        <x:v>6</x:v>
      </x:c>
      <x:c r="D5905" s="12" t="n">
        <x:v>4.2045</x:v>
      </x:c>
      <x:c r="E5905" s="12" t="n">
        <x:v>0.7064166666666667</x:v>
      </x:c>
      <x:c r="F5905" s="12" t="n">
        <x:v>0.08291666666666667</x:v>
      </x:c>
      <x:c r="G5905" s="12" t="n">
        <x:v>3.581</x:v>
      </x:c>
      <x:c r="H5905" s="1" t="n">
        <x:f>'Historical prices'!E5905</x:f>
        <x:v>1.05</x:v>
      </x:c>
      <x:c r="I5905" s="6" t="n">
        <x:f>'Historical prices'!D5905</x:f>
        <x:v>-0.0431</x:v>
      </x:c>
      <x:c r="J5905" s="13" t="n">
        <x:f>D5905*I5905*H5905</x:f>
        <x:v>-0.19027464750000003</x:v>
      </x:c>
      <x:c r="K5905" s="13" t="n">
        <x:f>E5905*I5905*H5905</x:f>
        <x:v>-0.03196888625</x:v>
      </x:c>
      <x:c r="L5905" s="1" t="str">
        <x:f>TEXT(A5905,"mmm yyyy")</x:f>
        <x:v>Sep 2026</x:v>
      </x:c>
    </x:row>
    <x:row r="5906" ht="21" customHeight="1">
      <x:c r="A5906" s="10" t="n">
        <x:v>46271</x:v>
      </x:c>
      <x:c r="B5906" s="1" t="n">
        <x:v>13</x:v>
      </x:c>
      <x:c r="C5906" s="1" t="n">
        <x:v>6</x:v>
      </x:c>
      <x:c r="D5906" s="12" t="n">
        <x:v>5.05175</x:v>
      </x:c>
      <x:c r="E5906" s="12" t="n">
        <x:v>0.67675</x:v>
      </x:c>
      <x:c r="F5906" s="12" t="n">
        <x:v>0</x:v>
      </x:c>
      <x:c r="G5906" s="12" t="n">
        <x:v>4.375</x:v>
      </x:c>
      <x:c r="H5906" s="1" t="n">
        <x:f>'Historical prices'!E5906</x:f>
        <x:v>1.05</x:v>
      </x:c>
      <x:c r="I5906" s="6" t="n">
        <x:f>'Historical prices'!D5906</x:f>
        <x:v>-0.0418</x:v>
      </x:c>
      <x:c r="J5906" s="13" t="n">
        <x:f>D5906*I5906*H5906</x:f>
        <x:v>-0.2217213075</x:v>
      </x:c>
      <x:c r="K5906" s="13" t="n">
        <x:f>E5906*I5906*H5906</x:f>
        <x:v>-0.0297025575</x:v>
      </x:c>
      <x:c r="L5906" s="1" t="str">
        <x:f>TEXT(A5906,"mmm yyyy")</x:f>
        <x:v>Sep 2026</x:v>
      </x:c>
    </x:row>
    <x:row r="5907" ht="21" customHeight="1">
      <x:c r="A5907" s="10" t="n">
        <x:v>46271</x:v>
      </x:c>
      <x:c r="B5907" s="1" t="n">
        <x:v>13.5</x:v>
      </x:c>
      <x:c r="C5907" s="1" t="n">
        <x:v>6</x:v>
      </x:c>
      <x:c r="D5907" s="12" t="n">
        <x:v>3.9237500000000005</x:v>
      </x:c>
      <x:c r="E5907" s="12" t="n">
        <x:v>0.6637500000000001</x:v>
      </x:c>
      <x:c r="F5907" s="12" t="n">
        <x:v>0</x:v>
      </x:c>
      <x:c r="G5907" s="12" t="n">
        <x:v>3.26</x:v>
      </x:c>
      <x:c r="H5907" s="1" t="n">
        <x:f>'Historical prices'!E5907</x:f>
        <x:v>1.05</x:v>
      </x:c>
      <x:c r="I5907" s="6" t="n">
        <x:f>'Historical prices'!D5907</x:f>
        <x:v>-0.0424</x:v>
      </x:c>
      <x:c r="J5907" s="13" t="n">
        <x:f>D5907*I5907*H5907</x:f>
        <x:v>-0.17468535000000002</x:v>
      </x:c>
      <x:c r="K5907" s="13" t="n">
        <x:f>E5907*I5907*H5907</x:f>
        <x:v>-0.029550150000000004</x:v>
      </x:c>
      <x:c r="L5907" s="1" t="str">
        <x:f>TEXT(A5907,"mmm yyyy")</x:f>
        <x:v>Sep 2026</x:v>
      </x:c>
    </x:row>
    <x:row r="5908" ht="21" customHeight="1">
      <x:c r="A5908" s="10" t="n">
        <x:v>46271</x:v>
      </x:c>
      <x:c r="B5908" s="1" t="n">
        <x:v>14</x:v>
      </x:c>
      <x:c r="C5908" s="1" t="n">
        <x:v>6</x:v>
      </x:c>
      <x:c r="D5908" s="12" t="n">
        <x:v>0.26375</x:v>
      </x:c>
      <x:c r="E5908" s="12" t="n">
        <x:v>0.5506666666666666</x:v>
      </x:c>
      <x:c r="F5908" s="12" t="n">
        <x:v>0.4525</x:v>
      </x:c>
      <x:c r="G5908" s="12" t="n">
        <x:v>0.166</x:v>
      </x:c>
      <x:c r="H5908" s="1" t="n">
        <x:f>'Historical prices'!E5908</x:f>
        <x:v>1.05</x:v>
      </x:c>
      <x:c r="I5908" s="6" t="n">
        <x:f>'Historical prices'!D5908</x:f>
        <x:v>-0.0311</x:v>
      </x:c>
      <x:c r="J5908" s="13" t="n">
        <x:f>D5908*I5908*H5908</x:f>
        <x:v>-0.00861275625</x:v>
      </x:c>
      <x:c r="K5908" s="13" t="n">
        <x:f>E5908*I5908*H5908</x:f>
        <x:v>-0.017982019999999998</x:v>
      </x:c>
      <x:c r="L5908" s="1" t="str">
        <x:f>TEXT(A5908,"mmm yyyy")</x:f>
        <x:v>Sep 2026</x:v>
      </x:c>
    </x:row>
    <x:row r="5909" ht="21" customHeight="1">
      <x:c r="A5909" s="10" t="n">
        <x:v>46271</x:v>
      </x:c>
      <x:c r="B5909" s="1" t="n">
        <x:v>14.5</x:v>
      </x:c>
      <x:c r="C5909" s="1" t="n">
        <x:v>6</x:v>
      </x:c>
      <x:c r="D5909" s="12" t="n">
        <x:v>0</x:v>
      </x:c>
      <x:c r="E5909" s="12" t="n">
        <x:v>0.6564166666666666</x:v>
      </x:c>
      <x:c r="F5909" s="12" t="n">
        <x:v>0.6505</x:v>
      </x:c>
      <x:c r="G5909" s="12" t="n">
        <x:v>0</x:v>
      </x:c>
      <x:c r="H5909" s="1" t="n">
        <x:f>'Historical prices'!E5909</x:f>
        <x:v>1.05</x:v>
      </x:c>
      <x:c r="I5909" s="6" t="n">
        <x:f>'Historical prices'!D5909</x:f>
        <x:v>-0.0334</x:v>
      </x:c>
      <x:c r="J5909" s="13" t="n">
        <x:f>D5909*I5909*H5909</x:f>
        <x:v>0</x:v>
      </x:c>
      <x:c r="K5909" s="13" t="n">
        <x:f>E5909*I5909*H5909</x:f>
        <x:v>-0.0230205325</x:v>
      </x:c>
      <x:c r="L5909" s="1" t="str">
        <x:f>TEXT(A5909,"mmm yyyy")</x:f>
        <x:v>Sep 2026</x:v>
      </x:c>
    </x:row>
    <x:row r="5910" ht="21" customHeight="1">
      <x:c r="A5910" s="10" t="n">
        <x:v>46271</x:v>
      </x:c>
      <x:c r="B5910" s="1" t="n">
        <x:v>15</x:v>
      </x:c>
      <x:c r="C5910" s="1" t="n">
        <x:v>6</x:v>
      </x:c>
      <x:c r="D5910" s="12" t="n">
        <x:v>1.9825000000000002</x:v>
      </x:c>
      <x:c r="E5910" s="12" t="n">
        <x:v>0.7097499999999999</x:v>
      </x:c>
      <x:c r="F5910" s="12" t="n">
        <x:v>0.131</x:v>
      </x:c>
      <x:c r="G5910" s="12" t="n">
        <x:v>1.406</x:v>
      </x:c>
      <x:c r="H5910" s="1" t="n">
        <x:f>'Historical prices'!E5910</x:f>
        <x:v>1.05</x:v>
      </x:c>
      <x:c r="I5910" s="6" t="n">
        <x:f>'Historical prices'!D5910</x:f>
        <x:v>-0.038</x:v>
      </x:c>
      <x:c r="J5910" s="13" t="n">
        <x:f>D5910*I5910*H5910</x:f>
        <x:v>-0.07910175</x:v>
      </x:c>
      <x:c r="K5910" s="13" t="n">
        <x:f>E5910*I5910*H5910</x:f>
        <x:v>-0.028319024999999994</x:v>
      </x:c>
      <x:c r="L5910" s="1" t="str">
        <x:f>TEXT(A5910,"mmm yyyy")</x:f>
        <x:v>Sep 2026</x:v>
      </x:c>
    </x:row>
    <x:row r="5911" ht="21" customHeight="1">
      <x:c r="A5911" s="10" t="n">
        <x:v>46271</x:v>
      </x:c>
      <x:c r="B5911" s="1" t="n">
        <x:v>15.5</x:v>
      </x:c>
      <x:c r="C5911" s="1" t="n">
        <x:v>6</x:v>
      </x:c>
      <x:c r="D5911" s="12" t="n">
        <x:v>0.093</x:v>
      </x:c>
      <x:c r="E5911" s="12" t="n">
        <x:v>0.6529166666666667</x:v>
      </x:c>
      <x:c r="F5911" s="12" t="n">
        <x:v>0.5571666666666667</x:v>
      </x:c>
      <x:c r="G5911" s="12" t="n">
        <x:v>0</x:v>
      </x:c>
      <x:c r="H5911" s="1" t="n">
        <x:f>'Historical prices'!E5911</x:f>
        <x:v>1.05</x:v>
      </x:c>
      <x:c r="I5911" s="6" t="n">
        <x:f>'Historical prices'!D5911</x:f>
        <x:v>-0.022000000000000002</x:v>
      </x:c>
      <x:c r="J5911" s="13" t="n">
        <x:f>D5911*I5911*H5911</x:f>
        <x:v>-0.0021483</x:v>
      </x:c>
      <x:c r="K5911" s="13" t="n">
        <x:f>E5911*I5911*H5911</x:f>
        <x:v>-0.015082375000000004</x:v>
      </x:c>
      <x:c r="L5911" s="1" t="str">
        <x:f>TEXT(A5911,"mmm yyyy")</x:f>
        <x:v>Sep 2026</x:v>
      </x:c>
    </x:row>
    <x:row r="5912" ht="21" customHeight="1">
      <x:c r="A5912" s="10" t="n">
        <x:v>46271</x:v>
      </x:c>
      <x:c r="B5912" s="1" t="n">
        <x:v>16</x:v>
      </x:c>
      <x:c r="C5912" s="1" t="n">
        <x:v>6</x:v>
      </x:c>
      <x:c r="D5912" s="12" t="n">
        <x:v>0</x:v>
      </x:c>
      <x:c r="E5912" s="12" t="n">
        <x:v>0.6211666666666666</x:v>
      </x:c>
      <x:c r="F5912" s="12" t="n">
        <x:v>0.6207499999999999</x:v>
      </x:c>
      <x:c r="G5912" s="12" t="n">
        <x:v>0</x:v>
      </x:c>
      <x:c r="H5912" s="1" t="n">
        <x:f>'Historical prices'!E5912</x:f>
        <x:v>1.05</x:v>
      </x:c>
      <x:c r="I5912" s="6" t="n">
        <x:f>'Historical prices'!D5912</x:f>
        <x:v>0.2717</x:v>
      </x:c>
      <x:c r="J5912" s="13" t="n">
        <x:f>D5912*I5912*H5912</x:f>
        <x:v>0</x:v>
      </x:c>
      <x:c r="K5912" s="13" t="n">
        <x:f>E5912*I5912*H5912</x:f>
        <x:v>0.1772095325</x:v>
      </x:c>
      <x:c r="L5912" s="1" t="str">
        <x:f>TEXT(A5912,"mmm yyyy")</x:f>
        <x:v>Sep 2026</x:v>
      </x:c>
    </x:row>
    <x:row r="5913" ht="21" customHeight="1">
      <x:c r="A5913" s="10" t="n">
        <x:v>46271</x:v>
      </x:c>
      <x:c r="B5913" s="1" t="n">
        <x:v>16.5</x:v>
      </x:c>
      <x:c r="C5913" s="1" t="n">
        <x:v>6</x:v>
      </x:c>
      <x:c r="D5913" s="12" t="n">
        <x:v>0</x:v>
      </x:c>
      <x:c r="E5913" s="12" t="n">
        <x:v>0.7165833333333333</x:v>
      </x:c>
      <x:c r="F5913" s="12" t="n">
        <x:v>0.7164999999999999</x:v>
      </x:c>
      <x:c r="G5913" s="12" t="n">
        <x:v>0</x:v>
      </x:c>
      <x:c r="H5913" s="1" t="n">
        <x:f>'Historical prices'!E5913</x:f>
        <x:v>1.05</x:v>
      </x:c>
      <x:c r="I5913" s="6" t="n">
        <x:f>'Historical prices'!D5913</x:f>
        <x:v>0.3398</x:v>
      </x:c>
      <x:c r="J5913" s="13" t="n">
        <x:f>D5913*I5913*H5913</x:f>
        <x:v>0</x:v>
      </x:c>
      <x:c r="K5913" s="13" t="n">
        <x:f>E5913*I5913*H5913</x:f>
        <x:v>0.25566976750000003</x:v>
      </x:c>
      <x:c r="L5913" s="1" t="str">
        <x:f>TEXT(A5913,"mmm yyyy")</x:f>
        <x:v>Sep 2026</x:v>
      </x:c>
    </x:row>
    <x:row r="5914" ht="21" customHeight="1">
      <x:c r="A5914" s="10" t="n">
        <x:v>46271</x:v>
      </x:c>
      <x:c r="B5914" s="1" t="n">
        <x:v>17</x:v>
      </x:c>
      <x:c r="C5914" s="1" t="n">
        <x:v>6</x:v>
      </x:c>
      <x:c r="D5914" s="12" t="n">
        <x:v>0</x:v>
      </x:c>
      <x:c r="E5914" s="12" t="n">
        <x:v>0.55925</x:v>
      </x:c>
      <x:c r="F5914" s="12" t="n">
        <x:v>0.5583333333333333</x:v>
      </x:c>
      <x:c r="G5914" s="12" t="n">
        <x:v>0</x:v>
      </x:c>
      <x:c r="H5914" s="1" t="n">
        <x:f>'Historical prices'!E5914</x:f>
        <x:v>1.05</x:v>
      </x:c>
      <x:c r="I5914" s="6" t="n">
        <x:f>'Historical prices'!D5914</x:f>
        <x:v>0.41490000000000005</x:v>
      </x:c>
      <x:c r="J5914" s="13" t="n">
        <x:f>D5914*I5914*H5914</x:f>
        <x:v>0</x:v>
      </x:c>
      <x:c r="K5914" s="13" t="n">
        <x:f>E5914*I5914*H5914</x:f>
        <x:v>0.24363446625000004</x:v>
      </x:c>
      <x:c r="L5914" s="1" t="str">
        <x:f>TEXT(A5914,"mmm yyyy")</x:f>
        <x:v>Sep 2026</x:v>
      </x:c>
    </x:row>
    <x:row r="5915" ht="21" customHeight="1">
      <x:c r="A5915" s="10" t="n">
        <x:v>46271</x:v>
      </x:c>
      <x:c r="B5915" s="1" t="n">
        <x:v>17.5</x:v>
      </x:c>
      <x:c r="C5915" s="1" t="n">
        <x:v>6</x:v>
      </x:c>
      <x:c r="D5915" s="12" t="n">
        <x:v>0</x:v>
      </x:c>
      <x:c r="E5915" s="12" t="n">
        <x:v>0.6248333333333334</x:v>
      </x:c>
      <x:c r="F5915" s="12" t="n">
        <x:v>0.6175833333333334</x:v>
      </x:c>
      <x:c r="G5915" s="12" t="n">
        <x:v>0</x:v>
      </x:c>
      <x:c r="H5915" s="1" t="n">
        <x:f>'Historical prices'!E5915</x:f>
        <x:v>1.05</x:v>
      </x:c>
      <x:c r="I5915" s="6" t="n">
        <x:f>'Historical prices'!D5915</x:f>
        <x:v>0.4604</x:v>
      </x:c>
      <x:c r="J5915" s="13" t="n">
        <x:f>D5915*I5915*H5915</x:f>
        <x:v>0</x:v>
      </x:c>
      <x:c r="K5915" s="13" t="n">
        <x:f>E5915*I5915*H5915</x:f>
        <x:v>0.30205693</x:v>
      </x:c>
      <x:c r="L5915" s="1" t="str">
        <x:f>TEXT(A5915,"mmm yyyy")</x:f>
        <x:v>Sep 2026</x:v>
      </x:c>
    </x:row>
    <x:row r="5916" ht="21" customHeight="1">
      <x:c r="A5916" s="10" t="n">
        <x:v>46271</x:v>
      </x:c>
      <x:c r="B5916" s="1" t="n">
        <x:v>18</x:v>
      </x:c>
      <x:c r="C5916" s="1" t="n">
        <x:v>6</x:v>
      </x:c>
      <x:c r="D5916" s="12" t="n">
        <x:v>0</x:v>
      </x:c>
      <x:c r="E5916" s="12" t="n">
        <x:v>0.7026666666666666</x:v>
      </x:c>
      <x:c r="F5916" s="12" t="n">
        <x:v>0.7015833333333333</x:v>
      </x:c>
      <x:c r="G5916" s="12" t="n">
        <x:v>0</x:v>
      </x:c>
      <x:c r="H5916" s="1" t="n">
        <x:f>'Historical prices'!E5916</x:f>
        <x:v>1.05</x:v>
      </x:c>
      <x:c r="I5916" s="6" t="n">
        <x:f>'Historical prices'!D5916</x:f>
        <x:v>0.45409999999999995</x:v>
      </x:c>
      <x:c r="J5916" s="13" t="n">
        <x:f>D5916*I5916*H5916</x:f>
        <x:v>0</x:v>
      </x:c>
      <x:c r="K5916" s="13" t="n">
        <x:f>E5916*I5916*H5916</x:f>
        <x:v>0.3350349799999999</x:v>
      </x:c>
      <x:c r="L5916" s="1" t="str">
        <x:f>TEXT(A5916,"mmm yyyy")</x:f>
        <x:v>Sep 2026</x:v>
      </x:c>
    </x:row>
    <x:row r="5917" ht="21" customHeight="1">
      <x:c r="A5917" s="10" t="n">
        <x:v>46271</x:v>
      </x:c>
      <x:c r="B5917" s="1" t="n">
        <x:v>18.5</x:v>
      </x:c>
      <x:c r="C5917" s="1" t="n">
        <x:v>6</x:v>
      </x:c>
      <x:c r="D5917" s="12" t="n">
        <x:v>0</x:v>
      </x:c>
      <x:c r="E5917" s="12" t="n">
        <x:v>0.6423333333333333</x:v>
      </x:c>
      <x:c r="F5917" s="12" t="n">
        <x:v>0.6388333333333334</x:v>
      </x:c>
      <x:c r="G5917" s="12" t="n">
        <x:v>0</x:v>
      </x:c>
      <x:c r="H5917" s="1" t="n">
        <x:f>'Historical prices'!E5917</x:f>
        <x:v>1.05</x:v>
      </x:c>
      <x:c r="I5917" s="6" t="n">
        <x:f>'Historical prices'!D5917</x:f>
        <x:v>0.4596</x:v>
      </x:c>
      <x:c r="J5917" s="13" t="n">
        <x:f>D5917*I5917*H5917</x:f>
        <x:v>0</x:v>
      </x:c>
      <x:c r="K5917" s="13" t="n">
        <x:f>E5917*I5917*H5917</x:f>
        <x:v>0.30997722</x:v>
      </x:c>
      <x:c r="L5917" s="1" t="str">
        <x:f>TEXT(A5917,"mmm yyyy")</x:f>
        <x:v>Sep 2026</x:v>
      </x:c>
    </x:row>
    <x:row r="5918" ht="21" customHeight="1">
      <x:c r="A5918" s="10" t="n">
        <x:v>46271</x:v>
      </x:c>
      <x:c r="B5918" s="1" t="n">
        <x:v>19</x:v>
      </x:c>
      <x:c r="C5918" s="1" t="n">
        <x:v>6</x:v>
      </x:c>
      <x:c r="D5918" s="12" t="n">
        <x:v>0</x:v>
      </x:c>
      <x:c r="E5918" s="12" t="n">
        <x:v>0.8714166666666666</x:v>
      </x:c>
      <x:c r="F5918" s="12" t="n">
        <x:v>0.8710833333333333</x:v>
      </x:c>
      <x:c r="G5918" s="12" t="n">
        <x:v>0</x:v>
      </x:c>
      <x:c r="H5918" s="1" t="n">
        <x:f>'Historical prices'!E5918</x:f>
        <x:v>1.05</x:v>
      </x:c>
      <x:c r="I5918" s="6" t="n">
        <x:f>'Historical prices'!D5918</x:f>
        <x:v>0.3448</x:v>
      </x:c>
      <x:c r="J5918" s="13" t="n">
        <x:f>D5918*I5918*H5918</x:f>
        <x:v>0</x:v>
      </x:c>
      <x:c r="K5918" s="13" t="n">
        <x:f>E5918*I5918*H5918</x:f>
        <x:v>0.31548769</x:v>
      </x:c>
      <x:c r="L5918" s="1" t="str">
        <x:f>TEXT(A5918,"mmm yyyy")</x:f>
        <x:v>Sep 2026</x:v>
      </x:c>
    </x:row>
    <x:row r="5919" ht="21" customHeight="1">
      <x:c r="A5919" s="10" t="n">
        <x:v>46271</x:v>
      </x:c>
      <x:c r="B5919" s="1" t="n">
        <x:v>19.5</x:v>
      </x:c>
      <x:c r="C5919" s="1" t="n">
        <x:v>6</x:v>
      </x:c>
      <x:c r="D5919" s="12" t="n">
        <x:v>0</x:v>
      </x:c>
      <x:c r="E5919" s="12" t="n">
        <x:v>0.8666666666666667</x:v>
      </x:c>
      <x:c r="F5919" s="12" t="n">
        <x:v>0.8657499999999999</x:v>
      </x:c>
      <x:c r="G5919" s="12" t="n">
        <x:v>0</x:v>
      </x:c>
      <x:c r="H5919" s="1" t="n">
        <x:f>'Historical prices'!E5919</x:f>
        <x:v>1.05</x:v>
      </x:c>
      <x:c r="I5919" s="6" t="n">
        <x:f>'Historical prices'!D5919</x:f>
        <x:v>0.3555</x:v>
      </x:c>
      <x:c r="J5919" s="13" t="n">
        <x:f>D5919*I5919*H5919</x:f>
        <x:v>0</x:v>
      </x:c>
      <x:c r="K5919" s="13" t="n">
        <x:f>E5919*I5919*H5919</x:f>
        <x:v>0.323505</x:v>
      </x:c>
      <x:c r="L5919" s="1" t="str">
        <x:f>TEXT(A5919,"mmm yyyy")</x:f>
        <x:v>Sep 2026</x:v>
      </x:c>
    </x:row>
    <x:row r="5920" ht="21" customHeight="1">
      <x:c r="A5920" s="10" t="n">
        <x:v>46271</x:v>
      </x:c>
      <x:c r="B5920" s="1" t="n">
        <x:v>20</x:v>
      </x:c>
      <x:c r="C5920" s="1" t="n">
        <x:v>6</x:v>
      </x:c>
      <x:c r="D5920" s="12" t="n">
        <x:v>0</x:v>
      </x:c>
      <x:c r="E5920" s="12" t="n">
        <x:v>0.54375</x:v>
      </x:c>
      <x:c r="F5920" s="12" t="n">
        <x:v>0.5434166666666665</x:v>
      </x:c>
      <x:c r="G5920" s="12" t="n">
        <x:v>0</x:v>
      </x:c>
      <x:c r="H5920" s="1" t="n">
        <x:f>'Historical prices'!E5920</x:f>
        <x:v>1.05</x:v>
      </x:c>
      <x:c r="I5920" s="6" t="n">
        <x:f>'Historical prices'!D5920</x:f>
        <x:v>0.34049999999999997</x:v>
      </x:c>
      <x:c r="J5920" s="13" t="n">
        <x:f>D5920*I5920*H5920</x:f>
        <x:v>0</x:v>
      </x:c>
      <x:c r="K5920" s="13" t="n">
        <x:f>E5920*I5920*H5920</x:f>
        <x:v>0.19440421874999997</x:v>
      </x:c>
      <x:c r="L5920" s="1" t="str">
        <x:f>TEXT(A5920,"mmm yyyy")</x:f>
        <x:v>Sep 2026</x:v>
      </x:c>
    </x:row>
    <x:row r="5921" ht="21" customHeight="1">
      <x:c r="A5921" s="10" t="n">
        <x:v>46271</x:v>
      </x:c>
      <x:c r="B5921" s="1" t="n">
        <x:v>20.5</x:v>
      </x:c>
      <x:c r="C5921" s="1" t="n">
        <x:v>6</x:v>
      </x:c>
      <x:c r="D5921" s="12" t="n">
        <x:v>0</x:v>
      </x:c>
      <x:c r="E5921" s="12" t="n">
        <x:v>0.5578333333333334</x:v>
      </x:c>
      <x:c r="F5921" s="12" t="n">
        <x:v>0.5575</x:v>
      </x:c>
      <x:c r="G5921" s="12" t="n">
        <x:v>0</x:v>
      </x:c>
      <x:c r="H5921" s="1" t="n">
        <x:f>'Historical prices'!E5921</x:f>
        <x:v>1.05</x:v>
      </x:c>
      <x:c r="I5921" s="6" t="n">
        <x:f>'Historical prices'!D5921</x:f>
        <x:v>0.33409999999999995</x:v>
      </x:c>
      <x:c r="J5921" s="13" t="n">
        <x:f>D5921*I5921*H5921</x:f>
        <x:v>0</x:v>
      </x:c>
      <x:c r="K5921" s="13" t="n">
        <x:f>E5921*I5921*H5921</x:f>
        <x:v>0.19569072250000002</x:v>
      </x:c>
      <x:c r="L5921" s="1" t="str">
        <x:f>TEXT(A5921,"mmm yyyy")</x:f>
        <x:v>Sep 2026</x:v>
      </x:c>
    </x:row>
    <x:row r="5922" ht="21" customHeight="1">
      <x:c r="A5922" s="10" t="n">
        <x:v>46271</x:v>
      </x:c>
      <x:c r="B5922" s="1" t="n">
        <x:v>21</x:v>
      </x:c>
      <x:c r="C5922" s="1" t="n">
        <x:v>6</x:v>
      </x:c>
      <x:c r="D5922" s="12" t="n">
        <x:v>0</x:v>
      </x:c>
      <x:c r="E5922" s="12" t="n">
        <x:v>0.615</x:v>
      </x:c>
      <x:c r="F5922" s="12" t="n">
        <x:v>0.6145833333333333</x:v>
      </x:c>
      <x:c r="G5922" s="12" t="n">
        <x:v>0</x:v>
      </x:c>
      <x:c r="H5922" s="1" t="n">
        <x:f>'Historical prices'!E5922</x:f>
        <x:v>1.05</x:v>
      </x:c>
      <x:c r="I5922" s="6" t="n">
        <x:f>'Historical prices'!D5922</x:f>
        <x:v>0.3331</x:v>
      </x:c>
      <x:c r="J5922" s="13" t="n">
        <x:f>D5922*I5922*H5922</x:f>
        <x:v>0</x:v>
      </x:c>
      <x:c r="K5922" s="13" t="n">
        <x:f>E5922*I5922*H5922</x:f>
        <x:v>0.215099325</x:v>
      </x:c>
      <x:c r="L5922" s="1" t="str">
        <x:f>TEXT(A5922,"mmm yyyy")</x:f>
        <x:v>Sep 2026</x:v>
      </x:c>
    </x:row>
    <x:row r="5923" ht="21" customHeight="1">
      <x:c r="A5923" s="10" t="n">
        <x:v>46271</x:v>
      </x:c>
      <x:c r="B5923" s="1" t="n">
        <x:v>21.5</x:v>
      </x:c>
      <x:c r="C5923" s="1" t="n">
        <x:v>6</x:v>
      </x:c>
      <x:c r="D5923" s="12" t="n">
        <x:v>0</x:v>
      </x:c>
      <x:c r="E5923" s="12" t="n">
        <x:v>0.8830833333333333</x:v>
      </x:c>
      <x:c r="F5923" s="12" t="n">
        <x:v>0.8825833333333334</x:v>
      </x:c>
      <x:c r="G5923" s="12" t="n">
        <x:v>0</x:v>
      </x:c>
      <x:c r="H5923" s="1" t="n">
        <x:f>'Historical prices'!E5923</x:f>
        <x:v>1.05</x:v>
      </x:c>
      <x:c r="I5923" s="6" t="n">
        <x:f>'Historical prices'!D5923</x:f>
        <x:v>0.29969999999999997</x:v>
      </x:c>
      <x:c r="J5923" s="13" t="n">
        <x:f>D5923*I5923*H5923</x:f>
        <x:v>0</x:v>
      </x:c>
      <x:c r="K5923" s="13" t="n">
        <x:f>E5923*I5923*H5923</x:f>
        <x:v>0.27789307875</x:v>
      </x:c>
      <x:c r="L5923" s="1" t="str">
        <x:f>TEXT(A5923,"mmm yyyy")</x:f>
        <x:v>Sep 2026</x:v>
      </x:c>
    </x:row>
    <x:row r="5924" ht="21" customHeight="1">
      <x:c r="A5924" s="10" t="n">
        <x:v>46271</x:v>
      </x:c>
      <x:c r="B5924" s="1" t="n">
        <x:v>22</x:v>
      </x:c>
      <x:c r="C5924" s="1" t="n">
        <x:v>6</x:v>
      </x:c>
      <x:c r="D5924" s="12" t="n">
        <x:v>0</x:v>
      </x:c>
      <x:c r="E5924" s="12" t="n">
        <x:v>0.27775</x:v>
      </x:c>
      <x:c r="F5924" s="12" t="n">
        <x:v>0.2775</x:v>
      </x:c>
      <x:c r="G5924" s="12" t="n">
        <x:v>0</x:v>
      </x:c>
      <x:c r="H5924" s="1" t="n">
        <x:f>'Historical prices'!E5924</x:f>
        <x:v>1.05</x:v>
      </x:c>
      <x:c r="I5924" s="6" t="n">
        <x:f>'Historical prices'!D5924</x:f>
        <x:v>0.3011</x:v>
      </x:c>
      <x:c r="J5924" s="13" t="n">
        <x:f>D5924*I5924*H5924</x:f>
        <x:v>0</x:v>
      </x:c>
      <x:c r="K5924" s="13" t="n">
        <x:f>E5924*I5924*H5924</x:f>
        <x:v>0.08781205125</x:v>
      </x:c>
      <x:c r="L5924" s="1" t="str">
        <x:f>TEXT(A5924,"mmm yyyy")</x:f>
        <x:v>Sep 2026</x:v>
      </x:c>
    </x:row>
    <x:row r="5925" ht="21" customHeight="1">
      <x:c r="A5925" s="10" t="n">
        <x:v>46271</x:v>
      </x:c>
      <x:c r="B5925" s="1" t="n">
        <x:v>22.5</x:v>
      </x:c>
      <x:c r="C5925" s="1" t="n">
        <x:v>6</x:v>
      </x:c>
      <x:c r="D5925" s="12" t="n">
        <x:v>0</x:v>
      </x:c>
      <x:c r="E5925" s="12" t="n">
        <x:v>0.27708333333333335</x:v>
      </x:c>
      <x:c r="F5925" s="12" t="n">
        <x:v>0.27658333333333335</x:v>
      </x:c>
      <x:c r="G5925" s="12" t="n">
        <x:v>0</x:v>
      </x:c>
      <x:c r="H5925" s="1" t="n">
        <x:f>'Historical prices'!E5925</x:f>
        <x:v>1.05</x:v>
      </x:c>
      <x:c r="I5925" s="6" t="n">
        <x:f>'Historical prices'!D5925</x:f>
        <x:v>0.2746</x:v>
      </x:c>
      <x:c r="J5925" s="13" t="n">
        <x:f>D5925*I5925*H5925</x:f>
        <x:v>0</x:v>
      </x:c>
      <x:c r="K5925" s="13" t="n">
        <x:f>E5925*I5925*H5925</x:f>
        <x:v>0.07989143750000002</x:v>
      </x:c>
      <x:c r="L5925" s="1" t="str">
        <x:f>TEXT(A5925,"mmm yyyy")</x:f>
        <x:v>Sep 2026</x:v>
      </x:c>
    </x:row>
    <x:row r="5926" ht="21" customHeight="1">
      <x:c r="A5926" s="10" t="n">
        <x:v>46271</x:v>
      </x:c>
      <x:c r="B5926" s="1" t="n">
        <x:v>23</x:v>
      </x:c>
      <x:c r="C5926" s="1" t="n">
        <x:v>6</x:v>
      </x:c>
      <x:c r="D5926" s="12" t="n">
        <x:v>0</x:v>
      </x:c>
      <x:c r="E5926" s="12" t="n">
        <x:v>0.22816666666666666</x:v>
      </x:c>
      <x:c r="F5926" s="12" t="n">
        <x:v>0.22766666666666666</x:v>
      </x:c>
      <x:c r="G5926" s="12" t="n">
        <x:v>0</x:v>
      </x:c>
      <x:c r="H5926" s="1" t="n">
        <x:f>'Historical prices'!E5926</x:f>
        <x:v>1.05</x:v>
      </x:c>
      <x:c r="I5926" s="6" t="n">
        <x:f>'Historical prices'!D5926</x:f>
        <x:v>0.2534</x:v>
      </x:c>
      <x:c r="J5926" s="13" t="n">
        <x:f>D5926*I5926*H5926</x:f>
        <x:v>0</x:v>
      </x:c>
      <x:c r="K5926" s="13" t="n">
        <x:f>E5926*I5926*H5926</x:f>
        <x:v>0.060708305000000004</x:v>
      </x:c>
      <x:c r="L5926" s="1" t="str">
        <x:f>TEXT(A5926,"mmm yyyy")</x:f>
        <x:v>Sep 2026</x:v>
      </x:c>
    </x:row>
    <x:row r="5927" ht="21" customHeight="1">
      <x:c r="A5927" s="10" t="n">
        <x:v>46271</x:v>
      </x:c>
      <x:c r="B5927" s="1" t="n">
        <x:v>23.5</x:v>
      </x:c>
      <x:c r="C5927" s="1" t="n">
        <x:v>6</x:v>
      </x:c>
      <x:c r="D5927" s="12" t="n">
        <x:v>0</x:v>
      </x:c>
      <x:c r="E5927" s="12" t="n">
        <x:v>0.3204166666666666</x:v>
      </x:c>
      <x:c r="F5927" s="12" t="n">
        <x:v>0.31866666666666665</x:v>
      </x:c>
      <x:c r="G5927" s="12" t="n">
        <x:v>0</x:v>
      </x:c>
      <x:c r="H5927" s="1" t="n">
        <x:f>'Historical prices'!E5927</x:f>
        <x:v>1.05</x:v>
      </x:c>
      <x:c r="I5927" s="6" t="n">
        <x:f>'Historical prices'!D5927</x:f>
        <x:v>0.26780000000000004</x:v>
      </x:c>
      <x:c r="J5927" s="13" t="n">
        <x:f>D5927*I5927*H5927</x:f>
        <x:v>0</x:v>
      </x:c>
      <x:c r="K5927" s="13" t="n">
        <x:f>E5927*I5927*H5927</x:f>
        <x:v>0.09009796250000002</x:v>
      </x:c>
      <x:c r="L5927" s="1" t="str">
        <x:f>TEXT(A5927,"mmm yyyy")</x:f>
        <x:v>Sep 2026</x:v>
      </x:c>
    </x:row>
    <x:row r="5928" ht="21" customHeight="1">
      <x:c r="A5928" s="10" t="n">
        <x:v>46272</x:v>
      </x:c>
      <x:c r="B5928" s="1" t="n">
        <x:v>0</x:v>
      </x:c>
      <x:c r="C5928" s="1" t="n">
        <x:v>6</x:v>
      </x:c>
      <x:c r="D5928" s="12" t="n">
        <x:v>0</x:v>
      </x:c>
      <x:c r="E5928" s="12" t="n">
        <x:v>0.22591666666666665</x:v>
      </x:c>
      <x:c r="F5928" s="12" t="n">
        <x:v>0.2255</x:v>
      </x:c>
      <x:c r="G5928" s="12" t="n">
        <x:v>0</x:v>
      </x:c>
      <x:c r="H5928" s="1" t="n">
        <x:f>'Historical prices'!E5928</x:f>
        <x:v>1.05</x:v>
      </x:c>
      <x:c r="I5928" s="6" t="n">
        <x:f>'Historical prices'!D5928</x:f>
        <x:v>0.26530000000000004</x:v>
      </x:c>
      <x:c r="J5928" s="13" t="n">
        <x:f>D5928*I5928*H5928</x:f>
        <x:v>0</x:v>
      </x:c>
      <x:c r="K5928" s="13" t="n">
        <x:f>E5928*I5928*H5928</x:f>
        <x:v>0.06293247625000001</x:v>
      </x:c>
      <x:c r="L5928" s="1" t="str">
        <x:f>TEXT(A5928,"mmm yyyy")</x:f>
        <x:v>Sep 2026</x:v>
      </x:c>
    </x:row>
    <x:row r="5929" ht="21" customHeight="1">
      <x:c r="A5929" s="10" t="n">
        <x:v>46272</x:v>
      </x:c>
      <x:c r="B5929" s="1" t="n">
        <x:v>0.5</x:v>
      </x:c>
      <x:c r="C5929" s="1" t="n">
        <x:v>6</x:v>
      </x:c>
      <x:c r="D5929" s="12" t="n">
        <x:v>0</x:v>
      </x:c>
      <x:c r="E5929" s="12" t="n">
        <x:v>0.21266666666666667</x:v>
      </x:c>
      <x:c r="F5929" s="12" t="n">
        <x:v>0.21233333333333335</x:v>
      </x:c>
      <x:c r="G5929" s="12" t="n">
        <x:v>0</x:v>
      </x:c>
      <x:c r="H5929" s="1" t="n">
        <x:f>'Historical prices'!E5929</x:f>
        <x:v>1.05</x:v>
      </x:c>
      <x:c r="I5929" s="6" t="n">
        <x:f>'Historical prices'!D5929</x:f>
        <x:v>0.2698</x:v>
      </x:c>
      <x:c r="J5929" s="13" t="n">
        <x:f>D5929*I5929*H5929</x:f>
        <x:v>0</x:v>
      </x:c>
      <x:c r="K5929" s="13" t="n">
        <x:f>E5929*I5929*H5929</x:f>
        <x:v>0.060246339999999995</x:v>
      </x:c>
      <x:c r="L5929" s="1" t="str">
        <x:f>TEXT(A5929,"mmm yyyy")</x:f>
        <x:v>Sep 2026</x:v>
      </x:c>
    </x:row>
    <x:row r="5930" ht="21" customHeight="1">
      <x:c r="A5930" s="10" t="n">
        <x:v>46272</x:v>
      </x:c>
      <x:c r="B5930" s="1" t="n">
        <x:v>1</x:v>
      </x:c>
      <x:c r="C5930" s="1" t="n">
        <x:v>6</x:v>
      </x:c>
      <x:c r="D5930" s="12" t="n">
        <x:v>0</x:v>
      </x:c>
      <x:c r="E5930" s="12" t="n">
        <x:v>0.255</x:v>
      </x:c>
      <x:c r="F5930" s="12" t="n">
        <x:v>0.2544166666666667</x:v>
      </x:c>
      <x:c r="G5930" s="12" t="n">
        <x:v>0</x:v>
      </x:c>
      <x:c r="H5930" s="1" t="n">
        <x:f>'Historical prices'!E5930</x:f>
        <x:v>1.05</x:v>
      </x:c>
      <x:c r="I5930" s="6" t="n">
        <x:f>'Historical prices'!D5930</x:f>
        <x:v>0.2618</x:v>
      </x:c>
      <x:c r="J5930" s="13" t="n">
        <x:f>D5930*I5930*H5930</x:f>
        <x:v>0</x:v>
      </x:c>
      <x:c r="K5930" s="13" t="n">
        <x:f>E5930*I5930*H5930</x:f>
        <x:v>0.07009695</x:v>
      </x:c>
      <x:c r="L5930" s="1" t="str">
        <x:f>TEXT(A5930,"mmm yyyy")</x:f>
        <x:v>Sep 2026</x:v>
      </x:c>
    </x:row>
    <x:row r="5931" ht="21" customHeight="1">
      <x:c r="A5931" s="10" t="n">
        <x:v>46272</x:v>
      </x:c>
      <x:c r="B5931" s="1" t="n">
        <x:v>1.5</x:v>
      </x:c>
      <x:c r="C5931" s="1" t="n">
        <x:v>6</x:v>
      </x:c>
      <x:c r="D5931" s="12" t="n">
        <x:v>0</x:v>
      </x:c>
      <x:c r="E5931" s="12" t="n">
        <x:v>0.3521666666666667</x:v>
      </x:c>
      <x:c r="F5931" s="12" t="n">
        <x:v>0.35125</x:v>
      </x:c>
      <x:c r="G5931" s="12" t="n">
        <x:v>0</x:v>
      </x:c>
      <x:c r="H5931" s="1" t="n">
        <x:f>'Historical prices'!E5931</x:f>
        <x:v>1.05</x:v>
      </x:c>
      <x:c r="I5931" s="6" t="n">
        <x:f>'Historical prices'!D5931</x:f>
        <x:v>0.2673</x:v>
      </x:c>
      <x:c r="J5931" s="13" t="n">
        <x:f>D5931*I5931*H5931</x:f>
        <x:v>0</x:v>
      </x:c>
      <x:c r="K5931" s="13" t="n">
        <x:f>E5931*I5931*H5931</x:f>
        <x:v>0.0988408575</x:v>
      </x:c>
      <x:c r="L5931" s="1" t="str">
        <x:f>TEXT(A5931,"mmm yyyy")</x:f>
        <x:v>Sep 2026</x:v>
      </x:c>
    </x:row>
    <x:row r="5932" ht="21" customHeight="1">
      <x:c r="A5932" s="10" t="n">
        <x:v>46272</x:v>
      </x:c>
      <x:c r="B5932" s="1" t="n">
        <x:v>2</x:v>
      </x:c>
      <x:c r="C5932" s="1" t="n">
        <x:v>6</x:v>
      </x:c>
      <x:c r="D5932" s="12" t="n">
        <x:v>0</x:v>
      </x:c>
      <x:c r="E5932" s="12" t="n">
        <x:v>0.24375</x:v>
      </x:c>
      <x:c r="F5932" s="12" t="n">
        <x:v>0.24333333333333335</x:v>
      </x:c>
      <x:c r="G5932" s="12" t="n">
        <x:v>0</x:v>
      </x:c>
      <x:c r="H5932" s="1" t="n">
        <x:f>'Historical prices'!E5932</x:f>
        <x:v>1.05</x:v>
      </x:c>
      <x:c r="I5932" s="6" t="n">
        <x:f>'Historical prices'!D5932</x:f>
        <x:v>0.26530000000000004</x:v>
      </x:c>
      <x:c r="J5932" s="13" t="n">
        <x:f>D5932*I5932*H5932</x:f>
        <x:v>0</x:v>
      </x:c>
      <x:c r="K5932" s="13" t="n">
        <x:f>E5932*I5932*H5932</x:f>
        <x:v>0.06790021875000002</x:v>
      </x:c>
      <x:c r="L5932" s="1" t="str">
        <x:f>TEXT(A5932,"mmm yyyy")</x:f>
        <x:v>Sep 2026</x:v>
      </x:c>
    </x:row>
    <x:row r="5933" ht="21" customHeight="1">
      <x:c r="A5933" s="10" t="n">
        <x:v>46272</x:v>
      </x:c>
      <x:c r="B5933" s="1" t="n">
        <x:v>2.5</x:v>
      </x:c>
      <x:c r="C5933" s="1" t="n">
        <x:v>6</x:v>
      </x:c>
      <x:c r="D5933" s="12" t="n">
        <x:v>0</x:v>
      </x:c>
      <x:c r="E5933" s="12" t="n">
        <x:v>0.24683333333333332</x:v>
      </x:c>
      <x:c r="F5933" s="12" t="n">
        <x:v>0.24641666666666667</x:v>
      </x:c>
      <x:c r="G5933" s="12" t="n">
        <x:v>0</x:v>
      </x:c>
      <x:c r="H5933" s="1" t="n">
        <x:f>'Historical prices'!E5933</x:f>
        <x:v>1.05</x:v>
      </x:c>
      <x:c r="I5933" s="6" t="n">
        <x:f>'Historical prices'!D5933</x:f>
        <x:v>0.261</x:v>
      </x:c>
      <x:c r="J5933" s="13" t="n">
        <x:f>D5933*I5933*H5933</x:f>
        <x:v>0</x:v>
      </x:c>
      <x:c r="K5933" s="13" t="n">
        <x:f>E5933*I5933*H5933</x:f>
        <x:v>0.067644675</x:v>
      </x:c>
      <x:c r="L5933" s="1" t="str">
        <x:f>TEXT(A5933,"mmm yyyy")</x:f>
        <x:v>Sep 2026</x:v>
      </x:c>
    </x:row>
    <x:row r="5934" ht="21" customHeight="1">
      <x:c r="A5934" s="10" t="n">
        <x:v>46272</x:v>
      </x:c>
      <x:c r="B5934" s="1" t="n">
        <x:v>3</x:v>
      </x:c>
      <x:c r="C5934" s="1" t="n">
        <x:v>6</x:v>
      </x:c>
      <x:c r="D5934" s="12" t="n">
        <x:v>0</x:v>
      </x:c>
      <x:c r="E5934" s="12" t="n">
        <x:v>0.22424999999999998</x:v>
      </x:c>
      <x:c r="F5934" s="12" t="n">
        <x:v>0.22391666666666668</x:v>
      </x:c>
      <x:c r="G5934" s="12" t="n">
        <x:v>0</x:v>
      </x:c>
      <x:c r="H5934" s="1" t="n">
        <x:f>'Historical prices'!E5934</x:f>
        <x:v>1.05</x:v>
      </x:c>
      <x:c r="I5934" s="6" t="n">
        <x:f>'Historical prices'!D5934</x:f>
        <x:v>0.261</x:v>
      </x:c>
      <x:c r="J5934" s="13" t="n">
        <x:f>D5934*I5934*H5934</x:f>
        <x:v>0</x:v>
      </x:c>
      <x:c r="K5934" s="13" t="n">
        <x:f>E5934*I5934*H5934</x:f>
        <x:v>0.0614557125</x:v>
      </x:c>
      <x:c r="L5934" s="1" t="str">
        <x:f>TEXT(A5934,"mmm yyyy")</x:f>
        <x:v>Sep 2026</x:v>
      </x:c>
    </x:row>
    <x:row r="5935" ht="21" customHeight="1">
      <x:c r="A5935" s="10" t="n">
        <x:v>46272</x:v>
      </x:c>
      <x:c r="B5935" s="1" t="n">
        <x:v>3.5</x:v>
      </x:c>
      <x:c r="C5935" s="1" t="n">
        <x:v>6</x:v>
      </x:c>
      <x:c r="D5935" s="12" t="n">
        <x:v>0</x:v>
      </x:c>
      <x:c r="E5935" s="12" t="n">
        <x:v>0.2940833333333333</x:v>
      </x:c>
      <x:c r="F5935" s="12" t="n">
        <x:v>0.29366666666666663</x:v>
      </x:c>
      <x:c r="G5935" s="12" t="n">
        <x:v>0</x:v>
      </x:c>
      <x:c r="H5935" s="1" t="n">
        <x:f>'Historical prices'!E5935</x:f>
        <x:v>1.05</x:v>
      </x:c>
      <x:c r="I5935" s="6" t="n">
        <x:f>'Historical prices'!D5935</x:f>
        <x:v>0.264</x:v>
      </x:c>
      <x:c r="J5935" s="13" t="n">
        <x:f>D5935*I5935*H5935</x:f>
        <x:v>0</x:v>
      </x:c>
      <x:c r="K5935" s="13" t="n">
        <x:f>E5935*I5935*H5935</x:f>
        <x:v>0.0815199</x:v>
      </x:c>
      <x:c r="L5935" s="1" t="str">
        <x:f>TEXT(A5935,"mmm yyyy")</x:f>
        <x:v>Sep 2026</x:v>
      </x:c>
    </x:row>
    <x:row r="5936" ht="21" customHeight="1">
      <x:c r="A5936" s="10" t="n">
        <x:v>46272</x:v>
      </x:c>
      <x:c r="B5936" s="1" t="n">
        <x:v>4</x:v>
      </x:c>
      <x:c r="C5936" s="1" t="n">
        <x:v>6</x:v>
      </x:c>
      <x:c r="D5936" s="12" t="n">
        <x:v>0</x:v>
      </x:c>
      <x:c r="E5936" s="12" t="n">
        <x:v>0.31075</x:v>
      </x:c>
      <x:c r="F5936" s="12" t="n">
        <x:v>0.3105</x:v>
      </x:c>
      <x:c r="G5936" s="12" t="n">
        <x:v>0</x:v>
      </x:c>
      <x:c r="H5936" s="1" t="n">
        <x:f>'Historical prices'!E5936</x:f>
        <x:v>1.05</x:v>
      </x:c>
      <x:c r="I5936" s="6" t="n">
        <x:f>'Historical prices'!D5936</x:f>
        <x:v>0.2857</x:v>
      </x:c>
      <x:c r="J5936" s="13" t="n">
        <x:f>D5936*I5936*H5936</x:f>
        <x:v>0</x:v>
      </x:c>
      <x:c r="K5936" s="13" t="n">
        <x:f>E5936*I5936*H5936</x:f>
        <x:v>0.09322033875</x:v>
      </x:c>
      <x:c r="L5936" s="1" t="str">
        <x:f>TEXT(A5936,"mmm yyyy")</x:f>
        <x:v>Sep 2026</x:v>
      </x:c>
    </x:row>
    <x:row r="5937" ht="21" customHeight="1">
      <x:c r="A5937" s="10" t="n">
        <x:v>46272</x:v>
      </x:c>
      <x:c r="B5937" s="1" t="n">
        <x:v>4.5</x:v>
      </x:c>
      <x:c r="C5937" s="1" t="n">
        <x:v>6</x:v>
      </x:c>
      <x:c r="D5937" s="12" t="n">
        <x:v>0</x:v>
      </x:c>
      <x:c r="E5937" s="12" t="n">
        <x:v>0.23199999999999996</x:v>
      </x:c>
      <x:c r="F5937" s="12" t="n">
        <x:v>0.23058333333333333</x:v>
      </x:c>
      <x:c r="G5937" s="12" t="n">
        <x:v>0</x:v>
      </x:c>
      <x:c r="H5937" s="1" t="n">
        <x:f>'Historical prices'!E5937</x:f>
        <x:v>1.05</x:v>
      </x:c>
      <x:c r="I5937" s="6" t="n">
        <x:f>'Historical prices'!D5937</x:f>
        <x:v>0.2816</x:v>
      </x:c>
      <x:c r="J5937" s="13" t="n">
        <x:f>D5937*I5937*H5937</x:f>
        <x:v>0</x:v>
      </x:c>
      <x:c r="K5937" s="13" t="n">
        <x:f>E5937*I5937*H5937</x:f>
        <x:v>0.06859776</x:v>
      </x:c>
      <x:c r="L5937" s="1" t="str">
        <x:f>TEXT(A5937,"mmm yyyy")</x:f>
        <x:v>Sep 2026</x:v>
      </x:c>
    </x:row>
    <x:row r="5938" ht="21" customHeight="1">
      <x:c r="A5938" s="10" t="n">
        <x:v>46272</x:v>
      </x:c>
      <x:c r="B5938" s="1" t="n">
        <x:v>5</x:v>
      </x:c>
      <x:c r="C5938" s="1" t="n">
        <x:v>6</x:v>
      </x:c>
      <x:c r="D5938" s="12" t="n">
        <x:v>0</x:v>
      </x:c>
      <x:c r="E5938" s="12" t="n">
        <x:v>0.25508333333333333</x:v>
      </x:c>
      <x:c r="F5938" s="12" t="n">
        <x:v>0.2544166666666666</x:v>
      </x:c>
      <x:c r="G5938" s="12" t="n">
        <x:v>0</x:v>
      </x:c>
      <x:c r="H5938" s="1" t="n">
        <x:f>'Historical prices'!E5938</x:f>
        <x:v>1.05</x:v>
      </x:c>
      <x:c r="I5938" s="6" t="n">
        <x:f>'Historical prices'!D5938</x:f>
        <x:v>0.3196</x:v>
      </x:c>
      <x:c r="J5938" s="13" t="n">
        <x:f>D5938*I5938*H5938</x:f>
        <x:v>0</x:v>
      </x:c>
      <x:c r="K5938" s="13" t="n">
        <x:f>E5938*I5938*H5938</x:f>
        <x:v>0.085600865</x:v>
      </x:c>
      <x:c r="L5938" s="1" t="str">
        <x:f>TEXT(A5938,"mmm yyyy")</x:f>
        <x:v>Sep 2026</x:v>
      </x:c>
    </x:row>
    <x:row r="5939" ht="21" customHeight="1">
      <x:c r="A5939" s="10" t="n">
        <x:v>46272</x:v>
      </x:c>
      <x:c r="B5939" s="1" t="n">
        <x:v>5.5</x:v>
      </x:c>
      <x:c r="C5939" s="1" t="n">
        <x:v>6</x:v>
      </x:c>
      <x:c r="D5939" s="12" t="n">
        <x:v>0</x:v>
      </x:c>
      <x:c r="E5939" s="12" t="n">
        <x:v>0.3688333333333333</x:v>
      </x:c>
      <x:c r="F5939" s="12" t="n">
        <x:v>0.3684166666666666</x:v>
      </x:c>
      <x:c r="G5939" s="12" t="n">
        <x:v>0</x:v>
      </x:c>
      <x:c r="H5939" s="1" t="n">
        <x:f>'Historical prices'!E5939</x:f>
        <x:v>1.05</x:v>
      </x:c>
      <x:c r="I5939" s="6" t="n">
        <x:f>'Historical prices'!D5939</x:f>
        <x:v>0.3265</x:v>
      </x:c>
      <x:c r="J5939" s="13" t="n">
        <x:f>D5939*I5939*H5939</x:f>
        <x:v>0</x:v>
      </x:c>
      <x:c r="K5939" s="13" t="n">
        <x:f>E5939*I5939*H5939</x:f>
        <x:v>0.1264452875</x:v>
      </x:c>
      <x:c r="L5939" s="1" t="str">
        <x:f>TEXT(A5939,"mmm yyyy")</x:f>
        <x:v>Sep 2026</x:v>
      </x:c>
    </x:row>
    <x:row r="5940" ht="21" customHeight="1">
      <x:c r="A5940" s="10" t="n">
        <x:v>46272</x:v>
      </x:c>
      <x:c r="B5940" s="1" t="n">
        <x:v>6</x:v>
      </x:c>
      <x:c r="C5940" s="1" t="n">
        <x:v>6</x:v>
      </x:c>
      <x:c r="D5940" s="12" t="n">
        <x:v>0</x:v>
      </x:c>
      <x:c r="E5940" s="12" t="n">
        <x:v>0.2578333333333333</x:v>
      </x:c>
      <x:c r="F5940" s="12" t="n">
        <x:v>0.2575</x:v>
      </x:c>
      <x:c r="G5940" s="12" t="n">
        <x:v>0</x:v>
      </x:c>
      <x:c r="H5940" s="1" t="n">
        <x:f>'Historical prices'!E5940</x:f>
        <x:v>1.05</x:v>
      </x:c>
      <x:c r="I5940" s="6" t="n">
        <x:f>'Historical prices'!D5940</x:f>
        <x:v>0.3446</x:v>
      </x:c>
      <x:c r="J5940" s="13" t="n">
        <x:f>D5940*I5940*H5940</x:f>
        <x:v>0</x:v>
      </x:c>
      <x:c r="K5940" s="13" t="n">
        <x:f>E5940*I5940*H5940</x:f>
        <x:v>0.093291835</x:v>
      </x:c>
      <x:c r="L5940" s="1" t="str">
        <x:f>TEXT(A5940,"mmm yyyy")</x:f>
        <x:v>Sep 2026</x:v>
      </x:c>
    </x:row>
    <x:row r="5941" ht="21" customHeight="1">
      <x:c r="A5941" s="10" t="n">
        <x:v>46272</x:v>
      </x:c>
      <x:c r="B5941" s="1" t="n">
        <x:v>6.5</x:v>
      </x:c>
      <x:c r="C5941" s="1" t="n">
        <x:v>6</x:v>
      </x:c>
      <x:c r="D5941" s="12" t="n">
        <x:v>0</x:v>
      </x:c>
      <x:c r="E5941" s="12" t="n">
        <x:v>0.509</x:v>
      </x:c>
      <x:c r="F5941" s="12" t="n">
        <x:v>0.5084166666666667</x:v>
      </x:c>
      <x:c r="G5941" s="12" t="n">
        <x:v>0</x:v>
      </x:c>
      <x:c r="H5941" s="1" t="n">
        <x:f>'Historical prices'!E5941</x:f>
        <x:v>1.05</x:v>
      </x:c>
      <x:c r="I5941" s="6" t="n">
        <x:f>'Historical prices'!D5941</x:f>
        <x:v>0.3635</x:v>
      </x:c>
      <x:c r="J5941" s="13" t="n">
        <x:f>D5941*I5941*H5941</x:f>
        <x:v>0</x:v>
      </x:c>
      <x:c r="K5941" s="13" t="n">
        <x:f>E5941*I5941*H5941</x:f>
        <x:v>0.194272575</x:v>
      </x:c>
      <x:c r="L5941" s="1" t="str">
        <x:f>TEXT(A5941,"mmm yyyy")</x:f>
        <x:v>Sep 2026</x:v>
      </x:c>
    </x:row>
    <x:row r="5942" ht="21" customHeight="1">
      <x:c r="A5942" s="10" t="n">
        <x:v>46272</x:v>
      </x:c>
      <x:c r="B5942" s="1" t="n">
        <x:v>7</x:v>
      </x:c>
      <x:c r="C5942" s="1" t="n">
        <x:v>6</x:v>
      </x:c>
      <x:c r="D5942" s="12" t="n">
        <x:v>0</x:v>
      </x:c>
      <x:c r="E5942" s="12" t="n">
        <x:v>0.69975</x:v>
      </x:c>
      <x:c r="F5942" s="12" t="n">
        <x:v>0.6989166666666666</x:v>
      </x:c>
      <x:c r="G5942" s="12" t="n">
        <x:v>0</x:v>
      </x:c>
      <x:c r="H5942" s="1" t="n">
        <x:f>'Historical prices'!E5942</x:f>
        <x:v>1.05</x:v>
      </x:c>
      <x:c r="I5942" s="6" t="n">
        <x:f>'Historical prices'!D5942</x:f>
        <x:v>0.3322</x:v>
      </x:c>
      <x:c r="J5942" s="13" t="n">
        <x:f>D5942*I5942*H5942</x:f>
        <x:v>0</x:v>
      </x:c>
      <x:c r="K5942" s="13" t="n">
        <x:f>E5942*I5942*H5942</x:f>
        <x:v>0.2440797975</x:v>
      </x:c>
      <x:c r="L5942" s="1" t="str">
        <x:f>TEXT(A5942,"mmm yyyy")</x:f>
        <x:v>Sep 2026</x:v>
      </x:c>
    </x:row>
    <x:row r="5943" ht="21" customHeight="1">
      <x:c r="A5943" s="10" t="n">
        <x:v>46272</x:v>
      </x:c>
      <x:c r="B5943" s="1" t="n">
        <x:v>7.5</x:v>
      </x:c>
      <x:c r="C5943" s="1" t="n">
        <x:v>6</x:v>
      </x:c>
      <x:c r="D5943" s="12" t="n">
        <x:v>0</x:v>
      </x:c>
      <x:c r="E5943" s="12" t="n">
        <x:v>0.7070833333333333</x:v>
      </x:c>
      <x:c r="F5943" s="12" t="n">
        <x:v>0.70675</x:v>
      </x:c>
      <x:c r="G5943" s="12" t="n">
        <x:v>0</x:v>
      </x:c>
      <x:c r="H5943" s="1" t="n">
        <x:f>'Historical prices'!E5943</x:f>
        <x:v>1.05</x:v>
      </x:c>
      <x:c r="I5943" s="6" t="n">
        <x:f>'Historical prices'!D5943</x:f>
        <x:v>0.3448</x:v>
      </x:c>
      <x:c r="J5943" s="13" t="n">
        <x:f>D5943*I5943*H5943</x:f>
        <x:v>0</x:v>
      </x:c>
      <x:c r="K5943" s="13" t="n">
        <x:f>E5943*I5943*H5943</x:f>
        <x:v>0.25599245</x:v>
      </x:c>
      <x:c r="L5943" s="1" t="str">
        <x:f>TEXT(A5943,"mmm yyyy")</x:f>
        <x:v>Sep 2026</x:v>
      </x:c>
    </x:row>
    <x:row r="5944" ht="21" customHeight="1">
      <x:c r="A5944" s="10" t="n">
        <x:v>46272</x:v>
      </x:c>
      <x:c r="B5944" s="1" t="n">
        <x:v>8</x:v>
      </x:c>
      <x:c r="C5944" s="1" t="n">
        <x:v>6</x:v>
      </x:c>
      <x:c r="D5944" s="12" t="n">
        <x:v>0</x:v>
      </x:c>
      <x:c r="E5944" s="12" t="n">
        <x:v>0.7015833333333333</x:v>
      </x:c>
      <x:c r="F5944" s="12" t="n">
        <x:v>0.7013333333333334</x:v>
      </x:c>
      <x:c r="G5944" s="12" t="n">
        <x:v>0</x:v>
      </x:c>
      <x:c r="H5944" s="1" t="n">
        <x:f>'Historical prices'!E5944</x:f>
        <x:v>1.05</x:v>
      </x:c>
      <x:c r="I5944" s="6" t="n">
        <x:f>'Historical prices'!D5944</x:f>
        <x:v>0.3456</x:v>
      </x:c>
      <x:c r="J5944" s="13" t="n">
        <x:f>D5944*I5944*H5944</x:f>
        <x:v>0</x:v>
      </x:c>
      <x:c r="K5944" s="13" t="n">
        <x:f>E5944*I5944*H5944</x:f>
        <x:v>0.25459056</x:v>
      </x:c>
      <x:c r="L5944" s="1" t="str">
        <x:f>TEXT(A5944,"mmm yyyy")</x:f>
        <x:v>Sep 2026</x:v>
      </x:c>
    </x:row>
    <x:row r="5945" ht="21" customHeight="1">
      <x:c r="A5945" s="10" t="n">
        <x:v>46272</x:v>
      </x:c>
      <x:c r="B5945" s="1" t="n">
        <x:v>8.5</x:v>
      </x:c>
      <x:c r="C5945" s="1" t="n">
        <x:v>6</x:v>
      </x:c>
      <x:c r="D5945" s="12" t="n">
        <x:v>0</x:v>
      </x:c>
      <x:c r="E5945" s="12" t="n">
        <x:v>0.6633333333333333</x:v>
      </x:c>
      <x:c r="F5945" s="12" t="n">
        <x:v>0.6628333333333334</x:v>
      </x:c>
      <x:c r="G5945" s="12" t="n">
        <x:v>0</x:v>
      </x:c>
      <x:c r="H5945" s="1" t="n">
        <x:f>'Historical prices'!E5945</x:f>
        <x:v>1.05</x:v>
      </x:c>
      <x:c r="I5945" s="6" t="n">
        <x:f>'Historical prices'!D5945</x:f>
        <x:v>0.32530000000000003</x:v>
      </x:c>
      <x:c r="J5945" s="13" t="n">
        <x:f>D5945*I5945*H5945</x:f>
        <x:v>0</x:v>
      </x:c>
      <x:c r="K5945" s="13" t="n">
        <x:f>E5945*I5945*H5945</x:f>
        <x:v>0.22657145000000004</x:v>
      </x:c>
      <x:c r="L5945" s="1" t="str">
        <x:f>TEXT(A5945,"mmm yyyy")</x:f>
        <x:v>Sep 2026</x:v>
      </x:c>
    </x:row>
    <x:row r="5946" ht="21" customHeight="1">
      <x:c r="A5946" s="10" t="n">
        <x:v>46272</x:v>
      </x:c>
      <x:c r="B5946" s="1" t="n">
        <x:v>9</x:v>
      </x:c>
      <x:c r="C5946" s="1" t="n">
        <x:v>6</x:v>
      </x:c>
      <x:c r="D5946" s="12" t="n">
        <x:v>0</x:v>
      </x:c>
      <x:c r="E5946" s="12" t="n">
        <x:v>0.6331666666666667</x:v>
      </x:c>
      <x:c r="F5946" s="12" t="n">
        <x:v>0.6325833333333333</x:v>
      </x:c>
      <x:c r="G5946" s="12" t="n">
        <x:v>0</x:v>
      </x:c>
      <x:c r="H5946" s="1" t="n">
        <x:f>'Historical prices'!E5946</x:f>
        <x:v>1.05</x:v>
      </x:c>
      <x:c r="I5946" s="6" t="n">
        <x:f>'Historical prices'!D5946</x:f>
        <x:v>0.2983</x:v>
      </x:c>
      <x:c r="J5946" s="13" t="n">
        <x:f>D5946*I5946*H5946</x:f>
        <x:v>0</x:v>
      </x:c>
      <x:c r="K5946" s="13" t="n">
        <x:f>E5946*I5946*H5946</x:f>
        <x:v>0.1983172975</x:v>
      </x:c>
      <x:c r="L5946" s="1" t="str">
        <x:f>TEXT(A5946,"mmm yyyy")</x:f>
        <x:v>Sep 2026</x:v>
      </x:c>
    </x:row>
    <x:row r="5947" ht="21" customHeight="1">
      <x:c r="A5947" s="10" t="n">
        <x:v>46272</x:v>
      </x:c>
      <x:c r="B5947" s="1" t="n">
        <x:v>9.5</x:v>
      </x:c>
      <x:c r="C5947" s="1" t="n">
        <x:v>6</x:v>
      </x:c>
      <x:c r="D5947" s="12" t="n">
        <x:v>0.0485</x:v>
      </x:c>
      <x:c r="E5947" s="12" t="n">
        <x:v>0.7850833333333334</x:v>
      </x:c>
      <x:c r="F5947" s="12" t="n">
        <x:v>0.7297499999999999</x:v>
      </x:c>
      <x:c r="G5947" s="12" t="n">
        <x:v>0</x:v>
      </x:c>
      <x:c r="H5947" s="1" t="n">
        <x:f>'Historical prices'!E5947</x:f>
        <x:v>1.05</x:v>
      </x:c>
      <x:c r="I5947" s="6" t="n">
        <x:f>'Historical prices'!D5947</x:f>
        <x:v>0.2793</x:v>
      </x:c>
      <x:c r="J5947" s="13" t="n">
        <x:f>D5947*I5947*H5947</x:f>
        <x:v>0.014223352500000001</x:v>
      </x:c>
      <x:c r="K5947" s="13" t="n">
        <x:f>E5947*I5947*H5947</x:f>
        <x:v>0.23023746375</x:v>
      </x:c>
      <x:c r="L5947" s="1" t="str">
        <x:f>TEXT(A5947,"mmm yyyy")</x:f>
        <x:v>Sep 2026</x:v>
      </x:c>
    </x:row>
    <x:row r="5948" ht="21" customHeight="1">
      <x:c r="A5948" s="10" t="n">
        <x:v>46272</x:v>
      </x:c>
      <x:c r="B5948" s="1" t="n">
        <x:v>10</x:v>
      </x:c>
      <x:c r="C5948" s="1" t="n">
        <x:v>6</x:v>
      </x:c>
      <x:c r="D5948" s="12" t="n">
        <x:v>0.05316666666666666</x:v>
      </x:c>
      <x:c r="E5948" s="12" t="n">
        <x:v>0.9306666666666668</x:v>
      </x:c>
      <x:c r="F5948" s="12" t="n">
        <x:v>0.8739999999999999</x:v>
      </x:c>
      <x:c r="G5948" s="12" t="n">
        <x:v>0</x:v>
      </x:c>
      <x:c r="H5948" s="1" t="n">
        <x:f>'Historical prices'!E5948</x:f>
        <x:v>1.05</x:v>
      </x:c>
      <x:c r="I5948" s="6" t="n">
        <x:f>'Historical prices'!D5948</x:f>
        <x:v>0.24170000000000003</x:v>
      </x:c>
      <x:c r="J5948" s="13" t="n">
        <x:f>D5948*I5948*H5948</x:f>
        <x:v>0.0134929025</x:v>
      </x:c>
      <x:c r="K5948" s="13" t="n">
        <x:f>E5948*I5948*H5948</x:f>
        <x:v>0.23618924000000005</x:v>
      </x:c>
      <x:c r="L5948" s="1" t="str">
        <x:f>TEXT(A5948,"mmm yyyy")</x:f>
        <x:v>Sep 2026</x:v>
      </x:c>
    </x:row>
    <x:row r="5949" ht="21" customHeight="1">
      <x:c r="A5949" s="10" t="n">
        <x:v>46272</x:v>
      </x:c>
      <x:c r="B5949" s="1" t="n">
        <x:v>10.5</x:v>
      </x:c>
      <x:c r="C5949" s="1" t="n">
        <x:v>6</x:v>
      </x:c>
      <x:c r="D5949" s="12" t="n">
        <x:v>0</x:v>
      </x:c>
      <x:c r="E5949" s="12" t="n">
        <x:v>1.1712500000000001</x:v>
      </x:c>
      <x:c r="F5949" s="12" t="n">
        <x:v>1.1704166666666667</x:v>
      </x:c>
      <x:c r="G5949" s="12" t="n">
        <x:v>0</x:v>
      </x:c>
      <x:c r="H5949" s="1" t="n">
        <x:f>'Historical prices'!E5949</x:f>
        <x:v>1.05</x:v>
      </x:c>
      <x:c r="I5949" s="6" t="n">
        <x:f>'Historical prices'!D5949</x:f>
        <x:v>0.21739999999999998</x:v>
      </x:c>
      <x:c r="J5949" s="13" t="n">
        <x:f>D5949*I5949*H5949</x:f>
        <x:v>0</x:v>
      </x:c>
      <x:c r="K5949" s="13" t="n">
        <x:f>E5949*I5949*H5949</x:f>
        <x:v>0.2673612375</x:v>
      </x:c>
      <x:c r="L5949" s="1" t="str">
        <x:f>TEXT(A5949,"mmm yyyy")</x:f>
        <x:v>Sep 2026</x:v>
      </x:c>
    </x:row>
    <x:row r="5950" ht="21" customHeight="1">
      <x:c r="A5950" s="10" t="n">
        <x:v>46272</x:v>
      </x:c>
      <x:c r="B5950" s="1" t="n">
        <x:v>11</x:v>
      </x:c>
      <x:c r="C5950" s="1" t="n">
        <x:v>6</x:v>
      </x:c>
      <x:c r="D5950" s="12" t="n">
        <x:v>0.5605</x:v>
      </x:c>
      <x:c r="E5950" s="12" t="n">
        <x:v>0.78325</x:v>
      </x:c>
      <x:c r="F5950" s="12" t="n">
        <x:v>0.21375</x:v>
      </x:c>
      <x:c r="G5950" s="12" t="n">
        <x:v>0</x:v>
      </x:c>
      <x:c r="H5950" s="1" t="n">
        <x:f>'Historical prices'!E5950</x:f>
        <x:v>1.05</x:v>
      </x:c>
      <x:c r="I5950" s="6" t="n">
        <x:f>'Historical prices'!D5950</x:f>
        <x:v>0.1999</x:v>
      </x:c>
      <x:c r="J5950" s="13" t="n">
        <x:f>D5950*I5950*H5950</x:f>
        <x:v>0.1176461475</x:v>
      </x:c>
      <x:c r="K5950" s="13" t="n">
        <x:f>E5950*I5950*H5950</x:f>
        <x:v>0.16440025875</x:v>
      </x:c>
      <x:c r="L5950" s="1" t="str">
        <x:f>TEXT(A5950,"mmm yyyy")</x:f>
        <x:v>Sep 2026</x:v>
      </x:c>
    </x:row>
    <x:row r="5951" ht="21" customHeight="1">
      <x:c r="A5951" s="10" t="n">
        <x:v>46272</x:v>
      </x:c>
      <x:c r="B5951" s="1" t="n">
        <x:v>11.5</x:v>
      </x:c>
      <x:c r="C5951" s="1" t="n">
        <x:v>6</x:v>
      </x:c>
      <x:c r="D5951" s="12" t="n">
        <x:v>1.1755</x:v>
      </x:c>
      <x:c r="E5951" s="12" t="n">
        <x:v>1.1874999999999998</x:v>
      </x:c>
      <x:c r="F5951" s="12" t="n">
        <x:v>0</x:v>
      </x:c>
      <x:c r="G5951" s="12" t="n">
        <x:v>0</x:v>
      </x:c>
      <x:c r="H5951" s="1" t="n">
        <x:f>'Historical prices'!E5951</x:f>
        <x:v>1.05</x:v>
      </x:c>
      <x:c r="I5951" s="6" t="n">
        <x:f>'Historical prices'!D5951</x:f>
        <x:v>0.1787</x:v>
      </x:c>
      <x:c r="J5951" s="13" t="n">
        <x:f>D5951*I5951*H5951</x:f>
        <x:v>0.2205649425</x:v>
      </x:c>
      <x:c r="K5951" s="13" t="n">
        <x:f>E5951*I5951*H5951</x:f>
        <x:v>0.22281656249999995</x:v>
      </x:c>
      <x:c r="L5951" s="1" t="str">
        <x:f>TEXT(A5951,"mmm yyyy")</x:f>
        <x:v>Sep 2026</x:v>
      </x:c>
    </x:row>
    <x:row r="5952" ht="21" customHeight="1">
      <x:c r="A5952" s="10" t="n">
        <x:v>46272</x:v>
      </x:c>
      <x:c r="B5952" s="1" t="n">
        <x:v>12</x:v>
      </x:c>
      <x:c r="C5952" s="1" t="n">
        <x:v>6</x:v>
      </x:c>
      <x:c r="D5952" s="12" t="n">
        <x:v>1.1275</x:v>
      </x:c>
      <x:c r="E5952" s="12" t="n">
        <x:v>1.1375</x:v>
      </x:c>
      <x:c r="F5952" s="12" t="n">
        <x:v>0</x:v>
      </x:c>
      <x:c r="G5952" s="12" t="n">
        <x:v>0</x:v>
      </x:c>
      <x:c r="H5952" s="1" t="n">
        <x:f>'Historical prices'!E5952</x:f>
        <x:v>1.05</x:v>
      </x:c>
      <x:c r="I5952" s="6" t="n">
        <x:f>'Historical prices'!D5952</x:f>
        <x:v>0.17350000000000002</x:v>
      </x:c>
      <x:c r="J5952" s="13" t="n">
        <x:f>D5952*I5952*H5952</x:f>
        <x:v>0.20540231250000002</x:v>
      </x:c>
      <x:c r="K5952" s="13" t="n">
        <x:f>E5952*I5952*H5952</x:f>
        <x:v>0.20722406250000003</x:v>
      </x:c>
      <x:c r="L5952" s="1" t="str">
        <x:f>TEXT(A5952,"mmm yyyy")</x:f>
        <x:v>Sep 2026</x:v>
      </x:c>
    </x:row>
    <x:row r="5953" ht="21" customHeight="1">
      <x:c r="A5953" s="10" t="n">
        <x:v>46272</x:v>
      </x:c>
      <x:c r="B5953" s="1" t="n">
        <x:v>12.5</x:v>
      </x:c>
      <x:c r="C5953" s="1" t="n">
        <x:v>6</x:v>
      </x:c>
      <x:c r="D5953" s="12" t="n">
        <x:v>0.72475</x:v>
      </x:c>
      <x:c r="E5953" s="12" t="n">
        <x:v>0.42375000000000007</x:v>
      </x:c>
      <x:c r="F5953" s="12" t="n">
        <x:v>0</x:v>
      </x:c>
      <x:c r="G5953" s="12" t="n">
        <x:v>0.312</x:v>
      </x:c>
      <x:c r="H5953" s="1" t="n">
        <x:f>'Historical prices'!E5953</x:f>
        <x:v>1.05</x:v>
      </x:c>
      <x:c r="I5953" s="6" t="n">
        <x:f>'Historical prices'!D5953</x:f>
        <x:v>0.16870000000000002</x:v>
      </x:c>
      <x:c r="J5953" s="13" t="n">
        <x:f>D5953*I5953*H5953</x:f>
        <x:v>0.12837859125</x:v>
      </x:c>
      <x:c r="K5953" s="13" t="n">
        <x:f>E5953*I5953*H5953</x:f>
        <x:v>0.07506095625000003</x:v>
      </x:c>
      <x:c r="L5953" s="1" t="str">
        <x:f>TEXT(A5953,"mmm yyyy")</x:f>
        <x:v>Sep 2026</x:v>
      </x:c>
    </x:row>
    <x:row r="5954" ht="21" customHeight="1">
      <x:c r="A5954" s="10" t="n">
        <x:v>46272</x:v>
      </x:c>
      <x:c r="B5954" s="1" t="n">
        <x:v>13</x:v>
      </x:c>
      <x:c r="C5954" s="1" t="n">
        <x:v>6</x:v>
      </x:c>
      <x:c r="D5954" s="12" t="n">
        <x:v>0.8115</x:v>
      </x:c>
      <x:c r="E5954" s="12" t="n">
        <x:v>0.7765</x:v>
      </x:c>
      <x:c r="F5954" s="12" t="n">
        <x:v>0</x:v>
      </x:c>
      <x:c r="G5954" s="12" t="n">
        <x:v>0.046</x:v>
      </x:c>
      <x:c r="H5954" s="1" t="n">
        <x:f>'Historical prices'!E5954</x:f>
        <x:v>1.05</x:v>
      </x:c>
      <x:c r="I5954" s="6" t="n">
        <x:f>'Historical prices'!D5954</x:f>
        <x:v>0.16879999999999998</x:v>
      </x:c>
      <x:c r="J5954" s="13" t="n">
        <x:f>D5954*I5954*H5954</x:f>
        <x:v>0.14383026</x:v>
      </x:c>
      <x:c r="K5954" s="13" t="n">
        <x:f>E5954*I5954*H5954</x:f>
        <x:v>0.13762686</x:v>
      </x:c>
      <x:c r="L5954" s="1" t="str">
        <x:f>TEXT(A5954,"mmm yyyy")</x:f>
        <x:v>Sep 2026</x:v>
      </x:c>
    </x:row>
    <x:row r="5955" ht="21" customHeight="1">
      <x:c r="A5955" s="10" t="n">
        <x:v>46272</x:v>
      </x:c>
      <x:c r="B5955" s="1" t="n">
        <x:v>13.5</x:v>
      </x:c>
      <x:c r="C5955" s="1" t="n">
        <x:v>6</x:v>
      </x:c>
      <x:c r="D5955" s="12" t="n">
        <x:v>5.29975</x:v>
      </x:c>
      <x:c r="E5955" s="12" t="n">
        <x:v>1.5547499999999999</x:v>
      </x:c>
      <x:c r="F5955" s="12" t="n">
        <x:v>0</x:v>
      </x:c>
      <x:c r="G5955" s="12" t="n">
        <x:v>3.745</x:v>
      </x:c>
      <x:c r="H5955" s="1" t="n">
        <x:f>'Historical prices'!E5955</x:f>
        <x:v>1.05</x:v>
      </x:c>
      <x:c r="I5955" s="6" t="n">
        <x:f>'Historical prices'!D5955</x:f>
        <x:v>0.16079999999999997</x:v>
      </x:c>
      <x:c r="J5955" s="13" t="n">
        <x:f>D5955*I5955*H5955</x:f>
        <x:v>0.8948097899999999</x:v>
      </x:c>
      <x:c r="K5955" s="13" t="n">
        <x:f>E5955*I5955*H5955</x:f>
        <x:v>0.26250398999999996</x:v>
      </x:c>
      <x:c r="L5955" s="1" t="str">
        <x:f>TEXT(A5955,"mmm yyyy")</x:f>
        <x:v>Sep 2026</x:v>
      </x:c>
    </x:row>
    <x:row r="5956" ht="21" customHeight="1">
      <x:c r="A5956" s="10" t="n">
        <x:v>46272</x:v>
      </x:c>
      <x:c r="B5956" s="1" t="n">
        <x:v>14</x:v>
      </x:c>
      <x:c r="C5956" s="1" t="n">
        <x:v>6</x:v>
      </x:c>
      <x:c r="D5956" s="12" t="n">
        <x:v>5.26075</x:v>
      </x:c>
      <x:c r="E5956" s="12" t="n">
        <x:v>0.88075</x:v>
      </x:c>
      <x:c r="F5956" s="12" t="n">
        <x:v>0</x:v>
      </x:c>
      <x:c r="G5956" s="12" t="n">
        <x:v>4.38</x:v>
      </x:c>
      <x:c r="H5956" s="1" t="n">
        <x:f>'Historical prices'!E5956</x:f>
        <x:v>1.05</x:v>
      </x:c>
      <x:c r="I5956" s="6" t="n">
        <x:f>'Historical prices'!D5956</x:f>
        <x:v>0.1604</x:v>
      </x:c>
      <x:c r="J5956" s="13" t="n">
        <x:f>D5956*I5956*H5956</x:f>
        <x:v>0.8860155149999999</x:v>
      </x:c>
      <x:c r="K5956" s="13" t="n">
        <x:f>E5956*I5956*H5956</x:f>
        <x:v>0.14833591499999998</x:v>
      </x:c>
      <x:c r="L5956" s="1" t="str">
        <x:f>TEXT(A5956,"mmm yyyy")</x:f>
        <x:v>Sep 2026</x:v>
      </x:c>
    </x:row>
    <x:row r="5957" ht="21" customHeight="1">
      <x:c r="A5957" s="10" t="n">
        <x:v>46272</x:v>
      </x:c>
      <x:c r="B5957" s="1" t="n">
        <x:v>14.5</x:v>
      </x:c>
      <x:c r="C5957" s="1" t="n">
        <x:v>6</x:v>
      </x:c>
      <x:c r="D5957" s="12" t="n">
        <x:v>5.404</x:v>
      </x:c>
      <x:c r="E5957" s="12" t="n">
        <x:v>1.067</x:v>
      </x:c>
      <x:c r="F5957" s="12" t="n">
        <x:v>0</x:v>
      </x:c>
      <x:c r="G5957" s="12" t="n">
        <x:v>4.337000000000001</x:v>
      </x:c>
      <x:c r="H5957" s="1" t="n">
        <x:f>'Historical prices'!E5957</x:f>
        <x:v>1.05</x:v>
      </x:c>
      <x:c r="I5957" s="6" t="n">
        <x:f>'Historical prices'!D5957</x:f>
        <x:v>0.1407</x:v>
      </x:c>
      <x:c r="J5957" s="13" t="n">
        <x:f>D5957*I5957*H5957</x:f>
        <x:v>0.79835994</x:v>
      </x:c>
      <x:c r="K5957" s="13" t="n">
        <x:f>E5957*I5957*H5957</x:f>
        <x:v>0.15763324499999998</x:v>
      </x:c>
      <x:c r="L5957" s="1" t="str">
        <x:f>TEXT(A5957,"mmm yyyy")</x:f>
        <x:v>Sep 2026</x:v>
      </x:c>
    </x:row>
    <x:row r="5958" ht="21" customHeight="1">
      <x:c r="A5958" s="10" t="n">
        <x:v>46272</x:v>
      </x:c>
      <x:c r="B5958" s="1" t="n">
        <x:v>15</x:v>
      </x:c>
      <x:c r="C5958" s="1" t="n">
        <x:v>6</x:v>
      </x:c>
      <x:c r="D5958" s="12" t="n">
        <x:v>3.67675</x:v>
      </x:c>
      <x:c r="E5958" s="12" t="n">
        <x:v>0.67975</x:v>
      </x:c>
      <x:c r="F5958" s="12" t="n">
        <x:v>0</x:v>
      </x:c>
      <x:c r="G5958" s="12" t="n">
        <x:v>2.997</x:v>
      </x:c>
      <x:c r="H5958" s="1" t="n">
        <x:f>'Historical prices'!E5958</x:f>
        <x:v>1.05</x:v>
      </x:c>
      <x:c r="I5958" s="6" t="n">
        <x:f>'Historical prices'!D5958</x:f>
        <x:v>0.1766</x:v>
      </x:c>
      <x:c r="J5958" s="13" t="n">
        <x:f>D5958*I5958*H5958</x:f>
        <x:v>0.6817797525000001</x:v>
      </x:c>
      <x:c r="K5958" s="13" t="n">
        <x:f>E5958*I5958*H5958</x:f>
        <x:v>0.1260460425</x:v>
      </x:c>
      <x:c r="L5958" s="1" t="str">
        <x:f>TEXT(A5958,"mmm yyyy")</x:f>
        <x:v>Sep 2026</x:v>
      </x:c>
    </x:row>
    <x:row r="5959" ht="21" customHeight="1">
      <x:c r="A5959" s="10" t="n">
        <x:v>46272</x:v>
      </x:c>
      <x:c r="B5959" s="1" t="n">
        <x:v>15.5</x:v>
      </x:c>
      <x:c r="C5959" s="1" t="n">
        <x:v>6</x:v>
      </x:c>
      <x:c r="D5959" s="12" t="n">
        <x:v>0.43200000000000005</x:v>
      </x:c>
      <x:c r="E5959" s="12" t="n">
        <x:v>0.394</x:v>
      </x:c>
      <x:c r="F5959" s="12" t="n">
        <x:v>0</x:v>
      </x:c>
      <x:c r="G5959" s="12" t="n">
        <x:v>0.035</x:v>
      </x:c>
      <x:c r="H5959" s="1" t="n">
        <x:f>'Historical prices'!E5959</x:f>
        <x:v>1.05</x:v>
      </x:c>
      <x:c r="I5959" s="6" t="n">
        <x:f>'Historical prices'!D5959</x:f>
        <x:v>0.1885</x:v>
      </x:c>
      <x:c r="J5959" s="13" t="n">
        <x:f>D5959*I5959*H5959</x:f>
        <x:v>0.08550360000000001</x:v>
      </x:c>
      <x:c r="K5959" s="13" t="n">
        <x:f>E5959*I5959*H5959</x:f>
        <x:v>0.07798245000000001</x:v>
      </x:c>
      <x:c r="L5959" s="1" t="str">
        <x:f>TEXT(A5959,"mmm yyyy")</x:f>
        <x:v>Sep 2026</x:v>
      </x:c>
    </x:row>
    <x:row r="5960" ht="21" customHeight="1">
      <x:c r="A5960" s="10" t="n">
        <x:v>46272</x:v>
      </x:c>
      <x:c r="B5960" s="1" t="n">
        <x:v>16</x:v>
      </x:c>
      <x:c r="C5960" s="1" t="n">
        <x:v>6</x:v>
      </x:c>
      <x:c r="D5960" s="12" t="n">
        <x:v>0.0595</x:v>
      </x:c>
      <x:c r="E5960" s="12" t="n">
        <x:v>0.5144166666666666</x:v>
      </x:c>
      <x:c r="F5960" s="12" t="n">
        <x:v>0.45266666666666666</x:v>
      </x:c>
      <x:c r="G5960" s="12" t="n">
        <x:v>0</x:v>
      </x:c>
      <x:c r="H5960" s="1" t="n">
        <x:f>'Historical prices'!E5960</x:f>
        <x:v>1.05</x:v>
      </x:c>
      <x:c r="I5960" s="6" t="n">
        <x:f>'Historical prices'!D5960</x:f>
        <x:v>0.3728</x:v>
      </x:c>
      <x:c r="J5960" s="13" t="n">
        <x:f>D5960*I5960*H5960</x:f>
        <x:v>0.02329068</x:v>
      </x:c>
      <x:c r="K5960" s="13" t="n">
        <x:f>E5960*I5960*H5960</x:f>
        <x:v>0.20136326000000002</x:v>
      </x:c>
      <x:c r="L5960" s="1" t="str">
        <x:f>TEXT(A5960,"mmm yyyy")</x:f>
        <x:v>Sep 2026</x:v>
      </x:c>
    </x:row>
    <x:row r="5961" ht="21" customHeight="1">
      <x:c r="A5961" s="10" t="n">
        <x:v>46272</x:v>
      </x:c>
      <x:c r="B5961" s="1" t="n">
        <x:v>16.5</x:v>
      </x:c>
      <x:c r="C5961" s="1" t="n">
        <x:v>6</x:v>
      </x:c>
      <x:c r="D5961" s="12" t="n">
        <x:v>0</x:v>
      </x:c>
      <x:c r="E5961" s="12" t="n">
        <x:v>0.5406666666666666</x:v>
      </x:c>
      <x:c r="F5961" s="12" t="n">
        <x:v>0.5402499999999999</x:v>
      </x:c>
      <x:c r="G5961" s="12" t="n">
        <x:v>0</x:v>
      </x:c>
      <x:c r="H5961" s="1" t="n">
        <x:f>'Historical prices'!E5961</x:f>
        <x:v>1.05</x:v>
      </x:c>
      <x:c r="I5961" s="6" t="n">
        <x:f>'Historical prices'!D5961</x:f>
        <x:v>0.39270000000000005</x:v>
      </x:c>
      <x:c r="J5961" s="13" t="n">
        <x:f>D5961*I5961*H5961</x:f>
        <x:v>0</x:v>
      </x:c>
      <x:c r="K5961" s="13" t="n">
        <x:f>E5961*I5961*H5961</x:f>
        <x:v>0.22293579000000002</x:v>
      </x:c>
      <x:c r="L5961" s="1" t="str">
        <x:f>TEXT(A5961,"mmm yyyy")</x:f>
        <x:v>Sep 2026</x:v>
      </x:c>
    </x:row>
    <x:row r="5962" ht="21" customHeight="1">
      <x:c r="A5962" s="10" t="n">
        <x:v>46272</x:v>
      </x:c>
      <x:c r="B5962" s="1" t="n">
        <x:v>17</x:v>
      </x:c>
      <x:c r="C5962" s="1" t="n">
        <x:v>6</x:v>
      </x:c>
      <x:c r="D5962" s="12" t="n">
        <x:v>0</x:v>
      </x:c>
      <x:c r="E5962" s="12" t="n">
        <x:v>0.5194166666666667</x:v>
      </x:c>
      <x:c r="F5962" s="12" t="n">
        <x:v>0.5183333333333333</x:v>
      </x:c>
      <x:c r="G5962" s="12" t="n">
        <x:v>0</x:v>
      </x:c>
      <x:c r="H5962" s="1" t="n">
        <x:f>'Historical prices'!E5962</x:f>
        <x:v>1.05</x:v>
      </x:c>
      <x:c r="I5962" s="6" t="n">
        <x:f>'Historical prices'!D5962</x:f>
        <x:v>0.4207</x:v>
      </x:c>
      <x:c r="J5962" s="13" t="n">
        <x:f>D5962*I5962*H5962</x:f>
        <x:v>0</x:v>
      </x:c>
      <x:c r="K5962" s="13" t="n">
        <x:f>E5962*I5962*H5962</x:f>
        <x:v>0.22944452125000006</x:v>
      </x:c>
      <x:c r="L5962" s="1" t="str">
        <x:f>TEXT(A5962,"mmm yyyy")</x:f>
        <x:v>Sep 2026</x:v>
      </x:c>
    </x:row>
    <x:row r="5963" ht="21" customHeight="1">
      <x:c r="A5963" s="10" t="n">
        <x:v>46272</x:v>
      </x:c>
      <x:c r="B5963" s="1" t="n">
        <x:v>17.5</x:v>
      </x:c>
      <x:c r="C5963" s="1" t="n">
        <x:v>6</x:v>
      </x:c>
      <x:c r="D5963" s="12" t="n">
        <x:v>0</x:v>
      </x:c>
      <x:c r="E5963" s="12" t="n">
        <x:v>0.6718333333333333</x:v>
      </x:c>
      <x:c r="F5963" s="12" t="n">
        <x:v>0.6715</x:v>
      </x:c>
      <x:c r="G5963" s="12" t="n">
        <x:v>0</x:v>
      </x:c>
      <x:c r="H5963" s="1" t="n">
        <x:f>'Historical prices'!E5963</x:f>
        <x:v>1.05</x:v>
      </x:c>
      <x:c r="I5963" s="6" t="n">
        <x:f>'Historical prices'!D5963</x:f>
        <x:v>0.4524</x:v>
      </x:c>
      <x:c r="J5963" s="13" t="n">
        <x:f>D5963*I5963*H5963</x:f>
        <x:v>0</x:v>
      </x:c>
      <x:c r="K5963" s="13" t="n">
        <x:f>E5963*I5963*H5963</x:f>
        <x:v>0.31913427</x:v>
      </x:c>
      <x:c r="L5963" s="1" t="str">
        <x:f>TEXT(A5963,"mmm yyyy")</x:f>
        <x:v>Sep 2026</x:v>
      </x:c>
    </x:row>
    <x:row r="5964" ht="21" customHeight="1">
      <x:c r="A5964" s="10" t="n">
        <x:v>46272</x:v>
      </x:c>
      <x:c r="B5964" s="1" t="n">
        <x:v>18</x:v>
      </x:c>
      <x:c r="C5964" s="1" t="n">
        <x:v>6</x:v>
      </x:c>
      <x:c r="D5964" s="12" t="n">
        <x:v>0</x:v>
      </x:c>
      <x:c r="E5964" s="12" t="n">
        <x:v>0.5809166666666666</x:v>
      </x:c>
      <x:c r="F5964" s="12" t="n">
        <x:v>0.5800833333333333</x:v>
      </x:c>
      <x:c r="G5964" s="12" t="n">
        <x:v>0</x:v>
      </x:c>
      <x:c r="H5964" s="1" t="n">
        <x:f>'Historical prices'!E5964</x:f>
        <x:v>1.05</x:v>
      </x:c>
      <x:c r="I5964" s="6" t="n">
        <x:f>'Historical prices'!D5964</x:f>
        <x:v>0.47659999999999997</x:v>
      </x:c>
      <x:c r="J5964" s="13" t="n">
        <x:f>D5964*I5964*H5964</x:f>
        <x:v>0</x:v>
      </x:c>
      <x:c r="K5964" s="13" t="n">
        <x:f>E5964*I5964*H5964</x:f>
        <x:v>0.29070812749999997</x:v>
      </x:c>
      <x:c r="L5964" s="1" t="str">
        <x:f>TEXT(A5964,"mmm yyyy")</x:f>
        <x:v>Sep 2026</x:v>
      </x:c>
    </x:row>
    <x:row r="5965" ht="21" customHeight="1">
      <x:c r="A5965" s="10" t="n">
        <x:v>46272</x:v>
      </x:c>
      <x:c r="B5965" s="1" t="n">
        <x:v>18.5</x:v>
      </x:c>
      <x:c r="C5965" s="1" t="n">
        <x:v>6</x:v>
      </x:c>
      <x:c r="D5965" s="12" t="n">
        <x:v>0</x:v>
      </x:c>
      <x:c r="E5965" s="12" t="n">
        <x:v>0.6490833333333333</x:v>
      </x:c>
      <x:c r="F5965" s="12" t="n">
        <x:v>0.6484166666666666</x:v>
      </x:c>
      <x:c r="G5965" s="12" t="n">
        <x:v>0</x:v>
      </x:c>
      <x:c r="H5965" s="1" t="n">
        <x:f>'Historical prices'!E5965</x:f>
        <x:v>1.05</x:v>
      </x:c>
      <x:c r="I5965" s="6" t="n">
        <x:f>'Historical prices'!D5965</x:f>
        <x:v>0.48200000000000004</x:v>
      </x:c>
      <x:c r="J5965" s="13" t="n">
        <x:f>D5965*I5965*H5965</x:f>
        <x:v>0</x:v>
      </x:c>
      <x:c r="K5965" s="13" t="n">
        <x:f>E5965*I5965*H5965</x:f>
        <x:v>0.3285010750000001</x:v>
      </x:c>
      <x:c r="L5965" s="1" t="str">
        <x:f>TEXT(A5965,"mmm yyyy")</x:f>
        <x:v>Sep 2026</x:v>
      </x:c>
    </x:row>
    <x:row r="5966" ht="21" customHeight="1">
      <x:c r="A5966" s="10" t="n">
        <x:v>46272</x:v>
      </x:c>
      <x:c r="B5966" s="1" t="n">
        <x:v>19</x:v>
      </x:c>
      <x:c r="C5966" s="1" t="n">
        <x:v>6</x:v>
      </x:c>
      <x:c r="D5966" s="12" t="n">
        <x:v>0</x:v>
      </x:c>
      <x:c r="E5966" s="12" t="n">
        <x:v>0.9111666666666666</x:v>
      </x:c>
      <x:c r="F5966" s="12" t="n">
        <x:v>0.9085</x:v>
      </x:c>
      <x:c r="G5966" s="12" t="n">
        <x:v>0</x:v>
      </x:c>
      <x:c r="H5966" s="1" t="n">
        <x:f>'Historical prices'!E5966</x:f>
        <x:v>1.05</x:v>
      </x:c>
      <x:c r="I5966" s="6" t="n">
        <x:f>'Historical prices'!D5966</x:f>
        <x:v>0.3642</x:v>
      </x:c>
      <x:c r="J5966" s="13" t="n">
        <x:f>D5966*I5966*H5966</x:f>
        <x:v>0</x:v>
      </x:c>
      <x:c r="K5966" s="13" t="n">
        <x:f>E5966*I5966*H5966</x:f>
        <x:v>0.348439245</x:v>
      </x:c>
      <x:c r="L5966" s="1" t="str">
        <x:f>TEXT(A5966,"mmm yyyy")</x:f>
        <x:v>Sep 2026</x:v>
      </x:c>
    </x:row>
    <x:row r="5967" ht="21" customHeight="1">
      <x:c r="A5967" s="10" t="n">
        <x:v>46272</x:v>
      </x:c>
      <x:c r="B5967" s="1" t="n">
        <x:v>19.5</x:v>
      </x:c>
      <x:c r="C5967" s="1" t="n">
        <x:v>6</x:v>
      </x:c>
      <x:c r="D5967" s="12" t="n">
        <x:v>0</x:v>
      </x:c>
      <x:c r="E5967" s="12" t="n">
        <x:v>0.7644166666666667</x:v>
      </x:c>
      <x:c r="F5967" s="12" t="n">
        <x:v>0.7635</x:v>
      </x:c>
      <x:c r="G5967" s="12" t="n">
        <x:v>0</x:v>
      </x:c>
      <x:c r="H5967" s="1" t="n">
        <x:f>'Historical prices'!E5967</x:f>
        <x:v>1.05</x:v>
      </x:c>
      <x:c r="I5967" s="6" t="n">
        <x:f>'Historical prices'!D5967</x:f>
        <x:v>0.361</x:v>
      </x:c>
      <x:c r="J5967" s="13" t="n">
        <x:f>D5967*I5967*H5967</x:f>
        <x:v>0</x:v>
      </x:c>
      <x:c r="K5967" s="13" t="n">
        <x:f>E5967*I5967*H5967</x:f>
        <x:v>0.28975213750000006</x:v>
      </x:c>
      <x:c r="L5967" s="1" t="str">
        <x:f>TEXT(A5967,"mmm yyyy")</x:f>
        <x:v>Sep 2026</x:v>
      </x:c>
    </x:row>
    <x:row r="5968" ht="21" customHeight="1">
      <x:c r="A5968" s="10" t="n">
        <x:v>46272</x:v>
      </x:c>
      <x:c r="B5968" s="1" t="n">
        <x:v>20</x:v>
      </x:c>
      <x:c r="C5968" s="1" t="n">
        <x:v>6</x:v>
      </x:c>
      <x:c r="D5968" s="12" t="n">
        <x:v>0</x:v>
      </x:c>
      <x:c r="E5968" s="12" t="n">
        <x:v>0.8406666666666666</x:v>
      </x:c>
      <x:c r="F5968" s="12" t="n">
        <x:v>0.8401666666666666</x:v>
      </x:c>
      <x:c r="G5968" s="12" t="n">
        <x:v>0</x:v>
      </x:c>
      <x:c r="H5968" s="1" t="n">
        <x:f>'Historical prices'!E5968</x:f>
        <x:v>1.05</x:v>
      </x:c>
      <x:c r="I5968" s="6" t="n">
        <x:f>'Historical prices'!D5968</x:f>
        <x:v>0.3488</x:v>
      </x:c>
      <x:c r="J5968" s="13" t="n">
        <x:f>D5968*I5968*H5968</x:f>
        <x:v>0</x:v>
      </x:c>
      <x:c r="K5968" s="13" t="n">
        <x:f>E5968*I5968*H5968</x:f>
        <x:v>0.30788576</x:v>
      </x:c>
      <x:c r="L5968" s="1" t="str">
        <x:f>TEXT(A5968,"mmm yyyy")</x:f>
        <x:v>Sep 2026</x:v>
      </x:c>
    </x:row>
    <x:row r="5969" ht="21" customHeight="1">
      <x:c r="A5969" s="10" t="n">
        <x:v>46272</x:v>
      </x:c>
      <x:c r="B5969" s="1" t="n">
        <x:v>20.5</x:v>
      </x:c>
      <x:c r="C5969" s="1" t="n">
        <x:v>6</x:v>
      </x:c>
      <x:c r="D5969" s="12" t="n">
        <x:v>0</x:v>
      </x:c>
      <x:c r="E5969" s="12" t="n">
        <x:v>0.6768333333333333</x:v>
      </x:c>
      <x:c r="F5969" s="12" t="n">
        <x:v>0.6763333333333333</x:v>
      </x:c>
      <x:c r="G5969" s="12" t="n">
        <x:v>0</x:v>
      </x:c>
      <x:c r="H5969" s="1" t="n">
        <x:f>'Historical prices'!E5969</x:f>
        <x:v>1.05</x:v>
      </x:c>
      <x:c r="I5969" s="6" t="n">
        <x:f>'Historical prices'!D5969</x:f>
        <x:v>0.3273</x:v>
      </x:c>
      <x:c r="J5969" s="13" t="n">
        <x:f>D5969*I5969*H5969</x:f>
        <x:v>0</x:v>
      </x:c>
      <x:c r="K5969" s="13" t="n">
        <x:f>E5969*I5969*H5969</x:f>
        <x:v>0.23260392749999997</x:v>
      </x:c>
      <x:c r="L5969" s="1" t="str">
        <x:f>TEXT(A5969,"mmm yyyy")</x:f>
        <x:v>Sep 2026</x:v>
      </x:c>
    </x:row>
    <x:row r="5970" ht="21" customHeight="1">
      <x:c r="A5970" s="10" t="n">
        <x:v>46272</x:v>
      </x:c>
      <x:c r="B5970" s="1" t="n">
        <x:v>21</x:v>
      </x:c>
      <x:c r="C5970" s="1" t="n">
        <x:v>6</x:v>
      </x:c>
      <x:c r="D5970" s="12" t="n">
        <x:v>0</x:v>
      </x:c>
      <x:c r="E5970" s="12" t="n">
        <x:v>0.8878333333333334</x:v>
      </x:c>
      <x:c r="F5970" s="12" t="n">
        <x:v>0.8871666666666667</x:v>
      </x:c>
      <x:c r="G5970" s="12" t="n">
        <x:v>0</x:v>
      </x:c>
      <x:c r="H5970" s="1" t="n">
        <x:f>'Historical prices'!E5970</x:f>
        <x:v>1.05</x:v>
      </x:c>
      <x:c r="I5970" s="6" t="n">
        <x:f>'Historical prices'!D5970</x:f>
        <x:v>0.3215</x:v>
      </x:c>
      <x:c r="J5970" s="13" t="n">
        <x:f>D5970*I5970*H5970</x:f>
        <x:v>0</x:v>
      </x:c>
      <x:c r="K5970" s="13" t="n">
        <x:f>E5970*I5970*H5970</x:f>
        <x:v>0.29971033750000003</x:v>
      </x:c>
      <x:c r="L5970" s="1" t="str">
        <x:f>TEXT(A5970,"mmm yyyy")</x:f>
        <x:v>Sep 2026</x:v>
      </x:c>
    </x:row>
    <x:row r="5971" ht="21" customHeight="1">
      <x:c r="A5971" s="10" t="n">
        <x:v>46272</x:v>
      </x:c>
      <x:c r="B5971" s="1" t="n">
        <x:v>21.5</x:v>
      </x:c>
      <x:c r="C5971" s="1" t="n">
        <x:v>6</x:v>
      </x:c>
      <x:c r="D5971" s="12" t="n">
        <x:v>0</x:v>
      </x:c>
      <x:c r="E5971" s="12" t="n">
        <x:v>0.8042499999999999</x:v>
      </x:c>
      <x:c r="F5971" s="12" t="n">
        <x:v>0.8039166666666666</x:v>
      </x:c>
      <x:c r="G5971" s="12" t="n">
        <x:v>0</x:v>
      </x:c>
      <x:c r="H5971" s="1" t="n">
        <x:f>'Historical prices'!E5971</x:f>
        <x:v>1.05</x:v>
      </x:c>
      <x:c r="I5971" s="6" t="n">
        <x:f>'Historical prices'!D5971</x:f>
        <x:v>0.2921</x:v>
      </x:c>
      <x:c r="J5971" s="13" t="n">
        <x:f>D5971*I5971*H5971</x:f>
        <x:v>0</x:v>
      </x:c>
      <x:c r="K5971" s="13" t="n">
        <x:f>E5971*I5971*H5971</x:f>
        <x:v>0.24666749625</x:v>
      </x:c>
      <x:c r="L5971" s="1" t="str">
        <x:f>TEXT(A5971,"mmm yyyy")</x:f>
        <x:v>Sep 2026</x:v>
      </x:c>
    </x:row>
    <x:row r="5972" ht="21" customHeight="1">
      <x:c r="A5972" s="10" t="n">
        <x:v>46272</x:v>
      </x:c>
      <x:c r="B5972" s="1" t="n">
        <x:v>22</x:v>
      </x:c>
      <x:c r="C5972" s="1" t="n">
        <x:v>6</x:v>
      </x:c>
      <x:c r="D5972" s="12" t="n">
        <x:v>0</x:v>
      </x:c>
      <x:c r="E5972" s="12" t="n">
        <x:v>0.7378333333333335</x:v>
      </x:c>
      <x:c r="F5972" s="12" t="n">
        <x:v>0.7376666666666668</x:v>
      </x:c>
      <x:c r="G5972" s="12" t="n">
        <x:v>0</x:v>
      </x:c>
      <x:c r="H5972" s="1" t="n">
        <x:f>'Historical prices'!E5972</x:f>
        <x:v>1.05</x:v>
      </x:c>
      <x:c r="I5972" s="6" t="n">
        <x:f>'Historical prices'!D5972</x:f>
        <x:v>0.2732</x:v>
      </x:c>
      <x:c r="J5972" s="13" t="n">
        <x:f>D5972*I5972*H5972</x:f>
        <x:v>0</x:v>
      </x:c>
      <x:c r="K5972" s="13" t="n">
        <x:f>E5972*I5972*H5972</x:f>
        <x:v>0.21165487000000002</x:v>
      </x:c>
      <x:c r="L5972" s="1" t="str">
        <x:f>TEXT(A5972,"mmm yyyy")</x:f>
        <x:v>Sep 2026</x:v>
      </x:c>
    </x:row>
    <x:row r="5973" ht="21" customHeight="1">
      <x:c r="A5973" s="10" t="n">
        <x:v>46272</x:v>
      </x:c>
      <x:c r="B5973" s="1" t="n">
        <x:v>22.5</x:v>
      </x:c>
      <x:c r="C5973" s="1" t="n">
        <x:v>6</x:v>
      </x:c>
      <x:c r="D5973" s="12" t="n">
        <x:v>0</x:v>
      </x:c>
      <x:c r="E5973" s="12" t="n">
        <x:v>0.2678333333333333</x:v>
      </x:c>
      <x:c r="F5973" s="12" t="n">
        <x:v>0.26758333333333334</x:v>
      </x:c>
      <x:c r="G5973" s="12" t="n">
        <x:v>0</x:v>
      </x:c>
      <x:c r="H5973" s="1" t="n">
        <x:f>'Historical prices'!E5973</x:f>
        <x:v>1.05</x:v>
      </x:c>
      <x:c r="I5973" s="6" t="n">
        <x:f>'Historical prices'!D5973</x:f>
        <x:v>0.2568</x:v>
      </x:c>
      <x:c r="J5973" s="13" t="n">
        <x:f>D5973*I5973*H5973</x:f>
        <x:v>0</x:v>
      </x:c>
      <x:c r="K5973" s="13" t="n">
        <x:f>E5973*I5973*H5973</x:f>
        <x:v>0.07221857999999999</x:v>
      </x:c>
      <x:c r="L5973" s="1" t="str">
        <x:f>TEXT(A5973,"mmm yyyy")</x:f>
        <x:v>Sep 2026</x:v>
      </x:c>
    </x:row>
    <x:row r="5974" ht="21" customHeight="1">
      <x:c r="A5974" s="10" t="n">
        <x:v>46272</x:v>
      </x:c>
      <x:c r="B5974" s="1" t="n">
        <x:v>23</x:v>
      </x:c>
      <x:c r="C5974" s="1" t="n">
        <x:v>6</x:v>
      </x:c>
      <x:c r="D5974" s="12" t="n">
        <x:v>0</x:v>
      </x:c>
      <x:c r="E5974" s="12" t="n">
        <x:v>0.29708333333333337</x:v>
      </x:c>
      <x:c r="F5974" s="12" t="n">
        <x:v>0.29649999999999993</x:v>
      </x:c>
      <x:c r="G5974" s="12" t="n">
        <x:v>0</x:v>
      </x:c>
      <x:c r="H5974" s="1" t="n">
        <x:f>'Historical prices'!E5974</x:f>
        <x:v>1.05</x:v>
      </x:c>
      <x:c r="I5974" s="6" t="n">
        <x:f>'Historical prices'!D5974</x:f>
        <x:v>0.2963</x:v>
      </x:c>
      <x:c r="J5974" s="13" t="n">
        <x:f>D5974*I5974*H5974</x:f>
        <x:v>0</x:v>
      </x:c>
      <x:c r="K5974" s="13" t="n">
        <x:f>E5974*I5974*H5974</x:f>
        <x:v>0.09242708125000001</x:v>
      </x:c>
      <x:c r="L5974" s="1" t="str">
        <x:f>TEXT(A5974,"mmm yyyy")</x:f>
        <x:v>Sep 2026</x:v>
      </x:c>
    </x:row>
    <x:row r="5975" ht="21" customHeight="1">
      <x:c r="A5975" s="10" t="n">
        <x:v>46272</x:v>
      </x:c>
      <x:c r="B5975" s="1" t="n">
        <x:v>23.5</x:v>
      </x:c>
      <x:c r="C5975" s="1" t="n">
        <x:v>6</x:v>
      </x:c>
      <x:c r="D5975" s="12" t="n">
        <x:v>0</x:v>
      </x:c>
      <x:c r="E5975" s="12" t="n">
        <x:v>0.2481666666666667</x:v>
      </x:c>
      <x:c r="F5975" s="12" t="n">
        <x:v>0.24750000000000003</x:v>
      </x:c>
      <x:c r="G5975" s="12" t="n">
        <x:v>0</x:v>
      </x:c>
      <x:c r="H5975" s="1" t="n">
        <x:f>'Historical prices'!E5975</x:f>
        <x:v>1.05</x:v>
      </x:c>
      <x:c r="I5975" s="6" t="n">
        <x:f>'Historical prices'!D5975</x:f>
        <x:v>0.2622</x:v>
      </x:c>
      <x:c r="J5975" s="13" t="n">
        <x:f>D5975*I5975*H5975</x:f>
        <x:v>0</x:v>
      </x:c>
      <x:c r="K5975" s="13" t="n">
        <x:f>E5975*I5975*H5975</x:f>
        <x:v>0.06832276500000001</x:v>
      </x:c>
      <x:c r="L5975" s="1" t="str">
        <x:f>TEXT(A5975,"mmm yyyy")</x:f>
        <x:v>Sep 2026</x:v>
      </x:c>
    </x:row>
    <x:row r="5976" ht="21" customHeight="1">
      <x:c r="A5976" s="10" t="n">
        <x:v>46273</x:v>
      </x:c>
      <x:c r="B5976" s="1" t="n">
        <x:v>0</x:v>
      </x:c>
      <x:c r="C5976" s="1" t="n">
        <x:v>6</x:v>
      </x:c>
      <x:c r="D5976" s="12" t="n">
        <x:v>0</x:v>
      </x:c>
      <x:c r="E5976" s="12" t="n">
        <x:v>0.24608333333333335</x:v>
      </x:c>
      <x:c r="F5976" s="12" t="n">
        <x:v>0.24558333333333335</x:v>
      </x:c>
      <x:c r="G5976" s="12" t="n">
        <x:v>0</x:v>
      </x:c>
      <x:c r="H5976" s="1" t="n">
        <x:f>'Historical prices'!E5976</x:f>
        <x:v>1.05</x:v>
      </x:c>
      <x:c r="I5976" s="6" t="n">
        <x:f>'Historical prices'!D5976</x:f>
        <x:v>0.2534</x:v>
      </x:c>
      <x:c r="J5976" s="13" t="n">
        <x:f>D5976*I5976*H5976</x:f>
        <x:v>0</x:v>
      </x:c>
      <x:c r="K5976" s="13" t="n">
        <x:f>E5976*I5976*H5976</x:f>
        <x:v>0.06547539250000001</x:v>
      </x:c>
      <x:c r="L5976" s="1" t="str">
        <x:f>TEXT(A5976,"mmm yyyy")</x:f>
        <x:v>Sep 2026</x:v>
      </x:c>
    </x:row>
    <x:row r="5977" ht="21" customHeight="1">
      <x:c r="A5977" s="10" t="n">
        <x:v>46273</x:v>
      </x:c>
      <x:c r="B5977" s="1" t="n">
        <x:v>0.5</x:v>
      </x:c>
      <x:c r="C5977" s="1" t="n">
        <x:v>6</x:v>
      </x:c>
      <x:c r="D5977" s="12" t="n">
        <x:v>0</x:v>
      </x:c>
      <x:c r="E5977" s="12" t="n">
        <x:v>0.239</x:v>
      </x:c>
      <x:c r="F5977" s="12" t="n">
        <x:v>0.2386666666666667</x:v>
      </x:c>
      <x:c r="G5977" s="12" t="n">
        <x:v>0</x:v>
      </x:c>
      <x:c r="H5977" s="1" t="n">
        <x:f>'Historical prices'!E5977</x:f>
        <x:v>1.05</x:v>
      </x:c>
      <x:c r="I5977" s="6" t="n">
        <x:f>'Historical prices'!D5977</x:f>
        <x:v>0.221</x:v>
      </x:c>
      <x:c r="J5977" s="13" t="n">
        <x:f>D5977*I5977*H5977</x:f>
        <x:v>0</x:v>
      </x:c>
      <x:c r="K5977" s="13" t="n">
        <x:f>E5977*I5977*H5977</x:f>
        <x:v>0.05545995</x:v>
      </x:c>
      <x:c r="L5977" s="1" t="str">
        <x:f>TEXT(A5977,"mmm yyyy")</x:f>
        <x:v>Sep 2026</x:v>
      </x:c>
    </x:row>
    <x:row r="5978" ht="21" customHeight="1">
      <x:c r="A5978" s="10" t="n">
        <x:v>46273</x:v>
      </x:c>
      <x:c r="B5978" s="1" t="n">
        <x:v>1</x:v>
      </x:c>
      <x:c r="C5978" s="1" t="n">
        <x:v>6</x:v>
      </x:c>
      <x:c r="D5978" s="12" t="n">
        <x:v>0</x:v>
      </x:c>
      <x:c r="E5978" s="12" t="n">
        <x:v>0.2405</x:v>
      </x:c>
      <x:c r="F5978" s="12" t="n">
        <x:v>0.23999999999999996</x:v>
      </x:c>
      <x:c r="G5978" s="12" t="n">
        <x:v>0</x:v>
      </x:c>
      <x:c r="H5978" s="1" t="n">
        <x:f>'Historical prices'!E5978</x:f>
        <x:v>1.05</x:v>
      </x:c>
      <x:c r="I5978" s="6" t="n">
        <x:f>'Historical prices'!D5978</x:f>
        <x:v>0.2218</x:v>
      </x:c>
      <x:c r="J5978" s="13" t="n">
        <x:f>D5978*I5978*H5978</x:f>
        <x:v>0</x:v>
      </x:c>
      <x:c r="K5978" s="13" t="n">
        <x:f>E5978*I5978*H5978</x:f>
        <x:v>0.056010045</x:v>
      </x:c>
      <x:c r="L5978" s="1" t="str">
        <x:f>TEXT(A5978,"mmm yyyy")</x:f>
        <x:v>Sep 2026</x:v>
      </x:c>
    </x:row>
    <x:row r="5979" ht="21" customHeight="1">
      <x:c r="A5979" s="10" t="n">
        <x:v>46273</x:v>
      </x:c>
      <x:c r="B5979" s="1" t="n">
        <x:v>1.5</x:v>
      </x:c>
      <x:c r="C5979" s="1" t="n">
        <x:v>6</x:v>
      </x:c>
      <x:c r="D5979" s="12" t="n">
        <x:v>0</x:v>
      </x:c>
      <x:c r="E5979" s="12" t="n">
        <x:v>0.26608333333333334</x:v>
      </x:c>
      <x:c r="F5979" s="12" t="n">
        <x:v>0.26575</x:v>
      </x:c>
      <x:c r="G5979" s="12" t="n">
        <x:v>0</x:v>
      </x:c>
      <x:c r="H5979" s="1" t="n">
        <x:f>'Historical prices'!E5979</x:f>
        <x:v>1.05</x:v>
      </x:c>
      <x:c r="I5979" s="6" t="n">
        <x:f>'Historical prices'!D5979</x:f>
        <x:v>0.2079</x:v>
      </x:c>
      <x:c r="J5979" s="13" t="n">
        <x:f>D5979*I5979*H5979</x:f>
        <x:v>0</x:v>
      </x:c>
      <x:c r="K5979" s="13" t="n">
        <x:f>E5979*I5979*H5979</x:f>
        <x:v>0.05808466125</x:v>
      </x:c>
      <x:c r="L5979" s="1" t="str">
        <x:f>TEXT(A5979,"mmm yyyy")</x:f>
        <x:v>Sep 2026</x:v>
      </x:c>
    </x:row>
    <x:row r="5980" ht="21" customHeight="1">
      <x:c r="A5980" s="10" t="n">
        <x:v>46273</x:v>
      </x:c>
      <x:c r="B5980" s="1" t="n">
        <x:v>2</x:v>
      </x:c>
      <x:c r="C5980" s="1" t="n">
        <x:v>6</x:v>
      </x:c>
      <x:c r="D5980" s="12" t="n">
        <x:v>0</x:v>
      </x:c>
      <x:c r="E5980" s="12" t="n">
        <x:v>0.26375</x:v>
      </x:c>
      <x:c r="F5980" s="12" t="n">
        <x:v>0.2634166666666667</x:v>
      </x:c>
      <x:c r="G5980" s="12" t="n">
        <x:v>0</x:v>
      </x:c>
      <x:c r="H5980" s="1" t="n">
        <x:f>'Historical prices'!E5980</x:f>
        <x:v>1.05</x:v>
      </x:c>
      <x:c r="I5980" s="6" t="n">
        <x:f>'Historical prices'!D5980</x:f>
        <x:v>0.2207</x:v>
      </x:c>
      <x:c r="J5980" s="13" t="n">
        <x:f>D5980*I5980*H5980</x:f>
        <x:v>0</x:v>
      </x:c>
      <x:c r="K5980" s="13" t="n">
        <x:f>E5980*I5980*H5980</x:f>
        <x:v>0.06112010625</x:v>
      </x:c>
      <x:c r="L5980" s="1" t="str">
        <x:f>TEXT(A5980,"mmm yyyy")</x:f>
        <x:v>Sep 2026</x:v>
      </x:c>
    </x:row>
    <x:row r="5981" ht="21" customHeight="1">
      <x:c r="A5981" s="10" t="n">
        <x:v>46273</x:v>
      </x:c>
      <x:c r="B5981" s="1" t="n">
        <x:v>2.5</x:v>
      </x:c>
      <x:c r="C5981" s="1" t="n">
        <x:v>6</x:v>
      </x:c>
      <x:c r="D5981" s="12" t="n">
        <x:v>0</x:v>
      </x:c>
      <x:c r="E5981" s="12" t="n">
        <x:v>0.2843333333333333</x:v>
      </x:c>
      <x:c r="F5981" s="12" t="n">
        <x:v>0.28375</x:v>
      </x:c>
      <x:c r="G5981" s="12" t="n">
        <x:v>0</x:v>
      </x:c>
      <x:c r="H5981" s="1" t="n">
        <x:f>'Historical prices'!E5981</x:f>
        <x:v>1.05</x:v>
      </x:c>
      <x:c r="I5981" s="6" t="n">
        <x:f>'Historical prices'!D5981</x:f>
        <x:v>0.21230000000000002</x:v>
      </x:c>
      <x:c r="J5981" s="13" t="n">
        <x:f>D5981*I5981*H5981</x:f>
        <x:v>0</x:v>
      </x:c>
      <x:c r="K5981" s="13" t="n">
        <x:f>E5981*I5981*H5981</x:f>
        <x:v>0.063382165</x:v>
      </x:c>
      <x:c r="L5981" s="1" t="str">
        <x:f>TEXT(A5981,"mmm yyyy")</x:f>
        <x:v>Sep 2026</x:v>
      </x:c>
    </x:row>
    <x:row r="5982" ht="21" customHeight="1">
      <x:c r="A5982" s="10" t="n">
        <x:v>46273</x:v>
      </x:c>
      <x:c r="B5982" s="1" t="n">
        <x:v>3</x:v>
      </x:c>
      <x:c r="C5982" s="1" t="n">
        <x:v>6</x:v>
      </x:c>
      <x:c r="D5982" s="12" t="n">
        <x:v>0</x:v>
      </x:c>
      <x:c r="E5982" s="12" t="n">
        <x:v>0.24583333333333335</x:v>
      </x:c>
      <x:c r="F5982" s="12" t="n">
        <x:v>0.2456666666666667</x:v>
      </x:c>
      <x:c r="G5982" s="12" t="n">
        <x:v>0</x:v>
      </x:c>
      <x:c r="H5982" s="1" t="n">
        <x:f>'Historical prices'!E5982</x:f>
        <x:v>1.05</x:v>
      </x:c>
      <x:c r="I5982" s="6" t="n">
        <x:f>'Historical prices'!D5982</x:f>
        <x:v>0.1999</x:v>
      </x:c>
      <x:c r="J5982" s="13" t="n">
        <x:f>D5982*I5982*H5982</x:f>
        <x:v>0</x:v>
      </x:c>
      <x:c r="K5982" s="13" t="n">
        <x:f>E5982*I5982*H5982</x:f>
        <x:v>0.051599187500000004</x:v>
      </x:c>
      <x:c r="L5982" s="1" t="str">
        <x:f>TEXT(A5982,"mmm yyyy")</x:f>
        <x:v>Sep 2026</x:v>
      </x:c>
    </x:row>
    <x:row r="5983" ht="21" customHeight="1">
      <x:c r="A5983" s="10" t="n">
        <x:v>46273</x:v>
      </x:c>
      <x:c r="B5983" s="1" t="n">
        <x:v>3.5</x:v>
      </x:c>
      <x:c r="C5983" s="1" t="n">
        <x:v>6</x:v>
      </x:c>
      <x:c r="D5983" s="12" t="n">
        <x:v>0</x:v>
      </x:c>
      <x:c r="E5983" s="12" t="n">
        <x:v>0.29725</x:v>
      </x:c>
      <x:c r="F5983" s="12" t="n">
        <x:v>0.29633333333333334</x:v>
      </x:c>
      <x:c r="G5983" s="12" t="n">
        <x:v>0</x:v>
      </x:c>
      <x:c r="H5983" s="1" t="n">
        <x:f>'Historical prices'!E5983</x:f>
        <x:v>1.05</x:v>
      </x:c>
      <x:c r="I5983" s="6" t="n">
        <x:f>'Historical prices'!D5983</x:f>
        <x:v>0.20329999999999998</x:v>
      </x:c>
      <x:c r="J5983" s="13" t="n">
        <x:f>D5983*I5983*H5983</x:f>
        <x:v>0</x:v>
      </x:c>
      <x:c r="K5983" s="13" t="n">
        <x:f>E5983*I5983*H5983</x:f>
        <x:v>0.06345247125</x:v>
      </x:c>
      <x:c r="L5983" s="1" t="str">
        <x:f>TEXT(A5983,"mmm yyyy")</x:f>
        <x:v>Sep 2026</x:v>
      </x:c>
    </x:row>
    <x:row r="5984" ht="21" customHeight="1">
      <x:c r="A5984" s="10" t="n">
        <x:v>46273</x:v>
      </x:c>
      <x:c r="B5984" s="1" t="n">
        <x:v>4</x:v>
      </x:c>
      <x:c r="C5984" s="1" t="n">
        <x:v>6</x:v>
      </x:c>
      <x:c r="D5984" s="12" t="n">
        <x:v>0</x:v>
      </x:c>
      <x:c r="E5984" s="12" t="n">
        <x:v>0.23408333333333334</x:v>
      </x:c>
      <x:c r="F5984" s="12" t="n">
        <x:v>0.23375</x:v>
      </x:c>
      <x:c r="G5984" s="12" t="n">
        <x:v>0</x:v>
      </x:c>
      <x:c r="H5984" s="1" t="n">
        <x:f>'Historical prices'!E5984</x:f>
        <x:v>1.05</x:v>
      </x:c>
      <x:c r="I5984" s="6" t="n">
        <x:f>'Historical prices'!D5984</x:f>
        <x:v>0.2119</x:v>
      </x:c>
      <x:c r="J5984" s="13" t="n">
        <x:f>D5984*I5984*H5984</x:f>
        <x:v>0</x:v>
      </x:c>
      <x:c r="K5984" s="13" t="n">
        <x:f>E5984*I5984*H5984</x:f>
        <x:v>0.05208237125</x:v>
      </x:c>
      <x:c r="L5984" s="1" t="str">
        <x:f>TEXT(A5984,"mmm yyyy")</x:f>
        <x:v>Sep 2026</x:v>
      </x:c>
    </x:row>
    <x:row r="5985" ht="21" customHeight="1">
      <x:c r="A5985" s="10" t="n">
        <x:v>46273</x:v>
      </x:c>
      <x:c r="B5985" s="1" t="n">
        <x:v>4.5</x:v>
      </x:c>
      <x:c r="C5985" s="1" t="n">
        <x:v>6</x:v>
      </x:c>
      <x:c r="D5985" s="12" t="n">
        <x:v>0</x:v>
      </x:c>
      <x:c r="E5985" s="12" t="n">
        <x:v>0.244</x:v>
      </x:c>
      <x:c r="F5985" s="12" t="n">
        <x:v>0.24366666666666664</x:v>
      </x:c>
      <x:c r="G5985" s="12" t="n">
        <x:v>0</x:v>
      </x:c>
      <x:c r="H5985" s="1" t="n">
        <x:f>'Historical prices'!E5985</x:f>
        <x:v>1.05</x:v>
      </x:c>
      <x:c r="I5985" s="6" t="n">
        <x:f>'Historical prices'!D5985</x:f>
        <x:v>0.2102</x:v>
      </x:c>
      <x:c r="J5985" s="13" t="n">
        <x:f>D5985*I5985*H5985</x:f>
        <x:v>0</x:v>
      </x:c>
      <x:c r="K5985" s="13" t="n">
        <x:f>E5985*I5985*H5985</x:f>
        <x:v>0.05385324</x:v>
      </x:c>
      <x:c r="L5985" s="1" t="str">
        <x:f>TEXT(A5985,"mmm yyyy")</x:f>
        <x:v>Sep 2026</x:v>
      </x:c>
    </x:row>
    <x:row r="5986" ht="21" customHeight="1">
      <x:c r="A5986" s="10" t="n">
        <x:v>46273</x:v>
      </x:c>
      <x:c r="B5986" s="1" t="n">
        <x:v>5</x:v>
      </x:c>
      <x:c r="C5986" s="1" t="n">
        <x:v>6</x:v>
      </x:c>
      <x:c r="D5986" s="12" t="n">
        <x:v>0</x:v>
      </x:c>
      <x:c r="E5986" s="12" t="n">
        <x:v>0.29766666666666663</x:v>
      </x:c>
      <x:c r="F5986" s="12" t="n">
        <x:v>0.2970833333333333</x:v>
      </x:c>
      <x:c r="G5986" s="12" t="n">
        <x:v>0</x:v>
      </x:c>
      <x:c r="H5986" s="1" t="n">
        <x:f>'Historical prices'!E5986</x:f>
        <x:v>1.05</x:v>
      </x:c>
      <x:c r="I5986" s="6" t="n">
        <x:f>'Historical prices'!D5986</x:f>
        <x:v>0.18289999999999998</x:v>
      </x:c>
      <x:c r="J5986" s="13" t="n">
        <x:f>D5986*I5986*H5986</x:f>
        <x:v>0</x:v>
      </x:c>
      <x:c r="K5986" s="13" t="n">
        <x:f>E5986*I5986*H5986</x:f>
        <x:v>0.05716539499999999</x:v>
      </x:c>
      <x:c r="L5986" s="1" t="str">
        <x:f>TEXT(A5986,"mmm yyyy")</x:f>
        <x:v>Sep 2026</x:v>
      </x:c>
    </x:row>
    <x:row r="5987" ht="21" customHeight="1">
      <x:c r="A5987" s="10" t="n">
        <x:v>46273</x:v>
      </x:c>
      <x:c r="B5987" s="1" t="n">
        <x:v>5.5</x:v>
      </x:c>
      <x:c r="C5987" s="1" t="n">
        <x:v>6</x:v>
      </x:c>
      <x:c r="D5987" s="12" t="n">
        <x:v>0</x:v>
      </x:c>
      <x:c r="E5987" s="12" t="n">
        <x:v>0.28583333333333333</x:v>
      </x:c>
      <x:c r="F5987" s="12" t="n">
        <x:v>0.2855</x:v>
      </x:c>
      <x:c r="G5987" s="12" t="n">
        <x:v>0</x:v>
      </x:c>
      <x:c r="H5987" s="1" t="n">
        <x:f>'Historical prices'!E5987</x:f>
        <x:v>1.05</x:v>
      </x:c>
      <x:c r="I5987" s="6" t="n">
        <x:f>'Historical prices'!D5987</x:f>
        <x:v>0.1938</x:v>
      </x:c>
      <x:c r="J5987" s="13" t="n">
        <x:f>D5987*I5987*H5987</x:f>
        <x:v>0</x:v>
      </x:c>
      <x:c r="K5987" s="13" t="n">
        <x:f>E5987*I5987*H5987</x:f>
        <x:v>0.058164225</x:v>
      </x:c>
      <x:c r="L5987" s="1" t="str">
        <x:f>TEXT(A5987,"mmm yyyy")</x:f>
        <x:v>Sep 2026</x:v>
      </x:c>
    </x:row>
    <x:row r="5988" ht="21" customHeight="1">
      <x:c r="A5988" s="10" t="n">
        <x:v>46273</x:v>
      </x:c>
      <x:c r="B5988" s="1" t="n">
        <x:v>6</x:v>
      </x:c>
      <x:c r="C5988" s="1" t="n">
        <x:v>6</x:v>
      </x:c>
      <x:c r="D5988" s="12" t="n">
        <x:v>0</x:v>
      </x:c>
      <x:c r="E5988" s="12" t="n">
        <x:v>0.23908333333333334</x:v>
      </x:c>
      <x:c r="F5988" s="12" t="n">
        <x:v>0.23841666666666667</x:v>
      </x:c>
      <x:c r="G5988" s="12" t="n">
        <x:v>0</x:v>
      </x:c>
      <x:c r="H5988" s="1" t="n">
        <x:f>'Historical prices'!E5988</x:f>
        <x:v>1.05</x:v>
      </x:c>
      <x:c r="I5988" s="6" t="n">
        <x:f>'Historical prices'!D5988</x:f>
        <x:v>0.2622</x:v>
      </x:c>
      <x:c r="J5988" s="13" t="n">
        <x:f>D5988*I5988*H5988</x:f>
        <x:v>0</x:v>
      </x:c>
      <x:c r="K5988" s="13" t="n">
        <x:f>E5988*I5988*H5988</x:f>
        <x:v>0.0658220325</x:v>
      </x:c>
      <x:c r="L5988" s="1" t="str">
        <x:f>TEXT(A5988,"mmm yyyy")</x:f>
        <x:v>Sep 2026</x:v>
      </x:c>
    </x:row>
    <x:row r="5989" ht="21" customHeight="1">
      <x:c r="A5989" s="10" t="n">
        <x:v>46273</x:v>
      </x:c>
      <x:c r="B5989" s="1" t="n">
        <x:v>6.5</x:v>
      </x:c>
      <x:c r="C5989" s="1" t="n">
        <x:v>6</x:v>
      </x:c>
      <x:c r="D5989" s="12" t="n">
        <x:v>0</x:v>
      </x:c>
      <x:c r="E5989" s="12" t="n">
        <x:v>0.55275</x:v>
      </x:c>
      <x:c r="F5989" s="12" t="n">
        <x:v>0.55225</x:v>
      </x:c>
      <x:c r="G5989" s="12" t="n">
        <x:v>0</x:v>
      </x:c>
      <x:c r="H5989" s="1" t="n">
        <x:f>'Historical prices'!E5989</x:f>
        <x:v>1.05</x:v>
      </x:c>
      <x:c r="I5989" s="6" t="n">
        <x:f>'Historical prices'!D5989</x:f>
        <x:v>0.3072</x:v>
      </x:c>
      <x:c r="J5989" s="13" t="n">
        <x:f>D5989*I5989*H5989</x:f>
        <x:v>0</x:v>
      </x:c>
      <x:c r="K5989" s="13" t="n">
        <x:f>E5989*I5989*H5989</x:f>
        <x:v>0.17829504</x:v>
      </x:c>
      <x:c r="L5989" s="1" t="str">
        <x:f>TEXT(A5989,"mmm yyyy")</x:f>
        <x:v>Sep 2026</x:v>
      </x:c>
    </x:row>
    <x:row r="5990" ht="21" customHeight="1">
      <x:c r="A5990" s="10" t="n">
        <x:v>46273</x:v>
      </x:c>
      <x:c r="B5990" s="1" t="n">
        <x:v>7</x:v>
      </x:c>
      <x:c r="C5990" s="1" t="n">
        <x:v>6</x:v>
      </x:c>
      <x:c r="D5990" s="12" t="n">
        <x:v>0</x:v>
      </x:c>
      <x:c r="E5990" s="12" t="n">
        <x:v>0.6589999999999999</x:v>
      </x:c>
      <x:c r="F5990" s="12" t="n">
        <x:v>0.6585</x:v>
      </x:c>
      <x:c r="G5990" s="12" t="n">
        <x:v>0</x:v>
      </x:c>
      <x:c r="H5990" s="1" t="n">
        <x:f>'Historical prices'!E5990</x:f>
        <x:v>1.05</x:v>
      </x:c>
      <x:c r="I5990" s="6" t="n">
        <x:f>'Historical prices'!D5990</x:f>
        <x:v>0.2963</x:v>
      </x:c>
      <x:c r="J5990" s="13" t="n">
        <x:f>D5990*I5990*H5990</x:f>
        <x:v>0</x:v>
      </x:c>
      <x:c r="K5990" s="13" t="n">
        <x:f>E5990*I5990*H5990</x:f>
        <x:v>0.205024785</x:v>
      </x:c>
      <x:c r="L5990" s="1" t="str">
        <x:f>TEXT(A5990,"mmm yyyy")</x:f>
        <x:v>Sep 2026</x:v>
      </x:c>
    </x:row>
    <x:row r="5991" ht="21" customHeight="1">
      <x:c r="A5991" s="10" t="n">
        <x:v>46273</x:v>
      </x:c>
      <x:c r="B5991" s="1" t="n">
        <x:v>7.5</x:v>
      </x:c>
      <x:c r="C5991" s="1" t="n">
        <x:v>6</x:v>
      </x:c>
      <x:c r="D5991" s="12" t="n">
        <x:v>0</x:v>
      </x:c>
      <x:c r="E5991" s="12" t="n">
        <x:v>0.8625833333333334</x:v>
      </x:c>
      <x:c r="F5991" s="12" t="n">
        <x:v>0.8624166666666667</x:v>
      </x:c>
      <x:c r="G5991" s="12" t="n">
        <x:v>0</x:v>
      </x:c>
      <x:c r="H5991" s="1" t="n">
        <x:f>'Historical prices'!E5991</x:f>
        <x:v>1.05</x:v>
      </x:c>
      <x:c r="I5991" s="6" t="n">
        <x:f>'Historical prices'!D5991</x:f>
        <x:v>0.3343</x:v>
      </x:c>
      <x:c r="J5991" s="13" t="n">
        <x:f>D5991*I5991*H5991</x:f>
        <x:v>0</x:v>
      </x:c>
      <x:c r="K5991" s="13" t="n">
        <x:f>E5991*I5991*H5991</x:f>
        <x:v>0.30277968875000005</x:v>
      </x:c>
      <x:c r="L5991" s="1" t="str">
        <x:f>TEXT(A5991,"mmm yyyy")</x:f>
        <x:v>Sep 2026</x:v>
      </x:c>
    </x:row>
    <x:row r="5992" ht="21" customHeight="1">
      <x:c r="A5992" s="10" t="n">
        <x:v>46273</x:v>
      </x:c>
      <x:c r="B5992" s="1" t="n">
        <x:v>8</x:v>
      </x:c>
      <x:c r="C5992" s="1" t="n">
        <x:v>6</x:v>
      </x:c>
      <x:c r="D5992" s="12" t="n">
        <x:v>0</x:v>
      </x:c>
      <x:c r="E5992" s="12" t="n">
        <x:v>0.8699166666666667</x:v>
      </x:c>
      <x:c r="F5992" s="12" t="n">
        <x:v>0.8694166666666666</x:v>
      </x:c>
      <x:c r="G5992" s="12" t="n">
        <x:v>0</x:v>
      </x:c>
      <x:c r="H5992" s="1" t="n">
        <x:f>'Historical prices'!E5992</x:f>
        <x:v>1.05</x:v>
      </x:c>
      <x:c r="I5992" s="6" t="n">
        <x:f>'Historical prices'!D5992</x:f>
        <x:v>0.2705</x:v>
      </x:c>
      <x:c r="J5992" s="13" t="n">
        <x:f>D5992*I5992*H5992</x:f>
        <x:v>0</x:v>
      </x:c>
      <x:c r="K5992" s="13" t="n">
        <x:f>E5992*I5992*H5992</x:f>
        <x:v>0.24707808125000005</x:v>
      </x:c>
      <x:c r="L5992" s="1" t="str">
        <x:f>TEXT(A5992,"mmm yyyy")</x:f>
        <x:v>Sep 2026</x:v>
      </x:c>
    </x:row>
    <x:row r="5993" ht="21" customHeight="1">
      <x:c r="A5993" s="10" t="n">
        <x:v>46273</x:v>
      </x:c>
      <x:c r="B5993" s="1" t="n">
        <x:v>8.5</x:v>
      </x:c>
      <x:c r="C5993" s="1" t="n">
        <x:v>6</x:v>
      </x:c>
      <x:c r="D5993" s="12" t="n">
        <x:v>0</x:v>
      </x:c>
      <x:c r="E5993" s="12" t="n">
        <x:v>0.8180833333333334</x:v>
      </x:c>
      <x:c r="F5993" s="12" t="n">
        <x:v>0.8173333333333335</x:v>
      </x:c>
      <x:c r="G5993" s="12" t="n">
        <x:v>0</x:v>
      </x:c>
      <x:c r="H5993" s="1" t="n">
        <x:f>'Historical prices'!E5993</x:f>
        <x:v>1.05</x:v>
      </x:c>
      <x:c r="I5993" s="6" t="n">
        <x:f>'Historical prices'!D5993</x:f>
        <x:v>0.26899999999999996</x:v>
      </x:c>
      <x:c r="J5993" s="13" t="n">
        <x:f>D5993*I5993*H5993</x:f>
        <x:v>0</x:v>
      </x:c>
      <x:c r="K5993" s="13" t="n">
        <x:f>E5993*I5993*H5993</x:f>
        <x:v>0.2310676375</x:v>
      </x:c>
      <x:c r="L5993" s="1" t="str">
        <x:f>TEXT(A5993,"mmm yyyy")</x:f>
        <x:v>Sep 2026</x:v>
      </x:c>
    </x:row>
    <x:row r="5994" ht="21" customHeight="1">
      <x:c r="A5994" s="10" t="n">
        <x:v>46273</x:v>
      </x:c>
      <x:c r="B5994" s="1" t="n">
        <x:v>9</x:v>
      </x:c>
      <x:c r="C5994" s="1" t="n">
        <x:v>6</x:v>
      </x:c>
      <x:c r="D5994" s="12" t="n">
        <x:v>0</x:v>
      </x:c>
      <x:c r="E5994" s="12" t="n">
        <x:v>1.5077500000000001</x:v>
      </x:c>
      <x:c r="F5994" s="12" t="n">
        <x:v>1.5075</x:v>
      </x:c>
      <x:c r="G5994" s="12" t="n">
        <x:v>0</x:v>
      </x:c>
      <x:c r="H5994" s="1" t="n">
        <x:f>'Historical prices'!E5994</x:f>
        <x:v>1.05</x:v>
      </x:c>
      <x:c r="I5994" s="6" t="n">
        <x:f>'Historical prices'!D5994</x:f>
        <x:v>0.2249</x:v>
      </x:c>
      <x:c r="J5994" s="13" t="n">
        <x:f>D5994*I5994*H5994</x:f>
        <x:v>0</x:v>
      </x:c>
      <x:c r="K5994" s="13" t="n">
        <x:f>E5994*I5994*H5994</x:f>
        <x:v>0.35604762375000004</x:v>
      </x:c>
      <x:c r="L5994" s="1" t="str">
        <x:f>TEXT(A5994,"mmm yyyy")</x:f>
        <x:v>Sep 2026</x:v>
      </x:c>
    </x:row>
    <x:row r="5995" ht="21" customHeight="1">
      <x:c r="A5995" s="10" t="n">
        <x:v>46273</x:v>
      </x:c>
      <x:c r="B5995" s="1" t="n">
        <x:v>9.5</x:v>
      </x:c>
      <x:c r="C5995" s="1" t="n">
        <x:v>6</x:v>
      </x:c>
      <x:c r="D5995" s="12" t="n">
        <x:v>0</x:v>
      </x:c>
      <x:c r="E5995" s="12" t="n">
        <x:v>0.8140833333333334</x:v>
      </x:c>
      <x:c r="F5995" s="12" t="n">
        <x:v>0.8136666666666668</x:v>
      </x:c>
      <x:c r="G5995" s="12" t="n">
        <x:v>0</x:v>
      </x:c>
      <x:c r="H5995" s="1" t="n">
        <x:f>'Historical prices'!E5995</x:f>
        <x:v>1.05</x:v>
      </x:c>
      <x:c r="I5995" s="6" t="n">
        <x:f>'Historical prices'!D5995</x:f>
        <x:v>0.2186</x:v>
      </x:c>
      <x:c r="J5995" s="13" t="n">
        <x:f>D5995*I5995*H5995</x:f>
        <x:v>0</x:v>
      </x:c>
      <x:c r="K5995" s="13" t="n">
        <x:f>E5995*I5995*H5995</x:f>
        <x:v>0.18685654750000003</x:v>
      </x:c>
      <x:c r="L5995" s="1" t="str">
        <x:f>TEXT(A5995,"mmm yyyy")</x:f>
        <x:v>Sep 2026</x:v>
      </x:c>
    </x:row>
    <x:row r="5996" ht="21" customHeight="1">
      <x:c r="A5996" s="10" t="n">
        <x:v>46273</x:v>
      </x:c>
      <x:c r="B5996" s="1" t="n">
        <x:v>10</x:v>
      </x:c>
      <x:c r="C5996" s="1" t="n">
        <x:v>6</x:v>
      </x:c>
      <x:c r="D5996" s="12" t="n">
        <x:v>0</x:v>
      </x:c>
      <x:c r="E5996" s="12" t="n">
        <x:v>0.6799166666666666</x:v>
      </x:c>
      <x:c r="F5996" s="12" t="n">
        <x:v>0.6793333333333333</x:v>
      </x:c>
      <x:c r="G5996" s="12" t="n">
        <x:v>0</x:v>
      </x:c>
      <x:c r="H5996" s="1" t="n">
        <x:f>'Historical prices'!E5996</x:f>
        <x:v>1.05</x:v>
      </x:c>
      <x:c r="I5996" s="6" t="n">
        <x:f>'Historical prices'!D5996</x:f>
        <x:v>0.205</x:v>
      </x:c>
      <x:c r="J5996" s="13" t="n">
        <x:f>D5996*I5996*H5996</x:f>
        <x:v>0</x:v>
      </x:c>
      <x:c r="K5996" s="13" t="n">
        <x:f>E5996*I5996*H5996</x:f>
        <x:v>0.14635206249999996</x:v>
      </x:c>
      <x:c r="L5996" s="1" t="str">
        <x:f>TEXT(A5996,"mmm yyyy")</x:f>
        <x:v>Sep 2026</x:v>
      </x:c>
    </x:row>
    <x:row r="5997" ht="21" customHeight="1">
      <x:c r="A5997" s="10" t="n">
        <x:v>46273</x:v>
      </x:c>
      <x:c r="B5997" s="1" t="n">
        <x:v>10.5</x:v>
      </x:c>
      <x:c r="C5997" s="1" t="n">
        <x:v>6</x:v>
      </x:c>
      <x:c r="D5997" s="12" t="n">
        <x:v>0</x:v>
      </x:c>
      <x:c r="E5997" s="12" t="n">
        <x:v>0.6661666666666667</x:v>
      </x:c>
      <x:c r="F5997" s="12" t="n">
        <x:v>0.6655833333333334</x:v>
      </x:c>
      <x:c r="G5997" s="12" t="n">
        <x:v>0</x:v>
      </x:c>
      <x:c r="H5997" s="1" t="n">
        <x:f>'Historical prices'!E5997</x:f>
        <x:v>1.05</x:v>
      </x:c>
      <x:c r="I5997" s="6" t="n">
        <x:f>'Historical prices'!D5997</x:f>
        <x:v>0.1787</x:v>
      </x:c>
      <x:c r="J5997" s="13" t="n">
        <x:f>D5997*I5997*H5997</x:f>
        <x:v>0</x:v>
      </x:c>
      <x:c r="K5997" s="13" t="n">
        <x:f>E5997*I5997*H5997</x:f>
        <x:v>0.12499618250000001</x:v>
      </x:c>
      <x:c r="L5997" s="1" t="str">
        <x:f>TEXT(A5997,"mmm yyyy")</x:f>
        <x:v>Sep 2026</x:v>
      </x:c>
    </x:row>
    <x:row r="5998" ht="21" customHeight="1">
      <x:c r="A5998" s="10" t="n">
        <x:v>46273</x:v>
      </x:c>
      <x:c r="B5998" s="1" t="n">
        <x:v>11</x:v>
      </x:c>
      <x:c r="C5998" s="1" t="n">
        <x:v>6</x:v>
      </x:c>
      <x:c r="D5998" s="12" t="n">
        <x:v>0</x:v>
      </x:c>
      <x:c r="E5998" s="12" t="n">
        <x:v>0.6979166666666666</x:v>
      </x:c>
      <x:c r="F5998" s="12" t="n">
        <x:v>0.6973333333333334</x:v>
      </x:c>
      <x:c r="G5998" s="12" t="n">
        <x:v>0</x:v>
      </x:c>
      <x:c r="H5998" s="1" t="n">
        <x:f>'Historical prices'!E5998</x:f>
        <x:v>1.05</x:v>
      </x:c>
      <x:c r="I5998" s="6" t="n">
        <x:f>'Historical prices'!D5998</x:f>
        <x:v>0.1487</x:v>
      </x:c>
      <x:c r="J5998" s="13" t="n">
        <x:f>D5998*I5998*H5998</x:f>
        <x:v>0</x:v>
      </x:c>
      <x:c r="K5998" s="13" t="n">
        <x:f>E5998*I5998*H5998</x:f>
        <x:v>0.10896921875</x:v>
      </x:c>
      <x:c r="L5998" s="1" t="str">
        <x:f>TEXT(A5998,"mmm yyyy")</x:f>
        <x:v>Sep 2026</x:v>
      </x:c>
    </x:row>
    <x:row r="5999" ht="21" customHeight="1">
      <x:c r="A5999" s="10" t="n">
        <x:v>46273</x:v>
      </x:c>
      <x:c r="B5999" s="1" t="n">
        <x:v>11.5</x:v>
      </x:c>
      <x:c r="C5999" s="1" t="n">
        <x:v>6</x:v>
      </x:c>
      <x:c r="D5999" s="12" t="n">
        <x:v>0</x:v>
      </x:c>
      <x:c r="E5999" s="12" t="n">
        <x:v>1.046</x:v>
      </x:c>
      <x:c r="F5999" s="12" t="n">
        <x:v>1.04525</x:v>
      </x:c>
      <x:c r="G5999" s="12" t="n">
        <x:v>0</x:v>
      </x:c>
      <x:c r="H5999" s="1" t="n">
        <x:f>'Historical prices'!E5999</x:f>
        <x:v>1.05</x:v>
      </x:c>
      <x:c r="I5999" s="6" t="n">
        <x:f>'Historical prices'!D5999</x:f>
        <x:v>0.12619999999999998</x:v>
      </x:c>
      <x:c r="J5999" s="13" t="n">
        <x:f>D5999*I5999*H5999</x:f>
        <x:v>0</x:v>
      </x:c>
      <x:c r="K5999" s="13" t="n">
        <x:f>E5999*I5999*H5999</x:f>
        <x:v>0.13860545999999999</x:v>
      </x:c>
      <x:c r="L5999" s="1" t="str">
        <x:f>TEXT(A5999,"mmm yyyy")</x:f>
        <x:v>Sep 2026</x:v>
      </x:c>
    </x:row>
    <x:row r="6000" ht="21" customHeight="1">
      <x:c r="A6000" s="10" t="n">
        <x:v>46273</x:v>
      </x:c>
      <x:c r="B6000" s="1" t="n">
        <x:v>12</x:v>
      </x:c>
      <x:c r="C6000" s="1" t="n">
        <x:v>6</x:v>
      </x:c>
      <x:c r="D6000" s="12" t="n">
        <x:v>1.06875</x:v>
      </x:c>
      <x:c r="E6000" s="12" t="n">
        <x:v>1.2895833333333333</x:v>
      </x:c>
      <x:c r="F6000" s="12" t="n">
        <x:v>0.20883333333333334</x:v>
      </x:c>
      <x:c r="G6000" s="12" t="n">
        <x:v>0</x:v>
      </x:c>
      <x:c r="H6000" s="1" t="n">
        <x:f>'Historical prices'!E6000</x:f>
        <x:v>1.05</x:v>
      </x:c>
      <x:c r="I6000" s="6" t="n">
        <x:f>'Historical prices'!D6000</x:f>
        <x:v>0.1223</x:v>
      </x:c>
      <x:c r="J6000" s="13" t="n">
        <x:f>D6000*I6000*H6000</x:f>
        <x:v>0.13724353125000002</x:v>
      </x:c>
      <x:c r="K6000" s="13" t="n">
        <x:f>E6000*I6000*H6000</x:f>
        <x:v>0.16560184375</x:v>
      </x:c>
      <x:c r="L6000" s="1" t="str">
        <x:f>TEXT(A6000,"mmm yyyy")</x:f>
        <x:v>Sep 2026</x:v>
      </x:c>
    </x:row>
    <x:row r="6001" ht="21" customHeight="1">
      <x:c r="A6001" s="10" t="n">
        <x:v>46273</x:v>
      </x:c>
      <x:c r="B6001" s="1" t="n">
        <x:v>12.5</x:v>
      </x:c>
      <x:c r="C6001" s="1" t="n">
        <x:v>6</x:v>
      </x:c>
      <x:c r="D6001" s="12" t="n">
        <x:v>0.32025</x:v>
      </x:c>
      <x:c r="E6001" s="12" t="n">
        <x:v>0.33025</x:v>
      </x:c>
      <x:c r="F6001" s="12" t="n">
        <x:v>0</x:v>
      </x:c>
      <x:c r="G6001" s="12" t="n">
        <x:v>0</x:v>
      </x:c>
      <x:c r="H6001" s="1" t="n">
        <x:f>'Historical prices'!E6001</x:f>
        <x:v>1.05</x:v>
      </x:c>
      <x:c r="I6001" s="6" t="n">
        <x:f>'Historical prices'!D6001</x:f>
        <x:v>0.11599999999999999</x:v>
      </x:c>
      <x:c r="J6001" s="13" t="n">
        <x:f>D6001*I6001*H6001</x:f>
        <x:v>0.03900645</x:v>
      </x:c>
      <x:c r="K6001" s="13" t="n">
        <x:f>E6001*I6001*H6001</x:f>
        <x:v>0.040224449999999995</x:v>
      </x:c>
      <x:c r="L6001" s="1" t="str">
        <x:f>TEXT(A6001,"mmm yyyy")</x:f>
        <x:v>Sep 2026</x:v>
      </x:c>
    </x:row>
    <x:row r="6002" ht="21" customHeight="1">
      <x:c r="A6002" s="10" t="n">
        <x:v>46273</x:v>
      </x:c>
      <x:c r="B6002" s="1" t="n">
        <x:v>13</x:v>
      </x:c>
      <x:c r="C6002" s="1" t="n">
        <x:v>6</x:v>
      </x:c>
      <x:c r="D6002" s="12" t="n">
        <x:v>4.1697500000000005</x:v>
      </x:c>
      <x:c r="E6002" s="12" t="n">
        <x:v>0.39975</x:v>
      </x:c>
      <x:c r="F6002" s="12" t="n">
        <x:v>0</x:v>
      </x:c>
      <x:c r="G6002" s="12" t="n">
        <x:v>3.7720000000000002</x:v>
      </x:c>
      <x:c r="H6002" s="1" t="n">
        <x:f>'Historical prices'!E6002</x:f>
        <x:v>1.05</x:v>
      </x:c>
      <x:c r="I6002" s="6" t="n">
        <x:f>'Historical prices'!D6002</x:f>
        <x:v>0.0942</x:v>
      </x:c>
      <x:c r="J6002" s="13" t="n">
        <x:f>D6002*I6002*H6002</x:f>
        <x:v>0.4124299725000001</x:v>
      </x:c>
      <x:c r="K6002" s="13" t="n">
        <x:f>E6002*I6002*H6002</x:f>
        <x:v>0.0395392725</x:v>
      </x:c>
      <x:c r="L6002" s="1" t="str">
        <x:f>TEXT(A6002,"mmm yyyy")</x:f>
        <x:v>Sep 2026</x:v>
      </x:c>
    </x:row>
    <x:row r="6003" ht="21" customHeight="1">
      <x:c r="A6003" s="10" t="n">
        <x:v>46273</x:v>
      </x:c>
      <x:c r="B6003" s="1" t="n">
        <x:v>13.5</x:v>
      </x:c>
      <x:c r="C6003" s="1" t="n">
        <x:v>6</x:v>
      </x:c>
      <x:c r="D6003" s="12" t="n">
        <x:v>4.962999999999999</x:v>
      </x:c>
      <x:c r="E6003" s="12" t="n">
        <x:v>0.48300000000000004</x:v>
      </x:c>
      <x:c r="F6003" s="12" t="n">
        <x:v>0</x:v>
      </x:c>
      <x:c r="G6003" s="12" t="n">
        <x:v>4.4799999999999995</x:v>
      </x:c>
      <x:c r="H6003" s="1" t="n">
        <x:f>'Historical prices'!E6003</x:f>
        <x:v>1.05</x:v>
      </x:c>
      <x:c r="I6003" s="6" t="n">
        <x:f>'Historical prices'!D6003</x:f>
        <x:v>0.0836</x:v>
      </x:c>
      <x:c r="J6003" s="13" t="n">
        <x:f>D6003*I6003*H6003</x:f>
        <x:v>0.4356521399999999</x:v>
      </x:c>
      <x:c r="K6003" s="13" t="n">
        <x:f>E6003*I6003*H6003</x:f>
        <x:v>0.04239774</x:v>
      </x:c>
      <x:c r="L6003" s="1" t="str">
        <x:f>TEXT(A6003,"mmm yyyy")</x:f>
        <x:v>Sep 2026</x:v>
      </x:c>
    </x:row>
    <x:row r="6004" ht="21" customHeight="1">
      <x:c r="A6004" s="10" t="n">
        <x:v>46273</x:v>
      </x:c>
      <x:c r="B6004" s="1" t="n">
        <x:v>14</x:v>
      </x:c>
      <x:c r="C6004" s="1" t="n">
        <x:v>6</x:v>
      </x:c>
      <x:c r="D6004" s="12" t="n">
        <x:v>4.94575</x:v>
      </x:c>
      <x:c r="E6004" s="12" t="n">
        <x:v>0.44075</x:v>
      </x:c>
      <x:c r="F6004" s="12" t="n">
        <x:v>0</x:v>
      </x:c>
      <x:c r="G6004" s="12" t="n">
        <x:v>4.505</x:v>
      </x:c>
      <x:c r="H6004" s="1" t="n">
        <x:f>'Historical prices'!E6004</x:f>
        <x:v>1.05</x:v>
      </x:c>
      <x:c r="I6004" s="6" t="n">
        <x:f>'Historical prices'!D6004</x:f>
        <x:v>0.0779</x:v>
      </x:c>
      <x:c r="J6004" s="13" t="n">
        <x:f>D6004*I6004*H6004</x:f>
        <x:v>0.40453762125000003</x:v>
      </x:c>
      <x:c r="K6004" s="13" t="n">
        <x:f>E6004*I6004*H6004</x:f>
        <x:v>0.03605114625</x:v>
      </x:c>
      <x:c r="L6004" s="1" t="str">
        <x:f>TEXT(A6004,"mmm yyyy")</x:f>
        <x:v>Sep 2026</x:v>
      </x:c>
    </x:row>
    <x:row r="6005" ht="21" customHeight="1">
      <x:c r="A6005" s="10" t="n">
        <x:v>46273</x:v>
      </x:c>
      <x:c r="B6005" s="1" t="n">
        <x:v>14.5</x:v>
      </x:c>
      <x:c r="C6005" s="1" t="n">
        <x:v>6</x:v>
      </x:c>
      <x:c r="D6005" s="12" t="n">
        <x:v>5.23125</x:v>
      </x:c>
      <x:c r="E6005" s="12" t="n">
        <x:v>0.45325</x:v>
      </x:c>
      <x:c r="F6005" s="12" t="n">
        <x:v>0</x:v>
      </x:c>
      <x:c r="G6005" s="12" t="n">
        <x:v>4.7780000000000005</x:v>
      </x:c>
      <x:c r="H6005" s="1" t="n">
        <x:f>'Historical prices'!E6005</x:f>
        <x:v>1.05</x:v>
      </x:c>
      <x:c r="I6005" s="6" t="n">
        <x:f>'Historical prices'!D6005</x:f>
        <x:v>0.0684</x:v>
      </x:c>
      <x:c r="J6005" s="13" t="n">
        <x:f>D6005*I6005*H6005</x:f>
        <x:v>0.37570837500000004</x:v>
      </x:c>
      <x:c r="K6005" s="13" t="n">
        <x:f>E6005*I6005*H6005</x:f>
        <x:v>0.032552415</x:v>
      </x:c>
      <x:c r="L6005" s="1" t="str">
        <x:f>TEXT(A6005,"mmm yyyy")</x:f>
        <x:v>Sep 2026</x:v>
      </x:c>
    </x:row>
    <x:row r="6006" ht="21" customHeight="1">
      <x:c r="A6006" s="10" t="n">
        <x:v>46273</x:v>
      </x:c>
      <x:c r="B6006" s="1" t="n">
        <x:v>15</x:v>
      </x:c>
      <x:c r="C6006" s="1" t="n">
        <x:v>6</x:v>
      </x:c>
      <x:c r="D6006" s="12" t="n">
        <x:v>5.14175</x:v>
      </x:c>
      <x:c r="E6006" s="12" t="n">
        <x:v>0.42774999999999996</x:v>
      </x:c>
      <x:c r="F6006" s="12" t="n">
        <x:v>0</x:v>
      </x:c>
      <x:c r="G6006" s="12" t="n">
        <x:v>4.714</x:v>
      </x:c>
      <x:c r="H6006" s="1" t="n">
        <x:f>'Historical prices'!E6006</x:f>
        <x:v>1.05</x:v>
      </x:c>
      <x:c r="I6006" s="6" t="n">
        <x:f>'Historical prices'!D6006</x:f>
        <x:v>0.0758</x:v>
      </x:c>
      <x:c r="J6006" s="13" t="n">
        <x:f>D6006*I6006*H6006</x:f>
        <x:v>0.40923188250000003</x:v>
      </x:c>
      <x:c r="K6006" s="13" t="n">
        <x:f>E6006*I6006*H6006</x:f>
        <x:v>0.0340446225</x:v>
      </x:c>
      <x:c r="L6006" s="1" t="str">
        <x:f>TEXT(A6006,"mmm yyyy")</x:f>
        <x:v>Sep 2026</x:v>
      </x:c>
    </x:row>
    <x:row r="6007" ht="21" customHeight="1">
      <x:c r="A6007" s="10" t="n">
        <x:v>46273</x:v>
      </x:c>
      <x:c r="B6007" s="1" t="n">
        <x:v>15.5</x:v>
      </x:c>
      <x:c r="C6007" s="1" t="n">
        <x:v>6</x:v>
      </x:c>
      <x:c r="D6007" s="12" t="n">
        <x:v>0.95825</x:v>
      </x:c>
      <x:c r="E6007" s="12" t="n">
        <x:v>0.249</x:v>
      </x:c>
      <x:c r="F6007" s="12" t="n">
        <x:v>0.088</x:v>
      </x:c>
      <x:c r="G6007" s="12" t="n">
        <x:v>0.795</x:v>
      </x:c>
      <x:c r="H6007" s="1" t="n">
        <x:f>'Historical prices'!E6007</x:f>
        <x:v>1.05</x:v>
      </x:c>
      <x:c r="I6007" s="6" t="n">
        <x:f>'Historical prices'!D6007</x:f>
        <x:v>0.0978</x:v>
      </x:c>
      <x:c r="J6007" s="13" t="n">
        <x:f>D6007*I6007*H6007</x:f>
        <x:v>0.09840269250000001</x:v>
      </x:c>
      <x:c r="K6007" s="13" t="n">
        <x:f>E6007*I6007*H6007</x:f>
        <x:v>0.025569810000000002</x:v>
      </x:c>
      <x:c r="L6007" s="1" t="str">
        <x:f>TEXT(A6007,"mmm yyyy")</x:f>
        <x:v>Sep 2026</x:v>
      </x:c>
    </x:row>
    <x:row r="6008" ht="21" customHeight="1">
      <x:c r="A6008" s="10" t="n">
        <x:v>46273</x:v>
      </x:c>
      <x:c r="B6008" s="1" t="n">
        <x:v>16</x:v>
      </x:c>
      <x:c r="C6008" s="1" t="n">
        <x:v>6</x:v>
      </x:c>
      <x:c r="D6008" s="12" t="n">
        <x:v>0</x:v>
      </x:c>
      <x:c r="E6008" s="12" t="n">
        <x:v>0.2809166666666667</x:v>
      </x:c>
      <x:c r="F6008" s="12" t="n">
        <x:v>0.2806666666666667</x:v>
      </x:c>
      <x:c r="G6008" s="12" t="n">
        <x:v>0</x:v>
      </x:c>
      <x:c r="H6008" s="1" t="n">
        <x:f>'Historical prices'!E6008</x:f>
        <x:v>1.05</x:v>
      </x:c>
      <x:c r="I6008" s="6" t="n">
        <x:f>'Historical prices'!D6008</x:f>
        <x:v>0.3176</x:v>
      </x:c>
      <x:c r="J6008" s="13" t="n">
        <x:f>D6008*I6008*H6008</x:f>
        <x:v>0</x:v>
      </x:c>
      <x:c r="K6008" s="13" t="n">
        <x:f>E6008*I6008*H6008</x:f>
        <x:v>0.09368009000000001</x:v>
      </x:c>
      <x:c r="L6008" s="1" t="str">
        <x:f>TEXT(A6008,"mmm yyyy")</x:f>
        <x:v>Sep 2026</x:v>
      </x:c>
    </x:row>
    <x:row r="6009" ht="21" customHeight="1">
      <x:c r="A6009" s="10" t="n">
        <x:v>46273</x:v>
      </x:c>
      <x:c r="B6009" s="1" t="n">
        <x:v>16.5</x:v>
      </x:c>
      <x:c r="C6009" s="1" t="n">
        <x:v>6</x:v>
      </x:c>
      <x:c r="D6009" s="12" t="n">
        <x:v>0</x:v>
      </x:c>
      <x:c r="E6009" s="12" t="n">
        <x:v>0.22299999999999998</x:v>
      </x:c>
      <x:c r="F6009" s="12" t="n">
        <x:v>0.22241666666666665</x:v>
      </x:c>
      <x:c r="G6009" s="12" t="n">
        <x:v>0</x:v>
      </x:c>
      <x:c r="H6009" s="1" t="n">
        <x:f>'Historical prices'!E6009</x:f>
        <x:v>1.05</x:v>
      </x:c>
      <x:c r="I6009" s="6" t="n">
        <x:f>'Historical prices'!D6009</x:f>
        <x:v>0.33659999999999995</x:v>
      </x:c>
      <x:c r="J6009" s="13" t="n">
        <x:f>D6009*I6009*H6009</x:f>
        <x:v>0</x:v>
      </x:c>
      <x:c r="K6009" s="13" t="n">
        <x:f>E6009*I6009*H6009</x:f>
        <x:v>0.07881488999999998</x:v>
      </x:c>
      <x:c r="L6009" s="1" t="str">
        <x:f>TEXT(A6009,"mmm yyyy")</x:f>
        <x:v>Sep 2026</x:v>
      </x:c>
    </x:row>
    <x:row r="6010" ht="21" customHeight="1">
      <x:c r="A6010" s="10" t="n">
        <x:v>46273</x:v>
      </x:c>
      <x:c r="B6010" s="1" t="n">
        <x:v>17</x:v>
      </x:c>
      <x:c r="C6010" s="1" t="n">
        <x:v>6</x:v>
      </x:c>
      <x:c r="D6010" s="12" t="n">
        <x:v>0</x:v>
      </x:c>
      <x:c r="E6010" s="12" t="n">
        <x:v>0.2639166666666667</x:v>
      </x:c>
      <x:c r="F6010" s="12" t="n">
        <x:v>0.26358333333333334</x:v>
      </x:c>
      <x:c r="G6010" s="12" t="n">
        <x:v>0</x:v>
      </x:c>
      <x:c r="H6010" s="1" t="n">
        <x:f>'Historical prices'!E6010</x:f>
        <x:v>1.05</x:v>
      </x:c>
      <x:c r="I6010" s="6" t="n">
        <x:f>'Historical prices'!D6010</x:f>
        <x:v>0.3822</x:v>
      </x:c>
      <x:c r="J6010" s="13" t="n">
        <x:f>D6010*I6010*H6010</x:f>
        <x:v>0</x:v>
      </x:c>
      <x:c r="K6010" s="13" t="n">
        <x:f>E6010*I6010*H6010</x:f>
        <x:v>0.1059123975</x:v>
      </x:c>
      <x:c r="L6010" s="1" t="str">
        <x:f>TEXT(A6010,"mmm yyyy")</x:f>
        <x:v>Sep 2026</x:v>
      </x:c>
    </x:row>
    <x:row r="6011" ht="21" customHeight="1">
      <x:c r="A6011" s="10" t="n">
        <x:v>46273</x:v>
      </x:c>
      <x:c r="B6011" s="1" t="n">
        <x:v>17.5</x:v>
      </x:c>
      <x:c r="C6011" s="1" t="n">
        <x:v>6</x:v>
      </x:c>
      <x:c r="D6011" s="12" t="n">
        <x:v>0</x:v>
      </x:c>
      <x:c r="E6011" s="12" t="n">
        <x:v>0.24166666666666667</x:v>
      </x:c>
      <x:c r="F6011" s="12" t="n">
        <x:v>0.24133333333333332</x:v>
      </x:c>
      <x:c r="G6011" s="12" t="n">
        <x:v>0</x:v>
      </x:c>
      <x:c r="H6011" s="1" t="n">
        <x:f>'Historical prices'!E6011</x:f>
        <x:v>1.05</x:v>
      </x:c>
      <x:c r="I6011" s="6" t="n">
        <x:f>'Historical prices'!D6011</x:f>
        <x:v>0.4278</x:v>
      </x:c>
      <x:c r="J6011" s="13" t="n">
        <x:f>D6011*I6011*H6011</x:f>
        <x:v>0</x:v>
      </x:c>
      <x:c r="K6011" s="13" t="n">
        <x:f>E6011*I6011*H6011</x:f>
        <x:v>0.10855425</x:v>
      </x:c>
      <x:c r="L6011" s="1" t="str">
        <x:f>TEXT(A6011,"mmm yyyy")</x:f>
        <x:v>Sep 2026</x:v>
      </x:c>
    </x:row>
    <x:row r="6012" ht="21" customHeight="1">
      <x:c r="A6012" s="10" t="n">
        <x:v>46273</x:v>
      </x:c>
      <x:c r="B6012" s="1" t="n">
        <x:v>18</x:v>
      </x:c>
      <x:c r="C6012" s="1" t="n">
        <x:v>6</x:v>
      </x:c>
      <x:c r="D6012" s="12" t="n">
        <x:v>0</x:v>
      </x:c>
      <x:c r="E6012" s="12" t="n">
        <x:v>0.26208333333333333</x:v>
      </x:c>
      <x:c r="F6012" s="12" t="n">
        <x:v>0.26116666666666666</x:v>
      </x:c>
      <x:c r="G6012" s="12" t="n">
        <x:v>0</x:v>
      </x:c>
      <x:c r="H6012" s="1" t="n">
        <x:f>'Historical prices'!E6012</x:f>
        <x:v>1.05</x:v>
      </x:c>
      <x:c r="I6012" s="6" t="n">
        <x:f>'Historical prices'!D6012</x:f>
        <x:v>0.4415</x:v>
      </x:c>
      <x:c r="J6012" s="13" t="n">
        <x:f>D6012*I6012*H6012</x:f>
        <x:v>0</x:v>
      </x:c>
      <x:c r="K6012" s="13" t="n">
        <x:f>E6012*I6012*H6012</x:f>
        <x:v>0.12149528125000002</x:v>
      </x:c>
      <x:c r="L6012" s="1" t="str">
        <x:f>TEXT(A6012,"mmm yyyy")</x:f>
        <x:v>Sep 2026</x:v>
      </x:c>
    </x:row>
    <x:row r="6013" ht="21" customHeight="1">
      <x:c r="A6013" s="10" t="n">
        <x:v>46273</x:v>
      </x:c>
      <x:c r="B6013" s="1" t="n">
        <x:v>18.5</x:v>
      </x:c>
      <x:c r="C6013" s="1" t="n">
        <x:v>6</x:v>
      </x:c>
      <x:c r="D6013" s="12" t="n">
        <x:v>0</x:v>
      </x:c>
      <x:c r="E6013" s="12" t="n">
        <x:v>0.21625</x:v>
      </x:c>
      <x:c r="F6013" s="12" t="n">
        <x:v>0.21525</x:v>
      </x:c>
      <x:c r="G6013" s="12" t="n">
        <x:v>0</x:v>
      </x:c>
      <x:c r="H6013" s="1" t="n">
        <x:f>'Historical prices'!E6013</x:f>
        <x:v>1.05</x:v>
      </x:c>
      <x:c r="I6013" s="6" t="n">
        <x:f>'Historical prices'!D6013</x:f>
        <x:v>0.4558</x:v>
      </x:c>
      <x:c r="J6013" s="13" t="n">
        <x:f>D6013*I6013*H6013</x:f>
        <x:v>0</x:v>
      </x:c>
      <x:c r="K6013" s="13" t="n">
        <x:f>E6013*I6013*H6013</x:f>
        <x:v>0.1034950875</x:v>
      </x:c>
      <x:c r="L6013" s="1" t="str">
        <x:f>TEXT(A6013,"mmm yyyy")</x:f>
        <x:v>Sep 2026</x:v>
      </x:c>
    </x:row>
    <x:row r="6014" ht="21" customHeight="1">
      <x:c r="A6014" s="10" t="n">
        <x:v>46273</x:v>
      </x:c>
      <x:c r="B6014" s="1" t="n">
        <x:v>19</x:v>
      </x:c>
      <x:c r="C6014" s="1" t="n">
        <x:v>6</x:v>
      </x:c>
      <x:c r="D6014" s="12" t="n">
        <x:v>0</x:v>
      </x:c>
      <x:c r="E6014" s="12" t="n">
        <x:v>0.25483333333333336</x:v>
      </x:c>
      <x:c r="F6014" s="12" t="n">
        <x:v>0.25458333333333333</x:v>
      </x:c>
      <x:c r="G6014" s="12" t="n">
        <x:v>0</x:v>
      </x:c>
      <x:c r="H6014" s="1" t="n">
        <x:f>'Historical prices'!E6014</x:f>
        <x:v>1.05</x:v>
      </x:c>
      <x:c r="I6014" s="6" t="n">
        <x:f>'Historical prices'!D6014</x:f>
        <x:v>0.3211</x:v>
      </x:c>
      <x:c r="J6014" s="13" t="n">
        <x:f>D6014*I6014*H6014</x:f>
        <x:v>0</x:v>
      </x:c>
      <x:c r="K6014" s="13" t="n">
        <x:f>E6014*I6014*H6014</x:f>
        <x:v>0.08591833250000001</x:v>
      </x:c>
      <x:c r="L6014" s="1" t="str">
        <x:f>TEXT(A6014,"mmm yyyy")</x:f>
        <x:v>Sep 2026</x:v>
      </x:c>
    </x:row>
    <x:row r="6015" ht="21" customHeight="1">
      <x:c r="A6015" s="10" t="n">
        <x:v>46273</x:v>
      </x:c>
      <x:c r="B6015" s="1" t="n">
        <x:v>19.5</x:v>
      </x:c>
      <x:c r="C6015" s="1" t="n">
        <x:v>6</x:v>
      </x:c>
      <x:c r="D6015" s="12" t="n">
        <x:v>0</x:v>
      </x:c>
      <x:c r="E6015" s="12" t="n">
        <x:v>0.3061666666666667</x:v>
      </x:c>
      <x:c r="F6015" s="12" t="n">
        <x:v>0.30525</x:v>
      </x:c>
      <x:c r="G6015" s="12" t="n">
        <x:v>0</x:v>
      </x:c>
      <x:c r="H6015" s="1" t="n">
        <x:f>'Historical prices'!E6015</x:f>
        <x:v>1.05</x:v>
      </x:c>
      <x:c r="I6015" s="6" t="n">
        <x:f>'Historical prices'!D6015</x:f>
        <x:v>0.3343</x:v>
      </x:c>
      <x:c r="J6015" s="13" t="n">
        <x:f>D6015*I6015*H6015</x:f>
        <x:v>0</x:v>
      </x:c>
      <x:c r="K6015" s="13" t="n">
        <x:f>E6015*I6015*H6015</x:f>
        <x:v>0.1074690925</x:v>
      </x:c>
      <x:c r="L6015" s="1" t="str">
        <x:f>TEXT(A6015,"mmm yyyy")</x:f>
        <x:v>Sep 2026</x:v>
      </x:c>
    </x:row>
    <x:row r="6016" ht="21" customHeight="1">
      <x:c r="A6016" s="10" t="n">
        <x:v>46273</x:v>
      </x:c>
      <x:c r="B6016" s="1" t="n">
        <x:v>20</x:v>
      </x:c>
      <x:c r="C6016" s="1" t="n">
        <x:v>6</x:v>
      </x:c>
      <x:c r="D6016" s="12" t="n">
        <x:v>0</x:v>
      </x:c>
      <x:c r="E6016" s="12" t="n">
        <x:v>0.30025</x:v>
      </x:c>
      <x:c r="F6016" s="12" t="n">
        <x:v>0.29983333333333334</x:v>
      </x:c>
      <x:c r="G6016" s="12" t="n">
        <x:v>0</x:v>
      </x:c>
      <x:c r="H6016" s="1" t="n">
        <x:f>'Historical prices'!E6016</x:f>
        <x:v>1.05</x:v>
      </x:c>
      <x:c r="I6016" s="6" t="n">
        <x:f>'Historical prices'!D6016</x:f>
        <x:v>0.3447</x:v>
      </x:c>
      <x:c r="J6016" s="13" t="n">
        <x:f>D6016*I6016*H6016</x:f>
        <x:v>0</x:v>
      </x:c>
      <x:c r="K6016" s="13" t="n">
        <x:f>E6016*I6016*H6016</x:f>
        <x:v>0.10867098375000002</x:v>
      </x:c>
      <x:c r="L6016" s="1" t="str">
        <x:f>TEXT(A6016,"mmm yyyy")</x:f>
        <x:v>Sep 2026</x:v>
      </x:c>
    </x:row>
    <x:row r="6017" ht="21" customHeight="1">
      <x:c r="A6017" s="10" t="n">
        <x:v>46273</x:v>
      </x:c>
      <x:c r="B6017" s="1" t="n">
        <x:v>20.5</x:v>
      </x:c>
      <x:c r="C6017" s="1" t="n">
        <x:v>6</x:v>
      </x:c>
      <x:c r="D6017" s="12" t="n">
        <x:v>0</x:v>
      </x:c>
      <x:c r="E6017" s="12" t="n">
        <x:v>0.2735833333333333</x:v>
      </x:c>
      <x:c r="F6017" s="12" t="n">
        <x:v>0.27341666666666664</x:v>
      </x:c>
      <x:c r="G6017" s="12" t="n">
        <x:v>0</x:v>
      </x:c>
      <x:c r="H6017" s="1" t="n">
        <x:f>'Historical prices'!E6017</x:f>
        <x:v>1.05</x:v>
      </x:c>
      <x:c r="I6017" s="6" t="n">
        <x:f>'Historical prices'!D6017</x:f>
        <x:v>0.3392</x:v>
      </x:c>
      <x:c r="J6017" s="13" t="n">
        <x:f>D6017*I6017*H6017</x:f>
        <x:v>0</x:v>
      </x:c>
      <x:c r="K6017" s="13" t="n">
        <x:f>E6017*I6017*H6017</x:f>
        <x:v>0.09743943999999999</x:v>
      </x:c>
      <x:c r="L6017" s="1" t="str">
        <x:f>TEXT(A6017,"mmm yyyy")</x:f>
        <x:v>Sep 2026</x:v>
      </x:c>
    </x:row>
    <x:row r="6018" ht="21" customHeight="1">
      <x:c r="A6018" s="10" t="n">
        <x:v>46273</x:v>
      </x:c>
      <x:c r="B6018" s="1" t="n">
        <x:v>21</x:v>
      </x:c>
      <x:c r="C6018" s="1" t="n">
        <x:v>6</x:v>
      </x:c>
      <x:c r="D6018" s="12" t="n">
        <x:v>0</x:v>
      </x:c>
      <x:c r="E6018" s="12" t="n">
        <x:v>0.2991666666666667</x:v>
      </x:c>
      <x:c r="F6018" s="12" t="n">
        <x:v>0.2988333333333333</x:v>
      </x:c>
      <x:c r="G6018" s="12" t="n">
        <x:v>0</x:v>
      </x:c>
      <x:c r="H6018" s="1" t="n">
        <x:f>'Historical prices'!E6018</x:f>
        <x:v>1.05</x:v>
      </x:c>
      <x:c r="I6018" s="6" t="n">
        <x:f>'Historical prices'!D6018</x:f>
        <x:v>0.3308</x:v>
      </x:c>
      <x:c r="J6018" s="13" t="n">
        <x:f>D6018*I6018*H6018</x:f>
        <x:v>0</x:v>
      </x:c>
      <x:c r="K6018" s="13" t="n">
        <x:f>E6018*I6018*H6018</x:f>
        <x:v>0.10391255</x:v>
      </x:c>
      <x:c r="L6018" s="1" t="str">
        <x:f>TEXT(A6018,"mmm yyyy")</x:f>
        <x:v>Sep 2026</x:v>
      </x:c>
    </x:row>
    <x:row r="6019" ht="21" customHeight="1">
      <x:c r="A6019" s="10" t="n">
        <x:v>46273</x:v>
      </x:c>
      <x:c r="B6019" s="1" t="n">
        <x:v>21.5</x:v>
      </x:c>
      <x:c r="C6019" s="1" t="n">
        <x:v>6</x:v>
      </x:c>
      <x:c r="D6019" s="12" t="n">
        <x:v>0</x:v>
      </x:c>
      <x:c r="E6019" s="12" t="n">
        <x:v>0.34375</x:v>
      </x:c>
      <x:c r="F6019" s="12" t="n">
        <x:v>0.3435833333333333</x:v>
      </x:c>
      <x:c r="G6019" s="12" t="n">
        <x:v>0</x:v>
      </x:c>
      <x:c r="H6019" s="1" t="n">
        <x:f>'Historical prices'!E6019</x:f>
        <x:v>1.05</x:v>
      </x:c>
      <x:c r="I6019" s="6" t="n">
        <x:f>'Historical prices'!D6019</x:f>
        <x:v>0.2752</x:v>
      </x:c>
      <x:c r="J6019" s="13" t="n">
        <x:f>D6019*I6019*H6019</x:f>
        <x:v>0</x:v>
      </x:c>
      <x:c r="K6019" s="13" t="n">
        <x:f>E6019*I6019*H6019</x:f>
        <x:v>0.09933</x:v>
      </x:c>
      <x:c r="L6019" s="1" t="str">
        <x:f>TEXT(A6019,"mmm yyyy")</x:f>
        <x:v>Sep 2026</x:v>
      </x:c>
    </x:row>
    <x:row r="6020" ht="21" customHeight="1">
      <x:c r="A6020" s="10" t="n">
        <x:v>46273</x:v>
      </x:c>
      <x:c r="B6020" s="1" t="n">
        <x:v>22</x:v>
      </x:c>
      <x:c r="C6020" s="1" t="n">
        <x:v>6</x:v>
      </x:c>
      <x:c r="D6020" s="12" t="n">
        <x:v>0</x:v>
      </x:c>
      <x:c r="E6020" s="12" t="n">
        <x:v>0.29825</x:v>
      </x:c>
      <x:c r="F6020" s="12" t="n">
        <x:v>0.29783333333333334</x:v>
      </x:c>
      <x:c r="G6020" s="12" t="n">
        <x:v>0</x:v>
      </x:c>
      <x:c r="H6020" s="1" t="n">
        <x:f>'Historical prices'!E6020</x:f>
        <x:v>1.05</x:v>
      </x:c>
      <x:c r="I6020" s="6" t="n">
        <x:f>'Historical prices'!D6020</x:f>
        <x:v>0.28600000000000003</x:v>
      </x:c>
      <x:c r="J6020" s="13" t="n">
        <x:f>D6020*I6020*H6020</x:f>
        <x:v>0</x:v>
      </x:c>
      <x:c r="K6020" s="13" t="n">
        <x:f>E6020*I6020*H6020</x:f>
        <x:v>0.08956447500000002</x:v>
      </x:c>
      <x:c r="L6020" s="1" t="str">
        <x:f>TEXT(A6020,"mmm yyyy")</x:f>
        <x:v>Sep 2026</x:v>
      </x:c>
    </x:row>
    <x:row r="6021" ht="21" customHeight="1">
      <x:c r="A6021" s="10" t="n">
        <x:v>46273</x:v>
      </x:c>
      <x:c r="B6021" s="1" t="n">
        <x:v>22.5</x:v>
      </x:c>
      <x:c r="C6021" s="1" t="n">
        <x:v>6</x:v>
      </x:c>
      <x:c r="D6021" s="12" t="n">
        <x:v>0.17075</x:v>
      </x:c>
      <x:c r="E6021" s="12" t="n">
        <x:v>0.23558333333333334</x:v>
      </x:c>
      <x:c r="F6021" s="12" t="n">
        <x:v>0.05483333333333333</x:v>
      </x:c>
      <x:c r="G6021" s="12" t="n">
        <x:v>0</x:v>
      </x:c>
      <x:c r="H6021" s="1" t="n">
        <x:f>'Historical prices'!E6021</x:f>
        <x:v>1.05</x:v>
      </x:c>
      <x:c r="I6021" s="6" t="n">
        <x:f>'Historical prices'!D6021</x:f>
        <x:v>0.2483</x:v>
      </x:c>
      <x:c r="J6021" s="13" t="n">
        <x:f>D6021*I6021*H6021</x:f>
        <x:v>0.044517086250000004</x:v>
      </x:c>
      <x:c r="K6021" s="13" t="n">
        <x:f>E6021*I6021*H6021</x:f>
        <x:v>0.06142010875</x:v>
      </x:c>
      <x:c r="L6021" s="1" t="str">
        <x:f>TEXT(A6021,"mmm yyyy")</x:f>
        <x:v>Sep 2026</x:v>
      </x:c>
    </x:row>
    <x:row r="6022" ht="21" customHeight="1">
      <x:c r="A6022" s="10" t="n">
        <x:v>46273</x:v>
      </x:c>
      <x:c r="B6022" s="1" t="n">
        <x:v>23</x:v>
      </x:c>
      <x:c r="C6022" s="1" t="n">
        <x:v>6</x:v>
      </x:c>
      <x:c r="D6022" s="12" t="n">
        <x:v>0.16274999999999998</x:v>
      </x:c>
      <x:c r="E6022" s="12" t="n">
        <x:v>0.17375</x:v>
      </x:c>
      <x:c r="F6022" s="12" t="n">
        <x:v>0</x:v>
      </x:c>
      <x:c r="G6022" s="12" t="n">
        <x:v>0</x:v>
      </x:c>
      <x:c r="H6022" s="1" t="n">
        <x:f>'Historical prices'!E6022</x:f>
        <x:v>1.05</x:v>
      </x:c>
      <x:c r="I6022" s="6" t="n">
        <x:f>'Historical prices'!D6022</x:f>
        <x:v>0.23120000000000002</x:v>
      </x:c>
      <x:c r="J6022" s="13" t="n">
        <x:f>D6022*I6022*H6022</x:f>
        <x:v>0.03950919</x:v>
      </x:c>
      <x:c r="K6022" s="13" t="n">
        <x:f>E6022*I6022*H6022</x:f>
        <x:v>0.04217955</x:v>
      </x:c>
      <x:c r="L6022" s="1" t="str">
        <x:f>TEXT(A6022,"mmm yyyy")</x:f>
        <x:v>Sep 2026</x:v>
      </x:c>
    </x:row>
    <x:row r="6023" ht="21" customHeight="1">
      <x:c r="A6023" s="10" t="n">
        <x:v>46273</x:v>
      </x:c>
      <x:c r="B6023" s="1" t="n">
        <x:v>23.5</x:v>
      </x:c>
      <x:c r="C6023" s="1" t="n">
        <x:v>6</x:v>
      </x:c>
      <x:c r="D6023" s="12" t="n">
        <x:v>3.4509999999999996</x:v>
      </x:c>
      <x:c r="E6023" s="12" t="n">
        <x:v>0.327</x:v>
      </x:c>
      <x:c r="F6023" s="12" t="n">
        <x:v>0</x:v>
      </x:c>
      <x:c r="G6023" s="12" t="n">
        <x:v>3.125</x:v>
      </x:c>
      <x:c r="H6023" s="1" t="n">
        <x:f>'Historical prices'!E6023</x:f>
        <x:v>1.05</x:v>
      </x:c>
      <x:c r="I6023" s="6" t="n">
        <x:f>'Historical prices'!D6023</x:f>
        <x:v>0.2146</x:v>
      </x:c>
      <x:c r="J6023" s="13" t="n">
        <x:f>D6023*I6023*H6023</x:f>
        <x:v>0.77761383</x:v>
      </x:c>
      <x:c r="K6023" s="13" t="n">
        <x:f>E6023*I6023*H6023</x:f>
        <x:v>0.07368291</x:v>
      </x:c>
      <x:c r="L6023" s="1" t="str">
        <x:f>TEXT(A6023,"mmm yyyy")</x:f>
        <x:v>Sep 2026</x:v>
      </x:c>
    </x:row>
    <x:row r="6024" ht="21" customHeight="1">
      <x:c r="A6024" s="10" t="n">
        <x:v>46274</x:v>
      </x:c>
      <x:c r="B6024" s="1" t="n">
        <x:v>0</x:v>
      </x:c>
      <x:c r="C6024" s="1" t="n">
        <x:v>6</x:v>
      </x:c>
      <x:c r="D6024" s="12" t="n">
        <x:v>0.864</x:v>
      </x:c>
      <x:c r="E6024" s="12" t="n">
        <x:v>0.252</x:v>
      </x:c>
      <x:c r="F6024" s="12" t="n">
        <x:v>0</x:v>
      </x:c>
      <x:c r="G6024" s="12" t="n">
        <x:v>0.615</x:v>
      </x:c>
      <x:c r="H6024" s="1" t="n">
        <x:f>'Historical prices'!E6024</x:f>
        <x:v>1.05</x:v>
      </x:c>
      <x:c r="I6024" s="6" t="n">
        <x:f>'Historical prices'!D6024</x:f>
        <x:v>0.21960000000000002</x:v>
      </x:c>
      <x:c r="J6024" s="13" t="n">
        <x:f>D6024*I6024*H6024</x:f>
        <x:v>0.19922112000000003</x:v>
      </x:c>
      <x:c r="K6024" s="13" t="n">
        <x:f>E6024*I6024*H6024</x:f>
        <x:v>0.05810616000000001</x:v>
      </x:c>
      <x:c r="L6024" s="1" t="str">
        <x:f>TEXT(A6024,"mmm yyyy")</x:f>
        <x:v>Sep 2026</x:v>
      </x:c>
    </x:row>
    <x:row r="6025" ht="21" customHeight="1">
      <x:c r="A6025" s="10" t="n">
        <x:v>46274</x:v>
      </x:c>
      <x:c r="B6025" s="1" t="n">
        <x:v>0.5</x:v>
      </x:c>
      <x:c r="C6025" s="1" t="n">
        <x:v>6</x:v>
      </x:c>
      <x:c r="D6025" s="12" t="n">
        <x:v>0.1605</x:v>
      </x:c>
      <x:c r="E6025" s="12" t="n">
        <x:v>0.1705</x:v>
      </x:c>
      <x:c r="F6025" s="12" t="n">
        <x:v>0</x:v>
      </x:c>
      <x:c r="G6025" s="12" t="n">
        <x:v>0</x:v>
      </x:c>
      <x:c r="H6025" s="1" t="n">
        <x:f>'Historical prices'!E6025</x:f>
        <x:v>1.05</x:v>
      </x:c>
      <x:c r="I6025" s="6" t="n">
        <x:f>'Historical prices'!D6025</x:f>
        <x:v>0.2291</x:v>
      </x:c>
      <x:c r="J6025" s="13" t="n">
        <x:f>D6025*I6025*H6025</x:f>
        <x:v>0.0386090775</x:v>
      </x:c>
      <x:c r="K6025" s="13" t="n">
        <x:f>E6025*I6025*H6025</x:f>
        <x:v>0.041014627500000005</x:v>
      </x:c>
      <x:c r="L6025" s="1" t="str">
        <x:f>TEXT(A6025,"mmm yyyy")</x:f>
        <x:v>Sep 2026</x:v>
      </x:c>
    </x:row>
    <x:row r="6026" ht="21" customHeight="1">
      <x:c r="A6026" s="10" t="n">
        <x:v>46274</x:v>
      </x:c>
      <x:c r="B6026" s="1" t="n">
        <x:v>1</x:v>
      </x:c>
      <x:c r="C6026" s="1" t="n">
        <x:v>6</x:v>
      </x:c>
      <x:c r="D6026" s="12" t="n">
        <x:v>0.16125</x:v>
      </x:c>
      <x:c r="E6026" s="12" t="n">
        <x:v>0.17325</x:v>
      </x:c>
      <x:c r="F6026" s="12" t="n">
        <x:v>0</x:v>
      </x:c>
      <x:c r="G6026" s="12" t="n">
        <x:v>0</x:v>
      </x:c>
      <x:c r="H6026" s="1" t="n">
        <x:f>'Historical prices'!E6026</x:f>
        <x:v>1.05</x:v>
      </x:c>
      <x:c r="I6026" s="6" t="n">
        <x:f>'Historical prices'!D6026</x:f>
        <x:v>0.2291</x:v>
      </x:c>
      <x:c r="J6026" s="13" t="n">
        <x:f>D6026*I6026*H6026</x:f>
        <x:v>0.03878949375</x:v>
      </x:c>
      <x:c r="K6026" s="13" t="n">
        <x:f>E6026*I6026*H6026</x:f>
        <x:v>0.04167615375</x:v>
      </x:c>
      <x:c r="L6026" s="1" t="str">
        <x:f>TEXT(A6026,"mmm yyyy")</x:f>
        <x:v>Sep 2026</x:v>
      </x:c>
    </x:row>
    <x:row r="6027" ht="21" customHeight="1">
      <x:c r="A6027" s="10" t="n">
        <x:v>46274</x:v>
      </x:c>
      <x:c r="B6027" s="1" t="n">
        <x:v>1.5</x:v>
      </x:c>
      <x:c r="C6027" s="1" t="n">
        <x:v>6</x:v>
      </x:c>
      <x:c r="D6027" s="12" t="n">
        <x:v>0.19425</x:v>
      </x:c>
      <x:c r="E6027" s="12" t="n">
        <x:v>0.20525000000000002</x:v>
      </x:c>
      <x:c r="F6027" s="12" t="n">
        <x:v>0</x:v>
      </x:c>
      <x:c r="G6027" s="12" t="n">
        <x:v>0</x:v>
      </x:c>
      <x:c r="H6027" s="1" t="n">
        <x:f>'Historical prices'!E6027</x:f>
        <x:v>1.05</x:v>
      </x:c>
      <x:c r="I6027" s="6" t="n">
        <x:f>'Historical prices'!D6027</x:f>
        <x:v>0.24170000000000003</x:v>
      </x:c>
      <x:c r="J6027" s="13" t="n">
        <x:f>D6027*I6027*H6027</x:f>
        <x:v>0.04929773625000001</x:v>
      </x:c>
      <x:c r="K6027" s="13" t="n">
        <x:f>E6027*I6027*H6027</x:f>
        <x:v>0.052089371250000016</x:v>
      </x:c>
      <x:c r="L6027" s="1" t="str">
        <x:f>TEXT(A6027,"mmm yyyy")</x:f>
        <x:v>Sep 2026</x:v>
      </x:c>
    </x:row>
    <x:row r="6028" ht="21" customHeight="1">
      <x:c r="A6028" s="10" t="n">
        <x:v>46274</x:v>
      </x:c>
      <x:c r="B6028" s="1" t="n">
        <x:v>2</x:v>
      </x:c>
      <x:c r="C6028" s="1" t="n">
        <x:v>6</x:v>
      </x:c>
      <x:c r="D6028" s="12" t="n">
        <x:v>0.25275000000000003</x:v>
      </x:c>
      <x:c r="E6028" s="12" t="n">
        <x:v>0.26375</x:v>
      </x:c>
      <x:c r="F6028" s="12" t="n">
        <x:v>0</x:v>
      </x:c>
      <x:c r="G6028" s="12" t="n">
        <x:v>0</x:v>
      </x:c>
      <x:c r="H6028" s="1" t="n">
        <x:f>'Historical prices'!E6028</x:f>
        <x:v>1.05</x:v>
      </x:c>
      <x:c r="I6028" s="6" t="n">
        <x:f>'Historical prices'!D6028</x:f>
        <x:v>0.2291</x:v>
      </x:c>
      <x:c r="J6028" s="13" t="n">
        <x:f>D6028*I6028*H6028</x:f>
        <x:v>0.06080027625000001</x:v>
      </x:c>
      <x:c r="K6028" s="13" t="n">
        <x:f>E6028*I6028*H6028</x:f>
        <x:v>0.06344638125</x:v>
      </x:c>
      <x:c r="L6028" s="1" t="str">
        <x:f>TEXT(A6028,"mmm yyyy")</x:f>
        <x:v>Sep 2026</x:v>
      </x:c>
    </x:row>
    <x:row r="6029" ht="21" customHeight="1">
      <x:c r="A6029" s="10" t="n">
        <x:v>46274</x:v>
      </x:c>
      <x:c r="B6029" s="1" t="n">
        <x:v>2.5</x:v>
      </x:c>
      <x:c r="C6029" s="1" t="n">
        <x:v>6</x:v>
      </x:c>
      <x:c r="D6029" s="12" t="n">
        <x:v>0.16849999999999998</x:v>
      </x:c>
      <x:c r="E6029" s="12" t="n">
        <x:v>0.1775</x:v>
      </x:c>
      <x:c r="F6029" s="12" t="n">
        <x:v>0</x:v>
      </x:c>
      <x:c r="G6029" s="12" t="n">
        <x:v>0</x:v>
      </x:c>
      <x:c r="H6029" s="1" t="n">
        <x:f>'Historical prices'!E6029</x:f>
        <x:v>1.05</x:v>
      </x:c>
      <x:c r="I6029" s="6" t="n">
        <x:f>'Historical prices'!D6029</x:f>
        <x:v>0.2291</x:v>
      </x:c>
      <x:c r="J6029" s="13" t="n">
        <x:f>D6029*I6029*H6029</x:f>
        <x:v>0.0405335175</x:v>
      </x:c>
      <x:c r="K6029" s="13" t="n">
        <x:f>E6029*I6029*H6029</x:f>
        <x:v>0.0426985125</x:v>
      </x:c>
      <x:c r="L6029" s="1" t="str">
        <x:f>TEXT(A6029,"mmm yyyy")</x:f>
        <x:v>Sep 2026</x:v>
      </x:c>
    </x:row>
    <x:row r="6030" ht="21" customHeight="1">
      <x:c r="A6030" s="10" t="n">
        <x:v>46274</x:v>
      </x:c>
      <x:c r="B6030" s="1" t="n">
        <x:v>3</x:v>
      </x:c>
      <x:c r="C6030" s="1" t="n">
        <x:v>6</x:v>
      </x:c>
      <x:c r="D6030" s="12" t="n">
        <x:v>1.6072499999999998</x:v>
      </x:c>
      <x:c r="E6030" s="12" t="n">
        <x:v>0.30825</x:v>
      </x:c>
      <x:c r="F6030" s="12" t="n">
        <x:v>0</x:v>
      </x:c>
      <x:c r="G6030" s="12" t="n">
        <x:v>1.3</x:v>
      </x:c>
      <x:c r="H6030" s="1" t="n">
        <x:f>'Historical prices'!E6030</x:f>
        <x:v>1.05</x:v>
      </x:c>
      <x:c r="I6030" s="6" t="n">
        <x:f>'Historical prices'!D6030</x:f>
        <x:v>0.2186</x:v>
      </x:c>
      <x:c r="J6030" s="13" t="n">
        <x:f>D6030*I6030*H6030</x:f>
        <x:v>0.36891209249999996</x:v>
      </x:c>
      <x:c r="K6030" s="13" t="n">
        <x:f>E6030*I6030*H6030</x:f>
        <x:v>0.0707526225</x:v>
      </x:c>
      <x:c r="L6030" s="1" t="str">
        <x:f>TEXT(A6030,"mmm yyyy")</x:f>
        <x:v>Sep 2026</x:v>
      </x:c>
    </x:row>
    <x:row r="6031" ht="21" customHeight="1">
      <x:c r="A6031" s="10" t="n">
        <x:v>46274</x:v>
      </x:c>
      <x:c r="B6031" s="1" t="n">
        <x:v>3.5</x:v>
      </x:c>
      <x:c r="C6031" s="1" t="n">
        <x:v>6</x:v>
      </x:c>
      <x:c r="D6031" s="12" t="n">
        <x:v>2.4770000000000003</x:v>
      </x:c>
      <x:c r="E6031" s="12" t="n">
        <x:v>0.341</x:v>
      </x:c>
      <x:c r="F6031" s="12" t="n">
        <x:v>0</x:v>
      </x:c>
      <x:c r="G6031" s="12" t="n">
        <x:v>2.1359999999999997</x:v>
      </x:c>
      <x:c r="H6031" s="1" t="n">
        <x:f>'Historical prices'!E6031</x:f>
        <x:v>1.05</x:v>
      </x:c>
      <x:c r="I6031" s="6" t="n">
        <x:f>'Historical prices'!D6031</x:f>
        <x:v>0.21559999999999999</x:v>
      </x:c>
      <x:c r="J6031" s="13" t="n">
        <x:f>D6031*I6031*H6031</x:f>
        <x:v>0.56074326</x:v>
      </x:c>
      <x:c r="K6031" s="13" t="n">
        <x:f>E6031*I6031*H6031</x:f>
        <x:v>0.07719558000000001</x:v>
      </x:c>
      <x:c r="L6031" s="1" t="str">
        <x:f>TEXT(A6031,"mmm yyyy")</x:f>
        <x:v>Sep 2026</x:v>
      </x:c>
    </x:row>
    <x:row r="6032" ht="21" customHeight="1">
      <x:c r="A6032" s="10" t="n">
        <x:v>46274</x:v>
      </x:c>
      <x:c r="B6032" s="1" t="n">
        <x:v>4</x:v>
      </x:c>
      <x:c r="C6032" s="1" t="n">
        <x:v>6</x:v>
      </x:c>
      <x:c r="D6032" s="12" t="n">
        <x:v>0.49</x:v>
      </x:c>
      <x:c r="E6032" s="12" t="n">
        <x:v>0.22399999999999998</x:v>
      </x:c>
      <x:c r="F6032" s="12" t="n">
        <x:v>0</x:v>
      </x:c>
      <x:c r="G6032" s="12" t="n">
        <x:v>0.272</x:v>
      </x:c>
      <x:c r="H6032" s="1" t="n">
        <x:f>'Historical prices'!E6032</x:f>
        <x:v>1.05</x:v>
      </x:c>
      <x:c r="I6032" s="6" t="n">
        <x:f>'Historical prices'!D6032</x:f>
        <x:v>0.2232</x:v>
      </x:c>
      <x:c r="J6032" s="13" t="n">
        <x:f>D6032*I6032*H6032</x:f>
        <x:v>0.1148364</x:v>
      </x:c>
      <x:c r="K6032" s="13" t="n">
        <x:f>E6032*I6032*H6032</x:f>
        <x:v>0.05249664</x:v>
      </x:c>
      <x:c r="L6032" s="1" t="str">
        <x:f>TEXT(A6032,"mmm yyyy")</x:f>
        <x:v>Sep 2026</x:v>
      </x:c>
    </x:row>
    <x:row r="6033" ht="21" customHeight="1">
      <x:c r="A6033" s="10" t="n">
        <x:v>46274</x:v>
      </x:c>
      <x:c r="B6033" s="1" t="n">
        <x:v>4.5</x:v>
      </x:c>
      <x:c r="C6033" s="1" t="n">
        <x:v>6</x:v>
      </x:c>
      <x:c r="D6033" s="12" t="n">
        <x:v>0.2255</x:v>
      </x:c>
      <x:c r="E6033" s="12" t="n">
        <x:v>0.23750000000000002</x:v>
      </x:c>
      <x:c r="F6033" s="12" t="n">
        <x:v>0</x:v>
      </x:c>
      <x:c r="G6033" s="12" t="n">
        <x:v>0</x:v>
      </x:c>
      <x:c r="H6033" s="1" t="n">
        <x:f>'Historical prices'!E6033</x:f>
        <x:v>1.05</x:v>
      </x:c>
      <x:c r="I6033" s="6" t="n">
        <x:f>'Historical prices'!D6033</x:f>
        <x:v>0.22010000000000002</x:v>
      </x:c>
      <x:c r="J6033" s="13" t="n">
        <x:f>D6033*I6033*H6033</x:f>
        <x:v>0.052114177500000004</x:v>
      </x:c>
      <x:c r="K6033" s="13" t="n">
        <x:f>E6033*I6033*H6033</x:f>
        <x:v>0.05488743750000001</x:v>
      </x:c>
      <x:c r="L6033" s="1" t="str">
        <x:f>TEXT(A6033,"mmm yyyy")</x:f>
        <x:v>Sep 2026</x:v>
      </x:c>
    </x:row>
    <x:row r="6034" ht="21" customHeight="1">
      <x:c r="A6034" s="10" t="n">
        <x:v>46274</x:v>
      </x:c>
      <x:c r="B6034" s="1" t="n">
        <x:v>5</x:v>
      </x:c>
      <x:c r="C6034" s="1" t="n">
        <x:v>6</x:v>
      </x:c>
      <x:c r="D6034" s="12" t="n">
        <x:v>0.20450000000000002</x:v>
      </x:c>
      <x:c r="E6034" s="12" t="n">
        <x:v>0.2155</x:v>
      </x:c>
      <x:c r="F6034" s="12" t="n">
        <x:v>0</x:v>
      </x:c>
      <x:c r="G6034" s="12" t="n">
        <x:v>0</x:v>
      </x:c>
      <x:c r="H6034" s="1" t="n">
        <x:f>'Historical prices'!E6034</x:f>
        <x:v>1.05</x:v>
      </x:c>
      <x:c r="I6034" s="6" t="n">
        <x:f>'Historical prices'!D6034</x:f>
        <x:v>0.2438</x:v>
      </x:c>
      <x:c r="J6034" s="13" t="n">
        <x:f>D6034*I6034*H6034</x:f>
        <x:v>0.052349955000000004</x:v>
      </x:c>
      <x:c r="K6034" s="13" t="n">
        <x:f>E6034*I6034*H6034</x:f>
        <x:v>0.055165845000000005</x:v>
      </x:c>
      <x:c r="L6034" s="1" t="str">
        <x:f>TEXT(A6034,"mmm yyyy")</x:f>
        <x:v>Sep 2026</x:v>
      </x:c>
    </x:row>
    <x:row r="6035" ht="21" customHeight="1">
      <x:c r="A6035" s="10" t="n">
        <x:v>46274</x:v>
      </x:c>
      <x:c r="B6035" s="1" t="n">
        <x:v>5.5</x:v>
      </x:c>
      <x:c r="C6035" s="1" t="n">
        <x:v>6</x:v>
      </x:c>
      <x:c r="D6035" s="12" t="n">
        <x:v>0.03225</x:v>
      </x:c>
      <x:c r="E6035" s="12" t="n">
        <x:v>0.246</x:v>
      </x:c>
      <x:c r="F6035" s="12" t="n">
        <x:v>0.21225</x:v>
      </x:c>
      <x:c r="G6035" s="12" t="n">
        <x:v>0</x:v>
      </x:c>
      <x:c r="H6035" s="1" t="n">
        <x:f>'Historical prices'!E6035</x:f>
        <x:v>1.05</x:v>
      </x:c>
      <x:c r="I6035" s="6" t="n">
        <x:f>'Historical prices'!D6035</x:f>
        <x:v>0.2898</x:v>
      </x:c>
      <x:c r="J6035" s="13" t="n">
        <x:f>D6035*I6035*H6035</x:f>
        <x:v>0.0098133525</x:v>
      </x:c>
      <x:c r="K6035" s="13" t="n">
        <x:f>E6035*I6035*H6035</x:f>
        <x:v>0.07485534</x:v>
      </x:c>
      <x:c r="L6035" s="1" t="str">
        <x:f>TEXT(A6035,"mmm yyyy")</x:f>
        <x:v>Sep 2026</x:v>
      </x:c>
    </x:row>
    <x:row r="6036" ht="21" customHeight="1">
      <x:c r="A6036" s="10" t="n">
        <x:v>46274</x:v>
      </x:c>
      <x:c r="B6036" s="1" t="n">
        <x:v>6</x:v>
      </x:c>
      <x:c r="C6036" s="1" t="n">
        <x:v>6</x:v>
      </x:c>
      <x:c r="D6036" s="12" t="n">
        <x:v>0</x:v>
      </x:c>
      <x:c r="E6036" s="12" t="n">
        <x:v>0.26916666666666667</x:v>
      </x:c>
      <x:c r="F6036" s="12" t="n">
        <x:v>0.26875000000000004</x:v>
      </x:c>
      <x:c r="G6036" s="12" t="n">
        <x:v>0</x:v>
      </x:c>
      <x:c r="H6036" s="1" t="n">
        <x:f>'Historical prices'!E6036</x:f>
        <x:v>1.05</x:v>
      </x:c>
      <x:c r="I6036" s="6" t="n">
        <x:f>'Historical prices'!D6036</x:f>
        <x:v>0.3013</x:v>
      </x:c>
      <x:c r="J6036" s="13" t="n">
        <x:f>D6036*I6036*H6036</x:f>
        <x:v>0</x:v>
      </x:c>
      <x:c r="K6036" s="13" t="n">
        <x:f>E6036*I6036*H6036</x:f>
        <x:v>0.08515491250000001</x:v>
      </x:c>
      <x:c r="L6036" s="1" t="str">
        <x:f>TEXT(A6036,"mmm yyyy")</x:f>
        <x:v>Sep 2026</x:v>
      </x:c>
    </x:row>
    <x:row r="6037" ht="21" customHeight="1">
      <x:c r="A6037" s="10" t="n">
        <x:v>46274</x:v>
      </x:c>
      <x:c r="B6037" s="1" t="n">
        <x:v>6.5</x:v>
      </x:c>
      <x:c r="C6037" s="1" t="n">
        <x:v>6</x:v>
      </x:c>
      <x:c r="D6037" s="12" t="n">
        <x:v>0</x:v>
      </x:c>
      <x:c r="E6037" s="12" t="n">
        <x:v>0.378</x:v>
      </x:c>
      <x:c r="F6037" s="12" t="n">
        <x:v>0.3775833333333334</x:v>
      </x:c>
      <x:c r="G6037" s="12" t="n">
        <x:v>0</x:v>
      </x:c>
      <x:c r="H6037" s="1" t="n">
        <x:f>'Historical prices'!E6037</x:f>
        <x:v>1.05</x:v>
      </x:c>
      <x:c r="I6037" s="6" t="n">
        <x:f>'Historical prices'!D6037</x:f>
        <x:v>0.34759999999999996</x:v>
      </x:c>
      <x:c r="J6037" s="13" t="n">
        <x:f>D6037*I6037*H6037</x:f>
        <x:v>0</x:v>
      </x:c>
      <x:c r="K6037" s="13" t="n">
        <x:f>E6037*I6037*H6037</x:f>
        <x:v>0.13796244</x:v>
      </x:c>
      <x:c r="L6037" s="1" t="str">
        <x:f>TEXT(A6037,"mmm yyyy")</x:f>
        <x:v>Sep 2026</x:v>
      </x:c>
    </x:row>
    <x:row r="6038" ht="21" customHeight="1">
      <x:c r="A6038" s="10" t="n">
        <x:v>46274</x:v>
      </x:c>
      <x:c r="B6038" s="1" t="n">
        <x:v>7</x:v>
      </x:c>
      <x:c r="C6038" s="1" t="n">
        <x:v>6</x:v>
      </x:c>
      <x:c r="D6038" s="12" t="n">
        <x:v>0</x:v>
      </x:c>
      <x:c r="E6038" s="12" t="n">
        <x:v>0.22841666666666666</x:v>
      </x:c>
      <x:c r="F6038" s="12" t="n">
        <x:v>0.22766666666666666</x:v>
      </x:c>
      <x:c r="G6038" s="12" t="n">
        <x:v>0</x:v>
      </x:c>
      <x:c r="H6038" s="1" t="n">
        <x:f>'Historical prices'!E6038</x:f>
        <x:v>1.05</x:v>
      </x:c>
      <x:c r="I6038" s="6" t="n">
        <x:f>'Historical prices'!D6038</x:f>
        <x:v>0.31079999999999997</x:v>
      </x:c>
      <x:c r="J6038" s="13" t="n">
        <x:f>D6038*I6038*H6038</x:f>
        <x:v>0</x:v>
      </x:c>
      <x:c r="K6038" s="13" t="n">
        <x:f>E6038*I6038*H6038</x:f>
        <x:v>0.07454149499999999</x:v>
      </x:c>
      <x:c r="L6038" s="1" t="str">
        <x:f>TEXT(A6038,"mmm yyyy")</x:f>
        <x:v>Sep 2026</x:v>
      </x:c>
    </x:row>
    <x:row r="6039" ht="21" customHeight="1">
      <x:c r="A6039" s="10" t="n">
        <x:v>46274</x:v>
      </x:c>
      <x:c r="B6039" s="1" t="n">
        <x:v>7.5</x:v>
      </x:c>
      <x:c r="C6039" s="1" t="n">
        <x:v>6</x:v>
      </x:c>
      <x:c r="D6039" s="12" t="n">
        <x:v>0</x:v>
      </x:c>
      <x:c r="E6039" s="12" t="n">
        <x:v>0.22291666666666665</x:v>
      </x:c>
      <x:c r="F6039" s="12" t="n">
        <x:v>0.22249999999999998</x:v>
      </x:c>
      <x:c r="G6039" s="12" t="n">
        <x:v>0</x:v>
      </x:c>
      <x:c r="H6039" s="1" t="n">
        <x:f>'Historical prices'!E6039</x:f>
        <x:v>1.05</x:v>
      </x:c>
      <x:c r="I6039" s="6" t="n">
        <x:f>'Historical prices'!D6039</x:f>
        <x:v>0.34020000000000006</x:v>
      </x:c>
      <x:c r="J6039" s="13" t="n">
        <x:f>D6039*I6039*H6039</x:f>
        <x:v>0</x:v>
      </x:c>
      <x:c r="K6039" s="13" t="n">
        <x:f>E6039*I6039*H6039</x:f>
        <x:v>0.07962806250000001</x:v>
      </x:c>
      <x:c r="L6039" s="1" t="str">
        <x:f>TEXT(A6039,"mmm yyyy")</x:f>
        <x:v>Sep 2026</x:v>
      </x:c>
    </x:row>
    <x:row r="6040" ht="21" customHeight="1">
      <x:c r="A6040" s="10" t="n">
        <x:v>46274</x:v>
      </x:c>
      <x:c r="B6040" s="1" t="n">
        <x:v>8</x:v>
      </x:c>
      <x:c r="C6040" s="1" t="n">
        <x:v>6</x:v>
      </x:c>
      <x:c r="D6040" s="12" t="n">
        <x:v>0</x:v>
      </x:c>
      <x:c r="E6040" s="12" t="n">
        <x:v>0.27283333333333337</x:v>
      </x:c>
      <x:c r="F6040" s="12" t="n">
        <x:v>0.27249999999999996</x:v>
      </x:c>
      <x:c r="G6040" s="12" t="n">
        <x:v>0</x:v>
      </x:c>
      <x:c r="H6040" s="1" t="n">
        <x:f>'Historical prices'!E6040</x:f>
        <x:v>1.05</x:v>
      </x:c>
      <x:c r="I6040" s="6" t="n">
        <x:f>'Historical prices'!D6040</x:f>
        <x:v>0.30210000000000004</x:v>
      </x:c>
      <x:c r="J6040" s="13" t="n">
        <x:f>D6040*I6040*H6040</x:f>
        <x:v>0</x:v>
      </x:c>
      <x:c r="K6040" s="13" t="n">
        <x:f>E6040*I6040*H6040</x:f>
        <x:v>0.08654409750000003</x:v>
      </x:c>
      <x:c r="L6040" s="1" t="str">
        <x:f>TEXT(A6040,"mmm yyyy")</x:f>
        <x:v>Sep 2026</x:v>
      </x:c>
    </x:row>
    <x:row r="6041" ht="21" customHeight="1">
      <x:c r="A6041" s="10" t="n">
        <x:v>46274</x:v>
      </x:c>
      <x:c r="B6041" s="1" t="n">
        <x:v>8.5</x:v>
      </x:c>
      <x:c r="C6041" s="1" t="n">
        <x:v>6</x:v>
      </x:c>
      <x:c r="D6041" s="12" t="n">
        <x:v>0</x:v>
      </x:c>
      <x:c r="E6041" s="12" t="n">
        <x:v>0.263</x:v>
      </x:c>
      <x:c r="F6041" s="12" t="n">
        <x:v>0.26258333333333334</x:v>
      </x:c>
      <x:c r="G6041" s="12" t="n">
        <x:v>0</x:v>
      </x:c>
      <x:c r="H6041" s="1" t="n">
        <x:f>'Historical prices'!E6041</x:f>
        <x:v>1.05</x:v>
      </x:c>
      <x:c r="I6041" s="6" t="n">
        <x:f>'Historical prices'!D6041</x:f>
        <x:v>0.2808</x:v>
      </x:c>
      <x:c r="J6041" s="13" t="n">
        <x:f>D6041*I6041*H6041</x:f>
        <x:v>0</x:v>
      </x:c>
      <x:c r="K6041" s="13" t="n">
        <x:f>E6041*I6041*H6041</x:f>
        <x:v>0.07754292</x:v>
      </x:c>
      <x:c r="L6041" s="1" t="str">
        <x:f>TEXT(A6041,"mmm yyyy")</x:f>
        <x:v>Sep 2026</x:v>
      </x:c>
    </x:row>
    <x:row r="6042" ht="21" customHeight="1">
      <x:c r="A6042" s="10" t="n">
        <x:v>46274</x:v>
      </x:c>
      <x:c r="B6042" s="1" t="n">
        <x:v>9</x:v>
      </x:c>
      <x:c r="C6042" s="1" t="n">
        <x:v>6</x:v>
      </x:c>
      <x:c r="D6042" s="12" t="n">
        <x:v>0</x:v>
      </x:c>
      <x:c r="E6042" s="12" t="n">
        <x:v>0.23399999999999999</x:v>
      </x:c>
      <x:c r="F6042" s="12" t="n">
        <x:v>0.23366666666666666</x:v>
      </x:c>
      <x:c r="G6042" s="12" t="n">
        <x:v>0</x:v>
      </x:c>
      <x:c r="H6042" s="1" t="n">
        <x:f>'Historical prices'!E6042</x:f>
        <x:v>1.05</x:v>
      </x:c>
      <x:c r="I6042" s="6" t="n">
        <x:f>'Historical prices'!D6042</x:f>
        <x:v>0.2937</x:v>
      </x:c>
      <x:c r="J6042" s="13" t="n">
        <x:f>D6042*I6042*H6042</x:f>
        <x:v>0</x:v>
      </x:c>
      <x:c r="K6042" s="13" t="n">
        <x:f>E6042*I6042*H6042</x:f>
        <x:v>0.07216209000000001</x:v>
      </x:c>
      <x:c r="L6042" s="1" t="str">
        <x:f>TEXT(A6042,"mmm yyyy")</x:f>
        <x:v>Sep 2026</x:v>
      </x:c>
    </x:row>
    <x:row r="6043" ht="21" customHeight="1">
      <x:c r="A6043" s="10" t="n">
        <x:v>46274</x:v>
      </x:c>
      <x:c r="B6043" s="1" t="n">
        <x:v>9.5</x:v>
      </x:c>
      <x:c r="C6043" s="1" t="n">
        <x:v>6</x:v>
      </x:c>
      <x:c r="D6043" s="12" t="n">
        <x:v>0</x:v>
      </x:c>
      <x:c r="E6043" s="12" t="n">
        <x:v>0.24774999999999997</x:v>
      </x:c>
      <x:c r="F6043" s="12" t="n">
        <x:v>0.243</x:v>
      </x:c>
      <x:c r="G6043" s="12" t="n">
        <x:v>0</x:v>
      </x:c>
      <x:c r="H6043" s="1" t="n">
        <x:f>'Historical prices'!E6043</x:f>
        <x:v>1.05</x:v>
      </x:c>
      <x:c r="I6043" s="6" t="n">
        <x:f>'Historical prices'!D6043</x:f>
        <x:v>0.2808</x:v>
      </x:c>
      <x:c r="J6043" s="13" t="n">
        <x:f>D6043*I6043*H6043</x:f>
        <x:v>0</x:v>
      </x:c>
      <x:c r="K6043" s="13" t="n">
        <x:f>E6043*I6043*H6043</x:f>
        <x:v>0.07304661</x:v>
      </x:c>
      <x:c r="L6043" s="1" t="str">
        <x:f>TEXT(A6043,"mmm yyyy")</x:f>
        <x:v>Sep 2026</x:v>
      </x:c>
    </x:row>
    <x:row r="6044" ht="21" customHeight="1">
      <x:c r="A6044" s="10" t="n">
        <x:v>46274</x:v>
      </x:c>
      <x:c r="B6044" s="1" t="n">
        <x:v>10</x:v>
      </x:c>
      <x:c r="C6044" s="1" t="n">
        <x:v>6</x:v>
      </x:c>
      <x:c r="D6044" s="12" t="n">
        <x:v>0</x:v>
      </x:c>
      <x:c r="E6044" s="12" t="n">
        <x:v>0.22291666666666665</x:v>
      </x:c>
      <x:c r="F6044" s="12" t="n">
        <x:v>0.22225</x:v>
      </x:c>
      <x:c r="G6044" s="12" t="n">
        <x:v>0</x:v>
      </x:c>
      <x:c r="H6044" s="1" t="n">
        <x:f>'Historical prices'!E6044</x:f>
        <x:v>1.05</x:v>
      </x:c>
      <x:c r="I6044" s="6" t="n">
        <x:f>'Historical prices'!D6044</x:f>
        <x:v>0.281</x:v>
      </x:c>
      <x:c r="J6044" s="13" t="n">
        <x:f>D6044*I6044*H6044</x:f>
        <x:v>0</x:v>
      </x:c>
      <x:c r="K6044" s="13" t="n">
        <x:f>E6044*I6044*H6044</x:f>
        <x:v>0.0657715625</x:v>
      </x:c>
      <x:c r="L6044" s="1" t="str">
        <x:f>TEXT(A6044,"mmm yyyy")</x:f>
        <x:v>Sep 2026</x:v>
      </x:c>
    </x:row>
    <x:row r="6045" ht="21" customHeight="1">
      <x:c r="A6045" s="10" t="n">
        <x:v>46274</x:v>
      </x:c>
      <x:c r="B6045" s="1" t="n">
        <x:v>10.5</x:v>
      </x:c>
      <x:c r="C6045" s="1" t="n">
        <x:v>6</x:v>
      </x:c>
      <x:c r="D6045" s="12" t="n">
        <x:v>0</x:v>
      </x:c>
      <x:c r="E6045" s="12" t="n">
        <x:v>0.3383333333333333</x:v>
      </x:c>
      <x:c r="F6045" s="12" t="n">
        <x:v>0.33766666666666667</x:v>
      </x:c>
      <x:c r="G6045" s="12" t="n">
        <x:v>0</x:v>
      </x:c>
      <x:c r="H6045" s="1" t="n">
        <x:f>'Historical prices'!E6045</x:f>
        <x:v>1.05</x:v>
      </x:c>
      <x:c r="I6045" s="6" t="n">
        <x:f>'Historical prices'!D6045</x:f>
        <x:v>0.2732</x:v>
      </x:c>
      <x:c r="J6045" s="13" t="n">
        <x:f>D6045*I6045*H6045</x:f>
        <x:v>0</x:v>
      </x:c>
      <x:c r="K6045" s="13" t="n">
        <x:f>E6045*I6045*H6045</x:f>
        <x:v>0.0970543</x:v>
      </x:c>
      <x:c r="L6045" s="1" t="str">
        <x:f>TEXT(A6045,"mmm yyyy")</x:f>
        <x:v>Sep 2026</x:v>
      </x:c>
    </x:row>
    <x:row r="6046" ht="21" customHeight="1">
      <x:c r="A6046" s="10" t="n">
        <x:v>46274</x:v>
      </x:c>
      <x:c r="B6046" s="1" t="n">
        <x:v>11</x:v>
      </x:c>
      <x:c r="C6046" s="1" t="n">
        <x:v>6</x:v>
      </x:c>
      <x:c r="D6046" s="12" t="n">
        <x:v>0.08633333333333333</x:v>
      </x:c>
      <x:c r="E6046" s="12" t="n">
        <x:v>0.41525</x:v>
      </x:c>
      <x:c r="F6046" s="12" t="n">
        <x:v>0.3178333333333333</x:v>
      </x:c>
      <x:c r="G6046" s="12" t="n">
        <x:v>0</x:v>
      </x:c>
      <x:c r="H6046" s="1" t="n">
        <x:f>'Historical prices'!E6046</x:f>
        <x:v>1.05</x:v>
      </x:c>
      <x:c r="I6046" s="6" t="n">
        <x:f>'Historical prices'!D6046</x:f>
        <x:v>0.2963</x:v>
      </x:c>
      <x:c r="J6046" s="13" t="n">
        <x:f>D6046*I6046*H6046</x:f>
        <x:v>0.026859595</x:v>
      </x:c>
      <x:c r="K6046" s="13" t="n">
        <x:f>E6046*I6046*H6046</x:f>
        <x:v>0.12919050375000002</x:v>
      </x:c>
      <x:c r="L6046" s="1" t="str">
        <x:f>TEXT(A6046,"mmm yyyy")</x:f>
        <x:v>Sep 2026</x:v>
      </x:c>
    </x:row>
    <x:row r="6047" ht="21" customHeight="1">
      <x:c r="A6047" s="10" t="n">
        <x:v>46274</x:v>
      </x:c>
      <x:c r="B6047" s="1" t="n">
        <x:v>11.5</x:v>
      </x:c>
      <x:c r="C6047" s="1" t="n">
        <x:v>6</x:v>
      </x:c>
      <x:c r="D6047" s="12" t="n">
        <x:v>0</x:v>
      </x:c>
      <x:c r="E6047" s="12" t="n">
        <x:v>0.19158333333333333</x:v>
      </x:c>
      <x:c r="F6047" s="12" t="n">
        <x:v>0.19116666666666668</x:v>
      </x:c>
      <x:c r="G6047" s="12" t="n">
        <x:v>0</x:v>
      </x:c>
      <x:c r="H6047" s="1" t="n">
        <x:f>'Historical prices'!E6047</x:f>
        <x:v>1.05</x:v>
      </x:c>
      <x:c r="I6047" s="6" t="n">
        <x:f>'Historical prices'!D6047</x:f>
        <x:v>0.2944</x:v>
      </x:c>
      <x:c r="J6047" s="13" t="n">
        <x:f>D6047*I6047*H6047</x:f>
        <x:v>0</x:v>
      </x:c>
      <x:c r="K6047" s="13" t="n">
        <x:f>E6047*I6047*H6047</x:f>
        <x:v>0.05922224</x:v>
      </x:c>
      <x:c r="L6047" s="1" t="str">
        <x:f>TEXT(A6047,"mmm yyyy")</x:f>
        <x:v>Sep 2026</x:v>
      </x:c>
    </x:row>
    <x:row r="6048" ht="21" customHeight="1">
      <x:c r="A6048" s="10" t="n">
        <x:v>46274</x:v>
      </x:c>
      <x:c r="B6048" s="1" t="n">
        <x:v>12</x:v>
      </x:c>
      <x:c r="C6048" s="1" t="n">
        <x:v>6</x:v>
      </x:c>
      <x:c r="D6048" s="12" t="n">
        <x:v>0</x:v>
      </x:c>
      <x:c r="E6048" s="12" t="n">
        <x:v>0.24183333333333332</x:v>
      </x:c>
      <x:c r="F6048" s="12" t="n">
        <x:v>0.24166666666666664</x:v>
      </x:c>
      <x:c r="G6048" s="12" t="n">
        <x:v>0</x:v>
      </x:c>
      <x:c r="H6048" s="1" t="n">
        <x:f>'Historical prices'!E6048</x:f>
        <x:v>1.05</x:v>
      </x:c>
      <x:c r="I6048" s="6" t="n">
        <x:f>'Historical prices'!D6048</x:f>
        <x:v>0.2903</x:v>
      </x:c>
      <x:c r="J6048" s="13" t="n">
        <x:f>D6048*I6048*H6048</x:f>
        <x:v>0</x:v>
      </x:c>
      <x:c r="K6048" s="13" t="n">
        <x:f>E6048*I6048*H6048</x:f>
        <x:v>0.0737144275</x:v>
      </x:c>
      <x:c r="L6048" s="1" t="str">
        <x:f>TEXT(A6048,"mmm yyyy")</x:f>
        <x:v>Sep 2026</x:v>
      </x:c>
    </x:row>
    <x:row r="6049" ht="21" customHeight="1">
      <x:c r="A6049" s="10" t="n">
        <x:v>46274</x:v>
      </x:c>
      <x:c r="B6049" s="1" t="n">
        <x:v>12.5</x:v>
      </x:c>
      <x:c r="C6049" s="1" t="n">
        <x:v>6</x:v>
      </x:c>
      <x:c r="D6049" s="12" t="n">
        <x:v>0</x:v>
      </x:c>
      <x:c r="E6049" s="12" t="n">
        <x:v>0.3061666666666667</x:v>
      </x:c>
      <x:c r="F6049" s="12" t="n">
        <x:v>0.30574999999999997</x:v>
      </x:c>
      <x:c r="G6049" s="12" t="n">
        <x:v>0</x:v>
      </x:c>
      <x:c r="H6049" s="1" t="n">
        <x:f>'Historical prices'!E6049</x:f>
        <x:v>1.05</x:v>
      </x:c>
      <x:c r="I6049" s="6" t="n">
        <x:f>'Historical prices'!D6049</x:f>
        <x:v>0.2874</x:v>
      </x:c>
      <x:c r="J6049" s="13" t="n">
        <x:f>D6049*I6049*H6049</x:f>
        <x:v>0</x:v>
      </x:c>
      <x:c r="K6049" s="13" t="n">
        <x:f>E6049*I6049*H6049</x:f>
        <x:v>0.09239191500000002</x:v>
      </x:c>
      <x:c r="L6049" s="1" t="str">
        <x:f>TEXT(A6049,"mmm yyyy")</x:f>
        <x:v>Sep 2026</x:v>
      </x:c>
    </x:row>
    <x:row r="6050" ht="21" customHeight="1">
      <x:c r="A6050" s="10" t="n">
        <x:v>46274</x:v>
      </x:c>
      <x:c r="B6050" s="1" t="n">
        <x:v>13</x:v>
      </x:c>
      <x:c r="C6050" s="1" t="n">
        <x:v>6</x:v>
      </x:c>
      <x:c r="D6050" s="12" t="n">
        <x:v>0.10525</x:v>
      </x:c>
      <x:c r="E6050" s="12" t="n">
        <x:v>0.14483333333333334</x:v>
      </x:c>
      <x:c r="F6050" s="12" t="n">
        <x:v>0.03158333333333333</x:v>
      </x:c>
      <x:c r="G6050" s="12" t="n">
        <x:v>0</x:v>
      </x:c>
      <x:c r="H6050" s="1" t="n">
        <x:f>'Historical prices'!E6050</x:f>
        <x:v>1.05</x:v>
      </x:c>
      <x:c r="I6050" s="6" t="n">
        <x:f>'Historical prices'!D6050</x:f>
        <x:v>0.2691</x:v>
      </x:c>
      <x:c r="J6050" s="13" t="n">
        <x:f>D6050*I6050*H6050</x:f>
        <x:v>0.02973891375</x:v>
      </x:c>
      <x:c r="K6050" s="13" t="n">
        <x:f>E6050*I6050*H6050</x:f>
        <x:v>0.04092338250000001</x:v>
      </x:c>
      <x:c r="L6050" s="1" t="str">
        <x:f>TEXT(A6050,"mmm yyyy")</x:f>
        <x:v>Sep 2026</x:v>
      </x:c>
    </x:row>
    <x:row r="6051" ht="21" customHeight="1">
      <x:c r="A6051" s="10" t="n">
        <x:v>46274</x:v>
      </x:c>
      <x:c r="B6051" s="1" t="n">
        <x:v>13.5</x:v>
      </x:c>
      <x:c r="C6051" s="1" t="n">
        <x:v>6</x:v>
      </x:c>
      <x:c r="D6051" s="12" t="n">
        <x:v>0.02025</x:v>
      </x:c>
      <x:c r="E6051" s="12" t="n">
        <x:v>0.20925</x:v>
      </x:c>
      <x:c r="F6051" s="12" t="n">
        <x:v>0.18666666666666665</x:v>
      </x:c>
      <x:c r="G6051" s="12" t="n">
        <x:v>0</x:v>
      </x:c>
      <x:c r="H6051" s="1" t="n">
        <x:f>'Historical prices'!E6051</x:f>
        <x:v>1.05</x:v>
      </x:c>
      <x:c r="I6051" s="6" t="n">
        <x:f>'Historical prices'!D6051</x:f>
        <x:v>0.2786</x:v>
      </x:c>
      <x:c r="J6051" s="13" t="n">
        <x:f>D6051*I6051*H6051</x:f>
        <x:v>0.005923732500000001</x:v>
      </x:c>
      <x:c r="K6051" s="13" t="n">
        <x:f>E6051*I6051*H6051</x:f>
        <x:v>0.061211902500000005</x:v>
      </x:c>
      <x:c r="L6051" s="1" t="str">
        <x:f>TEXT(A6051,"mmm yyyy")</x:f>
        <x:v>Sep 2026</x:v>
      </x:c>
    </x:row>
    <x:row r="6052" ht="21" customHeight="1">
      <x:c r="A6052" s="10" t="n">
        <x:v>46274</x:v>
      </x:c>
      <x:c r="B6052" s="1" t="n">
        <x:v>14</x:v>
      </x:c>
      <x:c r="C6052" s="1" t="n">
        <x:v>6</x:v>
      </x:c>
      <x:c r="D6052" s="12" t="n">
        <x:v>0</x:v>
      </x:c>
      <x:c r="E6052" s="12" t="n">
        <x:v>0.2598333333333333</x:v>
      </x:c>
      <x:c r="F6052" s="12" t="n">
        <x:v>0.25916666666666666</x:v>
      </x:c>
      <x:c r="G6052" s="12" t="n">
        <x:v>0</x:v>
      </x:c>
      <x:c r="H6052" s="1" t="n">
        <x:f>'Historical prices'!E6052</x:f>
        <x:v>1.05</x:v>
      </x:c>
      <x:c r="I6052" s="6" t="n">
        <x:f>'Historical prices'!D6052</x:f>
        <x:v>0.29710000000000003</x:v>
      </x:c>
      <x:c r="J6052" s="13" t="n">
        <x:f>D6052*I6052*H6052</x:f>
        <x:v>0</x:v>
      </x:c>
      <x:c r="K6052" s="13" t="n">
        <x:f>E6052*I6052*H6052</x:f>
        <x:v>0.0810563075</x:v>
      </x:c>
      <x:c r="L6052" s="1" t="str">
        <x:f>TEXT(A6052,"mmm yyyy")</x:f>
        <x:v>Sep 2026</x:v>
      </x:c>
    </x:row>
    <x:row r="6053" ht="21" customHeight="1">
      <x:c r="A6053" s="10" t="n">
        <x:v>46274</x:v>
      </x:c>
      <x:c r="B6053" s="1" t="n">
        <x:v>14.5</x:v>
      </x:c>
      <x:c r="C6053" s="1" t="n">
        <x:v>6</x:v>
      </x:c>
      <x:c r="D6053" s="12" t="n">
        <x:v>0</x:v>
      </x:c>
      <x:c r="E6053" s="12" t="n">
        <x:v>0.25675</x:v>
      </x:c>
      <x:c r="F6053" s="12" t="n">
        <x:v>0.2564166666666667</x:v>
      </x:c>
      <x:c r="G6053" s="12" t="n">
        <x:v>0</x:v>
      </x:c>
      <x:c r="H6053" s="1" t="n">
        <x:f>'Historical prices'!E6053</x:f>
        <x:v>1.05</x:v>
      </x:c>
      <x:c r="I6053" s="6" t="n">
        <x:f>'Historical prices'!D6053</x:f>
        <x:v>0.2816</x:v>
      </x:c>
      <x:c r="J6053" s="13" t="n">
        <x:f>D6053*I6053*H6053</x:f>
        <x:v>0</x:v>
      </x:c>
      <x:c r="K6053" s="13" t="n">
        <x:f>E6053*I6053*H6053</x:f>
        <x:v>0.07591584</x:v>
      </x:c>
      <x:c r="L6053" s="1" t="str">
        <x:f>TEXT(A6053,"mmm yyyy")</x:f>
        <x:v>Sep 2026</x:v>
      </x:c>
    </x:row>
    <x:row r="6054" ht="21" customHeight="1">
      <x:c r="A6054" s="10" t="n">
        <x:v>46274</x:v>
      </x:c>
      <x:c r="B6054" s="1" t="n">
        <x:v>15</x:v>
      </x:c>
      <x:c r="C6054" s="1" t="n">
        <x:v>6</x:v>
      </x:c>
      <x:c r="D6054" s="12" t="n">
        <x:v>0</x:v>
      </x:c>
      <x:c r="E6054" s="12" t="n">
        <x:v>0.2170833333333333</x:v>
      </x:c>
      <x:c r="F6054" s="12" t="n">
        <x:v>0.21649999999999997</x:v>
      </x:c>
      <x:c r="G6054" s="12" t="n">
        <x:v>0</x:v>
      </x:c>
      <x:c r="H6054" s="1" t="n">
        <x:f>'Historical prices'!E6054</x:f>
        <x:v>1.05</x:v>
      </x:c>
      <x:c r="I6054" s="6" t="n">
        <x:f>'Historical prices'!D6054</x:f>
        <x:v>0.2837</x:v>
      </x:c>
      <x:c r="J6054" s="13" t="n">
        <x:f>D6054*I6054*H6054</x:f>
        <x:v>0</x:v>
      </x:c>
      <x:c r="K6054" s="13" t="n">
        <x:f>E6054*I6054*H6054</x:f>
        <x:v>0.06466586875</x:v>
      </x:c>
      <x:c r="L6054" s="1" t="str">
        <x:f>TEXT(A6054,"mmm yyyy")</x:f>
        <x:v>Sep 2026</x:v>
      </x:c>
    </x:row>
    <x:row r="6055" ht="21" customHeight="1">
      <x:c r="A6055" s="10" t="n">
        <x:v>46274</x:v>
      </x:c>
      <x:c r="B6055" s="1" t="n">
        <x:v>15.5</x:v>
      </x:c>
      <x:c r="C6055" s="1" t="n">
        <x:v>6</x:v>
      </x:c>
      <x:c r="D6055" s="12" t="n">
        <x:v>0</x:v>
      </x:c>
      <x:c r="E6055" s="12" t="n">
        <x:v>0.32116666666666666</x:v>
      </x:c>
      <x:c r="F6055" s="12" t="n">
        <x:v>0.32066666666666666</x:v>
      </x:c>
      <x:c r="G6055" s="12" t="n">
        <x:v>0</x:v>
      </x:c>
      <x:c r="H6055" s="1" t="n">
        <x:f>'Historical prices'!E6055</x:f>
        <x:v>1.05</x:v>
      </x:c>
      <x:c r="I6055" s="6" t="n">
        <x:f>'Historical prices'!D6055</x:f>
        <x:v>0.299</x:v>
      </x:c>
      <x:c r="J6055" s="13" t="n">
        <x:f>D6055*I6055*H6055</x:f>
        <x:v>0</x:v>
      </x:c>
      <x:c r="K6055" s="13" t="n">
        <x:f>E6055*I6055*H6055</x:f>
        <x:v>0.100830275</x:v>
      </x:c>
      <x:c r="L6055" s="1" t="str">
        <x:f>TEXT(A6055,"mmm yyyy")</x:f>
        <x:v>Sep 2026</x:v>
      </x:c>
    </x:row>
    <x:row r="6056" ht="21" customHeight="1">
      <x:c r="A6056" s="10" t="n">
        <x:v>46274</x:v>
      </x:c>
      <x:c r="B6056" s="1" t="n">
        <x:v>16</x:v>
      </x:c>
      <x:c r="C6056" s="1" t="n">
        <x:v>6</x:v>
      </x:c>
      <x:c r="D6056" s="12" t="n">
        <x:v>0</x:v>
      </x:c>
      <x:c r="E6056" s="12" t="n">
        <x:v>0.21966666666666668</x:v>
      </x:c>
      <x:c r="F6056" s="12" t="n">
        <x:v>0.21941666666666665</x:v>
      </x:c>
      <x:c r="G6056" s="12" t="n">
        <x:v>0</x:v>
      </x:c>
      <x:c r="H6056" s="1" t="n">
        <x:f>'Historical prices'!E6056</x:f>
        <x:v>1.05</x:v>
      </x:c>
      <x:c r="I6056" s="6" t="n">
        <x:f>'Historical prices'!D6056</x:f>
        <x:v>0.4226</x:v>
      </x:c>
      <x:c r="J6056" s="13" t="n">
        <x:f>D6056*I6056*H6056</x:f>
        <x:v>0</x:v>
      </x:c>
      <x:c r="K6056" s="13" t="n">
        <x:f>E6056*I6056*H6056</x:f>
        <x:v>0.09747269</x:v>
      </x:c>
      <x:c r="L6056" s="1" t="str">
        <x:f>TEXT(A6056,"mmm yyyy")</x:f>
        <x:v>Sep 2026</x:v>
      </x:c>
    </x:row>
    <x:row r="6057" ht="21" customHeight="1">
      <x:c r="A6057" s="10" t="n">
        <x:v>46274</x:v>
      </x:c>
      <x:c r="B6057" s="1" t="n">
        <x:v>16.5</x:v>
      </x:c>
      <x:c r="C6057" s="1" t="n">
        <x:v>6</x:v>
      </x:c>
      <x:c r="D6057" s="12" t="n">
        <x:v>0</x:v>
      </x:c>
      <x:c r="E6057" s="12" t="n">
        <x:v>0.2543333333333333</x:v>
      </x:c>
      <x:c r="F6057" s="12" t="n">
        <x:v>0.25366666666666665</x:v>
      </x:c>
      <x:c r="G6057" s="12" t="n">
        <x:v>0</x:v>
      </x:c>
      <x:c r="H6057" s="1" t="n">
        <x:f>'Historical prices'!E6057</x:f>
        <x:v>1.05</x:v>
      </x:c>
      <x:c r="I6057" s="6" t="n">
        <x:f>'Historical prices'!D6057</x:f>
        <x:v>0.4314</x:v>
      </x:c>
      <x:c r="J6057" s="13" t="n">
        <x:f>D6057*I6057*H6057</x:f>
        <x:v>0</x:v>
      </x:c>
      <x:c r="K6057" s="13" t="n">
        <x:f>E6057*I6057*H6057</x:f>
        <x:v>0.11520536999999999</x:v>
      </x:c>
      <x:c r="L6057" s="1" t="str">
        <x:f>TEXT(A6057,"mmm yyyy")</x:f>
        <x:v>Sep 2026</x:v>
      </x:c>
    </x:row>
    <x:row r="6058" ht="21" customHeight="1">
      <x:c r="A6058" s="10" t="n">
        <x:v>46274</x:v>
      </x:c>
      <x:c r="B6058" s="1" t="n">
        <x:v>17</x:v>
      </x:c>
      <x:c r="C6058" s="1" t="n">
        <x:v>6</x:v>
      </x:c>
      <x:c r="D6058" s="12" t="n">
        <x:v>0</x:v>
      </x:c>
      <x:c r="E6058" s="12" t="n">
        <x:v>0.2496666666666667</x:v>
      </x:c>
      <x:c r="F6058" s="12" t="n">
        <x:v>0.24908333333333338</x:v>
      </x:c>
      <x:c r="G6058" s="12" t="n">
        <x:v>0</x:v>
      </x:c>
      <x:c r="H6058" s="1" t="n">
        <x:f>'Historical prices'!E6058</x:f>
        <x:v>1.05</x:v>
      </x:c>
      <x:c r="I6058" s="6" t="n">
        <x:f>'Historical prices'!D6058</x:f>
        <x:v>0.4853</x:v>
      </x:c>
      <x:c r="J6058" s="13" t="n">
        <x:f>D6058*I6058*H6058</x:f>
        <x:v>0</x:v>
      </x:c>
      <x:c r="K6058" s="13" t="n">
        <x:f>E6058*I6058*H6058</x:f>
        <x:v>0.12722139500000004</x:v>
      </x:c>
      <x:c r="L6058" s="1" t="str">
        <x:f>TEXT(A6058,"mmm yyyy")</x:f>
        <x:v>Sep 2026</x:v>
      </x:c>
    </x:row>
    <x:row r="6059" ht="21" customHeight="1">
      <x:c r="A6059" s="10" t="n">
        <x:v>46274</x:v>
      </x:c>
      <x:c r="B6059" s="1" t="n">
        <x:v>17.5</x:v>
      </x:c>
      <x:c r="C6059" s="1" t="n">
        <x:v>6</x:v>
      </x:c>
      <x:c r="D6059" s="12" t="n">
        <x:v>0</x:v>
      </x:c>
      <x:c r="E6059" s="12" t="n">
        <x:v>0.216</x:v>
      </x:c>
      <x:c r="F6059" s="12" t="n">
        <x:v>0.21566666666666667</x:v>
      </x:c>
      <x:c r="G6059" s="12" t="n">
        <x:v>0</x:v>
      </x:c>
      <x:c r="H6059" s="1" t="n">
        <x:f>'Historical prices'!E6059</x:f>
        <x:v>1.05</x:v>
      </x:c>
      <x:c r="I6059" s="6" t="n">
        <x:f>'Historical prices'!D6059</x:f>
        <x:v>0.5234000000000001</x:v>
      </x:c>
      <x:c r="J6059" s="13" t="n">
        <x:f>D6059*I6059*H6059</x:f>
        <x:v>0</x:v>
      </x:c>
      <x:c r="K6059" s="13" t="n">
        <x:f>E6059*I6059*H6059</x:f>
        <x:v>0.11870712000000001</x:v>
      </x:c>
      <x:c r="L6059" s="1" t="str">
        <x:f>TEXT(A6059,"mmm yyyy")</x:f>
        <x:v>Sep 2026</x:v>
      </x:c>
    </x:row>
    <x:row r="6060" ht="21" customHeight="1">
      <x:c r="A6060" s="10" t="n">
        <x:v>46274</x:v>
      </x:c>
      <x:c r="B6060" s="1" t="n">
        <x:v>18</x:v>
      </x:c>
      <x:c r="C6060" s="1" t="n">
        <x:v>6</x:v>
      </x:c>
      <x:c r="D6060" s="12" t="n">
        <x:v>0</x:v>
      </x:c>
      <x:c r="E6060" s="12" t="n">
        <x:v>0.22108333333333335</x:v>
      </x:c>
      <x:c r="F6060" s="12" t="n">
        <x:v>0.22016666666666668</x:v>
      </x:c>
      <x:c r="G6060" s="12" t="n">
        <x:v>0</x:v>
      </x:c>
      <x:c r="H6060" s="1" t="n">
        <x:f>'Historical prices'!E6060</x:f>
        <x:v>1.05</x:v>
      </x:c>
      <x:c r="I6060" s="6" t="n">
        <x:f>'Historical prices'!D6060</x:f>
        <x:v>0.536</x:v>
      </x:c>
      <x:c r="J6060" s="13" t="n">
        <x:f>D6060*I6060*H6060</x:f>
        <x:v>0</x:v>
      </x:c>
      <x:c r="K6060" s="13" t="n">
        <x:f>E6060*I6060*H6060</x:f>
        <x:v>0.12442570000000003</x:v>
      </x:c>
      <x:c r="L6060" s="1" t="str">
        <x:f>TEXT(A6060,"mmm yyyy")</x:f>
        <x:v>Sep 2026</x:v>
      </x:c>
    </x:row>
    <x:row r="6061" ht="21" customHeight="1">
      <x:c r="A6061" s="10" t="n">
        <x:v>46274</x:v>
      </x:c>
      <x:c r="B6061" s="1" t="n">
        <x:v>18.5</x:v>
      </x:c>
      <x:c r="C6061" s="1" t="n">
        <x:v>6</x:v>
      </x:c>
      <x:c r="D6061" s="12" t="n">
        <x:v>0</x:v>
      </x:c>
      <x:c r="E6061" s="12" t="n">
        <x:v>0.3050833333333333</x:v>
      </x:c>
      <x:c r="F6061" s="12" t="n">
        <x:v>0.3045833333333333</x:v>
      </x:c>
      <x:c r="G6061" s="12" t="n">
        <x:v>0</x:v>
      </x:c>
      <x:c r="H6061" s="1" t="n">
        <x:f>'Historical prices'!E6061</x:f>
        <x:v>1.05</x:v>
      </x:c>
      <x:c r="I6061" s="6" t="n">
        <x:f>'Historical prices'!D6061</x:f>
        <x:v>0.5402</x:v>
      </x:c>
      <x:c r="J6061" s="13" t="n">
        <x:f>D6061*I6061*H6061</x:f>
        <x:v>0</x:v>
      </x:c>
      <x:c r="K6061" s="13" t="n">
        <x:f>E6061*I6061*H6061</x:f>
        <x:v>0.17304631750000002</x:v>
      </x:c>
      <x:c r="L6061" s="1" t="str">
        <x:f>TEXT(A6061,"mmm yyyy")</x:f>
        <x:v>Sep 2026</x:v>
      </x:c>
    </x:row>
    <x:row r="6062" ht="21" customHeight="1">
      <x:c r="A6062" s="10" t="n">
        <x:v>46274</x:v>
      </x:c>
      <x:c r="B6062" s="1" t="n">
        <x:v>19</x:v>
      </x:c>
      <x:c r="C6062" s="1" t="n">
        <x:v>6</x:v>
      </x:c>
      <x:c r="D6062" s="12" t="n">
        <x:v>0</x:v>
      </x:c>
      <x:c r="E6062" s="12" t="n">
        <x:v>0.255</x:v>
      </x:c>
      <x:c r="F6062" s="12" t="n">
        <x:v>0.2546666666666667</x:v>
      </x:c>
      <x:c r="G6062" s="12" t="n">
        <x:v>0</x:v>
      </x:c>
      <x:c r="H6062" s="1" t="n">
        <x:f>'Historical prices'!E6062</x:f>
        <x:v>1.05</x:v>
      </x:c>
      <x:c r="I6062" s="6" t="n">
        <x:f>'Historical prices'!D6062</x:f>
        <x:v>0.4276</x:v>
      </x:c>
      <x:c r="J6062" s="13" t="n">
        <x:f>D6062*I6062*H6062</x:f>
        <x:v>0</x:v>
      </x:c>
      <x:c r="K6062" s="13" t="n">
        <x:f>E6062*I6062*H6062</x:f>
        <x:v>0.1144899</x:v>
      </x:c>
      <x:c r="L6062" s="1" t="str">
        <x:f>TEXT(A6062,"mmm yyyy")</x:f>
        <x:v>Sep 2026</x:v>
      </x:c>
    </x:row>
    <x:row r="6063" ht="21" customHeight="1">
      <x:c r="A6063" s="10" t="n">
        <x:v>46274</x:v>
      </x:c>
      <x:c r="B6063" s="1" t="n">
        <x:v>19.5</x:v>
      </x:c>
      <x:c r="C6063" s="1" t="n">
        <x:v>6</x:v>
      </x:c>
      <x:c r="D6063" s="12" t="n">
        <x:v>0</x:v>
      </x:c>
      <x:c r="E6063" s="12" t="n">
        <x:v>0.33216666666666667</x:v>
      </x:c>
      <x:c r="F6063" s="12" t="n">
        <x:v>0.33158333333333334</x:v>
      </x:c>
      <x:c r="G6063" s="12" t="n">
        <x:v>0</x:v>
      </x:c>
      <x:c r="H6063" s="1" t="n">
        <x:f>'Historical prices'!E6063</x:f>
        <x:v>1.05</x:v>
      </x:c>
      <x:c r="I6063" s="6" t="n">
        <x:f>'Historical prices'!D6063</x:f>
        <x:v>0.44020000000000004</x:v>
      </x:c>
      <x:c r="J6063" s="13" t="n">
        <x:f>D6063*I6063*H6063</x:f>
        <x:v>0</x:v>
      </x:c>
      <x:c r="K6063" s="13" t="n">
        <x:f>E6063*I6063*H6063</x:f>
        <x:v>0.15353075500000002</x:v>
      </x:c>
      <x:c r="L6063" s="1" t="str">
        <x:f>TEXT(A6063,"mmm yyyy")</x:f>
        <x:v>Sep 2026</x:v>
      </x:c>
    </x:row>
    <x:row r="6064" ht="21" customHeight="1">
      <x:c r="A6064" s="10" t="n">
        <x:v>46274</x:v>
      </x:c>
      <x:c r="B6064" s="1" t="n">
        <x:v>20</x:v>
      </x:c>
      <x:c r="C6064" s="1" t="n">
        <x:v>6</x:v>
      </x:c>
      <x:c r="D6064" s="12" t="n">
        <x:v>0</x:v>
      </x:c>
      <x:c r="E6064" s="12" t="n">
        <x:v>0.29291666666666666</x:v>
      </x:c>
      <x:c r="F6064" s="12" t="n">
        <x:v>0.29266666666666663</x:v>
      </x:c>
      <x:c r="G6064" s="12" t="n">
        <x:v>0</x:v>
      </x:c>
      <x:c r="H6064" s="1" t="n">
        <x:f>'Historical prices'!E6064</x:f>
        <x:v>1.05</x:v>
      </x:c>
      <x:c r="I6064" s="6" t="n">
        <x:f>'Historical prices'!D6064</x:f>
        <x:v>0.44329999999999997</x:v>
      </x:c>
      <x:c r="J6064" s="13" t="n">
        <x:f>D6064*I6064*H6064</x:f>
        <x:v>0</x:v>
      </x:c>
      <x:c r="K6064" s="13" t="n">
        <x:f>E6064*I6064*H6064</x:f>
        <x:v>0.13634245625</x:v>
      </x:c>
      <x:c r="L6064" s="1" t="str">
        <x:f>TEXT(A6064,"mmm yyyy")</x:f>
        <x:v>Sep 2026</x:v>
      </x:c>
    </x:row>
    <x:row r="6065" ht="21" customHeight="1">
      <x:c r="A6065" s="10" t="n">
        <x:v>46274</x:v>
      </x:c>
      <x:c r="B6065" s="1" t="n">
        <x:v>20.5</x:v>
      </x:c>
      <x:c r="C6065" s="1" t="n">
        <x:v>6</x:v>
      </x:c>
      <x:c r="D6065" s="12" t="n">
        <x:v>0</x:v>
      </x:c>
      <x:c r="E6065" s="12" t="n">
        <x:v>0.28491666666666665</x:v>
      </x:c>
      <x:c r="F6065" s="12" t="n">
        <x:v>0.2845833333333333</x:v>
      </x:c>
      <x:c r="G6065" s="12" t="n">
        <x:v>0</x:v>
      </x:c>
      <x:c r="H6065" s="1" t="n">
        <x:f>'Historical prices'!E6065</x:f>
        <x:v>1.05</x:v>
      </x:c>
      <x:c r="I6065" s="6" t="n">
        <x:f>'Historical prices'!D6065</x:f>
        <x:v>0.4324</x:v>
      </x:c>
      <x:c r="J6065" s="13" t="n">
        <x:f>D6065*I6065*H6065</x:f>
        <x:v>0</x:v>
      </x:c>
      <x:c r="K6065" s="13" t="n">
        <x:f>E6065*I6065*H6065</x:f>
        <x:v>0.129357865</x:v>
      </x:c>
      <x:c r="L6065" s="1" t="str">
        <x:f>TEXT(A6065,"mmm yyyy")</x:f>
        <x:v>Sep 2026</x:v>
      </x:c>
    </x:row>
    <x:row r="6066" ht="21" customHeight="1">
      <x:c r="A6066" s="10" t="n">
        <x:v>46274</x:v>
      </x:c>
      <x:c r="B6066" s="1" t="n">
        <x:v>21</x:v>
      </x:c>
      <x:c r="C6066" s="1" t="n">
        <x:v>6</x:v>
      </x:c>
      <x:c r="D6066" s="12" t="n">
        <x:v>0</x:v>
      </x:c>
      <x:c r="E6066" s="12" t="n">
        <x:v>0.23966666666666664</x:v>
      </x:c>
      <x:c r="F6066" s="12" t="n">
        <x:v>0.23966666666666664</x:v>
      </x:c>
      <x:c r="G6066" s="12" t="n">
        <x:v>0</x:v>
      </x:c>
      <x:c r="H6066" s="1" t="n">
        <x:f>'Historical prices'!E6066</x:f>
        <x:v>1.05</x:v>
      </x:c>
      <x:c r="I6066" s="6" t="n">
        <x:f>'Historical prices'!D6066</x:f>
        <x:v>0.4202</x:v>
      </x:c>
      <x:c r="J6066" s="13" t="n">
        <x:f>D6066*I6066*H6066</x:f>
        <x:v>0</x:v>
      </x:c>
      <x:c r="K6066" s="13" t="n">
        <x:f>E6066*I6066*H6066</x:f>
        <x:v>0.10574333000000001</x:v>
      </x:c>
      <x:c r="L6066" s="1" t="str">
        <x:f>TEXT(A6066,"mmm yyyy")</x:f>
        <x:v>Sep 2026</x:v>
      </x:c>
    </x:row>
    <x:row r="6067" ht="21" customHeight="1">
      <x:c r="A6067" s="10" t="n">
        <x:v>46274</x:v>
      </x:c>
      <x:c r="B6067" s="1" t="n">
        <x:v>21.5</x:v>
      </x:c>
      <x:c r="C6067" s="1" t="n">
        <x:v>6</x:v>
      </x:c>
      <x:c r="D6067" s="12" t="n">
        <x:v>0</x:v>
      </x:c>
      <x:c r="E6067" s="12" t="n">
        <x:v>0.2768333333333333</x:v>
      </x:c>
      <x:c r="F6067" s="12" t="n">
        <x:v>0.27649999999999997</x:v>
      </x:c>
      <x:c r="G6067" s="12" t="n">
        <x:v>0</x:v>
      </x:c>
      <x:c r="H6067" s="1" t="n">
        <x:f>'Historical prices'!E6067</x:f>
        <x:v>1.05</x:v>
      </x:c>
      <x:c r="I6067" s="6" t="n">
        <x:f>'Historical prices'!D6067</x:f>
        <x:v>0.3736</x:v>
      </x:c>
      <x:c r="J6067" s="13" t="n">
        <x:f>D6067*I6067*H6067</x:f>
        <x:v>0</x:v>
      </x:c>
      <x:c r="K6067" s="13" t="n">
        <x:f>E6067*I6067*H6067</x:f>
        <x:v>0.10859618</x:v>
      </x:c>
      <x:c r="L6067" s="1" t="str">
        <x:f>TEXT(A6067,"mmm yyyy")</x:f>
        <x:v>Sep 2026</x:v>
      </x:c>
    </x:row>
    <x:row r="6068" ht="21" customHeight="1">
      <x:c r="A6068" s="10" t="n">
        <x:v>46274</x:v>
      </x:c>
      <x:c r="B6068" s="1" t="n">
        <x:v>22</x:v>
      </x:c>
      <x:c r="C6068" s="1" t="n">
        <x:v>6</x:v>
      </x:c>
      <x:c r="D6068" s="12" t="n">
        <x:v>0</x:v>
      </x:c>
      <x:c r="E6068" s="12" t="n">
        <x:v>0.252</x:v>
      </x:c>
      <x:c r="F6068" s="12" t="n">
        <x:v>0.25133333333333335</x:v>
      </x:c>
      <x:c r="G6068" s="12" t="n">
        <x:v>0</x:v>
      </x:c>
      <x:c r="H6068" s="1" t="n">
        <x:f>'Historical prices'!E6068</x:f>
        <x:v>1.05</x:v>
      </x:c>
      <x:c r="I6068" s="6" t="n">
        <x:f>'Historical prices'!D6068</x:f>
        <x:v>0.3181</x:v>
      </x:c>
      <x:c r="J6068" s="13" t="n">
        <x:f>D6068*I6068*H6068</x:f>
        <x:v>0</x:v>
      </x:c>
      <x:c r="K6068" s="13" t="n">
        <x:f>E6068*I6068*H6068</x:f>
        <x:v>0.08416926000000001</x:v>
      </x:c>
      <x:c r="L6068" s="1" t="str">
        <x:f>TEXT(A6068,"mmm yyyy")</x:f>
        <x:v>Sep 2026</x:v>
      </x:c>
    </x:row>
    <x:row r="6069" ht="21" customHeight="1">
      <x:c r="A6069" s="10" t="n">
        <x:v>46274</x:v>
      </x:c>
      <x:c r="B6069" s="1" t="n">
        <x:v>22.5</x:v>
      </x:c>
      <x:c r="C6069" s="1" t="n">
        <x:v>6</x:v>
      </x:c>
      <x:c r="D6069" s="12" t="n">
        <x:v>0</x:v>
      </x:c>
      <x:c r="E6069" s="12" t="n">
        <x:v>0.266</x:v>
      </x:c>
      <x:c r="F6069" s="12" t="n">
        <x:v>0.26549999999999996</x:v>
      </x:c>
      <x:c r="G6069" s="12" t="n">
        <x:v>0</x:v>
      </x:c>
      <x:c r="H6069" s="1" t="n">
        <x:f>'Historical prices'!E6069</x:f>
        <x:v>1.05</x:v>
      </x:c>
      <x:c r="I6069" s="6" t="n">
        <x:f>'Historical prices'!D6069</x:f>
        <x:v>0.29109999999999997</x:v>
      </x:c>
      <x:c r="J6069" s="13" t="n">
        <x:f>D6069*I6069*H6069</x:f>
        <x:v>0</x:v>
      </x:c>
      <x:c r="K6069" s="13" t="n">
        <x:f>E6069*I6069*H6069</x:f>
        <x:v>0.08130422999999999</x:v>
      </x:c>
      <x:c r="L6069" s="1" t="str">
        <x:f>TEXT(A6069,"mmm yyyy")</x:f>
        <x:v>Sep 2026</x:v>
      </x:c>
    </x:row>
    <x:row r="6070" ht="21" customHeight="1">
      <x:c r="A6070" s="10" t="n">
        <x:v>46274</x:v>
      </x:c>
      <x:c r="B6070" s="1" t="n">
        <x:v>23</x:v>
      </x:c>
      <x:c r="C6070" s="1" t="n">
        <x:v>6</x:v>
      </x:c>
      <x:c r="D6070" s="12" t="n">
        <x:v>0</x:v>
      </x:c>
      <x:c r="E6070" s="12" t="n">
        <x:v>0.25708333333333333</x:v>
      </x:c>
      <x:c r="F6070" s="12" t="n">
        <x:v>0.25675000000000003</x:v>
      </x:c>
      <x:c r="G6070" s="12" t="n">
        <x:v>0</x:v>
      </x:c>
      <x:c r="H6070" s="1" t="n">
        <x:f>'Historical prices'!E6070</x:f>
        <x:v>1.05</x:v>
      </x:c>
      <x:c r="I6070" s="6" t="n">
        <x:f>'Historical prices'!D6070</x:f>
        <x:v>0.37439999999999996</x:v>
      </x:c>
      <x:c r="J6070" s="13" t="n">
        <x:f>D6070*I6070*H6070</x:f>
        <x:v>0</x:v>
      </x:c>
      <x:c r="K6070" s="13" t="n">
        <x:f>E6070*I6070*H6070</x:f>
        <x:v>0.10106459999999999</x:v>
      </x:c>
      <x:c r="L6070" s="1" t="str">
        <x:f>TEXT(A6070,"mmm yyyy")</x:f>
        <x:v>Sep 2026</x:v>
      </x:c>
    </x:row>
    <x:row r="6071" ht="21" customHeight="1">
      <x:c r="A6071" s="10" t="n">
        <x:v>46274</x:v>
      </x:c>
      <x:c r="B6071" s="1" t="n">
        <x:v>23.5</x:v>
      </x:c>
      <x:c r="C6071" s="1" t="n">
        <x:v>6</x:v>
      </x:c>
      <x:c r="D6071" s="12" t="n">
        <x:v>0</x:v>
      </x:c>
      <x:c r="E6071" s="12" t="n">
        <x:v>0.23733333333333334</x:v>
      </x:c>
      <x:c r="F6071" s="12" t="n">
        <x:v>0.2369166666666667</x:v>
      </x:c>
      <x:c r="G6071" s="12" t="n">
        <x:v>0</x:v>
      </x:c>
      <x:c r="H6071" s="1" t="n">
        <x:f>'Historical prices'!E6071</x:f>
        <x:v>1.05</x:v>
      </x:c>
      <x:c r="I6071" s="6" t="n">
        <x:f>'Historical prices'!D6071</x:f>
        <x:v>0.34020000000000006</x:v>
      </x:c>
      <x:c r="J6071" s="13" t="n">
        <x:f>D6071*I6071*H6071</x:f>
        <x:v>0</x:v>
      </x:c>
      <x:c r="K6071" s="13" t="n">
        <x:f>E6071*I6071*H6071</x:f>
        <x:v>0.08477784000000002</x:v>
      </x:c>
      <x:c r="L6071" s="1" t="str">
        <x:f>TEXT(A6071,"mmm yyyy")</x:f>
        <x:v>Sep 2026</x:v>
      </x:c>
    </x:row>
    <x:row r="6072" ht="21" customHeight="1">
      <x:c r="A6072" s="10" t="n">
        <x:v>46275</x:v>
      </x:c>
      <x:c r="B6072" s="1" t="n">
        <x:v>0</x:v>
      </x:c>
      <x:c r="C6072" s="1" t="n">
        <x:v>6</x:v>
      </x:c>
      <x:c r="D6072" s="12" t="n">
        <x:v>0</x:v>
      </x:c>
      <x:c r="E6072" s="12" t="n">
        <x:v>0.288</x:v>
      </x:c>
      <x:c r="F6072" s="12" t="n">
        <x:v>0.28741666666666665</x:v>
      </x:c>
      <x:c r="G6072" s="12" t="n">
        <x:v>0</x:v>
      </x:c>
      <x:c r="H6072" s="1" t="n">
        <x:f>'Historical prices'!E6072</x:f>
        <x:v>1.05</x:v>
      </x:c>
      <x:c r="I6072" s="6" t="n">
        <x:f>'Historical prices'!D6072</x:f>
        <x:v>0.3261</x:v>
      </x:c>
      <x:c r="J6072" s="13" t="n">
        <x:f>D6072*I6072*H6072</x:f>
        <x:v>0</x:v>
      </x:c>
      <x:c r="K6072" s="13" t="n">
        <x:f>E6072*I6072*H6072</x:f>
        <x:v>0.09861264</x:v>
      </x:c>
      <x:c r="L6072" s="1" t="str">
        <x:f>TEXT(A6072,"mmm yyyy")</x:f>
        <x:v>Sep 2026</x:v>
      </x:c>
    </x:row>
    <x:row r="6073" ht="21" customHeight="1">
      <x:c r="A6073" s="10" t="n">
        <x:v>46275</x:v>
      </x:c>
      <x:c r="B6073" s="1" t="n">
        <x:v>0.5</x:v>
      </x:c>
      <x:c r="C6073" s="1" t="n">
        <x:v>6</x:v>
      </x:c>
      <x:c r="D6073" s="12" t="n">
        <x:v>0</x:v>
      </x:c>
      <x:c r="E6073" s="12" t="n">
        <x:v>0.29308333333333336</x:v>
      </x:c>
      <x:c r="F6073" s="12" t="n">
        <x:v>0.29266666666666663</x:v>
      </x:c>
      <x:c r="G6073" s="12" t="n">
        <x:v>0</x:v>
      </x:c>
      <x:c r="H6073" s="1" t="n">
        <x:f>'Historical prices'!E6073</x:f>
        <x:v>1.05</x:v>
      </x:c>
      <x:c r="I6073" s="6" t="n">
        <x:f>'Historical prices'!D6073</x:f>
        <x:v>0.3102</x:v>
      </x:c>
      <x:c r="J6073" s="13" t="n">
        <x:f>D6073*I6073*H6073</x:f>
        <x:v>0</x:v>
      </x:c>
      <x:c r="K6073" s="13" t="n">
        <x:f>E6073*I6073*H6073</x:f>
        <x:v>0.09546017250000001</x:v>
      </x:c>
      <x:c r="L6073" s="1" t="str">
        <x:f>TEXT(A6073,"mmm yyyy")</x:f>
        <x:v>Sep 2026</x:v>
      </x:c>
    </x:row>
    <x:row r="6074" ht="21" customHeight="1">
      <x:c r="A6074" s="10" t="n">
        <x:v>46275</x:v>
      </x:c>
      <x:c r="B6074" s="1" t="n">
        <x:v>1</x:v>
      </x:c>
      <x:c r="C6074" s="1" t="n">
        <x:v>6</x:v>
      </x:c>
      <x:c r="D6074" s="12" t="n">
        <x:v>0</x:v>
      </x:c>
      <x:c r="E6074" s="12" t="n">
        <x:v>0.26158333333333333</x:v>
      </x:c>
      <x:c r="F6074" s="12" t="n">
        <x:v>0.26108333333333333</x:v>
      </x:c>
      <x:c r="G6074" s="12" t="n">
        <x:v>0</x:v>
      </x:c>
      <x:c r="H6074" s="1" t="n">
        <x:f>'Historical prices'!E6074</x:f>
        <x:v>1.05</x:v>
      </x:c>
      <x:c r="I6074" s="6" t="n">
        <x:f>'Historical prices'!D6074</x:f>
        <x:v>0.3024</x:v>
      </x:c>
      <x:c r="J6074" s="13" t="n">
        <x:f>D6074*I6074*H6074</x:f>
        <x:v>0</x:v>
      </x:c>
      <x:c r="K6074" s="13" t="n">
        <x:f>E6074*I6074*H6074</x:f>
        <x:v>0.08305794000000001</x:v>
      </x:c>
      <x:c r="L6074" s="1" t="str">
        <x:f>TEXT(A6074,"mmm yyyy")</x:f>
        <x:v>Sep 2026</x:v>
      </x:c>
    </x:row>
    <x:row r="6075" ht="21" customHeight="1">
      <x:c r="A6075" s="10" t="n">
        <x:v>46275</x:v>
      </x:c>
      <x:c r="B6075" s="1" t="n">
        <x:v>1.5</x:v>
      </x:c>
      <x:c r="C6075" s="1" t="n">
        <x:v>6</x:v>
      </x:c>
      <x:c r="D6075" s="12" t="n">
        <x:v>0</x:v>
      </x:c>
      <x:c r="E6075" s="12" t="n">
        <x:v>0.21516666666666667</x:v>
      </x:c>
      <x:c r="F6075" s="12" t="n">
        <x:v>0.21433333333333335</x:v>
      </x:c>
      <x:c r="G6075" s="12" t="n">
        <x:v>0</x:v>
      </x:c>
      <x:c r="H6075" s="1" t="n">
        <x:f>'Historical prices'!E6075</x:f>
        <x:v>1.05</x:v>
      </x:c>
      <x:c r="I6075" s="6" t="n">
        <x:f>'Historical prices'!D6075</x:f>
        <x:v>0.2955</x:v>
      </x:c>
      <x:c r="J6075" s="13" t="n">
        <x:f>D6075*I6075*H6075</x:f>
        <x:v>0</x:v>
      </x:c>
      <x:c r="K6075" s="13" t="n">
        <x:f>E6075*I6075*H6075</x:f>
        <x:v>0.06676083749999999</x:v>
      </x:c>
      <x:c r="L6075" s="1" t="str">
        <x:f>TEXT(A6075,"mmm yyyy")</x:f>
        <x:v>Sep 2026</x:v>
      </x:c>
    </x:row>
    <x:row r="6076" ht="21" customHeight="1">
      <x:c r="A6076" s="10" t="n">
        <x:v>46275</x:v>
      </x:c>
      <x:c r="B6076" s="1" t="n">
        <x:v>2</x:v>
      </x:c>
      <x:c r="C6076" s="1" t="n">
        <x:v>6</x:v>
      </x:c>
      <x:c r="D6076" s="12" t="n">
        <x:v>0</x:v>
      </x:c>
      <x:c r="E6076" s="12" t="n">
        <x:v>0.241</x:v>
      </x:c>
      <x:c r="F6076" s="12" t="n">
        <x:v>0.24025</x:v>
      </x:c>
      <x:c r="G6076" s="12" t="n">
        <x:v>0</x:v>
      </x:c>
      <x:c r="H6076" s="1" t="n">
        <x:f>'Historical prices'!E6076</x:f>
        <x:v>1.05</x:v>
      </x:c>
      <x:c r="I6076" s="6" t="n">
        <x:f>'Historical prices'!D6076</x:f>
        <x:v>0.2954</x:v>
      </x:c>
      <x:c r="J6076" s="13" t="n">
        <x:f>D6076*I6076*H6076</x:f>
        <x:v>0</x:v>
      </x:c>
      <x:c r="K6076" s="13" t="n">
        <x:f>E6076*I6076*H6076</x:f>
        <x:v>0.07475097</x:v>
      </x:c>
      <x:c r="L6076" s="1" t="str">
        <x:f>TEXT(A6076,"mmm yyyy")</x:f>
        <x:v>Sep 2026</x:v>
      </x:c>
    </x:row>
    <x:row r="6077" ht="21" customHeight="1">
      <x:c r="A6077" s="10" t="n">
        <x:v>46275</x:v>
      </x:c>
      <x:c r="B6077" s="1" t="n">
        <x:v>2.5</x:v>
      </x:c>
      <x:c r="C6077" s="1" t="n">
        <x:v>6</x:v>
      </x:c>
      <x:c r="D6077" s="12" t="n">
        <x:v>0</x:v>
      </x:c>
      <x:c r="E6077" s="12" t="n">
        <x:v>0.28091666666666665</x:v>
      </x:c>
      <x:c r="F6077" s="12" t="n">
        <x:v>0.2805</x:v>
      </x:c>
      <x:c r="G6077" s="12" t="n">
        <x:v>0</x:v>
      </x:c>
      <x:c r="H6077" s="1" t="n">
        <x:f>'Historical prices'!E6077</x:f>
        <x:v>1.05</x:v>
      </x:c>
      <x:c r="I6077" s="6" t="n">
        <x:f>'Historical prices'!D6077</x:f>
        <x:v>0.282</x:v>
      </x:c>
      <x:c r="J6077" s="13" t="n">
        <x:f>D6077*I6077*H6077</x:f>
        <x:v>0</x:v>
      </x:c>
      <x:c r="K6077" s="13" t="n">
        <x:f>E6077*I6077*H6077</x:f>
        <x:v>0.08317942499999999</x:v>
      </x:c>
      <x:c r="L6077" s="1" t="str">
        <x:f>TEXT(A6077,"mmm yyyy")</x:f>
        <x:v>Sep 2026</x:v>
      </x:c>
    </x:row>
    <x:row r="6078" ht="21" customHeight="1">
      <x:c r="A6078" s="10" t="n">
        <x:v>46275</x:v>
      </x:c>
      <x:c r="B6078" s="1" t="n">
        <x:v>3</x:v>
      </x:c>
      <x:c r="C6078" s="1" t="n">
        <x:v>6</x:v>
      </x:c>
      <x:c r="D6078" s="12" t="n">
        <x:v>0</x:v>
      </x:c>
      <x:c r="E6078" s="12" t="n">
        <x:v>0.24025000000000002</x:v>
      </x:c>
      <x:c r="F6078" s="12" t="n">
        <x:v>0.23958333333333331</x:v>
      </x:c>
      <x:c r="G6078" s="12" t="n">
        <x:v>0</x:v>
      </x:c>
      <x:c r="H6078" s="1" t="n">
        <x:f>'Historical prices'!E6078</x:f>
        <x:v>1.05</x:v>
      </x:c>
      <x:c r="I6078" s="6" t="n">
        <x:f>'Historical prices'!D6078</x:f>
        <x:v>0.2952</x:v>
      </x:c>
      <x:c r="J6078" s="13" t="n">
        <x:f>D6078*I6078*H6078</x:f>
        <x:v>0</x:v>
      </x:c>
      <x:c r="K6078" s="13" t="n">
        <x:f>E6078*I6078*H6078</x:f>
        <x:v>0.07446789000000001</x:v>
      </x:c>
      <x:c r="L6078" s="1" t="str">
        <x:f>TEXT(A6078,"mmm yyyy")</x:f>
        <x:v>Sep 2026</x:v>
      </x:c>
    </x:row>
    <x:row r="6079" ht="21" customHeight="1">
      <x:c r="A6079" s="10" t="n">
        <x:v>46275</x:v>
      </x:c>
      <x:c r="B6079" s="1" t="n">
        <x:v>3.5</x:v>
      </x:c>
      <x:c r="C6079" s="1" t="n">
        <x:v>6</x:v>
      </x:c>
      <x:c r="D6079" s="12" t="n">
        <x:v>0</x:v>
      </x:c>
      <x:c r="E6079" s="12" t="n">
        <x:v>0.24808333333333332</x:v>
      </x:c>
      <x:c r="F6079" s="12" t="n">
        <x:v>0.24775000000000003</x:v>
      </x:c>
      <x:c r="G6079" s="12" t="n">
        <x:v>0</x:v>
      </x:c>
      <x:c r="H6079" s="1" t="n">
        <x:f>'Historical prices'!E6079</x:f>
        <x:v>1.05</x:v>
      </x:c>
      <x:c r="I6079" s="6" t="n">
        <x:f>'Historical prices'!D6079</x:f>
        <x:v>0.27949999999999997</x:v>
      </x:c>
      <x:c r="J6079" s="13" t="n">
        <x:f>D6079*I6079*H6079</x:f>
        <x:v>0</x:v>
      </x:c>
      <x:c r="K6079" s="13" t="n">
        <x:f>E6079*I6079*H6079</x:f>
        <x:v>0.07280625624999998</x:v>
      </x:c>
      <x:c r="L6079" s="1" t="str">
        <x:f>TEXT(A6079,"mmm yyyy")</x:f>
        <x:v>Sep 2026</x:v>
      </x:c>
    </x:row>
    <x:row r="6080" ht="21" customHeight="1">
      <x:c r="A6080" s="10" t="n">
        <x:v>46275</x:v>
      </x:c>
      <x:c r="B6080" s="1" t="n">
        <x:v>4</x:v>
      </x:c>
      <x:c r="C6080" s="1" t="n">
        <x:v>6</x:v>
      </x:c>
      <x:c r="D6080" s="12" t="n">
        <x:v>0</x:v>
      </x:c>
      <x:c r="E6080" s="12" t="n">
        <x:v>0.3088333333333333</x:v>
      </x:c>
      <x:c r="F6080" s="12" t="n">
        <x:v>0.3080833333333333</x:v>
      </x:c>
      <x:c r="G6080" s="12" t="n">
        <x:v>0</x:v>
      </x:c>
      <x:c r="H6080" s="1" t="n">
        <x:f>'Historical prices'!E6080</x:f>
        <x:v>1.05</x:v>
      </x:c>
      <x:c r="I6080" s="6" t="n">
        <x:f>'Historical prices'!D6080</x:f>
        <x:v>0.29710000000000003</x:v>
      </x:c>
      <x:c r="J6080" s="13" t="n">
        <x:f>D6080*I6080*H6080</x:f>
        <x:v>0</x:v>
      </x:c>
      <x:c r="K6080" s="13" t="n">
        <x:f>E6080*I6080*H6080</x:f>
        <x:v>0.0963421025</x:v>
      </x:c>
      <x:c r="L6080" s="1" t="str">
        <x:f>TEXT(A6080,"mmm yyyy")</x:f>
        <x:v>Sep 2026</x:v>
      </x:c>
    </x:row>
    <x:row r="6081" ht="21" customHeight="1">
      <x:c r="A6081" s="10" t="n">
        <x:v>46275</x:v>
      </x:c>
      <x:c r="B6081" s="1" t="n">
        <x:v>4.5</x:v>
      </x:c>
      <x:c r="C6081" s="1" t="n">
        <x:v>6</x:v>
      </x:c>
      <x:c r="D6081" s="12" t="n">
        <x:v>0</x:v>
      </x:c>
      <x:c r="E6081" s="12" t="n">
        <x:v>0.26316666666666666</x:v>
      </x:c>
      <x:c r="F6081" s="12" t="n">
        <x:v>0.26249999999999996</x:v>
      </x:c>
      <x:c r="G6081" s="12" t="n">
        <x:v>0</x:v>
      </x:c>
      <x:c r="H6081" s="1" t="n">
        <x:f>'Historical prices'!E6081</x:f>
        <x:v>1.05</x:v>
      </x:c>
      <x:c r="I6081" s="6" t="n">
        <x:f>'Historical prices'!D6081</x:f>
        <x:v>0.2877</x:v>
      </x:c>
      <x:c r="J6081" s="13" t="n">
        <x:f>D6081*I6081*H6081</x:f>
        <x:v>0</x:v>
      </x:c>
      <x:c r="K6081" s="13" t="n">
        <x:f>E6081*I6081*H6081</x:f>
        <x:v>0.0794987025</x:v>
      </x:c>
      <x:c r="L6081" s="1" t="str">
        <x:f>TEXT(A6081,"mmm yyyy")</x:f>
        <x:v>Sep 2026</x:v>
      </x:c>
    </x:row>
    <x:row r="6082" ht="21" customHeight="1">
      <x:c r="A6082" s="10" t="n">
        <x:v>46275</x:v>
      </x:c>
      <x:c r="B6082" s="1" t="n">
        <x:v>5</x:v>
      </x:c>
      <x:c r="C6082" s="1" t="n">
        <x:v>6</x:v>
      </x:c>
      <x:c r="D6082" s="12" t="n">
        <x:v>0</x:v>
      </x:c>
      <x:c r="E6082" s="12" t="n">
        <x:v>0.26875000000000004</x:v>
      </x:c>
      <x:c r="F6082" s="12" t="n">
        <x:v>0.2683333333333333</x:v>
      </x:c>
      <x:c r="G6082" s="12" t="n">
        <x:v>0</x:v>
      </x:c>
      <x:c r="H6082" s="1" t="n">
        <x:f>'Historical prices'!E6082</x:f>
        <x:v>1.05</x:v>
      </x:c>
      <x:c r="I6082" s="6" t="n">
        <x:f>'Historical prices'!D6082</x:f>
        <x:v>0.3356</x:v>
      </x:c>
      <x:c r="J6082" s="13" t="n">
        <x:f>D6082*I6082*H6082</x:f>
        <x:v>0</x:v>
      </x:c>
      <x:c r="K6082" s="13" t="n">
        <x:f>E6082*I6082*H6082</x:f>
        <x:v>0.09470212500000003</x:v>
      </x:c>
      <x:c r="L6082" s="1" t="str">
        <x:f>TEXT(A6082,"mmm yyyy")</x:f>
        <x:v>Sep 2026</x:v>
      </x:c>
    </x:row>
    <x:row r="6083" ht="21" customHeight="1">
      <x:c r="A6083" s="10" t="n">
        <x:v>46275</x:v>
      </x:c>
      <x:c r="B6083" s="1" t="n">
        <x:v>5.5</x:v>
      </x:c>
      <x:c r="C6083" s="1" t="n">
        <x:v>6</x:v>
      </x:c>
      <x:c r="D6083" s="12" t="n">
        <x:v>0</x:v>
      </x:c>
      <x:c r="E6083" s="12" t="n">
        <x:v>0.24291666666666667</x:v>
      </x:c>
      <x:c r="F6083" s="12" t="n">
        <x:v>0.24233333333333335</x:v>
      </x:c>
      <x:c r="G6083" s="12" t="n">
        <x:v>0</x:v>
      </x:c>
      <x:c r="H6083" s="1" t="n">
        <x:f>'Historical prices'!E6083</x:f>
        <x:v>1.05</x:v>
      </x:c>
      <x:c r="I6083" s="6" t="n">
        <x:f>'Historical prices'!D6083</x:f>
        <x:v>0.3398</x:v>
      </x:c>
      <x:c r="J6083" s="13" t="n">
        <x:f>D6083*I6083*H6083</x:f>
        <x:v>0</x:v>
      </x:c>
      <x:c r="K6083" s="13" t="n">
        <x:f>E6083*I6083*H6083</x:f>
        <x:v>0.08667023750000001</x:v>
      </x:c>
      <x:c r="L6083" s="1" t="str">
        <x:f>TEXT(A6083,"mmm yyyy")</x:f>
        <x:v>Sep 2026</x:v>
      </x:c>
    </x:row>
    <x:row r="6084" ht="21" customHeight="1">
      <x:c r="A6084" s="10" t="n">
        <x:v>46275</x:v>
      </x:c>
      <x:c r="B6084" s="1" t="n">
        <x:v>6</x:v>
      </x:c>
      <x:c r="C6084" s="1" t="n">
        <x:v>6</x:v>
      </x:c>
      <x:c r="D6084" s="12" t="n">
        <x:v>0</x:v>
      </x:c>
      <x:c r="E6084" s="12" t="n">
        <x:v>0.26216666666666666</x:v>
      </x:c>
      <x:c r="F6084" s="12" t="n">
        <x:v>0.262</x:v>
      </x:c>
      <x:c r="G6084" s="12" t="n">
        <x:v>0</x:v>
      </x:c>
      <x:c r="H6084" s="1" t="n">
        <x:f>'Historical prices'!E6084</x:f>
        <x:v>1.05</x:v>
      </x:c>
      <x:c r="I6084" s="6" t="n">
        <x:f>'Historical prices'!D6084</x:f>
        <x:v>0.3458</x:v>
      </x:c>
      <x:c r="J6084" s="13" t="n">
        <x:f>D6084*I6084*H6084</x:f>
        <x:v>0</x:v>
      </x:c>
      <x:c r="K6084" s="13" t="n">
        <x:f>E6084*I6084*H6084</x:f>
        <x:v>0.09519009499999999</x:v>
      </x:c>
      <x:c r="L6084" s="1" t="str">
        <x:f>TEXT(A6084,"mmm yyyy")</x:f>
        <x:v>Sep 2026</x:v>
      </x:c>
    </x:row>
    <x:row r="6085" ht="21" customHeight="1">
      <x:c r="A6085" s="10" t="n">
        <x:v>46275</x:v>
      </x:c>
      <x:c r="B6085" s="1" t="n">
        <x:v>6.5</x:v>
      </x:c>
      <x:c r="C6085" s="1" t="n">
        <x:v>6</x:v>
      </x:c>
      <x:c r="D6085" s="12" t="n">
        <x:v>0</x:v>
      </x:c>
      <x:c r="E6085" s="12" t="n">
        <x:v>0.3358333333333333</x:v>
      </x:c>
      <x:c r="F6085" s="12" t="n">
        <x:v>0.33541666666666664</x:v>
      </x:c>
      <x:c r="G6085" s="12" t="n">
        <x:v>0</x:v>
      </x:c>
      <x:c r="H6085" s="1" t="n">
        <x:f>'Historical prices'!E6085</x:f>
        <x:v>1.05</x:v>
      </x:c>
      <x:c r="I6085" s="6" t="n">
        <x:f>'Historical prices'!D6085</x:f>
        <x:v>0.365</x:v>
      </x:c>
      <x:c r="J6085" s="13" t="n">
        <x:f>D6085*I6085*H6085</x:f>
        <x:v>0</x:v>
      </x:c>
      <x:c r="K6085" s="13" t="n">
        <x:f>E6085*I6085*H6085</x:f>
        <x:v>0.128708125</x:v>
      </x:c>
      <x:c r="L6085" s="1" t="str">
        <x:f>TEXT(A6085,"mmm yyyy")</x:f>
        <x:v>Sep 2026</x:v>
      </x:c>
    </x:row>
    <x:row r="6086" ht="21" customHeight="1">
      <x:c r="A6086" s="10" t="n">
        <x:v>46275</x:v>
      </x:c>
      <x:c r="B6086" s="1" t="n">
        <x:v>7</x:v>
      </x:c>
      <x:c r="C6086" s="1" t="n">
        <x:v>6</x:v>
      </x:c>
      <x:c r="D6086" s="12" t="n">
        <x:v>0</x:v>
      </x:c>
      <x:c r="E6086" s="12" t="n">
        <x:v>0.31100000000000005</x:v>
      </x:c>
      <x:c r="F6086" s="12" t="n">
        <x:v>0.3105833333333333</x:v>
      </x:c>
      <x:c r="G6086" s="12" t="n">
        <x:v>0</x:v>
      </x:c>
      <x:c r="H6086" s="1" t="n">
        <x:f>'Historical prices'!E6086</x:f>
        <x:v>1.05</x:v>
      </x:c>
      <x:c r="I6086" s="6" t="n">
        <x:f>'Historical prices'!D6086</x:f>
        <x:v>0.33409999999999995</x:v>
      </x:c>
      <x:c r="J6086" s="13" t="n">
        <x:f>D6086*I6086*H6086</x:f>
        <x:v>0</x:v>
      </x:c>
      <x:c r="K6086" s="13" t="n">
        <x:f>E6086*I6086*H6086</x:f>
        <x:v>0.10910035500000001</x:v>
      </x:c>
      <x:c r="L6086" s="1" t="str">
        <x:f>TEXT(A6086,"mmm yyyy")</x:f>
        <x:v>Sep 2026</x:v>
      </x:c>
    </x:row>
    <x:row r="6087" ht="21" customHeight="1">
      <x:c r="A6087" s="10" t="n">
        <x:v>46275</x:v>
      </x:c>
      <x:c r="B6087" s="1" t="n">
        <x:v>7.5</x:v>
      </x:c>
      <x:c r="C6087" s="1" t="n">
        <x:v>6</x:v>
      </x:c>
      <x:c r="D6087" s="12" t="n">
        <x:v>0</x:v>
      </x:c>
      <x:c r="E6087" s="12" t="n">
        <x:v>0.23691666666666664</x:v>
      </x:c>
      <x:c r="F6087" s="12" t="n">
        <x:v>0.23641666666666666</x:v>
      </x:c>
      <x:c r="G6087" s="12" t="n">
        <x:v>0</x:v>
      </x:c>
      <x:c r="H6087" s="1" t="n">
        <x:f>'Historical prices'!E6087</x:f>
        <x:v>1.05</x:v>
      </x:c>
      <x:c r="I6087" s="6" t="n">
        <x:f>'Historical prices'!D6087</x:f>
        <x:v>0.35509999999999997</x:v>
      </x:c>
      <x:c r="J6087" s="13" t="n">
        <x:f>D6087*I6087*H6087</x:f>
        <x:v>0</x:v>
      </x:c>
      <x:c r="K6087" s="13" t="n">
        <x:f>E6087*I6087*H6087</x:f>
        <x:v>0.08833556374999998</x:v>
      </x:c>
      <x:c r="L6087" s="1" t="str">
        <x:f>TEXT(A6087,"mmm yyyy")</x:f>
        <x:v>Sep 2026</x:v>
      </x:c>
    </x:row>
    <x:row r="6088" ht="21" customHeight="1">
      <x:c r="A6088" s="10" t="n">
        <x:v>46275</x:v>
      </x:c>
      <x:c r="B6088" s="1" t="n">
        <x:v>8</x:v>
      </x:c>
      <x:c r="C6088" s="1" t="n">
        <x:v>6</x:v>
      </x:c>
      <x:c r="D6088" s="12" t="n">
        <x:v>0</x:v>
      </x:c>
      <x:c r="E6088" s="12" t="n">
        <x:v>0.2738333333333334</x:v>
      </x:c>
      <x:c r="F6088" s="12" t="n">
        <x:v>0.2733333333333333</x:v>
      </x:c>
      <x:c r="G6088" s="12" t="n">
        <x:v>0</x:v>
      </x:c>
      <x:c r="H6088" s="1" t="n">
        <x:f>'Historical prices'!E6088</x:f>
        <x:v>1.05</x:v>
      </x:c>
      <x:c r="I6088" s="6" t="n">
        <x:f>'Historical prices'!D6088</x:f>
        <x:v>0.3134</x:v>
      </x:c>
      <x:c r="J6088" s="13" t="n">
        <x:f>D6088*I6088*H6088</x:f>
        <x:v>0</x:v>
      </x:c>
      <x:c r="K6088" s="13" t="n">
        <x:f>E6088*I6088*H6088</x:f>
        <x:v>0.09011033500000003</x:v>
      </x:c>
      <x:c r="L6088" s="1" t="str">
        <x:f>TEXT(A6088,"mmm yyyy")</x:f>
        <x:v>Sep 2026</x:v>
      </x:c>
    </x:row>
    <x:row r="6089" ht="21" customHeight="1">
      <x:c r="A6089" s="10" t="n">
        <x:v>46275</x:v>
      </x:c>
      <x:c r="B6089" s="1" t="n">
        <x:v>8.5</x:v>
      </x:c>
      <x:c r="C6089" s="1" t="n">
        <x:v>6</x:v>
      </x:c>
      <x:c r="D6089" s="12" t="n">
        <x:v>0</x:v>
      </x:c>
      <x:c r="E6089" s="12" t="n">
        <x:v>0.37808333333333327</x:v>
      </x:c>
      <x:c r="F6089" s="12" t="n">
        <x:v>0.37758333333333327</x:v>
      </x:c>
      <x:c r="G6089" s="12" t="n">
        <x:v>0</x:v>
      </x:c>
      <x:c r="H6089" s="1" t="n">
        <x:f>'Historical prices'!E6089</x:f>
        <x:v>1.05</x:v>
      </x:c>
      <x:c r="I6089" s="6" t="n">
        <x:f>'Historical prices'!D6089</x:f>
        <x:v>0.3345</x:v>
      </x:c>
      <x:c r="J6089" s="13" t="n">
        <x:f>D6089*I6089*H6089</x:f>
        <x:v>0</x:v>
      </x:c>
      <x:c r="K6089" s="13" t="n">
        <x:f>E6089*I6089*H6089</x:f>
        <x:v>0.13279231875</x:v>
      </x:c>
      <x:c r="L6089" s="1" t="str">
        <x:f>TEXT(A6089,"mmm yyyy")</x:f>
        <x:v>Sep 2026</x:v>
      </x:c>
    </x:row>
    <x:row r="6090" ht="21" customHeight="1">
      <x:c r="A6090" s="10" t="n">
        <x:v>46275</x:v>
      </x:c>
      <x:c r="B6090" s="1" t="n">
        <x:v>9</x:v>
      </x:c>
      <x:c r="C6090" s="1" t="n">
        <x:v>6</x:v>
      </x:c>
      <x:c r="D6090" s="12" t="n">
        <x:v>0</x:v>
      </x:c>
      <x:c r="E6090" s="12" t="n">
        <x:v>0.22733333333333333</x:v>
      </x:c>
      <x:c r="F6090" s="12" t="n">
        <x:v>0.22666666666666666</x:v>
      </x:c>
      <x:c r="G6090" s="12" t="n">
        <x:v>0</x:v>
      </x:c>
      <x:c r="H6090" s="1" t="n">
        <x:f>'Historical prices'!E6090</x:f>
        <x:v>1.05</x:v>
      </x:c>
      <x:c r="I6090" s="6" t="n">
        <x:f>'Historical prices'!D6090</x:f>
        <x:v>0.3446</x:v>
      </x:c>
      <x:c r="J6090" s="13" t="n">
        <x:f>D6090*I6090*H6090</x:f>
        <x:v>0</x:v>
      </x:c>
      <x:c r="K6090" s="13" t="n">
        <x:f>E6090*I6090*H6090</x:f>
        <x:v>0.08225602</x:v>
      </x:c>
      <x:c r="L6090" s="1" t="str">
        <x:f>TEXT(A6090,"mmm yyyy")</x:f>
        <x:v>Sep 2026</x:v>
      </x:c>
    </x:row>
    <x:row r="6091" ht="21" customHeight="1">
      <x:c r="A6091" s="10" t="n">
        <x:v>46275</x:v>
      </x:c>
      <x:c r="B6091" s="1" t="n">
        <x:v>9.5</x:v>
      </x:c>
      <x:c r="C6091" s="1" t="n">
        <x:v>6</x:v>
      </x:c>
      <x:c r="D6091" s="12" t="n">
        <x:v>0</x:v>
      </x:c>
      <x:c r="E6091" s="12" t="n">
        <x:v>0.22575</x:v>
      </x:c>
      <x:c r="F6091" s="12" t="n">
        <x:v>0.22550000000000003</x:v>
      </x:c>
      <x:c r="G6091" s="12" t="n">
        <x:v>0</x:v>
      </x:c>
      <x:c r="H6091" s="1" t="n">
        <x:f>'Historical prices'!E6091</x:f>
        <x:v>1.05</x:v>
      </x:c>
      <x:c r="I6091" s="6" t="n">
        <x:f>'Historical prices'!D6091</x:f>
        <x:v>0.31980000000000003</x:v>
      </x:c>
      <x:c r="J6091" s="13" t="n">
        <x:f>D6091*I6091*H6091</x:f>
        <x:v>0</x:v>
      </x:c>
      <x:c r="K6091" s="13" t="n">
        <x:f>E6091*I6091*H6091</x:f>
        <x:v>0.0758045925</x:v>
      </x:c>
      <x:c r="L6091" s="1" t="str">
        <x:f>TEXT(A6091,"mmm yyyy")</x:f>
        <x:v>Sep 2026</x:v>
      </x:c>
    </x:row>
    <x:row r="6092" ht="21" customHeight="1">
      <x:c r="A6092" s="10" t="n">
        <x:v>46275</x:v>
      </x:c>
      <x:c r="B6092" s="1" t="n">
        <x:v>10</x:v>
      </x:c>
      <x:c r="C6092" s="1" t="n">
        <x:v>6</x:v>
      </x:c>
      <x:c r="D6092" s="12" t="n">
        <x:v>0</x:v>
      </x:c>
      <x:c r="E6092" s="12" t="n">
        <x:v>0.262</x:v>
      </x:c>
      <x:c r="F6092" s="12" t="n">
        <x:v>0.26175000000000004</x:v>
      </x:c>
      <x:c r="G6092" s="12" t="n">
        <x:v>0</x:v>
      </x:c>
      <x:c r="H6092" s="1" t="n">
        <x:f>'Historical prices'!E6092</x:f>
        <x:v>1.05</x:v>
      </x:c>
      <x:c r="I6092" s="6" t="n">
        <x:f>'Historical prices'!D6092</x:f>
        <x:v>0.298</x:v>
      </x:c>
      <x:c r="J6092" s="13" t="n">
        <x:f>D6092*I6092*H6092</x:f>
        <x:v>0</x:v>
      </x:c>
      <x:c r="K6092" s="13" t="n">
        <x:f>E6092*I6092*H6092</x:f>
        <x:v>0.0819798</x:v>
      </x:c>
      <x:c r="L6092" s="1" t="str">
        <x:f>TEXT(A6092,"mmm yyyy")</x:f>
        <x:v>Sep 2026</x:v>
      </x:c>
    </x:row>
    <x:row r="6093" ht="21" customHeight="1">
      <x:c r="A6093" s="10" t="n">
        <x:v>46275</x:v>
      </x:c>
      <x:c r="B6093" s="1" t="n">
        <x:v>10.5</x:v>
      </x:c>
      <x:c r="C6093" s="1" t="n">
        <x:v>6</x:v>
      </x:c>
      <x:c r="D6093" s="12" t="n">
        <x:v>0.20700000000000002</x:v>
      </x:c>
      <x:c r="E6093" s="12" t="n">
        <x:v>0.26008333333333333</x:v>
      </x:c>
      <x:c r="F6093" s="12" t="n">
        <x:v>0.042</x:v>
      </x:c>
      <x:c r="G6093" s="12" t="n">
        <x:v>0</x:v>
      </x:c>
      <x:c r="H6093" s="1" t="n">
        <x:f>'Historical prices'!E6093</x:f>
        <x:v>1.05</x:v>
      </x:c>
      <x:c r="I6093" s="6" t="n">
        <x:f>'Historical prices'!D6093</x:f>
        <x:v>0.2658</x:v>
      </x:c>
      <x:c r="J6093" s="13" t="n">
        <x:f>D6093*I6093*H6093</x:f>
        <x:v>0.057771630000000004</x:v>
      </x:c>
      <x:c r="K6093" s="13" t="n">
        <x:f>E6093*I6093*H6093</x:f>
        <x:v>0.0725866575</x:v>
      </x:c>
      <x:c r="L6093" s="1" t="str">
        <x:f>TEXT(A6093,"mmm yyyy")</x:f>
        <x:v>Sep 2026</x:v>
      </x:c>
    </x:row>
    <x:row r="6094" ht="21" customHeight="1">
      <x:c r="A6094" s="10" t="n">
        <x:v>46275</x:v>
      </x:c>
      <x:c r="B6094" s="1" t="n">
        <x:v>11</x:v>
      </x:c>
      <x:c r="C6094" s="1" t="n">
        <x:v>6</x:v>
      </x:c>
      <x:c r="D6094" s="12" t="n">
        <x:v>0.18775</x:v>
      </x:c>
      <x:c r="E6094" s="12" t="n">
        <x:v>0.19774999999999998</x:v>
      </x:c>
      <x:c r="F6094" s="12" t="n">
        <x:v>0</x:v>
      </x:c>
      <x:c r="G6094" s="12" t="n">
        <x:v>0</x:v>
      </x:c>
      <x:c r="H6094" s="1" t="n">
        <x:f>'Historical prices'!E6094</x:f>
        <x:v>1.05</x:v>
      </x:c>
      <x:c r="I6094" s="6" t="n">
        <x:f>'Historical prices'!D6094</x:f>
        <x:v>0.2596</x:v>
      </x:c>
      <x:c r="J6094" s="13" t="n">
        <x:f>D6094*I6094*H6094</x:f>
        <x:v>0.05117689500000001</x:v>
      </x:c>
      <x:c r="K6094" s="13" t="n">
        <x:f>E6094*I6094*H6094</x:f>
        <x:v>0.053902695</x:v>
      </x:c>
      <x:c r="L6094" s="1" t="str">
        <x:f>TEXT(A6094,"mmm yyyy")</x:f>
        <x:v>Sep 2026</x:v>
      </x:c>
    </x:row>
    <x:row r="6095" ht="21" customHeight="1">
      <x:c r="A6095" s="10" t="n">
        <x:v>46275</x:v>
      </x:c>
      <x:c r="B6095" s="1" t="n">
        <x:v>11.5</x:v>
      </x:c>
      <x:c r="C6095" s="1" t="n">
        <x:v>6</x:v>
      </x:c>
      <x:c r="D6095" s="12" t="n">
        <x:v>0.17375</x:v>
      </x:c>
      <x:c r="E6095" s="12" t="n">
        <x:v>0.18475</x:v>
      </x:c>
      <x:c r="F6095" s="12" t="n">
        <x:v>0</x:v>
      </x:c>
      <x:c r="G6095" s="12" t="n">
        <x:v>0</x:v>
      </x:c>
      <x:c r="H6095" s="1" t="n">
        <x:f>'Historical prices'!E6095</x:f>
        <x:v>1.05</x:v>
      </x:c>
      <x:c r="I6095" s="6" t="n">
        <x:f>'Historical prices'!D6095</x:f>
        <x:v>0.2396</x:v>
      </x:c>
      <x:c r="J6095" s="13" t="n">
        <x:f>D6095*I6095*H6095</x:f>
        <x:v>0.043712025</x:v>
      </x:c>
      <x:c r="K6095" s="13" t="n">
        <x:f>E6095*I6095*H6095</x:f>
        <x:v>0.046479405</x:v>
      </x:c>
      <x:c r="L6095" s="1" t="str">
        <x:f>TEXT(A6095,"mmm yyyy")</x:f>
        <x:v>Sep 2026</x:v>
      </x:c>
    </x:row>
    <x:row r="6096" ht="21" customHeight="1">
      <x:c r="A6096" s="10" t="n">
        <x:v>46275</x:v>
      </x:c>
      <x:c r="B6096" s="1" t="n">
        <x:v>12</x:v>
      </x:c>
      <x:c r="C6096" s="1" t="n">
        <x:v>6</x:v>
      </x:c>
      <x:c r="D6096" s="12" t="n">
        <x:v>0.16274999999999998</x:v>
      </x:c>
      <x:c r="E6096" s="12" t="n">
        <x:v>0.17375</x:v>
      </x:c>
      <x:c r="F6096" s="12" t="n">
        <x:v>0</x:v>
      </x:c>
      <x:c r="G6096" s="12" t="n">
        <x:v>0</x:v>
      </x:c>
      <x:c r="H6096" s="1" t="n">
        <x:f>'Historical prices'!E6096</x:f>
        <x:v>1.05</x:v>
      </x:c>
      <x:c r="I6096" s="6" t="n">
        <x:f>'Historical prices'!D6096</x:f>
        <x:v>0.23989999999999997</x:v>
      </x:c>
      <x:c r="J6096" s="13" t="n">
        <x:f>D6096*I6096*H6096</x:f>
        <x:v>0.04099591124999999</x:v>
      </x:c>
      <x:c r="K6096" s="13" t="n">
        <x:f>E6096*I6096*H6096</x:f>
        <x:v>0.04376675625</x:v>
      </x:c>
      <x:c r="L6096" s="1" t="str">
        <x:f>TEXT(A6096,"mmm yyyy")</x:f>
        <x:v>Sep 2026</x:v>
      </x:c>
    </x:row>
    <x:row r="6097" ht="21" customHeight="1">
      <x:c r="A6097" s="10" t="n">
        <x:v>46275</x:v>
      </x:c>
      <x:c r="B6097" s="1" t="n">
        <x:v>12.5</x:v>
      </x:c>
      <x:c r="C6097" s="1" t="n">
        <x:v>6</x:v>
      </x:c>
      <x:c r="D6097" s="12" t="n">
        <x:v>0.18075000000000002</x:v>
      </x:c>
      <x:c r="E6097" s="12" t="n">
        <x:v>0.19075</x:v>
      </x:c>
      <x:c r="F6097" s="12" t="n">
        <x:v>0</x:v>
      </x:c>
      <x:c r="G6097" s="12" t="n">
        <x:v>0</x:v>
      </x:c>
      <x:c r="H6097" s="1" t="n">
        <x:f>'Historical prices'!E6097</x:f>
        <x:v>1.05</x:v>
      </x:c>
      <x:c r="I6097" s="6" t="n">
        <x:f>'Historical prices'!D6097</x:f>
        <x:v>0.22649999999999998</x:v>
      </x:c>
      <x:c r="J6097" s="13" t="n">
        <x:f>D6097*I6097*H6097</x:f>
        <x:v>0.042986868750000004</x:v>
      </x:c>
      <x:c r="K6097" s="13" t="n">
        <x:f>E6097*I6097*H6097</x:f>
        <x:v>0.045365118749999996</x:v>
      </x:c>
      <x:c r="L6097" s="1" t="str">
        <x:f>TEXT(A6097,"mmm yyyy")</x:f>
        <x:v>Sep 2026</x:v>
      </x:c>
    </x:row>
    <x:row r="6098" ht="21" customHeight="1">
      <x:c r="A6098" s="10" t="n">
        <x:v>46275</x:v>
      </x:c>
      <x:c r="B6098" s="1" t="n">
        <x:v>13</x:v>
      </x:c>
      <x:c r="C6098" s="1" t="n">
        <x:v>6</x:v>
      </x:c>
      <x:c r="D6098" s="12" t="n">
        <x:v>0.26575</x:v>
      </x:c>
      <x:c r="E6098" s="12" t="n">
        <x:v>0.27475</x:v>
      </x:c>
      <x:c r="F6098" s="12" t="n">
        <x:v>0</x:v>
      </x:c>
      <x:c r="G6098" s="12" t="n">
        <x:v>0</x:v>
      </x:c>
      <x:c r="H6098" s="1" t="n">
        <x:f>'Historical prices'!E6098</x:f>
        <x:v>1.05</x:v>
      </x:c>
      <x:c r="I6098" s="6" t="n">
        <x:f>'Historical prices'!D6098</x:f>
        <x:v>0.21899999999999997</x:v>
      </x:c>
      <x:c r="J6098" s="13" t="n">
        <x:f>D6098*I6098*H6098</x:f>
        <x:v>0.06110921249999999</x:v>
      </x:c>
      <x:c r="K6098" s="13" t="n">
        <x:f>E6098*I6098*H6098</x:f>
        <x:v>0.0631787625</x:v>
      </x:c>
      <x:c r="L6098" s="1" t="str">
        <x:f>TEXT(A6098,"mmm yyyy")</x:f>
        <x:v>Sep 2026</x:v>
      </x:c>
    </x:row>
    <x:row r="6099" ht="21" customHeight="1">
      <x:c r="A6099" s="10" t="n">
        <x:v>46275</x:v>
      </x:c>
      <x:c r="B6099" s="1" t="n">
        <x:v>13.5</x:v>
      </x:c>
      <x:c r="C6099" s="1" t="n">
        <x:v>6</x:v>
      </x:c>
      <x:c r="D6099" s="12" t="n">
        <x:v>3.82675</x:v>
      </x:c>
      <x:c r="E6099" s="12" t="n">
        <x:v>0.37075</x:v>
      </x:c>
      <x:c r="F6099" s="12" t="n">
        <x:v>0</x:v>
      </x:c>
      <x:c r="G6099" s="12" t="n">
        <x:v>3.4579999999999997</x:v>
      </x:c>
      <x:c r="H6099" s="1" t="n">
        <x:f>'Historical prices'!E6099</x:f>
        <x:v>1.05</x:v>
      </x:c>
      <x:c r="I6099" s="6" t="n">
        <x:f>'Historical prices'!D6099</x:f>
        <x:v>0.2113</x:v>
      </x:c>
      <x:c r="J6099" s="13" t="n">
        <x:f>D6099*I6099*H6099</x:f>
        <x:v>0.84902188875</x:v>
      </x:c>
      <x:c r="K6099" s="13" t="n">
        <x:f>E6099*I6099*H6099</x:f>
        <x:v>0.08225644875000002</x:v>
      </x:c>
      <x:c r="L6099" s="1" t="str">
        <x:f>TEXT(A6099,"mmm yyyy")</x:f>
        <x:v>Sep 2026</x:v>
      </x:c>
    </x:row>
    <x:row r="6100" ht="21" customHeight="1">
      <x:c r="A6100" s="10" t="n">
        <x:v>46275</x:v>
      </x:c>
      <x:c r="B6100" s="1" t="n">
        <x:v>14</x:v>
      </x:c>
      <x:c r="C6100" s="1" t="n">
        <x:v>6</x:v>
      </x:c>
      <x:c r="D6100" s="12" t="n">
        <x:v>0.85275</x:v>
      </x:c>
      <x:c r="E6100" s="12" t="n">
        <x:v>0.20875</x:v>
      </x:c>
      <x:c r="F6100" s="12" t="n">
        <x:v>0</x:v>
      </x:c>
      <x:c r="G6100" s="12" t="n">
        <x:v>0.645</x:v>
      </x:c>
      <x:c r="H6100" s="1" t="n">
        <x:f>'Historical prices'!E6100</x:f>
        <x:v>1.05</x:v>
      </x:c>
      <x:c r="I6100" s="6" t="n">
        <x:f>'Historical prices'!D6100</x:f>
        <x:v>0.2396</x:v>
      </x:c>
      <x:c r="J6100" s="13" t="n">
        <x:f>D6100*I6100*H6100</x:f>
        <x:v>0.214534845</x:v>
      </x:c>
      <x:c r="K6100" s="13" t="n">
        <x:f>E6100*I6100*H6100</x:f>
        <x:v>0.052517325000000004</x:v>
      </x:c>
      <x:c r="L6100" s="1" t="str">
        <x:f>TEXT(A6100,"mmm yyyy")</x:f>
        <x:v>Sep 2026</x:v>
      </x:c>
    </x:row>
    <x:row r="6101" ht="21" customHeight="1">
      <x:c r="A6101" s="10" t="n">
        <x:v>46275</x:v>
      </x:c>
      <x:c r="B6101" s="1" t="n">
        <x:v>14.5</x:v>
      </x:c>
      <x:c r="C6101" s="1" t="n">
        <x:v>6</x:v>
      </x:c>
      <x:c r="D6101" s="12" t="n">
        <x:v>0.20900000000000002</x:v>
      </x:c>
      <x:c r="E6101" s="12" t="n">
        <x:v>0.22100000000000003</x:v>
      </x:c>
      <x:c r="F6101" s="12" t="n">
        <x:v>0</x:v>
      </x:c>
      <x:c r="G6101" s="12" t="n">
        <x:v>0</x:v>
      </x:c>
      <x:c r="H6101" s="1" t="n">
        <x:f>'Historical prices'!E6101</x:f>
        <x:v>1.05</x:v>
      </x:c>
      <x:c r="I6101" s="6" t="n">
        <x:f>'Historical prices'!D6101</x:f>
        <x:v>0.2451</x:v>
      </x:c>
      <x:c r="J6101" s="13" t="n">
        <x:f>D6101*I6101*H6101</x:f>
        <x:v>0.05378719500000001</x:v>
      </x:c>
      <x:c r="K6101" s="13" t="n">
        <x:f>E6101*I6101*H6101</x:f>
        <x:v>0.05687545500000001</x:v>
      </x:c>
      <x:c r="L6101" s="1" t="str">
        <x:f>TEXT(A6101,"mmm yyyy")</x:f>
        <x:v>Sep 2026</x:v>
      </x:c>
    </x:row>
    <x:row r="6102" ht="21" customHeight="1">
      <x:c r="A6102" s="10" t="n">
        <x:v>46275</x:v>
      </x:c>
      <x:c r="B6102" s="1" t="n">
        <x:v>15</x:v>
      </x:c>
      <x:c r="C6102" s="1" t="n">
        <x:v>6</x:v>
      </x:c>
      <x:c r="D6102" s="12" t="n">
        <x:v>0.1775</x:v>
      </x:c>
      <x:c r="E6102" s="12" t="n">
        <x:v>0.18749999999999997</x:v>
      </x:c>
      <x:c r="F6102" s="12" t="n">
        <x:v>0</x:v>
      </x:c>
      <x:c r="G6102" s="12" t="n">
        <x:v>0</x:v>
      </x:c>
      <x:c r="H6102" s="1" t="n">
        <x:f>'Historical prices'!E6102</x:f>
        <x:v>1.05</x:v>
      </x:c>
      <x:c r="I6102" s="6" t="n">
        <x:f>'Historical prices'!D6102</x:f>
        <x:v>0.2455</x:v>
      </x:c>
      <x:c r="J6102" s="13" t="n">
        <x:f>D6102*I6102*H6102</x:f>
        <x:v>0.0457550625</x:v>
      </x:c>
      <x:c r="K6102" s="13" t="n">
        <x:f>E6102*I6102*H6102</x:f>
        <x:v>0.048332812499999996</x:v>
      </x:c>
      <x:c r="L6102" s="1" t="str">
        <x:f>TEXT(A6102,"mmm yyyy")</x:f>
        <x:v>Sep 2026</x:v>
      </x:c>
    </x:row>
    <x:row r="6103" ht="21" customHeight="1">
      <x:c r="A6103" s="10" t="n">
        <x:v>46275</x:v>
      </x:c>
      <x:c r="B6103" s="1" t="n">
        <x:v>15.5</x:v>
      </x:c>
      <x:c r="C6103" s="1" t="n">
        <x:v>6</x:v>
      </x:c>
      <x:c r="D6103" s="12" t="n">
        <x:v>0.02</x:v>
      </x:c>
      <x:c r="E6103" s="12" t="n">
        <x:v>0.19708333333333333</x:v>
      </x:c>
      <x:c r="F6103" s="12" t="n">
        <x:v>0.17475</x:v>
      </x:c>
      <x:c r="G6103" s="12" t="n">
        <x:v>0</x:v>
      </x:c>
      <x:c r="H6103" s="1" t="n">
        <x:f>'Historical prices'!E6103</x:f>
        <x:v>1.05</x:v>
      </x:c>
      <x:c r="I6103" s="6" t="n">
        <x:f>'Historical prices'!D6103</x:f>
        <x:v>0.2691</x:v>
      </x:c>
      <x:c r="J6103" s="13" t="n">
        <x:f>D6103*I6103*H6103</x:f>
        <x:v>0.005651100000000001</x:v>
      </x:c>
      <x:c r="K6103" s="13" t="n">
        <x:f>E6103*I6103*H6103</x:f>
        <x:v>0.05568688125000001</x:v>
      </x:c>
      <x:c r="L6103" s="1" t="str">
        <x:f>TEXT(A6103,"mmm yyyy")</x:f>
        <x:v>Sep 2026</x:v>
      </x:c>
    </x:row>
    <x:row r="6104" ht="21" customHeight="1">
      <x:c r="A6104" s="10" t="n">
        <x:v>46275</x:v>
      </x:c>
      <x:c r="B6104" s="1" t="n">
        <x:v>16</x:v>
      </x:c>
      <x:c r="C6104" s="1" t="n">
        <x:v>6</x:v>
      </x:c>
      <x:c r="D6104" s="12" t="n">
        <x:v>0</x:v>
      </x:c>
      <x:c r="E6104" s="12" t="n">
        <x:v>0.24999999999999997</x:v>
      </x:c>
      <x:c r="F6104" s="12" t="n">
        <x:v>0.24925</x:v>
      </x:c>
      <x:c r="G6104" s="12" t="n">
        <x:v>0</x:v>
      </x:c>
      <x:c r="H6104" s="1" t="n">
        <x:f>'Historical prices'!E6104</x:f>
        <x:v>1.05</x:v>
      </x:c>
      <x:c r="I6104" s="6" t="n">
        <x:f>'Historical prices'!D6104</x:f>
        <x:v>0.4268</x:v>
      </x:c>
      <x:c r="J6104" s="13" t="n">
        <x:f>D6104*I6104*H6104</x:f>
        <x:v>0</x:v>
      </x:c>
      <x:c r="K6104" s="13" t="n">
        <x:f>E6104*I6104*H6104</x:f>
        <x:v>0.112035</x:v>
      </x:c>
      <x:c r="L6104" s="1" t="str">
        <x:f>TEXT(A6104,"mmm yyyy")</x:f>
        <x:v>Sep 2026</x:v>
      </x:c>
    </x:row>
    <x:row r="6105" ht="21" customHeight="1">
      <x:c r="A6105" s="10" t="n">
        <x:v>46275</x:v>
      </x:c>
      <x:c r="B6105" s="1" t="n">
        <x:v>16.5</x:v>
      </x:c>
      <x:c r="C6105" s="1" t="n">
        <x:v>6</x:v>
      </x:c>
      <x:c r="D6105" s="12" t="n">
        <x:v>0</x:v>
      </x:c>
      <x:c r="E6105" s="12" t="n">
        <x:v>0.259</x:v>
      </x:c>
      <x:c r="F6105" s="12" t="n">
        <x:v>0.2585833333333333</x:v>
      </x:c>
      <x:c r="G6105" s="12" t="n">
        <x:v>0</x:v>
      </x:c>
      <x:c r="H6105" s="1" t="n">
        <x:f>'Historical prices'!E6105</x:f>
        <x:v>1.05</x:v>
      </x:c>
      <x:c r="I6105" s="6" t="n">
        <x:f>'Historical prices'!D6105</x:f>
        <x:v>0.4226</x:v>
      </x:c>
      <x:c r="J6105" s="13" t="n">
        <x:f>D6105*I6105*H6105</x:f>
        <x:v>0</x:v>
      </x:c>
      <x:c r="K6105" s="13" t="n">
        <x:f>E6105*I6105*H6105</x:f>
        <x:v>0.11492606999999999</x:v>
      </x:c>
      <x:c r="L6105" s="1" t="str">
        <x:f>TEXT(A6105,"mmm yyyy")</x:f>
        <x:v>Sep 2026</x:v>
      </x:c>
    </x:row>
    <x:row r="6106" ht="21" customHeight="1">
      <x:c r="A6106" s="10" t="n">
        <x:v>46275</x:v>
      </x:c>
      <x:c r="B6106" s="1" t="n">
        <x:v>17</x:v>
      </x:c>
      <x:c r="C6106" s="1" t="n">
        <x:v>6</x:v>
      </x:c>
      <x:c r="D6106" s="12" t="n">
        <x:v>0</x:v>
      </x:c>
      <x:c r="E6106" s="12" t="n">
        <x:v>0.29191666666666666</x:v>
      </x:c>
      <x:c r="F6106" s="12" t="n">
        <x:v>0.29133333333333333</x:v>
      </x:c>
      <x:c r="G6106" s="12" t="n">
        <x:v>0</x:v>
      </x:c>
      <x:c r="H6106" s="1" t="n">
        <x:f>'Historical prices'!E6106</x:f>
        <x:v>1.05</x:v>
      </x:c>
      <x:c r="I6106" s="6" t="n">
        <x:f>'Historical prices'!D6106</x:f>
        <x:v>0.4587</x:v>
      </x:c>
      <x:c r="J6106" s="13" t="n">
        <x:f>D6106*I6106*H6106</x:f>
        <x:v>0</x:v>
      </x:c>
      <x:c r="K6106" s="13" t="n">
        <x:f>E6106*I6106*H6106</x:f>
        <x:v>0.14059728375</x:v>
      </x:c>
      <x:c r="L6106" s="1" t="str">
        <x:f>TEXT(A6106,"mmm yyyy")</x:f>
        <x:v>Sep 2026</x:v>
      </x:c>
    </x:row>
    <x:row r="6107" ht="21" customHeight="1">
      <x:c r="A6107" s="10" t="n">
        <x:v>46275</x:v>
      </x:c>
      <x:c r="B6107" s="1" t="n">
        <x:v>17.5</x:v>
      </x:c>
      <x:c r="C6107" s="1" t="n">
        <x:v>6</x:v>
      </x:c>
      <x:c r="D6107" s="12" t="n">
        <x:v>0</x:v>
      </x:c>
      <x:c r="E6107" s="12" t="n">
        <x:v>0.24075</x:v>
      </x:c>
      <x:c r="F6107" s="12" t="n">
        <x:v>0.24050000000000002</x:v>
      </x:c>
      <x:c r="G6107" s="12" t="n">
        <x:v>0</x:v>
      </x:c>
      <x:c r="H6107" s="1" t="n">
        <x:f>'Historical prices'!E6107</x:f>
        <x:v>1.05</x:v>
      </x:c>
      <x:c r="I6107" s="6" t="n">
        <x:f>'Historical prices'!D6107</x:f>
        <x:v>0.47090000000000004</x:v>
      </x:c>
      <x:c r="J6107" s="13" t="n">
        <x:f>D6107*I6107*H6107</x:f>
        <x:v>0</x:v>
      </x:c>
      <x:c r="K6107" s="13" t="n">
        <x:f>E6107*I6107*H6107</x:f>
        <x:v>0.11903763375000001</x:v>
      </x:c>
      <x:c r="L6107" s="1" t="str">
        <x:f>TEXT(A6107,"mmm yyyy")</x:f>
        <x:v>Sep 2026</x:v>
      </x:c>
    </x:row>
    <x:row r="6108" ht="21" customHeight="1">
      <x:c r="A6108" s="10" t="n">
        <x:v>46275</x:v>
      </x:c>
      <x:c r="B6108" s="1" t="n">
        <x:v>18</x:v>
      </x:c>
      <x:c r="C6108" s="1" t="n">
        <x:v>6</x:v>
      </x:c>
      <x:c r="D6108" s="12" t="n">
        <x:v>0</x:v>
      </x:c>
      <x:c r="E6108" s="12" t="n">
        <x:v>0.25908333333333333</x:v>
      </x:c>
      <x:c r="F6108" s="12" t="n">
        <x:v>0.2585</x:v>
      </x:c>
      <x:c r="G6108" s="12" t="n">
        <x:v>0</x:v>
      </x:c>
      <x:c r="H6108" s="1" t="n">
        <x:f>'Historical prices'!E6108</x:f>
        <x:v>1.05</x:v>
      </x:c>
      <x:c r="I6108" s="6" t="n">
        <x:f>'Historical prices'!D6108</x:f>
        <x:v>0.4697</x:v>
      </x:c>
      <x:c r="J6108" s="13" t="n">
        <x:f>D6108*I6108*H6108</x:f>
        <x:v>0</x:v>
      </x:c>
      <x:c r="K6108" s="13" t="n">
        <x:f>E6108*I6108*H6108</x:f>
        <x:v>0.12777601375</x:v>
      </x:c>
      <x:c r="L6108" s="1" t="str">
        <x:f>TEXT(A6108,"mmm yyyy")</x:f>
        <x:v>Sep 2026</x:v>
      </x:c>
    </x:row>
    <x:row r="6109" ht="21" customHeight="1">
      <x:c r="A6109" s="10" t="n">
        <x:v>46275</x:v>
      </x:c>
      <x:c r="B6109" s="1" t="n">
        <x:v>18.5</x:v>
      </x:c>
      <x:c r="C6109" s="1" t="n">
        <x:v>6</x:v>
      </x:c>
      <x:c r="D6109" s="12" t="n">
        <x:v>0</x:v>
      </x:c>
      <x:c r="E6109" s="12" t="n">
        <x:v>0.2918333333333333</x:v>
      </x:c>
      <x:c r="F6109" s="12" t="n">
        <x:v>0.29141666666666666</x:v>
      </x:c>
      <x:c r="G6109" s="12" t="n">
        <x:v>0</x:v>
      </x:c>
      <x:c r="H6109" s="1" t="n">
        <x:f>'Historical prices'!E6109</x:f>
        <x:v>1.05</x:v>
      </x:c>
      <x:c r="I6109" s="6" t="n">
        <x:f>'Historical prices'!D6109</x:f>
        <x:v>0.47090000000000004</x:v>
      </x:c>
      <x:c r="J6109" s="13" t="n">
        <x:f>D6109*I6109*H6109</x:f>
        <x:v>0</x:v>
      </x:c>
      <x:c r="K6109" s="13" t="n">
        <x:f>E6109*I6109*H6109</x:f>
        <x:v>0.1442955325</x:v>
      </x:c>
      <x:c r="L6109" s="1" t="str">
        <x:f>TEXT(A6109,"mmm yyyy")</x:f>
        <x:v>Sep 2026</x:v>
      </x:c>
    </x:row>
    <x:row r="6110" ht="21" customHeight="1">
      <x:c r="A6110" s="10" t="n">
        <x:v>46275</x:v>
      </x:c>
      <x:c r="B6110" s="1" t="n">
        <x:v>19</x:v>
      </x:c>
      <x:c r="C6110" s="1" t="n">
        <x:v>6</x:v>
      </x:c>
      <x:c r="D6110" s="12" t="n">
        <x:v>0</x:v>
      </x:c>
      <x:c r="E6110" s="12" t="n">
        <x:v>0.30191666666666667</x:v>
      </x:c>
      <x:c r="F6110" s="12" t="n">
        <x:v>0.30175</x:v>
      </x:c>
      <x:c r="G6110" s="12" t="n">
        <x:v>0</x:v>
      </x:c>
      <x:c r="H6110" s="1" t="n">
        <x:f>'Historical prices'!E6110</x:f>
        <x:v>1.05</x:v>
      </x:c>
      <x:c r="I6110" s="6" t="n">
        <x:f>'Historical prices'!D6110</x:f>
        <x:v>0.358</x:v>
      </x:c>
      <x:c r="J6110" s="13" t="n">
        <x:f>D6110*I6110*H6110</x:f>
        <x:v>0</x:v>
      </x:c>
      <x:c r="K6110" s="13" t="n">
        <x:f>E6110*I6110*H6110</x:f>
        <x:v>0.11349047500000001</x:v>
      </x:c>
      <x:c r="L6110" s="1" t="str">
        <x:f>TEXT(A6110,"mmm yyyy")</x:f>
        <x:v>Sep 2026</x:v>
      </x:c>
    </x:row>
    <x:row r="6111" ht="21" customHeight="1">
      <x:c r="A6111" s="10" t="n">
        <x:v>46275</x:v>
      </x:c>
      <x:c r="B6111" s="1" t="n">
        <x:v>19.5</x:v>
      </x:c>
      <x:c r="C6111" s="1" t="n">
        <x:v>6</x:v>
      </x:c>
      <x:c r="D6111" s="12" t="n">
        <x:v>0</x:v>
      </x:c>
      <x:c r="E6111" s="12" t="n">
        <x:v>0.29808333333333337</x:v>
      </x:c>
      <x:c r="F6111" s="12" t="n">
        <x:v>0.2971666666666667</x:v>
      </x:c>
      <x:c r="G6111" s="12" t="n">
        <x:v>0</x:v>
      </x:c>
      <x:c r="H6111" s="1" t="n">
        <x:f>'Historical prices'!E6111</x:f>
        <x:v>1.05</x:v>
      </x:c>
      <x:c r="I6111" s="6" t="n">
        <x:f>'Historical prices'!D6111</x:f>
        <x:v>0.37439999999999996</x:v>
      </x:c>
      <x:c r="J6111" s="13" t="n">
        <x:f>D6111*I6111*H6111</x:f>
        <x:v>0</x:v>
      </x:c>
      <x:c r="K6111" s="13" t="n">
        <x:f>E6111*I6111*H6111</x:f>
        <x:v>0.11718252000000001</x:v>
      </x:c>
      <x:c r="L6111" s="1" t="str">
        <x:f>TEXT(A6111,"mmm yyyy")</x:f>
        <x:v>Sep 2026</x:v>
      </x:c>
    </x:row>
    <x:row r="6112" ht="21" customHeight="1">
      <x:c r="A6112" s="10" t="n">
        <x:v>46275</x:v>
      </x:c>
      <x:c r="B6112" s="1" t="n">
        <x:v>20</x:v>
      </x:c>
      <x:c r="C6112" s="1" t="n">
        <x:v>6</x:v>
      </x:c>
      <x:c r="D6112" s="12" t="n">
        <x:v>0</x:v>
      </x:c>
      <x:c r="E6112" s="12" t="n">
        <x:v>0.24083333333333334</x:v>
      </x:c>
      <x:c r="F6112" s="12" t="n">
        <x:v>0.24033333333333334</x:v>
      </x:c>
      <x:c r="G6112" s="12" t="n">
        <x:v>0</x:v>
      </x:c>
      <x:c r="H6112" s="1" t="n">
        <x:f>'Historical prices'!E6112</x:f>
        <x:v>1.05</x:v>
      </x:c>
      <x:c r="I6112" s="6" t="n">
        <x:f>'Historical prices'!D6112</x:f>
        <x:v>0.386</x:v>
      </x:c>
      <x:c r="J6112" s="13" t="n">
        <x:f>D6112*I6112*H6112</x:f>
        <x:v>0</x:v>
      </x:c>
      <x:c r="K6112" s="13" t="n">
        <x:f>E6112*I6112*H6112</x:f>
        <x:v>0.09760975000000002</x:v>
      </x:c>
      <x:c r="L6112" s="1" t="str">
        <x:f>TEXT(A6112,"mmm yyyy")</x:f>
        <x:v>Sep 2026</x:v>
      </x:c>
    </x:row>
    <x:row r="6113" ht="21" customHeight="1">
      <x:c r="A6113" s="10" t="n">
        <x:v>46275</x:v>
      </x:c>
      <x:c r="B6113" s="1" t="n">
        <x:v>20.5</x:v>
      </x:c>
      <x:c r="C6113" s="1" t="n">
        <x:v>6</x:v>
      </x:c>
      <x:c r="D6113" s="12" t="n">
        <x:v>0</x:v>
      </x:c>
      <x:c r="E6113" s="12" t="n">
        <x:v>0.26</x:v>
      </x:c>
      <x:c r="F6113" s="12" t="n">
        <x:v>0.25966666666666666</x:v>
      </x:c>
      <x:c r="G6113" s="12" t="n">
        <x:v>0</x:v>
      </x:c>
      <x:c r="H6113" s="1" t="n">
        <x:f>'Historical prices'!E6113</x:f>
        <x:v>1.05</x:v>
      </x:c>
      <x:c r="I6113" s="6" t="n">
        <x:f>'Historical prices'!D6113</x:f>
        <x:v>0.3789</x:v>
      </x:c>
      <x:c r="J6113" s="13" t="n">
        <x:f>D6113*I6113*H6113</x:f>
        <x:v>0</x:v>
      </x:c>
      <x:c r="K6113" s="13" t="n">
        <x:f>E6113*I6113*H6113</x:f>
        <x:v>0.10343970000000001</x:v>
      </x:c>
      <x:c r="L6113" s="1" t="str">
        <x:f>TEXT(A6113,"mmm yyyy")</x:f>
        <x:v>Sep 2026</x:v>
      </x:c>
    </x:row>
    <x:row r="6114" ht="21" customHeight="1">
      <x:c r="A6114" s="10" t="n">
        <x:v>46275</x:v>
      </x:c>
      <x:c r="B6114" s="1" t="n">
        <x:v>21</x:v>
      </x:c>
      <x:c r="C6114" s="1" t="n">
        <x:v>6</x:v>
      </x:c>
      <x:c r="D6114" s="12" t="n">
        <x:v>0</x:v>
      </x:c>
      <x:c r="E6114" s="12" t="n">
        <x:v>0.32816666666666666</x:v>
      </x:c>
      <x:c r="F6114" s="12" t="n">
        <x:v>0.3274166666666667</x:v>
      </x:c>
      <x:c r="G6114" s="12" t="n">
        <x:v>0</x:v>
      </x:c>
      <x:c r="H6114" s="1" t="n">
        <x:f>'Historical prices'!E6114</x:f>
        <x:v>1.05</x:v>
      </x:c>
      <x:c r="I6114" s="6" t="n">
        <x:f>'Historical prices'!D6114</x:f>
        <x:v>0.35969999999999996</x:v>
      </x:c>
      <x:c r="J6114" s="13" t="n">
        <x:f>D6114*I6114*H6114</x:f>
        <x:v>0</x:v>
      </x:c>
      <x:c r="K6114" s="13" t="n">
        <x:f>E6114*I6114*H6114</x:f>
        <x:v>0.12394362749999999</x:v>
      </x:c>
      <x:c r="L6114" s="1" t="str">
        <x:f>TEXT(A6114,"mmm yyyy")</x:f>
        <x:v>Sep 2026</x:v>
      </x:c>
    </x:row>
    <x:row r="6115" ht="21" customHeight="1">
      <x:c r="A6115" s="10" t="n">
        <x:v>46275</x:v>
      </x:c>
      <x:c r="B6115" s="1" t="n">
        <x:v>21.5</x:v>
      </x:c>
      <x:c r="C6115" s="1" t="n">
        <x:v>6</x:v>
      </x:c>
      <x:c r="D6115" s="12" t="n">
        <x:v>0</x:v>
      </x:c>
      <x:c r="E6115" s="12" t="n">
        <x:v>0.3388333333333334</x:v>
      </x:c>
      <x:c r="F6115" s="12" t="n">
        <x:v>0.33858333333333335</x:v>
      </x:c>
      <x:c r="G6115" s="12" t="n">
        <x:v>0</x:v>
      </x:c>
      <x:c r="H6115" s="1" t="n">
        <x:f>'Historical prices'!E6115</x:f>
        <x:v>1.05</x:v>
      </x:c>
      <x:c r="I6115" s="6" t="n">
        <x:f>'Historical prices'!D6115</x:f>
        <x:v>0.3428</x:v>
      </x:c>
      <x:c r="J6115" s="13" t="n">
        <x:f>D6115*I6115*H6115</x:f>
        <x:v>0</x:v>
      </x:c>
      <x:c r="K6115" s="13" t="n">
        <x:f>E6115*I6115*H6115</x:f>
        <x:v>0.12195967000000002</x:v>
      </x:c>
      <x:c r="L6115" s="1" t="str">
        <x:f>TEXT(A6115,"mmm yyyy")</x:f>
        <x:v>Sep 2026</x:v>
      </x:c>
    </x:row>
    <x:row r="6116" ht="21" customHeight="1">
      <x:c r="A6116" s="10" t="n">
        <x:v>46275</x:v>
      </x:c>
      <x:c r="B6116" s="1" t="n">
        <x:v>22</x:v>
      </x:c>
      <x:c r="C6116" s="1" t="n">
        <x:v>6</x:v>
      </x:c>
      <x:c r="D6116" s="12" t="n">
        <x:v>0.14125</x:v>
      </x:c>
      <x:c r="E6116" s="12" t="n">
        <x:v>0.19391666666666668</x:v>
      </x:c>
      <x:c r="F6116" s="12" t="n">
        <x:v>0.042666666666666665</x:v>
      </x:c>
      <x:c r="G6116" s="12" t="n">
        <x:v>0</x:v>
      </x:c>
      <x:c r="H6116" s="1" t="n">
        <x:f>'Historical prices'!E6116</x:f>
        <x:v>1.05</x:v>
      </x:c>
      <x:c r="I6116" s="6" t="n">
        <x:f>'Historical prices'!D6116</x:f>
        <x:v>0.3104</x:v>
      </x:c>
      <x:c r="J6116" s="13" t="n">
        <x:f>D6116*I6116*H6116</x:f>
        <x:v>0.04603619999999999</x:v>
      </x:c>
      <x:c r="K6116" s="13" t="n">
        <x:f>E6116*I6116*H6116</x:f>
        <x:v>0.06320132</x:v>
      </x:c>
      <x:c r="L6116" s="1" t="str">
        <x:f>TEXT(A6116,"mmm yyyy")</x:f>
        <x:v>Sep 2026</x:v>
      </x:c>
    </x:row>
    <x:row r="6117" ht="21" customHeight="1">
      <x:c r="A6117" s="10" t="n">
        <x:v>46275</x:v>
      </x:c>
      <x:c r="B6117" s="1" t="n">
        <x:v>22.5</x:v>
      </x:c>
      <x:c r="C6117" s="1" t="n">
        <x:v>6</x:v>
      </x:c>
      <x:c r="D6117" s="12" t="n">
        <x:v>0.22625</x:v>
      </x:c>
      <x:c r="E6117" s="12" t="n">
        <x:v>0.23725000000000002</x:v>
      </x:c>
      <x:c r="F6117" s="12" t="n">
        <x:v>0</x:v>
      </x:c>
      <x:c r="G6117" s="12" t="n">
        <x:v>0</x:v>
      </x:c>
      <x:c r="H6117" s="1" t="n">
        <x:f>'Historical prices'!E6117</x:f>
        <x:v>1.05</x:v>
      </x:c>
      <x:c r="I6117" s="6" t="n">
        <x:f>'Historical prices'!D6117</x:f>
        <x:v>0.2852</x:v>
      </x:c>
      <x:c r="J6117" s="13" t="n">
        <x:f>D6117*I6117*H6117</x:f>
        <x:v>0.067752825</x:v>
      </x:c>
      <x:c r="K6117" s="13" t="n">
        <x:f>E6117*I6117*H6117</x:f>
        <x:v>0.071046885</x:v>
      </x:c>
      <x:c r="L6117" s="1" t="str">
        <x:f>TEXT(A6117,"mmm yyyy")</x:f>
        <x:v>Sep 2026</x:v>
      </x:c>
    </x:row>
    <x:row r="6118" ht="21" customHeight="1">
      <x:c r="A6118" s="10" t="n">
        <x:v>46275</x:v>
      </x:c>
      <x:c r="B6118" s="1" t="n">
        <x:v>23</x:v>
      </x:c>
      <x:c r="C6118" s="1" t="n">
        <x:v>6</x:v>
      </x:c>
      <x:c r="D6118" s="12" t="n">
        <x:v>0.20825</x:v>
      </x:c>
      <x:c r="E6118" s="12" t="n">
        <x:v>0.22025</x:v>
      </x:c>
      <x:c r="F6118" s="12" t="n">
        <x:v>0</x:v>
      </x:c>
      <x:c r="G6118" s="12" t="n">
        <x:v>0</x:v>
      </x:c>
      <x:c r="H6118" s="1" t="n">
        <x:f>'Historical prices'!E6118</x:f>
        <x:v>1.05</x:v>
      </x:c>
      <x:c r="I6118" s="6" t="n">
        <x:f>'Historical prices'!D6118</x:f>
        <x:v>0.2933</x:v>
      </x:c>
      <x:c r="J6118" s="13" t="n">
        <x:f>D6118*I6118*H6118</x:f>
        <x:v>0.06413371125</x:v>
      </x:c>
      <x:c r="K6118" s="13" t="n">
        <x:f>E6118*I6118*H6118</x:f>
        <x:v>0.06782929125</x:v>
      </x:c>
      <x:c r="L6118" s="1" t="str">
        <x:f>TEXT(A6118,"mmm yyyy")</x:f>
        <x:v>Sep 2026</x:v>
      </x:c>
    </x:row>
    <x:row r="6119" ht="21" customHeight="1">
      <x:c r="A6119" s="10" t="n">
        <x:v>46275</x:v>
      </x:c>
      <x:c r="B6119" s="1" t="n">
        <x:v>23.5</x:v>
      </x:c>
      <x:c r="C6119" s="1" t="n">
        <x:v>6</x:v>
      </x:c>
      <x:c r="D6119" s="12" t="n">
        <x:v>0.144</x:v>
      </x:c>
      <x:c r="E6119" s="12" t="n">
        <x:v>0.154</x:v>
      </x:c>
      <x:c r="F6119" s="12" t="n">
        <x:v>0</x:v>
      </x:c>
      <x:c r="G6119" s="12" t="n">
        <x:v>0</x:v>
      </x:c>
      <x:c r="H6119" s="1" t="n">
        <x:f>'Historical prices'!E6119</x:f>
        <x:v>1.05</x:v>
      </x:c>
      <x:c r="I6119" s="6" t="n">
        <x:f>'Historical prices'!D6119</x:f>
        <x:v>0.2915</x:v>
      </x:c>
      <x:c r="J6119" s="13" t="n">
        <x:f>D6119*I6119*H6119</x:f>
        <x:v>0.0440748</x:v>
      </x:c>
      <x:c r="K6119" s="13" t="n">
        <x:f>E6119*I6119*H6119</x:f>
        <x:v>0.04713555</x:v>
      </x:c>
      <x:c r="L6119" s="1" t="str">
        <x:f>TEXT(A6119,"mmm yyyy")</x:f>
        <x:v>Sep 2026</x:v>
      </x:c>
    </x:row>
    <x:row r="6120" ht="21" customHeight="1">
      <x:c r="A6120" s="10" t="n">
        <x:v>46276</x:v>
      </x:c>
      <x:c r="B6120" s="1" t="n">
        <x:v>0</x:v>
      </x:c>
      <x:c r="C6120" s="1" t="n">
        <x:v>6</x:v>
      </x:c>
      <x:c r="D6120" s="12" t="n">
        <x:v>0.169</x:v>
      </x:c>
      <x:c r="E6120" s="12" t="n">
        <x:v>0.179</x:v>
      </x:c>
      <x:c r="F6120" s="12" t="n">
        <x:v>0</x:v>
      </x:c>
      <x:c r="G6120" s="12" t="n">
        <x:v>0</x:v>
      </x:c>
      <x:c r="H6120" s="1" t="n">
        <x:f>'Historical prices'!E6120</x:f>
        <x:v>1.05</x:v>
      </x:c>
      <x:c r="I6120" s="6" t="n">
        <x:f>'Historical prices'!D6120</x:f>
        <x:v>0.2837</x:v>
      </x:c>
      <x:c r="J6120" s="13" t="n">
        <x:f>D6120*I6120*H6120</x:f>
        <x:v>0.050342565000000006</x:v>
      </x:c>
      <x:c r="K6120" s="13" t="n">
        <x:f>E6120*I6120*H6120</x:f>
        <x:v>0.053321415000000004</x:v>
      </x:c>
      <x:c r="L6120" s="1" t="str">
        <x:f>TEXT(A6120,"mmm yyyy")</x:f>
        <x:v>Sep 2026</x:v>
      </x:c>
    </x:row>
    <x:row r="6121" ht="21" customHeight="1">
      <x:c r="A6121" s="10" t="n">
        <x:v>46276</x:v>
      </x:c>
      <x:c r="B6121" s="1" t="n">
        <x:v>0.5</x:v>
      </x:c>
      <x:c r="C6121" s="1" t="n">
        <x:v>6</x:v>
      </x:c>
      <x:c r="D6121" s="12" t="n">
        <x:v>0.162</x:v>
      </x:c>
      <x:c r="E6121" s="12" t="n">
        <x:v>0.17200000000000001</x:v>
      </x:c>
      <x:c r="F6121" s="12" t="n">
        <x:v>0</x:v>
      </x:c>
      <x:c r="G6121" s="12" t="n">
        <x:v>0</x:v>
      </x:c>
      <x:c r="H6121" s="1" t="n">
        <x:f>'Historical prices'!E6121</x:f>
        <x:v>1.05</x:v>
      </x:c>
      <x:c r="I6121" s="6" t="n">
        <x:f>'Historical prices'!D6121</x:f>
        <x:v>0.30010000000000003</x:v>
      </x:c>
      <x:c r="J6121" s="13" t="n">
        <x:f>D6121*I6121*H6121</x:f>
        <x:v>0.05104701000000001</x:v>
      </x:c>
      <x:c r="K6121" s="13" t="n">
        <x:f>E6121*I6121*H6121</x:f>
        <x:v>0.05419806000000001</x:v>
      </x:c>
      <x:c r="L6121" s="1" t="str">
        <x:f>TEXT(A6121,"mmm yyyy")</x:f>
        <x:v>Sep 2026</x:v>
      </x:c>
    </x:row>
    <x:row r="6122" ht="21" customHeight="1">
      <x:c r="A6122" s="10" t="n">
        <x:v>46276</x:v>
      </x:c>
      <x:c r="B6122" s="1" t="n">
        <x:v>1</x:v>
      </x:c>
      <x:c r="C6122" s="1" t="n">
        <x:v>6</x:v>
      </x:c>
      <x:c r="D6122" s="12" t="n">
        <x:v>0.20175</x:v>
      </x:c>
      <x:c r="E6122" s="12" t="n">
        <x:v>0.21275000000000002</x:v>
      </x:c>
      <x:c r="F6122" s="12" t="n">
        <x:v>0</x:v>
      </x:c>
      <x:c r="G6122" s="12" t="n">
        <x:v>0</x:v>
      </x:c>
      <x:c r="H6122" s="1" t="n">
        <x:f>'Historical prices'!E6122</x:f>
        <x:v>1.05</x:v>
      </x:c>
      <x:c r="I6122" s="6" t="n">
        <x:f>'Historical prices'!D6122</x:f>
        <x:v>0.2816</x:v>
      </x:c>
      <x:c r="J6122" s="13" t="n">
        <x:f>D6122*I6122*H6122</x:f>
        <x:v>0.05965344000000001</x:v>
      </x:c>
      <x:c r="K6122" s="13" t="n">
        <x:f>E6122*I6122*H6122</x:f>
        <x:v>0.06290592000000002</x:v>
      </x:c>
      <x:c r="L6122" s="1" t="str">
        <x:f>TEXT(A6122,"mmm yyyy")</x:f>
        <x:v>Sep 2026</x:v>
      </x:c>
    </x:row>
    <x:row r="6123" ht="21" customHeight="1">
      <x:c r="A6123" s="10" t="n">
        <x:v>46276</x:v>
      </x:c>
      <x:c r="B6123" s="1" t="n">
        <x:v>1.5</x:v>
      </x:c>
      <x:c r="C6123" s="1" t="n">
        <x:v>6</x:v>
      </x:c>
      <x:c r="D6123" s="12" t="n">
        <x:v>0.18175</x:v>
      </x:c>
      <x:c r="E6123" s="12" t="n">
        <x:v>0.19175</x:v>
      </x:c>
      <x:c r="F6123" s="12" t="n">
        <x:v>0</x:v>
      </x:c>
      <x:c r="G6123" s="12" t="n">
        <x:v>0</x:v>
      </x:c>
      <x:c r="H6123" s="1" t="n">
        <x:f>'Historical prices'!E6123</x:f>
        <x:v>1.05</x:v>
      </x:c>
      <x:c r="I6123" s="6" t="n">
        <x:f>'Historical prices'!D6123</x:f>
        <x:v>0.2816</x:v>
      </x:c>
      <x:c r="J6123" s="13" t="n">
        <x:f>D6123*I6123*H6123</x:f>
        <x:v>0.053739840000000004</x:v>
      </x:c>
      <x:c r="K6123" s="13" t="n">
        <x:f>E6123*I6123*H6123</x:f>
        <x:v>0.056696640000000006</x:v>
      </x:c>
      <x:c r="L6123" s="1" t="str">
        <x:f>TEXT(A6123,"mmm yyyy")</x:f>
        <x:v>Sep 2026</x:v>
      </x:c>
    </x:row>
    <x:row r="6124" ht="21" customHeight="1">
      <x:c r="A6124" s="10" t="n">
        <x:v>46276</x:v>
      </x:c>
      <x:c r="B6124" s="1" t="n">
        <x:v>2</x:v>
      </x:c>
      <x:c r="C6124" s="1" t="n">
        <x:v>6</x:v>
      </x:c>
      <x:c r="D6124" s="12" t="n">
        <x:v>3.9595000000000002</x:v>
      </x:c>
      <x:c r="E6124" s="12" t="n">
        <x:v>0.4465</x:v>
      </x:c>
      <x:c r="F6124" s="12" t="n">
        <x:v>0</x:v>
      </x:c>
      <x:c r="G6124" s="12" t="n">
        <x:v>3.5149999999999997</x:v>
      </x:c>
      <x:c r="H6124" s="1" t="n">
        <x:f>'Historical prices'!E6124</x:f>
        <x:v>1.05</x:v>
      </x:c>
      <x:c r="I6124" s="6" t="n">
        <x:f>'Historical prices'!D6124</x:f>
        <x:v>0.2676</x:v>
      </x:c>
      <x:c r="J6124" s="13" t="n">
        <x:f>D6124*I6124*H6124</x:f>
        <x:v>1.11254031</x:v>
      </x:c>
      <x:c r="K6124" s="13" t="n">
        <x:f>E6124*I6124*H6124</x:f>
        <x:v>0.12545757000000002</x:v>
      </x:c>
      <x:c r="L6124" s="1" t="str">
        <x:f>TEXT(A6124,"mmm yyyy")</x:f>
        <x:v>Sep 2026</x:v>
      </x:c>
    </x:row>
    <x:row r="6125" ht="21" customHeight="1">
      <x:c r="A6125" s="10" t="n">
        <x:v>46276</x:v>
      </x:c>
      <x:c r="B6125" s="1" t="n">
        <x:v>2.5</x:v>
      </x:c>
      <x:c r="C6125" s="1" t="n">
        <x:v>6</x:v>
      </x:c>
      <x:c r="D6125" s="12" t="n">
        <x:v>4.406499999999999</x:v>
      </x:c>
      <x:c r="E6125" s="12" t="n">
        <x:v>0.3745</x:v>
      </x:c>
      <x:c r="F6125" s="12" t="n">
        <x:v>0</x:v>
      </x:c>
      <x:c r="G6125" s="12" t="n">
        <x:v>4.032</x:v>
      </x:c>
      <x:c r="H6125" s="1" t="n">
        <x:f>'Historical prices'!E6125</x:f>
        <x:v>1.05</x:v>
      </x:c>
      <x:c r="I6125" s="6" t="n">
        <x:f>'Historical prices'!D6125</x:f>
        <x:v>0.2677</x:v>
      </x:c>
      <x:c r="J6125" s="13" t="n">
        <x:f>D6125*I6125*H6125</x:f>
        <x:v>1.2386010524999997</x:v>
      </x:c>
      <x:c r="K6125" s="13" t="n">
        <x:f>E6125*I6125*H6125</x:f>
        <x:v>0.1052663325</x:v>
      </x:c>
      <x:c r="L6125" s="1" t="str">
        <x:f>TEXT(A6125,"mmm yyyy")</x:f>
        <x:v>Sep 2026</x:v>
      </x:c>
    </x:row>
    <x:row r="6126" ht="21" customHeight="1">
      <x:c r="A6126" s="10" t="n">
        <x:v>46276</x:v>
      </x:c>
      <x:c r="B6126" s="1" t="n">
        <x:v>3</x:v>
      </x:c>
      <x:c r="C6126" s="1" t="n">
        <x:v>6</x:v>
      </x:c>
      <x:c r="D6126" s="12" t="n">
        <x:v>0.9487500000000001</x:v>
      </x:c>
      <x:c r="E6126" s="12" t="n">
        <x:v>0.25975</x:v>
      </x:c>
      <x:c r="F6126" s="12" t="n">
        <x:v>0</x:v>
      </x:c>
      <x:c r="G6126" s="12" t="n">
        <x:v>0.693</x:v>
      </x:c>
      <x:c r="H6126" s="1" t="n">
        <x:f>'Historical prices'!E6126</x:f>
        <x:v>1.05</x:v>
      </x:c>
      <x:c r="I6126" s="6" t="n">
        <x:f>'Historical prices'!D6126</x:f>
        <x:v>0.2804</x:v>
      </x:c>
      <x:c r="J6126" s="13" t="n">
        <x:f>D6126*I6126*H6126</x:f>
        <x:v>0.27933097500000004</x:v>
      </x:c>
      <x:c r="K6126" s="13" t="n">
        <x:f>E6126*I6126*H6126</x:f>
        <x:v>0.076475595</x:v>
      </x:c>
      <x:c r="L6126" s="1" t="str">
        <x:f>TEXT(A6126,"mmm yyyy")</x:f>
        <x:v>Sep 2026</x:v>
      </x:c>
    </x:row>
    <x:row r="6127" ht="21" customHeight="1">
      <x:c r="A6127" s="10" t="n">
        <x:v>46276</x:v>
      </x:c>
      <x:c r="B6127" s="1" t="n">
        <x:v>3.5</x:v>
      </x:c>
      <x:c r="C6127" s="1" t="n">
        <x:v>6</x:v>
      </x:c>
      <x:c r="D6127" s="12" t="n">
        <x:v>0.173</x:v>
      </x:c>
      <x:c r="E6127" s="12" t="n">
        <x:v>0.184</x:v>
      </x:c>
      <x:c r="F6127" s="12" t="n">
        <x:v>0</x:v>
      </x:c>
      <x:c r="G6127" s="12" t="n">
        <x:v>0</x:v>
      </x:c>
      <x:c r="H6127" s="1" t="n">
        <x:f>'Historical prices'!E6127</x:f>
        <x:v>1.05</x:v>
      </x:c>
      <x:c r="I6127" s="6" t="n">
        <x:f>'Historical prices'!D6127</x:f>
        <x:v>0.2816</x:v>
      </x:c>
      <x:c r="J6127" s="13" t="n">
        <x:f>D6127*I6127*H6127</x:f>
        <x:v>0.05115264</x:v>
      </x:c>
      <x:c r="K6127" s="13" t="n">
        <x:f>E6127*I6127*H6127</x:f>
        <x:v>0.05440512000000001</x:v>
      </x:c>
      <x:c r="L6127" s="1" t="str">
        <x:f>TEXT(A6127,"mmm yyyy")</x:f>
        <x:v>Sep 2026</x:v>
      </x:c>
    </x:row>
    <x:row r="6128" ht="21" customHeight="1">
      <x:c r="A6128" s="10" t="n">
        <x:v>46276</x:v>
      </x:c>
      <x:c r="B6128" s="1" t="n">
        <x:v>4</x:v>
      </x:c>
      <x:c r="C6128" s="1" t="n">
        <x:v>6</x:v>
      </x:c>
      <x:c r="D6128" s="12" t="n">
        <x:v>0.13424999999999998</x:v>
      </x:c>
      <x:c r="E6128" s="12" t="n">
        <x:v>0.14525</x:v>
      </x:c>
      <x:c r="F6128" s="12" t="n">
        <x:v>0</x:v>
      </x:c>
      <x:c r="G6128" s="12" t="n">
        <x:v>0</x:v>
      </x:c>
      <x:c r="H6128" s="1" t="n">
        <x:f>'Historical prices'!E6128</x:f>
        <x:v>1.05</x:v>
      </x:c>
      <x:c r="I6128" s="6" t="n">
        <x:f>'Historical prices'!D6128</x:f>
        <x:v>0.27699999999999997</x:v>
      </x:c>
      <x:c r="J6128" s="13" t="n">
        <x:f>D6128*I6128*H6128</x:f>
        <x:v>0.039046612499999994</x:v>
      </x:c>
      <x:c r="K6128" s="13" t="n">
        <x:f>E6128*I6128*H6128</x:f>
        <x:v>0.04224596249999999</x:v>
      </x:c>
      <x:c r="L6128" s="1" t="str">
        <x:f>TEXT(A6128,"mmm yyyy")</x:f>
        <x:v>Sep 2026</x:v>
      </x:c>
    </x:row>
    <x:row r="6129" ht="21" customHeight="1">
      <x:c r="A6129" s="10" t="n">
        <x:v>46276</x:v>
      </x:c>
      <x:c r="B6129" s="1" t="n">
        <x:v>4.5</x:v>
      </x:c>
      <x:c r="C6129" s="1" t="n">
        <x:v>6</x:v>
      </x:c>
      <x:c r="D6129" s="12" t="n">
        <x:v>0.1825</x:v>
      </x:c>
      <x:c r="E6129" s="12" t="n">
        <x:v>0.1935</x:v>
      </x:c>
      <x:c r="F6129" s="12" t="n">
        <x:v>0</x:v>
      </x:c>
      <x:c r="G6129" s="12" t="n">
        <x:v>0</x:v>
      </x:c>
      <x:c r="H6129" s="1" t="n">
        <x:f>'Historical prices'!E6129</x:f>
        <x:v>1.05</x:v>
      </x:c>
      <x:c r="I6129" s="6" t="n">
        <x:f>'Historical prices'!D6129</x:f>
        <x:v>0.2763</x:v>
      </x:c>
      <x:c r="J6129" s="13" t="n">
        <x:f>D6129*I6129*H6129</x:f>
        <x:v>0.0529459875</x:v>
      </x:c>
      <x:c r="K6129" s="13" t="n">
        <x:f>E6129*I6129*H6129</x:f>
        <x:v>0.0561372525</x:v>
      </x:c>
      <x:c r="L6129" s="1" t="str">
        <x:f>TEXT(A6129,"mmm yyyy")</x:f>
        <x:v>Sep 2026</x:v>
      </x:c>
    </x:row>
    <x:row r="6130" ht="21" customHeight="1">
      <x:c r="A6130" s="10" t="n">
        <x:v>46276</x:v>
      </x:c>
      <x:c r="B6130" s="1" t="n">
        <x:v>5</x:v>
      </x:c>
      <x:c r="C6130" s="1" t="n">
        <x:v>6</x:v>
      </x:c>
      <x:c r="D6130" s="12" t="n">
        <x:v>0.23775000000000004</x:v>
      </x:c>
      <x:c r="E6130" s="12" t="n">
        <x:v>0.24874999999999997</x:v>
      </x:c>
      <x:c r="F6130" s="12" t="n">
        <x:v>0</x:v>
      </x:c>
      <x:c r="G6130" s="12" t="n">
        <x:v>0</x:v>
      </x:c>
      <x:c r="H6130" s="1" t="n">
        <x:f>'Historical prices'!E6130</x:f>
        <x:v>1.05</x:v>
      </x:c>
      <x:c r="I6130" s="6" t="n">
        <x:f>'Historical prices'!D6130</x:f>
        <x:v>0.32049999999999995</x:v>
      </x:c>
      <x:c r="J6130" s="13" t="n">
        <x:f>D6130*I6130*H6130</x:f>
        <x:v>0.08000881875</x:v>
      </x:c>
      <x:c r="K6130" s="13" t="n">
        <x:f>E6130*I6130*H6130</x:f>
        <x:v>0.08371059374999998</x:v>
      </x:c>
      <x:c r="L6130" s="1" t="str">
        <x:f>TEXT(A6130,"mmm yyyy")</x:f>
        <x:v>Sep 2026</x:v>
      </x:c>
    </x:row>
    <x:row r="6131" ht="21" customHeight="1">
      <x:c r="A6131" s="10" t="n">
        <x:v>46276</x:v>
      </x:c>
      <x:c r="B6131" s="1" t="n">
        <x:v>5.5</x:v>
      </x:c>
      <x:c r="C6131" s="1" t="n">
        <x:v>6</x:v>
      </x:c>
      <x:c r="D6131" s="12" t="n">
        <x:v>0.17024999999999998</x:v>
      </x:c>
      <x:c r="E6131" s="12" t="n">
        <x:v>0.18025</x:v>
      </x:c>
      <x:c r="F6131" s="12" t="n">
        <x:v>0</x:v>
      </x:c>
      <x:c r="G6131" s="12" t="n">
        <x:v>0</x:v>
      </x:c>
      <x:c r="H6131" s="1" t="n">
        <x:f>'Historical prices'!E6131</x:f>
        <x:v>1.05</x:v>
      </x:c>
      <x:c r="I6131" s="6" t="n">
        <x:f>'Historical prices'!D6131</x:f>
        <x:v>0.3267</x:v>
      </x:c>
      <x:c r="J6131" s="13" t="n">
        <x:f>D6131*I6131*H6131</x:f>
        <x:v>0.058401708749999996</x:v>
      </x:c>
      <x:c r="K6131" s="13" t="n">
        <x:f>E6131*I6131*H6131</x:f>
        <x:v>0.061832058749999995</x:v>
      </x:c>
      <x:c r="L6131" s="1" t="str">
        <x:f>TEXT(A6131,"mmm yyyy")</x:f>
        <x:v>Sep 2026</x:v>
      </x:c>
    </x:row>
    <x:row r="6132" ht="21" customHeight="1">
      <x:c r="A6132" s="10" t="n">
        <x:v>46276</x:v>
      </x:c>
      <x:c r="B6132" s="1" t="n">
        <x:v>6</x:v>
      </x:c>
      <x:c r="C6132" s="1" t="n">
        <x:v>6</x:v>
      </x:c>
      <x:c r="D6132" s="12" t="n">
        <x:v>0.25875000000000004</x:v>
      </x:c>
      <x:c r="E6132" s="12" t="n">
        <x:v>0.26975</x:v>
      </x:c>
      <x:c r="F6132" s="12" t="n">
        <x:v>0</x:v>
      </x:c>
      <x:c r="G6132" s="12" t="n">
        <x:v>0</x:v>
      </x:c>
      <x:c r="H6132" s="1" t="n">
        <x:f>'Historical prices'!E6132</x:f>
        <x:v>1.05</x:v>
      </x:c>
      <x:c r="I6132" s="6" t="n">
        <x:f>'Historical prices'!D6132</x:f>
        <x:v>0.3184</x:v>
      </x:c>
      <x:c r="J6132" s="13" t="n">
        <x:f>D6132*I6132*H6132</x:f>
        <x:v>0.08650530000000002</x:v>
      </x:c>
      <x:c r="K6132" s="13" t="n">
        <x:f>E6132*I6132*H6132</x:f>
        <x:v>0.09018282000000001</x:v>
      </x:c>
      <x:c r="L6132" s="1" t="str">
        <x:f>TEXT(A6132,"mmm yyyy")</x:f>
        <x:v>Sep 2026</x:v>
      </x:c>
    </x:row>
    <x:row r="6133" ht="21" customHeight="1">
      <x:c r="A6133" s="10" t="n">
        <x:v>46276</x:v>
      </x:c>
      <x:c r="B6133" s="1" t="n">
        <x:v>6.5</x:v>
      </x:c>
      <x:c r="C6133" s="1" t="n">
        <x:v>6</x:v>
      </x:c>
      <x:c r="D6133" s="12" t="n">
        <x:v>0.03275</x:v>
      </x:c>
      <x:c r="E6133" s="12" t="n">
        <x:v>0.26116666666666666</x:v>
      </x:c>
      <x:c r="F6133" s="12" t="n">
        <x:v>0.22466666666666663</x:v>
      </x:c>
      <x:c r="G6133" s="12" t="n">
        <x:v>0</x:v>
      </x:c>
      <x:c r="H6133" s="1" t="n">
        <x:f>'Historical prices'!E6133</x:f>
        <x:v>1.05</x:v>
      </x:c>
      <x:c r="I6133" s="6" t="n">
        <x:f>'Historical prices'!D6133</x:f>
        <x:v>0.35090000000000005</x:v>
      </x:c>
      <x:c r="J6133" s="13" t="n">
        <x:f>D6133*I6133*H6133</x:f>
        <x:v>0.012066573750000002</x:v>
      </x:c>
      <x:c r="K6133" s="13" t="n">
        <x:f>E6133*I6133*H6133</x:f>
        <x:v>0.09622555250000002</x:v>
      </x:c>
      <x:c r="L6133" s="1" t="str">
        <x:f>TEXT(A6133,"mmm yyyy")</x:f>
        <x:v>Sep 2026</x:v>
      </x:c>
    </x:row>
    <x:row r="6134" ht="21" customHeight="1">
      <x:c r="A6134" s="10" t="n">
        <x:v>46276</x:v>
      </x:c>
      <x:c r="B6134" s="1" t="n">
        <x:v>7</x:v>
      </x:c>
      <x:c r="C6134" s="1" t="n">
        <x:v>6</x:v>
      </x:c>
      <x:c r="D6134" s="12" t="n">
        <x:v>0</x:v>
      </x:c>
      <x:c r="E6134" s="12" t="n">
        <x:v>0.24108333333333337</x:v>
      </x:c>
      <x:c r="F6134" s="12" t="n">
        <x:v>0.24075000000000002</x:v>
      </x:c>
      <x:c r="G6134" s="12" t="n">
        <x:v>0</x:v>
      </x:c>
      <x:c r="H6134" s="1" t="n">
        <x:f>'Historical prices'!E6134</x:f>
        <x:v>1.05</x:v>
      </x:c>
      <x:c r="I6134" s="6" t="n">
        <x:f>'Historical prices'!D6134</x:f>
        <x:v>0.33659999999999995</x:v>
      </x:c>
      <x:c r="J6134" s="13" t="n">
        <x:f>D6134*I6134*H6134</x:f>
        <x:v>0</x:v>
      </x:c>
      <x:c r="K6134" s="13" t="n">
        <x:f>E6134*I6134*H6134</x:f>
        <x:v>0.0852060825</x:v>
      </x:c>
      <x:c r="L6134" s="1" t="str">
        <x:f>TEXT(A6134,"mmm yyyy")</x:f>
        <x:v>Sep 2026</x:v>
      </x:c>
    </x:row>
    <x:row r="6135" ht="21" customHeight="1">
      <x:c r="A6135" s="10" t="n">
        <x:v>46276</x:v>
      </x:c>
      <x:c r="B6135" s="1" t="n">
        <x:v>7.5</x:v>
      </x:c>
      <x:c r="C6135" s="1" t="n">
        <x:v>6</x:v>
      </x:c>
      <x:c r="D6135" s="12" t="n">
        <x:v>0</x:v>
      </x:c>
      <x:c r="E6135" s="12" t="n">
        <x:v>0.23675</x:v>
      </x:c>
      <x:c r="F6135" s="12" t="n">
        <x:v>0.2365</x:v>
      </x:c>
      <x:c r="G6135" s="12" t="n">
        <x:v>0</x:v>
      </x:c>
      <x:c r="H6135" s="1" t="n">
        <x:f>'Historical prices'!E6135</x:f>
        <x:v>1.05</x:v>
      </x:c>
      <x:c r="I6135" s="6" t="n">
        <x:f>'Historical prices'!D6135</x:f>
        <x:v>0.35960000000000003</x:v>
      </x:c>
      <x:c r="J6135" s="13" t="n">
        <x:f>D6135*I6135*H6135</x:f>
        <x:v>0</x:v>
      </x:c>
      <x:c r="K6135" s="13" t="n">
        <x:f>E6135*I6135*H6135</x:f>
        <x:v>0.089392065</x:v>
      </x:c>
      <x:c r="L6135" s="1" t="str">
        <x:f>TEXT(A6135,"mmm yyyy")</x:f>
        <x:v>Sep 2026</x:v>
      </x:c>
    </x:row>
    <x:row r="6136" ht="21" customHeight="1">
      <x:c r="A6136" s="10" t="n">
        <x:v>46276</x:v>
      </x:c>
      <x:c r="B6136" s="1" t="n">
        <x:v>8</x:v>
      </x:c>
      <x:c r="C6136" s="1" t="n">
        <x:v>6</x:v>
      </x:c>
      <x:c r="D6136" s="12" t="n">
        <x:v>0</x:v>
      </x:c>
      <x:c r="E6136" s="12" t="n">
        <x:v>0.269</x:v>
      </x:c>
      <x:c r="F6136" s="12" t="n">
        <x:v>0.26849999999999996</x:v>
      </x:c>
      <x:c r="G6136" s="12" t="n">
        <x:v>0</x:v>
      </x:c>
      <x:c r="H6136" s="1" t="n">
        <x:f>'Historical prices'!E6136</x:f>
        <x:v>1.05</x:v>
      </x:c>
      <x:c r="I6136" s="6" t="n">
        <x:f>'Historical prices'!D6136</x:f>
        <x:v>0.3361</x:v>
      </x:c>
      <x:c r="J6136" s="13" t="n">
        <x:f>D6136*I6136*H6136</x:f>
        <x:v>0</x:v>
      </x:c>
      <x:c r="K6136" s="13" t="n">
        <x:f>E6136*I6136*H6136</x:f>
        <x:v>0.094931445</x:v>
      </x:c>
      <x:c r="L6136" s="1" t="str">
        <x:f>TEXT(A6136,"mmm yyyy")</x:f>
        <x:v>Sep 2026</x:v>
      </x:c>
    </x:row>
    <x:row r="6137" ht="21" customHeight="1">
      <x:c r="A6137" s="10" t="n">
        <x:v>46276</x:v>
      </x:c>
      <x:c r="B6137" s="1" t="n">
        <x:v>8.5</x:v>
      </x:c>
      <x:c r="C6137" s="1" t="n">
        <x:v>6</x:v>
      </x:c>
      <x:c r="D6137" s="12" t="n">
        <x:v>0.12425</x:v>
      </x:c>
      <x:c r="E6137" s="12" t="n">
        <x:v>0.17708333333333331</x:v>
      </x:c>
      <x:c r="F6137" s="12" t="n">
        <x:v>0.043833333333333335</x:v>
      </x:c>
      <x:c r="G6137" s="12" t="n">
        <x:v>0</x:v>
      </x:c>
      <x:c r="H6137" s="1" t="n">
        <x:f>'Historical prices'!E6137</x:f>
        <x:v>1.05</x:v>
      </x:c>
      <x:c r="I6137" s="6" t="n">
        <x:f>'Historical prices'!D6137</x:f>
        <x:v>0.32909999999999995</x:v>
      </x:c>
      <x:c r="J6137" s="13" t="n">
        <x:f>D6137*I6137*H6137</x:f>
        <x:v>0.042935208749999995</x:v>
      </x:c>
      <x:c r="K6137" s="13" t="n">
        <x:f>E6137*I6137*H6137</x:f>
        <x:v>0.06119203124999999</x:v>
      </x:c>
      <x:c r="L6137" s="1" t="str">
        <x:f>TEXT(A6137,"mmm yyyy")</x:f>
        <x:v>Sep 2026</x:v>
      </x:c>
    </x:row>
    <x:row r="6138" ht="21" customHeight="1">
      <x:c r="A6138" s="10" t="n">
        <x:v>46276</x:v>
      </x:c>
      <x:c r="B6138" s="1" t="n">
        <x:v>9</x:v>
      </x:c>
      <x:c r="C6138" s="1" t="n">
        <x:v>6</x:v>
      </x:c>
      <x:c r="D6138" s="12" t="n">
        <x:v>0.17775</x:v>
      </x:c>
      <x:c r="E6138" s="12" t="n">
        <x:v>0.18875</x:v>
      </x:c>
      <x:c r="F6138" s="12" t="n">
        <x:v>0</x:v>
      </x:c>
      <x:c r="G6138" s="12" t="n">
        <x:v>0</x:v>
      </x:c>
      <x:c r="H6138" s="1" t="n">
        <x:f>'Historical prices'!E6138</x:f>
        <x:v>1.05</x:v>
      </x:c>
      <x:c r="I6138" s="6" t="n">
        <x:f>'Historical prices'!D6138</x:f>
        <x:v>0.2984</x:v>
      </x:c>
      <x:c r="J6138" s="13" t="n">
        <x:f>D6138*I6138*H6138</x:f>
        <x:v>0.05569263</x:v>
      </x:c>
      <x:c r="K6138" s="13" t="n">
        <x:f>E6138*I6138*H6138</x:f>
        <x:v>0.05913915</x:v>
      </x:c>
      <x:c r="L6138" s="1" t="str">
        <x:f>TEXT(A6138,"mmm yyyy")</x:f>
        <x:v>Sep 2026</x:v>
      </x:c>
    </x:row>
    <x:row r="6139" ht="21" customHeight="1">
      <x:c r="A6139" s="10" t="n">
        <x:v>46276</x:v>
      </x:c>
      <x:c r="B6139" s="1" t="n">
        <x:v>9.5</x:v>
      </x:c>
      <x:c r="C6139" s="1" t="n">
        <x:v>6</x:v>
      </x:c>
      <x:c r="D6139" s="12" t="n">
        <x:v>0.2095</x:v>
      </x:c>
      <x:c r="E6139" s="12" t="n">
        <x:v>0.2205</x:v>
      </x:c>
      <x:c r="F6139" s="12" t="n">
        <x:v>0</x:v>
      </x:c>
      <x:c r="G6139" s="12" t="n">
        <x:v>0</x:v>
      </x:c>
      <x:c r="H6139" s="1" t="n">
        <x:f>'Historical prices'!E6139</x:f>
        <x:v>1.05</x:v>
      </x:c>
      <x:c r="I6139" s="6" t="n">
        <x:f>'Historical prices'!D6139</x:f>
        <x:v>0.2845</x:v>
      </x:c>
      <x:c r="J6139" s="13" t="n">
        <x:f>D6139*I6139*H6139</x:f>
        <x:v>0.06258288749999999</x:v>
      </x:c>
      <x:c r="K6139" s="13" t="n">
        <x:f>E6139*I6139*H6139</x:f>
        <x:v>0.06586886249999999</x:v>
      </x:c>
      <x:c r="L6139" s="1" t="str">
        <x:f>TEXT(A6139,"mmm yyyy")</x:f>
        <x:v>Sep 2026</x:v>
      </x:c>
    </x:row>
    <x:row r="6140" ht="21" customHeight="1">
      <x:c r="A6140" s="10" t="n">
        <x:v>46276</x:v>
      </x:c>
      <x:c r="B6140" s="1" t="n">
        <x:v>10</x:v>
      </x:c>
      <x:c r="C6140" s="1" t="n">
        <x:v>6</x:v>
      </x:c>
      <x:c r="D6140" s="12" t="n">
        <x:v>0.17024999999999998</x:v>
      </x:c>
      <x:c r="E6140" s="12" t="n">
        <x:v>0.18025</x:v>
      </x:c>
      <x:c r="F6140" s="12" t="n">
        <x:v>0</x:v>
      </x:c>
      <x:c r="G6140" s="12" t="n">
        <x:v>0</x:v>
      </x:c>
      <x:c r="H6140" s="1" t="n">
        <x:f>'Historical prices'!E6140</x:f>
        <x:v>1.05</x:v>
      </x:c>
      <x:c r="I6140" s="6" t="n">
        <x:f>'Historical prices'!D6140</x:f>
        <x:v>0.29</x:v>
      </x:c>
      <x:c r="J6140" s="13" t="n">
        <x:f>D6140*I6140*H6140</x:f>
        <x:v>0.051841124999999995</x:v>
      </x:c>
      <x:c r="K6140" s="13" t="n">
        <x:f>E6140*I6140*H6140</x:f>
        <x:v>0.054886124999999994</x:v>
      </x:c>
      <x:c r="L6140" s="1" t="str">
        <x:f>TEXT(A6140,"mmm yyyy")</x:f>
        <x:v>Sep 2026</x:v>
      </x:c>
    </x:row>
    <x:row r="6141" ht="21" customHeight="1">
      <x:c r="A6141" s="10" t="n">
        <x:v>46276</x:v>
      </x:c>
      <x:c r="B6141" s="1" t="n">
        <x:v>10.5</x:v>
      </x:c>
      <x:c r="C6141" s="1" t="n">
        <x:v>6</x:v>
      </x:c>
      <x:c r="D6141" s="12" t="n">
        <x:v>0.2735</x:v>
      </x:c>
      <x:c r="E6141" s="12" t="n">
        <x:v>0.28350000000000003</x:v>
      </x:c>
      <x:c r="F6141" s="12" t="n">
        <x:v>0</x:v>
      </x:c>
      <x:c r="G6141" s="12" t="n">
        <x:v>0</x:v>
      </x:c>
      <x:c r="H6141" s="1" t="n">
        <x:f>'Historical prices'!E6141</x:f>
        <x:v>1.05</x:v>
      </x:c>
      <x:c r="I6141" s="6" t="n">
        <x:f>'Historical prices'!D6141</x:f>
        <x:v>0.2837</x:v>
      </x:c>
      <x:c r="J6141" s="13" t="n">
        <x:f>D6141*I6141*H6141</x:f>
        <x:v>0.0814715475</x:v>
      </x:c>
      <x:c r="K6141" s="13" t="n">
        <x:f>E6141*I6141*H6141</x:f>
        <x:v>0.08445039750000002</x:v>
      </x:c>
      <x:c r="L6141" s="1" t="str">
        <x:f>TEXT(A6141,"mmm yyyy")</x:f>
        <x:v>Sep 2026</x:v>
      </x:c>
    </x:row>
    <x:row r="6142" ht="21" customHeight="1">
      <x:c r="A6142" s="10" t="n">
        <x:v>46276</x:v>
      </x:c>
      <x:c r="B6142" s="1" t="n">
        <x:v>11</x:v>
      </x:c>
      <x:c r="C6142" s="1" t="n">
        <x:v>6</x:v>
      </x:c>
      <x:c r="D6142" s="12" t="n">
        <x:v>0.22275</x:v>
      </x:c>
      <x:c r="E6142" s="12" t="n">
        <x:v>0.23375</x:v>
      </x:c>
      <x:c r="F6142" s="12" t="n">
        <x:v>0</x:v>
      </x:c>
      <x:c r="G6142" s="12" t="n">
        <x:v>0</x:v>
      </x:c>
      <x:c r="H6142" s="1" t="n">
        <x:f>'Historical prices'!E6142</x:f>
        <x:v>1.05</x:v>
      </x:c>
      <x:c r="I6142" s="6" t="n">
        <x:f>'Historical prices'!D6142</x:f>
        <x:v>0.2837</x:v>
      </x:c>
      <x:c r="J6142" s="13" t="n">
        <x:f>D6142*I6142*H6142</x:f>
        <x:v>0.06635388375000001</x:v>
      </x:c>
      <x:c r="K6142" s="13" t="n">
        <x:f>E6142*I6142*H6142</x:f>
        <x:v>0.06963061875000001</x:v>
      </x:c>
      <x:c r="L6142" s="1" t="str">
        <x:f>TEXT(A6142,"mmm yyyy")</x:f>
        <x:v>Sep 2026</x:v>
      </x:c>
    </x:row>
    <x:row r="6143" ht="21" customHeight="1">
      <x:c r="A6143" s="10" t="n">
        <x:v>46276</x:v>
      </x:c>
      <x:c r="B6143" s="1" t="n">
        <x:v>11.5</x:v>
      </x:c>
      <x:c r="C6143" s="1" t="n">
        <x:v>6</x:v>
      </x:c>
      <x:c r="D6143" s="12" t="n">
        <x:v>0.18774999999999997</x:v>
      </x:c>
      <x:c r="E6143" s="12" t="n">
        <x:v>0.19774999999999998</x:v>
      </x:c>
      <x:c r="F6143" s="12" t="n">
        <x:v>0</x:v>
      </x:c>
      <x:c r="G6143" s="12" t="n">
        <x:v>0</x:v>
      </x:c>
      <x:c r="H6143" s="1" t="n">
        <x:f>'Historical prices'!E6143</x:f>
        <x:v>1.05</x:v>
      </x:c>
      <x:c r="I6143" s="6" t="n">
        <x:f>'Historical prices'!D6143</x:f>
        <x:v>0.2824</x:v>
      </x:c>
      <x:c r="J6143" s="13" t="n">
        <x:f>D6143*I6143*H6143</x:f>
        <x:v>0.055671629999999986</x:v>
      </x:c>
      <x:c r="K6143" s="13" t="n">
        <x:f>E6143*I6143*H6143</x:f>
        <x:v>0.058636829999999994</x:v>
      </x:c>
      <x:c r="L6143" s="1" t="str">
        <x:f>TEXT(A6143,"mmm yyyy")</x:f>
        <x:v>Sep 2026</x:v>
      </x:c>
    </x:row>
    <x:row r="6144" ht="21" customHeight="1">
      <x:c r="A6144" s="10" t="n">
        <x:v>46276</x:v>
      </x:c>
      <x:c r="B6144" s="1" t="n">
        <x:v>12</x:v>
      </x:c>
      <x:c r="C6144" s="1" t="n">
        <x:v>6</x:v>
      </x:c>
      <x:c r="D6144" s="12" t="n">
        <x:v>0.1455</x:v>
      </x:c>
      <x:c r="E6144" s="12" t="n">
        <x:v>0.1555</x:v>
      </x:c>
      <x:c r="F6144" s="12" t="n">
        <x:v>0</x:v>
      </x:c>
      <x:c r="G6144" s="12" t="n">
        <x:v>0</x:v>
      </x:c>
      <x:c r="H6144" s="1" t="n">
        <x:f>'Historical prices'!E6144</x:f>
        <x:v>1.05</x:v>
      </x:c>
      <x:c r="I6144" s="6" t="n">
        <x:f>'Historical prices'!D6144</x:f>
        <x:v>0.2894</x:v>
      </x:c>
      <x:c r="J6144" s="13" t="n">
        <x:f>D6144*I6144*H6144</x:f>
        <x:v>0.044213085</x:v>
      </x:c>
      <x:c r="K6144" s="13" t="n">
        <x:f>E6144*I6144*H6144</x:f>
        <x:v>0.047251785</x:v>
      </x:c>
      <x:c r="L6144" s="1" t="str">
        <x:f>TEXT(A6144,"mmm yyyy")</x:f>
        <x:v>Sep 2026</x:v>
      </x:c>
    </x:row>
    <x:row r="6145" ht="21" customHeight="1">
      <x:c r="A6145" s="10" t="n">
        <x:v>46276</x:v>
      </x:c>
      <x:c r="B6145" s="1" t="n">
        <x:v>12.5</x:v>
      </x:c>
      <x:c r="C6145" s="1" t="n">
        <x:v>6</x:v>
      </x:c>
      <x:c r="D6145" s="12" t="n">
        <x:v>0.17174999999999999</x:v>
      </x:c>
      <x:c r="E6145" s="12" t="n">
        <x:v>0.18275</x:v>
      </x:c>
      <x:c r="F6145" s="12" t="n">
        <x:v>0</x:v>
      </x:c>
      <x:c r="G6145" s="12" t="n">
        <x:v>0</x:v>
      </x:c>
      <x:c r="H6145" s="1" t="n">
        <x:f>'Historical prices'!E6145</x:f>
        <x:v>1.05</x:v>
      </x:c>
      <x:c r="I6145" s="6" t="n">
        <x:f>'Historical prices'!D6145</x:f>
        <x:v>0.2903</x:v>
      </x:c>
      <x:c r="J6145" s="13" t="n">
        <x:f>D6145*I6145*H6145</x:f>
        <x:v>0.052351976249999994</x:v>
      </x:c>
      <x:c r="K6145" s="13" t="n">
        <x:f>E6145*I6145*H6145</x:f>
        <x:v>0.05570494125</x:v>
      </x:c>
      <x:c r="L6145" s="1" t="str">
        <x:f>TEXT(A6145,"mmm yyyy")</x:f>
        <x:v>Sep 2026</x:v>
      </x:c>
    </x:row>
    <x:row r="6146" ht="21" customHeight="1">
      <x:c r="A6146" s="10" t="n">
        <x:v>46276</x:v>
      </x:c>
      <x:c r="B6146" s="1" t="n">
        <x:v>13</x:v>
      </x:c>
      <x:c r="C6146" s="1" t="n">
        <x:v>6</x:v>
      </x:c>
      <x:c r="D6146" s="12" t="n">
        <x:v>0.1785</x:v>
      </x:c>
      <x:c r="E6146" s="12" t="n">
        <x:v>0.1885</x:v>
      </x:c>
      <x:c r="F6146" s="12" t="n">
        <x:v>0</x:v>
      </x:c>
      <x:c r="G6146" s="12" t="n">
        <x:v>0</x:v>
      </x:c>
      <x:c r="H6146" s="1" t="n">
        <x:f>'Historical prices'!E6146</x:f>
        <x:v>1.05</x:v>
      </x:c>
      <x:c r="I6146" s="6" t="n">
        <x:f>'Historical prices'!D6146</x:f>
        <x:v>0.29510000000000003</x:v>
      </x:c>
      <x:c r="J6146" s="13" t="n">
        <x:f>D6146*I6146*H6146</x:f>
        <x:v>0.055309117500000005</x:v>
      </x:c>
      <x:c r="K6146" s="13" t="n">
        <x:f>E6146*I6146*H6146</x:f>
        <x:v>0.05840766750000001</x:v>
      </x:c>
      <x:c r="L6146" s="1" t="str">
        <x:f>TEXT(A6146,"mmm yyyy")</x:f>
        <x:v>Sep 2026</x:v>
      </x:c>
    </x:row>
    <x:row r="6147" ht="21" customHeight="1">
      <x:c r="A6147" s="10" t="n">
        <x:v>46276</x:v>
      </x:c>
      <x:c r="B6147" s="1" t="n">
        <x:v>13.5</x:v>
      </x:c>
      <x:c r="C6147" s="1" t="n">
        <x:v>6</x:v>
      </x:c>
      <x:c r="D6147" s="12" t="n">
        <x:v>0.17325</x:v>
      </x:c>
      <x:c r="E6147" s="12" t="n">
        <x:v>0.18425</x:v>
      </x:c>
      <x:c r="F6147" s="12" t="n">
        <x:v>0</x:v>
      </x:c>
      <x:c r="G6147" s="12" t="n">
        <x:v>0</x:v>
      </x:c>
      <x:c r="H6147" s="1" t="n">
        <x:f>'Historical prices'!E6147</x:f>
        <x:v>1.05</x:v>
      </x:c>
      <x:c r="I6147" s="6" t="n">
        <x:f>'Historical prices'!D6147</x:f>
        <x:v>0.2909</x:v>
      </x:c>
      <x:c r="J6147" s="13" t="n">
        <x:f>D6147*I6147*H6147</x:f>
        <x:v>0.05291834625</x:v>
      </x:c>
      <x:c r="K6147" s="13" t="n">
        <x:f>E6147*I6147*H6147</x:f>
        <x:v>0.05627824125</x:v>
      </x:c>
      <x:c r="L6147" s="1" t="str">
        <x:f>TEXT(A6147,"mmm yyyy")</x:f>
        <x:v>Sep 2026</x:v>
      </x:c>
    </x:row>
    <x:row r="6148" ht="21" customHeight="1">
      <x:c r="A6148" s="10" t="n">
        <x:v>46276</x:v>
      </x:c>
      <x:c r="B6148" s="1" t="n">
        <x:v>14</x:v>
      </x:c>
      <x:c r="C6148" s="1" t="n">
        <x:v>6</x:v>
      </x:c>
      <x:c r="D6148" s="12" t="n">
        <x:v>0.182</x:v>
      </x:c>
      <x:c r="E6148" s="12" t="n">
        <x:v>0.192</x:v>
      </x:c>
      <x:c r="F6148" s="12" t="n">
        <x:v>0</x:v>
      </x:c>
      <x:c r="G6148" s="12" t="n">
        <x:v>0</x:v>
      </x:c>
      <x:c r="H6148" s="1" t="n">
        <x:f>'Historical prices'!E6148</x:f>
        <x:v>1.05</x:v>
      </x:c>
      <x:c r="I6148" s="6" t="n">
        <x:f>'Historical prices'!D6148</x:f>
        <x:v>0.29510000000000003</x:v>
      </x:c>
      <x:c r="J6148" s="13" t="n">
        <x:f>D6148*I6148*H6148</x:f>
        <x:v>0.056393610000000004</x:v>
      </x:c>
      <x:c r="K6148" s="13" t="n">
        <x:f>E6148*I6148*H6148</x:f>
        <x:v>0.05949216000000001</x:v>
      </x:c>
      <x:c r="L6148" s="1" t="str">
        <x:f>TEXT(A6148,"mmm yyyy")</x:f>
        <x:v>Sep 2026</x:v>
      </x:c>
    </x:row>
    <x:row r="6149" ht="21" customHeight="1">
      <x:c r="A6149" s="10" t="n">
        <x:v>46276</x:v>
      </x:c>
      <x:c r="B6149" s="1" t="n">
        <x:v>14.5</x:v>
      </x:c>
      <x:c r="C6149" s="1" t="n">
        <x:v>6</x:v>
      </x:c>
      <x:c r="D6149" s="12" t="n">
        <x:v>0.16049999999999998</x:v>
      </x:c>
      <x:c r="E6149" s="12" t="n">
        <x:v>0.17049999999999998</x:v>
      </x:c>
      <x:c r="F6149" s="12" t="n">
        <x:v>0</x:v>
      </x:c>
      <x:c r="G6149" s="12" t="n">
        <x:v>0</x:v>
      </x:c>
      <x:c r="H6149" s="1" t="n">
        <x:f>'Historical prices'!E6149</x:f>
        <x:v>1.05</x:v>
      </x:c>
      <x:c r="I6149" s="6" t="n">
        <x:f>'Historical prices'!D6149</x:f>
        <x:v>0.2967</x:v>
      </x:c>
      <x:c r="J6149" s="13" t="n">
        <x:f>D6149*I6149*H6149</x:f>
        <x:v>0.0500013675</x:v>
      </x:c>
      <x:c r="K6149" s="13" t="n">
        <x:f>E6149*I6149*H6149</x:f>
        <x:v>0.0531167175</x:v>
      </x:c>
      <x:c r="L6149" s="1" t="str">
        <x:f>TEXT(A6149,"mmm yyyy")</x:f>
        <x:v>Sep 2026</x:v>
      </x:c>
    </x:row>
    <x:row r="6150" ht="21" customHeight="1">
      <x:c r="A6150" s="10" t="n">
        <x:v>46276</x:v>
      </x:c>
      <x:c r="B6150" s="1" t="n">
        <x:v>15</x:v>
      </x:c>
      <x:c r="C6150" s="1" t="n">
        <x:v>6</x:v>
      </x:c>
      <x:c r="D6150" s="12" t="n">
        <x:v>0.23075</x:v>
      </x:c>
      <x:c r="E6150" s="12" t="n">
        <x:v>0.24175000000000002</x:v>
      </x:c>
      <x:c r="F6150" s="12" t="n">
        <x:v>0</x:v>
      </x:c>
      <x:c r="G6150" s="12" t="n">
        <x:v>0</x:v>
      </x:c>
      <x:c r="H6150" s="1" t="n">
        <x:f>'Historical prices'!E6150</x:f>
        <x:v>1.05</x:v>
      </x:c>
      <x:c r="I6150" s="6" t="n">
        <x:f>'Historical prices'!D6150</x:f>
        <x:v>0.2865</x:v>
      </x:c>
      <x:c r="J6150" s="13" t="n">
        <x:f>D6150*I6150*H6150</x:f>
        <x:v>0.06941536875</x:v>
      </x:c>
      <x:c r="K6150" s="13" t="n">
        <x:f>E6150*I6150*H6150</x:f>
        <x:v>0.07272444375</x:v>
      </x:c>
      <x:c r="L6150" s="1" t="str">
        <x:f>TEXT(A6150,"mmm yyyy")</x:f>
        <x:v>Sep 2026</x:v>
      </x:c>
    </x:row>
    <x:row r="6151" ht="21" customHeight="1">
      <x:c r="A6151" s="10" t="n">
        <x:v>46276</x:v>
      </x:c>
      <x:c r="B6151" s="1" t="n">
        <x:v>15.5</x:v>
      </x:c>
      <x:c r="C6151" s="1" t="n">
        <x:v>6</x:v>
      </x:c>
      <x:c r="D6151" s="12" t="n">
        <x:v>3.5490000000000004</x:v>
      </x:c>
      <x:c r="E6151" s="12" t="n">
        <x:v>0.38000000000000006</x:v>
      </x:c>
      <x:c r="F6151" s="12" t="n">
        <x:v>0</x:v>
      </x:c>
      <x:c r="G6151" s="12" t="n">
        <x:v>3.17</x:v>
      </x:c>
      <x:c r="H6151" s="1" t="n">
        <x:f>'Historical prices'!E6151</x:f>
        <x:v>1.05</x:v>
      </x:c>
      <x:c r="I6151" s="6" t="n">
        <x:f>'Historical prices'!D6151</x:f>
        <x:v>0.2711</x:v>
      </x:c>
      <x:c r="J6151" s="13" t="n">
        <x:f>D6151*I6151*H6151</x:f>
        <x:v>1.0102405950000002</x:v>
      </x:c>
      <x:c r="K6151" s="13" t="n">
        <x:f>E6151*I6151*H6151</x:f>
        <x:v>0.10816890000000001</x:v>
      </x:c>
      <x:c r="L6151" s="1" t="str">
        <x:f>TEXT(A6151,"mmm yyyy")</x:f>
        <x:v>Sep 2026</x:v>
      </x:c>
    </x:row>
    <x:row r="6152" ht="21" customHeight="1">
      <x:c r="A6152" s="10" t="n">
        <x:v>46276</x:v>
      </x:c>
      <x:c r="B6152" s="1" t="n">
        <x:v>16</x:v>
      </x:c>
      <x:c r="C6152" s="1" t="n">
        <x:v>6</x:v>
      </x:c>
      <x:c r="D6152" s="12" t="n">
        <x:v>0.707</x:v>
      </x:c>
      <x:c r="E6152" s="12" t="n">
        <x:v>0.26775</x:v>
      </x:c>
      <x:c r="F6152" s="12" t="n">
        <x:v>0.19141666666666668</x:v>
      </x:c>
      <x:c r="G6152" s="12" t="n">
        <x:v>0.633</x:v>
      </x:c>
      <x:c r="H6152" s="1" t="n">
        <x:f>'Historical prices'!E6152</x:f>
        <x:v>1.05</x:v>
      </x:c>
      <x:c r="I6152" s="6" t="n">
        <x:f>'Historical prices'!D6152</x:f>
        <x:v>0.4267</x:v>
      </x:c>
      <x:c r="J6152" s="13" t="n">
        <x:f>D6152*I6152*H6152</x:f>
        <x:v>0.31676074500000007</x:v>
      </x:c>
      <x:c r="K6152" s="13" t="n">
        <x:f>E6152*I6152*H6152</x:f>
        <x:v>0.11996137125</x:v>
      </x:c>
      <x:c r="L6152" s="1" t="str">
        <x:f>TEXT(A6152,"mmm yyyy")</x:f>
        <x:v>Sep 2026</x:v>
      </x:c>
    </x:row>
    <x:row r="6153" ht="21" customHeight="1">
      <x:c r="A6153" s="10" t="n">
        <x:v>46276</x:v>
      </x:c>
      <x:c r="B6153" s="1" t="n">
        <x:v>16.5</x:v>
      </x:c>
      <x:c r="C6153" s="1" t="n">
        <x:v>6</x:v>
      </x:c>
      <x:c r="D6153" s="12" t="n">
        <x:v>0</x:v>
      </x:c>
      <x:c r="E6153" s="12" t="n">
        <x:v>0.26008333333333333</x:v>
      </x:c>
      <x:c r="F6153" s="12" t="n">
        <x:v>0.25925</x:v>
      </x:c>
      <x:c r="G6153" s="12" t="n">
        <x:v>0</x:v>
      </x:c>
      <x:c r="H6153" s="1" t="n">
        <x:f>'Historical prices'!E6153</x:f>
        <x:v>1.05</x:v>
      </x:c>
      <x:c r="I6153" s="6" t="n">
        <x:f>'Historical prices'!D6153</x:f>
        <x:v>0.4425</x:v>
      </x:c>
      <x:c r="J6153" s="13" t="n">
        <x:f>D6153*I6153*H6153</x:f>
        <x:v>0</x:v>
      </x:c>
      <x:c r="K6153" s="13" t="n">
        <x:f>E6153*I6153*H6153</x:f>
        <x:v>0.12084121875</x:v>
      </x:c>
      <x:c r="L6153" s="1" t="str">
        <x:f>TEXT(A6153,"mmm yyyy")</x:f>
        <x:v>Sep 2026</x:v>
      </x:c>
    </x:row>
    <x:row r="6154" ht="21" customHeight="1">
      <x:c r="A6154" s="10" t="n">
        <x:v>46276</x:v>
      </x:c>
      <x:c r="B6154" s="1" t="n">
        <x:v>17</x:v>
      </x:c>
      <x:c r="C6154" s="1" t="n">
        <x:v>6</x:v>
      </x:c>
      <x:c r="D6154" s="12" t="n">
        <x:v>0</x:v>
      </x:c>
      <x:c r="E6154" s="12" t="n">
        <x:v>0.27191666666666664</x:v>
      </x:c>
      <x:c r="F6154" s="12" t="n">
        <x:v>0.27175</x:v>
      </x:c>
      <x:c r="G6154" s="12" t="n">
        <x:v>0</x:v>
      </x:c>
      <x:c r="H6154" s="1" t="n">
        <x:f>'Historical prices'!E6154</x:f>
        <x:v>1.05</x:v>
      </x:c>
      <x:c r="I6154" s="6" t="n">
        <x:f>'Historical prices'!D6154</x:f>
        <x:v>0.5242</x:v>
      </x:c>
      <x:c r="J6154" s="13" t="n">
        <x:f>D6154*I6154*H6154</x:f>
        <x:v>0</x:v>
      </x:c>
      <x:c r="K6154" s="13" t="n">
        <x:f>E6154*I6154*H6154</x:f>
        <x:v>0.1496656525</x:v>
      </x:c>
      <x:c r="L6154" s="1" t="str">
        <x:f>TEXT(A6154,"mmm yyyy")</x:f>
        <x:v>Sep 2026</x:v>
      </x:c>
    </x:row>
    <x:row r="6155" ht="21" customHeight="1">
      <x:c r="A6155" s="10" t="n">
        <x:v>46276</x:v>
      </x:c>
      <x:c r="B6155" s="1" t="n">
        <x:v>17.5</x:v>
      </x:c>
      <x:c r="C6155" s="1" t="n">
        <x:v>6</x:v>
      </x:c>
      <x:c r="D6155" s="12" t="n">
        <x:v>0</x:v>
      </x:c>
      <x:c r="E6155" s="12" t="n">
        <x:v>0.28575</x:v>
      </x:c>
      <x:c r="F6155" s="12" t="n">
        <x:v>0.28558333333333336</x:v>
      </x:c>
      <x:c r="G6155" s="12" t="n">
        <x:v>0</x:v>
      </x:c>
      <x:c r="H6155" s="1" t="n">
        <x:f>'Historical prices'!E6155</x:f>
        <x:v>1.05</x:v>
      </x:c>
      <x:c r="I6155" s="6" t="n">
        <x:f>'Historical prices'!D6155</x:f>
        <x:v>0.5795</x:v>
      </x:c>
      <x:c r="J6155" s="13" t="n">
        <x:f>D6155*I6155*H6155</x:f>
        <x:v>0</x:v>
      </x:c>
      <x:c r="K6155" s="13" t="n">
        <x:f>E6155*I6155*H6155</x:f>
        <x:v>0.17387173125000002</x:v>
      </x:c>
      <x:c r="L6155" s="1" t="str">
        <x:f>TEXT(A6155,"mmm yyyy")</x:f>
        <x:v>Sep 2026</x:v>
      </x:c>
    </x:row>
    <x:row r="6156" ht="21" customHeight="1">
      <x:c r="A6156" s="10" t="n">
        <x:v>46276</x:v>
      </x:c>
      <x:c r="B6156" s="1" t="n">
        <x:v>18</x:v>
      </x:c>
      <x:c r="C6156" s="1" t="n">
        <x:v>6</x:v>
      </x:c>
      <x:c r="D6156" s="12" t="n">
        <x:v>0</x:v>
      </x:c>
      <x:c r="E6156" s="12" t="n">
        <x:v>0.21825</x:v>
      </x:c>
      <x:c r="F6156" s="12" t="n">
        <x:v>0.21766666666666665</x:v>
      </x:c>
      <x:c r="G6156" s="12" t="n">
        <x:v>0</x:v>
      </x:c>
      <x:c r="H6156" s="1" t="n">
        <x:f>'Historical prices'!E6156</x:f>
        <x:v>1.05</x:v>
      </x:c>
      <x:c r="I6156" s="6" t="n">
        <x:f>'Historical prices'!D6156</x:f>
        <x:v>0.606</x:v>
      </x:c>
      <x:c r="J6156" s="13" t="n">
        <x:f>D6156*I6156*H6156</x:f>
        <x:v>0</x:v>
      </x:c>
      <x:c r="K6156" s="13" t="n">
        <x:f>E6156*I6156*H6156</x:f>
        <x:v>0.138872475</x:v>
      </x:c>
      <x:c r="L6156" s="1" t="str">
        <x:f>TEXT(A6156,"mmm yyyy")</x:f>
        <x:v>Sep 2026</x:v>
      </x:c>
    </x:row>
    <x:row r="6157" ht="21" customHeight="1">
      <x:c r="A6157" s="10" t="n">
        <x:v>46276</x:v>
      </x:c>
      <x:c r="B6157" s="1" t="n">
        <x:v>18.5</x:v>
      </x:c>
      <x:c r="C6157" s="1" t="n">
        <x:v>6</x:v>
      </x:c>
      <x:c r="D6157" s="12" t="n">
        <x:v>0</x:v>
      </x:c>
      <x:c r="E6157" s="12" t="n">
        <x:v>0.22783333333333333</x:v>
      </x:c>
      <x:c r="F6157" s="12" t="n">
        <x:v>0.22733333333333333</x:v>
      </x:c>
      <x:c r="G6157" s="12" t="n">
        <x:v>0</x:v>
      </x:c>
      <x:c r="H6157" s="1" t="n">
        <x:f>'Historical prices'!E6157</x:f>
        <x:v>1.05</x:v>
      </x:c>
      <x:c r="I6157" s="6" t="n">
        <x:f>'Historical prices'!D6157</x:f>
        <x:v>0.605</x:v>
      </x:c>
      <x:c r="J6157" s="13" t="n">
        <x:f>D6157*I6157*H6157</x:f>
        <x:v>0</x:v>
      </x:c>
      <x:c r="K6157" s="13" t="n">
        <x:f>E6157*I6157*H6157</x:f>
        <x:v>0.144731125</x:v>
      </x:c>
      <x:c r="L6157" s="1" t="str">
        <x:f>TEXT(A6157,"mmm yyyy")</x:f>
        <x:v>Sep 2026</x:v>
      </x:c>
    </x:row>
    <x:row r="6158" ht="21" customHeight="1">
      <x:c r="A6158" s="10" t="n">
        <x:v>46276</x:v>
      </x:c>
      <x:c r="B6158" s="1" t="n">
        <x:v>19</x:v>
      </x:c>
      <x:c r="C6158" s="1" t="n">
        <x:v>6</x:v>
      </x:c>
      <x:c r="D6158" s="12" t="n">
        <x:v>0</x:v>
      </x:c>
      <x:c r="E6158" s="12" t="n">
        <x:v>0.3889166666666667</x:v>
      </x:c>
      <x:c r="F6158" s="12" t="n">
        <x:v>0.38775000000000004</x:v>
      </x:c>
      <x:c r="G6158" s="12" t="n">
        <x:v>0</x:v>
      </x:c>
      <x:c r="H6158" s="1" t="n">
        <x:f>'Historical prices'!E6158</x:f>
        <x:v>1.05</x:v>
      </x:c>
      <x:c r="I6158" s="6" t="n">
        <x:f>'Historical prices'!D6158</x:f>
        <x:v>0.4595</x:v>
      </x:c>
      <x:c r="J6158" s="13" t="n">
        <x:f>D6158*I6158*H6158</x:f>
        <x:v>0</x:v>
      </x:c>
      <x:c r="K6158" s="13" t="n">
        <x:f>E6158*I6158*H6158</x:f>
        <x:v>0.18764256875000002</x:v>
      </x:c>
      <x:c r="L6158" s="1" t="str">
        <x:f>TEXT(A6158,"mmm yyyy")</x:f>
        <x:v>Sep 2026</x:v>
      </x:c>
    </x:row>
    <x:row r="6159" ht="21" customHeight="1">
      <x:c r="A6159" s="10" t="n">
        <x:v>46276</x:v>
      </x:c>
      <x:c r="B6159" s="1" t="n">
        <x:v>19.5</x:v>
      </x:c>
      <x:c r="C6159" s="1" t="n">
        <x:v>6</x:v>
      </x:c>
      <x:c r="D6159" s="12" t="n">
        <x:v>0</x:v>
      </x:c>
      <x:c r="E6159" s="12" t="n">
        <x:v>0.2960833333333333</x:v>
      </x:c>
      <x:c r="F6159" s="12" t="n">
        <x:v>0.2955833333333333</x:v>
      </x:c>
      <x:c r="G6159" s="12" t="n">
        <x:v>0</x:v>
      </x:c>
      <x:c r="H6159" s="1" t="n">
        <x:f>'Historical prices'!E6159</x:f>
        <x:v>1.05</x:v>
      </x:c>
      <x:c r="I6159" s="6" t="n">
        <x:f>'Historical prices'!D6159</x:f>
        <x:v>0.4685</x:v>
      </x:c>
      <x:c r="J6159" s="13" t="n">
        <x:f>D6159*I6159*H6159</x:f>
        <x:v>0</x:v>
      </x:c>
      <x:c r="K6159" s="13" t="n">
        <x:f>E6159*I6159*H6159</x:f>
        <x:v>0.14565079375</x:v>
      </x:c>
      <x:c r="L6159" s="1" t="str">
        <x:f>TEXT(A6159,"mmm yyyy")</x:f>
        <x:v>Sep 2026</x:v>
      </x:c>
    </x:row>
    <x:row r="6160" ht="21" customHeight="1">
      <x:c r="A6160" s="10" t="n">
        <x:v>46276</x:v>
      </x:c>
      <x:c r="B6160" s="1" t="n">
        <x:v>20</x:v>
      </x:c>
      <x:c r="C6160" s="1" t="n">
        <x:v>6</x:v>
      </x:c>
      <x:c r="D6160" s="12" t="n">
        <x:v>0</x:v>
      </x:c>
      <x:c r="E6160" s="12" t="n">
        <x:v>0.22566666666666668</x:v>
      </x:c>
      <x:c r="F6160" s="12" t="n">
        <x:v>0.22433333333333336</x:v>
      </x:c>
      <x:c r="G6160" s="12" t="n">
        <x:v>0</x:v>
      </x:c>
      <x:c r="H6160" s="1" t="n">
        <x:f>'Historical prices'!E6160</x:f>
        <x:v>1.05</x:v>
      </x:c>
      <x:c r="I6160" s="6" t="n">
        <x:f>'Historical prices'!D6160</x:f>
        <x:v>0.44179999999999997</x:v>
      </x:c>
      <x:c r="J6160" s="13" t="n">
        <x:f>D6160*I6160*H6160</x:f>
        <x:v>0</x:v>
      </x:c>
      <x:c r="K6160" s="13" t="n">
        <x:f>E6160*I6160*H6160</x:f>
        <x:v>0.10468451000000001</x:v>
      </x:c>
      <x:c r="L6160" s="1" t="str">
        <x:f>TEXT(A6160,"mmm yyyy")</x:f>
        <x:v>Sep 2026</x:v>
      </x:c>
    </x:row>
    <x:row r="6161" ht="21" customHeight="1">
      <x:c r="A6161" s="10" t="n">
        <x:v>46276</x:v>
      </x:c>
      <x:c r="B6161" s="1" t="n">
        <x:v>20.5</x:v>
      </x:c>
      <x:c r="C6161" s="1" t="n">
        <x:v>6</x:v>
      </x:c>
      <x:c r="D6161" s="12" t="n">
        <x:v>0</x:v>
      </x:c>
      <x:c r="E6161" s="12" t="n">
        <x:v>0.27925</x:v>
      </x:c>
      <x:c r="F6161" s="12" t="n">
        <x:v>0.2783333333333333</x:v>
      </x:c>
      <x:c r="G6161" s="12" t="n">
        <x:v>0</x:v>
      </x:c>
      <x:c r="H6161" s="1" t="n">
        <x:f>'Historical prices'!E6161</x:f>
        <x:v>1.05</x:v>
      </x:c>
      <x:c r="I6161" s="6" t="n">
        <x:f>'Historical prices'!D6161</x:f>
        <x:v>0.39799999999999996</x:v>
      </x:c>
      <x:c r="J6161" s="13" t="n">
        <x:f>D6161*I6161*H6161</x:f>
        <x:v>0</x:v>
      </x:c>
      <x:c r="K6161" s="13" t="n">
        <x:f>E6161*I6161*H6161</x:f>
        <x:v>0.116698575</x:v>
      </x:c>
      <x:c r="L6161" s="1" t="str">
        <x:f>TEXT(A6161,"mmm yyyy")</x:f>
        <x:v>Sep 2026</x:v>
      </x:c>
    </x:row>
    <x:row r="6162" ht="21" customHeight="1">
      <x:c r="A6162" s="10" t="n">
        <x:v>46276</x:v>
      </x:c>
      <x:c r="B6162" s="1" t="n">
        <x:v>21</x:v>
      </x:c>
      <x:c r="C6162" s="1" t="n">
        <x:v>6</x:v>
      </x:c>
      <x:c r="D6162" s="12" t="n">
        <x:v>0</x:v>
      </x:c>
      <x:c r="E6162" s="12" t="n">
        <x:v>0.3066666666666667</x:v>
      </x:c>
      <x:c r="F6162" s="12" t="n">
        <x:v>0.30633333333333335</x:v>
      </x:c>
      <x:c r="G6162" s="12" t="n">
        <x:v>0</x:v>
      </x:c>
      <x:c r="H6162" s="1" t="n">
        <x:f>'Historical prices'!E6162</x:f>
        <x:v>1.05</x:v>
      </x:c>
      <x:c r="I6162" s="6" t="n">
        <x:f>'Historical prices'!D6162</x:f>
        <x:v>0.4153</x:v>
      </x:c>
      <x:c r="J6162" s="13" t="n">
        <x:f>D6162*I6162*H6162</x:f>
        <x:v>0</x:v>
      </x:c>
      <x:c r="K6162" s="13" t="n">
        <x:f>E6162*I6162*H6162</x:f>
        <x:v>0.13372660000000003</x:v>
      </x:c>
      <x:c r="L6162" s="1" t="str">
        <x:f>TEXT(A6162,"mmm yyyy")</x:f>
        <x:v>Sep 2026</x:v>
      </x:c>
    </x:row>
    <x:row r="6163" ht="21" customHeight="1">
      <x:c r="A6163" s="10" t="n">
        <x:v>46276</x:v>
      </x:c>
      <x:c r="B6163" s="1" t="n">
        <x:v>21.5</x:v>
      </x:c>
      <x:c r="C6163" s="1" t="n">
        <x:v>6</x:v>
      </x:c>
      <x:c r="D6163" s="12" t="n">
        <x:v>0</x:v>
      </x:c>
      <x:c r="E6163" s="12" t="n">
        <x:v>0.2631666666666667</x:v>
      </x:c>
      <x:c r="F6163" s="12" t="n">
        <x:v>0.26241666666666663</x:v>
      </x:c>
      <x:c r="G6163" s="12" t="n">
        <x:v>0</x:v>
      </x:c>
      <x:c r="H6163" s="1" t="n">
        <x:f>'Historical prices'!E6163</x:f>
        <x:v>1.05</x:v>
      </x:c>
      <x:c r="I6163" s="6" t="n">
        <x:f>'Historical prices'!D6163</x:f>
        <x:v>0.3539</x:v>
      </x:c>
      <x:c r="J6163" s="13" t="n">
        <x:f>D6163*I6163*H6163</x:f>
        <x:v>0</x:v>
      </x:c>
      <x:c r="K6163" s="13" t="n">
        <x:f>E6163*I6163*H6163</x:f>
        <x:v>0.09779141750000002</x:v>
      </x:c>
      <x:c r="L6163" s="1" t="str">
        <x:f>TEXT(A6163,"mmm yyyy")</x:f>
        <x:v>Sep 2026</x:v>
      </x:c>
    </x:row>
    <x:row r="6164" ht="21" customHeight="1">
      <x:c r="A6164" s="10" t="n">
        <x:v>46276</x:v>
      </x:c>
      <x:c r="B6164" s="1" t="n">
        <x:v>22</x:v>
      </x:c>
      <x:c r="C6164" s="1" t="n">
        <x:v>6</x:v>
      </x:c>
      <x:c r="D6164" s="12" t="n">
        <x:v>0</x:v>
      </x:c>
      <x:c r="E6164" s="12" t="n">
        <x:v>0.27174999999999994</x:v>
      </x:c>
      <x:c r="F6164" s="12" t="n">
        <x:v>0.27174999999999994</x:v>
      </x:c>
      <x:c r="G6164" s="12" t="n">
        <x:v>0</x:v>
      </x:c>
      <x:c r="H6164" s="1" t="n">
        <x:f>'Historical prices'!E6164</x:f>
        <x:v>1.05</x:v>
      </x:c>
      <x:c r="I6164" s="6" t="n">
        <x:f>'Historical prices'!D6164</x:f>
        <x:v>0.3464</x:v>
      </x:c>
      <x:c r="J6164" s="13" t="n">
        <x:f>D6164*I6164*H6164</x:f>
        <x:v>0</x:v>
      </x:c>
      <x:c r="K6164" s="13" t="n">
        <x:f>E6164*I6164*H6164</x:f>
        <x:v>0.09884090999999998</x:v>
      </x:c>
      <x:c r="L6164" s="1" t="str">
        <x:f>TEXT(A6164,"mmm yyyy")</x:f>
        <x:v>Sep 2026</x:v>
      </x:c>
    </x:row>
    <x:row r="6165" ht="21" customHeight="1">
      <x:c r="A6165" s="10" t="n">
        <x:v>46276</x:v>
      </x:c>
      <x:c r="B6165" s="1" t="n">
        <x:v>22.5</x:v>
      </x:c>
      <x:c r="C6165" s="1" t="n">
        <x:v>6</x:v>
      </x:c>
      <x:c r="D6165" s="12" t="n">
        <x:v>0</x:v>
      </x:c>
      <x:c r="E6165" s="12" t="n">
        <x:v>0.27416666666666667</x:v>
      </x:c>
      <x:c r="F6165" s="12" t="n">
        <x:v>0.27366666666666667</x:v>
      </x:c>
      <x:c r="G6165" s="12" t="n">
        <x:v>0</x:v>
      </x:c>
      <x:c r="H6165" s="1" t="n">
        <x:f>'Historical prices'!E6165</x:f>
        <x:v>1.05</x:v>
      </x:c>
      <x:c r="I6165" s="6" t="n">
        <x:f>'Historical prices'!D6165</x:f>
        <x:v>0.3093</x:v>
      </x:c>
      <x:c r="J6165" s="13" t="n">
        <x:f>D6165*I6165*H6165</x:f>
        <x:v>0</x:v>
      </x:c>
      <x:c r="K6165" s="13" t="n">
        <x:f>E6165*I6165*H6165</x:f>
        <x:v>0.08903973750000001</x:v>
      </x:c>
      <x:c r="L6165" s="1" t="str">
        <x:f>TEXT(A6165,"mmm yyyy")</x:f>
        <x:v>Sep 2026</x:v>
      </x:c>
    </x:row>
    <x:row r="6166" ht="21" customHeight="1">
      <x:c r="A6166" s="10" t="n">
        <x:v>46276</x:v>
      </x:c>
      <x:c r="B6166" s="1" t="n">
        <x:v>23</x:v>
      </x:c>
      <x:c r="C6166" s="1" t="n">
        <x:v>6</x:v>
      </x:c>
      <x:c r="D6166" s="12" t="n">
        <x:v>0</x:v>
      </x:c>
      <x:c r="E6166" s="12" t="n">
        <x:v>0.24291666666666664</x:v>
      </x:c>
      <x:c r="F6166" s="12" t="n">
        <x:v>0.24241666666666667</x:v>
      </x:c>
      <x:c r="G6166" s="12" t="n">
        <x:v>0</x:v>
      </x:c>
      <x:c r="H6166" s="1" t="n">
        <x:f>'Historical prices'!E6166</x:f>
        <x:v>1.05</x:v>
      </x:c>
      <x:c r="I6166" s="6" t="n">
        <x:f>'Historical prices'!D6166</x:f>
        <x:v>0.3257</x:v>
      </x:c>
      <x:c r="J6166" s="13" t="n">
        <x:f>D6166*I6166*H6166</x:f>
        <x:v>0</x:v>
      </x:c>
      <x:c r="K6166" s="13" t="n">
        <x:f>E6166*I6166*H6166</x:f>
        <x:v>0.08307385625</x:v>
      </x:c>
      <x:c r="L6166" s="1" t="str">
        <x:f>TEXT(A6166,"mmm yyyy")</x:f>
        <x:v>Sep 2026</x:v>
      </x:c>
    </x:row>
    <x:row r="6167" ht="21" customHeight="1">
      <x:c r="A6167" s="10" t="n">
        <x:v>46276</x:v>
      </x:c>
      <x:c r="B6167" s="1" t="n">
        <x:v>23.5</x:v>
      </x:c>
      <x:c r="C6167" s="1" t="n">
        <x:v>6</x:v>
      </x:c>
      <x:c r="D6167" s="12" t="n">
        <x:v>0</x:v>
      </x:c>
      <x:c r="E6167" s="12" t="n">
        <x:v>0.331</x:v>
      </x:c>
      <x:c r="F6167" s="12" t="n">
        <x:v>0.33058333333333334</x:v>
      </x:c>
      <x:c r="G6167" s="12" t="n">
        <x:v>0</x:v>
      </x:c>
      <x:c r="H6167" s="1" t="n">
        <x:f>'Historical prices'!E6167</x:f>
        <x:v>1.05</x:v>
      </x:c>
      <x:c r="I6167" s="6" t="n">
        <x:f>'Historical prices'!D6167</x:f>
        <x:v>0.31980000000000003</x:v>
      </x:c>
      <x:c r="J6167" s="13" t="n">
        <x:f>D6167*I6167*H6167</x:f>
        <x:v>0</x:v>
      </x:c>
      <x:c r="K6167" s="13" t="n">
        <x:f>E6167*I6167*H6167</x:f>
        <x:v>0.11114649000000001</x:v>
      </x:c>
      <x:c r="L6167" s="1" t="str">
        <x:f>TEXT(A6167,"mmm yyyy")</x:f>
        <x:v>Sep 2026</x:v>
      </x:c>
    </x:row>
    <x:row r="6168" ht="21" customHeight="1">
      <x:c r="A6168" s="10" t="n">
        <x:v>46277</x:v>
      </x:c>
      <x:c r="B6168" s="1" t="n">
        <x:v>0</x:v>
      </x:c>
      <x:c r="C6168" s="1" t="n">
        <x:v>6</x:v>
      </x:c>
      <x:c r="D6168" s="12" t="n">
        <x:v>0</x:v>
      </x:c>
      <x:c r="E6168" s="12" t="n">
        <x:v>0.21783333333333332</x:v>
      </x:c>
      <x:c r="F6168" s="12" t="n">
        <x:v>0.21733333333333335</x:v>
      </x:c>
      <x:c r="G6168" s="12" t="n">
        <x:v>0</x:v>
      </x:c>
      <x:c r="H6168" s="1" t="n">
        <x:f>'Historical prices'!E6168</x:f>
        <x:v>1.05</x:v>
      </x:c>
      <x:c r="I6168" s="6" t="n">
        <x:f>'Historical prices'!D6168</x:f>
        <x:v>0.3197</x:v>
      </x:c>
      <x:c r="J6168" s="13" t="n">
        <x:f>D6168*I6168*H6168</x:f>
        <x:v>0</x:v>
      </x:c>
      <x:c r="K6168" s="13" t="n">
        <x:f>E6168*I6168*H6168</x:f>
        <x:v>0.0731233825</x:v>
      </x:c>
      <x:c r="L6168" s="1" t="str">
        <x:f>TEXT(A6168,"mmm yyyy")</x:f>
        <x:v>Sep 2026</x:v>
      </x:c>
    </x:row>
    <x:row r="6169" ht="21" customHeight="1">
      <x:c r="A6169" s="10" t="n">
        <x:v>46277</x:v>
      </x:c>
      <x:c r="B6169" s="1" t="n">
        <x:v>0.5</x:v>
      </x:c>
      <x:c r="C6169" s="1" t="n">
        <x:v>6</x:v>
      </x:c>
      <x:c r="D6169" s="12" t="n">
        <x:v>0</x:v>
      </x:c>
      <x:c r="E6169" s="12" t="n">
        <x:v>0.21425000000000002</x:v>
      </x:c>
      <x:c r="F6169" s="12" t="n">
        <x:v>0.2139166666666667</x:v>
      </x:c>
      <x:c r="G6169" s="12" t="n">
        <x:v>0</x:v>
      </x:c>
      <x:c r="H6169" s="1" t="n">
        <x:f>'Historical prices'!E6169</x:f>
        <x:v>1.05</x:v>
      </x:c>
      <x:c r="I6169" s="6" t="n">
        <x:f>'Historical prices'!D6169</x:f>
        <x:v>0.31620000000000004</x:v>
      </x:c>
      <x:c r="J6169" s="13" t="n">
        <x:f>D6169*I6169*H6169</x:f>
        <x:v>0</x:v>
      </x:c>
      <x:c r="K6169" s="13" t="n">
        <x:f>E6169*I6169*H6169</x:f>
        <x:v>0.07113314250000001</x:v>
      </x:c>
      <x:c r="L6169" s="1" t="str">
        <x:f>TEXT(A6169,"mmm yyyy")</x:f>
        <x:v>Sep 2026</x:v>
      </x:c>
    </x:row>
    <x:row r="6170" ht="21" customHeight="1">
      <x:c r="A6170" s="10" t="n">
        <x:v>46277</x:v>
      </x:c>
      <x:c r="B6170" s="1" t="n">
        <x:v>1</x:v>
      </x:c>
      <x:c r="C6170" s="1" t="n">
        <x:v>6</x:v>
      </x:c>
      <x:c r="D6170" s="12" t="n">
        <x:v>0</x:v>
      </x:c>
      <x:c r="E6170" s="12" t="n">
        <x:v>0.2976666666666667</x:v>
      </x:c>
      <x:c r="F6170" s="12" t="n">
        <x:v>0.2925</x:v>
      </x:c>
      <x:c r="G6170" s="12" t="n">
        <x:v>0</x:v>
      </x:c>
      <x:c r="H6170" s="1" t="n">
        <x:f>'Historical prices'!E6170</x:f>
        <x:v>1.05</x:v>
      </x:c>
      <x:c r="I6170" s="6" t="n">
        <x:f>'Historical prices'!D6170</x:f>
        <x:v>0.2942</x:v>
      </x:c>
      <x:c r="J6170" s="13" t="n">
        <x:f>D6170*I6170*H6170</x:f>
        <x:v>0</x:v>
      </x:c>
      <x:c r="K6170" s="13" t="n">
        <x:f>E6170*I6170*H6170</x:f>
        <x:v>0.09195221</x:v>
      </x:c>
      <x:c r="L6170" s="1" t="str">
        <x:f>TEXT(A6170,"mmm yyyy")</x:f>
        <x:v>Sep 2026</x:v>
      </x:c>
    </x:row>
    <x:row r="6171" ht="21" customHeight="1">
      <x:c r="A6171" s="10" t="n">
        <x:v>46277</x:v>
      </x:c>
      <x:c r="B6171" s="1" t="n">
        <x:v>1.5</x:v>
      </x:c>
      <x:c r="C6171" s="1" t="n">
        <x:v>6</x:v>
      </x:c>
      <x:c r="D6171" s="12" t="n">
        <x:v>0</x:v>
      </x:c>
      <x:c r="E6171" s="12" t="n">
        <x:v>0.2383333333333333</x:v>
      </x:c>
      <x:c r="F6171" s="12" t="n">
        <x:v>0.23758333333333334</x:v>
      </x:c>
      <x:c r="G6171" s="12" t="n">
        <x:v>0</x:v>
      </x:c>
      <x:c r="H6171" s="1" t="n">
        <x:f>'Historical prices'!E6171</x:f>
        <x:v>1.05</x:v>
      </x:c>
      <x:c r="I6171" s="6" t="n">
        <x:f>'Historical prices'!D6171</x:f>
        <x:v>0.30920000000000003</x:v>
      </x:c>
      <x:c r="J6171" s="13" t="n">
        <x:f>D6171*I6171*H6171</x:f>
        <x:v>0</x:v>
      </x:c>
      <x:c r="K6171" s="13" t="n">
        <x:f>E6171*I6171*H6171</x:f>
        <x:v>0.07737730000000001</x:v>
      </x:c>
      <x:c r="L6171" s="1" t="str">
        <x:f>TEXT(A6171,"mmm yyyy")</x:f>
        <x:v>Sep 2026</x:v>
      </x:c>
    </x:row>
    <x:row r="6172" ht="21" customHeight="1">
      <x:c r="A6172" s="10" t="n">
        <x:v>46277</x:v>
      </x:c>
      <x:c r="B6172" s="1" t="n">
        <x:v>2</x:v>
      </x:c>
      <x:c r="C6172" s="1" t="n">
        <x:v>6</x:v>
      </x:c>
      <x:c r="D6172" s="12" t="n">
        <x:v>0</x:v>
      </x:c>
      <x:c r="E6172" s="12" t="n">
        <x:v>0.21499999999999997</x:v>
      </x:c>
      <x:c r="F6172" s="12" t="n">
        <x:v>0.2144166666666667</x:v>
      </x:c>
      <x:c r="G6172" s="12" t="n">
        <x:v>0</x:v>
      </x:c>
      <x:c r="H6172" s="1" t="n">
        <x:f>'Historical prices'!E6172</x:f>
        <x:v>1.05</x:v>
      </x:c>
      <x:c r="I6172" s="6" t="n">
        <x:f>'Historical prices'!D6172</x:f>
        <x:v>0.311</x:v>
      </x:c>
      <x:c r="J6172" s="13" t="n">
        <x:f>D6172*I6172*H6172</x:f>
        <x:v>0</x:v>
      </x:c>
      <x:c r="K6172" s="13" t="n">
        <x:f>E6172*I6172*H6172</x:f>
        <x:v>0.07020825</x:v>
      </x:c>
      <x:c r="L6172" s="1" t="str">
        <x:f>TEXT(A6172,"mmm yyyy")</x:f>
        <x:v>Sep 2026</x:v>
      </x:c>
    </x:row>
    <x:row r="6173" ht="21" customHeight="1">
      <x:c r="A6173" s="10" t="n">
        <x:v>46277</x:v>
      </x:c>
      <x:c r="B6173" s="1" t="n">
        <x:v>2.5</x:v>
      </x:c>
      <x:c r="C6173" s="1" t="n">
        <x:v>6</x:v>
      </x:c>
      <x:c r="D6173" s="12" t="n">
        <x:v>0</x:v>
      </x:c>
      <x:c r="E6173" s="12" t="n">
        <x:v>0.26958333333333334</x:v>
      </x:c>
      <x:c r="F6173" s="12" t="n">
        <x:v>0.26925</x:v>
      </x:c>
      <x:c r="G6173" s="12" t="n">
        <x:v>0</x:v>
      </x:c>
      <x:c r="H6173" s="1" t="n">
        <x:f>'Historical prices'!E6173</x:f>
        <x:v>1.05</x:v>
      </x:c>
      <x:c r="I6173" s="6" t="n">
        <x:f>'Historical prices'!D6173</x:f>
        <x:v>0.2748</x:v>
      </x:c>
      <x:c r="J6173" s="13" t="n">
        <x:f>D6173*I6173*H6173</x:f>
        <x:v>0</x:v>
      </x:c>
      <x:c r="K6173" s="13" t="n">
        <x:f>E6173*I6173*H6173</x:f>
        <x:v>0.077785575</x:v>
      </x:c>
      <x:c r="L6173" s="1" t="str">
        <x:f>TEXT(A6173,"mmm yyyy")</x:f>
        <x:v>Sep 2026</x:v>
      </x:c>
    </x:row>
    <x:row r="6174" ht="21" customHeight="1">
      <x:c r="A6174" s="10" t="n">
        <x:v>46277</x:v>
      </x:c>
      <x:c r="B6174" s="1" t="n">
        <x:v>3</x:v>
      </x:c>
      <x:c r="C6174" s="1" t="n">
        <x:v>6</x:v>
      </x:c>
      <x:c r="D6174" s="12" t="n">
        <x:v>0</x:v>
      </x:c>
      <x:c r="E6174" s="12" t="n">
        <x:v>0.2608333333333333</x:v>
      </x:c>
      <x:c r="F6174" s="12" t="n">
        <x:v>0.25875</x:v>
      </x:c>
      <x:c r="G6174" s="12" t="n">
        <x:v>0</x:v>
      </x:c>
      <x:c r="H6174" s="1" t="n">
        <x:f>'Historical prices'!E6174</x:f>
        <x:v>1.05</x:v>
      </x:c>
      <x:c r="I6174" s="6" t="n">
        <x:f>'Historical prices'!D6174</x:f>
        <x:v>0.2854</x:v>
      </x:c>
      <x:c r="J6174" s="13" t="n">
        <x:f>D6174*I6174*H6174</x:f>
        <x:v>0</x:v>
      </x:c>
      <x:c r="K6174" s="13" t="n">
        <x:f>E6174*I6174*H6174</x:f>
        <x:v>0.07816392499999998</x:v>
      </x:c>
      <x:c r="L6174" s="1" t="str">
        <x:f>TEXT(A6174,"mmm yyyy")</x:f>
        <x:v>Sep 2026</x:v>
      </x:c>
    </x:row>
    <x:row r="6175" ht="21" customHeight="1">
      <x:c r="A6175" s="10" t="n">
        <x:v>46277</x:v>
      </x:c>
      <x:c r="B6175" s="1" t="n">
        <x:v>3.5</x:v>
      </x:c>
      <x:c r="C6175" s="1" t="n">
        <x:v>6</x:v>
      </x:c>
      <x:c r="D6175" s="12" t="n">
        <x:v>0</x:v>
      </x:c>
      <x:c r="E6175" s="12" t="n">
        <x:v>0.30625</x:v>
      </x:c>
      <x:c r="F6175" s="12" t="n">
        <x:v>0.30566666666666664</x:v>
      </x:c>
      <x:c r="G6175" s="12" t="n">
        <x:v>0</x:v>
      </x:c>
      <x:c r="H6175" s="1" t="n">
        <x:f>'Historical prices'!E6175</x:f>
        <x:v>1.05</x:v>
      </x:c>
      <x:c r="I6175" s="6" t="n">
        <x:f>'Historical prices'!D6175</x:f>
        <x:v>0.2635</x:v>
      </x:c>
      <x:c r="J6175" s="13" t="n">
        <x:f>D6175*I6175*H6175</x:f>
        <x:v>0</x:v>
      </x:c>
      <x:c r="K6175" s="13" t="n">
        <x:f>E6175*I6175*H6175</x:f>
        <x:v>0.08473171875000002</x:v>
      </x:c>
      <x:c r="L6175" s="1" t="str">
        <x:f>TEXT(A6175,"mmm yyyy")</x:f>
        <x:v>Sep 2026</x:v>
      </x:c>
    </x:row>
    <x:row r="6176" ht="21" customHeight="1">
      <x:c r="A6176" s="10" t="n">
        <x:v>46277</x:v>
      </x:c>
      <x:c r="B6176" s="1" t="n">
        <x:v>4</x:v>
      </x:c>
      <x:c r="C6176" s="1" t="n">
        <x:v>6</x:v>
      </x:c>
      <x:c r="D6176" s="12" t="n">
        <x:v>0</x:v>
      </x:c>
      <x:c r="E6176" s="12" t="n">
        <x:v>0.26791666666666664</x:v>
      </x:c>
      <x:c r="F6176" s="12" t="n">
        <x:v>0.267</x:v>
      </x:c>
      <x:c r="G6176" s="12" t="n">
        <x:v>0</x:v>
      </x:c>
      <x:c r="H6176" s="1" t="n">
        <x:f>'Historical prices'!E6176</x:f>
        <x:v>1.05</x:v>
      </x:c>
      <x:c r="I6176" s="6" t="n">
        <x:f>'Historical prices'!D6176</x:f>
        <x:v>0.29469999999999996</x:v>
      </x:c>
      <x:c r="J6176" s="13" t="n">
        <x:f>D6176*I6176*H6176</x:f>
        <x:v>0</x:v>
      </x:c>
      <x:c r="K6176" s="13" t="n">
        <x:f>E6176*I6176*H6176</x:f>
        <x:v>0.08290279374999998</x:v>
      </x:c>
      <x:c r="L6176" s="1" t="str">
        <x:f>TEXT(A6176,"mmm yyyy")</x:f>
        <x:v>Sep 2026</x:v>
      </x:c>
    </x:row>
    <x:row r="6177" ht="21" customHeight="1">
      <x:c r="A6177" s="10" t="n">
        <x:v>46277</x:v>
      </x:c>
      <x:c r="B6177" s="1" t="n">
        <x:v>4.5</x:v>
      </x:c>
      <x:c r="C6177" s="1" t="n">
        <x:v>6</x:v>
      </x:c>
      <x:c r="D6177" s="12" t="n">
        <x:v>0</x:v>
      </x:c>
      <x:c r="E6177" s="12" t="n">
        <x:v>0.2401666666666667</x:v>
      </x:c>
      <x:c r="F6177" s="12" t="n">
        <x:v>0.2396666666666667</x:v>
      </x:c>
      <x:c r="G6177" s="12" t="n">
        <x:v>0</x:v>
      </x:c>
      <x:c r="H6177" s="1" t="n">
        <x:f>'Historical prices'!E6177</x:f>
        <x:v>1.05</x:v>
      </x:c>
      <x:c r="I6177" s="6" t="n">
        <x:f>'Historical prices'!D6177</x:f>
        <x:v>0.26899999999999996</x:v>
      </x:c>
      <x:c r="J6177" s="13" t="n">
        <x:f>D6177*I6177*H6177</x:f>
        <x:v>0</x:v>
      </x:c>
      <x:c r="K6177" s="13" t="n">
        <x:f>E6177*I6177*H6177</x:f>
        <x:v>0.06783507500000001</x:v>
      </x:c>
      <x:c r="L6177" s="1" t="str">
        <x:f>TEXT(A6177,"mmm yyyy")</x:f>
        <x:v>Sep 2026</x:v>
      </x:c>
    </x:row>
    <x:row r="6178" ht="21" customHeight="1">
      <x:c r="A6178" s="10" t="n">
        <x:v>46277</x:v>
      </x:c>
      <x:c r="B6178" s="1" t="n">
        <x:v>5</x:v>
      </x:c>
      <x:c r="C6178" s="1" t="n">
        <x:v>6</x:v>
      </x:c>
      <x:c r="D6178" s="12" t="n">
        <x:v>0</x:v>
      </x:c>
      <x:c r="E6178" s="12" t="n">
        <x:v>0.23708333333333334</x:v>
      </x:c>
      <x:c r="F6178" s="12" t="n">
        <x:v>0.23641666666666666</x:v>
      </x:c>
      <x:c r="G6178" s="12" t="n">
        <x:v>0</x:v>
      </x:c>
      <x:c r="H6178" s="1" t="n">
        <x:f>'Historical prices'!E6178</x:f>
        <x:v>1.05</x:v>
      </x:c>
      <x:c r="I6178" s="6" t="n">
        <x:f>'Historical prices'!D6178</x:f>
        <x:v>0.2724</x:v>
      </x:c>
      <x:c r="J6178" s="13" t="n">
        <x:f>D6178*I6178*H6178</x:f>
        <x:v>0</x:v>
      </x:c>
      <x:c r="K6178" s="13" t="n">
        <x:f>E6178*I6178*H6178</x:f>
        <x:v>0.067810575</x:v>
      </x:c>
      <x:c r="L6178" s="1" t="str">
        <x:f>TEXT(A6178,"mmm yyyy")</x:f>
        <x:v>Sep 2026</x:v>
      </x:c>
    </x:row>
    <x:row r="6179" ht="21" customHeight="1">
      <x:c r="A6179" s="10" t="n">
        <x:v>46277</x:v>
      </x:c>
      <x:c r="B6179" s="1" t="n">
        <x:v>5.5</x:v>
      </x:c>
      <x:c r="C6179" s="1" t="n">
        <x:v>6</x:v>
      </x:c>
      <x:c r="D6179" s="12" t="n">
        <x:v>0</x:v>
      </x:c>
      <x:c r="E6179" s="12" t="n">
        <x:v>0.27591666666666664</x:v>
      </x:c>
      <x:c r="F6179" s="12" t="n">
        <x:v>0.27558333333333335</x:v>
      </x:c>
      <x:c r="G6179" s="12" t="n">
        <x:v>0</x:v>
      </x:c>
      <x:c r="H6179" s="1" t="n">
        <x:f>'Historical prices'!E6179</x:f>
        <x:v>1.05</x:v>
      </x:c>
      <x:c r="I6179" s="6" t="n">
        <x:f>'Historical prices'!D6179</x:f>
        <x:v>0.2619</x:v>
      </x:c>
      <x:c r="J6179" s="13" t="n">
        <x:f>D6179*I6179*H6179</x:f>
        <x:v>0</x:v>
      </x:c>
      <x:c r="K6179" s="13" t="n">
        <x:f>E6179*I6179*H6179</x:f>
        <x:v>0.07587570375</x:v>
      </x:c>
      <x:c r="L6179" s="1" t="str">
        <x:f>TEXT(A6179,"mmm yyyy")</x:f>
        <x:v>Sep 2026</x:v>
      </x:c>
    </x:row>
    <x:row r="6180" ht="21" customHeight="1">
      <x:c r="A6180" s="10" t="n">
        <x:v>46277</x:v>
      </x:c>
      <x:c r="B6180" s="1" t="n">
        <x:v>6</x:v>
      </x:c>
      <x:c r="C6180" s="1" t="n">
        <x:v>6</x:v>
      </x:c>
      <x:c r="D6180" s="12" t="n">
        <x:v>0</x:v>
      </x:c>
      <x:c r="E6180" s="12" t="n">
        <x:v>0.2589166666666667</x:v>
      </x:c>
      <x:c r="F6180" s="12" t="n">
        <x:v>0.2585</x:v>
      </x:c>
      <x:c r="G6180" s="12" t="n">
        <x:v>0</x:v>
      </x:c>
      <x:c r="H6180" s="1" t="n">
        <x:f>'Historical prices'!E6180</x:f>
        <x:v>1.05</x:v>
      </x:c>
      <x:c r="I6180" s="6" t="n">
        <x:f>'Historical prices'!D6180</x:f>
        <x:v>0.25379999999999997</x:v>
      </x:c>
      <x:c r="J6180" s="13" t="n">
        <x:f>D6180*I6180*H6180</x:f>
        <x:v>0</x:v>
      </x:c>
      <x:c r="K6180" s="13" t="n">
        <x:f>E6180*I6180*H6180</x:f>
        <x:v>0.0689987025</x:v>
      </x:c>
      <x:c r="L6180" s="1" t="str">
        <x:f>TEXT(A6180,"mmm yyyy")</x:f>
        <x:v>Sep 2026</x:v>
      </x:c>
    </x:row>
    <x:row r="6181" ht="21" customHeight="1">
      <x:c r="A6181" s="10" t="n">
        <x:v>46277</x:v>
      </x:c>
      <x:c r="B6181" s="1" t="n">
        <x:v>6.5</x:v>
      </x:c>
      <x:c r="C6181" s="1" t="n">
        <x:v>6</x:v>
      </x:c>
      <x:c r="D6181" s="12" t="n">
        <x:v>0</x:v>
      </x:c>
      <x:c r="E6181" s="12" t="n">
        <x:v>0.25558333333333333</x:v>
      </x:c>
      <x:c r="F6181" s="12" t="n">
        <x:v>0.25533333333333336</x:v>
      </x:c>
      <x:c r="G6181" s="12" t="n">
        <x:v>0</x:v>
      </x:c>
      <x:c r="H6181" s="1" t="n">
        <x:f>'Historical prices'!E6181</x:f>
        <x:v>1.05</x:v>
      </x:c>
      <x:c r="I6181" s="6" t="n">
        <x:f>'Historical prices'!D6181</x:f>
        <x:v>0.25379999999999997</x:v>
      </x:c>
      <x:c r="J6181" s="13" t="n">
        <x:f>D6181*I6181*H6181</x:f>
        <x:v>0</x:v>
      </x:c>
      <x:c r="K6181" s="13" t="n">
        <x:f>E6181*I6181*H6181</x:f>
        <x:v>0.0681104025</x:v>
      </x:c>
      <x:c r="L6181" s="1" t="str">
        <x:f>TEXT(A6181,"mmm yyyy")</x:f>
        <x:v>Sep 2026</x:v>
      </x:c>
    </x:row>
    <x:row r="6182" ht="21" customHeight="1">
      <x:c r="A6182" s="10" t="n">
        <x:v>46277</x:v>
      </x:c>
      <x:c r="B6182" s="1" t="n">
        <x:v>7</x:v>
      </x:c>
      <x:c r="C6182" s="1" t="n">
        <x:v>6</x:v>
      </x:c>
      <x:c r="D6182" s="12" t="n">
        <x:v>0</x:v>
      </x:c>
      <x:c r="E6182" s="12" t="n">
        <x:v>0.32125000000000004</x:v>
      </x:c>
      <x:c r="F6182" s="12" t="n">
        <x:v>0.32075</x:v>
      </x:c>
      <x:c r="G6182" s="12" t="n">
        <x:v>0</x:v>
      </x:c>
      <x:c r="H6182" s="1" t="n">
        <x:f>'Historical prices'!E6182</x:f>
        <x:v>1.05</x:v>
      </x:c>
      <x:c r="I6182" s="6" t="n">
        <x:f>'Historical prices'!D6182</x:f>
        <x:v>0.243</x:v>
      </x:c>
      <x:c r="J6182" s="13" t="n">
        <x:f>D6182*I6182*H6182</x:f>
        <x:v>0</x:v>
      </x:c>
      <x:c r="K6182" s="13" t="n">
        <x:f>E6182*I6182*H6182</x:f>
        <x:v>0.0819669375</x:v>
      </x:c>
      <x:c r="L6182" s="1" t="str">
        <x:f>TEXT(A6182,"mmm yyyy")</x:f>
        <x:v>Sep 2026</x:v>
      </x:c>
    </x:row>
    <x:row r="6183" ht="21" customHeight="1">
      <x:c r="A6183" s="10" t="n">
        <x:v>46277</x:v>
      </x:c>
      <x:c r="B6183" s="1" t="n">
        <x:v>7.5</x:v>
      </x:c>
      <x:c r="C6183" s="1" t="n">
        <x:v>6</x:v>
      </x:c>
      <x:c r="D6183" s="12" t="n">
        <x:v>0</x:v>
      </x:c>
      <x:c r="E6183" s="12" t="n">
        <x:v>0.28025</x:v>
      </x:c>
      <x:c r="F6183" s="12" t="n">
        <x:v>0.2795</x:v>
      </x:c>
      <x:c r="G6183" s="12" t="n">
        <x:v>0</x:v>
      </x:c>
      <x:c r="H6183" s="1" t="n">
        <x:f>'Historical prices'!E6183</x:f>
        <x:v>1.05</x:v>
      </x:c>
      <x:c r="I6183" s="6" t="n">
        <x:f>'Historical prices'!D6183</x:f>
        <x:v>0.2375</x:v>
      </x:c>
      <x:c r="J6183" s="13" t="n">
        <x:f>D6183*I6183*H6183</x:f>
        <x:v>0</x:v>
      </x:c>
      <x:c r="K6183" s="13" t="n">
        <x:f>E6183*I6183*H6183</x:f>
        <x:v>0.06988734375</x:v>
      </x:c>
      <x:c r="L6183" s="1" t="str">
        <x:f>TEXT(A6183,"mmm yyyy")</x:f>
        <x:v>Sep 2026</x:v>
      </x:c>
    </x:row>
    <x:row r="6184" ht="21" customHeight="1">
      <x:c r="A6184" s="10" t="n">
        <x:v>46277</x:v>
      </x:c>
      <x:c r="B6184" s="1" t="n">
        <x:v>8</x:v>
      </x:c>
      <x:c r="C6184" s="1" t="n">
        <x:v>6</x:v>
      </x:c>
      <x:c r="D6184" s="12" t="n">
        <x:v>0</x:v>
      </x:c>
      <x:c r="E6184" s="12" t="n">
        <x:v>0.26749999999999996</x:v>
      </x:c>
      <x:c r="F6184" s="12" t="n">
        <x:v>0.26691666666666664</x:v>
      </x:c>
      <x:c r="G6184" s="12" t="n">
        <x:v>0</x:v>
      </x:c>
      <x:c r="H6184" s="1" t="n">
        <x:f>'Historical prices'!E6184</x:f>
        <x:v>1.05</x:v>
      </x:c>
      <x:c r="I6184" s="6" t="n">
        <x:f>'Historical prices'!D6184</x:f>
        <x:v>0.1946</x:v>
      </x:c>
      <x:c r="J6184" s="13" t="n">
        <x:f>D6184*I6184*H6184</x:f>
        <x:v>0</x:v>
      </x:c>
      <x:c r="K6184" s="13" t="n">
        <x:f>E6184*I6184*H6184</x:f>
        <x:v>0.05465827499999999</x:v>
      </x:c>
      <x:c r="L6184" s="1" t="str">
        <x:f>TEXT(A6184,"mmm yyyy")</x:f>
        <x:v>Sep 2026</x:v>
      </x:c>
    </x:row>
    <x:row r="6185" ht="21" customHeight="1">
      <x:c r="A6185" s="10" t="n">
        <x:v>46277</x:v>
      </x:c>
      <x:c r="B6185" s="1" t="n">
        <x:v>8.5</x:v>
      </x:c>
      <x:c r="C6185" s="1" t="n">
        <x:v>6</x:v>
      </x:c>
      <x:c r="D6185" s="12" t="n">
        <x:v>0</x:v>
      </x:c>
      <x:c r="E6185" s="12" t="n">
        <x:v>0.26525</x:v>
      </x:c>
      <x:c r="F6185" s="12" t="n">
        <x:v>0.2644166666666667</x:v>
      </x:c>
      <x:c r="G6185" s="12" t="n">
        <x:v>0</x:v>
      </x:c>
      <x:c r="H6185" s="1" t="n">
        <x:f>'Historical prices'!E6185</x:f>
        <x:v>1.05</x:v>
      </x:c>
      <x:c r="I6185" s="6" t="n">
        <x:f>'Historical prices'!D6185</x:f>
        <x:v>0.1805</x:v>
      </x:c>
      <x:c r="J6185" s="13" t="n">
        <x:f>D6185*I6185*H6185</x:f>
        <x:v>0</x:v>
      </x:c>
      <x:c r="K6185" s="13" t="n">
        <x:f>E6185*I6185*H6185</x:f>
        <x:v>0.05027150624999999</x:v>
      </x:c>
      <x:c r="L6185" s="1" t="str">
        <x:f>TEXT(A6185,"mmm yyyy")</x:f>
        <x:v>Sep 2026</x:v>
      </x:c>
    </x:row>
    <x:row r="6186" ht="21" customHeight="1">
      <x:c r="A6186" s="10" t="n">
        <x:v>46277</x:v>
      </x:c>
      <x:c r="B6186" s="1" t="n">
        <x:v>9</x:v>
      </x:c>
      <x:c r="C6186" s="1" t="n">
        <x:v>6</x:v>
      </x:c>
      <x:c r="D6186" s="12" t="n">
        <x:v>0</x:v>
      </x:c>
      <x:c r="E6186" s="12" t="n">
        <x:v>0.26999999999999996</x:v>
      </x:c>
      <x:c r="F6186" s="12" t="n">
        <x:v>0.26949999999999996</x:v>
      </x:c>
      <x:c r="G6186" s="12" t="n">
        <x:v>0</x:v>
      </x:c>
      <x:c r="H6186" s="1" t="n">
        <x:f>'Historical prices'!E6186</x:f>
        <x:v>1.05</x:v>
      </x:c>
      <x:c r="I6186" s="6" t="n">
        <x:f>'Historical prices'!D6186</x:f>
        <x:v>0.1052</x:v>
      </x:c>
      <x:c r="J6186" s="13" t="n">
        <x:f>D6186*I6186*H6186</x:f>
        <x:v>0</x:v>
      </x:c>
      <x:c r="K6186" s="13" t="n">
        <x:f>E6186*I6186*H6186</x:f>
        <x:v>0.029824199999999995</x:v>
      </x:c>
      <x:c r="L6186" s="1" t="str">
        <x:f>TEXT(A6186,"mmm yyyy")</x:f>
        <x:v>Sep 2026</x:v>
      </x:c>
    </x:row>
    <x:row r="6187" ht="21" customHeight="1">
      <x:c r="A6187" s="10" t="n">
        <x:v>46277</x:v>
      </x:c>
      <x:c r="B6187" s="1" t="n">
        <x:v>9.5</x:v>
      </x:c>
      <x:c r="C6187" s="1" t="n">
        <x:v>6</x:v>
      </x:c>
      <x:c r="D6187" s="12" t="n">
        <x:v>0</x:v>
      </x:c>
      <x:c r="E6187" s="12" t="n">
        <x:v>0.25033333333333335</x:v>
      </x:c>
      <x:c r="F6187" s="12" t="n">
        <x:v>0.24475000000000002</x:v>
      </x:c>
      <x:c r="G6187" s="12" t="n">
        <x:v>0</x:v>
      </x:c>
      <x:c r="H6187" s="1" t="n">
        <x:f>'Historical prices'!E6187</x:f>
        <x:v>1.05</x:v>
      </x:c>
      <x:c r="I6187" s="6" t="n">
        <x:f>'Historical prices'!D6187</x:f>
        <x:v>0.0552</x:v>
      </x:c>
      <x:c r="J6187" s="13" t="n">
        <x:f>D6187*I6187*H6187</x:f>
        <x:v>0</x:v>
      </x:c>
      <x:c r="K6187" s="13" t="n">
        <x:f>E6187*I6187*H6187</x:f>
        <x:v>0.014509320000000003</x:v>
      </x:c>
      <x:c r="L6187" s="1" t="str">
        <x:f>TEXT(A6187,"mmm yyyy")</x:f>
        <x:v>Sep 2026</x:v>
      </x:c>
    </x:row>
    <x:row r="6188" ht="21" customHeight="1">
      <x:c r="A6188" s="10" t="n">
        <x:v>46277</x:v>
      </x:c>
      <x:c r="B6188" s="1" t="n">
        <x:v>10</x:v>
      </x:c>
      <x:c r="C6188" s="1" t="n">
        <x:v>6</x:v>
      </x:c>
      <x:c r="D6188" s="12" t="n">
        <x:v>0</x:v>
      </x:c>
      <x:c r="E6188" s="12" t="n">
        <x:v>0.29716666666666663</x:v>
      </x:c>
      <x:c r="F6188" s="12" t="n">
        <x:v>0.29533333333333334</x:v>
      </x:c>
      <x:c r="G6188" s="12" t="n">
        <x:v>0</x:v>
      </x:c>
      <x:c r="H6188" s="1" t="n">
        <x:f>'Historical prices'!E6188</x:f>
        <x:v>1.05</x:v>
      </x:c>
      <x:c r="I6188" s="6" t="n">
        <x:f>'Historical prices'!D6188</x:f>
        <x:v>-0.0017000000000000001</x:v>
      </x:c>
      <x:c r="J6188" s="13" t="n">
        <x:f>D6188*I6188*H6188</x:f>
        <x:v>0</x:v>
      </x:c>
      <x:c r="K6188" s="13" t="n">
        <x:f>E6188*I6188*H6188</x:f>
        <x:v>-0.0005304425000000001</x:v>
      </x:c>
      <x:c r="L6188" s="1" t="str">
        <x:f>TEXT(A6188,"mmm yyyy")</x:f>
        <x:v>Sep 2026</x:v>
      </x:c>
    </x:row>
    <x:row r="6189" ht="21" customHeight="1">
      <x:c r="A6189" s="10" t="n">
        <x:v>46277</x:v>
      </x:c>
      <x:c r="B6189" s="1" t="n">
        <x:v>10.5</x:v>
      </x:c>
      <x:c r="C6189" s="1" t="n">
        <x:v>6</x:v>
      </x:c>
      <x:c r="D6189" s="12" t="n">
        <x:v>3.6822500000000007</x:v>
      </x:c>
      <x:c r="E6189" s="12" t="n">
        <x:v>0.4984166666666667</x:v>
      </x:c>
      <x:c r="F6189" s="12" t="n">
        <x:v>0.045</x:v>
      </x:c>
      <x:c r="G6189" s="12" t="n">
        <x:v>3.229</x:v>
      </x:c>
      <x:c r="H6189" s="1" t="n">
        <x:f>'Historical prices'!E6189</x:f>
        <x:v>1.05</x:v>
      </x:c>
      <x:c r="I6189" s="6" t="n">
        <x:f>'Historical prices'!D6189</x:f>
        <x:v>-0.019799999999999998</x:v>
      </x:c>
      <x:c r="J6189" s="13" t="n">
        <x:f>D6189*I6189*H6189</x:f>
        <x:v>-0.07655397750000001</x:v>
      </x:c>
      <x:c r="K6189" s="13" t="n">
        <x:f>E6189*I6189*H6189</x:f>
        <x:v>-0.0103620825</x:v>
      </x:c>
      <x:c r="L6189" s="1" t="str">
        <x:f>TEXT(A6189,"mmm yyyy")</x:f>
        <x:v>Sep 2026</x:v>
      </x:c>
    </x:row>
    <x:row r="6190" ht="21" customHeight="1">
      <x:c r="A6190" s="10" t="n">
        <x:v>46277</x:v>
      </x:c>
      <x:c r="B6190" s="1" t="n">
        <x:v>11</x:v>
      </x:c>
      <x:c r="C6190" s="1" t="n">
        <x:v>6</x:v>
      </x:c>
      <x:c r="D6190" s="12" t="n">
        <x:v>4.504249999999999</x:v>
      </x:c>
      <x:c r="E6190" s="12" t="n">
        <x:v>0.48424999999999996</x:v>
      </x:c>
      <x:c r="F6190" s="12" t="n">
        <x:v>0</x:v>
      </x:c>
      <x:c r="G6190" s="12" t="n">
        <x:v>4.0200000000000005</x:v>
      </x:c>
      <x:c r="H6190" s="1" t="n">
        <x:f>'Historical prices'!E6190</x:f>
        <x:v>1.05</x:v>
      </x:c>
      <x:c r="I6190" s="6" t="n">
        <x:f>'Historical prices'!D6190</x:f>
        <x:v>-0.025</x:v>
      </x:c>
      <x:c r="J6190" s="13" t="n">
        <x:f>D6190*I6190*H6190</x:f>
        <x:v>-0.11823656249999998</x:v>
      </x:c>
      <x:c r="K6190" s="13" t="n">
        <x:f>E6190*I6190*H6190</x:f>
        <x:v>-0.012711562499999999</x:v>
      </x:c>
      <x:c r="L6190" s="1" t="str">
        <x:f>TEXT(A6190,"mmm yyyy")</x:f>
        <x:v>Sep 2026</x:v>
      </x:c>
    </x:row>
    <x:row r="6191" ht="21" customHeight="1">
      <x:c r="A6191" s="10" t="n">
        <x:v>46277</x:v>
      </x:c>
      <x:c r="B6191" s="1" t="n">
        <x:v>11.5</x:v>
      </x:c>
      <x:c r="C6191" s="1" t="n">
        <x:v>6</x:v>
      </x:c>
      <x:c r="D6191" s="12" t="n">
        <x:v>4.8629999999999995</x:v>
      </x:c>
      <x:c r="E6191" s="12" t="n">
        <x:v>0.524</x:v>
      </x:c>
      <x:c r="F6191" s="12" t="n">
        <x:v>0</x:v>
      </x:c>
      <x:c r="G6191" s="12" t="n">
        <x:v>4.339</x:v>
      </x:c>
      <x:c r="H6191" s="1" t="n">
        <x:f>'Historical prices'!E6191</x:f>
        <x:v>1.05</x:v>
      </x:c>
      <x:c r="I6191" s="6" t="n">
        <x:f>'Historical prices'!D6191</x:f>
        <x:v>-0.025</x:v>
      </x:c>
      <x:c r="J6191" s="13" t="n">
        <x:f>D6191*I6191*H6191</x:f>
        <x:v>-0.12765374999999998</x:v>
      </x:c>
      <x:c r="K6191" s="13" t="n">
        <x:f>E6191*I6191*H6191</x:f>
        <x:v>-0.013755000000000002</x:v>
      </x:c>
      <x:c r="L6191" s="1" t="str">
        <x:f>TEXT(A6191,"mmm yyyy")</x:f>
        <x:v>Sep 2026</x:v>
      </x:c>
    </x:row>
    <x:row r="6192" ht="21" customHeight="1">
      <x:c r="A6192" s="10" t="n">
        <x:v>46277</x:v>
      </x:c>
      <x:c r="B6192" s="1" t="n">
        <x:v>12</x:v>
      </x:c>
      <x:c r="C6192" s="1" t="n">
        <x:v>6</x:v>
      </x:c>
      <x:c r="D6192" s="12" t="n">
        <x:v>4.256499999999999</x:v>
      </x:c>
      <x:c r="E6192" s="12" t="n">
        <x:v>0.45450000000000007</x:v>
      </x:c>
      <x:c r="F6192" s="12" t="n">
        <x:v>0</x:v>
      </x:c>
      <x:c r="G6192" s="12" t="n">
        <x:v>3.802</x:v>
      </x:c>
      <x:c r="H6192" s="1" t="n">
        <x:f>'Historical prices'!E6192</x:f>
        <x:v>1.05</x:v>
      </x:c>
      <x:c r="I6192" s="6" t="n">
        <x:f>'Historical prices'!D6192</x:f>
        <x:v>-0.025</x:v>
      </x:c>
      <x:c r="J6192" s="13" t="n">
        <x:f>D6192*I6192*H6192</x:f>
        <x:v>-0.11173312499999999</x:v>
      </x:c>
      <x:c r="K6192" s="13" t="n">
        <x:f>E6192*I6192*H6192</x:f>
        <x:v>-0.011930625000000004</x:v>
      </x:c>
      <x:c r="L6192" s="1" t="str">
        <x:f>TEXT(A6192,"mmm yyyy")</x:f>
        <x:v>Sep 2026</x:v>
      </x:c>
    </x:row>
    <x:row r="6193" ht="21" customHeight="1">
      <x:c r="A6193" s="10" t="n">
        <x:v>46277</x:v>
      </x:c>
      <x:c r="B6193" s="1" t="n">
        <x:v>12.5</x:v>
      </x:c>
      <x:c r="C6193" s="1" t="n">
        <x:v>6</x:v>
      </x:c>
      <x:c r="D6193" s="12" t="n">
        <x:v>0.9785</x:v>
      </x:c>
      <x:c r="E6193" s="12" t="n">
        <x:v>0.2255</x:v>
      </x:c>
      <x:c r="F6193" s="12" t="n">
        <x:v>0</x:v>
      </x:c>
      <x:c r="G6193" s="12" t="n">
        <x:v>0.753</x:v>
      </x:c>
      <x:c r="H6193" s="1" t="n">
        <x:f>'Historical prices'!E6193</x:f>
        <x:v>1.05</x:v>
      </x:c>
      <x:c r="I6193" s="6" t="n">
        <x:f>'Historical prices'!D6193</x:f>
        <x:v>-0.025</x:v>
      </x:c>
      <x:c r="J6193" s="13" t="n">
        <x:f>D6193*I6193*H6193</x:f>
        <x:v>-0.025685625000000004</x:v>
      </x:c>
      <x:c r="K6193" s="13" t="n">
        <x:f>E6193*I6193*H6193</x:f>
        <x:v>-0.005919375</x:v>
      </x:c>
      <x:c r="L6193" s="1" t="str">
        <x:f>TEXT(A6193,"mmm yyyy")</x:f>
        <x:v>Sep 2026</x:v>
      </x:c>
    </x:row>
    <x:row r="6194" ht="21" customHeight="1">
      <x:c r="A6194" s="10" t="n">
        <x:v>46277</x:v>
      </x:c>
      <x:c r="B6194" s="1" t="n">
        <x:v>13</x:v>
      </x:c>
      <x:c r="C6194" s="1" t="n">
        <x:v>6</x:v>
      </x:c>
      <x:c r="D6194" s="12" t="n">
        <x:v>0.20575000000000002</x:v>
      </x:c>
      <x:c r="E6194" s="12" t="n">
        <x:v>0.21275000000000002</x:v>
      </x:c>
      <x:c r="F6194" s="12" t="n">
        <x:v>0</x:v>
      </x:c>
      <x:c r="G6194" s="12" t="n">
        <x:v>0</x:v>
      </x:c>
      <x:c r="H6194" s="1" t="n">
        <x:f>'Historical prices'!E6194</x:f>
        <x:v>1.05</x:v>
      </x:c>
      <x:c r="I6194" s="6" t="n">
        <x:f>'Historical prices'!D6194</x:f>
        <x:v>-0.0226</x:v>
      </x:c>
      <x:c r="J6194" s="13" t="n">
        <x:f>D6194*I6194*H6194</x:f>
        <x:v>-0.0048824475</x:v>
      </x:c>
      <x:c r="K6194" s="13" t="n">
        <x:f>E6194*I6194*H6194</x:f>
        <x:v>-0.005048557500000001</x:v>
      </x:c>
      <x:c r="L6194" s="1" t="str">
        <x:f>TEXT(A6194,"mmm yyyy")</x:f>
        <x:v>Sep 2026</x:v>
      </x:c>
    </x:row>
    <x:row r="6195" ht="21" customHeight="1">
      <x:c r="A6195" s="10" t="n">
        <x:v>46277</x:v>
      </x:c>
      <x:c r="B6195" s="1" t="n">
        <x:v>13.5</x:v>
      </x:c>
      <x:c r="C6195" s="1" t="n">
        <x:v>6</x:v>
      </x:c>
      <x:c r="D6195" s="12" t="n">
        <x:v>0.18399999999999997</x:v>
      </x:c>
      <x:c r="E6195" s="12" t="n">
        <x:v>0.19499999999999998</x:v>
      </x:c>
      <x:c r="F6195" s="12" t="n">
        <x:v>0</x:v>
      </x:c>
      <x:c r="G6195" s="12" t="n">
        <x:v>0</x:v>
      </x:c>
      <x:c r="H6195" s="1" t="n">
        <x:f>'Historical prices'!E6195</x:f>
        <x:v>1.05</x:v>
      </x:c>
      <x:c r="I6195" s="6" t="n">
        <x:f>'Historical prices'!D6195</x:f>
        <x:v>-0.0187</x:v>
      </x:c>
      <x:c r="J6195" s="13" t="n">
        <x:f>D6195*I6195*H6195</x:f>
        <x:v>-0.0036128399999999995</x:v>
      </x:c>
      <x:c r="K6195" s="13" t="n">
        <x:f>E6195*I6195*H6195</x:f>
        <x:v>-0.003828825</x:v>
      </x:c>
      <x:c r="L6195" s="1" t="str">
        <x:f>TEXT(A6195,"mmm yyyy")</x:f>
        <x:v>Sep 2026</x:v>
      </x:c>
    </x:row>
    <x:row r="6196" ht="21" customHeight="1">
      <x:c r="A6196" s="10" t="n">
        <x:v>46277</x:v>
      </x:c>
      <x:c r="B6196" s="1" t="n">
        <x:v>14</x:v>
      </x:c>
      <x:c r="C6196" s="1" t="n">
        <x:v>6</x:v>
      </x:c>
      <x:c r="D6196" s="12" t="n">
        <x:v>0.15</x:v>
      </x:c>
      <x:c r="E6196" s="12" t="n">
        <x:v>0.16099999999999998</x:v>
      </x:c>
      <x:c r="F6196" s="12" t="n">
        <x:v>0</x:v>
      </x:c>
      <x:c r="G6196" s="12" t="n">
        <x:v>0</x:v>
      </x:c>
      <x:c r="H6196" s="1" t="n">
        <x:f>'Historical prices'!E6196</x:f>
        <x:v>1.05</x:v>
      </x:c>
      <x:c r="I6196" s="6" t="n">
        <x:f>'Historical prices'!D6196</x:f>
        <x:v>-0.0143</x:v>
      </x:c>
      <x:c r="J6196" s="13" t="n">
        <x:f>D6196*I6196*H6196</x:f>
        <x:v>-0.00225225</x:v>
      </x:c>
      <x:c r="K6196" s="13" t="n">
        <x:f>E6196*I6196*H6196</x:f>
        <x:v>-0.002417415</x:v>
      </x:c>
      <x:c r="L6196" s="1" t="str">
        <x:f>TEXT(A6196,"mmm yyyy")</x:f>
        <x:v>Sep 2026</x:v>
      </x:c>
    </x:row>
    <x:row r="6197" ht="21" customHeight="1">
      <x:c r="A6197" s="10" t="n">
        <x:v>46277</x:v>
      </x:c>
      <x:c r="B6197" s="1" t="n">
        <x:v>14.5</x:v>
      </x:c>
      <x:c r="C6197" s="1" t="n">
        <x:v>6</x:v>
      </x:c>
      <x:c r="D6197" s="12" t="n">
        <x:v>0.02375</x:v>
      </x:c>
      <x:c r="E6197" s="12" t="n">
        <x:v>0.24566666666666664</x:v>
      </x:c>
      <x:c r="F6197" s="12" t="n">
        <x:v>0.21925</x:v>
      </x:c>
      <x:c r="G6197" s="12" t="n">
        <x:v>0</x:v>
      </x:c>
      <x:c r="H6197" s="1" t="n">
        <x:f>'Historical prices'!E6197</x:f>
        <x:v>1.05</x:v>
      </x:c>
      <x:c r="I6197" s="6" t="n">
        <x:f>'Historical prices'!D6197</x:f>
        <x:v>0.0168</x:v>
      </x:c>
      <x:c r="J6197" s="13" t="n">
        <x:f>D6197*I6197*H6197</x:f>
        <x:v>0.00041895</x:v>
      </x:c>
      <x:c r="K6197" s="13" t="n">
        <x:f>E6197*I6197*H6197</x:f>
        <x:v>0.004333559999999999</x:v>
      </x:c>
      <x:c r="L6197" s="1" t="str">
        <x:f>TEXT(A6197,"mmm yyyy")</x:f>
        <x:v>Sep 2026</x:v>
      </x:c>
    </x:row>
    <x:row r="6198" ht="21" customHeight="1">
      <x:c r="A6198" s="10" t="n">
        <x:v>46277</x:v>
      </x:c>
      <x:c r="B6198" s="1" t="n">
        <x:v>15</x:v>
      </x:c>
      <x:c r="C6198" s="1" t="n">
        <x:v>6</x:v>
      </x:c>
      <x:c r="D6198" s="12" t="n">
        <x:v>0</x:v>
      </x:c>
      <x:c r="E6198" s="12" t="n">
        <x:v>0.2971666666666667</x:v>
      </x:c>
      <x:c r="F6198" s="12" t="n">
        <x:v>0.29666666666666663</x:v>
      </x:c>
      <x:c r="G6198" s="12" t="n">
        <x:v>0</x:v>
      </x:c>
      <x:c r="H6198" s="1" t="n">
        <x:f>'Historical prices'!E6198</x:f>
        <x:v>1.05</x:v>
      </x:c>
      <x:c r="I6198" s="6" t="n">
        <x:f>'Historical prices'!D6198</x:f>
        <x:v>-0.0046</x:v>
      </x:c>
      <x:c r="J6198" s="13" t="n">
        <x:f>D6198*I6198*H6198</x:f>
        <x:v>0</x:v>
      </x:c>
      <x:c r="K6198" s="13" t="n">
        <x:f>E6198*I6198*H6198</x:f>
        <x:v>-0.0014353150000000002</x:v>
      </x:c>
      <x:c r="L6198" s="1" t="str">
        <x:f>TEXT(A6198,"mmm yyyy")</x:f>
        <x:v>Sep 2026</x:v>
      </x:c>
    </x:row>
    <x:row r="6199" ht="21" customHeight="1">
      <x:c r="A6199" s="10" t="n">
        <x:v>46277</x:v>
      </x:c>
      <x:c r="B6199" s="1" t="n">
        <x:v>15.5</x:v>
      </x:c>
      <x:c r="C6199" s="1" t="n">
        <x:v>6</x:v>
      </x:c>
      <x:c r="D6199" s="12" t="n">
        <x:v>0</x:v>
      </x:c>
      <x:c r="E6199" s="12" t="n">
        <x:v>0.24083333333333334</x:v>
      </x:c>
      <x:c r="F6199" s="12" t="n">
        <x:v>0.2401666666666667</x:v>
      </x:c>
      <x:c r="G6199" s="12" t="n">
        <x:v>0</x:v>
      </x:c>
      <x:c r="H6199" s="1" t="n">
        <x:f>'Historical prices'!E6199</x:f>
        <x:v>1.05</x:v>
      </x:c>
      <x:c r="I6199" s="6" t="n">
        <x:f>'Historical prices'!D6199</x:f>
        <x:v>0.0642</x:v>
      </x:c>
      <x:c r="J6199" s="13" t="n">
        <x:f>D6199*I6199*H6199</x:f>
        <x:v>0</x:v>
      </x:c>
      <x:c r="K6199" s="13" t="n">
        <x:f>E6199*I6199*H6199</x:f>
        <x:v>0.016234575</x:v>
      </x:c>
      <x:c r="L6199" s="1" t="str">
        <x:f>TEXT(A6199,"mmm yyyy")</x:f>
        <x:v>Sep 2026</x:v>
      </x:c>
    </x:row>
    <x:row r="6200" ht="21" customHeight="1">
      <x:c r="A6200" s="10" t="n">
        <x:v>46277</x:v>
      </x:c>
      <x:c r="B6200" s="1" t="n">
        <x:v>16</x:v>
      </x:c>
      <x:c r="C6200" s="1" t="n">
        <x:v>6</x:v>
      </x:c>
      <x:c r="D6200" s="12" t="n">
        <x:v>1.1679166666666667</x:v>
      </x:c>
      <x:c r="E6200" s="12" t="n">
        <x:v>0.32799999999999996</x:v>
      </x:c>
      <x:c r="F6200" s="12" t="n">
        <x:v>0.039</x:v>
      </x:c>
      <x:c r="G6200" s="12" t="n">
        <x:v>0.8710000000000001</x:v>
      </x:c>
      <x:c r="H6200" s="1" t="n">
        <x:f>'Historical prices'!E6200</x:f>
        <x:v>1.05</x:v>
      </x:c>
      <x:c r="I6200" s="6" t="n">
        <x:f>'Historical prices'!D6200</x:f>
        <x:v>0.2488</x:v>
      </x:c>
      <x:c r="J6200" s="13" t="n">
        <x:f>D6200*I6200*H6200</x:f>
        <x:v>0.30510655000000003</x:v>
      </x:c>
      <x:c r="K6200" s="13" t="n">
        <x:f>E6200*I6200*H6200</x:f>
        <x:v>0.08568671999999998</x:v>
      </x:c>
      <x:c r="L6200" s="1" t="str">
        <x:f>TEXT(A6200,"mmm yyyy")</x:f>
        <x:v>Sep 2026</x:v>
      </x:c>
    </x:row>
    <x:row r="6201" ht="21" customHeight="1">
      <x:c r="A6201" s="10" t="n">
        <x:v>46277</x:v>
      </x:c>
      <x:c r="B6201" s="1" t="n">
        <x:v>16.5</x:v>
      </x:c>
      <x:c r="C6201" s="1" t="n">
        <x:v>6</x:v>
      </x:c>
      <x:c r="D6201" s="12" t="n">
        <x:v>0.17566666666666667</x:v>
      </x:c>
      <x:c r="E6201" s="12" t="n">
        <x:v>0.19066666666666665</x:v>
      </x:c>
      <x:c r="F6201" s="12" t="n">
        <x:v>0</x:v>
      </x:c>
      <x:c r="G6201" s="12" t="n">
        <x:v>0</x:v>
      </x:c>
      <x:c r="H6201" s="1" t="n">
        <x:f>'Historical prices'!E6201</x:f>
        <x:v>1.05</x:v>
      </x:c>
      <x:c r="I6201" s="6" t="n">
        <x:f>'Historical prices'!D6201</x:f>
        <x:v>0.3418</x:v>
      </x:c>
      <x:c r="J6201" s="13" t="n">
        <x:f>D6201*I6201*H6201</x:f>
        <x:v>0.06304501</x:v>
      </x:c>
      <x:c r="K6201" s="13" t="n">
        <x:f>E6201*I6201*H6201</x:f>
        <x:v>0.06842836</x:v>
      </x:c>
      <x:c r="L6201" s="1" t="str">
        <x:f>TEXT(A6201,"mmm yyyy")</x:f>
        <x:v>Sep 2026</x:v>
      </x:c>
    </x:row>
    <x:row r="6202" ht="21" customHeight="1">
      <x:c r="A6202" s="10" t="n">
        <x:v>46277</x:v>
      </x:c>
      <x:c r="B6202" s="1" t="n">
        <x:v>17</x:v>
      </x:c>
      <x:c r="C6202" s="1" t="n">
        <x:v>6</x:v>
      </x:c>
      <x:c r="D6202" s="12" t="n">
        <x:v>0.0245</x:v>
      </x:c>
      <x:c r="E6202" s="12" t="n">
        <x:v>0.21216666666666667</x:v>
      </x:c>
      <x:c r="F6202" s="12" t="n">
        <x:v>0.18650000000000003</x:v>
      </x:c>
      <x:c r="G6202" s="12" t="n">
        <x:v>0</x:v>
      </x:c>
      <x:c r="H6202" s="1" t="n">
        <x:f>'Historical prices'!E6202</x:f>
        <x:v>1.05</x:v>
      </x:c>
      <x:c r="I6202" s="6" t="n">
        <x:f>'Historical prices'!D6202</x:f>
        <x:v>0.4139</x:v>
      </x:c>
      <x:c r="J6202" s="13" t="n">
        <x:f>D6202*I6202*H6202</x:f>
        <x:v>0.0106475775</x:v>
      </x:c>
      <x:c r="K6202" s="13" t="n">
        <x:f>E6202*I6202*H6202</x:f>
        <x:v>0.0922065725</x:v>
      </x:c>
      <x:c r="L6202" s="1" t="str">
        <x:f>TEXT(A6202,"mmm yyyy")</x:f>
        <x:v>Sep 2026</x:v>
      </x:c>
    </x:row>
    <x:row r="6203" ht="21" customHeight="1">
      <x:c r="A6203" s="10" t="n">
        <x:v>46277</x:v>
      </x:c>
      <x:c r="B6203" s="1" t="n">
        <x:v>17.5</x:v>
      </x:c>
      <x:c r="C6203" s="1" t="n">
        <x:v>6</x:v>
      </x:c>
      <x:c r="D6203" s="12" t="n">
        <x:v>0</x:v>
      </x:c>
      <x:c r="E6203" s="12" t="n">
        <x:v>0.259</x:v>
      </x:c>
      <x:c r="F6203" s="12" t="n">
        <x:v>0.25858333333333333</x:v>
      </x:c>
      <x:c r="G6203" s="12" t="n">
        <x:v>0</x:v>
      </x:c>
      <x:c r="H6203" s="1" t="n">
        <x:f>'Historical prices'!E6203</x:f>
        <x:v>1.05</x:v>
      </x:c>
      <x:c r="I6203" s="6" t="n">
        <x:f>'Historical prices'!D6203</x:f>
        <x:v>0.4683</x:v>
      </x:c>
      <x:c r="J6203" s="13" t="n">
        <x:f>D6203*I6203*H6203</x:f>
        <x:v>0</x:v>
      </x:c>
      <x:c r="K6203" s="13" t="n">
        <x:f>E6203*I6203*H6203</x:f>
        <x:v>0.127354185</x:v>
      </x:c>
      <x:c r="L6203" s="1" t="str">
        <x:f>TEXT(A6203,"mmm yyyy")</x:f>
        <x:v>Sep 2026</x:v>
      </x:c>
    </x:row>
    <x:row r="6204" ht="21" customHeight="1">
      <x:c r="A6204" s="10" t="n">
        <x:v>46277</x:v>
      </x:c>
      <x:c r="B6204" s="1" t="n">
        <x:v>18</x:v>
      </x:c>
      <x:c r="C6204" s="1" t="n">
        <x:v>6</x:v>
      </x:c>
      <x:c r="D6204" s="12" t="n">
        <x:v>0</x:v>
      </x:c>
      <x:c r="E6204" s="12" t="n">
        <x:v>0.2604166666666667</x:v>
      </x:c>
      <x:c r="F6204" s="12" t="n">
        <x:v>0.25958333333333333</x:v>
      </x:c>
      <x:c r="G6204" s="12" t="n">
        <x:v>0</x:v>
      </x:c>
      <x:c r="H6204" s="1" t="n">
        <x:f>'Historical prices'!E6204</x:f>
        <x:v>1.05</x:v>
      </x:c>
      <x:c r="I6204" s="6" t="n">
        <x:f>'Historical prices'!D6204</x:f>
        <x:v>0.4586</x:v>
      </x:c>
      <x:c r="J6204" s="13" t="n">
        <x:f>D6204*I6204*H6204</x:f>
        <x:v>0</x:v>
      </x:c>
      <x:c r="K6204" s="13" t="n">
        <x:f>E6204*I6204*H6204</x:f>
        <x:v>0.12539843750000002</x:v>
      </x:c>
      <x:c r="L6204" s="1" t="str">
        <x:f>TEXT(A6204,"mmm yyyy")</x:f>
        <x:v>Sep 2026</x:v>
      </x:c>
    </x:row>
    <x:row r="6205" ht="21" customHeight="1">
      <x:c r="A6205" s="10" t="n">
        <x:v>46277</x:v>
      </x:c>
      <x:c r="B6205" s="1" t="n">
        <x:v>18.5</x:v>
      </x:c>
      <x:c r="C6205" s="1" t="n">
        <x:v>6</x:v>
      </x:c>
      <x:c r="D6205" s="12" t="n">
        <x:v>0</x:v>
      </x:c>
      <x:c r="E6205" s="12" t="n">
        <x:v>0.2391666666666667</x:v>
      </x:c>
      <x:c r="F6205" s="12" t="n">
        <x:v>0.23875</x:v>
      </x:c>
      <x:c r="G6205" s="12" t="n">
        <x:v>0</x:v>
      </x:c>
      <x:c r="H6205" s="1" t="n">
        <x:f>'Historical prices'!E6205</x:f>
        <x:v>1.05</x:v>
      </x:c>
      <x:c r="I6205" s="6" t="n">
        <x:f>'Historical prices'!D6205</x:f>
        <x:v>0.4664</x:v>
      </x:c>
      <x:c r="J6205" s="13" t="n">
        <x:f>D6205*I6205*H6205</x:f>
        <x:v>0</x:v>
      </x:c>
      <x:c r="K6205" s="13" t="n">
        <x:f>E6205*I6205*H6205</x:f>
        <x:v>0.11712470000000001</x:v>
      </x:c>
      <x:c r="L6205" s="1" t="str">
        <x:f>TEXT(A6205,"mmm yyyy")</x:f>
        <x:v>Sep 2026</x:v>
      </x:c>
    </x:row>
    <x:row r="6206" ht="21" customHeight="1">
      <x:c r="A6206" s="10" t="n">
        <x:v>46277</x:v>
      </x:c>
      <x:c r="B6206" s="1" t="n">
        <x:v>19</x:v>
      </x:c>
      <x:c r="C6206" s="1" t="n">
        <x:v>6</x:v>
      </x:c>
      <x:c r="D6206" s="12" t="n">
        <x:v>0.178</x:v>
      </x:c>
      <x:c r="E6206" s="12" t="n">
        <x:v>0.22875</x:v>
      </x:c>
      <x:c r="F6206" s="12" t="n">
        <x:v>0.04075</x:v>
      </x:c>
      <x:c r="G6206" s="12" t="n">
        <x:v>0</x:v>
      </x:c>
      <x:c r="H6206" s="1" t="n">
        <x:f>'Historical prices'!E6206</x:f>
        <x:v>1.05</x:v>
      </x:c>
      <x:c r="I6206" s="6" t="n">
        <x:f>'Historical prices'!D6206</x:f>
        <x:v>0.34</x:v>
      </x:c>
      <x:c r="J6206" s="13" t="n">
        <x:f>D6206*I6206*H6206</x:f>
        <x:v>0.063546</x:v>
      </x:c>
      <x:c r="K6206" s="13" t="n">
        <x:f>E6206*I6206*H6206</x:f>
        <x:v>0.08166375000000002</x:v>
      </x:c>
      <x:c r="L6206" s="1" t="str">
        <x:f>TEXT(A6206,"mmm yyyy")</x:f>
        <x:v>Sep 2026</x:v>
      </x:c>
    </x:row>
    <x:row r="6207" ht="21" customHeight="1">
      <x:c r="A6207" s="10" t="n">
        <x:v>46277</x:v>
      </x:c>
      <x:c r="B6207" s="1" t="n">
        <x:v>19.5</x:v>
      </x:c>
      <x:c r="C6207" s="1" t="n">
        <x:v>6</x:v>
      </x:c>
      <x:c r="D6207" s="12" t="n">
        <x:v>0.24725000000000003</x:v>
      </x:c>
      <x:c r="E6207" s="12" t="n">
        <x:v>0.25825</x:v>
      </x:c>
      <x:c r="F6207" s="12" t="n">
        <x:v>0</x:v>
      </x:c>
      <x:c r="G6207" s="12" t="n">
        <x:v>0</x:v>
      </x:c>
      <x:c r="H6207" s="1" t="n">
        <x:f>'Historical prices'!E6207</x:f>
        <x:v>1.05</x:v>
      </x:c>
      <x:c r="I6207" s="6" t="n">
        <x:f>'Historical prices'!D6207</x:f>
        <x:v>0.3532</x:v>
      </x:c>
      <x:c r="J6207" s="13" t="n">
        <x:f>D6207*I6207*H6207</x:f>
        <x:v>0.09169513500000001</x:v>
      </x:c>
      <x:c r="K6207" s="13" t="n">
        <x:f>E6207*I6207*H6207</x:f>
        <x:v>0.095774595</x:v>
      </x:c>
      <x:c r="L6207" s="1" t="str">
        <x:f>TEXT(A6207,"mmm yyyy")</x:f>
        <x:v>Sep 2026</x:v>
      </x:c>
    </x:row>
    <x:row r="6208" ht="21" customHeight="1">
      <x:c r="A6208" s="10" t="n">
        <x:v>46277</x:v>
      </x:c>
      <x:c r="B6208" s="1" t="n">
        <x:v>20</x:v>
      </x:c>
      <x:c r="C6208" s="1" t="n">
        <x:v>6</x:v>
      </x:c>
      <x:c r="D6208" s="12" t="n">
        <x:v>0.1995</x:v>
      </x:c>
      <x:c r="E6208" s="12" t="n">
        <x:v>0.21050000000000002</x:v>
      </x:c>
      <x:c r="F6208" s="12" t="n">
        <x:v>0</x:v>
      </x:c>
      <x:c r="G6208" s="12" t="n">
        <x:v>0</x:v>
      </x:c>
      <x:c r="H6208" s="1" t="n">
        <x:f>'Historical prices'!E6208</x:f>
        <x:v>1.05</x:v>
      </x:c>
      <x:c r="I6208" s="6" t="n">
        <x:f>'Historical prices'!D6208</x:f>
        <x:v>0.35119999999999996</x:v>
      </x:c>
      <x:c r="J6208" s="13" t="n">
        <x:f>D6208*I6208*H6208</x:f>
        <x:v>0.07356762</x:v>
      </x:c>
      <x:c r="K6208" s="13" t="n">
        <x:f>E6208*I6208*H6208</x:f>
        <x:v>0.07762398</x:v>
      </x:c>
      <x:c r="L6208" s="1" t="str">
        <x:f>TEXT(A6208,"mmm yyyy")</x:f>
        <x:v>Sep 2026</x:v>
      </x:c>
    </x:row>
    <x:row r="6209" ht="21" customHeight="1">
      <x:c r="A6209" s="10" t="n">
        <x:v>46277</x:v>
      </x:c>
      <x:c r="B6209" s="1" t="n">
        <x:v>20.5</x:v>
      </x:c>
      <x:c r="C6209" s="1" t="n">
        <x:v>6</x:v>
      </x:c>
      <x:c r="D6209" s="12" t="n">
        <x:v>0.253</x:v>
      </x:c>
      <x:c r="E6209" s="12" t="n">
        <x:v>0.263</x:v>
      </x:c>
      <x:c r="F6209" s="12" t="n">
        <x:v>0</x:v>
      </x:c>
      <x:c r="G6209" s="12" t="n">
        <x:v>0</x:v>
      </x:c>
      <x:c r="H6209" s="1" t="n">
        <x:f>'Historical prices'!E6209</x:f>
        <x:v>1.05</x:v>
      </x:c>
      <x:c r="I6209" s="6" t="n">
        <x:f>'Historical prices'!D6209</x:f>
        <x:v>0.3446</x:v>
      </x:c>
      <x:c r="J6209" s="13" t="n">
        <x:f>D6209*I6209*H6209</x:f>
        <x:v>0.09154299</x:v>
      </x:c>
      <x:c r="K6209" s="13" t="n">
        <x:f>E6209*I6209*H6209</x:f>
        <x:v>0.09516129000000001</x:v>
      </x:c>
      <x:c r="L6209" s="1" t="str">
        <x:f>TEXT(A6209,"mmm yyyy")</x:f>
        <x:v>Sep 2026</x:v>
      </x:c>
    </x:row>
    <x:row r="6210" ht="21" customHeight="1">
      <x:c r="A6210" s="10" t="n">
        <x:v>46277</x:v>
      </x:c>
      <x:c r="B6210" s="1" t="n">
        <x:v>21</x:v>
      </x:c>
      <x:c r="C6210" s="1" t="n">
        <x:v>6</x:v>
      </x:c>
      <x:c r="D6210" s="12" t="n">
        <x:v>0.25975</x:v>
      </x:c>
      <x:c r="E6210" s="12" t="n">
        <x:v>0.26975</x:v>
      </x:c>
      <x:c r="F6210" s="12" t="n">
        <x:v>0</x:v>
      </x:c>
      <x:c r="G6210" s="12" t="n">
        <x:v>0</x:v>
      </x:c>
      <x:c r="H6210" s="1" t="n">
        <x:f>'Historical prices'!E6210</x:f>
        <x:v>1.05</x:v>
      </x:c>
      <x:c r="I6210" s="6" t="n">
        <x:f>'Historical prices'!D6210</x:f>
        <x:v>0.3435</x:v>
      </x:c>
      <x:c r="J6210" s="13" t="n">
        <x:f>D6210*I6210*H6210</x:f>
        <x:v>0.09368533125</x:v>
      </x:c>
      <x:c r="K6210" s="13" t="n">
        <x:f>E6210*I6210*H6210</x:f>
        <x:v>0.09729208125000001</x:v>
      </x:c>
      <x:c r="L6210" s="1" t="str">
        <x:f>TEXT(A6210,"mmm yyyy")</x:f>
        <x:v>Sep 2026</x:v>
      </x:c>
    </x:row>
    <x:row r="6211" ht="21" customHeight="1">
      <x:c r="A6211" s="10" t="n">
        <x:v>46277</x:v>
      </x:c>
      <x:c r="B6211" s="1" t="n">
        <x:v>21.5</x:v>
      </x:c>
      <x:c r="C6211" s="1" t="n">
        <x:v>6</x:v>
      </x:c>
      <x:c r="D6211" s="12" t="n">
        <x:v>0.23475000000000001</x:v>
      </x:c>
      <x:c r="E6211" s="12" t="n">
        <x:v>0.24575000000000002</x:v>
      </x:c>
      <x:c r="F6211" s="12" t="n">
        <x:v>0</x:v>
      </x:c>
      <x:c r="G6211" s="12" t="n">
        <x:v>0</x:v>
      </x:c>
      <x:c r="H6211" s="1" t="n">
        <x:f>'Historical prices'!E6211</x:f>
        <x:v>1.05</x:v>
      </x:c>
      <x:c r="I6211" s="6" t="n">
        <x:f>'Historical prices'!D6211</x:f>
        <x:v>0.34990000000000004</x:v>
      </x:c>
      <x:c r="J6211" s="13" t="n">
        <x:f>D6211*I6211*H6211</x:f>
        <x:v>0.08624597625000002</x:v>
      </x:c>
      <x:c r="K6211" s="13" t="n">
        <x:f>E6211*I6211*H6211</x:f>
        <x:v>0.09028732125000002</x:v>
      </x:c>
      <x:c r="L6211" s="1" t="str">
        <x:f>TEXT(A6211,"mmm yyyy")</x:f>
        <x:v>Sep 2026</x:v>
      </x:c>
    </x:row>
    <x:row r="6212" ht="21" customHeight="1">
      <x:c r="A6212" s="10" t="n">
        <x:v>46277</x:v>
      </x:c>
      <x:c r="B6212" s="1" t="n">
        <x:v>22</x:v>
      </x:c>
      <x:c r="C6212" s="1" t="n">
        <x:v>6</x:v>
      </x:c>
      <x:c r="D6212" s="12" t="n">
        <x:v>0.188</x:v>
      </x:c>
      <x:c r="E6212" s="12" t="n">
        <x:v>0.198</x:v>
      </x:c>
      <x:c r="F6212" s="12" t="n">
        <x:v>0</x:v>
      </x:c>
      <x:c r="G6212" s="12" t="n">
        <x:v>0</x:v>
      </x:c>
      <x:c r="H6212" s="1" t="n">
        <x:f>'Historical prices'!E6212</x:f>
        <x:v>1.05</x:v>
      </x:c>
      <x:c r="I6212" s="6" t="n">
        <x:f>'Historical prices'!D6212</x:f>
        <x:v>0.33399999999999996</x:v>
      </x:c>
      <x:c r="J6212" s="13" t="n">
        <x:f>D6212*I6212*H6212</x:f>
        <x:v>0.06593159999999999</x:v>
      </x:c>
      <x:c r="K6212" s="13" t="n">
        <x:f>E6212*I6212*H6212</x:f>
        <x:v>0.0694386</x:v>
      </x:c>
      <x:c r="L6212" s="1" t="str">
        <x:f>TEXT(A6212,"mmm yyyy")</x:f>
        <x:v>Sep 2026</x:v>
      </x:c>
    </x:row>
    <x:row r="6213" ht="21" customHeight="1">
      <x:c r="A6213" s="10" t="n">
        <x:v>46277</x:v>
      </x:c>
      <x:c r="B6213" s="1" t="n">
        <x:v>22.5</x:v>
      </x:c>
      <x:c r="C6213" s="1" t="n">
        <x:v>6</x:v>
      </x:c>
      <x:c r="D6213" s="12" t="n">
        <x:v>0.21600000000000003</x:v>
      </x:c>
      <x:c r="E6213" s="12" t="n">
        <x:v>0.227</x:v>
      </x:c>
      <x:c r="F6213" s="12" t="n">
        <x:v>0</x:v>
      </x:c>
      <x:c r="G6213" s="12" t="n">
        <x:v>0</x:v>
      </x:c>
      <x:c r="H6213" s="1" t="n">
        <x:f>'Historical prices'!E6213</x:f>
        <x:v>1.05</x:v>
      </x:c>
      <x:c r="I6213" s="6" t="n">
        <x:f>'Historical prices'!D6213</x:f>
        <x:v>0.3119</x:v>
      </x:c>
      <x:c r="J6213" s="13" t="n">
        <x:f>D6213*I6213*H6213</x:f>
        <x:v>0.07073892000000001</x:v>
      </x:c>
      <x:c r="K6213" s="13" t="n">
        <x:f>E6213*I6213*H6213</x:f>
        <x:v>0.07434136500000002</x:v>
      </x:c>
      <x:c r="L6213" s="1" t="str">
        <x:f>TEXT(A6213,"mmm yyyy")</x:f>
        <x:v>Sep 2026</x:v>
      </x:c>
    </x:row>
    <x:row r="6214" ht="21" customHeight="1">
      <x:c r="A6214" s="10" t="n">
        <x:v>46277</x:v>
      </x:c>
      <x:c r="B6214" s="1" t="n">
        <x:v>23</x:v>
      </x:c>
      <x:c r="C6214" s="1" t="n">
        <x:v>6</x:v>
      </x:c>
      <x:c r="D6214" s="12" t="n">
        <x:v>0.21</x:v>
      </x:c>
      <x:c r="E6214" s="12" t="n">
        <x:v>0.221</x:v>
      </x:c>
      <x:c r="F6214" s="12" t="n">
        <x:v>0</x:v>
      </x:c>
      <x:c r="G6214" s="12" t="n">
        <x:v>0</x:v>
      </x:c>
      <x:c r="H6214" s="1" t="n">
        <x:f>'Historical prices'!E6214</x:f>
        <x:v>1.05</x:v>
      </x:c>
      <x:c r="I6214" s="6" t="n">
        <x:f>'Historical prices'!D6214</x:f>
        <x:v>0.303</x:v>
      </x:c>
      <x:c r="J6214" s="13" t="n">
        <x:f>D6214*I6214*H6214</x:f>
        <x:v>0.0668115</x:v>
      </x:c>
      <x:c r="K6214" s="13" t="n">
        <x:f>E6214*I6214*H6214</x:f>
        <x:v>0.07031115</x:v>
      </x:c>
      <x:c r="L6214" s="1" t="str">
        <x:f>TEXT(A6214,"mmm yyyy")</x:f>
        <x:v>Sep 2026</x:v>
      </x:c>
    </x:row>
    <x:row r="6215" ht="21" customHeight="1">
      <x:c r="A6215" s="10" t="n">
        <x:v>46277</x:v>
      </x:c>
      <x:c r="B6215" s="1" t="n">
        <x:v>23.5</x:v>
      </x:c>
      <x:c r="C6215" s="1" t="n">
        <x:v>6</x:v>
      </x:c>
      <x:c r="D6215" s="12" t="n">
        <x:v>0.17775</x:v>
      </x:c>
      <x:c r="E6215" s="12" t="n">
        <x:v>0.18675</x:v>
      </x:c>
      <x:c r="F6215" s="12" t="n">
        <x:v>0</x:v>
      </x:c>
      <x:c r="G6215" s="12" t="n">
        <x:v>0</x:v>
      </x:c>
      <x:c r="H6215" s="1" t="n">
        <x:f>'Historical prices'!E6215</x:f>
        <x:v>1.05</x:v>
      </x:c>
      <x:c r="I6215" s="6" t="n">
        <x:f>'Historical prices'!D6215</x:f>
        <x:v>0.30260000000000004</x:v>
      </x:c>
      <x:c r="J6215" s="13" t="n">
        <x:f>D6215*I6215*H6215</x:f>
        <x:v>0.05647650750000001</x:v>
      </x:c>
      <x:c r="K6215" s="13" t="n">
        <x:f>E6215*I6215*H6215</x:f>
        <x:v>0.05933607750000001</x:v>
      </x:c>
      <x:c r="L6215" s="1" t="str">
        <x:f>TEXT(A6215,"mmm yyyy")</x:f>
        <x:v>Sep 2026</x:v>
      </x:c>
    </x:row>
    <x:row r="6216" ht="21" customHeight="1">
      <x:c r="A6216" s="10" t="n">
        <x:v>46278</x:v>
      </x:c>
      <x:c r="B6216" s="1" t="n">
        <x:v>0</x:v>
      </x:c>
      <x:c r="C6216" s="1" t="n">
        <x:v>6</x:v>
      </x:c>
      <x:c r="D6216" s="12" t="n">
        <x:v>0.18375</x:v>
      </x:c>
      <x:c r="E6216" s="12" t="n">
        <x:v>0.19475</x:v>
      </x:c>
      <x:c r="F6216" s="12" t="n">
        <x:v>0</x:v>
      </x:c>
      <x:c r="G6216" s="12" t="n">
        <x:v>0</x:v>
      </x:c>
      <x:c r="H6216" s="1" t="n">
        <x:f>'Historical prices'!E6216</x:f>
        <x:v>1.05</x:v>
      </x:c>
      <x:c r="I6216" s="6" t="n">
        <x:f>'Historical prices'!D6216</x:f>
        <x:v>0.304</x:v>
      </x:c>
      <x:c r="J6216" s="13" t="n">
        <x:f>D6216*I6216*H6216</x:f>
        <x:v>0.058653000000000004</x:v>
      </x:c>
      <x:c r="K6216" s="13" t="n">
        <x:f>E6216*I6216*H6216</x:f>
        <x:v>0.0621642</x:v>
      </x:c>
      <x:c r="L6216" s="1" t="str">
        <x:f>TEXT(A6216,"mmm yyyy")</x:f>
        <x:v>Sep 2026</x:v>
      </x:c>
    </x:row>
    <x:row r="6217" ht="21" customHeight="1">
      <x:c r="A6217" s="10" t="n">
        <x:v>46278</x:v>
      </x:c>
      <x:c r="B6217" s="1" t="n">
        <x:v>0.5</x:v>
      </x:c>
      <x:c r="C6217" s="1" t="n">
        <x:v>6</x:v>
      </x:c>
      <x:c r="D6217" s="12" t="n">
        <x:v>0.23775000000000002</x:v>
      </x:c>
      <x:c r="E6217" s="12" t="n">
        <x:v>0.24875</x:v>
      </x:c>
      <x:c r="F6217" s="12" t="n">
        <x:v>0</x:v>
      </x:c>
      <x:c r="G6217" s="12" t="n">
        <x:v>0</x:v>
      </x:c>
      <x:c r="H6217" s="1" t="n">
        <x:f>'Historical prices'!E6217</x:f>
        <x:v>1.05</x:v>
      </x:c>
      <x:c r="I6217" s="6" t="n">
        <x:f>'Historical prices'!D6217</x:f>
        <x:v>0.2969</x:v>
      </x:c>
      <x:c r="J6217" s="13" t="n">
        <x:f>D6217*I6217*H6217</x:f>
        <x:v>0.07411737375000002</x:v>
      </x:c>
      <x:c r="K6217" s="13" t="n">
        <x:f>E6217*I6217*H6217</x:f>
        <x:v>0.07754656875</x:v>
      </x:c>
      <x:c r="L6217" s="1" t="str">
        <x:f>TEXT(A6217,"mmm yyyy")</x:f>
        <x:v>Sep 2026</x:v>
      </x:c>
    </x:row>
    <x:row r="6218" ht="21" customHeight="1">
      <x:c r="A6218" s="10" t="n">
        <x:v>46278</x:v>
      </x:c>
      <x:c r="B6218" s="1" t="n">
        <x:v>1</x:v>
      </x:c>
      <x:c r="C6218" s="1" t="n">
        <x:v>6</x:v>
      </x:c>
      <x:c r="D6218" s="12" t="n">
        <x:v>1.4427500000000002</x:v>
      </x:c>
      <x:c r="E6218" s="12" t="n">
        <x:v>0.27675</x:v>
      </x:c>
      <x:c r="F6218" s="12" t="n">
        <x:v>0</x:v>
      </x:c>
      <x:c r="G6218" s="12" t="n">
        <x:v>1.1660000000000001</x:v>
      </x:c>
      <x:c r="H6218" s="1" t="n">
        <x:f>'Historical prices'!E6218</x:f>
        <x:v>1.05</x:v>
      </x:c>
      <x:c r="I6218" s="6" t="n">
        <x:f>'Historical prices'!D6218</x:f>
        <x:v>0.2926</x:v>
      </x:c>
      <x:c r="J6218" s="13" t="n">
        <x:f>D6218*I6218*H6218</x:f>
        <x:v>0.4432560825000001</x:v>
      </x:c>
      <x:c r="K6218" s="13" t="n">
        <x:f>E6218*I6218*H6218</x:f>
        <x:v>0.08502590250000001</x:v>
      </x:c>
      <x:c r="L6218" s="1" t="str">
        <x:f>TEXT(A6218,"mmm yyyy")</x:f>
        <x:v>Sep 2026</x:v>
      </x:c>
    </x:row>
    <x:row r="6219" ht="21" customHeight="1">
      <x:c r="A6219" s="10" t="n">
        <x:v>46278</x:v>
      </x:c>
      <x:c r="B6219" s="1" t="n">
        <x:v>1.5</x:v>
      </x:c>
      <x:c r="C6219" s="1" t="n">
        <x:v>6</x:v>
      </x:c>
      <x:c r="D6219" s="12" t="n">
        <x:v>0.23225</x:v>
      </x:c>
      <x:c r="E6219" s="12" t="n">
        <x:v>0.23625000000000002</x:v>
      </x:c>
      <x:c r="F6219" s="12" t="n">
        <x:v>0</x:v>
      </x:c>
      <x:c r="G6219" s="12" t="n">
        <x:v>0</x:v>
      </x:c>
      <x:c r="H6219" s="1" t="n">
        <x:f>'Historical prices'!E6219</x:f>
        <x:v>1.05</x:v>
      </x:c>
      <x:c r="I6219" s="6" t="n">
        <x:f>'Historical prices'!D6219</x:f>
        <x:v>0.2944</x:v>
      </x:c>
      <x:c r="J6219" s="13" t="n">
        <x:f>D6219*I6219*H6219</x:f>
        <x:v>0.07179312</x:v>
      </x:c>
      <x:c r="K6219" s="13" t="n">
        <x:f>E6219*I6219*H6219</x:f>
        <x:v>0.0730296</x:v>
      </x:c>
      <x:c r="L6219" s="1" t="str">
        <x:f>TEXT(A6219,"mmm yyyy")</x:f>
        <x:v>Sep 2026</x:v>
      </x:c>
    </x:row>
    <x:row r="6220" ht="21" customHeight="1">
      <x:c r="A6220" s="10" t="n">
        <x:v>46278</x:v>
      </x:c>
      <x:c r="B6220" s="1" t="n">
        <x:v>2</x:v>
      </x:c>
      <x:c r="C6220" s="1" t="n">
        <x:v>6</x:v>
      </x:c>
      <x:c r="D6220" s="12" t="n">
        <x:v>0.172</x:v>
      </x:c>
      <x:c r="E6220" s="12" t="n">
        <x:v>0.181</x:v>
      </x:c>
      <x:c r="F6220" s="12" t="n">
        <x:v>0</x:v>
      </x:c>
      <x:c r="G6220" s="12" t="n">
        <x:v>0</x:v>
      </x:c>
      <x:c r="H6220" s="1" t="n">
        <x:f>'Historical prices'!E6220</x:f>
        <x:v>1.05</x:v>
      </x:c>
      <x:c r="I6220" s="6" t="n">
        <x:f>'Historical prices'!D6220</x:f>
        <x:v>0.2973</x:v>
      </x:c>
      <x:c r="J6220" s="13" t="n">
        <x:f>D6220*I6220*H6220</x:f>
        <x:v>0.05369238</x:v>
      </x:c>
      <x:c r="K6220" s="13" t="n">
        <x:f>E6220*I6220*H6220</x:f>
        <x:v>0.056501865</x:v>
      </x:c>
      <x:c r="L6220" s="1" t="str">
        <x:f>TEXT(A6220,"mmm yyyy")</x:f>
        <x:v>Sep 2026</x:v>
      </x:c>
    </x:row>
    <x:row r="6221" ht="21" customHeight="1">
      <x:c r="A6221" s="10" t="n">
        <x:v>46278</x:v>
      </x:c>
      <x:c r="B6221" s="1" t="n">
        <x:v>2.5</x:v>
      </x:c>
      <x:c r="C6221" s="1" t="n">
        <x:v>6</x:v>
      </x:c>
      <x:c r="D6221" s="12" t="n">
        <x:v>0.15525</x:v>
      </x:c>
      <x:c r="E6221" s="12" t="n">
        <x:v>0.16625</x:v>
      </x:c>
      <x:c r="F6221" s="12" t="n">
        <x:v>0</x:v>
      </x:c>
      <x:c r="G6221" s="12" t="n">
        <x:v>0</x:v>
      </x:c>
      <x:c r="H6221" s="1" t="n">
        <x:f>'Historical prices'!E6221</x:f>
        <x:v>1.05</x:v>
      </x:c>
      <x:c r="I6221" s="6" t="n">
        <x:f>'Historical prices'!D6221</x:f>
        <x:v>0.2934</x:v>
      </x:c>
      <x:c r="J6221" s="13" t="n">
        <x:f>D6221*I6221*H6221</x:f>
        <x:v>0.047827867499999996</x:v>
      </x:c>
      <x:c r="K6221" s="13" t="n">
        <x:f>E6221*I6221*H6221</x:f>
        <x:v>0.0512166375</x:v>
      </x:c>
      <x:c r="L6221" s="1" t="str">
        <x:f>TEXT(A6221,"mmm yyyy")</x:f>
        <x:v>Sep 2026</x:v>
      </x:c>
    </x:row>
    <x:row r="6222" ht="21" customHeight="1">
      <x:c r="A6222" s="10" t="n">
        <x:v>46278</x:v>
      </x:c>
      <x:c r="B6222" s="1" t="n">
        <x:v>3</x:v>
      </x:c>
      <x:c r="C6222" s="1" t="n">
        <x:v>6</x:v>
      </x:c>
      <x:c r="D6222" s="12" t="n">
        <x:v>0.24225000000000002</x:v>
      </x:c>
      <x:c r="E6222" s="12" t="n">
        <x:v>0.25425000000000003</x:v>
      </x:c>
      <x:c r="F6222" s="12" t="n">
        <x:v>0</x:v>
      </x:c>
      <x:c r="G6222" s="12" t="n">
        <x:v>0</x:v>
      </x:c>
      <x:c r="H6222" s="1" t="n">
        <x:f>'Historical prices'!E6222</x:f>
        <x:v>1.05</x:v>
      </x:c>
      <x:c r="I6222" s="6" t="n">
        <x:f>'Historical prices'!D6222</x:f>
        <x:v>0.2965</x:v>
      </x:c>
      <x:c r="J6222" s="13" t="n">
        <x:f>D6222*I6222*H6222</x:f>
        <x:v>0.07541848125</x:v>
      </x:c>
      <x:c r="K6222" s="13" t="n">
        <x:f>E6222*I6222*H6222</x:f>
        <x:v>0.07915438125000002</x:v>
      </x:c>
      <x:c r="L6222" s="1" t="str">
        <x:f>TEXT(A6222,"mmm yyyy")</x:f>
        <x:v>Sep 2026</x:v>
      </x:c>
    </x:row>
    <x:row r="6223" ht="21" customHeight="1">
      <x:c r="A6223" s="10" t="n">
        <x:v>46278</x:v>
      </x:c>
      <x:c r="B6223" s="1" t="n">
        <x:v>3.5</x:v>
      </x:c>
      <x:c r="C6223" s="1" t="n">
        <x:v>6</x:v>
      </x:c>
      <x:c r="D6223" s="12" t="n">
        <x:v>0.20299999999999999</x:v>
      </x:c>
      <x:c r="E6223" s="12" t="n">
        <x:v>0.213</x:v>
      </x:c>
      <x:c r="F6223" s="12" t="n">
        <x:v>0</x:v>
      </x:c>
      <x:c r="G6223" s="12" t="n">
        <x:v>0</x:v>
      </x:c>
      <x:c r="H6223" s="1" t="n">
        <x:f>'Historical prices'!E6223</x:f>
        <x:v>1.05</x:v>
      </x:c>
      <x:c r="I6223" s="6" t="n">
        <x:f>'Historical prices'!D6223</x:f>
        <x:v>0.2942</x:v>
      </x:c>
      <x:c r="J6223" s="13" t="n">
        <x:f>D6223*I6223*H6223</x:f>
        <x:v>0.06270873</x:v>
      </x:c>
      <x:c r="K6223" s="13" t="n">
        <x:f>E6223*I6223*H6223</x:f>
        <x:v>0.06579783</x:v>
      </x:c>
      <x:c r="L6223" s="1" t="str">
        <x:f>TEXT(A6223,"mmm yyyy")</x:f>
        <x:v>Sep 2026</x:v>
      </x:c>
    </x:row>
    <x:row r="6224" ht="21" customHeight="1">
      <x:c r="A6224" s="10" t="n">
        <x:v>46278</x:v>
      </x:c>
      <x:c r="B6224" s="1" t="n">
        <x:v>4</x:v>
      </x:c>
      <x:c r="C6224" s="1" t="n">
        <x:v>6</x:v>
      </x:c>
      <x:c r="D6224" s="12" t="n">
        <x:v>0.1455</x:v>
      </x:c>
      <x:c r="E6224" s="12" t="n">
        <x:v>0.1565</x:v>
      </x:c>
      <x:c r="F6224" s="12" t="n">
        <x:v>0</x:v>
      </x:c>
      <x:c r="G6224" s="12" t="n">
        <x:v>0</x:v>
      </x:c>
      <x:c r="H6224" s="1" t="n">
        <x:f>'Historical prices'!E6224</x:f>
        <x:v>1.05</x:v>
      </x:c>
      <x:c r="I6224" s="6" t="n">
        <x:f>'Historical prices'!D6224</x:f>
        <x:v>0.30260000000000004</x:v>
      </x:c>
      <x:c r="J6224" s="13" t="n">
        <x:f>D6224*I6224*H6224</x:f>
        <x:v>0.046229715000000005</x:v>
      </x:c>
      <x:c r="K6224" s="13" t="n">
        <x:f>E6224*I6224*H6224</x:f>
        <x:v>0.04972474500000001</x:v>
      </x:c>
      <x:c r="L6224" s="1" t="str">
        <x:f>TEXT(A6224,"mmm yyyy")</x:f>
        <x:v>Sep 2026</x:v>
      </x:c>
    </x:row>
    <x:row r="6225" ht="21" customHeight="1">
      <x:c r="A6225" s="10" t="n">
        <x:v>46278</x:v>
      </x:c>
      <x:c r="B6225" s="1" t="n">
        <x:v>4.5</x:v>
      </x:c>
      <x:c r="C6225" s="1" t="n">
        <x:v>6</x:v>
      </x:c>
      <x:c r="D6225" s="12" t="n">
        <x:v>0.20275</x:v>
      </x:c>
      <x:c r="E6225" s="12" t="n">
        <x:v>0.21275000000000002</x:v>
      </x:c>
      <x:c r="F6225" s="12" t="n">
        <x:v>0</x:v>
      </x:c>
      <x:c r="G6225" s="12" t="n">
        <x:v>0</x:v>
      </x:c>
      <x:c r="H6225" s="1" t="n">
        <x:f>'Historical prices'!E6225</x:f>
        <x:v>1.05</x:v>
      </x:c>
      <x:c r="I6225" s="6" t="n">
        <x:f>'Historical prices'!D6225</x:f>
        <x:v>0.30010000000000003</x:v>
      </x:c>
      <x:c r="J6225" s="13" t="n">
        <x:f>D6225*I6225*H6225</x:f>
        <x:v>0.06388753875000001</x:v>
      </x:c>
      <x:c r="K6225" s="13" t="n">
        <x:f>E6225*I6225*H6225</x:f>
        <x:v>0.06703858875000002</x:v>
      </x:c>
      <x:c r="L6225" s="1" t="str">
        <x:f>TEXT(A6225,"mmm yyyy")</x:f>
        <x:v>Sep 2026</x:v>
      </x:c>
    </x:row>
    <x:row r="6226" ht="21" customHeight="1">
      <x:c r="A6226" s="10" t="n">
        <x:v>46278</x:v>
      </x:c>
      <x:c r="B6226" s="1" t="n">
        <x:v>5</x:v>
      </x:c>
      <x:c r="C6226" s="1" t="n">
        <x:v>6</x:v>
      </x:c>
      <x:c r="D6226" s="12" t="n">
        <x:v>0.30500000000000005</x:v>
      </x:c>
      <x:c r="E6226" s="12" t="n">
        <x:v>0.31499999999999995</x:v>
      </x:c>
      <x:c r="F6226" s="12" t="n">
        <x:v>0</x:v>
      </x:c>
      <x:c r="G6226" s="12" t="n">
        <x:v>0</x:v>
      </x:c>
      <x:c r="H6226" s="1" t="n">
        <x:f>'Historical prices'!E6226</x:f>
        <x:v>1.05</x:v>
      </x:c>
      <x:c r="I6226" s="6" t="n">
        <x:f>'Historical prices'!D6226</x:f>
        <x:v>0.316</x:v>
      </x:c>
      <x:c r="J6226" s="13" t="n">
        <x:f>D6226*I6226*H6226</x:f>
        <x:v>0.10119900000000003</x:v>
      </x:c>
      <x:c r="K6226" s="13" t="n">
        <x:f>E6226*I6226*H6226</x:f>
        <x:v>0.104517</x:v>
      </x:c>
      <x:c r="L6226" s="1" t="str">
        <x:f>TEXT(A6226,"mmm yyyy")</x:f>
        <x:v>Sep 2026</x:v>
      </x:c>
    </x:row>
    <x:row r="6227" ht="21" customHeight="1">
      <x:c r="A6227" s="10" t="n">
        <x:v>46278</x:v>
      </x:c>
      <x:c r="B6227" s="1" t="n">
        <x:v>5.5</x:v>
      </x:c>
      <x:c r="C6227" s="1" t="n">
        <x:v>6</x:v>
      </x:c>
      <x:c r="D6227" s="12" t="n">
        <x:v>0.16649999999999998</x:v>
      </x:c>
      <x:c r="E6227" s="12" t="n">
        <x:v>0.1765</x:v>
      </x:c>
      <x:c r="F6227" s="12" t="n">
        <x:v>0</x:v>
      </x:c>
      <x:c r="G6227" s="12" t="n">
        <x:v>0</x:v>
      </x:c>
      <x:c r="H6227" s="1" t="n">
        <x:f>'Historical prices'!E6227</x:f>
        <x:v>1.05</x:v>
      </x:c>
      <x:c r="I6227" s="6" t="n">
        <x:f>'Historical prices'!D6227</x:f>
        <x:v>0.3043</x:v>
      </x:c>
      <x:c r="J6227" s="13" t="n">
        <x:f>D6227*I6227*H6227</x:f>
        <x:v>0.0531992475</x:v>
      </x:c>
      <x:c r="K6227" s="13" t="n">
        <x:f>E6227*I6227*H6227</x:f>
        <x:v>0.0563943975</x:v>
      </x:c>
      <x:c r="L6227" s="1" t="str">
        <x:f>TEXT(A6227,"mmm yyyy")</x:f>
        <x:v>Sep 2026</x:v>
      </x:c>
    </x:row>
    <x:row r="6228" ht="21" customHeight="1">
      <x:c r="A6228" s="10" t="n">
        <x:v>46278</x:v>
      </x:c>
      <x:c r="B6228" s="1" t="n">
        <x:v>6</x:v>
      </x:c>
      <x:c r="C6228" s="1" t="n">
        <x:v>6</x:v>
      </x:c>
      <x:c r="D6228" s="12" t="n">
        <x:v>0.17925</x:v>
      </x:c>
      <x:c r="E6228" s="12" t="n">
        <x:v>0.19025</x:v>
      </x:c>
      <x:c r="F6228" s="12" t="n">
        <x:v>0</x:v>
      </x:c>
      <x:c r="G6228" s="12" t="n">
        <x:v>0</x:v>
      </x:c>
      <x:c r="H6228" s="1" t="n">
        <x:f>'Historical prices'!E6228</x:f>
        <x:v>1.05</x:v>
      </x:c>
      <x:c r="I6228" s="6" t="n">
        <x:f>'Historical prices'!D6228</x:f>
        <x:v>0.32189999999999996</x:v>
      </x:c>
      <x:c r="J6228" s="13" t="n">
        <x:f>D6228*I6228*H6228</x:f>
        <x:v>0.060585603749999994</x:v>
      </x:c>
      <x:c r="K6228" s="13" t="n">
        <x:f>E6228*I6228*H6228</x:f>
        <x:v>0.06430354875</x:v>
      </x:c>
      <x:c r="L6228" s="1" t="str">
        <x:f>TEXT(A6228,"mmm yyyy")</x:f>
        <x:v>Sep 2026</x:v>
      </x:c>
    </x:row>
    <x:row r="6229" ht="21" customHeight="1">
      <x:c r="A6229" s="10" t="n">
        <x:v>46278</x:v>
      </x:c>
      <x:c r="B6229" s="1" t="n">
        <x:v>6.5</x:v>
      </x:c>
      <x:c r="C6229" s="1" t="n">
        <x:v>6</x:v>
      </x:c>
      <x:c r="D6229" s="12" t="n">
        <x:v>0.20875000000000002</x:v>
      </x:c>
      <x:c r="E6229" s="12" t="n">
        <x:v>0.21975</x:v>
      </x:c>
      <x:c r="F6229" s="12" t="n">
        <x:v>0</x:v>
      </x:c>
      <x:c r="G6229" s="12" t="n">
        <x:v>0</x:v>
      </x:c>
      <x:c r="H6229" s="1" t="n">
        <x:f>'Historical prices'!E6229</x:f>
        <x:v>1.05</x:v>
      </x:c>
      <x:c r="I6229" s="6" t="n">
        <x:f>'Historical prices'!D6229</x:f>
        <x:v>0.3181</x:v>
      </x:c>
      <x:c r="J6229" s="13" t="n">
        <x:f>D6229*I6229*H6229</x:f>
        <x:v>0.06972354375</x:v>
      </x:c>
      <x:c r="K6229" s="13" t="n">
        <x:f>E6229*I6229*H6229</x:f>
        <x:v>0.07339759875000001</x:v>
      </x:c>
      <x:c r="L6229" s="1" t="str">
        <x:f>TEXT(A6229,"mmm yyyy")</x:f>
        <x:v>Sep 2026</x:v>
      </x:c>
    </x:row>
    <x:row r="6230" ht="21" customHeight="1">
      <x:c r="A6230" s="10" t="n">
        <x:v>46278</x:v>
      </x:c>
      <x:c r="B6230" s="1" t="n">
        <x:v>7</x:v>
      </x:c>
      <x:c r="C6230" s="1" t="n">
        <x:v>6</x:v>
      </x:c>
      <x:c r="D6230" s="12" t="n">
        <x:v>0.18825</x:v>
      </x:c>
      <x:c r="E6230" s="12" t="n">
        <x:v>0.19825</x:v>
      </x:c>
      <x:c r="F6230" s="12" t="n">
        <x:v>0</x:v>
      </x:c>
      <x:c r="G6230" s="12" t="n">
        <x:v>0</x:v>
      </x:c>
      <x:c r="H6230" s="1" t="n">
        <x:f>'Historical prices'!E6230</x:f>
        <x:v>1.05</x:v>
      </x:c>
      <x:c r="I6230" s="6" t="n">
        <x:f>'Historical prices'!D6230</x:f>
        <x:v>0.312</x:v>
      </x:c>
      <x:c r="J6230" s="13" t="n">
        <x:f>D6230*I6230*H6230</x:f>
        <x:v>0.0616707</x:v>
      </x:c>
      <x:c r="K6230" s="13" t="n">
        <x:f>E6230*I6230*H6230</x:f>
        <x:v>0.06494670000000001</x:v>
      </x:c>
      <x:c r="L6230" s="1" t="str">
        <x:f>TEXT(A6230,"mmm yyyy")</x:f>
        <x:v>Sep 2026</x:v>
      </x:c>
    </x:row>
    <x:row r="6231" ht="21" customHeight="1">
      <x:c r="A6231" s="10" t="n">
        <x:v>46278</x:v>
      </x:c>
      <x:c r="B6231" s="1" t="n">
        <x:v>7.5</x:v>
      </x:c>
      <x:c r="C6231" s="1" t="n">
        <x:v>6</x:v>
      </x:c>
      <x:c r="D6231" s="12" t="n">
        <x:v>0.1935</x:v>
      </x:c>
      <x:c r="E6231" s="12" t="n">
        <x:v>0.20350000000000001</x:v>
      </x:c>
      <x:c r="F6231" s="12" t="n">
        <x:v>0</x:v>
      </x:c>
      <x:c r="G6231" s="12" t="n">
        <x:v>0</x:v>
      </x:c>
      <x:c r="H6231" s="1" t="n">
        <x:f>'Historical prices'!E6231</x:f>
        <x:v>1.05</x:v>
      </x:c>
      <x:c r="I6231" s="6" t="n">
        <x:f>'Historical prices'!D6231</x:f>
        <x:v>0.2982</x:v>
      </x:c>
      <x:c r="J6231" s="13" t="n">
        <x:f>D6231*I6231*H6231</x:f>
        <x:v>0.06058678500000001</x:v>
      </x:c>
      <x:c r="K6231" s="13" t="n">
        <x:f>E6231*I6231*H6231</x:f>
        <x:v>0.06371788500000002</x:v>
      </x:c>
      <x:c r="L6231" s="1" t="str">
        <x:f>TEXT(A6231,"mmm yyyy")</x:f>
        <x:v>Sep 2026</x:v>
      </x:c>
    </x:row>
    <x:row r="6232" ht="21" customHeight="1">
      <x:c r="A6232" s="10" t="n">
        <x:v>46278</x:v>
      </x:c>
      <x:c r="B6232" s="1" t="n">
        <x:v>8</x:v>
      </x:c>
      <x:c r="C6232" s="1" t="n">
        <x:v>6</x:v>
      </x:c>
      <x:c r="D6232" s="12" t="n">
        <x:v>0.203</x:v>
      </x:c>
      <x:c r="E6232" s="12" t="n">
        <x:v>0.21300000000000002</x:v>
      </x:c>
      <x:c r="F6232" s="12" t="n">
        <x:v>0</x:v>
      </x:c>
      <x:c r="G6232" s="12" t="n">
        <x:v>0</x:v>
      </x:c>
      <x:c r="H6232" s="1" t="n">
        <x:f>'Historical prices'!E6232</x:f>
        <x:v>1.05</x:v>
      </x:c>
      <x:c r="I6232" s="6" t="n">
        <x:f>'Historical prices'!D6232</x:f>
        <x:v>0.304</x:v>
      </x:c>
      <x:c r="J6232" s="13" t="n">
        <x:f>D6232*I6232*H6232</x:f>
        <x:v>0.06479760000000001</x:v>
      </x:c>
      <x:c r="K6232" s="13" t="n">
        <x:f>E6232*I6232*H6232</x:f>
        <x:v>0.06798960000000001</x:v>
      </x:c>
      <x:c r="L6232" s="1" t="str">
        <x:f>TEXT(A6232,"mmm yyyy")</x:f>
        <x:v>Sep 2026</x:v>
      </x:c>
    </x:row>
    <x:row r="6233" ht="21" customHeight="1">
      <x:c r="A6233" s="10" t="n">
        <x:v>46278</x:v>
      </x:c>
      <x:c r="B6233" s="1" t="n">
        <x:v>8.5</x:v>
      </x:c>
      <x:c r="C6233" s="1" t="n">
        <x:v>6</x:v>
      </x:c>
      <x:c r="D6233" s="12" t="n">
        <x:v>0.17075</x:v>
      </x:c>
      <x:c r="E6233" s="12" t="n">
        <x:v>0.18175</x:v>
      </x:c>
      <x:c r="F6233" s="12" t="n">
        <x:v>0</x:v>
      </x:c>
      <x:c r="G6233" s="12" t="n">
        <x:v>0</x:v>
      </x:c>
      <x:c r="H6233" s="1" t="n">
        <x:f>'Historical prices'!E6233</x:f>
        <x:v>1.05</x:v>
      </x:c>
      <x:c r="I6233" s="6" t="n">
        <x:f>'Historical prices'!D6233</x:f>
        <x:v>0.3558</x:v>
      </x:c>
      <x:c r="J6233" s="13" t="n">
        <x:f>D6233*I6233*H6233</x:f>
        <x:v>0.0637904925</x:v>
      </x:c>
      <x:c r="K6233" s="13" t="n">
        <x:f>E6233*I6233*H6233</x:f>
        <x:v>0.0678999825</x:v>
      </x:c>
      <x:c r="L6233" s="1" t="str">
        <x:f>TEXT(A6233,"mmm yyyy")</x:f>
        <x:v>Sep 2026</x:v>
      </x:c>
    </x:row>
    <x:row r="6234" ht="21" customHeight="1">
      <x:c r="A6234" s="10" t="n">
        <x:v>46278</x:v>
      </x:c>
      <x:c r="B6234" s="1" t="n">
        <x:v>9</x:v>
      </x:c>
      <x:c r="C6234" s="1" t="n">
        <x:v>6</x:v>
      </x:c>
      <x:c r="D6234" s="12" t="n">
        <x:v>0.20400000000000001</x:v>
      </x:c>
      <x:c r="E6234" s="12" t="n">
        <x:v>0.21400000000000002</x:v>
      </x:c>
      <x:c r="F6234" s="12" t="n">
        <x:v>0</x:v>
      </x:c>
      <x:c r="G6234" s="12" t="n">
        <x:v>0</x:v>
      </x:c>
      <x:c r="H6234" s="1" t="n">
        <x:f>'Historical prices'!E6234</x:f>
        <x:v>1.05</x:v>
      </x:c>
      <x:c r="I6234" s="6" t="n">
        <x:f>'Historical prices'!D6234</x:f>
        <x:v>0.3586</x:v>
      </x:c>
      <x:c r="J6234" s="13" t="n">
        <x:f>D6234*I6234*H6234</x:f>
        <x:v>0.07681212</x:v>
      </x:c>
      <x:c r="K6234" s="13" t="n">
        <x:f>E6234*I6234*H6234</x:f>
        <x:v>0.08057742</x:v>
      </x:c>
      <x:c r="L6234" s="1" t="str">
        <x:f>TEXT(A6234,"mmm yyyy")</x:f>
        <x:v>Sep 2026</x:v>
      </x:c>
    </x:row>
    <x:row r="6235" ht="21" customHeight="1">
      <x:c r="A6235" s="10" t="n">
        <x:v>46278</x:v>
      </x:c>
      <x:c r="B6235" s="1" t="n">
        <x:v>9.5</x:v>
      </x:c>
      <x:c r="C6235" s="1" t="n">
        <x:v>6</x:v>
      </x:c>
      <x:c r="D6235" s="12" t="n">
        <x:v>0.10825</x:v>
      </x:c>
      <x:c r="E6235" s="12" t="n">
        <x:v>0.33641666666666664</x:v>
      </x:c>
      <x:c r="F6235" s="12" t="n">
        <x:v>0.2255833333333333</x:v>
      </x:c>
      <x:c r="G6235" s="12" t="n">
        <x:v>0</x:v>
      </x:c>
      <x:c r="H6235" s="1" t="n">
        <x:f>'Historical prices'!E6235</x:f>
        <x:v>1.05</x:v>
      </x:c>
      <x:c r="I6235" s="6" t="n">
        <x:f>'Historical prices'!D6235</x:f>
        <x:v>0.3782</x:v>
      </x:c>
      <x:c r="J6235" s="13" t="n">
        <x:f>D6235*I6235*H6235</x:f>
        <x:v>0.0429871575</x:v>
      </x:c>
      <x:c r="K6235" s="13" t="n">
        <x:f>E6235*I6235*H6235</x:f>
        <x:v>0.1335944225</x:v>
      </x:c>
      <x:c r="L6235" s="1" t="str">
        <x:f>TEXT(A6235,"mmm yyyy")</x:f>
        <x:v>Sep 2026</x:v>
      </x:c>
    </x:row>
    <x:row r="6236" ht="21" customHeight="1">
      <x:c r="A6236" s="10" t="n">
        <x:v>46278</x:v>
      </x:c>
      <x:c r="B6236" s="1" t="n">
        <x:v>10</x:v>
      </x:c>
      <x:c r="C6236" s="1" t="n">
        <x:v>6</x:v>
      </x:c>
      <x:c r="D6236" s="12" t="n">
        <x:v>0</x:v>
      </x:c>
      <x:c r="E6236" s="12" t="n">
        <x:v>0.21691666666666665</x:v>
      </x:c>
      <x:c r="F6236" s="12" t="n">
        <x:v>0.21658333333333335</x:v>
      </x:c>
      <x:c r="G6236" s="12" t="n">
        <x:v>0</x:v>
      </x:c>
      <x:c r="H6236" s="1" t="n">
        <x:f>'Historical prices'!E6236</x:f>
        <x:v>1.05</x:v>
      </x:c>
      <x:c r="I6236" s="6" t="n">
        <x:f>'Historical prices'!D6236</x:f>
        <x:v>0.3677</x:v>
      </x:c>
      <x:c r="J6236" s="13" t="n">
        <x:f>D6236*I6236*H6236</x:f>
        <x:v>0</x:v>
      </x:c>
      <x:c r="K6236" s="13" t="n">
        <x:f>E6236*I6236*H6236</x:f>
        <x:v>0.08374827125</x:v>
      </x:c>
      <x:c r="L6236" s="1" t="str">
        <x:f>TEXT(A6236,"mmm yyyy")</x:f>
        <x:v>Sep 2026</x:v>
      </x:c>
    </x:row>
    <x:row r="6237" ht="21" customHeight="1">
      <x:c r="A6237" s="10" t="n">
        <x:v>46278</x:v>
      </x:c>
      <x:c r="B6237" s="1" t="n">
        <x:v>10.5</x:v>
      </x:c>
      <x:c r="C6237" s="1" t="n">
        <x:v>6</x:v>
      </x:c>
      <x:c r="D6237" s="12" t="n">
        <x:v>0.17975000000000002</x:v>
      </x:c>
      <x:c r="E6237" s="12" t="n">
        <x:v>0.22483333333333336</x:v>
      </x:c>
      <x:c r="F6237" s="12" t="n">
        <x:v>0.036</x:v>
      </x:c>
      <x:c r="G6237" s="12" t="n">
        <x:v>0</x:v>
      </x:c>
      <x:c r="H6237" s="1" t="n">
        <x:f>'Historical prices'!E6237</x:f>
        <x:v>1.05</x:v>
      </x:c>
      <x:c r="I6237" s="6" t="n">
        <x:f>'Historical prices'!D6237</x:f>
        <x:v>0.3493</x:v>
      </x:c>
      <x:c r="J6237" s="13" t="n">
        <x:f>D6237*I6237*H6237</x:f>
        <x:v>0.06592600875000001</x:v>
      </x:c>
      <x:c r="K6237" s="13" t="n">
        <x:f>E6237*I6237*H6237</x:f>
        <x:v>0.08246099750000001</x:v>
      </x:c>
      <x:c r="L6237" s="1" t="str">
        <x:f>TEXT(A6237,"mmm yyyy")</x:f>
        <x:v>Sep 2026</x:v>
      </x:c>
    </x:row>
    <x:row r="6238" ht="21" customHeight="1">
      <x:c r="A6238" s="10" t="n">
        <x:v>46278</x:v>
      </x:c>
      <x:c r="B6238" s="1" t="n">
        <x:v>11</x:v>
      </x:c>
      <x:c r="C6238" s="1" t="n">
        <x:v>6</x:v>
      </x:c>
      <x:c r="D6238" s="12" t="n">
        <x:v>0.225</x:v>
      </x:c>
      <x:c r="E6238" s="12" t="n">
        <x:v>0.234</x:v>
      </x:c>
      <x:c r="F6238" s="12" t="n">
        <x:v>0</x:v>
      </x:c>
      <x:c r="G6238" s="12" t="n">
        <x:v>0</x:v>
      </x:c>
      <x:c r="H6238" s="1" t="n">
        <x:f>'Historical prices'!E6238</x:f>
        <x:v>1.05</x:v>
      </x:c>
      <x:c r="I6238" s="6" t="n">
        <x:f>'Historical prices'!D6238</x:f>
        <x:v>0.3267</x:v>
      </x:c>
      <x:c r="J6238" s="13" t="n">
        <x:f>D6238*I6238*H6238</x:f>
        <x:v>0.07718287500000001</x:v>
      </x:c>
      <x:c r="K6238" s="13" t="n">
        <x:f>E6238*I6238*H6238</x:f>
        <x:v>0.08027019</x:v>
      </x:c>
      <x:c r="L6238" s="1" t="str">
        <x:f>TEXT(A6238,"mmm yyyy")</x:f>
        <x:v>Sep 2026</x:v>
      </x:c>
    </x:row>
    <x:row r="6239" ht="21" customHeight="1">
      <x:c r="A6239" s="10" t="n">
        <x:v>46278</x:v>
      </x:c>
      <x:c r="B6239" s="1" t="n">
        <x:v>11.5</x:v>
      </x:c>
      <x:c r="C6239" s="1" t="n">
        <x:v>6</x:v>
      </x:c>
      <x:c r="D6239" s="12" t="n">
        <x:v>0.16249999999999998</x:v>
      </x:c>
      <x:c r="E6239" s="12" t="n">
        <x:v>0.1745</x:v>
      </x:c>
      <x:c r="F6239" s="12" t="n">
        <x:v>0</x:v>
      </x:c>
      <x:c r="G6239" s="12" t="n">
        <x:v>0</x:v>
      </x:c>
      <x:c r="H6239" s="1" t="n">
        <x:f>'Historical prices'!E6239</x:f>
        <x:v>1.05</x:v>
      </x:c>
      <x:c r="I6239" s="6" t="n">
        <x:f>'Historical prices'!D6239</x:f>
        <x:v>0.3332</x:v>
      </x:c>
      <x:c r="J6239" s="13" t="n">
        <x:f>D6239*I6239*H6239</x:f>
        <x:v>0.05685224999999999</x:v>
      </x:c>
      <x:c r="K6239" s="13" t="n">
        <x:f>E6239*I6239*H6239</x:f>
        <x:v>0.06105057</x:v>
      </x:c>
      <x:c r="L6239" s="1" t="str">
        <x:f>TEXT(A6239,"mmm yyyy")</x:f>
        <x:v>Sep 2026</x:v>
      </x:c>
    </x:row>
    <x:row r="6240" ht="21" customHeight="1">
      <x:c r="A6240" s="10" t="n">
        <x:v>46278</x:v>
      </x:c>
      <x:c r="B6240" s="1" t="n">
        <x:v>12</x:v>
      </x:c>
      <x:c r="C6240" s="1" t="n">
        <x:v>6</x:v>
      </x:c>
      <x:c r="D6240" s="12" t="n">
        <x:v>0.14825</x:v>
      </x:c>
      <x:c r="E6240" s="12" t="n">
        <x:v>0.15825</x:v>
      </x:c>
      <x:c r="F6240" s="12" t="n">
        <x:v>0</x:v>
      </x:c>
      <x:c r="G6240" s="12" t="n">
        <x:v>0</x:v>
      </x:c>
      <x:c r="H6240" s="1" t="n">
        <x:f>'Historical prices'!E6240</x:f>
        <x:v>1.05</x:v>
      </x:c>
      <x:c r="I6240" s="6" t="n">
        <x:f>'Historical prices'!D6240</x:f>
        <x:v>0.3439</x:v>
      </x:c>
      <x:c r="J6240" s="13" t="n">
        <x:f>D6240*I6240*H6240</x:f>
        <x:v>0.053532333749999994</x:v>
      </x:c>
      <x:c r="K6240" s="13" t="n">
        <x:f>E6240*I6240*H6240</x:f>
        <x:v>0.057143283749999996</x:v>
      </x:c>
      <x:c r="L6240" s="1" t="str">
        <x:f>TEXT(A6240,"mmm yyyy")</x:f>
        <x:v>Sep 2026</x:v>
      </x:c>
    </x:row>
    <x:row r="6241" ht="21" customHeight="1">
      <x:c r="A6241" s="10" t="n">
        <x:v>46278</x:v>
      </x:c>
      <x:c r="B6241" s="1" t="n">
        <x:v>12.5</x:v>
      </x:c>
      <x:c r="C6241" s="1" t="n">
        <x:v>6</x:v>
      </x:c>
      <x:c r="D6241" s="12" t="n">
        <x:v>0.19475</x:v>
      </x:c>
      <x:c r="E6241" s="12" t="n">
        <x:v>0.20475000000000002</x:v>
      </x:c>
      <x:c r="F6241" s="12" t="n">
        <x:v>0</x:v>
      </x:c>
      <x:c r="G6241" s="12" t="n">
        <x:v>0</x:v>
      </x:c>
      <x:c r="H6241" s="1" t="n">
        <x:f>'Historical prices'!E6241</x:f>
        <x:v>1.05</x:v>
      </x:c>
      <x:c r="I6241" s="6" t="n">
        <x:f>'Historical prices'!D6241</x:f>
        <x:v>0.337</x:v>
      </x:c>
      <x:c r="J6241" s="13" t="n">
        <x:f>D6241*I6241*H6241</x:f>
        <x:v>0.0689122875</x:v>
      </x:c>
      <x:c r="K6241" s="13" t="n">
        <x:f>E6241*I6241*H6241</x:f>
        <x:v>0.07245078750000002</x:v>
      </x:c>
      <x:c r="L6241" s="1" t="str">
        <x:f>TEXT(A6241,"mmm yyyy")</x:f>
        <x:v>Sep 2026</x:v>
      </x:c>
    </x:row>
    <x:row r="6242" ht="21" customHeight="1">
      <x:c r="A6242" s="10" t="n">
        <x:v>46278</x:v>
      </x:c>
      <x:c r="B6242" s="1" t="n">
        <x:v>13</x:v>
      </x:c>
      <x:c r="C6242" s="1" t="n">
        <x:v>6</x:v>
      </x:c>
      <x:c r="D6242" s="12" t="n">
        <x:v>0.20575000000000002</x:v>
      </x:c>
      <x:c r="E6242" s="12" t="n">
        <x:v>0.21675000000000003</x:v>
      </x:c>
      <x:c r="F6242" s="12" t="n">
        <x:v>0</x:v>
      </x:c>
      <x:c r="G6242" s="12" t="n">
        <x:v>0</x:v>
      </x:c>
      <x:c r="H6242" s="1" t="n">
        <x:f>'Historical prices'!E6242</x:f>
        <x:v>1.05</x:v>
      </x:c>
      <x:c r="I6242" s="6" t="n">
        <x:f>'Historical prices'!D6242</x:f>
        <x:v>0.33409999999999995</x:v>
      </x:c>
      <x:c r="J6242" s="13" t="n">
        <x:f>D6242*I6242*H6242</x:f>
        <x:v>0.07217812875</x:v>
      </x:c>
      <x:c r="K6242" s="13" t="n">
        <x:f>E6242*I6242*H6242</x:f>
        <x:v>0.07603698375000001</x:v>
      </x:c>
      <x:c r="L6242" s="1" t="str">
        <x:f>TEXT(A6242,"mmm yyyy")</x:f>
        <x:v>Sep 2026</x:v>
      </x:c>
    </x:row>
    <x:row r="6243" ht="21" customHeight="1">
      <x:c r="A6243" s="10" t="n">
        <x:v>46278</x:v>
      </x:c>
      <x:c r="B6243" s="1" t="n">
        <x:v>13.5</x:v>
      </x:c>
      <x:c r="C6243" s="1" t="n">
        <x:v>6</x:v>
      </x:c>
      <x:c r="D6243" s="12" t="n">
        <x:v>0.252</x:v>
      </x:c>
      <x:c r="E6243" s="12" t="n">
        <x:v>0.262</x:v>
      </x:c>
      <x:c r="F6243" s="12" t="n">
        <x:v>0</x:v>
      </x:c>
      <x:c r="G6243" s="12" t="n">
        <x:v>0</x:v>
      </x:c>
      <x:c r="H6243" s="1" t="n">
        <x:f>'Historical prices'!E6243</x:f>
        <x:v>1.05</x:v>
      </x:c>
      <x:c r="I6243" s="6" t="n">
        <x:f>'Historical prices'!D6243</x:f>
        <x:v>0.32380000000000003</x:v>
      </x:c>
      <x:c r="J6243" s="13" t="n">
        <x:f>D6243*I6243*H6243</x:f>
        <x:v>0.08567748000000001</x:v>
      </x:c>
      <x:c r="K6243" s="13" t="n">
        <x:f>E6243*I6243*H6243</x:f>
        <x:v>0.08907738000000001</x:v>
      </x:c>
      <x:c r="L6243" s="1" t="str">
        <x:f>TEXT(A6243,"mmm yyyy")</x:f>
        <x:v>Sep 2026</x:v>
      </x:c>
    </x:row>
    <x:row r="6244" ht="21" customHeight="1">
      <x:c r="A6244" s="10" t="n">
        <x:v>46278</x:v>
      </x:c>
      <x:c r="B6244" s="1" t="n">
        <x:v>14</x:v>
      </x:c>
      <x:c r="C6244" s="1" t="n">
        <x:v>6</x:v>
      </x:c>
      <x:c r="D6244" s="12" t="n">
        <x:v>0.20400000000000001</x:v>
      </x:c>
      <x:c r="E6244" s="12" t="n">
        <x:v>0.21400000000000002</x:v>
      </x:c>
      <x:c r="F6244" s="12" t="n">
        <x:v>0</x:v>
      </x:c>
      <x:c r="G6244" s="12" t="n">
        <x:v>0</x:v>
      </x:c>
      <x:c r="H6244" s="1" t="n">
        <x:f>'Historical prices'!E6244</x:f>
        <x:v>1.05</x:v>
      </x:c>
      <x:c r="I6244" s="6" t="n">
        <x:f>'Historical prices'!D6244</x:f>
        <x:v>0.3032</x:v>
      </x:c>
      <x:c r="J6244" s="13" t="n">
        <x:f>D6244*I6244*H6244</x:f>
        <x:v>0.06494544000000001</x:v>
      </x:c>
      <x:c r="K6244" s="13" t="n">
        <x:f>E6244*I6244*H6244</x:f>
        <x:v>0.06812904000000002</x:v>
      </x:c>
      <x:c r="L6244" s="1" t="str">
        <x:f>TEXT(A6244,"mmm yyyy")</x:f>
        <x:v>Sep 2026</x:v>
      </x:c>
    </x:row>
    <x:row r="6245" ht="21" customHeight="1">
      <x:c r="A6245" s="10" t="n">
        <x:v>46278</x:v>
      </x:c>
      <x:c r="B6245" s="1" t="n">
        <x:v>14.5</x:v>
      </x:c>
      <x:c r="C6245" s="1" t="n">
        <x:v>6</x:v>
      </x:c>
      <x:c r="D6245" s="12" t="n">
        <x:v>0.18</x:v>
      </x:c>
      <x:c r="E6245" s="12" t="n">
        <x:v>0.191</x:v>
      </x:c>
      <x:c r="F6245" s="12" t="n">
        <x:v>0</x:v>
      </x:c>
      <x:c r="G6245" s="12" t="n">
        <x:v>0</x:v>
      </x:c>
      <x:c r="H6245" s="1" t="n">
        <x:f>'Historical prices'!E6245</x:f>
        <x:v>1.05</x:v>
      </x:c>
      <x:c r="I6245" s="6" t="n">
        <x:f>'Historical prices'!D6245</x:f>
        <x:v>0.3102</x:v>
      </x:c>
      <x:c r="J6245" s="13" t="n">
        <x:f>D6245*I6245*H6245</x:f>
        <x:v>0.0586278</x:v>
      </x:c>
      <x:c r="K6245" s="13" t="n">
        <x:f>E6245*I6245*H6245</x:f>
        <x:v>0.06221061</x:v>
      </x:c>
      <x:c r="L6245" s="1" t="str">
        <x:f>TEXT(A6245,"mmm yyyy")</x:f>
        <x:v>Sep 2026</x:v>
      </x:c>
    </x:row>
    <x:row r="6246" ht="21" customHeight="1">
      <x:c r="A6246" s="10" t="n">
        <x:v>46278</x:v>
      </x:c>
      <x:c r="B6246" s="1" t="n">
        <x:v>15</x:v>
      </x:c>
      <x:c r="C6246" s="1" t="n">
        <x:v>6</x:v>
      </x:c>
      <x:c r="D6246" s="12" t="n">
        <x:v>0.18425</x:v>
      </x:c>
      <x:c r="E6246" s="12" t="n">
        <x:v>0.19425</x:v>
      </x:c>
      <x:c r="F6246" s="12" t="n">
        <x:v>0</x:v>
      </x:c>
      <x:c r="G6246" s="12" t="n">
        <x:v>0</x:v>
      </x:c>
      <x:c r="H6246" s="1" t="n">
        <x:f>'Historical prices'!E6246</x:f>
        <x:v>1.05</x:v>
      </x:c>
      <x:c r="I6246" s="6" t="n">
        <x:f>'Historical prices'!D6246</x:f>
        <x:v>0.30920000000000003</x:v>
      </x:c>
      <x:c r="J6246" s="13" t="n">
        <x:f>D6246*I6246*H6246</x:f>
        <x:v>0.059818605000000004</x:v>
      </x:c>
      <x:c r="K6246" s="13" t="n">
        <x:f>E6246*I6246*H6246</x:f>
        <x:v>0.06306520500000001</x:v>
      </x:c>
      <x:c r="L6246" s="1" t="str">
        <x:f>TEXT(A6246,"mmm yyyy")</x:f>
        <x:v>Sep 2026</x:v>
      </x:c>
    </x:row>
    <x:row r="6247" ht="21" customHeight="1">
      <x:c r="A6247" s="10" t="n">
        <x:v>46278</x:v>
      </x:c>
      <x:c r="B6247" s="1" t="n">
        <x:v>15.5</x:v>
      </x:c>
      <x:c r="C6247" s="1" t="n">
        <x:v>6</x:v>
      </x:c>
      <x:c r="D6247" s="12" t="n">
        <x:v>0.19999999999999998</x:v>
      </x:c>
      <x:c r="E6247" s="12" t="n">
        <x:v>0.21</x:v>
      </x:c>
      <x:c r="F6247" s="12" t="n">
        <x:v>0</x:v>
      </x:c>
      <x:c r="G6247" s="12" t="n">
        <x:v>0</x:v>
      </x:c>
      <x:c r="H6247" s="1" t="n">
        <x:f>'Historical prices'!E6247</x:f>
        <x:v>1.05</x:v>
      </x:c>
      <x:c r="I6247" s="6" t="n">
        <x:f>'Historical prices'!D6247</x:f>
        <x:v>0.3207</x:v>
      </x:c>
      <x:c r="J6247" s="13" t="n">
        <x:f>D6247*I6247*H6247</x:f>
        <x:v>0.06734699999999999</x:v>
      </x:c>
      <x:c r="K6247" s="13" t="n">
        <x:f>E6247*I6247*H6247</x:f>
        <x:v>0.07071435</x:v>
      </x:c>
      <x:c r="L6247" s="1" t="str">
        <x:f>TEXT(A6247,"mmm yyyy")</x:f>
        <x:v>Sep 2026</x:v>
      </x:c>
    </x:row>
    <x:row r="6248" ht="21" customHeight="1">
      <x:c r="A6248" s="10" t="n">
        <x:v>46278</x:v>
      </x:c>
      <x:c r="B6248" s="1" t="n">
        <x:v>16</x:v>
      </x:c>
      <x:c r="C6248" s="1" t="n">
        <x:v>6</x:v>
      </x:c>
      <x:c r="D6248" s="12" t="n">
        <x:v>0.02875</x:v>
      </x:c>
      <x:c r="E6248" s="12" t="n">
        <x:v>0.23691666666666666</x:v>
      </x:c>
      <x:c r="F6248" s="12" t="n">
        <x:v>0.2055833333333333</x:v>
      </x:c>
      <x:c r="G6248" s="12" t="n">
        <x:v>0</x:v>
      </x:c>
      <x:c r="H6248" s="1" t="n">
        <x:f>'Historical prices'!E6248</x:f>
        <x:v>1.05</x:v>
      </x:c>
      <x:c r="I6248" s="6" t="n">
        <x:f>'Historical prices'!D6248</x:f>
        <x:v>0.4653</x:v>
      </x:c>
      <x:c r="J6248" s="13" t="n">
        <x:f>D6248*I6248*H6248</x:f>
        <x:v>0.014046243750000001</x:v>
      </x:c>
      <x:c r="K6248" s="13" t="n">
        <x:f>E6248*I6248*H6248</x:f>
        <x:v>0.11574919125000001</x:v>
      </x:c>
      <x:c r="L6248" s="1" t="str">
        <x:f>TEXT(A6248,"mmm yyyy")</x:f>
        <x:v>Sep 2026</x:v>
      </x:c>
    </x:row>
    <x:row r="6249" ht="21" customHeight="1">
      <x:c r="A6249" s="10" t="n">
        <x:v>46278</x:v>
      </x:c>
      <x:c r="B6249" s="1" t="n">
        <x:v>16.5</x:v>
      </x:c>
      <x:c r="C6249" s="1" t="n">
        <x:v>6</x:v>
      </x:c>
      <x:c r="D6249" s="12" t="n">
        <x:v>0</x:v>
      </x:c>
      <x:c r="E6249" s="12" t="n">
        <x:v>0.22308333333333336</x:v>
      </x:c>
      <x:c r="F6249" s="12" t="n">
        <x:v>0.2225</x:v>
      </x:c>
      <x:c r="G6249" s="12" t="n">
        <x:v>0</x:v>
      </x:c>
      <x:c r="H6249" s="1" t="n">
        <x:f>'Historical prices'!E6249</x:f>
        <x:v>1.05</x:v>
      </x:c>
      <x:c r="I6249" s="6" t="n">
        <x:f>'Historical prices'!D6249</x:f>
        <x:v>0.5061</x:v>
      </x:c>
      <x:c r="J6249" s="13" t="n">
        <x:f>D6249*I6249*H6249</x:f>
        <x:v>0</x:v>
      </x:c>
      <x:c r="K6249" s="13" t="n">
        <x:f>E6249*I6249*H6249</x:f>
        <x:v>0.11854759875000002</x:v>
      </x:c>
      <x:c r="L6249" s="1" t="str">
        <x:f>TEXT(A6249,"mmm yyyy")</x:f>
        <x:v>Sep 2026</x:v>
      </x:c>
    </x:row>
    <x:row r="6250" ht="21" customHeight="1">
      <x:c r="A6250" s="10" t="n">
        <x:v>46278</x:v>
      </x:c>
      <x:c r="B6250" s="1" t="n">
        <x:v>17</x:v>
      </x:c>
      <x:c r="C6250" s="1" t="n">
        <x:v>6</x:v>
      </x:c>
      <x:c r="D6250" s="12" t="n">
        <x:v>0</x:v>
      </x:c>
      <x:c r="E6250" s="12" t="n">
        <x:v>0.27875</x:v>
      </x:c>
      <x:c r="F6250" s="12" t="n">
        <x:v>0.27841666666666665</x:v>
      </x:c>
      <x:c r="G6250" s="12" t="n">
        <x:v>0</x:v>
      </x:c>
      <x:c r="H6250" s="1" t="n">
        <x:f>'Historical prices'!E6250</x:f>
        <x:v>1.05</x:v>
      </x:c>
      <x:c r="I6250" s="6" t="n">
        <x:f>'Historical prices'!D6250</x:f>
        <x:v>0.5086999999999999</x:v>
      </x:c>
      <x:c r="J6250" s="13" t="n">
        <x:f>D6250*I6250*H6250</x:f>
        <x:v>0</x:v>
      </x:c>
      <x:c r="K6250" s="13" t="n">
        <x:f>E6250*I6250*H6250</x:f>
        <x:v>0.14889013124999997</x:v>
      </x:c>
      <x:c r="L6250" s="1" t="str">
        <x:f>TEXT(A6250,"mmm yyyy")</x:f>
        <x:v>Sep 2026</x:v>
      </x:c>
    </x:row>
    <x:row r="6251" ht="21" customHeight="1">
      <x:c r="A6251" s="10" t="n">
        <x:v>46278</x:v>
      </x:c>
      <x:c r="B6251" s="1" t="n">
        <x:v>17.5</x:v>
      </x:c>
      <x:c r="C6251" s="1" t="n">
        <x:v>6</x:v>
      </x:c>
      <x:c r="D6251" s="12" t="n">
        <x:v>0</x:v>
      </x:c>
      <x:c r="E6251" s="12" t="n">
        <x:v>0.33258333333333334</x:v>
      </x:c>
      <x:c r="F6251" s="12" t="n">
        <x:v>0.33233333333333337</x:v>
      </x:c>
      <x:c r="G6251" s="12" t="n">
        <x:v>0</x:v>
      </x:c>
      <x:c r="H6251" s="1" t="n">
        <x:f>'Historical prices'!E6251</x:f>
        <x:v>1.05</x:v>
      </x:c>
      <x:c r="I6251" s="6" t="n">
        <x:f>'Historical prices'!D6251</x:f>
        <x:v>0.5086999999999999</x:v>
      </x:c>
      <x:c r="J6251" s="13" t="n">
        <x:f>D6251*I6251*H6251</x:f>
        <x:v>0</x:v>
      </x:c>
      <x:c r="K6251" s="13" t="n">
        <x:f>E6251*I6251*H6251</x:f>
        <x:v>0.17764439875</x:v>
      </x:c>
      <x:c r="L6251" s="1" t="str">
        <x:f>TEXT(A6251,"mmm yyyy")</x:f>
        <x:v>Sep 2026</x:v>
      </x:c>
    </x:row>
    <x:row r="6252" ht="21" customHeight="1">
      <x:c r="A6252" s="10" t="n">
        <x:v>46278</x:v>
      </x:c>
      <x:c r="B6252" s="1" t="n">
        <x:v>18</x:v>
      </x:c>
      <x:c r="C6252" s="1" t="n">
        <x:v>6</x:v>
      </x:c>
      <x:c r="D6252" s="12" t="n">
        <x:v>0</x:v>
      </x:c>
      <x:c r="E6252" s="12" t="n">
        <x:v>0.21475</x:v>
      </x:c>
      <x:c r="F6252" s="12" t="n">
        <x:v>0.2139166666666667</x:v>
      </x:c>
      <x:c r="G6252" s="12" t="n">
        <x:v>0</x:v>
      </x:c>
      <x:c r="H6252" s="1" t="n">
        <x:f>'Historical prices'!E6252</x:f>
        <x:v>1.05</x:v>
      </x:c>
      <x:c r="I6252" s="6" t="n">
        <x:f>'Historical prices'!D6252</x:f>
        <x:v>0.5406</x:v>
      </x:c>
      <x:c r="J6252" s="13" t="n">
        <x:f>D6252*I6252*H6252</x:f>
        <x:v>0</x:v>
      </x:c>
      <x:c r="K6252" s="13" t="n">
        <x:f>E6252*I6252*H6252</x:f>
        <x:v>0.1218985425</x:v>
      </x:c>
      <x:c r="L6252" s="1" t="str">
        <x:f>TEXT(A6252,"mmm yyyy")</x:f>
        <x:v>Sep 2026</x:v>
      </x:c>
    </x:row>
    <x:row r="6253" ht="21" customHeight="1">
      <x:c r="A6253" s="10" t="n">
        <x:v>46278</x:v>
      </x:c>
      <x:c r="B6253" s="1" t="n">
        <x:v>18.5</x:v>
      </x:c>
      <x:c r="C6253" s="1" t="n">
        <x:v>6</x:v>
      </x:c>
      <x:c r="D6253" s="12" t="n">
        <x:v>0</x:v>
      </x:c>
      <x:c r="E6253" s="12" t="n">
        <x:v>0.28225</x:v>
      </x:c>
      <x:c r="F6253" s="12" t="n">
        <x:v>0.28150000000000003</x:v>
      </x:c>
      <x:c r="G6253" s="12" t="n">
        <x:v>0</x:v>
      </x:c>
      <x:c r="H6253" s="1" t="n">
        <x:f>'Historical prices'!E6253</x:f>
        <x:v>1.05</x:v>
      </x:c>
      <x:c r="I6253" s="6" t="n">
        <x:f>'Historical prices'!D6253</x:f>
        <x:v>0.5284</x:v>
      </x:c>
      <x:c r="J6253" s="13" t="n">
        <x:f>D6253*I6253*H6253</x:f>
        <x:v>0</x:v>
      </x:c>
      <x:c r="K6253" s="13" t="n">
        <x:f>E6253*I6253*H6253</x:f>
        <x:v>0.156597945</x:v>
      </x:c>
      <x:c r="L6253" s="1" t="str">
        <x:f>TEXT(A6253,"mmm yyyy")</x:f>
        <x:v>Sep 2026</x:v>
      </x:c>
    </x:row>
    <x:row r="6254" ht="21" customHeight="1">
      <x:c r="A6254" s="10" t="n">
        <x:v>46278</x:v>
      </x:c>
      <x:c r="B6254" s="1" t="n">
        <x:v>19</x:v>
      </x:c>
      <x:c r="C6254" s="1" t="n">
        <x:v>6</x:v>
      </x:c>
      <x:c r="D6254" s="12" t="n">
        <x:v>0</x:v>
      </x:c>
      <x:c r="E6254" s="12" t="n">
        <x:v>0.29816666666666664</x:v>
      </x:c>
      <x:c r="F6254" s="12" t="n">
        <x:v>0.2975</x:v>
      </x:c>
      <x:c r="G6254" s="12" t="n">
        <x:v>0</x:v>
      </x:c>
      <x:c r="H6254" s="1" t="n">
        <x:f>'Historical prices'!E6254</x:f>
        <x:v>1.05</x:v>
      </x:c>
      <x:c r="I6254" s="6" t="n">
        <x:f>'Historical prices'!D6254</x:f>
        <x:v>0.4105</x:v>
      </x:c>
      <x:c r="J6254" s="13" t="n">
        <x:f>D6254*I6254*H6254</x:f>
        <x:v>0</x:v>
      </x:c>
      <x:c r="K6254" s="13" t="n">
        <x:f>E6254*I6254*H6254</x:f>
        <x:v>0.1285172875</x:v>
      </x:c>
      <x:c r="L6254" s="1" t="str">
        <x:f>TEXT(A6254,"mmm yyyy")</x:f>
        <x:v>Sep 2026</x:v>
      </x:c>
    </x:row>
    <x:row r="6255" ht="21" customHeight="1">
      <x:c r="A6255" s="10" t="n">
        <x:v>46278</x:v>
      </x:c>
      <x:c r="B6255" s="1" t="n">
        <x:v>19.5</x:v>
      </x:c>
      <x:c r="C6255" s="1" t="n">
        <x:v>6</x:v>
      </x:c>
      <x:c r="D6255" s="12" t="n">
        <x:v>0</x:v>
      </x:c>
      <x:c r="E6255" s="12" t="n">
        <x:v>0.258</x:v>
      </x:c>
      <x:c r="F6255" s="12" t="n">
        <x:v>0.25775</x:v>
      </x:c>
      <x:c r="G6255" s="12" t="n">
        <x:v>0</x:v>
      </x:c>
      <x:c r="H6255" s="1" t="n">
        <x:f>'Historical prices'!E6255</x:f>
        <x:v>1.05</x:v>
      </x:c>
      <x:c r="I6255" s="6" t="n">
        <x:f>'Historical prices'!D6255</x:f>
        <x:v>0.42950000000000005</x:v>
      </x:c>
      <x:c r="J6255" s="13" t="n">
        <x:f>D6255*I6255*H6255</x:f>
        <x:v>0</x:v>
      </x:c>
      <x:c r="K6255" s="13" t="n">
        <x:f>E6255*I6255*H6255</x:f>
        <x:v>0.11635155000000003</x:v>
      </x:c>
      <x:c r="L6255" s="1" t="str">
        <x:f>TEXT(A6255,"mmm yyyy")</x:f>
        <x:v>Sep 2026</x:v>
      </x:c>
    </x:row>
    <x:row r="6256" ht="21" customHeight="1">
      <x:c r="A6256" s="10" t="n">
        <x:v>46278</x:v>
      </x:c>
      <x:c r="B6256" s="1" t="n">
        <x:v>20</x:v>
      </x:c>
      <x:c r="C6256" s="1" t="n">
        <x:v>6</x:v>
      </x:c>
      <x:c r="D6256" s="12" t="n">
        <x:v>0</x:v>
      </x:c>
      <x:c r="E6256" s="12" t="n">
        <x:v>0.27616666666666667</x:v>
      </x:c>
      <x:c r="F6256" s="12" t="n">
        <x:v>0.27549999999999997</x:v>
      </x:c>
      <x:c r="G6256" s="12" t="n">
        <x:v>0</x:v>
      </x:c>
      <x:c r="H6256" s="1" t="n">
        <x:f>'Historical prices'!E6256</x:f>
        <x:v>1.05</x:v>
      </x:c>
      <x:c r="I6256" s="6" t="n">
        <x:f>'Historical prices'!D6256</x:f>
        <x:v>0.4288</x:v>
      </x:c>
      <x:c r="J6256" s="13" t="n">
        <x:f>D6256*I6256*H6256</x:f>
        <x:v>0</x:v>
      </x:c>
      <x:c r="K6256" s="13" t="n">
        <x:f>E6256*I6256*H6256</x:f>
        <x:v>0.12434128000000001</x:v>
      </x:c>
      <x:c r="L6256" s="1" t="str">
        <x:f>TEXT(A6256,"mmm yyyy")</x:f>
        <x:v>Sep 2026</x:v>
      </x:c>
    </x:row>
    <x:row r="6257" ht="21" customHeight="1">
      <x:c r="A6257" s="10" t="n">
        <x:v>46278</x:v>
      </x:c>
      <x:c r="B6257" s="1" t="n">
        <x:v>20.5</x:v>
      </x:c>
      <x:c r="C6257" s="1" t="n">
        <x:v>6</x:v>
      </x:c>
      <x:c r="D6257" s="12" t="n">
        <x:v>0</x:v>
      </x:c>
      <x:c r="E6257" s="12" t="n">
        <x:v>0.2881666666666667</x:v>
      </x:c>
      <x:c r="F6257" s="12" t="n">
        <x:v>0.28774999999999995</x:v>
      </x:c>
      <x:c r="G6257" s="12" t="n">
        <x:v>0</x:v>
      </x:c>
      <x:c r="H6257" s="1" t="n">
        <x:f>'Historical prices'!E6257</x:f>
        <x:v>1.05</x:v>
      </x:c>
      <x:c r="I6257" s="6" t="n">
        <x:f>'Historical prices'!D6257</x:f>
        <x:v>0.42060000000000003</x:v>
      </x:c>
      <x:c r="J6257" s="13" t="n">
        <x:f>D6257*I6257*H6257</x:f>
        <x:v>0</x:v>
      </x:c>
      <x:c r="K6257" s="13" t="n">
        <x:f>E6257*I6257*H6257</x:f>
        <x:v>0.12726304500000002</x:v>
      </x:c>
      <x:c r="L6257" s="1" t="str">
        <x:f>TEXT(A6257,"mmm yyyy")</x:f>
        <x:v>Sep 2026</x:v>
      </x:c>
    </x:row>
    <x:row r="6258" ht="21" customHeight="1">
      <x:c r="A6258" s="10" t="n">
        <x:v>46278</x:v>
      </x:c>
      <x:c r="B6258" s="1" t="n">
        <x:v>21</x:v>
      </x:c>
      <x:c r="C6258" s="1" t="n">
        <x:v>6</x:v>
      </x:c>
      <x:c r="D6258" s="12" t="n">
        <x:v>0</x:v>
      </x:c>
      <x:c r="E6258" s="12" t="n">
        <x:v>0.26083333333333336</x:v>
      </x:c>
      <x:c r="F6258" s="12" t="n">
        <x:v>0.2605</x:v>
      </x:c>
      <x:c r="G6258" s="12" t="n">
        <x:v>0</x:v>
      </x:c>
      <x:c r="H6258" s="1" t="n">
        <x:f>'Historical prices'!E6258</x:f>
        <x:v>1.05</x:v>
      </x:c>
      <x:c r="I6258" s="6" t="n">
        <x:f>'Historical prices'!D6258</x:f>
        <x:v>0.40340000000000004</x:v>
      </x:c>
      <x:c r="J6258" s="13" t="n">
        <x:f>D6258*I6258*H6258</x:f>
        <x:v>0</x:v>
      </x:c>
      <x:c r="K6258" s="13" t="n">
        <x:f>E6258*I6258*H6258</x:f>
        <x:v>0.11048117500000003</x:v>
      </x:c>
      <x:c r="L6258" s="1" t="str">
        <x:f>TEXT(A6258,"mmm yyyy")</x:f>
        <x:v>Sep 2026</x:v>
      </x:c>
    </x:row>
    <x:row r="6259" ht="21" customHeight="1">
      <x:c r="A6259" s="10" t="n">
        <x:v>46278</x:v>
      </x:c>
      <x:c r="B6259" s="1" t="n">
        <x:v>21.5</x:v>
      </x:c>
      <x:c r="C6259" s="1" t="n">
        <x:v>6</x:v>
      </x:c>
      <x:c r="D6259" s="12" t="n">
        <x:v>0</x:v>
      </x:c>
      <x:c r="E6259" s="12" t="n">
        <x:v>0.28708333333333336</x:v>
      </x:c>
      <x:c r="F6259" s="12" t="n">
        <x:v>0.2865</x:v>
      </x:c>
      <x:c r="G6259" s="12" t="n">
        <x:v>0</x:v>
      </x:c>
      <x:c r="H6259" s="1" t="n">
        <x:f>'Historical prices'!E6259</x:f>
        <x:v>1.05</x:v>
      </x:c>
      <x:c r="I6259" s="6" t="n">
        <x:f>'Historical prices'!D6259</x:f>
        <x:v>0.3686</x:v>
      </x:c>
      <x:c r="J6259" s="13" t="n">
        <x:f>D6259*I6259*H6259</x:f>
        <x:v>0</x:v>
      </x:c>
      <x:c r="K6259" s="13" t="n">
        <x:f>E6259*I6259*H6259</x:f>
        <x:v>0.1111098625</x:v>
      </x:c>
      <x:c r="L6259" s="1" t="str">
        <x:f>TEXT(A6259,"mmm yyyy")</x:f>
        <x:v>Sep 2026</x:v>
      </x:c>
    </x:row>
    <x:row r="6260" ht="21" customHeight="1">
      <x:c r="A6260" s="10" t="n">
        <x:v>46278</x:v>
      </x:c>
      <x:c r="B6260" s="1" t="n">
        <x:v>22</x:v>
      </x:c>
      <x:c r="C6260" s="1" t="n">
        <x:v>6</x:v>
      </x:c>
      <x:c r="D6260" s="12" t="n">
        <x:v>0</x:v>
      </x:c>
      <x:c r="E6260" s="12" t="n">
        <x:v>0.3750833333333333</x:v>
      </x:c>
      <x:c r="F6260" s="12" t="n">
        <x:v>0.37466666666666665</x:v>
      </x:c>
      <x:c r="G6260" s="12" t="n">
        <x:v>0</x:v>
      </x:c>
      <x:c r="H6260" s="1" t="n">
        <x:f>'Historical prices'!E6260</x:f>
        <x:v>1.05</x:v>
      </x:c>
      <x:c r="I6260" s="6" t="n">
        <x:f>'Historical prices'!D6260</x:f>
        <x:v>0.35590000000000005</x:v>
      </x:c>
      <x:c r="J6260" s="13" t="n">
        <x:f>D6260*I6260*H6260</x:f>
        <x:v>0</x:v>
      </x:c>
      <x:c r="K6260" s="13" t="n">
        <x:f>E6260*I6260*H6260</x:f>
        <x:v>0.14016676625000005</x:v>
      </x:c>
      <x:c r="L6260" s="1" t="str">
        <x:f>TEXT(A6260,"mmm yyyy")</x:f>
        <x:v>Sep 2026</x:v>
      </x:c>
    </x:row>
    <x:row r="6261" ht="21" customHeight="1">
      <x:c r="A6261" s="10" t="n">
        <x:v>46278</x:v>
      </x:c>
      <x:c r="B6261" s="1" t="n">
        <x:v>22.5</x:v>
      </x:c>
      <x:c r="C6261" s="1" t="n">
        <x:v>6</x:v>
      </x:c>
      <x:c r="D6261" s="12" t="n">
        <x:v>0.13375</x:v>
      </x:c>
      <x:c r="E6261" s="12" t="n">
        <x:v>0.19474999999999998</x:v>
      </x:c>
      <x:c r="F6261" s="12" t="n">
        <x:v>0.052</x:v>
      </x:c>
      <x:c r="G6261" s="12" t="n">
        <x:v>0</x:v>
      </x:c>
      <x:c r="H6261" s="1" t="n">
        <x:f>'Historical prices'!E6261</x:f>
        <x:v>1.05</x:v>
      </x:c>
      <x:c r="I6261" s="6" t="n">
        <x:f>'Historical prices'!D6261</x:f>
        <x:v>0.3299</x:v>
      </x:c>
      <x:c r="J6261" s="13" t="n">
        <x:f>D6261*I6261*H6261</x:f>
        <x:v>0.04633033125000001</x:v>
      </x:c>
      <x:c r="K6261" s="13" t="n">
        <x:f>E6261*I6261*H6261</x:f>
        <x:v>0.06746042625</x:v>
      </x:c>
      <x:c r="L6261" s="1" t="str">
        <x:f>TEXT(A6261,"mmm yyyy")</x:f>
        <x:v>Sep 2026</x:v>
      </x:c>
    </x:row>
    <x:row r="6262" ht="21" customHeight="1">
      <x:c r="A6262" s="10" t="n">
        <x:v>46278</x:v>
      </x:c>
      <x:c r="B6262" s="1" t="n">
        <x:v>23</x:v>
      </x:c>
      <x:c r="C6262" s="1" t="n">
        <x:v>6</x:v>
      </x:c>
      <x:c r="D6262" s="12" t="n">
        <x:v>0.171</x:v>
      </x:c>
      <x:c r="E6262" s="12" t="n">
        <x:v>0.18200000000000002</x:v>
      </x:c>
      <x:c r="F6262" s="12" t="n">
        <x:v>0</x:v>
      </x:c>
      <x:c r="G6262" s="12" t="n">
        <x:v>0</x:v>
      </x:c>
      <x:c r="H6262" s="1" t="n">
        <x:f>'Historical prices'!E6262</x:f>
        <x:v>1.05</x:v>
      </x:c>
      <x:c r="I6262" s="6" t="n">
        <x:f>'Historical prices'!D6262</x:f>
        <x:v>0.3496</x:v>
      </x:c>
      <x:c r="J6262" s="13" t="n">
        <x:f>D6262*I6262*H6262</x:f>
        <x:v>0.06277068000000001</x:v>
      </x:c>
      <x:c r="K6262" s="13" t="n">
        <x:f>E6262*I6262*H6262</x:f>
        <x:v>0.06680856000000002</x:v>
      </x:c>
      <x:c r="L6262" s="1" t="str">
        <x:f>TEXT(A6262,"mmm yyyy")</x:f>
        <x:v>Sep 2026</x:v>
      </x:c>
    </x:row>
    <x:row r="6263" ht="21" customHeight="1">
      <x:c r="A6263" s="10" t="n">
        <x:v>46278</x:v>
      </x:c>
      <x:c r="B6263" s="1" t="n">
        <x:v>23.5</x:v>
      </x:c>
      <x:c r="C6263" s="1" t="n">
        <x:v>6</x:v>
      </x:c>
      <x:c r="D6263" s="12" t="n">
        <x:v>0.2155</x:v>
      </x:c>
      <x:c r="E6263" s="12" t="n">
        <x:v>0.2265</x:v>
      </x:c>
      <x:c r="F6263" s="12" t="n">
        <x:v>0</x:v>
      </x:c>
      <x:c r="G6263" s="12" t="n">
        <x:v>0</x:v>
      </x:c>
      <x:c r="H6263" s="1" t="n">
        <x:f>'Historical prices'!E6263</x:f>
        <x:v>1.05</x:v>
      </x:c>
      <x:c r="I6263" s="6" t="n">
        <x:f>'Historical prices'!D6263</x:f>
        <x:v>0.3214</x:v>
      </x:c>
      <x:c r="J6263" s="13" t="n">
        <x:f>D6263*I6263*H6263</x:f>
        <x:v>0.07272478500000001</x:v>
      </x:c>
      <x:c r="K6263" s="13" t="n">
        <x:f>E6263*I6263*H6263</x:f>
        <x:v>0.076436955</x:v>
      </x:c>
      <x:c r="L6263" s="1" t="str">
        <x:f>TEXT(A6263,"mmm yyyy")</x:f>
        <x:v>Sep 2026</x:v>
      </x:c>
    </x:row>
    <x:row r="6264" ht="21" customHeight="1">
      <x:c r="A6264" s="10" t="n">
        <x:v>46279</x:v>
      </x:c>
      <x:c r="B6264" s="1" t="n">
        <x:v>0</x:v>
      </x:c>
      <x:c r="C6264" s="1" t="n">
        <x:v>6</x:v>
      </x:c>
      <x:c r="D6264" s="12" t="n">
        <x:v>0.15474999999999997</x:v>
      </x:c>
      <x:c r="E6264" s="12" t="n">
        <x:v>0.16474999999999998</x:v>
      </x:c>
      <x:c r="F6264" s="12" t="n">
        <x:v>0</x:v>
      </x:c>
      <x:c r="G6264" s="12" t="n">
        <x:v>0</x:v>
      </x:c>
      <x:c r="H6264" s="1" t="n">
        <x:f>'Historical prices'!E6264</x:f>
        <x:v>1.05</x:v>
      </x:c>
      <x:c r="I6264" s="6" t="n">
        <x:f>'Historical prices'!D6264</x:f>
        <x:v>0.3297</x:v>
      </x:c>
      <x:c r="J6264" s="13" t="n">
        <x:f>D6264*I6264*H6264</x:f>
        <x:v>0.053572128749999996</x:v>
      </x:c>
      <x:c r="K6264" s="13" t="n">
        <x:f>E6264*I6264*H6264</x:f>
        <x:v>0.05703397875</x:v>
      </x:c>
      <x:c r="L6264" s="1" t="str">
        <x:f>TEXT(A6264,"mmm yyyy")</x:f>
        <x:v>Sep 2026</x:v>
      </x:c>
    </x:row>
    <x:row r="6265" ht="21" customHeight="1">
      <x:c r="A6265" s="10" t="n">
        <x:v>46279</x:v>
      </x:c>
      <x:c r="B6265" s="1" t="n">
        <x:v>0.5</x:v>
      </x:c>
      <x:c r="C6265" s="1" t="n">
        <x:v>6</x:v>
      </x:c>
      <x:c r="D6265" s="12" t="n">
        <x:v>0.134</x:v>
      </x:c>
      <x:c r="E6265" s="12" t="n">
        <x:v>0.145</x:v>
      </x:c>
      <x:c r="F6265" s="12" t="n">
        <x:v>0</x:v>
      </x:c>
      <x:c r="G6265" s="12" t="n">
        <x:v>0</x:v>
      </x:c>
      <x:c r="H6265" s="1" t="n">
        <x:f>'Historical prices'!E6265</x:f>
        <x:v>1.05</x:v>
      </x:c>
      <x:c r="I6265" s="6" t="n">
        <x:f>'Historical prices'!D6265</x:f>
        <x:v>0.3194</x:v>
      </x:c>
      <x:c r="J6265" s="13" t="n">
        <x:f>D6265*I6265*H6265</x:f>
        <x:v>0.04493958000000001</x:v>
      </x:c>
      <x:c r="K6265" s="13" t="n">
        <x:f>E6265*I6265*H6265</x:f>
        <x:v>0.04862865</x:v>
      </x:c>
      <x:c r="L6265" s="1" t="str">
        <x:f>TEXT(A6265,"mmm yyyy")</x:f>
        <x:v>Sep 2026</x:v>
      </x:c>
    </x:row>
    <x:row r="6266" ht="21" customHeight="1">
      <x:c r="A6266" s="10" t="n">
        <x:v>46279</x:v>
      </x:c>
      <x:c r="B6266" s="1" t="n">
        <x:v>1</x:v>
      </x:c>
      <x:c r="C6266" s="1" t="n">
        <x:v>6</x:v>
      </x:c>
      <x:c r="D6266" s="12" t="n">
        <x:v>0.20700000000000002</x:v>
      </x:c>
      <x:c r="E6266" s="12" t="n">
        <x:v>0.21700000000000003</x:v>
      </x:c>
      <x:c r="F6266" s="12" t="n">
        <x:v>0</x:v>
      </x:c>
      <x:c r="G6266" s="12" t="n">
        <x:v>0</x:v>
      </x:c>
      <x:c r="H6266" s="1" t="n">
        <x:f>'Historical prices'!E6266</x:f>
        <x:v>1.05</x:v>
      </x:c>
      <x:c r="I6266" s="6" t="n">
        <x:f>'Historical prices'!D6266</x:f>
        <x:v>0.3173</x:v>
      </x:c>
      <x:c r="J6266" s="13" t="n">
        <x:f>D6266*I6266*H6266</x:f>
        <x:v>0.06896515500000001</x:v>
      </x:c>
      <x:c r="K6266" s="13" t="n">
        <x:f>E6266*I6266*H6266</x:f>
        <x:v>0.07229680500000002</x:v>
      </x:c>
      <x:c r="L6266" s="1" t="str">
        <x:f>TEXT(A6266,"mmm yyyy")</x:f>
        <x:v>Sep 2026</x:v>
      </x:c>
    </x:row>
    <x:row r="6267" ht="21" customHeight="1">
      <x:c r="A6267" s="10" t="n">
        <x:v>46279</x:v>
      </x:c>
      <x:c r="B6267" s="1" t="n">
        <x:v>1.5</x:v>
      </x:c>
      <x:c r="C6267" s="1" t="n">
        <x:v>6</x:v>
      </x:c>
      <x:c r="D6267" s="12" t="n">
        <x:v>0.19774999999999998</x:v>
      </x:c>
      <x:c r="E6267" s="12" t="n">
        <x:v>0.20875</x:v>
      </x:c>
      <x:c r="F6267" s="12" t="n">
        <x:v>0</x:v>
      </x:c>
      <x:c r="G6267" s="12" t="n">
        <x:v>0</x:v>
      </x:c>
      <x:c r="H6267" s="1" t="n">
        <x:f>'Historical prices'!E6267</x:f>
        <x:v>1.05</x:v>
      </x:c>
      <x:c r="I6267" s="6" t="n">
        <x:f>'Historical prices'!D6267</x:f>
        <x:v>0.3361</x:v>
      </x:c>
      <x:c r="J6267" s="13" t="n">
        <x:f>D6267*I6267*H6267</x:f>
        <x:v>0.06978696374999999</x:v>
      </x:c>
      <x:c r="K6267" s="13" t="n">
        <x:f>E6267*I6267*H6267</x:f>
        <x:v>0.07366891875</x:v>
      </x:c>
      <x:c r="L6267" s="1" t="str">
        <x:f>TEXT(A6267,"mmm yyyy")</x:f>
        <x:v>Sep 2026</x:v>
      </x:c>
    </x:row>
    <x:row r="6268" ht="21" customHeight="1">
      <x:c r="A6268" s="10" t="n">
        <x:v>46279</x:v>
      </x:c>
      <x:c r="B6268" s="1" t="n">
        <x:v>2</x:v>
      </x:c>
      <x:c r="C6268" s="1" t="n">
        <x:v>6</x:v>
      </x:c>
      <x:c r="D6268" s="12" t="n">
        <x:v>0.226</x:v>
      </x:c>
      <x:c r="E6268" s="12" t="n">
        <x:v>0.236</x:v>
      </x:c>
      <x:c r="F6268" s="12" t="n">
        <x:v>0</x:v>
      </x:c>
      <x:c r="G6268" s="12" t="n">
        <x:v>0</x:v>
      </x:c>
      <x:c r="H6268" s="1" t="n">
        <x:f>'Historical prices'!E6268</x:f>
        <x:v>1.05</x:v>
      </x:c>
      <x:c r="I6268" s="6" t="n">
        <x:f>'Historical prices'!D6268</x:f>
        <x:v>0.3342</x:v>
      </x:c>
      <x:c r="J6268" s="13" t="n">
        <x:f>D6268*I6268*H6268</x:f>
        <x:v>0.07930566000000001</x:v>
      </x:c>
      <x:c r="K6268" s="13" t="n">
        <x:f>E6268*I6268*H6268</x:f>
        <x:v>0.08281475999999999</x:v>
      </x:c>
      <x:c r="L6268" s="1" t="str">
        <x:f>TEXT(A6268,"mmm yyyy")</x:f>
        <x:v>Sep 2026</x:v>
      </x:c>
    </x:row>
    <x:row r="6269" ht="21" customHeight="1">
      <x:c r="A6269" s="10" t="n">
        <x:v>46279</x:v>
      </x:c>
      <x:c r="B6269" s="1" t="n">
        <x:v>2.5</x:v>
      </x:c>
      <x:c r="C6269" s="1" t="n">
        <x:v>6</x:v>
      </x:c>
      <x:c r="D6269" s="12" t="n">
        <x:v>0.18125</x:v>
      </x:c>
      <x:c r="E6269" s="12" t="n">
        <x:v>0.19225</x:v>
      </x:c>
      <x:c r="F6269" s="12" t="n">
        <x:v>0</x:v>
      </x:c>
      <x:c r="G6269" s="12" t="n">
        <x:v>0</x:v>
      </x:c>
      <x:c r="H6269" s="1" t="n">
        <x:f>'Historical prices'!E6269</x:f>
        <x:v>1.05</x:v>
      </x:c>
      <x:c r="I6269" s="6" t="n">
        <x:f>'Historical prices'!D6269</x:f>
        <x:v>0.3146</x:v>
      </x:c>
      <x:c r="J6269" s="13" t="n">
        <x:f>D6269*I6269*H6269</x:f>
        <x:v>0.0598723125</x:v>
      </x:c>
      <x:c r="K6269" s="13" t="n">
        <x:f>E6269*I6269*H6269</x:f>
        <x:v>0.0635059425</x:v>
      </x:c>
      <x:c r="L6269" s="1" t="str">
        <x:f>TEXT(A6269,"mmm yyyy")</x:f>
        <x:v>Sep 2026</x:v>
      </x:c>
    </x:row>
    <x:row r="6270" ht="21" customHeight="1">
      <x:c r="A6270" s="10" t="n">
        <x:v>46279</x:v>
      </x:c>
      <x:c r="B6270" s="1" t="n">
        <x:v>3</x:v>
      </x:c>
      <x:c r="C6270" s="1" t="n">
        <x:v>6</x:v>
      </x:c>
      <x:c r="D6270" s="12" t="n">
        <x:v>0.1885</x:v>
      </x:c>
      <x:c r="E6270" s="12" t="n">
        <x:v>0.1985</x:v>
      </x:c>
      <x:c r="F6270" s="12" t="n">
        <x:v>0</x:v>
      </x:c>
      <x:c r="G6270" s="12" t="n">
        <x:v>0</x:v>
      </x:c>
      <x:c r="H6270" s="1" t="n">
        <x:f>'Historical prices'!E6270</x:f>
        <x:v>1.05</x:v>
      </x:c>
      <x:c r="I6270" s="6" t="n">
        <x:f>'Historical prices'!D6270</x:f>
        <x:v>0.3131</x:v>
      </x:c>
      <x:c r="J6270" s="13" t="n">
        <x:f>D6270*I6270*H6270</x:f>
        <x:v>0.061970317500000004</x:v>
      </x:c>
      <x:c r="K6270" s="13" t="n">
        <x:f>E6270*I6270*H6270</x:f>
        <x:v>0.0652578675</x:v>
      </x:c>
      <x:c r="L6270" s="1" t="str">
        <x:f>TEXT(A6270,"mmm yyyy")</x:f>
        <x:v>Sep 2026</x:v>
      </x:c>
    </x:row>
    <x:row r="6271" ht="21" customHeight="1">
      <x:c r="A6271" s="10" t="n">
        <x:v>46279</x:v>
      </x:c>
      <x:c r="B6271" s="1" t="n">
        <x:v>3.5</x:v>
      </x:c>
      <x:c r="C6271" s="1" t="n">
        <x:v>6</x:v>
      </x:c>
      <x:c r="D6271" s="12" t="n">
        <x:v>0.195</x:v>
      </x:c>
      <x:c r="E6271" s="12" t="n">
        <x:v>0.20500000000000002</x:v>
      </x:c>
      <x:c r="F6271" s="12" t="n">
        <x:v>0</x:v>
      </x:c>
      <x:c r="G6271" s="12" t="n">
        <x:v>0</x:v>
      </x:c>
      <x:c r="H6271" s="1" t="n">
        <x:f>'Historical prices'!E6271</x:f>
        <x:v>1.05</x:v>
      </x:c>
      <x:c r="I6271" s="6" t="n">
        <x:f>'Historical prices'!D6271</x:f>
        <x:v>0.3131</x:v>
      </x:c>
      <x:c r="J6271" s="13" t="n">
        <x:f>D6271*I6271*H6271</x:f>
        <x:v>0.064107225</x:v>
      </x:c>
      <x:c r="K6271" s="13" t="n">
        <x:f>E6271*I6271*H6271</x:f>
        <x:v>0.067394775</x:v>
      </x:c>
      <x:c r="L6271" s="1" t="str">
        <x:f>TEXT(A6271,"mmm yyyy")</x:f>
        <x:v>Sep 2026</x:v>
      </x:c>
    </x:row>
    <x:row r="6272" ht="21" customHeight="1">
      <x:c r="A6272" s="10" t="n">
        <x:v>46279</x:v>
      </x:c>
      <x:c r="B6272" s="1" t="n">
        <x:v>4</x:v>
      </x:c>
      <x:c r="C6272" s="1" t="n">
        <x:v>6</x:v>
      </x:c>
      <x:c r="D6272" s="12" t="n">
        <x:v>0.22175000000000003</x:v>
      </x:c>
      <x:c r="E6272" s="12" t="n">
        <x:v>0.23075000000000004</x:v>
      </x:c>
      <x:c r="F6272" s="12" t="n">
        <x:v>0</x:v>
      </x:c>
      <x:c r="G6272" s="12" t="n">
        <x:v>0</x:v>
      </x:c>
      <x:c r="H6272" s="1" t="n">
        <x:f>'Historical prices'!E6272</x:f>
        <x:v>1.05</x:v>
      </x:c>
      <x:c r="I6272" s="6" t="n">
        <x:f>'Historical prices'!D6272</x:f>
        <x:v>0.3312</x:v>
      </x:c>
      <x:c r="J6272" s="13" t="n">
        <x:f>D6272*I6272*H6272</x:f>
        <x:v>0.07711578000000001</x:v>
      </x:c>
      <x:c r="K6272" s="13" t="n">
        <x:f>E6272*I6272*H6272</x:f>
        <x:v>0.08024562000000002</x:v>
      </x:c>
      <x:c r="L6272" s="1" t="str">
        <x:f>TEXT(A6272,"mmm yyyy")</x:f>
        <x:v>Sep 2026</x:v>
      </x:c>
    </x:row>
    <x:row r="6273" ht="21" customHeight="1">
      <x:c r="A6273" s="10" t="n">
        <x:v>46279</x:v>
      </x:c>
      <x:c r="B6273" s="1" t="n">
        <x:v>4.5</x:v>
      </x:c>
      <x:c r="C6273" s="1" t="n">
        <x:v>6</x:v>
      </x:c>
      <x:c r="D6273" s="12" t="n">
        <x:v>0.22025</x:v>
      </x:c>
      <x:c r="E6273" s="12" t="n">
        <x:v>0.23125</x:v>
      </x:c>
      <x:c r="F6273" s="12" t="n">
        <x:v>0</x:v>
      </x:c>
      <x:c r="G6273" s="12" t="n">
        <x:v>0</x:v>
      </x:c>
      <x:c r="H6273" s="1" t="n">
        <x:f>'Historical prices'!E6273</x:f>
        <x:v>1.05</x:v>
      </x:c>
      <x:c r="I6273" s="6" t="n">
        <x:f>'Historical prices'!D6273</x:f>
        <x:v>0.3261</x:v>
      </x:c>
      <x:c r="J6273" s="13" t="n">
        <x:f>D6273*I6273*H6273</x:f>
        <x:v>0.07541470125000001</x:v>
      </x:c>
      <x:c r="K6273" s="13" t="n">
        <x:f>E6273*I6273*H6273</x:f>
        <x:v>0.07918115625000001</x:v>
      </x:c>
      <x:c r="L6273" s="1" t="str">
        <x:f>TEXT(A6273,"mmm yyyy")</x:f>
        <x:v>Sep 2026</x:v>
      </x:c>
    </x:row>
    <x:row r="6274" ht="21" customHeight="1">
      <x:c r="A6274" s="10" t="n">
        <x:v>46279</x:v>
      </x:c>
      <x:c r="B6274" s="1" t="n">
        <x:v>5</x:v>
      </x:c>
      <x:c r="C6274" s="1" t="n">
        <x:v>6</x:v>
      </x:c>
      <x:c r="D6274" s="12" t="n">
        <x:v>0.051</x:v>
      </x:c>
      <x:c r="E6274" s="12" t="n">
        <x:v>0.27808333333333335</x:v>
      </x:c>
      <x:c r="F6274" s="12" t="n">
        <x:v>0.22433333333333333</x:v>
      </x:c>
      <x:c r="G6274" s="12" t="n">
        <x:v>0</x:v>
      </x:c>
      <x:c r="H6274" s="1" t="n">
        <x:f>'Historical prices'!E6274</x:f>
        <x:v>1.05</x:v>
      </x:c>
      <x:c r="I6274" s="6" t="n">
        <x:f>'Historical prices'!D6274</x:f>
        <x:v>0.3857</x:v>
      </x:c>
      <x:c r="J6274" s="13" t="n">
        <x:f>D6274*I6274*H6274</x:f>
        <x:v>0.020654235</x:v>
      </x:c>
      <x:c r="K6274" s="13" t="n">
        <x:f>E6274*I6274*H6274</x:f>
        <x:v>0.11261957875</x:v>
      </x:c>
      <x:c r="L6274" s="1" t="str">
        <x:f>TEXT(A6274,"mmm yyyy")</x:f>
        <x:v>Sep 2026</x:v>
      </x:c>
    </x:row>
    <x:row r="6275" ht="21" customHeight="1">
      <x:c r="A6275" s="10" t="n">
        <x:v>46279</x:v>
      </x:c>
      <x:c r="B6275" s="1" t="n">
        <x:v>5.5</x:v>
      </x:c>
      <x:c r="C6275" s="1" t="n">
        <x:v>6</x:v>
      </x:c>
      <x:c r="D6275" s="12" t="n">
        <x:v>0</x:v>
      </x:c>
      <x:c r="E6275" s="12" t="n">
        <x:v>0.30825</x:v>
      </x:c>
      <x:c r="F6275" s="12" t="n">
        <x:v>0.30675</x:v>
      </x:c>
      <x:c r="G6275" s="12" t="n">
        <x:v>0</x:v>
      </x:c>
      <x:c r="H6275" s="1" t="n">
        <x:f>'Historical prices'!E6275</x:f>
        <x:v>1.05</x:v>
      </x:c>
      <x:c r="I6275" s="6" t="n">
        <x:f>'Historical prices'!D6275</x:f>
        <x:v>0.41600000000000004</x:v>
      </x:c>
      <x:c r="J6275" s="13" t="n">
        <x:f>D6275*I6275*H6275</x:f>
        <x:v>0</x:v>
      </x:c>
      <x:c r="K6275" s="13" t="n">
        <x:f>E6275*I6275*H6275</x:f>
        <x:v>0.13464360000000003</x:v>
      </x:c>
      <x:c r="L6275" s="1" t="str">
        <x:f>TEXT(A6275,"mmm yyyy")</x:f>
        <x:v>Sep 2026</x:v>
      </x:c>
    </x:row>
    <x:row r="6276" ht="21" customHeight="1">
      <x:c r="A6276" s="10" t="n">
        <x:v>46279</x:v>
      </x:c>
      <x:c r="B6276" s="1" t="n">
        <x:v>6</x:v>
      </x:c>
      <x:c r="C6276" s="1" t="n">
        <x:v>6</x:v>
      </x:c>
      <x:c r="D6276" s="12" t="n">
        <x:v>0</x:v>
      </x:c>
      <x:c r="E6276" s="12" t="n">
        <x:v>0.24716666666666665</x:v>
      </x:c>
      <x:c r="F6276" s="12" t="n">
        <x:v>0.24683333333333335</x:v>
      </x:c>
      <x:c r="G6276" s="12" t="n">
        <x:v>0</x:v>
      </x:c>
      <x:c r="H6276" s="1" t="n">
        <x:f>'Historical prices'!E6276</x:f>
        <x:v>1.05</x:v>
      </x:c>
      <x:c r="I6276" s="6" t="n">
        <x:f>'Historical prices'!D6276</x:f>
        <x:v>0.40759999999999996</x:v>
      </x:c>
      <x:c r="J6276" s="13" t="n">
        <x:f>D6276*I6276*H6276</x:f>
        <x:v>0</x:v>
      </x:c>
      <x:c r="K6276" s="13" t="n">
        <x:f>E6276*I6276*H6276</x:f>
        <x:v>0.10578238999999999</x:v>
      </x:c>
      <x:c r="L6276" s="1" t="str">
        <x:f>TEXT(A6276,"mmm yyyy")</x:f>
        <x:v>Sep 2026</x:v>
      </x:c>
    </x:row>
    <x:row r="6277" ht="21" customHeight="1">
      <x:c r="A6277" s="10" t="n">
        <x:v>46279</x:v>
      </x:c>
      <x:c r="B6277" s="1" t="n">
        <x:v>6.5</x:v>
      </x:c>
      <x:c r="C6277" s="1" t="n">
        <x:v>6</x:v>
      </x:c>
      <x:c r="D6277" s="12" t="n">
        <x:v>0</x:v>
      </x:c>
      <x:c r="E6277" s="12" t="n">
        <x:v>0.31175</x:v>
      </x:c>
      <x:c r="F6277" s="12" t="n">
        <x:v>0.3114166666666666</x:v>
      </x:c>
      <x:c r="G6277" s="12" t="n">
        <x:v>0</x:v>
      </x:c>
      <x:c r="H6277" s="1" t="n">
        <x:f>'Historical prices'!E6277</x:f>
        <x:v>1.05</x:v>
      </x:c>
      <x:c r="I6277" s="6" t="n">
        <x:f>'Historical prices'!D6277</x:f>
        <x:v>0.4328</x:v>
      </x:c>
      <x:c r="J6277" s="13" t="n">
        <x:f>D6277*I6277*H6277</x:f>
        <x:v>0</x:v>
      </x:c>
      <x:c r="K6277" s="13" t="n">
        <x:f>E6277*I6277*H6277</x:f>
        <x:v>0.14167167000000003</x:v>
      </x:c>
      <x:c r="L6277" s="1" t="str">
        <x:f>TEXT(A6277,"mmm yyyy")</x:f>
        <x:v>Sep 2026</x:v>
      </x:c>
    </x:row>
    <x:row r="6278" ht="21" customHeight="1">
      <x:c r="A6278" s="10" t="n">
        <x:v>46279</x:v>
      </x:c>
      <x:c r="B6278" s="1" t="n">
        <x:v>7</x:v>
      </x:c>
      <x:c r="C6278" s="1" t="n">
        <x:v>6</x:v>
      </x:c>
      <x:c r="D6278" s="12" t="n">
        <x:v>0</x:v>
      </x:c>
      <x:c r="E6278" s="12" t="n">
        <x:v>0.255</x:v>
      </x:c>
      <x:c r="F6278" s="12" t="n">
        <x:v>0.25458333333333333</x:v>
      </x:c>
      <x:c r="G6278" s="12" t="n">
        <x:v>0</x:v>
      </x:c>
      <x:c r="H6278" s="1" t="n">
        <x:f>'Historical prices'!E6278</x:f>
        <x:v>1.05</x:v>
      </x:c>
      <x:c r="I6278" s="6" t="n">
        <x:f>'Historical prices'!D6278</x:f>
        <x:v>0.4286</x:v>
      </x:c>
      <x:c r="J6278" s="13" t="n">
        <x:f>D6278*I6278*H6278</x:f>
        <x:v>0</x:v>
      </x:c>
      <x:c r="K6278" s="13" t="n">
        <x:f>E6278*I6278*H6278</x:f>
        <x:v>0.11475765</x:v>
      </x:c>
      <x:c r="L6278" s="1" t="str">
        <x:f>TEXT(A6278,"mmm yyyy")</x:f>
        <x:v>Sep 2026</x:v>
      </x:c>
    </x:row>
    <x:row r="6279" ht="21" customHeight="1">
      <x:c r="A6279" s="10" t="n">
        <x:v>46279</x:v>
      </x:c>
      <x:c r="B6279" s="1" t="n">
        <x:v>7.5</x:v>
      </x:c>
      <x:c r="C6279" s="1" t="n">
        <x:v>6</x:v>
      </x:c>
      <x:c r="D6279" s="12" t="n">
        <x:v>0</x:v>
      </x:c>
      <x:c r="E6279" s="12" t="n">
        <x:v>0.3016666666666667</x:v>
      </x:c>
      <x:c r="F6279" s="12" t="n">
        <x:v>0.30125</x:v>
      </x:c>
      <x:c r="G6279" s="12" t="n">
        <x:v>0</x:v>
      </x:c>
      <x:c r="H6279" s="1" t="n">
        <x:f>'Historical prices'!E6279</x:f>
        <x:v>1.05</x:v>
      </x:c>
      <x:c r="I6279" s="6" t="n">
        <x:f>'Historical prices'!D6279</x:f>
        <x:v>0.4474</x:v>
      </x:c>
      <x:c r="J6279" s="13" t="n">
        <x:f>D6279*I6279*H6279</x:f>
        <x:v>0</x:v>
      </x:c>
      <x:c r="K6279" s="13" t="n">
        <x:f>E6279*I6279*H6279</x:f>
        <x:v>0.14171395</x:v>
      </x:c>
      <x:c r="L6279" s="1" t="str">
        <x:f>TEXT(A6279,"mmm yyyy")</x:f>
        <x:v>Sep 2026</x:v>
      </x:c>
    </x:row>
    <x:row r="6280" ht="21" customHeight="1">
      <x:c r="A6280" s="10" t="n">
        <x:v>46279</x:v>
      </x:c>
      <x:c r="B6280" s="1" t="n">
        <x:v>8</x:v>
      </x:c>
      <x:c r="C6280" s="1" t="n">
        <x:v>6</x:v>
      </x:c>
      <x:c r="D6280" s="12" t="n">
        <x:v>0</x:v>
      </x:c>
      <x:c r="E6280" s="12" t="n">
        <x:v>0.21133333333333332</x:v>
      </x:c>
      <x:c r="F6280" s="12" t="n">
        <x:v>0.2105</x:v>
      </x:c>
      <x:c r="G6280" s="12" t="n">
        <x:v>0</x:v>
      </x:c>
      <x:c r="H6280" s="1" t="n">
        <x:f>'Historical prices'!E6280</x:f>
        <x:v>1.05</x:v>
      </x:c>
      <x:c r="I6280" s="6" t="n">
        <x:f>'Historical prices'!D6280</x:f>
        <x:v>0.41859999999999997</x:v>
      </x:c>
      <x:c r="J6280" s="13" t="n">
        <x:f>D6280*I6280*H6280</x:f>
        <x:v>0</x:v>
      </x:c>
      <x:c r="K6280" s="13" t="n">
        <x:f>E6280*I6280*H6280</x:f>
        <x:v>0.09288733999999998</x:v>
      </x:c>
      <x:c r="L6280" s="1" t="str">
        <x:f>TEXT(A6280,"mmm yyyy")</x:f>
        <x:v>Sep 2026</x:v>
      </x:c>
    </x:row>
    <x:row r="6281" ht="21" customHeight="1">
      <x:c r="A6281" s="10" t="n">
        <x:v>46279</x:v>
      </x:c>
      <x:c r="B6281" s="1" t="n">
        <x:v>8.5</x:v>
      </x:c>
      <x:c r="C6281" s="1" t="n">
        <x:v>6</x:v>
      </x:c>
      <x:c r="D6281" s="12" t="n">
        <x:v>0</x:v>
      </x:c>
      <x:c r="E6281" s="12" t="n">
        <x:v>0.23725</x:v>
      </x:c>
      <x:c r="F6281" s="12" t="n">
        <x:v>0.23650000000000002</x:v>
      </x:c>
      <x:c r="G6281" s="12" t="n">
        <x:v>0</x:v>
      </x:c>
      <x:c r="H6281" s="1" t="n">
        <x:f>'Historical prices'!E6281</x:f>
        <x:v>1.05</x:v>
      </x:c>
      <x:c r="I6281" s="6" t="n">
        <x:f>'Historical prices'!D6281</x:f>
        <x:v>0.41840000000000005</x:v>
      </x:c>
      <x:c r="J6281" s="13" t="n">
        <x:f>D6281*I6281*H6281</x:f>
        <x:v>0</x:v>
      </x:c>
      <x:c r="K6281" s="13" t="n">
        <x:f>E6281*I6281*H6281</x:f>
        <x:v>0.10422867000000001</x:v>
      </x:c>
      <x:c r="L6281" s="1" t="str">
        <x:f>TEXT(A6281,"mmm yyyy")</x:f>
        <x:v>Sep 2026</x:v>
      </x:c>
    </x:row>
    <x:row r="6282" ht="21" customHeight="1">
      <x:c r="A6282" s="10" t="n">
        <x:v>46279</x:v>
      </x:c>
      <x:c r="B6282" s="1" t="n">
        <x:v>9</x:v>
      </x:c>
      <x:c r="C6282" s="1" t="n">
        <x:v>6</x:v>
      </x:c>
      <x:c r="D6282" s="12" t="n">
        <x:v>0</x:v>
      </x:c>
      <x:c r="E6282" s="12" t="n">
        <x:v>0.28108333333333335</x:v>
      </x:c>
      <x:c r="F6282" s="12" t="n">
        <x:v>0.28025</x:v>
      </x:c>
      <x:c r="G6282" s="12" t="n">
        <x:v>0</x:v>
      </x:c>
      <x:c r="H6282" s="1" t="n">
        <x:f>'Historical prices'!E6282</x:f>
        <x:v>1.05</x:v>
      </x:c>
      <x:c r="I6282" s="6" t="n">
        <x:f>'Historical prices'!D6282</x:f>
        <x:v>0.37929999999999997</x:v>
      </x:c>
      <x:c r="J6282" s="13" t="n">
        <x:f>D6282*I6282*H6282</x:f>
        <x:v>0</x:v>
      </x:c>
      <x:c r="K6282" s="13" t="n">
        <x:f>E6282*I6282*H6282</x:f>
        <x:v>0.11194565375</x:v>
      </x:c>
      <x:c r="L6282" s="1" t="str">
        <x:f>TEXT(A6282,"mmm yyyy")</x:f>
        <x:v>Sep 2026</x:v>
      </x:c>
    </x:row>
    <x:row r="6283" ht="21" customHeight="1">
      <x:c r="A6283" s="10" t="n">
        <x:v>46279</x:v>
      </x:c>
      <x:c r="B6283" s="1" t="n">
        <x:v>9.5</x:v>
      </x:c>
      <x:c r="C6283" s="1" t="n">
        <x:v>6</x:v>
      </x:c>
      <x:c r="D6283" s="12" t="n">
        <x:v>0</x:v>
      </x:c>
      <x:c r="E6283" s="12" t="n">
        <x:v>0.25275</x:v>
      </x:c>
      <x:c r="F6283" s="12" t="n">
        <x:v>0.25266666666666665</x:v>
      </x:c>
      <x:c r="G6283" s="12" t="n">
        <x:v>0</x:v>
      </x:c>
      <x:c r="H6283" s="1" t="n">
        <x:f>'Historical prices'!E6283</x:f>
        <x:v>1.05</x:v>
      </x:c>
      <x:c r="I6283" s="6" t="n">
        <x:f>'Historical prices'!D6283</x:f>
        <x:v>0.35509999999999997</x:v>
      </x:c>
      <x:c r="J6283" s="13" t="n">
        <x:f>D6283*I6283*H6283</x:f>
        <x:v>0</x:v>
      </x:c>
      <x:c r="K6283" s="13" t="n">
        <x:f>E6283*I6283*H6283</x:f>
        <x:v>0.09423910124999998</x:v>
      </x:c>
      <x:c r="L6283" s="1" t="str">
        <x:f>TEXT(A6283,"mmm yyyy")</x:f>
        <x:v>Sep 2026</x:v>
      </x:c>
    </x:row>
    <x:row r="6284" ht="21" customHeight="1">
      <x:c r="A6284" s="10" t="n">
        <x:v>46279</x:v>
      </x:c>
      <x:c r="B6284" s="1" t="n">
        <x:v>10</x:v>
      </x:c>
      <x:c r="C6284" s="1" t="n">
        <x:v>6</x:v>
      </x:c>
      <x:c r="D6284" s="12" t="n">
        <x:v>0.12975</x:v>
      </x:c>
      <x:c r="E6284" s="12" t="n">
        <x:v>0.17383333333333334</x:v>
      </x:c>
      <x:c r="F6284" s="12" t="n">
        <x:v>0.034</x:v>
      </x:c>
      <x:c r="G6284" s="12" t="n">
        <x:v>0</x:v>
      </x:c>
      <x:c r="H6284" s="1" t="n">
        <x:f>'Historical prices'!E6284</x:f>
        <x:v>1.05</x:v>
      </x:c>
      <x:c r="I6284" s="6" t="n">
        <x:f>'Historical prices'!D6284</x:f>
        <x:v>0.3396</x:v>
      </x:c>
      <x:c r="J6284" s="13" t="n">
        <x:f>D6284*I6284*H6284</x:f>
        <x:v>0.046266255000000006</x:v>
      </x:c>
      <x:c r="K6284" s="13" t="n">
        <x:f>E6284*I6284*H6284</x:f>
        <x:v>0.061985490000000004</x:v>
      </x:c>
      <x:c r="L6284" s="1" t="str">
        <x:f>TEXT(A6284,"mmm yyyy")</x:f>
        <x:v>Sep 2026</x:v>
      </x:c>
    </x:row>
    <x:row r="6285" ht="21" customHeight="1">
      <x:c r="A6285" s="10" t="n">
        <x:v>46279</x:v>
      </x:c>
      <x:c r="B6285" s="1" t="n">
        <x:v>10.5</x:v>
      </x:c>
      <x:c r="C6285" s="1" t="n">
        <x:v>6</x:v>
      </x:c>
      <x:c r="D6285" s="12" t="n">
        <x:v>0.2</x:v>
      </x:c>
      <x:c r="E6285" s="12" t="n">
        <x:v>0.21000000000000002</x:v>
      </x:c>
      <x:c r="F6285" s="12" t="n">
        <x:v>0</x:v>
      </x:c>
      <x:c r="G6285" s="12" t="n">
        <x:v>0</x:v>
      </x:c>
      <x:c r="H6285" s="1" t="n">
        <x:f>'Historical prices'!E6285</x:f>
        <x:v>1.05</x:v>
      </x:c>
      <x:c r="I6285" s="6" t="n">
        <x:f>'Historical prices'!D6285</x:f>
        <x:v>0.3296</x:v>
      </x:c>
      <x:c r="J6285" s="13" t="n">
        <x:f>D6285*I6285*H6285</x:f>
        <x:v>0.06921600000000001</x:v>
      </x:c>
      <x:c r="K6285" s="13" t="n">
        <x:f>E6285*I6285*H6285</x:f>
        <x:v>0.07267680000000001</x:v>
      </x:c>
      <x:c r="L6285" s="1" t="str">
        <x:f>TEXT(A6285,"mmm yyyy")</x:f>
        <x:v>Sep 2026</x:v>
      </x:c>
    </x:row>
    <x:row r="6286" ht="21" customHeight="1">
      <x:c r="A6286" s="10" t="n">
        <x:v>46279</x:v>
      </x:c>
      <x:c r="B6286" s="1" t="n">
        <x:v>11</x:v>
      </x:c>
      <x:c r="C6286" s="1" t="n">
        <x:v>6</x:v>
      </x:c>
      <x:c r="D6286" s="12" t="n">
        <x:v>0.1635</x:v>
      </x:c>
      <x:c r="E6286" s="12" t="n">
        <x:v>0.1745</x:v>
      </x:c>
      <x:c r="F6286" s="12" t="n">
        <x:v>0</x:v>
      </x:c>
      <x:c r="G6286" s="12" t="n">
        <x:v>0</x:v>
      </x:c>
      <x:c r="H6286" s="1" t="n">
        <x:f>'Historical prices'!E6286</x:f>
        <x:v>1.05</x:v>
      </x:c>
      <x:c r="I6286" s="6" t="n">
        <x:f>'Historical prices'!D6286</x:f>
        <x:v>0.3428</x:v>
      </x:c>
      <x:c r="J6286" s="13" t="n">
        <x:f>D6286*I6286*H6286</x:f>
        <x:v>0.058850190000000004</x:v>
      </x:c>
      <x:c r="K6286" s="13" t="n">
        <x:f>E6286*I6286*H6286</x:f>
        <x:v>0.06280952999999999</x:v>
      </x:c>
      <x:c r="L6286" s="1" t="str">
        <x:f>TEXT(A6286,"mmm yyyy")</x:f>
        <x:v>Sep 2026</x:v>
      </x:c>
    </x:row>
    <x:row r="6287" ht="21" customHeight="1">
      <x:c r="A6287" s="10" t="n">
        <x:v>46279</x:v>
      </x:c>
      <x:c r="B6287" s="1" t="n">
        <x:v>11.5</x:v>
      </x:c>
      <x:c r="C6287" s="1" t="n">
        <x:v>6</x:v>
      </x:c>
      <x:c r="D6287" s="12" t="n">
        <x:v>0.25225</x:v>
      </x:c>
      <x:c r="E6287" s="12" t="n">
        <x:v>0.26225</x:v>
      </x:c>
      <x:c r="F6287" s="12" t="n">
        <x:v>0</x:v>
      </x:c>
      <x:c r="G6287" s="12" t="n">
        <x:v>0</x:v>
      </x:c>
      <x:c r="H6287" s="1" t="n">
        <x:f>'Historical prices'!E6287</x:f>
        <x:v>1.05</x:v>
      </x:c>
      <x:c r="I6287" s="6" t="n">
        <x:f>'Historical prices'!D6287</x:f>
        <x:v>0.3236</x:v>
      </x:c>
      <x:c r="J6287" s="13" t="n">
        <x:f>D6287*I6287*H6287</x:f>
        <x:v>0.085709505</x:v>
      </x:c>
      <x:c r="K6287" s="13" t="n">
        <x:f>E6287*I6287*H6287</x:f>
        <x:v>0.089107305</x:v>
      </x:c>
      <x:c r="L6287" s="1" t="str">
        <x:f>TEXT(A6287,"mmm yyyy")</x:f>
        <x:v>Sep 2026</x:v>
      </x:c>
    </x:row>
    <x:row r="6288" ht="21" customHeight="1">
      <x:c r="A6288" s="10" t="n">
        <x:v>46279</x:v>
      </x:c>
      <x:c r="B6288" s="1" t="n">
        <x:v>12</x:v>
      </x:c>
      <x:c r="C6288" s="1" t="n">
        <x:v>6</x:v>
      </x:c>
      <x:c r="D6288" s="12" t="n">
        <x:v>0.20925000000000002</x:v>
      </x:c>
      <x:c r="E6288" s="12" t="n">
        <x:v>0.22025000000000003</x:v>
      </x:c>
      <x:c r="F6288" s="12" t="n">
        <x:v>0</x:v>
      </x:c>
      <x:c r="G6288" s="12" t="n">
        <x:v>0</x:v>
      </x:c>
      <x:c r="H6288" s="1" t="n">
        <x:f>'Historical prices'!E6288</x:f>
        <x:v>1.05</x:v>
      </x:c>
      <x:c r="I6288" s="6" t="n">
        <x:f>'Historical prices'!D6288</x:f>
        <x:v>0.3037</x:v>
      </x:c>
      <x:c r="J6288" s="13" t="n">
        <x:f>D6288*I6288*H6288</x:f>
        <x:v>0.06672668625000001</x:v>
      </x:c>
      <x:c r="K6288" s="13" t="n">
        <x:f>E6288*I6288*H6288</x:f>
        <x:v>0.07023442125000003</x:v>
      </x:c>
      <x:c r="L6288" s="1" t="str">
        <x:f>TEXT(A6288,"mmm yyyy")</x:f>
        <x:v>Sep 2026</x:v>
      </x:c>
    </x:row>
    <x:row r="6289" ht="21" customHeight="1">
      <x:c r="A6289" s="10" t="n">
        <x:v>46279</x:v>
      </x:c>
      <x:c r="B6289" s="1" t="n">
        <x:v>12.5</x:v>
      </x:c>
      <x:c r="C6289" s="1" t="n">
        <x:v>6</x:v>
      </x:c>
      <x:c r="D6289" s="12" t="n">
        <x:v>0.15275</x:v>
      </x:c>
      <x:c r="E6289" s="12" t="n">
        <x:v>0.16174999999999998</x:v>
      </x:c>
      <x:c r="F6289" s="12" t="n">
        <x:v>0</x:v>
      </x:c>
      <x:c r="G6289" s="12" t="n">
        <x:v>0</x:v>
      </x:c>
      <x:c r="H6289" s="1" t="n">
        <x:f>'Historical prices'!E6289</x:f>
        <x:v>1.05</x:v>
      </x:c>
      <x:c r="I6289" s="6" t="n">
        <x:f>'Historical prices'!D6289</x:f>
        <x:v>0.3055</x:v>
      </x:c>
      <x:c r="J6289" s="13" t="n">
        <x:f>D6289*I6289*H6289</x:f>
        <x:v>0.048998381249999994</x:v>
      </x:c>
      <x:c r="K6289" s="13" t="n">
        <x:f>E6289*I6289*H6289</x:f>
        <x:v>0.05188535624999999</x:v>
      </x:c>
      <x:c r="L6289" s="1" t="str">
        <x:f>TEXT(A6289,"mmm yyyy")</x:f>
        <x:v>Sep 2026</x:v>
      </x:c>
    </x:row>
    <x:row r="6290" ht="21" customHeight="1">
      <x:c r="A6290" s="10" t="n">
        <x:v>46279</x:v>
      </x:c>
      <x:c r="B6290" s="1" t="n">
        <x:v>13</x:v>
      </x:c>
      <x:c r="C6290" s="1" t="n">
        <x:v>6</x:v>
      </x:c>
      <x:c r="D6290" s="12" t="n">
        <x:v>0.17075</x:v>
      </x:c>
      <x:c r="E6290" s="12" t="n">
        <x:v>0.18175</x:v>
      </x:c>
      <x:c r="F6290" s="12" t="n">
        <x:v>0</x:v>
      </x:c>
      <x:c r="G6290" s="12" t="n">
        <x:v>0</x:v>
      </x:c>
      <x:c r="H6290" s="1" t="n">
        <x:f>'Historical prices'!E6290</x:f>
        <x:v>1.05</x:v>
      </x:c>
      <x:c r="I6290" s="6" t="n">
        <x:f>'Historical prices'!D6290</x:f>
        <x:v>0.3066</x:v>
      </x:c>
      <x:c r="J6290" s="13" t="n">
        <x:f>D6290*I6290*H6290</x:f>
        <x:v>0.0549695475</x:v>
      </x:c>
      <x:c r="K6290" s="13" t="n">
        <x:f>E6290*I6290*H6290</x:f>
        <x:v>0.0585107775</x:v>
      </x:c>
      <x:c r="L6290" s="1" t="str">
        <x:f>TEXT(A6290,"mmm yyyy")</x:f>
        <x:v>Sep 2026</x:v>
      </x:c>
    </x:row>
    <x:row r="6291" ht="21" customHeight="1">
      <x:c r="A6291" s="10" t="n">
        <x:v>46279</x:v>
      </x:c>
      <x:c r="B6291" s="1" t="n">
        <x:v>13.5</x:v>
      </x:c>
      <x:c r="C6291" s="1" t="n">
        <x:v>6</x:v>
      </x:c>
      <x:c r="D6291" s="12" t="n">
        <x:v>3.1112499999999996</x:v>
      </x:c>
      <x:c r="E6291" s="12" t="n">
        <x:v>0.36825</x:v>
      </x:c>
      <x:c r="F6291" s="12" t="n">
        <x:v>0</x:v>
      </x:c>
      <x:c r="G6291" s="12" t="n">
        <x:v>2.745</x:v>
      </x:c>
      <x:c r="H6291" s="1" t="n">
        <x:f>'Historical prices'!E6291</x:f>
        <x:v>1.05</x:v>
      </x:c>
      <x:c r="I6291" s="6" t="n">
        <x:f>'Historical prices'!D6291</x:f>
        <x:v>0.289</x:v>
      </x:c>
      <x:c r="J6291" s="13" t="n">
        <x:f>D6291*I6291*H6291</x:f>
        <x:v>0.9441088124999999</x:v>
      </x:c>
      <x:c r="K6291" s="13" t="n">
        <x:f>E6291*I6291*H6291</x:f>
        <x:v>0.1117454625</x:v>
      </x:c>
      <x:c r="L6291" s="1" t="str">
        <x:f>TEXT(A6291,"mmm yyyy")</x:f>
        <x:v>Sep 2026</x:v>
      </x:c>
    </x:row>
    <x:row r="6292" ht="21" customHeight="1">
      <x:c r="A6292" s="10" t="n">
        <x:v>46279</x:v>
      </x:c>
      <x:c r="B6292" s="1" t="n">
        <x:v>14</x:v>
      </x:c>
      <x:c r="C6292" s="1" t="n">
        <x:v>6</x:v>
      </x:c>
      <x:c r="D6292" s="12" t="n">
        <x:v>0.442</x:v>
      </x:c>
      <x:c r="E6292" s="12" t="n">
        <x:v>0.15499999999999997</x:v>
      </x:c>
      <x:c r="F6292" s="12" t="n">
        <x:v>0</x:v>
      </x:c>
      <x:c r="G6292" s="12" t="n">
        <x:v>0.295</x:v>
      </x:c>
      <x:c r="H6292" s="1" t="n">
        <x:f>'Historical prices'!E6292</x:f>
        <x:v>1.05</x:v>
      </x:c>
      <x:c r="I6292" s="6" t="n">
        <x:f>'Historical prices'!D6292</x:f>
        <x:v>0.3005</x:v>
      </x:c>
      <x:c r="J6292" s="13" t="n">
        <x:f>D6292*I6292*H6292</x:f>
        <x:v>0.13946205</x:v>
      </x:c>
      <x:c r="K6292" s="13" t="n">
        <x:f>E6292*I6292*H6292</x:f>
        <x:v>0.04890637499999999</x:v>
      </x:c>
      <x:c r="L6292" s="1" t="str">
        <x:f>TEXT(A6292,"mmm yyyy")</x:f>
        <x:v>Sep 2026</x:v>
      </x:c>
    </x:row>
    <x:row r="6293" ht="21" customHeight="1">
      <x:c r="A6293" s="10" t="n">
        <x:v>46279</x:v>
      </x:c>
      <x:c r="B6293" s="1" t="n">
        <x:v>14.5</x:v>
      </x:c>
      <x:c r="C6293" s="1" t="n">
        <x:v>6</x:v>
      </x:c>
      <x:c r="D6293" s="12" t="n">
        <x:v>3.7547499999999996</x:v>
      </x:c>
      <x:c r="E6293" s="12" t="n">
        <x:v>0.34275</x:v>
      </x:c>
      <x:c r="F6293" s="12" t="n">
        <x:v>0</x:v>
      </x:c>
      <x:c r="G6293" s="12" t="n">
        <x:v>3.4139999999999997</x:v>
      </x:c>
      <x:c r="H6293" s="1" t="n">
        <x:f>'Historical prices'!E6293</x:f>
        <x:v>1.05</x:v>
      </x:c>
      <x:c r="I6293" s="6" t="n">
        <x:f>'Historical prices'!D6293</x:f>
        <x:v>0.2883</x:v>
      </x:c>
      <x:c r="J6293" s="13" t="n">
        <x:f>D6293*I6293*H6293</x:f>
        <x:v>1.13661914625</x:v>
      </x:c>
      <x:c r="K6293" s="13" t="n">
        <x:f>E6293*I6293*H6293</x:f>
        <x:v>0.10375556625</x:v>
      </x:c>
      <x:c r="L6293" s="1" t="str">
        <x:f>TEXT(A6293,"mmm yyyy")</x:f>
        <x:v>Sep 2026</x:v>
      </x:c>
    </x:row>
    <x:row r="6294" ht="21" customHeight="1">
      <x:c r="A6294" s="10" t="n">
        <x:v>46279</x:v>
      </x:c>
      <x:c r="B6294" s="1" t="n">
        <x:v>15</x:v>
      </x:c>
      <x:c r="C6294" s="1" t="n">
        <x:v>6</x:v>
      </x:c>
      <x:c r="D6294" s="12" t="n">
        <x:v>0.7220000000000001</x:v>
      </x:c>
      <x:c r="E6294" s="12" t="n">
        <x:v>0.21600000000000003</x:v>
      </x:c>
      <x:c r="F6294" s="12" t="n">
        <x:v>0</x:v>
      </x:c>
      <x:c r="G6294" s="12" t="n">
        <x:v>0.513</x:v>
      </x:c>
      <x:c r="H6294" s="1" t="n">
        <x:f>'Historical prices'!E6294</x:f>
        <x:v>1.05</x:v>
      </x:c>
      <x:c r="I6294" s="6" t="n">
        <x:f>'Historical prices'!D6294</x:f>
        <x:v>0.33590000000000003</x:v>
      </x:c>
      <x:c r="J6294" s="13" t="n">
        <x:f>D6294*I6294*H6294</x:f>
        <x:v>0.2546457900000001</x:v>
      </x:c>
      <x:c r="K6294" s="13" t="n">
        <x:f>E6294*I6294*H6294</x:f>
        <x:v>0.07618212000000002</x:v>
      </x:c>
      <x:c r="L6294" s="1" t="str">
        <x:f>TEXT(A6294,"mmm yyyy")</x:f>
        <x:v>Sep 2026</x:v>
      </x:c>
    </x:row>
    <x:row r="6295" ht="21" customHeight="1">
      <x:c r="A6295" s="10" t="n">
        <x:v>46279</x:v>
      </x:c>
      <x:c r="B6295" s="1" t="n">
        <x:v>15.5</x:v>
      </x:c>
      <x:c r="C6295" s="1" t="n">
        <x:v>6</x:v>
      </x:c>
      <x:c r="D6295" s="12" t="n">
        <x:v>0.0295</x:v>
      </x:c>
      <x:c r="E6295" s="12" t="n">
        <x:v>0.22866666666666668</x:v>
      </x:c>
      <x:c r="F6295" s="12" t="n">
        <x:v>0.19258333333333336</x:v>
      </x:c>
      <x:c r="G6295" s="12" t="n">
        <x:v>0</x:v>
      </x:c>
      <x:c r="H6295" s="1" t="n">
        <x:f>'Historical prices'!E6295</x:f>
        <x:v>1.05</x:v>
      </x:c>
      <x:c r="I6295" s="6" t="n">
        <x:f>'Historical prices'!D6295</x:f>
        <x:v>0.3627</x:v>
      </x:c>
      <x:c r="J6295" s="13" t="n">
        <x:f>D6295*I6295*H6295</x:f>
        <x:v>0.011234632500000001</x:v>
      </x:c>
      <x:c r="K6295" s="13" t="n">
        <x:f>E6295*I6295*H6295</x:f>
        <x:v>0.08708427000000002</x:v>
      </x:c>
      <x:c r="L6295" s="1" t="str">
        <x:f>TEXT(A6295,"mmm yyyy")</x:f>
        <x:v>Sep 2026</x:v>
      </x:c>
    </x:row>
    <x:row r="6296" ht="21" customHeight="1">
      <x:c r="A6296" s="10" t="n">
        <x:v>46279</x:v>
      </x:c>
      <x:c r="B6296" s="1" t="n">
        <x:v>16</x:v>
      </x:c>
      <x:c r="C6296" s="1" t="n">
        <x:v>6</x:v>
      </x:c>
      <x:c r="D6296" s="12" t="n">
        <x:v>0</x:v>
      </x:c>
      <x:c r="E6296" s="12" t="n">
        <x:v>0.3091666666666667</x:v>
      </x:c>
      <x:c r="F6296" s="12" t="n">
        <x:v>0.3085833333333333</x:v>
      </x:c>
      <x:c r="G6296" s="12" t="n">
        <x:v>0</x:v>
      </x:c>
      <x:c r="H6296" s="1" t="n">
        <x:f>'Historical prices'!E6296</x:f>
        <x:v>1.05</x:v>
      </x:c>
      <x:c r="I6296" s="6" t="n">
        <x:f>'Historical prices'!D6296</x:f>
        <x:v>0.4718</x:v>
      </x:c>
      <x:c r="J6296" s="13" t="n">
        <x:f>D6296*I6296*H6296</x:f>
        <x:v>0</x:v>
      </x:c>
      <x:c r="K6296" s="13" t="n">
        <x:f>E6296*I6296*H6296</x:f>
        <x:v>0.15315807500000003</x:v>
      </x:c>
      <x:c r="L6296" s="1" t="str">
        <x:f>TEXT(A6296,"mmm yyyy")</x:f>
        <x:v>Sep 2026</x:v>
      </x:c>
    </x:row>
    <x:row r="6297" ht="21" customHeight="1">
      <x:c r="A6297" s="10" t="n">
        <x:v>46279</x:v>
      </x:c>
      <x:c r="B6297" s="1" t="n">
        <x:v>16.5</x:v>
      </x:c>
      <x:c r="C6297" s="1" t="n">
        <x:v>6</x:v>
      </x:c>
      <x:c r="D6297" s="12" t="n">
        <x:v>0</x:v>
      </x:c>
      <x:c r="E6297" s="12" t="n">
        <x:v>0.25866666666666666</x:v>
      </x:c>
      <x:c r="F6297" s="12" t="n">
        <x:v>0.25816666666666666</x:v>
      </x:c>
      <x:c r="G6297" s="12" t="n">
        <x:v>0</x:v>
      </x:c>
      <x:c r="H6297" s="1" t="n">
        <x:f>'Historical prices'!E6297</x:f>
        <x:v>1.05</x:v>
      </x:c>
      <x:c r="I6297" s="6" t="n">
        <x:f>'Historical prices'!D6297</x:f>
        <x:v>0.5147999999999999</x:v>
      </x:c>
      <x:c r="J6297" s="13" t="n">
        <x:f>D6297*I6297*H6297</x:f>
        <x:v>0</x:v>
      </x:c>
      <x:c r="K6297" s="13" t="n">
        <x:f>E6297*I6297*H6297</x:f>
        <x:v>0.13981967999999997</x:v>
      </x:c>
      <x:c r="L6297" s="1" t="str">
        <x:f>TEXT(A6297,"mmm yyyy")</x:f>
        <x:v>Sep 2026</x:v>
      </x:c>
    </x:row>
    <x:row r="6298" ht="21" customHeight="1">
      <x:c r="A6298" s="10" t="n">
        <x:v>46279</x:v>
      </x:c>
      <x:c r="B6298" s="1" t="n">
        <x:v>17</x:v>
      </x:c>
      <x:c r="C6298" s="1" t="n">
        <x:v>6</x:v>
      </x:c>
      <x:c r="D6298" s="12" t="n">
        <x:v>0</x:v>
      </x:c>
      <x:c r="E6298" s="12" t="n">
        <x:v>0.22008333333333333</x:v>
      </x:c>
      <x:c r="F6298" s="12" t="n">
        <x:v>0.21958333333333335</x:v>
      </x:c>
      <x:c r="G6298" s="12" t="n">
        <x:v>0</x:v>
      </x:c>
      <x:c r="H6298" s="1" t="n">
        <x:f>'Historical prices'!E6298</x:f>
        <x:v>1.05</x:v>
      </x:c>
      <x:c r="I6298" s="6" t="n">
        <x:f>'Historical prices'!D6298</x:f>
        <x:v>0.5611999999999999</x:v>
      </x:c>
      <x:c r="J6298" s="13" t="n">
        <x:f>D6298*I6298*H6298</x:f>
        <x:v>0</x:v>
      </x:c>
      <x:c r="K6298" s="13" t="n">
        <x:f>E6298*I6298*H6298</x:f>
        <x:v>0.12968630499999997</x:v>
      </x:c>
      <x:c r="L6298" s="1" t="str">
        <x:f>TEXT(A6298,"mmm yyyy")</x:f>
        <x:v>Sep 2026</x:v>
      </x:c>
    </x:row>
    <x:row r="6299" ht="21" customHeight="1">
      <x:c r="A6299" s="10" t="n">
        <x:v>46279</x:v>
      </x:c>
      <x:c r="B6299" s="1" t="n">
        <x:v>17.5</x:v>
      </x:c>
      <x:c r="C6299" s="1" t="n">
        <x:v>6</x:v>
      </x:c>
      <x:c r="D6299" s="12" t="n">
        <x:v>0</x:v>
      </x:c>
      <x:c r="E6299" s="12" t="n">
        <x:v>0.28391666666666665</x:v>
      </x:c>
      <x:c r="F6299" s="12" t="n">
        <x:v>0.2833333333333333</x:v>
      </x:c>
      <x:c r="G6299" s="12" t="n">
        <x:v>0</x:v>
      </x:c>
      <x:c r="H6299" s="1" t="n">
        <x:f>'Historical prices'!E6299</x:f>
        <x:v>1.05</x:v>
      </x:c>
      <x:c r="I6299" s="6" t="n">
        <x:f>'Historical prices'!D6299</x:f>
        <x:v>0.5532</x:v>
      </x:c>
      <x:c r="J6299" s="13" t="n">
        <x:f>D6299*I6299*H6299</x:f>
        <x:v>0</x:v>
      </x:c>
      <x:c r="K6299" s="13" t="n">
        <x:f>E6299*I6299*H6299</x:f>
        <x:v>0.164915835</x:v>
      </x:c>
      <x:c r="L6299" s="1" t="str">
        <x:f>TEXT(A6299,"mmm yyyy")</x:f>
        <x:v>Sep 2026</x:v>
      </x:c>
    </x:row>
    <x:row r="6300" ht="21" customHeight="1">
      <x:c r="A6300" s="10" t="n">
        <x:v>46279</x:v>
      </x:c>
      <x:c r="B6300" s="1" t="n">
        <x:v>18</x:v>
      </x:c>
      <x:c r="C6300" s="1" t="n">
        <x:v>6</x:v>
      </x:c>
      <x:c r="D6300" s="12" t="n">
        <x:v>0</x:v>
      </x:c>
      <x:c r="E6300" s="12" t="n">
        <x:v>0.26599999999999996</x:v>
      </x:c>
      <x:c r="F6300" s="12" t="n">
        <x:v>0.26566666666666666</x:v>
      </x:c>
      <x:c r="G6300" s="12" t="n">
        <x:v>0</x:v>
      </x:c>
      <x:c r="H6300" s="1" t="n">
        <x:f>'Historical prices'!E6300</x:f>
        <x:v>1.05</x:v>
      </x:c>
      <x:c r="I6300" s="6" t="n">
        <x:f>'Historical prices'!D6300</x:f>
        <x:v>0.5590999999999999</x:v>
      </x:c>
      <x:c r="J6300" s="13" t="n">
        <x:f>D6300*I6300*H6300</x:f>
        <x:v>0</x:v>
      </x:c>
      <x:c r="K6300" s="13" t="n">
        <x:f>E6300*I6300*H6300</x:f>
        <x:v>0.15615662999999996</x:v>
      </x:c>
      <x:c r="L6300" s="1" t="str">
        <x:f>TEXT(A6300,"mmm yyyy")</x:f>
        <x:v>Sep 2026</x:v>
      </x:c>
    </x:row>
    <x:row r="6301" ht="21" customHeight="1">
      <x:c r="A6301" s="10" t="n">
        <x:v>46279</x:v>
      </x:c>
      <x:c r="B6301" s="1" t="n">
        <x:v>18.5</x:v>
      </x:c>
      <x:c r="C6301" s="1" t="n">
        <x:v>6</x:v>
      </x:c>
      <x:c r="D6301" s="12" t="n">
        <x:v>0</x:v>
      </x:c>
      <x:c r="E6301" s="12" t="n">
        <x:v>0.2454166666666667</x:v>
      </x:c>
      <x:c r="F6301" s="12" t="n">
        <x:v>0.24375000000000002</x:v>
      </x:c>
      <x:c r="G6301" s="12" t="n">
        <x:v>0</x:v>
      </x:c>
      <x:c r="H6301" s="1" t="n">
        <x:f>'Historical prices'!E6301</x:f>
        <x:v>1.05</x:v>
      </x:c>
      <x:c r="I6301" s="6" t="n">
        <x:f>'Historical prices'!D6301</x:f>
        <x:v>0.5590999999999999</x:v>
      </x:c>
      <x:c r="J6301" s="13" t="n">
        <x:f>D6301*I6301*H6301</x:f>
        <x:v>0</x:v>
      </x:c>
      <x:c r="K6301" s="13" t="n">
        <x:f>E6301*I6301*H6301</x:f>
        <x:v>0.14407308125</x:v>
      </x:c>
      <x:c r="L6301" s="1" t="str">
        <x:f>TEXT(A6301,"mmm yyyy")</x:f>
        <x:v>Sep 2026</x:v>
      </x:c>
    </x:row>
    <x:row r="6302" ht="21" customHeight="1">
      <x:c r="A6302" s="10" t="n">
        <x:v>46279</x:v>
      </x:c>
      <x:c r="B6302" s="1" t="n">
        <x:v>19</x:v>
      </x:c>
      <x:c r="C6302" s="1" t="n">
        <x:v>6</x:v>
      </x:c>
      <x:c r="D6302" s="12" t="n">
        <x:v>0</x:v>
      </x:c>
      <x:c r="E6302" s="12" t="n">
        <x:v>0.2504166666666667</x:v>
      </x:c>
      <x:c r="F6302" s="12" t="n">
        <x:v>0.2455833333333333</x:v>
      </x:c>
      <x:c r="G6302" s="12" t="n">
        <x:v>0</x:v>
      </x:c>
      <x:c r="H6302" s="1" t="n">
        <x:f>'Historical prices'!E6302</x:f>
        <x:v>1.05</x:v>
      </x:c>
      <x:c r="I6302" s="6" t="n">
        <x:f>'Historical prices'!D6302</x:f>
        <x:v>0.4106</x:v>
      </x:c>
      <x:c r="J6302" s="13" t="n">
        <x:f>D6302*I6302*H6302</x:f>
        <x:v>0</x:v>
      </x:c>
      <x:c r="K6302" s="13" t="n">
        <x:f>E6302*I6302*H6302</x:f>
        <x:v>0.10796213750000001</x:v>
      </x:c>
      <x:c r="L6302" s="1" t="str">
        <x:f>TEXT(A6302,"mmm yyyy")</x:f>
        <x:v>Sep 2026</x:v>
      </x:c>
    </x:row>
    <x:row r="6303" ht="21" customHeight="1">
      <x:c r="A6303" s="10" t="n">
        <x:v>46279</x:v>
      </x:c>
      <x:c r="B6303" s="1" t="n">
        <x:v>19.5</x:v>
      </x:c>
      <x:c r="C6303" s="1" t="n">
        <x:v>6</x:v>
      </x:c>
      <x:c r="D6303" s="12" t="n">
        <x:v>0</x:v>
      </x:c>
      <x:c r="E6303" s="12" t="n">
        <x:v>0.34400000000000003</x:v>
      </x:c>
      <x:c r="F6303" s="12" t="n">
        <x:v>0.34366666666666673</x:v>
      </x:c>
      <x:c r="G6303" s="12" t="n">
        <x:v>0</x:v>
      </x:c>
      <x:c r="H6303" s="1" t="n">
        <x:f>'Historical prices'!E6303</x:f>
        <x:v>1.05</x:v>
      </x:c>
      <x:c r="I6303" s="6" t="n">
        <x:f>'Historical prices'!D6303</x:f>
        <x:v>0.4097</x:v>
      </x:c>
      <x:c r="J6303" s="13" t="n">
        <x:f>D6303*I6303*H6303</x:f>
        <x:v>0</x:v>
      </x:c>
      <x:c r="K6303" s="13" t="n">
        <x:f>E6303*I6303*H6303</x:f>
        <x:v>0.14798364</x:v>
      </x:c>
      <x:c r="L6303" s="1" t="str">
        <x:f>TEXT(A6303,"mmm yyyy")</x:f>
        <x:v>Sep 2026</x:v>
      </x:c>
    </x:row>
    <x:row r="6304" ht="21" customHeight="1">
      <x:c r="A6304" s="10" t="n">
        <x:v>46279</x:v>
      </x:c>
      <x:c r="B6304" s="1" t="n">
        <x:v>20</x:v>
      </x:c>
      <x:c r="C6304" s="1" t="n">
        <x:v>6</x:v>
      </x:c>
      <x:c r="D6304" s="12" t="n">
        <x:v>0</x:v>
      </x:c>
      <x:c r="E6304" s="12" t="n">
        <x:v>0.2624166666666667</x:v>
      </x:c>
      <x:c r="F6304" s="12" t="n">
        <x:v>0.2614166666666667</x:v>
      </x:c>
      <x:c r="G6304" s="12" t="n">
        <x:v>0</x:v>
      </x:c>
      <x:c r="H6304" s="1" t="n">
        <x:f>'Historical prices'!E6304</x:f>
        <x:v>1.05</x:v>
      </x:c>
      <x:c r="I6304" s="6" t="n">
        <x:f>'Historical prices'!D6304</x:f>
        <x:v>0.4053</x:v>
      </x:c>
      <x:c r="J6304" s="13" t="n">
        <x:f>D6304*I6304*H6304</x:f>
        <x:v>0</x:v>
      </x:c>
      <x:c r="K6304" s="13" t="n">
        <x:f>E6304*I6304*H6304</x:f>
        <x:v>0.11167534875000001</x:v>
      </x:c>
      <x:c r="L6304" s="1" t="str">
        <x:f>TEXT(A6304,"mmm yyyy")</x:f>
        <x:v>Sep 2026</x:v>
      </x:c>
    </x:row>
    <x:row r="6305" ht="21" customHeight="1">
      <x:c r="A6305" s="10" t="n">
        <x:v>46279</x:v>
      </x:c>
      <x:c r="B6305" s="1" t="n">
        <x:v>20.5</x:v>
      </x:c>
      <x:c r="C6305" s="1" t="n">
        <x:v>6</x:v>
      </x:c>
      <x:c r="D6305" s="12" t="n">
        <x:v>0</x:v>
      </x:c>
      <x:c r="E6305" s="12" t="n">
        <x:v>0.32208333333333333</x:v>
      </x:c>
      <x:c r="F6305" s="12" t="n">
        <x:v>0.3204166666666667</x:v>
      </x:c>
      <x:c r="G6305" s="12" t="n">
        <x:v>0</x:v>
      </x:c>
      <x:c r="H6305" s="1" t="n">
        <x:f>'Historical prices'!E6305</x:f>
        <x:v>1.05</x:v>
      </x:c>
      <x:c r="I6305" s="6" t="n">
        <x:f>'Historical prices'!D6305</x:f>
        <x:v>0.3764</x:v>
      </x:c>
      <x:c r="J6305" s="13" t="n">
        <x:f>D6305*I6305*H6305</x:f>
        <x:v>0</x:v>
      </x:c>
      <x:c r="K6305" s="13" t="n">
        <x:f>E6305*I6305*H6305</x:f>
        <x:v>0.127293775</x:v>
      </x:c>
      <x:c r="L6305" s="1" t="str">
        <x:f>TEXT(A6305,"mmm yyyy")</x:f>
        <x:v>Sep 2026</x:v>
      </x:c>
    </x:row>
    <x:row r="6306" ht="21" customHeight="1">
      <x:c r="A6306" s="10" t="n">
        <x:v>46279</x:v>
      </x:c>
      <x:c r="B6306" s="1" t="n">
        <x:v>21</x:v>
      </x:c>
      <x:c r="C6306" s="1" t="n">
        <x:v>6</x:v>
      </x:c>
      <x:c r="D6306" s="12" t="n">
        <x:v>0</x:v>
      </x:c>
      <x:c r="E6306" s="12" t="n">
        <x:v>0.2798333333333333</x:v>
      </x:c>
      <x:c r="F6306" s="12" t="n">
        <x:v>0.2793333333333333</x:v>
      </x:c>
      <x:c r="G6306" s="12" t="n">
        <x:v>0</x:v>
      </x:c>
      <x:c r="H6306" s="1" t="n">
        <x:f>'Historical prices'!E6306</x:f>
        <x:v>1.05</x:v>
      </x:c>
      <x:c r="I6306" s="6" t="n">
        <x:f>'Historical prices'!D6306</x:f>
        <x:v>0.3467</x:v>
      </x:c>
      <x:c r="J6306" s="13" t="n">
        <x:f>D6306*I6306*H6306</x:f>
        <x:v>0</x:v>
      </x:c>
      <x:c r="K6306" s="13" t="n">
        <x:f>E6306*I6306*H6306</x:f>
        <x:v>0.1018691275</x:v>
      </x:c>
      <x:c r="L6306" s="1" t="str">
        <x:f>TEXT(A6306,"mmm yyyy")</x:f>
        <x:v>Sep 2026</x:v>
      </x:c>
    </x:row>
    <x:row r="6307" ht="21" customHeight="1">
      <x:c r="A6307" s="10" t="n">
        <x:v>46279</x:v>
      </x:c>
      <x:c r="B6307" s="1" t="n">
        <x:v>21.5</x:v>
      </x:c>
      <x:c r="C6307" s="1" t="n">
        <x:v>6</x:v>
      </x:c>
      <x:c r="D6307" s="12" t="n">
        <x:v>0</x:v>
      </x:c>
      <x:c r="E6307" s="12" t="n">
        <x:v>0.29833333333333334</x:v>
      </x:c>
      <x:c r="F6307" s="12" t="n">
        <x:v>0.29775</x:v>
      </x:c>
      <x:c r="G6307" s="12" t="n">
        <x:v>0</x:v>
      </x:c>
      <x:c r="H6307" s="1" t="n">
        <x:f>'Historical prices'!E6307</x:f>
        <x:v>1.05</x:v>
      </x:c>
      <x:c r="I6307" s="6" t="n">
        <x:f>'Historical prices'!D6307</x:f>
        <x:v>0.3257</x:v>
      </x:c>
      <x:c r="J6307" s="13" t="n">
        <x:f>D6307*I6307*H6307</x:f>
        <x:v>0</x:v>
      </x:c>
      <x:c r="K6307" s="13" t="n">
        <x:f>E6307*I6307*H6307</x:f>
        <x:v>0.102025525</x:v>
      </x:c>
      <x:c r="L6307" s="1" t="str">
        <x:f>TEXT(A6307,"mmm yyyy")</x:f>
        <x:v>Sep 2026</x:v>
      </x:c>
    </x:row>
    <x:row r="6308" ht="21" customHeight="1">
      <x:c r="A6308" s="10" t="n">
        <x:v>46279</x:v>
      </x:c>
      <x:c r="B6308" s="1" t="n">
        <x:v>22</x:v>
      </x:c>
      <x:c r="C6308" s="1" t="n">
        <x:v>6</x:v>
      </x:c>
      <x:c r="D6308" s="12" t="n">
        <x:v>0</x:v>
      </x:c>
      <x:c r="E6308" s="12" t="n">
        <x:v>0.2748333333333333</x:v>
      </x:c>
      <x:c r="F6308" s="12" t="n">
        <x:v>0.274</x:v>
      </x:c>
      <x:c r="G6308" s="12" t="n">
        <x:v>0</x:v>
      </x:c>
      <x:c r="H6308" s="1" t="n">
        <x:f>'Historical prices'!E6308</x:f>
        <x:v>1.05</x:v>
      </x:c>
      <x:c r="I6308" s="6" t="n">
        <x:f>'Historical prices'!D6308</x:f>
        <x:v>0.34090000000000004</x:v>
      </x:c>
      <x:c r="J6308" s="13" t="n">
        <x:f>D6308*I6308*H6308</x:f>
        <x:v>0</x:v>
      </x:c>
      <x:c r="K6308" s="13" t="n">
        <x:f>E6308*I6308*H6308</x:f>
        <x:v>0.09837521750000001</x:v>
      </x:c>
      <x:c r="L6308" s="1" t="str">
        <x:f>TEXT(A6308,"mmm yyyy")</x:f>
        <x:v>Sep 2026</x:v>
      </x:c>
    </x:row>
    <x:row r="6309" ht="21" customHeight="1">
      <x:c r="A6309" s="10" t="n">
        <x:v>46279</x:v>
      </x:c>
      <x:c r="B6309" s="1" t="n">
        <x:v>22.5</x:v>
      </x:c>
      <x:c r="C6309" s="1" t="n">
        <x:v>6</x:v>
      </x:c>
      <x:c r="D6309" s="12" t="n">
        <x:v>0</x:v>
      </x:c>
      <x:c r="E6309" s="12" t="n">
        <x:v>0.27508333333333335</x:v>
      </x:c>
      <x:c r="F6309" s="12" t="n">
        <x:v>0.2743333333333333</x:v>
      </x:c>
      <x:c r="G6309" s="12" t="n">
        <x:v>0</x:v>
      </x:c>
      <x:c r="H6309" s="1" t="n">
        <x:f>'Historical prices'!E6309</x:f>
        <x:v>1.05</x:v>
      </x:c>
      <x:c r="I6309" s="6" t="n">
        <x:f>'Historical prices'!D6309</x:f>
        <x:v>0.3068</x:v>
      </x:c>
      <x:c r="J6309" s="13" t="n">
        <x:f>D6309*I6309*H6309</x:f>
        <x:v>0</x:v>
      </x:c>
      <x:c r="K6309" s="13" t="n">
        <x:f>E6309*I6309*H6309</x:f>
        <x:v>0.08861534500000001</x:v>
      </x:c>
      <x:c r="L6309" s="1" t="str">
        <x:f>TEXT(A6309,"mmm yyyy")</x:f>
        <x:v>Sep 2026</x:v>
      </x:c>
    </x:row>
    <x:row r="6310" ht="21" customHeight="1">
      <x:c r="A6310" s="10" t="n">
        <x:v>46279</x:v>
      </x:c>
      <x:c r="B6310" s="1" t="n">
        <x:v>23</x:v>
      </x:c>
      <x:c r="C6310" s="1" t="n">
        <x:v>6</x:v>
      </x:c>
      <x:c r="D6310" s="12" t="n">
        <x:v>0</x:v>
      </x:c>
      <x:c r="E6310" s="12" t="n">
        <x:v>0.21783333333333332</x:v>
      </x:c>
      <x:c r="F6310" s="12" t="n">
        <x:v>0.21716666666666667</x:v>
      </x:c>
      <x:c r="G6310" s="12" t="n">
        <x:v>0</x:v>
      </x:c>
      <x:c r="H6310" s="1" t="n">
        <x:f>'Historical prices'!E6310</x:f>
        <x:v>1.05</x:v>
      </x:c>
      <x:c r="I6310" s="6" t="n">
        <x:f>'Historical prices'!D6310</x:f>
        <x:v>0.332</x:v>
      </x:c>
      <x:c r="J6310" s="13" t="n">
        <x:f>D6310*I6310*H6310</x:f>
        <x:v>0</x:v>
      </x:c>
      <x:c r="K6310" s="13" t="n">
        <x:f>E6310*I6310*H6310</x:f>
        <x:v>0.07593670000000001</x:v>
      </x:c>
      <x:c r="L6310" s="1" t="str">
        <x:f>TEXT(A6310,"mmm yyyy")</x:f>
        <x:v>Sep 2026</x:v>
      </x:c>
    </x:row>
    <x:row r="6311" ht="21" customHeight="1">
      <x:c r="A6311" s="10" t="n">
        <x:v>46279</x:v>
      </x:c>
      <x:c r="B6311" s="1" t="n">
        <x:v>23.5</x:v>
      </x:c>
      <x:c r="C6311" s="1" t="n">
        <x:v>6</x:v>
      </x:c>
      <x:c r="D6311" s="12" t="n">
        <x:v>0</x:v>
      </x:c>
      <x:c r="E6311" s="12" t="n">
        <x:v>0.2689166666666667</x:v>
      </x:c>
      <x:c r="F6311" s="12" t="n">
        <x:v>0.26775</x:v>
      </x:c>
      <x:c r="G6311" s="12" t="n">
        <x:v>0</x:v>
      </x:c>
      <x:c r="H6311" s="1" t="n">
        <x:f>'Historical prices'!E6311</x:f>
        <x:v>1.05</x:v>
      </x:c>
      <x:c r="I6311" s="6" t="n">
        <x:f>'Historical prices'!D6311</x:f>
        <x:v>0.33549999999999996</x:v>
      </x:c>
      <x:c r="J6311" s="13" t="n">
        <x:f>D6311*I6311*H6311</x:f>
        <x:v>0</x:v>
      </x:c>
      <x:c r="K6311" s="13" t="n">
        <x:f>E6311*I6311*H6311</x:f>
        <x:v>0.09473261875000001</x:v>
      </x:c>
      <x:c r="L6311" s="1" t="str">
        <x:f>TEXT(A6311,"mmm yyyy")</x:f>
        <x:v>Sep 2026</x:v>
      </x:c>
    </x:row>
    <x:row r="6312" ht="21" customHeight="1">
      <x:c r="A6312" s="10" t="n">
        <x:v>46280</x:v>
      </x:c>
      <x:c r="B6312" s="1" t="n">
        <x:v>0</x:v>
      </x:c>
      <x:c r="C6312" s="1" t="n">
        <x:v>6</x:v>
      </x:c>
      <x:c r="D6312" s="12" t="n">
        <x:v>0</x:v>
      </x:c>
      <x:c r="E6312" s="12" t="n">
        <x:v>0.263</x:v>
      </x:c>
      <x:c r="F6312" s="12" t="n">
        <x:v>0.2623333333333333</x:v>
      </x:c>
      <x:c r="G6312" s="12" t="n">
        <x:v>0</x:v>
      </x:c>
      <x:c r="H6312" s="1" t="n">
        <x:f>'Historical prices'!E6312</x:f>
        <x:v>1.05</x:v>
      </x:c>
      <x:c r="I6312" s="6" t="n">
        <x:f>'Historical prices'!D6312</x:f>
        <x:v>0.32780000000000004</x:v>
      </x:c>
      <x:c r="J6312" s="13" t="n">
        <x:f>D6312*I6312*H6312</x:f>
        <x:v>0</x:v>
      </x:c>
      <x:c r="K6312" s="13" t="n">
        <x:f>E6312*I6312*H6312</x:f>
        <x:v>0.09052197000000001</x:v>
      </x:c>
      <x:c r="L6312" s="1" t="str">
        <x:f>TEXT(A6312,"mmm yyyy")</x:f>
        <x:v>Sep 2026</x:v>
      </x:c>
    </x:row>
    <x:row r="6313" ht="21" customHeight="1">
      <x:c r="A6313" s="10" t="n">
        <x:v>46280</x:v>
      </x:c>
      <x:c r="B6313" s="1" t="n">
        <x:v>0.5</x:v>
      </x:c>
      <x:c r="C6313" s="1" t="n">
        <x:v>6</x:v>
      </x:c>
      <x:c r="D6313" s="12" t="n">
        <x:v>0</x:v>
      </x:c>
      <x:c r="E6313" s="12" t="n">
        <x:v>0.197</x:v>
      </x:c>
      <x:c r="F6313" s="12" t="n">
        <x:v>0.19675</x:v>
      </x:c>
      <x:c r="G6313" s="12" t="n">
        <x:v>0</x:v>
      </x:c>
      <x:c r="H6313" s="1" t="n">
        <x:f>'Historical prices'!E6313</x:f>
        <x:v>1.05</x:v>
      </x:c>
      <x:c r="I6313" s="6" t="n">
        <x:f>'Historical prices'!D6313</x:f>
        <x:v>0.3236</x:v>
      </x:c>
      <x:c r="J6313" s="13" t="n">
        <x:f>D6313*I6313*H6313</x:f>
        <x:v>0</x:v>
      </x:c>
      <x:c r="K6313" s="13" t="n">
        <x:f>E6313*I6313*H6313</x:f>
        <x:v>0.06693666000000001</x:v>
      </x:c>
      <x:c r="L6313" s="1" t="str">
        <x:f>TEXT(A6313,"mmm yyyy")</x:f>
        <x:v>Sep 2026</x:v>
      </x:c>
    </x:row>
    <x:row r="6314" ht="21" customHeight="1">
      <x:c r="A6314" s="10" t="n">
        <x:v>46280</x:v>
      </x:c>
      <x:c r="B6314" s="1" t="n">
        <x:v>1</x:v>
      </x:c>
      <x:c r="C6314" s="1" t="n">
        <x:v>6</x:v>
      </x:c>
      <x:c r="D6314" s="12" t="n">
        <x:v>0</x:v>
      </x:c>
      <x:c r="E6314" s="12" t="n">
        <x:v>0.31575</x:v>
      </x:c>
      <x:c r="F6314" s="12" t="n">
        <x:v>0.31533333333333335</x:v>
      </x:c>
      <x:c r="G6314" s="12" t="n">
        <x:v>0</x:v>
      </x:c>
      <x:c r="H6314" s="1" t="n">
        <x:f>'Historical prices'!E6314</x:f>
        <x:v>1.05</x:v>
      </x:c>
      <x:c r="I6314" s="6" t="n">
        <x:f>'Historical prices'!D6314</x:f>
        <x:v>0.3119</x:v>
      </x:c>
      <x:c r="J6314" s="13" t="n">
        <x:f>D6314*I6314*H6314</x:f>
        <x:v>0</x:v>
      </x:c>
      <x:c r="K6314" s="13" t="n">
        <x:f>E6314*I6314*H6314</x:f>
        <x:v>0.10340654625000001</x:v>
      </x:c>
      <x:c r="L6314" s="1" t="str">
        <x:f>TEXT(A6314,"mmm yyyy")</x:f>
        <x:v>Sep 2026</x:v>
      </x:c>
    </x:row>
    <x:row r="6315" ht="21" customHeight="1">
      <x:c r="A6315" s="10" t="n">
        <x:v>46280</x:v>
      </x:c>
      <x:c r="B6315" s="1" t="n">
        <x:v>1.5</x:v>
      </x:c>
      <x:c r="C6315" s="1" t="n">
        <x:v>6</x:v>
      </x:c>
      <x:c r="D6315" s="12" t="n">
        <x:v>0</x:v>
      </x:c>
      <x:c r="E6315" s="12" t="n">
        <x:v>0.3011666666666667</x:v>
      </x:c>
      <x:c r="F6315" s="12" t="n">
        <x:v>0.30058333333333337</x:v>
      </x:c>
      <x:c r="G6315" s="12" t="n">
        <x:v>0</x:v>
      </x:c>
      <x:c r="H6315" s="1" t="n">
        <x:f>'Historical prices'!E6315</x:f>
        <x:v>1.05</x:v>
      </x:c>
      <x:c r="I6315" s="6" t="n">
        <x:f>'Historical prices'!D6315</x:f>
        <x:v>0.311</x:v>
      </x:c>
      <x:c r="J6315" s="13" t="n">
        <x:f>D6315*I6315*H6315</x:f>
        <x:v>0</x:v>
      </x:c>
      <x:c r="K6315" s="13" t="n">
        <x:f>E6315*I6315*H6315</x:f>
        <x:v>0.09834597500000002</x:v>
      </x:c>
      <x:c r="L6315" s="1" t="str">
        <x:f>TEXT(A6315,"mmm yyyy")</x:f>
        <x:v>Sep 2026</x:v>
      </x:c>
    </x:row>
    <x:row r="6316" ht="21" customHeight="1">
      <x:c r="A6316" s="10" t="n">
        <x:v>46280</x:v>
      </x:c>
      <x:c r="B6316" s="1" t="n">
        <x:v>2</x:v>
      </x:c>
      <x:c r="C6316" s="1" t="n">
        <x:v>6</x:v>
      </x:c>
      <x:c r="D6316" s="12" t="n">
        <x:v>0</x:v>
      </x:c>
      <x:c r="E6316" s="12" t="n">
        <x:v>0.22891666666666666</x:v>
      </x:c>
      <x:c r="F6316" s="12" t="n">
        <x:v>0.22866666666666668</x:v>
      </x:c>
      <x:c r="G6316" s="12" t="n">
        <x:v>0</x:v>
      </x:c>
      <x:c r="H6316" s="1" t="n">
        <x:f>'Historical prices'!E6316</x:f>
        <x:v>1.05</x:v>
      </x:c>
      <x:c r="I6316" s="6" t="n">
        <x:f>'Historical prices'!D6316</x:f>
        <x:v>0.2963</x:v>
      </x:c>
      <x:c r="J6316" s="13" t="n">
        <x:f>D6316*I6316*H6316</x:f>
        <x:v>0</x:v>
      </x:c>
      <x:c r="K6316" s="13" t="n">
        <x:f>E6316*I6316*H6316</x:f>
        <x:v>0.07121940875</x:v>
      </x:c>
      <x:c r="L6316" s="1" t="str">
        <x:f>TEXT(A6316,"mmm yyyy")</x:f>
        <x:v>Sep 2026</x:v>
      </x:c>
    </x:row>
    <x:row r="6317" ht="21" customHeight="1">
      <x:c r="A6317" s="10" t="n">
        <x:v>46280</x:v>
      </x:c>
      <x:c r="B6317" s="1" t="n">
        <x:v>2.5</x:v>
      </x:c>
      <x:c r="C6317" s="1" t="n">
        <x:v>6</x:v>
      </x:c>
      <x:c r="D6317" s="12" t="n">
        <x:v>0</x:v>
      </x:c>
      <x:c r="E6317" s="12" t="n">
        <x:v>0.2195833333333333</x:v>
      </x:c>
      <x:c r="F6317" s="12" t="n">
        <x:v>0.21941666666666665</x:v>
      </x:c>
      <x:c r="G6317" s="12" t="n">
        <x:v>0</x:v>
      </x:c>
      <x:c r="H6317" s="1" t="n">
        <x:f>'Historical prices'!E6317</x:f>
        <x:v>1.05</x:v>
      </x:c>
      <x:c r="I6317" s="6" t="n">
        <x:f>'Historical prices'!D6317</x:f>
        <x:v>0.2905</x:v>
      </x:c>
      <x:c r="J6317" s="13" t="n">
        <x:f>D6317*I6317*H6317</x:f>
        <x:v>0</x:v>
      </x:c>
      <x:c r="K6317" s="13" t="n">
        <x:f>E6317*I6317*H6317</x:f>
        <x:v>0.06697840624999998</x:v>
      </x:c>
      <x:c r="L6317" s="1" t="str">
        <x:f>TEXT(A6317,"mmm yyyy")</x:f>
        <x:v>Sep 2026</x:v>
      </x:c>
    </x:row>
    <x:row r="6318" ht="21" customHeight="1">
      <x:c r="A6318" s="10" t="n">
        <x:v>46280</x:v>
      </x:c>
      <x:c r="B6318" s="1" t="n">
        <x:v>3</x:v>
      </x:c>
      <x:c r="C6318" s="1" t="n">
        <x:v>6</x:v>
      </x:c>
      <x:c r="D6318" s="12" t="n">
        <x:v>0</x:v>
      </x:c>
      <x:c r="E6318" s="12" t="n">
        <x:v>0.27399999999999997</x:v>
      </x:c>
      <x:c r="F6318" s="12" t="n">
        <x:v>0.2738333333333333</x:v>
      </x:c>
      <x:c r="G6318" s="12" t="n">
        <x:v>0</x:v>
      </x:c>
      <x:c r="H6318" s="1" t="n">
        <x:f>'Historical prices'!E6318</x:f>
        <x:v>1.05</x:v>
      </x:c>
      <x:c r="I6318" s="6" t="n">
        <x:f>'Historical prices'!D6318</x:f>
        <x:v>0.2984</x:v>
      </x:c>
      <x:c r="J6318" s="13" t="n">
        <x:f>D6318*I6318*H6318</x:f>
        <x:v>0</x:v>
      </x:c>
      <x:c r="K6318" s="13" t="n">
        <x:f>E6318*I6318*H6318</x:f>
        <x:v>0.08584968</x:v>
      </x:c>
      <x:c r="L6318" s="1" t="str">
        <x:f>TEXT(A6318,"mmm yyyy")</x:f>
        <x:v>Sep 2026</x:v>
      </x:c>
    </x:row>
    <x:row r="6319" ht="21" customHeight="1">
      <x:c r="A6319" s="10" t="n">
        <x:v>46280</x:v>
      </x:c>
      <x:c r="B6319" s="1" t="n">
        <x:v>3.5</x:v>
      </x:c>
      <x:c r="C6319" s="1" t="n">
        <x:v>6</x:v>
      </x:c>
      <x:c r="D6319" s="12" t="n">
        <x:v>0</x:v>
      </x:c>
      <x:c r="E6319" s="12" t="n">
        <x:v>0.26008333333333333</x:v>
      </x:c>
      <x:c r="F6319" s="12" t="n">
        <x:v>0.25925</x:v>
      </x:c>
      <x:c r="G6319" s="12" t="n">
        <x:v>0</x:v>
      </x:c>
      <x:c r="H6319" s="1" t="n">
        <x:f>'Historical prices'!E6319</x:f>
        <x:v>1.05</x:v>
      </x:c>
      <x:c r="I6319" s="6" t="n">
        <x:f>'Historical prices'!D6319</x:f>
        <x:v>0.28859999999999997</x:v>
      </x:c>
      <x:c r="J6319" s="13" t="n">
        <x:f>D6319*I6319*H6319</x:f>
        <x:v>0</x:v>
      </x:c>
      <x:c r="K6319" s="13" t="n">
        <x:f>E6319*I6319*H6319</x:f>
        <x:v>0.0788130525</x:v>
      </x:c>
      <x:c r="L6319" s="1" t="str">
        <x:f>TEXT(A6319,"mmm yyyy")</x:f>
        <x:v>Sep 2026</x:v>
      </x:c>
    </x:row>
    <x:row r="6320" ht="21" customHeight="1">
      <x:c r="A6320" s="10" t="n">
        <x:v>46280</x:v>
      </x:c>
      <x:c r="B6320" s="1" t="n">
        <x:v>4</x:v>
      </x:c>
      <x:c r="C6320" s="1" t="n">
        <x:v>6</x:v>
      </x:c>
      <x:c r="D6320" s="12" t="n">
        <x:v>0</x:v>
      </x:c>
      <x:c r="E6320" s="12" t="n">
        <x:v>0.2340833333333333</x:v>
      </x:c>
      <x:c r="F6320" s="12" t="n">
        <x:v>0.2334166666666667</x:v>
      </x:c>
      <x:c r="G6320" s="12" t="n">
        <x:v>0</x:v>
      </x:c>
      <x:c r="H6320" s="1" t="n">
        <x:f>'Historical prices'!E6320</x:f>
        <x:v>1.05</x:v>
      </x:c>
      <x:c r="I6320" s="6" t="n">
        <x:f>'Historical prices'!D6320</x:f>
        <x:v>0.3104</x:v>
      </x:c>
      <x:c r="J6320" s="13" t="n">
        <x:f>D6320*I6320*H6320</x:f>
        <x:v>0</x:v>
      </x:c>
      <x:c r="K6320" s="13" t="n">
        <x:f>E6320*I6320*H6320</x:f>
        <x:v>0.07629243999999999</x:v>
      </x:c>
      <x:c r="L6320" s="1" t="str">
        <x:f>TEXT(A6320,"mmm yyyy")</x:f>
        <x:v>Sep 2026</x:v>
      </x:c>
    </x:row>
    <x:row r="6321" ht="21" customHeight="1">
      <x:c r="A6321" s="10" t="n">
        <x:v>46280</x:v>
      </x:c>
      <x:c r="B6321" s="1" t="n">
        <x:v>4.5</x:v>
      </x:c>
      <x:c r="C6321" s="1" t="n">
        <x:v>6</x:v>
      </x:c>
      <x:c r="D6321" s="12" t="n">
        <x:v>0</x:v>
      </x:c>
      <x:c r="E6321" s="12" t="n">
        <x:v>0.2628333333333333</x:v>
      </x:c>
      <x:c r="F6321" s="12" t="n">
        <x:v>0.2625</x:v>
      </x:c>
      <x:c r="G6321" s="12" t="n">
        <x:v>0</x:v>
      </x:c>
      <x:c r="H6321" s="1" t="n">
        <x:f>'Historical prices'!E6321</x:f>
        <x:v>1.05</x:v>
      </x:c>
      <x:c r="I6321" s="6" t="n">
        <x:f>'Historical prices'!D6321</x:f>
        <x:v>0.3059</x:v>
      </x:c>
      <x:c r="J6321" s="13" t="n">
        <x:f>D6321*I6321*H6321</x:f>
        <x:v>0</x:v>
      </x:c>
      <x:c r="K6321" s="13" t="n">
        <x:f>E6321*I6321*H6321</x:f>
        <x:v>0.0844207525</x:v>
      </x:c>
      <x:c r="L6321" s="1" t="str">
        <x:f>TEXT(A6321,"mmm yyyy")</x:f>
        <x:v>Sep 2026</x:v>
      </x:c>
    </x:row>
    <x:row r="6322" ht="21" customHeight="1">
      <x:c r="A6322" s="10" t="n">
        <x:v>46280</x:v>
      </x:c>
      <x:c r="B6322" s="1" t="n">
        <x:v>5</x:v>
      </x:c>
      <x:c r="C6322" s="1" t="n">
        <x:v>6</x:v>
      </x:c>
      <x:c r="D6322" s="12" t="n">
        <x:v>0</x:v>
      </x:c>
      <x:c r="E6322" s="12" t="n">
        <x:v>0.24516666666666664</x:v>
      </x:c>
      <x:c r="F6322" s="12" t="n">
        <x:v>0.24475000000000002</x:v>
      </x:c>
      <x:c r="G6322" s="12" t="n">
        <x:v>0</x:v>
      </x:c>
      <x:c r="H6322" s="1" t="n">
        <x:f>'Historical prices'!E6322</x:f>
        <x:v>1.05</x:v>
      </x:c>
      <x:c r="I6322" s="6" t="n">
        <x:f>'Historical prices'!D6322</x:f>
        <x:v>0.3193</x:v>
      </x:c>
      <x:c r="J6322" s="13" t="n">
        <x:f>D6322*I6322*H6322</x:f>
        <x:v>0</x:v>
      </x:c>
      <x:c r="K6322" s="13" t="n">
        <x:f>E6322*I6322*H6322</x:f>
        <x:v>0.08219580249999998</x:v>
      </x:c>
      <x:c r="L6322" s="1" t="str">
        <x:f>TEXT(A6322,"mmm yyyy")</x:f>
        <x:v>Sep 2026</x:v>
      </x:c>
    </x:row>
    <x:row r="6323" ht="21" customHeight="1">
      <x:c r="A6323" s="10" t="n">
        <x:v>46280</x:v>
      </x:c>
      <x:c r="B6323" s="1" t="n">
        <x:v>5.5</x:v>
      </x:c>
      <x:c r="C6323" s="1" t="n">
        <x:v>6</x:v>
      </x:c>
      <x:c r="D6323" s="12" t="n">
        <x:v>0</x:v>
      </x:c>
      <x:c r="E6323" s="12" t="n">
        <x:v>0.3129166666666667</x:v>
      </x:c>
      <x:c r="F6323" s="12" t="n">
        <x:v>0.31283333333333335</x:v>
      </x:c>
      <x:c r="G6323" s="12" t="n">
        <x:v>0</x:v>
      </x:c>
      <x:c r="H6323" s="1" t="n">
        <x:f>'Historical prices'!E6323</x:f>
        <x:v>1.05</x:v>
      </x:c>
      <x:c r="I6323" s="6" t="n">
        <x:f>'Historical prices'!D6323</x:f>
        <x:v>0.33270000000000005</x:v>
      </x:c>
      <x:c r="J6323" s="13" t="n">
        <x:f>D6323*I6323*H6323</x:f>
        <x:v>0</x:v>
      </x:c>
      <x:c r="K6323" s="13" t="n">
        <x:f>E6323*I6323*H6323</x:f>
        <x:v>0.10931274375000002</x:v>
      </x:c>
      <x:c r="L6323" s="1" t="str">
        <x:f>TEXT(A6323,"mmm yyyy")</x:f>
        <x:v>Sep 2026</x:v>
      </x:c>
    </x:row>
    <x:row r="6324" ht="21" customHeight="1">
      <x:c r="A6324" s="10" t="n">
        <x:v>46280</x:v>
      </x:c>
      <x:c r="B6324" s="1" t="n">
        <x:v>6</x:v>
      </x:c>
      <x:c r="C6324" s="1" t="n">
        <x:v>6</x:v>
      </x:c>
      <x:c r="D6324" s="12" t="n">
        <x:v>0</x:v>
      </x:c>
      <x:c r="E6324" s="12" t="n">
        <x:v>0.27999999999999997</x:v>
      </x:c>
      <x:c r="F6324" s="12" t="n">
        <x:v>0.2793333333333333</x:v>
      </x:c>
      <x:c r="G6324" s="12" t="n">
        <x:v>0</x:v>
      </x:c>
      <x:c r="H6324" s="1" t="n">
        <x:f>'Historical prices'!E6324</x:f>
        <x:v>1.05</x:v>
      </x:c>
      <x:c r="I6324" s="6" t="n">
        <x:f>'Historical prices'!D6324</x:f>
        <x:v>0.3613</x:v>
      </x:c>
      <x:c r="J6324" s="13" t="n">
        <x:f>D6324*I6324*H6324</x:f>
        <x:v>0</x:v>
      </x:c>
      <x:c r="K6324" s="13" t="n">
        <x:f>E6324*I6324*H6324</x:f>
        <x:v>0.10622219999999999</x:v>
      </x:c>
      <x:c r="L6324" s="1" t="str">
        <x:f>TEXT(A6324,"mmm yyyy")</x:f>
        <x:v>Sep 2026</x:v>
      </x:c>
    </x:row>
    <x:row r="6325" ht="21" customHeight="1">
      <x:c r="A6325" s="10" t="n">
        <x:v>46280</x:v>
      </x:c>
      <x:c r="B6325" s="1" t="n">
        <x:v>6.5</x:v>
      </x:c>
      <x:c r="C6325" s="1" t="n">
        <x:v>6</x:v>
      </x:c>
      <x:c r="D6325" s="12" t="n">
        <x:v>0</x:v>
      </x:c>
      <x:c r="E6325" s="12" t="n">
        <x:v>0.24341666666666667</x:v>
      </x:c>
      <x:c r="F6325" s="12" t="n">
        <x:v>0.243</x:v>
      </x:c>
      <x:c r="G6325" s="12" t="n">
        <x:v>0</x:v>
      </x:c>
      <x:c r="H6325" s="1" t="n">
        <x:f>'Historical prices'!E6325</x:f>
        <x:v>1.05</x:v>
      </x:c>
      <x:c r="I6325" s="6" t="n">
        <x:f>'Historical prices'!D6325</x:f>
        <x:v>0.3753</x:v>
      </x:c>
      <x:c r="J6325" s="13" t="n">
        <x:f>D6325*I6325*H6325</x:f>
        <x:v>0</x:v>
      </x:c>
      <x:c r="K6325" s="13" t="n">
        <x:f>E6325*I6325*H6325</x:f>
        <x:v>0.09592198875000002</x:v>
      </x:c>
      <x:c r="L6325" s="1" t="str">
        <x:f>TEXT(A6325,"mmm yyyy")</x:f>
        <x:v>Sep 2026</x:v>
      </x:c>
    </x:row>
    <x:row r="6326" ht="21" customHeight="1">
      <x:c r="A6326" s="10" t="n">
        <x:v>46280</x:v>
      </x:c>
      <x:c r="B6326" s="1" t="n">
        <x:v>7</x:v>
      </x:c>
      <x:c r="C6326" s="1" t="n">
        <x:v>6</x:v>
      </x:c>
      <x:c r="D6326" s="12" t="n">
        <x:v>0</x:v>
      </x:c>
      <x:c r="E6326" s="12" t="n">
        <x:v>0.22525</x:v>
      </x:c>
      <x:c r="F6326" s="12" t="n">
        <x:v>0.22475</x:v>
      </x:c>
      <x:c r="G6326" s="12" t="n">
        <x:v>0</x:v>
      </x:c>
      <x:c r="H6326" s="1" t="n">
        <x:f>'Historical prices'!E6326</x:f>
        <x:v>1.05</x:v>
      </x:c>
      <x:c r="I6326" s="6" t="n">
        <x:f>'Historical prices'!D6326</x:f>
        <x:v>0.3753</x:v>
      </x:c>
      <x:c r="J6326" s="13" t="n">
        <x:f>D6326*I6326*H6326</x:f>
        <x:v>0</x:v>
      </x:c>
      <x:c r="K6326" s="13" t="n">
        <x:f>E6326*I6326*H6326</x:f>
        <x:v>0.08876314125000001</x:v>
      </x:c>
      <x:c r="L6326" s="1" t="str">
        <x:f>TEXT(A6326,"mmm yyyy")</x:f>
        <x:v>Sep 2026</x:v>
      </x:c>
    </x:row>
    <x:row r="6327" ht="21" customHeight="1">
      <x:c r="A6327" s="10" t="n">
        <x:v>46280</x:v>
      </x:c>
      <x:c r="B6327" s="1" t="n">
        <x:v>7.5</x:v>
      </x:c>
      <x:c r="C6327" s="1" t="n">
        <x:v>6</x:v>
      </x:c>
      <x:c r="D6327" s="12" t="n">
        <x:v>0</x:v>
      </x:c>
      <x:c r="E6327" s="12" t="n">
        <x:v>0.26808333333333334</x:v>
      </x:c>
      <x:c r="F6327" s="12" t="n">
        <x:v>0.26733333333333337</x:v>
      </x:c>
      <x:c r="G6327" s="12" t="n">
        <x:v>0</x:v>
      </x:c>
      <x:c r="H6327" s="1" t="n">
        <x:f>'Historical prices'!E6327</x:f>
        <x:v>1.05</x:v>
      </x:c>
      <x:c r="I6327" s="6" t="n">
        <x:f>'Historical prices'!D6327</x:f>
        <x:v>0.397</x:v>
      </x:c>
      <x:c r="J6327" s="13" t="n">
        <x:f>D6327*I6327*H6327</x:f>
        <x:v>0</x:v>
      </x:c>
      <x:c r="K6327" s="13" t="n">
        <x:f>E6327*I6327*H6327</x:f>
        <x:v>0.11175053750000001</x:v>
      </x:c>
      <x:c r="L6327" s="1" t="str">
        <x:f>TEXT(A6327,"mmm yyyy")</x:f>
        <x:v>Sep 2026</x:v>
      </x:c>
    </x:row>
    <x:row r="6328" ht="21" customHeight="1">
      <x:c r="A6328" s="10" t="n">
        <x:v>46280</x:v>
      </x:c>
      <x:c r="B6328" s="1" t="n">
        <x:v>8</x:v>
      </x:c>
      <x:c r="C6328" s="1" t="n">
        <x:v>6</x:v>
      </x:c>
      <x:c r="D6328" s="12" t="n">
        <x:v>0</x:v>
      </x:c>
      <x:c r="E6328" s="12" t="n">
        <x:v>0.26275000000000004</x:v>
      </x:c>
      <x:c r="F6328" s="12" t="n">
        <x:v>0.2621666666666667</x:v>
      </x:c>
      <x:c r="G6328" s="12" t="n">
        <x:v>0</x:v>
      </x:c>
      <x:c r="H6328" s="1" t="n">
        <x:f>'Historical prices'!E6328</x:f>
        <x:v>1.05</x:v>
      </x:c>
      <x:c r="I6328" s="6" t="n">
        <x:f>'Historical prices'!D6328</x:f>
        <x:v>0.3387</x:v>
      </x:c>
      <x:c r="J6328" s="13" t="n">
        <x:f>D6328*I6328*H6328</x:f>
        <x:v>0</x:v>
      </x:c>
      <x:c r="K6328" s="13" t="n">
        <x:f>E6328*I6328*H6328</x:f>
        <x:v>0.09344309625000002</x:v>
      </x:c>
      <x:c r="L6328" s="1" t="str">
        <x:f>TEXT(A6328,"mmm yyyy")</x:f>
        <x:v>Sep 2026</x:v>
      </x:c>
    </x:row>
    <x:row r="6329" ht="21" customHeight="1">
      <x:c r="A6329" s="10" t="n">
        <x:v>46280</x:v>
      </x:c>
      <x:c r="B6329" s="1" t="n">
        <x:v>8.5</x:v>
      </x:c>
      <x:c r="C6329" s="1" t="n">
        <x:v>6</x:v>
      </x:c>
      <x:c r="D6329" s="12" t="n">
        <x:v>0</x:v>
      </x:c>
      <x:c r="E6329" s="12" t="n">
        <x:v>0.22625</x:v>
      </x:c>
      <x:c r="F6329" s="12" t="n">
        <x:v>0.22541666666666665</x:v>
      </x:c>
      <x:c r="G6329" s="12" t="n">
        <x:v>0</x:v>
      </x:c>
      <x:c r="H6329" s="1" t="n">
        <x:f>'Historical prices'!E6329</x:f>
        <x:v>1.05</x:v>
      </x:c>
      <x:c r="I6329" s="6" t="n">
        <x:f>'Historical prices'!D6329</x:f>
        <x:v>0.3223</x:v>
      </x:c>
      <x:c r="J6329" s="13" t="n">
        <x:f>D6329*I6329*H6329</x:f>
        <x:v>0</x:v>
      </x:c>
      <x:c r="K6329" s="13" t="n">
        <x:f>E6329*I6329*H6329</x:f>
        <x:v>0.07656639375</x:v>
      </x:c>
      <x:c r="L6329" s="1" t="str">
        <x:f>TEXT(A6329,"mmm yyyy")</x:f>
        <x:v>Sep 2026</x:v>
      </x:c>
    </x:row>
    <x:row r="6330" ht="21" customHeight="1">
      <x:c r="A6330" s="10" t="n">
        <x:v>46280</x:v>
      </x:c>
      <x:c r="B6330" s="1" t="n">
        <x:v>9</x:v>
      </x:c>
      <x:c r="C6330" s="1" t="n">
        <x:v>6</x:v>
      </x:c>
      <x:c r="D6330" s="12" t="n">
        <x:v>0</x:v>
      </x:c>
      <x:c r="E6330" s="12" t="n">
        <x:v>0.25808333333333333</x:v>
      </x:c>
      <x:c r="F6330" s="12" t="n">
        <x:v>0.2575833333333333</x:v>
      </x:c>
      <x:c r="G6330" s="12" t="n">
        <x:v>0</x:v>
      </x:c>
      <x:c r="H6330" s="1" t="n">
        <x:f>'Historical prices'!E6330</x:f>
        <x:v>1.05</x:v>
      </x:c>
      <x:c r="I6330" s="6" t="n">
        <x:f>'Historical prices'!D6330</x:f>
        <x:v>0.2984</x:v>
      </x:c>
      <x:c r="J6330" s="13" t="n">
        <x:f>D6330*I6330*H6330</x:f>
        <x:v>0</x:v>
      </x:c>
      <x:c r="K6330" s="13" t="n">
        <x:f>E6330*I6330*H6330</x:f>
        <x:v>0.08086267000000001</x:v>
      </x:c>
      <x:c r="L6330" s="1" t="str">
        <x:f>TEXT(A6330,"mmm yyyy")</x:f>
        <x:v>Sep 2026</x:v>
      </x:c>
    </x:row>
    <x:row r="6331" ht="21" customHeight="1">
      <x:c r="A6331" s="10" t="n">
        <x:v>46280</x:v>
      </x:c>
      <x:c r="B6331" s="1" t="n">
        <x:v>9.5</x:v>
      </x:c>
      <x:c r="C6331" s="1" t="n">
        <x:v>6</x:v>
      </x:c>
      <x:c r="D6331" s="12" t="n">
        <x:v>0</x:v>
      </x:c>
      <x:c r="E6331" s="12" t="n">
        <x:v>0.24483333333333335</x:v>
      </x:c>
      <x:c r="F6331" s="12" t="n">
        <x:v>0.24458333333333332</x:v>
      </x:c>
      <x:c r="G6331" s="12" t="n">
        <x:v>0</x:v>
      </x:c>
      <x:c r="H6331" s="1" t="n">
        <x:f>'Historical prices'!E6331</x:f>
        <x:v>1.05</x:v>
      </x:c>
      <x:c r="I6331" s="6" t="n">
        <x:f>'Historical prices'!D6331</x:f>
        <x:v>0.2778</x:v>
      </x:c>
      <x:c r="J6331" s="13" t="n">
        <x:f>D6331*I6331*H6331</x:f>
        <x:v>0</x:v>
      </x:c>
      <x:c r="K6331" s="13" t="n">
        <x:f>E6331*I6331*H6331</x:f>
        <x:v>0.071415435</x:v>
      </x:c>
      <x:c r="L6331" s="1" t="str">
        <x:f>TEXT(A6331,"mmm yyyy")</x:f>
        <x:v>Sep 2026</x:v>
      </x:c>
    </x:row>
    <x:row r="6332" ht="21" customHeight="1">
      <x:c r="A6332" s="10" t="n">
        <x:v>46280</x:v>
      </x:c>
      <x:c r="B6332" s="1" t="n">
        <x:v>10</x:v>
      </x:c>
      <x:c r="C6332" s="1" t="n">
        <x:v>6</x:v>
      </x:c>
      <x:c r="D6332" s="12" t="n">
        <x:v>0.15525</x:v>
      </x:c>
      <x:c r="E6332" s="12" t="n">
        <x:v>0.28025</x:v>
      </x:c>
      <x:c r="F6332" s="12" t="n">
        <x:v>0.115</x:v>
      </x:c>
      <x:c r="G6332" s="12" t="n">
        <x:v>0</x:v>
      </x:c>
      <x:c r="H6332" s="1" t="n">
        <x:f>'Historical prices'!E6332</x:f>
        <x:v>1.05</x:v>
      </x:c>
      <x:c r="I6332" s="6" t="n">
        <x:f>'Historical prices'!D6332</x:f>
        <x:v>0.2711</x:v>
      </x:c>
      <x:c r="J6332" s="13" t="n">
        <x:f>D6332*I6332*H6332</x:f>
        <x:v>0.04419268875</x:v>
      </x:c>
      <x:c r="K6332" s="13" t="n">
        <x:f>E6332*I6332*H6332</x:f>
        <x:v>0.07977456375</x:v>
      </x:c>
      <x:c r="L6332" s="1" t="str">
        <x:f>TEXT(A6332,"mmm yyyy")</x:f>
        <x:v>Sep 2026</x:v>
      </x:c>
    </x:row>
    <x:row r="6333" ht="21" customHeight="1">
      <x:c r="A6333" s="10" t="n">
        <x:v>46280</x:v>
      </x:c>
      <x:c r="B6333" s="1" t="n">
        <x:v>10.5</x:v>
      </x:c>
      <x:c r="C6333" s="1" t="n">
        <x:v>6</x:v>
      </x:c>
      <x:c r="D6333" s="12" t="n">
        <x:v>0.194</x:v>
      </x:c>
      <x:c r="E6333" s="12" t="n">
        <x:v>0.20500000000000002</x:v>
      </x:c>
      <x:c r="F6333" s="12" t="n">
        <x:v>0</x:v>
      </x:c>
      <x:c r="G6333" s="12" t="n">
        <x:v>0</x:v>
      </x:c>
      <x:c r="H6333" s="1" t="n">
        <x:f>'Historical prices'!E6333</x:f>
        <x:v>1.05</x:v>
      </x:c>
      <x:c r="I6333" s="6" t="n">
        <x:f>'Historical prices'!D6333</x:f>
        <x:v>0.2585</x:v>
      </x:c>
      <x:c r="J6333" s="13" t="n">
        <x:f>D6333*I6333*H6333</x:f>
        <x:v>0.05265645000000001</x:v>
      </x:c>
      <x:c r="K6333" s="13" t="n">
        <x:f>E6333*I6333*H6333</x:f>
        <x:v>0.05564212500000001</x:v>
      </x:c>
      <x:c r="L6333" s="1" t="str">
        <x:f>TEXT(A6333,"mmm yyyy")</x:f>
        <x:v>Sep 2026</x:v>
      </x:c>
    </x:row>
    <x:row r="6334" ht="21" customHeight="1">
      <x:c r="A6334" s="10" t="n">
        <x:v>46280</x:v>
      </x:c>
      <x:c r="B6334" s="1" t="n">
        <x:v>11</x:v>
      </x:c>
      <x:c r="C6334" s="1" t="n">
        <x:v>6</x:v>
      </x:c>
      <x:c r="D6334" s="12" t="n">
        <x:v>1.38925</x:v>
      </x:c>
      <x:c r="E6334" s="12" t="n">
        <x:v>0.24225</x:v>
      </x:c>
      <x:c r="F6334" s="12" t="n">
        <x:v>0</x:v>
      </x:c>
      <x:c r="G6334" s="12" t="n">
        <x:v>1.153</x:v>
      </x:c>
      <x:c r="H6334" s="1" t="n">
        <x:f>'Historical prices'!E6334</x:f>
        <x:v>1.05</x:v>
      </x:c>
      <x:c r="I6334" s="6" t="n">
        <x:f>'Historical prices'!D6334</x:f>
        <x:v>0.2254</x:v>
      </x:c>
      <x:c r="J6334" s="13" t="n">
        <x:f>D6334*I6334*H6334</x:f>
        <x:v>0.32879379750000004</x:v>
      </x:c>
      <x:c r="K6334" s="13" t="n">
        <x:f>E6334*I6334*H6334</x:f>
        <x:v>0.0573333075</x:v>
      </x:c>
      <x:c r="L6334" s="1" t="str">
        <x:f>TEXT(A6334,"mmm yyyy")</x:f>
        <x:v>Sep 2026</x:v>
      </x:c>
    </x:row>
    <x:row r="6335" ht="21" customHeight="1">
      <x:c r="A6335" s="10" t="n">
        <x:v>46280</x:v>
      </x:c>
      <x:c r="B6335" s="1" t="n">
        <x:v>11.5</x:v>
      </x:c>
      <x:c r="C6335" s="1" t="n">
        <x:v>6</x:v>
      </x:c>
      <x:c r="D6335" s="12" t="n">
        <x:v>4.443499999999999</x:v>
      </x:c>
      <x:c r="E6335" s="12" t="n">
        <x:v>0.36649999999999994</x:v>
      </x:c>
      <x:c r="F6335" s="12" t="n">
        <x:v>0</x:v>
      </x:c>
      <x:c r="G6335" s="12" t="n">
        <x:v>4.077</x:v>
      </x:c>
      <x:c r="H6335" s="1" t="n">
        <x:f>'Historical prices'!E6335</x:f>
        <x:v>1.05</x:v>
      </x:c>
      <x:c r="I6335" s="6" t="n">
        <x:f>'Historical prices'!D6335</x:f>
        <x:v>0.2218</x:v>
      </x:c>
      <x:c r="J6335" s="13" t="n">
        <x:f>D6335*I6335*H6335</x:f>
        <x:v>1.0348467149999998</x:v>
      </x:c>
      <x:c r="K6335" s="13" t="n">
        <x:f>E6335*I6335*H6335</x:f>
        <x:v>0.08535418499999999</x:v>
      </x:c>
      <x:c r="L6335" s="1" t="str">
        <x:f>TEXT(A6335,"mmm yyyy")</x:f>
        <x:v>Sep 2026</x:v>
      </x:c>
    </x:row>
    <x:row r="6336" ht="21" customHeight="1">
      <x:c r="A6336" s="10" t="n">
        <x:v>46280</x:v>
      </x:c>
      <x:c r="B6336" s="1" t="n">
        <x:v>12</x:v>
      </x:c>
      <x:c r="C6336" s="1" t="n">
        <x:v>6</x:v>
      </x:c>
      <x:c r="D6336" s="12" t="n">
        <x:v>0.9630000000000001</x:v>
      </x:c>
      <x:c r="E6336" s="12" t="n">
        <x:v>0.264</x:v>
      </x:c>
      <x:c r="F6336" s="12" t="n">
        <x:v>0</x:v>
      </x:c>
      <x:c r="G6336" s="12" t="n">
        <x:v>0.702</x:v>
      </x:c>
      <x:c r="H6336" s="1" t="n">
        <x:f>'Historical prices'!E6336</x:f>
        <x:v>1.05</x:v>
      </x:c>
      <x:c r="I6336" s="6" t="n">
        <x:f>'Historical prices'!D6336</x:f>
        <x:v>0.2375</x:v>
      </x:c>
      <x:c r="J6336" s="13" t="n">
        <x:f>D6336*I6336*H6336</x:f>
        <x:v>0.24014812500000002</x:v>
      </x:c>
      <x:c r="K6336" s="13" t="n">
        <x:f>E6336*I6336*H6336</x:f>
        <x:v>0.065835</x:v>
      </x:c>
      <x:c r="L6336" s="1" t="str">
        <x:f>TEXT(A6336,"mmm yyyy")</x:f>
        <x:v>Sep 2026</x:v>
      </x:c>
    </x:row>
    <x:row r="6337" ht="21" customHeight="1">
      <x:c r="A6337" s="10" t="n">
        <x:v>46280</x:v>
      </x:c>
      <x:c r="B6337" s="1" t="n">
        <x:v>12.5</x:v>
      </x:c>
      <x:c r="C6337" s="1" t="n">
        <x:v>6</x:v>
      </x:c>
      <x:c r="D6337" s="12" t="n">
        <x:v>0.1825</x:v>
      </x:c>
      <x:c r="E6337" s="12" t="n">
        <x:v>0.1945</x:v>
      </x:c>
      <x:c r="F6337" s="12" t="n">
        <x:v>0</x:v>
      </x:c>
      <x:c r="G6337" s="12" t="n">
        <x:v>0</x:v>
      </x:c>
      <x:c r="H6337" s="1" t="n">
        <x:f>'Historical prices'!E6337</x:f>
        <x:v>1.05</x:v>
      </x:c>
      <x:c r="I6337" s="6" t="n">
        <x:f>'Historical prices'!D6337</x:f>
        <x:v>0.2354</x:v>
      </x:c>
      <x:c r="J6337" s="13" t="n">
        <x:f>D6337*I6337*H6337</x:f>
        <x:v>0.045108525000000003</x:v>
      </x:c>
      <x:c r="K6337" s="13" t="n">
        <x:f>E6337*I6337*H6337</x:f>
        <x:v>0.048074565</x:v>
      </x:c>
      <x:c r="L6337" s="1" t="str">
        <x:f>TEXT(A6337,"mmm yyyy")</x:f>
        <x:v>Sep 2026</x:v>
      </x:c>
    </x:row>
    <x:row r="6338" ht="21" customHeight="1">
      <x:c r="A6338" s="10" t="n">
        <x:v>46280</x:v>
      </x:c>
      <x:c r="B6338" s="1" t="n">
        <x:v>13</x:v>
      </x:c>
      <x:c r="C6338" s="1" t="n">
        <x:v>6</x:v>
      </x:c>
      <x:c r="D6338" s="12" t="n">
        <x:v>3.77925</x:v>
      </x:c>
      <x:c r="E6338" s="12" t="n">
        <x:v>0.33925</x:v>
      </x:c>
      <x:c r="F6338" s="12" t="n">
        <x:v>0</x:v>
      </x:c>
      <x:c r="G6338" s="12" t="n">
        <x:v>3.4419999999999997</x:v>
      </x:c>
      <x:c r="H6338" s="1" t="n">
        <x:f>'Historical prices'!E6338</x:f>
        <x:v>1.05</x:v>
      </x:c>
      <x:c r="I6338" s="6" t="n">
        <x:f>'Historical prices'!D6338</x:f>
        <x:v>0.2218</x:v>
      </x:c>
      <x:c r="J6338" s="13" t="n">
        <x:f>D6338*I6338*H6338</x:f>
        <x:v>0.8801495325</x:v>
      </x:c>
      <x:c r="K6338" s="13" t="n">
        <x:f>E6338*I6338*H6338</x:f>
        <x:v>0.0790079325</x:v>
      </x:c>
      <x:c r="L6338" s="1" t="str">
        <x:f>TEXT(A6338,"mmm yyyy")</x:f>
        <x:v>Sep 2026</x:v>
      </x:c>
    </x:row>
    <x:row r="6339" ht="21" customHeight="1">
      <x:c r="A6339" s="10" t="n">
        <x:v>46280</x:v>
      </x:c>
      <x:c r="B6339" s="1" t="n">
        <x:v>13.5</x:v>
      </x:c>
      <x:c r="C6339" s="1" t="n">
        <x:v>6</x:v>
      </x:c>
      <x:c r="D6339" s="12" t="n">
        <x:v>0.6275000000000001</x:v>
      </x:c>
      <x:c r="E6339" s="12" t="n">
        <x:v>0.1915</x:v>
      </x:c>
      <x:c r="F6339" s="12" t="n">
        <x:v>0</x:v>
      </x:c>
      <x:c r="G6339" s="12" t="n">
        <x:v>0.445</x:v>
      </x:c>
      <x:c r="H6339" s="1" t="n">
        <x:f>'Historical prices'!E6339</x:f>
        <x:v>1.05</x:v>
      </x:c>
      <x:c r="I6339" s="6" t="n">
        <x:f>'Historical prices'!D6339</x:f>
        <x:v>0.2289</x:v>
      </x:c>
      <x:c r="J6339" s="13" t="n">
        <x:f>D6339*I6339*H6339</x:f>
        <x:v>0.1508164875</x:v>
      </x:c>
      <x:c r="K6339" s="13" t="n">
        <x:f>E6339*I6339*H6339</x:f>
        <x:v>0.046026067500000004</x:v>
      </x:c>
      <x:c r="L6339" s="1" t="str">
        <x:f>TEXT(A6339,"mmm yyyy")</x:f>
        <x:v>Sep 2026</x:v>
      </x:c>
    </x:row>
    <x:row r="6340" ht="21" customHeight="1">
      <x:c r="A6340" s="10" t="n">
        <x:v>46280</x:v>
      </x:c>
      <x:c r="B6340" s="1" t="n">
        <x:v>14</x:v>
      </x:c>
      <x:c r="C6340" s="1" t="n">
        <x:v>6</x:v>
      </x:c>
      <x:c r="D6340" s="12" t="n">
        <x:v>0.308</x:v>
      </x:c>
      <x:c r="E6340" s="12" t="n">
        <x:v>0.319</x:v>
      </x:c>
      <x:c r="F6340" s="12" t="n">
        <x:v>0</x:v>
      </x:c>
      <x:c r="G6340" s="12" t="n">
        <x:v>0</x:v>
      </x:c>
      <x:c r="H6340" s="1" t="n">
        <x:f>'Historical prices'!E6340</x:f>
        <x:v>1.05</x:v>
      </x:c>
      <x:c r="I6340" s="6" t="n">
        <x:f>'Historical prices'!D6340</x:f>
        <x:v>0.2404</x:v>
      </x:c>
      <x:c r="J6340" s="13" t="n">
        <x:f>D6340*I6340*H6340</x:f>
        <x:v>0.07774536000000001</x:v>
      </x:c>
      <x:c r="K6340" s="13" t="n">
        <x:f>E6340*I6340*H6340</x:f>
        <x:v>0.08052198</x:v>
      </x:c>
      <x:c r="L6340" s="1" t="str">
        <x:f>TEXT(A6340,"mmm yyyy")</x:f>
        <x:v>Sep 2026</x:v>
      </x:c>
    </x:row>
    <x:row r="6341" ht="21" customHeight="1">
      <x:c r="A6341" s="10" t="n">
        <x:v>46280</x:v>
      </x:c>
      <x:c r="B6341" s="1" t="n">
        <x:v>14.5</x:v>
      </x:c>
      <x:c r="C6341" s="1" t="n">
        <x:v>6</x:v>
      </x:c>
      <x:c r="D6341" s="12" t="n">
        <x:v>0.13875</x:v>
      </x:c>
      <x:c r="E6341" s="12" t="n">
        <x:v>0.14975</x:v>
      </x:c>
      <x:c r="F6341" s="12" t="n">
        <x:v>0</x:v>
      </x:c>
      <x:c r="G6341" s="12" t="n">
        <x:v>0</x:v>
      </x:c>
      <x:c r="H6341" s="1" t="n">
        <x:f>'Historical prices'!E6341</x:f>
        <x:v>1.05</x:v>
      </x:c>
      <x:c r="I6341" s="6" t="n">
        <x:f>'Historical prices'!D6341</x:f>
        <x:v>0.2395</x:v>
      </x:c>
      <x:c r="J6341" s="13" t="n">
        <x:f>D6341*I6341*H6341</x:f>
        <x:v>0.03489215625</x:v>
      </x:c>
      <x:c r="K6341" s="13" t="n">
        <x:f>E6341*I6341*H6341</x:f>
        <x:v>0.03765838125</x:v>
      </x:c>
      <x:c r="L6341" s="1" t="str">
        <x:f>TEXT(A6341,"mmm yyyy")</x:f>
        <x:v>Sep 2026</x:v>
      </x:c>
    </x:row>
    <x:row r="6342" ht="21" customHeight="1">
      <x:c r="A6342" s="10" t="n">
        <x:v>46280</x:v>
      </x:c>
      <x:c r="B6342" s="1" t="n">
        <x:v>15</x:v>
      </x:c>
      <x:c r="C6342" s="1" t="n">
        <x:v>6</x:v>
      </x:c>
      <x:c r="D6342" s="12" t="n">
        <x:v>0.14875</x:v>
      </x:c>
      <x:c r="E6342" s="12" t="n">
        <x:v>0.15975</x:v>
      </x:c>
      <x:c r="F6342" s="12" t="n">
        <x:v>0</x:v>
      </x:c>
      <x:c r="G6342" s="12" t="n">
        <x:v>0</x:v>
      </x:c>
      <x:c r="H6342" s="1" t="n">
        <x:f>'Historical prices'!E6342</x:f>
        <x:v>1.05</x:v>
      </x:c>
      <x:c r="I6342" s="6" t="n">
        <x:f>'Historical prices'!D6342</x:f>
        <x:v>0.2732</x:v>
      </x:c>
      <x:c r="J6342" s="13" t="n">
        <x:f>D6342*I6342*H6342</x:f>
        <x:v>0.042670425000000005</x:v>
      </x:c>
      <x:c r="K6342" s="13" t="n">
        <x:f>E6342*I6342*H6342</x:f>
        <x:v>0.045825885000000004</x:v>
      </x:c>
      <x:c r="L6342" s="1" t="str">
        <x:f>TEXT(A6342,"mmm yyyy")</x:f>
        <x:v>Sep 2026</x:v>
      </x:c>
    </x:row>
    <x:row r="6343" ht="21" customHeight="1">
      <x:c r="A6343" s="10" t="n">
        <x:v>46280</x:v>
      </x:c>
      <x:c r="B6343" s="1" t="n">
        <x:v>15.5</x:v>
      </x:c>
      <x:c r="C6343" s="1" t="n">
        <x:v>6</x:v>
      </x:c>
      <x:c r="D6343" s="12" t="n">
        <x:v>0.186</x:v>
      </x:c>
      <x:c r="E6343" s="12" t="n">
        <x:v>0.197</x:v>
      </x:c>
      <x:c r="F6343" s="12" t="n">
        <x:v>0</x:v>
      </x:c>
      <x:c r="G6343" s="12" t="n">
        <x:v>0</x:v>
      </x:c>
      <x:c r="H6343" s="1" t="n">
        <x:f>'Historical prices'!E6343</x:f>
        <x:v>1.05</x:v>
      </x:c>
      <x:c r="I6343" s="6" t="n">
        <x:f>'Historical prices'!D6343</x:f>
        <x:v>0.2756</x:v>
      </x:c>
      <x:c r="J6343" s="13" t="n">
        <x:f>D6343*I6343*H6343</x:f>
        <x:v>0.05382468000000001</x:v>
      </x:c>
      <x:c r="K6343" s="13" t="n">
        <x:f>E6343*I6343*H6343</x:f>
        <x:v>0.05700786000000001</x:v>
      </x:c>
      <x:c r="L6343" s="1" t="str">
        <x:f>TEXT(A6343,"mmm yyyy")</x:f>
        <x:v>Sep 2026</x:v>
      </x:c>
    </x:row>
    <x:row r="6344" ht="21" customHeight="1">
      <x:c r="A6344" s="10" t="n">
        <x:v>46280</x:v>
      </x:c>
      <x:c r="B6344" s="1" t="n">
        <x:v>16</x:v>
      </x:c>
      <x:c r="C6344" s="1" t="n">
        <x:v>6</x:v>
      </x:c>
      <x:c r="D6344" s="12" t="n">
        <x:v>0.037</x:v>
      </x:c>
      <x:c r="E6344" s="12" t="n">
        <x:v>0.2540833333333333</x:v>
      </x:c>
      <x:c r="F6344" s="12" t="n">
        <x:v>0.21566666666666667</x:v>
      </x:c>
      <x:c r="G6344" s="12" t="n">
        <x:v>0</x:v>
      </x:c>
      <x:c r="H6344" s="1" t="n">
        <x:f>'Historical prices'!E6344</x:f>
        <x:v>1.05</x:v>
      </x:c>
      <x:c r="I6344" s="6" t="n">
        <x:f>'Historical prices'!D6344</x:f>
        <x:v>0.4178</x:v>
      </x:c>
      <x:c r="J6344" s="13" t="n">
        <x:f>D6344*I6344*H6344</x:f>
        <x:v>0.01623153</x:v>
      </x:c>
      <x:c r="K6344" s="13" t="n">
        <x:f>E6344*I6344*H6344</x:f>
        <x:v>0.1114638175</x:v>
      </x:c>
      <x:c r="L6344" s="1" t="str">
        <x:f>TEXT(A6344,"mmm yyyy")</x:f>
        <x:v>Sep 2026</x:v>
      </x:c>
    </x:row>
    <x:row r="6345" ht="21" customHeight="1">
      <x:c r="A6345" s="10" t="n">
        <x:v>46280</x:v>
      </x:c>
      <x:c r="B6345" s="1" t="n">
        <x:v>16.5</x:v>
      </x:c>
      <x:c r="C6345" s="1" t="n">
        <x:v>6</x:v>
      </x:c>
      <x:c r="D6345" s="12" t="n">
        <x:v>0</x:v>
      </x:c>
      <x:c r="E6345" s="12" t="n">
        <x:v>0.22916666666666669</x:v>
      </x:c>
      <x:c r="F6345" s="12" t="n">
        <x:v>0.22833333333333333</x:v>
      </x:c>
      <x:c r="G6345" s="12" t="n">
        <x:v>0</x:v>
      </x:c>
      <x:c r="H6345" s="1" t="n">
        <x:f>'Historical prices'!E6345</x:f>
        <x:v>1.05</x:v>
      </x:c>
      <x:c r="I6345" s="6" t="n">
        <x:f>'Historical prices'!D6345</x:f>
        <x:v>0.431</x:v>
      </x:c>
      <x:c r="J6345" s="13" t="n">
        <x:f>D6345*I6345*H6345</x:f>
        <x:v>0</x:v>
      </x:c>
      <x:c r="K6345" s="13" t="n">
        <x:f>E6345*I6345*H6345</x:f>
        <x:v>0.103709375</x:v>
      </x:c>
      <x:c r="L6345" s="1" t="str">
        <x:f>TEXT(A6345,"mmm yyyy")</x:f>
        <x:v>Sep 2026</x:v>
      </x:c>
    </x:row>
    <x:row r="6346" ht="21" customHeight="1">
      <x:c r="A6346" s="10" t="n">
        <x:v>46280</x:v>
      </x:c>
      <x:c r="B6346" s="1" t="n">
        <x:v>17</x:v>
      </x:c>
      <x:c r="C6346" s="1" t="n">
        <x:v>6</x:v>
      </x:c>
      <x:c r="D6346" s="12" t="n">
        <x:v>0</x:v>
      </x:c>
      <x:c r="E6346" s="12" t="n">
        <x:v>0.27566666666666667</x:v>
      </x:c>
      <x:c r="F6346" s="12" t="n">
        <x:v>0.2748333333333334</x:v>
      </x:c>
      <x:c r="G6346" s="12" t="n">
        <x:v>0</x:v>
      </x:c>
      <x:c r="H6346" s="1" t="n">
        <x:f>'Historical prices'!E6346</x:f>
        <x:v>1.05</x:v>
      </x:c>
      <x:c r="I6346" s="6" t="n">
        <x:f>'Historical prices'!D6346</x:f>
        <x:v>0.47009999999999996</x:v>
      </x:c>
      <x:c r="J6346" s="13" t="n">
        <x:f>D6346*I6346*H6346</x:f>
        <x:v>0</x:v>
      </x:c>
      <x:c r="K6346" s="13" t="n">
        <x:f>E6346*I6346*H6346</x:f>
        <x:v>0.13607044499999998</x:v>
      </x:c>
      <x:c r="L6346" s="1" t="str">
        <x:f>TEXT(A6346,"mmm yyyy")</x:f>
        <x:v>Sep 2026</x:v>
      </x:c>
    </x:row>
    <x:row r="6347" ht="21" customHeight="1">
      <x:c r="A6347" s="10" t="n">
        <x:v>46280</x:v>
      </x:c>
      <x:c r="B6347" s="1" t="n">
        <x:v>17.5</x:v>
      </x:c>
      <x:c r="C6347" s="1" t="n">
        <x:v>6</x:v>
      </x:c>
      <x:c r="D6347" s="12" t="n">
        <x:v>0</x:v>
      </x:c>
      <x:c r="E6347" s="12" t="n">
        <x:v>0.24116666666666667</x:v>
      </x:c>
      <x:c r="F6347" s="12" t="n">
        <x:v>0.24058333333333334</x:v>
      </x:c>
      <x:c r="G6347" s="12" t="n">
        <x:v>0</x:v>
      </x:c>
      <x:c r="H6347" s="1" t="n">
        <x:f>'Historical prices'!E6347</x:f>
        <x:v>1.05</x:v>
      </x:c>
      <x:c r="I6347" s="6" t="n">
        <x:f>'Historical prices'!D6347</x:f>
        <x:v>0.48960000000000004</x:v>
      </x:c>
      <x:c r="J6347" s="13" t="n">
        <x:f>D6347*I6347*H6347</x:f>
        <x:v>0</x:v>
      </x:c>
      <x:c r="K6347" s="13" t="n">
        <x:f>E6347*I6347*H6347</x:f>
        <x:v>0.12397896000000001</x:v>
      </x:c>
      <x:c r="L6347" s="1" t="str">
        <x:f>TEXT(A6347,"mmm yyyy")</x:f>
        <x:v>Sep 2026</x:v>
      </x:c>
    </x:row>
    <x:row r="6348" ht="21" customHeight="1">
      <x:c r="A6348" s="10" t="n">
        <x:v>46280</x:v>
      </x:c>
      <x:c r="B6348" s="1" t="n">
        <x:v>18</x:v>
      </x:c>
      <x:c r="C6348" s="1" t="n">
        <x:v>6</x:v>
      </x:c>
      <x:c r="D6348" s="12" t="n">
        <x:v>0</x:v>
      </x:c>
      <x:c r="E6348" s="12" t="n">
        <x:v>0.2619166666666667</x:v>
      </x:c>
      <x:c r="F6348" s="12" t="n">
        <x:v>0.26125</x:v>
      </x:c>
      <x:c r="G6348" s="12" t="n">
        <x:v>0</x:v>
      </x:c>
      <x:c r="H6348" s="1" t="n">
        <x:f>'Historical prices'!E6348</x:f>
        <x:v>1.05</x:v>
      </x:c>
      <x:c r="I6348" s="6" t="n">
        <x:f>'Historical prices'!D6348</x:f>
        <x:v>0.5221</x:v>
      </x:c>
      <x:c r="J6348" s="13" t="n">
        <x:f>D6348*I6348*H6348</x:f>
        <x:v>0</x:v>
      </x:c>
      <x:c r="K6348" s="13" t="n">
        <x:f>E6348*I6348*H6348</x:f>
        <x:v>0.14358402625</x:v>
      </x:c>
      <x:c r="L6348" s="1" t="str">
        <x:f>TEXT(A6348,"mmm yyyy")</x:f>
        <x:v>Sep 2026</x:v>
      </x:c>
    </x:row>
    <x:row r="6349" ht="21" customHeight="1">
      <x:c r="A6349" s="10" t="n">
        <x:v>46280</x:v>
      </x:c>
      <x:c r="B6349" s="1" t="n">
        <x:v>18.5</x:v>
      </x:c>
      <x:c r="C6349" s="1" t="n">
        <x:v>6</x:v>
      </x:c>
      <x:c r="D6349" s="12" t="n">
        <x:v>0</x:v>
      </x:c>
      <x:c r="E6349" s="12" t="n">
        <x:v>0.36175000000000007</x:v>
      </x:c>
      <x:c r="F6349" s="12" t="n">
        <x:v>0.3566666666666667</x:v>
      </x:c>
      <x:c r="G6349" s="12" t="n">
        <x:v>0</x:v>
      </x:c>
      <x:c r="H6349" s="1" t="n">
        <x:f>'Historical prices'!E6349</x:f>
        <x:v>1.05</x:v>
      </x:c>
      <x:c r="I6349" s="6" t="n">
        <x:f>'Historical prices'!D6349</x:f>
        <x:v>0.535</x:v>
      </x:c>
      <x:c r="J6349" s="13" t="n">
        <x:f>D6349*I6349*H6349</x:f>
        <x:v>0</x:v>
      </x:c>
      <x:c r="K6349" s="13" t="n">
        <x:f>E6349*I6349*H6349</x:f>
        <x:v>0.20321306250000007</x:v>
      </x:c>
      <x:c r="L6349" s="1" t="str">
        <x:f>TEXT(A6349,"mmm yyyy")</x:f>
        <x:v>Sep 2026</x:v>
      </x:c>
    </x:row>
    <x:row r="6350" ht="21" customHeight="1">
      <x:c r="A6350" s="10" t="n">
        <x:v>46280</x:v>
      </x:c>
      <x:c r="B6350" s="1" t="n">
        <x:v>19</x:v>
      </x:c>
      <x:c r="C6350" s="1" t="n">
        <x:v>6</x:v>
      </x:c>
      <x:c r="D6350" s="12" t="n">
        <x:v>0</x:v>
      </x:c>
      <x:c r="E6350" s="12" t="n">
        <x:v>0.26191666666666663</x:v>
      </x:c>
      <x:c r="F6350" s="12" t="n">
        <x:v>0.26116666666666666</x:v>
      </x:c>
      <x:c r="G6350" s="12" t="n">
        <x:v>0</x:v>
      </x:c>
      <x:c r="H6350" s="1" t="n">
        <x:f>'Historical prices'!E6350</x:f>
        <x:v>1.05</x:v>
      </x:c>
      <x:c r="I6350" s="6" t="n">
        <x:f>'Historical prices'!D6350</x:f>
        <x:v>0.4069</x:v>
      </x:c>
      <x:c r="J6350" s="13" t="n">
        <x:f>D6350*I6350*H6350</x:f>
        <x:v>0</x:v>
      </x:c>
      <x:c r="K6350" s="13" t="n">
        <x:f>E6350*I6350*H6350</x:f>
        <x:v>0.11190258624999998</x:v>
      </x:c>
      <x:c r="L6350" s="1" t="str">
        <x:f>TEXT(A6350,"mmm yyyy")</x:f>
        <x:v>Sep 2026</x:v>
      </x:c>
    </x:row>
    <x:row r="6351" ht="21" customHeight="1">
      <x:c r="A6351" s="10" t="n">
        <x:v>46280</x:v>
      </x:c>
      <x:c r="B6351" s="1" t="n">
        <x:v>19.5</x:v>
      </x:c>
      <x:c r="C6351" s="1" t="n">
        <x:v>6</x:v>
      </x:c>
      <x:c r="D6351" s="12" t="n">
        <x:v>0</x:v>
      </x:c>
      <x:c r="E6351" s="12" t="n">
        <x:v>0.25283333333333335</x:v>
      </x:c>
      <x:c r="F6351" s="12" t="n">
        <x:v>0.25233333333333335</x:v>
      </x:c>
      <x:c r="G6351" s="12" t="n">
        <x:v>0</x:v>
      </x:c>
      <x:c r="H6351" s="1" t="n">
        <x:f>'Historical prices'!E6351</x:f>
        <x:v>1.05</x:v>
      </x:c>
      <x:c r="I6351" s="6" t="n">
        <x:f>'Historical prices'!D6351</x:f>
        <x:v>0.4202</x:v>
      </x:c>
      <x:c r="J6351" s="13" t="n">
        <x:f>D6351*I6351*H6351</x:f>
        <x:v>0</x:v>
      </x:c>
      <x:c r="K6351" s="13" t="n">
        <x:f>E6351*I6351*H6351</x:f>
        <x:v>0.11155259500000002</x:v>
      </x:c>
      <x:c r="L6351" s="1" t="str">
        <x:f>TEXT(A6351,"mmm yyyy")</x:f>
        <x:v>Sep 2026</x:v>
      </x:c>
    </x:row>
    <x:row r="6352" ht="21" customHeight="1">
      <x:c r="A6352" s="10" t="n">
        <x:v>46280</x:v>
      </x:c>
      <x:c r="B6352" s="1" t="n">
        <x:v>20</x:v>
      </x:c>
      <x:c r="C6352" s="1" t="n">
        <x:v>6</x:v>
      </x:c>
      <x:c r="D6352" s="12" t="n">
        <x:v>0</x:v>
      </x:c>
      <x:c r="E6352" s="12" t="n">
        <x:v>0.3140833333333333</x:v>
      </x:c>
      <x:c r="F6352" s="12" t="n">
        <x:v>0.3115</x:v>
      </x:c>
      <x:c r="G6352" s="12" t="n">
        <x:v>0</x:v>
      </x:c>
      <x:c r="H6352" s="1" t="n">
        <x:f>'Historical prices'!E6352</x:f>
        <x:v>1.05</x:v>
      </x:c>
      <x:c r="I6352" s="6" t="n">
        <x:f>'Historical prices'!D6352</x:f>
        <x:v>0.3845</x:v>
      </x:c>
      <x:c r="J6352" s="13" t="n">
        <x:f>D6352*I6352*H6352</x:f>
        <x:v>0</x:v>
      </x:c>
      <x:c r="K6352" s="13" t="n">
        <x:f>E6352*I6352*H6352</x:f>
        <x:v>0.12680329375000002</x:v>
      </x:c>
      <x:c r="L6352" s="1" t="str">
        <x:f>TEXT(A6352,"mmm yyyy")</x:f>
        <x:v>Sep 2026</x:v>
      </x:c>
    </x:row>
    <x:row r="6353" ht="21" customHeight="1">
      <x:c r="A6353" s="10" t="n">
        <x:v>46280</x:v>
      </x:c>
      <x:c r="B6353" s="1" t="n">
        <x:v>20.5</x:v>
      </x:c>
      <x:c r="C6353" s="1" t="n">
        <x:v>6</x:v>
      </x:c>
      <x:c r="D6353" s="12" t="n">
        <x:v>0</x:v>
      </x:c>
      <x:c r="E6353" s="12" t="n">
        <x:v>0.2658333333333333</x:v>
      </x:c>
      <x:c r="F6353" s="12" t="n">
        <x:v>0.2655</x:v>
      </x:c>
      <x:c r="G6353" s="12" t="n">
        <x:v>0</x:v>
      </x:c>
      <x:c r="H6353" s="1" t="n">
        <x:f>'Historical prices'!E6353</x:f>
        <x:v>1.05</x:v>
      </x:c>
      <x:c r="I6353" s="6" t="n">
        <x:f>'Historical prices'!D6353</x:f>
        <x:v>0.3578</x:v>
      </x:c>
      <x:c r="J6353" s="13" t="n">
        <x:f>D6353*I6353*H6353</x:f>
        <x:v>0</x:v>
      </x:c>
      <x:c r="K6353" s="13" t="n">
        <x:f>E6353*I6353*H6353</x:f>
        <x:v>0.09987092499999999</x:v>
      </x:c>
      <x:c r="L6353" s="1" t="str">
        <x:f>TEXT(A6353,"mmm yyyy")</x:f>
        <x:v>Sep 2026</x:v>
      </x:c>
    </x:row>
    <x:row r="6354" ht="21" customHeight="1">
      <x:c r="A6354" s="10" t="n">
        <x:v>46280</x:v>
      </x:c>
      <x:c r="B6354" s="1" t="n">
        <x:v>21</x:v>
      </x:c>
      <x:c r="C6354" s="1" t="n">
        <x:v>6</x:v>
      </x:c>
      <x:c r="D6354" s="12" t="n">
        <x:v>0</x:v>
      </x:c>
      <x:c r="E6354" s="12" t="n">
        <x:v>0.25325000000000003</x:v>
      </x:c>
      <x:c r="F6354" s="12" t="n">
        <x:v>0.2525833333333333</x:v>
      </x:c>
      <x:c r="G6354" s="12" t="n">
        <x:v>0</x:v>
      </x:c>
      <x:c r="H6354" s="1" t="n">
        <x:f>'Historical prices'!E6354</x:f>
        <x:v>1.05</x:v>
      </x:c>
      <x:c r="I6354" s="6" t="n">
        <x:f>'Historical prices'!D6354</x:f>
        <x:v>0.3467</x:v>
      </x:c>
      <x:c r="J6354" s="13" t="n">
        <x:f>D6354*I6354*H6354</x:f>
        <x:v>0</x:v>
      </x:c>
      <x:c r="K6354" s="13" t="n">
        <x:f>E6354*I6354*H6354</x:f>
        <x:v>0.09219186375000002</x:v>
      </x:c>
      <x:c r="L6354" s="1" t="str">
        <x:f>TEXT(A6354,"mmm yyyy")</x:f>
        <x:v>Sep 2026</x:v>
      </x:c>
    </x:row>
    <x:row r="6355" ht="21" customHeight="1">
      <x:c r="A6355" s="10" t="n">
        <x:v>46280</x:v>
      </x:c>
      <x:c r="B6355" s="1" t="n">
        <x:v>21.5</x:v>
      </x:c>
      <x:c r="C6355" s="1" t="n">
        <x:v>6</x:v>
      </x:c>
      <x:c r="D6355" s="12" t="n">
        <x:v>0.19125</x:v>
      </x:c>
      <x:c r="E6355" s="12" t="n">
        <x:v>0.2491666666666667</x:v>
      </x:c>
      <x:c r="F6355" s="12" t="n">
        <x:v>0.04791666666666667</x:v>
      </x:c>
      <x:c r="G6355" s="12" t="n">
        <x:v>0</x:v>
      </x:c>
      <x:c r="H6355" s="1" t="n">
        <x:f>'Historical prices'!E6355</x:f>
        <x:v>1.05</x:v>
      </x:c>
      <x:c r="I6355" s="6" t="n">
        <x:f>'Historical prices'!D6355</x:f>
        <x:v>0.2979</x:v>
      </x:c>
      <x:c r="J6355" s="13" t="n">
        <x:f>D6355*I6355*H6355</x:f>
        <x:v>0.059822043750000005</x:v>
      </x:c>
      <x:c r="K6355" s="13" t="n">
        <x:f>E6355*I6355*H6355</x:f>
        <x:v>0.07793808750000002</x:v>
      </x:c>
      <x:c r="L6355" s="1" t="str">
        <x:f>TEXT(A6355,"mmm yyyy")</x:f>
        <x:v>Sep 2026</x:v>
      </x:c>
    </x:row>
    <x:row r="6356" ht="21" customHeight="1">
      <x:c r="A6356" s="10" t="n">
        <x:v>46280</x:v>
      </x:c>
      <x:c r="B6356" s="1" t="n">
        <x:v>22</x:v>
      </x:c>
      <x:c r="C6356" s="1" t="n">
        <x:v>6</x:v>
      </x:c>
      <x:c r="D6356" s="12" t="n">
        <x:v>0.0335</x:v>
      </x:c>
      <x:c r="E6356" s="12" t="n">
        <x:v>0.27475</x:v>
      </x:c>
      <x:c r="F6356" s="12" t="n">
        <x:v>0.23966666666666664</x:v>
      </x:c>
      <x:c r="G6356" s="12" t="n">
        <x:v>0</x:v>
      </x:c>
      <x:c r="H6356" s="1" t="n">
        <x:f>'Historical prices'!E6356</x:f>
        <x:v>1.05</x:v>
      </x:c>
      <x:c r="I6356" s="6" t="n">
        <x:f>'Historical prices'!D6356</x:f>
        <x:v>0.311</x:v>
      </x:c>
      <x:c r="J6356" s="13" t="n">
        <x:f>D6356*I6356*H6356</x:f>
        <x:v>0.010939425000000001</x:v>
      </x:c>
      <x:c r="K6356" s="13" t="n">
        <x:f>E6356*I6356*H6356</x:f>
        <x:v>0.0897196125</x:v>
      </x:c>
      <x:c r="L6356" s="1" t="str">
        <x:f>TEXT(A6356,"mmm yyyy")</x:f>
        <x:v>Sep 2026</x:v>
      </x:c>
    </x:row>
    <x:row r="6357" ht="21" customHeight="1">
      <x:c r="A6357" s="10" t="n">
        <x:v>46280</x:v>
      </x:c>
      <x:c r="B6357" s="1" t="n">
        <x:v>22.5</x:v>
      </x:c>
      <x:c r="C6357" s="1" t="n">
        <x:v>6</x:v>
      </x:c>
      <x:c r="D6357" s="12" t="n">
        <x:v>0.1535</x:v>
      </x:c>
      <x:c r="E6357" s="12" t="n">
        <x:v>0.21316666666666667</x:v>
      </x:c>
      <x:c r="F6357" s="12" t="n">
        <x:v>0.049666666666666665</x:v>
      </x:c>
      <x:c r="G6357" s="12" t="n">
        <x:v>0</x:v>
      </x:c>
      <x:c r="H6357" s="1" t="n">
        <x:f>'Historical prices'!E6357</x:f>
        <x:v>1.05</x:v>
      </x:c>
      <x:c r="I6357" s="6" t="n">
        <x:f>'Historical prices'!D6357</x:f>
        <x:v>0.2789</x:v>
      </x:c>
      <x:c r="J6357" s="13" t="n">
        <x:f>D6357*I6357*H6357</x:f>
        <x:v>0.0449517075</x:v>
      </x:c>
      <x:c r="K6357" s="13" t="n">
        <x:f>E6357*I6357*H6357</x:f>
        <x:v>0.0624247925</x:v>
      </x:c>
      <x:c r="L6357" s="1" t="str">
        <x:f>TEXT(A6357,"mmm yyyy")</x:f>
        <x:v>Sep 2026</x:v>
      </x:c>
    </x:row>
    <x:row r="6358" ht="21" customHeight="1">
      <x:c r="A6358" s="10" t="n">
        <x:v>46280</x:v>
      </x:c>
      <x:c r="B6358" s="1" t="n">
        <x:v>23</x:v>
      </x:c>
      <x:c r="C6358" s="1" t="n">
        <x:v>6</x:v>
      </x:c>
      <x:c r="D6358" s="12" t="n">
        <x:v>0.2695</x:v>
      </x:c>
      <x:c r="E6358" s="12" t="n">
        <x:v>0.2815</x:v>
      </x:c>
      <x:c r="F6358" s="12" t="n">
        <x:v>0</x:v>
      </x:c>
      <x:c r="G6358" s="12" t="n">
        <x:v>0</x:v>
      </x:c>
      <x:c r="H6358" s="1" t="n">
        <x:f>'Historical prices'!E6358</x:f>
        <x:v>1.05</x:v>
      </x:c>
      <x:c r="I6358" s="6" t="n">
        <x:f>'Historical prices'!D6358</x:f>
        <x:v>0.2711</x:v>
      </x:c>
      <x:c r="J6358" s="13" t="n">
        <x:f>D6358*I6358*H6358</x:f>
        <x:v>0.07671452250000001</x:v>
      </x:c>
      <x:c r="K6358" s="13" t="n">
        <x:f>E6358*I6358*H6358</x:f>
        <x:v>0.0801303825</x:v>
      </x:c>
      <x:c r="L6358" s="1" t="str">
        <x:f>TEXT(A6358,"mmm yyyy")</x:f>
        <x:v>Sep 2026</x:v>
      </x:c>
    </x:row>
    <x:row r="6359" ht="21" customHeight="1">
      <x:c r="A6359" s="10" t="n">
        <x:v>46280</x:v>
      </x:c>
      <x:c r="B6359" s="1" t="n">
        <x:v>23.5</x:v>
      </x:c>
      <x:c r="C6359" s="1" t="n">
        <x:v>6</x:v>
      </x:c>
      <x:c r="D6359" s="12" t="n">
        <x:v>3.59</x:v>
      </x:c>
      <x:c r="E6359" s="12" t="n">
        <x:v>0.35600000000000004</x:v>
      </x:c>
      <x:c r="F6359" s="12" t="n">
        <x:v>0</x:v>
      </x:c>
      <x:c r="G6359" s="12" t="n">
        <x:v>3.235</x:v>
      </x:c>
      <x:c r="H6359" s="1" t="n">
        <x:f>'Historical prices'!E6359</x:f>
        <x:v>1.05</x:v>
      </x:c>
      <x:c r="I6359" s="6" t="n">
        <x:f>'Historical prices'!D6359</x:f>
        <x:v>0.25129999999999997</x:v>
      </x:c>
      <x:c r="J6359" s="13" t="n">
        <x:f>D6359*I6359*H6359</x:f>
        <x:v>0.9472753499999998</x:v>
      </x:c>
      <x:c r="K6359" s="13" t="n">
        <x:f>E6359*I6359*H6359</x:f>
        <x:v>0.09393594</x:v>
      </x:c>
      <x:c r="L6359" s="1" t="str">
        <x:f>TEXT(A6359,"mmm yyyy")</x:f>
        <x:v>Sep 2026</x:v>
      </x:c>
    </x:row>
    <x:row r="6360" ht="21" customHeight="1">
      <x:c r="A6360" s="10" t="n">
        <x:v>46281</x:v>
      </x:c>
      <x:c r="B6360" s="1" t="n">
        <x:v>0</x:v>
      </x:c>
      <x:c r="C6360" s="1" t="n">
        <x:v>6</x:v>
      </x:c>
      <x:c r="D6360" s="12" t="n">
        <x:v>0.6024999999999999</x:v>
      </x:c>
      <x:c r="E6360" s="12" t="n">
        <x:v>0.1735</x:v>
      </x:c>
      <x:c r="F6360" s="12" t="n">
        <x:v>0</x:v>
      </x:c>
      <x:c r="G6360" s="12" t="n">
        <x:v>0.435</x:v>
      </x:c>
      <x:c r="H6360" s="1" t="n">
        <x:f>'Historical prices'!E6360</x:f>
        <x:v>1.05</x:v>
      </x:c>
      <x:c r="I6360" s="6" t="n">
        <x:f>'Historical prices'!D6360</x:f>
        <x:v>0.2645</x:v>
      </x:c>
      <x:c r="J6360" s="13" t="n">
        <x:f>D6360*I6360*H6360</x:f>
        <x:v>0.1673293125</x:v>
      </x:c>
      <x:c r="K6360" s="13" t="n">
        <x:f>E6360*I6360*H6360</x:f>
        <x:v>0.0481852875</x:v>
      </x:c>
      <x:c r="L6360" s="1" t="str">
        <x:f>TEXT(A6360,"mmm yyyy")</x:f>
        <x:v>Sep 2026</x:v>
      </x:c>
    </x:row>
    <x:row r="6361" ht="21" customHeight="1">
      <x:c r="A6361" s="10" t="n">
        <x:v>46281</x:v>
      </x:c>
      <x:c r="B6361" s="1" t="n">
        <x:v>0.5</x:v>
      </x:c>
      <x:c r="C6361" s="1" t="n">
        <x:v>6</x:v>
      </x:c>
      <x:c r="D6361" s="12" t="n">
        <x:v>0.73025</x:v>
      </x:c>
      <x:c r="E6361" s="12" t="n">
        <x:v>0.24825000000000003</x:v>
      </x:c>
      <x:c r="F6361" s="12" t="n">
        <x:v>0</x:v>
      </x:c>
      <x:c r="G6361" s="12" t="n">
        <x:v>0.484</x:v>
      </x:c>
      <x:c r="H6361" s="1" t="n">
        <x:f>'Historical prices'!E6361</x:f>
        <x:v>1.05</x:v>
      </x:c>
      <x:c r="I6361" s="6" t="n">
        <x:f>'Historical prices'!D6361</x:f>
        <x:v>0.2642</x:v>
      </x:c>
      <x:c r="J6361" s="13" t="n">
        <x:f>D6361*I6361*H6361</x:f>
        <x:v>0.2025786525</x:v>
      </x:c>
      <x:c r="K6361" s="13" t="n">
        <x:f>E6361*I6361*H6361</x:f>
        <x:v>0.06886703250000001</x:v>
      </x:c>
      <x:c r="L6361" s="1" t="str">
        <x:f>TEXT(A6361,"mmm yyyy")</x:f>
        <x:v>Sep 2026</x:v>
      </x:c>
    </x:row>
    <x:row r="6362" ht="21" customHeight="1">
      <x:c r="A6362" s="10" t="n">
        <x:v>46281</x:v>
      </x:c>
      <x:c r="B6362" s="1" t="n">
        <x:v>1</x:v>
      </x:c>
      <x:c r="C6362" s="1" t="n">
        <x:v>6</x:v>
      </x:c>
      <x:c r="D6362" s="12" t="n">
        <x:v>0.19974999999999998</x:v>
      </x:c>
      <x:c r="E6362" s="12" t="n">
        <x:v>0.19075</x:v>
      </x:c>
      <x:c r="F6362" s="12" t="n">
        <x:v>0</x:v>
      </x:c>
      <x:c r="G6362" s="12" t="n">
        <x:v>0.018</x:v>
      </x:c>
      <x:c r="H6362" s="1" t="n">
        <x:f>'Historical prices'!E6362</x:f>
        <x:v>1.05</x:v>
      </x:c>
      <x:c r="I6362" s="6" t="n">
        <x:f>'Historical prices'!D6362</x:f>
        <x:v>0.2681</x:v>
      </x:c>
      <x:c r="J6362" s="13" t="n">
        <x:f>D6362*I6362*H6362</x:f>
        <x:v>0.05623062375</x:v>
      </x:c>
      <x:c r="K6362" s="13" t="n">
        <x:f>E6362*I6362*H6362</x:f>
        <x:v>0.05369707875</x:v>
      </x:c>
      <x:c r="L6362" s="1" t="str">
        <x:f>TEXT(A6362,"mmm yyyy")</x:f>
        <x:v>Sep 2026</x:v>
      </x:c>
    </x:row>
    <x:row r="6363" ht="21" customHeight="1">
      <x:c r="A6363" s="10" t="n">
        <x:v>46281</x:v>
      </x:c>
      <x:c r="B6363" s="1" t="n">
        <x:v>1.5</x:v>
      </x:c>
      <x:c r="C6363" s="1" t="n">
        <x:v>6</x:v>
      </x:c>
      <x:c r="D6363" s="12" t="n">
        <x:v>0.13274999999999998</x:v>
      </x:c>
      <x:c r="E6363" s="12" t="n">
        <x:v>0.14375</x:v>
      </x:c>
      <x:c r="F6363" s="12" t="n">
        <x:v>0</x:v>
      </x:c>
      <x:c r="G6363" s="12" t="n">
        <x:v>0</x:v>
      </x:c>
      <x:c r="H6363" s="1" t="n">
        <x:f>'Historical prices'!E6363</x:f>
        <x:v>1.05</x:v>
      </x:c>
      <x:c r="I6363" s="6" t="n">
        <x:f>'Historical prices'!D6363</x:f>
        <x:v>0.2758</x:v>
      </x:c>
      <x:c r="J6363" s="13" t="n">
        <x:f>D6363*I6363*H6363</x:f>
        <x:v>0.038443072499999995</x:v>
      </x:c>
      <x:c r="K6363" s="13" t="n">
        <x:f>E6363*I6363*H6363</x:f>
        <x:v>0.041628562499999994</x:v>
      </x:c>
      <x:c r="L6363" s="1" t="str">
        <x:f>TEXT(A6363,"mmm yyyy")</x:f>
        <x:v>Sep 2026</x:v>
      </x:c>
    </x:row>
    <x:row r="6364" ht="21" customHeight="1">
      <x:c r="A6364" s="10" t="n">
        <x:v>46281</x:v>
      </x:c>
      <x:c r="B6364" s="1" t="n">
        <x:v>2</x:v>
      </x:c>
      <x:c r="C6364" s="1" t="n">
        <x:v>6</x:v>
      </x:c>
      <x:c r="D6364" s="12" t="n">
        <x:v>0.17550000000000002</x:v>
      </x:c>
      <x:c r="E6364" s="12" t="n">
        <x:v>0.1865</x:v>
      </x:c>
      <x:c r="F6364" s="12" t="n">
        <x:v>0</x:v>
      </x:c>
      <x:c r="G6364" s="12" t="n">
        <x:v>0</x:v>
      </x:c>
      <x:c r="H6364" s="1" t="n">
        <x:f>'Historical prices'!E6364</x:f>
        <x:v>1.05</x:v>
      </x:c>
      <x:c r="I6364" s="6" t="n">
        <x:f>'Historical prices'!D6364</x:f>
        <x:v>0.2892</x:v>
      </x:c>
      <x:c r="J6364" s="13" t="n">
        <x:f>D6364*I6364*H6364</x:f>
        <x:v>0.053292330000000006</x:v>
      </x:c>
      <x:c r="K6364" s="13" t="n">
        <x:f>E6364*I6364*H6364</x:f>
        <x:v>0.056632590000000003</x:v>
      </x:c>
      <x:c r="L6364" s="1" t="str">
        <x:f>TEXT(A6364,"mmm yyyy")</x:f>
        <x:v>Sep 2026</x:v>
      </x:c>
    </x:row>
    <x:row r="6365" ht="21" customHeight="1">
      <x:c r="A6365" s="10" t="n">
        <x:v>46281</x:v>
      </x:c>
      <x:c r="B6365" s="1" t="n">
        <x:v>2.5</x:v>
      </x:c>
      <x:c r="C6365" s="1" t="n">
        <x:v>6</x:v>
      </x:c>
      <x:c r="D6365" s="12" t="n">
        <x:v>0.224</x:v>
      </x:c>
      <x:c r="E6365" s="12" t="n">
        <x:v>0.23500000000000001</x:v>
      </x:c>
      <x:c r="F6365" s="12" t="n">
        <x:v>0</x:v>
      </x:c>
      <x:c r="G6365" s="12" t="n">
        <x:v>0</x:v>
      </x:c>
      <x:c r="H6365" s="1" t="n">
        <x:f>'Historical prices'!E6365</x:f>
        <x:v>1.05</x:v>
      </x:c>
      <x:c r="I6365" s="6" t="n">
        <x:f>'Historical prices'!D6365</x:f>
        <x:v>0.2861</x:v>
      </x:c>
      <x:c r="J6365" s="13" t="n">
        <x:f>D6365*I6365*H6365</x:f>
        <x:v>0.06729072</x:v>
      </x:c>
      <x:c r="K6365" s="13" t="n">
        <x:f>E6365*I6365*H6365</x:f>
        <x:v>0.07059517500000002</x:v>
      </x:c>
      <x:c r="L6365" s="1" t="str">
        <x:f>TEXT(A6365,"mmm yyyy")</x:f>
        <x:v>Sep 2026</x:v>
      </x:c>
    </x:row>
    <x:row r="6366" ht="21" customHeight="1">
      <x:c r="A6366" s="10" t="n">
        <x:v>46281</x:v>
      </x:c>
      <x:c r="B6366" s="1" t="n">
        <x:v>3</x:v>
      </x:c>
      <x:c r="C6366" s="1" t="n">
        <x:v>6</x:v>
      </x:c>
      <x:c r="D6366" s="12" t="n">
        <x:v>0.16225</x:v>
      </x:c>
      <x:c r="E6366" s="12" t="n">
        <x:v>0.17125</x:v>
      </x:c>
      <x:c r="F6366" s="12" t="n">
        <x:v>0</x:v>
      </x:c>
      <x:c r="G6366" s="12" t="n">
        <x:v>0</x:v>
      </x:c>
      <x:c r="H6366" s="1" t="n">
        <x:f>'Historical prices'!E6366</x:f>
        <x:v>1.05</x:v>
      </x:c>
      <x:c r="I6366" s="6" t="n">
        <x:f>'Historical prices'!D6366</x:f>
        <x:v>0.2875</x:v>
      </x:c>
      <x:c r="J6366" s="13" t="n">
        <x:f>D6366*I6366*H6366</x:f>
        <x:v>0.04897921875</x:v>
      </x:c>
      <x:c r="K6366" s="13" t="n">
        <x:f>E6366*I6366*H6366</x:f>
        <x:v>0.05169609375</x:v>
      </x:c>
      <x:c r="L6366" s="1" t="str">
        <x:f>TEXT(A6366,"mmm yyyy")</x:f>
        <x:v>Sep 2026</x:v>
      </x:c>
    </x:row>
    <x:row r="6367" ht="21" customHeight="1">
      <x:c r="A6367" s="10" t="n">
        <x:v>46281</x:v>
      </x:c>
      <x:c r="B6367" s="1" t="n">
        <x:v>3.5</x:v>
      </x:c>
      <x:c r="C6367" s="1" t="n">
        <x:v>6</x:v>
      </x:c>
      <x:c r="D6367" s="12" t="n">
        <x:v>0.25425</x:v>
      </x:c>
      <x:c r="E6367" s="12" t="n">
        <x:v>0.26525</x:v>
      </x:c>
      <x:c r="F6367" s="12" t="n">
        <x:v>0</x:v>
      </x:c>
      <x:c r="G6367" s="12" t="n">
        <x:v>0</x:v>
      </x:c>
      <x:c r="H6367" s="1" t="n">
        <x:f>'Historical prices'!E6367</x:f>
        <x:v>1.05</x:v>
      </x:c>
      <x:c r="I6367" s="6" t="n">
        <x:f>'Historical prices'!D6367</x:f>
        <x:v>0.2796</x:v>
      </x:c>
      <x:c r="J6367" s="13" t="n">
        <x:f>D6367*I6367*H6367</x:f>
        <x:v>0.074642715</x:v>
      </x:c>
      <x:c r="K6367" s="13" t="n">
        <x:f>E6367*I6367*H6367</x:f>
        <x:v>0.077872095</x:v>
      </x:c>
      <x:c r="L6367" s="1" t="str">
        <x:f>TEXT(A6367,"mmm yyyy")</x:f>
        <x:v>Sep 2026</x:v>
      </x:c>
    </x:row>
    <x:row r="6368" ht="21" customHeight="1">
      <x:c r="A6368" s="10" t="n">
        <x:v>46281</x:v>
      </x:c>
      <x:c r="B6368" s="1" t="n">
        <x:v>4</x:v>
      </x:c>
      <x:c r="C6368" s="1" t="n">
        <x:v>6</x:v>
      </x:c>
      <x:c r="D6368" s="12" t="n">
        <x:v>0.21200000000000002</x:v>
      </x:c>
      <x:c r="E6368" s="12" t="n">
        <x:v>0.22200000000000003</x:v>
      </x:c>
      <x:c r="F6368" s="12" t="n">
        <x:v>0</x:v>
      </x:c>
      <x:c r="G6368" s="12" t="n">
        <x:v>0</x:v>
      </x:c>
      <x:c r="H6368" s="1" t="n">
        <x:f>'Historical prices'!E6368</x:f>
        <x:v>1.05</x:v>
      </x:c>
      <x:c r="I6368" s="6" t="n">
        <x:f>'Historical prices'!D6368</x:f>
        <x:v>0.3093</x:v>
      </x:c>
      <x:c r="J6368" s="13" t="n">
        <x:f>D6368*I6368*H6368</x:f>
        <x:v>0.06885018000000001</x:v>
      </x:c>
      <x:c r="K6368" s="13" t="n">
        <x:f>E6368*I6368*H6368</x:f>
        <x:v>0.07209783000000003</x:v>
      </x:c>
      <x:c r="L6368" s="1" t="str">
        <x:f>TEXT(A6368,"mmm yyyy")</x:f>
        <x:v>Sep 2026</x:v>
      </x:c>
    </x:row>
    <x:row r="6369" ht="21" customHeight="1">
      <x:c r="A6369" s="10" t="n">
        <x:v>46281</x:v>
      </x:c>
      <x:c r="B6369" s="1" t="n">
        <x:v>4.5</x:v>
      </x:c>
      <x:c r="C6369" s="1" t="n">
        <x:v>6</x:v>
      </x:c>
      <x:c r="D6369" s="12" t="n">
        <x:v>0.203</x:v>
      </x:c>
      <x:c r="E6369" s="12" t="n">
        <x:v>0.21400000000000002</x:v>
      </x:c>
      <x:c r="F6369" s="12" t="n">
        <x:v>0</x:v>
      </x:c>
      <x:c r="G6369" s="12" t="n">
        <x:v>0</x:v>
      </x:c>
      <x:c r="H6369" s="1" t="n">
        <x:f>'Historical prices'!E6369</x:f>
        <x:v>1.05</x:v>
      </x:c>
      <x:c r="I6369" s="6" t="n">
        <x:f>'Historical prices'!D6369</x:f>
        <x:v>0.3042</x:v>
      </x:c>
      <x:c r="J6369" s="13" t="n">
        <x:f>D6369*I6369*H6369</x:f>
        <x:v>0.06484023000000001</x:v>
      </x:c>
      <x:c r="K6369" s="13" t="n">
        <x:f>E6369*I6369*H6369</x:f>
        <x:v>0.06835374000000001</x:v>
      </x:c>
      <x:c r="L6369" s="1" t="str">
        <x:f>TEXT(A6369,"mmm yyyy")</x:f>
        <x:v>Sep 2026</x:v>
      </x:c>
    </x:row>
    <x:row r="6370" ht="21" customHeight="1">
      <x:c r="A6370" s="10" t="n">
        <x:v>46281</x:v>
      </x:c>
      <x:c r="B6370" s="1" t="n">
        <x:v>5</x:v>
      </x:c>
      <x:c r="C6370" s="1" t="n">
        <x:v>6</x:v>
      </x:c>
      <x:c r="D6370" s="12" t="n">
        <x:v>0.02625</x:v>
      </x:c>
      <x:c r="E6370" s="12" t="n">
        <x:v>0.22300000000000003</x:v>
      </x:c>
      <x:c r="F6370" s="12" t="n">
        <x:v>0.19475000000000003</x:v>
      </x:c>
      <x:c r="G6370" s="12" t="n">
        <x:v>0</x:v>
      </x:c>
      <x:c r="H6370" s="1" t="n">
        <x:f>'Historical prices'!E6370</x:f>
        <x:v>1.05</x:v>
      </x:c>
      <x:c r="I6370" s="6" t="n">
        <x:f>'Historical prices'!D6370</x:f>
        <x:v>0.34049999999999997</x:v>
      </x:c>
      <x:c r="J6370" s="13" t="n">
        <x:f>D6370*I6370*H6370</x:f>
        <x:v>0.009385031249999998</x:v>
      </x:c>
      <x:c r="K6370" s="13" t="n">
        <x:f>E6370*I6370*H6370</x:f>
        <x:v>0.079728075</x:v>
      </x:c>
      <x:c r="L6370" s="1" t="str">
        <x:f>TEXT(A6370,"mmm yyyy")</x:f>
        <x:v>Sep 2026</x:v>
      </x:c>
    </x:row>
    <x:row r="6371" ht="21" customHeight="1">
      <x:c r="A6371" s="10" t="n">
        <x:v>46281</x:v>
      </x:c>
      <x:c r="B6371" s="1" t="n">
        <x:v>5.5</x:v>
      </x:c>
      <x:c r="C6371" s="1" t="n">
        <x:v>6</x:v>
      </x:c>
      <x:c r="D6371" s="12" t="n">
        <x:v>0</x:v>
      </x:c>
      <x:c r="E6371" s="12" t="n">
        <x:v>0.25075</x:v>
      </x:c>
      <x:c r="F6371" s="12" t="n">
        <x:v>0.2505</x:v>
      </x:c>
      <x:c r="G6371" s="12" t="n">
        <x:v>0</x:v>
      </x:c>
      <x:c r="H6371" s="1" t="n">
        <x:f>'Historical prices'!E6371</x:f>
        <x:v>1.05</x:v>
      </x:c>
      <x:c r="I6371" s="6" t="n">
        <x:f>'Historical prices'!D6371</x:f>
        <x:v>0.3546</x:v>
      </x:c>
      <x:c r="J6371" s="13" t="n">
        <x:f>D6371*I6371*H6371</x:f>
        <x:v>0</x:v>
      </x:c>
      <x:c r="K6371" s="13" t="n">
        <x:f>E6371*I6371*H6371</x:f>
        <x:v>0.0933617475</x:v>
      </x:c>
      <x:c r="L6371" s="1" t="str">
        <x:f>TEXT(A6371,"mmm yyyy")</x:f>
        <x:v>Sep 2026</x:v>
      </x:c>
    </x:row>
    <x:row r="6372" ht="21" customHeight="1">
      <x:c r="A6372" s="10" t="n">
        <x:v>46281</x:v>
      </x:c>
      <x:c r="B6372" s="1" t="n">
        <x:v>6</x:v>
      </x:c>
      <x:c r="C6372" s="1" t="n">
        <x:v>6</x:v>
      </x:c>
      <x:c r="D6372" s="12" t="n">
        <x:v>0</x:v>
      </x:c>
      <x:c r="E6372" s="12" t="n">
        <x:v>0.23408333333333334</x:v>
      </x:c>
      <x:c r="F6372" s="12" t="n">
        <x:v>0.23374999999999999</x:v>
      </x:c>
      <x:c r="G6372" s="12" t="n">
        <x:v>0</x:v>
      </x:c>
      <x:c r="H6372" s="1" t="n">
        <x:f>'Historical prices'!E6372</x:f>
        <x:v>1.05</x:v>
      </x:c>
      <x:c r="I6372" s="6" t="n">
        <x:f>'Historical prices'!D6372</x:f>
        <x:v>0.3593</x:v>
      </x:c>
      <x:c r="J6372" s="13" t="n">
        <x:f>D6372*I6372*H6372</x:f>
        <x:v>0</x:v>
      </x:c>
      <x:c r="K6372" s="13" t="n">
        <x:f>E6372*I6372*H6372</x:f>
        <x:v>0.08831144875000001</x:v>
      </x:c>
      <x:c r="L6372" s="1" t="str">
        <x:f>TEXT(A6372,"mmm yyyy")</x:f>
        <x:v>Sep 2026</x:v>
      </x:c>
    </x:row>
    <x:row r="6373" ht="21" customHeight="1">
      <x:c r="A6373" s="10" t="n">
        <x:v>46281</x:v>
      </x:c>
      <x:c r="B6373" s="1" t="n">
        <x:v>6.5</x:v>
      </x:c>
      <x:c r="C6373" s="1" t="n">
        <x:v>6</x:v>
      </x:c>
      <x:c r="D6373" s="12" t="n">
        <x:v>0</x:v>
      </x:c>
      <x:c r="E6373" s="12" t="n">
        <x:v>0.28108333333333335</x:v>
      </x:c>
      <x:c r="F6373" s="12" t="n">
        <x:v>0.28075</x:v>
      </x:c>
      <x:c r="G6373" s="12" t="n">
        <x:v>0</x:v>
      </x:c>
      <x:c r="H6373" s="1" t="n">
        <x:f>'Historical prices'!E6373</x:f>
        <x:v>1.05</x:v>
      </x:c>
      <x:c r="I6373" s="6" t="n">
        <x:f>'Historical prices'!D6373</x:f>
        <x:v>0.3614</x:v>
      </x:c>
      <x:c r="J6373" s="13" t="n">
        <x:f>D6373*I6373*H6373</x:f>
        <x:v>0</x:v>
      </x:c>
      <x:c r="K6373" s="13" t="n">
        <x:f>E6373*I6373*H6373</x:f>
        <x:v>0.10666269250000002</x:v>
      </x:c>
      <x:c r="L6373" s="1" t="str">
        <x:f>TEXT(A6373,"mmm yyyy")</x:f>
        <x:v>Sep 2026</x:v>
      </x:c>
    </x:row>
    <x:row r="6374" ht="21" customHeight="1">
      <x:c r="A6374" s="10" t="n">
        <x:v>46281</x:v>
      </x:c>
      <x:c r="B6374" s="1" t="n">
        <x:v>7</x:v>
      </x:c>
      <x:c r="C6374" s="1" t="n">
        <x:v>6</x:v>
      </x:c>
      <x:c r="D6374" s="12" t="n">
        <x:v>0</x:v>
      </x:c>
      <x:c r="E6374" s="12" t="n">
        <x:v>0.2531666666666667</x:v>
      </x:c>
      <x:c r="F6374" s="12" t="n">
        <x:v>0.25283333333333335</x:v>
      </x:c>
      <x:c r="G6374" s="12" t="n">
        <x:v>0</x:v>
      </x:c>
      <x:c r="H6374" s="1" t="n">
        <x:f>'Historical prices'!E6374</x:f>
        <x:v>1.05</x:v>
      </x:c>
      <x:c r="I6374" s="6" t="n">
        <x:f>'Historical prices'!D6374</x:f>
        <x:v>0.3614</x:v>
      </x:c>
      <x:c r="J6374" s="13" t="n">
        <x:f>D6374*I6374*H6374</x:f>
        <x:v>0</x:v>
      </x:c>
      <x:c r="K6374" s="13" t="n">
        <x:f>E6374*I6374*H6374</x:f>
        <x:v>0.09606915500000002</x:v>
      </x:c>
      <x:c r="L6374" s="1" t="str">
        <x:f>TEXT(A6374,"mmm yyyy")</x:f>
        <x:v>Sep 2026</x:v>
      </x:c>
    </x:row>
    <x:row r="6375" ht="21" customHeight="1">
      <x:c r="A6375" s="10" t="n">
        <x:v>46281</x:v>
      </x:c>
      <x:c r="B6375" s="1" t="n">
        <x:v>7.5</x:v>
      </x:c>
      <x:c r="C6375" s="1" t="n">
        <x:v>6</x:v>
      </x:c>
      <x:c r="D6375" s="12" t="n">
        <x:v>0</x:v>
      </x:c>
      <x:c r="E6375" s="12" t="n">
        <x:v>0.22091666666666665</x:v>
      </x:c>
      <x:c r="F6375" s="12" t="n">
        <x:v>0.22066666666666668</x:v>
      </x:c>
      <x:c r="G6375" s="12" t="n">
        <x:v>0</x:v>
      </x:c>
      <x:c r="H6375" s="1" t="n">
        <x:f>'Historical prices'!E6375</x:f>
        <x:v>1.05</x:v>
      </x:c>
      <x:c r="I6375" s="6" t="n">
        <x:f>'Historical prices'!D6375</x:f>
        <x:v>0.3771</x:v>
      </x:c>
      <x:c r="J6375" s="13" t="n">
        <x:f>D6375*I6375*H6375</x:f>
        <x:v>0</x:v>
      </x:c>
      <x:c r="K6375" s="13" t="n">
        <x:f>E6375*I6375*H6375</x:f>
        <x:v>0.08747305875</x:v>
      </x:c>
      <x:c r="L6375" s="1" t="str">
        <x:f>TEXT(A6375,"mmm yyyy")</x:f>
        <x:v>Sep 2026</x:v>
      </x:c>
    </x:row>
    <x:row r="6376" ht="21" customHeight="1">
      <x:c r="A6376" s="10" t="n">
        <x:v>46281</x:v>
      </x:c>
      <x:c r="B6376" s="1" t="n">
        <x:v>8</x:v>
      </x:c>
      <x:c r="C6376" s="1" t="n">
        <x:v>6</x:v>
      </x:c>
      <x:c r="D6376" s="12" t="n">
        <x:v>0</x:v>
      </x:c>
      <x:c r="E6376" s="12" t="n">
        <x:v>0.30200000000000005</x:v>
      </x:c>
      <x:c r="F6376" s="12" t="n">
        <x:v>0.3015833333333333</x:v>
      </x:c>
      <x:c r="G6376" s="12" t="n">
        <x:v>0</x:v>
      </x:c>
      <x:c r="H6376" s="1" t="n">
        <x:f>'Historical prices'!E6376</x:f>
        <x:v>1.05</x:v>
      </x:c>
      <x:c r="I6376" s="6" t="n">
        <x:f>'Historical prices'!D6376</x:f>
        <x:v>0.34259999999999996</x:v>
      </x:c>
      <x:c r="J6376" s="13" t="n">
        <x:f>D6376*I6376*H6376</x:f>
        <x:v>0</x:v>
      </x:c>
      <x:c r="K6376" s="13" t="n">
        <x:f>E6376*I6376*H6376</x:f>
        <x:v>0.10863846</x:v>
      </x:c>
      <x:c r="L6376" s="1" t="str">
        <x:f>TEXT(A6376,"mmm yyyy")</x:f>
        <x:v>Sep 2026</x:v>
      </x:c>
    </x:row>
    <x:row r="6377" ht="21" customHeight="1">
      <x:c r="A6377" s="10" t="n">
        <x:v>46281</x:v>
      </x:c>
      <x:c r="B6377" s="1" t="n">
        <x:v>8.5</x:v>
      </x:c>
      <x:c r="C6377" s="1" t="n">
        <x:v>6</x:v>
      </x:c>
      <x:c r="D6377" s="12" t="n">
        <x:v>0</x:v>
      </x:c>
      <x:c r="E6377" s="12" t="n">
        <x:v>0.30533333333333335</x:v>
      </x:c>
      <x:c r="F6377" s="12" t="n">
        <x:v>0.30425</x:v>
      </x:c>
      <x:c r="G6377" s="12" t="n">
        <x:v>0</x:v>
      </x:c>
      <x:c r="H6377" s="1" t="n">
        <x:f>'Historical prices'!E6377</x:f>
        <x:v>1.05</x:v>
      </x:c>
      <x:c r="I6377" s="6" t="n">
        <x:f>'Historical prices'!D6377</x:f>
        <x:v>0.326</x:v>
      </x:c>
      <x:c r="J6377" s="13" t="n">
        <x:f>D6377*I6377*H6377</x:f>
        <x:v>0</x:v>
      </x:c>
      <x:c r="K6377" s="13" t="n">
        <x:f>E6377*I6377*H6377</x:f>
        <x:v>0.10451560000000001</x:v>
      </x:c>
      <x:c r="L6377" s="1" t="str">
        <x:f>TEXT(A6377,"mmm yyyy")</x:f>
        <x:v>Sep 2026</x:v>
      </x:c>
    </x:row>
    <x:row r="6378" ht="21" customHeight="1">
      <x:c r="A6378" s="10" t="n">
        <x:v>46281</x:v>
      </x:c>
      <x:c r="B6378" s="1" t="n">
        <x:v>9</x:v>
      </x:c>
      <x:c r="C6378" s="1" t="n">
        <x:v>6</x:v>
      </x:c>
      <x:c r="D6378" s="12" t="n">
        <x:v>0.11975</x:v>
      </x:c>
      <x:c r="E6378" s="12" t="n">
        <x:v>0.1713333333333333</x:v>
      </x:c>
      <x:c r="F6378" s="12" t="n">
        <x:v>0.04158333333333333</x:v>
      </x:c>
      <x:c r="G6378" s="12" t="n">
        <x:v>0</x:v>
      </x:c>
      <x:c r="H6378" s="1" t="n">
        <x:f>'Historical prices'!E6378</x:f>
        <x:v>1.05</x:v>
      </x:c>
      <x:c r="I6378" s="6" t="n">
        <x:f>'Historical prices'!D6378</x:f>
        <x:v>0.3096</x:v>
      </x:c>
      <x:c r="J6378" s="13" t="n">
        <x:f>D6378*I6378*H6378</x:f>
        <x:v>0.038928330000000004</x:v>
      </x:c>
      <x:c r="K6378" s="13" t="n">
        <x:f>E6378*I6378*H6378</x:f>
        <x:v>0.05569703999999999</x:v>
      </x:c>
      <x:c r="L6378" s="1" t="str">
        <x:f>TEXT(A6378,"mmm yyyy")</x:f>
        <x:v>Sep 2026</x:v>
      </x:c>
    </x:row>
    <x:row r="6379" ht="21" customHeight="1">
      <x:c r="A6379" s="10" t="n">
        <x:v>46281</x:v>
      </x:c>
      <x:c r="B6379" s="1" t="n">
        <x:v>9.5</x:v>
      </x:c>
      <x:c r="C6379" s="1" t="n">
        <x:v>6</x:v>
      </x:c>
      <x:c r="D6379" s="12" t="n">
        <x:v>0.154</x:v>
      </x:c>
      <x:c r="E6379" s="12" t="n">
        <x:v>0.16399999999999998</x:v>
      </x:c>
      <x:c r="F6379" s="12" t="n">
        <x:v>0</x:v>
      </x:c>
      <x:c r="G6379" s="12" t="n">
        <x:v>0</x:v>
      </x:c>
      <x:c r="H6379" s="1" t="n">
        <x:f>'Historical prices'!E6379</x:f>
        <x:v>1.05</x:v>
      </x:c>
      <x:c r="I6379" s="6" t="n">
        <x:f>'Historical prices'!D6379</x:f>
        <x:v>0.2955</x:v>
      </x:c>
      <x:c r="J6379" s="13" t="n">
        <x:f>D6379*I6379*H6379</x:f>
        <x:v>0.04778235</x:v>
      </x:c>
      <x:c r="K6379" s="13" t="n">
        <x:f>E6379*I6379*H6379</x:f>
        <x:v>0.050885099999999996</x:v>
      </x:c>
      <x:c r="L6379" s="1" t="str">
        <x:f>TEXT(A6379,"mmm yyyy")</x:f>
        <x:v>Sep 2026</x:v>
      </x:c>
    </x:row>
    <x:row r="6380" ht="21" customHeight="1">
      <x:c r="A6380" s="10" t="n">
        <x:v>46281</x:v>
      </x:c>
      <x:c r="B6380" s="1" t="n">
        <x:v>10</x:v>
      </x:c>
      <x:c r="C6380" s="1" t="n">
        <x:v>6</x:v>
      </x:c>
      <x:c r="D6380" s="12" t="n">
        <x:v>0.20700000000000002</x:v>
      </x:c>
      <x:c r="E6380" s="12" t="n">
        <x:v>0.21700000000000003</x:v>
      </x:c>
      <x:c r="F6380" s="12" t="n">
        <x:v>0</x:v>
      </x:c>
      <x:c r="G6380" s="12" t="n">
        <x:v>0</x:v>
      </x:c>
      <x:c r="H6380" s="1" t="n">
        <x:f>'Historical prices'!E6380</x:f>
        <x:v>1.05</x:v>
      </x:c>
      <x:c r="I6380" s="6" t="n">
        <x:f>'Historical prices'!D6380</x:f>
        <x:v>0.2917</x:v>
      </x:c>
      <x:c r="J6380" s="13" t="n">
        <x:f>D6380*I6380*H6380</x:f>
        <x:v>0.06340099500000002</x:v>
      </x:c>
      <x:c r="K6380" s="13" t="n">
        <x:f>E6380*I6380*H6380</x:f>
        <x:v>0.06646384500000001</x:v>
      </x:c>
      <x:c r="L6380" s="1" t="str">
        <x:f>TEXT(A6380,"mmm yyyy")</x:f>
        <x:v>Sep 2026</x:v>
      </x:c>
    </x:row>
    <x:row r="6381" ht="21" customHeight="1">
      <x:c r="A6381" s="10" t="n">
        <x:v>46281</x:v>
      </x:c>
      <x:c r="B6381" s="1" t="n">
        <x:v>10.5</x:v>
      </x:c>
      <x:c r="C6381" s="1" t="n">
        <x:v>6</x:v>
      </x:c>
      <x:c r="D6381" s="12" t="n">
        <x:v>0.251</x:v>
      </x:c>
      <x:c r="E6381" s="12" t="n">
        <x:v>0.261</x:v>
      </x:c>
      <x:c r="F6381" s="12" t="n">
        <x:v>0</x:v>
      </x:c>
      <x:c r="G6381" s="12" t="n">
        <x:v>0</x:v>
      </x:c>
      <x:c r="H6381" s="1" t="n">
        <x:f>'Historical prices'!E6381</x:f>
        <x:v>1.05</x:v>
      </x:c>
      <x:c r="I6381" s="6" t="n">
        <x:f>'Historical prices'!D6381</x:f>
        <x:v>0.2928</x:v>
      </x:c>
      <x:c r="J6381" s="13" t="n">
        <x:f>D6381*I6381*H6381</x:f>
        <x:v>0.07716744</x:v>
      </x:c>
      <x:c r="K6381" s="13" t="n">
        <x:f>E6381*I6381*H6381</x:f>
        <x:v>0.08024184000000001</x:v>
      </x:c>
      <x:c r="L6381" s="1" t="str">
        <x:f>TEXT(A6381,"mmm yyyy")</x:f>
        <x:v>Sep 2026</x:v>
      </x:c>
    </x:row>
    <x:row r="6382" ht="21" customHeight="1">
      <x:c r="A6382" s="10" t="n">
        <x:v>46281</x:v>
      </x:c>
      <x:c r="B6382" s="1" t="n">
        <x:v>11</x:v>
      </x:c>
      <x:c r="C6382" s="1" t="n">
        <x:v>6</x:v>
      </x:c>
      <x:c r="D6382" s="12" t="n">
        <x:v>0.14175</x:v>
      </x:c>
      <x:c r="E6382" s="12" t="n">
        <x:v>0.15274999999999997</x:v>
      </x:c>
      <x:c r="F6382" s="12" t="n">
        <x:v>0</x:v>
      </x:c>
      <x:c r="G6382" s="12" t="n">
        <x:v>0</x:v>
      </x:c>
      <x:c r="H6382" s="1" t="n">
        <x:f>'Historical prices'!E6382</x:f>
        <x:v>1.05</x:v>
      </x:c>
      <x:c r="I6382" s="6" t="n">
        <x:f>'Historical prices'!D6382</x:f>
        <x:v>0.29</x:v>
      </x:c>
      <x:c r="J6382" s="13" t="n">
        <x:f>D6382*I6382*H6382</x:f>
        <x:v>0.04316287499999999</x:v>
      </x:c>
      <x:c r="K6382" s="13" t="n">
        <x:f>E6382*I6382*H6382</x:f>
        <x:v>0.04651237499999999</x:v>
      </x:c>
      <x:c r="L6382" s="1" t="str">
        <x:f>TEXT(A6382,"mmm yyyy")</x:f>
        <x:v>Sep 2026</x:v>
      </x:c>
    </x:row>
    <x:row r="6383" ht="21" customHeight="1">
      <x:c r="A6383" s="10" t="n">
        <x:v>46281</x:v>
      </x:c>
      <x:c r="B6383" s="1" t="n">
        <x:v>11.5</x:v>
      </x:c>
      <x:c r="C6383" s="1" t="n">
        <x:v>6</x:v>
      </x:c>
      <x:c r="D6383" s="12" t="n">
        <x:v>0.192</x:v>
      </x:c>
      <x:c r="E6383" s="12" t="n">
        <x:v>0.203</x:v>
      </x:c>
      <x:c r="F6383" s="12" t="n">
        <x:v>0</x:v>
      </x:c>
      <x:c r="G6383" s="12" t="n">
        <x:v>0</x:v>
      </x:c>
      <x:c r="H6383" s="1" t="n">
        <x:f>'Historical prices'!E6383</x:f>
        <x:v>1.05</x:v>
      </x:c>
      <x:c r="I6383" s="6" t="n">
        <x:f>'Historical prices'!D6383</x:f>
        <x:v>0.29</x:v>
      </x:c>
      <x:c r="J6383" s="13" t="n">
        <x:f>D6383*I6383*H6383</x:f>
        <x:v>0.058464</x:v>
      </x:c>
      <x:c r="K6383" s="13" t="n">
        <x:f>E6383*I6383*H6383</x:f>
        <x:v>0.0618135</x:v>
      </x:c>
      <x:c r="L6383" s="1" t="str">
        <x:f>TEXT(A6383,"mmm yyyy")</x:f>
        <x:v>Sep 2026</x:v>
      </x:c>
    </x:row>
    <x:row r="6384" ht="21" customHeight="1">
      <x:c r="A6384" s="10" t="n">
        <x:v>46281</x:v>
      </x:c>
      <x:c r="B6384" s="1" t="n">
        <x:v>12</x:v>
      </x:c>
      <x:c r="C6384" s="1" t="n">
        <x:v>6</x:v>
      </x:c>
      <x:c r="D6384" s="12" t="n">
        <x:v>0.2405</x:v>
      </x:c>
      <x:c r="E6384" s="12" t="n">
        <x:v>0.2505</x:v>
      </x:c>
      <x:c r="F6384" s="12" t="n">
        <x:v>0</x:v>
      </x:c>
      <x:c r="G6384" s="12" t="n">
        <x:v>0</x:v>
      </x:c>
      <x:c r="H6384" s="1" t="n">
        <x:f>'Historical prices'!E6384</x:f>
        <x:v>1.05</x:v>
      </x:c>
      <x:c r="I6384" s="6" t="n">
        <x:f>'Historical prices'!D6384</x:f>
        <x:v>0.3014</x:v>
      </x:c>
      <x:c r="J6384" s="13" t="n">
        <x:f>D6384*I6384*H6384</x:f>
        <x:v>0.07611103500000001</x:v>
      </x:c>
      <x:c r="K6384" s="13" t="n">
        <x:f>E6384*I6384*H6384</x:f>
        <x:v>0.07927573500000001</x:v>
      </x:c>
      <x:c r="L6384" s="1" t="str">
        <x:f>TEXT(A6384,"mmm yyyy")</x:f>
        <x:v>Sep 2026</x:v>
      </x:c>
    </x:row>
    <x:row r="6385" ht="21" customHeight="1">
      <x:c r="A6385" s="10" t="n">
        <x:v>46281</x:v>
      </x:c>
      <x:c r="B6385" s="1" t="n">
        <x:v>12.5</x:v>
      </x:c>
      <x:c r="C6385" s="1" t="n">
        <x:v>6</x:v>
      </x:c>
      <x:c r="D6385" s="12" t="n">
        <x:v>0.16925</x:v>
      </x:c>
      <x:c r="E6385" s="12" t="n">
        <x:v>0.18025</x:v>
      </x:c>
      <x:c r="F6385" s="12" t="n">
        <x:v>0</x:v>
      </x:c>
      <x:c r="G6385" s="12" t="n">
        <x:v>0</x:v>
      </x:c>
      <x:c r="H6385" s="1" t="n">
        <x:f>'Historical prices'!E6385</x:f>
        <x:v>1.05</x:v>
      </x:c>
      <x:c r="I6385" s="6" t="n">
        <x:f>'Historical prices'!D6385</x:f>
        <x:v>0.3014</x:v>
      </x:c>
      <x:c r="J6385" s="13" t="n">
        <x:f>D6385*I6385*H6385</x:f>
        <x:v>0.0535625475</x:v>
      </x:c>
      <x:c r="K6385" s="13" t="n">
        <x:f>E6385*I6385*H6385</x:f>
        <x:v>0.0570437175</x:v>
      </x:c>
      <x:c r="L6385" s="1" t="str">
        <x:f>TEXT(A6385,"mmm yyyy")</x:f>
        <x:v>Sep 2026</x:v>
      </x:c>
    </x:row>
    <x:row r="6386" ht="21" customHeight="1">
      <x:c r="A6386" s="10" t="n">
        <x:v>46281</x:v>
      </x:c>
      <x:c r="B6386" s="1" t="n">
        <x:v>13</x:v>
      </x:c>
      <x:c r="C6386" s="1" t="n">
        <x:v>6</x:v>
      </x:c>
      <x:c r="D6386" s="12" t="n">
        <x:v>0.174</x:v>
      </x:c>
      <x:c r="E6386" s="12" t="n">
        <x:v>0.183</x:v>
      </x:c>
      <x:c r="F6386" s="12" t="n">
        <x:v>0</x:v>
      </x:c>
      <x:c r="G6386" s="12" t="n">
        <x:v>0</x:v>
      </x:c>
      <x:c r="H6386" s="1" t="n">
        <x:f>'Historical prices'!E6386</x:f>
        <x:v>1.05</x:v>
      </x:c>
      <x:c r="I6386" s="6" t="n">
        <x:f>'Historical prices'!D6386</x:f>
        <x:v>0.2983</x:v>
      </x:c>
      <x:c r="J6386" s="13" t="n">
        <x:f>D6386*I6386*H6386</x:f>
        <x:v>0.05449941</x:v>
      </x:c>
      <x:c r="K6386" s="13" t="n">
        <x:f>E6386*I6386*H6386</x:f>
        <x:v>0.05731834500000001</x:v>
      </x:c>
      <x:c r="L6386" s="1" t="str">
        <x:f>TEXT(A6386,"mmm yyyy")</x:f>
        <x:v>Sep 2026</x:v>
      </x:c>
    </x:row>
    <x:row r="6387" ht="21" customHeight="1">
      <x:c r="A6387" s="10" t="n">
        <x:v>46281</x:v>
      </x:c>
      <x:c r="B6387" s="1" t="n">
        <x:v>13.5</x:v>
      </x:c>
      <x:c r="C6387" s="1" t="n">
        <x:v>6</x:v>
      </x:c>
      <x:c r="D6387" s="12" t="n">
        <x:v>0.1845</x:v>
      </x:c>
      <x:c r="E6387" s="12" t="n">
        <x:v>0.1955</x:v>
      </x:c>
      <x:c r="F6387" s="12" t="n">
        <x:v>0</x:v>
      </x:c>
      <x:c r="G6387" s="12" t="n">
        <x:v>0</x:v>
      </x:c>
      <x:c r="H6387" s="1" t="n">
        <x:f>'Historical prices'!E6387</x:f>
        <x:v>1.05</x:v>
      </x:c>
      <x:c r="I6387" s="6" t="n">
        <x:f>'Historical prices'!D6387</x:f>
        <x:v>0.2899</x:v>
      </x:c>
      <x:c r="J6387" s="13" t="n">
        <x:f>D6387*I6387*H6387</x:f>
        <x:v>0.056160877500000005</x:v>
      </x:c>
      <x:c r="K6387" s="13" t="n">
        <x:f>E6387*I6387*H6387</x:f>
        <x:v>0.05950922250000001</x:v>
      </x:c>
      <x:c r="L6387" s="1" t="str">
        <x:f>TEXT(A6387,"mmm yyyy")</x:f>
        <x:v>Sep 2026</x:v>
      </x:c>
    </x:row>
    <x:row r="6388" ht="21" customHeight="1">
      <x:c r="A6388" s="10" t="n">
        <x:v>46281</x:v>
      </x:c>
      <x:c r="B6388" s="1" t="n">
        <x:v>14</x:v>
      </x:c>
      <x:c r="C6388" s="1" t="n">
        <x:v>6</x:v>
      </x:c>
      <x:c r="D6388" s="12" t="n">
        <x:v>0.16649999999999998</x:v>
      </x:c>
      <x:c r="E6388" s="12" t="n">
        <x:v>0.1775</x:v>
      </x:c>
      <x:c r="F6388" s="12" t="n">
        <x:v>0</x:v>
      </x:c>
      <x:c r="G6388" s="12" t="n">
        <x:v>0</x:v>
      </x:c>
      <x:c r="H6388" s="1" t="n">
        <x:f>'Historical prices'!E6388</x:f>
        <x:v>1.05</x:v>
      </x:c>
      <x:c r="I6388" s="6" t="n">
        <x:f>'Historical prices'!D6388</x:f>
        <x:v>0.28190000000000004</x:v>
      </x:c>
      <x:c r="J6388" s="13" t="n">
        <x:f>D6388*I6388*H6388</x:f>
        <x:v>0.0492831675</x:v>
      </x:c>
      <x:c r="K6388" s="13" t="n">
        <x:f>E6388*I6388*H6388</x:f>
        <x:v>0.052539112500000006</x:v>
      </x:c>
      <x:c r="L6388" s="1" t="str">
        <x:f>TEXT(A6388,"mmm yyyy")</x:f>
        <x:v>Sep 2026</x:v>
      </x:c>
    </x:row>
    <x:row r="6389" ht="21" customHeight="1">
      <x:c r="A6389" s="10" t="n">
        <x:v>46281</x:v>
      </x:c>
      <x:c r="B6389" s="1" t="n">
        <x:v>14.5</x:v>
      </x:c>
      <x:c r="C6389" s="1" t="n">
        <x:v>6</x:v>
      </x:c>
      <x:c r="D6389" s="12" t="n">
        <x:v>0.1975</x:v>
      </x:c>
      <x:c r="E6389" s="12" t="n">
        <x:v>0.20750000000000002</x:v>
      </x:c>
      <x:c r="F6389" s="12" t="n">
        <x:v>0</x:v>
      </x:c>
      <x:c r="G6389" s="12" t="n">
        <x:v>0</x:v>
      </x:c>
      <x:c r="H6389" s="1" t="n">
        <x:f>'Historical prices'!E6389</x:f>
        <x:v>1.05</x:v>
      </x:c>
      <x:c r="I6389" s="6" t="n">
        <x:f>'Historical prices'!D6389</x:f>
        <x:v>0.2781</x:v>
      </x:c>
      <x:c r="J6389" s="13" t="n">
        <x:f>D6389*I6389*H6389</x:f>
        <x:v>0.057670987500000014</x:v>
      </x:c>
      <x:c r="K6389" s="13" t="n">
        <x:f>E6389*I6389*H6389</x:f>
        <x:v>0.06059103750000001</x:v>
      </x:c>
      <x:c r="L6389" s="1" t="str">
        <x:f>TEXT(A6389,"mmm yyyy")</x:f>
        <x:v>Sep 2026</x:v>
      </x:c>
    </x:row>
    <x:row r="6390" ht="21" customHeight="1">
      <x:c r="A6390" s="10" t="n">
        <x:v>46281</x:v>
      </x:c>
      <x:c r="B6390" s="1" t="n">
        <x:v>15</x:v>
      </x:c>
      <x:c r="C6390" s="1" t="n">
        <x:v>6</x:v>
      </x:c>
      <x:c r="D6390" s="12" t="n">
        <x:v>0.189</x:v>
      </x:c>
      <x:c r="E6390" s="12" t="n">
        <x:v>0.199</x:v>
      </x:c>
      <x:c r="F6390" s="12" t="n">
        <x:v>0</x:v>
      </x:c>
      <x:c r="G6390" s="12" t="n">
        <x:v>0</x:v>
      </x:c>
      <x:c r="H6390" s="1" t="n">
        <x:f>'Historical prices'!E6390</x:f>
        <x:v>1.05</x:v>
      </x:c>
      <x:c r="I6390" s="6" t="n">
        <x:f>'Historical prices'!D6390</x:f>
        <x:v>0.2848</x:v>
      </x:c>
      <x:c r="J6390" s="13" t="n">
        <x:f>D6390*I6390*H6390</x:f>
        <x:v>0.05651856</x:v>
      </x:c>
      <x:c r="K6390" s="13" t="n">
        <x:f>E6390*I6390*H6390</x:f>
        <x:v>0.05950896000000001</x:v>
      </x:c>
      <x:c r="L6390" s="1" t="str">
        <x:f>TEXT(A6390,"mmm yyyy")</x:f>
        <x:v>Sep 2026</x:v>
      </x:c>
    </x:row>
    <x:row r="6391" ht="21" customHeight="1">
      <x:c r="A6391" s="10" t="n">
        <x:v>46281</x:v>
      </x:c>
      <x:c r="B6391" s="1" t="n">
        <x:v>15.5</x:v>
      </x:c>
      <x:c r="C6391" s="1" t="n">
        <x:v>6</x:v>
      </x:c>
      <x:c r="D6391" s="12" t="n">
        <x:v>0.14575</x:v>
      </x:c>
      <x:c r="E6391" s="12" t="n">
        <x:v>0.15675</x:v>
      </x:c>
      <x:c r="F6391" s="12" t="n">
        <x:v>0</x:v>
      </x:c>
      <x:c r="G6391" s="12" t="n">
        <x:v>0</x:v>
      </x:c>
      <x:c r="H6391" s="1" t="n">
        <x:f>'Historical prices'!E6391</x:f>
        <x:v>1.05</x:v>
      </x:c>
      <x:c r="I6391" s="6" t="n">
        <x:f>'Historical prices'!D6391</x:f>
        <x:v>0.29</x:v>
      </x:c>
      <x:c r="J6391" s="13" t="n">
        <x:f>D6391*I6391*H6391</x:f>
        <x:v>0.04438087499999999</x:v>
      </x:c>
      <x:c r="K6391" s="13" t="n">
        <x:f>E6391*I6391*H6391</x:f>
        <x:v>0.047730375</x:v>
      </x:c>
      <x:c r="L6391" s="1" t="str">
        <x:f>TEXT(A6391,"mmm yyyy")</x:f>
        <x:v>Sep 2026</x:v>
      </x:c>
    </x:row>
    <x:row r="6392" ht="21" customHeight="1">
      <x:c r="A6392" s="10" t="n">
        <x:v>46281</x:v>
      </x:c>
      <x:c r="B6392" s="1" t="n">
        <x:v>16</x:v>
      </x:c>
      <x:c r="C6392" s="1" t="n">
        <x:v>6</x:v>
      </x:c>
      <x:c r="D6392" s="12" t="n">
        <x:v>0.0235</x:v>
      </x:c>
      <x:c r="E6392" s="12" t="n">
        <x:v>0.28350000000000003</x:v>
      </x:c>
      <x:c r="F6392" s="12" t="n">
        <x:v>0.25775000000000003</x:v>
      </x:c>
      <x:c r="G6392" s="12" t="n">
        <x:v>0</x:v>
      </x:c>
      <x:c r="H6392" s="1" t="n">
        <x:f>'Historical prices'!E6392</x:f>
        <x:v>1.05</x:v>
      </x:c>
      <x:c r="I6392" s="6" t="n">
        <x:f>'Historical prices'!D6392</x:f>
        <x:v>0.4337</x:v>
      </x:c>
      <x:c r="J6392" s="13" t="n">
        <x:f>D6392*I6392*H6392</x:f>
        <x:v>0.0107015475</x:v>
      </x:c>
      <x:c r="K6392" s="13" t="n">
        <x:f>E6392*I6392*H6392</x:f>
        <x:v>0.1291016475</x:v>
      </x:c>
      <x:c r="L6392" s="1" t="str">
        <x:f>TEXT(A6392,"mmm yyyy")</x:f>
        <x:v>Sep 2026</x:v>
      </x:c>
    </x:row>
    <x:row r="6393" ht="21" customHeight="1">
      <x:c r="A6393" s="10" t="n">
        <x:v>46281</x:v>
      </x:c>
      <x:c r="B6393" s="1" t="n">
        <x:v>16.5</x:v>
      </x:c>
      <x:c r="C6393" s="1" t="n">
        <x:v>6</x:v>
      </x:c>
      <x:c r="D6393" s="12" t="n">
        <x:v>0</x:v>
      </x:c>
      <x:c r="E6393" s="12" t="n">
        <x:v>0.27508333333333335</x:v>
      </x:c>
      <x:c r="F6393" s="12" t="n">
        <x:v>0.2745</x:v>
      </x:c>
      <x:c r="G6393" s="12" t="n">
        <x:v>0</x:v>
      </x:c>
      <x:c r="H6393" s="1" t="n">
        <x:f>'Historical prices'!E6393</x:f>
        <x:v>1.05</x:v>
      </x:c>
      <x:c r="I6393" s="6" t="n">
        <x:f>'Historical prices'!D6393</x:f>
        <x:v>0.4596</x:v>
      </x:c>
      <x:c r="J6393" s="13" t="n">
        <x:f>D6393*I6393*H6393</x:f>
        <x:v>0</x:v>
      </x:c>
      <x:c r="K6393" s="13" t="n">
        <x:f>E6393*I6393*H6393</x:f>
        <x:v>0.13274971500000002</x:v>
      </x:c>
      <x:c r="L6393" s="1" t="str">
        <x:f>TEXT(A6393,"mmm yyyy")</x:f>
        <x:v>Sep 2026</x:v>
      </x:c>
    </x:row>
    <x:row r="6394" ht="21" customHeight="1">
      <x:c r="A6394" s="10" t="n">
        <x:v>46281</x:v>
      </x:c>
      <x:c r="B6394" s="1" t="n">
        <x:v>17</x:v>
      </x:c>
      <x:c r="C6394" s="1" t="n">
        <x:v>6</x:v>
      </x:c>
      <x:c r="D6394" s="12" t="n">
        <x:v>0</x:v>
      </x:c>
      <x:c r="E6394" s="12" t="n">
        <x:v>0.2929999999999999</x:v>
      </x:c>
      <x:c r="F6394" s="12" t="n">
        <x:v>0.2925833333333333</x:v>
      </x:c>
      <x:c r="G6394" s="12" t="n">
        <x:v>0</x:v>
      </x:c>
      <x:c r="H6394" s="1" t="n">
        <x:f>'Historical prices'!E6394</x:f>
        <x:v>1.05</x:v>
      </x:c>
      <x:c r="I6394" s="6" t="n">
        <x:f>'Historical prices'!D6394</x:f>
        <x:v>0.5042</x:v>
      </x:c>
      <x:c r="J6394" s="13" t="n">
        <x:f>D6394*I6394*H6394</x:f>
        <x:v>0</x:v>
      </x:c>
      <x:c r="K6394" s="13" t="n">
        <x:f>E6394*I6394*H6394</x:f>
        <x:v>0.15511712999999996</x:v>
      </x:c>
      <x:c r="L6394" s="1" t="str">
        <x:f>TEXT(A6394,"mmm yyyy")</x:f>
        <x:v>Sep 2026</x:v>
      </x:c>
    </x:row>
    <x:row r="6395" ht="21" customHeight="1">
      <x:c r="A6395" s="10" t="n">
        <x:v>46281</x:v>
      </x:c>
      <x:c r="B6395" s="1" t="n">
        <x:v>17.5</x:v>
      </x:c>
      <x:c r="C6395" s="1" t="n">
        <x:v>6</x:v>
      </x:c>
      <x:c r="D6395" s="12" t="n">
        <x:v>0</x:v>
      </x:c>
      <x:c r="E6395" s="12" t="n">
        <x:v>0.24608333333333332</x:v>
      </x:c>
      <x:c r="F6395" s="12" t="n">
        <x:v>0.24541666666666667</x:v>
      </x:c>
      <x:c r="G6395" s="12" t="n">
        <x:v>0</x:v>
      </x:c>
      <x:c r="H6395" s="1" t="n">
        <x:f>'Historical prices'!E6395</x:f>
        <x:v>1.05</x:v>
      </x:c>
      <x:c r="I6395" s="6" t="n">
        <x:f>'Historical prices'!D6395</x:f>
        <x:v>0.5065999999999999</x:v>
      </x:c>
      <x:c r="J6395" s="13" t="n">
        <x:f>D6395*I6395*H6395</x:f>
        <x:v>0</x:v>
      </x:c>
      <x:c r="K6395" s="13" t="n">
        <x:f>E6395*I6395*H6395</x:f>
        <x:v>0.1308991075</x:v>
      </x:c>
      <x:c r="L6395" s="1" t="str">
        <x:f>TEXT(A6395,"mmm yyyy")</x:f>
        <x:v>Sep 2026</x:v>
      </x:c>
    </x:row>
    <x:row r="6396" ht="21" customHeight="1">
      <x:c r="A6396" s="10" t="n">
        <x:v>46281</x:v>
      </x:c>
      <x:c r="B6396" s="1" t="n">
        <x:v>18</x:v>
      </x:c>
      <x:c r="C6396" s="1" t="n">
        <x:v>6</x:v>
      </x:c>
      <x:c r="D6396" s="12" t="n">
        <x:v>0</x:v>
      </x:c>
      <x:c r="E6396" s="12" t="n">
        <x:v>0.24858333333333332</x:v>
      </x:c>
      <x:c r="F6396" s="12" t="n">
        <x:v>0.24774999999999997</x:v>
      </x:c>
      <x:c r="G6396" s="12" t="n">
        <x:v>0</x:v>
      </x:c>
      <x:c r="H6396" s="1" t="n">
        <x:f>'Historical prices'!E6396</x:f>
        <x:v>1.05</x:v>
      </x:c>
      <x:c r="I6396" s="6" t="n">
        <x:f>'Historical prices'!D6396</x:f>
        <x:v>0.5276</x:v>
      </x:c>
      <x:c r="J6396" s="13" t="n">
        <x:f>D6396*I6396*H6396</x:f>
        <x:v>0</x:v>
      </x:c>
      <x:c r="K6396" s="13" t="n">
        <x:f>E6396*I6396*H6396</x:f>
        <x:v>0.137710195</x:v>
      </x:c>
      <x:c r="L6396" s="1" t="str">
        <x:f>TEXT(A6396,"mmm yyyy")</x:f>
        <x:v>Sep 2026</x:v>
      </x:c>
    </x:row>
    <x:row r="6397" ht="21" customHeight="1">
      <x:c r="A6397" s="10" t="n">
        <x:v>46281</x:v>
      </x:c>
      <x:c r="B6397" s="1" t="n">
        <x:v>18.5</x:v>
      </x:c>
      <x:c r="C6397" s="1" t="n">
        <x:v>6</x:v>
      </x:c>
      <x:c r="D6397" s="12" t="n">
        <x:v>0</x:v>
      </x:c>
      <x:c r="E6397" s="12" t="n">
        <x:v>0.30633333333333335</x:v>
      </x:c>
      <x:c r="F6397" s="12" t="n">
        <x:v>0.30600000000000005</x:v>
      </x:c>
      <x:c r="G6397" s="12" t="n">
        <x:v>0</x:v>
      </x:c>
      <x:c r="H6397" s="1" t="n">
        <x:f>'Historical prices'!E6397</x:f>
        <x:v>1.05</x:v>
      </x:c>
      <x:c r="I6397" s="6" t="n">
        <x:f>'Historical prices'!D6397</x:f>
        <x:v>0.5276</x:v>
      </x:c>
      <x:c r="J6397" s="13" t="n">
        <x:f>D6397*I6397*H6397</x:f>
        <x:v>0</x:v>
      </x:c>
      <x:c r="K6397" s="13" t="n">
        <x:f>E6397*I6397*H6397</x:f>
        <x:v>0.16970253999999999</x:v>
      </x:c>
      <x:c r="L6397" s="1" t="str">
        <x:f>TEXT(A6397,"mmm yyyy")</x:f>
        <x:v>Sep 2026</x:v>
      </x:c>
    </x:row>
    <x:row r="6398" ht="21" customHeight="1">
      <x:c r="A6398" s="10" t="n">
        <x:v>46281</x:v>
      </x:c>
      <x:c r="B6398" s="1" t="n">
        <x:v>19</x:v>
      </x:c>
      <x:c r="C6398" s="1" t="n">
        <x:v>6</x:v>
      </x:c>
      <x:c r="D6398" s="12" t="n">
        <x:v>0</x:v>
      </x:c>
      <x:c r="E6398" s="12" t="n">
        <x:v>0.263</x:v>
      </x:c>
      <x:c r="F6398" s="12" t="n">
        <x:v>0.26208333333333333</x:v>
      </x:c>
      <x:c r="G6398" s="12" t="n">
        <x:v>0</x:v>
      </x:c>
      <x:c r="H6398" s="1" t="n">
        <x:f>'Historical prices'!E6398</x:f>
        <x:v>1.05</x:v>
      </x:c>
      <x:c r="I6398" s="6" t="n">
        <x:f>'Historical prices'!D6398</x:f>
        <x:v>0.40399999999999997</x:v>
      </x:c>
      <x:c r="J6398" s="13" t="n">
        <x:f>D6398*I6398*H6398</x:f>
        <x:v>0</x:v>
      </x:c>
      <x:c r="K6398" s="13" t="n">
        <x:f>E6398*I6398*H6398</x:f>
        <x:v>0.1115646</x:v>
      </x:c>
      <x:c r="L6398" s="1" t="str">
        <x:f>TEXT(A6398,"mmm yyyy")</x:f>
        <x:v>Sep 2026</x:v>
      </x:c>
    </x:row>
    <x:row r="6399" ht="21" customHeight="1">
      <x:c r="A6399" s="10" t="n">
        <x:v>46281</x:v>
      </x:c>
      <x:c r="B6399" s="1" t="n">
        <x:v>19.5</x:v>
      </x:c>
      <x:c r="C6399" s="1" t="n">
        <x:v>6</x:v>
      </x:c>
      <x:c r="D6399" s="12" t="n">
        <x:v>0.08625</x:v>
      </x:c>
      <x:c r="E6399" s="12" t="n">
        <x:v>0.3630833333333333</x:v>
      </x:c>
      <x:c r="F6399" s="12" t="n">
        <x:v>0.27675</x:v>
      </x:c>
      <x:c r="G6399" s="12" t="n">
        <x:v>0</x:v>
      </x:c>
      <x:c r="H6399" s="1" t="n">
        <x:f>'Historical prices'!E6399</x:f>
        <x:v>1.05</x:v>
      </x:c>
      <x:c r="I6399" s="6" t="n">
        <x:f>'Historical prices'!D6399</x:f>
        <x:v>0.3998</x:v>
      </x:c>
      <x:c r="J6399" s="13" t="n">
        <x:f>D6399*I6399*H6399</x:f>
        <x:v>0.0362068875</x:v>
      </x:c>
      <x:c r="K6399" s="13" t="n">
        <x:f>E6399*I6399*H6399</x:f>
        <x:v>0.1524187525</x:v>
      </x:c>
      <x:c r="L6399" s="1" t="str">
        <x:f>TEXT(A6399,"mmm yyyy")</x:f>
        <x:v>Sep 2026</x:v>
      </x:c>
    </x:row>
    <x:row r="6400" ht="21" customHeight="1">
      <x:c r="A6400" s="10" t="n">
        <x:v>46281</x:v>
      </x:c>
      <x:c r="B6400" s="1" t="n">
        <x:v>20</x:v>
      </x:c>
      <x:c r="C6400" s="1" t="n">
        <x:v>6</x:v>
      </x:c>
      <x:c r="D6400" s="12" t="n">
        <x:v>0</x:v>
      </x:c>
      <x:c r="E6400" s="12" t="n">
        <x:v>0.26225</x:v>
      </x:c>
      <x:c r="F6400" s="12" t="n">
        <x:v>0.26125</x:v>
      </x:c>
      <x:c r="G6400" s="12" t="n">
        <x:v>0</x:v>
      </x:c>
      <x:c r="H6400" s="1" t="n">
        <x:f>'Historical prices'!E6400</x:f>
        <x:v>1.05</x:v>
      </x:c>
      <x:c r="I6400" s="6" t="n">
        <x:f>'Historical prices'!D6400</x:f>
        <x:v>0.36560000000000004</x:v>
      </x:c>
      <x:c r="J6400" s="13" t="n">
        <x:f>D6400*I6400*H6400</x:f>
        <x:v>0</x:v>
      </x:c>
      <x:c r="K6400" s="13" t="n">
        <x:f>E6400*I6400*H6400</x:f>
        <x:v>0.10067253000000001</x:v>
      </x:c>
      <x:c r="L6400" s="1" t="str">
        <x:f>TEXT(A6400,"mmm yyyy")</x:f>
        <x:v>Sep 2026</x:v>
      </x:c>
    </x:row>
    <x:row r="6401" ht="21" customHeight="1">
      <x:c r="A6401" s="10" t="n">
        <x:v>46281</x:v>
      </x:c>
      <x:c r="B6401" s="1" t="n">
        <x:v>20.5</x:v>
      </x:c>
      <x:c r="C6401" s="1" t="n">
        <x:v>6</x:v>
      </x:c>
      <x:c r="D6401" s="12" t="n">
        <x:v>0</x:v>
      </x:c>
      <x:c r="E6401" s="12" t="n">
        <x:v>0.35283333333333333</x:v>
      </x:c>
      <x:c r="F6401" s="12" t="n">
        <x:v>0.35241666666666666</x:v>
      </x:c>
      <x:c r="G6401" s="12" t="n">
        <x:v>0</x:v>
      </x:c>
      <x:c r="H6401" s="1" t="n">
        <x:f>'Historical prices'!E6401</x:f>
        <x:v>1.05</x:v>
      </x:c>
      <x:c r="I6401" s="6" t="n">
        <x:f>'Historical prices'!D6401</x:f>
        <x:v>0.353</x:v>
      </x:c>
      <x:c r="J6401" s="13" t="n">
        <x:f>D6401*I6401*H6401</x:f>
        <x:v>0</x:v>
      </x:c>
      <x:c r="K6401" s="13" t="n">
        <x:f>E6401*I6401*H6401</x:f>
        <x:v>0.13077767499999998</x:v>
      </x:c>
      <x:c r="L6401" s="1" t="str">
        <x:f>TEXT(A6401,"mmm yyyy")</x:f>
        <x:v>Sep 2026</x:v>
      </x:c>
    </x:row>
    <x:row r="6402" ht="21" customHeight="1">
      <x:c r="A6402" s="10" t="n">
        <x:v>46281</x:v>
      </x:c>
      <x:c r="B6402" s="1" t="n">
        <x:v>21</x:v>
      </x:c>
      <x:c r="C6402" s="1" t="n">
        <x:v>6</x:v>
      </x:c>
      <x:c r="D6402" s="12" t="n">
        <x:v>0</x:v>
      </x:c>
      <x:c r="E6402" s="12" t="n">
        <x:v>0.29683333333333334</x:v>
      </x:c>
      <x:c r="F6402" s="12" t="n">
        <x:v>0.2963333333333333</x:v>
      </x:c>
      <x:c r="G6402" s="12" t="n">
        <x:v>0</x:v>
      </x:c>
      <x:c r="H6402" s="1" t="n">
        <x:f>'Historical prices'!E6402</x:f>
        <x:v>1.05</x:v>
      </x:c>
      <x:c r="I6402" s="6" t="n">
        <x:f>'Historical prices'!D6402</x:f>
        <x:v>0.319</x:v>
      </x:c>
      <x:c r="J6402" s="13" t="n">
        <x:f>D6402*I6402*H6402</x:f>
        <x:v>0</x:v>
      </x:c>
      <x:c r="K6402" s="13" t="n">
        <x:f>E6402*I6402*H6402</x:f>
        <x:v>0.09942432500000001</x:v>
      </x:c>
      <x:c r="L6402" s="1" t="str">
        <x:f>TEXT(A6402,"mmm yyyy")</x:f>
        <x:v>Sep 2026</x:v>
      </x:c>
    </x:row>
    <x:row r="6403" ht="21" customHeight="1">
      <x:c r="A6403" s="10" t="n">
        <x:v>46281</x:v>
      </x:c>
      <x:c r="B6403" s="1" t="n">
        <x:v>21.5</x:v>
      </x:c>
      <x:c r="C6403" s="1" t="n">
        <x:v>6</x:v>
      </x:c>
      <x:c r="D6403" s="12" t="n">
        <x:v>0</x:v>
      </x:c>
      <x:c r="E6403" s="12" t="n">
        <x:v>0.26716666666666666</x:v>
      </x:c>
      <x:c r="F6403" s="12" t="n">
        <x:v>0.261</x:v>
      </x:c>
      <x:c r="G6403" s="12" t="n">
        <x:v>0</x:v>
      </x:c>
      <x:c r="H6403" s="1" t="n">
        <x:f>'Historical prices'!E6403</x:f>
        <x:v>1.05</x:v>
      </x:c>
      <x:c r="I6403" s="6" t="n">
        <x:f>'Historical prices'!D6403</x:f>
        <x:v>0.3005</x:v>
      </x:c>
      <x:c r="J6403" s="13" t="n">
        <x:f>D6403*I6403*H6403</x:f>
        <x:v>0</x:v>
      </x:c>
      <x:c r="K6403" s="13" t="n">
        <x:f>E6403*I6403*H6403</x:f>
        <x:v>0.0842977625</x:v>
      </x:c>
      <x:c r="L6403" s="1" t="str">
        <x:f>TEXT(A6403,"mmm yyyy")</x:f>
        <x:v>Sep 2026</x:v>
      </x:c>
    </x:row>
    <x:row r="6404" ht="21" customHeight="1">
      <x:c r="A6404" s="10" t="n">
        <x:v>46281</x:v>
      </x:c>
      <x:c r="B6404" s="1" t="n">
        <x:v>22</x:v>
      </x:c>
      <x:c r="C6404" s="1" t="n">
        <x:v>6</x:v>
      </x:c>
      <x:c r="D6404" s="12" t="n">
        <x:v>0</x:v>
      </x:c>
      <x:c r="E6404" s="12" t="n">
        <x:v>0.23408333333333334</x:v>
      </x:c>
      <x:c r="F6404" s="12" t="n">
        <x:v>0.23283333333333334</x:v>
      </x:c>
      <x:c r="G6404" s="12" t="n">
        <x:v>0</x:v>
      </x:c>
      <x:c r="H6404" s="1" t="n">
        <x:f>'Historical prices'!E6404</x:f>
        <x:v>1.05</x:v>
      </x:c>
      <x:c r="I6404" s="6" t="n">
        <x:f>'Historical prices'!D6404</x:f>
        <x:v>0.2984</x:v>
      </x:c>
      <x:c r="J6404" s="13" t="n">
        <x:f>D6404*I6404*H6404</x:f>
        <x:v>0</x:v>
      </x:c>
      <x:c r="K6404" s="13" t="n">
        <x:f>E6404*I6404*H6404</x:f>
        <x:v>0.07334299</x:v>
      </x:c>
      <x:c r="L6404" s="1" t="str">
        <x:f>TEXT(A6404,"mmm yyyy")</x:f>
        <x:v>Sep 2026</x:v>
      </x:c>
    </x:row>
    <x:row r="6405" ht="21" customHeight="1">
      <x:c r="A6405" s="10" t="n">
        <x:v>46281</x:v>
      </x:c>
      <x:c r="B6405" s="1" t="n">
        <x:v>22.5</x:v>
      </x:c>
      <x:c r="C6405" s="1" t="n">
        <x:v>6</x:v>
      </x:c>
      <x:c r="D6405" s="12" t="n">
        <x:v>0</x:v>
      </x:c>
      <x:c r="E6405" s="12" t="n">
        <x:v>0.32483333333333336</x:v>
      </x:c>
      <x:c r="F6405" s="12" t="n">
        <x:v>0.32466666666666666</x:v>
      </x:c>
      <x:c r="G6405" s="12" t="n">
        <x:v>0</x:v>
      </x:c>
      <x:c r="H6405" s="1" t="n">
        <x:f>'Historical prices'!E6405</x:f>
        <x:v>1.05</x:v>
      </x:c>
      <x:c r="I6405" s="6" t="n">
        <x:f>'Historical prices'!D6405</x:f>
        <x:v>0.2816</x:v>
      </x:c>
      <x:c r="J6405" s="13" t="n">
        <x:f>D6405*I6405*H6405</x:f>
        <x:v>0</x:v>
      </x:c>
      <x:c r="K6405" s="13" t="n">
        <x:f>E6405*I6405*H6405</x:f>
        <x:v>0.09604672000000003</x:v>
      </x:c>
      <x:c r="L6405" s="1" t="str">
        <x:f>TEXT(A6405,"mmm yyyy")</x:f>
        <x:v>Sep 2026</x:v>
      </x:c>
    </x:row>
    <x:row r="6406" ht="21" customHeight="1">
      <x:c r="A6406" s="10" t="n">
        <x:v>46281</x:v>
      </x:c>
      <x:c r="B6406" s="1" t="n">
        <x:v>23</x:v>
      </x:c>
      <x:c r="C6406" s="1" t="n">
        <x:v>6</x:v>
      </x:c>
      <x:c r="D6406" s="12" t="n">
        <x:v>0</x:v>
      </x:c>
      <x:c r="E6406" s="12" t="n">
        <x:v>0.26475</x:v>
      </x:c>
      <x:c r="F6406" s="12" t="n">
        <x:v>0.26458333333333334</x:v>
      </x:c>
      <x:c r="G6406" s="12" t="n">
        <x:v>0</x:v>
      </x:c>
      <x:c r="H6406" s="1" t="n">
        <x:f>'Historical prices'!E6406</x:f>
        <x:v>1.05</x:v>
      </x:c>
      <x:c r="I6406" s="6" t="n">
        <x:f>'Historical prices'!D6406</x:f>
        <x:v>0.2869</x:v>
      </x:c>
      <x:c r="J6406" s="13" t="n">
        <x:f>D6406*I6406*H6406</x:f>
        <x:v>0</x:v>
      </x:c>
      <x:c r="K6406" s="13" t="n">
        <x:f>E6406*I6406*H6406</x:f>
        <x:v>0.07975461375</x:v>
      </x:c>
      <x:c r="L6406" s="1" t="str">
        <x:f>TEXT(A6406,"mmm yyyy")</x:f>
        <x:v>Sep 2026</x:v>
      </x:c>
    </x:row>
    <x:row r="6407" ht="21" customHeight="1">
      <x:c r="A6407" s="10" t="n">
        <x:v>46281</x:v>
      </x:c>
      <x:c r="B6407" s="1" t="n">
        <x:v>23.5</x:v>
      </x:c>
      <x:c r="C6407" s="1" t="n">
        <x:v>6</x:v>
      </x:c>
      <x:c r="D6407" s="12" t="n">
        <x:v>0</x:v>
      </x:c>
      <x:c r="E6407" s="12" t="n">
        <x:v>0.1915</x:v>
      </x:c>
      <x:c r="F6407" s="12" t="n">
        <x:v>0.19075</x:v>
      </x:c>
      <x:c r="G6407" s="12" t="n">
        <x:v>0</x:v>
      </x:c>
      <x:c r="H6407" s="1" t="n">
        <x:f>'Historical prices'!E6407</x:f>
        <x:v>1.05</x:v>
      </x:c>
      <x:c r="I6407" s="6" t="n">
        <x:f>'Historical prices'!D6407</x:f>
        <x:v>0.2648</x:v>
      </x:c>
      <x:c r="J6407" s="13" t="n">
        <x:f>D6407*I6407*H6407</x:f>
        <x:v>0</x:v>
      </x:c>
      <x:c r="K6407" s="13" t="n">
        <x:f>E6407*I6407*H6407</x:f>
        <x:v>0.05324466</x:v>
      </x:c>
      <x:c r="L6407" s="1" t="str">
        <x:f>TEXT(A6407,"mmm yyyy")</x:f>
        <x:v>Sep 2026</x:v>
      </x:c>
    </x:row>
    <x:row r="6408" ht="21" customHeight="1">
      <x:c r="A6408" s="10" t="n">
        <x:v>46282</x:v>
      </x:c>
      <x:c r="B6408" s="1" t="n">
        <x:v>0</x:v>
      </x:c>
      <x:c r="C6408" s="1" t="n">
        <x:v>6</x:v>
      </x:c>
      <x:c r="D6408" s="12" t="n">
        <x:v>0</x:v>
      </x:c>
      <x:c r="E6408" s="12" t="n">
        <x:v>0.236</x:v>
      </x:c>
      <x:c r="F6408" s="12" t="n">
        <x:v>0.2355833333333333</x:v>
      </x:c>
      <x:c r="G6408" s="12" t="n">
        <x:v>0</x:v>
      </x:c>
      <x:c r="H6408" s="1" t="n">
        <x:f>'Historical prices'!E6408</x:f>
        <x:v>1.05</x:v>
      </x:c>
      <x:c r="I6408" s="6" t="n">
        <x:f>'Historical prices'!D6408</x:f>
        <x:v>0.25</x:v>
      </x:c>
      <x:c r="J6408" s="13" t="n">
        <x:f>D6408*I6408*H6408</x:f>
        <x:v>0</x:v>
      </x:c>
      <x:c r="K6408" s="13" t="n">
        <x:f>E6408*I6408*H6408</x:f>
        <x:v>0.06195</x:v>
      </x:c>
      <x:c r="L6408" s="1" t="str">
        <x:f>TEXT(A6408,"mmm yyyy")</x:f>
        <x:v>Sep 2026</x:v>
      </x:c>
    </x:row>
    <x:row r="6409" ht="21" customHeight="1">
      <x:c r="A6409" s="10" t="n">
        <x:v>46282</x:v>
      </x:c>
      <x:c r="B6409" s="1" t="n">
        <x:v>0.5</x:v>
      </x:c>
      <x:c r="C6409" s="1" t="n">
        <x:v>6</x:v>
      </x:c>
      <x:c r="D6409" s="12" t="n">
        <x:v>0</x:v>
      </x:c>
      <x:c r="E6409" s="12" t="n">
        <x:v>0.3533333333333334</x:v>
      </x:c>
      <x:c r="F6409" s="12" t="n">
        <x:v>0.35266666666666663</x:v>
      </x:c>
      <x:c r="G6409" s="12" t="n">
        <x:v>0</x:v>
      </x:c>
      <x:c r="H6409" s="1" t="n">
        <x:f>'Historical prices'!E6409</x:f>
        <x:v>1.05</x:v>
      </x:c>
      <x:c r="I6409" s="6" t="n">
        <x:f>'Historical prices'!D6409</x:f>
        <x:v>0.2376</x:v>
      </x:c>
      <x:c r="J6409" s="13" t="n">
        <x:f>D6409*I6409*H6409</x:f>
        <x:v>0</x:v>
      </x:c>
      <x:c r="K6409" s="13" t="n">
        <x:f>E6409*I6409*H6409</x:f>
        <x:v>0.08814960000000002</x:v>
      </x:c>
      <x:c r="L6409" s="1" t="str">
        <x:f>TEXT(A6409,"mmm yyyy")</x:f>
        <x:v>Sep 2026</x:v>
      </x:c>
    </x:row>
    <x:row r="6410" ht="21" customHeight="1">
      <x:c r="A6410" s="10" t="n">
        <x:v>46282</x:v>
      </x:c>
      <x:c r="B6410" s="1" t="n">
        <x:v>1</x:v>
      </x:c>
      <x:c r="C6410" s="1" t="n">
        <x:v>6</x:v>
      </x:c>
      <x:c r="D6410" s="12" t="n">
        <x:v>0</x:v>
      </x:c>
      <x:c r="E6410" s="12" t="n">
        <x:v>0.2328333333333333</x:v>
      </x:c>
      <x:c r="F6410" s="12" t="n">
        <x:v>0.23249999999999998</x:v>
      </x:c>
      <x:c r="G6410" s="12" t="n">
        <x:v>0</x:v>
      </x:c>
      <x:c r="H6410" s="1" t="n">
        <x:f>'Historical prices'!E6410</x:f>
        <x:v>1.05</x:v>
      </x:c>
      <x:c r="I6410" s="6" t="n">
        <x:f>'Historical prices'!D6410</x:f>
        <x:v>0.2198</x:v>
      </x:c>
      <x:c r="J6410" s="13" t="n">
        <x:f>D6410*I6410*H6410</x:f>
        <x:v>0</x:v>
      </x:c>
      <x:c r="K6410" s="13" t="n">
        <x:f>E6410*I6410*H6410</x:f>
        <x:v>0.05373560499999999</x:v>
      </x:c>
      <x:c r="L6410" s="1" t="str">
        <x:f>TEXT(A6410,"mmm yyyy")</x:f>
        <x:v>Sep 2026</x:v>
      </x:c>
    </x:row>
    <x:row r="6411" ht="21" customHeight="1">
      <x:c r="A6411" s="10" t="n">
        <x:v>46282</x:v>
      </x:c>
      <x:c r="B6411" s="1" t="n">
        <x:v>1.5</x:v>
      </x:c>
      <x:c r="C6411" s="1" t="n">
        <x:v>6</x:v>
      </x:c>
      <x:c r="D6411" s="12" t="n">
        <x:v>0</x:v>
      </x:c>
      <x:c r="E6411" s="12" t="n">
        <x:v>0.2376666666666667</x:v>
      </x:c>
      <x:c r="F6411" s="12" t="n">
        <x:v>0.23716666666666666</x:v>
      </x:c>
      <x:c r="G6411" s="12" t="n">
        <x:v>0</x:v>
      </x:c>
      <x:c r="H6411" s="1" t="n">
        <x:f>'Historical prices'!E6411</x:f>
        <x:v>1.05</x:v>
      </x:c>
      <x:c r="I6411" s="6" t="n">
        <x:f>'Historical prices'!D6411</x:f>
        <x:v>0.2165</x:v>
      </x:c>
      <x:c r="J6411" s="13" t="n">
        <x:f>D6411*I6411*H6411</x:f>
        <x:v>0</x:v>
      </x:c>
      <x:c r="K6411" s="13" t="n">
        <x:f>E6411*I6411*H6411</x:f>
        <x:v>0.05402757500000001</x:v>
      </x:c>
      <x:c r="L6411" s="1" t="str">
        <x:f>TEXT(A6411,"mmm yyyy")</x:f>
        <x:v>Sep 2026</x:v>
      </x:c>
    </x:row>
    <x:row r="6412" ht="21" customHeight="1">
      <x:c r="A6412" s="10" t="n">
        <x:v>46282</x:v>
      </x:c>
      <x:c r="B6412" s="1" t="n">
        <x:v>2</x:v>
      </x:c>
      <x:c r="C6412" s="1" t="n">
        <x:v>6</x:v>
      </x:c>
      <x:c r="D6412" s="12" t="n">
        <x:v>0</x:v>
      </x:c>
      <x:c r="E6412" s="12" t="n">
        <x:v>0.24841666666666667</x:v>
      </x:c>
      <x:c r="F6412" s="12" t="n">
        <x:v>0.2474166666666667</x:v>
      </x:c>
      <x:c r="G6412" s="12" t="n">
        <x:v>0</x:v>
      </x:c>
      <x:c r="H6412" s="1" t="n">
        <x:f>'Historical prices'!E6412</x:f>
        <x:v>1.05</x:v>
      </x:c>
      <x:c r="I6412" s="6" t="n">
        <x:f>'Historical prices'!D6412</x:f>
        <x:v>0.2134</x:v>
      </x:c>
      <x:c r="J6412" s="13" t="n">
        <x:f>D6412*I6412*H6412</x:f>
        <x:v>0</x:v>
      </x:c>
      <x:c r="K6412" s="13" t="n">
        <x:f>E6412*I6412*H6412</x:f>
        <x:v>0.055662722500000004</x:v>
      </x:c>
      <x:c r="L6412" s="1" t="str">
        <x:f>TEXT(A6412,"mmm yyyy")</x:f>
        <x:v>Sep 2026</x:v>
      </x:c>
    </x:row>
    <x:row r="6413" ht="21" customHeight="1">
      <x:c r="A6413" s="10" t="n">
        <x:v>46282</x:v>
      </x:c>
      <x:c r="B6413" s="1" t="n">
        <x:v>2.5</x:v>
      </x:c>
      <x:c r="C6413" s="1" t="n">
        <x:v>6</x:v>
      </x:c>
      <x:c r="D6413" s="12" t="n">
        <x:v>0</x:v>
      </x:c>
      <x:c r="E6413" s="12" t="n">
        <x:v>0.24916666666666668</x:v>
      </x:c>
      <x:c r="F6413" s="12" t="n">
        <x:v>0.24441666666666667</x:v>
      </x:c>
      <x:c r="G6413" s="12" t="n">
        <x:v>0</x:v>
      </x:c>
      <x:c r="H6413" s="1" t="n">
        <x:f>'Historical prices'!E6413</x:f>
        <x:v>1.05</x:v>
      </x:c>
      <x:c r="I6413" s="6" t="n">
        <x:f>'Historical prices'!D6413</x:f>
        <x:v>0.207</x:v>
      </x:c>
      <x:c r="J6413" s="13" t="n">
        <x:f>D6413*I6413*H6413</x:f>
        <x:v>0</x:v>
      </x:c>
      <x:c r="K6413" s="13" t="n">
        <x:f>E6413*I6413*H6413</x:f>
        <x:v>0.054156375</x:v>
      </x:c>
      <x:c r="L6413" s="1" t="str">
        <x:f>TEXT(A6413,"mmm yyyy")</x:f>
        <x:v>Sep 2026</x:v>
      </x:c>
    </x:row>
    <x:row r="6414" ht="21" customHeight="1">
      <x:c r="A6414" s="10" t="n">
        <x:v>46282</x:v>
      </x:c>
      <x:c r="B6414" s="1" t="n">
        <x:v>3</x:v>
      </x:c>
      <x:c r="C6414" s="1" t="n">
        <x:v>6</x:v>
      </x:c>
      <x:c r="D6414" s="12" t="n">
        <x:v>0</x:v>
      </x:c>
      <x:c r="E6414" s="12" t="n">
        <x:v>0.27283333333333337</x:v>
      </x:c>
      <x:c r="F6414" s="12" t="n">
        <x:v>0.27241666666666664</x:v>
      </x:c>
      <x:c r="G6414" s="12" t="n">
        <x:v>0</x:v>
      </x:c>
      <x:c r="H6414" s="1" t="n">
        <x:f>'Historical prices'!E6414</x:f>
        <x:v>1.05</x:v>
      </x:c>
      <x:c r="I6414" s="6" t="n">
        <x:f>'Historical prices'!D6414</x:f>
        <x:v>0.20079999999999998</x:v>
      </x:c>
      <x:c r="J6414" s="13" t="n">
        <x:f>D6414*I6414*H6414</x:f>
        <x:v>0</x:v>
      </x:c>
      <x:c r="K6414" s="13" t="n">
        <x:f>E6414*I6414*H6414</x:f>
        <x:v>0.05752418</x:v>
      </x:c>
      <x:c r="L6414" s="1" t="str">
        <x:f>TEXT(A6414,"mmm yyyy")</x:f>
        <x:v>Sep 2026</x:v>
      </x:c>
    </x:row>
    <x:row r="6415" ht="21" customHeight="1">
      <x:c r="A6415" s="10" t="n">
        <x:v>46282</x:v>
      </x:c>
      <x:c r="B6415" s="1" t="n">
        <x:v>3.5</x:v>
      </x:c>
      <x:c r="C6415" s="1" t="n">
        <x:v>6</x:v>
      </x:c>
      <x:c r="D6415" s="12" t="n">
        <x:v>0</x:v>
      </x:c>
      <x:c r="E6415" s="12" t="n">
        <x:v>0.23716666666666664</x:v>
      </x:c>
      <x:c r="F6415" s="12" t="n">
        <x:v>0.23558333333333337</x:v>
      </x:c>
      <x:c r="G6415" s="12" t="n">
        <x:v>0</x:v>
      </x:c>
      <x:c r="H6415" s="1" t="n">
        <x:f>'Historical prices'!E6415</x:f>
        <x:v>1.05</x:v>
      </x:c>
      <x:c r="I6415" s="6" t="n">
        <x:f>'Historical prices'!D6415</x:f>
        <x:v>0.19440000000000002</x:v>
      </x:c>
      <x:c r="J6415" s="13" t="n">
        <x:f>D6415*I6415*H6415</x:f>
        <x:v>0</x:v>
      </x:c>
      <x:c r="K6415" s="13" t="n">
        <x:f>E6415*I6415*H6415</x:f>
        <x:v>0.04841046</x:v>
      </x:c>
      <x:c r="L6415" s="1" t="str">
        <x:f>TEXT(A6415,"mmm yyyy")</x:f>
        <x:v>Sep 2026</x:v>
      </x:c>
    </x:row>
    <x:row r="6416" ht="21" customHeight="1">
      <x:c r="A6416" s="10" t="n">
        <x:v>46282</x:v>
      </x:c>
      <x:c r="B6416" s="1" t="n">
        <x:v>4</x:v>
      </x:c>
      <x:c r="C6416" s="1" t="n">
        <x:v>6</x:v>
      </x:c>
      <x:c r="D6416" s="12" t="n">
        <x:v>0</x:v>
      </x:c>
      <x:c r="E6416" s="12" t="n">
        <x:v>0.20491666666666666</x:v>
      </x:c>
      <x:c r="F6416" s="12" t="n">
        <x:v>0.20466666666666666</x:v>
      </x:c>
      <x:c r="G6416" s="12" t="n">
        <x:v>0</x:v>
      </x:c>
      <x:c r="H6416" s="1" t="n">
        <x:f>'Historical prices'!E6416</x:f>
        <x:v>1.05</x:v>
      </x:c>
      <x:c r="I6416" s="6" t="n">
        <x:f>'Historical prices'!D6416</x:f>
        <x:v>0.22149999999999997</x:v>
      </x:c>
      <x:c r="J6416" s="13" t="n">
        <x:f>D6416*I6416*H6416</x:f>
        <x:v>0</x:v>
      </x:c>
      <x:c r="K6416" s="13" t="n">
        <x:f>E6416*I6416*H6416</x:f>
        <x:v>0.04765849374999999</x:v>
      </x:c>
      <x:c r="L6416" s="1" t="str">
        <x:f>TEXT(A6416,"mmm yyyy")</x:f>
        <x:v>Sep 2026</x:v>
      </x:c>
    </x:row>
    <x:row r="6417" ht="21" customHeight="1">
      <x:c r="A6417" s="10" t="n">
        <x:v>46282</x:v>
      </x:c>
      <x:c r="B6417" s="1" t="n">
        <x:v>4.5</x:v>
      </x:c>
      <x:c r="C6417" s="1" t="n">
        <x:v>6</x:v>
      </x:c>
      <x:c r="D6417" s="12" t="n">
        <x:v>0</x:v>
      </x:c>
      <x:c r="E6417" s="12" t="n">
        <x:v>0.25958333333333333</x:v>
      </x:c>
      <x:c r="F6417" s="12" t="n">
        <x:v>0.25916666666666666</x:v>
      </x:c>
      <x:c r="G6417" s="12" t="n">
        <x:v>0</x:v>
      </x:c>
      <x:c r="H6417" s="1" t="n">
        <x:f>'Historical prices'!E6417</x:f>
        <x:v>1.05</x:v>
      </x:c>
      <x:c r="I6417" s="6" t="n">
        <x:f>'Historical prices'!D6417</x:f>
        <x:v>0.2211</x:v>
      </x:c>
      <x:c r="J6417" s="13" t="n">
        <x:f>D6417*I6417*H6417</x:f>
        <x:v>0</x:v>
      </x:c>
      <x:c r="K6417" s="13" t="n">
        <x:f>E6417*I6417*H6417</x:f>
        <x:v>0.060263568749999996</x:v>
      </x:c>
      <x:c r="L6417" s="1" t="str">
        <x:f>TEXT(A6417,"mmm yyyy")</x:f>
        <x:v>Sep 2026</x:v>
      </x:c>
    </x:row>
    <x:row r="6418" ht="21" customHeight="1">
      <x:c r="A6418" s="10" t="n">
        <x:v>46282</x:v>
      </x:c>
      <x:c r="B6418" s="1" t="n">
        <x:v>5</x:v>
      </x:c>
      <x:c r="C6418" s="1" t="n">
        <x:v>6</x:v>
      </x:c>
      <x:c r="D6418" s="12" t="n">
        <x:v>0</x:v>
      </x:c>
      <x:c r="E6418" s="12" t="n">
        <x:v>0.34125</x:v>
      </x:c>
      <x:c r="F6418" s="12" t="n">
        <x:v>0.3406666666666667</x:v>
      </x:c>
      <x:c r="G6418" s="12" t="n">
        <x:v>0</x:v>
      </x:c>
      <x:c r="H6418" s="1" t="n">
        <x:f>'Historical prices'!E6418</x:f>
        <x:v>1.05</x:v>
      </x:c>
      <x:c r="I6418" s="6" t="n">
        <x:f>'Historical prices'!D6418</x:f>
        <x:v>0.2288</x:v>
      </x:c>
      <x:c r="J6418" s="13" t="n">
        <x:f>D6418*I6418*H6418</x:f>
        <x:v>0</x:v>
      </x:c>
      <x:c r="K6418" s="13" t="n">
        <x:f>E6418*I6418*H6418</x:f>
        <x:v>0.0819819</x:v>
      </x:c>
      <x:c r="L6418" s="1" t="str">
        <x:f>TEXT(A6418,"mmm yyyy")</x:f>
        <x:v>Sep 2026</x:v>
      </x:c>
    </x:row>
    <x:row r="6419" ht="21" customHeight="1">
      <x:c r="A6419" s="10" t="n">
        <x:v>46282</x:v>
      </x:c>
      <x:c r="B6419" s="1" t="n">
        <x:v>5.5</x:v>
      </x:c>
      <x:c r="C6419" s="1" t="n">
        <x:v>6</x:v>
      </x:c>
      <x:c r="D6419" s="12" t="n">
        <x:v>0</x:v>
      </x:c>
      <x:c r="E6419" s="12" t="n">
        <x:v>0.20591666666666664</x:v>
      </x:c>
      <x:c r="F6419" s="12" t="n">
        <x:v>0.2055</x:v>
      </x:c>
      <x:c r="G6419" s="12" t="n">
        <x:v>0</x:v>
      </x:c>
      <x:c r="H6419" s="1" t="n">
        <x:f>'Historical prices'!E6419</x:f>
        <x:v>1.05</x:v>
      </x:c>
      <x:c r="I6419" s="6" t="n">
        <x:f>'Historical prices'!D6419</x:f>
        <x:v>0.2375</x:v>
      </x:c>
      <x:c r="J6419" s="13" t="n">
        <x:f>D6419*I6419*H6419</x:f>
        <x:v>0</x:v>
      </x:c>
      <x:c r="K6419" s="13" t="n">
        <x:f>E6419*I6419*H6419</x:f>
        <x:v>0.051350468749999996</x:v>
      </x:c>
      <x:c r="L6419" s="1" t="str">
        <x:f>TEXT(A6419,"mmm yyyy")</x:f>
        <x:v>Sep 2026</x:v>
      </x:c>
    </x:row>
    <x:row r="6420" ht="21" customHeight="1">
      <x:c r="A6420" s="10" t="n">
        <x:v>46282</x:v>
      </x:c>
      <x:c r="B6420" s="1" t="n">
        <x:v>6</x:v>
      </x:c>
      <x:c r="C6420" s="1" t="n">
        <x:v>6</x:v>
      </x:c>
      <x:c r="D6420" s="12" t="n">
        <x:v>0</x:v>
      </x:c>
      <x:c r="E6420" s="12" t="n">
        <x:v>0.2799166666666667</x:v>
      </x:c>
      <x:c r="F6420" s="12" t="n">
        <x:v>0.27925</x:v>
      </x:c>
      <x:c r="G6420" s="12" t="n">
        <x:v>0</x:v>
      </x:c>
      <x:c r="H6420" s="1" t="n">
        <x:f>'Historical prices'!E6420</x:f>
        <x:v>1.05</x:v>
      </x:c>
      <x:c r="I6420" s="6" t="n">
        <x:f>'Historical prices'!D6420</x:f>
        <x:v>0.2438</x:v>
      </x:c>
      <x:c r="J6420" s="13" t="n">
        <x:f>D6420*I6420*H6420</x:f>
        <x:v>0</x:v>
      </x:c>
      <x:c r="K6420" s="13" t="n">
        <x:f>E6420*I6420*H6420</x:f>
        <x:v>0.0716558675</x:v>
      </x:c>
      <x:c r="L6420" s="1" t="str">
        <x:f>TEXT(A6420,"mmm yyyy")</x:f>
        <x:v>Sep 2026</x:v>
      </x:c>
    </x:row>
    <x:row r="6421" ht="21" customHeight="1">
      <x:c r="A6421" s="10" t="n">
        <x:v>46282</x:v>
      </x:c>
      <x:c r="B6421" s="1" t="n">
        <x:v>6.5</x:v>
      </x:c>
      <x:c r="C6421" s="1" t="n">
        <x:v>6</x:v>
      </x:c>
      <x:c r="D6421" s="12" t="n">
        <x:v>0</x:v>
      </x:c>
      <x:c r="E6421" s="12" t="n">
        <x:v>0.308</x:v>
      </x:c>
      <x:c r="F6421" s="12" t="n">
        <x:v>0.3075</x:v>
      </x:c>
      <x:c r="G6421" s="12" t="n">
        <x:v>0</x:v>
      </x:c>
      <x:c r="H6421" s="1" t="n">
        <x:f>'Historical prices'!E6421</x:f>
        <x:v>1.05</x:v>
      </x:c>
      <x:c r="I6421" s="6" t="n">
        <x:f>'Historical prices'!D6421</x:f>
        <x:v>0.2942</x:v>
      </x:c>
      <x:c r="J6421" s="13" t="n">
        <x:f>D6421*I6421*H6421</x:f>
        <x:v>0</x:v>
      </x:c>
      <x:c r="K6421" s="13" t="n">
        <x:f>E6421*I6421*H6421</x:f>
        <x:v>0.09514428000000001</x:v>
      </x:c>
      <x:c r="L6421" s="1" t="str">
        <x:f>TEXT(A6421,"mmm yyyy")</x:f>
        <x:v>Sep 2026</x:v>
      </x:c>
    </x:row>
    <x:row r="6422" ht="21" customHeight="1">
      <x:c r="A6422" s="10" t="n">
        <x:v>46282</x:v>
      </x:c>
      <x:c r="B6422" s="1" t="n">
        <x:v>7</x:v>
      </x:c>
      <x:c r="C6422" s="1" t="n">
        <x:v>6</x:v>
      </x:c>
      <x:c r="D6422" s="12" t="n">
        <x:v>0</x:v>
      </x:c>
      <x:c r="E6422" s="12" t="n">
        <x:v>0.2946666666666667</x:v>
      </x:c>
      <x:c r="F6422" s="12" t="n">
        <x:v>0.29433333333333334</x:v>
      </x:c>
      <x:c r="G6422" s="12" t="n">
        <x:v>0</x:v>
      </x:c>
      <x:c r="H6422" s="1" t="n">
        <x:f>'Historical prices'!E6422</x:f>
        <x:v>1.05</x:v>
      </x:c>
      <x:c r="I6422" s="6" t="n">
        <x:f>'Historical prices'!D6422</x:f>
        <x:v>0.2894</x:v>
      </x:c>
      <x:c r="J6422" s="13" t="n">
        <x:f>D6422*I6422*H6422</x:f>
        <x:v>0</x:v>
      </x:c>
      <x:c r="K6422" s="13" t="n">
        <x:f>E6422*I6422*H6422</x:f>
        <x:v>0.08954036</x:v>
      </x:c>
      <x:c r="L6422" s="1" t="str">
        <x:f>TEXT(A6422,"mmm yyyy")</x:f>
        <x:v>Sep 2026</x:v>
      </x:c>
    </x:row>
    <x:row r="6423" ht="21" customHeight="1">
      <x:c r="A6423" s="10" t="n">
        <x:v>46282</x:v>
      </x:c>
      <x:c r="B6423" s="1" t="n">
        <x:v>7.5</x:v>
      </x:c>
      <x:c r="C6423" s="1" t="n">
        <x:v>6</x:v>
      </x:c>
      <x:c r="D6423" s="12" t="n">
        <x:v>0</x:v>
      </x:c>
      <x:c r="E6423" s="12" t="n">
        <x:v>0.26625</x:v>
      </x:c>
      <x:c r="F6423" s="12" t="n">
        <x:v>0.2656666666666666</x:v>
      </x:c>
      <x:c r="G6423" s="12" t="n">
        <x:v>0</x:v>
      </x:c>
      <x:c r="H6423" s="1" t="n">
        <x:f>'Historical prices'!E6423</x:f>
        <x:v>1.05</x:v>
      </x:c>
      <x:c r="I6423" s="6" t="n">
        <x:f>'Historical prices'!D6423</x:f>
        <x:v>0.316</x:v>
      </x:c>
      <x:c r="J6423" s="13" t="n">
        <x:f>D6423*I6423*H6423</x:f>
        <x:v>0</x:v>
      </x:c>
      <x:c r="K6423" s="13" t="n">
        <x:f>E6423*I6423*H6423</x:f>
        <x:v>0.08834175000000001</x:v>
      </x:c>
      <x:c r="L6423" s="1" t="str">
        <x:f>TEXT(A6423,"mmm yyyy")</x:f>
        <x:v>Sep 2026</x:v>
      </x:c>
    </x:row>
    <x:row r="6424" ht="21" customHeight="1">
      <x:c r="A6424" s="10" t="n">
        <x:v>46282</x:v>
      </x:c>
      <x:c r="B6424" s="1" t="n">
        <x:v>8</x:v>
      </x:c>
      <x:c r="C6424" s="1" t="n">
        <x:v>6</x:v>
      </x:c>
      <x:c r="D6424" s="12" t="n">
        <x:v>0</x:v>
      </x:c>
      <x:c r="E6424" s="12" t="n">
        <x:v>0.26175</x:v>
      </x:c>
      <x:c r="F6424" s="12" t="n">
        <x:v>0.26158333333333333</x:v>
      </x:c>
      <x:c r="G6424" s="12" t="n">
        <x:v>0</x:v>
      </x:c>
      <x:c r="H6424" s="1" t="n">
        <x:f>'Historical prices'!E6424</x:f>
        <x:v>1.05</x:v>
      </x:c>
      <x:c r="I6424" s="6" t="n">
        <x:f>'Historical prices'!D6424</x:f>
        <x:v>0.2916</x:v>
      </x:c>
      <x:c r="J6424" s="13" t="n">
        <x:f>D6424*I6424*H6424</x:f>
        <x:v>0</x:v>
      </x:c>
      <x:c r="K6424" s="13" t="n">
        <x:f>E6424*I6424*H6424</x:f>
        <x:v>0.080142615</x:v>
      </x:c>
      <x:c r="L6424" s="1" t="str">
        <x:f>TEXT(A6424,"mmm yyyy")</x:f>
        <x:v>Sep 2026</x:v>
      </x:c>
    </x:row>
    <x:row r="6425" ht="21" customHeight="1">
      <x:c r="A6425" s="10" t="n">
        <x:v>46282</x:v>
      </x:c>
      <x:c r="B6425" s="1" t="n">
        <x:v>8.5</x:v>
      </x:c>
      <x:c r="C6425" s="1" t="n">
        <x:v>6</x:v>
      </x:c>
      <x:c r="D6425" s="12" t="n">
        <x:v>0</x:v>
      </x:c>
      <x:c r="E6425" s="12" t="n">
        <x:v>0.23950000000000002</x:v>
      </x:c>
      <x:c r="F6425" s="12" t="n">
        <x:v>0.23583333333333337</x:v>
      </x:c>
      <x:c r="G6425" s="12" t="n">
        <x:v>0</x:v>
      </x:c>
      <x:c r="H6425" s="1" t="n">
        <x:f>'Historical prices'!E6425</x:f>
        <x:v>1.05</x:v>
      </x:c>
      <x:c r="I6425" s="6" t="n">
        <x:f>'Historical prices'!D6425</x:f>
        <x:v>0.2606</x:v>
      </x:c>
      <x:c r="J6425" s="13" t="n">
        <x:f>D6425*I6425*H6425</x:f>
        <x:v>0</x:v>
      </x:c>
      <x:c r="K6425" s="13" t="n">
        <x:f>E6425*I6425*H6425</x:f>
        <x:v>0.065534385</x:v>
      </x:c>
      <x:c r="L6425" s="1" t="str">
        <x:f>TEXT(A6425,"mmm yyyy")</x:f>
        <x:v>Sep 2026</x:v>
      </x:c>
    </x:row>
    <x:row r="6426" ht="21" customHeight="1">
      <x:c r="A6426" s="10" t="n">
        <x:v>46282</x:v>
      </x:c>
      <x:c r="B6426" s="1" t="n">
        <x:v>9</x:v>
      </x:c>
      <x:c r="C6426" s="1" t="n">
        <x:v>6</x:v>
      </x:c>
      <x:c r="D6426" s="12" t="n">
        <x:v>0</x:v>
      </x:c>
      <x:c r="E6426" s="12" t="n">
        <x:v>0.27575</x:v>
      </x:c>
      <x:c r="F6426" s="12" t="n">
        <x:v>0.273</x:v>
      </x:c>
      <x:c r="G6426" s="12" t="n">
        <x:v>0</x:v>
      </x:c>
      <x:c r="H6426" s="1" t="n">
        <x:f>'Historical prices'!E6426</x:f>
        <x:v>1.05</x:v>
      </x:c>
      <x:c r="I6426" s="6" t="n">
        <x:f>'Historical prices'!D6426</x:f>
        <x:v>0.19649999999999998</x:v>
      </x:c>
      <x:c r="J6426" s="13" t="n">
        <x:f>D6426*I6426*H6426</x:f>
        <x:v>0</x:v>
      </x:c>
      <x:c r="K6426" s="13" t="n">
        <x:f>E6426*I6426*H6426</x:f>
        <x:v>0.05689411874999999</x:v>
      </x:c>
      <x:c r="L6426" s="1" t="str">
        <x:f>TEXT(A6426,"mmm yyyy")</x:f>
        <x:v>Sep 2026</x:v>
      </x:c>
    </x:row>
    <x:row r="6427" ht="21" customHeight="1">
      <x:c r="A6427" s="10" t="n">
        <x:v>46282</x:v>
      </x:c>
      <x:c r="B6427" s="1" t="n">
        <x:v>9.5</x:v>
      </x:c>
      <x:c r="C6427" s="1" t="n">
        <x:v>6</x:v>
      </x:c>
      <x:c r="D6427" s="12" t="n">
        <x:v>0</x:v>
      </x:c>
      <x:c r="E6427" s="12" t="n">
        <x:v>0.3214166666666667</x:v>
      </x:c>
      <x:c r="F6427" s="12" t="n">
        <x:v>0.3208333333333333</x:v>
      </x:c>
      <x:c r="G6427" s="12" t="n">
        <x:v>0</x:v>
      </x:c>
      <x:c r="H6427" s="1" t="n">
        <x:f>'Historical prices'!E6427</x:f>
        <x:v>1.05</x:v>
      </x:c>
      <x:c r="I6427" s="6" t="n">
        <x:f>'Historical prices'!D6427</x:f>
        <x:v>0.1144</x:v>
      </x:c>
      <x:c r="J6427" s="13" t="n">
        <x:f>D6427*I6427*H6427</x:f>
        <x:v>0</x:v>
      </x:c>
      <x:c r="K6427" s="13" t="n">
        <x:f>E6427*I6427*H6427</x:f>
        <x:v>0.03860857000000001</x:v>
      </x:c>
      <x:c r="L6427" s="1" t="str">
        <x:f>TEXT(A6427,"mmm yyyy")</x:f>
        <x:v>Sep 2026</x:v>
      </x:c>
    </x:row>
    <x:row r="6428" ht="21" customHeight="1">
      <x:c r="A6428" s="10" t="n">
        <x:v>46282</x:v>
      </x:c>
      <x:c r="B6428" s="1" t="n">
        <x:v>10</x:v>
      </x:c>
      <x:c r="C6428" s="1" t="n">
        <x:v>6</x:v>
      </x:c>
      <x:c r="D6428" s="12" t="n">
        <x:v>0</x:v>
      </x:c>
      <x:c r="E6428" s="12" t="n">
        <x:v>0.211</x:v>
      </x:c>
      <x:c r="F6428" s="12" t="n">
        <x:v>0.21083333333333334</x:v>
      </x:c>
      <x:c r="G6428" s="12" t="n">
        <x:v>0</x:v>
      </x:c>
      <x:c r="H6428" s="1" t="n">
        <x:f>'Historical prices'!E6428</x:f>
        <x:v>1.05</x:v>
      </x:c>
      <x:c r="I6428" s="6" t="n">
        <x:f>'Historical prices'!D6428</x:f>
        <x:v>0.0464</x:v>
      </x:c>
      <x:c r="J6428" s="13" t="n">
        <x:f>D6428*I6428*H6428</x:f>
        <x:v>0</x:v>
      </x:c>
      <x:c r="K6428" s="13" t="n">
        <x:f>E6428*I6428*H6428</x:f>
        <x:v>0.01027992</x:v>
      </x:c>
      <x:c r="L6428" s="1" t="str">
        <x:f>TEXT(A6428,"mmm yyyy")</x:f>
        <x:v>Sep 2026</x:v>
      </x:c>
    </x:row>
    <x:row r="6429" ht="21" customHeight="1">
      <x:c r="A6429" s="10" t="n">
        <x:v>46282</x:v>
      </x:c>
      <x:c r="B6429" s="1" t="n">
        <x:v>10.5</x:v>
      </x:c>
      <x:c r="C6429" s="1" t="n">
        <x:v>6</x:v>
      </x:c>
      <x:c r="D6429" s="12" t="n">
        <x:v>0</x:v>
      </x:c>
      <x:c r="E6429" s="12" t="n">
        <x:v>0.307</x:v>
      </x:c>
      <x:c r="F6429" s="12" t="n">
        <x:v>0.30666666666666664</x:v>
      </x:c>
      <x:c r="G6429" s="12" t="n">
        <x:v>0</x:v>
      </x:c>
      <x:c r="H6429" s="1" t="n">
        <x:f>'Historical prices'!E6429</x:f>
        <x:v>1.05</x:v>
      </x:c>
      <x:c r="I6429" s="6" t="n">
        <x:f>'Historical prices'!D6429</x:f>
        <x:v>0.0273</x:v>
      </x:c>
      <x:c r="J6429" s="13" t="n">
        <x:f>D6429*I6429*H6429</x:f>
        <x:v>0</x:v>
      </x:c>
      <x:c r="K6429" s="13" t="n">
        <x:f>E6429*I6429*H6429</x:f>
        <x:v>0.008800155</x:v>
      </x:c>
      <x:c r="L6429" s="1" t="str">
        <x:f>TEXT(A6429,"mmm yyyy")</x:f>
        <x:v>Sep 2026</x:v>
      </x:c>
    </x:row>
    <x:row r="6430" ht="21" customHeight="1">
      <x:c r="A6430" s="10" t="n">
        <x:v>46282</x:v>
      </x:c>
      <x:c r="B6430" s="1" t="n">
        <x:v>11</x:v>
      </x:c>
      <x:c r="C6430" s="1" t="n">
        <x:v>6</x:v>
      </x:c>
      <x:c r="D6430" s="12" t="n">
        <x:v>0</x:v>
      </x:c>
      <x:c r="E6430" s="12" t="n">
        <x:v>0.30041666666666667</x:v>
      </x:c>
      <x:c r="F6430" s="12" t="n">
        <x:v>0.29966666666666664</x:v>
      </x:c>
      <x:c r="G6430" s="12" t="n">
        <x:v>0</x:v>
      </x:c>
      <x:c r="H6430" s="1" t="n">
        <x:f>'Historical prices'!E6430</x:f>
        <x:v>1.05</x:v>
      </x:c>
      <x:c r="I6430" s="6" t="n">
        <x:f>'Historical prices'!D6430</x:f>
        <x:v>-0.0021</x:v>
      </x:c>
      <x:c r="J6430" s="13" t="n">
        <x:f>D6430*I6430*H6430</x:f>
        <x:v>0</x:v>
      </x:c>
      <x:c r="K6430" s="13" t="n">
        <x:f>E6430*I6430*H6430</x:f>
        <x:v>-0.0006624187499999999</x:v>
      </x:c>
      <x:c r="L6430" s="1" t="str">
        <x:f>TEXT(A6430,"mmm yyyy")</x:f>
        <x:v>Sep 2026</x:v>
      </x:c>
    </x:row>
    <x:row r="6431" ht="21" customHeight="1">
      <x:c r="A6431" s="10" t="n">
        <x:v>46282</x:v>
      </x:c>
      <x:c r="B6431" s="1" t="n">
        <x:v>11.5</x:v>
      </x:c>
      <x:c r="C6431" s="1" t="n">
        <x:v>6</x:v>
      </x:c>
      <x:c r="D6431" s="12" t="n">
        <x:v>3.82525</x:v>
      </x:c>
      <x:c r="E6431" s="12" t="n">
        <x:v>0.41991666666666666</x:v>
      </x:c>
      <x:c r="F6431" s="12" t="n">
        <x:v>0.03766666666666667</x:v>
      </x:c>
      <x:c r="G6431" s="12" t="n">
        <x:v>3.4429999999999996</x:v>
      </x:c>
      <x:c r="H6431" s="1" t="n">
        <x:f>'Historical prices'!E6431</x:f>
        <x:v>1.05</x:v>
      </x:c>
      <x:c r="I6431" s="6" t="n">
        <x:f>'Historical prices'!D6431</x:f>
        <x:v>-0.0163</x:v>
      </x:c>
      <x:c r="J6431" s="13" t="n">
        <x:f>D6431*I6431*H6431</x:f>
        <x:v>-0.06546915375</x:v>
      </x:c>
      <x:c r="K6431" s="13" t="n">
        <x:f>E6431*I6431*H6431</x:f>
        <x:v>-0.0071868737499999995</x:v>
      </x:c>
      <x:c r="L6431" s="1" t="str">
        <x:f>TEXT(A6431,"mmm yyyy")</x:f>
        <x:v>Sep 2026</x:v>
      </x:c>
    </x:row>
    <x:row r="6432" ht="21" customHeight="1">
      <x:c r="A6432" s="10" t="n">
        <x:v>46282</x:v>
      </x:c>
      <x:c r="B6432" s="1" t="n">
        <x:v>12</x:v>
      </x:c>
      <x:c r="C6432" s="1" t="n">
        <x:v>6</x:v>
      </x:c>
      <x:c r="D6432" s="12" t="n">
        <x:v>4.7935</x:v>
      </x:c>
      <x:c r="E6432" s="12" t="n">
        <x:v>0.4605000000000001</x:v>
      </x:c>
      <x:c r="F6432" s="12" t="n">
        <x:v>0</x:v>
      </x:c>
      <x:c r="G6432" s="12" t="n">
        <x:v>4.333</x:v>
      </x:c>
      <x:c r="H6432" s="1" t="n">
        <x:f>'Historical prices'!E6432</x:f>
        <x:v>1.05</x:v>
      </x:c>
      <x:c r="I6432" s="6" t="n">
        <x:f>'Historical prices'!D6432</x:f>
        <x:v>-0.0165</x:v>
      </x:c>
      <x:c r="J6432" s="13" t="n">
        <x:f>D6432*I6432*H6432</x:f>
        <x:v>-0.08304738750000001</x:v>
      </x:c>
      <x:c r="K6432" s="13" t="n">
        <x:f>E6432*I6432*H6432</x:f>
        <x:v>-0.007978162500000002</x:v>
      </x:c>
      <x:c r="L6432" s="1" t="str">
        <x:f>TEXT(A6432,"mmm yyyy")</x:f>
        <x:v>Sep 2026</x:v>
      </x:c>
    </x:row>
    <x:row r="6433" ht="21" customHeight="1">
      <x:c r="A6433" s="10" t="n">
        <x:v>46282</x:v>
      </x:c>
      <x:c r="B6433" s="1" t="n">
        <x:v>12.5</x:v>
      </x:c>
      <x:c r="C6433" s="1" t="n">
        <x:v>6</x:v>
      </x:c>
      <x:c r="D6433" s="12" t="n">
        <x:v>4.751</x:v>
      </x:c>
      <x:c r="E6433" s="12" t="n">
        <x:v>0.492</x:v>
      </x:c>
      <x:c r="F6433" s="12" t="n">
        <x:v>0</x:v>
      </x:c>
      <x:c r="G6433" s="12" t="n">
        <x:v>4.259</x:v>
      </x:c>
      <x:c r="H6433" s="1" t="n">
        <x:f>'Historical prices'!E6433</x:f>
        <x:v>1.05</x:v>
      </x:c>
      <x:c r="I6433" s="6" t="n">
        <x:f>'Historical prices'!D6433</x:f>
        <x:v>-0.019799999999999998</x:v>
      </x:c>
      <x:c r="J6433" s="13" t="n">
        <x:f>D6433*I6433*H6433</x:f>
        <x:v>-0.09877329</x:v>
      </x:c>
      <x:c r="K6433" s="13" t="n">
        <x:f>E6433*I6433*H6433</x:f>
        <x:v>-0.01022868</x:v>
      </x:c>
      <x:c r="L6433" s="1" t="str">
        <x:f>TEXT(A6433,"mmm yyyy")</x:f>
        <x:v>Sep 2026</x:v>
      </x:c>
    </x:row>
    <x:row r="6434" ht="21" customHeight="1">
      <x:c r="A6434" s="10" t="n">
        <x:v>46282</x:v>
      </x:c>
      <x:c r="B6434" s="1" t="n">
        <x:v>13</x:v>
      </x:c>
      <x:c r="C6434" s="1" t="n">
        <x:v>6</x:v>
      </x:c>
      <x:c r="D6434" s="12" t="n">
        <x:v>1.4729999999999999</x:v>
      </x:c>
      <x:c r="E6434" s="12" t="n">
        <x:v>0.306</x:v>
      </x:c>
      <x:c r="F6434" s="12" t="n">
        <x:v>0</x:v>
      </x:c>
      <x:c r="G6434" s="12" t="n">
        <x:v>1.167</x:v>
      </x:c>
      <x:c r="H6434" s="1" t="n">
        <x:f>'Historical prices'!E6434</x:f>
        <x:v>1.05</x:v>
      </x:c>
      <x:c r="I6434" s="6" t="n">
        <x:f>'Historical prices'!D6434</x:f>
        <x:v>-0.0124</x:v>
      </x:c>
      <x:c r="J6434" s="13" t="n">
        <x:f>D6434*I6434*H6434</x:f>
        <x:v>-0.019178459999999998</x:v>
      </x:c>
      <x:c r="K6434" s="13" t="n">
        <x:f>E6434*I6434*H6434</x:f>
        <x:v>-0.00398412</x:v>
      </x:c>
      <x:c r="L6434" s="1" t="str">
        <x:f>TEXT(A6434,"mmm yyyy")</x:f>
        <x:v>Sep 2026</x:v>
      </x:c>
    </x:row>
    <x:row r="6435" ht="21" customHeight="1">
      <x:c r="A6435" s="10" t="n">
        <x:v>46282</x:v>
      </x:c>
      <x:c r="B6435" s="1" t="n">
        <x:v>13.5</x:v>
      </x:c>
      <x:c r="C6435" s="1" t="n">
        <x:v>6</x:v>
      </x:c>
      <x:c r="D6435" s="12" t="n">
        <x:v>0.24125000000000002</x:v>
      </x:c>
      <x:c r="E6435" s="12" t="n">
        <x:v>0.23925000000000002</x:v>
      </x:c>
      <x:c r="F6435" s="12" t="n">
        <x:v>0</x:v>
      </x:c>
      <x:c r="G6435" s="12" t="n">
        <x:v>0.012</x:v>
      </x:c>
      <x:c r="H6435" s="1" t="n">
        <x:f>'Historical prices'!E6435</x:f>
        <x:v>1.05</x:v>
      </x:c>
      <x:c r="I6435" s="6" t="n">
        <x:f>'Historical prices'!D6435</x:f>
        <x:v>-0.0166</x:v>
      </x:c>
      <x:c r="J6435" s="13" t="n">
        <x:f>D6435*I6435*H6435</x:f>
        <x:v>-0.004204987500000001</x:v>
      </x:c>
      <x:c r="K6435" s="13" t="n">
        <x:f>E6435*I6435*H6435</x:f>
        <x:v>-0.004170127500000001</x:v>
      </x:c>
      <x:c r="L6435" s="1" t="str">
        <x:f>TEXT(A6435,"mmm yyyy")</x:f>
        <x:v>Sep 2026</x:v>
      </x:c>
    </x:row>
    <x:row r="6436" ht="21" customHeight="1">
      <x:c r="A6436" s="10" t="n">
        <x:v>46282</x:v>
      </x:c>
      <x:c r="B6436" s="1" t="n">
        <x:v>14</x:v>
      </x:c>
      <x:c r="C6436" s="1" t="n">
        <x:v>6</x:v>
      </x:c>
      <x:c r="D6436" s="12" t="n">
        <x:v>0.195</x:v>
      </x:c>
      <x:c r="E6436" s="12" t="n">
        <x:v>0.20600000000000002</x:v>
      </x:c>
      <x:c r="F6436" s="12" t="n">
        <x:v>0</x:v>
      </x:c>
      <x:c r="G6436" s="12" t="n">
        <x:v>0</x:v>
      </x:c>
      <x:c r="H6436" s="1" t="n">
        <x:f>'Historical prices'!E6436</x:f>
        <x:v>1.05</x:v>
      </x:c>
      <x:c r="I6436" s="6" t="n">
        <x:f>'Historical prices'!D6436</x:f>
        <x:v>-0.0189</x:v>
      </x:c>
      <x:c r="J6436" s="13" t="n">
        <x:f>D6436*I6436*H6436</x:f>
        <x:v>-0.003869775</x:v>
      </x:c>
      <x:c r="K6436" s="13" t="n">
        <x:f>E6436*I6436*H6436</x:f>
        <x:v>-0.004088070000000001</x:v>
      </x:c>
      <x:c r="L6436" s="1" t="str">
        <x:f>TEXT(A6436,"mmm yyyy")</x:f>
        <x:v>Sep 2026</x:v>
      </x:c>
    </x:row>
    <x:row r="6437" ht="21" customHeight="1">
      <x:c r="A6437" s="10" t="n">
        <x:v>46282</x:v>
      </x:c>
      <x:c r="B6437" s="1" t="n">
        <x:v>14.5</x:v>
      </x:c>
      <x:c r="C6437" s="1" t="n">
        <x:v>6</x:v>
      </x:c>
      <x:c r="D6437" s="12" t="n">
        <x:v>0.1725</x:v>
      </x:c>
      <x:c r="E6437" s="12" t="n">
        <x:v>0.1845</x:v>
      </x:c>
      <x:c r="F6437" s="12" t="n">
        <x:v>0</x:v>
      </x:c>
      <x:c r="G6437" s="12" t="n">
        <x:v>0</x:v>
      </x:c>
      <x:c r="H6437" s="1" t="n">
        <x:f>'Historical prices'!E6437</x:f>
        <x:v>1.05</x:v>
      </x:c>
      <x:c r="I6437" s="6" t="n">
        <x:f>'Historical prices'!D6437</x:f>
        <x:v>-0.011899999999999999</x:v>
      </x:c>
      <x:c r="J6437" s="13" t="n">
        <x:f>D6437*I6437*H6437</x:f>
        <x:v>-0.0021553875</x:v>
      </x:c>
      <x:c r="K6437" s="13" t="n">
        <x:f>E6437*I6437*H6437</x:f>
        <x:v>-0.0023053274999999995</x:v>
      </x:c>
      <x:c r="L6437" s="1" t="str">
        <x:f>TEXT(A6437,"mmm yyyy")</x:f>
        <x:v>Sep 2026</x:v>
      </x:c>
    </x:row>
    <x:row r="6438" ht="21" customHeight="1">
      <x:c r="A6438" s="10" t="n">
        <x:v>46282</x:v>
      </x:c>
      <x:c r="B6438" s="1" t="n">
        <x:v>15</x:v>
      </x:c>
      <x:c r="C6438" s="1" t="n">
        <x:v>6</x:v>
      </x:c>
      <x:c r="D6438" s="12" t="n">
        <x:v>0.02725</x:v>
      </x:c>
      <x:c r="E6438" s="12" t="n">
        <x:v>0.2165</x:v>
      </x:c>
      <x:c r="F6438" s="12" t="n">
        <x:v>0.18683333333333332</x:v>
      </x:c>
      <x:c r="G6438" s="12" t="n">
        <x:v>0</x:v>
      </x:c>
      <x:c r="H6438" s="1" t="n">
        <x:f>'Historical prices'!E6438</x:f>
        <x:v>1.05</x:v>
      </x:c>
      <x:c r="I6438" s="6" t="n">
        <x:f>'Historical prices'!D6438</x:f>
        <x:v>0.0464</x:v>
      </x:c>
      <x:c r="J6438" s="13" t="n">
        <x:f>D6438*I6438*H6438</x:f>
        <x:v>0.00132762</x:v>
      </x:c>
      <x:c r="K6438" s="13" t="n">
        <x:f>E6438*I6438*H6438</x:f>
        <x:v>0.01054788</x:v>
      </x:c>
      <x:c r="L6438" s="1" t="str">
        <x:f>TEXT(A6438,"mmm yyyy")</x:f>
        <x:v>Sep 2026</x:v>
      </x:c>
    </x:row>
    <x:row r="6439" ht="21" customHeight="1">
      <x:c r="A6439" s="10" t="n">
        <x:v>46282</x:v>
      </x:c>
      <x:c r="B6439" s="1" t="n">
        <x:v>15.5</x:v>
      </x:c>
      <x:c r="C6439" s="1" t="n">
        <x:v>6</x:v>
      </x:c>
      <x:c r="D6439" s="12" t="n">
        <x:v>0</x:v>
      </x:c>
      <x:c r="E6439" s="12" t="n">
        <x:v>0.249</x:v>
      </x:c>
      <x:c r="F6439" s="12" t="n">
        <x:v>0.24816666666666665</x:v>
      </x:c>
      <x:c r="G6439" s="12" t="n">
        <x:v>0</x:v>
      </x:c>
      <x:c r="H6439" s="1" t="n">
        <x:f>'Historical prices'!E6439</x:f>
        <x:v>1.05</x:v>
      </x:c>
      <x:c r="I6439" s="6" t="n">
        <x:f>'Historical prices'!D6439</x:f>
        <x:v>0.0636</x:v>
      </x:c>
      <x:c r="J6439" s="13" t="n">
        <x:f>D6439*I6439*H6439</x:f>
        <x:v>0</x:v>
      </x:c>
      <x:c r="K6439" s="13" t="n">
        <x:f>E6439*I6439*H6439</x:f>
        <x:v>0.016628220000000003</x:v>
      </x:c>
      <x:c r="L6439" s="1" t="str">
        <x:f>TEXT(A6439,"mmm yyyy")</x:f>
        <x:v>Sep 2026</x:v>
      </x:c>
    </x:row>
    <x:row r="6440" ht="21" customHeight="1">
      <x:c r="A6440" s="10" t="n">
        <x:v>46282</x:v>
      </x:c>
      <x:c r="B6440" s="1" t="n">
        <x:v>16</x:v>
      </x:c>
      <x:c r="C6440" s="1" t="n">
        <x:v>6</x:v>
      </x:c>
      <x:c r="D6440" s="12" t="n">
        <x:v>0</x:v>
      </x:c>
      <x:c r="E6440" s="12" t="n">
        <x:v>0.23666666666666664</x:v>
      </x:c>
      <x:c r="F6440" s="12" t="n">
        <x:v>0.23641666666666666</x:v>
      </x:c>
      <x:c r="G6440" s="12" t="n">
        <x:v>0</x:v>
      </x:c>
      <x:c r="H6440" s="1" t="n">
        <x:f>'Historical prices'!E6440</x:f>
        <x:v>1.05</x:v>
      </x:c>
      <x:c r="I6440" s="6" t="n">
        <x:f>'Historical prices'!D6440</x:f>
        <x:v>0.2126</x:v>
      </x:c>
      <x:c r="J6440" s="13" t="n">
        <x:f>D6440*I6440*H6440</x:f>
        <x:v>0</x:v>
      </x:c>
      <x:c r="K6440" s="13" t="n">
        <x:f>E6440*I6440*H6440</x:f>
        <x:v>0.0528311</x:v>
      </x:c>
      <x:c r="L6440" s="1" t="str">
        <x:f>TEXT(A6440,"mmm yyyy")</x:f>
        <x:v>Sep 2026</x:v>
      </x:c>
    </x:row>
    <x:row r="6441" ht="21" customHeight="1">
      <x:c r="A6441" s="10" t="n">
        <x:v>46282</x:v>
      </x:c>
      <x:c r="B6441" s="1" t="n">
        <x:v>16.5</x:v>
      </x:c>
      <x:c r="C6441" s="1" t="n">
        <x:v>6</x:v>
      </x:c>
      <x:c r="D6441" s="12" t="n">
        <x:v>0</x:v>
      </x:c>
      <x:c r="E6441" s="12" t="n">
        <x:v>0.20633333333333334</x:v>
      </x:c>
      <x:c r="F6441" s="12" t="n">
        <x:v>0.20575000000000002</x:v>
      </x:c>
      <x:c r="G6441" s="12" t="n">
        <x:v>0</x:v>
      </x:c>
      <x:c r="H6441" s="1" t="n">
        <x:f>'Historical prices'!E6441</x:f>
        <x:v>1.05</x:v>
      </x:c>
      <x:c r="I6441" s="6" t="n">
        <x:f>'Historical prices'!D6441</x:f>
        <x:v>0.30579999999999996</x:v>
      </x:c>
      <x:c r="J6441" s="13" t="n">
        <x:f>D6441*I6441*H6441</x:f>
        <x:v>0</x:v>
      </x:c>
      <x:c r="K6441" s="13" t="n">
        <x:f>E6441*I6441*H6441</x:f>
        <x:v>0.06625157</x:v>
      </x:c>
      <x:c r="L6441" s="1" t="str">
        <x:f>TEXT(A6441,"mmm yyyy")</x:f>
        <x:v>Sep 2026</x:v>
      </x:c>
    </x:row>
    <x:row r="6442" ht="21" customHeight="1">
      <x:c r="A6442" s="10" t="n">
        <x:v>46282</x:v>
      </x:c>
      <x:c r="B6442" s="1" t="n">
        <x:v>17</x:v>
      </x:c>
      <x:c r="C6442" s="1" t="n">
        <x:v>6</x:v>
      </x:c>
      <x:c r="D6442" s="12" t="n">
        <x:v>0</x:v>
      </x:c>
      <x:c r="E6442" s="12" t="n">
        <x:v>0.26483333333333337</x:v>
      </x:c>
      <x:c r="F6442" s="12" t="n">
        <x:v>0.264</x:v>
      </x:c>
      <x:c r="G6442" s="12" t="n">
        <x:v>0</x:v>
      </x:c>
      <x:c r="H6442" s="1" t="n">
        <x:f>'Historical prices'!E6442</x:f>
        <x:v>1.05</x:v>
      </x:c>
      <x:c r="I6442" s="6" t="n">
        <x:f>'Historical prices'!D6442</x:f>
        <x:v>0.3592</x:v>
      </x:c>
      <x:c r="J6442" s="13" t="n">
        <x:f>D6442*I6442*H6442</x:f>
        <x:v>0</x:v>
      </x:c>
      <x:c r="K6442" s="13" t="n">
        <x:f>E6442*I6442*H6442</x:f>
        <x:v>0.09988454000000002</x:v>
      </x:c>
      <x:c r="L6442" s="1" t="str">
        <x:f>TEXT(A6442,"mmm yyyy")</x:f>
        <x:v>Sep 2026</x:v>
      </x:c>
    </x:row>
    <x:row r="6443" ht="21" customHeight="1">
      <x:c r="A6443" s="10" t="n">
        <x:v>46282</x:v>
      </x:c>
      <x:c r="B6443" s="1" t="n">
        <x:v>17.5</x:v>
      </x:c>
      <x:c r="C6443" s="1" t="n">
        <x:v>6</x:v>
      </x:c>
      <x:c r="D6443" s="12" t="n">
        <x:v>0</x:v>
      </x:c>
      <x:c r="E6443" s="12" t="n">
        <x:v>0.2451666666666667</x:v>
      </x:c>
      <x:c r="F6443" s="12" t="n">
        <x:v>0.24441666666666667</x:v>
      </x:c>
      <x:c r="G6443" s="12" t="n">
        <x:v>0</x:v>
      </x:c>
      <x:c r="H6443" s="1" t="n">
        <x:f>'Historical prices'!E6443</x:f>
        <x:v>1.05</x:v>
      </x:c>
      <x:c r="I6443" s="6" t="n">
        <x:f>'Historical prices'!D6443</x:f>
        <x:v>0.40159999999999996</x:v>
      </x:c>
      <x:c r="J6443" s="13" t="n">
        <x:f>D6443*I6443*H6443</x:f>
        <x:v>0</x:v>
      </x:c>
      <x:c r="K6443" s="13" t="n">
        <x:f>E6443*I6443*H6443</x:f>
        <x:v>0.10338188000000001</x:v>
      </x:c>
      <x:c r="L6443" s="1" t="str">
        <x:f>TEXT(A6443,"mmm yyyy")</x:f>
        <x:v>Sep 2026</x:v>
      </x:c>
    </x:row>
    <x:row r="6444" ht="21" customHeight="1">
      <x:c r="A6444" s="10" t="n">
        <x:v>46282</x:v>
      </x:c>
      <x:c r="B6444" s="1" t="n">
        <x:v>18</x:v>
      </x:c>
      <x:c r="C6444" s="1" t="n">
        <x:v>6</x:v>
      </x:c>
      <x:c r="D6444" s="12" t="n">
        <x:v>0</x:v>
      </x:c>
      <x:c r="E6444" s="12" t="n">
        <x:v>0.29775</x:v>
      </x:c>
      <x:c r="F6444" s="12" t="n">
        <x:v>0.29725</x:v>
      </x:c>
      <x:c r="G6444" s="12" t="n">
        <x:v>0</x:v>
      </x:c>
      <x:c r="H6444" s="1" t="n">
        <x:f>'Historical prices'!E6444</x:f>
        <x:v>1.05</x:v>
      </x:c>
      <x:c r="I6444" s="6" t="n">
        <x:f>'Historical prices'!D6444</x:f>
        <x:v>0.44670000000000004</x:v>
      </x:c>
      <x:c r="J6444" s="13" t="n">
        <x:f>D6444*I6444*H6444</x:f>
        <x:v>0</x:v>
      </x:c>
      <x:c r="K6444" s="13" t="n">
        <x:f>E6444*I6444*H6444</x:f>
        <x:v>0.13965517125000004</x:v>
      </x:c>
      <x:c r="L6444" s="1" t="str">
        <x:f>TEXT(A6444,"mmm yyyy")</x:f>
        <x:v>Sep 2026</x:v>
      </x:c>
    </x:row>
    <x:row r="6445" ht="21" customHeight="1">
      <x:c r="A6445" s="10" t="n">
        <x:v>46282</x:v>
      </x:c>
      <x:c r="B6445" s="1" t="n">
        <x:v>18.5</x:v>
      </x:c>
      <x:c r="C6445" s="1" t="n">
        <x:v>6</x:v>
      </x:c>
      <x:c r="D6445" s="12" t="n">
        <x:v>0</x:v>
      </x:c>
      <x:c r="E6445" s="12" t="n">
        <x:v>0.266</x:v>
      </x:c>
      <x:c r="F6445" s="12" t="n">
        <x:v>0.26549999999999996</x:v>
      </x:c>
      <x:c r="G6445" s="12" t="n">
        <x:v>0</x:v>
      </x:c>
      <x:c r="H6445" s="1" t="n">
        <x:f>'Historical prices'!E6445</x:f>
        <x:v>1.05</x:v>
      </x:c>
      <x:c r="I6445" s="6" t="n">
        <x:f>'Historical prices'!D6445</x:f>
        <x:v>0.452</x:v>
      </x:c>
      <x:c r="J6445" s="13" t="n">
        <x:f>D6445*I6445*H6445</x:f>
        <x:v>0</x:v>
      </x:c>
      <x:c r="K6445" s="13" t="n">
        <x:f>E6445*I6445*H6445</x:f>
        <x:v>0.1262436</x:v>
      </x:c>
      <x:c r="L6445" s="1" t="str">
        <x:f>TEXT(A6445,"mmm yyyy")</x:f>
        <x:v>Sep 2026</x:v>
      </x:c>
    </x:row>
    <x:row r="6446" ht="21" customHeight="1">
      <x:c r="A6446" s="10" t="n">
        <x:v>46282</x:v>
      </x:c>
      <x:c r="B6446" s="1" t="n">
        <x:v>19</x:v>
      </x:c>
      <x:c r="C6446" s="1" t="n">
        <x:v>6</x:v>
      </x:c>
      <x:c r="D6446" s="12" t="n">
        <x:v>0</x:v>
      </x:c>
      <x:c r="E6446" s="12" t="n">
        <x:v>0.3141666666666667</x:v>
      </x:c>
      <x:c r="F6446" s="12" t="n">
        <x:v>0.31366666666666665</x:v>
      </x:c>
      <x:c r="G6446" s="12" t="n">
        <x:v>0</x:v>
      </x:c>
      <x:c r="H6446" s="1" t="n">
        <x:f>'Historical prices'!E6446</x:f>
        <x:v>1.05</x:v>
      </x:c>
      <x:c r="I6446" s="6" t="n">
        <x:f>'Historical prices'!D6446</x:f>
        <x:v>0.3347</x:v>
      </x:c>
      <x:c r="J6446" s="13" t="n">
        <x:f>D6446*I6446*H6446</x:f>
        <x:v>0</x:v>
      </x:c>
      <x:c r="K6446" s="13" t="n">
        <x:f>E6446*I6446*H6446</x:f>
        <x:v>0.1104091625</x:v>
      </x:c>
      <x:c r="L6446" s="1" t="str">
        <x:f>TEXT(A6446,"mmm yyyy")</x:f>
        <x:v>Sep 2026</x:v>
      </x:c>
    </x:row>
    <x:row r="6447" ht="21" customHeight="1">
      <x:c r="A6447" s="10" t="n">
        <x:v>46282</x:v>
      </x:c>
      <x:c r="B6447" s="1" t="n">
        <x:v>19.5</x:v>
      </x:c>
      <x:c r="C6447" s="1" t="n">
        <x:v>6</x:v>
      </x:c>
      <x:c r="D6447" s="12" t="n">
        <x:v>0</x:v>
      </x:c>
      <x:c r="E6447" s="12" t="n">
        <x:v>0.24775000000000003</x:v>
      </x:c>
      <x:c r="F6447" s="12" t="n">
        <x:v>0.24750000000000005</x:v>
      </x:c>
      <x:c r="G6447" s="12" t="n">
        <x:v>0</x:v>
      </x:c>
      <x:c r="H6447" s="1" t="n">
        <x:f>'Historical prices'!E6447</x:f>
        <x:v>1.05</x:v>
      </x:c>
      <x:c r="I6447" s="6" t="n">
        <x:f>'Historical prices'!D6447</x:f>
        <x:v>0.3408</x:v>
      </x:c>
      <x:c r="J6447" s="13" t="n">
        <x:f>D6447*I6447*H6447</x:f>
        <x:v>0</x:v>
      </x:c>
      <x:c r="K6447" s="13" t="n">
        <x:f>E6447*I6447*H6447</x:f>
        <x:v>0.08865486</x:v>
      </x:c>
      <x:c r="L6447" s="1" t="str">
        <x:f>TEXT(A6447,"mmm yyyy")</x:f>
        <x:v>Sep 2026</x:v>
      </x:c>
    </x:row>
    <x:row r="6448" ht="21" customHeight="1">
      <x:c r="A6448" s="10" t="n">
        <x:v>46282</x:v>
      </x:c>
      <x:c r="B6448" s="1" t="n">
        <x:v>20</x:v>
      </x:c>
      <x:c r="C6448" s="1" t="n">
        <x:v>6</x:v>
      </x:c>
      <x:c r="D6448" s="12" t="n">
        <x:v>0</x:v>
      </x:c>
      <x:c r="E6448" s="12" t="n">
        <x:v>0.265</x:v>
      </x:c>
      <x:c r="F6448" s="12" t="n">
        <x:v>0.26449999999999996</x:v>
      </x:c>
      <x:c r="G6448" s="12" t="n">
        <x:v>0</x:v>
      </x:c>
      <x:c r="H6448" s="1" t="n">
        <x:f>'Historical prices'!E6448</x:f>
        <x:v>1.05</x:v>
      </x:c>
      <x:c r="I6448" s="6" t="n">
        <x:f>'Historical prices'!D6448</x:f>
        <x:v>0.32659999999999995</x:v>
      </x:c>
      <x:c r="J6448" s="13" t="n">
        <x:f>D6448*I6448*H6448</x:f>
        <x:v>0</x:v>
      </x:c>
      <x:c r="K6448" s="13" t="n">
        <x:f>E6448*I6448*H6448</x:f>
        <x:v>0.09087644999999998</x:v>
      </x:c>
      <x:c r="L6448" s="1" t="str">
        <x:f>TEXT(A6448,"mmm yyyy")</x:f>
        <x:v>Sep 2026</x:v>
      </x:c>
    </x:row>
    <x:row r="6449" ht="21" customHeight="1">
      <x:c r="A6449" s="10" t="n">
        <x:v>46282</x:v>
      </x:c>
      <x:c r="B6449" s="1" t="n">
        <x:v>20.5</x:v>
      </x:c>
      <x:c r="C6449" s="1" t="n">
        <x:v>6</x:v>
      </x:c>
      <x:c r="D6449" s="12" t="n">
        <x:v>0</x:v>
      </x:c>
      <x:c r="E6449" s="12" t="n">
        <x:v>0.27499999999999997</x:v>
      </x:c>
      <x:c r="F6449" s="12" t="n">
        <x:v>0.27425</x:v>
      </x:c>
      <x:c r="G6449" s="12" t="n">
        <x:v>0</x:v>
      </x:c>
      <x:c r="H6449" s="1" t="n">
        <x:f>'Historical prices'!E6449</x:f>
        <x:v>1.05</x:v>
      </x:c>
      <x:c r="I6449" s="6" t="n">
        <x:f>'Historical prices'!D6449</x:f>
        <x:v>0.3194</x:v>
      </x:c>
      <x:c r="J6449" s="13" t="n">
        <x:f>D6449*I6449*H6449</x:f>
        <x:v>0</x:v>
      </x:c>
      <x:c r="K6449" s="13" t="n">
        <x:f>E6449*I6449*H6449</x:f>
        <x:v>0.09222675</x:v>
      </x:c>
      <x:c r="L6449" s="1" t="str">
        <x:f>TEXT(A6449,"mmm yyyy")</x:f>
        <x:v>Sep 2026</x:v>
      </x:c>
    </x:row>
    <x:row r="6450" ht="21" customHeight="1">
      <x:c r="A6450" s="10" t="n">
        <x:v>46282</x:v>
      </x:c>
      <x:c r="B6450" s="1" t="n">
        <x:v>21</x:v>
      </x:c>
      <x:c r="C6450" s="1" t="n">
        <x:v>6</x:v>
      </x:c>
      <x:c r="D6450" s="12" t="n">
        <x:v>0</x:v>
      </x:c>
      <x:c r="E6450" s="12" t="n">
        <x:v>0.282</x:v>
      </x:c>
      <x:c r="F6450" s="12" t="n">
        <x:v>0.2816666666666666</x:v>
      </x:c>
      <x:c r="G6450" s="12" t="n">
        <x:v>0</x:v>
      </x:c>
      <x:c r="H6450" s="1" t="n">
        <x:f>'Historical prices'!E6450</x:f>
        <x:v>1.05</x:v>
      </x:c>
      <x:c r="I6450" s="6" t="n">
        <x:f>'Historical prices'!D6450</x:f>
        <x:v>0.3097</x:v>
      </x:c>
      <x:c r="J6450" s="13" t="n">
        <x:f>D6450*I6450*H6450</x:f>
        <x:v>0</x:v>
      </x:c>
      <x:c r="K6450" s="13" t="n">
        <x:f>E6450*I6450*H6450</x:f>
        <x:v>0.09170216999999999</x:v>
      </x:c>
      <x:c r="L6450" s="1" t="str">
        <x:f>TEXT(A6450,"mmm yyyy")</x:f>
        <x:v>Sep 2026</x:v>
      </x:c>
    </x:row>
    <x:row r="6451" ht="21" customHeight="1">
      <x:c r="A6451" s="10" t="n">
        <x:v>46282</x:v>
      </x:c>
      <x:c r="B6451" s="1" t="n">
        <x:v>21.5</x:v>
      </x:c>
      <x:c r="C6451" s="1" t="n">
        <x:v>6</x:v>
      </x:c>
      <x:c r="D6451" s="12" t="n">
        <x:v>0</x:v>
      </x:c>
      <x:c r="E6451" s="12" t="n">
        <x:v>0.2689166666666667</x:v>
      </x:c>
      <x:c r="F6451" s="12" t="n">
        <x:v>0.26866666666666666</x:v>
      </x:c>
      <x:c r="G6451" s="12" t="n">
        <x:v>0</x:v>
      </x:c>
      <x:c r="H6451" s="1" t="n">
        <x:f>'Historical prices'!E6451</x:f>
        <x:v>1.05</x:v>
      </x:c>
      <x:c r="I6451" s="6" t="n">
        <x:f>'Historical prices'!D6451</x:f>
        <x:v>0.2772</x:v>
      </x:c>
      <x:c r="J6451" s="13" t="n">
        <x:f>D6451*I6451*H6451</x:f>
        <x:v>0</x:v>
      </x:c>
      <x:c r="K6451" s="13" t="n">
        <x:f>E6451*I6451*H6451</x:f>
        <x:v>0.07827088500000001</x:v>
      </x:c>
      <x:c r="L6451" s="1" t="str">
        <x:f>TEXT(A6451,"mmm yyyy")</x:f>
        <x:v>Sep 2026</x:v>
      </x:c>
    </x:row>
    <x:row r="6452" ht="21" customHeight="1">
      <x:c r="A6452" s="10" t="n">
        <x:v>46282</x:v>
      </x:c>
      <x:c r="B6452" s="1" t="n">
        <x:v>22</x:v>
      </x:c>
      <x:c r="C6452" s="1" t="n">
        <x:v>6</x:v>
      </x:c>
      <x:c r="D6452" s="12" t="n">
        <x:v>0</x:v>
      </x:c>
      <x:c r="E6452" s="12" t="n">
        <x:v>0.3498333333333333</x:v>
      </x:c>
      <x:c r="F6452" s="12" t="n">
        <x:v>0.3495</x:v>
      </x:c>
      <x:c r="G6452" s="12" t="n">
        <x:v>0</x:v>
      </x:c>
      <x:c r="H6452" s="1" t="n">
        <x:f>'Historical prices'!E6452</x:f>
        <x:v>1.05</x:v>
      </x:c>
      <x:c r="I6452" s="6" t="n">
        <x:f>'Historical prices'!D6452</x:f>
        <x:v>0.2787</x:v>
      </x:c>
      <x:c r="J6452" s="13" t="n">
        <x:f>D6452*I6452*H6452</x:f>
        <x:v>0</x:v>
      </x:c>
      <x:c r="K6452" s="13" t="n">
        <x:f>E6452*I6452*H6452</x:f>
        <x:v>0.10237347749999999</x:v>
      </x:c>
      <x:c r="L6452" s="1" t="str">
        <x:f>TEXT(A6452,"mmm yyyy")</x:f>
        <x:v>Sep 2026</x:v>
      </x:c>
    </x:row>
    <x:row r="6453" ht="21" customHeight="1">
      <x:c r="A6453" s="10" t="n">
        <x:v>46282</x:v>
      </x:c>
      <x:c r="B6453" s="1" t="n">
        <x:v>22.5</x:v>
      </x:c>
      <x:c r="C6453" s="1" t="n">
        <x:v>6</x:v>
      </x:c>
      <x:c r="D6453" s="12" t="n">
        <x:v>0</x:v>
      </x:c>
      <x:c r="E6453" s="12" t="n">
        <x:v>0.238</x:v>
      </x:c>
      <x:c r="F6453" s="12" t="n">
        <x:v>0.23766666666666664</x:v>
      </x:c>
      <x:c r="G6453" s="12" t="n">
        <x:v>0</x:v>
      </x:c>
      <x:c r="H6453" s="1" t="n">
        <x:f>'Historical prices'!E6453</x:f>
        <x:v>1.05</x:v>
      </x:c>
      <x:c r="I6453" s="6" t="n">
        <x:f>'Historical prices'!D6453</x:f>
        <x:v>0.2334</x:v>
      </x:c>
      <x:c r="J6453" s="13" t="n">
        <x:f>D6453*I6453*H6453</x:f>
        <x:v>0</x:v>
      </x:c>
      <x:c r="K6453" s="13" t="n">
        <x:f>E6453*I6453*H6453</x:f>
        <x:v>0.05832666</x:v>
      </x:c>
      <x:c r="L6453" s="1" t="str">
        <x:f>TEXT(A6453,"mmm yyyy")</x:f>
        <x:v>Sep 2026</x:v>
      </x:c>
    </x:row>
    <x:row r="6454" ht="21" customHeight="1">
      <x:c r="A6454" s="10" t="n">
        <x:v>46282</x:v>
      </x:c>
      <x:c r="B6454" s="1" t="n">
        <x:v>23</x:v>
      </x:c>
      <x:c r="C6454" s="1" t="n">
        <x:v>6</x:v>
      </x:c>
      <x:c r="D6454" s="12" t="n">
        <x:v>0</x:v>
      </x:c>
      <x:c r="E6454" s="12" t="n">
        <x:v>0.27691666666666664</x:v>
      </x:c>
      <x:c r="F6454" s="12" t="n">
        <x:v>0.27616666666666667</x:v>
      </x:c>
      <x:c r="G6454" s="12" t="n">
        <x:v>0</x:v>
      </x:c>
      <x:c r="H6454" s="1" t="n">
        <x:f>'Historical prices'!E6454</x:f>
        <x:v>1.05</x:v>
      </x:c>
      <x:c r="I6454" s="6" t="n">
        <x:f>'Historical prices'!D6454</x:f>
        <x:v>0.2396</x:v>
      </x:c>
      <x:c r="J6454" s="13" t="n">
        <x:f>D6454*I6454*H6454</x:f>
        <x:v>0</x:v>
      </x:c>
      <x:c r="K6454" s="13" t="n">
        <x:f>E6454*I6454*H6454</x:f>
        <x:v>0.069666695</x:v>
      </x:c>
      <x:c r="L6454" s="1" t="str">
        <x:f>TEXT(A6454,"mmm yyyy")</x:f>
        <x:v>Sep 2026</x:v>
      </x:c>
    </x:row>
    <x:row r="6455" ht="21" customHeight="1">
      <x:c r="A6455" s="10" t="n">
        <x:v>46282</x:v>
      </x:c>
      <x:c r="B6455" s="1" t="n">
        <x:v>23.5</x:v>
      </x:c>
      <x:c r="C6455" s="1" t="n">
        <x:v>6</x:v>
      </x:c>
      <x:c r="D6455" s="12" t="n">
        <x:v>0</x:v>
      </x:c>
      <x:c r="E6455" s="12" t="n">
        <x:v>0.25375000000000003</x:v>
      </x:c>
      <x:c r="F6455" s="12" t="n">
        <x:v>0.2514166666666667</x:v>
      </x:c>
      <x:c r="G6455" s="12" t="n">
        <x:v>0</x:v>
      </x:c>
      <x:c r="H6455" s="1" t="n">
        <x:f>'Historical prices'!E6455</x:f>
        <x:v>1.05</x:v>
      </x:c>
      <x:c r="I6455" s="6" t="n">
        <x:f>'Historical prices'!D6455</x:f>
        <x:v>0.19510000000000002</x:v>
      </x:c>
      <x:c r="J6455" s="13" t="n">
        <x:f>D6455*I6455*H6455</x:f>
        <x:v>0</x:v>
      </x:c>
      <x:c r="K6455" s="13" t="n">
        <x:f>E6455*I6455*H6455</x:f>
        <x:v>0.051981956250000017</x:v>
      </x:c>
      <x:c r="L6455" s="1" t="str">
        <x:f>TEXT(A6455,"mmm yyyy")</x:f>
        <x:v>Sep 2026</x:v>
      </x:c>
    </x:row>
    <x:row r="6456" ht="21" customHeight="1">
      <x:c r="A6456" s="10" t="n">
        <x:v>46283</x:v>
      </x:c>
      <x:c r="B6456" s="1" t="n">
        <x:v>0</x:v>
      </x:c>
      <x:c r="C6456" s="1" t="n">
        <x:v>6</x:v>
      </x:c>
      <x:c r="D6456" s="12" t="n">
        <x:v>0</x:v>
      </x:c>
      <x:c r="E6456" s="12" t="n">
        <x:v>0.20133333333333334</x:v>
      </x:c>
      <x:c r="F6456" s="12" t="n">
        <x:v>0.20058333333333334</x:v>
      </x:c>
      <x:c r="G6456" s="12" t="n">
        <x:v>0</x:v>
      </x:c>
      <x:c r="H6456" s="1" t="n">
        <x:f>'Historical prices'!E6456</x:f>
        <x:v>1.05</x:v>
      </x:c>
      <x:c r="I6456" s="6" t="n">
        <x:f>'Historical prices'!D6456</x:f>
        <x:v>0.1937</x:v>
      </x:c>
      <x:c r="J6456" s="13" t="n">
        <x:f>D6456*I6456*H6456</x:f>
        <x:v>0</x:v>
      </x:c>
      <x:c r="K6456" s="13" t="n">
        <x:f>E6456*I6456*H6456</x:f>
        <x:v>0.04094818000000001</x:v>
      </x:c>
      <x:c r="L6456" s="1" t="str">
        <x:f>TEXT(A6456,"mmm yyyy")</x:f>
        <x:v>Sep 2026</x:v>
      </x:c>
    </x:row>
    <x:row r="6457" ht="21" customHeight="1">
      <x:c r="A6457" s="10" t="n">
        <x:v>46283</x:v>
      </x:c>
      <x:c r="B6457" s="1" t="n">
        <x:v>0.5</x:v>
      </x:c>
      <x:c r="C6457" s="1" t="n">
        <x:v>6</x:v>
      </x:c>
      <x:c r="D6457" s="12" t="n">
        <x:v>0</x:v>
      </x:c>
      <x:c r="E6457" s="12" t="n">
        <x:v>0.2034166666666667</x:v>
      </x:c>
      <x:c r="F6457" s="12" t="n">
        <x:v>0.20316666666666666</x:v>
      </x:c>
      <x:c r="G6457" s="12" t="n">
        <x:v>0</x:v>
      </x:c>
      <x:c r="H6457" s="1" t="n">
        <x:f>'Historical prices'!E6457</x:f>
        <x:v>1.05</x:v>
      </x:c>
      <x:c r="I6457" s="6" t="n">
        <x:f>'Historical prices'!D6457</x:f>
        <x:v>0.20989999999999998</x:v>
      </x:c>
      <x:c r="J6457" s="13" t="n">
        <x:f>D6457*I6457*H6457</x:f>
        <x:v>0</x:v>
      </x:c>
      <x:c r="K6457" s="13" t="n">
        <x:f>E6457*I6457*H6457</x:f>
        <x:v>0.04483201625</x:v>
      </x:c>
      <x:c r="L6457" s="1" t="str">
        <x:f>TEXT(A6457,"mmm yyyy")</x:f>
        <x:v>Sep 2026</x:v>
      </x:c>
    </x:row>
    <x:row r="6458" ht="21" customHeight="1">
      <x:c r="A6458" s="10" t="n">
        <x:v>46283</x:v>
      </x:c>
      <x:c r="B6458" s="1" t="n">
        <x:v>1</x:v>
      </x:c>
      <x:c r="C6458" s="1" t="n">
        <x:v>6</x:v>
      </x:c>
      <x:c r="D6458" s="12" t="n">
        <x:v>0</x:v>
      </x:c>
      <x:c r="E6458" s="12" t="n">
        <x:v>0.31425000000000003</x:v>
      </x:c>
      <x:c r="F6458" s="12" t="n">
        <x:v>0.3134166666666667</x:v>
      </x:c>
      <x:c r="G6458" s="12" t="n">
        <x:v>0</x:v>
      </x:c>
      <x:c r="H6458" s="1" t="n">
        <x:f>'Historical prices'!E6458</x:f>
        <x:v>1.05</x:v>
      </x:c>
      <x:c r="I6458" s="6" t="n">
        <x:f>'Historical prices'!D6458</x:f>
        <x:v>0.212</x:v>
      </x:c>
      <x:c r="J6458" s="13" t="n">
        <x:f>D6458*I6458*H6458</x:f>
        <x:v>0</x:v>
      </x:c>
      <x:c r="K6458" s="13" t="n">
        <x:f>E6458*I6458*H6458</x:f>
        <x:v>0.06995205</x:v>
      </x:c>
      <x:c r="L6458" s="1" t="str">
        <x:f>TEXT(A6458,"mmm yyyy")</x:f>
        <x:v>Sep 2026</x:v>
      </x:c>
    </x:row>
    <x:row r="6459" ht="21" customHeight="1">
      <x:c r="A6459" s="10" t="n">
        <x:v>46283</x:v>
      </x:c>
      <x:c r="B6459" s="1" t="n">
        <x:v>1.5</x:v>
      </x:c>
      <x:c r="C6459" s="1" t="n">
        <x:v>6</x:v>
      </x:c>
      <x:c r="D6459" s="12" t="n">
        <x:v>0</x:v>
      </x:c>
      <x:c r="E6459" s="12" t="n">
        <x:v>0.2248333333333333</x:v>
      </x:c>
      <x:c r="F6459" s="12" t="n">
        <x:v>0.22466666666666665</x:v>
      </x:c>
      <x:c r="G6459" s="12" t="n">
        <x:v>0</x:v>
      </x:c>
      <x:c r="H6459" s="1" t="n">
        <x:f>'Historical prices'!E6459</x:f>
        <x:v>1.05</x:v>
      </x:c>
      <x:c r="I6459" s="6" t="n">
        <x:f>'Historical prices'!D6459</x:f>
        <x:v>0.2205</x:v>
      </x:c>
      <x:c r="J6459" s="13" t="n">
        <x:f>D6459*I6459*H6459</x:f>
        <x:v>0</x:v>
      </x:c>
      <x:c r="K6459" s="13" t="n">
        <x:f>E6459*I6459*H6459</x:f>
        <x:v>0.0520545375</x:v>
      </x:c>
      <x:c r="L6459" s="1" t="str">
        <x:f>TEXT(A6459,"mmm yyyy")</x:f>
        <x:v>Sep 2026</x:v>
      </x:c>
    </x:row>
    <x:row r="6460" ht="21" customHeight="1">
      <x:c r="A6460" s="10" t="n">
        <x:v>46283</x:v>
      </x:c>
      <x:c r="B6460" s="1" t="n">
        <x:v>2</x:v>
      </x:c>
      <x:c r="C6460" s="1" t="n">
        <x:v>6</x:v>
      </x:c>
      <x:c r="D6460" s="12" t="n">
        <x:v>0</x:v>
      </x:c>
      <x:c r="E6460" s="12" t="n">
        <x:v>0.2030833333333333</x:v>
      </x:c>
      <x:c r="F6460" s="12" t="n">
        <x:v>0.20249999999999999</x:v>
      </x:c>
      <x:c r="G6460" s="12" t="n">
        <x:v>0</x:v>
      </x:c>
      <x:c r="H6460" s="1" t="n">
        <x:f>'Historical prices'!E6460</x:f>
        <x:v>1.05</x:v>
      </x:c>
      <x:c r="I6460" s="6" t="n">
        <x:f>'Historical prices'!D6460</x:f>
        <x:v>0.2234</x:v>
      </x:c>
      <x:c r="J6460" s="13" t="n">
        <x:f>D6460*I6460*H6460</x:f>
        <x:v>0</x:v>
      </x:c>
      <x:c r="K6460" s="13" t="n">
        <x:f>E6460*I6460*H6460</x:f>
        <x:v>0.047637257499999995</x:v>
      </x:c>
      <x:c r="L6460" s="1" t="str">
        <x:f>TEXT(A6460,"mmm yyyy")</x:f>
        <x:v>Sep 2026</x:v>
      </x:c>
    </x:row>
    <x:row r="6461" ht="21" customHeight="1">
      <x:c r="A6461" s="10" t="n">
        <x:v>46283</x:v>
      </x:c>
      <x:c r="B6461" s="1" t="n">
        <x:v>2.5</x:v>
      </x:c>
      <x:c r="C6461" s="1" t="n">
        <x:v>6</x:v>
      </x:c>
      <x:c r="D6461" s="12" t="n">
        <x:v>0</x:v>
      </x:c>
      <x:c r="E6461" s="12" t="n">
        <x:v>0.3319166666666667</x:v>
      </x:c>
      <x:c r="F6461" s="12" t="n">
        <x:v>0.33175</x:v>
      </x:c>
      <x:c r="G6461" s="12" t="n">
        <x:v>0</x:v>
      </x:c>
      <x:c r="H6461" s="1" t="n">
        <x:f>'Historical prices'!E6461</x:f>
        <x:v>1.05</x:v>
      </x:c>
      <x:c r="I6461" s="6" t="n">
        <x:f>'Historical prices'!D6461</x:f>
        <x:v>0.20920000000000002</x:v>
      </x:c>
      <x:c r="J6461" s="13" t="n">
        <x:f>D6461*I6461*H6461</x:f>
        <x:v>0</x:v>
      </x:c>
      <x:c r="K6461" s="13" t="n">
        <x:f>E6461*I6461*H6461</x:f>
        <x:v>0.07290881500000002</x:v>
      </x:c>
      <x:c r="L6461" s="1" t="str">
        <x:f>TEXT(A6461,"mmm yyyy")</x:f>
        <x:v>Sep 2026</x:v>
      </x:c>
    </x:row>
    <x:row r="6462" ht="21" customHeight="1">
      <x:c r="A6462" s="10" t="n">
        <x:v>46283</x:v>
      </x:c>
      <x:c r="B6462" s="1" t="n">
        <x:v>3</x:v>
      </x:c>
      <x:c r="C6462" s="1" t="n">
        <x:v>6</x:v>
      </x:c>
      <x:c r="D6462" s="12" t="n">
        <x:v>0</x:v>
      </x:c>
      <x:c r="E6462" s="12" t="n">
        <x:v>0.2849166666666667</x:v>
      </x:c>
      <x:c r="F6462" s="12" t="n">
        <x:v>0.2843333333333333</x:v>
      </x:c>
      <x:c r="G6462" s="12" t="n">
        <x:v>0</x:v>
      </x:c>
      <x:c r="H6462" s="1" t="n">
        <x:f>'Historical prices'!E6462</x:f>
        <x:v>1.05</x:v>
      </x:c>
      <x:c r="I6462" s="6" t="n">
        <x:f>'Historical prices'!D6462</x:f>
        <x:v>0.1974</x:v>
      </x:c>
      <x:c r="J6462" s="13" t="n">
        <x:f>D6462*I6462*H6462</x:f>
        <x:v>0</x:v>
      </x:c>
      <x:c r="K6462" s="13" t="n">
        <x:f>E6462*I6462*H6462</x:f>
        <x:v>0.05905467750000001</x:v>
      </x:c>
      <x:c r="L6462" s="1" t="str">
        <x:f>TEXT(A6462,"mmm yyyy")</x:f>
        <x:v>Sep 2026</x:v>
      </x:c>
    </x:row>
    <x:row r="6463" ht="21" customHeight="1">
      <x:c r="A6463" s="10" t="n">
        <x:v>46283</x:v>
      </x:c>
      <x:c r="B6463" s="1" t="n">
        <x:v>3.5</x:v>
      </x:c>
      <x:c r="C6463" s="1" t="n">
        <x:v>6</x:v>
      </x:c>
      <x:c r="D6463" s="12" t="n">
        <x:v>0</x:v>
      </x:c>
      <x:c r="E6463" s="12" t="n">
        <x:v>0.21225</x:v>
      </x:c>
      <x:c r="F6463" s="12" t="n">
        <x:v>0.21158333333333335</x:v>
      </x:c>
      <x:c r="G6463" s="12" t="n">
        <x:v>0</x:v>
      </x:c>
      <x:c r="H6463" s="1" t="n">
        <x:f>'Historical prices'!E6463</x:f>
        <x:v>1.05</x:v>
      </x:c>
      <x:c r="I6463" s="6" t="n">
        <x:f>'Historical prices'!D6463</x:f>
        <x:v>0.18710000000000002</x:v>
      </x:c>
      <x:c r="J6463" s="13" t="n">
        <x:f>D6463*I6463*H6463</x:f>
        <x:v>0</x:v>
      </x:c>
      <x:c r="K6463" s="13" t="n">
        <x:f>E6463*I6463*H6463</x:f>
        <x:v>0.04169757375000001</x:v>
      </x:c>
      <x:c r="L6463" s="1" t="str">
        <x:f>TEXT(A6463,"mmm yyyy")</x:f>
        <x:v>Sep 2026</x:v>
      </x:c>
    </x:row>
    <x:row r="6464" ht="21" customHeight="1">
      <x:c r="A6464" s="10" t="n">
        <x:v>46283</x:v>
      </x:c>
      <x:c r="B6464" s="1" t="n">
        <x:v>4</x:v>
      </x:c>
      <x:c r="C6464" s="1" t="n">
        <x:v>6</x:v>
      </x:c>
      <x:c r="D6464" s="12" t="n">
        <x:v>0</x:v>
      </x:c>
      <x:c r="E6464" s="12" t="n">
        <x:v>0.24766666666666667</x:v>
      </x:c>
      <x:c r="F6464" s="12" t="n">
        <x:v>0.24758333333333335</x:v>
      </x:c>
      <x:c r="G6464" s="12" t="n">
        <x:v>0</x:v>
      </x:c>
      <x:c r="H6464" s="1" t="n">
        <x:f>'Historical prices'!E6464</x:f>
        <x:v>1.05</x:v>
      </x:c>
      <x:c r="I6464" s="6" t="n">
        <x:f>'Historical prices'!D6464</x:f>
        <x:v>0.19579999999999997</x:v>
      </x:c>
      <x:c r="J6464" s="13" t="n">
        <x:f>D6464*I6464*H6464</x:f>
        <x:v>0</x:v>
      </x:c>
      <x:c r="K6464" s="13" t="n">
        <x:f>E6464*I6464*H6464</x:f>
        <x:v>0.05091779</x:v>
      </x:c>
      <x:c r="L6464" s="1" t="str">
        <x:f>TEXT(A6464,"mmm yyyy")</x:f>
        <x:v>Sep 2026</x:v>
      </x:c>
    </x:row>
    <x:row r="6465" ht="21" customHeight="1">
      <x:c r="A6465" s="10" t="n">
        <x:v>46283</x:v>
      </x:c>
      <x:c r="B6465" s="1" t="n">
        <x:v>4.5</x:v>
      </x:c>
      <x:c r="C6465" s="1" t="n">
        <x:v>6</x:v>
      </x:c>
      <x:c r="D6465" s="12" t="n">
        <x:v>0</x:v>
      </x:c>
      <x:c r="E6465" s="12" t="n">
        <x:v>0.24533333333333335</x:v>
      </x:c>
      <x:c r="F6465" s="12" t="n">
        <x:v>0.24466666666666667</x:v>
      </x:c>
      <x:c r="G6465" s="12" t="n">
        <x:v>0</x:v>
      </x:c>
      <x:c r="H6465" s="1" t="n">
        <x:f>'Historical prices'!E6465</x:f>
        <x:v>1.05</x:v>
      </x:c>
      <x:c r="I6465" s="6" t="n">
        <x:f>'Historical prices'!D6465</x:f>
        <x:v>0.1868</x:v>
      </x:c>
      <x:c r="J6465" s="13" t="n">
        <x:f>D6465*I6465*H6465</x:f>
        <x:v>0</x:v>
      </x:c>
      <x:c r="K6465" s="13" t="n">
        <x:f>E6465*I6465*H6465</x:f>
        <x:v>0.04811968</x:v>
      </x:c>
      <x:c r="L6465" s="1" t="str">
        <x:f>TEXT(A6465,"mmm yyyy")</x:f>
        <x:v>Sep 2026</x:v>
      </x:c>
    </x:row>
    <x:row r="6466" ht="21" customHeight="1">
      <x:c r="A6466" s="10" t="n">
        <x:v>46283</x:v>
      </x:c>
      <x:c r="B6466" s="1" t="n">
        <x:v>5</x:v>
      </x:c>
      <x:c r="C6466" s="1" t="n">
        <x:v>6</x:v>
      </x:c>
      <x:c r="D6466" s="12" t="n">
        <x:v>0</x:v>
      </x:c>
      <x:c r="E6466" s="12" t="n">
        <x:v>0.25875</x:v>
      </x:c>
      <x:c r="F6466" s="12" t="n">
        <x:v>0.25841666666666663</x:v>
      </x:c>
      <x:c r="G6466" s="12" t="n">
        <x:v>0</x:v>
      </x:c>
      <x:c r="H6466" s="1" t="n">
        <x:f>'Historical prices'!E6466</x:f>
        <x:v>1.05</x:v>
      </x:c>
      <x:c r="I6466" s="6" t="n">
        <x:f>'Historical prices'!D6466</x:f>
        <x:v>0.1838</x:v>
      </x:c>
      <x:c r="J6466" s="13" t="n">
        <x:f>D6466*I6466*H6466</x:f>
        <x:v>0</x:v>
      </x:c>
      <x:c r="K6466" s="13" t="n">
        <x:f>E6466*I6466*H6466</x:f>
        <x:v>0.0499361625</x:v>
      </x:c>
      <x:c r="L6466" s="1" t="str">
        <x:f>TEXT(A6466,"mmm yyyy")</x:f>
        <x:v>Sep 2026</x:v>
      </x:c>
    </x:row>
    <x:row r="6467" ht="21" customHeight="1">
      <x:c r="A6467" s="10" t="n">
        <x:v>46283</x:v>
      </x:c>
      <x:c r="B6467" s="1" t="n">
        <x:v>5.5</x:v>
      </x:c>
      <x:c r="C6467" s="1" t="n">
        <x:v>6</x:v>
      </x:c>
      <x:c r="D6467" s="12" t="n">
        <x:v>0</x:v>
      </x:c>
      <x:c r="E6467" s="12" t="n">
        <x:v>0.256</x:v>
      </x:c>
      <x:c r="F6467" s="12" t="n">
        <x:v>0.2555</x:v>
      </x:c>
      <x:c r="G6467" s="12" t="n">
        <x:v>0</x:v>
      </x:c>
      <x:c r="H6467" s="1" t="n">
        <x:f>'Historical prices'!E6467</x:f>
        <x:v>1.05</x:v>
      </x:c>
      <x:c r="I6467" s="6" t="n">
        <x:f>'Historical prices'!D6467</x:f>
        <x:v>0.2336</x:v>
      </x:c>
      <x:c r="J6467" s="13" t="n">
        <x:f>D6467*I6467*H6467</x:f>
        <x:v>0</x:v>
      </x:c>
      <x:c r="K6467" s="13" t="n">
        <x:f>E6467*I6467*H6467</x:f>
        <x:v>0.06279168</x:v>
      </x:c>
      <x:c r="L6467" s="1" t="str">
        <x:f>TEXT(A6467,"mmm yyyy")</x:f>
        <x:v>Sep 2026</x:v>
      </x:c>
    </x:row>
    <x:row r="6468" ht="21" customHeight="1">
      <x:c r="A6468" s="10" t="n">
        <x:v>46283</x:v>
      </x:c>
      <x:c r="B6468" s="1" t="n">
        <x:v>6</x:v>
      </x:c>
      <x:c r="C6468" s="1" t="n">
        <x:v>6</x:v>
      </x:c>
      <x:c r="D6468" s="12" t="n">
        <x:v>0</x:v>
      </x:c>
      <x:c r="E6468" s="12" t="n">
        <x:v>0.27425</x:v>
      </x:c>
      <x:c r="F6468" s="12" t="n">
        <x:v>0.27375</x:v>
      </x:c>
      <x:c r="G6468" s="12" t="n">
        <x:v>0</x:v>
      </x:c>
      <x:c r="H6468" s="1" t="n">
        <x:f>'Historical prices'!E6468</x:f>
        <x:v>1.05</x:v>
      </x:c>
      <x:c r="I6468" s="6" t="n">
        <x:f>'Historical prices'!D6468</x:f>
        <x:v>0.2556</x:v>
      </x:c>
      <x:c r="J6468" s="13" t="n">
        <x:f>D6468*I6468*H6468</x:f>
        <x:v>0</x:v>
      </x:c>
      <x:c r="K6468" s="13" t="n">
        <x:f>E6468*I6468*H6468</x:f>
        <x:v>0.073603215</x:v>
      </x:c>
      <x:c r="L6468" s="1" t="str">
        <x:f>TEXT(A6468,"mmm yyyy")</x:f>
        <x:v>Sep 2026</x:v>
      </x:c>
    </x:row>
    <x:row r="6469" ht="21" customHeight="1">
      <x:c r="A6469" s="10" t="n">
        <x:v>46283</x:v>
      </x:c>
      <x:c r="B6469" s="1" t="n">
        <x:v>6.5</x:v>
      </x:c>
      <x:c r="C6469" s="1" t="n">
        <x:v>6</x:v>
      </x:c>
      <x:c r="D6469" s="12" t="n">
        <x:v>0</x:v>
      </x:c>
      <x:c r="E6469" s="12" t="n">
        <x:v>0.34099999999999997</x:v>
      </x:c>
      <x:c r="F6469" s="12" t="n">
        <x:v>0.34041666666666665</x:v>
      </x:c>
      <x:c r="G6469" s="12" t="n">
        <x:v>0</x:v>
      </x:c>
      <x:c r="H6469" s="1" t="n">
        <x:f>'Historical prices'!E6469</x:f>
        <x:v>1.05</x:v>
      </x:c>
      <x:c r="I6469" s="6" t="n">
        <x:f>'Historical prices'!D6469</x:f>
        <x:v>0.2919</x:v>
      </x:c>
      <x:c r="J6469" s="13" t="n">
        <x:f>D6469*I6469*H6469</x:f>
        <x:v>0</x:v>
      </x:c>
      <x:c r="K6469" s="13" t="n">
        <x:f>E6469*I6469*H6469</x:f>
        <x:v>0.104514795</x:v>
      </x:c>
      <x:c r="L6469" s="1" t="str">
        <x:f>TEXT(A6469,"mmm yyyy")</x:f>
        <x:v>Sep 2026</x:v>
      </x:c>
    </x:row>
    <x:row r="6470" ht="21" customHeight="1">
      <x:c r="A6470" s="10" t="n">
        <x:v>46283</x:v>
      </x:c>
      <x:c r="B6470" s="1" t="n">
        <x:v>7</x:v>
      </x:c>
      <x:c r="C6470" s="1" t="n">
        <x:v>6</x:v>
      </x:c>
      <x:c r="D6470" s="12" t="n">
        <x:v>0</x:v>
      </x:c>
      <x:c r="E6470" s="12" t="n">
        <x:v>0.33175</x:v>
      </x:c>
      <x:c r="F6470" s="12" t="n">
        <x:v>0.33158333333333334</x:v>
      </x:c>
      <x:c r="G6470" s="12" t="n">
        <x:v>0</x:v>
      </x:c>
      <x:c r="H6470" s="1" t="n">
        <x:f>'Historical prices'!E6470</x:f>
        <x:v>1.05</x:v>
      </x:c>
      <x:c r="I6470" s="6" t="n">
        <x:f>'Historical prices'!D6470</x:f>
        <x:v>0.332</x:v>
      </x:c>
      <x:c r="J6470" s="13" t="n">
        <x:f>D6470*I6470*H6470</x:f>
        <x:v>0</x:v>
      </x:c>
      <x:c r="K6470" s="13" t="n">
        <x:f>E6470*I6470*H6470</x:f>
        <x:v>0.11564805</x:v>
      </x:c>
      <x:c r="L6470" s="1" t="str">
        <x:f>TEXT(A6470,"mmm yyyy")</x:f>
        <x:v>Sep 2026</x:v>
      </x:c>
    </x:row>
    <x:row r="6471" ht="21" customHeight="1">
      <x:c r="A6471" s="10" t="n">
        <x:v>46283</x:v>
      </x:c>
      <x:c r="B6471" s="1" t="n">
        <x:v>7.5</x:v>
      </x:c>
      <x:c r="C6471" s="1" t="n">
        <x:v>6</x:v>
      </x:c>
      <x:c r="D6471" s="12" t="n">
        <x:v>0</x:v>
      </x:c>
      <x:c r="E6471" s="12" t="n">
        <x:v>0.2541666666666667</x:v>
      </x:c>
      <x:c r="F6471" s="12" t="n">
        <x:v>0.25383333333333336</x:v>
      </x:c>
      <x:c r="G6471" s="12" t="n">
        <x:v>0</x:v>
      </x:c>
      <x:c r="H6471" s="1" t="n">
        <x:f>'Historical prices'!E6471</x:f>
        <x:v>1.05</x:v>
      </x:c>
      <x:c r="I6471" s="6" t="n">
        <x:f>'Historical prices'!D6471</x:f>
        <x:v>0.35340000000000005</x:v>
      </x:c>
      <x:c r="J6471" s="13" t="n">
        <x:f>D6471*I6471*H6471</x:f>
        <x:v>0</x:v>
      </x:c>
      <x:c r="K6471" s="13" t="n">
        <x:f>E6471*I6471*H6471</x:f>
        <x:v>0.09431362500000003</x:v>
      </x:c>
      <x:c r="L6471" s="1" t="str">
        <x:f>TEXT(A6471,"mmm yyyy")</x:f>
        <x:v>Sep 2026</x:v>
      </x:c>
    </x:row>
    <x:row r="6472" ht="21" customHeight="1">
      <x:c r="A6472" s="10" t="n">
        <x:v>46283</x:v>
      </x:c>
      <x:c r="B6472" s="1" t="n">
        <x:v>8</x:v>
      </x:c>
      <x:c r="C6472" s="1" t="n">
        <x:v>6</x:v>
      </x:c>
      <x:c r="D6472" s="12" t="n">
        <x:v>0</x:v>
      </x:c>
      <x:c r="E6472" s="12" t="n">
        <x:v>0.20199999999999999</x:v>
      </x:c>
      <x:c r="F6472" s="12" t="n">
        <x:v>0.20133333333333334</x:v>
      </x:c>
      <x:c r="G6472" s="12" t="n">
        <x:v>0</x:v>
      </x:c>
      <x:c r="H6472" s="1" t="n">
        <x:f>'Historical prices'!E6472</x:f>
        <x:v>1.05</x:v>
      </x:c>
      <x:c r="I6472" s="6" t="n">
        <x:f>'Historical prices'!D6472</x:f>
        <x:v>0.2963</x:v>
      </x:c>
      <x:c r="J6472" s="13" t="n">
        <x:f>D6472*I6472*H6472</x:f>
        <x:v>0</x:v>
      </x:c>
      <x:c r="K6472" s="13" t="n">
        <x:f>E6472*I6472*H6472</x:f>
        <x:v>0.06284523</x:v>
      </x:c>
      <x:c r="L6472" s="1" t="str">
        <x:f>TEXT(A6472,"mmm yyyy")</x:f>
        <x:v>Sep 2026</x:v>
      </x:c>
    </x:row>
    <x:row r="6473" ht="21" customHeight="1">
      <x:c r="A6473" s="10" t="n">
        <x:v>46283</x:v>
      </x:c>
      <x:c r="B6473" s="1" t="n">
        <x:v>8.5</x:v>
      </x:c>
      <x:c r="C6473" s="1" t="n">
        <x:v>6</x:v>
      </x:c>
      <x:c r="D6473" s="12" t="n">
        <x:v>0</x:v>
      </x:c>
      <x:c r="E6473" s="12" t="n">
        <x:v>0.23883333333333331</x:v>
      </x:c>
      <x:c r="F6473" s="12" t="n">
        <x:v>0.23850000000000002</x:v>
      </x:c>
      <x:c r="G6473" s="12" t="n">
        <x:v>0</x:v>
      </x:c>
      <x:c r="H6473" s="1" t="n">
        <x:f>'Historical prices'!E6473</x:f>
        <x:v>1.05</x:v>
      </x:c>
      <x:c r="I6473" s="6" t="n">
        <x:f>'Historical prices'!D6473</x:f>
        <x:v>0.2735</x:v>
      </x:c>
      <x:c r="J6473" s="13" t="n">
        <x:f>D6473*I6473*H6473</x:f>
        <x:v>0</x:v>
      </x:c>
      <x:c r="K6473" s="13" t="n">
        <x:f>E6473*I6473*H6473</x:f>
        <x:v>0.06858696250000001</x:v>
      </x:c>
      <x:c r="L6473" s="1" t="str">
        <x:f>TEXT(A6473,"mmm yyyy")</x:f>
        <x:v>Sep 2026</x:v>
      </x:c>
    </x:row>
    <x:row r="6474" ht="21" customHeight="1">
      <x:c r="A6474" s="10" t="n">
        <x:v>46283</x:v>
      </x:c>
      <x:c r="B6474" s="1" t="n">
        <x:v>9</x:v>
      </x:c>
      <x:c r="C6474" s="1" t="n">
        <x:v>6</x:v>
      </x:c>
      <x:c r="D6474" s="12" t="n">
        <x:v>0</x:v>
      </x:c>
      <x:c r="E6474" s="12" t="n">
        <x:v>0.27525</x:v>
      </x:c>
      <x:c r="F6474" s="12" t="n">
        <x:v>0.27441666666666664</x:v>
      </x:c>
      <x:c r="G6474" s="12" t="n">
        <x:v>0</x:v>
      </x:c>
      <x:c r="H6474" s="1" t="n">
        <x:f>'Historical prices'!E6474</x:f>
        <x:v>1.05</x:v>
      </x:c>
      <x:c r="I6474" s="6" t="n">
        <x:f>'Historical prices'!D6474</x:f>
        <x:v>0.2426</x:v>
      </x:c>
      <x:c r="J6474" s="13" t="n">
        <x:f>D6474*I6474*H6474</x:f>
        <x:v>0</x:v>
      </x:c>
      <x:c r="K6474" s="13" t="n">
        <x:f>E6474*I6474*H6474</x:f>
        <x:v>0.0701144325</x:v>
      </x:c>
      <x:c r="L6474" s="1" t="str">
        <x:f>TEXT(A6474,"mmm yyyy")</x:f>
        <x:v>Sep 2026</x:v>
      </x:c>
    </x:row>
    <x:row r="6475" ht="21" customHeight="1">
      <x:c r="A6475" s="10" t="n">
        <x:v>46283</x:v>
      </x:c>
      <x:c r="B6475" s="1" t="n">
        <x:v>9.5</x:v>
      </x:c>
      <x:c r="C6475" s="1" t="n">
        <x:v>6</x:v>
      </x:c>
      <x:c r="D6475" s="12" t="n">
        <x:v>0</x:v>
      </x:c>
      <x:c r="E6475" s="12" t="n">
        <x:v>0.20508333333333334</x:v>
      </x:c>
      <x:c r="F6475" s="12" t="n">
        <x:v>0.20450000000000002</x:v>
      </x:c>
      <x:c r="G6475" s="12" t="n">
        <x:v>0</x:v>
      </x:c>
      <x:c r="H6475" s="1" t="n">
        <x:f>'Historical prices'!E6475</x:f>
        <x:v>1.05</x:v>
      </x:c>
      <x:c r="I6475" s="6" t="n">
        <x:f>'Historical prices'!D6475</x:f>
        <x:v>0.1656</x:v>
      </x:c>
      <x:c r="J6475" s="13" t="n">
        <x:f>D6475*I6475*H6475</x:f>
        <x:v>0</x:v>
      </x:c>
      <x:c r="K6475" s="13" t="n">
        <x:f>E6475*I6475*H6475</x:f>
        <x:v>0.03565989</x:v>
      </x:c>
      <x:c r="L6475" s="1" t="str">
        <x:f>TEXT(A6475,"mmm yyyy")</x:f>
        <x:v>Sep 2026</x:v>
      </x:c>
    </x:row>
    <x:row r="6476" ht="21" customHeight="1">
      <x:c r="A6476" s="10" t="n">
        <x:v>46283</x:v>
      </x:c>
      <x:c r="B6476" s="1" t="n">
        <x:v>10</x:v>
      </x:c>
      <x:c r="C6476" s="1" t="n">
        <x:v>6</x:v>
      </x:c>
      <x:c r="D6476" s="12" t="n">
        <x:v>0</x:v>
      </x:c>
      <x:c r="E6476" s="12" t="n">
        <x:v>0.23274999999999998</x:v>
      </x:c>
      <x:c r="F6476" s="12" t="n">
        <x:v>0.23233333333333334</x:v>
      </x:c>
      <x:c r="G6476" s="12" t="n">
        <x:v>0</x:v>
      </x:c>
      <x:c r="H6476" s="1" t="n">
        <x:f>'Historical prices'!E6476</x:f>
        <x:v>1.05</x:v>
      </x:c>
      <x:c r="I6476" s="6" t="n">
        <x:f>'Historical prices'!D6476</x:f>
        <x:v>0.1045</x:v>
      </x:c>
      <x:c r="J6476" s="13" t="n">
        <x:f>D6476*I6476*H6476</x:f>
        <x:v>0</x:v>
      </x:c>
      <x:c r="K6476" s="13" t="n">
        <x:f>E6476*I6476*H6476</x:f>
        <x:v>0.02553849375</x:v>
      </x:c>
      <x:c r="L6476" s="1" t="str">
        <x:f>TEXT(A6476,"mmm yyyy")</x:f>
        <x:v>Sep 2026</x:v>
      </x:c>
    </x:row>
    <x:row r="6477" ht="21" customHeight="1">
      <x:c r="A6477" s="10" t="n">
        <x:v>46283</x:v>
      </x:c>
      <x:c r="B6477" s="1" t="n">
        <x:v>10.5</x:v>
      </x:c>
      <x:c r="C6477" s="1" t="n">
        <x:v>6</x:v>
      </x:c>
      <x:c r="D6477" s="12" t="n">
        <x:v>0</x:v>
      </x:c>
      <x:c r="E6477" s="12" t="n">
        <x:v>0.29375</x:v>
      </x:c>
      <x:c r="F6477" s="12" t="n">
        <x:v>0.29341666666666666</x:v>
      </x:c>
      <x:c r="G6477" s="12" t="n">
        <x:v>0</x:v>
      </x:c>
      <x:c r="H6477" s="1" t="n">
        <x:f>'Historical prices'!E6477</x:f>
        <x:v>1.05</x:v>
      </x:c>
      <x:c r="I6477" s="6" t="n">
        <x:f>'Historical prices'!D6477</x:f>
        <x:v>0.0638</x:v>
      </x:c>
      <x:c r="J6477" s="13" t="n">
        <x:f>D6477*I6477*H6477</x:f>
        <x:v>0</x:v>
      </x:c>
      <x:c r="K6477" s="13" t="n">
        <x:f>E6477*I6477*H6477</x:f>
        <x:v>0.019678312500000003</x:v>
      </x:c>
      <x:c r="L6477" s="1" t="str">
        <x:f>TEXT(A6477,"mmm yyyy")</x:f>
        <x:v>Sep 2026</x:v>
      </x:c>
    </x:row>
    <x:row r="6478" ht="21" customHeight="1">
      <x:c r="A6478" s="10" t="n">
        <x:v>46283</x:v>
      </x:c>
      <x:c r="B6478" s="1" t="n">
        <x:v>11</x:v>
      </x:c>
      <x:c r="C6478" s="1" t="n">
        <x:v>6</x:v>
      </x:c>
      <x:c r="D6478" s="12" t="n">
        <x:v>0</x:v>
      </x:c>
      <x:c r="E6478" s="12" t="n">
        <x:v>0.3673333333333333</x:v>
      </x:c>
      <x:c r="F6478" s="12" t="n">
        <x:v>0.3669166666666666</x:v>
      </x:c>
      <x:c r="G6478" s="12" t="n">
        <x:v>0</x:v>
      </x:c>
      <x:c r="H6478" s="1" t="n">
        <x:f>'Historical prices'!E6478</x:f>
        <x:v>1.05</x:v>
      </x:c>
      <x:c r="I6478" s="6" t="n">
        <x:f>'Historical prices'!D6478</x:f>
        <x:v>0.0363</x:v>
      </x:c>
      <x:c r="J6478" s="13" t="n">
        <x:f>D6478*I6478*H6478</x:f>
        <x:v>0</x:v>
      </x:c>
      <x:c r="K6478" s="13" t="n">
        <x:f>E6478*I6478*H6478</x:f>
        <x:v>0.014000909999999998</x:v>
      </x:c>
      <x:c r="L6478" s="1" t="str">
        <x:f>TEXT(A6478,"mmm yyyy")</x:f>
        <x:v>Sep 2026</x:v>
      </x:c>
    </x:row>
    <x:row r="6479" ht="21" customHeight="1">
      <x:c r="A6479" s="10" t="n">
        <x:v>46283</x:v>
      </x:c>
      <x:c r="B6479" s="1" t="n">
        <x:v>11.5</x:v>
      </x:c>
      <x:c r="C6479" s="1" t="n">
        <x:v>6</x:v>
      </x:c>
      <x:c r="D6479" s="12" t="n">
        <x:v>0</x:v>
      </x:c>
      <x:c r="E6479" s="12" t="n">
        <x:v>0.2540833333333333</x:v>
      </x:c>
      <x:c r="F6479" s="12" t="n">
        <x:v>0.25375000000000003</x:v>
      </x:c>
      <x:c r="G6479" s="12" t="n">
        <x:v>0</x:v>
      </x:c>
      <x:c r="H6479" s="1" t="n">
        <x:f>'Historical prices'!E6479</x:f>
        <x:v>1.05</x:v>
      </x:c>
      <x:c r="I6479" s="6" t="n">
        <x:f>'Historical prices'!D6479</x:f>
        <x:v>0.0144</x:v>
      </x:c>
      <x:c r="J6479" s="13" t="n">
        <x:f>D6479*I6479*H6479</x:f>
        <x:v>0</x:v>
      </x:c>
      <x:c r="K6479" s="13" t="n">
        <x:f>E6479*I6479*H6479</x:f>
        <x:v>0.00384174</x:v>
      </x:c>
      <x:c r="L6479" s="1" t="str">
        <x:f>TEXT(A6479,"mmm yyyy")</x:f>
        <x:v>Sep 2026</x:v>
      </x:c>
    </x:row>
    <x:row r="6480" ht="21" customHeight="1">
      <x:c r="A6480" s="10" t="n">
        <x:v>46283</x:v>
      </x:c>
      <x:c r="B6480" s="1" t="n">
        <x:v>12</x:v>
      </x:c>
      <x:c r="C6480" s="1" t="n">
        <x:v>6</x:v>
      </x:c>
      <x:c r="D6480" s="12" t="n">
        <x:v>0</x:v>
      </x:c>
      <x:c r="E6480" s="12" t="n">
        <x:v>0.25675</x:v>
      </x:c>
      <x:c r="F6480" s="12" t="n">
        <x:v>0.2563333333333333</x:v>
      </x:c>
      <x:c r="G6480" s="12" t="n">
        <x:v>0</x:v>
      </x:c>
      <x:c r="H6480" s="1" t="n">
        <x:f>'Historical prices'!E6480</x:f>
        <x:v>1.05</x:v>
      </x:c>
      <x:c r="I6480" s="6" t="n">
        <x:f>'Historical prices'!D6480</x:f>
        <x:v>0.017</x:v>
      </x:c>
      <x:c r="J6480" s="13" t="n">
        <x:f>D6480*I6480*H6480</x:f>
        <x:v>0</x:v>
      </x:c>
      <x:c r="K6480" s="13" t="n">
        <x:f>E6480*I6480*H6480</x:f>
        <x:v>0.0045829875</x:v>
      </x:c>
      <x:c r="L6480" s="1" t="str">
        <x:f>TEXT(A6480,"mmm yyyy")</x:f>
        <x:v>Sep 2026</x:v>
      </x:c>
    </x:row>
    <x:row r="6481" ht="21" customHeight="1">
      <x:c r="A6481" s="10" t="n">
        <x:v>46283</x:v>
      </x:c>
      <x:c r="B6481" s="1" t="n">
        <x:v>12.5</x:v>
      </x:c>
      <x:c r="C6481" s="1" t="n">
        <x:v>6</x:v>
      </x:c>
      <x:c r="D6481" s="12" t="n">
        <x:v>0</x:v>
      </x:c>
      <x:c r="E6481" s="12" t="n">
        <x:v>0.20975</x:v>
      </x:c>
      <x:c r="F6481" s="12" t="n">
        <x:v>0.20933333333333334</x:v>
      </x:c>
      <x:c r="G6481" s="12" t="n">
        <x:v>0</x:v>
      </x:c>
      <x:c r="H6481" s="1" t="n">
        <x:f>'Historical prices'!E6481</x:f>
        <x:v>1.05</x:v>
      </x:c>
      <x:c r="I6481" s="6" t="n">
        <x:f>'Historical prices'!D6481</x:f>
        <x:v>0.0126</x:v>
      </x:c>
      <x:c r="J6481" s="13" t="n">
        <x:f>D6481*I6481*H6481</x:f>
        <x:v>0</x:v>
      </x:c>
      <x:c r="K6481" s="13" t="n">
        <x:f>E6481*I6481*H6481</x:f>
        <x:v>0.0027749925</x:v>
      </x:c>
      <x:c r="L6481" s="1" t="str">
        <x:f>TEXT(A6481,"mmm yyyy")</x:f>
        <x:v>Sep 2026</x:v>
      </x:c>
    </x:row>
    <x:row r="6482" ht="21" customHeight="1">
      <x:c r="A6482" s="10" t="n">
        <x:v>46283</x:v>
      </x:c>
      <x:c r="B6482" s="1" t="n">
        <x:v>13</x:v>
      </x:c>
      <x:c r="C6482" s="1" t="n">
        <x:v>6</x:v>
      </x:c>
      <x:c r="D6482" s="12" t="n">
        <x:v>0.18575</x:v>
      </x:c>
      <x:c r="E6482" s="12" t="n">
        <x:v>0.22975</x:v>
      </x:c>
      <x:c r="F6482" s="12" t="n">
        <x:v>0.035</x:v>
      </x:c>
      <x:c r="G6482" s="12" t="n">
        <x:v>0</x:v>
      </x:c>
      <x:c r="H6482" s="1" t="n">
        <x:f>'Historical prices'!E6482</x:f>
        <x:v>1.05</x:v>
      </x:c>
      <x:c r="I6482" s="6" t="n">
        <x:f>'Historical prices'!D6482</x:f>
        <x:v>0.008</x:v>
      </x:c>
      <x:c r="J6482" s="13" t="n">
        <x:f>D6482*I6482*H6482</x:f>
        <x:v>0.0015603000000000001</x:v>
      </x:c>
      <x:c r="K6482" s="13" t="n">
        <x:f>E6482*I6482*H6482</x:f>
        <x:v>0.0019299000000000002</x:v>
      </x:c>
      <x:c r="L6482" s="1" t="str">
        <x:f>TEXT(A6482,"mmm yyyy")</x:f>
        <x:v>Sep 2026</x:v>
      </x:c>
    </x:row>
    <x:row r="6483" ht="21" customHeight="1">
      <x:c r="A6483" s="10" t="n">
        <x:v>46283</x:v>
      </x:c>
      <x:c r="B6483" s="1" t="n">
        <x:v>13.5</x:v>
      </x:c>
      <x:c r="C6483" s="1" t="n">
        <x:v>6</x:v>
      </x:c>
      <x:c r="D6483" s="12" t="n">
        <x:v>3.3400000000000003</x:v>
      </x:c>
      <x:c r="E6483" s="12" t="n">
        <x:v>0.36900000000000005</x:v>
      </x:c>
      <x:c r="F6483" s="12" t="n">
        <x:v>0</x:v>
      </x:c>
      <x:c r="G6483" s="12" t="n">
        <x:v>2.972</x:v>
      </x:c>
      <x:c r="H6483" s="1" t="n">
        <x:f>'Historical prices'!E6483</x:f>
        <x:v>1.05</x:v>
      </x:c>
      <x:c r="I6483" s="6" t="n">
        <x:f>'Historical prices'!D6483</x:f>
        <x:v>-0.0015</x:v>
      </x:c>
      <x:c r="J6483" s="13" t="n">
        <x:f>D6483*I6483*H6483</x:f>
        <x:v>-0.0052605</x:v>
      </x:c>
      <x:c r="K6483" s="13" t="n">
        <x:f>E6483*I6483*H6483</x:f>
        <x:v>-0.0005811750000000001</x:v>
      </x:c>
      <x:c r="L6483" s="1" t="str">
        <x:f>TEXT(A6483,"mmm yyyy")</x:f>
        <x:v>Sep 2026</x:v>
      </x:c>
    </x:row>
    <x:row r="6484" ht="21" customHeight="1">
      <x:c r="A6484" s="10" t="n">
        <x:v>46283</x:v>
      </x:c>
      <x:c r="B6484" s="1" t="n">
        <x:v>14</x:v>
      </x:c>
      <x:c r="C6484" s="1" t="n">
        <x:v>6</x:v>
      </x:c>
      <x:c r="D6484" s="12" t="n">
        <x:v>0.6309166666666668</x:v>
      </x:c>
      <x:c r="E6484" s="12" t="n">
        <x:v>0.17091666666666666</x:v>
      </x:c>
      <x:c r="F6484" s="12" t="n">
        <x:v>0</x:v>
      </x:c>
      <x:c r="G6484" s="12" t="n">
        <x:v>0.466</x:v>
      </x:c>
      <x:c r="H6484" s="1" t="n">
        <x:f>'Historical prices'!E6484</x:f>
        <x:v>1.05</x:v>
      </x:c>
      <x:c r="I6484" s="6" t="n">
        <x:f>'Historical prices'!D6484</x:f>
        <x:v>0.0105</x:v>
      </x:c>
      <x:c r="J6484" s="13" t="n">
        <x:f>D6484*I6484*H6484</x:f>
        <x:v>0.006955856250000002</x:v>
      </x:c>
      <x:c r="K6484" s="13" t="n">
        <x:f>E6484*I6484*H6484</x:f>
        <x:v>0.00188435625</x:v>
      </x:c>
      <x:c r="L6484" s="1" t="str">
        <x:f>TEXT(A6484,"mmm yyyy")</x:f>
        <x:v>Sep 2026</x:v>
      </x:c>
    </x:row>
    <x:row r="6485" ht="21" customHeight="1">
      <x:c r="A6485" s="10" t="n">
        <x:v>46283</x:v>
      </x:c>
      <x:c r="B6485" s="1" t="n">
        <x:v>14.5</x:v>
      </x:c>
      <x:c r="C6485" s="1" t="n">
        <x:v>6</x:v>
      </x:c>
      <x:c r="D6485" s="12" t="n">
        <x:v>4.08425</x:v>
      </x:c>
      <x:c r="E6485" s="12" t="n">
        <x:v>0.45425000000000004</x:v>
      </x:c>
      <x:c r="F6485" s="12" t="n">
        <x:v>0</x:v>
      </x:c>
      <x:c r="G6485" s="12" t="n">
        <x:v>3.633</x:v>
      </x:c>
      <x:c r="H6485" s="1" t="n">
        <x:f>'Historical prices'!E6485</x:f>
        <x:v>1.05</x:v>
      </x:c>
      <x:c r="I6485" s="6" t="n">
        <x:f>'Historical prices'!D6485</x:f>
        <x:v>-0.0034000000000000002</x:v>
      </x:c>
      <x:c r="J6485" s="13" t="n">
        <x:f>D6485*I6485*H6485</x:f>
        <x:v>-0.014580772500000002</x:v>
      </x:c>
      <x:c r="K6485" s="13" t="n">
        <x:f>E6485*I6485*H6485</x:f>
        <x:v>-0.0016216725000000002</x:v>
      </x:c>
      <x:c r="L6485" s="1" t="str">
        <x:f>TEXT(A6485,"mmm yyyy")</x:f>
        <x:v>Sep 2026</x:v>
      </x:c>
    </x:row>
    <x:row r="6486" ht="21" customHeight="1">
      <x:c r="A6486" s="10" t="n">
        <x:v>46283</x:v>
      </x:c>
      <x:c r="B6486" s="1" t="n">
        <x:v>15</x:v>
      </x:c>
      <x:c r="C6486" s="1" t="n">
        <x:v>6</x:v>
      </x:c>
      <x:c r="D6486" s="12" t="n">
        <x:v>4.22</x:v>
      </x:c>
      <x:c r="E6486" s="12" t="n">
        <x:v>0.44000000000000006</x:v>
      </x:c>
      <x:c r="F6486" s="12" t="n">
        <x:v>0</x:v>
      </x:c>
      <x:c r="G6486" s="12" t="n">
        <x:v>3.7800000000000002</x:v>
      </x:c>
      <x:c r="H6486" s="1" t="n">
        <x:f>'Historical prices'!E6486</x:f>
        <x:v>1.05</x:v>
      </x:c>
      <x:c r="I6486" s="6" t="n">
        <x:f>'Historical prices'!D6486</x:f>
        <x:v>-0.0051</x:v>
      </x:c>
      <x:c r="J6486" s="13" t="n">
        <x:f>D6486*I6486*H6486</x:f>
        <x:v>-0.0225981</x:v>
      </x:c>
      <x:c r="K6486" s="13" t="n">
        <x:f>E6486*I6486*H6486</x:f>
        <x:v>-0.0023562000000000006</x:v>
      </x:c>
      <x:c r="L6486" s="1" t="str">
        <x:f>TEXT(A6486,"mmm yyyy")</x:f>
        <x:v>Sep 2026</x:v>
      </x:c>
    </x:row>
    <x:row r="6487" ht="21" customHeight="1">
      <x:c r="A6487" s="10" t="n">
        <x:v>46283</x:v>
      </x:c>
      <x:c r="B6487" s="1" t="n">
        <x:v>15.5</x:v>
      </x:c>
      <x:c r="C6487" s="1" t="n">
        <x:v>6</x:v>
      </x:c>
      <x:c r="D6487" s="12" t="n">
        <x:v>0.39125</x:v>
      </x:c>
      <x:c r="E6487" s="12" t="n">
        <x:v>0.22641666666666668</x:v>
      </x:c>
      <x:c r="F6487" s="12" t="n">
        <x:v>0.17133333333333334</x:v>
      </x:c>
      <x:c r="G6487" s="12" t="n">
        <x:v>0.338</x:v>
      </x:c>
      <x:c r="H6487" s="1" t="n">
        <x:f>'Historical prices'!E6487</x:f>
        <x:v>1.05</x:v>
      </x:c>
      <x:c r="I6487" s="6" t="n">
        <x:f>'Historical prices'!D6487</x:f>
        <x:v>0.0447</x:v>
      </x:c>
      <x:c r="J6487" s="13" t="n">
        <x:f>D6487*I6487*H6487</x:f>
        <x:v>0.01836331875</x:v>
      </x:c>
      <x:c r="K6487" s="13" t="n">
        <x:f>E6487*I6487*H6487</x:f>
        <x:v>0.01062686625</x:v>
      </x:c>
      <x:c r="L6487" s="1" t="str">
        <x:f>TEXT(A6487,"mmm yyyy")</x:f>
        <x:v>Sep 2026</x:v>
      </x:c>
    </x:row>
    <x:row r="6488" ht="21" customHeight="1">
      <x:c r="A6488" s="10" t="n">
        <x:v>46283</x:v>
      </x:c>
      <x:c r="B6488" s="1" t="n">
        <x:v>16</x:v>
      </x:c>
      <x:c r="C6488" s="1" t="n">
        <x:v>6</x:v>
      </x:c>
      <x:c r="D6488" s="12" t="n">
        <x:v>0</x:v>
      </x:c>
      <x:c r="E6488" s="12" t="n">
        <x:v>0.3095</x:v>
      </x:c>
      <x:c r="F6488" s="12" t="n">
        <x:v>0.3085</x:v>
      </x:c>
      <x:c r="G6488" s="12" t="n">
        <x:v>0</x:v>
      </x:c>
      <x:c r="H6488" s="1" t="n">
        <x:f>'Historical prices'!E6488</x:f>
        <x:v>1.05</x:v>
      </x:c>
      <x:c r="I6488" s="6" t="n">
        <x:f>'Historical prices'!D6488</x:f>
        <x:v>0.2193</x:v>
      </x:c>
      <x:c r="J6488" s="13" t="n">
        <x:f>D6488*I6488*H6488</x:f>
        <x:v>0</x:v>
      </x:c>
      <x:c r="K6488" s="13" t="n">
        <x:f>E6488*I6488*H6488</x:f>
        <x:v>0.0712670175</x:v>
      </x:c>
      <x:c r="L6488" s="1" t="str">
        <x:f>TEXT(A6488,"mmm yyyy")</x:f>
        <x:v>Sep 2026</x:v>
      </x:c>
    </x:row>
    <x:row r="6489" ht="21" customHeight="1">
      <x:c r="A6489" s="10" t="n">
        <x:v>46283</x:v>
      </x:c>
      <x:c r="B6489" s="1" t="n">
        <x:v>16.5</x:v>
      </x:c>
      <x:c r="C6489" s="1" t="n">
        <x:v>6</x:v>
      </x:c>
      <x:c r="D6489" s="12" t="n">
        <x:v>0</x:v>
      </x:c>
      <x:c r="E6489" s="12" t="n">
        <x:v>0.25825000000000004</x:v>
      </x:c>
      <x:c r="F6489" s="12" t="n">
        <x:v>0.25775</x:v>
      </x:c>
      <x:c r="G6489" s="12" t="n">
        <x:v>0</x:v>
      </x:c>
      <x:c r="H6489" s="1" t="n">
        <x:f>'Historical prices'!E6489</x:f>
        <x:v>1.05</x:v>
      </x:c>
      <x:c r="I6489" s="6" t="n">
        <x:f>'Historical prices'!D6489</x:f>
        <x:v>0.2865</x:v>
      </x:c>
      <x:c r="J6489" s="13" t="n">
        <x:f>D6489*I6489*H6489</x:f>
        <x:v>0</x:v>
      </x:c>
      <x:c r="K6489" s="13" t="n">
        <x:f>E6489*I6489*H6489</x:f>
        <x:v>0.07768805625000001</x:v>
      </x:c>
      <x:c r="L6489" s="1" t="str">
        <x:f>TEXT(A6489,"mmm yyyy")</x:f>
        <x:v>Sep 2026</x:v>
      </x:c>
    </x:row>
    <x:row r="6490" ht="21" customHeight="1">
      <x:c r="A6490" s="10" t="n">
        <x:v>46283</x:v>
      </x:c>
      <x:c r="B6490" s="1" t="n">
        <x:v>17</x:v>
      </x:c>
      <x:c r="C6490" s="1" t="n">
        <x:v>6</x:v>
      </x:c>
      <x:c r="D6490" s="12" t="n">
        <x:v>0</x:v>
      </x:c>
      <x:c r="E6490" s="12" t="n">
        <x:v>0.24075</x:v>
      </x:c>
      <x:c r="F6490" s="12" t="n">
        <x:v>0.24033333333333337</x:v>
      </x:c>
      <x:c r="G6490" s="12" t="n">
        <x:v>0</x:v>
      </x:c>
      <x:c r="H6490" s="1" t="n">
        <x:f>'Historical prices'!E6490</x:f>
        <x:v>1.05</x:v>
      </x:c>
      <x:c r="I6490" s="6" t="n">
        <x:f>'Historical prices'!D6490</x:f>
        <x:v>0.3554</x:v>
      </x:c>
      <x:c r="J6490" s="13" t="n">
        <x:f>D6490*I6490*H6490</x:f>
        <x:v>0</x:v>
      </x:c>
      <x:c r="K6490" s="13" t="n">
        <x:f>E6490*I6490*H6490</x:f>
        <x:v>0.08984067750000001</x:v>
      </x:c>
      <x:c r="L6490" s="1" t="str">
        <x:f>TEXT(A6490,"mmm yyyy")</x:f>
        <x:v>Sep 2026</x:v>
      </x:c>
    </x:row>
    <x:row r="6491" ht="21" customHeight="1">
      <x:c r="A6491" s="10" t="n">
        <x:v>46283</x:v>
      </x:c>
      <x:c r="B6491" s="1" t="n">
        <x:v>17.5</x:v>
      </x:c>
      <x:c r="C6491" s="1" t="n">
        <x:v>6</x:v>
      </x:c>
      <x:c r="D6491" s="12" t="n">
        <x:v>0</x:v>
      </x:c>
      <x:c r="E6491" s="12" t="n">
        <x:v>0.21408333333333335</x:v>
      </x:c>
      <x:c r="F6491" s="12" t="n">
        <x:v>0.21366666666666667</x:v>
      </x:c>
      <x:c r="G6491" s="12" t="n">
        <x:v>0</x:v>
      </x:c>
      <x:c r="H6491" s="1" t="n">
        <x:f>'Historical prices'!E6491</x:f>
        <x:v>1.05</x:v>
      </x:c>
      <x:c r="I6491" s="6" t="n">
        <x:f>'Historical prices'!D6491</x:f>
        <x:v>0.3803</x:v>
      </x:c>
      <x:c r="J6491" s="13" t="n">
        <x:f>D6491*I6491*H6491</x:f>
        <x:v>0</x:v>
      </x:c>
      <x:c r="K6491" s="13" t="n">
        <x:f>E6491*I6491*H6491</x:f>
        <x:v>0.08548668625000003</x:v>
      </x:c>
      <x:c r="L6491" s="1" t="str">
        <x:f>TEXT(A6491,"mmm yyyy")</x:f>
        <x:v>Sep 2026</x:v>
      </x:c>
    </x:row>
    <x:row r="6492" ht="21" customHeight="1">
      <x:c r="A6492" s="10" t="n">
        <x:v>46283</x:v>
      </x:c>
      <x:c r="B6492" s="1" t="n">
        <x:v>18</x:v>
      </x:c>
      <x:c r="C6492" s="1" t="n">
        <x:v>6</x:v>
      </x:c>
      <x:c r="D6492" s="12" t="n">
        <x:v>0</x:v>
      </x:c>
      <x:c r="E6492" s="12" t="n">
        <x:v>0.27316666666666667</x:v>
      </x:c>
      <x:c r="F6492" s="12" t="n">
        <x:v>0.27266666666666667</x:v>
      </x:c>
      <x:c r="G6492" s="12" t="n">
        <x:v>0</x:v>
      </x:c>
      <x:c r="H6492" s="1" t="n">
        <x:f>'Historical prices'!E6492</x:f>
        <x:v>1.05</x:v>
      </x:c>
      <x:c r="I6492" s="6" t="n">
        <x:f>'Historical prices'!D6492</x:f>
        <x:v>0.3971</x:v>
      </x:c>
      <x:c r="J6492" s="13" t="n">
        <x:f>D6492*I6492*H6492</x:f>
        <x:v>0</x:v>
      </x:c>
      <x:c r="K6492" s="13" t="n">
        <x:f>E6492*I6492*H6492</x:f>
        <x:v>0.1138982075</x:v>
      </x:c>
      <x:c r="L6492" s="1" t="str">
        <x:f>TEXT(A6492,"mmm yyyy")</x:f>
        <x:v>Sep 2026</x:v>
      </x:c>
    </x:row>
    <x:row r="6493" ht="21" customHeight="1">
      <x:c r="A6493" s="10" t="n">
        <x:v>46283</x:v>
      </x:c>
      <x:c r="B6493" s="1" t="n">
        <x:v>18.5</x:v>
      </x:c>
      <x:c r="C6493" s="1" t="n">
        <x:v>6</x:v>
      </x:c>
      <x:c r="D6493" s="12" t="n">
        <x:v>0</x:v>
      </x:c>
      <x:c r="E6493" s="12" t="n">
        <x:v>0.2680833333333333</x:v>
      </x:c>
      <x:c r="F6493" s="12" t="n">
        <x:v>0.2678333333333333</x:v>
      </x:c>
      <x:c r="G6493" s="12" t="n">
        <x:v>0</x:v>
      </x:c>
      <x:c r="H6493" s="1" t="n">
        <x:f>'Historical prices'!E6493</x:f>
        <x:v>1.05</x:v>
      </x:c>
      <x:c r="I6493" s="6" t="n">
        <x:f>'Historical prices'!D6493</x:f>
        <x:v>0.39590000000000003</x:v>
      </x:c>
      <x:c r="J6493" s="13" t="n">
        <x:f>D6493*I6493*H6493</x:f>
        <x:v>0</x:v>
      </x:c>
      <x:c r="K6493" s="13" t="n">
        <x:f>E6493*I6493*H6493</x:f>
        <x:v>0.11144090124999999</x:v>
      </x:c>
      <x:c r="L6493" s="1" t="str">
        <x:f>TEXT(A6493,"mmm yyyy")</x:f>
        <x:v>Sep 2026</x:v>
      </x:c>
    </x:row>
    <x:row r="6494" ht="21" customHeight="1">
      <x:c r="A6494" s="10" t="n">
        <x:v>46283</x:v>
      </x:c>
      <x:c r="B6494" s="1" t="n">
        <x:v>19</x:v>
      </x:c>
      <x:c r="C6494" s="1" t="n">
        <x:v>6</x:v>
      </x:c>
      <x:c r="D6494" s="12" t="n">
        <x:v>0</x:v>
      </x:c>
      <x:c r="E6494" s="12" t="n">
        <x:v>0.2539166666666667</x:v>
      </x:c>
      <x:c r="F6494" s="12" t="n">
        <x:v>0.2533333333333333</x:v>
      </x:c>
      <x:c r="G6494" s="12" t="n">
        <x:v>0</x:v>
      </x:c>
      <x:c r="H6494" s="1" t="n">
        <x:f>'Historical prices'!E6494</x:f>
        <x:v>1.05</x:v>
      </x:c>
      <x:c r="I6494" s="6" t="n">
        <x:f>'Historical prices'!D6494</x:f>
        <x:v>0.26789999999999997</x:v>
      </x:c>
      <x:c r="J6494" s="13" t="n">
        <x:f>D6494*I6494*H6494</x:f>
        <x:v>0</x:v>
      </x:c>
      <x:c r="K6494" s="13" t="n">
        <x:f>E6494*I6494*H6494</x:f>
        <x:v>0.07142548875</x:v>
      </x:c>
      <x:c r="L6494" s="1" t="str">
        <x:f>TEXT(A6494,"mmm yyyy")</x:f>
        <x:v>Sep 2026</x:v>
      </x:c>
    </x:row>
    <x:row r="6495" ht="21" customHeight="1">
      <x:c r="A6495" s="10" t="n">
        <x:v>46283</x:v>
      </x:c>
      <x:c r="B6495" s="1" t="n">
        <x:v>19.5</x:v>
      </x:c>
      <x:c r="C6495" s="1" t="n">
        <x:v>6</x:v>
      </x:c>
      <x:c r="D6495" s="12" t="n">
        <x:v>0</x:v>
      </x:c>
      <x:c r="E6495" s="12" t="n">
        <x:v>0.372</x:v>
      </x:c>
      <x:c r="F6495" s="12" t="n">
        <x:v>0.3718333333333333</x:v>
      </x:c>
      <x:c r="G6495" s="12" t="n">
        <x:v>0</x:v>
      </x:c>
      <x:c r="H6495" s="1" t="n">
        <x:f>'Historical prices'!E6495</x:f>
        <x:v>1.05</x:v>
      </x:c>
      <x:c r="I6495" s="6" t="n">
        <x:f>'Historical prices'!D6495</x:f>
        <x:v>0.26899999999999996</x:v>
      </x:c>
      <x:c r="J6495" s="13" t="n">
        <x:f>D6495*I6495*H6495</x:f>
        <x:v>0</x:v>
      </x:c>
      <x:c r="K6495" s="13" t="n">
        <x:f>E6495*I6495*H6495</x:f>
        <x:v>0.1050714</x:v>
      </x:c>
      <x:c r="L6495" s="1" t="str">
        <x:f>TEXT(A6495,"mmm yyyy")</x:f>
        <x:v>Sep 2026</x:v>
      </x:c>
    </x:row>
    <x:row r="6496" ht="21" customHeight="1">
      <x:c r="A6496" s="10" t="n">
        <x:v>46283</x:v>
      </x:c>
      <x:c r="B6496" s="1" t="n">
        <x:v>20</x:v>
      </x:c>
      <x:c r="C6496" s="1" t="n">
        <x:v>6</x:v>
      </x:c>
      <x:c r="D6496" s="12" t="n">
        <x:v>0</x:v>
      </x:c>
      <x:c r="E6496" s="12" t="n">
        <x:v>0.2768333333333333</x:v>
      </x:c>
      <x:c r="F6496" s="12" t="n">
        <x:v>0.2763333333333333</x:v>
      </x:c>
      <x:c r="G6496" s="12" t="n">
        <x:v>0</x:v>
      </x:c>
      <x:c r="H6496" s="1" t="n">
        <x:f>'Historical prices'!E6496</x:f>
        <x:v>1.05</x:v>
      </x:c>
      <x:c r="I6496" s="6" t="n">
        <x:f>'Historical prices'!D6496</x:f>
        <x:v>0.2994</x:v>
      </x:c>
      <x:c r="J6496" s="13" t="n">
        <x:f>D6496*I6496*H6496</x:f>
        <x:v>0</x:v>
      </x:c>
      <x:c r="K6496" s="13" t="n">
        <x:f>E6496*I6496*H6496</x:f>
        <x:v>0.087028095</x:v>
      </x:c>
      <x:c r="L6496" s="1" t="str">
        <x:f>TEXT(A6496,"mmm yyyy")</x:f>
        <x:v>Sep 2026</x:v>
      </x:c>
    </x:row>
    <x:row r="6497" ht="21" customHeight="1">
      <x:c r="A6497" s="10" t="n">
        <x:v>46283</x:v>
      </x:c>
      <x:c r="B6497" s="1" t="n">
        <x:v>20.5</x:v>
      </x:c>
      <x:c r="C6497" s="1" t="n">
        <x:v>6</x:v>
      </x:c>
      <x:c r="D6497" s="12" t="n">
        <x:v>0</x:v>
      </x:c>
      <x:c r="E6497" s="12" t="n">
        <x:v>0.2310833333333333</x:v>
      </x:c>
      <x:c r="F6497" s="12" t="n">
        <x:v>0.23058333333333336</x:v>
      </x:c>
      <x:c r="G6497" s="12" t="n">
        <x:v>0</x:v>
      </x:c>
      <x:c r="H6497" s="1" t="n">
        <x:f>'Historical prices'!E6497</x:f>
        <x:v>1.05</x:v>
      </x:c>
      <x:c r="I6497" s="6" t="n">
        <x:f>'Historical prices'!D6497</x:f>
        <x:v>0.2743</x:v>
      </x:c>
      <x:c r="J6497" s="13" t="n">
        <x:f>D6497*I6497*H6497</x:f>
        <x:v>0</x:v>
      </x:c>
      <x:c r="K6497" s="13" t="n">
        <x:f>E6497*I6497*H6497</x:f>
        <x:v>0.06655546624999999</x:v>
      </x:c>
      <x:c r="L6497" s="1" t="str">
        <x:f>TEXT(A6497,"mmm yyyy")</x:f>
        <x:v>Sep 2026</x:v>
      </x:c>
    </x:row>
    <x:row r="6498" ht="21" customHeight="1">
      <x:c r="A6498" s="10" t="n">
        <x:v>46283</x:v>
      </x:c>
      <x:c r="B6498" s="1" t="n">
        <x:v>21</x:v>
      </x:c>
      <x:c r="C6498" s="1" t="n">
        <x:v>6</x:v>
      </x:c>
      <x:c r="D6498" s="12" t="n">
        <x:v>0</x:v>
      </x:c>
      <x:c r="E6498" s="12" t="n">
        <x:v>0.29008333333333336</x:v>
      </x:c>
      <x:c r="F6498" s="12" t="n">
        <x:v>0.28941666666666666</x:v>
      </x:c>
      <x:c r="G6498" s="12" t="n">
        <x:v>0</x:v>
      </x:c>
      <x:c r="H6498" s="1" t="n">
        <x:f>'Historical prices'!E6498</x:f>
        <x:v>1.05</x:v>
      </x:c>
      <x:c r="I6498" s="6" t="n">
        <x:f>'Historical prices'!D6498</x:f>
        <x:v>0.2562</x:v>
      </x:c>
      <x:c r="J6498" s="13" t="n">
        <x:f>D6498*I6498*H6498</x:f>
        <x:v>0</x:v>
      </x:c>
      <x:c r="K6498" s="13" t="n">
        <x:f>E6498*I6498*H6498</x:f>
        <x:v>0.0780353175</x:v>
      </x:c>
      <x:c r="L6498" s="1" t="str">
        <x:f>TEXT(A6498,"mmm yyyy")</x:f>
        <x:v>Sep 2026</x:v>
      </x:c>
    </x:row>
    <x:row r="6499" ht="21" customHeight="1">
      <x:c r="A6499" s="10" t="n">
        <x:v>46283</x:v>
      </x:c>
      <x:c r="B6499" s="1" t="n">
        <x:v>21.5</x:v>
      </x:c>
      <x:c r="C6499" s="1" t="n">
        <x:v>6</x:v>
      </x:c>
      <x:c r="D6499" s="12" t="n">
        <x:v>0</x:v>
      </x:c>
      <x:c r="E6499" s="12" t="n">
        <x:v>0.3080833333333333</x:v>
      </x:c>
      <x:c r="F6499" s="12" t="n">
        <x:v>0.30641666666666667</x:v>
      </x:c>
      <x:c r="G6499" s="12" t="n">
        <x:v>0</x:v>
      </x:c>
      <x:c r="H6499" s="1" t="n">
        <x:f>'Historical prices'!E6499</x:f>
        <x:v>1.05</x:v>
      </x:c>
      <x:c r="I6499" s="6" t="n">
        <x:f>'Historical prices'!D6499</x:f>
        <x:v>0.2164</x:v>
      </x:c>
      <x:c r="J6499" s="13" t="n">
        <x:f>D6499*I6499*H6499</x:f>
        <x:v>0</x:v>
      </x:c>
      <x:c r="K6499" s="13" t="n">
        <x:f>E6499*I6499*H6499</x:f>
        <x:v>0.070002695</x:v>
      </x:c>
      <x:c r="L6499" s="1" t="str">
        <x:f>TEXT(A6499,"mmm yyyy")</x:f>
        <x:v>Sep 2026</x:v>
      </x:c>
    </x:row>
    <x:row r="6500" ht="21" customHeight="1">
      <x:c r="A6500" s="10" t="n">
        <x:v>46283</x:v>
      </x:c>
      <x:c r="B6500" s="1" t="n">
        <x:v>22</x:v>
      </x:c>
      <x:c r="C6500" s="1" t="n">
        <x:v>6</x:v>
      </x:c>
      <x:c r="D6500" s="12" t="n">
        <x:v>0</x:v>
      </x:c>
      <x:c r="E6500" s="12" t="n">
        <x:v>0.25116666666666665</x:v>
      </x:c>
      <x:c r="F6500" s="12" t="n">
        <x:v>0.25075000000000003</x:v>
      </x:c>
      <x:c r="G6500" s="12" t="n">
        <x:v>0</x:v>
      </x:c>
      <x:c r="H6500" s="1" t="n">
        <x:f>'Historical prices'!E6500</x:f>
        <x:v>1.05</x:v>
      </x:c>
      <x:c r="I6500" s="6" t="n">
        <x:f>'Historical prices'!D6500</x:f>
        <x:v>0.172</x:v>
      </x:c>
      <x:c r="J6500" s="13" t="n">
        <x:f>D6500*I6500*H6500</x:f>
        <x:v>0</x:v>
      </x:c>
      <x:c r="K6500" s="13" t="n">
        <x:f>E6500*I6500*H6500</x:f>
        <x:v>0.04536069999999999</x:v>
      </x:c>
      <x:c r="L6500" s="1" t="str">
        <x:f>TEXT(A6500,"mmm yyyy")</x:f>
        <x:v>Sep 2026</x:v>
      </x:c>
    </x:row>
    <x:row r="6501" ht="21" customHeight="1">
      <x:c r="A6501" s="10" t="n">
        <x:v>46283</x:v>
      </x:c>
      <x:c r="B6501" s="1" t="n">
        <x:v>22.5</x:v>
      </x:c>
      <x:c r="C6501" s="1" t="n">
        <x:v>6</x:v>
      </x:c>
      <x:c r="D6501" s="12" t="n">
        <x:v>0</x:v>
      </x:c>
      <x:c r="E6501" s="12" t="n">
        <x:v>0.25783333333333336</x:v>
      </x:c>
      <x:c r="F6501" s="12" t="n">
        <x:v>0.2569166666666667</x:v>
      </x:c>
      <x:c r="G6501" s="12" t="n">
        <x:v>0</x:v>
      </x:c>
      <x:c r="H6501" s="1" t="n">
        <x:f>'Historical prices'!E6501</x:f>
        <x:v>1.05</x:v>
      </x:c>
      <x:c r="I6501" s="6" t="n">
        <x:f>'Historical prices'!D6501</x:f>
        <x:v>0.13390000000000002</x:v>
      </x:c>
      <x:c r="J6501" s="13" t="n">
        <x:f>D6501*I6501*H6501</x:f>
        <x:v>0</x:v>
      </x:c>
      <x:c r="K6501" s="13" t="n">
        <x:f>E6501*I6501*H6501</x:f>
        <x:v>0.036250077500000005</x:v>
      </x:c>
      <x:c r="L6501" s="1" t="str">
        <x:f>TEXT(A6501,"mmm yyyy")</x:f>
        <x:v>Sep 2026</x:v>
      </x:c>
    </x:row>
    <x:row r="6502" ht="21" customHeight="1">
      <x:c r="A6502" s="10" t="n">
        <x:v>46283</x:v>
      </x:c>
      <x:c r="B6502" s="1" t="n">
        <x:v>23</x:v>
      </x:c>
      <x:c r="C6502" s="1" t="n">
        <x:v>6</x:v>
      </x:c>
      <x:c r="D6502" s="12" t="n">
        <x:v>0</x:v>
      </x:c>
      <x:c r="E6502" s="12" t="n">
        <x:v>0.2641666666666667</x:v>
      </x:c>
      <x:c r="F6502" s="12" t="n">
        <x:v>0.2635833333333333</x:v>
      </x:c>
      <x:c r="G6502" s="12" t="n">
        <x:v>0</x:v>
      </x:c>
      <x:c r="H6502" s="1" t="n">
        <x:f>'Historical prices'!E6502</x:f>
        <x:v>1.05</x:v>
      </x:c>
      <x:c r="I6502" s="6" t="n">
        <x:f>'Historical prices'!D6502</x:f>
        <x:v>0.042800000000000005</x:v>
      </x:c>
      <x:c r="J6502" s="13" t="n">
        <x:f>D6502*I6502*H6502</x:f>
        <x:v>0</x:v>
      </x:c>
      <x:c r="K6502" s="13" t="n">
        <x:f>E6502*I6502*H6502</x:f>
        <x:v>0.011871650000000004</x:v>
      </x:c>
      <x:c r="L6502" s="1" t="str">
        <x:f>TEXT(A6502,"mmm yyyy")</x:f>
        <x:v>Sep 2026</x:v>
      </x:c>
    </x:row>
    <x:row r="6503" ht="21" customHeight="1">
      <x:c r="A6503" s="10" t="n">
        <x:v>46283</x:v>
      </x:c>
      <x:c r="B6503" s="1" t="n">
        <x:v>23.5</x:v>
      </x:c>
      <x:c r="C6503" s="1" t="n">
        <x:v>6</x:v>
      </x:c>
      <x:c r="D6503" s="12" t="n">
        <x:v>0</x:v>
      </x:c>
      <x:c r="E6503" s="12" t="n">
        <x:v>0.24083333333333334</x:v>
      </x:c>
      <x:c r="F6503" s="12" t="n">
        <x:v>0.24066666666666664</x:v>
      </x:c>
      <x:c r="G6503" s="12" t="n">
        <x:v>0</x:v>
      </x:c>
      <x:c r="H6503" s="1" t="n">
        <x:f>'Historical prices'!E6503</x:f>
        <x:v>1.05</x:v>
      </x:c>
      <x:c r="I6503" s="6" t="n">
        <x:f>'Historical prices'!D6503</x:f>
        <x:v>0.006500000000000001</x:v>
      </x:c>
      <x:c r="J6503" s="13" t="n">
        <x:f>D6503*I6503*H6503</x:f>
        <x:v>0</x:v>
      </x:c>
      <x:c r="K6503" s="13" t="n">
        <x:f>E6503*I6503*H6503</x:f>
        <x:v>0.0016436875000000002</x:v>
      </x:c>
      <x:c r="L6503" s="1" t="str">
        <x:f>TEXT(A6503,"mmm yyyy")</x:f>
        <x:v>Sep 2026</x:v>
      </x:c>
    </x:row>
    <x:row r="6504" ht="21" customHeight="1">
      <x:c r="A6504" s="10" t="n">
        <x:v>46284</x:v>
      </x:c>
      <x:c r="B6504" s="1" t="n">
        <x:v>0</x:v>
      </x:c>
      <x:c r="C6504" s="1" t="n">
        <x:v>6</x:v>
      </x:c>
      <x:c r="D6504" s="12" t="n">
        <x:v>0</x:v>
      </x:c>
      <x:c r="E6504" s="12" t="n">
        <x:v>0.2971666666666667</x:v>
      </x:c>
      <x:c r="F6504" s="12" t="n">
        <x:v>0.2968333333333333</x:v>
      </x:c>
      <x:c r="G6504" s="12" t="n">
        <x:v>0</x:v>
      </x:c>
      <x:c r="H6504" s="1" t="n">
        <x:f>'Historical prices'!E6504</x:f>
        <x:v>1.05</x:v>
      </x:c>
      <x:c r="I6504" s="6" t="n">
        <x:f>'Historical prices'!D6504</x:f>
        <x:v>0.0348</x:v>
      </x:c>
      <x:c r="J6504" s="13" t="n">
        <x:f>D6504*I6504*H6504</x:f>
        <x:v>0</x:v>
      </x:c>
      <x:c r="K6504" s="13" t="n">
        <x:f>E6504*I6504*H6504</x:f>
        <x:v>0.01085847</x:v>
      </x:c>
      <x:c r="L6504" s="1" t="str">
        <x:f>TEXT(A6504,"mmm yyyy")</x:f>
        <x:v>Sep 2026</x:v>
      </x:c>
    </x:row>
    <x:row r="6505" ht="21" customHeight="1">
      <x:c r="A6505" s="10" t="n">
        <x:v>46284</x:v>
      </x:c>
      <x:c r="B6505" s="1" t="n">
        <x:v>0.5</x:v>
      </x:c>
      <x:c r="C6505" s="1" t="n">
        <x:v>6</x:v>
      </x:c>
      <x:c r="D6505" s="12" t="n">
        <x:v>0</x:v>
      </x:c>
      <x:c r="E6505" s="12" t="n">
        <x:v>0.23500000000000001</x:v>
      </x:c>
      <x:c r="F6505" s="12" t="n">
        <x:v>0.23375</x:v>
      </x:c>
      <x:c r="G6505" s="12" t="n">
        <x:v>0</x:v>
      </x:c>
      <x:c r="H6505" s="1" t="n">
        <x:f>'Historical prices'!E6505</x:f>
        <x:v>1.05</x:v>
      </x:c>
      <x:c r="I6505" s="6" t="n">
        <x:f>'Historical prices'!D6505</x:f>
        <x:v>0.0044</x:v>
      </x:c>
      <x:c r="J6505" s="13" t="n">
        <x:f>D6505*I6505*H6505</x:f>
        <x:v>0</x:v>
      </x:c>
      <x:c r="K6505" s="13" t="n">
        <x:f>E6505*I6505*H6505</x:f>
        <x:v>0.0010857000000000002</x:v>
      </x:c>
      <x:c r="L6505" s="1" t="str">
        <x:f>TEXT(A6505,"mmm yyyy")</x:f>
        <x:v>Sep 2026</x:v>
      </x:c>
    </x:row>
    <x:row r="6506" ht="21" customHeight="1">
      <x:c r="A6506" s="10" t="n">
        <x:v>46284</x:v>
      </x:c>
      <x:c r="B6506" s="1" t="n">
        <x:v>1</x:v>
      </x:c>
      <x:c r="C6506" s="1" t="n">
        <x:v>6</x:v>
      </x:c>
      <x:c r="D6506" s="12" t="n">
        <x:v>0</x:v>
      </x:c>
      <x:c r="E6506" s="12" t="n">
        <x:v>0.23283333333333334</x:v>
      </x:c>
      <x:c r="F6506" s="12" t="n">
        <x:v>0.23249999999999998</x:v>
      </x:c>
      <x:c r="G6506" s="12" t="n">
        <x:v>0</x:v>
      </x:c>
      <x:c r="H6506" s="1" t="n">
        <x:f>'Historical prices'!E6506</x:f>
        <x:v>1.05</x:v>
      </x:c>
      <x:c r="I6506" s="6" t="n">
        <x:f>'Historical prices'!D6506</x:f>
        <x:v>-0.0002</x:v>
      </x:c>
      <x:c r="J6506" s="13" t="n">
        <x:f>D6506*I6506*H6506</x:f>
        <x:v>0</x:v>
      </x:c>
      <x:c r="K6506" s="13" t="n">
        <x:f>E6506*I6506*H6506</x:f>
        <x:v>-0.000048895000000000005</x:v>
      </x:c>
      <x:c r="L6506" s="1" t="str">
        <x:f>TEXT(A6506,"mmm yyyy")</x:f>
        <x:v>Sep 2026</x:v>
      </x:c>
    </x:row>
    <x:row r="6507" ht="21" customHeight="1">
      <x:c r="A6507" s="10" t="n">
        <x:v>46284</x:v>
      </x:c>
      <x:c r="B6507" s="1" t="n">
        <x:v>1.5</x:v>
      </x:c>
      <x:c r="C6507" s="1" t="n">
        <x:v>6</x:v>
      </x:c>
      <x:c r="D6507" s="12" t="n">
        <x:v>0</x:v>
      </x:c>
      <x:c r="E6507" s="12" t="n">
        <x:v>0.2689166666666667</x:v>
      </x:c>
      <x:c r="F6507" s="12" t="n">
        <x:v>0.2674166666666667</x:v>
      </x:c>
      <x:c r="G6507" s="12" t="n">
        <x:v>0</x:v>
      </x:c>
      <x:c r="H6507" s="1" t="n">
        <x:f>'Historical prices'!E6507</x:f>
        <x:v>1.05</x:v>
      </x:c>
      <x:c r="I6507" s="6" t="n">
        <x:f>'Historical prices'!D6507</x:f>
        <x:v>-0.0355</x:v>
      </x:c>
      <x:c r="J6507" s="13" t="n">
        <x:f>D6507*I6507*H6507</x:f>
        <x:v>0</x:v>
      </x:c>
      <x:c r="K6507" s="13" t="n">
        <x:f>E6507*I6507*H6507</x:f>
        <x:v>-0.01002386875</x:v>
      </x:c>
      <x:c r="L6507" s="1" t="str">
        <x:f>TEXT(A6507,"mmm yyyy")</x:f>
        <x:v>Sep 2026</x:v>
      </x:c>
    </x:row>
    <x:row r="6508" ht="21" customHeight="1">
      <x:c r="A6508" s="10" t="n">
        <x:v>46284</x:v>
      </x:c>
      <x:c r="B6508" s="1" t="n">
        <x:v>2</x:v>
      </x:c>
      <x:c r="C6508" s="1" t="n">
        <x:v>6</x:v>
      </x:c>
      <x:c r="D6508" s="12" t="n">
        <x:v>0</x:v>
      </x:c>
      <x:c r="E6508" s="12" t="n">
        <x:v>0.288</x:v>
      </x:c>
      <x:c r="F6508" s="12" t="n">
        <x:v>0.2876666666666667</x:v>
      </x:c>
      <x:c r="G6508" s="12" t="n">
        <x:v>0</x:v>
      </x:c>
      <x:c r="H6508" s="1" t="n">
        <x:f>'Historical prices'!E6508</x:f>
        <x:v>1.05</x:v>
      </x:c>
      <x:c r="I6508" s="6" t="n">
        <x:f>'Historical prices'!D6508</x:f>
        <x:v>-0.013000000000000001</x:v>
      </x:c>
      <x:c r="J6508" s="13" t="n">
        <x:f>D6508*I6508*H6508</x:f>
        <x:v>0</x:v>
      </x:c>
      <x:c r="K6508" s="13" t="n">
        <x:f>E6508*I6508*H6508</x:f>
        <x:v>-0.0039312</x:v>
      </x:c>
      <x:c r="L6508" s="1" t="str">
        <x:f>TEXT(A6508,"mmm yyyy")</x:f>
        <x:v>Sep 2026</x:v>
      </x:c>
    </x:row>
    <x:row r="6509" ht="21" customHeight="1">
      <x:c r="A6509" s="10" t="n">
        <x:v>46284</x:v>
      </x:c>
      <x:c r="B6509" s="1" t="n">
        <x:v>2.5</x:v>
      </x:c>
      <x:c r="C6509" s="1" t="n">
        <x:v>6</x:v>
      </x:c>
      <x:c r="D6509" s="12" t="n">
        <x:v>0</x:v>
      </x:c>
      <x:c r="E6509" s="12" t="n">
        <x:v>0.23</x:v>
      </x:c>
      <x:c r="F6509" s="12" t="n">
        <x:v>0.22966666666666666</x:v>
      </x:c>
      <x:c r="G6509" s="12" t="n">
        <x:v>0</x:v>
      </x:c>
      <x:c r="H6509" s="1" t="n">
        <x:f>'Historical prices'!E6509</x:f>
        <x:v>1.05</x:v>
      </x:c>
      <x:c r="I6509" s="6" t="n">
        <x:f>'Historical prices'!D6509</x:f>
        <x:v>-0.018799999999999997</x:v>
      </x:c>
      <x:c r="J6509" s="13" t="n">
        <x:f>D6509*I6509*H6509</x:f>
        <x:v>0</x:v>
      </x:c>
      <x:c r="K6509" s="13" t="n">
        <x:f>E6509*I6509*H6509</x:f>
        <x:v>-0.0045402</x:v>
      </x:c>
      <x:c r="L6509" s="1" t="str">
        <x:f>TEXT(A6509,"mmm yyyy")</x:f>
        <x:v>Sep 2026</x:v>
      </x:c>
    </x:row>
    <x:row r="6510" ht="21" customHeight="1">
      <x:c r="A6510" s="10" t="n">
        <x:v>46284</x:v>
      </x:c>
      <x:c r="B6510" s="1" t="n">
        <x:v>3</x:v>
      </x:c>
      <x:c r="C6510" s="1" t="n">
        <x:v>6</x:v>
      </x:c>
      <x:c r="D6510" s="12" t="n">
        <x:v>3.80525</x:v>
      </x:c>
      <x:c r="E6510" s="12" t="n">
        <x:v>0.46308333333333335</x:v>
      </x:c>
      <x:c r="F6510" s="12" t="n">
        <x:v>0.036833333333333336</x:v>
      </x:c>
      <x:c r="G6510" s="12" t="n">
        <x:v>3.3789999999999996</x:v>
      </x:c>
      <x:c r="H6510" s="1" t="n">
        <x:f>'Historical prices'!E6510</x:f>
        <x:v>1.05</x:v>
      </x:c>
      <x:c r="I6510" s="6" t="n">
        <x:f>'Historical prices'!D6510</x:f>
        <x:v>-0.041100000000000005</x:v>
      </x:c>
      <x:c r="J6510" s="13" t="n">
        <x:f>D6510*I6510*H6510</x:f>
        <x:v>-0.16421556375000002</x:v>
      </x:c>
      <x:c r="K6510" s="13" t="n">
        <x:f>E6510*I6510*H6510</x:f>
        <x:v>-0.019984361250000006</x:v>
      </x:c>
      <x:c r="L6510" s="1" t="str">
        <x:f>TEXT(A6510,"mmm yyyy")</x:f>
        <x:v>Sep 2026</x:v>
      </x:c>
    </x:row>
    <x:row r="6511" ht="21" customHeight="1">
      <x:c r="A6511" s="10" t="n">
        <x:v>46284</x:v>
      </x:c>
      <x:c r="B6511" s="1" t="n">
        <x:v>3.5</x:v>
      </x:c>
      <x:c r="C6511" s="1" t="n">
        <x:v>6</x:v>
      </x:c>
      <x:c r="D6511" s="12" t="n">
        <x:v>3.65925</x:v>
      </x:c>
      <x:c r="E6511" s="12" t="n">
        <x:v>0.41525</x:v>
      </x:c>
      <x:c r="F6511" s="12" t="n">
        <x:v>0</x:v>
      </x:c>
      <x:c r="G6511" s="12" t="n">
        <x:v>3.2439999999999998</x:v>
      </x:c>
      <x:c r="H6511" s="1" t="n">
        <x:f>'Historical prices'!E6511</x:f>
        <x:v>1.05</x:v>
      </x:c>
      <x:c r="I6511" s="6" t="n">
        <x:f>'Historical prices'!D6511</x:f>
        <x:v>-0.038900000000000004</x:v>
      </x:c>
      <x:c r="J6511" s="13" t="n">
        <x:f>D6511*I6511*H6511</x:f>
        <x:v>-0.14946206625000003</x:v>
      </x:c>
      <x:c r="K6511" s="13" t="n">
        <x:f>E6511*I6511*H6511</x:f>
        <x:v>-0.016960886250000005</x:v>
      </x:c>
      <x:c r="L6511" s="1" t="str">
        <x:f>TEXT(A6511,"mmm yyyy")</x:f>
        <x:v>Sep 2026</x:v>
      </x:c>
    </x:row>
    <x:row r="6512" ht="21" customHeight="1">
      <x:c r="A6512" s="10" t="n">
        <x:v>46284</x:v>
      </x:c>
      <x:c r="B6512" s="1" t="n">
        <x:v>4</x:v>
      </x:c>
      <x:c r="C6512" s="1" t="n">
        <x:v>6</x:v>
      </x:c>
      <x:c r="D6512" s="12" t="n">
        <x:v>0.15575</x:v>
      </x:c>
      <x:c r="E6512" s="12" t="n">
        <x:v>0.2808333333333334</x:v>
      </x:c>
      <x:c r="F6512" s="12" t="n">
        <x:v>0.23741666666666666</x:v>
      </x:c>
      <x:c r="G6512" s="12" t="n">
        <x:v>0.113</x:v>
      </x:c>
      <x:c r="H6512" s="1" t="n">
        <x:f>'Historical prices'!E6512</x:f>
        <x:v>1.05</x:v>
      </x:c>
      <x:c r="I6512" s="6" t="n">
        <x:f>'Historical prices'!D6512</x:f>
        <x:v>-0.0355</x:v>
      </x:c>
      <x:c r="J6512" s="13" t="n">
        <x:f>D6512*I6512*H6512</x:f>
        <x:v>-0.00580558125</x:v>
      </x:c>
      <x:c r="K6512" s="13" t="n">
        <x:f>E6512*I6512*H6512</x:f>
        <x:v>-0.010468062500000002</x:v>
      </x:c>
      <x:c r="L6512" s="1" t="str">
        <x:f>TEXT(A6512,"mmm yyyy")</x:f>
        <x:v>Sep 2026</x:v>
      </x:c>
    </x:row>
    <x:row r="6513" ht="21" customHeight="1">
      <x:c r="A6513" s="10" t="n">
        <x:v>46284</x:v>
      </x:c>
      <x:c r="B6513" s="1" t="n">
        <x:v>4.5</x:v>
      </x:c>
      <x:c r="C6513" s="1" t="n">
        <x:v>6</x:v>
      </x:c>
      <x:c r="D6513" s="12" t="n">
        <x:v>0</x:v>
      </x:c>
      <x:c r="E6513" s="12" t="n">
        <x:v>0.21766666666666667</x:v>
      </x:c>
      <x:c r="F6513" s="12" t="n">
        <x:v>0.21741666666666665</x:v>
      </x:c>
      <x:c r="G6513" s="12" t="n">
        <x:v>0</x:v>
      </x:c>
      <x:c r="H6513" s="1" t="n">
        <x:f>'Historical prices'!E6513</x:f>
        <x:v>1.05</x:v>
      </x:c>
      <x:c r="I6513" s="6" t="n">
        <x:f>'Historical prices'!D6513</x:f>
        <x:v>-0.0368</x:v>
      </x:c>
      <x:c r="J6513" s="13" t="n">
        <x:f>D6513*I6513*H6513</x:f>
        <x:v>0</x:v>
      </x:c>
      <x:c r="K6513" s="13" t="n">
        <x:f>E6513*I6513*H6513</x:f>
        <x:v>-0.00841064</x:v>
      </x:c>
      <x:c r="L6513" s="1" t="str">
        <x:f>TEXT(A6513,"mmm yyyy")</x:f>
        <x:v>Sep 2026</x:v>
      </x:c>
    </x:row>
    <x:row r="6514" ht="21" customHeight="1">
      <x:c r="A6514" s="10" t="n">
        <x:v>46284</x:v>
      </x:c>
      <x:c r="B6514" s="1" t="n">
        <x:v>5</x:v>
      </x:c>
      <x:c r="C6514" s="1" t="n">
        <x:v>6</x:v>
      </x:c>
      <x:c r="D6514" s="12" t="n">
        <x:v>0</x:v>
      </x:c>
      <x:c r="E6514" s="12" t="n">
        <x:v>0.28241666666666665</x:v>
      </x:c>
      <x:c r="F6514" s="12" t="n">
        <x:v>0.28175</x:v>
      </x:c>
      <x:c r="G6514" s="12" t="n">
        <x:v>0</x:v>
      </x:c>
      <x:c r="H6514" s="1" t="n">
        <x:f>'Historical prices'!E6514</x:f>
        <x:v>1.05</x:v>
      </x:c>
      <x:c r="I6514" s="6" t="n">
        <x:f>'Historical prices'!D6514</x:f>
        <x:v>-0.0352</x:v>
      </x:c>
      <x:c r="J6514" s="13" t="n">
        <x:f>D6514*I6514*H6514</x:f>
        <x:v>0</x:v>
      </x:c>
      <x:c r="K6514" s="13" t="n">
        <x:f>E6514*I6514*H6514</x:f>
        <x:v>-0.01043812</x:v>
      </x:c>
      <x:c r="L6514" s="1" t="str">
        <x:f>TEXT(A6514,"mmm yyyy")</x:f>
        <x:v>Sep 2026</x:v>
      </x:c>
    </x:row>
    <x:row r="6515" ht="21" customHeight="1">
      <x:c r="A6515" s="10" t="n">
        <x:v>46284</x:v>
      </x:c>
      <x:c r="B6515" s="1" t="n">
        <x:v>5.5</x:v>
      </x:c>
      <x:c r="C6515" s="1" t="n">
        <x:v>6</x:v>
      </x:c>
      <x:c r="D6515" s="12" t="n">
        <x:v>1.19025</x:v>
      </x:c>
      <x:c r="E6515" s="12" t="n">
        <x:v>0.3139166666666667</x:v>
      </x:c>
      <x:c r="F6515" s="12" t="n">
        <x:v>0.056666666666666664</x:v>
      </x:c>
      <x:c r="G6515" s="12" t="n">
        <x:v>0.932</x:v>
      </x:c>
      <x:c r="H6515" s="1" t="n">
        <x:f>'Historical prices'!E6515</x:f>
        <x:v>1.05</x:v>
      </x:c>
      <x:c r="I6515" s="6" t="n">
        <x:f>'Historical prices'!D6515</x:f>
        <x:v>-0.040999999999999995</x:v>
      </x:c>
      <x:c r="J6515" s="13" t="n">
        <x:f>D6515*I6515*H6515</x:f>
        <x:v>-0.0512402625</x:v>
      </x:c>
      <x:c r="K6515" s="13" t="n">
        <x:f>E6515*I6515*H6515</x:f>
        <x:v>-0.0135141125</x:v>
      </x:c>
      <x:c r="L6515" s="1" t="str">
        <x:f>TEXT(A6515,"mmm yyyy")</x:f>
        <x:v>Sep 2026</x:v>
      </x:c>
    </x:row>
    <x:row r="6516" ht="21" customHeight="1">
      <x:c r="A6516" s="10" t="n">
        <x:v>46284</x:v>
      </x:c>
      <x:c r="B6516" s="1" t="n">
        <x:v>6</x:v>
      </x:c>
      <x:c r="C6516" s="1" t="n">
        <x:v>6</x:v>
      </x:c>
      <x:c r="D6516" s="12" t="n">
        <x:v>0.04475</x:v>
      </x:c>
      <x:c r="E6516" s="12" t="n">
        <x:v>0.2634166666666667</x:v>
      </x:c>
      <x:c r="F6516" s="12" t="n">
        <x:v>0.2151666666666667</x:v>
      </x:c>
      <x:c r="G6516" s="12" t="n">
        <x:v>0</x:v>
      </x:c>
      <x:c r="H6516" s="1" t="n">
        <x:f>'Historical prices'!E6516</x:f>
        <x:v>1.05</x:v>
      </x:c>
      <x:c r="I6516" s="6" t="n">
        <x:f>'Historical prices'!D6516</x:f>
        <x:v>-0.024700000000000003</x:v>
      </x:c>
      <x:c r="J6516" s="13" t="n">
        <x:f>D6516*I6516*H6516</x:f>
        <x:v>-0.0011605912500000002</x:v>
      </x:c>
      <x:c r="K6516" s="13" t="n">
        <x:f>E6516*I6516*H6516</x:f>
        <x:v>-0.006831711250000002</x:v>
      </x:c>
      <x:c r="L6516" s="1" t="str">
        <x:f>TEXT(A6516,"mmm yyyy")</x:f>
        <x:v>Sep 2026</x:v>
      </x:c>
    </x:row>
    <x:row r="6517" ht="21" customHeight="1">
      <x:c r="A6517" s="10" t="n">
        <x:v>46284</x:v>
      </x:c>
      <x:c r="B6517" s="1" t="n">
        <x:v>6.5</x:v>
      </x:c>
      <x:c r="C6517" s="1" t="n">
        <x:v>6</x:v>
      </x:c>
      <x:c r="D6517" s="12" t="n">
        <x:v>0.1185</x:v>
      </x:c>
      <x:c r="E6517" s="12" t="n">
        <x:v>0.28025</x:v>
      </x:c>
      <x:c r="F6517" s="12" t="n">
        <x:v>0.15191666666666667</x:v>
      </x:c>
      <x:c r="G6517" s="12" t="n">
        <x:v>0</x:v>
      </x:c>
      <x:c r="H6517" s="1" t="n">
        <x:f>'Historical prices'!E6517</x:f>
        <x:v>1.05</x:v>
      </x:c>
      <x:c r="I6517" s="6" t="n">
        <x:f>'Historical prices'!D6517</x:f>
        <x:v>-0.027999999999999997</x:v>
      </x:c>
      <x:c r="J6517" s="13" t="n">
        <x:f>D6517*I6517*H6517</x:f>
        <x:v>-0.0034838999999999994</x:v>
      </x:c>
      <x:c r="K6517" s="13" t="n">
        <x:f>E6517*I6517*H6517</x:f>
        <x:v>-0.00823935</x:v>
      </x:c>
      <x:c r="L6517" s="1" t="str">
        <x:f>TEXT(A6517,"mmm yyyy")</x:f>
        <x:v>Sep 2026</x:v>
      </x:c>
    </x:row>
    <x:row r="6518" ht="21" customHeight="1">
      <x:c r="A6518" s="10" t="n">
        <x:v>46284</x:v>
      </x:c>
      <x:c r="B6518" s="1" t="n">
        <x:v>7</x:v>
      </x:c>
      <x:c r="C6518" s="1" t="n">
        <x:v>6</x:v>
      </x:c>
      <x:c r="D6518" s="12" t="n">
        <x:v>0</x:v>
      </x:c>
      <x:c r="E6518" s="12" t="n">
        <x:v>0.318</x:v>
      </x:c>
      <x:c r="F6518" s="12" t="n">
        <x:v>0.31775000000000003</x:v>
      </x:c>
      <x:c r="G6518" s="12" t="n">
        <x:v>0</x:v>
      </x:c>
      <x:c r="H6518" s="1" t="n">
        <x:f>'Historical prices'!E6518</x:f>
        <x:v>1.05</x:v>
      </x:c>
      <x:c r="I6518" s="6" t="n">
        <x:f>'Historical prices'!D6518</x:f>
        <x:v>-0.0212</x:v>
      </x:c>
      <x:c r="J6518" s="13" t="n">
        <x:f>D6518*I6518*H6518</x:f>
        <x:v>0</x:v>
      </x:c>
      <x:c r="K6518" s="13" t="n">
        <x:f>E6518*I6518*H6518</x:f>
        <x:v>-0.00707868</x:v>
      </x:c>
      <x:c r="L6518" s="1" t="str">
        <x:f>TEXT(A6518,"mmm yyyy")</x:f>
        <x:v>Sep 2026</x:v>
      </x:c>
    </x:row>
    <x:row r="6519" ht="21" customHeight="1">
      <x:c r="A6519" s="10" t="n">
        <x:v>46284</x:v>
      </x:c>
      <x:c r="B6519" s="1" t="n">
        <x:v>7.5</x:v>
      </x:c>
      <x:c r="C6519" s="1" t="n">
        <x:v>6</x:v>
      </x:c>
      <x:c r="D6519" s="12" t="n">
        <x:v>0</x:v>
      </x:c>
      <x:c r="E6519" s="12" t="n">
        <x:v>0.26133333333333336</x:v>
      </x:c>
      <x:c r="F6519" s="12" t="n">
        <x:v>0.26075</x:v>
      </x:c>
      <x:c r="G6519" s="12" t="n">
        <x:v>0</x:v>
      </x:c>
      <x:c r="H6519" s="1" t="n">
        <x:f>'Historical prices'!E6519</x:f>
        <x:v>1.05</x:v>
      </x:c>
      <x:c r="I6519" s="6" t="n">
        <x:f>'Historical prices'!D6519</x:f>
        <x:v>-0.023399999999999997</x:v>
      </x:c>
      <x:c r="J6519" s="13" t="n">
        <x:f>D6519*I6519*H6519</x:f>
        <x:v>0</x:v>
      </x:c>
      <x:c r="K6519" s="13" t="n">
        <x:f>E6519*I6519*H6519</x:f>
        <x:v>-0.006420960000000001</x:v>
      </x:c>
      <x:c r="L6519" s="1" t="str">
        <x:f>TEXT(A6519,"mmm yyyy")</x:f>
        <x:v>Sep 2026</x:v>
      </x:c>
    </x:row>
    <x:row r="6520" ht="21" customHeight="1">
      <x:c r="A6520" s="10" t="n">
        <x:v>46284</x:v>
      </x:c>
      <x:c r="B6520" s="1" t="n">
        <x:v>8</x:v>
      </x:c>
      <x:c r="C6520" s="1" t="n">
        <x:v>6</x:v>
      </x:c>
      <x:c r="D6520" s="12" t="n">
        <x:v>0</x:v>
      </x:c>
      <x:c r="E6520" s="12" t="n">
        <x:v>0.29008333333333336</x:v>
      </x:c>
      <x:c r="F6520" s="12" t="n">
        <x:v>0.28858333333333336</x:v>
      </x:c>
      <x:c r="G6520" s="12" t="n">
        <x:v>0</x:v>
      </x:c>
      <x:c r="H6520" s="1" t="n">
        <x:f>'Historical prices'!E6520</x:f>
        <x:v>1.05</x:v>
      </x:c>
      <x:c r="I6520" s="6" t="n">
        <x:f>'Historical prices'!D6520</x:f>
        <x:v>-0.0137</x:v>
      </x:c>
      <x:c r="J6520" s="13" t="n">
        <x:f>D6520*I6520*H6520</x:f>
        <x:v>0</x:v>
      </x:c>
      <x:c r="K6520" s="13" t="n">
        <x:f>E6520*I6520*H6520</x:f>
        <x:v>-0.00417284875</x:v>
      </x:c>
      <x:c r="L6520" s="1" t="str">
        <x:f>TEXT(A6520,"mmm yyyy")</x:f>
        <x:v>Sep 2026</x:v>
      </x:c>
    </x:row>
    <x:row r="6521" ht="21" customHeight="1">
      <x:c r="A6521" s="10" t="n">
        <x:v>46284</x:v>
      </x:c>
      <x:c r="B6521" s="1" t="n">
        <x:v>8.5</x:v>
      </x:c>
      <x:c r="C6521" s="1" t="n">
        <x:v>6</x:v>
      </x:c>
      <x:c r="D6521" s="12" t="n">
        <x:v>0</x:v>
      </x:c>
      <x:c r="E6521" s="12" t="n">
        <x:v>0.26916666666666667</x:v>
      </x:c>
      <x:c r="F6521" s="12" t="n">
        <x:v>0.2685833333333333</x:v>
      </x:c>
      <x:c r="G6521" s="12" t="n">
        <x:v>0</x:v>
      </x:c>
      <x:c r="H6521" s="1" t="n">
        <x:f>'Historical prices'!E6521</x:f>
        <x:v>1.05</x:v>
      </x:c>
      <x:c r="I6521" s="6" t="n">
        <x:f>'Historical prices'!D6521</x:f>
        <x:v>-0.0063</x:v>
      </x:c>
      <x:c r="J6521" s="13" t="n">
        <x:f>D6521*I6521*H6521</x:f>
        <x:v>0</x:v>
      </x:c>
      <x:c r="K6521" s="13" t="n">
        <x:f>E6521*I6521*H6521</x:f>
        <x:v>-0.0017805375</x:v>
      </x:c>
      <x:c r="L6521" s="1" t="str">
        <x:f>TEXT(A6521,"mmm yyyy")</x:f>
        <x:v>Sep 2026</x:v>
      </x:c>
    </x:row>
    <x:row r="6522" ht="21" customHeight="1">
      <x:c r="A6522" s="10" t="n">
        <x:v>46284</x:v>
      </x:c>
      <x:c r="B6522" s="1" t="n">
        <x:v>9</x:v>
      </x:c>
      <x:c r="C6522" s="1" t="n">
        <x:v>6</x:v>
      </x:c>
      <x:c r="D6522" s="12" t="n">
        <x:v>0</x:v>
      </x:c>
      <x:c r="E6522" s="12" t="n">
        <x:v>0.23025</x:v>
      </x:c>
      <x:c r="F6522" s="12" t="n">
        <x:v>0.2295</x:v>
      </x:c>
      <x:c r="G6522" s="12" t="n">
        <x:v>0</x:v>
      </x:c>
      <x:c r="H6522" s="1" t="n">
        <x:f>'Historical prices'!E6522</x:f>
        <x:v>1.05</x:v>
      </x:c>
      <x:c r="I6522" s="6" t="n">
        <x:f>'Historical prices'!D6522</x:f>
        <x:v>0.0027</x:v>
      </x:c>
      <x:c r="J6522" s="13" t="n">
        <x:f>D6522*I6522*H6522</x:f>
        <x:v>0</x:v>
      </x:c>
      <x:c r="K6522" s="13" t="n">
        <x:f>E6522*I6522*H6522</x:f>
        <x:v>0.0006527587500000001</x:v>
      </x:c>
      <x:c r="L6522" s="1" t="str">
        <x:f>TEXT(A6522,"mmm yyyy")</x:f>
        <x:v>Sep 2026</x:v>
      </x:c>
    </x:row>
    <x:row r="6523" ht="21" customHeight="1">
      <x:c r="A6523" s="10" t="n">
        <x:v>46284</x:v>
      </x:c>
      <x:c r="B6523" s="1" t="n">
        <x:v>9.5</x:v>
      </x:c>
      <x:c r="C6523" s="1" t="n">
        <x:v>6</x:v>
      </x:c>
      <x:c r="D6523" s="12" t="n">
        <x:v>0</x:v>
      </x:c>
      <x:c r="E6523" s="12" t="n">
        <x:v>0.2589166666666667</x:v>
      </x:c>
      <x:c r="F6523" s="12" t="n">
        <x:v>0.2583333333333333</x:v>
      </x:c>
      <x:c r="G6523" s="12" t="n">
        <x:v>0</x:v>
      </x:c>
      <x:c r="H6523" s="1" t="n">
        <x:f>'Historical prices'!E6523</x:f>
        <x:v>1.05</x:v>
      </x:c>
      <x:c r="I6523" s="6" t="n">
        <x:f>'Historical prices'!D6523</x:f>
        <x:v>-0.0015</x:v>
      </x:c>
      <x:c r="J6523" s="13" t="n">
        <x:f>D6523*I6523*H6523</x:f>
        <x:v>0</x:v>
      </x:c>
      <x:c r="K6523" s="13" t="n">
        <x:f>E6523*I6523*H6523</x:f>
        <x:v>-0.0004077937500000001</x:v>
      </x:c>
      <x:c r="L6523" s="1" t="str">
        <x:f>TEXT(A6523,"mmm yyyy")</x:f>
        <x:v>Sep 2026</x:v>
      </x:c>
    </x:row>
    <x:row r="6524" ht="21" customHeight="1">
      <x:c r="A6524" s="10" t="n">
        <x:v>46284</x:v>
      </x:c>
      <x:c r="B6524" s="1" t="n">
        <x:v>10</x:v>
      </x:c>
      <x:c r="C6524" s="1" t="n">
        <x:v>6</x:v>
      </x:c>
      <x:c r="D6524" s="12" t="n">
        <x:v>0</x:v>
      </x:c>
      <x:c r="E6524" s="12" t="n">
        <x:v>0.25808333333333333</x:v>
      </x:c>
      <x:c r="F6524" s="12" t="n">
        <x:v>0.25775</x:v>
      </x:c>
      <x:c r="G6524" s="12" t="n">
        <x:v>0</x:v>
      </x:c>
      <x:c r="H6524" s="1" t="n">
        <x:f>'Historical prices'!E6524</x:f>
        <x:v>1.05</x:v>
      </x:c>
      <x:c r="I6524" s="6" t="n">
        <x:f>'Historical prices'!D6524</x:f>
        <x:v>-0.0191</x:v>
      </x:c>
      <x:c r="J6524" s="13" t="n">
        <x:f>D6524*I6524*H6524</x:f>
        <x:v>0</x:v>
      </x:c>
      <x:c r="K6524" s="13" t="n">
        <x:f>E6524*I6524*H6524</x:f>
        <x:v>-0.00517586125</x:v>
      </x:c>
      <x:c r="L6524" s="1" t="str">
        <x:f>TEXT(A6524,"mmm yyyy")</x:f>
        <x:v>Sep 2026</x:v>
      </x:c>
    </x:row>
    <x:row r="6525" ht="21" customHeight="1">
      <x:c r="A6525" s="10" t="n">
        <x:v>46284</x:v>
      </x:c>
      <x:c r="B6525" s="1" t="n">
        <x:v>10.5</x:v>
      </x:c>
      <x:c r="C6525" s="1" t="n">
        <x:v>6</x:v>
      </x:c>
      <x:c r="D6525" s="12" t="n">
        <x:v>0</x:v>
      </x:c>
      <x:c r="E6525" s="12" t="n">
        <x:v>0.28200000000000003</x:v>
      </x:c>
      <x:c r="F6525" s="12" t="n">
        <x:v>0.281</x:v>
      </x:c>
      <x:c r="G6525" s="12" t="n">
        <x:v>0</x:v>
      </x:c>
      <x:c r="H6525" s="1" t="n">
        <x:f>'Historical prices'!E6525</x:f>
        <x:v>1.05</x:v>
      </x:c>
      <x:c r="I6525" s="6" t="n">
        <x:f>'Historical prices'!D6525</x:f>
        <x:v>-0.026000000000000002</x:v>
      </x:c>
      <x:c r="J6525" s="13" t="n">
        <x:f>D6525*I6525*H6525</x:f>
        <x:v>0</x:v>
      </x:c>
      <x:c r="K6525" s="13" t="n">
        <x:f>E6525*I6525*H6525</x:f>
        <x:v>-0.0076986000000000025</x:v>
      </x:c>
      <x:c r="L6525" s="1" t="str">
        <x:f>TEXT(A6525,"mmm yyyy")</x:f>
        <x:v>Sep 2026</x:v>
      </x:c>
    </x:row>
    <x:row r="6526" ht="21" customHeight="1">
      <x:c r="A6526" s="10" t="n">
        <x:v>46284</x:v>
      </x:c>
      <x:c r="B6526" s="1" t="n">
        <x:v>11</x:v>
      </x:c>
      <x:c r="C6526" s="1" t="n">
        <x:v>6</x:v>
      </x:c>
      <x:c r="D6526" s="12" t="n">
        <x:v>0</x:v>
      </x:c>
      <x:c r="E6526" s="12" t="n">
        <x:v>0.2235833333333333</x:v>
      </x:c>
      <x:c r="F6526" s="12" t="n">
        <x:v>0.22308333333333333</x:v>
      </x:c>
      <x:c r="G6526" s="12" t="n">
        <x:v>0</x:v>
      </x:c>
      <x:c r="H6526" s="1" t="n">
        <x:f>'Historical prices'!E6526</x:f>
        <x:v>1.05</x:v>
      </x:c>
      <x:c r="I6526" s="6" t="n">
        <x:f>'Historical prices'!D6526</x:f>
        <x:v>-0.027999999999999997</x:v>
      </x:c>
      <x:c r="J6526" s="13" t="n">
        <x:f>D6526*I6526*H6526</x:f>
        <x:v>0</x:v>
      </x:c>
      <x:c r="K6526" s="13" t="n">
        <x:f>E6526*I6526*H6526</x:f>
        <x:v>-0.006573349999999999</x:v>
      </x:c>
      <x:c r="L6526" s="1" t="str">
        <x:f>TEXT(A6526,"mmm yyyy")</x:f>
        <x:v>Sep 2026</x:v>
      </x:c>
    </x:row>
    <x:row r="6527" ht="21" customHeight="1">
      <x:c r="A6527" s="10" t="n">
        <x:v>46284</x:v>
      </x:c>
      <x:c r="B6527" s="1" t="n">
        <x:v>11.5</x:v>
      </x:c>
      <x:c r="C6527" s="1" t="n">
        <x:v>6</x:v>
      </x:c>
      <x:c r="D6527" s="12" t="n">
        <x:v>0</x:v>
      </x:c>
      <x:c r="E6527" s="12" t="n">
        <x:v>0.27749999999999997</x:v>
      </x:c>
      <x:c r="F6527" s="12" t="n">
        <x:v>0.27675</x:v>
      </x:c>
      <x:c r="G6527" s="12" t="n">
        <x:v>0</x:v>
      </x:c>
      <x:c r="H6527" s="1" t="n">
        <x:f>'Historical prices'!E6527</x:f>
        <x:v>1.05</x:v>
      </x:c>
      <x:c r="I6527" s="6" t="n">
        <x:f>'Historical prices'!D6527</x:f>
        <x:v>-0.0226</x:v>
      </x:c>
      <x:c r="J6527" s="13" t="n">
        <x:f>D6527*I6527*H6527</x:f>
        <x:v>0</x:v>
      </x:c>
      <x:c r="K6527" s="13" t="n">
        <x:f>E6527*I6527*H6527</x:f>
        <x:v>-0.006585074999999999</x:v>
      </x:c>
      <x:c r="L6527" s="1" t="str">
        <x:f>TEXT(A6527,"mmm yyyy")</x:f>
        <x:v>Sep 2026</x:v>
      </x:c>
    </x:row>
    <x:row r="6528" ht="21" customHeight="1">
      <x:c r="A6528" s="10" t="n">
        <x:v>46284</x:v>
      </x:c>
      <x:c r="B6528" s="1" t="n">
        <x:v>12</x:v>
      </x:c>
      <x:c r="C6528" s="1" t="n">
        <x:v>6</x:v>
      </x:c>
      <x:c r="D6528" s="12" t="n">
        <x:v>0</x:v>
      </x:c>
      <x:c r="E6528" s="12" t="n">
        <x:v>0.21091666666666667</x:v>
      </x:c>
      <x:c r="F6528" s="12" t="n">
        <x:v>0.21033333333333334</x:v>
      </x:c>
      <x:c r="G6528" s="12" t="n">
        <x:v>0</x:v>
      </x:c>
      <x:c r="H6528" s="1" t="n">
        <x:f>'Historical prices'!E6528</x:f>
        <x:v>1.05</x:v>
      </x:c>
      <x:c r="I6528" s="6" t="n">
        <x:f>'Historical prices'!D6528</x:f>
        <x:v>-0.0263</x:v>
      </x:c>
      <x:c r="J6528" s="13" t="n">
        <x:f>D6528*I6528*H6528</x:f>
        <x:v>0</x:v>
      </x:c>
      <x:c r="K6528" s="13" t="n">
        <x:f>E6528*I6528*H6528</x:f>
        <x:v>-0.005824463750000001</x:v>
      </x:c>
      <x:c r="L6528" s="1" t="str">
        <x:f>TEXT(A6528,"mmm yyyy")</x:f>
        <x:v>Sep 2026</x:v>
      </x:c>
    </x:row>
    <x:row r="6529" ht="21" customHeight="1">
      <x:c r="A6529" s="10" t="n">
        <x:v>46284</x:v>
      </x:c>
      <x:c r="B6529" s="1" t="n">
        <x:v>12.5</x:v>
      </x:c>
      <x:c r="C6529" s="1" t="n">
        <x:v>6</x:v>
      </x:c>
      <x:c r="D6529" s="12" t="n">
        <x:v>0</x:v>
      </x:c>
      <x:c r="E6529" s="12" t="n">
        <x:v>0.2668333333333333</x:v>
      </x:c>
      <x:c r="F6529" s="12" t="n">
        <x:v>0.26641666666666663</x:v>
      </x:c>
      <x:c r="G6529" s="12" t="n">
        <x:v>0</x:v>
      </x:c>
      <x:c r="H6529" s="1" t="n">
        <x:f>'Historical prices'!E6529</x:f>
        <x:v>1.05</x:v>
      </x:c>
      <x:c r="I6529" s="6" t="n">
        <x:f>'Historical prices'!D6529</x:f>
        <x:v>-0.0271</x:v>
      </x:c>
      <x:c r="J6529" s="13" t="n">
        <x:f>D6529*I6529*H6529</x:f>
        <x:v>0</x:v>
      </x:c>
      <x:c r="K6529" s="13" t="n">
        <x:f>E6529*I6529*H6529</x:f>
        <x:v>-0.007592742499999999</x:v>
      </x:c>
      <x:c r="L6529" s="1" t="str">
        <x:f>TEXT(A6529,"mmm yyyy")</x:f>
        <x:v>Sep 2026</x:v>
      </x:c>
    </x:row>
    <x:row r="6530" ht="21" customHeight="1">
      <x:c r="A6530" s="10" t="n">
        <x:v>46284</x:v>
      </x:c>
      <x:c r="B6530" s="1" t="n">
        <x:v>13</x:v>
      </x:c>
      <x:c r="C6530" s="1" t="n">
        <x:v>6</x:v>
      </x:c>
      <x:c r="D6530" s="12" t="n">
        <x:v>0</x:v>
      </x:c>
      <x:c r="E6530" s="12" t="n">
        <x:v>0.23308333333333334</x:v>
      </x:c>
      <x:c r="F6530" s="12" t="n">
        <x:v>0.23249999999999998</x:v>
      </x:c>
      <x:c r="G6530" s="12" t="n">
        <x:v>0</x:v>
      </x:c>
      <x:c r="H6530" s="1" t="n">
        <x:f>'Historical prices'!E6530</x:f>
        <x:v>1.05</x:v>
      </x:c>
      <x:c r="I6530" s="6" t="n">
        <x:f>'Historical prices'!D6530</x:f>
        <x:v>-0.030699999999999998</x:v>
      </x:c>
      <x:c r="J6530" s="13" t="n">
        <x:f>D6530*I6530*H6530</x:f>
        <x:v>0</x:v>
      </x:c>
      <x:c r="K6530" s="13" t="n">
        <x:f>E6530*I6530*H6530</x:f>
        <x:v>-0.00751344125</x:v>
      </x:c>
      <x:c r="L6530" s="1" t="str">
        <x:f>TEXT(A6530,"mmm yyyy")</x:f>
        <x:v>Sep 2026</x:v>
      </x:c>
    </x:row>
    <x:row r="6531" ht="21" customHeight="1">
      <x:c r="A6531" s="10" t="n">
        <x:v>46284</x:v>
      </x:c>
      <x:c r="B6531" s="1" t="n">
        <x:v>13.5</x:v>
      </x:c>
      <x:c r="C6531" s="1" t="n">
        <x:v>6</x:v>
      </x:c>
      <x:c r="D6531" s="12" t="n">
        <x:v>0</x:v>
      </x:c>
      <x:c r="E6531" s="12" t="n">
        <x:v>0.24416666666666667</x:v>
      </x:c>
      <x:c r="F6531" s="12" t="n">
        <x:v>0.24308333333333332</x:v>
      </x:c>
      <x:c r="G6531" s="12" t="n">
        <x:v>0</x:v>
      </x:c>
      <x:c r="H6531" s="1" t="n">
        <x:f>'Historical prices'!E6531</x:f>
        <x:v>1.05</x:v>
      </x:c>
      <x:c r="I6531" s="6" t="n">
        <x:f>'Historical prices'!D6531</x:f>
        <x:v>-0.0319</x:v>
      </x:c>
      <x:c r="J6531" s="13" t="n">
        <x:f>D6531*I6531*H6531</x:f>
        <x:v>0</x:v>
      </x:c>
      <x:c r="K6531" s="13" t="n">
        <x:f>E6531*I6531*H6531</x:f>
        <x:v>-0.0081783625</x:v>
      </x:c>
      <x:c r="L6531" s="1" t="str">
        <x:f>TEXT(A6531,"mmm yyyy")</x:f>
        <x:v>Sep 2026</x:v>
      </x:c>
    </x:row>
    <x:row r="6532" ht="21" customHeight="1">
      <x:c r="A6532" s="10" t="n">
        <x:v>46284</x:v>
      </x:c>
      <x:c r="B6532" s="1" t="n">
        <x:v>14</x:v>
      </x:c>
      <x:c r="C6532" s="1" t="n">
        <x:v>6</x:v>
      </x:c>
      <x:c r="D6532" s="12" t="n">
        <x:v>3.60175</x:v>
      </x:c>
      <x:c r="E6532" s="12" t="n">
        <x:v>0.3496666666666667</x:v>
      </x:c>
      <x:c r="F6532" s="12" t="n">
        <x:v>0.03791666666666667</x:v>
      </x:c>
      <x:c r="G6532" s="12" t="n">
        <x:v>3.29</x:v>
      </x:c>
      <x:c r="H6532" s="1" t="n">
        <x:f>'Historical prices'!E6532</x:f>
        <x:v>1.05</x:v>
      </x:c>
      <x:c r="I6532" s="6" t="n">
        <x:f>'Historical prices'!D6532</x:f>
        <x:v>-0.039</x:v>
      </x:c>
      <x:c r="J6532" s="13" t="n">
        <x:f>D6532*I6532*H6532</x:f>
        <x:v>-0.14749166249999998</x:v>
      </x:c>
      <x:c r="K6532" s="13" t="n">
        <x:f>E6532*I6532*H6532</x:f>
        <x:v>-0.014318850000000001</x:v>
      </x:c>
      <x:c r="L6532" s="1" t="str">
        <x:f>TEXT(A6532,"mmm yyyy")</x:f>
        <x:v>Sep 2026</x:v>
      </x:c>
    </x:row>
    <x:row r="6533" ht="21" customHeight="1">
      <x:c r="A6533" s="10" t="n">
        <x:v>46284</x:v>
      </x:c>
      <x:c r="B6533" s="1" t="n">
        <x:v>14.5</x:v>
      </x:c>
      <x:c r="C6533" s="1" t="n">
        <x:v>6</x:v>
      </x:c>
      <x:c r="D6533" s="12" t="n">
        <x:v>1.0735000000000001</x:v>
      </x:c>
      <x:c r="E6533" s="12" t="n">
        <x:v>0.23550000000000001</x:v>
      </x:c>
      <x:c r="F6533" s="12" t="n">
        <x:v>0</x:v>
      </x:c>
      <x:c r="G6533" s="12" t="n">
        <x:v>0.8420000000000001</x:v>
      </x:c>
      <x:c r="H6533" s="1" t="n">
        <x:f>'Historical prices'!E6533</x:f>
        <x:v>1.05</x:v>
      </x:c>
      <x:c r="I6533" s="6" t="n">
        <x:f>'Historical prices'!D6533</x:f>
        <x:v>-0.034</x:v>
      </x:c>
      <x:c r="J6533" s="13" t="n">
        <x:f>D6533*I6533*H6533</x:f>
        <x:v>-0.03832395</x:v>
      </x:c>
      <x:c r="K6533" s="13" t="n">
        <x:f>E6533*I6533*H6533</x:f>
        <x:v>-0.008407350000000001</x:v>
      </x:c>
      <x:c r="L6533" s="1" t="str">
        <x:f>TEXT(A6533,"mmm yyyy")</x:f>
        <x:v>Sep 2026</x:v>
      </x:c>
    </x:row>
    <x:row r="6534" ht="21" customHeight="1">
      <x:c r="A6534" s="10" t="n">
        <x:v>46284</x:v>
      </x:c>
      <x:c r="B6534" s="1" t="n">
        <x:v>15</x:v>
      </x:c>
      <x:c r="C6534" s="1" t="n">
        <x:v>6</x:v>
      </x:c>
      <x:c r="D6534" s="12" t="n">
        <x:v>0.031</x:v>
      </x:c>
      <x:c r="E6534" s="12" t="n">
        <x:v>0.22091666666666665</x:v>
      </x:c>
      <x:c r="F6534" s="12" t="n">
        <x:v>0.18758333333333335</x:v>
      </x:c>
      <x:c r="G6534" s="12" t="n">
        <x:v>0</x:v>
      </x:c>
      <x:c r="H6534" s="1" t="n">
        <x:f>'Historical prices'!E6534</x:f>
        <x:v>1.05</x:v>
      </x:c>
      <x:c r="I6534" s="6" t="n">
        <x:f>'Historical prices'!D6534</x:f>
        <x:v>-0.0138</x:v>
      </x:c>
      <x:c r="J6534" s="13" t="n">
        <x:f>D6534*I6534*H6534</x:f>
        <x:v>-0.00044919000000000003</x:v>
      </x:c>
      <x:c r="K6534" s="13" t="n">
        <x:f>E6534*I6534*H6534</x:f>
        <x:v>-0.0032010825</x:v>
      </x:c>
      <x:c r="L6534" s="1" t="str">
        <x:f>TEXT(A6534,"mmm yyyy")</x:f>
        <x:v>Sep 2026</x:v>
      </x:c>
    </x:row>
    <x:row r="6535" ht="21" customHeight="1">
      <x:c r="A6535" s="10" t="n">
        <x:v>46284</x:v>
      </x:c>
      <x:c r="B6535" s="1" t="n">
        <x:v>15.5</x:v>
      </x:c>
      <x:c r="C6535" s="1" t="n">
        <x:v>6</x:v>
      </x:c>
      <x:c r="D6535" s="12" t="n">
        <x:v>0</x:v>
      </x:c>
      <x:c r="E6535" s="12" t="n">
        <x:v>0.26075000000000004</x:v>
      </x:c>
      <x:c r="F6535" s="12" t="n">
        <x:v>0.25558333333333333</x:v>
      </x:c>
      <x:c r="G6535" s="12" t="n">
        <x:v>0</x:v>
      </x:c>
      <x:c r="H6535" s="1" t="n">
        <x:f>'Historical prices'!E6535</x:f>
        <x:v>1.05</x:v>
      </x:c>
      <x:c r="I6535" s="6" t="n">
        <x:f>'Historical prices'!D6535</x:f>
        <x:v>0.006999999999999999</x:v>
      </x:c>
      <x:c r="J6535" s="13" t="n">
        <x:f>D6535*I6535*H6535</x:f>
        <x:v>0</x:v>
      </x:c>
      <x:c r="K6535" s="13" t="n">
        <x:f>E6535*I6535*H6535</x:f>
        <x:v>0.0019165125000000002</x:v>
      </x:c>
      <x:c r="L6535" s="1" t="str">
        <x:f>TEXT(A6535,"mmm yyyy")</x:f>
        <x:v>Sep 2026</x:v>
      </x:c>
    </x:row>
    <x:row r="6536" ht="21" customHeight="1">
      <x:c r="A6536" s="10" t="n">
        <x:v>46284</x:v>
      </x:c>
      <x:c r="B6536" s="1" t="n">
        <x:v>16</x:v>
      </x:c>
      <x:c r="C6536" s="1" t="n">
        <x:v>6</x:v>
      </x:c>
      <x:c r="D6536" s="12" t="n">
        <x:v>0</x:v>
      </x:c>
      <x:c r="E6536" s="12" t="n">
        <x:v>0.26775000000000004</x:v>
      </x:c>
      <x:c r="F6536" s="12" t="n">
        <x:v>0.2675</x:v>
      </x:c>
      <x:c r="G6536" s="12" t="n">
        <x:v>0</x:v>
      </x:c>
      <x:c r="H6536" s="1" t="n">
        <x:f>'Historical prices'!E6536</x:f>
        <x:v>1.05</x:v>
      </x:c>
      <x:c r="I6536" s="6" t="n">
        <x:f>'Historical prices'!D6536</x:f>
        <x:v>0.0915</x:v>
      </x:c>
      <x:c r="J6536" s="13" t="n">
        <x:f>D6536*I6536*H6536</x:f>
        <x:v>0</x:v>
      </x:c>
      <x:c r="K6536" s="13" t="n">
        <x:f>E6536*I6536*H6536</x:f>
        <x:v>0.025724081250000006</x:v>
      </x:c>
      <x:c r="L6536" s="1" t="str">
        <x:f>TEXT(A6536,"mmm yyyy")</x:f>
        <x:v>Sep 2026</x:v>
      </x:c>
    </x:row>
    <x:row r="6537" ht="21" customHeight="1">
      <x:c r="A6537" s="10" t="n">
        <x:v>46284</x:v>
      </x:c>
      <x:c r="B6537" s="1" t="n">
        <x:v>16.5</x:v>
      </x:c>
      <x:c r="C6537" s="1" t="n">
        <x:v>6</x:v>
      </x:c>
      <x:c r="D6537" s="12" t="n">
        <x:v>0</x:v>
      </x:c>
      <x:c r="E6537" s="12" t="n">
        <x:v>0.3060833333333334</x:v>
      </x:c>
      <x:c r="F6537" s="12" t="n">
        <x:v>0.30566666666666664</x:v>
      </x:c>
      <x:c r="G6537" s="12" t="n">
        <x:v>0</x:v>
      </x:c>
      <x:c r="H6537" s="1" t="n">
        <x:f>'Historical prices'!E6537</x:f>
        <x:v>1.05</x:v>
      </x:c>
      <x:c r="I6537" s="6" t="n">
        <x:f>'Historical prices'!D6537</x:f>
        <x:v>0.1522</x:v>
      </x:c>
      <x:c r="J6537" s="13" t="n">
        <x:f>D6537*I6537*H6537</x:f>
        <x:v>0</x:v>
      </x:c>
      <x:c r="K6537" s="13" t="n">
        <x:f>E6537*I6537*H6537</x:f>
        <x:v>0.04891517750000001</x:v>
      </x:c>
      <x:c r="L6537" s="1" t="str">
        <x:f>TEXT(A6537,"mmm yyyy")</x:f>
        <x:v>Sep 2026</x:v>
      </x:c>
    </x:row>
    <x:row r="6538" ht="21" customHeight="1">
      <x:c r="A6538" s="10" t="n">
        <x:v>46284</x:v>
      </x:c>
      <x:c r="B6538" s="1" t="n">
        <x:v>17</x:v>
      </x:c>
      <x:c r="C6538" s="1" t="n">
        <x:v>6</x:v>
      </x:c>
      <x:c r="D6538" s="12" t="n">
        <x:v>0</x:v>
      </x:c>
      <x:c r="E6538" s="12" t="n">
        <x:v>0.21416666666666667</x:v>
      </x:c>
      <x:c r="F6538" s="12" t="n">
        <x:v>0.21383333333333335</x:v>
      </x:c>
      <x:c r="G6538" s="12" t="n">
        <x:v>0</x:v>
      </x:c>
      <x:c r="H6538" s="1" t="n">
        <x:f>'Historical prices'!E6538</x:f>
        <x:v>1.05</x:v>
      </x:c>
      <x:c r="I6538" s="6" t="n">
        <x:f>'Historical prices'!D6538</x:f>
        <x:v>0.21109999999999998</x:v>
      </x:c>
      <x:c r="J6538" s="13" t="n">
        <x:f>D6538*I6538*H6538</x:f>
        <x:v>0</x:v>
      </x:c>
      <x:c r="K6538" s="13" t="n">
        <x:f>E6538*I6538*H6538</x:f>
        <x:v>0.0474711125</x:v>
      </x:c>
      <x:c r="L6538" s="1" t="str">
        <x:f>TEXT(A6538,"mmm yyyy")</x:f>
        <x:v>Sep 2026</x:v>
      </x:c>
    </x:row>
    <x:row r="6539" ht="21" customHeight="1">
      <x:c r="A6539" s="10" t="n">
        <x:v>46284</x:v>
      </x:c>
      <x:c r="B6539" s="1" t="n">
        <x:v>17.5</x:v>
      </x:c>
      <x:c r="C6539" s="1" t="n">
        <x:v>6</x:v>
      </x:c>
      <x:c r="D6539" s="12" t="n">
        <x:v>0</x:v>
      </x:c>
      <x:c r="E6539" s="12" t="n">
        <x:v>0.27975</x:v>
      </x:c>
      <x:c r="F6539" s="12" t="n">
        <x:v>0.2793333333333333</x:v>
      </x:c>
      <x:c r="G6539" s="12" t="n">
        <x:v>0</x:v>
      </x:c>
      <x:c r="H6539" s="1" t="n">
        <x:f>'Historical prices'!E6539</x:f>
        <x:v>1.05</x:v>
      </x:c>
      <x:c r="I6539" s="6" t="n">
        <x:f>'Historical prices'!D6539</x:f>
        <x:v>0.2729</x:v>
      </x:c>
      <x:c r="J6539" s="13" t="n">
        <x:f>D6539*I6539*H6539</x:f>
        <x:v>0</x:v>
      </x:c>
      <x:c r="K6539" s="13" t="n">
        <x:f>E6539*I6539*H6539</x:f>
        <x:v>0.08016096375</x:v>
      </x:c>
      <x:c r="L6539" s="1" t="str">
        <x:f>TEXT(A6539,"mmm yyyy")</x:f>
        <x:v>Sep 2026</x:v>
      </x:c>
    </x:row>
    <x:row r="6540" ht="21" customHeight="1">
      <x:c r="A6540" s="10" t="n">
        <x:v>46284</x:v>
      </x:c>
      <x:c r="B6540" s="1" t="n">
        <x:v>18</x:v>
      </x:c>
      <x:c r="C6540" s="1" t="n">
        <x:v>6</x:v>
      </x:c>
      <x:c r="D6540" s="12" t="n">
        <x:v>0</x:v>
      </x:c>
      <x:c r="E6540" s="12" t="n">
        <x:v>0.24783333333333335</x:v>
      </x:c>
      <x:c r="F6540" s="12" t="n">
        <x:v>0.2475</x:v>
      </x:c>
      <x:c r="G6540" s="12" t="n">
        <x:v>0</x:v>
      </x:c>
      <x:c r="H6540" s="1" t="n">
        <x:f>'Historical prices'!E6540</x:f>
        <x:v>1.05</x:v>
      </x:c>
      <x:c r="I6540" s="6" t="n">
        <x:f>'Historical prices'!D6540</x:f>
        <x:v>0.32520000000000004</x:v>
      </x:c>
      <x:c r="J6540" s="13" t="n">
        <x:f>D6540*I6540*H6540</x:f>
        <x:v>0</x:v>
      </x:c>
      <x:c r="K6540" s="13" t="n">
        <x:f>E6540*I6540*H6540</x:f>
        <x:v>0.08462517000000001</x:v>
      </x:c>
      <x:c r="L6540" s="1" t="str">
        <x:f>TEXT(A6540,"mmm yyyy")</x:f>
        <x:v>Sep 2026</x:v>
      </x:c>
    </x:row>
    <x:row r="6541" ht="21" customHeight="1">
      <x:c r="A6541" s="10" t="n">
        <x:v>46284</x:v>
      </x:c>
      <x:c r="B6541" s="1" t="n">
        <x:v>18.5</x:v>
      </x:c>
      <x:c r="C6541" s="1" t="n">
        <x:v>6</x:v>
      </x:c>
      <x:c r="D6541" s="12" t="n">
        <x:v>0</x:v>
      </x:c>
      <x:c r="E6541" s="12" t="n">
        <x:v>0.24716666666666665</x:v>
      </x:c>
      <x:c r="F6541" s="12" t="n">
        <x:v>0.24608333333333335</x:v>
      </x:c>
      <x:c r="G6541" s="12" t="n">
        <x:v>0</x:v>
      </x:c>
      <x:c r="H6541" s="1" t="n">
        <x:f>'Historical prices'!E6541</x:f>
        <x:v>1.05</x:v>
      </x:c>
      <x:c r="I6541" s="6" t="n">
        <x:f>'Historical prices'!D6541</x:f>
        <x:v>0.33240000000000003</x:v>
      </x:c>
      <x:c r="J6541" s="13" t="n">
        <x:f>D6541*I6541*H6541</x:f>
        <x:v>0</x:v>
      </x:c>
      <x:c r="K6541" s="13" t="n">
        <x:f>E6541*I6541*H6541</x:f>
        <x:v>0.08626611000000001</x:v>
      </x:c>
      <x:c r="L6541" s="1" t="str">
        <x:f>TEXT(A6541,"mmm yyyy")</x:f>
        <x:v>Sep 2026</x:v>
      </x:c>
    </x:row>
    <x:row r="6542" ht="21" customHeight="1">
      <x:c r="A6542" s="10" t="n">
        <x:v>46284</x:v>
      </x:c>
      <x:c r="B6542" s="1" t="n">
        <x:v>19</x:v>
      </x:c>
      <x:c r="C6542" s="1" t="n">
        <x:v>6</x:v>
      </x:c>
      <x:c r="D6542" s="12" t="n">
        <x:v>0</x:v>
      </x:c>
      <x:c r="E6542" s="12" t="n">
        <x:v>0.28099999999999997</x:v>
      </x:c>
      <x:c r="F6542" s="12" t="n">
        <x:v>0.28075</x:v>
      </x:c>
      <x:c r="G6542" s="12" t="n">
        <x:v>0</x:v>
      </x:c>
      <x:c r="H6542" s="1" t="n">
        <x:f>'Historical prices'!E6542</x:f>
        <x:v>1.05</x:v>
      </x:c>
      <x:c r="I6542" s="6" t="n">
        <x:f>'Historical prices'!D6542</x:f>
        <x:v>0.2045</x:v>
      </x:c>
      <x:c r="J6542" s="13" t="n">
        <x:f>D6542*I6542*H6542</x:f>
        <x:v>0</x:v>
      </x:c>
      <x:c r="K6542" s="13" t="n">
        <x:f>E6542*I6542*H6542</x:f>
        <x:v>0.06033772499999999</x:v>
      </x:c>
      <x:c r="L6542" s="1" t="str">
        <x:f>TEXT(A6542,"mmm yyyy")</x:f>
        <x:v>Sep 2026</x:v>
      </x:c>
    </x:row>
    <x:row r="6543" ht="21" customHeight="1">
      <x:c r="A6543" s="10" t="n">
        <x:v>46284</x:v>
      </x:c>
      <x:c r="B6543" s="1" t="n">
        <x:v>19.5</x:v>
      </x:c>
      <x:c r="C6543" s="1" t="n">
        <x:v>6</x:v>
      </x:c>
      <x:c r="D6543" s="12" t="n">
        <x:v>0</x:v>
      </x:c>
      <x:c r="E6543" s="12" t="n">
        <x:v>0.29191666666666666</x:v>
      </x:c>
      <x:c r="F6543" s="12" t="n">
        <x:v>0.2915</x:v>
      </x:c>
      <x:c r="G6543" s="12" t="n">
        <x:v>0</x:v>
      </x:c>
      <x:c r="H6543" s="1" t="n">
        <x:f>'Historical prices'!E6543</x:f>
        <x:v>1.05</x:v>
      </x:c>
      <x:c r="I6543" s="6" t="n">
        <x:f>'Historical prices'!D6543</x:f>
        <x:v>0.20440000000000003</x:v>
      </x:c>
      <x:c r="J6543" s="13" t="n">
        <x:f>D6543*I6543*H6543</x:f>
        <x:v>0</x:v>
      </x:c>
      <x:c r="K6543" s="13" t="n">
        <x:f>E6543*I6543*H6543</x:f>
        <x:v>0.062651155</x:v>
      </x:c>
      <x:c r="L6543" s="1" t="str">
        <x:f>TEXT(A6543,"mmm yyyy")</x:f>
        <x:v>Sep 2026</x:v>
      </x:c>
    </x:row>
    <x:row r="6544" ht="21" customHeight="1">
      <x:c r="A6544" s="10" t="n">
        <x:v>46284</x:v>
      </x:c>
      <x:c r="B6544" s="1" t="n">
        <x:v>20</x:v>
      </x:c>
      <x:c r="C6544" s="1" t="n">
        <x:v>6</x:v>
      </x:c>
      <x:c r="D6544" s="12" t="n">
        <x:v>0</x:v>
      </x:c>
      <x:c r="E6544" s="12" t="n">
        <x:v>0.2503333333333333</x:v>
      </x:c>
      <x:c r="F6544" s="12" t="n">
        <x:v>0.24933333333333335</x:v>
      </x:c>
      <x:c r="G6544" s="12" t="n">
        <x:v>0</x:v>
      </x:c>
      <x:c r="H6544" s="1" t="n">
        <x:f>'Historical prices'!E6544</x:f>
        <x:v>1.05</x:v>
      </x:c>
      <x:c r="I6544" s="6" t="n">
        <x:f>'Historical prices'!D6544</x:f>
        <x:v>0.1661</x:v>
      </x:c>
      <x:c r="J6544" s="13" t="n">
        <x:f>D6544*I6544*H6544</x:f>
        <x:v>0</x:v>
      </x:c>
      <x:c r="K6544" s="13" t="n">
        <x:f>E6544*I6544*H6544</x:f>
        <x:v>0.043659384999999995</x:v>
      </x:c>
      <x:c r="L6544" s="1" t="str">
        <x:f>TEXT(A6544,"mmm yyyy")</x:f>
        <x:v>Sep 2026</x:v>
      </x:c>
    </x:row>
    <x:row r="6545" ht="21" customHeight="1">
      <x:c r="A6545" s="10" t="n">
        <x:v>46284</x:v>
      </x:c>
      <x:c r="B6545" s="1" t="n">
        <x:v>20.5</x:v>
      </x:c>
      <x:c r="C6545" s="1" t="n">
        <x:v>6</x:v>
      </x:c>
      <x:c r="D6545" s="12" t="n">
        <x:v>0</x:v>
      </x:c>
      <x:c r="E6545" s="12" t="n">
        <x:v>0.36008333333333337</x:v>
      </x:c>
      <x:c r="F6545" s="12" t="n">
        <x:v>0.35991666666666666</x:v>
      </x:c>
      <x:c r="G6545" s="12" t="n">
        <x:v>0</x:v>
      </x:c>
      <x:c r="H6545" s="1" t="n">
        <x:f>'Historical prices'!E6545</x:f>
        <x:v>1.05</x:v>
      </x:c>
      <x:c r="I6545" s="6" t="n">
        <x:f>'Historical prices'!D6545</x:f>
        <x:v>0.14279999999999998</x:v>
      </x:c>
      <x:c r="J6545" s="13" t="n">
        <x:f>D6545*I6545*H6545</x:f>
        <x:v>0</x:v>
      </x:c>
      <x:c r="K6545" s="13" t="n">
        <x:f>E6545*I6545*H6545</x:f>
        <x:v>0.053990895</x:v>
      </x:c>
      <x:c r="L6545" s="1" t="str">
        <x:f>TEXT(A6545,"mmm yyyy")</x:f>
        <x:v>Sep 2026</x:v>
      </x:c>
    </x:row>
    <x:row r="6546" ht="21" customHeight="1">
      <x:c r="A6546" s="10" t="n">
        <x:v>46284</x:v>
      </x:c>
      <x:c r="B6546" s="1" t="n">
        <x:v>21</x:v>
      </x:c>
      <x:c r="C6546" s="1" t="n">
        <x:v>6</x:v>
      </x:c>
      <x:c r="D6546" s="12" t="n">
        <x:v>0</x:v>
      </x:c>
      <x:c r="E6546" s="12" t="n">
        <x:v>0.27275</x:v>
      </x:c>
      <x:c r="F6546" s="12" t="n">
        <x:v>0.27249999999999996</x:v>
      </x:c>
      <x:c r="G6546" s="12" t="n">
        <x:v>0</x:v>
      </x:c>
      <x:c r="H6546" s="1" t="n">
        <x:f>'Historical prices'!E6546</x:f>
        <x:v>1.05</x:v>
      </x:c>
      <x:c r="I6546" s="6" t="n">
        <x:f>'Historical prices'!D6546</x:f>
        <x:v>0.1728</x:v>
      </x:c>
      <x:c r="J6546" s="13" t="n">
        <x:f>D6546*I6546*H6546</x:f>
        <x:v>0</x:v>
      </x:c>
      <x:c r="K6546" s="13" t="n">
        <x:f>E6546*I6546*H6546</x:f>
        <x:v>0.04948776</x:v>
      </x:c>
      <x:c r="L6546" s="1" t="str">
        <x:f>TEXT(A6546,"mmm yyyy")</x:f>
        <x:v>Sep 2026</x:v>
      </x:c>
    </x:row>
    <x:row r="6547" ht="21" customHeight="1">
      <x:c r="A6547" s="10" t="n">
        <x:v>46284</x:v>
      </x:c>
      <x:c r="B6547" s="1" t="n">
        <x:v>21.5</x:v>
      </x:c>
      <x:c r="C6547" s="1" t="n">
        <x:v>6</x:v>
      </x:c>
      <x:c r="D6547" s="12" t="n">
        <x:v>0</x:v>
      </x:c>
      <x:c r="E6547" s="12" t="n">
        <x:v>0.26608333333333334</x:v>
      </x:c>
      <x:c r="F6547" s="12" t="n">
        <x:v>0.26575</x:v>
      </x:c>
      <x:c r="G6547" s="12" t="n">
        <x:v>0</x:v>
      </x:c>
      <x:c r="H6547" s="1" t="n">
        <x:f>'Historical prices'!E6547</x:f>
        <x:v>1.05</x:v>
      </x:c>
      <x:c r="I6547" s="6" t="n">
        <x:f>'Historical prices'!D6547</x:f>
        <x:v>0.1346</x:v>
      </x:c>
      <x:c r="J6547" s="13" t="n">
        <x:f>D6547*I6547*H6547</x:f>
        <x:v>0</x:v>
      </x:c>
      <x:c r="K6547" s="13" t="n">
        <x:f>E6547*I6547*H6547</x:f>
        <x:v>0.0376055575</x:v>
      </x:c>
      <x:c r="L6547" s="1" t="str">
        <x:f>TEXT(A6547,"mmm yyyy")</x:f>
        <x:v>Sep 2026</x:v>
      </x:c>
    </x:row>
    <x:row r="6548" ht="21" customHeight="1">
      <x:c r="A6548" s="10" t="n">
        <x:v>46284</x:v>
      </x:c>
      <x:c r="B6548" s="1" t="n">
        <x:v>22</x:v>
      </x:c>
      <x:c r="C6548" s="1" t="n">
        <x:v>6</x:v>
      </x:c>
      <x:c r="D6548" s="12" t="n">
        <x:v>0</x:v>
      </x:c>
      <x:c r="E6548" s="12" t="n">
        <x:v>0.29474999999999996</x:v>
      </x:c>
      <x:c r="F6548" s="12" t="n">
        <x:v>0.29425</x:v>
      </x:c>
      <x:c r="G6548" s="12" t="n">
        <x:v>0</x:v>
      </x:c>
      <x:c r="H6548" s="1" t="n">
        <x:f>'Historical prices'!E6548</x:f>
        <x:v>1.05</x:v>
      </x:c>
      <x:c r="I6548" s="6" t="n">
        <x:f>'Historical prices'!D6548</x:f>
        <x:v>0.12619999999999998</x:v>
      </x:c>
      <x:c r="J6548" s="13" t="n">
        <x:f>D6548*I6548*H6548</x:f>
        <x:v>0</x:v>
      </x:c>
      <x:c r="K6548" s="13" t="n">
        <x:f>E6548*I6548*H6548</x:f>
        <x:v>0.039057322499999984</x:v>
      </x:c>
      <x:c r="L6548" s="1" t="str">
        <x:f>TEXT(A6548,"mmm yyyy")</x:f>
        <x:v>Sep 2026</x:v>
      </x:c>
    </x:row>
    <x:row r="6549" ht="21" customHeight="1">
      <x:c r="A6549" s="10" t="n">
        <x:v>46284</x:v>
      </x:c>
      <x:c r="B6549" s="1" t="n">
        <x:v>22.5</x:v>
      </x:c>
      <x:c r="C6549" s="1" t="n">
        <x:v>6</x:v>
      </x:c>
      <x:c r="D6549" s="12" t="n">
        <x:v>0</x:v>
      </x:c>
      <x:c r="E6549" s="12" t="n">
        <x:v>0.2876666666666667</x:v>
      </x:c>
      <x:c r="F6549" s="12" t="n">
        <x:v>0.28708333333333336</x:v>
      </x:c>
      <x:c r="G6549" s="12" t="n">
        <x:v>0</x:v>
      </x:c>
      <x:c r="H6549" s="1" t="n">
        <x:f>'Historical prices'!E6549</x:f>
        <x:v>1.05</x:v>
      </x:c>
      <x:c r="I6549" s="6" t="n">
        <x:f>'Historical prices'!D6549</x:f>
        <x:v>0.0716</x:v>
      </x:c>
      <x:c r="J6549" s="13" t="n">
        <x:f>D6549*I6549*H6549</x:f>
        <x:v>0</x:v>
      </x:c>
      <x:c r="K6549" s="13" t="n">
        <x:f>E6549*I6549*H6549</x:f>
        <x:v>0.02162678</x:v>
      </x:c>
      <x:c r="L6549" s="1" t="str">
        <x:f>TEXT(A6549,"mmm yyyy")</x:f>
        <x:v>Sep 2026</x:v>
      </x:c>
    </x:row>
    <x:row r="6550" ht="21" customHeight="1">
      <x:c r="A6550" s="10" t="n">
        <x:v>46284</x:v>
      </x:c>
      <x:c r="B6550" s="1" t="n">
        <x:v>23</x:v>
      </x:c>
      <x:c r="C6550" s="1" t="n">
        <x:v>6</x:v>
      </x:c>
      <x:c r="D6550" s="12" t="n">
        <x:v>0</x:v>
      </x:c>
      <x:c r="E6550" s="12" t="n">
        <x:v>0.19816666666666666</x:v>
      </x:c>
      <x:c r="F6550" s="12" t="n">
        <x:v>0.19766666666666666</x:v>
      </x:c>
      <x:c r="G6550" s="12" t="n">
        <x:v>0</x:v>
      </x:c>
      <x:c r="H6550" s="1" t="n">
        <x:f>'Historical prices'!E6550</x:f>
        <x:v>1.05</x:v>
      </x:c>
      <x:c r="I6550" s="6" t="n">
        <x:f>'Historical prices'!D6550</x:f>
        <x:v>-0.0019</x:v>
      </x:c>
      <x:c r="J6550" s="13" t="n">
        <x:f>D6550*I6550*H6550</x:f>
        <x:v>0</x:v>
      </x:c>
      <x:c r="K6550" s="13" t="n">
        <x:f>E6550*I6550*H6550</x:f>
        <x:v>-0.00039534250000000003</x:v>
      </x:c>
      <x:c r="L6550" s="1" t="str">
        <x:f>TEXT(A6550,"mmm yyyy")</x:f>
        <x:v>Sep 2026</x:v>
      </x:c>
    </x:row>
    <x:row r="6551" ht="21" customHeight="1">
      <x:c r="A6551" s="10" t="n">
        <x:v>46284</x:v>
      </x:c>
      <x:c r="B6551" s="1" t="n">
        <x:v>23.5</x:v>
      </x:c>
      <x:c r="C6551" s="1" t="n">
        <x:v>6</x:v>
      </x:c>
      <x:c r="D6551" s="12" t="n">
        <x:v>0</x:v>
      </x:c>
      <x:c r="E6551" s="12" t="n">
        <x:v>0.25908333333333333</x:v>
      </x:c>
      <x:c r="F6551" s="12" t="n">
        <x:v>0.25841666666666663</x:v>
      </x:c>
      <x:c r="G6551" s="12" t="n">
        <x:v>0</x:v>
      </x:c>
      <x:c r="H6551" s="1" t="n">
        <x:f>'Historical prices'!E6551</x:f>
        <x:v>1.05</x:v>
      </x:c>
      <x:c r="I6551" s="6" t="n">
        <x:f>'Historical prices'!D6551</x:f>
        <x:v>-0.0019</x:v>
      </x:c>
      <x:c r="J6551" s="13" t="n">
        <x:f>D6551*I6551*H6551</x:f>
        <x:v>0</x:v>
      </x:c>
      <x:c r="K6551" s="13" t="n">
        <x:f>E6551*I6551*H6551</x:f>
        <x:v>-0.00051687125</x:v>
      </x:c>
      <x:c r="L6551" s="1" t="str">
        <x:f>TEXT(A6551,"mmm yyyy")</x:f>
        <x:v>Sep 2026</x:v>
      </x:c>
    </x:row>
    <x:row r="6552" ht="21" customHeight="1">
      <x:c r="A6552" s="10" t="n">
        <x:v>46285</x:v>
      </x:c>
      <x:c r="B6552" s="1" t="n">
        <x:v>0</x:v>
      </x:c>
      <x:c r="C6552" s="1" t="n">
        <x:v>6</x:v>
      </x:c>
      <x:c r="D6552" s="12" t="n">
        <x:v>0</x:v>
      </x:c>
      <x:c r="E6552" s="12" t="n">
        <x:v>0.26675</x:v>
      </x:c>
      <x:c r="F6552" s="12" t="n">
        <x:v>0.2663333333333333</x:v>
      </x:c>
      <x:c r="G6552" s="12" t="n">
        <x:v>0</x:v>
      </x:c>
      <x:c r="H6552" s="1" t="n">
        <x:f>'Historical prices'!E6552</x:f>
        <x:v>1.05</x:v>
      </x:c>
      <x:c r="I6552" s="6" t="n">
        <x:f>'Historical prices'!D6552</x:f>
        <x:v>-0.0334</x:v>
      </x:c>
      <x:c r="J6552" s="13" t="n">
        <x:f>D6552*I6552*H6552</x:f>
        <x:v>0</x:v>
      </x:c>
      <x:c r="K6552" s="13" t="n">
        <x:f>E6552*I6552*H6552</x:f>
        <x:v>-0.0093549225</x:v>
      </x:c>
      <x:c r="L6552" s="1" t="str">
        <x:f>TEXT(A6552,"mmm yyyy")</x:f>
        <x:v>Sep 2026</x:v>
      </x:c>
    </x:row>
    <x:row r="6553" ht="21" customHeight="1">
      <x:c r="A6553" s="10" t="n">
        <x:v>46285</x:v>
      </x:c>
      <x:c r="B6553" s="1" t="n">
        <x:v>0.5</x:v>
      </x:c>
      <x:c r="C6553" s="1" t="n">
        <x:v>6</x:v>
      </x:c>
      <x:c r="D6553" s="12" t="n">
        <x:v>0</x:v>
      </x:c>
      <x:c r="E6553" s="12" t="n">
        <x:v>0.20225</x:v>
      </x:c>
      <x:c r="F6553" s="12" t="n">
        <x:v>0.20133333333333334</x:v>
      </x:c>
      <x:c r="G6553" s="12" t="n">
        <x:v>0</x:v>
      </x:c>
      <x:c r="H6553" s="1" t="n">
        <x:f>'Historical prices'!E6553</x:f>
        <x:v>1.05</x:v>
      </x:c>
      <x:c r="I6553" s="6" t="n">
        <x:f>'Historical prices'!D6553</x:f>
        <x:v>-0.034</x:v>
      </x:c>
      <x:c r="J6553" s="13" t="n">
        <x:f>D6553*I6553*H6553</x:f>
        <x:v>0</x:v>
      </x:c>
      <x:c r="K6553" s="13" t="n">
        <x:f>E6553*I6553*H6553</x:f>
        <x:v>-0.007220325000000001</x:v>
      </x:c>
      <x:c r="L6553" s="1" t="str">
        <x:f>TEXT(A6553,"mmm yyyy")</x:f>
        <x:v>Sep 2026</x:v>
      </x:c>
    </x:row>
    <x:row r="6554" ht="21" customHeight="1">
      <x:c r="A6554" s="10" t="n">
        <x:v>46285</x:v>
      </x:c>
      <x:c r="B6554" s="1" t="n">
        <x:v>1</x:v>
      </x:c>
      <x:c r="C6554" s="1" t="n">
        <x:v>6</x:v>
      </x:c>
      <x:c r="D6554" s="12" t="n">
        <x:v>0</x:v>
      </x:c>
      <x:c r="E6554" s="12" t="n">
        <x:v>0.2915833333333333</x:v>
      </x:c>
      <x:c r="F6554" s="12" t="n">
        <x:v>0.29108333333333336</x:v>
      </x:c>
      <x:c r="G6554" s="12" t="n">
        <x:v>0</x:v>
      </x:c>
      <x:c r="H6554" s="1" t="n">
        <x:f>'Historical prices'!E6554</x:f>
        <x:v>1.05</x:v>
      </x:c>
      <x:c r="I6554" s="6" t="n">
        <x:f>'Historical prices'!D6554</x:f>
        <x:v>-0.0163</x:v>
      </x:c>
      <x:c r="J6554" s="13" t="n">
        <x:f>D6554*I6554*H6554</x:f>
        <x:v>0</x:v>
      </x:c>
      <x:c r="K6554" s="13" t="n">
        <x:f>E6554*I6554*H6554</x:f>
        <x:v>-0.004990448749999999</x:v>
      </x:c>
      <x:c r="L6554" s="1" t="str">
        <x:f>TEXT(A6554,"mmm yyyy")</x:f>
        <x:v>Sep 2026</x:v>
      </x:c>
    </x:row>
    <x:row r="6555" ht="21" customHeight="1">
      <x:c r="A6555" s="10" t="n">
        <x:v>46285</x:v>
      </x:c>
      <x:c r="B6555" s="1" t="n">
        <x:v>1.5</x:v>
      </x:c>
      <x:c r="C6555" s="1" t="n">
        <x:v>6</x:v>
      </x:c>
      <x:c r="D6555" s="12" t="n">
        <x:v>0</x:v>
      </x:c>
      <x:c r="E6555" s="12" t="n">
        <x:v>0.2895</x:v>
      </x:c>
      <x:c r="F6555" s="12" t="n">
        <x:v>0.28841666666666665</x:v>
      </x:c>
      <x:c r="G6555" s="12" t="n">
        <x:v>0</x:v>
      </x:c>
      <x:c r="H6555" s="1" t="n">
        <x:f>'Historical prices'!E6555</x:f>
        <x:v>1.05</x:v>
      </x:c>
      <x:c r="I6555" s="6" t="n">
        <x:f>'Historical prices'!D6555</x:f>
        <x:v>-0.018000000000000002</x:v>
      </x:c>
      <x:c r="J6555" s="13" t="n">
        <x:f>D6555*I6555*H6555</x:f>
        <x:v>0</x:v>
      </x:c>
      <x:c r="K6555" s="13" t="n">
        <x:f>E6555*I6555*H6555</x:f>
        <x:v>-0.00547155</x:v>
      </x:c>
      <x:c r="L6555" s="1" t="str">
        <x:f>TEXT(A6555,"mmm yyyy")</x:f>
        <x:v>Sep 2026</x:v>
      </x:c>
    </x:row>
    <x:row r="6556" ht="21" customHeight="1">
      <x:c r="A6556" s="10" t="n">
        <x:v>46285</x:v>
      </x:c>
      <x:c r="B6556" s="1" t="n">
        <x:v>2</x:v>
      </x:c>
      <x:c r="C6556" s="1" t="n">
        <x:v>6</x:v>
      </x:c>
      <x:c r="D6556" s="12" t="n">
        <x:v>0</x:v>
      </x:c>
      <x:c r="E6556" s="12" t="n">
        <x:v>0.23675</x:v>
      </x:c>
      <x:c r="F6556" s="12" t="n">
        <x:v>0.23666666666666666</x:v>
      </x:c>
      <x:c r="G6556" s="12" t="n">
        <x:v>0</x:v>
      </x:c>
      <x:c r="H6556" s="1" t="n">
        <x:f>'Historical prices'!E6556</x:f>
        <x:v>1.05</x:v>
      </x:c>
      <x:c r="I6556" s="6" t="n">
        <x:f>'Historical prices'!D6556</x:f>
        <x:v>-0.0229</x:v>
      </x:c>
      <x:c r="J6556" s="13" t="n">
        <x:f>D6556*I6556*H6556</x:f>
        <x:v>0</x:v>
      </x:c>
      <x:c r="K6556" s="13" t="n">
        <x:f>E6556*I6556*H6556</x:f>
        <x:v>-0.00569265375</x:v>
      </x:c>
      <x:c r="L6556" s="1" t="str">
        <x:f>TEXT(A6556,"mmm yyyy")</x:f>
        <x:v>Sep 2026</x:v>
      </x:c>
    </x:row>
    <x:row r="6557" ht="21" customHeight="1">
      <x:c r="A6557" s="10" t="n">
        <x:v>46285</x:v>
      </x:c>
      <x:c r="B6557" s="1" t="n">
        <x:v>2.5</x:v>
      </x:c>
      <x:c r="C6557" s="1" t="n">
        <x:v>6</x:v>
      </x:c>
      <x:c r="D6557" s="12" t="n">
        <x:v>0</x:v>
      </x:c>
      <x:c r="E6557" s="12" t="n">
        <x:v>0.22591666666666668</x:v>
      </x:c>
      <x:c r="F6557" s="12" t="n">
        <x:v>0.22525</x:v>
      </x:c>
      <x:c r="G6557" s="12" t="n">
        <x:v>0</x:v>
      </x:c>
      <x:c r="H6557" s="1" t="n">
        <x:f>'Historical prices'!E6557</x:f>
        <x:v>1.05</x:v>
      </x:c>
      <x:c r="I6557" s="6" t="n">
        <x:f>'Historical prices'!D6557</x:f>
        <x:v>-0.0286</x:v>
      </x:c>
      <x:c r="J6557" s="13" t="n">
        <x:f>D6557*I6557*H6557</x:f>
        <x:v>0</x:v>
      </x:c>
      <x:c r="K6557" s="13" t="n">
        <x:f>E6557*I6557*H6557</x:f>
        <x:v>-0.006784277500000001</x:v>
      </x:c>
      <x:c r="L6557" s="1" t="str">
        <x:f>TEXT(A6557,"mmm yyyy")</x:f>
        <x:v>Sep 2026</x:v>
      </x:c>
    </x:row>
    <x:row r="6558" ht="21" customHeight="1">
      <x:c r="A6558" s="10" t="n">
        <x:v>46285</x:v>
      </x:c>
      <x:c r="B6558" s="1" t="n">
        <x:v>3</x:v>
      </x:c>
      <x:c r="C6558" s="1" t="n">
        <x:v>6</x:v>
      </x:c>
      <x:c r="D6558" s="12" t="n">
        <x:v>0</x:v>
      </x:c>
      <x:c r="E6558" s="12" t="n">
        <x:v>0.24825000000000003</x:v>
      </x:c>
      <x:c r="F6558" s="12" t="n">
        <x:v>0.24791666666666667</x:v>
      </x:c>
      <x:c r="G6558" s="12" t="n">
        <x:v>0</x:v>
      </x:c>
      <x:c r="H6558" s="1" t="n">
        <x:f>'Historical prices'!E6558</x:f>
        <x:v>1.05</x:v>
      </x:c>
      <x:c r="I6558" s="6" t="n">
        <x:f>'Historical prices'!D6558</x:f>
        <x:v>-0.0355</x:v>
      </x:c>
      <x:c r="J6558" s="13" t="n">
        <x:f>D6558*I6558*H6558</x:f>
        <x:v>0</x:v>
      </x:c>
      <x:c r="K6558" s="13" t="n">
        <x:f>E6558*I6558*H6558</x:f>
        <x:v>-0.00925351875</x:v>
      </x:c>
      <x:c r="L6558" s="1" t="str">
        <x:f>TEXT(A6558,"mmm yyyy")</x:f>
        <x:v>Sep 2026</x:v>
      </x:c>
    </x:row>
    <x:row r="6559" ht="21" customHeight="1">
      <x:c r="A6559" s="10" t="n">
        <x:v>46285</x:v>
      </x:c>
      <x:c r="B6559" s="1" t="n">
        <x:v>3.5</x:v>
      </x:c>
      <x:c r="C6559" s="1" t="n">
        <x:v>6</x:v>
      </x:c>
      <x:c r="D6559" s="12" t="n">
        <x:v>3.7929999999999997</x:v>
      </x:c>
      <x:c r="E6559" s="12" t="n">
        <x:v>0.4488333333333333</x:v>
      </x:c>
      <x:c r="F6559" s="12" t="n">
        <x:v>0.043833333333333335</x:v>
      </x:c>
      <x:c r="G6559" s="12" t="n">
        <x:v>3.3880000000000003</x:v>
      </x:c>
      <x:c r="H6559" s="1" t="n">
        <x:f>'Historical prices'!E6559</x:f>
        <x:v>1.05</x:v>
      </x:c>
      <x:c r="I6559" s="6" t="n">
        <x:f>'Historical prices'!D6559</x:f>
        <x:v>-0.0403</x:v>
      </x:c>
      <x:c r="J6559" s="13" t="n">
        <x:f>D6559*I6559*H6559</x:f>
        <x:v>-0.160500795</x:v>
      </x:c>
      <x:c r="K6559" s="13" t="n">
        <x:f>E6559*I6559*H6559</x:f>
        <x:v>-0.018992382500000002</x:v>
      </x:c>
      <x:c r="L6559" s="1" t="str">
        <x:f>TEXT(A6559,"mmm yyyy")</x:f>
        <x:v>Sep 2026</x:v>
      </x:c>
    </x:row>
    <x:row r="6560" ht="21" customHeight="1">
      <x:c r="A6560" s="10" t="n">
        <x:v>46285</x:v>
      </x:c>
      <x:c r="B6560" s="1" t="n">
        <x:v>4</x:v>
      </x:c>
      <x:c r="C6560" s="1" t="n">
        <x:v>6</x:v>
      </x:c>
      <x:c r="D6560" s="12" t="n">
        <x:v>0.74175</x:v>
      </x:c>
      <x:c r="E6560" s="12" t="n">
        <x:v>0.2805</x:v>
      </x:c>
      <x:c r="F6560" s="12" t="n">
        <x:v>0.20858333333333334</x:v>
      </x:c>
      <x:c r="G6560" s="12" t="n">
        <x:v>0.671</x:v>
      </x:c>
      <x:c r="H6560" s="1" t="n">
        <x:f>'Historical prices'!E6560</x:f>
        <x:v>1.05</x:v>
      </x:c>
      <x:c r="I6560" s="6" t="n">
        <x:f>'Historical prices'!D6560</x:f>
        <x:v>-0.0167</x:v>
      </x:c>
      <x:c r="J6560" s="13" t="n">
        <x:f>D6560*I6560*H6560</x:f>
        <x:v>-0.01300658625</x:v>
      </x:c>
      <x:c r="K6560" s="13" t="n">
        <x:f>E6560*I6560*H6560</x:f>
        <x:v>-0.0049185675</x:v>
      </x:c>
      <x:c r="L6560" s="1" t="str">
        <x:f>TEXT(A6560,"mmm yyyy")</x:f>
        <x:v>Sep 2026</x:v>
      </x:c>
    </x:row>
    <x:row r="6561" ht="21" customHeight="1">
      <x:c r="A6561" s="10" t="n">
        <x:v>46285</x:v>
      </x:c>
      <x:c r="B6561" s="1" t="n">
        <x:v>4.5</x:v>
      </x:c>
      <x:c r="C6561" s="1" t="n">
        <x:v>6</x:v>
      </x:c>
      <x:c r="D6561" s="12" t="n">
        <x:v>0</x:v>
      </x:c>
      <x:c r="E6561" s="12" t="n">
        <x:v>0.24550000000000002</x:v>
      </x:c>
      <x:c r="F6561" s="12" t="n">
        <x:v>0.24083333333333334</x:v>
      </x:c>
      <x:c r="G6561" s="12" t="n">
        <x:v>0</x:v>
      </x:c>
      <x:c r="H6561" s="1" t="n">
        <x:f>'Historical prices'!E6561</x:f>
        <x:v>1.05</x:v>
      </x:c>
      <x:c r="I6561" s="6" t="n">
        <x:f>'Historical prices'!D6561</x:f>
        <x:v>-0.0279</x:v>
      </x:c>
      <x:c r="J6561" s="13" t="n">
        <x:f>D6561*I6561*H6561</x:f>
        <x:v>0</x:v>
      </x:c>
      <x:c r="K6561" s="13" t="n">
        <x:f>E6561*I6561*H6561</x:f>
        <x:v>-0.007191922500000001</x:v>
      </x:c>
      <x:c r="L6561" s="1" t="str">
        <x:f>TEXT(A6561,"mmm yyyy")</x:f>
        <x:v>Sep 2026</x:v>
      </x:c>
    </x:row>
    <x:row r="6562" ht="21" customHeight="1">
      <x:c r="A6562" s="10" t="n">
        <x:v>46285</x:v>
      </x:c>
      <x:c r="B6562" s="1" t="n">
        <x:v>5</x:v>
      </x:c>
      <x:c r="C6562" s="1" t="n">
        <x:v>6</x:v>
      </x:c>
      <x:c r="D6562" s="12" t="n">
        <x:v>0</x:v>
      </x:c>
      <x:c r="E6562" s="12" t="n">
        <x:v>0.29466666666666663</x:v>
      </x:c>
      <x:c r="F6562" s="12" t="n">
        <x:v>0.29274999999999995</x:v>
      </x:c>
      <x:c r="G6562" s="12" t="n">
        <x:v>0</x:v>
      </x:c>
      <x:c r="H6562" s="1" t="n">
        <x:f>'Historical prices'!E6562</x:f>
        <x:v>1.05</x:v>
      </x:c>
      <x:c r="I6562" s="6" t="n">
        <x:f>'Historical prices'!D6562</x:f>
        <x:v>-0.024900000000000002</x:v>
      </x:c>
      <x:c r="J6562" s="13" t="n">
        <x:f>D6562*I6562*H6562</x:f>
        <x:v>0</x:v>
      </x:c>
      <x:c r="K6562" s="13" t="n">
        <x:f>E6562*I6562*H6562</x:f>
        <x:v>-0.0077040599999999996</x:v>
      </x:c>
      <x:c r="L6562" s="1" t="str">
        <x:f>TEXT(A6562,"mmm yyyy")</x:f>
        <x:v>Sep 2026</x:v>
      </x:c>
    </x:row>
    <x:row r="6563" ht="21" customHeight="1">
      <x:c r="A6563" s="10" t="n">
        <x:v>46285</x:v>
      </x:c>
      <x:c r="B6563" s="1" t="n">
        <x:v>5.5</x:v>
      </x:c>
      <x:c r="C6563" s="1" t="n">
        <x:v>6</x:v>
      </x:c>
      <x:c r="D6563" s="12" t="n">
        <x:v>0</x:v>
      </x:c>
      <x:c r="E6563" s="12" t="n">
        <x:v>0.2599166666666667</x:v>
      </x:c>
      <x:c r="F6563" s="12" t="n">
        <x:v>0.25958333333333333</x:v>
      </x:c>
      <x:c r="G6563" s="12" t="n">
        <x:v>0</x:v>
      </x:c>
      <x:c r="H6563" s="1" t="n">
        <x:f>'Historical prices'!E6563</x:f>
        <x:v>1.05</x:v>
      </x:c>
      <x:c r="I6563" s="6" t="n">
        <x:f>'Historical prices'!D6563</x:f>
        <x:v>-0.0355</x:v>
      </x:c>
      <x:c r="J6563" s="13" t="n">
        <x:f>D6563*I6563*H6563</x:f>
        <x:v>0</x:v>
      </x:c>
      <x:c r="K6563" s="13" t="n">
        <x:f>E6563*I6563*H6563</x:f>
        <x:v>-0.00968839375</x:v>
      </x:c>
      <x:c r="L6563" s="1" t="str">
        <x:f>TEXT(A6563,"mmm yyyy")</x:f>
        <x:v>Sep 2026</x:v>
      </x:c>
    </x:row>
    <x:row r="6564" ht="21" customHeight="1">
      <x:c r="A6564" s="10" t="n">
        <x:v>46285</x:v>
      </x:c>
      <x:c r="B6564" s="1" t="n">
        <x:v>6</x:v>
      </x:c>
      <x:c r="C6564" s="1" t="n">
        <x:v>6</x:v>
      </x:c>
      <x:c r="D6564" s="12" t="n">
        <x:v>0</x:v>
      </x:c>
      <x:c r="E6564" s="12" t="n">
        <x:v>0.28091666666666665</x:v>
      </x:c>
      <x:c r="F6564" s="12" t="n">
        <x:v>0.2805833333333333</x:v>
      </x:c>
      <x:c r="G6564" s="12" t="n">
        <x:v>0</x:v>
      </x:c>
      <x:c r="H6564" s="1" t="n">
        <x:f>'Historical prices'!E6564</x:f>
        <x:v>1.05</x:v>
      </x:c>
      <x:c r="I6564" s="6" t="n">
        <x:f>'Historical prices'!D6564</x:f>
        <x:v>-0.0294</x:v>
      </x:c>
      <x:c r="J6564" s="13" t="n">
        <x:f>D6564*I6564*H6564</x:f>
        <x:v>0</x:v>
      </x:c>
      <x:c r="K6564" s="13" t="n">
        <x:f>E6564*I6564*H6564</x:f>
        <x:v>-0.0086718975</x:v>
      </x:c>
      <x:c r="L6564" s="1" t="str">
        <x:f>TEXT(A6564,"mmm yyyy")</x:f>
        <x:v>Sep 2026</x:v>
      </x:c>
    </x:row>
    <x:row r="6565" ht="21" customHeight="1">
      <x:c r="A6565" s="10" t="n">
        <x:v>46285</x:v>
      </x:c>
      <x:c r="B6565" s="1" t="n">
        <x:v>6.5</x:v>
      </x:c>
      <x:c r="C6565" s="1" t="n">
        <x:v>6</x:v>
      </x:c>
      <x:c r="D6565" s="12" t="n">
        <x:v>0</x:v>
      </x:c>
      <x:c r="E6565" s="12" t="n">
        <x:v>0.21408333333333335</x:v>
      </x:c>
      <x:c r="F6565" s="12" t="n">
        <x:v>0.21358333333333332</x:v>
      </x:c>
      <x:c r="G6565" s="12" t="n">
        <x:v>0</x:v>
      </x:c>
      <x:c r="H6565" s="1" t="n">
        <x:f>'Historical prices'!E6565</x:f>
        <x:v>1.05</x:v>
      </x:c>
      <x:c r="I6565" s="6" t="n">
        <x:f>'Historical prices'!D6565</x:f>
        <x:v>-0.03</x:v>
      </x:c>
      <x:c r="J6565" s="13" t="n">
        <x:f>D6565*I6565*H6565</x:f>
        <x:v>0</x:v>
      </x:c>
      <x:c r="K6565" s="13" t="n">
        <x:f>E6565*I6565*H6565</x:f>
        <x:v>-0.0067436250000000005</x:v>
      </x:c>
      <x:c r="L6565" s="1" t="str">
        <x:f>TEXT(A6565,"mmm yyyy")</x:f>
        <x:v>Sep 2026</x:v>
      </x:c>
    </x:row>
    <x:row r="6566" ht="21" customHeight="1">
      <x:c r="A6566" s="10" t="n">
        <x:v>46285</x:v>
      </x:c>
      <x:c r="B6566" s="1" t="n">
        <x:v>7</x:v>
      </x:c>
      <x:c r="C6566" s="1" t="n">
        <x:v>6</x:v>
      </x:c>
      <x:c r="D6566" s="12" t="n">
        <x:v>0</x:v>
      </x:c>
      <x:c r="E6566" s="12" t="n">
        <x:v>0.222</x:v>
      </x:c>
      <x:c r="F6566" s="12" t="n">
        <x:v>0.21875</x:v>
      </x:c>
      <x:c r="G6566" s="12" t="n">
        <x:v>0</x:v>
      </x:c>
      <x:c r="H6566" s="1" t="n">
        <x:f>'Historical prices'!E6566</x:f>
        <x:v>1.05</x:v>
      </x:c>
      <x:c r="I6566" s="6" t="n">
        <x:f>'Historical prices'!D6566</x:f>
        <x:v>-0.0208</x:v>
      </x:c>
      <x:c r="J6566" s="13" t="n">
        <x:f>D6566*I6566*H6566</x:f>
        <x:v>0</x:v>
      </x:c>
      <x:c r="K6566" s="13" t="n">
        <x:f>E6566*I6566*H6566</x:f>
        <x:v>-0.00484848</x:v>
      </x:c>
      <x:c r="L6566" s="1" t="str">
        <x:f>TEXT(A6566,"mmm yyyy")</x:f>
        <x:v>Sep 2026</x:v>
      </x:c>
    </x:row>
    <x:row r="6567" ht="21" customHeight="1">
      <x:c r="A6567" s="10" t="n">
        <x:v>46285</x:v>
      </x:c>
      <x:c r="B6567" s="1" t="n">
        <x:v>7.5</x:v>
      </x:c>
      <x:c r="C6567" s="1" t="n">
        <x:v>6</x:v>
      </x:c>
      <x:c r="D6567" s="12" t="n">
        <x:v>0</x:v>
      </x:c>
      <x:c r="E6567" s="12" t="n">
        <x:v>0.28791666666666665</x:v>
      </x:c>
      <x:c r="F6567" s="12" t="n">
        <x:v>0.2865</x:v>
      </x:c>
      <x:c r="G6567" s="12" t="n">
        <x:v>0</x:v>
      </x:c>
      <x:c r="H6567" s="1" t="n">
        <x:f>'Historical prices'!E6567</x:f>
        <x:v>1.05</x:v>
      </x:c>
      <x:c r="I6567" s="6" t="n">
        <x:f>'Historical prices'!D6567</x:f>
        <x:v>-0.0149</x:v>
      </x:c>
      <x:c r="J6567" s="13" t="n">
        <x:f>D6567*I6567*H6567</x:f>
        <x:v>0</x:v>
      </x:c>
      <x:c r="K6567" s="13" t="n">
        <x:f>E6567*I6567*H6567</x:f>
        <x:v>-0.00450445625</x:v>
      </x:c>
      <x:c r="L6567" s="1" t="str">
        <x:f>TEXT(A6567,"mmm yyyy")</x:f>
        <x:v>Sep 2026</x:v>
      </x:c>
    </x:row>
    <x:row r="6568" ht="21" customHeight="1">
      <x:c r="A6568" s="10" t="n">
        <x:v>46285</x:v>
      </x:c>
      <x:c r="B6568" s="1" t="n">
        <x:v>8</x:v>
      </x:c>
      <x:c r="C6568" s="1" t="n">
        <x:v>6</x:v>
      </x:c>
      <x:c r="D6568" s="12" t="n">
        <x:v>0</x:v>
      </x:c>
      <x:c r="E6568" s="12" t="n">
        <x:v>0.25616666666666665</x:v>
      </x:c>
      <x:c r="F6568" s="12" t="n">
        <x:v>0.25550000000000006</x:v>
      </x:c>
      <x:c r="G6568" s="12" t="n">
        <x:v>0</x:v>
      </x:c>
      <x:c r="H6568" s="1" t="n">
        <x:f>'Historical prices'!E6568</x:f>
        <x:v>1.05</x:v>
      </x:c>
      <x:c r="I6568" s="6" t="n">
        <x:f>'Historical prices'!D6568</x:f>
        <x:v>-0.0229</x:v>
      </x:c>
      <x:c r="J6568" s="13" t="n">
        <x:f>D6568*I6568*H6568</x:f>
        <x:v>0</x:v>
      </x:c>
      <x:c r="K6568" s="13" t="n">
        <x:f>E6568*I6568*H6568</x:f>
        <x:v>-0.0061595275</x:v>
      </x:c>
      <x:c r="L6568" s="1" t="str">
        <x:f>TEXT(A6568,"mmm yyyy")</x:f>
        <x:v>Sep 2026</x:v>
      </x:c>
    </x:row>
    <x:row r="6569" ht="21" customHeight="1">
      <x:c r="A6569" s="10" t="n">
        <x:v>46285</x:v>
      </x:c>
      <x:c r="B6569" s="1" t="n">
        <x:v>8.5</x:v>
      </x:c>
      <x:c r="C6569" s="1" t="n">
        <x:v>6</x:v>
      </x:c>
      <x:c r="D6569" s="12" t="n">
        <x:v>0</x:v>
      </x:c>
      <x:c r="E6569" s="12" t="n">
        <x:v>0.20274999999999999</x:v>
      </x:c>
      <x:c r="F6569" s="12" t="n">
        <x:v>0.20158333333333334</x:v>
      </x:c>
      <x:c r="G6569" s="12" t="n">
        <x:v>0</x:v>
      </x:c>
      <x:c r="H6569" s="1" t="n">
        <x:f>'Historical prices'!E6569</x:f>
        <x:v>1.05</x:v>
      </x:c>
      <x:c r="I6569" s="6" t="n">
        <x:f>'Historical prices'!D6569</x:f>
        <x:v>-0.0229</x:v>
      </x:c>
      <x:c r="J6569" s="13" t="n">
        <x:f>D6569*I6569*H6569</x:f>
        <x:v>0</x:v>
      </x:c>
      <x:c r="K6569" s="13" t="n">
        <x:f>E6569*I6569*H6569</x:f>
        <x:v>-0.00487512375</x:v>
      </x:c>
      <x:c r="L6569" s="1" t="str">
        <x:f>TEXT(A6569,"mmm yyyy")</x:f>
        <x:v>Sep 2026</x:v>
      </x:c>
    </x:row>
    <x:row r="6570" ht="21" customHeight="1">
      <x:c r="A6570" s="10" t="n">
        <x:v>46285</x:v>
      </x:c>
      <x:c r="B6570" s="1" t="n">
        <x:v>9</x:v>
      </x:c>
      <x:c r="C6570" s="1" t="n">
        <x:v>6</x:v>
      </x:c>
      <x:c r="D6570" s="12" t="n">
        <x:v>0</x:v>
      </x:c>
      <x:c r="E6570" s="12" t="n">
        <x:v>0.26691666666666664</x:v>
      </x:c>
      <x:c r="F6570" s="12" t="n">
        <x:v>0.26625</x:v>
      </x:c>
      <x:c r="G6570" s="12" t="n">
        <x:v>0</x:v>
      </x:c>
      <x:c r="H6570" s="1" t="n">
        <x:f>'Historical prices'!E6570</x:f>
        <x:v>1.05</x:v>
      </x:c>
      <x:c r="I6570" s="6" t="n">
        <x:f>'Historical prices'!D6570</x:f>
        <x:v>-0.024</x:v>
      </x:c>
      <x:c r="J6570" s="13" t="n">
        <x:f>D6570*I6570*H6570</x:f>
        <x:v>0</x:v>
      </x:c>
      <x:c r="K6570" s="13" t="n">
        <x:f>E6570*I6570*H6570</x:f>
        <x:v>-0.006726299999999999</x:v>
      </x:c>
      <x:c r="L6570" s="1" t="str">
        <x:f>TEXT(A6570,"mmm yyyy")</x:f>
        <x:v>Sep 2026</x:v>
      </x:c>
    </x:row>
    <x:row r="6571" ht="21" customHeight="1">
      <x:c r="A6571" s="10" t="n">
        <x:v>46285</x:v>
      </x:c>
      <x:c r="B6571" s="1" t="n">
        <x:v>9.5</x:v>
      </x:c>
      <x:c r="C6571" s="1" t="n">
        <x:v>6</x:v>
      </x:c>
      <x:c r="D6571" s="12" t="n">
        <x:v>0</x:v>
      </x:c>
      <x:c r="E6571" s="12" t="n">
        <x:v>0.3313333333333333</x:v>
      </x:c>
      <x:c r="F6571" s="12" t="n">
        <x:v>0.32991666666666664</x:v>
      </x:c>
      <x:c r="G6571" s="12" t="n">
        <x:v>0</x:v>
      </x:c>
      <x:c r="H6571" s="1" t="n">
        <x:f>'Historical prices'!E6571</x:f>
        <x:v>1.05</x:v>
      </x:c>
      <x:c r="I6571" s="6" t="n">
        <x:f>'Historical prices'!D6571</x:f>
        <x:v>-0.0229</x:v>
      </x:c>
      <x:c r="J6571" s="13" t="n">
        <x:f>D6571*I6571*H6571</x:f>
        <x:v>0</x:v>
      </x:c>
      <x:c r="K6571" s="13" t="n">
        <x:f>E6571*I6571*H6571</x:f>
        <x:v>-0.007966909999999999</x:v>
      </x:c>
      <x:c r="L6571" s="1" t="str">
        <x:f>TEXT(A6571,"mmm yyyy")</x:f>
        <x:v>Sep 2026</x:v>
      </x:c>
    </x:row>
    <x:row r="6572" ht="21" customHeight="1">
      <x:c r="A6572" s="10" t="n">
        <x:v>46285</x:v>
      </x:c>
      <x:c r="B6572" s="1" t="n">
        <x:v>10</x:v>
      </x:c>
      <x:c r="C6572" s="1" t="n">
        <x:v>6</x:v>
      </x:c>
      <x:c r="D6572" s="12" t="n">
        <x:v>0</x:v>
      </x:c>
      <x:c r="E6572" s="12" t="n">
        <x:v>0.23408333333333337</x:v>
      </x:c>
      <x:c r="F6572" s="12" t="n">
        <x:v>0.23308333333333334</x:v>
      </x:c>
      <x:c r="G6572" s="12" t="n">
        <x:v>0</x:v>
      </x:c>
      <x:c r="H6572" s="1" t="n">
        <x:f>'Historical prices'!E6572</x:f>
        <x:v>1.05</x:v>
      </x:c>
      <x:c r="I6572" s="6" t="n">
        <x:f>'Historical prices'!D6572</x:f>
        <x:v>-0.0334</x:v>
      </x:c>
      <x:c r="J6572" s="13" t="n">
        <x:f>D6572*I6572*H6572</x:f>
        <x:v>0</x:v>
      </x:c>
      <x:c r="K6572" s="13" t="n">
        <x:f>E6572*I6572*H6572</x:f>
        <x:v>-0.008209302500000001</x:v>
      </x:c>
      <x:c r="L6572" s="1" t="str">
        <x:f>TEXT(A6572,"mmm yyyy")</x:f>
        <x:v>Sep 2026</x:v>
      </x:c>
    </x:row>
    <x:row r="6573" ht="21" customHeight="1">
      <x:c r="A6573" s="10" t="n">
        <x:v>46285</x:v>
      </x:c>
      <x:c r="B6573" s="1" t="n">
        <x:v>10.5</x:v>
      </x:c>
      <x:c r="C6573" s="1" t="n">
        <x:v>6</x:v>
      </x:c>
      <x:c r="D6573" s="12" t="n">
        <x:v>0</x:v>
      </x:c>
      <x:c r="E6573" s="12" t="n">
        <x:v>0.2975</x:v>
      </x:c>
      <x:c r="F6573" s="12" t="n">
        <x:v>0.29716666666666663</x:v>
      </x:c>
      <x:c r="G6573" s="12" t="n">
        <x:v>0</x:v>
      </x:c>
      <x:c r="H6573" s="1" t="n">
        <x:f>'Historical prices'!E6573</x:f>
        <x:v>1.05</x:v>
      </x:c>
      <x:c r="I6573" s="6" t="n">
        <x:f>'Historical prices'!D6573</x:f>
        <x:v>-0.0355</x:v>
      </x:c>
      <x:c r="J6573" s="13" t="n">
        <x:f>D6573*I6573*H6573</x:f>
        <x:v>0</x:v>
      </x:c>
      <x:c r="K6573" s="13" t="n">
        <x:f>E6573*I6573*H6573</x:f>
        <x:v>-0.011089312499999998</x:v>
      </x:c>
      <x:c r="L6573" s="1" t="str">
        <x:f>TEXT(A6573,"mmm yyyy")</x:f>
        <x:v>Sep 2026</x:v>
      </x:c>
    </x:row>
    <x:row r="6574" ht="21" customHeight="1">
      <x:c r="A6574" s="10" t="n">
        <x:v>46285</x:v>
      </x:c>
      <x:c r="B6574" s="1" t="n">
        <x:v>11</x:v>
      </x:c>
      <x:c r="C6574" s="1" t="n">
        <x:v>6</x:v>
      </x:c>
      <x:c r="D6574" s="12" t="n">
        <x:v>0</x:v>
      </x:c>
      <x:c r="E6574" s="12" t="n">
        <x:v>0.2653333333333333</x:v>
      </x:c>
      <x:c r="F6574" s="12" t="n">
        <x:v>0.26441666666666663</x:v>
      </x:c>
      <x:c r="G6574" s="12" t="n">
        <x:v>0</x:v>
      </x:c>
      <x:c r="H6574" s="1" t="n">
        <x:f>'Historical prices'!E6574</x:f>
        <x:v>1.05</x:v>
      </x:c>
      <x:c r="I6574" s="6" t="n">
        <x:f>'Historical prices'!D6574</x:f>
        <x:v>-0.037599999999999995</x:v>
      </x:c>
      <x:c r="J6574" s="13" t="n">
        <x:f>D6574*I6574*H6574</x:f>
        <x:v>0</x:v>
      </x:c>
      <x:c r="K6574" s="13" t="n">
        <x:f>E6574*I6574*H6574</x:f>
        <x:v>-0.010475359999999998</x:v>
      </x:c>
      <x:c r="L6574" s="1" t="str">
        <x:f>TEXT(A6574,"mmm yyyy")</x:f>
        <x:v>Sep 2026</x:v>
      </x:c>
    </x:row>
    <x:row r="6575" ht="21" customHeight="1">
      <x:c r="A6575" s="10" t="n">
        <x:v>46285</x:v>
      </x:c>
      <x:c r="B6575" s="1" t="n">
        <x:v>11.5</x:v>
      </x:c>
      <x:c r="C6575" s="1" t="n">
        <x:v>6</x:v>
      </x:c>
      <x:c r="D6575" s="12" t="n">
        <x:v>0</x:v>
      </x:c>
      <x:c r="E6575" s="12" t="n">
        <x:v>0.21083333333333332</x:v>
      </x:c>
      <x:c r="F6575" s="12" t="n">
        <x:v>0.20958333333333334</x:v>
      </x:c>
      <x:c r="G6575" s="12" t="n">
        <x:v>0</x:v>
      </x:c>
      <x:c r="H6575" s="1" t="n">
        <x:f>'Historical prices'!E6575</x:f>
        <x:v>1.05</x:v>
      </x:c>
      <x:c r="I6575" s="6" t="n">
        <x:f>'Historical prices'!D6575</x:f>
        <x:v>-0.0354</x:v>
      </x:c>
      <x:c r="J6575" s="13" t="n">
        <x:f>D6575*I6575*H6575</x:f>
        <x:v>0</x:v>
      </x:c>
      <x:c r="K6575" s="13" t="n">
        <x:f>E6575*I6575*H6575</x:f>
        <x:v>-0.007836675</x:v>
      </x:c>
      <x:c r="L6575" s="1" t="str">
        <x:f>TEXT(A6575,"mmm yyyy")</x:f>
        <x:v>Sep 2026</x:v>
      </x:c>
    </x:row>
    <x:row r="6576" ht="21" customHeight="1">
      <x:c r="A6576" s="10" t="n">
        <x:v>46285</x:v>
      </x:c>
      <x:c r="B6576" s="1" t="n">
        <x:v>12</x:v>
      </x:c>
      <x:c r="C6576" s="1" t="n">
        <x:v>6</x:v>
      </x:c>
      <x:c r="D6576" s="12" t="n">
        <x:v>0</x:v>
      </x:c>
      <x:c r="E6576" s="12" t="n">
        <x:v>0.27291666666666664</x:v>
      </x:c>
      <x:c r="F6576" s="12" t="n">
        <x:v>0.27249999999999996</x:v>
      </x:c>
      <x:c r="G6576" s="12" t="n">
        <x:v>0</x:v>
      </x:c>
      <x:c r="H6576" s="1" t="n">
        <x:f>'Historical prices'!E6576</x:f>
        <x:v>1.05</x:v>
      </x:c>
      <x:c r="I6576" s="6" t="n">
        <x:f>'Historical prices'!D6576</x:f>
        <x:v>-0.038599999999999995</x:v>
      </x:c>
      <x:c r="J6576" s="13" t="n">
        <x:f>D6576*I6576*H6576</x:f>
        <x:v>0</x:v>
      </x:c>
      <x:c r="K6576" s="13" t="n">
        <x:f>E6576*I6576*H6576</x:f>
        <x:v>-0.011061312499999998</x:v>
      </x:c>
      <x:c r="L6576" s="1" t="str">
        <x:f>TEXT(A6576,"mmm yyyy")</x:f>
        <x:v>Sep 2026</x:v>
      </x:c>
    </x:row>
    <x:row r="6577" ht="21" customHeight="1">
      <x:c r="A6577" s="10" t="n">
        <x:v>46285</x:v>
      </x:c>
      <x:c r="B6577" s="1" t="n">
        <x:v>12.5</x:v>
      </x:c>
      <x:c r="C6577" s="1" t="n">
        <x:v>6</x:v>
      </x:c>
      <x:c r="D6577" s="12" t="n">
        <x:v>0</x:v>
      </x:c>
      <x:c r="E6577" s="12" t="n">
        <x:v>0.23683333333333334</x:v>
      </x:c>
      <x:c r="F6577" s="12" t="n">
        <x:v>0.2364166666666667</x:v>
      </x:c>
      <x:c r="G6577" s="12" t="n">
        <x:v>0</x:v>
      </x:c>
      <x:c r="H6577" s="1" t="n">
        <x:f>'Historical prices'!E6577</x:f>
        <x:v>1.05</x:v>
      </x:c>
      <x:c r="I6577" s="6" t="n">
        <x:f>'Historical prices'!D6577</x:f>
        <x:v>-0.0356</x:v>
      </x:c>
      <x:c r="J6577" s="13" t="n">
        <x:f>D6577*I6577*H6577</x:f>
        <x:v>0</x:v>
      </x:c>
      <x:c r="K6577" s="13" t="n">
        <x:f>E6577*I6577*H6577</x:f>
        <x:v>-0.008852829999999999</x:v>
      </x:c>
      <x:c r="L6577" s="1" t="str">
        <x:f>TEXT(A6577,"mmm yyyy")</x:f>
        <x:v>Sep 2026</x:v>
      </x:c>
    </x:row>
    <x:row r="6578" ht="21" customHeight="1">
      <x:c r="A6578" s="10" t="n">
        <x:v>46285</x:v>
      </x:c>
      <x:c r="B6578" s="1" t="n">
        <x:v>13</x:v>
      </x:c>
      <x:c r="C6578" s="1" t="n">
        <x:v>6</x:v>
      </x:c>
      <x:c r="D6578" s="12" t="n">
        <x:v>3.797</x:v>
      </x:c>
      <x:c r="E6578" s="12" t="n">
        <x:v>0.4181666666666667</x:v>
      </x:c>
      <x:c r="F6578" s="12" t="n">
        <x:v>0.035</x:v>
      </x:c>
      <x:c r="G6578" s="12" t="n">
        <x:v>3.414</x:v>
      </x:c>
      <x:c r="H6578" s="1" t="n">
        <x:f>'Historical prices'!E6578</x:f>
        <x:v>1.05</x:v>
      </x:c>
      <x:c r="I6578" s="6" t="n">
        <x:f>'Historical prices'!D6578</x:f>
        <x:v>-0.048799999999999996</x:v>
      </x:c>
      <x:c r="J6578" s="13" t="n">
        <x:f>D6578*I6578*H6578</x:f>
        <x:v>-0.19455828</x:v>
      </x:c>
      <x:c r="K6578" s="13" t="n">
        <x:f>E6578*I6578*H6578</x:f>
        <x:v>-0.021426860000000002</x:v>
      </x:c>
      <x:c r="L6578" s="1" t="str">
        <x:f>TEXT(A6578,"mmm yyyy")</x:f>
        <x:v>Sep 2026</x:v>
      </x:c>
    </x:row>
    <x:row r="6579" ht="21" customHeight="1">
      <x:c r="A6579" s="10" t="n">
        <x:v>46285</x:v>
      </x:c>
      <x:c r="B6579" s="1" t="n">
        <x:v>13.5</x:v>
      </x:c>
      <x:c r="C6579" s="1" t="n">
        <x:v>6</x:v>
      </x:c>
      <x:c r="D6579" s="12" t="n">
        <x:v>4.1339999999999995</x:v>
      </x:c>
      <x:c r="E6579" s="12" t="n">
        <x:v>0.44300000000000006</x:v>
      </x:c>
      <x:c r="F6579" s="12" t="n">
        <x:v>0</x:v>
      </x:c>
      <x:c r="G6579" s="12" t="n">
        <x:v>3.6910000000000003</x:v>
      </x:c>
      <x:c r="H6579" s="1" t="n">
        <x:f>'Historical prices'!E6579</x:f>
        <x:v>1.05</x:v>
      </x:c>
      <x:c r="I6579" s="6" t="n">
        <x:f>'Historical prices'!D6579</x:f>
        <x:v>-0.0435</x:v>
      </x:c>
      <x:c r="J6579" s="13" t="n">
        <x:f>D6579*I6579*H6579</x:f>
        <x:v>-0.18882044999999997</x:v>
      </x:c>
      <x:c r="K6579" s="13" t="n">
        <x:f>E6579*I6579*H6579</x:f>
        <x:v>-0.020234025000000003</x:v>
      </x:c>
      <x:c r="L6579" s="1" t="str">
        <x:f>TEXT(A6579,"mmm yyyy")</x:f>
        <x:v>Sep 2026</x:v>
      </x:c>
    </x:row>
    <x:row r="6580" ht="21" customHeight="1">
      <x:c r="A6580" s="10" t="n">
        <x:v>46285</x:v>
      </x:c>
      <x:c r="B6580" s="1" t="n">
        <x:v>14</x:v>
      </x:c>
      <x:c r="C6580" s="1" t="n">
        <x:v>6</x:v>
      </x:c>
      <x:c r="D6580" s="12" t="n">
        <x:v>0.24975</x:v>
      </x:c>
      <x:c r="E6580" s="12" t="n">
        <x:v>0.27725</x:v>
      </x:c>
      <x:c r="F6580" s="12" t="n">
        <x:v>0.22783333333333333</x:v>
      </x:c>
      <x:c r="G6580" s="12" t="n">
        <x:v>0.201</x:v>
      </x:c>
      <x:c r="H6580" s="1" t="n">
        <x:f>'Historical prices'!E6580</x:f>
        <x:v>1.05</x:v>
      </x:c>
      <x:c r="I6580" s="6" t="n">
        <x:f>'Historical prices'!D6580</x:f>
        <x:v>-0.0409</x:v>
      </x:c>
      <x:c r="J6580" s="13" t="n">
        <x:f>D6580*I6580*H6580</x:f>
        <x:v>-0.010725513749999999</x:v>
      </x:c>
      <x:c r="K6580" s="13" t="n">
        <x:f>E6580*I6580*H6580</x:f>
        <x:v>-0.01190650125</x:v>
      </x:c>
      <x:c r="L6580" s="1" t="str">
        <x:f>TEXT(A6580,"mmm yyyy")</x:f>
        <x:v>Sep 2026</x:v>
      </x:c>
    </x:row>
    <x:row r="6581" ht="21" customHeight="1">
      <x:c r="A6581" s="10" t="n">
        <x:v>46285</x:v>
      </x:c>
      <x:c r="B6581" s="1" t="n">
        <x:v>14.5</x:v>
      </x:c>
      <x:c r="C6581" s="1" t="n">
        <x:v>6</x:v>
      </x:c>
      <x:c r="D6581" s="12" t="n">
        <x:v>0</x:v>
      </x:c>
      <x:c r="E6581" s="12" t="n">
        <x:v>0.22033333333333335</x:v>
      </x:c>
      <x:c r="F6581" s="12" t="n">
        <x:v>0.2195</x:v>
      </x:c>
      <x:c r="G6581" s="12" t="n">
        <x:v>0</x:v>
      </x:c>
      <x:c r="H6581" s="1" t="n">
        <x:f>'Historical prices'!E6581</x:f>
        <x:v>1.05</x:v>
      </x:c>
      <x:c r="I6581" s="6" t="n">
        <x:f>'Historical prices'!D6581</x:f>
        <x:v>-0.023799999999999998</x:v>
      </x:c>
      <x:c r="J6581" s="13" t="n">
        <x:f>D6581*I6581*H6581</x:f>
        <x:v>0</x:v>
      </x:c>
      <x:c r="K6581" s="13" t="n">
        <x:f>E6581*I6581*H6581</x:f>
        <x:v>-0.005506130000000001</x:v>
      </x:c>
      <x:c r="L6581" s="1" t="str">
        <x:f>TEXT(A6581,"mmm yyyy")</x:f>
        <x:v>Sep 2026</x:v>
      </x:c>
    </x:row>
    <x:row r="6582" ht="21" customHeight="1">
      <x:c r="A6582" s="10" t="n">
        <x:v>46285</x:v>
      </x:c>
      <x:c r="B6582" s="1" t="n">
        <x:v>15</x:v>
      </x:c>
      <x:c r="C6582" s="1" t="n">
        <x:v>6</x:v>
      </x:c>
      <x:c r="D6582" s="12" t="n">
        <x:v>0.7935</x:v>
      </x:c>
      <x:c r="E6582" s="12" t="n">
        <x:v>0.23625000000000002</x:v>
      </x:c>
      <x:c r="F6582" s="12" t="n">
        <x:v>0.03275</x:v>
      </x:c>
      <x:c r="G6582" s="12" t="n">
        <x:v>0.59</x:v>
      </x:c>
      <x:c r="H6582" s="1" t="n">
        <x:f>'Historical prices'!E6582</x:f>
        <x:v>1.05</x:v>
      </x:c>
      <x:c r="I6582" s="6" t="n">
        <x:f>'Historical prices'!D6582</x:f>
        <x:v>-0.0443</x:v>
      </x:c>
      <x:c r="J6582" s="13" t="n">
        <x:f>D6582*I6582*H6582</x:f>
        <x:v>-0.0369096525</x:v>
      </x:c>
      <x:c r="K6582" s="13" t="n">
        <x:f>E6582*I6582*H6582</x:f>
        <x:v>-0.010989168750000002</x:v>
      </x:c>
      <x:c r="L6582" s="1" t="str">
        <x:f>TEXT(A6582,"mmm yyyy")</x:f>
        <x:v>Sep 2026</x:v>
      </x:c>
    </x:row>
    <x:row r="6583" ht="21" customHeight="1">
      <x:c r="A6583" s="10" t="n">
        <x:v>46285</x:v>
      </x:c>
      <x:c r="B6583" s="1" t="n">
        <x:v>15.5</x:v>
      </x:c>
      <x:c r="C6583" s="1" t="n">
        <x:v>6</x:v>
      </x:c>
      <x:c r="D6583" s="12" t="n">
        <x:v>0.03775</x:v>
      </x:c>
      <x:c r="E6583" s="12" t="n">
        <x:v>0.26491666666666663</x:v>
      </x:c>
      <x:c r="F6583" s="12" t="n">
        <x:v>0.22474999999999995</x:v>
      </x:c>
      <x:c r="G6583" s="12" t="n">
        <x:v>0</x:v>
      </x:c>
      <x:c r="H6583" s="1" t="n">
        <x:f>'Historical prices'!E6583</x:f>
        <x:v>1.05</x:v>
      </x:c>
      <x:c r="I6583" s="6" t="n">
        <x:f>'Historical prices'!D6583</x:f>
        <x:v>-0.0158</x:v>
      </x:c>
      <x:c r="J6583" s="13" t="n">
        <x:f>D6583*I6583*H6583</x:f>
        <x:v>-0.0006262725</x:v>
      </x:c>
      <x:c r="K6583" s="13" t="n">
        <x:f>E6583*I6583*H6583</x:f>
        <x:v>-0.0043949675</x:v>
      </x:c>
      <x:c r="L6583" s="1" t="str">
        <x:f>TEXT(A6583,"mmm yyyy")</x:f>
        <x:v>Sep 2026</x:v>
      </x:c>
    </x:row>
    <x:row r="6584" ht="21" customHeight="1">
      <x:c r="A6584" s="10" t="n">
        <x:v>46285</x:v>
      </x:c>
      <x:c r="B6584" s="1" t="n">
        <x:v>16</x:v>
      </x:c>
      <x:c r="C6584" s="1" t="n">
        <x:v>6</x:v>
      </x:c>
      <x:c r="D6584" s="12" t="n">
        <x:v>0</x:v>
      </x:c>
      <x:c r="E6584" s="12" t="n">
        <x:v>0.25183333333333335</x:v>
      </x:c>
      <x:c r="F6584" s="12" t="n">
        <x:v>0.25133333333333335</x:v>
      </x:c>
      <x:c r="G6584" s="12" t="n">
        <x:v>0</x:v>
      </x:c>
      <x:c r="H6584" s="1" t="n">
        <x:f>'Historical prices'!E6584</x:f>
        <x:v>1.05</x:v>
      </x:c>
      <x:c r="I6584" s="6" t="n">
        <x:f>'Historical prices'!D6584</x:f>
        <x:v>0.0733</x:v>
      </x:c>
      <x:c r="J6584" s="13" t="n">
        <x:f>D6584*I6584*H6584</x:f>
        <x:v>0</x:v>
      </x:c>
      <x:c r="K6584" s="13" t="n">
        <x:f>E6584*I6584*H6584</x:f>
        <x:v>0.019382352500000005</x:v>
      </x:c>
      <x:c r="L6584" s="1" t="str">
        <x:f>TEXT(A6584,"mmm yyyy")</x:f>
        <x:v>Sep 2026</x:v>
      </x:c>
    </x:row>
    <x:row r="6585" ht="21" customHeight="1">
      <x:c r="A6585" s="10" t="n">
        <x:v>46285</x:v>
      </x:c>
      <x:c r="B6585" s="1" t="n">
        <x:v>16.5</x:v>
      </x:c>
      <x:c r="C6585" s="1" t="n">
        <x:v>6</x:v>
      </x:c>
      <x:c r="D6585" s="12" t="n">
        <x:v>0</x:v>
      </x:c>
      <x:c r="E6585" s="12" t="n">
        <x:v>0.24625</x:v>
      </x:c>
      <x:c r="F6585" s="12" t="n">
        <x:v>0.24575</x:v>
      </x:c>
      <x:c r="G6585" s="12" t="n">
        <x:v>0</x:v>
      </x:c>
      <x:c r="H6585" s="1" t="n">
        <x:f>'Historical prices'!E6585</x:f>
        <x:v>1.05</x:v>
      </x:c>
      <x:c r="I6585" s="6" t="n">
        <x:f>'Historical prices'!D6585</x:f>
        <x:v>0.2054</x:v>
      </x:c>
      <x:c r="J6585" s="13" t="n">
        <x:f>D6585*I6585*H6585</x:f>
        <x:v>0</x:v>
      </x:c>
      <x:c r="K6585" s="13" t="n">
        <x:f>E6585*I6585*H6585</x:f>
        <x:v>0.0531087375</x:v>
      </x:c>
      <x:c r="L6585" s="1" t="str">
        <x:f>TEXT(A6585,"mmm yyyy")</x:f>
        <x:v>Sep 2026</x:v>
      </x:c>
    </x:row>
    <x:row r="6586" ht="21" customHeight="1">
      <x:c r="A6586" s="10" t="n">
        <x:v>46285</x:v>
      </x:c>
      <x:c r="B6586" s="1" t="n">
        <x:v>17</x:v>
      </x:c>
      <x:c r="C6586" s="1" t="n">
        <x:v>6</x:v>
      </x:c>
      <x:c r="D6586" s="12" t="n">
        <x:v>0</x:v>
      </x:c>
      <x:c r="E6586" s="12" t="n">
        <x:v>0.24075000000000002</x:v>
      </x:c>
      <x:c r="F6586" s="12" t="n">
        <x:v>0.2404166666666667</x:v>
      </x:c>
      <x:c r="G6586" s="12" t="n">
        <x:v>0</x:v>
      </x:c>
      <x:c r="H6586" s="1" t="n">
        <x:f>'Historical prices'!E6586</x:f>
        <x:v>1.05</x:v>
      </x:c>
      <x:c r="I6586" s="6" t="n">
        <x:f>'Historical prices'!D6586</x:f>
        <x:v>0.45299999999999996</x:v>
      </x:c>
      <x:c r="J6586" s="13" t="n">
        <x:f>D6586*I6586*H6586</x:f>
        <x:v>0</x:v>
      </x:c>
      <x:c r="K6586" s="13" t="n">
        <x:f>E6586*I6586*H6586</x:f>
        <x:v>0.1145127375</x:v>
      </x:c>
      <x:c r="L6586" s="1" t="str">
        <x:f>TEXT(A6586,"mmm yyyy")</x:f>
        <x:v>Sep 2026</x:v>
      </x:c>
    </x:row>
    <x:row r="6587" ht="21" customHeight="1">
      <x:c r="A6587" s="10" t="n">
        <x:v>46285</x:v>
      </x:c>
      <x:c r="B6587" s="1" t="n">
        <x:v>17.5</x:v>
      </x:c>
      <x:c r="C6587" s="1" t="n">
        <x:v>6</x:v>
      </x:c>
      <x:c r="D6587" s="12" t="n">
        <x:v>0</x:v>
      </x:c>
      <x:c r="E6587" s="12" t="n">
        <x:v>0.19083333333333335</x:v>
      </x:c>
      <x:c r="F6587" s="12" t="n">
        <x:v>0.1905</x:v>
      </x:c>
      <x:c r="G6587" s="12" t="n">
        <x:v>0</x:v>
      </x:c>
      <x:c r="H6587" s="1" t="n">
        <x:f>'Historical prices'!E6587</x:f>
        <x:v>1.05</x:v>
      </x:c>
      <x:c r="I6587" s="6" t="n">
        <x:f>'Historical prices'!D6587</x:f>
        <x:v>0.4413</x:v>
      </x:c>
      <x:c r="J6587" s="13" t="n">
        <x:f>D6587*I6587*H6587</x:f>
        <x:v>0</x:v>
      </x:c>
      <x:c r="K6587" s="13" t="n">
        <x:f>E6587*I6587*H6587</x:f>
        <x:v>0.08842548750000002</x:v>
      </x:c>
      <x:c r="L6587" s="1" t="str">
        <x:f>TEXT(A6587,"mmm yyyy")</x:f>
        <x:v>Sep 2026</x:v>
      </x:c>
    </x:row>
    <x:row r="6588" ht="21" customHeight="1">
      <x:c r="A6588" s="10" t="n">
        <x:v>46285</x:v>
      </x:c>
      <x:c r="B6588" s="1" t="n">
        <x:v>18</x:v>
      </x:c>
      <x:c r="C6588" s="1" t="n">
        <x:v>6</x:v>
      </x:c>
      <x:c r="D6588" s="12" t="n">
        <x:v>0</x:v>
      </x:c>
      <x:c r="E6588" s="12" t="n">
        <x:v>0.387</x:v>
      </x:c>
      <x:c r="F6588" s="12" t="n">
        <x:v>0.386</x:v>
      </x:c>
      <x:c r="G6588" s="12" t="n">
        <x:v>0</x:v>
      </x:c>
      <x:c r="H6588" s="1" t="n">
        <x:f>'Historical prices'!E6588</x:f>
        <x:v>1.05</x:v>
      </x:c>
      <x:c r="I6588" s="6" t="n">
        <x:f>'Historical prices'!D6588</x:f>
        <x:v>0.4863</x:v>
      </x:c>
      <x:c r="J6588" s="13" t="n">
        <x:f>D6588*I6588*H6588</x:f>
        <x:v>0</x:v>
      </x:c>
      <x:c r="K6588" s="13" t="n">
        <x:f>E6588*I6588*H6588</x:f>
        <x:v>0.197608005</x:v>
      </x:c>
      <x:c r="L6588" s="1" t="str">
        <x:f>TEXT(A6588,"mmm yyyy")</x:f>
        <x:v>Sep 2026</x:v>
      </x:c>
    </x:row>
    <x:row r="6589" ht="21" customHeight="1">
      <x:c r="A6589" s="10" t="n">
        <x:v>46285</x:v>
      </x:c>
      <x:c r="B6589" s="1" t="n">
        <x:v>18.5</x:v>
      </x:c>
      <x:c r="C6589" s="1" t="n">
        <x:v>6</x:v>
      </x:c>
      <x:c r="D6589" s="12" t="n">
        <x:v>0</x:v>
      </x:c>
      <x:c r="E6589" s="12" t="n">
        <x:v>0.305</x:v>
      </x:c>
      <x:c r="F6589" s="12" t="n">
        <x:v>0.3049166666666666</x:v>
      </x:c>
      <x:c r="G6589" s="12" t="n">
        <x:v>0</x:v>
      </x:c>
      <x:c r="H6589" s="1" t="n">
        <x:f>'Historical prices'!E6589</x:f>
        <x:v>1.05</x:v>
      </x:c>
      <x:c r="I6589" s="6" t="n">
        <x:f>'Historical prices'!D6589</x:f>
        <x:v>0.4978</x:v>
      </x:c>
      <x:c r="J6589" s="13" t="n">
        <x:f>D6589*I6589*H6589</x:f>
        <x:v>0</x:v>
      </x:c>
      <x:c r="K6589" s="13" t="n">
        <x:f>E6589*I6589*H6589</x:f>
        <x:v>0.15942045</x:v>
      </x:c>
      <x:c r="L6589" s="1" t="str">
        <x:f>TEXT(A6589,"mmm yyyy")</x:f>
        <x:v>Sep 2026</x:v>
      </x:c>
    </x:row>
    <x:row r="6590" ht="21" customHeight="1">
      <x:c r="A6590" s="10" t="n">
        <x:v>46285</x:v>
      </x:c>
      <x:c r="B6590" s="1" t="n">
        <x:v>19</x:v>
      </x:c>
      <x:c r="C6590" s="1" t="n">
        <x:v>6</x:v>
      </x:c>
      <x:c r="D6590" s="12" t="n">
        <x:v>0</x:v>
      </x:c>
      <x:c r="E6590" s="12" t="n">
        <x:v>0.23491666666666672</x:v>
      </x:c>
      <x:c r="F6590" s="12" t="n">
        <x:v>0.23416666666666666</x:v>
      </x:c>
      <x:c r="G6590" s="12" t="n">
        <x:v>0</x:v>
      </x:c>
      <x:c r="H6590" s="1" t="n">
        <x:f>'Historical prices'!E6590</x:f>
        <x:v>1.05</x:v>
      </x:c>
      <x:c r="I6590" s="6" t="n">
        <x:f>'Historical prices'!D6590</x:f>
        <x:v>0.3803</x:v>
      </x:c>
      <x:c r="J6590" s="13" t="n">
        <x:f>D6590*I6590*H6590</x:f>
        <x:v>0</x:v>
      </x:c>
      <x:c r="K6590" s="13" t="n">
        <x:f>E6590*I6590*H6590</x:f>
        <x:v>0.09380574875000003</x:v>
      </x:c>
      <x:c r="L6590" s="1" t="str">
        <x:f>TEXT(A6590,"mmm yyyy")</x:f>
        <x:v>Sep 2026</x:v>
      </x:c>
    </x:row>
    <x:row r="6591" ht="21" customHeight="1">
      <x:c r="A6591" s="10" t="n">
        <x:v>46285</x:v>
      </x:c>
      <x:c r="B6591" s="1" t="n">
        <x:v>19.5</x:v>
      </x:c>
      <x:c r="C6591" s="1" t="n">
        <x:v>6</x:v>
      </x:c>
      <x:c r="D6591" s="12" t="n">
        <x:v>0</x:v>
      </x:c>
      <x:c r="E6591" s="12" t="n">
        <x:v>0.2381666666666667</x:v>
      </x:c>
      <x:c r="F6591" s="12" t="n">
        <x:v>0.23733333333333334</x:v>
      </x:c>
      <x:c r="G6591" s="12" t="n">
        <x:v>0</x:v>
      </x:c>
      <x:c r="H6591" s="1" t="n">
        <x:f>'Historical prices'!E6591</x:f>
        <x:v>1.05</x:v>
      </x:c>
      <x:c r="I6591" s="6" t="n">
        <x:f>'Historical prices'!D6591</x:f>
        <x:v>0.38659999999999994</x:v>
      </x:c>
      <x:c r="J6591" s="13" t="n">
        <x:f>D6591*I6591*H6591</x:f>
        <x:v>0</x:v>
      </x:c>
      <x:c r="K6591" s="13" t="n">
        <x:f>E6591*I6591*H6591</x:f>
        <x:v>0.09667899499999999</x:v>
      </x:c>
      <x:c r="L6591" s="1" t="str">
        <x:f>TEXT(A6591,"mmm yyyy")</x:f>
        <x:v>Sep 2026</x:v>
      </x:c>
    </x:row>
    <x:row r="6592" ht="21" customHeight="1">
      <x:c r="A6592" s="10" t="n">
        <x:v>46285</x:v>
      </x:c>
      <x:c r="B6592" s="1" t="n">
        <x:v>20</x:v>
      </x:c>
      <x:c r="C6592" s="1" t="n">
        <x:v>6</x:v>
      </x:c>
      <x:c r="D6592" s="12" t="n">
        <x:v>0</x:v>
      </x:c>
      <x:c r="E6592" s="12" t="n">
        <x:v>0.3255</x:v>
      </x:c>
      <x:c r="F6592" s="12" t="n">
        <x:v>0.325</x:v>
      </x:c>
      <x:c r="G6592" s="12" t="n">
        <x:v>0</x:v>
      </x:c>
      <x:c r="H6592" s="1" t="n">
        <x:f>'Historical prices'!E6592</x:f>
        <x:v>1.05</x:v>
      </x:c>
      <x:c r="I6592" s="6" t="n">
        <x:f>'Historical prices'!D6592</x:f>
        <x:v>0.3901</x:v>
      </x:c>
      <x:c r="J6592" s="13" t="n">
        <x:f>D6592*I6592*H6592</x:f>
        <x:v>0</x:v>
      </x:c>
      <x:c r="K6592" s="13" t="n">
        <x:f>E6592*I6592*H6592</x:f>
        <x:v>0.1333264275</x:v>
      </x:c>
      <x:c r="L6592" s="1" t="str">
        <x:f>TEXT(A6592,"mmm yyyy")</x:f>
        <x:v>Sep 2026</x:v>
      </x:c>
    </x:row>
    <x:row r="6593" ht="21" customHeight="1">
      <x:c r="A6593" s="10" t="n">
        <x:v>46285</x:v>
      </x:c>
      <x:c r="B6593" s="1" t="n">
        <x:v>20.5</x:v>
      </x:c>
      <x:c r="C6593" s="1" t="n">
        <x:v>6</x:v>
      </x:c>
      <x:c r="D6593" s="12" t="n">
        <x:v>0</x:v>
      </x:c>
      <x:c r="E6593" s="12" t="n">
        <x:v>0.275</x:v>
      </x:c>
      <x:c r="F6593" s="12" t="n">
        <x:v>0.27416666666666667</x:v>
      </x:c>
      <x:c r="G6593" s="12" t="n">
        <x:v>0</x:v>
      </x:c>
      <x:c r="H6593" s="1" t="n">
        <x:f>'Historical prices'!E6593</x:f>
        <x:v>1.05</x:v>
      </x:c>
      <x:c r="I6593" s="6" t="n">
        <x:f>'Historical prices'!D6593</x:f>
        <x:v>0.3787</x:v>
      </x:c>
      <x:c r="J6593" s="13" t="n">
        <x:f>D6593*I6593*H6593</x:f>
        <x:v>0</x:v>
      </x:c>
      <x:c r="K6593" s="13" t="n">
        <x:f>E6593*I6593*H6593</x:f>
        <x:v>0.109349625</x:v>
      </x:c>
      <x:c r="L6593" s="1" t="str">
        <x:f>TEXT(A6593,"mmm yyyy")</x:f>
        <x:v>Sep 2026</x:v>
      </x:c>
    </x:row>
    <x:row r="6594" ht="21" customHeight="1">
      <x:c r="A6594" s="10" t="n">
        <x:v>46285</x:v>
      </x:c>
      <x:c r="B6594" s="1" t="n">
        <x:v>21</x:v>
      </x:c>
      <x:c r="C6594" s="1" t="n">
        <x:v>6</x:v>
      </x:c>
      <x:c r="D6594" s="12" t="n">
        <x:v>0</x:v>
      </x:c>
      <x:c r="E6594" s="12" t="n">
        <x:v>0.22975</x:v>
      </x:c>
      <x:c r="F6594" s="12" t="n">
        <x:v>0.22925</x:v>
      </x:c>
      <x:c r="G6594" s="12" t="n">
        <x:v>0</x:v>
      </x:c>
      <x:c r="H6594" s="1" t="n">
        <x:f>'Historical prices'!E6594</x:f>
        <x:v>1.05</x:v>
      </x:c>
      <x:c r="I6594" s="6" t="n">
        <x:f>'Historical prices'!D6594</x:f>
        <x:v>0.3677</x:v>
      </x:c>
      <x:c r="J6594" s="13" t="n">
        <x:f>D6594*I6594*H6594</x:f>
        <x:v>0</x:v>
      </x:c>
      <x:c r="K6594" s="13" t="n">
        <x:f>E6594*I6594*H6594</x:f>
        <x:v>0.08870302875000002</x:v>
      </x:c>
      <x:c r="L6594" s="1" t="str">
        <x:f>TEXT(A6594,"mmm yyyy")</x:f>
        <x:v>Sep 2026</x:v>
      </x:c>
    </x:row>
    <x:row r="6595" ht="21" customHeight="1">
      <x:c r="A6595" s="10" t="n">
        <x:v>46285</x:v>
      </x:c>
      <x:c r="B6595" s="1" t="n">
        <x:v>21.5</x:v>
      </x:c>
      <x:c r="C6595" s="1" t="n">
        <x:v>6</x:v>
      </x:c>
      <x:c r="D6595" s="12" t="n">
        <x:v>0</x:v>
      </x:c>
      <x:c r="E6595" s="12" t="n">
        <x:v>0.28633333333333333</x:v>
      </x:c>
      <x:c r="F6595" s="12" t="n">
        <x:v>0.28541666666666665</x:v>
      </x:c>
      <x:c r="G6595" s="12" t="n">
        <x:v>0</x:v>
      </x:c>
      <x:c r="H6595" s="1" t="n">
        <x:f>'Historical prices'!E6595</x:f>
        <x:v>1.05</x:v>
      </x:c>
      <x:c r="I6595" s="6" t="n">
        <x:f>'Historical prices'!D6595</x:f>
        <x:v>0.36200000000000004</x:v>
      </x:c>
      <x:c r="J6595" s="13" t="n">
        <x:f>D6595*I6595*H6595</x:f>
        <x:v>0</x:v>
      </x:c>
      <x:c r="K6595" s="13" t="n">
        <x:f>E6595*I6595*H6595</x:f>
        <x:v>0.10883530000000001</x:v>
      </x:c>
      <x:c r="L6595" s="1" t="str">
        <x:f>TEXT(A6595,"mmm yyyy")</x:f>
        <x:v>Sep 2026</x:v>
      </x:c>
    </x:row>
    <x:row r="6596" ht="21" customHeight="1">
      <x:c r="A6596" s="10" t="n">
        <x:v>46285</x:v>
      </x:c>
      <x:c r="B6596" s="1" t="n">
        <x:v>22</x:v>
      </x:c>
      <x:c r="C6596" s="1" t="n">
        <x:v>6</x:v>
      </x:c>
      <x:c r="D6596" s="12" t="n">
        <x:v>0</x:v>
      </x:c>
      <x:c r="E6596" s="12" t="n">
        <x:v>0.37249999999999994</x:v>
      </x:c>
      <x:c r="F6596" s="12" t="n">
        <x:v>0.37216666666666665</x:v>
      </x:c>
      <x:c r="G6596" s="12" t="n">
        <x:v>0</x:v>
      </x:c>
      <x:c r="H6596" s="1" t="n">
        <x:f>'Historical prices'!E6596</x:f>
        <x:v>1.05</x:v>
      </x:c>
      <x:c r="I6596" s="6" t="n">
        <x:f>'Historical prices'!D6596</x:f>
        <x:v>0.3404</x:v>
      </x:c>
      <x:c r="J6596" s="13" t="n">
        <x:f>D6596*I6596*H6596</x:f>
        <x:v>0</x:v>
      </x:c>
      <x:c r="K6596" s="13" t="n">
        <x:f>E6596*I6596*H6596</x:f>
        <x:v>0.13313894999999998</x:v>
      </x:c>
      <x:c r="L6596" s="1" t="str">
        <x:f>TEXT(A6596,"mmm yyyy")</x:f>
        <x:v>Sep 2026</x:v>
      </x:c>
    </x:row>
    <x:row r="6597" ht="21" customHeight="1">
      <x:c r="A6597" s="10" t="n">
        <x:v>46285</x:v>
      </x:c>
      <x:c r="B6597" s="1" t="n">
        <x:v>22.5</x:v>
      </x:c>
      <x:c r="C6597" s="1" t="n">
        <x:v>6</x:v>
      </x:c>
      <x:c r="D6597" s="12" t="n">
        <x:v>0.143</x:v>
      </x:c>
      <x:c r="E6597" s="12" t="n">
        <x:v>0.20516666666666666</x:v>
      </x:c>
      <x:c r="F6597" s="12" t="n">
        <x:v>0.053</x:v>
      </x:c>
      <x:c r="G6597" s="12" t="n">
        <x:v>0</x:v>
      </x:c>
      <x:c r="H6597" s="1" t="n">
        <x:f>'Historical prices'!E6597</x:f>
        <x:v>1.05</x:v>
      </x:c>
      <x:c r="I6597" s="6" t="n">
        <x:f>'Historical prices'!D6597</x:f>
        <x:v>0.29410000000000003</x:v>
      </x:c>
      <x:c r="J6597" s="13" t="n">
        <x:f>D6597*I6597*H6597</x:f>
        <x:v>0.044159115</x:v>
      </x:c>
      <x:c r="K6597" s="13" t="n">
        <x:f>E6597*I6597*H6597</x:f>
        <x:v>0.0633564925</x:v>
      </x:c>
      <x:c r="L6597" s="1" t="str">
        <x:f>TEXT(A6597,"mmm yyyy")</x:f>
        <x:v>Sep 2026</x:v>
      </x:c>
    </x:row>
    <x:row r="6598" ht="21" customHeight="1">
      <x:c r="A6598" s="10" t="n">
        <x:v>46285</x:v>
      </x:c>
      <x:c r="B6598" s="1" t="n">
        <x:v>23</x:v>
      </x:c>
      <x:c r="C6598" s="1" t="n">
        <x:v>6</x:v>
      </x:c>
      <x:c r="D6598" s="12" t="n">
        <x:v>0.172</x:v>
      </x:c>
      <x:c r="E6598" s="12" t="n">
        <x:v>0.183</x:v>
      </x:c>
      <x:c r="F6598" s="12" t="n">
        <x:v>0</x:v>
      </x:c>
      <x:c r="G6598" s="12" t="n">
        <x:v>0</x:v>
      </x:c>
      <x:c r="H6598" s="1" t="n">
        <x:f>'Historical prices'!E6598</x:f>
        <x:v>1.05</x:v>
      </x:c>
      <x:c r="I6598" s="6" t="n">
        <x:f>'Historical prices'!D6598</x:f>
        <x:v>0.3209</x:v>
      </x:c>
      <x:c r="J6598" s="13" t="n">
        <x:f>D6598*I6598*H6598</x:f>
        <x:v>0.057954540000000006</x:v>
      </x:c>
      <x:c r="K6598" s="13" t="n">
        <x:f>E6598*I6598*H6598</x:f>
        <x:v>0.06166093500000001</x:v>
      </x:c>
      <x:c r="L6598" s="1" t="str">
        <x:f>TEXT(A6598,"mmm yyyy")</x:f>
        <x:v>Sep 2026</x:v>
      </x:c>
    </x:row>
    <x:row r="6599" ht="21" customHeight="1">
      <x:c r="A6599" s="10" t="n">
        <x:v>46285</x:v>
      </x:c>
      <x:c r="B6599" s="1" t="n">
        <x:v>23.5</x:v>
      </x:c>
      <x:c r="C6599" s="1" t="n">
        <x:v>6</x:v>
      </x:c>
      <x:c r="D6599" s="12" t="n">
        <x:v>0.15049999999999997</x:v>
      </x:c>
      <x:c r="E6599" s="12" t="n">
        <x:v>0.16149999999999998</x:v>
      </x:c>
      <x:c r="F6599" s="12" t="n">
        <x:v>0</x:v>
      </x:c>
      <x:c r="G6599" s="12" t="n">
        <x:v>0</x:v>
      </x:c>
      <x:c r="H6599" s="1" t="n">
        <x:f>'Historical prices'!E6599</x:f>
        <x:v>1.05</x:v>
      </x:c>
      <x:c r="I6599" s="6" t="n">
        <x:f>'Historical prices'!D6599</x:f>
        <x:v>0.3136</x:v>
      </x:c>
      <x:c r="J6599" s="13" t="n">
        <x:f>D6599*I6599*H6599</x:f>
        <x:v>0.04955663999999999</x:v>
      </x:c>
      <x:c r="K6599" s="13" t="n">
        <x:f>E6599*I6599*H6599</x:f>
        <x:v>0.05317872</x:v>
      </x:c>
      <x:c r="L6599" s="1" t="str">
        <x:f>TEXT(A6599,"mmm yyyy")</x:f>
        <x:v>Sep 2026</x:v>
      </x:c>
    </x:row>
    <x:row r="6600" ht="21" customHeight="1">
      <x:c r="A6600" s="10" t="n">
        <x:v>46286</x:v>
      </x:c>
      <x:c r="B6600" s="1" t="n">
        <x:v>0</x:v>
      </x:c>
      <x:c r="C6600" s="1" t="n">
        <x:v>6</x:v>
      </x:c>
      <x:c r="D6600" s="12" t="n">
        <x:v>0.14275</x:v>
      </x:c>
      <x:c r="E6600" s="12" t="n">
        <x:v>0.15375</x:v>
      </x:c>
      <x:c r="F6600" s="12" t="n">
        <x:v>0</x:v>
      </x:c>
      <x:c r="G6600" s="12" t="n">
        <x:v>0</x:v>
      </x:c>
      <x:c r="H6600" s="1" t="n">
        <x:f>'Historical prices'!E6600</x:f>
        <x:v>1.05</x:v>
      </x:c>
      <x:c r="I6600" s="6" t="n">
        <x:f>'Historical prices'!D6600</x:f>
        <x:v>0.2963</x:v>
      </x:c>
      <x:c r="J6600" s="13" t="n">
        <x:f>D6600*I6600*H6600</x:f>
        <x:v>0.044411666249999995</x:v>
      </x:c>
      <x:c r="K6600" s="13" t="n">
        <x:f>E6600*I6600*H6600</x:f>
        <x:v>0.04783393125</x:v>
      </x:c>
      <x:c r="L6600" s="1" t="str">
        <x:f>TEXT(A6600,"mmm yyyy")</x:f>
        <x:v>Sep 2026</x:v>
      </x:c>
    </x:row>
    <x:row r="6601" ht="21" customHeight="1">
      <x:c r="A6601" s="10" t="n">
        <x:v>46286</x:v>
      </x:c>
      <x:c r="B6601" s="1" t="n">
        <x:v>0.5</x:v>
      </x:c>
      <x:c r="C6601" s="1" t="n">
        <x:v>6</x:v>
      </x:c>
      <x:c r="D6601" s="12" t="n">
        <x:v>0.1855</x:v>
      </x:c>
      <x:c r="E6601" s="12" t="n">
        <x:v>0.1955</x:v>
      </x:c>
      <x:c r="F6601" s="12" t="n">
        <x:v>0</x:v>
      </x:c>
      <x:c r="G6601" s="12" t="n">
        <x:v>0</x:v>
      </x:c>
      <x:c r="H6601" s="1" t="n">
        <x:f>'Historical prices'!E6601</x:f>
        <x:v>1.05</x:v>
      </x:c>
      <x:c r="I6601" s="6" t="n">
        <x:f>'Historical prices'!D6601</x:f>
        <x:v>0.3102</x:v>
      </x:c>
      <x:c r="J6601" s="13" t="n">
        <x:f>D6601*I6601*H6601</x:f>
        <x:v>0.060419205</x:v>
      </x:c>
      <x:c r="K6601" s="13" t="n">
        <x:f>E6601*I6601*H6601</x:f>
        <x:v>0.063676305</x:v>
      </x:c>
      <x:c r="L6601" s="1" t="str">
        <x:f>TEXT(A6601,"mmm yyyy")</x:f>
        <x:v>Sep 2026</x:v>
      </x:c>
    </x:row>
    <x:row r="6602" ht="21" customHeight="1">
      <x:c r="A6602" s="10" t="n">
        <x:v>46286</x:v>
      </x:c>
      <x:c r="B6602" s="1" t="n">
        <x:v>1</x:v>
      </x:c>
      <x:c r="C6602" s="1" t="n">
        <x:v>6</x:v>
      </x:c>
      <x:c r="D6602" s="12" t="n">
        <x:v>0.159</x:v>
      </x:c>
      <x:c r="E6602" s="12" t="n">
        <x:v>0.16899999999999998</x:v>
      </x:c>
      <x:c r="F6602" s="12" t="n">
        <x:v>0</x:v>
      </x:c>
      <x:c r="G6602" s="12" t="n">
        <x:v>0</x:v>
      </x:c>
      <x:c r="H6602" s="1" t="n">
        <x:f>'Historical prices'!E6602</x:f>
        <x:v>1.05</x:v>
      </x:c>
      <x:c r="I6602" s="6" t="n">
        <x:f>'Historical prices'!D6602</x:f>
        <x:v>0.2834</x:v>
      </x:c>
      <x:c r="J6602" s="13" t="n">
        <x:f>D6602*I6602*H6602</x:f>
        <x:v>0.04731363</x:v>
      </x:c>
      <x:c r="K6602" s="13" t="n">
        <x:f>E6602*I6602*H6602</x:f>
        <x:v>0.05028933</x:v>
      </x:c>
      <x:c r="L6602" s="1" t="str">
        <x:f>TEXT(A6602,"mmm yyyy")</x:f>
        <x:v>Sep 2026</x:v>
      </x:c>
    </x:row>
    <x:row r="6603" ht="21" customHeight="1">
      <x:c r="A6603" s="10" t="n">
        <x:v>46286</x:v>
      </x:c>
      <x:c r="B6603" s="1" t="n">
        <x:v>1.5</x:v>
      </x:c>
      <x:c r="C6603" s="1" t="n">
        <x:v>6</x:v>
      </x:c>
      <x:c r="D6603" s="12" t="n">
        <x:v>0.14825</x:v>
      </x:c>
      <x:c r="E6603" s="12" t="n">
        <x:v>0.15925</x:v>
      </x:c>
      <x:c r="F6603" s="12" t="n">
        <x:v>0</x:v>
      </x:c>
      <x:c r="G6603" s="12" t="n">
        <x:v>0</x:v>
      </x:c>
      <x:c r="H6603" s="1" t="n">
        <x:f>'Historical prices'!E6603</x:f>
        <x:v>1.05</x:v>
      </x:c>
      <x:c r="I6603" s="6" t="n">
        <x:f>'Historical prices'!D6603</x:f>
        <x:v>0.3014</x:v>
      </x:c>
      <x:c r="J6603" s="13" t="n">
        <x:f>D6603*I6603*H6603</x:f>
        <x:v>0.046916677500000004</x:v>
      </x:c>
      <x:c r="K6603" s="13" t="n">
        <x:f>E6603*I6603*H6603</x:f>
        <x:v>0.0503978475</x:v>
      </x:c>
      <x:c r="L6603" s="1" t="str">
        <x:f>TEXT(A6603,"mmm yyyy")</x:f>
        <x:v>Sep 2026</x:v>
      </x:c>
    </x:row>
    <x:row r="6604" ht="21" customHeight="1">
      <x:c r="A6604" s="10" t="n">
        <x:v>46286</x:v>
      </x:c>
      <x:c r="B6604" s="1" t="n">
        <x:v>2</x:v>
      </x:c>
      <x:c r="C6604" s="1" t="n">
        <x:v>6</x:v>
      </x:c>
      <x:c r="D6604" s="12" t="n">
        <x:v>0.2125</x:v>
      </x:c>
      <x:c r="E6604" s="12" t="n">
        <x:v>0.2225</x:v>
      </x:c>
      <x:c r="F6604" s="12" t="n">
        <x:v>0</x:v>
      </x:c>
      <x:c r="G6604" s="12" t="n">
        <x:v>0</x:v>
      </x:c>
      <x:c r="H6604" s="1" t="n">
        <x:f>'Historical prices'!E6604</x:f>
        <x:v>1.05</x:v>
      </x:c>
      <x:c r="I6604" s="6" t="n">
        <x:f>'Historical prices'!D6604</x:f>
        <x:v>0.3073</x:v>
      </x:c>
      <x:c r="J6604" s="13" t="n">
        <x:f>D6604*I6604*H6604</x:f>
        <x:v>0.0685663125</x:v>
      </x:c>
      <x:c r="K6604" s="13" t="n">
        <x:f>E6604*I6604*H6604</x:f>
        <x:v>0.07179296250000002</x:v>
      </x:c>
      <x:c r="L6604" s="1" t="str">
        <x:f>TEXT(A6604,"mmm yyyy")</x:f>
        <x:v>Sep 2026</x:v>
      </x:c>
    </x:row>
    <x:row r="6605" ht="21" customHeight="1">
      <x:c r="A6605" s="10" t="n">
        <x:v>46286</x:v>
      </x:c>
      <x:c r="B6605" s="1" t="n">
        <x:v>2.5</x:v>
      </x:c>
      <x:c r="C6605" s="1" t="n">
        <x:v>6</x:v>
      </x:c>
      <x:c r="D6605" s="12" t="n">
        <x:v>0.28</x:v>
      </x:c>
      <x:c r="E6605" s="12" t="n">
        <x:v>0.29000000000000004</x:v>
      </x:c>
      <x:c r="F6605" s="12" t="n">
        <x:v>0</x:v>
      </x:c>
      <x:c r="G6605" s="12" t="n">
        <x:v>0</x:v>
      </x:c>
      <x:c r="H6605" s="1" t="n">
        <x:f>'Historical prices'!E6605</x:f>
        <x:v>1.05</x:v>
      </x:c>
      <x:c r="I6605" s="6" t="n">
        <x:f>'Historical prices'!D6605</x:f>
        <x:v>0.3005</x:v>
      </x:c>
      <x:c r="J6605" s="13" t="n">
        <x:f>D6605*I6605*H6605</x:f>
        <x:v>0.08834700000000001</x:v>
      </x:c>
      <x:c r="K6605" s="13" t="n">
        <x:f>E6605*I6605*H6605</x:f>
        <x:v>0.09150225000000002</x:v>
      </x:c>
      <x:c r="L6605" s="1" t="str">
        <x:f>TEXT(A6605,"mmm yyyy")</x:f>
        <x:v>Sep 2026</x:v>
      </x:c>
    </x:row>
    <x:row r="6606" ht="21" customHeight="1">
      <x:c r="A6606" s="10" t="n">
        <x:v>46286</x:v>
      </x:c>
      <x:c r="B6606" s="1" t="n">
        <x:v>3</x:v>
      </x:c>
      <x:c r="C6606" s="1" t="n">
        <x:v>6</x:v>
      </x:c>
      <x:c r="D6606" s="12" t="n">
        <x:v>0.15775</x:v>
      </x:c>
      <x:c r="E6606" s="12" t="n">
        <x:v>0.16775</x:v>
      </x:c>
      <x:c r="F6606" s="12" t="n">
        <x:v>0</x:v>
      </x:c>
      <x:c r="G6606" s="12" t="n">
        <x:v>0</x:v>
      </x:c>
      <x:c r="H6606" s="1" t="n">
        <x:f>'Historical prices'!E6606</x:f>
        <x:v>1.05</x:v>
      </x:c>
      <x:c r="I6606" s="6" t="n">
        <x:f>'Historical prices'!D6606</x:f>
        <x:v>0.28809999999999997</x:v>
      </x:c>
      <x:c r="J6606" s="13" t="n">
        <x:f>D6606*I6606*H6606</x:f>
        <x:v>0.047720163749999996</x:v>
      </x:c>
      <x:c r="K6606" s="13" t="n">
        <x:f>E6606*I6606*H6606</x:f>
        <x:v>0.05074521375</x:v>
      </x:c>
      <x:c r="L6606" s="1" t="str">
        <x:f>TEXT(A6606,"mmm yyyy")</x:f>
        <x:v>Sep 2026</x:v>
      </x:c>
    </x:row>
    <x:row r="6607" ht="21" customHeight="1">
      <x:c r="A6607" s="10" t="n">
        <x:v>46286</x:v>
      </x:c>
      <x:c r="B6607" s="1" t="n">
        <x:v>3.5</x:v>
      </x:c>
      <x:c r="C6607" s="1" t="n">
        <x:v>6</x:v>
      </x:c>
      <x:c r="D6607" s="12" t="n">
        <x:v>0.18175</x:v>
      </x:c>
      <x:c r="E6607" s="12" t="n">
        <x:v>0.19175</x:v>
      </x:c>
      <x:c r="F6607" s="12" t="n">
        <x:v>0</x:v>
      </x:c>
      <x:c r="G6607" s="12" t="n">
        <x:v>0</x:v>
      </x:c>
      <x:c r="H6607" s="1" t="n">
        <x:f>'Historical prices'!E6607</x:f>
        <x:v>1.05</x:v>
      </x:c>
      <x:c r="I6607" s="6" t="n">
        <x:f>'Historical prices'!D6607</x:f>
        <x:v>0.2851</x:v>
      </x:c>
      <x:c r="J6607" s="13" t="n">
        <x:f>D6607*I6607*H6607</x:f>
        <x:v>0.05440777125</x:v>
      </x:c>
      <x:c r="K6607" s="13" t="n">
        <x:f>E6607*I6607*H6607</x:f>
        <x:v>0.05740132125000001</x:v>
      </x:c>
      <x:c r="L6607" s="1" t="str">
        <x:f>TEXT(A6607,"mmm yyyy")</x:f>
        <x:v>Sep 2026</x:v>
      </x:c>
    </x:row>
    <x:row r="6608" ht="21" customHeight="1">
      <x:c r="A6608" s="10" t="n">
        <x:v>46286</x:v>
      </x:c>
      <x:c r="B6608" s="1" t="n">
        <x:v>4</x:v>
      </x:c>
      <x:c r="C6608" s="1" t="n">
        <x:v>6</x:v>
      </x:c>
      <x:c r="D6608" s="12" t="n">
        <x:v>0.18375</x:v>
      </x:c>
      <x:c r="E6608" s="12" t="n">
        <x:v>0.19475</x:v>
      </x:c>
      <x:c r="F6608" s="12" t="n">
        <x:v>0</x:v>
      </x:c>
      <x:c r="G6608" s="12" t="n">
        <x:v>0</x:v>
      </x:c>
      <x:c r="H6608" s="1" t="n">
        <x:f>'Historical prices'!E6608</x:f>
        <x:v>1.05</x:v>
      </x:c>
      <x:c r="I6608" s="6" t="n">
        <x:f>'Historical prices'!D6608</x:f>
        <x:v>0.2998</x:v>
      </x:c>
      <x:c r="J6608" s="13" t="n">
        <x:f>D6608*I6608*H6608</x:f>
        <x:v>0.0578426625</x:v>
      </x:c>
      <x:c r="K6608" s="13" t="n">
        <x:f>E6608*I6608*H6608</x:f>
        <x:v>0.06130535250000001</x:v>
      </x:c>
      <x:c r="L6608" s="1" t="str">
        <x:f>TEXT(A6608,"mmm yyyy")</x:f>
        <x:v>Sep 2026</x:v>
      </x:c>
    </x:row>
    <x:row r="6609" ht="21" customHeight="1">
      <x:c r="A6609" s="10" t="n">
        <x:v>46286</x:v>
      </x:c>
      <x:c r="B6609" s="1" t="n">
        <x:v>4.5</x:v>
      </x:c>
      <x:c r="C6609" s="1" t="n">
        <x:v>6</x:v>
      </x:c>
      <x:c r="D6609" s="12" t="n">
        <x:v>0.17600000000000002</x:v>
      </x:c>
      <x:c r="E6609" s="12" t="n">
        <x:v>0.187</x:v>
      </x:c>
      <x:c r="F6609" s="12" t="n">
        <x:v>0</x:v>
      </x:c>
      <x:c r="G6609" s="12" t="n">
        <x:v>0</x:v>
      </x:c>
      <x:c r="H6609" s="1" t="n">
        <x:f>'Historical prices'!E6609</x:f>
        <x:v>1.05</x:v>
      </x:c>
      <x:c r="I6609" s="6" t="n">
        <x:f>'Historical prices'!D6609</x:f>
        <x:v>0.2942</x:v>
      </x:c>
      <x:c r="J6609" s="13" t="n">
        <x:f>D6609*I6609*H6609</x:f>
        <x:v>0.05436816000000001</x:v>
      </x:c>
      <x:c r="K6609" s="13" t="n">
        <x:f>E6609*I6609*H6609</x:f>
        <x:v>0.057766170000000006</x:v>
      </x:c>
      <x:c r="L6609" s="1" t="str">
        <x:f>TEXT(A6609,"mmm yyyy")</x:f>
        <x:v>Sep 2026</x:v>
      </x:c>
    </x:row>
    <x:row r="6610" ht="21" customHeight="1">
      <x:c r="A6610" s="10" t="n">
        <x:v>46286</x:v>
      </x:c>
      <x:c r="B6610" s="1" t="n">
        <x:v>5</x:v>
      </x:c>
      <x:c r="C6610" s="1" t="n">
        <x:v>6</x:v>
      </x:c>
      <x:c r="D6610" s="12" t="n">
        <x:v>0.183</x:v>
      </x:c>
      <x:c r="E6610" s="12" t="n">
        <x:v>0.193</x:v>
      </x:c>
      <x:c r="F6610" s="12" t="n">
        <x:v>0</x:v>
      </x:c>
      <x:c r="G6610" s="12" t="n">
        <x:v>0</x:v>
      </x:c>
      <x:c r="H6610" s="1" t="n">
        <x:f>'Historical prices'!E6610</x:f>
        <x:v>1.05</x:v>
      </x:c>
      <x:c r="I6610" s="6" t="n">
        <x:f>'Historical prices'!D6610</x:f>
        <x:v>0.3152</x:v>
      </x:c>
      <x:c r="J6610" s="13" t="n">
        <x:f>D6610*I6610*H6610</x:f>
        <x:v>0.06056568</x:v>
      </x:c>
      <x:c r="K6610" s="13" t="n">
        <x:f>E6610*I6610*H6610</x:f>
        <x:v>0.06387527999999999</x:v>
      </x:c>
      <x:c r="L6610" s="1" t="str">
        <x:f>TEXT(A6610,"mmm yyyy")</x:f>
        <x:v>Sep 2026</x:v>
      </x:c>
    </x:row>
    <x:row r="6611" ht="21" customHeight="1">
      <x:c r="A6611" s="10" t="n">
        <x:v>46286</x:v>
      </x:c>
      <x:c r="B6611" s="1" t="n">
        <x:v>5.5</x:v>
      </x:c>
      <x:c r="C6611" s="1" t="n">
        <x:v>6</x:v>
      </x:c>
      <x:c r="D6611" s="12" t="n">
        <x:v>0.21000000000000002</x:v>
      </x:c>
      <x:c r="E6611" s="12" t="n">
        <x:v>0.22000000000000003</x:v>
      </x:c>
      <x:c r="F6611" s="12" t="n">
        <x:v>0</x:v>
      </x:c>
      <x:c r="G6611" s="12" t="n">
        <x:v>0</x:v>
      </x:c>
      <x:c r="H6611" s="1" t="n">
        <x:f>'Historical prices'!E6611</x:f>
        <x:v>1.05</x:v>
      </x:c>
      <x:c r="I6611" s="6" t="n">
        <x:f>'Historical prices'!D6611</x:f>
        <x:v>0.3226</x:v>
      </x:c>
      <x:c r="J6611" s="13" t="n">
        <x:f>D6611*I6611*H6611</x:f>
        <x:v>0.07113330000000001</x:v>
      </x:c>
      <x:c r="K6611" s="13" t="n">
        <x:f>E6611*I6611*H6611</x:f>
        <x:v>0.0745206</x:v>
      </x:c>
      <x:c r="L6611" s="1" t="str">
        <x:f>TEXT(A6611,"mmm yyyy")</x:f>
        <x:v>Sep 2026</x:v>
      </x:c>
    </x:row>
    <x:row r="6612" ht="21" customHeight="1">
      <x:c r="A6612" s="10" t="n">
        <x:v>46286</x:v>
      </x:c>
      <x:c r="B6612" s="1" t="n">
        <x:v>6</x:v>
      </x:c>
      <x:c r="C6612" s="1" t="n">
        <x:v>6</x:v>
      </x:c>
      <x:c r="D6612" s="12" t="n">
        <x:v>0.03075</x:v>
      </x:c>
      <x:c r="E6612" s="12" t="n">
        <x:v>0.24675</x:v>
      </x:c>
      <x:c r="F6612" s="12" t="n">
        <x:v>0.21366666666666667</x:v>
      </x:c>
      <x:c r="G6612" s="12" t="n">
        <x:v>0</x:v>
      </x:c>
      <x:c r="H6612" s="1" t="n">
        <x:f>'Historical prices'!E6612</x:f>
        <x:v>1.05</x:v>
      </x:c>
      <x:c r="I6612" s="6" t="n">
        <x:f>'Historical prices'!D6612</x:f>
        <x:v>0.3701</x:v>
      </x:c>
      <x:c r="J6612" s="13" t="n">
        <x:f>D6612*I6612*H6612</x:f>
        <x:v>0.01194960375</x:v>
      </x:c>
      <x:c r="K6612" s="13" t="n">
        <x:f>E6612*I6612*H6612</x:f>
        <x:v>0.09588828375</x:v>
      </x:c>
      <x:c r="L6612" s="1" t="str">
        <x:f>TEXT(A6612,"mmm yyyy")</x:f>
        <x:v>Sep 2026</x:v>
      </x:c>
    </x:row>
    <x:row r="6613" ht="21" customHeight="1">
      <x:c r="A6613" s="10" t="n">
        <x:v>46286</x:v>
      </x:c>
      <x:c r="B6613" s="1" t="n">
        <x:v>6.5</x:v>
      </x:c>
      <x:c r="C6613" s="1" t="n">
        <x:v>6</x:v>
      </x:c>
      <x:c r="D6613" s="12" t="n">
        <x:v>0</x:v>
      </x:c>
      <x:c r="E6613" s="12" t="n">
        <x:v>0.4019166666666667</x:v>
      </x:c>
      <x:c r="F6613" s="12" t="n">
        <x:v>0.3993333333333333</x:v>
      </x:c>
      <x:c r="G6613" s="12" t="n">
        <x:v>0</x:v>
      </x:c>
      <x:c r="H6613" s="1" t="n">
        <x:f>'Historical prices'!E6613</x:f>
        <x:v>1.05</x:v>
      </x:c>
      <x:c r="I6613" s="6" t="n">
        <x:f>'Historical prices'!D6613</x:f>
        <x:v>0.3797</x:v>
      </x:c>
      <x:c r="J6613" s="13" t="n">
        <x:f>D6613*I6613*H6613</x:f>
        <x:v>0</x:v>
      </x:c>
      <x:c r="K6613" s="13" t="n">
        <x:f>E6613*I6613*H6613</x:f>
        <x:v>0.16023814625000002</x:v>
      </x:c>
      <x:c r="L6613" s="1" t="str">
        <x:f>TEXT(A6613,"mmm yyyy")</x:f>
        <x:v>Sep 2026</x:v>
      </x:c>
    </x:row>
    <x:row r="6614" ht="21" customHeight="1">
      <x:c r="A6614" s="10" t="n">
        <x:v>46286</x:v>
      </x:c>
      <x:c r="B6614" s="1" t="n">
        <x:v>7</x:v>
      </x:c>
      <x:c r="C6614" s="1" t="n">
        <x:v>6</x:v>
      </x:c>
      <x:c r="D6614" s="12" t="n">
        <x:v>0</x:v>
      </x:c>
      <x:c r="E6614" s="12" t="n">
        <x:v>0.3061666666666667</x:v>
      </x:c>
      <x:c r="F6614" s="12" t="n">
        <x:v>0.30566666666666664</x:v>
      </x:c>
      <x:c r="G6614" s="12" t="n">
        <x:v>0</x:v>
      </x:c>
      <x:c r="H6614" s="1" t="n">
        <x:f>'Historical prices'!E6614</x:f>
        <x:v>1.05</x:v>
      </x:c>
      <x:c r="I6614" s="6" t="n">
        <x:f>'Historical prices'!D6614</x:f>
        <x:v>0.3975</x:v>
      </x:c>
      <x:c r="J6614" s="13" t="n">
        <x:f>D6614*I6614*H6614</x:f>
        <x:v>0</x:v>
      </x:c>
      <x:c r="K6614" s="13" t="n">
        <x:f>E6614*I6614*H6614</x:f>
        <x:v>0.12778631250000003</x:v>
      </x:c>
      <x:c r="L6614" s="1" t="str">
        <x:f>TEXT(A6614,"mmm yyyy")</x:f>
        <x:v>Sep 2026</x:v>
      </x:c>
    </x:row>
    <x:row r="6615" ht="21" customHeight="1">
      <x:c r="A6615" s="10" t="n">
        <x:v>46286</x:v>
      </x:c>
      <x:c r="B6615" s="1" t="n">
        <x:v>7.5</x:v>
      </x:c>
      <x:c r="C6615" s="1" t="n">
        <x:v>6</x:v>
      </x:c>
      <x:c r="D6615" s="12" t="n">
        <x:v>0</x:v>
      </x:c>
      <x:c r="E6615" s="12" t="n">
        <x:v>0.242</x:v>
      </x:c>
      <x:c r="F6615" s="12" t="n">
        <x:v>0.24158333333333334</x:v>
      </x:c>
      <x:c r="G6615" s="12" t="n">
        <x:v>0</x:v>
      </x:c>
      <x:c r="H6615" s="1" t="n">
        <x:f>'Historical prices'!E6615</x:f>
        <x:v>1.05</x:v>
      </x:c>
      <x:c r="I6615" s="6" t="n">
        <x:f>'Historical prices'!D6615</x:f>
        <x:v>0.40340000000000004</x:v>
      </x:c>
      <x:c r="J6615" s="13" t="n">
        <x:f>D6615*I6615*H6615</x:f>
        <x:v>0</x:v>
      </x:c>
      <x:c r="K6615" s="13" t="n">
        <x:f>E6615*I6615*H6615</x:f>
        <x:v>0.10250394000000002</x:v>
      </x:c>
      <x:c r="L6615" s="1" t="str">
        <x:f>TEXT(A6615,"mmm yyyy")</x:f>
        <x:v>Sep 2026</x:v>
      </x:c>
    </x:row>
    <x:row r="6616" ht="21" customHeight="1">
      <x:c r="A6616" s="10" t="n">
        <x:v>46286</x:v>
      </x:c>
      <x:c r="B6616" s="1" t="n">
        <x:v>8</x:v>
      </x:c>
      <x:c r="C6616" s="1" t="n">
        <x:v>6</x:v>
      </x:c>
      <x:c r="D6616" s="12" t="n">
        <x:v>0</x:v>
      </x:c>
      <x:c r="E6616" s="12" t="n">
        <x:v>0.24675000000000002</x:v>
      </x:c>
      <x:c r="F6616" s="12" t="n">
        <x:v>0.24625</x:v>
      </x:c>
      <x:c r="G6616" s="12" t="n">
        <x:v>0</x:v>
      </x:c>
      <x:c r="H6616" s="1" t="n">
        <x:f>'Historical prices'!E6616</x:f>
        <x:v>1.05</x:v>
      </x:c>
      <x:c r="I6616" s="6" t="n">
        <x:f>'Historical prices'!D6616</x:f>
        <x:v>0.39289999999999997</x:v>
      </x:c>
      <x:c r="J6616" s="13" t="n">
        <x:f>D6616*I6616*H6616</x:f>
        <x:v>0</x:v>
      </x:c>
      <x:c r="K6616" s="13" t="n">
        <x:f>E6616*I6616*H6616</x:f>
        <x:v>0.10179547875000002</x:v>
      </x:c>
      <x:c r="L6616" s="1" t="str">
        <x:f>TEXT(A6616,"mmm yyyy")</x:f>
        <x:v>Sep 2026</x:v>
      </x:c>
    </x:row>
    <x:row r="6617" ht="21" customHeight="1">
      <x:c r="A6617" s="10" t="n">
        <x:v>46286</x:v>
      </x:c>
      <x:c r="B6617" s="1" t="n">
        <x:v>8.5</x:v>
      </x:c>
      <x:c r="C6617" s="1" t="n">
        <x:v>6</x:v>
      </x:c>
      <x:c r="D6617" s="12" t="n">
        <x:v>0</x:v>
      </x:c>
      <x:c r="E6617" s="12" t="n">
        <x:v>0.2991666666666667</x:v>
      </x:c>
      <x:c r="F6617" s="12" t="n">
        <x:v>0.2985</x:v>
      </x:c>
      <x:c r="G6617" s="12" t="n">
        <x:v>0</x:v>
      </x:c>
      <x:c r="H6617" s="1" t="n">
        <x:f>'Historical prices'!E6617</x:f>
        <x:v>1.05</x:v>
      </x:c>
      <x:c r="I6617" s="6" t="n">
        <x:f>'Historical prices'!D6617</x:f>
        <x:v>0.39399999999999996</x:v>
      </x:c>
      <x:c r="J6617" s="13" t="n">
        <x:f>D6617*I6617*H6617</x:f>
        <x:v>0</x:v>
      </x:c>
      <x:c r="K6617" s="13" t="n">
        <x:f>E6617*I6617*H6617</x:f>
        <x:v>0.12376525000000001</x:v>
      </x:c>
      <x:c r="L6617" s="1" t="str">
        <x:f>TEXT(A6617,"mmm yyyy")</x:f>
        <x:v>Sep 2026</x:v>
      </x:c>
    </x:row>
    <x:row r="6618" ht="21" customHeight="1">
      <x:c r="A6618" s="10" t="n">
        <x:v>46286</x:v>
      </x:c>
      <x:c r="B6618" s="1" t="n">
        <x:v>9</x:v>
      </x:c>
      <x:c r="C6618" s="1" t="n">
        <x:v>6</x:v>
      </x:c>
      <x:c r="D6618" s="12" t="n">
        <x:v>0</x:v>
      </x:c>
      <x:c r="E6618" s="12" t="n">
        <x:v>0.21608333333333335</x:v>
      </x:c>
      <x:c r="F6618" s="12" t="n">
        <x:v>0.21533333333333335</x:v>
      </x:c>
      <x:c r="G6618" s="12" t="n">
        <x:v>0</x:v>
      </x:c>
      <x:c r="H6618" s="1" t="n">
        <x:f>'Historical prices'!E6618</x:f>
        <x:v>1.05</x:v>
      </x:c>
      <x:c r="I6618" s="6" t="n">
        <x:f>'Historical prices'!D6618</x:f>
        <x:v>0.35850000000000004</x:v>
      </x:c>
      <x:c r="J6618" s="13" t="n">
        <x:f>D6618*I6618*H6618</x:f>
        <x:v>0</x:v>
      </x:c>
      <x:c r="K6618" s="13" t="n">
        <x:f>E6618*I6618*H6618</x:f>
        <x:v>0.08133916875000002</x:v>
      </x:c>
      <x:c r="L6618" s="1" t="str">
        <x:f>TEXT(A6618,"mmm yyyy")</x:f>
        <x:v>Sep 2026</x:v>
      </x:c>
    </x:row>
    <x:row r="6619" ht="21" customHeight="1">
      <x:c r="A6619" s="10" t="n">
        <x:v>46286</x:v>
      </x:c>
      <x:c r="B6619" s="1" t="n">
        <x:v>9.5</x:v>
      </x:c>
      <x:c r="C6619" s="1" t="n">
        <x:v>6</x:v>
      </x:c>
      <x:c r="D6619" s="12" t="n">
        <x:v>0</x:v>
      </x:c>
      <x:c r="E6619" s="12" t="n">
        <x:v>0.21091666666666667</x:v>
      </x:c>
      <x:c r="F6619" s="12" t="n">
        <x:v>0.21066666666666667</x:v>
      </x:c>
      <x:c r="G6619" s="12" t="n">
        <x:v>0</x:v>
      </x:c>
      <x:c r="H6619" s="1" t="n">
        <x:f>'Historical prices'!E6619</x:f>
        <x:v>1.05</x:v>
      </x:c>
      <x:c r="I6619" s="6" t="n">
        <x:f>'Historical prices'!D6619</x:f>
        <x:v>0.3383</x:v>
      </x:c>
      <x:c r="J6619" s="13" t="n">
        <x:f>D6619*I6619*H6619</x:f>
        <x:v>0</x:v>
      </x:c>
      <x:c r="K6619" s="13" t="n">
        <x:f>E6619*I6619*H6619</x:f>
        <x:v>0.07492076375000001</x:v>
      </x:c>
      <x:c r="L6619" s="1" t="str">
        <x:f>TEXT(A6619,"mmm yyyy")</x:f>
        <x:v>Sep 2026</x:v>
      </x:c>
    </x:row>
    <x:row r="6620" ht="21" customHeight="1">
      <x:c r="A6620" s="10" t="n">
        <x:v>46286</x:v>
      </x:c>
      <x:c r="B6620" s="1" t="n">
        <x:v>10</x:v>
      </x:c>
      <x:c r="C6620" s="1" t="n">
        <x:v>6</x:v>
      </x:c>
      <x:c r="D6620" s="12" t="n">
        <x:v>0.06625</x:v>
      </x:c>
      <x:c r="E6620" s="12" t="n">
        <x:v>0.26525</x:v>
      </x:c>
      <x:c r="F6620" s="12" t="n">
        <x:v>0.191</x:v>
      </x:c>
      <x:c r="G6620" s="12" t="n">
        <x:v>0</x:v>
      </x:c>
      <x:c r="H6620" s="1" t="n">
        <x:f>'Historical prices'!E6620</x:f>
        <x:v>1.05</x:v>
      </x:c>
      <x:c r="I6620" s="6" t="n">
        <x:f>'Historical prices'!D6620</x:f>
        <x:v>0.3322</x:v>
      </x:c>
      <x:c r="J6620" s="13" t="n">
        <x:f>D6620*I6620*H6620</x:f>
        <x:v>0.023108662500000002</x:v>
      </x:c>
      <x:c r="K6620" s="13" t="n">
        <x:f>E6620*I6620*H6620</x:f>
        <x:v>0.09252185249999999</x:v>
      </x:c>
      <x:c r="L6620" s="1" t="str">
        <x:f>TEXT(A6620,"mmm yyyy")</x:f>
        <x:v>Sep 2026</x:v>
      </x:c>
    </x:row>
    <x:row r="6621" ht="21" customHeight="1">
      <x:c r="A6621" s="10" t="n">
        <x:v>46286</x:v>
      </x:c>
      <x:c r="B6621" s="1" t="n">
        <x:v>10.5</x:v>
      </x:c>
      <x:c r="C6621" s="1" t="n">
        <x:v>6</x:v>
      </x:c>
      <x:c r="D6621" s="12" t="n">
        <x:v>0.23225</x:v>
      </x:c>
      <x:c r="E6621" s="12" t="n">
        <x:v>0.27225</x:v>
      </x:c>
      <x:c r="F6621" s="12" t="n">
        <x:v>0.03</x:v>
      </x:c>
      <x:c r="G6621" s="12" t="n">
        <x:v>0</x:v>
      </x:c>
      <x:c r="H6621" s="1" t="n">
        <x:f>'Historical prices'!E6621</x:f>
        <x:v>1.05</x:v>
      </x:c>
      <x:c r="I6621" s="6" t="n">
        <x:f>'Historical prices'!D6621</x:f>
        <x:v>0.32049999999999995</x:v>
      </x:c>
      <x:c r="J6621" s="13" t="n">
        <x:f>D6621*I6621*H6621</x:f>
        <x:v>0.07815793124999999</x:v>
      </x:c>
      <x:c r="K6621" s="13" t="n">
        <x:f>E6621*I6621*H6621</x:f>
        <x:v>0.09161893125</x:v>
      </x:c>
      <x:c r="L6621" s="1" t="str">
        <x:f>TEXT(A6621,"mmm yyyy")</x:f>
        <x:v>Sep 2026</x:v>
      </x:c>
    </x:row>
    <x:row r="6622" ht="21" customHeight="1">
      <x:c r="A6622" s="10" t="n">
        <x:v>46286</x:v>
      </x:c>
      <x:c r="B6622" s="1" t="n">
        <x:v>11</x:v>
      </x:c>
      <x:c r="C6622" s="1" t="n">
        <x:v>6</x:v>
      </x:c>
      <x:c r="D6622" s="12" t="n">
        <x:v>0.23875</x:v>
      </x:c>
      <x:c r="E6622" s="12" t="n">
        <x:v>0.24875</x:v>
      </x:c>
      <x:c r="F6622" s="12" t="n">
        <x:v>0</x:v>
      </x:c>
      <x:c r="G6622" s="12" t="n">
        <x:v>0</x:v>
      </x:c>
      <x:c r="H6622" s="1" t="n">
        <x:f>'Historical prices'!E6622</x:f>
        <x:v>1.05</x:v>
      </x:c>
      <x:c r="I6622" s="6" t="n">
        <x:f>'Historical prices'!D6622</x:f>
        <x:v>0.3077</x:v>
      </x:c>
      <x:c r="J6622" s="13" t="n">
        <x:f>D6622*I6622*H6622</x:f>
        <x:v>0.07713654375</x:v>
      </x:c>
      <x:c r="K6622" s="13" t="n">
        <x:f>E6622*I6622*H6622</x:f>
        <x:v>0.08036739375</x:v>
      </x:c>
      <x:c r="L6622" s="1" t="str">
        <x:f>TEXT(A6622,"mmm yyyy")</x:f>
        <x:v>Sep 2026</x:v>
      </x:c>
    </x:row>
    <x:row r="6623" ht="21" customHeight="1">
      <x:c r="A6623" s="10" t="n">
        <x:v>46286</x:v>
      </x:c>
      <x:c r="B6623" s="1" t="n">
        <x:v>11.5</x:v>
      </x:c>
      <x:c r="C6623" s="1" t="n">
        <x:v>6</x:v>
      </x:c>
      <x:c r="D6623" s="12" t="n">
        <x:v>0.16824999999999998</x:v>
      </x:c>
      <x:c r="E6623" s="12" t="n">
        <x:v>0.18025</x:v>
      </x:c>
      <x:c r="F6623" s="12" t="n">
        <x:v>0</x:v>
      </x:c>
      <x:c r="G6623" s="12" t="n">
        <x:v>0</x:v>
      </x:c>
      <x:c r="H6623" s="1" t="n">
        <x:f>'Historical prices'!E6623</x:f>
        <x:v>1.05</x:v>
      </x:c>
      <x:c r="I6623" s="6" t="n">
        <x:f>'Historical prices'!D6623</x:f>
        <x:v>0.2901</x:v>
      </x:c>
      <x:c r="J6623" s="13" t="n">
        <x:f>D6623*I6623*H6623</x:f>
        <x:v>0.05124979125</x:v>
      </x:c>
      <x:c r="K6623" s="13" t="n">
        <x:f>E6623*I6623*H6623</x:f>
        <x:v>0.05490505125000001</x:v>
      </x:c>
      <x:c r="L6623" s="1" t="str">
        <x:f>TEXT(A6623,"mmm yyyy")</x:f>
        <x:v>Sep 2026</x:v>
      </x:c>
    </x:row>
    <x:row r="6624" ht="21" customHeight="1">
      <x:c r="A6624" s="10" t="n">
        <x:v>46286</x:v>
      </x:c>
      <x:c r="B6624" s="1" t="n">
        <x:v>12</x:v>
      </x:c>
      <x:c r="C6624" s="1" t="n">
        <x:v>6</x:v>
      </x:c>
      <x:c r="D6624" s="12" t="n">
        <x:v>0.17174999999999999</x:v>
      </x:c>
      <x:c r="E6624" s="12" t="n">
        <x:v>0.18275</x:v>
      </x:c>
      <x:c r="F6624" s="12" t="n">
        <x:v>0</x:v>
      </x:c>
      <x:c r="G6624" s="12" t="n">
        <x:v>0</x:v>
      </x:c>
      <x:c r="H6624" s="1" t="n">
        <x:f>'Historical prices'!E6624</x:f>
        <x:v>1.05</x:v>
      </x:c>
      <x:c r="I6624" s="6" t="n">
        <x:f>'Historical prices'!D6624</x:f>
        <x:v>0.2858</x:v>
      </x:c>
      <x:c r="J6624" s="13" t="n">
        <x:f>D6624*I6624*H6624</x:f>
        <x:v>0.0515404575</x:v>
      </x:c>
      <x:c r="K6624" s="13" t="n">
        <x:f>E6624*I6624*H6624</x:f>
        <x:v>0.0548414475</x:v>
      </x:c>
      <x:c r="L6624" s="1" t="str">
        <x:f>TEXT(A6624,"mmm yyyy")</x:f>
        <x:v>Sep 2026</x:v>
      </x:c>
    </x:row>
    <x:row r="6625" ht="21" customHeight="1">
      <x:c r="A6625" s="10" t="n">
        <x:v>46286</x:v>
      </x:c>
      <x:c r="B6625" s="1" t="n">
        <x:v>12.5</x:v>
      </x:c>
      <x:c r="C6625" s="1" t="n">
        <x:v>6</x:v>
      </x:c>
      <x:c r="D6625" s="12" t="n">
        <x:v>0.186</x:v>
      </x:c>
      <x:c r="E6625" s="12" t="n">
        <x:v>0.196</x:v>
      </x:c>
      <x:c r="F6625" s="12" t="n">
        <x:v>0</x:v>
      </x:c>
      <x:c r="G6625" s="12" t="n">
        <x:v>0</x:v>
      </x:c>
      <x:c r="H6625" s="1" t="n">
        <x:f>'Historical prices'!E6625</x:f>
        <x:v>1.05</x:v>
      </x:c>
      <x:c r="I6625" s="6" t="n">
        <x:f>'Historical prices'!D6625</x:f>
        <x:v>0.2809</x:v>
      </x:c>
      <x:c r="J6625" s="13" t="n">
        <x:f>D6625*I6625*H6625</x:f>
        <x:v>0.05485977</x:v>
      </x:c>
      <x:c r="K6625" s="13" t="n">
        <x:f>E6625*I6625*H6625</x:f>
        <x:v>0.05780922</x:v>
      </x:c>
      <x:c r="L6625" s="1" t="str">
        <x:f>TEXT(A6625,"mmm yyyy")</x:f>
        <x:v>Sep 2026</x:v>
      </x:c>
    </x:row>
    <x:row r="6626" ht="21" customHeight="1">
      <x:c r="A6626" s="10" t="n">
        <x:v>46286</x:v>
      </x:c>
      <x:c r="B6626" s="1" t="n">
        <x:v>13</x:v>
      </x:c>
      <x:c r="C6626" s="1" t="n">
        <x:v>6</x:v>
      </x:c>
      <x:c r="D6626" s="12" t="n">
        <x:v>0.16899999999999998</x:v>
      </x:c>
      <x:c r="E6626" s="12" t="n">
        <x:v>0.179</x:v>
      </x:c>
      <x:c r="F6626" s="12" t="n">
        <x:v>0</x:v>
      </x:c>
      <x:c r="G6626" s="12" t="n">
        <x:v>0</x:v>
      </x:c>
      <x:c r="H6626" s="1" t="n">
        <x:f>'Historical prices'!E6626</x:f>
        <x:v>1.05</x:v>
      </x:c>
      <x:c r="I6626" s="6" t="n">
        <x:f>'Historical prices'!D6626</x:f>
        <x:v>0.2771</x:v>
      </x:c>
      <x:c r="J6626" s="13" t="n">
        <x:f>D6626*I6626*H6626</x:f>
        <x:v>0.049171395</x:v>
      </x:c>
      <x:c r="K6626" s="13" t="n">
        <x:f>E6626*I6626*H6626</x:f>
        <x:v>0.052080945000000003</x:v>
      </x:c>
      <x:c r="L6626" s="1" t="str">
        <x:f>TEXT(A6626,"mmm yyyy")</x:f>
        <x:v>Sep 2026</x:v>
      </x:c>
    </x:row>
    <x:row r="6627" ht="21" customHeight="1">
      <x:c r="A6627" s="10" t="n">
        <x:v>46286</x:v>
      </x:c>
      <x:c r="B6627" s="1" t="n">
        <x:v>13.5</x:v>
      </x:c>
      <x:c r="C6627" s="1" t="n">
        <x:v>6</x:v>
      </x:c>
      <x:c r="D6627" s="12" t="n">
        <x:v>0.15599999999999997</x:v>
      </x:c>
      <x:c r="E6627" s="12" t="n">
        <x:v>0.16599999999999998</x:v>
      </x:c>
      <x:c r="F6627" s="12" t="n">
        <x:v>0</x:v>
      </x:c>
      <x:c r="G6627" s="12" t="n">
        <x:v>0</x:v>
      </x:c>
      <x:c r="H6627" s="1" t="n">
        <x:f>'Historical prices'!E6627</x:f>
        <x:v>1.05</x:v>
      </x:c>
      <x:c r="I6627" s="6" t="n">
        <x:f>'Historical prices'!D6627</x:f>
        <x:v>0.2757</x:v>
      </x:c>
      <x:c r="J6627" s="13" t="n">
        <x:f>D6627*I6627*H6627</x:f>
        <x:v>0.04515965999999999</x:v>
      </x:c>
      <x:c r="K6627" s="13" t="n">
        <x:f>E6627*I6627*H6627</x:f>
        <x:v>0.048054509999999995</x:v>
      </x:c>
      <x:c r="L6627" s="1" t="str">
        <x:f>TEXT(A6627,"mmm yyyy")</x:f>
        <x:v>Sep 2026</x:v>
      </x:c>
    </x:row>
    <x:row r="6628" ht="21" customHeight="1">
      <x:c r="A6628" s="10" t="n">
        <x:v>46286</x:v>
      </x:c>
      <x:c r="B6628" s="1" t="n">
        <x:v>14</x:v>
      </x:c>
      <x:c r="C6628" s="1" t="n">
        <x:v>6</x:v>
      </x:c>
      <x:c r="D6628" s="12" t="n">
        <x:v>3.1385</x:v>
      </x:c>
      <x:c r="E6628" s="12" t="n">
        <x:v>0.3105</x:v>
      </x:c>
      <x:c r="F6628" s="12" t="n">
        <x:v>0</x:v>
      </x:c>
      <x:c r="G6628" s="12" t="n">
        <x:v>2.8299999999999996</x:v>
      </x:c>
      <x:c r="H6628" s="1" t="n">
        <x:f>'Historical prices'!E6628</x:f>
        <x:v>1.05</x:v>
      </x:c>
      <x:c r="I6628" s="6" t="n">
        <x:f>'Historical prices'!D6628</x:f>
        <x:v>0.2711</x:v>
      </x:c>
      <x:c r="J6628" s="13" t="n">
        <x:f>D6628*I6628*H6628</x:f>
        <x:v>0.8933897175000001</x:v>
      </x:c>
      <x:c r="K6628" s="13" t="n">
        <x:f>E6628*I6628*H6628</x:f>
        <x:v>0.0883853775</x:v>
      </x:c>
      <x:c r="L6628" s="1" t="str">
        <x:f>TEXT(A6628,"mmm yyyy")</x:f>
        <x:v>Sep 2026</x:v>
      </x:c>
    </x:row>
    <x:row r="6629" ht="21" customHeight="1">
      <x:c r="A6629" s="10" t="n">
        <x:v>46286</x:v>
      </x:c>
      <x:c r="B6629" s="1" t="n">
        <x:v>14.5</x:v>
      </x:c>
      <x:c r="C6629" s="1" t="n">
        <x:v>6</x:v>
      </x:c>
      <x:c r="D6629" s="12" t="n">
        <x:v>3.419</x:v>
      </x:c>
      <x:c r="E6629" s="12" t="n">
        <x:v>0.379</x:v>
      </x:c>
      <x:c r="F6629" s="12" t="n">
        <x:v>0</x:v>
      </x:c>
      <x:c r="G6629" s="12" t="n">
        <x:v>3.04</x:v>
      </x:c>
      <x:c r="H6629" s="1" t="n">
        <x:f>'Historical prices'!E6629</x:f>
        <x:v>1.05</x:v>
      </x:c>
      <x:c r="I6629" s="6" t="n">
        <x:f>'Historical prices'!D6629</x:f>
        <x:v>0.2711</x:v>
      </x:c>
      <x:c r="J6629" s="13" t="n">
        <x:f>D6629*I6629*H6629</x:f>
        <x:v>0.9732354450000001</x:v>
      </x:c>
      <x:c r="K6629" s="13" t="n">
        <x:f>E6629*I6629*H6629</x:f>
        <x:v>0.107884245</x:v>
      </x:c>
      <x:c r="L6629" s="1" t="str">
        <x:f>TEXT(A6629,"mmm yyyy")</x:f>
        <x:v>Sep 2026</x:v>
      </x:c>
    </x:row>
    <x:row r="6630" ht="21" customHeight="1">
      <x:c r="A6630" s="10" t="n">
        <x:v>46286</x:v>
      </x:c>
      <x:c r="B6630" s="1" t="n">
        <x:v>15</x:v>
      </x:c>
      <x:c r="C6630" s="1" t="n">
        <x:v>6</x:v>
      </x:c>
      <x:c r="D6630" s="12" t="n">
        <x:v>0.5467500000000001</x:v>
      </x:c>
      <x:c r="E6630" s="12" t="n">
        <x:v>0.18875</x:v>
      </x:c>
      <x:c r="F6630" s="12" t="n">
        <x:v>0</x:v>
      </x:c>
      <x:c r="G6630" s="12" t="n">
        <x:v>0.365</x:v>
      </x:c>
      <x:c r="H6630" s="1" t="n">
        <x:f>'Historical prices'!E6630</x:f>
        <x:v>1.05</x:v>
      </x:c>
      <x:c r="I6630" s="6" t="n">
        <x:f>'Historical prices'!D6630</x:f>
        <x:v>0.2771</x:v>
      </x:c>
      <x:c r="J6630" s="13" t="n">
        <x:f>D6630*I6630*H6630</x:f>
        <x:v>0.15907964625000004</x:v>
      </x:c>
      <x:c r="K6630" s="13" t="n">
        <x:f>E6630*I6630*H6630</x:f>
        <x:v>0.054917756250000005</x:v>
      </x:c>
      <x:c r="L6630" s="1" t="str">
        <x:f>TEXT(A6630,"mmm yyyy")</x:f>
        <x:v>Sep 2026</x:v>
      </x:c>
    </x:row>
    <x:row r="6631" ht="21" customHeight="1">
      <x:c r="A6631" s="10" t="n">
        <x:v>46286</x:v>
      </x:c>
      <x:c r="B6631" s="1" t="n">
        <x:v>15.5</x:v>
      </x:c>
      <x:c r="C6631" s="1" t="n">
        <x:v>6</x:v>
      </x:c>
      <x:c r="D6631" s="12" t="n">
        <x:v>0.20575</x:v>
      </x:c>
      <x:c r="E6631" s="12" t="n">
        <x:v>0.21574999999999997</x:v>
      </x:c>
      <x:c r="F6631" s="12" t="n">
        <x:v>0</x:v>
      </x:c>
      <x:c r="G6631" s="12" t="n">
        <x:v>0</x:v>
      </x:c>
      <x:c r="H6631" s="1" t="n">
        <x:f>'Historical prices'!E6631</x:f>
        <x:v>1.05</x:v>
      </x:c>
      <x:c r="I6631" s="6" t="n">
        <x:f>'Historical prices'!D6631</x:f>
        <x:v>0.2807</x:v>
      </x:c>
      <x:c r="J6631" s="13" t="n">
        <x:f>D6631*I6631*H6631</x:f>
        <x:v>0.06064172625</x:v>
      </x:c>
      <x:c r="K6631" s="13" t="n">
        <x:f>E6631*I6631*H6631</x:f>
        <x:v>0.06358907624999999</x:v>
      </x:c>
      <x:c r="L6631" s="1" t="str">
        <x:f>TEXT(A6631,"mmm yyyy")</x:f>
        <x:v>Sep 2026</x:v>
      </x:c>
    </x:row>
    <x:row r="6632" ht="21" customHeight="1">
      <x:c r="A6632" s="10" t="n">
        <x:v>46286</x:v>
      </x:c>
      <x:c r="B6632" s="1" t="n">
        <x:v>16</x:v>
      </x:c>
      <x:c r="C6632" s="1" t="n">
        <x:v>6</x:v>
      </x:c>
      <x:c r="D6632" s="12" t="n">
        <x:v>0.0235</x:v>
      </x:c>
      <x:c r="E6632" s="12" t="n">
        <x:v>0.2354166666666667</x:v>
      </x:c>
      <x:c r="F6632" s="12" t="n">
        <x:v>0.20933333333333334</x:v>
      </x:c>
      <x:c r="G6632" s="12" t="n">
        <x:v>0</x:v>
      </x:c>
      <x:c r="H6632" s="1" t="n">
        <x:f>'Historical prices'!E6632</x:f>
        <x:v>1.05</x:v>
      </x:c>
      <x:c r="I6632" s="6" t="n">
        <x:f>'Historical prices'!D6632</x:f>
        <x:v>0.41159999999999997</x:v>
      </x:c>
      <x:c r="J6632" s="13" t="n">
        <x:f>D6632*I6632*H6632</x:f>
        <x:v>0.01015623</x:v>
      </x:c>
      <x:c r="K6632" s="13" t="n">
        <x:f>E6632*I6632*H6632</x:f>
        <x:v>0.101742375</x:v>
      </x:c>
      <x:c r="L6632" s="1" t="str">
        <x:f>TEXT(A6632,"mmm yyyy")</x:f>
        <x:v>Sep 2026</x:v>
      </x:c>
    </x:row>
    <x:row r="6633" ht="21" customHeight="1">
      <x:c r="A6633" s="10" t="n">
        <x:v>46286</x:v>
      </x:c>
      <x:c r="B6633" s="1" t="n">
        <x:v>16.5</x:v>
      </x:c>
      <x:c r="C6633" s="1" t="n">
        <x:v>6</x:v>
      </x:c>
      <x:c r="D6633" s="12" t="n">
        <x:v>0</x:v>
      </x:c>
      <x:c r="E6633" s="12" t="n">
        <x:v>0.27699999999999997</x:v>
      </x:c>
      <x:c r="F6633" s="12" t="n">
        <x:v>0.2763333333333333</x:v>
      </x:c>
      <x:c r="G6633" s="12" t="n">
        <x:v>0</x:v>
      </x:c>
      <x:c r="H6633" s="1" t="n">
        <x:f>'Historical prices'!E6633</x:f>
        <x:v>1.05</x:v>
      </x:c>
      <x:c r="I6633" s="6" t="n">
        <x:f>'Historical prices'!D6633</x:f>
        <x:v>0.4568</x:v>
      </x:c>
      <x:c r="J6633" s="13" t="n">
        <x:f>D6633*I6633*H6633</x:f>
        <x:v>0</x:v>
      </x:c>
      <x:c r="K6633" s="13" t="n">
        <x:f>E6633*I6633*H6633</x:f>
        <x:v>0.13286027999999997</x:v>
      </x:c>
      <x:c r="L6633" s="1" t="str">
        <x:f>TEXT(A6633,"mmm yyyy")</x:f>
        <x:v>Sep 2026</x:v>
      </x:c>
    </x:row>
    <x:row r="6634" ht="21" customHeight="1">
      <x:c r="A6634" s="10" t="n">
        <x:v>46286</x:v>
      </x:c>
      <x:c r="B6634" s="1" t="n">
        <x:v>17</x:v>
      </x:c>
      <x:c r="C6634" s="1" t="n">
        <x:v>6</x:v>
      </x:c>
      <x:c r="D6634" s="12" t="n">
        <x:v>0</x:v>
      </x:c>
      <x:c r="E6634" s="12" t="n">
        <x:v>0.18691666666666668</x:v>
      </x:c>
      <x:c r="F6634" s="12" t="n">
        <x:v>0.18675</x:v>
      </x:c>
      <x:c r="G6634" s="12" t="n">
        <x:v>0</x:v>
      </x:c>
      <x:c r="H6634" s="1" t="n">
        <x:f>'Historical prices'!E6634</x:f>
        <x:v>1.05</x:v>
      </x:c>
      <x:c r="I6634" s="6" t="n">
        <x:f>'Historical prices'!D6634</x:f>
        <x:v>0.4955</x:v>
      </x:c>
      <x:c r="J6634" s="13" t="n">
        <x:f>D6634*I6634*H6634</x:f>
        <x:v>0</x:v>
      </x:c>
      <x:c r="K6634" s="13" t="n">
        <x:f>E6634*I6634*H6634</x:f>
        <x:v>0.09724806875000001</x:v>
      </x:c>
      <x:c r="L6634" s="1" t="str">
        <x:f>TEXT(A6634,"mmm yyyy")</x:f>
        <x:v>Sep 2026</x:v>
      </x:c>
    </x:row>
    <x:row r="6635" ht="21" customHeight="1">
      <x:c r="A6635" s="10" t="n">
        <x:v>46286</x:v>
      </x:c>
      <x:c r="B6635" s="1" t="n">
        <x:v>17.5</x:v>
      </x:c>
      <x:c r="C6635" s="1" t="n">
        <x:v>6</x:v>
      </x:c>
      <x:c r="D6635" s="12" t="n">
        <x:v>0</x:v>
      </x:c>
      <x:c r="E6635" s="12" t="n">
        <x:v>0.23591666666666666</x:v>
      </x:c>
      <x:c r="F6635" s="12" t="n">
        <x:v>0.23541666666666666</x:v>
      </x:c>
      <x:c r="G6635" s="12" t="n">
        <x:v>0</x:v>
      </x:c>
      <x:c r="H6635" s="1" t="n">
        <x:f>'Historical prices'!E6635</x:f>
        <x:v>1.05</x:v>
      </x:c>
      <x:c r="I6635" s="6" t="n">
        <x:f>'Historical prices'!D6635</x:f>
        <x:v>0.5179</x:v>
      </x:c>
      <x:c r="J6635" s="13" t="n">
        <x:f>D6635*I6635*H6635</x:f>
        <x:v>0</x:v>
      </x:c>
      <x:c r="K6635" s="13" t="n">
        <x:f>E6635*I6635*H6635</x:f>
        <x:v>0.12829030375000003</x:v>
      </x:c>
      <x:c r="L6635" s="1" t="str">
        <x:f>TEXT(A6635,"mmm yyyy")</x:f>
        <x:v>Sep 2026</x:v>
      </x:c>
    </x:row>
    <x:row r="6636" ht="21" customHeight="1">
      <x:c r="A6636" s="10" t="n">
        <x:v>46286</x:v>
      </x:c>
      <x:c r="B6636" s="1" t="n">
        <x:v>18</x:v>
      </x:c>
      <x:c r="C6636" s="1" t="n">
        <x:v>6</x:v>
      </x:c>
      <x:c r="D6636" s="12" t="n">
        <x:v>0</x:v>
      </x:c>
      <x:c r="E6636" s="12" t="n">
        <x:v>0.27991666666666665</x:v>
      </x:c>
      <x:c r="F6636" s="12" t="n">
        <x:v>0.27949999999999997</x:v>
      </x:c>
      <x:c r="G6636" s="12" t="n">
        <x:v>0</x:v>
      </x:c>
      <x:c r="H6636" s="1" t="n">
        <x:f>'Historical prices'!E6636</x:f>
        <x:v>1.05</x:v>
      </x:c>
      <x:c r="I6636" s="6" t="n">
        <x:f>'Historical prices'!D6636</x:f>
        <x:v>0.5518</x:v>
      </x:c>
      <x:c r="J6636" s="13" t="n">
        <x:f>D6636*I6636*H6636</x:f>
        <x:v>0</x:v>
      </x:c>
      <x:c r="K6636" s="13" t="n">
        <x:f>E6636*I6636*H6636</x:f>
        <x:v>0.1621809175</x:v>
      </x:c>
      <x:c r="L6636" s="1" t="str">
        <x:f>TEXT(A6636,"mmm yyyy")</x:f>
        <x:v>Sep 2026</x:v>
      </x:c>
    </x:row>
    <x:row r="6637" ht="21" customHeight="1">
      <x:c r="A6637" s="10" t="n">
        <x:v>46286</x:v>
      </x:c>
      <x:c r="B6637" s="1" t="n">
        <x:v>18.5</x:v>
      </x:c>
      <x:c r="C6637" s="1" t="n">
        <x:v>6</x:v>
      </x:c>
      <x:c r="D6637" s="12" t="n">
        <x:v>0</x:v>
      </x:c>
      <x:c r="E6637" s="12" t="n">
        <x:v>0.33925</x:v>
      </x:c>
      <x:c r="F6637" s="12" t="n">
        <x:v>0.33849999999999997</x:v>
      </x:c>
      <x:c r="G6637" s="12" t="n">
        <x:v>0</x:v>
      </x:c>
      <x:c r="H6637" s="1" t="n">
        <x:f>'Historical prices'!E6637</x:f>
        <x:v>1.05</x:v>
      </x:c>
      <x:c r="I6637" s="6" t="n">
        <x:f>'Historical prices'!D6637</x:f>
        <x:v>0.5557</x:v>
      </x:c>
      <x:c r="J6637" s="13" t="n">
        <x:f>D6637*I6637*H6637</x:f>
        <x:v>0</x:v>
      </x:c>
      <x:c r="K6637" s="13" t="n">
        <x:f>E6637*I6637*H6637</x:f>
        <x:v>0.19794728625</x:v>
      </x:c>
      <x:c r="L6637" s="1" t="str">
        <x:f>TEXT(A6637,"mmm yyyy")</x:f>
        <x:v>Sep 2026</x:v>
      </x:c>
    </x:row>
    <x:row r="6638" ht="21" customHeight="1">
      <x:c r="A6638" s="10" t="n">
        <x:v>46286</x:v>
      </x:c>
      <x:c r="B6638" s="1" t="n">
        <x:v>19</x:v>
      </x:c>
      <x:c r="C6638" s="1" t="n">
        <x:v>6</x:v>
      </x:c>
      <x:c r="D6638" s="12" t="n">
        <x:v>0</x:v>
      </x:c>
      <x:c r="E6638" s="12" t="n">
        <x:v>0.2639166666666667</x:v>
      </x:c>
      <x:c r="F6638" s="12" t="n">
        <x:v>0.26341666666666663</x:v>
      </x:c>
      <x:c r="G6638" s="12" t="n">
        <x:v>0</x:v>
      </x:c>
      <x:c r="H6638" s="1" t="n">
        <x:f>'Historical prices'!E6638</x:f>
        <x:v>1.05</x:v>
      </x:c>
      <x:c r="I6638" s="6" t="n">
        <x:f>'Historical prices'!D6638</x:f>
        <x:v>0.41200000000000003</x:v>
      </x:c>
      <x:c r="J6638" s="13" t="n">
        <x:f>D6638*I6638*H6638</x:f>
        <x:v>0</x:v>
      </x:c>
      <x:c r="K6638" s="13" t="n">
        <x:f>E6638*I6638*H6638</x:f>
        <x:v>0.11417035000000003</x:v>
      </x:c>
      <x:c r="L6638" s="1" t="str">
        <x:f>TEXT(A6638,"mmm yyyy")</x:f>
        <x:v>Sep 2026</x:v>
      </x:c>
    </x:row>
    <x:row r="6639" ht="21" customHeight="1">
      <x:c r="A6639" s="10" t="n">
        <x:v>46286</x:v>
      </x:c>
      <x:c r="B6639" s="1" t="n">
        <x:v>19.5</x:v>
      </x:c>
      <x:c r="C6639" s="1" t="n">
        <x:v>6</x:v>
      </x:c>
      <x:c r="D6639" s="12" t="n">
        <x:v>0</x:v>
      </x:c>
      <x:c r="E6639" s="12" t="n">
        <x:v>0.35908333333333337</x:v>
      </x:c>
      <x:c r="F6639" s="12" t="n">
        <x:v>0.35841666666666666</x:v>
      </x:c>
      <x:c r="G6639" s="12" t="n">
        <x:v>0</x:v>
      </x:c>
      <x:c r="H6639" s="1" t="n">
        <x:f>'Historical prices'!E6639</x:f>
        <x:v>1.05</x:v>
      </x:c>
      <x:c r="I6639" s="6" t="n">
        <x:f>'Historical prices'!D6639</x:f>
        <x:v>0.41</x:v>
      </x:c>
      <x:c r="J6639" s="13" t="n">
        <x:f>D6639*I6639*H6639</x:f>
        <x:v>0</x:v>
      </x:c>
      <x:c r="K6639" s="13" t="n">
        <x:f>E6639*I6639*H6639</x:f>
        <x:v>0.15458537500000002</x:v>
      </x:c>
      <x:c r="L6639" s="1" t="str">
        <x:f>TEXT(A6639,"mmm yyyy")</x:f>
        <x:v>Sep 2026</x:v>
      </x:c>
    </x:row>
    <x:row r="6640" ht="21" customHeight="1">
      <x:c r="A6640" s="10" t="n">
        <x:v>46286</x:v>
      </x:c>
      <x:c r="B6640" s="1" t="n">
        <x:v>20</x:v>
      </x:c>
      <x:c r="C6640" s="1" t="n">
        <x:v>6</x:v>
      </x:c>
      <x:c r="D6640" s="12" t="n">
        <x:v>0</x:v>
      </x:c>
      <x:c r="E6640" s="12" t="n">
        <x:v>0.268</x:v>
      </x:c>
      <x:c r="F6640" s="12" t="n">
        <x:v>0.26775</x:v>
      </x:c>
      <x:c r="G6640" s="12" t="n">
        <x:v>0</x:v>
      </x:c>
      <x:c r="H6640" s="1" t="n">
        <x:f>'Historical prices'!E6640</x:f>
        <x:v>1.05</x:v>
      </x:c>
      <x:c r="I6640" s="6" t="n">
        <x:f>'Historical prices'!D6640</x:f>
        <x:v>0.40549999999999997</x:v>
      </x:c>
      <x:c r="J6640" s="13" t="n">
        <x:f>D6640*I6640*H6640</x:f>
        <x:v>0</x:v>
      </x:c>
      <x:c r="K6640" s="13" t="n">
        <x:f>E6640*I6640*H6640</x:f>
        <x:v>0.11410769999999999</x:v>
      </x:c>
      <x:c r="L6640" s="1" t="str">
        <x:f>TEXT(A6640,"mmm yyyy")</x:f>
        <x:v>Sep 2026</x:v>
      </x:c>
    </x:row>
    <x:row r="6641" ht="21" customHeight="1">
      <x:c r="A6641" s="10" t="n">
        <x:v>46286</x:v>
      </x:c>
      <x:c r="B6641" s="1" t="n">
        <x:v>20.5</x:v>
      </x:c>
      <x:c r="C6641" s="1" t="n">
        <x:v>6</x:v>
      </x:c>
      <x:c r="D6641" s="12" t="n">
        <x:v>0</x:v>
      </x:c>
      <x:c r="E6641" s="12" t="n">
        <x:v>0.271</x:v>
      </x:c>
      <x:c r="F6641" s="12" t="n">
        <x:v>0.27025</x:v>
      </x:c>
      <x:c r="G6641" s="12" t="n">
        <x:v>0</x:v>
      </x:c>
      <x:c r="H6641" s="1" t="n">
        <x:f>'Historical prices'!E6641</x:f>
        <x:v>1.05</x:v>
      </x:c>
      <x:c r="I6641" s="6" t="n">
        <x:f>'Historical prices'!D6641</x:f>
        <x:v>0.3761</x:v>
      </x:c>
      <x:c r="J6641" s="13" t="n">
        <x:f>D6641*I6641*H6641</x:f>
        <x:v>0</x:v>
      </x:c>
      <x:c r="K6641" s="13" t="n">
        <x:f>E6641*I6641*H6641</x:f>
        <x:v>0.10701925500000001</x:v>
      </x:c>
      <x:c r="L6641" s="1" t="str">
        <x:f>TEXT(A6641,"mmm yyyy")</x:f>
        <x:v>Sep 2026</x:v>
      </x:c>
    </x:row>
    <x:row r="6642" ht="21" customHeight="1">
      <x:c r="A6642" s="10" t="n">
        <x:v>46286</x:v>
      </x:c>
      <x:c r="B6642" s="1" t="n">
        <x:v>21</x:v>
      </x:c>
      <x:c r="C6642" s="1" t="n">
        <x:v>6</x:v>
      </x:c>
      <x:c r="D6642" s="12" t="n">
        <x:v>0</x:v>
      </x:c>
      <x:c r="E6642" s="12" t="n">
        <x:v>0.28675</x:v>
      </x:c>
      <x:c r="F6642" s="12" t="n">
        <x:v>0.28641666666666665</x:v>
      </x:c>
      <x:c r="G6642" s="12" t="n">
        <x:v>0</x:v>
      </x:c>
      <x:c r="H6642" s="1" t="n">
        <x:f>'Historical prices'!E6642</x:f>
        <x:v>1.05</x:v>
      </x:c>
      <x:c r="I6642" s="6" t="n">
        <x:f>'Historical prices'!D6642</x:f>
        <x:v>0.3738</x:v>
      </x:c>
      <x:c r="J6642" s="13" t="n">
        <x:f>D6642*I6642*H6642</x:f>
        <x:v>0</x:v>
      </x:c>
      <x:c r="K6642" s="13" t="n">
        <x:f>E6642*I6642*H6642</x:f>
        <x:v>0.11254650750000002</x:v>
      </x:c>
      <x:c r="L6642" s="1" t="str">
        <x:f>TEXT(A6642,"mmm yyyy")</x:f>
        <x:v>Sep 2026</x:v>
      </x:c>
    </x:row>
    <x:row r="6643" ht="21" customHeight="1">
      <x:c r="A6643" s="10" t="n">
        <x:v>46286</x:v>
      </x:c>
      <x:c r="B6643" s="1" t="n">
        <x:v>21.5</x:v>
      </x:c>
      <x:c r="C6643" s="1" t="n">
        <x:v>6</x:v>
      </x:c>
      <x:c r="D6643" s="12" t="n">
        <x:v>0.17375</x:v>
      </x:c>
      <x:c r="E6643" s="12" t="n">
        <x:v>0.2321666666666667</x:v>
      </x:c>
      <x:c r="F6643" s="12" t="n">
        <x:v>0.048</x:v>
      </x:c>
      <x:c r="G6643" s="12" t="n">
        <x:v>0</x:v>
      </x:c>
      <x:c r="H6643" s="1" t="n">
        <x:f>'Historical prices'!E6643</x:f>
        <x:v>1.05</x:v>
      </x:c>
      <x:c r="I6643" s="6" t="n">
        <x:f>'Historical prices'!D6643</x:f>
        <x:v>0.3169</x:v>
      </x:c>
      <x:c r="J6643" s="13" t="n">
        <x:f>D6643*I6643*H6643</x:f>
        <x:v>0.05781444375</x:v>
      </x:c>
      <x:c r="K6643" s="13" t="n">
        <x:f>E6643*I6643*H6643</x:f>
        <x:v>0.07725229750000001</x:v>
      </x:c>
      <x:c r="L6643" s="1" t="str">
        <x:f>TEXT(A6643,"mmm yyyy")</x:f>
        <x:v>Sep 2026</x:v>
      </x:c>
    </x:row>
    <x:row r="6644" ht="21" customHeight="1">
      <x:c r="A6644" s="10" t="n">
        <x:v>46286</x:v>
      </x:c>
      <x:c r="B6644" s="1" t="n">
        <x:v>22</x:v>
      </x:c>
      <x:c r="C6644" s="1" t="n">
        <x:v>6</x:v>
      </x:c>
      <x:c r="D6644" s="12" t="n">
        <x:v>0.0295</x:v>
      </x:c>
      <x:c r="E6644" s="12" t="n">
        <x:v>0.22449999999999998</x:v>
      </x:c>
      <x:c r="F6644" s="12" t="n">
        <x:v>0.1925</x:v>
      </x:c>
      <x:c r="G6644" s="12" t="n">
        <x:v>0</x:v>
      </x:c>
      <x:c r="H6644" s="1" t="n">
        <x:f>'Historical prices'!E6644</x:f>
        <x:v>1.05</x:v>
      </x:c>
      <x:c r="I6644" s="6" t="n">
        <x:f>'Historical prices'!D6644</x:f>
        <x:v>0.33409999999999995</x:v>
      </x:c>
      <x:c r="J6644" s="13" t="n">
        <x:f>D6644*I6644*H6644</x:f>
        <x:v>0.0103487475</x:v>
      </x:c>
      <x:c r="K6644" s="13" t="n">
        <x:f>E6644*I6644*H6644</x:f>
        <x:v>0.07875572249999999</x:v>
      </x:c>
      <x:c r="L6644" s="1" t="str">
        <x:f>TEXT(A6644,"mmm yyyy")</x:f>
        <x:v>Sep 2026</x:v>
      </x:c>
    </x:row>
    <x:row r="6645" ht="21" customHeight="1">
      <x:c r="A6645" s="10" t="n">
        <x:v>46286</x:v>
      </x:c>
      <x:c r="B6645" s="1" t="n">
        <x:v>22.5</x:v>
      </x:c>
      <x:c r="C6645" s="1" t="n">
        <x:v>6</x:v>
      </x:c>
      <x:c r="D6645" s="12" t="n">
        <x:v>0.20700000000000002</x:v>
      </x:c>
      <x:c r="E6645" s="12" t="n">
        <x:v>0.266</x:v>
      </x:c>
      <x:c r="F6645" s="12" t="n">
        <x:v>0.048</x:v>
      </x:c>
      <x:c r="G6645" s="12" t="n">
        <x:v>0</x:v>
      </x:c>
      <x:c r="H6645" s="1" t="n">
        <x:f>'Historical prices'!E6645</x:f>
        <x:v>1.05</x:v>
      </x:c>
      <x:c r="I6645" s="6" t="n">
        <x:f>'Historical prices'!D6645</x:f>
        <x:v>0.30469999999999997</x:v>
      </x:c>
      <x:c r="J6645" s="13" t="n">
        <x:f>D6645*I6645*H6645</x:f>
        <x:v>0.066226545</x:v>
      </x:c>
      <x:c r="K6645" s="13" t="n">
        <x:f>E6645*I6645*H6645</x:f>
        <x:v>0.08510271000000001</x:v>
      </x:c>
      <x:c r="L6645" s="1" t="str">
        <x:f>TEXT(A6645,"mmm yyyy")</x:f>
        <x:v>Sep 2026</x:v>
      </x:c>
    </x:row>
    <x:row r="6646" ht="21" customHeight="1">
      <x:c r="A6646" s="10" t="n">
        <x:v>46286</x:v>
      </x:c>
      <x:c r="B6646" s="1" t="n">
        <x:v>23</x:v>
      </x:c>
      <x:c r="C6646" s="1" t="n">
        <x:v>6</x:v>
      </x:c>
      <x:c r="D6646" s="12" t="n">
        <x:v>0.24275000000000002</x:v>
      </x:c>
      <x:c r="E6646" s="12" t="n">
        <x:v>0.25275000000000003</x:v>
      </x:c>
      <x:c r="F6646" s="12" t="n">
        <x:v>0</x:v>
      </x:c>
      <x:c r="G6646" s="12" t="n">
        <x:v>0</x:v>
      </x:c>
      <x:c r="H6646" s="1" t="n">
        <x:f>'Historical prices'!E6646</x:f>
        <x:v>1.05</x:v>
      </x:c>
      <x:c r="I6646" s="6" t="n">
        <x:f>'Historical prices'!D6646</x:f>
        <x:v>0.3015</x:v>
      </x:c>
      <x:c r="J6646" s="13" t="n">
        <x:f>D6646*I6646*H6646</x:f>
        <x:v>0.07684858125</x:v>
      </x:c>
      <x:c r="K6646" s="13" t="n">
        <x:f>E6646*I6646*H6646</x:f>
        <x:v>0.08001433125000001</x:v>
      </x:c>
      <x:c r="L6646" s="1" t="str">
        <x:f>TEXT(A6646,"mmm yyyy")</x:f>
        <x:v>Sep 2026</x:v>
      </x:c>
    </x:row>
    <x:row r="6647" ht="21" customHeight="1">
      <x:c r="A6647" s="10" t="n">
        <x:v>46286</x:v>
      </x:c>
      <x:c r="B6647" s="1" t="n">
        <x:v>23.5</x:v>
      </x:c>
      <x:c r="C6647" s="1" t="n">
        <x:v>6</x:v>
      </x:c>
      <x:c r="D6647" s="12" t="n">
        <x:v>0.141</x:v>
      </x:c>
      <x:c r="E6647" s="12" t="n">
        <x:v>0.152</x:v>
      </x:c>
      <x:c r="F6647" s="12" t="n">
        <x:v>0</x:v>
      </x:c>
      <x:c r="G6647" s="12" t="n">
        <x:v>0</x:v>
      </x:c>
      <x:c r="H6647" s="1" t="n">
        <x:f>'Historical prices'!E6647</x:f>
        <x:v>1.05</x:v>
      </x:c>
      <x:c r="I6647" s="6" t="n">
        <x:f>'Historical prices'!D6647</x:f>
        <x:v>0.27949999999999997</x:v>
      </x:c>
      <x:c r="J6647" s="13" t="n">
        <x:f>D6647*I6647*H6647</x:f>
        <x:v>0.04137997499999999</x:v>
      </x:c>
      <x:c r="K6647" s="13" t="n">
        <x:f>E6647*I6647*H6647</x:f>
        <x:v>0.044608199999999994</x:v>
      </x:c>
      <x:c r="L6647" s="1" t="str">
        <x:f>TEXT(A6647,"mmm yyyy")</x:f>
        <x:v>Sep 2026</x:v>
      </x:c>
    </x:row>
    <x:row r="6648" ht="21" customHeight="1">
      <x:c r="A6648" s="10" t="n">
        <x:v>46287</x:v>
      </x:c>
      <x:c r="B6648" s="1" t="n">
        <x:v>0</x:v>
      </x:c>
      <x:c r="C6648" s="1" t="n">
        <x:v>6</x:v>
      </x:c>
      <x:c r="D6648" s="12" t="n">
        <x:v>0.16399999999999998</x:v>
      </x:c>
      <x:c r="E6648" s="12" t="n">
        <x:v>0.173</x:v>
      </x:c>
      <x:c r="F6648" s="12" t="n">
        <x:v>0</x:v>
      </x:c>
      <x:c r="G6648" s="12" t="n">
        <x:v>0</x:v>
      </x:c>
      <x:c r="H6648" s="1" t="n">
        <x:f>'Historical prices'!E6648</x:f>
        <x:v>1.05</x:v>
      </x:c>
      <x:c r="I6648" s="6" t="n">
        <x:f>'Historical prices'!D6648</x:f>
        <x:v>0.281</x:v>
      </x:c>
      <x:c r="J6648" s="13" t="n">
        <x:f>D6648*I6648*H6648</x:f>
        <x:v>0.0483882</x:v>
      </x:c>
      <x:c r="K6648" s="13" t="n">
        <x:f>E6648*I6648*H6648</x:f>
        <x:v>0.05104365</x:v>
      </x:c>
      <x:c r="L6648" s="1" t="str">
        <x:f>TEXT(A6648,"mmm yyyy")</x:f>
        <x:v>Sep 2026</x:v>
      </x:c>
    </x:row>
    <x:row r="6649" ht="21" customHeight="1">
      <x:c r="A6649" s="10" t="n">
        <x:v>46287</x:v>
      </x:c>
      <x:c r="B6649" s="1" t="n">
        <x:v>0.5</x:v>
      </x:c>
      <x:c r="C6649" s="1" t="n">
        <x:v>6</x:v>
      </x:c>
      <x:c r="D6649" s="12" t="n">
        <x:v>0.18825</x:v>
      </x:c>
      <x:c r="E6649" s="12" t="n">
        <x:v>0.19925</x:v>
      </x:c>
      <x:c r="F6649" s="12" t="n">
        <x:v>0</x:v>
      </x:c>
      <x:c r="G6649" s="12" t="n">
        <x:v>0</x:v>
      </x:c>
      <x:c r="H6649" s="1" t="n">
        <x:f>'Historical prices'!E6649</x:f>
        <x:v>1.05</x:v>
      </x:c>
      <x:c r="I6649" s="6" t="n">
        <x:f>'Historical prices'!D6649</x:f>
        <x:v>0.27149999999999996</x:v>
      </x:c>
      <x:c r="J6649" s="13" t="n">
        <x:f>D6649*I6649*H6649</x:f>
        <x:v>0.05366536874999999</x:v>
      </x:c>
      <x:c r="K6649" s="13" t="n">
        <x:f>E6649*I6649*H6649</x:f>
        <x:v>0.05680119375</x:v>
      </x:c>
      <x:c r="L6649" s="1" t="str">
        <x:f>TEXT(A6649,"mmm yyyy")</x:f>
        <x:v>Sep 2026</x:v>
      </x:c>
    </x:row>
    <x:row r="6650" ht="21" customHeight="1">
      <x:c r="A6650" s="10" t="n">
        <x:v>46287</x:v>
      </x:c>
      <x:c r="B6650" s="1" t="n">
        <x:v>1</x:v>
      </x:c>
      <x:c r="C6650" s="1" t="n">
        <x:v>6</x:v>
      </x:c>
      <x:c r="D6650" s="12" t="n">
        <x:v>0.15949999999999998</x:v>
      </x:c>
      <x:c r="E6650" s="12" t="n">
        <x:v>0.16949999999999998</x:v>
      </x:c>
      <x:c r="F6650" s="12" t="n">
        <x:v>0</x:v>
      </x:c>
      <x:c r="G6650" s="12" t="n">
        <x:v>0</x:v>
      </x:c>
      <x:c r="H6650" s="1" t="n">
        <x:f>'Historical prices'!E6650</x:f>
        <x:v>1.05</x:v>
      </x:c>
      <x:c r="I6650" s="6" t="n">
        <x:f>'Historical prices'!D6650</x:f>
        <x:v>0.2891</x:v>
      </x:c>
      <x:c r="J6650" s="13" t="n">
        <x:f>D6650*I6650*H6650</x:f>
        <x:v>0.0484170225</x:v>
      </x:c>
      <x:c r="K6650" s="13" t="n">
        <x:f>E6650*I6650*H6650</x:f>
        <x:v>0.051452572499999995</x:v>
      </x:c>
      <x:c r="L6650" s="1" t="str">
        <x:f>TEXT(A6650,"mmm yyyy")</x:f>
        <x:v>Sep 2026</x:v>
      </x:c>
    </x:row>
    <x:row r="6651" ht="21" customHeight="1">
      <x:c r="A6651" s="10" t="n">
        <x:v>46287</x:v>
      </x:c>
      <x:c r="B6651" s="1" t="n">
        <x:v>1.5</x:v>
      </x:c>
      <x:c r="C6651" s="1" t="n">
        <x:v>6</x:v>
      </x:c>
      <x:c r="D6651" s="12" t="n">
        <x:v>0.1875</x:v>
      </x:c>
      <x:c r="E6651" s="12" t="n">
        <x:v>0.1985</x:v>
      </x:c>
      <x:c r="F6651" s="12" t="n">
        <x:v>0</x:v>
      </x:c>
      <x:c r="G6651" s="12" t="n">
        <x:v>0</x:v>
      </x:c>
      <x:c r="H6651" s="1" t="n">
        <x:f>'Historical prices'!E6651</x:f>
        <x:v>1.05</x:v>
      </x:c>
      <x:c r="I6651" s="6" t="n">
        <x:f>'Historical prices'!D6651</x:f>
        <x:v>0.292</x:v>
      </x:c>
      <x:c r="J6651" s="13" t="n">
        <x:f>D6651*I6651*H6651</x:f>
        <x:v>0.0574875</x:v>
      </x:c>
      <x:c r="K6651" s="13" t="n">
        <x:f>E6651*I6651*H6651</x:f>
        <x:v>0.0608601</x:v>
      </x:c>
      <x:c r="L6651" s="1" t="str">
        <x:f>TEXT(A6651,"mmm yyyy")</x:f>
        <x:v>Sep 2026</x:v>
      </x:c>
    </x:row>
    <x:row r="6652" ht="21" customHeight="1">
      <x:c r="A6652" s="10" t="n">
        <x:v>46287</x:v>
      </x:c>
      <x:c r="B6652" s="1" t="n">
        <x:v>2</x:v>
      </x:c>
      <x:c r="C6652" s="1" t="n">
        <x:v>6</x:v>
      </x:c>
      <x:c r="D6652" s="12" t="n">
        <x:v>0.151</x:v>
      </x:c>
      <x:c r="E6652" s="12" t="n">
        <x:v>0.16099999999999998</x:v>
      </x:c>
      <x:c r="F6652" s="12" t="n">
        <x:v>0</x:v>
      </x:c>
      <x:c r="G6652" s="12" t="n">
        <x:v>0</x:v>
      </x:c>
      <x:c r="H6652" s="1" t="n">
        <x:f>'Historical prices'!E6652</x:f>
        <x:v>1.05</x:v>
      </x:c>
      <x:c r="I6652" s="6" t="n">
        <x:f>'Historical prices'!D6652</x:f>
        <x:v>0.2901</x:v>
      </x:c>
      <x:c r="J6652" s="13" t="n">
        <x:f>D6652*I6652*H6652</x:f>
        <x:v>0.045995355</x:v>
      </x:c>
      <x:c r="K6652" s="13" t="n">
        <x:f>E6652*I6652*H6652</x:f>
        <x:v>0.049041405</x:v>
      </x:c>
      <x:c r="L6652" s="1" t="str">
        <x:f>TEXT(A6652,"mmm yyyy")</x:f>
        <x:v>Sep 2026</x:v>
      </x:c>
    </x:row>
    <x:row r="6653" ht="21" customHeight="1">
      <x:c r="A6653" s="10" t="n">
        <x:v>46287</x:v>
      </x:c>
      <x:c r="B6653" s="1" t="n">
        <x:v>2.5</x:v>
      </x:c>
      <x:c r="C6653" s="1" t="n">
        <x:v>6</x:v>
      </x:c>
      <x:c r="D6653" s="12" t="n">
        <x:v>0.17250000000000001</x:v>
      </x:c>
      <x:c r="E6653" s="12" t="n">
        <x:v>0.1825</x:v>
      </x:c>
      <x:c r="F6653" s="12" t="n">
        <x:v>0</x:v>
      </x:c>
      <x:c r="G6653" s="12" t="n">
        <x:v>0</x:v>
      </x:c>
      <x:c r="H6653" s="1" t="n">
        <x:f>'Historical prices'!E6653</x:f>
        <x:v>1.05</x:v>
      </x:c>
      <x:c r="I6653" s="6" t="n">
        <x:f>'Historical prices'!D6653</x:f>
        <x:v>0.2759</x:v>
      </x:c>
      <x:c r="J6653" s="13" t="n">
        <x:f>D6653*I6653*H6653</x:f>
        <x:v>0.04997238750000001</x:v>
      </x:c>
      <x:c r="K6653" s="13" t="n">
        <x:f>E6653*I6653*H6653</x:f>
        <x:v>0.052869337499999995</x:v>
      </x:c>
      <x:c r="L6653" s="1" t="str">
        <x:f>TEXT(A6653,"mmm yyyy")</x:f>
        <x:v>Sep 2026</x:v>
      </x:c>
    </x:row>
    <x:row r="6654" ht="21" customHeight="1">
      <x:c r="A6654" s="10" t="n">
        <x:v>46287</x:v>
      </x:c>
      <x:c r="B6654" s="1" t="n">
        <x:v>3</x:v>
      </x:c>
      <x:c r="C6654" s="1" t="n">
        <x:v>6</x:v>
      </x:c>
      <x:c r="D6654" s="12" t="n">
        <x:v>0.26075000000000004</x:v>
      </x:c>
      <x:c r="E6654" s="12" t="n">
        <x:v>0.27175</x:v>
      </x:c>
      <x:c r="F6654" s="12" t="n">
        <x:v>0</x:v>
      </x:c>
      <x:c r="G6654" s="12" t="n">
        <x:v>0</x:v>
      </x:c>
      <x:c r="H6654" s="1" t="n">
        <x:f>'Historical prices'!E6654</x:f>
        <x:v>1.05</x:v>
      </x:c>
      <x:c r="I6654" s="6" t="n">
        <x:f>'Historical prices'!D6654</x:f>
        <x:v>0.2729</x:v>
      </x:c>
      <x:c r="J6654" s="13" t="n">
        <x:f>D6654*I6654*H6654</x:f>
        <x:v>0.07471660875000001</x:v>
      </x:c>
      <x:c r="K6654" s="13" t="n">
        <x:f>E6654*I6654*H6654</x:f>
        <x:v>0.07786860375</x:v>
      </x:c>
      <x:c r="L6654" s="1" t="str">
        <x:f>TEXT(A6654,"mmm yyyy")</x:f>
        <x:v>Sep 2026</x:v>
      </x:c>
    </x:row>
    <x:row r="6655" ht="21" customHeight="1">
      <x:c r="A6655" s="10" t="n">
        <x:v>46287</x:v>
      </x:c>
      <x:c r="B6655" s="1" t="n">
        <x:v>3.5</x:v>
      </x:c>
      <x:c r="C6655" s="1" t="n">
        <x:v>6</x:v>
      </x:c>
      <x:c r="D6655" s="12" t="n">
        <x:v>2.9822499999999996</x:v>
      </x:c>
      <x:c r="E6655" s="12" t="n">
        <x:v>0.31625</x:v>
      </x:c>
      <x:c r="F6655" s="12" t="n">
        <x:v>0</x:v>
      </x:c>
      <x:c r="G6655" s="12" t="n">
        <x:v>2.6670000000000003</x:v>
      </x:c>
      <x:c r="H6655" s="1" t="n">
        <x:f>'Historical prices'!E6655</x:f>
        <x:v>1.05</x:v>
      </x:c>
      <x:c r="I6655" s="6" t="n">
        <x:f>'Historical prices'!D6655</x:f>
        <x:v>0.2693</x:v>
      </x:c>
      <x:c r="J6655" s="13" t="n">
        <x:f>D6655*I6655*H6655</x:f>
        <x:v>0.8432759212499998</x:v>
      </x:c>
      <x:c r="K6655" s="13" t="n">
        <x:f>E6655*I6655*H6655</x:f>
        <x:v>0.08942443124999998</x:v>
      </x:c>
      <x:c r="L6655" s="1" t="str">
        <x:f>TEXT(A6655,"mmm yyyy")</x:f>
        <x:v>Sep 2026</x:v>
      </x:c>
    </x:row>
    <x:row r="6656" ht="21" customHeight="1">
      <x:c r="A6656" s="10" t="n">
        <x:v>46287</x:v>
      </x:c>
      <x:c r="B6656" s="1" t="n">
        <x:v>4</x:v>
      </x:c>
      <x:c r="C6656" s="1" t="n">
        <x:v>6</x:v>
      </x:c>
      <x:c r="D6656" s="12" t="n">
        <x:v>0.5755000000000001</x:v>
      </x:c>
      <x:c r="E6656" s="12" t="n">
        <x:v>0.15849999999999997</x:v>
      </x:c>
      <x:c r="F6656" s="12" t="n">
        <x:v>0</x:v>
      </x:c>
      <x:c r="G6656" s="12" t="n">
        <x:v>0.421</x:v>
      </x:c>
      <x:c r="H6656" s="1" t="n">
        <x:f>'Historical prices'!E6656</x:f>
        <x:v>1.05</x:v>
      </x:c>
      <x:c r="I6656" s="6" t="n">
        <x:f>'Historical prices'!D6656</x:f>
        <x:v>0.2837</x:v>
      </x:c>
      <x:c r="J6656" s="13" t="n">
        <x:f>D6656*I6656*H6656</x:f>
        <x:v>0.17143281750000006</x:v>
      </x:c>
      <x:c r="K6656" s="13" t="n">
        <x:f>E6656*I6656*H6656</x:f>
        <x:v>0.047214772499999995</x:v>
      </x:c>
      <x:c r="L6656" s="1" t="str">
        <x:f>TEXT(A6656,"mmm yyyy")</x:f>
        <x:v>Sep 2026</x:v>
      </x:c>
    </x:row>
    <x:row r="6657" ht="21" customHeight="1">
      <x:c r="A6657" s="10" t="n">
        <x:v>46287</x:v>
      </x:c>
      <x:c r="B6657" s="1" t="n">
        <x:v>4.5</x:v>
      </x:c>
      <x:c r="C6657" s="1" t="n">
        <x:v>6</x:v>
      </x:c>
      <x:c r="D6657" s="12" t="n">
        <x:v>1.04675</x:v>
      </x:c>
      <x:c r="E6657" s="12" t="n">
        <x:v>0.28275</x:v>
      </x:c>
      <x:c r="F6657" s="12" t="n">
        <x:v>0</x:v>
      </x:c>
      <x:c r="G6657" s="12" t="n">
        <x:v>0.766</x:v>
      </x:c>
      <x:c r="H6657" s="1" t="n">
        <x:f>'Historical prices'!E6657</x:f>
        <x:v>1.05</x:v>
      </x:c>
      <x:c r="I6657" s="6" t="n">
        <x:f>'Historical prices'!D6657</x:f>
        <x:v>0.2693</x:v>
      </x:c>
      <x:c r="J6657" s="13" t="n">
        <x:f>D6657*I6657*H6657</x:f>
        <x:v>0.29598426375000003</x:v>
      </x:c>
      <x:c r="K6657" s="13" t="n">
        <x:f>E6657*I6657*H6657</x:f>
        <x:v>0.07995180375</x:v>
      </x:c>
      <x:c r="L6657" s="1" t="str">
        <x:f>TEXT(A6657,"mmm yyyy")</x:f>
        <x:v>Sep 2026</x:v>
      </x:c>
    </x:row>
    <x:row r="6658" ht="21" customHeight="1">
      <x:c r="A6658" s="10" t="n">
        <x:v>46287</x:v>
      </x:c>
      <x:c r="B6658" s="1" t="n">
        <x:v>5</x:v>
      </x:c>
      <x:c r="C6658" s="1" t="n">
        <x:v>6</x:v>
      </x:c>
      <x:c r="D6658" s="12" t="n">
        <x:v>0.17424999999999996</x:v>
      </x:c>
      <x:c r="E6658" s="12" t="n">
        <x:v>0.17924999999999996</x:v>
      </x:c>
      <x:c r="F6658" s="12" t="n">
        <x:v>0</x:v>
      </x:c>
      <x:c r="G6658" s="12" t="n">
        <x:v>0</x:v>
      </x:c>
      <x:c r="H6658" s="1" t="n">
        <x:f>'Historical prices'!E6658</x:f>
        <x:v>1.05</x:v>
      </x:c>
      <x:c r="I6658" s="6" t="n">
        <x:f>'Historical prices'!D6658</x:f>
        <x:v>0.2832</x:v>
      </x:c>
      <x:c r="J6658" s="13" t="n">
        <x:f>D6658*I6658*H6658</x:f>
        <x:v>0.05181498</x:v>
      </x:c>
      <x:c r="K6658" s="13" t="n">
        <x:f>E6658*I6658*H6658</x:f>
        <x:v>0.05330177999999999</x:v>
      </x:c>
      <x:c r="L6658" s="1" t="str">
        <x:f>TEXT(A6658,"mmm yyyy")</x:f>
        <x:v>Sep 2026</x:v>
      </x:c>
    </x:row>
    <x:row r="6659" ht="21" customHeight="1">
      <x:c r="A6659" s="10" t="n">
        <x:v>46287</x:v>
      </x:c>
      <x:c r="B6659" s="1" t="n">
        <x:v>5.5</x:v>
      </x:c>
      <x:c r="C6659" s="1" t="n">
        <x:v>6</x:v>
      </x:c>
      <x:c r="D6659" s="12" t="n">
        <x:v>0.17675</x:v>
      </x:c>
      <x:c r="E6659" s="12" t="n">
        <x:v>0.18775</x:v>
      </x:c>
      <x:c r="F6659" s="12" t="n">
        <x:v>0</x:v>
      </x:c>
      <x:c r="G6659" s="12" t="n">
        <x:v>0</x:v>
      </x:c>
      <x:c r="H6659" s="1" t="n">
        <x:f>'Historical prices'!E6659</x:f>
        <x:v>1.05</x:v>
      </x:c>
      <x:c r="I6659" s="6" t="n">
        <x:f>'Historical prices'!D6659</x:f>
        <x:v>0.3102</x:v>
      </x:c>
      <x:c r="J6659" s="13" t="n">
        <x:f>D6659*I6659*H6659</x:f>
        <x:v>0.05756924249999999</x:v>
      </x:c>
      <x:c r="K6659" s="13" t="n">
        <x:f>E6659*I6659*H6659</x:f>
        <x:v>0.0611520525</x:v>
      </x:c>
      <x:c r="L6659" s="1" t="str">
        <x:f>TEXT(A6659,"mmm yyyy")</x:f>
        <x:v>Sep 2026</x:v>
      </x:c>
    </x:row>
    <x:row r="6660" ht="21" customHeight="1">
      <x:c r="A6660" s="10" t="n">
        <x:v>46287</x:v>
      </x:c>
      <x:c r="B6660" s="1" t="n">
        <x:v>6</x:v>
      </x:c>
      <x:c r="C6660" s="1" t="n">
        <x:v>6</x:v>
      </x:c>
      <x:c r="D6660" s="12" t="n">
        <x:v>0.04625</x:v>
      </x:c>
      <x:c r="E6660" s="12" t="n">
        <x:v>0.3051666666666667</x:v>
      </x:c>
      <x:c r="F6660" s="12" t="n">
        <x:v>0.25649999999999995</x:v>
      </x:c>
      <x:c r="G6660" s="12" t="n">
        <x:v>0</x:v>
      </x:c>
      <x:c r="H6660" s="1" t="n">
        <x:f>'Historical prices'!E6660</x:f>
        <x:v>1.05</x:v>
      </x:c>
      <x:c r="I6660" s="6" t="n">
        <x:f>'Historical prices'!D6660</x:f>
        <x:v>0.34619999999999995</x:v>
      </x:c>
      <x:c r="J6660" s="13" t="n">
        <x:f>D6660*I6660*H6660</x:f>
        <x:v>0.0168123375</x:v>
      </x:c>
      <x:c r="K6660" s="13" t="n">
        <x:f>E6660*I6660*H6660</x:f>
        <x:v>0.110931135</x:v>
      </x:c>
      <x:c r="L6660" s="1" t="str">
        <x:f>TEXT(A6660,"mmm yyyy")</x:f>
        <x:v>Sep 2026</x:v>
      </x:c>
    </x:row>
    <x:row r="6661" ht="21" customHeight="1">
      <x:c r="A6661" s="10" t="n">
        <x:v>46287</x:v>
      </x:c>
      <x:c r="B6661" s="1" t="n">
        <x:v>6.5</x:v>
      </x:c>
      <x:c r="C6661" s="1" t="n">
        <x:v>6</x:v>
      </x:c>
      <x:c r="D6661" s="12" t="n">
        <x:v>0</x:v>
      </x:c>
      <x:c r="E6661" s="12" t="n">
        <x:v>0.32316666666666666</x:v>
      </x:c>
      <x:c r="F6661" s="12" t="n">
        <x:v>0.32249999999999995</x:v>
      </x:c>
      <x:c r="G6661" s="12" t="n">
        <x:v>0</x:v>
      </x:c>
      <x:c r="H6661" s="1" t="n">
        <x:f>'Historical prices'!E6661</x:f>
        <x:v>1.05</x:v>
      </x:c>
      <x:c r="I6661" s="6" t="n">
        <x:f>'Historical prices'!D6661</x:f>
        <x:v>0.38270000000000004</x:v>
      </x:c>
      <x:c r="J6661" s="13" t="n">
        <x:f>D6661*I6661*H6661</x:f>
        <x:v>0</x:v>
      </x:c>
      <x:c r="K6661" s="13" t="n">
        <x:f>E6661*I6661*H6661</x:f>
        <x:v>0.12985967750000002</x:v>
      </x:c>
      <x:c r="L6661" s="1" t="str">
        <x:f>TEXT(A6661,"mmm yyyy")</x:f>
        <x:v>Sep 2026</x:v>
      </x:c>
    </x:row>
    <x:row r="6662" ht="21" customHeight="1">
      <x:c r="A6662" s="10" t="n">
        <x:v>46287</x:v>
      </x:c>
      <x:c r="B6662" s="1" t="n">
        <x:v>7</x:v>
      </x:c>
      <x:c r="C6662" s="1" t="n">
        <x:v>6</x:v>
      </x:c>
      <x:c r="D6662" s="12" t="n">
        <x:v>0</x:v>
      </x:c>
      <x:c r="E6662" s="12" t="n">
        <x:v>0.278</x:v>
      </x:c>
      <x:c r="F6662" s="12" t="n">
        <x:v>0.27758333333333335</x:v>
      </x:c>
      <x:c r="G6662" s="12" t="n">
        <x:v>0</x:v>
      </x:c>
      <x:c r="H6662" s="1" t="n">
        <x:f>'Historical prices'!E6662</x:f>
        <x:v>1.05</x:v>
      </x:c>
      <x:c r="I6662" s="6" t="n">
        <x:f>'Historical prices'!D6662</x:f>
        <x:v>0.3803</x:v>
      </x:c>
      <x:c r="J6662" s="13" t="n">
        <x:f>D6662*I6662*H6662</x:f>
        <x:v>0</x:v>
      </x:c>
      <x:c r="K6662" s="13" t="n">
        <x:f>E6662*I6662*H6662</x:f>
        <x:v>0.11100957000000003</x:v>
      </x:c>
      <x:c r="L6662" s="1" t="str">
        <x:f>TEXT(A6662,"mmm yyyy")</x:f>
        <x:v>Sep 2026</x:v>
      </x:c>
    </x:row>
    <x:row r="6663" ht="21" customHeight="1">
      <x:c r="A6663" s="10" t="n">
        <x:v>46287</x:v>
      </x:c>
      <x:c r="B6663" s="1" t="n">
        <x:v>7.5</x:v>
      </x:c>
      <x:c r="C6663" s="1" t="n">
        <x:v>6</x:v>
      </x:c>
      <x:c r="D6663" s="12" t="n">
        <x:v>0</x:v>
      </x:c>
      <x:c r="E6663" s="12" t="n">
        <x:v>0.3843333333333333</x:v>
      </x:c>
      <x:c r="F6663" s="12" t="n">
        <x:v>0.38391666666666663</x:v>
      </x:c>
      <x:c r="G6663" s="12" t="n">
        <x:v>0</x:v>
      </x:c>
      <x:c r="H6663" s="1" t="n">
        <x:f>'Historical prices'!E6663</x:f>
        <x:v>1.05</x:v>
      </x:c>
      <x:c r="I6663" s="6" t="n">
        <x:f>'Historical prices'!D6663</x:f>
        <x:v>0.42450000000000004</x:v>
      </x:c>
      <x:c r="J6663" s="13" t="n">
        <x:f>D6663*I6663*H6663</x:f>
        <x:v>0</x:v>
      </x:c>
      <x:c r="K6663" s="13" t="n">
        <x:f>E6663*I6663*H6663</x:f>
        <x:v>0.171306975</x:v>
      </x:c>
      <x:c r="L6663" s="1" t="str">
        <x:f>TEXT(A6663,"mmm yyyy")</x:f>
        <x:v>Sep 2026</x:v>
      </x:c>
    </x:row>
    <x:row r="6664" ht="21" customHeight="1">
      <x:c r="A6664" s="10" t="n">
        <x:v>46287</x:v>
      </x:c>
      <x:c r="B6664" s="1" t="n">
        <x:v>8</x:v>
      </x:c>
      <x:c r="C6664" s="1" t="n">
        <x:v>6</x:v>
      </x:c>
      <x:c r="D6664" s="12" t="n">
        <x:v>0</x:v>
      </x:c>
      <x:c r="E6664" s="12" t="n">
        <x:v>0.27375</x:v>
      </x:c>
      <x:c r="F6664" s="12" t="n">
        <x:v>0.2731666666666666</x:v>
      </x:c>
      <x:c r="G6664" s="12" t="n">
        <x:v>0</x:v>
      </x:c>
      <x:c r="H6664" s="1" t="n">
        <x:f>'Historical prices'!E6664</x:f>
        <x:v>1.05</x:v>
      </x:c>
      <x:c r="I6664" s="6" t="n">
        <x:f>'Historical prices'!D6664</x:f>
        <x:v>0.3641</x:v>
      </x:c>
      <x:c r="J6664" s="13" t="n">
        <x:f>D6664*I6664*H6664</x:f>
        <x:v>0</x:v>
      </x:c>
      <x:c r="K6664" s="13" t="n">
        <x:f>E6664*I6664*H6664</x:f>
        <x:v>0.10465599375</x:v>
      </x:c>
      <x:c r="L6664" s="1" t="str">
        <x:f>TEXT(A6664,"mmm yyyy")</x:f>
        <x:v>Sep 2026</x:v>
      </x:c>
    </x:row>
    <x:row r="6665" ht="21" customHeight="1">
      <x:c r="A6665" s="10" t="n">
        <x:v>46287</x:v>
      </x:c>
      <x:c r="B6665" s="1" t="n">
        <x:v>8.5</x:v>
      </x:c>
      <x:c r="C6665" s="1" t="n">
        <x:v>6</x:v>
      </x:c>
      <x:c r="D6665" s="12" t="n">
        <x:v>0</x:v>
      </x:c>
      <x:c r="E6665" s="12" t="n">
        <x:v>0.39475000000000005</x:v>
      </x:c>
      <x:c r="F6665" s="12" t="n">
        <x:v>0.39449999999999996</x:v>
      </x:c>
      <x:c r="G6665" s="12" t="n">
        <x:v>0</x:v>
      </x:c>
      <x:c r="H6665" s="1" t="n">
        <x:f>'Historical prices'!E6665</x:f>
        <x:v>1.05</x:v>
      </x:c>
      <x:c r="I6665" s="6" t="n">
        <x:f>'Historical prices'!D6665</x:f>
        <x:v>0.3532</x:v>
      </x:c>
      <x:c r="J6665" s="13" t="n">
        <x:f>D6665*I6665*H6665</x:f>
        <x:v>0</x:v>
      </x:c>
      <x:c r="K6665" s="13" t="n">
        <x:f>E6665*I6665*H6665</x:f>
        <x:v>0.146396985</x:v>
      </x:c>
      <x:c r="L6665" s="1" t="str">
        <x:f>TEXT(A6665,"mmm yyyy")</x:f>
        <x:v>Sep 2026</x:v>
      </x:c>
    </x:row>
    <x:row r="6666" ht="21" customHeight="1">
      <x:c r="A6666" s="10" t="n">
        <x:v>46287</x:v>
      </x:c>
      <x:c r="B6666" s="1" t="n">
        <x:v>9</x:v>
      </x:c>
      <x:c r="C6666" s="1" t="n">
        <x:v>6</x:v>
      </x:c>
      <x:c r="D6666" s="12" t="n">
        <x:v>0.17500000000000002</x:v>
      </x:c>
      <x:c r="E6666" s="12" t="n">
        <x:v>0.22591666666666668</x:v>
      </x:c>
      <x:c r="F6666" s="12" t="n">
        <x:v>0.041916666666666665</x:v>
      </x:c>
      <x:c r="G6666" s="12" t="n">
        <x:v>0</x:v>
      </x:c>
      <x:c r="H6666" s="1" t="n">
        <x:f>'Historical prices'!E6666</x:f>
        <x:v>1.05</x:v>
      </x:c>
      <x:c r="I6666" s="6" t="n">
        <x:f>'Historical prices'!D6666</x:f>
        <x:v>0.3103</x:v>
      </x:c>
      <x:c r="J6666" s="13" t="n">
        <x:f>D6666*I6666*H6666</x:f>
        <x:v>0.057017625000000016</x:v>
      </x:c>
      <x:c r="K6666" s="13" t="n">
        <x:f>E6666*I6666*H6666</x:f>
        <x:v>0.07360703875000002</x:v>
      </x:c>
      <x:c r="L6666" s="1" t="str">
        <x:f>TEXT(A6666,"mmm yyyy")</x:f>
        <x:v>Sep 2026</x:v>
      </x:c>
    </x:row>
    <x:row r="6667" ht="21" customHeight="1">
      <x:c r="A6667" s="10" t="n">
        <x:v>46287</x:v>
      </x:c>
      <x:c r="B6667" s="1" t="n">
        <x:v>9.5</x:v>
      </x:c>
      <x:c r="C6667" s="1" t="n">
        <x:v>6</x:v>
      </x:c>
      <x:c r="D6667" s="12" t="n">
        <x:v>0.188</x:v>
      </x:c>
      <x:c r="E6667" s="12" t="n">
        <x:v>0.2</x:v>
      </x:c>
      <x:c r="F6667" s="12" t="n">
        <x:v>0</x:v>
      </x:c>
      <x:c r="G6667" s="12" t="n">
        <x:v>0</x:v>
      </x:c>
      <x:c r="H6667" s="1" t="n">
        <x:f>'Historical prices'!E6667</x:f>
        <x:v>1.05</x:v>
      </x:c>
      <x:c r="I6667" s="6" t="n">
        <x:f>'Historical prices'!D6667</x:f>
        <x:v>0.2799</x:v>
      </x:c>
      <x:c r="J6667" s="13" t="n">
        <x:f>D6667*I6667*H6667</x:f>
        <x:v>0.055252260000000004</x:v>
      </x:c>
      <x:c r="K6667" s="13" t="n">
        <x:f>E6667*I6667*H6667</x:f>
        <x:v>0.058779000000000005</x:v>
      </x:c>
      <x:c r="L6667" s="1" t="str">
        <x:f>TEXT(A6667,"mmm yyyy")</x:f>
        <x:v>Sep 2026</x:v>
      </x:c>
    </x:row>
    <x:row r="6668" ht="21" customHeight="1">
      <x:c r="A6668" s="10" t="n">
        <x:v>46287</x:v>
      </x:c>
      <x:c r="B6668" s="1" t="n">
        <x:v>10</x:v>
      </x:c>
      <x:c r="C6668" s="1" t="n">
        <x:v>6</x:v>
      </x:c>
      <x:c r="D6668" s="12" t="n">
        <x:v>0.13425</x:v>
      </x:c>
      <x:c r="E6668" s="12" t="n">
        <x:v>0.14425</x:v>
      </x:c>
      <x:c r="F6668" s="12" t="n">
        <x:v>0</x:v>
      </x:c>
      <x:c r="G6668" s="12" t="n">
        <x:v>0</x:v>
      </x:c>
      <x:c r="H6668" s="1" t="n">
        <x:f>'Historical prices'!E6668</x:f>
        <x:v>1.05</x:v>
      </x:c>
      <x:c r="I6668" s="6" t="n">
        <x:f>'Historical prices'!D6668</x:f>
        <x:v>0.2757</x:v>
      </x:c>
      <x:c r="J6668" s="13" t="n">
        <x:f>D6668*I6668*H6668</x:f>
        <x:v>0.038863361250000006</x:v>
      </x:c>
      <x:c r="K6668" s="13" t="n">
        <x:f>E6668*I6668*H6668</x:f>
        <x:v>0.04175821125</x:v>
      </x:c>
      <x:c r="L6668" s="1" t="str">
        <x:f>TEXT(A6668,"mmm yyyy")</x:f>
        <x:v>Sep 2026</x:v>
      </x:c>
    </x:row>
    <x:row r="6669" ht="21" customHeight="1">
      <x:c r="A6669" s="10" t="n">
        <x:v>46287</x:v>
      </x:c>
      <x:c r="B6669" s="1" t="n">
        <x:v>10.5</x:v>
      </x:c>
      <x:c r="C6669" s="1" t="n">
        <x:v>6</x:v>
      </x:c>
      <x:c r="D6669" s="12" t="n">
        <x:v>0.23925000000000002</x:v>
      </x:c>
      <x:c r="E6669" s="12" t="n">
        <x:v>0.24924999999999997</x:v>
      </x:c>
      <x:c r="F6669" s="12" t="n">
        <x:v>0</x:v>
      </x:c>
      <x:c r="G6669" s="12" t="n">
        <x:v>0</x:v>
      </x:c>
      <x:c r="H6669" s="1" t="n">
        <x:f>'Historical prices'!E6669</x:f>
        <x:v>1.05</x:v>
      </x:c>
      <x:c r="I6669" s="6" t="n">
        <x:f>'Historical prices'!D6669</x:f>
        <x:v>0.2747</x:v>
      </x:c>
      <x:c r="J6669" s="13" t="n">
        <x:f>D6669*I6669*H6669</x:f>
        <x:v>0.06900807375000001</x:v>
      </x:c>
      <x:c r="K6669" s="13" t="n">
        <x:f>E6669*I6669*H6669</x:f>
        <x:v>0.07189242374999999</x:v>
      </x:c>
      <x:c r="L6669" s="1" t="str">
        <x:f>TEXT(A6669,"mmm yyyy")</x:f>
        <x:v>Sep 2026</x:v>
      </x:c>
    </x:row>
    <x:row r="6670" ht="21" customHeight="1">
      <x:c r="A6670" s="10" t="n">
        <x:v>46287</x:v>
      </x:c>
      <x:c r="B6670" s="1" t="n">
        <x:v>11</x:v>
      </x:c>
      <x:c r="C6670" s="1" t="n">
        <x:v>6</x:v>
      </x:c>
      <x:c r="D6670" s="12" t="n">
        <x:v>0.226</x:v>
      </x:c>
      <x:c r="E6670" s="12" t="n">
        <x:v>0.23700000000000002</x:v>
      </x:c>
      <x:c r="F6670" s="12" t="n">
        <x:v>0</x:v>
      </x:c>
      <x:c r="G6670" s="12" t="n">
        <x:v>0</x:v>
      </x:c>
      <x:c r="H6670" s="1" t="n">
        <x:f>'Historical prices'!E6670</x:f>
        <x:v>1.05</x:v>
      </x:c>
      <x:c r="I6670" s="6" t="n">
        <x:f>'Historical prices'!D6670</x:f>
        <x:v>0.2816</x:v>
      </x:c>
      <x:c r="J6670" s="13" t="n">
        <x:f>D6670*I6670*H6670</x:f>
        <x:v>0.06682368000000001</x:v>
      </x:c>
      <x:c r="K6670" s="13" t="n">
        <x:f>E6670*I6670*H6670</x:f>
        <x:v>0.07007616000000001</x:v>
      </x:c>
      <x:c r="L6670" s="1" t="str">
        <x:f>TEXT(A6670,"mmm yyyy")</x:f>
        <x:v>Sep 2026</x:v>
      </x:c>
    </x:row>
    <x:row r="6671" ht="21" customHeight="1">
      <x:c r="A6671" s="10" t="n">
        <x:v>46287</x:v>
      </x:c>
      <x:c r="B6671" s="1" t="n">
        <x:v>11.5</x:v>
      </x:c>
      <x:c r="C6671" s="1" t="n">
        <x:v>6</x:v>
      </x:c>
      <x:c r="D6671" s="12" t="n">
        <x:v>0.21799999999999997</x:v>
      </x:c>
      <x:c r="E6671" s="12" t="n">
        <x:v>0.22799999999999998</x:v>
      </x:c>
      <x:c r="F6671" s="12" t="n">
        <x:v>0</x:v>
      </x:c>
      <x:c r="G6671" s="12" t="n">
        <x:v>0</x:v>
      </x:c>
      <x:c r="H6671" s="1" t="n">
        <x:f>'Historical prices'!E6671</x:f>
        <x:v>1.05</x:v>
      </x:c>
      <x:c r="I6671" s="6" t="n">
        <x:f>'Historical prices'!D6671</x:f>
        <x:v>0.2791</x:v>
      </x:c>
      <x:c r="J6671" s="13" t="n">
        <x:f>D6671*I6671*H6671</x:f>
        <x:v>0.06388599</x:v>
      </x:c>
      <x:c r="K6671" s="13" t="n">
        <x:f>E6671*I6671*H6671</x:f>
        <x:v>0.06681654</x:v>
      </x:c>
      <x:c r="L6671" s="1" t="str">
        <x:f>TEXT(A6671,"mmm yyyy")</x:f>
        <x:v>Sep 2026</x:v>
      </x:c>
    </x:row>
    <x:row r="6672" ht="21" customHeight="1">
      <x:c r="A6672" s="10" t="n">
        <x:v>46287</x:v>
      </x:c>
      <x:c r="B6672" s="1" t="n">
        <x:v>12</x:v>
      </x:c>
      <x:c r="C6672" s="1" t="n">
        <x:v>6</x:v>
      </x:c>
      <x:c r="D6672" s="12" t="n">
        <x:v>0.1895</x:v>
      </x:c>
      <x:c r="E6672" s="12" t="n">
        <x:v>0.2005</x:v>
      </x:c>
      <x:c r="F6672" s="12" t="n">
        <x:v>0</x:v>
      </x:c>
      <x:c r="G6672" s="12" t="n">
        <x:v>0</x:v>
      </x:c>
      <x:c r="H6672" s="1" t="n">
        <x:f>'Historical prices'!E6672</x:f>
        <x:v>1.05</x:v>
      </x:c>
      <x:c r="I6672" s="6" t="n">
        <x:f>'Historical prices'!D6672</x:f>
        <x:v>0.2817</x:v>
      </x:c>
      <x:c r="J6672" s="13" t="n">
        <x:f>D6672*I6672*H6672</x:f>
        <x:v>0.05605125750000001</x:v>
      </x:c>
      <x:c r="K6672" s="13" t="n">
        <x:f>E6672*I6672*H6672</x:f>
        <x:v>0.05930489250000001</x:v>
      </x:c>
      <x:c r="L6672" s="1" t="str">
        <x:f>TEXT(A6672,"mmm yyyy")</x:f>
        <x:v>Sep 2026</x:v>
      </x:c>
    </x:row>
    <x:row r="6673" ht="21" customHeight="1">
      <x:c r="A6673" s="10" t="n">
        <x:v>46287</x:v>
      </x:c>
      <x:c r="B6673" s="1" t="n">
        <x:v>12.5</x:v>
      </x:c>
      <x:c r="C6673" s="1" t="n">
        <x:v>6</x:v>
      </x:c>
      <x:c r="D6673" s="12" t="n">
        <x:v>0.21600000000000003</x:v>
      </x:c>
      <x:c r="E6673" s="12" t="n">
        <x:v>0.22600000000000003</x:v>
      </x:c>
      <x:c r="F6673" s="12" t="n">
        <x:v>0</x:v>
      </x:c>
      <x:c r="G6673" s="12" t="n">
        <x:v>0</x:v>
      </x:c>
      <x:c r="H6673" s="1" t="n">
        <x:f>'Historical prices'!E6673</x:f>
        <x:v>1.05</x:v>
      </x:c>
      <x:c r="I6673" s="6" t="n">
        <x:f>'Historical prices'!D6673</x:f>
        <x:v>0.2882</x:v>
      </x:c>
      <x:c r="J6673" s="13" t="n">
        <x:f>D6673*I6673*H6673</x:f>
        <x:v>0.06536376</x:v>
      </x:c>
      <x:c r="K6673" s="13" t="n">
        <x:f>E6673*I6673*H6673</x:f>
        <x:v>0.06838986000000002</x:v>
      </x:c>
      <x:c r="L6673" s="1" t="str">
        <x:f>TEXT(A6673,"mmm yyyy")</x:f>
        <x:v>Sep 2026</x:v>
      </x:c>
    </x:row>
    <x:row r="6674" ht="21" customHeight="1">
      <x:c r="A6674" s="10" t="n">
        <x:v>46287</x:v>
      </x:c>
      <x:c r="B6674" s="1" t="n">
        <x:v>13</x:v>
      </x:c>
      <x:c r="C6674" s="1" t="n">
        <x:v>6</x:v>
      </x:c>
      <x:c r="D6674" s="12" t="n">
        <x:v>0.1765</x:v>
      </x:c>
      <x:c r="E6674" s="12" t="n">
        <x:v>0.1865</x:v>
      </x:c>
      <x:c r="F6674" s="12" t="n">
        <x:v>0</x:v>
      </x:c>
      <x:c r="G6674" s="12" t="n">
        <x:v>0</x:v>
      </x:c>
      <x:c r="H6674" s="1" t="n">
        <x:f>'Historical prices'!E6674</x:f>
        <x:v>1.05</x:v>
      </x:c>
      <x:c r="I6674" s="6" t="n">
        <x:f>'Historical prices'!D6674</x:f>
        <x:v>0.2903</x:v>
      </x:c>
      <x:c r="J6674" s="13" t="n">
        <x:f>D6674*I6674*H6674</x:f>
        <x:v>0.0537998475</x:v>
      </x:c>
      <x:c r="K6674" s="13" t="n">
        <x:f>E6674*I6674*H6674</x:f>
        <x:v>0.056847997500000004</x:v>
      </x:c>
      <x:c r="L6674" s="1" t="str">
        <x:f>TEXT(A6674,"mmm yyyy")</x:f>
        <x:v>Sep 2026</x:v>
      </x:c>
    </x:row>
    <x:row r="6675" ht="21" customHeight="1">
      <x:c r="A6675" s="10" t="n">
        <x:v>46287</x:v>
      </x:c>
      <x:c r="B6675" s="1" t="n">
        <x:v>13.5</x:v>
      </x:c>
      <x:c r="C6675" s="1" t="n">
        <x:v>6</x:v>
      </x:c>
      <x:c r="D6675" s="12" t="n">
        <x:v>0.14650000000000002</x:v>
      </x:c>
      <x:c r="E6675" s="12" t="n">
        <x:v>0.1575</x:v>
      </x:c>
      <x:c r="F6675" s="12" t="n">
        <x:v>0</x:v>
      </x:c>
      <x:c r="G6675" s="12" t="n">
        <x:v>0</x:v>
      </x:c>
      <x:c r="H6675" s="1" t="n">
        <x:f>'Historical prices'!E6675</x:f>
        <x:v>1.05</x:v>
      </x:c>
      <x:c r="I6675" s="6" t="n">
        <x:f>'Historical prices'!D6675</x:f>
        <x:v>0.2942</x:v>
      </x:c>
      <x:c r="J6675" s="13" t="n">
        <x:f>D6675*I6675*H6675</x:f>
        <x:v>0.04525531500000001</x:v>
      </x:c>
      <x:c r="K6675" s="13" t="n">
        <x:f>E6675*I6675*H6675</x:f>
        <x:v>0.048653325000000004</x:v>
      </x:c>
      <x:c r="L6675" s="1" t="str">
        <x:f>TEXT(A6675,"mmm yyyy")</x:f>
        <x:v>Sep 2026</x:v>
      </x:c>
    </x:row>
    <x:row r="6676" ht="21" customHeight="1">
      <x:c r="A6676" s="10" t="n">
        <x:v>46287</x:v>
      </x:c>
      <x:c r="B6676" s="1" t="n">
        <x:v>14</x:v>
      </x:c>
      <x:c r="C6676" s="1" t="n">
        <x:v>6</x:v>
      </x:c>
      <x:c r="D6676" s="12" t="n">
        <x:v>0.16724999999999998</x:v>
      </x:c>
      <x:c r="E6676" s="12" t="n">
        <x:v>0.17725</x:v>
      </x:c>
      <x:c r="F6676" s="12" t="n">
        <x:v>0</x:v>
      </x:c>
      <x:c r="G6676" s="12" t="n">
        <x:v>0</x:v>
      </x:c>
      <x:c r="H6676" s="1" t="n">
        <x:f>'Historical prices'!E6676</x:f>
        <x:v>1.05</x:v>
      </x:c>
      <x:c r="I6676" s="6" t="n">
        <x:f>'Historical prices'!D6676</x:f>
        <x:v>0.2841</x:v>
      </x:c>
      <x:c r="J6676" s="13" t="n">
        <x:f>D6676*I6676*H6676</x:f>
        <x:v>0.04989151125</x:v>
      </x:c>
      <x:c r="K6676" s="13" t="n">
        <x:f>E6676*I6676*H6676</x:f>
        <x:v>0.05287456125</x:v>
      </x:c>
      <x:c r="L6676" s="1" t="str">
        <x:f>TEXT(A6676,"mmm yyyy")</x:f>
        <x:v>Sep 2026</x:v>
      </x:c>
    </x:row>
    <x:row r="6677" ht="21" customHeight="1">
      <x:c r="A6677" s="10" t="n">
        <x:v>46287</x:v>
      </x:c>
      <x:c r="B6677" s="1" t="n">
        <x:v>14.5</x:v>
      </x:c>
      <x:c r="C6677" s="1" t="n">
        <x:v>6</x:v>
      </x:c>
      <x:c r="D6677" s="12" t="n">
        <x:v>0.17975</x:v>
      </x:c>
      <x:c r="E6677" s="12" t="n">
        <x:v>0.19075</x:v>
      </x:c>
      <x:c r="F6677" s="12" t="n">
        <x:v>0</x:v>
      </x:c>
      <x:c r="G6677" s="12" t="n">
        <x:v>0</x:v>
      </x:c>
      <x:c r="H6677" s="1" t="n">
        <x:f>'Historical prices'!E6677</x:f>
        <x:v>1.05</x:v>
      </x:c>
      <x:c r="I6677" s="6" t="n">
        <x:f>'Historical prices'!D6677</x:f>
        <x:v>0.2895</x:v>
      </x:c>
      <x:c r="J6677" s="13" t="n">
        <x:f>D6677*I6677*H6677</x:f>
        <x:v>0.05463950625</x:v>
      </x:c>
      <x:c r="K6677" s="13" t="n">
        <x:f>E6677*I6677*H6677</x:f>
        <x:v>0.057983231249999996</x:v>
      </x:c>
      <x:c r="L6677" s="1" t="str">
        <x:f>TEXT(A6677,"mmm yyyy")</x:f>
        <x:v>Sep 2026</x:v>
      </x:c>
    </x:row>
    <x:row r="6678" ht="21" customHeight="1">
      <x:c r="A6678" s="10" t="n">
        <x:v>46287</x:v>
      </x:c>
      <x:c r="B6678" s="1" t="n">
        <x:v>15</x:v>
      </x:c>
      <x:c r="C6678" s="1" t="n">
        <x:v>6</x:v>
      </x:c>
      <x:c r="D6678" s="12" t="n">
        <x:v>0.17775</x:v>
      </x:c>
      <x:c r="E6678" s="12" t="n">
        <x:v>0.18675</x:v>
      </x:c>
      <x:c r="F6678" s="12" t="n">
        <x:v>0</x:v>
      </x:c>
      <x:c r="G6678" s="12" t="n">
        <x:v>0</x:v>
      </x:c>
      <x:c r="H6678" s="1" t="n">
        <x:f>'Historical prices'!E6678</x:f>
        <x:v>1.05</x:v>
      </x:c>
      <x:c r="I6678" s="6" t="n">
        <x:f>'Historical prices'!D6678</x:f>
        <x:v>0.3041</x:v>
      </x:c>
      <x:c r="J6678" s="13" t="n">
        <x:f>D6678*I6678*H6678</x:f>
        <x:v>0.05675646374999999</x:v>
      </x:c>
      <x:c r="K6678" s="13" t="n">
        <x:f>E6678*I6678*H6678</x:f>
        <x:v>0.059630208750000004</x:v>
      </x:c>
      <x:c r="L6678" s="1" t="str">
        <x:f>TEXT(A6678,"mmm yyyy")</x:f>
        <x:v>Sep 2026</x:v>
      </x:c>
    </x:row>
    <x:row r="6679" ht="21" customHeight="1">
      <x:c r="A6679" s="10" t="n">
        <x:v>46287</x:v>
      </x:c>
      <x:c r="B6679" s="1" t="n">
        <x:v>15.5</x:v>
      </x:c>
      <x:c r="C6679" s="1" t="n">
        <x:v>6</x:v>
      </x:c>
      <x:c r="D6679" s="12" t="n">
        <x:v>0.24224999999999997</x:v>
      </x:c>
      <x:c r="E6679" s="12" t="n">
        <x:v>0.25325</x:v>
      </x:c>
      <x:c r="F6679" s="12" t="n">
        <x:v>0</x:v>
      </x:c>
      <x:c r="G6679" s="12" t="n">
        <x:v>0</x:v>
      </x:c>
      <x:c r="H6679" s="1" t="n">
        <x:f>'Historical prices'!E6679</x:f>
        <x:v>1.05</x:v>
      </x:c>
      <x:c r="I6679" s="6" t="n">
        <x:f>'Historical prices'!D6679</x:f>
        <x:v>0.3299</x:v>
      </x:c>
      <x:c r="J6679" s="13" t="n">
        <x:f>D6679*I6679*H6679</x:f>
        <x:v>0.08391418875000001</x:v>
      </x:c>
      <x:c r="K6679" s="13" t="n">
        <x:f>E6679*I6679*H6679</x:f>
        <x:v>0.08772453375</x:v>
      </x:c>
      <x:c r="L6679" s="1" t="str">
        <x:f>TEXT(A6679,"mmm yyyy")</x:f>
        <x:v>Sep 2026</x:v>
      </x:c>
    </x:row>
    <x:row r="6680" ht="21" customHeight="1">
      <x:c r="A6680" s="10" t="n">
        <x:v>46287</x:v>
      </x:c>
      <x:c r="B6680" s="1" t="n">
        <x:v>16</x:v>
      </x:c>
      <x:c r="C6680" s="1" t="n">
        <x:v>6</x:v>
      </x:c>
      <x:c r="D6680" s="12" t="n">
        <x:v>0.02675</x:v>
      </x:c>
      <x:c r="E6680" s="12" t="n">
        <x:v>0.20400000000000001</x:v>
      </x:c>
      <x:c r="F6680" s="12" t="n">
        <x:v>0.17483333333333334</x:v>
      </x:c>
      <x:c r="G6680" s="12" t="n">
        <x:v>0</x:v>
      </x:c>
      <x:c r="H6680" s="1" t="n">
        <x:f>'Historical prices'!E6680</x:f>
        <x:v>1.05</x:v>
      </x:c>
      <x:c r="I6680" s="6" t="n">
        <x:f>'Historical prices'!D6680</x:f>
        <x:v>0.4042</x:v>
      </x:c>
      <x:c r="J6680" s="13" t="n">
        <x:f>D6680*I6680*H6680</x:f>
        <x:v>0.0113529675</x:v>
      </x:c>
      <x:c r="K6680" s="13" t="n">
        <x:f>E6680*I6680*H6680</x:f>
        <x:v>0.08657964000000001</x:v>
      </x:c>
      <x:c r="L6680" s="1" t="str">
        <x:f>TEXT(A6680,"mmm yyyy")</x:f>
        <x:v>Sep 2026</x:v>
      </x:c>
    </x:row>
    <x:row r="6681" ht="21" customHeight="1">
      <x:c r="A6681" s="10" t="n">
        <x:v>46287</x:v>
      </x:c>
      <x:c r="B6681" s="1" t="n">
        <x:v>16.5</x:v>
      </x:c>
      <x:c r="C6681" s="1" t="n">
        <x:v>6</x:v>
      </x:c>
      <x:c r="D6681" s="12" t="n">
        <x:v>0</x:v>
      </x:c>
      <x:c r="E6681" s="12" t="n">
        <x:v>0.23391666666666666</x:v>
      </x:c>
      <x:c r="F6681" s="12" t="n">
        <x:v>0.23349999999999999</x:v>
      </x:c>
      <x:c r="G6681" s="12" t="n">
        <x:v>0</x:v>
      </x:c>
      <x:c r="H6681" s="1" t="n">
        <x:f>'Historical prices'!E6681</x:f>
        <x:v>1.05</x:v>
      </x:c>
      <x:c r="I6681" s="6" t="n">
        <x:f>'Historical prices'!D6681</x:f>
        <x:v>0.5513</x:v>
      </x:c>
      <x:c r="J6681" s="13" t="n">
        <x:f>D6681*I6681*H6681</x:f>
        <x:v>0</x:v>
      </x:c>
      <x:c r="K6681" s="13" t="n">
        <x:f>E6681*I6681*H6681</x:f>
        <x:v>0.13540617124999998</x:v>
      </x:c>
      <x:c r="L6681" s="1" t="str">
        <x:f>TEXT(A6681,"mmm yyyy")</x:f>
        <x:v>Sep 2026</x:v>
      </x:c>
    </x:row>
    <x:row r="6682" ht="21" customHeight="1">
      <x:c r="A6682" s="10" t="n">
        <x:v>46287</x:v>
      </x:c>
      <x:c r="B6682" s="1" t="n">
        <x:v>17</x:v>
      </x:c>
      <x:c r="C6682" s="1" t="n">
        <x:v>6</x:v>
      </x:c>
      <x:c r="D6682" s="12" t="n">
        <x:v>0</x:v>
      </x:c>
      <x:c r="E6682" s="12" t="n">
        <x:v>0.27366666666666667</x:v>
      </x:c>
      <x:c r="F6682" s="12" t="n">
        <x:v>0.27325</x:v>
      </x:c>
      <x:c r="G6682" s="12" t="n">
        <x:v>0</x:v>
      </x:c>
      <x:c r="H6682" s="1" t="n">
        <x:f>'Historical prices'!E6682</x:f>
        <x:v>1.05</x:v>
      </x:c>
      <x:c r="I6682" s="6" t="n">
        <x:f>'Historical prices'!D6682</x:f>
        <x:v>0.7323999999999999</x:v>
      </x:c>
      <x:c r="J6682" s="13" t="n">
        <x:f>D6682*I6682*H6682</x:f>
        <x:v>0</x:v>
      </x:c>
      <x:c r="K6682" s="13" t="n">
        <x:f>E6682*I6682*H6682</x:f>
        <x:v>0.21045513999999999</x:v>
      </x:c>
      <x:c r="L6682" s="1" t="str">
        <x:f>TEXT(A6682,"mmm yyyy")</x:f>
        <x:v>Sep 2026</x:v>
      </x:c>
    </x:row>
    <x:row r="6683" ht="21" customHeight="1">
      <x:c r="A6683" s="10" t="n">
        <x:v>46287</x:v>
      </x:c>
      <x:c r="B6683" s="1" t="n">
        <x:v>17.5</x:v>
      </x:c>
      <x:c r="C6683" s="1" t="n">
        <x:v>6</x:v>
      </x:c>
      <x:c r="D6683" s="12" t="n">
        <x:v>0</x:v>
      </x:c>
      <x:c r="E6683" s="12" t="n">
        <x:v>0.21325</x:v>
      </x:c>
      <x:c r="F6683" s="12" t="n">
        <x:v>0.21266666666666667</x:v>
      </x:c>
      <x:c r="G6683" s="12" t="n">
        <x:v>0</x:v>
      </x:c>
      <x:c r="H6683" s="1" t="n">
        <x:f>'Historical prices'!E6683</x:f>
        <x:v>1.05</x:v>
      </x:c>
      <x:c r="I6683" s="6" t="n">
        <x:f>'Historical prices'!D6683</x:f>
        <x:v>0.8142</x:v>
      </x:c>
      <x:c r="J6683" s="13" t="n">
        <x:f>D6683*I6683*H6683</x:f>
        <x:v>0</x:v>
      </x:c>
      <x:c r="K6683" s="13" t="n">
        <x:f>E6683*I6683*H6683</x:f>
        <x:v>0.18230955750000002</x:v>
      </x:c>
      <x:c r="L6683" s="1" t="str">
        <x:f>TEXT(A6683,"mmm yyyy")</x:f>
        <x:v>Sep 2026</x:v>
      </x:c>
    </x:row>
    <x:row r="6684" ht="21" customHeight="1">
      <x:c r="A6684" s="10" t="n">
        <x:v>46287</x:v>
      </x:c>
      <x:c r="B6684" s="1" t="n">
        <x:v>18</x:v>
      </x:c>
      <x:c r="C6684" s="1" t="n">
        <x:v>6</x:v>
      </x:c>
      <x:c r="D6684" s="12" t="n">
        <x:v>0</x:v>
      </x:c>
      <x:c r="E6684" s="12" t="n">
        <x:v>0.22599999999999998</x:v>
      </x:c>
      <x:c r="F6684" s="12" t="n">
        <x:v>0.22524999999999998</x:v>
      </x:c>
      <x:c r="G6684" s="12" t="n">
        <x:v>0</x:v>
      </x:c>
      <x:c r="H6684" s="1" t="n">
        <x:f>'Historical prices'!E6684</x:f>
        <x:v>1.05</x:v>
      </x:c>
      <x:c r="I6684" s="6" t="n">
        <x:f>'Historical prices'!D6684</x:f>
        <x:v>0.8216</x:v>
      </x:c>
      <x:c r="J6684" s="13" t="n">
        <x:f>D6684*I6684*H6684</x:f>
        <x:v>0</x:v>
      </x:c>
      <x:c r="K6684" s="13" t="n">
        <x:f>E6684*I6684*H6684</x:f>
        <x:v>0.19496567999999997</x:v>
      </x:c>
      <x:c r="L6684" s="1" t="str">
        <x:f>TEXT(A6684,"mmm yyyy")</x:f>
        <x:v>Sep 2026</x:v>
      </x:c>
    </x:row>
    <x:row r="6685" ht="21" customHeight="1">
      <x:c r="A6685" s="10" t="n">
        <x:v>46287</x:v>
      </x:c>
      <x:c r="B6685" s="1" t="n">
        <x:v>18.5</x:v>
      </x:c>
      <x:c r="C6685" s="1" t="n">
        <x:v>6</x:v>
      </x:c>
      <x:c r="D6685" s="12" t="n">
        <x:v>0</x:v>
      </x:c>
      <x:c r="E6685" s="12" t="n">
        <x:v>0.30791666666666667</x:v>
      </x:c>
      <x:c r="F6685" s="12" t="n">
        <x:v>0.30741666666666667</x:v>
      </x:c>
      <x:c r="G6685" s="12" t="n">
        <x:v>0</x:v>
      </x:c>
      <x:c r="H6685" s="1" t="n">
        <x:f>'Historical prices'!E6685</x:f>
        <x:v>1.05</x:v>
      </x:c>
      <x:c r="I6685" s="6" t="n">
        <x:f>'Historical prices'!D6685</x:f>
        <x:v>0.8629000000000001</x:v>
      </x:c>
      <x:c r="J6685" s="13" t="n">
        <x:f>D6685*I6685*H6685</x:f>
        <x:v>0</x:v>
      </x:c>
      <x:c r="K6685" s="13" t="n">
        <x:f>E6685*I6685*H6685</x:f>
        <x:v>0.27898635625000007</x:v>
      </x:c>
      <x:c r="L6685" s="1" t="str">
        <x:f>TEXT(A6685,"mmm yyyy")</x:f>
        <x:v>Sep 2026</x:v>
      </x:c>
    </x:row>
    <x:row r="6686" ht="21" customHeight="1">
      <x:c r="A6686" s="10" t="n">
        <x:v>46287</x:v>
      </x:c>
      <x:c r="B6686" s="1" t="n">
        <x:v>19</x:v>
      </x:c>
      <x:c r="C6686" s="1" t="n">
        <x:v>6</x:v>
      </x:c>
      <x:c r="D6686" s="12" t="n">
        <x:v>0</x:v>
      </x:c>
      <x:c r="E6686" s="12" t="n">
        <x:v>0.28975</x:v>
      </x:c>
      <x:c r="F6686" s="12" t="n">
        <x:v>0.28933333333333333</x:v>
      </x:c>
      <x:c r="G6686" s="12" t="n">
        <x:v>0</x:v>
      </x:c>
      <x:c r="H6686" s="1" t="n">
        <x:f>'Historical prices'!E6686</x:f>
        <x:v>1.05</x:v>
      </x:c>
      <x:c r="I6686" s="6" t="n">
        <x:f>'Historical prices'!D6686</x:f>
        <x:v>0.7259</x:v>
      </x:c>
      <x:c r="J6686" s="13" t="n">
        <x:f>D6686*I6686*H6686</x:f>
        <x:v>0</x:v>
      </x:c>
      <x:c r="K6686" s="13" t="n">
        <x:f>E6686*I6686*H6686</x:f>
        <x:v>0.22084600125</x:v>
      </x:c>
      <x:c r="L6686" s="1" t="str">
        <x:f>TEXT(A6686,"mmm yyyy")</x:f>
        <x:v>Sep 2026</x:v>
      </x:c>
    </x:row>
    <x:row r="6687" ht="21" customHeight="1">
      <x:c r="A6687" s="10" t="n">
        <x:v>46287</x:v>
      </x:c>
      <x:c r="B6687" s="1" t="n">
        <x:v>19.5</x:v>
      </x:c>
      <x:c r="C6687" s="1" t="n">
        <x:v>6</x:v>
      </x:c>
      <x:c r="D6687" s="12" t="n">
        <x:v>0</x:v>
      </x:c>
      <x:c r="E6687" s="12" t="n">
        <x:v>0.22725</x:v>
      </x:c>
      <x:c r="F6687" s="12" t="n">
        <x:v>0.22624999999999998</x:v>
      </x:c>
      <x:c r="G6687" s="12" t="n">
        <x:v>0</x:v>
      </x:c>
      <x:c r="H6687" s="1" t="n">
        <x:f>'Historical prices'!E6687</x:f>
        <x:v>1.05</x:v>
      </x:c>
      <x:c r="I6687" s="6" t="n">
        <x:f>'Historical prices'!D6687</x:f>
        <x:v>0.7495999999999999</x:v>
      </x:c>
      <x:c r="J6687" s="13" t="n">
        <x:f>D6687*I6687*H6687</x:f>
        <x:v>0</x:v>
      </x:c>
      <x:c r="K6687" s="13" t="n">
        <x:f>E6687*I6687*H6687</x:f>
        <x:v>0.17886393</x:v>
      </x:c>
      <x:c r="L6687" s="1" t="str">
        <x:f>TEXT(A6687,"mmm yyyy")</x:f>
        <x:v>Sep 2026</x:v>
      </x:c>
    </x:row>
    <x:row r="6688" ht="21" customHeight="1">
      <x:c r="A6688" s="10" t="n">
        <x:v>46287</x:v>
      </x:c>
      <x:c r="B6688" s="1" t="n">
        <x:v>20</x:v>
      </x:c>
      <x:c r="C6688" s="1" t="n">
        <x:v>6</x:v>
      </x:c>
      <x:c r="D6688" s="12" t="n">
        <x:v>0</x:v>
      </x:c>
      <x:c r="E6688" s="12" t="n">
        <x:v>0.3468333333333333</x:v>
      </x:c>
      <x:c r="F6688" s="12" t="n">
        <x:v>0.34625</x:v>
      </x:c>
      <x:c r="G6688" s="12" t="n">
        <x:v>0</x:v>
      </x:c>
      <x:c r="H6688" s="1" t="n">
        <x:f>'Historical prices'!E6688</x:f>
        <x:v>1.05</x:v>
      </x:c>
      <x:c r="I6688" s="6" t="n">
        <x:f>'Historical prices'!D6688</x:f>
        <x:v>0.5987</x:v>
      </x:c>
      <x:c r="J6688" s="13" t="n">
        <x:f>D6688*I6688*H6688</x:f>
        <x:v>0</x:v>
      </x:c>
      <x:c r="K6688" s="13" t="n">
        <x:f>E6688*I6688*H6688</x:f>
        <x:v>0.2180315725</x:v>
      </x:c>
      <x:c r="L6688" s="1" t="str">
        <x:f>TEXT(A6688,"mmm yyyy")</x:f>
        <x:v>Sep 2026</x:v>
      </x:c>
    </x:row>
    <x:row r="6689" ht="21" customHeight="1">
      <x:c r="A6689" s="10" t="n">
        <x:v>46287</x:v>
      </x:c>
      <x:c r="B6689" s="1" t="n">
        <x:v>20.5</x:v>
      </x:c>
      <x:c r="C6689" s="1" t="n">
        <x:v>6</x:v>
      </x:c>
      <x:c r="D6689" s="12" t="n">
        <x:v>0</x:v>
      </x:c>
      <x:c r="E6689" s="12" t="n">
        <x:v>0.328</x:v>
      </x:c>
      <x:c r="F6689" s="12" t="n">
        <x:v>0.32749999999999996</x:v>
      </x:c>
      <x:c r="G6689" s="12" t="n">
        <x:v>0</x:v>
      </x:c>
      <x:c r="H6689" s="1" t="n">
        <x:f>'Historical prices'!E6689</x:f>
        <x:v>1.05</x:v>
      </x:c>
      <x:c r="I6689" s="6" t="n">
        <x:f>'Historical prices'!D6689</x:f>
        <x:v>0.4864</x:v>
      </x:c>
      <x:c r="J6689" s="13" t="n">
        <x:f>D6689*I6689*H6689</x:f>
        <x:v>0</x:v>
      </x:c>
      <x:c r="K6689" s="13" t="n">
        <x:f>E6689*I6689*H6689</x:f>
        <x:v>0.16751616000000003</x:v>
      </x:c>
      <x:c r="L6689" s="1" t="str">
        <x:f>TEXT(A6689,"mmm yyyy")</x:f>
        <x:v>Sep 2026</x:v>
      </x:c>
    </x:row>
    <x:row r="6690" ht="21" customHeight="1">
      <x:c r="A6690" s="10" t="n">
        <x:v>46287</x:v>
      </x:c>
      <x:c r="B6690" s="1" t="n">
        <x:v>21</x:v>
      </x:c>
      <x:c r="C6690" s="1" t="n">
        <x:v>6</x:v>
      </x:c>
      <x:c r="D6690" s="12" t="n">
        <x:v>0</x:v>
      </x:c>
      <x:c r="E6690" s="12" t="n">
        <x:v>0.26249999999999996</x:v>
      </x:c>
      <x:c r="F6690" s="12" t="n">
        <x:v>0.2623333333333333</x:v>
      </x:c>
      <x:c r="G6690" s="12" t="n">
        <x:v>0</x:v>
      </x:c>
      <x:c r="H6690" s="1" t="n">
        <x:f>'Historical prices'!E6690</x:f>
        <x:v>1.05</x:v>
      </x:c>
      <x:c r="I6690" s="6" t="n">
        <x:f>'Historical prices'!D6690</x:f>
        <x:v>0.45380000000000004</x:v>
      </x:c>
      <x:c r="J6690" s="13" t="n">
        <x:f>D6690*I6690*H6690</x:f>
        <x:v>0</x:v>
      </x:c>
      <x:c r="K6690" s="13" t="n">
        <x:f>E6690*I6690*H6690</x:f>
        <x:v>0.125078625</x:v>
      </x:c>
      <x:c r="L6690" s="1" t="str">
        <x:f>TEXT(A6690,"mmm yyyy")</x:f>
        <x:v>Sep 2026</x:v>
      </x:c>
    </x:row>
    <x:row r="6691" ht="21" customHeight="1">
      <x:c r="A6691" s="10" t="n">
        <x:v>46287</x:v>
      </x:c>
      <x:c r="B6691" s="1" t="n">
        <x:v>21.5</x:v>
      </x:c>
      <x:c r="C6691" s="1" t="n">
        <x:v>6</x:v>
      </x:c>
      <x:c r="D6691" s="12" t="n">
        <x:v>0</x:v>
      </x:c>
      <x:c r="E6691" s="12" t="n">
        <x:v>0.2585</x:v>
      </x:c>
      <x:c r="F6691" s="12" t="n">
        <x:v>0.25766666666666665</x:v>
      </x:c>
      <x:c r="G6691" s="12" t="n">
        <x:v>0</x:v>
      </x:c>
      <x:c r="H6691" s="1" t="n">
        <x:f>'Historical prices'!E6691</x:f>
        <x:v>1.05</x:v>
      </x:c>
      <x:c r="I6691" s="6" t="n">
        <x:f>'Historical prices'!D6691</x:f>
        <x:v>0.3973</x:v>
      </x:c>
      <x:c r="J6691" s="13" t="n">
        <x:f>D6691*I6691*H6691</x:f>
        <x:v>0</x:v>
      </x:c>
      <x:c r="K6691" s="13" t="n">
        <x:f>E6691*I6691*H6691</x:f>
        <x:v>0.1078371525</x:v>
      </x:c>
      <x:c r="L6691" s="1" t="str">
        <x:f>TEXT(A6691,"mmm yyyy")</x:f>
        <x:v>Sep 2026</x:v>
      </x:c>
    </x:row>
    <x:row r="6692" ht="21" customHeight="1">
      <x:c r="A6692" s="10" t="n">
        <x:v>46287</x:v>
      </x:c>
      <x:c r="B6692" s="1" t="n">
        <x:v>22</x:v>
      </x:c>
      <x:c r="C6692" s="1" t="n">
        <x:v>6</x:v>
      </x:c>
      <x:c r="D6692" s="12" t="n">
        <x:v>0</x:v>
      </x:c>
      <x:c r="E6692" s="12" t="n">
        <x:v>0.29483333333333334</x:v>
      </x:c>
      <x:c r="F6692" s="12" t="n">
        <x:v>0.29441666666666666</x:v>
      </x:c>
      <x:c r="G6692" s="12" t="n">
        <x:v>0</x:v>
      </x:c>
      <x:c r="H6692" s="1" t="n">
        <x:f>'Historical prices'!E6692</x:f>
        <x:v>1.05</x:v>
      </x:c>
      <x:c r="I6692" s="6" t="n">
        <x:f>'Historical prices'!D6692</x:f>
        <x:v>0.36560000000000004</x:v>
      </x:c>
      <x:c r="J6692" s="13" t="n">
        <x:f>D6692*I6692*H6692</x:f>
        <x:v>0</x:v>
      </x:c>
      <x:c r="K6692" s="13" t="n">
        <x:f>E6692*I6692*H6692</x:f>
        <x:v>0.11318062000000002</x:v>
      </x:c>
      <x:c r="L6692" s="1" t="str">
        <x:f>TEXT(A6692,"mmm yyyy")</x:f>
        <x:v>Sep 2026</x:v>
      </x:c>
    </x:row>
    <x:row r="6693" ht="21" customHeight="1">
      <x:c r="A6693" s="10" t="n">
        <x:v>46287</x:v>
      </x:c>
      <x:c r="B6693" s="1" t="n">
        <x:v>22.5</x:v>
      </x:c>
      <x:c r="C6693" s="1" t="n">
        <x:v>6</x:v>
      </x:c>
      <x:c r="D6693" s="12" t="n">
        <x:v>0</x:v>
      </x:c>
      <x:c r="E6693" s="12" t="n">
        <x:v>0.26899999999999996</x:v>
      </x:c>
      <x:c r="F6693" s="12" t="n">
        <x:v>0.2685</x:v>
      </x:c>
      <x:c r="G6693" s="12" t="n">
        <x:v>0</x:v>
      </x:c>
      <x:c r="H6693" s="1" t="n">
        <x:f>'Historical prices'!E6693</x:f>
        <x:v>1.05</x:v>
      </x:c>
      <x:c r="I6693" s="6" t="n">
        <x:f>'Historical prices'!D6693</x:f>
        <x:v>0.3236</x:v>
      </x:c>
      <x:c r="J6693" s="13" t="n">
        <x:f>D6693*I6693*H6693</x:f>
        <x:v>0</x:v>
      </x:c>
      <x:c r="K6693" s="13" t="n">
        <x:f>E6693*I6693*H6693</x:f>
        <x:v>0.09140082</x:v>
      </x:c>
      <x:c r="L6693" s="1" t="str">
        <x:f>TEXT(A6693,"mmm yyyy")</x:f>
        <x:v>Sep 2026</x:v>
      </x:c>
    </x:row>
    <x:row r="6694" ht="21" customHeight="1">
      <x:c r="A6694" s="10" t="n">
        <x:v>46287</x:v>
      </x:c>
      <x:c r="B6694" s="1" t="n">
        <x:v>23</x:v>
      </x:c>
      <x:c r="C6694" s="1" t="n">
        <x:v>6</x:v>
      </x:c>
      <x:c r="D6694" s="12" t="n">
        <x:v>0</x:v>
      </x:c>
      <x:c r="E6694" s="12" t="n">
        <x:v>0.24091666666666667</x:v>
      </x:c>
      <x:c r="F6694" s="12" t="n">
        <x:v>0.24033333333333334</x:v>
      </x:c>
      <x:c r="G6694" s="12" t="n">
        <x:v>0</x:v>
      </x:c>
      <x:c r="H6694" s="1" t="n">
        <x:f>'Historical prices'!E6694</x:f>
        <x:v>1.05</x:v>
      </x:c>
      <x:c r="I6694" s="6" t="n">
        <x:f>'Historical prices'!D6694</x:f>
        <x:v>0.2756</x:v>
      </x:c>
      <x:c r="J6694" s="13" t="n">
        <x:f>D6694*I6694*H6694</x:f>
        <x:v>0</x:v>
      </x:c>
      <x:c r="K6694" s="13" t="n">
        <x:f>E6694*I6694*H6694</x:f>
        <x:v>0.069716465</x:v>
      </x:c>
      <x:c r="L6694" s="1" t="str">
        <x:f>TEXT(A6694,"mmm yyyy")</x:f>
        <x:v>Sep 2026</x:v>
      </x:c>
    </x:row>
    <x:row r="6695" ht="21" customHeight="1">
      <x:c r="A6695" s="10" t="n">
        <x:v>46287</x:v>
      </x:c>
      <x:c r="B6695" s="1" t="n">
        <x:v>23.5</x:v>
      </x:c>
      <x:c r="C6695" s="1" t="n">
        <x:v>6</x:v>
      </x:c>
      <x:c r="D6695" s="12" t="n">
        <x:v>0.1515</x:v>
      </x:c>
      <x:c r="E6695" s="12" t="n">
        <x:v>0.1994166666666667</x:v>
      </x:c>
      <x:c r="F6695" s="12" t="n">
        <x:v>0.037</x:v>
      </x:c>
      <x:c r="G6695" s="12" t="n">
        <x:v>0</x:v>
      </x:c>
      <x:c r="H6695" s="1" t="n">
        <x:f>'Historical prices'!E6695</x:f>
        <x:v>1.05</x:v>
      </x:c>
      <x:c r="I6695" s="6" t="n">
        <x:f>'Historical prices'!D6695</x:f>
        <x:v>0.2648</x:v>
      </x:c>
      <x:c r="J6695" s="13" t="n">
        <x:f>D6695*I6695*H6695</x:f>
        <x:v>0.042123060000000004</x:v>
      </x:c>
      <x:c r="K6695" s="13" t="n">
        <x:f>E6695*I6695*H6695</x:f>
        <x:v>0.055445810000000005</x:v>
      </x:c>
      <x:c r="L6695" s="1" t="str">
        <x:f>TEXT(A6695,"mmm yyyy")</x:f>
        <x:v>Sep 2026</x:v>
      </x:c>
    </x:row>
    <x:row r="6696" ht="21" customHeight="1">
      <x:c r="A6696" s="10" t="n">
        <x:v>46288</x:v>
      </x:c>
      <x:c r="B6696" s="1" t="n">
        <x:v>0</x:v>
      </x:c>
      <x:c r="C6696" s="1" t="n">
        <x:v>6</x:v>
      </x:c>
      <x:c r="D6696" s="12" t="n">
        <x:v>0.0305</x:v>
      </x:c>
      <x:c r="E6696" s="12" t="n">
        <x:v>0.28974999999999995</x:v>
      </x:c>
      <x:c r="F6696" s="12" t="n">
        <x:v>0.2566666666666667</x:v>
      </x:c>
      <x:c r="G6696" s="12" t="n">
        <x:v>0</x:v>
      </x:c>
      <x:c r="H6696" s="1" t="n">
        <x:f>'Historical prices'!E6696</x:f>
        <x:v>1.05</x:v>
      </x:c>
      <x:c r="I6696" s="6" t="n">
        <x:f>'Historical prices'!D6696</x:f>
        <x:v>0.27699999999999997</x:v>
      </x:c>
      <x:c r="J6696" s="13" t="n">
        <x:f>D6696*I6696*H6696</x:f>
        <x:v>0.008870925</x:v>
      </x:c>
      <x:c r="K6696" s="13" t="n">
        <x:f>E6696*I6696*H6696</x:f>
        <x:v>0.08427378749999997</x:v>
      </x:c>
      <x:c r="L6696" s="1" t="str">
        <x:f>TEXT(A6696,"mmm yyyy")</x:f>
        <x:v>Sep 2026</x:v>
      </x:c>
    </x:row>
    <x:row r="6697" ht="21" customHeight="1">
      <x:c r="A6697" s="10" t="n">
        <x:v>46288</x:v>
      </x:c>
      <x:c r="B6697" s="1" t="n">
        <x:v>0.5</x:v>
      </x:c>
      <x:c r="C6697" s="1" t="n">
        <x:v>6</x:v>
      </x:c>
      <x:c r="D6697" s="12" t="n">
        <x:v>0.14625</x:v>
      </x:c>
      <x:c r="E6697" s="12" t="n">
        <x:v>0.19083333333333335</x:v>
      </x:c>
      <x:c r="F6697" s="12" t="n">
        <x:v>0.035583333333333335</x:v>
      </x:c>
      <x:c r="G6697" s="12" t="n">
        <x:v>0</x:v>
      </x:c>
      <x:c r="H6697" s="1" t="n">
        <x:f>'Historical prices'!E6697</x:f>
        <x:v>1.05</x:v>
      </x:c>
      <x:c r="I6697" s="6" t="n">
        <x:f>'Historical prices'!D6697</x:f>
        <x:v>0.26280000000000003</x:v>
      </x:c>
      <x:c r="J6697" s="13" t="n">
        <x:f>D6697*I6697*H6697</x:f>
        <x:v>0.040356225</x:v>
      </x:c>
      <x:c r="K6697" s="13" t="n">
        <x:f>E6697*I6697*H6697</x:f>
        <x:v>0.05265855000000002</x:v>
      </x:c>
      <x:c r="L6697" s="1" t="str">
        <x:f>TEXT(A6697,"mmm yyyy")</x:f>
        <x:v>Sep 2026</x:v>
      </x:c>
    </x:row>
    <x:row r="6698" ht="21" customHeight="1">
      <x:c r="A6698" s="10" t="n">
        <x:v>46288</x:v>
      </x:c>
      <x:c r="B6698" s="1" t="n">
        <x:v>1</x:v>
      </x:c>
      <x:c r="C6698" s="1" t="n">
        <x:v>6</x:v>
      </x:c>
      <x:c r="D6698" s="12" t="n">
        <x:v>0.0345</x:v>
      </x:c>
      <x:c r="E6698" s="12" t="n">
        <x:v>0.2546666666666667</x:v>
      </x:c>
      <x:c r="F6698" s="12" t="n">
        <x:v>0.21758333333333335</x:v>
      </x:c>
      <x:c r="G6698" s="12" t="n">
        <x:v>0</x:v>
      </x:c>
      <x:c r="H6698" s="1" t="n">
        <x:f>'Historical prices'!E6698</x:f>
        <x:v>1.05</x:v>
      </x:c>
      <x:c r="I6698" s="6" t="n">
        <x:f>'Historical prices'!D6698</x:f>
        <x:v>0.27949999999999997</x:v>
      </x:c>
      <x:c r="J6698" s="13" t="n">
        <x:f>D6698*I6698*H6698</x:f>
        <x:v>0.0101248875</x:v>
      </x:c>
      <x:c r="K6698" s="13" t="n">
        <x:f>E6698*I6698*H6698</x:f>
        <x:v>0.0747383</x:v>
      </x:c>
      <x:c r="L6698" s="1" t="str">
        <x:f>TEXT(A6698,"mmm yyyy")</x:f>
        <x:v>Sep 2026</x:v>
      </x:c>
    </x:row>
    <x:row r="6699" ht="21" customHeight="1">
      <x:c r="A6699" s="10" t="n">
        <x:v>46288</x:v>
      </x:c>
      <x:c r="B6699" s="1" t="n">
        <x:v>1.5</x:v>
      </x:c>
      <x:c r="C6699" s="1" t="n">
        <x:v>6</x:v>
      </x:c>
      <x:c r="D6699" s="12" t="n">
        <x:v>0.131</x:v>
      </x:c>
      <x:c r="E6699" s="12" t="n">
        <x:v>0.17933333333333332</x:v>
      </x:c>
      <x:c r="F6699" s="12" t="n">
        <x:v>0.039</x:v>
      </x:c>
      <x:c r="G6699" s="12" t="n">
        <x:v>0</x:v>
      </x:c>
      <x:c r="H6699" s="1" t="n">
        <x:f>'Historical prices'!E6699</x:f>
        <x:v>1.05</x:v>
      </x:c>
      <x:c r="I6699" s="6" t="n">
        <x:f>'Historical prices'!D6699</x:f>
        <x:v>0.26789999999999997</x:v>
      </x:c>
      <x:c r="J6699" s="13" t="n">
        <x:f>D6699*I6699*H6699</x:f>
        <x:v>0.036849645</x:v>
      </x:c>
      <x:c r="K6699" s="13" t="n">
        <x:f>E6699*I6699*H6699</x:f>
        <x:v>0.050445569999999995</x:v>
      </x:c>
      <x:c r="L6699" s="1" t="str">
        <x:f>TEXT(A6699,"mmm yyyy")</x:f>
        <x:v>Sep 2026</x:v>
      </x:c>
    </x:row>
    <x:row r="6700" ht="21" customHeight="1">
      <x:c r="A6700" s="10" t="n">
        <x:v>46288</x:v>
      </x:c>
      <x:c r="B6700" s="1" t="n">
        <x:v>2</x:v>
      </x:c>
      <x:c r="C6700" s="1" t="n">
        <x:v>6</x:v>
      </x:c>
      <x:c r="D6700" s="12" t="n">
        <x:v>0.0245</x:v>
      </x:c>
      <x:c r="E6700" s="12" t="n">
        <x:v>0.21966666666666668</x:v>
      </x:c>
      <x:c r="F6700" s="12" t="n">
        <x:v>0.19166666666666668</x:v>
      </x:c>
      <x:c r="G6700" s="12" t="n">
        <x:v>0</x:v>
      </x:c>
      <x:c r="H6700" s="1" t="n">
        <x:f>'Historical prices'!E6700</x:f>
        <x:v>1.05</x:v>
      </x:c>
      <x:c r="I6700" s="6" t="n">
        <x:f>'Historical prices'!D6700</x:f>
        <x:v>0.2748</x:v>
      </x:c>
      <x:c r="J6700" s="13" t="n">
        <x:f>D6700*I6700*H6700</x:f>
        <x:v>0.00706923</x:v>
      </x:c>
      <x:c r="K6700" s="13" t="n">
        <x:f>E6700*I6700*H6700</x:f>
        <x:v>0.06338262</x:v>
      </x:c>
      <x:c r="L6700" s="1" t="str">
        <x:f>TEXT(A6700,"mmm yyyy")</x:f>
        <x:v>Sep 2026</x:v>
      </x:c>
    </x:row>
    <x:row r="6701" ht="21" customHeight="1">
      <x:c r="A6701" s="10" t="n">
        <x:v>46288</x:v>
      </x:c>
      <x:c r="B6701" s="1" t="n">
        <x:v>2.5</x:v>
      </x:c>
      <x:c r="C6701" s="1" t="n">
        <x:v>6</x:v>
      </x:c>
      <x:c r="D6701" s="12" t="n">
        <x:v>0.17350000000000002</x:v>
      </x:c>
      <x:c r="E6701" s="12" t="n">
        <x:v>0.22216666666666665</x:v>
      </x:c>
      <x:c r="F6701" s="12" t="n">
        <x:v>0.03966666666666667</x:v>
      </x:c>
      <x:c r="G6701" s="12" t="n">
        <x:v>0</x:v>
      </x:c>
      <x:c r="H6701" s="1" t="n">
        <x:f>'Historical prices'!E6701</x:f>
        <x:v>1.05</x:v>
      </x:c>
      <x:c r="I6701" s="6" t="n">
        <x:f>'Historical prices'!D6701</x:f>
        <x:v>0.26780000000000004</x:v>
      </x:c>
      <x:c r="J6701" s="13" t="n">
        <x:f>D6701*I6701*H6701</x:f>
        <x:v>0.048786465000000015</x:v>
      </x:c>
      <x:c r="K6701" s="13" t="n">
        <x:f>E6701*I6701*H6701</x:f>
        <x:v>0.062471045</x:v>
      </x:c>
      <x:c r="L6701" s="1" t="str">
        <x:f>TEXT(A6701,"mmm yyyy")</x:f>
        <x:v>Sep 2026</x:v>
      </x:c>
    </x:row>
    <x:row r="6702" ht="21" customHeight="1">
      <x:c r="A6702" s="10" t="n">
        <x:v>46288</x:v>
      </x:c>
      <x:c r="B6702" s="1" t="n">
        <x:v>3</x:v>
      </x:c>
      <x:c r="C6702" s="1" t="n">
        <x:v>6</x:v>
      </x:c>
      <x:c r="D6702" s="12" t="n">
        <x:v>0.0365</x:v>
      </x:c>
      <x:c r="E6702" s="12" t="n">
        <x:v>0.2365</x:v>
      </x:c>
      <x:c r="F6702" s="12" t="n">
        <x:v>0.1965</x:v>
      </x:c>
      <x:c r="G6702" s="12" t="n">
        <x:v>0</x:v>
      </x:c>
      <x:c r="H6702" s="1" t="n">
        <x:f>'Historical prices'!E6702</x:f>
        <x:v>1.05</x:v>
      </x:c>
      <x:c r="I6702" s="6" t="n">
        <x:f>'Historical prices'!D6702</x:f>
        <x:v>0.2754</x:v>
      </x:c>
      <x:c r="J6702" s="13" t="n">
        <x:f>D6702*I6702*H6702</x:f>
        <x:v>0.010554704999999998</x:v>
      </x:c>
      <x:c r="K6702" s="13" t="n">
        <x:f>E6702*I6702*H6702</x:f>
        <x:v>0.06838870500000001</x:v>
      </x:c>
      <x:c r="L6702" s="1" t="str">
        <x:f>TEXT(A6702,"mmm yyyy")</x:f>
        <x:v>Sep 2026</x:v>
      </x:c>
    </x:row>
    <x:row r="6703" ht="21" customHeight="1">
      <x:c r="A6703" s="10" t="n">
        <x:v>46288</x:v>
      </x:c>
      <x:c r="B6703" s="1" t="n">
        <x:v>3.5</x:v>
      </x:c>
      <x:c r="C6703" s="1" t="n">
        <x:v>6</x:v>
      </x:c>
      <x:c r="D6703" s="12" t="n">
        <x:v>0.13475</x:v>
      </x:c>
      <x:c r="E6703" s="12" t="n">
        <x:v>0.18058333333333332</x:v>
      </x:c>
      <x:c r="F6703" s="12" t="n">
        <x:v>0.036833333333333336</x:v>
      </x:c>
      <x:c r="G6703" s="12" t="n">
        <x:v>0</x:v>
      </x:c>
      <x:c r="H6703" s="1" t="n">
        <x:f>'Historical prices'!E6703</x:f>
        <x:v>1.05</x:v>
      </x:c>
      <x:c r="I6703" s="6" t="n">
        <x:f>'Historical prices'!D6703</x:f>
        <x:v>0.2648</x:v>
      </x:c>
      <x:c r="J6703" s="13" t="n">
        <x:f>D6703*I6703*H6703</x:f>
        <x:v>0.03746589</x:v>
      </x:c>
      <x:c r="K6703" s="13" t="n">
        <x:f>E6703*I6703*H6703</x:f>
        <x:v>0.05020938999999999</x:v>
      </x:c>
      <x:c r="L6703" s="1" t="str">
        <x:f>TEXT(A6703,"mmm yyyy")</x:f>
        <x:v>Sep 2026</x:v>
      </x:c>
    </x:row>
    <x:row r="6704" ht="21" customHeight="1">
      <x:c r="A6704" s="10" t="n">
        <x:v>46288</x:v>
      </x:c>
      <x:c r="B6704" s="1" t="n">
        <x:v>4</x:v>
      </x:c>
      <x:c r="C6704" s="1" t="n">
        <x:v>6</x:v>
      </x:c>
      <x:c r="D6704" s="12" t="n">
        <x:v>0.19</x:v>
      </x:c>
      <x:c r="E6704" s="12" t="n">
        <x:v>0.2</x:v>
      </x:c>
      <x:c r="F6704" s="12" t="n">
        <x:v>0</x:v>
      </x:c>
      <x:c r="G6704" s="12" t="n">
        <x:v>0</x:v>
      </x:c>
      <x:c r="H6704" s="1" t="n">
        <x:f>'Historical prices'!E6704</x:f>
        <x:v>1.05</x:v>
      </x:c>
      <x:c r="I6704" s="6" t="n">
        <x:f>'Historical prices'!D6704</x:f>
        <x:v>0.2688</x:v>
      </x:c>
      <x:c r="J6704" s="13" t="n">
        <x:f>D6704*I6704*H6704</x:f>
        <x:v>0.0536256</x:v>
      </x:c>
      <x:c r="K6704" s="13" t="n">
        <x:f>E6704*I6704*H6704</x:f>
        <x:v>0.056448000000000005</x:v>
      </x:c>
      <x:c r="L6704" s="1" t="str">
        <x:f>TEXT(A6704,"mmm yyyy")</x:f>
        <x:v>Sep 2026</x:v>
      </x:c>
    </x:row>
    <x:row r="6705" ht="21" customHeight="1">
      <x:c r="A6705" s="10" t="n">
        <x:v>46288</x:v>
      </x:c>
      <x:c r="B6705" s="1" t="n">
        <x:v>4.5</x:v>
      </x:c>
      <x:c r="C6705" s="1" t="n">
        <x:v>6</x:v>
      </x:c>
      <x:c r="D6705" s="12" t="n">
        <x:v>0.243</x:v>
      </x:c>
      <x:c r="E6705" s="12" t="n">
        <x:v>0.253</x:v>
      </x:c>
      <x:c r="F6705" s="12" t="n">
        <x:v>0</x:v>
      </x:c>
      <x:c r="G6705" s="12" t="n">
        <x:v>0</x:v>
      </x:c>
      <x:c r="H6705" s="1" t="n">
        <x:f>'Historical prices'!E6705</x:f>
        <x:v>1.05</x:v>
      </x:c>
      <x:c r="I6705" s="6" t="n">
        <x:f>'Historical prices'!D6705</x:f>
        <x:v>0.26280000000000003</x:v>
      </x:c>
      <x:c r="J6705" s="13" t="n">
        <x:f>D6705*I6705*H6705</x:f>
        <x:v>0.06705342000000002</x:v>
      </x:c>
      <x:c r="K6705" s="13" t="n">
        <x:f>E6705*I6705*H6705</x:f>
        <x:v>0.06981282000000001</x:v>
      </x:c>
      <x:c r="L6705" s="1" t="str">
        <x:f>TEXT(A6705,"mmm yyyy")</x:f>
        <x:v>Sep 2026</x:v>
      </x:c>
    </x:row>
    <x:row r="6706" ht="21" customHeight="1">
      <x:c r="A6706" s="10" t="n">
        <x:v>46288</x:v>
      </x:c>
      <x:c r="B6706" s="1" t="n">
        <x:v>5</x:v>
      </x:c>
      <x:c r="C6706" s="1" t="n">
        <x:v>6</x:v>
      </x:c>
      <x:c r="D6706" s="12" t="n">
        <x:v>0.02925</x:v>
      </x:c>
      <x:c r="E6706" s="12" t="n">
        <x:v>0.22916666666666669</x:v>
      </x:c>
      <x:c r="F6706" s="12" t="n">
        <x:v>0.19758333333333333</x:v>
      </x:c>
      <x:c r="G6706" s="12" t="n">
        <x:v>0</x:v>
      </x:c>
      <x:c r="H6706" s="1" t="n">
        <x:f>'Historical prices'!E6706</x:f>
        <x:v>1.05</x:v>
      </x:c>
      <x:c r="I6706" s="6" t="n">
        <x:f>'Historical prices'!D6706</x:f>
        <x:v>0.2753</x:v>
      </x:c>
      <x:c r="J6706" s="13" t="n">
        <x:f>D6706*I6706*H6706</x:f>
        <x:v>0.00845515125</x:v>
      </x:c>
      <x:c r="K6706" s="13" t="n">
        <x:f>E6706*I6706*H6706</x:f>
        <x:v>0.0662440625</x:v>
      </x:c>
      <x:c r="L6706" s="1" t="str">
        <x:f>TEXT(A6706,"mmm yyyy")</x:f>
        <x:v>Sep 2026</x:v>
      </x:c>
    </x:row>
    <x:row r="6707" ht="21" customHeight="1">
      <x:c r="A6707" s="10" t="n">
        <x:v>46288</x:v>
      </x:c>
      <x:c r="B6707" s="1" t="n">
        <x:v>5.5</x:v>
      </x:c>
      <x:c r="C6707" s="1" t="n">
        <x:v>6</x:v>
      </x:c>
      <x:c r="D6707" s="12" t="n">
        <x:v>0</x:v>
      </x:c>
      <x:c r="E6707" s="12" t="n">
        <x:v>0.2703333333333333</x:v>
      </x:c>
      <x:c r="F6707" s="12" t="n">
        <x:v>0.26999999999999996</x:v>
      </x:c>
      <x:c r="G6707" s="12" t="n">
        <x:v>0</x:v>
      </x:c>
      <x:c r="H6707" s="1" t="n">
        <x:f>'Historical prices'!E6707</x:f>
        <x:v>1.05</x:v>
      </x:c>
      <x:c r="I6707" s="6" t="n">
        <x:f>'Historical prices'!D6707</x:f>
        <x:v>0.284</x:v>
      </x:c>
      <x:c r="J6707" s="13" t="n">
        <x:f>D6707*I6707*H6707</x:f>
        <x:v>0</x:v>
      </x:c>
      <x:c r="K6707" s="13" t="n">
        <x:f>E6707*I6707*H6707</x:f>
        <x:v>0.08061339999999999</x:v>
      </x:c>
      <x:c r="L6707" s="1" t="str">
        <x:f>TEXT(A6707,"mmm yyyy")</x:f>
        <x:v>Sep 2026</x:v>
      </x:c>
    </x:row>
    <x:row r="6708" ht="21" customHeight="1">
      <x:c r="A6708" s="10" t="n">
        <x:v>46288</x:v>
      </x:c>
      <x:c r="B6708" s="1" t="n">
        <x:v>6</x:v>
      </x:c>
      <x:c r="C6708" s="1" t="n">
        <x:v>6</x:v>
      </x:c>
      <x:c r="D6708" s="12" t="n">
        <x:v>0</x:v>
      </x:c>
      <x:c r="E6708" s="12" t="n">
        <x:v>0.22841666666666668</x:v>
      </x:c>
      <x:c r="F6708" s="12" t="n">
        <x:v>0.22783333333333333</x:v>
      </x:c>
      <x:c r="G6708" s="12" t="n">
        <x:v>0</x:v>
      </x:c>
      <x:c r="H6708" s="1" t="n">
        <x:f>'Historical prices'!E6708</x:f>
        <x:v>1.05</x:v>
      </x:c>
      <x:c r="I6708" s="6" t="n">
        <x:f>'Historical prices'!D6708</x:f>
        <x:v>0.31620000000000004</x:v>
      </x:c>
      <x:c r="J6708" s="13" t="n">
        <x:f>D6708*I6708*H6708</x:f>
        <x:v>0</x:v>
      </x:c>
      <x:c r="K6708" s="13" t="n">
        <x:f>E6708*I6708*H6708</x:f>
        <x:v>0.07583661750000001</x:v>
      </x:c>
      <x:c r="L6708" s="1" t="str">
        <x:f>TEXT(A6708,"mmm yyyy")</x:f>
        <x:v>Sep 2026</x:v>
      </x:c>
    </x:row>
    <x:row r="6709" ht="21" customHeight="1">
      <x:c r="A6709" s="10" t="n">
        <x:v>46288</x:v>
      </x:c>
      <x:c r="B6709" s="1" t="n">
        <x:v>6.5</x:v>
      </x:c>
      <x:c r="C6709" s="1" t="n">
        <x:v>6</x:v>
      </x:c>
      <x:c r="D6709" s="12" t="n">
        <x:v>0</x:v>
      </x:c>
      <x:c r="E6709" s="12" t="n">
        <x:v>0.22416666666666665</x:v>
      </x:c>
      <x:c r="F6709" s="12" t="n">
        <x:v>0.22341666666666665</x:v>
      </x:c>
      <x:c r="G6709" s="12" t="n">
        <x:v>0</x:v>
      </x:c>
      <x:c r="H6709" s="1" t="n">
        <x:f>'Historical prices'!E6709</x:f>
        <x:v>1.05</x:v>
      </x:c>
      <x:c r="I6709" s="6" t="n">
        <x:f>'Historical prices'!D6709</x:f>
        <x:v>0.3555</x:v>
      </x:c>
      <x:c r="J6709" s="13" t="n">
        <x:f>D6709*I6709*H6709</x:f>
        <x:v>0</x:v>
      </x:c>
      <x:c r="K6709" s="13" t="n">
        <x:f>E6709*I6709*H6709</x:f>
        <x:v>0.08367581249999999</x:v>
      </x:c>
      <x:c r="L6709" s="1" t="str">
        <x:f>TEXT(A6709,"mmm yyyy")</x:f>
        <x:v>Sep 2026</x:v>
      </x:c>
    </x:row>
    <x:row r="6710" ht="21" customHeight="1">
      <x:c r="A6710" s="10" t="n">
        <x:v>46288</x:v>
      </x:c>
      <x:c r="B6710" s="1" t="n">
        <x:v>7</x:v>
      </x:c>
      <x:c r="C6710" s="1" t="n">
        <x:v>6</x:v>
      </x:c>
      <x:c r="D6710" s="12" t="n">
        <x:v>0</x:v>
      </x:c>
      <x:c r="E6710" s="12" t="n">
        <x:v>0.26366666666666666</x:v>
      </x:c>
      <x:c r="F6710" s="12" t="n">
        <x:v>0.26266666666666666</x:v>
      </x:c>
      <x:c r="G6710" s="12" t="n">
        <x:v>0</x:v>
      </x:c>
      <x:c r="H6710" s="1" t="n">
        <x:f>'Historical prices'!E6710</x:f>
        <x:v>1.05</x:v>
      </x:c>
      <x:c r="I6710" s="6" t="n">
        <x:f>'Historical prices'!D6710</x:f>
        <x:v>0.3515</x:v>
      </x:c>
      <x:c r="J6710" s="13" t="n">
        <x:f>D6710*I6710*H6710</x:f>
        <x:v>0</x:v>
      </x:c>
      <x:c r="K6710" s="13" t="n">
        <x:f>E6710*I6710*H6710</x:f>
        <x:v>0.09731277499999999</x:v>
      </x:c>
      <x:c r="L6710" s="1" t="str">
        <x:f>TEXT(A6710,"mmm yyyy")</x:f>
        <x:v>Sep 2026</x:v>
      </x:c>
    </x:row>
    <x:row r="6711" ht="21" customHeight="1">
      <x:c r="A6711" s="10" t="n">
        <x:v>46288</x:v>
      </x:c>
      <x:c r="B6711" s="1" t="n">
        <x:v>7.5</x:v>
      </x:c>
      <x:c r="C6711" s="1" t="n">
        <x:v>6</x:v>
      </x:c>
      <x:c r="D6711" s="12" t="n">
        <x:v>0</x:v>
      </x:c>
      <x:c r="E6711" s="12" t="n">
        <x:v>0.22666666666666666</x:v>
      </x:c>
      <x:c r="F6711" s="12" t="n">
        <x:v>0.22633333333333333</x:v>
      </x:c>
      <x:c r="G6711" s="12" t="n">
        <x:v>0</x:v>
      </x:c>
      <x:c r="H6711" s="1" t="n">
        <x:f>'Historical prices'!E6711</x:f>
        <x:v>1.05</x:v>
      </x:c>
      <x:c r="I6711" s="6" t="n">
        <x:f>'Historical prices'!D6711</x:f>
        <x:v>0.3726</x:v>
      </x:c>
      <x:c r="J6711" s="13" t="n">
        <x:f>D6711*I6711*H6711</x:f>
        <x:v>0</x:v>
      </x:c>
      <x:c r="K6711" s="13" t="n">
        <x:f>E6711*I6711*H6711</x:f>
        <x:v>0.08867879999999999</x:v>
      </x:c>
      <x:c r="L6711" s="1" t="str">
        <x:f>TEXT(A6711,"mmm yyyy")</x:f>
        <x:v>Sep 2026</x:v>
      </x:c>
    </x:row>
    <x:row r="6712" ht="21" customHeight="1">
      <x:c r="A6712" s="10" t="n">
        <x:v>46288</x:v>
      </x:c>
      <x:c r="B6712" s="1" t="n">
        <x:v>8</x:v>
      </x:c>
      <x:c r="C6712" s="1" t="n">
        <x:v>6</x:v>
      </x:c>
      <x:c r="D6712" s="12" t="n">
        <x:v>0</x:v>
      </x:c>
      <x:c r="E6712" s="12" t="n">
        <x:v>0.19908333333333333</x:v>
      </x:c>
      <x:c r="F6712" s="12" t="n">
        <x:v>0.1985</x:v>
      </x:c>
      <x:c r="G6712" s="12" t="n">
        <x:v>0</x:v>
      </x:c>
      <x:c r="H6712" s="1" t="n">
        <x:f>'Historical prices'!E6712</x:f>
        <x:v>1.05</x:v>
      </x:c>
      <x:c r="I6712" s="6" t="n">
        <x:f>'Historical prices'!D6712</x:f>
        <x:v>0.29</x:v>
      </x:c>
      <x:c r="J6712" s="13" t="n">
        <x:f>D6712*I6712*H6712</x:f>
        <x:v>0</x:v>
      </x:c>
      <x:c r="K6712" s="13" t="n">
        <x:f>E6712*I6712*H6712</x:f>
        <x:v>0.060620875</x:v>
      </x:c>
      <x:c r="L6712" s="1" t="str">
        <x:f>TEXT(A6712,"mmm yyyy")</x:f>
        <x:v>Sep 2026</x:v>
      </x:c>
    </x:row>
    <x:row r="6713" ht="21" customHeight="1">
      <x:c r="A6713" s="10" t="n">
        <x:v>46288</x:v>
      </x:c>
      <x:c r="B6713" s="1" t="n">
        <x:v>8.5</x:v>
      </x:c>
      <x:c r="C6713" s="1" t="n">
        <x:v>6</x:v>
      </x:c>
      <x:c r="D6713" s="12" t="n">
        <x:v>0</x:v>
      </x:c>
      <x:c r="E6713" s="12" t="n">
        <x:v>0.3433333333333333</x:v>
      </x:c>
      <x:c r="F6713" s="12" t="n">
        <x:v>0.34074999999999994</x:v>
      </x:c>
      <x:c r="G6713" s="12" t="n">
        <x:v>0</x:v>
      </x:c>
      <x:c r="H6713" s="1" t="n">
        <x:f>'Historical prices'!E6713</x:f>
        <x:v>1.05</x:v>
      </x:c>
      <x:c r="I6713" s="6" t="n">
        <x:f>'Historical prices'!D6713</x:f>
        <x:v>0.28850000000000003</x:v>
      </x:c>
      <x:c r="J6713" s="13" t="n">
        <x:f>D6713*I6713*H6713</x:f>
        <x:v>0</x:v>
      </x:c>
      <x:c r="K6713" s="13" t="n">
        <x:f>E6713*I6713*H6713</x:f>
        <x:v>0.10400425000000002</x:v>
      </x:c>
      <x:c r="L6713" s="1" t="str">
        <x:f>TEXT(A6713,"mmm yyyy")</x:f>
        <x:v>Sep 2026</x:v>
      </x:c>
    </x:row>
    <x:row r="6714" ht="21" customHeight="1">
      <x:c r="A6714" s="10" t="n">
        <x:v>46288</x:v>
      </x:c>
      <x:c r="B6714" s="1" t="n">
        <x:v>9</x:v>
      </x:c>
      <x:c r="C6714" s="1" t="n">
        <x:v>6</x:v>
      </x:c>
      <x:c r="D6714" s="12" t="n">
        <x:v>0</x:v>
      </x:c>
      <x:c r="E6714" s="12" t="n">
        <x:v>0.24399999999999997</x:v>
      </x:c>
      <x:c r="F6714" s="12" t="n">
        <x:v>0.24308333333333335</x:v>
      </x:c>
      <x:c r="G6714" s="12" t="n">
        <x:v>0</x:v>
      </x:c>
      <x:c r="H6714" s="1" t="n">
        <x:f>'Historical prices'!E6714</x:f>
        <x:v>1.05</x:v>
      </x:c>
      <x:c r="I6714" s="6" t="n">
        <x:f>'Historical prices'!D6714</x:f>
        <x:v>0.2711</x:v>
      </x:c>
      <x:c r="J6714" s="13" t="n">
        <x:f>D6714*I6714*H6714</x:f>
        <x:v>0</x:v>
      </x:c>
      <x:c r="K6714" s="13" t="n">
        <x:f>E6714*I6714*H6714</x:f>
        <x:v>0.06945582</x:v>
      </x:c>
      <x:c r="L6714" s="1" t="str">
        <x:f>TEXT(A6714,"mmm yyyy")</x:f>
        <x:v>Sep 2026</x:v>
      </x:c>
    </x:row>
    <x:row r="6715" ht="21" customHeight="1">
      <x:c r="A6715" s="10" t="n">
        <x:v>46288</x:v>
      </x:c>
      <x:c r="B6715" s="1" t="n">
        <x:v>9.5</x:v>
      </x:c>
      <x:c r="C6715" s="1" t="n">
        <x:v>6</x:v>
      </x:c>
      <x:c r="D6715" s="12" t="n">
        <x:v>0</x:v>
      </x:c>
      <x:c r="E6715" s="12" t="n">
        <x:v>0.2129166666666667</x:v>
      </x:c>
      <x:c r="F6715" s="12" t="n">
        <x:v>0.21250000000000002</x:v>
      </x:c>
      <x:c r="G6715" s="12" t="n">
        <x:v>0</x:v>
      </x:c>
      <x:c r="H6715" s="1" t="n">
        <x:f>'Historical prices'!E6715</x:f>
        <x:v>1.05</x:v>
      </x:c>
      <x:c r="I6715" s="6" t="n">
        <x:f>'Historical prices'!D6715</x:f>
        <x:v>0.2711</x:v>
      </x:c>
      <x:c r="J6715" s="13" t="n">
        <x:f>D6715*I6715*H6715</x:f>
        <x:v>0</x:v>
      </x:c>
      <x:c r="K6715" s="13" t="n">
        <x:f>E6715*I6715*H6715</x:f>
        <x:v>0.060607793750000014</x:v>
      </x:c>
      <x:c r="L6715" s="1" t="str">
        <x:f>TEXT(A6715,"mmm yyyy")</x:f>
        <x:v>Sep 2026</x:v>
      </x:c>
    </x:row>
    <x:row r="6716" ht="21" customHeight="1">
      <x:c r="A6716" s="10" t="n">
        <x:v>46288</x:v>
      </x:c>
      <x:c r="B6716" s="1" t="n">
        <x:v>10</x:v>
      </x:c>
      <x:c r="C6716" s="1" t="n">
        <x:v>6</x:v>
      </x:c>
      <x:c r="D6716" s="12" t="n">
        <x:v>0</x:v>
      </x:c>
      <x:c r="E6716" s="12" t="n">
        <x:v>0.25225</x:v>
      </x:c>
      <x:c r="F6716" s="12" t="n">
        <x:v>0.2515833333333333</x:v>
      </x:c>
      <x:c r="G6716" s="12" t="n">
        <x:v>0</x:v>
      </x:c>
      <x:c r="H6716" s="1" t="n">
        <x:f>'Historical prices'!E6716</x:f>
        <x:v>1.05</x:v>
      </x:c>
      <x:c r="I6716" s="6" t="n">
        <x:f>'Historical prices'!D6716</x:f>
        <x:v>0.3077</x:v>
      </x:c>
      <x:c r="J6716" s="13" t="n">
        <x:f>D6716*I6716*H6716</x:f>
        <x:v>0</x:v>
      </x:c>
      <x:c r="K6716" s="13" t="n">
        <x:f>E6716*I6716*H6716</x:f>
        <x:v>0.08149819124999999</x:v>
      </x:c>
      <x:c r="L6716" s="1" t="str">
        <x:f>TEXT(A6716,"mmm yyyy")</x:f>
        <x:v>Sep 2026</x:v>
      </x:c>
    </x:row>
    <x:row r="6717" ht="21" customHeight="1">
      <x:c r="A6717" s="10" t="n">
        <x:v>46288</x:v>
      </x:c>
      <x:c r="B6717" s="1" t="n">
        <x:v>10.5</x:v>
      </x:c>
      <x:c r="C6717" s="1" t="n">
        <x:v>6</x:v>
      </x:c>
      <x:c r="D6717" s="12" t="n">
        <x:v>0</x:v>
      </x:c>
      <x:c r="E6717" s="12" t="n">
        <x:v>0.28791666666666665</x:v>
      </x:c>
      <x:c r="F6717" s="12" t="n">
        <x:v>0.28774999999999995</x:v>
      </x:c>
      <x:c r="G6717" s="12" t="n">
        <x:v>0</x:v>
      </x:c>
      <x:c r="H6717" s="1" t="n">
        <x:f>'Historical prices'!E6717</x:f>
        <x:v>1.05</x:v>
      </x:c>
      <x:c r="I6717" s="6" t="n">
        <x:f>'Historical prices'!D6717</x:f>
        <x:v>0.2707</x:v>
      </x:c>
      <x:c r="J6717" s="13" t="n">
        <x:f>D6717*I6717*H6717</x:f>
        <x:v>0</x:v>
      </x:c>
      <x:c r="K6717" s="13" t="n">
        <x:f>E6717*I6717*H6717</x:f>
        <x:v>0.08183599375</x:v>
      </x:c>
      <x:c r="L6717" s="1" t="str">
        <x:f>TEXT(A6717,"mmm yyyy")</x:f>
        <x:v>Sep 2026</x:v>
      </x:c>
    </x:row>
    <x:row r="6718" ht="21" customHeight="1">
      <x:c r="A6718" s="10" t="n">
        <x:v>46288</x:v>
      </x:c>
      <x:c r="B6718" s="1" t="n">
        <x:v>11</x:v>
      </x:c>
      <x:c r="C6718" s="1" t="n">
        <x:v>6</x:v>
      </x:c>
      <x:c r="D6718" s="12" t="n">
        <x:v>0.13099999999999998</x:v>
      </x:c>
      <x:c r="E6718" s="12" t="n">
        <x:v>0.184</x:v>
      </x:c>
      <x:c r="F6718" s="12" t="n">
        <x:v>0.043</x:v>
      </x:c>
      <x:c r="G6718" s="12" t="n">
        <x:v>0</x:v>
      </x:c>
      <x:c r="H6718" s="1" t="n">
        <x:f>'Historical prices'!E6718</x:f>
        <x:v>1.05</x:v>
      </x:c>
      <x:c r="I6718" s="6" t="n">
        <x:f>'Historical prices'!D6718</x:f>
        <x:v>0.2596</x:v>
      </x:c>
      <x:c r="J6718" s="13" t="n">
        <x:f>D6718*I6718*H6718</x:f>
        <x:v>0.03570797999999999</x:v>
      </x:c>
      <x:c r="K6718" s="13" t="n">
        <x:f>E6718*I6718*H6718</x:f>
        <x:v>0.05015472</x:v>
      </x:c>
      <x:c r="L6718" s="1" t="str">
        <x:f>TEXT(A6718,"mmm yyyy")</x:f>
        <x:v>Sep 2026</x:v>
      </x:c>
    </x:row>
    <x:row r="6719" ht="21" customHeight="1">
      <x:c r="A6719" s="10" t="n">
        <x:v>46288</x:v>
      </x:c>
      <x:c r="B6719" s="1" t="n">
        <x:v>11.5</x:v>
      </x:c>
      <x:c r="C6719" s="1" t="n">
        <x:v>6</x:v>
      </x:c>
      <x:c r="D6719" s="12" t="n">
        <x:v>0.1705</x:v>
      </x:c>
      <x:c r="E6719" s="12" t="n">
        <x:v>0.18150000000000002</x:v>
      </x:c>
      <x:c r="F6719" s="12" t="n">
        <x:v>0</x:v>
      </x:c>
      <x:c r="G6719" s="12" t="n">
        <x:v>0</x:v>
      </x:c>
      <x:c r="H6719" s="1" t="n">
        <x:f>'Historical prices'!E6719</x:f>
        <x:v>1.05</x:v>
      </x:c>
      <x:c r="I6719" s="6" t="n">
        <x:f>'Historical prices'!D6719</x:f>
        <x:v>0.2396</x:v>
      </x:c>
      <x:c r="J6719" s="13" t="n">
        <x:f>D6719*I6719*H6719</x:f>
        <x:v>0.04289439000000001</x:v>
      </x:c>
      <x:c r="K6719" s="13" t="n">
        <x:f>E6719*I6719*H6719</x:f>
        <x:v>0.04566177000000001</x:v>
      </x:c>
      <x:c r="L6719" s="1" t="str">
        <x:f>TEXT(A6719,"mmm yyyy")</x:f>
        <x:v>Sep 2026</x:v>
      </x:c>
    </x:row>
    <x:row r="6720" ht="21" customHeight="1">
      <x:c r="A6720" s="10" t="n">
        <x:v>46288</x:v>
      </x:c>
      <x:c r="B6720" s="1" t="n">
        <x:v>12</x:v>
      </x:c>
      <x:c r="C6720" s="1" t="n">
        <x:v>6</x:v>
      </x:c>
      <x:c r="D6720" s="12" t="n">
        <x:v>0.183</x:v>
      </x:c>
      <x:c r="E6720" s="12" t="n">
        <x:v>0.194</x:v>
      </x:c>
      <x:c r="F6720" s="12" t="n">
        <x:v>0</x:v>
      </x:c>
      <x:c r="G6720" s="12" t="n">
        <x:v>0</x:v>
      </x:c>
      <x:c r="H6720" s="1" t="n">
        <x:f>'Historical prices'!E6720</x:f>
        <x:v>1.05</x:v>
      </x:c>
      <x:c r="I6720" s="6" t="n">
        <x:f>'Historical prices'!D6720</x:f>
        <x:v>0.2354</x:v>
      </x:c>
      <x:c r="J6720" s="13" t="n">
        <x:f>D6720*I6720*H6720</x:f>
        <x:v>0.04523211</x:v>
      </x:c>
      <x:c r="K6720" s="13" t="n">
        <x:f>E6720*I6720*H6720</x:f>
        <x:v>0.047950980000000004</x:v>
      </x:c>
      <x:c r="L6720" s="1" t="str">
        <x:f>TEXT(A6720,"mmm yyyy")</x:f>
        <x:v>Sep 2026</x:v>
      </x:c>
    </x:row>
    <x:row r="6721" ht="21" customHeight="1">
      <x:c r="A6721" s="10" t="n">
        <x:v>46288</x:v>
      </x:c>
      <x:c r="B6721" s="1" t="n">
        <x:v>12.5</x:v>
      </x:c>
      <x:c r="C6721" s="1" t="n">
        <x:v>6</x:v>
      </x:c>
      <x:c r="D6721" s="12" t="n">
        <x:v>0.22749999999999998</x:v>
      </x:c>
      <x:c r="E6721" s="12" t="n">
        <x:v>0.2385</x:v>
      </x:c>
      <x:c r="F6721" s="12" t="n">
        <x:v>0</x:v>
      </x:c>
      <x:c r="G6721" s="12" t="n">
        <x:v>0</x:v>
      </x:c>
      <x:c r="H6721" s="1" t="n">
        <x:f>'Historical prices'!E6721</x:f>
        <x:v>1.05</x:v>
      </x:c>
      <x:c r="I6721" s="6" t="n">
        <x:f>'Historical prices'!D6721</x:f>
        <x:v>0.2285</x:v>
      </x:c>
      <x:c r="J6721" s="13" t="n">
        <x:f>D6721*I6721*H6721</x:f>
        <x:v>0.0545829375</x:v>
      </x:c>
      <x:c r="K6721" s="13" t="n">
        <x:f>E6721*I6721*H6721</x:f>
        <x:v>0.0572221125</x:v>
      </x:c>
      <x:c r="L6721" s="1" t="str">
        <x:f>TEXT(A6721,"mmm yyyy")</x:f>
        <x:v>Sep 2026</x:v>
      </x:c>
    </x:row>
    <x:row r="6722" ht="21" customHeight="1">
      <x:c r="A6722" s="10" t="n">
        <x:v>46288</x:v>
      </x:c>
      <x:c r="B6722" s="1" t="n">
        <x:v>13</x:v>
      </x:c>
      <x:c r="C6722" s="1" t="n">
        <x:v>6</x:v>
      </x:c>
      <x:c r="D6722" s="12" t="n">
        <x:v>0.177</x:v>
      </x:c>
      <x:c r="E6722" s="12" t="n">
        <x:v>0.187</x:v>
      </x:c>
      <x:c r="F6722" s="12" t="n">
        <x:v>0</x:v>
      </x:c>
      <x:c r="G6722" s="12" t="n">
        <x:v>0</x:v>
      </x:c>
      <x:c r="H6722" s="1" t="n">
        <x:f>'Historical prices'!E6722</x:f>
        <x:v>1.05</x:v>
      </x:c>
      <x:c r="I6722" s="6" t="n">
        <x:f>'Historical prices'!D6722</x:f>
        <x:v>0.2376</x:v>
      </x:c>
      <x:c r="J6722" s="13" t="n">
        <x:f>D6722*I6722*H6722</x:f>
        <x:v>0.04415796</x:v>
      </x:c>
      <x:c r="K6722" s="13" t="n">
        <x:f>E6722*I6722*H6722</x:f>
        <x:v>0.04665276000000001</x:v>
      </x:c>
      <x:c r="L6722" s="1" t="str">
        <x:f>TEXT(A6722,"mmm yyyy")</x:f>
        <x:v>Sep 2026</x:v>
      </x:c>
    </x:row>
    <x:row r="6723" ht="21" customHeight="1">
      <x:c r="A6723" s="10" t="n">
        <x:v>46288</x:v>
      </x:c>
      <x:c r="B6723" s="1" t="n">
        <x:v>13.5</x:v>
      </x:c>
      <x:c r="C6723" s="1" t="n">
        <x:v>6</x:v>
      </x:c>
      <x:c r="D6723" s="12" t="n">
        <x:v>0.1885</x:v>
      </x:c>
      <x:c r="E6723" s="12" t="n">
        <x:v>0.2005</x:v>
      </x:c>
      <x:c r="F6723" s="12" t="n">
        <x:v>0</x:v>
      </x:c>
      <x:c r="G6723" s="12" t="n">
        <x:v>0</x:v>
      </x:c>
      <x:c r="H6723" s="1" t="n">
        <x:f>'Historical prices'!E6723</x:f>
        <x:v>1.05</x:v>
      </x:c>
      <x:c r="I6723" s="6" t="n">
        <x:f>'Historical prices'!D6723</x:f>
        <x:v>0.21989999999999998</x:v>
      </x:c>
      <x:c r="J6723" s="13" t="n">
        <x:f>D6723*I6723*H6723</x:f>
        <x:v>0.0435237075</x:v>
      </x:c>
      <x:c r="K6723" s="13" t="n">
        <x:f>E6723*I6723*H6723</x:f>
        <x:v>0.0462944475</x:v>
      </x:c>
      <x:c r="L6723" s="1" t="str">
        <x:f>TEXT(A6723,"mmm yyyy")</x:f>
        <x:v>Sep 2026</x:v>
      </x:c>
    </x:row>
    <x:row r="6724" ht="21" customHeight="1">
      <x:c r="A6724" s="10" t="n">
        <x:v>46288</x:v>
      </x:c>
      <x:c r="B6724" s="1" t="n">
        <x:v>14</x:v>
      </x:c>
      <x:c r="C6724" s="1" t="n">
        <x:v>6</x:v>
      </x:c>
      <x:c r="D6724" s="12" t="n">
        <x:v>3.92275</x:v>
      </x:c>
      <x:c r="E6724" s="12" t="n">
        <x:v>0.35075</x:v>
      </x:c>
      <x:c r="F6724" s="12" t="n">
        <x:v>0</x:v>
      </x:c>
      <x:c r="G6724" s="12" t="n">
        <x:v>3.5729999999999995</x:v>
      </x:c>
      <x:c r="H6724" s="1" t="n">
        <x:f>'Historical prices'!E6724</x:f>
        <x:v>1.05</x:v>
      </x:c>
      <x:c r="I6724" s="6" t="n">
        <x:f>'Historical prices'!D6724</x:f>
        <x:v>0.214</x:v>
      </x:c>
      <x:c r="J6724" s="13" t="n">
        <x:f>D6724*I6724*H6724</x:f>
        <x:v>0.8814419250000001</x:v>
      </x:c>
      <x:c r="K6724" s="13" t="n">
        <x:f>E6724*I6724*H6724</x:f>
        <x:v>0.07881352500000001</x:v>
      </x:c>
      <x:c r="L6724" s="1" t="str">
        <x:f>TEXT(A6724,"mmm yyyy")</x:f>
        <x:v>Sep 2026</x:v>
      </x:c>
    </x:row>
    <x:row r="6725" ht="21" customHeight="1">
      <x:c r="A6725" s="10" t="n">
        <x:v>46288</x:v>
      </x:c>
      <x:c r="B6725" s="1" t="n">
        <x:v>14.5</x:v>
      </x:c>
      <x:c r="C6725" s="1" t="n">
        <x:v>6</x:v>
      </x:c>
      <x:c r="D6725" s="12" t="n">
        <x:v>4.76925</x:v>
      </x:c>
      <x:c r="E6725" s="12" t="n">
        <x:v>0.41925</x:v>
      </x:c>
      <x:c r="F6725" s="12" t="n">
        <x:v>0</x:v>
      </x:c>
      <x:c r="G6725" s="12" t="n">
        <x:v>4.3500000000000005</x:v>
      </x:c>
      <x:c r="H6725" s="1" t="n">
        <x:f>'Historical prices'!E6725</x:f>
        <x:v>1.05</x:v>
      </x:c>
      <x:c r="I6725" s="6" t="n">
        <x:f>'Historical prices'!D6725</x:f>
        <x:v>0.214</x:v>
      </x:c>
      <x:c r="J6725" s="13" t="n">
        <x:f>D6725*I6725*H6725</x:f>
        <x:v>1.071650475</x:v>
      </x:c>
      <x:c r="K6725" s="13" t="n">
        <x:f>E6725*I6725*H6725</x:f>
        <x:v>0.09420547500000001</x:v>
      </x:c>
      <x:c r="L6725" s="1" t="str">
        <x:f>TEXT(A6725,"mmm yyyy")</x:f>
        <x:v>Sep 2026</x:v>
      </x:c>
    </x:row>
    <x:row r="6726" ht="21" customHeight="1">
      <x:c r="A6726" s="10" t="n">
        <x:v>46288</x:v>
      </x:c>
      <x:c r="B6726" s="1" t="n">
        <x:v>15</x:v>
      </x:c>
      <x:c r="C6726" s="1" t="n">
        <x:v>6</x:v>
      </x:c>
      <x:c r="D6726" s="12" t="n">
        <x:v>0.9597499999999999</x:v>
      </x:c>
      <x:c r="E6726" s="12" t="n">
        <x:v>0.25775</x:v>
      </x:c>
      <x:c r="F6726" s="12" t="n">
        <x:v>0</x:v>
      </x:c>
      <x:c r="G6726" s="12" t="n">
        <x:v>0.705</x:v>
      </x:c>
      <x:c r="H6726" s="1" t="n">
        <x:f>'Historical prices'!E6726</x:f>
        <x:v>1.05</x:v>
      </x:c>
      <x:c r="I6726" s="6" t="n">
        <x:f>'Historical prices'!D6726</x:f>
        <x:v>0.2208</x:v>
      </x:c>
      <x:c r="J6726" s="13" t="n">
        <x:f>D6726*I6726*H6726</x:f>
        <x:v>0.22250843999999997</x:v>
      </x:c>
      <x:c r="K6726" s="13" t="n">
        <x:f>E6726*I6726*H6726</x:f>
        <x:v>0.05975676</x:v>
      </x:c>
      <x:c r="L6726" s="1" t="str">
        <x:f>TEXT(A6726,"mmm yyyy")</x:f>
        <x:v>Sep 2026</x:v>
      </x:c>
    </x:row>
    <x:row r="6727" ht="21" customHeight="1">
      <x:c r="A6727" s="10" t="n">
        <x:v>46288</x:v>
      </x:c>
      <x:c r="B6727" s="1" t="n">
        <x:v>15.5</x:v>
      </x:c>
      <x:c r="C6727" s="1" t="n">
        <x:v>6</x:v>
      </x:c>
      <x:c r="D6727" s="12" t="n">
        <x:v>0.15449999999999997</x:v>
      </x:c>
      <x:c r="E6727" s="12" t="n">
        <x:v>0.16349999999999998</x:v>
      </x:c>
      <x:c r="F6727" s="12" t="n">
        <x:v>0</x:v>
      </x:c>
      <x:c r="G6727" s="12" t="n">
        <x:v>0</x:v>
      </x:c>
      <x:c r="H6727" s="1" t="n">
        <x:f>'Historical prices'!E6727</x:f>
        <x:v>1.05</x:v>
      </x:c>
      <x:c r="I6727" s="6" t="n">
        <x:f>'Historical prices'!D6727</x:f>
        <x:v>0.2334</x:v>
      </x:c>
      <x:c r="J6727" s="13" t="n">
        <x:f>D6727*I6727*H6727</x:f>
        <x:v>0.03786331499999999</x:v>
      </x:c>
      <x:c r="K6727" s="13" t="n">
        <x:f>E6727*I6727*H6727</x:f>
        <x:v>0.040068945</x:v>
      </x:c>
      <x:c r="L6727" s="1" t="str">
        <x:f>TEXT(A6727,"mmm yyyy")</x:f>
        <x:v>Sep 2026</x:v>
      </x:c>
    </x:row>
    <x:row r="6728" ht="21" customHeight="1">
      <x:c r="A6728" s="10" t="n">
        <x:v>46288</x:v>
      </x:c>
      <x:c r="B6728" s="1" t="n">
        <x:v>16</x:v>
      </x:c>
      <x:c r="C6728" s="1" t="n">
        <x:v>6</x:v>
      </x:c>
      <x:c r="D6728" s="12" t="n">
        <x:v>0.019</x:v>
      </x:c>
      <x:c r="E6728" s="12" t="n">
        <x:v>0.18533333333333332</x:v>
      </x:c>
      <x:c r="F6728" s="12" t="n">
        <x:v>0.16158333333333333</x:v>
      </x:c>
      <x:c r="G6728" s="12" t="n">
        <x:v>0</x:v>
      </x:c>
      <x:c r="H6728" s="1" t="n">
        <x:f>'Historical prices'!E6728</x:f>
        <x:v>1.05</x:v>
      </x:c>
      <x:c r="I6728" s="6" t="n">
        <x:f>'Historical prices'!D6728</x:f>
        <x:v>0.3911</x:v>
      </x:c>
      <x:c r="J6728" s="13" t="n">
        <x:f>D6728*I6728*H6728</x:f>
        <x:v>0.007802445</x:v>
      </x:c>
      <x:c r="K6728" s="13" t="n">
        <x:f>E6728*I6728*H6728</x:f>
        <x:v>0.07610805999999999</x:v>
      </x:c>
      <x:c r="L6728" s="1" t="str">
        <x:f>TEXT(A6728,"mmm yyyy")</x:f>
        <x:v>Sep 2026</x:v>
      </x:c>
    </x:row>
    <x:row r="6729" ht="21" customHeight="1">
      <x:c r="A6729" s="10" t="n">
        <x:v>46288</x:v>
      </x:c>
      <x:c r="B6729" s="1" t="n">
        <x:v>16.5</x:v>
      </x:c>
      <x:c r="C6729" s="1" t="n">
        <x:v>6</x:v>
      </x:c>
      <x:c r="D6729" s="12" t="n">
        <x:v>0</x:v>
      </x:c>
      <x:c r="E6729" s="12" t="n">
        <x:v>0.27891666666666665</x:v>
      </x:c>
      <x:c r="F6729" s="12" t="n">
        <x:v>0.27858333333333335</x:v>
      </x:c>
      <x:c r="G6729" s="12" t="n">
        <x:v>0</x:v>
      </x:c>
      <x:c r="H6729" s="1" t="n">
        <x:f>'Historical prices'!E6729</x:f>
        <x:v>1.05</x:v>
      </x:c>
      <x:c r="I6729" s="6" t="n">
        <x:f>'Historical prices'!D6729</x:f>
        <x:v>0.39390000000000003</x:v>
      </x:c>
      <x:c r="J6729" s="13" t="n">
        <x:f>D6729*I6729*H6729</x:f>
        <x:v>0</x:v>
      </x:c>
      <x:c r="K6729" s="13" t="n">
        <x:f>E6729*I6729*H6729</x:f>
        <x:v>0.11535853875</x:v>
      </x:c>
      <x:c r="L6729" s="1" t="str">
        <x:f>TEXT(A6729,"mmm yyyy")</x:f>
        <x:v>Sep 2026</x:v>
      </x:c>
    </x:row>
    <x:row r="6730" ht="21" customHeight="1">
      <x:c r="A6730" s="10" t="n">
        <x:v>46288</x:v>
      </x:c>
      <x:c r="B6730" s="1" t="n">
        <x:v>17</x:v>
      </x:c>
      <x:c r="C6730" s="1" t="n">
        <x:v>6</x:v>
      </x:c>
      <x:c r="D6730" s="12" t="n">
        <x:v>0</x:v>
      </x:c>
      <x:c r="E6730" s="12" t="n">
        <x:v>0.31225</x:v>
      </x:c>
      <x:c r="F6730" s="12" t="n">
        <x:v>0.31166666666666665</x:v>
      </x:c>
      <x:c r="G6730" s="12" t="n">
        <x:v>0</x:v>
      </x:c>
      <x:c r="H6730" s="1" t="n">
        <x:f>'Historical prices'!E6730</x:f>
        <x:v>1.05</x:v>
      </x:c>
      <x:c r="I6730" s="6" t="n">
        <x:f>'Historical prices'!D6730</x:f>
        <x:v>0.42469999999999997</x:v>
      </x:c>
      <x:c r="J6730" s="13" t="n">
        <x:f>D6730*I6730*H6730</x:f>
        <x:v>0</x:v>
      </x:c>
      <x:c r="K6730" s="13" t="n">
        <x:f>E6730*I6730*H6730</x:f>
        <x:v>0.13924320375000002</x:v>
      </x:c>
      <x:c r="L6730" s="1" t="str">
        <x:f>TEXT(A6730,"mmm yyyy")</x:f>
        <x:v>Sep 2026</x:v>
      </x:c>
    </x:row>
    <x:row r="6731" ht="21" customHeight="1">
      <x:c r="A6731" s="10" t="n">
        <x:v>46288</x:v>
      </x:c>
      <x:c r="B6731" s="1" t="n">
        <x:v>17.5</x:v>
      </x:c>
      <x:c r="C6731" s="1" t="n">
        <x:v>6</x:v>
      </x:c>
      <x:c r="D6731" s="12" t="n">
        <x:v>0</x:v>
      </x:c>
      <x:c r="E6731" s="12" t="n">
        <x:v>0.1996666666666667</x:v>
      </x:c>
      <x:c r="F6731" s="12" t="n">
        <x:v>0.1995</x:v>
      </x:c>
      <x:c r="G6731" s="12" t="n">
        <x:v>0</x:v>
      </x:c>
      <x:c r="H6731" s="1" t="n">
        <x:f>'Historical prices'!E6731</x:f>
        <x:v>1.05</x:v>
      </x:c>
      <x:c r="I6731" s="6" t="n">
        <x:f>'Historical prices'!D6731</x:f>
        <x:v>0.46740000000000004</x:v>
      </x:c>
      <x:c r="J6731" s="13" t="n">
        <x:f>D6731*I6731*H6731</x:f>
        <x:v>0</x:v>
      </x:c>
      <x:c r="K6731" s="13" t="n">
        <x:f>E6731*I6731*H6731</x:f>
        <x:v>0.09799041000000003</x:v>
      </x:c>
      <x:c r="L6731" s="1" t="str">
        <x:f>TEXT(A6731,"mmm yyyy")</x:f>
        <x:v>Sep 2026</x:v>
      </x:c>
    </x:row>
    <x:row r="6732" ht="21" customHeight="1">
      <x:c r="A6732" s="10" t="n">
        <x:v>46288</x:v>
      </x:c>
      <x:c r="B6732" s="1" t="n">
        <x:v>18</x:v>
      </x:c>
      <x:c r="C6732" s="1" t="n">
        <x:v>6</x:v>
      </x:c>
      <x:c r="D6732" s="12" t="n">
        <x:v>0</x:v>
      </x:c>
      <x:c r="E6732" s="12" t="n">
        <x:v>0.2643333333333333</x:v>
      </x:c>
      <x:c r="F6732" s="12" t="n">
        <x:v>0.26375</x:v>
      </x:c>
      <x:c r="G6732" s="12" t="n">
        <x:v>0</x:v>
      </x:c>
      <x:c r="H6732" s="1" t="n">
        <x:f>'Historical prices'!E6732</x:f>
        <x:v>1.05</x:v>
      </x:c>
      <x:c r="I6732" s="6" t="n">
        <x:f>'Historical prices'!D6732</x:f>
        <x:v>0.48560000000000003</x:v>
      </x:c>
      <x:c r="J6732" s="13" t="n">
        <x:f>D6732*I6732*H6732</x:f>
        <x:v>0</x:v>
      </x:c>
      <x:c r="K6732" s="13" t="n">
        <x:f>E6732*I6732*H6732</x:f>
        <x:v>0.13477828</x:v>
      </x:c>
      <x:c r="L6732" s="1" t="str">
        <x:f>TEXT(A6732,"mmm yyyy")</x:f>
        <x:v>Sep 2026</x:v>
      </x:c>
    </x:row>
    <x:row r="6733" ht="21" customHeight="1">
      <x:c r="A6733" s="10" t="n">
        <x:v>46288</x:v>
      </x:c>
      <x:c r="B6733" s="1" t="n">
        <x:v>18.5</x:v>
      </x:c>
      <x:c r="C6733" s="1" t="n">
        <x:v>6</x:v>
      </x:c>
      <x:c r="D6733" s="12" t="n">
        <x:v>0</x:v>
      </x:c>
      <x:c r="E6733" s="12" t="n">
        <x:v>0.3010833333333333</x:v>
      </x:c>
      <x:c r="F6733" s="12" t="n">
        <x:v>0.30066666666666664</x:v>
      </x:c>
      <x:c r="G6733" s="12" t="n">
        <x:v>0</x:v>
      </x:c>
      <x:c r="H6733" s="1" t="n">
        <x:f>'Historical prices'!E6733</x:f>
        <x:v>1.05</x:v>
      </x:c>
      <x:c r="I6733" s="6" t="n">
        <x:f>'Historical prices'!D6733</x:f>
        <x:v>0.5126</x:v>
      </x:c>
      <x:c r="J6733" s="13" t="n">
        <x:f>D6733*I6733*H6733</x:f>
        <x:v>0</x:v>
      </x:c>
      <x:c r="K6733" s="13" t="n">
        <x:f>E6733*I6733*H6733</x:f>
        <x:v>0.16205208249999997</x:v>
      </x:c>
      <x:c r="L6733" s="1" t="str">
        <x:f>TEXT(A6733,"mmm yyyy")</x:f>
        <x:v>Sep 2026</x:v>
      </x:c>
    </x:row>
    <x:row r="6734" ht="21" customHeight="1">
      <x:c r="A6734" s="10" t="n">
        <x:v>46288</x:v>
      </x:c>
      <x:c r="B6734" s="1" t="n">
        <x:v>19</x:v>
      </x:c>
      <x:c r="C6734" s="1" t="n">
        <x:v>6</x:v>
      </x:c>
      <x:c r="D6734" s="12" t="n">
        <x:v>0</x:v>
      </x:c>
      <x:c r="E6734" s="12" t="n">
        <x:v>0.2566666666666667</x:v>
      </x:c>
      <x:c r="F6734" s="12" t="n">
        <x:v>0.25633333333333336</x:v>
      </x:c>
      <x:c r="G6734" s="12" t="n">
        <x:v>0</x:v>
      </x:c>
      <x:c r="H6734" s="1" t="n">
        <x:f>'Historical prices'!E6734</x:f>
        <x:v>1.05</x:v>
      </x:c>
      <x:c r="I6734" s="6" t="n">
        <x:f>'Historical prices'!D6734</x:f>
        <x:v>0.3749</x:v>
      </x:c>
      <x:c r="J6734" s="13" t="n">
        <x:f>D6734*I6734*H6734</x:f>
        <x:v>0</x:v>
      </x:c>
      <x:c r="K6734" s="13" t="n">
        <x:f>E6734*I6734*H6734</x:f>
        <x:v>0.10103555000000003</x:v>
      </x:c>
      <x:c r="L6734" s="1" t="str">
        <x:f>TEXT(A6734,"mmm yyyy")</x:f>
        <x:v>Sep 2026</x:v>
      </x:c>
    </x:row>
    <x:row r="6735" ht="21" customHeight="1">
      <x:c r="A6735" s="10" t="n">
        <x:v>46288</x:v>
      </x:c>
      <x:c r="B6735" s="1" t="n">
        <x:v>19.5</x:v>
      </x:c>
      <x:c r="C6735" s="1" t="n">
        <x:v>6</x:v>
      </x:c>
      <x:c r="D6735" s="12" t="n">
        <x:v>0</x:v>
      </x:c>
      <x:c r="E6735" s="12" t="n">
        <x:v>0.27008333333333334</x:v>
      </x:c>
      <x:c r="F6735" s="12" t="n">
        <x:v>0.26975</x:v>
      </x:c>
      <x:c r="G6735" s="12" t="n">
        <x:v>0</x:v>
      </x:c>
      <x:c r="H6735" s="1" t="n">
        <x:f>'Historical prices'!E6735</x:f>
        <x:v>1.05</x:v>
      </x:c>
      <x:c r="I6735" s="6" t="n">
        <x:f>'Historical prices'!D6735</x:f>
        <x:v>0.3832</x:v>
      </x:c>
      <x:c r="J6735" s="13" t="n">
        <x:f>D6735*I6735*H6735</x:f>
        <x:v>0</x:v>
      </x:c>
      <x:c r="K6735" s="13" t="n">
        <x:f>E6735*I6735*H6735</x:f>
        <x:v>0.10867073000000001</x:v>
      </x:c>
      <x:c r="L6735" s="1" t="str">
        <x:f>TEXT(A6735,"mmm yyyy")</x:f>
        <x:v>Sep 2026</x:v>
      </x:c>
    </x:row>
    <x:row r="6736" ht="21" customHeight="1">
      <x:c r="A6736" s="10" t="n">
        <x:v>46288</x:v>
      </x:c>
      <x:c r="B6736" s="1" t="n">
        <x:v>20</x:v>
      </x:c>
      <x:c r="C6736" s="1" t="n">
        <x:v>6</x:v>
      </x:c>
      <x:c r="D6736" s="12" t="n">
        <x:v>0</x:v>
      </x:c>
      <x:c r="E6736" s="12" t="n">
        <x:v>0.25833333333333336</x:v>
      </x:c>
      <x:c r="F6736" s="12" t="n">
        <x:v>0.25758333333333333</x:v>
      </x:c>
      <x:c r="G6736" s="12" t="n">
        <x:v>0</x:v>
      </x:c>
      <x:c r="H6736" s="1" t="n">
        <x:f>'Historical prices'!E6736</x:f>
        <x:v>1.05</x:v>
      </x:c>
      <x:c r="I6736" s="6" t="n">
        <x:f>'Historical prices'!D6736</x:f>
        <x:v>0.3458</x:v>
      </x:c>
      <x:c r="J6736" s="13" t="n">
        <x:f>D6736*I6736*H6736</x:f>
        <x:v>0</x:v>
      </x:c>
      <x:c r="K6736" s="13" t="n">
        <x:f>E6736*I6736*H6736</x:f>
        <x:v>0.09379825000000001</x:v>
      </x:c>
      <x:c r="L6736" s="1" t="str">
        <x:f>TEXT(A6736,"mmm yyyy")</x:f>
        <x:v>Sep 2026</x:v>
      </x:c>
    </x:row>
    <x:row r="6737" ht="21" customHeight="1">
      <x:c r="A6737" s="10" t="n">
        <x:v>46288</x:v>
      </x:c>
      <x:c r="B6737" s="1" t="n">
        <x:v>20.5</x:v>
      </x:c>
      <x:c r="C6737" s="1" t="n">
        <x:v>6</x:v>
      </x:c>
      <x:c r="D6737" s="12" t="n">
        <x:v>0</x:v>
      </x:c>
      <x:c r="E6737" s="12" t="n">
        <x:v>0.28791666666666665</x:v>
      </x:c>
      <x:c r="F6737" s="12" t="n">
        <x:v>0.2875833333333333</x:v>
      </x:c>
      <x:c r="G6737" s="12" t="n">
        <x:v>0</x:v>
      </x:c>
      <x:c r="H6737" s="1" t="n">
        <x:f>'Historical prices'!E6737</x:f>
        <x:v>1.05</x:v>
      </x:c>
      <x:c r="I6737" s="6" t="n">
        <x:f>'Historical prices'!D6737</x:f>
        <x:v>0.3154</x:v>
      </x:c>
      <x:c r="J6737" s="13" t="n">
        <x:f>D6737*I6737*H6737</x:f>
        <x:v>0</x:v>
      </x:c>
      <x:c r="K6737" s="13" t="n">
        <x:f>E6737*I6737*H6737</x:f>
        <x:v>0.0953493625</x:v>
      </x:c>
      <x:c r="L6737" s="1" t="str">
        <x:f>TEXT(A6737,"mmm yyyy")</x:f>
        <x:v>Sep 2026</x:v>
      </x:c>
    </x:row>
    <x:row r="6738" ht="21" customHeight="1">
      <x:c r="A6738" s="10" t="n">
        <x:v>46288</x:v>
      </x:c>
      <x:c r="B6738" s="1" t="n">
        <x:v>21</x:v>
      </x:c>
      <x:c r="C6738" s="1" t="n">
        <x:v>6</x:v>
      </x:c>
      <x:c r="D6738" s="12" t="n">
        <x:v>0</x:v>
      </x:c>
      <x:c r="E6738" s="12" t="n">
        <x:v>0.3651666666666667</x:v>
      </x:c>
      <x:c r="F6738" s="12" t="n">
        <x:v>0.36474999999999996</x:v>
      </x:c>
      <x:c r="G6738" s="12" t="n">
        <x:v>0</x:v>
      </x:c>
      <x:c r="H6738" s="1" t="n">
        <x:f>'Historical prices'!E6738</x:f>
        <x:v>1.05</x:v>
      </x:c>
      <x:c r="I6738" s="6" t="n">
        <x:f>'Historical prices'!D6738</x:f>
        <x:v>0.2928</x:v>
      </x:c>
      <x:c r="J6738" s="13" t="n">
        <x:f>D6738*I6738*H6738</x:f>
        <x:v>0</x:v>
      </x:c>
      <x:c r="K6738" s="13" t="n">
        <x:f>E6738*I6738*H6738</x:f>
        <x:v>0.11226684000000002</x:v>
      </x:c>
      <x:c r="L6738" s="1" t="str">
        <x:f>TEXT(A6738,"mmm yyyy")</x:f>
        <x:v>Sep 2026</x:v>
      </x:c>
    </x:row>
    <x:row r="6739" ht="21" customHeight="1">
      <x:c r="A6739" s="10" t="n">
        <x:v>46288</x:v>
      </x:c>
      <x:c r="B6739" s="1" t="n">
        <x:v>21.5</x:v>
      </x:c>
      <x:c r="C6739" s="1" t="n">
        <x:v>6</x:v>
      </x:c>
      <x:c r="D6739" s="12" t="n">
        <x:v>0</x:v>
      </x:c>
      <x:c r="E6739" s="12" t="n">
        <x:v>0.26616666666666666</x:v>
      </x:c>
      <x:c r="F6739" s="12" t="n">
        <x:v>0.26549999999999996</x:v>
      </x:c>
      <x:c r="G6739" s="12" t="n">
        <x:v>0</x:v>
      </x:c>
      <x:c r="H6739" s="1" t="n">
        <x:f>'Historical prices'!E6739</x:f>
        <x:v>1.05</x:v>
      </x:c>
      <x:c r="I6739" s="6" t="n">
        <x:f>'Historical prices'!D6739</x:f>
        <x:v>0.2889</x:v>
      </x:c>
      <x:c r="J6739" s="13" t="n">
        <x:f>D6739*I6739*H6739</x:f>
        <x:v>0</x:v>
      </x:c>
      <x:c r="K6739" s="13" t="n">
        <x:f>E6739*I6739*H6739</x:f>
        <x:v>0.0807403275</x:v>
      </x:c>
      <x:c r="L6739" s="1" t="str">
        <x:f>TEXT(A6739,"mmm yyyy")</x:f>
        <x:v>Sep 2026</x:v>
      </x:c>
    </x:row>
    <x:row r="6740" ht="21" customHeight="1">
      <x:c r="A6740" s="10" t="n">
        <x:v>46288</x:v>
      </x:c>
      <x:c r="B6740" s="1" t="n">
        <x:v>22</x:v>
      </x:c>
      <x:c r="C6740" s="1" t="n">
        <x:v>6</x:v>
      </x:c>
      <x:c r="D6740" s="12" t="n">
        <x:v>0</x:v>
      </x:c>
      <x:c r="E6740" s="12" t="n">
        <x:v>0.23475000000000001</x:v>
      </x:c>
      <x:c r="F6740" s="12" t="n">
        <x:v>0.23441666666666666</x:v>
      </x:c>
      <x:c r="G6740" s="12" t="n">
        <x:v>0</x:v>
      </x:c>
      <x:c r="H6740" s="1" t="n">
        <x:f>'Historical prices'!E6740</x:f>
        <x:v>1.05</x:v>
      </x:c>
      <x:c r="I6740" s="6" t="n">
        <x:f>'Historical prices'!D6740</x:f>
        <x:v>0.2805</x:v>
      </x:c>
      <x:c r="J6740" s="13" t="n">
        <x:f>D6740*I6740*H6740</x:f>
        <x:v>0</x:v>
      </x:c>
      <x:c r="K6740" s="13" t="n">
        <x:f>E6740*I6740*H6740</x:f>
        <x:v>0.06913974375000002</x:v>
      </x:c>
      <x:c r="L6740" s="1" t="str">
        <x:f>TEXT(A6740,"mmm yyyy")</x:f>
        <x:v>Sep 2026</x:v>
      </x:c>
    </x:row>
    <x:row r="6741" ht="21" customHeight="1">
      <x:c r="A6741" s="10" t="n">
        <x:v>46288</x:v>
      </x:c>
      <x:c r="B6741" s="1" t="n">
        <x:v>22.5</x:v>
      </x:c>
      <x:c r="C6741" s="1" t="n">
        <x:v>6</x:v>
      </x:c>
      <x:c r="D6741" s="12" t="n">
        <x:v>0</x:v>
      </x:c>
      <x:c r="E6741" s="12" t="n">
        <x:v>0.31925000000000003</x:v>
      </x:c>
      <x:c r="F6741" s="12" t="n">
        <x:v>0.3184166666666666</x:v>
      </x:c>
      <x:c r="G6741" s="12" t="n">
        <x:v>0</x:v>
      </x:c>
      <x:c r="H6741" s="1" t="n">
        <x:f>'Historical prices'!E6741</x:f>
        <x:v>1.05</x:v>
      </x:c>
      <x:c r="I6741" s="6" t="n">
        <x:f>'Historical prices'!D6741</x:f>
        <x:v>0.2809</x:v>
      </x:c>
      <x:c r="J6741" s="13" t="n">
        <x:f>D6741*I6741*H6741</x:f>
        <x:v>0</x:v>
      </x:c>
      <x:c r="K6741" s="13" t="n">
        <x:f>E6741*I6741*H6741</x:f>
        <x:v>0.09416119125000001</x:v>
      </x:c>
      <x:c r="L6741" s="1" t="str">
        <x:f>TEXT(A6741,"mmm yyyy")</x:f>
        <x:v>Sep 2026</x:v>
      </x:c>
    </x:row>
    <x:row r="6742" ht="21" customHeight="1">
      <x:c r="A6742" s="10" t="n">
        <x:v>46288</x:v>
      </x:c>
      <x:c r="B6742" s="1" t="n">
        <x:v>23</x:v>
      </x:c>
      <x:c r="C6742" s="1" t="n">
        <x:v>6</x:v>
      </x:c>
      <x:c r="D6742" s="12" t="n">
        <x:v>0</x:v>
      </x:c>
      <x:c r="E6742" s="12" t="n">
        <x:v>0.26191666666666663</x:v>
      </x:c>
      <x:c r="F6742" s="12" t="n">
        <x:v>0.26141666666666663</x:v>
      </x:c>
      <x:c r="G6742" s="12" t="n">
        <x:v>0</x:v>
      </x:c>
      <x:c r="H6742" s="1" t="n">
        <x:f>'Historical prices'!E6742</x:f>
        <x:v>1.05</x:v>
      </x:c>
      <x:c r="I6742" s="6" t="n">
        <x:f>'Historical prices'!D6742</x:f>
        <x:v>0.2961</x:v>
      </x:c>
      <x:c r="J6742" s="13" t="n">
        <x:f>D6742*I6742*H6742</x:f>
        <x:v>0</x:v>
      </x:c>
      <x:c r="K6742" s="13" t="n">
        <x:f>E6742*I6742*H6742</x:f>
        <x:v>0.08143120124999999</x:v>
      </x:c>
      <x:c r="L6742" s="1" t="str">
        <x:f>TEXT(A6742,"mmm yyyy")</x:f>
        <x:v>Sep 2026</x:v>
      </x:c>
    </x:row>
    <x:row r="6743" ht="21" customHeight="1">
      <x:c r="A6743" s="10" t="n">
        <x:v>46288</x:v>
      </x:c>
      <x:c r="B6743" s="1" t="n">
        <x:v>23.5</x:v>
      </x:c>
      <x:c r="C6743" s="1" t="n">
        <x:v>6</x:v>
      </x:c>
      <x:c r="D6743" s="12" t="n">
        <x:v>0</x:v>
      </x:c>
      <x:c r="E6743" s="12" t="n">
        <x:v>0.18541666666666667</x:v>
      </x:c>
      <x:c r="F6743" s="12" t="n">
        <x:v>0.18283333333333332</x:v>
      </x:c>
      <x:c r="G6743" s="12" t="n">
        <x:v>0</x:v>
      </x:c>
      <x:c r="H6743" s="1" t="n">
        <x:f>'Historical prices'!E6743</x:f>
        <x:v>1.05</x:v>
      </x:c>
      <x:c r="I6743" s="6" t="n">
        <x:f>'Historical prices'!D6743</x:f>
        <x:v>0.2791</x:v>
      </x:c>
      <x:c r="J6743" s="13" t="n">
        <x:f>D6743*I6743*H6743</x:f>
        <x:v>0</x:v>
      </x:c>
      <x:c r="K6743" s="13" t="n">
        <x:f>E6743*I6743*H6743</x:f>
        <x:v>0.05433728125000001</x:v>
      </x:c>
      <x:c r="L6743" s="1" t="str">
        <x:f>TEXT(A6743,"mmm yyyy")</x:f>
        <x:v>Sep 2026</x:v>
      </x:c>
    </x:row>
    <x:row r="6744" ht="21" customHeight="1">
      <x:c r="A6744" s="10" t="n">
        <x:v>46289</x:v>
      </x:c>
      <x:c r="B6744" s="1" t="n">
        <x:v>0</x:v>
      </x:c>
      <x:c r="C6744" s="1" t="n">
        <x:v>6</x:v>
      </x:c>
      <x:c r="D6744" s="12" t="n">
        <x:v>0</x:v>
      </x:c>
      <x:c r="E6744" s="12" t="n">
        <x:v>0.22783333333333333</x:v>
      </x:c>
      <x:c r="F6744" s="12" t="n">
        <x:v>0.2265</x:v>
      </x:c>
      <x:c r="G6744" s="12" t="n">
        <x:v>0</x:v>
      </x:c>
      <x:c r="H6744" s="1" t="n">
        <x:f>'Historical prices'!E6744</x:f>
        <x:v>1.05</x:v>
      </x:c>
      <x:c r="I6744" s="6" t="n">
        <x:f>'Historical prices'!D6744</x:f>
        <x:v>0.2754</x:v>
      </x:c>
      <x:c r="J6744" s="13" t="n">
        <x:f>D6744*I6744*H6744</x:f>
        <x:v>0</x:v>
      </x:c>
      <x:c r="K6744" s="13" t="n">
        <x:f>E6744*I6744*H6744</x:f>
        <x:v>0.06588256499999999</x:v>
      </x:c>
      <x:c r="L6744" s="1" t="str">
        <x:f>TEXT(A6744,"mmm yyyy")</x:f>
        <x:v>Sep 2026</x:v>
      </x:c>
    </x:row>
    <x:row r="6745" ht="21" customHeight="1">
      <x:c r="A6745" s="10" t="n">
        <x:v>46289</x:v>
      </x:c>
      <x:c r="B6745" s="1" t="n">
        <x:v>0.5</x:v>
      </x:c>
      <x:c r="C6745" s="1" t="n">
        <x:v>6</x:v>
      </x:c>
      <x:c r="D6745" s="12" t="n">
        <x:v>0</x:v>
      </x:c>
      <x:c r="E6745" s="12" t="n">
        <x:v>0.2939166666666667</x:v>
      </x:c>
      <x:c r="F6745" s="12" t="n">
        <x:v>0.29358333333333336</x:v>
      </x:c>
      <x:c r="G6745" s="12" t="n">
        <x:v>0</x:v>
      </x:c>
      <x:c r="H6745" s="1" t="n">
        <x:f>'Historical prices'!E6745</x:f>
        <x:v>1.05</x:v>
      </x:c>
      <x:c r="I6745" s="6" t="n">
        <x:f>'Historical prices'!D6745</x:f>
        <x:v>0.2726</x:v>
      </x:c>
      <x:c r="J6745" s="13" t="n">
        <x:f>D6745*I6745*H6745</x:f>
        <x:v>0</x:v>
      </x:c>
      <x:c r="K6745" s="13" t="n">
        <x:f>E6745*I6745*H6745</x:f>
        <x:v>0.08412776750000002</x:v>
      </x:c>
      <x:c r="L6745" s="1" t="str">
        <x:f>TEXT(A6745,"mmm yyyy")</x:f>
        <x:v>Sep 2026</x:v>
      </x:c>
    </x:row>
    <x:row r="6746" ht="21" customHeight="1">
      <x:c r="A6746" s="10" t="n">
        <x:v>46289</x:v>
      </x:c>
      <x:c r="B6746" s="1" t="n">
        <x:v>1</x:v>
      </x:c>
      <x:c r="C6746" s="1" t="n">
        <x:v>6</x:v>
      </x:c>
      <x:c r="D6746" s="12" t="n">
        <x:v>0</x:v>
      </x:c>
      <x:c r="E6746" s="12" t="n">
        <x:v>0.3301666666666666</x:v>
      </x:c>
      <x:c r="F6746" s="12" t="n">
        <x:v>0.32983333333333326</x:v>
      </x:c>
      <x:c r="G6746" s="12" t="n">
        <x:v>0</x:v>
      </x:c>
      <x:c r="H6746" s="1" t="n">
        <x:f>'Historical prices'!E6746</x:f>
        <x:v>1.05</x:v>
      </x:c>
      <x:c r="I6746" s="6" t="n">
        <x:f>'Historical prices'!D6746</x:f>
        <x:v>0.2612</x:v>
      </x:c>
      <x:c r="J6746" s="13" t="n">
        <x:f>D6746*I6746*H6746</x:f>
        <x:v>0</x:v>
      </x:c>
      <x:c r="K6746" s="13" t="n">
        <x:f>E6746*I6746*H6746</x:f>
        <x:v>0.09055150999999999</x:v>
      </x:c>
      <x:c r="L6746" s="1" t="str">
        <x:f>TEXT(A6746,"mmm yyyy")</x:f>
        <x:v>Sep 2026</x:v>
      </x:c>
    </x:row>
    <x:row r="6747" ht="21" customHeight="1">
      <x:c r="A6747" s="10" t="n">
        <x:v>46289</x:v>
      </x:c>
      <x:c r="B6747" s="1" t="n">
        <x:v>1.5</x:v>
      </x:c>
      <x:c r="C6747" s="1" t="n">
        <x:v>6</x:v>
      </x:c>
      <x:c r="D6747" s="12" t="n">
        <x:v>0</x:v>
      </x:c>
      <x:c r="E6747" s="12" t="n">
        <x:v>0.23883333333333331</x:v>
      </x:c>
      <x:c r="F6747" s="12" t="n">
        <x:v>0.2385</x:v>
      </x:c>
      <x:c r="G6747" s="12" t="n">
        <x:v>0</x:v>
      </x:c>
      <x:c r="H6747" s="1" t="n">
        <x:f>'Historical prices'!E6747</x:f>
        <x:v>1.05</x:v>
      </x:c>
      <x:c r="I6747" s="6" t="n">
        <x:f>'Historical prices'!D6747</x:f>
        <x:v>0.2495</x:v>
      </x:c>
      <x:c r="J6747" s="13" t="n">
        <x:f>D6747*I6747*H6747</x:f>
        <x:v>0</x:v>
      </x:c>
      <x:c r="K6747" s="13" t="n">
        <x:f>E6747*I6747*H6747</x:f>
        <x:v>0.0625683625</x:v>
      </x:c>
      <x:c r="L6747" s="1" t="str">
        <x:f>TEXT(A6747,"mmm yyyy")</x:f>
        <x:v>Sep 2026</x:v>
      </x:c>
    </x:row>
    <x:row r="6748" ht="21" customHeight="1">
      <x:c r="A6748" s="10" t="n">
        <x:v>46289</x:v>
      </x:c>
      <x:c r="B6748" s="1" t="n">
        <x:v>2</x:v>
      </x:c>
      <x:c r="C6748" s="1" t="n">
        <x:v>6</x:v>
      </x:c>
      <x:c r="D6748" s="12" t="n">
        <x:v>0</x:v>
      </x:c>
      <x:c r="E6748" s="12" t="n">
        <x:v>0.267</x:v>
      </x:c>
      <x:c r="F6748" s="12" t="n">
        <x:v>0.2665</x:v>
      </x:c>
      <x:c r="G6748" s="12" t="n">
        <x:v>0</x:v>
      </x:c>
      <x:c r="H6748" s="1" t="n">
        <x:f>'Historical prices'!E6748</x:f>
        <x:v>1.05</x:v>
      </x:c>
      <x:c r="I6748" s="6" t="n">
        <x:f>'Historical prices'!D6748</x:f>
        <x:v>0.24</x:v>
      </x:c>
      <x:c r="J6748" s="13" t="n">
        <x:f>D6748*I6748*H6748</x:f>
        <x:v>0</x:v>
      </x:c>
      <x:c r="K6748" s="13" t="n">
        <x:f>E6748*I6748*H6748</x:f>
        <x:v>0.067284</x:v>
      </x:c>
      <x:c r="L6748" s="1" t="str">
        <x:f>TEXT(A6748,"mmm yyyy")</x:f>
        <x:v>Sep 2026</x:v>
      </x:c>
    </x:row>
    <x:row r="6749" ht="21" customHeight="1">
      <x:c r="A6749" s="10" t="n">
        <x:v>46289</x:v>
      </x:c>
      <x:c r="B6749" s="1" t="n">
        <x:v>2.5</x:v>
      </x:c>
      <x:c r="C6749" s="1" t="n">
        <x:v>6</x:v>
      </x:c>
      <x:c r="D6749" s="12" t="n">
        <x:v>0</x:v>
      </x:c>
      <x:c r="E6749" s="12" t="n">
        <x:v>0.24900000000000003</x:v>
      </x:c>
      <x:c r="F6749" s="12" t="n">
        <x:v>0.2484166666666667</x:v>
      </x:c>
      <x:c r="G6749" s="12" t="n">
        <x:v>0</x:v>
      </x:c>
      <x:c r="H6749" s="1" t="n">
        <x:f>'Historical prices'!E6749</x:f>
        <x:v>1.05</x:v>
      </x:c>
      <x:c r="I6749" s="6" t="n">
        <x:f>'Historical prices'!D6749</x:f>
        <x:v>0.2514</x:v>
      </x:c>
      <x:c r="J6749" s="13" t="n">
        <x:f>D6749*I6749*H6749</x:f>
        <x:v>0</x:v>
      </x:c>
      <x:c r="K6749" s="13" t="n">
        <x:f>E6749*I6749*H6749</x:f>
        <x:v>0.06572853000000001</x:v>
      </x:c>
      <x:c r="L6749" s="1" t="str">
        <x:f>TEXT(A6749,"mmm yyyy")</x:f>
        <x:v>Sep 2026</x:v>
      </x:c>
    </x:row>
    <x:row r="6750" ht="21" customHeight="1">
      <x:c r="A6750" s="10" t="n">
        <x:v>46289</x:v>
      </x:c>
      <x:c r="B6750" s="1" t="n">
        <x:v>3</x:v>
      </x:c>
      <x:c r="C6750" s="1" t="n">
        <x:v>6</x:v>
      </x:c>
      <x:c r="D6750" s="12" t="n">
        <x:v>0</x:v>
      </x:c>
      <x:c r="E6750" s="12" t="n">
        <x:v>0.23616666666666666</x:v>
      </x:c>
      <x:c r="F6750" s="12" t="n">
        <x:v>0.23550000000000001</x:v>
      </x:c>
      <x:c r="G6750" s="12" t="n">
        <x:v>0</x:v>
      </x:c>
      <x:c r="H6750" s="1" t="n">
        <x:f>'Historical prices'!E6750</x:f>
        <x:v>1.05</x:v>
      </x:c>
      <x:c r="I6750" s="6" t="n">
        <x:f>'Historical prices'!D6750</x:f>
        <x:v>0.2504</x:v>
      </x:c>
      <x:c r="J6750" s="13" t="n">
        <x:f>D6750*I6750*H6750</x:f>
        <x:v>0</x:v>
      </x:c>
      <x:c r="K6750" s="13" t="n">
        <x:f>E6750*I6750*H6750</x:f>
        <x:v>0.062092940000000006</x:v>
      </x:c>
      <x:c r="L6750" s="1" t="str">
        <x:f>TEXT(A6750,"mmm yyyy")</x:f>
        <x:v>Sep 2026</x:v>
      </x:c>
    </x:row>
    <x:row r="6751" ht="21" customHeight="1">
      <x:c r="A6751" s="10" t="n">
        <x:v>46289</x:v>
      </x:c>
      <x:c r="B6751" s="1" t="n">
        <x:v>3.5</x:v>
      </x:c>
      <x:c r="C6751" s="1" t="n">
        <x:v>6</x:v>
      </x:c>
      <x:c r="D6751" s="12" t="n">
        <x:v>0</x:v>
      </x:c>
      <x:c r="E6751" s="12" t="n">
        <x:v>0.26075</x:v>
      </x:c>
      <x:c r="F6751" s="12" t="n">
        <x:v>0.26058333333333333</x:v>
      </x:c>
      <x:c r="G6751" s="12" t="n">
        <x:v>0</x:v>
      </x:c>
      <x:c r="H6751" s="1" t="n">
        <x:f>'Historical prices'!E6751</x:f>
        <x:v>1.05</x:v>
      </x:c>
      <x:c r="I6751" s="6" t="n">
        <x:f>'Historical prices'!D6751</x:f>
        <x:v>0.24530000000000002</x:v>
      </x:c>
      <x:c r="J6751" s="13" t="n">
        <x:f>D6751*I6751*H6751</x:f>
        <x:v>0</x:v>
      </x:c>
      <x:c r="K6751" s="13" t="n">
        <x:f>E6751*I6751*H6751</x:f>
        <x:v>0.06716007375000001</x:v>
      </x:c>
      <x:c r="L6751" s="1" t="str">
        <x:f>TEXT(A6751,"mmm yyyy")</x:f>
        <x:v>Sep 2026</x:v>
      </x:c>
    </x:row>
    <x:row r="6752" ht="21" customHeight="1">
      <x:c r="A6752" s="10" t="n">
        <x:v>46289</x:v>
      </x:c>
      <x:c r="B6752" s="1" t="n">
        <x:v>4</x:v>
      </x:c>
      <x:c r="C6752" s="1" t="n">
        <x:v>6</x:v>
      </x:c>
      <x:c r="D6752" s="12" t="n">
        <x:v>0</x:v>
      </x:c>
      <x:c r="E6752" s="12" t="n">
        <x:v>0.23283333333333334</x:v>
      </x:c>
      <x:c r="F6752" s="12" t="n">
        <x:v>0.2325833333333333</x:v>
      </x:c>
      <x:c r="G6752" s="12" t="n">
        <x:v>0</x:v>
      </x:c>
      <x:c r="H6752" s="1" t="n">
        <x:f>'Historical prices'!E6752</x:f>
        <x:v>1.05</x:v>
      </x:c>
      <x:c r="I6752" s="6" t="n">
        <x:f>'Historical prices'!D6752</x:f>
        <x:v>0.24760000000000001</x:v>
      </x:c>
      <x:c r="J6752" s="13" t="n">
        <x:f>D6752*I6752*H6752</x:f>
        <x:v>0</x:v>
      </x:c>
      <x:c r="K6752" s="13" t="n">
        <x:f>E6752*I6752*H6752</x:f>
        <x:v>0.060532010000000004</x:v>
      </x:c>
      <x:c r="L6752" s="1" t="str">
        <x:f>TEXT(A6752,"mmm yyyy")</x:f>
        <x:v>Sep 2026</x:v>
      </x:c>
    </x:row>
    <x:row r="6753" ht="21" customHeight="1">
      <x:c r="A6753" s="10" t="n">
        <x:v>46289</x:v>
      </x:c>
      <x:c r="B6753" s="1" t="n">
        <x:v>4.5</x:v>
      </x:c>
      <x:c r="C6753" s="1" t="n">
        <x:v>6</x:v>
      </x:c>
      <x:c r="D6753" s="12" t="n">
        <x:v>0</x:v>
      </x:c>
      <x:c r="E6753" s="12" t="n">
        <x:v>0.24133333333333334</x:v>
      </x:c>
      <x:c r="F6753" s="12" t="n">
        <x:v>0.24091666666666667</x:v>
      </x:c>
      <x:c r="G6753" s="12" t="n">
        <x:v>0</x:v>
      </x:c>
      <x:c r="H6753" s="1" t="n">
        <x:f>'Historical prices'!E6753</x:f>
        <x:v>1.05</x:v>
      </x:c>
      <x:c r="I6753" s="6" t="n">
        <x:f>'Historical prices'!D6753</x:f>
        <x:v>0.24100000000000002</x:v>
      </x:c>
      <x:c r="J6753" s="13" t="n">
        <x:f>D6753*I6753*H6753</x:f>
        <x:v>0</x:v>
      </x:c>
      <x:c r="K6753" s="13" t="n">
        <x:f>E6753*I6753*H6753</x:f>
        <x:v>0.06106940000000001</x:v>
      </x:c>
      <x:c r="L6753" s="1" t="str">
        <x:f>TEXT(A6753,"mmm yyyy")</x:f>
        <x:v>Sep 2026</x:v>
      </x:c>
    </x:row>
    <x:row r="6754" ht="21" customHeight="1">
      <x:c r="A6754" s="10" t="n">
        <x:v>46289</x:v>
      </x:c>
      <x:c r="B6754" s="1" t="n">
        <x:v>5</x:v>
      </x:c>
      <x:c r="C6754" s="1" t="n">
        <x:v>6</x:v>
      </x:c>
      <x:c r="D6754" s="12" t="n">
        <x:v>0</x:v>
      </x:c>
      <x:c r="E6754" s="12" t="n">
        <x:v>0.3445</x:v>
      </x:c>
      <x:c r="F6754" s="12" t="n">
        <x:v>0.34441666666666665</x:v>
      </x:c>
      <x:c r="G6754" s="12" t="n">
        <x:v>0</x:v>
      </x:c>
      <x:c r="H6754" s="1" t="n">
        <x:f>'Historical prices'!E6754</x:f>
        <x:v>1.05</x:v>
      </x:c>
      <x:c r="I6754" s="6" t="n">
        <x:f>'Historical prices'!D6754</x:f>
        <x:v>0.2682</x:v>
      </x:c>
      <x:c r="J6754" s="13" t="n">
        <x:f>D6754*I6754*H6754</x:f>
        <x:v>0</x:v>
      </x:c>
      <x:c r="K6754" s="13" t="n">
        <x:f>E6754*I6754*H6754</x:f>
        <x:v>0.097014645</x:v>
      </x:c>
      <x:c r="L6754" s="1" t="str">
        <x:f>TEXT(A6754,"mmm yyyy")</x:f>
        <x:v>Sep 2026</x:v>
      </x:c>
    </x:row>
    <x:row r="6755" ht="21" customHeight="1">
      <x:c r="A6755" s="10" t="n">
        <x:v>46289</x:v>
      </x:c>
      <x:c r="B6755" s="1" t="n">
        <x:v>5.5</x:v>
      </x:c>
      <x:c r="C6755" s="1" t="n">
        <x:v>6</x:v>
      </x:c>
      <x:c r="D6755" s="12" t="n">
        <x:v>0</x:v>
      </x:c>
      <x:c r="E6755" s="12" t="n">
        <x:v>0.2321666666666667</x:v>
      </x:c>
      <x:c r="F6755" s="12" t="n">
        <x:v>0.23175</x:v>
      </x:c>
      <x:c r="G6755" s="12" t="n">
        <x:v>0</x:v>
      </x:c>
      <x:c r="H6755" s="1" t="n">
        <x:f>'Historical prices'!E6755</x:f>
        <x:v>1.05</x:v>
      </x:c>
      <x:c r="I6755" s="6" t="n">
        <x:f>'Historical prices'!D6755</x:f>
        <x:v>0.2796</x:v>
      </x:c>
      <x:c r="J6755" s="13" t="n">
        <x:f>D6755*I6755*H6755</x:f>
        <x:v>0</x:v>
      </x:c>
      <x:c r="K6755" s="13" t="n">
        <x:f>E6755*I6755*H6755</x:f>
        <x:v>0.06815949000000002</x:v>
      </x:c>
      <x:c r="L6755" s="1" t="str">
        <x:f>TEXT(A6755,"mmm yyyy")</x:f>
        <x:v>Sep 2026</x:v>
      </x:c>
    </x:row>
    <x:row r="6756" ht="21" customHeight="1">
      <x:c r="A6756" s="10" t="n">
        <x:v>46289</x:v>
      </x:c>
      <x:c r="B6756" s="1" t="n">
        <x:v>6</x:v>
      </x:c>
      <x:c r="C6756" s="1" t="n">
        <x:v>6</x:v>
      </x:c>
      <x:c r="D6756" s="12" t="n">
        <x:v>0</x:v>
      </x:c>
      <x:c r="E6756" s="12" t="n">
        <x:v>0.26691666666666664</x:v>
      </x:c>
      <x:c r="F6756" s="12" t="n">
        <x:v>0.2664166666666667</x:v>
      </x:c>
      <x:c r="G6756" s="12" t="n">
        <x:v>0</x:v>
      </x:c>
      <x:c r="H6756" s="1" t="n">
        <x:f>'Historical prices'!E6756</x:f>
        <x:v>1.05</x:v>
      </x:c>
      <x:c r="I6756" s="6" t="n">
        <x:f>'Historical prices'!D6756</x:f>
        <x:v>0.317</x:v>
      </x:c>
      <x:c r="J6756" s="13" t="n">
        <x:f>D6756*I6756*H6756</x:f>
        <x:v>0</x:v>
      </x:c>
      <x:c r="K6756" s="13" t="n">
        <x:f>E6756*I6756*H6756</x:f>
        <x:v>0.08884321249999999</x:v>
      </x:c>
      <x:c r="L6756" s="1" t="str">
        <x:f>TEXT(A6756,"mmm yyyy")</x:f>
        <x:v>Sep 2026</x:v>
      </x:c>
    </x:row>
    <x:row r="6757" ht="21" customHeight="1">
      <x:c r="A6757" s="10" t="n">
        <x:v>46289</x:v>
      </x:c>
      <x:c r="B6757" s="1" t="n">
        <x:v>6.5</x:v>
      </x:c>
      <x:c r="C6757" s="1" t="n">
        <x:v>6</x:v>
      </x:c>
      <x:c r="D6757" s="12" t="n">
        <x:v>0</x:v>
      </x:c>
      <x:c r="E6757" s="12" t="n">
        <x:v>0.31108333333333327</x:v>
      </x:c>
      <x:c r="F6757" s="12" t="n">
        <x:v>0.31066666666666665</x:v>
      </x:c>
      <x:c r="G6757" s="12" t="n">
        <x:v>0</x:v>
      </x:c>
      <x:c r="H6757" s="1" t="n">
        <x:f>'Historical prices'!E6757</x:f>
        <x:v>1.05</x:v>
      </x:c>
      <x:c r="I6757" s="6" t="n">
        <x:f>'Historical prices'!D6757</x:f>
        <x:v>0.342</x:v>
      </x:c>
      <x:c r="J6757" s="13" t="n">
        <x:f>D6757*I6757*H6757</x:f>
        <x:v>0</x:v>
      </x:c>
      <x:c r="K6757" s="13" t="n">
        <x:f>E6757*I6757*H6757</x:f>
        <x:v>0.11171002499999999</x:v>
      </x:c>
      <x:c r="L6757" s="1" t="str">
        <x:f>TEXT(A6757,"mmm yyyy")</x:f>
        <x:v>Sep 2026</x:v>
      </x:c>
    </x:row>
    <x:row r="6758" ht="21" customHeight="1">
      <x:c r="A6758" s="10" t="n">
        <x:v>46289</x:v>
      </x:c>
      <x:c r="B6758" s="1" t="n">
        <x:v>7</x:v>
      </x:c>
      <x:c r="C6758" s="1" t="n">
        <x:v>6</x:v>
      </x:c>
      <x:c r="D6758" s="12" t="n">
        <x:v>0</x:v>
      </x:c>
      <x:c r="E6758" s="12" t="n">
        <x:v>0.34375</x:v>
      </x:c>
      <x:c r="F6758" s="12" t="n">
        <x:v>0.34341666666666665</x:v>
      </x:c>
      <x:c r="G6758" s="12" t="n">
        <x:v>0</x:v>
      </x:c>
      <x:c r="H6758" s="1" t="n">
        <x:f>'Historical prices'!E6758</x:f>
        <x:v>1.05</x:v>
      </x:c>
      <x:c r="I6758" s="6" t="n">
        <x:f>'Historical prices'!D6758</x:f>
        <x:v>0.33409999999999995</x:v>
      </x:c>
      <x:c r="J6758" s="13" t="n">
        <x:f>D6758*I6758*H6758</x:f>
        <x:v>0</x:v>
      </x:c>
      <x:c r="K6758" s="13" t="n">
        <x:f>E6758*I6758*H6758</x:f>
        <x:v>0.12058921874999999</x:v>
      </x:c>
      <x:c r="L6758" s="1" t="str">
        <x:f>TEXT(A6758,"mmm yyyy")</x:f>
        <x:v>Sep 2026</x:v>
      </x:c>
    </x:row>
    <x:row r="6759" ht="21" customHeight="1">
      <x:c r="A6759" s="10" t="n">
        <x:v>46289</x:v>
      </x:c>
      <x:c r="B6759" s="1" t="n">
        <x:v>7.5</x:v>
      </x:c>
      <x:c r="C6759" s="1" t="n">
        <x:v>6</x:v>
      </x:c>
      <x:c r="D6759" s="12" t="n">
        <x:v>0</x:v>
      </x:c>
      <x:c r="E6759" s="12" t="n">
        <x:v>0.25875000000000004</x:v>
      </x:c>
      <x:c r="F6759" s="12" t="n">
        <x:v>0.2544166666666666</x:v>
      </x:c>
      <x:c r="G6759" s="12" t="n">
        <x:v>0</x:v>
      </x:c>
      <x:c r="H6759" s="1" t="n">
        <x:f>'Historical prices'!E6759</x:f>
        <x:v>1.05</x:v>
      </x:c>
      <x:c r="I6759" s="6" t="n">
        <x:f>'Historical prices'!D6759</x:f>
        <x:v>0.35700000000000004</x:v>
      </x:c>
      <x:c r="J6759" s="13" t="n">
        <x:f>D6759*I6759*H6759</x:f>
        <x:v>0</x:v>
      </x:c>
      <x:c r="K6759" s="13" t="n">
        <x:f>E6759*I6759*H6759</x:f>
        <x:v>0.09699243750000003</x:v>
      </x:c>
      <x:c r="L6759" s="1" t="str">
        <x:f>TEXT(A6759,"mmm yyyy")</x:f>
        <x:v>Sep 2026</x:v>
      </x:c>
    </x:row>
    <x:row r="6760" ht="21" customHeight="1">
      <x:c r="A6760" s="10" t="n">
        <x:v>46289</x:v>
      </x:c>
      <x:c r="B6760" s="1" t="n">
        <x:v>8</x:v>
      </x:c>
      <x:c r="C6760" s="1" t="n">
        <x:v>6</x:v>
      </x:c>
      <x:c r="D6760" s="12" t="n">
        <x:v>0</x:v>
      </x:c>
      <x:c r="E6760" s="12" t="n">
        <x:v>0.25933333333333336</x:v>
      </x:c>
      <x:c r="F6760" s="12" t="n">
        <x:v>0.25841666666666663</x:v>
      </x:c>
      <x:c r="G6760" s="12" t="n">
        <x:v>0</x:v>
      </x:c>
      <x:c r="H6760" s="1" t="n">
        <x:f>'Historical prices'!E6760</x:f>
        <x:v>1.05</x:v>
      </x:c>
      <x:c r="I6760" s="6" t="n">
        <x:f>'Historical prices'!D6760</x:f>
        <x:v>0.3515</x:v>
      </x:c>
      <x:c r="J6760" s="13" t="n">
        <x:f>D6760*I6760*H6760</x:f>
        <x:v>0</x:v>
      </x:c>
      <x:c r="K6760" s="13" t="n">
        <x:f>E6760*I6760*H6760</x:f>
        <x:v>0.09571345000000002</x:v>
      </x:c>
      <x:c r="L6760" s="1" t="str">
        <x:f>TEXT(A6760,"mmm yyyy")</x:f>
        <x:v>Sep 2026</x:v>
      </x:c>
    </x:row>
    <x:row r="6761" ht="21" customHeight="1">
      <x:c r="A6761" s="10" t="n">
        <x:v>46289</x:v>
      </x:c>
      <x:c r="B6761" s="1" t="n">
        <x:v>8.5</x:v>
      </x:c>
      <x:c r="C6761" s="1" t="n">
        <x:v>6</x:v>
      </x:c>
      <x:c r="D6761" s="12" t="n">
        <x:v>0</x:v>
      </x:c>
      <x:c r="E6761" s="12" t="n">
        <x:v>0.26816666666666666</x:v>
      </x:c>
      <x:c r="F6761" s="12" t="n">
        <x:v>0.2673333333333333</x:v>
      </x:c>
      <x:c r="G6761" s="12" t="n">
        <x:v>0</x:v>
      </x:c>
      <x:c r="H6761" s="1" t="n">
        <x:f>'Historical prices'!E6761</x:f>
        <x:v>1.05</x:v>
      </x:c>
      <x:c r="I6761" s="6" t="n">
        <x:f>'Historical prices'!D6761</x:f>
        <x:v>0.315</x:v>
      </x:c>
      <x:c r="J6761" s="13" t="n">
        <x:f>D6761*I6761*H6761</x:f>
        <x:v>0</x:v>
      </x:c>
      <x:c r="K6761" s="13" t="n">
        <x:f>E6761*I6761*H6761</x:f>
        <x:v>0.08869612500000001</x:v>
      </x:c>
      <x:c r="L6761" s="1" t="str">
        <x:f>TEXT(A6761,"mmm yyyy")</x:f>
        <x:v>Sep 2026</x:v>
      </x:c>
    </x:row>
    <x:row r="6762" ht="21" customHeight="1">
      <x:c r="A6762" s="10" t="n">
        <x:v>46289</x:v>
      </x:c>
      <x:c r="B6762" s="1" t="n">
        <x:v>9</x:v>
      </x:c>
      <x:c r="C6762" s="1" t="n">
        <x:v>6</x:v>
      </x:c>
      <x:c r="D6762" s="12" t="n">
        <x:v>0</x:v>
      </x:c>
      <x:c r="E6762" s="12" t="n">
        <x:v>0.235</x:v>
      </x:c>
      <x:c r="F6762" s="12" t="n">
        <x:v>0.23441666666666666</x:v>
      </x:c>
      <x:c r="G6762" s="12" t="n">
        <x:v>0</x:v>
      </x:c>
      <x:c r="H6762" s="1" t="n">
        <x:f>'Historical prices'!E6762</x:f>
        <x:v>1.05</x:v>
      </x:c>
      <x:c r="I6762" s="6" t="n">
        <x:f>'Historical prices'!D6762</x:f>
        <x:v>0.2942</x:v>
      </x:c>
      <x:c r="J6762" s="13" t="n">
        <x:f>D6762*I6762*H6762</x:f>
        <x:v>0</x:v>
      </x:c>
      <x:c r="K6762" s="13" t="n">
        <x:f>E6762*I6762*H6762</x:f>
        <x:v>0.07259385</x:v>
      </x:c>
      <x:c r="L6762" s="1" t="str">
        <x:f>TEXT(A6762,"mmm yyyy")</x:f>
        <x:v>Sep 2026</x:v>
      </x:c>
    </x:row>
    <x:row r="6763" ht="21" customHeight="1">
      <x:c r="A6763" s="10" t="n">
        <x:v>46289</x:v>
      </x:c>
      <x:c r="B6763" s="1" t="n">
        <x:v>9.5</x:v>
      </x:c>
      <x:c r="C6763" s="1" t="n">
        <x:v>6</x:v>
      </x:c>
      <x:c r="D6763" s="12" t="n">
        <x:v>0</x:v>
      </x:c>
      <x:c r="E6763" s="12" t="n">
        <x:v>0.3158333333333333</x:v>
      </x:c>
      <x:c r="F6763" s="12" t="n">
        <x:v>0.3153333333333333</x:v>
      </x:c>
      <x:c r="G6763" s="12" t="n">
        <x:v>0</x:v>
      </x:c>
      <x:c r="H6763" s="1" t="n">
        <x:f>'Historical prices'!E6763</x:f>
        <x:v>1.05</x:v>
      </x:c>
      <x:c r="I6763" s="6" t="n">
        <x:f>'Historical prices'!D6763</x:f>
        <x:v>0.2491</x:v>
      </x:c>
      <x:c r="J6763" s="13" t="n">
        <x:f>D6763*I6763*H6763</x:f>
        <x:v>0</x:v>
      </x:c>
      <x:c r="K6763" s="13" t="n">
        <x:f>E6763*I6763*H6763</x:f>
        <x:v>0.0826077875</x:v>
      </x:c>
      <x:c r="L6763" s="1" t="str">
        <x:f>TEXT(A6763,"mmm yyyy")</x:f>
        <x:v>Sep 2026</x:v>
      </x:c>
    </x:row>
    <x:row r="6764" ht="21" customHeight="1">
      <x:c r="A6764" s="10" t="n">
        <x:v>46289</x:v>
      </x:c>
      <x:c r="B6764" s="1" t="n">
        <x:v>10</x:v>
      </x:c>
      <x:c r="C6764" s="1" t="n">
        <x:v>6</x:v>
      </x:c>
      <x:c r="D6764" s="12" t="n">
        <x:v>0</x:v>
      </x:c>
      <x:c r="E6764" s="12" t="n">
        <x:v>0.24691666666666667</x:v>
      </x:c>
      <x:c r="F6764" s="12" t="n">
        <x:v>0.24633333333333335</x:v>
      </x:c>
      <x:c r="G6764" s="12" t="n">
        <x:v>0</x:v>
      </x:c>
      <x:c r="H6764" s="1" t="n">
        <x:f>'Historical prices'!E6764</x:f>
        <x:v>1.05</x:v>
      </x:c>
      <x:c r="I6764" s="6" t="n">
        <x:f>'Historical prices'!D6764</x:f>
        <x:v>0.2816</x:v>
      </x:c>
      <x:c r="J6764" s="13" t="n">
        <x:f>D6764*I6764*H6764</x:f>
        <x:v>0</x:v>
      </x:c>
      <x:c r="K6764" s="13" t="n">
        <x:f>E6764*I6764*H6764</x:f>
        <x:v>0.07300832000000002</x:v>
      </x:c>
      <x:c r="L6764" s="1" t="str">
        <x:f>TEXT(A6764,"mmm yyyy")</x:f>
        <x:v>Sep 2026</x:v>
      </x:c>
    </x:row>
    <x:row r="6765" ht="21" customHeight="1">
      <x:c r="A6765" s="10" t="n">
        <x:v>46289</x:v>
      </x:c>
      <x:c r="B6765" s="1" t="n">
        <x:v>10.5</x:v>
      </x:c>
      <x:c r="C6765" s="1" t="n">
        <x:v>6</x:v>
      </x:c>
      <x:c r="D6765" s="12" t="n">
        <x:v>0</x:v>
      </x:c>
      <x:c r="E6765" s="12" t="n">
        <x:v>0.26775</x:v>
      </x:c>
      <x:c r="F6765" s="12" t="n">
        <x:v>0.2673333333333333</x:v>
      </x:c>
      <x:c r="G6765" s="12" t="n">
        <x:v>0</x:v>
      </x:c>
      <x:c r="H6765" s="1" t="n">
        <x:f>'Historical prices'!E6765</x:f>
        <x:v>1.05</x:v>
      </x:c>
      <x:c r="I6765" s="6" t="n">
        <x:f>'Historical prices'!D6765</x:f>
        <x:v>0.26039999999999996</x:v>
      </x:c>
      <x:c r="J6765" s="13" t="n">
        <x:f>D6765*I6765*H6765</x:f>
        <x:v>0</x:v>
      </x:c>
      <x:c r="K6765" s="13" t="n">
        <x:f>E6765*I6765*H6765</x:f>
        <x:v>0.07320820499999998</x:v>
      </x:c>
      <x:c r="L6765" s="1" t="str">
        <x:f>TEXT(A6765,"mmm yyyy")</x:f>
        <x:v>Sep 2026</x:v>
      </x:c>
    </x:row>
    <x:row r="6766" ht="21" customHeight="1">
      <x:c r="A6766" s="10" t="n">
        <x:v>46289</x:v>
      </x:c>
      <x:c r="B6766" s="1" t="n">
        <x:v>11</x:v>
      </x:c>
      <x:c r="C6766" s="1" t="n">
        <x:v>6</x:v>
      </x:c>
      <x:c r="D6766" s="12" t="n">
        <x:v>0</x:v>
      </x:c>
      <x:c r="E6766" s="12" t="n">
        <x:v>0.26708333333333334</x:v>
      </x:c>
      <x:c r="F6766" s="12" t="n">
        <x:v>0.26616666666666666</x:v>
      </x:c>
      <x:c r="G6766" s="12" t="n">
        <x:v>0</x:v>
      </x:c>
      <x:c r="H6766" s="1" t="n">
        <x:f>'Historical prices'!E6766</x:f>
        <x:v>1.05</x:v>
      </x:c>
      <x:c r="I6766" s="6" t="n">
        <x:f>'Historical prices'!D6766</x:f>
        <x:v>0.22699999999999998</x:v>
      </x:c>
      <x:c r="J6766" s="13" t="n">
        <x:f>D6766*I6766*H6766</x:f>
        <x:v>0</x:v>
      </x:c>
      <x:c r="K6766" s="13" t="n">
        <x:f>E6766*I6766*H6766</x:f>
        <x:v>0.0636593125</x:v>
      </x:c>
      <x:c r="L6766" s="1" t="str">
        <x:f>TEXT(A6766,"mmm yyyy")</x:f>
        <x:v>Sep 2026</x:v>
      </x:c>
    </x:row>
    <x:row r="6767" ht="21" customHeight="1">
      <x:c r="A6767" s="10" t="n">
        <x:v>46289</x:v>
      </x:c>
      <x:c r="B6767" s="1" t="n">
        <x:v>11.5</x:v>
      </x:c>
      <x:c r="C6767" s="1" t="n">
        <x:v>6</x:v>
      </x:c>
      <x:c r="D6767" s="12" t="n">
        <x:v>0.13874999999999998</x:v>
      </x:c>
      <x:c r="E6767" s="12" t="n">
        <x:v>0.18583333333333332</x:v>
      </x:c>
      <x:c r="F6767" s="12" t="n">
        <x:v>0.037</x:v>
      </x:c>
      <x:c r="G6767" s="12" t="n">
        <x:v>0</x:v>
      </x:c>
      <x:c r="H6767" s="1" t="n">
        <x:f>'Historical prices'!E6767</x:f>
        <x:v>1.05</x:v>
      </x:c>
      <x:c r="I6767" s="6" t="n">
        <x:f>'Historical prices'!D6767</x:f>
        <x:v>0.18960000000000002</x:v>
      </x:c>
      <x:c r="J6767" s="13" t="n">
        <x:f>D6767*I6767*H6767</x:f>
        <x:v>0.02762235</x:v>
      </x:c>
      <x:c r="K6767" s="13" t="n">
        <x:f>E6767*I6767*H6767</x:f>
        <x:v>0.036995700000000006</x:v>
      </x:c>
      <x:c r="L6767" s="1" t="str">
        <x:f>TEXT(A6767,"mmm yyyy")</x:f>
        <x:v>Sep 2026</x:v>
      </x:c>
    </x:row>
    <x:row r="6768" ht="21" customHeight="1">
      <x:c r="A6768" s="10" t="n">
        <x:v>46289</x:v>
      </x:c>
      <x:c r="B6768" s="1" t="n">
        <x:v>12</x:v>
      </x:c>
      <x:c r="C6768" s="1" t="n">
        <x:v>6</x:v>
      </x:c>
      <x:c r="D6768" s="12" t="n">
        <x:v>0.12325000000000001</x:v>
      </x:c>
      <x:c r="E6768" s="12" t="n">
        <x:v>0.13425</x:v>
      </x:c>
      <x:c r="F6768" s="12" t="n">
        <x:v>0</x:v>
      </x:c>
      <x:c r="G6768" s="12" t="n">
        <x:v>0</x:v>
      </x:c>
      <x:c r="H6768" s="1" t="n">
        <x:f>'Historical prices'!E6768</x:f>
        <x:v>1.05</x:v>
      </x:c>
      <x:c r="I6768" s="6" t="n">
        <x:f>'Historical prices'!D6768</x:f>
        <x:v>0.20329999999999998</x:v>
      </x:c>
      <x:c r="J6768" s="13" t="n">
        <x:f>D6768*I6768*H6768</x:f>
        <x:v>0.02630956125</x:v>
      </x:c>
      <x:c r="K6768" s="13" t="n">
        <x:f>E6768*I6768*H6768</x:f>
        <x:v>0.02865767625</x:v>
      </x:c>
      <x:c r="L6768" s="1" t="str">
        <x:f>TEXT(A6768,"mmm yyyy")</x:f>
        <x:v>Sep 2026</x:v>
      </x:c>
    </x:row>
    <x:row r="6769" ht="21" customHeight="1">
      <x:c r="A6769" s="10" t="n">
        <x:v>46289</x:v>
      </x:c>
      <x:c r="B6769" s="1" t="n">
        <x:v>12.5</x:v>
      </x:c>
      <x:c r="C6769" s="1" t="n">
        <x:v>6</x:v>
      </x:c>
      <x:c r="D6769" s="12" t="n">
        <x:v>0.16975</x:v>
      </x:c>
      <x:c r="E6769" s="12" t="n">
        <x:v>0.17975000000000002</x:v>
      </x:c>
      <x:c r="F6769" s="12" t="n">
        <x:v>0</x:v>
      </x:c>
      <x:c r="G6769" s="12" t="n">
        <x:v>0</x:v>
      </x:c>
      <x:c r="H6769" s="1" t="n">
        <x:f>'Historical prices'!E6769</x:f>
        <x:v>1.05</x:v>
      </x:c>
      <x:c r="I6769" s="6" t="n">
        <x:f>'Historical prices'!D6769</x:f>
        <x:v>0.1943</x:v>
      </x:c>
      <x:c r="J6769" s="13" t="n">
        <x:f>D6769*I6769*H6769</x:f>
        <x:v>0.034631546250000006</x:v>
      </x:c>
      <x:c r="K6769" s="13" t="n">
        <x:f>E6769*I6769*H6769</x:f>
        <x:v>0.036671696250000003</x:v>
      </x:c>
      <x:c r="L6769" s="1" t="str">
        <x:f>TEXT(A6769,"mmm yyyy")</x:f>
        <x:v>Sep 2026</x:v>
      </x:c>
    </x:row>
    <x:row r="6770" ht="21" customHeight="1">
      <x:c r="A6770" s="10" t="n">
        <x:v>46289</x:v>
      </x:c>
      <x:c r="B6770" s="1" t="n">
        <x:v>13</x:v>
      </x:c>
      <x:c r="C6770" s="1" t="n">
        <x:v>6</x:v>
      </x:c>
      <x:c r="D6770" s="12" t="n">
        <x:v>0.19075</x:v>
      </x:c>
      <x:c r="E6770" s="12" t="n">
        <x:v>0.20074999999999998</x:v>
      </x:c>
      <x:c r="F6770" s="12" t="n">
        <x:v>0</x:v>
      </x:c>
      <x:c r="G6770" s="12" t="n">
        <x:v>0</x:v>
      </x:c>
      <x:c r="H6770" s="1" t="n">
        <x:f>'Historical prices'!E6770</x:f>
        <x:v>1.05</x:v>
      </x:c>
      <x:c r="I6770" s="6" t="n">
        <x:f>'Historical prices'!D6770</x:f>
        <x:v>0.1972</x:v>
      </x:c>
      <x:c r="J6770" s="13" t="n">
        <x:f>D6770*I6770*H6770</x:f>
        <x:v>0.039496695000000005</x:v>
      </x:c>
      <x:c r="K6770" s="13" t="n">
        <x:f>E6770*I6770*H6770</x:f>
        <x:v>0.041567295</x:v>
      </x:c>
      <x:c r="L6770" s="1" t="str">
        <x:f>TEXT(A6770,"mmm yyyy")</x:f>
        <x:v>Sep 2026</x:v>
      </x:c>
    </x:row>
    <x:row r="6771" ht="21" customHeight="1">
      <x:c r="A6771" s="10" t="n">
        <x:v>46289</x:v>
      </x:c>
      <x:c r="B6771" s="1" t="n">
        <x:v>13.5</x:v>
      </x:c>
      <x:c r="C6771" s="1" t="n">
        <x:v>6</x:v>
      </x:c>
      <x:c r="D6771" s="12" t="n">
        <x:v>3.7802499999999997</x:v>
      </x:c>
      <x:c r="E6771" s="12" t="n">
        <x:v>0.39725</x:v>
      </x:c>
      <x:c r="F6771" s="12" t="n">
        <x:v>0</x:v>
      </x:c>
      <x:c r="G6771" s="12" t="n">
        <x:v>3.3850000000000007</x:v>
      </x:c>
      <x:c r="H6771" s="1" t="n">
        <x:f>'Historical prices'!E6771</x:f>
        <x:v>1.05</x:v>
      </x:c>
      <x:c r="I6771" s="6" t="n">
        <x:f>'Historical prices'!D6771</x:f>
        <x:v>0.1751</x:v>
      </x:c>
      <x:c r="J6771" s="13" t="n">
        <x:f>D6771*I6771*H6771</x:f>
        <x:v>0.69501786375</x:v>
      </x:c>
      <x:c r="K6771" s="13" t="n">
        <x:f>E6771*I6771*H6771</x:f>
        <x:v>0.07303639875</x:v>
      </x:c>
      <x:c r="L6771" s="1" t="str">
        <x:f>TEXT(A6771,"mmm yyyy")</x:f>
        <x:v>Sep 2026</x:v>
      </x:c>
    </x:row>
    <x:row r="6772" ht="21" customHeight="1">
      <x:c r="A6772" s="10" t="n">
        <x:v>46289</x:v>
      </x:c>
      <x:c r="B6772" s="1" t="n">
        <x:v>14</x:v>
      </x:c>
      <x:c r="C6772" s="1" t="n">
        <x:v>6</x:v>
      </x:c>
      <x:c r="D6772" s="12" t="n">
        <x:v>4.5169999999999995</x:v>
      </x:c>
      <x:c r="E6772" s="12" t="n">
        <x:v>0.40299999999999997</x:v>
      </x:c>
      <x:c r="F6772" s="12" t="n">
        <x:v>0</x:v>
      </x:c>
      <x:c r="G6772" s="12" t="n">
        <x:v>4.114</x:v>
      </x:c>
      <x:c r="H6772" s="1" t="n">
        <x:f>'Historical prices'!E6772</x:f>
        <x:v>1.05</x:v>
      </x:c>
      <x:c r="I6772" s="6" t="n">
        <x:f>'Historical prices'!D6772</x:f>
        <x:v>0.17850000000000002</x:v>
      </x:c>
      <x:c r="J6772" s="13" t="n">
        <x:f>D6772*I6772*H6772</x:f>
        <x:v>0.846598725</x:v>
      </x:c>
      <x:c r="K6772" s="13" t="n">
        <x:f>E6772*I6772*H6772</x:f>
        <x:v>0.075532275</x:v>
      </x:c>
      <x:c r="L6772" s="1" t="str">
        <x:f>TEXT(A6772,"mmm yyyy")</x:f>
        <x:v>Sep 2026</x:v>
      </x:c>
    </x:row>
    <x:row r="6773" ht="21" customHeight="1">
      <x:c r="A6773" s="10" t="n">
        <x:v>46289</x:v>
      </x:c>
      <x:c r="B6773" s="1" t="n">
        <x:v>14.5</x:v>
      </x:c>
      <x:c r="C6773" s="1" t="n">
        <x:v>6</x:v>
      </x:c>
      <x:c r="D6773" s="12" t="n">
        <x:v>0.943</x:v>
      </x:c>
      <x:c r="E6773" s="12" t="n">
        <x:v>0.263</x:v>
      </x:c>
      <x:c r="F6773" s="12" t="n">
        <x:v>0</x:v>
      </x:c>
      <x:c r="G6773" s="12" t="n">
        <x:v>0.684</x:v>
      </x:c>
      <x:c r="H6773" s="1" t="n">
        <x:f>'Historical prices'!E6773</x:f>
        <x:v>1.05</x:v>
      </x:c>
      <x:c r="I6773" s="6" t="n">
        <x:f>'Historical prices'!D6773</x:f>
        <x:v>0.18100000000000002</x:v>
      </x:c>
      <x:c r="J6773" s="13" t="n">
        <x:f>D6773*I6773*H6773</x:f>
        <x:v>0.17921715000000002</x:v>
      </x:c>
      <x:c r="K6773" s="13" t="n">
        <x:f>E6773*I6773*H6773</x:f>
        <x:v>0.04998315000000001</x:v>
      </x:c>
      <x:c r="L6773" s="1" t="str">
        <x:f>TEXT(A6773,"mmm yyyy")</x:f>
        <x:v>Sep 2026</x:v>
      </x:c>
    </x:row>
    <x:row r="6774" ht="21" customHeight="1">
      <x:c r="A6774" s="10" t="n">
        <x:v>46289</x:v>
      </x:c>
      <x:c r="B6774" s="1" t="n">
        <x:v>15</x:v>
      </x:c>
      <x:c r="C6774" s="1" t="n">
        <x:v>6</x:v>
      </x:c>
      <x:c r="D6774" s="12" t="n">
        <x:v>0.16674999999999998</x:v>
      </x:c>
      <x:c r="E6774" s="12" t="n">
        <x:v>0.17675</x:v>
      </x:c>
      <x:c r="F6774" s="12" t="n">
        <x:v>0</x:v>
      </x:c>
      <x:c r="G6774" s="12" t="n">
        <x:v>0</x:v>
      </x:c>
      <x:c r="H6774" s="1" t="n">
        <x:f>'Historical prices'!E6774</x:f>
        <x:v>1.05</x:v>
      </x:c>
      <x:c r="I6774" s="6" t="n">
        <x:f>'Historical prices'!D6774</x:f>
        <x:v>0.1863</x:v>
      </x:c>
      <x:c r="J6774" s="13" t="n">
        <x:f>D6774*I6774*H6774</x:f>
        <x:v>0.032618801249999996</x:v>
      </x:c>
      <x:c r="K6774" s="13" t="n">
        <x:f>E6774*I6774*H6774</x:f>
        <x:v>0.03457495125</x:v>
      </x:c>
      <x:c r="L6774" s="1" t="str">
        <x:f>TEXT(A6774,"mmm yyyy")</x:f>
        <x:v>Sep 2026</x:v>
      </x:c>
    </x:row>
    <x:row r="6775" ht="21" customHeight="1">
      <x:c r="A6775" s="10" t="n">
        <x:v>46289</x:v>
      </x:c>
      <x:c r="B6775" s="1" t="n">
        <x:v>15.5</x:v>
      </x:c>
      <x:c r="C6775" s="1" t="n">
        <x:v>6</x:v>
      </x:c>
      <x:c r="D6775" s="12" t="n">
        <x:v>0.16425</x:v>
      </x:c>
      <x:c r="E6775" s="12" t="n">
        <x:v>0.17525000000000002</x:v>
      </x:c>
      <x:c r="F6775" s="12" t="n">
        <x:v>0</x:v>
      </x:c>
      <x:c r="G6775" s="12" t="n">
        <x:v>0</x:v>
      </x:c>
      <x:c r="H6775" s="1" t="n">
        <x:f>'Historical prices'!E6775</x:f>
        <x:v>1.05</x:v>
      </x:c>
      <x:c r="I6775" s="6" t="n">
        <x:f>'Historical prices'!D6775</x:f>
        <x:v>0.20920000000000002</x:v>
      </x:c>
      <x:c r="J6775" s="13" t="n">
        <x:f>D6775*I6775*H6775</x:f>
        <x:v>0.03607915500000001</x:v>
      </x:c>
      <x:c r="K6775" s="13" t="n">
        <x:f>E6775*I6775*H6775</x:f>
        <x:v>0.03849541500000001</x:v>
      </x:c>
      <x:c r="L6775" s="1" t="str">
        <x:f>TEXT(A6775,"mmm yyyy")</x:f>
        <x:v>Sep 2026</x:v>
      </x:c>
    </x:row>
    <x:row r="6776" ht="21" customHeight="1">
      <x:c r="A6776" s="10" t="n">
        <x:v>46289</x:v>
      </x:c>
      <x:c r="B6776" s="1" t="n">
        <x:v>16</x:v>
      </x:c>
      <x:c r="C6776" s="1" t="n">
        <x:v>6</x:v>
      </x:c>
      <x:c r="D6776" s="12" t="n">
        <x:v>0.03125</x:v>
      </x:c>
      <x:c r="E6776" s="12" t="n">
        <x:v>0.24216666666666664</x:v>
      </x:c>
      <x:c r="F6776" s="12" t="n">
        <x:v>0.20875</x:v>
      </x:c>
      <x:c r="G6776" s="12" t="n">
        <x:v>0</x:v>
      </x:c>
      <x:c r="H6776" s="1" t="n">
        <x:f>'Historical prices'!E6776</x:f>
        <x:v>1.05</x:v>
      </x:c>
      <x:c r="I6776" s="6" t="n">
        <x:f>'Historical prices'!D6776</x:f>
        <x:v>0.38689999999999997</x:v>
      </x:c>
      <x:c r="J6776" s="13" t="n">
        <x:f>D6776*I6776*H6776</x:f>
        <x:v>0.012695156249999999</x:v>
      </x:c>
      <x:c r="K6776" s="13" t="n">
        <x:f>E6776*I6776*H6776</x:f>
        <x:v>0.09837899749999998</x:v>
      </x:c>
      <x:c r="L6776" s="1" t="str">
        <x:f>TEXT(A6776,"mmm yyyy")</x:f>
        <x:v>Sep 2026</x:v>
      </x:c>
    </x:row>
    <x:row r="6777" ht="21" customHeight="1">
      <x:c r="A6777" s="10" t="n">
        <x:v>46289</x:v>
      </x:c>
      <x:c r="B6777" s="1" t="n">
        <x:v>16.5</x:v>
      </x:c>
      <x:c r="C6777" s="1" t="n">
        <x:v>6</x:v>
      </x:c>
      <x:c r="D6777" s="12" t="n">
        <x:v>0</x:v>
      </x:c>
      <x:c r="E6777" s="12" t="n">
        <x:v>0.22283333333333333</x:v>
      </x:c>
      <x:c r="F6777" s="12" t="n">
        <x:v>0.22241666666666668</x:v>
      </x:c>
      <x:c r="G6777" s="12" t="n">
        <x:v>0</x:v>
      </x:c>
      <x:c r="H6777" s="1" t="n">
        <x:f>'Historical prices'!E6777</x:f>
        <x:v>1.05</x:v>
      </x:c>
      <x:c r="I6777" s="6" t="n">
        <x:f>'Historical prices'!D6777</x:f>
        <x:v>0.40130000000000005</x:v>
      </x:c>
      <x:c r="J6777" s="13" t="n">
        <x:f>D6777*I6777*H6777</x:f>
        <x:v>0</x:v>
      </x:c>
      <x:c r="K6777" s="13" t="n">
        <x:f>E6777*I6777*H6777</x:f>
        <x:v>0.09389416750000001</x:v>
      </x:c>
      <x:c r="L6777" s="1" t="str">
        <x:f>TEXT(A6777,"mmm yyyy")</x:f>
        <x:v>Sep 2026</x:v>
      </x:c>
    </x:row>
    <x:row r="6778" ht="21" customHeight="1">
      <x:c r="A6778" s="10" t="n">
        <x:v>46289</x:v>
      </x:c>
      <x:c r="B6778" s="1" t="n">
        <x:v>17</x:v>
      </x:c>
      <x:c r="C6778" s="1" t="n">
        <x:v>6</x:v>
      </x:c>
      <x:c r="D6778" s="12" t="n">
        <x:v>0</x:v>
      </x:c>
      <x:c r="E6778" s="12" t="n">
        <x:v>0.24525</x:v>
      </x:c>
      <x:c r="F6778" s="12" t="n">
        <x:v>0.24466666666666664</x:v>
      </x:c>
      <x:c r="G6778" s="12" t="n">
        <x:v>0</x:v>
      </x:c>
      <x:c r="H6778" s="1" t="n">
        <x:f>'Historical prices'!E6778</x:f>
        <x:v>1.05</x:v>
      </x:c>
      <x:c r="I6778" s="6" t="n">
        <x:f>'Historical prices'!D6778</x:f>
        <x:v>0.4592</x:v>
      </x:c>
      <x:c r="J6778" s="13" t="n">
        <x:f>D6778*I6778*H6778</x:f>
        <x:v>0</x:v>
      </x:c>
      <x:c r="K6778" s="13" t="n">
        <x:f>E6778*I6778*H6778</x:f>
        <x:v>0.11824973999999999</x:v>
      </x:c>
      <x:c r="L6778" s="1" t="str">
        <x:f>TEXT(A6778,"mmm yyyy")</x:f>
        <x:v>Sep 2026</x:v>
      </x:c>
    </x:row>
    <x:row r="6779" ht="21" customHeight="1">
      <x:c r="A6779" s="10" t="n">
        <x:v>46289</x:v>
      </x:c>
      <x:c r="B6779" s="1" t="n">
        <x:v>17.5</x:v>
      </x:c>
      <x:c r="C6779" s="1" t="n">
        <x:v>6</x:v>
      </x:c>
      <x:c r="D6779" s="12" t="n">
        <x:v>0</x:v>
      </x:c>
      <x:c r="E6779" s="12" t="n">
        <x:v>0.3261666666666666</x:v>
      </x:c>
      <x:c r="F6779" s="12" t="n">
        <x:v>0.32575</x:v>
      </x:c>
      <x:c r="G6779" s="12" t="n">
        <x:v>0</x:v>
      </x:c>
      <x:c r="H6779" s="1" t="n">
        <x:f>'Historical prices'!E6779</x:f>
        <x:v>1.05</x:v>
      </x:c>
      <x:c r="I6779" s="6" t="n">
        <x:f>'Historical prices'!D6779</x:f>
        <x:v>0.46740000000000004</x:v>
      </x:c>
      <x:c r="J6779" s="13" t="n">
        <x:f>D6779*I6779*H6779</x:f>
        <x:v>0</x:v>
      </x:c>
      <x:c r="K6779" s="13" t="n">
        <x:f>E6779*I6779*H6779</x:f>
        <x:v>0.16007281499999998</x:v>
      </x:c>
      <x:c r="L6779" s="1" t="str">
        <x:f>TEXT(A6779,"mmm yyyy")</x:f>
        <x:v>Sep 2026</x:v>
      </x:c>
    </x:row>
    <x:row r="6780" ht="21" customHeight="1">
      <x:c r="A6780" s="10" t="n">
        <x:v>46289</x:v>
      </x:c>
      <x:c r="B6780" s="1" t="n">
        <x:v>18</x:v>
      </x:c>
      <x:c r="C6780" s="1" t="n">
        <x:v>6</x:v>
      </x:c>
      <x:c r="D6780" s="12" t="n">
        <x:v>0</x:v>
      </x:c>
      <x:c r="E6780" s="12" t="n">
        <x:v>0.23633333333333334</x:v>
      </x:c>
      <x:c r="F6780" s="12" t="n">
        <x:v>0.23558333333333334</x:v>
      </x:c>
      <x:c r="G6780" s="12" t="n">
        <x:v>0</x:v>
      </x:c>
      <x:c r="H6780" s="1" t="n">
        <x:f>'Historical prices'!E6780</x:f>
        <x:v>1.05</x:v>
      </x:c>
      <x:c r="I6780" s="6" t="n">
        <x:f>'Historical prices'!D6780</x:f>
        <x:v>0.47119999999999995</x:v>
      </x:c>
      <x:c r="J6780" s="13" t="n">
        <x:f>D6780*I6780*H6780</x:f>
        <x:v>0</x:v>
      </x:c>
      <x:c r="K6780" s="13" t="n">
        <x:f>E6780*I6780*H6780</x:f>
        <x:v>0.11692828</x:v>
      </x:c>
      <x:c r="L6780" s="1" t="str">
        <x:f>TEXT(A6780,"mmm yyyy")</x:f>
        <x:v>Sep 2026</x:v>
      </x:c>
    </x:row>
    <x:row r="6781" ht="21" customHeight="1">
      <x:c r="A6781" s="10" t="n">
        <x:v>46289</x:v>
      </x:c>
      <x:c r="B6781" s="1" t="n">
        <x:v>18.5</x:v>
      </x:c>
      <x:c r="C6781" s="1" t="n">
        <x:v>6</x:v>
      </x:c>
      <x:c r="D6781" s="12" t="n">
        <x:v>0</x:v>
      </x:c>
      <x:c r="E6781" s="12" t="n">
        <x:v>0.26508333333333334</x:v>
      </x:c>
      <x:c r="F6781" s="12" t="n">
        <x:v>0.2648333333333333</x:v>
      </x:c>
      <x:c r="G6781" s="12" t="n">
        <x:v>0</x:v>
      </x:c>
      <x:c r="H6781" s="1" t="n">
        <x:f>'Historical prices'!E6781</x:f>
        <x:v>1.05</x:v>
      </x:c>
      <x:c r="I6781" s="6" t="n">
        <x:f>'Historical prices'!D6781</x:f>
        <x:v>0.48210000000000003</x:v>
      </x:c>
      <x:c r="J6781" s="13" t="n">
        <x:f>D6781*I6781*H6781</x:f>
        <x:v>0</x:v>
      </x:c>
      <x:c r="K6781" s="13" t="n">
        <x:f>E6781*I6781*H6781</x:f>
        <x:v>0.13418650875000002</x:v>
      </x:c>
      <x:c r="L6781" s="1" t="str">
        <x:f>TEXT(A6781,"mmm yyyy")</x:f>
        <x:v>Sep 2026</x:v>
      </x:c>
    </x:row>
    <x:row r="6782" ht="21" customHeight="1">
      <x:c r="A6782" s="10" t="n">
        <x:v>46289</x:v>
      </x:c>
      <x:c r="B6782" s="1" t="n">
        <x:v>19</x:v>
      </x:c>
      <x:c r="C6782" s="1" t="n">
        <x:v>6</x:v>
      </x:c>
      <x:c r="D6782" s="12" t="n">
        <x:v>0</x:v>
      </x:c>
      <x:c r="E6782" s="12" t="n">
        <x:v>0.31691666666666674</x:v>
      </x:c>
      <x:c r="F6782" s="12" t="n">
        <x:v>0.316</x:v>
      </x:c>
      <x:c r="G6782" s="12" t="n">
        <x:v>0</x:v>
      </x:c>
      <x:c r="H6782" s="1" t="n">
        <x:f>'Historical prices'!E6782</x:f>
        <x:v>1.05</x:v>
      </x:c>
      <x:c r="I6782" s="6" t="n">
        <x:f>'Historical prices'!D6782</x:f>
        <x:v>0.3703</x:v>
      </x:c>
      <x:c r="J6782" s="13" t="n">
        <x:f>D6782*I6782*H6782</x:f>
        <x:v>0</x:v>
      </x:c>
      <x:c r="K6782" s="13" t="n">
        <x:f>E6782*I6782*H6782</x:f>
        <x:v>0.12322195375000003</x:v>
      </x:c>
      <x:c r="L6782" s="1" t="str">
        <x:f>TEXT(A6782,"mmm yyyy")</x:f>
        <x:v>Sep 2026</x:v>
      </x:c>
    </x:row>
    <x:row r="6783" ht="21" customHeight="1">
      <x:c r="A6783" s="10" t="n">
        <x:v>46289</x:v>
      </x:c>
      <x:c r="B6783" s="1" t="n">
        <x:v>19.5</x:v>
      </x:c>
      <x:c r="C6783" s="1" t="n">
        <x:v>6</x:v>
      </x:c>
      <x:c r="D6783" s="12" t="n">
        <x:v>0</x:v>
      </x:c>
      <x:c r="E6783" s="12" t="n">
        <x:v>0.2519166666666667</x:v>
      </x:c>
      <x:c r="F6783" s="12" t="n">
        <x:v>0.25166666666666665</x:v>
      </x:c>
      <x:c r="G6783" s="12" t="n">
        <x:v>0</x:v>
      </x:c>
      <x:c r="H6783" s="1" t="n">
        <x:f>'Historical prices'!E6783</x:f>
        <x:v>1.05</x:v>
      </x:c>
      <x:c r="I6783" s="6" t="n">
        <x:f>'Historical prices'!D6783</x:f>
        <x:v>0.37420000000000003</x:v>
      </x:c>
      <x:c r="J6783" s="13" t="n">
        <x:f>D6783*I6783*H6783</x:f>
        <x:v>0</x:v>
      </x:c>
      <x:c r="K6783" s="13" t="n">
        <x:f>E6783*I6783*H6783</x:f>
        <x:v>0.09898057750000001</x:v>
      </x:c>
      <x:c r="L6783" s="1" t="str">
        <x:f>TEXT(A6783,"mmm yyyy")</x:f>
        <x:v>Sep 2026</x:v>
      </x:c>
    </x:row>
    <x:row r="6784" ht="21" customHeight="1">
      <x:c r="A6784" s="10" t="n">
        <x:v>46289</x:v>
      </x:c>
      <x:c r="B6784" s="1" t="n">
        <x:v>20</x:v>
      </x:c>
      <x:c r="C6784" s="1" t="n">
        <x:v>6</x:v>
      </x:c>
      <x:c r="D6784" s="12" t="n">
        <x:v>0</x:v>
      </x:c>
      <x:c r="E6784" s="12" t="n">
        <x:v>0.23525000000000001</x:v>
      </x:c>
      <x:c r="F6784" s="12" t="n">
        <x:v>0.23433333333333334</x:v>
      </x:c>
      <x:c r="G6784" s="12" t="n">
        <x:v>0</x:v>
      </x:c>
      <x:c r="H6784" s="1" t="n">
        <x:f>'Historical prices'!E6784</x:f>
        <x:v>1.05</x:v>
      </x:c>
      <x:c r="I6784" s="6" t="n">
        <x:f>'Historical prices'!D6784</x:f>
        <x:v>0.3824</x:v>
      </x:c>
      <x:c r="J6784" s="13" t="n">
        <x:f>D6784*I6784*H6784</x:f>
        <x:v>0</x:v>
      </x:c>
      <x:c r="K6784" s="13" t="n">
        <x:f>E6784*I6784*H6784</x:f>
        <x:v>0.09445758000000001</x:v>
      </x:c>
      <x:c r="L6784" s="1" t="str">
        <x:f>TEXT(A6784,"mmm yyyy")</x:f>
        <x:v>Sep 2026</x:v>
      </x:c>
    </x:row>
    <x:row r="6785" ht="21" customHeight="1">
      <x:c r="A6785" s="10" t="n">
        <x:v>46289</x:v>
      </x:c>
      <x:c r="B6785" s="1" t="n">
        <x:v>20.5</x:v>
      </x:c>
      <x:c r="C6785" s="1" t="n">
        <x:v>6</x:v>
      </x:c>
      <x:c r="D6785" s="12" t="n">
        <x:v>0</x:v>
      </x:c>
      <x:c r="E6785" s="12" t="n">
        <x:v>0.30408333333333337</x:v>
      </x:c>
      <x:c r="F6785" s="12" t="n">
        <x:v>0.2980833333333333</x:v>
      </x:c>
      <x:c r="G6785" s="12" t="n">
        <x:v>0</x:v>
      </x:c>
      <x:c r="H6785" s="1" t="n">
        <x:f>'Historical prices'!E6785</x:f>
        <x:v>1.05</x:v>
      </x:c>
      <x:c r="I6785" s="6" t="n">
        <x:f>'Historical prices'!D6785</x:f>
        <x:v>0.3666</x:v>
      </x:c>
      <x:c r="J6785" s="13" t="n">
        <x:f>D6785*I6785*H6785</x:f>
        <x:v>0</x:v>
      </x:c>
      <x:c r="K6785" s="13" t="n">
        <x:f>E6785*I6785*H6785</x:f>
        <x:v>0.11705079750000001</x:v>
      </x:c>
      <x:c r="L6785" s="1" t="str">
        <x:f>TEXT(A6785,"mmm yyyy")</x:f>
        <x:v>Sep 2026</x:v>
      </x:c>
    </x:row>
    <x:row r="6786" ht="21" customHeight="1">
      <x:c r="A6786" s="10" t="n">
        <x:v>46289</x:v>
      </x:c>
      <x:c r="B6786" s="1" t="n">
        <x:v>21</x:v>
      </x:c>
      <x:c r="C6786" s="1" t="n">
        <x:v>6</x:v>
      </x:c>
      <x:c r="D6786" s="12" t="n">
        <x:v>0</x:v>
      </x:c>
      <x:c r="E6786" s="12" t="n">
        <x:v>0.28591666666666665</x:v>
      </x:c>
      <x:c r="F6786" s="12" t="n">
        <x:v>0.28541666666666665</x:v>
      </x:c>
      <x:c r="G6786" s="12" t="n">
        <x:v>0</x:v>
      </x:c>
      <x:c r="H6786" s="1" t="n">
        <x:f>'Historical prices'!E6786</x:f>
        <x:v>1.05</x:v>
      </x:c>
      <x:c r="I6786" s="6" t="n">
        <x:f>'Historical prices'!D6786</x:f>
        <x:v>0.33590000000000003</x:v>
      </x:c>
      <x:c r="J6786" s="13" t="n">
        <x:f>D6786*I6786*H6786</x:f>
        <x:v>0</x:v>
      </x:c>
      <x:c r="K6786" s="13" t="n">
        <x:f>E6786*I6786*H6786</x:f>
        <x:v>0.10084137875000002</x:v>
      </x:c>
      <x:c r="L6786" s="1" t="str">
        <x:f>TEXT(A6786,"mmm yyyy")</x:f>
        <x:v>Sep 2026</x:v>
      </x:c>
    </x:row>
    <x:row r="6787" ht="21" customHeight="1">
      <x:c r="A6787" s="10" t="n">
        <x:v>46289</x:v>
      </x:c>
      <x:c r="B6787" s="1" t="n">
        <x:v>21.5</x:v>
      </x:c>
      <x:c r="C6787" s="1" t="n">
        <x:v>6</x:v>
      </x:c>
      <x:c r="D6787" s="12" t="n">
        <x:v>0.21525</x:v>
      </x:c>
      <x:c r="E6787" s="12" t="n">
        <x:v>0.26625</x:v>
      </x:c>
      <x:c r="F6787" s="12" t="n">
        <x:v>0.042</x:v>
      </x:c>
      <x:c r="G6787" s="12" t="n">
        <x:v>0</x:v>
      </x:c>
      <x:c r="H6787" s="1" t="n">
        <x:f>'Historical prices'!E6787</x:f>
        <x:v>1.05</x:v>
      </x:c>
      <x:c r="I6787" s="6" t="n">
        <x:f>'Historical prices'!D6787</x:f>
        <x:v>0.2964</x:v>
      </x:c>
      <x:c r="J6787" s="13" t="n">
        <x:f>D6787*I6787*H6787</x:f>
        <x:v>0.06699010500000001</x:v>
      </x:c>
      <x:c r="K6787" s="13" t="n">
        <x:f>E6787*I6787*H6787</x:f>
        <x:v>0.082862325</x:v>
      </x:c>
      <x:c r="L6787" s="1" t="str">
        <x:f>TEXT(A6787,"mmm yyyy")</x:f>
        <x:v>Sep 2026</x:v>
      </x:c>
    </x:row>
    <x:row r="6788" ht="21" customHeight="1">
      <x:c r="A6788" s="10" t="n">
        <x:v>46289</x:v>
      </x:c>
      <x:c r="B6788" s="1" t="n">
        <x:v>22</x:v>
      </x:c>
      <x:c r="C6788" s="1" t="n">
        <x:v>6</x:v>
      </x:c>
      <x:c r="D6788" s="12" t="n">
        <x:v>0.03325</x:v>
      </x:c>
      <x:c r="E6788" s="12" t="n">
        <x:v>0.29125</x:v>
      </x:c>
      <x:c r="F6788" s="12" t="n">
        <x:v>0.25625</x:v>
      </x:c>
      <x:c r="G6788" s="12" t="n">
        <x:v>0</x:v>
      </x:c>
      <x:c r="H6788" s="1" t="n">
        <x:f>'Historical prices'!E6788</x:f>
        <x:v>1.05</x:v>
      </x:c>
      <x:c r="I6788" s="6" t="n">
        <x:f>'Historical prices'!D6788</x:f>
        <x:v>0.3104</x:v>
      </x:c>
      <x:c r="J6788" s="13" t="n">
        <x:f>D6788*I6788*H6788</x:f>
        <x:v>0.010836840000000002</x:v>
      </x:c>
      <x:c r="K6788" s="13" t="n">
        <x:f>E6788*I6788*H6788</x:f>
        <x:v>0.09492420000000001</x:v>
      </x:c>
      <x:c r="L6788" s="1" t="str">
        <x:f>TEXT(A6788,"mmm yyyy")</x:f>
        <x:v>Sep 2026</x:v>
      </x:c>
    </x:row>
    <x:row r="6789" ht="21" customHeight="1">
      <x:c r="A6789" s="10" t="n">
        <x:v>46289</x:v>
      </x:c>
      <x:c r="B6789" s="1" t="n">
        <x:v>22.5</x:v>
      </x:c>
      <x:c r="C6789" s="1" t="n">
        <x:v>6</x:v>
      </x:c>
      <x:c r="D6789" s="12" t="n">
        <x:v>0.18200000000000002</x:v>
      </x:c>
      <x:c r="E6789" s="12" t="n">
        <x:v>0.2371666666666667</x:v>
      </x:c>
      <x:c r="F6789" s="12" t="n">
        <x:v>0.045</x:v>
      </x:c>
      <x:c r="G6789" s="12" t="n">
        <x:v>0</x:v>
      </x:c>
      <x:c r="H6789" s="1" t="n">
        <x:f>'Historical prices'!E6789</x:f>
        <x:v>1.05</x:v>
      </x:c>
      <x:c r="I6789" s="6" t="n">
        <x:f>'Historical prices'!D6789</x:f>
        <x:v>0.2916</x:v>
      </x:c>
      <x:c r="J6789" s="13" t="n">
        <x:f>D6789*I6789*H6789</x:f>
        <x:v>0.05572476000000002</x:v>
      </x:c>
      <x:c r="K6789" s="13" t="n">
        <x:f>E6789*I6789*H6789</x:f>
        <x:v>0.07261569000000002</x:v>
      </x:c>
      <x:c r="L6789" s="1" t="str">
        <x:f>TEXT(A6789,"mmm yyyy")</x:f>
        <x:v>Sep 2026</x:v>
      </x:c>
    </x:row>
    <x:row r="6790" ht="21" customHeight="1">
      <x:c r="A6790" s="10" t="n">
        <x:v>46289</x:v>
      </x:c>
      <x:c r="B6790" s="1" t="n">
        <x:v>23</x:v>
      </x:c>
      <x:c r="C6790" s="1" t="n">
        <x:v>6</x:v>
      </x:c>
      <x:c r="D6790" s="12" t="n">
        <x:v>0.18075</x:v>
      </x:c>
      <x:c r="E6790" s="12" t="n">
        <x:v>0.19075</x:v>
      </x:c>
      <x:c r="F6790" s="12" t="n">
        <x:v>0</x:v>
      </x:c>
      <x:c r="G6790" s="12" t="n">
        <x:v>0</x:v>
      </x:c>
      <x:c r="H6790" s="1" t="n">
        <x:f>'Historical prices'!E6790</x:f>
        <x:v>1.05</x:v>
      </x:c>
      <x:c r="I6790" s="6" t="n">
        <x:f>'Historical prices'!D6790</x:f>
        <x:v>0.2858</x:v>
      </x:c>
      <x:c r="J6790" s="13" t="n">
        <x:f>D6790*I6790*H6790</x:f>
        <x:v>0.0542412675</x:v>
      </x:c>
      <x:c r="K6790" s="13" t="n">
        <x:f>E6790*I6790*H6790</x:f>
        <x:v>0.0572421675</x:v>
      </x:c>
      <x:c r="L6790" s="1" t="str">
        <x:f>TEXT(A6790,"mmm yyyy")</x:f>
        <x:v>Sep 2026</x:v>
      </x:c>
    </x:row>
    <x:row r="6791" ht="21" customHeight="1">
      <x:c r="A6791" s="10" t="n">
        <x:v>46289</x:v>
      </x:c>
      <x:c r="B6791" s="1" t="n">
        <x:v>23.5</x:v>
      </x:c>
      <x:c r="C6791" s="1" t="n">
        <x:v>6</x:v>
      </x:c>
      <x:c r="D6791" s="12" t="n">
        <x:v>0.16849999999999998</x:v>
      </x:c>
      <x:c r="E6791" s="12" t="n">
        <x:v>0.1785</x:v>
      </x:c>
      <x:c r="F6791" s="12" t="n">
        <x:v>0</x:v>
      </x:c>
      <x:c r="G6791" s="12" t="n">
        <x:v>0</x:v>
      </x:c>
      <x:c r="H6791" s="1" t="n">
        <x:f>'Historical prices'!E6791</x:f>
        <x:v>1.05</x:v>
      </x:c>
      <x:c r="I6791" s="6" t="n">
        <x:f>'Historical prices'!D6791</x:f>
        <x:v>0.2708</x:v>
      </x:c>
      <x:c r="J6791" s="13" t="n">
        <x:f>D6791*I6791*H6791</x:f>
        <x:v>0.047911289999999995</x:v>
      </x:c>
      <x:c r="K6791" s="13" t="n">
        <x:f>E6791*I6791*H6791</x:f>
        <x:v>0.05075469</x:v>
      </x:c>
      <x:c r="L6791" s="1" t="str">
        <x:f>TEXT(A6791,"mmm yyyy")</x:f>
        <x:v>Sep 2026</x:v>
      </x:c>
    </x:row>
    <x:row r="6792" ht="21" customHeight="1">
      <x:c r="A6792" s="10" t="n">
        <x:v>46290</x:v>
      </x:c>
      <x:c r="B6792" s="1" t="n">
        <x:v>0</x:v>
      </x:c>
      <x:c r="C6792" s="1" t="n">
        <x:v>6</x:v>
      </x:c>
      <x:c r="D6792" s="12" t="n">
        <x:v>0.14075</x:v>
      </x:c>
      <x:c r="E6792" s="12" t="n">
        <x:v>0.15175</x:v>
      </x:c>
      <x:c r="F6792" s="12" t="n">
        <x:v>0</x:v>
      </x:c>
      <x:c r="G6792" s="12" t="n">
        <x:v>0</x:v>
      </x:c>
      <x:c r="H6792" s="1" t="n">
        <x:f>'Historical prices'!E6792</x:f>
        <x:v>1.05</x:v>
      </x:c>
      <x:c r="I6792" s="6" t="n">
        <x:f>'Historical prices'!D6792</x:f>
        <x:v>0.2681</x:v>
      </x:c>
      <x:c r="J6792" s="13" t="n">
        <x:f>D6792*I6792*H6792</x:f>
        <x:v>0.039621828750000004</x:v>
      </x:c>
      <x:c r="K6792" s="13" t="n">
        <x:f>E6792*I6792*H6792</x:f>
        <x:v>0.042718383750000005</x:v>
      </x:c>
      <x:c r="L6792" s="1" t="str">
        <x:f>TEXT(A6792,"mmm yyyy")</x:f>
        <x:v>Sep 2026</x:v>
      </x:c>
    </x:row>
    <x:row r="6793" ht="21" customHeight="1">
      <x:c r="A6793" s="10" t="n">
        <x:v>46290</x:v>
      </x:c>
      <x:c r="B6793" s="1" t="n">
        <x:v>0.5</x:v>
      </x:c>
      <x:c r="C6793" s="1" t="n">
        <x:v>6</x:v>
      </x:c>
      <x:c r="D6793" s="12" t="n">
        <x:v>0.16625</x:v>
      </x:c>
      <x:c r="E6793" s="12" t="n">
        <x:v>0.17625000000000002</x:v>
      </x:c>
      <x:c r="F6793" s="12" t="n">
        <x:v>0</x:v>
      </x:c>
      <x:c r="G6793" s="12" t="n">
        <x:v>0</x:v>
      </x:c>
      <x:c r="H6793" s="1" t="n">
        <x:f>'Historical prices'!E6793</x:f>
        <x:v>1.05</x:v>
      </x:c>
      <x:c r="I6793" s="6" t="n">
        <x:f>'Historical prices'!D6793</x:f>
        <x:v>0.2648</x:v>
      </x:c>
      <x:c r="J6793" s="13" t="n">
        <x:f>D6793*I6793*H6793</x:f>
        <x:v>0.04622415</x:v>
      </x:c>
      <x:c r="K6793" s="13" t="n">
        <x:f>E6793*I6793*H6793</x:f>
        <x:v>0.04900455000000001</x:v>
      </x:c>
      <x:c r="L6793" s="1" t="str">
        <x:f>TEXT(A6793,"mmm yyyy")</x:f>
        <x:v>Sep 2026</x:v>
      </x:c>
    </x:row>
    <x:row r="6794" ht="21" customHeight="1">
      <x:c r="A6794" s="10" t="n">
        <x:v>46290</x:v>
      </x:c>
      <x:c r="B6794" s="1" t="n">
        <x:v>1</x:v>
      </x:c>
      <x:c r="C6794" s="1" t="n">
        <x:v>6</x:v>
      </x:c>
      <x:c r="D6794" s="12" t="n">
        <x:v>0.21975</x:v>
      </x:c>
      <x:c r="E6794" s="12" t="n">
        <x:v>0.23075</x:v>
      </x:c>
      <x:c r="F6794" s="12" t="n">
        <x:v>0</x:v>
      </x:c>
      <x:c r="G6794" s="12" t="n">
        <x:v>0</x:v>
      </x:c>
      <x:c r="H6794" s="1" t="n">
        <x:f>'Historical prices'!E6794</x:f>
        <x:v>1.05</x:v>
      </x:c>
      <x:c r="I6794" s="6" t="n">
        <x:f>'Historical prices'!D6794</x:f>
        <x:v>0.2606</x:v>
      </x:c>
      <x:c r="J6794" s="13" t="n">
        <x:f>D6794*I6794*H6794</x:f>
        <x:v>0.060130192500000006</x:v>
      </x:c>
      <x:c r="K6794" s="13" t="n">
        <x:f>E6794*I6794*H6794</x:f>
        <x:v>0.0631401225</x:v>
      </x:c>
      <x:c r="L6794" s="1" t="str">
        <x:f>TEXT(A6794,"mmm yyyy")</x:f>
        <x:v>Sep 2026</x:v>
      </x:c>
    </x:row>
    <x:row r="6795" ht="21" customHeight="1">
      <x:c r="A6795" s="10" t="n">
        <x:v>46290</x:v>
      </x:c>
      <x:c r="B6795" s="1" t="n">
        <x:v>1.5</x:v>
      </x:c>
      <x:c r="C6795" s="1" t="n">
        <x:v>6</x:v>
      </x:c>
      <x:c r="D6795" s="12" t="n">
        <x:v>0.21974999999999997</x:v>
      </x:c>
      <x:c r="E6795" s="12" t="n">
        <x:v>0.22974999999999998</x:v>
      </x:c>
      <x:c r="F6795" s="12" t="n">
        <x:v>0</x:v>
      </x:c>
      <x:c r="G6795" s="12" t="n">
        <x:v>0</x:v>
      </x:c>
      <x:c r="H6795" s="1" t="n">
        <x:f>'Historical prices'!E6795</x:f>
        <x:v>1.05</x:v>
      </x:c>
      <x:c r="I6795" s="6" t="n">
        <x:f>'Historical prices'!D6795</x:f>
        <x:v>0.2656</x:v>
      </x:c>
      <x:c r="J6795" s="13" t="n">
        <x:f>D6795*I6795*H6795</x:f>
        <x:v>0.06128388</x:v>
      </x:c>
      <x:c r="K6795" s="13" t="n">
        <x:f>E6795*I6795*H6795</x:f>
        <x:v>0.06407267999999999</x:v>
      </x:c>
      <x:c r="L6795" s="1" t="str">
        <x:f>TEXT(A6795,"mmm yyyy")</x:f>
        <x:v>Sep 2026</x:v>
      </x:c>
    </x:row>
    <x:row r="6796" ht="21" customHeight="1">
      <x:c r="A6796" s="10" t="n">
        <x:v>46290</x:v>
      </x:c>
      <x:c r="B6796" s="1" t="n">
        <x:v>2</x:v>
      </x:c>
      <x:c r="C6796" s="1" t="n">
        <x:v>6</x:v>
      </x:c>
      <x:c r="D6796" s="12" t="n">
        <x:v>0.13799999999999998</x:v>
      </x:c>
      <x:c r="E6796" s="12" t="n">
        <x:v>0.148</x:v>
      </x:c>
      <x:c r="F6796" s="12" t="n">
        <x:v>0</x:v>
      </x:c>
      <x:c r="G6796" s="12" t="n">
        <x:v>0</x:v>
      </x:c>
      <x:c r="H6796" s="1" t="n">
        <x:f>'Historical prices'!E6796</x:f>
        <x:v>1.05</x:v>
      </x:c>
      <x:c r="I6796" s="6" t="n">
        <x:f>'Historical prices'!D6796</x:f>
        <x:v>0.2585</x:v>
      </x:c>
      <x:c r="J6796" s="13" t="n">
        <x:f>D6796*I6796*H6796</x:f>
        <x:v>0.03745665</x:v>
      </x:c>
      <x:c r="K6796" s="13" t="n">
        <x:f>E6796*I6796*H6796</x:f>
        <x:v>0.0401709</x:v>
      </x:c>
      <x:c r="L6796" s="1" t="str">
        <x:f>TEXT(A6796,"mmm yyyy")</x:f>
        <x:v>Sep 2026</x:v>
      </x:c>
    </x:row>
    <x:row r="6797" ht="21" customHeight="1">
      <x:c r="A6797" s="10" t="n">
        <x:v>46290</x:v>
      </x:c>
      <x:c r="B6797" s="1" t="n">
        <x:v>2.5</x:v>
      </x:c>
      <x:c r="C6797" s="1" t="n">
        <x:v>6</x:v>
      </x:c>
      <x:c r="D6797" s="12" t="n">
        <x:v>0.21525000000000002</x:v>
      </x:c>
      <x:c r="E6797" s="12" t="n">
        <x:v>0.22525000000000003</x:v>
      </x:c>
      <x:c r="F6797" s="12" t="n">
        <x:v>0</x:v>
      </x:c>
      <x:c r="G6797" s="12" t="n">
        <x:v>0</x:v>
      </x:c>
      <x:c r="H6797" s="1" t="n">
        <x:f>'Historical prices'!E6797</x:f>
        <x:v>1.05</x:v>
      </x:c>
      <x:c r="I6797" s="6" t="n">
        <x:f>'Historical prices'!D6797</x:f>
        <x:v>0.2648</x:v>
      </x:c>
      <x:c r="J6797" s="13" t="n">
        <x:f>D6797*I6797*H6797</x:f>
        <x:v>0.05984811</x:v>
      </x:c>
      <x:c r="K6797" s="13" t="n">
        <x:f>E6797*I6797*H6797</x:f>
        <x:v>0.06262851000000001</x:v>
      </x:c>
      <x:c r="L6797" s="1" t="str">
        <x:f>TEXT(A6797,"mmm yyyy")</x:f>
        <x:v>Sep 2026</x:v>
      </x:c>
    </x:row>
    <x:row r="6798" ht="21" customHeight="1">
      <x:c r="A6798" s="10" t="n">
        <x:v>46290</x:v>
      </x:c>
      <x:c r="B6798" s="1" t="n">
        <x:v>3</x:v>
      </x:c>
      <x:c r="C6798" s="1" t="n">
        <x:v>6</x:v>
      </x:c>
      <x:c r="D6798" s="12" t="n">
        <x:v>0.19999999999999998</x:v>
      </x:c>
      <x:c r="E6798" s="12" t="n">
        <x:v>0.211</x:v>
      </x:c>
      <x:c r="F6798" s="12" t="n">
        <x:v>0</x:v>
      </x:c>
      <x:c r="G6798" s="12" t="n">
        <x:v>0</x:v>
      </x:c>
      <x:c r="H6798" s="1" t="n">
        <x:f>'Historical prices'!E6798</x:f>
        <x:v>1.05</x:v>
      </x:c>
      <x:c r="I6798" s="6" t="n">
        <x:f>'Historical prices'!D6798</x:f>
        <x:v>0.2596</x:v>
      </x:c>
      <x:c r="J6798" s="13" t="n">
        <x:f>D6798*I6798*H6798</x:f>
        <x:v>0.054515999999999995</x:v>
      </x:c>
      <x:c r="K6798" s="13" t="n">
        <x:f>E6798*I6798*H6798</x:f>
        <x:v>0.057514380000000004</x:v>
      </x:c>
      <x:c r="L6798" s="1" t="str">
        <x:f>TEXT(A6798,"mmm yyyy")</x:f>
        <x:v>Sep 2026</x:v>
      </x:c>
    </x:row>
    <x:row r="6799" ht="21" customHeight="1">
      <x:c r="A6799" s="10" t="n">
        <x:v>46290</x:v>
      </x:c>
      <x:c r="B6799" s="1" t="n">
        <x:v>3.5</x:v>
      </x:c>
      <x:c r="C6799" s="1" t="n">
        <x:v>6</x:v>
      </x:c>
      <x:c r="D6799" s="12" t="n">
        <x:v>0.1325</x:v>
      </x:c>
      <x:c r="E6799" s="12" t="n">
        <x:v>0.1425</x:v>
      </x:c>
      <x:c r="F6799" s="12" t="n">
        <x:v>0</x:v>
      </x:c>
      <x:c r="G6799" s="12" t="n">
        <x:v>0</x:v>
      </x:c>
      <x:c r="H6799" s="1" t="n">
        <x:f>'Historical prices'!E6799</x:f>
        <x:v>1.05</x:v>
      </x:c>
      <x:c r="I6799" s="6" t="n">
        <x:f>'Historical prices'!D6799</x:f>
        <x:v>0.2585</x:v>
      </x:c>
      <x:c r="J6799" s="13" t="n">
        <x:f>D6799*I6799*H6799</x:f>
        <x:v>0.035963812500000004</x:v>
      </x:c>
      <x:c r="K6799" s="13" t="n">
        <x:f>E6799*I6799*H6799</x:f>
        <x:v>0.038678062500000006</x:v>
      </x:c>
      <x:c r="L6799" s="1" t="str">
        <x:f>TEXT(A6799,"mmm yyyy")</x:f>
        <x:v>Sep 2026</x:v>
      </x:c>
    </x:row>
    <x:row r="6800" ht="21" customHeight="1">
      <x:c r="A6800" s="10" t="n">
        <x:v>46290</x:v>
      </x:c>
      <x:c r="B6800" s="1" t="n">
        <x:v>4</x:v>
      </x:c>
      <x:c r="C6800" s="1" t="n">
        <x:v>6</x:v>
      </x:c>
      <x:c r="D6800" s="12" t="n">
        <x:v>0.1865</x:v>
      </x:c>
      <x:c r="E6800" s="12" t="n">
        <x:v>0.1975</x:v>
      </x:c>
      <x:c r="F6800" s="12" t="n">
        <x:v>0</x:v>
      </x:c>
      <x:c r="G6800" s="12" t="n">
        <x:v>0</x:v>
      </x:c>
      <x:c r="H6800" s="1" t="n">
        <x:f>'Historical prices'!E6800</x:f>
        <x:v>1.05</x:v>
      </x:c>
      <x:c r="I6800" s="6" t="n">
        <x:f>'Historical prices'!D6800</x:f>
        <x:v>0.2627</x:v>
      </x:c>
      <x:c r="J6800" s="13" t="n">
        <x:f>D6800*I6800*H6800</x:f>
        <x:v>0.0514432275</x:v>
      </x:c>
      <x:c r="K6800" s="13" t="n">
        <x:f>E6800*I6800*H6800</x:f>
        <x:v>0.0544774125</x:v>
      </x:c>
      <x:c r="L6800" s="1" t="str">
        <x:f>TEXT(A6800,"mmm yyyy")</x:f>
        <x:v>Sep 2026</x:v>
      </x:c>
    </x:row>
    <x:row r="6801" ht="21" customHeight="1">
      <x:c r="A6801" s="10" t="n">
        <x:v>46290</x:v>
      </x:c>
      <x:c r="B6801" s="1" t="n">
        <x:v>4.5</x:v>
      </x:c>
      <x:c r="C6801" s="1" t="n">
        <x:v>6</x:v>
      </x:c>
      <x:c r="D6801" s="12" t="n">
        <x:v>0.19575</x:v>
      </x:c>
      <x:c r="E6801" s="12" t="n">
        <x:v>0.20575000000000002</x:v>
      </x:c>
      <x:c r="F6801" s="12" t="n">
        <x:v>0</x:v>
      </x:c>
      <x:c r="G6801" s="12" t="n">
        <x:v>0</x:v>
      </x:c>
      <x:c r="H6801" s="1" t="n">
        <x:f>'Historical prices'!E6801</x:f>
        <x:v>1.05</x:v>
      </x:c>
      <x:c r="I6801" s="6" t="n">
        <x:f>'Historical prices'!D6801</x:f>
        <x:v>0.2627</x:v>
      </x:c>
      <x:c r="J6801" s="13" t="n">
        <x:f>D6801*I6801*H6801</x:f>
        <x:v>0.05399470125</x:v>
      </x:c>
      <x:c r="K6801" s="13" t="n">
        <x:f>E6801*I6801*H6801</x:f>
        <x:v>0.056753051250000006</x:v>
      </x:c>
      <x:c r="L6801" s="1" t="str">
        <x:f>TEXT(A6801,"mmm yyyy")</x:f>
        <x:v>Sep 2026</x:v>
      </x:c>
    </x:row>
    <x:row r="6802" ht="21" customHeight="1">
      <x:c r="A6802" s="10" t="n">
        <x:v>46290</x:v>
      </x:c>
      <x:c r="B6802" s="1" t="n">
        <x:v>5</x:v>
      </x:c>
      <x:c r="C6802" s="1" t="n">
        <x:v>6</x:v>
      </x:c>
      <x:c r="D6802" s="12" t="n">
        <x:v>0.16624999999999998</x:v>
      </x:c>
      <x:c r="E6802" s="12" t="n">
        <x:v>0.17625</x:v>
      </x:c>
      <x:c r="F6802" s="12" t="n">
        <x:v>0</x:v>
      </x:c>
      <x:c r="G6802" s="12" t="n">
        <x:v>0</x:v>
      </x:c>
      <x:c r="H6802" s="1" t="n">
        <x:f>'Historical prices'!E6802</x:f>
        <x:v>1.05</x:v>
      </x:c>
      <x:c r="I6802" s="6" t="n">
        <x:f>'Historical prices'!D6802</x:f>
        <x:v>0.2989</x:v>
      </x:c>
      <x:c r="J6802" s="13" t="n">
        <x:f>D6802*I6802*H6802</x:f>
        <x:v>0.05217673125</x:v>
      </x:c>
      <x:c r="K6802" s="13" t="n">
        <x:f>E6802*I6802*H6802</x:f>
        <x:v>0.05531518125</x:v>
      </x:c>
      <x:c r="L6802" s="1" t="str">
        <x:f>TEXT(A6802,"mmm yyyy")</x:f>
        <x:v>Sep 2026</x:v>
      </x:c>
    </x:row>
    <x:row r="6803" ht="21" customHeight="1">
      <x:c r="A6803" s="10" t="n">
        <x:v>46290</x:v>
      </x:c>
      <x:c r="B6803" s="1" t="n">
        <x:v>5.5</x:v>
      </x:c>
      <x:c r="C6803" s="1" t="n">
        <x:v>6</x:v>
      </x:c>
      <x:c r="D6803" s="12" t="n">
        <x:v>0.08825</x:v>
      </x:c>
      <x:c r="E6803" s="12" t="n">
        <x:v>0.29424999999999996</x:v>
      </x:c>
      <x:c r="F6803" s="12" t="n">
        <x:v>0.20375000000000001</x:v>
      </x:c>
      <x:c r="G6803" s="12" t="n">
        <x:v>0</x:v>
      </x:c>
      <x:c r="H6803" s="1" t="n">
        <x:f>'Historical prices'!E6803</x:f>
        <x:v>1.05</x:v>
      </x:c>
      <x:c r="I6803" s="6" t="n">
        <x:f>'Historical prices'!D6803</x:f>
        <x:v>0.30469999999999997</x:v>
      </x:c>
      <x:c r="J6803" s="13" t="n">
        <x:f>D6803*I6803*H6803</x:f>
        <x:v>0.028234263749999995</x:v>
      </x:c>
      <x:c r="K6803" s="13" t="n">
        <x:f>E6803*I6803*H6803</x:f>
        <x:v>0.09414087374999998</x:v>
      </x:c>
      <x:c r="L6803" s="1" t="str">
        <x:f>TEXT(A6803,"mmm yyyy")</x:f>
        <x:v>Sep 2026</x:v>
      </x:c>
    </x:row>
    <x:row r="6804" ht="21" customHeight="1">
      <x:c r="A6804" s="10" t="n">
        <x:v>46290</x:v>
      </x:c>
      <x:c r="B6804" s="1" t="n">
        <x:v>6</x:v>
      </x:c>
      <x:c r="C6804" s="1" t="n">
        <x:v>6</x:v>
      </x:c>
      <x:c r="D6804" s="12" t="n">
        <x:v>0</x:v>
      </x:c>
      <x:c r="E6804" s="12" t="n">
        <x:v>0.29900000000000004</x:v>
      </x:c>
      <x:c r="F6804" s="12" t="n">
        <x:v>0.29883333333333334</x:v>
      </x:c>
      <x:c r="G6804" s="12" t="n">
        <x:v>0</x:v>
      </x:c>
      <x:c r="H6804" s="1" t="n">
        <x:f>'Historical prices'!E6804</x:f>
        <x:v>1.05</x:v>
      </x:c>
      <x:c r="I6804" s="6" t="n">
        <x:f>'Historical prices'!D6804</x:f>
        <x:v>0.3404</x:v>
      </x:c>
      <x:c r="J6804" s="13" t="n">
        <x:f>D6804*I6804*H6804</x:f>
        <x:v>0</x:v>
      </x:c>
      <x:c r="K6804" s="13" t="n">
        <x:f>E6804*I6804*H6804</x:f>
        <x:v>0.10686858000000002</x:v>
      </x:c>
      <x:c r="L6804" s="1" t="str">
        <x:f>TEXT(A6804,"mmm yyyy")</x:f>
        <x:v>Sep 2026</x:v>
      </x:c>
    </x:row>
    <x:row r="6805" ht="21" customHeight="1">
      <x:c r="A6805" s="10" t="n">
        <x:v>46290</x:v>
      </x:c>
      <x:c r="B6805" s="1" t="n">
        <x:v>6.5</x:v>
      </x:c>
      <x:c r="C6805" s="1" t="n">
        <x:v>6</x:v>
      </x:c>
      <x:c r="D6805" s="12" t="n">
        <x:v>0</x:v>
      </x:c>
      <x:c r="E6805" s="12" t="n">
        <x:v>0.27491666666666664</x:v>
      </x:c>
      <x:c r="F6805" s="12" t="n">
        <x:v>0.2745</x:v>
      </x:c>
      <x:c r="G6805" s="12" t="n">
        <x:v>0</x:v>
      </x:c>
      <x:c r="H6805" s="1" t="n">
        <x:f>'Historical prices'!E6805</x:f>
        <x:v>1.05</x:v>
      </x:c>
      <x:c r="I6805" s="6" t="n">
        <x:f>'Historical prices'!D6805</x:f>
        <x:v>0.354</x:v>
      </x:c>
      <x:c r="J6805" s="13" t="n">
        <x:f>D6805*I6805*H6805</x:f>
        <x:v>0</x:v>
      </x:c>
      <x:c r="K6805" s="13" t="n">
        <x:f>E6805*I6805*H6805</x:f>
        <x:v>0.102186525</x:v>
      </x:c>
      <x:c r="L6805" s="1" t="str">
        <x:f>TEXT(A6805,"mmm yyyy")</x:f>
        <x:v>Sep 2026</x:v>
      </x:c>
    </x:row>
    <x:row r="6806" ht="21" customHeight="1">
      <x:c r="A6806" s="10" t="n">
        <x:v>46290</x:v>
      </x:c>
      <x:c r="B6806" s="1" t="n">
        <x:v>7</x:v>
      </x:c>
      <x:c r="C6806" s="1" t="n">
        <x:v>6</x:v>
      </x:c>
      <x:c r="D6806" s="12" t="n">
        <x:v>0</x:v>
      </x:c>
      <x:c r="E6806" s="12" t="n">
        <x:v>0.3111666666666667</x:v>
      </x:c>
      <x:c r="F6806" s="12" t="n">
        <x:v>0.31066666666666665</x:v>
      </x:c>
      <x:c r="G6806" s="12" t="n">
        <x:v>0</x:v>
      </x:c>
      <x:c r="H6806" s="1" t="n">
        <x:f>'Historical prices'!E6806</x:f>
        <x:v>1.05</x:v>
      </x:c>
      <x:c r="I6806" s="6" t="n">
        <x:f>'Historical prices'!D6806</x:f>
        <x:v>0.3759</x:v>
      </x:c>
      <x:c r="J6806" s="13" t="n">
        <x:f>D6806*I6806*H6806</x:f>
        <x:v>0</x:v>
      </x:c>
      <x:c r="K6806" s="13" t="n">
        <x:f>E6806*I6806*H6806</x:f>
        <x:v>0.12281592750000002</x:v>
      </x:c>
      <x:c r="L6806" s="1" t="str">
        <x:f>TEXT(A6806,"mmm yyyy")</x:f>
        <x:v>Sep 2026</x:v>
      </x:c>
    </x:row>
    <x:row r="6807" ht="21" customHeight="1">
      <x:c r="A6807" s="10" t="n">
        <x:v>46290</x:v>
      </x:c>
      <x:c r="B6807" s="1" t="n">
        <x:v>7.5</x:v>
      </x:c>
      <x:c r="C6807" s="1" t="n">
        <x:v>6</x:v>
      </x:c>
      <x:c r="D6807" s="12" t="n">
        <x:v>0</x:v>
      </x:c>
      <x:c r="E6807" s="12" t="n">
        <x:v>0.2665</x:v>
      </x:c>
      <x:c r="F6807" s="12" t="n">
        <x:v>0.26625</x:v>
      </x:c>
      <x:c r="G6807" s="12" t="n">
        <x:v>0</x:v>
      </x:c>
      <x:c r="H6807" s="1" t="n">
        <x:f>'Historical prices'!E6807</x:f>
        <x:v>1.05</x:v>
      </x:c>
      <x:c r="I6807" s="6" t="n">
        <x:f>'Historical prices'!D6807</x:f>
        <x:v>0.4036</x:v>
      </x:c>
      <x:c r="J6807" s="13" t="n">
        <x:f>D6807*I6807*H6807</x:f>
        <x:v>0</x:v>
      </x:c>
      <x:c r="K6807" s="13" t="n">
        <x:f>E6807*I6807*H6807</x:f>
        <x:v>0.11293737000000002</x:v>
      </x:c>
      <x:c r="L6807" s="1" t="str">
        <x:f>TEXT(A6807,"mmm yyyy")</x:f>
        <x:v>Sep 2026</x:v>
      </x:c>
    </x:row>
    <x:row r="6808" ht="21" customHeight="1">
      <x:c r="A6808" s="10" t="n">
        <x:v>46290</x:v>
      </x:c>
      <x:c r="B6808" s="1" t="n">
        <x:v>8</x:v>
      </x:c>
      <x:c r="C6808" s="1" t="n">
        <x:v>6</x:v>
      </x:c>
      <x:c r="D6808" s="12" t="n">
        <x:v>0</x:v>
      </x:c>
      <x:c r="E6808" s="12" t="n">
        <x:v>0.22833333333333333</x:v>
      </x:c>
      <x:c r="F6808" s="12" t="n">
        <x:v>0.228</x:v>
      </x:c>
      <x:c r="G6808" s="12" t="n">
        <x:v>0</x:v>
      </x:c>
      <x:c r="H6808" s="1" t="n">
        <x:f>'Historical prices'!E6808</x:f>
        <x:v>1.05</x:v>
      </x:c>
      <x:c r="I6808" s="6" t="n">
        <x:f>'Historical prices'!D6808</x:f>
        <x:v>0.3295</x:v>
      </x:c>
      <x:c r="J6808" s="13" t="n">
        <x:f>D6808*I6808*H6808</x:f>
        <x:v>0</x:v>
      </x:c>
      <x:c r="K6808" s="13" t="n">
        <x:f>E6808*I6808*H6808</x:f>
        <x:v>0.078997625</x:v>
      </x:c>
      <x:c r="L6808" s="1" t="str">
        <x:f>TEXT(A6808,"mmm yyyy")</x:f>
        <x:v>Sep 2026</x:v>
      </x:c>
    </x:row>
    <x:row r="6809" ht="21" customHeight="1">
      <x:c r="A6809" s="10" t="n">
        <x:v>46290</x:v>
      </x:c>
      <x:c r="B6809" s="1" t="n">
        <x:v>8.5</x:v>
      </x:c>
      <x:c r="C6809" s="1" t="n">
        <x:v>6</x:v>
      </x:c>
      <x:c r="D6809" s="12" t="n">
        <x:v>0</x:v>
      </x:c>
      <x:c r="E6809" s="12" t="n">
        <x:v>0.2588333333333333</x:v>
      </x:c>
      <x:c r="F6809" s="12" t="n">
        <x:v>0.25858333333333333</x:v>
      </x:c>
      <x:c r="G6809" s="12" t="n">
        <x:v>0</x:v>
      </x:c>
      <x:c r="H6809" s="1" t="n">
        <x:f>'Historical prices'!E6809</x:f>
        <x:v>1.05</x:v>
      </x:c>
      <x:c r="I6809" s="6" t="n">
        <x:f>'Historical prices'!D6809</x:f>
        <x:v>0.3271</x:v>
      </x:c>
      <x:c r="J6809" s="13" t="n">
        <x:f>D6809*I6809*H6809</x:f>
        <x:v>0</x:v>
      </x:c>
      <x:c r="K6809" s="13" t="n">
        <x:f>E6809*I6809*H6809</x:f>
        <x:v>0.0888976025</x:v>
      </x:c>
      <x:c r="L6809" s="1" t="str">
        <x:f>TEXT(A6809,"mmm yyyy")</x:f>
        <x:v>Sep 2026</x:v>
      </x:c>
    </x:row>
    <x:row r="6810" ht="21" customHeight="1">
      <x:c r="A6810" s="10" t="n">
        <x:v>46290</x:v>
      </x:c>
      <x:c r="B6810" s="1" t="n">
        <x:v>9</x:v>
      </x:c>
      <x:c r="C6810" s="1" t="n">
        <x:v>6</x:v>
      </x:c>
      <x:c r="D6810" s="12" t="n">
        <x:v>0.243</x:v>
      </x:c>
      <x:c r="E6810" s="12" t="n">
        <x:v>0.30083333333333334</x:v>
      </x:c>
      <x:c r="F6810" s="12" t="n">
        <x:v>0.04883333333333333</x:v>
      </x:c>
      <x:c r="G6810" s="12" t="n">
        <x:v>0</x:v>
      </x:c>
      <x:c r="H6810" s="1" t="n">
        <x:f>'Historical prices'!E6810</x:f>
        <x:v>1.05</x:v>
      </x:c>
      <x:c r="I6810" s="6" t="n">
        <x:f>'Historical prices'!D6810</x:f>
        <x:v>0.2925</x:v>
      </x:c>
      <x:c r="J6810" s="13" t="n">
        <x:f>D6810*I6810*H6810</x:f>
        <x:v>0.07463137499999999</x:v>
      </x:c>
      <x:c r="K6810" s="13" t="n">
        <x:f>E6810*I6810*H6810</x:f>
        <x:v>0.0923934375</x:v>
      </x:c>
      <x:c r="L6810" s="1" t="str">
        <x:f>TEXT(A6810,"mmm yyyy")</x:f>
        <x:v>Sep 2026</x:v>
      </x:c>
    </x:row>
    <x:row r="6811" ht="21" customHeight="1">
      <x:c r="A6811" s="10" t="n">
        <x:v>46290</x:v>
      </x:c>
      <x:c r="B6811" s="1" t="n">
        <x:v>9.5</x:v>
      </x:c>
      <x:c r="C6811" s="1" t="n">
        <x:v>6</x:v>
      </x:c>
      <x:c r="D6811" s="12" t="n">
        <x:v>0.157</x:v>
      </x:c>
      <x:c r="E6811" s="12" t="n">
        <x:v>0.169</x:v>
      </x:c>
      <x:c r="F6811" s="12" t="n">
        <x:v>0</x:v>
      </x:c>
      <x:c r="G6811" s="12" t="n">
        <x:v>0</x:v>
      </x:c>
      <x:c r="H6811" s="1" t="n">
        <x:f>'Historical prices'!E6811</x:f>
        <x:v>1.05</x:v>
      </x:c>
      <x:c r="I6811" s="6" t="n">
        <x:f>'Historical prices'!D6811</x:f>
        <x:v>0.2884</x:v>
      </x:c>
      <x:c r="J6811" s="13" t="n">
        <x:f>D6811*I6811*H6811</x:f>
        <x:v>0.04754274</x:v>
      </x:c>
      <x:c r="K6811" s="13" t="n">
        <x:f>E6811*I6811*H6811</x:f>
        <x:v>0.051176580000000006</x:v>
      </x:c>
      <x:c r="L6811" s="1" t="str">
        <x:f>TEXT(A6811,"mmm yyyy")</x:f>
        <x:v>Sep 2026</x:v>
      </x:c>
    </x:row>
    <x:row r="6812" ht="21" customHeight="1">
      <x:c r="A6812" s="10" t="n">
        <x:v>46290</x:v>
      </x:c>
      <x:c r="B6812" s="1" t="n">
        <x:v>10</x:v>
      </x:c>
      <x:c r="C6812" s="1" t="n">
        <x:v>6</x:v>
      </x:c>
      <x:c r="D6812" s="12" t="n">
        <x:v>0.18225</x:v>
      </x:c>
      <x:c r="E6812" s="12" t="n">
        <x:v>0.19225</x:v>
      </x:c>
      <x:c r="F6812" s="12" t="n">
        <x:v>0</x:v>
      </x:c>
      <x:c r="G6812" s="12" t="n">
        <x:v>0</x:v>
      </x:c>
      <x:c r="H6812" s="1" t="n">
        <x:f>'Historical prices'!E6812</x:f>
        <x:v>1.05</x:v>
      </x:c>
      <x:c r="I6812" s="6" t="n">
        <x:f>'Historical prices'!D6812</x:f>
        <x:v>0.2841</x:v>
      </x:c>
      <x:c r="J6812" s="13" t="n">
        <x:f>D6812*I6812*H6812</x:f>
        <x:v>0.05436608625000001</x:v>
      </x:c>
      <x:c r="K6812" s="13" t="n">
        <x:f>E6812*I6812*H6812</x:f>
        <x:v>0.05734913625000001</x:v>
      </x:c>
      <x:c r="L6812" s="1" t="str">
        <x:f>TEXT(A6812,"mmm yyyy")</x:f>
        <x:v>Sep 2026</x:v>
      </x:c>
    </x:row>
    <x:row r="6813" ht="21" customHeight="1">
      <x:c r="A6813" s="10" t="n">
        <x:v>46290</x:v>
      </x:c>
      <x:c r="B6813" s="1" t="n">
        <x:v>10.5</x:v>
      </x:c>
      <x:c r="C6813" s="1" t="n">
        <x:v>6</x:v>
      </x:c>
      <x:c r="D6813" s="12" t="n">
        <x:v>0.25125</x:v>
      </x:c>
      <x:c r="E6813" s="12" t="n">
        <x:v>0.26225</x:v>
      </x:c>
      <x:c r="F6813" s="12" t="n">
        <x:v>0</x:v>
      </x:c>
      <x:c r="G6813" s="12" t="n">
        <x:v>0</x:v>
      </x:c>
      <x:c r="H6813" s="1" t="n">
        <x:f>'Historical prices'!E6813</x:f>
        <x:v>1.05</x:v>
      </x:c>
      <x:c r="I6813" s="6" t="n">
        <x:f>'Historical prices'!D6813</x:f>
        <x:v>0.2767</x:v>
      </x:c>
      <x:c r="J6813" s="13" t="n">
        <x:f>D6813*I6813*H6813</x:f>
        <x:v>0.07299691875</x:v>
      </x:c>
      <x:c r="K6813" s="13" t="n">
        <x:f>E6813*I6813*H6813</x:f>
        <x:v>0.07619280375</x:v>
      </x:c>
      <x:c r="L6813" s="1" t="str">
        <x:f>TEXT(A6813,"mmm yyyy")</x:f>
        <x:v>Sep 2026</x:v>
      </x:c>
    </x:row>
    <x:row r="6814" ht="21" customHeight="1">
      <x:c r="A6814" s="10" t="n">
        <x:v>46290</x:v>
      </x:c>
      <x:c r="B6814" s="1" t="n">
        <x:v>11</x:v>
      </x:c>
      <x:c r="C6814" s="1" t="n">
        <x:v>6</x:v>
      </x:c>
      <x:c r="D6814" s="12" t="n">
        <x:v>0.175</x:v>
      </x:c>
      <x:c r="E6814" s="12" t="n">
        <x:v>0.18599999999999997</x:v>
      </x:c>
      <x:c r="F6814" s="12" t="n">
        <x:v>0</x:v>
      </x:c>
      <x:c r="G6814" s="12" t="n">
        <x:v>0</x:v>
      </x:c>
      <x:c r="H6814" s="1" t="n">
        <x:f>'Historical prices'!E6814</x:f>
        <x:v>1.05</x:v>
      </x:c>
      <x:c r="I6814" s="6" t="n">
        <x:f>'Historical prices'!D6814</x:f>
        <x:v>0.26280000000000003</x:v>
      </x:c>
      <x:c r="J6814" s="13" t="n">
        <x:f>D6814*I6814*H6814</x:f>
        <x:v>0.048289500000000006</x:v>
      </x:c>
      <x:c r="K6814" s="13" t="n">
        <x:f>E6814*I6814*H6814</x:f>
        <x:v>0.051324840000000004</x:v>
      </x:c>
      <x:c r="L6814" s="1" t="str">
        <x:f>TEXT(A6814,"mmm yyyy")</x:f>
        <x:v>Sep 2026</x:v>
      </x:c>
    </x:row>
    <x:row r="6815" ht="21" customHeight="1">
      <x:c r="A6815" s="10" t="n">
        <x:v>46290</x:v>
      </x:c>
      <x:c r="B6815" s="1" t="n">
        <x:v>11.5</x:v>
      </x:c>
      <x:c r="C6815" s="1" t="n">
        <x:v>6</x:v>
      </x:c>
      <x:c r="D6815" s="12" t="n">
        <x:v>0.168</x:v>
      </x:c>
      <x:c r="E6815" s="12" t="n">
        <x:v>0.179</x:v>
      </x:c>
      <x:c r="F6815" s="12" t="n">
        <x:v>0</x:v>
      </x:c>
      <x:c r="G6815" s="12" t="n">
        <x:v>0</x:v>
      </x:c>
      <x:c r="H6815" s="1" t="n">
        <x:f>'Historical prices'!E6815</x:f>
        <x:v>1.05</x:v>
      </x:c>
      <x:c r="I6815" s="6" t="n">
        <x:f>'Historical prices'!D6815</x:f>
        <x:v>0.2591</x:v>
      </x:c>
      <x:c r="J6815" s="13" t="n">
        <x:f>D6815*I6815*H6815</x:f>
        <x:v>0.04570524</x:v>
      </x:c>
      <x:c r="K6815" s="13" t="n">
        <x:f>E6815*I6815*H6815</x:f>
        <x:v>0.048697845000000003</x:v>
      </x:c>
      <x:c r="L6815" s="1" t="str">
        <x:f>TEXT(A6815,"mmm yyyy")</x:f>
        <x:v>Sep 2026</x:v>
      </x:c>
    </x:row>
    <x:row r="6816" ht="21" customHeight="1">
      <x:c r="A6816" s="10" t="n">
        <x:v>46290</x:v>
      </x:c>
      <x:c r="B6816" s="1" t="n">
        <x:v>12</x:v>
      </x:c>
      <x:c r="C6816" s="1" t="n">
        <x:v>6</x:v>
      </x:c>
      <x:c r="D6816" s="12" t="n">
        <x:v>0.192</x:v>
      </x:c>
      <x:c r="E6816" s="12" t="n">
        <x:v>0.202</x:v>
      </x:c>
      <x:c r="F6816" s="12" t="n">
        <x:v>0</x:v>
      </x:c>
      <x:c r="G6816" s="12" t="n">
        <x:v>0</x:v>
      </x:c>
      <x:c r="H6816" s="1" t="n">
        <x:f>'Historical prices'!E6816</x:f>
        <x:v>1.05</x:v>
      </x:c>
      <x:c r="I6816" s="6" t="n">
        <x:f>'Historical prices'!D6816</x:f>
        <x:v>0.2623</x:v>
      </x:c>
      <x:c r="J6816" s="13" t="n">
        <x:f>D6816*I6816*H6816</x:f>
        <x:v>0.05287968</x:v>
      </x:c>
      <x:c r="K6816" s="13" t="n">
        <x:f>E6816*I6816*H6816</x:f>
        <x:v>0.05563383</x:v>
      </x:c>
      <x:c r="L6816" s="1" t="str">
        <x:f>TEXT(A6816,"mmm yyyy")</x:f>
        <x:v>Sep 2026</x:v>
      </x:c>
    </x:row>
    <x:row r="6817" ht="21" customHeight="1">
      <x:c r="A6817" s="10" t="n">
        <x:v>46290</x:v>
      </x:c>
      <x:c r="B6817" s="1" t="n">
        <x:v>12.5</x:v>
      </x:c>
      <x:c r="C6817" s="1" t="n">
        <x:v>6</x:v>
      </x:c>
      <x:c r="D6817" s="12" t="n">
        <x:v>0.16275</x:v>
      </x:c>
      <x:c r="E6817" s="12" t="n">
        <x:v>0.17275000000000001</x:v>
      </x:c>
      <x:c r="F6817" s="12" t="n">
        <x:v>0</x:v>
      </x:c>
      <x:c r="G6817" s="12" t="n">
        <x:v>0</x:v>
      </x:c>
      <x:c r="H6817" s="1" t="n">
        <x:f>'Historical prices'!E6817</x:f>
        <x:v>1.05</x:v>
      </x:c>
      <x:c r="I6817" s="6" t="n">
        <x:f>'Historical prices'!D6817</x:f>
        <x:v>0.2609</x:v>
      </x:c>
      <x:c r="J6817" s="13" t="n">
        <x:f>D6817*I6817*H6817</x:f>
        <x:v>0.04458454875000001</x:v>
      </x:c>
      <x:c r="K6817" s="13" t="n">
        <x:f>E6817*I6817*H6817</x:f>
        <x:v>0.047323998750000006</x:v>
      </x:c>
      <x:c r="L6817" s="1" t="str">
        <x:f>TEXT(A6817,"mmm yyyy")</x:f>
        <x:v>Sep 2026</x:v>
      </x:c>
    </x:row>
    <x:row r="6818" ht="21" customHeight="1">
      <x:c r="A6818" s="10" t="n">
        <x:v>46290</x:v>
      </x:c>
      <x:c r="B6818" s="1" t="n">
        <x:v>13</x:v>
      </x:c>
      <x:c r="C6818" s="1" t="n">
        <x:v>6</x:v>
      </x:c>
      <x:c r="D6818" s="12" t="n">
        <x:v>0.17625000000000002</x:v>
      </x:c>
      <x:c r="E6818" s="12" t="n">
        <x:v>0.18625</x:v>
      </x:c>
      <x:c r="F6818" s="12" t="n">
        <x:v>0</x:v>
      </x:c>
      <x:c r="G6818" s="12" t="n">
        <x:v>0</x:v>
      </x:c>
      <x:c r="H6818" s="1" t="n">
        <x:f>'Historical prices'!E6818</x:f>
        <x:v>1.05</x:v>
      </x:c>
      <x:c r="I6818" s="6" t="n">
        <x:f>'Historical prices'!D6818</x:f>
        <x:v>0.2498</x:v>
      </x:c>
      <x:c r="J6818" s="13" t="n">
        <x:f>D6818*I6818*H6818</x:f>
        <x:v>0.04622861250000001</x:v>
      </x:c>
      <x:c r="K6818" s="13" t="n">
        <x:f>E6818*I6818*H6818</x:f>
        <x:v>0.0488515125</x:v>
      </x:c>
      <x:c r="L6818" s="1" t="str">
        <x:f>TEXT(A6818,"mmm yyyy")</x:f>
        <x:v>Sep 2026</x:v>
      </x:c>
    </x:row>
    <x:row r="6819" ht="21" customHeight="1">
      <x:c r="A6819" s="10" t="n">
        <x:v>46290</x:v>
      </x:c>
      <x:c r="B6819" s="1" t="n">
        <x:v>13.5</x:v>
      </x:c>
      <x:c r="C6819" s="1" t="n">
        <x:v>6</x:v>
      </x:c>
      <x:c r="D6819" s="12" t="n">
        <x:v>0.26899999999999996</x:v>
      </x:c>
      <x:c r="E6819" s="12" t="n">
        <x:v>0.27899999999999997</x:v>
      </x:c>
      <x:c r="F6819" s="12" t="n">
        <x:v>0</x:v>
      </x:c>
      <x:c r="G6819" s="12" t="n">
        <x:v>0</x:v>
      </x:c>
      <x:c r="H6819" s="1" t="n">
        <x:f>'Historical prices'!E6819</x:f>
        <x:v>1.05</x:v>
      </x:c>
      <x:c r="I6819" s="6" t="n">
        <x:f>'Historical prices'!D6819</x:f>
        <x:v>0.25579999999999997</x:v>
      </x:c>
      <x:c r="J6819" s="13" t="n">
        <x:f>D6819*I6819*H6819</x:f>
        <x:v>0.07225071</x:v>
      </x:c>
      <x:c r="K6819" s="13" t="n">
        <x:f>E6819*I6819*H6819</x:f>
        <x:v>0.07493660999999999</x:v>
      </x:c>
      <x:c r="L6819" s="1" t="str">
        <x:f>TEXT(A6819,"mmm yyyy")</x:f>
        <x:v>Sep 2026</x:v>
      </x:c>
    </x:row>
    <x:row r="6820" ht="21" customHeight="1">
      <x:c r="A6820" s="10" t="n">
        <x:v>46290</x:v>
      </x:c>
      <x:c r="B6820" s="1" t="n">
        <x:v>14</x:v>
      </x:c>
      <x:c r="C6820" s="1" t="n">
        <x:v>6</x:v>
      </x:c>
      <x:c r="D6820" s="12" t="n">
        <x:v>0.186</x:v>
      </x:c>
      <x:c r="E6820" s="12" t="n">
        <x:v>0.197</x:v>
      </x:c>
      <x:c r="F6820" s="12" t="n">
        <x:v>0</x:v>
      </x:c>
      <x:c r="G6820" s="12" t="n">
        <x:v>0</x:v>
      </x:c>
      <x:c r="H6820" s="1" t="n">
        <x:f>'Historical prices'!E6820</x:f>
        <x:v>1.05</x:v>
      </x:c>
      <x:c r="I6820" s="6" t="n">
        <x:f>'Historical prices'!D6820</x:f>
        <x:v>0.2541</x:v>
      </x:c>
      <x:c r="J6820" s="13" t="n">
        <x:f>D6820*I6820*H6820</x:f>
        <x:v>0.04962573</x:v>
      </x:c>
      <x:c r="K6820" s="13" t="n">
        <x:f>E6820*I6820*H6820</x:f>
        <x:v>0.05256058500000001</x:v>
      </x:c>
      <x:c r="L6820" s="1" t="str">
        <x:f>TEXT(A6820,"mmm yyyy")</x:f>
        <x:v>Sep 2026</x:v>
      </x:c>
    </x:row>
    <x:row r="6821" ht="21" customHeight="1">
      <x:c r="A6821" s="10" t="n">
        <x:v>46290</x:v>
      </x:c>
      <x:c r="B6821" s="1" t="n">
        <x:v>14.5</x:v>
      </x:c>
      <x:c r="C6821" s="1" t="n">
        <x:v>6</x:v>
      </x:c>
      <x:c r="D6821" s="12" t="n">
        <x:v>0.17575000000000002</x:v>
      </x:c>
      <x:c r="E6821" s="12" t="n">
        <x:v>0.18575</x:v>
      </x:c>
      <x:c r="F6821" s="12" t="n">
        <x:v>0</x:v>
      </x:c>
      <x:c r="G6821" s="12" t="n">
        <x:v>0</x:v>
      </x:c>
      <x:c r="H6821" s="1" t="n">
        <x:f>'Historical prices'!E6821</x:f>
        <x:v>1.05</x:v>
      </x:c>
      <x:c r="I6821" s="6" t="n">
        <x:f>'Historical prices'!D6821</x:f>
        <x:v>0.2532</x:v>
      </x:c>
      <x:c r="J6821" s="13" t="n">
        <x:f>D6821*I6821*H6821</x:f>
        <x:v>0.046724895</x:v>
      </x:c>
      <x:c r="K6821" s="13" t="n">
        <x:f>E6821*I6821*H6821</x:f>
        <x:v>0.049383495</x:v>
      </x:c>
      <x:c r="L6821" s="1" t="str">
        <x:f>TEXT(A6821,"mmm yyyy")</x:f>
        <x:v>Sep 2026</x:v>
      </x:c>
    </x:row>
    <x:row r="6822" ht="21" customHeight="1">
      <x:c r="A6822" s="10" t="n">
        <x:v>46290</x:v>
      </x:c>
      <x:c r="B6822" s="1" t="n">
        <x:v>15</x:v>
      </x:c>
      <x:c r="C6822" s="1" t="n">
        <x:v>6</x:v>
      </x:c>
      <x:c r="D6822" s="12" t="n">
        <x:v>0.22825</x:v>
      </x:c>
      <x:c r="E6822" s="12" t="n">
        <x:v>0.23925000000000002</x:v>
      </x:c>
      <x:c r="F6822" s="12" t="n">
        <x:v>0</x:v>
      </x:c>
      <x:c r="G6822" s="12" t="n">
        <x:v>0</x:v>
      </x:c>
      <x:c r="H6822" s="1" t="n">
        <x:f>'Historical prices'!E6822</x:f>
        <x:v>1.05</x:v>
      </x:c>
      <x:c r="I6822" s="6" t="n">
        <x:f>'Historical prices'!D6822</x:f>
        <x:v>0.2519</x:v>
      </x:c>
      <x:c r="J6822" s="13" t="n">
        <x:f>D6822*I6822*H6822</x:f>
        <x:v>0.06037098375000001</x:v>
      </x:c>
      <x:c r="K6822" s="13" t="n">
        <x:f>E6822*I6822*H6822</x:f>
        <x:v>0.06328042875000002</x:v>
      </x:c>
      <x:c r="L6822" s="1" t="str">
        <x:f>TEXT(A6822,"mmm yyyy")</x:f>
        <x:v>Sep 2026</x:v>
      </x:c>
    </x:row>
    <x:row r="6823" ht="21" customHeight="1">
      <x:c r="A6823" s="10" t="n">
        <x:v>46290</x:v>
      </x:c>
      <x:c r="B6823" s="1" t="n">
        <x:v>15.5</x:v>
      </x:c>
      <x:c r="C6823" s="1" t="n">
        <x:v>6</x:v>
      </x:c>
      <x:c r="D6823" s="12" t="n">
        <x:v>3.33975</x:v>
      </x:c>
      <x:c r="E6823" s="12" t="n">
        <x:v>0.34175</x:v>
      </x:c>
      <x:c r="F6823" s="12" t="n">
        <x:v>0</x:v>
      </x:c>
      <x:c r="G6823" s="12" t="n">
        <x:v>3</x:v>
      </x:c>
      <x:c r="H6823" s="1" t="n">
        <x:f>'Historical prices'!E6823</x:f>
        <x:v>1.05</x:v>
      </x:c>
      <x:c r="I6823" s="6" t="n">
        <x:f>'Historical prices'!D6823</x:f>
        <x:v>0.2396</x:v>
      </x:c>
      <x:c r="J6823" s="13" t="n">
        <x:f>D6823*I6823*H6823</x:f>
        <x:v>0.840214305</x:v>
      </x:c>
      <x:c r="K6823" s="13" t="n">
        <x:f>E6823*I6823*H6823</x:f>
        <x:v>0.08597746500000002</x:v>
      </x:c>
      <x:c r="L6823" s="1" t="str">
        <x:f>TEXT(A6823,"mmm yyyy")</x:f>
        <x:v>Sep 2026</x:v>
      </x:c>
    </x:row>
    <x:row r="6824" ht="21" customHeight="1">
      <x:c r="A6824" s="10" t="n">
        <x:v>46290</x:v>
      </x:c>
      <x:c r="B6824" s="1" t="n">
        <x:v>16</x:v>
      </x:c>
      <x:c r="C6824" s="1" t="n">
        <x:v>6</x:v>
      </x:c>
      <x:c r="D6824" s="12" t="n">
        <x:v>0.666</x:v>
      </x:c>
      <x:c r="E6824" s="12" t="n">
        <x:v>0.21416666666666667</x:v>
      </x:c>
      <x:c r="F6824" s="12" t="n">
        <x:v>0.15558333333333332</x:v>
      </x:c>
      <x:c r="G6824" s="12" t="n">
        <x:v>0.608</x:v>
      </x:c>
      <x:c r="H6824" s="1" t="n">
        <x:f>'Historical prices'!E6824</x:f>
        <x:v>1.05</x:v>
      </x:c>
      <x:c r="I6824" s="6" t="n">
        <x:f>'Historical prices'!D6824</x:f>
        <x:v>0.423</x:v>
      </x:c>
      <x:c r="J6824" s="13" t="n">
        <x:f>D6824*I6824*H6824</x:f>
        <x:v>0.29580390000000006</x:v>
      </x:c>
      <x:c r="K6824" s="13" t="n">
        <x:f>E6824*I6824*H6824</x:f>
        <x:v>0.09512212500000002</x:v>
      </x:c>
      <x:c r="L6824" s="1" t="str">
        <x:f>TEXT(A6824,"mmm yyyy")</x:f>
        <x:v>Sep 2026</x:v>
      </x:c>
    </x:row>
    <x:row r="6825" ht="21" customHeight="1">
      <x:c r="A6825" s="10" t="n">
        <x:v>46290</x:v>
      </x:c>
      <x:c r="B6825" s="1" t="n">
        <x:v>16.5</x:v>
      </x:c>
      <x:c r="C6825" s="1" t="n">
        <x:v>6</x:v>
      </x:c>
      <x:c r="D6825" s="12" t="n">
        <x:v>0</x:v>
      </x:c>
      <x:c r="E6825" s="12" t="n">
        <x:v>0.26125</x:v>
      </x:c>
      <x:c r="F6825" s="12" t="n">
        <x:v>0.26083333333333336</x:v>
      </x:c>
      <x:c r="G6825" s="12" t="n">
        <x:v>0</x:v>
      </x:c>
      <x:c r="H6825" s="1" t="n">
        <x:f>'Historical prices'!E6825</x:f>
        <x:v>1.05</x:v>
      </x:c>
      <x:c r="I6825" s="6" t="n">
        <x:f>'Historical prices'!D6825</x:f>
        <x:v>0.4446</x:v>
      </x:c>
      <x:c r="J6825" s="13" t="n">
        <x:f>D6825*I6825*H6825</x:f>
        <x:v>0</x:v>
      </x:c>
      <x:c r="K6825" s="13" t="n">
        <x:f>E6825*I6825*H6825</x:f>
        <x:v>0.12195933749999999</x:v>
      </x:c>
      <x:c r="L6825" s="1" t="str">
        <x:f>TEXT(A6825,"mmm yyyy")</x:f>
        <x:v>Sep 2026</x:v>
      </x:c>
    </x:row>
    <x:row r="6826" ht="21" customHeight="1">
      <x:c r="A6826" s="10" t="n">
        <x:v>46290</x:v>
      </x:c>
      <x:c r="B6826" s="1" t="n">
        <x:v>17</x:v>
      </x:c>
      <x:c r="C6826" s="1" t="n">
        <x:v>6</x:v>
      </x:c>
      <x:c r="D6826" s="12" t="n">
        <x:v>0</x:v>
      </x:c>
      <x:c r="E6826" s="12" t="n">
        <x:v>0.2788333333333333</x:v>
      </x:c>
      <x:c r="F6826" s="12" t="n">
        <x:v>0.2783333333333333</x:v>
      </x:c>
      <x:c r="G6826" s="12" t="n">
        <x:v>0</x:v>
      </x:c>
      <x:c r="H6826" s="1" t="n">
        <x:f>'Historical prices'!E6826</x:f>
        <x:v>1.05</x:v>
      </x:c>
      <x:c r="I6826" s="6" t="n">
        <x:f>'Historical prices'!D6826</x:f>
        <x:v>0.5022</x:v>
      </x:c>
      <x:c r="J6826" s="13" t="n">
        <x:f>D6826*I6826*H6826</x:f>
        <x:v>0</x:v>
      </x:c>
      <x:c r="K6826" s="13" t="n">
        <x:f>E6826*I6826*H6826</x:f>
        <x:v>0.147031605</x:v>
      </x:c>
      <x:c r="L6826" s="1" t="str">
        <x:f>TEXT(A6826,"mmm yyyy")</x:f>
        <x:v>Sep 2026</x:v>
      </x:c>
    </x:row>
    <x:row r="6827" ht="21" customHeight="1">
      <x:c r="A6827" s="10" t="n">
        <x:v>46290</x:v>
      </x:c>
      <x:c r="B6827" s="1" t="n">
        <x:v>17.5</x:v>
      </x:c>
      <x:c r="C6827" s="1" t="n">
        <x:v>6</x:v>
      </x:c>
      <x:c r="D6827" s="12" t="n">
        <x:v>0</x:v>
      </x:c>
      <x:c r="E6827" s="12" t="n">
        <x:v>0.27975</x:v>
      </x:c>
      <x:c r="F6827" s="12" t="n">
        <x:v>0.27949999999999997</x:v>
      </x:c>
      <x:c r="G6827" s="12" t="n">
        <x:v>0</x:v>
      </x:c>
      <x:c r="H6827" s="1" t="n">
        <x:f>'Historical prices'!E6827</x:f>
        <x:v>1.05</x:v>
      </x:c>
      <x:c r="I6827" s="6" t="n">
        <x:f>'Historical prices'!D6827</x:f>
        <x:v>0.5205</x:v>
      </x:c>
      <x:c r="J6827" s="13" t="n">
        <x:f>D6827*I6827*H6827</x:f>
        <x:v>0</x:v>
      </x:c>
      <x:c r="K6827" s="13" t="n">
        <x:f>E6827*I6827*H6827</x:f>
        <x:v>0.15289036875</x:v>
      </x:c>
      <x:c r="L6827" s="1" t="str">
        <x:f>TEXT(A6827,"mmm yyyy")</x:f>
        <x:v>Sep 2026</x:v>
      </x:c>
    </x:row>
    <x:row r="6828" ht="21" customHeight="1">
      <x:c r="A6828" s="10" t="n">
        <x:v>46290</x:v>
      </x:c>
      <x:c r="B6828" s="1" t="n">
        <x:v>18</x:v>
      </x:c>
      <x:c r="C6828" s="1" t="n">
        <x:v>6</x:v>
      </x:c>
      <x:c r="D6828" s="12" t="n">
        <x:v>0</x:v>
      </x:c>
      <x:c r="E6828" s="12" t="n">
        <x:v>0.2599166666666667</x:v>
      </x:c>
      <x:c r="F6828" s="12" t="n">
        <x:v>0.25933333333333336</x:v>
      </x:c>
      <x:c r="G6828" s="12" t="n">
        <x:v>0</x:v>
      </x:c>
      <x:c r="H6828" s="1" t="n">
        <x:f>'Historical prices'!E6828</x:f>
        <x:v>1.05</x:v>
      </x:c>
      <x:c r="I6828" s="6" t="n">
        <x:f>'Historical prices'!D6828</x:f>
        <x:v>0.537</x:v>
      </x:c>
      <x:c r="J6828" s="13" t="n">
        <x:f>D6828*I6828*H6828</x:f>
        <x:v>0</x:v>
      </x:c>
      <x:c r="K6828" s="13" t="n">
        <x:f>E6828*I6828*H6828</x:f>
        <x:v>0.14655401250000002</x:v>
      </x:c>
      <x:c r="L6828" s="1" t="str">
        <x:f>TEXT(A6828,"mmm yyyy")</x:f>
        <x:v>Sep 2026</x:v>
      </x:c>
    </x:row>
    <x:row r="6829" ht="21" customHeight="1">
      <x:c r="A6829" s="10" t="n">
        <x:v>46290</x:v>
      </x:c>
      <x:c r="B6829" s="1" t="n">
        <x:v>18.5</x:v>
      </x:c>
      <x:c r="C6829" s="1" t="n">
        <x:v>6</x:v>
      </x:c>
      <x:c r="D6829" s="12" t="n">
        <x:v>0</x:v>
      </x:c>
      <x:c r="E6829" s="12" t="n">
        <x:v>0.30074999999999996</x:v>
      </x:c>
      <x:c r="F6829" s="12" t="n">
        <x:v>0.2991666666666667</x:v>
      </x:c>
      <x:c r="G6829" s="12" t="n">
        <x:v>0</x:v>
      </x:c>
      <x:c r="H6829" s="1" t="n">
        <x:f>'Historical prices'!E6829</x:f>
        <x:v>1.05</x:v>
      </x:c>
      <x:c r="I6829" s="6" t="n">
        <x:f>'Historical prices'!D6829</x:f>
        <x:v>0.5468999999999999</x:v>
      </x:c>
      <x:c r="J6829" s="13" t="n">
        <x:f>D6829*I6829*H6829</x:f>
        <x:v>0</x:v>
      </x:c>
      <x:c r="K6829" s="13" t="n">
        <x:f>E6829*I6829*H6829</x:f>
        <x:v>0.17270418374999996</x:v>
      </x:c>
      <x:c r="L6829" s="1" t="str">
        <x:f>TEXT(A6829,"mmm yyyy")</x:f>
        <x:v>Sep 2026</x:v>
      </x:c>
    </x:row>
    <x:row r="6830" ht="21" customHeight="1">
      <x:c r="A6830" s="10" t="n">
        <x:v>46290</x:v>
      </x:c>
      <x:c r="B6830" s="1" t="n">
        <x:v>19</x:v>
      </x:c>
      <x:c r="C6830" s="1" t="n">
        <x:v>6</x:v>
      </x:c>
      <x:c r="D6830" s="12" t="n">
        <x:v>0</x:v>
      </x:c>
      <x:c r="E6830" s="12" t="n">
        <x:v>0.27849999999999997</x:v>
      </x:c>
      <x:c r="F6830" s="12" t="n">
        <x:v>0.2778333333333333</x:v>
      </x:c>
      <x:c r="G6830" s="12" t="n">
        <x:v>0</x:v>
      </x:c>
      <x:c r="H6830" s="1" t="n">
        <x:f>'Historical prices'!E6830</x:f>
        <x:v>1.05</x:v>
      </x:c>
      <x:c r="I6830" s="6" t="n">
        <x:f>'Historical prices'!D6830</x:f>
        <x:v>0.4108</x:v>
      </x:c>
      <x:c r="J6830" s="13" t="n">
        <x:f>D6830*I6830*H6830</x:f>
        <x:v>0</x:v>
      </x:c>
      <x:c r="K6830" s="13" t="n">
        <x:f>E6830*I6830*H6830</x:f>
        <x:v>0.12012819</x:v>
      </x:c>
      <x:c r="L6830" s="1" t="str">
        <x:f>TEXT(A6830,"mmm yyyy")</x:f>
        <x:v>Sep 2026</x:v>
      </x:c>
    </x:row>
    <x:row r="6831" ht="21" customHeight="1">
      <x:c r="A6831" s="10" t="n">
        <x:v>46290</x:v>
      </x:c>
      <x:c r="B6831" s="1" t="n">
        <x:v>19.5</x:v>
      </x:c>
      <x:c r="C6831" s="1" t="n">
        <x:v>6</x:v>
      </x:c>
      <x:c r="D6831" s="12" t="n">
        <x:v>0</x:v>
      </x:c>
      <x:c r="E6831" s="12" t="n">
        <x:v>0.26016666666666666</x:v>
      </x:c>
      <x:c r="F6831" s="12" t="n">
        <x:v>0.25941666666666663</x:v>
      </x:c>
      <x:c r="G6831" s="12" t="n">
        <x:v>0</x:v>
      </x:c>
      <x:c r="H6831" s="1" t="n">
        <x:f>'Historical prices'!E6831</x:f>
        <x:v>1.05</x:v>
      </x:c>
      <x:c r="I6831" s="6" t="n">
        <x:f>'Historical prices'!D6831</x:f>
        <x:v>0.4044</x:v>
      </x:c>
      <x:c r="J6831" s="13" t="n">
        <x:f>D6831*I6831*H6831</x:f>
        <x:v>0</x:v>
      </x:c>
      <x:c r="K6831" s="13" t="n">
        <x:f>E6831*I6831*H6831</x:f>
        <x:v>0.11047197</x:v>
      </x:c>
      <x:c r="L6831" s="1" t="str">
        <x:f>TEXT(A6831,"mmm yyyy")</x:f>
        <x:v>Sep 2026</x:v>
      </x:c>
    </x:row>
    <x:row r="6832" ht="21" customHeight="1">
      <x:c r="A6832" s="10" t="n">
        <x:v>46290</x:v>
      </x:c>
      <x:c r="B6832" s="1" t="n">
        <x:v>20</x:v>
      </x:c>
      <x:c r="C6832" s="1" t="n">
        <x:v>6</x:v>
      </x:c>
      <x:c r="D6832" s="12" t="n">
        <x:v>0</x:v>
      </x:c>
      <x:c r="E6832" s="12" t="n">
        <x:v>0.2753333333333333</x:v>
      </x:c>
      <x:c r="F6832" s="12" t="n">
        <x:v>0.2748333333333333</x:v>
      </x:c>
      <x:c r="G6832" s="12" t="n">
        <x:v>0</x:v>
      </x:c>
      <x:c r="H6832" s="1" t="n">
        <x:f>'Historical prices'!E6832</x:f>
        <x:v>1.05</x:v>
      </x:c>
      <x:c r="I6832" s="6" t="n">
        <x:f>'Historical prices'!D6832</x:f>
        <x:v>0.37439999999999996</x:v>
      </x:c>
      <x:c r="J6832" s="13" t="n">
        <x:f>D6832*I6832*H6832</x:f>
        <x:v>0</x:v>
      </x:c>
      <x:c r="K6832" s="13" t="n">
        <x:f>E6832*I6832*H6832</x:f>
        <x:v>0.10823903999999998</x:v>
      </x:c>
      <x:c r="L6832" s="1" t="str">
        <x:f>TEXT(A6832,"mmm yyyy")</x:f>
        <x:v>Sep 2026</x:v>
      </x:c>
    </x:row>
    <x:row r="6833" ht="21" customHeight="1">
      <x:c r="A6833" s="10" t="n">
        <x:v>46290</x:v>
      </x:c>
      <x:c r="B6833" s="1" t="n">
        <x:v>20.5</x:v>
      </x:c>
      <x:c r="C6833" s="1" t="n">
        <x:v>6</x:v>
      </x:c>
      <x:c r="D6833" s="12" t="n">
        <x:v>0</x:v>
      </x:c>
      <x:c r="E6833" s="12" t="n">
        <x:v>0.2771666666666667</x:v>
      </x:c>
      <x:c r="F6833" s="12" t="n">
        <x:v>0.27675</x:v>
      </x:c>
      <x:c r="G6833" s="12" t="n">
        <x:v>0</x:v>
      </x:c>
      <x:c r="H6833" s="1" t="n">
        <x:f>'Historical prices'!E6833</x:f>
        <x:v>1.05</x:v>
      </x:c>
      <x:c r="I6833" s="6" t="n">
        <x:f>'Historical prices'!D6833</x:f>
        <x:v>0.3613</x:v>
      </x:c>
      <x:c r="J6833" s="13" t="n">
        <x:f>D6833*I6833*H6833</x:f>
        <x:v>0</x:v>
      </x:c>
      <x:c r="K6833" s="13" t="n">
        <x:f>E6833*I6833*H6833</x:f>
        <x:v>0.10514733250000001</x:v>
      </x:c>
      <x:c r="L6833" s="1" t="str">
        <x:f>TEXT(A6833,"mmm yyyy")</x:f>
        <x:v>Sep 2026</x:v>
      </x:c>
    </x:row>
    <x:row r="6834" ht="21" customHeight="1">
      <x:c r="A6834" s="10" t="n">
        <x:v>46290</x:v>
      </x:c>
      <x:c r="B6834" s="1" t="n">
        <x:v>21</x:v>
      </x:c>
      <x:c r="C6834" s="1" t="n">
        <x:v>6</x:v>
      </x:c>
      <x:c r="D6834" s="12" t="n">
        <x:v>0</x:v>
      </x:c>
      <x:c r="E6834" s="12" t="n">
        <x:v>0.29008333333333336</x:v>
      </x:c>
      <x:c r="F6834" s="12" t="n">
        <x:v>0.2895833333333333</x:v>
      </x:c>
      <x:c r="G6834" s="12" t="n">
        <x:v>0</x:v>
      </x:c>
      <x:c r="H6834" s="1" t="n">
        <x:f>'Historical prices'!E6834</x:f>
        <x:v>1.05</x:v>
      </x:c>
      <x:c r="I6834" s="6" t="n">
        <x:f>'Historical prices'!D6834</x:f>
        <x:v>0.3348</x:v>
      </x:c>
      <x:c r="J6834" s="13" t="n">
        <x:f>D6834*I6834*H6834</x:f>
        <x:v>0</x:v>
      </x:c>
      <x:c r="K6834" s="13" t="n">
        <x:f>E6834*I6834*H6834</x:f>
        <x:v>0.10197589500000001</x:v>
      </x:c>
      <x:c r="L6834" s="1" t="str">
        <x:f>TEXT(A6834,"mmm yyyy")</x:f>
        <x:v>Sep 2026</x:v>
      </x:c>
    </x:row>
    <x:row r="6835" ht="21" customHeight="1">
      <x:c r="A6835" s="10" t="n">
        <x:v>46290</x:v>
      </x:c>
      <x:c r="B6835" s="1" t="n">
        <x:v>21.5</x:v>
      </x:c>
      <x:c r="C6835" s="1" t="n">
        <x:v>6</x:v>
      </x:c>
      <x:c r="D6835" s="12" t="n">
        <x:v>0</x:v>
      </x:c>
      <x:c r="E6835" s="12" t="n">
        <x:v>0.34691666666666665</x:v>
      </x:c>
      <x:c r="F6835" s="12" t="n">
        <x:v>0.3463333333333333</x:v>
      </x:c>
      <x:c r="G6835" s="12" t="n">
        <x:v>0</x:v>
      </x:c>
      <x:c r="H6835" s="1" t="n">
        <x:f>'Historical prices'!E6835</x:f>
        <x:v>1.05</x:v>
      </x:c>
      <x:c r="I6835" s="6" t="n">
        <x:f>'Historical prices'!D6835</x:f>
        <x:v>0.3136</x:v>
      </x:c>
      <x:c r="J6835" s="13" t="n">
        <x:f>D6835*I6835*H6835</x:f>
        <x:v>0</x:v>
      </x:c>
      <x:c r="K6835" s="13" t="n">
        <x:f>E6835*I6835*H6835</x:f>
        <x:v>0.11423272</x:v>
      </x:c>
      <x:c r="L6835" s="1" t="str">
        <x:f>TEXT(A6835,"mmm yyyy")</x:f>
        <x:v>Sep 2026</x:v>
      </x:c>
    </x:row>
    <x:row r="6836" ht="21" customHeight="1">
      <x:c r="A6836" s="10" t="n">
        <x:v>46290</x:v>
      </x:c>
      <x:c r="B6836" s="1" t="n">
        <x:v>22</x:v>
      </x:c>
      <x:c r="C6836" s="1" t="n">
        <x:v>6</x:v>
      </x:c>
      <x:c r="D6836" s="12" t="n">
        <x:v>0</x:v>
      </x:c>
      <x:c r="E6836" s="12" t="n">
        <x:v>0.2383333333333333</x:v>
      </x:c>
      <x:c r="F6836" s="12" t="n">
        <x:v>0.2376666666666667</x:v>
      </x:c>
      <x:c r="G6836" s="12" t="n">
        <x:v>0</x:v>
      </x:c>
      <x:c r="H6836" s="1" t="n">
        <x:f>'Historical prices'!E6836</x:f>
        <x:v>1.05</x:v>
      </x:c>
      <x:c r="I6836" s="6" t="n">
        <x:f>'Historical prices'!D6836</x:f>
        <x:v>0.2923</x:v>
      </x:c>
      <x:c r="J6836" s="13" t="n">
        <x:f>D6836*I6836*H6836</x:f>
        <x:v>0</x:v>
      </x:c>
      <x:c r="K6836" s="13" t="n">
        <x:f>E6836*I6836*H6836</x:f>
        <x:v>0.07314807499999999</x:v>
      </x:c>
      <x:c r="L6836" s="1" t="str">
        <x:f>TEXT(A6836,"mmm yyyy")</x:f>
        <x:v>Sep 2026</x:v>
      </x:c>
    </x:row>
    <x:row r="6837" ht="21" customHeight="1">
      <x:c r="A6837" s="10" t="n">
        <x:v>46290</x:v>
      </x:c>
      <x:c r="B6837" s="1" t="n">
        <x:v>22.5</x:v>
      </x:c>
      <x:c r="C6837" s="1" t="n">
        <x:v>6</x:v>
      </x:c>
      <x:c r="D6837" s="12" t="n">
        <x:v>0</x:v>
      </x:c>
      <x:c r="E6837" s="12" t="n">
        <x:v>0.27075</x:v>
      </x:c>
      <x:c r="F6837" s="12" t="n">
        <x:v>0.27066666666666667</x:v>
      </x:c>
      <x:c r="G6837" s="12" t="n">
        <x:v>0</x:v>
      </x:c>
      <x:c r="H6837" s="1" t="n">
        <x:f>'Historical prices'!E6837</x:f>
        <x:v>1.05</x:v>
      </x:c>
      <x:c r="I6837" s="6" t="n">
        <x:f>'Historical prices'!D6837</x:f>
        <x:v>0.29109999999999997</x:v>
      </x:c>
      <x:c r="J6837" s="13" t="n">
        <x:f>D6837*I6837*H6837</x:f>
        <x:v>0</x:v>
      </x:c>
      <x:c r="K6837" s="13" t="n">
        <x:f>E6837*I6837*H6837</x:f>
        <x:v>0.08275609125</x:v>
      </x:c>
      <x:c r="L6837" s="1" t="str">
        <x:f>TEXT(A6837,"mmm yyyy")</x:f>
        <x:v>Sep 2026</x:v>
      </x:c>
    </x:row>
    <x:row r="6838" ht="21" customHeight="1">
      <x:c r="A6838" s="10" t="n">
        <x:v>46290</x:v>
      </x:c>
      <x:c r="B6838" s="1" t="n">
        <x:v>23</x:v>
      </x:c>
      <x:c r="C6838" s="1" t="n">
        <x:v>6</x:v>
      </x:c>
      <x:c r="D6838" s="12" t="n">
        <x:v>0</x:v>
      </x:c>
      <x:c r="E6838" s="12" t="n">
        <x:v>0.26975000000000005</x:v>
      </x:c>
      <x:c r="F6838" s="12" t="n">
        <x:v>0.26925000000000004</x:v>
      </x:c>
      <x:c r="G6838" s="12" t="n">
        <x:v>0</x:v>
      </x:c>
      <x:c r="H6838" s="1" t="n">
        <x:f>'Historical prices'!E6838</x:f>
        <x:v>1.05</x:v>
      </x:c>
      <x:c r="I6838" s="6" t="n">
        <x:f>'Historical prices'!D6838</x:f>
        <x:v>0.3317</x:v>
      </x:c>
      <x:c r="J6838" s="13" t="n">
        <x:f>D6838*I6838*H6838</x:f>
        <x:v>0</x:v>
      </x:c>
      <x:c r="K6838" s="13" t="n">
        <x:f>E6838*I6838*H6838</x:f>
        <x:v>0.09394987875000002</x:v>
      </x:c>
      <x:c r="L6838" s="1" t="str">
        <x:f>TEXT(A6838,"mmm yyyy")</x:f>
        <x:v>Sep 2026</x:v>
      </x:c>
    </x:row>
    <x:row r="6839" ht="21" customHeight="1">
      <x:c r="A6839" s="10" t="n">
        <x:v>46290</x:v>
      </x:c>
      <x:c r="B6839" s="1" t="n">
        <x:v>23.5</x:v>
      </x:c>
      <x:c r="C6839" s="1" t="n">
        <x:v>6</x:v>
      </x:c>
      <x:c r="D6839" s="12" t="n">
        <x:v>0</x:v>
      </x:c>
      <x:c r="E6839" s="12" t="n">
        <x:v>0.20316666666666666</x:v>
      </x:c>
      <x:c r="F6839" s="12" t="n">
        <x:v>0.2025</x:v>
      </x:c>
      <x:c r="G6839" s="12" t="n">
        <x:v>0</x:v>
      </x:c>
      <x:c r="H6839" s="1" t="n">
        <x:f>'Historical prices'!E6839</x:f>
        <x:v>1.05</x:v>
      </x:c>
      <x:c r="I6839" s="6" t="n">
        <x:f>'Historical prices'!D6839</x:f>
        <x:v>0.309</x:v>
      </x:c>
      <x:c r="J6839" s="13" t="n">
        <x:f>D6839*I6839*H6839</x:f>
        <x:v>0</x:v>
      </x:c>
      <x:c r="K6839" s="13" t="n">
        <x:f>E6839*I6839*H6839</x:f>
        <x:v>0.065917425</x:v>
      </x:c>
      <x:c r="L6839" s="1" t="str">
        <x:f>TEXT(A6839,"mmm yyyy")</x:f>
        <x:v>Sep 2026</x:v>
      </x:c>
    </x:row>
    <x:row r="6840" ht="21" customHeight="1">
      <x:c r="A6840" s="10" t="n">
        <x:v>46291</x:v>
      </x:c>
      <x:c r="B6840" s="1" t="n">
        <x:v>0</x:v>
      </x:c>
      <x:c r="C6840" s="1" t="n">
        <x:v>6</x:v>
      </x:c>
      <x:c r="D6840" s="12" t="n">
        <x:v>0</x:v>
      </x:c>
      <x:c r="E6840" s="12" t="n">
        <x:v>0.2095833333333333</x:v>
      </x:c>
      <x:c r="F6840" s="12" t="n">
        <x:v>0.20925</x:v>
      </x:c>
      <x:c r="G6840" s="12" t="n">
        <x:v>0</x:v>
      </x:c>
      <x:c r="H6840" s="1" t="n">
        <x:f>'Historical prices'!E6840</x:f>
        <x:v>1.05</x:v>
      </x:c>
      <x:c r="I6840" s="6" t="n">
        <x:f>'Historical prices'!D6840</x:f>
        <x:v>0.3025</x:v>
      </x:c>
      <x:c r="J6840" s="13" t="n">
        <x:f>D6840*I6840*H6840</x:f>
        <x:v>0</x:v>
      </x:c>
      <x:c r="K6840" s="13" t="n">
        <x:f>E6840*I6840*H6840</x:f>
        <x:v>0.06656890624999999</x:v>
      </x:c>
      <x:c r="L6840" s="1" t="str">
        <x:f>TEXT(A6840,"mmm yyyy")</x:f>
        <x:v>Sep 2026</x:v>
      </x:c>
    </x:row>
    <x:row r="6841" ht="21" customHeight="1">
      <x:c r="A6841" s="10" t="n">
        <x:v>46291</x:v>
      </x:c>
      <x:c r="B6841" s="1" t="n">
        <x:v>0.5</x:v>
      </x:c>
      <x:c r="C6841" s="1" t="n">
        <x:v>6</x:v>
      </x:c>
      <x:c r="D6841" s="12" t="n">
        <x:v>0</x:v>
      </x:c>
      <x:c r="E6841" s="12" t="n">
        <x:v>0.29225</x:v>
      </x:c>
      <x:c r="F6841" s="12" t="n">
        <x:v>0.29166666666666663</x:v>
      </x:c>
      <x:c r="G6841" s="12" t="n">
        <x:v>0</x:v>
      </x:c>
      <x:c r="H6841" s="1" t="n">
        <x:f>'Historical prices'!E6841</x:f>
        <x:v>1.05</x:v>
      </x:c>
      <x:c r="I6841" s="6" t="n">
        <x:f>'Historical prices'!D6841</x:f>
        <x:v>0.2858</x:v>
      </x:c>
      <x:c r="J6841" s="13" t="n">
        <x:f>D6841*I6841*H6841</x:f>
        <x:v>0</x:v>
      </x:c>
      <x:c r="K6841" s="13" t="n">
        <x:f>E6841*I6841*H6841</x:f>
        <x:v>0.08770130250000001</x:v>
      </x:c>
      <x:c r="L6841" s="1" t="str">
        <x:f>TEXT(A6841,"mmm yyyy")</x:f>
        <x:v>Sep 2026</x:v>
      </x:c>
    </x:row>
    <x:row r="6842" ht="21" customHeight="1">
      <x:c r="A6842" s="10" t="n">
        <x:v>46291</x:v>
      </x:c>
      <x:c r="B6842" s="1" t="n">
        <x:v>1</x:v>
      </x:c>
      <x:c r="C6842" s="1" t="n">
        <x:v>6</x:v>
      </x:c>
      <x:c r="D6842" s="12" t="n">
        <x:v>0</x:v>
      </x:c>
      <x:c r="E6842" s="12" t="n">
        <x:v>0.2618333333333333</x:v>
      </x:c>
      <x:c r="F6842" s="12" t="n">
        <x:v>0.26141666666666663</x:v>
      </x:c>
      <x:c r="G6842" s="12" t="n">
        <x:v>0</x:v>
      </x:c>
      <x:c r="H6842" s="1" t="n">
        <x:f>'Historical prices'!E6842</x:f>
        <x:v>1.05</x:v>
      </x:c>
      <x:c r="I6842" s="6" t="n">
        <x:f>'Historical prices'!D6842</x:f>
        <x:v>0.2792</x:v>
      </x:c>
      <x:c r="J6842" s="13" t="n">
        <x:f>D6842*I6842*H6842</x:f>
        <x:v>0</x:v>
      </x:c>
      <x:c r="K6842" s="13" t="n">
        <x:f>E6842*I6842*H6842</x:f>
        <x:v>0.07675905999999999</x:v>
      </x:c>
      <x:c r="L6842" s="1" t="str">
        <x:f>TEXT(A6842,"mmm yyyy")</x:f>
        <x:v>Sep 2026</x:v>
      </x:c>
    </x:row>
    <x:row r="6843" ht="21" customHeight="1">
      <x:c r="A6843" s="10" t="n">
        <x:v>46291</x:v>
      </x:c>
      <x:c r="B6843" s="1" t="n">
        <x:v>1.5</x:v>
      </x:c>
      <x:c r="C6843" s="1" t="n">
        <x:v>6</x:v>
      </x:c>
      <x:c r="D6843" s="12" t="n">
        <x:v>0</x:v>
      </x:c>
      <x:c r="E6843" s="12" t="n">
        <x:v>0.3080833333333333</x:v>
      </x:c>
      <x:c r="F6843" s="12" t="n">
        <x:v>0.3058333333333333</x:v>
      </x:c>
      <x:c r="G6843" s="12" t="n">
        <x:v>0</x:v>
      </x:c>
      <x:c r="H6843" s="1" t="n">
        <x:f>'Historical prices'!E6843</x:f>
        <x:v>1.05</x:v>
      </x:c>
      <x:c r="I6843" s="6" t="n">
        <x:f>'Historical prices'!D6843</x:f>
        <x:v>0.26899999999999996</x:v>
      </x:c>
      <x:c r="J6843" s="13" t="n">
        <x:f>D6843*I6843*H6843</x:f>
        <x:v>0</x:v>
      </x:c>
      <x:c r="K6843" s="13" t="n">
        <x:f>E6843*I6843*H6843</x:f>
        <x:v>0.08701813749999998</x:v>
      </x:c>
      <x:c r="L6843" s="1" t="str">
        <x:f>TEXT(A6843,"mmm yyyy")</x:f>
        <x:v>Sep 2026</x:v>
      </x:c>
    </x:row>
    <x:row r="6844" ht="21" customHeight="1">
      <x:c r="A6844" s="10" t="n">
        <x:v>46291</x:v>
      </x:c>
      <x:c r="B6844" s="1" t="n">
        <x:v>2</x:v>
      </x:c>
      <x:c r="C6844" s="1" t="n">
        <x:v>6</x:v>
      </x:c>
      <x:c r="D6844" s="12" t="n">
        <x:v>0</x:v>
      </x:c>
      <x:c r="E6844" s="12" t="n">
        <x:v>0.27208333333333334</x:v>
      </x:c>
      <x:c r="F6844" s="12" t="n">
        <x:v>0.27149999999999996</x:v>
      </x:c>
      <x:c r="G6844" s="12" t="n">
        <x:v>0</x:v>
      </x:c>
      <x:c r="H6844" s="1" t="n">
        <x:f>'Historical prices'!E6844</x:f>
        <x:v>1.05</x:v>
      </x:c>
      <x:c r="I6844" s="6" t="n">
        <x:f>'Historical prices'!D6844</x:f>
        <x:v>0.2685</x:v>
      </x:c>
      <x:c r="J6844" s="13" t="n">
        <x:f>D6844*I6844*H6844</x:f>
        <x:v>0</x:v>
      </x:c>
      <x:c r="K6844" s="13" t="n">
        <x:f>E6844*I6844*H6844</x:f>
        <x:v>0.07670709375000001</x:v>
      </x:c>
      <x:c r="L6844" s="1" t="str">
        <x:f>TEXT(A6844,"mmm yyyy")</x:f>
        <x:v>Sep 2026</x:v>
      </x:c>
    </x:row>
    <x:row r="6845" ht="21" customHeight="1">
      <x:c r="A6845" s="10" t="n">
        <x:v>46291</x:v>
      </x:c>
      <x:c r="B6845" s="1" t="n">
        <x:v>2.5</x:v>
      </x:c>
      <x:c r="C6845" s="1" t="n">
        <x:v>6</x:v>
      </x:c>
      <x:c r="D6845" s="12" t="n">
        <x:v>0</x:v>
      </x:c>
      <x:c r="E6845" s="12" t="n">
        <x:v>0.25575</x:v>
      </x:c>
      <x:c r="F6845" s="12" t="n">
        <x:v>0.24958333333333338</x:v>
      </x:c>
      <x:c r="G6845" s="12" t="n">
        <x:v>0</x:v>
      </x:c>
      <x:c r="H6845" s="1" t="n">
        <x:f>'Historical prices'!E6845</x:f>
        <x:v>1.05</x:v>
      </x:c>
      <x:c r="I6845" s="6" t="n">
        <x:f>'Historical prices'!D6845</x:f>
        <x:v>0.2642</x:v>
      </x:c>
      <x:c r="J6845" s="13" t="n">
        <x:f>D6845*I6845*H6845</x:f>
        <x:v>0</x:v>
      </x:c>
      <x:c r="K6845" s="13" t="n">
        <x:f>E6845*I6845*H6845</x:f>
        <x:v>0.0709476075</x:v>
      </x:c>
      <x:c r="L6845" s="1" t="str">
        <x:f>TEXT(A6845,"mmm yyyy")</x:f>
        <x:v>Sep 2026</x:v>
      </x:c>
    </x:row>
    <x:row r="6846" ht="21" customHeight="1">
      <x:c r="A6846" s="10" t="n">
        <x:v>46291</x:v>
      </x:c>
      <x:c r="B6846" s="1" t="n">
        <x:v>3</x:v>
      </x:c>
      <x:c r="C6846" s="1" t="n">
        <x:v>6</x:v>
      </x:c>
      <x:c r="D6846" s="12" t="n">
        <x:v>0</x:v>
      </x:c>
      <x:c r="E6846" s="12" t="n">
        <x:v>0.23083333333333333</x:v>
      </x:c>
      <x:c r="F6846" s="12" t="n">
        <x:v>0.23033333333333333</x:v>
      </x:c>
      <x:c r="G6846" s="12" t="n">
        <x:v>0</x:v>
      </x:c>
      <x:c r="H6846" s="1" t="n">
        <x:f>'Historical prices'!E6846</x:f>
        <x:v>1.05</x:v>
      </x:c>
      <x:c r="I6846" s="6" t="n">
        <x:f>'Historical prices'!D6846</x:f>
        <x:v>0.2646</x:v>
      </x:c>
      <x:c r="J6846" s="13" t="n">
        <x:f>D6846*I6846*H6846</x:f>
        <x:v>0</x:v>
      </x:c>
      <x:c r="K6846" s="13" t="n">
        <x:f>E6846*I6846*H6846</x:f>
        <x:v>0.064132425</x:v>
      </x:c>
      <x:c r="L6846" s="1" t="str">
        <x:f>TEXT(A6846,"mmm yyyy")</x:f>
        <x:v>Sep 2026</x:v>
      </x:c>
    </x:row>
    <x:row r="6847" ht="21" customHeight="1">
      <x:c r="A6847" s="10" t="n">
        <x:v>46291</x:v>
      </x:c>
      <x:c r="B6847" s="1" t="n">
        <x:v>3.5</x:v>
      </x:c>
      <x:c r="C6847" s="1" t="n">
        <x:v>6</x:v>
      </x:c>
      <x:c r="D6847" s="12" t="n">
        <x:v>0</x:v>
      </x:c>
      <x:c r="E6847" s="12" t="n">
        <x:v>0.26925</x:v>
      </x:c>
      <x:c r="F6847" s="12" t="n">
        <x:v>0.2683333333333333</x:v>
      </x:c>
      <x:c r="G6847" s="12" t="n">
        <x:v>0</x:v>
      </x:c>
      <x:c r="H6847" s="1" t="n">
        <x:f>'Historical prices'!E6847</x:f>
        <x:v>1.05</x:v>
      </x:c>
      <x:c r="I6847" s="6" t="n">
        <x:f>'Historical prices'!D6847</x:f>
        <x:v>0.2575</x:v>
      </x:c>
      <x:c r="J6847" s="13" t="n">
        <x:f>D6847*I6847*H6847</x:f>
        <x:v>0</x:v>
      </x:c>
      <x:c r="K6847" s="13" t="n">
        <x:f>E6847*I6847*H6847</x:f>
        <x:v>0.07279846875</x:v>
      </x:c>
      <x:c r="L6847" s="1" t="str">
        <x:f>TEXT(A6847,"mmm yyyy")</x:f>
        <x:v>Sep 2026</x:v>
      </x:c>
    </x:row>
    <x:row r="6848" ht="21" customHeight="1">
      <x:c r="A6848" s="10" t="n">
        <x:v>46291</x:v>
      </x:c>
      <x:c r="B6848" s="1" t="n">
        <x:v>4</x:v>
      </x:c>
      <x:c r="C6848" s="1" t="n">
        <x:v>6</x:v>
      </x:c>
      <x:c r="D6848" s="12" t="n">
        <x:v>0</x:v>
      </x:c>
      <x:c r="E6848" s="12" t="n">
        <x:v>0.24358333333333332</x:v>
      </x:c>
      <x:c r="F6848" s="12" t="n">
        <x:v>0.24308333333333332</x:v>
      </x:c>
      <x:c r="G6848" s="12" t="n">
        <x:v>0</x:v>
      </x:c>
      <x:c r="H6848" s="1" t="n">
        <x:f>'Historical prices'!E6848</x:f>
        <x:v>1.05</x:v>
      </x:c>
      <x:c r="I6848" s="6" t="n">
        <x:f>'Historical prices'!D6848</x:f>
        <x:v>0.272</x:v>
      </x:c>
      <x:c r="J6848" s="13" t="n">
        <x:f>D6848*I6848*H6848</x:f>
        <x:v>0</x:v>
      </x:c>
      <x:c r="K6848" s="13" t="n">
        <x:f>E6848*I6848*H6848</x:f>
        <x:v>0.0695674</x:v>
      </x:c>
      <x:c r="L6848" s="1" t="str">
        <x:f>TEXT(A6848,"mmm yyyy")</x:f>
        <x:v>Sep 2026</x:v>
      </x:c>
    </x:row>
    <x:row r="6849" ht="21" customHeight="1">
      <x:c r="A6849" s="10" t="n">
        <x:v>46291</x:v>
      </x:c>
      <x:c r="B6849" s="1" t="n">
        <x:v>4.5</x:v>
      </x:c>
      <x:c r="C6849" s="1" t="n">
        <x:v>6</x:v>
      </x:c>
      <x:c r="D6849" s="12" t="n">
        <x:v>0</x:v>
      </x:c>
      <x:c r="E6849" s="12" t="n">
        <x:v>0.23791666666666667</x:v>
      </x:c>
      <x:c r="F6849" s="12" t="n">
        <x:v>0.2346666666666667</x:v>
      </x:c>
      <x:c r="G6849" s="12" t="n">
        <x:v>0</x:v>
      </x:c>
      <x:c r="H6849" s="1" t="n">
        <x:f>'Historical prices'!E6849</x:f>
        <x:v>1.05</x:v>
      </x:c>
      <x:c r="I6849" s="6" t="n">
        <x:f>'Historical prices'!D6849</x:f>
        <x:v>0.2648</x:v>
      </x:c>
      <x:c r="J6849" s="13" t="n">
        <x:f>D6849*I6849*H6849</x:f>
        <x:v>0</x:v>
      </x:c>
      <x:c r="K6849" s="13" t="n">
        <x:f>E6849*I6849*H6849</x:f>
        <x:v>0.06615035</x:v>
      </x:c>
      <x:c r="L6849" s="1" t="str">
        <x:f>TEXT(A6849,"mmm yyyy")</x:f>
        <x:v>Sep 2026</x:v>
      </x:c>
    </x:row>
    <x:row r="6850" ht="21" customHeight="1">
      <x:c r="A6850" s="10" t="n">
        <x:v>46291</x:v>
      </x:c>
      <x:c r="B6850" s="1" t="n">
        <x:v>5</x:v>
      </x:c>
      <x:c r="C6850" s="1" t="n">
        <x:v>6</x:v>
      </x:c>
      <x:c r="D6850" s="12" t="n">
        <x:v>0</x:v>
      </x:c>
      <x:c r="E6850" s="12" t="n">
        <x:v>0.27375</x:v>
      </x:c>
      <x:c r="F6850" s="12" t="n">
        <x:v>0.27325</x:v>
      </x:c>
      <x:c r="G6850" s="12" t="n">
        <x:v>0</x:v>
      </x:c>
      <x:c r="H6850" s="1" t="n">
        <x:f>'Historical prices'!E6850</x:f>
        <x:v>1.05</x:v>
      </x:c>
      <x:c r="I6850" s="6" t="n">
        <x:f>'Historical prices'!D6850</x:f>
        <x:v>0.2945</x:v>
      </x:c>
      <x:c r="J6850" s="13" t="n">
        <x:f>D6850*I6850*H6850</x:f>
        <x:v>0</x:v>
      </x:c>
      <x:c r="K6850" s="13" t="n">
        <x:f>E6850*I6850*H6850</x:f>
        <x:v>0.08465034375</x:v>
      </x:c>
      <x:c r="L6850" s="1" t="str">
        <x:f>TEXT(A6850,"mmm yyyy")</x:f>
        <x:v>Sep 2026</x:v>
      </x:c>
    </x:row>
    <x:row r="6851" ht="21" customHeight="1">
      <x:c r="A6851" s="10" t="n">
        <x:v>46291</x:v>
      </x:c>
      <x:c r="B6851" s="1" t="n">
        <x:v>5.5</x:v>
      </x:c>
      <x:c r="C6851" s="1" t="n">
        <x:v>6</x:v>
      </x:c>
      <x:c r="D6851" s="12" t="n">
        <x:v>0</x:v>
      </x:c>
      <x:c r="E6851" s="12" t="n">
        <x:v>0.2520833333333334</x:v>
      </x:c>
      <x:c r="F6851" s="12" t="n">
        <x:v>0.25133333333333335</x:v>
      </x:c>
      <x:c r="G6851" s="12" t="n">
        <x:v>0</x:v>
      </x:c>
      <x:c r="H6851" s="1" t="n">
        <x:f>'Historical prices'!E6851</x:f>
        <x:v>1.05</x:v>
      </x:c>
      <x:c r="I6851" s="6" t="n">
        <x:f>'Historical prices'!D6851</x:f>
        <x:v>0.2989</x:v>
      </x:c>
      <x:c r="J6851" s="13" t="n">
        <x:f>D6851*I6851*H6851</x:f>
        <x:v>0</x:v>
      </x:c>
      <x:c r="K6851" s="13" t="n">
        <x:f>E6851*I6851*H6851</x:f>
        <x:v>0.07911509375000002</x:v>
      </x:c>
      <x:c r="L6851" s="1" t="str">
        <x:f>TEXT(A6851,"mmm yyyy")</x:f>
        <x:v>Sep 2026</x:v>
      </x:c>
    </x:row>
    <x:row r="6852" ht="21" customHeight="1">
      <x:c r="A6852" s="10" t="n">
        <x:v>46291</x:v>
      </x:c>
      <x:c r="B6852" s="1" t="n">
        <x:v>6</x:v>
      </x:c>
      <x:c r="C6852" s="1" t="n">
        <x:v>6</x:v>
      </x:c>
      <x:c r="D6852" s="12" t="n">
        <x:v>0</x:v>
      </x:c>
      <x:c r="E6852" s="12" t="n">
        <x:v>0.32808333333333334</x:v>
      </x:c>
      <x:c r="F6852" s="12" t="n">
        <x:v>0.32766666666666666</x:v>
      </x:c>
      <x:c r="G6852" s="12" t="n">
        <x:v>0</x:v>
      </x:c>
      <x:c r="H6852" s="1" t="n">
        <x:f>'Historical prices'!E6852</x:f>
        <x:v>1.05</x:v>
      </x:c>
      <x:c r="I6852" s="6" t="n">
        <x:f>'Historical prices'!D6852</x:f>
        <x:v>0.3176</x:v>
      </x:c>
      <x:c r="J6852" s="13" t="n">
        <x:f>D6852*I6852*H6852</x:f>
        <x:v>0</x:v>
      </x:c>
      <x:c r="K6852" s="13" t="n">
        <x:f>E6852*I6852*H6852</x:f>
        <x:v>0.10940923</x:v>
      </x:c>
      <x:c r="L6852" s="1" t="str">
        <x:f>TEXT(A6852,"mmm yyyy")</x:f>
        <x:v>Sep 2026</x:v>
      </x:c>
    </x:row>
    <x:row r="6853" ht="21" customHeight="1">
      <x:c r="A6853" s="10" t="n">
        <x:v>46291</x:v>
      </x:c>
      <x:c r="B6853" s="1" t="n">
        <x:v>6.5</x:v>
      </x:c>
      <x:c r="C6853" s="1" t="n">
        <x:v>6</x:v>
      </x:c>
      <x:c r="D6853" s="12" t="n">
        <x:v>0</x:v>
      </x:c>
      <x:c r="E6853" s="12" t="n">
        <x:v>0.31933333333333325</x:v>
      </x:c>
      <x:c r="F6853" s="12" t="n">
        <x:v>0.3189166666666666</x:v>
      </x:c>
      <x:c r="G6853" s="12" t="n">
        <x:v>0</x:v>
      </x:c>
      <x:c r="H6853" s="1" t="n">
        <x:f>'Historical prices'!E6853</x:f>
        <x:v>1.05</x:v>
      </x:c>
      <x:c r="I6853" s="6" t="n">
        <x:f>'Historical prices'!D6853</x:f>
        <x:v>0.3422</x:v>
      </x:c>
      <x:c r="J6853" s="13" t="n">
        <x:f>D6853*I6853*H6853</x:f>
        <x:v>0</x:v>
      </x:c>
      <x:c r="K6853" s="13" t="n">
        <x:f>E6853*I6853*H6853</x:f>
        <x:v>0.11473965999999998</x:v>
      </x:c>
      <x:c r="L6853" s="1" t="str">
        <x:f>TEXT(A6853,"mmm yyyy")</x:f>
        <x:v>Sep 2026</x:v>
      </x:c>
    </x:row>
    <x:row r="6854" ht="21" customHeight="1">
      <x:c r="A6854" s="10" t="n">
        <x:v>46291</x:v>
      </x:c>
      <x:c r="B6854" s="1" t="n">
        <x:v>7</x:v>
      </x:c>
      <x:c r="C6854" s="1" t="n">
        <x:v>6</x:v>
      </x:c>
      <x:c r="D6854" s="12" t="n">
        <x:v>0</x:v>
      </x:c>
      <x:c r="E6854" s="12" t="n">
        <x:v>0.3114166666666667</x:v>
      </x:c>
      <x:c r="F6854" s="12" t="n">
        <x:v>0.3104166666666666</x:v>
      </x:c>
      <x:c r="G6854" s="12" t="n">
        <x:v>0</x:v>
      </x:c>
      <x:c r="H6854" s="1" t="n">
        <x:f>'Historical prices'!E6854</x:f>
        <x:v>1.05</x:v>
      </x:c>
      <x:c r="I6854" s="6" t="n">
        <x:f>'Historical prices'!D6854</x:f>
        <x:v>0.3118</x:v>
      </x:c>
      <x:c r="J6854" s="13" t="n">
        <x:f>D6854*I6854*H6854</x:f>
        <x:v>0</x:v>
      </x:c>
      <x:c r="K6854" s="13" t="n">
        <x:f>E6854*I6854*H6854</x:f>
        <x:v>0.10195470250000002</x:v>
      </x:c>
      <x:c r="L6854" s="1" t="str">
        <x:f>TEXT(A6854,"mmm yyyy")</x:f>
        <x:v>Sep 2026</x:v>
      </x:c>
    </x:row>
    <x:row r="6855" ht="21" customHeight="1">
      <x:c r="A6855" s="10" t="n">
        <x:v>46291</x:v>
      </x:c>
      <x:c r="B6855" s="1" t="n">
        <x:v>7.5</x:v>
      </x:c>
      <x:c r="C6855" s="1" t="n">
        <x:v>6</x:v>
      </x:c>
      <x:c r="D6855" s="12" t="n">
        <x:v>0</x:v>
      </x:c>
      <x:c r="E6855" s="12" t="n">
        <x:v>0.24525</x:v>
      </x:c>
      <x:c r="F6855" s="12" t="n">
        <x:v>0.2445</x:v>
      </x:c>
      <x:c r="G6855" s="12" t="n">
        <x:v>0</x:v>
      </x:c>
      <x:c r="H6855" s="1" t="n">
        <x:f>'Historical prices'!E6855</x:f>
        <x:v>1.05</x:v>
      </x:c>
      <x:c r="I6855" s="6" t="n">
        <x:f>'Historical prices'!D6855</x:f>
        <x:v>0.3333</x:v>
      </x:c>
      <x:c r="J6855" s="13" t="n">
        <x:f>D6855*I6855*H6855</x:f>
        <x:v>0</x:v>
      </x:c>
      <x:c r="K6855" s="13" t="n">
        <x:f>E6855*I6855*H6855</x:f>
        <x:v>0.08582891625</x:v>
      </x:c>
      <x:c r="L6855" s="1" t="str">
        <x:f>TEXT(A6855,"mmm yyyy")</x:f>
        <x:v>Sep 2026</x:v>
      </x:c>
    </x:row>
    <x:row r="6856" ht="21" customHeight="1">
      <x:c r="A6856" s="10" t="n">
        <x:v>46291</x:v>
      </x:c>
      <x:c r="B6856" s="1" t="n">
        <x:v>8</x:v>
      </x:c>
      <x:c r="C6856" s="1" t="n">
        <x:v>6</x:v>
      </x:c>
      <x:c r="D6856" s="12" t="n">
        <x:v>0</x:v>
      </x:c>
      <x:c r="E6856" s="12" t="n">
        <x:v>0.246</x:v>
      </x:c>
      <x:c r="F6856" s="12" t="n">
        <x:v>0.24550000000000002</x:v>
      </x:c>
      <x:c r="G6856" s="12" t="n">
        <x:v>0</x:v>
      </x:c>
      <x:c r="H6856" s="1" t="n">
        <x:f>'Historical prices'!E6856</x:f>
        <x:v>1.05</x:v>
      </x:c>
      <x:c r="I6856" s="6" t="n">
        <x:f>'Historical prices'!D6856</x:f>
        <x:v>0.2781</x:v>
      </x:c>
      <x:c r="J6856" s="13" t="n">
        <x:f>D6856*I6856*H6856</x:f>
        <x:v>0</x:v>
      </x:c>
      <x:c r="K6856" s="13" t="n">
        <x:f>E6856*I6856*H6856</x:f>
        <x:v>0.07183323000000001</x:v>
      </x:c>
      <x:c r="L6856" s="1" t="str">
        <x:f>TEXT(A6856,"mmm yyyy")</x:f>
        <x:v>Sep 2026</x:v>
      </x:c>
    </x:row>
    <x:row r="6857" ht="21" customHeight="1">
      <x:c r="A6857" s="10" t="n">
        <x:v>46291</x:v>
      </x:c>
      <x:c r="B6857" s="1" t="n">
        <x:v>8.5</x:v>
      </x:c>
      <x:c r="C6857" s="1" t="n">
        <x:v>6</x:v>
      </x:c>
      <x:c r="D6857" s="12" t="n">
        <x:v>0</x:v>
      </x:c>
      <x:c r="E6857" s="12" t="n">
        <x:v>0.25991666666666663</x:v>
      </x:c>
      <x:c r="F6857" s="12" t="n">
        <x:v>0.25949999999999995</x:v>
      </x:c>
      <x:c r="G6857" s="12" t="n">
        <x:v>0</x:v>
      </x:c>
      <x:c r="H6857" s="1" t="n">
        <x:f>'Historical prices'!E6857</x:f>
        <x:v>1.05</x:v>
      </x:c>
      <x:c r="I6857" s="6" t="n">
        <x:f>'Historical prices'!D6857</x:f>
        <x:v>0.2706</x:v>
      </x:c>
      <x:c r="J6857" s="13" t="n">
        <x:f>D6857*I6857*H6857</x:f>
        <x:v>0</x:v>
      </x:c>
      <x:c r="K6857" s="13" t="n">
        <x:f>E6857*I6857*H6857</x:f>
        <x:v>0.07385012249999999</x:v>
      </x:c>
      <x:c r="L6857" s="1" t="str">
        <x:f>TEXT(A6857,"mmm yyyy")</x:f>
        <x:v>Sep 2026</x:v>
      </x:c>
    </x:row>
    <x:row r="6858" ht="21" customHeight="1">
      <x:c r="A6858" s="10" t="n">
        <x:v>46291</x:v>
      </x:c>
      <x:c r="B6858" s="1" t="n">
        <x:v>9</x:v>
      </x:c>
      <x:c r="C6858" s="1" t="n">
        <x:v>6</x:v>
      </x:c>
      <x:c r="D6858" s="12" t="n">
        <x:v>0</x:v>
      </x:c>
      <x:c r="E6858" s="12" t="n">
        <x:v>0.23591666666666664</x:v>
      </x:c>
      <x:c r="F6858" s="12" t="n">
        <x:v>0.23541666666666666</x:v>
      </x:c>
      <x:c r="G6858" s="12" t="n">
        <x:v>0</x:v>
      </x:c>
      <x:c r="H6858" s="1" t="n">
        <x:f>'Historical prices'!E6858</x:f>
        <x:v>1.05</x:v>
      </x:c>
      <x:c r="I6858" s="6" t="n">
        <x:f>'Historical prices'!D6858</x:f>
        <x:v>0.1766</x:v>
      </x:c>
      <x:c r="J6858" s="13" t="n">
        <x:f>D6858*I6858*H6858</x:f>
        <x:v>0</x:v>
      </x:c>
      <x:c r="K6858" s="13" t="n">
        <x:f>E6858*I6858*H6858</x:f>
        <x:v>0.0437460275</x:v>
      </x:c>
      <x:c r="L6858" s="1" t="str">
        <x:f>TEXT(A6858,"mmm yyyy")</x:f>
        <x:v>Sep 2026</x:v>
      </x:c>
    </x:row>
    <x:row r="6859" ht="21" customHeight="1">
      <x:c r="A6859" s="10" t="n">
        <x:v>46291</x:v>
      </x:c>
      <x:c r="B6859" s="1" t="n">
        <x:v>9.5</x:v>
      </x:c>
      <x:c r="C6859" s="1" t="n">
        <x:v>6</x:v>
      </x:c>
      <x:c r="D6859" s="12" t="n">
        <x:v>0</x:v>
      </x:c>
      <x:c r="E6859" s="12" t="n">
        <x:v>0.25283333333333335</x:v>
      </x:c>
      <x:c r="F6859" s="12" t="n">
        <x:v>0.2525</x:v>
      </x:c>
      <x:c r="G6859" s="12" t="n">
        <x:v>0</x:v>
      </x:c>
      <x:c r="H6859" s="1" t="n">
        <x:f>'Historical prices'!E6859</x:f>
        <x:v>1.05</x:v>
      </x:c>
      <x:c r="I6859" s="6" t="n">
        <x:f>'Historical prices'!D6859</x:f>
        <x:v>0.1522</x:v>
      </x:c>
      <x:c r="J6859" s="13" t="n">
        <x:f>D6859*I6859*H6859</x:f>
        <x:v>0</x:v>
      </x:c>
      <x:c r="K6859" s="13" t="n">
        <x:f>E6859*I6859*H6859</x:f>
        <x:v>0.04040529500000001</x:v>
      </x:c>
      <x:c r="L6859" s="1" t="str">
        <x:f>TEXT(A6859,"mmm yyyy")</x:f>
        <x:v>Sep 2026</x:v>
      </x:c>
    </x:row>
    <x:row r="6860" ht="21" customHeight="1">
      <x:c r="A6860" s="10" t="n">
        <x:v>46291</x:v>
      </x:c>
      <x:c r="B6860" s="1" t="n">
        <x:v>10</x:v>
      </x:c>
      <x:c r="C6860" s="1" t="n">
        <x:v>6</x:v>
      </x:c>
      <x:c r="D6860" s="12" t="n">
        <x:v>0</x:v>
      </x:c>
      <x:c r="E6860" s="12" t="n">
        <x:v>0.30799999999999994</x:v>
      </x:c>
      <x:c r="F6860" s="12" t="n">
        <x:v>0.3075</x:v>
      </x:c>
      <x:c r="G6860" s="12" t="n">
        <x:v>0</x:v>
      </x:c>
      <x:c r="H6860" s="1" t="n">
        <x:f>'Historical prices'!E6860</x:f>
        <x:v>1.05</x:v>
      </x:c>
      <x:c r="I6860" s="6" t="n">
        <x:f>'Historical prices'!D6860</x:f>
        <x:v>0.1272</x:v>
      </x:c>
      <x:c r="J6860" s="13" t="n">
        <x:f>D6860*I6860*H6860</x:f>
        <x:v>0</x:v>
      </x:c>
      <x:c r="K6860" s="13" t="n">
        <x:f>E6860*I6860*H6860</x:f>
        <x:v>0.041136479999999996</x:v>
      </x:c>
      <x:c r="L6860" s="1" t="str">
        <x:f>TEXT(A6860,"mmm yyyy")</x:f>
        <x:v>Sep 2026</x:v>
      </x:c>
    </x:row>
    <x:row r="6861" ht="21" customHeight="1">
      <x:c r="A6861" s="10" t="n">
        <x:v>46291</x:v>
      </x:c>
      <x:c r="B6861" s="1" t="n">
        <x:v>10.5</x:v>
      </x:c>
      <x:c r="C6861" s="1" t="n">
        <x:v>6</x:v>
      </x:c>
      <x:c r="D6861" s="12" t="n">
        <x:v>0</x:v>
      </x:c>
      <x:c r="E6861" s="12" t="n">
        <x:v>0.27975</x:v>
      </x:c>
      <x:c r="F6861" s="12" t="n">
        <x:v>0.27949999999999997</x:v>
      </x:c>
      <x:c r="G6861" s="12" t="n">
        <x:v>0</x:v>
      </x:c>
      <x:c r="H6861" s="1" t="n">
        <x:f>'Historical prices'!E6861</x:f>
        <x:v>1.05</x:v>
      </x:c>
      <x:c r="I6861" s="6" t="n">
        <x:f>'Historical prices'!D6861</x:f>
        <x:v>0.0727</x:v>
      </x:c>
      <x:c r="J6861" s="13" t="n">
        <x:f>D6861*I6861*H6861</x:f>
        <x:v>0</x:v>
      </x:c>
      <x:c r="K6861" s="13" t="n">
        <x:f>E6861*I6861*H6861</x:f>
        <x:v>0.021354716250000003</x:v>
      </x:c>
      <x:c r="L6861" s="1" t="str">
        <x:f>TEXT(A6861,"mmm yyyy")</x:f>
        <x:v>Sep 2026</x:v>
      </x:c>
    </x:row>
    <x:row r="6862" ht="21" customHeight="1">
      <x:c r="A6862" s="10" t="n">
        <x:v>46291</x:v>
      </x:c>
      <x:c r="B6862" s="1" t="n">
        <x:v>11</x:v>
      </x:c>
      <x:c r="C6862" s="1" t="n">
        <x:v>6</x:v>
      </x:c>
      <x:c r="D6862" s="12" t="n">
        <x:v>0</x:v>
      </x:c>
      <x:c r="E6862" s="12" t="n">
        <x:v>0.29091666666666666</x:v>
      </x:c>
      <x:c r="F6862" s="12" t="n">
        <x:v>0.29066666666666663</x:v>
      </x:c>
      <x:c r="G6862" s="12" t="n">
        <x:v>0</x:v>
      </x:c>
      <x:c r="H6862" s="1" t="n">
        <x:f>'Historical prices'!E6862</x:f>
        <x:v>1.05</x:v>
      </x:c>
      <x:c r="I6862" s="6" t="n">
        <x:f>'Historical prices'!D6862</x:f>
        <x:v>0.049800000000000004</x:v>
      </x:c>
      <x:c r="J6862" s="13" t="n">
        <x:f>D6862*I6862*H6862</x:f>
        <x:v>0</x:v>
      </x:c>
      <x:c r="K6862" s="13" t="n">
        <x:f>E6862*I6862*H6862</x:f>
        <x:v>0.015212032500000002</x:v>
      </x:c>
      <x:c r="L6862" s="1" t="str">
        <x:f>TEXT(A6862,"mmm yyyy")</x:f>
        <x:v>Sep 2026</x:v>
      </x:c>
    </x:row>
    <x:row r="6863" ht="21" customHeight="1">
      <x:c r="A6863" s="10" t="n">
        <x:v>46291</x:v>
      </x:c>
      <x:c r="B6863" s="1" t="n">
        <x:v>11.5</x:v>
      </x:c>
      <x:c r="C6863" s="1" t="n">
        <x:v>6</x:v>
      </x:c>
      <x:c r="D6863" s="12" t="n">
        <x:v>0</x:v>
      </x:c>
      <x:c r="E6863" s="12" t="n">
        <x:v>0.24575</x:v>
      </x:c>
      <x:c r="F6863" s="12" t="n">
        <x:v>0.24516666666666667</x:v>
      </x:c>
      <x:c r="G6863" s="12" t="n">
        <x:v>0</x:v>
      </x:c>
      <x:c r="H6863" s="1" t="n">
        <x:f>'Historical prices'!E6863</x:f>
        <x:v>1.05</x:v>
      </x:c>
      <x:c r="I6863" s="6" t="n">
        <x:f>'Historical prices'!D6863</x:f>
        <x:v>0.0393</x:v>
      </x:c>
      <x:c r="J6863" s="13" t="n">
        <x:f>D6863*I6863*H6863</x:f>
        <x:v>0</x:v>
      </x:c>
      <x:c r="K6863" s="13" t="n">
        <x:f>E6863*I6863*H6863</x:f>
        <x:v>0.010140873750000001</x:v>
      </x:c>
      <x:c r="L6863" s="1" t="str">
        <x:f>TEXT(A6863,"mmm yyyy")</x:f>
        <x:v>Sep 2026</x:v>
      </x:c>
    </x:row>
    <x:row r="6864" ht="21" customHeight="1">
      <x:c r="A6864" s="10" t="n">
        <x:v>46291</x:v>
      </x:c>
      <x:c r="B6864" s="1" t="n">
        <x:v>12</x:v>
      </x:c>
      <x:c r="C6864" s="1" t="n">
        <x:v>6</x:v>
      </x:c>
      <x:c r="D6864" s="12" t="n">
        <x:v>0.11200000000000002</x:v>
      </x:c>
      <x:c r="E6864" s="12" t="n">
        <x:v>0.15141666666666664</x:v>
      </x:c>
      <x:c r="F6864" s="12" t="n">
        <x:v>0.031</x:v>
      </x:c>
      <x:c r="G6864" s="12" t="n">
        <x:v>0</x:v>
      </x:c>
      <x:c r="H6864" s="1" t="n">
        <x:f>'Historical prices'!E6864</x:f>
        <x:v>1.05</x:v>
      </x:c>
      <x:c r="I6864" s="6" t="n">
        <x:f>'Historical prices'!D6864</x:f>
        <x:v>0.0311</x:v>
      </x:c>
      <x:c r="J6864" s="13" t="n">
        <x:f>D6864*I6864*H6864</x:f>
        <x:v>0.0036573600000000006</x:v>
      </x:c>
      <x:c r="K6864" s="13" t="n">
        <x:f>E6864*I6864*H6864</x:f>
        <x:v>0.004944511249999999</x:v>
      </x:c>
      <x:c r="L6864" s="1" t="str">
        <x:f>TEXT(A6864,"mmm yyyy")</x:f>
        <x:v>Sep 2026</x:v>
      </x:c>
    </x:row>
    <x:row r="6865" ht="21" customHeight="1">
      <x:c r="A6865" s="10" t="n">
        <x:v>46291</x:v>
      </x:c>
      <x:c r="B6865" s="1" t="n">
        <x:v>12.5</x:v>
      </x:c>
      <x:c r="C6865" s="1" t="n">
        <x:v>6</x:v>
      </x:c>
      <x:c r="D6865" s="12" t="n">
        <x:v>0.20274999999999999</x:v>
      </x:c>
      <x:c r="E6865" s="12" t="n">
        <x:v>0.21375</x:v>
      </x:c>
      <x:c r="F6865" s="12" t="n">
        <x:v>0</x:v>
      </x:c>
      <x:c r="G6865" s="12" t="n">
        <x:v>0</x:v>
      </x:c>
      <x:c r="H6865" s="1" t="n">
        <x:f>'Historical prices'!E6865</x:f>
        <x:v>1.05</x:v>
      </x:c>
      <x:c r="I6865" s="6" t="n">
        <x:f>'Historical prices'!D6865</x:f>
        <x:v>0.0212</x:v>
      </x:c>
      <x:c r="J6865" s="13" t="n">
        <x:f>D6865*I6865*H6865</x:f>
        <x:v>0.004513215</x:v>
      </x:c>
      <x:c r="K6865" s="13" t="n">
        <x:f>E6865*I6865*H6865</x:f>
        <x:v>0.0047580750000000005</x:v>
      </x:c>
      <x:c r="L6865" s="1" t="str">
        <x:f>TEXT(A6865,"mmm yyyy")</x:f>
        <x:v>Sep 2026</x:v>
      </x:c>
    </x:row>
    <x:row r="6866" ht="21" customHeight="1">
      <x:c r="A6866" s="10" t="n">
        <x:v>46291</x:v>
      </x:c>
      <x:c r="B6866" s="1" t="n">
        <x:v>13</x:v>
      </x:c>
      <x:c r="C6866" s="1" t="n">
        <x:v>6</x:v>
      </x:c>
      <x:c r="D6866" s="12" t="n">
        <x:v>0.21825</x:v>
      </x:c>
      <x:c r="E6866" s="12" t="n">
        <x:v>0.23325</x:v>
      </x:c>
      <x:c r="F6866" s="12" t="n">
        <x:v>0</x:v>
      </x:c>
      <x:c r="G6866" s="12" t="n">
        <x:v>0</x:v>
      </x:c>
      <x:c r="H6866" s="1" t="n">
        <x:f>'Historical prices'!E6866</x:f>
        <x:v>1.05</x:v>
      </x:c>
      <x:c r="I6866" s="6" t="n">
        <x:f>'Historical prices'!D6866</x:f>
        <x:v>0.0277</x:v>
      </x:c>
      <x:c r="J6866" s="13" t="n">
        <x:f>D6866*I6866*H6866</x:f>
        <x:v>0.00634780125</x:v>
      </x:c>
      <x:c r="K6866" s="13" t="n">
        <x:f>E6866*I6866*H6866</x:f>
        <x:v>0.006784076250000001</x:v>
      </x:c>
      <x:c r="L6866" s="1" t="str">
        <x:f>TEXT(A6866,"mmm yyyy")</x:f>
        <x:v>Sep 2026</x:v>
      </x:c>
    </x:row>
    <x:row r="6867" ht="21" customHeight="1">
      <x:c r="A6867" s="10" t="n">
        <x:v>46291</x:v>
      </x:c>
      <x:c r="B6867" s="1" t="n">
        <x:v>13.5</x:v>
      </x:c>
      <x:c r="C6867" s="1" t="n">
        <x:v>6</x:v>
      </x:c>
      <x:c r="D6867" s="12" t="n">
        <x:v>3.74225</x:v>
      </x:c>
      <x:c r="E6867" s="12" t="n">
        <x:v>0.38125</x:v>
      </x:c>
      <x:c r="F6867" s="12" t="n">
        <x:v>0</x:v>
      </x:c>
      <x:c r="G6867" s="12" t="n">
        <x:v>3.362</x:v>
      </x:c>
      <x:c r="H6867" s="1" t="n">
        <x:f>'Historical prices'!E6867</x:f>
        <x:v>1.05</x:v>
      </x:c>
      <x:c r="I6867" s="6" t="n">
        <x:f>'Historical prices'!D6867</x:f>
        <x:v>0.0146</x:v>
      </x:c>
      <x:c r="J6867" s="13" t="n">
        <x:f>D6867*I6867*H6867</x:f>
        <x:v>0.057368692500000006</x:v>
      </x:c>
      <x:c r="K6867" s="13" t="n">
        <x:f>E6867*I6867*H6867</x:f>
        <x:v>0.0058445625</x:v>
      </x:c>
      <x:c r="L6867" s="1" t="str">
        <x:f>TEXT(A6867,"mmm yyyy")</x:f>
        <x:v>Sep 2026</x:v>
      </x:c>
    </x:row>
    <x:row r="6868" ht="21" customHeight="1">
      <x:c r="A6868" s="10" t="n">
        <x:v>46291</x:v>
      </x:c>
      <x:c r="B6868" s="1" t="n">
        <x:v>14</x:v>
      </x:c>
      <x:c r="C6868" s="1" t="n">
        <x:v>6</x:v>
      </x:c>
      <x:c r="D6868" s="12" t="n">
        <x:v>0.719</x:v>
      </x:c>
      <x:c r="E6868" s="12" t="n">
        <x:v>0.33625</x:v>
      </x:c>
      <x:c r="F6868" s="12" t="n">
        <x:v>0.2538333333333333</x:v>
      </x:c>
      <x:c r="G6868" s="12" t="n">
        <x:v>0.638</x:v>
      </x:c>
      <x:c r="H6868" s="1" t="n">
        <x:f>'Historical prices'!E6868</x:f>
        <x:v>1.05</x:v>
      </x:c>
      <x:c r="I6868" s="6" t="n">
        <x:f>'Historical prices'!D6868</x:f>
        <x:v>0.0479</x:v>
      </x:c>
      <x:c r="J6868" s="13" t="n">
        <x:f>D6868*I6868*H6868</x:f>
        <x:v>0.03616210499999999</x:v>
      </x:c>
      <x:c r="K6868" s="13" t="n">
        <x:f>E6868*I6868*H6868</x:f>
        <x:v>0.01691169375</x:v>
      </x:c>
      <x:c r="L6868" s="1" t="str">
        <x:f>TEXT(A6868,"mmm yyyy")</x:f>
        <x:v>Sep 2026</x:v>
      </x:c>
    </x:row>
    <x:row r="6869" ht="21" customHeight="1">
      <x:c r="A6869" s="10" t="n">
        <x:v>46291</x:v>
      </x:c>
      <x:c r="B6869" s="1" t="n">
        <x:v>14.5</x:v>
      </x:c>
      <x:c r="C6869" s="1" t="n">
        <x:v>6</x:v>
      </x:c>
      <x:c r="D6869" s="12" t="n">
        <x:v>0</x:v>
      </x:c>
      <x:c r="E6869" s="12" t="n">
        <x:v>0.29083333333333333</x:v>
      </x:c>
      <x:c r="F6869" s="12" t="n">
        <x:v>0.29025</x:v>
      </x:c>
      <x:c r="G6869" s="12" t="n">
        <x:v>0</x:v>
      </x:c>
      <x:c r="H6869" s="1" t="n">
        <x:f>'Historical prices'!E6869</x:f>
        <x:v>1.05</x:v>
      </x:c>
      <x:c r="I6869" s="6" t="n">
        <x:f>'Historical prices'!D6869</x:f>
        <x:v>0.056799999999999996</x:v>
      </x:c>
      <x:c r="J6869" s="13" t="n">
        <x:f>D6869*I6869*H6869</x:f>
        <x:v>0</x:v>
      </x:c>
      <x:c r="K6869" s="13" t="n">
        <x:f>E6869*I6869*H6869</x:f>
        <x:v>0.0173453</x:v>
      </x:c>
      <x:c r="L6869" s="1" t="str">
        <x:f>TEXT(A6869,"mmm yyyy")</x:f>
        <x:v>Sep 2026</x:v>
      </x:c>
    </x:row>
    <x:row r="6870" ht="21" customHeight="1">
      <x:c r="A6870" s="10" t="n">
        <x:v>46291</x:v>
      </x:c>
      <x:c r="B6870" s="1" t="n">
        <x:v>15</x:v>
      </x:c>
      <x:c r="C6870" s="1" t="n">
        <x:v>6</x:v>
      </x:c>
      <x:c r="D6870" s="12" t="n">
        <x:v>0</x:v>
      </x:c>
      <x:c r="E6870" s="12" t="n">
        <x:v>0.24008333333333334</x:v>
      </x:c>
      <x:c r="F6870" s="12" t="n">
        <x:v>0.23941666666666667</x:v>
      </x:c>
      <x:c r="G6870" s="12" t="n">
        <x:v>0</x:v>
      </x:c>
      <x:c r="H6870" s="1" t="n">
        <x:f>'Historical prices'!E6870</x:f>
        <x:v>1.05</x:v>
      </x:c>
      <x:c r="I6870" s="6" t="n">
        <x:f>'Historical prices'!D6870</x:f>
        <x:v>0.1787</x:v>
      </x:c>
      <x:c r="J6870" s="13" t="n">
        <x:f>D6870*I6870*H6870</x:f>
        <x:v>0</x:v>
      </x:c>
      <x:c r="K6870" s="13" t="n">
        <x:f>E6870*I6870*H6870</x:f>
        <x:v>0.04504803625</x:v>
      </x:c>
      <x:c r="L6870" s="1" t="str">
        <x:f>TEXT(A6870,"mmm yyyy")</x:f>
        <x:v>Sep 2026</x:v>
      </x:c>
    </x:row>
    <x:row r="6871" ht="21" customHeight="1">
      <x:c r="A6871" s="10" t="n">
        <x:v>46291</x:v>
      </x:c>
      <x:c r="B6871" s="1" t="n">
        <x:v>15.5</x:v>
      </x:c>
      <x:c r="C6871" s="1" t="n">
        <x:v>6</x:v>
      </x:c>
      <x:c r="D6871" s="12" t="n">
        <x:v>0</x:v>
      </x:c>
      <x:c r="E6871" s="12" t="n">
        <x:v>0.19883333333333333</x:v>
      </x:c>
      <x:c r="F6871" s="12" t="n">
        <x:v>0.1985</x:v>
      </x:c>
      <x:c r="G6871" s="12" t="n">
        <x:v>0</x:v>
      </x:c>
      <x:c r="H6871" s="1" t="n">
        <x:f>'Historical prices'!E6871</x:f>
        <x:v>1.05</x:v>
      </x:c>
      <x:c r="I6871" s="6" t="n">
        <x:f>'Historical prices'!D6871</x:f>
        <x:v>0.1953</x:v>
      </x:c>
      <x:c r="J6871" s="13" t="n">
        <x:f>D6871*I6871*H6871</x:f>
        <x:v>0</x:v>
      </x:c>
      <x:c r="K6871" s="13" t="n">
        <x:f>E6871*I6871*H6871</x:f>
        <x:v>0.04077375750000001</x:v>
      </x:c>
      <x:c r="L6871" s="1" t="str">
        <x:f>TEXT(A6871,"mmm yyyy")</x:f>
        <x:v>Sep 2026</x:v>
      </x:c>
    </x:row>
    <x:row r="6872" ht="21" customHeight="1">
      <x:c r="A6872" s="10" t="n">
        <x:v>46291</x:v>
      </x:c>
      <x:c r="B6872" s="1" t="n">
        <x:v>16</x:v>
      </x:c>
      <x:c r="C6872" s="1" t="n">
        <x:v>6</x:v>
      </x:c>
      <x:c r="D6872" s="12" t="n">
        <x:v>0</x:v>
      </x:c>
      <x:c r="E6872" s="12" t="n">
        <x:v>0.23908333333333334</x:v>
      </x:c>
      <x:c r="F6872" s="12" t="n">
        <x:v>0.23850000000000002</x:v>
      </x:c>
      <x:c r="G6872" s="12" t="n">
        <x:v>0</x:v>
      </x:c>
      <x:c r="H6872" s="1" t="n">
        <x:f>'Historical prices'!E6872</x:f>
        <x:v>1.05</x:v>
      </x:c>
      <x:c r="I6872" s="6" t="n">
        <x:f>'Historical prices'!D6872</x:f>
        <x:v>0.35</x:v>
      </x:c>
      <x:c r="J6872" s="13" t="n">
        <x:f>D6872*I6872*H6872</x:f>
        <x:v>0</x:v>
      </x:c>
      <x:c r="K6872" s="13" t="n">
        <x:f>E6872*I6872*H6872</x:f>
        <x:v>0.087863125</x:v>
      </x:c>
      <x:c r="L6872" s="1" t="str">
        <x:f>TEXT(A6872,"mmm yyyy")</x:f>
        <x:v>Sep 2026</x:v>
      </x:c>
    </x:row>
    <x:row r="6873" ht="21" customHeight="1">
      <x:c r="A6873" s="10" t="n">
        <x:v>46291</x:v>
      </x:c>
      <x:c r="B6873" s="1" t="n">
        <x:v>16.5</x:v>
      </x:c>
      <x:c r="C6873" s="1" t="n">
        <x:v>6</x:v>
      </x:c>
      <x:c r="D6873" s="12" t="n">
        <x:v>0</x:v>
      </x:c>
      <x:c r="E6873" s="12" t="n">
        <x:v>0.25999999999999995</x:v>
      </x:c>
      <x:c r="F6873" s="12" t="n">
        <x:v>0.2595833333333333</x:v>
      </x:c>
      <x:c r="G6873" s="12" t="n">
        <x:v>0</x:v>
      </x:c>
      <x:c r="H6873" s="1" t="n">
        <x:f>'Historical prices'!E6873</x:f>
        <x:v>1.05</x:v>
      </x:c>
      <x:c r="I6873" s="6" t="n">
        <x:f>'Historical prices'!D6873</x:f>
        <x:v>0.3743</x:v>
      </x:c>
      <x:c r="J6873" s="13" t="n">
        <x:f>D6873*I6873*H6873</x:f>
        <x:v>0</x:v>
      </x:c>
      <x:c r="K6873" s="13" t="n">
        <x:f>E6873*I6873*H6873</x:f>
        <x:v>0.1021839</x:v>
      </x:c>
      <x:c r="L6873" s="1" t="str">
        <x:f>TEXT(A6873,"mmm yyyy")</x:f>
        <x:v>Sep 2026</x:v>
      </x:c>
    </x:row>
    <x:row r="6874" ht="21" customHeight="1">
      <x:c r="A6874" s="10" t="n">
        <x:v>46291</x:v>
      </x:c>
      <x:c r="B6874" s="1" t="n">
        <x:v>17</x:v>
      </x:c>
      <x:c r="C6874" s="1" t="n">
        <x:v>6</x:v>
      </x:c>
      <x:c r="D6874" s="12" t="n">
        <x:v>0</x:v>
      </x:c>
      <x:c r="E6874" s="12" t="n">
        <x:v>0.21675000000000003</x:v>
      </x:c>
      <x:c r="F6874" s="12" t="n">
        <x:v>0.21633333333333335</x:v>
      </x:c>
      <x:c r="G6874" s="12" t="n">
        <x:v>0</x:v>
      </x:c>
      <x:c r="H6874" s="1" t="n">
        <x:f>'Historical prices'!E6874</x:f>
        <x:v>1.05</x:v>
      </x:c>
      <x:c r="I6874" s="6" t="n">
        <x:f>'Historical prices'!D6874</x:f>
        <x:v>0.4414</x:v>
      </x:c>
      <x:c r="J6874" s="13" t="n">
        <x:f>D6874*I6874*H6874</x:f>
        <x:v>0</x:v>
      </x:c>
      <x:c r="K6874" s="13" t="n">
        <x:f>E6874*I6874*H6874</x:f>
        <x:v>0.10045712250000002</x:v>
      </x:c>
      <x:c r="L6874" s="1" t="str">
        <x:f>TEXT(A6874,"mmm yyyy")</x:f>
        <x:v>Sep 2026</x:v>
      </x:c>
    </x:row>
    <x:row r="6875" ht="21" customHeight="1">
      <x:c r="A6875" s="10" t="n">
        <x:v>46291</x:v>
      </x:c>
      <x:c r="B6875" s="1" t="n">
        <x:v>17.5</x:v>
      </x:c>
      <x:c r="C6875" s="1" t="n">
        <x:v>6</x:v>
      </x:c>
      <x:c r="D6875" s="12" t="n">
        <x:v>0</x:v>
      </x:c>
      <x:c r="E6875" s="12" t="n">
        <x:v>0.23833333333333334</x:v>
      </x:c>
      <x:c r="F6875" s="12" t="n">
        <x:v>0.2376666666666667</x:v>
      </x:c>
      <x:c r="G6875" s="12" t="n">
        <x:v>0</x:v>
      </x:c>
      <x:c r="H6875" s="1" t="n">
        <x:f>'Historical prices'!E6875</x:f>
        <x:v>1.05</x:v>
      </x:c>
      <x:c r="I6875" s="6" t="n">
        <x:f>'Historical prices'!D6875</x:f>
        <x:v>0.47840000000000005</x:v>
      </x:c>
      <x:c r="J6875" s="13" t="n">
        <x:f>D6875*I6875*H6875</x:f>
        <x:v>0</x:v>
      </x:c>
      <x:c r="K6875" s="13" t="n">
        <x:f>E6875*I6875*H6875</x:f>
        <x:v>0.11971960000000002</x:v>
      </x:c>
      <x:c r="L6875" s="1" t="str">
        <x:f>TEXT(A6875,"mmm yyyy")</x:f>
        <x:v>Sep 2026</x:v>
      </x:c>
    </x:row>
    <x:row r="6876" ht="21" customHeight="1">
      <x:c r="A6876" s="10" t="n">
        <x:v>46291</x:v>
      </x:c>
      <x:c r="B6876" s="1" t="n">
        <x:v>18</x:v>
      </x:c>
      <x:c r="C6876" s="1" t="n">
        <x:v>6</x:v>
      </x:c>
      <x:c r="D6876" s="12" t="n">
        <x:v>0</x:v>
      </x:c>
      <x:c r="E6876" s="12" t="n">
        <x:v>0.26275</x:v>
      </x:c>
      <x:c r="F6876" s="12" t="n">
        <x:v>0.26208333333333333</x:v>
      </x:c>
      <x:c r="G6876" s="12" t="n">
        <x:v>0</x:v>
      </x:c>
      <x:c r="H6876" s="1" t="n">
        <x:f>'Historical prices'!E6876</x:f>
        <x:v>1.05</x:v>
      </x:c>
      <x:c r="I6876" s="6" t="n">
        <x:f>'Historical prices'!D6876</x:f>
        <x:v>0.46520000000000006</x:v>
      </x:c>
      <x:c r="J6876" s="13" t="n">
        <x:f>D6876*I6876*H6876</x:f>
        <x:v>0</x:v>
      </x:c>
      <x:c r="K6876" s="13" t="n">
        <x:f>E6876*I6876*H6876</x:f>
        <x:v>0.128342865</x:v>
      </x:c>
      <x:c r="L6876" s="1" t="str">
        <x:f>TEXT(A6876,"mmm yyyy")</x:f>
        <x:v>Sep 2026</x:v>
      </x:c>
    </x:row>
    <x:row r="6877" ht="21" customHeight="1">
      <x:c r="A6877" s="10" t="n">
        <x:v>46291</x:v>
      </x:c>
      <x:c r="B6877" s="1" t="n">
        <x:v>18.5</x:v>
      </x:c>
      <x:c r="C6877" s="1" t="n">
        <x:v>6</x:v>
      </x:c>
      <x:c r="D6877" s="12" t="n">
        <x:v>0</x:v>
      </x:c>
      <x:c r="E6877" s="12" t="n">
        <x:v>0.28025</x:v>
      </x:c>
      <x:c r="F6877" s="12" t="n">
        <x:v>0.2798333333333333</x:v>
      </x:c>
      <x:c r="G6877" s="12" t="n">
        <x:v>0</x:v>
      </x:c>
      <x:c r="H6877" s="1" t="n">
        <x:f>'Historical prices'!E6877</x:f>
        <x:v>1.05</x:v>
      </x:c>
      <x:c r="I6877" s="6" t="n">
        <x:f>'Historical prices'!D6877</x:f>
        <x:v>0.4731</x:v>
      </x:c>
      <x:c r="J6877" s="13" t="n">
        <x:f>D6877*I6877*H6877</x:f>
        <x:v>0</x:v>
      </x:c>
      <x:c r="K6877" s="13" t="n">
        <x:f>E6877*I6877*H6877</x:f>
        <x:v>0.13921558875</x:v>
      </x:c>
      <x:c r="L6877" s="1" t="str">
        <x:f>TEXT(A6877,"mmm yyyy")</x:f>
        <x:v>Sep 2026</x:v>
      </x:c>
    </x:row>
    <x:row r="6878" ht="21" customHeight="1">
      <x:c r="A6878" s="10" t="n">
        <x:v>46291</x:v>
      </x:c>
      <x:c r="B6878" s="1" t="n">
        <x:v>19</x:v>
      </x:c>
      <x:c r="C6878" s="1" t="n">
        <x:v>6</x:v>
      </x:c>
      <x:c r="D6878" s="12" t="n">
        <x:v>0</x:v>
      </x:c>
      <x:c r="E6878" s="12" t="n">
        <x:v>0.36108333333333337</x:v>
      </x:c>
      <x:c r="F6878" s="12" t="n">
        <x:v>0.3605833333333333</x:v>
      </x:c>
      <x:c r="G6878" s="12" t="n">
        <x:v>0</x:v>
      </x:c>
      <x:c r="H6878" s="1" t="n">
        <x:f>'Historical prices'!E6878</x:f>
        <x:v>1.05</x:v>
      </x:c>
      <x:c r="I6878" s="6" t="n">
        <x:f>'Historical prices'!D6878</x:f>
        <x:v>0.3554</x:v>
      </x:c>
      <x:c r="J6878" s="13" t="n">
        <x:f>D6878*I6878*H6878</x:f>
        <x:v>0</x:v>
      </x:c>
      <x:c r="K6878" s="13" t="n">
        <x:f>E6878*I6878*H6878</x:f>
        <x:v>0.13474546750000002</x:v>
      </x:c>
      <x:c r="L6878" s="1" t="str">
        <x:f>TEXT(A6878,"mmm yyyy")</x:f>
        <x:v>Sep 2026</x:v>
      </x:c>
    </x:row>
    <x:row r="6879" ht="21" customHeight="1">
      <x:c r="A6879" s="10" t="n">
        <x:v>46291</x:v>
      </x:c>
      <x:c r="B6879" s="1" t="n">
        <x:v>19.5</x:v>
      </x:c>
      <x:c r="C6879" s="1" t="n">
        <x:v>6</x:v>
      </x:c>
      <x:c r="D6879" s="12" t="n">
        <x:v>0</x:v>
      </x:c>
      <x:c r="E6879" s="12" t="n">
        <x:v>0.2755833333333333</x:v>
      </x:c>
      <x:c r="F6879" s="12" t="n">
        <x:v>0.27541666666666664</x:v>
      </x:c>
      <x:c r="G6879" s="12" t="n">
        <x:v>0</x:v>
      </x:c>
      <x:c r="H6879" s="1" t="n">
        <x:f>'Historical prices'!E6879</x:f>
        <x:v>1.05</x:v>
      </x:c>
      <x:c r="I6879" s="6" t="n">
        <x:f>'Historical prices'!D6879</x:f>
        <x:v>0.3456</x:v>
      </x:c>
      <x:c r="J6879" s="13" t="n">
        <x:f>D6879*I6879*H6879</x:f>
        <x:v>0</x:v>
      </x:c>
      <x:c r="K6879" s="13" t="n">
        <x:f>E6879*I6879*H6879</x:f>
        <x:v>0.10000368</x:v>
      </x:c>
      <x:c r="L6879" s="1" t="str">
        <x:f>TEXT(A6879,"mmm yyyy")</x:f>
        <x:v>Sep 2026</x:v>
      </x:c>
    </x:row>
    <x:row r="6880" ht="21" customHeight="1">
      <x:c r="A6880" s="10" t="n">
        <x:v>46291</x:v>
      </x:c>
      <x:c r="B6880" s="1" t="n">
        <x:v>20</x:v>
      </x:c>
      <x:c r="C6880" s="1" t="n">
        <x:v>6</x:v>
      </x:c>
      <x:c r="D6880" s="12" t="n">
        <x:v>0</x:v>
      </x:c>
      <x:c r="E6880" s="12" t="n">
        <x:v>0.2939166666666667</x:v>
      </x:c>
      <x:c r="F6880" s="12" t="n">
        <x:v>0.29341666666666666</x:v>
      </x:c>
      <x:c r="G6880" s="12" t="n">
        <x:v>0</x:v>
      </x:c>
      <x:c r="H6880" s="1" t="n">
        <x:f>'Historical prices'!E6880</x:f>
        <x:v>1.05</x:v>
      </x:c>
      <x:c r="I6880" s="6" t="n">
        <x:f>'Historical prices'!D6880</x:f>
        <x:v>0.3403</x:v>
      </x:c>
      <x:c r="J6880" s="13" t="n">
        <x:f>D6880*I6880*H6880</x:f>
        <x:v>0</x:v>
      </x:c>
      <x:c r="K6880" s="13" t="n">
        <x:f>E6880*I6880*H6880</x:f>
        <x:v>0.10502083375000001</x:v>
      </x:c>
      <x:c r="L6880" s="1" t="str">
        <x:f>TEXT(A6880,"mmm yyyy")</x:f>
        <x:v>Sep 2026</x:v>
      </x:c>
    </x:row>
    <x:row r="6881" ht="21" customHeight="1">
      <x:c r="A6881" s="10" t="n">
        <x:v>46291</x:v>
      </x:c>
      <x:c r="B6881" s="1" t="n">
        <x:v>20.5</x:v>
      </x:c>
      <x:c r="C6881" s="1" t="n">
        <x:v>6</x:v>
      </x:c>
      <x:c r="D6881" s="12" t="n">
        <x:v>0</x:v>
      </x:c>
      <x:c r="E6881" s="12" t="n">
        <x:v>0.32683333333333336</x:v>
      </x:c>
      <x:c r="F6881" s="12" t="n">
        <x:v>0.3263333333333333</x:v>
      </x:c>
      <x:c r="G6881" s="12" t="n">
        <x:v>0</x:v>
      </x:c>
      <x:c r="H6881" s="1" t="n">
        <x:f>'Historical prices'!E6881</x:f>
        <x:v>1.05</x:v>
      </x:c>
      <x:c r="I6881" s="6" t="n">
        <x:f>'Historical prices'!D6881</x:f>
        <x:v>0.30329999999999996</x:v>
      </x:c>
      <x:c r="J6881" s="13" t="n">
        <x:f>D6881*I6881*H6881</x:f>
        <x:v>0</x:v>
      </x:c>
      <x:c r="K6881" s="13" t="n">
        <x:f>E6881*I6881*H6881</x:f>
        <x:v>0.1040849775</x:v>
      </x:c>
      <x:c r="L6881" s="1" t="str">
        <x:f>TEXT(A6881,"mmm yyyy")</x:f>
        <x:v>Sep 2026</x:v>
      </x:c>
    </x:row>
    <x:row r="6882" ht="21" customHeight="1">
      <x:c r="A6882" s="10" t="n">
        <x:v>46291</x:v>
      </x:c>
      <x:c r="B6882" s="1" t="n">
        <x:v>21</x:v>
      </x:c>
      <x:c r="C6882" s="1" t="n">
        <x:v>6</x:v>
      </x:c>
      <x:c r="D6882" s="12" t="n">
        <x:v>0</x:v>
      </x:c>
      <x:c r="E6882" s="12" t="n">
        <x:v>0.296</x:v>
      </x:c>
      <x:c r="F6882" s="12" t="n">
        <x:v>0.2955</x:v>
      </x:c>
      <x:c r="G6882" s="12" t="n">
        <x:v>0</x:v>
      </x:c>
      <x:c r="H6882" s="1" t="n">
        <x:f>'Historical prices'!E6882</x:f>
        <x:v>1.05</x:v>
      </x:c>
      <x:c r="I6882" s="6" t="n">
        <x:f>'Historical prices'!D6882</x:f>
        <x:v>0.3036</x:v>
      </x:c>
      <x:c r="J6882" s="13" t="n">
        <x:f>D6882*I6882*H6882</x:f>
        <x:v>0</x:v>
      </x:c>
      <x:c r="K6882" s="13" t="n">
        <x:f>E6882*I6882*H6882</x:f>
        <x:v>0.09435887999999999</x:v>
      </x:c>
      <x:c r="L6882" s="1" t="str">
        <x:f>TEXT(A6882,"mmm yyyy")</x:f>
        <x:v>Sep 2026</x:v>
      </x:c>
    </x:row>
    <x:row r="6883" ht="21" customHeight="1">
      <x:c r="A6883" s="10" t="n">
        <x:v>46291</x:v>
      </x:c>
      <x:c r="B6883" s="1" t="n">
        <x:v>21.5</x:v>
      </x:c>
      <x:c r="C6883" s="1" t="n">
        <x:v>6</x:v>
      </x:c>
      <x:c r="D6883" s="12" t="n">
        <x:v>0</x:v>
      </x:c>
      <x:c r="E6883" s="12" t="n">
        <x:v>0.24608333333333332</x:v>
      </x:c>
      <x:c r="F6883" s="12" t="n">
        <x:v>0.2456666666666667</x:v>
      </x:c>
      <x:c r="G6883" s="12" t="n">
        <x:v>0</x:v>
      </x:c>
      <x:c r="H6883" s="1" t="n">
        <x:f>'Historical prices'!E6883</x:f>
        <x:v>1.05</x:v>
      </x:c>
      <x:c r="I6883" s="6" t="n">
        <x:f>'Historical prices'!D6883</x:f>
        <x:v>0.2864</x:v>
      </x:c>
      <x:c r="J6883" s="13" t="n">
        <x:f>D6883*I6883*H6883</x:f>
        <x:v>0</x:v>
      </x:c>
      <x:c r="K6883" s="13" t="n">
        <x:f>E6883*I6883*H6883</x:f>
        <x:v>0.07400218</x:v>
      </x:c>
      <x:c r="L6883" s="1" t="str">
        <x:f>TEXT(A6883,"mmm yyyy")</x:f>
        <x:v>Sep 2026</x:v>
      </x:c>
    </x:row>
    <x:row r="6884" ht="21" customHeight="1">
      <x:c r="A6884" s="10" t="n">
        <x:v>46291</x:v>
      </x:c>
      <x:c r="B6884" s="1" t="n">
        <x:v>22</x:v>
      </x:c>
      <x:c r="C6884" s="1" t="n">
        <x:v>6</x:v>
      </x:c>
      <x:c r="D6884" s="12" t="n">
        <x:v>0</x:v>
      </x:c>
      <x:c r="E6884" s="12" t="n">
        <x:v>0.26116666666666666</x:v>
      </x:c>
      <x:c r="F6884" s="12" t="n">
        <x:v>0.2605</x:v>
      </x:c>
      <x:c r="G6884" s="12" t="n">
        <x:v>0</x:v>
      </x:c>
      <x:c r="H6884" s="1" t="n">
        <x:f>'Historical prices'!E6884</x:f>
        <x:v>1.05</x:v>
      </x:c>
      <x:c r="I6884" s="6" t="n">
        <x:f>'Historical prices'!D6884</x:f>
        <x:v>0.27949999999999997</x:v>
      </x:c>
      <x:c r="J6884" s="13" t="n">
        <x:f>D6884*I6884*H6884</x:f>
        <x:v>0</x:v>
      </x:c>
      <x:c r="K6884" s="13" t="n">
        <x:f>E6884*I6884*H6884</x:f>
        <x:v>0.0766458875</x:v>
      </x:c>
      <x:c r="L6884" s="1" t="str">
        <x:f>TEXT(A6884,"mmm yyyy")</x:f>
        <x:v>Sep 2026</x:v>
      </x:c>
    </x:row>
    <x:row r="6885" ht="21" customHeight="1">
      <x:c r="A6885" s="10" t="n">
        <x:v>46291</x:v>
      </x:c>
      <x:c r="B6885" s="1" t="n">
        <x:v>22.5</x:v>
      </x:c>
      <x:c r="C6885" s="1" t="n">
        <x:v>6</x:v>
      </x:c>
      <x:c r="D6885" s="12" t="n">
        <x:v>0</x:v>
      </x:c>
      <x:c r="E6885" s="12" t="n">
        <x:v>0.3250833333333333</x:v>
      </x:c>
      <x:c r="F6885" s="12" t="n">
        <x:v>0.32466666666666666</x:v>
      </x:c>
      <x:c r="G6885" s="12" t="n">
        <x:v>0</x:v>
      </x:c>
      <x:c r="H6885" s="1" t="n">
        <x:f>'Historical prices'!E6885</x:f>
        <x:v>1.05</x:v>
      </x:c>
      <x:c r="I6885" s="6" t="n">
        <x:f>'Historical prices'!D6885</x:f>
        <x:v>0.2824</x:v>
      </x:c>
      <x:c r="J6885" s="13" t="n">
        <x:f>D6885*I6885*H6885</x:f>
        <x:v>0</x:v>
      </x:c>
      <x:c r="K6885" s="13" t="n">
        <x:f>E6885*I6885*H6885</x:f>
        <x:v>0.09639370999999998</x:v>
      </x:c>
      <x:c r="L6885" s="1" t="str">
        <x:f>TEXT(A6885,"mmm yyyy")</x:f>
        <x:v>Sep 2026</x:v>
      </x:c>
    </x:row>
    <x:row r="6886" ht="21" customHeight="1">
      <x:c r="A6886" s="10" t="n">
        <x:v>46291</x:v>
      </x:c>
      <x:c r="B6886" s="1" t="n">
        <x:v>23</x:v>
      </x:c>
      <x:c r="C6886" s="1" t="n">
        <x:v>6</x:v>
      </x:c>
      <x:c r="D6886" s="12" t="n">
        <x:v>0</x:v>
      </x:c>
      <x:c r="E6886" s="12" t="n">
        <x:v>0.2936666666666667</x:v>
      </x:c>
      <x:c r="F6886" s="12" t="n">
        <x:v>0.29341666666666666</x:v>
      </x:c>
      <x:c r="G6886" s="12" t="n">
        <x:v>0</x:v>
      </x:c>
      <x:c r="H6886" s="1" t="n">
        <x:f>'Historical prices'!E6886</x:f>
        <x:v>1.05</x:v>
      </x:c>
      <x:c r="I6886" s="6" t="n">
        <x:f>'Historical prices'!D6886</x:f>
        <x:v>0.3005</x:v>
      </x:c>
      <x:c r="J6886" s="13" t="n">
        <x:f>D6886*I6886*H6886</x:f>
        <x:v>0</x:v>
      </x:c>
      <x:c r="K6886" s="13" t="n">
        <x:f>E6886*I6886*H6886</x:f>
        <x:v>0.092659175</x:v>
      </x:c>
      <x:c r="L6886" s="1" t="str">
        <x:f>TEXT(A6886,"mmm yyyy")</x:f>
        <x:v>Sep 2026</x:v>
      </x:c>
    </x:row>
    <x:row r="6887" ht="21" customHeight="1">
      <x:c r="A6887" s="10" t="n">
        <x:v>46291</x:v>
      </x:c>
      <x:c r="B6887" s="1" t="n">
        <x:v>23.5</x:v>
      </x:c>
      <x:c r="C6887" s="1" t="n">
        <x:v>6</x:v>
      </x:c>
      <x:c r="D6887" s="12" t="n">
        <x:v>0</x:v>
      </x:c>
      <x:c r="E6887" s="12" t="n">
        <x:v>0.20916666666666667</x:v>
      </x:c>
      <x:c r="F6887" s="12" t="n">
        <x:v>0.20500000000000002</x:v>
      </x:c>
      <x:c r="G6887" s="12" t="n">
        <x:v>0</x:v>
      </x:c>
      <x:c r="H6887" s="1" t="n">
        <x:f>'Historical prices'!E6887</x:f>
        <x:v>1.05</x:v>
      </x:c>
      <x:c r="I6887" s="6" t="n">
        <x:f>'Historical prices'!D6887</x:f>
        <x:v>0.2974</x:v>
      </x:c>
      <x:c r="J6887" s="13" t="n">
        <x:f>D6887*I6887*H6887</x:f>
        <x:v>0</x:v>
      </x:c>
      <x:c r="K6887" s="13" t="n">
        <x:f>E6887*I6887*H6887</x:f>
        <x:v>0.065316475</x:v>
      </x:c>
      <x:c r="L6887" s="1" t="str">
        <x:f>TEXT(A6887,"mmm yyyy")</x:f>
        <x:v>Sep 2026</x:v>
      </x:c>
    </x:row>
    <x:row r="6888" ht="21" customHeight="1">
      <x:c r="A6888" s="10" t="n">
        <x:v>46292</x:v>
      </x:c>
      <x:c r="B6888" s="1" t="n">
        <x:v>0</x:v>
      </x:c>
      <x:c r="C6888" s="1" t="n">
        <x:v>6</x:v>
      </x:c>
      <x:c r="D6888" s="12" t="n">
        <x:v>0</x:v>
      </x:c>
      <x:c r="E6888" s="12" t="n">
        <x:v>0.258</x:v>
      </x:c>
      <x:c r="F6888" s="12" t="n">
        <x:v>0.2565</x:v>
      </x:c>
      <x:c r="G6888" s="12" t="n">
        <x:v>0</x:v>
      </x:c>
      <x:c r="H6888" s="1" t="n">
        <x:f>'Historical prices'!E6888</x:f>
        <x:v>1.05</x:v>
      </x:c>
      <x:c r="I6888" s="6" t="n">
        <x:f>'Historical prices'!D6888</x:f>
        <x:v>0.2873</x:v>
      </x:c>
      <x:c r="J6888" s="13" t="n">
        <x:f>D6888*I6888*H6888</x:f>
        <x:v>0</x:v>
      </x:c>
      <x:c r="K6888" s="13" t="n">
        <x:f>E6888*I6888*H6888</x:f>
        <x:v>0.07782957000000001</x:v>
      </x:c>
      <x:c r="L6888" s="1" t="str">
        <x:f>TEXT(A6888,"mmm yyyy")</x:f>
        <x:v>Sep 2026</x:v>
      </x:c>
    </x:row>
    <x:row r="6889" ht="21" customHeight="1">
      <x:c r="A6889" s="10" t="n">
        <x:v>46292</x:v>
      </x:c>
      <x:c r="B6889" s="1" t="n">
        <x:v>0.5</x:v>
      </x:c>
      <x:c r="C6889" s="1" t="n">
        <x:v>6</x:v>
      </x:c>
      <x:c r="D6889" s="12" t="n">
        <x:v>0</x:v>
      </x:c>
      <x:c r="E6889" s="12" t="n">
        <x:v>0.244</x:v>
      </x:c>
      <x:c r="F6889" s="12" t="n">
        <x:v>0.2434166666666667</x:v>
      </x:c>
      <x:c r="G6889" s="12" t="n">
        <x:v>0</x:v>
      </x:c>
      <x:c r="H6889" s="1" t="n">
        <x:f>'Historical prices'!E6889</x:f>
        <x:v>1.05</x:v>
      </x:c>
      <x:c r="I6889" s="6" t="n">
        <x:f>'Historical prices'!D6889</x:f>
        <x:v>0.2772</x:v>
      </x:c>
      <x:c r="J6889" s="13" t="n">
        <x:f>D6889*I6889*H6889</x:f>
        <x:v>0</x:v>
      </x:c>
      <x:c r="K6889" s="13" t="n">
        <x:f>E6889*I6889*H6889</x:f>
        <x:v>0.07101864</x:v>
      </x:c>
      <x:c r="L6889" s="1" t="str">
        <x:f>TEXT(A6889,"mmm yyyy")</x:f>
        <x:v>Sep 2026</x:v>
      </x:c>
    </x:row>
    <x:row r="6890" ht="21" customHeight="1">
      <x:c r="A6890" s="10" t="n">
        <x:v>46292</x:v>
      </x:c>
      <x:c r="B6890" s="1" t="n">
        <x:v>1</x:v>
      </x:c>
      <x:c r="C6890" s="1" t="n">
        <x:v>6</x:v>
      </x:c>
      <x:c r="D6890" s="12" t="n">
        <x:v>0</x:v>
      </x:c>
      <x:c r="E6890" s="12" t="n">
        <x:v>0.22308333333333333</x:v>
      </x:c>
      <x:c r="F6890" s="12" t="n">
        <x:v>0.22258333333333336</x:v>
      </x:c>
      <x:c r="G6890" s="12" t="n">
        <x:v>0</x:v>
      </x:c>
      <x:c r="H6890" s="1" t="n">
        <x:f>'Historical prices'!E6890</x:f>
        <x:v>1.05</x:v>
      </x:c>
      <x:c r="I6890" s="6" t="n">
        <x:f>'Historical prices'!D6890</x:f>
        <x:v>0.2836</x:v>
      </x:c>
      <x:c r="J6890" s="13" t="n">
        <x:f>D6890*I6890*H6890</x:f>
        <x:v>0</x:v>
      </x:c>
      <x:c r="K6890" s="13" t="n">
        <x:f>E6890*I6890*H6890</x:f>
        <x:v>0.066429755</x:v>
      </x:c>
      <x:c r="L6890" s="1" t="str">
        <x:f>TEXT(A6890,"mmm yyyy")</x:f>
        <x:v>Sep 2026</x:v>
      </x:c>
    </x:row>
    <x:row r="6891" ht="21" customHeight="1">
      <x:c r="A6891" s="10" t="n">
        <x:v>46292</x:v>
      </x:c>
      <x:c r="B6891" s="1" t="n">
        <x:v>1.5</x:v>
      </x:c>
      <x:c r="C6891" s="1" t="n">
        <x:v>6</x:v>
      </x:c>
      <x:c r="D6891" s="12" t="n">
        <x:v>0</x:v>
      </x:c>
      <x:c r="E6891" s="12" t="n">
        <x:v>0.24300000000000002</x:v>
      </x:c>
      <x:c r="F6891" s="12" t="n">
        <x:v>0.24283333333333335</x:v>
      </x:c>
      <x:c r="G6891" s="12" t="n">
        <x:v>0</x:v>
      </x:c>
      <x:c r="H6891" s="1" t="n">
        <x:f>'Historical prices'!E6891</x:f>
        <x:v>1.05</x:v>
      </x:c>
      <x:c r="I6891" s="6" t="n">
        <x:f>'Historical prices'!D6891</x:f>
        <x:v>0.2728</x:v>
      </x:c>
      <x:c r="J6891" s="13" t="n">
        <x:f>D6891*I6891*H6891</x:f>
        <x:v>0</x:v>
      </x:c>
      <x:c r="K6891" s="13" t="n">
        <x:f>E6891*I6891*H6891</x:f>
        <x:v>0.06960492</x:v>
      </x:c>
      <x:c r="L6891" s="1" t="str">
        <x:f>TEXT(A6891,"mmm yyyy")</x:f>
        <x:v>Sep 2026</x:v>
      </x:c>
    </x:row>
    <x:row r="6892" ht="21" customHeight="1">
      <x:c r="A6892" s="10" t="n">
        <x:v>46292</x:v>
      </x:c>
      <x:c r="B6892" s="1" t="n">
        <x:v>2</x:v>
      </x:c>
      <x:c r="C6892" s="1" t="n">
        <x:v>6</x:v>
      </x:c>
      <x:c r="D6892" s="12" t="n">
        <x:v>0</x:v>
      </x:c>
      <x:c r="E6892" s="12" t="n">
        <x:v>0.21000000000000002</x:v>
      </x:c>
      <x:c r="F6892" s="12" t="n">
        <x:v>0.2095</x:v>
      </x:c>
      <x:c r="G6892" s="12" t="n">
        <x:v>0</x:v>
      </x:c>
      <x:c r="H6892" s="1" t="n">
        <x:f>'Historical prices'!E6892</x:f>
        <x:v>1.05</x:v>
      </x:c>
      <x:c r="I6892" s="6" t="n">
        <x:f>'Historical prices'!D6892</x:f>
        <x:v>0.275</x:v>
      </x:c>
      <x:c r="J6892" s="13" t="n">
        <x:f>D6892*I6892*H6892</x:f>
        <x:v>0</x:v>
      </x:c>
      <x:c r="K6892" s="13" t="n">
        <x:f>E6892*I6892*H6892</x:f>
        <x:v>0.06063750000000001</x:v>
      </x:c>
      <x:c r="L6892" s="1" t="str">
        <x:f>TEXT(A6892,"mmm yyyy")</x:f>
        <x:v>Sep 2026</x:v>
      </x:c>
    </x:row>
    <x:row r="6893" ht="21" customHeight="1">
      <x:c r="A6893" s="10" t="n">
        <x:v>46292</x:v>
      </x:c>
      <x:c r="B6893" s="1" t="n">
        <x:v>2.5</x:v>
      </x:c>
      <x:c r="C6893" s="1" t="n">
        <x:v>6</x:v>
      </x:c>
      <x:c r="D6893" s="12" t="n">
        <x:v>0</x:v>
      </x:c>
      <x:c r="E6893" s="12" t="n">
        <x:v>0.24483333333333335</x:v>
      </x:c>
      <x:c r="F6893" s="12" t="n">
        <x:v>0.24458333333333332</x:v>
      </x:c>
      <x:c r="G6893" s="12" t="n">
        <x:v>0</x:v>
      </x:c>
      <x:c r="H6893" s="1" t="n">
        <x:f>'Historical prices'!E6893</x:f>
        <x:v>1.05</x:v>
      </x:c>
      <x:c r="I6893" s="6" t="n">
        <x:f>'Historical prices'!D6893</x:f>
        <x:v>0.2589</x:v>
      </x:c>
      <x:c r="J6893" s="13" t="n">
        <x:f>D6893*I6893*H6893</x:f>
        <x:v>0</x:v>
      </x:c>
      <x:c r="K6893" s="13" t="n">
        <x:f>E6893*I6893*H6893</x:f>
        <x:v>0.06655671750000001</x:v>
      </x:c>
      <x:c r="L6893" s="1" t="str">
        <x:f>TEXT(A6893,"mmm yyyy")</x:f>
        <x:v>Sep 2026</x:v>
      </x:c>
    </x:row>
    <x:row r="6894" ht="21" customHeight="1">
      <x:c r="A6894" s="10" t="n">
        <x:v>46292</x:v>
      </x:c>
      <x:c r="B6894" s="1" t="n">
        <x:v>3</x:v>
      </x:c>
      <x:c r="C6894" s="1" t="n">
        <x:v>6</x:v>
      </x:c>
      <x:c r="D6894" s="12" t="n">
        <x:v>0</x:v>
      </x:c>
      <x:c r="E6894" s="12" t="n">
        <x:v>0.339</x:v>
      </x:c>
      <x:c r="F6894" s="12" t="n">
        <x:v>0.3385833333333333</x:v>
      </x:c>
      <x:c r="G6894" s="12" t="n">
        <x:v>0</x:v>
      </x:c>
      <x:c r="H6894" s="1" t="n">
        <x:f>'Historical prices'!E6894</x:f>
        <x:v>1.05</x:v>
      </x:c>
      <x:c r="I6894" s="6" t="n">
        <x:f>'Historical prices'!D6894</x:f>
        <x:v>0.2585</x:v>
      </x:c>
      <x:c r="J6894" s="13" t="n">
        <x:f>D6894*I6894*H6894</x:f>
        <x:v>0</x:v>
      </x:c>
      <x:c r="K6894" s="13" t="n">
        <x:f>E6894*I6894*H6894</x:f>
        <x:v>0.09201307500000001</x:v>
      </x:c>
      <x:c r="L6894" s="1" t="str">
        <x:f>TEXT(A6894,"mmm yyyy")</x:f>
        <x:v>Sep 2026</x:v>
      </x:c>
    </x:row>
    <x:row r="6895" ht="21" customHeight="1">
      <x:c r="A6895" s="10" t="n">
        <x:v>46292</x:v>
      </x:c>
      <x:c r="B6895" s="1" t="n">
        <x:v>3.5</x:v>
      </x:c>
      <x:c r="C6895" s="1" t="n">
        <x:v>6</x:v>
      </x:c>
      <x:c r="D6895" s="12" t="n">
        <x:v>0</x:v>
      </x:c>
      <x:c r="E6895" s="12" t="n">
        <x:v>0.20708333333333334</x:v>
      </x:c>
      <x:c r="F6895" s="12" t="n">
        <x:v>0.20658333333333334</x:v>
      </x:c>
      <x:c r="G6895" s="12" t="n">
        <x:v>0</x:v>
      </x:c>
      <x:c r="H6895" s="1" t="n">
        <x:f>'Historical prices'!E6895</x:f>
        <x:v>1.05</x:v>
      </x:c>
      <x:c r="I6895" s="6" t="n">
        <x:f>'Historical prices'!D6895</x:f>
        <x:v>0.2502</x:v>
      </x:c>
      <x:c r="J6895" s="13" t="n">
        <x:f>D6895*I6895*H6895</x:f>
        <x:v>0</x:v>
      </x:c>
      <x:c r="K6895" s="13" t="n">
        <x:f>E6895*I6895*H6895</x:f>
        <x:v>0.054402862499999996</x:v>
      </x:c>
      <x:c r="L6895" s="1" t="str">
        <x:f>TEXT(A6895,"mmm yyyy")</x:f>
        <x:v>Sep 2026</x:v>
      </x:c>
    </x:row>
    <x:row r="6896" ht="21" customHeight="1">
      <x:c r="A6896" s="10" t="n">
        <x:v>46292</x:v>
      </x:c>
      <x:c r="B6896" s="1" t="n">
        <x:v>4</x:v>
      </x:c>
      <x:c r="C6896" s="1" t="n">
        <x:v>6</x:v>
      </x:c>
      <x:c r="D6896" s="12" t="n">
        <x:v>0</x:v>
      </x:c>
      <x:c r="E6896" s="12" t="n">
        <x:v>0.21808333333333335</x:v>
      </x:c>
      <x:c r="F6896" s="12" t="n">
        <x:v>0.21766666666666662</x:v>
      </x:c>
      <x:c r="G6896" s="12" t="n">
        <x:v>0</x:v>
      </x:c>
      <x:c r="H6896" s="1" t="n">
        <x:f>'Historical prices'!E6896</x:f>
        <x:v>1.05</x:v>
      </x:c>
      <x:c r="I6896" s="6" t="n">
        <x:f>'Historical prices'!D6896</x:f>
        <x:v>0.253</x:v>
      </x:c>
      <x:c r="J6896" s="13" t="n">
        <x:f>D6896*I6896*H6896</x:f>
        <x:v>0</x:v>
      </x:c>
      <x:c r="K6896" s="13" t="n">
        <x:f>E6896*I6896*H6896</x:f>
        <x:v>0.05793383750000001</x:v>
      </x:c>
      <x:c r="L6896" s="1" t="str">
        <x:f>TEXT(A6896,"mmm yyyy")</x:f>
        <x:v>Sep 2026</x:v>
      </x:c>
    </x:row>
    <x:row r="6897" ht="21" customHeight="1">
      <x:c r="A6897" s="10" t="n">
        <x:v>46292</x:v>
      </x:c>
      <x:c r="B6897" s="1" t="n">
        <x:v>4.5</x:v>
      </x:c>
      <x:c r="C6897" s="1" t="n">
        <x:v>6</x:v>
      </x:c>
      <x:c r="D6897" s="12" t="n">
        <x:v>0</x:v>
      </x:c>
      <x:c r="E6897" s="12" t="n">
        <x:v>0.30283333333333334</x:v>
      </x:c>
      <x:c r="F6897" s="12" t="n">
        <x:v>0.3025</x:v>
      </x:c>
      <x:c r="G6897" s="12" t="n">
        <x:v>0</x:v>
      </x:c>
      <x:c r="H6897" s="1" t="n">
        <x:f>'Historical prices'!E6897</x:f>
        <x:v>1.05</x:v>
      </x:c>
      <x:c r="I6897" s="6" t="n">
        <x:f>'Historical prices'!D6897</x:f>
        <x:v>0.235</x:v>
      </x:c>
      <x:c r="J6897" s="13" t="n">
        <x:f>D6897*I6897*H6897</x:f>
        <x:v>0</x:v>
      </x:c>
      <x:c r="K6897" s="13" t="n">
        <x:f>E6897*I6897*H6897</x:f>
        <x:v>0.074724125</x:v>
      </x:c>
      <x:c r="L6897" s="1" t="str">
        <x:f>TEXT(A6897,"mmm yyyy")</x:f>
        <x:v>Sep 2026</x:v>
      </x:c>
    </x:row>
    <x:row r="6898" ht="21" customHeight="1">
      <x:c r="A6898" s="10" t="n">
        <x:v>46292</x:v>
      </x:c>
      <x:c r="B6898" s="1" t="n">
        <x:v>5</x:v>
      </x:c>
      <x:c r="C6898" s="1" t="n">
        <x:v>6</x:v>
      </x:c>
      <x:c r="D6898" s="12" t="n">
        <x:v>0</x:v>
      </x:c>
      <x:c r="E6898" s="12" t="n">
        <x:v>0.24066666666666667</x:v>
      </x:c>
      <x:c r="F6898" s="12" t="n">
        <x:v>0.24041666666666664</x:v>
      </x:c>
      <x:c r="G6898" s="12" t="n">
        <x:v>0</x:v>
      </x:c>
      <x:c r="H6898" s="1" t="n">
        <x:f>'Historical prices'!E6898</x:f>
        <x:v>1.05</x:v>
      </x:c>
      <x:c r="I6898" s="6" t="n">
        <x:f>'Historical prices'!D6898</x:f>
        <x:v>0.29</x:v>
      </x:c>
      <x:c r="J6898" s="13" t="n">
        <x:f>D6898*I6898*H6898</x:f>
        <x:v>0</x:v>
      </x:c>
      <x:c r="K6898" s="13" t="n">
        <x:f>E6898*I6898*H6898</x:f>
        <x:v>0.073283</x:v>
      </x:c>
      <x:c r="L6898" s="1" t="str">
        <x:f>TEXT(A6898,"mmm yyyy")</x:f>
        <x:v>Sep 2026</x:v>
      </x:c>
    </x:row>
    <x:row r="6899" ht="21" customHeight="1">
      <x:c r="A6899" s="10" t="n">
        <x:v>46292</x:v>
      </x:c>
      <x:c r="B6899" s="1" t="n">
        <x:v>5.5</x:v>
      </x:c>
      <x:c r="C6899" s="1" t="n">
        <x:v>6</x:v>
      </x:c>
      <x:c r="D6899" s="12" t="n">
        <x:v>0</x:v>
      </x:c>
      <x:c r="E6899" s="12" t="n">
        <x:v>0.28325</x:v>
      </x:c>
      <x:c r="F6899" s="12" t="n">
        <x:v>0.28250000000000003</x:v>
      </x:c>
      <x:c r="G6899" s="12" t="n">
        <x:v>0</x:v>
      </x:c>
      <x:c r="H6899" s="1" t="n">
        <x:f>'Historical prices'!E6899</x:f>
        <x:v>1.05</x:v>
      </x:c>
      <x:c r="I6899" s="6" t="n">
        <x:f>'Historical prices'!D6899</x:f>
        <x:v>0.2432</x:v>
      </x:c>
      <x:c r="J6899" s="13" t="n">
        <x:f>D6899*I6899*H6899</x:f>
        <x:v>0</x:v>
      </x:c>
      <x:c r="K6899" s="13" t="n">
        <x:f>E6899*I6899*H6899</x:f>
        <x:v>0.07233072</x:v>
      </x:c>
      <x:c r="L6899" s="1" t="str">
        <x:f>TEXT(A6899,"mmm yyyy")</x:f>
        <x:v>Sep 2026</x:v>
      </x:c>
    </x:row>
    <x:row r="6900" ht="21" customHeight="1">
      <x:c r="A6900" s="10" t="n">
        <x:v>46292</x:v>
      </x:c>
      <x:c r="B6900" s="1" t="n">
        <x:v>6</x:v>
      </x:c>
      <x:c r="C6900" s="1" t="n">
        <x:v>6</x:v>
      </x:c>
      <x:c r="D6900" s="12" t="n">
        <x:v>0</x:v>
      </x:c>
      <x:c r="E6900" s="12" t="n">
        <x:v>0.314</x:v>
      </x:c>
      <x:c r="F6900" s="12" t="n">
        <x:v>0.3135</x:v>
      </x:c>
      <x:c r="G6900" s="12" t="n">
        <x:v>0</x:v>
      </x:c>
      <x:c r="H6900" s="1" t="n">
        <x:f>'Historical prices'!E6900</x:f>
        <x:v>1.05</x:v>
      </x:c>
      <x:c r="I6900" s="6" t="n">
        <x:f>'Historical prices'!D6900</x:f>
        <x:v>0.2522</x:v>
      </x:c>
      <x:c r="J6900" s="13" t="n">
        <x:f>D6900*I6900*H6900</x:f>
        <x:v>0</x:v>
      </x:c>
      <x:c r="K6900" s="13" t="n">
        <x:f>E6900*I6900*H6900</x:f>
        <x:v>0.08315033999999999</x:v>
      </x:c>
      <x:c r="L6900" s="1" t="str">
        <x:f>TEXT(A6900,"mmm yyyy")</x:f>
        <x:v>Sep 2026</x:v>
      </x:c>
    </x:row>
    <x:row r="6901" ht="21" customHeight="1">
      <x:c r="A6901" s="10" t="n">
        <x:v>46292</x:v>
      </x:c>
      <x:c r="B6901" s="1" t="n">
        <x:v>6.5</x:v>
      </x:c>
      <x:c r="C6901" s="1" t="n">
        <x:v>6</x:v>
      </x:c>
      <x:c r="D6901" s="12" t="n">
        <x:v>0</x:v>
      </x:c>
      <x:c r="E6901" s="12" t="n">
        <x:v>0.30316666666666664</x:v>
      </x:c>
      <x:c r="F6901" s="12" t="n">
        <x:v>0.3026666666666667</x:v>
      </x:c>
      <x:c r="G6901" s="12" t="n">
        <x:v>0</x:v>
      </x:c>
      <x:c r="H6901" s="1" t="n">
        <x:f>'Historical prices'!E6901</x:f>
        <x:v>1.05</x:v>
      </x:c>
      <x:c r="I6901" s="6" t="n">
        <x:f>'Historical prices'!D6901</x:f>
        <x:v>0.24760000000000001</x:v>
      </x:c>
      <x:c r="J6901" s="13" t="n">
        <x:f>D6901*I6901*H6901</x:f>
        <x:v>0</x:v>
      </x:c>
      <x:c r="K6901" s="13" t="n">
        <x:f>E6901*I6901*H6901</x:f>
        <x:v>0.07881727</x:v>
      </x:c>
      <x:c r="L6901" s="1" t="str">
        <x:f>TEXT(A6901,"mmm yyyy")</x:f>
        <x:v>Sep 2026</x:v>
      </x:c>
    </x:row>
    <x:row r="6902" ht="21" customHeight="1">
      <x:c r="A6902" s="10" t="n">
        <x:v>46292</x:v>
      </x:c>
      <x:c r="B6902" s="1" t="n">
        <x:v>7</x:v>
      </x:c>
      <x:c r="C6902" s="1" t="n">
        <x:v>6</x:v>
      </x:c>
      <x:c r="D6902" s="12" t="n">
        <x:v>0</x:v>
      </x:c>
      <x:c r="E6902" s="12" t="n">
        <x:v>0.27691666666666664</x:v>
      </x:c>
      <x:c r="F6902" s="12" t="n">
        <x:v>0.2765833333333333</x:v>
      </x:c>
      <x:c r="G6902" s="12" t="n">
        <x:v>0</x:v>
      </x:c>
      <x:c r="H6902" s="1" t="n">
        <x:f>'Historical prices'!E6902</x:f>
        <x:v>1.05</x:v>
      </x:c>
      <x:c r="I6902" s="6" t="n">
        <x:f>'Historical prices'!D6902</x:f>
        <x:v>0.20809999999999998</x:v>
      </x:c>
      <x:c r="J6902" s="13" t="n">
        <x:f>D6902*I6902*H6902</x:f>
        <x:v>0</x:v>
      </x:c>
      <x:c r="K6902" s="13" t="n">
        <x:f>E6902*I6902*H6902</x:f>
        <x:v>0.06050767624999999</x:v>
      </x:c>
      <x:c r="L6902" s="1" t="str">
        <x:f>TEXT(A6902,"mmm yyyy")</x:f>
        <x:v>Sep 2026</x:v>
      </x:c>
    </x:row>
    <x:row r="6903" ht="21" customHeight="1">
      <x:c r="A6903" s="10" t="n">
        <x:v>46292</x:v>
      </x:c>
      <x:c r="B6903" s="1" t="n">
        <x:v>7.5</x:v>
      </x:c>
      <x:c r="C6903" s="1" t="n">
        <x:v>6</x:v>
      </x:c>
      <x:c r="D6903" s="12" t="n">
        <x:v>0</x:v>
      </x:c>
      <x:c r="E6903" s="12" t="n">
        <x:v>0.36941666666666667</x:v>
      </x:c>
      <x:c r="F6903" s="12" t="n">
        <x:v>0.36874999999999997</x:v>
      </x:c>
      <x:c r="G6903" s="12" t="n">
        <x:v>0</x:v>
      </x:c>
      <x:c r="H6903" s="1" t="n">
        <x:f>'Historical prices'!E6903</x:f>
        <x:v>1.05</x:v>
      </x:c>
      <x:c r="I6903" s="6" t="n">
        <x:f>'Historical prices'!D6903</x:f>
        <x:v>0.20809999999999998</x:v>
      </x:c>
      <x:c r="J6903" s="13" t="n">
        <x:f>D6903*I6903*H6903</x:f>
        <x:v>0</x:v>
      </x:c>
      <x:c r="K6903" s="13" t="n">
        <x:f>E6903*I6903*H6903</x:f>
        <x:v>0.08071938875</x:v>
      </x:c>
      <x:c r="L6903" s="1" t="str">
        <x:f>TEXT(A6903,"mmm yyyy")</x:f>
        <x:v>Sep 2026</x:v>
      </x:c>
    </x:row>
    <x:row r="6904" ht="21" customHeight="1">
      <x:c r="A6904" s="10" t="n">
        <x:v>46292</x:v>
      </x:c>
      <x:c r="B6904" s="1" t="n">
        <x:v>8</x:v>
      </x:c>
      <x:c r="C6904" s="1" t="n">
        <x:v>6</x:v>
      </x:c>
      <x:c r="D6904" s="12" t="n">
        <x:v>0</x:v>
      </x:c>
      <x:c r="E6904" s="12" t="n">
        <x:v>0.26875</x:v>
      </x:c>
      <x:c r="F6904" s="12" t="n">
        <x:v>0.2648333333333333</x:v>
      </x:c>
      <x:c r="G6904" s="12" t="n">
        <x:v>0</x:v>
      </x:c>
      <x:c r="H6904" s="1" t="n">
        <x:f>'Historical prices'!E6904</x:f>
        <x:v>1.05</x:v>
      </x:c>
      <x:c r="I6904" s="6" t="n">
        <x:f>'Historical prices'!D6904</x:f>
        <x:v>0.09230000000000001</x:v>
      </x:c>
      <x:c r="J6904" s="13" t="n">
        <x:f>D6904*I6904*H6904</x:f>
        <x:v>0</x:v>
      </x:c>
      <x:c r="K6904" s="13" t="n">
        <x:f>E6904*I6904*H6904</x:f>
        <x:v>0.026045906250000004</x:v>
      </x:c>
      <x:c r="L6904" s="1" t="str">
        <x:f>TEXT(A6904,"mmm yyyy")</x:f>
        <x:v>Sep 2026</x:v>
      </x:c>
    </x:row>
    <x:row r="6905" ht="21" customHeight="1">
      <x:c r="A6905" s="10" t="n">
        <x:v>46292</x:v>
      </x:c>
      <x:c r="B6905" s="1" t="n">
        <x:v>8.5</x:v>
      </x:c>
      <x:c r="C6905" s="1" t="n">
        <x:v>6</x:v>
      </x:c>
      <x:c r="D6905" s="12" t="n">
        <x:v>0</x:v>
      </x:c>
      <x:c r="E6905" s="12" t="n">
        <x:v>0.441</x:v>
      </x:c>
      <x:c r="F6905" s="12" t="n">
        <x:v>0.4404166666666666</x:v>
      </x:c>
      <x:c r="G6905" s="12" t="n">
        <x:v>0</x:v>
      </x:c>
      <x:c r="H6905" s="1" t="n">
        <x:f>'Historical prices'!E6905</x:f>
        <x:v>1.05</x:v>
      </x:c>
      <x:c r="I6905" s="6" t="n">
        <x:f>'Historical prices'!D6905</x:f>
        <x:v>0.0926</x:v>
      </x:c>
      <x:c r="J6905" s="13" t="n">
        <x:f>D6905*I6905*H6905</x:f>
        <x:v>0</x:v>
      </x:c>
      <x:c r="K6905" s="13" t="n">
        <x:f>E6905*I6905*H6905</x:f>
        <x:v>0.04287843</x:v>
      </x:c>
      <x:c r="L6905" s="1" t="str">
        <x:f>TEXT(A6905,"mmm yyyy")</x:f>
        <x:v>Sep 2026</x:v>
      </x:c>
    </x:row>
    <x:row r="6906" ht="21" customHeight="1">
      <x:c r="A6906" s="10" t="n">
        <x:v>46292</x:v>
      </x:c>
      <x:c r="B6906" s="1" t="n">
        <x:v>9</x:v>
      </x:c>
      <x:c r="C6906" s="1" t="n">
        <x:v>6</x:v>
      </x:c>
      <x:c r="D6906" s="12" t="n">
        <x:v>0</x:v>
      </x:c>
      <x:c r="E6906" s="12" t="n">
        <x:v>0.26083333333333336</x:v>
      </x:c>
      <x:c r="F6906" s="12" t="n">
        <x:v>0.26058333333333333</x:v>
      </x:c>
      <x:c r="G6906" s="12" t="n">
        <x:v>0</x:v>
      </x:c>
      <x:c r="H6906" s="1" t="n">
        <x:f>'Historical prices'!E6906</x:f>
        <x:v>1.05</x:v>
      </x:c>
      <x:c r="I6906" s="6" t="n">
        <x:f>'Historical prices'!D6906</x:f>
        <x:v>0.0143</x:v>
      </x:c>
      <x:c r="J6906" s="13" t="n">
        <x:f>D6906*I6906*H6906</x:f>
        <x:v>0</x:v>
      </x:c>
      <x:c r="K6906" s="13" t="n">
        <x:f>E6906*I6906*H6906</x:f>
        <x:v>0.003916412500000001</x:v>
      </x:c>
      <x:c r="L6906" s="1" t="str">
        <x:f>TEXT(A6906,"mmm yyyy")</x:f>
        <x:v>Sep 2026</x:v>
      </x:c>
    </x:row>
    <x:row r="6907" ht="21" customHeight="1">
      <x:c r="A6907" s="10" t="n">
        <x:v>46292</x:v>
      </x:c>
      <x:c r="B6907" s="1" t="n">
        <x:v>9.5</x:v>
      </x:c>
      <x:c r="C6907" s="1" t="n">
        <x:v>6</x:v>
      </x:c>
      <x:c r="D6907" s="12" t="n">
        <x:v>0</x:v>
      </x:c>
      <x:c r="E6907" s="12" t="n">
        <x:v>0.225</x:v>
      </x:c>
      <x:c r="F6907" s="12" t="n">
        <x:v>0.22475</x:v>
      </x:c>
      <x:c r="G6907" s="12" t="n">
        <x:v>0</x:v>
      </x:c>
      <x:c r="H6907" s="1" t="n">
        <x:f>'Historical prices'!E6907</x:f>
        <x:v>1.05</x:v>
      </x:c>
      <x:c r="I6907" s="6" t="n">
        <x:f>'Historical prices'!D6907</x:f>
        <x:v>0.004</x:v>
      </x:c>
      <x:c r="J6907" s="13" t="n">
        <x:f>D6907*I6907*H6907</x:f>
        <x:v>0</x:v>
      </x:c>
      <x:c r="K6907" s="13" t="n">
        <x:f>E6907*I6907*H6907</x:f>
        <x:v>0.0009450000000000001</x:v>
      </x:c>
      <x:c r="L6907" s="1" t="str">
        <x:f>TEXT(A6907,"mmm yyyy")</x:f>
        <x:v>Sep 2026</x:v>
      </x:c>
    </x:row>
    <x:row r="6908" ht="21" customHeight="1">
      <x:c r="A6908" s="10" t="n">
        <x:v>46292</x:v>
      </x:c>
      <x:c r="B6908" s="1" t="n">
        <x:v>10</x:v>
      </x:c>
      <x:c r="C6908" s="1" t="n">
        <x:v>6</x:v>
      </x:c>
      <x:c r="D6908" s="12" t="n">
        <x:v>3.98875</x:v>
      </x:c>
      <x:c r="E6908" s="12" t="n">
        <x:v>0.452</x:v>
      </x:c>
      <x:c r="F6908" s="12" t="n">
        <x:v>0.04</x:v>
      </x:c>
      <x:c r="G6908" s="12" t="n">
        <x:v>3.5769999999999995</x:v>
      </x:c>
      <x:c r="H6908" s="1" t="n">
        <x:f>'Historical prices'!E6908</x:f>
        <x:v>1.05</x:v>
      </x:c>
      <x:c r="I6908" s="6" t="n">
        <x:f>'Historical prices'!D6908</x:f>
        <x:v>-0.0124</x:v>
      </x:c>
      <x:c r="J6908" s="13" t="n">
        <x:f>D6908*I6908*H6908</x:f>
        <x:v>-0.051933525</x:v>
      </x:c>
      <x:c r="K6908" s="13" t="n">
        <x:f>E6908*I6908*H6908</x:f>
        <x:v>-0.00588504</x:v>
      </x:c>
      <x:c r="L6908" s="1" t="str">
        <x:f>TEXT(A6908,"mmm yyyy")</x:f>
        <x:v>Sep 2026</x:v>
      </x:c>
    </x:row>
    <x:row r="6909" ht="21" customHeight="1">
      <x:c r="A6909" s="10" t="n">
        <x:v>46292</x:v>
      </x:c>
      <x:c r="B6909" s="1" t="n">
        <x:v>10.5</x:v>
      </x:c>
      <x:c r="C6909" s="1" t="n">
        <x:v>6</x:v>
      </x:c>
      <x:c r="D6909" s="12" t="n">
        <x:v>4.92975</x:v>
      </x:c>
      <x:c r="E6909" s="12" t="n">
        <x:v>0.59875</x:v>
      </x:c>
      <x:c r="F6909" s="12" t="n">
        <x:v>0</x:v>
      </x:c>
      <x:c r="G6909" s="12" t="n">
        <x:v>4.3309999999999995</x:v>
      </x:c>
      <x:c r="H6909" s="1" t="n">
        <x:f>'Historical prices'!E6909</x:f>
        <x:v>1.05</x:v>
      </x:c>
      <x:c r="I6909" s="6" t="n">
        <x:f>'Historical prices'!D6909</x:f>
        <x:v>-0.0124</x:v>
      </x:c>
      <x:c r="J6909" s="13" t="n">
        <x:f>D6909*I6909*H6909</x:f>
        <x:v>-0.064185345</x:v>
      </x:c>
      <x:c r="K6909" s="13" t="n">
        <x:f>E6909*I6909*H6909</x:f>
        <x:v>-0.007795725</x:v>
      </x:c>
      <x:c r="L6909" s="1" t="str">
        <x:f>TEXT(A6909,"mmm yyyy")</x:f>
        <x:v>Sep 2026</x:v>
      </x:c>
    </x:row>
    <x:row r="6910" ht="21" customHeight="1">
      <x:c r="A6910" s="10" t="n">
        <x:v>46292</x:v>
      </x:c>
      <x:c r="B6910" s="1" t="n">
        <x:v>11</x:v>
      </x:c>
      <x:c r="C6910" s="1" t="n">
        <x:v>6</x:v>
      </x:c>
      <x:c r="D6910" s="12" t="n">
        <x:v>5.273750000000001</x:v>
      </x:c>
      <x:c r="E6910" s="12" t="n">
        <x:v>0.50475</x:v>
      </x:c>
      <x:c r="F6910" s="12" t="n">
        <x:v>0</x:v>
      </x:c>
      <x:c r="G6910" s="12" t="n">
        <x:v>4.769</x:v>
      </x:c>
      <x:c r="H6910" s="1" t="n">
        <x:f>'Historical prices'!E6910</x:f>
        <x:v>1.05</x:v>
      </x:c>
      <x:c r="I6910" s="6" t="n">
        <x:f>'Historical prices'!D6910</x:f>
        <x:v>-0.020099999999999996</x:v>
      </x:c>
      <x:c r="J6910" s="13" t="n">
        <x:f>D6910*I6910*H6910</x:f>
        <x:v>-0.11130249375</x:v>
      </x:c>
      <x:c r="K6910" s="13" t="n">
        <x:f>E6910*I6910*H6910</x:f>
        <x:v>-0.01065274875</x:v>
      </x:c>
      <x:c r="L6910" s="1" t="str">
        <x:f>TEXT(A6910,"mmm yyyy")</x:f>
        <x:v>Sep 2026</x:v>
      </x:c>
    </x:row>
    <x:row r="6911" ht="21" customHeight="1">
      <x:c r="A6911" s="10" t="n">
        <x:v>46292</x:v>
      </x:c>
      <x:c r="B6911" s="1" t="n">
        <x:v>11.5</x:v>
      </x:c>
      <x:c r="C6911" s="1" t="n">
        <x:v>6</x:v>
      </x:c>
      <x:c r="D6911" s="12" t="n">
        <x:v>5.2935</x:v>
      </x:c>
      <x:c r="E6911" s="12" t="n">
        <x:v>0.5065</x:v>
      </x:c>
      <x:c r="F6911" s="12" t="n">
        <x:v>0</x:v>
      </x:c>
      <x:c r="G6911" s="12" t="n">
        <x:v>4.787000000000001</x:v>
      </x:c>
      <x:c r="H6911" s="1" t="n">
        <x:f>'Historical prices'!E6911</x:f>
        <x:v>1.05</x:v>
      </x:c>
      <x:c r="I6911" s="6" t="n">
        <x:f>'Historical prices'!D6911</x:f>
        <x:v>-0.0242</x:v>
      </x:c>
      <x:c r="J6911" s="13" t="n">
        <x:f>D6911*I6911*H6911</x:f>
        <x:v>-0.134507835</x:v>
      </x:c>
      <x:c r="K6911" s="13" t="n">
        <x:f>E6911*I6911*H6911</x:f>
        <x:v>-0.012870165</x:v>
      </x:c>
      <x:c r="L6911" s="1" t="str">
        <x:f>TEXT(A6911,"mmm yyyy")</x:f>
        <x:v>Sep 2026</x:v>
      </x:c>
    </x:row>
    <x:row r="6912" ht="21" customHeight="1">
      <x:c r="A6912" s="10" t="n">
        <x:v>46292</x:v>
      </x:c>
      <x:c r="B6912" s="1" t="n">
        <x:v>12</x:v>
      </x:c>
      <x:c r="C6912" s="1" t="n">
        <x:v>6</x:v>
      </x:c>
      <x:c r="D6912" s="12" t="n">
        <x:v>5.1935</x:v>
      </x:c>
      <x:c r="E6912" s="12" t="n">
        <x:v>0.46749999999999997</x:v>
      </x:c>
      <x:c r="F6912" s="12" t="n">
        <x:v>0</x:v>
      </x:c>
      <x:c r="G6912" s="12" t="n">
        <x:v>4.726</x:v>
      </x:c>
      <x:c r="H6912" s="1" t="n">
        <x:f>'Historical prices'!E6912</x:f>
        <x:v>1.05</x:v>
      </x:c>
      <x:c r="I6912" s="6" t="n">
        <x:f>'Historical prices'!D6912</x:f>
        <x:v>-0.0222</x:v>
      </x:c>
      <x:c r="J6912" s="13" t="n">
        <x:f>D6912*I6912*H6912</x:f>
        <x:v>-0.12106048500000002</x:v>
      </x:c>
      <x:c r="K6912" s="13" t="n">
        <x:f>E6912*I6912*H6912</x:f>
        <x:v>-0.010897425</x:v>
      </x:c>
      <x:c r="L6912" s="1" t="str">
        <x:f>TEXT(A6912,"mmm yyyy")</x:f>
        <x:v>Sep 2026</x:v>
      </x:c>
    </x:row>
    <x:row r="6913" ht="21" customHeight="1">
      <x:c r="A6913" s="10" t="n">
        <x:v>46292</x:v>
      </x:c>
      <x:c r="B6913" s="1" t="n">
        <x:v>12.5</x:v>
      </x:c>
      <x:c r="C6913" s="1" t="n">
        <x:v>6</x:v>
      </x:c>
      <x:c r="D6913" s="12" t="n">
        <x:v>2.64125</x:v>
      </x:c>
      <x:c r="E6913" s="12" t="n">
        <x:v>0.31325</x:v>
      </x:c>
      <x:c r="F6913" s="12" t="n">
        <x:v>0</x:v>
      </x:c>
      <x:c r="G6913" s="12" t="n">
        <x:v>2.3280000000000003</x:v>
      </x:c>
      <x:c r="H6913" s="1" t="n">
        <x:f>'Historical prices'!E6913</x:f>
        <x:v>1.05</x:v>
      </x:c>
      <x:c r="I6913" s="6" t="n">
        <x:f>'Historical prices'!D6913</x:f>
        <x:v>-0.0187</x:v>
      </x:c>
      <x:c r="J6913" s="13" t="n">
        <x:f>D6913*I6913*H6913</x:f>
        <x:v>-0.051860943750000006</x:v>
      </x:c>
      <x:c r="K6913" s="13" t="n">
        <x:f>E6913*I6913*H6913</x:f>
        <x:v>-0.00615066375</x:v>
      </x:c>
      <x:c r="L6913" s="1" t="str">
        <x:f>TEXT(A6913,"mmm yyyy")</x:f>
        <x:v>Sep 2026</x:v>
      </x:c>
    </x:row>
    <x:row r="6914" ht="21" customHeight="1">
      <x:c r="A6914" s="10" t="n">
        <x:v>46292</x:v>
      </x:c>
      <x:c r="B6914" s="1" t="n">
        <x:v>13</x:v>
      </x:c>
      <x:c r="C6914" s="1" t="n">
        <x:v>6</x:v>
      </x:c>
      <x:c r="D6914" s="12" t="n">
        <x:v>0.49699999999999994</x:v>
      </x:c>
      <x:c r="E6914" s="12" t="n">
        <x:v>0.36</x:v>
      </x:c>
      <x:c r="F6914" s="12" t="n">
        <x:v>0</x:v>
      </x:c>
      <x:c r="G6914" s="12" t="n">
        <x:v>0.14200000000000002</x:v>
      </x:c>
      <x:c r="H6914" s="1" t="n">
        <x:f>'Historical prices'!E6914</x:f>
        <x:v>1.05</x:v>
      </x:c>
      <x:c r="I6914" s="6" t="n">
        <x:f>'Historical prices'!D6914</x:f>
        <x:v>-0.0187</x:v>
      </x:c>
      <x:c r="J6914" s="13" t="n">
        <x:f>D6914*I6914*H6914</x:f>
        <x:v>-0.009758595</x:v>
      </x:c>
      <x:c r="K6914" s="13" t="n">
        <x:f>E6914*I6914*H6914</x:f>
        <x:v>-0.0070686</x:v>
      </x:c>
      <x:c r="L6914" s="1" t="str">
        <x:f>TEXT(A6914,"mmm yyyy")</x:f>
        <x:v>Sep 2026</x:v>
      </x:c>
    </x:row>
    <x:row r="6915" ht="21" customHeight="1">
      <x:c r="A6915" s="10" t="n">
        <x:v>46292</x:v>
      </x:c>
      <x:c r="B6915" s="1" t="n">
        <x:v>13.5</x:v>
      </x:c>
      <x:c r="C6915" s="1" t="n">
        <x:v>6</x:v>
      </x:c>
      <x:c r="D6915" s="12" t="n">
        <x:v>0.026</x:v>
      </x:c>
      <x:c r="E6915" s="12" t="n">
        <x:v>0.24391666666666667</x:v>
      </x:c>
      <x:c r="F6915" s="12" t="n">
        <x:v>0.21466666666666664</x:v>
      </x:c>
      <x:c r="G6915" s="12" t="n">
        <x:v>0</x:v>
      </x:c>
      <x:c r="H6915" s="1" t="n">
        <x:f>'Historical prices'!E6915</x:f>
        <x:v>1.05</x:v>
      </x:c>
      <x:c r="I6915" s="6" t="n">
        <x:f>'Historical prices'!D6915</x:f>
        <x:v>-0.013999999999999999</x:v>
      </x:c>
      <x:c r="J6915" s="13" t="n">
        <x:f>D6915*I6915*H6915</x:f>
        <x:v>-0.00038219999999999997</x:v>
      </x:c>
      <x:c r="K6915" s="13" t="n">
        <x:f>E6915*I6915*H6915</x:f>
        <x:v>-0.0035855749999999997</x:v>
      </x:c>
      <x:c r="L6915" s="1" t="str">
        <x:f>TEXT(A6915,"mmm yyyy")</x:f>
        <x:v>Sep 2026</x:v>
      </x:c>
    </x:row>
    <x:row r="6916" ht="21" customHeight="1">
      <x:c r="A6916" s="10" t="n">
        <x:v>46292</x:v>
      </x:c>
      <x:c r="B6916" s="1" t="n">
        <x:v>14</x:v>
      </x:c>
      <x:c r="C6916" s="1" t="n">
        <x:v>6</x:v>
      </x:c>
      <x:c r="D6916" s="12" t="n">
        <x:v>0.437</x:v>
      </x:c>
      <x:c r="E6916" s="12" t="n">
        <x:v>0.491</x:v>
      </x:c>
      <x:c r="F6916" s="12" t="n">
        <x:v>0.044</x:v>
      </x:c>
      <x:c r="G6916" s="12" t="n">
        <x:v>0</x:v>
      </x:c>
      <x:c r="H6916" s="1" t="n">
        <x:f>'Historical prices'!E6916</x:f>
        <x:v>1.05</x:v>
      </x:c>
      <x:c r="I6916" s="6" t="n">
        <x:f>'Historical prices'!D6916</x:f>
        <x:v>-0.0229</x:v>
      </x:c>
      <x:c r="J6916" s="13" t="n">
        <x:f>D6916*I6916*H6916</x:f>
        <x:v>-0.010507665000000001</x:v>
      </x:c>
      <x:c r="K6916" s="13" t="n">
        <x:f>E6916*I6916*H6916</x:f>
        <x:v>-0.011806094999999999</x:v>
      </x:c>
      <x:c r="L6916" s="1" t="str">
        <x:f>TEXT(A6916,"mmm yyyy")</x:f>
        <x:v>Sep 2026</x:v>
      </x:c>
    </x:row>
    <x:row r="6917" ht="21" customHeight="1">
      <x:c r="A6917" s="10" t="n">
        <x:v>46292</x:v>
      </x:c>
      <x:c r="B6917" s="1" t="n">
        <x:v>14.5</x:v>
      </x:c>
      <x:c r="C6917" s="1" t="n">
        <x:v>6</x:v>
      </x:c>
      <x:c r="D6917" s="12" t="n">
        <x:v>0.59125</x:v>
      </x:c>
      <x:c r="E6917" s="12" t="n">
        <x:v>0.6022500000000001</x:v>
      </x:c>
      <x:c r="F6917" s="12" t="n">
        <x:v>0</x:v>
      </x:c>
      <x:c r="G6917" s="12" t="n">
        <x:v>0</x:v>
      </x:c>
      <x:c r="H6917" s="1" t="n">
        <x:f>'Historical prices'!E6917</x:f>
        <x:v>1.05</x:v>
      </x:c>
      <x:c r="I6917" s="6" t="n">
        <x:f>'Historical prices'!D6917</x:f>
        <x:v>-0.0124</x:v>
      </x:c>
      <x:c r="J6917" s="13" t="n">
        <x:f>D6917*I6917*H6917</x:f>
        <x:v>-0.007698075</x:v>
      </x:c>
      <x:c r="K6917" s="13" t="n">
        <x:f>E6917*I6917*H6917</x:f>
        <x:v>-0.007841295000000002</x:v>
      </x:c>
      <x:c r="L6917" s="1" t="str">
        <x:f>TEXT(A6917,"mmm yyyy")</x:f>
        <x:v>Sep 2026</x:v>
      </x:c>
    </x:row>
    <x:row r="6918" ht="21" customHeight="1">
      <x:c r="A6918" s="10" t="n">
        <x:v>46292</x:v>
      </x:c>
      <x:c r="B6918" s="1" t="n">
        <x:v>15</x:v>
      </x:c>
      <x:c r="C6918" s="1" t="n">
        <x:v>6</x:v>
      </x:c>
      <x:c r="D6918" s="12" t="n">
        <x:v>0.78325</x:v>
      </x:c>
      <x:c r="E6918" s="12" t="n">
        <x:v>0.79325</x:v>
      </x:c>
      <x:c r="F6918" s="12" t="n">
        <x:v>0</x:v>
      </x:c>
      <x:c r="G6918" s="12" t="n">
        <x:v>0</x:v>
      </x:c>
      <x:c r="H6918" s="1" t="n">
        <x:f>'Historical prices'!E6918</x:f>
        <x:v>1.05</x:v>
      </x:c>
      <x:c r="I6918" s="6" t="n">
        <x:f>'Historical prices'!D6918</x:f>
        <x:v>-0.0199</x:v>
      </x:c>
      <x:c r="J6918" s="13" t="n">
        <x:f>D6918*I6918*H6918</x:f>
        <x:v>-0.01636600875</x:v>
      </x:c>
      <x:c r="K6918" s="13" t="n">
        <x:f>E6918*I6918*H6918</x:f>
        <x:v>-0.016574958750000004</x:v>
      </x:c>
      <x:c r="L6918" s="1" t="str">
        <x:f>TEXT(A6918,"mmm yyyy")</x:f>
        <x:v>Sep 2026</x:v>
      </x:c>
    </x:row>
    <x:row r="6919" ht="21" customHeight="1">
      <x:c r="A6919" s="10" t="n">
        <x:v>46292</x:v>
      </x:c>
      <x:c r="B6919" s="1" t="n">
        <x:v>15.5</x:v>
      </x:c>
      <x:c r="C6919" s="1" t="n">
        <x:v>6</x:v>
      </x:c>
      <x:c r="D6919" s="12" t="n">
        <x:v>0.15333333333333335</x:v>
      </x:c>
      <x:c r="E6919" s="12" t="n">
        <x:v>1.0035833333333333</x:v>
      </x:c>
      <x:c r="F6919" s="12" t="n">
        <x:v>0.8475833333333332</x:v>
      </x:c>
      <x:c r="G6919" s="12" t="n">
        <x:v>0</x:v>
      </x:c>
      <x:c r="H6919" s="1" t="n">
        <x:f>'Historical prices'!E6919</x:f>
        <x:v>1.05</x:v>
      </x:c>
      <x:c r="I6919" s="6" t="n">
        <x:f>'Historical prices'!D6919</x:f>
        <x:v>0.019799999999999998</x:v>
      </x:c>
      <x:c r="J6919" s="13" t="n">
        <x:f>D6919*I6919*H6919</x:f>
        <x:v>0.0031878</x:v>
      </x:c>
      <x:c r="K6919" s="13" t="n">
        <x:f>E6919*I6919*H6919</x:f>
        <x:v>0.0208644975</x:v>
      </x:c>
      <x:c r="L6919" s="1" t="str">
        <x:f>TEXT(A6919,"mmm yyyy")</x:f>
        <x:v>Sep 2026</x:v>
      </x:c>
    </x:row>
    <x:row r="6920" ht="21" customHeight="1">
      <x:c r="A6920" s="10" t="n">
        <x:v>46292</x:v>
      </x:c>
      <x:c r="B6920" s="1" t="n">
        <x:v>16</x:v>
      </x:c>
      <x:c r="C6920" s="1" t="n">
        <x:v>6</x:v>
      </x:c>
      <x:c r="D6920" s="12" t="n">
        <x:v>0</x:v>
      </x:c>
      <x:c r="E6920" s="12" t="n">
        <x:v>0.7989166666666666</x:v>
      </x:c>
      <x:c r="F6920" s="12" t="n">
        <x:v>0.7983333333333333</x:v>
      </x:c>
      <x:c r="G6920" s="12" t="n">
        <x:v>0</x:v>
      </x:c>
      <x:c r="H6920" s="1" t="n">
        <x:f>'Historical prices'!E6920</x:f>
        <x:v>1.05</x:v>
      </x:c>
      <x:c r="I6920" s="6" t="n">
        <x:f>'Historical prices'!D6920</x:f>
        <x:v>0.284</x:v>
      </x:c>
      <x:c r="J6920" s="13" t="n">
        <x:f>D6920*I6920*H6920</x:f>
        <x:v>0</x:v>
      </x:c>
      <x:c r="K6920" s="13" t="n">
        <x:f>E6920*I6920*H6920</x:f>
        <x:v>0.23823694999999998</x:v>
      </x:c>
      <x:c r="L6920" s="1" t="str">
        <x:f>TEXT(A6920,"mmm yyyy")</x:f>
        <x:v>Sep 2026</x:v>
      </x:c>
    </x:row>
    <x:row r="6921" ht="21" customHeight="1">
      <x:c r="A6921" s="10" t="n">
        <x:v>46292</x:v>
      </x:c>
      <x:c r="B6921" s="1" t="n">
        <x:v>16.5</x:v>
      </x:c>
      <x:c r="C6921" s="1" t="n">
        <x:v>6</x:v>
      </x:c>
      <x:c r="D6921" s="12" t="n">
        <x:v>0</x:v>
      </x:c>
      <x:c r="E6921" s="12" t="n">
        <x:v>1.535</x:v>
      </x:c>
      <x:c r="F6921" s="12" t="n">
        <x:v>1.5278333333333332</x:v>
      </x:c>
      <x:c r="G6921" s="12" t="n">
        <x:v>0</x:v>
      </x:c>
      <x:c r="H6921" s="1" t="n">
        <x:f>'Historical prices'!E6921</x:f>
        <x:v>1.05</x:v>
      </x:c>
      <x:c r="I6921" s="6" t="n">
        <x:f>'Historical prices'!D6921</x:f>
        <x:v>0.3239</x:v>
      </x:c>
      <x:c r="J6921" s="13" t="n">
        <x:f>D6921*I6921*H6921</x:f>
        <x:v>0</x:v>
      </x:c>
      <x:c r="K6921" s="13" t="n">
        <x:f>E6921*I6921*H6921</x:f>
        <x:v>0.5220458250000001</x:v>
      </x:c>
      <x:c r="L6921" s="1" t="str">
        <x:f>TEXT(A6921,"mmm yyyy")</x:f>
        <x:v>Sep 2026</x:v>
      </x:c>
    </x:row>
    <x:row r="6922" ht="21" customHeight="1">
      <x:c r="A6922" s="10" t="n">
        <x:v>46292</x:v>
      </x:c>
      <x:c r="B6922" s="1" t="n">
        <x:v>17</x:v>
      </x:c>
      <x:c r="C6922" s="1" t="n">
        <x:v>6</x:v>
      </x:c>
      <x:c r="D6922" s="12" t="n">
        <x:v>0</x:v>
      </x:c>
      <x:c r="E6922" s="12" t="n">
        <x:v>0.7861666666666667</x:v>
      </x:c>
      <x:c r="F6922" s="12" t="n">
        <x:v>0.7855000000000001</x:v>
      </x:c>
      <x:c r="G6922" s="12" t="n">
        <x:v>0</x:v>
      </x:c>
      <x:c r="H6922" s="1" t="n">
        <x:f>'Historical prices'!E6922</x:f>
        <x:v>1.05</x:v>
      </x:c>
      <x:c r="I6922" s="6" t="n">
        <x:f>'Historical prices'!D6922</x:f>
        <x:v>0.3788</x:v>
      </x:c>
      <x:c r="J6922" s="13" t="n">
        <x:f>D6922*I6922*H6922</x:f>
        <x:v>0</x:v>
      </x:c>
      <x:c r="K6922" s="13" t="n">
        <x:f>E6922*I6922*H6922</x:f>
        <x:v>0.31268993000000006</x:v>
      </x:c>
      <x:c r="L6922" s="1" t="str">
        <x:f>TEXT(A6922,"mmm yyyy")</x:f>
        <x:v>Sep 2026</x:v>
      </x:c>
    </x:row>
    <x:row r="6923" ht="21" customHeight="1">
      <x:c r="A6923" s="10" t="n">
        <x:v>46292</x:v>
      </x:c>
      <x:c r="B6923" s="1" t="n">
        <x:v>17.5</x:v>
      </x:c>
      <x:c r="C6923" s="1" t="n">
        <x:v>6</x:v>
      </x:c>
      <x:c r="D6923" s="12" t="n">
        <x:v>0</x:v>
      </x:c>
      <x:c r="E6923" s="12" t="n">
        <x:v>2.0359166666666666</x:v>
      </x:c>
      <x:c r="F6923" s="12" t="n">
        <x:v>2.03575</x:v>
      </x:c>
      <x:c r="G6923" s="12" t="n">
        <x:v>0</x:v>
      </x:c>
      <x:c r="H6923" s="1" t="n">
        <x:f>'Historical prices'!E6923</x:f>
        <x:v>1.05</x:v>
      </x:c>
      <x:c r="I6923" s="6" t="n">
        <x:f>'Historical prices'!D6923</x:f>
        <x:v>0.4314</x:v>
      </x:c>
      <x:c r="J6923" s="13" t="n">
        <x:f>D6923*I6923*H6923</x:f>
        <x:v>0</x:v>
      </x:c>
      <x:c r="K6923" s="13" t="n">
        <x:f>E6923*I6923*H6923</x:f>
        <x:v>0.9222091725</x:v>
      </x:c>
      <x:c r="L6923" s="1" t="str">
        <x:f>TEXT(A6923,"mmm yyyy")</x:f>
        <x:v>Sep 2026</x:v>
      </x:c>
    </x:row>
    <x:row r="6924" ht="21" customHeight="1">
      <x:c r="A6924" s="10" t="n">
        <x:v>46292</x:v>
      </x:c>
      <x:c r="B6924" s="1" t="n">
        <x:v>18</x:v>
      </x:c>
      <x:c r="C6924" s="1" t="n">
        <x:v>6</x:v>
      </x:c>
      <x:c r="D6924" s="12" t="n">
        <x:v>0</x:v>
      </x:c>
      <x:c r="E6924" s="12" t="n">
        <x:v>1.1556666666666666</x:v>
      </x:c>
      <x:c r="F6924" s="12" t="n">
        <x:v>1.15525</x:v>
      </x:c>
      <x:c r="G6924" s="12" t="n">
        <x:v>0</x:v>
      </x:c>
      <x:c r="H6924" s="1" t="n">
        <x:f>'Historical prices'!E6924</x:f>
        <x:v>1.05</x:v>
      </x:c>
      <x:c r="I6924" s="6" t="n">
        <x:f>'Historical prices'!D6924</x:f>
        <x:v>0.4436</x:v>
      </x:c>
      <x:c r="J6924" s="13" t="n">
        <x:f>D6924*I6924*H6924</x:f>
        <x:v>0</x:v>
      </x:c>
      <x:c r="K6924" s="13" t="n">
        <x:f>E6924*I6924*H6924</x:f>
        <x:v>0.53828642</x:v>
      </x:c>
      <x:c r="L6924" s="1" t="str">
        <x:f>TEXT(A6924,"mmm yyyy")</x:f>
        <x:v>Sep 2026</x:v>
      </x:c>
    </x:row>
    <x:row r="6925" ht="21" customHeight="1">
      <x:c r="A6925" s="10" t="n">
        <x:v>46292</x:v>
      </x:c>
      <x:c r="B6925" s="1" t="n">
        <x:v>18.5</x:v>
      </x:c>
      <x:c r="C6925" s="1" t="n">
        <x:v>6</x:v>
      </x:c>
      <x:c r="D6925" s="12" t="n">
        <x:v>0</x:v>
      </x:c>
      <x:c r="E6925" s="12" t="n">
        <x:v>0.9950000000000001</x:v>
      </x:c>
      <x:c r="F6925" s="12" t="n">
        <x:v>0.9944166666666668</x:v>
      </x:c>
      <x:c r="G6925" s="12" t="n">
        <x:v>0</x:v>
      </x:c>
      <x:c r="H6925" s="1" t="n">
        <x:f>'Historical prices'!E6925</x:f>
        <x:v>1.05</x:v>
      </x:c>
      <x:c r="I6925" s="6" t="n">
        <x:f>'Historical prices'!D6925</x:f>
        <x:v>0.451</x:v>
      </x:c>
      <x:c r="J6925" s="13" t="n">
        <x:f>D6925*I6925*H6925</x:f>
        <x:v>0</x:v>
      </x:c>
      <x:c r="K6925" s="13" t="n">
        <x:f>E6925*I6925*H6925</x:f>
        <x:v>0.4711822500000001</x:v>
      </x:c>
      <x:c r="L6925" s="1" t="str">
        <x:f>TEXT(A6925,"mmm yyyy")</x:f>
        <x:v>Sep 2026</x:v>
      </x:c>
    </x:row>
    <x:row r="6926" ht="21" customHeight="1">
      <x:c r="A6926" s="10" t="n">
        <x:v>46292</x:v>
      </x:c>
      <x:c r="B6926" s="1" t="n">
        <x:v>19</x:v>
      </x:c>
      <x:c r="C6926" s="1" t="n">
        <x:v>6</x:v>
      </x:c>
      <x:c r="D6926" s="12" t="n">
        <x:v>0</x:v>
      </x:c>
      <x:c r="E6926" s="12" t="n">
        <x:v>1.1028333333333333</x:v>
      </x:c>
      <x:c r="F6926" s="12" t="n">
        <x:v>1.1024166666666668</x:v>
      </x:c>
      <x:c r="G6926" s="12" t="n">
        <x:v>0</x:v>
      </x:c>
      <x:c r="H6926" s="1" t="n">
        <x:f>'Historical prices'!E6926</x:f>
        <x:v>1.05</x:v>
      </x:c>
      <x:c r="I6926" s="6" t="n">
        <x:f>'Historical prices'!D6926</x:f>
        <x:v>0.3215</x:v>
      </x:c>
      <x:c r="J6926" s="13" t="n">
        <x:f>D6926*I6926*H6926</x:f>
        <x:v>0</x:v>
      </x:c>
      <x:c r="K6926" s="13" t="n">
        <x:f>E6926*I6926*H6926</x:f>
        <x:v>0.37228896250000004</x:v>
      </x:c>
      <x:c r="L6926" s="1" t="str">
        <x:f>TEXT(A6926,"mmm yyyy")</x:f>
        <x:v>Sep 2026</x:v>
      </x:c>
    </x:row>
    <x:row r="6927" ht="21" customHeight="1">
      <x:c r="A6927" s="10" t="n">
        <x:v>46292</x:v>
      </x:c>
      <x:c r="B6927" s="1" t="n">
        <x:v>19.5</x:v>
      </x:c>
      <x:c r="C6927" s="1" t="n">
        <x:v>6</x:v>
      </x:c>
      <x:c r="D6927" s="12" t="n">
        <x:v>0</x:v>
      </x:c>
      <x:c r="E6927" s="12" t="n">
        <x:v>0.5820000000000001</x:v>
      </x:c>
      <x:c r="F6927" s="12" t="n">
        <x:v>0.5816666666666668</x:v>
      </x:c>
      <x:c r="G6927" s="12" t="n">
        <x:v>0</x:v>
      </x:c>
      <x:c r="H6927" s="1" t="n">
        <x:f>'Historical prices'!E6927</x:f>
        <x:v>1.05</x:v>
      </x:c>
      <x:c r="I6927" s="6" t="n">
        <x:f>'Historical prices'!D6927</x:f>
        <x:v>0.3152</x:v>
      </x:c>
      <x:c r="J6927" s="13" t="n">
        <x:f>D6927*I6927*H6927</x:f>
        <x:v>0</x:v>
      </x:c>
      <x:c r="K6927" s="13" t="n">
        <x:f>E6927*I6927*H6927</x:f>
        <x:v>0.19261872000000002</x:v>
      </x:c>
      <x:c r="L6927" s="1" t="str">
        <x:f>TEXT(A6927,"mmm yyyy")</x:f>
        <x:v>Sep 2026</x:v>
      </x:c>
    </x:row>
    <x:row r="6928" ht="21" customHeight="1">
      <x:c r="A6928" s="10" t="n">
        <x:v>46292</x:v>
      </x:c>
      <x:c r="B6928" s="1" t="n">
        <x:v>20</x:v>
      </x:c>
      <x:c r="C6928" s="1" t="n">
        <x:v>6</x:v>
      </x:c>
      <x:c r="D6928" s="12" t="n">
        <x:v>0</x:v>
      </x:c>
      <x:c r="E6928" s="12" t="n">
        <x:v>0.29691666666666666</x:v>
      </x:c>
      <x:c r="F6928" s="12" t="n">
        <x:v>0.29633333333333334</x:v>
      </x:c>
      <x:c r="G6928" s="12" t="n">
        <x:v>0</x:v>
      </x:c>
      <x:c r="H6928" s="1" t="n">
        <x:f>'Historical prices'!E6928</x:f>
        <x:v>1.05</x:v>
      </x:c>
      <x:c r="I6928" s="6" t="n">
        <x:f>'Historical prices'!D6928</x:f>
        <x:v>0.3031</x:v>
      </x:c>
      <x:c r="J6928" s="13" t="n">
        <x:f>D6928*I6928*H6928</x:f>
        <x:v>0</x:v>
      </x:c>
      <x:c r="K6928" s="13" t="n">
        <x:f>E6928*I6928*H6928</x:f>
        <x:v>0.09449521375</x:v>
      </x:c>
      <x:c r="L6928" s="1" t="str">
        <x:f>TEXT(A6928,"mmm yyyy")</x:f>
        <x:v>Sep 2026</x:v>
      </x:c>
    </x:row>
    <x:row r="6929" ht="21" customHeight="1">
      <x:c r="A6929" s="10" t="n">
        <x:v>46292</x:v>
      </x:c>
      <x:c r="B6929" s="1" t="n">
        <x:v>20.5</x:v>
      </x:c>
      <x:c r="C6929" s="1" t="n">
        <x:v>6</x:v>
      </x:c>
      <x:c r="D6929" s="12" t="n">
        <x:v>0</x:v>
      </x:c>
      <x:c r="E6929" s="12" t="n">
        <x:v>0.33166666666666667</x:v>
      </x:c>
      <x:c r="F6929" s="12" t="n">
        <x:v>0.3315</x:v>
      </x:c>
      <x:c r="G6929" s="12" t="n">
        <x:v>0</x:v>
      </x:c>
      <x:c r="H6929" s="1" t="n">
        <x:f>'Historical prices'!E6929</x:f>
        <x:v>1.05</x:v>
      </x:c>
      <x:c r="I6929" s="6" t="n">
        <x:f>'Historical prices'!D6929</x:f>
        <x:v>0.2878</x:v>
      </x:c>
      <x:c r="J6929" s="13" t="n">
        <x:f>D6929*I6929*H6929</x:f>
        <x:v>0</x:v>
      </x:c>
      <x:c r="K6929" s="13" t="n">
        <x:f>E6929*I6929*H6929</x:f>
        <x:v>0.10022635</x:v>
      </x:c>
      <x:c r="L6929" s="1" t="str">
        <x:f>TEXT(A6929,"mmm yyyy")</x:f>
        <x:v>Sep 2026</x:v>
      </x:c>
    </x:row>
    <x:row r="6930" ht="21" customHeight="1">
      <x:c r="A6930" s="10" t="n">
        <x:v>46292</x:v>
      </x:c>
      <x:c r="B6930" s="1" t="n">
        <x:v>21</x:v>
      </x:c>
      <x:c r="C6930" s="1" t="n">
        <x:v>6</x:v>
      </x:c>
      <x:c r="D6930" s="12" t="n">
        <x:v>0.5800000000000001</x:v>
      </x:c>
      <x:c r="E6930" s="12" t="n">
        <x:v>0.63825</x:v>
      </x:c>
      <x:c r="F6930" s="12" t="n">
        <x:v>0.048</x:v>
      </x:c>
      <x:c r="G6930" s="12" t="n">
        <x:v>0</x:v>
      </x:c>
      <x:c r="H6930" s="1" t="n">
        <x:f>'Historical prices'!E6930</x:f>
        <x:v>1.05</x:v>
      </x:c>
      <x:c r="I6930" s="6" t="n">
        <x:f>'Historical prices'!D6930</x:f>
        <x:v>0.2818</x:v>
      </x:c>
      <x:c r="J6930" s="13" t="n">
        <x:f>D6930*I6930*H6930</x:f>
        <x:v>0.17161620000000002</x:v>
      </x:c>
      <x:c r="K6930" s="13" t="n">
        <x:f>E6930*I6930*H6930</x:f>
        <x:v>0.1888517925</x:v>
      </x:c>
      <x:c r="L6930" s="1" t="str">
        <x:f>TEXT(A6930,"mmm yyyy")</x:f>
        <x:v>Sep 2026</x:v>
      </x:c>
    </x:row>
    <x:row r="6931" ht="21" customHeight="1">
      <x:c r="A6931" s="10" t="n">
        <x:v>46292</x:v>
      </x:c>
      <x:c r="B6931" s="1" t="n">
        <x:v>21.5</x:v>
      </x:c>
      <x:c r="C6931" s="1" t="n">
        <x:v>6</x:v>
      </x:c>
      <x:c r="D6931" s="12" t="n">
        <x:v>0.21700000000000003</x:v>
      </x:c>
      <x:c r="E6931" s="12" t="n">
        <x:v>0.228</x:v>
      </x:c>
      <x:c r="F6931" s="12" t="n">
        <x:v>0</x:v>
      </x:c>
      <x:c r="G6931" s="12" t="n">
        <x:v>0</x:v>
      </x:c>
      <x:c r="H6931" s="1" t="n">
        <x:f>'Historical prices'!E6931</x:f>
        <x:v>1.05</x:v>
      </x:c>
      <x:c r="I6931" s="6" t="n">
        <x:f>'Historical prices'!D6931</x:f>
        <x:v>0.2772</x:v>
      </x:c>
      <x:c r="J6931" s="13" t="n">
        <x:f>D6931*I6931*H6931</x:f>
        <x:v>0.06316002000000001</x:v>
      </x:c>
      <x:c r="K6931" s="13" t="n">
        <x:f>E6931*I6931*H6931</x:f>
        <x:v>0.06636168</x:v>
      </x:c>
      <x:c r="L6931" s="1" t="str">
        <x:f>TEXT(A6931,"mmm yyyy")</x:f>
        <x:v>Sep 2026</x:v>
      </x:c>
    </x:row>
    <x:row r="6932" ht="21" customHeight="1">
      <x:c r="A6932" s="10" t="n">
        <x:v>46292</x:v>
      </x:c>
      <x:c r="B6932" s="1" t="n">
        <x:v>22</x:v>
      </x:c>
      <x:c r="C6932" s="1" t="n">
        <x:v>6</x:v>
      </x:c>
      <x:c r="D6932" s="12" t="n">
        <x:v>0.18</x:v>
      </x:c>
      <x:c r="E6932" s="12" t="n">
        <x:v>0.19</x:v>
      </x:c>
      <x:c r="F6932" s="12" t="n">
        <x:v>0</x:v>
      </x:c>
      <x:c r="G6932" s="12" t="n">
        <x:v>0</x:v>
      </x:c>
      <x:c r="H6932" s="1" t="n">
        <x:f>'Historical prices'!E6932</x:f>
        <x:v>1.05</x:v>
      </x:c>
      <x:c r="I6932" s="6" t="n">
        <x:f>'Historical prices'!D6932</x:f>
        <x:v>0.2682</x:v>
      </x:c>
      <x:c r="J6932" s="13" t="n">
        <x:f>D6932*I6932*H6932</x:f>
        <x:v>0.0506898</x:v>
      </x:c>
      <x:c r="K6932" s="13" t="n">
        <x:f>E6932*I6932*H6932</x:f>
        <x:v>0.053505899999999995</x:v>
      </x:c>
      <x:c r="L6932" s="1" t="str">
        <x:f>TEXT(A6932,"mmm yyyy")</x:f>
        <x:v>Sep 2026</x:v>
      </x:c>
    </x:row>
    <x:row r="6933" ht="21" customHeight="1">
      <x:c r="A6933" s="10" t="n">
        <x:v>46292</x:v>
      </x:c>
      <x:c r="B6933" s="1" t="n">
        <x:v>22.5</x:v>
      </x:c>
      <x:c r="C6933" s="1" t="n">
        <x:v>6</x:v>
      </x:c>
      <x:c r="D6933" s="12" t="n">
        <x:v>4.0995</x:v>
      </x:c>
      <x:c r="E6933" s="12" t="n">
        <x:v>0.3895</x:v>
      </x:c>
      <x:c r="F6933" s="12" t="n">
        <x:v>0</x:v>
      </x:c>
      <x:c r="G6933" s="12" t="n">
        <x:v>3.712</x:v>
      </x:c>
      <x:c r="H6933" s="1" t="n">
        <x:f>'Historical prices'!E6933</x:f>
        <x:v>1.05</x:v>
      </x:c>
      <x:c r="I6933" s="6" t="n">
        <x:f>'Historical prices'!D6933</x:f>
        <x:v>0.22699999999999998</x:v>
      </x:c>
      <x:c r="J6933" s="13" t="n">
        <x:f>D6933*I6933*H6933</x:f>
        <x:v>0.9771158249999999</x:v>
      </x:c>
      <x:c r="K6933" s="13" t="n">
        <x:f>E6933*I6933*H6933</x:f>
        <x:v>0.092837325</x:v>
      </x:c>
      <x:c r="L6933" s="1" t="str">
        <x:f>TEXT(A6933,"mmm yyyy")</x:f>
        <x:v>Sep 2026</x:v>
      </x:c>
    </x:row>
    <x:row r="6934" ht="21" customHeight="1">
      <x:c r="A6934" s="10" t="n">
        <x:v>46292</x:v>
      </x:c>
      <x:c r="B6934" s="1" t="n">
        <x:v>23</x:v>
      </x:c>
      <x:c r="C6934" s="1" t="n">
        <x:v>6</x:v>
      </x:c>
      <x:c r="D6934" s="12" t="n">
        <x:v>0.9850000000000001</x:v>
      </x:c>
      <x:c r="E6934" s="12" t="n">
        <x:v>0.23500000000000001</x:v>
      </x:c>
      <x:c r="F6934" s="12" t="n">
        <x:v>0</x:v>
      </x:c>
      <x:c r="G6934" s="12" t="n">
        <x:v>0.756</x:v>
      </x:c>
      <x:c r="H6934" s="1" t="n">
        <x:f>'Historical prices'!E6934</x:f>
        <x:v>1.05</x:v>
      </x:c>
      <x:c r="I6934" s="6" t="n">
        <x:f>'Historical prices'!D6934</x:f>
        <x:v>0.2732</x:v>
      </x:c>
      <x:c r="J6934" s="13" t="n">
        <x:f>D6934*I6934*H6934</x:f>
        <x:v>0.2825571</x:v>
      </x:c>
      <x:c r="K6934" s="13" t="n">
        <x:f>E6934*I6934*H6934</x:f>
        <x:v>0.06741210000000002</x:v>
      </x:c>
      <x:c r="L6934" s="1" t="str">
        <x:f>TEXT(A6934,"mmm yyyy")</x:f>
        <x:v>Sep 2026</x:v>
      </x:c>
    </x:row>
    <x:row r="6935" ht="21" customHeight="1">
      <x:c r="A6935" s="10" t="n">
        <x:v>46292</x:v>
      </x:c>
      <x:c r="B6935" s="1" t="n">
        <x:v>23.5</x:v>
      </x:c>
      <x:c r="C6935" s="1" t="n">
        <x:v>6</x:v>
      </x:c>
      <x:c r="D6935" s="12" t="n">
        <x:v>0.18575</x:v>
      </x:c>
      <x:c r="E6935" s="12" t="n">
        <x:v>0.19775</x:v>
      </x:c>
      <x:c r="F6935" s="12" t="n">
        <x:v>0</x:v>
      </x:c>
      <x:c r="G6935" s="12" t="n">
        <x:v>0</x:v>
      </x:c>
      <x:c r="H6935" s="1" t="n">
        <x:f>'Historical prices'!E6935</x:f>
        <x:v>1.05</x:v>
      </x:c>
      <x:c r="I6935" s="6" t="n">
        <x:f>'Historical prices'!D6935</x:f>
        <x:v>0.2732</x:v>
      </x:c>
      <x:c r="J6935" s="13" t="n">
        <x:f>D6935*I6935*H6935</x:f>
        <x:v>0.053284245</x:v>
      </x:c>
      <x:c r="K6935" s="13" t="n">
        <x:f>E6935*I6935*H6935</x:f>
        <x:v>0.05672656500000001</x:v>
      </x:c>
      <x:c r="L6935" s="1" t="str">
        <x:f>TEXT(A6935,"mmm yyyy")</x:f>
        <x:v>Sep 2026</x:v>
      </x:c>
    </x:row>
    <x:row r="6936" ht="21" customHeight="1">
      <x:c r="A6936" s="10" t="n">
        <x:v>46293</x:v>
      </x:c>
      <x:c r="B6936" s="1" t="n">
        <x:v>0</x:v>
      </x:c>
      <x:c r="C6936" s="1" t="n">
        <x:v>6</x:v>
      </x:c>
      <x:c r="D6936" s="12" t="n">
        <x:v>0.135</x:v>
      </x:c>
      <x:c r="E6936" s="12" t="n">
        <x:v>0.145</x:v>
      </x:c>
      <x:c r="F6936" s="12" t="n">
        <x:v>0</x:v>
      </x:c>
      <x:c r="G6936" s="12" t="n">
        <x:v>0</x:v>
      </x:c>
      <x:c r="H6936" s="1" t="n">
        <x:f>'Historical prices'!E6936</x:f>
        <x:v>1.05</x:v>
      </x:c>
      <x:c r="I6936" s="6" t="n">
        <x:f>'Historical prices'!D6936</x:f>
        <x:v>0.2692</x:v>
      </x:c>
      <x:c r="J6936" s="13" t="n">
        <x:f>D6936*I6936*H6936</x:f>
        <x:v>0.0381591</x:v>
      </x:c>
      <x:c r="K6936" s="13" t="n">
        <x:f>E6936*I6936*H6936</x:f>
        <x:v>0.0409857</x:v>
      </x:c>
      <x:c r="L6936" s="1" t="str">
        <x:f>TEXT(A6936,"mmm yyyy")</x:f>
        <x:v>Sep 2026</x:v>
      </x:c>
    </x:row>
    <x:row r="6937" ht="21" customHeight="1">
      <x:c r="A6937" s="10" t="n">
        <x:v>46293</x:v>
      </x:c>
      <x:c r="B6937" s="1" t="n">
        <x:v>0.5</x:v>
      </x:c>
      <x:c r="C6937" s="1" t="n">
        <x:v>6</x:v>
      </x:c>
      <x:c r="D6937" s="12" t="n">
        <x:v>0.21175000000000002</x:v>
      </x:c>
      <x:c r="E6937" s="12" t="n">
        <x:v>0.22175</x:v>
      </x:c>
      <x:c r="F6937" s="12" t="n">
        <x:v>0</x:v>
      </x:c>
      <x:c r="G6937" s="12" t="n">
        <x:v>0</x:v>
      </x:c>
      <x:c r="H6937" s="1" t="n">
        <x:f>'Historical prices'!E6937</x:f>
        <x:v>1.05</x:v>
      </x:c>
      <x:c r="I6937" s="6" t="n">
        <x:f>'Historical prices'!D6937</x:f>
        <x:v>0.2655</x:v>
      </x:c>
      <x:c r="J6937" s="13" t="n">
        <x:f>D6937*I6937*H6937</x:f>
        <x:v>0.05903060625000001</x:v>
      </x:c>
      <x:c r="K6937" s="13" t="n">
        <x:f>E6937*I6937*H6937</x:f>
        <x:v>0.06181835625000001</x:v>
      </x:c>
      <x:c r="L6937" s="1" t="str">
        <x:f>TEXT(A6937,"mmm yyyy")</x:f>
        <x:v>Sep 2026</x:v>
      </x:c>
    </x:row>
    <x:row r="6938" ht="21" customHeight="1">
      <x:c r="A6938" s="10" t="n">
        <x:v>46293</x:v>
      </x:c>
      <x:c r="B6938" s="1" t="n">
        <x:v>1</x:v>
      </x:c>
      <x:c r="C6938" s="1" t="n">
        <x:v>6</x:v>
      </x:c>
      <x:c r="D6938" s="12" t="n">
        <x:v>0.208</x:v>
      </x:c>
      <x:c r="E6938" s="12" t="n">
        <x:v>0.218</x:v>
      </x:c>
      <x:c r="F6938" s="12" t="n">
        <x:v>0</x:v>
      </x:c>
      <x:c r="G6938" s="12" t="n">
        <x:v>0</x:v>
      </x:c>
      <x:c r="H6938" s="1" t="n">
        <x:f>'Historical prices'!E6938</x:f>
        <x:v>1.05</x:v>
      </x:c>
      <x:c r="I6938" s="6" t="n">
        <x:f>'Historical prices'!D6938</x:f>
        <x:v>0.2571</x:v>
      </x:c>
      <x:c r="J6938" s="13" t="n">
        <x:f>D6938*I6938*H6938</x:f>
        <x:v>0.05615064</x:v>
      </x:c>
      <x:c r="K6938" s="13" t="n">
        <x:f>E6938*I6938*H6938</x:f>
        <x:v>0.058850190000000004</x:v>
      </x:c>
      <x:c r="L6938" s="1" t="str">
        <x:f>TEXT(A6938,"mmm yyyy")</x:f>
        <x:v>Sep 2026</x:v>
      </x:c>
    </x:row>
    <x:row r="6939" ht="21" customHeight="1">
      <x:c r="A6939" s="10" t="n">
        <x:v>46293</x:v>
      </x:c>
      <x:c r="B6939" s="1" t="n">
        <x:v>1.5</x:v>
      </x:c>
      <x:c r="C6939" s="1" t="n">
        <x:v>6</x:v>
      </x:c>
      <x:c r="D6939" s="12" t="n">
        <x:v>0.22699999999999998</x:v>
      </x:c>
      <x:c r="E6939" s="12" t="n">
        <x:v>0.237</x:v>
      </x:c>
      <x:c r="F6939" s="12" t="n">
        <x:v>0</x:v>
      </x:c>
      <x:c r="G6939" s="12" t="n">
        <x:v>0</x:v>
      </x:c>
      <x:c r="H6939" s="1" t="n">
        <x:f>'Historical prices'!E6939</x:f>
        <x:v>1.05</x:v>
      </x:c>
      <x:c r="I6939" s="6" t="n">
        <x:f>'Historical prices'!D6939</x:f>
        <x:v>0.26170000000000004</x:v>
      </x:c>
      <x:c r="J6939" s="13" t="n">
        <x:f>D6939*I6939*H6939</x:f>
        <x:v>0.06237619500000001</x:v>
      </x:c>
      <x:c r="K6939" s="13" t="n">
        <x:f>E6939*I6939*H6939</x:f>
        <x:v>0.065124045</x:v>
      </x:c>
      <x:c r="L6939" s="1" t="str">
        <x:f>TEXT(A6939,"mmm yyyy")</x:f>
        <x:v>Sep 2026</x:v>
      </x:c>
    </x:row>
    <x:row r="6940" ht="21" customHeight="1">
      <x:c r="A6940" s="10" t="n">
        <x:v>46293</x:v>
      </x:c>
      <x:c r="B6940" s="1" t="n">
        <x:v>2</x:v>
      </x:c>
      <x:c r="C6940" s="1" t="n">
        <x:v>6</x:v>
      </x:c>
      <x:c r="D6940" s="12" t="n">
        <x:v>0.21</x:v>
      </x:c>
      <x:c r="E6940" s="12" t="n">
        <x:v>0.221</x:v>
      </x:c>
      <x:c r="F6940" s="12" t="n">
        <x:v>0</x:v>
      </x:c>
      <x:c r="G6940" s="12" t="n">
        <x:v>0</x:v>
      </x:c>
      <x:c r="H6940" s="1" t="n">
        <x:f>'Historical prices'!E6940</x:f>
        <x:v>1.05</x:v>
      </x:c>
      <x:c r="I6940" s="6" t="n">
        <x:f>'Historical prices'!D6940</x:f>
        <x:v>0.2522</x:v>
      </x:c>
      <x:c r="J6940" s="13" t="n">
        <x:f>D6940*I6940*H6940</x:f>
        <x:v>0.055610099999999996</x:v>
      </x:c>
      <x:c r="K6940" s="13" t="n">
        <x:f>E6940*I6940*H6940</x:f>
        <x:v>0.05852300999999999</x:v>
      </x:c>
      <x:c r="L6940" s="1" t="str">
        <x:f>TEXT(A6940,"mmm yyyy")</x:f>
        <x:v>Sep 2026</x:v>
      </x:c>
    </x:row>
    <x:row r="6941" ht="21" customHeight="1">
      <x:c r="A6941" s="10" t="n">
        <x:v>46293</x:v>
      </x:c>
      <x:c r="B6941" s="1" t="n">
        <x:v>2.5</x:v>
      </x:c>
      <x:c r="C6941" s="1" t="n">
        <x:v>6</x:v>
      </x:c>
      <x:c r="D6941" s="12" t="n">
        <x:v>0.23750000000000002</x:v>
      </x:c>
      <x:c r="E6941" s="12" t="n">
        <x:v>0.24750000000000003</x:v>
      </x:c>
      <x:c r="F6941" s="12" t="n">
        <x:v>0</x:v>
      </x:c>
      <x:c r="G6941" s="12" t="n">
        <x:v>0</x:v>
      </x:c>
      <x:c r="H6941" s="1" t="n">
        <x:f>'Historical prices'!E6941</x:f>
        <x:v>1.05</x:v>
      </x:c>
      <x:c r="I6941" s="6" t="n">
        <x:f>'Historical prices'!D6941</x:f>
        <x:v>0.2462</x:v>
      </x:c>
      <x:c r="J6941" s="13" t="n">
        <x:f>D6941*I6941*H6941</x:f>
        <x:v>0.06139612500000001</x:v>
      </x:c>
      <x:c r="K6941" s="13" t="n">
        <x:f>E6941*I6941*H6941</x:f>
        <x:v>0.06398122500000002</x:v>
      </x:c>
      <x:c r="L6941" s="1" t="str">
        <x:f>TEXT(A6941,"mmm yyyy")</x:f>
        <x:v>Sep 2026</x:v>
      </x:c>
    </x:row>
    <x:row r="6942" ht="21" customHeight="1">
      <x:c r="A6942" s="10" t="n">
        <x:v>46293</x:v>
      </x:c>
      <x:c r="B6942" s="1" t="n">
        <x:v>3</x:v>
      </x:c>
      <x:c r="C6942" s="1" t="n">
        <x:v>6</x:v>
      </x:c>
      <x:c r="D6942" s="12" t="n">
        <x:v>0.19924999999999998</x:v>
      </x:c>
      <x:c r="E6942" s="12" t="n">
        <x:v>0.21025</x:v>
      </x:c>
      <x:c r="F6942" s="12" t="n">
        <x:v>0</x:v>
      </x:c>
      <x:c r="G6942" s="12" t="n">
        <x:v>0</x:v>
      </x:c>
      <x:c r="H6942" s="1" t="n">
        <x:f>'Historical prices'!E6942</x:f>
        <x:v>1.05</x:v>
      </x:c>
      <x:c r="I6942" s="6" t="n">
        <x:f>'Historical prices'!D6942</x:f>
        <x:v>0.2564</x:v>
      </x:c>
      <x:c r="J6942" s="13" t="n">
        <x:f>D6942*I6942*H6942</x:f>
        <x:v>0.053642085</x:v>
      </x:c>
      <x:c r="K6942" s="13" t="n">
        <x:f>E6942*I6942*H6942</x:f>
        <x:v>0.056603505000000005</x:v>
      </x:c>
      <x:c r="L6942" s="1" t="str">
        <x:f>TEXT(A6942,"mmm yyyy")</x:f>
        <x:v>Sep 2026</x:v>
      </x:c>
    </x:row>
    <x:row r="6943" ht="21" customHeight="1">
      <x:c r="A6943" s="10" t="n">
        <x:v>46293</x:v>
      </x:c>
      <x:c r="B6943" s="1" t="n">
        <x:v>3.5</x:v>
      </x:c>
      <x:c r="C6943" s="1" t="n">
        <x:v>6</x:v>
      </x:c>
      <x:c r="D6943" s="12" t="n">
        <x:v>0.159</x:v>
      </x:c>
      <x:c r="E6943" s="12" t="n">
        <x:v>0.16899999999999998</x:v>
      </x:c>
      <x:c r="F6943" s="12" t="n">
        <x:v>0</x:v>
      </x:c>
      <x:c r="G6943" s="12" t="n">
        <x:v>0</x:v>
      </x:c>
      <x:c r="H6943" s="1" t="n">
        <x:f>'Historical prices'!E6943</x:f>
        <x:v>1.05</x:v>
      </x:c>
      <x:c r="I6943" s="6" t="n">
        <x:f>'Historical prices'!D6943</x:f>
        <x:v>0.25370000000000004</x:v>
      </x:c>
      <x:c r="J6943" s="13" t="n">
        <x:f>D6943*I6943*H6943</x:f>
        <x:v>0.04235521500000001</x:v>
      </x:c>
      <x:c r="K6943" s="13" t="n">
        <x:f>E6943*I6943*H6943</x:f>
        <x:v>0.045019065000000004</x:v>
      </x:c>
      <x:c r="L6943" s="1" t="str">
        <x:f>TEXT(A6943,"mmm yyyy")</x:f>
        <x:v>Sep 2026</x:v>
      </x:c>
    </x:row>
    <x:row r="6944" ht="21" customHeight="1">
      <x:c r="A6944" s="10" t="n">
        <x:v>46293</x:v>
      </x:c>
      <x:c r="B6944" s="1" t="n">
        <x:v>4</x:v>
      </x:c>
      <x:c r="C6944" s="1" t="n">
        <x:v>6</x:v>
      </x:c>
      <x:c r="D6944" s="12" t="n">
        <x:v>0.5687500000000001</x:v>
      </x:c>
      <x:c r="E6944" s="12" t="n">
        <x:v>0.5787500000000001</x:v>
      </x:c>
      <x:c r="F6944" s="12" t="n">
        <x:v>0</x:v>
      </x:c>
      <x:c r="G6944" s="12" t="n">
        <x:v>0</x:v>
      </x:c>
      <x:c r="H6944" s="1" t="n">
        <x:f>'Historical prices'!E6944</x:f>
        <x:v>1.05</x:v>
      </x:c>
      <x:c r="I6944" s="6" t="n">
        <x:f>'Historical prices'!D6944</x:f>
        <x:v>0.27399999999999997</x:v>
      </x:c>
      <x:c r="J6944" s="13" t="n">
        <x:f>D6944*I6944*H6944</x:f>
        <x:v>0.16362937500000002</x:v>
      </x:c>
      <x:c r="K6944" s="13" t="n">
        <x:f>E6944*I6944*H6944</x:f>
        <x:v>0.166506375</x:v>
      </x:c>
      <x:c r="L6944" s="1" t="str">
        <x:f>TEXT(A6944,"mmm yyyy")</x:f>
        <x:v>Sep 2026</x:v>
      </x:c>
    </x:row>
    <x:row r="6945" ht="21" customHeight="1">
      <x:c r="A6945" s="10" t="n">
        <x:v>46293</x:v>
      </x:c>
      <x:c r="B6945" s="1" t="n">
        <x:v>4.5</x:v>
      </x:c>
      <x:c r="C6945" s="1" t="n">
        <x:v>6</x:v>
      </x:c>
      <x:c r="D6945" s="12" t="n">
        <x:v>0.5642499999999999</x:v>
      </x:c>
      <x:c r="E6945" s="12" t="n">
        <x:v>0.5742499999999999</x:v>
      </x:c>
      <x:c r="F6945" s="12" t="n">
        <x:v>0</x:v>
      </x:c>
      <x:c r="G6945" s="12" t="n">
        <x:v>0</x:v>
      </x:c>
      <x:c r="H6945" s="1" t="n">
        <x:f>'Historical prices'!E6945</x:f>
        <x:v>1.05</x:v>
      </x:c>
      <x:c r="I6945" s="6" t="n">
        <x:f>'Historical prices'!D6945</x:f>
        <x:v>0.2761</x:v>
      </x:c>
      <x:c r="J6945" s="13" t="n">
        <x:f>D6945*I6945*H6945</x:f>
        <x:v>0.16357889625</x:v>
      </x:c>
      <x:c r="K6945" s="13" t="n">
        <x:f>E6945*I6945*H6945</x:f>
        <x:v>0.16647794625</x:v>
      </x:c>
      <x:c r="L6945" s="1" t="str">
        <x:f>TEXT(A6945,"mmm yyyy")</x:f>
        <x:v>Sep 2026</x:v>
      </x:c>
    </x:row>
    <x:row r="6946" ht="21" customHeight="1">
      <x:c r="A6946" s="10" t="n">
        <x:v>46293</x:v>
      </x:c>
      <x:c r="B6946" s="1" t="n">
        <x:v>5</x:v>
      </x:c>
      <x:c r="C6946" s="1" t="n">
        <x:v>6</x:v>
      </x:c>
      <x:c r="D6946" s="12" t="n">
        <x:v>0.08875</x:v>
      </x:c>
      <x:c r="E6946" s="12" t="n">
        <x:v>0.5650833333333334</x:v>
      </x:c>
      <x:c r="F6946" s="12" t="n">
        <x:v>0.47350000000000003</x:v>
      </x:c>
      <x:c r="G6946" s="12" t="n">
        <x:v>0</x:v>
      </x:c>
      <x:c r="H6946" s="1" t="n">
        <x:f>'Historical prices'!E6946</x:f>
        <x:v>1.05</x:v>
      </x:c>
      <x:c r="I6946" s="6" t="n">
        <x:f>'Historical prices'!D6946</x:f>
        <x:v>0.3226</x:v>
      </x:c>
      <x:c r="J6946" s="13" t="n">
        <x:f>D6946*I6946*H6946</x:f>
        <x:v>0.0300622875</x:v>
      </x:c>
      <x:c r="K6946" s="13" t="n">
        <x:f>E6946*I6946*H6946</x:f>
        <x:v>0.19141067750000001</x:v>
      </x:c>
      <x:c r="L6946" s="1" t="str">
        <x:f>TEXT(A6946,"mmm yyyy")</x:f>
        <x:v>Sep 2026</x:v>
      </x:c>
    </x:row>
    <x:row r="6947" ht="21" customHeight="1">
      <x:c r="A6947" s="10" t="n">
        <x:v>46293</x:v>
      </x:c>
      <x:c r="B6947" s="1" t="n">
        <x:v>5.5</x:v>
      </x:c>
      <x:c r="C6947" s="1" t="n">
        <x:v>6</x:v>
      </x:c>
      <x:c r="D6947" s="12" t="n">
        <x:v>0</x:v>
      </x:c>
      <x:c r="E6947" s="12" t="n">
        <x:v>1.4652500000000002</x:v>
      </x:c>
      <x:c r="F6947" s="12" t="n">
        <x:v>1.46475</x:v>
      </x:c>
      <x:c r="G6947" s="12" t="n">
        <x:v>0</x:v>
      </x:c>
      <x:c r="H6947" s="1" t="n">
        <x:f>'Historical prices'!E6947</x:f>
        <x:v>1.05</x:v>
      </x:c>
      <x:c r="I6947" s="6" t="n">
        <x:f>'Historical prices'!D6947</x:f>
        <x:v>0.3223</x:v>
      </x:c>
      <x:c r="J6947" s="13" t="n">
        <x:f>D6947*I6947*H6947</x:f>
        <x:v>0</x:v>
      </x:c>
      <x:c r="K6947" s="13" t="n">
        <x:f>E6947*I6947*H6947</x:f>
        <x:v>0.49586257875</x:v>
      </x:c>
      <x:c r="L6947" s="1" t="str">
        <x:f>TEXT(A6947,"mmm yyyy")</x:f>
        <x:v>Sep 2026</x:v>
      </x:c>
    </x:row>
    <x:row r="6948" ht="21" customHeight="1">
      <x:c r="A6948" s="10" t="n">
        <x:v>46293</x:v>
      </x:c>
      <x:c r="B6948" s="1" t="n">
        <x:v>6</x:v>
      </x:c>
      <x:c r="C6948" s="1" t="n">
        <x:v>6</x:v>
      </x:c>
      <x:c r="D6948" s="12" t="n">
        <x:v>0</x:v>
      </x:c>
      <x:c r="E6948" s="12" t="n">
        <x:v>0.6908333333333333</x:v>
      </x:c>
      <x:c r="F6948" s="12" t="n">
        <x:v>0.6905833333333333</x:v>
      </x:c>
      <x:c r="G6948" s="12" t="n">
        <x:v>0</x:v>
      </x:c>
      <x:c r="H6948" s="1" t="n">
        <x:f>'Historical prices'!E6948</x:f>
        <x:v>1.05</x:v>
      </x:c>
      <x:c r="I6948" s="6" t="n">
        <x:f>'Historical prices'!D6948</x:f>
        <x:v>0.3607</x:v>
      </x:c>
      <x:c r="J6948" s="13" t="n">
        <x:f>D6948*I6948*H6948</x:f>
        <x:v>0</x:v>
      </x:c>
      <x:c r="K6948" s="13" t="n">
        <x:f>E6948*I6948*H6948</x:f>
        <x:v>0.2616427625</x:v>
      </x:c>
      <x:c r="L6948" s="1" t="str">
        <x:f>TEXT(A6948,"mmm yyyy")</x:f>
        <x:v>Sep 2026</x:v>
      </x:c>
    </x:row>
    <x:row r="6949" ht="21" customHeight="1">
      <x:c r="A6949" s="10" t="n">
        <x:v>46293</x:v>
      </x:c>
      <x:c r="B6949" s="1" t="n">
        <x:v>6.5</x:v>
      </x:c>
      <x:c r="C6949" s="1" t="n">
        <x:v>6</x:v>
      </x:c>
      <x:c r="D6949" s="12" t="n">
        <x:v>3.07725</x:v>
      </x:c>
      <x:c r="E6949" s="12" t="n">
        <x:v>1.1540833333333333</x:v>
      </x:c>
      <x:c r="F6949" s="12" t="n">
        <x:v>0.2436666666666667</x:v>
      </x:c>
      <x:c r="G6949" s="12" t="n">
        <x:v>2.167</x:v>
      </x:c>
      <x:c r="H6949" s="1" t="n">
        <x:f>'Historical prices'!E6949</x:f>
        <x:v>1.05</x:v>
      </x:c>
      <x:c r="I6949" s="6" t="n">
        <x:f>'Historical prices'!D6949</x:f>
        <x:v>0.3851</x:v>
      </x:c>
      <x:c r="J6949" s="13" t="n">
        <x:f>D6949*I6949*H6949</x:f>
        <x:v>1.24430142375</x:v>
      </x:c>
      <x:c r="K6949" s="13" t="n">
        <x:f>E6949*I6949*H6949</x:f>
        <x:v>0.46665936625000004</x:v>
      </x:c>
      <x:c r="L6949" s="1" t="str">
        <x:f>TEXT(A6949,"mmm yyyy")</x:f>
        <x:v>Sep 2026</x:v>
      </x:c>
    </x:row>
    <x:row r="6950" ht="21" customHeight="1">
      <x:c r="A6950" s="10" t="n">
        <x:v>46293</x:v>
      </x:c>
      <x:c r="B6950" s="1" t="n">
        <x:v>7</x:v>
      </x:c>
      <x:c r="C6950" s="1" t="n">
        <x:v>6</x:v>
      </x:c>
      <x:c r="D6950" s="12" t="n">
        <x:v>4.73325</x:v>
      </x:c>
      <x:c r="E6950" s="12" t="n">
        <x:v>0.9432499999999999</x:v>
      </x:c>
      <x:c r="F6950" s="12" t="n">
        <x:v>0</x:v>
      </x:c>
      <x:c r="G6950" s="12" t="n">
        <x:v>3.79</x:v>
      </x:c>
      <x:c r="H6950" s="1" t="n">
        <x:f>'Historical prices'!E6950</x:f>
        <x:v>1.05</x:v>
      </x:c>
      <x:c r="I6950" s="6" t="n">
        <x:f>'Historical prices'!D6950</x:f>
        <x:v>0.3908</x:v>
      </x:c>
      <x:c r="J6950" s="13" t="n">
        <x:f>D6950*I6950*H6950</x:f>
        <x:v>1.942241805</x:v>
      </x:c>
      <x:c r="K6950" s="13" t="n">
        <x:f>E6950*I6950*H6950</x:f>
        <x:v>0.38705320499999996</x:v>
      </x:c>
      <x:c r="L6950" s="1" t="str">
        <x:f>TEXT(A6950,"mmm yyyy")</x:f>
        <x:v>Sep 2026</x:v>
      </x:c>
    </x:row>
    <x:row r="6951" ht="21" customHeight="1">
      <x:c r="A6951" s="10" t="n">
        <x:v>46293</x:v>
      </x:c>
      <x:c r="B6951" s="1" t="n">
        <x:v>7.5</x:v>
      </x:c>
      <x:c r="C6951" s="1" t="n">
        <x:v>6</x:v>
      </x:c>
      <x:c r="D6951" s="12" t="n">
        <x:v>3.8857500000000003</x:v>
      </x:c>
      <x:c r="E6951" s="12" t="n">
        <x:v>0.89075</x:v>
      </x:c>
      <x:c r="F6951" s="12" t="n">
        <x:v>0</x:v>
      </x:c>
      <x:c r="G6951" s="12" t="n">
        <x:v>2.995</x:v>
      </x:c>
      <x:c r="H6951" s="1" t="n">
        <x:f>'Historical prices'!E6951</x:f>
        <x:v>1.05</x:v>
      </x:c>
      <x:c r="I6951" s="6" t="n">
        <x:f>'Historical prices'!D6951</x:f>
        <x:v>0.4178</x:v>
      </x:c>
      <x:c r="J6951" s="13" t="n">
        <x:f>D6951*I6951*H6951</x:f>
        <x:v>1.7046396675000002</x:v>
      </x:c>
      <x:c r="K6951" s="13" t="n">
        <x:f>E6951*I6951*H6951</x:f>
        <x:v>0.39076311750000003</x:v>
      </x:c>
      <x:c r="L6951" s="1" t="str">
        <x:f>TEXT(A6951,"mmm yyyy")</x:f>
        <x:v>Sep 2026</x:v>
      </x:c>
    </x:row>
    <x:row r="6952" ht="21" customHeight="1">
      <x:c r="A6952" s="10" t="n">
        <x:v>46293</x:v>
      </x:c>
      <x:c r="B6952" s="1" t="n">
        <x:v>8</x:v>
      </x:c>
      <x:c r="C6952" s="1" t="n">
        <x:v>6</x:v>
      </x:c>
      <x:c r="D6952" s="12" t="n">
        <x:v>1.60975</x:v>
      </x:c>
      <x:c r="E6952" s="12" t="n">
        <x:v>0.7987500000000001</x:v>
      </x:c>
      <x:c r="F6952" s="12" t="n">
        <x:v>0</x:v>
      </x:c>
      <x:c r="G6952" s="12" t="n">
        <x:v>0.811</x:v>
      </x:c>
      <x:c r="H6952" s="1" t="n">
        <x:f>'Historical prices'!E6952</x:f>
        <x:v>1.05</x:v>
      </x:c>
      <x:c r="I6952" s="6" t="n">
        <x:f>'Historical prices'!D6952</x:f>
        <x:v>0.3908</x:v>
      </x:c>
      <x:c r="J6952" s="13" t="n">
        <x:f>D6952*I6952*H6952</x:f>
        <x:v>0.6605448150000001</x:v>
      </x:c>
      <x:c r="K6952" s="13" t="n">
        <x:f>E6952*I6952*H6952</x:f>
        <x:v>0.32775907500000007</x:v>
      </x:c>
      <x:c r="L6952" s="1" t="str">
        <x:f>TEXT(A6952,"mmm yyyy")</x:f>
        <x:v>Sep 2026</x:v>
      </x:c>
    </x:row>
    <x:row r="6953" ht="21" customHeight="1">
      <x:c r="A6953" s="10" t="n">
        <x:v>46293</x:v>
      </x:c>
      <x:c r="B6953" s="1" t="n">
        <x:v>8.5</x:v>
      </x:c>
      <x:c r="C6953" s="1" t="n">
        <x:v>6</x:v>
      </x:c>
      <x:c r="D6953" s="12" t="n">
        <x:v>0.573</x:v>
      </x:c>
      <x:c r="E6953" s="12" t="n">
        <x:v>0.8780833333333334</x:v>
      </x:c>
      <x:c r="F6953" s="12" t="n">
        <x:v>0.30591666666666667</x:v>
      </x:c>
      <x:c r="G6953" s="12" t="n">
        <x:v>0</x:v>
      </x:c>
      <x:c r="H6953" s="1" t="n">
        <x:f>'Historical prices'!E6953</x:f>
        <x:v>1.05</x:v>
      </x:c>
      <x:c r="I6953" s="6" t="n">
        <x:f>'Historical prices'!D6953</x:f>
        <x:v>0.3761</x:v>
      </x:c>
      <x:c r="J6953" s="13" t="n">
        <x:f>D6953*I6953*H6953</x:f>
        <x:v>0.226280565</x:v>
      </x:c>
      <x:c r="K6953" s="13" t="n">
        <x:f>E6953*I6953*H6953</x:f>
        <x:v>0.34675949875000006</x:v>
      </x:c>
      <x:c r="L6953" s="1" t="str">
        <x:f>TEXT(A6953,"mmm yyyy")</x:f>
        <x:v>Sep 2026</x:v>
      </x:c>
    </x:row>
    <x:row r="6954" ht="21" customHeight="1">
      <x:c r="A6954" s="10" t="n">
        <x:v>46293</x:v>
      </x:c>
      <x:c r="B6954" s="1" t="n">
        <x:v>9</x:v>
      </x:c>
      <x:c r="C6954" s="1" t="n">
        <x:v>6</x:v>
      </x:c>
      <x:c r="D6954" s="12" t="n">
        <x:v>0</x:v>
      </x:c>
      <x:c r="E6954" s="12" t="n">
        <x:v>0.8394166666666667</x:v>
      </x:c>
      <x:c r="F6954" s="12" t="n">
        <x:v>0.8389166666666666</x:v>
      </x:c>
      <x:c r="G6954" s="12" t="n">
        <x:v>0</x:v>
      </x:c>
      <x:c r="H6954" s="1" t="n">
        <x:f>'Historical prices'!E6954</x:f>
        <x:v>1.05</x:v>
      </x:c>
      <x:c r="I6954" s="6" t="n">
        <x:f>'Historical prices'!D6954</x:f>
        <x:v>0.3593</x:v>
      </x:c>
      <x:c r="J6954" s="13" t="n">
        <x:f>D6954*I6954*H6954</x:f>
        <x:v>0</x:v>
      </x:c>
      <x:c r="K6954" s="13" t="n">
        <x:f>E6954*I6954*H6954</x:f>
        <x:v>0.31668252875</x:v>
      </x:c>
      <x:c r="L6954" s="1" t="str">
        <x:f>TEXT(A6954,"mmm yyyy")</x:f>
        <x:v>Sep 2026</x:v>
      </x:c>
    </x:row>
    <x:row r="6955" ht="21" customHeight="1">
      <x:c r="A6955" s="10" t="n">
        <x:v>46293</x:v>
      </x:c>
      <x:c r="B6955" s="1" t="n">
        <x:v>9.5</x:v>
      </x:c>
      <x:c r="C6955" s="1" t="n">
        <x:v>6</x:v>
      </x:c>
      <x:c r="D6955" s="12" t="n">
        <x:v>0</x:v>
      </x:c>
      <x:c r="E6955" s="12" t="n">
        <x:v>0.815</x:v>
      </x:c>
      <x:c r="F6955" s="12" t="n">
        <x:v>0.8145</x:v>
      </x:c>
      <x:c r="G6955" s="12" t="n">
        <x:v>0</x:v>
      </x:c>
      <x:c r="H6955" s="1" t="n">
        <x:f>'Historical prices'!E6955</x:f>
        <x:v>1.05</x:v>
      </x:c>
      <x:c r="I6955" s="6" t="n">
        <x:f>'Historical prices'!D6955</x:f>
        <x:v>0.3299</x:v>
      </x:c>
      <x:c r="J6955" s="13" t="n">
        <x:f>D6955*I6955*H6955</x:f>
        <x:v>0</x:v>
      </x:c>
      <x:c r="K6955" s="13" t="n">
        <x:f>E6955*I6955*H6955</x:f>
        <x:v>0.282311925</x:v>
      </x:c>
      <x:c r="L6955" s="1" t="str">
        <x:f>TEXT(A6955,"mmm yyyy")</x:f>
        <x:v>Sep 2026</x:v>
      </x:c>
    </x:row>
    <x:row r="6956" ht="21" customHeight="1">
      <x:c r="A6956" s="10" t="n">
        <x:v>46293</x:v>
      </x:c>
      <x:c r="B6956" s="1" t="n">
        <x:v>10</x:v>
      </x:c>
      <x:c r="C6956" s="1" t="n">
        <x:v>6</x:v>
      </x:c>
      <x:c r="D6956" s="12" t="n">
        <x:v>0</x:v>
      </x:c>
      <x:c r="E6956" s="12" t="n">
        <x:v>1.0330000000000001</x:v>
      </x:c>
      <x:c r="F6956" s="12" t="n">
        <x:v>1.0325833333333334</x:v>
      </x:c>
      <x:c r="G6956" s="12" t="n">
        <x:v>0</x:v>
      </x:c>
      <x:c r="H6956" s="1" t="n">
        <x:f>'Historical prices'!E6956</x:f>
        <x:v>1.05</x:v>
      </x:c>
      <x:c r="I6956" s="6" t="n">
        <x:f>'Historical prices'!D6956</x:f>
        <x:v>0.3069</x:v>
      </x:c>
      <x:c r="J6956" s="13" t="n">
        <x:f>D6956*I6956*H6956</x:f>
        <x:v>0</x:v>
      </x:c>
      <x:c r="K6956" s="13" t="n">
        <x:f>E6956*I6956*H6956</x:f>
        <x:v>0.332879085</x:v>
      </x:c>
      <x:c r="L6956" s="1" t="str">
        <x:f>TEXT(A6956,"mmm yyyy")</x:f>
        <x:v>Sep 2026</x:v>
      </x:c>
    </x:row>
    <x:row r="6957" ht="21" customHeight="1">
      <x:c r="A6957" s="10" t="n">
        <x:v>46293</x:v>
      </x:c>
      <x:c r="B6957" s="1" t="n">
        <x:v>10.5</x:v>
      </x:c>
      <x:c r="C6957" s="1" t="n">
        <x:v>6</x:v>
      </x:c>
      <x:c r="D6957" s="12" t="n">
        <x:v>0.97325</x:v>
      </x:c>
      <x:c r="E6957" s="12" t="n">
        <x:v>1.23125</x:v>
      </x:c>
      <x:c r="F6957" s="12" t="n">
        <x:v>0.247</x:v>
      </x:c>
      <x:c r="G6957" s="12" t="n">
        <x:v>0</x:v>
      </x:c>
      <x:c r="H6957" s="1" t="n">
        <x:f>'Historical prices'!E6957</x:f>
        <x:v>1.05</x:v>
      </x:c>
      <x:c r="I6957" s="6" t="n">
        <x:f>'Historical prices'!D6957</x:f>
        <x:v>0.2847</x:v>
      </x:c>
      <x:c r="J6957" s="13" t="n">
        <x:f>D6957*I6957*H6957</x:f>
        <x:v>0.29093848875</x:v>
      </x:c>
      <x:c r="K6957" s="13" t="n">
        <x:f>E6957*I6957*H6957</x:f>
        <x:v>0.36806371875000005</x:v>
      </x:c>
      <x:c r="L6957" s="1" t="str">
        <x:f>TEXT(A6957,"mmm yyyy")</x:f>
        <x:v>Sep 2026</x:v>
      </x:c>
    </x:row>
    <x:row r="6958" ht="21" customHeight="1">
      <x:c r="A6958" s="10" t="n">
        <x:v>46293</x:v>
      </x:c>
      <x:c r="B6958" s="1" t="n">
        <x:v>11</x:v>
      </x:c>
      <x:c r="C6958" s="1" t="n">
        <x:v>6</x:v>
      </x:c>
      <x:c r="D6958" s="12" t="n">
        <x:v>0.8104999999999999</x:v>
      </x:c>
      <x:c r="E6958" s="12" t="n">
        <x:v>0.8215</x:v>
      </x:c>
      <x:c r="F6958" s="12" t="n">
        <x:v>0</x:v>
      </x:c>
      <x:c r="G6958" s="12" t="n">
        <x:v>0</x:v>
      </x:c>
      <x:c r="H6958" s="1" t="n">
        <x:f>'Historical prices'!E6958</x:f>
        <x:v>1.05</x:v>
      </x:c>
      <x:c r="I6958" s="6" t="n">
        <x:f>'Historical prices'!D6958</x:f>
        <x:v>0.2564</x:v>
      </x:c>
      <x:c r="J6958" s="13" t="n">
        <x:f>D6958*I6958*H6958</x:f>
        <x:v>0.21820280999999997</x:v>
      </x:c>
      <x:c r="K6958" s="13" t="n">
        <x:f>E6958*I6958*H6958</x:f>
        <x:v>0.22116423000000002</x:v>
      </x:c>
      <x:c r="L6958" s="1" t="str">
        <x:f>TEXT(A6958,"mmm yyyy")</x:f>
        <x:v>Sep 2026</x:v>
      </x:c>
    </x:row>
    <x:row r="6959" ht="21" customHeight="1">
      <x:c r="A6959" s="10" t="n">
        <x:v>46293</x:v>
      </x:c>
      <x:c r="B6959" s="1" t="n">
        <x:v>11.5</x:v>
      </x:c>
      <x:c r="C6959" s="1" t="n">
        <x:v>6</x:v>
      </x:c>
      <x:c r="D6959" s="12" t="n">
        <x:v>0.6214999999999999</x:v>
      </x:c>
      <x:c r="E6959" s="12" t="n">
        <x:v>0.6325000000000001</x:v>
      </x:c>
      <x:c r="F6959" s="12" t="n">
        <x:v>0</x:v>
      </x:c>
      <x:c r="G6959" s="12" t="n">
        <x:v>0</x:v>
      </x:c>
      <x:c r="H6959" s="1" t="n">
        <x:f>'Historical prices'!E6959</x:f>
        <x:v>1.05</x:v>
      </x:c>
      <x:c r="I6959" s="6" t="n">
        <x:f>'Historical prices'!D6959</x:f>
        <x:v>0.248</x:v>
      </x:c>
      <x:c r="J6959" s="13" t="n">
        <x:f>D6959*I6959*H6959</x:f>
        <x:v>0.1618386</x:v>
      </x:c>
      <x:c r="K6959" s="13" t="n">
        <x:f>E6959*I6959*H6959</x:f>
        <x:v>0.16470300000000004</x:v>
      </x:c>
      <x:c r="L6959" s="1" t="str">
        <x:f>TEXT(A6959,"mmm yyyy")</x:f>
        <x:v>Sep 2026</x:v>
      </x:c>
    </x:row>
    <x:row r="6960" ht="21" customHeight="1">
      <x:c r="A6960" s="10" t="n">
        <x:v>46293</x:v>
      </x:c>
      <x:c r="B6960" s="1" t="n">
        <x:v>12</x:v>
      </x:c>
      <x:c r="C6960" s="1" t="n">
        <x:v>6</x:v>
      </x:c>
      <x:c r="D6960" s="12" t="n">
        <x:v>0.63775</x:v>
      </x:c>
      <x:c r="E6960" s="12" t="n">
        <x:v>0.64875</x:v>
      </x:c>
      <x:c r="F6960" s="12" t="n">
        <x:v>0</x:v>
      </x:c>
      <x:c r="G6960" s="12" t="n">
        <x:v>0</x:v>
      </x:c>
      <x:c r="H6960" s="1" t="n">
        <x:f>'Historical prices'!E6960</x:f>
        <x:v>1.05</x:v>
      </x:c>
      <x:c r="I6960" s="6" t="n">
        <x:f>'Historical prices'!D6960</x:f>
        <x:v>0.2446</x:v>
      </x:c>
      <x:c r="J6960" s="13" t="n">
        <x:f>D6960*I6960*H6960</x:f>
        <x:v>0.16379333250000003</x:v>
      </x:c>
      <x:c r="K6960" s="13" t="n">
        <x:f>E6960*I6960*H6960</x:f>
        <x:v>0.16661846250000004</x:v>
      </x:c>
      <x:c r="L6960" s="1" t="str">
        <x:f>TEXT(A6960,"mmm yyyy")</x:f>
        <x:v>Sep 2026</x:v>
      </x:c>
    </x:row>
    <x:row r="6961" ht="21" customHeight="1">
      <x:c r="A6961" s="10" t="n">
        <x:v>46293</x:v>
      </x:c>
      <x:c r="B6961" s="1" t="n">
        <x:v>12.5</x:v>
      </x:c>
      <x:c r="C6961" s="1" t="n">
        <x:v>6</x:v>
      </x:c>
      <x:c r="D6961" s="12" t="n">
        <x:v>3.7357499999999995</x:v>
      </x:c>
      <x:c r="E6961" s="12" t="n">
        <x:v>0.7867500000000001</x:v>
      </x:c>
      <x:c r="F6961" s="12" t="n">
        <x:v>0</x:v>
      </x:c>
      <x:c r="G6961" s="12" t="n">
        <x:v>2.951</x:v>
      </x:c>
      <x:c r="H6961" s="1" t="n">
        <x:f>'Historical prices'!E6961</x:f>
        <x:v>1.05</x:v>
      </x:c>
      <x:c r="I6961" s="6" t="n">
        <x:f>'Historical prices'!D6961</x:f>
        <x:v>0.2415</x:v>
      </x:c>
      <x:c r="J6961" s="13" t="n">
        <x:f>D6961*I6961*H6961</x:f>
        <x:v>0.9472928062499999</x:v>
      </x:c>
      <x:c r="K6961" s="13" t="n">
        <x:f>E6961*I6961*H6961</x:f>
        <x:v>0.19950013125000002</x:v>
      </x:c>
      <x:c r="L6961" s="1" t="str">
        <x:f>TEXT(A6961,"mmm yyyy")</x:f>
        <x:v>Sep 2026</x:v>
      </x:c>
    </x:row>
    <x:row r="6962" ht="21" customHeight="1">
      <x:c r="A6962" s="10" t="n">
        <x:v>46293</x:v>
      </x:c>
      <x:c r="B6962" s="1" t="n">
        <x:v>13</x:v>
      </x:c>
      <x:c r="C6962" s="1" t="n">
        <x:v>6</x:v>
      </x:c>
      <x:c r="D6962" s="12" t="n">
        <x:v>0.952</x:v>
      </x:c>
      <x:c r="E6962" s="12" t="n">
        <x:v>0.629</x:v>
      </x:c>
      <x:c r="F6962" s="12" t="n">
        <x:v>0</x:v>
      </x:c>
      <x:c r="G6962" s="12" t="n">
        <x:v>0.331</x:v>
      </x:c>
      <x:c r="H6962" s="1" t="n">
        <x:f>'Historical prices'!E6962</x:f>
        <x:v>1.05</x:v>
      </x:c>
      <x:c r="I6962" s="6" t="n">
        <x:f>'Historical prices'!D6962</x:f>
        <x:v>0.2519</x:v>
      </x:c>
      <x:c r="J6962" s="13" t="n">
        <x:f>D6962*I6962*H6962</x:f>
        <x:v>0.25179924</x:v>
      </x:c>
      <x:c r="K6962" s="13" t="n">
        <x:f>E6962*I6962*H6962</x:f>
        <x:v>0.16636735500000002</x:v>
      </x:c>
      <x:c r="L6962" s="1" t="str">
        <x:f>TEXT(A6962,"mmm yyyy")</x:f>
        <x:v>Sep 2026</x:v>
      </x:c>
    </x:row>
    <x:row r="6963" ht="21" customHeight="1">
      <x:c r="A6963" s="10" t="n">
        <x:v>46293</x:v>
      </x:c>
      <x:c r="B6963" s="1" t="n">
        <x:v>13.5</x:v>
      </x:c>
      <x:c r="C6963" s="1" t="n">
        <x:v>6</x:v>
      </x:c>
      <x:c r="D6963" s="12" t="n">
        <x:v>0.7322500000000001</x:v>
      </x:c>
      <x:c r="E6963" s="12" t="n">
        <x:v>0.7422500000000001</x:v>
      </x:c>
      <x:c r="F6963" s="12" t="n">
        <x:v>0</x:v>
      </x:c>
      <x:c r="G6963" s="12" t="n">
        <x:v>0</x:v>
      </x:c>
      <x:c r="H6963" s="1" t="n">
        <x:f>'Historical prices'!E6963</x:f>
        <x:v>1.05</x:v>
      </x:c>
      <x:c r="I6963" s="6" t="n">
        <x:f>'Historical prices'!D6963</x:f>
        <x:v>0.248</x:v>
      </x:c>
      <x:c r="J6963" s="13" t="n">
        <x:f>D6963*I6963*H6963</x:f>
        <x:v>0.1906779</x:v>
      </x:c>
      <x:c r="K6963" s="13" t="n">
        <x:f>E6963*I6963*H6963</x:f>
        <x:v>0.19328190000000003</x:v>
      </x:c>
      <x:c r="L6963" s="1" t="str">
        <x:f>TEXT(A6963,"mmm yyyy")</x:f>
        <x:v>Sep 2026</x:v>
      </x:c>
    </x:row>
    <x:row r="6964" ht="21" customHeight="1">
      <x:c r="A6964" s="10" t="n">
        <x:v>46293</x:v>
      </x:c>
      <x:c r="B6964" s="1" t="n">
        <x:v>14</x:v>
      </x:c>
      <x:c r="C6964" s="1" t="n">
        <x:v>6</x:v>
      </x:c>
      <x:c r="D6964" s="12" t="n">
        <x:v>0.61725</x:v>
      </x:c>
      <x:c r="E6964" s="12" t="n">
        <x:v>0.62825</x:v>
      </x:c>
      <x:c r="F6964" s="12" t="n">
        <x:v>0</x:v>
      </x:c>
      <x:c r="G6964" s="12" t="n">
        <x:v>0</x:v>
      </x:c>
      <x:c r="H6964" s="1" t="n">
        <x:f>'Historical prices'!E6964</x:f>
        <x:v>1.05</x:v>
      </x:c>
      <x:c r="I6964" s="6" t="n">
        <x:f>'Historical prices'!D6964</x:f>
        <x:v>0.2669</x:v>
      </x:c>
      <x:c r="J6964" s="13" t="n">
        <x:f>D6964*I6964*H6964</x:f>
        <x:v>0.17298122625000004</x:v>
      </x:c>
      <x:c r="K6964" s="13" t="n">
        <x:f>E6964*I6964*H6964</x:f>
        <x:v>0.17606392125</x:v>
      </x:c>
      <x:c r="L6964" s="1" t="str">
        <x:f>TEXT(A6964,"mmm yyyy")</x:f>
        <x:v>Sep 2026</x:v>
      </x:c>
    </x:row>
    <x:row r="6965" ht="21" customHeight="1">
      <x:c r="A6965" s="10" t="n">
        <x:v>46293</x:v>
      </x:c>
      <x:c r="B6965" s="1" t="n">
        <x:v>14.5</x:v>
      </x:c>
      <x:c r="C6965" s="1" t="n">
        <x:v>6</x:v>
      </x:c>
      <x:c r="D6965" s="12" t="n">
        <x:v>0.64425</x:v>
      </x:c>
      <x:c r="E6965" s="12" t="n">
        <x:v>0.65425</x:v>
      </x:c>
      <x:c r="F6965" s="12" t="n">
        <x:v>0</x:v>
      </x:c>
      <x:c r="G6965" s="12" t="n">
        <x:v>0</x:v>
      </x:c>
      <x:c r="H6965" s="1" t="n">
        <x:f>'Historical prices'!E6965</x:f>
        <x:v>1.05</x:v>
      </x:c>
      <x:c r="I6965" s="6" t="n">
        <x:f>'Historical prices'!D6965</x:f>
        <x:v>0.2717</x:v>
      </x:c>
      <x:c r="J6965" s="13" t="n">
        <x:f>D6965*I6965*H6965</x:f>
        <x:v>0.18379486125</x:v>
      </x:c>
      <x:c r="K6965" s="13" t="n">
        <x:f>E6965*I6965*H6965</x:f>
        <x:v>0.18664771125000001</x:v>
      </x:c>
      <x:c r="L6965" s="1" t="str">
        <x:f>TEXT(A6965,"mmm yyyy")</x:f>
        <x:v>Sep 2026</x:v>
      </x:c>
    </x:row>
    <x:row r="6966" ht="21" customHeight="1">
      <x:c r="A6966" s="10" t="n">
        <x:v>46293</x:v>
      </x:c>
      <x:c r="B6966" s="1" t="n">
        <x:v>15</x:v>
      </x:c>
      <x:c r="C6966" s="1" t="n">
        <x:v>6</x:v>
      </x:c>
      <x:c r="D6966" s="12" t="n">
        <x:v>0.10975</x:v>
      </x:c>
      <x:c r="E6966" s="12" t="n">
        <x:v>0.6920000000000001</x:v>
      </x:c>
      <x:c r="F6966" s="12" t="n">
        <x:v>0.57675</x:v>
      </x:c>
      <x:c r="G6966" s="12" t="n">
        <x:v>0</x:v>
      </x:c>
      <x:c r="H6966" s="1" t="n">
        <x:f>'Historical prices'!E6966</x:f>
        <x:v>1.05</x:v>
      </x:c>
      <x:c r="I6966" s="6" t="n">
        <x:f>'Historical prices'!D6966</x:f>
        <x:v>0.32780000000000004</x:v>
      </x:c>
      <x:c r="J6966" s="13" t="n">
        <x:f>D6966*I6966*H6966</x:f>
        <x:v>0.037774852500000004</x:v>
      </x:c>
      <x:c r="K6966" s="13" t="n">
        <x:f>E6966*I6966*H6966</x:f>
        <x:v>0.23817948000000008</x:v>
      </x:c>
      <x:c r="L6966" s="1" t="str">
        <x:f>TEXT(A6966,"mmm yyyy")</x:f>
        <x:v>Sep 2026</x:v>
      </x:c>
    </x:row>
    <x:row r="6967" ht="21" customHeight="1">
      <x:c r="A6967" s="10" t="n">
        <x:v>46293</x:v>
      </x:c>
      <x:c r="B6967" s="1" t="n">
        <x:v>15.5</x:v>
      </x:c>
      <x:c r="C6967" s="1" t="n">
        <x:v>6</x:v>
      </x:c>
      <x:c r="D6967" s="12" t="n">
        <x:v>0</x:v>
      </x:c>
      <x:c r="E6967" s="12" t="n">
        <x:v>0.6641666666666667</x:v>
      </x:c>
      <x:c r="F6967" s="12" t="n">
        <x:v>0.6606666666666666</x:v>
      </x:c>
      <x:c r="G6967" s="12" t="n">
        <x:v>0</x:v>
      </x:c>
      <x:c r="H6967" s="1" t="n">
        <x:f>'Historical prices'!E6967</x:f>
        <x:v>1.05</x:v>
      </x:c>
      <x:c r="I6967" s="6" t="n">
        <x:f>'Historical prices'!D6967</x:f>
        <x:v>0.34630000000000005</x:v>
      </x:c>
      <x:c r="J6967" s="13" t="n">
        <x:f>D6967*I6967*H6967</x:f>
        <x:v>0</x:v>
      </x:c>
      <x:c r="K6967" s="13" t="n">
        <x:f>E6967*I6967*H6967</x:f>
        <x:v>0.24150096250000003</x:v>
      </x:c>
      <x:c r="L6967" s="1" t="str">
        <x:f>TEXT(A6967,"mmm yyyy")</x:f>
        <x:v>Sep 2026</x:v>
      </x:c>
    </x:row>
    <x:row r="6968" ht="21" customHeight="1">
      <x:c r="A6968" s="10" t="n">
        <x:v>46293</x:v>
      </x:c>
      <x:c r="B6968" s="1" t="n">
        <x:v>16</x:v>
      </x:c>
      <x:c r="C6968" s="1" t="n">
        <x:v>6</x:v>
      </x:c>
      <x:c r="D6968" s="12" t="n">
        <x:v>0</x:v>
      </x:c>
      <x:c r="E6968" s="12" t="n">
        <x:v>0.6716666666666666</x:v>
      </x:c>
      <x:c r="F6968" s="12" t="n">
        <x:v>0.6715</x:v>
      </x:c>
      <x:c r="G6968" s="12" t="n">
        <x:v>0</x:v>
      </x:c>
      <x:c r="H6968" s="1" t="n">
        <x:f>'Historical prices'!E6968</x:f>
        <x:v>1.05</x:v>
      </x:c>
      <x:c r="I6968" s="6" t="n">
        <x:f>'Historical prices'!D6968</x:f>
        <x:v>0.5065999999999999</x:v>
      </x:c>
      <x:c r="J6968" s="13" t="n">
        <x:f>D6968*I6968*H6968</x:f>
        <x:v>0</x:v>
      </x:c>
      <x:c r="K6968" s="13" t="n">
        <x:f>E6968*I6968*H6968</x:f>
        <x:v>0.35727964999999995</x:v>
      </x:c>
      <x:c r="L6968" s="1" t="str">
        <x:f>TEXT(A6968,"mmm yyyy")</x:f>
        <x:v>Sep 2026</x:v>
      </x:c>
    </x:row>
    <x:row r="6969" ht="21" customHeight="1">
      <x:c r="A6969" s="10" t="n">
        <x:v>46293</x:v>
      </x:c>
      <x:c r="B6969" s="1" t="n">
        <x:v>16.5</x:v>
      </x:c>
      <x:c r="C6969" s="1" t="n">
        <x:v>6</x:v>
      </x:c>
      <x:c r="D6969" s="12" t="n">
        <x:v>0</x:v>
      </x:c>
      <x:c r="E6969" s="12" t="n">
        <x:v>0.6870833333333333</x:v>
      </x:c>
      <x:c r="F6969" s="12" t="n">
        <x:v>0.6865833333333332</x:v>
      </x:c>
      <x:c r="G6969" s="12" t="n">
        <x:v>0</x:v>
      </x:c>
      <x:c r="H6969" s="1" t="n">
        <x:f>'Historical prices'!E6969</x:f>
        <x:v>1.05</x:v>
      </x:c>
      <x:c r="I6969" s="6" t="n">
        <x:f>'Historical prices'!D6969</x:f>
        <x:v>0.5611999999999999</x:v>
      </x:c>
      <x:c r="J6969" s="13" t="n">
        <x:f>D6969*I6969*H6969</x:f>
        <x:v>0</x:v>
      </x:c>
      <x:c r="K6969" s="13" t="n">
        <x:f>E6969*I6969*H6969</x:f>
        <x:v>0.40487072499999993</x:v>
      </x:c>
      <x:c r="L6969" s="1" t="str">
        <x:f>TEXT(A6969,"mmm yyyy")</x:f>
        <x:v>Sep 2026</x:v>
      </x:c>
    </x:row>
    <x:row r="6970" ht="21" customHeight="1">
      <x:c r="A6970" s="10" t="n">
        <x:v>46293</x:v>
      </x:c>
      <x:c r="B6970" s="1" t="n">
        <x:v>17</x:v>
      </x:c>
      <x:c r="C6970" s="1" t="n">
        <x:v>6</x:v>
      </x:c>
      <x:c r="D6970" s="12" t="n">
        <x:v>0</x:v>
      </x:c>
      <x:c r="E6970" s="12" t="n">
        <x:v>0.4986666666666667</x:v>
      </x:c>
      <x:c r="F6970" s="12" t="n">
        <x:v>0.49816666666666665</x:v>
      </x:c>
      <x:c r="G6970" s="12" t="n">
        <x:v>0</x:v>
      </x:c>
      <x:c r="H6970" s="1" t="n">
        <x:f>'Historical prices'!E6970</x:f>
        <x:v>1.05</x:v>
      </x:c>
      <x:c r="I6970" s="6" t="n">
        <x:f>'Historical prices'!D6970</x:f>
        <x:v>0.6075</x:v>
      </x:c>
      <x:c r="J6970" s="13" t="n">
        <x:f>D6970*I6970*H6970</x:f>
        <x:v>0</x:v>
      </x:c>
      <x:c r="K6970" s="13" t="n">
        <x:f>E6970*I6970*H6970</x:f>
        <x:v>0.31808700000000006</x:v>
      </x:c>
      <x:c r="L6970" s="1" t="str">
        <x:f>TEXT(A6970,"mmm yyyy")</x:f>
        <x:v>Sep 2026</x:v>
      </x:c>
    </x:row>
    <x:row r="6971" ht="21" customHeight="1">
      <x:c r="A6971" s="10" t="n">
        <x:v>46293</x:v>
      </x:c>
      <x:c r="B6971" s="1" t="n">
        <x:v>17.5</x:v>
      </x:c>
      <x:c r="C6971" s="1" t="n">
        <x:v>6</x:v>
      </x:c>
      <x:c r="D6971" s="12" t="n">
        <x:v>0</x:v>
      </x:c>
      <x:c r="E6971" s="12" t="n">
        <x:v>0.66125</x:v>
      </x:c>
      <x:c r="F6971" s="12" t="n">
        <x:v>0.6605833333333333</x:v>
      </x:c>
      <x:c r="G6971" s="12" t="n">
        <x:v>0</x:v>
      </x:c>
      <x:c r="H6971" s="1" t="n">
        <x:f>'Historical prices'!E6971</x:f>
        <x:v>1.05</x:v>
      </x:c>
      <x:c r="I6971" s="6" t="n">
        <x:f>'Historical prices'!D6971</x:f>
        <x:v>0.6368</x:v>
      </x:c>
      <x:c r="J6971" s="13" t="n">
        <x:f>D6971*I6971*H6971</x:f>
        <x:v>0</x:v>
      </x:c>
      <x:c r="K6971" s="13" t="n">
        <x:f>E6971*I6971*H6971</x:f>
        <x:v>0.44213820000000004</x:v>
      </x:c>
      <x:c r="L6971" s="1" t="str">
        <x:f>TEXT(A6971,"mmm yyyy")</x:f>
        <x:v>Sep 2026</x:v>
      </x:c>
    </x:row>
    <x:row r="6972" ht="21" customHeight="1">
      <x:c r="A6972" s="10" t="n">
        <x:v>46293</x:v>
      </x:c>
      <x:c r="B6972" s="1" t="n">
        <x:v>18</x:v>
      </x:c>
      <x:c r="C6972" s="1" t="n">
        <x:v>6</x:v>
      </x:c>
      <x:c r="D6972" s="12" t="n">
        <x:v>0</x:v>
      </x:c>
      <x:c r="E6972" s="12" t="n">
        <x:v>0.6045833333333334</x:v>
      </x:c>
      <x:c r="F6972" s="12" t="n">
        <x:v>0.6040833333333333</x:v>
      </x:c>
      <x:c r="G6972" s="12" t="n">
        <x:v>0</x:v>
      </x:c>
      <x:c r="H6972" s="1" t="n">
        <x:f>'Historical prices'!E6972</x:f>
        <x:v>1.05</x:v>
      </x:c>
      <x:c r="I6972" s="6" t="n">
        <x:f>'Historical prices'!D6972</x:f>
        <x:v>0.6643000000000001</x:v>
      </x:c>
      <x:c r="J6972" s="13" t="n">
        <x:f>D6972*I6972*H6972</x:f>
        <x:v>0</x:v>
      </x:c>
      <x:c r="K6972" s="13" t="n">
        <x:f>E6972*I6972*H6972</x:f>
        <x:v>0.4217059437500001</x:v>
      </x:c>
      <x:c r="L6972" s="1" t="str">
        <x:f>TEXT(A6972,"mmm yyyy")</x:f>
        <x:v>Sep 2026</x:v>
      </x:c>
    </x:row>
    <x:row r="6973" ht="21" customHeight="1">
      <x:c r="A6973" s="10" t="n">
        <x:v>46293</x:v>
      </x:c>
      <x:c r="B6973" s="1" t="n">
        <x:v>18.5</x:v>
      </x:c>
      <x:c r="C6973" s="1" t="n">
        <x:v>6</x:v>
      </x:c>
      <x:c r="D6973" s="12" t="n">
        <x:v>0</x:v>
      </x:c>
      <x:c r="E6973" s="12" t="n">
        <x:v>0.5962500000000001</x:v>
      </x:c>
      <x:c r="F6973" s="12" t="n">
        <x:v>0.5956666666666666</x:v>
      </x:c>
      <x:c r="G6973" s="12" t="n">
        <x:v>0</x:v>
      </x:c>
      <x:c r="H6973" s="1" t="n">
        <x:f>'Historical prices'!E6973</x:f>
        <x:v>1.05</x:v>
      </x:c>
      <x:c r="I6973" s="6" t="n">
        <x:f>'Historical prices'!D6973</x:f>
        <x:v>0.6662</x:v>
      </x:c>
      <x:c r="J6973" s="13" t="n">
        <x:f>D6973*I6973*H6973</x:f>
        <x:v>0</x:v>
      </x:c>
      <x:c r="K6973" s="13" t="n">
        <x:f>E6973*I6973*H6973</x:f>
        <x:v>0.4170828375000001</x:v>
      </x:c>
      <x:c r="L6973" s="1" t="str">
        <x:f>TEXT(A6973,"mmm yyyy")</x:f>
        <x:v>Sep 2026</x:v>
      </x:c>
    </x:row>
    <x:row r="6974" ht="21" customHeight="1">
      <x:c r="A6974" s="10" t="n">
        <x:v>46293</x:v>
      </x:c>
      <x:c r="B6974" s="1" t="n">
        <x:v>19</x:v>
      </x:c>
      <x:c r="C6974" s="1" t="n">
        <x:v>6</x:v>
      </x:c>
      <x:c r="D6974" s="12" t="n">
        <x:v>0</x:v>
      </x:c>
      <x:c r="E6974" s="12" t="n">
        <x:v>1.2923333333333336</x:v>
      </x:c>
      <x:c r="F6974" s="12" t="n">
        <x:v>1.2923333333333336</x:v>
      </x:c>
      <x:c r="G6974" s="12" t="n">
        <x:v>0</x:v>
      </x:c>
      <x:c r="H6974" s="1" t="n">
        <x:f>'Historical prices'!E6974</x:f>
        <x:v>1.05</x:v>
      </x:c>
      <x:c r="I6974" s="6" t="n">
        <x:f>'Historical prices'!D6974</x:f>
        <x:v>0.4899</x:v>
      </x:c>
      <x:c r="J6974" s="13" t="n">
        <x:f>D6974*I6974*H6974</x:f>
        <x:v>0</x:v>
      </x:c>
      <x:c r="K6974" s="13" t="n">
        <x:f>E6974*I6974*H6974</x:f>
        <x:v>0.6647698050000002</x:v>
      </x:c>
      <x:c r="L6974" s="1" t="str">
        <x:f>TEXT(A6974,"mmm yyyy")</x:f>
        <x:v>Sep 2026</x:v>
      </x:c>
    </x:row>
    <x:row r="6975" ht="21" customHeight="1">
      <x:c r="A6975" s="10" t="n">
        <x:v>46293</x:v>
      </x:c>
      <x:c r="B6975" s="1" t="n">
        <x:v>19.5</x:v>
      </x:c>
      <x:c r="C6975" s="1" t="n">
        <x:v>6</x:v>
      </x:c>
      <x:c r="D6975" s="12" t="n">
        <x:v>0</x:v>
      </x:c>
      <x:c r="E6975" s="12" t="n">
        <x:v>0.8751666666666666</x:v>
      </x:c>
      <x:c r="F6975" s="12" t="n">
        <x:v>0.8745833333333333</x:v>
      </x:c>
      <x:c r="G6975" s="12" t="n">
        <x:v>0</x:v>
      </x:c>
      <x:c r="H6975" s="1" t="n">
        <x:f>'Historical prices'!E6975</x:f>
        <x:v>1.05</x:v>
      </x:c>
      <x:c r="I6975" s="6" t="n">
        <x:f>'Historical prices'!D6975</x:f>
        <x:v>0.467</x:v>
      </x:c>
      <x:c r="J6975" s="13" t="n">
        <x:f>D6975*I6975*H6975</x:f>
        <x:v>0</x:v>
      </x:c>
      <x:c r="K6975" s="13" t="n">
        <x:f>E6975*I6975*H6975</x:f>
        <x:v>0.42913797500000006</x:v>
      </x:c>
      <x:c r="L6975" s="1" t="str">
        <x:f>TEXT(A6975,"mmm yyyy")</x:f>
        <x:v>Sep 2026</x:v>
      </x:c>
    </x:row>
    <x:row r="6976" ht="21" customHeight="1">
      <x:c r="A6976" s="10" t="n">
        <x:v>46293</x:v>
      </x:c>
      <x:c r="B6976" s="1" t="n">
        <x:v>20</x:v>
      </x:c>
      <x:c r="C6976" s="1" t="n">
        <x:v>6</x:v>
      </x:c>
      <x:c r="D6976" s="12" t="n">
        <x:v>0</x:v>
      </x:c>
      <x:c r="E6976" s="12" t="n">
        <x:v>0.4925</x:v>
      </x:c>
      <x:c r="F6976" s="12" t="n">
        <x:v>0.49233333333333335</x:v>
      </x:c>
      <x:c r="G6976" s="12" t="n">
        <x:v>0</x:v>
      </x:c>
      <x:c r="H6976" s="1" t="n">
        <x:f>'Historical prices'!E6976</x:f>
        <x:v>1.05</x:v>
      </x:c>
      <x:c r="I6976" s="6" t="n">
        <x:f>'Historical prices'!D6976</x:f>
        <x:v>0.40130000000000005</x:v>
      </x:c>
      <x:c r="J6976" s="13" t="n">
        <x:f>D6976*I6976*H6976</x:f>
        <x:v>0</x:v>
      </x:c>
      <x:c r="K6976" s="13" t="n">
        <x:f>E6976*I6976*H6976</x:f>
        <x:v>0.20752226250000003</x:v>
      </x:c>
      <x:c r="L6976" s="1" t="str">
        <x:f>TEXT(A6976,"mmm yyyy")</x:f>
        <x:v>Sep 2026</x:v>
      </x:c>
    </x:row>
    <x:row r="6977" ht="21" customHeight="1">
      <x:c r="A6977" s="10" t="n">
        <x:v>46293</x:v>
      </x:c>
      <x:c r="B6977" s="1" t="n">
        <x:v>20.5</x:v>
      </x:c>
      <x:c r="C6977" s="1" t="n">
        <x:v>6</x:v>
      </x:c>
      <x:c r="D6977" s="12" t="n">
        <x:v>0</x:v>
      </x:c>
      <x:c r="E6977" s="12" t="n">
        <x:v>0.5013333333333333</x:v>
      </x:c>
      <x:c r="F6977" s="12" t="n">
        <x:v>0.5007499999999999</x:v>
      </x:c>
      <x:c r="G6977" s="12" t="n">
        <x:v>0</x:v>
      </x:c>
      <x:c r="H6977" s="1" t="n">
        <x:f>'Historical prices'!E6977</x:f>
        <x:v>1.05</x:v>
      </x:c>
      <x:c r="I6977" s="6" t="n">
        <x:f>'Historical prices'!D6977</x:f>
        <x:v>0.3604</x:v>
      </x:c>
      <x:c r="J6977" s="13" t="n">
        <x:f>D6977*I6977*H6977</x:f>
        <x:v>0</x:v>
      </x:c>
      <x:c r="K6977" s="13" t="n">
        <x:f>E6977*I6977*H6977</x:f>
        <x:v>0.18971455999999998</x:v>
      </x:c>
      <x:c r="L6977" s="1" t="str">
        <x:f>TEXT(A6977,"mmm yyyy")</x:f>
        <x:v>Sep 2026</x:v>
      </x:c>
    </x:row>
    <x:row r="6978" ht="21" customHeight="1">
      <x:c r="A6978" s="10" t="n">
        <x:v>46293</x:v>
      </x:c>
      <x:c r="B6978" s="1" t="n">
        <x:v>21</x:v>
      </x:c>
      <x:c r="C6978" s="1" t="n">
        <x:v>6</x:v>
      </x:c>
      <x:c r="D6978" s="12" t="n">
        <x:v>0</x:v>
      </x:c>
      <x:c r="E6978" s="12" t="n">
        <x:v>0.5240833333333333</x:v>
      </x:c>
      <x:c r="F6978" s="12" t="n">
        <x:v>0.5235833333333333</x:v>
      </x:c>
      <x:c r="G6978" s="12" t="n">
        <x:v>0</x:v>
      </x:c>
      <x:c r="H6978" s="1" t="n">
        <x:f>'Historical prices'!E6978</x:f>
        <x:v>1.05</x:v>
      </x:c>
      <x:c r="I6978" s="6" t="n">
        <x:f>'Historical prices'!D6978</x:f>
        <x:v>0.3506</x:v>
      </x:c>
      <x:c r="J6978" s="13" t="n">
        <x:f>D6978*I6978*H6978</x:f>
        <x:v>0</x:v>
      </x:c>
      <x:c r="K6978" s="13" t="n">
        <x:f>E6978*I6978*H6978</x:f>
        <x:v>0.19293079750000003</x:v>
      </x:c>
      <x:c r="L6978" s="1" t="str">
        <x:f>TEXT(A6978,"mmm yyyy")</x:f>
        <x:v>Sep 2026</x:v>
      </x:c>
    </x:row>
    <x:row r="6979" ht="21" customHeight="1">
      <x:c r="A6979" s="10" t="n">
        <x:v>46293</x:v>
      </x:c>
      <x:c r="B6979" s="1" t="n">
        <x:v>21.5</x:v>
      </x:c>
      <x:c r="C6979" s="1" t="n">
        <x:v>6</x:v>
      </x:c>
      <x:c r="D6979" s="12" t="n">
        <x:v>0</x:v>
      </x:c>
      <x:c r="E6979" s="12" t="n">
        <x:v>0.43791666666666657</x:v>
      </x:c>
      <x:c r="F6979" s="12" t="n">
        <x:v>0.43716666666666665</x:v>
      </x:c>
      <x:c r="G6979" s="12" t="n">
        <x:v>0</x:v>
      </x:c>
      <x:c r="H6979" s="1" t="n">
        <x:f>'Historical prices'!E6979</x:f>
        <x:v>1.05</x:v>
      </x:c>
      <x:c r="I6979" s="6" t="n">
        <x:f>'Historical prices'!D6979</x:f>
        <x:v>0.31129999999999997</x:v>
      </x:c>
      <x:c r="J6979" s="13" t="n">
        <x:f>D6979*I6979*H6979</x:f>
        <x:v>0</x:v>
      </x:c>
      <x:c r="K6979" s="13" t="n">
        <x:f>E6979*I6979*H6979</x:f>
        <x:v>0.14313963124999995</x:v>
      </x:c>
      <x:c r="L6979" s="1" t="str">
        <x:f>TEXT(A6979,"mmm yyyy")</x:f>
        <x:v>Sep 2026</x:v>
      </x:c>
    </x:row>
    <x:row r="6980" ht="21" customHeight="1">
      <x:c r="A6980" s="10" t="n">
        <x:v>46293</x:v>
      </x:c>
      <x:c r="B6980" s="1" t="n">
        <x:v>22</x:v>
      </x:c>
      <x:c r="C6980" s="1" t="n">
        <x:v>6</x:v>
      </x:c>
      <x:c r="D6980" s="12" t="n">
        <x:v>0</x:v>
      </x:c>
      <x:c r="E6980" s="12" t="n">
        <x:v>0.2836666666666667</x:v>
      </x:c>
      <x:c r="F6980" s="12" t="n">
        <x:v>0.28325</x:v>
      </x:c>
      <x:c r="G6980" s="12" t="n">
        <x:v>0</x:v>
      </x:c>
      <x:c r="H6980" s="1" t="n">
        <x:f>'Historical prices'!E6980</x:f>
        <x:v>1.05</x:v>
      </x:c>
      <x:c r="I6980" s="6" t="n">
        <x:f>'Historical prices'!D6980</x:f>
        <x:v>0.3055</x:v>
      </x:c>
      <x:c r="J6980" s="13" t="n">
        <x:f>D6980*I6980*H6980</x:f>
        <x:v>0</x:v>
      </x:c>
      <x:c r="K6980" s="13" t="n">
        <x:f>E6980*I6980*H6980</x:f>
        <x:v>0.090993175</x:v>
      </x:c>
      <x:c r="L6980" s="1" t="str">
        <x:f>TEXT(A6980,"mmm yyyy")</x:f>
        <x:v>Sep 2026</x:v>
      </x:c>
    </x:row>
    <x:row r="6981" ht="21" customHeight="1">
      <x:c r="A6981" s="10" t="n">
        <x:v>46293</x:v>
      </x:c>
      <x:c r="B6981" s="1" t="n">
        <x:v>22.5</x:v>
      </x:c>
      <x:c r="C6981" s="1" t="n">
        <x:v>6</x:v>
      </x:c>
      <x:c r="D6981" s="12" t="n">
        <x:v>0</x:v>
      </x:c>
      <x:c r="E6981" s="12" t="n">
        <x:v>0.34525</x:v>
      </x:c>
      <x:c r="F6981" s="12" t="n">
        <x:v>0.3446666666666667</x:v>
      </x:c>
      <x:c r="G6981" s="12" t="n">
        <x:v>0</x:v>
      </x:c>
      <x:c r="H6981" s="1" t="n">
        <x:f>'Historical prices'!E6981</x:f>
        <x:v>1.05</x:v>
      </x:c>
      <x:c r="I6981" s="6" t="n">
        <x:f>'Historical prices'!D6981</x:f>
        <x:v>0.3194</x:v>
      </x:c>
      <x:c r="J6981" s="13" t="n">
        <x:f>D6981*I6981*H6981</x:f>
        <x:v>0</x:v>
      </x:c>
      <x:c r="K6981" s="13" t="n">
        <x:f>E6981*I6981*H6981</x:f>
        <x:v>0.1157864925</x:v>
      </x:c>
      <x:c r="L6981" s="1" t="str">
        <x:f>TEXT(A6981,"mmm yyyy")</x:f>
        <x:v>Sep 2026</x:v>
      </x:c>
    </x:row>
    <x:row r="6982" ht="21" customHeight="1">
      <x:c r="A6982" s="10" t="n">
        <x:v>46293</x:v>
      </x:c>
      <x:c r="B6982" s="1" t="n">
        <x:v>23</x:v>
      </x:c>
      <x:c r="C6982" s="1" t="n">
        <x:v>6</x:v>
      </x:c>
      <x:c r="D6982" s="12" t="n">
        <x:v>0</x:v>
      </x:c>
      <x:c r="E6982" s="12" t="n">
        <x:v>0.3159166666666666</x:v>
      </x:c>
      <x:c r="F6982" s="12" t="n">
        <x:v>0.3154166666666666</x:v>
      </x:c>
      <x:c r="G6982" s="12" t="n">
        <x:v>0</x:v>
      </x:c>
      <x:c r="H6982" s="1" t="n">
        <x:f>'Historical prices'!E6982</x:f>
        <x:v>1.05</x:v>
      </x:c>
      <x:c r="I6982" s="6" t="n">
        <x:f>'Historical prices'!D6982</x:f>
        <x:v>0.3148</x:v>
      </x:c>
      <x:c r="J6982" s="13" t="n">
        <x:f>D6982*I6982*H6982</x:f>
        <x:v>0</x:v>
      </x:c>
      <x:c r="K6982" s="13" t="n">
        <x:f>E6982*I6982*H6982</x:f>
        <x:v>0.104423095</x:v>
      </x:c>
      <x:c r="L6982" s="1" t="str">
        <x:f>TEXT(A6982,"mmm yyyy")</x:f>
        <x:v>Sep 2026</x:v>
      </x:c>
    </x:row>
    <x:row r="6983" ht="21" customHeight="1">
      <x:c r="A6983" s="10" t="n">
        <x:v>46293</x:v>
      </x:c>
      <x:c r="B6983" s="1" t="n">
        <x:v>23.5</x:v>
      </x:c>
      <x:c r="C6983" s="1" t="n">
        <x:v>6</x:v>
      </x:c>
      <x:c r="D6983" s="12" t="n">
        <x:v>0</x:v>
      </x:c>
      <x:c r="E6983" s="12" t="n">
        <x:v>0.258</x:v>
      </x:c>
      <x:c r="F6983" s="12" t="n">
        <x:v>0.25766666666666665</x:v>
      </x:c>
      <x:c r="G6983" s="12" t="n">
        <x:v>0</x:v>
      </x:c>
      <x:c r="H6983" s="1" t="n">
        <x:f>'Historical prices'!E6983</x:f>
        <x:v>1.05</x:v>
      </x:c>
      <x:c r="I6983" s="6" t="n">
        <x:f>'Historical prices'!D6983</x:f>
        <x:v>0.3068</x:v>
      </x:c>
      <x:c r="J6983" s="13" t="n">
        <x:f>D6983*I6983*H6983</x:f>
        <x:v>0</x:v>
      </x:c>
      <x:c r="K6983" s="13" t="n">
        <x:f>E6983*I6983*H6983</x:f>
        <x:v>0.08311212</x:v>
      </x:c>
      <x:c r="L6983" s="1" t="str">
        <x:f>TEXT(A6983,"mmm yyyy")</x:f>
        <x:v>Sep 2026</x:v>
      </x:c>
    </x:row>
    <x:row r="6984" ht="21" customHeight="1">
      <x:c r="A6984" s="10" t="n">
        <x:v>46294</x:v>
      </x:c>
      <x:c r="B6984" s="1" t="n">
        <x:v>0</x:v>
      </x:c>
      <x:c r="C6984" s="1" t="n">
        <x:v>6</x:v>
      </x:c>
      <x:c r="D6984" s="12" t="n">
        <x:v>0</x:v>
      </x:c>
      <x:c r="E6984" s="12" t="n">
        <x:v>0.3</x:v>
      </x:c>
      <x:c r="F6984" s="12" t="n">
        <x:v>0.2995833333333333</x:v>
      </x:c>
      <x:c r="G6984" s="12" t="n">
        <x:v>0</x:v>
      </x:c>
      <x:c r="H6984" s="1" t="n">
        <x:f>'Historical prices'!E6984</x:f>
        <x:v>1.05</x:v>
      </x:c>
      <x:c r="I6984" s="6" t="n">
        <x:f>'Historical prices'!D6984</x:f>
        <x:v>0.278</x:v>
      </x:c>
      <x:c r="J6984" s="13" t="n">
        <x:f>D6984*I6984*H6984</x:f>
        <x:v>0</x:v>
      </x:c>
      <x:c r="K6984" s="13" t="n">
        <x:f>E6984*I6984*H6984</x:f>
        <x:v>0.08757000000000001</x:v>
      </x:c>
      <x:c r="L6984" s="1" t="str">
        <x:f>TEXT(A6984,"mmm yyyy")</x:f>
        <x:v>Sep 2026</x:v>
      </x:c>
    </x:row>
    <x:row r="6985" ht="21" customHeight="1">
      <x:c r="A6985" s="10" t="n">
        <x:v>46294</x:v>
      </x:c>
      <x:c r="B6985" s="1" t="n">
        <x:v>0.5</x:v>
      </x:c>
      <x:c r="C6985" s="1" t="n">
        <x:v>6</x:v>
      </x:c>
      <x:c r="D6985" s="12" t="n">
        <x:v>0</x:v>
      </x:c>
      <x:c r="E6985" s="12" t="n">
        <x:v>0.35200000000000004</x:v>
      </x:c>
      <x:c r="F6985" s="12" t="n">
        <x:v>0.35183333333333333</x:v>
      </x:c>
      <x:c r="G6985" s="12" t="n">
        <x:v>0</x:v>
      </x:c>
      <x:c r="H6985" s="1" t="n">
        <x:f>'Historical prices'!E6985</x:f>
        <x:v>1.05</x:v>
      </x:c>
      <x:c r="I6985" s="6" t="n">
        <x:f>'Historical prices'!D6985</x:f>
        <x:v>0.2713</x:v>
      </x:c>
      <x:c r="J6985" s="13" t="n">
        <x:f>D6985*I6985*H6985</x:f>
        <x:v>0</x:v>
      </x:c>
      <x:c r="K6985" s="13" t="n">
        <x:f>E6985*I6985*H6985</x:f>
        <x:v>0.10027248000000001</x:v>
      </x:c>
      <x:c r="L6985" s="1" t="str">
        <x:f>TEXT(A6985,"mmm yyyy")</x:f>
        <x:v>Sep 2026</x:v>
      </x:c>
    </x:row>
    <x:row r="6986" ht="21" customHeight="1">
      <x:c r="A6986" s="10" t="n">
        <x:v>46294</x:v>
      </x:c>
      <x:c r="B6986" s="1" t="n">
        <x:v>1</x:v>
      </x:c>
      <x:c r="C6986" s="1" t="n">
        <x:v>6</x:v>
      </x:c>
      <x:c r="D6986" s="12" t="n">
        <x:v>0</x:v>
      </x:c>
      <x:c r="E6986" s="12" t="n">
        <x:v>0.28508333333333336</x:v>
      </x:c>
      <x:c r="F6986" s="12" t="n">
        <x:v>0.28441666666666665</x:v>
      </x:c>
      <x:c r="G6986" s="12" t="n">
        <x:v>0</x:v>
      </x:c>
      <x:c r="H6986" s="1" t="n">
        <x:f>'Historical prices'!E6986</x:f>
        <x:v>1.05</x:v>
      </x:c>
      <x:c r="I6986" s="6" t="n">
        <x:f>'Historical prices'!D6986</x:f>
        <x:v>0.2755</x:v>
      </x:c>
      <x:c r="J6986" s="13" t="n">
        <x:f>D6986*I6986*H6986</x:f>
        <x:v>0</x:v>
      </x:c>
      <x:c r="K6986" s="13" t="n">
        <x:f>E6986*I6986*H6986</x:f>
        <x:v>0.08246748125000002</x:v>
      </x:c>
      <x:c r="L6986" s="1" t="str">
        <x:f>TEXT(A6986,"mmm yyyy")</x:f>
        <x:v>Sep 2026</x:v>
      </x:c>
    </x:row>
    <x:row r="6987" ht="21" customHeight="1">
      <x:c r="A6987" s="10" t="n">
        <x:v>46294</x:v>
      </x:c>
      <x:c r="B6987" s="1" t="n">
        <x:v>1.5</x:v>
      </x:c>
      <x:c r="C6987" s="1" t="n">
        <x:v>6</x:v>
      </x:c>
      <x:c r="D6987" s="12" t="n">
        <x:v>0</x:v>
      </x:c>
      <x:c r="E6987" s="12" t="n">
        <x:v>0.36391666666666667</x:v>
      </x:c>
      <x:c r="F6987" s="12" t="n">
        <x:v>0.36358333333333337</x:v>
      </x:c>
      <x:c r="G6987" s="12" t="n">
        <x:v>0</x:v>
      </x:c>
      <x:c r="H6987" s="1" t="n">
        <x:f>'Historical prices'!E6987</x:f>
        <x:v>1.05</x:v>
      </x:c>
      <x:c r="I6987" s="6" t="n">
        <x:f>'Historical prices'!D6987</x:f>
        <x:v>0.2648</x:v>
      </x:c>
      <x:c r="J6987" s="13" t="n">
        <x:f>D6987*I6987*H6987</x:f>
        <x:v>0</x:v>
      </x:c>
      <x:c r="K6987" s="13" t="n">
        <x:f>E6987*I6987*H6987</x:f>
        <x:v>0.10118339</x:v>
      </x:c>
      <x:c r="L6987" s="1" t="str">
        <x:f>TEXT(A6987,"mmm yyyy")</x:f>
        <x:v>Sep 2026</x:v>
      </x:c>
    </x:row>
    <x:row r="6988" ht="21" customHeight="1">
      <x:c r="A6988" s="10" t="n">
        <x:v>46294</x:v>
      </x:c>
      <x:c r="B6988" s="1" t="n">
        <x:v>2</x:v>
      </x:c>
      <x:c r="C6988" s="1" t="n">
        <x:v>6</x:v>
      </x:c>
      <x:c r="D6988" s="12" t="n">
        <x:v>0</x:v>
      </x:c>
      <x:c r="E6988" s="12" t="n">
        <x:v>0.29824999999999996</x:v>
      </x:c>
      <x:c r="F6988" s="12" t="n">
        <x:v>0.29775</x:v>
      </x:c>
      <x:c r="G6988" s="12" t="n">
        <x:v>0</x:v>
      </x:c>
      <x:c r="H6988" s="1" t="n">
        <x:f>'Historical prices'!E6988</x:f>
        <x:v>1.05</x:v>
      </x:c>
      <x:c r="I6988" s="6" t="n">
        <x:f>'Historical prices'!D6988</x:f>
        <x:v>0.2648</x:v>
      </x:c>
      <x:c r="J6988" s="13" t="n">
        <x:f>D6988*I6988*H6988</x:f>
        <x:v>0</x:v>
      </x:c>
      <x:c r="K6988" s="13" t="n">
        <x:f>E6988*I6988*H6988</x:f>
        <x:v>0.08292542999999998</x:v>
      </x:c>
      <x:c r="L6988" s="1" t="str">
        <x:f>TEXT(A6988,"mmm yyyy")</x:f>
        <x:v>Sep 2026</x:v>
      </x:c>
    </x:row>
    <x:row r="6989" ht="21" customHeight="1">
      <x:c r="A6989" s="10" t="n">
        <x:v>46294</x:v>
      </x:c>
      <x:c r="B6989" s="1" t="n">
        <x:v>2.5</x:v>
      </x:c>
      <x:c r="C6989" s="1" t="n">
        <x:v>6</x:v>
      </x:c>
      <x:c r="D6989" s="12" t="n">
        <x:v>0</x:v>
      </x:c>
      <x:c r="E6989" s="12" t="n">
        <x:v>0.30083333333333334</x:v>
      </x:c>
      <x:c r="F6989" s="12" t="n">
        <x:v>0.3005833333333333</x:v>
      </x:c>
      <x:c r="G6989" s="12" t="n">
        <x:v>0</x:v>
      </x:c>
      <x:c r="H6989" s="1" t="n">
        <x:f>'Historical prices'!E6989</x:f>
        <x:v>1.05</x:v>
      </x:c>
      <x:c r="I6989" s="6" t="n">
        <x:f>'Historical prices'!D6989</x:f>
        <x:v>0.2638</x:v>
      </x:c>
      <x:c r="J6989" s="13" t="n">
        <x:f>D6989*I6989*H6989</x:f>
        <x:v>0</x:v>
      </x:c>
      <x:c r="K6989" s="13" t="n">
        <x:f>E6989*I6989*H6989</x:f>
        <x:v>0.083327825</x:v>
      </x:c>
      <x:c r="L6989" s="1" t="str">
        <x:f>TEXT(A6989,"mmm yyyy")</x:f>
        <x:v>Sep 2026</x:v>
      </x:c>
    </x:row>
    <x:row r="6990" ht="21" customHeight="1">
      <x:c r="A6990" s="10" t="n">
        <x:v>46294</x:v>
      </x:c>
      <x:c r="B6990" s="1" t="n">
        <x:v>3</x:v>
      </x:c>
      <x:c r="C6990" s="1" t="n">
        <x:v>6</x:v>
      </x:c>
      <x:c r="D6990" s="12" t="n">
        <x:v>0</x:v>
      </x:c>
      <x:c r="E6990" s="12" t="n">
        <x:v>0.2906666666666667</x:v>
      </x:c>
      <x:c r="F6990" s="12" t="n">
        <x:v>0.2905833333333333</x:v>
      </x:c>
      <x:c r="G6990" s="12" t="n">
        <x:v>0</x:v>
      </x:c>
      <x:c r="H6990" s="1" t="n">
        <x:f>'Historical prices'!E6990</x:f>
        <x:v>1.05</x:v>
      </x:c>
      <x:c r="I6990" s="6" t="n">
        <x:f>'Historical prices'!D6990</x:f>
        <x:v>0.264</x:v>
      </x:c>
      <x:c r="J6990" s="13" t="n">
        <x:f>D6990*I6990*H6990</x:f>
        <x:v>0</x:v>
      </x:c>
      <x:c r="K6990" s="13" t="n">
        <x:f>E6990*I6990*H6990</x:f>
        <x:v>0.08057280000000001</x:v>
      </x:c>
      <x:c r="L6990" s="1" t="str">
        <x:f>TEXT(A6990,"mmm yyyy")</x:f>
        <x:v>Sep 2026</x:v>
      </x:c>
    </x:row>
    <x:row r="6991" ht="21" customHeight="1">
      <x:c r="A6991" s="10" t="n">
        <x:v>46294</x:v>
      </x:c>
      <x:c r="B6991" s="1" t="n">
        <x:v>3.5</x:v>
      </x:c>
      <x:c r="C6991" s="1" t="n">
        <x:v>6</x:v>
      </x:c>
      <x:c r="D6991" s="12" t="n">
        <x:v>0</x:v>
      </x:c>
      <x:c r="E6991" s="12" t="n">
        <x:v>0.3180833333333334</x:v>
      </x:c>
      <x:c r="F6991" s="12" t="n">
        <x:v>0.31749999999999995</x:v>
      </x:c>
      <x:c r="G6991" s="12" t="n">
        <x:v>0</x:v>
      </x:c>
      <x:c r="H6991" s="1" t="n">
        <x:f>'Historical prices'!E6991</x:f>
        <x:v>1.05</x:v>
      </x:c>
      <x:c r="I6991" s="6" t="n">
        <x:f>'Historical prices'!D6991</x:f>
        <x:v>0.255</x:v>
      </x:c>
      <x:c r="J6991" s="13" t="n">
        <x:f>D6991*I6991*H6991</x:f>
        <x:v>0</x:v>
      </x:c>
      <x:c r="K6991" s="13" t="n">
        <x:f>E6991*I6991*H6991</x:f>
        <x:v>0.08516681250000001</x:v>
      </x:c>
      <x:c r="L6991" s="1" t="str">
        <x:f>TEXT(A6991,"mmm yyyy")</x:f>
        <x:v>Sep 2026</x:v>
      </x:c>
    </x:row>
    <x:row r="6992" ht="21" customHeight="1">
      <x:c r="A6992" s="10" t="n">
        <x:v>46294</x:v>
      </x:c>
      <x:c r="B6992" s="1" t="n">
        <x:v>4</x:v>
      </x:c>
      <x:c r="C6992" s="1" t="n">
        <x:v>6</x:v>
      </x:c>
      <x:c r="D6992" s="12" t="n">
        <x:v>0</x:v>
      </x:c>
      <x:c r="E6992" s="12" t="n">
        <x:v>0.27</x:v>
      </x:c>
      <x:c r="F6992" s="12" t="n">
        <x:v>0.26941666666666664</x:v>
      </x:c>
      <x:c r="G6992" s="12" t="n">
        <x:v>0</x:v>
      </x:c>
      <x:c r="H6992" s="1" t="n">
        <x:f>'Historical prices'!E6992</x:f>
        <x:v>1.05</x:v>
      </x:c>
      <x:c r="I6992" s="6" t="n">
        <x:f>'Historical prices'!D6992</x:f>
        <x:v>0.2647</x:v>
      </x:c>
      <x:c r="J6992" s="13" t="n">
        <x:f>D6992*I6992*H6992</x:f>
        <x:v>0</x:v>
      </x:c>
      <x:c r="K6992" s="13" t="n">
        <x:f>E6992*I6992*H6992</x:f>
        <x:v>0.07504245000000001</x:v>
      </x:c>
      <x:c r="L6992" s="1" t="str">
        <x:f>TEXT(A6992,"mmm yyyy")</x:f>
        <x:v>Sep 2026</x:v>
      </x:c>
    </x:row>
    <x:row r="6993" ht="21" customHeight="1">
      <x:c r="A6993" s="10" t="n">
        <x:v>46294</x:v>
      </x:c>
      <x:c r="B6993" s="1" t="n">
        <x:v>4.5</x:v>
      </x:c>
      <x:c r="C6993" s="1" t="n">
        <x:v>6</x:v>
      </x:c>
      <x:c r="D6993" s="12" t="n">
        <x:v>0.04866666666666667</x:v>
      </x:c>
      <x:c r="E6993" s="12" t="n">
        <x:v>0.29224999999999995</x:v>
      </x:c>
      <x:c r="F6993" s="12" t="n">
        <x:v>0.2435</x:v>
      </x:c>
      <x:c r="G6993" s="12" t="n">
        <x:v>0</x:v>
      </x:c>
      <x:c r="H6993" s="1" t="n">
        <x:f>'Historical prices'!E6993</x:f>
        <x:v>1.05</x:v>
      </x:c>
      <x:c r="I6993" s="6" t="n">
        <x:f>'Historical prices'!D6993</x:f>
        <x:v>0.2647</x:v>
      </x:c>
      <x:c r="J6993" s="13" t="n">
        <x:f>D6993*I6993*H6993</x:f>
        <x:v>0.01352617</x:v>
      </x:c>
      <x:c r="K6993" s="13" t="n">
        <x:f>E6993*I6993*H6993</x:f>
        <x:v>0.08122650374999998</x:v>
      </x:c>
      <x:c r="L6993" s="1" t="str">
        <x:f>TEXT(A6993,"mmm yyyy")</x:f>
        <x:v>Sep 2026</x:v>
      </x:c>
    </x:row>
    <x:row r="6994" ht="21" customHeight="1">
      <x:c r="A6994" s="10" t="n">
        <x:v>46294</x:v>
      </x:c>
      <x:c r="B6994" s="1" t="n">
        <x:v>5</x:v>
      </x:c>
      <x:c r="C6994" s="1" t="n">
        <x:v>6</x:v>
      </x:c>
      <x:c r="D6994" s="12" t="n">
        <x:v>0</x:v>
      </x:c>
      <x:c r="E6994" s="12" t="n">
        <x:v>0.3379166666666667</x:v>
      </x:c>
      <x:c r="F6994" s="12" t="n">
        <x:v>0.3374166666666667</x:v>
      </x:c>
      <x:c r="G6994" s="12" t="n">
        <x:v>0</x:v>
      </x:c>
      <x:c r="H6994" s="1" t="n">
        <x:f>'Historical prices'!E6994</x:f>
        <x:v>1.05</x:v>
      </x:c>
      <x:c r="I6994" s="6" t="n">
        <x:f>'Historical prices'!D6994</x:f>
        <x:v>0.2862</x:v>
      </x:c>
      <x:c r="J6994" s="13" t="n">
        <x:f>D6994*I6994*H6994</x:f>
        <x:v>0</x:v>
      </x:c>
      <x:c r="K6994" s="13" t="n">
        <x:f>E6994*I6994*H6994</x:f>
        <x:v>0.10154733750000002</x:v>
      </x:c>
      <x:c r="L6994" s="1" t="str">
        <x:f>TEXT(A6994,"mmm yyyy")</x:f>
        <x:v>Sep 2026</x:v>
      </x:c>
    </x:row>
    <x:row r="6995" ht="21" customHeight="1">
      <x:c r="A6995" s="10" t="n">
        <x:v>46294</x:v>
      </x:c>
      <x:c r="B6995" s="1" t="n">
        <x:v>5.5</x:v>
      </x:c>
      <x:c r="C6995" s="1" t="n">
        <x:v>6</x:v>
      </x:c>
      <x:c r="D6995" s="12" t="n">
        <x:v>0</x:v>
      </x:c>
      <x:c r="E6995" s="12" t="n">
        <x:v>0.5136666666666666</x:v>
      </x:c>
      <x:c r="F6995" s="12" t="n">
        <x:v>0.5131666666666665</x:v>
      </x:c>
      <x:c r="G6995" s="12" t="n">
        <x:v>0</x:v>
      </x:c>
      <x:c r="H6995" s="1" t="n">
        <x:f>'Historical prices'!E6995</x:f>
        <x:v>1.05</x:v>
      </x:c>
      <x:c r="I6995" s="6" t="n">
        <x:f>'Historical prices'!D6995</x:f>
        <x:v>0.29359999999999997</x:v>
      </x:c>
      <x:c r="J6995" s="13" t="n">
        <x:f>D6995*I6995*H6995</x:f>
        <x:v>0</x:v>
      </x:c>
      <x:c r="K6995" s="13" t="n">
        <x:f>E6995*I6995*H6995</x:f>
        <x:v>0.15835315999999997</x:v>
      </x:c>
      <x:c r="L6995" s="1" t="str">
        <x:f>TEXT(A6995,"mmm yyyy")</x:f>
        <x:v>Sep 2026</x:v>
      </x:c>
    </x:row>
    <x:row r="6996" ht="21" customHeight="1">
      <x:c r="A6996" s="10" t="n">
        <x:v>46294</x:v>
      </x:c>
      <x:c r="B6996" s="1" t="n">
        <x:v>6</x:v>
      </x:c>
      <x:c r="C6996" s="1" t="n">
        <x:v>6</x:v>
      </x:c>
      <x:c r="D6996" s="12" t="n">
        <x:v>0</x:v>
      </x:c>
      <x:c r="E6996" s="12" t="n">
        <x:v>0.3750833333333333</x:v>
      </x:c>
      <x:c r="F6996" s="12" t="n">
        <x:v>0.3745833333333334</x:v>
      </x:c>
      <x:c r="G6996" s="12" t="n">
        <x:v>0</x:v>
      </x:c>
      <x:c r="H6996" s="1" t="n">
        <x:f>'Historical prices'!E6996</x:f>
        <x:v>1.05</x:v>
      </x:c>
      <x:c r="I6996" s="6" t="n">
        <x:f>'Historical prices'!D6996</x:f>
        <x:v>0.32689999999999997</x:v>
      </x:c>
      <x:c r="J6996" s="13" t="n">
        <x:f>D6996*I6996*H6996</x:f>
        <x:v>0</x:v>
      </x:c>
      <x:c r="K6996" s="13" t="n">
        <x:f>E6996*I6996*H6996</x:f>
        <x:v>0.12874547875</x:v>
      </x:c>
      <x:c r="L6996" s="1" t="str">
        <x:f>TEXT(A6996,"mmm yyyy")</x:f>
        <x:v>Sep 2026</x:v>
      </x:c>
    </x:row>
    <x:row r="6997" ht="21" customHeight="1">
      <x:c r="A6997" s="10" t="n">
        <x:v>46294</x:v>
      </x:c>
      <x:c r="B6997" s="1" t="n">
        <x:v>6.5</x:v>
      </x:c>
      <x:c r="C6997" s="1" t="n">
        <x:v>6</x:v>
      </x:c>
      <x:c r="D6997" s="12" t="n">
        <x:v>0</x:v>
      </x:c>
      <x:c r="E6997" s="12" t="n">
        <x:v>0.4521666666666667</x:v>
      </x:c>
      <x:c r="F6997" s="12" t="n">
        <x:v>0.4515833333333334</x:v>
      </x:c>
      <x:c r="G6997" s="12" t="n">
        <x:v>0</x:v>
      </x:c>
      <x:c r="H6997" s="1" t="n">
        <x:f>'Historical prices'!E6997</x:f>
        <x:v>1.05</x:v>
      </x:c>
      <x:c r="I6997" s="6" t="n">
        <x:f>'Historical prices'!D6997</x:f>
        <x:v>0.35700000000000004</x:v>
      </x:c>
      <x:c r="J6997" s="13" t="n">
        <x:f>D6997*I6997*H6997</x:f>
        <x:v>0</x:v>
      </x:c>
      <x:c r="K6997" s="13" t="n">
        <x:f>E6997*I6997*H6997</x:f>
        <x:v>0.16949467500000004</x:v>
      </x:c>
      <x:c r="L6997" s="1" t="str">
        <x:f>TEXT(A6997,"mmm yyyy")</x:f>
        <x:v>Sep 2026</x:v>
      </x:c>
    </x:row>
    <x:row r="6998" ht="21" customHeight="1">
      <x:c r="A6998" s="10" t="n">
        <x:v>46294</x:v>
      </x:c>
      <x:c r="B6998" s="1" t="n">
        <x:v>7</x:v>
      </x:c>
      <x:c r="C6998" s="1" t="n">
        <x:v>6</x:v>
      </x:c>
      <x:c r="D6998" s="12" t="n">
        <x:v>0</x:v>
      </x:c>
      <x:c r="E6998" s="12" t="n">
        <x:v>0.41808333333333336</x:v>
      </x:c>
      <x:c r="F6998" s="12" t="n">
        <x:v>0.41783333333333333</x:v>
      </x:c>
      <x:c r="G6998" s="12" t="n">
        <x:v>0</x:v>
      </x:c>
      <x:c r="H6998" s="1" t="n">
        <x:f>'Historical prices'!E6998</x:f>
        <x:v>1.05</x:v>
      </x:c>
      <x:c r="I6998" s="6" t="n">
        <x:f>'Historical prices'!D6998</x:f>
        <x:v>0.35009999999999997</x:v>
      </x:c>
      <x:c r="J6998" s="13" t="n">
        <x:f>D6998*I6998*H6998</x:f>
        <x:v>0</x:v>
      </x:c>
      <x:c r="K6998" s="13" t="n">
        <x:f>E6998*I6998*H6998</x:f>
        <x:v>0.15368952375</x:v>
      </x:c>
      <x:c r="L6998" s="1" t="str">
        <x:f>TEXT(A6998,"mmm yyyy")</x:f>
        <x:v>Sep 2026</x:v>
      </x:c>
    </x:row>
    <x:row r="6999" ht="21" customHeight="1">
      <x:c r="A6999" s="10" t="n">
        <x:v>46294</x:v>
      </x:c>
      <x:c r="B6999" s="1" t="n">
        <x:v>7.5</x:v>
      </x:c>
      <x:c r="C6999" s="1" t="n">
        <x:v>6</x:v>
      </x:c>
      <x:c r="D6999" s="12" t="n">
        <x:v>0</x:v>
      </x:c>
      <x:c r="E6999" s="12" t="n">
        <x:v>0.5125833333333334</x:v>
      </x:c>
      <x:c r="F6999" s="12" t="n">
        <x:v>0.5053333333333333</x:v>
      </x:c>
      <x:c r="G6999" s="12" t="n">
        <x:v>0</x:v>
      </x:c>
      <x:c r="H6999" s="1" t="n">
        <x:f>'Historical prices'!E6999</x:f>
        <x:v>1.05</x:v>
      </x:c>
      <x:c r="I6999" s="6" t="n">
        <x:f>'Historical prices'!D6999</x:f>
        <x:v>0.35700000000000004</x:v>
      </x:c>
      <x:c r="J6999" s="13" t="n">
        <x:f>D6999*I6999*H6999</x:f>
        <x:v>0</x:v>
      </x:c>
      <x:c r="K6999" s="13" t="n">
        <x:f>E6999*I6999*H6999</x:f>
        <x:v>0.19214186250000007</x:v>
      </x:c>
      <x:c r="L6999" s="1" t="str">
        <x:f>TEXT(A6999,"mmm yyyy")</x:f>
        <x:v>Sep 2026</x:v>
      </x:c>
    </x:row>
    <x:row r="7000" ht="21" customHeight="1">
      <x:c r="A7000" s="10" t="n">
        <x:v>46294</x:v>
      </x:c>
      <x:c r="B7000" s="1" t="n">
        <x:v>8</x:v>
      </x:c>
      <x:c r="C7000" s="1" t="n">
        <x:v>6</x:v>
      </x:c>
      <x:c r="D7000" s="12" t="n">
        <x:v>0</x:v>
      </x:c>
      <x:c r="E7000" s="12" t="n">
        <x:v>0.5618333333333333</x:v>
      </x:c>
      <x:c r="F7000" s="12" t="n">
        <x:v>0.5614166666666667</x:v>
      </x:c>
      <x:c r="G7000" s="12" t="n">
        <x:v>0</x:v>
      </x:c>
      <x:c r="H7000" s="1" t="n">
        <x:f>'Historical prices'!E7000</x:f>
        <x:v>1.05</x:v>
      </x:c>
      <x:c r="I7000" s="6" t="n">
        <x:f>'Historical prices'!D7000</x:f>
        <x:v>0.3159</x:v>
      </x:c>
      <x:c r="J7000" s="13" t="n">
        <x:f>D7000*I7000*H7000</x:f>
        <x:v>0</x:v>
      </x:c>
      <x:c r="K7000" s="13" t="n">
        <x:f>E7000*I7000*H7000</x:f>
        <x:v>0.1863573075</x:v>
      </x:c>
      <x:c r="L7000" s="1" t="str">
        <x:f>TEXT(A7000,"mmm yyyy")</x:f>
        <x:v>Sep 2026</x:v>
      </x:c>
    </x:row>
    <x:row r="7001" ht="21" customHeight="1">
      <x:c r="A7001" s="10" t="n">
        <x:v>46294</x:v>
      </x:c>
      <x:c r="B7001" s="1" t="n">
        <x:v>8.5</x:v>
      </x:c>
      <x:c r="C7001" s="1" t="n">
        <x:v>6</x:v>
      </x:c>
      <x:c r="D7001" s="12" t="n">
        <x:v>0</x:v>
      </x:c>
      <x:c r="E7001" s="12" t="n">
        <x:v>0.6008333333333333</x:v>
      </x:c>
      <x:c r="F7001" s="12" t="n">
        <x:v>0.6005833333333332</x:v>
      </x:c>
      <x:c r="G7001" s="12" t="n">
        <x:v>0</x:v>
      </x:c>
      <x:c r="H7001" s="1" t="n">
        <x:f>'Historical prices'!E7001</x:f>
        <x:v>1.05</x:v>
      </x:c>
      <x:c r="I7001" s="6" t="n">
        <x:f>'Historical prices'!D7001</x:f>
        <x:v>0.3045</x:v>
      </x:c>
      <x:c r="J7001" s="13" t="n">
        <x:f>D7001*I7001*H7001</x:f>
        <x:v>0</x:v>
      </x:c>
      <x:c r="K7001" s="13" t="n">
        <x:f>E7001*I7001*H7001</x:f>
        <x:v>0.1921014375</x:v>
      </x:c>
      <x:c r="L7001" s="1" t="str">
        <x:f>TEXT(A7001,"mmm yyyy")</x:f>
        <x:v>Sep 2026</x:v>
      </x:c>
    </x:row>
    <x:row r="7002" ht="21" customHeight="1">
      <x:c r="A7002" s="10" t="n">
        <x:v>46294</x:v>
      </x:c>
      <x:c r="B7002" s="1" t="n">
        <x:v>9</x:v>
      </x:c>
      <x:c r="C7002" s="1" t="n">
        <x:v>6</x:v>
      </x:c>
      <x:c r="D7002" s="12" t="n">
        <x:v>0</x:v>
      </x:c>
      <x:c r="E7002" s="12" t="n">
        <x:v>0.5441666666666667</x:v>
      </x:c>
      <x:c r="F7002" s="12" t="n">
        <x:v>0.5435</x:v>
      </x:c>
      <x:c r="G7002" s="12" t="n">
        <x:v>0</x:v>
      </x:c>
      <x:c r="H7002" s="1" t="n">
        <x:f>'Historical prices'!E7002</x:f>
        <x:v>1.05</x:v>
      </x:c>
      <x:c r="I7002" s="6" t="n">
        <x:f>'Historical prices'!D7002</x:f>
        <x:v>0.309</x:v>
      </x:c>
      <x:c r="J7002" s="13" t="n">
        <x:f>D7002*I7002*H7002</x:f>
        <x:v>0</x:v>
      </x:c>
      <x:c r="K7002" s="13" t="n">
        <x:f>E7002*I7002*H7002</x:f>
        <x:v>0.176554875</x:v>
      </x:c>
      <x:c r="L7002" s="1" t="str">
        <x:f>TEXT(A7002,"mmm yyyy")</x:f>
        <x:v>Sep 2026</x:v>
      </x:c>
    </x:row>
    <x:row r="7003" ht="21" customHeight="1">
      <x:c r="A7003" s="10" t="n">
        <x:v>46294</x:v>
      </x:c>
      <x:c r="B7003" s="1" t="n">
        <x:v>9.5</x:v>
      </x:c>
      <x:c r="C7003" s="1" t="n">
        <x:v>6</x:v>
      </x:c>
      <x:c r="D7003" s="12" t="n">
        <x:v>0</x:v>
      </x:c>
      <x:c r="E7003" s="12" t="n">
        <x:v>0.566</x:v>
      </x:c>
      <x:c r="F7003" s="12" t="n">
        <x:v>0.5654166666666667</x:v>
      </x:c>
      <x:c r="G7003" s="12" t="n">
        <x:v>0</x:v>
      </x:c>
      <x:c r="H7003" s="1" t="n">
        <x:f>'Historical prices'!E7003</x:f>
        <x:v>1.05</x:v>
      </x:c>
      <x:c r="I7003" s="6" t="n">
        <x:f>'Historical prices'!D7003</x:f>
        <x:v>0.3062</x:v>
      </x:c>
      <x:c r="J7003" s="13" t="n">
        <x:f>D7003*I7003*H7003</x:f>
        <x:v>0</x:v>
      </x:c>
      <x:c r="K7003" s="13" t="n">
        <x:f>E7003*I7003*H7003</x:f>
        <x:v>0.18197466</x:v>
      </x:c>
      <x:c r="L7003" s="1" t="str">
        <x:f>TEXT(A7003,"mmm yyyy")</x:f>
        <x:v>Sep 2026</x:v>
      </x:c>
    </x:row>
    <x:row r="7004" ht="21" customHeight="1">
      <x:c r="A7004" s="10" t="n">
        <x:v>46294</x:v>
      </x:c>
      <x:c r="B7004" s="1" t="n">
        <x:v>10</x:v>
      </x:c>
      <x:c r="C7004" s="1" t="n">
        <x:v>6</x:v>
      </x:c>
      <x:c r="D7004" s="12" t="n">
        <x:v>0</x:v>
      </x:c>
      <x:c r="E7004" s="12" t="n">
        <x:v>0.5849166666666668</x:v>
      </x:c>
      <x:c r="F7004" s="12" t="n">
        <x:v>0.5845</x:v>
      </x:c>
      <x:c r="G7004" s="12" t="n">
        <x:v>0</x:v>
      </x:c>
      <x:c r="H7004" s="1" t="n">
        <x:f>'Historical prices'!E7004</x:f>
        <x:v>1.05</x:v>
      </x:c>
      <x:c r="I7004" s="6" t="n">
        <x:f>'Historical prices'!D7004</x:f>
        <x:v>0.264</x:v>
      </x:c>
      <x:c r="J7004" s="13" t="n">
        <x:f>D7004*I7004*H7004</x:f>
        <x:v>0</x:v>
      </x:c>
      <x:c r="K7004" s="13" t="n">
        <x:f>E7004*I7004*H7004</x:f>
        <x:v>0.16213890000000003</x:v>
      </x:c>
      <x:c r="L7004" s="1" t="str">
        <x:f>TEXT(A7004,"mmm yyyy")</x:f>
        <x:v>Sep 2026</x:v>
      </x:c>
    </x:row>
    <x:row r="7005" ht="21" customHeight="1">
      <x:c r="A7005" s="10" t="n">
        <x:v>46294</x:v>
      </x:c>
      <x:c r="B7005" s="1" t="n">
        <x:v>10.5</x:v>
      </x:c>
      <x:c r="C7005" s="1" t="n">
        <x:v>6</x:v>
      </x:c>
      <x:c r="D7005" s="12" t="n">
        <x:v>0</x:v>
      </x:c>
      <x:c r="E7005" s="12" t="n">
        <x:v>0.5570833333333333</x:v>
      </x:c>
      <x:c r="F7005" s="12" t="n">
        <x:v>0.5565</x:v>
      </x:c>
      <x:c r="G7005" s="12" t="n">
        <x:v>0</x:v>
      </x:c>
      <x:c r="H7005" s="1" t="n">
        <x:f>'Historical prices'!E7005</x:f>
        <x:v>1.05</x:v>
      </x:c>
      <x:c r="I7005" s="6" t="n">
        <x:f>'Historical prices'!D7005</x:f>
        <x:v>0.23399999999999999</x:v>
      </x:c>
      <x:c r="J7005" s="13" t="n">
        <x:f>D7005*I7005*H7005</x:f>
        <x:v>0</x:v>
      </x:c>
      <x:c r="K7005" s="13" t="n">
        <x:f>E7005*I7005*H7005</x:f>
        <x:v>0.136875375</x:v>
      </x:c>
      <x:c r="L7005" s="1" t="str">
        <x:f>TEXT(A7005,"mmm yyyy")</x:f>
        <x:v>Sep 2026</x:v>
      </x:c>
    </x:row>
    <x:row r="7006" ht="21" customHeight="1">
      <x:c r="A7006" s="10" t="n">
        <x:v>46294</x:v>
      </x:c>
      <x:c r="B7006" s="1" t="n">
        <x:v>11</x:v>
      </x:c>
      <x:c r="C7006" s="1" t="n">
        <x:v>6</x:v>
      </x:c>
      <x:c r="D7006" s="12" t="n">
        <x:v>0</x:v>
      </x:c>
      <x:c r="E7006" s="12" t="n">
        <x:v>0.48425</x:v>
      </x:c>
      <x:c r="F7006" s="12" t="n">
        <x:v>0.4835833333333334</x:v>
      </x:c>
      <x:c r="G7006" s="12" t="n">
        <x:v>0</x:v>
      </x:c>
      <x:c r="H7006" s="1" t="n">
        <x:f>'Historical prices'!E7006</x:f>
        <x:v>1.05</x:v>
      </x:c>
      <x:c r="I7006" s="6" t="n">
        <x:f>'Historical prices'!D7006</x:f>
        <x:v>0.20010000000000003</x:v>
      </x:c>
      <x:c r="J7006" s="13" t="n">
        <x:f>D7006*I7006*H7006</x:f>
        <x:v>0</x:v>
      </x:c>
      <x:c r="K7006" s="13" t="n">
        <x:f>E7006*I7006*H7006</x:f>
        <x:v>0.10174334625000002</x:v>
      </x:c>
      <x:c r="L7006" s="1" t="str">
        <x:f>TEXT(A7006,"mmm yyyy")</x:f>
        <x:v>Sep 2026</x:v>
      </x:c>
    </x:row>
    <x:row r="7007" ht="21" customHeight="1">
      <x:c r="A7007" s="10" t="n">
        <x:v>46294</x:v>
      </x:c>
      <x:c r="B7007" s="1" t="n">
        <x:v>11.5</x:v>
      </x:c>
      <x:c r="C7007" s="1" t="n">
        <x:v>6</x:v>
      </x:c>
      <x:c r="D7007" s="12" t="n">
        <x:v>0.34974999999999995</x:v>
      </x:c>
      <x:c r="E7007" s="12" t="n">
        <x:v>0.4395</x:v>
      </x:c>
      <x:c r="F7007" s="12" t="n">
        <x:v>0.07975</x:v>
      </x:c>
      <x:c r="G7007" s="12" t="n">
        <x:v>0</x:v>
      </x:c>
      <x:c r="H7007" s="1" t="n">
        <x:f>'Historical prices'!E7007</x:f>
        <x:v>1.05</x:v>
      </x:c>
      <x:c r="I7007" s="6" t="n">
        <x:f>'Historical prices'!D7007</x:f>
        <x:v>0.1493</x:v>
      </x:c>
      <x:c r="J7007" s="13" t="n">
        <x:f>D7007*I7007*H7007</x:f>
        <x:v>0.05482855874999999</x:v>
      </x:c>
      <x:c r="K7007" s="13" t="n">
        <x:f>E7007*I7007*H7007</x:f>
        <x:v>0.0688982175</x:v>
      </x:c>
      <x:c r="L7007" s="1" t="str">
        <x:f>TEXT(A7007,"mmm yyyy")</x:f>
        <x:v>Sep 2026</x:v>
      </x:c>
    </x:row>
    <x:row r="7008" ht="21" customHeight="1">
      <x:c r="A7008" s="10" t="n">
        <x:v>46294</x:v>
      </x:c>
      <x:c r="B7008" s="1" t="n">
        <x:v>12</x:v>
      </x:c>
      <x:c r="C7008" s="1" t="n">
        <x:v>6</x:v>
      </x:c>
      <x:c r="D7008" s="12" t="n">
        <x:v>0.40399999999999997</x:v>
      </x:c>
      <x:c r="E7008" s="12" t="n">
        <x:v>0.415</x:v>
      </x:c>
      <x:c r="F7008" s="12" t="n">
        <x:v>0</x:v>
      </x:c>
      <x:c r="G7008" s="12" t="n">
        <x:v>0</x:v>
      </x:c>
      <x:c r="H7008" s="1" t="n">
        <x:f>'Historical prices'!E7008</x:f>
        <x:v>1.05</x:v>
      </x:c>
      <x:c r="I7008" s="6" t="n">
        <x:f>'Historical prices'!D7008</x:f>
        <x:v>0.1499</x:v>
      </x:c>
      <x:c r="J7008" s="13" t="n">
        <x:f>D7008*I7008*H7008</x:f>
        <x:v>0.06358758</x:v>
      </x:c>
      <x:c r="K7008" s="13" t="n">
        <x:f>E7008*I7008*H7008</x:f>
        <x:v>0.065318925</x:v>
      </x:c>
      <x:c r="L7008" s="1" t="str">
        <x:f>TEXT(A7008,"mmm yyyy")</x:f>
        <x:v>Sep 2026</x:v>
      </x:c>
    </x:row>
    <x:row r="7009" ht="21" customHeight="1">
      <x:c r="A7009" s="10" t="n">
        <x:v>46294</x:v>
      </x:c>
      <x:c r="B7009" s="1" t="n">
        <x:v>12.5</x:v>
      </x:c>
      <x:c r="C7009" s="1" t="n">
        <x:v>6</x:v>
      </x:c>
      <x:c r="D7009" s="12" t="n">
        <x:v>4.29075</x:v>
      </x:c>
      <x:c r="E7009" s="12" t="n">
        <x:v>0.6537499999999999</x:v>
      </x:c>
      <x:c r="F7009" s="12" t="n">
        <x:v>0</x:v>
      </x:c>
      <x:c r="G7009" s="12" t="n">
        <x:v>3.639</x:v>
      </x:c>
      <x:c r="H7009" s="1" t="n">
        <x:f>'Historical prices'!E7009</x:f>
        <x:v>1.05</x:v>
      </x:c>
      <x:c r="I7009" s="6" t="n">
        <x:f>'Historical prices'!D7009</x:f>
        <x:v>0.1325</x:v>
      </x:c>
      <x:c r="J7009" s="13" t="n">
        <x:f>D7009*I7009*H7009</x:f>
        <x:v>0.5969505937500001</x:v>
      </x:c>
      <x:c r="K7009" s="13" t="n">
        <x:f>E7009*I7009*H7009</x:f>
        <x:v>0.09095296875</x:v>
      </x:c>
      <x:c r="L7009" s="1" t="str">
        <x:f>TEXT(A7009,"mmm yyyy")</x:f>
        <x:v>Sep 2026</x:v>
      </x:c>
    </x:row>
    <x:row r="7010" ht="21" customHeight="1">
      <x:c r="A7010" s="10" t="n">
        <x:v>46294</x:v>
      </x:c>
      <x:c r="B7010" s="1" t="n">
        <x:v>13</x:v>
      </x:c>
      <x:c r="C7010" s="1" t="n">
        <x:v>6</x:v>
      </x:c>
      <x:c r="D7010" s="12" t="n">
        <x:v>5.04675</x:v>
      </x:c>
      <x:c r="E7010" s="12" t="n">
        <x:v>0.68575</x:v>
      </x:c>
      <x:c r="F7010" s="12" t="n">
        <x:v>0</x:v>
      </x:c>
      <x:c r="G7010" s="12" t="n">
        <x:v>4.361</x:v>
      </x:c>
      <x:c r="H7010" s="1" t="n">
        <x:f>'Historical prices'!E7010</x:f>
        <x:v>1.05</x:v>
      </x:c>
      <x:c r="I7010" s="6" t="n">
        <x:f>'Historical prices'!D7010</x:f>
        <x:v>0.1382</x:v>
      </x:c>
      <x:c r="J7010" s="13" t="n">
        <x:f>D7010*I7010*H7010</x:f>
        <x:v>0.7323338925</x:v>
      </x:c>
      <x:c r="K7010" s="13" t="n">
        <x:f>E7010*I7010*H7010</x:f>
        <x:v>0.09950918249999999</x:v>
      </x:c>
      <x:c r="L7010" s="1" t="str">
        <x:f>TEXT(A7010,"mmm yyyy")</x:f>
        <x:v>Sep 2026</x:v>
      </x:c>
    </x:row>
    <x:row r="7011" ht="21" customHeight="1">
      <x:c r="A7011" s="10" t="n">
        <x:v>46294</x:v>
      </x:c>
      <x:c r="B7011" s="1" t="n">
        <x:v>13.5</x:v>
      </x:c>
      <x:c r="C7011" s="1" t="n">
        <x:v>6</x:v>
      </x:c>
      <x:c r="D7011" s="12" t="n">
        <x:v>5.083749999999999</x:v>
      </x:c>
      <x:c r="E7011" s="12" t="n">
        <x:v>0.69075</x:v>
      </x:c>
      <x:c r="F7011" s="12" t="n">
        <x:v>0</x:v>
      </x:c>
      <x:c r="G7011" s="12" t="n">
        <x:v>4.393</x:v>
      </x:c>
      <x:c r="H7011" s="1" t="n">
        <x:f>'Historical prices'!E7011</x:f>
        <x:v>1.05</x:v>
      </x:c>
      <x:c r="I7011" s="6" t="n">
        <x:f>'Historical prices'!D7011</x:f>
        <x:v>0.11689999999999999</x:v>
      </x:c>
      <x:c r="J7011" s="13" t="n">
        <x:f>D7011*I7011*H7011</x:f>
        <x:v>0.6240048937499998</x:v>
      </x:c>
      <x:c r="K7011" s="13" t="n">
        <x:f>E7011*I7011*H7011</x:f>
        <x:v>0.08478610874999999</x:v>
      </x:c>
      <x:c r="L7011" s="1" t="str">
        <x:f>TEXT(A7011,"mmm yyyy")</x:f>
        <x:v>Sep 2026</x:v>
      </x:c>
    </x:row>
    <x:row r="7012" ht="21" customHeight="1">
      <x:c r="A7012" s="10" t="n">
        <x:v>46294</x:v>
      </x:c>
      <x:c r="B7012" s="1" t="n">
        <x:v>14</x:v>
      </x:c>
      <x:c r="C7012" s="1" t="n">
        <x:v>6</x:v>
      </x:c>
      <x:c r="D7012" s="12" t="n">
        <x:v>1.24425</x:v>
      </x:c>
      <x:c r="E7012" s="12" t="n">
        <x:v>0.52425</x:v>
      </x:c>
      <x:c r="F7012" s="12" t="n">
        <x:v>0</x:v>
      </x:c>
      <x:c r="G7012" s="12" t="n">
        <x:v>0.723</x:v>
      </x:c>
      <x:c r="H7012" s="1" t="n">
        <x:f>'Historical prices'!E7012</x:f>
        <x:v>1.05</x:v>
      </x:c>
      <x:c r="I7012" s="6" t="n">
        <x:f>'Historical prices'!D7012</x:f>
        <x:v>0.1625</x:v>
      </x:c>
      <x:c r="J7012" s="13" t="n">
        <x:f>D7012*I7012*H7012</x:f>
        <x:v>0.21230015625</x:v>
      </x:c>
      <x:c r="K7012" s="13" t="n">
        <x:f>E7012*I7012*H7012</x:f>
        <x:v>0.08945015625000001</x:v>
      </x:c>
      <x:c r="L7012" s="1" t="str">
        <x:f>TEXT(A7012,"mmm yyyy")</x:f>
        <x:v>Sep 2026</x:v>
      </x:c>
    </x:row>
    <x:row r="7013" ht="21" customHeight="1">
      <x:c r="A7013" s="10" t="n">
        <x:v>46294</x:v>
      </x:c>
      <x:c r="B7013" s="1" t="n">
        <x:v>14.5</x:v>
      </x:c>
      <x:c r="C7013" s="1" t="n">
        <x:v>6</x:v>
      </x:c>
      <x:c r="D7013" s="12" t="n">
        <x:v>0.5395</x:v>
      </x:c>
      <x:c r="E7013" s="12" t="n">
        <x:v>0.5555</x:v>
      </x:c>
      <x:c r="F7013" s="12" t="n">
        <x:v>0</x:v>
      </x:c>
      <x:c r="G7013" s="12" t="n">
        <x:v>0</x:v>
      </x:c>
      <x:c r="H7013" s="1" t="n">
        <x:f>'Historical prices'!E7013</x:f>
        <x:v>1.05</x:v>
      </x:c>
      <x:c r="I7013" s="6" t="n">
        <x:f>'Historical prices'!D7013</x:f>
        <x:v>0.17980000000000002</x:v>
      </x:c>
      <x:c r="J7013" s="13" t="n">
        <x:f>D7013*I7013*H7013</x:f>
        <x:v>0.10185220500000002</x:v>
      </x:c>
      <x:c r="K7013" s="13" t="n">
        <x:f>E7013*I7013*H7013</x:f>
        <x:v>0.104872845</x:v>
      </x:c>
      <x:c r="L7013" s="1" t="str">
        <x:f>TEXT(A7013,"mmm yyyy")</x:f>
        <x:v>Sep 2026</x:v>
      </x:c>
    </x:row>
    <x:row r="7014" ht="21" customHeight="1">
      <x:c r="A7014" s="10" t="n">
        <x:v>46294</x:v>
      </x:c>
      <x:c r="B7014" s="1" t="n">
        <x:v>15</x:v>
      </x:c>
      <x:c r="C7014" s="1" t="n">
        <x:v>6</x:v>
      </x:c>
      <x:c r="D7014" s="12" t="n">
        <x:v>0.08</x:v>
      </x:c>
      <x:c r="E7014" s="12" t="n">
        <x:v>0.5551666666666667</x:v>
      </x:c>
      <x:c r="F7014" s="12" t="n">
        <x:v>0.4726666666666667</x:v>
      </x:c>
      <x:c r="G7014" s="12" t="n">
        <x:v>0</x:v>
      </x:c>
      <x:c r="H7014" s="1" t="n">
        <x:f>'Historical prices'!E7014</x:f>
        <x:v>1.05</x:v>
      </x:c>
      <x:c r="I7014" s="6" t="n">
        <x:f>'Historical prices'!D7014</x:f>
        <x:v>0.23079999999999998</x:v>
      </x:c>
      <x:c r="J7014" s="13" t="n">
        <x:f>D7014*I7014*H7014</x:f>
        <x:v>0.019387199999999997</x:v>
      </x:c>
      <x:c r="K7014" s="13" t="n">
        <x:f>E7014*I7014*H7014</x:f>
        <x:v>0.13453909</x:v>
      </x:c>
      <x:c r="L7014" s="1" t="str">
        <x:f>TEXT(A7014,"mmm yyyy")</x:f>
        <x:v>Sep 2026</x:v>
      </x:c>
    </x:row>
    <x:row r="7015" ht="21" customHeight="1">
      <x:c r="A7015" s="10" t="n">
        <x:v>46294</x:v>
      </x:c>
      <x:c r="B7015" s="1" t="n">
        <x:v>15.5</x:v>
      </x:c>
      <x:c r="C7015" s="1" t="n">
        <x:v>6</x:v>
      </x:c>
      <x:c r="D7015" s="12" t="n">
        <x:v>0</x:v>
      </x:c>
      <x:c r="E7015" s="12" t="n">
        <x:v>0.47025</x:v>
      </x:c>
      <x:c r="F7015" s="12" t="n">
        <x:v>0.46950000000000003</x:v>
      </x:c>
      <x:c r="G7015" s="12" t="n">
        <x:v>0</x:v>
      </x:c>
      <x:c r="H7015" s="1" t="n">
        <x:f>'Historical prices'!E7015</x:f>
        <x:v>1.05</x:v>
      </x:c>
      <x:c r="I7015" s="6" t="n">
        <x:f>'Historical prices'!D7015</x:f>
        <x:v>0.2727</x:v>
      </x:c>
      <x:c r="J7015" s="13" t="n">
        <x:f>D7015*I7015*H7015</x:f>
        <x:v>0</x:v>
      </x:c>
      <x:c r="K7015" s="13" t="n">
        <x:f>E7015*I7015*H7015</x:f>
        <x:v>0.13464903375</x:v>
      </x:c>
      <x:c r="L7015" s="1" t="str">
        <x:f>TEXT(A7015,"mmm yyyy")</x:f>
        <x:v>Sep 2026</x:v>
      </x:c>
    </x:row>
    <x:row r="7016" ht="21" customHeight="1">
      <x:c r="A7016" s="10" t="n">
        <x:v>46294</x:v>
      </x:c>
      <x:c r="B7016" s="1" t="n">
        <x:v>16</x:v>
      </x:c>
      <x:c r="C7016" s="1" t="n">
        <x:v>6</x:v>
      </x:c>
      <x:c r="D7016" s="12" t="n">
        <x:v>0</x:v>
      </x:c>
      <x:c r="E7016" s="12" t="n">
        <x:v>0.4489166666666667</x:v>
      </x:c>
      <x:c r="F7016" s="12" t="n">
        <x:v>0.4483333333333333</x:v>
      </x:c>
      <x:c r="G7016" s="12" t="n">
        <x:v>0</x:v>
      </x:c>
      <x:c r="H7016" s="1" t="n">
        <x:f>'Historical prices'!E7016</x:f>
        <x:v>1.05</x:v>
      </x:c>
      <x:c r="I7016" s="6" t="n">
        <x:f>'Historical prices'!D7016</x:f>
        <x:v>0.4226</x:v>
      </x:c>
      <x:c r="J7016" s="13" t="n">
        <x:f>D7016*I7016*H7016</x:f>
        <x:v>0</x:v>
      </x:c>
      <x:c r="K7016" s="13" t="n">
        <x:f>E7016*I7016*H7016</x:f>
        <x:v>0.19919779250000003</x:v>
      </x:c>
      <x:c r="L7016" s="1" t="str">
        <x:f>TEXT(A7016,"mmm yyyy")</x:f>
        <x:v>Sep 2026</x:v>
      </x:c>
    </x:row>
    <x:row r="7017" ht="21" customHeight="1">
      <x:c r="A7017" s="10" t="n">
        <x:v>46294</x:v>
      </x:c>
      <x:c r="B7017" s="1" t="n">
        <x:v>16.5</x:v>
      </x:c>
      <x:c r="C7017" s="1" t="n">
        <x:v>6</x:v>
      </x:c>
      <x:c r="D7017" s="12" t="n">
        <x:v>0</x:v>
      </x:c>
      <x:c r="E7017" s="12" t="n">
        <x:v>0.5167499999999999</x:v>
      </x:c>
      <x:c r="F7017" s="12" t="n">
        <x:v>0.5164166666666666</x:v>
      </x:c>
      <x:c r="G7017" s="12" t="n">
        <x:v>0</x:v>
      </x:c>
      <x:c r="H7017" s="1" t="n">
        <x:f>'Historical prices'!E7017</x:f>
        <x:v>1.05</x:v>
      </x:c>
      <x:c r="I7017" s="6" t="n">
        <x:f>'Historical prices'!D7017</x:f>
        <x:v>0.4537</x:v>
      </x:c>
      <x:c r="J7017" s="13" t="n">
        <x:f>D7017*I7017*H7017</x:f>
        <x:v>0</x:v>
      </x:c>
      <x:c r="K7017" s="13" t="n">
        <x:f>E7017*I7017*H7017</x:f>
        <x:v>0.24617194874999998</x:v>
      </x:c>
      <x:c r="L7017" s="1" t="str">
        <x:f>TEXT(A7017,"mmm yyyy")</x:f>
        <x:v>Sep 2026</x:v>
      </x:c>
    </x:row>
    <x:row r="7018" ht="21" customHeight="1">
      <x:c r="A7018" s="10" t="n">
        <x:v>46294</x:v>
      </x:c>
      <x:c r="B7018" s="1" t="n">
        <x:v>17</x:v>
      </x:c>
      <x:c r="C7018" s="1" t="n">
        <x:v>6</x:v>
      </x:c>
      <x:c r="D7018" s="12" t="n">
        <x:v>0</x:v>
      </x:c>
      <x:c r="E7018" s="12" t="n">
        <x:v>0.5490833333333334</x:v>
      </x:c>
      <x:c r="F7018" s="12" t="n">
        <x:v>0.5488333333333334</x:v>
      </x:c>
      <x:c r="G7018" s="12" t="n">
        <x:v>0</x:v>
      </x:c>
      <x:c r="H7018" s="1" t="n">
        <x:f>'Historical prices'!E7018</x:f>
        <x:v>1.05</x:v>
      </x:c>
      <x:c r="I7018" s="6" t="n">
        <x:f>'Historical prices'!D7018</x:f>
        <x:v>0.4758</x:v>
      </x:c>
      <x:c r="J7018" s="13" t="n">
        <x:f>D7018*I7018*H7018</x:f>
        <x:v>0</x:v>
      </x:c>
      <x:c r="K7018" s="13" t="n">
        <x:f>E7018*I7018*H7018</x:f>
        <x:v>0.27431654250000004</x:v>
      </x:c>
      <x:c r="L7018" s="1" t="str">
        <x:f>TEXT(A7018,"mmm yyyy")</x:f>
        <x:v>Sep 2026</x:v>
      </x:c>
    </x:row>
    <x:row r="7019" ht="21" customHeight="1">
      <x:c r="A7019" s="10" t="n">
        <x:v>46294</x:v>
      </x:c>
      <x:c r="B7019" s="1" t="n">
        <x:v>17.5</x:v>
      </x:c>
      <x:c r="C7019" s="1" t="n">
        <x:v>6</x:v>
      </x:c>
      <x:c r="D7019" s="12" t="n">
        <x:v>0</x:v>
      </x:c>
      <x:c r="E7019" s="12" t="n">
        <x:v>0.5128333333333333</x:v>
      </x:c>
      <x:c r="F7019" s="12" t="n">
        <x:v>0.5124166666666666</x:v>
      </x:c>
      <x:c r="G7019" s="12" t="n">
        <x:v>0</x:v>
      </x:c>
      <x:c r="H7019" s="1" t="n">
        <x:f>'Historical prices'!E7019</x:f>
        <x:v>1.05</x:v>
      </x:c>
      <x:c r="I7019" s="6" t="n">
        <x:f>'Historical prices'!D7019</x:f>
        <x:v>0.48979999999999996</x:v>
      </x:c>
      <x:c r="J7019" s="13" t="n">
        <x:f>D7019*I7019*H7019</x:f>
        <x:v>0</x:v>
      </x:c>
      <x:c r="K7019" s="13" t="n">
        <x:f>E7019*I7019*H7019</x:f>
        <x:v>0.26374505499999995</x:v>
      </x:c>
      <x:c r="L7019" s="1" t="str">
        <x:f>TEXT(A7019,"mmm yyyy")</x:f>
        <x:v>Sep 2026</x:v>
      </x:c>
    </x:row>
    <x:row r="7020" ht="21" customHeight="1">
      <x:c r="A7020" s="10" t="n">
        <x:v>46294</x:v>
      </x:c>
      <x:c r="B7020" s="1" t="n">
        <x:v>18</x:v>
      </x:c>
      <x:c r="C7020" s="1" t="n">
        <x:v>6</x:v>
      </x:c>
      <x:c r="D7020" s="12" t="n">
        <x:v>0</x:v>
      </x:c>
      <x:c r="E7020" s="12" t="n">
        <x:v>0.6815</x:v>
      </x:c>
      <x:c r="F7020" s="12" t="n">
        <x:v>0.6809999999999999</x:v>
      </x:c>
      <x:c r="G7020" s="12" t="n">
        <x:v>0</x:v>
      </x:c>
      <x:c r="H7020" s="1" t="n">
        <x:f>'Historical prices'!E7020</x:f>
        <x:v>1.05</x:v>
      </x:c>
      <x:c r="I7020" s="6" t="n">
        <x:f>'Historical prices'!D7020</x:f>
        <x:v>0.5003</x:v>
      </x:c>
      <x:c r="J7020" s="13" t="n">
        <x:f>D7020*I7020*H7020</x:f>
        <x:v>0</x:v>
      </x:c>
      <x:c r="K7020" s="13" t="n">
        <x:f>E7020*I7020*H7020</x:f>
        <x:v>0.3580021725</x:v>
      </x:c>
      <x:c r="L7020" s="1" t="str">
        <x:f>TEXT(A7020,"mmm yyyy")</x:f>
        <x:v>Sep 2026</x:v>
      </x:c>
    </x:row>
    <x:row r="7021" ht="21" customHeight="1">
      <x:c r="A7021" s="10" t="n">
        <x:v>46294</x:v>
      </x:c>
      <x:c r="B7021" s="1" t="n">
        <x:v>18.5</x:v>
      </x:c>
      <x:c r="C7021" s="1" t="n">
        <x:v>6</x:v>
      </x:c>
      <x:c r="D7021" s="12" t="n">
        <x:v>0</x:v>
      </x:c>
      <x:c r="E7021" s="12" t="n">
        <x:v>0.76525</x:v>
      </x:c>
      <x:c r="F7021" s="12" t="n">
        <x:v>0.7645000000000001</x:v>
      </x:c>
      <x:c r="G7021" s="12" t="n">
        <x:v>0</x:v>
      </x:c>
      <x:c r="H7021" s="1" t="n">
        <x:f>'Historical prices'!E7021</x:f>
        <x:v>1.05</x:v>
      </x:c>
      <x:c r="I7021" s="6" t="n">
        <x:f>'Historical prices'!D7021</x:f>
        <x:v>0.49810000000000004</x:v>
      </x:c>
      <x:c r="J7021" s="13" t="n">
        <x:f>D7021*I7021*H7021</x:f>
        <x:v>0</x:v>
      </x:c>
      <x:c r="K7021" s="13" t="n">
        <x:f>E7021*I7021*H7021</x:f>
        <x:v>0.40022957625000005</x:v>
      </x:c>
      <x:c r="L7021" s="1" t="str">
        <x:f>TEXT(A7021,"mmm yyyy")</x:f>
        <x:v>Sep 2026</x:v>
      </x:c>
    </x:row>
    <x:row r="7022" ht="21" customHeight="1">
      <x:c r="A7022" s="10" t="n">
        <x:v>46294</x:v>
      </x:c>
      <x:c r="B7022" s="1" t="n">
        <x:v>19</x:v>
      </x:c>
      <x:c r="C7022" s="1" t="n">
        <x:v>6</x:v>
      </x:c>
      <x:c r="D7022" s="12" t="n">
        <x:v>0</x:v>
      </x:c>
      <x:c r="E7022" s="12" t="n">
        <x:v>1.3327499999999999</x:v>
      </x:c>
      <x:c r="F7022" s="12" t="n">
        <x:v>1.3324166666666666</x:v>
      </x:c>
      <x:c r="G7022" s="12" t="n">
        <x:v>0</x:v>
      </x:c>
      <x:c r="H7022" s="1" t="n">
        <x:f>'Historical prices'!E7022</x:f>
        <x:v>1.05</x:v>
      </x:c>
      <x:c r="I7022" s="6" t="n">
        <x:f>'Historical prices'!D7022</x:f>
        <x:v>0.35710000000000003</x:v>
      </x:c>
      <x:c r="J7022" s="13" t="n">
        <x:f>D7022*I7022*H7022</x:f>
        <x:v>0</x:v>
      </x:c>
      <x:c r="K7022" s="13" t="n">
        <x:f>E7022*I7022*H7022</x:f>
        <x:v>0.49972127625</x:v>
      </x:c>
      <x:c r="L7022" s="1" t="str">
        <x:f>TEXT(A7022,"mmm yyyy")</x:f>
        <x:v>Sep 2026</x:v>
      </x:c>
    </x:row>
    <x:row r="7023" ht="21" customHeight="1">
      <x:c r="A7023" s="10" t="n">
        <x:v>46294</x:v>
      </x:c>
      <x:c r="B7023" s="1" t="n">
        <x:v>19.5</x:v>
      </x:c>
      <x:c r="C7023" s="1" t="n">
        <x:v>6</x:v>
      </x:c>
      <x:c r="D7023" s="12" t="n">
        <x:v>0</x:v>
      </x:c>
      <x:c r="E7023" s="12" t="n">
        <x:v>1.0030000000000001</x:v>
      </x:c>
      <x:c r="F7023" s="12" t="n">
        <x:v>1.0025</x:v>
      </x:c>
      <x:c r="G7023" s="12" t="n">
        <x:v>0</x:v>
      </x:c>
      <x:c r="H7023" s="1" t="n">
        <x:f>'Historical prices'!E7023</x:f>
        <x:v>1.05</x:v>
      </x:c>
      <x:c r="I7023" s="6" t="n">
        <x:f>'Historical prices'!D7023</x:f>
        <x:v>0.3368</x:v>
      </x:c>
      <x:c r="J7023" s="13" t="n">
        <x:f>D7023*I7023*H7023</x:f>
        <x:v>0</x:v>
      </x:c>
      <x:c r="K7023" s="13" t="n">
        <x:f>E7023*I7023*H7023</x:f>
        <x:v>0.35470092000000003</x:v>
      </x:c>
      <x:c r="L7023" s="1" t="str">
        <x:f>TEXT(A7023,"mmm yyyy")</x:f>
        <x:v>Sep 2026</x:v>
      </x:c>
    </x:row>
    <x:row r="7024" ht="21" customHeight="1">
      <x:c r="A7024" s="10" t="n">
        <x:v>46294</x:v>
      </x:c>
      <x:c r="B7024" s="1" t="n">
        <x:v>20</x:v>
      </x:c>
      <x:c r="C7024" s="1" t="n">
        <x:v>6</x:v>
      </x:c>
      <x:c r="D7024" s="12" t="n">
        <x:v>0</x:v>
      </x:c>
      <x:c r="E7024" s="12" t="n">
        <x:v>0.5405833333333333</x:v>
      </x:c>
      <x:c r="F7024" s="12" t="n">
        <x:v>0.5365</x:v>
      </x:c>
      <x:c r="G7024" s="12" t="n">
        <x:v>0</x:v>
      </x:c>
      <x:c r="H7024" s="1" t="n">
        <x:f>'Historical prices'!E7024</x:f>
        <x:v>1.05</x:v>
      </x:c>
      <x:c r="I7024" s="6" t="n">
        <x:f>'Historical prices'!D7024</x:f>
        <x:v>0.3208</x:v>
      </x:c>
      <x:c r="J7024" s="13" t="n">
        <x:f>D7024*I7024*H7024</x:f>
        <x:v>0</x:v>
      </x:c>
      <x:c r="K7024" s="13" t="n">
        <x:f>E7024*I7024*H7024</x:f>
        <x:v>0.18209008999999998</x:v>
      </x:c>
      <x:c r="L7024" s="1" t="str">
        <x:f>TEXT(A7024,"mmm yyyy")</x:f>
        <x:v>Sep 2026</x:v>
      </x:c>
    </x:row>
    <x:row r="7025" ht="21" customHeight="1">
      <x:c r="A7025" s="10" t="n">
        <x:v>46294</x:v>
      </x:c>
      <x:c r="B7025" s="1" t="n">
        <x:v>20.5</x:v>
      </x:c>
      <x:c r="C7025" s="1" t="n">
        <x:v>6</x:v>
      </x:c>
      <x:c r="D7025" s="12" t="n">
        <x:v>0</x:v>
      </x:c>
      <x:c r="E7025" s="12" t="n">
        <x:v>0.5255</x:v>
      </x:c>
      <x:c r="F7025" s="12" t="n">
        <x:v>0.5250833333333332</x:v>
      </x:c>
      <x:c r="G7025" s="12" t="n">
        <x:v>0</x:v>
      </x:c>
      <x:c r="H7025" s="1" t="n">
        <x:f>'Historical prices'!E7025</x:f>
        <x:v>1.05</x:v>
      </x:c>
      <x:c r="I7025" s="6" t="n">
        <x:f>'Historical prices'!D7025</x:f>
        <x:v>0.2783</x:v>
      </x:c>
      <x:c r="J7025" s="13" t="n">
        <x:f>D7025*I7025*H7025</x:f>
        <x:v>0</x:v>
      </x:c>
      <x:c r="K7025" s="13" t="n">
        <x:f>E7025*I7025*H7025</x:f>
        <x:v>0.1535589825</x:v>
      </x:c>
      <x:c r="L7025" s="1" t="str">
        <x:f>TEXT(A7025,"mmm yyyy")</x:f>
        <x:v>Sep 2026</x:v>
      </x:c>
    </x:row>
    <x:row r="7026" ht="21" customHeight="1">
      <x:c r="A7026" s="10" t="n">
        <x:v>46294</x:v>
      </x:c>
      <x:c r="B7026" s="1" t="n">
        <x:v>21</x:v>
      </x:c>
      <x:c r="C7026" s="1" t="n">
        <x:v>6</x:v>
      </x:c>
      <x:c r="D7026" s="12" t="n">
        <x:v>0</x:v>
      </x:c>
      <x:c r="E7026" s="12" t="n">
        <x:v>0.6083333333333334</x:v>
      </x:c>
      <x:c r="F7026" s="12" t="n">
        <x:v>0.6076666666666667</x:v>
      </x:c>
      <x:c r="G7026" s="12" t="n">
        <x:v>0</x:v>
      </x:c>
      <x:c r="H7026" s="1" t="n">
        <x:f>'Historical prices'!E7026</x:f>
        <x:v>1.05</x:v>
      </x:c>
      <x:c r="I7026" s="6" t="n">
        <x:f>'Historical prices'!D7026</x:f>
        <x:v>0.2825</x:v>
      </x:c>
      <x:c r="J7026" s="13" t="n">
        <x:f>D7026*I7026*H7026</x:f>
        <x:v>0</x:v>
      </x:c>
      <x:c r="K7026" s="13" t="n">
        <x:f>E7026*I7026*H7026</x:f>
        <x:v>0.180446875</x:v>
      </x:c>
      <x:c r="L7026" s="1" t="str">
        <x:f>TEXT(A7026,"mmm yyyy")</x:f>
        <x:v>Sep 2026</x:v>
      </x:c>
    </x:row>
    <x:row r="7027" ht="21" customHeight="1">
      <x:c r="A7027" s="10" t="n">
        <x:v>46294</x:v>
      </x:c>
      <x:c r="B7027" s="1" t="n">
        <x:v>21.5</x:v>
      </x:c>
      <x:c r="C7027" s="1" t="n">
        <x:v>6</x:v>
      </x:c>
      <x:c r="D7027" s="12" t="n">
        <x:v>0</x:v>
      </x:c>
      <x:c r="E7027" s="12" t="n">
        <x:v>0.40508333333333335</x:v>
      </x:c>
      <x:c r="F7027" s="12" t="n">
        <x:v>0.40475</x:v>
      </x:c>
      <x:c r="G7027" s="12" t="n">
        <x:v>0</x:v>
      </x:c>
      <x:c r="H7027" s="1" t="n">
        <x:f>'Historical prices'!E7027</x:f>
        <x:v>1.05</x:v>
      </x:c>
      <x:c r="I7027" s="6" t="n">
        <x:f>'Historical prices'!D7027</x:f>
        <x:v>0.2351</x:v>
      </x:c>
      <x:c r="J7027" s="13" t="n">
        <x:f>D7027*I7027*H7027</x:f>
        <x:v>0</x:v>
      </x:c>
      <x:c r="K7027" s="13" t="n">
        <x:f>E7027*I7027*H7027</x:f>
        <x:v>0.09999684625000001</x:v>
      </x:c>
      <x:c r="L7027" s="1" t="str">
        <x:f>TEXT(A7027,"mmm yyyy")</x:f>
        <x:v>Sep 2026</x:v>
      </x:c>
    </x:row>
    <x:row r="7028" ht="21" customHeight="1">
      <x:c r="A7028" s="10" t="n">
        <x:v>46294</x:v>
      </x:c>
      <x:c r="B7028" s="1" t="n">
        <x:v>22</x:v>
      </x:c>
      <x:c r="C7028" s="1" t="n">
        <x:v>6</x:v>
      </x:c>
      <x:c r="D7028" s="12" t="n">
        <x:v>0</x:v>
      </x:c>
      <x:c r="E7028" s="12" t="n">
        <x:v>0.27491666666666664</x:v>
      </x:c>
      <x:c r="F7028" s="12" t="n">
        <x:v>0.2741666666666666</x:v>
      </x:c>
      <x:c r="G7028" s="12" t="n">
        <x:v>0</x:v>
      </x:c>
      <x:c r="H7028" s="1" t="n">
        <x:f>'Historical prices'!E7028</x:f>
        <x:v>1.05</x:v>
      </x:c>
      <x:c r="I7028" s="6" t="n">
        <x:f>'Historical prices'!D7028</x:f>
        <x:v>0.2318</x:v>
      </x:c>
      <x:c r="J7028" s="13" t="n">
        <x:f>D7028*I7028*H7028</x:f>
        <x:v>0</x:v>
      </x:c>
      <x:c r="K7028" s="13" t="n">
        <x:f>E7028*I7028*H7028</x:f>
        <x:v>0.06691196749999999</x:v>
      </x:c>
      <x:c r="L7028" s="1" t="str">
        <x:f>TEXT(A7028,"mmm yyyy")</x:f>
        <x:v>Sep 2026</x:v>
      </x:c>
    </x:row>
    <x:row r="7029" ht="21" customHeight="1">
      <x:c r="A7029" s="10" t="n">
        <x:v>46294</x:v>
      </x:c>
      <x:c r="B7029" s="1" t="n">
        <x:v>22.5</x:v>
      </x:c>
      <x:c r="C7029" s="1" t="n">
        <x:v>6</x:v>
      </x:c>
      <x:c r="D7029" s="12" t="n">
        <x:v>0</x:v>
      </x:c>
      <x:c r="E7029" s="12" t="n">
        <x:v>0.32408333333333333</x:v>
      </x:c>
      <x:c r="F7029" s="12" t="n">
        <x:v>0.3238333333333333</x:v>
      </x:c>
      <x:c r="G7029" s="12" t="n">
        <x:v>0</x:v>
      </x:c>
      <x:c r="H7029" s="1" t="n">
        <x:f>'Historical prices'!E7029</x:f>
        <x:v>1.05</x:v>
      </x:c>
      <x:c r="I7029" s="6" t="n">
        <x:f>'Historical prices'!D7029</x:f>
        <x:v>0.1573</x:v>
      </x:c>
      <x:c r="J7029" s="13" t="n">
        <x:f>D7029*I7029*H7029</x:f>
        <x:v>0</x:v>
      </x:c>
      <x:c r="K7029" s="13" t="n">
        <x:f>E7029*I7029*H7029</x:f>
        <x:v>0.053527223750000005</x:v>
      </x:c>
      <x:c r="L7029" s="1" t="str">
        <x:f>TEXT(A7029,"mmm yyyy")</x:f>
        <x:v>Sep 2026</x:v>
      </x:c>
    </x:row>
    <x:row r="7030" ht="21" customHeight="1">
      <x:c r="A7030" s="10" t="n">
        <x:v>46294</x:v>
      </x:c>
      <x:c r="B7030" s="1" t="n">
        <x:v>23</x:v>
      </x:c>
      <x:c r="C7030" s="1" t="n">
        <x:v>6</x:v>
      </x:c>
      <x:c r="D7030" s="12" t="n">
        <x:v>0</x:v>
      </x:c>
      <x:c r="E7030" s="12" t="n">
        <x:v>0.38125</x:v>
      </x:c>
      <x:c r="F7030" s="12" t="n">
        <x:v>0.3806666666666666</x:v>
      </x:c>
      <x:c r="G7030" s="12" t="n">
        <x:v>0</x:v>
      </x:c>
      <x:c r="H7030" s="1" t="n">
        <x:f>'Historical prices'!E7030</x:f>
        <x:v>1.05</x:v>
      </x:c>
      <x:c r="I7030" s="6" t="n">
        <x:f>'Historical prices'!D7030</x:f>
        <x:v>0.1464</x:v>
      </x:c>
      <x:c r="J7030" s="13" t="n">
        <x:f>D7030*I7030*H7030</x:f>
        <x:v>0</x:v>
      </x:c>
      <x:c r="K7030" s="13" t="n">
        <x:f>E7030*I7030*H7030</x:f>
        <x:v>0.05860575</x:v>
      </x:c>
      <x:c r="L7030" s="1" t="str">
        <x:f>TEXT(A7030,"mmm yyyy")</x:f>
        <x:v>Sep 2026</x:v>
      </x:c>
    </x:row>
    <x:row r="7031" ht="21" customHeight="1">
      <x:c r="A7031" s="10" t="n">
        <x:v>46294</x:v>
      </x:c>
      <x:c r="B7031" s="1" t="n">
        <x:v>23.5</x:v>
      </x:c>
      <x:c r="C7031" s="1" t="n">
        <x:v>6</x:v>
      </x:c>
      <x:c r="D7031" s="12" t="n">
        <x:v>0</x:v>
      </x:c>
      <x:c r="E7031" s="12" t="n">
        <x:v>0.30066666666666664</x:v>
      </x:c>
      <x:c r="F7031" s="12" t="n">
        <x:v>0.30041666666666667</x:v>
      </x:c>
      <x:c r="G7031" s="12" t="n">
        <x:v>0</x:v>
      </x:c>
      <x:c r="H7031" s="1" t="n">
        <x:f>'Historical prices'!E7031</x:f>
        <x:v>1.05</x:v>
      </x:c>
      <x:c r="I7031" s="6" t="n">
        <x:f>'Historical prices'!D7031</x:f>
        <x:v>0.1143</x:v>
      </x:c>
      <x:c r="J7031" s="13" t="n">
        <x:f>D7031*I7031*H7031</x:f>
        <x:v>0</x:v>
      </x:c>
      <x:c r="K7031" s="13" t="n">
        <x:f>E7031*I7031*H7031</x:f>
        <x:v>0.03608451</x:v>
      </x:c>
      <x:c r="L7031" s="1" t="str">
        <x:f>TEXT(A7031,"mmm yyyy")</x:f>
        <x:v>Sep 2026</x:v>
      </x:c>
    </x:row>
    <x:row r="7032" ht="21" customHeight="1">
      <x:c r="A7032" s="10" t="n">
        <x:v>46295</x:v>
      </x:c>
      <x:c r="B7032" s="1" t="n">
        <x:v>0</x:v>
      </x:c>
      <x:c r="C7032" s="1" t="n">
        <x:v>6</x:v>
      </x:c>
      <x:c r="D7032" s="12" t="n">
        <x:v>0</x:v>
      </x:c>
      <x:c r="E7032" s="12" t="n">
        <x:v>0.29874999999999996</x:v>
      </x:c>
      <x:c r="F7032" s="12" t="n">
        <x:v>0.2985</x:v>
      </x:c>
      <x:c r="G7032" s="12" t="n">
        <x:v>0</x:v>
      </x:c>
      <x:c r="H7032" s="1" t="n">
        <x:f>'Historical prices'!E7032</x:f>
        <x:v>1.05</x:v>
      </x:c>
      <x:c r="I7032" s="6" t="n">
        <x:f>'Historical prices'!D7032</x:f>
        <x:v>0.1125</x:v>
      </x:c>
      <x:c r="J7032" s="13" t="n">
        <x:f>D7032*I7032*H7032</x:f>
        <x:v>0</x:v>
      </x:c>
      <x:c r="K7032" s="13" t="n">
        <x:f>E7032*I7032*H7032</x:f>
        <x:v>0.03528984375</x:v>
      </x:c>
      <x:c r="L7032" s="1" t="str">
        <x:f>TEXT(A7032,"mmm yyyy")</x:f>
        <x:v>Sep 2026</x:v>
      </x:c>
    </x:row>
    <x:row r="7033" ht="21" customHeight="1">
      <x:c r="A7033" s="10" t="n">
        <x:v>46295</x:v>
      </x:c>
      <x:c r="B7033" s="1" t="n">
        <x:v>0.5</x:v>
      </x:c>
      <x:c r="C7033" s="1" t="n">
        <x:v>6</x:v>
      </x:c>
      <x:c r="D7033" s="12" t="n">
        <x:v>0</x:v>
      </x:c>
      <x:c r="E7033" s="12" t="n">
        <x:v>0.26808333333333334</x:v>
      </x:c>
      <x:c r="F7033" s="12" t="n">
        <x:v>0.26766666666666666</x:v>
      </x:c>
      <x:c r="G7033" s="12" t="n">
        <x:v>0</x:v>
      </x:c>
      <x:c r="H7033" s="1" t="n">
        <x:f>'Historical prices'!E7033</x:f>
        <x:v>1.05</x:v>
      </x:c>
      <x:c r="I7033" s="6" t="n">
        <x:f>'Historical prices'!D7033</x:f>
        <x:v>0.10619999999999999</x:v>
      </x:c>
      <x:c r="J7033" s="13" t="n">
        <x:f>D7033*I7033*H7033</x:f>
        <x:v>0</x:v>
      </x:c>
      <x:c r="K7033" s="13" t="n">
        <x:f>E7033*I7033*H7033</x:f>
        <x:v>0.029893972499999998</x:v>
      </x:c>
      <x:c r="L7033" s="1" t="str">
        <x:f>TEXT(A7033,"mmm yyyy")</x:f>
        <x:v>Sep 2026</x:v>
      </x:c>
    </x:row>
    <x:row r="7034" ht="21" customHeight="1">
      <x:c r="A7034" s="10" t="n">
        <x:v>46295</x:v>
      </x:c>
      <x:c r="B7034" s="1" t="n">
        <x:v>1</x:v>
      </x:c>
      <x:c r="C7034" s="1" t="n">
        <x:v>6</x:v>
      </x:c>
      <x:c r="D7034" s="12" t="n">
        <x:v>0</x:v>
      </x:c>
      <x:c r="E7034" s="12" t="n">
        <x:v>0.2678333333333333</x:v>
      </x:c>
      <x:c r="F7034" s="12" t="n">
        <x:v>0.26741666666666664</x:v>
      </x:c>
      <x:c r="G7034" s="12" t="n">
        <x:v>0</x:v>
      </x:c>
      <x:c r="H7034" s="1" t="n">
        <x:f>'Historical prices'!E7034</x:f>
        <x:v>1.05</x:v>
      </x:c>
      <x:c r="I7034" s="6" t="n">
        <x:f>'Historical prices'!D7034</x:f>
        <x:v>0.1081</x:v>
      </x:c>
      <x:c r="J7034" s="13" t="n">
        <x:f>D7034*I7034*H7034</x:f>
        <x:v>0</x:v>
      </x:c>
      <x:c r="K7034" s="13" t="n">
        <x:f>E7034*I7034*H7034</x:f>
        <x:v>0.0304004225</x:v>
      </x:c>
      <x:c r="L7034" s="1" t="str">
        <x:f>TEXT(A7034,"mmm yyyy")</x:f>
        <x:v>Sep 2026</x:v>
      </x:c>
    </x:row>
    <x:row r="7035" ht="21" customHeight="1">
      <x:c r="A7035" s="10" t="n">
        <x:v>46295</x:v>
      </x:c>
      <x:c r="B7035" s="1" t="n">
        <x:v>1.5</x:v>
      </x:c>
      <x:c r="C7035" s="1" t="n">
        <x:v>6</x:v>
      </x:c>
      <x:c r="D7035" s="12" t="n">
        <x:v>0</x:v>
      </x:c>
      <x:c r="E7035" s="12" t="n">
        <x:v>0.347</x:v>
      </x:c>
      <x:c r="F7035" s="12" t="n">
        <x:v>0.34625</x:v>
      </x:c>
      <x:c r="G7035" s="12" t="n">
        <x:v>0</x:v>
      </x:c>
      <x:c r="H7035" s="1" t="n">
        <x:f>'Historical prices'!E7035</x:f>
        <x:v>1.05</x:v>
      </x:c>
      <x:c r="I7035" s="6" t="n">
        <x:f>'Historical prices'!D7035</x:f>
        <x:v>0.10039999999999999</x:v>
      </x:c>
      <x:c r="J7035" s="13" t="n">
        <x:f>D7035*I7035*H7035</x:f>
        <x:v>0</x:v>
      </x:c>
      <x:c r="K7035" s="13" t="n">
        <x:f>E7035*I7035*H7035</x:f>
        <x:v>0.03658074</x:v>
      </x:c>
      <x:c r="L7035" s="1" t="str">
        <x:f>TEXT(A7035,"mmm yyyy")</x:f>
        <x:v>Sep 2026</x:v>
      </x:c>
    </x:row>
    <x:row r="7036" ht="21" customHeight="1">
      <x:c r="A7036" s="10" t="n">
        <x:v>46295</x:v>
      </x:c>
      <x:c r="B7036" s="1" t="n">
        <x:v>2</x:v>
      </x:c>
      <x:c r="C7036" s="1" t="n">
        <x:v>6</x:v>
      </x:c>
      <x:c r="D7036" s="12" t="n">
        <x:v>0</x:v>
      </x:c>
      <x:c r="E7036" s="12" t="n">
        <x:v>0.32383333333333336</x:v>
      </x:c>
      <x:c r="F7036" s="12" t="n">
        <x:v>0.3235</x:v>
      </x:c>
      <x:c r="G7036" s="12" t="n">
        <x:v>0</x:v>
      </x:c>
      <x:c r="H7036" s="1" t="n">
        <x:f>'Historical prices'!E7036</x:f>
        <x:v>1.05</x:v>
      </x:c>
      <x:c r="I7036" s="6" t="n">
        <x:f>'Historical prices'!D7036</x:f>
        <x:v>0.0833</x:v>
      </x:c>
      <x:c r="J7036" s="13" t="n">
        <x:f>D7036*I7036*H7036</x:f>
        <x:v>0</x:v>
      </x:c>
      <x:c r="K7036" s="13" t="n">
        <x:f>E7036*I7036*H7036</x:f>
        <x:v>0.028324082500000004</x:v>
      </x:c>
      <x:c r="L7036" s="1" t="str">
        <x:f>TEXT(A7036,"mmm yyyy")</x:f>
        <x:v>Sep 2026</x:v>
      </x:c>
    </x:row>
    <x:row r="7037" ht="21" customHeight="1">
      <x:c r="A7037" s="10" t="n">
        <x:v>46295</x:v>
      </x:c>
      <x:c r="B7037" s="1" t="n">
        <x:v>2.5</x:v>
      </x:c>
      <x:c r="C7037" s="1" t="n">
        <x:v>6</x:v>
      </x:c>
      <x:c r="D7037" s="12" t="n">
        <x:v>0</x:v>
      </x:c>
      <x:c r="E7037" s="12" t="n">
        <x:v>0.24824999999999997</x:v>
      </x:c>
      <x:c r="F7037" s="12" t="n">
        <x:v>0.24766666666666667</x:v>
      </x:c>
      <x:c r="G7037" s="12" t="n">
        <x:v>0</x:v>
      </x:c>
      <x:c r="H7037" s="1" t="n">
        <x:f>'Historical prices'!E7037</x:f>
        <x:v>1.05</x:v>
      </x:c>
      <x:c r="I7037" s="6" t="n">
        <x:f>'Historical prices'!D7037</x:f>
        <x:v>0.0863</x:v>
      </x:c>
      <x:c r="J7037" s="13" t="n">
        <x:f>D7037*I7037*H7037</x:f>
        <x:v>0</x:v>
      </x:c>
      <x:c r="K7037" s="13" t="n">
        <x:f>E7037*I7037*H7037</x:f>
        <x:v>0.02249517375</x:v>
      </x:c>
      <x:c r="L7037" s="1" t="str">
        <x:f>TEXT(A7037,"mmm yyyy")</x:f>
        <x:v>Sep 2026</x:v>
      </x:c>
    </x:row>
    <x:row r="7038" ht="21" customHeight="1">
      <x:c r="A7038" s="10" t="n">
        <x:v>46295</x:v>
      </x:c>
      <x:c r="B7038" s="1" t="n">
        <x:v>3</x:v>
      </x:c>
      <x:c r="C7038" s="1" t="n">
        <x:v>6</x:v>
      </x:c>
      <x:c r="D7038" s="12" t="n">
        <x:v>0</x:v>
      </x:c>
      <x:c r="E7038" s="12" t="n">
        <x:v>0.38</x:v>
      </x:c>
      <x:c r="F7038" s="12" t="n">
        <x:v>0.3793333333333333</x:v>
      </x:c>
      <x:c r="G7038" s="12" t="n">
        <x:v>0</x:v>
      </x:c>
      <x:c r="H7038" s="1" t="n">
        <x:f>'Historical prices'!E7038</x:f>
        <x:v>1.05</x:v>
      </x:c>
      <x:c r="I7038" s="6" t="n">
        <x:f>'Historical prices'!D7038</x:f>
        <x:v>0.09380000000000001</x:v>
      </x:c>
      <x:c r="J7038" s="13" t="n">
        <x:f>D7038*I7038*H7038</x:f>
        <x:v>0</x:v>
      </x:c>
      <x:c r="K7038" s="13" t="n">
        <x:f>E7038*I7038*H7038</x:f>
        <x:v>0.03742620000000001</x:v>
      </x:c>
      <x:c r="L7038" s="1" t="str">
        <x:f>TEXT(A7038,"mmm yyyy")</x:f>
        <x:v>Sep 2026</x:v>
      </x:c>
    </x:row>
    <x:row r="7039" ht="21" customHeight="1">
      <x:c r="A7039" s="10" t="n">
        <x:v>46295</x:v>
      </x:c>
      <x:c r="B7039" s="1" t="n">
        <x:v>3.5</x:v>
      </x:c>
      <x:c r="C7039" s="1" t="n">
        <x:v>6</x:v>
      </x:c>
      <x:c r="D7039" s="12" t="n">
        <x:v>0</x:v>
      </x:c>
      <x:c r="E7039" s="12" t="n">
        <x:v>0.34275</x:v>
      </x:c>
      <x:c r="F7039" s="12" t="n">
        <x:v>0.3425833333333333</x:v>
      </x:c>
      <x:c r="G7039" s="12" t="n">
        <x:v>0</x:v>
      </x:c>
      <x:c r="H7039" s="1" t="n">
        <x:f>'Historical prices'!E7039</x:f>
        <x:v>1.05</x:v>
      </x:c>
      <x:c r="I7039" s="6" t="n">
        <x:f>'Historical prices'!D7039</x:f>
        <x:v>0.09380000000000001</x:v>
      </x:c>
      <x:c r="J7039" s="13" t="n">
        <x:f>D7039*I7039*H7039</x:f>
        <x:v>0</x:v>
      </x:c>
      <x:c r="K7039" s="13" t="n">
        <x:f>E7039*I7039*H7039</x:f>
        <x:v>0.0337574475</x:v>
      </x:c>
      <x:c r="L7039" s="1" t="str">
        <x:f>TEXT(A7039,"mmm yyyy")</x:f>
        <x:v>Sep 2026</x:v>
      </x:c>
    </x:row>
    <x:row r="7040" ht="21" customHeight="1">
      <x:c r="A7040" s="10" t="n">
        <x:v>46295</x:v>
      </x:c>
      <x:c r="B7040" s="1" t="n">
        <x:v>4</x:v>
      </x:c>
      <x:c r="C7040" s="1" t="n">
        <x:v>6</x:v>
      </x:c>
      <x:c r="D7040" s="12" t="n">
        <x:v>0</x:v>
      </x:c>
      <x:c r="E7040" s="12" t="n">
        <x:v>0.3036666666666667</x:v>
      </x:c>
      <x:c r="F7040" s="12" t="n">
        <x:v>0.30325</x:v>
      </x:c>
      <x:c r="G7040" s="12" t="n">
        <x:v>0</x:v>
      </x:c>
      <x:c r="H7040" s="1" t="n">
        <x:f>'Historical prices'!E7040</x:f>
        <x:v>1.05</x:v>
      </x:c>
      <x:c r="I7040" s="6" t="n">
        <x:f>'Historical prices'!D7040</x:f>
        <x:v>0.0966</x:v>
      </x:c>
      <x:c r="J7040" s="13" t="n">
        <x:f>D7040*I7040*H7040</x:f>
        <x:v>0</x:v>
      </x:c>
      <x:c r="K7040" s="13" t="n">
        <x:f>E7040*I7040*H7040</x:f>
        <x:v>0.030800910000000008</x:v>
      </x:c>
      <x:c r="L7040" s="1" t="str">
        <x:f>TEXT(A7040,"mmm yyyy")</x:f>
        <x:v>Sep 2026</x:v>
      </x:c>
    </x:row>
    <x:row r="7041" ht="21" customHeight="1">
      <x:c r="A7041" s="10" t="n">
        <x:v>46295</x:v>
      </x:c>
      <x:c r="B7041" s="1" t="n">
        <x:v>4.5</x:v>
      </x:c>
      <x:c r="C7041" s="1" t="n">
        <x:v>6</x:v>
      </x:c>
      <x:c r="D7041" s="12" t="n">
        <x:v>0</x:v>
      </x:c>
      <x:c r="E7041" s="12" t="n">
        <x:v>0.2831666666666667</x:v>
      </x:c>
      <x:c r="F7041" s="12" t="n">
        <x:v>0.28275</x:v>
      </x:c>
      <x:c r="G7041" s="12" t="n">
        <x:v>0</x:v>
      </x:c>
      <x:c r="H7041" s="1" t="n">
        <x:f>'Historical prices'!E7041</x:f>
        <x:v>1.05</x:v>
      </x:c>
      <x:c r="I7041" s="6" t="n">
        <x:f>'Historical prices'!D7041</x:f>
        <x:v>0.0947</x:v>
      </x:c>
      <x:c r="J7041" s="13" t="n">
        <x:f>D7041*I7041*H7041</x:f>
        <x:v>0</x:v>
      </x:c>
      <x:c r="K7041" s="13" t="n">
        <x:f>E7041*I7041*H7041</x:f>
        <x:v>0.028156677500000005</x:v>
      </x:c>
      <x:c r="L7041" s="1" t="str">
        <x:f>TEXT(A7041,"mmm yyyy")</x:f>
        <x:v>Sep 2026</x:v>
      </x:c>
    </x:row>
    <x:row r="7042" ht="21" customHeight="1">
      <x:c r="A7042" s="10" t="n">
        <x:v>46295</x:v>
      </x:c>
      <x:c r="B7042" s="1" t="n">
        <x:v>5</x:v>
      </x:c>
      <x:c r="C7042" s="1" t="n">
        <x:v>6</x:v>
      </x:c>
      <x:c r="D7042" s="12" t="n">
        <x:v>0</x:v>
      </x:c>
      <x:c r="E7042" s="12" t="n">
        <x:v>0.319</x:v>
      </x:c>
      <x:c r="F7042" s="12" t="n">
        <x:v>0.31858333333333333</x:v>
      </x:c>
      <x:c r="G7042" s="12" t="n">
        <x:v>0</x:v>
      </x:c>
      <x:c r="H7042" s="1" t="n">
        <x:f>'Historical prices'!E7042</x:f>
        <x:v>1.05</x:v>
      </x:c>
      <x:c r="I7042" s="6" t="n">
        <x:f>'Historical prices'!D7042</x:f>
        <x:v>0.13019999999999998</x:v>
      </x:c>
      <x:c r="J7042" s="13" t="n">
        <x:f>D7042*I7042*H7042</x:f>
        <x:v>0</x:v>
      </x:c>
      <x:c r="K7042" s="13" t="n">
        <x:f>E7042*I7042*H7042</x:f>
        <x:v>0.043610489999999995</x:v>
      </x:c>
      <x:c r="L7042" s="1" t="str">
        <x:f>TEXT(A7042,"mmm yyyy")</x:f>
        <x:v>Sep 2026</x:v>
      </x:c>
    </x:row>
    <x:row r="7043" ht="21" customHeight="1">
      <x:c r="A7043" s="10" t="n">
        <x:v>46295</x:v>
      </x:c>
      <x:c r="B7043" s="1" t="n">
        <x:v>5.5</x:v>
      </x:c>
      <x:c r="C7043" s="1" t="n">
        <x:v>6</x:v>
      </x:c>
      <x:c r="D7043" s="12" t="n">
        <x:v>0</x:v>
      </x:c>
      <x:c r="E7043" s="12" t="n">
        <x:v>0.2830833333333333</x:v>
      </x:c>
      <x:c r="F7043" s="12" t="n">
        <x:v>0.2828333333333333</x:v>
      </x:c>
      <x:c r="G7043" s="12" t="n">
        <x:v>0</x:v>
      </x:c>
      <x:c r="H7043" s="1" t="n">
        <x:f>'Historical prices'!E7043</x:f>
        <x:v>1.05</x:v>
      </x:c>
      <x:c r="I7043" s="6" t="n">
        <x:f>'Historical prices'!D7043</x:f>
        <x:v>0.1566</x:v>
      </x:c>
      <x:c r="J7043" s="13" t="n">
        <x:f>D7043*I7043*H7043</x:f>
        <x:v>0</x:v>
      </x:c>
      <x:c r="K7043" s="13" t="n">
        <x:f>E7043*I7043*H7043</x:f>
        <x:v>0.04654739249999999</x:v>
      </x:c>
      <x:c r="L7043" s="1" t="str">
        <x:f>TEXT(A7043,"mmm yyyy")</x:f>
        <x:v>Sep 2026</x:v>
      </x:c>
    </x:row>
    <x:row r="7044" ht="21" customHeight="1">
      <x:c r="A7044" s="10" t="n">
        <x:v>46295</x:v>
      </x:c>
      <x:c r="B7044" s="1" t="n">
        <x:v>6</x:v>
      </x:c>
      <x:c r="C7044" s="1" t="n">
        <x:v>6</x:v>
      </x:c>
      <x:c r="D7044" s="12" t="n">
        <x:v>0</x:v>
      </x:c>
      <x:c r="E7044" s="12" t="n">
        <x:v>0.3420833333333333</x:v>
      </x:c>
      <x:c r="F7044" s="12" t="n">
        <x:v>0.34175</x:v>
      </x:c>
      <x:c r="G7044" s="12" t="n">
        <x:v>0</x:v>
      </x:c>
      <x:c r="H7044" s="1" t="n">
        <x:f>'Historical prices'!E7044</x:f>
        <x:v>1.05</x:v>
      </x:c>
      <x:c r="I7044" s="6" t="n">
        <x:f>'Historical prices'!D7044</x:f>
        <x:v>0.1955</x:v>
      </x:c>
      <x:c r="J7044" s="13" t="n">
        <x:f>D7044*I7044*H7044</x:f>
        <x:v>0</x:v>
      </x:c>
      <x:c r="K7044" s="13" t="n">
        <x:f>E7044*I7044*H7044</x:f>
        <x:v>0.07022115625</x:v>
      </x:c>
      <x:c r="L7044" s="1" t="str">
        <x:f>TEXT(A7044,"mmm yyyy")</x:f>
        <x:v>Sep 2026</x:v>
      </x:c>
    </x:row>
    <x:row r="7045" ht="21" customHeight="1">
      <x:c r="A7045" s="10" t="n">
        <x:v>46295</x:v>
      </x:c>
      <x:c r="B7045" s="1" t="n">
        <x:v>6.5</x:v>
      </x:c>
      <x:c r="C7045" s="1" t="n">
        <x:v>6</x:v>
      </x:c>
      <x:c r="D7045" s="12" t="n">
        <x:v>0</x:v>
      </x:c>
      <x:c r="E7045" s="12" t="n">
        <x:v>0.5547500000000001</x:v>
      </x:c>
      <x:c r="F7045" s="12" t="n">
        <x:v>0.5545</x:v>
      </x:c>
      <x:c r="G7045" s="12" t="n">
        <x:v>0</x:v>
      </x:c>
      <x:c r="H7045" s="1" t="n">
        <x:f>'Historical prices'!E7045</x:f>
        <x:v>1.05</x:v>
      </x:c>
      <x:c r="I7045" s="6" t="n">
        <x:f>'Historical prices'!D7045</x:f>
        <x:v>0.2804</x:v>
      </x:c>
      <x:c r="J7045" s="13" t="n">
        <x:f>D7045*I7045*H7045</x:f>
        <x:v>0</x:v>
      </x:c>
      <x:c r="K7045" s="13" t="n">
        <x:f>E7045*I7045*H7045</x:f>
        <x:v>0.16332949500000002</x:v>
      </x:c>
      <x:c r="L7045" s="1" t="str">
        <x:f>TEXT(A7045,"mmm yyyy")</x:f>
        <x:v>Sep 2026</x:v>
      </x:c>
    </x:row>
    <x:row r="7046" ht="21" customHeight="1">
      <x:c r="A7046" s="10" t="n">
        <x:v>46295</x:v>
      </x:c>
      <x:c r="B7046" s="1" t="n">
        <x:v>7</x:v>
      </x:c>
      <x:c r="C7046" s="1" t="n">
        <x:v>6</x:v>
      </x:c>
      <x:c r="D7046" s="12" t="n">
        <x:v>0</x:v>
      </x:c>
      <x:c r="E7046" s="12" t="n">
        <x:v>0.5241666666666667</x:v>
      </x:c>
      <x:c r="F7046" s="12" t="n">
        <x:v>0.52375</x:v>
      </x:c>
      <x:c r="G7046" s="12" t="n">
        <x:v>0</x:v>
      </x:c>
      <x:c r="H7046" s="1" t="n">
        <x:f>'Historical prices'!E7046</x:f>
        <x:v>1.05</x:v>
      </x:c>
      <x:c r="I7046" s="6" t="n">
        <x:f>'Historical prices'!D7046</x:f>
        <x:v>0.2876</x:v>
      </x:c>
      <x:c r="J7046" s="13" t="n">
        <x:f>D7046*I7046*H7046</x:f>
        <x:v>0</x:v>
      </x:c>
      <x:c r="K7046" s="13" t="n">
        <x:f>E7046*I7046*H7046</x:f>
        <x:v>0.15828785</x:v>
      </x:c>
      <x:c r="L7046" s="1" t="str">
        <x:f>TEXT(A7046,"mmm yyyy")</x:f>
        <x:v>Sep 2026</x:v>
      </x:c>
    </x:row>
    <x:row r="7047" ht="21" customHeight="1">
      <x:c r="A7047" s="10" t="n">
        <x:v>46295</x:v>
      </x:c>
      <x:c r="B7047" s="1" t="n">
        <x:v>7.5</x:v>
      </x:c>
      <x:c r="C7047" s="1" t="n">
        <x:v>6</x:v>
      </x:c>
      <x:c r="D7047" s="12" t="n">
        <x:v>0</x:v>
      </x:c>
      <x:c r="E7047" s="12" t="n">
        <x:v>0.6763333333333335</x:v>
      </x:c>
      <x:c r="F7047" s="12" t="n">
        <x:v>0.6755833333333333</x:v>
      </x:c>
      <x:c r="G7047" s="12" t="n">
        <x:v>0</x:v>
      </x:c>
      <x:c r="H7047" s="1" t="n">
        <x:f>'Historical prices'!E7047</x:f>
        <x:v>1.05</x:v>
      </x:c>
      <x:c r="I7047" s="6" t="n">
        <x:f>'Historical prices'!D7047</x:f>
        <x:v>0.3299</x:v>
      </x:c>
      <x:c r="J7047" s="13" t="n">
        <x:f>D7047*I7047*H7047</x:f>
        <x:v>0</x:v>
      </x:c>
      <x:c r="K7047" s="13" t="n">
        <x:f>E7047*I7047*H7047</x:f>
        <x:v>0.23427848500000006</x:v>
      </x:c>
      <x:c r="L7047" s="1" t="str">
        <x:f>TEXT(A7047,"mmm yyyy")</x:f>
        <x:v>Sep 2026</x:v>
      </x:c>
    </x:row>
    <x:row r="7048" ht="21" customHeight="1">
      <x:c r="A7048" s="10" t="n">
        <x:v>46295</x:v>
      </x:c>
      <x:c r="B7048" s="1" t="n">
        <x:v>8</x:v>
      </x:c>
      <x:c r="C7048" s="1" t="n">
        <x:v>6</x:v>
      </x:c>
      <x:c r="D7048" s="12" t="n">
        <x:v>0</x:v>
      </x:c>
      <x:c r="E7048" s="12" t="n">
        <x:v>0.6159166666666667</x:v>
      </x:c>
      <x:c r="F7048" s="12" t="n">
        <x:v>0.6155833333333333</x:v>
      </x:c>
      <x:c r="G7048" s="12" t="n">
        <x:v>0</x:v>
      </x:c>
      <x:c r="H7048" s="1" t="n">
        <x:f>'Historical prices'!E7048</x:f>
        <x:v>1.05</x:v>
      </x:c>
      <x:c r="I7048" s="6" t="n">
        <x:f>'Historical prices'!D7048</x:f>
        <x:v>0.2816</x:v>
      </x:c>
      <x:c r="J7048" s="13" t="n">
        <x:f>D7048*I7048*H7048</x:f>
        <x:v>0</x:v>
      </x:c>
      <x:c r="K7048" s="13" t="n">
        <x:f>E7048*I7048*H7048</x:f>
        <x:v>0.18211424</x:v>
      </x:c>
      <x:c r="L7048" s="1" t="str">
        <x:f>TEXT(A7048,"mmm yyyy")</x:f>
        <x:v>Sep 2026</x:v>
      </x:c>
    </x:row>
    <x:row r="7049" ht="21" customHeight="1">
      <x:c r="A7049" s="10" t="n">
        <x:v>46295</x:v>
      </x:c>
      <x:c r="B7049" s="1" t="n">
        <x:v>8.5</x:v>
      </x:c>
      <x:c r="C7049" s="1" t="n">
        <x:v>6</x:v>
      </x:c>
      <x:c r="D7049" s="12" t="n">
        <x:v>0</x:v>
      </x:c>
      <x:c r="E7049" s="12" t="n">
        <x:v>0.5641666666666667</x:v>
      </x:c>
      <x:c r="F7049" s="12" t="n">
        <x:v>0.56375</x:v>
      </x:c>
      <x:c r="G7049" s="12" t="n">
        <x:v>0</x:v>
      </x:c>
      <x:c r="H7049" s="1" t="n">
        <x:f>'Historical prices'!E7049</x:f>
        <x:v>1.05</x:v>
      </x:c>
      <x:c r="I7049" s="6" t="n">
        <x:f>'Historical prices'!D7049</x:f>
        <x:v>0.2816</x:v>
      </x:c>
      <x:c r="J7049" s="13" t="n">
        <x:f>D7049*I7049*H7049</x:f>
        <x:v>0</x:v>
      </x:c>
      <x:c r="K7049" s="13" t="n">
        <x:f>E7049*I7049*H7049</x:f>
        <x:v>0.16681280000000004</x:v>
      </x:c>
      <x:c r="L7049" s="1" t="str">
        <x:f>TEXT(A7049,"mmm yyyy")</x:f>
        <x:v>Sep 2026</x:v>
      </x:c>
    </x:row>
    <x:row r="7050" ht="21" customHeight="1">
      <x:c r="A7050" s="10" t="n">
        <x:v>46295</x:v>
      </x:c>
      <x:c r="B7050" s="1" t="n">
        <x:v>9</x:v>
      </x:c>
      <x:c r="C7050" s="1" t="n">
        <x:v>6</x:v>
      </x:c>
      <x:c r="D7050" s="12" t="n">
        <x:v>0.009583333333333333</x:v>
      </x:c>
      <x:c r="E7050" s="12" t="n">
        <x:v>0.5630833333333334</x:v>
      </x:c>
      <x:c r="F7050" s="12" t="n">
        <x:v>0.5409166666666666</x:v>
      </x:c>
      <x:c r="G7050" s="12" t="n">
        <x:v>0</x:v>
      </x:c>
      <x:c r="H7050" s="1" t="n">
        <x:f>'Historical prices'!E7050</x:f>
        <x:v>1.05</x:v>
      </x:c>
      <x:c r="I7050" s="6" t="n">
        <x:f>'Historical prices'!D7050</x:f>
        <x:v>0.2711</x:v>
      </x:c>
      <x:c r="J7050" s="13" t="n">
        <x:f>D7050*I7050*H7050</x:f>
        <x:v>0.00272794375</x:v>
      </x:c>
      <x:c r="K7050" s="13" t="n">
        <x:f>E7050*I7050*H7050</x:f>
        <x:v>0.16028448625000002</x:v>
      </x:c>
      <x:c r="L7050" s="1" t="str">
        <x:f>TEXT(A7050,"mmm yyyy")</x:f>
        <x:v>Sep 2026</x:v>
      </x:c>
    </x:row>
    <x:row r="7051" ht="21" customHeight="1">
      <x:c r="A7051" s="10" t="n">
        <x:v>46295</x:v>
      </x:c>
      <x:c r="B7051" s="1" t="n">
        <x:v>9.5</x:v>
      </x:c>
      <x:c r="C7051" s="1" t="n">
        <x:v>6</x:v>
      </x:c>
      <x:c r="D7051" s="12" t="n">
        <x:v>0</x:v>
      </x:c>
      <x:c r="E7051" s="12" t="n">
        <x:v>0.5831666666666666</x:v>
      </x:c>
      <x:c r="F7051" s="12" t="n">
        <x:v>0.58275</x:v>
      </x:c>
      <x:c r="G7051" s="12" t="n">
        <x:v>0</x:v>
      </x:c>
      <x:c r="H7051" s="1" t="n">
        <x:f>'Historical prices'!E7051</x:f>
        <x:v>1.05</x:v>
      </x:c>
      <x:c r="I7051" s="6" t="n">
        <x:f>'Historical prices'!D7051</x:f>
        <x:v>0.2596</x:v>
      </x:c>
      <x:c r="J7051" s="13" t="n">
        <x:f>D7051*I7051*H7051</x:f>
        <x:v>0</x:v>
      </x:c>
      <x:c r="K7051" s="13" t="n">
        <x:f>E7051*I7051*H7051</x:f>
        <x:v>0.15895957</x:v>
      </x:c>
      <x:c r="L7051" s="1" t="str">
        <x:f>TEXT(A7051,"mmm yyyy")</x:f>
        <x:v>Sep 2026</x:v>
      </x:c>
    </x:row>
    <x:row r="7052" ht="21" customHeight="1">
      <x:c r="A7052" s="10" t="n">
        <x:v>46295</x:v>
      </x:c>
      <x:c r="B7052" s="1" t="n">
        <x:v>10</x:v>
      </x:c>
      <x:c r="C7052" s="1" t="n">
        <x:v>6</x:v>
      </x:c>
      <x:c r="D7052" s="12" t="n">
        <x:v>0</x:v>
      </x:c>
      <x:c r="E7052" s="12" t="n">
        <x:v>0.5905833333333333</x:v>
      </x:c>
      <x:c r="F7052" s="12" t="n">
        <x:v>0.5902499999999999</x:v>
      </x:c>
      <x:c r="G7052" s="12" t="n">
        <x:v>0</x:v>
      </x:c>
      <x:c r="H7052" s="1" t="n">
        <x:f>'Historical prices'!E7052</x:f>
        <x:v>1.05</x:v>
      </x:c>
      <x:c r="I7052" s="6" t="n">
        <x:f>'Historical prices'!D7052</x:f>
        <x:v>0.21359999999999998</x:v>
      </x:c>
      <x:c r="J7052" s="13" t="n">
        <x:f>D7052*I7052*H7052</x:f>
        <x:v>0</x:v>
      </x:c>
      <x:c r="K7052" s="13" t="n">
        <x:f>E7052*I7052*H7052</x:f>
        <x:v>0.13245603</x:v>
      </x:c>
      <x:c r="L7052" s="1" t="str">
        <x:f>TEXT(A7052,"mmm yyyy")</x:f>
        <x:v>Sep 2026</x:v>
      </x:c>
    </x:row>
    <x:row r="7053" ht="21" customHeight="1">
      <x:c r="A7053" s="10" t="n">
        <x:v>46295</x:v>
      </x:c>
      <x:c r="B7053" s="1" t="n">
        <x:v>10.5</x:v>
      </x:c>
      <x:c r="C7053" s="1" t="n">
        <x:v>6</x:v>
      </x:c>
      <x:c r="D7053" s="12" t="n">
        <x:v>0</x:v>
      </x:c>
      <x:c r="E7053" s="12" t="n">
        <x:v>0.5951666666666666</x:v>
      </x:c>
      <x:c r="F7053" s="12" t="n">
        <x:v>0.5945833333333332</x:v>
      </x:c>
      <x:c r="G7053" s="12" t="n">
        <x:v>0</x:v>
      </x:c>
      <x:c r="H7053" s="1" t="n">
        <x:f>'Historical prices'!E7053</x:f>
        <x:v>1.05</x:v>
      </x:c>
      <x:c r="I7053" s="6" t="n">
        <x:f>'Historical prices'!D7053</x:f>
        <x:v>0.1936</x:v>
      </x:c>
      <x:c r="J7053" s="13" t="n">
        <x:f>D7053*I7053*H7053</x:f>
        <x:v>0</x:v>
      </x:c>
      <x:c r="K7053" s="13" t="n">
        <x:f>E7053*I7053*H7053</x:f>
        <x:v>0.12098547999999999</x:v>
      </x:c>
      <x:c r="L7053" s="1" t="str">
        <x:f>TEXT(A7053,"mmm yyyy")</x:f>
        <x:v>Sep 2026</x:v>
      </x:c>
    </x:row>
    <x:row r="7054" ht="21" customHeight="1">
      <x:c r="A7054" s="10" t="n">
        <x:v>46295</x:v>
      </x:c>
      <x:c r="B7054" s="1" t="n">
        <x:v>11</x:v>
      </x:c>
      <x:c r="C7054" s="1" t="n">
        <x:v>6</x:v>
      </x:c>
      <x:c r="D7054" s="12" t="n">
        <x:v>0.40700000000000003</x:v>
      </x:c>
      <x:c r="E7054" s="12" t="n">
        <x:v>0.5111666666666667</x:v>
      </x:c>
      <x:c r="F7054" s="12" t="n">
        <x:v>0.094</x:v>
      </x:c>
      <x:c r="G7054" s="12" t="n">
        <x:v>0</x:v>
      </x:c>
      <x:c r="H7054" s="1" t="n">
        <x:f>'Historical prices'!E7054</x:f>
        <x:v>1.05</x:v>
      </x:c>
      <x:c r="I7054" s="6" t="n">
        <x:f>'Historical prices'!D7054</x:f>
        <x:v>0.1661</x:v>
      </x:c>
      <x:c r="J7054" s="13" t="n">
        <x:f>D7054*I7054*H7054</x:f>
        <x:v>0.07098283500000001</x:v>
      </x:c>
      <x:c r="K7054" s="13" t="n">
        <x:f>E7054*I7054*H7054</x:f>
        <x:v>0.0891500225</x:v>
      </x:c>
      <x:c r="L7054" s="1" t="str">
        <x:f>TEXT(A7054,"mmm yyyy")</x:f>
        <x:v>Sep 2026</x:v>
      </x:c>
    </x:row>
    <x:row r="7055" ht="21" customHeight="1">
      <x:c r="A7055" s="10" t="n">
        <x:v>46295</x:v>
      </x:c>
      <x:c r="B7055" s="1" t="n">
        <x:v>11.5</x:v>
      </x:c>
      <x:c r="C7055" s="1" t="n">
        <x:v>6</x:v>
      </x:c>
      <x:c r="D7055" s="12" t="n">
        <x:v>0.53525</x:v>
      </x:c>
      <x:c r="E7055" s="12" t="n">
        <x:v>0.54625</x:v>
      </x:c>
      <x:c r="F7055" s="12" t="n">
        <x:v>0</x:v>
      </x:c>
      <x:c r="G7055" s="12" t="n">
        <x:v>0</x:v>
      </x:c>
      <x:c r="H7055" s="1" t="n">
        <x:f>'Historical prices'!E7055</x:f>
        <x:v>1.05</x:v>
      </x:c>
      <x:c r="I7055" s="6" t="n">
        <x:f>'Historical prices'!D7055</x:f>
        <x:v>0.1522</x:v>
      </x:c>
      <x:c r="J7055" s="13" t="n">
        <x:f>D7055*I7055*H7055</x:f>
        <x:v>0.0855383025</x:v>
      </x:c>
      <x:c r="K7055" s="13" t="n">
        <x:f>E7055*I7055*H7055</x:f>
        <x:v>0.0872962125</x:v>
      </x:c>
      <x:c r="L7055" s="1" t="str">
        <x:f>TEXT(A7055,"mmm yyyy")</x:f>
        <x:v>Sep 2026</x:v>
      </x:c>
    </x:row>
    <x:row r="7056" ht="21" customHeight="1">
      <x:c r="A7056" s="10" t="n">
        <x:v>46295</x:v>
      </x:c>
      <x:c r="B7056" s="1" t="n">
        <x:v>12</x:v>
      </x:c>
      <x:c r="C7056" s="1" t="n">
        <x:v>6</x:v>
      </x:c>
      <x:c r="D7056" s="12" t="n">
        <x:v>4.60975</x:v>
      </x:c>
      <x:c r="E7056" s="12" t="n">
        <x:v>0.7447499999999999</x:v>
      </x:c>
      <x:c r="F7056" s="12" t="n">
        <x:v>0</x:v>
      </x:c>
      <x:c r="G7056" s="12" t="n">
        <x:v>3.866</x:v>
      </x:c>
      <x:c r="H7056" s="1" t="n">
        <x:f>'Historical prices'!E7056</x:f>
        <x:v>1.05</x:v>
      </x:c>
      <x:c r="I7056" s="6" t="n">
        <x:f>'Historical prices'!D7056</x:f>
        <x:v>0.1371</x:v>
      </x:c>
      <x:c r="J7056" s="13" t="n">
        <x:f>D7056*I7056*H7056</x:f>
        <x:v>0.6635965612500001</x:v>
      </x:c>
      <x:c r="K7056" s="13" t="n">
        <x:f>E7056*I7056*H7056</x:f>
        <x:v>0.10721048625</x:v>
      </x:c>
      <x:c r="L7056" s="1" t="str">
        <x:f>TEXT(A7056,"mmm yyyy")</x:f>
        <x:v>Sep 2026</x:v>
      </x:c>
    </x:row>
    <x:row r="7057" ht="21" customHeight="1">
      <x:c r="A7057" s="10" t="n">
        <x:v>46295</x:v>
      </x:c>
      <x:c r="B7057" s="1" t="n">
        <x:v>12.5</x:v>
      </x:c>
      <x:c r="C7057" s="1" t="n">
        <x:v>6</x:v>
      </x:c>
      <x:c r="D7057" s="12" t="n">
        <x:v>5.29425</x:v>
      </x:c>
      <x:c r="E7057" s="12" t="n">
        <x:v>0.77625</x:v>
      </x:c>
      <x:c r="F7057" s="12" t="n">
        <x:v>0</x:v>
      </x:c>
      <x:c r="G7057" s="12" t="n">
        <x:v>4.518</x:v>
      </x:c>
      <x:c r="H7057" s="1" t="n">
        <x:f>'Historical prices'!E7057</x:f>
        <x:v>1.05</x:v>
      </x:c>
      <x:c r="I7057" s="6" t="n">
        <x:f>'Historical prices'!D7057</x:f>
        <x:v>0.133</x:v>
      </x:c>
      <x:c r="J7057" s="13" t="n">
        <x:f>D7057*I7057*H7057</x:f>
        <x:v>0.7393420125</x:v>
      </x:c>
      <x:c r="K7057" s="13" t="n">
        <x:f>E7057*I7057*H7057</x:f>
        <x:v>0.10840331250000002</x:v>
      </x:c>
      <x:c r="L7057" s="1" t="str">
        <x:f>TEXT(A7057,"mmm yyyy")</x:f>
        <x:v>Sep 2026</x:v>
      </x:c>
    </x:row>
    <x:row r="7058" ht="21" customHeight="1">
      <x:c r="A7058" s="10" t="n">
        <x:v>46295</x:v>
      </x:c>
      <x:c r="B7058" s="1" t="n">
        <x:v>13</x:v>
      </x:c>
      <x:c r="C7058" s="1" t="n">
        <x:v>6</x:v>
      </x:c>
      <x:c r="D7058" s="12" t="n">
        <x:v>1.2659999999999998</x:v>
      </x:c>
      <x:c r="E7058" s="12" t="n">
        <x:v>0.529</x:v>
      </x:c>
      <x:c r="F7058" s="12" t="n">
        <x:v>0</x:v>
      </x:c>
      <x:c r="G7058" s="12" t="n">
        <x:v>0.742</x:v>
      </x:c>
      <x:c r="H7058" s="1" t="n">
        <x:f>'Historical prices'!E7058</x:f>
        <x:v>1.05</x:v>
      </x:c>
      <x:c r="I7058" s="6" t="n">
        <x:f>'Historical prices'!D7058</x:f>
        <x:v>0.15839999999999999</x:v>
      </x:c>
      <x:c r="J7058" s="13" t="n">
        <x:f>D7058*I7058*H7058</x:f>
        <x:v>0.21056111999999996</x:v>
      </x:c>
      <x:c r="K7058" s="13" t="n">
        <x:f>E7058*I7058*H7058</x:f>
        <x:v>0.08798328</x:v>
      </x:c>
      <x:c r="L7058" s="1" t="str">
        <x:f>TEXT(A7058,"mmm yyyy")</x:f>
        <x:v>Sep 2026</x:v>
      </x:c>
    </x:row>
    <x:row r="7059" ht="21" customHeight="1">
      <x:c r="A7059" s="10" t="n">
        <x:v>46295</x:v>
      </x:c>
      <x:c r="B7059" s="1" t="n">
        <x:v>13.5</x:v>
      </x:c>
      <x:c r="C7059" s="1" t="n">
        <x:v>6</x:v>
      </x:c>
      <x:c r="D7059" s="12" t="n">
        <x:v>1.344</x:v>
      </x:c>
      <x:c r="E7059" s="12" t="n">
        <x:v>0.472</x:v>
      </x:c>
      <x:c r="F7059" s="12" t="n">
        <x:v>0</x:v>
      </x:c>
      <x:c r="G7059" s="12" t="n">
        <x:v>0.8739999999999999</x:v>
      </x:c>
      <x:c r="H7059" s="1" t="n">
        <x:f>'Historical prices'!E7059</x:f>
        <x:v>1.05</x:v>
      </x:c>
      <x:c r="I7059" s="6" t="n">
        <x:f>'Historical prices'!D7059</x:f>
        <x:v>0.1507</x:v>
      </x:c>
      <x:c r="J7059" s="13" t="n">
        <x:f>D7059*I7059*H7059</x:f>
        <x:v>0.21266784000000002</x:v>
      </x:c>
      <x:c r="K7059" s="13" t="n">
        <x:f>E7059*I7059*H7059</x:f>
        <x:v>0.07468692</x:v>
      </x:c>
      <x:c r="L7059" s="1" t="str">
        <x:f>TEXT(A7059,"mmm yyyy")</x:f>
        <x:v>Sep 2026</x:v>
      </x:c>
    </x:row>
    <x:row r="7060" ht="21" customHeight="1">
      <x:c r="A7060" s="10" t="n">
        <x:v>46295</x:v>
      </x:c>
      <x:c r="B7060" s="1" t="n">
        <x:v>14</x:v>
      </x:c>
      <x:c r="C7060" s="1" t="n">
        <x:v>6</x:v>
      </x:c>
      <x:c r="D7060" s="12" t="n">
        <x:v>0.5487500000000001</x:v>
      </x:c>
      <x:c r="E7060" s="12" t="n">
        <x:v>0.55975</x:v>
      </x:c>
      <x:c r="F7060" s="12" t="n">
        <x:v>0</x:v>
      </x:c>
      <x:c r="G7060" s="12" t="n">
        <x:v>0</x:v>
      </x:c>
      <x:c r="H7060" s="1" t="n">
        <x:f>'Historical prices'!E7060</x:f>
        <x:v>1.05</x:v>
      </x:c>
      <x:c r="I7060" s="6" t="n">
        <x:f>'Historical prices'!D7060</x:f>
        <x:v>0.1766</x:v>
      </x:c>
      <x:c r="J7060" s="13" t="n">
        <x:f>D7060*I7060*H7060</x:f>
        <x:v>0.10175471250000002</x:v>
      </x:c>
      <x:c r="K7060" s="13" t="n">
        <x:f>E7060*I7060*H7060</x:f>
        <x:v>0.10379444250000001</x:v>
      </x:c>
      <x:c r="L7060" s="1" t="str">
        <x:f>TEXT(A7060,"mmm yyyy")</x:f>
        <x:v>Sep 2026</x:v>
      </x:c>
    </x:row>
    <x:row r="7061" ht="21" customHeight="1">
      <x:c r="A7061" s="10" t="n">
        <x:v>46295</x:v>
      </x:c>
      <x:c r="B7061" s="1" t="n">
        <x:v>14.5</x:v>
      </x:c>
      <x:c r="C7061" s="1" t="n">
        <x:v>6</x:v>
      </x:c>
      <x:c r="D7061" s="12" t="n">
        <x:v>0.49700000000000005</x:v>
      </x:c>
      <x:c r="E7061" s="12" t="n">
        <x:v>0.5760000000000001</x:v>
      </x:c>
      <x:c r="F7061" s="12" t="n">
        <x:v>0.07200000000000001</x:v>
      </x:c>
      <x:c r="G7061" s="12" t="n">
        <x:v>0</x:v>
      </x:c>
      <x:c r="H7061" s="1" t="n">
        <x:f>'Historical prices'!E7061</x:f>
        <x:v>1.05</x:v>
      </x:c>
      <x:c r="I7061" s="6" t="n">
        <x:f>'Historical prices'!D7061</x:f>
        <x:v>0.1779</x:v>
      </x:c>
      <x:c r="J7061" s="13" t="n">
        <x:f>D7061*I7061*H7061</x:f>
        <x:v>0.09283711500000003</x:v>
      </x:c>
      <x:c r="K7061" s="13" t="n">
        <x:f>E7061*I7061*H7061</x:f>
        <x:v>0.10759392000000002</x:v>
      </x:c>
      <x:c r="L7061" s="1" t="str">
        <x:f>TEXT(A7061,"mmm yyyy")</x:f>
        <x:v>Sep 2026</x:v>
      </x:c>
    </x:row>
    <x:row r="7062" ht="21" customHeight="1">
      <x:c r="A7062" s="10" t="n">
        <x:v>46295</x:v>
      </x:c>
      <x:c r="B7062" s="1" t="n">
        <x:v>15</x:v>
      </x:c>
      <x:c r="C7062" s="1" t="n">
        <x:v>6</x:v>
      </x:c>
      <x:c r="D7062" s="12" t="n">
        <x:v>0.03625</x:v>
      </x:c>
      <x:c r="E7062" s="12" t="n">
        <x:v>0.4569999999999999</x:v>
      </x:c>
      <x:c r="F7062" s="12" t="n">
        <x:v>0.40175</x:v>
      </x:c>
      <x:c r="G7062" s="12" t="n">
        <x:v>0</x:v>
      </x:c>
      <x:c r="H7062" s="1" t="n">
        <x:f>'Historical prices'!E7062</x:f>
        <x:v>1.05</x:v>
      </x:c>
      <x:c r="I7062" s="6" t="n">
        <x:f>'Historical prices'!D7062</x:f>
        <x:v>0.20809999999999998</x:v>
      </x:c>
      <x:c r="J7062" s="13" t="n">
        <x:f>D7062*I7062*H7062</x:f>
        <x:v>0.007920806249999999</x:v>
      </x:c>
      <x:c r="K7062" s="13" t="n">
        <x:f>E7062*I7062*H7062</x:f>
        <x:v>0.09985678499999998</x:v>
      </x:c>
      <x:c r="L7062" s="1" t="str">
        <x:f>TEXT(A7062,"mmm yyyy")</x:f>
        <x:v>Sep 2026</x:v>
      </x:c>
    </x:row>
    <x:row r="7063" ht="21" customHeight="1">
      <x:c r="A7063" s="10" t="n">
        <x:v>46295</x:v>
      </x:c>
      <x:c r="B7063" s="1" t="n">
        <x:v>15.5</x:v>
      </x:c>
      <x:c r="C7063" s="1" t="n">
        <x:v>6</x:v>
      </x:c>
      <x:c r="D7063" s="12" t="n">
        <x:v>0</x:v>
      </x:c>
      <x:c r="E7063" s="12" t="n">
        <x:v>0.6174166666666667</x:v>
      </x:c>
      <x:c r="F7063" s="12" t="n">
        <x:v>0.61325</x:v>
      </x:c>
      <x:c r="G7063" s="12" t="n">
        <x:v>0</x:v>
      </x:c>
      <x:c r="H7063" s="1" t="n">
        <x:f>'Historical prices'!E7063</x:f>
        <x:v>1.05</x:v>
      </x:c>
      <x:c r="I7063" s="6" t="n">
        <x:f>'Historical prices'!D7063</x:f>
        <x:v>0.2289</x:v>
      </x:c>
      <x:c r="J7063" s="13" t="n">
        <x:f>D7063*I7063*H7063</x:f>
        <x:v>0</x:v>
      </x:c>
      <x:c r="K7063" s="13" t="n">
        <x:f>E7063*I7063*H7063</x:f>
        <x:v>0.14839300875000003</x:v>
      </x:c>
      <x:c r="L7063" s="1" t="str">
        <x:f>TEXT(A7063,"mmm yyyy")</x:f>
        <x:v>Sep 2026</x:v>
      </x:c>
    </x:row>
    <x:row r="7064" ht="21" customHeight="1">
      <x:c r="A7064" s="10" t="n">
        <x:v>46295</x:v>
      </x:c>
      <x:c r="B7064" s="1" t="n">
        <x:v>16</x:v>
      </x:c>
      <x:c r="C7064" s="1" t="n">
        <x:v>6</x:v>
      </x:c>
      <x:c r="D7064" s="12" t="n">
        <x:v>0</x:v>
      </x:c>
      <x:c r="E7064" s="12" t="n">
        <x:v>0.6279166666666666</x:v>
      </x:c>
      <x:c r="F7064" s="12" t="n">
        <x:v>0.6276666666666666</x:v>
      </x:c>
      <x:c r="G7064" s="12" t="n">
        <x:v>0</x:v>
      </x:c>
      <x:c r="H7064" s="1" t="n">
        <x:f>'Historical prices'!E7064</x:f>
        <x:v>1.05</x:v>
      </x:c>
      <x:c r="I7064" s="6" t="n">
        <x:f>'Historical prices'!D7064</x:f>
        <x:v>0.38060000000000005</x:v>
      </x:c>
      <x:c r="J7064" s="13" t="n">
        <x:f>D7064*I7064*H7064</x:f>
        <x:v>0</x:v>
      </x:c>
      <x:c r="K7064" s="13" t="n">
        <x:f>E7064*I7064*H7064</x:f>
        <x:v>0.2509343375</x:v>
      </x:c>
      <x:c r="L7064" s="1" t="str">
        <x:f>TEXT(A7064,"mmm yyyy")</x:f>
        <x:v>Sep 2026</x:v>
      </x:c>
    </x:row>
    <x:row r="7065" ht="21" customHeight="1">
      <x:c r="A7065" s="10" t="n">
        <x:v>46295</x:v>
      </x:c>
      <x:c r="B7065" s="1" t="n">
        <x:v>16.5</x:v>
      </x:c>
      <x:c r="C7065" s="1" t="n">
        <x:v>6</x:v>
      </x:c>
      <x:c r="D7065" s="12" t="n">
        <x:v>0</x:v>
      </x:c>
      <x:c r="E7065" s="12" t="n">
        <x:v>0.607</x:v>
      </x:c>
      <x:c r="F7065" s="12" t="n">
        <x:v>0.6066666666666666</x:v>
      </x:c>
      <x:c r="G7065" s="12" t="n">
        <x:v>0</x:v>
      </x:c>
      <x:c r="H7065" s="1" t="n">
        <x:f>'Historical prices'!E7065</x:f>
        <x:v>1.05</x:v>
      </x:c>
      <x:c r="I7065" s="6" t="n">
        <x:f>'Historical prices'!D7065</x:f>
        <x:v>0.3995</x:v>
      </x:c>
      <x:c r="J7065" s="13" t="n">
        <x:f>D7065*I7065*H7065</x:f>
        <x:v>0</x:v>
      </x:c>
      <x:c r="K7065" s="13" t="n">
        <x:f>E7065*I7065*H7065</x:f>
        <x:v>0.254621325</x:v>
      </x:c>
      <x:c r="L7065" s="1" t="str">
        <x:f>TEXT(A7065,"mmm yyyy")</x:f>
        <x:v>Sep 2026</x:v>
      </x:c>
    </x:row>
    <x:row r="7066" ht="21" customHeight="1">
      <x:c r="A7066" s="10" t="n">
        <x:v>46295</x:v>
      </x:c>
      <x:c r="B7066" s="1" t="n">
        <x:v>17</x:v>
      </x:c>
      <x:c r="C7066" s="1" t="n">
        <x:v>6</x:v>
      </x:c>
      <x:c r="D7066" s="12" t="n">
        <x:v>0</x:v>
      </x:c>
      <x:c r="E7066" s="12" t="n">
        <x:v>0.70125</x:v>
      </x:c>
      <x:c r="F7066" s="12" t="n">
        <x:v>0.7004166666666667</x:v>
      </x:c>
      <x:c r="G7066" s="12" t="n">
        <x:v>0</x:v>
      </x:c>
      <x:c r="H7066" s="1" t="n">
        <x:f>'Historical prices'!E7066</x:f>
        <x:v>1.05</x:v>
      </x:c>
      <x:c r="I7066" s="6" t="n">
        <x:f>'Historical prices'!D7066</x:f>
        <x:v>0.3785</x:v>
      </x:c>
      <x:c r="J7066" s="13" t="n">
        <x:f>D7066*I7066*H7066</x:f>
        <x:v>0</x:v>
      </x:c>
      <x:c r="K7066" s="13" t="n">
        <x:f>E7066*I7066*H7066</x:f>
        <x:v>0.27869428125000006</x:v>
      </x:c>
      <x:c r="L7066" s="1" t="str">
        <x:f>TEXT(A7066,"mmm yyyy")</x:f>
        <x:v>Sep 2026</x:v>
      </x:c>
    </x:row>
    <x:row r="7067" ht="21" customHeight="1">
      <x:c r="A7067" s="10" t="n">
        <x:v>46295</x:v>
      </x:c>
      <x:c r="B7067" s="1" t="n">
        <x:v>17.5</x:v>
      </x:c>
      <x:c r="C7067" s="1" t="n">
        <x:v>6</x:v>
      </x:c>
      <x:c r="D7067" s="12" t="n">
        <x:v>0</x:v>
      </x:c>
      <x:c r="E7067" s="12" t="n">
        <x:v>0.73875</x:v>
      </x:c>
      <x:c r="F7067" s="12" t="n">
        <x:v>0.7385</x:v>
      </x:c>
      <x:c r="G7067" s="12" t="n">
        <x:v>0</x:v>
      </x:c>
      <x:c r="H7067" s="1" t="n">
        <x:f>'Historical prices'!E7067</x:f>
        <x:v>1.05</x:v>
      </x:c>
      <x:c r="I7067" s="6" t="n">
        <x:f>'Historical prices'!D7067</x:f>
        <x:v>0.4255</x:v>
      </x:c>
      <x:c r="J7067" s="13" t="n">
        <x:f>D7067*I7067*H7067</x:f>
        <x:v>0</x:v>
      </x:c>
      <x:c r="K7067" s="13" t="n">
        <x:f>E7067*I7067*H7067</x:f>
        <x:v>0.33005503125</x:v>
      </x:c>
      <x:c r="L7067" s="1" t="str">
        <x:f>TEXT(A7067,"mmm yyyy")</x:f>
        <x:v>Sep 2026</x:v>
      </x:c>
    </x:row>
    <x:row r="7068" ht="21" customHeight="1">
      <x:c r="A7068" s="10" t="n">
        <x:v>46295</x:v>
      </x:c>
      <x:c r="B7068" s="1" t="n">
        <x:v>18</x:v>
      </x:c>
      <x:c r="C7068" s="1" t="n">
        <x:v>6</x:v>
      </x:c>
      <x:c r="D7068" s="12" t="n">
        <x:v>0</x:v>
      </x:c>
      <x:c r="E7068" s="12" t="n">
        <x:v>0.59325</x:v>
      </x:c>
      <x:c r="F7068" s="12" t="n">
        <x:v>0.5925833333333334</x:v>
      </x:c>
      <x:c r="G7068" s="12" t="n">
        <x:v>0</x:v>
      </x:c>
      <x:c r="H7068" s="1" t="n">
        <x:f>'Historical prices'!E7068</x:f>
        <x:v>1.05</x:v>
      </x:c>
      <x:c r="I7068" s="6" t="n">
        <x:f>'Historical prices'!D7068</x:f>
        <x:v>0.4524</x:v>
      </x:c>
      <x:c r="J7068" s="13" t="n">
        <x:f>D7068*I7068*H7068</x:f>
        <x:v>0</x:v>
      </x:c>
      <x:c r="K7068" s="13" t="n">
        <x:f>E7068*I7068*H7068</x:f>
        <x:v>0.281805615</x:v>
      </x:c>
      <x:c r="L7068" s="1" t="str">
        <x:f>TEXT(A7068,"mmm yyyy")</x:f>
        <x:v>Sep 2026</x:v>
      </x:c>
    </x:row>
    <x:row r="7069" ht="21" customHeight="1">
      <x:c r="A7069" s="10" t="n">
        <x:v>46295</x:v>
      </x:c>
      <x:c r="B7069" s="1" t="n">
        <x:v>18.5</x:v>
      </x:c>
      <x:c r="C7069" s="1" t="n">
        <x:v>6</x:v>
      </x:c>
      <x:c r="D7069" s="12" t="n">
        <x:v>0</x:v>
      </x:c>
      <x:c r="E7069" s="12" t="n">
        <x:v>0.7973333333333332</x:v>
      </x:c>
      <x:c r="F7069" s="12" t="n">
        <x:v>0.7969166666666667</x:v>
      </x:c>
      <x:c r="G7069" s="12" t="n">
        <x:v>0</x:v>
      </x:c>
      <x:c r="H7069" s="1" t="n">
        <x:f>'Historical prices'!E7069</x:f>
        <x:v>1.05</x:v>
      </x:c>
      <x:c r="I7069" s="6" t="n">
        <x:f>'Historical prices'!D7069</x:f>
        <x:v>0.4681</x:v>
      </x:c>
      <x:c r="J7069" s="13" t="n">
        <x:f>D7069*I7069*H7069</x:f>
        <x:v>0</x:v>
      </x:c>
      <x:c r="K7069" s="13" t="n">
        <x:f>E7069*I7069*H7069</x:f>
        <x:v>0.39189332</x:v>
      </x:c>
      <x:c r="L7069" s="1" t="str">
        <x:f>TEXT(A7069,"mmm yyyy")</x:f>
        <x:v>Sep 2026</x:v>
      </x:c>
    </x:row>
    <x:row r="7070" ht="21" customHeight="1">
      <x:c r="A7070" s="10" t="n">
        <x:v>46295</x:v>
      </x:c>
      <x:c r="B7070" s="1" t="n">
        <x:v>19</x:v>
      </x:c>
      <x:c r="C7070" s="1" t="n">
        <x:v>6</x:v>
      </x:c>
      <x:c r="D7070" s="12" t="n">
        <x:v>0</x:v>
      </x:c>
      <x:c r="E7070" s="12" t="n">
        <x:v>0.6272500000000001</x:v>
      </x:c>
      <x:c r="F7070" s="12" t="n">
        <x:v>0.6236666666666666</x:v>
      </x:c>
      <x:c r="G7070" s="12" t="n">
        <x:v>0</x:v>
      </x:c>
      <x:c r="H7070" s="1" t="n">
        <x:f>'Historical prices'!E7070</x:f>
        <x:v>1.05</x:v>
      </x:c>
      <x:c r="I7070" s="6" t="n">
        <x:f>'Historical prices'!D7070</x:f>
        <x:v>0.3605</x:v>
      </x:c>
      <x:c r="J7070" s="13" t="n">
        <x:f>D7070*I7070*H7070</x:f>
        <x:v>0</x:v>
      </x:c>
      <x:c r="K7070" s="13" t="n">
        <x:f>E7070*I7070*H7070</x:f>
        <x:v>0.23742980625000004</x:v>
      </x:c>
      <x:c r="L7070" s="1" t="str">
        <x:f>TEXT(A7070,"mmm yyyy")</x:f>
        <x:v>Sep 2026</x:v>
      </x:c>
    </x:row>
    <x:row r="7071" ht="21" customHeight="1">
      <x:c r="A7071" s="10" t="n">
        <x:v>46295</x:v>
      </x:c>
      <x:c r="B7071" s="1" t="n">
        <x:v>19.5</x:v>
      </x:c>
      <x:c r="C7071" s="1" t="n">
        <x:v>6</x:v>
      </x:c>
      <x:c r="D7071" s="12" t="n">
        <x:v>0</x:v>
      </x:c>
      <x:c r="E7071" s="12" t="n">
        <x:v>0.5171666666666667</x:v>
      </x:c>
      <x:c r="F7071" s="12" t="n">
        <x:v>0.5166666666666666</x:v>
      </x:c>
      <x:c r="G7071" s="12" t="n">
        <x:v>0</x:v>
      </x:c>
      <x:c r="H7071" s="1" t="n">
        <x:f>'Historical prices'!E7071</x:f>
        <x:v>1.05</x:v>
      </x:c>
      <x:c r="I7071" s="6" t="n">
        <x:f>'Historical prices'!D7071</x:f>
        <x:v>0.3627</x:v>
      </x:c>
      <x:c r="J7071" s="13" t="n">
        <x:f>D7071*I7071*H7071</x:f>
        <x:v>0</x:v>
      </x:c>
      <x:c r="K7071" s="13" t="n">
        <x:f>E7071*I7071*H7071</x:f>
        <x:v>0.1969551675</x:v>
      </x:c>
      <x:c r="L7071" s="1" t="str">
        <x:f>TEXT(A7071,"mmm yyyy")</x:f>
        <x:v>Sep 2026</x:v>
      </x:c>
    </x:row>
    <x:row r="7072" ht="21" customHeight="1">
      <x:c r="A7072" s="10" t="n">
        <x:v>46295</x:v>
      </x:c>
      <x:c r="B7072" s="1" t="n">
        <x:v>20</x:v>
      </x:c>
      <x:c r="C7072" s="1" t="n">
        <x:v>6</x:v>
      </x:c>
      <x:c r="D7072" s="12" t="n">
        <x:v>0</x:v>
      </x:c>
      <x:c r="E7072" s="12" t="n">
        <x:v>0.48391666666666666</x:v>
      </x:c>
      <x:c r="F7072" s="12" t="n">
        <x:v>0.48350000000000004</x:v>
      </x:c>
      <x:c r="G7072" s="12" t="n">
        <x:v>0</x:v>
      </x:c>
      <x:c r="H7072" s="1" t="n">
        <x:f>'Historical prices'!E7072</x:f>
        <x:v>1.05</x:v>
      </x:c>
      <x:c r="I7072" s="6" t="n">
        <x:f>'Historical prices'!D7072</x:f>
        <x:v>0.35369999999999996</x:v>
      </x:c>
      <x:c r="J7072" s="13" t="n">
        <x:f>D7072*I7072*H7072</x:f>
        <x:v>0</x:v>
      </x:c>
      <x:c r="K7072" s="13" t="n">
        <x:f>E7072*I7072*H7072</x:f>
        <x:v>0.17971939124999997</x:v>
      </x:c>
      <x:c r="L7072" s="1" t="str">
        <x:f>TEXT(A7072,"mmm yyyy")</x:f>
        <x:v>Sep 2026</x:v>
      </x:c>
    </x:row>
    <x:row r="7073" ht="21" customHeight="1">
      <x:c r="A7073" s="10" t="n">
        <x:v>46295</x:v>
      </x:c>
      <x:c r="B7073" s="1" t="n">
        <x:v>20.5</x:v>
      </x:c>
      <x:c r="C7073" s="1" t="n">
        <x:v>6</x:v>
      </x:c>
      <x:c r="D7073" s="12" t="n">
        <x:v>0</x:v>
      </x:c>
      <x:c r="E7073" s="12" t="n">
        <x:v>0.4689166666666667</x:v>
      </x:c>
      <x:c r="F7073" s="12" t="n">
        <x:v>0.46866666666666673</x:v>
      </x:c>
      <x:c r="G7073" s="12" t="n">
        <x:v>0</x:v>
      </x:c>
      <x:c r="H7073" s="1" t="n">
        <x:f>'Historical prices'!E7073</x:f>
        <x:v>1.05</x:v>
      </x:c>
      <x:c r="I7073" s="6" t="n">
        <x:f>'Historical prices'!D7073</x:f>
        <x:v>0.3282</x:v>
      </x:c>
      <x:c r="J7073" s="13" t="n">
        <x:f>D7073*I7073*H7073</x:f>
        <x:v>0</x:v>
      </x:c>
      <x:c r="K7073" s="13" t="n">
        <x:f>E7073*I7073*H7073</x:f>
        <x:v>0.16159337250000003</x:v>
      </x:c>
      <x:c r="L7073" s="1" t="str">
        <x:f>TEXT(A7073,"mmm yyyy")</x:f>
        <x:v>Sep 2026</x:v>
      </x:c>
    </x:row>
    <x:row r="7074" ht="21" customHeight="1">
      <x:c r="A7074" s="10" t="n">
        <x:v>46295</x:v>
      </x:c>
      <x:c r="B7074" s="1" t="n">
        <x:v>21</x:v>
      </x:c>
      <x:c r="C7074" s="1" t="n">
        <x:v>6</x:v>
      </x:c>
      <x:c r="D7074" s="12" t="n">
        <x:v>0</x:v>
      </x:c>
      <x:c r="E7074" s="12" t="n">
        <x:v>0.43075</x:v>
      </x:c>
      <x:c r="F7074" s="12" t="n">
        <x:v>0.43025</x:v>
      </x:c>
      <x:c r="G7074" s="12" t="n">
        <x:v>0</x:v>
      </x:c>
      <x:c r="H7074" s="1" t="n">
        <x:f>'Historical prices'!E7074</x:f>
        <x:v>1.05</x:v>
      </x:c>
      <x:c r="I7074" s="6" t="n">
        <x:f>'Historical prices'!D7074</x:f>
        <x:v>0.3068</x:v>
      </x:c>
      <x:c r="J7074" s="13" t="n">
        <x:f>D7074*I7074*H7074</x:f>
        <x:v>0</x:v>
      </x:c>
      <x:c r="K7074" s="13" t="n">
        <x:f>E7074*I7074*H7074</x:f>
        <x:v>0.13876180500000004</x:v>
      </x:c>
      <x:c r="L7074" s="1" t="str">
        <x:f>TEXT(A7074,"mmm yyyy")</x:f>
        <x:v>Sep 2026</x:v>
      </x:c>
    </x:row>
    <x:row r="7075" ht="21" customHeight="1">
      <x:c r="A7075" s="10" t="n">
        <x:v>46295</x:v>
      </x:c>
      <x:c r="B7075" s="1" t="n">
        <x:v>21.5</x:v>
      </x:c>
      <x:c r="C7075" s="1" t="n">
        <x:v>6</x:v>
      </x:c>
      <x:c r="D7075" s="12" t="n">
        <x:v>0</x:v>
      </x:c>
      <x:c r="E7075" s="12" t="n">
        <x:v>0.30874999999999997</x:v>
      </x:c>
      <x:c r="F7075" s="12" t="n">
        <x:v>0.3065833333333333</x:v>
      </x:c>
      <x:c r="G7075" s="12" t="n">
        <x:v>0</x:v>
      </x:c>
      <x:c r="H7075" s="1" t="n">
        <x:f>'Historical prices'!E7075</x:f>
        <x:v>1.05</x:v>
      </x:c>
      <x:c r="I7075" s="6" t="n">
        <x:f>'Historical prices'!D7075</x:f>
        <x:v>0.2722</x:v>
      </x:c>
      <x:c r="J7075" s="13" t="n">
        <x:f>D7075*I7075*H7075</x:f>
        <x:v>0</x:v>
      </x:c>
      <x:c r="K7075" s="13" t="n">
        <x:f>E7075*I7075*H7075</x:f>
        <x:v>0.08824383749999999</x:v>
      </x:c>
      <x:c r="L7075" s="1" t="str">
        <x:f>TEXT(A7075,"mmm yyyy")</x:f>
        <x:v>Sep 2026</x:v>
      </x:c>
    </x:row>
    <x:row r="7076" ht="21" customHeight="1">
      <x:c r="A7076" s="10" t="n">
        <x:v>46295</x:v>
      </x:c>
      <x:c r="B7076" s="1" t="n">
        <x:v>22</x:v>
      </x:c>
      <x:c r="C7076" s="1" t="n">
        <x:v>6</x:v>
      </x:c>
      <x:c r="D7076" s="12" t="n">
        <x:v>0</x:v>
      </x:c>
      <x:c r="E7076" s="12" t="n">
        <x:v>0.344</x:v>
      </x:c>
      <x:c r="F7076" s="12" t="n">
        <x:v>0.34341666666666665</x:v>
      </x:c>
      <x:c r="G7076" s="12" t="n">
        <x:v>0</x:v>
      </x:c>
      <x:c r="H7076" s="1" t="n">
        <x:f>'Historical prices'!E7076</x:f>
        <x:v>1.05</x:v>
      </x:c>
      <x:c r="I7076" s="6" t="n">
        <x:f>'Historical prices'!D7076</x:f>
        <x:v>0.2658</x:v>
      </x:c>
      <x:c r="J7076" s="13" t="n">
        <x:f>D7076*I7076*H7076</x:f>
        <x:v>0</x:v>
      </x:c>
      <x:c r="K7076" s="13" t="n">
        <x:f>E7076*I7076*H7076</x:f>
        <x:v>0.09600695999999999</x:v>
      </x:c>
      <x:c r="L7076" s="1" t="str">
        <x:f>TEXT(A7076,"mmm yyyy")</x:f>
        <x:v>Sep 2026</x:v>
      </x:c>
    </x:row>
    <x:row r="7077" ht="21" customHeight="1">
      <x:c r="A7077" s="10" t="n">
        <x:v>46295</x:v>
      </x:c>
      <x:c r="B7077" s="1" t="n">
        <x:v>22.5</x:v>
      </x:c>
      <x:c r="C7077" s="1" t="n">
        <x:v>6</x:v>
      </x:c>
      <x:c r="D7077" s="12" t="n">
        <x:v>0</x:v>
      </x:c>
      <x:c r="E7077" s="12" t="n">
        <x:v>0.3601666666666667</x:v>
      </x:c>
      <x:c r="F7077" s="12" t="n">
        <x:v>0.3595</x:v>
      </x:c>
      <x:c r="G7077" s="12" t="n">
        <x:v>0</x:v>
      </x:c>
      <x:c r="H7077" s="1" t="n">
        <x:f>'Historical prices'!E7077</x:f>
        <x:v>1.05</x:v>
      </x:c>
      <x:c r="I7077" s="6" t="n">
        <x:f>'Historical prices'!D7077</x:f>
        <x:v>0.2682</x:v>
      </x:c>
      <x:c r="J7077" s="13" t="n">
        <x:f>D7077*I7077*H7077</x:f>
        <x:v>0</x:v>
      </x:c>
      <x:c r="K7077" s="13" t="n">
        <x:f>E7077*I7077*H7077</x:f>
        <x:v>0.10142653500000001</x:v>
      </x:c>
      <x:c r="L7077" s="1" t="str">
        <x:f>TEXT(A7077,"mmm yyyy")</x:f>
        <x:v>Sep 2026</x:v>
      </x:c>
    </x:row>
    <x:row r="7078" ht="21" customHeight="1">
      <x:c r="A7078" s="10" t="n">
        <x:v>46295</x:v>
      </x:c>
      <x:c r="B7078" s="1" t="n">
        <x:v>23</x:v>
      </x:c>
      <x:c r="C7078" s="1" t="n">
        <x:v>6</x:v>
      </x:c>
      <x:c r="D7078" s="12" t="n">
        <x:v>0</x:v>
      </x:c>
      <x:c r="E7078" s="12" t="n">
        <x:v>0.2838333333333333</x:v>
      </x:c>
      <x:c r="F7078" s="12" t="n">
        <x:v>0.2835</x:v>
      </x:c>
      <x:c r="G7078" s="12" t="n">
        <x:v>0</x:v>
      </x:c>
      <x:c r="H7078" s="1" t="n">
        <x:f>'Historical prices'!E7078</x:f>
        <x:v>1.05</x:v>
      </x:c>
      <x:c r="I7078" s="6" t="n">
        <x:f>'Historical prices'!D7078</x:f>
        <x:v>0.2753</x:v>
      </x:c>
      <x:c r="J7078" s="13" t="n">
        <x:f>D7078*I7078*H7078</x:f>
        <x:v>0</x:v>
      </x:c>
      <x:c r="K7078" s="13" t="n">
        <x:f>E7078*I7078*H7078</x:f>
        <x:v>0.0820462825</x:v>
      </x:c>
      <x:c r="L7078" s="1" t="str">
        <x:f>TEXT(A7078,"mmm yyyy")</x:f>
        <x:v>Sep 2026</x:v>
      </x:c>
    </x:row>
    <x:row r="7079" ht="21" customHeight="1">
      <x:c r="A7079" s="10" t="n">
        <x:v>46295</x:v>
      </x:c>
      <x:c r="B7079" s="1" t="n">
        <x:v>23.5</x:v>
      </x:c>
      <x:c r="C7079" s="1" t="n">
        <x:v>6</x:v>
      </x:c>
      <x:c r="D7079" s="12" t="n">
        <x:v>0</x:v>
      </x:c>
      <x:c r="E7079" s="12" t="n">
        <x:v>0.32366666666666666</x:v>
      </x:c>
      <x:c r="F7079" s="12" t="n">
        <x:v>0.3233333333333333</x:v>
      </x:c>
      <x:c r="G7079" s="12" t="n">
        <x:v>0</x:v>
      </x:c>
      <x:c r="H7079" s="1" t="n">
        <x:f>'Historical prices'!E7079</x:f>
        <x:v>1.05</x:v>
      </x:c>
      <x:c r="I7079" s="6" t="n">
        <x:f>'Historical prices'!D7079</x:f>
        <x:v>0.26780000000000004</x:v>
      </x:c>
      <x:c r="J7079" s="13" t="n">
        <x:f>D7079*I7079*H7079</x:f>
        <x:v>0</x:v>
      </x:c>
      <x:c r="K7079" s="13" t="n">
        <x:f>E7079*I7079*H7079</x:f>
        <x:v>0.09101183000000002</x:v>
      </x:c>
      <x:c r="L7079" s="1" t="str">
        <x:f>TEXT(A7079,"mmm yyyy")</x:f>
        <x:v>Sep 2026</x:v>
      </x:c>
    </x:row>
    <x:row r="7080" ht="21" customHeight="1">
      <x:c r="A7080" s="10" t="n">
        <x:v>46296</x:v>
      </x:c>
      <x:c r="B7080" s="1" t="n">
        <x:v>0</x:v>
      </x:c>
      <x:c r="C7080" s="1" t="n">
        <x:v>6</x:v>
      </x:c>
      <x:c r="D7080" s="12" t="n">
        <x:v>0</x:v>
      </x:c>
      <x:c r="E7080" s="12" t="n">
        <x:v>0.32958333333333334</x:v>
      </x:c>
      <x:c r="F7080" s="12" t="n">
        <x:v>0.3293333333333333</x:v>
      </x:c>
      <x:c r="G7080" s="12" t="n">
        <x:v>0</x:v>
      </x:c>
      <x:c r="H7080" s="1" t="n">
        <x:f>'Historical prices'!E7080</x:f>
        <x:v>1</x:v>
      </x:c>
      <x:c r="I7080" s="6" t="n">
        <x:f>'Historical prices'!D7080</x:f>
        <x:v>0.2648</x:v>
      </x:c>
      <x:c r="J7080" s="13" t="n">
        <x:f>D7080*I7080*H7080</x:f>
        <x:v>0</x:v>
      </x:c>
      <x:c r="K7080" s="13" t="n">
        <x:f>E7080*I7080*H7080</x:f>
        <x:v>0.08727366666666667</x:v>
      </x:c>
      <x:c r="L7080" s="1" t="str">
        <x:f>TEXT(A7080,"mmm yyyy")</x:f>
        <x:v>Oct 2026</x:v>
      </x:c>
    </x:row>
    <x:row r="7081" ht="21" customHeight="1">
      <x:c r="A7081" s="10" t="n">
        <x:v>46296</x:v>
      </x:c>
      <x:c r="B7081" s="1" t="n">
        <x:v>0.5</x:v>
      </x:c>
      <x:c r="C7081" s="1" t="n">
        <x:v>6</x:v>
      </x:c>
      <x:c r="D7081" s="12" t="n">
        <x:v>0</x:v>
      </x:c>
      <x:c r="E7081" s="12" t="n">
        <x:v>0.2703333333333333</x:v>
      </x:c>
      <x:c r="F7081" s="12" t="n">
        <x:v>0.2698333333333333</x:v>
      </x:c>
      <x:c r="G7081" s="12" t="n">
        <x:v>0</x:v>
      </x:c>
      <x:c r="H7081" s="1" t="n">
        <x:f>'Historical prices'!E7081</x:f>
        <x:v>1</x:v>
      </x:c>
      <x:c r="I7081" s="6" t="n">
        <x:f>'Historical prices'!D7081</x:f>
        <x:v>0.2698</x:v>
      </x:c>
      <x:c r="J7081" s="13" t="n">
        <x:f>D7081*I7081*H7081</x:f>
        <x:v>0</x:v>
      </x:c>
      <x:c r="K7081" s="13" t="n">
        <x:f>E7081*I7081*H7081</x:f>
        <x:v>0.07293593333333333</x:v>
      </x:c>
      <x:c r="L7081" s="1" t="str">
        <x:f>TEXT(A7081,"mmm yyyy")</x:f>
        <x:v>Oct 2026</x:v>
      </x:c>
    </x:row>
    <x:row r="7082" ht="21" customHeight="1">
      <x:c r="A7082" s="10" t="n">
        <x:v>46296</x:v>
      </x:c>
      <x:c r="B7082" s="1" t="n">
        <x:v>1</x:v>
      </x:c>
      <x:c r="C7082" s="1" t="n">
        <x:v>6</x:v>
      </x:c>
      <x:c r="D7082" s="12" t="n">
        <x:v>0.06291666666666666</x:v>
      </x:c>
      <x:c r="E7082" s="12" t="n">
        <x:v>0.2838333333333333</x:v>
      </x:c>
      <x:c r="F7082" s="12" t="n">
        <x:v>0.21983333333333333</x:v>
      </x:c>
      <x:c r="G7082" s="12" t="n">
        <x:v>0</x:v>
      </x:c>
      <x:c r="H7082" s="1" t="n">
        <x:f>'Historical prices'!E7082</x:f>
        <x:v>1</x:v>
      </x:c>
      <x:c r="I7082" s="6" t="n">
        <x:f>'Historical prices'!D7082</x:f>
        <x:v>0.2645</x:v>
      </x:c>
      <x:c r="J7082" s="13" t="n">
        <x:f>D7082*I7082*H7082</x:f>
        <x:v>0.016641458333333334</x:v>
      </x:c>
      <x:c r="K7082" s="13" t="n">
        <x:f>E7082*I7082*H7082</x:f>
        <x:v>0.07507391666666667</x:v>
      </x:c>
      <x:c r="L7082" s="1" t="str">
        <x:f>TEXT(A7082,"mmm yyyy")</x:f>
        <x:v>Oct 2026</x:v>
      </x:c>
    </x:row>
    <x:row r="7083" ht="21" customHeight="1">
      <x:c r="A7083" s="10" t="n">
        <x:v>46296</x:v>
      </x:c>
      <x:c r="B7083" s="1" t="n">
        <x:v>1.5</x:v>
      </x:c>
      <x:c r="C7083" s="1" t="n">
        <x:v>6</x:v>
      </x:c>
      <x:c r="D7083" s="12" t="n">
        <x:v>0.2265</x:v>
      </x:c>
      <x:c r="E7083" s="12" t="n">
        <x:v>0.2385</x:v>
      </x:c>
      <x:c r="F7083" s="12" t="n">
        <x:v>0</x:v>
      </x:c>
      <x:c r="G7083" s="12" t="n">
        <x:v>0</x:v>
      </x:c>
      <x:c r="H7083" s="1" t="n">
        <x:f>'Historical prices'!E7083</x:f>
        <x:v>1</x:v>
      </x:c>
      <x:c r="I7083" s="6" t="n">
        <x:f>'Historical prices'!D7083</x:f>
        <x:v>0.25730000000000003</x:v>
      </x:c>
      <x:c r="J7083" s="13" t="n">
        <x:f>D7083*I7083*H7083</x:f>
        <x:v>0.05827845000000001</x:v>
      </x:c>
      <x:c r="K7083" s="13" t="n">
        <x:f>E7083*I7083*H7083</x:f>
        <x:v>0.061366050000000005</x:v>
      </x:c>
      <x:c r="L7083" s="1" t="str">
        <x:f>TEXT(A7083,"mmm yyyy")</x:f>
        <x:v>Oct 2026</x:v>
      </x:c>
    </x:row>
    <x:row r="7084" ht="21" customHeight="1">
      <x:c r="A7084" s="10" t="n">
        <x:v>46296</x:v>
      </x:c>
      <x:c r="B7084" s="1" t="n">
        <x:v>2</x:v>
      </x:c>
      <x:c r="C7084" s="1" t="n">
        <x:v>6</x:v>
      </x:c>
      <x:c r="D7084" s="12" t="n">
        <x:v>0.2515</x:v>
      </x:c>
      <x:c r="E7084" s="12" t="n">
        <x:v>0.2615</x:v>
      </x:c>
      <x:c r="F7084" s="12" t="n">
        <x:v>0</x:v>
      </x:c>
      <x:c r="G7084" s="12" t="n">
        <x:v>0</x:v>
      </x:c>
      <x:c r="H7084" s="1" t="n">
        <x:f>'Historical prices'!E7084</x:f>
        <x:v>1</x:v>
      </x:c>
      <x:c r="I7084" s="6" t="n">
        <x:f>'Historical prices'!D7084</x:f>
        <x:v>0.253</x:v>
      </x:c>
      <x:c r="J7084" s="13" t="n">
        <x:f>D7084*I7084*H7084</x:f>
        <x:v>0.0636295</x:v>
      </x:c>
      <x:c r="K7084" s="13" t="n">
        <x:f>E7084*I7084*H7084</x:f>
        <x:v>0.06615950000000001</x:v>
      </x:c>
      <x:c r="L7084" s="1" t="str">
        <x:f>TEXT(A7084,"mmm yyyy")</x:f>
        <x:v>Oct 2026</x:v>
      </x:c>
    </x:row>
    <x:row r="7085" ht="21" customHeight="1">
      <x:c r="A7085" s="10" t="n">
        <x:v>46296</x:v>
      </x:c>
      <x:c r="B7085" s="1" t="n">
        <x:v>2.5</x:v>
      </x:c>
      <x:c r="C7085" s="1" t="n">
        <x:v>6</x:v>
      </x:c>
      <x:c r="D7085" s="12" t="n">
        <x:v>0.316</x:v>
      </x:c>
      <x:c r="E7085" s="12" t="n">
        <x:v>0.326</x:v>
      </x:c>
      <x:c r="F7085" s="12" t="n">
        <x:v>0</x:v>
      </x:c>
      <x:c r="G7085" s="12" t="n">
        <x:v>0</x:v>
      </x:c>
      <x:c r="H7085" s="1" t="n">
        <x:f>'Historical prices'!E7085</x:f>
        <x:v>1</x:v>
      </x:c>
      <x:c r="I7085" s="6" t="n">
        <x:f>'Historical prices'!D7085</x:f>
        <x:v>0.26280000000000003</x:v>
      </x:c>
      <x:c r="J7085" s="13" t="n">
        <x:f>D7085*I7085*H7085</x:f>
        <x:v>0.08304480000000002</x:v>
      </x:c>
      <x:c r="K7085" s="13" t="n">
        <x:f>E7085*I7085*H7085</x:f>
        <x:v>0.08567280000000001</x:v>
      </x:c>
      <x:c r="L7085" s="1" t="str">
        <x:f>TEXT(A7085,"mmm yyyy")</x:f>
        <x:v>Oct 2026</x:v>
      </x:c>
    </x:row>
    <x:row r="7086" ht="21" customHeight="1">
      <x:c r="A7086" s="10" t="n">
        <x:v>46296</x:v>
      </x:c>
      <x:c r="B7086" s="1" t="n">
        <x:v>3</x:v>
      </x:c>
      <x:c r="C7086" s="1" t="n">
        <x:v>6</x:v>
      </x:c>
      <x:c r="D7086" s="12" t="n">
        <x:v>0.2145</x:v>
      </x:c>
      <x:c r="E7086" s="12" t="n">
        <x:v>0.2245</x:v>
      </x:c>
      <x:c r="F7086" s="12" t="n">
        <x:v>0</x:v>
      </x:c>
      <x:c r="G7086" s="12" t="n">
        <x:v>0</x:v>
      </x:c>
      <x:c r="H7086" s="1" t="n">
        <x:f>'Historical prices'!E7086</x:f>
        <x:v>1</x:v>
      </x:c>
      <x:c r="I7086" s="6" t="n">
        <x:f>'Historical prices'!D7086</x:f>
        <x:v>0.2583</x:v>
      </x:c>
      <x:c r="J7086" s="13" t="n">
        <x:f>D7086*I7086*H7086</x:f>
        <x:v>0.05540534999999999</x:v>
      </x:c>
      <x:c r="K7086" s="13" t="n">
        <x:f>E7086*I7086*H7086</x:f>
        <x:v>0.057988349999999994</x:v>
      </x:c>
      <x:c r="L7086" s="1" t="str">
        <x:f>TEXT(A7086,"mmm yyyy")</x:f>
        <x:v>Oct 2026</x:v>
      </x:c>
    </x:row>
    <x:row r="7087" ht="21" customHeight="1">
      <x:c r="A7087" s="10" t="n">
        <x:v>46296</x:v>
      </x:c>
      <x:c r="B7087" s="1" t="n">
        <x:v>3.5</x:v>
      </x:c>
      <x:c r="C7087" s="1" t="n">
        <x:v>6</x:v>
      </x:c>
      <x:c r="D7087" s="12" t="n">
        <x:v>0.20525000000000002</x:v>
      </x:c>
      <x:c r="E7087" s="12" t="n">
        <x:v>0.21625000000000003</x:v>
      </x:c>
      <x:c r="F7087" s="12" t="n">
        <x:v>0</x:v>
      </x:c>
      <x:c r="G7087" s="12" t="n">
        <x:v>0</x:v>
      </x:c>
      <x:c r="H7087" s="1" t="n">
        <x:f>'Historical prices'!E7087</x:f>
        <x:v>1</x:v>
      </x:c>
      <x:c r="I7087" s="6" t="n">
        <x:f>'Historical prices'!D7087</x:f>
        <x:v>0.2579</x:v>
      </x:c>
      <x:c r="J7087" s="13" t="n">
        <x:f>D7087*I7087*H7087</x:f>
        <x:v>0.05293397500000001</x:v>
      </x:c>
      <x:c r="K7087" s="13" t="n">
        <x:f>E7087*I7087*H7087</x:f>
        <x:v>0.05577087500000001</x:v>
      </x:c>
      <x:c r="L7087" s="1" t="str">
        <x:f>TEXT(A7087,"mmm yyyy")</x:f>
        <x:v>Oct 2026</x:v>
      </x:c>
    </x:row>
    <x:row r="7088" ht="21" customHeight="1">
      <x:c r="A7088" s="10" t="n">
        <x:v>46296</x:v>
      </x:c>
      <x:c r="B7088" s="1" t="n">
        <x:v>4</x:v>
      </x:c>
      <x:c r="C7088" s="1" t="n">
        <x:v>6</x:v>
      </x:c>
      <x:c r="D7088" s="12" t="n">
        <x:v>0.28600000000000003</x:v>
      </x:c>
      <x:c r="E7088" s="12" t="n">
        <x:v>0.297</x:v>
      </x:c>
      <x:c r="F7088" s="12" t="n">
        <x:v>0</x:v>
      </x:c>
      <x:c r="G7088" s="12" t="n">
        <x:v>0</x:v>
      </x:c>
      <x:c r="H7088" s="1" t="n">
        <x:f>'Historical prices'!E7088</x:f>
        <x:v>1</x:v>
      </x:c>
      <x:c r="I7088" s="6" t="n">
        <x:f>'Historical prices'!D7088</x:f>
        <x:v>0.2627</x:v>
      </x:c>
      <x:c r="J7088" s="13" t="n">
        <x:f>D7088*I7088*H7088</x:f>
        <x:v>0.07513220000000001</x:v>
      </x:c>
      <x:c r="K7088" s="13" t="n">
        <x:f>E7088*I7088*H7088</x:f>
        <x:v>0.07802189999999999</x:v>
      </x:c>
      <x:c r="L7088" s="1" t="str">
        <x:f>TEXT(A7088,"mmm yyyy")</x:f>
        <x:v>Oct 2026</x:v>
      </x:c>
    </x:row>
    <x:row r="7089" ht="21" customHeight="1">
      <x:c r="A7089" s="10" t="n">
        <x:v>46296</x:v>
      </x:c>
      <x:c r="B7089" s="1" t="n">
        <x:v>4.5</x:v>
      </x:c>
      <x:c r="C7089" s="1" t="n">
        <x:v>6</x:v>
      </x:c>
      <x:c r="D7089" s="12" t="n">
        <x:v>0.24100000000000002</x:v>
      </x:c>
      <x:c r="E7089" s="12" t="n">
        <x:v>0.251</x:v>
      </x:c>
      <x:c r="F7089" s="12" t="n">
        <x:v>0</x:v>
      </x:c>
      <x:c r="G7089" s="12" t="n">
        <x:v>0</x:v>
      </x:c>
      <x:c r="H7089" s="1" t="n">
        <x:f>'Historical prices'!E7089</x:f>
        <x:v>1</x:v>
      </x:c>
      <x:c r="I7089" s="6" t="n">
        <x:f>'Historical prices'!D7089</x:f>
        <x:v>0.2415</x:v>
      </x:c>
      <x:c r="J7089" s="13" t="n">
        <x:f>D7089*I7089*H7089</x:f>
        <x:v>0.0582015</x:v>
      </x:c>
      <x:c r="K7089" s="13" t="n">
        <x:f>E7089*I7089*H7089</x:f>
        <x:v>0.0606165</x:v>
      </x:c>
      <x:c r="L7089" s="1" t="str">
        <x:f>TEXT(A7089,"mmm yyyy")</x:f>
        <x:v>Oct 2026</x:v>
      </x:c>
    </x:row>
    <x:row r="7090" ht="21" customHeight="1">
      <x:c r="A7090" s="10" t="n">
        <x:v>46296</x:v>
      </x:c>
      <x:c r="B7090" s="1" t="n">
        <x:v>5</x:v>
      </x:c>
      <x:c r="C7090" s="1" t="n">
        <x:v>6</x:v>
      </x:c>
      <x:c r="D7090" s="12" t="n">
        <x:v>0.18725</x:v>
      </x:c>
      <x:c r="E7090" s="12" t="n">
        <x:v>0.19625</x:v>
      </x:c>
      <x:c r="F7090" s="12" t="n">
        <x:v>0</x:v>
      </x:c>
      <x:c r="G7090" s="12" t="n">
        <x:v>0</x:v>
      </x:c>
      <x:c r="H7090" s="1" t="n">
        <x:f>'Historical prices'!E7090</x:f>
        <x:v>1</x:v>
      </x:c>
      <x:c r="I7090" s="6" t="n">
        <x:f>'Historical prices'!D7090</x:f>
        <x:v>0.29</x:v>
      </x:c>
      <x:c r="J7090" s="13" t="n">
        <x:f>D7090*I7090*H7090</x:f>
        <x:v>0.0543025</x:v>
      </x:c>
      <x:c r="K7090" s="13" t="n">
        <x:f>E7090*I7090*H7090</x:f>
        <x:v>0.0569125</x:v>
      </x:c>
      <x:c r="L7090" s="1" t="str">
        <x:f>TEXT(A7090,"mmm yyyy")</x:f>
        <x:v>Oct 2026</x:v>
      </x:c>
    </x:row>
    <x:row r="7091" ht="21" customHeight="1">
      <x:c r="A7091" s="10" t="n">
        <x:v>46296</x:v>
      </x:c>
      <x:c r="B7091" s="1" t="n">
        <x:v>5.5</x:v>
      </x:c>
      <x:c r="C7091" s="1" t="n">
        <x:v>6</x:v>
      </x:c>
      <x:c r="D7091" s="12" t="n">
        <x:v>0.2625</x:v>
      </x:c>
      <x:c r="E7091" s="12" t="n">
        <x:v>0.2735</x:v>
      </x:c>
      <x:c r="F7091" s="12" t="n">
        <x:v>0</x:v>
      </x:c>
      <x:c r="G7091" s="12" t="n">
        <x:v>0</x:v>
      </x:c>
      <x:c r="H7091" s="1" t="n">
        <x:f>'Historical prices'!E7091</x:f>
        <x:v>1</x:v>
      </x:c>
      <x:c r="I7091" s="6" t="n">
        <x:f>'Historical prices'!D7091</x:f>
        <x:v>0.29</x:v>
      </x:c>
      <x:c r="J7091" s="13" t="n">
        <x:f>D7091*I7091*H7091</x:f>
        <x:v>0.076125</x:v>
      </x:c>
      <x:c r="K7091" s="13" t="n">
        <x:f>E7091*I7091*H7091</x:f>
        <x:v>0.079315</x:v>
      </x:c>
      <x:c r="L7091" s="1" t="str">
        <x:f>TEXT(A7091,"mmm yyyy")</x:f>
        <x:v>Oct 2026</x:v>
      </x:c>
    </x:row>
    <x:row r="7092" ht="21" customHeight="1">
      <x:c r="A7092" s="10" t="n">
        <x:v>46296</x:v>
      </x:c>
      <x:c r="B7092" s="1" t="n">
        <x:v>6</x:v>
      </x:c>
      <x:c r="C7092" s="1" t="n">
        <x:v>6</x:v>
      </x:c>
      <x:c r="D7092" s="12" t="n">
        <x:v>0.3005</x:v>
      </x:c>
      <x:c r="E7092" s="12" t="n">
        <x:v>0.3105</x:v>
      </x:c>
      <x:c r="F7092" s="12" t="n">
        <x:v>0</x:v>
      </x:c>
      <x:c r="G7092" s="12" t="n">
        <x:v>0</x:v>
      </x:c>
      <x:c r="H7092" s="1" t="n">
        <x:f>'Historical prices'!E7092</x:f>
        <x:v>1</x:v>
      </x:c>
      <x:c r="I7092" s="6" t="n">
        <x:f>'Historical prices'!D7092</x:f>
        <x:v>0.3295</x:v>
      </x:c>
      <x:c r="J7092" s="13" t="n">
        <x:f>D7092*I7092*H7092</x:f>
        <x:v>0.09901475</x:v>
      </x:c>
      <x:c r="K7092" s="13" t="n">
        <x:f>E7092*I7092*H7092</x:f>
        <x:v>0.10230975</x:v>
      </x:c>
      <x:c r="L7092" s="1" t="str">
        <x:f>TEXT(A7092,"mmm yyyy")</x:f>
        <x:v>Oct 2026</x:v>
      </x:c>
    </x:row>
    <x:row r="7093" ht="21" customHeight="1">
      <x:c r="A7093" s="10" t="n">
        <x:v>46296</x:v>
      </x:c>
      <x:c r="B7093" s="1" t="n">
        <x:v>6.5</x:v>
      </x:c>
      <x:c r="C7093" s="1" t="n">
        <x:v>6</x:v>
      </x:c>
      <x:c r="D7093" s="12" t="n">
        <x:v>0.27125</x:v>
      </x:c>
      <x:c r="E7093" s="12" t="n">
        <x:v>0.28225</x:v>
      </x:c>
      <x:c r="F7093" s="12" t="n">
        <x:v>0</x:v>
      </x:c>
      <x:c r="G7093" s="12" t="n">
        <x:v>0</x:v>
      </x:c>
      <x:c r="H7093" s="1" t="n">
        <x:f>'Historical prices'!E7093</x:f>
        <x:v>1</x:v>
      </x:c>
      <x:c r="I7093" s="6" t="n">
        <x:f>'Historical prices'!D7093</x:f>
        <x:v>0.3615</x:v>
      </x:c>
      <x:c r="J7093" s="13" t="n">
        <x:f>D7093*I7093*H7093</x:f>
        <x:v>0.09805687499999999</x:v>
      </x:c>
      <x:c r="K7093" s="13" t="n">
        <x:f>E7093*I7093*H7093</x:f>
        <x:v>0.102033375</x:v>
      </x:c>
      <x:c r="L7093" s="1" t="str">
        <x:f>TEXT(A7093,"mmm yyyy")</x:f>
        <x:v>Oct 2026</x:v>
      </x:c>
    </x:row>
    <x:row r="7094" ht="21" customHeight="1">
      <x:c r="A7094" s="10" t="n">
        <x:v>46296</x:v>
      </x:c>
      <x:c r="B7094" s="1" t="n">
        <x:v>7</x:v>
      </x:c>
      <x:c r="C7094" s="1" t="n">
        <x:v>6</x:v>
      </x:c>
      <x:c r="D7094" s="12" t="n">
        <x:v>0.44800000000000006</x:v>
      </x:c>
      <x:c r="E7094" s="12" t="n">
        <x:v>0.4580000000000001</x:v>
      </x:c>
      <x:c r="F7094" s="12" t="n">
        <x:v>0</x:v>
      </x:c>
      <x:c r="G7094" s="12" t="n">
        <x:v>0</x:v>
      </x:c>
      <x:c r="H7094" s="1" t="n">
        <x:f>'Historical prices'!E7094</x:f>
        <x:v>1</x:v>
      </x:c>
      <x:c r="I7094" s="6" t="n">
        <x:f>'Historical prices'!D7094</x:f>
        <x:v>0.33880000000000005</x:v>
      </x:c>
      <x:c r="J7094" s="13" t="n">
        <x:f>D7094*I7094*H7094</x:f>
        <x:v>0.15178240000000004</x:v>
      </x:c>
      <x:c r="K7094" s="13" t="n">
        <x:f>E7094*I7094*H7094</x:f>
        <x:v>0.15517040000000004</x:v>
      </x:c>
      <x:c r="L7094" s="1" t="str">
        <x:f>TEXT(A7094,"mmm yyyy")</x:f>
        <x:v>Oct 2026</x:v>
      </x:c>
    </x:row>
    <x:row r="7095" ht="21" customHeight="1">
      <x:c r="A7095" s="10" t="n">
        <x:v>46296</x:v>
      </x:c>
      <x:c r="B7095" s="1" t="n">
        <x:v>7.5</x:v>
      </x:c>
      <x:c r="C7095" s="1" t="n">
        <x:v>6</x:v>
      </x:c>
      <x:c r="D7095" s="12" t="n">
        <x:v>0.26475</x:v>
      </x:c>
      <x:c r="E7095" s="12" t="n">
        <x:v>0.419</x:v>
      </x:c>
      <x:c r="F7095" s="12" t="n">
        <x:v>0.146</x:v>
      </x:c>
      <x:c r="G7095" s="12" t="n">
        <x:v>0</x:v>
      </x:c>
      <x:c r="H7095" s="1" t="n">
        <x:f>'Historical prices'!E7095</x:f>
        <x:v>1</x:v>
      </x:c>
      <x:c r="I7095" s="6" t="n">
        <x:f>'Historical prices'!D7095</x:f>
        <x:v>0.3567</x:v>
      </x:c>
      <x:c r="J7095" s="13" t="n">
        <x:f>D7095*I7095*H7095</x:f>
        <x:v>0.094436325</x:v>
      </x:c>
      <x:c r="K7095" s="13" t="n">
        <x:f>E7095*I7095*H7095</x:f>
        <x:v>0.14945730000000002</x:v>
      </x:c>
      <x:c r="L7095" s="1" t="str">
        <x:f>TEXT(A7095,"mmm yyyy")</x:f>
        <x:v>Oct 2026</x:v>
      </x:c>
    </x:row>
    <x:row r="7096" ht="21" customHeight="1">
      <x:c r="A7096" s="10" t="n">
        <x:v>46296</x:v>
      </x:c>
      <x:c r="B7096" s="1" t="n">
        <x:v>8</x:v>
      </x:c>
      <x:c r="C7096" s="1" t="n">
        <x:v>6</x:v>
      </x:c>
      <x:c r="D7096" s="12" t="n">
        <x:v>0</x:v>
      </x:c>
      <x:c r="E7096" s="12" t="n">
        <x:v>0.5301666666666667</x:v>
      </x:c>
      <x:c r="F7096" s="12" t="n">
        <x:v>0.5296666666666666</x:v>
      </x:c>
      <x:c r="G7096" s="12" t="n">
        <x:v>0</x:v>
      </x:c>
      <x:c r="H7096" s="1" t="n">
        <x:f>'Historical prices'!E7096</x:f>
        <x:v>1</x:v>
      </x:c>
      <x:c r="I7096" s="6" t="n">
        <x:f>'Historical prices'!D7096</x:f>
        <x:v>0.355</x:v>
      </x:c>
      <x:c r="J7096" s="13" t="n">
        <x:f>D7096*I7096*H7096</x:f>
        <x:v>0</x:v>
      </x:c>
      <x:c r="K7096" s="13" t="n">
        <x:f>E7096*I7096*H7096</x:f>
        <x:v>0.18820916666666665</x:v>
      </x:c>
      <x:c r="L7096" s="1" t="str">
        <x:f>TEXT(A7096,"mmm yyyy")</x:f>
        <x:v>Oct 2026</x:v>
      </x:c>
    </x:row>
    <x:row r="7097" ht="21" customHeight="1">
      <x:c r="A7097" s="10" t="n">
        <x:v>46296</x:v>
      </x:c>
      <x:c r="B7097" s="1" t="n">
        <x:v>8.5</x:v>
      </x:c>
      <x:c r="C7097" s="1" t="n">
        <x:v>6</x:v>
      </x:c>
      <x:c r="D7097" s="12" t="n">
        <x:v>0.028166666666666666</x:v>
      </x:c>
      <x:c r="E7097" s="12" t="n">
        <x:v>0.53125</x:v>
      </x:c>
      <x:c r="F7097" s="12" t="n">
        <x:v>0.5029166666666667</x:v>
      </x:c>
      <x:c r="G7097" s="12" t="n">
        <x:v>0</x:v>
      </x:c>
      <x:c r="H7097" s="1" t="n">
        <x:f>'Historical prices'!E7097</x:f>
        <x:v>1</x:v>
      </x:c>
      <x:c r="I7097" s="6" t="n">
        <x:f>'Historical prices'!D7097</x:f>
        <x:v>0.3531</x:v>
      </x:c>
      <x:c r="J7097" s="13" t="n">
        <x:f>D7097*I7097*H7097</x:f>
        <x:v>0.00994565</x:v>
      </x:c>
      <x:c r="K7097" s="13" t="n">
        <x:f>E7097*I7097*H7097</x:f>
        <x:v>0.18758437500000003</x:v>
      </x:c>
      <x:c r="L7097" s="1" t="str">
        <x:f>TEXT(A7097,"mmm yyyy")</x:f>
        <x:v>Oct 2026</x:v>
      </x:c>
    </x:row>
    <x:row r="7098" ht="21" customHeight="1">
      <x:c r="A7098" s="10" t="n">
        <x:v>46296</x:v>
      </x:c>
      <x:c r="B7098" s="1" t="n">
        <x:v>9</x:v>
      </x:c>
      <x:c r="C7098" s="1" t="n">
        <x:v>6</x:v>
      </x:c>
      <x:c r="D7098" s="12" t="n">
        <x:v>0.015</x:v>
      </x:c>
      <x:c r="E7098" s="12" t="n">
        <x:v>0.552</x:v>
      </x:c>
      <x:c r="F7098" s="12" t="n">
        <x:v>0.5365833333333333</x:v>
      </x:c>
      <x:c r="G7098" s="12" t="n">
        <x:v>0</x:v>
      </x:c>
      <x:c r="H7098" s="1" t="n">
        <x:f>'Historical prices'!E7098</x:f>
        <x:v>1</x:v>
      </x:c>
      <x:c r="I7098" s="6" t="n">
        <x:f>'Historical prices'!D7098</x:f>
        <x:v>0.35509999999999997</x:v>
      </x:c>
      <x:c r="J7098" s="13" t="n">
        <x:f>D7098*I7098*H7098</x:f>
        <x:v>0.0053265</x:v>
      </x:c>
      <x:c r="K7098" s="13" t="n">
        <x:f>E7098*I7098*H7098</x:f>
        <x:v>0.1960152</x:v>
      </x:c>
      <x:c r="L7098" s="1" t="str">
        <x:f>TEXT(A7098,"mmm yyyy")</x:f>
        <x:v>Oct 2026</x:v>
      </x:c>
    </x:row>
    <x:row r="7099" ht="21" customHeight="1">
      <x:c r="A7099" s="10" t="n">
        <x:v>46296</x:v>
      </x:c>
      <x:c r="B7099" s="1" t="n">
        <x:v>9.5</x:v>
      </x:c>
      <x:c r="C7099" s="1" t="n">
        <x:v>6</x:v>
      </x:c>
      <x:c r="D7099" s="12" t="n">
        <x:v>0.5651666666666667</x:v>
      </x:c>
      <x:c r="E7099" s="12" t="n">
        <x:v>0.4991666666666667</x:v>
      </x:c>
      <x:c r="F7099" s="12" t="n">
        <x:v>0.072</x:v>
      </x:c>
      <x:c r="G7099" s="12" t="n">
        <x:v>0.138</x:v>
      </x:c>
      <x:c r="H7099" s="1" t="n">
        <x:f>'Historical prices'!E7099</x:f>
        <x:v>1</x:v>
      </x:c>
      <x:c r="I7099" s="6" t="n">
        <x:f>'Historical prices'!D7099</x:f>
        <x:v>0.3208</x:v>
      </x:c>
      <x:c r="J7099" s="13" t="n">
        <x:f>D7099*I7099*H7099</x:f>
        <x:v>0.18130546666666666</x:v>
      </x:c>
      <x:c r="K7099" s="13" t="n">
        <x:f>E7099*I7099*H7099</x:f>
        <x:v>0.16013266666666667</x:v>
      </x:c>
      <x:c r="L7099" s="1" t="str">
        <x:f>TEXT(A7099,"mmm yyyy")</x:f>
        <x:v>Oct 2026</x:v>
      </x:c>
    </x:row>
    <x:row r="7100" ht="21" customHeight="1">
      <x:c r="A7100" s="10" t="n">
        <x:v>46296</x:v>
      </x:c>
      <x:c r="B7100" s="1" t="n">
        <x:v>10</x:v>
      </x:c>
      <x:c r="C7100" s="1" t="n">
        <x:v>6</x:v>
      </x:c>
      <x:c r="D7100" s="12" t="n">
        <x:v>0.6375</x:v>
      </x:c>
      <x:c r="E7100" s="12" t="n">
        <x:v>0.5694999999999999</x:v>
      </x:c>
      <x:c r="F7100" s="12" t="n">
        <x:v>0</x:v>
      </x:c>
      <x:c r="G7100" s="12" t="n">
        <x:v>0.06799999999999999</x:v>
      </x:c>
      <x:c r="H7100" s="1" t="n">
        <x:f>'Historical prices'!E7100</x:f>
        <x:v>1</x:v>
      </x:c>
      <x:c r="I7100" s="6" t="n">
        <x:f>'Historical prices'!D7100</x:f>
        <x:v>0.2779</x:v>
      </x:c>
      <x:c r="J7100" s="13" t="n">
        <x:f>D7100*I7100*H7100</x:f>
        <x:v>0.17716124999999996</x:v>
      </x:c>
      <x:c r="K7100" s="13" t="n">
        <x:f>E7100*I7100*H7100</x:f>
        <x:v>0.15826404999999996</x:v>
      </x:c>
      <x:c r="L7100" s="1" t="str">
        <x:f>TEXT(A7100,"mmm yyyy")</x:f>
        <x:v>Oct 2026</x:v>
      </x:c>
    </x:row>
    <x:row r="7101" ht="21" customHeight="1">
      <x:c r="A7101" s="10" t="n">
        <x:v>46296</x:v>
      </x:c>
      <x:c r="B7101" s="1" t="n">
        <x:v>10.5</x:v>
      </x:c>
      <x:c r="C7101" s="1" t="n">
        <x:v>6</x:v>
      </x:c>
      <x:c r="D7101" s="12" t="n">
        <x:v>0.62575</x:v>
      </x:c>
      <x:c r="E7101" s="12" t="n">
        <x:v>0.55675</x:v>
      </x:c>
      <x:c r="F7101" s="12" t="n">
        <x:v>0</x:v>
      </x:c>
      <x:c r="G7101" s="12" t="n">
        <x:v>0.06899999999999999</x:v>
      </x:c>
      <x:c r="H7101" s="1" t="n">
        <x:f>'Historical prices'!E7101</x:f>
        <x:v>1</x:v>
      </x:c>
      <x:c r="I7101" s="6" t="n">
        <x:f>'Historical prices'!D7101</x:f>
        <x:v>0.2606</x:v>
      </x:c>
      <x:c r="J7101" s="13" t="n">
        <x:f>D7101*I7101*H7101</x:f>
        <x:v>0.16307045</x:v>
      </x:c>
      <x:c r="K7101" s="13" t="n">
        <x:f>E7101*I7101*H7101</x:f>
        <x:v>0.14508905</x:v>
      </x:c>
      <x:c r="L7101" s="1" t="str">
        <x:f>TEXT(A7101,"mmm yyyy")</x:f>
        <x:v>Oct 2026</x:v>
      </x:c>
    </x:row>
    <x:row r="7102" ht="21" customHeight="1">
      <x:c r="A7102" s="10" t="n">
        <x:v>46296</x:v>
      </x:c>
      <x:c r="B7102" s="1" t="n">
        <x:v>11</x:v>
      </x:c>
      <x:c r="C7102" s="1" t="n">
        <x:v>6</x:v>
      </x:c>
      <x:c r="D7102" s="12" t="n">
        <x:v>0.5715</x:v>
      </x:c>
      <x:c r="E7102" s="12" t="n">
        <x:v>0.5005000000000001</x:v>
      </x:c>
      <x:c r="F7102" s="12" t="n">
        <x:v>0</x:v>
      </x:c>
      <x:c r="G7102" s="12" t="n">
        <x:v>0.071</x:v>
      </x:c>
      <x:c r="H7102" s="1" t="n">
        <x:f>'Historical prices'!E7102</x:f>
        <x:v>1</x:v>
      </x:c>
      <x:c r="I7102" s="6" t="n">
        <x:f>'Historical prices'!D7102</x:f>
        <x:v>0.26649999999999996</x:v>
      </x:c>
      <x:c r="J7102" s="13" t="n">
        <x:f>D7102*I7102*H7102</x:f>
        <x:v>0.15230475</x:v>
      </x:c>
      <x:c r="K7102" s="13" t="n">
        <x:f>E7102*I7102*H7102</x:f>
        <x:v>0.13338324999999998</x:v>
      </x:c>
      <x:c r="L7102" s="1" t="str">
        <x:f>TEXT(A7102,"mmm yyyy")</x:f>
        <x:v>Oct 2026</x:v>
      </x:c>
    </x:row>
    <x:row r="7103" ht="21" customHeight="1">
      <x:c r="A7103" s="10" t="n">
        <x:v>46296</x:v>
      </x:c>
      <x:c r="B7103" s="1" t="n">
        <x:v>11.5</x:v>
      </x:c>
      <x:c r="C7103" s="1" t="n">
        <x:v>6</x:v>
      </x:c>
      <x:c r="D7103" s="12" t="n">
        <x:v>0.6534999999999999</x:v>
      </x:c>
      <x:c r="E7103" s="12" t="n">
        <x:v>0.5775</x:v>
      </x:c>
      <x:c r="F7103" s="12" t="n">
        <x:v>0</x:v>
      </x:c>
      <x:c r="G7103" s="12" t="n">
        <x:v>0.076</x:v>
      </x:c>
      <x:c r="H7103" s="1" t="n">
        <x:f>'Historical prices'!E7103</x:f>
        <x:v>1</x:v>
      </x:c>
      <x:c r="I7103" s="6" t="n">
        <x:f>'Historical prices'!D7103</x:f>
        <x:v>0.2608</x:v>
      </x:c>
      <x:c r="J7103" s="13" t="n">
        <x:f>D7103*I7103*H7103</x:f>
        <x:v>0.17043279999999994</x:v>
      </x:c>
      <x:c r="K7103" s="13" t="n">
        <x:f>E7103*I7103*H7103</x:f>
        <x:v>0.150612</x:v>
      </x:c>
      <x:c r="L7103" s="1" t="str">
        <x:f>TEXT(A7103,"mmm yyyy")</x:f>
        <x:v>Oct 2026</x:v>
      </x:c>
    </x:row>
    <x:row r="7104" ht="21" customHeight="1">
      <x:c r="A7104" s="10" t="n">
        <x:v>46296</x:v>
      </x:c>
      <x:c r="B7104" s="1" t="n">
        <x:v>12</x:v>
      </x:c>
      <x:c r="C7104" s="1" t="n">
        <x:v>6</x:v>
      </x:c>
      <x:c r="D7104" s="12" t="n">
        <x:v>0.609</x:v>
      </x:c>
      <x:c r="E7104" s="12" t="n">
        <x:v>0.5329999999999999</x:v>
      </x:c>
      <x:c r="F7104" s="12" t="n">
        <x:v>0</x:v>
      </x:c>
      <x:c r="G7104" s="12" t="n">
        <x:v>0.076</x:v>
      </x:c>
      <x:c r="H7104" s="1" t="n">
        <x:f>'Historical prices'!E7104</x:f>
        <x:v>1</x:v>
      </x:c>
      <x:c r="I7104" s="6" t="n">
        <x:f>'Historical prices'!D7104</x:f>
        <x:v>0.2556</x:v>
      </x:c>
      <x:c r="J7104" s="13" t="n">
        <x:f>D7104*I7104*H7104</x:f>
        <x:v>0.1556604</x:v>
      </x:c>
      <x:c r="K7104" s="13" t="n">
        <x:f>E7104*I7104*H7104</x:f>
        <x:v>0.1362348</x:v>
      </x:c>
      <x:c r="L7104" s="1" t="str">
        <x:f>TEXT(A7104,"mmm yyyy")</x:f>
        <x:v>Oct 2026</x:v>
      </x:c>
    </x:row>
    <x:row r="7105" ht="21" customHeight="1">
      <x:c r="A7105" s="10" t="n">
        <x:v>46296</x:v>
      </x:c>
      <x:c r="B7105" s="1" t="n">
        <x:v>12.5</x:v>
      </x:c>
      <x:c r="C7105" s="1" t="n">
        <x:v>6</x:v>
      </x:c>
      <x:c r="D7105" s="12" t="n">
        <x:v>0.53125</x:v>
      </x:c>
      <x:c r="E7105" s="12" t="n">
        <x:v>0.45924999999999994</x:v>
      </x:c>
      <x:c r="F7105" s="12" t="n">
        <x:v>0</x:v>
      </x:c>
      <x:c r="G7105" s="12" t="n">
        <x:v>0.072</x:v>
      </x:c>
      <x:c r="H7105" s="1" t="n">
        <x:f>'Historical prices'!E7105</x:f>
        <x:v>1</x:v>
      </x:c>
      <x:c r="I7105" s="6" t="n">
        <x:f>'Historical prices'!D7105</x:f>
        <x:v>0.254</x:v>
      </x:c>
      <x:c r="J7105" s="13" t="n">
        <x:f>D7105*I7105*H7105</x:f>
        <x:v>0.1349375</x:v>
      </x:c>
      <x:c r="K7105" s="13" t="n">
        <x:f>E7105*I7105*H7105</x:f>
        <x:v>0.11664949999999999</x:v>
      </x:c>
      <x:c r="L7105" s="1" t="str">
        <x:f>TEXT(A7105,"mmm yyyy")</x:f>
        <x:v>Oct 2026</x:v>
      </x:c>
    </x:row>
    <x:row r="7106" ht="21" customHeight="1">
      <x:c r="A7106" s="10" t="n">
        <x:v>46296</x:v>
      </x:c>
      <x:c r="B7106" s="1" t="n">
        <x:v>13</x:v>
      </x:c>
      <x:c r="C7106" s="1" t="n">
        <x:v>6</x:v>
      </x:c>
      <x:c r="D7106" s="12" t="n">
        <x:v>2.32925</x:v>
      </x:c>
      <x:c r="E7106" s="12" t="n">
        <x:v>0.58525</x:v>
      </x:c>
      <x:c r="F7106" s="12" t="n">
        <x:v>0</x:v>
      </x:c>
      <x:c r="G7106" s="12" t="n">
        <x:v>1.7440000000000002</x:v>
      </x:c>
      <x:c r="H7106" s="1" t="n">
        <x:f>'Historical prices'!E7106</x:f>
        <x:v>1</x:v>
      </x:c>
      <x:c r="I7106" s="6" t="n">
        <x:f>'Historical prices'!D7106</x:f>
        <x:v>0.2518</x:v>
      </x:c>
      <x:c r="J7106" s="13" t="n">
        <x:f>D7106*I7106*H7106</x:f>
        <x:v>0.58650515</x:v>
      </x:c>
      <x:c r="K7106" s="13" t="n">
        <x:f>E7106*I7106*H7106</x:f>
        <x:v>0.14736595000000002</x:v>
      </x:c>
      <x:c r="L7106" s="1" t="str">
        <x:f>TEXT(A7106,"mmm yyyy")</x:f>
        <x:v>Oct 2026</x:v>
      </x:c>
    </x:row>
    <x:row r="7107" ht="21" customHeight="1">
      <x:c r="A7107" s="10" t="n">
        <x:v>46296</x:v>
      </x:c>
      <x:c r="B7107" s="1" t="n">
        <x:v>13.5</x:v>
      </x:c>
      <x:c r="C7107" s="1" t="n">
        <x:v>6</x:v>
      </x:c>
      <x:c r="D7107" s="12" t="n">
        <x:v>5.2565</x:v>
      </x:c>
      <x:c r="E7107" s="12" t="n">
        <x:v>0.7365</x:v>
      </x:c>
      <x:c r="F7107" s="12" t="n">
        <x:v>0</x:v>
      </x:c>
      <x:c r="G7107" s="12" t="n">
        <x:v>4.5200000000000005</x:v>
      </x:c>
      <x:c r="H7107" s="1" t="n">
        <x:f>'Historical prices'!E7107</x:f>
        <x:v>1</x:v>
      </x:c>
      <x:c r="I7107" s="6" t="n">
        <x:f>'Historical prices'!D7107</x:f>
        <x:v>0.2492</x:v>
      </x:c>
      <x:c r="J7107" s="13" t="n">
        <x:f>D7107*I7107*H7107</x:f>
        <x:v>1.3099198</x:v>
      </x:c>
      <x:c r="K7107" s="13" t="n">
        <x:f>E7107*I7107*H7107</x:f>
        <x:v>0.18353580000000003</x:v>
      </x:c>
      <x:c r="L7107" s="1" t="str">
        <x:f>TEXT(A7107,"mmm yyyy")</x:f>
        <x:v>Oct 2026</x:v>
      </x:c>
    </x:row>
    <x:row r="7108" ht="21" customHeight="1">
      <x:c r="A7108" s="10" t="n">
        <x:v>46296</x:v>
      </x:c>
      <x:c r="B7108" s="1" t="n">
        <x:v>14</x:v>
      </x:c>
      <x:c r="C7108" s="1" t="n">
        <x:v>6</x:v>
      </x:c>
      <x:c r="D7108" s="12" t="n">
        <x:v>1.286</x:v>
      </x:c>
      <x:c r="E7108" s="12" t="n">
        <x:v>0.49799999999999994</x:v>
      </x:c>
      <x:c r="F7108" s="12" t="n">
        <x:v>0</x:v>
      </x:c>
      <x:c r="G7108" s="12" t="n">
        <x:v>0.794</x:v>
      </x:c>
      <x:c r="H7108" s="1" t="n">
        <x:f>'Historical prices'!E7108</x:f>
        <x:v>1</x:v>
      </x:c>
      <x:c r="I7108" s="6" t="n">
        <x:f>'Historical prices'!D7108</x:f>
        <x:v>0.25780000000000003</x:v>
      </x:c>
      <x:c r="J7108" s="13" t="n">
        <x:f>D7108*I7108*H7108</x:f>
        <x:v>0.33153080000000007</x:v>
      </x:c>
      <x:c r="K7108" s="13" t="n">
        <x:f>E7108*I7108*H7108</x:f>
        <x:v>0.1283844</x:v>
      </x:c>
      <x:c r="L7108" s="1" t="str">
        <x:f>TEXT(A7108,"mmm yyyy")</x:f>
        <x:v>Oct 2026</x:v>
      </x:c>
    </x:row>
    <x:row r="7109" ht="21" customHeight="1">
      <x:c r="A7109" s="10" t="n">
        <x:v>46296</x:v>
      </x:c>
      <x:c r="B7109" s="1" t="n">
        <x:v>14.5</x:v>
      </x:c>
      <x:c r="C7109" s="1" t="n">
        <x:v>6</x:v>
      </x:c>
      <x:c r="D7109" s="12" t="n">
        <x:v>0.3945</x:v>
      </x:c>
      <x:c r="E7109" s="12" t="n">
        <x:v>0.4055</x:v>
      </x:c>
      <x:c r="F7109" s="12" t="n">
        <x:v>0</x:v>
      </x:c>
      <x:c r="G7109" s="12" t="n">
        <x:v>0</x:v>
      </x:c>
      <x:c r="H7109" s="1" t="n">
        <x:f>'Historical prices'!E7109</x:f>
        <x:v>1</x:v>
      </x:c>
      <x:c r="I7109" s="6" t="n">
        <x:f>'Historical prices'!D7109</x:f>
        <x:v>0.2579</x:v>
      </x:c>
      <x:c r="J7109" s="13" t="n">
        <x:f>D7109*I7109*H7109</x:f>
        <x:v>0.10174155000000001</x:v>
      </x:c>
      <x:c r="K7109" s="13" t="n">
        <x:f>E7109*I7109*H7109</x:f>
        <x:v>0.10457845000000002</x:v>
      </x:c>
      <x:c r="L7109" s="1" t="str">
        <x:f>TEXT(A7109,"mmm yyyy")</x:f>
        <x:v>Oct 2026</x:v>
      </x:c>
    </x:row>
    <x:row r="7110" ht="21" customHeight="1">
      <x:c r="A7110" s="10" t="n">
        <x:v>46296</x:v>
      </x:c>
      <x:c r="B7110" s="1" t="n">
        <x:v>15</x:v>
      </x:c>
      <x:c r="C7110" s="1" t="n">
        <x:v>6</x:v>
      </x:c>
      <x:c r="D7110" s="12" t="n">
        <x:v>0.77875</x:v>
      </x:c>
      <x:c r="E7110" s="12" t="n">
        <x:v>0.46375</x:v>
      </x:c>
      <x:c r="F7110" s="12" t="n">
        <x:v>0</x:v>
      </x:c>
      <x:c r="G7110" s="12" t="n">
        <x:v>0.319</x:v>
      </x:c>
      <x:c r="H7110" s="1" t="n">
        <x:f>'Historical prices'!E7110</x:f>
        <x:v>1</x:v>
      </x:c>
      <x:c r="I7110" s="6" t="n">
        <x:f>'Historical prices'!D7110</x:f>
        <x:v>0.25739999999999996</x:v>
      </x:c>
      <x:c r="J7110" s="13" t="n">
        <x:f>D7110*I7110*H7110</x:f>
        <x:v>0.20045025</x:v>
      </x:c>
      <x:c r="K7110" s="13" t="n">
        <x:f>E7110*I7110*H7110</x:f>
        <x:v>0.11936924999999998</x:v>
      </x:c>
      <x:c r="L7110" s="1" t="str">
        <x:f>TEXT(A7110,"mmm yyyy")</x:f>
        <x:v>Oct 2026</x:v>
      </x:c>
    </x:row>
    <x:row r="7111" ht="21" customHeight="1">
      <x:c r="A7111" s="10" t="n">
        <x:v>46296</x:v>
      </x:c>
      <x:c r="B7111" s="1" t="n">
        <x:v>15.5</x:v>
      </x:c>
      <x:c r="C7111" s="1" t="n">
        <x:v>6</x:v>
      </x:c>
      <x:c r="D7111" s="12" t="n">
        <x:v>0.46975</x:v>
      </x:c>
      <x:c r="E7111" s="12" t="n">
        <x:v>0.47975</x:v>
      </x:c>
      <x:c r="F7111" s="12" t="n">
        <x:v>0</x:v>
      </x:c>
      <x:c r="G7111" s="12" t="n">
        <x:v>0</x:v>
      </x:c>
      <x:c r="H7111" s="1" t="n">
        <x:f>'Historical prices'!E7111</x:f>
        <x:v>1</x:v>
      </x:c>
      <x:c r="I7111" s="6" t="n">
        <x:f>'Historical prices'!D7111</x:f>
        <x:v>0.26940000000000003</x:v>
      </x:c>
      <x:c r="J7111" s="13" t="n">
        <x:f>D7111*I7111*H7111</x:f>
        <x:v>0.12655065000000001</x:v>
      </x:c>
      <x:c r="K7111" s="13" t="n">
        <x:f>E7111*I7111*H7111</x:f>
        <x:v>0.12924465000000002</x:v>
      </x:c>
      <x:c r="L7111" s="1" t="str">
        <x:f>TEXT(A7111,"mmm yyyy")</x:f>
        <x:v>Oct 2026</x:v>
      </x:c>
    </x:row>
    <x:row r="7112" ht="21" customHeight="1">
      <x:c r="A7112" s="10" t="n">
        <x:v>46296</x:v>
      </x:c>
      <x:c r="B7112" s="1" t="n">
        <x:v>16</x:v>
      </x:c>
      <x:c r="C7112" s="1" t="n">
        <x:v>6</x:v>
      </x:c>
      <x:c r="D7112" s="12" t="n">
        <x:v>0.07625</x:v>
      </x:c>
      <x:c r="E7112" s="12" t="n">
        <x:v>0.5535000000000001</x:v>
      </x:c>
      <x:c r="F7112" s="12" t="n">
        <x:v>0.4747499999999999</x:v>
      </x:c>
      <x:c r="G7112" s="12" t="n">
        <x:v>0</x:v>
      </x:c>
      <x:c r="H7112" s="1" t="n">
        <x:f>'Historical prices'!E7112</x:f>
        <x:v>1</x:v>
      </x:c>
      <x:c r="I7112" s="6" t="n">
        <x:f>'Historical prices'!D7112</x:f>
        <x:v>0.4188</x:v>
      </x:c>
      <x:c r="J7112" s="13" t="n">
        <x:f>D7112*I7112*H7112</x:f>
        <x:v>0.0319335</x:v>
      </x:c>
      <x:c r="K7112" s="13" t="n">
        <x:f>E7112*I7112*H7112</x:f>
        <x:v>0.23180580000000003</x:v>
      </x:c>
      <x:c r="L7112" s="1" t="str">
        <x:f>TEXT(A7112,"mmm yyyy")</x:f>
        <x:v>Oct 2026</x:v>
      </x:c>
    </x:row>
    <x:row r="7113" ht="21" customHeight="1">
      <x:c r="A7113" s="10" t="n">
        <x:v>46296</x:v>
      </x:c>
      <x:c r="B7113" s="1" t="n">
        <x:v>16.5</x:v>
      </x:c>
      <x:c r="C7113" s="1" t="n">
        <x:v>6</x:v>
      </x:c>
      <x:c r="D7113" s="12" t="n">
        <x:v>0</x:v>
      </x:c>
      <x:c r="E7113" s="12" t="n">
        <x:v>0.5466666666666666</x:v>
      </x:c>
      <x:c r="F7113" s="12" t="n">
        <x:v>0.5462499999999999</x:v>
      </x:c>
      <x:c r="G7113" s="12" t="n">
        <x:v>0</x:v>
      </x:c>
      <x:c r="H7113" s="1" t="n">
        <x:f>'Historical prices'!E7113</x:f>
        <x:v>1</x:v>
      </x:c>
      <x:c r="I7113" s="6" t="n">
        <x:f>'Historical prices'!D7113</x:f>
        <x:v>0.46520000000000006</x:v>
      </x:c>
      <x:c r="J7113" s="13" t="n">
        <x:f>D7113*I7113*H7113</x:f>
        <x:v>0</x:v>
      </x:c>
      <x:c r="K7113" s="13" t="n">
        <x:f>E7113*I7113*H7113</x:f>
        <x:v>0.25430933333333333</x:v>
      </x:c>
      <x:c r="L7113" s="1" t="str">
        <x:f>TEXT(A7113,"mmm yyyy")</x:f>
        <x:v>Oct 2026</x:v>
      </x:c>
    </x:row>
    <x:row r="7114" ht="21" customHeight="1">
      <x:c r="A7114" s="10" t="n">
        <x:v>46296</x:v>
      </x:c>
      <x:c r="B7114" s="1" t="n">
        <x:v>17</x:v>
      </x:c>
      <x:c r="C7114" s="1" t="n">
        <x:v>6</x:v>
      </x:c>
      <x:c r="D7114" s="12" t="n">
        <x:v>0</x:v>
      </x:c>
      <x:c r="E7114" s="12" t="n">
        <x:v>0.538</x:v>
      </x:c>
      <x:c r="F7114" s="12" t="n">
        <x:v>0.5375833333333333</x:v>
      </x:c>
      <x:c r="G7114" s="12" t="n">
        <x:v>0</x:v>
      </x:c>
      <x:c r="H7114" s="1" t="n">
        <x:f>'Historical prices'!E7114</x:f>
        <x:v>1</x:v>
      </x:c>
      <x:c r="I7114" s="6" t="n">
        <x:f>'Historical prices'!D7114</x:f>
        <x:v>0.46630000000000005</x:v>
      </x:c>
      <x:c r="J7114" s="13" t="n">
        <x:f>D7114*I7114*H7114</x:f>
        <x:v>0</x:v>
      </x:c>
      <x:c r="K7114" s="13" t="n">
        <x:f>E7114*I7114*H7114</x:f>
        <x:v>0.2508694</x:v>
      </x:c>
      <x:c r="L7114" s="1" t="str">
        <x:f>TEXT(A7114,"mmm yyyy")</x:f>
        <x:v>Oct 2026</x:v>
      </x:c>
    </x:row>
    <x:row r="7115" ht="21" customHeight="1">
      <x:c r="A7115" s="10" t="n">
        <x:v>46296</x:v>
      </x:c>
      <x:c r="B7115" s="1" t="n">
        <x:v>17.5</x:v>
      </x:c>
      <x:c r="C7115" s="1" t="n">
        <x:v>6</x:v>
      </x:c>
      <x:c r="D7115" s="12" t="n">
        <x:v>0</x:v>
      </x:c>
      <x:c r="E7115" s="12" t="n">
        <x:v>0.5561666666666667</x:v>
      </x:c>
      <x:c r="F7115" s="12" t="n">
        <x:v>0.55575</x:v>
      </x:c>
      <x:c r="G7115" s="12" t="n">
        <x:v>0</x:v>
      </x:c>
      <x:c r="H7115" s="1" t="n">
        <x:f>'Historical prices'!E7115</x:f>
        <x:v>1</x:v>
      </x:c>
      <x:c r="I7115" s="6" t="n">
        <x:f>'Historical prices'!D7115</x:f>
        <x:v>0.4975</x:v>
      </x:c>
      <x:c r="J7115" s="13" t="n">
        <x:f>D7115*I7115*H7115</x:f>
        <x:v>0</x:v>
      </x:c>
      <x:c r="K7115" s="13" t="n">
        <x:f>E7115*I7115*H7115</x:f>
        <x:v>0.2766929166666667</x:v>
      </x:c>
      <x:c r="L7115" s="1" t="str">
        <x:f>TEXT(A7115,"mmm yyyy")</x:f>
        <x:v>Oct 2026</x:v>
      </x:c>
    </x:row>
    <x:row r="7116" ht="21" customHeight="1">
      <x:c r="A7116" s="10" t="n">
        <x:v>46296</x:v>
      </x:c>
      <x:c r="B7116" s="1" t="n">
        <x:v>18</x:v>
      </x:c>
      <x:c r="C7116" s="1" t="n">
        <x:v>6</x:v>
      </x:c>
      <x:c r="D7116" s="12" t="n">
        <x:v>0</x:v>
      </x:c>
      <x:c r="E7116" s="12" t="n">
        <x:v>0.8300833333333332</x:v>
      </x:c>
      <x:c r="F7116" s="12" t="n">
        <x:v>0.8295</x:v>
      </x:c>
      <x:c r="G7116" s="12" t="n">
        <x:v>0</x:v>
      </x:c>
      <x:c r="H7116" s="1" t="n">
        <x:f>'Historical prices'!E7116</x:f>
        <x:v>1</x:v>
      </x:c>
      <x:c r="I7116" s="6" t="n">
        <x:f>'Historical prices'!D7116</x:f>
        <x:v>0.5032</x:v>
      </x:c>
      <x:c r="J7116" s="13" t="n">
        <x:f>D7116*I7116*H7116</x:f>
        <x:v>0</x:v>
      </x:c>
      <x:c r="K7116" s="13" t="n">
        <x:f>E7116*I7116*H7116</x:f>
        <x:v>0.4176979333333332</x:v>
      </x:c>
      <x:c r="L7116" s="1" t="str">
        <x:f>TEXT(A7116,"mmm yyyy")</x:f>
        <x:v>Oct 2026</x:v>
      </x:c>
    </x:row>
    <x:row r="7117" ht="21" customHeight="1">
      <x:c r="A7117" s="10" t="n">
        <x:v>46296</x:v>
      </x:c>
      <x:c r="B7117" s="1" t="n">
        <x:v>18.5</x:v>
      </x:c>
      <x:c r="C7117" s="1" t="n">
        <x:v>6</x:v>
      </x:c>
      <x:c r="D7117" s="12" t="n">
        <x:v>0</x:v>
      </x:c>
      <x:c r="E7117" s="12" t="n">
        <x:v>1.0918333333333332</x:v>
      </x:c>
      <x:c r="F7117" s="12" t="n">
        <x:v>1.0914166666666665</x:v>
      </x:c>
      <x:c r="G7117" s="12" t="n">
        <x:v>0</x:v>
      </x:c>
      <x:c r="H7117" s="1" t="n">
        <x:f>'Historical prices'!E7117</x:f>
        <x:v>1</x:v>
      </x:c>
      <x:c r="I7117" s="6" t="n">
        <x:f>'Historical prices'!D7117</x:f>
        <x:v>0.5213</x:v>
      </x:c>
      <x:c r="J7117" s="13" t="n">
        <x:f>D7117*I7117*H7117</x:f>
        <x:v>0</x:v>
      </x:c>
      <x:c r="K7117" s="13" t="n">
        <x:f>E7117*I7117*H7117</x:f>
        <x:v>0.5691727166666666</x:v>
      </x:c>
      <x:c r="L7117" s="1" t="str">
        <x:f>TEXT(A7117,"mmm yyyy")</x:f>
        <x:v>Oct 2026</x:v>
      </x:c>
    </x:row>
    <x:row r="7118" ht="21" customHeight="1">
      <x:c r="A7118" s="10" t="n">
        <x:v>46296</x:v>
      </x:c>
      <x:c r="B7118" s="1" t="n">
        <x:v>19</x:v>
      </x:c>
      <x:c r="C7118" s="1" t="n">
        <x:v>6</x:v>
      </x:c>
      <x:c r="D7118" s="12" t="n">
        <x:v>0</x:v>
      </x:c>
      <x:c r="E7118" s="12" t="n">
        <x:v>1.3591666666666666</x:v>
      </x:c>
      <x:c r="F7118" s="12" t="n">
        <x:v>1.3581666666666665</x:v>
      </x:c>
      <x:c r="G7118" s="12" t="n">
        <x:v>0</x:v>
      </x:c>
      <x:c r="H7118" s="1" t="n">
        <x:f>'Historical prices'!E7118</x:f>
        <x:v>1</x:v>
      </x:c>
      <x:c r="I7118" s="6" t="n">
        <x:f>'Historical prices'!D7118</x:f>
        <x:v>0.4201</x:v>
      </x:c>
      <x:c r="J7118" s="13" t="n">
        <x:f>D7118*I7118*H7118</x:f>
        <x:v>0</x:v>
      </x:c>
      <x:c r="K7118" s="13" t="n">
        <x:f>E7118*I7118*H7118</x:f>
        <x:v>0.5709859166666666</x:v>
      </x:c>
      <x:c r="L7118" s="1" t="str">
        <x:f>TEXT(A7118,"mmm yyyy")</x:f>
        <x:v>Oct 2026</x:v>
      </x:c>
    </x:row>
    <x:row r="7119" ht="21" customHeight="1">
      <x:c r="A7119" s="10" t="n">
        <x:v>46296</x:v>
      </x:c>
      <x:c r="B7119" s="1" t="n">
        <x:v>19.5</x:v>
      </x:c>
      <x:c r="C7119" s="1" t="n">
        <x:v>6</x:v>
      </x:c>
      <x:c r="D7119" s="12" t="n">
        <x:v>0</x:v>
      </x:c>
      <x:c r="E7119" s="12" t="n">
        <x:v>0.7814166666666666</x:v>
      </x:c>
      <x:c r="F7119" s="12" t="n">
        <x:v>0.781</x:v>
      </x:c>
      <x:c r="G7119" s="12" t="n">
        <x:v>0</x:v>
      </x:c>
      <x:c r="H7119" s="1" t="n">
        <x:f>'Historical prices'!E7119</x:f>
        <x:v>1</x:v>
      </x:c>
      <x:c r="I7119" s="6" t="n">
        <x:f>'Historical prices'!D7119</x:f>
        <x:v>0.3971</x:v>
      </x:c>
      <x:c r="J7119" s="13" t="n">
        <x:f>D7119*I7119*H7119</x:f>
        <x:v>0</x:v>
      </x:c>
      <x:c r="K7119" s="13" t="n">
        <x:f>E7119*I7119*H7119</x:f>
        <x:v>0.3103005583333333</x:v>
      </x:c>
      <x:c r="L7119" s="1" t="str">
        <x:f>TEXT(A7119,"mmm yyyy")</x:f>
        <x:v>Oct 2026</x:v>
      </x:c>
    </x:row>
    <x:row r="7120" ht="21" customHeight="1">
      <x:c r="A7120" s="10" t="n">
        <x:v>46296</x:v>
      </x:c>
      <x:c r="B7120" s="1" t="n">
        <x:v>20</x:v>
      </x:c>
      <x:c r="C7120" s="1" t="n">
        <x:v>6</x:v>
      </x:c>
      <x:c r="D7120" s="12" t="n">
        <x:v>0</x:v>
      </x:c>
      <x:c r="E7120" s="12" t="n">
        <x:v>0.72975</x:v>
      </x:c>
      <x:c r="F7120" s="12" t="n">
        <x:v>0.7291666666666666</x:v>
      </x:c>
      <x:c r="G7120" s="12" t="n">
        <x:v>0</x:v>
      </x:c>
      <x:c r="H7120" s="1" t="n">
        <x:f>'Historical prices'!E7120</x:f>
        <x:v>1</x:v>
      </x:c>
      <x:c r="I7120" s="6" t="n">
        <x:f>'Historical prices'!D7120</x:f>
        <x:v>0.376</x:v>
      </x:c>
      <x:c r="J7120" s="13" t="n">
        <x:f>D7120*I7120*H7120</x:f>
        <x:v>0</x:v>
      </x:c>
      <x:c r="K7120" s="13" t="n">
        <x:f>E7120*I7120*H7120</x:f>
        <x:v>0.274386</x:v>
      </x:c>
      <x:c r="L7120" s="1" t="str">
        <x:f>TEXT(A7120,"mmm yyyy")</x:f>
        <x:v>Oct 2026</x:v>
      </x:c>
    </x:row>
    <x:row r="7121" ht="21" customHeight="1">
      <x:c r="A7121" s="10" t="n">
        <x:v>46296</x:v>
      </x:c>
      <x:c r="B7121" s="1" t="n">
        <x:v>20.5</x:v>
      </x:c>
      <x:c r="C7121" s="1" t="n">
        <x:v>6</x:v>
      </x:c>
      <x:c r="D7121" s="12" t="n">
        <x:v>0</x:v>
      </x:c>
      <x:c r="E7121" s="12" t="n">
        <x:v>0.61</x:v>
      </x:c>
      <x:c r="F7121" s="12" t="n">
        <x:v>0.6094166666666666</x:v>
      </x:c>
      <x:c r="G7121" s="12" t="n">
        <x:v>0</x:v>
      </x:c>
      <x:c r="H7121" s="1" t="n">
        <x:f>'Historical prices'!E7121</x:f>
        <x:v>1</x:v>
      </x:c>
      <x:c r="I7121" s="6" t="n">
        <x:f>'Historical prices'!D7121</x:f>
        <x:v>0.34979999999999994</x:v>
      </x:c>
      <x:c r="J7121" s="13" t="n">
        <x:f>D7121*I7121*H7121</x:f>
        <x:v>0</x:v>
      </x:c>
      <x:c r="K7121" s="13" t="n">
        <x:f>E7121*I7121*H7121</x:f>
        <x:v>0.21337799999999996</x:v>
      </x:c>
      <x:c r="L7121" s="1" t="str">
        <x:f>TEXT(A7121,"mmm yyyy")</x:f>
        <x:v>Oct 2026</x:v>
      </x:c>
    </x:row>
    <x:row r="7122" ht="21" customHeight="1">
      <x:c r="A7122" s="10" t="n">
        <x:v>46296</x:v>
      </x:c>
      <x:c r="B7122" s="1" t="n">
        <x:v>21</x:v>
      </x:c>
      <x:c r="C7122" s="1" t="n">
        <x:v>6</x:v>
      </x:c>
      <x:c r="D7122" s="12" t="n">
        <x:v>0.3051666666666667</x:v>
      </x:c>
      <x:c r="E7122" s="12" t="n">
        <x:v>0.5742499999999999</x:v>
      </x:c>
      <x:c r="F7122" s="12" t="n">
        <x:v>0.378</x:v>
      </x:c>
      <x:c r="G7122" s="12" t="n">
        <x:v>0.112</x:v>
      </x:c>
      <x:c r="H7122" s="1" t="n">
        <x:f>'Historical prices'!E7122</x:f>
        <x:v>1</x:v>
      </x:c>
      <x:c r="I7122" s="6" t="n">
        <x:f>'Historical prices'!D7122</x:f>
        <x:v>0.3236</x:v>
      </x:c>
      <x:c r="J7122" s="13" t="n">
        <x:f>D7122*I7122*H7122</x:f>
        <x:v>0.09875193333333335</x:v>
      </x:c>
      <x:c r="K7122" s="13" t="n">
        <x:f>E7122*I7122*H7122</x:f>
        <x:v>0.18582729999999997</x:v>
      </x:c>
      <x:c r="L7122" s="1" t="str">
        <x:f>TEXT(A7122,"mmm yyyy")</x:f>
        <x:v>Oct 2026</x:v>
      </x:c>
    </x:row>
    <x:row r="7123" ht="21" customHeight="1">
      <x:c r="A7123" s="10" t="n">
        <x:v>46296</x:v>
      </x:c>
      <x:c r="B7123" s="1" t="n">
        <x:v>21.5</x:v>
      </x:c>
      <x:c r="C7123" s="1" t="n">
        <x:v>6</x:v>
      </x:c>
      <x:c r="D7123" s="12" t="n">
        <x:v>0.4625</x:v>
      </x:c>
      <x:c r="E7123" s="12" t="n">
        <x:v>0.3645</x:v>
      </x:c>
      <x:c r="F7123" s="12" t="n">
        <x:v>0</x:v>
      </x:c>
      <x:c r="G7123" s="12" t="n">
        <x:v>0.09799999999999999</x:v>
      </x:c>
      <x:c r="H7123" s="1" t="n">
        <x:f>'Historical prices'!E7123</x:f>
        <x:v>1</x:v>
      </x:c>
      <x:c r="I7123" s="6" t="n">
        <x:f>'Historical prices'!D7123</x:f>
        <x:v>0.301</x:v>
      </x:c>
      <x:c r="J7123" s="13" t="n">
        <x:f>D7123*I7123*H7123</x:f>
        <x:v>0.1392125</x:v>
      </x:c>
      <x:c r="K7123" s="13" t="n">
        <x:f>E7123*I7123*H7123</x:f>
        <x:v>0.10971449999999999</x:v>
      </x:c>
      <x:c r="L7123" s="1" t="str">
        <x:f>TEXT(A7123,"mmm yyyy")</x:f>
        <x:v>Oct 2026</x:v>
      </x:c>
    </x:row>
    <x:row r="7124" ht="21" customHeight="1">
      <x:c r="A7124" s="10" t="n">
        <x:v>46296</x:v>
      </x:c>
      <x:c r="B7124" s="1" t="n">
        <x:v>22</x:v>
      </x:c>
      <x:c r="C7124" s="1" t="n">
        <x:v>6</x:v>
      </x:c>
      <x:c r="D7124" s="12" t="n">
        <x:v>0.45799999999999996</x:v>
      </x:c>
      <x:c r="E7124" s="12" t="n">
        <x:v>0.37799999999999995</x:v>
      </x:c>
      <x:c r="F7124" s="12" t="n">
        <x:v>0</x:v>
      </x:c>
      <x:c r="G7124" s="12" t="n">
        <x:v>0.08</x:v>
      </x:c>
      <x:c r="H7124" s="1" t="n">
        <x:f>'Historical prices'!E7124</x:f>
        <x:v>1</x:v>
      </x:c>
      <x:c r="I7124" s="6" t="n">
        <x:f>'Historical prices'!D7124</x:f>
        <x:v>0.2841</x:v>
      </x:c>
      <x:c r="J7124" s="13" t="n">
        <x:f>D7124*I7124*H7124</x:f>
        <x:v>0.1301178</x:v>
      </x:c>
      <x:c r="K7124" s="13" t="n">
        <x:f>E7124*I7124*H7124</x:f>
        <x:v>0.1073898</x:v>
      </x:c>
      <x:c r="L7124" s="1" t="str">
        <x:f>TEXT(A7124,"mmm yyyy")</x:f>
        <x:v>Oct 2026</x:v>
      </x:c>
    </x:row>
    <x:row r="7125" ht="21" customHeight="1">
      <x:c r="A7125" s="10" t="n">
        <x:v>46296</x:v>
      </x:c>
      <x:c r="B7125" s="1" t="n">
        <x:v>22.5</x:v>
      </x:c>
      <x:c r="C7125" s="1" t="n">
        <x:v>6</x:v>
      </x:c>
      <x:c r="D7125" s="12" t="n">
        <x:v>4.39075</x:v>
      </x:c>
      <x:c r="E7125" s="12" t="n">
        <x:v>0.56275</x:v>
      </x:c>
      <x:c r="F7125" s="12" t="n">
        <x:v>0</x:v>
      </x:c>
      <x:c r="G7125" s="12" t="n">
        <x:v>3.8280000000000003</x:v>
      </x:c>
      <x:c r="H7125" s="1" t="n">
        <x:f>'Historical prices'!E7125</x:f>
        <x:v>1</x:v>
      </x:c>
      <x:c r="I7125" s="6" t="n">
        <x:f>'Historical prices'!D7125</x:f>
        <x:v>0.247</x:v>
      </x:c>
      <x:c r="J7125" s="13" t="n">
        <x:f>D7125*I7125*H7125</x:f>
        <x:v>1.08451525</x:v>
      </x:c>
      <x:c r="K7125" s="13" t="n">
        <x:f>E7125*I7125*H7125</x:f>
        <x:v>0.13899925</x:v>
      </x:c>
      <x:c r="L7125" s="1" t="str">
        <x:f>TEXT(A7125,"mmm yyyy")</x:f>
        <x:v>Oct 2026</x:v>
      </x:c>
    </x:row>
    <x:row r="7126" ht="21" customHeight="1">
      <x:c r="A7126" s="10" t="n">
        <x:v>46296</x:v>
      </x:c>
      <x:c r="B7126" s="1" t="n">
        <x:v>23</x:v>
      </x:c>
      <x:c r="C7126" s="1" t="n">
        <x:v>6</x:v>
      </x:c>
      <x:c r="D7126" s="12" t="n">
        <x:v>1.091</x:v>
      </x:c>
      <x:c r="E7126" s="12" t="n">
        <x:v>0.31999999999999995</x:v>
      </x:c>
      <x:c r="F7126" s="12" t="n">
        <x:v>0</x:v>
      </x:c>
      <x:c r="G7126" s="12" t="n">
        <x:v>0.775</x:v>
      </x:c>
      <x:c r="H7126" s="1" t="n">
        <x:f>'Historical prices'!E7126</x:f>
        <x:v>1</x:v>
      </x:c>
      <x:c r="I7126" s="6" t="n">
        <x:f>'Historical prices'!D7126</x:f>
        <x:v>0.2879</x:v>
      </x:c>
      <x:c r="J7126" s="13" t="n">
        <x:f>D7126*I7126*H7126</x:f>
        <x:v>0.31409889999999996</x:v>
      </x:c>
      <x:c r="K7126" s="13" t="n">
        <x:f>E7126*I7126*H7126</x:f>
        <x:v>0.09212799999999999</x:v>
      </x:c>
      <x:c r="L7126" s="1" t="str">
        <x:f>TEXT(A7126,"mmm yyyy")</x:f>
        <x:v>Oct 2026</x:v>
      </x:c>
    </x:row>
    <x:row r="7127" ht="21" customHeight="1">
      <x:c r="A7127" s="10" t="n">
        <x:v>46296</x:v>
      </x:c>
      <x:c r="B7127" s="1" t="n">
        <x:v>23.5</x:v>
      </x:c>
      <x:c r="C7127" s="1" t="n">
        <x:v>6</x:v>
      </x:c>
      <x:c r="D7127" s="12" t="n">
        <x:v>0.20525000000000002</x:v>
      </x:c>
      <x:c r="E7127" s="12" t="n">
        <x:v>0.21725000000000003</x:v>
      </x:c>
      <x:c r="F7127" s="12" t="n">
        <x:v>0</x:v>
      </x:c>
      <x:c r="G7127" s="12" t="n">
        <x:v>0</x:v>
      </x:c>
      <x:c r="H7127" s="1" t="n">
        <x:f>'Historical prices'!E7127</x:f>
        <x:v>1</x:v>
      </x:c>
      <x:c r="I7127" s="6" t="n">
        <x:f>'Historical prices'!D7127</x:f>
        <x:v>0.2837</x:v>
      </x:c>
      <x:c r="J7127" s="13" t="n">
        <x:f>D7127*I7127*H7127</x:f>
        <x:v>0.05822942500000001</x:v>
      </x:c>
      <x:c r="K7127" s="13" t="n">
        <x:f>E7127*I7127*H7127</x:f>
        <x:v>0.06163382500000001</x:v>
      </x:c>
      <x:c r="L7127" s="1" t="str">
        <x:f>TEXT(A7127,"mmm yyyy")</x:f>
        <x:v>Oct 2026</x:v>
      </x:c>
    </x:row>
    <x:row r="7128" ht="21" customHeight="1">
      <x:c r="A7128" s="10" t="n">
        <x:v>46297</x:v>
      </x:c>
      <x:c r="B7128" s="1" t="n">
        <x:v>0</x:v>
      </x:c>
      <x:c r="C7128" s="1" t="n">
        <x:v>6</x:v>
      </x:c>
      <x:c r="D7128" s="12" t="n">
        <x:v>0.35775</x:v>
      </x:c>
      <x:c r="E7128" s="12" t="n">
        <x:v>0.36775</x:v>
      </x:c>
      <x:c r="F7128" s="12" t="n">
        <x:v>0</x:v>
      </x:c>
      <x:c r="G7128" s="12" t="n">
        <x:v>0</x:v>
      </x:c>
      <x:c r="H7128" s="1" t="n">
        <x:f>'Historical prices'!E7128</x:f>
        <x:v>1</x:v>
      </x:c>
      <x:c r="I7128" s="6" t="n">
        <x:f>'Historical prices'!D7128</x:f>
        <x:v>0.2756</x:v>
      </x:c>
      <x:c r="J7128" s="13" t="n">
        <x:f>D7128*I7128*H7128</x:f>
        <x:v>0.09859590000000001</x:v>
      </x:c>
      <x:c r="K7128" s="13" t="n">
        <x:f>E7128*I7128*H7128</x:f>
        <x:v>0.10135190000000001</x:v>
      </x:c>
      <x:c r="L7128" s="1" t="str">
        <x:f>TEXT(A7128,"mmm yyyy")</x:f>
        <x:v>Oct 2026</x:v>
      </x:c>
    </x:row>
    <x:row r="7129" ht="21" customHeight="1">
      <x:c r="A7129" s="10" t="n">
        <x:v>46297</x:v>
      </x:c>
      <x:c r="B7129" s="1" t="n">
        <x:v>0.5</x:v>
      </x:c>
      <x:c r="C7129" s="1" t="n">
        <x:v>6</x:v>
      </x:c>
      <x:c r="D7129" s="12" t="n">
        <x:v>0.27325</x:v>
      </x:c>
      <x:c r="E7129" s="12" t="n">
        <x:v>0.28425</x:v>
      </x:c>
      <x:c r="F7129" s="12" t="n">
        <x:v>0</x:v>
      </x:c>
      <x:c r="G7129" s="12" t="n">
        <x:v>0</x:v>
      </x:c>
      <x:c r="H7129" s="1" t="n">
        <x:f>'Historical prices'!E7129</x:f>
        <x:v>1</x:v>
      </x:c>
      <x:c r="I7129" s="6" t="n">
        <x:f>'Historical prices'!D7129</x:f>
        <x:v>0.2758</x:v>
      </x:c>
      <x:c r="J7129" s="13" t="n">
        <x:f>D7129*I7129*H7129</x:f>
        <x:v>0.07536235</x:v>
      </x:c>
      <x:c r="K7129" s="13" t="n">
        <x:f>E7129*I7129*H7129</x:f>
        <x:v>0.07839615</x:v>
      </x:c>
      <x:c r="L7129" s="1" t="str">
        <x:f>TEXT(A7129,"mmm yyyy")</x:f>
        <x:v>Oct 2026</x:v>
      </x:c>
    </x:row>
    <x:row r="7130" ht="21" customHeight="1">
      <x:c r="A7130" s="10" t="n">
        <x:v>46297</x:v>
      </x:c>
      <x:c r="B7130" s="1" t="n">
        <x:v>1</x:v>
      </x:c>
      <x:c r="C7130" s="1" t="n">
        <x:v>6</x:v>
      </x:c>
      <x:c r="D7130" s="12" t="n">
        <x:v>0.2295</x:v>
      </x:c>
      <x:c r="E7130" s="12" t="n">
        <x:v>0.24050000000000002</x:v>
      </x:c>
      <x:c r="F7130" s="12" t="n">
        <x:v>0</x:v>
      </x:c>
      <x:c r="G7130" s="12" t="n">
        <x:v>0</x:v>
      </x:c>
      <x:c r="H7130" s="1" t="n">
        <x:f>'Historical prices'!E7130</x:f>
        <x:v>1</x:v>
      </x:c>
      <x:c r="I7130" s="6" t="n">
        <x:f>'Historical prices'!D7130</x:f>
        <x:v>0.2782</x:v>
      </x:c>
      <x:c r="J7130" s="13" t="n">
        <x:f>D7130*I7130*H7130</x:f>
        <x:v>0.0638469</x:v>
      </x:c>
      <x:c r="K7130" s="13" t="n">
        <x:f>E7130*I7130*H7130</x:f>
        <x:v>0.06690710000000001</x:v>
      </x:c>
      <x:c r="L7130" s="1" t="str">
        <x:f>TEXT(A7130,"mmm yyyy")</x:f>
        <x:v>Oct 2026</x:v>
      </x:c>
    </x:row>
    <x:row r="7131" ht="21" customHeight="1">
      <x:c r="A7131" s="10" t="n">
        <x:v>46297</x:v>
      </x:c>
      <x:c r="B7131" s="1" t="n">
        <x:v>1.5</x:v>
      </x:c>
      <x:c r="C7131" s="1" t="n">
        <x:v>6</x:v>
      </x:c>
      <x:c r="D7131" s="12" t="n">
        <x:v>0.24500000000000002</x:v>
      </x:c>
      <x:c r="E7131" s="12" t="n">
        <x:v>0.255</x:v>
      </x:c>
      <x:c r="F7131" s="12" t="n">
        <x:v>0</x:v>
      </x:c>
      <x:c r="G7131" s="12" t="n">
        <x:v>0</x:v>
      </x:c>
      <x:c r="H7131" s="1" t="n">
        <x:f>'Historical prices'!E7131</x:f>
        <x:v>1</x:v>
      </x:c>
      <x:c r="I7131" s="6" t="n">
        <x:f>'Historical prices'!D7131</x:f>
        <x:v>0.2732</x:v>
      </x:c>
      <x:c r="J7131" s="13" t="n">
        <x:f>D7131*I7131*H7131</x:f>
        <x:v>0.06693400000000001</x:v>
      </x:c>
      <x:c r="K7131" s="13" t="n">
        <x:f>E7131*I7131*H7131</x:f>
        <x:v>0.069666</x:v>
      </x:c>
      <x:c r="L7131" s="1" t="str">
        <x:f>TEXT(A7131,"mmm yyyy")</x:f>
        <x:v>Oct 2026</x:v>
      </x:c>
    </x:row>
    <x:row r="7132" ht="21" customHeight="1">
      <x:c r="A7132" s="10" t="n">
        <x:v>46297</x:v>
      </x:c>
      <x:c r="B7132" s="1" t="n">
        <x:v>2</x:v>
      </x:c>
      <x:c r="C7132" s="1" t="n">
        <x:v>6</x:v>
      </x:c>
      <x:c r="D7132" s="12" t="n">
        <x:v>0.2865</x:v>
      </x:c>
      <x:c r="E7132" s="12" t="n">
        <x:v>0.2965</x:v>
      </x:c>
      <x:c r="F7132" s="12" t="n">
        <x:v>0</x:v>
      </x:c>
      <x:c r="G7132" s="12" t="n">
        <x:v>0</x:v>
      </x:c>
      <x:c r="H7132" s="1" t="n">
        <x:f>'Historical prices'!E7132</x:f>
        <x:v>1</x:v>
      </x:c>
      <x:c r="I7132" s="6" t="n">
        <x:f>'Historical prices'!D7132</x:f>
        <x:v>0.2774</x:v>
      </x:c>
      <x:c r="J7132" s="13" t="n">
        <x:f>D7132*I7132*H7132</x:f>
        <x:v>0.07947509999999999</x:v>
      </x:c>
      <x:c r="K7132" s="13" t="n">
        <x:f>E7132*I7132*H7132</x:f>
        <x:v>0.08224909999999999</x:v>
      </x:c>
      <x:c r="L7132" s="1" t="str">
        <x:f>TEXT(A7132,"mmm yyyy")</x:f>
        <x:v>Oct 2026</x:v>
      </x:c>
    </x:row>
    <x:row r="7133" ht="21" customHeight="1">
      <x:c r="A7133" s="10" t="n">
        <x:v>46297</x:v>
      </x:c>
      <x:c r="B7133" s="1" t="n">
        <x:v>2.5</x:v>
      </x:c>
      <x:c r="C7133" s="1" t="n">
        <x:v>6</x:v>
      </x:c>
      <x:c r="D7133" s="12" t="n">
        <x:v>0.298</x:v>
      </x:c>
      <x:c r="E7133" s="12" t="n">
        <x:v>0.308</x:v>
      </x:c>
      <x:c r="F7133" s="12" t="n">
        <x:v>0</x:v>
      </x:c>
      <x:c r="G7133" s="12" t="n">
        <x:v>0</x:v>
      </x:c>
      <x:c r="H7133" s="1" t="n">
        <x:f>'Historical prices'!E7133</x:f>
        <x:v>1</x:v>
      </x:c>
      <x:c r="I7133" s="6" t="n">
        <x:f>'Historical prices'!D7133</x:f>
        <x:v>0.27399999999999997</x:v>
      </x:c>
      <x:c r="J7133" s="13" t="n">
        <x:f>D7133*I7133*H7133</x:f>
        <x:v>0.08165199999999999</x:v>
      </x:c>
      <x:c r="K7133" s="13" t="n">
        <x:f>E7133*I7133*H7133</x:f>
        <x:v>0.084392</x:v>
      </x:c>
      <x:c r="L7133" s="1" t="str">
        <x:f>TEXT(A7133,"mmm yyyy")</x:f>
        <x:v>Oct 2026</x:v>
      </x:c>
    </x:row>
    <x:row r="7134" ht="21" customHeight="1">
      <x:c r="A7134" s="10" t="n">
        <x:v>46297</x:v>
      </x:c>
      <x:c r="B7134" s="1" t="n">
        <x:v>3</x:v>
      </x:c>
      <x:c r="C7134" s="1" t="n">
        <x:v>6</x:v>
      </x:c>
      <x:c r="D7134" s="12" t="n">
        <x:v>0.27075</x:v>
      </x:c>
      <x:c r="E7134" s="12" t="n">
        <x:v>0.28175</x:v>
      </x:c>
      <x:c r="F7134" s="12" t="n">
        <x:v>0</x:v>
      </x:c>
      <x:c r="G7134" s="12" t="n">
        <x:v>0</x:v>
      </x:c>
      <x:c r="H7134" s="1" t="n">
        <x:f>'Historical prices'!E7134</x:f>
        <x:v>1</x:v>
      </x:c>
      <x:c r="I7134" s="6" t="n">
        <x:f>'Historical prices'!D7134</x:f>
        <x:v>0.27949999999999997</x:v>
      </x:c>
      <x:c r="J7134" s="13" t="n">
        <x:f>D7134*I7134*H7134</x:f>
        <x:v>0.075674625</x:v>
      </x:c>
      <x:c r="K7134" s="13" t="n">
        <x:f>E7134*I7134*H7134</x:f>
        <x:v>0.07874912499999999</x:v>
      </x:c>
      <x:c r="L7134" s="1" t="str">
        <x:f>TEXT(A7134,"mmm yyyy")</x:f>
        <x:v>Oct 2026</x:v>
      </x:c>
    </x:row>
    <x:row r="7135" ht="21" customHeight="1">
      <x:c r="A7135" s="10" t="n">
        <x:v>46297</x:v>
      </x:c>
      <x:c r="B7135" s="1" t="n">
        <x:v>3.5</x:v>
      </x:c>
      <x:c r="C7135" s="1" t="n">
        <x:v>6</x:v>
      </x:c>
      <x:c r="D7135" s="12" t="n">
        <x:v>0.263</x:v>
      </x:c>
      <x:c r="E7135" s="12" t="n">
        <x:v>0.27299999999999996</x:v>
      </x:c>
      <x:c r="F7135" s="12" t="n">
        <x:v>0</x:v>
      </x:c>
      <x:c r="G7135" s="12" t="n">
        <x:v>0</x:v>
      </x:c>
      <x:c r="H7135" s="1" t="n">
        <x:f>'Historical prices'!E7135</x:f>
        <x:v>1</x:v>
      </x:c>
      <x:c r="I7135" s="6" t="n">
        <x:f>'Historical prices'!D7135</x:f>
        <x:v>0.2727</x:v>
      </x:c>
      <x:c r="J7135" s="13" t="n">
        <x:f>D7135*I7135*H7135</x:f>
        <x:v>0.07172010000000001</x:v>
      </x:c>
      <x:c r="K7135" s="13" t="n">
        <x:f>E7135*I7135*H7135</x:f>
        <x:v>0.07444709999999999</x:v>
      </x:c>
      <x:c r="L7135" s="1" t="str">
        <x:f>TEXT(A7135,"mmm yyyy")</x:f>
        <x:v>Oct 2026</x:v>
      </x:c>
    </x:row>
    <x:row r="7136" ht="21" customHeight="1">
      <x:c r="A7136" s="10" t="n">
        <x:v>46297</x:v>
      </x:c>
      <x:c r="B7136" s="1" t="n">
        <x:v>4</x:v>
      </x:c>
      <x:c r="C7136" s="1" t="n">
        <x:v>6</x:v>
      </x:c>
      <x:c r="D7136" s="12" t="n">
        <x:v>0.33975</x:v>
      </x:c>
      <x:c r="E7136" s="12" t="n">
        <x:v>0.35075</x:v>
      </x:c>
      <x:c r="F7136" s="12" t="n">
        <x:v>0</x:v>
      </x:c>
      <x:c r="G7136" s="12" t="n">
        <x:v>0</x:v>
      </x:c>
      <x:c r="H7136" s="1" t="n">
        <x:f>'Historical prices'!E7136</x:f>
        <x:v>1</x:v>
      </x:c>
      <x:c r="I7136" s="6" t="n">
        <x:f>'Historical prices'!D7136</x:f>
        <x:v>0.2864</x:v>
      </x:c>
      <x:c r="J7136" s="13" t="n">
        <x:f>D7136*I7136*H7136</x:f>
        <x:v>0.0973044</x:v>
      </x:c>
      <x:c r="K7136" s="13" t="n">
        <x:f>E7136*I7136*H7136</x:f>
        <x:v>0.1004548</x:v>
      </x:c>
      <x:c r="L7136" s="1" t="str">
        <x:f>TEXT(A7136,"mmm yyyy")</x:f>
        <x:v>Oct 2026</x:v>
      </x:c>
    </x:row>
    <x:row r="7137" ht="21" customHeight="1">
      <x:c r="A7137" s="10" t="n">
        <x:v>46297</x:v>
      </x:c>
      <x:c r="B7137" s="1" t="n">
        <x:v>4.5</x:v>
      </x:c>
      <x:c r="C7137" s="1" t="n">
        <x:v>6</x:v>
      </x:c>
      <x:c r="D7137" s="12" t="n">
        <x:v>0.23625000000000002</x:v>
      </x:c>
      <x:c r="E7137" s="12" t="n">
        <x:v>0.24625000000000002</x:v>
      </x:c>
      <x:c r="F7137" s="12" t="n">
        <x:v>0</x:v>
      </x:c>
      <x:c r="G7137" s="12" t="n">
        <x:v>0</x:v>
      </x:c>
      <x:c r="H7137" s="1" t="n">
        <x:f>'Historical prices'!E7137</x:f>
        <x:v>1</x:v>
      </x:c>
      <x:c r="I7137" s="6" t="n">
        <x:f>'Historical prices'!D7137</x:f>
        <x:v>0.2899</x:v>
      </x:c>
      <x:c r="J7137" s="13" t="n">
        <x:f>D7137*I7137*H7137</x:f>
        <x:v>0.068488875</x:v>
      </x:c>
      <x:c r="K7137" s="13" t="n">
        <x:f>E7137*I7137*H7137</x:f>
        <x:v>0.071387875</x:v>
      </x:c>
      <x:c r="L7137" s="1" t="str">
        <x:f>TEXT(A7137,"mmm yyyy")</x:f>
        <x:v>Oct 2026</x:v>
      </x:c>
    </x:row>
    <x:row r="7138" ht="21" customHeight="1">
      <x:c r="A7138" s="10" t="n">
        <x:v>46297</x:v>
      </x:c>
      <x:c r="B7138" s="1" t="n">
        <x:v>5</x:v>
      </x:c>
      <x:c r="C7138" s="1" t="n">
        <x:v>6</x:v>
      </x:c>
      <x:c r="D7138" s="12" t="n">
        <x:v>0.27449999999999997</x:v>
      </x:c>
      <x:c r="E7138" s="12" t="n">
        <x:v>0.2845</x:v>
      </x:c>
      <x:c r="F7138" s="12" t="n">
        <x:v>0</x:v>
      </x:c>
      <x:c r="G7138" s="12" t="n">
        <x:v>0</x:v>
      </x:c>
      <x:c r="H7138" s="1" t="n">
        <x:f>'Historical prices'!E7138</x:f>
        <x:v>1</x:v>
      </x:c>
      <x:c r="I7138" s="6" t="n">
        <x:f>'Historical prices'!D7138</x:f>
        <x:v>0.2763</x:v>
      </x:c>
      <x:c r="J7138" s="13" t="n">
        <x:f>D7138*I7138*H7138</x:f>
        <x:v>0.07584434999999999</x:v>
      </x:c>
      <x:c r="K7138" s="13" t="n">
        <x:f>E7138*I7138*H7138</x:f>
        <x:v>0.07860734999999999</x:v>
      </x:c>
      <x:c r="L7138" s="1" t="str">
        <x:f>TEXT(A7138,"mmm yyyy")</x:f>
        <x:v>Oct 2026</x:v>
      </x:c>
    </x:row>
    <x:row r="7139" ht="21" customHeight="1">
      <x:c r="A7139" s="10" t="n">
        <x:v>46297</x:v>
      </x:c>
      <x:c r="B7139" s="1" t="n">
        <x:v>5.5</x:v>
      </x:c>
      <x:c r="C7139" s="1" t="n">
        <x:v>6</x:v>
      </x:c>
      <x:c r="D7139" s="12" t="n">
        <x:v>0.2385</x:v>
      </x:c>
      <x:c r="E7139" s="12" t="n">
        <x:v>0.2495</x:v>
      </x:c>
      <x:c r="F7139" s="12" t="n">
        <x:v>0</x:v>
      </x:c>
      <x:c r="G7139" s="12" t="n">
        <x:v>0</x:v>
      </x:c>
      <x:c r="H7139" s="1" t="n">
        <x:f>'Historical prices'!E7139</x:f>
        <x:v>1</x:v>
      </x:c>
      <x:c r="I7139" s="6" t="n">
        <x:f>'Historical prices'!D7139</x:f>
        <x:v>0.2753</x:v>
      </x:c>
      <x:c r="J7139" s="13" t="n">
        <x:f>D7139*I7139*H7139</x:f>
        <x:v>0.06565905</x:v>
      </x:c>
      <x:c r="K7139" s="13" t="n">
        <x:f>E7139*I7139*H7139</x:f>
        <x:v>0.06868735</x:v>
      </x:c>
      <x:c r="L7139" s="1" t="str">
        <x:f>TEXT(A7139,"mmm yyyy")</x:f>
        <x:v>Oct 2026</x:v>
      </x:c>
    </x:row>
    <x:row r="7140" ht="21" customHeight="1">
      <x:c r="A7140" s="10" t="n">
        <x:v>46297</x:v>
      </x:c>
      <x:c r="B7140" s="1" t="n">
        <x:v>6</x:v>
      </x:c>
      <x:c r="C7140" s="1" t="n">
        <x:v>6</x:v>
      </x:c>
      <x:c r="D7140" s="12" t="n">
        <x:v>0.0335</x:v>
      </x:c>
      <x:c r="E7140" s="12" t="n">
        <x:v>0.32458333333333333</x:v>
      </x:c>
      <x:c r="F7140" s="12" t="n">
        <x:v>0.2885833333333333</x:v>
      </x:c>
      <x:c r="G7140" s="12" t="n">
        <x:v>0</x:v>
      </x:c>
      <x:c r="H7140" s="1" t="n">
        <x:f>'Historical prices'!E7140</x:f>
        <x:v>1</x:v>
      </x:c>
      <x:c r="I7140" s="6" t="n">
        <x:f>'Historical prices'!D7140</x:f>
        <x:v>0.33049999999999996</x:v>
      </x:c>
      <x:c r="J7140" s="13" t="n">
        <x:f>D7140*I7140*H7140</x:f>
        <x:v>0.01107175</x:v>
      </x:c>
      <x:c r="K7140" s="13" t="n">
        <x:f>E7140*I7140*H7140</x:f>
        <x:v>0.10727479166666666</x:v>
      </x:c>
      <x:c r="L7140" s="1" t="str">
        <x:f>TEXT(A7140,"mmm yyyy")</x:f>
        <x:v>Oct 2026</x:v>
      </x:c>
    </x:row>
    <x:row r="7141" ht="21" customHeight="1">
      <x:c r="A7141" s="10" t="n">
        <x:v>46297</x:v>
      </x:c>
      <x:c r="B7141" s="1" t="n">
        <x:v>6.5</x:v>
      </x:c>
      <x:c r="C7141" s="1" t="n">
        <x:v>6</x:v>
      </x:c>
      <x:c r="D7141" s="12" t="n">
        <x:v>0</x:v>
      </x:c>
      <x:c r="E7141" s="12" t="n">
        <x:v>0.6184999999999999</x:v>
      </x:c>
      <x:c r="F7141" s="12" t="n">
        <x:v>0.6178333333333333</x:v>
      </x:c>
      <x:c r="G7141" s="12" t="n">
        <x:v>0</x:v>
      </x:c>
      <x:c r="H7141" s="1" t="n">
        <x:f>'Historical prices'!E7141</x:f>
        <x:v>1</x:v>
      </x:c>
      <x:c r="I7141" s="6" t="n">
        <x:f>'Historical prices'!D7141</x:f>
        <x:v>0.36560000000000004</x:v>
      </x:c>
      <x:c r="J7141" s="13" t="n">
        <x:f>D7141*I7141*H7141</x:f>
        <x:v>0</x:v>
      </x:c>
      <x:c r="K7141" s="13" t="n">
        <x:f>E7141*I7141*H7141</x:f>
        <x:v>0.2261236</x:v>
      </x:c>
      <x:c r="L7141" s="1" t="str">
        <x:f>TEXT(A7141,"mmm yyyy")</x:f>
        <x:v>Oct 2026</x:v>
      </x:c>
    </x:row>
    <x:row r="7142" ht="21" customHeight="1">
      <x:c r="A7142" s="10" t="n">
        <x:v>46297</x:v>
      </x:c>
      <x:c r="B7142" s="1" t="n">
        <x:v>7</x:v>
      </x:c>
      <x:c r="C7142" s="1" t="n">
        <x:v>6</x:v>
      </x:c>
      <x:c r="D7142" s="12" t="n">
        <x:v>0</x:v>
      </x:c>
      <x:c r="E7142" s="12" t="n">
        <x:v>0.58675</x:v>
      </x:c>
      <x:c r="F7142" s="12" t="n">
        <x:v>0.58625</x:v>
      </x:c>
      <x:c r="G7142" s="12" t="n">
        <x:v>0</x:v>
      </x:c>
      <x:c r="H7142" s="1" t="n">
        <x:f>'Historical prices'!E7142</x:f>
        <x:v>1</x:v>
      </x:c>
      <x:c r="I7142" s="6" t="n">
        <x:f>'Historical prices'!D7142</x:f>
        <x:v>0.3644</x:v>
      </x:c>
      <x:c r="J7142" s="13" t="n">
        <x:f>D7142*I7142*H7142</x:f>
        <x:v>0</x:v>
      </x:c>
      <x:c r="K7142" s="13" t="n">
        <x:f>E7142*I7142*H7142</x:f>
        <x:v>0.2138117</x:v>
      </x:c>
      <x:c r="L7142" s="1" t="str">
        <x:f>TEXT(A7142,"mmm yyyy")</x:f>
        <x:v>Oct 2026</x:v>
      </x:c>
    </x:row>
    <x:row r="7143" ht="21" customHeight="1">
      <x:c r="A7143" s="10" t="n">
        <x:v>46297</x:v>
      </x:c>
      <x:c r="B7143" s="1" t="n">
        <x:v>7.5</x:v>
      </x:c>
      <x:c r="C7143" s="1" t="n">
        <x:v>6</x:v>
      </x:c>
      <x:c r="D7143" s="12" t="n">
        <x:v>0</x:v>
      </x:c>
      <x:c r="E7143" s="12" t="n">
        <x:v>0.5387500000000001</x:v>
      </x:c>
      <x:c r="F7143" s="12" t="n">
        <x:v>0.5382499999999999</x:v>
      </x:c>
      <x:c r="G7143" s="12" t="n">
        <x:v>0</x:v>
      </x:c>
      <x:c r="H7143" s="1" t="n">
        <x:f>'Historical prices'!E7143</x:f>
        <x:v>1</x:v>
      </x:c>
      <x:c r="I7143" s="6" t="n">
        <x:f>'Historical prices'!D7143</x:f>
        <x:v>0.38880000000000003</x:v>
      </x:c>
      <x:c r="J7143" s="13" t="n">
        <x:f>D7143*I7143*H7143</x:f>
        <x:v>0</x:v>
      </x:c>
      <x:c r="K7143" s="13" t="n">
        <x:f>E7143*I7143*H7143</x:f>
        <x:v>0.20946600000000004</x:v>
      </x:c>
      <x:c r="L7143" s="1" t="str">
        <x:f>TEXT(A7143,"mmm yyyy")</x:f>
        <x:v>Oct 2026</x:v>
      </x:c>
    </x:row>
    <x:row r="7144" ht="21" customHeight="1">
      <x:c r="A7144" s="10" t="n">
        <x:v>46297</x:v>
      </x:c>
      <x:c r="B7144" s="1" t="n">
        <x:v>8</x:v>
      </x:c>
      <x:c r="C7144" s="1" t="n">
        <x:v>6</x:v>
      </x:c>
      <x:c r="D7144" s="12" t="n">
        <x:v>0</x:v>
      </x:c>
      <x:c r="E7144" s="12" t="n">
        <x:v>0.6031666666666666</x:v>
      </x:c>
      <x:c r="F7144" s="12" t="n">
        <x:v>0.6025</x:v>
      </x:c>
      <x:c r="G7144" s="12" t="n">
        <x:v>0</x:v>
      </x:c>
      <x:c r="H7144" s="1" t="n">
        <x:f>'Historical prices'!E7144</x:f>
        <x:v>1</x:v>
      </x:c>
      <x:c r="I7144" s="6" t="n">
        <x:f>'Historical prices'!D7144</x:f>
        <x:v>0.36579999999999996</x:v>
      </x:c>
      <x:c r="J7144" s="13" t="n">
        <x:f>D7144*I7144*H7144</x:f>
        <x:v>0</x:v>
      </x:c>
      <x:c r="K7144" s="13" t="n">
        <x:f>E7144*I7144*H7144</x:f>
        <x:v>0.22063836666666664</x:v>
      </x:c>
      <x:c r="L7144" s="1" t="str">
        <x:f>TEXT(A7144,"mmm yyyy")</x:f>
        <x:v>Oct 2026</x:v>
      </x:c>
    </x:row>
    <x:row r="7145" ht="21" customHeight="1">
      <x:c r="A7145" s="10" t="n">
        <x:v>46297</x:v>
      </x:c>
      <x:c r="B7145" s="1" t="n">
        <x:v>8.5</x:v>
      </x:c>
      <x:c r="C7145" s="1" t="n">
        <x:v>6</x:v>
      </x:c>
      <x:c r="D7145" s="12" t="n">
        <x:v>0</x:v>
      </x:c>
      <x:c r="E7145" s="12" t="n">
        <x:v>0.6370833333333333</x:v>
      </x:c>
      <x:c r="F7145" s="12" t="n">
        <x:v>0.6364166666666666</x:v>
      </x:c>
      <x:c r="G7145" s="12" t="n">
        <x:v>0</x:v>
      </x:c>
      <x:c r="H7145" s="1" t="n">
        <x:f>'Historical prices'!E7145</x:f>
        <x:v>1</x:v>
      </x:c>
      <x:c r="I7145" s="6" t="n">
        <x:f>'Historical prices'!D7145</x:f>
        <x:v>0.3565</x:v>
      </x:c>
      <x:c r="J7145" s="13" t="n">
        <x:f>D7145*I7145*H7145</x:f>
        <x:v>0</x:v>
      </x:c>
      <x:c r="K7145" s="13" t="n">
        <x:f>E7145*I7145*H7145</x:f>
        <x:v>0.22712020833333332</x:v>
      </x:c>
      <x:c r="L7145" s="1" t="str">
        <x:f>TEXT(A7145,"mmm yyyy")</x:f>
        <x:v>Oct 2026</x:v>
      </x:c>
    </x:row>
    <x:row r="7146" ht="21" customHeight="1">
      <x:c r="A7146" s="10" t="n">
        <x:v>46297</x:v>
      </x:c>
      <x:c r="B7146" s="1" t="n">
        <x:v>9</x:v>
      </x:c>
      <x:c r="C7146" s="1" t="n">
        <x:v>6</x:v>
      </x:c>
      <x:c r="D7146" s="12" t="n">
        <x:v>0</x:v>
      </x:c>
      <x:c r="E7146" s="12" t="n">
        <x:v>0.5551666666666667</x:v>
      </x:c>
      <x:c r="F7146" s="12" t="n">
        <x:v>0.5548333333333334</x:v>
      </x:c>
      <x:c r="G7146" s="12" t="n">
        <x:v>0</x:v>
      </x:c>
      <x:c r="H7146" s="1" t="n">
        <x:f>'Historical prices'!E7146</x:f>
        <x:v>1</x:v>
      </x:c>
      <x:c r="I7146" s="6" t="n">
        <x:f>'Historical prices'!D7146</x:f>
        <x:v>0.3171</x:v>
      </x:c>
      <x:c r="J7146" s="13" t="n">
        <x:f>D7146*I7146*H7146</x:f>
        <x:v>0</x:v>
      </x:c>
      <x:c r="K7146" s="13" t="n">
        <x:f>E7146*I7146*H7146</x:f>
        <x:v>0.17604335000000002</x:v>
      </x:c>
      <x:c r="L7146" s="1" t="str">
        <x:f>TEXT(A7146,"mmm yyyy")</x:f>
        <x:v>Oct 2026</x:v>
      </x:c>
    </x:row>
    <x:row r="7147" ht="21" customHeight="1">
      <x:c r="A7147" s="10" t="n">
        <x:v>46297</x:v>
      </x:c>
      <x:c r="B7147" s="1" t="n">
        <x:v>9.5</x:v>
      </x:c>
      <x:c r="C7147" s="1" t="n">
        <x:v>6</x:v>
      </x:c>
      <x:c r="D7147" s="12" t="n">
        <x:v>0</x:v>
      </x:c>
      <x:c r="E7147" s="12" t="n">
        <x:v>0.6246666666666667</x:v>
      </x:c>
      <x:c r="F7147" s="12" t="n">
        <x:v>0.6245</x:v>
      </x:c>
      <x:c r="G7147" s="12" t="n">
        <x:v>0</x:v>
      </x:c>
      <x:c r="H7147" s="1" t="n">
        <x:f>'Historical prices'!E7147</x:f>
        <x:v>1</x:v>
      </x:c>
      <x:c r="I7147" s="6" t="n">
        <x:f>'Historical prices'!D7147</x:f>
        <x:v>0.3068</x:v>
      </x:c>
      <x:c r="J7147" s="13" t="n">
        <x:f>D7147*I7147*H7147</x:f>
        <x:v>0</x:v>
      </x:c>
      <x:c r="K7147" s="13" t="n">
        <x:f>E7147*I7147*H7147</x:f>
        <x:v>0.19164773333333335</x:v>
      </x:c>
      <x:c r="L7147" s="1" t="str">
        <x:f>TEXT(A7147,"mmm yyyy")</x:f>
        <x:v>Oct 2026</x:v>
      </x:c>
    </x:row>
    <x:row r="7148" ht="21" customHeight="1">
      <x:c r="A7148" s="10" t="n">
        <x:v>46297</x:v>
      </x:c>
      <x:c r="B7148" s="1" t="n">
        <x:v>10</x:v>
      </x:c>
      <x:c r="C7148" s="1" t="n">
        <x:v>6</x:v>
      </x:c>
      <x:c r="D7148" s="12" t="n">
        <x:v>0.5974999999999999</x:v>
      </x:c>
      <x:c r="E7148" s="12" t="n">
        <x:v>0.5975833333333334</x:v>
      </x:c>
      <x:c r="F7148" s="12" t="n">
        <x:v>0.107</x:v>
      </x:c>
      <x:c r="G7148" s="12" t="n">
        <x:v>0.107</x:v>
      </x:c>
      <x:c r="H7148" s="1" t="n">
        <x:f>'Historical prices'!E7148</x:f>
        <x:v>1</x:v>
      </x:c>
      <x:c r="I7148" s="6" t="n">
        <x:f>'Historical prices'!D7148</x:f>
        <x:v>0.29410000000000003</x:v>
      </x:c>
      <x:c r="J7148" s="13" t="n">
        <x:f>D7148*I7148*H7148</x:f>
        <x:v>0.17572474999999999</x:v>
      </x:c>
      <x:c r="K7148" s="13" t="n">
        <x:f>E7148*I7148*H7148</x:f>
        <x:v>0.17574925833333335</x:v>
      </x:c>
      <x:c r="L7148" s="1" t="str">
        <x:f>TEXT(A7148,"mmm yyyy")</x:f>
        <x:v>Oct 2026</x:v>
      </x:c>
    </x:row>
    <x:row r="7149" ht="21" customHeight="1">
      <x:c r="A7149" s="10" t="n">
        <x:v>46297</x:v>
      </x:c>
      <x:c r="B7149" s="1" t="n">
        <x:v>10.5</x:v>
      </x:c>
      <x:c r="C7149" s="1" t="n">
        <x:v>6</x:v>
      </x:c>
      <x:c r="D7149" s="12" t="n">
        <x:v>0.615</x:v>
      </x:c>
      <x:c r="E7149" s="12" t="n">
        <x:v>0.534</x:v>
      </x:c>
      <x:c r="F7149" s="12" t="n">
        <x:v>0</x:v>
      </x:c>
      <x:c r="G7149" s="12" t="n">
        <x:v>0.08099999999999999</x:v>
      </x:c>
      <x:c r="H7149" s="1" t="n">
        <x:f>'Historical prices'!E7149</x:f>
        <x:v>1</x:v>
      </x:c>
      <x:c r="I7149" s="6" t="n">
        <x:f>'Historical prices'!D7149</x:f>
        <x:v>0.2782</x:v>
      </x:c>
      <x:c r="J7149" s="13" t="n">
        <x:f>D7149*I7149*H7149</x:f>
        <x:v>0.171093</x:v>
      </x:c>
      <x:c r="K7149" s="13" t="n">
        <x:f>E7149*I7149*H7149</x:f>
        <x:v>0.14855880000000002</x:v>
      </x:c>
      <x:c r="L7149" s="1" t="str">
        <x:f>TEXT(A7149,"mmm yyyy")</x:f>
        <x:v>Oct 2026</x:v>
      </x:c>
    </x:row>
    <x:row r="7150" ht="21" customHeight="1">
      <x:c r="A7150" s="10" t="n">
        <x:v>46297</x:v>
      </x:c>
      <x:c r="B7150" s="1" t="n">
        <x:v>11</x:v>
      </x:c>
      <x:c r="C7150" s="1" t="n">
        <x:v>6</x:v>
      </x:c>
      <x:c r="D7150" s="12" t="n">
        <x:v>0.746</x:v>
      </x:c>
      <x:c r="E7150" s="12" t="n">
        <x:v>0.675</x:v>
      </x:c>
      <x:c r="F7150" s="12" t="n">
        <x:v>0</x:v>
      </x:c>
      <x:c r="G7150" s="12" t="n">
        <x:v>0.071</x:v>
      </x:c>
      <x:c r="H7150" s="1" t="n">
        <x:f>'Historical prices'!E7150</x:f>
        <x:v>1</x:v>
      </x:c>
      <x:c r="I7150" s="6" t="n">
        <x:f>'Historical prices'!D7150</x:f>
        <x:v>0.2634</x:v>
      </x:c>
      <x:c r="J7150" s="13" t="n">
        <x:f>D7150*I7150*H7150</x:f>
        <x:v>0.19649640000000002</x:v>
      </x:c>
      <x:c r="K7150" s="13" t="n">
        <x:f>E7150*I7150*H7150</x:f>
        <x:v>0.17779500000000004</x:v>
      </x:c>
      <x:c r="L7150" s="1" t="str">
        <x:f>TEXT(A7150,"mmm yyyy")</x:f>
        <x:v>Oct 2026</x:v>
      </x:c>
    </x:row>
    <x:row r="7151" ht="21" customHeight="1">
      <x:c r="A7151" s="10" t="n">
        <x:v>46297</x:v>
      </x:c>
      <x:c r="B7151" s="1" t="n">
        <x:v>11.5</x:v>
      </x:c>
      <x:c r="C7151" s="1" t="n">
        <x:v>6</x:v>
      </x:c>
      <x:c r="D7151" s="12" t="n">
        <x:v>0.6115</x:v>
      </x:c>
      <x:c r="E7151" s="12" t="n">
        <x:v>0.5415000000000001</x:v>
      </x:c>
      <x:c r="F7151" s="12" t="n">
        <x:v>0</x:v>
      </x:c>
      <x:c r="G7151" s="12" t="n">
        <x:v>0.06999999999999999</x:v>
      </x:c>
      <x:c r="H7151" s="1" t="n">
        <x:f>'Historical prices'!E7151</x:f>
        <x:v>1</x:v>
      </x:c>
      <x:c r="I7151" s="6" t="n">
        <x:f>'Historical prices'!D7151</x:f>
        <x:v>0.24480000000000002</x:v>
      </x:c>
      <x:c r="J7151" s="13" t="n">
        <x:f>D7151*I7151*H7151</x:f>
        <x:v>0.14969520000000003</x:v>
      </x:c>
      <x:c r="K7151" s="13" t="n">
        <x:f>E7151*I7151*H7151</x:f>
        <x:v>0.13255920000000004</x:v>
      </x:c>
      <x:c r="L7151" s="1" t="str">
        <x:f>TEXT(A7151,"mmm yyyy")</x:f>
        <x:v>Oct 2026</x:v>
      </x:c>
    </x:row>
    <x:row r="7152" ht="21" customHeight="1">
      <x:c r="A7152" s="10" t="n">
        <x:v>46297</x:v>
      </x:c>
      <x:c r="B7152" s="1" t="n">
        <x:v>12</x:v>
      </x:c>
      <x:c r="C7152" s="1" t="n">
        <x:v>6</x:v>
      </x:c>
      <x:c r="D7152" s="12" t="n">
        <x:v>0.6255</x:v>
      </x:c>
      <x:c r="E7152" s="12" t="n">
        <x:v>0.5574999999999999</x:v>
      </x:c>
      <x:c r="F7152" s="12" t="n">
        <x:v>0</x:v>
      </x:c>
      <x:c r="G7152" s="12" t="n">
        <x:v>0.06799999999999999</x:v>
      </x:c>
      <x:c r="H7152" s="1" t="n">
        <x:f>'Historical prices'!E7152</x:f>
        <x:v>1</x:v>
      </x:c>
      <x:c r="I7152" s="6" t="n">
        <x:f>'Historical prices'!D7152</x:f>
        <x:v>0.2396</x:v>
      </x:c>
      <x:c r="J7152" s="13" t="n">
        <x:f>D7152*I7152*H7152</x:f>
        <x:v>0.1498698</x:v>
      </x:c>
      <x:c r="K7152" s="13" t="n">
        <x:f>E7152*I7152*H7152</x:f>
        <x:v>0.13357699999999997</x:v>
      </x:c>
      <x:c r="L7152" s="1" t="str">
        <x:f>TEXT(A7152,"mmm yyyy")</x:f>
        <x:v>Oct 2026</x:v>
      </x:c>
    </x:row>
    <x:row r="7153" ht="21" customHeight="1">
      <x:c r="A7153" s="10" t="n">
        <x:v>46297</x:v>
      </x:c>
      <x:c r="B7153" s="1" t="n">
        <x:v>12.5</x:v>
      </x:c>
      <x:c r="C7153" s="1" t="n">
        <x:v>6</x:v>
      </x:c>
      <x:c r="D7153" s="12" t="n">
        <x:v>2.06975</x:v>
      </x:c>
      <x:c r="E7153" s="12" t="n">
        <x:v>0.6707500000000001</x:v>
      </x:c>
      <x:c r="F7153" s="12" t="n">
        <x:v>0</x:v>
      </x:c>
      <x:c r="G7153" s="12" t="n">
        <x:v>1.399</x:v>
      </x:c>
      <x:c r="H7153" s="1" t="n">
        <x:f>'Historical prices'!E7153</x:f>
        <x:v>1</x:v>
      </x:c>
      <x:c r="I7153" s="6" t="n">
        <x:f>'Historical prices'!D7153</x:f>
        <x:v>0.2345</x:v>
      </x:c>
      <x:c r="J7153" s="13" t="n">
        <x:f>D7153*I7153*H7153</x:f>
        <x:v>0.48535637499999995</x:v>
      </x:c>
      <x:c r="K7153" s="13" t="n">
        <x:f>E7153*I7153*H7153</x:f>
        <x:v>0.157290875</x:v>
      </x:c>
      <x:c r="L7153" s="1" t="str">
        <x:f>TEXT(A7153,"mmm yyyy")</x:f>
        <x:v>Oct 2026</x:v>
      </x:c>
    </x:row>
    <x:row r="7154" ht="21" customHeight="1">
      <x:c r="A7154" s="10" t="n">
        <x:v>46297</x:v>
      </x:c>
      <x:c r="B7154" s="1" t="n">
        <x:v>13</x:v>
      </x:c>
      <x:c r="C7154" s="1" t="n">
        <x:v>6</x:v>
      </x:c>
      <x:c r="D7154" s="12" t="n">
        <x:v>5.32125</x:v>
      </x:c>
      <x:c r="E7154" s="12" t="n">
        <x:v>0.7122499999999999</x:v>
      </x:c>
      <x:c r="F7154" s="12" t="n">
        <x:v>0</x:v>
      </x:c>
      <x:c r="G7154" s="12" t="n">
        <x:v>4.609</x:v>
      </x:c>
      <x:c r="H7154" s="1" t="n">
        <x:f>'Historical prices'!E7154</x:f>
        <x:v>1</x:v>
      </x:c>
      <x:c r="I7154" s="6" t="n">
        <x:f>'Historical prices'!D7154</x:f>
        <x:v>0.23329999999999998</x:v>
      </x:c>
      <x:c r="J7154" s="13" t="n">
        <x:f>D7154*I7154*H7154</x:f>
        <x:v>1.241447625</x:v>
      </x:c>
      <x:c r="K7154" s="13" t="n">
        <x:f>E7154*I7154*H7154</x:f>
        <x:v>0.16616792499999997</x:v>
      </x:c>
      <x:c r="L7154" s="1" t="str">
        <x:f>TEXT(A7154,"mmm yyyy")</x:f>
        <x:v>Oct 2026</x:v>
      </x:c>
    </x:row>
    <x:row r="7155" ht="21" customHeight="1">
      <x:c r="A7155" s="10" t="n">
        <x:v>46297</x:v>
      </x:c>
      <x:c r="B7155" s="1" t="n">
        <x:v>13.5</x:v>
      </x:c>
      <x:c r="C7155" s="1" t="n">
        <x:v>6</x:v>
      </x:c>
      <x:c r="D7155" s="12" t="n">
        <x:v>5.164</x:v>
      </x:c>
      <x:c r="E7155" s="12" t="n">
        <x:v>0.692</x:v>
      </x:c>
      <x:c r="F7155" s="12" t="n">
        <x:v>0</x:v>
      </x:c>
      <x:c r="G7155" s="12" t="n">
        <x:v>4.4719999999999995</x:v>
      </x:c>
      <x:c r="H7155" s="1" t="n">
        <x:f>'Historical prices'!E7155</x:f>
        <x:v>1</x:v>
      </x:c>
      <x:c r="I7155" s="6" t="n">
        <x:f>'Historical prices'!D7155</x:f>
        <x:v>0.226</x:v>
      </x:c>
      <x:c r="J7155" s="13" t="n">
        <x:f>D7155*I7155*H7155</x:f>
        <x:v>1.1670639999999999</x:v>
      </x:c>
      <x:c r="K7155" s="13" t="n">
        <x:f>E7155*I7155*H7155</x:f>
        <x:v>0.156392</x:v>
      </x:c>
      <x:c r="L7155" s="1" t="str">
        <x:f>TEXT(A7155,"mmm yyyy")</x:f>
        <x:v>Oct 2026</x:v>
      </x:c>
    </x:row>
    <x:row r="7156" ht="21" customHeight="1">
      <x:c r="A7156" s="10" t="n">
        <x:v>46297</x:v>
      </x:c>
      <x:c r="B7156" s="1" t="n">
        <x:v>14</x:v>
      </x:c>
      <x:c r="C7156" s="1" t="n">
        <x:v>6</x:v>
      </x:c>
      <x:c r="D7156" s="12" t="n">
        <x:v>1.539</x:v>
      </x:c>
      <x:c r="E7156" s="12" t="n">
        <x:v>0.596</x:v>
      </x:c>
      <x:c r="F7156" s="12" t="n">
        <x:v>0</x:v>
      </x:c>
      <x:c r="G7156" s="12" t="n">
        <x:v>0.942</x:v>
      </x:c>
      <x:c r="H7156" s="1" t="n">
        <x:f>'Historical prices'!E7156</x:f>
        <x:v>1</x:v>
      </x:c>
      <x:c r="I7156" s="6" t="n">
        <x:f>'Historical prices'!D7156</x:f>
        <x:v>0.2354</x:v>
      </x:c>
      <x:c r="J7156" s="13" t="n">
        <x:f>D7156*I7156*H7156</x:f>
        <x:v>0.36228059999999995</x:v>
      </x:c>
      <x:c r="K7156" s="13" t="n">
        <x:f>E7156*I7156*H7156</x:f>
        <x:v>0.1402984</x:v>
      </x:c>
      <x:c r="L7156" s="1" t="str">
        <x:f>TEXT(A7156,"mmm yyyy")</x:f>
        <x:v>Oct 2026</x:v>
      </x:c>
    </x:row>
    <x:row r="7157" ht="21" customHeight="1">
      <x:c r="A7157" s="10" t="n">
        <x:v>46297</x:v>
      </x:c>
      <x:c r="B7157" s="1" t="n">
        <x:v>14.5</x:v>
      </x:c>
      <x:c r="C7157" s="1" t="n">
        <x:v>6</x:v>
      </x:c>
      <x:c r="D7157" s="12" t="n">
        <x:v>4.784000000000001</x:v>
      </x:c>
      <x:c r="E7157" s="12" t="n">
        <x:v>0.691</x:v>
      </x:c>
      <x:c r="F7157" s="12" t="n">
        <x:v>0</x:v>
      </x:c>
      <x:c r="G7157" s="12" t="n">
        <x:v>4.093</x:v>
      </x:c>
      <x:c r="H7157" s="1" t="n">
        <x:f>'Historical prices'!E7157</x:f>
        <x:v>1</x:v>
      </x:c>
      <x:c r="I7157" s="6" t="n">
        <x:f>'Historical prices'!D7157</x:f>
        <x:v>0.231</x:v>
      </x:c>
      <x:c r="J7157" s="13" t="n">
        <x:f>D7157*I7157*H7157</x:f>
        <x:v>1.1051040000000003</x:v>
      </x:c>
      <x:c r="K7157" s="13" t="n">
        <x:f>E7157*I7157*H7157</x:f>
        <x:v>0.15962099999999999</x:v>
      </x:c>
      <x:c r="L7157" s="1" t="str">
        <x:f>TEXT(A7157,"mmm yyyy")</x:f>
        <x:v>Oct 2026</x:v>
      </x:c>
    </x:row>
    <x:row r="7158" ht="21" customHeight="1">
      <x:c r="A7158" s="10" t="n">
        <x:v>46297</x:v>
      </x:c>
      <x:c r="B7158" s="1" t="n">
        <x:v>15</x:v>
      </x:c>
      <x:c r="C7158" s="1" t="n">
        <x:v>6</x:v>
      </x:c>
      <x:c r="D7158" s="12" t="n">
        <x:v>1.23</x:v>
      </x:c>
      <x:c r="E7158" s="12" t="n">
        <x:v>0.464</x:v>
      </x:c>
      <x:c r="F7158" s="12" t="n">
        <x:v>0</x:v>
      </x:c>
      <x:c r="G7158" s="12" t="n">
        <x:v>0.774</x:v>
      </x:c>
      <x:c r="H7158" s="1" t="n">
        <x:f>'Historical prices'!E7158</x:f>
        <x:v>1</x:v>
      </x:c>
      <x:c r="I7158" s="6" t="n">
        <x:f>'Historical prices'!D7158</x:f>
        <x:v>0.2481</x:v>
      </x:c>
      <x:c r="J7158" s="13" t="n">
        <x:f>D7158*I7158*H7158</x:f>
        <x:v>0.30516299999999996</x:v>
      </x:c>
      <x:c r="K7158" s="13" t="n">
        <x:f>E7158*I7158*H7158</x:f>
        <x:v>0.1151184</x:v>
      </x:c>
      <x:c r="L7158" s="1" t="str">
        <x:f>TEXT(A7158,"mmm yyyy")</x:f>
        <x:v>Oct 2026</x:v>
      </x:c>
    </x:row>
    <x:row r="7159" ht="21" customHeight="1">
      <x:c r="A7159" s="10" t="n">
        <x:v>46297</x:v>
      </x:c>
      <x:c r="B7159" s="1" t="n">
        <x:v>15.5</x:v>
      </x:c>
      <x:c r="C7159" s="1" t="n">
        <x:v>6</x:v>
      </x:c>
      <x:c r="D7159" s="12" t="n">
        <x:v>0.499</x:v>
      </x:c>
      <x:c r="E7159" s="12" t="n">
        <x:v>0.511</x:v>
      </x:c>
      <x:c r="F7159" s="12" t="n">
        <x:v>0</x:v>
      </x:c>
      <x:c r="G7159" s="12" t="n">
        <x:v>0</x:v>
      </x:c>
      <x:c r="H7159" s="1" t="n">
        <x:f>'Historical prices'!E7159</x:f>
        <x:v>1</x:v>
      </x:c>
      <x:c r="I7159" s="6" t="n">
        <x:f>'Historical prices'!D7159</x:f>
        <x:v>0.2602</x:v>
      </x:c>
      <x:c r="J7159" s="13" t="n">
        <x:f>D7159*I7159*H7159</x:f>
        <x:v>0.1298398</x:v>
      </x:c>
      <x:c r="K7159" s="13" t="n">
        <x:f>E7159*I7159*H7159</x:f>
        <x:v>0.1329622</x:v>
      </x:c>
      <x:c r="L7159" s="1" t="str">
        <x:f>TEXT(A7159,"mmm yyyy")</x:f>
        <x:v>Oct 2026</x:v>
      </x:c>
    </x:row>
    <x:row r="7160" ht="21" customHeight="1">
      <x:c r="A7160" s="10" t="n">
        <x:v>46297</x:v>
      </x:c>
      <x:c r="B7160" s="1" t="n">
        <x:v>16</x:v>
      </x:c>
      <x:c r="C7160" s="1" t="n">
        <x:v>6</x:v>
      </x:c>
      <x:c r="D7160" s="12" t="n">
        <x:v>0.095</x:v>
      </x:c>
      <x:c r="E7160" s="12" t="n">
        <x:v>0.5991666666666666</x:v>
      </x:c>
      <x:c r="F7160" s="12" t="n">
        <x:v>0.5015833333333333</x:v>
      </x:c>
      <x:c r="G7160" s="12" t="n">
        <x:v>0</x:v>
      </x:c>
      <x:c r="H7160" s="1" t="n">
        <x:f>'Historical prices'!E7160</x:f>
        <x:v>1</x:v>
      </x:c>
      <x:c r="I7160" s="6" t="n">
        <x:f>'Historical prices'!D7160</x:f>
        <x:v>0.4077</x:v>
      </x:c>
      <x:c r="J7160" s="13" t="n">
        <x:f>D7160*I7160*H7160</x:f>
        <x:v>0.0387315</x:v>
      </x:c>
      <x:c r="K7160" s="13" t="n">
        <x:f>E7160*I7160*H7160</x:f>
        <x:v>0.24428024999999998</x:v>
      </x:c>
      <x:c r="L7160" s="1" t="str">
        <x:f>TEXT(A7160,"mmm yyyy")</x:f>
        <x:v>Oct 2026</x:v>
      </x:c>
    </x:row>
    <x:row r="7161" ht="21" customHeight="1">
      <x:c r="A7161" s="10" t="n">
        <x:v>46297</x:v>
      </x:c>
      <x:c r="B7161" s="1" t="n">
        <x:v>16.5</x:v>
      </x:c>
      <x:c r="C7161" s="1" t="n">
        <x:v>6</x:v>
      </x:c>
      <x:c r="D7161" s="12" t="n">
        <x:v>0</x:v>
      </x:c>
      <x:c r="E7161" s="12" t="n">
        <x:v>0.5125833333333334</x:v>
      </x:c>
      <x:c r="F7161" s="12" t="n">
        <x:v>0.5120833333333334</x:v>
      </x:c>
      <x:c r="G7161" s="12" t="n">
        <x:v>0</x:v>
      </x:c>
      <x:c r="H7161" s="1" t="n">
        <x:f>'Historical prices'!E7161</x:f>
        <x:v>1</x:v>
      </x:c>
      <x:c r="I7161" s="6" t="n">
        <x:f>'Historical prices'!D7161</x:f>
        <x:v>0.43670000000000003</x:v>
      </x:c>
      <x:c r="J7161" s="13" t="n">
        <x:f>D7161*I7161*H7161</x:f>
        <x:v>0</x:v>
      </x:c>
      <x:c r="K7161" s="13" t="n">
        <x:f>E7161*I7161*H7161</x:f>
        <x:v>0.22384514166666672</x:v>
      </x:c>
      <x:c r="L7161" s="1" t="str">
        <x:f>TEXT(A7161,"mmm yyyy")</x:f>
        <x:v>Oct 2026</x:v>
      </x:c>
    </x:row>
    <x:row r="7162" ht="21" customHeight="1">
      <x:c r="A7162" s="10" t="n">
        <x:v>46297</x:v>
      </x:c>
      <x:c r="B7162" s="1" t="n">
        <x:v>17</x:v>
      </x:c>
      <x:c r="C7162" s="1" t="n">
        <x:v>6</x:v>
      </x:c>
      <x:c r="D7162" s="12" t="n">
        <x:v>0</x:v>
      </x:c>
      <x:c r="E7162" s="12" t="n">
        <x:v>0.7055</x:v>
      </x:c>
      <x:c r="F7162" s="12" t="n">
        <x:v>0.7049166666666666</x:v>
      </x:c>
      <x:c r="G7162" s="12" t="n">
        <x:v>0</x:v>
      </x:c>
      <x:c r="H7162" s="1" t="n">
        <x:f>'Historical prices'!E7162</x:f>
        <x:v>1</x:v>
      </x:c>
      <x:c r="I7162" s="6" t="n">
        <x:f>'Historical prices'!D7162</x:f>
        <x:v>0.45549999999999996</x:v>
      </x:c>
      <x:c r="J7162" s="13" t="n">
        <x:f>D7162*I7162*H7162</x:f>
        <x:v>0</x:v>
      </x:c>
      <x:c r="K7162" s="13" t="n">
        <x:f>E7162*I7162*H7162</x:f>
        <x:v>0.32135525</x:v>
      </x:c>
      <x:c r="L7162" s="1" t="str">
        <x:f>TEXT(A7162,"mmm yyyy")</x:f>
        <x:v>Oct 2026</x:v>
      </x:c>
    </x:row>
    <x:row r="7163" ht="21" customHeight="1">
      <x:c r="A7163" s="10" t="n">
        <x:v>46297</x:v>
      </x:c>
      <x:c r="B7163" s="1" t="n">
        <x:v>17.5</x:v>
      </x:c>
      <x:c r="C7163" s="1" t="n">
        <x:v>6</x:v>
      </x:c>
      <x:c r="D7163" s="12" t="n">
        <x:v>0</x:v>
      </x:c>
      <x:c r="E7163" s="12" t="n">
        <x:v>0.5985833333333334</x:v>
      </x:c>
      <x:c r="F7163" s="12" t="n">
        <x:v>0.59825</x:v>
      </x:c>
      <x:c r="G7163" s="12" t="n">
        <x:v>0</x:v>
      </x:c>
      <x:c r="H7163" s="1" t="n">
        <x:f>'Historical prices'!E7163</x:f>
        <x:v>1</x:v>
      </x:c>
      <x:c r="I7163" s="6" t="n">
        <x:f>'Historical prices'!D7163</x:f>
        <x:v>0.47090000000000004</x:v>
      </x:c>
      <x:c r="J7163" s="13" t="n">
        <x:f>D7163*I7163*H7163</x:f>
        <x:v>0</x:v>
      </x:c>
      <x:c r="K7163" s="13" t="n">
        <x:f>E7163*I7163*H7163</x:f>
        <x:v>0.2818728916666667</x:v>
      </x:c>
      <x:c r="L7163" s="1" t="str">
        <x:f>TEXT(A7163,"mmm yyyy")</x:f>
        <x:v>Oct 2026</x:v>
      </x:c>
    </x:row>
    <x:row r="7164" ht="21" customHeight="1">
      <x:c r="A7164" s="10" t="n">
        <x:v>46297</x:v>
      </x:c>
      <x:c r="B7164" s="1" t="n">
        <x:v>18</x:v>
      </x:c>
      <x:c r="C7164" s="1" t="n">
        <x:v>6</x:v>
      </x:c>
      <x:c r="D7164" s="12" t="n">
        <x:v>0</x:v>
      </x:c>
      <x:c r="E7164" s="12" t="n">
        <x:v>0.5904166666666667</x:v>
      </x:c>
      <x:c r="F7164" s="12" t="n">
        <x:v>0.5894999999999999</x:v>
      </x:c>
      <x:c r="G7164" s="12" t="n">
        <x:v>0</x:v>
      </x:c>
      <x:c r="H7164" s="1" t="n">
        <x:f>'Historical prices'!E7164</x:f>
        <x:v>1</x:v>
      </x:c>
      <x:c r="I7164" s="6" t="n">
        <x:f>'Historical prices'!D7164</x:f>
        <x:v>0.4717</x:v>
      </x:c>
      <x:c r="J7164" s="13" t="n">
        <x:f>D7164*I7164*H7164</x:f>
        <x:v>0</x:v>
      </x:c>
      <x:c r="K7164" s="13" t="n">
        <x:f>E7164*I7164*H7164</x:f>
        <x:v>0.2784995416666667</x:v>
      </x:c>
      <x:c r="L7164" s="1" t="str">
        <x:f>TEXT(A7164,"mmm yyyy")</x:f>
        <x:v>Oct 2026</x:v>
      </x:c>
    </x:row>
    <x:row r="7165" ht="21" customHeight="1">
      <x:c r="A7165" s="10" t="n">
        <x:v>46297</x:v>
      </x:c>
      <x:c r="B7165" s="1" t="n">
        <x:v>18.5</x:v>
      </x:c>
      <x:c r="C7165" s="1" t="n">
        <x:v>6</x:v>
      </x:c>
      <x:c r="D7165" s="12" t="n">
        <x:v>0</x:v>
      </x:c>
      <x:c r="E7165" s="12" t="n">
        <x:v>0.635</x:v>
      </x:c>
      <x:c r="F7165" s="12" t="n">
        <x:v>0.6345</x:v>
      </x:c>
      <x:c r="G7165" s="12" t="n">
        <x:v>0</x:v>
      </x:c>
      <x:c r="H7165" s="1" t="n">
        <x:f>'Historical prices'!E7165</x:f>
        <x:v>1</x:v>
      </x:c>
      <x:c r="I7165" s="6" t="n">
        <x:f>'Historical prices'!D7165</x:f>
        <x:v>0.4768</x:v>
      </x:c>
      <x:c r="J7165" s="13" t="n">
        <x:f>D7165*I7165*H7165</x:f>
        <x:v>0</x:v>
      </x:c>
      <x:c r="K7165" s="13" t="n">
        <x:f>E7165*I7165*H7165</x:f>
        <x:v>0.302768</x:v>
      </x:c>
      <x:c r="L7165" s="1" t="str">
        <x:f>TEXT(A7165,"mmm yyyy")</x:f>
        <x:v>Oct 2026</x:v>
      </x:c>
    </x:row>
    <x:row r="7166" ht="21" customHeight="1">
      <x:c r="A7166" s="10" t="n">
        <x:v>46297</x:v>
      </x:c>
      <x:c r="B7166" s="1" t="n">
        <x:v>19</x:v>
      </x:c>
      <x:c r="C7166" s="1" t="n">
        <x:v>6</x:v>
      </x:c>
      <x:c r="D7166" s="12" t="n">
        <x:v>0</x:v>
      </x:c>
      <x:c r="E7166" s="12" t="n">
        <x:v>0.5379166666666666</x:v>
      </x:c>
      <x:c r="F7166" s="12" t="n">
        <x:v>0.5375</x:v>
      </x:c>
      <x:c r="G7166" s="12" t="n">
        <x:v>0</x:v>
      </x:c>
      <x:c r="H7166" s="1" t="n">
        <x:f>'Historical prices'!E7166</x:f>
        <x:v>1</x:v>
      </x:c>
      <x:c r="I7166" s="6" t="n">
        <x:f>'Historical prices'!D7166</x:f>
        <x:v>0.34590000000000004</x:v>
      </x:c>
      <x:c r="J7166" s="13" t="n">
        <x:f>D7166*I7166*H7166</x:f>
        <x:v>0</x:v>
      </x:c>
      <x:c r="K7166" s="13" t="n">
        <x:f>E7166*I7166*H7166</x:f>
        <x:v>0.186065375</x:v>
      </x:c>
      <x:c r="L7166" s="1" t="str">
        <x:f>TEXT(A7166,"mmm yyyy")</x:f>
        <x:v>Oct 2026</x:v>
      </x:c>
    </x:row>
    <x:row r="7167" ht="21" customHeight="1">
      <x:c r="A7167" s="10" t="n">
        <x:v>46297</x:v>
      </x:c>
      <x:c r="B7167" s="1" t="n">
        <x:v>19.5</x:v>
      </x:c>
      <x:c r="C7167" s="1" t="n">
        <x:v>6</x:v>
      </x:c>
      <x:c r="D7167" s="12" t="n">
        <x:v>0</x:v>
      </x:c>
      <x:c r="E7167" s="12" t="n">
        <x:v>0.50875</x:v>
      </x:c>
      <x:c r="F7167" s="12" t="n">
        <x:v>0.5085833333333334</x:v>
      </x:c>
      <x:c r="G7167" s="12" t="n">
        <x:v>0</x:v>
      </x:c>
      <x:c r="H7167" s="1" t="n">
        <x:f>'Historical prices'!E7167</x:f>
        <x:v>1</x:v>
      </x:c>
      <x:c r="I7167" s="6" t="n">
        <x:f>'Historical prices'!D7167</x:f>
        <x:v>0.3446</x:v>
      </x:c>
      <x:c r="J7167" s="13" t="n">
        <x:f>D7167*I7167*H7167</x:f>
        <x:v>0</x:v>
      </x:c>
      <x:c r="K7167" s="13" t="n">
        <x:f>E7167*I7167*H7167</x:f>
        <x:v>0.17531525000000003</x:v>
      </x:c>
      <x:c r="L7167" s="1" t="str">
        <x:f>TEXT(A7167,"mmm yyyy")</x:f>
        <x:v>Oct 2026</x:v>
      </x:c>
    </x:row>
    <x:row r="7168" ht="21" customHeight="1">
      <x:c r="A7168" s="10" t="n">
        <x:v>46297</x:v>
      </x:c>
      <x:c r="B7168" s="1" t="n">
        <x:v>20</x:v>
      </x:c>
      <x:c r="C7168" s="1" t="n">
        <x:v>6</x:v>
      </x:c>
      <x:c r="D7168" s="12" t="n">
        <x:v>0</x:v>
      </x:c>
      <x:c r="E7168" s="12" t="n">
        <x:v>0.5781666666666666</x:v>
      </x:c>
      <x:c r="F7168" s="12" t="n">
        <x:v>0.57775</x:v>
      </x:c>
      <x:c r="G7168" s="12" t="n">
        <x:v>0</x:v>
      </x:c>
      <x:c r="H7168" s="1" t="n">
        <x:f>'Historical prices'!E7168</x:f>
        <x:v>1</x:v>
      </x:c>
      <x:c r="I7168" s="6" t="n">
        <x:f>'Historical prices'!D7168</x:f>
        <x:v>0.3446</x:v>
      </x:c>
      <x:c r="J7168" s="13" t="n">
        <x:f>D7168*I7168*H7168</x:f>
        <x:v>0</x:v>
      </x:c>
      <x:c r="K7168" s="13" t="n">
        <x:f>E7168*I7168*H7168</x:f>
        <x:v>0.19923623333333332</x:v>
      </x:c>
      <x:c r="L7168" s="1" t="str">
        <x:f>TEXT(A7168,"mmm yyyy")</x:f>
        <x:v>Oct 2026</x:v>
      </x:c>
    </x:row>
    <x:row r="7169" ht="21" customHeight="1">
      <x:c r="A7169" s="10" t="n">
        <x:v>46297</x:v>
      </x:c>
      <x:c r="B7169" s="1" t="n">
        <x:v>20.5</x:v>
      </x:c>
      <x:c r="C7169" s="1" t="n">
        <x:v>6</x:v>
      </x:c>
      <x:c r="D7169" s="12" t="n">
        <x:v>0</x:v>
      </x:c>
      <x:c r="E7169" s="12" t="n">
        <x:v>0.5227499999999999</x:v>
      </x:c>
      <x:c r="F7169" s="12" t="n">
        <x:v>0.5223333333333333</x:v>
      </x:c>
      <x:c r="G7169" s="12" t="n">
        <x:v>0</x:v>
      </x:c>
      <x:c r="H7169" s="1" t="n">
        <x:f>'Historical prices'!E7169</x:f>
        <x:v>1</x:v>
      </x:c>
      <x:c r="I7169" s="6" t="n">
        <x:f>'Historical prices'!D7169</x:f>
        <x:v>0.3265</x:v>
      </x:c>
      <x:c r="J7169" s="13" t="n">
        <x:f>D7169*I7169*H7169</x:f>
        <x:v>0</x:v>
      </x:c>
      <x:c r="K7169" s="13" t="n">
        <x:f>E7169*I7169*H7169</x:f>
        <x:v>0.17067787499999998</x:v>
      </x:c>
      <x:c r="L7169" s="1" t="str">
        <x:f>TEXT(A7169,"mmm yyyy")</x:f>
        <x:v>Oct 2026</x:v>
      </x:c>
    </x:row>
    <x:row r="7170" ht="21" customHeight="1">
      <x:c r="A7170" s="10" t="n">
        <x:v>46297</x:v>
      </x:c>
      <x:c r="B7170" s="1" t="n">
        <x:v>21</x:v>
      </x:c>
      <x:c r="C7170" s="1" t="n">
        <x:v>6</x:v>
      </x:c>
      <x:c r="D7170" s="12" t="n">
        <x:v>0</x:v>
      </x:c>
      <x:c r="E7170" s="12" t="n">
        <x:v>0.5363333333333333</x:v>
      </x:c>
      <x:c r="F7170" s="12" t="n">
        <x:v>0.5355</x:v>
      </x:c>
      <x:c r="G7170" s="12" t="n">
        <x:v>0</x:v>
      </x:c>
      <x:c r="H7170" s="1" t="n">
        <x:f>'Historical prices'!E7170</x:f>
        <x:v>1</x:v>
      </x:c>
      <x:c r="I7170" s="6" t="n">
        <x:f>'Historical prices'!D7170</x:f>
        <x:v>0.3309</x:v>
      </x:c>
      <x:c r="J7170" s="13" t="n">
        <x:f>D7170*I7170*H7170</x:f>
        <x:v>0</x:v>
      </x:c>
      <x:c r="K7170" s="13" t="n">
        <x:f>E7170*I7170*H7170</x:f>
        <x:v>0.1774727</x:v>
      </x:c>
      <x:c r="L7170" s="1" t="str">
        <x:f>TEXT(A7170,"mmm yyyy")</x:f>
        <x:v>Oct 2026</x:v>
      </x:c>
    </x:row>
    <x:row r="7171" ht="21" customHeight="1">
      <x:c r="A7171" s="10" t="n">
        <x:v>46297</x:v>
      </x:c>
      <x:c r="B7171" s="1" t="n">
        <x:v>21.5</x:v>
      </x:c>
      <x:c r="C7171" s="1" t="n">
        <x:v>6</x:v>
      </x:c>
      <x:c r="D7171" s="12" t="n">
        <x:v>0</x:v>
      </x:c>
      <x:c r="E7171" s="12" t="n">
        <x:v>0.34299999999999997</x:v>
      </x:c>
      <x:c r="F7171" s="12" t="n">
        <x:v>0.3423333333333334</x:v>
      </x:c>
      <x:c r="G7171" s="12" t="n">
        <x:v>0</x:v>
      </x:c>
      <x:c r="H7171" s="1" t="n">
        <x:f>'Historical prices'!E7171</x:f>
        <x:v>1</x:v>
      </x:c>
      <x:c r="I7171" s="6" t="n">
        <x:f>'Historical prices'!D7171</x:f>
        <x:v>0.3109</x:v>
      </x:c>
      <x:c r="J7171" s="13" t="n">
        <x:f>D7171*I7171*H7171</x:f>
        <x:v>0</x:v>
      </x:c>
      <x:c r="K7171" s="13" t="n">
        <x:f>E7171*I7171*H7171</x:f>
        <x:v>0.10663869999999999</x:v>
      </x:c>
      <x:c r="L7171" s="1" t="str">
        <x:f>TEXT(A7171,"mmm yyyy")</x:f>
        <x:v>Oct 2026</x:v>
      </x:c>
    </x:row>
    <x:row r="7172" ht="21" customHeight="1">
      <x:c r="A7172" s="10" t="n">
        <x:v>46297</x:v>
      </x:c>
      <x:c r="B7172" s="1" t="n">
        <x:v>22</x:v>
      </x:c>
      <x:c r="C7172" s="1" t="n">
        <x:v>6</x:v>
      </x:c>
      <x:c r="D7172" s="12" t="n">
        <x:v>0</x:v>
      </x:c>
      <x:c r="E7172" s="12" t="n">
        <x:v>0.386</x:v>
      </x:c>
      <x:c r="F7172" s="12" t="n">
        <x:v>0.3855833333333334</x:v>
      </x:c>
      <x:c r="G7172" s="12" t="n">
        <x:v>0</x:v>
      </x:c>
      <x:c r="H7172" s="1" t="n">
        <x:f>'Historical prices'!E7172</x:f>
        <x:v>1</x:v>
      </x:c>
      <x:c r="I7172" s="6" t="n">
        <x:f>'Historical prices'!D7172</x:f>
        <x:v>0.2922</x:v>
      </x:c>
      <x:c r="J7172" s="13" t="n">
        <x:f>D7172*I7172*H7172</x:f>
        <x:v>0</x:v>
      </x:c>
      <x:c r="K7172" s="13" t="n">
        <x:f>E7172*I7172*H7172</x:f>
        <x:v>0.1127892</x:v>
      </x:c>
      <x:c r="L7172" s="1" t="str">
        <x:f>TEXT(A7172,"mmm yyyy")</x:f>
        <x:v>Oct 2026</x:v>
      </x:c>
    </x:row>
    <x:row r="7173" ht="21" customHeight="1">
      <x:c r="A7173" s="10" t="n">
        <x:v>46297</x:v>
      </x:c>
      <x:c r="B7173" s="1" t="n">
        <x:v>22.5</x:v>
      </x:c>
      <x:c r="C7173" s="1" t="n">
        <x:v>6</x:v>
      </x:c>
      <x:c r="D7173" s="12" t="n">
        <x:v>0.19075</x:v>
      </x:c>
      <x:c r="E7173" s="12" t="n">
        <x:v>0.25</x:v>
      </x:c>
      <x:c r="F7173" s="12" t="n">
        <x:v>0.05</x:v>
      </x:c>
      <x:c r="G7173" s="12" t="n">
        <x:v>0</x:v>
      </x:c>
      <x:c r="H7173" s="1" t="n">
        <x:f>'Historical prices'!E7173</x:f>
        <x:v>1</x:v>
      </x:c>
      <x:c r="I7173" s="6" t="n">
        <x:f>'Historical prices'!D7173</x:f>
        <x:v>0.2762</x:v>
      </x:c>
      <x:c r="J7173" s="13" t="n">
        <x:f>D7173*I7173*H7173</x:f>
        <x:v>0.05268515</x:v>
      </x:c>
      <x:c r="K7173" s="13" t="n">
        <x:f>E7173*I7173*H7173</x:f>
        <x:v>0.06905</x:v>
      </x:c>
      <x:c r="L7173" s="1" t="str">
        <x:f>TEXT(A7173,"mmm yyyy")</x:f>
        <x:v>Oct 2026</x:v>
      </x:c>
    </x:row>
    <x:row r="7174" ht="21" customHeight="1">
      <x:c r="A7174" s="10" t="n">
        <x:v>46297</x:v>
      </x:c>
      <x:c r="B7174" s="1" t="n">
        <x:v>23</x:v>
      </x:c>
      <x:c r="C7174" s="1" t="n">
        <x:v>6</x:v>
      </x:c>
      <x:c r="D7174" s="12" t="n">
        <x:v>0.038</x:v>
      </x:c>
      <x:c r="E7174" s="12" t="n">
        <x:v>0.2906666666666667</x:v>
      </x:c>
      <x:c r="F7174" s="12" t="n">
        <x:v>0.25033333333333335</x:v>
      </x:c>
      <x:c r="G7174" s="12" t="n">
        <x:v>0</x:v>
      </x:c>
      <x:c r="H7174" s="1" t="n">
        <x:f>'Historical prices'!E7174</x:f>
        <x:v>1</x:v>
      </x:c>
      <x:c r="I7174" s="6" t="n">
        <x:f>'Historical prices'!D7174</x:f>
        <x:v>0.3224</x:v>
      </x:c>
      <x:c r="J7174" s="13" t="n">
        <x:f>D7174*I7174*H7174</x:f>
        <x:v>0.0122512</x:v>
      </x:c>
      <x:c r="K7174" s="13" t="n">
        <x:f>E7174*I7174*H7174</x:f>
        <x:v>0.09371093333333334</x:v>
      </x:c>
      <x:c r="L7174" s="1" t="str">
        <x:f>TEXT(A7174,"mmm yyyy")</x:f>
        <x:v>Oct 2026</x:v>
      </x:c>
    </x:row>
    <x:row r="7175" ht="21" customHeight="1">
      <x:c r="A7175" s="10" t="n">
        <x:v>46297</x:v>
      </x:c>
      <x:c r="B7175" s="1" t="n">
        <x:v>23.5</x:v>
      </x:c>
      <x:c r="C7175" s="1" t="n">
        <x:v>6</x:v>
      </x:c>
      <x:c r="D7175" s="12" t="n">
        <x:v>0</x:v>
      </x:c>
      <x:c r="E7175" s="12" t="n">
        <x:v>0.30541666666666667</x:v>
      </x:c>
      <x:c r="F7175" s="12" t="n">
        <x:v>0.30475</x:v>
      </x:c>
      <x:c r="G7175" s="12" t="n">
        <x:v>0</x:v>
      </x:c>
      <x:c r="H7175" s="1" t="n">
        <x:f>'Historical prices'!E7175</x:f>
        <x:v>1</x:v>
      </x:c>
      <x:c r="I7175" s="6" t="n">
        <x:f>'Historical prices'!D7175</x:f>
        <x:v>0.30260000000000004</x:v>
      </x:c>
      <x:c r="J7175" s="13" t="n">
        <x:f>D7175*I7175*H7175</x:f>
        <x:v>0</x:v>
      </x:c>
      <x:c r="K7175" s="13" t="n">
        <x:f>E7175*I7175*H7175</x:f>
        <x:v>0.09241908333333335</x:v>
      </x:c>
      <x:c r="L7175" s="1" t="str">
        <x:f>TEXT(A7175,"mmm yyyy")</x:f>
        <x:v>Oct 2026</x:v>
      </x:c>
    </x:row>
    <x:row r="7176" ht="21" customHeight="1">
      <x:c r="A7176" s="10" t="n">
        <x:v>46298</x:v>
      </x:c>
      <x:c r="B7176" s="1" t="n">
        <x:v>0</x:v>
      </x:c>
      <x:c r="C7176" s="1" t="n">
        <x:v>6</x:v>
      </x:c>
      <x:c r="D7176" s="12" t="n">
        <x:v>0.21700000000000003</x:v>
      </x:c>
      <x:c r="E7176" s="12" t="n">
        <x:v>0.278</x:v>
      </x:c>
      <x:c r="F7176" s="12" t="n">
        <x:v>0.052</x:v>
      </x:c>
      <x:c r="G7176" s="12" t="n">
        <x:v>0</x:v>
      </x:c>
      <x:c r="H7176" s="1" t="n">
        <x:f>'Historical prices'!E7176</x:f>
        <x:v>1</x:v>
      </x:c>
      <x:c r="I7176" s="6" t="n">
        <x:f>'Historical prices'!D7176</x:f>
        <x:v>0.2823</x:v>
      </x:c>
      <x:c r="J7176" s="13" t="n">
        <x:f>D7176*I7176*H7176</x:f>
        <x:v>0.061259100000000004</x:v>
      </x:c>
      <x:c r="K7176" s="13" t="n">
        <x:f>E7176*I7176*H7176</x:f>
        <x:v>0.0784794</x:v>
      </x:c>
      <x:c r="L7176" s="1" t="str">
        <x:f>TEXT(A7176,"mmm yyyy")</x:f>
        <x:v>Oct 2026</x:v>
      </x:c>
    </x:row>
    <x:row r="7177" ht="21" customHeight="1">
      <x:c r="A7177" s="10" t="n">
        <x:v>46298</x:v>
      </x:c>
      <x:c r="B7177" s="1" t="n">
        <x:v>0.5</x:v>
      </x:c>
      <x:c r="C7177" s="1" t="n">
        <x:v>6</x:v>
      </x:c>
      <x:c r="D7177" s="12" t="n">
        <x:v>0.24275000000000002</x:v>
      </x:c>
      <x:c r="E7177" s="12" t="n">
        <x:v>0.25275000000000003</x:v>
      </x:c>
      <x:c r="F7177" s="12" t="n">
        <x:v>0</x:v>
      </x:c>
      <x:c r="G7177" s="12" t="n">
        <x:v>0</x:v>
      </x:c>
      <x:c r="H7177" s="1" t="n">
        <x:f>'Historical prices'!E7177</x:f>
        <x:v>1</x:v>
      </x:c>
      <x:c r="I7177" s="6" t="n">
        <x:f>'Historical prices'!D7177</x:f>
        <x:v>0.2892</x:v>
      </x:c>
      <x:c r="J7177" s="13" t="n">
        <x:f>D7177*I7177*H7177</x:f>
        <x:v>0.07020330000000001</x:v>
      </x:c>
      <x:c r="K7177" s="13" t="n">
        <x:f>E7177*I7177*H7177</x:f>
        <x:v>0.07309530000000002</x:v>
      </x:c>
      <x:c r="L7177" s="1" t="str">
        <x:f>TEXT(A7177,"mmm yyyy")</x:f>
        <x:v>Oct 2026</x:v>
      </x:c>
    </x:row>
    <x:row r="7178" ht="21" customHeight="1">
      <x:c r="A7178" s="10" t="n">
        <x:v>46298</x:v>
      </x:c>
      <x:c r="B7178" s="1" t="n">
        <x:v>1</x:v>
      </x:c>
      <x:c r="C7178" s="1" t="n">
        <x:v>6</x:v>
      </x:c>
      <x:c r="D7178" s="12" t="n">
        <x:v>0.27099999999999996</x:v>
      </x:c>
      <x:c r="E7178" s="12" t="n">
        <x:v>0.282</x:v>
      </x:c>
      <x:c r="F7178" s="12" t="n">
        <x:v>0</x:v>
      </x:c>
      <x:c r="G7178" s="12" t="n">
        <x:v>0</x:v>
      </x:c>
      <x:c r="H7178" s="1" t="n">
        <x:f>'Historical prices'!E7178</x:f>
        <x:v>1</x:v>
      </x:c>
      <x:c r="I7178" s="6" t="n">
        <x:f>'Historical prices'!D7178</x:f>
        <x:v>0.2763</x:v>
      </x:c>
      <x:c r="J7178" s="13" t="n">
        <x:f>D7178*I7178*H7178</x:f>
        <x:v>0.0748773</x:v>
      </x:c>
      <x:c r="K7178" s="13" t="n">
        <x:f>E7178*I7178*H7178</x:f>
        <x:v>0.07791659999999999</x:v>
      </x:c>
      <x:c r="L7178" s="1" t="str">
        <x:f>TEXT(A7178,"mmm yyyy")</x:f>
        <x:v>Oct 2026</x:v>
      </x:c>
    </x:row>
    <x:row r="7179" ht="21" customHeight="1">
      <x:c r="A7179" s="10" t="n">
        <x:v>46298</x:v>
      </x:c>
      <x:c r="B7179" s="1" t="n">
        <x:v>1.5</x:v>
      </x:c>
      <x:c r="C7179" s="1" t="n">
        <x:v>6</x:v>
      </x:c>
      <x:c r="D7179" s="12" t="n">
        <x:v>0.2995</x:v>
      </x:c>
      <x:c r="E7179" s="12" t="n">
        <x:v>0.3095</x:v>
      </x:c>
      <x:c r="F7179" s="12" t="n">
        <x:v>0</x:v>
      </x:c>
      <x:c r="G7179" s="12" t="n">
        <x:v>0</x:v>
      </x:c>
      <x:c r="H7179" s="1" t="n">
        <x:f>'Historical prices'!E7179</x:f>
        <x:v>1</x:v>
      </x:c>
      <x:c r="I7179" s="6" t="n">
        <x:f>'Historical prices'!D7179</x:f>
        <x:v>0.2862</x:v>
      </x:c>
      <x:c r="J7179" s="13" t="n">
        <x:f>D7179*I7179*H7179</x:f>
        <x:v>0.0857169</x:v>
      </x:c>
      <x:c r="K7179" s="13" t="n">
        <x:f>E7179*I7179*H7179</x:f>
        <x:v>0.0885789</x:v>
      </x:c>
      <x:c r="L7179" s="1" t="str">
        <x:f>TEXT(A7179,"mmm yyyy")</x:f>
        <x:v>Oct 2026</x:v>
      </x:c>
    </x:row>
    <x:row r="7180" ht="21" customHeight="1">
      <x:c r="A7180" s="10" t="n">
        <x:v>46298</x:v>
      </x:c>
      <x:c r="B7180" s="1" t="n">
        <x:v>2</x:v>
      </x:c>
      <x:c r="C7180" s="1" t="n">
        <x:v>6</x:v>
      </x:c>
      <x:c r="D7180" s="12" t="n">
        <x:v>0.28575</x:v>
      </x:c>
      <x:c r="E7180" s="12" t="n">
        <x:v>0.29575</x:v>
      </x:c>
      <x:c r="F7180" s="12" t="n">
        <x:v>0</x:v>
      </x:c>
      <x:c r="G7180" s="12" t="n">
        <x:v>0</x:v>
      </x:c>
      <x:c r="H7180" s="1" t="n">
        <x:f>'Historical prices'!E7180</x:f>
        <x:v>1</x:v>
      </x:c>
      <x:c r="I7180" s="6" t="n">
        <x:f>'Historical prices'!D7180</x:f>
        <x:v>0.2858</x:v>
      </x:c>
      <x:c r="J7180" s="13" t="n">
        <x:f>D7180*I7180*H7180</x:f>
        <x:v>0.08166735</x:v>
      </x:c>
      <x:c r="K7180" s="13" t="n">
        <x:f>E7180*I7180*H7180</x:f>
        <x:v>0.08452535</x:v>
      </x:c>
      <x:c r="L7180" s="1" t="str">
        <x:f>TEXT(A7180,"mmm yyyy")</x:f>
        <x:v>Oct 2026</x:v>
      </x:c>
    </x:row>
    <x:row r="7181" ht="21" customHeight="1">
      <x:c r="A7181" s="10" t="n">
        <x:v>46298</x:v>
      </x:c>
      <x:c r="B7181" s="1" t="n">
        <x:v>2.5</x:v>
      </x:c>
      <x:c r="C7181" s="1" t="n">
        <x:v>6</x:v>
      </x:c>
      <x:c r="D7181" s="12" t="n">
        <x:v>0.27349999999999997</x:v>
      </x:c>
      <x:c r="E7181" s="12" t="n">
        <x:v>0.2845</x:v>
      </x:c>
      <x:c r="F7181" s="12" t="n">
        <x:v>0</x:v>
      </x:c>
      <x:c r="G7181" s="12" t="n">
        <x:v>0</x:v>
      </x:c>
      <x:c r="H7181" s="1" t="n">
        <x:f>'Historical prices'!E7181</x:f>
        <x:v>1</x:v>
      </x:c>
      <x:c r="I7181" s="6" t="n">
        <x:f>'Historical prices'!D7181</x:f>
        <x:v>0.2752</x:v>
      </x:c>
      <x:c r="J7181" s="13" t="n">
        <x:f>D7181*I7181*H7181</x:f>
        <x:v>0.07526719999999999</x:v>
      </x:c>
      <x:c r="K7181" s="13" t="n">
        <x:f>E7181*I7181*H7181</x:f>
        <x:v>0.0782944</x:v>
      </x:c>
      <x:c r="L7181" s="1" t="str">
        <x:f>TEXT(A7181,"mmm yyyy")</x:f>
        <x:v>Oct 2026</x:v>
      </x:c>
    </x:row>
    <x:row r="7182" ht="21" customHeight="1">
      <x:c r="A7182" s="10" t="n">
        <x:v>46298</x:v>
      </x:c>
      <x:c r="B7182" s="1" t="n">
        <x:v>3</x:v>
      </x:c>
      <x:c r="C7182" s="1" t="n">
        <x:v>6</x:v>
      </x:c>
      <x:c r="D7182" s="12" t="n">
        <x:v>0.21175</x:v>
      </x:c>
      <x:c r="E7182" s="12" t="n">
        <x:v>0.22275</x:v>
      </x:c>
      <x:c r="F7182" s="12" t="n">
        <x:v>0</x:v>
      </x:c>
      <x:c r="G7182" s="12" t="n">
        <x:v>0</x:v>
      </x:c>
      <x:c r="H7182" s="1" t="n">
        <x:f>'Historical prices'!E7182</x:f>
        <x:v>1</x:v>
      </x:c>
      <x:c r="I7182" s="6" t="n">
        <x:f>'Historical prices'!D7182</x:f>
        <x:v>0.2763</x:v>
      </x:c>
      <x:c r="J7182" s="13" t="n">
        <x:f>D7182*I7182*H7182</x:f>
        <x:v>0.058506525</x:v>
      </x:c>
      <x:c r="K7182" s="13" t="n">
        <x:f>E7182*I7182*H7182</x:f>
        <x:v>0.061545825</x:v>
      </x:c>
      <x:c r="L7182" s="1" t="str">
        <x:f>TEXT(A7182,"mmm yyyy")</x:f>
        <x:v>Oct 2026</x:v>
      </x:c>
    </x:row>
    <x:row r="7183" ht="21" customHeight="1">
      <x:c r="A7183" s="10" t="n">
        <x:v>46298</x:v>
      </x:c>
      <x:c r="B7183" s="1" t="n">
        <x:v>3.5</x:v>
      </x:c>
      <x:c r="C7183" s="1" t="n">
        <x:v>6</x:v>
      </x:c>
      <x:c r="D7183" s="12" t="n">
        <x:v>0.238</x:v>
      </x:c>
      <x:c r="E7183" s="12" t="n">
        <x:v>0.248</x:v>
      </x:c>
      <x:c r="F7183" s="12" t="n">
        <x:v>0</x:v>
      </x:c>
      <x:c r="G7183" s="12" t="n">
        <x:v>0</x:v>
      </x:c>
      <x:c r="H7183" s="1" t="n">
        <x:f>'Historical prices'!E7183</x:f>
        <x:v>1</x:v>
      </x:c>
      <x:c r="I7183" s="6" t="n">
        <x:f>'Historical prices'!D7183</x:f>
        <x:v>0.27149999999999996</x:v>
      </x:c>
      <x:c r="J7183" s="13" t="n">
        <x:f>D7183*I7183*H7183</x:f>
        <x:v>0.064617</x:v>
      </x:c>
      <x:c r="K7183" s="13" t="n">
        <x:f>E7183*I7183*H7183</x:f>
        <x:v>0.06733199999999999</x:v>
      </x:c>
      <x:c r="L7183" s="1" t="str">
        <x:f>TEXT(A7183,"mmm yyyy")</x:f>
        <x:v>Oct 2026</x:v>
      </x:c>
    </x:row>
    <x:row r="7184" ht="21" customHeight="1">
      <x:c r="A7184" s="10" t="n">
        <x:v>46298</x:v>
      </x:c>
      <x:c r="B7184" s="1" t="n">
        <x:v>4</x:v>
      </x:c>
      <x:c r="C7184" s="1" t="n">
        <x:v>6</x:v>
      </x:c>
      <x:c r="D7184" s="12" t="n">
        <x:v>0.321</x:v>
      </x:c>
      <x:c r="E7184" s="12" t="n">
        <x:v>0.331</x:v>
      </x:c>
      <x:c r="F7184" s="12" t="n">
        <x:v>0</x:v>
      </x:c>
      <x:c r="G7184" s="12" t="n">
        <x:v>0</x:v>
      </x:c>
      <x:c r="H7184" s="1" t="n">
        <x:f>'Historical prices'!E7184</x:f>
        <x:v>1</x:v>
      </x:c>
      <x:c r="I7184" s="6" t="n">
        <x:f>'Historical prices'!D7184</x:f>
        <x:v>0.2746</x:v>
      </x:c>
      <x:c r="J7184" s="13" t="n">
        <x:f>D7184*I7184*H7184</x:f>
        <x:v>0.0881466</x:v>
      </x:c>
      <x:c r="K7184" s="13" t="n">
        <x:f>E7184*I7184*H7184</x:f>
        <x:v>0.0908926</x:v>
      </x:c>
      <x:c r="L7184" s="1" t="str">
        <x:f>TEXT(A7184,"mmm yyyy")</x:f>
        <x:v>Oct 2026</x:v>
      </x:c>
    </x:row>
    <x:row r="7185" ht="21" customHeight="1">
      <x:c r="A7185" s="10" t="n">
        <x:v>46298</x:v>
      </x:c>
      <x:c r="B7185" s="1" t="n">
        <x:v>4.5</x:v>
      </x:c>
      <x:c r="C7185" s="1" t="n">
        <x:v>6</x:v>
      </x:c>
      <x:c r="D7185" s="12" t="n">
        <x:v>0.054</x:v>
      </x:c>
      <x:c r="E7185" s="12" t="n">
        <x:v>0.29924999999999996</x:v>
      </x:c>
      <x:c r="F7185" s="12" t="n">
        <x:v>0.24266666666666664</x:v>
      </x:c>
      <x:c r="G7185" s="12" t="n">
        <x:v>0</x:v>
      </x:c>
      <x:c r="H7185" s="1" t="n">
        <x:f>'Historical prices'!E7185</x:f>
        <x:v>1</x:v>
      </x:c>
      <x:c r="I7185" s="6" t="n">
        <x:f>'Historical prices'!D7185</x:f>
        <x:v>0.2922</x:v>
      </x:c>
      <x:c r="J7185" s="13" t="n">
        <x:f>D7185*I7185*H7185</x:f>
        <x:v>0.0157788</x:v>
      </x:c>
      <x:c r="K7185" s="13" t="n">
        <x:f>E7185*I7185*H7185</x:f>
        <x:v>0.08744084999999999</x:v>
      </x:c>
      <x:c r="L7185" s="1" t="str">
        <x:f>TEXT(A7185,"mmm yyyy")</x:f>
        <x:v>Oct 2026</x:v>
      </x:c>
    </x:row>
    <x:row r="7186" ht="21" customHeight="1">
      <x:c r="A7186" s="10" t="n">
        <x:v>46298</x:v>
      </x:c>
      <x:c r="B7186" s="1" t="n">
        <x:v>5</x:v>
      </x:c>
      <x:c r="C7186" s="1" t="n">
        <x:v>6</x:v>
      </x:c>
      <x:c r="D7186" s="12" t="n">
        <x:v>0</x:v>
      </x:c>
      <x:c r="E7186" s="12" t="n">
        <x:v>0.2995</x:v>
      </x:c>
      <x:c r="F7186" s="12" t="n">
        <x:v>0.2995</x:v>
      </x:c>
      <x:c r="G7186" s="12" t="n">
        <x:v>0</x:v>
      </x:c>
      <x:c r="H7186" s="1" t="n">
        <x:f>'Historical prices'!E7186</x:f>
        <x:v>1</x:v>
      </x:c>
      <x:c r="I7186" s="6" t="n">
        <x:f>'Historical prices'!D7186</x:f>
        <x:v>0.2933</x:v>
      </x:c>
      <x:c r="J7186" s="13" t="n">
        <x:f>D7186*I7186*H7186</x:f>
        <x:v>0</x:v>
      </x:c>
      <x:c r="K7186" s="13" t="n">
        <x:f>E7186*I7186*H7186</x:f>
        <x:v>0.08784335</x:v>
      </x:c>
      <x:c r="L7186" s="1" t="str">
        <x:f>TEXT(A7186,"mmm yyyy")</x:f>
        <x:v>Oct 2026</x:v>
      </x:c>
    </x:row>
    <x:row r="7187" ht="21" customHeight="1">
      <x:c r="A7187" s="10" t="n">
        <x:v>46298</x:v>
      </x:c>
      <x:c r="B7187" s="1" t="n">
        <x:v>5.5</x:v>
      </x:c>
      <x:c r="C7187" s="1" t="n">
        <x:v>6</x:v>
      </x:c>
      <x:c r="D7187" s="12" t="n">
        <x:v>0</x:v>
      </x:c>
      <x:c r="E7187" s="12" t="n">
        <x:v>0.41433333333333333</x:v>
      </x:c>
      <x:c r="F7187" s="12" t="n">
        <x:v>0.4136666666666667</x:v>
      </x:c>
      <x:c r="G7187" s="12" t="n">
        <x:v>0</x:v>
      </x:c>
      <x:c r="H7187" s="1" t="n">
        <x:f>'Historical prices'!E7187</x:f>
        <x:v>1</x:v>
      </x:c>
      <x:c r="I7187" s="6" t="n">
        <x:f>'Historical prices'!D7187</x:f>
        <x:v>0.3007</x:v>
      </x:c>
      <x:c r="J7187" s="13" t="n">
        <x:f>D7187*I7187*H7187</x:f>
        <x:v>0</x:v>
      </x:c>
      <x:c r="K7187" s="13" t="n">
        <x:f>E7187*I7187*H7187</x:f>
        <x:v>0.12459003333333334</x:v>
      </x:c>
      <x:c r="L7187" s="1" t="str">
        <x:f>TEXT(A7187,"mmm yyyy")</x:f>
        <x:v>Oct 2026</x:v>
      </x:c>
    </x:row>
    <x:row r="7188" ht="21" customHeight="1">
      <x:c r="A7188" s="10" t="n">
        <x:v>46298</x:v>
      </x:c>
      <x:c r="B7188" s="1" t="n">
        <x:v>6</x:v>
      </x:c>
      <x:c r="C7188" s="1" t="n">
        <x:v>6</x:v>
      </x:c>
      <x:c r="D7188" s="12" t="n">
        <x:v>0</x:v>
      </x:c>
      <x:c r="E7188" s="12" t="n">
        <x:v>0.5429999999999999</x:v>
      </x:c>
      <x:c r="F7188" s="12" t="n">
        <x:v>0.5424166666666667</x:v>
      </x:c>
      <x:c r="G7188" s="12" t="n">
        <x:v>0</x:v>
      </x:c>
      <x:c r="H7188" s="1" t="n">
        <x:f>'Historical prices'!E7188</x:f>
        <x:v>1</x:v>
      </x:c>
      <x:c r="I7188" s="6" t="n">
        <x:f>'Historical prices'!D7188</x:f>
        <x:v>0.31489999999999996</x:v>
      </x:c>
      <x:c r="J7188" s="13" t="n">
        <x:f>D7188*I7188*H7188</x:f>
        <x:v>0</x:v>
      </x:c>
      <x:c r="K7188" s="13" t="n">
        <x:f>E7188*I7188*H7188</x:f>
        <x:v>0.17099069999999997</x:v>
      </x:c>
      <x:c r="L7188" s="1" t="str">
        <x:f>TEXT(A7188,"mmm yyyy")</x:f>
        <x:v>Oct 2026</x:v>
      </x:c>
    </x:row>
    <x:row r="7189" ht="21" customHeight="1">
      <x:c r="A7189" s="10" t="n">
        <x:v>46298</x:v>
      </x:c>
      <x:c r="B7189" s="1" t="n">
        <x:v>6.5</x:v>
      </x:c>
      <x:c r="C7189" s="1" t="n">
        <x:v>6</x:v>
      </x:c>
      <x:c r="D7189" s="12" t="n">
        <x:v>0</x:v>
      </x:c>
      <x:c r="E7189" s="12" t="n">
        <x:v>0.6436666666666666</x:v>
      </x:c>
      <x:c r="F7189" s="12" t="n">
        <x:v>0.6434166666666666</x:v>
      </x:c>
      <x:c r="G7189" s="12" t="n">
        <x:v>0</x:v>
      </x:c>
      <x:c r="H7189" s="1" t="n">
        <x:f>'Historical prices'!E7189</x:f>
        <x:v>1</x:v>
      </x:c>
      <x:c r="I7189" s="6" t="n">
        <x:f>'Historical prices'!D7189</x:f>
        <x:v>0.3236</x:v>
      </x:c>
      <x:c r="J7189" s="13" t="n">
        <x:f>D7189*I7189*H7189</x:f>
        <x:v>0</x:v>
      </x:c>
      <x:c r="K7189" s="13" t="n">
        <x:f>E7189*I7189*H7189</x:f>
        <x:v>0.2082905333333333</x:v>
      </x:c>
      <x:c r="L7189" s="1" t="str">
        <x:f>TEXT(A7189,"mmm yyyy")</x:f>
        <x:v>Oct 2026</x:v>
      </x:c>
    </x:row>
    <x:row r="7190" ht="21" customHeight="1">
      <x:c r="A7190" s="10" t="n">
        <x:v>46298</x:v>
      </x:c>
      <x:c r="B7190" s="1" t="n">
        <x:v>7</x:v>
      </x:c>
      <x:c r="C7190" s="1" t="n">
        <x:v>6</x:v>
      </x:c>
      <x:c r="D7190" s="12" t="n">
        <x:v>0</x:v>
      </x:c>
      <x:c r="E7190" s="12" t="n">
        <x:v>0.648</x:v>
      </x:c>
      <x:c r="F7190" s="12" t="n">
        <x:v>0.6478333333333334</x:v>
      </x:c>
      <x:c r="G7190" s="12" t="n">
        <x:v>0</x:v>
      </x:c>
      <x:c r="H7190" s="1" t="n">
        <x:f>'Historical prices'!E7190</x:f>
        <x:v>1</x:v>
      </x:c>
      <x:c r="I7190" s="6" t="n">
        <x:f>'Historical prices'!D7190</x:f>
        <x:v>0.30219999999999997</x:v>
      </x:c>
      <x:c r="J7190" s="13" t="n">
        <x:f>D7190*I7190*H7190</x:f>
        <x:v>0</x:v>
      </x:c>
      <x:c r="K7190" s="13" t="n">
        <x:f>E7190*I7190*H7190</x:f>
        <x:v>0.1958256</x:v>
      </x:c>
      <x:c r="L7190" s="1" t="str">
        <x:f>TEXT(A7190,"mmm yyyy")</x:f>
        <x:v>Oct 2026</x:v>
      </x:c>
    </x:row>
    <x:row r="7191" ht="21" customHeight="1">
      <x:c r="A7191" s="10" t="n">
        <x:v>46298</x:v>
      </x:c>
      <x:c r="B7191" s="1" t="n">
        <x:v>7.5</x:v>
      </x:c>
      <x:c r="C7191" s="1" t="n">
        <x:v>6</x:v>
      </x:c>
      <x:c r="D7191" s="12" t="n">
        <x:v>0</x:v>
      </x:c>
      <x:c r="E7191" s="12" t="n">
        <x:v>0.62375</x:v>
      </x:c>
      <x:c r="F7191" s="12" t="n">
        <x:v>0.6235833333333333</x:v>
      </x:c>
      <x:c r="G7191" s="12" t="n">
        <x:v>0</x:v>
      </x:c>
      <x:c r="H7191" s="1" t="n">
        <x:f>'Historical prices'!E7191</x:f>
        <x:v>1</x:v>
      </x:c>
      <x:c r="I7191" s="6" t="n">
        <x:f>'Historical prices'!D7191</x:f>
        <x:v>0.3239</x:v>
      </x:c>
      <x:c r="J7191" s="13" t="n">
        <x:f>D7191*I7191*H7191</x:f>
        <x:v>0</x:v>
      </x:c>
      <x:c r="K7191" s="13" t="n">
        <x:f>E7191*I7191*H7191</x:f>
        <x:v>0.20203262500000002</x:v>
      </x:c>
      <x:c r="L7191" s="1" t="str">
        <x:f>TEXT(A7191,"mmm yyyy")</x:f>
        <x:v>Oct 2026</x:v>
      </x:c>
    </x:row>
    <x:row r="7192" ht="21" customHeight="1">
      <x:c r="A7192" s="10" t="n">
        <x:v>46298</x:v>
      </x:c>
      <x:c r="B7192" s="1" t="n">
        <x:v>8</x:v>
      </x:c>
      <x:c r="C7192" s="1" t="n">
        <x:v>6</x:v>
      </x:c>
      <x:c r="D7192" s="12" t="n">
        <x:v>0.43574999999999997</x:v>
      </x:c>
      <x:c r="E7192" s="12" t="n">
        <x:v>0.5379166666666666</x:v>
      </x:c>
      <x:c r="F7192" s="12" t="n">
        <x:v>0.092</x:v>
      </x:c>
      <x:c r="G7192" s="12" t="n">
        <x:v>0</x:v>
      </x:c>
      <x:c r="H7192" s="1" t="n">
        <x:f>'Historical prices'!E7192</x:f>
        <x:v>1</x:v>
      </x:c>
      <x:c r="I7192" s="6" t="n">
        <x:f>'Historical prices'!D7192</x:f>
        <x:v>0.29719999999999996</x:v>
      </x:c>
      <x:c r="J7192" s="13" t="n">
        <x:f>D7192*I7192*H7192</x:f>
        <x:v>0.12950489999999998</x:v>
      </x:c>
      <x:c r="K7192" s="13" t="n">
        <x:f>E7192*I7192*H7192</x:f>
        <x:v>0.1598688333333333</x:v>
      </x:c>
      <x:c r="L7192" s="1" t="str">
        <x:f>TEXT(A7192,"mmm yyyy")</x:f>
        <x:v>Oct 2026</x:v>
      </x:c>
    </x:row>
    <x:row r="7193" ht="21" customHeight="1">
      <x:c r="A7193" s="10" t="n">
        <x:v>46298</x:v>
      </x:c>
      <x:c r="B7193" s="1" t="n">
        <x:v>8.5</x:v>
      </x:c>
      <x:c r="C7193" s="1" t="n">
        <x:v>6</x:v>
      </x:c>
      <x:c r="D7193" s="12" t="n">
        <x:v>0.0965</x:v>
      </x:c>
      <x:c r="E7193" s="12" t="n">
        <x:v>0.5748333333333334</x:v>
      </x:c>
      <x:c r="F7193" s="12" t="n">
        <x:v>0.47575</x:v>
      </x:c>
      <x:c r="G7193" s="12" t="n">
        <x:v>0</x:v>
      </x:c>
      <x:c r="H7193" s="1" t="n">
        <x:f>'Historical prices'!E7193</x:f>
        <x:v>1</x:v>
      </x:c>
      <x:c r="I7193" s="6" t="n">
        <x:f>'Historical prices'!D7193</x:f>
        <x:v>0.3331</x:v>
      </x:c>
      <x:c r="J7193" s="13" t="n">
        <x:f>D7193*I7193*H7193</x:f>
        <x:v>0.03214415</x:v>
      </x:c>
      <x:c r="K7193" s="13" t="n">
        <x:f>E7193*I7193*H7193</x:f>
        <x:v>0.19147698333333338</x:v>
      </x:c>
      <x:c r="L7193" s="1" t="str">
        <x:f>TEXT(A7193,"mmm yyyy")</x:f>
        <x:v>Oct 2026</x:v>
      </x:c>
    </x:row>
    <x:row r="7194" ht="21" customHeight="1">
      <x:c r="A7194" s="10" t="n">
        <x:v>46298</x:v>
      </x:c>
      <x:c r="B7194" s="1" t="n">
        <x:v>9</x:v>
      </x:c>
      <x:c r="C7194" s="1" t="n">
        <x:v>6</x:v>
      </x:c>
      <x:c r="D7194" s="12" t="n">
        <x:v>0</x:v>
      </x:c>
      <x:c r="E7194" s="12" t="n">
        <x:v>0.51325</x:v>
      </x:c>
      <x:c r="F7194" s="12" t="n">
        <x:v>0.5130833333333333</x:v>
      </x:c>
      <x:c r="G7194" s="12" t="n">
        <x:v>0</x:v>
      </x:c>
      <x:c r="H7194" s="1" t="n">
        <x:f>'Historical prices'!E7194</x:f>
        <x:v>1</x:v>
      </x:c>
      <x:c r="I7194" s="6" t="n">
        <x:f>'Historical prices'!D7194</x:f>
        <x:v>0.3131</x:v>
      </x:c>
      <x:c r="J7194" s="13" t="n">
        <x:f>D7194*I7194*H7194</x:f>
        <x:v>0</x:v>
      </x:c>
      <x:c r="K7194" s="13" t="n">
        <x:f>E7194*I7194*H7194</x:f>
        <x:v>0.16069857499999998</x:v>
      </x:c>
      <x:c r="L7194" s="1" t="str">
        <x:f>TEXT(A7194,"mmm yyyy")</x:f>
        <x:v>Oct 2026</x:v>
      </x:c>
    </x:row>
    <x:row r="7195" ht="21" customHeight="1">
      <x:c r="A7195" s="10" t="n">
        <x:v>46298</x:v>
      </x:c>
      <x:c r="B7195" s="1" t="n">
        <x:v>9.5</x:v>
      </x:c>
      <x:c r="C7195" s="1" t="n">
        <x:v>6</x:v>
      </x:c>
      <x:c r="D7195" s="12" t="n">
        <x:v>0</x:v>
      </x:c>
      <x:c r="E7195" s="12" t="n">
        <x:v>0.9405833333333333</x:v>
      </x:c>
      <x:c r="F7195" s="12" t="n">
        <x:v>0.9399166666666665</x:v>
      </x:c>
      <x:c r="G7195" s="12" t="n">
        <x:v>0</x:v>
      </x:c>
      <x:c r="H7195" s="1" t="n">
        <x:f>'Historical prices'!E7195</x:f>
        <x:v>1</x:v>
      </x:c>
      <x:c r="I7195" s="6" t="n">
        <x:f>'Historical prices'!D7195</x:f>
        <x:v>0.30829999999999996</x:v>
      </x:c>
      <x:c r="J7195" s="13" t="n">
        <x:f>D7195*I7195*H7195</x:f>
        <x:v>0</x:v>
      </x:c>
      <x:c r="K7195" s="13" t="n">
        <x:f>E7195*I7195*H7195</x:f>
        <x:v>0.28998184166666663</x:v>
      </x:c>
      <x:c r="L7195" s="1" t="str">
        <x:f>TEXT(A7195,"mmm yyyy")</x:f>
        <x:v>Oct 2026</x:v>
      </x:c>
    </x:row>
    <x:row r="7196" ht="21" customHeight="1">
      <x:c r="A7196" s="10" t="n">
        <x:v>46298</x:v>
      </x:c>
      <x:c r="B7196" s="1" t="n">
        <x:v>10</x:v>
      </x:c>
      <x:c r="C7196" s="1" t="n">
        <x:v>6</x:v>
      </x:c>
      <x:c r="D7196" s="12" t="n">
        <x:v>0</x:v>
      </x:c>
      <x:c r="E7196" s="12" t="n">
        <x:v>1.3368333333333333</x:v>
      </x:c>
      <x:c r="F7196" s="12" t="n">
        <x:v>1.33625</x:v>
      </x:c>
      <x:c r="G7196" s="12" t="n">
        <x:v>0</x:v>
      </x:c>
      <x:c r="H7196" s="1" t="n">
        <x:f>'Historical prices'!E7196</x:f>
        <x:v>1</x:v>
      </x:c>
      <x:c r="I7196" s="6" t="n">
        <x:f>'Historical prices'!D7196</x:f>
        <x:v>0.30260000000000004</x:v>
      </x:c>
      <x:c r="J7196" s="13" t="n">
        <x:f>D7196*I7196*H7196</x:f>
        <x:v>0</x:v>
      </x:c>
      <x:c r="K7196" s="13" t="n">
        <x:f>E7196*I7196*H7196</x:f>
        <x:v>0.40452576666666673</x:v>
      </x:c>
      <x:c r="L7196" s="1" t="str">
        <x:f>TEXT(A7196,"mmm yyyy")</x:f>
        <x:v>Oct 2026</x:v>
      </x:c>
    </x:row>
    <x:row r="7197" ht="21" customHeight="1">
      <x:c r="A7197" s="10" t="n">
        <x:v>46298</x:v>
      </x:c>
      <x:c r="B7197" s="1" t="n">
        <x:v>10.5</x:v>
      </x:c>
      <x:c r="C7197" s="1" t="n">
        <x:v>6</x:v>
      </x:c>
      <x:c r="D7197" s="12" t="n">
        <x:v>0.9125000000000001</x:v>
      </x:c>
      <x:c r="E7197" s="12" t="n">
        <x:v>1.1270833333333334</x:v>
      </x:c>
      <x:c r="F7197" s="12" t="n">
        <x:v>0.20358333333333334</x:v>
      </x:c>
      <x:c r="G7197" s="12" t="n">
        <x:v>0</x:v>
      </x:c>
      <x:c r="H7197" s="1" t="n">
        <x:f>'Historical prices'!E7197</x:f>
        <x:v>1</x:v>
      </x:c>
      <x:c r="I7197" s="6" t="n">
        <x:f>'Historical prices'!D7197</x:f>
        <x:v>0.2879</x:v>
      </x:c>
      <x:c r="J7197" s="13" t="n">
        <x:f>D7197*I7197*H7197</x:f>
        <x:v>0.26270875</x:v>
      </x:c>
      <x:c r="K7197" s="13" t="n">
        <x:f>E7197*I7197*H7197</x:f>
        <x:v>0.3244872916666667</x:v>
      </x:c>
      <x:c r="L7197" s="1" t="str">
        <x:f>TEXT(A7197,"mmm yyyy")</x:f>
        <x:v>Oct 2026</x:v>
      </x:c>
    </x:row>
    <x:row r="7198" ht="21" customHeight="1">
      <x:c r="A7198" s="10" t="n">
        <x:v>46298</x:v>
      </x:c>
      <x:c r="B7198" s="1" t="n">
        <x:v>11</x:v>
      </x:c>
      <x:c r="C7198" s="1" t="n">
        <x:v>6</x:v>
      </x:c>
      <x:c r="D7198" s="12" t="n">
        <x:v>0.487</x:v>
      </x:c>
      <x:c r="E7198" s="12" t="n">
        <x:v>0.498</x:v>
      </x:c>
      <x:c r="F7198" s="12" t="n">
        <x:v>0</x:v>
      </x:c>
      <x:c r="G7198" s="12" t="n">
        <x:v>0</x:v>
      </x:c>
      <x:c r="H7198" s="1" t="n">
        <x:f>'Historical prices'!E7198</x:f>
        <x:v>1</x:v>
      </x:c>
      <x:c r="I7198" s="6" t="n">
        <x:f>'Historical prices'!D7198</x:f>
        <x:v>0.2616</x:v>
      </x:c>
      <x:c r="J7198" s="13" t="n">
        <x:f>D7198*I7198*H7198</x:f>
        <x:v>0.1273992</x:v>
      </x:c>
      <x:c r="K7198" s="13" t="n">
        <x:f>E7198*I7198*H7198</x:f>
        <x:v>0.1302768</x:v>
      </x:c>
      <x:c r="L7198" s="1" t="str">
        <x:f>TEXT(A7198,"mmm yyyy")</x:f>
        <x:v>Oct 2026</x:v>
      </x:c>
    </x:row>
    <x:row r="7199" ht="21" customHeight="1">
      <x:c r="A7199" s="10" t="n">
        <x:v>46298</x:v>
      </x:c>
      <x:c r="B7199" s="1" t="n">
        <x:v>11.5</x:v>
      </x:c>
      <x:c r="C7199" s="1" t="n">
        <x:v>6</x:v>
      </x:c>
      <x:c r="D7199" s="12" t="n">
        <x:v>1.1005</x:v>
      </x:c>
      <x:c r="E7199" s="12" t="n">
        <x:v>1.1115</x:v>
      </x:c>
      <x:c r="F7199" s="12" t="n">
        <x:v>0</x:v>
      </x:c>
      <x:c r="G7199" s="12" t="n">
        <x:v>0</x:v>
      </x:c>
      <x:c r="H7199" s="1" t="n">
        <x:f>'Historical prices'!E7199</x:f>
        <x:v>1</x:v>
      </x:c>
      <x:c r="I7199" s="6" t="n">
        <x:f>'Historical prices'!D7199</x:f>
        <x:v>0.254</x:v>
      </x:c>
      <x:c r="J7199" s="13" t="n">
        <x:f>D7199*I7199*H7199</x:f>
        <x:v>0.279527</x:v>
      </x:c>
      <x:c r="K7199" s="13" t="n">
        <x:f>E7199*I7199*H7199</x:f>
        <x:v>0.282321</x:v>
      </x:c>
      <x:c r="L7199" s="1" t="str">
        <x:f>TEXT(A7199,"mmm yyyy")</x:f>
        <x:v>Oct 2026</x:v>
      </x:c>
    </x:row>
    <x:row r="7200" ht="21" customHeight="1">
      <x:c r="A7200" s="10" t="n">
        <x:v>46298</x:v>
      </x:c>
      <x:c r="B7200" s="1" t="n">
        <x:v>12</x:v>
      </x:c>
      <x:c r="C7200" s="1" t="n">
        <x:v>6</x:v>
      </x:c>
      <x:c r="D7200" s="12" t="n">
        <x:v>0.4665</x:v>
      </x:c>
      <x:c r="E7200" s="12" t="n">
        <x:v>0.4775</x:v>
      </x:c>
      <x:c r="F7200" s="12" t="n">
        <x:v>0</x:v>
      </x:c>
      <x:c r="G7200" s="12" t="n">
        <x:v>0</x:v>
      </x:c>
      <x:c r="H7200" s="1" t="n">
        <x:f>'Historical prices'!E7200</x:f>
        <x:v>1</x:v>
      </x:c>
      <x:c r="I7200" s="6" t="n">
        <x:f>'Historical prices'!D7200</x:f>
        <x:v>0.254</x:v>
      </x:c>
      <x:c r="J7200" s="13" t="n">
        <x:f>D7200*I7200*H7200</x:f>
        <x:v>0.11849100000000001</x:v>
      </x:c>
      <x:c r="K7200" s="13" t="n">
        <x:f>E7200*I7200*H7200</x:f>
        <x:v>0.12128499999999999</x:v>
      </x:c>
      <x:c r="L7200" s="1" t="str">
        <x:f>TEXT(A7200,"mmm yyyy")</x:f>
        <x:v>Oct 2026</x:v>
      </x:c>
    </x:row>
    <x:row r="7201" ht="21" customHeight="1">
      <x:c r="A7201" s="10" t="n">
        <x:v>46298</x:v>
      </x:c>
      <x:c r="B7201" s="1" t="n">
        <x:v>12.5</x:v>
      </x:c>
      <x:c r="C7201" s="1" t="n">
        <x:v>6</x:v>
      </x:c>
      <x:c r="D7201" s="12" t="n">
        <x:v>0.4235</x:v>
      </x:c>
      <x:c r="E7201" s="12" t="n">
        <x:v>0.4345</x:v>
      </x:c>
      <x:c r="F7201" s="12" t="n">
        <x:v>0</x:v>
      </x:c>
      <x:c r="G7201" s="12" t="n">
        <x:v>0</x:v>
      </x:c>
      <x:c r="H7201" s="1" t="n">
        <x:f>'Historical prices'!E7201</x:f>
        <x:v>1</x:v>
      </x:c>
      <x:c r="I7201" s="6" t="n">
        <x:f>'Historical prices'!D7201</x:f>
        <x:v>0.24969999999999998</x:v>
      </x:c>
      <x:c r="J7201" s="13" t="n">
        <x:f>D7201*I7201*H7201</x:f>
        <x:v>0.10574795</x:v>
      </x:c>
      <x:c r="K7201" s="13" t="n">
        <x:f>E7201*I7201*H7201</x:f>
        <x:v>0.10849464999999998</x:v>
      </x:c>
      <x:c r="L7201" s="1" t="str">
        <x:f>TEXT(A7201,"mmm yyyy")</x:f>
        <x:v>Oct 2026</x:v>
      </x:c>
    </x:row>
    <x:row r="7202" ht="21" customHeight="1">
      <x:c r="A7202" s="10" t="n">
        <x:v>46298</x:v>
      </x:c>
      <x:c r="B7202" s="1" t="n">
        <x:v>13</x:v>
      </x:c>
      <x:c r="C7202" s="1" t="n">
        <x:v>6</x:v>
      </x:c>
      <x:c r="D7202" s="12" t="n">
        <x:v>0.4465</x:v>
      </x:c>
      <x:c r="E7202" s="12" t="n">
        <x:v>0.4575</x:v>
      </x:c>
      <x:c r="F7202" s="12" t="n">
        <x:v>0</x:v>
      </x:c>
      <x:c r="G7202" s="12" t="n">
        <x:v>0</x:v>
      </x:c>
      <x:c r="H7202" s="1" t="n">
        <x:f>'Historical prices'!E7202</x:f>
        <x:v>1</x:v>
      </x:c>
      <x:c r="I7202" s="6" t="n">
        <x:f>'Historical prices'!D7202</x:f>
        <x:v>0.2486</x:v>
      </x:c>
      <x:c r="J7202" s="13" t="n">
        <x:f>D7202*I7202*H7202</x:f>
        <x:v>0.1109999</x:v>
      </x:c>
      <x:c r="K7202" s="13" t="n">
        <x:f>E7202*I7202*H7202</x:f>
        <x:v>0.1137345</x:v>
      </x:c>
      <x:c r="L7202" s="1" t="str">
        <x:f>TEXT(A7202,"mmm yyyy")</x:f>
        <x:v>Oct 2026</x:v>
      </x:c>
    </x:row>
    <x:row r="7203" ht="21" customHeight="1">
      <x:c r="A7203" s="10" t="n">
        <x:v>46298</x:v>
      </x:c>
      <x:c r="B7203" s="1" t="n">
        <x:v>13.5</x:v>
      </x:c>
      <x:c r="C7203" s="1" t="n">
        <x:v>6</x:v>
      </x:c>
      <x:c r="D7203" s="12" t="n">
        <x:v>0.7484999999999999</x:v>
      </x:c>
      <x:c r="E7203" s="12" t="n">
        <x:v>0.4475</x:v>
      </x:c>
      <x:c r="F7203" s="12" t="n">
        <x:v>0</x:v>
      </x:c>
      <x:c r="G7203" s="12" t="n">
        <x:v>0.309</x:v>
      </x:c>
      <x:c r="H7203" s="1" t="n">
        <x:f>'Historical prices'!E7203</x:f>
        <x:v>1</x:v>
      </x:c>
      <x:c r="I7203" s="6" t="n">
        <x:f>'Historical prices'!D7203</x:f>
        <x:v>0.2459</x:v>
      </x:c>
      <x:c r="J7203" s="13" t="n">
        <x:f>D7203*I7203*H7203</x:f>
        <x:v>0.18405615</x:v>
      </x:c>
      <x:c r="K7203" s="13" t="n">
        <x:f>E7203*I7203*H7203</x:f>
        <x:v>0.11004025</x:v>
      </x:c>
      <x:c r="L7203" s="1" t="str">
        <x:f>TEXT(A7203,"mmm yyyy")</x:f>
        <x:v>Oct 2026</x:v>
      </x:c>
    </x:row>
    <x:row r="7204" ht="21" customHeight="1">
      <x:c r="A7204" s="10" t="n">
        <x:v>46298</x:v>
      </x:c>
      <x:c r="B7204" s="1" t="n">
        <x:v>14</x:v>
      </x:c>
      <x:c r="C7204" s="1" t="n">
        <x:v>6</x:v>
      </x:c>
      <x:c r="D7204" s="12" t="n">
        <x:v>4.80025</x:v>
      </x:c>
      <x:c r="E7204" s="12" t="n">
        <x:v>0.7602500000000001</x:v>
      </x:c>
      <x:c r="F7204" s="12" t="n">
        <x:v>0</x:v>
      </x:c>
      <x:c r="G7204" s="12" t="n">
        <x:v>4.04</x:v>
      </x:c>
      <x:c r="H7204" s="1" t="n">
        <x:f>'Historical prices'!E7204</x:f>
        <x:v>1</x:v>
      </x:c>
      <x:c r="I7204" s="6" t="n">
        <x:f>'Historical prices'!D7204</x:f>
        <x:v>0.2447</x:v>
      </x:c>
      <x:c r="J7204" s="13" t="n">
        <x:f>D7204*I7204*H7204</x:f>
        <x:v>1.174621175</x:v>
      </x:c>
      <x:c r="K7204" s="13" t="n">
        <x:f>E7204*I7204*H7204</x:f>
        <x:v>0.18603317500000002</x:v>
      </x:c>
      <x:c r="L7204" s="1" t="str">
        <x:f>TEXT(A7204,"mmm yyyy")</x:f>
        <x:v>Oct 2026</x:v>
      </x:c>
    </x:row>
    <x:row r="7205" ht="21" customHeight="1">
      <x:c r="A7205" s="10" t="n">
        <x:v>46298</x:v>
      </x:c>
      <x:c r="B7205" s="1" t="n">
        <x:v>14.5</x:v>
      </x:c>
      <x:c r="C7205" s="1" t="n">
        <x:v>6</x:v>
      </x:c>
      <x:c r="D7205" s="12" t="n">
        <x:v>5.1675</x:v>
      </x:c>
      <x:c r="E7205" s="12" t="n">
        <x:v>0.6835</x:v>
      </x:c>
      <x:c r="F7205" s="12" t="n">
        <x:v>0</x:v>
      </x:c>
      <x:c r="G7205" s="12" t="n">
        <x:v>4.484</x:v>
      </x:c>
      <x:c r="H7205" s="1" t="n">
        <x:f>'Historical prices'!E7205</x:f>
        <x:v>1</x:v>
      </x:c>
      <x:c r="I7205" s="6" t="n">
        <x:f>'Historical prices'!D7205</x:f>
        <x:v>0.2314</x:v>
      </x:c>
      <x:c r="J7205" s="13" t="n">
        <x:f>D7205*I7205*H7205</x:f>
        <x:v>1.1957595</x:v>
      </x:c>
      <x:c r="K7205" s="13" t="n">
        <x:f>E7205*I7205*H7205</x:f>
        <x:v>0.1581619</x:v>
      </x:c>
      <x:c r="L7205" s="1" t="str">
        <x:f>TEXT(A7205,"mmm yyyy")</x:f>
        <x:v>Oct 2026</x:v>
      </x:c>
    </x:row>
    <x:row r="7206" ht="21" customHeight="1">
      <x:c r="A7206" s="10" t="n">
        <x:v>46298</x:v>
      </x:c>
      <x:c r="B7206" s="1" t="n">
        <x:v>15</x:v>
      </x:c>
      <x:c r="C7206" s="1" t="n">
        <x:v>6</x:v>
      </x:c>
      <x:c r="D7206" s="12" t="n">
        <x:v>1.1995000000000002</x:v>
      </x:c>
      <x:c r="E7206" s="12" t="n">
        <x:v>0.47350000000000003</x:v>
      </x:c>
      <x:c r="F7206" s="12" t="n">
        <x:v>0</x:v>
      </x:c>
      <x:c r="G7206" s="12" t="n">
        <x:v>0.726</x:v>
      </x:c>
      <x:c r="H7206" s="1" t="n">
        <x:f>'Historical prices'!E7206</x:f>
        <x:v>1</x:v>
      </x:c>
      <x:c r="I7206" s="6" t="n">
        <x:f>'Historical prices'!D7206</x:f>
        <x:v>0.2489</x:v>
      </x:c>
      <x:c r="J7206" s="13" t="n">
        <x:f>D7206*I7206*H7206</x:f>
        <x:v>0.29855555000000006</x:v>
      </x:c>
      <x:c r="K7206" s="13" t="n">
        <x:f>E7206*I7206*H7206</x:f>
        <x:v>0.11785415000000002</x:v>
      </x:c>
      <x:c r="L7206" s="1" t="str">
        <x:f>TEXT(A7206,"mmm yyyy")</x:f>
        <x:v>Oct 2026</x:v>
      </x:c>
    </x:row>
    <x:row r="7207" ht="21" customHeight="1">
      <x:c r="A7207" s="10" t="n">
        <x:v>46298</x:v>
      </x:c>
      <x:c r="B7207" s="1" t="n">
        <x:v>15.5</x:v>
      </x:c>
      <x:c r="C7207" s="1" t="n">
        <x:v>6</x:v>
      </x:c>
      <x:c r="D7207" s="12" t="n">
        <x:v>4.57325</x:v>
      </x:c>
      <x:c r="E7207" s="12" t="n">
        <x:v>0.6832499999999999</x:v>
      </x:c>
      <x:c r="F7207" s="12" t="n">
        <x:v>0</x:v>
      </x:c>
      <x:c r="G7207" s="12" t="n">
        <x:v>3.893</x:v>
      </x:c>
      <x:c r="H7207" s="1" t="n">
        <x:f>'Historical prices'!E7207</x:f>
        <x:v>1</x:v>
      </x:c>
      <x:c r="I7207" s="6" t="n">
        <x:f>'Historical prices'!D7207</x:f>
        <x:v>0.2354</x:v>
      </x:c>
      <x:c r="J7207" s="13" t="n">
        <x:f>D7207*I7207*H7207</x:f>
        <x:v>1.07654305</x:v>
      </x:c>
      <x:c r="K7207" s="13" t="n">
        <x:f>E7207*I7207*H7207</x:f>
        <x:v>0.16083704999999998</x:v>
      </x:c>
      <x:c r="L7207" s="1" t="str">
        <x:f>TEXT(A7207,"mmm yyyy")</x:f>
        <x:v>Oct 2026</x:v>
      </x:c>
    </x:row>
    <x:row r="7208" ht="21" customHeight="1">
      <x:c r="A7208" s="10" t="n">
        <x:v>46298</x:v>
      </x:c>
      <x:c r="B7208" s="1" t="n">
        <x:v>16</x:v>
      </x:c>
      <x:c r="C7208" s="1" t="n">
        <x:v>6</x:v>
      </x:c>
      <x:c r="D7208" s="12" t="n">
        <x:v>0.906</x:v>
      </x:c>
      <x:c r="E7208" s="12" t="n">
        <x:v>0.5144166666666667</x:v>
      </x:c>
      <x:c r="F7208" s="12" t="n">
        <x:v>0.39458333333333334</x:v>
      </x:c>
      <x:c r="G7208" s="12" t="n">
        <x:v>0.789</x:v>
      </x:c>
      <x:c r="H7208" s="1" t="n">
        <x:f>'Historical prices'!E7208</x:f>
        <x:v>1</x:v>
      </x:c>
      <x:c r="I7208" s="6" t="n">
        <x:f>'Historical prices'!D7208</x:f>
        <x:v>0.4224</x:v>
      </x:c>
      <x:c r="J7208" s="13" t="n">
        <x:f>D7208*I7208*H7208</x:f>
        <x:v>0.3826944</x:v>
      </x:c>
      <x:c r="K7208" s="13" t="n">
        <x:f>E7208*I7208*H7208</x:f>
        <x:v>0.21728960000000003</x:v>
      </x:c>
      <x:c r="L7208" s="1" t="str">
        <x:f>TEXT(A7208,"mmm yyyy")</x:f>
        <x:v>Oct 2026</x:v>
      </x:c>
    </x:row>
    <x:row r="7209" ht="21" customHeight="1">
      <x:c r="A7209" s="10" t="n">
        <x:v>46298</x:v>
      </x:c>
      <x:c r="B7209" s="1" t="n">
        <x:v>16.5</x:v>
      </x:c>
      <x:c r="C7209" s="1" t="n">
        <x:v>6</x:v>
      </x:c>
      <x:c r="D7209" s="12" t="n">
        <x:v>0</x:v>
      </x:c>
      <x:c r="E7209" s="12" t="n">
        <x:v>0.5031666666666667</x:v>
      </x:c>
      <x:c r="F7209" s="12" t="n">
        <x:v>0.5025833333333334</x:v>
      </x:c>
      <x:c r="G7209" s="12" t="n">
        <x:v>0</x:v>
      </x:c>
      <x:c r="H7209" s="1" t="n">
        <x:f>'Historical prices'!E7209</x:f>
        <x:v>1</x:v>
      </x:c>
      <x:c r="I7209" s="6" t="n">
        <x:f>'Historical prices'!D7209</x:f>
        <x:v>0.4604</x:v>
      </x:c>
      <x:c r="J7209" s="13" t="n">
        <x:f>D7209*I7209*H7209</x:f>
        <x:v>0</x:v>
      </x:c>
      <x:c r="K7209" s="13" t="n">
        <x:f>E7209*I7209*H7209</x:f>
        <x:v>0.23165793333333332</x:v>
      </x:c>
      <x:c r="L7209" s="1" t="str">
        <x:f>TEXT(A7209,"mmm yyyy")</x:f>
        <x:v>Oct 2026</x:v>
      </x:c>
    </x:row>
    <x:row r="7210" ht="21" customHeight="1">
      <x:c r="A7210" s="10" t="n">
        <x:v>46298</x:v>
      </x:c>
      <x:c r="B7210" s="1" t="n">
        <x:v>17</x:v>
      </x:c>
      <x:c r="C7210" s="1" t="n">
        <x:v>6</x:v>
      </x:c>
      <x:c r="D7210" s="12" t="n">
        <x:v>0</x:v>
      </x:c>
      <x:c r="E7210" s="12" t="n">
        <x:v>0.5595</x:v>
      </x:c>
      <x:c r="F7210" s="12" t="n">
        <x:v>0.5593333333333333</x:v>
      </x:c>
      <x:c r="G7210" s="12" t="n">
        <x:v>0</x:v>
      </x:c>
      <x:c r="H7210" s="1" t="n">
        <x:f>'Historical prices'!E7210</x:f>
        <x:v>1</x:v>
      </x:c>
      <x:c r="I7210" s="6" t="n">
        <x:f>'Historical prices'!D7210</x:f>
        <x:v>0.4755</x:v>
      </x:c>
      <x:c r="J7210" s="13" t="n">
        <x:f>D7210*I7210*H7210</x:f>
        <x:v>0</x:v>
      </x:c>
      <x:c r="K7210" s="13" t="n">
        <x:f>E7210*I7210*H7210</x:f>
        <x:v>0.26604225</x:v>
      </x:c>
      <x:c r="L7210" s="1" t="str">
        <x:f>TEXT(A7210,"mmm yyyy")</x:f>
        <x:v>Oct 2026</x:v>
      </x:c>
    </x:row>
    <x:row r="7211" ht="21" customHeight="1">
      <x:c r="A7211" s="10" t="n">
        <x:v>46298</x:v>
      </x:c>
      <x:c r="B7211" s="1" t="n">
        <x:v>17.5</x:v>
      </x:c>
      <x:c r="C7211" s="1" t="n">
        <x:v>6</x:v>
      </x:c>
      <x:c r="D7211" s="12" t="n">
        <x:v>0</x:v>
      </x:c>
      <x:c r="E7211" s="12" t="n">
        <x:v>0.6832499999999999</x:v>
      </x:c>
      <x:c r="F7211" s="12" t="n">
        <x:v>0.6825833333333333</x:v>
      </x:c>
      <x:c r="G7211" s="12" t="n">
        <x:v>0</x:v>
      </x:c>
      <x:c r="H7211" s="1" t="n">
        <x:f>'Historical prices'!E7211</x:f>
        <x:v>1</x:v>
      </x:c>
      <x:c r="I7211" s="6" t="n">
        <x:f>'Historical prices'!D7211</x:f>
        <x:v>0.4869</x:v>
      </x:c>
      <x:c r="J7211" s="13" t="n">
        <x:f>D7211*I7211*H7211</x:f>
        <x:v>0</x:v>
      </x:c>
      <x:c r="K7211" s="13" t="n">
        <x:f>E7211*I7211*H7211</x:f>
        <x:v>0.33267442499999994</x:v>
      </x:c>
      <x:c r="L7211" s="1" t="str">
        <x:f>TEXT(A7211,"mmm yyyy")</x:f>
        <x:v>Oct 2026</x:v>
      </x:c>
    </x:row>
    <x:row r="7212" ht="21" customHeight="1">
      <x:c r="A7212" s="10" t="n">
        <x:v>46298</x:v>
      </x:c>
      <x:c r="B7212" s="1" t="n">
        <x:v>18</x:v>
      </x:c>
      <x:c r="C7212" s="1" t="n">
        <x:v>6</x:v>
      </x:c>
      <x:c r="D7212" s="12" t="n">
        <x:v>0</x:v>
      </x:c>
      <x:c r="E7212" s="12" t="n">
        <x:v>0.6998333333333333</x:v>
      </x:c>
      <x:c r="F7212" s="12" t="n">
        <x:v>0.6994166666666666</x:v>
      </x:c>
      <x:c r="G7212" s="12" t="n">
        <x:v>0</x:v>
      </x:c>
      <x:c r="H7212" s="1" t="n">
        <x:f>'Historical prices'!E7212</x:f>
        <x:v>1</x:v>
      </x:c>
      <x:c r="I7212" s="6" t="n">
        <x:f>'Historical prices'!D7212</x:f>
        <x:v>0.4886</x:v>
      </x:c>
      <x:c r="J7212" s="13" t="n">
        <x:f>D7212*I7212*H7212</x:f>
        <x:v>0</x:v>
      </x:c>
      <x:c r="K7212" s="13" t="n">
        <x:f>E7212*I7212*H7212</x:f>
        <x:v>0.34193856666666667</x:v>
      </x:c>
      <x:c r="L7212" s="1" t="str">
        <x:f>TEXT(A7212,"mmm yyyy")</x:f>
        <x:v>Oct 2026</x:v>
      </x:c>
    </x:row>
    <x:row r="7213" ht="21" customHeight="1">
      <x:c r="A7213" s="10" t="n">
        <x:v>46298</x:v>
      </x:c>
      <x:c r="B7213" s="1" t="n">
        <x:v>18.5</x:v>
      </x:c>
      <x:c r="C7213" s="1" t="n">
        <x:v>6</x:v>
      </x:c>
      <x:c r="D7213" s="12" t="n">
        <x:v>0</x:v>
      </x:c>
      <x:c r="E7213" s="12" t="n">
        <x:v>0.6538333333333334</x:v>
      </x:c>
      <x:c r="F7213" s="12" t="n">
        <x:v>0.6534166666666668</x:v>
      </x:c>
      <x:c r="G7213" s="12" t="n">
        <x:v>0</x:v>
      </x:c>
      <x:c r="H7213" s="1" t="n">
        <x:f>'Historical prices'!E7213</x:f>
        <x:v>1</x:v>
      </x:c>
      <x:c r="I7213" s="6" t="n">
        <x:f>'Historical prices'!D7213</x:f>
        <x:v>0.4989</x:v>
      </x:c>
      <x:c r="J7213" s="13" t="n">
        <x:f>D7213*I7213*H7213</x:f>
        <x:v>0</x:v>
      </x:c>
      <x:c r="K7213" s="13" t="n">
        <x:f>E7213*I7213*H7213</x:f>
        <x:v>0.32619745000000006</x:v>
      </x:c>
      <x:c r="L7213" s="1" t="str">
        <x:f>TEXT(A7213,"mmm yyyy")</x:f>
        <x:v>Oct 2026</x:v>
      </x:c>
    </x:row>
    <x:row r="7214" ht="21" customHeight="1">
      <x:c r="A7214" s="10" t="n">
        <x:v>46298</x:v>
      </x:c>
      <x:c r="B7214" s="1" t="n">
        <x:v>19</x:v>
      </x:c>
      <x:c r="C7214" s="1" t="n">
        <x:v>6</x:v>
      </x:c>
      <x:c r="D7214" s="12" t="n">
        <x:v>0</x:v>
      </x:c>
      <x:c r="E7214" s="12" t="n">
        <x:v>0.62</x:v>
      </x:c>
      <x:c r="F7214" s="12" t="n">
        <x:v>0.6196666666666667</x:v>
      </x:c>
      <x:c r="G7214" s="12" t="n">
        <x:v>0</x:v>
      </x:c>
      <x:c r="H7214" s="1" t="n">
        <x:f>'Historical prices'!E7214</x:f>
        <x:v>1</x:v>
      </x:c>
      <x:c r="I7214" s="6" t="n">
        <x:f>'Historical prices'!D7214</x:f>
        <x:v>0.3789</x:v>
      </x:c>
      <x:c r="J7214" s="13" t="n">
        <x:f>D7214*I7214*H7214</x:f>
        <x:v>0</x:v>
      </x:c>
      <x:c r="K7214" s="13" t="n">
        <x:f>E7214*I7214*H7214</x:f>
        <x:v>0.23491800000000002</x:v>
      </x:c>
      <x:c r="L7214" s="1" t="str">
        <x:f>TEXT(A7214,"mmm yyyy")</x:f>
        <x:v>Oct 2026</x:v>
      </x:c>
    </x:row>
    <x:row r="7215" ht="21" customHeight="1">
      <x:c r="A7215" s="10" t="n">
        <x:v>46298</x:v>
      </x:c>
      <x:c r="B7215" s="1" t="n">
        <x:v>19.5</x:v>
      </x:c>
      <x:c r="C7215" s="1" t="n">
        <x:v>6</x:v>
      </x:c>
      <x:c r="D7215" s="12" t="n">
        <x:v>0</x:v>
      </x:c>
      <x:c r="E7215" s="12" t="n">
        <x:v>0.60625</x:v>
      </x:c>
      <x:c r="F7215" s="12" t="n">
        <x:v>0.6055833333333333</x:v>
      </x:c>
      <x:c r="G7215" s="12" t="n">
        <x:v>0</x:v>
      </x:c>
      <x:c r="H7215" s="1" t="n">
        <x:f>'Historical prices'!E7215</x:f>
        <x:v>1</x:v>
      </x:c>
      <x:c r="I7215" s="6" t="n">
        <x:f>'Historical prices'!D7215</x:f>
        <x:v>0.3589</x:v>
      </x:c>
      <x:c r="J7215" s="13" t="n">
        <x:f>D7215*I7215*H7215</x:f>
        <x:v>0</x:v>
      </x:c>
      <x:c r="K7215" s="13" t="n">
        <x:f>E7215*I7215*H7215</x:f>
        <x:v>0.217583125</x:v>
      </x:c>
      <x:c r="L7215" s="1" t="str">
        <x:f>TEXT(A7215,"mmm yyyy")</x:f>
        <x:v>Oct 2026</x:v>
      </x:c>
    </x:row>
    <x:row r="7216" ht="21" customHeight="1">
      <x:c r="A7216" s="10" t="n">
        <x:v>46298</x:v>
      </x:c>
      <x:c r="B7216" s="1" t="n">
        <x:v>20</x:v>
      </x:c>
      <x:c r="C7216" s="1" t="n">
        <x:v>6</x:v>
      </x:c>
      <x:c r="D7216" s="12" t="n">
        <x:v>0</x:v>
      </x:c>
      <x:c r="E7216" s="12" t="n">
        <x:v>0.5847500000000001</x:v>
      </x:c>
      <x:c r="F7216" s="12" t="n">
        <x:v>0.5843333333333334</x:v>
      </x:c>
      <x:c r="G7216" s="12" t="n">
        <x:v>0</x:v>
      </x:c>
      <x:c r="H7216" s="1" t="n">
        <x:f>'Historical prices'!E7216</x:f>
        <x:v>1</x:v>
      </x:c>
      <x:c r="I7216" s="6" t="n">
        <x:f>'Historical prices'!D7216</x:f>
        <x:v>0.35509999999999997</x:v>
      </x:c>
      <x:c r="J7216" s="13" t="n">
        <x:f>D7216*I7216*H7216</x:f>
        <x:v>0</x:v>
      </x:c>
      <x:c r="K7216" s="13" t="n">
        <x:f>E7216*I7216*H7216</x:f>
        <x:v>0.20764472500000003</x:v>
      </x:c>
      <x:c r="L7216" s="1" t="str">
        <x:f>TEXT(A7216,"mmm yyyy")</x:f>
        <x:v>Oct 2026</x:v>
      </x:c>
    </x:row>
    <x:row r="7217" ht="21" customHeight="1">
      <x:c r="A7217" s="10" t="n">
        <x:v>46298</x:v>
      </x:c>
      <x:c r="B7217" s="1" t="n">
        <x:v>20.5</x:v>
      </x:c>
      <x:c r="C7217" s="1" t="n">
        <x:v>6</x:v>
      </x:c>
      <x:c r="D7217" s="12" t="n">
        <x:v>0</x:v>
      </x:c>
      <x:c r="E7217" s="12" t="n">
        <x:v>0.5865833333333333</x:v>
      </x:c>
      <x:c r="F7217" s="12" t="n">
        <x:v>0.5863333333333333</x:v>
      </x:c>
      <x:c r="G7217" s="12" t="n">
        <x:v>0</x:v>
      </x:c>
      <x:c r="H7217" s="1" t="n">
        <x:f>'Historical prices'!E7217</x:f>
        <x:v>1</x:v>
      </x:c>
      <x:c r="I7217" s="6" t="n">
        <x:f>'Historical prices'!D7217</x:f>
        <x:v>0.3372</x:v>
      </x:c>
      <x:c r="J7217" s="13" t="n">
        <x:f>D7217*I7217*H7217</x:f>
        <x:v>0</x:v>
      </x:c>
      <x:c r="K7217" s="13" t="n">
        <x:f>E7217*I7217*H7217</x:f>
        <x:v>0.1977959</x:v>
      </x:c>
      <x:c r="L7217" s="1" t="str">
        <x:f>TEXT(A7217,"mmm yyyy")</x:f>
        <x:v>Oct 2026</x:v>
      </x:c>
    </x:row>
    <x:row r="7218" ht="21" customHeight="1">
      <x:c r="A7218" s="10" t="n">
        <x:v>46298</x:v>
      </x:c>
      <x:c r="B7218" s="1" t="n">
        <x:v>21</x:v>
      </x:c>
      <x:c r="C7218" s="1" t="n">
        <x:v>6</x:v>
      </x:c>
      <x:c r="D7218" s="12" t="n">
        <x:v>0</x:v>
      </x:c>
      <x:c r="E7218" s="12" t="n">
        <x:v>0.7269166666666667</x:v>
      </x:c>
      <x:c r="F7218" s="12" t="n">
        <x:v>0.7264166666666666</x:v>
      </x:c>
      <x:c r="G7218" s="12" t="n">
        <x:v>0</x:v>
      </x:c>
      <x:c r="H7218" s="1" t="n">
        <x:f>'Historical prices'!E7218</x:f>
        <x:v>1</x:v>
      </x:c>
      <x:c r="I7218" s="6" t="n">
        <x:f>'Historical prices'!D7218</x:f>
        <x:v>0.35109999999999997</x:v>
      </x:c>
      <x:c r="J7218" s="13" t="n">
        <x:f>D7218*I7218*H7218</x:f>
        <x:v>0</x:v>
      </x:c>
      <x:c r="K7218" s="13" t="n">
        <x:f>E7218*I7218*H7218</x:f>
        <x:v>0.25522044166666663</x:v>
      </x:c>
      <x:c r="L7218" s="1" t="str">
        <x:f>TEXT(A7218,"mmm yyyy")</x:f>
        <x:v>Oct 2026</x:v>
      </x:c>
    </x:row>
    <x:row r="7219" ht="21" customHeight="1">
      <x:c r="A7219" s="10" t="n">
        <x:v>46298</x:v>
      </x:c>
      <x:c r="B7219" s="1" t="n">
        <x:v>21.5</x:v>
      </x:c>
      <x:c r="C7219" s="1" t="n">
        <x:v>6</x:v>
      </x:c>
      <x:c r="D7219" s="12" t="n">
        <x:v>0</x:v>
      </x:c>
      <x:c r="E7219" s="12" t="n">
        <x:v>0.444</x:v>
      </x:c>
      <x:c r="F7219" s="12" t="n">
        <x:v>0.4435833333333334</x:v>
      </x:c>
      <x:c r="G7219" s="12" t="n">
        <x:v>0</x:v>
      </x:c>
      <x:c r="H7219" s="1" t="n">
        <x:f>'Historical prices'!E7219</x:f>
        <x:v>1</x:v>
      </x:c>
      <x:c r="I7219" s="6" t="n">
        <x:f>'Historical prices'!D7219</x:f>
        <x:v>0.32299999999999995</x:v>
      </x:c>
      <x:c r="J7219" s="13" t="n">
        <x:f>D7219*I7219*H7219</x:f>
        <x:v>0</x:v>
      </x:c>
      <x:c r="K7219" s="13" t="n">
        <x:f>E7219*I7219*H7219</x:f>
        <x:v>0.14341199999999998</x:v>
      </x:c>
      <x:c r="L7219" s="1" t="str">
        <x:f>TEXT(A7219,"mmm yyyy")</x:f>
        <x:v>Oct 2026</x:v>
      </x:c>
    </x:row>
    <x:row r="7220" ht="21" customHeight="1">
      <x:c r="A7220" s="10" t="n">
        <x:v>46298</x:v>
      </x:c>
      <x:c r="B7220" s="1" t="n">
        <x:v>22</x:v>
      </x:c>
      <x:c r="C7220" s="1" t="n">
        <x:v>6</x:v>
      </x:c>
      <x:c r="D7220" s="12" t="n">
        <x:v>0</x:v>
      </x:c>
      <x:c r="E7220" s="12" t="n">
        <x:v>0.37516666666666665</x:v>
      </x:c>
      <x:c r="F7220" s="12" t="n">
        <x:v>0.3745833333333333</x:v>
      </x:c>
      <x:c r="G7220" s="12" t="n">
        <x:v>0</x:v>
      </x:c>
      <x:c r="H7220" s="1" t="n">
        <x:f>'Historical prices'!E7220</x:f>
        <x:v>1</x:v>
      </x:c>
      <x:c r="I7220" s="6" t="n">
        <x:f>'Historical prices'!D7220</x:f>
        <x:v>0.3177</x:v>
      </x:c>
      <x:c r="J7220" s="13" t="n">
        <x:f>D7220*I7220*H7220</x:f>
        <x:v>0</x:v>
      </x:c>
      <x:c r="K7220" s="13" t="n">
        <x:f>E7220*I7220*H7220</x:f>
        <x:v>0.11919044999999999</x:v>
      </x:c>
      <x:c r="L7220" s="1" t="str">
        <x:f>TEXT(A7220,"mmm yyyy")</x:f>
        <x:v>Oct 2026</x:v>
      </x:c>
    </x:row>
    <x:row r="7221" ht="21" customHeight="1">
      <x:c r="A7221" s="10" t="n">
        <x:v>46298</x:v>
      </x:c>
      <x:c r="B7221" s="1" t="n">
        <x:v>22.5</x:v>
      </x:c>
      <x:c r="C7221" s="1" t="n">
        <x:v>6</x:v>
      </x:c>
      <x:c r="D7221" s="12" t="n">
        <x:v>0</x:v>
      </x:c>
      <x:c r="E7221" s="12" t="n">
        <x:v>0.39774999999999994</x:v>
      </x:c>
      <x:c r="F7221" s="12" t="n">
        <x:v>0.39749999999999996</x:v>
      </x:c>
      <x:c r="G7221" s="12" t="n">
        <x:v>0</x:v>
      </x:c>
      <x:c r="H7221" s="1" t="n">
        <x:f>'Historical prices'!E7221</x:f>
        <x:v>1</x:v>
      </x:c>
      <x:c r="I7221" s="6" t="n">
        <x:f>'Historical prices'!D7221</x:f>
        <x:v>0.304</x:v>
      </x:c>
      <x:c r="J7221" s="13" t="n">
        <x:f>D7221*I7221*H7221</x:f>
        <x:v>0</x:v>
      </x:c>
      <x:c r="K7221" s="13" t="n">
        <x:f>E7221*I7221*H7221</x:f>
        <x:v>0.12091599999999998</x:v>
      </x:c>
      <x:c r="L7221" s="1" t="str">
        <x:f>TEXT(A7221,"mmm yyyy")</x:f>
        <x:v>Oct 2026</x:v>
      </x:c>
    </x:row>
    <x:row r="7222" ht="21" customHeight="1">
      <x:c r="A7222" s="10" t="n">
        <x:v>46298</x:v>
      </x:c>
      <x:c r="B7222" s="1" t="n">
        <x:v>23</x:v>
      </x:c>
      <x:c r="C7222" s="1" t="n">
        <x:v>6</x:v>
      </x:c>
      <x:c r="D7222" s="12" t="n">
        <x:v>0</x:v>
      </x:c>
      <x:c r="E7222" s="12" t="n">
        <x:v>0.3333333333333333</x:v>
      </x:c>
      <x:c r="F7222" s="12" t="n">
        <x:v>0.33275</x:v>
      </x:c>
      <x:c r="G7222" s="12" t="n">
        <x:v>0</x:v>
      </x:c>
      <x:c r="H7222" s="1" t="n">
        <x:f>'Historical prices'!E7222</x:f>
        <x:v>1</x:v>
      </x:c>
      <x:c r="I7222" s="6" t="n">
        <x:f>'Historical prices'!D7222</x:f>
        <x:v>0.3131</x:v>
      </x:c>
      <x:c r="J7222" s="13" t="n">
        <x:f>D7222*I7222*H7222</x:f>
        <x:v>0</x:v>
      </x:c>
      <x:c r="K7222" s="13" t="n">
        <x:f>E7222*I7222*H7222</x:f>
        <x:v>0.10436666666666666</x:v>
      </x:c>
      <x:c r="L7222" s="1" t="str">
        <x:f>TEXT(A7222,"mmm yyyy")</x:f>
        <x:v>Oct 2026</x:v>
      </x:c>
    </x:row>
    <x:row r="7223" ht="21" customHeight="1">
      <x:c r="A7223" s="10" t="n">
        <x:v>46298</x:v>
      </x:c>
      <x:c r="B7223" s="1" t="n">
        <x:v>23.5</x:v>
      </x:c>
      <x:c r="C7223" s="1" t="n">
        <x:v>6</x:v>
      </x:c>
      <x:c r="D7223" s="12" t="n">
        <x:v>0</x:v>
      </x:c>
      <x:c r="E7223" s="12" t="n">
        <x:v>0.33425</x:v>
      </x:c>
      <x:c r="F7223" s="12" t="n">
        <x:v>0.3338333333333333</x:v>
      </x:c>
      <x:c r="G7223" s="12" t="n">
        <x:v>0</x:v>
      </x:c>
      <x:c r="H7223" s="1" t="n">
        <x:f>'Historical prices'!E7223</x:f>
        <x:v>1</x:v>
      </x:c>
      <x:c r="I7223" s="6" t="n">
        <x:f>'Historical prices'!D7223</x:f>
        <x:v>0.3186</x:v>
      </x:c>
      <x:c r="J7223" s="13" t="n">
        <x:f>D7223*I7223*H7223</x:f>
        <x:v>0</x:v>
      </x:c>
      <x:c r="K7223" s="13" t="n">
        <x:f>E7223*I7223*H7223</x:f>
        <x:v>0.10649204999999999</x:v>
      </x:c>
      <x:c r="L7223" s="1" t="str">
        <x:f>TEXT(A7223,"mmm yyyy")</x:f>
        <x:v>Oct 2026</x:v>
      </x:c>
    </x:row>
    <x:row r="7224" ht="21" customHeight="1">
      <x:c r="A7224" s="10" t="n">
        <x:v>46299</x:v>
      </x:c>
      <x:c r="B7224" s="1" t="n">
        <x:v>0</x:v>
      </x:c>
      <x:c r="C7224" s="1" t="n">
        <x:v>6</x:v>
      </x:c>
      <x:c r="D7224" s="12" t="n">
        <x:v>0</x:v>
      </x:c>
      <x:c r="E7224" s="12" t="n">
        <x:v>0.30591666666666667</x:v>
      </x:c>
      <x:c r="F7224" s="12" t="n">
        <x:v>0.30541666666666667</x:v>
      </x:c>
      <x:c r="G7224" s="12" t="n">
        <x:v>0</x:v>
      </x:c>
      <x:c r="H7224" s="1" t="n">
        <x:f>'Historical prices'!E7224</x:f>
        <x:v>1</x:v>
      </x:c>
      <x:c r="I7224" s="6" t="n">
        <x:f>'Historical prices'!D7224</x:f>
        <x:v>0.3068</x:v>
      </x:c>
      <x:c r="J7224" s="13" t="n">
        <x:f>D7224*I7224*H7224</x:f>
        <x:v>0</x:v>
      </x:c>
      <x:c r="K7224" s="13" t="n">
        <x:f>E7224*I7224*H7224</x:f>
        <x:v>0.09385523333333334</x:v>
      </x:c>
      <x:c r="L7224" s="1" t="str">
        <x:f>TEXT(A7224,"mmm yyyy")</x:f>
        <x:v>Oct 2026</x:v>
      </x:c>
    </x:row>
    <x:row r="7225" ht="21" customHeight="1">
      <x:c r="A7225" s="10" t="n">
        <x:v>46299</x:v>
      </x:c>
      <x:c r="B7225" s="1" t="n">
        <x:v>0.5</x:v>
      </x:c>
      <x:c r="C7225" s="1" t="n">
        <x:v>6</x:v>
      </x:c>
      <x:c r="D7225" s="12" t="n">
        <x:v>0</x:v>
      </x:c>
      <x:c r="E7225" s="12" t="n">
        <x:v>0.31925</x:v>
      </x:c>
      <x:c r="F7225" s="12" t="n">
        <x:v>0.3188333333333333</x:v>
      </x:c>
      <x:c r="G7225" s="12" t="n">
        <x:v>0</x:v>
      </x:c>
      <x:c r="H7225" s="1" t="n">
        <x:f>'Historical prices'!E7225</x:f>
        <x:v>1</x:v>
      </x:c>
      <x:c r="I7225" s="6" t="n">
        <x:f>'Historical prices'!D7225</x:f>
        <x:v>0.2921</x:v>
      </x:c>
      <x:c r="J7225" s="13" t="n">
        <x:f>D7225*I7225*H7225</x:f>
        <x:v>0</x:v>
      </x:c>
      <x:c r="K7225" s="13" t="n">
        <x:f>E7225*I7225*H7225</x:f>
        <x:v>0.093252925</x:v>
      </x:c>
      <x:c r="L7225" s="1" t="str">
        <x:f>TEXT(A7225,"mmm yyyy")</x:f>
        <x:v>Oct 2026</x:v>
      </x:c>
    </x:row>
    <x:row r="7226" ht="21" customHeight="1">
      <x:c r="A7226" s="10" t="n">
        <x:v>46299</x:v>
      </x:c>
      <x:c r="B7226" s="1" t="n">
        <x:v>1</x:v>
      </x:c>
      <x:c r="C7226" s="1" t="n">
        <x:v>6</x:v>
      </x:c>
      <x:c r="D7226" s="12" t="n">
        <x:v>0</x:v>
      </x:c>
      <x:c r="E7226" s="12" t="n">
        <x:v>0.36608333333333337</x:v>
      </x:c>
      <x:c r="F7226" s="12" t="n">
        <x:v>0.36525</x:v>
      </x:c>
      <x:c r="G7226" s="12" t="n">
        <x:v>0</x:v>
      </x:c>
      <x:c r="H7226" s="1" t="n">
        <x:f>'Historical prices'!E7226</x:f>
        <x:v>1</x:v>
      </x:c>
      <x:c r="I7226" s="6" t="n">
        <x:f>'Historical prices'!D7226</x:f>
        <x:v>0.2921</x:v>
      </x:c>
      <x:c r="J7226" s="13" t="n">
        <x:f>D7226*I7226*H7226</x:f>
        <x:v>0</x:v>
      </x:c>
      <x:c r="K7226" s="13" t="n">
        <x:f>E7226*I7226*H7226</x:f>
        <x:v>0.10693294166666668</x:v>
      </x:c>
      <x:c r="L7226" s="1" t="str">
        <x:f>TEXT(A7226,"mmm yyyy")</x:f>
        <x:v>Oct 2026</x:v>
      </x:c>
    </x:row>
    <x:row r="7227" ht="21" customHeight="1">
      <x:c r="A7227" s="10" t="n">
        <x:v>46299</x:v>
      </x:c>
      <x:c r="B7227" s="1" t="n">
        <x:v>1.5</x:v>
      </x:c>
      <x:c r="C7227" s="1" t="n">
        <x:v>6</x:v>
      </x:c>
      <x:c r="D7227" s="12" t="n">
        <x:v>0</x:v>
      </x:c>
      <x:c r="E7227" s="12" t="n">
        <x:v>0.3331666666666667</x:v>
      </x:c>
      <x:c r="F7227" s="12" t="n">
        <x:v>0.3323333333333333</x:v>
      </x:c>
      <x:c r="G7227" s="12" t="n">
        <x:v>0</x:v>
      </x:c>
      <x:c r="H7227" s="1" t="n">
        <x:f>'Historical prices'!E7227</x:f>
        <x:v>1</x:v>
      </x:c>
      <x:c r="I7227" s="6" t="n">
        <x:f>'Historical prices'!D7227</x:f>
        <x:v>0.2977</x:v>
      </x:c>
      <x:c r="J7227" s="13" t="n">
        <x:f>D7227*I7227*H7227</x:f>
        <x:v>0</x:v>
      </x:c>
      <x:c r="K7227" s="13" t="n">
        <x:f>E7227*I7227*H7227</x:f>
        <x:v>0.09918371666666669</x:v>
      </x:c>
      <x:c r="L7227" s="1" t="str">
        <x:f>TEXT(A7227,"mmm yyyy")</x:f>
        <x:v>Oct 2026</x:v>
      </x:c>
    </x:row>
    <x:row r="7228" ht="21" customHeight="1">
      <x:c r="A7228" s="10" t="n">
        <x:v>46299</x:v>
      </x:c>
      <x:c r="B7228" s="1" t="n">
        <x:v>2</x:v>
      </x:c>
      <x:c r="C7228" s="1" t="n">
        <x:v>6</x:v>
      </x:c>
      <x:c r="D7228" s="12" t="n">
        <x:v>0</x:v>
      </x:c>
      <x:c r="E7228" s="12" t="n">
        <x:v>0.2996666666666667</x:v>
      </x:c>
      <x:c r="F7228" s="12" t="n">
        <x:v>0.2990833333333333</x:v>
      </x:c>
      <x:c r="G7228" s="12" t="n">
        <x:v>0</x:v>
      </x:c>
      <x:c r="H7228" s="1" t="n">
        <x:f>'Historical prices'!E7228</x:f>
        <x:v>1</x:v>
      </x:c>
      <x:c r="I7228" s="6" t="n">
        <x:f>'Historical prices'!D7228</x:f>
        <x:v>0.29</x:v>
      </x:c>
      <x:c r="J7228" s="13" t="n">
        <x:f>D7228*I7228*H7228</x:f>
        <x:v>0</x:v>
      </x:c>
      <x:c r="K7228" s="13" t="n">
        <x:f>E7228*I7228*H7228</x:f>
        <x:v>0.08690333333333333</x:v>
      </x:c>
      <x:c r="L7228" s="1" t="str">
        <x:f>TEXT(A7228,"mmm yyyy")</x:f>
        <x:v>Oct 2026</x:v>
      </x:c>
    </x:row>
    <x:row r="7229" ht="21" customHeight="1">
      <x:c r="A7229" s="10" t="n">
        <x:v>46299</x:v>
      </x:c>
      <x:c r="B7229" s="1" t="n">
        <x:v>2.5</x:v>
      </x:c>
      <x:c r="C7229" s="1" t="n">
        <x:v>6</x:v>
      </x:c>
      <x:c r="D7229" s="12" t="n">
        <x:v>0</x:v>
      </x:c>
      <x:c r="E7229" s="12" t="n">
        <x:v>0.3231666666666666</x:v>
      </x:c>
      <x:c r="F7229" s="12" t="n">
        <x:v>0.3223333333333333</x:v>
      </x:c>
      <x:c r="G7229" s="12" t="n">
        <x:v>0</x:v>
      </x:c>
      <x:c r="H7229" s="1" t="n">
        <x:f>'Historical prices'!E7229</x:f>
        <x:v>1</x:v>
      </x:c>
      <x:c r="I7229" s="6" t="n">
        <x:f>'Historical prices'!D7229</x:f>
        <x:v>0.2879</x:v>
      </x:c>
      <x:c r="J7229" s="13" t="n">
        <x:f>D7229*I7229*H7229</x:f>
        <x:v>0</x:v>
      </x:c>
      <x:c r="K7229" s="13" t="n">
        <x:f>E7229*I7229*H7229</x:f>
        <x:v>0.09303968333333332</x:v>
      </x:c>
      <x:c r="L7229" s="1" t="str">
        <x:f>TEXT(A7229,"mmm yyyy")</x:f>
        <x:v>Oct 2026</x:v>
      </x:c>
    </x:row>
    <x:row r="7230" ht="21" customHeight="1">
      <x:c r="A7230" s="10" t="n">
        <x:v>46299</x:v>
      </x:c>
      <x:c r="B7230" s="1" t="n">
        <x:v>3</x:v>
      </x:c>
      <x:c r="C7230" s="1" t="n">
        <x:v>6</x:v>
      </x:c>
      <x:c r="D7230" s="12" t="n">
        <x:v>0.03916666666666667</x:v>
      </x:c>
      <x:c r="E7230" s="12" t="n">
        <x:v>0.38425000000000004</x:v>
      </x:c>
      <x:c r="F7230" s="12" t="n">
        <x:v>0.34491666666666665</x:v>
      </x:c>
      <x:c r="G7230" s="12" t="n">
        <x:v>0</x:v>
      </x:c>
      <x:c r="H7230" s="1" t="n">
        <x:f>'Historical prices'!E7230</x:f>
        <x:v>1</x:v>
      </x:c>
      <x:c r="I7230" s="6" t="n">
        <x:f>'Historical prices'!D7230</x:f>
        <x:v>0.2854</x:v>
      </x:c>
      <x:c r="J7230" s="13" t="n">
        <x:f>D7230*I7230*H7230</x:f>
        <x:v>0.011178166666666666</x:v>
      </x:c>
      <x:c r="K7230" s="13" t="n">
        <x:f>E7230*I7230*H7230</x:f>
        <x:v>0.10966495000000001</x:v>
      </x:c>
      <x:c r="L7230" s="1" t="str">
        <x:f>TEXT(A7230,"mmm yyyy")</x:f>
        <x:v>Oct 2026</x:v>
      </x:c>
    </x:row>
    <x:row r="7231" ht="21" customHeight="1">
      <x:c r="A7231" s="10" t="n">
        <x:v>46299</x:v>
      </x:c>
      <x:c r="B7231" s="1" t="n">
        <x:v>3.5</x:v>
      </x:c>
      <x:c r="C7231" s="1" t="n">
        <x:v>6</x:v>
      </x:c>
      <x:c r="D7231" s="12" t="n">
        <x:v>0.27075</x:v>
      </x:c>
      <x:c r="E7231" s="12" t="n">
        <x:v>0.31175</x:v>
      </x:c>
      <x:c r="F7231" s="12" t="n">
        <x:v>0.032</x:v>
      </x:c>
      <x:c r="G7231" s="12" t="n">
        <x:v>0</x:v>
      </x:c>
      <x:c r="H7231" s="1" t="n">
        <x:f>'Historical prices'!E7231</x:f>
        <x:v>1</x:v>
      </x:c>
      <x:c r="I7231" s="6" t="n">
        <x:f>'Historical prices'!D7231</x:f>
        <x:v>0.2768</x:v>
      </x:c>
      <x:c r="J7231" s="13" t="n">
        <x:f>D7231*I7231*H7231</x:f>
        <x:v>0.0749436</x:v>
      </x:c>
      <x:c r="K7231" s="13" t="n">
        <x:f>E7231*I7231*H7231</x:f>
        <x:v>0.0862924</x:v>
      </x:c>
      <x:c r="L7231" s="1" t="str">
        <x:f>TEXT(A7231,"mmm yyyy")</x:f>
        <x:v>Oct 2026</x:v>
      </x:c>
    </x:row>
    <x:row r="7232" ht="21" customHeight="1">
      <x:c r="A7232" s="10" t="n">
        <x:v>46299</x:v>
      </x:c>
      <x:c r="B7232" s="1" t="n">
        <x:v>4</x:v>
      </x:c>
      <x:c r="C7232" s="1" t="n">
        <x:v>6</x:v>
      </x:c>
      <x:c r="D7232" s="12" t="n">
        <x:v>0.255</x:v>
      </x:c>
      <x:c r="E7232" s="12" t="n">
        <x:v>0.26599999999999996</x:v>
      </x:c>
      <x:c r="F7232" s="12" t="n">
        <x:v>0</x:v>
      </x:c>
      <x:c r="G7232" s="12" t="n">
        <x:v>0</x:v>
      </x:c>
      <x:c r="H7232" s="1" t="n">
        <x:f>'Historical prices'!E7232</x:f>
        <x:v>1</x:v>
      </x:c>
      <x:c r="I7232" s="6" t="n">
        <x:f>'Historical prices'!D7232</x:f>
        <x:v>0.2799</x:v>
      </x:c>
      <x:c r="J7232" s="13" t="n">
        <x:f>D7232*I7232*H7232</x:f>
        <x:v>0.0713745</x:v>
      </x:c>
      <x:c r="K7232" s="13" t="n">
        <x:f>E7232*I7232*H7232</x:f>
        <x:v>0.07445339999999999</x:v>
      </x:c>
      <x:c r="L7232" s="1" t="str">
        <x:f>TEXT(A7232,"mmm yyyy")</x:f>
        <x:v>Oct 2026</x:v>
      </x:c>
    </x:row>
    <x:row r="7233" ht="21" customHeight="1">
      <x:c r="A7233" s="10" t="n">
        <x:v>46299</x:v>
      </x:c>
      <x:c r="B7233" s="1" t="n">
        <x:v>4.5</x:v>
      </x:c>
      <x:c r="C7233" s="1" t="n">
        <x:v>6</x:v>
      </x:c>
      <x:c r="D7233" s="12" t="n">
        <x:v>0.21000000000000002</x:v>
      </x:c>
      <x:c r="E7233" s="12" t="n">
        <x:v>0.22100000000000003</x:v>
      </x:c>
      <x:c r="F7233" s="12" t="n">
        <x:v>0</x:v>
      </x:c>
      <x:c r="G7233" s="12" t="n">
        <x:v>0</x:v>
      </x:c>
      <x:c r="H7233" s="1" t="n">
        <x:f>'Historical prices'!E7233</x:f>
        <x:v>1</x:v>
      </x:c>
      <x:c r="I7233" s="6" t="n">
        <x:f>'Historical prices'!D7233</x:f>
        <x:v>0.2778</x:v>
      </x:c>
      <x:c r="J7233" s="13" t="n">
        <x:f>D7233*I7233*H7233</x:f>
        <x:v>0.058338</x:v>
      </x:c>
      <x:c r="K7233" s="13" t="n">
        <x:f>E7233*I7233*H7233</x:f>
        <x:v>0.061393800000000005</x:v>
      </x:c>
      <x:c r="L7233" s="1" t="str">
        <x:f>TEXT(A7233,"mmm yyyy")</x:f>
        <x:v>Oct 2026</x:v>
      </x:c>
    </x:row>
    <x:row r="7234" ht="21" customHeight="1">
      <x:c r="A7234" s="10" t="n">
        <x:v>46299</x:v>
      </x:c>
      <x:c r="B7234" s="1" t="n">
        <x:v>5</x:v>
      </x:c>
      <x:c r="C7234" s="1" t="n">
        <x:v>6</x:v>
      </x:c>
      <x:c r="D7234" s="12" t="n">
        <x:v>0.03775</x:v>
      </x:c>
      <x:c r="E7234" s="12" t="n">
        <x:v>0.30966666666666665</x:v>
      </x:c>
      <x:c r="F7234" s="12" t="n">
        <x:v>0.2708333333333333</x:v>
      </x:c>
      <x:c r="G7234" s="12" t="n">
        <x:v>0</x:v>
      </x:c>
      <x:c r="H7234" s="1" t="n">
        <x:f>'Historical prices'!E7234</x:f>
        <x:v>1</x:v>
      </x:c>
      <x:c r="I7234" s="6" t="n">
        <x:f>'Historical prices'!D7234</x:f>
        <x:v>0.2963</x:v>
      </x:c>
      <x:c r="J7234" s="13" t="n">
        <x:f>D7234*I7234*H7234</x:f>
        <x:v>0.011185325</x:v>
      </x:c>
      <x:c r="K7234" s="13" t="n">
        <x:f>E7234*I7234*H7234</x:f>
        <x:v>0.09175423333333332</x:v>
      </x:c>
      <x:c r="L7234" s="1" t="str">
        <x:f>TEXT(A7234,"mmm yyyy")</x:f>
        <x:v>Oct 2026</x:v>
      </x:c>
    </x:row>
    <x:row r="7235" ht="21" customHeight="1">
      <x:c r="A7235" s="10" t="n">
        <x:v>46299</x:v>
      </x:c>
      <x:c r="B7235" s="1" t="n">
        <x:v>5.5</x:v>
      </x:c>
      <x:c r="C7235" s="1" t="n">
        <x:v>6</x:v>
      </x:c>
      <x:c r="D7235" s="12" t="n">
        <x:v>0</x:v>
      </x:c>
      <x:c r="E7235" s="12" t="n">
        <x:v>0.3759166666666667</x:v>
      </x:c>
      <x:c r="F7235" s="12" t="n">
        <x:v>0.37575000000000003</x:v>
      </x:c>
      <x:c r="G7235" s="12" t="n">
        <x:v>0</x:v>
      </x:c>
      <x:c r="H7235" s="1" t="n">
        <x:f>'Historical prices'!E7235</x:f>
        <x:v>1</x:v>
      </x:c>
      <x:c r="I7235" s="6" t="n">
        <x:f>'Historical prices'!D7235</x:f>
        <x:v>0.2892</x:v>
      </x:c>
      <x:c r="J7235" s="13" t="n">
        <x:f>D7235*I7235*H7235</x:f>
        <x:v>0</x:v>
      </x:c>
      <x:c r="K7235" s="13" t="n">
        <x:f>E7235*I7235*H7235</x:f>
        <x:v>0.10871510000000001</x:v>
      </x:c>
      <x:c r="L7235" s="1" t="str">
        <x:f>TEXT(A7235,"mmm yyyy")</x:f>
        <x:v>Oct 2026</x:v>
      </x:c>
    </x:row>
    <x:row r="7236" ht="21" customHeight="1">
      <x:c r="A7236" s="10" t="n">
        <x:v>46299</x:v>
      </x:c>
      <x:c r="B7236" s="1" t="n">
        <x:v>6</x:v>
      </x:c>
      <x:c r="C7236" s="1" t="n">
        <x:v>6</x:v>
      </x:c>
      <x:c r="D7236" s="12" t="n">
        <x:v>0</x:v>
      </x:c>
      <x:c r="E7236" s="12" t="n">
        <x:v>0.3468333333333334</x:v>
      </x:c>
      <x:c r="F7236" s="12" t="n">
        <x:v>0.3463333333333333</x:v>
      </x:c>
      <x:c r="G7236" s="12" t="n">
        <x:v>0</x:v>
      </x:c>
      <x:c r="H7236" s="1" t="n">
        <x:f>'Historical prices'!E7236</x:f>
        <x:v>1</x:v>
      </x:c>
      <x:c r="I7236" s="6" t="n">
        <x:f>'Historical prices'!D7236</x:f>
        <x:v>0.2988</x:v>
      </x:c>
      <x:c r="J7236" s="13" t="n">
        <x:f>D7236*I7236*H7236</x:f>
        <x:v>0</x:v>
      </x:c>
      <x:c r="K7236" s="13" t="n">
        <x:f>E7236*I7236*H7236</x:f>
        <x:v>0.10363380000000001</x:v>
      </x:c>
      <x:c r="L7236" s="1" t="str">
        <x:f>TEXT(A7236,"mmm yyyy")</x:f>
        <x:v>Oct 2026</x:v>
      </x:c>
    </x:row>
    <x:row r="7237" ht="21" customHeight="1">
      <x:c r="A7237" s="10" t="n">
        <x:v>46299</x:v>
      </x:c>
      <x:c r="B7237" s="1" t="n">
        <x:v>6.5</x:v>
      </x:c>
      <x:c r="C7237" s="1" t="n">
        <x:v>6</x:v>
      </x:c>
      <x:c r="D7237" s="12" t="n">
        <x:v>0</x:v>
      </x:c>
      <x:c r="E7237" s="12" t="n">
        <x:v>0.4741666666666667</x:v>
      </x:c>
      <x:c r="F7237" s="12" t="n">
        <x:v>0.47358333333333336</x:v>
      </x:c>
      <x:c r="G7237" s="12" t="n">
        <x:v>0</x:v>
      </x:c>
      <x:c r="H7237" s="1" t="n">
        <x:f>'Historical prices'!E7237</x:f>
        <x:v>1</x:v>
      </x:c>
      <x:c r="I7237" s="6" t="n">
        <x:f>'Historical prices'!D7237</x:f>
        <x:v>0.3065</x:v>
      </x:c>
      <x:c r="J7237" s="13" t="n">
        <x:f>D7237*I7237*H7237</x:f>
        <x:v>0</x:v>
      </x:c>
      <x:c r="K7237" s="13" t="n">
        <x:f>E7237*I7237*H7237</x:f>
        <x:v>0.14533208333333333</x:v>
      </x:c>
      <x:c r="L7237" s="1" t="str">
        <x:f>TEXT(A7237,"mmm yyyy")</x:f>
        <x:v>Oct 2026</x:v>
      </x:c>
    </x:row>
    <x:row r="7238" ht="21" customHeight="1">
      <x:c r="A7238" s="10" t="n">
        <x:v>46299</x:v>
      </x:c>
      <x:c r="B7238" s="1" t="n">
        <x:v>7</x:v>
      </x:c>
      <x:c r="C7238" s="1" t="n">
        <x:v>6</x:v>
      </x:c>
      <x:c r="D7238" s="12" t="n">
        <x:v>0.3966666666666667</x:v>
      </x:c>
      <x:c r="E7238" s="12" t="n">
        <x:v>0.67625</x:v>
      </x:c>
      <x:c r="F7238" s="12" t="n">
        <x:v>0.2755833333333333</x:v>
      </x:c>
      <x:c r="G7238" s="12" t="n">
        <x:v>0</x:v>
      </x:c>
      <x:c r="H7238" s="1" t="n">
        <x:f>'Historical prices'!E7238</x:f>
        <x:v>1</x:v>
      </x:c>
      <x:c r="I7238" s="6" t="n">
        <x:f>'Historical prices'!D7238</x:f>
        <x:v>0.2816</x:v>
      </x:c>
      <x:c r="J7238" s="13" t="n">
        <x:f>D7238*I7238*H7238</x:f>
        <x:v>0.11170133333333336</x:v>
      </x:c>
      <x:c r="K7238" s="13" t="n">
        <x:f>E7238*I7238*H7238</x:f>
        <x:v>0.19043200000000002</x:v>
      </x:c>
      <x:c r="L7238" s="1" t="str">
        <x:f>TEXT(A7238,"mmm yyyy")</x:f>
        <x:v>Oct 2026</x:v>
      </x:c>
    </x:row>
    <x:row r="7239" ht="21" customHeight="1">
      <x:c r="A7239" s="10" t="n">
        <x:v>46299</x:v>
      </x:c>
      <x:c r="B7239" s="1" t="n">
        <x:v>7.5</x:v>
      </x:c>
      <x:c r="C7239" s="1" t="n">
        <x:v>6</x:v>
      </x:c>
      <x:c r="D7239" s="12" t="n">
        <x:v>0.01375</x:v>
      </x:c>
      <x:c r="E7239" s="12" t="n">
        <x:v>0.5962500000000001</x:v>
      </x:c>
      <x:c r="F7239" s="12" t="n">
        <x:v>0.5819166666666666</x:v>
      </x:c>
      <x:c r="G7239" s="12" t="n">
        <x:v>0</x:v>
      </x:c>
      <x:c r="H7239" s="1" t="n">
        <x:f>'Historical prices'!E7239</x:f>
        <x:v>1</x:v>
      </x:c>
      <x:c r="I7239" s="6" t="n">
        <x:f>'Historical prices'!D7239</x:f>
        <x:v>0.2967</x:v>
      </x:c>
      <x:c r="J7239" s="13" t="n">
        <x:f>D7239*I7239*H7239</x:f>
        <x:v>0.004079625</x:v>
      </x:c>
      <x:c r="K7239" s="13" t="n">
        <x:f>E7239*I7239*H7239</x:f>
        <x:v>0.17690737500000003</x:v>
      </x:c>
      <x:c r="L7239" s="1" t="str">
        <x:f>TEXT(A7239,"mmm yyyy")</x:f>
        <x:v>Oct 2026</x:v>
      </x:c>
    </x:row>
    <x:row r="7240" ht="21" customHeight="1">
      <x:c r="A7240" s="10" t="n">
        <x:v>46299</x:v>
      </x:c>
      <x:c r="B7240" s="1" t="n">
        <x:v>8</x:v>
      </x:c>
      <x:c r="C7240" s="1" t="n">
        <x:v>6</x:v>
      </x:c>
      <x:c r="D7240" s="12" t="n">
        <x:v>0</x:v>
      </x:c>
      <x:c r="E7240" s="12" t="n">
        <x:v>0.6170833333333334</x:v>
      </x:c>
      <x:c r="F7240" s="12" t="n">
        <x:v>0.61675</x:v>
      </x:c>
      <x:c r="G7240" s="12" t="n">
        <x:v>0</x:v>
      </x:c>
      <x:c r="H7240" s="1" t="n">
        <x:f>'Historical prices'!E7240</x:f>
        <x:v>1</x:v>
      </x:c>
      <x:c r="I7240" s="6" t="n">
        <x:f>'Historical prices'!D7240</x:f>
        <x:v>0.2934</x:v>
      </x:c>
      <x:c r="J7240" s="13" t="n">
        <x:f>D7240*I7240*H7240</x:f>
        <x:v>0</x:v>
      </x:c>
      <x:c r="K7240" s="13" t="n">
        <x:f>E7240*I7240*H7240</x:f>
        <x:v>0.18105225000000003</x:v>
      </x:c>
      <x:c r="L7240" s="1" t="str">
        <x:f>TEXT(A7240,"mmm yyyy")</x:f>
        <x:v>Oct 2026</x:v>
      </x:c>
    </x:row>
    <x:row r="7241" ht="21" customHeight="1">
      <x:c r="A7241" s="10" t="n">
        <x:v>46299</x:v>
      </x:c>
      <x:c r="B7241" s="1" t="n">
        <x:v>8.5</x:v>
      </x:c>
      <x:c r="C7241" s="1" t="n">
        <x:v>6</x:v>
      </x:c>
      <x:c r="D7241" s="12" t="n">
        <x:v>0</x:v>
      </x:c>
      <x:c r="E7241" s="12" t="n">
        <x:v>0.741</x:v>
      </x:c>
      <x:c r="F7241" s="12" t="n">
        <x:v>0.7403333333333333</x:v>
      </x:c>
      <x:c r="G7241" s="12" t="n">
        <x:v>0</x:v>
      </x:c>
      <x:c r="H7241" s="1" t="n">
        <x:f>'Historical prices'!E7241</x:f>
        <x:v>1</x:v>
      </x:c>
      <x:c r="I7241" s="6" t="n">
        <x:f>'Historical prices'!D7241</x:f>
        <x:v>0.2872</x:v>
      </x:c>
      <x:c r="J7241" s="13" t="n">
        <x:f>D7241*I7241*H7241</x:f>
        <x:v>0</x:v>
      </x:c>
      <x:c r="K7241" s="13" t="n">
        <x:f>E7241*I7241*H7241</x:f>
        <x:v>0.2128152</x:v>
      </x:c>
      <x:c r="L7241" s="1" t="str">
        <x:f>TEXT(A7241,"mmm yyyy")</x:f>
        <x:v>Oct 2026</x:v>
      </x:c>
    </x:row>
    <x:row r="7242" ht="21" customHeight="1">
      <x:c r="A7242" s="10" t="n">
        <x:v>46299</x:v>
      </x:c>
      <x:c r="B7242" s="1" t="n">
        <x:v>9</x:v>
      </x:c>
      <x:c r="C7242" s="1" t="n">
        <x:v>6</x:v>
      </x:c>
      <x:c r="D7242" s="12" t="n">
        <x:v>0.35050000000000003</x:v>
      </x:c>
      <x:c r="E7242" s="12" t="n">
        <x:v>0.44625000000000004</x:v>
      </x:c>
      <x:c r="F7242" s="12" t="n">
        <x:v>0.07975</x:v>
      </x:c>
      <x:c r="G7242" s="12" t="n">
        <x:v>0</x:v>
      </x:c>
      <x:c r="H7242" s="1" t="n">
        <x:f>'Historical prices'!E7242</x:f>
        <x:v>1</x:v>
      </x:c>
      <x:c r="I7242" s="6" t="n">
        <x:f>'Historical prices'!D7242</x:f>
        <x:v>0.2303</x:v>
      </x:c>
      <x:c r="J7242" s="13" t="n">
        <x:f>D7242*I7242*H7242</x:f>
        <x:v>0.08072015</x:v>
      </x:c>
      <x:c r="K7242" s="13" t="n">
        <x:f>E7242*I7242*H7242</x:f>
        <x:v>0.10277137500000001</x:v>
      </x:c>
      <x:c r="L7242" s="1" t="str">
        <x:f>TEXT(A7242,"mmm yyyy")</x:f>
        <x:v>Oct 2026</x:v>
      </x:c>
    </x:row>
    <x:row r="7243" ht="21" customHeight="1">
      <x:c r="A7243" s="10" t="n">
        <x:v>46299</x:v>
      </x:c>
      <x:c r="B7243" s="1" t="n">
        <x:v>9.5</x:v>
      </x:c>
      <x:c r="C7243" s="1" t="n">
        <x:v>6</x:v>
      </x:c>
      <x:c r="D7243" s="12" t="n">
        <x:v>0.07025</x:v>
      </x:c>
      <x:c r="E7243" s="12" t="n">
        <x:v>0.5205</x:v>
      </x:c>
      <x:c r="F7243" s="12" t="n">
        <x:v>0.4448333333333333</x:v>
      </x:c>
      <x:c r="G7243" s="12" t="n">
        <x:v>0</x:v>
      </x:c>
      <x:c r="H7243" s="1" t="n">
        <x:f>'Historical prices'!E7243</x:f>
        <x:v>1</x:v>
      </x:c>
      <x:c r="I7243" s="6" t="n">
        <x:f>'Historical prices'!D7243</x:f>
        <x:v>0.24050000000000002</x:v>
      </x:c>
      <x:c r="J7243" s="13" t="n">
        <x:f>D7243*I7243*H7243</x:f>
        <x:v>0.016895125000000004</x:v>
      </x:c>
      <x:c r="K7243" s="13" t="n">
        <x:f>E7243*I7243*H7243</x:f>
        <x:v>0.12518025</x:v>
      </x:c>
      <x:c r="L7243" s="1" t="str">
        <x:f>TEXT(A7243,"mmm yyyy")</x:f>
        <x:v>Oct 2026</x:v>
      </x:c>
    </x:row>
    <x:row r="7244" ht="21" customHeight="1">
      <x:c r="A7244" s="10" t="n">
        <x:v>46299</x:v>
      </x:c>
      <x:c r="B7244" s="1" t="n">
        <x:v>10</x:v>
      </x:c>
      <x:c r="C7244" s="1" t="n">
        <x:v>6</x:v>
      </x:c>
      <x:c r="D7244" s="12" t="n">
        <x:v>0.4138333333333334</x:v>
      </x:c>
      <x:c r="E7244" s="12" t="n">
        <x:v>0.5854999999999999</x:v>
      </x:c>
      <x:c r="F7244" s="12" t="n">
        <x:v>0.29466666666666663</x:v>
      </x:c>
      <x:c r="G7244" s="12" t="n">
        <x:v>0.127</x:v>
      </x:c>
      <x:c r="H7244" s="1" t="n">
        <x:f>'Historical prices'!E7244</x:f>
        <x:v>1</x:v>
      </x:c>
      <x:c r="I7244" s="6" t="n">
        <x:f>'Historical prices'!D7244</x:f>
        <x:v>0.1726</x:v>
      </x:c>
      <x:c r="J7244" s="13" t="n">
        <x:f>D7244*I7244*H7244</x:f>
        <x:v>0.07142763333333334</x:v>
      </x:c>
      <x:c r="K7244" s="13" t="n">
        <x:f>E7244*I7244*H7244</x:f>
        <x:v>0.10105729999999999</x:v>
      </x:c>
      <x:c r="L7244" s="1" t="str">
        <x:f>TEXT(A7244,"mmm yyyy")</x:f>
        <x:v>Oct 2026</x:v>
      </x:c>
    </x:row>
    <x:row r="7245" ht="21" customHeight="1">
      <x:c r="A7245" s="10" t="n">
        <x:v>46299</x:v>
      </x:c>
      <x:c r="B7245" s="1" t="n">
        <x:v>10.5</x:v>
      </x:c>
      <x:c r="C7245" s="1" t="n">
        <x:v>6</x:v>
      </x:c>
      <x:c r="D7245" s="12" t="n">
        <x:v>0.6805</x:v>
      </x:c>
      <x:c r="E7245" s="12" t="n">
        <x:v>0.5925</x:v>
      </x:c>
      <x:c r="F7245" s="12" t="n">
        <x:v>0</x:v>
      </x:c>
      <x:c r="G7245" s="12" t="n">
        <x:v>0.088</x:v>
      </x:c>
      <x:c r="H7245" s="1" t="n">
        <x:f>'Historical prices'!E7245</x:f>
        <x:v>1</x:v>
      </x:c>
      <x:c r="I7245" s="6" t="n">
        <x:f>'Historical prices'!D7245</x:f>
        <x:v>0.1316</x:v>
      </x:c>
      <x:c r="J7245" s="13" t="n">
        <x:f>D7245*I7245*H7245</x:f>
        <x:v>0.08955379999999999</x:v>
      </x:c>
      <x:c r="K7245" s="13" t="n">
        <x:f>E7245*I7245*H7245</x:f>
        <x:v>0.077973</x:v>
      </x:c>
      <x:c r="L7245" s="1" t="str">
        <x:f>TEXT(A7245,"mmm yyyy")</x:f>
        <x:v>Oct 2026</x:v>
      </x:c>
    </x:row>
    <x:row r="7246" ht="21" customHeight="1">
      <x:c r="A7246" s="10" t="n">
        <x:v>46299</x:v>
      </x:c>
      <x:c r="B7246" s="1" t="n">
        <x:v>11</x:v>
      </x:c>
      <x:c r="C7246" s="1" t="n">
        <x:v>6</x:v>
      </x:c>
      <x:c r="D7246" s="12" t="n">
        <x:v>0.6549999999999999</x:v>
      </x:c>
      <x:c r="E7246" s="12" t="n">
        <x:v>0.573</x:v>
      </x:c>
      <x:c r="F7246" s="12" t="n">
        <x:v>0</x:v>
      </x:c>
      <x:c r="G7246" s="12" t="n">
        <x:v>0.082</x:v>
      </x:c>
      <x:c r="H7246" s="1" t="n">
        <x:f>'Historical prices'!E7246</x:f>
        <x:v>1</x:v>
      </x:c>
      <x:c r="I7246" s="6" t="n">
        <x:f>'Historical prices'!D7246</x:f>
        <x:v>0.1091</x:v>
      </x:c>
      <x:c r="J7246" s="13" t="n">
        <x:f>D7246*I7246*H7246</x:f>
        <x:v>0.0714605</x:v>
      </x:c>
      <x:c r="K7246" s="13" t="n">
        <x:f>E7246*I7246*H7246</x:f>
        <x:v>0.0625143</x:v>
      </x:c>
      <x:c r="L7246" s="1" t="str">
        <x:f>TEXT(A7246,"mmm yyyy")</x:f>
        <x:v>Oct 2026</x:v>
      </x:c>
    </x:row>
    <x:row r="7247" ht="21" customHeight="1">
      <x:c r="A7247" s="10" t="n">
        <x:v>46299</x:v>
      </x:c>
      <x:c r="B7247" s="1" t="n">
        <x:v>11.5</x:v>
      </x:c>
      <x:c r="C7247" s="1" t="n">
        <x:v>6</x:v>
      </x:c>
      <x:c r="D7247" s="12" t="n">
        <x:v>2.739</x:v>
      </x:c>
      <x:c r="E7247" s="12" t="n">
        <x:v>0.7070000000000001</x:v>
      </x:c>
      <x:c r="F7247" s="12" t="n">
        <x:v>0</x:v>
      </x:c>
      <x:c r="G7247" s="12" t="n">
        <x:v>2.032</x:v>
      </x:c>
      <x:c r="H7247" s="1" t="n">
        <x:f>'Historical prices'!E7247</x:f>
        <x:v>1</x:v>
      </x:c>
      <x:c r="I7247" s="6" t="n">
        <x:f>'Historical prices'!D7247</x:f>
        <x:v>0.1052</x:v>
      </x:c>
      <x:c r="J7247" s="13" t="n">
        <x:f>D7247*I7247*H7247</x:f>
        <x:v>0.2881428</x:v>
      </x:c>
      <x:c r="K7247" s="13" t="n">
        <x:f>E7247*I7247*H7247</x:f>
        <x:v>0.07437640000000001</x:v>
      </x:c>
      <x:c r="L7247" s="1" t="str">
        <x:f>TEXT(A7247,"mmm yyyy")</x:f>
        <x:v>Oct 2026</x:v>
      </x:c>
    </x:row>
    <x:row r="7248" ht="21" customHeight="1">
      <x:c r="A7248" s="10" t="n">
        <x:v>46299</x:v>
      </x:c>
      <x:c r="B7248" s="1" t="n">
        <x:v>12</x:v>
      </x:c>
      <x:c r="C7248" s="1" t="n">
        <x:v>6</x:v>
      </x:c>
      <x:c r="D7248" s="12" t="n">
        <x:v>5.2535</x:v>
      </x:c>
      <x:c r="E7248" s="12" t="n">
        <x:v>0.7715000000000001</x:v>
      </x:c>
      <x:c r="F7248" s="12" t="n">
        <x:v>0</x:v>
      </x:c>
      <x:c r="G7248" s="12" t="n">
        <x:v>4.482</x:v>
      </x:c>
      <x:c r="H7248" s="1" t="n">
        <x:f>'Historical prices'!E7248</x:f>
        <x:v>1</x:v>
      </x:c>
      <x:c r="I7248" s="6" t="n">
        <x:f>'Historical prices'!D7248</x:f>
        <x:v>0.0663</x:v>
      </x:c>
      <x:c r="J7248" s="13" t="n">
        <x:f>D7248*I7248*H7248</x:f>
        <x:v>0.34830704999999995</x:v>
      </x:c>
      <x:c r="K7248" s="13" t="n">
        <x:f>E7248*I7248*H7248</x:f>
        <x:v>0.05115045</x:v>
      </x:c>
      <x:c r="L7248" s="1" t="str">
        <x:f>TEXT(A7248,"mmm yyyy")</x:f>
        <x:v>Oct 2026</x:v>
      </x:c>
    </x:row>
    <x:row r="7249" ht="21" customHeight="1">
      <x:c r="A7249" s="10" t="n">
        <x:v>46299</x:v>
      </x:c>
      <x:c r="B7249" s="1" t="n">
        <x:v>12.5</x:v>
      </x:c>
      <x:c r="C7249" s="1" t="n">
        <x:v>6</x:v>
      </x:c>
      <x:c r="D7249" s="12" t="n">
        <x:v>5.1095</x:v>
      </x:c>
      <x:c r="E7249" s="12" t="n">
        <x:v>0.7324999999999999</x:v>
      </x:c>
      <x:c r="F7249" s="12" t="n">
        <x:v>0</x:v>
      </x:c>
      <x:c r="G7249" s="12" t="n">
        <x:v>4.377</x:v>
      </x:c>
      <x:c r="H7249" s="1" t="n">
        <x:f>'Historical prices'!E7249</x:f>
        <x:v>1</x:v>
      </x:c>
      <x:c r="I7249" s="6" t="n">
        <x:f>'Historical prices'!D7249</x:f>
        <x:v>0.064</x:v>
      </x:c>
      <x:c r="J7249" s="13" t="n">
        <x:f>D7249*I7249*H7249</x:f>
        <x:v>0.32700799999999997</x:v>
      </x:c>
      <x:c r="K7249" s="13" t="n">
        <x:f>E7249*I7249*H7249</x:f>
        <x:v>0.04688</x:v>
      </x:c>
      <x:c r="L7249" s="1" t="str">
        <x:f>TEXT(A7249,"mmm yyyy")</x:f>
        <x:v>Oct 2026</x:v>
      </x:c>
    </x:row>
    <x:row r="7250" ht="21" customHeight="1">
      <x:c r="A7250" s="10" t="n">
        <x:v>46299</x:v>
      </x:c>
      <x:c r="B7250" s="1" t="n">
        <x:v>13</x:v>
      </x:c>
      <x:c r="C7250" s="1" t="n">
        <x:v>6</x:v>
      </x:c>
      <x:c r="D7250" s="12" t="n">
        <x:v>5.45875</x:v>
      </x:c>
      <x:c r="E7250" s="12" t="n">
        <x:v>0.89875</x:v>
      </x:c>
      <x:c r="F7250" s="12" t="n">
        <x:v>0</x:v>
      </x:c>
      <x:c r="G7250" s="12" t="n">
        <x:v>4.56</x:v>
      </x:c>
      <x:c r="H7250" s="1" t="n">
        <x:f>'Historical prices'!E7250</x:f>
        <x:v>1</x:v>
      </x:c>
      <x:c r="I7250" s="6" t="n">
        <x:f>'Historical prices'!D7250</x:f>
        <x:v>0.0716</x:v>
      </x:c>
      <x:c r="J7250" s="13" t="n">
        <x:f>D7250*I7250*H7250</x:f>
        <x:v>0.3908465</x:v>
      </x:c>
      <x:c r="K7250" s="13" t="n">
        <x:f>E7250*I7250*H7250</x:f>
        <x:v>0.0643505</x:v>
      </x:c>
      <x:c r="L7250" s="1" t="str">
        <x:f>TEXT(A7250,"mmm yyyy")</x:f>
        <x:v>Oct 2026</x:v>
      </x:c>
    </x:row>
    <x:row r="7251" ht="21" customHeight="1">
      <x:c r="A7251" s="10" t="n">
        <x:v>46299</x:v>
      </x:c>
      <x:c r="B7251" s="1" t="n">
        <x:v>13.5</x:v>
      </x:c>
      <x:c r="C7251" s="1" t="n">
        <x:v>6</x:v>
      </x:c>
      <x:c r="D7251" s="12" t="n">
        <x:v>5.459499999999999</x:v>
      </x:c>
      <x:c r="E7251" s="12" t="n">
        <x:v>0.7004999999999999</x:v>
      </x:c>
      <x:c r="F7251" s="12" t="n">
        <x:v>0</x:v>
      </x:c>
      <x:c r="G7251" s="12" t="n">
        <x:v>4.759</x:v>
      </x:c>
      <x:c r="H7251" s="1" t="n">
        <x:f>'Historical prices'!E7251</x:f>
        <x:v>1</x:v>
      </x:c>
      <x:c r="I7251" s="6" t="n">
        <x:f>'Historical prices'!D7251</x:f>
        <x:v>0.0674</x:v>
      </x:c>
      <x:c r="J7251" s="13" t="n">
        <x:f>D7251*I7251*H7251</x:f>
        <x:v>0.3679703</x:v>
      </x:c>
      <x:c r="K7251" s="13" t="n">
        <x:f>E7251*I7251*H7251</x:f>
        <x:v>0.0472137</x:v>
      </x:c>
      <x:c r="L7251" s="1" t="str">
        <x:f>TEXT(A7251,"mmm yyyy")</x:f>
        <x:v>Oct 2026</x:v>
      </x:c>
    </x:row>
    <x:row r="7252" ht="21" customHeight="1">
      <x:c r="A7252" s="10" t="n">
        <x:v>46299</x:v>
      </x:c>
      <x:c r="B7252" s="1" t="n">
        <x:v>14</x:v>
      </x:c>
      <x:c r="C7252" s="1" t="n">
        <x:v>6</x:v>
      </x:c>
      <x:c r="D7252" s="12" t="n">
        <x:v>1.9877500000000001</x:v>
      </x:c>
      <x:c r="E7252" s="12" t="n">
        <x:v>0.56275</x:v>
      </x:c>
      <x:c r="F7252" s="12" t="n">
        <x:v>0</x:v>
      </x:c>
      <x:c r="G7252" s="12" t="n">
        <x:v>1.4249999999999998</x:v>
      </x:c>
      <x:c r="H7252" s="1" t="n">
        <x:f>'Historical prices'!E7252</x:f>
        <x:v>1</x:v>
      </x:c>
      <x:c r="I7252" s="6" t="n">
        <x:f>'Historical prices'!D7252</x:f>
        <x:v>0.11220000000000001</x:v>
      </x:c>
      <x:c r="J7252" s="13" t="n">
        <x:f>D7252*I7252*H7252</x:f>
        <x:v>0.22302555000000002</x:v>
      </x:c>
      <x:c r="K7252" s="13" t="n">
        <x:f>E7252*I7252*H7252</x:f>
        <x:v>0.06314055</x:v>
      </x:c>
      <x:c r="L7252" s="1" t="str">
        <x:f>TEXT(A7252,"mmm yyyy")</x:f>
        <x:v>Oct 2026</x:v>
      </x:c>
    </x:row>
    <x:row r="7253" ht="21" customHeight="1">
      <x:c r="A7253" s="10" t="n">
        <x:v>46299</x:v>
      </x:c>
      <x:c r="B7253" s="1" t="n">
        <x:v>14.5</x:v>
      </x:c>
      <x:c r="C7253" s="1" t="n">
        <x:v>6</x:v>
      </x:c>
      <x:c r="D7253" s="12" t="n">
        <x:v>0.87325</x:v>
      </x:c>
      <x:c r="E7253" s="12" t="n">
        <x:v>0.51225</x:v>
      </x:c>
      <x:c r="F7253" s="12" t="n">
        <x:v>0.052000000000000005</x:v>
      </x:c>
      <x:c r="G7253" s="12" t="n">
        <x:v>0.41300000000000003</x:v>
      </x:c>
      <x:c r="H7253" s="1" t="n">
        <x:f>'Historical prices'!E7253</x:f>
        <x:v>1</x:v>
      </x:c>
      <x:c r="I7253" s="6" t="n">
        <x:f>'Historical prices'!D7253</x:f>
        <x:v>0.1346</x:v>
      </x:c>
      <x:c r="J7253" s="13" t="n">
        <x:f>D7253*I7253*H7253</x:f>
        <x:v>0.11753944999999999</x:v>
      </x:c>
      <x:c r="K7253" s="13" t="n">
        <x:f>E7253*I7253*H7253</x:f>
        <x:v>0.06894884999999999</x:v>
      </x:c>
      <x:c r="L7253" s="1" t="str">
        <x:f>TEXT(A7253,"mmm yyyy")</x:f>
        <x:v>Oct 2026</x:v>
      </x:c>
    </x:row>
    <x:row r="7254" ht="21" customHeight="1">
      <x:c r="A7254" s="10" t="n">
        <x:v>46299</x:v>
      </x:c>
      <x:c r="B7254" s="1" t="n">
        <x:v>15</x:v>
      </x:c>
      <x:c r="C7254" s="1" t="n">
        <x:v>6</x:v>
      </x:c>
      <x:c r="D7254" s="12" t="n">
        <x:v>0.05325</x:v>
      </x:c>
      <x:c r="E7254" s="12" t="n">
        <x:v>0.47658333333333336</x:v>
      </x:c>
      <x:c r="F7254" s="12" t="n">
        <x:v>0.42066666666666663</x:v>
      </x:c>
      <x:c r="G7254" s="12" t="n">
        <x:v>0</x:v>
      </x:c>
      <x:c r="H7254" s="1" t="n">
        <x:f>'Historical prices'!E7254</x:f>
        <x:v>1</x:v>
      </x:c>
      <x:c r="I7254" s="6" t="n">
        <x:f>'Historical prices'!D7254</x:f>
        <x:v>0.2186</x:v>
      </x:c>
      <x:c r="J7254" s="13" t="n">
        <x:f>D7254*I7254*H7254</x:f>
        <x:v>0.011640449999999998</x:v>
      </x:c>
      <x:c r="K7254" s="13" t="n">
        <x:f>E7254*I7254*H7254</x:f>
        <x:v>0.10418111666666667</x:v>
      </x:c>
      <x:c r="L7254" s="1" t="str">
        <x:f>TEXT(A7254,"mmm yyyy")</x:f>
        <x:v>Oct 2026</x:v>
      </x:c>
    </x:row>
    <x:row r="7255" ht="21" customHeight="1">
      <x:c r="A7255" s="10" t="n">
        <x:v>46299</x:v>
      </x:c>
      <x:c r="B7255" s="1" t="n">
        <x:v>15.5</x:v>
      </x:c>
      <x:c r="C7255" s="1" t="n">
        <x:v>6</x:v>
      </x:c>
      <x:c r="D7255" s="12" t="n">
        <x:v>0</x:v>
      </x:c>
      <x:c r="E7255" s="12" t="n">
        <x:v>0.6088333333333333</x:v>
      </x:c>
      <x:c r="F7255" s="12" t="n">
        <x:v>0.6081666666666667</x:v>
      </x:c>
      <x:c r="G7255" s="12" t="n">
        <x:v>0</x:v>
      </x:c>
      <x:c r="H7255" s="1" t="n">
        <x:f>'Historical prices'!E7255</x:f>
        <x:v>1</x:v>
      </x:c>
      <x:c r="I7255" s="6" t="n">
        <x:f>'Historical prices'!D7255</x:f>
        <x:v>0.2302</x:v>
      </x:c>
      <x:c r="J7255" s="13" t="n">
        <x:f>D7255*I7255*H7255</x:f>
        <x:v>0</x:v>
      </x:c>
      <x:c r="K7255" s="13" t="n">
        <x:f>E7255*I7255*H7255</x:f>
        <x:v>0.14015343333333333</x:v>
      </x:c>
      <x:c r="L7255" s="1" t="str">
        <x:f>TEXT(A7255,"mmm yyyy")</x:f>
        <x:v>Oct 2026</x:v>
      </x:c>
    </x:row>
    <x:row r="7256" ht="21" customHeight="1">
      <x:c r="A7256" s="10" t="n">
        <x:v>46299</x:v>
      </x:c>
      <x:c r="B7256" s="1" t="n">
        <x:v>16</x:v>
      </x:c>
      <x:c r="C7256" s="1" t="n">
        <x:v>6</x:v>
      </x:c>
      <x:c r="D7256" s="12" t="n">
        <x:v>0</x:v>
      </x:c>
      <x:c r="E7256" s="12" t="n">
        <x:v>0.6021666666666666</x:v>
      </x:c>
      <x:c r="F7256" s="12" t="n">
        <x:v>0.6015833333333332</x:v>
      </x:c>
      <x:c r="G7256" s="12" t="n">
        <x:v>0</x:v>
      </x:c>
      <x:c r="H7256" s="1" t="n">
        <x:f>'Historical prices'!E7256</x:f>
        <x:v>1</x:v>
      </x:c>
      <x:c r="I7256" s="6" t="n">
        <x:f>'Historical prices'!D7256</x:f>
        <x:v>0.41840000000000005</x:v>
      </x:c>
      <x:c r="J7256" s="13" t="n">
        <x:f>D7256*I7256*H7256</x:f>
        <x:v>0</x:v>
      </x:c>
      <x:c r="K7256" s="13" t="n">
        <x:f>E7256*I7256*H7256</x:f>
        <x:v>0.25194653333333333</x:v>
      </x:c>
      <x:c r="L7256" s="1" t="str">
        <x:f>TEXT(A7256,"mmm yyyy")</x:f>
        <x:v>Oct 2026</x:v>
      </x:c>
    </x:row>
    <x:row r="7257" ht="21" customHeight="1">
      <x:c r="A7257" s="10" t="n">
        <x:v>46299</x:v>
      </x:c>
      <x:c r="B7257" s="1" t="n">
        <x:v>16.5</x:v>
      </x:c>
      <x:c r="C7257" s="1" t="n">
        <x:v>6</x:v>
      </x:c>
      <x:c r="D7257" s="12" t="n">
        <x:v>0</x:v>
      </x:c>
      <x:c r="E7257" s="12" t="n">
        <x:v>0.468</x:v>
      </x:c>
      <x:c r="F7257" s="12" t="n">
        <x:v>0.4678333333333334</x:v>
      </x:c>
      <x:c r="G7257" s="12" t="n">
        <x:v>0</x:v>
      </x:c>
      <x:c r="H7257" s="1" t="n">
        <x:f>'Historical prices'!E7257</x:f>
        <x:v>1</x:v>
      </x:c>
      <x:c r="I7257" s="6" t="n">
        <x:f>'Historical prices'!D7257</x:f>
        <x:v>0.4226</x:v>
      </x:c>
      <x:c r="J7257" s="13" t="n">
        <x:f>D7257*I7257*H7257</x:f>
        <x:v>0</x:v>
      </x:c>
      <x:c r="K7257" s="13" t="n">
        <x:f>E7257*I7257*H7257</x:f>
        <x:v>0.1977768</x:v>
      </x:c>
      <x:c r="L7257" s="1" t="str">
        <x:f>TEXT(A7257,"mmm yyyy")</x:f>
        <x:v>Oct 2026</x:v>
      </x:c>
    </x:row>
    <x:row r="7258" ht="21" customHeight="1">
      <x:c r="A7258" s="10" t="n">
        <x:v>46299</x:v>
      </x:c>
      <x:c r="B7258" s="1" t="n">
        <x:v>17</x:v>
      </x:c>
      <x:c r="C7258" s="1" t="n">
        <x:v>6</x:v>
      </x:c>
      <x:c r="D7258" s="12" t="n">
        <x:v>0</x:v>
      </x:c>
      <x:c r="E7258" s="12" t="n">
        <x:v>0.5020833333333333</x:v>
      </x:c>
      <x:c r="F7258" s="12" t="n">
        <x:v>0.5015</x:v>
      </x:c>
      <x:c r="G7258" s="12" t="n">
        <x:v>0</x:v>
      </x:c>
      <x:c r="H7258" s="1" t="n">
        <x:f>'Historical prices'!E7258</x:f>
        <x:v>1</x:v>
      </x:c>
      <x:c r="I7258" s="6" t="n">
        <x:f>'Historical prices'!D7258</x:f>
        <x:v>0.473</x:v>
      </x:c>
      <x:c r="J7258" s="13" t="n">
        <x:f>D7258*I7258*H7258</x:f>
        <x:v>0</x:v>
      </x:c>
      <x:c r="K7258" s="13" t="n">
        <x:f>E7258*I7258*H7258</x:f>
        <x:v>0.23748541666666664</x:v>
      </x:c>
      <x:c r="L7258" s="1" t="str">
        <x:f>TEXT(A7258,"mmm yyyy")</x:f>
        <x:v>Oct 2026</x:v>
      </x:c>
    </x:row>
    <x:row r="7259" ht="21" customHeight="1">
      <x:c r="A7259" s="10" t="n">
        <x:v>46299</x:v>
      </x:c>
      <x:c r="B7259" s="1" t="n">
        <x:v>17.5</x:v>
      </x:c>
      <x:c r="C7259" s="1" t="n">
        <x:v>6</x:v>
      </x:c>
      <x:c r="D7259" s="12" t="n">
        <x:v>0</x:v>
      </x:c>
      <x:c r="E7259" s="12" t="n">
        <x:v>0.5583333333333333</x:v>
      </x:c>
      <x:c r="F7259" s="12" t="n">
        <x:v>0.5575833333333333</x:v>
      </x:c>
      <x:c r="G7259" s="12" t="n">
        <x:v>0</x:v>
      </x:c>
      <x:c r="H7259" s="1" t="n">
        <x:f>'Historical prices'!E7259</x:f>
        <x:v>1</x:v>
      </x:c>
      <x:c r="I7259" s="6" t="n">
        <x:f>'Historical prices'!D7259</x:f>
        <x:v>0.494</x:v>
      </x:c>
      <x:c r="J7259" s="13" t="n">
        <x:f>D7259*I7259*H7259</x:f>
        <x:v>0</x:v>
      </x:c>
      <x:c r="K7259" s="13" t="n">
        <x:f>E7259*I7259*H7259</x:f>
        <x:v>0.27581666666666665</x:v>
      </x:c>
      <x:c r="L7259" s="1" t="str">
        <x:f>TEXT(A7259,"mmm yyyy")</x:f>
        <x:v>Oct 2026</x:v>
      </x:c>
    </x:row>
    <x:row r="7260" ht="21" customHeight="1">
      <x:c r="A7260" s="10" t="n">
        <x:v>46299</x:v>
      </x:c>
      <x:c r="B7260" s="1" t="n">
        <x:v>18</x:v>
      </x:c>
      <x:c r="C7260" s="1" t="n">
        <x:v>6</x:v>
      </x:c>
      <x:c r="D7260" s="12" t="n">
        <x:v>0</x:v>
      </x:c>
      <x:c r="E7260" s="12" t="n">
        <x:v>0.5983333333333334</x:v>
      </x:c>
      <x:c r="F7260" s="12" t="n">
        <x:v>0.5975833333333332</x:v>
      </x:c>
      <x:c r="G7260" s="12" t="n">
        <x:v>0</x:v>
      </x:c>
      <x:c r="H7260" s="1" t="n">
        <x:f>'Historical prices'!E7260</x:f>
        <x:v>1</x:v>
      </x:c>
      <x:c r="I7260" s="6" t="n">
        <x:f>'Historical prices'!D7260</x:f>
        <x:v>0.5004</x:v>
      </x:c>
      <x:c r="J7260" s="13" t="n">
        <x:f>D7260*I7260*H7260</x:f>
        <x:v>0</x:v>
      </x:c>
      <x:c r="K7260" s="13" t="n">
        <x:f>E7260*I7260*H7260</x:f>
        <x:v>0.299406</x:v>
      </x:c>
      <x:c r="L7260" s="1" t="str">
        <x:f>TEXT(A7260,"mmm yyyy")</x:f>
        <x:v>Oct 2026</x:v>
      </x:c>
    </x:row>
    <x:row r="7261" ht="21" customHeight="1">
      <x:c r="A7261" s="10" t="n">
        <x:v>46299</x:v>
      </x:c>
      <x:c r="B7261" s="1" t="n">
        <x:v>18.5</x:v>
      </x:c>
      <x:c r="C7261" s="1" t="n">
        <x:v>6</x:v>
      </x:c>
      <x:c r="D7261" s="12" t="n">
        <x:v>0</x:v>
      </x:c>
      <x:c r="E7261" s="12" t="n">
        <x:v>0.6628333333333333</x:v>
      </x:c>
      <x:c r="F7261" s="12" t="n">
        <x:v>0.6626666666666666</x:v>
      </x:c>
      <x:c r="G7261" s="12" t="n">
        <x:v>0</x:v>
      </x:c>
      <x:c r="H7261" s="1" t="n">
        <x:f>'Historical prices'!E7261</x:f>
        <x:v>1</x:v>
      </x:c>
      <x:c r="I7261" s="6" t="n">
        <x:f>'Historical prices'!D7261</x:f>
        <x:v>0.5057</x:v>
      </x:c>
      <x:c r="J7261" s="13" t="n">
        <x:f>D7261*I7261*H7261</x:f>
        <x:v>0</x:v>
      </x:c>
      <x:c r="K7261" s="13" t="n">
        <x:f>E7261*I7261*H7261</x:f>
        <x:v>0.3351948166666667</x:v>
      </x:c>
      <x:c r="L7261" s="1" t="str">
        <x:f>TEXT(A7261,"mmm yyyy")</x:f>
        <x:v>Oct 2026</x:v>
      </x:c>
    </x:row>
    <x:row r="7262" ht="21" customHeight="1">
      <x:c r="A7262" s="10" t="n">
        <x:v>46299</x:v>
      </x:c>
      <x:c r="B7262" s="1" t="n">
        <x:v>19</x:v>
      </x:c>
      <x:c r="C7262" s="1" t="n">
        <x:v>6</x:v>
      </x:c>
      <x:c r="D7262" s="12" t="n">
        <x:v>0</x:v>
      </x:c>
      <x:c r="E7262" s="12" t="n">
        <x:v>0.9121666666666666</x:v>
      </x:c>
      <x:c r="F7262" s="12" t="n">
        <x:v>0.9115833333333333</x:v>
      </x:c>
      <x:c r="G7262" s="12" t="n">
        <x:v>0</x:v>
      </x:c>
      <x:c r="H7262" s="1" t="n">
        <x:f>'Historical prices'!E7262</x:f>
        <x:v>1</x:v>
      </x:c>
      <x:c r="I7262" s="6" t="n">
        <x:f>'Historical prices'!D7262</x:f>
        <x:v>0.37829999999999997</x:v>
      </x:c>
      <x:c r="J7262" s="13" t="n">
        <x:f>D7262*I7262*H7262</x:f>
        <x:v>0</x:v>
      </x:c>
      <x:c r="K7262" s="13" t="n">
        <x:f>E7262*I7262*H7262</x:f>
        <x:v>0.3450726499999999</x:v>
      </x:c>
      <x:c r="L7262" s="1" t="str">
        <x:f>TEXT(A7262,"mmm yyyy")</x:f>
        <x:v>Oct 2026</x:v>
      </x:c>
    </x:row>
    <x:row r="7263" ht="21" customHeight="1">
      <x:c r="A7263" s="10" t="n">
        <x:v>46299</x:v>
      </x:c>
      <x:c r="B7263" s="1" t="n">
        <x:v>19.5</x:v>
      </x:c>
      <x:c r="C7263" s="1" t="n">
        <x:v>6</x:v>
      </x:c>
      <x:c r="D7263" s="12" t="n">
        <x:v>0</x:v>
      </x:c>
      <x:c r="E7263" s="12" t="n">
        <x:v>0.5908333333333333</x:v>
      </x:c>
      <x:c r="F7263" s="12" t="n">
        <x:v>0.5902499999999999</x:v>
      </x:c>
      <x:c r="G7263" s="12" t="n">
        <x:v>0</x:v>
      </x:c>
      <x:c r="H7263" s="1" t="n">
        <x:f>'Historical prices'!E7263</x:f>
        <x:v>1</x:v>
      </x:c>
      <x:c r="I7263" s="6" t="n">
        <x:f>'Historical prices'!D7263</x:f>
        <x:v>0.3638</x:v>
      </x:c>
      <x:c r="J7263" s="13" t="n">
        <x:f>D7263*I7263*H7263</x:f>
        <x:v>0</x:v>
      </x:c>
      <x:c r="K7263" s="13" t="n">
        <x:f>E7263*I7263*H7263</x:f>
        <x:v>0.21494516666666666</x:v>
      </x:c>
      <x:c r="L7263" s="1" t="str">
        <x:f>TEXT(A7263,"mmm yyyy")</x:f>
        <x:v>Oct 2026</x:v>
      </x:c>
    </x:row>
    <x:row r="7264" ht="21" customHeight="1">
      <x:c r="A7264" s="10" t="n">
        <x:v>46299</x:v>
      </x:c>
      <x:c r="B7264" s="1" t="n">
        <x:v>20</x:v>
      </x:c>
      <x:c r="C7264" s="1" t="n">
        <x:v>6</x:v>
      </x:c>
      <x:c r="D7264" s="12" t="n">
        <x:v>0</x:v>
      </x:c>
      <x:c r="E7264" s="12" t="n">
        <x:v>0.6553333333333333</x:v>
      </x:c>
      <x:c r="F7264" s="12" t="n">
        <x:v>0.6543333333333333</x:v>
      </x:c>
      <x:c r="G7264" s="12" t="n">
        <x:v>0</x:v>
      </x:c>
      <x:c r="H7264" s="1" t="n">
        <x:f>'Historical prices'!E7264</x:f>
        <x:v>1</x:v>
      </x:c>
      <x:c r="I7264" s="6" t="n">
        <x:f>'Historical prices'!D7264</x:f>
        <x:v>0.3602</x:v>
      </x:c>
      <x:c r="J7264" s="13" t="n">
        <x:f>D7264*I7264*H7264</x:f>
        <x:v>0</x:v>
      </x:c>
      <x:c r="K7264" s="13" t="n">
        <x:f>E7264*I7264*H7264</x:f>
        <x:v>0.23605106666666667</x:v>
      </x:c>
      <x:c r="L7264" s="1" t="str">
        <x:f>TEXT(A7264,"mmm yyyy")</x:f>
        <x:v>Oct 2026</x:v>
      </x:c>
    </x:row>
    <x:row r="7265" ht="21" customHeight="1">
      <x:c r="A7265" s="10" t="n">
        <x:v>46299</x:v>
      </x:c>
      <x:c r="B7265" s="1" t="n">
        <x:v>20.5</x:v>
      </x:c>
      <x:c r="C7265" s="1" t="n">
        <x:v>6</x:v>
      </x:c>
      <x:c r="D7265" s="12" t="n">
        <x:v>0</x:v>
      </x:c>
      <x:c r="E7265" s="12" t="n">
        <x:v>0.6711666666666667</x:v>
      </x:c>
      <x:c r="F7265" s="12" t="n">
        <x:v>0.671</x:v>
      </x:c>
      <x:c r="G7265" s="12" t="n">
        <x:v>0</x:v>
      </x:c>
      <x:c r="H7265" s="1" t="n">
        <x:f>'Historical prices'!E7265</x:f>
        <x:v>1</x:v>
      </x:c>
      <x:c r="I7265" s="6" t="n">
        <x:f>'Historical prices'!D7265</x:f>
        <x:v>0.33340000000000003</x:v>
      </x:c>
      <x:c r="J7265" s="13" t="n">
        <x:f>D7265*I7265*H7265</x:f>
        <x:v>0</x:v>
      </x:c>
      <x:c r="K7265" s="13" t="n">
        <x:f>E7265*I7265*H7265</x:f>
        <x:v>0.2237669666666667</x:v>
      </x:c>
      <x:c r="L7265" s="1" t="str">
        <x:f>TEXT(A7265,"mmm yyyy")</x:f>
        <x:v>Oct 2026</x:v>
      </x:c>
    </x:row>
    <x:row r="7266" ht="21" customHeight="1">
      <x:c r="A7266" s="10" t="n">
        <x:v>46299</x:v>
      </x:c>
      <x:c r="B7266" s="1" t="n">
        <x:v>21</x:v>
      </x:c>
      <x:c r="C7266" s="1" t="n">
        <x:v>6</x:v>
      </x:c>
      <x:c r="D7266" s="12" t="n">
        <x:v>0</x:v>
      </x:c>
      <x:c r="E7266" s="12" t="n">
        <x:v>1.1109166666666668</x:v>
      </x:c>
      <x:c r="F7266" s="12" t="n">
        <x:v>1.11025</x:v>
      </x:c>
      <x:c r="G7266" s="12" t="n">
        <x:v>0</x:v>
      </x:c>
      <x:c r="H7266" s="1" t="n">
        <x:f>'Historical prices'!E7266</x:f>
        <x:v>1</x:v>
      </x:c>
      <x:c r="I7266" s="6" t="n">
        <x:f>'Historical prices'!D7266</x:f>
        <x:v>0.3404</x:v>
      </x:c>
      <x:c r="J7266" s="13" t="n">
        <x:f>D7266*I7266*H7266</x:f>
        <x:v>0</x:v>
      </x:c>
      <x:c r="K7266" s="13" t="n">
        <x:f>E7266*I7266*H7266</x:f>
        <x:v>0.37815603333333336</x:v>
      </x:c>
      <x:c r="L7266" s="1" t="str">
        <x:f>TEXT(A7266,"mmm yyyy")</x:f>
        <x:v>Oct 2026</x:v>
      </x:c>
    </x:row>
    <x:row r="7267" ht="21" customHeight="1">
      <x:c r="A7267" s="10" t="n">
        <x:v>46299</x:v>
      </x:c>
      <x:c r="B7267" s="1" t="n">
        <x:v>21.5</x:v>
      </x:c>
      <x:c r="C7267" s="1" t="n">
        <x:v>6</x:v>
      </x:c>
      <x:c r="D7267" s="12" t="n">
        <x:v>0</x:v>
      </x:c>
      <x:c r="E7267" s="12" t="n">
        <x:v>0.3690833333333334</x:v>
      </x:c>
      <x:c r="F7267" s="12" t="n">
        <x:v>0.36833333333333335</x:v>
      </x:c>
      <x:c r="G7267" s="12" t="n">
        <x:v>0</x:v>
      </x:c>
      <x:c r="H7267" s="1" t="n">
        <x:f>'Historical prices'!E7267</x:f>
        <x:v>1</x:v>
      </x:c>
      <x:c r="I7267" s="6" t="n">
        <x:f>'Historical prices'!D7267</x:f>
        <x:v>0.3038</x:v>
      </x:c>
      <x:c r="J7267" s="13" t="n">
        <x:f>D7267*I7267*H7267</x:f>
        <x:v>0</x:v>
      </x:c>
      <x:c r="K7267" s="13" t="n">
        <x:f>E7267*I7267*H7267</x:f>
        <x:v>0.11212751666666669</x:v>
      </x:c>
      <x:c r="L7267" s="1" t="str">
        <x:f>TEXT(A7267,"mmm yyyy")</x:f>
        <x:v>Oct 2026</x:v>
      </x:c>
    </x:row>
    <x:row r="7268" ht="21" customHeight="1">
      <x:c r="A7268" s="10" t="n">
        <x:v>46299</x:v>
      </x:c>
      <x:c r="B7268" s="1" t="n">
        <x:v>22</x:v>
      </x:c>
      <x:c r="C7268" s="1" t="n">
        <x:v>6</x:v>
      </x:c>
      <x:c r="D7268" s="12" t="n">
        <x:v>0</x:v>
      </x:c>
      <x:c r="E7268" s="12" t="n">
        <x:v>0.35925</x:v>
      </x:c>
      <x:c r="F7268" s="12" t="n">
        <x:v>0.3586666666666667</x:v>
      </x:c>
      <x:c r="G7268" s="12" t="n">
        <x:v>0</x:v>
      </x:c>
      <x:c r="H7268" s="1" t="n">
        <x:f>'Historical prices'!E7268</x:f>
        <x:v>1</x:v>
      </x:c>
      <x:c r="I7268" s="6" t="n">
        <x:f>'Historical prices'!D7268</x:f>
        <x:v>0.2832</x:v>
      </x:c>
      <x:c r="J7268" s="13" t="n">
        <x:f>D7268*I7268*H7268</x:f>
        <x:v>0</x:v>
      </x:c>
      <x:c r="K7268" s="13" t="n">
        <x:f>E7268*I7268*H7268</x:f>
        <x:v>0.10173960000000001</x:v>
      </x:c>
      <x:c r="L7268" s="1" t="str">
        <x:f>TEXT(A7268,"mmm yyyy")</x:f>
        <x:v>Oct 2026</x:v>
      </x:c>
    </x:row>
    <x:row r="7269" ht="21" customHeight="1">
      <x:c r="A7269" s="10" t="n">
        <x:v>46299</x:v>
      </x:c>
      <x:c r="B7269" s="1" t="n">
        <x:v>22.5</x:v>
      </x:c>
      <x:c r="C7269" s="1" t="n">
        <x:v>6</x:v>
      </x:c>
      <x:c r="D7269" s="12" t="n">
        <x:v>0</x:v>
      </x:c>
      <x:c r="E7269" s="12" t="n">
        <x:v>0.2909166666666667</x:v>
      </x:c>
      <x:c r="F7269" s="12" t="n">
        <x:v>0.2905</x:v>
      </x:c>
      <x:c r="G7269" s="12" t="n">
        <x:v>0</x:v>
      </x:c>
      <x:c r="H7269" s="1" t="n">
        <x:f>'Historical prices'!E7269</x:f>
        <x:v>1</x:v>
      </x:c>
      <x:c r="I7269" s="6" t="n">
        <x:f>'Historical prices'!D7269</x:f>
        <x:v>0.2643</x:v>
      </x:c>
      <x:c r="J7269" s="13" t="n">
        <x:f>D7269*I7269*H7269</x:f>
        <x:v>0</x:v>
      </x:c>
      <x:c r="K7269" s="13" t="n">
        <x:f>E7269*I7269*H7269</x:f>
        <x:v>0.076889275</x:v>
      </x:c>
      <x:c r="L7269" s="1" t="str">
        <x:f>TEXT(A7269,"mmm yyyy")</x:f>
        <x:v>Oct 2026</x:v>
      </x:c>
    </x:row>
    <x:row r="7270" ht="21" customHeight="1">
      <x:c r="A7270" s="10" t="n">
        <x:v>46299</x:v>
      </x:c>
      <x:c r="B7270" s="1" t="n">
        <x:v>23</x:v>
      </x:c>
      <x:c r="C7270" s="1" t="n">
        <x:v>6</x:v>
      </x:c>
      <x:c r="D7270" s="12" t="n">
        <x:v>0</x:v>
      </x:c>
      <x:c r="E7270" s="12" t="n">
        <x:v>0.29383333333333334</x:v>
      </x:c>
      <x:c r="F7270" s="12" t="n">
        <x:v>0.29333333333333333</x:v>
      </x:c>
      <x:c r="G7270" s="12" t="n">
        <x:v>0</x:v>
      </x:c>
      <x:c r="H7270" s="1" t="n">
        <x:f>'Historical prices'!E7270</x:f>
        <x:v>1</x:v>
      </x:c>
      <x:c r="I7270" s="6" t="n">
        <x:f>'Historical prices'!D7270</x:f>
        <x:v>0.2529</x:v>
      </x:c>
      <x:c r="J7270" s="13" t="n">
        <x:f>D7270*I7270*H7270</x:f>
        <x:v>0</x:v>
      </x:c>
      <x:c r="K7270" s="13" t="n">
        <x:f>E7270*I7270*H7270</x:f>
        <x:v>0.07431045</x:v>
      </x:c>
      <x:c r="L7270" s="1" t="str">
        <x:f>TEXT(A7270,"mmm yyyy")</x:f>
        <x:v>Oct 2026</x:v>
      </x:c>
    </x:row>
    <x:row r="7271" ht="21" customHeight="1">
      <x:c r="A7271" s="10" t="n">
        <x:v>46299</x:v>
      </x:c>
      <x:c r="B7271" s="1" t="n">
        <x:v>23.5</x:v>
      </x:c>
      <x:c r="C7271" s="1" t="n">
        <x:v>6</x:v>
      </x:c>
      <x:c r="D7271" s="12" t="n">
        <x:v>0</x:v>
      </x:c>
      <x:c r="E7271" s="12" t="n">
        <x:v>0.32083333333333336</x:v>
      </x:c>
      <x:c r="F7271" s="12" t="n">
        <x:v>0.32025</x:v>
      </x:c>
      <x:c r="G7271" s="12" t="n">
        <x:v>0</x:v>
      </x:c>
      <x:c r="H7271" s="1" t="n">
        <x:f>'Historical prices'!E7271</x:f>
        <x:v>1</x:v>
      </x:c>
      <x:c r="I7271" s="6" t="n">
        <x:f>'Historical prices'!D7271</x:f>
        <x:v>0.2395</x:v>
      </x:c>
      <x:c r="J7271" s="13" t="n">
        <x:f>D7271*I7271*H7271</x:f>
        <x:v>0</x:v>
      </x:c>
      <x:c r="K7271" s="13" t="n">
        <x:f>E7271*I7271*H7271</x:f>
        <x:v>0.07683958333333334</x:v>
      </x:c>
      <x:c r="L7271" s="1" t="str">
        <x:f>TEXT(A7271,"mmm yyyy")</x:f>
        <x:v>Oct 2026</x:v>
      </x:c>
    </x:row>
    <x:row r="7272" ht="21" customHeight="1">
      <x:c r="A7272" s="10" t="n">
        <x:v>46300</x:v>
      </x:c>
      <x:c r="B7272" s="1" t="n">
        <x:v>0</x:v>
      </x:c>
      <x:c r="C7272" s="1" t="n">
        <x:v>6</x:v>
      </x:c>
      <x:c r="D7272" s="12" t="n">
        <x:v>0</x:v>
      </x:c>
      <x:c r="E7272" s="12" t="n">
        <x:v>0.27316666666666667</x:v>
      </x:c>
      <x:c r="F7272" s="12" t="n">
        <x:v>0.27275</x:v>
      </x:c>
      <x:c r="G7272" s="12" t="n">
        <x:v>0</x:v>
      </x:c>
      <x:c r="H7272" s="1" t="n">
        <x:f>'Historical prices'!E7272</x:f>
        <x:v>1</x:v>
      </x:c>
      <x:c r="I7272" s="6" t="n">
        <x:f>'Historical prices'!D7272</x:f>
        <x:v>0.22440000000000002</x:v>
      </x:c>
      <x:c r="J7272" s="13" t="n">
        <x:f>D7272*I7272*H7272</x:f>
        <x:v>0</x:v>
      </x:c>
      <x:c r="K7272" s="13" t="n">
        <x:f>E7272*I7272*H7272</x:f>
        <x:v>0.0612986</x:v>
      </x:c>
      <x:c r="L7272" s="1" t="str">
        <x:f>TEXT(A7272,"mmm yyyy")</x:f>
        <x:v>Oct 2026</x:v>
      </x:c>
    </x:row>
    <x:row r="7273" ht="21" customHeight="1">
      <x:c r="A7273" s="10" t="n">
        <x:v>46300</x:v>
      </x:c>
      <x:c r="B7273" s="1" t="n">
        <x:v>0.5</x:v>
      </x:c>
      <x:c r="C7273" s="1" t="n">
        <x:v>6</x:v>
      </x:c>
      <x:c r="D7273" s="12" t="n">
        <x:v>0</x:v>
      </x:c>
      <x:c r="E7273" s="12" t="n">
        <x:v>0.35924999999999996</x:v>
      </x:c>
      <x:c r="F7273" s="12" t="n">
        <x:v>0.35866666666666663</x:v>
      </x:c>
      <x:c r="G7273" s="12" t="n">
        <x:v>0</x:v>
      </x:c>
      <x:c r="H7273" s="1" t="n">
        <x:f>'Historical prices'!E7273</x:f>
        <x:v>1</x:v>
      </x:c>
      <x:c r="I7273" s="6" t="n">
        <x:f>'Historical prices'!D7273</x:f>
        <x:v>0.2181</x:v>
      </x:c>
      <x:c r="J7273" s="13" t="n">
        <x:f>D7273*I7273*H7273</x:f>
        <x:v>0</x:v>
      </x:c>
      <x:c r="K7273" s="13" t="n">
        <x:f>E7273*I7273*H7273</x:f>
        <x:v>0.07835242499999999</x:v>
      </x:c>
      <x:c r="L7273" s="1" t="str">
        <x:f>TEXT(A7273,"mmm yyyy")</x:f>
        <x:v>Oct 2026</x:v>
      </x:c>
    </x:row>
    <x:row r="7274" ht="21" customHeight="1">
      <x:c r="A7274" s="10" t="n">
        <x:v>46300</x:v>
      </x:c>
      <x:c r="B7274" s="1" t="n">
        <x:v>1</x:v>
      </x:c>
      <x:c r="C7274" s="1" t="n">
        <x:v>6</x:v>
      </x:c>
      <x:c r="D7274" s="12" t="n">
        <x:v>0</x:v>
      </x:c>
      <x:c r="E7274" s="12" t="n">
        <x:v>0.31999999999999995</x:v>
      </x:c>
      <x:c r="F7274" s="12" t="n">
        <x:v>0.3193333333333333</x:v>
      </x:c>
      <x:c r="G7274" s="12" t="n">
        <x:v>0</x:v>
      </x:c>
      <x:c r="H7274" s="1" t="n">
        <x:f>'Historical prices'!E7274</x:f>
        <x:v>1</x:v>
      </x:c>
      <x:c r="I7274" s="6" t="n">
        <x:f>'Historical prices'!D7274</x:f>
        <x:v>0.2152</x:v>
      </x:c>
      <x:c r="J7274" s="13" t="n">
        <x:f>D7274*I7274*H7274</x:f>
        <x:v>0</x:v>
      </x:c>
      <x:c r="K7274" s="13" t="n">
        <x:f>E7274*I7274*H7274</x:f>
        <x:v>0.068864</x:v>
      </x:c>
      <x:c r="L7274" s="1" t="str">
        <x:f>TEXT(A7274,"mmm yyyy")</x:f>
        <x:v>Oct 2026</x:v>
      </x:c>
    </x:row>
    <x:row r="7275" ht="21" customHeight="1">
      <x:c r="A7275" s="10" t="n">
        <x:v>46300</x:v>
      </x:c>
      <x:c r="B7275" s="1" t="n">
        <x:v>1.5</x:v>
      </x:c>
      <x:c r="C7275" s="1" t="n">
        <x:v>6</x:v>
      </x:c>
      <x:c r="D7275" s="12" t="n">
        <x:v>0</x:v>
      </x:c>
      <x:c r="E7275" s="12" t="n">
        <x:v>0.2904166666666667</x:v>
      </x:c>
      <x:c r="F7275" s="12" t="n">
        <x:v>0.28991666666666666</x:v>
      </x:c>
      <x:c r="G7275" s="12" t="n">
        <x:v>0</x:v>
      </x:c>
      <x:c r="H7275" s="1" t="n">
        <x:f>'Historical prices'!E7275</x:f>
        <x:v>1</x:v>
      </x:c>
      <x:c r="I7275" s="6" t="n">
        <x:f>'Historical prices'!D7275</x:f>
        <x:v>0.2194</x:v>
      </x:c>
      <x:c r="J7275" s="13" t="n">
        <x:f>D7275*I7275*H7275</x:f>
        <x:v>0</x:v>
      </x:c>
      <x:c r="K7275" s="13" t="n">
        <x:f>E7275*I7275*H7275</x:f>
        <x:v>0.06371741666666668</x:v>
      </x:c>
      <x:c r="L7275" s="1" t="str">
        <x:f>TEXT(A7275,"mmm yyyy")</x:f>
        <x:v>Oct 2026</x:v>
      </x:c>
    </x:row>
    <x:row r="7276" ht="21" customHeight="1">
      <x:c r="A7276" s="10" t="n">
        <x:v>46300</x:v>
      </x:c>
      <x:c r="B7276" s="1" t="n">
        <x:v>2</x:v>
      </x:c>
      <x:c r="C7276" s="1" t="n">
        <x:v>6</x:v>
      </x:c>
      <x:c r="D7276" s="12" t="n">
        <x:v>0</x:v>
      </x:c>
      <x:c r="E7276" s="12" t="n">
        <x:v>0.3100833333333333</x:v>
      </x:c>
      <x:c r="F7276" s="12" t="n">
        <x:v>0.3094166666666666</x:v>
      </x:c>
      <x:c r="G7276" s="12" t="n">
        <x:v>0</x:v>
      </x:c>
      <x:c r="H7276" s="1" t="n">
        <x:f>'Historical prices'!E7276</x:f>
        <x:v>1</x:v>
      </x:c>
      <x:c r="I7276" s="6" t="n">
        <x:f>'Historical prices'!D7276</x:f>
        <x:v>0.2227</x:v>
      </x:c>
      <x:c r="J7276" s="13" t="n">
        <x:f>D7276*I7276*H7276</x:f>
        <x:v>0</x:v>
      </x:c>
      <x:c r="K7276" s="13" t="n">
        <x:f>E7276*I7276*H7276</x:f>
        <x:v>0.06905555833333334</x:v>
      </x:c>
      <x:c r="L7276" s="1" t="str">
        <x:f>TEXT(A7276,"mmm yyyy")</x:f>
        <x:v>Oct 2026</x:v>
      </x:c>
    </x:row>
    <x:row r="7277" ht="21" customHeight="1">
      <x:c r="A7277" s="10" t="n">
        <x:v>46300</x:v>
      </x:c>
      <x:c r="B7277" s="1" t="n">
        <x:v>2.5</x:v>
      </x:c>
      <x:c r="C7277" s="1" t="n">
        <x:v>6</x:v>
      </x:c>
      <x:c r="D7277" s="12" t="n">
        <x:v>0</x:v>
      </x:c>
      <x:c r="E7277" s="12" t="n">
        <x:v>0.306</x:v>
      </x:c>
      <x:c r="F7277" s="12" t="n">
        <x:v>0.30524999999999997</x:v>
      </x:c>
      <x:c r="G7277" s="12" t="n">
        <x:v>0</x:v>
      </x:c>
      <x:c r="H7277" s="1" t="n">
        <x:f>'Historical prices'!E7277</x:f>
        <x:v>1</x:v>
      </x:c>
      <x:c r="I7277" s="6" t="n">
        <x:f>'Historical prices'!D7277</x:f>
        <x:v>0.2234</x:v>
      </x:c>
      <x:c r="J7277" s="13" t="n">
        <x:f>D7277*I7277*H7277</x:f>
        <x:v>0</x:v>
      </x:c>
      <x:c r="K7277" s="13" t="n">
        <x:f>E7277*I7277*H7277</x:f>
        <x:v>0.0683604</x:v>
      </x:c>
      <x:c r="L7277" s="1" t="str">
        <x:f>TEXT(A7277,"mmm yyyy")</x:f>
        <x:v>Oct 2026</x:v>
      </x:c>
    </x:row>
    <x:row r="7278" ht="21" customHeight="1">
      <x:c r="A7278" s="10" t="n">
        <x:v>46300</x:v>
      </x:c>
      <x:c r="B7278" s="1" t="n">
        <x:v>3</x:v>
      </x:c>
      <x:c r="C7278" s="1" t="n">
        <x:v>6</x:v>
      </x:c>
      <x:c r="D7278" s="12" t="n">
        <x:v>0</x:v>
      </x:c>
      <x:c r="E7278" s="12" t="n">
        <x:v>0.28091666666666665</x:v>
      </x:c>
      <x:c r="F7278" s="12" t="n">
        <x:v>0.2803333333333333</x:v>
      </x:c>
      <x:c r="G7278" s="12" t="n">
        <x:v>0</x:v>
      </x:c>
      <x:c r="H7278" s="1" t="n">
        <x:f>'Historical prices'!E7278</x:f>
        <x:v>1</x:v>
      </x:c>
      <x:c r="I7278" s="6" t="n">
        <x:f>'Historical prices'!D7278</x:f>
        <x:v>0.2218</x:v>
      </x:c>
      <x:c r="J7278" s="13" t="n">
        <x:f>D7278*I7278*H7278</x:f>
        <x:v>0</x:v>
      </x:c>
      <x:c r="K7278" s="13" t="n">
        <x:f>E7278*I7278*H7278</x:f>
        <x:v>0.06230731666666666</x:v>
      </x:c>
      <x:c r="L7278" s="1" t="str">
        <x:f>TEXT(A7278,"mmm yyyy")</x:f>
        <x:v>Oct 2026</x:v>
      </x:c>
    </x:row>
    <x:row r="7279" ht="21" customHeight="1">
      <x:c r="A7279" s="10" t="n">
        <x:v>46300</x:v>
      </x:c>
      <x:c r="B7279" s="1" t="n">
        <x:v>3.5</x:v>
      </x:c>
      <x:c r="C7279" s="1" t="n">
        <x:v>6</x:v>
      </x:c>
      <x:c r="D7279" s="12" t="n">
        <x:v>0</x:v>
      </x:c>
      <x:c r="E7279" s="12" t="n">
        <x:v>0.31575</x:v>
      </x:c>
      <x:c r="F7279" s="12" t="n">
        <x:v>0.31266666666666665</x:v>
      </x:c>
      <x:c r="G7279" s="12" t="n">
        <x:v>0</x:v>
      </x:c>
      <x:c r="H7279" s="1" t="n">
        <x:f>'Historical prices'!E7279</x:f>
        <x:v>1</x:v>
      </x:c>
      <x:c r="I7279" s="6" t="n">
        <x:f>'Historical prices'!D7279</x:f>
        <x:v>0.2169</x:v>
      </x:c>
      <x:c r="J7279" s="13" t="n">
        <x:f>D7279*I7279*H7279</x:f>
        <x:v>0</x:v>
      </x:c>
      <x:c r="K7279" s="13" t="n">
        <x:f>E7279*I7279*H7279</x:f>
        <x:v>0.068486175</x:v>
      </x:c>
      <x:c r="L7279" s="1" t="str">
        <x:f>TEXT(A7279,"mmm yyyy")</x:f>
        <x:v>Oct 2026</x:v>
      </x:c>
    </x:row>
    <x:row r="7280" ht="21" customHeight="1">
      <x:c r="A7280" s="10" t="n">
        <x:v>46300</x:v>
      </x:c>
      <x:c r="B7280" s="1" t="n">
        <x:v>4</x:v>
      </x:c>
      <x:c r="C7280" s="1" t="n">
        <x:v>6</x:v>
      </x:c>
      <x:c r="D7280" s="12" t="n">
        <x:v>0</x:v>
      </x:c>
      <x:c r="E7280" s="12" t="n">
        <x:v>0.3309166666666667</x:v>
      </x:c>
      <x:c r="F7280" s="12" t="n">
        <x:v>0.32466666666666666</x:v>
      </x:c>
      <x:c r="G7280" s="12" t="n">
        <x:v>0</x:v>
      </x:c>
      <x:c r="H7280" s="1" t="n">
        <x:f>'Historical prices'!E7280</x:f>
        <x:v>1</x:v>
      </x:c>
      <x:c r="I7280" s="6" t="n">
        <x:f>'Historical prices'!D7280</x:f>
        <x:v>0.2281</x:v>
      </x:c>
      <x:c r="J7280" s="13" t="n">
        <x:f>D7280*I7280*H7280</x:f>
        <x:v>0</x:v>
      </x:c>
      <x:c r="K7280" s="13" t="n">
        <x:f>E7280*I7280*H7280</x:f>
        <x:v>0.07548209166666667</x:v>
      </x:c>
      <x:c r="L7280" s="1" t="str">
        <x:f>TEXT(A7280,"mmm yyyy")</x:f>
        <x:v>Oct 2026</x:v>
      </x:c>
    </x:row>
    <x:row r="7281" ht="21" customHeight="1">
      <x:c r="A7281" s="10" t="n">
        <x:v>46300</x:v>
      </x:c>
      <x:c r="B7281" s="1" t="n">
        <x:v>4.5</x:v>
      </x:c>
      <x:c r="C7281" s="1" t="n">
        <x:v>6</x:v>
      </x:c>
      <x:c r="D7281" s="12" t="n">
        <x:v>0</x:v>
      </x:c>
      <x:c r="E7281" s="12" t="n">
        <x:v>0.26625</x:v>
      </x:c>
      <x:c r="F7281" s="12" t="n">
        <x:v>0.26458333333333334</x:v>
      </x:c>
      <x:c r="G7281" s="12" t="n">
        <x:v>0</x:v>
      </x:c>
      <x:c r="H7281" s="1" t="n">
        <x:f>'Historical prices'!E7281</x:f>
        <x:v>1</x:v>
      </x:c>
      <x:c r="I7281" s="6" t="n">
        <x:f>'Historical prices'!D7281</x:f>
        <x:v>0.2303</x:v>
      </x:c>
      <x:c r="J7281" s="13" t="n">
        <x:f>D7281*I7281*H7281</x:f>
        <x:v>0</x:v>
      </x:c>
      <x:c r="K7281" s="13" t="n">
        <x:f>E7281*I7281*H7281</x:f>
        <x:v>0.061317375</x:v>
      </x:c>
      <x:c r="L7281" s="1" t="str">
        <x:f>TEXT(A7281,"mmm yyyy")</x:f>
        <x:v>Oct 2026</x:v>
      </x:c>
    </x:row>
    <x:row r="7282" ht="21" customHeight="1">
      <x:c r="A7282" s="10" t="n">
        <x:v>46300</x:v>
      </x:c>
      <x:c r="B7282" s="1" t="n">
        <x:v>5</x:v>
      </x:c>
      <x:c r="C7282" s="1" t="n">
        <x:v>6</x:v>
      </x:c>
      <x:c r="D7282" s="12" t="n">
        <x:v>0</x:v>
      </x:c>
      <x:c r="E7282" s="12" t="n">
        <x:v>0.31533333333333335</x:v>
      </x:c>
      <x:c r="F7282" s="12" t="n">
        <x:v>0.31466666666666665</x:v>
      </x:c>
      <x:c r="G7282" s="12" t="n">
        <x:v>0</x:v>
      </x:c>
      <x:c r="H7282" s="1" t="n">
        <x:f>'Historical prices'!E7282</x:f>
        <x:v>1</x:v>
      </x:c>
      <x:c r="I7282" s="6" t="n">
        <x:f>'Historical prices'!D7282</x:f>
        <x:v>0.2501</x:v>
      </x:c>
      <x:c r="J7282" s="13" t="n">
        <x:f>D7282*I7282*H7282</x:f>
        <x:v>0</x:v>
      </x:c>
      <x:c r="K7282" s="13" t="n">
        <x:f>E7282*I7282*H7282</x:f>
        <x:v>0.07886486666666667</x:v>
      </x:c>
      <x:c r="L7282" s="1" t="str">
        <x:f>TEXT(A7282,"mmm yyyy")</x:f>
        <x:v>Oct 2026</x:v>
      </x:c>
    </x:row>
    <x:row r="7283" ht="21" customHeight="1">
      <x:c r="A7283" s="10" t="n">
        <x:v>46300</x:v>
      </x:c>
      <x:c r="B7283" s="1" t="n">
        <x:v>5.5</x:v>
      </x:c>
      <x:c r="C7283" s="1" t="n">
        <x:v>6</x:v>
      </x:c>
      <x:c r="D7283" s="12" t="n">
        <x:v>0</x:v>
      </x:c>
      <x:c r="E7283" s="12" t="n">
        <x:v>0.4845833333333333</x:v>
      </x:c>
      <x:c r="F7283" s="12" t="n">
        <x:v>0.48274999999999996</x:v>
      </x:c>
      <x:c r="G7283" s="12" t="n">
        <x:v>0</x:v>
      </x:c>
      <x:c r="H7283" s="1" t="n">
        <x:f>'Historical prices'!E7283</x:f>
        <x:v>1</x:v>
      </x:c>
      <x:c r="I7283" s="6" t="n">
        <x:f>'Historical prices'!D7283</x:f>
        <x:v>0.2281</x:v>
      </x:c>
      <x:c r="J7283" s="13" t="n">
        <x:f>D7283*I7283*H7283</x:f>
        <x:v>0</x:v>
      </x:c>
      <x:c r="K7283" s="13" t="n">
        <x:f>E7283*I7283*H7283</x:f>
        <x:v>0.11053345833333332</x:v>
      </x:c>
      <x:c r="L7283" s="1" t="str">
        <x:f>TEXT(A7283,"mmm yyyy")</x:f>
        <x:v>Oct 2026</x:v>
      </x:c>
    </x:row>
    <x:row r="7284" ht="21" customHeight="1">
      <x:c r="A7284" s="10" t="n">
        <x:v>46300</x:v>
      </x:c>
      <x:c r="B7284" s="1" t="n">
        <x:v>6</x:v>
      </x:c>
      <x:c r="C7284" s="1" t="n">
        <x:v>6</x:v>
      </x:c>
      <x:c r="D7284" s="12" t="n">
        <x:v>0</x:v>
      </x:c>
      <x:c r="E7284" s="12" t="n">
        <x:v>0.5258333333333333</x:v>
      </x:c>
      <x:c r="F7284" s="12" t="n">
        <x:v>0.5255</x:v>
      </x:c>
      <x:c r="G7284" s="12" t="n">
        <x:v>0</x:v>
      </x:c>
      <x:c r="H7284" s="1" t="n">
        <x:f>'Historical prices'!E7284</x:f>
        <x:v>1</x:v>
      </x:c>
      <x:c r="I7284" s="6" t="n">
        <x:f>'Historical prices'!D7284</x:f>
        <x:v>0.2489</x:v>
      </x:c>
      <x:c r="J7284" s="13" t="n">
        <x:f>D7284*I7284*H7284</x:f>
        <x:v>0</x:v>
      </x:c>
      <x:c r="K7284" s="13" t="n">
        <x:f>E7284*I7284*H7284</x:f>
        <x:v>0.13087991666666665</x:v>
      </x:c>
      <x:c r="L7284" s="1" t="str">
        <x:f>TEXT(A7284,"mmm yyyy")</x:f>
        <x:v>Oct 2026</x:v>
      </x:c>
    </x:row>
    <x:row r="7285" ht="21" customHeight="1">
      <x:c r="A7285" s="10" t="n">
        <x:v>46300</x:v>
      </x:c>
      <x:c r="B7285" s="1" t="n">
        <x:v>6.5</x:v>
      </x:c>
      <x:c r="C7285" s="1" t="n">
        <x:v>6</x:v>
      </x:c>
      <x:c r="D7285" s="12" t="n">
        <x:v>0</x:v>
      </x:c>
      <x:c r="E7285" s="12" t="n">
        <x:v>0.5270833333333333</x:v>
      </x:c>
      <x:c r="F7285" s="12" t="n">
        <x:v>0.5267499999999999</x:v>
      </x:c>
      <x:c r="G7285" s="12" t="n">
        <x:v>0</x:v>
      </x:c>
      <x:c r="H7285" s="1" t="n">
        <x:f>'Historical prices'!E7285</x:f>
        <x:v>1</x:v>
      </x:c>
      <x:c r="I7285" s="6" t="n">
        <x:f>'Historical prices'!D7285</x:f>
        <x:v>0.311</x:v>
      </x:c>
      <x:c r="J7285" s="13" t="n">
        <x:f>D7285*I7285*H7285</x:f>
        <x:v>0</x:v>
      </x:c>
      <x:c r="K7285" s="13" t="n">
        <x:f>E7285*I7285*H7285</x:f>
        <x:v>0.16392291666666667</x:v>
      </x:c>
      <x:c r="L7285" s="1" t="str">
        <x:f>TEXT(A7285,"mmm yyyy")</x:f>
        <x:v>Oct 2026</x:v>
      </x:c>
    </x:row>
    <x:row r="7286" ht="21" customHeight="1">
      <x:c r="A7286" s="10" t="n">
        <x:v>46300</x:v>
      </x:c>
      <x:c r="B7286" s="1" t="n">
        <x:v>7</x:v>
      </x:c>
      <x:c r="C7286" s="1" t="n">
        <x:v>6</x:v>
      </x:c>
      <x:c r="D7286" s="12" t="n">
        <x:v>0</x:v>
      </x:c>
      <x:c r="E7286" s="12" t="n">
        <x:v>0.6268333333333334</x:v>
      </x:c>
      <x:c r="F7286" s="12" t="n">
        <x:v>0.6264166666666666</x:v>
      </x:c>
      <x:c r="G7286" s="12" t="n">
        <x:v>0</x:v>
      </x:c>
      <x:c r="H7286" s="1" t="n">
        <x:f>'Historical prices'!E7286</x:f>
        <x:v>1</x:v>
      </x:c>
      <x:c r="I7286" s="6" t="n">
        <x:f>'Historical prices'!D7286</x:f>
        <x:v>0.3086</x:v>
      </x:c>
      <x:c r="J7286" s="13" t="n">
        <x:f>D7286*I7286*H7286</x:f>
        <x:v>0</x:v>
      </x:c>
      <x:c r="K7286" s="13" t="n">
        <x:f>E7286*I7286*H7286</x:f>
        <x:v>0.19344076666666665</x:v>
      </x:c>
      <x:c r="L7286" s="1" t="str">
        <x:f>TEXT(A7286,"mmm yyyy")</x:f>
        <x:v>Oct 2026</x:v>
      </x:c>
    </x:row>
    <x:row r="7287" ht="21" customHeight="1">
      <x:c r="A7287" s="10" t="n">
        <x:v>46300</x:v>
      </x:c>
      <x:c r="B7287" s="1" t="n">
        <x:v>7.5</x:v>
      </x:c>
      <x:c r="C7287" s="1" t="n">
        <x:v>6</x:v>
      </x:c>
      <x:c r="D7287" s="12" t="n">
        <x:v>0</x:v>
      </x:c>
      <x:c r="E7287" s="12" t="n">
        <x:v>0.47925</x:v>
      </x:c>
      <x:c r="F7287" s="12" t="n">
        <x:v>0.47875000000000006</x:v>
      </x:c>
      <x:c r="G7287" s="12" t="n">
        <x:v>0</x:v>
      </x:c>
      <x:c r="H7287" s="1" t="n">
        <x:f>'Historical prices'!E7287</x:f>
        <x:v>1</x:v>
      </x:c>
      <x:c r="I7287" s="6" t="n">
        <x:f>'Historical prices'!D7287</x:f>
        <x:v>0.35509999999999997</x:v>
      </x:c>
      <x:c r="J7287" s="13" t="n">
        <x:f>D7287*I7287*H7287</x:f>
        <x:v>0</x:v>
      </x:c>
      <x:c r="K7287" s="13" t="n">
        <x:f>E7287*I7287*H7287</x:f>
        <x:v>0.17018167499999998</x:v>
      </x:c>
      <x:c r="L7287" s="1" t="str">
        <x:f>TEXT(A7287,"mmm yyyy")</x:f>
        <x:v>Oct 2026</x:v>
      </x:c>
    </x:row>
    <x:row r="7288" ht="21" customHeight="1">
      <x:c r="A7288" s="10" t="n">
        <x:v>46300</x:v>
      </x:c>
      <x:c r="B7288" s="1" t="n">
        <x:v>8</x:v>
      </x:c>
      <x:c r="C7288" s="1" t="n">
        <x:v>6</x:v>
      </x:c>
      <x:c r="D7288" s="12" t="n">
        <x:v>0</x:v>
      </x:c>
      <x:c r="E7288" s="12" t="n">
        <x:v>0.5121666666666667</x:v>
      </x:c>
      <x:c r="F7288" s="12" t="n">
        <x:v>0.5118333333333334</x:v>
      </x:c>
      <x:c r="G7288" s="12" t="n">
        <x:v>0</x:v>
      </x:c>
      <x:c r="H7288" s="1" t="n">
        <x:f>'Historical prices'!E7288</x:f>
        <x:v>1</x:v>
      </x:c>
      <x:c r="I7288" s="6" t="n">
        <x:f>'Historical prices'!D7288</x:f>
        <x:v>0.2967</x:v>
      </x:c>
      <x:c r="J7288" s="13" t="n">
        <x:f>D7288*I7288*H7288</x:f>
        <x:v>0</x:v>
      </x:c>
      <x:c r="K7288" s="13" t="n">
        <x:f>E7288*I7288*H7288</x:f>
        <x:v>0.15195985</x:v>
      </x:c>
      <x:c r="L7288" s="1" t="str">
        <x:f>TEXT(A7288,"mmm yyyy")</x:f>
        <x:v>Oct 2026</x:v>
      </x:c>
    </x:row>
    <x:row r="7289" ht="21" customHeight="1">
      <x:c r="A7289" s="10" t="n">
        <x:v>46300</x:v>
      </x:c>
      <x:c r="B7289" s="1" t="n">
        <x:v>8.5</x:v>
      </x:c>
      <x:c r="C7289" s="1" t="n">
        <x:v>6</x:v>
      </x:c>
      <x:c r="D7289" s="12" t="n">
        <x:v>0</x:v>
      </x:c>
      <x:c r="E7289" s="12" t="n">
        <x:v>1.21975</x:v>
      </x:c>
      <x:c r="F7289" s="12" t="n">
        <x:v>1.2195833333333335</x:v>
      </x:c>
      <x:c r="G7289" s="12" t="n">
        <x:v>0</x:v>
      </x:c>
      <x:c r="H7289" s="1" t="n">
        <x:f>'Historical prices'!E7289</x:f>
        <x:v>1</x:v>
      </x:c>
      <x:c r="I7289" s="6" t="n">
        <x:f>'Historical prices'!D7289</x:f>
        <x:v>0.2874</x:v>
      </x:c>
      <x:c r="J7289" s="13" t="n">
        <x:f>D7289*I7289*H7289</x:f>
        <x:v>0</x:v>
      </x:c>
      <x:c r="K7289" s="13" t="n">
        <x:f>E7289*I7289*H7289</x:f>
        <x:v>0.35055614999999996</x:v>
      </x:c>
      <x:c r="L7289" s="1" t="str">
        <x:f>TEXT(A7289,"mmm yyyy")</x:f>
        <x:v>Oct 2026</x:v>
      </x:c>
    </x:row>
    <x:row r="7290" ht="21" customHeight="1">
      <x:c r="A7290" s="10" t="n">
        <x:v>46300</x:v>
      </x:c>
      <x:c r="B7290" s="1" t="n">
        <x:v>9</x:v>
      </x:c>
      <x:c r="C7290" s="1" t="n">
        <x:v>6</x:v>
      </x:c>
      <x:c r="D7290" s="12" t="n">
        <x:v>0</x:v>
      </x:c>
      <x:c r="E7290" s="12" t="n">
        <x:v>0.5323333333333333</x:v>
      </x:c>
      <x:c r="F7290" s="12" t="n">
        <x:v>0.5318333333333333</x:v>
      </x:c>
      <x:c r="G7290" s="12" t="n">
        <x:v>0</x:v>
      </x:c>
      <x:c r="H7290" s="1" t="n">
        <x:f>'Historical prices'!E7290</x:f>
        <x:v>1</x:v>
      </x:c>
      <x:c r="I7290" s="6" t="n">
        <x:f>'Historical prices'!D7290</x:f>
        <x:v>0.2692</x:v>
      </x:c>
      <x:c r="J7290" s="13" t="n">
        <x:f>D7290*I7290*H7290</x:f>
        <x:v>0</x:v>
      </x:c>
      <x:c r="K7290" s="13" t="n">
        <x:f>E7290*I7290*H7290</x:f>
        <x:v>0.14330413333333333</x:v>
      </x:c>
      <x:c r="L7290" s="1" t="str">
        <x:f>TEXT(A7290,"mmm yyyy")</x:f>
        <x:v>Oct 2026</x:v>
      </x:c>
    </x:row>
    <x:row r="7291" ht="21" customHeight="1">
      <x:c r="A7291" s="10" t="n">
        <x:v>46300</x:v>
      </x:c>
      <x:c r="B7291" s="1" t="n">
        <x:v>9.5</x:v>
      </x:c>
      <x:c r="C7291" s="1" t="n">
        <x:v>6</x:v>
      </x:c>
      <x:c r="D7291" s="12" t="n">
        <x:v>0</x:v>
      </x:c>
      <x:c r="E7291" s="12" t="n">
        <x:v>0.7048333333333333</x:v>
      </x:c>
      <x:c r="F7291" s="12" t="n">
        <x:v>0.7044166666666666</x:v>
      </x:c>
      <x:c r="G7291" s="12" t="n">
        <x:v>0</x:v>
      </x:c>
      <x:c r="H7291" s="1" t="n">
        <x:f>'Historical prices'!E7291</x:f>
        <x:v>1</x:v>
      </x:c>
      <x:c r="I7291" s="6" t="n">
        <x:f>'Historical prices'!D7291</x:f>
        <x:v>0.2341</x:v>
      </x:c>
      <x:c r="J7291" s="13" t="n">
        <x:f>D7291*I7291*H7291</x:f>
        <x:v>0</x:v>
      </x:c>
      <x:c r="K7291" s="13" t="n">
        <x:f>E7291*I7291*H7291</x:f>
        <x:v>0.16500148333333334</x:v>
      </x:c>
      <x:c r="L7291" s="1" t="str">
        <x:f>TEXT(A7291,"mmm yyyy")</x:f>
        <x:v>Oct 2026</x:v>
      </x:c>
    </x:row>
    <x:row r="7292" ht="21" customHeight="1">
      <x:c r="A7292" s="10" t="n">
        <x:v>46300</x:v>
      </x:c>
      <x:c r="B7292" s="1" t="n">
        <x:v>10</x:v>
      </x:c>
      <x:c r="C7292" s="1" t="n">
        <x:v>6</x:v>
      </x:c>
      <x:c r="D7292" s="12" t="n">
        <x:v>0</x:v>
      </x:c>
      <x:c r="E7292" s="12" t="n">
        <x:v>0.5738333333333334</x:v>
      </x:c>
      <x:c r="F7292" s="12" t="n">
        <x:v>0.5733333333333334</x:v>
      </x:c>
      <x:c r="G7292" s="12" t="n">
        <x:v>0</x:v>
      </x:c>
      <x:c r="H7292" s="1" t="n">
        <x:f>'Historical prices'!E7292</x:f>
        <x:v>1</x:v>
      </x:c>
      <x:c r="I7292" s="6" t="n">
        <x:f>'Historical prices'!D7292</x:f>
        <x:v>0.21309999999999998</x:v>
      </x:c>
      <x:c r="J7292" s="13" t="n">
        <x:f>D7292*I7292*H7292</x:f>
        <x:v>0</x:v>
      </x:c>
      <x:c r="K7292" s="13" t="n">
        <x:f>E7292*I7292*H7292</x:f>
        <x:v>0.12228388333333334</x:v>
      </x:c>
      <x:c r="L7292" s="1" t="str">
        <x:f>TEXT(A7292,"mmm yyyy")</x:f>
        <x:v>Oct 2026</x:v>
      </x:c>
    </x:row>
    <x:row r="7293" ht="21" customHeight="1">
      <x:c r="A7293" s="10" t="n">
        <x:v>46300</x:v>
      </x:c>
      <x:c r="B7293" s="1" t="n">
        <x:v>10.5</x:v>
      </x:c>
      <x:c r="C7293" s="1" t="n">
        <x:v>6</x:v>
      </x:c>
      <x:c r="D7293" s="12" t="n">
        <x:v>0</x:v>
      </x:c>
      <x:c r="E7293" s="12" t="n">
        <x:v>0.46399999999999997</x:v>
      </x:c>
      <x:c r="F7293" s="12" t="n">
        <x:v>0.4634166666666667</x:v>
      </x:c>
      <x:c r="G7293" s="12" t="n">
        <x:v>0</x:v>
      </x:c>
      <x:c r="H7293" s="1" t="n">
        <x:f>'Historical prices'!E7293</x:f>
        <x:v>1</x:v>
      </x:c>
      <x:c r="I7293" s="6" t="n">
        <x:f>'Historical prices'!D7293</x:f>
        <x:v>0.19149999999999998</x:v>
      </x:c>
      <x:c r="J7293" s="13" t="n">
        <x:f>D7293*I7293*H7293</x:f>
        <x:v>0</x:v>
      </x:c>
      <x:c r="K7293" s="13" t="n">
        <x:f>E7293*I7293*H7293</x:f>
        <x:v>0.08885599999999998</x:v>
      </x:c>
      <x:c r="L7293" s="1" t="str">
        <x:f>TEXT(A7293,"mmm yyyy")</x:f>
        <x:v>Oct 2026</x:v>
      </x:c>
    </x:row>
    <x:row r="7294" ht="21" customHeight="1">
      <x:c r="A7294" s="10" t="n">
        <x:v>46300</x:v>
      </x:c>
      <x:c r="B7294" s="1" t="n">
        <x:v>11</x:v>
      </x:c>
      <x:c r="C7294" s="1" t="n">
        <x:v>6</x:v>
      </x:c>
      <x:c r="D7294" s="12" t="n">
        <x:v>0.31925000000000003</x:v>
      </x:c>
      <x:c r="E7294" s="12" t="n">
        <x:v>0.40125</x:v>
      </x:c>
      <x:c r="F7294" s="12" t="n">
        <x:v>0.072</x:v>
      </x:c>
      <x:c r="G7294" s="12" t="n">
        <x:v>0</x:v>
      </x:c>
      <x:c r="H7294" s="1" t="n">
        <x:f>'Historical prices'!E7294</x:f>
        <x:v>1</x:v>
      </x:c>
      <x:c r="I7294" s="6" t="n">
        <x:f>'Historical prices'!D7294</x:f>
        <x:v>0.1418</x:v>
      </x:c>
      <x:c r="J7294" s="13" t="n">
        <x:f>D7294*I7294*H7294</x:f>
        <x:v>0.04526965000000001</x:v>
      </x:c>
      <x:c r="K7294" s="13" t="n">
        <x:f>E7294*I7294*H7294</x:f>
        <x:v>0.05689725</x:v>
      </x:c>
      <x:c r="L7294" s="1" t="str">
        <x:f>TEXT(A7294,"mmm yyyy")</x:f>
        <x:v>Oct 2026</x:v>
      </x:c>
    </x:row>
    <x:row r="7295" ht="21" customHeight="1">
      <x:c r="A7295" s="10" t="n">
        <x:v>46300</x:v>
      </x:c>
      <x:c r="B7295" s="1" t="n">
        <x:v>11.5</x:v>
      </x:c>
      <x:c r="C7295" s="1" t="n">
        <x:v>6</x:v>
      </x:c>
      <x:c r="D7295" s="12" t="n">
        <x:v>4.3075</x:v>
      </x:c>
      <x:c r="E7295" s="12" t="n">
        <x:v>0.6115</x:v>
      </x:c>
      <x:c r="F7295" s="12" t="n">
        <x:v>0</x:v>
      </x:c>
      <x:c r="G7295" s="12" t="n">
        <x:v>3.698</x:v>
      </x:c>
      <x:c r="H7295" s="1" t="n">
        <x:f>'Historical prices'!E7295</x:f>
        <x:v>1</x:v>
      </x:c>
      <x:c r="I7295" s="6" t="n">
        <x:f>'Historical prices'!D7295</x:f>
        <x:v>0.1266</x:v>
      </x:c>
      <x:c r="J7295" s="13" t="n">
        <x:f>D7295*I7295*H7295</x:f>
        <x:v>0.5453295</x:v>
      </x:c>
      <x:c r="K7295" s="13" t="n">
        <x:f>E7295*I7295*H7295</x:f>
        <x:v>0.0774159</x:v>
      </x:c>
      <x:c r="L7295" s="1" t="str">
        <x:f>TEXT(A7295,"mmm yyyy")</x:f>
        <x:v>Oct 2026</x:v>
      </x:c>
    </x:row>
    <x:row r="7296" ht="21" customHeight="1">
      <x:c r="A7296" s="10" t="n">
        <x:v>46300</x:v>
      </x:c>
      <x:c r="B7296" s="1" t="n">
        <x:v>12</x:v>
      </x:c>
      <x:c r="C7296" s="1" t="n">
        <x:v>6</x:v>
      </x:c>
      <x:c r="D7296" s="12" t="n">
        <x:v>4.6935</x:v>
      </x:c>
      <x:c r="E7296" s="12" t="n">
        <x:v>0.6015</x:v>
      </x:c>
      <x:c r="F7296" s="12" t="n">
        <x:v>0</x:v>
      </x:c>
      <x:c r="G7296" s="12" t="n">
        <x:v>4.092</x:v>
      </x:c>
      <x:c r="H7296" s="1" t="n">
        <x:f>'Historical prices'!E7296</x:f>
        <x:v>1</x:v>
      </x:c>
      <x:c r="I7296" s="6" t="n">
        <x:f>'Historical prices'!D7296</x:f>
        <x:v>0.13119999999999998</x:v>
      </x:c>
      <x:c r="J7296" s="13" t="n">
        <x:f>D7296*I7296*H7296</x:f>
        <x:v>0.6157872</x:v>
      </x:c>
      <x:c r="K7296" s="13" t="n">
        <x:f>E7296*I7296*H7296</x:f>
        <x:v>0.0789168</x:v>
      </x:c>
      <x:c r="L7296" s="1" t="str">
        <x:f>TEXT(A7296,"mmm yyyy")</x:f>
        <x:v>Oct 2026</x:v>
      </x:c>
    </x:row>
    <x:row r="7297" ht="21" customHeight="1">
      <x:c r="A7297" s="10" t="n">
        <x:v>46300</x:v>
      </x:c>
      <x:c r="B7297" s="1" t="n">
        <x:v>12.5</x:v>
      </x:c>
      <x:c r="C7297" s="1" t="n">
        <x:v>6</x:v>
      </x:c>
      <x:c r="D7297" s="12" t="n">
        <x:v>4.90325</x:v>
      </x:c>
      <x:c r="E7297" s="12" t="n">
        <x:v>0.61625</x:v>
      </x:c>
      <x:c r="F7297" s="12" t="n">
        <x:v>0</x:v>
      </x:c>
      <x:c r="G7297" s="12" t="n">
        <x:v>4.287</x:v>
      </x:c>
      <x:c r="H7297" s="1" t="n">
        <x:f>'Historical prices'!E7297</x:f>
        <x:v>1</x:v>
      </x:c>
      <x:c r="I7297" s="6" t="n">
        <x:f>'Historical prices'!D7297</x:f>
        <x:v>0.12960000000000002</x:v>
      </x:c>
      <x:c r="J7297" s="13" t="n">
        <x:f>D7297*I7297*H7297</x:f>
        <x:v>0.6354612000000001</x:v>
      </x:c>
      <x:c r="K7297" s="13" t="n">
        <x:f>E7297*I7297*H7297</x:f>
        <x:v>0.079866</x:v>
      </x:c>
      <x:c r="L7297" s="1" t="str">
        <x:f>TEXT(A7297,"mmm yyyy")</x:f>
        <x:v>Oct 2026</x:v>
      </x:c>
    </x:row>
    <x:row r="7298" ht="21" customHeight="1">
      <x:c r="A7298" s="10" t="n">
        <x:v>46300</x:v>
      </x:c>
      <x:c r="B7298" s="1" t="n">
        <x:v>13</x:v>
      </x:c>
      <x:c r="C7298" s="1" t="n">
        <x:v>6</x:v>
      </x:c>
      <x:c r="D7298" s="12" t="n">
        <x:v>5.561</x:v>
      </x:c>
      <x:c r="E7298" s="12" t="n">
        <x:v>0.841</x:v>
      </x:c>
      <x:c r="F7298" s="12" t="n">
        <x:v>0</x:v>
      </x:c>
      <x:c r="G7298" s="12" t="n">
        <x:v>4.720000000000001</x:v>
      </x:c>
      <x:c r="H7298" s="1" t="n">
        <x:f>'Historical prices'!E7298</x:f>
        <x:v>1</x:v>
      </x:c>
      <x:c r="I7298" s="6" t="n">
        <x:f>'Historical prices'!D7298</x:f>
        <x:v>0.1103</x:v>
      </x:c>
      <x:c r="J7298" s="13" t="n">
        <x:f>D7298*I7298*H7298</x:f>
        <x:v>0.6133782999999999</x:v>
      </x:c>
      <x:c r="K7298" s="13" t="n">
        <x:f>E7298*I7298*H7298</x:f>
        <x:v>0.09276229999999999</x:v>
      </x:c>
      <x:c r="L7298" s="1" t="str">
        <x:f>TEXT(A7298,"mmm yyyy")</x:f>
        <x:v>Oct 2026</x:v>
      </x:c>
    </x:row>
    <x:row r="7299" ht="21" customHeight="1">
      <x:c r="A7299" s="10" t="n">
        <x:v>46300</x:v>
      </x:c>
      <x:c r="B7299" s="1" t="n">
        <x:v>13.5</x:v>
      </x:c>
      <x:c r="C7299" s="1" t="n">
        <x:v>6</x:v>
      </x:c>
      <x:c r="D7299" s="12" t="n">
        <x:v>5.76</x:v>
      </x:c>
      <x:c r="E7299" s="12" t="n">
        <x:v>1.196</x:v>
      </x:c>
      <x:c r="F7299" s="12" t="n">
        <x:v>0</x:v>
      </x:c>
      <x:c r="G7299" s="12" t="n">
        <x:v>4.564</x:v>
      </x:c>
      <x:c r="H7299" s="1" t="n">
        <x:f>'Historical prices'!E7299</x:f>
        <x:v>1</x:v>
      </x:c>
      <x:c r="I7299" s="6" t="n">
        <x:f>'Historical prices'!D7299</x:f>
        <x:v>0.11019999999999999</x:v>
      </x:c>
      <x:c r="J7299" s="13" t="n">
        <x:f>D7299*I7299*H7299</x:f>
        <x:v>0.634752</x:v>
      </x:c>
      <x:c r="K7299" s="13" t="n">
        <x:f>E7299*I7299*H7299</x:f>
        <x:v>0.13179919999999998</x:v>
      </x:c>
      <x:c r="L7299" s="1" t="str">
        <x:f>TEXT(A7299,"mmm yyyy")</x:f>
        <x:v>Oct 2026</x:v>
      </x:c>
    </x:row>
    <x:row r="7300" ht="21" customHeight="1">
      <x:c r="A7300" s="10" t="n">
        <x:v>46300</x:v>
      </x:c>
      <x:c r="B7300" s="1" t="n">
        <x:v>14</x:v>
      </x:c>
      <x:c r="C7300" s="1" t="n">
        <x:v>6</x:v>
      </x:c>
      <x:c r="D7300" s="12" t="n">
        <x:v>1.383</x:v>
      </x:c>
      <x:c r="E7300" s="12" t="n">
        <x:v>0.615</x:v>
      </x:c>
      <x:c r="F7300" s="12" t="n">
        <x:v>0</x:v>
      </x:c>
      <x:c r="G7300" s="12" t="n">
        <x:v>0.772</x:v>
      </x:c>
      <x:c r="H7300" s="1" t="n">
        <x:f>'Historical prices'!E7300</x:f>
        <x:v>1</x:v>
      </x:c>
      <x:c r="I7300" s="6" t="n">
        <x:f>'Historical prices'!D7300</x:f>
        <x:v>0.15380000000000002</x:v>
      </x:c>
      <x:c r="J7300" s="13" t="n">
        <x:f>D7300*I7300*H7300</x:f>
        <x:v>0.21270540000000002</x:v>
      </x:c>
      <x:c r="K7300" s="13" t="n">
        <x:f>E7300*I7300*H7300</x:f>
        <x:v>0.094587</x:v>
      </x:c>
      <x:c r="L7300" s="1" t="str">
        <x:f>TEXT(A7300,"mmm yyyy")</x:f>
        <x:v>Oct 2026</x:v>
      </x:c>
    </x:row>
    <x:row r="7301" ht="21" customHeight="1">
      <x:c r="A7301" s="10" t="n">
        <x:v>46300</x:v>
      </x:c>
      <x:c r="B7301" s="1" t="n">
        <x:v>14.5</x:v>
      </x:c>
      <x:c r="C7301" s="1" t="n">
        <x:v>6</x:v>
      </x:c>
      <x:c r="D7301" s="12" t="n">
        <x:v>0.09</x:v>
      </x:c>
      <x:c r="E7301" s="12" t="n">
        <x:v>0.49999999999999994</x:v>
      </x:c>
      <x:c r="F7301" s="12" t="n">
        <x:v>0.40375</x:v>
      </x:c>
      <x:c r="G7301" s="12" t="n">
        <x:v>0</x:v>
      </x:c>
      <x:c r="H7301" s="1" t="n">
        <x:f>'Historical prices'!E7301</x:f>
        <x:v>1</x:v>
      </x:c>
      <x:c r="I7301" s="6" t="n">
        <x:f>'Historical prices'!D7301</x:f>
        <x:v>0.1703</x:v>
      </x:c>
      <x:c r="J7301" s="13" t="n">
        <x:f>D7301*I7301*H7301</x:f>
        <x:v>0.015327</x:v>
      </x:c>
      <x:c r="K7301" s="13" t="n">
        <x:f>E7301*I7301*H7301</x:f>
        <x:v>0.08514999999999999</x:v>
      </x:c>
      <x:c r="L7301" s="1" t="str">
        <x:f>TEXT(A7301,"mmm yyyy")</x:f>
        <x:v>Oct 2026</x:v>
      </x:c>
    </x:row>
    <x:row r="7302" ht="21" customHeight="1">
      <x:c r="A7302" s="10" t="n">
        <x:v>46300</x:v>
      </x:c>
      <x:c r="B7302" s="1" t="n">
        <x:v>15</x:v>
      </x:c>
      <x:c r="C7302" s="1" t="n">
        <x:v>6</x:v>
      </x:c>
      <x:c r="D7302" s="12" t="n">
        <x:v>0</x:v>
      </x:c>
      <x:c r="E7302" s="12" t="n">
        <x:v>0.4716666666666666</x:v>
      </x:c>
      <x:c r="F7302" s="12" t="n">
        <x:v>0.47141666666666665</x:v>
      </x:c>
      <x:c r="G7302" s="12" t="n">
        <x:v>0</x:v>
      </x:c>
      <x:c r="H7302" s="1" t="n">
        <x:f>'Historical prices'!E7302</x:f>
        <x:v>1</x:v>
      </x:c>
      <x:c r="I7302" s="6" t="n">
        <x:f>'Historical prices'!D7302</x:f>
        <x:v>0.2291</x:v>
      </x:c>
      <x:c r="J7302" s="13" t="n">
        <x:f>D7302*I7302*H7302</x:f>
        <x:v>0</x:v>
      </x:c>
      <x:c r="K7302" s="13" t="n">
        <x:f>E7302*I7302*H7302</x:f>
        <x:v>0.10805883333333333</x:v>
      </x:c>
      <x:c r="L7302" s="1" t="str">
        <x:f>TEXT(A7302,"mmm yyyy")</x:f>
        <x:v>Oct 2026</x:v>
      </x:c>
    </x:row>
    <x:row r="7303" ht="21" customHeight="1">
      <x:c r="A7303" s="10" t="n">
        <x:v>46300</x:v>
      </x:c>
      <x:c r="B7303" s="1" t="n">
        <x:v>15.5</x:v>
      </x:c>
      <x:c r="C7303" s="1" t="n">
        <x:v>6</x:v>
      </x:c>
      <x:c r="D7303" s="12" t="n">
        <x:v>0</x:v>
      </x:c>
      <x:c r="E7303" s="12" t="n">
        <x:v>0.5128333333333334</x:v>
      </x:c>
      <x:c r="F7303" s="12" t="n">
        <x:v>0.5124166666666667</x:v>
      </x:c>
      <x:c r="G7303" s="12" t="n">
        <x:v>0</x:v>
      </x:c>
      <x:c r="H7303" s="1" t="n">
        <x:f>'Historical prices'!E7303</x:f>
        <x:v>1</x:v>
      </x:c>
      <x:c r="I7303" s="6" t="n">
        <x:f>'Historical prices'!D7303</x:f>
        <x:v>0.2409</x:v>
      </x:c>
      <x:c r="J7303" s="13" t="n">
        <x:f>D7303*I7303*H7303</x:f>
        <x:v>0</x:v>
      </x:c>
      <x:c r="K7303" s="13" t="n">
        <x:f>E7303*I7303*H7303</x:f>
        <x:v>0.12354155000000001</x:v>
      </x:c>
      <x:c r="L7303" s="1" t="str">
        <x:f>TEXT(A7303,"mmm yyyy")</x:f>
        <x:v>Oct 2026</x:v>
      </x:c>
    </x:row>
    <x:row r="7304" ht="21" customHeight="1">
      <x:c r="A7304" s="10" t="n">
        <x:v>46300</x:v>
      </x:c>
      <x:c r="B7304" s="1" t="n">
        <x:v>16</x:v>
      </x:c>
      <x:c r="C7304" s="1" t="n">
        <x:v>6</x:v>
      </x:c>
      <x:c r="D7304" s="12" t="n">
        <x:v>0</x:v>
      </x:c>
      <x:c r="E7304" s="12" t="n">
        <x:v>0.53125</x:v>
      </x:c>
      <x:c r="F7304" s="12" t="n">
        <x:v>0.5304166666666666</x:v>
      </x:c>
      <x:c r="G7304" s="12" t="n">
        <x:v>0</x:v>
      </x:c>
      <x:c r="H7304" s="1" t="n">
        <x:f>'Historical prices'!E7304</x:f>
        <x:v>1</x:v>
      </x:c>
      <x:c r="I7304" s="6" t="n">
        <x:f>'Historical prices'!D7304</x:f>
        <x:v>0.4094</x:v>
      </x:c>
      <x:c r="J7304" s="13" t="n">
        <x:f>D7304*I7304*H7304</x:f>
        <x:v>0</x:v>
      </x:c>
      <x:c r="K7304" s="13" t="n">
        <x:f>E7304*I7304*H7304</x:f>
        <x:v>0.21749374999999999</x:v>
      </x:c>
      <x:c r="L7304" s="1" t="str">
        <x:f>TEXT(A7304,"mmm yyyy")</x:f>
        <x:v>Oct 2026</x:v>
      </x:c>
    </x:row>
    <x:row r="7305" ht="21" customHeight="1">
      <x:c r="A7305" s="10" t="n">
        <x:v>46300</x:v>
      </x:c>
      <x:c r="B7305" s="1" t="n">
        <x:v>16.5</x:v>
      </x:c>
      <x:c r="C7305" s="1" t="n">
        <x:v>6</x:v>
      </x:c>
      <x:c r="D7305" s="12" t="n">
        <x:v>0</x:v>
      </x:c>
      <x:c r="E7305" s="12" t="n">
        <x:v>0.4444166666666666</x:v>
      </x:c>
      <x:c r="F7305" s="12" t="n">
        <x:v>0.44375000000000003</x:v>
      </x:c>
      <x:c r="G7305" s="12" t="n">
        <x:v>0</x:v>
      </x:c>
      <x:c r="H7305" s="1" t="n">
        <x:f>'Historical prices'!E7305</x:f>
        <x:v>1</x:v>
      </x:c>
      <x:c r="I7305" s="6" t="n">
        <x:f>'Historical prices'!D7305</x:f>
        <x:v>0.4228</x:v>
      </x:c>
      <x:c r="J7305" s="13" t="n">
        <x:f>D7305*I7305*H7305</x:f>
        <x:v>0</x:v>
      </x:c>
      <x:c r="K7305" s="13" t="n">
        <x:f>E7305*I7305*H7305</x:f>
        <x:v>0.18789936666666665</x:v>
      </x:c>
      <x:c r="L7305" s="1" t="str">
        <x:f>TEXT(A7305,"mmm yyyy")</x:f>
        <x:v>Oct 2026</x:v>
      </x:c>
    </x:row>
    <x:row r="7306" ht="21" customHeight="1">
      <x:c r="A7306" s="10" t="n">
        <x:v>46300</x:v>
      </x:c>
      <x:c r="B7306" s="1" t="n">
        <x:v>17</x:v>
      </x:c>
      <x:c r="C7306" s="1" t="n">
        <x:v>6</x:v>
      </x:c>
      <x:c r="D7306" s="12" t="n">
        <x:v>0</x:v>
      </x:c>
      <x:c r="E7306" s="12" t="n">
        <x:v>0.46508333333333335</x:v>
      </x:c>
      <x:c r="F7306" s="12" t="n">
        <x:v>0.45675000000000004</x:v>
      </x:c>
      <x:c r="G7306" s="12" t="n">
        <x:v>0</x:v>
      </x:c>
      <x:c r="H7306" s="1" t="n">
        <x:f>'Historical prices'!E7306</x:f>
        <x:v>1</x:v>
      </x:c>
      <x:c r="I7306" s="6" t="n">
        <x:f>'Historical prices'!D7306</x:f>
        <x:v>0.45409999999999995</x:v>
      </x:c>
      <x:c r="J7306" s="13" t="n">
        <x:f>D7306*I7306*H7306</x:f>
        <x:v>0</x:v>
      </x:c>
      <x:c r="K7306" s="13" t="n">
        <x:f>E7306*I7306*H7306</x:f>
        <x:v>0.21119434166666665</x:v>
      </x:c>
      <x:c r="L7306" s="1" t="str">
        <x:f>TEXT(A7306,"mmm yyyy")</x:f>
        <x:v>Oct 2026</x:v>
      </x:c>
    </x:row>
    <x:row r="7307" ht="21" customHeight="1">
      <x:c r="A7307" s="10" t="n">
        <x:v>46300</x:v>
      </x:c>
      <x:c r="B7307" s="1" t="n">
        <x:v>17.5</x:v>
      </x:c>
      <x:c r="C7307" s="1" t="n">
        <x:v>6</x:v>
      </x:c>
      <x:c r="D7307" s="12" t="n">
        <x:v>0</x:v>
      </x:c>
      <x:c r="E7307" s="12" t="n">
        <x:v>0.5990000000000001</x:v>
      </x:c>
      <x:c r="F7307" s="12" t="n">
        <x:v>0.5963333333333334</x:v>
      </x:c>
      <x:c r="G7307" s="12" t="n">
        <x:v>0</x:v>
      </x:c>
      <x:c r="H7307" s="1" t="n">
        <x:f>'Historical prices'!E7307</x:f>
        <x:v>1</x:v>
      </x:c>
      <x:c r="I7307" s="6" t="n">
        <x:f>'Historical prices'!D7307</x:f>
        <x:v>0.4869</x:v>
      </x:c>
      <x:c r="J7307" s="13" t="n">
        <x:f>D7307*I7307*H7307</x:f>
        <x:v>0</x:v>
      </x:c>
      <x:c r="K7307" s="13" t="n">
        <x:f>E7307*I7307*H7307</x:f>
        <x:v>0.29165310000000005</x:v>
      </x:c>
      <x:c r="L7307" s="1" t="str">
        <x:f>TEXT(A7307,"mmm yyyy")</x:f>
        <x:v>Oct 2026</x:v>
      </x:c>
    </x:row>
    <x:row r="7308" ht="21" customHeight="1">
      <x:c r="A7308" s="10" t="n">
        <x:v>46300</x:v>
      </x:c>
      <x:c r="B7308" s="1" t="n">
        <x:v>18</x:v>
      </x:c>
      <x:c r="C7308" s="1" t="n">
        <x:v>6</x:v>
      </x:c>
      <x:c r="D7308" s="12" t="n">
        <x:v>0</x:v>
      </x:c>
      <x:c r="E7308" s="12" t="n">
        <x:v>1.00925</x:v>
      </x:c>
      <x:c r="F7308" s="12" t="n">
        <x:v>1.0086666666666666</x:v>
      </x:c>
      <x:c r="G7308" s="12" t="n">
        <x:v>0</x:v>
      </x:c>
      <x:c r="H7308" s="1" t="n">
        <x:f>'Historical prices'!E7308</x:f>
        <x:v>1</x:v>
      </x:c>
      <x:c r="I7308" s="6" t="n">
        <x:f>'Historical prices'!D7308</x:f>
        <x:v>0.4855</x:v>
      </x:c>
      <x:c r="J7308" s="13" t="n">
        <x:f>D7308*I7308*H7308</x:f>
        <x:v>0</x:v>
      </x:c>
      <x:c r="K7308" s="13" t="n">
        <x:f>E7308*I7308*H7308</x:f>
        <x:v>0.489990875</x:v>
      </x:c>
      <x:c r="L7308" s="1" t="str">
        <x:f>TEXT(A7308,"mmm yyyy")</x:f>
        <x:v>Oct 2026</x:v>
      </x:c>
    </x:row>
    <x:row r="7309" ht="21" customHeight="1">
      <x:c r="A7309" s="10" t="n">
        <x:v>46300</x:v>
      </x:c>
      <x:c r="B7309" s="1" t="n">
        <x:v>18.5</x:v>
      </x:c>
      <x:c r="C7309" s="1" t="n">
        <x:v>6</x:v>
      </x:c>
      <x:c r="D7309" s="12" t="n">
        <x:v>0</x:v>
      </x:c>
      <x:c r="E7309" s="12" t="n">
        <x:v>1.38525</x:v>
      </x:c>
      <x:c r="F7309" s="12" t="n">
        <x:v>1.3846666666666665</x:v>
      </x:c>
      <x:c r="G7309" s="12" t="n">
        <x:v>0</x:v>
      </x:c>
      <x:c r="H7309" s="1" t="n">
        <x:f>'Historical prices'!E7309</x:f>
        <x:v>1</x:v>
      </x:c>
      <x:c r="I7309" s="6" t="n">
        <x:f>'Historical prices'!D7309</x:f>
        <x:v>0.515</x:v>
      </x:c>
      <x:c r="J7309" s="13" t="n">
        <x:f>D7309*I7309*H7309</x:f>
        <x:v>0</x:v>
      </x:c>
      <x:c r="K7309" s="13" t="n">
        <x:f>E7309*I7309*H7309</x:f>
        <x:v>0.7134037500000001</x:v>
      </x:c>
      <x:c r="L7309" s="1" t="str">
        <x:f>TEXT(A7309,"mmm yyyy")</x:f>
        <x:v>Oct 2026</x:v>
      </x:c>
    </x:row>
    <x:row r="7310" ht="21" customHeight="1">
      <x:c r="A7310" s="10" t="n">
        <x:v>46300</x:v>
      </x:c>
      <x:c r="B7310" s="1" t="n">
        <x:v>19</x:v>
      </x:c>
      <x:c r="C7310" s="1" t="n">
        <x:v>6</x:v>
      </x:c>
      <x:c r="D7310" s="12" t="n">
        <x:v>0</x:v>
      </x:c>
      <x:c r="E7310" s="12" t="n">
        <x:v>1.1064166666666666</x:v>
      </x:c>
      <x:c r="F7310" s="12" t="n">
        <x:v>1.10625</x:v>
      </x:c>
      <x:c r="G7310" s="12" t="n">
        <x:v>0</x:v>
      </x:c>
      <x:c r="H7310" s="1" t="n">
        <x:f>'Historical prices'!E7310</x:f>
        <x:v>1</x:v>
      </x:c>
      <x:c r="I7310" s="6" t="n">
        <x:f>'Historical prices'!D7310</x:f>
        <x:v>0.3749</x:v>
      </x:c>
      <x:c r="J7310" s="13" t="n">
        <x:f>D7310*I7310*H7310</x:f>
        <x:v>0</x:v>
      </x:c>
      <x:c r="K7310" s="13" t="n">
        <x:f>E7310*I7310*H7310</x:f>
        <x:v>0.41479560833333334</x:v>
      </x:c>
      <x:c r="L7310" s="1" t="str">
        <x:f>TEXT(A7310,"mmm yyyy")</x:f>
        <x:v>Oct 2026</x:v>
      </x:c>
    </x:row>
    <x:row r="7311" ht="21" customHeight="1">
      <x:c r="A7311" s="10" t="n">
        <x:v>46300</x:v>
      </x:c>
      <x:c r="B7311" s="1" t="n">
        <x:v>19.5</x:v>
      </x:c>
      <x:c r="C7311" s="1" t="n">
        <x:v>6</x:v>
      </x:c>
      <x:c r="D7311" s="12" t="n">
        <x:v>0</x:v>
      </x:c>
      <x:c r="E7311" s="12" t="n">
        <x:v>0.8907500000000002</x:v>
      </x:c>
      <x:c r="F7311" s="12" t="n">
        <x:v>0.8900833333333333</x:v>
      </x:c>
      <x:c r="G7311" s="12" t="n">
        <x:v>0</x:v>
      </x:c>
      <x:c r="H7311" s="1" t="n">
        <x:f>'Historical prices'!E7311</x:f>
        <x:v>1</x:v>
      </x:c>
      <x:c r="I7311" s="6" t="n">
        <x:f>'Historical prices'!D7311</x:f>
        <x:v>0.37189999999999995</x:v>
      </x:c>
      <x:c r="J7311" s="13" t="n">
        <x:f>D7311*I7311*H7311</x:f>
        <x:v>0</x:v>
      </x:c>
      <x:c r="K7311" s="13" t="n">
        <x:f>E7311*I7311*H7311</x:f>
        <x:v>0.331269925</x:v>
      </x:c>
      <x:c r="L7311" s="1" t="str">
        <x:f>TEXT(A7311,"mmm yyyy")</x:f>
        <x:v>Oct 2026</x:v>
      </x:c>
    </x:row>
    <x:row r="7312" ht="21" customHeight="1">
      <x:c r="A7312" s="10" t="n">
        <x:v>46300</x:v>
      </x:c>
      <x:c r="B7312" s="1" t="n">
        <x:v>20</x:v>
      </x:c>
      <x:c r="C7312" s="1" t="n">
        <x:v>6</x:v>
      </x:c>
      <x:c r="D7312" s="12" t="n">
        <x:v>0</x:v>
      </x:c>
      <x:c r="E7312" s="12" t="n">
        <x:v>0.6983333333333333</x:v>
      </x:c>
      <x:c r="F7312" s="12" t="n">
        <x:v>0.68975</x:v>
      </x:c>
      <x:c r="G7312" s="12" t="n">
        <x:v>0</x:v>
      </x:c>
      <x:c r="H7312" s="1" t="n">
        <x:f>'Historical prices'!E7312</x:f>
        <x:v>1</x:v>
      </x:c>
      <x:c r="I7312" s="6" t="n">
        <x:f>'Historical prices'!D7312</x:f>
        <x:v>0.3617</x:v>
      </x:c>
      <x:c r="J7312" s="13" t="n">
        <x:f>D7312*I7312*H7312</x:f>
        <x:v>0</x:v>
      </x:c>
      <x:c r="K7312" s="13" t="n">
        <x:f>E7312*I7312*H7312</x:f>
        <x:v>0.25258716666666664</x:v>
      </x:c>
      <x:c r="L7312" s="1" t="str">
        <x:f>TEXT(A7312,"mmm yyyy")</x:f>
        <x:v>Oct 2026</x:v>
      </x:c>
    </x:row>
    <x:row r="7313" ht="21" customHeight="1">
      <x:c r="A7313" s="10" t="n">
        <x:v>46300</x:v>
      </x:c>
      <x:c r="B7313" s="1" t="n">
        <x:v>20.5</x:v>
      </x:c>
      <x:c r="C7313" s="1" t="n">
        <x:v>6</x:v>
      </x:c>
      <x:c r="D7313" s="12" t="n">
        <x:v>0</x:v>
      </x:c>
      <x:c r="E7313" s="12" t="n">
        <x:v>0.602</x:v>
      </x:c>
      <x:c r="F7313" s="12" t="n">
        <x:v>0.6016666666666666</x:v>
      </x:c>
      <x:c r="G7313" s="12" t="n">
        <x:v>0</x:v>
      </x:c>
      <x:c r="H7313" s="1" t="n">
        <x:f>'Historical prices'!E7313</x:f>
        <x:v>1</x:v>
      </x:c>
      <x:c r="I7313" s="6" t="n">
        <x:f>'Historical prices'!D7313</x:f>
        <x:v>0.33880000000000005</x:v>
      </x:c>
      <x:c r="J7313" s="13" t="n">
        <x:f>D7313*I7313*H7313</x:f>
        <x:v>0</x:v>
      </x:c>
      <x:c r="K7313" s="13" t="n">
        <x:f>E7313*I7313*H7313</x:f>
        <x:v>0.20395760000000002</x:v>
      </x:c>
      <x:c r="L7313" s="1" t="str">
        <x:f>TEXT(A7313,"mmm yyyy")</x:f>
        <x:v>Oct 2026</x:v>
      </x:c>
    </x:row>
    <x:row r="7314" ht="21" customHeight="1">
      <x:c r="A7314" s="10" t="n">
        <x:v>46300</x:v>
      </x:c>
      <x:c r="B7314" s="1" t="n">
        <x:v>21</x:v>
      </x:c>
      <x:c r="C7314" s="1" t="n">
        <x:v>6</x:v>
      </x:c>
      <x:c r="D7314" s="12" t="n">
        <x:v>0</x:v>
      </x:c>
      <x:c r="E7314" s="12" t="n">
        <x:v>0.5088333333333332</x:v>
      </x:c>
      <x:c r="F7314" s="12" t="n">
        <x:v>0.5085833333333333</x:v>
      </x:c>
      <x:c r="G7314" s="12" t="n">
        <x:v>0</x:v>
      </x:c>
      <x:c r="H7314" s="1" t="n">
        <x:f>'Historical prices'!E7314</x:f>
        <x:v>1</x:v>
      </x:c>
      <x:c r="I7314" s="6" t="n">
        <x:f>'Historical prices'!D7314</x:f>
        <x:v>0.3333</x:v>
      </x:c>
      <x:c r="J7314" s="13" t="n">
        <x:f>D7314*I7314*H7314</x:f>
        <x:v>0</x:v>
      </x:c>
      <x:c r="K7314" s="13" t="n">
        <x:f>E7314*I7314*H7314</x:f>
        <x:v>0.16959414999999997</x:v>
      </x:c>
      <x:c r="L7314" s="1" t="str">
        <x:f>TEXT(A7314,"mmm yyyy")</x:f>
        <x:v>Oct 2026</x:v>
      </x:c>
    </x:row>
    <x:row r="7315" ht="21" customHeight="1">
      <x:c r="A7315" s="10" t="n">
        <x:v>46300</x:v>
      </x:c>
      <x:c r="B7315" s="1" t="n">
        <x:v>21.5</x:v>
      </x:c>
      <x:c r="C7315" s="1" t="n">
        <x:v>6</x:v>
      </x:c>
      <x:c r="D7315" s="12" t="n">
        <x:v>0</x:v>
      </x:c>
      <x:c r="E7315" s="12" t="n">
        <x:v>1.0230833333333333</x:v>
      </x:c>
      <x:c r="F7315" s="12" t="n">
        <x:v>1.0223333333333333</x:v>
      </x:c>
      <x:c r="G7315" s="12" t="n">
        <x:v>0</x:v>
      </x:c>
      <x:c r="H7315" s="1" t="n">
        <x:f>'Historical prices'!E7315</x:f>
        <x:v>1</x:v>
      </x:c>
      <x:c r="I7315" s="6" t="n">
        <x:f>'Historical prices'!D7315</x:f>
        <x:v>0.30879999999999996</x:v>
      </x:c>
      <x:c r="J7315" s="13" t="n">
        <x:f>D7315*I7315*H7315</x:f>
        <x:v>0</x:v>
      </x:c>
      <x:c r="K7315" s="13" t="n">
        <x:f>E7315*I7315*H7315</x:f>
        <x:v>0.3159281333333333</x:v>
      </x:c>
      <x:c r="L7315" s="1" t="str">
        <x:f>TEXT(A7315,"mmm yyyy")</x:f>
        <x:v>Oct 2026</x:v>
      </x:c>
    </x:row>
    <x:row r="7316" ht="21" customHeight="1">
      <x:c r="A7316" s="10" t="n">
        <x:v>46300</x:v>
      </x:c>
      <x:c r="B7316" s="1" t="n">
        <x:v>22</x:v>
      </x:c>
      <x:c r="C7316" s="1" t="n">
        <x:v>6</x:v>
      </x:c>
      <x:c r="D7316" s="12" t="n">
        <x:v>0</x:v>
      </x:c>
      <x:c r="E7316" s="12" t="n">
        <x:v>0.5035000000000001</x:v>
      </x:c>
      <x:c r="F7316" s="12" t="n">
        <x:v>0.5028333333333334</x:v>
      </x:c>
      <x:c r="G7316" s="12" t="n">
        <x:v>0</x:v>
      </x:c>
      <x:c r="H7316" s="1" t="n">
        <x:f>'Historical prices'!E7316</x:f>
        <x:v>1</x:v>
      </x:c>
      <x:c r="I7316" s="6" t="n">
        <x:f>'Historical prices'!D7316</x:f>
        <x:v>0.2708</x:v>
      </x:c>
      <x:c r="J7316" s="13" t="n">
        <x:f>D7316*I7316*H7316</x:f>
        <x:v>0</x:v>
      </x:c>
      <x:c r="K7316" s="13" t="n">
        <x:f>E7316*I7316*H7316</x:f>
        <x:v>0.13634780000000002</x:v>
      </x:c>
      <x:c r="L7316" s="1" t="str">
        <x:f>TEXT(A7316,"mmm yyyy")</x:f>
        <x:v>Oct 2026</x:v>
      </x:c>
    </x:row>
    <x:row r="7317" ht="21" customHeight="1">
      <x:c r="A7317" s="10" t="n">
        <x:v>46300</x:v>
      </x:c>
      <x:c r="B7317" s="1" t="n">
        <x:v>22.5</x:v>
      </x:c>
      <x:c r="C7317" s="1" t="n">
        <x:v>6</x:v>
      </x:c>
      <x:c r="D7317" s="12" t="n">
        <x:v>0</x:v>
      </x:c>
      <x:c r="E7317" s="12" t="n">
        <x:v>0.26825</x:v>
      </x:c>
      <x:c r="F7317" s="12" t="n">
        <x:v>0.2675</x:v>
      </x:c>
      <x:c r="G7317" s="12" t="n">
        <x:v>0</x:v>
      </x:c>
      <x:c r="H7317" s="1" t="n">
        <x:f>'Historical prices'!E7317</x:f>
        <x:v>1</x:v>
      </x:c>
      <x:c r="I7317" s="6" t="n">
        <x:f>'Historical prices'!D7317</x:f>
        <x:v>0.2676</x:v>
      </x:c>
      <x:c r="J7317" s="13" t="n">
        <x:f>D7317*I7317*H7317</x:f>
        <x:v>0</x:v>
      </x:c>
      <x:c r="K7317" s="13" t="n">
        <x:f>E7317*I7317*H7317</x:f>
        <x:v>0.07178369999999999</x:v>
      </x:c>
      <x:c r="L7317" s="1" t="str">
        <x:f>TEXT(A7317,"mmm yyyy")</x:f>
        <x:v>Oct 2026</x:v>
      </x:c>
    </x:row>
    <x:row r="7318" ht="21" customHeight="1">
      <x:c r="A7318" s="10" t="n">
        <x:v>46300</x:v>
      </x:c>
      <x:c r="B7318" s="1" t="n">
        <x:v>23</x:v>
      </x:c>
      <x:c r="C7318" s="1" t="n">
        <x:v>6</x:v>
      </x:c>
      <x:c r="D7318" s="12" t="n">
        <x:v>0</x:v>
      </x:c>
      <x:c r="E7318" s="12" t="n">
        <x:v>0.2821666666666667</x:v>
      </x:c>
      <x:c r="F7318" s="12" t="n">
        <x:v>0.2815</x:v>
      </x:c>
      <x:c r="G7318" s="12" t="n">
        <x:v>0</x:v>
      </x:c>
      <x:c r="H7318" s="1" t="n">
        <x:f>'Historical prices'!E7318</x:f>
        <x:v>1</x:v>
      </x:c>
      <x:c r="I7318" s="6" t="n">
        <x:f>'Historical prices'!D7318</x:f>
        <x:v>0.2582</x:v>
      </x:c>
      <x:c r="J7318" s="13" t="n">
        <x:f>D7318*I7318*H7318</x:f>
        <x:v>0</x:v>
      </x:c>
      <x:c r="K7318" s="13" t="n">
        <x:f>E7318*I7318*H7318</x:f>
        <x:v>0.07285543333333333</x:v>
      </x:c>
      <x:c r="L7318" s="1" t="str">
        <x:f>TEXT(A7318,"mmm yyyy")</x:f>
        <x:v>Oct 2026</x:v>
      </x:c>
    </x:row>
    <x:row r="7319" ht="21" customHeight="1">
      <x:c r="A7319" s="10" t="n">
        <x:v>46300</x:v>
      </x:c>
      <x:c r="B7319" s="1" t="n">
        <x:v>23.5</x:v>
      </x:c>
      <x:c r="C7319" s="1" t="n">
        <x:v>6</x:v>
      </x:c>
      <x:c r="D7319" s="12" t="n">
        <x:v>3.8207499999999994</x:v>
      </x:c>
      <x:c r="E7319" s="12" t="n">
        <x:v>0.40558333333333335</x:v>
      </x:c>
      <x:c r="F7319" s="12" t="n">
        <x:v>0.051833333333333335</x:v>
      </x:c>
      <x:c r="G7319" s="12" t="n">
        <x:v>3.4669999999999996</x:v>
      </x:c>
      <x:c r="H7319" s="1" t="n">
        <x:f>'Historical prices'!E7319</x:f>
        <x:v>1</x:v>
      </x:c>
      <x:c r="I7319" s="6" t="n">
        <x:f>'Historical prices'!D7319</x:f>
        <x:v>0.2582</x:v>
      </x:c>
      <x:c r="J7319" s="13" t="n">
        <x:f>D7319*I7319*H7319</x:f>
        <x:v>0.9865176499999998</x:v>
      </x:c>
      <x:c r="K7319" s="13" t="n">
        <x:f>E7319*I7319*H7319</x:f>
        <x:v>0.10472161666666667</x:v>
      </x:c>
      <x:c r="L7319" s="1" t="str">
        <x:f>TEXT(A7319,"mmm yyyy")</x:f>
        <x:v>Oct 2026</x:v>
      </x:c>
    </x:row>
    <x:row r="7320" ht="21" customHeight="1">
      <x:c r="A7320" s="10" t="n">
        <x:v>46301</x:v>
      </x:c>
      <x:c r="B7320" s="1" t="n">
        <x:v>0</x:v>
      </x:c>
      <x:c r="C7320" s="1" t="n">
        <x:v>6</x:v>
      </x:c>
      <x:c r="D7320" s="12" t="n">
        <x:v>4.440499999999999</x:v>
      </x:c>
      <x:c r="E7320" s="12" t="n">
        <x:v>0.39849999999999997</x:v>
      </x:c>
      <x:c r="F7320" s="12" t="n">
        <x:v>0</x:v>
      </x:c>
      <x:c r="G7320" s="12" t="n">
        <x:v>4.042</x:v>
      </x:c>
      <x:c r="H7320" s="1" t="n">
        <x:f>'Historical prices'!E7320</x:f>
        <x:v>1</x:v>
      </x:c>
      <x:c r="I7320" s="6" t="n">
        <x:f>'Historical prices'!D7320</x:f>
        <x:v>0.2616</x:v>
      </x:c>
      <x:c r="J7320" s="13" t="n">
        <x:f>D7320*I7320*H7320</x:f>
        <x:v>1.1616347999999999</x:v>
      </x:c>
      <x:c r="K7320" s="13" t="n">
        <x:f>E7320*I7320*H7320</x:f>
        <x:v>0.1042476</x:v>
      </x:c>
      <x:c r="L7320" s="1" t="str">
        <x:f>TEXT(A7320,"mmm yyyy")</x:f>
        <x:v>Oct 2026</x:v>
      </x:c>
    </x:row>
    <x:row r="7321" ht="21" customHeight="1">
      <x:c r="A7321" s="10" t="n">
        <x:v>46301</x:v>
      </x:c>
      <x:c r="B7321" s="1" t="n">
        <x:v>0.5</x:v>
      </x:c>
      <x:c r="C7321" s="1" t="n">
        <x:v>6</x:v>
      </x:c>
      <x:c r="D7321" s="12" t="n">
        <x:v>4.55175</x:v>
      </x:c>
      <x:c r="E7321" s="12" t="n">
        <x:v>0.43675</x:v>
      </x:c>
      <x:c r="F7321" s="12" t="n">
        <x:v>0</x:v>
      </x:c>
      <x:c r="G7321" s="12" t="n">
        <x:v>4.115</x:v>
      </x:c>
      <x:c r="H7321" s="1" t="n">
        <x:f>'Historical prices'!E7321</x:f>
        <x:v>1</x:v>
      </x:c>
      <x:c r="I7321" s="6" t="n">
        <x:f>'Historical prices'!D7321</x:f>
        <x:v>0.2596</x:v>
      </x:c>
      <x:c r="J7321" s="13" t="n">
        <x:f>D7321*I7321*H7321</x:f>
        <x:v>1.1816343</x:v>
      </x:c>
      <x:c r="K7321" s="13" t="n">
        <x:f>E7321*I7321*H7321</x:f>
        <x:v>0.1133803</x:v>
      </x:c>
      <x:c r="L7321" s="1" t="str">
        <x:f>TEXT(A7321,"mmm yyyy")</x:f>
        <x:v>Oct 2026</x:v>
      </x:c>
    </x:row>
    <x:row r="7322" ht="21" customHeight="1">
      <x:c r="A7322" s="10" t="n">
        <x:v>46301</x:v>
      </x:c>
      <x:c r="B7322" s="1" t="n">
        <x:v>1</x:v>
      </x:c>
      <x:c r="C7322" s="1" t="n">
        <x:v>6</x:v>
      </x:c>
      <x:c r="D7322" s="12" t="n">
        <x:v>4.68875</x:v>
      </x:c>
      <x:c r="E7322" s="12" t="n">
        <x:v>0.44975</x:v>
      </x:c>
      <x:c r="F7322" s="12" t="n">
        <x:v>0</x:v>
      </x:c>
      <x:c r="G7322" s="12" t="n">
        <x:v>4.238999999999999</x:v>
      </x:c>
      <x:c r="H7322" s="1" t="n">
        <x:f>'Historical prices'!E7322</x:f>
        <x:v>1</x:v>
      </x:c>
      <x:c r="I7322" s="6" t="n">
        <x:f>'Historical prices'!D7322</x:f>
        <x:v>0.25120000000000003</x:v>
      </x:c>
      <x:c r="J7322" s="13" t="n">
        <x:f>D7322*I7322*H7322</x:f>
        <x:v>1.1778140000000001</x:v>
      </x:c>
      <x:c r="K7322" s="13" t="n">
        <x:f>E7322*I7322*H7322</x:f>
        <x:v>0.11297720000000001</x:v>
      </x:c>
      <x:c r="L7322" s="1" t="str">
        <x:f>TEXT(A7322,"mmm yyyy")</x:f>
        <x:v>Oct 2026</x:v>
      </x:c>
    </x:row>
    <x:row r="7323" ht="21" customHeight="1">
      <x:c r="A7323" s="10" t="n">
        <x:v>46301</x:v>
      </x:c>
      <x:c r="B7323" s="1" t="n">
        <x:v>1.5</x:v>
      </x:c>
      <x:c r="C7323" s="1" t="n">
        <x:v>6</x:v>
      </x:c>
      <x:c r="D7323" s="12" t="n">
        <x:v>2.549</x:v>
      </x:c>
      <x:c r="E7323" s="12" t="n">
        <x:v>0.412</x:v>
      </x:c>
      <x:c r="F7323" s="12" t="n">
        <x:v>0</x:v>
      </x:c>
      <x:c r="G7323" s="12" t="n">
        <x:v>2.137</x:v>
      </x:c>
      <x:c r="H7323" s="1" t="n">
        <x:f>'Historical prices'!E7323</x:f>
        <x:v>1</x:v>
      </x:c>
      <x:c r="I7323" s="6" t="n">
        <x:f>'Historical prices'!D7323</x:f>
        <x:v>0.253</x:v>
      </x:c>
      <x:c r="J7323" s="13" t="n">
        <x:f>D7323*I7323*H7323</x:f>
        <x:v>0.6448969999999999</x:v>
      </x:c>
      <x:c r="K7323" s="13" t="n">
        <x:f>E7323*I7323*H7323</x:f>
        <x:v>0.104236</x:v>
      </x:c>
      <x:c r="L7323" s="1" t="str">
        <x:f>TEXT(A7323,"mmm yyyy")</x:f>
        <x:v>Oct 2026</x:v>
      </x:c>
    </x:row>
    <x:row r="7324" ht="21" customHeight="1">
      <x:c r="A7324" s="10" t="n">
        <x:v>46301</x:v>
      </x:c>
      <x:c r="B7324" s="1" t="n">
        <x:v>2</x:v>
      </x:c>
      <x:c r="C7324" s="1" t="n">
        <x:v>6</x:v>
      </x:c>
      <x:c r="D7324" s="12" t="n">
        <x:v>0.83875</x:v>
      </x:c>
      <x:c r="E7324" s="12" t="n">
        <x:v>0.27675</x:v>
      </x:c>
      <x:c r="F7324" s="12" t="n">
        <x:v>0</x:v>
      </x:c>
      <x:c r="G7324" s="12" t="n">
        <x:v>0.5619999999999999</x:v>
      </x:c>
      <x:c r="H7324" s="1" t="n">
        <x:f>'Historical prices'!E7324</x:f>
        <x:v>1</x:v>
      </x:c>
      <x:c r="I7324" s="6" t="n">
        <x:f>'Historical prices'!D7324</x:f>
        <x:v>0.2486</x:v>
      </x:c>
      <x:c r="J7324" s="13" t="n">
        <x:f>D7324*I7324*H7324</x:f>
        <x:v>0.20851324999999998</x:v>
      </x:c>
      <x:c r="K7324" s="13" t="n">
        <x:f>E7324*I7324*H7324</x:f>
        <x:v>0.06880005</x:v>
      </x:c>
      <x:c r="L7324" s="1" t="str">
        <x:f>TEXT(A7324,"mmm yyyy")</x:f>
        <x:v>Oct 2026</x:v>
      </x:c>
    </x:row>
    <x:row r="7325" ht="21" customHeight="1">
      <x:c r="A7325" s="10" t="n">
        <x:v>46301</x:v>
      </x:c>
      <x:c r="B7325" s="1" t="n">
        <x:v>2.5</x:v>
      </x:c>
      <x:c r="C7325" s="1" t="n">
        <x:v>6</x:v>
      </x:c>
      <x:c r="D7325" s="12" t="n">
        <x:v>0.277</x:v>
      </x:c>
      <x:c r="E7325" s="12" t="n">
        <x:v>0.269</x:v>
      </x:c>
      <x:c r="F7325" s="12" t="n">
        <x:v>0</x:v>
      </x:c>
      <x:c r="G7325" s="12" t="n">
        <x:v>0.017</x:v>
      </x:c>
      <x:c r="H7325" s="1" t="n">
        <x:f>'Historical prices'!E7325</x:f>
        <x:v>1</x:v>
      </x:c>
      <x:c r="I7325" s="6" t="n">
        <x:f>'Historical prices'!D7325</x:f>
        <x:v>0.2459</x:v>
      </x:c>
      <x:c r="J7325" s="13" t="n">
        <x:f>D7325*I7325*H7325</x:f>
        <x:v>0.0681143</x:v>
      </x:c>
      <x:c r="K7325" s="13" t="n">
        <x:f>E7325*I7325*H7325</x:f>
        <x:v>0.0661471</x:v>
      </x:c>
      <x:c r="L7325" s="1" t="str">
        <x:f>TEXT(A7325,"mmm yyyy")</x:f>
        <x:v>Oct 2026</x:v>
      </x:c>
    </x:row>
    <x:row r="7326" ht="21" customHeight="1">
      <x:c r="A7326" s="10" t="n">
        <x:v>46301</x:v>
      </x:c>
      <x:c r="B7326" s="1" t="n">
        <x:v>3</x:v>
      </x:c>
      <x:c r="C7326" s="1" t="n">
        <x:v>6</x:v>
      </x:c>
      <x:c r="D7326" s="12" t="n">
        <x:v>0.1735</x:v>
      </x:c>
      <x:c r="E7326" s="12" t="n">
        <x:v>0.1905</x:v>
      </x:c>
      <x:c r="F7326" s="12" t="n">
        <x:v>0</x:v>
      </x:c>
      <x:c r="G7326" s="12" t="n">
        <x:v>0</x:v>
      </x:c>
      <x:c r="H7326" s="1" t="n">
        <x:f>'Historical prices'!E7326</x:f>
        <x:v>1</x:v>
      </x:c>
      <x:c r="I7326" s="6" t="n">
        <x:f>'Historical prices'!D7326</x:f>
        <x:v>0.26039999999999996</x:v>
      </x:c>
      <x:c r="J7326" s="13" t="n">
        <x:f>D7326*I7326*H7326</x:f>
        <x:v>0.04517939999999999</x:v>
      </x:c>
      <x:c r="K7326" s="13" t="n">
        <x:f>E7326*I7326*H7326</x:f>
        <x:v>0.049606199999999996</x:v>
      </x:c>
      <x:c r="L7326" s="1" t="str">
        <x:f>TEXT(A7326,"mmm yyyy")</x:f>
        <x:v>Oct 2026</x:v>
      </x:c>
    </x:row>
    <x:row r="7327" ht="21" customHeight="1">
      <x:c r="A7327" s="10" t="n">
        <x:v>46301</x:v>
      </x:c>
      <x:c r="B7327" s="1" t="n">
        <x:v>3.5</x:v>
      </x:c>
      <x:c r="C7327" s="1" t="n">
        <x:v>6</x:v>
      </x:c>
      <x:c r="D7327" s="12" t="n">
        <x:v>0.14425</x:v>
      </x:c>
      <x:c r="E7327" s="12" t="n">
        <x:v>0.15725</x:v>
      </x:c>
      <x:c r="F7327" s="12" t="n">
        <x:v>0</x:v>
      </x:c>
      <x:c r="G7327" s="12" t="n">
        <x:v>0</x:v>
      </x:c>
      <x:c r="H7327" s="1" t="n">
        <x:f>'Historical prices'!E7327</x:f>
        <x:v>1</x:v>
      </x:c>
      <x:c r="I7327" s="6" t="n">
        <x:f>'Historical prices'!D7327</x:f>
        <x:v>0.2531</x:v>
      </x:c>
      <x:c r="J7327" s="13" t="n">
        <x:f>D7327*I7327*H7327</x:f>
        <x:v>0.036509675</x:v>
      </x:c>
      <x:c r="K7327" s="13" t="n">
        <x:f>E7327*I7327*H7327</x:f>
        <x:v>0.039799975</x:v>
      </x:c>
      <x:c r="L7327" s="1" t="str">
        <x:f>TEXT(A7327,"mmm yyyy")</x:f>
        <x:v>Oct 2026</x:v>
      </x:c>
    </x:row>
    <x:row r="7328" ht="21" customHeight="1">
      <x:c r="A7328" s="10" t="n">
        <x:v>46301</x:v>
      </x:c>
      <x:c r="B7328" s="1" t="n">
        <x:v>4</x:v>
      </x:c>
      <x:c r="C7328" s="1" t="n">
        <x:v>6</x:v>
      </x:c>
      <x:c r="D7328" s="12" t="n">
        <x:v>0.21050000000000002</x:v>
      </x:c>
      <x:c r="E7328" s="12" t="n">
        <x:v>0.22050000000000003</x:v>
      </x:c>
      <x:c r="F7328" s="12" t="n">
        <x:v>0</x:v>
      </x:c>
      <x:c r="G7328" s="12" t="n">
        <x:v>0</x:v>
      </x:c>
      <x:c r="H7328" s="1" t="n">
        <x:f>'Historical prices'!E7328</x:f>
        <x:v>1</x:v>
      </x:c>
      <x:c r="I7328" s="6" t="n">
        <x:f>'Historical prices'!D7328</x:f>
        <x:v>0.2705</x:v>
      </x:c>
      <x:c r="J7328" s="13" t="n">
        <x:f>D7328*I7328*H7328</x:f>
        <x:v>0.05694025000000001</x:v>
      </x:c>
      <x:c r="K7328" s="13" t="n">
        <x:f>E7328*I7328*H7328</x:f>
        <x:v>0.05964525000000001</x:v>
      </x:c>
      <x:c r="L7328" s="1" t="str">
        <x:f>TEXT(A7328,"mmm yyyy")</x:f>
        <x:v>Oct 2026</x:v>
      </x:c>
    </x:row>
    <x:row r="7329" ht="21" customHeight="1">
      <x:c r="A7329" s="10" t="n">
        <x:v>46301</x:v>
      </x:c>
      <x:c r="B7329" s="1" t="n">
        <x:v>4.5</x:v>
      </x:c>
      <x:c r="C7329" s="1" t="n">
        <x:v>6</x:v>
      </x:c>
      <x:c r="D7329" s="12" t="n">
        <x:v>0.20299999999999999</x:v>
      </x:c>
      <x:c r="E7329" s="12" t="n">
        <x:v>0.214</x:v>
      </x:c>
      <x:c r="F7329" s="12" t="n">
        <x:v>0</x:v>
      </x:c>
      <x:c r="G7329" s="12" t="n">
        <x:v>0</x:v>
      </x:c>
      <x:c r="H7329" s="1" t="n">
        <x:f>'Historical prices'!E7329</x:f>
        <x:v>1</x:v>
      </x:c>
      <x:c r="I7329" s="6" t="n">
        <x:f>'Historical prices'!D7329</x:f>
        <x:v>0.2459</x:v>
      </x:c>
      <x:c r="J7329" s="13" t="n">
        <x:f>D7329*I7329*H7329</x:f>
        <x:v>0.049917699999999995</x:v>
      </x:c>
      <x:c r="K7329" s="13" t="n">
        <x:f>E7329*I7329*H7329</x:f>
        <x:v>0.0526226</x:v>
      </x:c>
      <x:c r="L7329" s="1" t="str">
        <x:f>TEXT(A7329,"mmm yyyy")</x:f>
        <x:v>Oct 2026</x:v>
      </x:c>
    </x:row>
    <x:row r="7330" ht="21" customHeight="1">
      <x:c r="A7330" s="10" t="n">
        <x:v>46301</x:v>
      </x:c>
      <x:c r="B7330" s="1" t="n">
        <x:v>5</x:v>
      </x:c>
      <x:c r="C7330" s="1" t="n">
        <x:v>6</x:v>
      </x:c>
      <x:c r="D7330" s="12" t="n">
        <x:v>0.15225</x:v>
      </x:c>
      <x:c r="E7330" s="12" t="n">
        <x:v>0.16225</x:v>
      </x:c>
      <x:c r="F7330" s="12" t="n">
        <x:v>0</x:v>
      </x:c>
      <x:c r="G7330" s="12" t="n">
        <x:v>0</x:v>
      </x:c>
      <x:c r="H7330" s="1" t="n">
        <x:f>'Historical prices'!E7330</x:f>
        <x:v>1</x:v>
      </x:c>
      <x:c r="I7330" s="6" t="n">
        <x:f>'Historical prices'!D7330</x:f>
        <x:v>0.2964</x:v>
      </x:c>
      <x:c r="J7330" s="13" t="n">
        <x:f>D7330*I7330*H7330</x:f>
        <x:v>0.0451269</x:v>
      </x:c>
      <x:c r="K7330" s="13" t="n">
        <x:f>E7330*I7330*H7330</x:f>
        <x:v>0.0480909</x:v>
      </x:c>
      <x:c r="L7330" s="1" t="str">
        <x:f>TEXT(A7330,"mmm yyyy")</x:f>
        <x:v>Oct 2026</x:v>
      </x:c>
    </x:row>
    <x:row r="7331" ht="21" customHeight="1">
      <x:c r="A7331" s="10" t="n">
        <x:v>46301</x:v>
      </x:c>
      <x:c r="B7331" s="1" t="n">
        <x:v>5.5</x:v>
      </x:c>
      <x:c r="C7331" s="1" t="n">
        <x:v>6</x:v>
      </x:c>
      <x:c r="D7331" s="12" t="n">
        <x:v>0.03025</x:v>
      </x:c>
      <x:c r="E7331" s="12" t="n">
        <x:v>0.3243333333333333</x:v>
      </x:c>
      <x:c r="F7331" s="12" t="n">
        <x:v>0.29275</x:v>
      </x:c>
      <x:c r="G7331" s="12" t="n">
        <x:v>0</x:v>
      </x:c>
      <x:c r="H7331" s="1" t="n">
        <x:f>'Historical prices'!E7331</x:f>
        <x:v>1</x:v>
      </x:c>
      <x:c r="I7331" s="6" t="n">
        <x:f>'Historical prices'!D7331</x:f>
        <x:v>0.31670000000000004</x:v>
      </x:c>
      <x:c r="J7331" s="13" t="n">
        <x:f>D7331*I7331*H7331</x:f>
        <x:v>0.009580175000000002</x:v>
      </x:c>
      <x:c r="K7331" s="13" t="n">
        <x:f>E7331*I7331*H7331</x:f>
        <x:v>0.10271636666666667</x:v>
      </x:c>
      <x:c r="L7331" s="1" t="str">
        <x:f>TEXT(A7331,"mmm yyyy")</x:f>
        <x:v>Oct 2026</x:v>
      </x:c>
    </x:row>
    <x:row r="7332" ht="21" customHeight="1">
      <x:c r="A7332" s="10" t="n">
        <x:v>46301</x:v>
      </x:c>
      <x:c r="B7332" s="1" t="n">
        <x:v>6</x:v>
      </x:c>
      <x:c r="C7332" s="1" t="n">
        <x:v>6</x:v>
      </x:c>
      <x:c r="D7332" s="12" t="n">
        <x:v>0</x:v>
      </x:c>
      <x:c r="E7332" s="12" t="n">
        <x:v>0.30533333333333335</x:v>
      </x:c>
      <x:c r="F7332" s="12" t="n">
        <x:v>0.30474999999999997</x:v>
      </x:c>
      <x:c r="G7332" s="12" t="n">
        <x:v>0</x:v>
      </x:c>
      <x:c r="H7332" s="1" t="n">
        <x:f>'Historical prices'!E7332</x:f>
        <x:v>1</x:v>
      </x:c>
      <x:c r="I7332" s="6" t="n">
        <x:f>'Historical prices'!D7332</x:f>
        <x:v>0.3471</x:v>
      </x:c>
      <x:c r="J7332" s="13" t="n">
        <x:f>D7332*I7332*H7332</x:f>
        <x:v>0</x:v>
      </x:c>
      <x:c r="K7332" s="13" t="n">
        <x:f>E7332*I7332*H7332</x:f>
        <x:v>0.10598120000000001</x:v>
      </x:c>
      <x:c r="L7332" s="1" t="str">
        <x:f>TEXT(A7332,"mmm yyyy")</x:f>
        <x:v>Oct 2026</x:v>
      </x:c>
    </x:row>
    <x:row r="7333" ht="21" customHeight="1">
      <x:c r="A7333" s="10" t="n">
        <x:v>46301</x:v>
      </x:c>
      <x:c r="B7333" s="1" t="n">
        <x:v>6.5</x:v>
      </x:c>
      <x:c r="C7333" s="1" t="n">
        <x:v>6</x:v>
      </x:c>
      <x:c r="D7333" s="12" t="n">
        <x:v>0</x:v>
      </x:c>
      <x:c r="E7333" s="12" t="n">
        <x:v>0.77225</x:v>
      </x:c>
      <x:c r="F7333" s="12" t="n">
        <x:v>0.7656666666666667</x:v>
      </x:c>
      <x:c r="G7333" s="12" t="n">
        <x:v>0</x:v>
      </x:c>
      <x:c r="H7333" s="1" t="n">
        <x:f>'Historical prices'!E7333</x:f>
        <x:v>1</x:v>
      </x:c>
      <x:c r="I7333" s="6" t="n">
        <x:f>'Historical prices'!D7333</x:f>
        <x:v>0.37829999999999997</x:v>
      </x:c>
      <x:c r="J7333" s="13" t="n">
        <x:f>D7333*I7333*H7333</x:f>
        <x:v>0</x:v>
      </x:c>
      <x:c r="K7333" s="13" t="n">
        <x:f>E7333*I7333*H7333</x:f>
        <x:v>0.29214217499999995</x:v>
      </x:c>
      <x:c r="L7333" s="1" t="str">
        <x:f>TEXT(A7333,"mmm yyyy")</x:f>
        <x:v>Oct 2026</x:v>
      </x:c>
    </x:row>
    <x:row r="7334" ht="21" customHeight="1">
      <x:c r="A7334" s="10" t="n">
        <x:v>46301</x:v>
      </x:c>
      <x:c r="B7334" s="1" t="n">
        <x:v>7</x:v>
      </x:c>
      <x:c r="C7334" s="1" t="n">
        <x:v>6</x:v>
      </x:c>
      <x:c r="D7334" s="12" t="n">
        <x:v>0</x:v>
      </x:c>
      <x:c r="E7334" s="12" t="n">
        <x:v>0.8009166666666666</x:v>
      </x:c>
      <x:c r="F7334" s="12" t="n">
        <x:v>0.8004166666666667</x:v>
      </x:c>
      <x:c r="G7334" s="12" t="n">
        <x:v>0</x:v>
      </x:c>
      <x:c r="H7334" s="1" t="n">
        <x:f>'Historical prices'!E7334</x:f>
        <x:v>1</x:v>
      </x:c>
      <x:c r="I7334" s="6" t="n">
        <x:f>'Historical prices'!D7334</x:f>
        <x:v>0.3732</x:v>
      </x:c>
      <x:c r="J7334" s="13" t="n">
        <x:f>D7334*I7334*H7334</x:f>
        <x:v>0</x:v>
      </x:c>
      <x:c r="K7334" s="13" t="n">
        <x:f>E7334*I7334*H7334</x:f>
        <x:v>0.29890209999999995</x:v>
      </x:c>
      <x:c r="L7334" s="1" t="str">
        <x:f>TEXT(A7334,"mmm yyyy")</x:f>
        <x:v>Oct 2026</x:v>
      </x:c>
    </x:row>
    <x:row r="7335" ht="21" customHeight="1">
      <x:c r="A7335" s="10" t="n">
        <x:v>46301</x:v>
      </x:c>
      <x:c r="B7335" s="1" t="n">
        <x:v>7.5</x:v>
      </x:c>
      <x:c r="C7335" s="1" t="n">
        <x:v>6</x:v>
      </x:c>
      <x:c r="D7335" s="12" t="n">
        <x:v>0</x:v>
      </x:c>
      <x:c r="E7335" s="12" t="n">
        <x:v>2.2966666666666664</x:v>
      </x:c>
      <x:c r="F7335" s="12" t="n">
        <x:v>2.2960000000000003</x:v>
      </x:c>
      <x:c r="G7335" s="12" t="n">
        <x:v>0</x:v>
      </x:c>
      <x:c r="H7335" s="1" t="n">
        <x:f>'Historical prices'!E7335</x:f>
        <x:v>1</x:v>
      </x:c>
      <x:c r="I7335" s="6" t="n">
        <x:f>'Historical prices'!D7335</x:f>
        <x:v>0.4081</x:v>
      </x:c>
      <x:c r="J7335" s="13" t="n">
        <x:f>D7335*I7335*H7335</x:f>
        <x:v>0</x:v>
      </x:c>
      <x:c r="K7335" s="13" t="n">
        <x:f>E7335*I7335*H7335</x:f>
        <x:v>0.9372696666666666</x:v>
      </x:c>
      <x:c r="L7335" s="1" t="str">
        <x:f>TEXT(A7335,"mmm yyyy")</x:f>
        <x:v>Oct 2026</x:v>
      </x:c>
    </x:row>
    <x:row r="7336" ht="21" customHeight="1">
      <x:c r="A7336" s="10" t="n">
        <x:v>46301</x:v>
      </x:c>
      <x:c r="B7336" s="1" t="n">
        <x:v>8</x:v>
      </x:c>
      <x:c r="C7336" s="1" t="n">
        <x:v>6</x:v>
      </x:c>
      <x:c r="D7336" s="12" t="n">
        <x:v>0</x:v>
      </x:c>
      <x:c r="E7336" s="12" t="n">
        <x:v>2.26675</x:v>
      </x:c>
      <x:c r="F7336" s="12" t="n">
        <x:v>2.2665</x:v>
      </x:c>
      <x:c r="G7336" s="12" t="n">
        <x:v>0</x:v>
      </x:c>
      <x:c r="H7336" s="1" t="n">
        <x:f>'Historical prices'!E7336</x:f>
        <x:v>1</x:v>
      </x:c>
      <x:c r="I7336" s="6" t="n">
        <x:f>'Historical prices'!D7336</x:f>
        <x:v>0.3479</x:v>
      </x:c>
      <x:c r="J7336" s="13" t="n">
        <x:f>D7336*I7336*H7336</x:f>
        <x:v>0</x:v>
      </x:c>
      <x:c r="K7336" s="13" t="n">
        <x:f>E7336*I7336*H7336</x:f>
        <x:v>0.7886023249999999</x:v>
      </x:c>
      <x:c r="L7336" s="1" t="str">
        <x:f>TEXT(A7336,"mmm yyyy")</x:f>
        <x:v>Oct 2026</x:v>
      </x:c>
    </x:row>
    <x:row r="7337" ht="21" customHeight="1">
      <x:c r="A7337" s="10" t="n">
        <x:v>46301</x:v>
      </x:c>
      <x:c r="B7337" s="1" t="n">
        <x:v>8.5</x:v>
      </x:c>
      <x:c r="C7337" s="1" t="n">
        <x:v>6</x:v>
      </x:c>
      <x:c r="D7337" s="12" t="n">
        <x:v>0.088</x:v>
      </x:c>
      <x:c r="E7337" s="12" t="n">
        <x:v>2.3602499999999997</x:v>
      </x:c>
      <x:c r="F7337" s="12" t="n">
        <x:v>2.2720000000000002</x:v>
      </x:c>
      <x:c r="G7337" s="12" t="n">
        <x:v>0</x:v>
      </x:c>
      <x:c r="H7337" s="1" t="n">
        <x:f>'Historical prices'!E7337</x:f>
        <x:v>1</x:v>
      </x:c>
      <x:c r="I7337" s="6" t="n">
        <x:f>'Historical prices'!D7337</x:f>
        <x:v>0.3404</x:v>
      </x:c>
      <x:c r="J7337" s="13" t="n">
        <x:f>D7337*I7337*H7337</x:f>
        <x:v>0.029955199999999998</x:v>
      </x:c>
      <x:c r="K7337" s="13" t="n">
        <x:f>E7337*I7337*H7337</x:f>
        <x:v>0.8034290999999999</x:v>
      </x:c>
      <x:c r="L7337" s="1" t="str">
        <x:f>TEXT(A7337,"mmm yyyy")</x:f>
        <x:v>Oct 2026</x:v>
      </x:c>
    </x:row>
    <x:row r="7338" ht="21" customHeight="1">
      <x:c r="A7338" s="10" t="n">
        <x:v>46301</x:v>
      </x:c>
      <x:c r="B7338" s="1" t="n">
        <x:v>9</x:v>
      </x:c>
      <x:c r="C7338" s="1" t="n">
        <x:v>6</x:v>
      </x:c>
      <x:c r="D7338" s="12" t="n">
        <x:v>0.05516666666666667</x:v>
      </x:c>
      <x:c r="E7338" s="12" t="n">
        <x:v>1.2963333333333336</x:v>
      </x:c>
      <x:c r="F7338" s="12" t="n">
        <x:v>1.2406666666666668</x:v>
      </x:c>
      <x:c r="G7338" s="12" t="n">
        <x:v>0</x:v>
      </x:c>
      <x:c r="H7338" s="1" t="n">
        <x:f>'Historical prices'!E7338</x:f>
        <x:v>1</x:v>
      </x:c>
      <x:c r="I7338" s="6" t="n">
        <x:f>'Historical prices'!D7338</x:f>
        <x:v>0.2967</x:v>
      </x:c>
      <x:c r="J7338" s="13" t="n">
        <x:f>D7338*I7338*H7338</x:f>
        <x:v>0.016367950000000003</x:v>
      </x:c>
      <x:c r="K7338" s="13" t="n">
        <x:f>E7338*I7338*H7338</x:f>
        <x:v>0.3846221000000001</x:v>
      </x:c>
      <x:c r="L7338" s="1" t="str">
        <x:f>TEXT(A7338,"mmm yyyy")</x:f>
        <x:v>Oct 2026</x:v>
      </x:c>
    </x:row>
    <x:row r="7339" ht="21" customHeight="1">
      <x:c r="A7339" s="10" t="n">
        <x:v>46301</x:v>
      </x:c>
      <x:c r="B7339" s="1" t="n">
        <x:v>9.5</x:v>
      </x:c>
      <x:c r="C7339" s="1" t="n">
        <x:v>6</x:v>
      </x:c>
      <x:c r="D7339" s="12" t="n">
        <x:v>0</x:v>
      </x:c>
      <x:c r="E7339" s="12" t="n">
        <x:v>1.9268333333333332</x:v>
      </x:c>
      <x:c r="F7339" s="12" t="n">
        <x:v>1.9263333333333332</x:v>
      </x:c>
      <x:c r="G7339" s="12" t="n">
        <x:v>0</x:v>
      </x:c>
      <x:c r="H7339" s="1" t="n">
        <x:f>'Historical prices'!E7339</x:f>
        <x:v>1</x:v>
      </x:c>
      <x:c r="I7339" s="6" t="n">
        <x:f>'Historical prices'!D7339</x:f>
        <x:v>0.29</x:v>
      </x:c>
      <x:c r="J7339" s="13" t="n">
        <x:f>D7339*I7339*H7339</x:f>
        <x:v>0</x:v>
      </x:c>
      <x:c r="K7339" s="13" t="n">
        <x:f>E7339*I7339*H7339</x:f>
        <x:v>0.5587816666666666</x:v>
      </x:c>
      <x:c r="L7339" s="1" t="str">
        <x:f>TEXT(A7339,"mmm yyyy")</x:f>
        <x:v>Oct 2026</x:v>
      </x:c>
    </x:row>
    <x:row r="7340" ht="21" customHeight="1">
      <x:c r="A7340" s="10" t="n">
        <x:v>46301</x:v>
      </x:c>
      <x:c r="B7340" s="1" t="n">
        <x:v>10</x:v>
      </x:c>
      <x:c r="C7340" s="1" t="n">
        <x:v>6</x:v>
      </x:c>
      <x:c r="D7340" s="12" t="n">
        <x:v>0.12983333333333333</x:v>
      </x:c>
      <x:c r="E7340" s="12" t="n">
        <x:v>1.1205833333333333</x:v>
      </x:c>
      <x:c r="F7340" s="12" t="n">
        <x:v>0.9830000000000001</x:v>
      </x:c>
      <x:c r="G7340" s="12" t="n">
        <x:v>0</x:v>
      </x:c>
      <x:c r="H7340" s="1" t="n">
        <x:f>'Historical prices'!E7340</x:f>
        <x:v>1</x:v>
      </x:c>
      <x:c r="I7340" s="6" t="n">
        <x:f>'Historical prices'!D7340</x:f>
        <x:v>0.2676</x:v>
      </x:c>
      <x:c r="J7340" s="13" t="n">
        <x:f>D7340*I7340*H7340</x:f>
        <x:v>0.0347434</x:v>
      </x:c>
      <x:c r="K7340" s="13" t="n">
        <x:f>E7340*I7340*H7340</x:f>
        <x:v>0.29986809999999997</x:v>
      </x:c>
      <x:c r="L7340" s="1" t="str">
        <x:f>TEXT(A7340,"mmm yyyy")</x:f>
        <x:v>Oct 2026</x:v>
      </x:c>
    </x:row>
    <x:row r="7341" ht="21" customHeight="1">
      <x:c r="A7341" s="10" t="n">
        <x:v>46301</x:v>
      </x:c>
      <x:c r="B7341" s="1" t="n">
        <x:v>10.5</x:v>
      </x:c>
      <x:c r="C7341" s="1" t="n">
        <x:v>6</x:v>
      </x:c>
      <x:c r="D7341" s="12" t="n">
        <x:v>0</x:v>
      </x:c>
      <x:c r="E7341" s="12" t="n">
        <x:v>0.8460833333333334</x:v>
      </x:c>
      <x:c r="F7341" s="12" t="n">
        <x:v>0.84575</x:v>
      </x:c>
      <x:c r="G7341" s="12" t="n">
        <x:v>0</x:v>
      </x:c>
      <x:c r="H7341" s="1" t="n">
        <x:f>'Historical prices'!E7341</x:f>
        <x:v>1</x:v>
      </x:c>
      <x:c r="I7341" s="6" t="n">
        <x:f>'Historical prices'!D7341</x:f>
        <x:v>0.2564</x:v>
      </x:c>
      <x:c r="J7341" s="13" t="n">
        <x:f>D7341*I7341*H7341</x:f>
        <x:v>0</x:v>
      </x:c>
      <x:c r="K7341" s="13" t="n">
        <x:f>E7341*I7341*H7341</x:f>
        <x:v>0.2169357666666667</x:v>
      </x:c>
      <x:c r="L7341" s="1" t="str">
        <x:f>TEXT(A7341,"mmm yyyy")</x:f>
        <x:v>Oct 2026</x:v>
      </x:c>
    </x:row>
    <x:row r="7342" ht="21" customHeight="1">
      <x:c r="A7342" s="10" t="n">
        <x:v>46301</x:v>
      </x:c>
      <x:c r="B7342" s="1" t="n">
        <x:v>11</x:v>
      </x:c>
      <x:c r="C7342" s="1" t="n">
        <x:v>6</x:v>
      </x:c>
      <x:c r="D7342" s="12" t="n">
        <x:v>0</x:v>
      </x:c>
      <x:c r="E7342" s="12" t="n">
        <x:v>0.6631666666666667</x:v>
      </x:c>
      <x:c r="F7342" s="12" t="n">
        <x:v>0.6623333333333333</x:v>
      </x:c>
      <x:c r="G7342" s="12" t="n">
        <x:v>0</x:v>
      </x:c>
      <x:c r="H7342" s="1" t="n">
        <x:f>'Historical prices'!E7342</x:f>
        <x:v>1</x:v>
      </x:c>
      <x:c r="I7342" s="6" t="n">
        <x:f>'Historical prices'!D7342</x:f>
        <x:v>0.2522</x:v>
      </x:c>
      <x:c r="J7342" s="13" t="n">
        <x:f>D7342*I7342*H7342</x:f>
        <x:v>0</x:v>
      </x:c>
      <x:c r="K7342" s="13" t="n">
        <x:f>E7342*I7342*H7342</x:f>
        <x:v>0.16725063333333332</x:v>
      </x:c>
      <x:c r="L7342" s="1" t="str">
        <x:f>TEXT(A7342,"mmm yyyy")</x:f>
        <x:v>Oct 2026</x:v>
      </x:c>
    </x:row>
    <x:row r="7343" ht="21" customHeight="1">
      <x:c r="A7343" s="10" t="n">
        <x:v>46301</x:v>
      </x:c>
      <x:c r="B7343" s="1" t="n">
        <x:v>11.5</x:v>
      </x:c>
      <x:c r="C7343" s="1" t="n">
        <x:v>6</x:v>
      </x:c>
      <x:c r="D7343" s="12" t="n">
        <x:v>0</x:v>
      </x:c>
      <x:c r="E7343" s="12" t="n">
        <x:v>0.8315</x:v>
      </x:c>
      <x:c r="F7343" s="12" t="n">
        <x:v>0.8309166666666667</x:v>
      </x:c>
      <x:c r="G7343" s="12" t="n">
        <x:v>0</x:v>
      </x:c>
      <x:c r="H7343" s="1" t="n">
        <x:f>'Historical prices'!E7343</x:f>
        <x:v>1</x:v>
      </x:c>
      <x:c r="I7343" s="6" t="n">
        <x:f>'Historical prices'!D7343</x:f>
        <x:v>0.25239999999999996</x:v>
      </x:c>
      <x:c r="J7343" s="13" t="n">
        <x:f>D7343*I7343*H7343</x:f>
        <x:v>0</x:v>
      </x:c>
      <x:c r="K7343" s="13" t="n">
        <x:f>E7343*I7343*H7343</x:f>
        <x:v>0.20987059999999996</x:v>
      </x:c>
      <x:c r="L7343" s="1" t="str">
        <x:f>TEXT(A7343,"mmm yyyy")</x:f>
        <x:v>Oct 2026</x:v>
      </x:c>
    </x:row>
    <x:row r="7344" ht="21" customHeight="1">
      <x:c r="A7344" s="10" t="n">
        <x:v>46301</x:v>
      </x:c>
      <x:c r="B7344" s="1" t="n">
        <x:v>12</x:v>
      </x:c>
      <x:c r="C7344" s="1" t="n">
        <x:v>6</x:v>
      </x:c>
      <x:c r="D7344" s="12" t="n">
        <x:v>0</x:v>
      </x:c>
      <x:c r="E7344" s="12" t="n">
        <x:v>0.7629166666666667</x:v>
      </x:c>
      <x:c r="F7344" s="12" t="n">
        <x:v>0.76275</x:v>
      </x:c>
      <x:c r="G7344" s="12" t="n">
        <x:v>0</x:v>
      </x:c>
      <x:c r="H7344" s="1" t="n">
        <x:f>'Historical prices'!E7344</x:f>
        <x:v>1</x:v>
      </x:c>
      <x:c r="I7344" s="6" t="n">
        <x:f>'Historical prices'!D7344</x:f>
        <x:v>0.2459</x:v>
      </x:c>
      <x:c r="J7344" s="13" t="n">
        <x:f>D7344*I7344*H7344</x:f>
        <x:v>0</x:v>
      </x:c>
      <x:c r="K7344" s="13" t="n">
        <x:f>E7344*I7344*H7344</x:f>
        <x:v>0.18760120833333335</x:v>
      </x:c>
      <x:c r="L7344" s="1" t="str">
        <x:f>TEXT(A7344,"mmm yyyy")</x:f>
        <x:v>Oct 2026</x:v>
      </x:c>
    </x:row>
    <x:row r="7345" ht="21" customHeight="1">
      <x:c r="A7345" s="10" t="n">
        <x:v>46301</x:v>
      </x:c>
      <x:c r="B7345" s="1" t="n">
        <x:v>12.5</x:v>
      </x:c>
      <x:c r="C7345" s="1" t="n">
        <x:v>6</x:v>
      </x:c>
      <x:c r="D7345" s="12" t="n">
        <x:v>0</x:v>
      </x:c>
      <x:c r="E7345" s="12" t="n">
        <x:v>0.8342499999999999</x:v>
      </x:c>
      <x:c r="F7345" s="12" t="n">
        <x:v>0.8335</x:v>
      </x:c>
      <x:c r="G7345" s="12" t="n">
        <x:v>0</x:v>
      </x:c>
      <x:c r="H7345" s="1" t="n">
        <x:f>'Historical prices'!E7345</x:f>
        <x:v>1</x:v>
      </x:c>
      <x:c r="I7345" s="6" t="n">
        <x:f>'Historical prices'!D7345</x:f>
        <x:v>0.2459</x:v>
      </x:c>
      <x:c r="J7345" s="13" t="n">
        <x:f>D7345*I7345*H7345</x:f>
        <x:v>0</x:v>
      </x:c>
      <x:c r="K7345" s="13" t="n">
        <x:f>E7345*I7345*H7345</x:f>
        <x:v>0.20514207499999998</x:v>
      </x:c>
      <x:c r="L7345" s="1" t="str">
        <x:f>TEXT(A7345,"mmm yyyy")</x:f>
        <x:v>Oct 2026</x:v>
      </x:c>
    </x:row>
    <x:row r="7346" ht="21" customHeight="1">
      <x:c r="A7346" s="10" t="n">
        <x:v>46301</x:v>
      </x:c>
      <x:c r="B7346" s="1" t="n">
        <x:v>13</x:v>
      </x:c>
      <x:c r="C7346" s="1" t="n">
        <x:v>6</x:v>
      </x:c>
      <x:c r="D7346" s="12" t="n">
        <x:v>0</x:v>
      </x:c>
      <x:c r="E7346" s="12" t="n">
        <x:v>1.0367499999999998</x:v>
      </x:c>
      <x:c r="F7346" s="12" t="n">
        <x:v>1.0364166666666665</x:v>
      </x:c>
      <x:c r="G7346" s="12" t="n">
        <x:v>0</x:v>
      </x:c>
      <x:c r="H7346" s="1" t="n">
        <x:f>'Historical prices'!E7346</x:f>
        <x:v>1</x:v>
      </x:c>
      <x:c r="I7346" s="6" t="n">
        <x:f>'Historical prices'!D7346</x:f>
        <x:v>0.2482</x:v>
      </x:c>
      <x:c r="J7346" s="13" t="n">
        <x:f>D7346*I7346*H7346</x:f>
        <x:v>0</x:v>
      </x:c>
      <x:c r="K7346" s="13" t="n">
        <x:f>E7346*I7346*H7346</x:f>
        <x:v>0.25732134999999995</x:v>
      </x:c>
      <x:c r="L7346" s="1" t="str">
        <x:f>TEXT(A7346,"mmm yyyy")</x:f>
        <x:v>Oct 2026</x:v>
      </x:c>
    </x:row>
    <x:row r="7347" ht="21" customHeight="1">
      <x:c r="A7347" s="10" t="n">
        <x:v>46301</x:v>
      </x:c>
      <x:c r="B7347" s="1" t="n">
        <x:v>13.5</x:v>
      </x:c>
      <x:c r="C7347" s="1" t="n">
        <x:v>6</x:v>
      </x:c>
      <x:c r="D7347" s="12" t="n">
        <x:v>0</x:v>
      </x:c>
      <x:c r="E7347" s="12" t="n">
        <x:v>1.9043333333333337</x:v>
      </x:c>
      <x:c r="F7347" s="12" t="n">
        <x:v>1.9035833333333332</x:v>
      </x:c>
      <x:c r="G7347" s="12" t="n">
        <x:v>0</x:v>
      </x:c>
      <x:c r="H7347" s="1" t="n">
        <x:f>'Historical prices'!E7347</x:f>
        <x:v>1</x:v>
      </x:c>
      <x:c r="I7347" s="6" t="n">
        <x:f>'Historical prices'!D7347</x:f>
        <x:v>0.2459</x:v>
      </x:c>
      <x:c r="J7347" s="13" t="n">
        <x:f>D7347*I7347*H7347</x:f>
        <x:v>0</x:v>
      </x:c>
      <x:c r="K7347" s="13" t="n">
        <x:f>E7347*I7347*H7347</x:f>
        <x:v>0.46827556666666675</x:v>
      </x:c>
      <x:c r="L7347" s="1" t="str">
        <x:f>TEXT(A7347,"mmm yyyy")</x:f>
        <x:v>Oct 2026</x:v>
      </x:c>
    </x:row>
    <x:row r="7348" ht="21" customHeight="1">
      <x:c r="A7348" s="10" t="n">
        <x:v>46301</x:v>
      </x:c>
      <x:c r="B7348" s="1" t="n">
        <x:v>14</x:v>
      </x:c>
      <x:c r="C7348" s="1" t="n">
        <x:v>6</x:v>
      </x:c>
      <x:c r="D7348" s="12" t="n">
        <x:v>0</x:v>
      </x:c>
      <x:c r="E7348" s="12" t="n">
        <x:v>2.4090833333333332</x:v>
      </x:c>
      <x:c r="F7348" s="12" t="n">
        <x:v>2.40875</x:v>
      </x:c>
      <x:c r="G7348" s="12" t="n">
        <x:v>0</x:v>
      </x:c>
      <x:c r="H7348" s="1" t="n">
        <x:f>'Historical prices'!E7348</x:f>
        <x:v>1</x:v>
      </x:c>
      <x:c r="I7348" s="6" t="n">
        <x:f>'Historical prices'!D7348</x:f>
        <x:v>0.2459</x:v>
      </x:c>
      <x:c r="J7348" s="13" t="n">
        <x:f>D7348*I7348*H7348</x:f>
        <x:v>0</x:v>
      </x:c>
      <x:c r="K7348" s="13" t="n">
        <x:f>E7348*I7348*H7348</x:f>
        <x:v>0.5923935916666666</x:v>
      </x:c>
      <x:c r="L7348" s="1" t="str">
        <x:f>TEXT(A7348,"mmm yyyy")</x:f>
        <x:v>Oct 2026</x:v>
      </x:c>
    </x:row>
    <x:row r="7349" ht="21" customHeight="1">
      <x:c r="A7349" s="10" t="n">
        <x:v>46301</x:v>
      </x:c>
      <x:c r="B7349" s="1" t="n">
        <x:v>14.5</x:v>
      </x:c>
      <x:c r="C7349" s="1" t="n">
        <x:v>6</x:v>
      </x:c>
      <x:c r="D7349" s="12" t="n">
        <x:v>0</x:v>
      </x:c>
      <x:c r="E7349" s="12" t="n">
        <x:v>0.9978333333333332</x:v>
      </x:c>
      <x:c r="F7349" s="12" t="n">
        <x:v>0.9973333333333333</x:v>
      </x:c>
      <x:c r="G7349" s="12" t="n">
        <x:v>0</x:v>
      </x:c>
      <x:c r="H7349" s="1" t="n">
        <x:f>'Historical prices'!E7349</x:f>
        <x:v>1</x:v>
      </x:c>
      <x:c r="I7349" s="6" t="n">
        <x:f>'Historical prices'!D7349</x:f>
        <x:v>0.2459</x:v>
      </x:c>
      <x:c r="J7349" s="13" t="n">
        <x:f>D7349*I7349*H7349</x:f>
        <x:v>0</x:v>
      </x:c>
      <x:c r="K7349" s="13" t="n">
        <x:f>E7349*I7349*H7349</x:f>
        <x:v>0.24536721666666664</x:v>
      </x:c>
      <x:c r="L7349" s="1" t="str">
        <x:f>TEXT(A7349,"mmm yyyy")</x:f>
        <x:v>Oct 2026</x:v>
      </x:c>
    </x:row>
    <x:row r="7350" ht="21" customHeight="1">
      <x:c r="A7350" s="10" t="n">
        <x:v>46301</x:v>
      </x:c>
      <x:c r="B7350" s="1" t="n">
        <x:v>15</x:v>
      </x:c>
      <x:c r="C7350" s="1" t="n">
        <x:v>6</x:v>
      </x:c>
      <x:c r="D7350" s="12" t="n">
        <x:v>0</x:v>
      </x:c>
      <x:c r="E7350" s="12" t="n">
        <x:v>0.738</x:v>
      </x:c>
      <x:c r="F7350" s="12" t="n">
        <x:v>0.73725</x:v>
      </x:c>
      <x:c r="G7350" s="12" t="n">
        <x:v>0</x:v>
      </x:c>
      <x:c r="H7350" s="1" t="n">
        <x:f>'Historical prices'!E7350</x:f>
        <x:v>1</x:v>
      </x:c>
      <x:c r="I7350" s="6" t="n">
        <x:f>'Historical prices'!D7350</x:f>
        <x:v>0.2915</x:v>
      </x:c>
      <x:c r="J7350" s="13" t="n">
        <x:f>D7350*I7350*H7350</x:f>
        <x:v>0</x:v>
      </x:c>
      <x:c r="K7350" s="13" t="n">
        <x:f>E7350*I7350*H7350</x:f>
        <x:v>0.21512699999999998</x:v>
      </x:c>
      <x:c r="L7350" s="1" t="str">
        <x:f>TEXT(A7350,"mmm yyyy")</x:f>
        <x:v>Oct 2026</x:v>
      </x:c>
    </x:row>
    <x:row r="7351" ht="21" customHeight="1">
      <x:c r="A7351" s="10" t="n">
        <x:v>46301</x:v>
      </x:c>
      <x:c r="B7351" s="1" t="n">
        <x:v>15.5</x:v>
      </x:c>
      <x:c r="C7351" s="1" t="n">
        <x:v>6</x:v>
      </x:c>
      <x:c r="D7351" s="12" t="n">
        <x:v>0</x:v>
      </x:c>
      <x:c r="E7351" s="12" t="n">
        <x:v>0.7075</x:v>
      </x:c>
      <x:c r="F7351" s="12" t="n">
        <x:v>0.7073333333333334</x:v>
      </x:c>
      <x:c r="G7351" s="12" t="n">
        <x:v>0</x:v>
      </x:c>
      <x:c r="H7351" s="1" t="n">
        <x:f>'Historical prices'!E7351</x:f>
        <x:v>1</x:v>
      </x:c>
      <x:c r="I7351" s="6" t="n">
        <x:f>'Historical prices'!D7351</x:f>
        <x:v>0.276</x:v>
      </x:c>
      <x:c r="J7351" s="13" t="n">
        <x:f>D7351*I7351*H7351</x:f>
        <x:v>0</x:v>
      </x:c>
      <x:c r="K7351" s="13" t="n">
        <x:f>E7351*I7351*H7351</x:f>
        <x:v>0.19527000000000003</x:v>
      </x:c>
      <x:c r="L7351" s="1" t="str">
        <x:f>TEXT(A7351,"mmm yyyy")</x:f>
        <x:v>Oct 2026</x:v>
      </x:c>
    </x:row>
    <x:row r="7352" ht="21" customHeight="1">
      <x:c r="A7352" s="10" t="n">
        <x:v>46301</x:v>
      </x:c>
      <x:c r="B7352" s="1" t="n">
        <x:v>16</x:v>
      </x:c>
      <x:c r="C7352" s="1" t="n">
        <x:v>6</x:v>
      </x:c>
      <x:c r="D7352" s="12" t="n">
        <x:v>0</x:v>
      </x:c>
      <x:c r="E7352" s="12" t="n">
        <x:v>0.7581666666666668</x:v>
      </x:c>
      <x:c r="F7352" s="12" t="n">
        <x:v>0.7576666666666667</x:v>
      </x:c>
      <x:c r="G7352" s="12" t="n">
        <x:v>0</x:v>
      </x:c>
      <x:c r="H7352" s="1" t="n">
        <x:f>'Historical prices'!E7352</x:f>
        <x:v>1</x:v>
      </x:c>
      <x:c r="I7352" s="6" t="n">
        <x:f>'Historical prices'!D7352</x:f>
        <x:v>0.48479999999999995</x:v>
      </x:c>
      <x:c r="J7352" s="13" t="n">
        <x:f>D7352*I7352*H7352</x:f>
        <x:v>0</x:v>
      </x:c>
      <x:c r="K7352" s="13" t="n">
        <x:f>E7352*I7352*H7352</x:f>
        <x:v>0.36755920000000003</x:v>
      </x:c>
      <x:c r="L7352" s="1" t="str">
        <x:f>TEXT(A7352,"mmm yyyy")</x:f>
        <x:v>Oct 2026</x:v>
      </x:c>
    </x:row>
    <x:row r="7353" ht="21" customHeight="1">
      <x:c r="A7353" s="10" t="n">
        <x:v>46301</x:v>
      </x:c>
      <x:c r="B7353" s="1" t="n">
        <x:v>16.5</x:v>
      </x:c>
      <x:c r="C7353" s="1" t="n">
        <x:v>6</x:v>
      </x:c>
      <x:c r="D7353" s="12" t="n">
        <x:v>0</x:v>
      </x:c>
      <x:c r="E7353" s="12" t="n">
        <x:v>0.7030833333333333</x:v>
      </x:c>
      <x:c r="F7353" s="12" t="n">
        <x:v>0.7025</x:v>
      </x:c>
      <x:c r="G7353" s="12" t="n">
        <x:v>0</x:v>
      </x:c>
      <x:c r="H7353" s="1" t="n">
        <x:f>'Historical prices'!E7353</x:f>
        <x:v>1</x:v>
      </x:c>
      <x:c r="I7353" s="6" t="n">
        <x:f>'Historical prices'!D7353</x:f>
        <x:v>0.5063</x:v>
      </x:c>
      <x:c r="J7353" s="13" t="n">
        <x:f>D7353*I7353*H7353</x:f>
        <x:v>0</x:v>
      </x:c>
      <x:c r="K7353" s="13" t="n">
        <x:f>E7353*I7353*H7353</x:f>
        <x:v>0.35597109166666663</x:v>
      </x:c>
      <x:c r="L7353" s="1" t="str">
        <x:f>TEXT(A7353,"mmm yyyy")</x:f>
        <x:v>Oct 2026</x:v>
      </x:c>
    </x:row>
    <x:row r="7354" ht="21" customHeight="1">
      <x:c r="A7354" s="10" t="n">
        <x:v>46301</x:v>
      </x:c>
      <x:c r="B7354" s="1" t="n">
        <x:v>17</x:v>
      </x:c>
      <x:c r="C7354" s="1" t="n">
        <x:v>6</x:v>
      </x:c>
      <x:c r="D7354" s="12" t="n">
        <x:v>0</x:v>
      </x:c>
      <x:c r="E7354" s="12" t="n">
        <x:v>0.6525833333333333</x:v>
      </x:c>
      <x:c r="F7354" s="12" t="n">
        <x:v>0.6450833333333333</x:v>
      </x:c>
      <x:c r="G7354" s="12" t="n">
        <x:v>0</x:v>
      </x:c>
      <x:c r="H7354" s="1" t="n">
        <x:f>'Historical prices'!E7354</x:f>
        <x:v>1</x:v>
      </x:c>
      <x:c r="I7354" s="6" t="n">
        <x:f>'Historical prices'!D7354</x:f>
        <x:v>0.5887</x:v>
      </x:c>
      <x:c r="J7354" s="13" t="n">
        <x:f>D7354*I7354*H7354</x:f>
        <x:v>0</x:v>
      </x:c>
      <x:c r="K7354" s="13" t="n">
        <x:f>E7354*I7354*H7354</x:f>
        <x:v>0.3841758083333333</x:v>
      </x:c>
      <x:c r="L7354" s="1" t="str">
        <x:f>TEXT(A7354,"mmm yyyy")</x:f>
        <x:v>Oct 2026</x:v>
      </x:c>
    </x:row>
    <x:row r="7355" ht="21" customHeight="1">
      <x:c r="A7355" s="10" t="n">
        <x:v>46301</x:v>
      </x:c>
      <x:c r="B7355" s="1" t="n">
        <x:v>17.5</x:v>
      </x:c>
      <x:c r="C7355" s="1" t="n">
        <x:v>6</x:v>
      </x:c>
      <x:c r="D7355" s="12" t="n">
        <x:v>0</x:v>
      </x:c>
      <x:c r="E7355" s="12" t="n">
        <x:v>0.6935833333333333</x:v>
      </x:c>
      <x:c r="F7355" s="12" t="n">
        <x:v>0.6934166666666667</x:v>
      </x:c>
      <x:c r="G7355" s="12" t="n">
        <x:v>0</x:v>
      </x:c>
      <x:c r="H7355" s="1" t="n">
        <x:f>'Historical prices'!E7355</x:f>
        <x:v>1</x:v>
      </x:c>
      <x:c r="I7355" s="6" t="n">
        <x:f>'Historical prices'!D7355</x:f>
        <x:v>0.6570999999999999</x:v>
      </x:c>
      <x:c r="J7355" s="13" t="n">
        <x:f>D7355*I7355*H7355</x:f>
        <x:v>0</x:v>
      </x:c>
      <x:c r="K7355" s="13" t="n">
        <x:f>E7355*I7355*H7355</x:f>
        <x:v>0.4557536083333333</x:v>
      </x:c>
      <x:c r="L7355" s="1" t="str">
        <x:f>TEXT(A7355,"mmm yyyy")</x:f>
        <x:v>Oct 2026</x:v>
      </x:c>
    </x:row>
    <x:row r="7356" ht="21" customHeight="1">
      <x:c r="A7356" s="10" t="n">
        <x:v>46301</x:v>
      </x:c>
      <x:c r="B7356" s="1" t="n">
        <x:v>18</x:v>
      </x:c>
      <x:c r="C7356" s="1" t="n">
        <x:v>6</x:v>
      </x:c>
      <x:c r="D7356" s="12" t="n">
        <x:v>0</x:v>
      </x:c>
      <x:c r="E7356" s="12" t="n">
        <x:v>0.773</x:v>
      </x:c>
      <x:c r="F7356" s="12" t="n">
        <x:v>0.7725833333333333</x:v>
      </x:c>
      <x:c r="G7356" s="12" t="n">
        <x:v>0</x:v>
      </x:c>
      <x:c r="H7356" s="1" t="n">
        <x:f>'Historical prices'!E7356</x:f>
        <x:v>1</x:v>
      </x:c>
      <x:c r="I7356" s="6" t="n">
        <x:f>'Historical prices'!D7356</x:f>
        <x:v>0.674</x:v>
      </x:c>
      <x:c r="J7356" s="13" t="n">
        <x:f>D7356*I7356*H7356</x:f>
        <x:v>0</x:v>
      </x:c>
      <x:c r="K7356" s="13" t="n">
        <x:f>E7356*I7356*H7356</x:f>
        <x:v>0.5210020000000001</x:v>
      </x:c>
      <x:c r="L7356" s="1" t="str">
        <x:f>TEXT(A7356,"mmm yyyy")</x:f>
        <x:v>Oct 2026</x:v>
      </x:c>
    </x:row>
    <x:row r="7357" ht="21" customHeight="1">
      <x:c r="A7357" s="10" t="n">
        <x:v>46301</x:v>
      </x:c>
      <x:c r="B7357" s="1" t="n">
        <x:v>18.5</x:v>
      </x:c>
      <x:c r="C7357" s="1" t="n">
        <x:v>6</x:v>
      </x:c>
      <x:c r="D7357" s="12" t="n">
        <x:v>1.1186666666666667</x:v>
      </x:c>
      <x:c r="E7357" s="12" t="n">
        <x:v>1.5678333333333332</x:v>
      </x:c>
      <x:c r="F7357" s="12" t="n">
        <x:v>0.607</x:v>
      </x:c>
      <x:c r="G7357" s="12" t="n">
        <x:v>0.158</x:v>
      </x:c>
      <x:c r="H7357" s="1" t="n">
        <x:f>'Historical prices'!E7357</x:f>
        <x:v>1</x:v>
      </x:c>
      <x:c r="I7357" s="6" t="n">
        <x:f>'Historical prices'!D7357</x:f>
        <x:v>0.6973999999999999</x:v>
      </x:c>
      <x:c r="J7357" s="13" t="n">
        <x:f>D7357*I7357*H7357</x:f>
        <x:v>0.7801581333333333</x:v>
      </x:c>
      <x:c r="K7357" s="13" t="n">
        <x:f>E7357*I7357*H7357</x:f>
        <x:v>1.0934069666666664</x:v>
      </x:c>
      <x:c r="L7357" s="1" t="str">
        <x:f>TEXT(A7357,"mmm yyyy")</x:f>
        <x:v>Oct 2026</x:v>
      </x:c>
    </x:row>
    <x:row r="7358" ht="21" customHeight="1">
      <x:c r="A7358" s="10" t="n">
        <x:v>46301</x:v>
      </x:c>
      <x:c r="B7358" s="1" t="n">
        <x:v>19</x:v>
      </x:c>
      <x:c r="C7358" s="1" t="n">
        <x:v>6</x:v>
      </x:c>
      <x:c r="D7358" s="12" t="n">
        <x:v>1.1565</x:v>
      </x:c>
      <x:c r="E7358" s="12" t="n">
        <x:v>1.0655</x:v>
      </x:c>
      <x:c r="F7358" s="12" t="n">
        <x:v>0</x:v>
      </x:c>
      <x:c r="G7358" s="12" t="n">
        <x:v>0.08299999999999999</x:v>
      </x:c>
      <x:c r="H7358" s="1" t="n">
        <x:f>'Historical prices'!E7358</x:f>
        <x:v>1</x:v>
      </x:c>
      <x:c r="I7358" s="6" t="n">
        <x:f>'Historical prices'!D7358</x:f>
        <x:v>0.521</x:v>
      </x:c>
      <x:c r="J7358" s="13" t="n">
        <x:f>D7358*I7358*H7358</x:f>
        <x:v>0.6025365</x:v>
      </x:c>
      <x:c r="K7358" s="13" t="n">
        <x:f>E7358*I7358*H7358</x:f>
        <x:v>0.5551254999999999</x:v>
      </x:c>
      <x:c r="L7358" s="1" t="str">
        <x:f>TEXT(A7358,"mmm yyyy")</x:f>
        <x:v>Oct 2026</x:v>
      </x:c>
    </x:row>
    <x:row r="7359" ht="21" customHeight="1">
      <x:c r="A7359" s="10" t="n">
        <x:v>46301</x:v>
      </x:c>
      <x:c r="B7359" s="1" t="n">
        <x:v>19.5</x:v>
      </x:c>
      <x:c r="C7359" s="1" t="n">
        <x:v>6</x:v>
      </x:c>
      <x:c r="D7359" s="12" t="n">
        <x:v>0.855</x:v>
      </x:c>
      <x:c r="E7359" s="12" t="n">
        <x:v>0.7929999999999999</x:v>
      </x:c>
      <x:c r="F7359" s="12" t="n">
        <x:v>0</x:v>
      </x:c>
      <x:c r="G7359" s="12" t="n">
        <x:v>0.061999999999999986</x:v>
      </x:c>
      <x:c r="H7359" s="1" t="n">
        <x:f>'Historical prices'!E7359</x:f>
        <x:v>1</x:v>
      </x:c>
      <x:c r="I7359" s="6" t="n">
        <x:f>'Historical prices'!D7359</x:f>
        <x:v>0.5</x:v>
      </x:c>
      <x:c r="J7359" s="13" t="n">
        <x:f>D7359*I7359*H7359</x:f>
        <x:v>0.4275</x:v>
      </x:c>
      <x:c r="K7359" s="13" t="n">
        <x:f>E7359*I7359*H7359</x:f>
        <x:v>0.39649999999999996</x:v>
      </x:c>
      <x:c r="L7359" s="1" t="str">
        <x:f>TEXT(A7359,"mmm yyyy")</x:f>
        <x:v>Oct 2026</x:v>
      </x:c>
    </x:row>
    <x:row r="7360" ht="21" customHeight="1">
      <x:c r="A7360" s="10" t="n">
        <x:v>46301</x:v>
      </x:c>
      <x:c r="B7360" s="1" t="n">
        <x:v>20</x:v>
      </x:c>
      <x:c r="C7360" s="1" t="n">
        <x:v>6</x:v>
      </x:c>
      <x:c r="D7360" s="12" t="n">
        <x:v>0.986</x:v>
      </x:c>
      <x:c r="E7360" s="12" t="n">
        <x:v>0.9209999999999999</x:v>
      </x:c>
      <x:c r="F7360" s="12" t="n">
        <x:v>0</x:v>
      </x:c>
      <x:c r="G7360" s="12" t="n">
        <x:v>0.065</x:v>
      </x:c>
      <x:c r="H7360" s="1" t="n">
        <x:f>'Historical prices'!E7360</x:f>
        <x:v>1</x:v>
      </x:c>
      <x:c r="I7360" s="6" t="n">
        <x:f>'Historical prices'!D7360</x:f>
        <x:v>0.4454</x:v>
      </x:c>
      <x:c r="J7360" s="13" t="n">
        <x:f>D7360*I7360*H7360</x:f>
        <x:v>0.4391644</x:v>
      </x:c>
      <x:c r="K7360" s="13" t="n">
        <x:f>E7360*I7360*H7360</x:f>
        <x:v>0.4102134</x:v>
      </x:c>
      <x:c r="L7360" s="1" t="str">
        <x:f>TEXT(A7360,"mmm yyyy")</x:f>
        <x:v>Oct 2026</x:v>
      </x:c>
    </x:row>
    <x:row r="7361" ht="21" customHeight="1">
      <x:c r="A7361" s="10" t="n">
        <x:v>46301</x:v>
      </x:c>
      <x:c r="B7361" s="1" t="n">
        <x:v>20.5</x:v>
      </x:c>
      <x:c r="C7361" s="1" t="n">
        <x:v>6</x:v>
      </x:c>
      <x:c r="D7361" s="12" t="n">
        <x:v>0.704</x:v>
      </x:c>
      <x:c r="E7361" s="12" t="n">
        <x:v>0.6399999999999999</x:v>
      </x:c>
      <x:c r="F7361" s="12" t="n">
        <x:v>0</x:v>
      </x:c>
      <x:c r="G7361" s="12" t="n">
        <x:v>0.064</x:v>
      </x:c>
      <x:c r="H7361" s="1" t="n">
        <x:f>'Historical prices'!E7361</x:f>
        <x:v>1</x:v>
      </x:c>
      <x:c r="I7361" s="6" t="n">
        <x:f>'Historical prices'!D7361</x:f>
        <x:v>0.38670000000000004</x:v>
      </x:c>
      <x:c r="J7361" s="13" t="n">
        <x:f>D7361*I7361*H7361</x:f>
        <x:v>0.2722368</x:v>
      </x:c>
      <x:c r="K7361" s="13" t="n">
        <x:f>E7361*I7361*H7361</x:f>
        <x:v>0.24748799999999999</x:v>
      </x:c>
      <x:c r="L7361" s="1" t="str">
        <x:f>TEXT(A7361,"mmm yyyy")</x:f>
        <x:v>Oct 2026</x:v>
      </x:c>
    </x:row>
    <x:row r="7362" ht="21" customHeight="1">
      <x:c r="A7362" s="10" t="n">
        <x:v>46301</x:v>
      </x:c>
      <x:c r="B7362" s="1" t="n">
        <x:v>21</x:v>
      </x:c>
      <x:c r="C7362" s="1" t="n">
        <x:v>6</x:v>
      </x:c>
      <x:c r="D7362" s="12" t="n">
        <x:v>0.64825</x:v>
      </x:c>
      <x:c r="E7362" s="12" t="n">
        <x:v>0.57925</x:v>
      </x:c>
      <x:c r="F7362" s="12" t="n">
        <x:v>0</x:v>
      </x:c>
      <x:c r="G7362" s="12" t="n">
        <x:v>0.06899999999999999</x:v>
      </x:c>
      <x:c r="H7362" s="1" t="n">
        <x:f>'Historical prices'!E7362</x:f>
        <x:v>1</x:v>
      </x:c>
      <x:c r="I7362" s="6" t="n">
        <x:f>'Historical prices'!D7362</x:f>
        <x:v>0.392</x:v>
      </x:c>
      <x:c r="J7362" s="13" t="n">
        <x:f>D7362*I7362*H7362</x:f>
        <x:v>0.254114</x:v>
      </x:c>
      <x:c r="K7362" s="13" t="n">
        <x:f>E7362*I7362*H7362</x:f>
        <x:v>0.22706600000000002</x:v>
      </x:c>
      <x:c r="L7362" s="1" t="str">
        <x:f>TEXT(A7362,"mmm yyyy")</x:f>
        <x:v>Oct 2026</x:v>
      </x:c>
    </x:row>
    <x:row r="7363" ht="21" customHeight="1">
      <x:c r="A7363" s="10" t="n">
        <x:v>46301</x:v>
      </x:c>
      <x:c r="B7363" s="1" t="n">
        <x:v>21.5</x:v>
      </x:c>
      <x:c r="C7363" s="1" t="n">
        <x:v>6</x:v>
      </x:c>
      <x:c r="D7363" s="12" t="n">
        <x:v>0.71225</x:v>
      </x:c>
      <x:c r="E7363" s="12" t="n">
        <x:v>0.63625</x:v>
      </x:c>
      <x:c r="F7363" s="12" t="n">
        <x:v>0</x:v>
      </x:c>
      <x:c r="G7363" s="12" t="n">
        <x:v>0.076</x:v>
      </x:c>
      <x:c r="H7363" s="1" t="n">
        <x:f>'Historical prices'!E7363</x:f>
        <x:v>1</x:v>
      </x:c>
      <x:c r="I7363" s="6" t="n">
        <x:f>'Historical prices'!D7363</x:f>
        <x:v>0.3394</x:v>
      </x:c>
      <x:c r="J7363" s="13" t="n">
        <x:f>D7363*I7363*H7363</x:f>
        <x:v>0.24173765</x:v>
      </x:c>
      <x:c r="K7363" s="13" t="n">
        <x:f>E7363*I7363*H7363</x:f>
        <x:v>0.21594324999999998</x:v>
      </x:c>
      <x:c r="L7363" s="1" t="str">
        <x:f>TEXT(A7363,"mmm yyyy")</x:f>
        <x:v>Oct 2026</x:v>
      </x:c>
    </x:row>
    <x:row r="7364" ht="21" customHeight="1">
      <x:c r="A7364" s="10" t="n">
        <x:v>46301</x:v>
      </x:c>
      <x:c r="B7364" s="1" t="n">
        <x:v>22</x:v>
      </x:c>
      <x:c r="C7364" s="1" t="n">
        <x:v>6</x:v>
      </x:c>
      <x:c r="D7364" s="12" t="n">
        <x:v>0.85525</x:v>
      </x:c>
      <x:c r="E7364" s="12" t="n">
        <x:v>0.78125</x:v>
      </x:c>
      <x:c r="F7364" s="12" t="n">
        <x:v>0</x:v>
      </x:c>
      <x:c r="G7364" s="12" t="n">
        <x:v>0.074</x:v>
      </x:c>
      <x:c r="H7364" s="1" t="n">
        <x:f>'Historical prices'!E7364</x:f>
        <x:v>1</x:v>
      </x:c>
      <x:c r="I7364" s="6" t="n">
        <x:f>'Historical prices'!D7364</x:f>
        <x:v>0.3414</x:v>
      </x:c>
      <x:c r="J7364" s="13" t="n">
        <x:f>D7364*I7364*H7364</x:f>
        <x:v>0.29198234999999995</x:v>
      </x:c>
      <x:c r="K7364" s="13" t="n">
        <x:f>E7364*I7364*H7364</x:f>
        <x:v>0.26671875</x:v>
      </x:c>
      <x:c r="L7364" s="1" t="str">
        <x:f>TEXT(A7364,"mmm yyyy")</x:f>
        <x:v>Oct 2026</x:v>
      </x:c>
    </x:row>
    <x:row r="7365" ht="21" customHeight="1">
      <x:c r="A7365" s="10" t="n">
        <x:v>46301</x:v>
      </x:c>
      <x:c r="B7365" s="1" t="n">
        <x:v>22.5</x:v>
      </x:c>
      <x:c r="C7365" s="1" t="n">
        <x:v>6</x:v>
      </x:c>
      <x:c r="D7365" s="12" t="n">
        <x:v>0.41925000000000007</x:v>
      </x:c>
      <x:c r="E7365" s="12" t="n">
        <x:v>0.31425000000000003</x:v>
      </x:c>
      <x:c r="F7365" s="12" t="n">
        <x:v>0</x:v>
      </x:c>
      <x:c r="G7365" s="12" t="n">
        <x:v>0.10500000000000001</x:v>
      </x:c>
      <x:c r="H7365" s="1" t="n">
        <x:f>'Historical prices'!E7365</x:f>
        <x:v>1</x:v>
      </x:c>
      <x:c r="I7365" s="6" t="n">
        <x:f>'Historical prices'!D7365</x:f>
        <x:v>0.34049999999999997</x:v>
      </x:c>
      <x:c r="J7365" s="13" t="n">
        <x:f>D7365*I7365*H7365</x:f>
        <x:v>0.14275462500000002</x:v>
      </x:c>
      <x:c r="K7365" s="13" t="n">
        <x:f>E7365*I7365*H7365</x:f>
        <x:v>0.107002125</x:v>
      </x:c>
      <x:c r="L7365" s="1" t="str">
        <x:f>TEXT(A7365,"mmm yyyy")</x:f>
        <x:v>Oct 2026</x:v>
      </x:c>
    </x:row>
    <x:row r="7366" ht="21" customHeight="1">
      <x:c r="A7366" s="10" t="n">
        <x:v>46301</x:v>
      </x:c>
      <x:c r="B7366" s="1" t="n">
        <x:v>23</x:v>
      </x:c>
      <x:c r="C7366" s="1" t="n">
        <x:v>6</x:v>
      </x:c>
      <x:c r="D7366" s="12" t="n">
        <x:v>0.35875</x:v>
      </x:c>
      <x:c r="E7366" s="12" t="n">
        <x:v>0.24575000000000002</x:v>
      </x:c>
      <x:c r="F7366" s="12" t="n">
        <x:v>0</x:v>
      </x:c>
      <x:c r="G7366" s="12" t="n">
        <x:v>0.113</x:v>
      </x:c>
      <x:c r="H7366" s="1" t="n">
        <x:f>'Historical prices'!E7366</x:f>
        <x:v>1</x:v>
      </x:c>
      <x:c r="I7366" s="6" t="n">
        <x:f>'Historical prices'!D7366</x:f>
        <x:v>0.3236</x:v>
      </x:c>
      <x:c r="J7366" s="13" t="n">
        <x:f>D7366*I7366*H7366</x:f>
        <x:v>0.1160915</x:v>
      </x:c>
      <x:c r="K7366" s="13" t="n">
        <x:f>E7366*I7366*H7366</x:f>
        <x:v>0.0795247</x:v>
      </x:c>
      <x:c r="L7366" s="1" t="str">
        <x:f>TEXT(A7366,"mmm yyyy")</x:f>
        <x:v>Oct 2026</x:v>
      </x:c>
    </x:row>
    <x:row r="7367" ht="21" customHeight="1">
      <x:c r="A7367" s="10" t="n">
        <x:v>46301</x:v>
      </x:c>
      <x:c r="B7367" s="1" t="n">
        <x:v>23.5</x:v>
      </x:c>
      <x:c r="C7367" s="1" t="n">
        <x:v>6</x:v>
      </x:c>
      <x:c r="D7367" s="12" t="n">
        <x:v>4.36375</x:v>
      </x:c>
      <x:c r="E7367" s="12" t="n">
        <x:v>0.47075</x:v>
      </x:c>
      <x:c r="F7367" s="12" t="n">
        <x:v>0</x:v>
      </x:c>
      <x:c r="G7367" s="12" t="n">
        <x:v>3.8930000000000002</x:v>
      </x:c>
      <x:c r="H7367" s="1" t="n">
        <x:f>'Historical prices'!E7367</x:f>
        <x:v>1</x:v>
      </x:c>
      <x:c r="I7367" s="6" t="n">
        <x:f>'Historical prices'!D7367</x:f>
        <x:v>0.32409999999999994</x:v>
      </x:c>
      <x:c r="J7367" s="13" t="n">
        <x:f>D7367*I7367*H7367</x:f>
        <x:v>1.4142913749999997</x:v>
      </x:c>
      <x:c r="K7367" s="13" t="n">
        <x:f>E7367*I7367*H7367</x:f>
        <x:v>0.15257007499999997</x:v>
      </x:c>
      <x:c r="L7367" s="1" t="str">
        <x:f>TEXT(A7367,"mmm yyyy")</x:f>
        <x:v>Oct 2026</x:v>
      </x:c>
    </x:row>
    <x:row r="7368" ht="21" customHeight="1">
      <x:c r="A7368" s="10" t="n">
        <x:v>46302</x:v>
      </x:c>
      <x:c r="B7368" s="1" t="n">
        <x:v>0</x:v>
      </x:c>
      <x:c r="C7368" s="1" t="n">
        <x:v>6</x:v>
      </x:c>
      <x:c r="D7368" s="12" t="n">
        <x:v>5.078749999999999</x:v>
      </x:c>
      <x:c r="E7368" s="12" t="n">
        <x:v>0.46375</x:v>
      </x:c>
      <x:c r="F7368" s="12" t="n">
        <x:v>0</x:v>
      </x:c>
      <x:c r="G7368" s="12" t="n">
        <x:v>4.615</x:v>
      </x:c>
      <x:c r="H7368" s="1" t="n">
        <x:f>'Historical prices'!E7368</x:f>
        <x:v>1</x:v>
      </x:c>
      <x:c r="I7368" s="6" t="n">
        <x:f>'Historical prices'!D7368</x:f>
        <x:v>0.2942</x:v>
      </x:c>
      <x:c r="J7368" s="13" t="n">
        <x:f>D7368*I7368*H7368</x:f>
        <x:v>1.49416825</x:v>
      </x:c>
      <x:c r="K7368" s="13" t="n">
        <x:f>E7368*I7368*H7368</x:f>
        <x:v>0.13643525</x:v>
      </x:c>
      <x:c r="L7368" s="1" t="str">
        <x:f>TEXT(A7368,"mmm yyyy")</x:f>
        <x:v>Oct 2026</x:v>
      </x:c>
    </x:row>
    <x:row r="7369" ht="21" customHeight="1">
      <x:c r="A7369" s="10" t="n">
        <x:v>46302</x:v>
      </x:c>
      <x:c r="B7369" s="1" t="n">
        <x:v>0.5</x:v>
      </x:c>
      <x:c r="C7369" s="1" t="n">
        <x:v>6</x:v>
      </x:c>
      <x:c r="D7369" s="12" t="n">
        <x:v>4.928</x:v>
      </x:c>
      <x:c r="E7369" s="12" t="n">
        <x:v>0.46099999999999997</x:v>
      </x:c>
      <x:c r="F7369" s="12" t="n">
        <x:v>0</x:v>
      </x:c>
      <x:c r="G7369" s="12" t="n">
        <x:v>4.467</x:v>
      </x:c>
      <x:c r="H7369" s="1" t="n">
        <x:f>'Historical prices'!E7369</x:f>
        <x:v>1</x:v>
      </x:c>
      <x:c r="I7369" s="6" t="n">
        <x:f>'Historical prices'!D7369</x:f>
        <x:v>0.2864</x:v>
      </x:c>
      <x:c r="J7369" s="13" t="n">
        <x:f>D7369*I7369*H7369</x:f>
        <x:v>1.4113791999999998</x:v>
      </x:c>
      <x:c r="K7369" s="13" t="n">
        <x:f>E7369*I7369*H7369</x:f>
        <x:v>0.1320304</x:v>
      </x:c>
      <x:c r="L7369" s="1" t="str">
        <x:f>TEXT(A7369,"mmm yyyy")</x:f>
        <x:v>Oct 2026</x:v>
      </x:c>
    </x:row>
    <x:row r="7370" ht="21" customHeight="1">
      <x:c r="A7370" s="10" t="n">
        <x:v>46302</x:v>
      </x:c>
      <x:c r="B7370" s="1" t="n">
        <x:v>1</x:v>
      </x:c>
      <x:c r="C7370" s="1" t="n">
        <x:v>6</x:v>
      </x:c>
      <x:c r="D7370" s="12" t="n">
        <x:v>5.2364999999999995</x:v>
      </x:c>
      <x:c r="E7370" s="12" t="n">
        <x:v>0.49649999999999994</x:v>
      </x:c>
      <x:c r="F7370" s="12" t="n">
        <x:v>0</x:v>
      </x:c>
      <x:c r="G7370" s="12" t="n">
        <x:v>4.74</x:v>
      </x:c>
      <x:c r="H7370" s="1" t="n">
        <x:f>'Historical prices'!E7370</x:f>
        <x:v>1</x:v>
      </x:c>
      <x:c r="I7370" s="6" t="n">
        <x:f>'Historical prices'!D7370</x:f>
        <x:v>0.2776</x:v>
      </x:c>
      <x:c r="J7370" s="13" t="n">
        <x:f>D7370*I7370*H7370</x:f>
        <x:v>1.4536524</x:v>
      </x:c>
      <x:c r="K7370" s="13" t="n">
        <x:f>E7370*I7370*H7370</x:f>
        <x:v>0.1378284</x:v>
      </x:c>
      <x:c r="L7370" s="1" t="str">
        <x:f>TEXT(A7370,"mmm yyyy")</x:f>
        <x:v>Oct 2026</x:v>
      </x:c>
    </x:row>
    <x:row r="7371" ht="21" customHeight="1">
      <x:c r="A7371" s="10" t="n">
        <x:v>46302</x:v>
      </x:c>
      <x:c r="B7371" s="1" t="n">
        <x:v>1.5</x:v>
      </x:c>
      <x:c r="C7371" s="1" t="n">
        <x:v>6</x:v>
      </x:c>
      <x:c r="D7371" s="12" t="n">
        <x:v>5.1602500000000004</x:v>
      </x:c>
      <x:c r="E7371" s="12" t="n">
        <x:v>0.46125</x:v>
      </x:c>
      <x:c r="F7371" s="12" t="n">
        <x:v>0</x:v>
      </x:c>
      <x:c r="G7371" s="12" t="n">
        <x:v>4.699000000000001</x:v>
      </x:c>
      <x:c r="H7371" s="1" t="n">
        <x:f>'Historical prices'!E7371</x:f>
        <x:v>1</x:v>
      </x:c>
      <x:c r="I7371" s="6" t="n">
        <x:f>'Historical prices'!D7371</x:f>
        <x:v>0.27399999999999997</x:v>
      </x:c>
      <x:c r="J7371" s="13" t="n">
        <x:f>D7371*I7371*H7371</x:f>
        <x:v>1.4139085</x:v>
      </x:c>
      <x:c r="K7371" s="13" t="n">
        <x:f>E7371*I7371*H7371</x:f>
        <x:v>0.12638249999999998</x:v>
      </x:c>
      <x:c r="L7371" s="1" t="str">
        <x:f>TEXT(A7371,"mmm yyyy")</x:f>
        <x:v>Oct 2026</x:v>
      </x:c>
    </x:row>
    <x:row r="7372" ht="21" customHeight="1">
      <x:c r="A7372" s="10" t="n">
        <x:v>46302</x:v>
      </x:c>
      <x:c r="B7372" s="1" t="n">
        <x:v>2</x:v>
      </x:c>
      <x:c r="C7372" s="1" t="n">
        <x:v>6</x:v>
      </x:c>
      <x:c r="D7372" s="12" t="n">
        <x:v>4.83725</x:v>
      </x:c>
      <x:c r="E7372" s="12" t="n">
        <x:v>0.44725000000000004</x:v>
      </x:c>
      <x:c r="F7372" s="12" t="n">
        <x:v>0</x:v>
      </x:c>
      <x:c r="G7372" s="12" t="n">
        <x:v>4.39</x:v>
      </x:c>
      <x:c r="H7372" s="1" t="n">
        <x:f>'Historical prices'!E7372</x:f>
        <x:v>1</x:v>
      </x:c>
      <x:c r="I7372" s="6" t="n">
        <x:f>'Historical prices'!D7372</x:f>
        <x:v>0.2778</x:v>
      </x:c>
      <x:c r="J7372" s="13" t="n">
        <x:f>D7372*I7372*H7372</x:f>
        <x:v>1.34378805</x:v>
      </x:c>
      <x:c r="K7372" s="13" t="n">
        <x:f>E7372*I7372*H7372</x:f>
        <x:v>0.12424605000000001</x:v>
      </x:c>
      <x:c r="L7372" s="1" t="str">
        <x:f>TEXT(A7372,"mmm yyyy")</x:f>
        <x:v>Oct 2026</x:v>
      </x:c>
    </x:row>
    <x:row r="7373" ht="21" customHeight="1">
      <x:c r="A7373" s="10" t="n">
        <x:v>46302</x:v>
      </x:c>
      <x:c r="B7373" s="1" t="n">
        <x:v>2.5</x:v>
      </x:c>
      <x:c r="C7373" s="1" t="n">
        <x:v>6</x:v>
      </x:c>
      <x:c r="D7373" s="12" t="n">
        <x:v>2.4505</x:v>
      </x:c>
      <x:c r="E7373" s="12" t="n">
        <x:v>0.42950000000000005</x:v>
      </x:c>
      <x:c r="F7373" s="12" t="n">
        <x:v>0</x:v>
      </x:c>
      <x:c r="G7373" s="12" t="n">
        <x:v>2.0210000000000004</x:v>
      </x:c>
      <x:c r="H7373" s="1" t="n">
        <x:f>'Historical prices'!E7373</x:f>
        <x:v>1</x:v>
      </x:c>
      <x:c r="I7373" s="6" t="n">
        <x:f>'Historical prices'!D7373</x:f>
        <x:v>0.27190000000000003</x:v>
      </x:c>
      <x:c r="J7373" s="13" t="n">
        <x:f>D7373*I7373*H7373</x:f>
        <x:v>0.66629095</x:v>
      </x:c>
      <x:c r="K7373" s="13" t="n">
        <x:f>E7373*I7373*H7373</x:f>
        <x:v>0.11678105000000003</x:v>
      </x:c>
      <x:c r="L7373" s="1" t="str">
        <x:f>TEXT(A7373,"mmm yyyy")</x:f>
        <x:v>Oct 2026</x:v>
      </x:c>
    </x:row>
    <x:row r="7374" ht="21" customHeight="1">
      <x:c r="A7374" s="10" t="n">
        <x:v>46302</x:v>
      </x:c>
      <x:c r="B7374" s="1" t="n">
        <x:v>3</x:v>
      </x:c>
      <x:c r="C7374" s="1" t="n">
        <x:v>6</x:v>
      </x:c>
      <x:c r="D7374" s="12" t="n">
        <x:v>0.6252500000000001</x:v>
      </x:c>
      <x:c r="E7374" s="12" t="n">
        <x:v>0.22325</x:v>
      </x:c>
      <x:c r="F7374" s="12" t="n">
        <x:v>0</x:v>
      </x:c>
      <x:c r="G7374" s="12" t="n">
        <x:v>0.40700000000000003</x:v>
      </x:c>
      <x:c r="H7374" s="1" t="n">
        <x:f>'Historical prices'!E7374</x:f>
        <x:v>1</x:v>
      </x:c>
      <x:c r="I7374" s="6" t="n">
        <x:f>'Historical prices'!D7374</x:f>
        <x:v>0.2728</x:v>
      </x:c>
      <x:c r="J7374" s="13" t="n">
        <x:f>D7374*I7374*H7374</x:f>
        <x:v>0.1705682</x:v>
      </x:c>
      <x:c r="K7374" s="13" t="n">
        <x:f>E7374*I7374*H7374</x:f>
        <x:v>0.0609026</x:v>
      </x:c>
      <x:c r="L7374" s="1" t="str">
        <x:f>TEXT(A7374,"mmm yyyy")</x:f>
        <x:v>Oct 2026</x:v>
      </x:c>
    </x:row>
    <x:row r="7375" ht="21" customHeight="1">
      <x:c r="A7375" s="10" t="n">
        <x:v>46302</x:v>
      </x:c>
      <x:c r="B7375" s="1" t="n">
        <x:v>3.5</x:v>
      </x:c>
      <x:c r="C7375" s="1" t="n">
        <x:v>6</x:v>
      </x:c>
      <x:c r="D7375" s="12" t="n">
        <x:v>0.14825</x:v>
      </x:c>
      <x:c r="E7375" s="12" t="n">
        <x:v>0.15725</x:v>
      </x:c>
      <x:c r="F7375" s="12" t="n">
        <x:v>0</x:v>
      </x:c>
      <x:c r="G7375" s="12" t="n">
        <x:v>0</x:v>
      </x:c>
      <x:c r="H7375" s="1" t="n">
        <x:f>'Historical prices'!E7375</x:f>
        <x:v>1</x:v>
      </x:c>
      <x:c r="I7375" s="6" t="n">
        <x:f>'Historical prices'!D7375</x:f>
        <x:v>0.2692</x:v>
      </x:c>
      <x:c r="J7375" s="13" t="n">
        <x:f>D7375*I7375*H7375</x:f>
        <x:v>0.0399089</x:v>
      </x:c>
      <x:c r="K7375" s="13" t="n">
        <x:f>E7375*I7375*H7375</x:f>
        <x:v>0.0423317</x:v>
      </x:c>
      <x:c r="L7375" s="1" t="str">
        <x:f>TEXT(A7375,"mmm yyyy")</x:f>
        <x:v>Oct 2026</x:v>
      </x:c>
    </x:row>
    <x:row r="7376" ht="21" customHeight="1">
      <x:c r="A7376" s="10" t="n">
        <x:v>46302</x:v>
      </x:c>
      <x:c r="B7376" s="1" t="n">
        <x:v>4</x:v>
      </x:c>
      <x:c r="C7376" s="1" t="n">
        <x:v>6</x:v>
      </x:c>
      <x:c r="D7376" s="12" t="n">
        <x:v>0.21250000000000002</x:v>
      </x:c>
      <x:c r="E7376" s="12" t="n">
        <x:v>0.22449999999999998</x:v>
      </x:c>
      <x:c r="F7376" s="12" t="n">
        <x:v>0</x:v>
      </x:c>
      <x:c r="G7376" s="12" t="n">
        <x:v>0</x:v>
      </x:c>
      <x:c r="H7376" s="1" t="n">
        <x:f>'Historical prices'!E7376</x:f>
        <x:v>1</x:v>
      </x:c>
      <x:c r="I7376" s="6" t="n">
        <x:f>'Historical prices'!D7376</x:f>
        <x:v>0.2812</x:v>
      </x:c>
      <x:c r="J7376" s="13" t="n">
        <x:f>D7376*I7376*H7376</x:f>
        <x:v>0.05975500000000001</x:v>
      </x:c>
      <x:c r="K7376" s="13" t="n">
        <x:f>E7376*I7376*H7376</x:f>
        <x:v>0.06312939999999999</x:v>
      </x:c>
      <x:c r="L7376" s="1" t="str">
        <x:f>TEXT(A7376,"mmm yyyy")</x:f>
        <x:v>Oct 2026</x:v>
      </x:c>
    </x:row>
    <x:row r="7377" ht="21" customHeight="1">
      <x:c r="A7377" s="10" t="n">
        <x:v>46302</x:v>
      </x:c>
      <x:c r="B7377" s="1" t="n">
        <x:v>4.5</x:v>
      </x:c>
      <x:c r="C7377" s="1" t="n">
        <x:v>6</x:v>
      </x:c>
      <x:c r="D7377" s="12" t="n">
        <x:v>0.2175</x:v>
      </x:c>
      <x:c r="E7377" s="12" t="n">
        <x:v>0.2275</x:v>
      </x:c>
      <x:c r="F7377" s="12" t="n">
        <x:v>0</x:v>
      </x:c>
      <x:c r="G7377" s="12" t="n">
        <x:v>0</x:v>
      </x:c>
      <x:c r="H7377" s="1" t="n">
        <x:f>'Historical prices'!E7377</x:f>
        <x:v>1</x:v>
      </x:c>
      <x:c r="I7377" s="6" t="n">
        <x:f>'Historical prices'!D7377</x:f>
        <x:v>0.2753</x:v>
      </x:c>
      <x:c r="J7377" s="13" t="n">
        <x:f>D7377*I7377*H7377</x:f>
        <x:v>0.05987775</x:v>
      </x:c>
      <x:c r="K7377" s="13" t="n">
        <x:f>E7377*I7377*H7377</x:f>
        <x:v>0.06263075</x:v>
      </x:c>
      <x:c r="L7377" s="1" t="str">
        <x:f>TEXT(A7377,"mmm yyyy")</x:f>
        <x:v>Oct 2026</x:v>
      </x:c>
    </x:row>
    <x:row r="7378" ht="21" customHeight="1">
      <x:c r="A7378" s="10" t="n">
        <x:v>46302</x:v>
      </x:c>
      <x:c r="B7378" s="1" t="n">
        <x:v>5</x:v>
      </x:c>
      <x:c r="C7378" s="1" t="n">
        <x:v>6</x:v>
      </x:c>
      <x:c r="D7378" s="12" t="n">
        <x:v>0.16225</x:v>
      </x:c>
      <x:c r="E7378" s="12" t="n">
        <x:v>0.17225</x:v>
      </x:c>
      <x:c r="F7378" s="12" t="n">
        <x:v>0</x:v>
      </x:c>
      <x:c r="G7378" s="12" t="n">
        <x:v>0</x:v>
      </x:c>
      <x:c r="H7378" s="1" t="n">
        <x:f>'Historical prices'!E7378</x:f>
        <x:v>1</x:v>
      </x:c>
      <x:c r="I7378" s="6" t="n">
        <x:f>'Historical prices'!D7378</x:f>
        <x:v>0.3182</x:v>
      </x:c>
      <x:c r="J7378" s="13" t="n">
        <x:f>D7378*I7378*H7378</x:f>
        <x:v>0.05162795</x:v>
      </x:c>
      <x:c r="K7378" s="13" t="n">
        <x:f>E7378*I7378*H7378</x:f>
        <x:v>0.054809949999999996</x:v>
      </x:c>
      <x:c r="L7378" s="1" t="str">
        <x:f>TEXT(A7378,"mmm yyyy")</x:f>
        <x:v>Oct 2026</x:v>
      </x:c>
    </x:row>
    <x:row r="7379" ht="21" customHeight="1">
      <x:c r="A7379" s="10" t="n">
        <x:v>46302</x:v>
      </x:c>
      <x:c r="B7379" s="1" t="n">
        <x:v>5.5</x:v>
      </x:c>
      <x:c r="C7379" s="1" t="n">
        <x:v>6</x:v>
      </x:c>
      <x:c r="D7379" s="12" t="n">
        <x:v>0.0295</x:v>
      </x:c>
      <x:c r="E7379" s="12" t="n">
        <x:v>1.3358333333333334</x:v>
      </x:c>
      <x:c r="F7379" s="12" t="n">
        <x:v>1.3034166666666667</x:v>
      </x:c>
      <x:c r="G7379" s="12" t="n">
        <x:v>0</x:v>
      </x:c>
      <x:c r="H7379" s="1" t="n">
        <x:f>'Historical prices'!E7379</x:f>
        <x:v>1</x:v>
      </x:c>
      <x:c r="I7379" s="6" t="n">
        <x:f>'Historical prices'!D7379</x:f>
        <x:v>0.3312</x:v>
      </x:c>
      <x:c r="J7379" s="13" t="n">
        <x:f>D7379*I7379*H7379</x:f>
        <x:v>0.009770399999999999</x:v>
      </x:c>
      <x:c r="K7379" s="13" t="n">
        <x:f>E7379*I7379*H7379</x:f>
        <x:v>0.44242800000000004</x:v>
      </x:c>
      <x:c r="L7379" s="1" t="str">
        <x:f>TEXT(A7379,"mmm yyyy")</x:f>
        <x:v>Oct 2026</x:v>
      </x:c>
    </x:row>
    <x:row r="7380" ht="21" customHeight="1">
      <x:c r="A7380" s="10" t="n">
        <x:v>46302</x:v>
      </x:c>
      <x:c r="B7380" s="1" t="n">
        <x:v>6</x:v>
      </x:c>
      <x:c r="C7380" s="1" t="n">
        <x:v>6</x:v>
      </x:c>
      <x:c r="D7380" s="12" t="n">
        <x:v>0</x:v>
      </x:c>
      <x:c r="E7380" s="12" t="n">
        <x:v>1.8108333333333333</x:v>
      </x:c>
      <x:c r="F7380" s="12" t="n">
        <x:v>1.8104166666666666</x:v>
      </x:c>
      <x:c r="G7380" s="12" t="n">
        <x:v>0</x:v>
      </x:c>
      <x:c r="H7380" s="1" t="n">
        <x:f>'Historical prices'!E7380</x:f>
        <x:v>1</x:v>
      </x:c>
      <x:c r="I7380" s="6" t="n">
        <x:f>'Historical prices'!D7380</x:f>
        <x:v>0.3856</x:v>
      </x:c>
      <x:c r="J7380" s="13" t="n">
        <x:f>D7380*I7380*H7380</x:f>
        <x:v>0</x:v>
      </x:c>
      <x:c r="K7380" s="13" t="n">
        <x:f>E7380*I7380*H7380</x:f>
        <x:v>0.6982573333333333</x:v>
      </x:c>
      <x:c r="L7380" s="1" t="str">
        <x:f>TEXT(A7380,"mmm yyyy")</x:f>
        <x:v>Oct 2026</x:v>
      </x:c>
    </x:row>
    <x:row r="7381" ht="21" customHeight="1">
      <x:c r="A7381" s="10" t="n">
        <x:v>46302</x:v>
      </x:c>
      <x:c r="B7381" s="1" t="n">
        <x:v>6.5</x:v>
      </x:c>
      <x:c r="C7381" s="1" t="n">
        <x:v>6</x:v>
      </x:c>
      <x:c r="D7381" s="12" t="n">
        <x:v>0</x:v>
      </x:c>
      <x:c r="E7381" s="12" t="n">
        <x:v>1.2633333333333334</x:v>
      </x:c>
      <x:c r="F7381" s="12" t="n">
        <x:v>1.2626666666666668</x:v>
      </x:c>
      <x:c r="G7381" s="12" t="n">
        <x:v>0</x:v>
      </x:c>
      <x:c r="H7381" s="1" t="n">
        <x:f>'Historical prices'!E7381</x:f>
        <x:v>1</x:v>
      </x:c>
      <x:c r="I7381" s="6" t="n">
        <x:f>'Historical prices'!D7381</x:f>
        <x:v>0.4202</x:v>
      </x:c>
      <x:c r="J7381" s="13" t="n">
        <x:f>D7381*I7381*H7381</x:f>
        <x:v>0</x:v>
      </x:c>
      <x:c r="K7381" s="13" t="n">
        <x:f>E7381*I7381*H7381</x:f>
        <x:v>0.5308526666666668</x:v>
      </x:c>
      <x:c r="L7381" s="1" t="str">
        <x:f>TEXT(A7381,"mmm yyyy")</x:f>
        <x:v>Oct 2026</x:v>
      </x:c>
    </x:row>
    <x:row r="7382" ht="21" customHeight="1">
      <x:c r="A7382" s="10" t="n">
        <x:v>46302</x:v>
      </x:c>
      <x:c r="B7382" s="1" t="n">
        <x:v>7</x:v>
      </x:c>
      <x:c r="C7382" s="1" t="n">
        <x:v>6</x:v>
      </x:c>
      <x:c r="D7382" s="12" t="n">
        <x:v>0</x:v>
      </x:c>
      <x:c r="E7382" s="12" t="n">
        <x:v>1.4446666666666665</x:v>
      </x:c>
      <x:c r="F7382" s="12" t="n">
        <x:v>1.4436666666666667</x:v>
      </x:c>
      <x:c r="G7382" s="12" t="n">
        <x:v>0</x:v>
      </x:c>
      <x:c r="H7382" s="1" t="n">
        <x:f>'Historical prices'!E7382</x:f>
        <x:v>1</x:v>
      </x:c>
      <x:c r="I7382" s="6" t="n">
        <x:f>'Historical prices'!D7382</x:f>
        <x:v>0.3776</x:v>
      </x:c>
      <x:c r="J7382" s="13" t="n">
        <x:f>D7382*I7382*H7382</x:f>
        <x:v>0</x:v>
      </x:c>
      <x:c r="K7382" s="13" t="n">
        <x:f>E7382*I7382*H7382</x:f>
        <x:v>0.5455061333333333</x:v>
      </x:c>
      <x:c r="L7382" s="1" t="str">
        <x:f>TEXT(A7382,"mmm yyyy")</x:f>
        <x:v>Oct 2026</x:v>
      </x:c>
    </x:row>
    <x:row r="7383" ht="21" customHeight="1">
      <x:c r="A7383" s="10" t="n">
        <x:v>46302</x:v>
      </x:c>
      <x:c r="B7383" s="1" t="n">
        <x:v>7.5</x:v>
      </x:c>
      <x:c r="C7383" s="1" t="n">
        <x:v>6</x:v>
      </x:c>
      <x:c r="D7383" s="12" t="n">
        <x:v>0.03916666666666667</x:v>
      </x:c>
      <x:c r="E7383" s="12" t="n">
        <x:v>1.3070000000000002</x:v>
      </x:c>
      <x:c r="F7383" s="12" t="n">
        <x:v>1.2565833333333334</x:v>
      </x:c>
      <x:c r="G7383" s="12" t="n">
        <x:v>0</x:v>
      </x:c>
      <x:c r="H7383" s="1" t="n">
        <x:f>'Historical prices'!E7383</x:f>
        <x:v>1</x:v>
      </x:c>
      <x:c r="I7383" s="6" t="n">
        <x:f>'Historical prices'!D7383</x:f>
        <x:v>0.42479999999999996</x:v>
      </x:c>
      <x:c r="J7383" s="13" t="n">
        <x:f>D7383*I7383*H7383</x:f>
        <x:v>0.016638</x:v>
      </x:c>
      <x:c r="K7383" s="13" t="n">
        <x:f>E7383*I7383*H7383</x:f>
        <x:v>0.5552136</x:v>
      </x:c>
      <x:c r="L7383" s="1" t="str">
        <x:f>TEXT(A7383,"mmm yyyy")</x:f>
        <x:v>Oct 2026</x:v>
      </x:c>
    </x:row>
    <x:row r="7384" ht="21" customHeight="1">
      <x:c r="A7384" s="10" t="n">
        <x:v>46302</x:v>
      </x:c>
      <x:c r="B7384" s="1" t="n">
        <x:v>8</x:v>
      </x:c>
      <x:c r="C7384" s="1" t="n">
        <x:v>6</x:v>
      </x:c>
      <x:c r="D7384" s="12" t="n">
        <x:v>0</x:v>
      </x:c>
      <x:c r="E7384" s="12" t="n">
        <x:v>0.7803333333333333</x:v>
      </x:c>
      <x:c r="F7384" s="12" t="n">
        <x:v>0.7796666666666667</x:v>
      </x:c>
      <x:c r="G7384" s="12" t="n">
        <x:v>0</x:v>
      </x:c>
      <x:c r="H7384" s="1" t="n">
        <x:f>'Historical prices'!E7384</x:f>
        <x:v>1</x:v>
      </x:c>
      <x:c r="I7384" s="6" t="n">
        <x:f>'Historical prices'!D7384</x:f>
        <x:v>0.3601</x:v>
      </x:c>
      <x:c r="J7384" s="13" t="n">
        <x:f>D7384*I7384*H7384</x:f>
        <x:v>0</x:v>
      </x:c>
      <x:c r="K7384" s="13" t="n">
        <x:f>E7384*I7384*H7384</x:f>
        <x:v>0.2809980333333333</x:v>
      </x:c>
      <x:c r="L7384" s="1" t="str">
        <x:f>TEXT(A7384,"mmm yyyy")</x:f>
        <x:v>Oct 2026</x:v>
      </x:c>
    </x:row>
    <x:row r="7385" ht="21" customHeight="1">
      <x:c r="A7385" s="10" t="n">
        <x:v>46302</x:v>
      </x:c>
      <x:c r="B7385" s="1" t="n">
        <x:v>8.5</x:v>
      </x:c>
      <x:c r="C7385" s="1" t="n">
        <x:v>6</x:v>
      </x:c>
      <x:c r="D7385" s="12" t="n">
        <x:v>0</x:v>
      </x:c>
      <x:c r="E7385" s="12" t="n">
        <x:v>0.97125</x:v>
      </x:c>
      <x:c r="F7385" s="12" t="n">
        <x:v>0.9709999999999999</x:v>
      </x:c>
      <x:c r="G7385" s="12" t="n">
        <x:v>0</x:v>
      </x:c>
      <x:c r="H7385" s="1" t="n">
        <x:f>'Historical prices'!E7385</x:f>
        <x:v>1</x:v>
      </x:c>
      <x:c r="I7385" s="6" t="n">
        <x:f>'Historical prices'!D7385</x:f>
        <x:v>0.35479999999999995</x:v>
      </x:c>
      <x:c r="J7385" s="13" t="n">
        <x:f>D7385*I7385*H7385</x:f>
        <x:v>0</x:v>
      </x:c>
      <x:c r="K7385" s="13" t="n">
        <x:f>E7385*I7385*H7385</x:f>
        <x:v>0.34459949999999995</x:v>
      </x:c>
      <x:c r="L7385" s="1" t="str">
        <x:f>TEXT(A7385,"mmm yyyy")</x:f>
        <x:v>Oct 2026</x:v>
      </x:c>
    </x:row>
    <x:row r="7386" ht="21" customHeight="1">
      <x:c r="A7386" s="10" t="n">
        <x:v>46302</x:v>
      </x:c>
      <x:c r="B7386" s="1" t="n">
        <x:v>9</x:v>
      </x:c>
      <x:c r="C7386" s="1" t="n">
        <x:v>6</x:v>
      </x:c>
      <x:c r="D7386" s="12" t="n">
        <x:v>0</x:v>
      </x:c>
      <x:c r="E7386" s="12" t="n">
        <x:v>0.7671666666666667</x:v>
      </x:c>
      <x:c r="F7386" s="12" t="n">
        <x:v>0.7670833333333333</x:v>
      </x:c>
      <x:c r="G7386" s="12" t="n">
        <x:v>0</x:v>
      </x:c>
      <x:c r="H7386" s="1" t="n">
        <x:f>'Historical prices'!E7386</x:f>
        <x:v>1</x:v>
      </x:c>
      <x:c r="I7386" s="6" t="n">
        <x:f>'Historical prices'!D7386</x:f>
        <x:v>0.3078</x:v>
      </x:c>
      <x:c r="J7386" s="13" t="n">
        <x:f>D7386*I7386*H7386</x:f>
        <x:v>0</x:v>
      </x:c>
      <x:c r="K7386" s="13" t="n">
        <x:f>E7386*I7386*H7386</x:f>
        <x:v>0.2361339</x:v>
      </x:c>
      <x:c r="L7386" s="1" t="str">
        <x:f>TEXT(A7386,"mmm yyyy")</x:f>
        <x:v>Oct 2026</x:v>
      </x:c>
    </x:row>
    <x:row r="7387" ht="21" customHeight="1">
      <x:c r="A7387" s="10" t="n">
        <x:v>46302</x:v>
      </x:c>
      <x:c r="B7387" s="1" t="n">
        <x:v>9.5</x:v>
      </x:c>
      <x:c r="C7387" s="1" t="n">
        <x:v>6</x:v>
      </x:c>
      <x:c r="D7387" s="12" t="n">
        <x:v>0</x:v>
      </x:c>
      <x:c r="E7387" s="12" t="n">
        <x:v>0.804</x:v>
      </x:c>
      <x:c r="F7387" s="12" t="n">
        <x:v>0.8035000000000001</x:v>
      </x:c>
      <x:c r="G7387" s="12" t="n">
        <x:v>0</x:v>
      </x:c>
      <x:c r="H7387" s="1" t="n">
        <x:f>'Historical prices'!E7387</x:f>
        <x:v>1</x:v>
      </x:c>
      <x:c r="I7387" s="6" t="n">
        <x:f>'Historical prices'!D7387</x:f>
        <x:v>0.3002</x:v>
      </x:c>
      <x:c r="J7387" s="13" t="n">
        <x:f>D7387*I7387*H7387</x:f>
        <x:v>0</x:v>
      </x:c>
      <x:c r="K7387" s="13" t="n">
        <x:f>E7387*I7387*H7387</x:f>
        <x:v>0.24136080000000004</x:v>
      </x:c>
      <x:c r="L7387" s="1" t="str">
        <x:f>TEXT(A7387,"mmm yyyy")</x:f>
        <x:v>Oct 2026</x:v>
      </x:c>
    </x:row>
    <x:row r="7388" ht="21" customHeight="1">
      <x:c r="A7388" s="10" t="n">
        <x:v>46302</x:v>
      </x:c>
      <x:c r="B7388" s="1" t="n">
        <x:v>10</x:v>
      </x:c>
      <x:c r="C7388" s="1" t="n">
        <x:v>6</x:v>
      </x:c>
      <x:c r="D7388" s="12" t="n">
        <x:v>0</x:v>
      </x:c>
      <x:c r="E7388" s="12" t="n">
        <x:v>0.83975</x:v>
      </x:c>
      <x:c r="F7388" s="12" t="n">
        <x:v>0.8394166666666666</x:v>
      </x:c>
      <x:c r="G7388" s="12" t="n">
        <x:v>0</x:v>
      </x:c>
      <x:c r="H7388" s="1" t="n">
        <x:f>'Historical prices'!E7388</x:f>
        <x:v>1</x:v>
      </x:c>
      <x:c r="I7388" s="6" t="n">
        <x:f>'Historical prices'!D7388</x:f>
        <x:v>0.2994</x:v>
      </x:c>
      <x:c r="J7388" s="13" t="n">
        <x:f>D7388*I7388*H7388</x:f>
        <x:v>0</x:v>
      </x:c>
      <x:c r="K7388" s="13" t="n">
        <x:f>E7388*I7388*H7388</x:f>
        <x:v>0.25142115</x:v>
      </x:c>
      <x:c r="L7388" s="1" t="str">
        <x:f>TEXT(A7388,"mmm yyyy")</x:f>
        <x:v>Oct 2026</x:v>
      </x:c>
    </x:row>
    <x:row r="7389" ht="21" customHeight="1">
      <x:c r="A7389" s="10" t="n">
        <x:v>46302</x:v>
      </x:c>
      <x:c r="B7389" s="1" t="n">
        <x:v>10.5</x:v>
      </x:c>
      <x:c r="C7389" s="1" t="n">
        <x:v>6</x:v>
      </x:c>
      <x:c r="D7389" s="12" t="n">
        <x:v>0</x:v>
      </x:c>
      <x:c r="E7389" s="12" t="n">
        <x:v>0.9565833333333333</x:v>
      </x:c>
      <x:c r="F7389" s="12" t="n">
        <x:v>0.95575</x:v>
      </x:c>
      <x:c r="G7389" s="12" t="n">
        <x:v>0</x:v>
      </x:c>
      <x:c r="H7389" s="1" t="n">
        <x:f>'Historical prices'!E7389</x:f>
        <x:v>1</x:v>
      </x:c>
      <x:c r="I7389" s="6" t="n">
        <x:f>'Historical prices'!D7389</x:f>
        <x:v>0.2894</x:v>
      </x:c>
      <x:c r="J7389" s="13" t="n">
        <x:f>D7389*I7389*H7389</x:f>
        <x:v>0</x:v>
      </x:c>
      <x:c r="K7389" s="13" t="n">
        <x:f>E7389*I7389*H7389</x:f>
        <x:v>0.27683521666666666</x:v>
      </x:c>
      <x:c r="L7389" s="1" t="str">
        <x:f>TEXT(A7389,"mmm yyyy")</x:f>
        <x:v>Oct 2026</x:v>
      </x:c>
    </x:row>
    <x:row r="7390" ht="21" customHeight="1">
      <x:c r="A7390" s="10" t="n">
        <x:v>46302</x:v>
      </x:c>
      <x:c r="B7390" s="1" t="n">
        <x:v>11</x:v>
      </x:c>
      <x:c r="C7390" s="1" t="n">
        <x:v>6</x:v>
      </x:c>
      <x:c r="D7390" s="12" t="n">
        <x:v>0</x:v>
      </x:c>
      <x:c r="E7390" s="12" t="n">
        <x:v>0.78175</x:v>
      </x:c>
      <x:c r="F7390" s="12" t="n">
        <x:v>0.78175</x:v>
      </x:c>
      <x:c r="G7390" s="12" t="n">
        <x:v>0</x:v>
      </x:c>
      <x:c r="H7390" s="1" t="n">
        <x:f>'Historical prices'!E7390</x:f>
        <x:v>1</x:v>
      </x:c>
      <x:c r="I7390" s="6" t="n">
        <x:f>'Historical prices'!D7390</x:f>
        <x:v>0.28559999999999997</x:v>
      </x:c>
      <x:c r="J7390" s="13" t="n">
        <x:f>D7390*I7390*H7390</x:f>
        <x:v>0</x:v>
      </x:c>
      <x:c r="K7390" s="13" t="n">
        <x:f>E7390*I7390*H7390</x:f>
        <x:v>0.22326779999999996</x:v>
      </x:c>
      <x:c r="L7390" s="1" t="str">
        <x:f>TEXT(A7390,"mmm yyyy")</x:f>
        <x:v>Oct 2026</x:v>
      </x:c>
    </x:row>
    <x:row r="7391" ht="21" customHeight="1">
      <x:c r="A7391" s="10" t="n">
        <x:v>46302</x:v>
      </x:c>
      <x:c r="B7391" s="1" t="n">
        <x:v>11.5</x:v>
      </x:c>
      <x:c r="C7391" s="1" t="n">
        <x:v>6</x:v>
      </x:c>
      <x:c r="D7391" s="12" t="n">
        <x:v>0</x:v>
      </x:c>
      <x:c r="E7391" s="12" t="n">
        <x:v>0.8138333333333333</x:v>
      </x:c>
      <x:c r="F7391" s="12" t="n">
        <x:v>0.8133333333333334</x:v>
      </x:c>
      <x:c r="G7391" s="12" t="n">
        <x:v>0</x:v>
      </x:c>
      <x:c r="H7391" s="1" t="n">
        <x:f>'Historical prices'!E7391</x:f>
        <x:v>1</x:v>
      </x:c>
      <x:c r="I7391" s="6" t="n">
        <x:f>'Historical prices'!D7391</x:f>
        <x:v>0.2615</x:v>
      </x:c>
      <x:c r="J7391" s="13" t="n">
        <x:f>D7391*I7391*H7391</x:f>
        <x:v>0</x:v>
      </x:c>
      <x:c r="K7391" s="13" t="n">
        <x:f>E7391*I7391*H7391</x:f>
        <x:v>0.21281741666666668</x:v>
      </x:c>
      <x:c r="L7391" s="1" t="str">
        <x:f>TEXT(A7391,"mmm yyyy")</x:f>
        <x:v>Oct 2026</x:v>
      </x:c>
    </x:row>
    <x:row r="7392" ht="21" customHeight="1">
      <x:c r="A7392" s="10" t="n">
        <x:v>46302</x:v>
      </x:c>
      <x:c r="B7392" s="1" t="n">
        <x:v>12</x:v>
      </x:c>
      <x:c r="C7392" s="1" t="n">
        <x:v>6</x:v>
      </x:c>
      <x:c r="D7392" s="12" t="n">
        <x:v>0</x:v>
      </x:c>
      <x:c r="E7392" s="12" t="n">
        <x:v>0.81625</x:v>
      </x:c>
      <x:c r="F7392" s="12" t="n">
        <x:v>0.8156666666666668</x:v>
      </x:c>
      <x:c r="G7392" s="12" t="n">
        <x:v>0</x:v>
      </x:c>
      <x:c r="H7392" s="1" t="n">
        <x:f>'Historical prices'!E7392</x:f>
        <x:v>1</x:v>
      </x:c>
      <x:c r="I7392" s="6" t="n">
        <x:f>'Historical prices'!D7392</x:f>
        <x:v>0.248</x:v>
      </x:c>
      <x:c r="J7392" s="13" t="n">
        <x:f>D7392*I7392*H7392</x:f>
        <x:v>0</x:v>
      </x:c>
      <x:c r="K7392" s="13" t="n">
        <x:f>E7392*I7392*H7392</x:f>
        <x:v>0.20243</x:v>
      </x:c>
      <x:c r="L7392" s="1" t="str">
        <x:f>TEXT(A7392,"mmm yyyy")</x:f>
        <x:v>Oct 2026</x:v>
      </x:c>
    </x:row>
    <x:row r="7393" ht="21" customHeight="1">
      <x:c r="A7393" s="10" t="n">
        <x:v>46302</x:v>
      </x:c>
      <x:c r="B7393" s="1" t="n">
        <x:v>12.5</x:v>
      </x:c>
      <x:c r="C7393" s="1" t="n">
        <x:v>6</x:v>
      </x:c>
      <x:c r="D7393" s="12" t="n">
        <x:v>0</x:v>
      </x:c>
      <x:c r="E7393" s="12" t="n">
        <x:v>0.8231666666666666</x:v>
      </x:c>
      <x:c r="F7393" s="12" t="n">
        <x:v>0.8228333333333333</x:v>
      </x:c>
      <x:c r="G7393" s="12" t="n">
        <x:v>0</x:v>
      </x:c>
      <x:c r="H7393" s="1" t="n">
        <x:f>'Historical prices'!E7393</x:f>
        <x:v>1</x:v>
      </x:c>
      <x:c r="I7393" s="6" t="n">
        <x:f>'Historical prices'!D7393</x:f>
        <x:v>0.2438</x:v>
      </x:c>
      <x:c r="J7393" s="13" t="n">
        <x:f>D7393*I7393*H7393</x:f>
        <x:v>0</x:v>
      </x:c>
      <x:c r="K7393" s="13" t="n">
        <x:f>E7393*I7393*H7393</x:f>
        <x:v>0.20068803333333332</x:v>
      </x:c>
      <x:c r="L7393" s="1" t="str">
        <x:f>TEXT(A7393,"mmm yyyy")</x:f>
        <x:v>Oct 2026</x:v>
      </x:c>
    </x:row>
    <x:row r="7394" ht="21" customHeight="1">
      <x:c r="A7394" s="10" t="n">
        <x:v>46302</x:v>
      </x:c>
      <x:c r="B7394" s="1" t="n">
        <x:v>13</x:v>
      </x:c>
      <x:c r="C7394" s="1" t="n">
        <x:v>6</x:v>
      </x:c>
      <x:c r="D7394" s="12" t="n">
        <x:v>0</x:v>
      </x:c>
      <x:c r="E7394" s="12" t="n">
        <x:v>1.3395</x:v>
      </x:c>
      <x:c r="F7394" s="12" t="n">
        <x:v>1.3393333333333335</x:v>
      </x:c>
      <x:c r="G7394" s="12" t="n">
        <x:v>0</x:v>
      </x:c>
      <x:c r="H7394" s="1" t="n">
        <x:f>'Historical prices'!E7394</x:f>
        <x:v>1</x:v>
      </x:c>
      <x:c r="I7394" s="6" t="n">
        <x:f>'Historical prices'!D7394</x:f>
        <x:v>0.2432</x:v>
      </x:c>
      <x:c r="J7394" s="13" t="n">
        <x:f>D7394*I7394*H7394</x:f>
        <x:v>0</x:v>
      </x:c>
      <x:c r="K7394" s="13" t="n">
        <x:f>E7394*I7394*H7394</x:f>
        <x:v>0.32576639999999996</x:v>
      </x:c>
      <x:c r="L7394" s="1" t="str">
        <x:f>TEXT(A7394,"mmm yyyy")</x:f>
        <x:v>Oct 2026</x:v>
      </x:c>
    </x:row>
    <x:row r="7395" ht="21" customHeight="1">
      <x:c r="A7395" s="10" t="n">
        <x:v>46302</x:v>
      </x:c>
      <x:c r="B7395" s="1" t="n">
        <x:v>13.5</x:v>
      </x:c>
      <x:c r="C7395" s="1" t="n">
        <x:v>4</x:v>
      </x:c>
      <x:c r="D7395" s="12" t="n">
        <x:v>0</x:v>
      </x:c>
      <x:c r="E7395" s="12" t="n">
        <x:v>0.5369999999999999</x:v>
      </x:c>
      <x:c r="F7395" s="12" t="n">
        <x:v>0.5366666666666666</x:v>
      </x:c>
      <x:c r="G7395" s="12" t="n">
        <x:v>0</x:v>
      </x:c>
      <x:c r="H7395" s="1" t="n">
        <x:f>'Historical prices'!E7395</x:f>
        <x:v>1</x:v>
      </x:c>
      <x:c r="I7395" s="6" t="n">
        <x:f>'Historical prices'!D7395</x:f>
        <x:v>0.2369</x:v>
      </x:c>
      <x:c r="J7395" s="13" t="n">
        <x:f>D7395*I7395*H7395</x:f>
        <x:v>0</x:v>
      </x:c>
      <x:c r="K7395" s="13" t="n">
        <x:f>E7395*I7395*H7395</x:f>
        <x:v>0.12721529999999998</x:v>
      </x:c>
      <x:c r="L7395" s="1" t="str">
        <x:f>TEXT(A7395,"mmm yyyy")</x:f>
        <x:v>Oct 2026</x:v>
      </x:c>
    </x:row>
    <x:row r="7396" ht="21" customHeight="1">
      <x:c r="A7396" s="1"/>
      <x:c r="B7396" s="1"/>
      <x:c r="C7396" s="1"/>
      <x:c r="D7396" s="1"/>
      <x:c r="E7396" s="1"/>
      <x:c r="F7396" s="1"/>
      <x:c r="G7396" s="1"/>
      <x:c r="H7396" s="1"/>
      <x:c r="I7396" s="1"/>
      <x:c r="J7396" s="1"/>
      <x:c r="K7396" s="1"/>
      <x:c r="L7396" s="1"/>
    </x:row>
    <x:row r="7397" ht="21" customHeight="1">
      <x:c r="A7397" s="1"/>
      <x:c r="B7397" s="1"/>
      <x:c r="C7397" s="1"/>
      <x:c r="D7397" s="1"/>
      <x:c r="E7397" s="1"/>
      <x:c r="F7397" s="1"/>
      <x:c r="G7397" s="1"/>
      <x:c r="H7397" s="1"/>
      <x:c r="I7397" s="1"/>
      <x:c r="J7397" s="1"/>
      <x:c r="K7397" s="1"/>
      <x:c r="L7397" s="1"/>
    </x:row>
    <x:row r="7398" ht="21" customHeight="1">
      <x:c r="A7398" s="1"/>
      <x:c r="B7398" s="1"/>
      <x:c r="C7398" s="1"/>
      <x:c r="D7398" s="1"/>
      <x:c r="E7398" s="1"/>
      <x:c r="F7398" s="1"/>
      <x:c r="G7398" s="1"/>
      <x:c r="H7398" s="1"/>
      <x:c r="I7398" s="1"/>
      <x:c r="J7398" s="1"/>
      <x:c r="K7398" s="1"/>
      <x:c r="L7398" s="1"/>
    </x:row>
    <x:row r="7399" ht="21" customHeight="1">
      <x:c r="A7399" s="1"/>
      <x:c r="B7399" s="1"/>
      <x:c r="C7399" s="1"/>
      <x:c r="D7399" s="1"/>
      <x:c r="E7399" s="1"/>
      <x:c r="F7399" s="1"/>
      <x:c r="G7399" s="1"/>
      <x:c r="H7399" s="1"/>
      <x:c r="I7399" s="1"/>
      <x:c r="J7399" s="1"/>
      <x:c r="K7399" s="1"/>
      <x:c r="L7399" s="1"/>
    </x:row>
    <x:row r="7400" ht="21" customHeight="1">
      <x:c r="A7400" s="1"/>
      <x:c r="B7400" s="1"/>
      <x:c r="C7400" s="1"/>
      <x:c r="D7400" s="1"/>
      <x:c r="E7400" s="1"/>
      <x:c r="F7400" s="1"/>
      <x:c r="G7400" s="1"/>
      <x:c r="H7400" s="1"/>
      <x:c r="I7400" s="1"/>
      <x:c r="J7400" s="1"/>
      <x:c r="K7400" s="1"/>
      <x:c r="L7400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75" hidden="0" customWidth="1"/>
  </x:cols>
  <x:sheetData>
    <x:row r="1" ht="21" customHeight="1">
      <x:c r="A1" s="2" t="str">
        <x:v>Historical Octopus prices</x:v>
      </x:c>
      <x:c r="B1" s="1"/>
      <x:c r="C1" s="1"/>
      <x:c r="D1" s="1"/>
      <x:c r="E1" s="1"/>
      <x:c r="F1" s="1"/>
    </x:row>
    <x:row r="2" ht="21" customHeight="1">
      <x:c r="A2" s="1" t="str">
        <x:v>Region G; account switched to Agile on 23 May 2026. Prices stored excluding VAT.</x:v>
      </x:c>
      <x:c r="B2" s="1"/>
      <x:c r="C2" s="1"/>
      <x:c r="D2" s="1"/>
      <x:c r="E2" s="1"/>
      <x:c r="F2" s="1"/>
    </x:row>
    <x:row r="3" ht="21" customHeight="1">
      <x:c r="A3" s="1"/>
      <x:c r="B3" s="1"/>
      <x:c r="C3" s="1"/>
      <x:c r="D3" s="1"/>
      <x:c r="E3" s="1"/>
      <x:c r="F3" s="1"/>
    </x:row>
    <x:row r="4" ht="56" customHeight="1">
      <x:c r="A4" s="5" t="str">
        <x:v>Local timestamp</x:v>
      </x:c>
      <x:c r="B4" s="5" t="str">
        <x:v>Agile import £/kWh</x:v>
      </x:c>
      <x:c r="C4" s="5" t="str">
        <x:v>Agile export £/kWh</x:v>
      </x:c>
      <x:c r="D4" s="5" t="str">
        <x:v>Applicable import £/kWh</x:v>
      </x:c>
      <x:c r="E4" s="5" t="str">
        <x:v>VAT multiplier</x:v>
      </x:c>
      <x:c r="F4" s="5" t="str">
        <x:v>Source</x:v>
      </x:c>
    </x:row>
    <x:row r="5" ht="21" customHeight="1">
      <x:c r="A5" s="24" t="n">
        <x:v>46148.604166666664</x:v>
      </x:c>
      <x:c r="B5" s="6" t="n">
        <x:v>0.1745</x:v>
      </x:c>
      <x:c r="C5" s="6" t="n">
        <x:v>0.106</x:v>
      </x:c>
      <x:c r="D5" s="6" t="n">
        <x:f>'Tariff and method'!$B$4</x:f>
        <x:v>0.2226</x:v>
      </x:c>
      <x:c r="E5" s="1" t="n">
        <x:v>1.05</x:v>
      </x:c>
      <x:c r="F5" s="1" t="str">
        <x:v>https://api.octopus.energy/v1/products/AGILE-24-10-01/electricity-tariffs/E-1R-AGILE-24-10-01-G/standard-unit-rates/</x:v>
      </x:c>
    </x:row>
    <x:row r="6" ht="21" customHeight="1">
      <x:c r="A6" s="24" t="n">
        <x:v>46148.625</x:v>
      </x:c>
      <x:c r="B6" s="6" t="n">
        <x:v>0.1716</x:v>
      </x:c>
      <x:c r="C6" s="6" t="n">
        <x:v>0.1047</x:v>
      </x:c>
      <x:c r="D6" s="6" t="n">
        <x:f>'Tariff and method'!$B$4</x:f>
        <x:v>0.2226</x:v>
      </x:c>
      <x:c r="E6" s="1" t="n">
        <x:v>1.05</x:v>
      </x:c>
      <x:c r="F6" s="1" t="str">
        <x:v>https://api.octopus.energy/v1/products/AGILE-24-10-01/electricity-tariffs/E-1R-AGILE-24-10-01-G/standard-unit-rates/</x:v>
      </x:c>
    </x:row>
    <x:row r="7" ht="21" customHeight="1">
      <x:c r="A7" s="24" t="n">
        <x:v>46148.645833333336</x:v>
      </x:c>
      <x:c r="B7" s="6" t="n">
        <x:v>0.1808</x:v>
      </x:c>
      <x:c r="C7" s="6" t="n">
        <x:v>0.10890000000000001</x:v>
      </x:c>
      <x:c r="D7" s="6" t="n">
        <x:f>'Tariff and method'!$B$4</x:f>
        <x:v>0.2226</x:v>
      </x:c>
      <x:c r="E7" s="1" t="n">
        <x:v>1.05</x:v>
      </x:c>
      <x:c r="F7" s="1" t="str">
        <x:v>https://api.octopus.energy/v1/products/AGILE-24-10-01/electricity-tariffs/E-1R-AGILE-24-10-01-G/standard-unit-rates/</x:v>
      </x:c>
    </x:row>
    <x:row r="8" ht="21" customHeight="1">
      <x:c r="A8" s="24" t="n">
        <x:v>46148.666666666664</x:v>
      </x:c>
      <x:c r="B8" s="6" t="n">
        <x:v>0.2985</x:v>
      </x:c>
      <x:c r="C8" s="6" t="n">
        <x:v>0.1668</x:v>
      </x:c>
      <x:c r="D8" s="6" t="n">
        <x:f>'Tariff and method'!$B$4</x:f>
        <x:v>0.2226</x:v>
      </x:c>
      <x:c r="E8" s="1" t="n">
        <x:v>1.05</x:v>
      </x:c>
      <x:c r="F8" s="1" t="str">
        <x:v>https://api.octopus.energy/v1/products/AGILE-24-10-01/electricity-tariffs/E-1R-AGILE-24-10-01-G/standard-unit-rates/</x:v>
      </x:c>
    </x:row>
    <x:row r="9" ht="21" customHeight="1">
      <x:c r="A9" s="24" t="n">
        <x:v>46148.6875</x:v>
      </x:c>
      <x:c r="B9" s="6" t="n">
        <x:v>0.33020000000000005</x:v>
      </x:c>
      <x:c r="C9" s="6" t="n">
        <x:v>0.1813</x:v>
      </x:c>
      <x:c r="D9" s="6" t="n">
        <x:f>'Tariff and method'!$B$4</x:f>
        <x:v>0.2226</x:v>
      </x:c>
      <x:c r="E9" s="1" t="n">
        <x:v>1.05</x:v>
      </x:c>
      <x:c r="F9" s="1" t="str">
        <x:v>https://api.octopus.energy/v1/products/AGILE-24-10-01/electricity-tariffs/E-1R-AGILE-24-10-01-G/standard-unit-rates/</x:v>
      </x:c>
    </x:row>
    <x:row r="10" ht="21" customHeight="1">
      <x:c r="A10" s="24" t="n">
        <x:v>46148.708333333336</x:v>
      </x:c>
      <x:c r="B10" s="6" t="n">
        <x:v>0.3336</x:v>
      </x:c>
      <x:c r="C10" s="6" t="n">
        <x:v>0.18280000000000002</x:v>
      </x:c>
      <x:c r="D10" s="6" t="n">
        <x:f>'Tariff and method'!$B$4</x:f>
        <x:v>0.2226</x:v>
      </x:c>
      <x:c r="E10" s="1" t="n">
        <x:v>1.05</x:v>
      </x:c>
      <x:c r="F10" s="1" t="str">
        <x:v>https://api.octopus.energy/v1/products/AGILE-24-10-01/electricity-tariffs/E-1R-AGILE-24-10-01-G/standard-unit-rates/</x:v>
      </x:c>
    </x:row>
    <x:row r="11" ht="21" customHeight="1">
      <x:c r="A11" s="24" t="n">
        <x:v>46148.729166666664</x:v>
      </x:c>
      <x:c r="B11" s="6" t="n">
        <x:v>0.3533</x:v>
      </x:c>
      <x:c r="C11" s="6" t="n">
        <x:v>0.1918</x:v>
      </x:c>
      <x:c r="D11" s="6" t="n">
        <x:f>'Tariff and method'!$B$4</x:f>
        <x:v>0.2226</x:v>
      </x:c>
      <x:c r="E11" s="1" t="n">
        <x:v>1.05</x:v>
      </x:c>
      <x:c r="F11" s="1" t="str">
        <x:v>https://api.octopus.energy/v1/products/AGILE-24-10-01/electricity-tariffs/E-1R-AGILE-24-10-01-G/standard-unit-rates/</x:v>
      </x:c>
    </x:row>
    <x:row r="12" ht="21" customHeight="1">
      <x:c r="A12" s="24" t="n">
        <x:v>46148.75</x:v>
      </x:c>
      <x:c r="B12" s="6" t="n">
        <x:v>0.366</x:v>
      </x:c>
      <x:c r="C12" s="6" t="n">
        <x:v>0.19760000000000003</x:v>
      </x:c>
      <x:c r="D12" s="6" t="n">
        <x:f>'Tariff and method'!$B$4</x:f>
        <x:v>0.2226</x:v>
      </x:c>
      <x:c r="E12" s="1" t="n">
        <x:v>1.05</x:v>
      </x:c>
      <x:c r="F12" s="1" t="str">
        <x:v>https://api.octopus.energy/v1/products/AGILE-24-10-01/electricity-tariffs/E-1R-AGILE-24-10-01-G/standard-unit-rates/</x:v>
      </x:c>
    </x:row>
    <x:row r="13" ht="21" customHeight="1">
      <x:c r="A13" s="24" t="n">
        <x:v>46148.770833333336</x:v>
      </x:c>
      <x:c r="B13" s="6" t="n">
        <x:v>0.3701</x:v>
      </x:c>
      <x:c r="C13" s="6" t="n">
        <x:v>0.19949999999999998</x:v>
      </x:c>
      <x:c r="D13" s="6" t="n">
        <x:f>'Tariff and method'!$B$4</x:f>
        <x:v>0.2226</x:v>
      </x:c>
      <x:c r="E13" s="1" t="n">
        <x:v>1.05</x:v>
      </x:c>
      <x:c r="F13" s="1" t="str">
        <x:v>https://api.octopus.energy/v1/products/AGILE-24-10-01/electricity-tariffs/E-1R-AGILE-24-10-01-G/standard-unit-rates/</x:v>
      </x:c>
    </x:row>
    <x:row r="14" ht="21" customHeight="1">
      <x:c r="A14" s="24" t="n">
        <x:v>46148.791666666664</x:v>
      </x:c>
      <x:c r="B14" s="6" t="n">
        <x:v>0.2522</x:v>
      </x:c>
      <x:c r="C14" s="6" t="n">
        <x:v>0.1416</x:v>
      </x:c>
      <x:c r="D14" s="6" t="n">
        <x:f>'Tariff and method'!$B$4</x:f>
        <x:v>0.2226</x:v>
      </x:c>
      <x:c r="E14" s="1" t="n">
        <x:v>1.05</x:v>
      </x:c>
      <x:c r="F14" s="1" t="str">
        <x:v>https://api.octopus.energy/v1/products/AGILE-24-10-01/electricity-tariffs/E-1R-AGILE-24-10-01-G/standard-unit-rates/</x:v>
      </x:c>
    </x:row>
    <x:row r="15" ht="21" customHeight="1">
      <x:c r="A15" s="24" t="n">
        <x:v>46148.8125</x:v>
      </x:c>
      <x:c r="B15" s="6" t="n">
        <x:v>0.2536</x:v>
      </x:c>
      <x:c r="C15" s="6" t="n">
        <x:v>0.1422</x:v>
      </x:c>
      <x:c r="D15" s="6" t="n">
        <x:f>'Tariff and method'!$B$4</x:f>
        <x:v>0.2226</x:v>
      </x:c>
      <x:c r="E15" s="1" t="n">
        <x:v>1.05</x:v>
      </x:c>
      <x:c r="F15" s="1" t="str">
        <x:v>https://api.octopus.energy/v1/products/AGILE-24-10-01/electricity-tariffs/E-1R-AGILE-24-10-01-G/standard-unit-rates/</x:v>
      </x:c>
    </x:row>
    <x:row r="16" ht="21" customHeight="1">
      <x:c r="A16" s="24" t="n">
        <x:v>46148.833333333336</x:v>
      </x:c>
      <x:c r="B16" s="6" t="n">
        <x:v>0.2501</x:v>
      </x:c>
      <x:c r="C16" s="6" t="n">
        <x:v>0.1406</x:v>
      </x:c>
      <x:c r="D16" s="6" t="n">
        <x:f>'Tariff and method'!$B$4</x:f>
        <x:v>0.2226</x:v>
      </x:c>
      <x:c r="E16" s="1" t="n">
        <x:v>1.05</x:v>
      </x:c>
      <x:c r="F16" s="1" t="str">
        <x:v>https://api.octopus.energy/v1/products/AGILE-24-10-01/electricity-tariffs/E-1R-AGILE-24-10-01-G/standard-unit-rates/</x:v>
      </x:c>
    </x:row>
    <x:row r="17" ht="21" customHeight="1">
      <x:c r="A17" s="24" t="n">
        <x:v>46148.854166666664</x:v>
      </x:c>
      <x:c r="B17" s="6" t="n">
        <x:v>0.2482</x:v>
      </x:c>
      <x:c r="C17" s="6" t="n">
        <x:v>0.13970000000000002</x:v>
      </x:c>
      <x:c r="D17" s="6" t="n">
        <x:f>'Tariff and method'!$B$4</x:f>
        <x:v>0.2226</x:v>
      </x:c>
      <x:c r="E17" s="1" t="n">
        <x:v>1.05</x:v>
      </x:c>
      <x:c r="F17" s="1" t="str">
        <x:v>https://api.octopus.energy/v1/products/AGILE-24-10-01/electricity-tariffs/E-1R-AGILE-24-10-01-G/standard-unit-rates/</x:v>
      </x:c>
    </x:row>
    <x:row r="18" ht="21" customHeight="1">
      <x:c r="A18" s="24" t="n">
        <x:v>46148.875</x:v>
      </x:c>
      <x:c r="B18" s="6" t="n">
        <x:v>0.244</x:v>
      </x:c>
      <x:c r="C18" s="6" t="n">
        <x:v>0.1378</x:v>
      </x:c>
      <x:c r="D18" s="6" t="n">
        <x:f>'Tariff and method'!$B$4</x:f>
        <x:v>0.2226</x:v>
      </x:c>
      <x:c r="E18" s="1" t="n">
        <x:v>1.05</x:v>
      </x:c>
      <x:c r="F18" s="1" t="str">
        <x:v>https://api.octopus.energy/v1/products/AGILE-24-10-01/electricity-tariffs/E-1R-AGILE-24-10-01-G/standard-unit-rates/</x:v>
      </x:c>
    </x:row>
    <x:row r="19" ht="21" customHeight="1">
      <x:c r="A19" s="24" t="n">
        <x:v>46148.895833333336</x:v>
      </x:c>
      <x:c r="B19" s="6" t="n">
        <x:v>0.2228</x:v>
      </x:c>
      <x:c r="C19" s="6" t="n">
        <x:v>0.1281</x:v>
      </x:c>
      <x:c r="D19" s="6" t="n">
        <x:f>'Tariff and method'!$B$4</x:f>
        <x:v>0.2226</x:v>
      </x:c>
      <x:c r="E19" s="1" t="n">
        <x:v>1.05</x:v>
      </x:c>
      <x:c r="F19" s="1" t="str">
        <x:v>https://api.octopus.energy/v1/products/AGILE-24-10-01/electricity-tariffs/E-1R-AGILE-24-10-01-G/standard-unit-rates/</x:v>
      </x:c>
    </x:row>
    <x:row r="20" ht="21" customHeight="1">
      <x:c r="A20" s="24" t="n">
        <x:v>46148.916666666664</x:v>
      </x:c>
      <x:c r="B20" s="6" t="n">
        <x:v>0.22949999999999998</x:v>
      </x:c>
      <x:c r="C20" s="6" t="n">
        <x:v>0.13119999999999998</x:v>
      </x:c>
      <x:c r="D20" s="6" t="n">
        <x:f>'Tariff and method'!$B$4</x:f>
        <x:v>0.2226</x:v>
      </x:c>
      <x:c r="E20" s="1" t="n">
        <x:v>1.05</x:v>
      </x:c>
      <x:c r="F20" s="1" t="str">
        <x:v>https://api.octopus.energy/v1/products/AGILE-24-10-01/electricity-tariffs/E-1R-AGILE-24-10-01-G/standard-unit-rates/</x:v>
      </x:c>
    </x:row>
    <x:row r="21" ht="21" customHeight="1">
      <x:c r="A21" s="24" t="n">
        <x:v>46148.9375</x:v>
      </x:c>
      <x:c r="B21" s="6" t="n">
        <x:v>0.19829999999999998</x:v>
      </x:c>
      <x:c r="C21" s="6" t="n">
        <x:v>0.11689999999999999</x:v>
      </x:c>
      <x:c r="D21" s="6" t="n">
        <x:f>'Tariff and method'!$B$4</x:f>
        <x:v>0.2226</x:v>
      </x:c>
      <x:c r="E21" s="1" t="n">
        <x:v>1.05</x:v>
      </x:c>
      <x:c r="F21" s="1" t="str">
        <x:v>https://api.octopus.energy/v1/products/AGILE-24-10-01/electricity-tariffs/E-1R-AGILE-24-10-01-G/standard-unit-rates/</x:v>
      </x:c>
    </x:row>
    <x:row r="22" ht="21" customHeight="1">
      <x:c r="A22" s="24" t="n">
        <x:v>46149</x:v>
      </x:c>
      <x:c r="B22" s="6" t="n">
        <x:v>0.2084</x:v>
      </x:c>
      <x:c r="C22" s="6" t="n">
        <x:v>0.1215</x:v>
      </x:c>
      <x:c r="D22" s="6" t="n">
        <x:f>'Tariff and method'!$B$4</x:f>
        <x:v>0.2226</x:v>
      </x:c>
      <x:c r="E22" s="1" t="n">
        <x:v>1.05</x:v>
      </x:c>
      <x:c r="F22" s="1" t="str">
        <x:v>https://api.octopus.energy/v1/products/AGILE-24-10-01/electricity-tariffs/E-1R-AGILE-24-10-01-G/standard-unit-rates/</x:v>
      </x:c>
    </x:row>
    <x:row r="23" ht="21" customHeight="1">
      <x:c r="A23" s="24" t="n">
        <x:v>46148.979166666664</x:v>
      </x:c>
      <x:c r="B23" s="6" t="n">
        <x:v>0.1826</x:v>
      </x:c>
      <x:c r="C23" s="6" t="n">
        <x:v>0.1097</x:v>
      </x:c>
      <x:c r="D23" s="6" t="n">
        <x:f>'Tariff and method'!$B$4</x:f>
        <x:v>0.2226</x:v>
      </x:c>
      <x:c r="E23" s="1" t="n">
        <x:v>1.05</x:v>
      </x:c>
      <x:c r="F23" s="1" t="str">
        <x:v>https://api.octopus.energy/v1/products/AGILE-24-10-01/electricity-tariffs/E-1R-AGILE-24-10-01-G/standard-unit-rates/</x:v>
      </x:c>
    </x:row>
    <x:row r="24" ht="21" customHeight="1">
      <x:c r="A24" s="24" t="n">
        <x:v>46149</x:v>
      </x:c>
      <x:c r="B24" s="6" t="n">
        <x:v>0.18710000000000002</x:v>
      </x:c>
      <x:c r="C24" s="6" t="n">
        <x:v>0.1118</x:v>
      </x:c>
      <x:c r="D24" s="6" t="n">
        <x:f>'Tariff and method'!$B$4</x:f>
        <x:v>0.2226</x:v>
      </x:c>
      <x:c r="E24" s="1" t="n">
        <x:v>1.05</x:v>
      </x:c>
      <x:c r="F24" s="1" t="str">
        <x:v>https://api.octopus.energy/v1/products/AGILE-24-10-01/electricity-tariffs/E-1R-AGILE-24-10-01-G/standard-unit-rates/</x:v>
      </x:c>
    </x:row>
    <x:row r="25" ht="21" customHeight="1">
      <x:c r="A25" s="24" t="n">
        <x:v>46149.020833333336</x:v>
      </x:c>
      <x:c r="B25" s="6" t="n">
        <x:v>0.1819</x:v>
      </x:c>
      <x:c r="C25" s="6" t="n">
        <x:v>0.1094</x:v>
      </x:c>
      <x:c r="D25" s="6" t="n">
        <x:f>'Tariff and method'!$B$4</x:f>
        <x:v>0.2226</x:v>
      </x:c>
      <x:c r="E25" s="1" t="n">
        <x:v>1.05</x:v>
      </x:c>
      <x:c r="F25" s="1" t="str">
        <x:v>https://api.octopus.energy/v1/products/AGILE-24-10-01/electricity-tariffs/E-1R-AGILE-24-10-01-G/standard-unit-rates/</x:v>
      </x:c>
    </x:row>
    <x:row r="26" ht="21" customHeight="1">
      <x:c r="A26" s="24" t="n">
        <x:v>46149.041666666664</x:v>
      </x:c>
      <x:c r="B26" s="6" t="n">
        <x:v>0.1787</x:v>
      </x:c>
      <x:c r="C26" s="6" t="n">
        <x:v>0.10800000000000001</x:v>
      </x:c>
      <x:c r="D26" s="6" t="n">
        <x:f>'Tariff and method'!$B$4</x:f>
        <x:v>0.2226</x:v>
      </x:c>
      <x:c r="E26" s="1" t="n">
        <x:v>1.05</x:v>
      </x:c>
      <x:c r="F26" s="1" t="str">
        <x:v>https://api.octopus.energy/v1/products/AGILE-24-10-01/electricity-tariffs/E-1R-AGILE-24-10-01-G/standard-unit-rates/</x:v>
      </x:c>
    </x:row>
    <x:row r="27" ht="21" customHeight="1">
      <x:c r="A27" s="24" t="n">
        <x:v>46149.0625</x:v>
      </x:c>
      <x:c r="B27" s="6" t="n">
        <x:v>0.185</x:v>
      </x:c>
      <x:c r="C27" s="6" t="n">
        <x:v>0.1108</x:v>
      </x:c>
      <x:c r="D27" s="6" t="n">
        <x:f>'Tariff and method'!$B$4</x:f>
        <x:v>0.2226</x:v>
      </x:c>
      <x:c r="E27" s="1" t="n">
        <x:v>1.05</x:v>
      </x:c>
      <x:c r="F27" s="1" t="str">
        <x:v>https://api.octopus.energy/v1/products/AGILE-24-10-01/electricity-tariffs/E-1R-AGILE-24-10-01-G/standard-unit-rates/</x:v>
      </x:c>
    </x:row>
    <x:row r="28" ht="21" customHeight="1">
      <x:c r="A28" s="24" t="n">
        <x:v>46149.083333333336</x:v>
      </x:c>
      <x:c r="B28" s="6" t="n">
        <x:v>0.18710000000000002</x:v>
      </x:c>
      <x:c r="C28" s="6" t="n">
        <x:v>0.1118</x:v>
      </x:c>
      <x:c r="D28" s="6" t="n">
        <x:f>'Tariff and method'!$B$4</x:f>
        <x:v>0.2226</x:v>
      </x:c>
      <x:c r="E28" s="1" t="n">
        <x:v>1.05</x:v>
      </x:c>
      <x:c r="F28" s="1" t="str">
        <x:v>https://api.octopus.energy/v1/products/AGILE-24-10-01/electricity-tariffs/E-1R-AGILE-24-10-01-G/standard-unit-rates/</x:v>
      </x:c>
    </x:row>
    <x:row r="29" ht="21" customHeight="1">
      <x:c r="A29" s="24" t="n">
        <x:v>46149.104166666664</x:v>
      </x:c>
      <x:c r="B29" s="6" t="n">
        <x:v>0.1789</x:v>
      </x:c>
      <x:c r="C29" s="6" t="n">
        <x:v>0.1081</x:v>
      </x:c>
      <x:c r="D29" s="6" t="n">
        <x:f>'Tariff and method'!$B$4</x:f>
        <x:v>0.2226</x:v>
      </x:c>
      <x:c r="E29" s="1" t="n">
        <x:v>1.05</x:v>
      </x:c>
      <x:c r="F29" s="1" t="str">
        <x:v>https://api.octopus.energy/v1/products/AGILE-24-10-01/electricity-tariffs/E-1R-AGILE-24-10-01-G/standard-unit-rates/</x:v>
      </x:c>
    </x:row>
    <x:row r="30" ht="21" customHeight="1">
      <x:c r="A30" s="24" t="n">
        <x:v>46149.125</x:v>
      </x:c>
      <x:c r="B30" s="6" t="n">
        <x:v>0.1873</x:v>
      </x:c>
      <x:c r="C30" s="6" t="n">
        <x:v>0.1119</x:v>
      </x:c>
      <x:c r="D30" s="6" t="n">
        <x:f>'Tariff and method'!$B$4</x:f>
        <x:v>0.2226</x:v>
      </x:c>
      <x:c r="E30" s="1" t="n">
        <x:v>1.05</x:v>
      </x:c>
      <x:c r="F30" s="1" t="str">
        <x:v>https://api.octopus.energy/v1/products/AGILE-24-10-01/electricity-tariffs/E-1R-AGILE-24-10-01-G/standard-unit-rates/</x:v>
      </x:c>
    </x:row>
    <x:row r="31" ht="21" customHeight="1">
      <x:c r="A31" s="24" t="n">
        <x:v>46149.145833333336</x:v>
      </x:c>
      <x:c r="B31" s="6" t="n">
        <x:v>0.18710000000000002</x:v>
      </x:c>
      <x:c r="C31" s="6" t="n">
        <x:v>0.1118</x:v>
      </x:c>
      <x:c r="D31" s="6" t="n">
        <x:f>'Tariff and method'!$B$4</x:f>
        <x:v>0.2226</x:v>
      </x:c>
      <x:c r="E31" s="1" t="n">
        <x:v>1.05</x:v>
      </x:c>
      <x:c r="F31" s="1" t="str">
        <x:v>https://api.octopus.energy/v1/products/AGILE-24-10-01/electricity-tariffs/E-1R-AGILE-24-10-01-G/standard-unit-rates/</x:v>
      </x:c>
    </x:row>
    <x:row r="32" ht="21" customHeight="1">
      <x:c r="A32" s="24" t="n">
        <x:v>46149.166666666664</x:v>
      </x:c>
      <x:c r="B32" s="6" t="n">
        <x:v>0.1934</x:v>
      </x:c>
      <x:c r="C32" s="6" t="n">
        <x:v>0.11470000000000001</x:v>
      </x:c>
      <x:c r="D32" s="6" t="n">
        <x:f>'Tariff and method'!$B$4</x:f>
        <x:v>0.2226</x:v>
      </x:c>
      <x:c r="E32" s="1" t="n">
        <x:v>1.05</x:v>
      </x:c>
      <x:c r="F32" s="1" t="str">
        <x:v>https://api.octopus.energy/v1/products/AGILE-24-10-01/electricity-tariffs/E-1R-AGILE-24-10-01-G/standard-unit-rates/</x:v>
      </x:c>
    </x:row>
    <x:row r="33" ht="21" customHeight="1">
      <x:c r="A33" s="24" t="n">
        <x:v>46149.1875</x:v>
      </x:c>
      <x:c r="B33" s="6" t="n">
        <x:v>0.1892</x:v>
      </x:c>
      <x:c r="C33" s="6" t="n">
        <x:v>0.1128</x:v>
      </x:c>
      <x:c r="D33" s="6" t="n">
        <x:f>'Tariff and method'!$B$4</x:f>
        <x:v>0.2226</x:v>
      </x:c>
      <x:c r="E33" s="1" t="n">
        <x:v>1.05</x:v>
      </x:c>
      <x:c r="F33" s="1" t="str">
        <x:v>https://api.octopus.energy/v1/products/AGILE-24-10-01/electricity-tariffs/E-1R-AGILE-24-10-01-G/standard-unit-rates/</x:v>
      </x:c>
    </x:row>
    <x:row r="34" ht="21" customHeight="1">
      <x:c r="A34" s="24" t="n">
        <x:v>46149.208333333336</x:v>
      </x:c>
      <x:c r="B34" s="6" t="n">
        <x:v>0.2087</x:v>
      </x:c>
      <x:c r="C34" s="6" t="n">
        <x:v>0.1217</x:v>
      </x:c>
      <x:c r="D34" s="6" t="n">
        <x:f>'Tariff and method'!$B$4</x:f>
        <x:v>0.2226</x:v>
      </x:c>
      <x:c r="E34" s="1" t="n">
        <x:v>1.05</x:v>
      </x:c>
      <x:c r="F34" s="1" t="str">
        <x:v>https://api.octopus.energy/v1/products/AGILE-24-10-01/electricity-tariffs/E-1R-AGILE-24-10-01-G/standard-unit-rates/</x:v>
      </x:c>
    </x:row>
    <x:row r="35" ht="21" customHeight="1">
      <x:c r="A35" s="24" t="n">
        <x:v>46149.229166666664</x:v>
      </x:c>
      <x:c r="B35" s="6" t="n">
        <x:v>0.2189</x:v>
      </x:c>
      <x:c r="C35" s="6" t="n">
        <x:v>0.1264</x:v>
      </x:c>
      <x:c r="D35" s="6" t="n">
        <x:f>'Tariff and method'!$B$4</x:f>
        <x:v>0.2226</x:v>
      </x:c>
      <x:c r="E35" s="1" t="n">
        <x:v>1.05</x:v>
      </x:c>
      <x:c r="F35" s="1" t="str">
        <x:v>https://api.octopus.energy/v1/products/AGILE-24-10-01/electricity-tariffs/E-1R-AGILE-24-10-01-G/standard-unit-rates/</x:v>
      </x:c>
    </x:row>
    <x:row r="36" ht="21" customHeight="1">
      <x:c r="A36" s="24" t="n">
        <x:v>46149.25</x:v>
      </x:c>
      <x:c r="B36" s="6" t="n">
        <x:v>0.2375</x:v>
      </x:c>
      <x:c r="C36" s="6" t="n">
        <x:v>0.1348</x:v>
      </x:c>
      <x:c r="D36" s="6" t="n">
        <x:f>'Tariff and method'!$B$4</x:f>
        <x:v>0.2226</x:v>
      </x:c>
      <x:c r="E36" s="1" t="n">
        <x:v>1.05</x:v>
      </x:c>
      <x:c r="F36" s="1" t="str">
        <x:v>https://api.octopus.energy/v1/products/AGILE-24-10-01/electricity-tariffs/E-1R-AGILE-24-10-01-G/standard-unit-rates/</x:v>
      </x:c>
    </x:row>
    <x:row r="37" ht="21" customHeight="1">
      <x:c r="A37" s="24" t="n">
        <x:v>46149.270833333336</x:v>
      </x:c>
      <x:c r="B37" s="6" t="n">
        <x:v>0.2464</x:v>
      </x:c>
      <x:c r="C37" s="6" t="n">
        <x:v>0.1389</x:v>
      </x:c>
      <x:c r="D37" s="6" t="n">
        <x:f>'Tariff and method'!$B$4</x:f>
        <x:v>0.2226</x:v>
      </x:c>
      <x:c r="E37" s="1" t="n">
        <x:v>1.05</x:v>
      </x:c>
      <x:c r="F37" s="1" t="str">
        <x:v>https://api.octopus.energy/v1/products/AGILE-24-10-01/electricity-tariffs/E-1R-AGILE-24-10-01-G/standard-unit-rates/</x:v>
      </x:c>
    </x:row>
    <x:row r="38" ht="21" customHeight="1">
      <x:c r="A38" s="24" t="n">
        <x:v>46149.291666666664</x:v>
      </x:c>
      <x:c r="B38" s="6" t="n">
        <x:v>0.2438</x:v>
      </x:c>
      <x:c r="C38" s="6" t="n">
        <x:v>0.1377</x:v>
      </x:c>
      <x:c r="D38" s="6" t="n">
        <x:f>'Tariff and method'!$B$4</x:f>
        <x:v>0.2226</x:v>
      </x:c>
      <x:c r="E38" s="1" t="n">
        <x:v>1.05</x:v>
      </x:c>
      <x:c r="F38" s="1" t="str">
        <x:v>https://api.octopus.energy/v1/products/AGILE-24-10-01/electricity-tariffs/E-1R-AGILE-24-10-01-G/standard-unit-rates/</x:v>
      </x:c>
    </x:row>
    <x:row r="39" ht="21" customHeight="1">
      <x:c r="A39" s="24" t="n">
        <x:v>46149.3125</x:v>
      </x:c>
      <x:c r="B39" s="6" t="n">
        <x:v>0.2505</x:v>
      </x:c>
      <x:c r="C39" s="6" t="n">
        <x:v>0.1408</x:v>
      </x:c>
      <x:c r="D39" s="6" t="n">
        <x:f>'Tariff and method'!$B$4</x:f>
        <x:v>0.2226</x:v>
      </x:c>
      <x:c r="E39" s="1" t="n">
        <x:v>1.05</x:v>
      </x:c>
      <x:c r="F39" s="1" t="str">
        <x:v>https://api.octopus.energy/v1/products/AGILE-24-10-01/electricity-tariffs/E-1R-AGILE-24-10-01-G/standard-unit-rates/</x:v>
      </x:c>
    </x:row>
    <x:row r="40" ht="21" customHeight="1">
      <x:c r="A40" s="24" t="n">
        <x:v>46149.333333333336</x:v>
      </x:c>
      <x:c r="B40" s="6" t="n">
        <x:v>0.21960000000000002</x:v>
      </x:c>
      <x:c r="C40" s="6" t="n">
        <x:v>0.1267</x:v>
      </x:c>
      <x:c r="D40" s="6" t="n">
        <x:f>'Tariff and method'!$B$4</x:f>
        <x:v>0.2226</x:v>
      </x:c>
      <x:c r="E40" s="1" t="n">
        <x:v>1.05</x:v>
      </x:c>
      <x:c r="F40" s="1" t="str">
        <x:v>https://api.octopus.energy/v1/products/AGILE-24-10-01/electricity-tariffs/E-1R-AGILE-24-10-01-G/standard-unit-rates/</x:v>
      </x:c>
    </x:row>
    <x:row r="41" ht="21" customHeight="1">
      <x:c r="A41" s="24" t="n">
        <x:v>46149.354166666664</x:v>
      </x:c>
      <x:c r="B41" s="6" t="n">
        <x:v>0.2064</x:v>
      </x:c>
      <x:c r="C41" s="6" t="n">
        <x:v>0.1206</x:v>
      </x:c>
      <x:c r="D41" s="6" t="n">
        <x:f>'Tariff and method'!$B$4</x:f>
        <x:v>0.2226</x:v>
      </x:c>
      <x:c r="E41" s="1" t="n">
        <x:v>1.05</x:v>
      </x:c>
      <x:c r="F41" s="1" t="str">
        <x:v>https://api.octopus.energy/v1/products/AGILE-24-10-01/electricity-tariffs/E-1R-AGILE-24-10-01-G/standard-unit-rates/</x:v>
      </x:c>
    </x:row>
    <x:row r="42" ht="21" customHeight="1">
      <x:c r="A42" s="24" t="n">
        <x:v>46149.375</x:v>
      </x:c>
      <x:c r="B42" s="6" t="n">
        <x:v>0.1892</x:v>
      </x:c>
      <x:c r="C42" s="6" t="n">
        <x:v>0.1128</x:v>
      </x:c>
      <x:c r="D42" s="6" t="n">
        <x:f>'Tariff and method'!$B$4</x:f>
        <x:v>0.2226</x:v>
      </x:c>
      <x:c r="E42" s="1" t="n">
        <x:v>1.05</x:v>
      </x:c>
      <x:c r="F42" s="1" t="str">
        <x:v>https://api.octopus.energy/v1/products/AGILE-24-10-01/electricity-tariffs/E-1R-AGILE-24-10-01-G/standard-unit-rates/</x:v>
      </x:c>
    </x:row>
    <x:row r="43" ht="21" customHeight="1">
      <x:c r="A43" s="24" t="n">
        <x:v>46149.395833333336</x:v>
      </x:c>
      <x:c r="B43" s="6" t="n">
        <x:v>0.1575</x:v>
      </x:c>
      <x:c r="C43" s="6" t="n">
        <x:v>0.0983</x:v>
      </x:c>
      <x:c r="D43" s="6" t="n">
        <x:f>'Tariff and method'!$B$4</x:f>
        <x:v>0.2226</x:v>
      </x:c>
      <x:c r="E43" s="1" t="n">
        <x:v>1.05</x:v>
      </x:c>
      <x:c r="F43" s="1" t="str">
        <x:v>https://api.octopus.energy/v1/products/AGILE-24-10-01/electricity-tariffs/E-1R-AGILE-24-10-01-G/standard-unit-rates/</x:v>
      </x:c>
    </x:row>
    <x:row r="44" ht="21" customHeight="1">
      <x:c r="A44" s="24" t="n">
        <x:v>46149.416666666664</x:v>
      </x:c>
      <x:c r="B44" s="6" t="n">
        <x:v>0.1721</x:v>
      </x:c>
      <x:c r="C44" s="6" t="n">
        <x:v>0.10490000000000001</x:v>
      </x:c>
      <x:c r="D44" s="6" t="n">
        <x:f>'Tariff and method'!$B$4</x:f>
        <x:v>0.2226</x:v>
      </x:c>
      <x:c r="E44" s="1" t="n">
        <x:v>1.05</x:v>
      </x:c>
      <x:c r="F44" s="1" t="str">
        <x:v>https://api.octopus.energy/v1/products/AGILE-24-10-01/electricity-tariffs/E-1R-AGILE-24-10-01-G/standard-unit-rates/</x:v>
      </x:c>
    </x:row>
    <x:row r="45" ht="21" customHeight="1">
      <x:c r="A45" s="24" t="n">
        <x:v>46149.4375</x:v>
      </x:c>
      <x:c r="B45" s="6" t="n">
        <x:v>0.1531</x:v>
      </x:c>
      <x:c r="C45" s="6" t="n">
        <x:v>0.0962</x:v>
      </x:c>
      <x:c r="D45" s="6" t="n">
        <x:f>'Tariff and method'!$B$4</x:f>
        <x:v>0.2226</x:v>
      </x:c>
      <x:c r="E45" s="1" t="n">
        <x:v>1.05</x:v>
      </x:c>
      <x:c r="F45" s="1" t="str">
        <x:v>https://api.octopus.energy/v1/products/AGILE-24-10-01/electricity-tariffs/E-1R-AGILE-24-10-01-G/standard-unit-rates/</x:v>
      </x:c>
    </x:row>
    <x:row r="46" ht="21" customHeight="1">
      <x:c r="A46" s="24" t="n">
        <x:v>46149.458333333336</x:v>
      </x:c>
      <x:c r="B46" s="6" t="n">
        <x:v>0.1512</x:v>
      </x:c>
      <x:c r="C46" s="6" t="n">
        <x:v>0.09539999999999998</x:v>
      </x:c>
      <x:c r="D46" s="6" t="n">
        <x:f>'Tariff and method'!$B$4</x:f>
        <x:v>0.2226</x:v>
      </x:c>
      <x:c r="E46" s="1" t="n">
        <x:v>1.05</x:v>
      </x:c>
      <x:c r="F46" s="1" t="str">
        <x:v>https://api.octopus.energy/v1/products/AGILE-24-10-01/electricity-tariffs/E-1R-AGILE-24-10-01-G/standard-unit-rates/</x:v>
      </x:c>
    </x:row>
    <x:row r="47" ht="21" customHeight="1">
      <x:c r="A47" s="24" t="n">
        <x:v>46149.479166666664</x:v>
      </x:c>
      <x:c r="B47" s="6" t="n">
        <x:v>0.15789999999999998</x:v>
      </x:c>
      <x:c r="C47" s="6" t="n">
        <x:v>0.09849999999999999</x:v>
      </x:c>
      <x:c r="D47" s="6" t="n">
        <x:f>'Tariff and method'!$B$4</x:f>
        <x:v>0.2226</x:v>
      </x:c>
      <x:c r="E47" s="1" t="n">
        <x:v>1.05</x:v>
      </x:c>
      <x:c r="F47" s="1" t="str">
        <x:v>https://api.octopus.energy/v1/products/AGILE-24-10-01/electricity-tariffs/E-1R-AGILE-24-10-01-G/standard-unit-rates/</x:v>
      </x:c>
    </x:row>
    <x:row r="48" ht="21" customHeight="1">
      <x:c r="A48" s="24" t="n">
        <x:v>46149.5</x:v>
      </x:c>
      <x:c r="B48" s="6" t="n">
        <x:v>0.16079999999999997</x:v>
      </x:c>
      <x:c r="C48" s="6" t="n">
        <x:v>0.0998</x:v>
      </x:c>
      <x:c r="D48" s="6" t="n">
        <x:f>'Tariff and method'!$B$4</x:f>
        <x:v>0.2226</x:v>
      </x:c>
      <x:c r="E48" s="1" t="n">
        <x:v>1.05</x:v>
      </x:c>
      <x:c r="F48" s="1" t="str">
        <x:v>https://api.octopus.energy/v1/products/AGILE-24-10-01/electricity-tariffs/E-1R-AGILE-24-10-01-G/standard-unit-rates/</x:v>
      </x:c>
    </x:row>
    <x:row r="49" ht="21" customHeight="1">
      <x:c r="A49" s="24" t="n">
        <x:v>46149.520833333336</x:v>
      </x:c>
      <x:c r="B49" s="6" t="n">
        <x:v>0.16079999999999997</x:v>
      </x:c>
      <x:c r="C49" s="6" t="n">
        <x:v>0.0998</x:v>
      </x:c>
      <x:c r="D49" s="6" t="n">
        <x:f>'Tariff and method'!$B$4</x:f>
        <x:v>0.2226</x:v>
      </x:c>
      <x:c r="E49" s="1" t="n">
        <x:v>1.05</x:v>
      </x:c>
      <x:c r="F49" s="1" t="str">
        <x:v>https://api.octopus.energy/v1/products/AGILE-24-10-01/electricity-tariffs/E-1R-AGILE-24-10-01-G/standard-unit-rates/</x:v>
      </x:c>
    </x:row>
    <x:row r="50" ht="21" customHeight="1">
      <x:c r="A50" s="24" t="n">
        <x:v>46149.541666666664</x:v>
      </x:c>
      <x:c r="B50" s="6" t="n">
        <x:v>0.16079999999999997</x:v>
      </x:c>
      <x:c r="C50" s="6" t="n">
        <x:v>0.0998</x:v>
      </x:c>
      <x:c r="D50" s="6" t="n">
        <x:f>'Tariff and method'!$B$4</x:f>
        <x:v>0.2226</x:v>
      </x:c>
      <x:c r="E50" s="1" t="n">
        <x:v>1.05</x:v>
      </x:c>
      <x:c r="F50" s="1" t="str">
        <x:v>https://api.octopus.energy/v1/products/AGILE-24-10-01/electricity-tariffs/E-1R-AGILE-24-10-01-G/standard-unit-rates/</x:v>
      </x:c>
    </x:row>
    <x:row r="51" ht="21" customHeight="1">
      <x:c r="A51" s="24" t="n">
        <x:v>46149.5625</x:v>
      </x:c>
      <x:c r="B51" s="6" t="n">
        <x:v>0.15560000000000002</x:v>
      </x:c>
      <x:c r="C51" s="6" t="n">
        <x:v>0.0974</x:v>
      </x:c>
      <x:c r="D51" s="6" t="n">
        <x:f>'Tariff and method'!$B$4</x:f>
        <x:v>0.2226</x:v>
      </x:c>
      <x:c r="E51" s="1" t="n">
        <x:v>1.05</x:v>
      </x:c>
      <x:c r="F51" s="1" t="str">
        <x:v>https://api.octopus.energy/v1/products/AGILE-24-10-01/electricity-tariffs/E-1R-AGILE-24-10-01-G/standard-unit-rates/</x:v>
      </x:c>
    </x:row>
    <x:row r="52" ht="21" customHeight="1">
      <x:c r="A52" s="24" t="n">
        <x:v>46149.583333333336</x:v>
      </x:c>
      <x:c r="B52" s="6" t="n">
        <x:v>0.16079999999999997</x:v>
      </x:c>
      <x:c r="C52" s="6" t="n">
        <x:v>0.0998</x:v>
      </x:c>
      <x:c r="D52" s="6" t="n">
        <x:f>'Tariff and method'!$B$4</x:f>
        <x:v>0.2226</x:v>
      </x:c>
      <x:c r="E52" s="1" t="n">
        <x:v>1.05</x:v>
      </x:c>
      <x:c r="F52" s="1" t="str">
        <x:v>https://api.octopus.energy/v1/products/AGILE-24-10-01/electricity-tariffs/E-1R-AGILE-24-10-01-G/standard-unit-rates/</x:v>
      </x:c>
    </x:row>
    <x:row r="53" ht="21" customHeight="1">
      <x:c r="A53" s="24" t="n">
        <x:v>46149.604166666664</x:v>
      </x:c>
      <x:c r="B53" s="6" t="n">
        <x:v>0.1537</x:v>
      </x:c>
      <x:c r="C53" s="6" t="n">
        <x:v>0.0965</x:v>
      </x:c>
      <x:c r="D53" s="6" t="n">
        <x:f>'Tariff and method'!$B$4</x:f>
        <x:v>0.2226</x:v>
      </x:c>
      <x:c r="E53" s="1" t="n">
        <x:v>1.05</x:v>
      </x:c>
      <x:c r="F53" s="1" t="str">
        <x:v>https://api.octopus.energy/v1/products/AGILE-24-10-01/electricity-tariffs/E-1R-AGILE-24-10-01-G/standard-unit-rates/</x:v>
      </x:c>
    </x:row>
    <x:row r="54" ht="21" customHeight="1">
      <x:c r="A54" s="24" t="n">
        <x:v>46149.625</x:v>
      </x:c>
      <x:c r="B54" s="6" t="n">
        <x:v>0.17629999999999998</x:v>
      </x:c>
      <x:c r="C54" s="6" t="n">
        <x:v>0.1069</x:v>
      </x:c>
      <x:c r="D54" s="6" t="n">
        <x:f>'Tariff and method'!$B$4</x:f>
        <x:v>0.2226</x:v>
      </x:c>
      <x:c r="E54" s="1" t="n">
        <x:v>1.05</x:v>
      </x:c>
      <x:c r="F54" s="1" t="str">
        <x:v>https://api.octopus.energy/v1/products/AGILE-24-10-01/electricity-tariffs/E-1R-AGILE-24-10-01-G/standard-unit-rates/</x:v>
      </x:c>
    </x:row>
    <x:row r="55" ht="21" customHeight="1">
      <x:c r="A55" s="24" t="n">
        <x:v>46149.645833333336</x:v>
      </x:c>
      <x:c r="B55" s="6" t="n">
        <x:v>0.1826</x:v>
      </x:c>
      <x:c r="C55" s="6" t="n">
        <x:v>0.1097</x:v>
      </x:c>
      <x:c r="D55" s="6" t="n">
        <x:f>'Tariff and method'!$B$4</x:f>
        <x:v>0.2226</x:v>
      </x:c>
      <x:c r="E55" s="1" t="n">
        <x:v>1.05</x:v>
      </x:c>
      <x:c r="F55" s="1" t="str">
        <x:v>https://api.octopus.energy/v1/products/AGILE-24-10-01/electricity-tariffs/E-1R-AGILE-24-10-01-G/standard-unit-rates/</x:v>
      </x:c>
    </x:row>
    <x:row r="56" ht="21" customHeight="1">
      <x:c r="A56" s="24" t="n">
        <x:v>46149.666666666664</x:v>
      </x:c>
      <x:c r="B56" s="6" t="n">
        <x:v>0.3134</x:v>
      </x:c>
      <x:c r="C56" s="6" t="n">
        <x:v>0.1736</x:v>
      </x:c>
      <x:c r="D56" s="6" t="n">
        <x:f>'Tariff and method'!$B$4</x:f>
        <x:v>0.2226</x:v>
      </x:c>
      <x:c r="E56" s="1" t="n">
        <x:v>1.05</x:v>
      </x:c>
      <x:c r="F56" s="1" t="str">
        <x:v>https://api.octopus.energy/v1/products/AGILE-24-10-01/electricity-tariffs/E-1R-AGILE-24-10-01-G/standard-unit-rates/</x:v>
      </x:c>
    </x:row>
    <x:row r="57" ht="21" customHeight="1">
      <x:c r="A57" s="24" t="n">
        <x:v>46149.6875</x:v>
      </x:c>
      <x:c r="B57" s="6" t="n">
        <x:v>0.3336</x:v>
      </x:c>
      <x:c r="C57" s="6" t="n">
        <x:v>0.18280000000000002</x:v>
      </x:c>
      <x:c r="D57" s="6" t="n">
        <x:f>'Tariff and method'!$B$4</x:f>
        <x:v>0.2226</x:v>
      </x:c>
      <x:c r="E57" s="1" t="n">
        <x:v>1.05</x:v>
      </x:c>
      <x:c r="F57" s="1" t="str">
        <x:v>https://api.octopus.energy/v1/products/AGILE-24-10-01/electricity-tariffs/E-1R-AGILE-24-10-01-G/standard-unit-rates/</x:v>
      </x:c>
    </x:row>
    <x:row r="58" ht="21" customHeight="1">
      <x:c r="A58" s="24" t="n">
        <x:v>46149.708333333336</x:v>
      </x:c>
      <x:c r="B58" s="6" t="n">
        <x:v>0.3197</x:v>
      </x:c>
      <x:c r="C58" s="6" t="n">
        <x:v>0.1765</x:v>
      </x:c>
      <x:c r="D58" s="6" t="n">
        <x:f>'Tariff and method'!$B$4</x:f>
        <x:v>0.2226</x:v>
      </x:c>
      <x:c r="E58" s="1" t="n">
        <x:v>1.05</x:v>
      </x:c>
      <x:c r="F58" s="1" t="str">
        <x:v>https://api.octopus.energy/v1/products/AGILE-24-10-01/electricity-tariffs/E-1R-AGILE-24-10-01-G/standard-unit-rates/</x:v>
      </x:c>
    </x:row>
    <x:row r="59" ht="21" customHeight="1">
      <x:c r="A59" s="24" t="n">
        <x:v>46149.729166666664</x:v>
      </x:c>
      <x:c r="B59" s="6" t="n">
        <x:v>0.3362</x:v>
      </x:c>
      <x:c r="C59" s="6" t="n">
        <x:v>0.184</x:v>
      </x:c>
      <x:c r="D59" s="6" t="n">
        <x:f>'Tariff and method'!$B$4</x:f>
        <x:v>0.2226</x:v>
      </x:c>
      <x:c r="E59" s="1" t="n">
        <x:v>1.05</x:v>
      </x:c>
      <x:c r="F59" s="1" t="str">
        <x:v>https://api.octopus.energy/v1/products/AGILE-24-10-01/electricity-tariffs/E-1R-AGILE-24-10-01-G/standard-unit-rates/</x:v>
      </x:c>
    </x:row>
    <x:row r="60" ht="21" customHeight="1">
      <x:c r="A60" s="24" t="n">
        <x:v>46149.75</x:v>
      </x:c>
      <x:c r="B60" s="6" t="n">
        <x:v>0.3544</x:v>
      </x:c>
      <x:c r="C60" s="6" t="n">
        <x:v>0.1923</x:v>
      </x:c>
      <x:c r="D60" s="6" t="n">
        <x:f>'Tariff and method'!$B$4</x:f>
        <x:v>0.2226</x:v>
      </x:c>
      <x:c r="E60" s="1" t="n">
        <x:v>1.05</x:v>
      </x:c>
      <x:c r="F60" s="1" t="str">
        <x:v>https://api.octopus.energy/v1/products/AGILE-24-10-01/electricity-tariffs/E-1R-AGILE-24-10-01-G/standard-unit-rates/</x:v>
      </x:c>
    </x:row>
    <x:row r="61" ht="21" customHeight="1">
      <x:c r="A61" s="24" t="n">
        <x:v>46149.770833333336</x:v>
      </x:c>
      <x:c r="B61" s="6" t="n">
        <x:v>0.3617</x:v>
      </x:c>
      <x:c r="C61" s="6" t="n">
        <x:v>0.1957</x:v>
      </x:c>
      <x:c r="D61" s="6" t="n">
        <x:f>'Tariff and method'!$B$4</x:f>
        <x:v>0.2226</x:v>
      </x:c>
      <x:c r="E61" s="1" t="n">
        <x:v>1.05</x:v>
      </x:c>
      <x:c r="F61" s="1" t="str">
        <x:v>https://api.octopus.energy/v1/products/AGILE-24-10-01/electricity-tariffs/E-1R-AGILE-24-10-01-G/standard-unit-rates/</x:v>
      </x:c>
    </x:row>
    <x:row r="62" ht="21" customHeight="1">
      <x:c r="A62" s="24" t="n">
        <x:v>46149.791666666664</x:v>
      </x:c>
      <x:c r="B62" s="6" t="n">
        <x:v>0.2438</x:v>
      </x:c>
      <x:c r="C62" s="6" t="n">
        <x:v>0.1377</x:v>
      </x:c>
      <x:c r="D62" s="6" t="n">
        <x:f>'Tariff and method'!$B$4</x:f>
        <x:v>0.2226</x:v>
      </x:c>
      <x:c r="E62" s="1" t="n">
        <x:v>1.05</x:v>
      </x:c>
      <x:c r="F62" s="1" t="str">
        <x:v>https://api.octopus.energy/v1/products/AGILE-24-10-01/electricity-tariffs/E-1R-AGILE-24-10-01-G/standard-unit-rates/</x:v>
      </x:c>
    </x:row>
    <x:row r="63" ht="21" customHeight="1">
      <x:c r="A63" s="24" t="n">
        <x:v>46149.8125</x:v>
      </x:c>
      <x:c r="B63" s="6" t="n">
        <x:v>0.2438</x:v>
      </x:c>
      <x:c r="C63" s="6" t="n">
        <x:v>0.1377</x:v>
      </x:c>
      <x:c r="D63" s="6" t="n">
        <x:f>'Tariff and method'!$B$4</x:f>
        <x:v>0.2226</x:v>
      </x:c>
      <x:c r="E63" s="1" t="n">
        <x:v>1.05</x:v>
      </x:c>
      <x:c r="F63" s="1" t="str">
        <x:v>https://api.octopus.energy/v1/products/AGILE-24-10-01/electricity-tariffs/E-1R-AGILE-24-10-01-G/standard-unit-rates/</x:v>
      </x:c>
    </x:row>
    <x:row r="64" ht="21" customHeight="1">
      <x:c r="A64" s="24" t="n">
        <x:v>46149.833333333336</x:v>
      </x:c>
      <x:c r="B64" s="6" t="n">
        <x:v>0.2459</x:v>
      </x:c>
      <x:c r="C64" s="6" t="n">
        <x:v>0.1387</x:v>
      </x:c>
      <x:c r="D64" s="6" t="n">
        <x:f>'Tariff and method'!$B$4</x:f>
        <x:v>0.2226</x:v>
      </x:c>
      <x:c r="E64" s="1" t="n">
        <x:v>1.05</x:v>
      </x:c>
      <x:c r="F64" s="1" t="str">
        <x:v>https://api.octopus.energy/v1/products/AGILE-24-10-01/electricity-tariffs/E-1R-AGILE-24-10-01-G/standard-unit-rates/</x:v>
      </x:c>
    </x:row>
    <x:row r="65" ht="21" customHeight="1">
      <x:c r="A65" s="24" t="n">
        <x:v>46149.854166666664</x:v>
      </x:c>
      <x:c r="B65" s="6" t="n">
        <x:v>0.24600000000000002</x:v>
      </x:c>
      <x:c r="C65" s="6" t="n">
        <x:v>0.1387</x:v>
      </x:c>
      <x:c r="D65" s="6" t="n">
        <x:f>'Tariff and method'!$B$4</x:f>
        <x:v>0.2226</x:v>
      </x:c>
      <x:c r="E65" s="1" t="n">
        <x:v>1.05</x:v>
      </x:c>
      <x:c r="F65" s="1" t="str">
        <x:v>https://api.octopus.energy/v1/products/AGILE-24-10-01/electricity-tariffs/E-1R-AGILE-24-10-01-G/standard-unit-rates/</x:v>
      </x:c>
    </x:row>
    <x:row r="66" ht="21" customHeight="1">
      <x:c r="A66" s="24" t="n">
        <x:v>46149.875</x:v>
      </x:c>
      <x:c r="B66" s="6" t="n">
        <x:v>0.24280000000000002</x:v>
      </x:c>
      <x:c r="C66" s="6" t="n">
        <x:v>0.13720000000000002</x:v>
      </x:c>
      <x:c r="D66" s="6" t="n">
        <x:f>'Tariff and method'!$B$4</x:f>
        <x:v>0.2226</x:v>
      </x:c>
      <x:c r="E66" s="1" t="n">
        <x:v>1.05</x:v>
      </x:c>
      <x:c r="F66" s="1" t="str">
        <x:v>https://api.octopus.energy/v1/products/AGILE-24-10-01/electricity-tariffs/E-1R-AGILE-24-10-01-G/standard-unit-rates/</x:v>
      </x:c>
    </x:row>
    <x:row r="67" ht="21" customHeight="1">
      <x:c r="A67" s="24" t="n">
        <x:v>46149.895833333336</x:v>
      </x:c>
      <x:c r="B67" s="6" t="n">
        <x:v>0.23309999999999997</x:v>
      </x:c>
      <x:c r="C67" s="6" t="n">
        <x:v>0.1328</x:v>
      </x:c>
      <x:c r="D67" s="6" t="n">
        <x:f>'Tariff and method'!$B$4</x:f>
        <x:v>0.2226</x:v>
      </x:c>
      <x:c r="E67" s="1" t="n">
        <x:v>1.05</x:v>
      </x:c>
      <x:c r="F67" s="1" t="str">
        <x:v>https://api.octopus.energy/v1/products/AGILE-24-10-01/electricity-tariffs/E-1R-AGILE-24-10-01-G/standard-unit-rates/</x:v>
      </x:c>
    </x:row>
    <x:row r="68" ht="21" customHeight="1">
      <x:c r="A68" s="24" t="n">
        <x:v>46149.916666666664</x:v>
      </x:c>
      <x:c r="B68" s="6" t="n">
        <x:v>0.2345</x:v>
      </x:c>
      <x:c r="C68" s="6" t="n">
        <x:v>0.1335</x:v>
      </x:c>
      <x:c r="D68" s="6" t="n">
        <x:f>'Tariff and method'!$B$4</x:f>
        <x:v>0.2226</x:v>
      </x:c>
      <x:c r="E68" s="1" t="n">
        <x:v>1.05</x:v>
      </x:c>
      <x:c r="F68" s="1" t="str">
        <x:v>https://api.octopus.energy/v1/products/AGILE-24-10-01/electricity-tariffs/E-1R-AGILE-24-10-01-G/standard-unit-rates/</x:v>
      </x:c>
    </x:row>
    <x:row r="69" ht="21" customHeight="1">
      <x:c r="A69" s="24" t="n">
        <x:v>46149.9375</x:v>
      </x:c>
      <x:c r="B69" s="6" t="n">
        <x:v>0.2102</x:v>
      </x:c>
      <x:c r="C69" s="6" t="n">
        <x:v>0.12240000000000001</x:v>
      </x:c>
      <x:c r="D69" s="6" t="n">
        <x:f>'Tariff and method'!$B$4</x:f>
        <x:v>0.2226</x:v>
      </x:c>
      <x:c r="E69" s="1" t="n">
        <x:v>1.05</x:v>
      </x:c>
      <x:c r="F69" s="1" t="str">
        <x:v>https://api.octopus.energy/v1/products/AGILE-24-10-01/electricity-tariffs/E-1R-AGILE-24-10-01-G/standard-unit-rates/</x:v>
      </x:c>
    </x:row>
    <x:row r="70" ht="21" customHeight="1">
      <x:c r="A70" s="24" t="n">
        <x:v>46150</x:v>
      </x:c>
      <x:c r="B70" s="6" t="n">
        <x:v>0.2212</x:v>
      </x:c>
      <x:c r="C70" s="6" t="n">
        <x:v>0.1274</x:v>
      </x:c>
      <x:c r="D70" s="6" t="n">
        <x:f>'Tariff and method'!$B$4</x:f>
        <x:v>0.2226</x:v>
      </x:c>
      <x:c r="E70" s="1" t="n">
        <x:v>1.05</x:v>
      </x:c>
      <x:c r="F70" s="1" t="str">
        <x:v>https://api.octopus.energy/v1/products/AGILE-24-10-01/electricity-tariffs/E-1R-AGILE-24-10-01-G/standard-unit-rates/</x:v>
      </x:c>
    </x:row>
    <x:row r="71" ht="21" customHeight="1">
      <x:c r="A71" s="24" t="n">
        <x:v>46149.979166666664</x:v>
      </x:c>
      <x:c r="B71" s="6" t="n">
        <x:v>0.19510000000000002</x:v>
      </x:c>
      <x:c r="C71" s="6" t="n">
        <x:v>0.1155</x:v>
      </x:c>
      <x:c r="D71" s="6" t="n">
        <x:f>'Tariff and method'!$B$4</x:f>
        <x:v>0.2226</x:v>
      </x:c>
      <x:c r="E71" s="1" t="n">
        <x:v>1.05</x:v>
      </x:c>
      <x:c r="F71" s="1" t="str">
        <x:v>https://api.octopus.energy/v1/products/AGILE-24-10-01/electricity-tariffs/E-1R-AGILE-24-10-01-G/standard-unit-rates/</x:v>
      </x:c>
    </x:row>
    <x:row r="72" ht="21" customHeight="1">
      <x:c r="A72" s="24" t="n">
        <x:v>46150</x:v>
      </x:c>
      <x:c r="B72" s="6" t="n">
        <x:v>0.17920000000000003</x:v>
      </x:c>
      <x:c r="C72" s="6" t="n">
        <x:v>0.1082</x:v>
      </x:c>
      <x:c r="D72" s="6" t="n">
        <x:f>'Tariff and method'!$B$4</x:f>
        <x:v>0.2226</x:v>
      </x:c>
      <x:c r="E72" s="1" t="n">
        <x:v>1.05</x:v>
      </x:c>
      <x:c r="F72" s="1" t="str">
        <x:v>https://api.octopus.energy/v1/products/AGILE-24-10-01/electricity-tariffs/E-1R-AGILE-24-10-01-G/standard-unit-rates/</x:v>
      </x:c>
    </x:row>
    <x:row r="73" ht="21" customHeight="1">
      <x:c r="A73" s="24" t="n">
        <x:v>46150.020833333336</x:v>
      </x:c>
      <x:c r="B73" s="6" t="n">
        <x:v>0.18350000000000002</x:v>
      </x:c>
      <x:c r="C73" s="6" t="n">
        <x:v>0.11019999999999999</x:v>
      </x:c>
      <x:c r="D73" s="6" t="n">
        <x:f>'Tariff and method'!$B$4</x:f>
        <x:v>0.2226</x:v>
      </x:c>
      <x:c r="E73" s="1" t="n">
        <x:v>1.05</x:v>
      </x:c>
      <x:c r="F73" s="1" t="str">
        <x:v>https://api.octopus.energy/v1/products/AGILE-24-10-01/electricity-tariffs/E-1R-AGILE-24-10-01-G/standard-unit-rates/</x:v>
      </x:c>
    </x:row>
    <x:row r="74" ht="21" customHeight="1">
      <x:c r="A74" s="24" t="n">
        <x:v>46150.041666666664</x:v>
      </x:c>
      <x:c r="B74" s="6" t="n">
        <x:v>0.1709</x:v>
      </x:c>
      <x:c r="C74" s="6" t="n">
        <x:v>0.10439999999999999</x:v>
      </x:c>
      <x:c r="D74" s="6" t="n">
        <x:f>'Tariff and method'!$B$4</x:f>
        <x:v>0.2226</x:v>
      </x:c>
      <x:c r="E74" s="1" t="n">
        <x:v>1.05</x:v>
      </x:c>
      <x:c r="F74" s="1" t="str">
        <x:v>https://api.octopus.energy/v1/products/AGILE-24-10-01/electricity-tariffs/E-1R-AGILE-24-10-01-G/standard-unit-rates/</x:v>
      </x:c>
    </x:row>
    <x:row r="75" ht="21" customHeight="1">
      <x:c r="A75" s="24" t="n">
        <x:v>46150.0625</x:v>
      </x:c>
      <x:c r="B75" s="6" t="n">
        <x:v>0.16899999999999998</x:v>
      </x:c>
      <x:c r="C75" s="6" t="n">
        <x:v>0.1035</x:v>
      </x:c>
      <x:c r="D75" s="6" t="n">
        <x:f>'Tariff and method'!$B$4</x:f>
        <x:v>0.2226</x:v>
      </x:c>
      <x:c r="E75" s="1" t="n">
        <x:v>1.05</x:v>
      </x:c>
      <x:c r="F75" s="1" t="str">
        <x:v>https://api.octopus.energy/v1/products/AGILE-24-10-01/electricity-tariffs/E-1R-AGILE-24-10-01-G/standard-unit-rates/</x:v>
      </x:c>
    </x:row>
    <x:row r="76" ht="21" customHeight="1">
      <x:c r="A76" s="24" t="n">
        <x:v>46150.083333333336</x:v>
      </x:c>
      <x:c r="B76" s="6" t="n">
        <x:v>0.1711</x:v>
      </x:c>
      <x:c r="C76" s="6" t="n">
        <x:v>0.1045</x:v>
      </x:c>
      <x:c r="D76" s="6" t="n">
        <x:f>'Tariff and method'!$B$4</x:f>
        <x:v>0.2226</x:v>
      </x:c>
      <x:c r="E76" s="1" t="n">
        <x:v>1.05</x:v>
      </x:c>
      <x:c r="F76" s="1" t="str">
        <x:v>https://api.octopus.energy/v1/products/AGILE-24-10-01/electricity-tariffs/E-1R-AGILE-24-10-01-G/standard-unit-rates/</x:v>
      </x:c>
    </x:row>
    <x:row r="77" ht="21" customHeight="1">
      <x:c r="A77" s="24" t="n">
        <x:v>46150.104166666664</x:v>
      </x:c>
      <x:c r="B77" s="6" t="n">
        <x:v>0.16879999999999998</x:v>
      </x:c>
      <x:c r="C77" s="6" t="n">
        <x:v>0.10339999999999999</x:v>
      </x:c>
      <x:c r="D77" s="6" t="n">
        <x:f>'Tariff and method'!$B$4</x:f>
        <x:v>0.2226</x:v>
      </x:c>
      <x:c r="E77" s="1" t="n">
        <x:v>1.05</x:v>
      </x:c>
      <x:c r="F77" s="1" t="str">
        <x:v>https://api.octopus.energy/v1/products/AGILE-24-10-01/electricity-tariffs/E-1R-AGILE-24-10-01-G/standard-unit-rates/</x:v>
      </x:c>
    </x:row>
    <x:row r="78" ht="21" customHeight="1">
      <x:c r="A78" s="24" t="n">
        <x:v>46150.125</x:v>
      </x:c>
      <x:c r="B78" s="6" t="n">
        <x:v>0.1716</x:v>
      </x:c>
      <x:c r="C78" s="6" t="n">
        <x:v>0.1047</x:v>
      </x:c>
      <x:c r="D78" s="6" t="n">
        <x:f>'Tariff and method'!$B$4</x:f>
        <x:v>0.2226</x:v>
      </x:c>
      <x:c r="E78" s="1" t="n">
        <x:v>1.05</x:v>
      </x:c>
      <x:c r="F78" s="1" t="str">
        <x:v>https://api.octopus.energy/v1/products/AGILE-24-10-01/electricity-tariffs/E-1R-AGILE-24-10-01-G/standard-unit-rates/</x:v>
      </x:c>
    </x:row>
    <x:row r="79" ht="21" customHeight="1">
      <x:c r="A79" s="24" t="n">
        <x:v>46150.145833333336</x:v>
      </x:c>
      <x:c r="B79" s="6" t="n">
        <x:v>0.1724</x:v>
      </x:c>
      <x:c r="C79" s="6" t="n">
        <x:v>0.1051</x:v>
      </x:c>
      <x:c r="D79" s="6" t="n">
        <x:f>'Tariff and method'!$B$4</x:f>
        <x:v>0.2226</x:v>
      </x:c>
      <x:c r="E79" s="1" t="n">
        <x:v>1.05</x:v>
      </x:c>
      <x:c r="F79" s="1" t="str">
        <x:v>https://api.octopus.energy/v1/products/AGILE-24-10-01/electricity-tariffs/E-1R-AGILE-24-10-01-G/standard-unit-rates/</x:v>
      </x:c>
    </x:row>
    <x:row r="80" ht="21" customHeight="1">
      <x:c r="A80" s="24" t="n">
        <x:v>46150.166666666664</x:v>
      </x:c>
      <x:c r="B80" s="6" t="n">
        <x:v>0.1825</x:v>
      </x:c>
      <x:c r="C80" s="6" t="n">
        <x:v>0.1097</x:v>
      </x:c>
      <x:c r="D80" s="6" t="n">
        <x:f>'Tariff and method'!$B$4</x:f>
        <x:v>0.2226</x:v>
      </x:c>
      <x:c r="E80" s="1" t="n">
        <x:v>1.05</x:v>
      </x:c>
      <x:c r="F80" s="1" t="str">
        <x:v>https://api.octopus.energy/v1/products/AGILE-24-10-01/electricity-tariffs/E-1R-AGILE-24-10-01-G/standard-unit-rates/</x:v>
      </x:c>
    </x:row>
    <x:row r="81" ht="21" customHeight="1">
      <x:c r="A81" s="24" t="n">
        <x:v>46150.1875</x:v>
      </x:c>
      <x:c r="B81" s="6" t="n">
        <x:v>0.185</x:v>
      </x:c>
      <x:c r="C81" s="6" t="n">
        <x:v>0.1108</x:v>
      </x:c>
      <x:c r="D81" s="6" t="n">
        <x:f>'Tariff and method'!$B$4</x:f>
        <x:v>0.2226</x:v>
      </x:c>
      <x:c r="E81" s="1" t="n">
        <x:v>1.05</x:v>
      </x:c>
      <x:c r="F81" s="1" t="str">
        <x:v>https://api.octopus.energy/v1/products/AGILE-24-10-01/electricity-tariffs/E-1R-AGILE-24-10-01-G/standard-unit-rates/</x:v>
      </x:c>
    </x:row>
    <x:row r="82" ht="21" customHeight="1">
      <x:c r="A82" s="24" t="n">
        <x:v>46150.208333333336</x:v>
      </x:c>
      <x:c r="B82" s="6" t="n">
        <x:v>0.2</x:v>
      </x:c>
      <x:c r="C82" s="6" t="n">
        <x:v>0.1177</x:v>
      </x:c>
      <x:c r="D82" s="6" t="n">
        <x:f>'Tariff and method'!$B$4</x:f>
        <x:v>0.2226</x:v>
      </x:c>
      <x:c r="E82" s="1" t="n">
        <x:v>1.05</x:v>
      </x:c>
      <x:c r="F82" s="1" t="str">
        <x:v>https://api.octopus.energy/v1/products/AGILE-24-10-01/electricity-tariffs/E-1R-AGILE-24-10-01-G/standard-unit-rates/</x:v>
      </x:c>
    </x:row>
    <x:row r="83" ht="21" customHeight="1">
      <x:c r="A83" s="24" t="n">
        <x:v>46150.229166666664</x:v>
      </x:c>
      <x:c r="B83" s="6" t="n">
        <x:v>0.21289999999999998</x:v>
      </x:c>
      <x:c r="C83" s="6" t="n">
        <x:v>0.12359999999999999</x:v>
      </x:c>
      <x:c r="D83" s="6" t="n">
        <x:f>'Tariff and method'!$B$4</x:f>
        <x:v>0.2226</x:v>
      </x:c>
      <x:c r="E83" s="1" t="n">
        <x:v>1.05</x:v>
      </x:c>
      <x:c r="F83" s="1" t="str">
        <x:v>https://api.octopus.energy/v1/products/AGILE-24-10-01/electricity-tariffs/E-1R-AGILE-24-10-01-G/standard-unit-rates/</x:v>
      </x:c>
    </x:row>
    <x:row r="84" ht="21" customHeight="1">
      <x:c r="A84" s="24" t="n">
        <x:v>46150.25</x:v>
      </x:c>
      <x:c r="B84" s="6" t="n">
        <x:v>0.2144</x:v>
      </x:c>
      <x:c r="C84" s="6" t="n">
        <x:v>0.1243</x:v>
      </x:c>
      <x:c r="D84" s="6" t="n">
        <x:f>'Tariff and method'!$B$4</x:f>
        <x:v>0.2226</x:v>
      </x:c>
      <x:c r="E84" s="1" t="n">
        <x:v>1.05</x:v>
      </x:c>
      <x:c r="F84" s="1" t="str">
        <x:v>https://api.octopus.energy/v1/products/AGILE-24-10-01/electricity-tariffs/E-1R-AGILE-24-10-01-G/standard-unit-rates/</x:v>
      </x:c>
    </x:row>
    <x:row r="85" ht="21" customHeight="1">
      <x:c r="A85" s="24" t="n">
        <x:v>46150.270833333336</x:v>
      </x:c>
      <x:c r="B85" s="6" t="n">
        <x:v>0.2365</x:v>
      </x:c>
      <x:c r="C85" s="6" t="n">
        <x:v>0.1344</x:v>
      </x:c>
      <x:c r="D85" s="6" t="n">
        <x:f>'Tariff and method'!$B$4</x:f>
        <x:v>0.2226</x:v>
      </x:c>
      <x:c r="E85" s="1" t="n">
        <x:v>1.05</x:v>
      </x:c>
      <x:c r="F85" s="1" t="str">
        <x:v>https://api.octopus.energy/v1/products/AGILE-24-10-01/electricity-tariffs/E-1R-AGILE-24-10-01-G/standard-unit-rates/</x:v>
      </x:c>
    </x:row>
    <x:row r="86" ht="21" customHeight="1">
      <x:c r="A86" s="24" t="n">
        <x:v>46150.291666666664</x:v>
      </x:c>
      <x:c r="B86" s="6" t="n">
        <x:v>0.2151</x:v>
      </x:c>
      <x:c r="C86" s="6" t="n">
        <x:v>0.1246</x:v>
      </x:c>
      <x:c r="D86" s="6" t="n">
        <x:f>'Tariff and method'!$B$4</x:f>
        <x:v>0.2226</x:v>
      </x:c>
      <x:c r="E86" s="1" t="n">
        <x:v>1.05</x:v>
      </x:c>
      <x:c r="F86" s="1" t="str">
        <x:v>https://api.octopus.energy/v1/products/AGILE-24-10-01/electricity-tariffs/E-1R-AGILE-24-10-01-G/standard-unit-rates/</x:v>
      </x:c>
    </x:row>
    <x:row r="87" ht="21" customHeight="1">
      <x:c r="A87" s="24" t="n">
        <x:v>46150.3125</x:v>
      </x:c>
      <x:c r="B87" s="6" t="n">
        <x:v>0.2354</x:v>
      </x:c>
      <x:c r="C87" s="6" t="n">
        <x:v>0.13390000000000002</x:v>
      </x:c>
      <x:c r="D87" s="6" t="n">
        <x:f>'Tariff and method'!$B$4</x:f>
        <x:v>0.2226</x:v>
      </x:c>
      <x:c r="E87" s="1" t="n">
        <x:v>1.05</x:v>
      </x:c>
      <x:c r="F87" s="1" t="str">
        <x:v>https://api.octopus.energy/v1/products/AGILE-24-10-01/electricity-tariffs/E-1R-AGILE-24-10-01-G/standard-unit-rates/</x:v>
      </x:c>
    </x:row>
    <x:row r="88" ht="21" customHeight="1">
      <x:c r="A88" s="24" t="n">
        <x:v>46150.333333333336</x:v>
      </x:c>
      <x:c r="B88" s="6" t="n">
        <x:v>0.22219999999999998</x:v>
      </x:c>
      <x:c r="C88" s="6" t="n">
        <x:v>0.1278</x:v>
      </x:c>
      <x:c r="D88" s="6" t="n">
        <x:f>'Tariff and method'!$B$4</x:f>
        <x:v>0.2226</x:v>
      </x:c>
      <x:c r="E88" s="1" t="n">
        <x:v>1.05</x:v>
      </x:c>
      <x:c r="F88" s="1" t="str">
        <x:v>https://api.octopus.energy/v1/products/AGILE-24-10-01/electricity-tariffs/E-1R-AGILE-24-10-01-G/standard-unit-rates/</x:v>
      </x:c>
    </x:row>
    <x:row r="89" ht="21" customHeight="1">
      <x:c r="A89" s="24" t="n">
        <x:v>46150.354166666664</x:v>
      </x:c>
      <x:c r="B89" s="6" t="n">
        <x:v>0.20629999999999998</x:v>
      </x:c>
      <x:c r="C89" s="6" t="n">
        <x:v>0.1206</x:v>
      </x:c>
      <x:c r="D89" s="6" t="n">
        <x:f>'Tariff and method'!$B$4</x:f>
        <x:v>0.2226</x:v>
      </x:c>
      <x:c r="E89" s="1" t="n">
        <x:v>1.05</x:v>
      </x:c>
      <x:c r="F89" s="1" t="str">
        <x:v>https://api.octopus.energy/v1/products/AGILE-24-10-01/electricity-tariffs/E-1R-AGILE-24-10-01-G/standard-unit-rates/</x:v>
      </x:c>
    </x:row>
    <x:row r="90" ht="21" customHeight="1">
      <x:c r="A90" s="24" t="n">
        <x:v>46150.375</x:v>
      </x:c>
      <x:c r="B90" s="6" t="n">
        <x:v>0.1788</x:v>
      </x:c>
      <x:c r="C90" s="6" t="n">
        <x:v>0.10800000000000001</x:v>
      </x:c>
      <x:c r="D90" s="6" t="n">
        <x:f>'Tariff and method'!$B$4</x:f>
        <x:v>0.2226</x:v>
      </x:c>
      <x:c r="E90" s="1" t="n">
        <x:v>1.05</x:v>
      </x:c>
      <x:c r="F90" s="1" t="str">
        <x:v>https://api.octopus.energy/v1/products/AGILE-24-10-01/electricity-tariffs/E-1R-AGILE-24-10-01-G/standard-unit-rates/</x:v>
      </x:c>
    </x:row>
    <x:row r="91" ht="21" customHeight="1">
      <x:c r="A91" s="24" t="n">
        <x:v>46150.395833333336</x:v>
      </x:c>
      <x:c r="B91" s="6" t="n">
        <x:v>0.1629</x:v>
      </x:c>
      <x:c r="C91" s="6" t="n">
        <x:v>0.1007</x:v>
      </x:c>
      <x:c r="D91" s="6" t="n">
        <x:f>'Tariff and method'!$B$4</x:f>
        <x:v>0.2226</x:v>
      </x:c>
      <x:c r="E91" s="1" t="n">
        <x:v>1.05</x:v>
      </x:c>
      <x:c r="F91" s="1" t="str">
        <x:v>https://api.octopus.energy/v1/products/AGILE-24-10-01/electricity-tariffs/E-1R-AGILE-24-10-01-G/standard-unit-rates/</x:v>
      </x:c>
    </x:row>
    <x:row r="92" ht="21" customHeight="1">
      <x:c r="A92" s="24" t="n">
        <x:v>46150.416666666664</x:v>
      </x:c>
      <x:c r="B92" s="6" t="n">
        <x:v>0.1663</x:v>
      </x:c>
      <x:c r="C92" s="6" t="n">
        <x:v>0.1023</x:v>
      </x:c>
      <x:c r="D92" s="6" t="n">
        <x:f>'Tariff and method'!$B$4</x:f>
        <x:v>0.2226</x:v>
      </x:c>
      <x:c r="E92" s="1" t="n">
        <x:v>1.05</x:v>
      </x:c>
      <x:c r="F92" s="1" t="str">
        <x:v>https://api.octopus.energy/v1/products/AGILE-24-10-01/electricity-tariffs/E-1R-AGILE-24-10-01-G/standard-unit-rates/</x:v>
      </x:c>
    </x:row>
    <x:row r="93" ht="21" customHeight="1">
      <x:c r="A93" s="24" t="n">
        <x:v>46150.4375</x:v>
      </x:c>
      <x:c r="B93" s="6" t="n">
        <x:v>0.16190000000000002</x:v>
      </x:c>
      <x:c r="C93" s="6" t="n">
        <x:v>0.1003</x:v>
      </x:c>
      <x:c r="D93" s="6" t="n">
        <x:f>'Tariff and method'!$B$4</x:f>
        <x:v>0.2226</x:v>
      </x:c>
      <x:c r="E93" s="1" t="n">
        <x:v>1.05</x:v>
      </x:c>
      <x:c r="F93" s="1" t="str">
        <x:v>https://api.octopus.energy/v1/products/AGILE-24-10-01/electricity-tariffs/E-1R-AGILE-24-10-01-G/standard-unit-rates/</x:v>
      </x:c>
    </x:row>
    <x:row r="94" ht="21" customHeight="1">
      <x:c r="A94" s="24" t="n">
        <x:v>46150.458333333336</x:v>
      </x:c>
      <x:c r="B94" s="6" t="n">
        <x:v>0.1487</x:v>
      </x:c>
      <x:c r="C94" s="6" t="n">
        <x:v>0.0942</x:v>
      </x:c>
      <x:c r="D94" s="6" t="n">
        <x:f>'Tariff and method'!$B$4</x:f>
        <x:v>0.2226</x:v>
      </x:c>
      <x:c r="E94" s="1" t="n">
        <x:v>1.05</x:v>
      </x:c>
      <x:c r="F94" s="1" t="str">
        <x:v>https://api.octopus.energy/v1/products/AGILE-24-10-01/electricity-tariffs/E-1R-AGILE-24-10-01-G/standard-unit-rates/</x:v>
      </x:c>
    </x:row>
    <x:row r="95" ht="21" customHeight="1">
      <x:c r="A95" s="24" t="n">
        <x:v>46150.479166666664</x:v>
      </x:c>
      <x:c r="B95" s="6" t="n">
        <x:v>0.1542</x:v>
      </x:c>
      <x:c r="C95" s="6" t="n">
        <x:v>0.0968</x:v>
      </x:c>
      <x:c r="D95" s="6" t="n">
        <x:f>'Tariff and method'!$B$4</x:f>
        <x:v>0.2226</x:v>
      </x:c>
      <x:c r="E95" s="1" t="n">
        <x:v>1.05</x:v>
      </x:c>
      <x:c r="F95" s="1" t="str">
        <x:v>https://api.octopus.energy/v1/products/AGILE-24-10-01/electricity-tariffs/E-1R-AGILE-24-10-01-G/standard-unit-rates/</x:v>
      </x:c>
    </x:row>
    <x:row r="96" ht="21" customHeight="1">
      <x:c r="A96" s="24" t="n">
        <x:v>46150.5</x:v>
      </x:c>
      <x:c r="B96" s="6" t="n">
        <x:v>0.16079999999999997</x:v>
      </x:c>
      <x:c r="C96" s="6" t="n">
        <x:v>0.0998</x:v>
      </x:c>
      <x:c r="D96" s="6" t="n">
        <x:f>'Tariff and method'!$B$4</x:f>
        <x:v>0.2226</x:v>
      </x:c>
      <x:c r="E96" s="1" t="n">
        <x:v>1.05</x:v>
      </x:c>
      <x:c r="F96" s="1" t="str">
        <x:v>https://api.octopus.energy/v1/products/AGILE-24-10-01/electricity-tariffs/E-1R-AGILE-24-10-01-G/standard-unit-rates/</x:v>
      </x:c>
    </x:row>
    <x:row r="97" ht="21" customHeight="1">
      <x:c r="A97" s="24" t="n">
        <x:v>46150.520833333336</x:v>
      </x:c>
      <x:c r="B97" s="6" t="n">
        <x:v>0.1598</x:v>
      </x:c>
      <x:c r="C97" s="6" t="n">
        <x:v>0.0993</x:v>
      </x:c>
      <x:c r="D97" s="6" t="n">
        <x:f>'Tariff and method'!$B$4</x:f>
        <x:v>0.2226</x:v>
      </x:c>
      <x:c r="E97" s="1" t="n">
        <x:v>1.05</x:v>
      </x:c>
      <x:c r="F97" s="1" t="str">
        <x:v>https://api.octopus.energy/v1/products/AGILE-24-10-01/electricity-tariffs/E-1R-AGILE-24-10-01-G/standard-unit-rates/</x:v>
      </x:c>
    </x:row>
    <x:row r="98" ht="21" customHeight="1">
      <x:c r="A98" s="24" t="n">
        <x:v>46150.541666666664</x:v>
      </x:c>
      <x:c r="B98" s="6" t="n">
        <x:v>0.15560000000000002</x:v>
      </x:c>
      <x:c r="C98" s="6" t="n">
        <x:v>0.0974</x:v>
      </x:c>
      <x:c r="D98" s="6" t="n">
        <x:f>'Tariff and method'!$B$4</x:f>
        <x:v>0.2226</x:v>
      </x:c>
      <x:c r="E98" s="1" t="n">
        <x:v>1.05</x:v>
      </x:c>
      <x:c r="F98" s="1" t="str">
        <x:v>https://api.octopus.energy/v1/products/AGILE-24-10-01/electricity-tariffs/E-1R-AGILE-24-10-01-G/standard-unit-rates/</x:v>
      </x:c>
    </x:row>
    <x:row r="99" ht="21" customHeight="1">
      <x:c r="A99" s="24" t="n">
        <x:v>46150.5625</x:v>
      </x:c>
      <x:c r="B99" s="6" t="n">
        <x:v>0.15560000000000002</x:v>
      </x:c>
      <x:c r="C99" s="6" t="n">
        <x:v>0.0974</x:v>
      </x:c>
      <x:c r="D99" s="6" t="n">
        <x:f>'Tariff and method'!$B$4</x:f>
        <x:v>0.2226</x:v>
      </x:c>
      <x:c r="E99" s="1" t="n">
        <x:v>1.05</x:v>
      </x:c>
      <x:c r="F99" s="1" t="str">
        <x:v>https://api.octopus.energy/v1/products/AGILE-24-10-01/electricity-tariffs/E-1R-AGILE-24-10-01-G/standard-unit-rates/</x:v>
      </x:c>
    </x:row>
    <x:row r="100" ht="21" customHeight="1">
      <x:c r="A100" s="24" t="n">
        <x:v>46150.583333333336</x:v>
      </x:c>
      <x:c r="B100" s="6" t="n">
        <x:v>0.15560000000000002</x:v>
      </x:c>
      <x:c r="C100" s="6" t="n">
        <x:v>0.0974</x:v>
      </x:c>
      <x:c r="D100" s="6" t="n">
        <x:f>'Tariff and method'!$B$4</x:f>
        <x:v>0.2226</x:v>
      </x:c>
      <x:c r="E100" s="1" t="n">
        <x:v>1.05</x:v>
      </x:c>
      <x:c r="F100" s="1" t="str">
        <x:v>https://api.octopus.energy/v1/products/AGILE-24-10-01/electricity-tariffs/E-1R-AGILE-24-10-01-G/standard-unit-rates/</x:v>
      </x:c>
    </x:row>
    <x:row r="101" ht="21" customHeight="1">
      <x:c r="A101" s="24" t="n">
        <x:v>46150.604166666664</x:v>
      </x:c>
      <x:c r="B101" s="6" t="n">
        <x:v>0.15560000000000002</x:v>
      </x:c>
      <x:c r="C101" s="6" t="n">
        <x:v>0.0974</x:v>
      </x:c>
      <x:c r="D101" s="6" t="n">
        <x:f>'Tariff and method'!$B$4</x:f>
        <x:v>0.2226</x:v>
      </x:c>
      <x:c r="E101" s="1" t="n">
        <x:v>1.05</x:v>
      </x:c>
      <x:c r="F101" s="1" t="str">
        <x:v>https://api.octopus.energy/v1/products/AGILE-24-10-01/electricity-tariffs/E-1R-AGILE-24-10-01-G/standard-unit-rates/</x:v>
      </x:c>
    </x:row>
    <x:row r="102" ht="21" customHeight="1">
      <x:c r="A102" s="24" t="n">
        <x:v>46150.625</x:v>
      </x:c>
      <x:c r="B102" s="6" t="n">
        <x:v>0.1598</x:v>
      </x:c>
      <x:c r="C102" s="6" t="n">
        <x:v>0.0993</x:v>
      </x:c>
      <x:c r="D102" s="6" t="n">
        <x:f>'Tariff and method'!$B$4</x:f>
        <x:v>0.2226</x:v>
      </x:c>
      <x:c r="E102" s="1" t="n">
        <x:v>1.05</x:v>
      </x:c>
      <x:c r="F102" s="1" t="str">
        <x:v>https://api.octopus.energy/v1/products/AGILE-24-10-01/electricity-tariffs/E-1R-AGILE-24-10-01-G/standard-unit-rates/</x:v>
      </x:c>
    </x:row>
    <x:row r="103" ht="21" customHeight="1">
      <x:c r="A103" s="24" t="n">
        <x:v>46150.645833333336</x:v>
      </x:c>
      <x:c r="B103" s="6" t="n">
        <x:v>0.16399999999999998</x:v>
      </x:c>
      <x:c r="C103" s="6" t="n">
        <x:v>0.1012</x:v>
      </x:c>
      <x:c r="D103" s="6" t="n">
        <x:f>'Tariff and method'!$B$4</x:f>
        <x:v>0.2226</x:v>
      </x:c>
      <x:c r="E103" s="1" t="n">
        <x:v>1.05</x:v>
      </x:c>
      <x:c r="F103" s="1" t="str">
        <x:v>https://api.octopus.energy/v1/products/AGILE-24-10-01/electricity-tariffs/E-1R-AGILE-24-10-01-G/standard-unit-rates/</x:v>
      </x:c>
    </x:row>
    <x:row r="104" ht="21" customHeight="1">
      <x:c r="A104" s="24" t="n">
        <x:v>46150.666666666664</x:v>
      </x:c>
      <x:c r="B104" s="6" t="n">
        <x:v>0.2861</x:v>
      </x:c>
      <x:c r="C104" s="6" t="n">
        <x:v>0.1611</x:v>
      </x:c>
      <x:c r="D104" s="6" t="n">
        <x:f>'Tariff and method'!$B$4</x:f>
        <x:v>0.2226</x:v>
      </x:c>
      <x:c r="E104" s="1" t="n">
        <x:v>1.05</x:v>
      </x:c>
      <x:c r="F104" s="1" t="str">
        <x:v>https://api.octopus.energy/v1/products/AGILE-24-10-01/electricity-tariffs/E-1R-AGILE-24-10-01-G/standard-unit-rates/</x:v>
      </x:c>
    </x:row>
    <x:row r="105" ht="21" customHeight="1">
      <x:c r="A105" s="24" t="n">
        <x:v>46150.6875</x:v>
      </x:c>
      <x:c r="B105" s="6" t="n">
        <x:v>0.3018</x:v>
      </x:c>
      <x:c r="C105" s="6" t="n">
        <x:v>0.16829999999999998</x:v>
      </x:c>
      <x:c r="D105" s="6" t="n">
        <x:f>'Tariff and method'!$B$4</x:f>
        <x:v>0.2226</x:v>
      </x:c>
      <x:c r="E105" s="1" t="n">
        <x:v>1.05</x:v>
      </x:c>
      <x:c r="F105" s="1" t="str">
        <x:v>https://api.octopus.energy/v1/products/AGILE-24-10-01/electricity-tariffs/E-1R-AGILE-24-10-01-G/standard-unit-rates/</x:v>
      </x:c>
    </x:row>
    <x:row r="106" ht="21" customHeight="1">
      <x:c r="A106" s="24" t="n">
        <x:v>46150.708333333336</x:v>
      </x:c>
      <x:c r="B106" s="6" t="n">
        <x:v>0.305</x:v>
      </x:c>
      <x:c r="C106" s="6" t="n">
        <x:v>0.1697</x:v>
      </x:c>
      <x:c r="D106" s="6" t="n">
        <x:f>'Tariff and method'!$B$4</x:f>
        <x:v>0.2226</x:v>
      </x:c>
      <x:c r="E106" s="1" t="n">
        <x:v>1.05</x:v>
      </x:c>
      <x:c r="F106" s="1" t="str">
        <x:v>https://api.octopus.energy/v1/products/AGILE-24-10-01/electricity-tariffs/E-1R-AGILE-24-10-01-G/standard-unit-rates/</x:v>
      </x:c>
    </x:row>
    <x:row r="107" ht="21" customHeight="1">
      <x:c r="A107" s="24" t="n">
        <x:v>46150.729166666664</x:v>
      </x:c>
      <x:c r="B107" s="6" t="n">
        <x:v>0.326</x:v>
      </x:c>
      <x:c r="C107" s="6" t="n">
        <x:v>0.1793</x:v>
      </x:c>
      <x:c r="D107" s="6" t="n">
        <x:f>'Tariff and method'!$B$4</x:f>
        <x:v>0.2226</x:v>
      </x:c>
      <x:c r="E107" s="1" t="n">
        <x:v>1.05</x:v>
      </x:c>
      <x:c r="F107" s="1" t="str">
        <x:v>https://api.octopus.energy/v1/products/AGILE-24-10-01/electricity-tariffs/E-1R-AGILE-24-10-01-G/standard-unit-rates/</x:v>
      </x:c>
    </x:row>
    <x:row r="108" ht="21" customHeight="1">
      <x:c r="A108" s="24" t="n">
        <x:v>46150.75</x:v>
      </x:c>
      <x:c r="B108" s="6" t="n">
        <x:v>0.33799999999999997</x:v>
      </x:c>
      <x:c r="C108" s="6" t="n">
        <x:v>0.1848</x:v>
      </x:c>
      <x:c r="D108" s="6" t="n">
        <x:f>'Tariff and method'!$B$4</x:f>
        <x:v>0.2226</x:v>
      </x:c>
      <x:c r="E108" s="1" t="n">
        <x:v>1.05</x:v>
      </x:c>
      <x:c r="F108" s="1" t="str">
        <x:v>https://api.octopus.energy/v1/products/AGILE-24-10-01/electricity-tariffs/E-1R-AGILE-24-10-01-G/standard-unit-rates/</x:v>
      </x:c>
    </x:row>
    <x:row r="109" ht="21" customHeight="1">
      <x:c r="A109" s="24" t="n">
        <x:v>46150.770833333336</x:v>
      </x:c>
      <x:c r="B109" s="6" t="n">
        <x:v>0.3429</x:v>
      </x:c>
      <x:c r="C109" s="6" t="n">
        <x:v>0.18710000000000002</x:v>
      </x:c>
      <x:c r="D109" s="6" t="n">
        <x:f>'Tariff and method'!$B$4</x:f>
        <x:v>0.2226</x:v>
      </x:c>
      <x:c r="E109" s="1" t="n">
        <x:v>1.05</x:v>
      </x:c>
      <x:c r="F109" s="1" t="str">
        <x:v>https://api.octopus.energy/v1/products/AGILE-24-10-01/electricity-tariffs/E-1R-AGILE-24-10-01-G/standard-unit-rates/</x:v>
      </x:c>
    </x:row>
    <x:row r="110" ht="21" customHeight="1">
      <x:c r="A110" s="24" t="n">
        <x:v>46150.791666666664</x:v>
      </x:c>
      <x:c r="B110" s="6" t="n">
        <x:v>0.2375</x:v>
      </x:c>
      <x:c r="C110" s="6" t="n">
        <x:v>0.1348</x:v>
      </x:c>
      <x:c r="D110" s="6" t="n">
        <x:f>'Tariff and method'!$B$4</x:f>
        <x:v>0.2226</x:v>
      </x:c>
      <x:c r="E110" s="1" t="n">
        <x:v>1.05</x:v>
      </x:c>
      <x:c r="F110" s="1" t="str">
        <x:v>https://api.octopus.energy/v1/products/AGILE-24-10-01/electricity-tariffs/E-1R-AGILE-24-10-01-G/standard-unit-rates/</x:v>
      </x:c>
    </x:row>
    <x:row r="111" ht="21" customHeight="1">
      <x:c r="A111" s="24" t="n">
        <x:v>46150.8125</x:v>
      </x:c>
      <x:c r="B111" s="6" t="n">
        <x:v>0.2413</x:v>
      </x:c>
      <x:c r="C111" s="6" t="n">
        <x:v>0.1366</x:v>
      </x:c>
      <x:c r="D111" s="6" t="n">
        <x:f>'Tariff and method'!$B$4</x:f>
        <x:v>0.2226</x:v>
      </x:c>
      <x:c r="E111" s="1" t="n">
        <x:v>1.05</x:v>
      </x:c>
      <x:c r="F111" s="1" t="str">
        <x:v>https://api.octopus.energy/v1/products/AGILE-24-10-01/electricity-tariffs/E-1R-AGILE-24-10-01-G/standard-unit-rates/</x:v>
      </x:c>
    </x:row>
    <x:row r="112" ht="21" customHeight="1">
      <x:c r="A112" s="24" t="n">
        <x:v>46150.833333333336</x:v>
      </x:c>
      <x:c r="B112" s="6" t="n">
        <x:v>0.2366</x:v>
      </x:c>
      <x:c r="C112" s="6" t="n">
        <x:v>0.1344</x:v>
      </x:c>
      <x:c r="D112" s="6" t="n">
        <x:f>'Tariff and method'!$B$4</x:f>
        <x:v>0.2226</x:v>
      </x:c>
      <x:c r="E112" s="1" t="n">
        <x:v>1.05</x:v>
      </x:c>
      <x:c r="F112" s="1" t="str">
        <x:v>https://api.octopus.energy/v1/products/AGILE-24-10-01/electricity-tariffs/E-1R-AGILE-24-10-01-G/standard-unit-rates/</x:v>
      </x:c>
    </x:row>
    <x:row r="113" ht="21" customHeight="1">
      <x:c r="A113" s="24" t="n">
        <x:v>46150.854166666664</x:v>
      </x:c>
      <x:c r="B113" s="6" t="n">
        <x:v>0.2352</x:v>
      </x:c>
      <x:c r="C113" s="6" t="n">
        <x:v>0.1338</x:v>
      </x:c>
      <x:c r="D113" s="6" t="n">
        <x:f>'Tariff and method'!$B$4</x:f>
        <x:v>0.2226</x:v>
      </x:c>
      <x:c r="E113" s="1" t="n">
        <x:v>1.05</x:v>
      </x:c>
      <x:c r="F113" s="1" t="str">
        <x:v>https://api.octopus.energy/v1/products/AGILE-24-10-01/electricity-tariffs/E-1R-AGILE-24-10-01-G/standard-unit-rates/</x:v>
      </x:c>
    </x:row>
    <x:row r="114" ht="21" customHeight="1">
      <x:c r="A114" s="24" t="n">
        <x:v>46150.875</x:v>
      </x:c>
      <x:c r="B114" s="6" t="n">
        <x:v>0.2266</x:v>
      </x:c>
      <x:c r="C114" s="6" t="n">
        <x:v>0.12990000000000002</x:v>
      </x:c>
      <x:c r="D114" s="6" t="n">
        <x:f>'Tariff and method'!$B$4</x:f>
        <x:v>0.2226</x:v>
      </x:c>
      <x:c r="E114" s="1" t="n">
        <x:v>1.05</x:v>
      </x:c>
      <x:c r="F114" s="1" t="str">
        <x:v>https://api.octopus.energy/v1/products/AGILE-24-10-01/electricity-tariffs/E-1R-AGILE-24-10-01-G/standard-unit-rates/</x:v>
      </x:c>
    </x:row>
    <x:row r="115" ht="21" customHeight="1">
      <x:c r="A115" s="24" t="n">
        <x:v>46150.895833333336</x:v>
      </x:c>
      <x:c r="B115" s="6" t="n">
        <x:v>0.20600000000000002</x:v>
      </x:c>
      <x:c r="C115" s="6" t="n">
        <x:v>0.1204</x:v>
      </x:c>
      <x:c r="D115" s="6" t="n">
        <x:f>'Tariff and method'!$B$4</x:f>
        <x:v>0.2226</x:v>
      </x:c>
      <x:c r="E115" s="1" t="n">
        <x:v>1.05</x:v>
      </x:c>
      <x:c r="F115" s="1" t="str">
        <x:v>https://api.octopus.energy/v1/products/AGILE-24-10-01/electricity-tariffs/E-1R-AGILE-24-10-01-G/standard-unit-rates/</x:v>
      </x:c>
    </x:row>
    <x:row r="116" ht="21" customHeight="1">
      <x:c r="A116" s="24" t="n">
        <x:v>46150.916666666664</x:v>
      </x:c>
      <x:c r="B116" s="6" t="n">
        <x:v>0.2094</x:v>
      </x:c>
      <x:c r="C116" s="6" t="n">
        <x:v>0.122</x:v>
      </x:c>
      <x:c r="D116" s="6" t="n">
        <x:f>'Tariff and method'!$B$4</x:f>
        <x:v>0.2226</x:v>
      </x:c>
      <x:c r="E116" s="1" t="n">
        <x:v>1.05</x:v>
      </x:c>
      <x:c r="F116" s="1" t="str">
        <x:v>https://api.octopus.energy/v1/products/AGILE-24-10-01/electricity-tariffs/E-1R-AGILE-24-10-01-G/standard-unit-rates/</x:v>
      </x:c>
    </x:row>
    <x:row r="117" ht="21" customHeight="1">
      <x:c r="A117" s="24" t="n">
        <x:v>46150.9375</x:v>
      </x:c>
      <x:c r="B117" s="6" t="n">
        <x:v>0.1978</x:v>
      </x:c>
      <x:c r="C117" s="6" t="n">
        <x:v>0.1167</x:v>
      </x:c>
      <x:c r="D117" s="6" t="n">
        <x:f>'Tariff and method'!$B$4</x:f>
        <x:v>0.2226</x:v>
      </x:c>
      <x:c r="E117" s="1" t="n">
        <x:v>1.05</x:v>
      </x:c>
      <x:c r="F117" s="1" t="str">
        <x:v>https://api.octopus.energy/v1/products/AGILE-24-10-01/electricity-tariffs/E-1R-AGILE-24-10-01-G/standard-unit-rates/</x:v>
      </x:c>
    </x:row>
    <x:row r="118" ht="21" customHeight="1">
      <x:c r="A118" s="24" t="n">
        <x:v>46151</x:v>
      </x:c>
      <x:c r="B118" s="6" t="n">
        <x:v>0.1934</x:v>
      </x:c>
      <x:c r="C118" s="6" t="n">
        <x:v>0.11470000000000001</x:v>
      </x:c>
      <x:c r="D118" s="6" t="n">
        <x:f>'Tariff and method'!$B$4</x:f>
        <x:v>0.2226</x:v>
      </x:c>
      <x:c r="E118" s="1" t="n">
        <x:v>1.05</x:v>
      </x:c>
      <x:c r="F118" s="1" t="str">
        <x:v>https://api.octopus.energy/v1/products/AGILE-24-10-01/electricity-tariffs/E-1R-AGILE-24-10-01-G/standard-unit-rates/</x:v>
      </x:c>
    </x:row>
    <x:row r="119" ht="21" customHeight="1">
      <x:c r="A119" s="24" t="n">
        <x:v>46150.979166666664</x:v>
      </x:c>
      <x:c r="B119" s="6" t="n">
        <x:v>0.1764</x:v>
      </x:c>
      <x:c r="C119" s="6" t="n">
        <x:v>0.1069</x:v>
      </x:c>
      <x:c r="D119" s="6" t="n">
        <x:f>'Tariff and method'!$B$4</x:f>
        <x:v>0.2226</x:v>
      </x:c>
      <x:c r="E119" s="1" t="n">
        <x:v>1.05</x:v>
      </x:c>
      <x:c r="F119" s="1" t="str">
        <x:v>https://api.octopus.energy/v1/products/AGILE-24-10-01/electricity-tariffs/E-1R-AGILE-24-10-01-G/standard-unit-rates/</x:v>
      </x:c>
    </x:row>
    <x:row r="120" ht="21" customHeight="1">
      <x:c r="A120" s="24" t="n">
        <x:v>46151</x:v>
      </x:c>
      <x:c r="B120" s="6" t="n">
        <x:v>0.1848</x:v>
      </x:c>
      <x:c r="C120" s="6" t="n">
        <x:v>0.1108</x:v>
      </x:c>
      <x:c r="D120" s="6" t="n">
        <x:f>'Tariff and method'!$B$4</x:f>
        <x:v>0.2226</x:v>
      </x:c>
      <x:c r="E120" s="1" t="n">
        <x:v>1.05</x:v>
      </x:c>
      <x:c r="F120" s="1" t="str">
        <x:v>https://api.octopus.energy/v1/products/AGILE-24-10-01/electricity-tariffs/E-1R-AGILE-24-10-01-G/standard-unit-rates/</x:v>
      </x:c>
    </x:row>
    <x:row r="121" ht="21" customHeight="1">
      <x:c r="A121" s="24" t="n">
        <x:v>46151.020833333336</x:v>
      </x:c>
      <x:c r="B121" s="6" t="n">
        <x:v>0.1815</x:v>
      </x:c>
      <x:c r="C121" s="6" t="n">
        <x:v>0.1092</x:v>
      </x:c>
      <x:c r="D121" s="6" t="n">
        <x:f>'Tariff and method'!$B$4</x:f>
        <x:v>0.2226</x:v>
      </x:c>
      <x:c r="E121" s="1" t="n">
        <x:v>1.05</x:v>
      </x:c>
      <x:c r="F121" s="1" t="str">
        <x:v>https://api.octopus.energy/v1/products/AGILE-24-10-01/electricity-tariffs/E-1R-AGILE-24-10-01-G/standard-unit-rates/</x:v>
      </x:c>
    </x:row>
    <x:row r="122" ht="21" customHeight="1">
      <x:c r="A122" s="24" t="n">
        <x:v>46151.041666666664</x:v>
      </x:c>
      <x:c r="B122" s="6" t="n">
        <x:v>0.1778</x:v>
      </x:c>
      <x:c r="C122" s="6" t="n">
        <x:v>0.1075</x:v>
      </x:c>
      <x:c r="D122" s="6" t="n">
        <x:f>'Tariff and method'!$B$4</x:f>
        <x:v>0.2226</x:v>
      </x:c>
      <x:c r="E122" s="1" t="n">
        <x:v>1.05</x:v>
      </x:c>
      <x:c r="F122" s="1" t="str">
        <x:v>https://api.octopus.energy/v1/products/AGILE-24-10-01/electricity-tariffs/E-1R-AGILE-24-10-01-G/standard-unit-rates/</x:v>
      </x:c>
    </x:row>
    <x:row r="123" ht="21" customHeight="1">
      <x:c r="A123" s="24" t="n">
        <x:v>46151.0625</x:v>
      </x:c>
      <x:c r="B123" s="6" t="n">
        <x:v>0.1724</x:v>
      </x:c>
      <x:c r="C123" s="6" t="n">
        <x:v>0.1051</x:v>
      </x:c>
      <x:c r="D123" s="6" t="n">
        <x:f>'Tariff and method'!$B$4</x:f>
        <x:v>0.2226</x:v>
      </x:c>
      <x:c r="E123" s="1" t="n">
        <x:v>1.05</x:v>
      </x:c>
      <x:c r="F123" s="1" t="str">
        <x:v>https://api.octopus.energy/v1/products/AGILE-24-10-01/electricity-tariffs/E-1R-AGILE-24-10-01-G/standard-unit-rates/</x:v>
      </x:c>
    </x:row>
    <x:row r="124" ht="21" customHeight="1">
      <x:c r="A124" s="24" t="n">
        <x:v>46151.083333333336</x:v>
      </x:c>
      <x:c r="B124" s="6" t="n">
        <x:v>0.1769</x:v>
      </x:c>
      <x:c r="C124" s="6" t="n">
        <x:v>0.1072</x:v>
      </x:c>
      <x:c r="D124" s="6" t="n">
        <x:f>'Tariff and method'!$B$4</x:f>
        <x:v>0.2226</x:v>
      </x:c>
      <x:c r="E124" s="1" t="n">
        <x:v>1.05</x:v>
      </x:c>
      <x:c r="F124" s="1" t="str">
        <x:v>https://api.octopus.energy/v1/products/AGILE-24-10-01/electricity-tariffs/E-1R-AGILE-24-10-01-G/standard-unit-rates/</x:v>
      </x:c>
    </x:row>
    <x:row r="125" ht="21" customHeight="1">
      <x:c r="A125" s="24" t="n">
        <x:v>46151.104166666664</x:v>
      </x:c>
      <x:c r="B125" s="6" t="n">
        <x:v>0.16399999999999998</x:v>
      </x:c>
      <x:c r="C125" s="6" t="n">
        <x:v>0.1012</x:v>
      </x:c>
      <x:c r="D125" s="6" t="n">
        <x:f>'Tariff and method'!$B$4</x:f>
        <x:v>0.2226</x:v>
      </x:c>
      <x:c r="E125" s="1" t="n">
        <x:v>1.05</x:v>
      </x:c>
      <x:c r="F125" s="1" t="str">
        <x:v>https://api.octopus.energy/v1/products/AGILE-24-10-01/electricity-tariffs/E-1R-AGILE-24-10-01-G/standard-unit-rates/</x:v>
      </x:c>
    </x:row>
    <x:row r="126" ht="21" customHeight="1">
      <x:c r="A126" s="24" t="n">
        <x:v>46151.125</x:v>
      </x:c>
      <x:c r="B126" s="6" t="n">
        <x:v>0.1787</x:v>
      </x:c>
      <x:c r="C126" s="6" t="n">
        <x:v>0.10800000000000001</x:v>
      </x:c>
      <x:c r="D126" s="6" t="n">
        <x:f>'Tariff and method'!$B$4</x:f>
        <x:v>0.2226</x:v>
      </x:c>
      <x:c r="E126" s="1" t="n">
        <x:v>1.05</x:v>
      </x:c>
      <x:c r="F126" s="1" t="str">
        <x:v>https://api.octopus.energy/v1/products/AGILE-24-10-01/electricity-tariffs/E-1R-AGILE-24-10-01-G/standard-unit-rates/</x:v>
      </x:c>
    </x:row>
    <x:row r="127" ht="21" customHeight="1">
      <x:c r="A127" s="24" t="n">
        <x:v>46151.145833333336</x:v>
      </x:c>
      <x:c r="B127" s="6" t="n">
        <x:v>0.17739999999999997</x:v>
      </x:c>
      <x:c r="C127" s="6" t="n">
        <x:v>0.1074</x:v>
      </x:c>
      <x:c r="D127" s="6" t="n">
        <x:f>'Tariff and method'!$B$4</x:f>
        <x:v>0.2226</x:v>
      </x:c>
      <x:c r="E127" s="1" t="n">
        <x:v>1.05</x:v>
      </x:c>
      <x:c r="F127" s="1" t="str">
        <x:v>https://api.octopus.energy/v1/products/AGILE-24-10-01/electricity-tariffs/E-1R-AGILE-24-10-01-G/standard-unit-rates/</x:v>
      </x:c>
    </x:row>
    <x:row r="128" ht="21" customHeight="1">
      <x:c r="A128" s="24" t="n">
        <x:v>46151.166666666664</x:v>
      </x:c>
      <x:c r="B128" s="6" t="n">
        <x:v>0.17920000000000003</x:v>
      </x:c>
      <x:c r="C128" s="6" t="n">
        <x:v>0.1082</x:v>
      </x:c>
      <x:c r="D128" s="6" t="n">
        <x:f>'Tariff and method'!$B$4</x:f>
        <x:v>0.2226</x:v>
      </x:c>
      <x:c r="E128" s="1" t="n">
        <x:v>1.05</x:v>
      </x:c>
      <x:c r="F128" s="1" t="str">
        <x:v>https://api.octopus.energy/v1/products/AGILE-24-10-01/electricity-tariffs/E-1R-AGILE-24-10-01-G/standard-unit-rates/</x:v>
      </x:c>
    </x:row>
    <x:row r="129" ht="21" customHeight="1">
      <x:c r="A129" s="24" t="n">
        <x:v>46151.1875</x:v>
      </x:c>
      <x:c r="B129" s="6" t="n">
        <x:v>0.1764</x:v>
      </x:c>
      <x:c r="C129" s="6" t="n">
        <x:v>0.1069</x:v>
      </x:c>
      <x:c r="D129" s="6" t="n">
        <x:f>'Tariff and method'!$B$4</x:f>
        <x:v>0.2226</x:v>
      </x:c>
      <x:c r="E129" s="1" t="n">
        <x:v>1.05</x:v>
      </x:c>
      <x:c r="F129" s="1" t="str">
        <x:v>https://api.octopus.energy/v1/products/AGILE-24-10-01/electricity-tariffs/E-1R-AGILE-24-10-01-G/standard-unit-rates/</x:v>
      </x:c>
    </x:row>
    <x:row r="130" ht="21" customHeight="1">
      <x:c r="A130" s="24" t="n">
        <x:v>46151.208333333336</x:v>
      </x:c>
      <x:c r="B130" s="6" t="n">
        <x:v>0.1783</x:v>
      </x:c>
      <x:c r="C130" s="6" t="n">
        <x:v>0.10779999999999999</x:v>
      </x:c>
      <x:c r="D130" s="6" t="n">
        <x:f>'Tariff and method'!$B$4</x:f>
        <x:v>0.2226</x:v>
      </x:c>
      <x:c r="E130" s="1" t="n">
        <x:v>1.05</x:v>
      </x:c>
      <x:c r="F130" s="1" t="str">
        <x:v>https://api.octopus.energy/v1/products/AGILE-24-10-01/electricity-tariffs/E-1R-AGILE-24-10-01-G/standard-unit-rates/</x:v>
      </x:c>
    </x:row>
    <x:row r="131" ht="21" customHeight="1">
      <x:c r="A131" s="24" t="n">
        <x:v>46151.229166666664</x:v>
      </x:c>
      <x:c r="B131" s="6" t="n">
        <x:v>0.1784</x:v>
      </x:c>
      <x:c r="C131" s="6" t="n">
        <x:v>0.10779999999999999</x:v>
      </x:c>
      <x:c r="D131" s="6" t="n">
        <x:f>'Tariff and method'!$B$4</x:f>
        <x:v>0.2226</x:v>
      </x:c>
      <x:c r="E131" s="1" t="n">
        <x:v>1.05</x:v>
      </x:c>
      <x:c r="F131" s="1" t="str">
        <x:v>https://api.octopus.energy/v1/products/AGILE-24-10-01/electricity-tariffs/E-1R-AGILE-24-10-01-G/standard-unit-rates/</x:v>
      </x:c>
    </x:row>
    <x:row r="132" ht="21" customHeight="1">
      <x:c r="A132" s="24" t="n">
        <x:v>46151.25</x:v>
      </x:c>
      <x:c r="B132" s="6" t="n">
        <x:v>0.174</x:v>
      </x:c>
      <x:c r="C132" s="6" t="n">
        <x:v>0.1058</x:v>
      </x:c>
      <x:c r="D132" s="6" t="n">
        <x:f>'Tariff and method'!$B$4</x:f>
        <x:v>0.2226</x:v>
      </x:c>
      <x:c r="E132" s="1" t="n">
        <x:v>1.05</x:v>
      </x:c>
      <x:c r="F132" s="1" t="str">
        <x:v>https://api.octopus.energy/v1/products/AGILE-24-10-01/electricity-tariffs/E-1R-AGILE-24-10-01-G/standard-unit-rates/</x:v>
      </x:c>
    </x:row>
    <x:row r="133" ht="21" customHeight="1">
      <x:c r="A133" s="24" t="n">
        <x:v>46151.270833333336</x:v>
      </x:c>
      <x:c r="B133" s="6" t="n">
        <x:v>0.17980000000000002</x:v>
      </x:c>
      <x:c r="C133" s="6" t="n">
        <x:v>0.1084</x:v>
      </x:c>
      <x:c r="D133" s="6" t="n">
        <x:f>'Tariff and method'!$B$4</x:f>
        <x:v>0.2226</x:v>
      </x:c>
      <x:c r="E133" s="1" t="n">
        <x:v>1.05</x:v>
      </x:c>
      <x:c r="F133" s="1" t="str">
        <x:v>https://api.octopus.energy/v1/products/AGILE-24-10-01/electricity-tariffs/E-1R-AGILE-24-10-01-G/standard-unit-rates/</x:v>
      </x:c>
    </x:row>
    <x:row r="134" ht="21" customHeight="1">
      <x:c r="A134" s="24" t="n">
        <x:v>46151.291666666664</x:v>
      </x:c>
      <x:c r="B134" s="6" t="n">
        <x:v>0.168</x:v>
      </x:c>
      <x:c r="C134" s="6" t="n">
        <x:v>0.10310000000000001</x:v>
      </x:c>
      <x:c r="D134" s="6" t="n">
        <x:f>'Tariff and method'!$B$4</x:f>
        <x:v>0.2226</x:v>
      </x:c>
      <x:c r="E134" s="1" t="n">
        <x:v>1.05</x:v>
      </x:c>
      <x:c r="F134" s="1" t="str">
        <x:v>https://api.octopus.energy/v1/products/AGILE-24-10-01/electricity-tariffs/E-1R-AGILE-24-10-01-G/standard-unit-rates/</x:v>
      </x:c>
    </x:row>
    <x:row r="135" ht="21" customHeight="1">
      <x:c r="A135" s="24" t="n">
        <x:v>46151.3125</x:v>
      </x:c>
      <x:c r="B135" s="6" t="n">
        <x:v>0.1697</x:v>
      </x:c>
      <x:c r="C135" s="6" t="n">
        <x:v>0.1038</x:v>
      </x:c>
      <x:c r="D135" s="6" t="n">
        <x:f>'Tariff and method'!$B$4</x:f>
        <x:v>0.2226</x:v>
      </x:c>
      <x:c r="E135" s="1" t="n">
        <x:v>1.05</x:v>
      </x:c>
      <x:c r="F135" s="1" t="str">
        <x:v>https://api.octopus.energy/v1/products/AGILE-24-10-01/electricity-tariffs/E-1R-AGILE-24-10-01-G/standard-unit-rates/</x:v>
      </x:c>
    </x:row>
    <x:row r="136" ht="21" customHeight="1">
      <x:c r="A136" s="24" t="n">
        <x:v>46151.333333333336</x:v>
      </x:c>
      <x:c r="B136" s="6" t="n">
        <x:v>0.16519999999999999</x:v>
      </x:c>
      <x:c r="C136" s="6" t="n">
        <x:v>0.1018</x:v>
      </x:c>
      <x:c r="D136" s="6" t="n">
        <x:f>'Tariff and method'!$B$4</x:f>
        <x:v>0.2226</x:v>
      </x:c>
      <x:c r="E136" s="1" t="n">
        <x:v>1.05</x:v>
      </x:c>
      <x:c r="F136" s="1" t="str">
        <x:v>https://api.octopus.energy/v1/products/AGILE-24-10-01/electricity-tariffs/E-1R-AGILE-24-10-01-G/standard-unit-rates/</x:v>
      </x:c>
    </x:row>
    <x:row r="137" ht="21" customHeight="1">
      <x:c r="A137" s="24" t="n">
        <x:v>46151.354166666664</x:v>
      </x:c>
      <x:c r="B137" s="6" t="n">
        <x:v>0.1699</x:v>
      </x:c>
      <x:c r="C137" s="6" t="n">
        <x:v>0.10400000000000001</x:v>
      </x:c>
      <x:c r="D137" s="6" t="n">
        <x:f>'Tariff and method'!$B$4</x:f>
        <x:v>0.2226</x:v>
      </x:c>
      <x:c r="E137" s="1" t="n">
        <x:v>1.05</x:v>
      </x:c>
      <x:c r="F137" s="1" t="str">
        <x:v>https://api.octopus.energy/v1/products/AGILE-24-10-01/electricity-tariffs/E-1R-AGILE-24-10-01-G/standard-unit-rates/</x:v>
      </x:c>
    </x:row>
    <x:row r="138" ht="21" customHeight="1">
      <x:c r="A138" s="24" t="n">
        <x:v>46151.375</x:v>
      </x:c>
      <x:c r="B138" s="6" t="n">
        <x:v>0.1703</x:v>
      </x:c>
      <x:c r="C138" s="6" t="n">
        <x:v>0.1041</x:v>
      </x:c>
      <x:c r="D138" s="6" t="n">
        <x:f>'Tariff and method'!$B$4</x:f>
        <x:v>0.2226</x:v>
      </x:c>
      <x:c r="E138" s="1" t="n">
        <x:v>1.05</x:v>
      </x:c>
      <x:c r="F138" s="1" t="str">
        <x:v>https://api.octopus.energy/v1/products/AGILE-24-10-01/electricity-tariffs/E-1R-AGILE-24-10-01-G/standard-unit-rates/</x:v>
      </x:c>
    </x:row>
    <x:row r="139" ht="21" customHeight="1">
      <x:c r="A139" s="24" t="n">
        <x:v>46151.395833333336</x:v>
      </x:c>
      <x:c r="B139" s="6" t="n">
        <x:v>0.1572</x:v>
      </x:c>
      <x:c r="C139" s="6" t="n">
        <x:v>0.0981</x:v>
      </x:c>
      <x:c r="D139" s="6" t="n">
        <x:f>'Tariff and method'!$B$4</x:f>
        <x:v>0.2226</x:v>
      </x:c>
      <x:c r="E139" s="1" t="n">
        <x:v>1.05</x:v>
      </x:c>
      <x:c r="F139" s="1" t="str">
        <x:v>https://api.octopus.energy/v1/products/AGILE-24-10-01/electricity-tariffs/E-1R-AGILE-24-10-01-G/standard-unit-rates/</x:v>
      </x:c>
    </x:row>
    <x:row r="140" ht="21" customHeight="1">
      <x:c r="A140" s="24" t="n">
        <x:v>46151.416666666664</x:v>
      </x:c>
      <x:c r="B140" s="6" t="n">
        <x:v>0.1514</x:v>
      </x:c>
      <x:c r="C140" s="6" t="n">
        <x:v>0.0955</x:v>
      </x:c>
      <x:c r="D140" s="6" t="n">
        <x:f>'Tariff and method'!$B$4</x:f>
        <x:v>0.2226</x:v>
      </x:c>
      <x:c r="E140" s="1" t="n">
        <x:v>1.05</x:v>
      </x:c>
      <x:c r="F140" s="1" t="str">
        <x:v>https://api.octopus.energy/v1/products/AGILE-24-10-01/electricity-tariffs/E-1R-AGILE-24-10-01-G/standard-unit-rates/</x:v>
      </x:c>
    </x:row>
    <x:row r="141" ht="21" customHeight="1">
      <x:c r="A141" s="24" t="n">
        <x:v>46151.4375</x:v>
      </x:c>
      <x:c r="B141" s="6" t="n">
        <x:v>0.1409</x:v>
      </x:c>
      <x:c r="C141" s="6" t="n">
        <x:v>0.0907</x:v>
      </x:c>
      <x:c r="D141" s="6" t="n">
        <x:f>'Tariff and method'!$B$4</x:f>
        <x:v>0.2226</x:v>
      </x:c>
      <x:c r="E141" s="1" t="n">
        <x:v>1.05</x:v>
      </x:c>
      <x:c r="F141" s="1" t="str">
        <x:v>https://api.octopus.energy/v1/products/AGILE-24-10-01/electricity-tariffs/E-1R-AGILE-24-10-01-G/standard-unit-rates/</x:v>
      </x:c>
    </x:row>
    <x:row r="142" ht="21" customHeight="1">
      <x:c r="A142" s="24" t="n">
        <x:v>46151.458333333336</x:v>
      </x:c>
      <x:c r="B142" s="6" t="n">
        <x:v>0.1371</x:v>
      </x:c>
      <x:c r="C142" s="6" t="n">
        <x:v>0.0889</x:v>
      </x:c>
      <x:c r="D142" s="6" t="n">
        <x:f>'Tariff and method'!$B$4</x:f>
        <x:v>0.2226</x:v>
      </x:c>
      <x:c r="E142" s="1" t="n">
        <x:v>1.05</x:v>
      </x:c>
      <x:c r="F142" s="1" t="str">
        <x:v>https://api.octopus.energy/v1/products/AGILE-24-10-01/electricity-tariffs/E-1R-AGILE-24-10-01-G/standard-unit-rates/</x:v>
      </x:c>
    </x:row>
    <x:row r="143" ht="21" customHeight="1">
      <x:c r="A143" s="24" t="n">
        <x:v>46151.479166666664</x:v>
      </x:c>
      <x:c r="B143" s="6" t="n">
        <x:v>0.1401</x:v>
      </x:c>
      <x:c r="C143" s="6" t="n">
        <x:v>0.09029999999999999</x:v>
      </x:c>
      <x:c r="D143" s="6" t="n">
        <x:f>'Tariff and method'!$B$4</x:f>
        <x:v>0.2226</x:v>
      </x:c>
      <x:c r="E143" s="1" t="n">
        <x:v>1.05</x:v>
      </x:c>
      <x:c r="F143" s="1" t="str">
        <x:v>https://api.octopus.energy/v1/products/AGILE-24-10-01/electricity-tariffs/E-1R-AGILE-24-10-01-G/standard-unit-rates/</x:v>
      </x:c>
    </x:row>
    <x:row r="144" ht="21" customHeight="1">
      <x:c r="A144" s="24" t="n">
        <x:v>46151.5</x:v>
      </x:c>
      <x:c r="B144" s="6" t="n">
        <x:v>0.1388</x:v>
      </x:c>
      <x:c r="C144" s="6" t="n">
        <x:v>0.0897</x:v>
      </x:c>
      <x:c r="D144" s="6" t="n">
        <x:f>'Tariff and method'!$B$4</x:f>
        <x:v>0.2226</x:v>
      </x:c>
      <x:c r="E144" s="1" t="n">
        <x:v>1.05</x:v>
      </x:c>
      <x:c r="F144" s="1" t="str">
        <x:v>https://api.octopus.energy/v1/products/AGILE-24-10-01/electricity-tariffs/E-1R-AGILE-24-10-01-G/standard-unit-rates/</x:v>
      </x:c>
    </x:row>
    <x:row r="145" ht="21" customHeight="1">
      <x:c r="A145" s="24" t="n">
        <x:v>46151.520833333336</x:v>
      </x:c>
      <x:c r="B145" s="6" t="n">
        <x:v>0.1346</x:v>
      </x:c>
      <x:c r="C145" s="6" t="n">
        <x:v>0.08779999999999999</x:v>
      </x:c>
      <x:c r="D145" s="6" t="n">
        <x:f>'Tariff and method'!$B$4</x:f>
        <x:v>0.2226</x:v>
      </x:c>
      <x:c r="E145" s="1" t="n">
        <x:v>1.05</x:v>
      </x:c>
      <x:c r="F145" s="1" t="str">
        <x:v>https://api.octopus.energy/v1/products/AGILE-24-10-01/electricity-tariffs/E-1R-AGILE-24-10-01-G/standard-unit-rates/</x:v>
      </x:c>
    </x:row>
    <x:row r="146" ht="21" customHeight="1">
      <x:c r="A146" s="24" t="n">
        <x:v>46151.541666666664</x:v>
      </x:c>
      <x:c r="B146" s="6" t="n">
        <x:v>0.1329</x:v>
      </x:c>
      <x:c r="C146" s="6" t="n">
        <x:v>0.087</x:v>
      </x:c>
      <x:c r="D146" s="6" t="n">
        <x:f>'Tariff and method'!$B$4</x:f>
        <x:v>0.2226</x:v>
      </x:c>
      <x:c r="E146" s="1" t="n">
        <x:v>1.05</x:v>
      </x:c>
      <x:c r="F146" s="1" t="str">
        <x:v>https://api.octopus.energy/v1/products/AGILE-24-10-01/electricity-tariffs/E-1R-AGILE-24-10-01-G/standard-unit-rates/</x:v>
      </x:c>
    </x:row>
    <x:row r="147" ht="21" customHeight="1">
      <x:c r="A147" s="24" t="n">
        <x:v>46151.5625</x:v>
      </x:c>
      <x:c r="B147" s="6" t="n">
        <x:v>0.1321</x:v>
      </x:c>
      <x:c r="C147" s="6" t="n">
        <x:v>0.0866</x:v>
      </x:c>
      <x:c r="D147" s="6" t="n">
        <x:f>'Tariff and method'!$B$4</x:f>
        <x:v>0.2226</x:v>
      </x:c>
      <x:c r="E147" s="1" t="n">
        <x:v>1.05</x:v>
      </x:c>
      <x:c r="F147" s="1" t="str">
        <x:v>https://api.octopus.energy/v1/products/AGILE-24-10-01/electricity-tariffs/E-1R-AGILE-24-10-01-G/standard-unit-rates/</x:v>
      </x:c>
    </x:row>
    <x:row r="148" ht="21" customHeight="1">
      <x:c r="A148" s="24" t="n">
        <x:v>46151.583333333336</x:v>
      </x:c>
      <x:c r="B148" s="6" t="n">
        <x:v>0.1346</x:v>
      </x:c>
      <x:c r="C148" s="6" t="n">
        <x:v>0.08779999999999999</x:v>
      </x:c>
      <x:c r="D148" s="6" t="n">
        <x:f>'Tariff and method'!$B$4</x:f>
        <x:v>0.2226</x:v>
      </x:c>
      <x:c r="E148" s="1" t="n">
        <x:v>1.05</x:v>
      </x:c>
      <x:c r="F148" s="1" t="str">
        <x:v>https://api.octopus.energy/v1/products/AGILE-24-10-01/electricity-tariffs/E-1R-AGILE-24-10-01-G/standard-unit-rates/</x:v>
      </x:c>
    </x:row>
    <x:row r="149" ht="21" customHeight="1">
      <x:c r="A149" s="24" t="n">
        <x:v>46151.604166666664</x:v>
      </x:c>
      <x:c r="B149" s="6" t="n">
        <x:v>0.1306</x:v>
      </x:c>
      <x:c r="C149" s="6" t="n">
        <x:v>0.086</x:v>
      </x:c>
      <x:c r="D149" s="6" t="n">
        <x:f>'Tariff and method'!$B$4</x:f>
        <x:v>0.2226</x:v>
      </x:c>
      <x:c r="E149" s="1" t="n">
        <x:v>1.05</x:v>
      </x:c>
      <x:c r="F149" s="1" t="str">
        <x:v>https://api.octopus.energy/v1/products/AGILE-24-10-01/electricity-tariffs/E-1R-AGILE-24-10-01-G/standard-unit-rates/</x:v>
      </x:c>
    </x:row>
    <x:row r="150" ht="21" customHeight="1">
      <x:c r="A150" s="24" t="n">
        <x:v>46151.625</x:v>
      </x:c>
      <x:c r="B150" s="6" t="n">
        <x:v>0.12619999999999998</x:v>
      </x:c>
      <x:c r="C150" s="6" t="n">
        <x:v>0.084</x:v>
      </x:c>
      <x:c r="D150" s="6" t="n">
        <x:f>'Tariff and method'!$B$4</x:f>
        <x:v>0.2226</x:v>
      </x:c>
      <x:c r="E150" s="1" t="n">
        <x:v>1.05</x:v>
      </x:c>
      <x:c r="F150" s="1" t="str">
        <x:v>https://api.octopus.energy/v1/products/AGILE-24-10-01/electricity-tariffs/E-1R-AGILE-24-10-01-G/standard-unit-rates/</x:v>
      </x:c>
    </x:row>
    <x:row r="151" ht="21" customHeight="1">
      <x:c r="A151" s="24" t="n">
        <x:v>46151.645833333336</x:v>
      </x:c>
      <x:c r="B151" s="6" t="n">
        <x:v>0.1307</x:v>
      </x:c>
      <x:c r="C151" s="6" t="n">
        <x:v>0.086</x:v>
      </x:c>
      <x:c r="D151" s="6" t="n">
        <x:f>'Tariff and method'!$B$4</x:f>
        <x:v>0.2226</x:v>
      </x:c>
      <x:c r="E151" s="1" t="n">
        <x:v>1.05</x:v>
      </x:c>
      <x:c r="F151" s="1" t="str">
        <x:v>https://api.octopus.energy/v1/products/AGILE-24-10-01/electricity-tariffs/E-1R-AGILE-24-10-01-G/standard-unit-rates/</x:v>
      </x:c>
    </x:row>
    <x:row r="152" ht="21" customHeight="1">
      <x:c r="A152" s="24" t="n">
        <x:v>46151.666666666664</x:v>
      </x:c>
      <x:c r="B152" s="6" t="n">
        <x:v>0.26039999999999996</x:v>
      </x:c>
      <x:c r="C152" s="6" t="n">
        <x:v>0.1494</x:v>
      </x:c>
      <x:c r="D152" s="6" t="n">
        <x:f>'Tariff and method'!$B$4</x:f>
        <x:v>0.2226</x:v>
      </x:c>
      <x:c r="E152" s="1" t="n">
        <x:v>1.05</x:v>
      </x:c>
      <x:c r="F152" s="1" t="str">
        <x:v>https://api.octopus.energy/v1/products/AGILE-24-10-01/electricity-tariffs/E-1R-AGILE-24-10-01-G/standard-unit-rates/</x:v>
      </x:c>
    </x:row>
    <x:row r="153" ht="21" customHeight="1">
      <x:c r="A153" s="24" t="n">
        <x:v>46151.6875</x:v>
      </x:c>
      <x:c r="B153" s="6" t="n">
        <x:v>0.2756</x:v>
      </x:c>
      <x:c r="C153" s="6" t="n">
        <x:v>0.1563</x:v>
      </x:c>
      <x:c r="D153" s="6" t="n">
        <x:f>'Tariff and method'!$B$4</x:f>
        <x:v>0.2226</x:v>
      </x:c>
      <x:c r="E153" s="1" t="n">
        <x:v>1.05</x:v>
      </x:c>
      <x:c r="F153" s="1" t="str">
        <x:v>https://api.octopus.energy/v1/products/AGILE-24-10-01/electricity-tariffs/E-1R-AGILE-24-10-01-G/standard-unit-rates/</x:v>
      </x:c>
    </x:row>
    <x:row r="154" ht="21" customHeight="1">
      <x:c r="A154" s="24" t="n">
        <x:v>46151.708333333336</x:v>
      </x:c>
      <x:c r="B154" s="6" t="n">
        <x:v>0.2998</x:v>
      </x:c>
      <x:c r="C154" s="6" t="n">
        <x:v>0.1673</x:v>
      </x:c>
      <x:c r="D154" s="6" t="n">
        <x:f>'Tariff and method'!$B$4</x:f>
        <x:v>0.2226</x:v>
      </x:c>
      <x:c r="E154" s="1" t="n">
        <x:v>1.05</x:v>
      </x:c>
      <x:c r="F154" s="1" t="str">
        <x:v>https://api.octopus.energy/v1/products/AGILE-24-10-01/electricity-tariffs/E-1R-AGILE-24-10-01-G/standard-unit-rates/</x:v>
      </x:c>
    </x:row>
    <x:row r="155" ht="21" customHeight="1">
      <x:c r="A155" s="24" t="n">
        <x:v>46151.729166666664</x:v>
      </x:c>
      <x:c r="B155" s="6" t="n">
        <x:v>0.3134</x:v>
      </x:c>
      <x:c r="C155" s="6" t="n">
        <x:v>0.1736</x:v>
      </x:c>
      <x:c r="D155" s="6" t="n">
        <x:f>'Tariff and method'!$B$4</x:f>
        <x:v>0.2226</x:v>
      </x:c>
      <x:c r="E155" s="1" t="n">
        <x:v>1.05</x:v>
      </x:c>
      <x:c r="F155" s="1" t="str">
        <x:v>https://api.octopus.energy/v1/products/AGILE-24-10-01/electricity-tariffs/E-1R-AGILE-24-10-01-G/standard-unit-rates/</x:v>
      </x:c>
    </x:row>
    <x:row r="156" ht="21" customHeight="1">
      <x:c r="A156" s="24" t="n">
        <x:v>46151.75</x:v>
      </x:c>
      <x:c r="B156" s="6" t="n">
        <x:v>0.3222</x:v>
      </x:c>
      <x:c r="C156" s="6" t="n">
        <x:v>0.1776</x:v>
      </x:c>
      <x:c r="D156" s="6" t="n">
        <x:f>'Tariff and method'!$B$4</x:f>
        <x:v>0.2226</x:v>
      </x:c>
      <x:c r="E156" s="1" t="n">
        <x:v>1.05</x:v>
      </x:c>
      <x:c r="F156" s="1" t="str">
        <x:v>https://api.octopus.energy/v1/products/AGILE-24-10-01/electricity-tariffs/E-1R-AGILE-24-10-01-G/standard-unit-rates/</x:v>
      </x:c>
    </x:row>
    <x:row r="157" ht="21" customHeight="1">
      <x:c r="A157" s="24" t="n">
        <x:v>46151.770833333336</x:v>
      </x:c>
      <x:c r="B157" s="6" t="n">
        <x:v>0.3289</x:v>
      </x:c>
      <x:c r="C157" s="6" t="n">
        <x:v>0.1807</x:v>
      </x:c>
      <x:c r="D157" s="6" t="n">
        <x:f>'Tariff and method'!$B$4</x:f>
        <x:v>0.2226</x:v>
      </x:c>
      <x:c r="E157" s="1" t="n">
        <x:v>1.05</x:v>
      </x:c>
      <x:c r="F157" s="1" t="str">
        <x:v>https://api.octopus.energy/v1/products/AGILE-24-10-01/electricity-tariffs/E-1R-AGILE-24-10-01-G/standard-unit-rates/</x:v>
      </x:c>
    </x:row>
    <x:row r="158" ht="21" customHeight="1">
      <x:c r="A158" s="24" t="n">
        <x:v>46151.791666666664</x:v>
      </x:c>
      <x:c r="B158" s="6" t="n">
        <x:v>0.2144</x:v>
      </x:c>
      <x:c r="C158" s="6" t="n">
        <x:v>0.1243</x:v>
      </x:c>
      <x:c r="D158" s="6" t="n">
        <x:f>'Tariff and method'!$B$4</x:f>
        <x:v>0.2226</x:v>
      </x:c>
      <x:c r="E158" s="1" t="n">
        <x:v>1.05</x:v>
      </x:c>
      <x:c r="F158" s="1" t="str">
        <x:v>https://api.octopus.energy/v1/products/AGILE-24-10-01/electricity-tariffs/E-1R-AGILE-24-10-01-G/standard-unit-rates/</x:v>
      </x:c>
    </x:row>
    <x:row r="159" ht="21" customHeight="1">
      <x:c r="A159" s="24" t="n">
        <x:v>46151.8125</x:v>
      </x:c>
      <x:c r="B159" s="6" t="n">
        <x:v>0.2107</x:v>
      </x:c>
      <x:c r="C159" s="6" t="n">
        <x:v>0.1226</x:v>
      </x:c>
      <x:c r="D159" s="6" t="n">
        <x:f>'Tariff and method'!$B$4</x:f>
        <x:v>0.2226</x:v>
      </x:c>
      <x:c r="E159" s="1" t="n">
        <x:v>1.05</x:v>
      </x:c>
      <x:c r="F159" s="1" t="str">
        <x:v>https://api.octopus.energy/v1/products/AGILE-24-10-01/electricity-tariffs/E-1R-AGILE-24-10-01-G/standard-unit-rates/</x:v>
      </x:c>
    </x:row>
    <x:row r="160" ht="21" customHeight="1">
      <x:c r="A160" s="24" t="n">
        <x:v>46151.833333333336</x:v>
      </x:c>
      <x:c r="B160" s="6" t="n">
        <x:v>0.21309999999999998</x:v>
      </x:c>
      <x:c r="C160" s="6" t="n">
        <x:v>0.12369999999999999</x:v>
      </x:c>
      <x:c r="D160" s="6" t="n">
        <x:f>'Tariff and method'!$B$4</x:f>
        <x:v>0.2226</x:v>
      </x:c>
      <x:c r="E160" s="1" t="n">
        <x:v>1.05</x:v>
      </x:c>
      <x:c r="F160" s="1" t="str">
        <x:v>https://api.octopus.energy/v1/products/AGILE-24-10-01/electricity-tariffs/E-1R-AGILE-24-10-01-G/standard-unit-rates/</x:v>
      </x:c>
    </x:row>
    <x:row r="161" ht="21" customHeight="1">
      <x:c r="A161" s="24" t="n">
        <x:v>46151.854166666664</x:v>
      </x:c>
      <x:c r="B161" s="6" t="n">
        <x:v>0.2102</x:v>
      </x:c>
      <x:c r="C161" s="6" t="n">
        <x:v>0.12240000000000001</x:v>
      </x:c>
      <x:c r="D161" s="6" t="n">
        <x:f>'Tariff and method'!$B$4</x:f>
        <x:v>0.2226</x:v>
      </x:c>
      <x:c r="E161" s="1" t="n">
        <x:v>1.05</x:v>
      </x:c>
      <x:c r="F161" s="1" t="str">
        <x:v>https://api.octopus.energy/v1/products/AGILE-24-10-01/electricity-tariffs/E-1R-AGILE-24-10-01-G/standard-unit-rates/</x:v>
      </x:c>
    </x:row>
    <x:row r="162" ht="21" customHeight="1">
      <x:c r="A162" s="24" t="n">
        <x:v>46151.875</x:v>
      </x:c>
      <x:c r="B162" s="6" t="n">
        <x:v>0.2126</x:v>
      </x:c>
      <x:c r="C162" s="6" t="n">
        <x:v>0.1234</x:v>
      </x:c>
      <x:c r="D162" s="6" t="n">
        <x:f>'Tariff and method'!$B$4</x:f>
        <x:v>0.2226</x:v>
      </x:c>
      <x:c r="E162" s="1" t="n">
        <x:v>1.05</x:v>
      </x:c>
      <x:c r="F162" s="1" t="str">
        <x:v>https://api.octopus.energy/v1/products/AGILE-24-10-01/electricity-tariffs/E-1R-AGILE-24-10-01-G/standard-unit-rates/</x:v>
      </x:c>
    </x:row>
    <x:row r="163" ht="21" customHeight="1">
      <x:c r="A163" s="24" t="n">
        <x:v>46151.895833333336</x:v>
      </x:c>
      <x:c r="B163" s="6" t="n">
        <x:v>0.2057</x:v>
      </x:c>
      <x:c r="C163" s="6" t="n">
        <x:v>0.12029999999999999</x:v>
      </x:c>
      <x:c r="D163" s="6" t="n">
        <x:f>'Tariff and method'!$B$4</x:f>
        <x:v>0.2226</x:v>
      </x:c>
      <x:c r="E163" s="1" t="n">
        <x:v>1.05</x:v>
      </x:c>
      <x:c r="F163" s="1" t="str">
        <x:v>https://api.octopus.energy/v1/products/AGILE-24-10-01/electricity-tariffs/E-1R-AGILE-24-10-01-G/standard-unit-rates/</x:v>
      </x:c>
    </x:row>
    <x:row r="164" ht="21" customHeight="1">
      <x:c r="A164" s="24" t="n">
        <x:v>46151.916666666664</x:v>
      </x:c>
      <x:c r="B164" s="6" t="n">
        <x:v>0.2036</x:v>
      </x:c>
      <x:c r="C164" s="6" t="n">
        <x:v>0.1193</x:v>
      </x:c>
      <x:c r="D164" s="6" t="n">
        <x:f>'Tariff and method'!$B$4</x:f>
        <x:v>0.2226</x:v>
      </x:c>
      <x:c r="E164" s="1" t="n">
        <x:v>1.05</x:v>
      </x:c>
      <x:c r="F164" s="1" t="str">
        <x:v>https://api.octopus.energy/v1/products/AGILE-24-10-01/electricity-tariffs/E-1R-AGILE-24-10-01-G/standard-unit-rates/</x:v>
      </x:c>
    </x:row>
    <x:row r="165" ht="21" customHeight="1">
      <x:c r="A165" s="24" t="n">
        <x:v>46151.9375</x:v>
      </x:c>
      <x:c r="B165" s="6" t="n">
        <x:v>0.1929</x:v>
      </x:c>
      <x:c r="C165" s="6" t="n">
        <x:v>0.1144</x:v>
      </x:c>
      <x:c r="D165" s="6" t="n">
        <x:f>'Tariff and method'!$B$4</x:f>
        <x:v>0.2226</x:v>
      </x:c>
      <x:c r="E165" s="1" t="n">
        <x:v>1.05</x:v>
      </x:c>
      <x:c r="F165" s="1" t="str">
        <x:v>https://api.octopus.energy/v1/products/AGILE-24-10-01/electricity-tariffs/E-1R-AGILE-24-10-01-G/standard-unit-rates/</x:v>
      </x:c>
    </x:row>
    <x:row r="166" ht="21" customHeight="1">
      <x:c r="A166" s="24" t="n">
        <x:v>46152</x:v>
      </x:c>
      <x:c r="B166" s="6" t="n">
        <x:v>0.1913</x:v>
      </x:c>
      <x:c r="C166" s="6" t="n">
        <x:v>0.1137</x:v>
      </x:c>
      <x:c r="D166" s="6" t="n">
        <x:f>'Tariff and method'!$B$4</x:f>
        <x:v>0.2226</x:v>
      </x:c>
      <x:c r="E166" s="1" t="n">
        <x:v>1.05</x:v>
      </x:c>
      <x:c r="F166" s="1" t="str">
        <x:v>https://api.octopus.energy/v1/products/AGILE-24-10-01/electricity-tariffs/E-1R-AGILE-24-10-01-G/standard-unit-rates/</x:v>
      </x:c>
    </x:row>
    <x:row r="167" ht="21" customHeight="1">
      <x:c r="A167" s="24" t="n">
        <x:v>46151.979166666664</x:v>
      </x:c>
      <x:c r="B167" s="6" t="n">
        <x:v>0.1934</x:v>
      </x:c>
      <x:c r="C167" s="6" t="n">
        <x:v>0.11470000000000001</x:v>
      </x:c>
      <x:c r="D167" s="6" t="n">
        <x:f>'Tariff and method'!$B$4</x:f>
        <x:v>0.2226</x:v>
      </x:c>
      <x:c r="E167" s="1" t="n">
        <x:v>1.05</x:v>
      </x:c>
      <x:c r="F167" s="1" t="str">
        <x:v>https://api.octopus.energy/v1/products/AGILE-24-10-01/electricity-tariffs/E-1R-AGILE-24-10-01-G/standard-unit-rates/</x:v>
      </x:c>
    </x:row>
    <x:row r="168" ht="21" customHeight="1">
      <x:c r="A168" s="24" t="n">
        <x:v>46152</x:v>
      </x:c>
      <x:c r="B168" s="6" t="n">
        <x:v>0.1937</x:v>
      </x:c>
      <x:c r="C168" s="6" t="n">
        <x:v>0.1148</x:v>
      </x:c>
      <x:c r="D168" s="6" t="n">
        <x:f>'Tariff and method'!$B$4</x:f>
        <x:v>0.2226</x:v>
      </x:c>
      <x:c r="E168" s="1" t="n">
        <x:v>1.05</x:v>
      </x:c>
      <x:c r="F168" s="1" t="str">
        <x:v>https://api.octopus.energy/v1/products/AGILE-24-10-01/electricity-tariffs/E-1R-AGILE-24-10-01-G/standard-unit-rates/</x:v>
      </x:c>
    </x:row>
    <x:row r="169" ht="21" customHeight="1">
      <x:c r="A169" s="24" t="n">
        <x:v>46152.020833333336</x:v>
      </x:c>
      <x:c r="B169" s="6" t="n">
        <x:v>0.1855</x:v>
      </x:c>
      <x:c r="C169" s="6" t="n">
        <x:v>0.11109999999999999</x:v>
      </x:c>
      <x:c r="D169" s="6" t="n">
        <x:f>'Tariff and method'!$B$4</x:f>
        <x:v>0.2226</x:v>
      </x:c>
      <x:c r="E169" s="1" t="n">
        <x:v>1.05</x:v>
      </x:c>
      <x:c r="F169" s="1" t="str">
        <x:v>https://api.octopus.energy/v1/products/AGILE-24-10-01/electricity-tariffs/E-1R-AGILE-24-10-01-G/standard-unit-rates/</x:v>
      </x:c>
    </x:row>
    <x:row r="170" ht="21" customHeight="1">
      <x:c r="A170" s="24" t="n">
        <x:v>46152.041666666664</x:v>
      </x:c>
      <x:c r="B170" s="6" t="n">
        <x:v>0.18289999999999998</x:v>
      </x:c>
      <x:c r="C170" s="6" t="n">
        <x:v>0.1099</x:v>
      </x:c>
      <x:c r="D170" s="6" t="n">
        <x:f>'Tariff and method'!$B$4</x:f>
        <x:v>0.2226</x:v>
      </x:c>
      <x:c r="E170" s="1" t="n">
        <x:v>1.05</x:v>
      </x:c>
      <x:c r="F170" s="1" t="str">
        <x:v>https://api.octopus.energy/v1/products/AGILE-24-10-01/electricity-tariffs/E-1R-AGILE-24-10-01-G/standard-unit-rates/</x:v>
      </x:c>
    </x:row>
    <x:row r="171" ht="21" customHeight="1">
      <x:c r="A171" s="24" t="n">
        <x:v>46152.0625</x:v>
      </x:c>
      <x:c r="B171" s="6" t="n">
        <x:v>0.18289999999999998</x:v>
      </x:c>
      <x:c r="C171" s="6" t="n">
        <x:v>0.1099</x:v>
      </x:c>
      <x:c r="D171" s="6" t="n">
        <x:f>'Tariff and method'!$B$4</x:f>
        <x:v>0.2226</x:v>
      </x:c>
      <x:c r="E171" s="1" t="n">
        <x:v>1.05</x:v>
      </x:c>
      <x:c r="F171" s="1" t="str">
        <x:v>https://api.octopus.energy/v1/products/AGILE-24-10-01/electricity-tariffs/E-1R-AGILE-24-10-01-G/standard-unit-rates/</x:v>
      </x:c>
    </x:row>
    <x:row r="172" ht="21" customHeight="1">
      <x:c r="A172" s="24" t="n">
        <x:v>46152.083333333336</x:v>
      </x:c>
      <x:c r="B172" s="6" t="n">
        <x:v>0.1773</x:v>
      </x:c>
      <x:c r="C172" s="6" t="n">
        <x:v>0.1073</x:v>
      </x:c>
      <x:c r="D172" s="6" t="n">
        <x:f>'Tariff and method'!$B$4</x:f>
        <x:v>0.2226</x:v>
      </x:c>
      <x:c r="E172" s="1" t="n">
        <x:v>1.05</x:v>
      </x:c>
      <x:c r="F172" s="1" t="str">
        <x:v>https://api.octopus.energy/v1/products/AGILE-24-10-01/electricity-tariffs/E-1R-AGILE-24-10-01-G/standard-unit-rates/</x:v>
      </x:c>
    </x:row>
    <x:row r="173" ht="21" customHeight="1">
      <x:c r="A173" s="24" t="n">
        <x:v>46152.104166666664</x:v>
      </x:c>
      <x:c r="B173" s="6" t="n">
        <x:v>0.1699</x:v>
      </x:c>
      <x:c r="C173" s="6" t="n">
        <x:v>0.1039</x:v>
      </x:c>
      <x:c r="D173" s="6" t="n">
        <x:f>'Tariff and method'!$B$4</x:f>
        <x:v>0.2226</x:v>
      </x:c>
      <x:c r="E173" s="1" t="n">
        <x:v>1.05</x:v>
      </x:c>
      <x:c r="F173" s="1" t="str">
        <x:v>https://api.octopus.energy/v1/products/AGILE-24-10-01/electricity-tariffs/E-1R-AGILE-24-10-01-G/standard-unit-rates/</x:v>
      </x:c>
    </x:row>
    <x:row r="174" ht="21" customHeight="1">
      <x:c r="A174" s="24" t="n">
        <x:v>46152.125</x:v>
      </x:c>
      <x:c r="B174" s="6" t="n">
        <x:v>0.17559999999999998</x:v>
      </x:c>
      <x:c r="C174" s="6" t="n">
        <x:v>0.1065</x:v>
      </x:c>
      <x:c r="D174" s="6" t="n">
        <x:f>'Tariff and method'!$B$4</x:f>
        <x:v>0.2226</x:v>
      </x:c>
      <x:c r="E174" s="1" t="n">
        <x:v>1.05</x:v>
      </x:c>
      <x:c r="F174" s="1" t="str">
        <x:v>https://api.octopus.energy/v1/products/AGILE-24-10-01/electricity-tariffs/E-1R-AGILE-24-10-01-G/standard-unit-rates/</x:v>
      </x:c>
    </x:row>
    <x:row r="175" ht="21" customHeight="1">
      <x:c r="A175" s="24" t="n">
        <x:v>46152.145833333336</x:v>
      </x:c>
      <x:c r="B175" s="6" t="n">
        <x:v>0.1745</x:v>
      </x:c>
      <x:c r="C175" s="6" t="n">
        <x:v>0.106</x:v>
      </x:c>
      <x:c r="D175" s="6" t="n">
        <x:f>'Tariff and method'!$B$4</x:f>
        <x:v>0.2226</x:v>
      </x:c>
      <x:c r="E175" s="1" t="n">
        <x:v>1.05</x:v>
      </x:c>
      <x:c r="F175" s="1" t="str">
        <x:v>https://api.octopus.energy/v1/products/AGILE-24-10-01/electricity-tariffs/E-1R-AGILE-24-10-01-G/standard-unit-rates/</x:v>
      </x:c>
    </x:row>
    <x:row r="176" ht="21" customHeight="1">
      <x:c r="A176" s="24" t="n">
        <x:v>46152.166666666664</x:v>
      </x:c>
      <x:c r="B176" s="6" t="n">
        <x:v>0.18</x:v>
      </x:c>
      <x:c r="C176" s="6" t="n">
        <x:v>0.10859999999999999</x:v>
      </x:c>
      <x:c r="D176" s="6" t="n">
        <x:f>'Tariff and method'!$B$4</x:f>
        <x:v>0.2226</x:v>
      </x:c>
      <x:c r="E176" s="1" t="n">
        <x:v>1.05</x:v>
      </x:c>
      <x:c r="F176" s="1" t="str">
        <x:v>https://api.octopus.energy/v1/products/AGILE-24-10-01/electricity-tariffs/E-1R-AGILE-24-10-01-G/standard-unit-rates/</x:v>
      </x:c>
    </x:row>
    <x:row r="177" ht="21" customHeight="1">
      <x:c r="A177" s="24" t="n">
        <x:v>46152.1875</x:v>
      </x:c>
      <x:c r="B177" s="6" t="n">
        <x:v>0.1741</x:v>
      </x:c>
      <x:c r="C177" s="6" t="n">
        <x:v>0.1058</x:v>
      </x:c>
      <x:c r="D177" s="6" t="n">
        <x:f>'Tariff and method'!$B$4</x:f>
        <x:v>0.2226</x:v>
      </x:c>
      <x:c r="E177" s="1" t="n">
        <x:v>1.05</x:v>
      </x:c>
      <x:c r="F177" s="1" t="str">
        <x:v>https://api.octopus.energy/v1/products/AGILE-24-10-01/electricity-tariffs/E-1R-AGILE-24-10-01-G/standard-unit-rates/</x:v>
      </x:c>
    </x:row>
    <x:row r="178" ht="21" customHeight="1">
      <x:c r="A178" s="24" t="n">
        <x:v>46152.208333333336</x:v>
      </x:c>
      <x:c r="B178" s="6" t="n">
        <x:v>0.1751</x:v>
      </x:c>
      <x:c r="C178" s="6" t="n">
        <x:v>0.1063</x:v>
      </x:c>
      <x:c r="D178" s="6" t="n">
        <x:f>'Tariff and method'!$B$4</x:f>
        <x:v>0.2226</x:v>
      </x:c>
      <x:c r="E178" s="1" t="n">
        <x:v>1.05</x:v>
      </x:c>
      <x:c r="F178" s="1" t="str">
        <x:v>https://api.octopus.energy/v1/products/AGILE-24-10-01/electricity-tariffs/E-1R-AGILE-24-10-01-G/standard-unit-rates/</x:v>
      </x:c>
    </x:row>
    <x:row r="179" ht="21" customHeight="1">
      <x:c r="A179" s="24" t="n">
        <x:v>46152.229166666664</x:v>
      </x:c>
      <x:c r="B179" s="6" t="n">
        <x:v>0.17489999999999997</x:v>
      </x:c>
      <x:c r="C179" s="6" t="n">
        <x:v>0.10619999999999999</x:v>
      </x:c>
      <x:c r="D179" s="6" t="n">
        <x:f>'Tariff and method'!$B$4</x:f>
        <x:v>0.2226</x:v>
      </x:c>
      <x:c r="E179" s="1" t="n">
        <x:v>1.05</x:v>
      </x:c>
      <x:c r="F179" s="1" t="str">
        <x:v>https://api.octopus.energy/v1/products/AGILE-24-10-01/electricity-tariffs/E-1R-AGILE-24-10-01-G/standard-unit-rates/</x:v>
      </x:c>
    </x:row>
    <x:row r="180" ht="21" customHeight="1">
      <x:c r="A180" s="24" t="n">
        <x:v>46152.25</x:v>
      </x:c>
      <x:c r="B180" s="6" t="n">
        <x:v>0.1643</x:v>
      </x:c>
      <x:c r="C180" s="6" t="n">
        <x:v>0.1014</x:v>
      </x:c>
      <x:c r="D180" s="6" t="n">
        <x:f>'Tariff and method'!$B$4</x:f>
        <x:v>0.2226</x:v>
      </x:c>
      <x:c r="E180" s="1" t="n">
        <x:v>1.05</x:v>
      </x:c>
      <x:c r="F180" s="1" t="str">
        <x:v>https://api.octopus.energy/v1/products/AGILE-24-10-01/electricity-tariffs/E-1R-AGILE-24-10-01-G/standard-unit-rates/</x:v>
      </x:c>
    </x:row>
    <x:row r="181" ht="21" customHeight="1">
      <x:c r="A181" s="24" t="n">
        <x:v>46152.270833333336</x:v>
      </x:c>
      <x:c r="B181" s="6" t="n">
        <x:v>0.1793</x:v>
      </x:c>
      <x:c r="C181" s="6" t="n">
        <x:v>0.1082</x:v>
      </x:c>
      <x:c r="D181" s="6" t="n">
        <x:f>'Tariff and method'!$B$4</x:f>
        <x:v>0.2226</x:v>
      </x:c>
      <x:c r="E181" s="1" t="n">
        <x:v>1.05</x:v>
      </x:c>
      <x:c r="F181" s="1" t="str">
        <x:v>https://api.octopus.energy/v1/products/AGILE-24-10-01/electricity-tariffs/E-1R-AGILE-24-10-01-G/standard-unit-rates/</x:v>
      </x:c>
    </x:row>
    <x:row r="182" ht="21" customHeight="1">
      <x:c r="A182" s="24" t="n">
        <x:v>46152.291666666664</x:v>
      </x:c>
      <x:c r="B182" s="6" t="n">
        <x:v>0.1283</x:v>
      </x:c>
      <x:c r="C182" s="6" t="n">
        <x:v>0.0849</x:v>
      </x:c>
      <x:c r="D182" s="6" t="n">
        <x:f>'Tariff and method'!$B$4</x:f>
        <x:v>0.2226</x:v>
      </x:c>
      <x:c r="E182" s="1" t="n">
        <x:v>1.05</x:v>
      </x:c>
      <x:c r="F182" s="1" t="str">
        <x:v>https://api.octopus.energy/v1/products/AGILE-24-10-01/electricity-tariffs/E-1R-AGILE-24-10-01-G/standard-unit-rates/</x:v>
      </x:c>
    </x:row>
    <x:row r="183" ht="21" customHeight="1">
      <x:c r="A183" s="24" t="n">
        <x:v>46152.3125</x:v>
      </x:c>
      <x:c r="B183" s="6" t="n">
        <x:v>0.122</x:v>
      </x:c>
      <x:c r="C183" s="6" t="n">
        <x:v>0.08199999999999999</x:v>
      </x:c>
      <x:c r="D183" s="6" t="n">
        <x:f>'Tariff and method'!$B$4</x:f>
        <x:v>0.2226</x:v>
      </x:c>
      <x:c r="E183" s="1" t="n">
        <x:v>1.05</x:v>
      </x:c>
      <x:c r="F183" s="1" t="str">
        <x:v>https://api.octopus.energy/v1/products/AGILE-24-10-01/electricity-tariffs/E-1R-AGILE-24-10-01-G/standard-unit-rates/</x:v>
      </x:c>
    </x:row>
    <x:row r="184" ht="21" customHeight="1">
      <x:c r="A184" s="24" t="n">
        <x:v>46152.333333333336</x:v>
      </x:c>
      <x:c r="B184" s="6" t="n">
        <x:v>0.11359999999999999</x:v>
      </x:c>
      <x:c r="C184" s="6" t="n">
        <x:v>0.0782</x:v>
      </x:c>
      <x:c r="D184" s="6" t="n">
        <x:f>'Tariff and method'!$B$4</x:f>
        <x:v>0.2226</x:v>
      </x:c>
      <x:c r="E184" s="1" t="n">
        <x:v>1.05</x:v>
      </x:c>
      <x:c r="F184" s="1" t="str">
        <x:v>https://api.octopus.energy/v1/products/AGILE-24-10-01/electricity-tariffs/E-1R-AGILE-24-10-01-G/standard-unit-rates/</x:v>
      </x:c>
    </x:row>
    <x:row r="185" ht="21" customHeight="1">
      <x:c r="A185" s="24" t="n">
        <x:v>46152.354166666664</x:v>
      </x:c>
      <x:c r="B185" s="6" t="n">
        <x:v>0.1161</x:v>
      </x:c>
      <x:c r="C185" s="6" t="n">
        <x:v>0.0794</x:v>
      </x:c>
      <x:c r="D185" s="6" t="n">
        <x:f>'Tariff and method'!$B$4</x:f>
        <x:v>0.2226</x:v>
      </x:c>
      <x:c r="E185" s="1" t="n">
        <x:v>1.05</x:v>
      </x:c>
      <x:c r="F185" s="1" t="str">
        <x:v>https://api.octopus.energy/v1/products/AGILE-24-10-01/electricity-tariffs/E-1R-AGILE-24-10-01-G/standard-unit-rates/</x:v>
      </x:c>
    </x:row>
    <x:row r="186" ht="21" customHeight="1">
      <x:c r="A186" s="24" t="n">
        <x:v>46152.375</x:v>
      </x:c>
      <x:c r="B186" s="6" t="n">
        <x:v>0.1241</x:v>
      </x:c>
      <x:c r="C186" s="6" t="n">
        <x:v>0.083</x:v>
      </x:c>
      <x:c r="D186" s="6" t="n">
        <x:f>'Tariff and method'!$B$4</x:f>
        <x:v>0.2226</x:v>
      </x:c>
      <x:c r="E186" s="1" t="n">
        <x:v>1.05</x:v>
      </x:c>
      <x:c r="F186" s="1" t="str">
        <x:v>https://api.octopus.energy/v1/products/AGILE-24-10-01/electricity-tariffs/E-1R-AGILE-24-10-01-G/standard-unit-rates/</x:v>
      </x:c>
    </x:row>
    <x:row r="187" ht="21" customHeight="1">
      <x:c r="A187" s="24" t="n">
        <x:v>46152.395833333336</x:v>
      </x:c>
      <x:c r="B187" s="6" t="n">
        <x:v>0.11359999999999999</x:v>
      </x:c>
      <x:c r="C187" s="6" t="n">
        <x:v>0.0782</x:v>
      </x:c>
      <x:c r="D187" s="6" t="n">
        <x:f>'Tariff and method'!$B$4</x:f>
        <x:v>0.2226</x:v>
      </x:c>
      <x:c r="E187" s="1" t="n">
        <x:v>1.05</x:v>
      </x:c>
      <x:c r="F187" s="1" t="str">
        <x:v>https://api.octopus.energy/v1/products/AGILE-24-10-01/electricity-tariffs/E-1R-AGILE-24-10-01-G/standard-unit-rates/</x:v>
      </x:c>
    </x:row>
    <x:row r="188" ht="21" customHeight="1">
      <x:c r="A188" s="24" t="n">
        <x:v>46152.416666666664</x:v>
      </x:c>
      <x:c r="B188" s="6" t="n">
        <x:v>0.1148</x:v>
      </x:c>
      <x:c r="C188" s="6" t="n">
        <x:v>0.0788</x:v>
      </x:c>
      <x:c r="D188" s="6" t="n">
        <x:f>'Tariff and method'!$B$4</x:f>
        <x:v>0.2226</x:v>
      </x:c>
      <x:c r="E188" s="1" t="n">
        <x:v>1.05</x:v>
      </x:c>
      <x:c r="F188" s="1" t="str">
        <x:v>https://api.octopus.energy/v1/products/AGILE-24-10-01/electricity-tariffs/E-1R-AGILE-24-10-01-G/standard-unit-rates/</x:v>
      </x:c>
    </x:row>
    <x:row r="189" ht="21" customHeight="1">
      <x:c r="A189" s="24" t="n">
        <x:v>46152.4375</x:v>
      </x:c>
      <x:c r="B189" s="6" t="n">
        <x:v>0.113</x:v>
      </x:c>
      <x:c r="C189" s="6" t="n">
        <x:v>0.0779</x:v>
      </x:c>
      <x:c r="D189" s="6" t="n">
        <x:f>'Tariff and method'!$B$4</x:f>
        <x:v>0.2226</x:v>
      </x:c>
      <x:c r="E189" s="1" t="n">
        <x:v>1.05</x:v>
      </x:c>
      <x:c r="F189" s="1" t="str">
        <x:v>https://api.octopus.energy/v1/products/AGILE-24-10-01/electricity-tariffs/E-1R-AGILE-24-10-01-G/standard-unit-rates/</x:v>
      </x:c>
    </x:row>
    <x:row r="190" ht="21" customHeight="1">
      <x:c r="A190" s="24" t="n">
        <x:v>46152.458333333336</x:v>
      </x:c>
      <x:c r="B190" s="6" t="n">
        <x:v>0.11359999999999999</x:v>
      </x:c>
      <x:c r="C190" s="6" t="n">
        <x:v>0.0782</x:v>
      </x:c>
      <x:c r="D190" s="6" t="n">
        <x:f>'Tariff and method'!$B$4</x:f>
        <x:v>0.2226</x:v>
      </x:c>
      <x:c r="E190" s="1" t="n">
        <x:v>1.05</x:v>
      </x:c>
      <x:c r="F190" s="1" t="str">
        <x:v>https://api.octopus.energy/v1/products/AGILE-24-10-01/electricity-tariffs/E-1R-AGILE-24-10-01-G/standard-unit-rates/</x:v>
      </x:c>
    </x:row>
    <x:row r="191" ht="21" customHeight="1">
      <x:c r="A191" s="24" t="n">
        <x:v>46152.479166666664</x:v>
      </x:c>
      <x:c r="B191" s="6" t="n">
        <x:v>0.1063</x:v>
      </x:c>
      <x:c r="C191" s="6" t="n">
        <x:v>0.0748</x:v>
      </x:c>
      <x:c r="D191" s="6" t="n">
        <x:f>'Tariff and method'!$B$4</x:f>
        <x:v>0.2226</x:v>
      </x:c>
      <x:c r="E191" s="1" t="n">
        <x:v>1.05</x:v>
      </x:c>
      <x:c r="F191" s="1" t="str">
        <x:v>https://api.octopus.energy/v1/products/AGILE-24-10-01/electricity-tariffs/E-1R-AGILE-24-10-01-G/standard-unit-rates/</x:v>
      </x:c>
    </x:row>
    <x:row r="192" ht="21" customHeight="1">
      <x:c r="A192" s="24" t="n">
        <x:v>46152.5</x:v>
      </x:c>
      <x:c r="B192" s="6" t="n">
        <x:v>0.1157</x:v>
      </x:c>
      <x:c r="C192" s="6" t="n">
        <x:v>0.07919999999999999</x:v>
      </x:c>
      <x:c r="D192" s="6" t="n">
        <x:f>'Tariff and method'!$B$4</x:f>
        <x:v>0.2226</x:v>
      </x:c>
      <x:c r="E192" s="1" t="n">
        <x:v>1.05</x:v>
      </x:c>
      <x:c r="F192" s="1" t="str">
        <x:v>https://api.octopus.energy/v1/products/AGILE-24-10-01/electricity-tariffs/E-1R-AGILE-24-10-01-G/standard-unit-rates/</x:v>
      </x:c>
    </x:row>
    <x:row r="193" ht="21" customHeight="1">
      <x:c r="A193" s="24" t="n">
        <x:v>46152.520833333336</x:v>
      </x:c>
      <x:c r="B193" s="6" t="n">
        <x:v>0.1148</x:v>
      </x:c>
      <x:c r="C193" s="6" t="n">
        <x:v>0.0787</x:v>
      </x:c>
      <x:c r="D193" s="6" t="n">
        <x:f>'Tariff and method'!$B$4</x:f>
        <x:v>0.2226</x:v>
      </x:c>
      <x:c r="E193" s="1" t="n">
        <x:v>1.05</x:v>
      </x:c>
      <x:c r="F193" s="1" t="str">
        <x:v>https://api.octopus.energy/v1/products/AGILE-24-10-01/electricity-tariffs/E-1R-AGILE-24-10-01-G/standard-unit-rates/</x:v>
      </x:c>
    </x:row>
    <x:row r="194" ht="21" customHeight="1">
      <x:c r="A194" s="24" t="n">
        <x:v>46152.541666666664</x:v>
      </x:c>
      <x:c r="B194" s="6" t="n">
        <x:v>0.10310000000000001</x:v>
      </x:c>
      <x:c r="C194" s="6" t="n">
        <x:v>0.07339999999999999</x:v>
      </x:c>
      <x:c r="D194" s="6" t="n">
        <x:f>'Tariff and method'!$B$4</x:f>
        <x:v>0.2226</x:v>
      </x:c>
      <x:c r="E194" s="1" t="n">
        <x:v>1.05</x:v>
      </x:c>
      <x:c r="F194" s="1" t="str">
        <x:v>https://api.octopus.energy/v1/products/AGILE-24-10-01/electricity-tariffs/E-1R-AGILE-24-10-01-G/standard-unit-rates/</x:v>
      </x:c>
    </x:row>
    <x:row r="195" ht="21" customHeight="1">
      <x:c r="A195" s="24" t="n">
        <x:v>46152.5625</x:v>
      </x:c>
      <x:c r="B195" s="6" t="n">
        <x:v>0.10099999999999999</x:v>
      </x:c>
      <x:c r="C195" s="6" t="n">
        <x:v>0.0724</x:v>
      </x:c>
      <x:c r="D195" s="6" t="n">
        <x:f>'Tariff and method'!$B$4</x:f>
        <x:v>0.2226</x:v>
      </x:c>
      <x:c r="E195" s="1" t="n">
        <x:v>1.05</x:v>
      </x:c>
      <x:c r="F195" s="1" t="str">
        <x:v>https://api.octopus.energy/v1/products/AGILE-24-10-01/electricity-tariffs/E-1R-AGILE-24-10-01-G/standard-unit-rates/</x:v>
      </x:c>
    </x:row>
    <x:row r="196" ht="21" customHeight="1">
      <x:c r="A196" s="24" t="n">
        <x:v>46152.583333333336</x:v>
      </x:c>
      <x:c r="B196" s="6" t="n">
        <x:v>0.1048</x:v>
      </x:c>
      <x:c r="C196" s="6" t="n">
        <x:v>0.0742</x:v>
      </x:c>
      <x:c r="D196" s="6" t="n">
        <x:f>'Tariff and method'!$B$4</x:f>
        <x:v>0.2226</x:v>
      </x:c>
      <x:c r="E196" s="1" t="n">
        <x:v>1.05</x:v>
      </x:c>
      <x:c r="F196" s="1" t="str">
        <x:v>https://api.octopus.energy/v1/products/AGILE-24-10-01/electricity-tariffs/E-1R-AGILE-24-10-01-G/standard-unit-rates/</x:v>
      </x:c>
    </x:row>
    <x:row r="197" ht="21" customHeight="1">
      <x:c r="A197" s="24" t="n">
        <x:v>46152.604166666664</x:v>
      </x:c>
      <x:c r="B197" s="6" t="n">
        <x:v>0.10099999999999999</x:v>
      </x:c>
      <x:c r="C197" s="6" t="n">
        <x:v>0.0724</x:v>
      </x:c>
      <x:c r="D197" s="6" t="n">
        <x:f>'Tariff and method'!$B$4</x:f>
        <x:v>0.2226</x:v>
      </x:c>
      <x:c r="E197" s="1" t="n">
        <x:v>1.05</x:v>
      </x:c>
      <x:c r="F197" s="1" t="str">
        <x:v>https://api.octopus.energy/v1/products/AGILE-24-10-01/electricity-tariffs/E-1R-AGILE-24-10-01-G/standard-unit-rates/</x:v>
      </x:c>
    </x:row>
    <x:row r="198" ht="21" customHeight="1">
      <x:c r="A198" s="24" t="n">
        <x:v>46152.625</x:v>
      </x:c>
      <x:c r="B198" s="6" t="n">
        <x:v>0.11410000000000001</x:v>
      </x:c>
      <x:c r="C198" s="6" t="n">
        <x:v>0.0784</x:v>
      </x:c>
      <x:c r="D198" s="6" t="n">
        <x:f>'Tariff and method'!$B$4</x:f>
        <x:v>0.2226</x:v>
      </x:c>
      <x:c r="E198" s="1" t="n">
        <x:v>1.05</x:v>
      </x:c>
      <x:c r="F198" s="1" t="str">
        <x:v>https://api.octopus.energy/v1/products/AGILE-24-10-01/electricity-tariffs/E-1R-AGILE-24-10-01-G/standard-unit-rates/</x:v>
      </x:c>
    </x:row>
    <x:row r="199" ht="21" customHeight="1">
      <x:c r="A199" s="24" t="n">
        <x:v>46152.645833333336</x:v>
      </x:c>
      <x:c r="B199" s="6" t="n">
        <x:v>0.1121</x:v>
      </x:c>
      <x:c r="C199" s="6" t="n">
        <x:v>0.0775</x:v>
      </x:c>
      <x:c r="D199" s="6" t="n">
        <x:f>'Tariff and method'!$B$4</x:f>
        <x:v>0.2226</x:v>
      </x:c>
      <x:c r="E199" s="1" t="n">
        <x:v>1.05</x:v>
      </x:c>
      <x:c r="F199" s="1" t="str">
        <x:v>https://api.octopus.energy/v1/products/AGILE-24-10-01/electricity-tariffs/E-1R-AGILE-24-10-01-G/standard-unit-rates/</x:v>
      </x:c>
    </x:row>
    <x:row r="200" ht="21" customHeight="1">
      <x:c r="A200" s="24" t="n">
        <x:v>46152.666666666664</x:v>
      </x:c>
      <x:c r="B200" s="6" t="n">
        <x:v>0.2539</x:v>
      </x:c>
      <x:c r="C200" s="6" t="n">
        <x:v>0.1464</x:v>
      </x:c>
      <x:c r="D200" s="6" t="n">
        <x:f>'Tariff and method'!$B$4</x:f>
        <x:v>0.2226</x:v>
      </x:c>
      <x:c r="E200" s="1" t="n">
        <x:v>1.05</x:v>
      </x:c>
      <x:c r="F200" s="1" t="str">
        <x:v>https://api.octopus.energy/v1/products/AGILE-24-10-01/electricity-tariffs/E-1R-AGILE-24-10-01-G/standard-unit-rates/</x:v>
      </x:c>
    </x:row>
    <x:row r="201" ht="21" customHeight="1">
      <x:c r="A201" s="24" t="n">
        <x:v>46152.6875</x:v>
      </x:c>
      <x:c r="B201" s="6" t="n">
        <x:v>0.2556</x:v>
      </x:c>
      <x:c r="C201" s="6" t="n">
        <x:v>0.1472</x:v>
      </x:c>
      <x:c r="D201" s="6" t="n">
        <x:f>'Tariff and method'!$B$4</x:f>
        <x:v>0.2226</x:v>
      </x:c>
      <x:c r="E201" s="1" t="n">
        <x:v>1.05</x:v>
      </x:c>
      <x:c r="F201" s="1" t="str">
        <x:v>https://api.octopus.energy/v1/products/AGILE-24-10-01/electricity-tariffs/E-1R-AGILE-24-10-01-G/standard-unit-rates/</x:v>
      </x:c>
    </x:row>
    <x:row r="202" ht="21" customHeight="1">
      <x:c r="A202" s="24" t="n">
        <x:v>46152.708333333336</x:v>
      </x:c>
      <x:c r="B202" s="6" t="n">
        <x:v>0.292</x:v>
      </x:c>
      <x:c r="C202" s="6" t="n">
        <x:v>0.1638</x:v>
      </x:c>
      <x:c r="D202" s="6" t="n">
        <x:f>'Tariff and method'!$B$4</x:f>
        <x:v>0.2226</x:v>
      </x:c>
      <x:c r="E202" s="1" t="n">
        <x:v>1.05</x:v>
      </x:c>
      <x:c r="F202" s="1" t="str">
        <x:v>https://api.octopus.energy/v1/products/AGILE-24-10-01/electricity-tariffs/E-1R-AGILE-24-10-01-G/standard-unit-rates/</x:v>
      </x:c>
    </x:row>
    <x:row r="203" ht="21" customHeight="1">
      <x:c r="A203" s="24" t="n">
        <x:v>46152.729166666664</x:v>
      </x:c>
      <x:c r="B203" s="6" t="n">
        <x:v>0.31010000000000004</x:v>
      </x:c>
      <x:c r="C203" s="6" t="n">
        <x:v>0.1721</x:v>
      </x:c>
      <x:c r="D203" s="6" t="n">
        <x:f>'Tariff and method'!$B$4</x:f>
        <x:v>0.2226</x:v>
      </x:c>
      <x:c r="E203" s="1" t="n">
        <x:v>1.05</x:v>
      </x:c>
      <x:c r="F203" s="1" t="str">
        <x:v>https://api.octopus.energy/v1/products/AGILE-24-10-01/electricity-tariffs/E-1R-AGILE-24-10-01-G/standard-unit-rates/</x:v>
      </x:c>
    </x:row>
    <x:row r="204" ht="21" customHeight="1">
      <x:c r="A204" s="24" t="n">
        <x:v>46152.75</x:v>
      </x:c>
      <x:c r="B204" s="6" t="n">
        <x:v>0.3188</x:v>
      </x:c>
      <x:c r="C204" s="6" t="n">
        <x:v>0.17600000000000002</x:v>
      </x:c>
      <x:c r="D204" s="6" t="n">
        <x:f>'Tariff and method'!$B$4</x:f>
        <x:v>0.2226</x:v>
      </x:c>
      <x:c r="E204" s="1" t="n">
        <x:v>1.05</x:v>
      </x:c>
      <x:c r="F204" s="1" t="str">
        <x:v>https://api.octopus.energy/v1/products/AGILE-24-10-01/electricity-tariffs/E-1R-AGILE-24-10-01-G/standard-unit-rates/</x:v>
      </x:c>
    </x:row>
    <x:row r="205" ht="21" customHeight="1">
      <x:c r="A205" s="24" t="n">
        <x:v>46152.770833333336</x:v>
      </x:c>
      <x:c r="B205" s="6" t="n">
        <x:v>0.3175</x:v>
      </x:c>
      <x:c r="C205" s="6" t="n">
        <x:v>0.17550000000000002</x:v>
      </x:c>
      <x:c r="D205" s="6" t="n">
        <x:f>'Tariff and method'!$B$4</x:f>
        <x:v>0.2226</x:v>
      </x:c>
      <x:c r="E205" s="1" t="n">
        <x:v>1.05</x:v>
      </x:c>
      <x:c r="F205" s="1" t="str">
        <x:v>https://api.octopus.energy/v1/products/AGILE-24-10-01/electricity-tariffs/E-1R-AGILE-24-10-01-G/standard-unit-rates/</x:v>
      </x:c>
    </x:row>
    <x:row r="206" ht="21" customHeight="1">
      <x:c r="A206" s="24" t="n">
        <x:v>46152.791666666664</x:v>
      </x:c>
      <x:c r="B206" s="6" t="n">
        <x:v>0.2026</x:v>
      </x:c>
      <x:c r="C206" s="6" t="n">
        <x:v>0.1189</x:v>
      </x:c>
      <x:c r="D206" s="6" t="n">
        <x:f>'Tariff and method'!$B$4</x:f>
        <x:v>0.2226</x:v>
      </x:c>
      <x:c r="E206" s="1" t="n">
        <x:v>1.05</x:v>
      </x:c>
      <x:c r="F206" s="1" t="str">
        <x:v>https://api.octopus.energy/v1/products/AGILE-24-10-01/electricity-tariffs/E-1R-AGILE-24-10-01-G/standard-unit-rates/</x:v>
      </x:c>
    </x:row>
    <x:row r="207" ht="21" customHeight="1">
      <x:c r="A207" s="24" t="n">
        <x:v>46152.8125</x:v>
      </x:c>
      <x:c r="B207" s="6" t="n">
        <x:v>0.20329999999999998</x:v>
      </x:c>
      <x:c r="C207" s="6" t="n">
        <x:v>0.1192</x:v>
      </x:c>
      <x:c r="D207" s="6" t="n">
        <x:f>'Tariff and method'!$B$4</x:f>
        <x:v>0.2226</x:v>
      </x:c>
      <x:c r="E207" s="1" t="n">
        <x:v>1.05</x:v>
      </x:c>
      <x:c r="F207" s="1" t="str">
        <x:v>https://api.octopus.energy/v1/products/AGILE-24-10-01/electricity-tariffs/E-1R-AGILE-24-10-01-G/standard-unit-rates/</x:v>
      </x:c>
    </x:row>
    <x:row r="208" ht="21" customHeight="1">
      <x:c r="A208" s="24" t="n">
        <x:v>46152.833333333336</x:v>
      </x:c>
      <x:c r="B208" s="6" t="n">
        <x:v>0.20579999999999998</x:v>
      </x:c>
      <x:c r="C208" s="6" t="n">
        <x:v>0.12029999999999999</x:v>
      </x:c>
      <x:c r="D208" s="6" t="n">
        <x:f>'Tariff and method'!$B$4</x:f>
        <x:v>0.2226</x:v>
      </x:c>
      <x:c r="E208" s="1" t="n">
        <x:v>1.05</x:v>
      </x:c>
      <x:c r="F208" s="1" t="str">
        <x:v>https://api.octopus.energy/v1/products/AGILE-24-10-01/electricity-tariffs/E-1R-AGILE-24-10-01-G/standard-unit-rates/</x:v>
      </x:c>
    </x:row>
    <x:row r="209" ht="21" customHeight="1">
      <x:c r="A209" s="24" t="n">
        <x:v>46152.854166666664</x:v>
      </x:c>
      <x:c r="B209" s="6" t="n">
        <x:v>0.2052</x:v>
      </x:c>
      <x:c r="C209" s="6" t="n">
        <x:v>0.1201</x:v>
      </x:c>
      <x:c r="D209" s="6" t="n">
        <x:f>'Tariff and method'!$B$4</x:f>
        <x:v>0.2226</x:v>
      </x:c>
      <x:c r="E209" s="1" t="n">
        <x:v>1.05</x:v>
      </x:c>
      <x:c r="F209" s="1" t="str">
        <x:v>https://api.octopus.energy/v1/products/AGILE-24-10-01/electricity-tariffs/E-1R-AGILE-24-10-01-G/standard-unit-rates/</x:v>
      </x:c>
    </x:row>
    <x:row r="210" ht="21" customHeight="1">
      <x:c r="A210" s="24" t="n">
        <x:v>46152.875</x:v>
      </x:c>
      <x:c r="B210" s="6" t="n">
        <x:v>0.2053</x:v>
      </x:c>
      <x:c r="C210" s="6" t="n">
        <x:v>0.1201</x:v>
      </x:c>
      <x:c r="D210" s="6" t="n">
        <x:f>'Tariff and method'!$B$4</x:f>
        <x:v>0.2226</x:v>
      </x:c>
      <x:c r="E210" s="1" t="n">
        <x:v>1.05</x:v>
      </x:c>
      <x:c r="F210" s="1" t="str">
        <x:v>https://api.octopus.energy/v1/products/AGILE-24-10-01/electricity-tariffs/E-1R-AGILE-24-10-01-G/standard-unit-rates/</x:v>
      </x:c>
    </x:row>
    <x:row r="211" ht="21" customHeight="1">
      <x:c r="A211" s="24" t="n">
        <x:v>46152.895833333336</x:v>
      </x:c>
      <x:c r="B211" s="6" t="n">
        <x:v>0.1989</x:v>
      </x:c>
      <x:c r="C211" s="6" t="n">
        <x:v>0.11720000000000001</x:v>
      </x:c>
      <x:c r="D211" s="6" t="n">
        <x:f>'Tariff and method'!$B$4</x:f>
        <x:v>0.2226</x:v>
      </x:c>
      <x:c r="E211" s="1" t="n">
        <x:v>1.05</x:v>
      </x:c>
      <x:c r="F211" s="1" t="str">
        <x:v>https://api.octopus.energy/v1/products/AGILE-24-10-01/electricity-tariffs/E-1R-AGILE-24-10-01-G/standard-unit-rates/</x:v>
      </x:c>
    </x:row>
    <x:row r="212" ht="21" customHeight="1">
      <x:c r="A212" s="24" t="n">
        <x:v>46152.916666666664</x:v>
      </x:c>
      <x:c r="B212" s="6" t="n">
        <x:v>0.2028</x:v>
      </x:c>
      <x:c r="C212" s="6" t="n">
        <x:v>0.11900000000000001</x:v>
      </x:c>
      <x:c r="D212" s="6" t="n">
        <x:f>'Tariff and method'!$B$4</x:f>
        <x:v>0.2226</x:v>
      </x:c>
      <x:c r="E212" s="1" t="n">
        <x:v>1.05</x:v>
      </x:c>
      <x:c r="F212" s="1" t="str">
        <x:v>https://api.octopus.energy/v1/products/AGILE-24-10-01/electricity-tariffs/E-1R-AGILE-24-10-01-G/standard-unit-rates/</x:v>
      </x:c>
    </x:row>
    <x:row r="213" ht="21" customHeight="1">
      <x:c r="A213" s="24" t="n">
        <x:v>46152.9375</x:v>
      </x:c>
      <x:c r="B213" s="6" t="n">
        <x:v>0.18710000000000002</x:v>
      </x:c>
      <x:c r="C213" s="6" t="n">
        <x:v>0.1118</x:v>
      </x:c>
      <x:c r="D213" s="6" t="n">
        <x:f>'Tariff and method'!$B$4</x:f>
        <x:v>0.2226</x:v>
      </x:c>
      <x:c r="E213" s="1" t="n">
        <x:v>1.05</x:v>
      </x:c>
      <x:c r="F213" s="1" t="str">
        <x:v>https://api.octopus.energy/v1/products/AGILE-24-10-01/electricity-tariffs/E-1R-AGILE-24-10-01-G/standard-unit-rates/</x:v>
      </x:c>
    </x:row>
    <x:row r="214" ht="21" customHeight="1">
      <x:c r="A214" s="24" t="n">
        <x:v>46153</x:v>
      </x:c>
      <x:c r="B214" s="6" t="n">
        <x:v>0.1724</x:v>
      </x:c>
      <x:c r="C214" s="6" t="n">
        <x:v>0.1051</x:v>
      </x:c>
      <x:c r="D214" s="6" t="n">
        <x:f>'Tariff and method'!$B$4</x:f>
        <x:v>0.2226</x:v>
      </x:c>
      <x:c r="E214" s="1" t="n">
        <x:v>1.05</x:v>
      </x:c>
      <x:c r="F214" s="1" t="str">
        <x:v>https://api.octopus.energy/v1/products/AGILE-24-10-01/electricity-tariffs/E-1R-AGILE-24-10-01-G/standard-unit-rates/</x:v>
      </x:c>
    </x:row>
    <x:row r="215" ht="21" customHeight="1">
      <x:c r="A215" s="24" t="n">
        <x:v>46152.979166666664</x:v>
      </x:c>
      <x:c r="B215" s="6" t="n">
        <x:v>0.15560000000000002</x:v>
      </x:c>
      <x:c r="C215" s="6" t="n">
        <x:v>0.0974</x:v>
      </x:c>
      <x:c r="D215" s="6" t="n">
        <x:f>'Tariff and method'!$B$4</x:f>
        <x:v>0.2226</x:v>
      </x:c>
      <x:c r="E215" s="1" t="n">
        <x:v>1.05</x:v>
      </x:c>
      <x:c r="F215" s="1" t="str">
        <x:v>https://api.octopus.energy/v1/products/AGILE-24-10-01/electricity-tariffs/E-1R-AGILE-24-10-01-G/standard-unit-rates/</x:v>
      </x:c>
    </x:row>
    <x:row r="216" ht="21" customHeight="1">
      <x:c r="A216" s="24" t="n">
        <x:v>46153</x:v>
      </x:c>
      <x:c r="B216" s="6" t="n">
        <x:v>0.1591</x:v>
      </x:c>
      <x:c r="C216" s="6" t="n">
        <x:v>0.099</x:v>
      </x:c>
      <x:c r="D216" s="6" t="n">
        <x:f>'Tariff and method'!$B$4</x:f>
        <x:v>0.2226</x:v>
      </x:c>
      <x:c r="E216" s="1" t="n">
        <x:v>1.05</x:v>
      </x:c>
      <x:c r="F216" s="1" t="str">
        <x:v>https://api.octopus.energy/v1/products/AGILE-24-10-01/electricity-tariffs/E-1R-AGILE-24-10-01-G/standard-unit-rates/</x:v>
      </x:c>
    </x:row>
    <x:row r="217" ht="21" customHeight="1">
      <x:c r="A217" s="24" t="n">
        <x:v>46153.020833333336</x:v>
      </x:c>
      <x:c r="B217" s="6" t="n">
        <x:v>0.1542</x:v>
      </x:c>
      <x:c r="C217" s="6" t="n">
        <x:v>0.0968</x:v>
      </x:c>
      <x:c r="D217" s="6" t="n">
        <x:f>'Tariff and method'!$B$4</x:f>
        <x:v>0.2226</x:v>
      </x:c>
      <x:c r="E217" s="1" t="n">
        <x:v>1.05</x:v>
      </x:c>
      <x:c r="F217" s="1" t="str">
        <x:v>https://api.octopus.energy/v1/products/AGILE-24-10-01/electricity-tariffs/E-1R-AGILE-24-10-01-G/standard-unit-rates/</x:v>
      </x:c>
    </x:row>
    <x:row r="218" ht="21" customHeight="1">
      <x:c r="A218" s="24" t="n">
        <x:v>46153.041666666664</x:v>
      </x:c>
      <x:c r="B218" s="6" t="n">
        <x:v>0.1506</x:v>
      </x:c>
      <x:c r="C218" s="6" t="n">
        <x:v>0.0951</x:v>
      </x:c>
      <x:c r="D218" s="6" t="n">
        <x:f>'Tariff and method'!$B$4</x:f>
        <x:v>0.2226</x:v>
      </x:c>
      <x:c r="E218" s="1" t="n">
        <x:v>1.05</x:v>
      </x:c>
      <x:c r="F218" s="1" t="str">
        <x:v>https://api.octopus.energy/v1/products/AGILE-24-10-01/electricity-tariffs/E-1R-AGILE-24-10-01-G/standard-unit-rates/</x:v>
      </x:c>
    </x:row>
    <x:row r="219" ht="21" customHeight="1">
      <x:c r="A219" s="24" t="n">
        <x:v>46153.0625</x:v>
      </x:c>
      <x:c r="B219" s="6" t="n">
        <x:v>0.1493</x:v>
      </x:c>
      <x:c r="C219" s="6" t="n">
        <x:v>0.09449999999999999</x:v>
      </x:c>
      <x:c r="D219" s="6" t="n">
        <x:f>'Tariff and method'!$B$4</x:f>
        <x:v>0.2226</x:v>
      </x:c>
      <x:c r="E219" s="1" t="n">
        <x:v>1.05</x:v>
      </x:c>
      <x:c r="F219" s="1" t="str">
        <x:v>https://api.octopus.energy/v1/products/AGILE-24-10-01/electricity-tariffs/E-1R-AGILE-24-10-01-G/standard-unit-rates/</x:v>
      </x:c>
    </x:row>
    <x:row r="220" ht="21" customHeight="1">
      <x:c r="A220" s="24" t="n">
        <x:v>46153.083333333336</x:v>
      </x:c>
      <x:c r="B220" s="6" t="n">
        <x:v>0.1543</x:v>
      </x:c>
      <x:c r="C220" s="6" t="n">
        <x:v>0.0968</x:v>
      </x:c>
      <x:c r="D220" s="6" t="n">
        <x:f>'Tariff and method'!$B$4</x:f>
        <x:v>0.2226</x:v>
      </x:c>
      <x:c r="E220" s="1" t="n">
        <x:v>1.05</x:v>
      </x:c>
      <x:c r="F220" s="1" t="str">
        <x:v>https://api.octopus.energy/v1/products/AGILE-24-10-01/electricity-tariffs/E-1R-AGILE-24-10-01-G/standard-unit-rates/</x:v>
      </x:c>
    </x:row>
    <x:row r="221" ht="21" customHeight="1">
      <x:c r="A221" s="24" t="n">
        <x:v>46153.104166666664</x:v>
      </x:c>
      <x:c r="B221" s="6" t="n">
        <x:v>0.1512</x:v>
      </x:c>
      <x:c r="C221" s="6" t="n">
        <x:v>0.09539999999999998</x:v>
      </x:c>
      <x:c r="D221" s="6" t="n">
        <x:f>'Tariff and method'!$B$4</x:f>
        <x:v>0.2226</x:v>
      </x:c>
      <x:c r="E221" s="1" t="n">
        <x:v>1.05</x:v>
      </x:c>
      <x:c r="F221" s="1" t="str">
        <x:v>https://api.octopus.energy/v1/products/AGILE-24-10-01/electricity-tariffs/E-1R-AGILE-24-10-01-G/standard-unit-rates/</x:v>
      </x:c>
    </x:row>
    <x:row r="222" ht="21" customHeight="1">
      <x:c r="A222" s="24" t="n">
        <x:v>46153.125</x:v>
      </x:c>
      <x:c r="B222" s="6" t="n">
        <x:v>0.1537</x:v>
      </x:c>
      <x:c r="C222" s="6" t="n">
        <x:v>0.0965</x:v>
      </x:c>
      <x:c r="D222" s="6" t="n">
        <x:f>'Tariff and method'!$B$4</x:f>
        <x:v>0.2226</x:v>
      </x:c>
      <x:c r="E222" s="1" t="n">
        <x:v>1.05</x:v>
      </x:c>
      <x:c r="F222" s="1" t="str">
        <x:v>https://api.octopus.energy/v1/products/AGILE-24-10-01/electricity-tariffs/E-1R-AGILE-24-10-01-G/standard-unit-rates/</x:v>
      </x:c>
    </x:row>
    <x:row r="223" ht="21" customHeight="1">
      <x:c r="A223" s="24" t="n">
        <x:v>46153.145833333336</x:v>
      </x:c>
      <x:c r="B223" s="6" t="n">
        <x:v>0.1487</x:v>
      </x:c>
      <x:c r="C223" s="6" t="n">
        <x:v>0.0942</x:v>
      </x:c>
      <x:c r="D223" s="6" t="n">
        <x:f>'Tariff and method'!$B$4</x:f>
        <x:v>0.2226</x:v>
      </x:c>
      <x:c r="E223" s="1" t="n">
        <x:v>1.05</x:v>
      </x:c>
      <x:c r="F223" s="1" t="str">
        <x:v>https://api.octopus.energy/v1/products/AGILE-24-10-01/electricity-tariffs/E-1R-AGILE-24-10-01-G/standard-unit-rates/</x:v>
      </x:c>
    </x:row>
    <x:row r="224" ht="21" customHeight="1">
      <x:c r="A224" s="24" t="n">
        <x:v>46153.166666666664</x:v>
      </x:c>
      <x:c r="B224" s="6" t="n">
        <x:v>0.16570000000000001</x:v>
      </x:c>
      <x:c r="C224" s="6" t="n">
        <x:v>0.102</x:v>
      </x:c>
      <x:c r="D224" s="6" t="n">
        <x:f>'Tariff and method'!$B$4</x:f>
        <x:v>0.2226</x:v>
      </x:c>
      <x:c r="E224" s="1" t="n">
        <x:v>1.05</x:v>
      </x:c>
      <x:c r="F224" s="1" t="str">
        <x:v>https://api.octopus.energy/v1/products/AGILE-24-10-01/electricity-tariffs/E-1R-AGILE-24-10-01-G/standard-unit-rates/</x:v>
      </x:c>
    </x:row>
    <x:row r="225" ht="21" customHeight="1">
      <x:c r="A225" s="24" t="n">
        <x:v>46153.1875</x:v>
      </x:c>
      <x:c r="B225" s="6" t="n">
        <x:v>0.1598</x:v>
      </x:c>
      <x:c r="C225" s="6" t="n">
        <x:v>0.0993</x:v>
      </x:c>
      <x:c r="D225" s="6" t="n">
        <x:f>'Tariff and method'!$B$4</x:f>
        <x:v>0.2226</x:v>
      </x:c>
      <x:c r="E225" s="1" t="n">
        <x:v>1.05</x:v>
      </x:c>
      <x:c r="F225" s="1" t="str">
        <x:v>https://api.octopus.energy/v1/products/AGILE-24-10-01/electricity-tariffs/E-1R-AGILE-24-10-01-G/standard-unit-rates/</x:v>
      </x:c>
    </x:row>
    <x:row r="226" ht="21" customHeight="1">
      <x:c r="A226" s="24" t="n">
        <x:v>46153.208333333336</x:v>
      </x:c>
      <x:c r="B226" s="6" t="n">
        <x:v>0.1518</x:v>
      </x:c>
      <x:c r="C226" s="6" t="n">
        <x:v>0.09570000000000001</x:v>
      </x:c>
      <x:c r="D226" s="6" t="n">
        <x:f>'Tariff and method'!$B$4</x:f>
        <x:v>0.2226</x:v>
      </x:c>
      <x:c r="E226" s="1" t="n">
        <x:v>1.05</x:v>
      </x:c>
      <x:c r="F226" s="1" t="str">
        <x:v>https://api.octopus.energy/v1/products/AGILE-24-10-01/electricity-tariffs/E-1R-AGILE-24-10-01-G/standard-unit-rates/</x:v>
      </x:c>
    </x:row>
    <x:row r="227" ht="21" customHeight="1">
      <x:c r="A227" s="24" t="n">
        <x:v>46153.229166666664</x:v>
      </x:c>
      <x:c r="B227" s="6" t="n">
        <x:v>0.1388</x:v>
      </x:c>
      <x:c r="C227" s="6" t="n">
        <x:v>0.0897</x:v>
      </x:c>
      <x:c r="D227" s="6" t="n">
        <x:f>'Tariff and method'!$B$4</x:f>
        <x:v>0.2226</x:v>
      </x:c>
      <x:c r="E227" s="1" t="n">
        <x:v>1.05</x:v>
      </x:c>
      <x:c r="F227" s="1" t="str">
        <x:v>https://api.octopus.energy/v1/products/AGILE-24-10-01/electricity-tariffs/E-1R-AGILE-24-10-01-G/standard-unit-rates/</x:v>
      </x:c>
    </x:row>
    <x:row r="228" ht="21" customHeight="1">
      <x:c r="A228" s="24" t="n">
        <x:v>46153.25</x:v>
      </x:c>
      <x:c r="B228" s="6" t="n">
        <x:v>0.1724</x:v>
      </x:c>
      <x:c r="C228" s="6" t="n">
        <x:v>0.1051</x:v>
      </x:c>
      <x:c r="D228" s="6" t="n">
        <x:f>'Tariff and method'!$B$4</x:f>
        <x:v>0.2226</x:v>
      </x:c>
      <x:c r="E228" s="1" t="n">
        <x:v>1.05</x:v>
      </x:c>
      <x:c r="F228" s="1" t="str">
        <x:v>https://api.octopus.energy/v1/products/AGILE-24-10-01/electricity-tariffs/E-1R-AGILE-24-10-01-G/standard-unit-rates/</x:v>
      </x:c>
    </x:row>
    <x:row r="229" ht="21" customHeight="1">
      <x:c r="A229" s="24" t="n">
        <x:v>46153.270833333336</x:v>
      </x:c>
      <x:c r="B229" s="6" t="n">
        <x:v>0.2181</x:v>
      </x:c>
      <x:c r="C229" s="6" t="n">
        <x:v>0.126</x:v>
      </x:c>
      <x:c r="D229" s="6" t="n">
        <x:f>'Tariff and method'!$B$4</x:f>
        <x:v>0.2226</x:v>
      </x:c>
      <x:c r="E229" s="1" t="n">
        <x:v>1.05</x:v>
      </x:c>
      <x:c r="F229" s="1" t="str">
        <x:v>https://api.octopus.energy/v1/products/AGILE-24-10-01/electricity-tariffs/E-1R-AGILE-24-10-01-G/standard-unit-rates/</x:v>
      </x:c>
    </x:row>
    <x:row r="230" ht="21" customHeight="1">
      <x:c r="A230" s="24" t="n">
        <x:v>46153.291666666664</x:v>
      </x:c>
      <x:c r="B230" s="6" t="n">
        <x:v>0.22329999999999997</x:v>
      </x:c>
      <x:c r="C230" s="6" t="n">
        <x:v>0.1283</x:v>
      </x:c>
      <x:c r="D230" s="6" t="n">
        <x:f>'Tariff and method'!$B$4</x:f>
        <x:v>0.2226</x:v>
      </x:c>
      <x:c r="E230" s="1" t="n">
        <x:v>1.05</x:v>
      </x:c>
      <x:c r="F230" s="1" t="str">
        <x:v>https://api.octopus.energy/v1/products/AGILE-24-10-01/electricity-tariffs/E-1R-AGILE-24-10-01-G/standard-unit-rates/</x:v>
      </x:c>
    </x:row>
    <x:row r="231" ht="21" customHeight="1">
      <x:c r="A231" s="24" t="n">
        <x:v>46153.3125</x:v>
      </x:c>
      <x:c r="B231" s="6" t="n">
        <x:v>0.2302</x:v>
      </x:c>
      <x:c r="C231" s="6" t="n">
        <x:v>0.1315</x:v>
      </x:c>
      <x:c r="D231" s="6" t="n">
        <x:f>'Tariff and method'!$B$4</x:f>
        <x:v>0.2226</x:v>
      </x:c>
      <x:c r="E231" s="1" t="n">
        <x:v>1.05</x:v>
      </x:c>
      <x:c r="F231" s="1" t="str">
        <x:v>https://api.octopus.energy/v1/products/AGILE-24-10-01/electricity-tariffs/E-1R-AGILE-24-10-01-G/standard-unit-rates/</x:v>
      </x:c>
    </x:row>
    <x:row r="232" ht="21" customHeight="1">
      <x:c r="A232" s="24" t="n">
        <x:v>46153.333333333336</x:v>
      </x:c>
      <x:c r="B232" s="6" t="n">
        <x:v>0.2182</x:v>
      </x:c>
      <x:c r="C232" s="6" t="n">
        <x:v>0.126</x:v>
      </x:c>
      <x:c r="D232" s="6" t="n">
        <x:f>'Tariff and method'!$B$4</x:f>
        <x:v>0.2226</x:v>
      </x:c>
      <x:c r="E232" s="1" t="n">
        <x:v>1.05</x:v>
      </x:c>
      <x:c r="F232" s="1" t="str">
        <x:v>https://api.octopus.energy/v1/products/AGILE-24-10-01/electricity-tariffs/E-1R-AGILE-24-10-01-G/standard-unit-rates/</x:v>
      </x:c>
    </x:row>
    <x:row r="233" ht="21" customHeight="1">
      <x:c r="A233" s="24" t="n">
        <x:v>46153.354166666664</x:v>
      </x:c>
      <x:c r="B233" s="6" t="n">
        <x:v>0.2096</x:v>
      </x:c>
      <x:c r="C233" s="6" t="n">
        <x:v>0.12210000000000001</x:v>
      </x:c>
      <x:c r="D233" s="6" t="n">
        <x:f>'Tariff and method'!$B$4</x:f>
        <x:v>0.2226</x:v>
      </x:c>
      <x:c r="E233" s="1" t="n">
        <x:v>1.05</x:v>
      </x:c>
      <x:c r="F233" s="1" t="str">
        <x:v>https://api.octopus.energy/v1/products/AGILE-24-10-01/electricity-tariffs/E-1R-AGILE-24-10-01-G/standard-unit-rates/</x:v>
      </x:c>
    </x:row>
    <x:row r="234" ht="21" customHeight="1">
      <x:c r="A234" s="24" t="n">
        <x:v>46153.375</x:v>
      </x:c>
      <x:c r="B234" s="6" t="n">
        <x:v>0.2039</x:v>
      </x:c>
      <x:c r="C234" s="6" t="n">
        <x:v>0.1195</x:v>
      </x:c>
      <x:c r="D234" s="6" t="n">
        <x:f>'Tariff and method'!$B$4</x:f>
        <x:v>0.2226</x:v>
      </x:c>
      <x:c r="E234" s="1" t="n">
        <x:v>1.05</x:v>
      </x:c>
      <x:c r="F234" s="1" t="str">
        <x:v>https://api.octopus.energy/v1/products/AGILE-24-10-01/electricity-tariffs/E-1R-AGILE-24-10-01-G/standard-unit-rates/</x:v>
      </x:c>
    </x:row>
    <x:row r="235" ht="21" customHeight="1">
      <x:c r="A235" s="24" t="n">
        <x:v>46153.395833333336</x:v>
      </x:c>
      <x:c r="B235" s="6" t="n">
        <x:v>0.19760000000000003</x:v>
      </x:c>
      <x:c r="C235" s="6" t="n">
        <x:v>0.1166</x:v>
      </x:c>
      <x:c r="D235" s="6" t="n">
        <x:f>'Tariff and method'!$B$4</x:f>
        <x:v>0.2226</x:v>
      </x:c>
      <x:c r="E235" s="1" t="n">
        <x:v>1.05</x:v>
      </x:c>
      <x:c r="F235" s="1" t="str">
        <x:v>https://api.octopus.energy/v1/products/AGILE-24-10-01/electricity-tariffs/E-1R-AGILE-24-10-01-G/standard-unit-rates/</x:v>
      </x:c>
    </x:row>
    <x:row r="236" ht="21" customHeight="1">
      <x:c r="A236" s="24" t="n">
        <x:v>46153.416666666664</x:v>
      </x:c>
      <x:c r="B236" s="6" t="n">
        <x:v>0.18530000000000002</x:v>
      </x:c>
      <x:c r="C236" s="6" t="n">
        <x:v>0.111</x:v>
      </x:c>
      <x:c r="D236" s="6" t="n">
        <x:f>'Tariff and method'!$B$4</x:f>
        <x:v>0.2226</x:v>
      </x:c>
      <x:c r="E236" s="1" t="n">
        <x:v>1.05</x:v>
      </x:c>
      <x:c r="F236" s="1" t="str">
        <x:v>https://api.octopus.energy/v1/products/AGILE-24-10-01/electricity-tariffs/E-1R-AGILE-24-10-01-G/standard-unit-rates/</x:v>
      </x:c>
    </x:row>
    <x:row r="237" ht="21" customHeight="1">
      <x:c r="A237" s="24" t="n">
        <x:v>46153.4375</x:v>
      </x:c>
      <x:c r="B237" s="6" t="n">
        <x:v>0.1894</x:v>
      </x:c>
      <x:c r="C237" s="6" t="n">
        <x:v>0.11289999999999999</x:v>
      </x:c>
      <x:c r="D237" s="6" t="n">
        <x:f>'Tariff and method'!$B$4</x:f>
        <x:v>0.2226</x:v>
      </x:c>
      <x:c r="E237" s="1" t="n">
        <x:v>1.05</x:v>
      </x:c>
      <x:c r="F237" s="1" t="str">
        <x:v>https://api.octopus.energy/v1/products/AGILE-24-10-01/electricity-tariffs/E-1R-AGILE-24-10-01-G/standard-unit-rates/</x:v>
      </x:c>
    </x:row>
    <x:row r="238" ht="21" customHeight="1">
      <x:c r="A238" s="24" t="n">
        <x:v>46153.458333333336</x:v>
      </x:c>
      <x:c r="B238" s="6" t="n">
        <x:v>0.1777</x:v>
      </x:c>
      <x:c r="C238" s="6" t="n">
        <x:v>0.1075</x:v>
      </x:c>
      <x:c r="D238" s="6" t="n">
        <x:f>'Tariff and method'!$B$4</x:f>
        <x:v>0.2226</x:v>
      </x:c>
      <x:c r="E238" s="1" t="n">
        <x:v>1.05</x:v>
      </x:c>
      <x:c r="F238" s="1" t="str">
        <x:v>https://api.octopus.energy/v1/products/AGILE-24-10-01/electricity-tariffs/E-1R-AGILE-24-10-01-G/standard-unit-rates/</x:v>
      </x:c>
    </x:row>
    <x:row r="239" ht="21" customHeight="1">
      <x:c r="A239" s="24" t="n">
        <x:v>46153.479166666664</x:v>
      </x:c>
      <x:c r="B239" s="6" t="n">
        <x:v>0.1716</x:v>
      </x:c>
      <x:c r="C239" s="6" t="n">
        <x:v>0.1047</x:v>
      </x:c>
      <x:c r="D239" s="6" t="n">
        <x:f>'Tariff and method'!$B$4</x:f>
        <x:v>0.2226</x:v>
      </x:c>
      <x:c r="E239" s="1" t="n">
        <x:v>1.05</x:v>
      </x:c>
      <x:c r="F239" s="1" t="str">
        <x:v>https://api.octopus.energy/v1/products/AGILE-24-10-01/electricity-tariffs/E-1R-AGILE-24-10-01-G/standard-unit-rates/</x:v>
      </x:c>
    </x:row>
    <x:row r="240" ht="21" customHeight="1">
      <x:c r="A240" s="24" t="n">
        <x:v>46153.5</x:v>
      </x:c>
      <x:c r="B240" s="6" t="n">
        <x:v>0.16399999999999998</x:v>
      </x:c>
      <x:c r="C240" s="6" t="n">
        <x:v>0.1012</x:v>
      </x:c>
      <x:c r="D240" s="6" t="n">
        <x:f>'Tariff and method'!$B$4</x:f>
        <x:v>0.2226</x:v>
      </x:c>
      <x:c r="E240" s="1" t="n">
        <x:v>1.05</x:v>
      </x:c>
      <x:c r="F240" s="1" t="str">
        <x:v>https://api.octopus.energy/v1/products/AGILE-24-10-01/electricity-tariffs/E-1R-AGILE-24-10-01-G/standard-unit-rates/</x:v>
      </x:c>
    </x:row>
    <x:row r="241" ht="21" customHeight="1">
      <x:c r="A241" s="24" t="n">
        <x:v>46153.520833333336</x:v>
      </x:c>
      <x:c r="B241" s="6" t="n">
        <x:v>0.16260000000000002</x:v>
      </x:c>
      <x:c r="C241" s="6" t="n">
        <x:v>0.10060000000000001</x:v>
      </x:c>
      <x:c r="D241" s="6" t="n">
        <x:f>'Tariff and method'!$B$4</x:f>
        <x:v>0.2226</x:v>
      </x:c>
      <x:c r="E241" s="1" t="n">
        <x:v>1.05</x:v>
      </x:c>
      <x:c r="F241" s="1" t="str">
        <x:v>https://api.octopus.energy/v1/products/AGILE-24-10-01/electricity-tariffs/E-1R-AGILE-24-10-01-G/standard-unit-rates/</x:v>
      </x:c>
    </x:row>
    <x:row r="242" ht="21" customHeight="1">
      <x:c r="A242" s="24" t="n">
        <x:v>46153.541666666664</x:v>
      </x:c>
      <x:c r="B242" s="6" t="n">
        <x:v>0.1598</x:v>
      </x:c>
      <x:c r="C242" s="6" t="n">
        <x:v>0.0993</x:v>
      </x:c>
      <x:c r="D242" s="6" t="n">
        <x:f>'Tariff and method'!$B$4</x:f>
        <x:v>0.2226</x:v>
      </x:c>
      <x:c r="E242" s="1" t="n">
        <x:v>1.05</x:v>
      </x:c>
      <x:c r="F242" s="1" t="str">
        <x:v>https://api.octopus.energy/v1/products/AGILE-24-10-01/electricity-tariffs/E-1R-AGILE-24-10-01-G/standard-unit-rates/</x:v>
      </x:c>
    </x:row>
    <x:row r="243" ht="21" customHeight="1">
      <x:c r="A243" s="24" t="n">
        <x:v>46153.5625</x:v>
      </x:c>
      <x:c r="B243" s="6" t="n">
        <x:v>0.16010000000000002</x:v>
      </x:c>
      <x:c r="C243" s="6" t="n">
        <x:v>0.09939999999999999</x:v>
      </x:c>
      <x:c r="D243" s="6" t="n">
        <x:f>'Tariff and method'!$B$4</x:f>
        <x:v>0.2226</x:v>
      </x:c>
      <x:c r="E243" s="1" t="n">
        <x:v>1.05</x:v>
      </x:c>
      <x:c r="F243" s="1" t="str">
        <x:v>https://api.octopus.energy/v1/products/AGILE-24-10-01/electricity-tariffs/E-1R-AGILE-24-10-01-G/standard-unit-rates/</x:v>
      </x:c>
    </x:row>
    <x:row r="244" ht="21" customHeight="1">
      <x:c r="A244" s="24" t="n">
        <x:v>46153.583333333336</x:v>
      </x:c>
      <x:c r="B244" s="6" t="n">
        <x:v>0.1576</x:v>
      </x:c>
      <x:c r="C244" s="6" t="n">
        <x:v>0.0983</x:v>
      </x:c>
      <x:c r="D244" s="6" t="n">
        <x:f>'Tariff and method'!$B$4</x:f>
        <x:v>0.2226</x:v>
      </x:c>
      <x:c r="E244" s="1" t="n">
        <x:v>1.05</x:v>
      </x:c>
      <x:c r="F244" s="1" t="str">
        <x:v>https://api.octopus.energy/v1/products/AGILE-24-10-01/electricity-tariffs/E-1R-AGILE-24-10-01-G/standard-unit-rates/</x:v>
      </x:c>
    </x:row>
    <x:row r="245" ht="21" customHeight="1">
      <x:c r="A245" s="24" t="n">
        <x:v>46153.604166666664</x:v>
      </x:c>
      <x:c r="B245" s="6" t="n">
        <x:v>0.1566</x:v>
      </x:c>
      <x:c r="C245" s="6" t="n">
        <x:v>0.09789999999999999</x:v>
      </x:c>
      <x:c r="D245" s="6" t="n">
        <x:f>'Tariff and method'!$B$4</x:f>
        <x:v>0.2226</x:v>
      </x:c>
      <x:c r="E245" s="1" t="n">
        <x:v>1.05</x:v>
      </x:c>
      <x:c r="F245" s="1" t="str">
        <x:v>https://api.octopus.energy/v1/products/AGILE-24-10-01/electricity-tariffs/E-1R-AGILE-24-10-01-G/standard-unit-rates/</x:v>
      </x:c>
    </x:row>
    <x:row r="246" ht="21" customHeight="1">
      <x:c r="A246" s="24" t="n">
        <x:v>46153.625</x:v>
      </x:c>
      <x:c r="B246" s="6" t="n">
        <x:v>0.1589</x:v>
      </x:c>
      <x:c r="C246" s="6" t="n">
        <x:v>0.0989</x:v>
      </x:c>
      <x:c r="D246" s="6" t="n">
        <x:f>'Tariff and method'!$B$4</x:f>
        <x:v>0.2226</x:v>
      </x:c>
      <x:c r="E246" s="1" t="n">
        <x:v>1.05</x:v>
      </x:c>
      <x:c r="F246" s="1" t="str">
        <x:v>https://api.octopus.energy/v1/products/AGILE-24-10-01/electricity-tariffs/E-1R-AGILE-24-10-01-G/standard-unit-rates/</x:v>
      </x:c>
    </x:row>
    <x:row r="247" ht="21" customHeight="1">
      <x:c r="A247" s="24" t="n">
        <x:v>46153.645833333336</x:v>
      </x:c>
      <x:c r="B247" s="6" t="n">
        <x:v>0.15960000000000002</x:v>
      </x:c>
      <x:c r="C247" s="6" t="n">
        <x:v>0.0992</x:v>
      </x:c>
      <x:c r="D247" s="6" t="n">
        <x:f>'Tariff and method'!$B$4</x:f>
        <x:v>0.2226</x:v>
      </x:c>
      <x:c r="E247" s="1" t="n">
        <x:v>1.05</x:v>
      </x:c>
      <x:c r="F247" s="1" t="str">
        <x:v>https://api.octopus.energy/v1/products/AGILE-24-10-01/electricity-tariffs/E-1R-AGILE-24-10-01-G/standard-unit-rates/</x:v>
      </x:c>
    </x:row>
    <x:row r="248" ht="21" customHeight="1">
      <x:c r="A248" s="24" t="n">
        <x:v>46153.666666666664</x:v>
      </x:c>
      <x:c r="B248" s="6" t="n">
        <x:v>0.2801</x:v>
      </x:c>
      <x:c r="C248" s="6" t="n">
        <x:v>0.1583</x:v>
      </x:c>
      <x:c r="D248" s="6" t="n">
        <x:f>'Tariff and method'!$B$4</x:f>
        <x:v>0.2226</x:v>
      </x:c>
      <x:c r="E248" s="1" t="n">
        <x:v>1.05</x:v>
      </x:c>
      <x:c r="F248" s="1" t="str">
        <x:v>https://api.octopus.energy/v1/products/AGILE-24-10-01/electricity-tariffs/E-1R-AGILE-24-10-01-G/standard-unit-rates/</x:v>
      </x:c>
    </x:row>
    <x:row r="249" ht="21" customHeight="1">
      <x:c r="A249" s="24" t="n">
        <x:v>46153.6875</x:v>
      </x:c>
      <x:c r="B249" s="6" t="n">
        <x:v>0.2969</x:v>
      </x:c>
      <x:c r="C249" s="6" t="n">
        <x:v>0.1661</x:v>
      </x:c>
      <x:c r="D249" s="6" t="n">
        <x:f>'Tariff and method'!$B$4</x:f>
        <x:v>0.2226</x:v>
      </x:c>
      <x:c r="E249" s="1" t="n">
        <x:v>1.05</x:v>
      </x:c>
      <x:c r="F249" s="1" t="str">
        <x:v>https://api.octopus.energy/v1/products/AGILE-24-10-01/electricity-tariffs/E-1R-AGILE-24-10-01-G/standard-unit-rates/</x:v>
      </x:c>
    </x:row>
    <x:row r="250" ht="21" customHeight="1">
      <x:c r="A250" s="24" t="n">
        <x:v>46153.708333333336</x:v>
      </x:c>
      <x:c r="B250" s="6" t="n">
        <x:v>0.30219999999999997</x:v>
      </x:c>
      <x:c r="C250" s="6" t="n">
        <x:v>0.1685</x:v>
      </x:c>
      <x:c r="D250" s="6" t="n">
        <x:f>'Tariff and method'!$B$4</x:f>
        <x:v>0.2226</x:v>
      </x:c>
      <x:c r="E250" s="1" t="n">
        <x:v>1.05</x:v>
      </x:c>
      <x:c r="F250" s="1" t="str">
        <x:v>https://api.octopus.energy/v1/products/AGILE-24-10-01/electricity-tariffs/E-1R-AGILE-24-10-01-G/standard-unit-rates/</x:v>
      </x:c>
    </x:row>
    <x:row r="251" ht="21" customHeight="1">
      <x:c r="A251" s="24" t="n">
        <x:v>46153.729166666664</x:v>
      </x:c>
      <x:c r="B251" s="6" t="n">
        <x:v>0.32280000000000003</x:v>
      </x:c>
      <x:c r="C251" s="6" t="n">
        <x:v>0.1779</x:v>
      </x:c>
      <x:c r="D251" s="6" t="n">
        <x:f>'Tariff and method'!$B$4</x:f>
        <x:v>0.2226</x:v>
      </x:c>
      <x:c r="E251" s="1" t="n">
        <x:v>1.05</x:v>
      </x:c>
      <x:c r="F251" s="1" t="str">
        <x:v>https://api.octopus.energy/v1/products/AGILE-24-10-01/electricity-tariffs/E-1R-AGILE-24-10-01-G/standard-unit-rates/</x:v>
      </x:c>
    </x:row>
    <x:row r="252" ht="21" customHeight="1">
      <x:c r="A252" s="24" t="n">
        <x:v>46153.75</x:v>
      </x:c>
      <x:c r="B252" s="6" t="n">
        <x:v>0.3265</x:v>
      </x:c>
      <x:c r="C252" s="6" t="n">
        <x:v>0.1796</x:v>
      </x:c>
      <x:c r="D252" s="6" t="n">
        <x:f>'Tariff and method'!$B$4</x:f>
        <x:v>0.2226</x:v>
      </x:c>
      <x:c r="E252" s="1" t="n">
        <x:v>1.05</x:v>
      </x:c>
      <x:c r="F252" s="1" t="str">
        <x:v>https://api.octopus.energy/v1/products/AGILE-24-10-01/electricity-tariffs/E-1R-AGILE-24-10-01-G/standard-unit-rates/</x:v>
      </x:c>
    </x:row>
    <x:row r="253" ht="21" customHeight="1">
      <x:c r="A253" s="24" t="n">
        <x:v>46153.770833333336</x:v>
      </x:c>
      <x:c r="B253" s="6" t="n">
        <x:v>0.33549999999999996</x:v>
      </x:c>
      <x:c r="C253" s="6" t="n">
        <x:v>0.1837</x:v>
      </x:c>
      <x:c r="D253" s="6" t="n">
        <x:f>'Tariff and method'!$B$4</x:f>
        <x:v>0.2226</x:v>
      </x:c>
      <x:c r="E253" s="1" t="n">
        <x:v>1.05</x:v>
      </x:c>
      <x:c r="F253" s="1" t="str">
        <x:v>https://api.octopus.energy/v1/products/AGILE-24-10-01/electricity-tariffs/E-1R-AGILE-24-10-01-G/standard-unit-rates/</x:v>
      </x:c>
    </x:row>
    <x:row r="254" ht="21" customHeight="1">
      <x:c r="A254" s="24" t="n">
        <x:v>46153.791666666664</x:v>
      </x:c>
      <x:c r="B254" s="6" t="n">
        <x:v>0.2186</x:v>
      </x:c>
      <x:c r="C254" s="6" t="n">
        <x:v>0.12619999999999998</x:v>
      </x:c>
      <x:c r="D254" s="6" t="n">
        <x:f>'Tariff and method'!$B$4</x:f>
        <x:v>0.2226</x:v>
      </x:c>
      <x:c r="E254" s="1" t="n">
        <x:v>1.05</x:v>
      </x:c>
      <x:c r="F254" s="1" t="str">
        <x:v>https://api.octopus.energy/v1/products/AGILE-24-10-01/electricity-tariffs/E-1R-AGILE-24-10-01-G/standard-unit-rates/</x:v>
      </x:c>
    </x:row>
    <x:row r="255" ht="21" customHeight="1">
      <x:c r="A255" s="24" t="n">
        <x:v>46153.8125</x:v>
      </x:c>
      <x:c r="B255" s="6" t="n">
        <x:v>0.2207</x:v>
      </x:c>
      <x:c r="C255" s="6" t="n">
        <x:v>0.1272</x:v>
      </x:c>
      <x:c r="D255" s="6" t="n">
        <x:f>'Tariff and method'!$B$4</x:f>
        <x:v>0.2226</x:v>
      </x:c>
      <x:c r="E255" s="1" t="n">
        <x:v>1.05</x:v>
      </x:c>
      <x:c r="F255" s="1" t="str">
        <x:v>https://api.octopus.energy/v1/products/AGILE-24-10-01/electricity-tariffs/E-1R-AGILE-24-10-01-G/standard-unit-rates/</x:v>
      </x:c>
    </x:row>
    <x:row r="256" ht="21" customHeight="1">
      <x:c r="A256" s="24" t="n">
        <x:v>46153.833333333336</x:v>
      </x:c>
      <x:c r="B256" s="6" t="n">
        <x:v>0.2089</x:v>
      </x:c>
      <x:c r="C256" s="6" t="n">
        <x:v>0.1217</x:v>
      </x:c>
      <x:c r="D256" s="6" t="n">
        <x:f>'Tariff and method'!$B$4</x:f>
        <x:v>0.2226</x:v>
      </x:c>
      <x:c r="E256" s="1" t="n">
        <x:v>1.05</x:v>
      </x:c>
      <x:c r="F256" s="1" t="str">
        <x:v>https://api.octopus.energy/v1/products/AGILE-24-10-01/electricity-tariffs/E-1R-AGILE-24-10-01-G/standard-unit-rates/</x:v>
      </x:c>
    </x:row>
    <x:row r="257" ht="21" customHeight="1">
      <x:c r="A257" s="24" t="n">
        <x:v>46153.854166666664</x:v>
      </x:c>
      <x:c r="B257" s="6" t="n">
        <x:v>0.2102</x:v>
      </x:c>
      <x:c r="C257" s="6" t="n">
        <x:v>0.12240000000000001</x:v>
      </x:c>
      <x:c r="D257" s="6" t="n">
        <x:f>'Tariff and method'!$B$4</x:f>
        <x:v>0.2226</x:v>
      </x:c>
      <x:c r="E257" s="1" t="n">
        <x:v>1.05</x:v>
      </x:c>
      <x:c r="F257" s="1" t="str">
        <x:v>https://api.octopus.energy/v1/products/AGILE-24-10-01/electricity-tariffs/E-1R-AGILE-24-10-01-G/standard-unit-rates/</x:v>
      </x:c>
    </x:row>
    <x:row r="258" ht="21" customHeight="1">
      <x:c r="A258" s="24" t="n">
        <x:v>46153.875</x:v>
      </x:c>
      <x:c r="B258" s="6" t="n">
        <x:v>0.21230000000000002</x:v>
      </x:c>
      <x:c r="C258" s="6" t="n">
        <x:v>0.1233</x:v>
      </x:c>
      <x:c r="D258" s="6" t="n">
        <x:f>'Tariff and method'!$B$4</x:f>
        <x:v>0.2226</x:v>
      </x:c>
      <x:c r="E258" s="1" t="n">
        <x:v>1.05</x:v>
      </x:c>
      <x:c r="F258" s="1" t="str">
        <x:v>https://api.octopus.energy/v1/products/AGILE-24-10-01/electricity-tariffs/E-1R-AGILE-24-10-01-G/standard-unit-rates/</x:v>
      </x:c>
    </x:row>
    <x:row r="259" ht="21" customHeight="1">
      <x:c r="A259" s="24" t="n">
        <x:v>46153.895833333336</x:v>
      </x:c>
      <x:c r="B259" s="6" t="n">
        <x:v>0.20809999999999998</x:v>
      </x:c>
      <x:c r="C259" s="6" t="n">
        <x:v>0.12140000000000001</x:v>
      </x:c>
      <x:c r="D259" s="6" t="n">
        <x:f>'Tariff and method'!$B$4</x:f>
        <x:v>0.2226</x:v>
      </x:c>
      <x:c r="E259" s="1" t="n">
        <x:v>1.05</x:v>
      </x:c>
      <x:c r="F259" s="1" t="str">
        <x:v>https://api.octopus.energy/v1/products/AGILE-24-10-01/electricity-tariffs/E-1R-AGILE-24-10-01-G/standard-unit-rates/</x:v>
      </x:c>
    </x:row>
    <x:row r="260" ht="21" customHeight="1">
      <x:c r="A260" s="24" t="n">
        <x:v>46153.916666666664</x:v>
      </x:c>
      <x:c r="B260" s="6" t="n">
        <x:v>0.19210000000000002</x:v>
      </x:c>
      <x:c r="C260" s="6" t="n">
        <x:v>0.11410000000000001</x:v>
      </x:c>
      <x:c r="D260" s="6" t="n">
        <x:f>'Tariff and method'!$B$4</x:f>
        <x:v>0.2226</x:v>
      </x:c>
      <x:c r="E260" s="1" t="n">
        <x:v>1.05</x:v>
      </x:c>
      <x:c r="F260" s="1" t="str">
        <x:v>https://api.octopus.energy/v1/products/AGILE-24-10-01/electricity-tariffs/E-1R-AGILE-24-10-01-G/standard-unit-rates/</x:v>
      </x:c>
    </x:row>
    <x:row r="261" ht="21" customHeight="1">
      <x:c r="A261" s="24" t="n">
        <x:v>46153.9375</x:v>
      </x:c>
      <x:c r="B261" s="6" t="n">
        <x:v>0.16079999999999997</x:v>
      </x:c>
      <x:c r="C261" s="6" t="n">
        <x:v>0.0998</x:v>
      </x:c>
      <x:c r="D261" s="6" t="n">
        <x:f>'Tariff and method'!$B$4</x:f>
        <x:v>0.2226</x:v>
      </x:c>
      <x:c r="E261" s="1" t="n">
        <x:v>1.05</x:v>
      </x:c>
      <x:c r="F261" s="1" t="str">
        <x:v>https://api.octopus.energy/v1/products/AGILE-24-10-01/electricity-tariffs/E-1R-AGILE-24-10-01-G/standard-unit-rates/</x:v>
      </x:c>
    </x:row>
    <x:row r="262" ht="21" customHeight="1">
      <x:c r="A262" s="24" t="n">
        <x:v>46154</x:v>
      </x:c>
      <x:c r="B262" s="6" t="n">
        <x:v>0.185</x:v>
      </x:c>
      <x:c r="C262" s="6" t="n">
        <x:v>0.1108</x:v>
      </x:c>
      <x:c r="D262" s="6" t="n">
        <x:f>'Tariff and method'!$B$4</x:f>
        <x:v>0.2226</x:v>
      </x:c>
      <x:c r="E262" s="1" t="n">
        <x:v>1.05</x:v>
      </x:c>
      <x:c r="F262" s="1" t="str">
        <x:v>https://api.octopus.energy/v1/products/AGILE-24-10-01/electricity-tariffs/E-1R-AGILE-24-10-01-G/standard-unit-rates/</x:v>
      </x:c>
    </x:row>
    <x:row r="263" ht="21" customHeight="1">
      <x:c r="A263" s="24" t="n">
        <x:v>46153.979166666664</x:v>
      </x:c>
      <x:c r="B263" s="6" t="n">
        <x:v>0.1747</x:v>
      </x:c>
      <x:c r="C263" s="6" t="n">
        <x:v>0.1061</x:v>
      </x:c>
      <x:c r="D263" s="6" t="n">
        <x:f>'Tariff and method'!$B$4</x:f>
        <x:v>0.2226</x:v>
      </x:c>
      <x:c r="E263" s="1" t="n">
        <x:v>1.05</x:v>
      </x:c>
      <x:c r="F263" s="1" t="str">
        <x:v>https://api.octopus.energy/v1/products/AGILE-24-10-01/electricity-tariffs/E-1R-AGILE-24-10-01-G/standard-unit-rates/</x:v>
      </x:c>
    </x:row>
    <x:row r="264" ht="21" customHeight="1">
      <x:c r="A264" s="24" t="n">
        <x:v>46154</x:v>
      </x:c>
      <x:c r="B264" s="6" t="n">
        <x:v>0.17670000000000002</x:v>
      </x:c>
      <x:c r="C264" s="6" t="n">
        <x:v>0.10710000000000001</x:v>
      </x:c>
      <x:c r="D264" s="6" t="n">
        <x:f>'Tariff and method'!$B$4</x:f>
        <x:v>0.2226</x:v>
      </x:c>
      <x:c r="E264" s="1" t="n">
        <x:v>1.05</x:v>
      </x:c>
      <x:c r="F264" s="1" t="str">
        <x:v>https://api.octopus.energy/v1/products/AGILE-24-10-01/electricity-tariffs/E-1R-AGILE-24-10-01-G/standard-unit-rates/</x:v>
      </x:c>
    </x:row>
    <x:row r="265" ht="21" customHeight="1">
      <x:c r="A265" s="24" t="n">
        <x:v>46154.020833333336</x:v>
      </x:c>
      <x:c r="B265" s="6" t="n">
        <x:v>0.1753</x:v>
      </x:c>
      <x:c r="C265" s="6" t="n">
        <x:v>0.10640000000000001</x:v>
      </x:c>
      <x:c r="D265" s="6" t="n">
        <x:f>'Tariff and method'!$B$4</x:f>
        <x:v>0.2226</x:v>
      </x:c>
      <x:c r="E265" s="1" t="n">
        <x:v>1.05</x:v>
      </x:c>
      <x:c r="F265" s="1" t="str">
        <x:v>https://api.octopus.energy/v1/products/AGILE-24-10-01/electricity-tariffs/E-1R-AGILE-24-10-01-G/standard-unit-rates/</x:v>
      </x:c>
    </x:row>
    <x:row r="266" ht="21" customHeight="1">
      <x:c r="A266" s="24" t="n">
        <x:v>46154.041666666664</x:v>
      </x:c>
      <x:c r="B266" s="6" t="n">
        <x:v>0.172</x:v>
      </x:c>
      <x:c r="C266" s="6" t="n">
        <x:v>0.10490000000000001</x:v>
      </x:c>
      <x:c r="D266" s="6" t="n">
        <x:f>'Tariff and method'!$B$4</x:f>
        <x:v>0.2226</x:v>
      </x:c>
      <x:c r="E266" s="1" t="n">
        <x:v>1.05</x:v>
      </x:c>
      <x:c r="F266" s="1" t="str">
        <x:v>https://api.octopus.energy/v1/products/AGILE-24-10-01/electricity-tariffs/E-1R-AGILE-24-10-01-G/standard-unit-rates/</x:v>
      </x:c>
    </x:row>
    <x:row r="267" ht="21" customHeight="1">
      <x:c r="A267" s="24" t="n">
        <x:v>46154.0625</x:v>
      </x:c>
      <x:c r="B267" s="6" t="n">
        <x:v>0.17850000000000002</x:v>
      </x:c>
      <x:c r="C267" s="6" t="n">
        <x:v>0.1079</x:v>
      </x:c>
      <x:c r="D267" s="6" t="n">
        <x:f>'Tariff and method'!$B$4</x:f>
        <x:v>0.2226</x:v>
      </x:c>
      <x:c r="E267" s="1" t="n">
        <x:v>1.05</x:v>
      </x:c>
      <x:c r="F267" s="1" t="str">
        <x:v>https://api.octopus.energy/v1/products/AGILE-24-10-01/electricity-tariffs/E-1R-AGILE-24-10-01-G/standard-unit-rates/</x:v>
      </x:c>
    </x:row>
    <x:row r="268" ht="21" customHeight="1">
      <x:c r="A268" s="24" t="n">
        <x:v>46154.083333333336</x:v>
      </x:c>
      <x:c r="B268" s="6" t="n">
        <x:v>0.1808</x:v>
      </x:c>
      <x:c r="C268" s="6" t="n">
        <x:v>0.10890000000000001</x:v>
      </x:c>
      <x:c r="D268" s="6" t="n">
        <x:f>'Tariff and method'!$B$4</x:f>
        <x:v>0.2226</x:v>
      </x:c>
      <x:c r="E268" s="1" t="n">
        <x:v>1.05</x:v>
      </x:c>
      <x:c r="F268" s="1" t="str">
        <x:v>https://api.octopus.energy/v1/products/AGILE-24-10-01/electricity-tariffs/E-1R-AGILE-24-10-01-G/standard-unit-rates/</x:v>
      </x:c>
    </x:row>
    <x:row r="269" ht="21" customHeight="1">
      <x:c r="A269" s="24" t="n">
        <x:v>46154.104166666664</x:v>
      </x:c>
      <x:c r="B269" s="6" t="n">
        <x:v>0.17190000000000003</x:v>
      </x:c>
      <x:c r="C269" s="6" t="n">
        <x:v>0.1048</x:v>
      </x:c>
      <x:c r="D269" s="6" t="n">
        <x:f>'Tariff and method'!$B$4</x:f>
        <x:v>0.2226</x:v>
      </x:c>
      <x:c r="E269" s="1" t="n">
        <x:v>1.05</x:v>
      </x:c>
      <x:c r="F269" s="1" t="str">
        <x:v>https://api.octopus.energy/v1/products/AGILE-24-10-01/electricity-tariffs/E-1R-AGILE-24-10-01-G/standard-unit-rates/</x:v>
      </x:c>
    </x:row>
    <x:row r="270" ht="21" customHeight="1">
      <x:c r="A270" s="24" t="n">
        <x:v>46154.125</x:v>
      </x:c>
      <x:c r="B270" s="6" t="n">
        <x:v>0.1618</x:v>
      </x:c>
      <x:c r="C270" s="6" t="n">
        <x:v>0.1003</x:v>
      </x:c>
      <x:c r="D270" s="6" t="n">
        <x:f>'Tariff and method'!$B$4</x:f>
        <x:v>0.2226</x:v>
      </x:c>
      <x:c r="E270" s="1" t="n">
        <x:v>1.05</x:v>
      </x:c>
      <x:c r="F270" s="1" t="str">
        <x:v>https://api.octopus.energy/v1/products/AGILE-24-10-01/electricity-tariffs/E-1R-AGILE-24-10-01-G/standard-unit-rates/</x:v>
      </x:c>
    </x:row>
    <x:row r="271" ht="21" customHeight="1">
      <x:c r="A271" s="24" t="n">
        <x:v>46154.145833333336</x:v>
      </x:c>
      <x:c r="B271" s="6" t="n">
        <x:v>0.1558</x:v>
      </x:c>
      <x:c r="C271" s="6" t="n">
        <x:v>0.0975</x:v>
      </x:c>
      <x:c r="D271" s="6" t="n">
        <x:f>'Tariff and method'!$B$4</x:f>
        <x:v>0.2226</x:v>
      </x:c>
      <x:c r="E271" s="1" t="n">
        <x:v>1.05</x:v>
      </x:c>
      <x:c r="F271" s="1" t="str">
        <x:v>https://api.octopus.energy/v1/products/AGILE-24-10-01/electricity-tariffs/E-1R-AGILE-24-10-01-G/standard-unit-rates/</x:v>
      </x:c>
    </x:row>
    <x:row r="272" ht="21" customHeight="1">
      <x:c r="A272" s="24" t="n">
        <x:v>46154.166666666664</x:v>
      </x:c>
      <x:c r="B272" s="6" t="n">
        <x:v>0.1631</x:v>
      </x:c>
      <x:c r="C272" s="6" t="n">
        <x:v>0.1008</x:v>
      </x:c>
      <x:c r="D272" s="6" t="n">
        <x:f>'Tariff and method'!$B$4</x:f>
        <x:v>0.2226</x:v>
      </x:c>
      <x:c r="E272" s="1" t="n">
        <x:v>1.05</x:v>
      </x:c>
      <x:c r="F272" s="1" t="str">
        <x:v>https://api.octopus.energy/v1/products/AGILE-24-10-01/electricity-tariffs/E-1R-AGILE-24-10-01-G/standard-unit-rates/</x:v>
      </x:c>
    </x:row>
    <x:row r="273" ht="21" customHeight="1">
      <x:c r="A273" s="24" t="n">
        <x:v>46154.1875</x:v>
      </x:c>
      <x:c r="B273" s="6" t="n">
        <x:v>0.1531</x:v>
      </x:c>
      <x:c r="C273" s="6" t="n">
        <x:v>0.0962</x:v>
      </x:c>
      <x:c r="D273" s="6" t="n">
        <x:f>'Tariff and method'!$B$4</x:f>
        <x:v>0.2226</x:v>
      </x:c>
      <x:c r="E273" s="1" t="n">
        <x:v>1.05</x:v>
      </x:c>
      <x:c r="F273" s="1" t="str">
        <x:v>https://api.octopus.energy/v1/products/AGILE-24-10-01/electricity-tariffs/E-1R-AGILE-24-10-01-G/standard-unit-rates/</x:v>
      </x:c>
    </x:row>
    <x:row r="274" ht="21" customHeight="1">
      <x:c r="A274" s="24" t="n">
        <x:v>46154.208333333336</x:v>
      </x:c>
      <x:c r="B274" s="6" t="n">
        <x:v>0.16399999999999998</x:v>
      </x:c>
      <x:c r="C274" s="6" t="n">
        <x:v>0.1012</x:v>
      </x:c>
      <x:c r="D274" s="6" t="n">
        <x:f>'Tariff and method'!$B$4</x:f>
        <x:v>0.2226</x:v>
      </x:c>
      <x:c r="E274" s="1" t="n">
        <x:v>1.05</x:v>
      </x:c>
      <x:c r="F274" s="1" t="str">
        <x:v>https://api.octopus.energy/v1/products/AGILE-24-10-01/electricity-tariffs/E-1R-AGILE-24-10-01-G/standard-unit-rates/</x:v>
      </x:c>
    </x:row>
    <x:row r="275" ht="21" customHeight="1">
      <x:c r="A275" s="24" t="n">
        <x:v>46154.229166666664</x:v>
      </x:c>
      <x:c r="B275" s="6" t="n">
        <x:v>0.16820000000000002</x:v>
      </x:c>
      <x:c r="C275" s="6" t="n">
        <x:v>0.1032</x:v>
      </x:c>
      <x:c r="D275" s="6" t="n">
        <x:f>'Tariff and method'!$B$4</x:f>
        <x:v>0.2226</x:v>
      </x:c>
      <x:c r="E275" s="1" t="n">
        <x:v>1.05</x:v>
      </x:c>
      <x:c r="F275" s="1" t="str">
        <x:v>https://api.octopus.energy/v1/products/AGILE-24-10-01/electricity-tariffs/E-1R-AGILE-24-10-01-G/standard-unit-rates/</x:v>
      </x:c>
    </x:row>
    <x:row r="276" ht="21" customHeight="1">
      <x:c r="A276" s="24" t="n">
        <x:v>46154.25</x:v>
      </x:c>
      <x:c r="B276" s="6" t="n">
        <x:v>0.183</x:v>
      </x:c>
      <x:c r="C276" s="6" t="n">
        <x:v>0.1099</x:v>
      </x:c>
      <x:c r="D276" s="6" t="n">
        <x:f>'Tariff and method'!$B$4</x:f>
        <x:v>0.2226</x:v>
      </x:c>
      <x:c r="E276" s="1" t="n">
        <x:v>1.05</x:v>
      </x:c>
      <x:c r="F276" s="1" t="str">
        <x:v>https://api.octopus.energy/v1/products/AGILE-24-10-01/electricity-tariffs/E-1R-AGILE-24-10-01-G/standard-unit-rates/</x:v>
      </x:c>
    </x:row>
    <x:row r="277" ht="21" customHeight="1">
      <x:c r="A277" s="24" t="n">
        <x:v>46154.270833333336</x:v>
      </x:c>
      <x:c r="B277" s="6" t="n">
        <x:v>0.19510000000000002</x:v>
      </x:c>
      <x:c r="C277" s="6" t="n">
        <x:v>0.11539999999999999</x:v>
      </x:c>
      <x:c r="D277" s="6" t="n">
        <x:f>'Tariff and method'!$B$4</x:f>
        <x:v>0.2226</x:v>
      </x:c>
      <x:c r="E277" s="1" t="n">
        <x:v>1.05</x:v>
      </x:c>
      <x:c r="F277" s="1" t="str">
        <x:v>https://api.octopus.energy/v1/products/AGILE-24-10-01/electricity-tariffs/E-1R-AGILE-24-10-01-G/standard-unit-rates/</x:v>
      </x:c>
    </x:row>
    <x:row r="278" ht="21" customHeight="1">
      <x:c r="A278" s="24" t="n">
        <x:v>46154.291666666664</x:v>
      </x:c>
      <x:c r="B278" s="6" t="n">
        <x:v>0.19039999999999999</x:v>
      </x:c>
      <x:c r="C278" s="6" t="n">
        <x:v>0.1133</x:v>
      </x:c>
      <x:c r="D278" s="6" t="n">
        <x:f>'Tariff and method'!$B$4</x:f>
        <x:v>0.2226</x:v>
      </x:c>
      <x:c r="E278" s="1" t="n">
        <x:v>1.05</x:v>
      </x:c>
      <x:c r="F278" s="1" t="str">
        <x:v>https://api.octopus.energy/v1/products/AGILE-24-10-01/electricity-tariffs/E-1R-AGILE-24-10-01-G/standard-unit-rates/</x:v>
      </x:c>
    </x:row>
    <x:row r="279" ht="21" customHeight="1">
      <x:c r="A279" s="24" t="n">
        <x:v>46154.3125</x:v>
      </x:c>
      <x:c r="B279" s="6" t="n">
        <x:v>0.19760000000000003</x:v>
      </x:c>
      <x:c r="C279" s="6" t="n">
        <x:v>0.1166</x:v>
      </x:c>
      <x:c r="D279" s="6" t="n">
        <x:f>'Tariff and method'!$B$4</x:f>
        <x:v>0.2226</x:v>
      </x:c>
      <x:c r="E279" s="1" t="n">
        <x:v>1.05</x:v>
      </x:c>
      <x:c r="F279" s="1" t="str">
        <x:v>https://api.octopus.energy/v1/products/AGILE-24-10-01/electricity-tariffs/E-1R-AGILE-24-10-01-G/standard-unit-rates/</x:v>
      </x:c>
    </x:row>
    <x:row r="280" ht="21" customHeight="1">
      <x:c r="A280" s="24" t="n">
        <x:v>46154.333333333336</x:v>
      </x:c>
      <x:c r="B280" s="6" t="n">
        <x:v>0.16269999999999998</x:v>
      </x:c>
      <x:c r="C280" s="6" t="n">
        <x:v>0.10060000000000001</x:v>
      </x:c>
      <x:c r="D280" s="6" t="n">
        <x:f>'Tariff and method'!$B$4</x:f>
        <x:v>0.2226</x:v>
      </x:c>
      <x:c r="E280" s="1" t="n">
        <x:v>1.05</x:v>
      </x:c>
      <x:c r="F280" s="1" t="str">
        <x:v>https://api.octopus.energy/v1/products/AGILE-24-10-01/electricity-tariffs/E-1R-AGILE-24-10-01-G/standard-unit-rates/</x:v>
      </x:c>
    </x:row>
    <x:row r="281" ht="21" customHeight="1">
      <x:c r="A281" s="24" t="n">
        <x:v>46154.354166666664</x:v>
      </x:c>
      <x:c r="B281" s="6" t="n">
        <x:v>0.1485</x:v>
      </x:c>
      <x:c r="C281" s="6" t="n">
        <x:v>0.0941</x:v>
      </x:c>
      <x:c r="D281" s="6" t="n">
        <x:f>'Tariff and method'!$B$4</x:f>
        <x:v>0.2226</x:v>
      </x:c>
      <x:c r="E281" s="1" t="n">
        <x:v>1.05</x:v>
      </x:c>
      <x:c r="F281" s="1" t="str">
        <x:v>https://api.octopus.energy/v1/products/AGILE-24-10-01/electricity-tariffs/E-1R-AGILE-24-10-01-G/standard-unit-rates/</x:v>
      </x:c>
    </x:row>
    <x:row r="282" ht="21" customHeight="1">
      <x:c r="A282" s="24" t="n">
        <x:v>46154.375</x:v>
      </x:c>
      <x:c r="B282" s="6" t="n">
        <x:v>0.1346</x:v>
      </x:c>
      <x:c r="C282" s="6" t="n">
        <x:v>0.08779999999999999</x:v>
      </x:c>
      <x:c r="D282" s="6" t="n">
        <x:f>'Tariff and method'!$B$4</x:f>
        <x:v>0.2226</x:v>
      </x:c>
      <x:c r="E282" s="1" t="n">
        <x:v>1.05</x:v>
      </x:c>
      <x:c r="F282" s="1" t="str">
        <x:v>https://api.octopus.energy/v1/products/AGILE-24-10-01/electricity-tariffs/E-1R-AGILE-24-10-01-G/standard-unit-rates/</x:v>
      </x:c>
    </x:row>
    <x:row r="283" ht="21" customHeight="1">
      <x:c r="A283" s="24" t="n">
        <x:v>46154.395833333336</x:v>
      </x:c>
      <x:c r="B283" s="6" t="n">
        <x:v>0.1241</x:v>
      </x:c>
      <x:c r="C283" s="6" t="n">
        <x:v>0.083</x:v>
      </x:c>
      <x:c r="D283" s="6" t="n">
        <x:f>'Tariff and method'!$B$4</x:f>
        <x:v>0.2226</x:v>
      </x:c>
      <x:c r="E283" s="1" t="n">
        <x:v>1.05</x:v>
      </x:c>
      <x:c r="F283" s="1" t="str">
        <x:v>https://api.octopus.energy/v1/products/AGILE-24-10-01/electricity-tariffs/E-1R-AGILE-24-10-01-G/standard-unit-rates/</x:v>
      </x:c>
    </x:row>
    <x:row r="284" ht="21" customHeight="1">
      <x:c r="A284" s="24" t="n">
        <x:v>46154.416666666664</x:v>
      </x:c>
      <x:c r="B284" s="6" t="n">
        <x:v>0.14</x:v>
      </x:c>
      <x:c r="C284" s="6" t="n">
        <x:v>0.09029999999999999</x:v>
      </x:c>
      <x:c r="D284" s="6" t="n">
        <x:f>'Tariff and method'!$B$4</x:f>
        <x:v>0.2226</x:v>
      </x:c>
      <x:c r="E284" s="1" t="n">
        <x:v>1.05</x:v>
      </x:c>
      <x:c r="F284" s="1" t="str">
        <x:v>https://api.octopus.energy/v1/products/AGILE-24-10-01/electricity-tariffs/E-1R-AGILE-24-10-01-G/standard-unit-rates/</x:v>
      </x:c>
    </x:row>
    <x:row r="285" ht="21" customHeight="1">
      <x:c r="A285" s="24" t="n">
        <x:v>46154.4375</x:v>
      </x:c>
      <x:c r="B285" s="6" t="n">
        <x:v>0.1304</x:v>
      </x:c>
      <x:c r="C285" s="6" t="n">
        <x:v>0.0859</x:v>
      </x:c>
      <x:c r="D285" s="6" t="n">
        <x:f>'Tariff and method'!$B$4</x:f>
        <x:v>0.2226</x:v>
      </x:c>
      <x:c r="E285" s="1" t="n">
        <x:v>1.05</x:v>
      </x:c>
      <x:c r="F285" s="1" t="str">
        <x:v>https://api.octopus.energy/v1/products/AGILE-24-10-01/electricity-tariffs/E-1R-AGILE-24-10-01-G/standard-unit-rates/</x:v>
      </x:c>
    </x:row>
    <x:row r="286" ht="21" customHeight="1">
      <x:c r="A286" s="24" t="n">
        <x:v>46154.458333333336</x:v>
      </x:c>
      <x:c r="B286" s="6" t="n">
        <x:v>0.1304</x:v>
      </x:c>
      <x:c r="C286" s="6" t="n">
        <x:v>0.0859</x:v>
      </x:c>
      <x:c r="D286" s="6" t="n">
        <x:f>'Tariff and method'!$B$4</x:f>
        <x:v>0.2226</x:v>
      </x:c>
      <x:c r="E286" s="1" t="n">
        <x:v>1.05</x:v>
      </x:c>
      <x:c r="F286" s="1" t="str">
        <x:v>https://api.octopus.energy/v1/products/AGILE-24-10-01/electricity-tariffs/E-1R-AGILE-24-10-01-G/standard-unit-rates/</x:v>
      </x:c>
    </x:row>
    <x:row r="287" ht="21" customHeight="1">
      <x:c r="A287" s="24" t="n">
        <x:v>46154.479166666664</x:v>
      </x:c>
      <x:c r="B287" s="6" t="n">
        <x:v>0.12990000000000002</x:v>
      </x:c>
      <x:c r="C287" s="6" t="n">
        <x:v>0.08560000000000001</x:v>
      </x:c>
      <x:c r="D287" s="6" t="n">
        <x:f>'Tariff and method'!$B$4</x:f>
        <x:v>0.2226</x:v>
      </x:c>
      <x:c r="E287" s="1" t="n">
        <x:v>1.05</x:v>
      </x:c>
      <x:c r="F287" s="1" t="str">
        <x:v>https://api.octopus.energy/v1/products/AGILE-24-10-01/electricity-tariffs/E-1R-AGILE-24-10-01-G/standard-unit-rates/</x:v>
      </x:c>
    </x:row>
    <x:row r="288" ht="21" customHeight="1">
      <x:c r="A288" s="24" t="n">
        <x:v>46154.5</x:v>
      </x:c>
      <x:c r="B288" s="6" t="n">
        <x:v>0.1304</x:v>
      </x:c>
      <x:c r="C288" s="6" t="n">
        <x:v>0.0859</x:v>
      </x:c>
      <x:c r="D288" s="6" t="n">
        <x:f>'Tariff and method'!$B$4</x:f>
        <x:v>0.2226</x:v>
      </x:c>
      <x:c r="E288" s="1" t="n">
        <x:v>1.05</x:v>
      </x:c>
      <x:c r="F288" s="1" t="str">
        <x:v>https://api.octopus.energy/v1/products/AGILE-24-10-01/electricity-tariffs/E-1R-AGILE-24-10-01-G/standard-unit-rates/</x:v>
      </x:c>
    </x:row>
    <x:row r="289" ht="21" customHeight="1">
      <x:c r="A289" s="24" t="n">
        <x:v>46154.520833333336</x:v>
      </x:c>
      <x:c r="B289" s="6" t="n">
        <x:v>0.122</x:v>
      </x:c>
      <x:c r="C289" s="6" t="n">
        <x:v>0.08199999999999999</x:v>
      </x:c>
      <x:c r="D289" s="6" t="n">
        <x:f>'Tariff and method'!$B$4</x:f>
        <x:v>0.2226</x:v>
      </x:c>
      <x:c r="E289" s="1" t="n">
        <x:v>1.05</x:v>
      </x:c>
      <x:c r="F289" s="1" t="str">
        <x:v>https://api.octopus.energy/v1/products/AGILE-24-10-01/electricity-tariffs/E-1R-AGILE-24-10-01-G/standard-unit-rates/</x:v>
      </x:c>
    </x:row>
    <x:row r="290" ht="21" customHeight="1">
      <x:c r="A290" s="24" t="n">
        <x:v>46154.541666666664</x:v>
      </x:c>
      <x:c r="B290" s="6" t="n">
        <x:v>0.1142</x:v>
      </x:c>
      <x:c r="C290" s="6" t="n">
        <x:v>0.0785</x:v>
      </x:c>
      <x:c r="D290" s="6" t="n">
        <x:f>'Tariff and method'!$B$4</x:f>
        <x:v>0.2226</x:v>
      </x:c>
      <x:c r="E290" s="1" t="n">
        <x:v>1.05</x:v>
      </x:c>
      <x:c r="F290" s="1" t="str">
        <x:v>https://api.octopus.energy/v1/products/AGILE-24-10-01/electricity-tariffs/E-1R-AGILE-24-10-01-G/standard-unit-rates/</x:v>
      </x:c>
    </x:row>
    <x:row r="291" ht="21" customHeight="1">
      <x:c r="A291" s="24" t="n">
        <x:v>46154.5625</x:v>
      </x:c>
      <x:c r="B291" s="6" t="n">
        <x:v>0.10310000000000001</x:v>
      </x:c>
      <x:c r="C291" s="6" t="n">
        <x:v>0.07339999999999999</x:v>
      </x:c>
      <x:c r="D291" s="6" t="n">
        <x:f>'Tariff and method'!$B$4</x:f>
        <x:v>0.2226</x:v>
      </x:c>
      <x:c r="E291" s="1" t="n">
        <x:v>1.05</x:v>
      </x:c>
      <x:c r="F291" s="1" t="str">
        <x:v>https://api.octopus.energy/v1/products/AGILE-24-10-01/electricity-tariffs/E-1R-AGILE-24-10-01-G/standard-unit-rates/</x:v>
      </x:c>
    </x:row>
    <x:row r="292" ht="21" customHeight="1">
      <x:c r="A292" s="24" t="n">
        <x:v>46154.583333333336</x:v>
      </x:c>
      <x:c r="B292" s="6" t="n">
        <x:v>0.1188</x:v>
      </x:c>
      <x:c r="C292" s="6" t="n">
        <x:v>0.0806</x:v>
      </x:c>
      <x:c r="D292" s="6" t="n">
        <x:f>'Tariff and method'!$B$4</x:f>
        <x:v>0.2226</x:v>
      </x:c>
      <x:c r="E292" s="1" t="n">
        <x:v>1.05</x:v>
      </x:c>
      <x:c r="F292" s="1" t="str">
        <x:v>https://api.octopus.energy/v1/products/AGILE-24-10-01/electricity-tariffs/E-1R-AGILE-24-10-01-G/standard-unit-rates/</x:v>
      </x:c>
    </x:row>
    <x:row r="293" ht="21" customHeight="1">
      <x:c r="A293" s="24" t="n">
        <x:v>46154.604166666664</x:v>
      </x:c>
      <x:c r="B293" s="6" t="n">
        <x:v>0.11199999999999999</x:v>
      </x:c>
      <x:c r="C293" s="6" t="n">
        <x:v>0.0775</x:v>
      </x:c>
      <x:c r="D293" s="6" t="n">
        <x:f>'Tariff and method'!$B$4</x:f>
        <x:v>0.2226</x:v>
      </x:c>
      <x:c r="E293" s="1" t="n">
        <x:v>1.05</x:v>
      </x:c>
      <x:c r="F293" s="1" t="str">
        <x:v>https://api.octopus.energy/v1/products/AGILE-24-10-01/electricity-tariffs/E-1R-AGILE-24-10-01-G/standard-unit-rates/</x:v>
      </x:c>
    </x:row>
    <x:row r="294" ht="21" customHeight="1">
      <x:c r="A294" s="24" t="n">
        <x:v>46154.625</x:v>
      </x:c>
      <x:c r="B294" s="6" t="n">
        <x:v>0.11349999999999999</x:v>
      </x:c>
      <x:c r="C294" s="6" t="n">
        <x:v>0.0781</x:v>
      </x:c>
      <x:c r="D294" s="6" t="n">
        <x:f>'Tariff and method'!$B$4</x:f>
        <x:v>0.2226</x:v>
      </x:c>
      <x:c r="E294" s="1" t="n">
        <x:v>1.05</x:v>
      </x:c>
      <x:c r="F294" s="1" t="str">
        <x:v>https://api.octopus.energy/v1/products/AGILE-24-10-01/electricity-tariffs/E-1R-AGILE-24-10-01-G/standard-unit-rates/</x:v>
      </x:c>
    </x:row>
    <x:row r="295" ht="21" customHeight="1">
      <x:c r="A295" s="24" t="n">
        <x:v>46154.645833333336</x:v>
      </x:c>
      <x:c r="B295" s="6" t="n">
        <x:v>0.1084</x:v>
      </x:c>
      <x:c r="C295" s="6" t="n">
        <x:v>0.0758</x:v>
      </x:c>
      <x:c r="D295" s="6" t="n">
        <x:f>'Tariff and method'!$B$4</x:f>
        <x:v>0.2226</x:v>
      </x:c>
      <x:c r="E295" s="1" t="n">
        <x:v>1.05</x:v>
      </x:c>
      <x:c r="F295" s="1" t="str">
        <x:v>https://api.octopus.energy/v1/products/AGILE-24-10-01/electricity-tariffs/E-1R-AGILE-24-10-01-G/standard-unit-rates/</x:v>
      </x:c>
    </x:row>
    <x:row r="296" ht="21" customHeight="1">
      <x:c r="A296" s="24" t="n">
        <x:v>46154.666666666664</x:v>
      </x:c>
      <x:c r="B296" s="6" t="n">
        <x:v>0.23420000000000002</x:v>
      </x:c>
      <x:c r="C296" s="6" t="n">
        <x:v>0.1374</x:v>
      </x:c>
      <x:c r="D296" s="6" t="n">
        <x:f>'Tariff and method'!$B$4</x:f>
        <x:v>0.2226</x:v>
      </x:c>
      <x:c r="E296" s="1" t="n">
        <x:v>1.05</x:v>
      </x:c>
      <x:c r="F296" s="1" t="str">
        <x:v>https://api.octopus.energy/v1/products/AGILE-24-10-01/electricity-tariffs/E-1R-AGILE-24-10-01-G/standard-unit-rates/</x:v>
      </x:c>
    </x:row>
    <x:row r="297" ht="21" customHeight="1">
      <x:c r="A297" s="24" t="n">
        <x:v>46154.6875</x:v>
      </x:c>
      <x:c r="B297" s="6" t="n">
        <x:v>0.255</x:v>
      </x:c>
      <x:c r="C297" s="6" t="n">
        <x:v>0.1469</x:v>
      </x:c>
      <x:c r="D297" s="6" t="n">
        <x:f>'Tariff and method'!$B$4</x:f>
        <x:v>0.2226</x:v>
      </x:c>
      <x:c r="E297" s="1" t="n">
        <x:v>1.05</x:v>
      </x:c>
      <x:c r="F297" s="1" t="str">
        <x:v>https://api.octopus.energy/v1/products/AGILE-24-10-01/electricity-tariffs/E-1R-AGILE-24-10-01-G/standard-unit-rates/</x:v>
      </x:c>
    </x:row>
    <x:row r="298" ht="21" customHeight="1">
      <x:c r="A298" s="24" t="n">
        <x:v>46154.708333333336</x:v>
      </x:c>
      <x:c r="B298" s="6" t="n">
        <x:v>0.2789</x:v>
      </x:c>
      <x:c r="C298" s="6" t="n">
        <x:v>0.1578</x:v>
      </x:c>
      <x:c r="D298" s="6" t="n">
        <x:f>'Tariff and method'!$B$4</x:f>
        <x:v>0.2226</x:v>
      </x:c>
      <x:c r="E298" s="1" t="n">
        <x:v>1.05</x:v>
      </x:c>
      <x:c r="F298" s="1" t="str">
        <x:v>https://api.octopus.energy/v1/products/AGILE-24-10-01/electricity-tariffs/E-1R-AGILE-24-10-01-G/standard-unit-rates/</x:v>
      </x:c>
    </x:row>
    <x:row r="299" ht="21" customHeight="1">
      <x:c r="A299" s="24" t="n">
        <x:v>46154.729166666664</x:v>
      </x:c>
      <x:c r="B299" s="6" t="n">
        <x:v>0.29469999999999996</x:v>
      </x:c>
      <x:c r="C299" s="6" t="n">
        <x:v>0.165</x:v>
      </x:c>
      <x:c r="D299" s="6" t="n">
        <x:f>'Tariff and method'!$B$4</x:f>
        <x:v>0.2226</x:v>
      </x:c>
      <x:c r="E299" s="1" t="n">
        <x:v>1.05</x:v>
      </x:c>
      <x:c r="F299" s="1" t="str">
        <x:v>https://api.octopus.energy/v1/products/AGILE-24-10-01/electricity-tariffs/E-1R-AGILE-24-10-01-G/standard-unit-rates/</x:v>
      </x:c>
    </x:row>
    <x:row r="300" ht="21" customHeight="1">
      <x:c r="A300" s="24" t="n">
        <x:v>46154.75</x:v>
      </x:c>
      <x:c r="B300" s="6" t="n">
        <x:v>0.30820000000000003</x:v>
      </x:c>
      <x:c r="C300" s="6" t="n">
        <x:v>0.17120000000000002</x:v>
      </x:c>
      <x:c r="D300" s="6" t="n">
        <x:f>'Tariff and method'!$B$4</x:f>
        <x:v>0.2226</x:v>
      </x:c>
      <x:c r="E300" s="1" t="n">
        <x:v>1.05</x:v>
      </x:c>
      <x:c r="F300" s="1" t="str">
        <x:v>https://api.octopus.energy/v1/products/AGILE-24-10-01/electricity-tariffs/E-1R-AGILE-24-10-01-G/standard-unit-rates/</x:v>
      </x:c>
    </x:row>
    <x:row r="301" ht="21" customHeight="1">
      <x:c r="A301" s="24" t="n">
        <x:v>46154.770833333336</x:v>
      </x:c>
      <x:c r="B301" s="6" t="n">
        <x:v>0.32439999999999997</x:v>
      </x:c>
      <x:c r="C301" s="6" t="n">
        <x:v>0.17859999999999998</x:v>
      </x:c>
      <x:c r="D301" s="6" t="n">
        <x:f>'Tariff and method'!$B$4</x:f>
        <x:v>0.2226</x:v>
      </x:c>
      <x:c r="E301" s="1" t="n">
        <x:v>1.05</x:v>
      </x:c>
      <x:c r="F301" s="1" t="str">
        <x:v>https://api.octopus.energy/v1/products/AGILE-24-10-01/electricity-tariffs/E-1R-AGILE-24-10-01-G/standard-unit-rates/</x:v>
      </x:c>
    </x:row>
    <x:row r="302" ht="21" customHeight="1">
      <x:c r="A302" s="24" t="n">
        <x:v>46154.791666666664</x:v>
      </x:c>
      <x:c r="B302" s="6" t="n">
        <x:v>0.2152</x:v>
      </x:c>
      <x:c r="C302" s="6" t="n">
        <x:v>0.1246</x:v>
      </x:c>
      <x:c r="D302" s="6" t="n">
        <x:f>'Tariff and method'!$B$4</x:f>
        <x:v>0.2226</x:v>
      </x:c>
      <x:c r="E302" s="1" t="n">
        <x:v>1.05</x:v>
      </x:c>
      <x:c r="F302" s="1" t="str">
        <x:v>https://api.octopus.energy/v1/products/AGILE-24-10-01/electricity-tariffs/E-1R-AGILE-24-10-01-G/standard-unit-rates/</x:v>
      </x:c>
    </x:row>
    <x:row r="303" ht="21" customHeight="1">
      <x:c r="A303" s="24" t="n">
        <x:v>46154.8125</x:v>
      </x:c>
      <x:c r="B303" s="6" t="n">
        <x:v>0.22190000000000001</x:v>
      </x:c>
      <x:c r="C303" s="6" t="n">
        <x:v>0.1277</x:v>
      </x:c>
      <x:c r="D303" s="6" t="n">
        <x:f>'Tariff and method'!$B$4</x:f>
        <x:v>0.2226</x:v>
      </x:c>
      <x:c r="E303" s="1" t="n">
        <x:v>1.05</x:v>
      </x:c>
      <x:c r="F303" s="1" t="str">
        <x:v>https://api.octopus.energy/v1/products/AGILE-24-10-01/electricity-tariffs/E-1R-AGILE-24-10-01-G/standard-unit-rates/</x:v>
      </x:c>
    </x:row>
    <x:row r="304" ht="21" customHeight="1">
      <x:c r="A304" s="24" t="n">
        <x:v>46154.833333333336</x:v>
      </x:c>
      <x:c r="B304" s="6" t="n">
        <x:v>0.21760000000000002</x:v>
      </x:c>
      <x:c r="C304" s="6" t="n">
        <x:v>0.1257</x:v>
      </x:c>
      <x:c r="D304" s="6" t="n">
        <x:f>'Tariff and method'!$B$4</x:f>
        <x:v>0.2226</x:v>
      </x:c>
      <x:c r="E304" s="1" t="n">
        <x:v>1.05</x:v>
      </x:c>
      <x:c r="F304" s="1" t="str">
        <x:v>https://api.octopus.energy/v1/products/AGILE-24-10-01/electricity-tariffs/E-1R-AGILE-24-10-01-G/standard-unit-rates/</x:v>
      </x:c>
    </x:row>
    <x:row r="305" ht="21" customHeight="1">
      <x:c r="A305" s="24" t="n">
        <x:v>46154.854166666664</x:v>
      </x:c>
      <x:c r="B305" s="6" t="n">
        <x:v>0.222</x:v>
      </x:c>
      <x:c r="C305" s="6" t="n">
        <x:v>0.1277</x:v>
      </x:c>
      <x:c r="D305" s="6" t="n">
        <x:f>'Tariff and method'!$B$4</x:f>
        <x:v>0.2226</x:v>
      </x:c>
      <x:c r="E305" s="1" t="n">
        <x:v>1.05</x:v>
      </x:c>
      <x:c r="F305" s="1" t="str">
        <x:v>https://api.octopus.energy/v1/products/AGILE-24-10-01/electricity-tariffs/E-1R-AGILE-24-10-01-G/standard-unit-rates/</x:v>
      </x:c>
    </x:row>
    <x:row r="306" ht="21" customHeight="1">
      <x:c r="A306" s="24" t="n">
        <x:v>46154.875</x:v>
      </x:c>
      <x:c r="B306" s="6" t="n">
        <x:v>0.2122</x:v>
      </x:c>
      <x:c r="C306" s="6" t="n">
        <x:v>0.1233</x:v>
      </x:c>
      <x:c r="D306" s="6" t="n">
        <x:f>'Tariff and method'!$B$4</x:f>
        <x:v>0.2226</x:v>
      </x:c>
      <x:c r="E306" s="1" t="n">
        <x:v>1.05</x:v>
      </x:c>
      <x:c r="F306" s="1" t="str">
        <x:v>https://api.octopus.energy/v1/products/AGILE-24-10-01/electricity-tariffs/E-1R-AGILE-24-10-01-G/standard-unit-rates/</x:v>
      </x:c>
    </x:row>
    <x:row r="307" ht="21" customHeight="1">
      <x:c r="A307" s="24" t="n">
        <x:v>46154.895833333336</x:v>
      </x:c>
      <x:c r="B307" s="6" t="n">
        <x:v>0.20010000000000003</x:v>
      </x:c>
      <x:c r="C307" s="6" t="n">
        <x:v>0.11779999999999999</x:v>
      </x:c>
      <x:c r="D307" s="6" t="n">
        <x:f>'Tariff and method'!$B$4</x:f>
        <x:v>0.2226</x:v>
      </x:c>
      <x:c r="E307" s="1" t="n">
        <x:v>1.05</x:v>
      </x:c>
      <x:c r="F307" s="1" t="str">
        <x:v>https://api.octopus.energy/v1/products/AGILE-24-10-01/electricity-tariffs/E-1R-AGILE-24-10-01-G/standard-unit-rates/</x:v>
      </x:c>
    </x:row>
    <x:row r="308" ht="21" customHeight="1">
      <x:c r="A308" s="24" t="n">
        <x:v>46154.916666666664</x:v>
      </x:c>
      <x:c r="B308" s="6" t="n">
        <x:v>0.18289999999999998</x:v>
      </x:c>
      <x:c r="C308" s="6" t="n">
        <x:v>0.1099</x:v>
      </x:c>
      <x:c r="D308" s="6" t="n">
        <x:f>'Tariff and method'!$B$4</x:f>
        <x:v>0.2226</x:v>
      </x:c>
      <x:c r="E308" s="1" t="n">
        <x:v>1.05</x:v>
      </x:c>
      <x:c r="F308" s="1" t="str">
        <x:v>https://api.octopus.energy/v1/products/AGILE-24-10-01/electricity-tariffs/E-1R-AGILE-24-10-01-G/standard-unit-rates/</x:v>
      </x:c>
    </x:row>
    <x:row r="309" ht="21" customHeight="1">
      <x:c r="A309" s="24" t="n">
        <x:v>46154.9375</x:v>
      </x:c>
      <x:c r="B309" s="6" t="n">
        <x:v>0.1629</x:v>
      </x:c>
      <x:c r="C309" s="6" t="n">
        <x:v>0.1007</x:v>
      </x:c>
      <x:c r="D309" s="6" t="n">
        <x:f>'Tariff and method'!$B$4</x:f>
        <x:v>0.2226</x:v>
      </x:c>
      <x:c r="E309" s="1" t="n">
        <x:v>1.05</x:v>
      </x:c>
      <x:c r="F309" s="1" t="str">
        <x:v>https://api.octopus.energy/v1/products/AGILE-24-10-01/electricity-tariffs/E-1R-AGILE-24-10-01-G/standard-unit-rates/</x:v>
      </x:c>
    </x:row>
    <x:row r="310" ht="21" customHeight="1">
      <x:c r="A310" s="24" t="n">
        <x:v>46155</x:v>
      </x:c>
      <x:c r="B310" s="6" t="n">
        <x:v>0.1703</x:v>
      </x:c>
      <x:c r="C310" s="6" t="n">
        <x:v>0.1041</x:v>
      </x:c>
      <x:c r="D310" s="6" t="n">
        <x:f>'Tariff and method'!$B$4</x:f>
        <x:v>0.2226</x:v>
      </x:c>
      <x:c r="E310" s="1" t="n">
        <x:v>1.05</x:v>
      </x:c>
      <x:c r="F310" s="1" t="str">
        <x:v>https://api.octopus.energy/v1/products/AGILE-24-10-01/electricity-tariffs/E-1R-AGILE-24-10-01-G/standard-unit-rates/</x:v>
      </x:c>
    </x:row>
    <x:row r="311" ht="21" customHeight="1">
      <x:c r="A311" s="24" t="n">
        <x:v>46154.979166666664</x:v>
      </x:c>
      <x:c r="B311" s="6" t="n">
        <x:v>0.1543</x:v>
      </x:c>
      <x:c r="C311" s="6" t="n">
        <x:v>0.0968</x:v>
      </x:c>
      <x:c r="D311" s="6" t="n">
        <x:f>'Tariff and method'!$B$4</x:f>
        <x:v>0.2226</x:v>
      </x:c>
      <x:c r="E311" s="1" t="n">
        <x:v>1.05</x:v>
      </x:c>
      <x:c r="F311" s="1" t="str">
        <x:v>https://api.octopus.energy/v1/products/AGILE-24-10-01/electricity-tariffs/E-1R-AGILE-24-10-01-G/standard-unit-rates/</x:v>
      </x:c>
    </x:row>
    <x:row r="312" ht="21" customHeight="1">
      <x:c r="A312" s="24" t="n">
        <x:v>46155</x:v>
      </x:c>
      <x:c r="B312" s="6" t="n">
        <x:v>0.1438</x:v>
      </x:c>
      <x:c r="C312" s="6" t="n">
        <x:v>0.092</x:v>
      </x:c>
      <x:c r="D312" s="6" t="n">
        <x:f>'Tariff and method'!$B$4</x:f>
        <x:v>0.2226</x:v>
      </x:c>
      <x:c r="E312" s="1" t="n">
        <x:v>1.05</x:v>
      </x:c>
      <x:c r="F312" s="1" t="str">
        <x:v>https://api.octopus.energy/v1/products/AGILE-24-10-01/electricity-tariffs/E-1R-AGILE-24-10-01-G/standard-unit-rates/</x:v>
      </x:c>
    </x:row>
    <x:row r="313" ht="21" customHeight="1">
      <x:c r="A313" s="24" t="n">
        <x:v>46155.020833333336</x:v>
      </x:c>
      <x:c r="B313" s="6" t="n">
        <x:v>0.14550000000000002</x:v>
      </x:c>
      <x:c r="C313" s="6" t="n">
        <x:v>0.0928</x:v>
      </x:c>
      <x:c r="D313" s="6" t="n">
        <x:f>'Tariff and method'!$B$4</x:f>
        <x:v>0.2226</x:v>
      </x:c>
      <x:c r="E313" s="1" t="n">
        <x:v>1.05</x:v>
      </x:c>
      <x:c r="F313" s="1" t="str">
        <x:v>https://api.octopus.energy/v1/products/AGILE-24-10-01/electricity-tariffs/E-1R-AGILE-24-10-01-G/standard-unit-rates/</x:v>
      </x:c>
    </x:row>
    <x:row r="314" ht="21" customHeight="1">
      <x:c r="A314" s="24" t="n">
        <x:v>46155.041666666664</x:v>
      </x:c>
      <x:c r="B314" s="6" t="n">
        <x:v>0.1454</x:v>
      </x:c>
      <x:c r="C314" s="6" t="n">
        <x:v>0.09269999999999999</x:v>
      </x:c>
      <x:c r="D314" s="6" t="n">
        <x:f>'Tariff and method'!$B$4</x:f>
        <x:v>0.2226</x:v>
      </x:c>
      <x:c r="E314" s="1" t="n">
        <x:v>1.05</x:v>
      </x:c>
      <x:c r="F314" s="1" t="str">
        <x:v>https://api.octopus.energy/v1/products/AGILE-24-10-01/electricity-tariffs/E-1R-AGILE-24-10-01-G/standard-unit-rates/</x:v>
      </x:c>
    </x:row>
    <x:row r="315" ht="21" customHeight="1">
      <x:c r="A315" s="24" t="n">
        <x:v>46155.0625</x:v>
      </x:c>
      <x:c r="B315" s="6" t="n">
        <x:v>0.1467</x:v>
      </x:c>
      <x:c r="C315" s="6" t="n">
        <x:v>0.0933</x:v>
      </x:c>
      <x:c r="D315" s="6" t="n">
        <x:f>'Tariff and method'!$B$4</x:f>
        <x:v>0.2226</x:v>
      </x:c>
      <x:c r="E315" s="1" t="n">
        <x:v>1.05</x:v>
      </x:c>
      <x:c r="F315" s="1" t="str">
        <x:v>https://api.octopus.energy/v1/products/AGILE-24-10-01/electricity-tariffs/E-1R-AGILE-24-10-01-G/standard-unit-rates/</x:v>
      </x:c>
    </x:row>
    <x:row r="316" ht="21" customHeight="1">
      <x:c r="A316" s="24" t="n">
        <x:v>46155.083333333336</x:v>
      </x:c>
      <x:c r="B316" s="6" t="n">
        <x:v>0.1586</x:v>
      </x:c>
      <x:c r="C316" s="6" t="n">
        <x:v>0.09880000000000001</x:v>
      </x:c>
      <x:c r="D316" s="6" t="n">
        <x:f>'Tariff and method'!$B$4</x:f>
        <x:v>0.2226</x:v>
      </x:c>
      <x:c r="E316" s="1" t="n">
        <x:v>1.05</x:v>
      </x:c>
      <x:c r="F316" s="1" t="str">
        <x:v>https://api.octopus.energy/v1/products/AGILE-24-10-01/electricity-tariffs/E-1R-AGILE-24-10-01-G/standard-unit-rates/</x:v>
      </x:c>
    </x:row>
    <x:row r="317" ht="21" customHeight="1">
      <x:c r="A317" s="24" t="n">
        <x:v>46155.104166666664</x:v>
      </x:c>
      <x:c r="B317" s="6" t="n">
        <x:v>0.1522</x:v>
      </x:c>
      <x:c r="C317" s="6" t="n">
        <x:v>0.0959</x:v>
      </x:c>
      <x:c r="D317" s="6" t="n">
        <x:f>'Tariff and method'!$B$4</x:f>
        <x:v>0.2226</x:v>
      </x:c>
      <x:c r="E317" s="1" t="n">
        <x:v>1.05</x:v>
      </x:c>
      <x:c r="F317" s="1" t="str">
        <x:v>https://api.octopus.energy/v1/products/AGILE-24-10-01/electricity-tariffs/E-1R-AGILE-24-10-01-G/standard-unit-rates/</x:v>
      </x:c>
    </x:row>
    <x:row r="318" ht="21" customHeight="1">
      <x:c r="A318" s="24" t="n">
        <x:v>46155.125</x:v>
      </x:c>
      <x:c r="B318" s="6" t="n">
        <x:v>0.1472</x:v>
      </x:c>
      <x:c r="C318" s="6" t="n">
        <x:v>0.09359999999999999</x:v>
      </x:c>
      <x:c r="D318" s="6" t="n">
        <x:f>'Tariff and method'!$B$4</x:f>
        <x:v>0.2226</x:v>
      </x:c>
      <x:c r="E318" s="1" t="n">
        <x:v>1.05</x:v>
      </x:c>
      <x:c r="F318" s="1" t="str">
        <x:v>https://api.octopus.energy/v1/products/AGILE-24-10-01/electricity-tariffs/E-1R-AGILE-24-10-01-G/standard-unit-rates/</x:v>
      </x:c>
    </x:row>
    <x:row r="319" ht="21" customHeight="1">
      <x:c r="A319" s="24" t="n">
        <x:v>46155.145833333336</x:v>
      </x:c>
      <x:c r="B319" s="6" t="n">
        <x:v>0.1402</x:v>
      </x:c>
      <x:c r="C319" s="6" t="n">
        <x:v>0.0904</x:v>
      </x:c>
      <x:c r="D319" s="6" t="n">
        <x:f>'Tariff and method'!$B$4</x:f>
        <x:v>0.2226</x:v>
      </x:c>
      <x:c r="E319" s="1" t="n">
        <x:v>1.05</x:v>
      </x:c>
      <x:c r="F319" s="1" t="str">
        <x:v>https://api.octopus.energy/v1/products/AGILE-24-10-01/electricity-tariffs/E-1R-AGILE-24-10-01-G/standard-unit-rates/</x:v>
      </x:c>
    </x:row>
    <x:row r="320" ht="21" customHeight="1">
      <x:c r="A320" s="24" t="n">
        <x:v>46155.166666666664</x:v>
      </x:c>
      <x:c r="B320" s="6" t="n">
        <x:v>0.1564</x:v>
      </x:c>
      <x:c r="C320" s="6" t="n">
        <x:v>0.0977</x:v>
      </x:c>
      <x:c r="D320" s="6" t="n">
        <x:f>'Tariff and method'!$B$4</x:f>
        <x:v>0.2226</x:v>
      </x:c>
      <x:c r="E320" s="1" t="n">
        <x:v>1.05</x:v>
      </x:c>
      <x:c r="F320" s="1" t="str">
        <x:v>https://api.octopus.energy/v1/products/AGILE-24-10-01/electricity-tariffs/E-1R-AGILE-24-10-01-G/standard-unit-rates/</x:v>
      </x:c>
    </x:row>
    <x:row r="321" ht="21" customHeight="1">
      <x:c r="A321" s="24" t="n">
        <x:v>46155.1875</x:v>
      </x:c>
      <x:c r="B321" s="6" t="n">
        <x:v>0.1417</x:v>
      </x:c>
      <x:c r="C321" s="6" t="n">
        <x:v>0.0911</x:v>
      </x:c>
      <x:c r="D321" s="6" t="n">
        <x:f>'Tariff and method'!$B$4</x:f>
        <x:v>0.2226</x:v>
      </x:c>
      <x:c r="E321" s="1" t="n">
        <x:v>1.05</x:v>
      </x:c>
      <x:c r="F321" s="1" t="str">
        <x:v>https://api.octopus.energy/v1/products/AGILE-24-10-01/electricity-tariffs/E-1R-AGILE-24-10-01-G/standard-unit-rates/</x:v>
      </x:c>
    </x:row>
    <x:row r="322" ht="21" customHeight="1">
      <x:c r="A322" s="24" t="n">
        <x:v>46155.208333333336</x:v>
      </x:c>
      <x:c r="B322" s="6" t="n">
        <x:v>0.18289999999999998</x:v>
      </x:c>
      <x:c r="C322" s="6" t="n">
        <x:v>0.1099</x:v>
      </x:c>
      <x:c r="D322" s="6" t="n">
        <x:f>'Tariff and method'!$B$4</x:f>
        <x:v>0.2226</x:v>
      </x:c>
      <x:c r="E322" s="1" t="n">
        <x:v>1.05</x:v>
      </x:c>
      <x:c r="F322" s="1" t="str">
        <x:v>https://api.octopus.energy/v1/products/AGILE-24-10-01/electricity-tariffs/E-1R-AGILE-24-10-01-G/standard-unit-rates/</x:v>
      </x:c>
    </x:row>
    <x:row r="323" ht="21" customHeight="1">
      <x:c r="A323" s="24" t="n">
        <x:v>46155.229166666664</x:v>
      </x:c>
      <x:c r="B323" s="6" t="n">
        <x:v>0.185</x:v>
      </x:c>
      <x:c r="C323" s="6" t="n">
        <x:v>0.1108</x:v>
      </x:c>
      <x:c r="D323" s="6" t="n">
        <x:f>'Tariff and method'!$B$4</x:f>
        <x:v>0.2226</x:v>
      </x:c>
      <x:c r="E323" s="1" t="n">
        <x:v>1.05</x:v>
      </x:c>
      <x:c r="F323" s="1" t="str">
        <x:v>https://api.octopus.energy/v1/products/AGILE-24-10-01/electricity-tariffs/E-1R-AGILE-24-10-01-G/standard-unit-rates/</x:v>
      </x:c>
    </x:row>
    <x:row r="324" ht="21" customHeight="1">
      <x:c r="A324" s="24" t="n">
        <x:v>46155.25</x:v>
      </x:c>
      <x:c r="B324" s="6" t="n">
        <x:v>0.2018</x:v>
      </x:c>
      <x:c r="C324" s="6" t="n">
        <x:v>0.1185</x:v>
      </x:c>
      <x:c r="D324" s="6" t="n">
        <x:f>'Tariff and method'!$B$4</x:f>
        <x:v>0.2226</x:v>
      </x:c>
      <x:c r="E324" s="1" t="n">
        <x:v>1.05</x:v>
      </x:c>
      <x:c r="F324" s="1" t="str">
        <x:v>https://api.octopus.energy/v1/products/AGILE-24-10-01/electricity-tariffs/E-1R-AGILE-24-10-01-G/standard-unit-rates/</x:v>
      </x:c>
    </x:row>
    <x:row r="325" ht="21" customHeight="1">
      <x:c r="A325" s="24" t="n">
        <x:v>46155.270833333336</x:v>
      </x:c>
      <x:c r="B325" s="6" t="n">
        <x:v>0.22010000000000002</x:v>
      </x:c>
      <x:c r="C325" s="6" t="n">
        <x:v>0.12689999999999999</x:v>
      </x:c>
      <x:c r="D325" s="6" t="n">
        <x:f>'Tariff and method'!$B$4</x:f>
        <x:v>0.2226</x:v>
      </x:c>
      <x:c r="E325" s="1" t="n">
        <x:v>1.05</x:v>
      </x:c>
      <x:c r="F325" s="1" t="str">
        <x:v>https://api.octopus.energy/v1/products/AGILE-24-10-01/electricity-tariffs/E-1R-AGILE-24-10-01-G/standard-unit-rates/</x:v>
      </x:c>
    </x:row>
    <x:row r="326" ht="21" customHeight="1">
      <x:c r="A326" s="24" t="n">
        <x:v>46155.291666666664</x:v>
      </x:c>
      <x:c r="B326" s="6" t="n">
        <x:v>0.19079999999999997</x:v>
      </x:c>
      <x:c r="C326" s="6" t="n">
        <x:v>0.11349999999999999</x:v>
      </x:c>
      <x:c r="D326" s="6" t="n">
        <x:f>'Tariff and method'!$B$4</x:f>
        <x:v>0.2226</x:v>
      </x:c>
      <x:c r="E326" s="1" t="n">
        <x:v>1.05</x:v>
      </x:c>
      <x:c r="F326" s="1" t="str">
        <x:v>https://api.octopus.energy/v1/products/AGILE-24-10-01/electricity-tariffs/E-1R-AGILE-24-10-01-G/standard-unit-rates/</x:v>
      </x:c>
    </x:row>
    <x:row r="327" ht="21" customHeight="1">
      <x:c r="A327" s="24" t="n">
        <x:v>46155.3125</x:v>
      </x:c>
      <x:c r="B327" s="6" t="n">
        <x:v>0.2026</x:v>
      </x:c>
      <x:c r="C327" s="6" t="n">
        <x:v>0.1189</x:v>
      </x:c>
      <x:c r="D327" s="6" t="n">
        <x:f>'Tariff and method'!$B$4</x:f>
        <x:v>0.2226</x:v>
      </x:c>
      <x:c r="E327" s="1" t="n">
        <x:v>1.05</x:v>
      </x:c>
      <x:c r="F327" s="1" t="str">
        <x:v>https://api.octopus.energy/v1/products/AGILE-24-10-01/electricity-tariffs/E-1R-AGILE-24-10-01-G/standard-unit-rates/</x:v>
      </x:c>
    </x:row>
    <x:row r="328" ht="21" customHeight="1">
      <x:c r="A328" s="24" t="n">
        <x:v>46155.333333333336</x:v>
      </x:c>
      <x:c r="B328" s="6" t="n">
        <x:v>0.1845</x:v>
      </x:c>
      <x:c r="C328" s="6" t="n">
        <x:v>0.1106</x:v>
      </x:c>
      <x:c r="D328" s="6" t="n">
        <x:f>'Tariff and method'!$B$4</x:f>
        <x:v>0.2226</x:v>
      </x:c>
      <x:c r="E328" s="1" t="n">
        <x:v>1.05</x:v>
      </x:c>
      <x:c r="F328" s="1" t="str">
        <x:v>https://api.octopus.energy/v1/products/AGILE-24-10-01/electricity-tariffs/E-1R-AGILE-24-10-01-G/standard-unit-rates/</x:v>
      </x:c>
    </x:row>
    <x:row r="329" ht="21" customHeight="1">
      <x:c r="A329" s="24" t="n">
        <x:v>46155.354166666664</x:v>
      </x:c>
      <x:c r="B329" s="6" t="n">
        <x:v>0.171</x:v>
      </x:c>
      <x:c r="C329" s="6" t="n">
        <x:v>0.10439999999999999</x:v>
      </x:c>
      <x:c r="D329" s="6" t="n">
        <x:f>'Tariff and method'!$B$4</x:f>
        <x:v>0.2226</x:v>
      </x:c>
      <x:c r="E329" s="1" t="n">
        <x:v>1.05</x:v>
      </x:c>
      <x:c r="F329" s="1" t="str">
        <x:v>https://api.octopus.energy/v1/products/AGILE-24-10-01/electricity-tariffs/E-1R-AGILE-24-10-01-G/standard-unit-rates/</x:v>
      </x:c>
    </x:row>
    <x:row r="330" ht="21" customHeight="1">
      <x:c r="A330" s="24" t="n">
        <x:v>46155.375</x:v>
      </x:c>
      <x:c r="B330" s="6" t="n">
        <x:v>0.1766</x:v>
      </x:c>
      <x:c r="C330" s="6" t="n">
        <x:v>0.107</x:v>
      </x:c>
      <x:c r="D330" s="6" t="n">
        <x:f>'Tariff and method'!$B$4</x:f>
        <x:v>0.2226</x:v>
      </x:c>
      <x:c r="E330" s="1" t="n">
        <x:v>1.05</x:v>
      </x:c>
      <x:c r="F330" s="1" t="str">
        <x:v>https://api.octopus.energy/v1/products/AGILE-24-10-01/electricity-tariffs/E-1R-AGILE-24-10-01-G/standard-unit-rates/</x:v>
      </x:c>
    </x:row>
    <x:row r="331" ht="21" customHeight="1">
      <x:c r="A331" s="24" t="n">
        <x:v>46155.395833333336</x:v>
      </x:c>
      <x:c r="B331" s="6" t="n">
        <x:v>0.16820000000000002</x:v>
      </x:c>
      <x:c r="C331" s="6" t="n">
        <x:v>0.1032</x:v>
      </x:c>
      <x:c r="D331" s="6" t="n">
        <x:f>'Tariff and method'!$B$4</x:f>
        <x:v>0.2226</x:v>
      </x:c>
      <x:c r="E331" s="1" t="n">
        <x:v>1.05</x:v>
      </x:c>
      <x:c r="F331" s="1" t="str">
        <x:v>https://api.octopus.energy/v1/products/AGILE-24-10-01/electricity-tariffs/E-1R-AGILE-24-10-01-G/standard-unit-rates/</x:v>
      </x:c>
    </x:row>
    <x:row r="332" ht="21" customHeight="1">
      <x:c r="A332" s="24" t="n">
        <x:v>46155.416666666664</x:v>
      </x:c>
      <x:c r="B332" s="6" t="n">
        <x:v>0.1629</x:v>
      </x:c>
      <x:c r="C332" s="6" t="n">
        <x:v>0.1007</x:v>
      </x:c>
      <x:c r="D332" s="6" t="n">
        <x:f>'Tariff and method'!$B$4</x:f>
        <x:v>0.2226</x:v>
      </x:c>
      <x:c r="E332" s="1" t="n">
        <x:v>1.05</x:v>
      </x:c>
      <x:c r="F332" s="1" t="str">
        <x:v>https://api.octopus.energy/v1/products/AGILE-24-10-01/electricity-tariffs/E-1R-AGILE-24-10-01-G/standard-unit-rates/</x:v>
      </x:c>
    </x:row>
    <x:row r="333" ht="21" customHeight="1">
      <x:c r="A333" s="24" t="n">
        <x:v>46155.4375</x:v>
      </x:c>
      <x:c r="B333" s="6" t="n">
        <x:v>0.15560000000000002</x:v>
      </x:c>
      <x:c r="C333" s="6" t="n">
        <x:v>0.0974</x:v>
      </x:c>
      <x:c r="D333" s="6" t="n">
        <x:f>'Tariff and method'!$B$4</x:f>
        <x:v>0.2226</x:v>
      </x:c>
      <x:c r="E333" s="1" t="n">
        <x:v>1.05</x:v>
      </x:c>
      <x:c r="F333" s="1" t="str">
        <x:v>https://api.octopus.energy/v1/products/AGILE-24-10-01/electricity-tariffs/E-1R-AGILE-24-10-01-G/standard-unit-rates/</x:v>
      </x:c>
    </x:row>
    <x:row r="334" ht="21" customHeight="1">
      <x:c r="A334" s="24" t="n">
        <x:v>46155.458333333336</x:v>
      </x:c>
      <x:c r="B334" s="6" t="n">
        <x:v>0.15560000000000002</x:v>
      </x:c>
      <x:c r="C334" s="6" t="n">
        <x:v>0.0974</x:v>
      </x:c>
      <x:c r="D334" s="6" t="n">
        <x:f>'Tariff and method'!$B$4</x:f>
        <x:v>0.2226</x:v>
      </x:c>
      <x:c r="E334" s="1" t="n">
        <x:v>1.05</x:v>
      </x:c>
      <x:c r="F334" s="1" t="str">
        <x:v>https://api.octopus.energy/v1/products/AGILE-24-10-01/electricity-tariffs/E-1R-AGILE-24-10-01-G/standard-unit-rates/</x:v>
      </x:c>
    </x:row>
    <x:row r="335" ht="21" customHeight="1">
      <x:c r="A335" s="24" t="n">
        <x:v>46155.479166666664</x:v>
      </x:c>
      <x:c r="B335" s="6" t="n">
        <x:v>0.1598</x:v>
      </x:c>
      <x:c r="C335" s="6" t="n">
        <x:v>0.0993</x:v>
      </x:c>
      <x:c r="D335" s="6" t="n">
        <x:f>'Tariff and method'!$B$4</x:f>
        <x:v>0.2226</x:v>
      </x:c>
      <x:c r="E335" s="1" t="n">
        <x:v>1.05</x:v>
      </x:c>
      <x:c r="F335" s="1" t="str">
        <x:v>https://api.octopus.energy/v1/products/AGILE-24-10-01/electricity-tariffs/E-1R-AGILE-24-10-01-G/standard-unit-rates/</x:v>
      </x:c>
    </x:row>
    <x:row r="336" ht="21" customHeight="1">
      <x:c r="A336" s="24" t="n">
        <x:v>46155.5</x:v>
      </x:c>
      <x:c r="B336" s="6" t="n">
        <x:v>0.15560000000000002</x:v>
      </x:c>
      <x:c r="C336" s="6" t="n">
        <x:v>0.0974</x:v>
      </x:c>
      <x:c r="D336" s="6" t="n">
        <x:f>'Tariff and method'!$B$4</x:f>
        <x:v>0.2226</x:v>
      </x:c>
      <x:c r="E336" s="1" t="n">
        <x:v>1.05</x:v>
      </x:c>
      <x:c r="F336" s="1" t="str">
        <x:v>https://api.octopus.energy/v1/products/AGILE-24-10-01/electricity-tariffs/E-1R-AGILE-24-10-01-G/standard-unit-rates/</x:v>
      </x:c>
    </x:row>
    <x:row r="337" ht="21" customHeight="1">
      <x:c r="A337" s="24" t="n">
        <x:v>46155.520833333336</x:v>
      </x:c>
      <x:c r="B337" s="6" t="n">
        <x:v>0.15560000000000002</x:v>
      </x:c>
      <x:c r="C337" s="6" t="n">
        <x:v>0.0974</x:v>
      </x:c>
      <x:c r="D337" s="6" t="n">
        <x:f>'Tariff and method'!$B$4</x:f>
        <x:v>0.2226</x:v>
      </x:c>
      <x:c r="E337" s="1" t="n">
        <x:v>1.05</x:v>
      </x:c>
      <x:c r="F337" s="1" t="str">
        <x:v>https://api.octopus.energy/v1/products/AGILE-24-10-01/electricity-tariffs/E-1R-AGILE-24-10-01-G/standard-unit-rates/</x:v>
      </x:c>
    </x:row>
    <x:row r="338" ht="21" customHeight="1">
      <x:c r="A338" s="24" t="n">
        <x:v>46155.541666666664</x:v>
      </x:c>
      <x:c r="B338" s="6" t="n">
        <x:v>0.15560000000000002</x:v>
      </x:c>
      <x:c r="C338" s="6" t="n">
        <x:v>0.0974</x:v>
      </x:c>
      <x:c r="D338" s="6" t="n">
        <x:f>'Tariff and method'!$B$4</x:f>
        <x:v>0.2226</x:v>
      </x:c>
      <x:c r="E338" s="1" t="n">
        <x:v>1.05</x:v>
      </x:c>
      <x:c r="F338" s="1" t="str">
        <x:v>https://api.octopus.energy/v1/products/AGILE-24-10-01/electricity-tariffs/E-1R-AGILE-24-10-01-G/standard-unit-rates/</x:v>
      </x:c>
    </x:row>
    <x:row r="339" ht="21" customHeight="1">
      <x:c r="A339" s="24" t="n">
        <x:v>46155.5625</x:v>
      </x:c>
      <x:c r="B339" s="6" t="n">
        <x:v>0.1543</x:v>
      </x:c>
      <x:c r="C339" s="6" t="n">
        <x:v>0.0968</x:v>
      </x:c>
      <x:c r="D339" s="6" t="n">
        <x:f>'Tariff and method'!$B$4</x:f>
        <x:v>0.2226</x:v>
      </x:c>
      <x:c r="E339" s="1" t="n">
        <x:v>1.05</x:v>
      </x:c>
      <x:c r="F339" s="1" t="str">
        <x:v>https://api.octopus.energy/v1/products/AGILE-24-10-01/electricity-tariffs/E-1R-AGILE-24-10-01-G/standard-unit-rates/</x:v>
      </x:c>
    </x:row>
    <x:row r="340" ht="21" customHeight="1">
      <x:c r="A340" s="24" t="n">
        <x:v>46155.583333333336</x:v>
      </x:c>
      <x:c r="B340" s="6" t="n">
        <x:v>0.15560000000000002</x:v>
      </x:c>
      <x:c r="C340" s="6" t="n">
        <x:v>0.0974</x:v>
      </x:c>
      <x:c r="D340" s="6" t="n">
        <x:f>'Tariff and method'!$B$4</x:f>
        <x:v>0.2226</x:v>
      </x:c>
      <x:c r="E340" s="1" t="n">
        <x:v>1.05</x:v>
      </x:c>
      <x:c r="F340" s="1" t="str">
        <x:v>https://api.octopus.energy/v1/products/AGILE-24-10-01/electricity-tariffs/E-1R-AGILE-24-10-01-G/standard-unit-rates/</x:v>
      </x:c>
    </x:row>
    <x:row r="341" ht="21" customHeight="1">
      <x:c r="A341" s="24" t="n">
        <x:v>46155.604166666664</x:v>
      </x:c>
      <x:c r="B341" s="6" t="n">
        <x:v>0.1537</x:v>
      </x:c>
      <x:c r="C341" s="6" t="n">
        <x:v>0.0965</x:v>
      </x:c>
      <x:c r="D341" s="6" t="n">
        <x:f>'Tariff and method'!$B$4</x:f>
        <x:v>0.2226</x:v>
      </x:c>
      <x:c r="E341" s="1" t="n">
        <x:v>1.05</x:v>
      </x:c>
      <x:c r="F341" s="1" t="str">
        <x:v>https://api.octopus.energy/v1/products/AGILE-24-10-01/electricity-tariffs/E-1R-AGILE-24-10-01-G/standard-unit-rates/</x:v>
      </x:c>
    </x:row>
    <x:row r="342" ht="21" customHeight="1">
      <x:c r="A342" s="24" t="n">
        <x:v>46155.625</x:v>
      </x:c>
      <x:c r="B342" s="6" t="n">
        <x:v>0.1514</x:v>
      </x:c>
      <x:c r="C342" s="6" t="n">
        <x:v>0.0955</x:v>
      </x:c>
      <x:c r="D342" s="6" t="n">
        <x:f>'Tariff and method'!$B$4</x:f>
        <x:v>0.2226</x:v>
      </x:c>
      <x:c r="E342" s="1" t="n">
        <x:v>1.05</x:v>
      </x:c>
      <x:c r="F342" s="1" t="str">
        <x:v>https://api.octopus.energy/v1/products/AGILE-24-10-01/electricity-tariffs/E-1R-AGILE-24-10-01-G/standard-unit-rates/</x:v>
      </x:c>
    </x:row>
    <x:row r="343" ht="21" customHeight="1">
      <x:c r="A343" s="24" t="n">
        <x:v>46155.645833333336</x:v>
      </x:c>
      <x:c r="B343" s="6" t="n">
        <x:v>0.1514</x:v>
      </x:c>
      <x:c r="C343" s="6" t="n">
        <x:v>0.0955</x:v>
      </x:c>
      <x:c r="D343" s="6" t="n">
        <x:f>'Tariff and method'!$B$4</x:f>
        <x:v>0.2226</x:v>
      </x:c>
      <x:c r="E343" s="1" t="n">
        <x:v>1.05</x:v>
      </x:c>
      <x:c r="F343" s="1" t="str">
        <x:v>https://api.octopus.energy/v1/products/AGILE-24-10-01/electricity-tariffs/E-1R-AGILE-24-10-01-G/standard-unit-rates/</x:v>
      </x:c>
    </x:row>
    <x:row r="344" ht="21" customHeight="1">
      <x:c r="A344" s="24" t="n">
        <x:v>46155.666666666664</x:v>
      </x:c>
      <x:c r="B344" s="6" t="n">
        <x:v>0.2979</x:v>
      </x:c>
      <x:c r="C344" s="6" t="n">
        <x:v>0.16649999999999998</x:v>
      </x:c>
      <x:c r="D344" s="6" t="n">
        <x:f>'Tariff and method'!$B$4</x:f>
        <x:v>0.2226</x:v>
      </x:c>
      <x:c r="E344" s="1" t="n">
        <x:v>1.05</x:v>
      </x:c>
      <x:c r="F344" s="1" t="str">
        <x:v>https://api.octopus.energy/v1/products/AGILE-24-10-01/electricity-tariffs/E-1R-AGILE-24-10-01-G/standard-unit-rates/</x:v>
      </x:c>
    </x:row>
    <x:row r="345" ht="21" customHeight="1">
      <x:c r="A345" s="24" t="n">
        <x:v>46155.6875</x:v>
      </x:c>
      <x:c r="B345" s="6" t="n">
        <x:v>0.30079999999999996</x:v>
      </x:c>
      <x:c r="C345" s="6" t="n">
        <x:v>0.1678</x:v>
      </x:c>
      <x:c r="D345" s="6" t="n">
        <x:f>'Tariff and method'!$B$4</x:f>
        <x:v>0.2226</x:v>
      </x:c>
      <x:c r="E345" s="1" t="n">
        <x:v>1.05</x:v>
      </x:c>
      <x:c r="F345" s="1" t="str">
        <x:v>https://api.octopus.energy/v1/products/AGILE-24-10-01/electricity-tariffs/E-1R-AGILE-24-10-01-G/standard-unit-rates/</x:v>
      </x:c>
    </x:row>
    <x:row r="346" ht="21" customHeight="1">
      <x:c r="A346" s="24" t="n">
        <x:v>46155.708333333336</x:v>
      </x:c>
      <x:c r="B346" s="6" t="n">
        <x:v>0.313</x:v>
      </x:c>
      <x:c r="C346" s="6" t="n">
        <x:v>0.1734</x:v>
      </x:c>
      <x:c r="D346" s="6" t="n">
        <x:f>'Tariff and method'!$B$4</x:f>
        <x:v>0.2226</x:v>
      </x:c>
      <x:c r="E346" s="1" t="n">
        <x:v>1.05</x:v>
      </x:c>
      <x:c r="F346" s="1" t="str">
        <x:v>https://api.octopus.energy/v1/products/AGILE-24-10-01/electricity-tariffs/E-1R-AGILE-24-10-01-G/standard-unit-rates/</x:v>
      </x:c>
    </x:row>
    <x:row r="347" ht="21" customHeight="1">
      <x:c r="A347" s="24" t="n">
        <x:v>46155.729166666664</x:v>
      </x:c>
      <x:c r="B347" s="6" t="n">
        <x:v>0.3144</x:v>
      </x:c>
      <x:c r="C347" s="6" t="n">
        <x:v>0.174</x:v>
      </x:c>
      <x:c r="D347" s="6" t="n">
        <x:f>'Tariff and method'!$B$4</x:f>
        <x:v>0.2226</x:v>
      </x:c>
      <x:c r="E347" s="1" t="n">
        <x:v>1.05</x:v>
      </x:c>
      <x:c r="F347" s="1" t="str">
        <x:v>https://api.octopus.energy/v1/products/AGILE-24-10-01/electricity-tariffs/E-1R-AGILE-24-10-01-G/standard-unit-rates/</x:v>
      </x:c>
    </x:row>
    <x:row r="348" ht="21" customHeight="1">
      <x:c r="A348" s="24" t="n">
        <x:v>46155.75</x:v>
      </x:c>
      <x:c r="B348" s="6" t="n">
        <x:v>0.3414</x:v>
      </x:c>
      <x:c r="C348" s="6" t="n">
        <x:v>0.1864</x:v>
      </x:c>
      <x:c r="D348" s="6" t="n">
        <x:f>'Tariff and method'!$B$4</x:f>
        <x:v>0.2226</x:v>
      </x:c>
      <x:c r="E348" s="1" t="n">
        <x:v>1.05</x:v>
      </x:c>
      <x:c r="F348" s="1" t="str">
        <x:v>https://api.octopus.energy/v1/products/AGILE-24-10-01/electricity-tariffs/E-1R-AGILE-24-10-01-G/standard-unit-rates/</x:v>
      </x:c>
    </x:row>
    <x:row r="349" ht="21" customHeight="1">
      <x:c r="A349" s="24" t="n">
        <x:v>46155.770833333336</x:v>
      </x:c>
      <x:c r="B349" s="6" t="n">
        <x:v>0.3475</x:v>
      </x:c>
      <x:c r="C349" s="6" t="n">
        <x:v>0.1892</x:v>
      </x:c>
      <x:c r="D349" s="6" t="n">
        <x:f>'Tariff and method'!$B$4</x:f>
        <x:v>0.2226</x:v>
      </x:c>
      <x:c r="E349" s="1" t="n">
        <x:v>1.05</x:v>
      </x:c>
      <x:c r="F349" s="1" t="str">
        <x:v>https://api.octopus.energy/v1/products/AGILE-24-10-01/electricity-tariffs/E-1R-AGILE-24-10-01-G/standard-unit-rates/</x:v>
      </x:c>
    </x:row>
    <x:row r="350" ht="21" customHeight="1">
      <x:c r="A350" s="24" t="n">
        <x:v>46155.791666666664</x:v>
      </x:c>
      <x:c r="B350" s="6" t="n">
        <x:v>0.23329999999999998</x:v>
      </x:c>
      <x:c r="C350" s="6" t="n">
        <x:v>0.1329</x:v>
      </x:c>
      <x:c r="D350" s="6" t="n">
        <x:f>'Tariff and method'!$B$4</x:f>
        <x:v>0.2226</x:v>
      </x:c>
      <x:c r="E350" s="1" t="n">
        <x:v>1.05</x:v>
      </x:c>
      <x:c r="F350" s="1" t="str">
        <x:v>https://api.octopus.energy/v1/products/AGILE-24-10-01/electricity-tariffs/E-1R-AGILE-24-10-01-G/standard-unit-rates/</x:v>
      </x:c>
    </x:row>
    <x:row r="351" ht="21" customHeight="1">
      <x:c r="A351" s="24" t="n">
        <x:v>46155.8125</x:v>
      </x:c>
      <x:c r="B351" s="6" t="n">
        <x:v>0.2349</x:v>
      </x:c>
      <x:c r="C351" s="6" t="n">
        <x:v>0.13369999999999999</x:v>
      </x:c>
      <x:c r="D351" s="6" t="n">
        <x:f>'Tariff and method'!$B$4</x:f>
        <x:v>0.2226</x:v>
      </x:c>
      <x:c r="E351" s="1" t="n">
        <x:v>1.05</x:v>
      </x:c>
      <x:c r="F351" s="1" t="str">
        <x:v>https://api.octopus.energy/v1/products/AGILE-24-10-01/electricity-tariffs/E-1R-AGILE-24-10-01-G/standard-unit-rates/</x:v>
      </x:c>
    </x:row>
    <x:row r="352" ht="21" customHeight="1">
      <x:c r="A352" s="24" t="n">
        <x:v>46155.833333333336</x:v>
      </x:c>
      <x:c r="B352" s="6" t="n">
        <x:v>0.24170000000000003</x:v>
      </x:c>
      <x:c r="C352" s="6" t="n">
        <x:v>0.1368</x:v>
      </x:c>
      <x:c r="D352" s="6" t="n">
        <x:f>'Tariff and method'!$B$4</x:f>
        <x:v>0.2226</x:v>
      </x:c>
      <x:c r="E352" s="1" t="n">
        <x:v>1.05</x:v>
      </x:c>
      <x:c r="F352" s="1" t="str">
        <x:v>https://api.octopus.energy/v1/products/AGILE-24-10-01/electricity-tariffs/E-1R-AGILE-24-10-01-G/standard-unit-rates/</x:v>
      </x:c>
    </x:row>
    <x:row r="353" ht="21" customHeight="1">
      <x:c r="A353" s="24" t="n">
        <x:v>46155.854166666664</x:v>
      </x:c>
      <x:c r="B353" s="6" t="n">
        <x:v>0.24100000000000002</x:v>
      </x:c>
      <x:c r="C353" s="6" t="n">
        <x:v>0.1365</x:v>
      </x:c>
      <x:c r="D353" s="6" t="n">
        <x:f>'Tariff and method'!$B$4</x:f>
        <x:v>0.2226</x:v>
      </x:c>
      <x:c r="E353" s="1" t="n">
        <x:v>1.05</x:v>
      </x:c>
      <x:c r="F353" s="1" t="str">
        <x:v>https://api.octopus.energy/v1/products/AGILE-24-10-01/electricity-tariffs/E-1R-AGILE-24-10-01-G/standard-unit-rates/</x:v>
      </x:c>
    </x:row>
    <x:row r="354" ht="21" customHeight="1">
      <x:c r="A354" s="24" t="n">
        <x:v>46155.875</x:v>
      </x:c>
      <x:c r="B354" s="6" t="n">
        <x:v>0.23329999999999998</x:v>
      </x:c>
      <x:c r="C354" s="6" t="n">
        <x:v>0.1329</x:v>
      </x:c>
      <x:c r="D354" s="6" t="n">
        <x:f>'Tariff and method'!$B$4</x:f>
        <x:v>0.2226</x:v>
      </x:c>
      <x:c r="E354" s="1" t="n">
        <x:v>1.05</x:v>
      </x:c>
      <x:c r="F354" s="1" t="str">
        <x:v>https://api.octopus.energy/v1/products/AGILE-24-10-01/electricity-tariffs/E-1R-AGILE-24-10-01-G/standard-unit-rates/</x:v>
      </x:c>
    </x:row>
    <x:row r="355" ht="21" customHeight="1">
      <x:c r="A355" s="24" t="n">
        <x:v>46155.895833333336</x:v>
      </x:c>
      <x:c r="B355" s="6" t="n">
        <x:v>0.22190000000000001</x:v>
      </x:c>
      <x:c r="C355" s="6" t="n">
        <x:v>0.1277</x:v>
      </x:c>
      <x:c r="D355" s="6" t="n">
        <x:f>'Tariff and method'!$B$4</x:f>
        <x:v>0.2226</x:v>
      </x:c>
      <x:c r="E355" s="1" t="n">
        <x:v>1.05</x:v>
      </x:c>
      <x:c r="F355" s="1" t="str">
        <x:v>https://api.octopus.energy/v1/products/AGILE-24-10-01/electricity-tariffs/E-1R-AGILE-24-10-01-G/standard-unit-rates/</x:v>
      </x:c>
    </x:row>
    <x:row r="356" ht="21" customHeight="1">
      <x:c r="A356" s="24" t="n">
        <x:v>46155.916666666664</x:v>
      </x:c>
      <x:c r="B356" s="6" t="n">
        <x:v>0.20829999999999999</x:v>
      </x:c>
      <x:c r="C356" s="6" t="n">
        <x:v>0.1215</x:v>
      </x:c>
      <x:c r="D356" s="6" t="n">
        <x:f>'Tariff and method'!$B$4</x:f>
        <x:v>0.2226</x:v>
      </x:c>
      <x:c r="E356" s="1" t="n">
        <x:v>1.05</x:v>
      </x:c>
      <x:c r="F356" s="1" t="str">
        <x:v>https://api.octopus.energy/v1/products/AGILE-24-10-01/electricity-tariffs/E-1R-AGILE-24-10-01-G/standard-unit-rates/</x:v>
      </x:c>
    </x:row>
    <x:row r="357" ht="21" customHeight="1">
      <x:c r="A357" s="24" t="n">
        <x:v>46155.9375</x:v>
      </x:c>
      <x:c r="B357" s="6" t="n">
        <x:v>0.1934</x:v>
      </x:c>
      <x:c r="C357" s="6" t="n">
        <x:v>0.11470000000000001</x:v>
      </x:c>
      <x:c r="D357" s="6" t="n">
        <x:f>'Tariff and method'!$B$4</x:f>
        <x:v>0.2226</x:v>
      </x:c>
      <x:c r="E357" s="1" t="n">
        <x:v>1.05</x:v>
      </x:c>
      <x:c r="F357" s="1" t="str">
        <x:v>https://api.octopus.energy/v1/products/AGILE-24-10-01/electricity-tariffs/E-1R-AGILE-24-10-01-G/standard-unit-rates/</x:v>
      </x:c>
    </x:row>
    <x:row r="358" ht="21" customHeight="1">
      <x:c r="A358" s="24" t="n">
        <x:v>46156</x:v>
      </x:c>
      <x:c r="B358" s="6" t="n">
        <x:v>0.2018</x:v>
      </x:c>
      <x:c r="C358" s="6" t="n">
        <x:v>0.1185</x:v>
      </x:c>
      <x:c r="D358" s="6" t="n">
        <x:f>'Tariff and method'!$B$4</x:f>
        <x:v>0.2226</x:v>
      </x:c>
      <x:c r="E358" s="1" t="n">
        <x:v>1.05</x:v>
      </x:c>
      <x:c r="F358" s="1" t="str">
        <x:v>https://api.octopus.energy/v1/products/AGILE-24-10-01/electricity-tariffs/E-1R-AGILE-24-10-01-G/standard-unit-rates/</x:v>
      </x:c>
    </x:row>
    <x:row r="359" ht="21" customHeight="1">
      <x:c r="A359" s="24" t="n">
        <x:v>46155.979166666664</x:v>
      </x:c>
      <x:c r="B359" s="6" t="n">
        <x:v>0.1917</x:v>
      </x:c>
      <x:c r="C359" s="6" t="n">
        <x:v>0.1139</x:v>
      </x:c>
      <x:c r="D359" s="6" t="n">
        <x:f>'Tariff and method'!$B$4</x:f>
        <x:v>0.2226</x:v>
      </x:c>
      <x:c r="E359" s="1" t="n">
        <x:v>1.05</x:v>
      </x:c>
      <x:c r="F359" s="1" t="str">
        <x:v>https://api.octopus.energy/v1/products/AGILE-24-10-01/electricity-tariffs/E-1R-AGILE-24-10-01-G/standard-unit-rates/</x:v>
      </x:c>
    </x:row>
    <x:row r="360" ht="21" customHeight="1">
      <x:c r="A360" s="24" t="n">
        <x:v>46156</x:v>
      </x:c>
      <x:c r="B360" s="6" t="n">
        <x:v>0.18710000000000002</x:v>
      </x:c>
      <x:c r="C360" s="6" t="n">
        <x:v>0.1118</x:v>
      </x:c>
      <x:c r="D360" s="6" t="n">
        <x:f>'Tariff and method'!$B$4</x:f>
        <x:v>0.2226</x:v>
      </x:c>
      <x:c r="E360" s="1" t="n">
        <x:v>1.05</x:v>
      </x:c>
      <x:c r="F360" s="1" t="str">
        <x:v>https://api.octopus.energy/v1/products/AGILE-24-10-01/electricity-tariffs/E-1R-AGILE-24-10-01-G/standard-unit-rates/</x:v>
      </x:c>
    </x:row>
    <x:row r="361" ht="21" customHeight="1">
      <x:c r="A361" s="24" t="n">
        <x:v>46156.020833333336</x:v>
      </x:c>
      <x:c r="B361" s="6" t="n">
        <x:v>0.1819</x:v>
      </x:c>
      <x:c r="C361" s="6" t="n">
        <x:v>0.1094</x:v>
      </x:c>
      <x:c r="D361" s="6" t="n">
        <x:f>'Tariff and method'!$B$4</x:f>
        <x:v>0.2226</x:v>
      </x:c>
      <x:c r="E361" s="1" t="n">
        <x:v>1.05</x:v>
      </x:c>
      <x:c r="F361" s="1" t="str">
        <x:v>https://api.octopus.energy/v1/products/AGILE-24-10-01/electricity-tariffs/E-1R-AGILE-24-10-01-G/standard-unit-rates/</x:v>
      </x:c>
    </x:row>
    <x:row r="362" ht="21" customHeight="1">
      <x:c r="A362" s="24" t="n">
        <x:v>46156.041666666664</x:v>
      </x:c>
      <x:c r="B362" s="6" t="n">
        <x:v>0.1724</x:v>
      </x:c>
      <x:c r="C362" s="6" t="n">
        <x:v>0.1051</x:v>
      </x:c>
      <x:c r="D362" s="6" t="n">
        <x:f>'Tariff and method'!$B$4</x:f>
        <x:v>0.2226</x:v>
      </x:c>
      <x:c r="E362" s="1" t="n">
        <x:v>1.05</x:v>
      </x:c>
      <x:c r="F362" s="1" t="str">
        <x:v>https://api.octopus.energy/v1/products/AGILE-24-10-01/electricity-tariffs/E-1R-AGILE-24-10-01-G/standard-unit-rates/</x:v>
      </x:c>
    </x:row>
    <x:row r="363" ht="21" customHeight="1">
      <x:c r="A363" s="24" t="n">
        <x:v>46156.0625</x:v>
      </x:c>
      <x:c r="B363" s="6" t="n">
        <x:v>0.1776</x:v>
      </x:c>
      <x:c r="C363" s="6" t="n">
        <x:v>0.1075</x:v>
      </x:c>
      <x:c r="D363" s="6" t="n">
        <x:f>'Tariff and method'!$B$4</x:f>
        <x:v>0.2226</x:v>
      </x:c>
      <x:c r="E363" s="1" t="n">
        <x:v>1.05</x:v>
      </x:c>
      <x:c r="F363" s="1" t="str">
        <x:v>https://api.octopus.energy/v1/products/AGILE-24-10-01/electricity-tariffs/E-1R-AGILE-24-10-01-G/standard-unit-rates/</x:v>
      </x:c>
    </x:row>
    <x:row r="364" ht="21" customHeight="1">
      <x:c r="A364" s="24" t="n">
        <x:v>46156.083333333336</x:v>
      </x:c>
      <x:c r="B364" s="6" t="n">
        <x:v>0.1746</x:v>
      </x:c>
      <x:c r="C364" s="6" t="n">
        <x:v>0.1061</x:v>
      </x:c>
      <x:c r="D364" s="6" t="n">
        <x:f>'Tariff and method'!$B$4</x:f>
        <x:v>0.2226</x:v>
      </x:c>
      <x:c r="E364" s="1" t="n">
        <x:v>1.05</x:v>
      </x:c>
      <x:c r="F364" s="1" t="str">
        <x:v>https://api.octopus.energy/v1/products/AGILE-24-10-01/electricity-tariffs/E-1R-AGILE-24-10-01-G/standard-unit-rates/</x:v>
      </x:c>
    </x:row>
    <x:row r="365" ht="21" customHeight="1">
      <x:c r="A365" s="24" t="n">
        <x:v>46156.104166666664</x:v>
      </x:c>
      <x:c r="B365" s="6" t="n">
        <x:v>0.1703</x:v>
      </x:c>
      <x:c r="C365" s="6" t="n">
        <x:v>0.1041</x:v>
      </x:c>
      <x:c r="D365" s="6" t="n">
        <x:f>'Tariff and method'!$B$4</x:f>
        <x:v>0.2226</x:v>
      </x:c>
      <x:c r="E365" s="1" t="n">
        <x:v>1.05</x:v>
      </x:c>
      <x:c r="F365" s="1" t="str">
        <x:v>https://api.octopus.energy/v1/products/AGILE-24-10-01/electricity-tariffs/E-1R-AGILE-24-10-01-G/standard-unit-rates/</x:v>
      </x:c>
    </x:row>
    <x:row r="366" ht="21" customHeight="1">
      <x:c r="A366" s="24" t="n">
        <x:v>46156.125</x:v>
      </x:c>
      <x:c r="B366" s="6" t="n">
        <x:v>0.1769</x:v>
      </x:c>
      <x:c r="C366" s="6" t="n">
        <x:v>0.10710000000000001</x:v>
      </x:c>
      <x:c r="D366" s="6" t="n">
        <x:f>'Tariff and method'!$B$4</x:f>
        <x:v>0.2226</x:v>
      </x:c>
      <x:c r="E366" s="1" t="n">
        <x:v>1.05</x:v>
      </x:c>
      <x:c r="F366" s="1" t="str">
        <x:v>https://api.octopus.energy/v1/products/AGILE-24-10-01/electricity-tariffs/E-1R-AGILE-24-10-01-G/standard-unit-rates/</x:v>
      </x:c>
    </x:row>
    <x:row r="367" ht="21" customHeight="1">
      <x:c r="A367" s="24" t="n">
        <x:v>46156.145833333336</x:v>
      </x:c>
      <x:c r="B367" s="6" t="n">
        <x:v>0.17120000000000002</x:v>
      </x:c>
      <x:c r="C367" s="6" t="n">
        <x:v>0.1045</x:v>
      </x:c>
      <x:c r="D367" s="6" t="n">
        <x:f>'Tariff and method'!$B$4</x:f>
        <x:v>0.2226</x:v>
      </x:c>
      <x:c r="E367" s="1" t="n">
        <x:v>1.05</x:v>
      </x:c>
      <x:c r="F367" s="1" t="str">
        <x:v>https://api.octopus.energy/v1/products/AGILE-24-10-01/electricity-tariffs/E-1R-AGILE-24-10-01-G/standard-unit-rates/</x:v>
      </x:c>
    </x:row>
    <x:row r="368" ht="21" customHeight="1">
      <x:c r="A368" s="24" t="n">
        <x:v>46156.166666666664</x:v>
      </x:c>
      <x:c r="B368" s="6" t="n">
        <x:v>0.17739999999999997</x:v>
      </x:c>
      <x:c r="C368" s="6" t="n">
        <x:v>0.1074</x:v>
      </x:c>
      <x:c r="D368" s="6" t="n">
        <x:f>'Tariff and method'!$B$4</x:f>
        <x:v>0.2226</x:v>
      </x:c>
      <x:c r="E368" s="1" t="n">
        <x:v>1.05</x:v>
      </x:c>
      <x:c r="F368" s="1" t="str">
        <x:v>https://api.octopus.energy/v1/products/AGILE-24-10-01/electricity-tariffs/E-1R-AGILE-24-10-01-G/standard-unit-rates/</x:v>
      </x:c>
    </x:row>
    <x:row r="369" ht="21" customHeight="1">
      <x:c r="A369" s="24" t="n">
        <x:v>46156.1875</x:v>
      </x:c>
      <x:c r="B369" s="6" t="n">
        <x:v>0.1754</x:v>
      </x:c>
      <x:c r="C369" s="6" t="n">
        <x:v>0.1065</x:v>
      </x:c>
      <x:c r="D369" s="6" t="n">
        <x:f>'Tariff and method'!$B$4</x:f>
        <x:v>0.2226</x:v>
      </x:c>
      <x:c r="E369" s="1" t="n">
        <x:v>1.05</x:v>
      </x:c>
      <x:c r="F369" s="1" t="str">
        <x:v>https://api.octopus.energy/v1/products/AGILE-24-10-01/electricity-tariffs/E-1R-AGILE-24-10-01-G/standard-unit-rates/</x:v>
      </x:c>
    </x:row>
    <x:row r="370" ht="21" customHeight="1">
      <x:c r="A370" s="24" t="n">
        <x:v>46156.208333333336</x:v>
      </x:c>
      <x:c r="B370" s="6" t="n">
        <x:v>0.16820000000000002</x:v>
      </x:c>
      <x:c r="C370" s="6" t="n">
        <x:v>0.1032</x:v>
      </x:c>
      <x:c r="D370" s="6" t="n">
        <x:f>'Tariff and method'!$B$4</x:f>
        <x:v>0.2226</x:v>
      </x:c>
      <x:c r="E370" s="1" t="n">
        <x:v>1.05</x:v>
      </x:c>
      <x:c r="F370" s="1" t="str">
        <x:v>https://api.octopus.energy/v1/products/AGILE-24-10-01/electricity-tariffs/E-1R-AGILE-24-10-01-G/standard-unit-rates/</x:v>
      </x:c>
    </x:row>
    <x:row r="371" ht="21" customHeight="1">
      <x:c r="A371" s="24" t="n">
        <x:v>46156.229166666664</x:v>
      </x:c>
      <x:c r="B371" s="6" t="n">
        <x:v>0.17190000000000003</x:v>
      </x:c>
      <x:c r="C371" s="6" t="n">
        <x:v>0.1048</x:v>
      </x:c>
      <x:c r="D371" s="6" t="n">
        <x:f>'Tariff and method'!$B$4</x:f>
        <x:v>0.2226</x:v>
      </x:c>
      <x:c r="E371" s="1" t="n">
        <x:v>1.05</x:v>
      </x:c>
      <x:c r="F371" s="1" t="str">
        <x:v>https://api.octopus.energy/v1/products/AGILE-24-10-01/electricity-tariffs/E-1R-AGILE-24-10-01-G/standard-unit-rates/</x:v>
      </x:c>
    </x:row>
    <x:row r="372" ht="21" customHeight="1">
      <x:c r="A372" s="24" t="n">
        <x:v>46156.25</x:v>
      </x:c>
      <x:c r="B372" s="6" t="n">
        <x:v>0.1661</x:v>
      </x:c>
      <x:c r="C372" s="6" t="n">
        <x:v>0.10220000000000001</x:v>
      </x:c>
      <x:c r="D372" s="6" t="n">
        <x:f>'Tariff and method'!$B$4</x:f>
        <x:v>0.2226</x:v>
      </x:c>
      <x:c r="E372" s="1" t="n">
        <x:v>1.05</x:v>
      </x:c>
      <x:c r="F372" s="1" t="str">
        <x:v>https://api.octopus.energy/v1/products/AGILE-24-10-01/electricity-tariffs/E-1R-AGILE-24-10-01-G/standard-unit-rates/</x:v>
      </x:c>
    </x:row>
    <x:row r="373" ht="21" customHeight="1">
      <x:c r="A373" s="24" t="n">
        <x:v>46156.270833333336</x:v>
      </x:c>
      <x:c r="B373" s="6" t="n">
        <x:v>0.1997</x:v>
      </x:c>
      <x:c r="C373" s="6" t="n">
        <x:v>0.1176</x:v>
      </x:c>
      <x:c r="D373" s="6" t="n">
        <x:f>'Tariff and method'!$B$4</x:f>
        <x:v>0.2226</x:v>
      </x:c>
      <x:c r="E373" s="1" t="n">
        <x:v>1.05</x:v>
      </x:c>
      <x:c r="F373" s="1" t="str">
        <x:v>https://api.octopus.energy/v1/products/AGILE-24-10-01/electricity-tariffs/E-1R-AGILE-24-10-01-G/standard-unit-rates/</x:v>
      </x:c>
    </x:row>
    <x:row r="374" ht="21" customHeight="1">
      <x:c r="A374" s="24" t="n">
        <x:v>46156.291666666664</x:v>
      </x:c>
      <x:c r="B374" s="6" t="n">
        <x:v>0.2232</x:v>
      </x:c>
      <x:c r="C374" s="6" t="n">
        <x:v>0.1283</x:v>
      </x:c>
      <x:c r="D374" s="6" t="n">
        <x:f>'Tariff and method'!$B$4</x:f>
        <x:v>0.2226</x:v>
      </x:c>
      <x:c r="E374" s="1" t="n">
        <x:v>1.05</x:v>
      </x:c>
      <x:c r="F374" s="1" t="str">
        <x:v>https://api.octopus.energy/v1/products/AGILE-24-10-01/electricity-tariffs/E-1R-AGILE-24-10-01-G/standard-unit-rates/</x:v>
      </x:c>
    </x:row>
    <x:row r="375" ht="21" customHeight="1">
      <x:c r="A375" s="24" t="n">
        <x:v>46156.3125</x:v>
      </x:c>
      <x:c r="B375" s="6" t="n">
        <x:v>0.2249</x:v>
      </x:c>
      <x:c r="C375" s="6" t="n">
        <x:v>0.1291</x:v>
      </x:c>
      <x:c r="D375" s="6" t="n">
        <x:f>'Tariff and method'!$B$4</x:f>
        <x:v>0.2226</x:v>
      </x:c>
      <x:c r="E375" s="1" t="n">
        <x:v>1.05</x:v>
      </x:c>
      <x:c r="F375" s="1" t="str">
        <x:v>https://api.octopus.energy/v1/products/AGILE-24-10-01/electricity-tariffs/E-1R-AGILE-24-10-01-G/standard-unit-rates/</x:v>
      </x:c>
    </x:row>
    <x:row r="376" ht="21" customHeight="1">
      <x:c r="A376" s="24" t="n">
        <x:v>46156.333333333336</x:v>
      </x:c>
      <x:c r="B376" s="6" t="n">
        <x:v>0.2249</x:v>
      </x:c>
      <x:c r="C376" s="6" t="n">
        <x:v>0.1291</x:v>
      </x:c>
      <x:c r="D376" s="6" t="n">
        <x:f>'Tariff and method'!$B$4</x:f>
        <x:v>0.2226</x:v>
      </x:c>
      <x:c r="E376" s="1" t="n">
        <x:v>1.05</x:v>
      </x:c>
      <x:c r="F376" s="1" t="str">
        <x:v>https://api.octopus.energy/v1/products/AGILE-24-10-01/electricity-tariffs/E-1R-AGILE-24-10-01-G/standard-unit-rates/</x:v>
      </x:c>
    </x:row>
    <x:row r="377" ht="21" customHeight="1">
      <x:c r="A377" s="24" t="n">
        <x:v>46156.354166666664</x:v>
      </x:c>
      <x:c r="B377" s="6" t="n">
        <x:v>0.2181</x:v>
      </x:c>
      <x:c r="C377" s="6" t="n">
        <x:v>0.126</x:v>
      </x:c>
      <x:c r="D377" s="6" t="n">
        <x:f>'Tariff and method'!$B$4</x:f>
        <x:v>0.2226</x:v>
      </x:c>
      <x:c r="E377" s="1" t="n">
        <x:v>1.05</x:v>
      </x:c>
      <x:c r="F377" s="1" t="str">
        <x:v>https://api.octopus.energy/v1/products/AGILE-24-10-01/electricity-tariffs/E-1R-AGILE-24-10-01-G/standard-unit-rates/</x:v>
      </x:c>
    </x:row>
    <x:row r="378" ht="21" customHeight="1">
      <x:c r="A378" s="24" t="n">
        <x:v>46156.375</x:v>
      </x:c>
      <x:c r="B378" s="6" t="n">
        <x:v>0.2225</x:v>
      </x:c>
      <x:c r="C378" s="6" t="n">
        <x:v>0.128</x:v>
      </x:c>
      <x:c r="D378" s="6" t="n">
        <x:f>'Tariff and method'!$B$4</x:f>
        <x:v>0.2226</x:v>
      </x:c>
      <x:c r="E378" s="1" t="n">
        <x:v>1.05</x:v>
      </x:c>
      <x:c r="F378" s="1" t="str">
        <x:v>https://api.octopus.energy/v1/products/AGILE-24-10-01/electricity-tariffs/E-1R-AGILE-24-10-01-G/standard-unit-rates/</x:v>
      </x:c>
    </x:row>
    <x:row r="379" ht="21" customHeight="1">
      <x:c r="A379" s="24" t="n">
        <x:v>46156.395833333336</x:v>
      </x:c>
      <x:c r="B379" s="6" t="n">
        <x:v>0.2076</x:v>
      </x:c>
      <x:c r="C379" s="6" t="n">
        <x:v>0.12119999999999999</x:v>
      </x:c>
      <x:c r="D379" s="6" t="n">
        <x:f>'Tariff and method'!$B$4</x:f>
        <x:v>0.2226</x:v>
      </x:c>
      <x:c r="E379" s="1" t="n">
        <x:v>1.05</x:v>
      </x:c>
      <x:c r="F379" s="1" t="str">
        <x:v>https://api.octopus.energy/v1/products/AGILE-24-10-01/electricity-tariffs/E-1R-AGILE-24-10-01-G/standard-unit-rates/</x:v>
      </x:c>
    </x:row>
    <x:row r="380" ht="21" customHeight="1">
      <x:c r="A380" s="24" t="n">
        <x:v>46156.416666666664</x:v>
      </x:c>
      <x:c r="B380" s="6" t="n">
        <x:v>0.1975</x:v>
      </x:c>
      <x:c r="C380" s="6" t="n">
        <x:v>0.1165</x:v>
      </x:c>
      <x:c r="D380" s="6" t="n">
        <x:f>'Tariff and method'!$B$4</x:f>
        <x:v>0.2226</x:v>
      </x:c>
      <x:c r="E380" s="1" t="n">
        <x:v>1.05</x:v>
      </x:c>
      <x:c r="F380" s="1" t="str">
        <x:v>https://api.octopus.energy/v1/products/AGILE-24-10-01/electricity-tariffs/E-1R-AGILE-24-10-01-G/standard-unit-rates/</x:v>
      </x:c>
    </x:row>
    <x:row r="381" ht="21" customHeight="1">
      <x:c r="A381" s="24" t="n">
        <x:v>46156.4375</x:v>
      </x:c>
      <x:c r="B381" s="6" t="n">
        <x:v>0.1894</x:v>
      </x:c>
      <x:c r="C381" s="6" t="n">
        <x:v>0.1128</x:v>
      </x:c>
      <x:c r="D381" s="6" t="n">
        <x:f>'Tariff and method'!$B$4</x:f>
        <x:v>0.2226</x:v>
      </x:c>
      <x:c r="E381" s="1" t="n">
        <x:v>1.05</x:v>
      </x:c>
      <x:c r="F381" s="1" t="str">
        <x:v>https://api.octopus.energy/v1/products/AGILE-24-10-01/electricity-tariffs/E-1R-AGILE-24-10-01-G/standard-unit-rates/</x:v>
      </x:c>
    </x:row>
    <x:row r="382" ht="21" customHeight="1">
      <x:c r="A382" s="24" t="n">
        <x:v>46156.458333333336</x:v>
      </x:c>
      <x:c r="B382" s="6" t="n">
        <x:v>0.16269999999999998</x:v>
      </x:c>
      <x:c r="C382" s="6" t="n">
        <x:v>0.1007</x:v>
      </x:c>
      <x:c r="D382" s="6" t="n">
        <x:f>'Tariff and method'!$B$4</x:f>
        <x:v>0.2226</x:v>
      </x:c>
      <x:c r="E382" s="1" t="n">
        <x:v>1.05</x:v>
      </x:c>
      <x:c r="F382" s="1" t="str">
        <x:v>https://api.octopus.energy/v1/products/AGILE-24-10-01/electricity-tariffs/E-1R-AGILE-24-10-01-G/standard-unit-rates/</x:v>
      </x:c>
    </x:row>
    <x:row r="383" ht="21" customHeight="1">
      <x:c r="A383" s="24" t="n">
        <x:v>46156.479166666664</x:v>
      </x:c>
      <x:c r="B383" s="6" t="n">
        <x:v>0.16399999999999998</x:v>
      </x:c>
      <x:c r="C383" s="6" t="n">
        <x:v>0.1013</x:v>
      </x:c>
      <x:c r="D383" s="6" t="n">
        <x:f>'Tariff and method'!$B$4</x:f>
        <x:v>0.2226</x:v>
      </x:c>
      <x:c r="E383" s="1" t="n">
        <x:v>1.05</x:v>
      </x:c>
      <x:c r="F383" s="1" t="str">
        <x:v>https://api.octopus.energy/v1/products/AGILE-24-10-01/electricity-tariffs/E-1R-AGILE-24-10-01-G/standard-unit-rates/</x:v>
      </x:c>
    </x:row>
    <x:row r="384" ht="21" customHeight="1">
      <x:c r="A384" s="24" t="n">
        <x:v>46156.5</x:v>
      </x:c>
      <x:c r="B384" s="6" t="n">
        <x:v>0.15560000000000002</x:v>
      </x:c>
      <x:c r="C384" s="6" t="n">
        <x:v>0.0974</x:v>
      </x:c>
      <x:c r="D384" s="6" t="n">
        <x:f>'Tariff and method'!$B$4</x:f>
        <x:v>0.2226</x:v>
      </x:c>
      <x:c r="E384" s="1" t="n">
        <x:v>1.05</x:v>
      </x:c>
      <x:c r="F384" s="1" t="str">
        <x:v>https://api.octopus.energy/v1/products/AGILE-24-10-01/electricity-tariffs/E-1R-AGILE-24-10-01-G/standard-unit-rates/</x:v>
      </x:c>
    </x:row>
    <x:row r="385" ht="21" customHeight="1">
      <x:c r="A385" s="24" t="n">
        <x:v>46156.520833333336</x:v>
      </x:c>
      <x:c r="B385" s="6" t="n">
        <x:v>0.15560000000000002</x:v>
      </x:c>
      <x:c r="C385" s="6" t="n">
        <x:v>0.0974</x:v>
      </x:c>
      <x:c r="D385" s="6" t="n">
        <x:f>'Tariff and method'!$B$4</x:f>
        <x:v>0.2226</x:v>
      </x:c>
      <x:c r="E385" s="1" t="n">
        <x:v>1.05</x:v>
      </x:c>
      <x:c r="F385" s="1" t="str">
        <x:v>https://api.octopus.energy/v1/products/AGILE-24-10-01/electricity-tariffs/E-1R-AGILE-24-10-01-G/standard-unit-rates/</x:v>
      </x:c>
    </x:row>
    <x:row r="386" ht="21" customHeight="1">
      <x:c r="A386" s="24" t="n">
        <x:v>46156.541666666664</x:v>
      </x:c>
      <x:c r="B386" s="6" t="n">
        <x:v>0.15560000000000002</x:v>
      </x:c>
      <x:c r="C386" s="6" t="n">
        <x:v>0.0974</x:v>
      </x:c>
      <x:c r="D386" s="6" t="n">
        <x:f>'Tariff and method'!$B$4</x:f>
        <x:v>0.2226</x:v>
      </x:c>
      <x:c r="E386" s="1" t="n">
        <x:v>1.05</x:v>
      </x:c>
      <x:c r="F386" s="1" t="str">
        <x:v>https://api.octopus.energy/v1/products/AGILE-24-10-01/electricity-tariffs/E-1R-AGILE-24-10-01-G/standard-unit-rates/</x:v>
      </x:c>
    </x:row>
    <x:row r="387" ht="21" customHeight="1">
      <x:c r="A387" s="24" t="n">
        <x:v>46156.5625</x:v>
      </x:c>
      <x:c r="B387" s="6" t="n">
        <x:v>0.1514</x:v>
      </x:c>
      <x:c r="C387" s="6" t="n">
        <x:v>0.0955</x:v>
      </x:c>
      <x:c r="D387" s="6" t="n">
        <x:f>'Tariff and method'!$B$4</x:f>
        <x:v>0.2226</x:v>
      </x:c>
      <x:c r="E387" s="1" t="n">
        <x:v>1.05</x:v>
      </x:c>
      <x:c r="F387" s="1" t="str">
        <x:v>https://api.octopus.energy/v1/products/AGILE-24-10-01/electricity-tariffs/E-1R-AGILE-24-10-01-G/standard-unit-rates/</x:v>
      </x:c>
    </x:row>
    <x:row r="388" ht="21" customHeight="1">
      <x:c r="A388" s="24" t="n">
        <x:v>46156.583333333336</x:v>
      </x:c>
      <x:c r="B388" s="6" t="n">
        <x:v>0.1549</x:v>
      </x:c>
      <x:c r="C388" s="6" t="n">
        <x:v>0.0971</x:v>
      </x:c>
      <x:c r="D388" s="6" t="n">
        <x:f>'Tariff and method'!$B$4</x:f>
        <x:v>0.2226</x:v>
      </x:c>
      <x:c r="E388" s="1" t="n">
        <x:v>1.05</x:v>
      </x:c>
      <x:c r="F388" s="1" t="str">
        <x:v>https://api.octopus.energy/v1/products/AGILE-24-10-01/electricity-tariffs/E-1R-AGILE-24-10-01-G/standard-unit-rates/</x:v>
      </x:c>
    </x:row>
    <x:row r="389" ht="21" customHeight="1">
      <x:c r="A389" s="24" t="n">
        <x:v>46156.604166666664</x:v>
      </x:c>
      <x:c r="B389" s="6" t="n">
        <x:v>0.151</x:v>
      </x:c>
      <x:c r="C389" s="6" t="n">
        <x:v>0.0953</x:v>
      </x:c>
      <x:c r="D389" s="6" t="n">
        <x:f>'Tariff and method'!$B$4</x:f>
        <x:v>0.2226</x:v>
      </x:c>
      <x:c r="E389" s="1" t="n">
        <x:v>1.05</x:v>
      </x:c>
      <x:c r="F389" s="1" t="str">
        <x:v>https://api.octopus.energy/v1/products/AGILE-24-10-01/electricity-tariffs/E-1R-AGILE-24-10-01-G/standard-unit-rates/</x:v>
      </x:c>
    </x:row>
    <x:row r="390" ht="21" customHeight="1">
      <x:c r="A390" s="24" t="n">
        <x:v>46156.625</x:v>
      </x:c>
      <x:c r="B390" s="6" t="n">
        <x:v>0.1485</x:v>
      </x:c>
      <x:c r="C390" s="6" t="n">
        <x:v>0.0941</x:v>
      </x:c>
      <x:c r="D390" s="6" t="n">
        <x:f>'Tariff and method'!$B$4</x:f>
        <x:v>0.2226</x:v>
      </x:c>
      <x:c r="E390" s="1" t="n">
        <x:v>1.05</x:v>
      </x:c>
      <x:c r="F390" s="1" t="str">
        <x:v>https://api.octopus.energy/v1/products/AGILE-24-10-01/electricity-tariffs/E-1R-AGILE-24-10-01-G/standard-unit-rates/</x:v>
      </x:c>
    </x:row>
    <x:row r="391" ht="21" customHeight="1">
      <x:c r="A391" s="24" t="n">
        <x:v>46156.645833333336</x:v>
      </x:c>
      <x:c r="B391" s="6" t="n">
        <x:v>0.15560000000000002</x:v>
      </x:c>
      <x:c r="C391" s="6" t="n">
        <x:v>0.0974</x:v>
      </x:c>
      <x:c r="D391" s="6" t="n">
        <x:f>'Tariff and method'!$B$4</x:f>
        <x:v>0.2226</x:v>
      </x:c>
      <x:c r="E391" s="1" t="n">
        <x:v>1.05</x:v>
      </x:c>
      <x:c r="F391" s="1" t="str">
        <x:v>https://api.octopus.energy/v1/products/AGILE-24-10-01/electricity-tariffs/E-1R-AGILE-24-10-01-G/standard-unit-rates/</x:v>
      </x:c>
    </x:row>
    <x:row r="392" ht="21" customHeight="1">
      <x:c r="A392" s="24" t="n">
        <x:v>46156.666666666664</x:v>
      </x:c>
      <x:c r="B392" s="6" t="n">
        <x:v>0.2756</x:v>
      </x:c>
      <x:c r="C392" s="6" t="n">
        <x:v>0.1563</x:v>
      </x:c>
      <x:c r="D392" s="6" t="n">
        <x:f>'Tariff and method'!$B$4</x:f>
        <x:v>0.2226</x:v>
      </x:c>
      <x:c r="E392" s="1" t="n">
        <x:v>1.05</x:v>
      </x:c>
      <x:c r="F392" s="1" t="str">
        <x:v>https://api.octopus.energy/v1/products/AGILE-24-10-01/electricity-tariffs/E-1R-AGILE-24-10-01-G/standard-unit-rates/</x:v>
      </x:c>
    </x:row>
    <x:row r="393" ht="21" customHeight="1">
      <x:c r="A393" s="24" t="n">
        <x:v>46156.6875</x:v>
      </x:c>
      <x:c r="B393" s="6" t="n">
        <x:v>0.2838</x:v>
      </x:c>
      <x:c r="C393" s="6" t="n">
        <x:v>0.16010000000000002</x:v>
      </x:c>
      <x:c r="D393" s="6" t="n">
        <x:f>'Tariff and method'!$B$4</x:f>
        <x:v>0.2226</x:v>
      </x:c>
      <x:c r="E393" s="1" t="n">
        <x:v>1.05</x:v>
      </x:c>
      <x:c r="F393" s="1" t="str">
        <x:v>https://api.octopus.energy/v1/products/AGILE-24-10-01/electricity-tariffs/E-1R-AGILE-24-10-01-G/standard-unit-rates/</x:v>
      </x:c>
    </x:row>
    <x:row r="394" ht="21" customHeight="1">
      <x:c r="A394" s="24" t="n">
        <x:v>46156.708333333336</x:v>
      </x:c>
      <x:c r="B394" s="6" t="n">
        <x:v>0.3057</x:v>
      </x:c>
      <x:c r="C394" s="6" t="n">
        <x:v>0.17010000000000003</x:v>
      </x:c>
      <x:c r="D394" s="6" t="n">
        <x:f>'Tariff and method'!$B$4</x:f>
        <x:v>0.2226</x:v>
      </x:c>
      <x:c r="E394" s="1" t="n">
        <x:v>1.05</x:v>
      </x:c>
      <x:c r="F394" s="1" t="str">
        <x:v>https://api.octopus.energy/v1/products/AGILE-24-10-01/electricity-tariffs/E-1R-AGILE-24-10-01-G/standard-unit-rates/</x:v>
      </x:c>
    </x:row>
    <x:row r="395" ht="21" customHeight="1">
      <x:c r="A395" s="24" t="n">
        <x:v>46156.729166666664</x:v>
      </x:c>
      <x:c r="B395" s="6" t="n">
        <x:v>0.30519999999999997</x:v>
      </x:c>
      <x:c r="C395" s="6" t="n">
        <x:v>0.1698</x:v>
      </x:c>
      <x:c r="D395" s="6" t="n">
        <x:f>'Tariff and method'!$B$4</x:f>
        <x:v>0.2226</x:v>
      </x:c>
      <x:c r="E395" s="1" t="n">
        <x:v>1.05</x:v>
      </x:c>
      <x:c r="F395" s="1" t="str">
        <x:v>https://api.octopus.energy/v1/products/AGILE-24-10-01/electricity-tariffs/E-1R-AGILE-24-10-01-G/standard-unit-rates/</x:v>
      </x:c>
    </x:row>
    <x:row r="396" ht="21" customHeight="1">
      <x:c r="A396" s="24" t="n">
        <x:v>46156.75</x:v>
      </x:c>
      <x:c r="B396" s="6" t="n">
        <x:v>0.3218</x:v>
      </x:c>
      <x:c r="C396" s="6" t="n">
        <x:v>0.17739999999999997</x:v>
      </x:c>
      <x:c r="D396" s="6" t="n">
        <x:f>'Tariff and method'!$B$4</x:f>
        <x:v>0.2226</x:v>
      </x:c>
      <x:c r="E396" s="1" t="n">
        <x:v>1.05</x:v>
      </x:c>
      <x:c r="F396" s="1" t="str">
        <x:v>https://api.octopus.energy/v1/products/AGILE-24-10-01/electricity-tariffs/E-1R-AGILE-24-10-01-G/standard-unit-rates/</x:v>
      </x:c>
    </x:row>
    <x:row r="397" ht="21" customHeight="1">
      <x:c r="A397" s="24" t="n">
        <x:v>46156.770833333336</x:v>
      </x:c>
      <x:c r="B397" s="6" t="n">
        <x:v>0.3323</x:v>
      </x:c>
      <x:c r="C397" s="6" t="n">
        <x:v>0.1822</x:v>
      </x:c>
      <x:c r="D397" s="6" t="n">
        <x:f>'Tariff and method'!$B$4</x:f>
        <x:v>0.2226</x:v>
      </x:c>
      <x:c r="E397" s="1" t="n">
        <x:v>1.05</x:v>
      </x:c>
      <x:c r="F397" s="1" t="str">
        <x:v>https://api.octopus.energy/v1/products/AGILE-24-10-01/electricity-tariffs/E-1R-AGILE-24-10-01-G/standard-unit-rates/</x:v>
      </x:c>
    </x:row>
    <x:row r="398" ht="21" customHeight="1">
      <x:c r="A398" s="24" t="n">
        <x:v>46156.791666666664</x:v>
      </x:c>
      <x:c r="B398" s="6" t="n">
        <x:v>0.23829999999999998</x:v>
      </x:c>
      <x:c r="C398" s="6" t="n">
        <x:v>0.1352</x:v>
      </x:c>
      <x:c r="D398" s="6" t="n">
        <x:f>'Tariff and method'!$B$4</x:f>
        <x:v>0.2226</x:v>
      </x:c>
      <x:c r="E398" s="1" t="n">
        <x:v>1.05</x:v>
      </x:c>
      <x:c r="F398" s="1" t="str">
        <x:v>https://api.octopus.energy/v1/products/AGILE-24-10-01/electricity-tariffs/E-1R-AGILE-24-10-01-G/standard-unit-rates/</x:v>
      </x:c>
    </x:row>
    <x:row r="399" ht="21" customHeight="1">
      <x:c r="A399" s="24" t="n">
        <x:v>46156.8125</x:v>
      </x:c>
      <x:c r="B399" s="6" t="n">
        <x:v>0.2396</x:v>
      </x:c>
      <x:c r="C399" s="6" t="n">
        <x:v>0.1358</x:v>
      </x:c>
      <x:c r="D399" s="6" t="n">
        <x:f>'Tariff and method'!$B$4</x:f>
        <x:v>0.2226</x:v>
      </x:c>
      <x:c r="E399" s="1" t="n">
        <x:v>1.05</x:v>
      </x:c>
      <x:c r="F399" s="1" t="str">
        <x:v>https://api.octopus.energy/v1/products/AGILE-24-10-01/electricity-tariffs/E-1R-AGILE-24-10-01-G/standard-unit-rates/</x:v>
      </x:c>
    </x:row>
    <x:row r="400" ht="21" customHeight="1">
      <x:c r="A400" s="24" t="n">
        <x:v>46156.833333333336</x:v>
      </x:c>
      <x:c r="B400" s="6" t="n">
        <x:v>0.2413</x:v>
      </x:c>
      <x:c r="C400" s="6" t="n">
        <x:v>0.1366</x:v>
      </x:c>
      <x:c r="D400" s="6" t="n">
        <x:f>'Tariff and method'!$B$4</x:f>
        <x:v>0.2226</x:v>
      </x:c>
      <x:c r="E400" s="1" t="n">
        <x:v>1.05</x:v>
      </x:c>
      <x:c r="F400" s="1" t="str">
        <x:v>https://api.octopus.energy/v1/products/AGILE-24-10-01/electricity-tariffs/E-1R-AGILE-24-10-01-G/standard-unit-rates/</x:v>
      </x:c>
    </x:row>
    <x:row r="401" ht="21" customHeight="1">
      <x:c r="A401" s="24" t="n">
        <x:v>46156.854166666664</x:v>
      </x:c>
      <x:c r="B401" s="6" t="n">
        <x:v>0.23309999999999997</x:v>
      </x:c>
      <x:c r="C401" s="6" t="n">
        <x:v>0.1328</x:v>
      </x:c>
      <x:c r="D401" s="6" t="n">
        <x:f>'Tariff and method'!$B$4</x:f>
        <x:v>0.2226</x:v>
      </x:c>
      <x:c r="E401" s="1" t="n">
        <x:v>1.05</x:v>
      </x:c>
      <x:c r="F401" s="1" t="str">
        <x:v>https://api.octopus.energy/v1/products/AGILE-24-10-01/electricity-tariffs/E-1R-AGILE-24-10-01-G/standard-unit-rates/</x:v>
      </x:c>
    </x:row>
    <x:row r="402" ht="21" customHeight="1">
      <x:c r="A402" s="24" t="n">
        <x:v>46156.875</x:v>
      </x:c>
      <x:c r="B402" s="6" t="n">
        <x:v>0.23870000000000002</x:v>
      </x:c>
      <x:c r="C402" s="6" t="n">
        <x:v>0.1354</x:v>
      </x:c>
      <x:c r="D402" s="6" t="n">
        <x:f>'Tariff and method'!$B$4</x:f>
        <x:v>0.2226</x:v>
      </x:c>
      <x:c r="E402" s="1" t="n">
        <x:v>1.05</x:v>
      </x:c>
      <x:c r="F402" s="1" t="str">
        <x:v>https://api.octopus.energy/v1/products/AGILE-24-10-01/electricity-tariffs/E-1R-AGILE-24-10-01-G/standard-unit-rates/</x:v>
      </x:c>
    </x:row>
    <x:row r="403" ht="21" customHeight="1">
      <x:c r="A403" s="24" t="n">
        <x:v>46156.895833333336</x:v>
      </x:c>
      <x:c r="B403" s="6" t="n">
        <x:v>0.2238</x:v>
      </x:c>
      <x:c r="C403" s="6" t="n">
        <x:v>0.1286</x:v>
      </x:c>
      <x:c r="D403" s="6" t="n">
        <x:f>'Tariff and method'!$B$4</x:f>
        <x:v>0.2226</x:v>
      </x:c>
      <x:c r="E403" s="1" t="n">
        <x:v>1.05</x:v>
      </x:c>
      <x:c r="F403" s="1" t="str">
        <x:v>https://api.octopus.energy/v1/products/AGILE-24-10-01/electricity-tariffs/E-1R-AGILE-24-10-01-G/standard-unit-rates/</x:v>
      </x:c>
    </x:row>
    <x:row r="404" ht="21" customHeight="1">
      <x:c r="A404" s="24" t="n">
        <x:v>46156.916666666664</x:v>
      </x:c>
      <x:c r="B404" s="6" t="n">
        <x:v>0.2102</x:v>
      </x:c>
      <x:c r="C404" s="6" t="n">
        <x:v>0.12240000000000001</x:v>
      </x:c>
      <x:c r="D404" s="6" t="n">
        <x:f>'Tariff and method'!$B$4</x:f>
        <x:v>0.2226</x:v>
      </x:c>
      <x:c r="E404" s="1" t="n">
        <x:v>1.05</x:v>
      </x:c>
      <x:c r="F404" s="1" t="str">
        <x:v>https://api.octopus.energy/v1/products/AGILE-24-10-01/electricity-tariffs/E-1R-AGILE-24-10-01-G/standard-unit-rates/</x:v>
      </x:c>
    </x:row>
    <x:row r="405" ht="21" customHeight="1">
      <x:c r="A405" s="24" t="n">
        <x:v>46156.9375</x:v>
      </x:c>
      <x:c r="B405" s="6" t="n">
        <x:v>0.16399999999999998</x:v>
      </x:c>
      <x:c r="C405" s="6" t="n">
        <x:v>0.1012</x:v>
      </x:c>
      <x:c r="D405" s="6" t="n">
        <x:f>'Tariff and method'!$B$4</x:f>
        <x:v>0.2226</x:v>
      </x:c>
      <x:c r="E405" s="1" t="n">
        <x:v>1.05</x:v>
      </x:c>
      <x:c r="F405" s="1" t="str">
        <x:v>https://api.octopus.energy/v1/products/AGILE-24-10-01/electricity-tariffs/E-1R-AGILE-24-10-01-G/standard-unit-rates/</x:v>
      </x:c>
    </x:row>
    <x:row r="406" ht="21" customHeight="1">
      <x:c r="A406" s="24" t="n">
        <x:v>46157</x:v>
      </x:c>
      <x:c r="B406" s="6" t="n">
        <x:v>0.20600000000000002</x:v>
      </x:c>
      <x:c r="C406" s="6" t="n">
        <x:v>0.1204</x:v>
      </x:c>
      <x:c r="D406" s="6" t="n">
        <x:f>'Tariff and method'!$B$4</x:f>
        <x:v>0.2226</x:v>
      </x:c>
      <x:c r="E406" s="1" t="n">
        <x:v>1.05</x:v>
      </x:c>
      <x:c r="F406" s="1" t="str">
        <x:v>https://api.octopus.energy/v1/products/AGILE-24-10-01/electricity-tariffs/E-1R-AGILE-24-10-01-G/standard-unit-rates/</x:v>
      </x:c>
    </x:row>
    <x:row r="407" ht="21" customHeight="1">
      <x:c r="A407" s="24" t="n">
        <x:v>46156.979166666664</x:v>
      </x:c>
      <x:c r="B407" s="6" t="n">
        <x:v>0.19760000000000003</x:v>
      </x:c>
      <x:c r="C407" s="6" t="n">
        <x:v>0.1166</x:v>
      </x:c>
      <x:c r="D407" s="6" t="n">
        <x:f>'Tariff and method'!$B$4</x:f>
        <x:v>0.2226</x:v>
      </x:c>
      <x:c r="E407" s="1" t="n">
        <x:v>1.05</x:v>
      </x:c>
      <x:c r="F407" s="1" t="str">
        <x:v>https://api.octopus.energy/v1/products/AGILE-24-10-01/electricity-tariffs/E-1R-AGILE-24-10-01-G/standard-unit-rates/</x:v>
      </x:c>
    </x:row>
    <x:row r="408" ht="21" customHeight="1">
      <x:c r="A408" s="24" t="n">
        <x:v>46157</x:v>
      </x:c>
      <x:c r="B408" s="6" t="n">
        <x:v>0.18530000000000002</x:v>
      </x:c>
      <x:c r="C408" s="6" t="n">
        <x:v>0.111</x:v>
      </x:c>
      <x:c r="D408" s="6" t="n">
        <x:f>'Tariff and method'!$B$4</x:f>
        <x:v>0.2226</x:v>
      </x:c>
      <x:c r="E408" s="1" t="n">
        <x:v>1.05</x:v>
      </x:c>
      <x:c r="F408" s="1" t="str">
        <x:v>https://api.octopus.energy/v1/products/AGILE-24-10-01/electricity-tariffs/E-1R-AGILE-24-10-01-G/standard-unit-rates/</x:v>
      </x:c>
    </x:row>
    <x:row r="409" ht="21" customHeight="1">
      <x:c r="A409" s="24" t="n">
        <x:v>46157.020833333336</x:v>
      </x:c>
      <x:c r="B409" s="6" t="n">
        <x:v>0.1913</x:v>
      </x:c>
      <x:c r="C409" s="6" t="n">
        <x:v>0.1137</x:v>
      </x:c>
      <x:c r="D409" s="6" t="n">
        <x:f>'Tariff and method'!$B$4</x:f>
        <x:v>0.2226</x:v>
      </x:c>
      <x:c r="E409" s="1" t="n">
        <x:v>1.05</x:v>
      </x:c>
      <x:c r="F409" s="1" t="str">
        <x:v>https://api.octopus.energy/v1/products/AGILE-24-10-01/electricity-tariffs/E-1R-AGILE-24-10-01-G/standard-unit-rates/</x:v>
      </x:c>
    </x:row>
    <x:row r="410" ht="21" customHeight="1">
      <x:c r="A410" s="24" t="n">
        <x:v>46157.041666666664</x:v>
      </x:c>
      <x:c r="B410" s="6" t="n">
        <x:v>0.18710000000000002</x:v>
      </x:c>
      <x:c r="C410" s="6" t="n">
        <x:v>0.1118</x:v>
      </x:c>
      <x:c r="D410" s="6" t="n">
        <x:f>'Tariff and method'!$B$4</x:f>
        <x:v>0.2226</x:v>
      </x:c>
      <x:c r="E410" s="1" t="n">
        <x:v>1.05</x:v>
      </x:c>
      <x:c r="F410" s="1" t="str">
        <x:v>https://api.octopus.energy/v1/products/AGILE-24-10-01/electricity-tariffs/E-1R-AGILE-24-10-01-G/standard-unit-rates/</x:v>
      </x:c>
    </x:row>
    <x:row r="411" ht="21" customHeight="1">
      <x:c r="A411" s="24" t="n">
        <x:v>46157.0625</x:v>
      </x:c>
      <x:c r="B411" s="6" t="n">
        <x:v>0.182</x:v>
      </x:c>
      <x:c r="C411" s="6" t="n">
        <x:v>0.10949999999999999</x:v>
      </x:c>
      <x:c r="D411" s="6" t="n">
        <x:f>'Tariff and method'!$B$4</x:f>
        <x:v>0.2226</x:v>
      </x:c>
      <x:c r="E411" s="1" t="n">
        <x:v>1.05</x:v>
      </x:c>
      <x:c r="F411" s="1" t="str">
        <x:v>https://api.octopus.energy/v1/products/AGILE-24-10-01/electricity-tariffs/E-1R-AGILE-24-10-01-G/standard-unit-rates/</x:v>
      </x:c>
    </x:row>
    <x:row r="412" ht="21" customHeight="1">
      <x:c r="A412" s="24" t="n">
        <x:v>46157.083333333336</x:v>
      </x:c>
      <x:c r="B412" s="6" t="n">
        <x:v>0.1809</x:v>
      </x:c>
      <x:c r="C412" s="6" t="n">
        <x:v>0.10890000000000001</x:v>
      </x:c>
      <x:c r="D412" s="6" t="n">
        <x:f>'Tariff and method'!$B$4</x:f>
        <x:v>0.2226</x:v>
      </x:c>
      <x:c r="E412" s="1" t="n">
        <x:v>1.05</x:v>
      </x:c>
      <x:c r="F412" s="1" t="str">
        <x:v>https://api.octopus.energy/v1/products/AGILE-24-10-01/electricity-tariffs/E-1R-AGILE-24-10-01-G/standard-unit-rates/</x:v>
      </x:c>
    </x:row>
    <x:row r="413" ht="21" customHeight="1">
      <x:c r="A413" s="24" t="n">
        <x:v>46157.104166666664</x:v>
      </x:c>
      <x:c r="B413" s="6" t="n">
        <x:v>0.1661</x:v>
      </x:c>
      <x:c r="C413" s="6" t="n">
        <x:v>0.10220000000000001</x:v>
      </x:c>
      <x:c r="D413" s="6" t="n">
        <x:f>'Tariff and method'!$B$4</x:f>
        <x:v>0.2226</x:v>
      </x:c>
      <x:c r="E413" s="1" t="n">
        <x:v>1.05</x:v>
      </x:c>
      <x:c r="F413" s="1" t="str">
        <x:v>https://api.octopus.energy/v1/products/AGILE-24-10-01/electricity-tariffs/E-1R-AGILE-24-10-01-G/standard-unit-rates/</x:v>
      </x:c>
    </x:row>
    <x:row r="414" ht="21" customHeight="1">
      <x:c r="A414" s="24" t="n">
        <x:v>46157.125</x:v>
      </x:c>
      <x:c r="B414" s="6" t="n">
        <x:v>0.1661</x:v>
      </x:c>
      <x:c r="C414" s="6" t="n">
        <x:v>0.10220000000000001</x:v>
      </x:c>
      <x:c r="D414" s="6" t="n">
        <x:f>'Tariff and method'!$B$4</x:f>
        <x:v>0.2226</x:v>
      </x:c>
      <x:c r="E414" s="1" t="n">
        <x:v>1.05</x:v>
      </x:c>
      <x:c r="F414" s="1" t="str">
        <x:v>https://api.octopus.energy/v1/products/AGILE-24-10-01/electricity-tariffs/E-1R-AGILE-24-10-01-G/standard-unit-rates/</x:v>
      </x:c>
    </x:row>
    <x:row r="415" ht="21" customHeight="1">
      <x:c r="A415" s="24" t="n">
        <x:v>46157.145833333336</x:v>
      </x:c>
      <x:c r="B415" s="6" t="n">
        <x:v>0.1634</x:v>
      </x:c>
      <x:c r="C415" s="6" t="n">
        <x:v>0.10099999999999999</x:v>
      </x:c>
      <x:c r="D415" s="6" t="n">
        <x:f>'Tariff and method'!$B$4</x:f>
        <x:v>0.2226</x:v>
      </x:c>
      <x:c r="E415" s="1" t="n">
        <x:v>1.05</x:v>
      </x:c>
      <x:c r="F415" s="1" t="str">
        <x:v>https://api.octopus.energy/v1/products/AGILE-24-10-01/electricity-tariffs/E-1R-AGILE-24-10-01-G/standard-unit-rates/</x:v>
      </x:c>
    </x:row>
    <x:row r="416" ht="21" customHeight="1">
      <x:c r="A416" s="24" t="n">
        <x:v>46157.166666666664</x:v>
      </x:c>
      <x:c r="B416" s="6" t="n">
        <x:v>0.1661</x:v>
      </x:c>
      <x:c r="C416" s="6" t="n">
        <x:v>0.10220000000000001</x:v>
      </x:c>
      <x:c r="D416" s="6" t="n">
        <x:f>'Tariff and method'!$B$4</x:f>
        <x:v>0.2226</x:v>
      </x:c>
      <x:c r="E416" s="1" t="n">
        <x:v>1.05</x:v>
      </x:c>
      <x:c r="F416" s="1" t="str">
        <x:v>https://api.octopus.energy/v1/products/AGILE-24-10-01/electricity-tariffs/E-1R-AGILE-24-10-01-G/standard-unit-rates/</x:v>
      </x:c>
    </x:row>
    <x:row r="417" ht="21" customHeight="1">
      <x:c r="A417" s="24" t="n">
        <x:v>46157.1875</x:v>
      </x:c>
      <x:c r="B417" s="6" t="n">
        <x:v>0.1661</x:v>
      </x:c>
      <x:c r="C417" s="6" t="n">
        <x:v>0.10220000000000001</x:v>
      </x:c>
      <x:c r="D417" s="6" t="n">
        <x:f>'Tariff and method'!$B$4</x:f>
        <x:v>0.2226</x:v>
      </x:c>
      <x:c r="E417" s="1" t="n">
        <x:v>1.05</x:v>
      </x:c>
      <x:c r="F417" s="1" t="str">
        <x:v>https://api.octopus.energy/v1/products/AGILE-24-10-01/electricity-tariffs/E-1R-AGILE-24-10-01-G/standard-unit-rates/</x:v>
      </x:c>
    </x:row>
    <x:row r="418" ht="21" customHeight="1">
      <x:c r="A418" s="24" t="n">
        <x:v>46157.208333333336</x:v>
      </x:c>
      <x:c r="B418" s="6" t="n">
        <x:v>0.1661</x:v>
      </x:c>
      <x:c r="C418" s="6" t="n">
        <x:v>0.10220000000000001</x:v>
      </x:c>
      <x:c r="D418" s="6" t="n">
        <x:f>'Tariff and method'!$B$4</x:f>
        <x:v>0.2226</x:v>
      </x:c>
      <x:c r="E418" s="1" t="n">
        <x:v>1.05</x:v>
      </x:c>
      <x:c r="F418" s="1" t="str">
        <x:v>https://api.octopus.energy/v1/products/AGILE-24-10-01/electricity-tariffs/E-1R-AGILE-24-10-01-G/standard-unit-rates/</x:v>
      </x:c>
    </x:row>
    <x:row r="419" ht="21" customHeight="1">
      <x:c r="A419" s="24" t="n">
        <x:v>46157.229166666664</x:v>
      </x:c>
      <x:c r="B419" s="6" t="n">
        <x:v>0.1766</x:v>
      </x:c>
      <x:c r="C419" s="6" t="n">
        <x:v>0.107</x:v>
      </x:c>
      <x:c r="D419" s="6" t="n">
        <x:f>'Tariff and method'!$B$4</x:f>
        <x:v>0.2226</x:v>
      </x:c>
      <x:c r="E419" s="1" t="n">
        <x:v>1.05</x:v>
      </x:c>
      <x:c r="F419" s="1" t="str">
        <x:v>https://api.octopus.energy/v1/products/AGILE-24-10-01/electricity-tariffs/E-1R-AGILE-24-10-01-G/standard-unit-rates/</x:v>
      </x:c>
    </x:row>
    <x:row r="420" ht="21" customHeight="1">
      <x:c r="A420" s="24" t="n">
        <x:v>46157.25</x:v>
      </x:c>
      <x:c r="B420" s="6" t="n">
        <x:v>0.1775</x:v>
      </x:c>
      <x:c r="C420" s="6" t="n">
        <x:v>0.1074</x:v>
      </x:c>
      <x:c r="D420" s="6" t="n">
        <x:f>'Tariff and method'!$B$4</x:f>
        <x:v>0.2226</x:v>
      </x:c>
      <x:c r="E420" s="1" t="n">
        <x:v>1.05</x:v>
      </x:c>
      <x:c r="F420" s="1" t="str">
        <x:v>https://api.octopus.energy/v1/products/AGILE-24-10-01/electricity-tariffs/E-1R-AGILE-24-10-01-G/standard-unit-rates/</x:v>
      </x:c>
    </x:row>
    <x:row r="421" ht="21" customHeight="1">
      <x:c r="A421" s="24" t="n">
        <x:v>46157.270833333336</x:v>
      </x:c>
      <x:c r="B421" s="6" t="n">
        <x:v>0.2144</x:v>
      </x:c>
      <x:c r="C421" s="6" t="n">
        <x:v>0.1243</x:v>
      </x:c>
      <x:c r="D421" s="6" t="n">
        <x:f>'Tariff and method'!$B$4</x:f>
        <x:v>0.2226</x:v>
      </x:c>
      <x:c r="E421" s="1" t="n">
        <x:v>1.05</x:v>
      </x:c>
      <x:c r="F421" s="1" t="str">
        <x:v>https://api.octopus.energy/v1/products/AGILE-24-10-01/electricity-tariffs/E-1R-AGILE-24-10-01-G/standard-unit-rates/</x:v>
      </x:c>
    </x:row>
    <x:row r="422" ht="21" customHeight="1">
      <x:c r="A422" s="24" t="n">
        <x:v>46157.291666666664</x:v>
      </x:c>
      <x:c r="B422" s="6" t="n">
        <x:v>0.19760000000000003</x:v>
      </x:c>
      <x:c r="C422" s="6" t="n">
        <x:v>0.1166</x:v>
      </x:c>
      <x:c r="D422" s="6" t="n">
        <x:f>'Tariff and method'!$B$4</x:f>
        <x:v>0.2226</x:v>
      </x:c>
      <x:c r="E422" s="1" t="n">
        <x:v>1.05</x:v>
      </x:c>
      <x:c r="F422" s="1" t="str">
        <x:v>https://api.octopus.energy/v1/products/AGILE-24-10-01/electricity-tariffs/E-1R-AGILE-24-10-01-G/standard-unit-rates/</x:v>
      </x:c>
    </x:row>
    <x:row r="423" ht="21" customHeight="1">
      <x:c r="A423" s="24" t="n">
        <x:v>46157.3125</x:v>
      </x:c>
      <x:c r="B423" s="6" t="n">
        <x:v>0.2039</x:v>
      </x:c>
      <x:c r="C423" s="6" t="n">
        <x:v>0.1195</x:v>
      </x:c>
      <x:c r="D423" s="6" t="n">
        <x:f>'Tariff and method'!$B$4</x:f>
        <x:v>0.2226</x:v>
      </x:c>
      <x:c r="E423" s="1" t="n">
        <x:v>1.05</x:v>
      </x:c>
      <x:c r="F423" s="1" t="str">
        <x:v>https://api.octopus.energy/v1/products/AGILE-24-10-01/electricity-tariffs/E-1R-AGILE-24-10-01-G/standard-unit-rates/</x:v>
      </x:c>
    </x:row>
    <x:row r="424" ht="21" customHeight="1">
      <x:c r="A424" s="24" t="n">
        <x:v>46157.333333333336</x:v>
      </x:c>
      <x:c r="B424" s="6" t="n">
        <x:v>0.1661</x:v>
      </x:c>
      <x:c r="C424" s="6" t="n">
        <x:v>0.10220000000000001</x:v>
      </x:c>
      <x:c r="D424" s="6" t="n">
        <x:f>'Tariff and method'!$B$4</x:f>
        <x:v>0.2226</x:v>
      </x:c>
      <x:c r="E424" s="1" t="n">
        <x:v>1.05</x:v>
      </x:c>
      <x:c r="F424" s="1" t="str">
        <x:v>https://api.octopus.energy/v1/products/AGILE-24-10-01/electricity-tariffs/E-1R-AGILE-24-10-01-G/standard-unit-rates/</x:v>
      </x:c>
    </x:row>
    <x:row r="425" ht="21" customHeight="1">
      <x:c r="A425" s="24" t="n">
        <x:v>46157.354166666664</x:v>
      </x:c>
      <x:c r="B425" s="6" t="n">
        <x:v>0.15560000000000002</x:v>
      </x:c>
      <x:c r="C425" s="6" t="n">
        <x:v>0.0974</x:v>
      </x:c>
      <x:c r="D425" s="6" t="n">
        <x:f>'Tariff and method'!$B$4</x:f>
        <x:v>0.2226</x:v>
      </x:c>
      <x:c r="E425" s="1" t="n">
        <x:v>1.05</x:v>
      </x:c>
      <x:c r="F425" s="1" t="str">
        <x:v>https://api.octopus.energy/v1/products/AGILE-24-10-01/electricity-tariffs/E-1R-AGILE-24-10-01-G/standard-unit-rates/</x:v>
      </x:c>
    </x:row>
    <x:row r="426" ht="21" customHeight="1">
      <x:c r="A426" s="24" t="n">
        <x:v>46157.375</x:v>
      </x:c>
      <x:c r="B426" s="6" t="n">
        <x:v>0.1388</x:v>
      </x:c>
      <x:c r="C426" s="6" t="n">
        <x:v>0.0897</x:v>
      </x:c>
      <x:c r="D426" s="6" t="n">
        <x:f>'Tariff and method'!$B$4</x:f>
        <x:v>0.2226</x:v>
      </x:c>
      <x:c r="E426" s="1" t="n">
        <x:v>1.05</x:v>
      </x:c>
      <x:c r="F426" s="1" t="str">
        <x:v>https://api.octopus.energy/v1/products/AGILE-24-10-01/electricity-tariffs/E-1R-AGILE-24-10-01-G/standard-unit-rates/</x:v>
      </x:c>
    </x:row>
    <x:row r="427" ht="21" customHeight="1">
      <x:c r="A427" s="24" t="n">
        <x:v>46157.395833333336</x:v>
      </x:c>
      <x:c r="B427" s="6" t="n">
        <x:v>0.1388</x:v>
      </x:c>
      <x:c r="C427" s="6" t="n">
        <x:v>0.0897</x:v>
      </x:c>
      <x:c r="D427" s="6" t="n">
        <x:f>'Tariff and method'!$B$4</x:f>
        <x:v>0.2226</x:v>
      </x:c>
      <x:c r="E427" s="1" t="n">
        <x:v>1.05</x:v>
      </x:c>
      <x:c r="F427" s="1" t="str">
        <x:v>https://api.octopus.energy/v1/products/AGILE-24-10-01/electricity-tariffs/E-1R-AGILE-24-10-01-G/standard-unit-rates/</x:v>
      </x:c>
    </x:row>
    <x:row r="428" ht="21" customHeight="1">
      <x:c r="A428" s="24" t="n">
        <x:v>46157.416666666664</x:v>
      </x:c>
      <x:c r="B428" s="6" t="n">
        <x:v>0.1363</x:v>
      </x:c>
      <x:c r="C428" s="6" t="n">
        <x:v>0.0886</x:v>
      </x:c>
      <x:c r="D428" s="6" t="n">
        <x:f>'Tariff and method'!$B$4</x:f>
        <x:v>0.2226</x:v>
      </x:c>
      <x:c r="E428" s="1" t="n">
        <x:v>1.05</x:v>
      </x:c>
      <x:c r="F428" s="1" t="str">
        <x:v>https://api.octopus.energy/v1/products/AGILE-24-10-01/electricity-tariffs/E-1R-AGILE-24-10-01-G/standard-unit-rates/</x:v>
      </x:c>
    </x:row>
    <x:row r="429" ht="21" customHeight="1">
      <x:c r="A429" s="24" t="n">
        <x:v>46157.4375</x:v>
      </x:c>
      <x:c r="B429" s="6" t="n">
        <x:v>0.1323</x:v>
      </x:c>
      <x:c r="C429" s="6" t="n">
        <x:v>0.0867</x:v>
      </x:c>
      <x:c r="D429" s="6" t="n">
        <x:f>'Tariff and method'!$B$4</x:f>
        <x:v>0.2226</x:v>
      </x:c>
      <x:c r="E429" s="1" t="n">
        <x:v>1.05</x:v>
      </x:c>
      <x:c r="F429" s="1" t="str">
        <x:v>https://api.octopus.energy/v1/products/AGILE-24-10-01/electricity-tariffs/E-1R-AGILE-24-10-01-G/standard-unit-rates/</x:v>
      </x:c>
    </x:row>
    <x:row r="430" ht="21" customHeight="1">
      <x:c r="A430" s="24" t="n">
        <x:v>46157.458333333336</x:v>
      </x:c>
      <x:c r="B430" s="6" t="n">
        <x:v>0.12539999999999998</x:v>
      </x:c>
      <x:c r="C430" s="6" t="n">
        <x:v>0.0836</x:v>
      </x:c>
      <x:c r="D430" s="6" t="n">
        <x:f>'Tariff and method'!$B$4</x:f>
        <x:v>0.2226</x:v>
      </x:c>
      <x:c r="E430" s="1" t="n">
        <x:v>1.05</x:v>
      </x:c>
      <x:c r="F430" s="1" t="str">
        <x:v>https://api.octopus.energy/v1/products/AGILE-24-10-01/electricity-tariffs/E-1R-AGILE-24-10-01-G/standard-unit-rates/</x:v>
      </x:c>
    </x:row>
    <x:row r="431" ht="21" customHeight="1">
      <x:c r="A431" s="24" t="n">
        <x:v>46157.479166666664</x:v>
      </x:c>
      <x:c r="B431" s="6" t="n">
        <x:v>0.1325</x:v>
      </x:c>
      <x:c r="C431" s="6" t="n">
        <x:v>0.0868</x:v>
      </x:c>
      <x:c r="D431" s="6" t="n">
        <x:f>'Tariff and method'!$B$4</x:f>
        <x:v>0.2226</x:v>
      </x:c>
      <x:c r="E431" s="1" t="n">
        <x:v>1.05</x:v>
      </x:c>
      <x:c r="F431" s="1" t="str">
        <x:v>https://api.octopus.energy/v1/products/AGILE-24-10-01/electricity-tariffs/E-1R-AGILE-24-10-01-G/standard-unit-rates/</x:v>
      </x:c>
    </x:row>
    <x:row r="432" ht="21" customHeight="1">
      <x:c r="A432" s="24" t="n">
        <x:v>46157.5</x:v>
      </x:c>
      <x:c r="B432" s="6" t="n">
        <x:v>0.1346</x:v>
      </x:c>
      <x:c r="C432" s="6" t="n">
        <x:v>0.08779999999999999</x:v>
      </x:c>
      <x:c r="D432" s="6" t="n">
        <x:f>'Tariff and method'!$B$4</x:f>
        <x:v>0.2226</x:v>
      </x:c>
      <x:c r="E432" s="1" t="n">
        <x:v>1.05</x:v>
      </x:c>
      <x:c r="F432" s="1" t="str">
        <x:v>https://api.octopus.energy/v1/products/AGILE-24-10-01/electricity-tariffs/E-1R-AGILE-24-10-01-G/standard-unit-rates/</x:v>
      </x:c>
    </x:row>
    <x:row r="433" ht="21" customHeight="1">
      <x:c r="A433" s="24" t="n">
        <x:v>46157.520833333336</x:v>
      </x:c>
      <x:c r="B433" s="6" t="n">
        <x:v>0.134</x:v>
      </x:c>
      <x:c r="C433" s="6" t="n">
        <x:v>0.0875</x:v>
      </x:c>
      <x:c r="D433" s="6" t="n">
        <x:f>'Tariff and method'!$B$4</x:f>
        <x:v>0.2226</x:v>
      </x:c>
      <x:c r="E433" s="1" t="n">
        <x:v>1.05</x:v>
      </x:c>
      <x:c r="F433" s="1" t="str">
        <x:v>https://api.octopus.energy/v1/products/AGILE-24-10-01/electricity-tariffs/E-1R-AGILE-24-10-01-G/standard-unit-rates/</x:v>
      </x:c>
    </x:row>
    <x:row r="434" ht="21" customHeight="1">
      <x:c r="A434" s="24" t="n">
        <x:v>46157.541666666664</x:v>
      </x:c>
      <x:c r="B434" s="6" t="n">
        <x:v>0.1317</x:v>
      </x:c>
      <x:c r="C434" s="6" t="n">
        <x:v>0.08650000000000001</x:v>
      </x:c>
      <x:c r="D434" s="6" t="n">
        <x:f>'Tariff and method'!$B$4</x:f>
        <x:v>0.2226</x:v>
      </x:c>
      <x:c r="E434" s="1" t="n">
        <x:v>1.05</x:v>
      </x:c>
      <x:c r="F434" s="1" t="str">
        <x:v>https://api.octopus.energy/v1/products/AGILE-24-10-01/electricity-tariffs/E-1R-AGILE-24-10-01-G/standard-unit-rates/</x:v>
      </x:c>
    </x:row>
    <x:row r="435" ht="21" customHeight="1">
      <x:c r="A435" s="24" t="n">
        <x:v>46157.5625</x:v>
      </x:c>
      <x:c r="B435" s="6" t="n">
        <x:v>0.1278</x:v>
      </x:c>
      <x:c r="C435" s="6" t="n">
        <x:v>0.08470000000000001</x:v>
      </x:c>
      <x:c r="D435" s="6" t="n">
        <x:f>'Tariff and method'!$B$4</x:f>
        <x:v>0.2226</x:v>
      </x:c>
      <x:c r="E435" s="1" t="n">
        <x:v>1.05</x:v>
      </x:c>
      <x:c r="F435" s="1" t="str">
        <x:v>https://api.octopus.energy/v1/products/AGILE-24-10-01/electricity-tariffs/E-1R-AGILE-24-10-01-G/standard-unit-rates/</x:v>
      </x:c>
    </x:row>
    <x:row r="436" ht="21" customHeight="1">
      <x:c r="A436" s="24" t="n">
        <x:v>46157.583333333336</x:v>
      </x:c>
      <x:c r="B436" s="6" t="n">
        <x:v>0.1318</x:v>
      </x:c>
      <x:c r="C436" s="6" t="n">
        <x:v>0.08650000000000001</x:v>
      </x:c>
      <x:c r="D436" s="6" t="n">
        <x:f>'Tariff and method'!$B$4</x:f>
        <x:v>0.2226</x:v>
      </x:c>
      <x:c r="E436" s="1" t="n">
        <x:v>1.05</x:v>
      </x:c>
      <x:c r="F436" s="1" t="str">
        <x:v>https://api.octopus.energy/v1/products/AGILE-24-10-01/electricity-tariffs/E-1R-AGILE-24-10-01-G/standard-unit-rates/</x:v>
      </x:c>
    </x:row>
    <x:row r="437" ht="21" customHeight="1">
      <x:c r="A437" s="24" t="n">
        <x:v>46157.604166666664</x:v>
      </x:c>
      <x:c r="B437" s="6" t="n">
        <x:v>0.1346</x:v>
      </x:c>
      <x:c r="C437" s="6" t="n">
        <x:v>0.08779999999999999</x:v>
      </x:c>
      <x:c r="D437" s="6" t="n">
        <x:f>'Tariff and method'!$B$4</x:f>
        <x:v>0.2226</x:v>
      </x:c>
      <x:c r="E437" s="1" t="n">
        <x:v>1.05</x:v>
      </x:c>
      <x:c r="F437" s="1" t="str">
        <x:v>https://api.octopus.energy/v1/products/AGILE-24-10-01/electricity-tariffs/E-1R-AGILE-24-10-01-G/standard-unit-rates/</x:v>
      </x:c>
    </x:row>
    <x:row r="438" ht="21" customHeight="1">
      <x:c r="A438" s="24" t="n">
        <x:v>46157.625</x:v>
      </x:c>
      <x:c r="B438" s="6" t="n">
        <x:v>0.14300000000000002</x:v>
      </x:c>
      <x:c r="C438" s="6" t="n">
        <x:v>0.0916</x:v>
      </x:c>
      <x:c r="D438" s="6" t="n">
        <x:f>'Tariff and method'!$B$4</x:f>
        <x:v>0.2226</x:v>
      </x:c>
      <x:c r="E438" s="1" t="n">
        <x:v>1.05</x:v>
      </x:c>
      <x:c r="F438" s="1" t="str">
        <x:v>https://api.octopus.energy/v1/products/AGILE-24-10-01/electricity-tariffs/E-1R-AGILE-24-10-01-G/standard-unit-rates/</x:v>
      </x:c>
    </x:row>
    <x:row r="439" ht="21" customHeight="1">
      <x:c r="A439" s="24" t="n">
        <x:v>46157.645833333336</x:v>
      </x:c>
      <x:c r="B439" s="6" t="n">
        <x:v>0.1527</x:v>
      </x:c>
      <x:c r="C439" s="6" t="n">
        <x:v>0.09609999999999999</x:v>
      </x:c>
      <x:c r="D439" s="6" t="n">
        <x:f>'Tariff and method'!$B$4</x:f>
        <x:v>0.2226</x:v>
      </x:c>
      <x:c r="E439" s="1" t="n">
        <x:v>1.05</x:v>
      </x:c>
      <x:c r="F439" s="1" t="str">
        <x:v>https://api.octopus.energy/v1/products/AGILE-24-10-01/electricity-tariffs/E-1R-AGILE-24-10-01-G/standard-unit-rates/</x:v>
      </x:c>
    </x:row>
    <x:row r="440" ht="21" customHeight="1">
      <x:c r="A440" s="24" t="n">
        <x:v>46157.666666666664</x:v>
      </x:c>
      <x:c r="B440" s="6" t="n">
        <x:v>0.2826</x:v>
      </x:c>
      <x:c r="C440" s="6" t="n">
        <x:v>0.1595</x:v>
      </x:c>
      <x:c r="D440" s="6" t="n">
        <x:f>'Tariff and method'!$B$4</x:f>
        <x:v>0.2226</x:v>
      </x:c>
      <x:c r="E440" s="1" t="n">
        <x:v>1.05</x:v>
      </x:c>
      <x:c r="F440" s="1" t="str">
        <x:v>https://api.octopus.energy/v1/products/AGILE-24-10-01/electricity-tariffs/E-1R-AGILE-24-10-01-G/standard-unit-rates/</x:v>
      </x:c>
    </x:row>
    <x:row r="441" ht="21" customHeight="1">
      <x:c r="A441" s="24" t="n">
        <x:v>46157.6875</x:v>
      </x:c>
      <x:c r="B441" s="6" t="n">
        <x:v>0.2861</x:v>
      </x:c>
      <x:c r="C441" s="6" t="n">
        <x:v>0.1611</x:v>
      </x:c>
      <x:c r="D441" s="6" t="n">
        <x:f>'Tariff and method'!$B$4</x:f>
        <x:v>0.2226</x:v>
      </x:c>
      <x:c r="E441" s="1" t="n">
        <x:v>1.05</x:v>
      </x:c>
      <x:c r="F441" s="1" t="str">
        <x:v>https://api.octopus.energy/v1/products/AGILE-24-10-01/electricity-tariffs/E-1R-AGILE-24-10-01-G/standard-unit-rates/</x:v>
      </x:c>
    </x:row>
    <x:row r="442" ht="21" customHeight="1">
      <x:c r="A442" s="24" t="n">
        <x:v>46157.708333333336</x:v>
      </x:c>
      <x:c r="B442" s="6" t="n">
        <x:v>0.3264</x:v>
      </x:c>
      <x:c r="C442" s="6" t="n">
        <x:v>0.1795</x:v>
      </x:c>
      <x:c r="D442" s="6" t="n">
        <x:f>'Tariff and method'!$B$4</x:f>
        <x:v>0.2226</x:v>
      </x:c>
      <x:c r="E442" s="1" t="n">
        <x:v>1.05</x:v>
      </x:c>
      <x:c r="F442" s="1" t="str">
        <x:v>https://api.octopus.energy/v1/products/AGILE-24-10-01/electricity-tariffs/E-1R-AGILE-24-10-01-G/standard-unit-rates/</x:v>
      </x:c>
    </x:row>
    <x:row r="443" ht="21" customHeight="1">
      <x:c r="A443" s="24" t="n">
        <x:v>46157.729166666664</x:v>
      </x:c>
      <x:c r="B443" s="6" t="n">
        <x:v>0.30820000000000003</x:v>
      </x:c>
      <x:c r="C443" s="6" t="n">
        <x:v>0.17120000000000002</x:v>
      </x:c>
      <x:c r="D443" s="6" t="n">
        <x:f>'Tariff and method'!$B$4</x:f>
        <x:v>0.2226</x:v>
      </x:c>
      <x:c r="E443" s="1" t="n">
        <x:v>1.05</x:v>
      </x:c>
      <x:c r="F443" s="1" t="str">
        <x:v>https://api.octopus.energy/v1/products/AGILE-24-10-01/electricity-tariffs/E-1R-AGILE-24-10-01-G/standard-unit-rates/</x:v>
      </x:c>
    </x:row>
    <x:row r="444" ht="21" customHeight="1">
      <x:c r="A444" s="24" t="n">
        <x:v>46157.75</x:v>
      </x:c>
      <x:c r="B444" s="6" t="n">
        <x:v>0.3134</x:v>
      </x:c>
      <x:c r="C444" s="6" t="n">
        <x:v>0.1736</x:v>
      </x:c>
      <x:c r="D444" s="6" t="n">
        <x:f>'Tariff and method'!$B$4</x:f>
        <x:v>0.2226</x:v>
      </x:c>
      <x:c r="E444" s="1" t="n">
        <x:v>1.05</x:v>
      </x:c>
      <x:c r="F444" s="1" t="str">
        <x:v>https://api.octopus.energy/v1/products/AGILE-24-10-01/electricity-tariffs/E-1R-AGILE-24-10-01-G/standard-unit-rates/</x:v>
      </x:c>
    </x:row>
    <x:row r="445" ht="21" customHeight="1">
      <x:c r="A445" s="24" t="n">
        <x:v>46157.770833333336</x:v>
      </x:c>
      <x:c r="B445" s="6" t="n">
        <x:v>0.33649999999999997</x:v>
      </x:c>
      <x:c r="C445" s="6" t="n">
        <x:v>0.1841</x:v>
      </x:c>
      <x:c r="D445" s="6" t="n">
        <x:f>'Tariff and method'!$B$4</x:f>
        <x:v>0.2226</x:v>
      </x:c>
      <x:c r="E445" s="1" t="n">
        <x:v>1.05</x:v>
      </x:c>
      <x:c r="F445" s="1" t="str">
        <x:v>https://api.octopus.energy/v1/products/AGILE-24-10-01/electricity-tariffs/E-1R-AGILE-24-10-01-G/standard-unit-rates/</x:v>
      </x:c>
    </x:row>
    <x:row r="446" ht="21" customHeight="1">
      <x:c r="A446" s="24" t="n">
        <x:v>46157.791666666664</x:v>
      </x:c>
      <x:c r="B446" s="6" t="n">
        <x:v>0.23399999999999999</x:v>
      </x:c>
      <x:c r="C446" s="6" t="n">
        <x:v>0.1333</x:v>
      </x:c>
      <x:c r="D446" s="6" t="n">
        <x:f>'Tariff and method'!$B$4</x:f>
        <x:v>0.2226</x:v>
      </x:c>
      <x:c r="E446" s="1" t="n">
        <x:v>1.05</x:v>
      </x:c>
      <x:c r="F446" s="1" t="str">
        <x:v>https://api.octopus.energy/v1/products/AGILE-24-10-01/electricity-tariffs/E-1R-AGILE-24-10-01-G/standard-unit-rates/</x:v>
      </x:c>
    </x:row>
    <x:row r="447" ht="21" customHeight="1">
      <x:c r="A447" s="24" t="n">
        <x:v>46157.8125</x:v>
      </x:c>
      <x:c r="B447" s="6" t="n">
        <x:v>0.2375</x:v>
      </x:c>
      <x:c r="C447" s="6" t="n">
        <x:v>0.1348</x:v>
      </x:c>
      <x:c r="D447" s="6" t="n">
        <x:f>'Tariff and method'!$B$4</x:f>
        <x:v>0.2226</x:v>
      </x:c>
      <x:c r="E447" s="1" t="n">
        <x:v>1.05</x:v>
      </x:c>
      <x:c r="F447" s="1" t="str">
        <x:v>https://api.octopus.energy/v1/products/AGILE-24-10-01/electricity-tariffs/E-1R-AGILE-24-10-01-G/standard-unit-rates/</x:v>
      </x:c>
    </x:row>
    <x:row r="448" ht="21" customHeight="1">
      <x:c r="A448" s="24" t="n">
        <x:v>46157.833333333336</x:v>
      </x:c>
      <x:c r="B448" s="6" t="n">
        <x:v>0.2386</x:v>
      </x:c>
      <x:c r="C448" s="6" t="n">
        <x:v>0.1353</x:v>
      </x:c>
      <x:c r="D448" s="6" t="n">
        <x:f>'Tariff and method'!$B$4</x:f>
        <x:v>0.2226</x:v>
      </x:c>
      <x:c r="E448" s="1" t="n">
        <x:v>1.05</x:v>
      </x:c>
      <x:c r="F448" s="1" t="str">
        <x:v>https://api.octopus.energy/v1/products/AGILE-24-10-01/electricity-tariffs/E-1R-AGILE-24-10-01-G/standard-unit-rates/</x:v>
      </x:c>
    </x:row>
    <x:row r="449" ht="21" customHeight="1">
      <x:c r="A449" s="24" t="n">
        <x:v>46157.854166666664</x:v>
      </x:c>
      <x:c r="B449" s="6" t="n">
        <x:v>0.2348</x:v>
      </x:c>
      <x:c r="C449" s="6" t="n">
        <x:v>0.1336</x:v>
      </x:c>
      <x:c r="D449" s="6" t="n">
        <x:f>'Tariff and method'!$B$4</x:f>
        <x:v>0.2226</x:v>
      </x:c>
      <x:c r="E449" s="1" t="n">
        <x:v>1.05</x:v>
      </x:c>
      <x:c r="F449" s="1" t="str">
        <x:v>https://api.octopus.energy/v1/products/AGILE-24-10-01/electricity-tariffs/E-1R-AGILE-24-10-01-G/standard-unit-rates/</x:v>
      </x:c>
    </x:row>
    <x:row r="450" ht="21" customHeight="1">
      <x:c r="A450" s="24" t="n">
        <x:v>46157.875</x:v>
      </x:c>
      <x:c r="B450" s="6" t="n">
        <x:v>0.2159</x:v>
      </x:c>
      <x:c r="C450" s="6" t="n">
        <x:v>0.125</x:v>
      </x:c>
      <x:c r="D450" s="6" t="n">
        <x:f>'Tariff and method'!$B$4</x:f>
        <x:v>0.2226</x:v>
      </x:c>
      <x:c r="E450" s="1" t="n">
        <x:v>1.05</x:v>
      </x:c>
      <x:c r="F450" s="1" t="str">
        <x:v>https://api.octopus.energy/v1/products/AGILE-24-10-01/electricity-tariffs/E-1R-AGILE-24-10-01-G/standard-unit-rates/</x:v>
      </x:c>
    </x:row>
    <x:row r="451" ht="21" customHeight="1">
      <x:c r="A451" s="24" t="n">
        <x:v>46157.895833333336</x:v>
      </x:c>
      <x:c r="B451" s="6" t="n">
        <x:v>0.2162</x:v>
      </x:c>
      <x:c r="C451" s="6" t="n">
        <x:v>0.1251</x:v>
      </x:c>
      <x:c r="D451" s="6" t="n">
        <x:f>'Tariff and method'!$B$4</x:f>
        <x:v>0.2226</x:v>
      </x:c>
      <x:c r="E451" s="1" t="n">
        <x:v>1.05</x:v>
      </x:c>
      <x:c r="F451" s="1" t="str">
        <x:v>https://api.octopus.energy/v1/products/AGILE-24-10-01/electricity-tariffs/E-1R-AGILE-24-10-01-G/standard-unit-rates/</x:v>
      </x:c>
    </x:row>
    <x:row r="452" ht="21" customHeight="1">
      <x:c r="A452" s="24" t="n">
        <x:v>46157.916666666664</x:v>
      </x:c>
      <x:c r="B452" s="6" t="n">
        <x:v>0.217</x:v>
      </x:c>
      <x:c r="C452" s="6" t="n">
        <x:v>0.1255</x:v>
      </x:c>
      <x:c r="D452" s="6" t="n">
        <x:f>'Tariff and method'!$B$4</x:f>
        <x:v>0.2226</x:v>
      </x:c>
      <x:c r="E452" s="1" t="n">
        <x:v>1.05</x:v>
      </x:c>
      <x:c r="F452" s="1" t="str">
        <x:v>https://api.octopus.energy/v1/products/AGILE-24-10-01/electricity-tariffs/E-1R-AGILE-24-10-01-G/standard-unit-rates/</x:v>
      </x:c>
    </x:row>
    <x:row r="453" ht="21" customHeight="1">
      <x:c r="A453" s="24" t="n">
        <x:v>46157.9375</x:v>
      </x:c>
      <x:c r="B453" s="6" t="n">
        <x:v>0.193</x:v>
      </x:c>
      <x:c r="C453" s="6" t="n">
        <x:v>0.11449999999999999</x:v>
      </x:c>
      <x:c r="D453" s="6" t="n">
        <x:f>'Tariff and method'!$B$4</x:f>
        <x:v>0.2226</x:v>
      </x:c>
      <x:c r="E453" s="1" t="n">
        <x:v>1.05</x:v>
      </x:c>
      <x:c r="F453" s="1" t="str">
        <x:v>https://api.octopus.energy/v1/products/AGILE-24-10-01/electricity-tariffs/E-1R-AGILE-24-10-01-G/standard-unit-rates/</x:v>
      </x:c>
    </x:row>
    <x:row r="454" ht="21" customHeight="1">
      <x:c r="A454" s="24" t="n">
        <x:v>46158</x:v>
      </x:c>
      <x:c r="B454" s="6" t="n">
        <x:v>0.18789999999999998</x:v>
      </x:c>
      <x:c r="C454" s="6" t="n">
        <x:v>0.1121</x:v>
      </x:c>
      <x:c r="D454" s="6" t="n">
        <x:f>'Tariff and method'!$B$4</x:f>
        <x:v>0.2226</x:v>
      </x:c>
      <x:c r="E454" s="1" t="n">
        <x:v>1.05</x:v>
      </x:c>
      <x:c r="F454" s="1" t="str">
        <x:v>https://api.octopus.energy/v1/products/AGILE-24-10-01/electricity-tariffs/E-1R-AGILE-24-10-01-G/standard-unit-rates/</x:v>
      </x:c>
    </x:row>
    <x:row r="455" ht="21" customHeight="1">
      <x:c r="A455" s="24" t="n">
        <x:v>46157.979166666664</x:v>
      </x:c>
      <x:c r="B455" s="6" t="n">
        <x:v>0.2102</x:v>
      </x:c>
      <x:c r="C455" s="6" t="n">
        <x:v>0.12240000000000001</x:v>
      </x:c>
      <x:c r="D455" s="6" t="n">
        <x:f>'Tariff and method'!$B$4</x:f>
        <x:v>0.2226</x:v>
      </x:c>
      <x:c r="E455" s="1" t="n">
        <x:v>1.05</x:v>
      </x:c>
      <x:c r="F455" s="1" t="str">
        <x:v>https://api.octopus.energy/v1/products/AGILE-24-10-01/electricity-tariffs/E-1R-AGILE-24-10-01-G/standard-unit-rates/</x:v>
      </x:c>
    </x:row>
    <x:row r="456" ht="21" customHeight="1">
      <x:c r="A456" s="24" t="n">
        <x:v>46158</x:v>
      </x:c>
      <x:c r="B456" s="6" t="n">
        <x:v>0.1873</x:v>
      </x:c>
      <x:c r="C456" s="6" t="n">
        <x:v>0.1119</x:v>
      </x:c>
      <x:c r="D456" s="6" t="n">
        <x:f>'Tariff and method'!$B$4</x:f>
        <x:v>0.2226</x:v>
      </x:c>
      <x:c r="E456" s="1" t="n">
        <x:v>1.05</x:v>
      </x:c>
      <x:c r="F456" s="1" t="str">
        <x:v>https://api.octopus.energy/v1/products/AGILE-24-10-01/electricity-tariffs/E-1R-AGILE-24-10-01-G/standard-unit-rates/</x:v>
      </x:c>
    </x:row>
    <x:row r="457" ht="21" customHeight="1">
      <x:c r="A457" s="24" t="n">
        <x:v>46158.020833333336</x:v>
      </x:c>
      <x:c r="B457" s="6" t="n">
        <x:v>0.1815</x:v>
      </x:c>
      <x:c r="C457" s="6" t="n">
        <x:v>0.1093</x:v>
      </x:c>
      <x:c r="D457" s="6" t="n">
        <x:f>'Tariff and method'!$B$4</x:f>
        <x:v>0.2226</x:v>
      </x:c>
      <x:c r="E457" s="1" t="n">
        <x:v>1.05</x:v>
      </x:c>
      <x:c r="F457" s="1" t="str">
        <x:v>https://api.octopus.energy/v1/products/AGILE-24-10-01/electricity-tariffs/E-1R-AGILE-24-10-01-G/standard-unit-rates/</x:v>
      </x:c>
    </x:row>
    <x:row r="458" ht="21" customHeight="1">
      <x:c r="A458" s="24" t="n">
        <x:v>46158.041666666664</x:v>
      </x:c>
      <x:c r="B458" s="6" t="n">
        <x:v>0.17309999999999998</x:v>
      </x:c>
      <x:c r="C458" s="6" t="n">
        <x:v>0.1054</x:v>
      </x:c>
      <x:c r="D458" s="6" t="n">
        <x:f>'Tariff and method'!$B$4</x:f>
        <x:v>0.2226</x:v>
      </x:c>
      <x:c r="E458" s="1" t="n">
        <x:v>1.05</x:v>
      </x:c>
      <x:c r="F458" s="1" t="str">
        <x:v>https://api.octopus.energy/v1/products/AGILE-24-10-01/electricity-tariffs/E-1R-AGILE-24-10-01-G/standard-unit-rates/</x:v>
      </x:c>
    </x:row>
    <x:row r="459" ht="21" customHeight="1">
      <x:c r="A459" s="24" t="n">
        <x:v>46158.0625</x:v>
      </x:c>
      <x:c r="B459" s="6" t="n">
        <x:v>0.18899999999999997</x:v>
      </x:c>
      <x:c r="C459" s="6" t="n">
        <x:v>0.1127</x:v>
      </x:c>
      <x:c r="D459" s="6" t="n">
        <x:f>'Tariff and method'!$B$4</x:f>
        <x:v>0.2226</x:v>
      </x:c>
      <x:c r="E459" s="1" t="n">
        <x:v>1.05</x:v>
      </x:c>
      <x:c r="F459" s="1" t="str">
        <x:v>https://api.octopus.energy/v1/products/AGILE-24-10-01/electricity-tariffs/E-1R-AGILE-24-10-01-G/standard-unit-rates/</x:v>
      </x:c>
    </x:row>
    <x:row r="460" ht="21" customHeight="1">
      <x:c r="A460" s="24" t="n">
        <x:v>46158.083333333336</x:v>
      </x:c>
      <x:c r="B460" s="6" t="n">
        <x:v>0.1837</x:v>
      </x:c>
      <x:c r="C460" s="6" t="n">
        <x:v>0.1103</x:v>
      </x:c>
      <x:c r="D460" s="6" t="n">
        <x:f>'Tariff and method'!$B$4</x:f>
        <x:v>0.2226</x:v>
      </x:c>
      <x:c r="E460" s="1" t="n">
        <x:v>1.05</x:v>
      </x:c>
      <x:c r="F460" s="1" t="str">
        <x:v>https://api.octopus.energy/v1/products/AGILE-24-10-01/electricity-tariffs/E-1R-AGILE-24-10-01-G/standard-unit-rates/</x:v>
      </x:c>
    </x:row>
    <x:row r="461" ht="21" customHeight="1">
      <x:c r="A461" s="24" t="n">
        <x:v>46158.104166666664</x:v>
      </x:c>
      <x:c r="B461" s="6" t="n">
        <x:v>0.1703</x:v>
      </x:c>
      <x:c r="C461" s="6" t="n">
        <x:v>0.1041</x:v>
      </x:c>
      <x:c r="D461" s="6" t="n">
        <x:f>'Tariff and method'!$B$4</x:f>
        <x:v>0.2226</x:v>
      </x:c>
      <x:c r="E461" s="1" t="n">
        <x:v>1.05</x:v>
      </x:c>
      <x:c r="F461" s="1" t="str">
        <x:v>https://api.octopus.energy/v1/products/AGILE-24-10-01/electricity-tariffs/E-1R-AGILE-24-10-01-G/standard-unit-rates/</x:v>
      </x:c>
    </x:row>
    <x:row r="462" ht="21" customHeight="1">
      <x:c r="A462" s="24" t="n">
        <x:v>46158.125</x:v>
      </x:c>
      <x:c r="B462" s="6" t="n">
        <x:v>0.1723</x:v>
      </x:c>
      <x:c r="C462" s="6" t="n">
        <x:v>0.105</x:v>
      </x:c>
      <x:c r="D462" s="6" t="n">
        <x:f>'Tariff and method'!$B$4</x:f>
        <x:v>0.2226</x:v>
      </x:c>
      <x:c r="E462" s="1" t="n">
        <x:v>1.05</x:v>
      </x:c>
      <x:c r="F462" s="1" t="str">
        <x:v>https://api.octopus.energy/v1/products/AGILE-24-10-01/electricity-tariffs/E-1R-AGILE-24-10-01-G/standard-unit-rates/</x:v>
      </x:c>
    </x:row>
    <x:row r="463" ht="21" customHeight="1">
      <x:c r="A463" s="24" t="n">
        <x:v>46158.145833333336</x:v>
      </x:c>
      <x:c r="B463" s="6" t="n">
        <x:v>0.16920000000000002</x:v>
      </x:c>
      <x:c r="C463" s="6" t="n">
        <x:v>0.1036</x:v>
      </x:c>
      <x:c r="D463" s="6" t="n">
        <x:f>'Tariff and method'!$B$4</x:f>
        <x:v>0.2226</x:v>
      </x:c>
      <x:c r="E463" s="1" t="n">
        <x:v>1.05</x:v>
      </x:c>
      <x:c r="F463" s="1" t="str">
        <x:v>https://api.octopus.energy/v1/products/AGILE-24-10-01/electricity-tariffs/E-1R-AGILE-24-10-01-G/standard-unit-rates/</x:v>
      </x:c>
    </x:row>
    <x:row r="464" ht="21" customHeight="1">
      <x:c r="A464" s="24" t="n">
        <x:v>46158.166666666664</x:v>
      </x:c>
      <x:c r="B464" s="6" t="n">
        <x:v>0.1636</x:v>
      </x:c>
      <x:c r="C464" s="6" t="n">
        <x:v>0.10099999999999999</x:v>
      </x:c>
      <x:c r="D464" s="6" t="n">
        <x:f>'Tariff and method'!$B$4</x:f>
        <x:v>0.2226</x:v>
      </x:c>
      <x:c r="E464" s="1" t="n">
        <x:v>1.05</x:v>
      </x:c>
      <x:c r="F464" s="1" t="str">
        <x:v>https://api.octopus.energy/v1/products/AGILE-24-10-01/electricity-tariffs/E-1R-AGILE-24-10-01-G/standard-unit-rates/</x:v>
      </x:c>
    </x:row>
    <x:row r="465" ht="21" customHeight="1">
      <x:c r="A465" s="24" t="n">
        <x:v>46158.1875</x:v>
      </x:c>
      <x:c r="B465" s="6" t="n">
        <x:v>0.1677</x:v>
      </x:c>
      <x:c r="C465" s="6" t="n">
        <x:v>0.10289999999999999</x:v>
      </x:c>
      <x:c r="D465" s="6" t="n">
        <x:f>'Tariff and method'!$B$4</x:f>
        <x:v>0.2226</x:v>
      </x:c>
      <x:c r="E465" s="1" t="n">
        <x:v>1.05</x:v>
      </x:c>
      <x:c r="F465" s="1" t="str">
        <x:v>https://api.octopus.energy/v1/products/AGILE-24-10-01/electricity-tariffs/E-1R-AGILE-24-10-01-G/standard-unit-rates/</x:v>
      </x:c>
    </x:row>
    <x:row r="466" ht="21" customHeight="1">
      <x:c r="A466" s="24" t="n">
        <x:v>46158.208333333336</x:v>
      </x:c>
      <x:c r="B466" s="6" t="n">
        <x:v>0.1703</x:v>
      </x:c>
      <x:c r="C466" s="6" t="n">
        <x:v>0.1041</x:v>
      </x:c>
      <x:c r="D466" s="6" t="n">
        <x:f>'Tariff and method'!$B$4</x:f>
        <x:v>0.2226</x:v>
      </x:c>
      <x:c r="E466" s="1" t="n">
        <x:v>1.05</x:v>
      </x:c>
      <x:c r="F466" s="1" t="str">
        <x:v>https://api.octopus.energy/v1/products/AGILE-24-10-01/electricity-tariffs/E-1R-AGILE-24-10-01-G/standard-unit-rates/</x:v>
      </x:c>
    </x:row>
    <x:row r="467" ht="21" customHeight="1">
      <x:c r="A467" s="24" t="n">
        <x:v>46158.229166666664</x:v>
      </x:c>
      <x:c r="B467" s="6" t="n">
        <x:v>0.1703</x:v>
      </x:c>
      <x:c r="C467" s="6" t="n">
        <x:v>0.1041</x:v>
      </x:c>
      <x:c r="D467" s="6" t="n">
        <x:f>'Tariff and method'!$B$4</x:f>
        <x:v>0.2226</x:v>
      </x:c>
      <x:c r="E467" s="1" t="n">
        <x:v>1.05</x:v>
      </x:c>
      <x:c r="F467" s="1" t="str">
        <x:v>https://api.octopus.energy/v1/products/AGILE-24-10-01/electricity-tariffs/E-1R-AGILE-24-10-01-G/standard-unit-rates/</x:v>
      </x:c>
    </x:row>
    <x:row r="468" ht="21" customHeight="1">
      <x:c r="A468" s="24" t="n">
        <x:v>46158.25</x:v>
      </x:c>
      <x:c r="B468" s="6" t="n">
        <x:v>0.1808</x:v>
      </x:c>
      <x:c r="C468" s="6" t="n">
        <x:v>0.10890000000000001</x:v>
      </x:c>
      <x:c r="D468" s="6" t="n">
        <x:f>'Tariff and method'!$B$4</x:f>
        <x:v>0.2226</x:v>
      </x:c>
      <x:c r="E468" s="1" t="n">
        <x:v>1.05</x:v>
      </x:c>
      <x:c r="F468" s="1" t="str">
        <x:v>https://api.octopus.energy/v1/products/AGILE-24-10-01/electricity-tariffs/E-1R-AGILE-24-10-01-G/standard-unit-rates/</x:v>
      </x:c>
    </x:row>
    <x:row r="469" ht="21" customHeight="1">
      <x:c r="A469" s="24" t="n">
        <x:v>46158.270833333336</x:v>
      </x:c>
      <x:c r="B469" s="6" t="n">
        <x:v>0.17809999999999998</x:v>
      </x:c>
      <x:c r="C469" s="6" t="n">
        <x:v>0.10769999999999999</x:v>
      </x:c>
      <x:c r="D469" s="6" t="n">
        <x:f>'Tariff and method'!$B$4</x:f>
        <x:v>0.2226</x:v>
      </x:c>
      <x:c r="E469" s="1" t="n">
        <x:v>1.05</x:v>
      </x:c>
      <x:c r="F469" s="1" t="str">
        <x:v>https://api.octopus.energy/v1/products/AGILE-24-10-01/electricity-tariffs/E-1R-AGILE-24-10-01-G/standard-unit-rates/</x:v>
      </x:c>
    </x:row>
    <x:row r="470" ht="21" customHeight="1">
      <x:c r="A470" s="24" t="n">
        <x:v>46158.291666666664</x:v>
      </x:c>
      <x:c r="B470" s="6" t="n">
        <x:v>0.1917</x:v>
      </x:c>
      <x:c r="C470" s="6" t="n">
        <x:v>0.1139</x:v>
      </x:c>
      <x:c r="D470" s="6" t="n">
        <x:f>'Tariff and method'!$B$4</x:f>
        <x:v>0.2226</x:v>
      </x:c>
      <x:c r="E470" s="1" t="n">
        <x:v>1.05</x:v>
      </x:c>
      <x:c r="F470" s="1" t="str">
        <x:v>https://api.octopus.energy/v1/products/AGILE-24-10-01/electricity-tariffs/E-1R-AGILE-24-10-01-G/standard-unit-rates/</x:v>
      </x:c>
    </x:row>
    <x:row r="471" ht="21" customHeight="1">
      <x:c r="A471" s="24" t="n">
        <x:v>46158.3125</x:v>
      </x:c>
      <x:c r="B471" s="6" t="n">
        <x:v>0.1962</x:v>
      </x:c>
      <x:c r="C471" s="6" t="n">
        <x:v>0.11599999999999999</x:v>
      </x:c>
      <x:c r="D471" s="6" t="n">
        <x:f>'Tariff and method'!$B$4</x:f>
        <x:v>0.2226</x:v>
      </x:c>
      <x:c r="E471" s="1" t="n">
        <x:v>1.05</x:v>
      </x:c>
      <x:c r="F471" s="1" t="str">
        <x:v>https://api.octopus.energy/v1/products/AGILE-24-10-01/electricity-tariffs/E-1R-AGILE-24-10-01-G/standard-unit-rates/</x:v>
      </x:c>
    </x:row>
    <x:row r="472" ht="21" customHeight="1">
      <x:c r="A472" s="24" t="n">
        <x:v>46158.333333333336</x:v>
      </x:c>
      <x:c r="B472" s="6" t="n">
        <x:v>0.1916</x:v>
      </x:c>
      <x:c r="C472" s="6" t="n">
        <x:v>0.11380000000000001</x:v>
      </x:c>
      <x:c r="D472" s="6" t="n">
        <x:f>'Tariff and method'!$B$4</x:f>
        <x:v>0.2226</x:v>
      </x:c>
      <x:c r="E472" s="1" t="n">
        <x:v>1.05</x:v>
      </x:c>
      <x:c r="F472" s="1" t="str">
        <x:v>https://api.octopus.energy/v1/products/AGILE-24-10-01/electricity-tariffs/E-1R-AGILE-24-10-01-G/standard-unit-rates/</x:v>
      </x:c>
    </x:row>
    <x:row r="473" ht="21" customHeight="1">
      <x:c r="A473" s="24" t="n">
        <x:v>46158.354166666664</x:v>
      </x:c>
      <x:c r="B473" s="6" t="n">
        <x:v>0.2036</x:v>
      </x:c>
      <x:c r="C473" s="6" t="n">
        <x:v>0.11939999999999999</x:v>
      </x:c>
      <x:c r="D473" s="6" t="n">
        <x:f>'Tariff and method'!$B$4</x:f>
        <x:v>0.2226</x:v>
      </x:c>
      <x:c r="E473" s="1" t="n">
        <x:v>1.05</x:v>
      </x:c>
      <x:c r="F473" s="1" t="str">
        <x:v>https://api.octopus.energy/v1/products/AGILE-24-10-01/electricity-tariffs/E-1R-AGILE-24-10-01-G/standard-unit-rates/</x:v>
      </x:c>
    </x:row>
    <x:row r="474" ht="21" customHeight="1">
      <x:c r="A474" s="24" t="n">
        <x:v>46158.375</x:v>
      </x:c>
      <x:c r="B474" s="6" t="n">
        <x:v>0.19440000000000002</x:v>
      </x:c>
      <x:c r="C474" s="6" t="n">
        <x:v>0.1152</x:v>
      </x:c>
      <x:c r="D474" s="6" t="n">
        <x:f>'Tariff and method'!$B$4</x:f>
        <x:v>0.2226</x:v>
      </x:c>
      <x:c r="E474" s="1" t="n">
        <x:v>1.05</x:v>
      </x:c>
      <x:c r="F474" s="1" t="str">
        <x:v>https://api.octopus.energy/v1/products/AGILE-24-10-01/electricity-tariffs/E-1R-AGILE-24-10-01-G/standard-unit-rates/</x:v>
      </x:c>
    </x:row>
    <x:row r="475" ht="21" customHeight="1">
      <x:c r="A475" s="24" t="n">
        <x:v>46158.395833333336</x:v>
      </x:c>
      <x:c r="B475" s="6" t="n">
        <x:v>0.1873</x:v>
      </x:c>
      <x:c r="C475" s="6" t="n">
        <x:v>0.1119</x:v>
      </x:c>
      <x:c r="D475" s="6" t="n">
        <x:f>'Tariff and method'!$B$4</x:f>
        <x:v>0.2226</x:v>
      </x:c>
      <x:c r="E475" s="1" t="n">
        <x:v>1.05</x:v>
      </x:c>
      <x:c r="F475" s="1" t="str">
        <x:v>https://api.octopus.energy/v1/products/AGILE-24-10-01/electricity-tariffs/E-1R-AGILE-24-10-01-G/standard-unit-rates/</x:v>
      </x:c>
    </x:row>
    <x:row r="476" ht="21" customHeight="1">
      <x:c r="A476" s="24" t="n">
        <x:v>46158.416666666664</x:v>
      </x:c>
      <x:c r="B476" s="6" t="n">
        <x:v>0.20600000000000002</x:v>
      </x:c>
      <x:c r="C476" s="6" t="n">
        <x:v>0.1204</x:v>
      </x:c>
      <x:c r="D476" s="6" t="n">
        <x:f>'Tariff and method'!$B$4</x:f>
        <x:v>0.2226</x:v>
      </x:c>
      <x:c r="E476" s="1" t="n">
        <x:v>1.05</x:v>
      </x:c>
      <x:c r="F476" s="1" t="str">
        <x:v>https://api.octopus.energy/v1/products/AGILE-24-10-01/electricity-tariffs/E-1R-AGILE-24-10-01-G/standard-unit-rates/</x:v>
      </x:c>
    </x:row>
    <x:row r="477" ht="21" customHeight="1">
      <x:c r="A477" s="24" t="n">
        <x:v>46158.4375</x:v>
      </x:c>
      <x:c r="B477" s="6" t="n">
        <x:v>0.2</x:v>
      </x:c>
      <x:c r="C477" s="6" t="n">
        <x:v>0.1177</x:v>
      </x:c>
      <x:c r="D477" s="6" t="n">
        <x:f>'Tariff and method'!$B$4</x:f>
        <x:v>0.2226</x:v>
      </x:c>
      <x:c r="E477" s="1" t="n">
        <x:v>1.05</x:v>
      </x:c>
      <x:c r="F477" s="1" t="str">
        <x:v>https://api.octopus.energy/v1/products/AGILE-24-10-01/electricity-tariffs/E-1R-AGILE-24-10-01-G/standard-unit-rates/</x:v>
      </x:c>
    </x:row>
    <x:row r="478" ht="21" customHeight="1">
      <x:c r="A478" s="24" t="n">
        <x:v>46158.458333333336</x:v>
      </x:c>
      <x:c r="B478" s="6" t="n">
        <x:v>0.2187</x:v>
      </x:c>
      <x:c r="C478" s="6" t="n">
        <x:v>0.1263</x:v>
      </x:c>
      <x:c r="D478" s="6" t="n">
        <x:f>'Tariff and method'!$B$4</x:f>
        <x:v>0.2226</x:v>
      </x:c>
      <x:c r="E478" s="1" t="n">
        <x:v>1.05</x:v>
      </x:c>
      <x:c r="F478" s="1" t="str">
        <x:v>https://api.octopus.energy/v1/products/AGILE-24-10-01/electricity-tariffs/E-1R-AGILE-24-10-01-G/standard-unit-rates/</x:v>
      </x:c>
    </x:row>
    <x:row r="479" ht="21" customHeight="1">
      <x:c r="A479" s="24" t="n">
        <x:v>46158.479166666664</x:v>
      </x:c>
      <x:c r="B479" s="6" t="n">
        <x:v>0.2152</x:v>
      </x:c>
      <x:c r="C479" s="6" t="n">
        <x:v>0.1247</x:v>
      </x:c>
      <x:c r="D479" s="6" t="n">
        <x:f>'Tariff and method'!$B$4</x:f>
        <x:v>0.2226</x:v>
      </x:c>
      <x:c r="E479" s="1" t="n">
        <x:v>1.05</x:v>
      </x:c>
      <x:c r="F479" s="1" t="str">
        <x:v>https://api.octopus.energy/v1/products/AGILE-24-10-01/electricity-tariffs/E-1R-AGILE-24-10-01-G/standard-unit-rates/</x:v>
      </x:c>
    </x:row>
    <x:row r="480" ht="21" customHeight="1">
      <x:c r="A480" s="24" t="n">
        <x:v>46158.5</x:v>
      </x:c>
      <x:c r="B480" s="6" t="n">
        <x:v>0.21989999999999998</x:v>
      </x:c>
      <x:c r="C480" s="6" t="n">
        <x:v>0.1268</x:v>
      </x:c>
      <x:c r="D480" s="6" t="n">
        <x:f>'Tariff and method'!$B$4</x:f>
        <x:v>0.2226</x:v>
      </x:c>
      <x:c r="E480" s="1" t="n">
        <x:v>1.05</x:v>
      </x:c>
      <x:c r="F480" s="1" t="str">
        <x:v>https://api.octopus.energy/v1/products/AGILE-24-10-01/electricity-tariffs/E-1R-AGILE-24-10-01-G/standard-unit-rates/</x:v>
      </x:c>
    </x:row>
    <x:row r="481" ht="21" customHeight="1">
      <x:c r="A481" s="24" t="n">
        <x:v>46158.520833333336</x:v>
      </x:c>
      <x:c r="B481" s="6" t="n">
        <x:v>0.2155</x:v>
      </x:c>
      <x:c r="C481" s="6" t="n">
        <x:v>0.12480000000000001</x:v>
      </x:c>
      <x:c r="D481" s="6" t="n">
        <x:f>'Tariff and method'!$B$4</x:f>
        <x:v>0.2226</x:v>
      </x:c>
      <x:c r="E481" s="1" t="n">
        <x:v>1.05</x:v>
      </x:c>
      <x:c r="F481" s="1" t="str">
        <x:v>https://api.octopus.energy/v1/products/AGILE-24-10-01/electricity-tariffs/E-1R-AGILE-24-10-01-G/standard-unit-rates/</x:v>
      </x:c>
    </x:row>
    <x:row r="482" ht="21" customHeight="1">
      <x:c r="A482" s="24" t="n">
        <x:v>46158.541666666664</x:v>
      </x:c>
      <x:c r="B482" s="6" t="n">
        <x:v>0.2079</x:v>
      </x:c>
      <x:c r="C482" s="6" t="n">
        <x:v>0.1213</x:v>
      </x:c>
      <x:c r="D482" s="6" t="n">
        <x:f>'Tariff and method'!$B$4</x:f>
        <x:v>0.2226</x:v>
      </x:c>
      <x:c r="E482" s="1" t="n">
        <x:v>1.05</x:v>
      </x:c>
      <x:c r="F482" s="1" t="str">
        <x:v>https://api.octopus.energy/v1/products/AGILE-24-10-01/electricity-tariffs/E-1R-AGILE-24-10-01-G/standard-unit-rates/</x:v>
      </x:c>
    </x:row>
    <x:row r="483" ht="21" customHeight="1">
      <x:c r="A483" s="24" t="n">
        <x:v>46158.5625</x:v>
      </x:c>
      <x:c r="B483" s="6" t="n">
        <x:v>0.1997</x:v>
      </x:c>
      <x:c r="C483" s="6" t="n">
        <x:v>0.1176</x:v>
      </x:c>
      <x:c r="D483" s="6" t="n">
        <x:f>'Tariff and method'!$B$4</x:f>
        <x:v>0.2226</x:v>
      </x:c>
      <x:c r="E483" s="1" t="n">
        <x:v>1.05</x:v>
      </x:c>
      <x:c r="F483" s="1" t="str">
        <x:v>https://api.octopus.energy/v1/products/AGILE-24-10-01/electricity-tariffs/E-1R-AGILE-24-10-01-G/standard-unit-rates/</x:v>
      </x:c>
    </x:row>
    <x:row r="484" ht="21" customHeight="1">
      <x:c r="A484" s="24" t="n">
        <x:v>46158.583333333336</x:v>
      </x:c>
      <x:c r="B484" s="6" t="n">
        <x:v>0.19469999999999998</x:v>
      </x:c>
      <x:c r="C484" s="6" t="n">
        <x:v>0.1153</x:v>
      </x:c>
      <x:c r="D484" s="6" t="n">
        <x:f>'Tariff and method'!$B$4</x:f>
        <x:v>0.2226</x:v>
      </x:c>
      <x:c r="E484" s="1" t="n">
        <x:v>1.05</x:v>
      </x:c>
      <x:c r="F484" s="1" t="str">
        <x:v>https://api.octopus.energy/v1/products/AGILE-24-10-01/electricity-tariffs/E-1R-AGILE-24-10-01-G/standard-unit-rates/</x:v>
      </x:c>
    </x:row>
    <x:row r="485" ht="21" customHeight="1">
      <x:c r="A485" s="24" t="n">
        <x:v>46158.604166666664</x:v>
      </x:c>
      <x:c r="B485" s="6" t="n">
        <x:v>0.1918</x:v>
      </x:c>
      <x:c r="C485" s="6" t="n">
        <x:v>0.114</x:v>
      </x:c>
      <x:c r="D485" s="6" t="n">
        <x:f>'Tariff and method'!$B$4</x:f>
        <x:v>0.2226</x:v>
      </x:c>
      <x:c r="E485" s="1" t="n">
        <x:v>1.05</x:v>
      </x:c>
      <x:c r="F485" s="1" t="str">
        <x:v>https://api.octopus.energy/v1/products/AGILE-24-10-01/electricity-tariffs/E-1R-AGILE-24-10-01-G/standard-unit-rates/</x:v>
      </x:c>
    </x:row>
    <x:row r="486" ht="21" customHeight="1">
      <x:c r="A486" s="24" t="n">
        <x:v>46158.625</x:v>
      </x:c>
      <x:c r="B486" s="6" t="n">
        <x:v>0.1912</x:v>
      </x:c>
      <x:c r="C486" s="6" t="n">
        <x:v>0.1137</x:v>
      </x:c>
      <x:c r="D486" s="6" t="n">
        <x:f>'Tariff and method'!$B$4</x:f>
        <x:v>0.2226</x:v>
      </x:c>
      <x:c r="E486" s="1" t="n">
        <x:v>1.05</x:v>
      </x:c>
      <x:c r="F486" s="1" t="str">
        <x:v>https://api.octopus.energy/v1/products/AGILE-24-10-01/electricity-tariffs/E-1R-AGILE-24-10-01-G/standard-unit-rates/</x:v>
      </x:c>
    </x:row>
    <x:row r="487" ht="21" customHeight="1">
      <x:c r="A487" s="24" t="n">
        <x:v>46158.645833333336</x:v>
      </x:c>
      <x:c r="B487" s="6" t="n">
        <x:v>0.18710000000000002</x:v>
      </x:c>
      <x:c r="C487" s="6" t="n">
        <x:v>0.1118</x:v>
      </x:c>
      <x:c r="D487" s="6" t="n">
        <x:f>'Tariff and method'!$B$4</x:f>
        <x:v>0.2226</x:v>
      </x:c>
      <x:c r="E487" s="1" t="n">
        <x:v>1.05</x:v>
      </x:c>
      <x:c r="F487" s="1" t="str">
        <x:v>https://api.octopus.energy/v1/products/AGILE-24-10-01/electricity-tariffs/E-1R-AGILE-24-10-01-G/standard-unit-rates/</x:v>
      </x:c>
    </x:row>
    <x:row r="488" ht="21" customHeight="1">
      <x:c r="A488" s="24" t="n">
        <x:v>46158.666666666664</x:v>
      </x:c>
      <x:c r="B488" s="6" t="n">
        <x:v>0.29710000000000003</x:v>
      </x:c>
      <x:c r="C488" s="6" t="n">
        <x:v>0.1661</x:v>
      </x:c>
      <x:c r="D488" s="6" t="n">
        <x:f>'Tariff and method'!$B$4</x:f>
        <x:v>0.2226</x:v>
      </x:c>
      <x:c r="E488" s="1" t="n">
        <x:v>1.05</x:v>
      </x:c>
      <x:c r="F488" s="1" t="str">
        <x:v>https://api.octopus.energy/v1/products/AGILE-24-10-01/electricity-tariffs/E-1R-AGILE-24-10-01-G/standard-unit-rates/</x:v>
      </x:c>
    </x:row>
    <x:row r="489" ht="21" customHeight="1">
      <x:c r="A489" s="24" t="n">
        <x:v>46158.6875</x:v>
      </x:c>
      <x:c r="B489" s="6" t="n">
        <x:v>0.3176</x:v>
      </x:c>
      <x:c r="C489" s="6" t="n">
        <x:v>0.17550000000000002</x:v>
      </x:c>
      <x:c r="D489" s="6" t="n">
        <x:f>'Tariff and method'!$B$4</x:f>
        <x:v>0.2226</x:v>
      </x:c>
      <x:c r="E489" s="1" t="n">
        <x:v>1.05</x:v>
      </x:c>
      <x:c r="F489" s="1" t="str">
        <x:v>https://api.octopus.energy/v1/products/AGILE-24-10-01/electricity-tariffs/E-1R-AGILE-24-10-01-G/standard-unit-rates/</x:v>
      </x:c>
    </x:row>
    <x:row r="490" ht="21" customHeight="1">
      <x:c r="A490" s="24" t="n">
        <x:v>46158.708333333336</x:v>
      </x:c>
      <x:c r="B490" s="6" t="n">
        <x:v>0.3467</x:v>
      </x:c>
      <x:c r="C490" s="6" t="n">
        <x:v>0.1888</x:v>
      </x:c>
      <x:c r="D490" s="6" t="n">
        <x:f>'Tariff and method'!$B$4</x:f>
        <x:v>0.2226</x:v>
      </x:c>
      <x:c r="E490" s="1" t="n">
        <x:v>1.05</x:v>
      </x:c>
      <x:c r="F490" s="1" t="str">
        <x:v>https://api.octopus.energy/v1/products/AGILE-24-10-01/electricity-tariffs/E-1R-AGILE-24-10-01-G/standard-unit-rates/</x:v>
      </x:c>
    </x:row>
    <x:row r="491" ht="21" customHeight="1">
      <x:c r="A491" s="24" t="n">
        <x:v>46158.729166666664</x:v>
      </x:c>
      <x:c r="B491" s="6" t="n">
        <x:v>0.364</x:v>
      </x:c>
      <x:c r="C491" s="6" t="n">
        <x:v>0.1967</x:v>
      </x:c>
      <x:c r="D491" s="6" t="n">
        <x:f>'Tariff and method'!$B$4</x:f>
        <x:v>0.2226</x:v>
      </x:c>
      <x:c r="E491" s="1" t="n">
        <x:v>1.05</x:v>
      </x:c>
      <x:c r="F491" s="1" t="str">
        <x:v>https://api.octopus.energy/v1/products/AGILE-24-10-01/electricity-tariffs/E-1R-AGILE-24-10-01-G/standard-unit-rates/</x:v>
      </x:c>
    </x:row>
    <x:row r="492" ht="21" customHeight="1">
      <x:c r="A492" s="24" t="n">
        <x:v>46158.75</x:v>
      </x:c>
      <x:c r="B492" s="6" t="n">
        <x:v>0.3604</x:v>
      </x:c>
      <x:c r="C492" s="6" t="n">
        <x:v>0.19510000000000002</x:v>
      </x:c>
      <x:c r="D492" s="6" t="n">
        <x:f>'Tariff and method'!$B$4</x:f>
        <x:v>0.2226</x:v>
      </x:c>
      <x:c r="E492" s="1" t="n">
        <x:v>1.05</x:v>
      </x:c>
      <x:c r="F492" s="1" t="str">
        <x:v>https://api.octopus.energy/v1/products/AGILE-24-10-01/electricity-tariffs/E-1R-AGILE-24-10-01-G/standard-unit-rates/</x:v>
      </x:c>
    </x:row>
    <x:row r="493" ht="21" customHeight="1">
      <x:c r="A493" s="24" t="n">
        <x:v>46158.770833333336</x:v>
      </x:c>
      <x:c r="B493" s="6" t="n">
        <x:v>0.3538</x:v>
      </x:c>
      <x:c r="C493" s="6" t="n">
        <x:v>0.19210000000000002</x:v>
      </x:c>
      <x:c r="D493" s="6" t="n">
        <x:f>'Tariff and method'!$B$4</x:f>
        <x:v>0.2226</x:v>
      </x:c>
      <x:c r="E493" s="1" t="n">
        <x:v>1.05</x:v>
      </x:c>
      <x:c r="F493" s="1" t="str">
        <x:v>https://api.octopus.energy/v1/products/AGILE-24-10-01/electricity-tariffs/E-1R-AGILE-24-10-01-G/standard-unit-rates/</x:v>
      </x:c>
    </x:row>
    <x:row r="494" ht="21" customHeight="1">
      <x:c r="A494" s="24" t="n">
        <x:v>46158.791666666664</x:v>
      </x:c>
      <x:c r="B494" s="6" t="n">
        <x:v>0.2249</x:v>
      </x:c>
      <x:c r="C494" s="6" t="n">
        <x:v>0.1291</x:v>
      </x:c>
      <x:c r="D494" s="6" t="n">
        <x:f>'Tariff and method'!$B$4</x:f>
        <x:v>0.2226</x:v>
      </x:c>
      <x:c r="E494" s="1" t="n">
        <x:v>1.05</x:v>
      </x:c>
      <x:c r="F494" s="1" t="str">
        <x:v>https://api.octopus.energy/v1/products/AGILE-24-10-01/electricity-tariffs/E-1R-AGILE-24-10-01-G/standard-unit-rates/</x:v>
      </x:c>
    </x:row>
    <x:row r="495" ht="21" customHeight="1">
      <x:c r="A495" s="24" t="n">
        <x:v>46158.8125</x:v>
      </x:c>
      <x:c r="B495" s="6" t="n">
        <x:v>0.226</x:v>
      </x:c>
      <x:c r="C495" s="6" t="n">
        <x:v>0.12960000000000002</x:v>
      </x:c>
      <x:c r="D495" s="6" t="n">
        <x:f>'Tariff and method'!$B$4</x:f>
        <x:v>0.2226</x:v>
      </x:c>
      <x:c r="E495" s="1" t="n">
        <x:v>1.05</x:v>
      </x:c>
      <x:c r="F495" s="1" t="str">
        <x:v>https://api.octopus.energy/v1/products/AGILE-24-10-01/electricity-tariffs/E-1R-AGILE-24-10-01-G/standard-unit-rates/</x:v>
      </x:c>
    </x:row>
    <x:row r="496" ht="21" customHeight="1">
      <x:c r="A496" s="24" t="n">
        <x:v>46158.833333333336</x:v>
      </x:c>
      <x:c r="B496" s="6" t="n">
        <x:v>0.2321</x:v>
      </x:c>
      <x:c r="C496" s="6" t="n">
        <x:v>0.1324</x:v>
      </x:c>
      <x:c r="D496" s="6" t="n">
        <x:f>'Tariff and method'!$B$4</x:f>
        <x:v>0.2226</x:v>
      </x:c>
      <x:c r="E496" s="1" t="n">
        <x:v>1.05</x:v>
      </x:c>
      <x:c r="F496" s="1" t="str">
        <x:v>https://api.octopus.energy/v1/products/AGILE-24-10-01/electricity-tariffs/E-1R-AGILE-24-10-01-G/standard-unit-rates/</x:v>
      </x:c>
    </x:row>
    <x:row r="497" ht="21" customHeight="1">
      <x:c r="A497" s="24" t="n">
        <x:v>46158.854166666664</x:v>
      </x:c>
      <x:c r="B497" s="6" t="n">
        <x:v>0.2291</x:v>
      </x:c>
      <x:c r="C497" s="6" t="n">
        <x:v>0.131</x:v>
      </x:c>
      <x:c r="D497" s="6" t="n">
        <x:f>'Tariff and method'!$B$4</x:f>
        <x:v>0.2226</x:v>
      </x:c>
      <x:c r="E497" s="1" t="n">
        <x:v>1.05</x:v>
      </x:c>
      <x:c r="F497" s="1" t="str">
        <x:v>https://api.octopus.energy/v1/products/AGILE-24-10-01/electricity-tariffs/E-1R-AGILE-24-10-01-G/standard-unit-rates/</x:v>
      </x:c>
    </x:row>
    <x:row r="498" ht="21" customHeight="1">
      <x:c r="A498" s="24" t="n">
        <x:v>46158.875</x:v>
      </x:c>
      <x:c r="B498" s="6" t="n">
        <x:v>0.2255</x:v>
      </x:c>
      <x:c r="C498" s="6" t="n">
        <x:v>0.1293</x:v>
      </x:c>
      <x:c r="D498" s="6" t="n">
        <x:f>'Tariff and method'!$B$4</x:f>
        <x:v>0.2226</x:v>
      </x:c>
      <x:c r="E498" s="1" t="n">
        <x:v>1.05</x:v>
      </x:c>
      <x:c r="F498" s="1" t="str">
        <x:v>https://api.octopus.energy/v1/products/AGILE-24-10-01/electricity-tariffs/E-1R-AGILE-24-10-01-G/standard-unit-rates/</x:v>
      </x:c>
    </x:row>
    <x:row r="499" ht="21" customHeight="1">
      <x:c r="A499" s="24" t="n">
        <x:v>46158.895833333336</x:v>
      </x:c>
      <x:c r="B499" s="6" t="n">
        <x:v>0.2143</x:v>
      </x:c>
      <x:c r="C499" s="6" t="n">
        <x:v>0.1242</x:v>
      </x:c>
      <x:c r="D499" s="6" t="n">
        <x:f>'Tariff and method'!$B$4</x:f>
        <x:v>0.2226</x:v>
      </x:c>
      <x:c r="E499" s="1" t="n">
        <x:v>1.05</x:v>
      </x:c>
      <x:c r="F499" s="1" t="str">
        <x:v>https://api.octopus.energy/v1/products/AGILE-24-10-01/electricity-tariffs/E-1R-AGILE-24-10-01-G/standard-unit-rates/</x:v>
      </x:c>
    </x:row>
    <x:row r="500" ht="21" customHeight="1">
      <x:c r="A500" s="24" t="n">
        <x:v>46158.916666666664</x:v>
      </x:c>
      <x:c r="B500" s="6" t="n">
        <x:v>0.2041</x:v>
      </x:c>
      <x:c r="C500" s="6" t="n">
        <x:v>0.11960000000000001</x:v>
      </x:c>
      <x:c r="D500" s="6" t="n">
        <x:f>'Tariff and method'!$B$4</x:f>
        <x:v>0.2226</x:v>
      </x:c>
      <x:c r="E500" s="1" t="n">
        <x:v>1.05</x:v>
      </x:c>
      <x:c r="F500" s="1" t="str">
        <x:v>https://api.octopus.energy/v1/products/AGILE-24-10-01/electricity-tariffs/E-1R-AGILE-24-10-01-G/standard-unit-rates/</x:v>
      </x:c>
    </x:row>
    <x:row r="501" ht="21" customHeight="1">
      <x:c r="A501" s="24" t="n">
        <x:v>46158.9375</x:v>
      </x:c>
      <x:c r="B501" s="6" t="n">
        <x:v>0.19949999999999998</x:v>
      </x:c>
      <x:c r="C501" s="6" t="n">
        <x:v>0.1175</x:v>
      </x:c>
      <x:c r="D501" s="6" t="n">
        <x:f>'Tariff and method'!$B$4</x:f>
        <x:v>0.2226</x:v>
      </x:c>
      <x:c r="E501" s="1" t="n">
        <x:v>1.05</x:v>
      </x:c>
      <x:c r="F501" s="1" t="str">
        <x:v>https://api.octopus.energy/v1/products/AGILE-24-10-01/electricity-tariffs/E-1R-AGILE-24-10-01-G/standard-unit-rates/</x:v>
      </x:c>
    </x:row>
    <x:row r="502" ht="21" customHeight="1">
      <x:c r="A502" s="24" t="n">
        <x:v>46159</x:v>
      </x:c>
      <x:c r="B502" s="6" t="n">
        <x:v>0.2039</x:v>
      </x:c>
      <x:c r="C502" s="6" t="n">
        <x:v>0.1195</x:v>
      </x:c>
      <x:c r="D502" s="6" t="n">
        <x:f>'Tariff and method'!$B$4</x:f>
        <x:v>0.2226</x:v>
      </x:c>
      <x:c r="E502" s="1" t="n">
        <x:v>1.05</x:v>
      </x:c>
      <x:c r="F502" s="1" t="str">
        <x:v>https://api.octopus.energy/v1/products/AGILE-24-10-01/electricity-tariffs/E-1R-AGILE-24-10-01-G/standard-unit-rates/</x:v>
      </x:c>
    </x:row>
    <x:row r="503" ht="21" customHeight="1">
      <x:c r="A503" s="24" t="n">
        <x:v>46158.979166666664</x:v>
      </x:c>
      <x:c r="B503" s="6" t="n">
        <x:v>0.2163</x:v>
      </x:c>
      <x:c r="C503" s="6" t="n">
        <x:v>0.1252</x:v>
      </x:c>
      <x:c r="D503" s="6" t="n">
        <x:f>'Tariff and method'!$B$4</x:f>
        <x:v>0.2226</x:v>
      </x:c>
      <x:c r="E503" s="1" t="n">
        <x:v>1.05</x:v>
      </x:c>
      <x:c r="F503" s="1" t="str">
        <x:v>https://api.octopus.energy/v1/products/AGILE-24-10-01/electricity-tariffs/E-1R-AGILE-24-10-01-G/standard-unit-rates/</x:v>
      </x:c>
    </x:row>
    <x:row r="504" ht="21" customHeight="1">
      <x:c r="A504" s="24" t="n">
        <x:v>46159</x:v>
      </x:c>
      <x:c r="B504" s="6" t="n">
        <x:v>0.2126</x:v>
      </x:c>
      <x:c r="C504" s="6" t="n">
        <x:v>0.1235</x:v>
      </x:c>
      <x:c r="D504" s="6" t="n">
        <x:f>'Tariff and method'!$B$4</x:f>
        <x:v>0.2226</x:v>
      </x:c>
      <x:c r="E504" s="1" t="n">
        <x:v>1.05</x:v>
      </x:c>
      <x:c r="F504" s="1" t="str">
        <x:v>https://api.octopus.energy/v1/products/AGILE-24-10-01/electricity-tariffs/E-1R-AGILE-24-10-01-G/standard-unit-rates/</x:v>
      </x:c>
    </x:row>
    <x:row r="505" ht="21" customHeight="1">
      <x:c r="A505" s="24" t="n">
        <x:v>46159.020833333336</x:v>
      </x:c>
      <x:c r="B505" s="6" t="n">
        <x:v>0.2041</x:v>
      </x:c>
      <x:c r="C505" s="6" t="n">
        <x:v>0.11960000000000001</x:v>
      </x:c>
      <x:c r="D505" s="6" t="n">
        <x:f>'Tariff and method'!$B$4</x:f>
        <x:v>0.2226</x:v>
      </x:c>
      <x:c r="E505" s="1" t="n">
        <x:v>1.05</x:v>
      </x:c>
      <x:c r="F505" s="1" t="str">
        <x:v>https://api.octopus.energy/v1/products/AGILE-24-10-01/electricity-tariffs/E-1R-AGILE-24-10-01-G/standard-unit-rates/</x:v>
      </x:c>
    </x:row>
    <x:row r="506" ht="21" customHeight="1">
      <x:c r="A506" s="24" t="n">
        <x:v>46159.041666666664</x:v>
      </x:c>
      <x:c r="B506" s="6" t="n">
        <x:v>0.19760000000000003</x:v>
      </x:c>
      <x:c r="C506" s="6" t="n">
        <x:v>0.1166</x:v>
      </x:c>
      <x:c r="D506" s="6" t="n">
        <x:f>'Tariff and method'!$B$4</x:f>
        <x:v>0.2226</x:v>
      </x:c>
      <x:c r="E506" s="1" t="n">
        <x:v>1.05</x:v>
      </x:c>
      <x:c r="F506" s="1" t="str">
        <x:v>https://api.octopus.energy/v1/products/AGILE-24-10-01/electricity-tariffs/E-1R-AGILE-24-10-01-G/standard-unit-rates/</x:v>
      </x:c>
    </x:row>
    <x:row r="507" ht="21" customHeight="1">
      <x:c r="A507" s="24" t="n">
        <x:v>46159.0625</x:v>
      </x:c>
      <x:c r="B507" s="6" t="n">
        <x:v>0.19760000000000003</x:v>
      </x:c>
      <x:c r="C507" s="6" t="n">
        <x:v>0.1166</x:v>
      </x:c>
      <x:c r="D507" s="6" t="n">
        <x:f>'Tariff and method'!$B$4</x:f>
        <x:v>0.2226</x:v>
      </x:c>
      <x:c r="E507" s="1" t="n">
        <x:v>1.05</x:v>
      </x:c>
      <x:c r="F507" s="1" t="str">
        <x:v>https://api.octopus.energy/v1/products/AGILE-24-10-01/electricity-tariffs/E-1R-AGILE-24-10-01-G/standard-unit-rates/</x:v>
      </x:c>
    </x:row>
    <x:row r="508" ht="21" customHeight="1">
      <x:c r="A508" s="24" t="n">
        <x:v>46159.083333333336</x:v>
      </x:c>
      <x:c r="B508" s="6" t="n">
        <x:v>0.1892</x:v>
      </x:c>
      <x:c r="C508" s="6" t="n">
        <x:v>0.1128</x:v>
      </x:c>
      <x:c r="D508" s="6" t="n">
        <x:f>'Tariff and method'!$B$4</x:f>
        <x:v>0.2226</x:v>
      </x:c>
      <x:c r="E508" s="1" t="n">
        <x:v>1.05</x:v>
      </x:c>
      <x:c r="F508" s="1" t="str">
        <x:v>https://api.octopus.energy/v1/products/AGILE-24-10-01/electricity-tariffs/E-1R-AGILE-24-10-01-G/standard-unit-rates/</x:v>
      </x:c>
    </x:row>
    <x:row r="509" ht="21" customHeight="1">
      <x:c r="A509" s="24" t="n">
        <x:v>46159.104166666664</x:v>
      </x:c>
      <x:c r="B509" s="6" t="n">
        <x:v>0.17809999999999998</x:v>
      </x:c>
      <x:c r="C509" s="6" t="n">
        <x:v>0.10769999999999999</x:v>
      </x:c>
      <x:c r="D509" s="6" t="n">
        <x:f>'Tariff and method'!$B$4</x:f>
        <x:v>0.2226</x:v>
      </x:c>
      <x:c r="E509" s="1" t="n">
        <x:v>1.05</x:v>
      </x:c>
      <x:c r="F509" s="1" t="str">
        <x:v>https://api.octopus.energy/v1/products/AGILE-24-10-01/electricity-tariffs/E-1R-AGILE-24-10-01-G/standard-unit-rates/</x:v>
      </x:c>
    </x:row>
    <x:row r="510" ht="21" customHeight="1">
      <x:c r="A510" s="24" t="n">
        <x:v>46159.125</x:v>
      </x:c>
      <x:c r="B510" s="6" t="n">
        <x:v>0.1865</x:v>
      </x:c>
      <x:c r="C510" s="6" t="n">
        <x:v>0.1115</x:v>
      </x:c>
      <x:c r="D510" s="6" t="n">
        <x:f>'Tariff and method'!$B$4</x:f>
        <x:v>0.2226</x:v>
      </x:c>
      <x:c r="E510" s="1" t="n">
        <x:v>1.05</x:v>
      </x:c>
      <x:c r="F510" s="1" t="str">
        <x:v>https://api.octopus.energy/v1/products/AGILE-24-10-01/electricity-tariffs/E-1R-AGILE-24-10-01-G/standard-unit-rates/</x:v>
      </x:c>
    </x:row>
    <x:row r="511" ht="21" customHeight="1">
      <x:c r="A511" s="24" t="n">
        <x:v>46159.145833333336</x:v>
      </x:c>
      <x:c r="B511" s="6" t="n">
        <x:v>0.1787</x:v>
      </x:c>
      <x:c r="C511" s="6" t="n">
        <x:v>0.10800000000000001</x:v>
      </x:c>
      <x:c r="D511" s="6" t="n">
        <x:f>'Tariff and method'!$B$4</x:f>
        <x:v>0.2226</x:v>
      </x:c>
      <x:c r="E511" s="1" t="n">
        <x:v>1.05</x:v>
      </x:c>
      <x:c r="F511" s="1" t="str">
        <x:v>https://api.octopus.energy/v1/products/AGILE-24-10-01/electricity-tariffs/E-1R-AGILE-24-10-01-G/standard-unit-rates/</x:v>
      </x:c>
    </x:row>
    <x:row r="512" ht="21" customHeight="1">
      <x:c r="A512" s="24" t="n">
        <x:v>46159.166666666664</x:v>
      </x:c>
      <x:c r="B512" s="6" t="n">
        <x:v>0.1766</x:v>
      </x:c>
      <x:c r="C512" s="6" t="n">
        <x:v>0.107</x:v>
      </x:c>
      <x:c r="D512" s="6" t="n">
        <x:f>'Tariff and method'!$B$4</x:f>
        <x:v>0.2226</x:v>
      </x:c>
      <x:c r="E512" s="1" t="n">
        <x:v>1.05</x:v>
      </x:c>
      <x:c r="F512" s="1" t="str">
        <x:v>https://api.octopus.energy/v1/products/AGILE-24-10-01/electricity-tariffs/E-1R-AGILE-24-10-01-G/standard-unit-rates/</x:v>
      </x:c>
    </x:row>
    <x:row r="513" ht="21" customHeight="1">
      <x:c r="A513" s="24" t="n">
        <x:v>46159.1875</x:v>
      </x:c>
      <x:c r="B513" s="6" t="n">
        <x:v>0.1764</x:v>
      </x:c>
      <x:c r="C513" s="6" t="n">
        <x:v>0.1069</x:v>
      </x:c>
      <x:c r="D513" s="6" t="n">
        <x:f>'Tariff and method'!$B$4</x:f>
        <x:v>0.2226</x:v>
      </x:c>
      <x:c r="E513" s="1" t="n">
        <x:v>1.05</x:v>
      </x:c>
      <x:c r="F513" s="1" t="str">
        <x:v>https://api.octopus.energy/v1/products/AGILE-24-10-01/electricity-tariffs/E-1R-AGILE-24-10-01-G/standard-unit-rates/</x:v>
      </x:c>
    </x:row>
    <x:row r="514" ht="21" customHeight="1">
      <x:c r="A514" s="24" t="n">
        <x:v>46159.208333333336</x:v>
      </x:c>
      <x:c r="B514" s="6" t="n">
        <x:v>0.1674</x:v>
      </x:c>
      <x:c r="C514" s="6" t="n">
        <x:v>0.10279999999999999</x:v>
      </x:c>
      <x:c r="D514" s="6" t="n">
        <x:f>'Tariff and method'!$B$4</x:f>
        <x:v>0.2226</x:v>
      </x:c>
      <x:c r="E514" s="1" t="n">
        <x:v>1.05</x:v>
      </x:c>
      <x:c r="F514" s="1" t="str">
        <x:v>https://api.octopus.energy/v1/products/AGILE-24-10-01/electricity-tariffs/E-1R-AGILE-24-10-01-G/standard-unit-rates/</x:v>
      </x:c>
    </x:row>
    <x:row r="515" ht="21" customHeight="1">
      <x:c r="A515" s="24" t="n">
        <x:v>46159.229166666664</x:v>
      </x:c>
      <x:c r="B515" s="6" t="n">
        <x:v>0.1602</x:v>
      </x:c>
      <x:c r="C515" s="6" t="n">
        <x:v>0.09949999999999999</x:v>
      </x:c>
      <x:c r="D515" s="6" t="n">
        <x:f>'Tariff and method'!$B$4</x:f>
        <x:v>0.2226</x:v>
      </x:c>
      <x:c r="E515" s="1" t="n">
        <x:v>1.05</x:v>
      </x:c>
      <x:c r="F515" s="1" t="str">
        <x:v>https://api.octopus.energy/v1/products/AGILE-24-10-01/electricity-tariffs/E-1R-AGILE-24-10-01-G/standard-unit-rates/</x:v>
      </x:c>
    </x:row>
    <x:row r="516" ht="21" customHeight="1">
      <x:c r="A516" s="24" t="n">
        <x:v>46159.25</x:v>
      </x:c>
      <x:c r="B516" s="6" t="n">
        <x:v>0.16879999999999998</x:v>
      </x:c>
      <x:c r="C516" s="6" t="n">
        <x:v>0.10339999999999999</x:v>
      </x:c>
      <x:c r="D516" s="6" t="n">
        <x:f>'Tariff and method'!$B$4</x:f>
        <x:v>0.2226</x:v>
      </x:c>
      <x:c r="E516" s="1" t="n">
        <x:v>1.05</x:v>
      </x:c>
      <x:c r="F516" s="1" t="str">
        <x:v>https://api.octopus.energy/v1/products/AGILE-24-10-01/electricity-tariffs/E-1R-AGILE-24-10-01-G/standard-unit-rates/</x:v>
      </x:c>
    </x:row>
    <x:row r="517" ht="21" customHeight="1">
      <x:c r="A517" s="24" t="n">
        <x:v>46159.270833333336</x:v>
      </x:c>
      <x:c r="B517" s="6" t="n">
        <x:v>0.16329999999999997</x:v>
      </x:c>
      <x:c r="C517" s="6" t="n">
        <x:v>0.1009</x:v>
      </x:c>
      <x:c r="D517" s="6" t="n">
        <x:f>'Tariff and method'!$B$4</x:f>
        <x:v>0.2226</x:v>
      </x:c>
      <x:c r="E517" s="1" t="n">
        <x:v>1.05</x:v>
      </x:c>
      <x:c r="F517" s="1" t="str">
        <x:v>https://api.octopus.energy/v1/products/AGILE-24-10-01/electricity-tariffs/E-1R-AGILE-24-10-01-G/standard-unit-rates/</x:v>
      </x:c>
    </x:row>
    <x:row r="518" ht="21" customHeight="1">
      <x:c r="A518" s="24" t="n">
        <x:v>46159.291666666664</x:v>
      </x:c>
      <x:c r="B518" s="6" t="n">
        <x:v>0.1661</x:v>
      </x:c>
      <x:c r="C518" s="6" t="n">
        <x:v>0.10220000000000001</x:v>
      </x:c>
      <x:c r="D518" s="6" t="n">
        <x:f>'Tariff and method'!$B$4</x:f>
        <x:v>0.2226</x:v>
      </x:c>
      <x:c r="E518" s="1" t="n">
        <x:v>1.05</x:v>
      </x:c>
      <x:c r="F518" s="1" t="str">
        <x:v>https://api.octopus.energy/v1/products/AGILE-24-10-01/electricity-tariffs/E-1R-AGILE-24-10-01-G/standard-unit-rates/</x:v>
      </x:c>
    </x:row>
    <x:row r="519" ht="21" customHeight="1">
      <x:c r="A519" s="24" t="n">
        <x:v>46159.3125</x:v>
      </x:c>
      <x:c r="B519" s="6" t="n">
        <x:v>0.1679</x:v>
      </x:c>
      <x:c r="C519" s="6" t="n">
        <x:v>0.10300000000000001</x:v>
      </x:c>
      <x:c r="D519" s="6" t="n">
        <x:f>'Tariff and method'!$B$4</x:f>
        <x:v>0.2226</x:v>
      </x:c>
      <x:c r="E519" s="1" t="n">
        <x:v>1.05</x:v>
      </x:c>
      <x:c r="F519" s="1" t="str">
        <x:v>https://api.octopus.energy/v1/products/AGILE-24-10-01/electricity-tariffs/E-1R-AGILE-24-10-01-G/standard-unit-rates/</x:v>
      </x:c>
    </x:row>
    <x:row r="520" ht="21" customHeight="1">
      <x:c r="A520" s="24" t="n">
        <x:v>46159.333333333336</x:v>
      </x:c>
      <x:c r="B520" s="6" t="n">
        <x:v>0.1689</x:v>
      </x:c>
      <x:c r="C520" s="6" t="n">
        <x:v>0.1035</x:v>
      </x:c>
      <x:c r="D520" s="6" t="n">
        <x:f>'Tariff and method'!$B$4</x:f>
        <x:v>0.2226</x:v>
      </x:c>
      <x:c r="E520" s="1" t="n">
        <x:v>1.05</x:v>
      </x:c>
      <x:c r="F520" s="1" t="str">
        <x:v>https://api.octopus.energy/v1/products/AGILE-24-10-01/electricity-tariffs/E-1R-AGILE-24-10-01-G/standard-unit-rates/</x:v>
      </x:c>
    </x:row>
    <x:row r="521" ht="21" customHeight="1">
      <x:c r="A521" s="24" t="n">
        <x:v>46159.354166666664</x:v>
      </x:c>
      <x:c r="B521" s="6" t="n">
        <x:v>0.1703</x:v>
      </x:c>
      <x:c r="C521" s="6" t="n">
        <x:v>0.1041</x:v>
      </x:c>
      <x:c r="D521" s="6" t="n">
        <x:f>'Tariff and method'!$B$4</x:f>
        <x:v>0.2226</x:v>
      </x:c>
      <x:c r="E521" s="1" t="n">
        <x:v>1.05</x:v>
      </x:c>
      <x:c r="F521" s="1" t="str">
        <x:v>https://api.octopus.energy/v1/products/AGILE-24-10-01/electricity-tariffs/E-1R-AGILE-24-10-01-G/standard-unit-rates/</x:v>
      </x:c>
    </x:row>
    <x:row r="522" ht="21" customHeight="1">
      <x:c r="A522" s="24" t="n">
        <x:v>46159.375</x:v>
      </x:c>
      <x:c r="B522" s="6" t="n">
        <x:v>0.16820000000000002</x:v>
      </x:c>
      <x:c r="C522" s="6" t="n">
        <x:v>0.1032</x:v>
      </x:c>
      <x:c r="D522" s="6" t="n">
        <x:f>'Tariff and method'!$B$4</x:f>
        <x:v>0.2226</x:v>
      </x:c>
      <x:c r="E522" s="1" t="n">
        <x:v>1.05</x:v>
      </x:c>
      <x:c r="F522" s="1" t="str">
        <x:v>https://api.octopus.energy/v1/products/AGILE-24-10-01/electricity-tariffs/E-1R-AGILE-24-10-01-G/standard-unit-rates/</x:v>
      </x:c>
    </x:row>
    <x:row r="523" ht="21" customHeight="1">
      <x:c r="A523" s="24" t="n">
        <x:v>46159.395833333336</x:v>
      </x:c>
      <x:c r="B523" s="6" t="n">
        <x:v>0.1686</x:v>
      </x:c>
      <x:c r="C523" s="6" t="n">
        <x:v>0.10339999999999999</x:v>
      </x:c>
      <x:c r="D523" s="6" t="n">
        <x:f>'Tariff and method'!$B$4</x:f>
        <x:v>0.2226</x:v>
      </x:c>
      <x:c r="E523" s="1" t="n">
        <x:v>1.05</x:v>
      </x:c>
      <x:c r="F523" s="1" t="str">
        <x:v>https://api.octopus.energy/v1/products/AGILE-24-10-01/electricity-tariffs/E-1R-AGILE-24-10-01-G/standard-unit-rates/</x:v>
      </x:c>
    </x:row>
    <x:row r="524" ht="21" customHeight="1">
      <x:c r="A524" s="24" t="n">
        <x:v>46159.416666666664</x:v>
      </x:c>
      <x:c r="B524" s="6" t="n">
        <x:v>0.1883</x:v>
      </x:c>
      <x:c r="C524" s="6" t="n">
        <x:v>0.11230000000000001</x:v>
      </x:c>
      <x:c r="D524" s="6" t="n">
        <x:f>'Tariff and method'!$B$4</x:f>
        <x:v>0.2226</x:v>
      </x:c>
      <x:c r="E524" s="1" t="n">
        <x:v>1.05</x:v>
      </x:c>
      <x:c r="F524" s="1" t="str">
        <x:v>https://api.octopus.energy/v1/products/AGILE-24-10-01/electricity-tariffs/E-1R-AGILE-24-10-01-G/standard-unit-rates/</x:v>
      </x:c>
    </x:row>
    <x:row r="525" ht="21" customHeight="1">
      <x:c r="A525" s="24" t="n">
        <x:v>46159.4375</x:v>
      </x:c>
      <x:c r="B525" s="6" t="n">
        <x:v>0.179</x:v>
      </x:c>
      <x:c r="C525" s="6" t="n">
        <x:v>0.1081</x:v>
      </x:c>
      <x:c r="D525" s="6" t="n">
        <x:f>'Tariff and method'!$B$4</x:f>
        <x:v>0.2226</x:v>
      </x:c>
      <x:c r="E525" s="1" t="n">
        <x:v>1.05</x:v>
      </x:c>
      <x:c r="F525" s="1" t="str">
        <x:v>https://api.octopus.energy/v1/products/AGILE-24-10-01/electricity-tariffs/E-1R-AGILE-24-10-01-G/standard-unit-rates/</x:v>
      </x:c>
    </x:row>
    <x:row r="526" ht="21" customHeight="1">
      <x:c r="A526" s="24" t="n">
        <x:v>46159.458333333336</x:v>
      </x:c>
      <x:c r="B526" s="6" t="n">
        <x:v>0.17120000000000002</x:v>
      </x:c>
      <x:c r="C526" s="6" t="n">
        <x:v>0.1045</x:v>
      </x:c>
      <x:c r="D526" s="6" t="n">
        <x:f>'Tariff and method'!$B$4</x:f>
        <x:v>0.2226</x:v>
      </x:c>
      <x:c r="E526" s="1" t="n">
        <x:v>1.05</x:v>
      </x:c>
      <x:c r="F526" s="1" t="str">
        <x:v>https://api.octopus.energy/v1/products/AGILE-24-10-01/electricity-tariffs/E-1R-AGILE-24-10-01-G/standard-unit-rates/</x:v>
      </x:c>
    </x:row>
    <x:row r="527" ht="21" customHeight="1">
      <x:c r="A527" s="24" t="n">
        <x:v>46159.479166666664</x:v>
      </x:c>
      <x:c r="B527" s="6" t="n">
        <x:v>0.1745</x:v>
      </x:c>
      <x:c r="C527" s="6" t="n">
        <x:v>0.106</x:v>
      </x:c>
      <x:c r="D527" s="6" t="n">
        <x:f>'Tariff and method'!$B$4</x:f>
        <x:v>0.2226</x:v>
      </x:c>
      <x:c r="E527" s="1" t="n">
        <x:v>1.05</x:v>
      </x:c>
      <x:c r="F527" s="1" t="str">
        <x:v>https://api.octopus.energy/v1/products/AGILE-24-10-01/electricity-tariffs/E-1R-AGILE-24-10-01-G/standard-unit-rates/</x:v>
      </x:c>
    </x:row>
    <x:row r="528" ht="21" customHeight="1">
      <x:c r="A528" s="24" t="n">
        <x:v>46159.5</x:v>
      </x:c>
      <x:c r="B528" s="6" t="n">
        <x:v>0.1826</x:v>
      </x:c>
      <x:c r="C528" s="6" t="n">
        <x:v>0.1097</x:v>
      </x:c>
      <x:c r="D528" s="6" t="n">
        <x:f>'Tariff and method'!$B$4</x:f>
        <x:v>0.2226</x:v>
      </x:c>
      <x:c r="E528" s="1" t="n">
        <x:v>1.05</x:v>
      </x:c>
      <x:c r="F528" s="1" t="str">
        <x:v>https://api.octopus.energy/v1/products/AGILE-24-10-01/electricity-tariffs/E-1R-AGILE-24-10-01-G/standard-unit-rates/</x:v>
      </x:c>
    </x:row>
    <x:row r="529" ht="21" customHeight="1">
      <x:c r="A529" s="24" t="n">
        <x:v>46159.520833333336</x:v>
      </x:c>
      <x:c r="B529" s="6" t="n">
        <x:v>0.18600000000000003</x:v>
      </x:c>
      <x:c r="C529" s="6" t="n">
        <x:v>0.11130000000000001</x:v>
      </x:c>
      <x:c r="D529" s="6" t="n">
        <x:f>'Tariff and method'!$B$4</x:f>
        <x:v>0.2226</x:v>
      </x:c>
      <x:c r="E529" s="1" t="n">
        <x:v>1.05</x:v>
      </x:c>
      <x:c r="F529" s="1" t="str">
        <x:v>https://api.octopus.energy/v1/products/AGILE-24-10-01/electricity-tariffs/E-1R-AGILE-24-10-01-G/standard-unit-rates/</x:v>
      </x:c>
    </x:row>
    <x:row r="530" ht="21" customHeight="1">
      <x:c r="A530" s="24" t="n">
        <x:v>46159.541666666664</x:v>
      </x:c>
      <x:c r="B530" s="6" t="n">
        <x:v>0.1745</x:v>
      </x:c>
      <x:c r="C530" s="6" t="n">
        <x:v>0.106</x:v>
      </x:c>
      <x:c r="D530" s="6" t="n">
        <x:f>'Tariff and method'!$B$4</x:f>
        <x:v>0.2226</x:v>
      </x:c>
      <x:c r="E530" s="1" t="n">
        <x:v>1.05</x:v>
      </x:c>
      <x:c r="F530" s="1" t="str">
        <x:v>https://api.octopus.energy/v1/products/AGILE-24-10-01/electricity-tariffs/E-1R-AGILE-24-10-01-G/standard-unit-rates/</x:v>
      </x:c>
    </x:row>
    <x:row r="531" ht="21" customHeight="1">
      <x:c r="A531" s="24" t="n">
        <x:v>46159.5625</x:v>
      </x:c>
      <x:c r="B531" s="6" t="n">
        <x:v>0.1636</x:v>
      </x:c>
      <x:c r="C531" s="6" t="n">
        <x:v>0.1011</x:v>
      </x:c>
      <x:c r="D531" s="6" t="n">
        <x:f>'Tariff and method'!$B$4</x:f>
        <x:v>0.2226</x:v>
      </x:c>
      <x:c r="E531" s="1" t="n">
        <x:v>1.05</x:v>
      </x:c>
      <x:c r="F531" s="1" t="str">
        <x:v>https://api.octopus.energy/v1/products/AGILE-24-10-01/electricity-tariffs/E-1R-AGILE-24-10-01-G/standard-unit-rates/</x:v>
      </x:c>
    </x:row>
    <x:row r="532" ht="21" customHeight="1">
      <x:c r="A532" s="24" t="n">
        <x:v>46159.583333333336</x:v>
      </x:c>
      <x:c r="B532" s="6" t="n">
        <x:v>0.16899999999999998</x:v>
      </x:c>
      <x:c r="C532" s="6" t="n">
        <x:v>0.1035</x:v>
      </x:c>
      <x:c r="D532" s="6" t="n">
        <x:f>'Tariff and method'!$B$4</x:f>
        <x:v>0.2226</x:v>
      </x:c>
      <x:c r="E532" s="1" t="n">
        <x:v>1.05</x:v>
      </x:c>
      <x:c r="F532" s="1" t="str">
        <x:v>https://api.octopus.energy/v1/products/AGILE-24-10-01/electricity-tariffs/E-1R-AGILE-24-10-01-G/standard-unit-rates/</x:v>
      </x:c>
    </x:row>
    <x:row r="533" ht="21" customHeight="1">
      <x:c r="A533" s="24" t="n">
        <x:v>46159.604166666664</x:v>
      </x:c>
      <x:c r="B533" s="6" t="n">
        <x:v>0.17800000000000002</x:v>
      </x:c>
      <x:c r="C533" s="6" t="n">
        <x:v>0.1076</x:v>
      </x:c>
      <x:c r="D533" s="6" t="n">
        <x:f>'Tariff and method'!$B$4</x:f>
        <x:v>0.2226</x:v>
      </x:c>
      <x:c r="E533" s="1" t="n">
        <x:v>1.05</x:v>
      </x:c>
      <x:c r="F533" s="1" t="str">
        <x:v>https://api.octopus.energy/v1/products/AGILE-24-10-01/electricity-tariffs/E-1R-AGILE-24-10-01-G/standard-unit-rates/</x:v>
      </x:c>
    </x:row>
    <x:row r="534" ht="21" customHeight="1">
      <x:c r="A534" s="24" t="n">
        <x:v>46159.625</x:v>
      </x:c>
      <x:c r="B534" s="6" t="n">
        <x:v>0.1881</x:v>
      </x:c>
      <x:c r="C534" s="6" t="n">
        <x:v>0.11220000000000001</x:v>
      </x:c>
      <x:c r="D534" s="6" t="n">
        <x:f>'Tariff and method'!$B$4</x:f>
        <x:v>0.2226</x:v>
      </x:c>
      <x:c r="E534" s="1" t="n">
        <x:v>1.05</x:v>
      </x:c>
      <x:c r="F534" s="1" t="str">
        <x:v>https://api.octopus.energy/v1/products/AGILE-24-10-01/electricity-tariffs/E-1R-AGILE-24-10-01-G/standard-unit-rates/</x:v>
      </x:c>
    </x:row>
    <x:row r="535" ht="21" customHeight="1">
      <x:c r="A535" s="24" t="n">
        <x:v>46159.645833333336</x:v>
      </x:c>
      <x:c r="B535" s="6" t="n">
        <x:v>0.1917</x:v>
      </x:c>
      <x:c r="C535" s="6" t="n">
        <x:v>0.1139</x:v>
      </x:c>
      <x:c r="D535" s="6" t="n">
        <x:f>'Tariff and method'!$B$4</x:f>
        <x:v>0.2226</x:v>
      </x:c>
      <x:c r="E535" s="1" t="n">
        <x:v>1.05</x:v>
      </x:c>
      <x:c r="F535" s="1" t="str">
        <x:v>https://api.octopus.energy/v1/products/AGILE-24-10-01/electricity-tariffs/E-1R-AGILE-24-10-01-G/standard-unit-rates/</x:v>
      </x:c>
    </x:row>
    <x:row r="536" ht="21" customHeight="1">
      <x:c r="A536" s="24" t="n">
        <x:v>46159.666666666664</x:v>
      </x:c>
      <x:c r="B536" s="6" t="n">
        <x:v>0.3208</x:v>
      </x:c>
      <x:c r="C536" s="6" t="n">
        <x:v>0.177</x:v>
      </x:c>
      <x:c r="D536" s="6" t="n">
        <x:f>'Tariff and method'!$B$4</x:f>
        <x:v>0.2226</x:v>
      </x:c>
      <x:c r="E536" s="1" t="n">
        <x:v>1.05</x:v>
      </x:c>
      <x:c r="F536" s="1" t="str">
        <x:v>https://api.octopus.energy/v1/products/AGILE-24-10-01/electricity-tariffs/E-1R-AGILE-24-10-01-G/standard-unit-rates/</x:v>
      </x:c>
    </x:row>
    <x:row r="537" ht="21" customHeight="1">
      <x:c r="A537" s="24" t="n">
        <x:v>46159.6875</x:v>
      </x:c>
      <x:c r="B537" s="6" t="n">
        <x:v>0.3223</x:v>
      </x:c>
      <x:c r="C537" s="6" t="n">
        <x:v>0.1777</x:v>
      </x:c>
      <x:c r="D537" s="6" t="n">
        <x:f>'Tariff and method'!$B$4</x:f>
        <x:v>0.2226</x:v>
      </x:c>
      <x:c r="E537" s="1" t="n">
        <x:v>1.05</x:v>
      </x:c>
      <x:c r="F537" s="1" t="str">
        <x:v>https://api.octopus.energy/v1/products/AGILE-24-10-01/electricity-tariffs/E-1R-AGILE-24-10-01-G/standard-unit-rates/</x:v>
      </x:c>
    </x:row>
    <x:row r="538" ht="21" customHeight="1">
      <x:c r="A538" s="24" t="n">
        <x:v>46159.708333333336</x:v>
      </x:c>
      <x:c r="B538" s="6" t="n">
        <x:v>0.33409999999999995</x:v>
      </x:c>
      <x:c r="C538" s="6" t="n">
        <x:v>0.183</x:v>
      </x:c>
      <x:c r="D538" s="6" t="n">
        <x:f>'Tariff and method'!$B$4</x:f>
        <x:v>0.2226</x:v>
      </x:c>
      <x:c r="E538" s="1" t="n">
        <x:v>1.05</x:v>
      </x:c>
      <x:c r="F538" s="1" t="str">
        <x:v>https://api.octopus.energy/v1/products/AGILE-24-10-01/electricity-tariffs/E-1R-AGILE-24-10-01-G/standard-unit-rates/</x:v>
      </x:c>
    </x:row>
    <x:row r="539" ht="21" customHeight="1">
      <x:c r="A539" s="24" t="n">
        <x:v>46159.729166666664</x:v>
      </x:c>
      <x:c r="B539" s="6" t="n">
        <x:v>0.3461</x:v>
      </x:c>
      <x:c r="C539" s="6" t="n">
        <x:v>0.1885</x:v>
      </x:c>
      <x:c r="D539" s="6" t="n">
        <x:f>'Tariff and method'!$B$4</x:f>
        <x:v>0.2226</x:v>
      </x:c>
      <x:c r="E539" s="1" t="n">
        <x:v>1.05</x:v>
      </x:c>
      <x:c r="F539" s="1" t="str">
        <x:v>https://api.octopus.energy/v1/products/AGILE-24-10-01/electricity-tariffs/E-1R-AGILE-24-10-01-G/standard-unit-rates/</x:v>
      </x:c>
    </x:row>
    <x:row r="540" ht="21" customHeight="1">
      <x:c r="A540" s="24" t="n">
        <x:v>46159.75</x:v>
      </x:c>
      <x:c r="B540" s="6" t="n">
        <x:v>0.35960000000000003</x:v>
      </x:c>
      <x:c r="C540" s="6" t="n">
        <x:v>0.19469999999999998</x:v>
      </x:c>
      <x:c r="D540" s="6" t="n">
        <x:f>'Tariff and method'!$B$4</x:f>
        <x:v>0.2226</x:v>
      </x:c>
      <x:c r="E540" s="1" t="n">
        <x:v>1.05</x:v>
      </x:c>
      <x:c r="F540" s="1" t="str">
        <x:v>https://api.octopus.energy/v1/products/AGILE-24-10-01/electricity-tariffs/E-1R-AGILE-24-10-01-G/standard-unit-rates/</x:v>
      </x:c>
    </x:row>
    <x:row r="541" ht="21" customHeight="1">
      <x:c r="A541" s="24" t="n">
        <x:v>46159.770833333336</x:v>
      </x:c>
      <x:c r="B541" s="6" t="n">
        <x:v>0.3617</x:v>
      </x:c>
      <x:c r="C541" s="6" t="n">
        <x:v>0.1957</x:v>
      </x:c>
      <x:c r="D541" s="6" t="n">
        <x:f>'Tariff and method'!$B$4</x:f>
        <x:v>0.2226</x:v>
      </x:c>
      <x:c r="E541" s="1" t="n">
        <x:v>1.05</x:v>
      </x:c>
      <x:c r="F541" s="1" t="str">
        <x:v>https://api.octopus.energy/v1/products/AGILE-24-10-01/electricity-tariffs/E-1R-AGILE-24-10-01-G/standard-unit-rates/</x:v>
      </x:c>
    </x:row>
    <x:row r="542" ht="21" customHeight="1">
      <x:c r="A542" s="24" t="n">
        <x:v>46159.791666666664</x:v>
      </x:c>
      <x:c r="B542" s="6" t="n">
        <x:v>0.2706</x:v>
      </x:c>
      <x:c r="C542" s="6" t="n">
        <x:v>0.15</x:v>
      </x:c>
      <x:c r="D542" s="6" t="n">
        <x:f>'Tariff and method'!$B$4</x:f>
        <x:v>0.2226</x:v>
      </x:c>
      <x:c r="E542" s="1" t="n">
        <x:v>1.05</x:v>
      </x:c>
      <x:c r="F542" s="1" t="str">
        <x:v>https://api.octopus.energy/v1/products/AGILE-24-10-01/electricity-tariffs/E-1R-AGILE-24-10-01-G/standard-unit-rates/</x:v>
      </x:c>
    </x:row>
    <x:row r="543" ht="21" customHeight="1">
      <x:c r="A543" s="24" t="n">
        <x:v>46159.8125</x:v>
      </x:c>
      <x:c r="B543" s="6" t="n">
        <x:v>0.26839999999999997</x:v>
      </x:c>
      <x:c r="C543" s="6" t="n">
        <x:v>0.149</x:v>
      </x:c>
      <x:c r="D543" s="6" t="n">
        <x:f>'Tariff and method'!$B$4</x:f>
        <x:v>0.2226</x:v>
      </x:c>
      <x:c r="E543" s="1" t="n">
        <x:v>1.05</x:v>
      </x:c>
      <x:c r="F543" s="1" t="str">
        <x:v>https://api.octopus.energy/v1/products/AGILE-24-10-01/electricity-tariffs/E-1R-AGILE-24-10-01-G/standard-unit-rates/</x:v>
      </x:c>
    </x:row>
    <x:row r="544" ht="21" customHeight="1">
      <x:c r="A544" s="24" t="n">
        <x:v>46159.833333333336</x:v>
      </x:c>
      <x:c r="B544" s="6" t="n">
        <x:v>0.2606</x:v>
      </x:c>
      <x:c r="C544" s="6" t="n">
        <x:v>0.1454</x:v>
      </x:c>
      <x:c r="D544" s="6" t="n">
        <x:f>'Tariff and method'!$B$4</x:f>
        <x:v>0.2226</x:v>
      </x:c>
      <x:c r="E544" s="1" t="n">
        <x:v>1.05</x:v>
      </x:c>
      <x:c r="F544" s="1" t="str">
        <x:v>https://api.octopus.energy/v1/products/AGILE-24-10-01/electricity-tariffs/E-1R-AGILE-24-10-01-G/standard-unit-rates/</x:v>
      </x:c>
    </x:row>
    <x:row r="545" ht="21" customHeight="1">
      <x:c r="A545" s="24" t="n">
        <x:v>46159.854166666664</x:v>
      </x:c>
      <x:c r="B545" s="6" t="n">
        <x:v>0.2648</x:v>
      </x:c>
      <x:c r="C545" s="6" t="n">
        <x:v>0.14730000000000001</x:v>
      </x:c>
      <x:c r="D545" s="6" t="n">
        <x:f>'Tariff and method'!$B$4</x:f>
        <x:v>0.2226</x:v>
      </x:c>
      <x:c r="E545" s="1" t="n">
        <x:v>1.05</x:v>
      </x:c>
      <x:c r="F545" s="1" t="str">
        <x:v>https://api.octopus.energy/v1/products/AGILE-24-10-01/electricity-tariffs/E-1R-AGILE-24-10-01-G/standard-unit-rates/</x:v>
      </x:c>
    </x:row>
    <x:row r="546" ht="21" customHeight="1">
      <x:c r="A546" s="24" t="n">
        <x:v>46159.875</x:v>
      </x:c>
      <x:c r="B546" s="6" t="n">
        <x:v>0.2705</x:v>
      </x:c>
      <x:c r="C546" s="6" t="n">
        <x:v>0.1499</x:v>
      </x:c>
      <x:c r="D546" s="6" t="n">
        <x:f>'Tariff and method'!$B$4</x:f>
        <x:v>0.2226</x:v>
      </x:c>
      <x:c r="E546" s="1" t="n">
        <x:v>1.05</x:v>
      </x:c>
      <x:c r="F546" s="1" t="str">
        <x:v>https://api.octopus.energy/v1/products/AGILE-24-10-01/electricity-tariffs/E-1R-AGILE-24-10-01-G/standard-unit-rates/</x:v>
      </x:c>
    </x:row>
    <x:row r="547" ht="21" customHeight="1">
      <x:c r="A547" s="24" t="n">
        <x:v>46159.895833333336</x:v>
      </x:c>
      <x:c r="B547" s="6" t="n">
        <x:v>0.2648</x:v>
      </x:c>
      <x:c r="C547" s="6" t="n">
        <x:v>0.14730000000000001</x:v>
      </x:c>
      <x:c r="D547" s="6" t="n">
        <x:f>'Tariff and method'!$B$4</x:f>
        <x:v>0.2226</x:v>
      </x:c>
      <x:c r="E547" s="1" t="n">
        <x:v>1.05</x:v>
      </x:c>
      <x:c r="F547" s="1" t="str">
        <x:v>https://api.octopus.energy/v1/products/AGILE-24-10-01/electricity-tariffs/E-1R-AGILE-24-10-01-G/standard-unit-rates/</x:v>
      </x:c>
    </x:row>
    <x:row r="548" ht="21" customHeight="1">
      <x:c r="A548" s="24" t="n">
        <x:v>46159.916666666664</x:v>
      </x:c>
      <x:c r="B548" s="6" t="n">
        <x:v>0.2648</x:v>
      </x:c>
      <x:c r="C548" s="6" t="n">
        <x:v>0.14730000000000001</x:v>
      </x:c>
      <x:c r="D548" s="6" t="n">
        <x:f>'Tariff and method'!$B$4</x:f>
        <x:v>0.2226</x:v>
      </x:c>
      <x:c r="E548" s="1" t="n">
        <x:v>1.05</x:v>
      </x:c>
      <x:c r="F548" s="1" t="str">
        <x:v>https://api.octopus.energy/v1/products/AGILE-24-10-01/electricity-tariffs/E-1R-AGILE-24-10-01-G/standard-unit-rates/</x:v>
      </x:c>
    </x:row>
    <x:row r="549" ht="21" customHeight="1">
      <x:c r="A549" s="24" t="n">
        <x:v>46159.9375</x:v>
      </x:c>
      <x:c r="B549" s="6" t="n">
        <x:v>0.239</x:v>
      </x:c>
      <x:c r="C549" s="6" t="n">
        <x:v>0.1355</x:v>
      </x:c>
      <x:c r="D549" s="6" t="n">
        <x:f>'Tariff and method'!$B$4</x:f>
        <x:v>0.2226</x:v>
      </x:c>
      <x:c r="E549" s="1" t="n">
        <x:v>1.05</x:v>
      </x:c>
      <x:c r="F549" s="1" t="str">
        <x:v>https://api.octopus.energy/v1/products/AGILE-24-10-01/electricity-tariffs/E-1R-AGILE-24-10-01-G/standard-unit-rates/</x:v>
      </x:c>
    </x:row>
    <x:row r="550" ht="21" customHeight="1">
      <x:c r="A550" s="24" t="n">
        <x:v>46160</x:v>
      </x:c>
      <x:c r="B550" s="6" t="n">
        <x:v>0.2368</x:v>
      </x:c>
      <x:c r="C550" s="6" t="n">
        <x:v>0.13449999999999998</x:v>
      </x:c>
      <x:c r="D550" s="6" t="n">
        <x:f>'Tariff and method'!$B$4</x:f>
        <x:v>0.2226</x:v>
      </x:c>
      <x:c r="E550" s="1" t="n">
        <x:v>1.05</x:v>
      </x:c>
      <x:c r="F550" s="1" t="str">
        <x:v>https://api.octopus.energy/v1/products/AGILE-24-10-01/electricity-tariffs/E-1R-AGILE-24-10-01-G/standard-unit-rates/</x:v>
      </x:c>
    </x:row>
    <x:row r="551" ht="21" customHeight="1">
      <x:c r="A551" s="24" t="n">
        <x:v>46159.979166666664</x:v>
      </x:c>
      <x:c r="B551" s="6" t="n">
        <x:v>0.22649999999999998</x:v>
      </x:c>
      <x:c r="C551" s="6" t="n">
        <x:v>0.1298</x:v>
      </x:c>
      <x:c r="D551" s="6" t="n">
        <x:f>'Tariff and method'!$B$4</x:f>
        <x:v>0.2226</x:v>
      </x:c>
      <x:c r="E551" s="1" t="n">
        <x:v>1.05</x:v>
      </x:c>
      <x:c r="F551" s="1" t="str">
        <x:v>https://api.octopus.energy/v1/products/AGILE-24-10-01/electricity-tariffs/E-1R-AGILE-24-10-01-G/standard-unit-rates/</x:v>
      </x:c>
    </x:row>
    <x:row r="552" ht="21" customHeight="1">
      <x:c r="A552" s="24" t="n">
        <x:v>46160</x:v>
      </x:c>
      <x:c r="B552" s="6" t="n">
        <x:v>0.2126</x:v>
      </x:c>
      <x:c r="C552" s="6" t="n">
        <x:v>0.1235</x:v>
      </x:c>
      <x:c r="D552" s="6" t="n">
        <x:f>'Tariff and method'!$B$4</x:f>
        <x:v>0.2226</x:v>
      </x:c>
      <x:c r="E552" s="1" t="n">
        <x:v>1.05</x:v>
      </x:c>
      <x:c r="F552" s="1" t="str">
        <x:v>https://api.octopus.energy/v1/products/AGILE-24-10-01/electricity-tariffs/E-1R-AGILE-24-10-01-G/standard-unit-rates/</x:v>
      </x:c>
    </x:row>
    <x:row r="553" ht="21" customHeight="1">
      <x:c r="A553" s="24" t="n">
        <x:v>46160.020833333336</x:v>
      </x:c>
      <x:c r="B553" s="6" t="n">
        <x:v>0.2192</x:v>
      </x:c>
      <x:c r="C553" s="6" t="n">
        <x:v>0.1265</x:v>
      </x:c>
      <x:c r="D553" s="6" t="n">
        <x:f>'Tariff and method'!$B$4</x:f>
        <x:v>0.2226</x:v>
      </x:c>
      <x:c r="E553" s="1" t="n">
        <x:v>1.05</x:v>
      </x:c>
      <x:c r="F553" s="1" t="str">
        <x:v>https://api.octopus.energy/v1/products/AGILE-24-10-01/electricity-tariffs/E-1R-AGILE-24-10-01-G/standard-unit-rates/</x:v>
      </x:c>
    </x:row>
    <x:row r="554" ht="21" customHeight="1">
      <x:c r="A554" s="24" t="n">
        <x:v>46160.041666666664</x:v>
      </x:c>
      <x:c r="B554" s="6" t="n">
        <x:v>0.21289999999999998</x:v>
      </x:c>
      <x:c r="C554" s="6" t="n">
        <x:v>0.12359999999999999</x:v>
      </x:c>
      <x:c r="D554" s="6" t="n">
        <x:f>'Tariff and method'!$B$4</x:f>
        <x:v>0.2226</x:v>
      </x:c>
      <x:c r="E554" s="1" t="n">
        <x:v>1.05</x:v>
      </x:c>
      <x:c r="F554" s="1" t="str">
        <x:v>https://api.octopus.energy/v1/products/AGILE-24-10-01/electricity-tariffs/E-1R-AGILE-24-10-01-G/standard-unit-rates/</x:v>
      </x:c>
    </x:row>
    <x:row r="555" ht="21" customHeight="1">
      <x:c r="A555" s="24" t="n">
        <x:v>46160.0625</x:v>
      </x:c>
      <x:c r="B555" s="6" t="n">
        <x:v>0.2257</x:v>
      </x:c>
      <x:c r="C555" s="6" t="n">
        <x:v>0.1295</x:v>
      </x:c>
      <x:c r="D555" s="6" t="n">
        <x:f>'Tariff and method'!$B$4</x:f>
        <x:v>0.2226</x:v>
      </x:c>
      <x:c r="E555" s="1" t="n">
        <x:v>1.05</x:v>
      </x:c>
      <x:c r="F555" s="1" t="str">
        <x:v>https://api.octopus.energy/v1/products/AGILE-24-10-01/electricity-tariffs/E-1R-AGILE-24-10-01-G/standard-unit-rates/</x:v>
      </x:c>
    </x:row>
    <x:row r="556" ht="21" customHeight="1">
      <x:c r="A556" s="24" t="n">
        <x:v>46160.083333333336</x:v>
      </x:c>
      <x:c r="B556" s="6" t="n">
        <x:v>0.2086</x:v>
      </x:c>
      <x:c r="C556" s="6" t="n">
        <x:v>0.1216</x:v>
      </x:c>
      <x:c r="D556" s="6" t="n">
        <x:f>'Tariff and method'!$B$4</x:f>
        <x:v>0.2226</x:v>
      </x:c>
      <x:c r="E556" s="1" t="n">
        <x:v>1.05</x:v>
      </x:c>
      <x:c r="F556" s="1" t="str">
        <x:v>https://api.octopus.energy/v1/products/AGILE-24-10-01/electricity-tariffs/E-1R-AGILE-24-10-01-G/standard-unit-rates/</x:v>
      </x:c>
    </x:row>
    <x:row r="557" ht="21" customHeight="1">
      <x:c r="A557" s="24" t="n">
        <x:v>46160.104166666664</x:v>
      </x:c>
      <x:c r="B557" s="6" t="n">
        <x:v>0.2005</x:v>
      </x:c>
      <x:c r="C557" s="6" t="n">
        <x:v>0.11789999999999999</x:v>
      </x:c>
      <x:c r="D557" s="6" t="n">
        <x:f>'Tariff and method'!$B$4</x:f>
        <x:v>0.2226</x:v>
      </x:c>
      <x:c r="E557" s="1" t="n">
        <x:v>1.05</x:v>
      </x:c>
      <x:c r="F557" s="1" t="str">
        <x:v>https://api.octopus.energy/v1/products/AGILE-24-10-01/electricity-tariffs/E-1R-AGILE-24-10-01-G/standard-unit-rates/</x:v>
      </x:c>
    </x:row>
    <x:row r="558" ht="21" customHeight="1">
      <x:c r="A558" s="24" t="n">
        <x:v>46160.125</x:v>
      </x:c>
      <x:c r="B558" s="6" t="n">
        <x:v>0.2014</x:v>
      </x:c>
      <x:c r="C558" s="6" t="n">
        <x:v>0.1183</x:v>
      </x:c>
      <x:c r="D558" s="6" t="n">
        <x:f>'Tariff and method'!$B$4</x:f>
        <x:v>0.2226</x:v>
      </x:c>
      <x:c r="E558" s="1" t="n">
        <x:v>1.05</x:v>
      </x:c>
      <x:c r="F558" s="1" t="str">
        <x:v>https://api.octopus.energy/v1/products/AGILE-24-10-01/electricity-tariffs/E-1R-AGILE-24-10-01-G/standard-unit-rates/</x:v>
      </x:c>
    </x:row>
    <x:row r="559" ht="21" customHeight="1">
      <x:c r="A559" s="24" t="n">
        <x:v>46160.145833333336</x:v>
      </x:c>
      <x:c r="B559" s="6" t="n">
        <x:v>0.1955</x:v>
      </x:c>
      <x:c r="C559" s="6" t="n">
        <x:v>0.11560000000000001</x:v>
      </x:c>
      <x:c r="D559" s="6" t="n">
        <x:f>'Tariff and method'!$B$4</x:f>
        <x:v>0.2226</x:v>
      </x:c>
      <x:c r="E559" s="1" t="n">
        <x:v>1.05</x:v>
      </x:c>
      <x:c r="F559" s="1" t="str">
        <x:v>https://api.octopus.energy/v1/products/AGILE-24-10-01/electricity-tariffs/E-1R-AGILE-24-10-01-G/standard-unit-rates/</x:v>
      </x:c>
    </x:row>
    <x:row r="560" ht="21" customHeight="1">
      <x:c r="A560" s="24" t="n">
        <x:v>46160.166666666664</x:v>
      </x:c>
      <x:c r="B560" s="6" t="n">
        <x:v>0.20809999999999998</x:v>
      </x:c>
      <x:c r="C560" s="6" t="n">
        <x:v>0.12140000000000001</x:v>
      </x:c>
      <x:c r="D560" s="6" t="n">
        <x:f>'Tariff and method'!$B$4</x:f>
        <x:v>0.2226</x:v>
      </x:c>
      <x:c r="E560" s="1" t="n">
        <x:v>1.05</x:v>
      </x:c>
      <x:c r="F560" s="1" t="str">
        <x:v>https://api.octopus.energy/v1/products/AGILE-24-10-01/electricity-tariffs/E-1R-AGILE-24-10-01-G/standard-unit-rates/</x:v>
      </x:c>
    </x:row>
    <x:row r="561" ht="21" customHeight="1">
      <x:c r="A561" s="24" t="n">
        <x:v>46160.1875</x:v>
      </x:c>
      <x:c r="B561" s="6" t="n">
        <x:v>0.1997</x:v>
      </x:c>
      <x:c r="C561" s="6" t="n">
        <x:v>0.1176</x:v>
      </x:c>
      <x:c r="D561" s="6" t="n">
        <x:f>'Tariff and method'!$B$4</x:f>
        <x:v>0.2226</x:v>
      </x:c>
      <x:c r="E561" s="1" t="n">
        <x:v>1.05</x:v>
      </x:c>
      <x:c r="F561" s="1" t="str">
        <x:v>https://api.octopus.energy/v1/products/AGILE-24-10-01/electricity-tariffs/E-1R-AGILE-24-10-01-G/standard-unit-rates/</x:v>
      </x:c>
    </x:row>
    <x:row r="562" ht="21" customHeight="1">
      <x:c r="A562" s="24" t="n">
        <x:v>46160.208333333336</x:v>
      </x:c>
      <x:c r="B562" s="6" t="n">
        <x:v>0.2248</x:v>
      </x:c>
      <x:c r="C562" s="6" t="n">
        <x:v>0.129</x:v>
      </x:c>
      <x:c r="D562" s="6" t="n">
        <x:f>'Tariff and method'!$B$4</x:f>
        <x:v>0.2226</x:v>
      </x:c>
      <x:c r="E562" s="1" t="n">
        <x:v>1.05</x:v>
      </x:c>
      <x:c r="F562" s="1" t="str">
        <x:v>https://api.octopus.energy/v1/products/AGILE-24-10-01/electricity-tariffs/E-1R-AGILE-24-10-01-G/standard-unit-rates/</x:v>
      </x:c>
    </x:row>
    <x:row r="563" ht="21" customHeight="1">
      <x:c r="A563" s="24" t="n">
        <x:v>46160.229166666664</x:v>
      </x:c>
      <x:c r="B563" s="6" t="n">
        <x:v>0.209</x:v>
      </x:c>
      <x:c r="C563" s="6" t="n">
        <x:v>0.12179999999999999</x:v>
      </x:c>
      <x:c r="D563" s="6" t="n">
        <x:f>'Tariff and method'!$B$4</x:f>
        <x:v>0.2226</x:v>
      </x:c>
      <x:c r="E563" s="1" t="n">
        <x:v>1.05</x:v>
      </x:c>
      <x:c r="F563" s="1" t="str">
        <x:v>https://api.octopus.energy/v1/products/AGILE-24-10-01/electricity-tariffs/E-1R-AGILE-24-10-01-G/standard-unit-rates/</x:v>
      </x:c>
    </x:row>
    <x:row r="564" ht="21" customHeight="1">
      <x:c r="A564" s="24" t="n">
        <x:v>46160.25</x:v>
      </x:c>
      <x:c r="B564" s="6" t="n">
        <x:v>0.2459</x:v>
      </x:c>
      <x:c r="C564" s="6" t="n">
        <x:v>0.1387</x:v>
      </x:c>
      <x:c r="D564" s="6" t="n">
        <x:f>'Tariff and method'!$B$4</x:f>
        <x:v>0.2226</x:v>
      </x:c>
      <x:c r="E564" s="1" t="n">
        <x:v>1.05</x:v>
      </x:c>
      <x:c r="F564" s="1" t="str">
        <x:v>https://api.octopus.energy/v1/products/AGILE-24-10-01/electricity-tariffs/E-1R-AGILE-24-10-01-G/standard-unit-rates/</x:v>
      </x:c>
    </x:row>
    <x:row r="565" ht="21" customHeight="1">
      <x:c r="A565" s="24" t="n">
        <x:v>46160.270833333336</x:v>
      </x:c>
      <x:c r="B565" s="6" t="n">
        <x:v>0.254</x:v>
      </x:c>
      <x:c r="C565" s="6" t="n">
        <x:v>0.1424</x:v>
      </x:c>
      <x:c r="D565" s="6" t="n">
        <x:f>'Tariff and method'!$B$4</x:f>
        <x:v>0.2226</x:v>
      </x:c>
      <x:c r="E565" s="1" t="n">
        <x:v>1.05</x:v>
      </x:c>
      <x:c r="F565" s="1" t="str">
        <x:v>https://api.octopus.energy/v1/products/AGILE-24-10-01/electricity-tariffs/E-1R-AGILE-24-10-01-G/standard-unit-rates/</x:v>
      </x:c>
    </x:row>
    <x:row r="566" ht="21" customHeight="1">
      <x:c r="A566" s="24" t="n">
        <x:v>46160.291666666664</x:v>
      </x:c>
      <x:c r="B566" s="6" t="n">
        <x:v>0.2522</x:v>
      </x:c>
      <x:c r="C566" s="6" t="n">
        <x:v>0.1416</x:v>
      </x:c>
      <x:c r="D566" s="6" t="n">
        <x:f>'Tariff and method'!$B$4</x:f>
        <x:v>0.2226</x:v>
      </x:c>
      <x:c r="E566" s="1" t="n">
        <x:v>1.05</x:v>
      </x:c>
      <x:c r="F566" s="1" t="str">
        <x:v>https://api.octopus.energy/v1/products/AGILE-24-10-01/electricity-tariffs/E-1R-AGILE-24-10-01-G/standard-unit-rates/</x:v>
      </x:c>
    </x:row>
    <x:row r="567" ht="21" customHeight="1">
      <x:c r="A567" s="24" t="n">
        <x:v>46160.3125</x:v>
      </x:c>
      <x:c r="B567" s="6" t="n">
        <x:v>0.26899999999999996</x:v>
      </x:c>
      <x:c r="C567" s="6" t="n">
        <x:v>0.1492</x:v>
      </x:c>
      <x:c r="D567" s="6" t="n">
        <x:f>'Tariff and method'!$B$4</x:f>
        <x:v>0.2226</x:v>
      </x:c>
      <x:c r="E567" s="1" t="n">
        <x:v>1.05</x:v>
      </x:c>
      <x:c r="F567" s="1" t="str">
        <x:v>https://api.octopus.energy/v1/products/AGILE-24-10-01/electricity-tariffs/E-1R-AGILE-24-10-01-G/standard-unit-rates/</x:v>
      </x:c>
    </x:row>
    <x:row r="568" ht="21" customHeight="1">
      <x:c r="A568" s="24" t="n">
        <x:v>46160.333333333336</x:v>
      </x:c>
      <x:c r="B568" s="6" t="n">
        <x:v>0.2606</x:v>
      </x:c>
      <x:c r="C568" s="6" t="n">
        <x:v>0.1454</x:v>
      </x:c>
      <x:c r="D568" s="6" t="n">
        <x:f>'Tariff and method'!$B$4</x:f>
        <x:v>0.2226</x:v>
      </x:c>
      <x:c r="E568" s="1" t="n">
        <x:v>1.05</x:v>
      </x:c>
      <x:c r="F568" s="1" t="str">
        <x:v>https://api.octopus.energy/v1/products/AGILE-24-10-01/electricity-tariffs/E-1R-AGILE-24-10-01-G/standard-unit-rates/</x:v>
      </x:c>
    </x:row>
    <x:row r="569" ht="21" customHeight="1">
      <x:c r="A569" s="24" t="n">
        <x:v>46160.354166666664</x:v>
      </x:c>
      <x:c r="B569" s="6" t="n">
        <x:v>0.25980000000000003</x:v>
      </x:c>
      <x:c r="C569" s="6" t="n">
        <x:v>0.145</x:v>
      </x:c>
      <x:c r="D569" s="6" t="n">
        <x:f>'Tariff and method'!$B$4</x:f>
        <x:v>0.2226</x:v>
      </x:c>
      <x:c r="E569" s="1" t="n">
        <x:v>1.05</x:v>
      </x:c>
      <x:c r="F569" s="1" t="str">
        <x:v>https://api.octopus.energy/v1/products/AGILE-24-10-01/electricity-tariffs/E-1R-AGILE-24-10-01-G/standard-unit-rates/</x:v>
      </x:c>
    </x:row>
    <x:row r="570" ht="21" customHeight="1">
      <x:c r="A570" s="24" t="n">
        <x:v>46160.375</x:v>
      </x:c>
      <x:c r="B570" s="6" t="n">
        <x:v>0.2582</x:v>
      </x:c>
      <x:c r="C570" s="6" t="n">
        <x:v>0.14429999999999998</x:v>
      </x:c>
      <x:c r="D570" s="6" t="n">
        <x:f>'Tariff and method'!$B$4</x:f>
        <x:v>0.2226</x:v>
      </x:c>
      <x:c r="E570" s="1" t="n">
        <x:v>1.05</x:v>
      </x:c>
      <x:c r="F570" s="1" t="str">
        <x:v>https://api.octopus.energy/v1/products/AGILE-24-10-01/electricity-tariffs/E-1R-AGILE-24-10-01-G/standard-unit-rates/</x:v>
      </x:c>
    </x:row>
    <x:row r="571" ht="21" customHeight="1">
      <x:c r="A571" s="24" t="n">
        <x:v>46160.395833333336</x:v>
      </x:c>
      <x:c r="B571" s="6" t="n">
        <x:v>0.24170000000000003</x:v>
      </x:c>
      <x:c r="C571" s="6" t="n">
        <x:v>0.1368</x:v>
      </x:c>
      <x:c r="D571" s="6" t="n">
        <x:f>'Tariff and method'!$B$4</x:f>
        <x:v>0.2226</x:v>
      </x:c>
      <x:c r="E571" s="1" t="n">
        <x:v>1.05</x:v>
      </x:c>
      <x:c r="F571" s="1" t="str">
        <x:v>https://api.octopus.energy/v1/products/AGILE-24-10-01/electricity-tariffs/E-1R-AGILE-24-10-01-G/standard-unit-rates/</x:v>
      </x:c>
    </x:row>
    <x:row r="572" ht="21" customHeight="1">
      <x:c r="A572" s="24" t="n">
        <x:v>46160.416666666664</x:v>
      </x:c>
      <x:c r="B572" s="6" t="n">
        <x:v>0.2438</x:v>
      </x:c>
      <x:c r="C572" s="6" t="n">
        <x:v>0.1377</x:v>
      </x:c>
      <x:c r="D572" s="6" t="n">
        <x:f>'Tariff and method'!$B$4</x:f>
        <x:v>0.2226</x:v>
      </x:c>
      <x:c r="E572" s="1" t="n">
        <x:v>1.05</x:v>
      </x:c>
      <x:c r="F572" s="1" t="str">
        <x:v>https://api.octopus.energy/v1/products/AGILE-24-10-01/electricity-tariffs/E-1R-AGILE-24-10-01-G/standard-unit-rates/</x:v>
      </x:c>
    </x:row>
    <x:row r="573" ht="21" customHeight="1">
      <x:c r="A573" s="24" t="n">
        <x:v>46160.4375</x:v>
      </x:c>
      <x:c r="B573" s="6" t="n">
        <x:v>0.2377</x:v>
      </x:c>
      <x:c r="C573" s="6" t="n">
        <x:v>0.1349</x:v>
      </x:c>
      <x:c r="D573" s="6" t="n">
        <x:f>'Tariff and method'!$B$4</x:f>
        <x:v>0.2226</x:v>
      </x:c>
      <x:c r="E573" s="1" t="n">
        <x:v>1.05</x:v>
      </x:c>
      <x:c r="F573" s="1" t="str">
        <x:v>https://api.octopus.energy/v1/products/AGILE-24-10-01/electricity-tariffs/E-1R-AGILE-24-10-01-G/standard-unit-rates/</x:v>
      </x:c>
    </x:row>
    <x:row r="574" ht="21" customHeight="1">
      <x:c r="A574" s="24" t="n">
        <x:v>46160.458333333336</x:v>
      </x:c>
      <x:c r="B574" s="6" t="n">
        <x:v>0.2354</x:v>
      </x:c>
      <x:c r="C574" s="6" t="n">
        <x:v>0.13390000000000002</x:v>
      </x:c>
      <x:c r="D574" s="6" t="n">
        <x:f>'Tariff and method'!$B$4</x:f>
        <x:v>0.2226</x:v>
      </x:c>
      <x:c r="E574" s="1" t="n">
        <x:v>1.05</x:v>
      </x:c>
      <x:c r="F574" s="1" t="str">
        <x:v>https://api.octopus.energy/v1/products/AGILE-24-10-01/electricity-tariffs/E-1R-AGILE-24-10-01-G/standard-unit-rates/</x:v>
      </x:c>
    </x:row>
    <x:row r="575" ht="21" customHeight="1">
      <x:c r="A575" s="24" t="n">
        <x:v>46160.479166666664</x:v>
      </x:c>
      <x:c r="B575" s="6" t="n">
        <x:v>0.2184</x:v>
      </x:c>
      <x:c r="C575" s="6" t="n">
        <x:v>0.1261</x:v>
      </x:c>
      <x:c r="D575" s="6" t="n">
        <x:f>'Tariff and method'!$B$4</x:f>
        <x:v>0.2226</x:v>
      </x:c>
      <x:c r="E575" s="1" t="n">
        <x:v>1.05</x:v>
      </x:c>
      <x:c r="F575" s="1" t="str">
        <x:v>https://api.octopus.energy/v1/products/AGILE-24-10-01/electricity-tariffs/E-1R-AGILE-24-10-01-G/standard-unit-rates/</x:v>
      </x:c>
    </x:row>
    <x:row r="576" ht="21" customHeight="1">
      <x:c r="A576" s="24" t="n">
        <x:v>46160.5</x:v>
      </x:c>
      <x:c r="B576" s="6" t="n">
        <x:v>0.2206</x:v>
      </x:c>
      <x:c r="C576" s="6" t="n">
        <x:v>0.12710000000000002</x:v>
      </x:c>
      <x:c r="D576" s="6" t="n">
        <x:f>'Tariff and method'!$B$4</x:f>
        <x:v>0.2226</x:v>
      </x:c>
      <x:c r="E576" s="1" t="n">
        <x:v>1.05</x:v>
      </x:c>
      <x:c r="F576" s="1" t="str">
        <x:v>https://api.octopus.energy/v1/products/AGILE-24-10-01/electricity-tariffs/E-1R-AGILE-24-10-01-G/standard-unit-rates/</x:v>
      </x:c>
    </x:row>
    <x:row r="577" ht="21" customHeight="1">
      <x:c r="A577" s="24" t="n">
        <x:v>46160.520833333336</x:v>
      </x:c>
      <x:c r="B577" s="6" t="n">
        <x:v>0.2018</x:v>
      </x:c>
      <x:c r="C577" s="6" t="n">
        <x:v>0.1185</x:v>
      </x:c>
      <x:c r="D577" s="6" t="n">
        <x:f>'Tariff and method'!$B$4</x:f>
        <x:v>0.2226</x:v>
      </x:c>
      <x:c r="E577" s="1" t="n">
        <x:v>1.05</x:v>
      </x:c>
      <x:c r="F577" s="1" t="str">
        <x:v>https://api.octopus.energy/v1/products/AGILE-24-10-01/electricity-tariffs/E-1R-AGILE-24-10-01-G/standard-unit-rates/</x:v>
      </x:c>
    </x:row>
    <x:row r="578" ht="21" customHeight="1">
      <x:c r="A578" s="24" t="n">
        <x:v>46160.541666666664</x:v>
      </x:c>
      <x:c r="B578" s="6" t="n">
        <x:v>0.20559999999999998</x:v>
      </x:c>
      <x:c r="C578" s="6" t="n">
        <x:v>0.1202</x:v>
      </x:c>
      <x:c r="D578" s="6" t="n">
        <x:f>'Tariff and method'!$B$4</x:f>
        <x:v>0.2226</x:v>
      </x:c>
      <x:c r="E578" s="1" t="n">
        <x:v>1.05</x:v>
      </x:c>
      <x:c r="F578" s="1" t="str">
        <x:v>https://api.octopus.energy/v1/products/AGILE-24-10-01/electricity-tariffs/E-1R-AGILE-24-10-01-G/standard-unit-rates/</x:v>
      </x:c>
    </x:row>
    <x:row r="579" ht="21" customHeight="1">
      <x:c r="A579" s="24" t="n">
        <x:v>46160.5625</x:v>
      </x:c>
      <x:c r="B579" s="6" t="n">
        <x:v>0.1892</x:v>
      </x:c>
      <x:c r="C579" s="6" t="n">
        <x:v>0.1128</x:v>
      </x:c>
      <x:c r="D579" s="6" t="n">
        <x:f>'Tariff and method'!$B$4</x:f>
        <x:v>0.2226</x:v>
      </x:c>
      <x:c r="E579" s="1" t="n">
        <x:v>1.05</x:v>
      </x:c>
      <x:c r="F579" s="1" t="str">
        <x:v>https://api.octopus.energy/v1/products/AGILE-24-10-01/electricity-tariffs/E-1R-AGILE-24-10-01-G/standard-unit-rates/</x:v>
      </x:c>
    </x:row>
    <x:row r="580" ht="21" customHeight="1">
      <x:c r="A580" s="24" t="n">
        <x:v>46160.583333333336</x:v>
      </x:c>
      <x:c r="B580" s="6" t="n">
        <x:v>0.18760000000000002</x:v>
      </x:c>
      <x:c r="C580" s="6" t="n">
        <x:v>0.11199999999999999</x:v>
      </x:c>
      <x:c r="D580" s="6" t="n">
        <x:f>'Tariff and method'!$B$4</x:f>
        <x:v>0.2226</x:v>
      </x:c>
      <x:c r="E580" s="1" t="n">
        <x:v>1.05</x:v>
      </x:c>
      <x:c r="F580" s="1" t="str">
        <x:v>https://api.octopus.energy/v1/products/AGILE-24-10-01/electricity-tariffs/E-1R-AGILE-24-10-01-G/standard-unit-rates/</x:v>
      </x:c>
    </x:row>
    <x:row r="581" ht="21" customHeight="1">
      <x:c r="A581" s="24" t="n">
        <x:v>46160.604166666664</x:v>
      </x:c>
      <x:c r="B581" s="6" t="n">
        <x:v>0.18600000000000003</x:v>
      </x:c>
      <x:c r="C581" s="6" t="n">
        <x:v>0.11130000000000001</x:v>
      </x:c>
      <x:c r="D581" s="6" t="n">
        <x:f>'Tariff and method'!$B$4</x:f>
        <x:v>0.2226</x:v>
      </x:c>
      <x:c r="E581" s="1" t="n">
        <x:v>1.05</x:v>
      </x:c>
      <x:c r="F581" s="1" t="str">
        <x:v>https://api.octopus.energy/v1/products/AGILE-24-10-01/electricity-tariffs/E-1R-AGILE-24-10-01-G/standard-unit-rates/</x:v>
      </x:c>
    </x:row>
    <x:row r="582" ht="21" customHeight="1">
      <x:c r="A582" s="24" t="n">
        <x:v>46160.625</x:v>
      </x:c>
      <x:c r="B582" s="6" t="n">
        <x:v>0.1766</x:v>
      </x:c>
      <x:c r="C582" s="6" t="n">
        <x:v>0.107</x:v>
      </x:c>
      <x:c r="D582" s="6" t="n">
        <x:f>'Tariff and method'!$B$4</x:f>
        <x:v>0.2226</x:v>
      </x:c>
      <x:c r="E582" s="1" t="n">
        <x:v>1.05</x:v>
      </x:c>
      <x:c r="F582" s="1" t="str">
        <x:v>https://api.octopus.energy/v1/products/AGILE-24-10-01/electricity-tariffs/E-1R-AGILE-24-10-01-G/standard-unit-rates/</x:v>
      </x:c>
    </x:row>
    <x:row r="583" ht="21" customHeight="1">
      <x:c r="A583" s="24" t="n">
        <x:v>46160.645833333336</x:v>
      </x:c>
      <x:c r="B583" s="6" t="n">
        <x:v>0.1844</x:v>
      </x:c>
      <x:c r="C583" s="6" t="n">
        <x:v>0.1106</x:v>
      </x:c>
      <x:c r="D583" s="6" t="n">
        <x:f>'Tariff and method'!$B$4</x:f>
        <x:v>0.2226</x:v>
      </x:c>
      <x:c r="E583" s="1" t="n">
        <x:v>1.05</x:v>
      </x:c>
      <x:c r="F583" s="1" t="str">
        <x:v>https://api.octopus.energy/v1/products/AGILE-24-10-01/electricity-tariffs/E-1R-AGILE-24-10-01-G/standard-unit-rates/</x:v>
      </x:c>
    </x:row>
    <x:row r="584" ht="21" customHeight="1">
      <x:c r="A584" s="24" t="n">
        <x:v>46160.666666666664</x:v>
      </x:c>
      <x:c r="B584" s="6" t="n">
        <x:v>0.2915</x:v>
      </x:c>
      <x:c r="C584" s="6" t="n">
        <x:v>0.1636</x:v>
      </x:c>
      <x:c r="D584" s="6" t="n">
        <x:f>'Tariff and method'!$B$4</x:f>
        <x:v>0.2226</x:v>
      </x:c>
      <x:c r="E584" s="1" t="n">
        <x:v>1.05</x:v>
      </x:c>
      <x:c r="F584" s="1" t="str">
        <x:v>https://api.octopus.energy/v1/products/AGILE-24-10-01/electricity-tariffs/E-1R-AGILE-24-10-01-G/standard-unit-rates/</x:v>
      </x:c>
    </x:row>
    <x:row r="585" ht="21" customHeight="1">
      <x:c r="A585" s="24" t="n">
        <x:v>46160.6875</x:v>
      </x:c>
      <x:c r="B585" s="6" t="n">
        <x:v>0.3195</x:v>
      </x:c>
      <x:c r="C585" s="6" t="n">
        <x:v>0.1764</x:v>
      </x:c>
      <x:c r="D585" s="6" t="n">
        <x:f>'Tariff and method'!$B$4</x:f>
        <x:v>0.2226</x:v>
      </x:c>
      <x:c r="E585" s="1" t="n">
        <x:v>1.05</x:v>
      </x:c>
      <x:c r="F585" s="1" t="str">
        <x:v>https://api.octopus.energy/v1/products/AGILE-24-10-01/electricity-tariffs/E-1R-AGILE-24-10-01-G/standard-unit-rates/</x:v>
      </x:c>
    </x:row>
    <x:row r="586" ht="21" customHeight="1">
      <x:c r="A586" s="24" t="n">
        <x:v>46160.708333333336</x:v>
      </x:c>
      <x:c r="B586" s="6" t="n">
        <x:v>0.3245</x:v>
      </x:c>
      <x:c r="C586" s="6" t="n">
        <x:v>0.1787</x:v>
      </x:c>
      <x:c r="D586" s="6" t="n">
        <x:f>'Tariff and method'!$B$4</x:f>
        <x:v>0.2226</x:v>
      </x:c>
      <x:c r="E586" s="1" t="n">
        <x:v>1.05</x:v>
      </x:c>
      <x:c r="F586" s="1" t="str">
        <x:v>https://api.octopus.energy/v1/products/AGILE-24-10-01/electricity-tariffs/E-1R-AGILE-24-10-01-G/standard-unit-rates/</x:v>
      </x:c>
    </x:row>
    <x:row r="587" ht="21" customHeight="1">
      <x:c r="A587" s="24" t="n">
        <x:v>46160.729166666664</x:v>
      </x:c>
      <x:c r="B587" s="6" t="n">
        <x:v>0.3593</x:v>
      </x:c>
      <x:c r="C587" s="6" t="n">
        <x:v>0.1946</x:v>
      </x:c>
      <x:c r="D587" s="6" t="n">
        <x:f>'Tariff and method'!$B$4</x:f>
        <x:v>0.2226</x:v>
      </x:c>
      <x:c r="E587" s="1" t="n">
        <x:v>1.05</x:v>
      </x:c>
      <x:c r="F587" s="1" t="str">
        <x:v>https://api.octopus.energy/v1/products/AGILE-24-10-01/electricity-tariffs/E-1R-AGILE-24-10-01-G/standard-unit-rates/</x:v>
      </x:c>
    </x:row>
    <x:row r="588" ht="21" customHeight="1">
      <x:c r="A588" s="24" t="n">
        <x:v>46160.75</x:v>
      </x:c>
      <x:c r="B588" s="6" t="n">
        <x:v>0.36090000000000005</x:v>
      </x:c>
      <x:c r="C588" s="6" t="n">
        <x:v>0.1953</x:v>
      </x:c>
      <x:c r="D588" s="6" t="n">
        <x:f>'Tariff and method'!$B$4</x:f>
        <x:v>0.2226</x:v>
      </x:c>
      <x:c r="E588" s="1" t="n">
        <x:v>1.05</x:v>
      </x:c>
      <x:c r="F588" s="1" t="str">
        <x:v>https://api.octopus.energy/v1/products/AGILE-24-10-01/electricity-tariffs/E-1R-AGILE-24-10-01-G/standard-unit-rates/</x:v>
      </x:c>
    </x:row>
    <x:row r="589" ht="21" customHeight="1">
      <x:c r="A589" s="24" t="n">
        <x:v>46160.770833333336</x:v>
      </x:c>
      <x:c r="B589" s="6" t="n">
        <x:v>0.35119999999999996</x:v>
      </x:c>
      <x:c r="C589" s="6" t="n">
        <x:v>0.1909</x:v>
      </x:c>
      <x:c r="D589" s="6" t="n">
        <x:f>'Tariff and method'!$B$4</x:f>
        <x:v>0.2226</x:v>
      </x:c>
      <x:c r="E589" s="1" t="n">
        <x:v>1.05</x:v>
      </x:c>
      <x:c r="F589" s="1" t="str">
        <x:v>https://api.octopus.energy/v1/products/AGILE-24-10-01/electricity-tariffs/E-1R-AGILE-24-10-01-G/standard-unit-rates/</x:v>
      </x:c>
    </x:row>
    <x:row r="590" ht="21" customHeight="1">
      <x:c r="A590" s="24" t="n">
        <x:v>46160.791666666664</x:v>
      </x:c>
      <x:c r="B590" s="6" t="n">
        <x:v>0.2354</x:v>
      </x:c>
      <x:c r="C590" s="6" t="n">
        <x:v>0.13390000000000002</x:v>
      </x:c>
      <x:c r="D590" s="6" t="n">
        <x:f>'Tariff and method'!$B$4</x:f>
        <x:v>0.2226</x:v>
      </x:c>
      <x:c r="E590" s="1" t="n">
        <x:v>1.05</x:v>
      </x:c>
      <x:c r="F590" s="1" t="str">
        <x:v>https://api.octopus.energy/v1/products/AGILE-24-10-01/electricity-tariffs/E-1R-AGILE-24-10-01-G/standard-unit-rates/</x:v>
      </x:c>
    </x:row>
    <x:row r="591" ht="21" customHeight="1">
      <x:c r="A591" s="24" t="n">
        <x:v>46160.8125</x:v>
      </x:c>
      <x:c r="B591" s="6" t="n">
        <x:v>0.2375</x:v>
      </x:c>
      <x:c r="C591" s="6" t="n">
        <x:v>0.1348</x:v>
      </x:c>
      <x:c r="D591" s="6" t="n">
        <x:f>'Tariff and method'!$B$4</x:f>
        <x:v>0.2226</x:v>
      </x:c>
      <x:c r="E591" s="1" t="n">
        <x:v>1.05</x:v>
      </x:c>
      <x:c r="F591" s="1" t="str">
        <x:v>https://api.octopus.energy/v1/products/AGILE-24-10-01/electricity-tariffs/E-1R-AGILE-24-10-01-G/standard-unit-rates/</x:v>
      </x:c>
    </x:row>
    <x:row r="592" ht="21" customHeight="1">
      <x:c r="A592" s="24" t="n">
        <x:v>46160.833333333336</x:v>
      </x:c>
      <x:c r="B592" s="6" t="n">
        <x:v>0.2556</x:v>
      </x:c>
      <x:c r="C592" s="6" t="n">
        <x:v>0.1431</x:v>
      </x:c>
      <x:c r="D592" s="6" t="n">
        <x:f>'Tariff and method'!$B$4</x:f>
        <x:v>0.2226</x:v>
      </x:c>
      <x:c r="E592" s="1" t="n">
        <x:v>1.05</x:v>
      </x:c>
      <x:c r="F592" s="1" t="str">
        <x:v>https://api.octopus.energy/v1/products/AGILE-24-10-01/electricity-tariffs/E-1R-AGILE-24-10-01-G/standard-unit-rates/</x:v>
      </x:c>
    </x:row>
    <x:row r="593" ht="21" customHeight="1">
      <x:c r="A593" s="24" t="n">
        <x:v>46160.854166666664</x:v>
      </x:c>
      <x:c r="B593" s="6" t="n">
        <x:v>0.2373</x:v>
      </x:c>
      <x:c r="C593" s="6" t="n">
        <x:v>0.1348</x:v>
      </x:c>
      <x:c r="D593" s="6" t="n">
        <x:f>'Tariff and method'!$B$4</x:f>
        <x:v>0.2226</x:v>
      </x:c>
      <x:c r="E593" s="1" t="n">
        <x:v>1.05</x:v>
      </x:c>
      <x:c r="F593" s="1" t="str">
        <x:v>https://api.octopus.energy/v1/products/AGILE-24-10-01/electricity-tariffs/E-1R-AGILE-24-10-01-G/standard-unit-rates/</x:v>
      </x:c>
    </x:row>
    <x:row r="594" ht="21" customHeight="1">
      <x:c r="A594" s="24" t="n">
        <x:v>46160.875</x:v>
      </x:c>
      <x:c r="B594" s="6" t="n">
        <x:v>0.2438</x:v>
      </x:c>
      <x:c r="C594" s="6" t="n">
        <x:v>0.1377</x:v>
      </x:c>
      <x:c r="D594" s="6" t="n">
        <x:f>'Tariff and method'!$B$4</x:f>
        <x:v>0.2226</x:v>
      </x:c>
      <x:c r="E594" s="1" t="n">
        <x:v>1.05</x:v>
      </x:c>
      <x:c r="F594" s="1" t="str">
        <x:v>https://api.octopus.energy/v1/products/AGILE-24-10-01/electricity-tariffs/E-1R-AGILE-24-10-01-G/standard-unit-rates/</x:v>
      </x:c>
    </x:row>
    <x:row r="595" ht="21" customHeight="1">
      <x:c r="A595" s="24" t="n">
        <x:v>46160.895833333336</x:v>
      </x:c>
      <x:c r="B595" s="6" t="n">
        <x:v>0.2186</x:v>
      </x:c>
      <x:c r="C595" s="6" t="n">
        <x:v>0.12619999999999998</x:v>
      </x:c>
      <x:c r="D595" s="6" t="n">
        <x:f>'Tariff and method'!$B$4</x:f>
        <x:v>0.2226</x:v>
      </x:c>
      <x:c r="E595" s="1" t="n">
        <x:v>1.05</x:v>
      </x:c>
      <x:c r="F595" s="1" t="str">
        <x:v>https://api.octopus.energy/v1/products/AGILE-24-10-01/electricity-tariffs/E-1R-AGILE-24-10-01-G/standard-unit-rates/</x:v>
      </x:c>
    </x:row>
    <x:row r="596" ht="21" customHeight="1">
      <x:c r="A596" s="24" t="n">
        <x:v>46160.916666666664</x:v>
      </x:c>
      <x:c r="B596" s="6" t="n">
        <x:v>0.2064</x:v>
      </x:c>
      <x:c r="C596" s="6" t="n">
        <x:v>0.1206</x:v>
      </x:c>
      <x:c r="D596" s="6" t="n">
        <x:f>'Tariff and method'!$B$4</x:f>
        <x:v>0.2226</x:v>
      </x:c>
      <x:c r="E596" s="1" t="n">
        <x:v>1.05</x:v>
      </x:c>
      <x:c r="F596" s="1" t="str">
        <x:v>https://api.octopus.energy/v1/products/AGILE-24-10-01/electricity-tariffs/E-1R-AGILE-24-10-01-G/standard-unit-rates/</x:v>
      </x:c>
    </x:row>
    <x:row r="597" ht="21" customHeight="1">
      <x:c r="A597" s="24" t="n">
        <x:v>46160.9375</x:v>
      </x:c>
      <x:c r="B597" s="6" t="n">
        <x:v>0.19820000000000002</x:v>
      </x:c>
      <x:c r="C597" s="6" t="n">
        <x:v>0.11689999999999999</x:v>
      </x:c>
      <x:c r="D597" s="6" t="n">
        <x:f>'Tariff and method'!$B$4</x:f>
        <x:v>0.2226</x:v>
      </x:c>
      <x:c r="E597" s="1" t="n">
        <x:v>1.05</x:v>
      </x:c>
      <x:c r="F597" s="1" t="str">
        <x:v>https://api.octopus.energy/v1/products/AGILE-24-10-01/electricity-tariffs/E-1R-AGILE-24-10-01-G/standard-unit-rates/</x:v>
      </x:c>
    </x:row>
    <x:row r="598" ht="21" customHeight="1">
      <x:c r="A598" s="24" t="n">
        <x:v>46161</x:v>
      </x:c>
      <x:c r="B598" s="6" t="n">
        <x:v>0.2071</x:v>
      </x:c>
      <x:c r="C598" s="6" t="n">
        <x:v>0.1209</x:v>
      </x:c>
      <x:c r="D598" s="6" t="n">
        <x:f>'Tariff and method'!$B$4</x:f>
        <x:v>0.2226</x:v>
      </x:c>
      <x:c r="E598" s="1" t="n">
        <x:v>1.05</x:v>
      </x:c>
      <x:c r="F598" s="1" t="str">
        <x:v>https://api.octopus.energy/v1/products/AGILE-24-10-01/electricity-tariffs/E-1R-AGILE-24-10-01-G/standard-unit-rates/</x:v>
      </x:c>
    </x:row>
    <x:row r="599" ht="21" customHeight="1">
      <x:c r="A599" s="24" t="n">
        <x:v>46160.979166666664</x:v>
      </x:c>
      <x:c r="B599" s="6" t="n">
        <x:v>0.21230000000000002</x:v>
      </x:c>
      <x:c r="C599" s="6" t="n">
        <x:v>0.1233</x:v>
      </x:c>
      <x:c r="D599" s="6" t="n">
        <x:f>'Tariff and method'!$B$4</x:f>
        <x:v>0.2226</x:v>
      </x:c>
      <x:c r="E599" s="1" t="n">
        <x:v>1.05</x:v>
      </x:c>
      <x:c r="F599" s="1" t="str">
        <x:v>https://api.octopus.energy/v1/products/AGILE-24-10-01/electricity-tariffs/E-1R-AGILE-24-10-01-G/standard-unit-rates/</x:v>
      </x:c>
    </x:row>
    <x:row r="600" ht="21" customHeight="1">
      <x:c r="A600" s="24" t="n">
        <x:v>46161</x:v>
      </x:c>
      <x:c r="B600" s="6" t="n">
        <x:v>0.21230000000000002</x:v>
      </x:c>
      <x:c r="C600" s="6" t="n">
        <x:v>0.1233</x:v>
      </x:c>
      <x:c r="D600" s="6" t="n">
        <x:f>'Tariff and method'!$B$4</x:f>
        <x:v>0.2226</x:v>
      </x:c>
      <x:c r="E600" s="1" t="n">
        <x:v>1.05</x:v>
      </x:c>
      <x:c r="F600" s="1" t="str">
        <x:v>https://api.octopus.energy/v1/products/AGILE-24-10-01/electricity-tariffs/E-1R-AGILE-24-10-01-G/standard-unit-rates/</x:v>
      </x:c>
    </x:row>
    <x:row r="601" ht="21" customHeight="1">
      <x:c r="A601" s="24" t="n">
        <x:v>46161.020833333336</x:v>
      </x:c>
      <x:c r="B601" s="6" t="n">
        <x:v>0.20199999999999999</x:v>
      </x:c>
      <x:c r="C601" s="6" t="n">
        <x:v>0.1186</x:v>
      </x:c>
      <x:c r="D601" s="6" t="n">
        <x:f>'Tariff and method'!$B$4</x:f>
        <x:v>0.2226</x:v>
      </x:c>
      <x:c r="E601" s="1" t="n">
        <x:v>1.05</x:v>
      </x:c>
      <x:c r="F601" s="1" t="str">
        <x:v>https://api.octopus.energy/v1/products/AGILE-24-10-01/electricity-tariffs/E-1R-AGILE-24-10-01-G/standard-unit-rates/</x:v>
      </x:c>
    </x:row>
    <x:row r="602" ht="21" customHeight="1">
      <x:c r="A602" s="24" t="n">
        <x:v>46161.041666666664</x:v>
      </x:c>
      <x:c r="B602" s="6" t="n">
        <x:v>0.1957</x:v>
      </x:c>
      <x:c r="C602" s="6" t="n">
        <x:v>0.1157</x:v>
      </x:c>
      <x:c r="D602" s="6" t="n">
        <x:f>'Tariff and method'!$B$4</x:f>
        <x:v>0.2226</x:v>
      </x:c>
      <x:c r="E602" s="1" t="n">
        <x:v>1.05</x:v>
      </x:c>
      <x:c r="F602" s="1" t="str">
        <x:v>https://api.octopus.energy/v1/products/AGILE-24-10-01/electricity-tariffs/E-1R-AGILE-24-10-01-G/standard-unit-rates/</x:v>
      </x:c>
    </x:row>
    <x:row r="603" ht="21" customHeight="1">
      <x:c r="A603" s="24" t="n">
        <x:v>46161.0625</x:v>
      </x:c>
      <x:c r="B603" s="6" t="n">
        <x:v>0.1787</x:v>
      </x:c>
      <x:c r="C603" s="6" t="n">
        <x:v>0.10800000000000001</x:v>
      </x:c>
      <x:c r="D603" s="6" t="n">
        <x:f>'Tariff and method'!$B$4</x:f>
        <x:v>0.2226</x:v>
      </x:c>
      <x:c r="E603" s="1" t="n">
        <x:v>1.05</x:v>
      </x:c>
      <x:c r="F603" s="1" t="str">
        <x:v>https://api.octopus.energy/v1/products/AGILE-24-10-01/electricity-tariffs/E-1R-AGILE-24-10-01-G/standard-unit-rates/</x:v>
      </x:c>
    </x:row>
    <x:row r="604" ht="21" customHeight="1">
      <x:c r="A604" s="24" t="n">
        <x:v>46161.083333333336</x:v>
      </x:c>
      <x:c r="B604" s="6" t="n">
        <x:v>0.1772</x:v>
      </x:c>
      <x:c r="C604" s="6" t="n">
        <x:v>0.1073</x:v>
      </x:c>
      <x:c r="D604" s="6" t="n">
        <x:f>'Tariff and method'!$B$4</x:f>
        <x:v>0.2226</x:v>
      </x:c>
      <x:c r="E604" s="1" t="n">
        <x:v>1.05</x:v>
      </x:c>
      <x:c r="F604" s="1" t="str">
        <x:v>https://api.octopus.energy/v1/products/AGILE-24-10-01/electricity-tariffs/E-1R-AGILE-24-10-01-G/standard-unit-rates/</x:v>
      </x:c>
    </x:row>
    <x:row r="605" ht="21" customHeight="1">
      <x:c r="A605" s="24" t="n">
        <x:v>46161.104166666664</x:v>
      </x:c>
      <x:c r="B605" s="6" t="n">
        <x:v>0.16190000000000002</x:v>
      </x:c>
      <x:c r="C605" s="6" t="n">
        <x:v>0.1003</x:v>
      </x:c>
      <x:c r="D605" s="6" t="n">
        <x:f>'Tariff and method'!$B$4</x:f>
        <x:v>0.2226</x:v>
      </x:c>
      <x:c r="E605" s="1" t="n">
        <x:v>1.05</x:v>
      </x:c>
      <x:c r="F605" s="1" t="str">
        <x:v>https://api.octopus.energy/v1/products/AGILE-24-10-01/electricity-tariffs/E-1R-AGILE-24-10-01-G/standard-unit-rates/</x:v>
      </x:c>
    </x:row>
    <x:row r="606" ht="21" customHeight="1">
      <x:c r="A606" s="24" t="n">
        <x:v>46161.125</x:v>
      </x:c>
      <x:c r="B606" s="6" t="n">
        <x:v>0.1472</x:v>
      </x:c>
      <x:c r="C606" s="6" t="n">
        <x:v>0.09359999999999999</x:v>
      </x:c>
      <x:c r="D606" s="6" t="n">
        <x:f>'Tariff and method'!$B$4</x:f>
        <x:v>0.2226</x:v>
      </x:c>
      <x:c r="E606" s="1" t="n">
        <x:v>1.05</x:v>
      </x:c>
      <x:c r="F606" s="1" t="str">
        <x:v>https://api.octopus.energy/v1/products/AGILE-24-10-01/electricity-tariffs/E-1R-AGILE-24-10-01-G/standard-unit-rates/</x:v>
      </x:c>
    </x:row>
    <x:row r="607" ht="21" customHeight="1">
      <x:c r="A607" s="24" t="n">
        <x:v>46161.145833333336</x:v>
      </x:c>
      <x:c r="B607" s="6" t="n">
        <x:v>0.1367</x:v>
      </x:c>
      <x:c r="C607" s="6" t="n">
        <x:v>0.0888</x:v>
      </x:c>
      <x:c r="D607" s="6" t="n">
        <x:f>'Tariff and method'!$B$4</x:f>
        <x:v>0.2226</x:v>
      </x:c>
      <x:c r="E607" s="1" t="n">
        <x:v>1.05</x:v>
      </x:c>
      <x:c r="F607" s="1" t="str">
        <x:v>https://api.octopus.energy/v1/products/AGILE-24-10-01/electricity-tariffs/E-1R-AGILE-24-10-01-G/standard-unit-rates/</x:v>
      </x:c>
    </x:row>
    <x:row r="608" ht="21" customHeight="1">
      <x:c r="A608" s="24" t="n">
        <x:v>46161.166666666664</x:v>
      </x:c>
      <x:c r="B608" s="6" t="n">
        <x:v>0.1336</x:v>
      </x:c>
      <x:c r="C608" s="6" t="n">
        <x:v>0.0873</x:v>
      </x:c>
      <x:c r="D608" s="6" t="n">
        <x:f>'Tariff and method'!$B$4</x:f>
        <x:v>0.2226</x:v>
      </x:c>
      <x:c r="E608" s="1" t="n">
        <x:v>1.05</x:v>
      </x:c>
      <x:c r="F608" s="1" t="str">
        <x:v>https://api.octopus.energy/v1/products/AGILE-24-10-01/electricity-tariffs/E-1R-AGILE-24-10-01-G/standard-unit-rates/</x:v>
      </x:c>
    </x:row>
    <x:row r="609" ht="21" customHeight="1">
      <x:c r="A609" s="24" t="n">
        <x:v>46161.1875</x:v>
      </x:c>
      <x:c r="B609" s="6" t="n">
        <x:v>0.1291</x:v>
      </x:c>
      <x:c r="C609" s="6" t="n">
        <x:v>0.08529999999999999</x:v>
      </x:c>
      <x:c r="D609" s="6" t="n">
        <x:f>'Tariff and method'!$B$4</x:f>
        <x:v>0.2226</x:v>
      </x:c>
      <x:c r="E609" s="1" t="n">
        <x:v>1.05</x:v>
      </x:c>
      <x:c r="F609" s="1" t="str">
        <x:v>https://api.octopus.energy/v1/products/AGILE-24-10-01/electricity-tariffs/E-1R-AGILE-24-10-01-G/standard-unit-rates/</x:v>
      </x:c>
    </x:row>
    <x:row r="610" ht="21" customHeight="1">
      <x:c r="A610" s="24" t="n">
        <x:v>46161.208333333336</x:v>
      </x:c>
      <x:c r="B610" s="6" t="n">
        <x:v>0.1383</x:v>
      </x:c>
      <x:c r="C610" s="6" t="n">
        <x:v>0.0895</x:v>
      </x:c>
      <x:c r="D610" s="6" t="n">
        <x:f>'Tariff and method'!$B$4</x:f>
        <x:v>0.2226</x:v>
      </x:c>
      <x:c r="E610" s="1" t="n">
        <x:v>1.05</x:v>
      </x:c>
      <x:c r="F610" s="1" t="str">
        <x:v>https://api.octopus.energy/v1/products/AGILE-24-10-01/electricity-tariffs/E-1R-AGILE-24-10-01-G/standard-unit-rates/</x:v>
      </x:c>
    </x:row>
    <x:row r="611" ht="21" customHeight="1">
      <x:c r="A611" s="24" t="n">
        <x:v>46161.229166666664</x:v>
      </x:c>
      <x:c r="B611" s="6" t="n">
        <x:v>0.1346</x:v>
      </x:c>
      <x:c r="C611" s="6" t="n">
        <x:v>0.08779999999999999</x:v>
      </x:c>
      <x:c r="D611" s="6" t="n">
        <x:f>'Tariff and method'!$B$4</x:f>
        <x:v>0.2226</x:v>
      </x:c>
      <x:c r="E611" s="1" t="n">
        <x:v>1.05</x:v>
      </x:c>
      <x:c r="F611" s="1" t="str">
        <x:v>https://api.octopus.energy/v1/products/AGILE-24-10-01/electricity-tariffs/E-1R-AGILE-24-10-01-G/standard-unit-rates/</x:v>
      </x:c>
    </x:row>
    <x:row r="612" ht="21" customHeight="1">
      <x:c r="A612" s="24" t="n">
        <x:v>46161.25</x:v>
      </x:c>
      <x:c r="B612" s="6" t="n">
        <x:v>0.1427</x:v>
      </x:c>
      <x:c r="C612" s="6" t="n">
        <x:v>0.0915</x:v>
      </x:c>
      <x:c r="D612" s="6" t="n">
        <x:f>'Tariff and method'!$B$4</x:f>
        <x:v>0.2226</x:v>
      </x:c>
      <x:c r="E612" s="1" t="n">
        <x:v>1.05</x:v>
      </x:c>
      <x:c r="F612" s="1" t="str">
        <x:v>https://api.octopus.energy/v1/products/AGILE-24-10-01/electricity-tariffs/E-1R-AGILE-24-10-01-G/standard-unit-rates/</x:v>
      </x:c>
    </x:row>
    <x:row r="613" ht="21" customHeight="1">
      <x:c r="A613" s="24" t="n">
        <x:v>46161.270833333336</x:v>
      </x:c>
      <x:c r="B613" s="6" t="n">
        <x:v>0.1564</x:v>
      </x:c>
      <x:c r="C613" s="6" t="n">
        <x:v>0.0978</x:v>
      </x:c>
      <x:c r="D613" s="6" t="n">
        <x:f>'Tariff and method'!$B$4</x:f>
        <x:v>0.2226</x:v>
      </x:c>
      <x:c r="E613" s="1" t="n">
        <x:v>1.05</x:v>
      </x:c>
      <x:c r="F613" s="1" t="str">
        <x:v>https://api.octopus.energy/v1/products/AGILE-24-10-01/electricity-tariffs/E-1R-AGILE-24-10-01-G/standard-unit-rates/</x:v>
      </x:c>
    </x:row>
    <x:row r="614" ht="21" customHeight="1">
      <x:c r="A614" s="24" t="n">
        <x:v>46161.291666666664</x:v>
      </x:c>
      <x:c r="B614" s="6" t="n">
        <x:v>0.16399999999999998</x:v>
      </x:c>
      <x:c r="C614" s="6" t="n">
        <x:v>0.1012</x:v>
      </x:c>
      <x:c r="D614" s="6" t="n">
        <x:f>'Tariff and method'!$B$4</x:f>
        <x:v>0.2226</x:v>
      </x:c>
      <x:c r="E614" s="1" t="n">
        <x:v>1.05</x:v>
      </x:c>
      <x:c r="F614" s="1" t="str">
        <x:v>https://api.octopus.energy/v1/products/AGILE-24-10-01/electricity-tariffs/E-1R-AGILE-24-10-01-G/standard-unit-rates/</x:v>
      </x:c>
    </x:row>
    <x:row r="615" ht="21" customHeight="1">
      <x:c r="A615" s="24" t="n">
        <x:v>46161.3125</x:v>
      </x:c>
      <x:c r="B615" s="6" t="n">
        <x:v>0.1793</x:v>
      </x:c>
      <x:c r="C615" s="6" t="n">
        <x:v>0.1082</x:v>
      </x:c>
      <x:c r="D615" s="6" t="n">
        <x:f>'Tariff and method'!$B$4</x:f>
        <x:v>0.2226</x:v>
      </x:c>
      <x:c r="E615" s="1" t="n">
        <x:v>1.05</x:v>
      </x:c>
      <x:c r="F615" s="1" t="str">
        <x:v>https://api.octopus.energy/v1/products/AGILE-24-10-01/electricity-tariffs/E-1R-AGILE-24-10-01-G/standard-unit-rates/</x:v>
      </x:c>
    </x:row>
    <x:row r="616" ht="21" customHeight="1">
      <x:c r="A616" s="24" t="n">
        <x:v>46161.333333333336</x:v>
      </x:c>
      <x:c r="B616" s="6" t="n">
        <x:v>0.1656</x:v>
      </x:c>
      <x:c r="C616" s="6" t="n">
        <x:v>0.102</x:v>
      </x:c>
      <x:c r="D616" s="6" t="n">
        <x:f>'Tariff and method'!$B$4</x:f>
        <x:v>0.2226</x:v>
      </x:c>
      <x:c r="E616" s="1" t="n">
        <x:v>1.05</x:v>
      </x:c>
      <x:c r="F616" s="1" t="str">
        <x:v>https://api.octopus.energy/v1/products/AGILE-24-10-01/electricity-tariffs/E-1R-AGILE-24-10-01-G/standard-unit-rates/</x:v>
      </x:c>
    </x:row>
    <x:row r="617" ht="21" customHeight="1">
      <x:c r="A617" s="24" t="n">
        <x:v>46161.354166666664</x:v>
      </x:c>
      <x:c r="B617" s="6" t="n">
        <x:v>0.1703</x:v>
      </x:c>
      <x:c r="C617" s="6" t="n">
        <x:v>0.1041</x:v>
      </x:c>
      <x:c r="D617" s="6" t="n">
        <x:f>'Tariff and method'!$B$4</x:f>
        <x:v>0.2226</x:v>
      </x:c>
      <x:c r="E617" s="1" t="n">
        <x:v>1.05</x:v>
      </x:c>
      <x:c r="F617" s="1" t="str">
        <x:v>https://api.octopus.energy/v1/products/AGILE-24-10-01/electricity-tariffs/E-1R-AGILE-24-10-01-G/standard-unit-rates/</x:v>
      </x:c>
    </x:row>
    <x:row r="618" ht="21" customHeight="1">
      <x:c r="A618" s="24" t="n">
        <x:v>46161.375</x:v>
      </x:c>
      <x:c r="B618" s="6" t="n">
        <x:v>0.1611</x:v>
      </x:c>
      <x:c r="C618" s="6" t="n">
        <x:v>0.0999</x:v>
      </x:c>
      <x:c r="D618" s="6" t="n">
        <x:f>'Tariff and method'!$B$4</x:f>
        <x:v>0.2226</x:v>
      </x:c>
      <x:c r="E618" s="1" t="n">
        <x:v>1.05</x:v>
      </x:c>
      <x:c r="F618" s="1" t="str">
        <x:v>https://api.octopus.energy/v1/products/AGILE-24-10-01/electricity-tariffs/E-1R-AGILE-24-10-01-G/standard-unit-rates/</x:v>
      </x:c>
    </x:row>
    <x:row r="619" ht="21" customHeight="1">
      <x:c r="A619" s="24" t="n">
        <x:v>46161.395833333336</x:v>
      </x:c>
      <x:c r="B619" s="6" t="n">
        <x:v>0.1564</x:v>
      </x:c>
      <x:c r="C619" s="6" t="n">
        <x:v>0.0977</x:v>
      </x:c>
      <x:c r="D619" s="6" t="n">
        <x:f>'Tariff and method'!$B$4</x:f>
        <x:v>0.2226</x:v>
      </x:c>
      <x:c r="E619" s="1" t="n">
        <x:v>1.05</x:v>
      </x:c>
      <x:c r="F619" s="1" t="str">
        <x:v>https://api.octopus.energy/v1/products/AGILE-24-10-01/electricity-tariffs/E-1R-AGILE-24-10-01-G/standard-unit-rates/</x:v>
      </x:c>
    </x:row>
    <x:row r="620" ht="21" customHeight="1">
      <x:c r="A620" s="24" t="n">
        <x:v>46161.416666666664</x:v>
      </x:c>
      <x:c r="B620" s="6" t="n">
        <x:v>0.1598</x:v>
      </x:c>
      <x:c r="C620" s="6" t="n">
        <x:v>0.0993</x:v>
      </x:c>
      <x:c r="D620" s="6" t="n">
        <x:f>'Tariff and method'!$B$4</x:f>
        <x:v>0.2226</x:v>
      </x:c>
      <x:c r="E620" s="1" t="n">
        <x:v>1.05</x:v>
      </x:c>
      <x:c r="F620" s="1" t="str">
        <x:v>https://api.octopus.energy/v1/products/AGILE-24-10-01/electricity-tariffs/E-1R-AGILE-24-10-01-G/standard-unit-rates/</x:v>
      </x:c>
    </x:row>
    <x:row r="621" ht="21" customHeight="1">
      <x:c r="A621" s="24" t="n">
        <x:v>46161.4375</x:v>
      </x:c>
      <x:c r="B621" s="6" t="n">
        <x:v>0.1535</x:v>
      </x:c>
      <x:c r="C621" s="6" t="n">
        <x:v>0.0964</x:v>
      </x:c>
      <x:c r="D621" s="6" t="n">
        <x:f>'Tariff and method'!$B$4</x:f>
        <x:v>0.2226</x:v>
      </x:c>
      <x:c r="E621" s="1" t="n">
        <x:v>1.05</x:v>
      </x:c>
      <x:c r="F621" s="1" t="str">
        <x:v>https://api.octopus.energy/v1/products/AGILE-24-10-01/electricity-tariffs/E-1R-AGILE-24-10-01-G/standard-unit-rates/</x:v>
      </x:c>
    </x:row>
    <x:row r="622" ht="21" customHeight="1">
      <x:c r="A622" s="24" t="n">
        <x:v>46161.458333333336</x:v>
      </x:c>
      <x:c r="B622" s="6" t="n">
        <x:v>0.1531</x:v>
      </x:c>
      <x:c r="C622" s="6" t="n">
        <x:v>0.0962</x:v>
      </x:c>
      <x:c r="D622" s="6" t="n">
        <x:f>'Tariff and method'!$B$4</x:f>
        <x:v>0.2226</x:v>
      </x:c>
      <x:c r="E622" s="1" t="n">
        <x:v>1.05</x:v>
      </x:c>
      <x:c r="F622" s="1" t="str">
        <x:v>https://api.octopus.energy/v1/products/AGILE-24-10-01/electricity-tariffs/E-1R-AGILE-24-10-01-G/standard-unit-rates/</x:v>
      </x:c>
    </x:row>
    <x:row r="623" ht="21" customHeight="1">
      <x:c r="A623" s="24" t="n">
        <x:v>46161.479166666664</x:v>
      </x:c>
      <x:c r="B623" s="6" t="n">
        <x:v>0.1409</x:v>
      </x:c>
      <x:c r="C623" s="6" t="n">
        <x:v>0.0907</x:v>
      </x:c>
      <x:c r="D623" s="6" t="n">
        <x:f>'Tariff and method'!$B$4</x:f>
        <x:v>0.2226</x:v>
      </x:c>
      <x:c r="E623" s="1" t="n">
        <x:v>1.05</x:v>
      </x:c>
      <x:c r="F623" s="1" t="str">
        <x:v>https://api.octopus.energy/v1/products/AGILE-24-10-01/electricity-tariffs/E-1R-AGILE-24-10-01-G/standard-unit-rates/</x:v>
      </x:c>
    </x:row>
    <x:row r="624" ht="21" customHeight="1">
      <x:c r="A624" s="24" t="n">
        <x:v>46161.5</x:v>
      </x:c>
      <x:c r="B624" s="6" t="n">
        <x:v>0.1369</x:v>
      </x:c>
      <x:c r="C624" s="6" t="n">
        <x:v>0.0889</x:v>
      </x:c>
      <x:c r="D624" s="6" t="n">
        <x:f>'Tariff and method'!$B$4</x:f>
        <x:v>0.2226</x:v>
      </x:c>
      <x:c r="E624" s="1" t="n">
        <x:v>1.05</x:v>
      </x:c>
      <x:c r="F624" s="1" t="str">
        <x:v>https://api.octopus.energy/v1/products/AGILE-24-10-01/electricity-tariffs/E-1R-AGILE-24-10-01-G/standard-unit-rates/</x:v>
      </x:c>
    </x:row>
    <x:row r="625" ht="21" customHeight="1">
      <x:c r="A625" s="24" t="n">
        <x:v>46161.520833333336</x:v>
      </x:c>
      <x:c r="B625" s="6" t="n">
        <x:v>0.1323</x:v>
      </x:c>
      <x:c r="C625" s="6" t="n">
        <x:v>0.0867</x:v>
      </x:c>
      <x:c r="D625" s="6" t="n">
        <x:f>'Tariff and method'!$B$4</x:f>
        <x:v>0.2226</x:v>
      </x:c>
      <x:c r="E625" s="1" t="n">
        <x:v>1.05</x:v>
      </x:c>
      <x:c r="F625" s="1" t="str">
        <x:v>https://api.octopus.energy/v1/products/AGILE-24-10-01/electricity-tariffs/E-1R-AGILE-24-10-01-G/standard-unit-rates/</x:v>
      </x:c>
    </x:row>
    <x:row r="626" ht="21" customHeight="1">
      <x:c r="A626" s="24" t="n">
        <x:v>46161.541666666664</x:v>
      </x:c>
      <x:c r="B626" s="6" t="n">
        <x:v>0.122</x:v>
      </x:c>
      <x:c r="C626" s="6" t="n">
        <x:v>0.08199999999999999</x:v>
      </x:c>
      <x:c r="D626" s="6" t="n">
        <x:f>'Tariff and method'!$B$4</x:f>
        <x:v>0.2226</x:v>
      </x:c>
      <x:c r="E626" s="1" t="n">
        <x:v>1.05</x:v>
      </x:c>
      <x:c r="F626" s="1" t="str">
        <x:v>https://api.octopus.energy/v1/products/AGILE-24-10-01/electricity-tariffs/E-1R-AGILE-24-10-01-G/standard-unit-rates/</x:v>
      </x:c>
    </x:row>
    <x:row r="627" ht="21" customHeight="1">
      <x:c r="A627" s="24" t="n">
        <x:v>46161.5625</x:v>
      </x:c>
      <x:c r="B627" s="6" t="n">
        <x:v>0.1157</x:v>
      </x:c>
      <x:c r="C627" s="6" t="n">
        <x:v>0.0791</x:v>
      </x:c>
      <x:c r="D627" s="6" t="n">
        <x:f>'Tariff and method'!$B$4</x:f>
        <x:v>0.2226</x:v>
      </x:c>
      <x:c r="E627" s="1" t="n">
        <x:v>1.05</x:v>
      </x:c>
      <x:c r="F627" s="1" t="str">
        <x:v>https://api.octopus.energy/v1/products/AGILE-24-10-01/electricity-tariffs/E-1R-AGILE-24-10-01-G/standard-unit-rates/</x:v>
      </x:c>
    </x:row>
    <x:row r="628" ht="21" customHeight="1">
      <x:c r="A628" s="24" t="n">
        <x:v>46161.583333333336</x:v>
      </x:c>
      <x:c r="B628" s="6" t="n">
        <x:v>0.13570000000000002</x:v>
      </x:c>
      <x:c r="C628" s="6" t="n">
        <x:v>0.0883</x:v>
      </x:c>
      <x:c r="D628" s="6" t="n">
        <x:f>'Tariff and method'!$B$4</x:f>
        <x:v>0.2226</x:v>
      </x:c>
      <x:c r="E628" s="1" t="n">
        <x:v>1.05</x:v>
      </x:c>
      <x:c r="F628" s="1" t="str">
        <x:v>https://api.octopus.energy/v1/products/AGILE-24-10-01/electricity-tariffs/E-1R-AGILE-24-10-01-G/standard-unit-rates/</x:v>
      </x:c>
    </x:row>
    <x:row r="629" ht="21" customHeight="1">
      <x:c r="A629" s="24" t="n">
        <x:v>46161.604166666664</x:v>
      </x:c>
      <x:c r="B629" s="6" t="n">
        <x:v>0.13</x:v>
      </x:c>
      <x:c r="C629" s="6" t="n">
        <x:v>0.0857</x:v>
      </x:c>
      <x:c r="D629" s="6" t="n">
        <x:f>'Tariff and method'!$B$4</x:f>
        <x:v>0.2226</x:v>
      </x:c>
      <x:c r="E629" s="1" t="n">
        <x:v>1.05</x:v>
      </x:c>
      <x:c r="F629" s="1" t="str">
        <x:v>https://api.octopus.energy/v1/products/AGILE-24-10-01/electricity-tariffs/E-1R-AGILE-24-10-01-G/standard-unit-rates/</x:v>
      </x:c>
    </x:row>
    <x:row r="630" ht="21" customHeight="1">
      <x:c r="A630" s="24" t="n">
        <x:v>46161.625</x:v>
      </x:c>
      <x:c r="B630" s="6" t="n">
        <x:v>0.1073</x:v>
      </x:c>
      <x:c r="C630" s="6" t="n">
        <x:v>0.0753</x:v>
      </x:c>
      <x:c r="D630" s="6" t="n">
        <x:f>'Tariff and method'!$B$4</x:f>
        <x:v>0.2226</x:v>
      </x:c>
      <x:c r="E630" s="1" t="n">
        <x:v>1.05</x:v>
      </x:c>
      <x:c r="F630" s="1" t="str">
        <x:v>https://api.octopus.energy/v1/products/AGILE-24-10-01/electricity-tariffs/E-1R-AGILE-24-10-01-G/standard-unit-rates/</x:v>
      </x:c>
    </x:row>
    <x:row r="631" ht="21" customHeight="1">
      <x:c r="A631" s="24" t="n">
        <x:v>46161.645833333336</x:v>
      </x:c>
      <x:c r="B631" s="6" t="n">
        <x:v>0.12789999999999999</x:v>
      </x:c>
      <x:c r="C631" s="6" t="n">
        <x:v>0.08470000000000001</x:v>
      </x:c>
      <x:c r="D631" s="6" t="n">
        <x:f>'Tariff and method'!$B$4</x:f>
        <x:v>0.2226</x:v>
      </x:c>
      <x:c r="E631" s="1" t="n">
        <x:v>1.05</x:v>
      </x:c>
      <x:c r="F631" s="1" t="str">
        <x:v>https://api.octopus.energy/v1/products/AGILE-24-10-01/electricity-tariffs/E-1R-AGILE-24-10-01-G/standard-unit-rates/</x:v>
      </x:c>
    </x:row>
    <x:row r="632" ht="21" customHeight="1">
      <x:c r="A632" s="24" t="n">
        <x:v>46161.666666666664</x:v>
      </x:c>
      <x:c r="B632" s="6" t="n">
        <x:v>0.264</x:v>
      </x:c>
      <x:c r="C632" s="6" t="n">
        <x:v>0.151</x:v>
      </x:c>
      <x:c r="D632" s="6" t="n">
        <x:f>'Tariff and method'!$B$4</x:f>
        <x:v>0.2226</x:v>
      </x:c>
      <x:c r="E632" s="1" t="n">
        <x:v>1.05</x:v>
      </x:c>
      <x:c r="F632" s="1" t="str">
        <x:v>https://api.octopus.energy/v1/products/AGILE-24-10-01/electricity-tariffs/E-1R-AGILE-24-10-01-G/standard-unit-rates/</x:v>
      </x:c>
    </x:row>
    <x:row r="633" ht="21" customHeight="1">
      <x:c r="A633" s="24" t="n">
        <x:v>46161.6875</x:v>
      </x:c>
      <x:c r="B633" s="6" t="n">
        <x:v>0.2962</x:v>
      </x:c>
      <x:c r="C633" s="6" t="n">
        <x:v>0.16570000000000001</x:v>
      </x:c>
      <x:c r="D633" s="6" t="n">
        <x:f>'Tariff and method'!$B$4</x:f>
        <x:v>0.2226</x:v>
      </x:c>
      <x:c r="E633" s="1" t="n">
        <x:v>1.05</x:v>
      </x:c>
      <x:c r="F633" s="1" t="str">
        <x:v>https://api.octopus.energy/v1/products/AGILE-24-10-01/electricity-tariffs/E-1R-AGILE-24-10-01-G/standard-unit-rates/</x:v>
      </x:c>
    </x:row>
    <x:row r="634" ht="21" customHeight="1">
      <x:c r="A634" s="24" t="n">
        <x:v>46161.708333333336</x:v>
      </x:c>
      <x:c r="B634" s="6" t="n">
        <x:v>0.2901</x:v>
      </x:c>
      <x:c r="C634" s="6" t="n">
        <x:v>0.1629</x:v>
      </x:c>
      <x:c r="D634" s="6" t="n">
        <x:f>'Tariff and method'!$B$4</x:f>
        <x:v>0.2226</x:v>
      </x:c>
      <x:c r="E634" s="1" t="n">
        <x:v>1.05</x:v>
      </x:c>
      <x:c r="F634" s="1" t="str">
        <x:v>https://api.octopus.energy/v1/products/AGILE-24-10-01/electricity-tariffs/E-1R-AGILE-24-10-01-G/standard-unit-rates/</x:v>
      </x:c>
    </x:row>
    <x:row r="635" ht="21" customHeight="1">
      <x:c r="A635" s="24" t="n">
        <x:v>46161.729166666664</x:v>
      </x:c>
      <x:c r="B635" s="6" t="n">
        <x:v>0.3311</x:v>
      </x:c>
      <x:c r="C635" s="6" t="n">
        <x:v>0.18170000000000003</x:v>
      </x:c>
      <x:c r="D635" s="6" t="n">
        <x:f>'Tariff and method'!$B$4</x:f>
        <x:v>0.2226</x:v>
      </x:c>
      <x:c r="E635" s="1" t="n">
        <x:v>1.05</x:v>
      </x:c>
      <x:c r="F635" s="1" t="str">
        <x:v>https://api.octopus.energy/v1/products/AGILE-24-10-01/electricity-tariffs/E-1R-AGILE-24-10-01-G/standard-unit-rates/</x:v>
      </x:c>
    </x:row>
    <x:row r="636" ht="21" customHeight="1">
      <x:c r="A636" s="24" t="n">
        <x:v>46161.75</x:v>
      </x:c>
      <x:c r="B636" s="6" t="n">
        <x:v>0.32880000000000004</x:v>
      </x:c>
      <x:c r="C636" s="6" t="n">
        <x:v>0.18059999999999998</x:v>
      </x:c>
      <x:c r="D636" s="6" t="n">
        <x:f>'Tariff and method'!$B$4</x:f>
        <x:v>0.2226</x:v>
      </x:c>
      <x:c r="E636" s="1" t="n">
        <x:v>1.05</x:v>
      </x:c>
      <x:c r="F636" s="1" t="str">
        <x:v>https://api.octopus.energy/v1/products/AGILE-24-10-01/electricity-tariffs/E-1R-AGILE-24-10-01-G/standard-unit-rates/</x:v>
      </x:c>
    </x:row>
    <x:row r="637" ht="21" customHeight="1">
      <x:c r="A637" s="24" t="n">
        <x:v>46161.770833333336</x:v>
      </x:c>
      <x:c r="B637" s="6" t="n">
        <x:v>0.3386</x:v>
      </x:c>
      <x:c r="C637" s="6" t="n">
        <x:v>0.18510000000000001</x:v>
      </x:c>
      <x:c r="D637" s="6" t="n">
        <x:f>'Tariff and method'!$B$4</x:f>
        <x:v>0.2226</x:v>
      </x:c>
      <x:c r="E637" s="1" t="n">
        <x:v>1.05</x:v>
      </x:c>
      <x:c r="F637" s="1" t="str">
        <x:v>https://api.octopus.energy/v1/products/AGILE-24-10-01/electricity-tariffs/E-1R-AGILE-24-10-01-G/standard-unit-rates/</x:v>
      </x:c>
    </x:row>
    <x:row r="638" ht="21" customHeight="1">
      <x:c r="A638" s="24" t="n">
        <x:v>46161.791666666664</x:v>
      </x:c>
      <x:c r="B638" s="6" t="n">
        <x:v>0.2291</x:v>
      </x:c>
      <x:c r="C638" s="6" t="n">
        <x:v>0.131</x:v>
      </x:c>
      <x:c r="D638" s="6" t="n">
        <x:f>'Tariff and method'!$B$4</x:f>
        <x:v>0.2226</x:v>
      </x:c>
      <x:c r="E638" s="1" t="n">
        <x:v>1.05</x:v>
      </x:c>
      <x:c r="F638" s="1" t="str">
        <x:v>https://api.octopus.energy/v1/products/AGILE-24-10-01/electricity-tariffs/E-1R-AGILE-24-10-01-G/standard-unit-rates/</x:v>
      </x:c>
    </x:row>
    <x:row r="639" ht="21" customHeight="1">
      <x:c r="A639" s="24" t="n">
        <x:v>46161.8125</x:v>
      </x:c>
      <x:c r="B639" s="6" t="n">
        <x:v>0.2375</x:v>
      </x:c>
      <x:c r="C639" s="6" t="n">
        <x:v>0.1348</x:v>
      </x:c>
      <x:c r="D639" s="6" t="n">
        <x:f>'Tariff and method'!$B$4</x:f>
        <x:v>0.2226</x:v>
      </x:c>
      <x:c r="E639" s="1" t="n">
        <x:v>1.05</x:v>
      </x:c>
      <x:c r="F639" s="1" t="str">
        <x:v>https://api.octopus.energy/v1/products/AGILE-24-10-01/electricity-tariffs/E-1R-AGILE-24-10-01-G/standard-unit-rates/</x:v>
      </x:c>
    </x:row>
    <x:row r="640" ht="21" customHeight="1">
      <x:c r="A640" s="24" t="n">
        <x:v>46161.833333333336</x:v>
      </x:c>
      <x:c r="B640" s="6" t="n">
        <x:v>0.2249</x:v>
      </x:c>
      <x:c r="C640" s="6" t="n">
        <x:v>0.1291</x:v>
      </x:c>
      <x:c r="D640" s="6" t="n">
        <x:f>'Tariff and method'!$B$4</x:f>
        <x:v>0.2226</x:v>
      </x:c>
      <x:c r="E640" s="1" t="n">
        <x:v>1.05</x:v>
      </x:c>
      <x:c r="F640" s="1" t="str">
        <x:v>https://api.octopus.energy/v1/products/AGILE-24-10-01/electricity-tariffs/E-1R-AGILE-24-10-01-G/standard-unit-rates/</x:v>
      </x:c>
    </x:row>
    <x:row r="641" ht="21" customHeight="1">
      <x:c r="A641" s="24" t="n">
        <x:v>46161.854166666664</x:v>
      </x:c>
      <x:c r="B641" s="6" t="n">
        <x:v>0.2291</x:v>
      </x:c>
      <x:c r="C641" s="6" t="n">
        <x:v>0.131</x:v>
      </x:c>
      <x:c r="D641" s="6" t="n">
        <x:f>'Tariff and method'!$B$4</x:f>
        <x:v>0.2226</x:v>
      </x:c>
      <x:c r="E641" s="1" t="n">
        <x:v>1.05</x:v>
      </x:c>
      <x:c r="F641" s="1" t="str">
        <x:v>https://api.octopus.energy/v1/products/AGILE-24-10-01/electricity-tariffs/E-1R-AGILE-24-10-01-G/standard-unit-rates/</x:v>
      </x:c>
    </x:row>
    <x:row r="642" ht="21" customHeight="1">
      <x:c r="A642" s="24" t="n">
        <x:v>46161.875</x:v>
      </x:c>
      <x:c r="B642" s="6" t="n">
        <x:v>0.22940000000000002</x:v>
      </x:c>
      <x:c r="C642" s="6" t="n">
        <x:v>0.1311</x:v>
      </x:c>
      <x:c r="D642" s="6" t="n">
        <x:f>'Tariff and method'!$B$4</x:f>
        <x:v>0.2226</x:v>
      </x:c>
      <x:c r="E642" s="1" t="n">
        <x:v>1.05</x:v>
      </x:c>
      <x:c r="F642" s="1" t="str">
        <x:v>https://api.octopus.energy/v1/products/AGILE-24-10-01/electricity-tariffs/E-1R-AGILE-24-10-01-G/standard-unit-rates/</x:v>
      </x:c>
    </x:row>
    <x:row r="643" ht="21" customHeight="1">
      <x:c r="A643" s="24" t="n">
        <x:v>46161.895833333336</x:v>
      </x:c>
      <x:c r="B643" s="6" t="n">
        <x:v>0.2113</x:v>
      </x:c>
      <x:c r="C643" s="6" t="n">
        <x:v>0.1229</x:v>
      </x:c>
      <x:c r="D643" s="6" t="n">
        <x:f>'Tariff and method'!$B$4</x:f>
        <x:v>0.2226</x:v>
      </x:c>
      <x:c r="E643" s="1" t="n">
        <x:v>1.05</x:v>
      </x:c>
      <x:c r="F643" s="1" t="str">
        <x:v>https://api.octopus.energy/v1/products/AGILE-24-10-01/electricity-tariffs/E-1R-AGILE-24-10-01-G/standard-unit-rates/</x:v>
      </x:c>
    </x:row>
    <x:row r="644" ht="21" customHeight="1">
      <x:c r="A644" s="24" t="n">
        <x:v>46161.916666666664</x:v>
      </x:c>
      <x:c r="B644" s="6" t="n">
        <x:v>0.19760000000000003</x:v>
      </x:c>
      <x:c r="C644" s="6" t="n">
        <x:v>0.1166</x:v>
      </x:c>
      <x:c r="D644" s="6" t="n">
        <x:f>'Tariff and method'!$B$4</x:f>
        <x:v>0.2226</x:v>
      </x:c>
      <x:c r="E644" s="1" t="n">
        <x:v>1.05</x:v>
      </x:c>
      <x:c r="F644" s="1" t="str">
        <x:v>https://api.octopus.energy/v1/products/AGILE-24-10-01/electricity-tariffs/E-1R-AGILE-24-10-01-G/standard-unit-rates/</x:v>
      </x:c>
    </x:row>
    <x:row r="645" ht="21" customHeight="1">
      <x:c r="A645" s="24" t="n">
        <x:v>46161.9375</x:v>
      </x:c>
      <x:c r="B645" s="6" t="n">
        <x:v>0.18289999999999998</x:v>
      </x:c>
      <x:c r="C645" s="6" t="n">
        <x:v>0.1099</x:v>
      </x:c>
      <x:c r="D645" s="6" t="n">
        <x:f>'Tariff and method'!$B$4</x:f>
        <x:v>0.2226</x:v>
      </x:c>
      <x:c r="E645" s="1" t="n">
        <x:v>1.05</x:v>
      </x:c>
      <x:c r="F645" s="1" t="str">
        <x:v>https://api.octopus.energy/v1/products/AGILE-24-10-01/electricity-tariffs/E-1R-AGILE-24-10-01-G/standard-unit-rates/</x:v>
      </x:c>
    </x:row>
    <x:row r="646" ht="21" customHeight="1">
      <x:c r="A646" s="24" t="n">
        <x:v>46162</x:v>
      </x:c>
      <x:c r="B646" s="6" t="n">
        <x:v>0.1634</x:v>
      </x:c>
      <x:c r="C646" s="6" t="n">
        <x:v>0.10099999999999999</x:v>
      </x:c>
      <x:c r="D646" s="6" t="n">
        <x:f>'Tariff and method'!$B$4</x:f>
        <x:v>0.2226</x:v>
      </x:c>
      <x:c r="E646" s="1" t="n">
        <x:v>1.05</x:v>
      </x:c>
      <x:c r="F646" s="1" t="str">
        <x:v>https://api.octopus.energy/v1/products/AGILE-24-10-01/electricity-tariffs/E-1R-AGILE-24-10-01-G/standard-unit-rates/</x:v>
      </x:c>
    </x:row>
    <x:row r="647" ht="21" customHeight="1">
      <x:c r="A647" s="24" t="n">
        <x:v>46161.979166666664</x:v>
      </x:c>
      <x:c r="B647" s="6" t="n">
        <x:v>0.1551</x:v>
      </x:c>
      <x:c r="C647" s="6" t="n">
        <x:v>0.09720000000000001</x:v>
      </x:c>
      <x:c r="D647" s="6" t="n">
        <x:f>'Tariff and method'!$B$4</x:f>
        <x:v>0.2226</x:v>
      </x:c>
      <x:c r="E647" s="1" t="n">
        <x:v>1.05</x:v>
      </x:c>
      <x:c r="F647" s="1" t="str">
        <x:v>https://api.octopus.energy/v1/products/AGILE-24-10-01/electricity-tariffs/E-1R-AGILE-24-10-01-G/standard-unit-rates/</x:v>
      </x:c>
    </x:row>
    <x:row r="648" ht="21" customHeight="1">
      <x:c r="A648" s="24" t="n">
        <x:v>46162</x:v>
      </x:c>
      <x:c r="B648" s="6" t="n">
        <x:v>0.15560000000000002</x:v>
      </x:c>
      <x:c r="C648" s="6" t="n">
        <x:v>0.0974</x:v>
      </x:c>
      <x:c r="D648" s="6" t="n">
        <x:f>'Tariff and method'!$B$4</x:f>
        <x:v>0.2226</x:v>
      </x:c>
      <x:c r="E648" s="1" t="n">
        <x:v>1.05</x:v>
      </x:c>
      <x:c r="F648" s="1" t="str">
        <x:v>https://api.octopus.energy/v1/products/AGILE-24-10-01/electricity-tariffs/E-1R-AGILE-24-10-01-G/standard-unit-rates/</x:v>
      </x:c>
    </x:row>
    <x:row r="649" ht="21" customHeight="1">
      <x:c r="A649" s="24" t="n">
        <x:v>46162.020833333336</x:v>
      </x:c>
      <x:c r="B649" s="6" t="n">
        <x:v>0.15560000000000002</x:v>
      </x:c>
      <x:c r="C649" s="6" t="n">
        <x:v>0.0974</x:v>
      </x:c>
      <x:c r="D649" s="6" t="n">
        <x:f>'Tariff and method'!$B$4</x:f>
        <x:v>0.2226</x:v>
      </x:c>
      <x:c r="E649" s="1" t="n">
        <x:v>1.05</x:v>
      </x:c>
      <x:c r="F649" s="1" t="str">
        <x:v>https://api.octopus.energy/v1/products/AGILE-24-10-01/electricity-tariffs/E-1R-AGILE-24-10-01-G/standard-unit-rates/</x:v>
      </x:c>
    </x:row>
    <x:row r="650" ht="21" customHeight="1">
      <x:c r="A650" s="24" t="n">
        <x:v>46162.041666666664</x:v>
      </x:c>
      <x:c r="B650" s="6" t="n">
        <x:v>0.15560000000000002</x:v>
      </x:c>
      <x:c r="C650" s="6" t="n">
        <x:v>0.0974</x:v>
      </x:c>
      <x:c r="D650" s="6" t="n">
        <x:f>'Tariff and method'!$B$4</x:f>
        <x:v>0.2226</x:v>
      </x:c>
      <x:c r="E650" s="1" t="n">
        <x:v>1.05</x:v>
      </x:c>
      <x:c r="F650" s="1" t="str">
        <x:v>https://api.octopus.energy/v1/products/AGILE-24-10-01/electricity-tariffs/E-1R-AGILE-24-10-01-G/standard-unit-rates/</x:v>
      </x:c>
    </x:row>
    <x:row r="651" ht="21" customHeight="1">
      <x:c r="A651" s="24" t="n">
        <x:v>46162.0625</x:v>
      </x:c>
      <x:c r="B651" s="6" t="n">
        <x:v>0.15689999999999998</x:v>
      </x:c>
      <x:c r="C651" s="6" t="n">
        <x:v>0.098</x:v>
      </x:c>
      <x:c r="D651" s="6" t="n">
        <x:f>'Tariff and method'!$B$4</x:f>
        <x:v>0.2226</x:v>
      </x:c>
      <x:c r="E651" s="1" t="n">
        <x:v>1.05</x:v>
      </x:c>
      <x:c r="F651" s="1" t="str">
        <x:v>https://api.octopus.energy/v1/products/AGILE-24-10-01/electricity-tariffs/E-1R-AGILE-24-10-01-G/standard-unit-rates/</x:v>
      </x:c>
    </x:row>
    <x:row r="652" ht="21" customHeight="1">
      <x:c r="A652" s="24" t="n">
        <x:v>46162.083333333336</x:v>
      </x:c>
      <x:c r="B652" s="6" t="n">
        <x:v>0.1505</x:v>
      </x:c>
      <x:c r="C652" s="6" t="n">
        <x:v>0.0951</x:v>
      </x:c>
      <x:c r="D652" s="6" t="n">
        <x:f>'Tariff and method'!$B$4</x:f>
        <x:v>0.2226</x:v>
      </x:c>
      <x:c r="E652" s="1" t="n">
        <x:v>1.05</x:v>
      </x:c>
      <x:c r="F652" s="1" t="str">
        <x:v>https://api.octopus.energy/v1/products/AGILE-24-10-01/electricity-tariffs/E-1R-AGILE-24-10-01-G/standard-unit-rates/</x:v>
      </x:c>
    </x:row>
    <x:row r="653" ht="21" customHeight="1">
      <x:c r="A653" s="24" t="n">
        <x:v>46162.104166666664</x:v>
      </x:c>
      <x:c r="B653" s="6" t="n">
        <x:v>0.1421</x:v>
      </x:c>
      <x:c r="C653" s="6" t="n">
        <x:v>0.09119999999999999</x:v>
      </x:c>
      <x:c r="D653" s="6" t="n">
        <x:f>'Tariff and method'!$B$4</x:f>
        <x:v>0.2226</x:v>
      </x:c>
      <x:c r="E653" s="1" t="n">
        <x:v>1.05</x:v>
      </x:c>
      <x:c r="F653" s="1" t="str">
        <x:v>https://api.octopus.energy/v1/products/AGILE-24-10-01/electricity-tariffs/E-1R-AGILE-24-10-01-G/standard-unit-rates/</x:v>
      </x:c>
    </x:row>
    <x:row r="654" ht="21" customHeight="1">
      <x:c r="A654" s="24" t="n">
        <x:v>46162.125</x:v>
      </x:c>
      <x:c r="B654" s="6" t="n">
        <x:v>0.1514</x:v>
      </x:c>
      <x:c r="C654" s="6" t="n">
        <x:v>0.0955</x:v>
      </x:c>
      <x:c r="D654" s="6" t="n">
        <x:f>'Tariff and method'!$B$4</x:f>
        <x:v>0.2226</x:v>
      </x:c>
      <x:c r="E654" s="1" t="n">
        <x:v>1.05</x:v>
      </x:c>
      <x:c r="F654" s="1" t="str">
        <x:v>https://api.octopus.energy/v1/products/AGILE-24-10-01/electricity-tariffs/E-1R-AGILE-24-10-01-G/standard-unit-rates/</x:v>
      </x:c>
    </x:row>
    <x:row r="655" ht="21" customHeight="1">
      <x:c r="A655" s="24" t="n">
        <x:v>46162.145833333336</x:v>
      </x:c>
      <x:c r="B655" s="6" t="n">
        <x:v>0.1514</x:v>
      </x:c>
      <x:c r="C655" s="6" t="n">
        <x:v>0.0955</x:v>
      </x:c>
      <x:c r="D655" s="6" t="n">
        <x:f>'Tariff and method'!$B$4</x:f>
        <x:v>0.2226</x:v>
      </x:c>
      <x:c r="E655" s="1" t="n">
        <x:v>1.05</x:v>
      </x:c>
      <x:c r="F655" s="1" t="str">
        <x:v>https://api.octopus.energy/v1/products/AGILE-24-10-01/electricity-tariffs/E-1R-AGILE-24-10-01-G/standard-unit-rates/</x:v>
      </x:c>
    </x:row>
    <x:row r="656" ht="21" customHeight="1">
      <x:c r="A656" s="24" t="n">
        <x:v>46162.166666666664</x:v>
      </x:c>
      <x:c r="B656" s="6" t="n">
        <x:v>0.1551</x:v>
      </x:c>
      <x:c r="C656" s="6" t="n">
        <x:v>0.09720000000000001</x:v>
      </x:c>
      <x:c r="D656" s="6" t="n">
        <x:f>'Tariff and method'!$B$4</x:f>
        <x:v>0.2226</x:v>
      </x:c>
      <x:c r="E656" s="1" t="n">
        <x:v>1.05</x:v>
      </x:c>
      <x:c r="F656" s="1" t="str">
        <x:v>https://api.octopus.energy/v1/products/AGILE-24-10-01/electricity-tariffs/E-1R-AGILE-24-10-01-G/standard-unit-rates/</x:v>
      </x:c>
    </x:row>
    <x:row r="657" ht="21" customHeight="1">
      <x:c r="A657" s="24" t="n">
        <x:v>46162.1875</x:v>
      </x:c>
      <x:c r="B657" s="6" t="n">
        <x:v>0.1477</x:v>
      </x:c>
      <x:c r="C657" s="6" t="n">
        <x:v>0.09380000000000001</x:v>
      </x:c>
      <x:c r="D657" s="6" t="n">
        <x:f>'Tariff and method'!$B$4</x:f>
        <x:v>0.2226</x:v>
      </x:c>
      <x:c r="E657" s="1" t="n">
        <x:v>1.05</x:v>
      </x:c>
      <x:c r="F657" s="1" t="str">
        <x:v>https://api.octopus.energy/v1/products/AGILE-24-10-01/electricity-tariffs/E-1R-AGILE-24-10-01-G/standard-unit-rates/</x:v>
      </x:c>
    </x:row>
    <x:row r="658" ht="21" customHeight="1">
      <x:c r="A658" s="24" t="n">
        <x:v>46162.208333333336</x:v>
      </x:c>
      <x:c r="B658" s="6" t="n">
        <x:v>0.15689999999999998</x:v>
      </x:c>
      <x:c r="C658" s="6" t="n">
        <x:v>0.098</x:v>
      </x:c>
      <x:c r="D658" s="6" t="n">
        <x:f>'Tariff and method'!$B$4</x:f>
        <x:v>0.2226</x:v>
      </x:c>
      <x:c r="E658" s="1" t="n">
        <x:v>1.05</x:v>
      </x:c>
      <x:c r="F658" s="1" t="str">
        <x:v>https://api.octopus.energy/v1/products/AGILE-24-10-01/electricity-tariffs/E-1R-AGILE-24-10-01-G/standard-unit-rates/</x:v>
      </x:c>
    </x:row>
    <x:row r="659" ht="21" customHeight="1">
      <x:c r="A659" s="24" t="n">
        <x:v>46162.229166666664</x:v>
      </x:c>
      <x:c r="B659" s="6" t="n">
        <x:v>0.1654</x:v>
      </x:c>
      <x:c r="C659" s="6" t="n">
        <x:v>0.10189999999999999</x:v>
      </x:c>
      <x:c r="D659" s="6" t="n">
        <x:f>'Tariff and method'!$B$4</x:f>
        <x:v>0.2226</x:v>
      </x:c>
      <x:c r="E659" s="1" t="n">
        <x:v>1.05</x:v>
      </x:c>
      <x:c r="F659" s="1" t="str">
        <x:v>https://api.octopus.energy/v1/products/AGILE-24-10-01/electricity-tariffs/E-1R-AGILE-24-10-01-G/standard-unit-rates/</x:v>
      </x:c>
    </x:row>
    <x:row r="660" ht="21" customHeight="1">
      <x:c r="A660" s="24" t="n">
        <x:v>46162.25</x:v>
      </x:c>
      <x:c r="B660" s="6" t="n">
        <x:v>0.1813</x:v>
      </x:c>
      <x:c r="C660" s="6" t="n">
        <x:v>0.1092</x:v>
      </x:c>
      <x:c r="D660" s="6" t="n">
        <x:f>'Tariff and method'!$B$4</x:f>
        <x:v>0.2226</x:v>
      </x:c>
      <x:c r="E660" s="1" t="n">
        <x:v>1.05</x:v>
      </x:c>
      <x:c r="F660" s="1" t="str">
        <x:v>https://api.octopus.energy/v1/products/AGILE-24-10-01/electricity-tariffs/E-1R-AGILE-24-10-01-G/standard-unit-rates/</x:v>
      </x:c>
    </x:row>
    <x:row r="661" ht="21" customHeight="1">
      <x:c r="A661" s="24" t="n">
        <x:v>46162.270833333336</x:v>
      </x:c>
      <x:c r="B661" s="6" t="n">
        <x:v>0.21230000000000002</x:v>
      </x:c>
      <x:c r="C661" s="6" t="n">
        <x:v>0.1233</x:v>
      </x:c>
      <x:c r="D661" s="6" t="n">
        <x:f>'Tariff and method'!$B$4</x:f>
        <x:v>0.2226</x:v>
      </x:c>
      <x:c r="E661" s="1" t="n">
        <x:v>1.05</x:v>
      </x:c>
      <x:c r="F661" s="1" t="str">
        <x:v>https://api.octopus.energy/v1/products/AGILE-24-10-01/electricity-tariffs/E-1R-AGILE-24-10-01-G/standard-unit-rates/</x:v>
      </x:c>
    </x:row>
    <x:row r="662" ht="21" customHeight="1">
      <x:c r="A662" s="24" t="n">
        <x:v>46162.291666666664</x:v>
      </x:c>
      <x:c r="B662" s="6" t="n">
        <x:v>0.2102</x:v>
      </x:c>
      <x:c r="C662" s="6" t="n">
        <x:v>0.12240000000000001</x:v>
      </x:c>
      <x:c r="D662" s="6" t="n">
        <x:f>'Tariff and method'!$B$4</x:f>
        <x:v>0.2226</x:v>
      </x:c>
      <x:c r="E662" s="1" t="n">
        <x:v>1.05</x:v>
      </x:c>
      <x:c r="F662" s="1" t="str">
        <x:v>https://api.octopus.energy/v1/products/AGILE-24-10-01/electricity-tariffs/E-1R-AGILE-24-10-01-G/standard-unit-rates/</x:v>
      </x:c>
    </x:row>
    <x:row r="663" ht="21" customHeight="1">
      <x:c r="A663" s="24" t="n">
        <x:v>46162.3125</x:v>
      </x:c>
      <x:c r="B663" s="6" t="n">
        <x:v>0.2237</x:v>
      </x:c>
      <x:c r="C663" s="6" t="n">
        <x:v>0.1285</x:v>
      </x:c>
      <x:c r="D663" s="6" t="n">
        <x:f>'Tariff and method'!$B$4</x:f>
        <x:v>0.2226</x:v>
      </x:c>
      <x:c r="E663" s="1" t="n">
        <x:v>1.05</x:v>
      </x:c>
      <x:c r="F663" s="1" t="str">
        <x:v>https://api.octopus.energy/v1/products/AGILE-24-10-01/electricity-tariffs/E-1R-AGILE-24-10-01-G/standard-unit-rates/</x:v>
      </x:c>
    </x:row>
    <x:row r="664" ht="21" customHeight="1">
      <x:c r="A664" s="24" t="n">
        <x:v>46162.333333333336</x:v>
      </x:c>
      <x:c r="B664" s="6" t="n">
        <x:v>0.217</x:v>
      </x:c>
      <x:c r="C664" s="6" t="n">
        <x:v>0.1255</x:v>
      </x:c>
      <x:c r="D664" s="6" t="n">
        <x:f>'Tariff and method'!$B$4</x:f>
        <x:v>0.2226</x:v>
      </x:c>
      <x:c r="E664" s="1" t="n">
        <x:v>1.05</x:v>
      </x:c>
      <x:c r="F664" s="1" t="str">
        <x:v>https://api.octopus.energy/v1/products/AGILE-24-10-01/electricity-tariffs/E-1R-AGILE-24-10-01-G/standard-unit-rates/</x:v>
      </x:c>
    </x:row>
    <x:row r="665" ht="21" customHeight="1">
      <x:c r="A665" s="24" t="n">
        <x:v>46162.354166666664</x:v>
      </x:c>
      <x:c r="B665" s="6" t="n">
        <x:v>0.2039</x:v>
      </x:c>
      <x:c r="C665" s="6" t="n">
        <x:v>0.1195</x:v>
      </x:c>
      <x:c r="D665" s="6" t="n">
        <x:f>'Tariff and method'!$B$4</x:f>
        <x:v>0.2226</x:v>
      </x:c>
      <x:c r="E665" s="1" t="n">
        <x:v>1.05</x:v>
      </x:c>
      <x:c r="F665" s="1" t="str">
        <x:v>https://api.octopus.energy/v1/products/AGILE-24-10-01/electricity-tariffs/E-1R-AGILE-24-10-01-G/standard-unit-rates/</x:v>
      </x:c>
    </x:row>
    <x:row r="666" ht="21" customHeight="1">
      <x:c r="A666" s="24" t="n">
        <x:v>46162.375</x:v>
      </x:c>
      <x:c r="B666" s="6" t="n">
        <x:v>0.1955</x:v>
      </x:c>
      <x:c r="C666" s="6" t="n">
        <x:v>0.11560000000000001</x:v>
      </x:c>
      <x:c r="D666" s="6" t="n">
        <x:f>'Tariff and method'!$B$4</x:f>
        <x:v>0.2226</x:v>
      </x:c>
      <x:c r="E666" s="1" t="n">
        <x:v>1.05</x:v>
      </x:c>
      <x:c r="F666" s="1" t="str">
        <x:v>https://api.octopus.energy/v1/products/AGILE-24-10-01/electricity-tariffs/E-1R-AGILE-24-10-01-G/standard-unit-rates/</x:v>
      </x:c>
    </x:row>
    <x:row r="667" ht="21" customHeight="1">
      <x:c r="A667" s="24" t="n">
        <x:v>46162.395833333336</x:v>
      </x:c>
      <x:c r="B667" s="6" t="n">
        <x:v>0.1833</x:v>
      </x:c>
      <x:c r="C667" s="6" t="n">
        <x:v>0.1101</x:v>
      </x:c>
      <x:c r="D667" s="6" t="n">
        <x:f>'Tariff and method'!$B$4</x:f>
        <x:v>0.2226</x:v>
      </x:c>
      <x:c r="E667" s="1" t="n">
        <x:v>1.05</x:v>
      </x:c>
      <x:c r="F667" s="1" t="str">
        <x:v>https://api.octopus.energy/v1/products/AGILE-24-10-01/electricity-tariffs/E-1R-AGILE-24-10-01-G/standard-unit-rates/</x:v>
      </x:c>
    </x:row>
    <x:row r="668" ht="21" customHeight="1">
      <x:c r="A668" s="24" t="n">
        <x:v>46162.416666666664</x:v>
      </x:c>
      <x:c r="B668" s="6" t="n">
        <x:v>0.1577</x:v>
      </x:c>
      <x:c r="C668" s="6" t="n">
        <x:v>0.0984</x:v>
      </x:c>
      <x:c r="D668" s="6" t="n">
        <x:f>'Tariff and method'!$B$4</x:f>
        <x:v>0.2226</x:v>
      </x:c>
      <x:c r="E668" s="1" t="n">
        <x:v>1.05</x:v>
      </x:c>
      <x:c r="F668" s="1" t="str">
        <x:v>https://api.octopus.energy/v1/products/AGILE-24-10-01/electricity-tariffs/E-1R-AGILE-24-10-01-G/standard-unit-rates/</x:v>
      </x:c>
    </x:row>
    <x:row r="669" ht="21" customHeight="1">
      <x:c r="A669" s="24" t="n">
        <x:v>46162.4375</x:v>
      </x:c>
      <x:c r="B669" s="6" t="n">
        <x:v>0.1518</x:v>
      </x:c>
      <x:c r="C669" s="6" t="n">
        <x:v>0.09570000000000001</x:v>
      </x:c>
      <x:c r="D669" s="6" t="n">
        <x:f>'Tariff and method'!$B$4</x:f>
        <x:v>0.2226</x:v>
      </x:c>
      <x:c r="E669" s="1" t="n">
        <x:v>1.05</x:v>
      </x:c>
      <x:c r="F669" s="1" t="str">
        <x:v>https://api.octopus.energy/v1/products/AGILE-24-10-01/electricity-tariffs/E-1R-AGILE-24-10-01-G/standard-unit-rates/</x:v>
      </x:c>
    </x:row>
    <x:row r="670" ht="21" customHeight="1">
      <x:c r="A670" s="24" t="n">
        <x:v>46162.458333333336</x:v>
      </x:c>
      <x:c r="B670" s="6" t="n">
        <x:v>0.1475</x:v>
      </x:c>
      <x:c r="C670" s="6" t="n">
        <x:v>0.09369999999999999</x:v>
      </x:c>
      <x:c r="D670" s="6" t="n">
        <x:f>'Tariff and method'!$B$4</x:f>
        <x:v>0.2226</x:v>
      </x:c>
      <x:c r="E670" s="1" t="n">
        <x:v>1.05</x:v>
      </x:c>
      <x:c r="F670" s="1" t="str">
        <x:v>https://api.octopus.energy/v1/products/AGILE-24-10-01/electricity-tariffs/E-1R-AGILE-24-10-01-G/standard-unit-rates/</x:v>
      </x:c>
    </x:row>
    <x:row r="671" ht="21" customHeight="1">
      <x:c r="A671" s="24" t="n">
        <x:v>46162.479166666664</x:v>
      </x:c>
      <x:c r="B671" s="6" t="n">
        <x:v>0.1318</x:v>
      </x:c>
      <x:c r="C671" s="6" t="n">
        <x:v>0.08650000000000001</x:v>
      </x:c>
      <x:c r="D671" s="6" t="n">
        <x:f>'Tariff and method'!$B$4</x:f>
        <x:v>0.2226</x:v>
      </x:c>
      <x:c r="E671" s="1" t="n">
        <x:v>1.05</x:v>
      </x:c>
      <x:c r="F671" s="1" t="str">
        <x:v>https://api.octopus.energy/v1/products/AGILE-24-10-01/electricity-tariffs/E-1R-AGILE-24-10-01-G/standard-unit-rates/</x:v>
      </x:c>
    </x:row>
    <x:row r="672" ht="21" customHeight="1">
      <x:c r="A672" s="24" t="n">
        <x:v>46162.5</x:v>
      </x:c>
      <x:c r="B672" s="6" t="n">
        <x:v>0.1257</x:v>
      </x:c>
      <x:c r="C672" s="6" t="n">
        <x:v>0.0837</x:v>
      </x:c>
      <x:c r="D672" s="6" t="n">
        <x:f>'Tariff and method'!$B$4</x:f>
        <x:v>0.2226</x:v>
      </x:c>
      <x:c r="E672" s="1" t="n">
        <x:v>1.05</x:v>
      </x:c>
      <x:c r="F672" s="1" t="str">
        <x:v>https://api.octopus.energy/v1/products/AGILE-24-10-01/electricity-tariffs/E-1R-AGILE-24-10-01-G/standard-unit-rates/</x:v>
      </x:c>
    </x:row>
    <x:row r="673" ht="21" customHeight="1">
      <x:c r="A673" s="24" t="n">
        <x:v>46162.520833333336</x:v>
      </x:c>
      <x:c r="B673" s="6" t="n">
        <x:v>0.1115</x:v>
      </x:c>
      <x:c r="C673" s="6" t="n">
        <x:v>0.07719999999999999</x:v>
      </x:c>
      <x:c r="D673" s="6" t="n">
        <x:f>'Tariff and method'!$B$4</x:f>
        <x:v>0.2226</x:v>
      </x:c>
      <x:c r="E673" s="1" t="n">
        <x:v>1.05</x:v>
      </x:c>
      <x:c r="F673" s="1" t="str">
        <x:v>https://api.octopus.energy/v1/products/AGILE-24-10-01/electricity-tariffs/E-1R-AGILE-24-10-01-G/standard-unit-rates/</x:v>
      </x:c>
    </x:row>
    <x:row r="674" ht="21" customHeight="1">
      <x:c r="A674" s="24" t="n">
        <x:v>46162.541666666664</x:v>
      </x:c>
      <x:c r="B674" s="6" t="n">
        <x:v>0.1283</x:v>
      </x:c>
      <x:c r="C674" s="6" t="n">
        <x:v>0.0849</x:v>
      </x:c>
      <x:c r="D674" s="6" t="n">
        <x:f>'Tariff and method'!$B$4</x:f>
        <x:v>0.2226</x:v>
      </x:c>
      <x:c r="E674" s="1" t="n">
        <x:v>1.05</x:v>
      </x:c>
      <x:c r="F674" s="1" t="str">
        <x:v>https://api.octopus.energy/v1/products/AGILE-24-10-01/electricity-tariffs/E-1R-AGILE-24-10-01-G/standard-unit-rates/</x:v>
      </x:c>
    </x:row>
    <x:row r="675" ht="21" customHeight="1">
      <x:c r="A675" s="24" t="n">
        <x:v>46162.5625</x:v>
      </x:c>
      <x:c r="B675" s="6" t="n">
        <x:v>0.1199</x:v>
      </x:c>
      <x:c r="C675" s="6" t="n">
        <x:v>0.08109999999999999</x:v>
      </x:c>
      <x:c r="D675" s="6" t="n">
        <x:f>'Tariff and method'!$B$4</x:f>
        <x:v>0.2226</x:v>
      </x:c>
      <x:c r="E675" s="1" t="n">
        <x:v>1.05</x:v>
      </x:c>
      <x:c r="F675" s="1" t="str">
        <x:v>https://api.octopus.energy/v1/products/AGILE-24-10-01/electricity-tariffs/E-1R-AGILE-24-10-01-G/standard-unit-rates/</x:v>
      </x:c>
    </x:row>
    <x:row r="676" ht="21" customHeight="1">
      <x:c r="A676" s="24" t="n">
        <x:v>46162.583333333336</x:v>
      </x:c>
      <x:c r="B676" s="6" t="n">
        <x:v>0.11699999999999999</x:v>
      </x:c>
      <x:c r="C676" s="6" t="n">
        <x:v>0.0797</x:v>
      </x:c>
      <x:c r="D676" s="6" t="n">
        <x:f>'Tariff and method'!$B$4</x:f>
        <x:v>0.2226</x:v>
      </x:c>
      <x:c r="E676" s="1" t="n">
        <x:v>1.05</x:v>
      </x:c>
      <x:c r="F676" s="1" t="str">
        <x:v>https://api.octopus.energy/v1/products/AGILE-24-10-01/electricity-tariffs/E-1R-AGILE-24-10-01-G/standard-unit-rates/</x:v>
      </x:c>
    </x:row>
    <x:row r="677" ht="21" customHeight="1">
      <x:c r="A677" s="24" t="n">
        <x:v>46162.604166666664</x:v>
      </x:c>
      <x:c r="B677" s="6" t="n">
        <x:v>0.1115</x:v>
      </x:c>
      <x:c r="C677" s="6" t="n">
        <x:v>0.07719999999999999</x:v>
      </x:c>
      <x:c r="D677" s="6" t="n">
        <x:f>'Tariff and method'!$B$4</x:f>
        <x:v>0.2226</x:v>
      </x:c>
      <x:c r="E677" s="1" t="n">
        <x:v>1.05</x:v>
      </x:c>
      <x:c r="F677" s="1" t="str">
        <x:v>https://api.octopus.energy/v1/products/AGILE-24-10-01/electricity-tariffs/E-1R-AGILE-24-10-01-G/standard-unit-rates/</x:v>
      </x:c>
    </x:row>
    <x:row r="678" ht="21" customHeight="1">
      <x:c r="A678" s="24" t="n">
        <x:v>46162.625</x:v>
      </x:c>
      <x:c r="B678" s="6" t="n">
        <x:v>0.1115</x:v>
      </x:c>
      <x:c r="C678" s="6" t="n">
        <x:v>0.07719999999999999</x:v>
      </x:c>
      <x:c r="D678" s="6" t="n">
        <x:f>'Tariff and method'!$B$4</x:f>
        <x:v>0.2226</x:v>
      </x:c>
      <x:c r="E678" s="1" t="n">
        <x:v>1.05</x:v>
      </x:c>
      <x:c r="F678" s="1" t="str">
        <x:v>https://api.octopus.energy/v1/products/AGILE-24-10-01/electricity-tariffs/E-1R-AGILE-24-10-01-G/standard-unit-rates/</x:v>
      </x:c>
    </x:row>
    <x:row r="679" ht="21" customHeight="1">
      <x:c r="A679" s="24" t="n">
        <x:v>46162.645833333336</x:v>
      </x:c>
      <x:c r="B679" s="6" t="n">
        <x:v>0.1258</x:v>
      </x:c>
      <x:c r="C679" s="6" t="n">
        <x:v>0.08380000000000001</x:v>
      </x:c>
      <x:c r="D679" s="6" t="n">
        <x:f>'Tariff and method'!$B$4</x:f>
        <x:v>0.2226</x:v>
      </x:c>
      <x:c r="E679" s="1" t="n">
        <x:v>1.05</x:v>
      </x:c>
      <x:c r="F679" s="1" t="str">
        <x:v>https://api.octopus.energy/v1/products/AGILE-24-10-01/electricity-tariffs/E-1R-AGILE-24-10-01-G/standard-unit-rates/</x:v>
      </x:c>
    </x:row>
    <x:row r="680" ht="21" customHeight="1">
      <x:c r="A680" s="24" t="n">
        <x:v>46162.666666666664</x:v>
      </x:c>
      <x:c r="B680" s="6" t="n">
        <x:v>0.2627</x:v>
      </x:c>
      <x:c r="C680" s="6" t="n">
        <x:v>0.15039999999999998</x:v>
      </x:c>
      <x:c r="D680" s="6" t="n">
        <x:f>'Tariff and method'!$B$4</x:f>
        <x:v>0.2226</x:v>
      </x:c>
      <x:c r="E680" s="1" t="n">
        <x:v>1.05</x:v>
      </x:c>
      <x:c r="F680" s="1" t="str">
        <x:v>https://api.octopus.energy/v1/products/AGILE-24-10-01/electricity-tariffs/E-1R-AGILE-24-10-01-G/standard-unit-rates/</x:v>
      </x:c>
    </x:row>
    <x:row r="681" ht="21" customHeight="1">
      <x:c r="A681" s="24" t="n">
        <x:v>46162.6875</x:v>
      </x:c>
      <x:c r="B681" s="6" t="n">
        <x:v>0.3078</x:v>
      </x:c>
      <x:c r="C681" s="6" t="n">
        <x:v>0.171</x:v>
      </x:c>
      <x:c r="D681" s="6" t="n">
        <x:f>'Tariff and method'!$B$4</x:f>
        <x:v>0.2226</x:v>
      </x:c>
      <x:c r="E681" s="1" t="n">
        <x:v>1.05</x:v>
      </x:c>
      <x:c r="F681" s="1" t="str">
        <x:v>https://api.octopus.energy/v1/products/AGILE-24-10-01/electricity-tariffs/E-1R-AGILE-24-10-01-G/standard-unit-rates/</x:v>
      </x:c>
    </x:row>
    <x:row r="682" ht="21" customHeight="1">
      <x:c r="A682" s="24" t="n">
        <x:v>46162.708333333336</x:v>
      </x:c>
      <x:c r="B682" s="6" t="n">
        <x:v>0.3148</x:v>
      </x:c>
      <x:c r="C682" s="6" t="n">
        <x:v>0.17420000000000002</x:v>
      </x:c>
      <x:c r="D682" s="6" t="n">
        <x:f>'Tariff and method'!$B$4</x:f>
        <x:v>0.2226</x:v>
      </x:c>
      <x:c r="E682" s="1" t="n">
        <x:v>1.05</x:v>
      </x:c>
      <x:c r="F682" s="1" t="str">
        <x:v>https://api.octopus.energy/v1/products/AGILE-24-10-01/electricity-tariffs/E-1R-AGILE-24-10-01-G/standard-unit-rates/</x:v>
      </x:c>
    </x:row>
    <x:row r="683" ht="21" customHeight="1">
      <x:c r="A683" s="24" t="n">
        <x:v>46162.729166666664</x:v>
      </x:c>
      <x:c r="B683" s="6" t="n">
        <x:v>0.3231</x:v>
      </x:c>
      <x:c r="C683" s="6" t="n">
        <x:v>0.17800000000000002</x:v>
      </x:c>
      <x:c r="D683" s="6" t="n">
        <x:f>'Tariff and method'!$B$4</x:f>
        <x:v>0.2226</x:v>
      </x:c>
      <x:c r="E683" s="1" t="n">
        <x:v>1.05</x:v>
      </x:c>
      <x:c r="F683" s="1" t="str">
        <x:v>https://api.octopus.energy/v1/products/AGILE-24-10-01/electricity-tariffs/E-1R-AGILE-24-10-01-G/standard-unit-rates/</x:v>
      </x:c>
    </x:row>
    <x:row r="684" ht="21" customHeight="1">
      <x:c r="A684" s="24" t="n">
        <x:v>46162.75</x:v>
      </x:c>
      <x:c r="B684" s="6" t="n">
        <x:v>0.3296</x:v>
      </x:c>
      <x:c r="C684" s="6" t="n">
        <x:v>0.18100000000000002</x:v>
      </x:c>
      <x:c r="D684" s="6" t="n">
        <x:f>'Tariff and method'!$B$4</x:f>
        <x:v>0.2226</x:v>
      </x:c>
      <x:c r="E684" s="1" t="n">
        <x:v>1.05</x:v>
      </x:c>
      <x:c r="F684" s="1" t="str">
        <x:v>https://api.octopus.energy/v1/products/AGILE-24-10-01/electricity-tariffs/E-1R-AGILE-24-10-01-G/standard-unit-rates/</x:v>
      </x:c>
    </x:row>
    <x:row r="685" ht="21" customHeight="1">
      <x:c r="A685" s="24" t="n">
        <x:v>46162.770833333336</x:v>
      </x:c>
      <x:c r="B685" s="6" t="n">
        <x:v>0.35119999999999996</x:v>
      </x:c>
      <x:c r="C685" s="6" t="n">
        <x:v>0.1909</x:v>
      </x:c>
      <x:c r="D685" s="6" t="n">
        <x:f>'Tariff and method'!$B$4</x:f>
        <x:v>0.2226</x:v>
      </x:c>
      <x:c r="E685" s="1" t="n">
        <x:v>1.05</x:v>
      </x:c>
      <x:c r="F685" s="1" t="str">
        <x:v>https://api.octopus.energy/v1/products/AGILE-24-10-01/electricity-tariffs/E-1R-AGILE-24-10-01-G/standard-unit-rates/</x:v>
      </x:c>
    </x:row>
    <x:row r="686" ht="21" customHeight="1">
      <x:c r="A686" s="24" t="n">
        <x:v>46162.791666666664</x:v>
      </x:c>
      <x:c r="B686" s="6" t="n">
        <x:v>0.25429999999999997</x:v>
      </x:c>
      <x:c r="C686" s="6" t="n">
        <x:v>0.1425</x:v>
      </x:c>
      <x:c r="D686" s="6" t="n">
        <x:f>'Tariff and method'!$B$4</x:f>
        <x:v>0.2226</x:v>
      </x:c>
      <x:c r="E686" s="1" t="n">
        <x:v>1.05</x:v>
      </x:c>
      <x:c r="F686" s="1" t="str">
        <x:v>https://api.octopus.energy/v1/products/AGILE-24-10-01/electricity-tariffs/E-1R-AGILE-24-10-01-G/standard-unit-rates/</x:v>
      </x:c>
    </x:row>
    <x:row r="687" ht="21" customHeight="1">
      <x:c r="A687" s="24" t="n">
        <x:v>46162.8125</x:v>
      </x:c>
      <x:c r="B687" s="6" t="n">
        <x:v>0.2643</x:v>
      </x:c>
      <x:c r="C687" s="6" t="n">
        <x:v>0.1471</x:v>
      </x:c>
      <x:c r="D687" s="6" t="n">
        <x:f>'Tariff and method'!$B$4</x:f>
        <x:v>0.2226</x:v>
      </x:c>
      <x:c r="E687" s="1" t="n">
        <x:v>1.05</x:v>
      </x:c>
      <x:c r="F687" s="1" t="str">
        <x:v>https://api.octopus.energy/v1/products/AGILE-24-10-01/electricity-tariffs/E-1R-AGILE-24-10-01-G/standard-unit-rates/</x:v>
      </x:c>
    </x:row>
    <x:row r="688" ht="21" customHeight="1">
      <x:c r="A688" s="24" t="n">
        <x:v>46162.833333333336</x:v>
      </x:c>
      <x:c r="B688" s="6" t="n">
        <x:v>0.2486</x:v>
      </x:c>
      <x:c r="C688" s="6" t="n">
        <x:v>0.1399</x:v>
      </x:c>
      <x:c r="D688" s="6" t="n">
        <x:f>'Tariff and method'!$B$4</x:f>
        <x:v>0.2226</x:v>
      </x:c>
      <x:c r="E688" s="1" t="n">
        <x:v>1.05</x:v>
      </x:c>
      <x:c r="F688" s="1" t="str">
        <x:v>https://api.octopus.energy/v1/products/AGILE-24-10-01/electricity-tariffs/E-1R-AGILE-24-10-01-G/standard-unit-rates/</x:v>
      </x:c>
    </x:row>
    <x:row r="689" ht="21" customHeight="1">
      <x:c r="A689" s="24" t="n">
        <x:v>46162.854166666664</x:v>
      </x:c>
      <x:c r="B689" s="6" t="n">
        <x:v>0.2585</x:v>
      </x:c>
      <x:c r="C689" s="6" t="n">
        <x:v>0.1444</x:v>
      </x:c>
      <x:c r="D689" s="6" t="n">
        <x:f>'Tariff and method'!$B$4</x:f>
        <x:v>0.2226</x:v>
      </x:c>
      <x:c r="E689" s="1" t="n">
        <x:v>1.05</x:v>
      </x:c>
      <x:c r="F689" s="1" t="str">
        <x:v>https://api.octopus.energy/v1/products/AGILE-24-10-01/electricity-tariffs/E-1R-AGILE-24-10-01-G/standard-unit-rates/</x:v>
      </x:c>
    </x:row>
    <x:row r="690" ht="21" customHeight="1">
      <x:c r="A690" s="24" t="n">
        <x:v>46162.875</x:v>
      </x:c>
      <x:c r="B690" s="6" t="n">
        <x:v>0.2507</x:v>
      </x:c>
      <x:c r="C690" s="6" t="n">
        <x:v>0.1409</x:v>
      </x:c>
      <x:c r="D690" s="6" t="n">
        <x:f>'Tariff and method'!$B$4</x:f>
        <x:v>0.2226</x:v>
      </x:c>
      <x:c r="E690" s="1" t="n">
        <x:v>1.05</x:v>
      </x:c>
      <x:c r="F690" s="1" t="str">
        <x:v>https://api.octopus.energy/v1/products/AGILE-24-10-01/electricity-tariffs/E-1R-AGILE-24-10-01-G/standard-unit-rates/</x:v>
      </x:c>
    </x:row>
    <x:row r="691" ht="21" customHeight="1">
      <x:c r="A691" s="24" t="n">
        <x:v>46162.895833333336</x:v>
      </x:c>
      <x:c r="B691" s="6" t="n">
        <x:v>0.24969999999999998</x:v>
      </x:c>
      <x:c r="C691" s="6" t="n">
        <x:v>0.1404</x:v>
      </x:c>
      <x:c r="D691" s="6" t="n">
        <x:f>'Tariff and method'!$B$4</x:f>
        <x:v>0.2226</x:v>
      </x:c>
      <x:c r="E691" s="1" t="n">
        <x:v>1.05</x:v>
      </x:c>
      <x:c r="F691" s="1" t="str">
        <x:v>https://api.octopus.energy/v1/products/AGILE-24-10-01/electricity-tariffs/E-1R-AGILE-24-10-01-G/standard-unit-rates/</x:v>
      </x:c>
    </x:row>
    <x:row r="692" ht="21" customHeight="1">
      <x:c r="A692" s="24" t="n">
        <x:v>46162.916666666664</x:v>
      </x:c>
      <x:c r="B692" s="6" t="n">
        <x:v>0.2361</x:v>
      </x:c>
      <x:c r="C692" s="6" t="n">
        <x:v>0.13419999999999999</x:v>
      </x:c>
      <x:c r="D692" s="6" t="n">
        <x:f>'Tariff and method'!$B$4</x:f>
        <x:v>0.2226</x:v>
      </x:c>
      <x:c r="E692" s="1" t="n">
        <x:v>1.05</x:v>
      </x:c>
      <x:c r="F692" s="1" t="str">
        <x:v>https://api.octopus.energy/v1/products/AGILE-24-10-01/electricity-tariffs/E-1R-AGILE-24-10-01-G/standard-unit-rates/</x:v>
      </x:c>
    </x:row>
    <x:row r="693" ht="21" customHeight="1">
      <x:c r="A693" s="24" t="n">
        <x:v>46162.9375</x:v>
      </x:c>
      <x:c r="B693" s="6" t="n">
        <x:v>0.20489999999999997</x:v>
      </x:c>
      <x:c r="C693" s="6" t="n">
        <x:v>0.1199</x:v>
      </x:c>
      <x:c r="D693" s="6" t="n">
        <x:f>'Tariff and method'!$B$4</x:f>
        <x:v>0.2226</x:v>
      </x:c>
      <x:c r="E693" s="1" t="n">
        <x:v>1.05</x:v>
      </x:c>
      <x:c r="F693" s="1" t="str">
        <x:v>https://api.octopus.energy/v1/products/AGILE-24-10-01/electricity-tariffs/E-1R-AGILE-24-10-01-G/standard-unit-rates/</x:v>
      </x:c>
    </x:row>
    <x:row r="694" ht="21" customHeight="1">
      <x:c r="A694" s="24" t="n">
        <x:v>46163</x:v>
      </x:c>
      <x:c r="B694" s="6" t="n">
        <x:v>0.2102</x:v>
      </x:c>
      <x:c r="C694" s="6" t="n">
        <x:v>0.12240000000000001</x:v>
      </x:c>
      <x:c r="D694" s="6" t="n">
        <x:f>'Tariff and method'!$B$4</x:f>
        <x:v>0.2226</x:v>
      </x:c>
      <x:c r="E694" s="1" t="n">
        <x:v>1.05</x:v>
      </x:c>
      <x:c r="F694" s="1" t="str">
        <x:v>https://api.octopus.energy/v1/products/AGILE-24-10-01/electricity-tariffs/E-1R-AGILE-24-10-01-G/standard-unit-rates/</x:v>
      </x:c>
    </x:row>
    <x:row r="695" ht="21" customHeight="1">
      <x:c r="A695" s="24" t="n">
        <x:v>46162.979166666664</x:v>
      </x:c>
      <x:c r="B695" s="6" t="n">
        <x:v>0.2075</x:v>
      </x:c>
      <x:c r="C695" s="6" t="n">
        <x:v>0.1211</x:v>
      </x:c>
      <x:c r="D695" s="6" t="n">
        <x:f>'Tariff and method'!$B$4</x:f>
        <x:v>0.2226</x:v>
      </x:c>
      <x:c r="E695" s="1" t="n">
        <x:v>1.05</x:v>
      </x:c>
      <x:c r="F695" s="1" t="str">
        <x:v>https://api.octopus.energy/v1/products/AGILE-24-10-01/electricity-tariffs/E-1R-AGILE-24-10-01-G/standard-unit-rates/</x:v>
      </x:c>
    </x:row>
    <x:row r="696" ht="21" customHeight="1">
      <x:c r="A696" s="24" t="n">
        <x:v>46163</x:v>
      </x:c>
      <x:c r="B696" s="6" t="n">
        <x:v>0.19699999999999998</x:v>
      </x:c>
      <x:c r="C696" s="6" t="n">
        <x:v>0.11630000000000001</x:v>
      </x:c>
      <x:c r="D696" s="6" t="n">
        <x:f>'Tariff and method'!$B$4</x:f>
        <x:v>0.2226</x:v>
      </x:c>
      <x:c r="E696" s="1" t="n">
        <x:v>1.05</x:v>
      </x:c>
      <x:c r="F696" s="1" t="str">
        <x:v>https://api.octopus.energy/v1/products/AGILE-24-10-01/electricity-tariffs/E-1R-AGILE-24-10-01-G/standard-unit-rates/</x:v>
      </x:c>
    </x:row>
    <x:row r="697" ht="21" customHeight="1">
      <x:c r="A697" s="24" t="n">
        <x:v>46163.020833333336</x:v>
      </x:c>
      <x:c r="B697" s="6" t="n">
        <x:v>0.1906</x:v>
      </x:c>
      <x:c r="C697" s="6" t="n">
        <x:v>0.1134</x:v>
      </x:c>
      <x:c r="D697" s="6" t="n">
        <x:f>'Tariff and method'!$B$4</x:f>
        <x:v>0.2226</x:v>
      </x:c>
      <x:c r="E697" s="1" t="n">
        <x:v>1.05</x:v>
      </x:c>
      <x:c r="F697" s="1" t="str">
        <x:v>https://api.octopus.energy/v1/products/AGILE-24-10-01/electricity-tariffs/E-1R-AGILE-24-10-01-G/standard-unit-rates/</x:v>
      </x:c>
    </x:row>
    <x:row r="698" ht="21" customHeight="1">
      <x:c r="A698" s="24" t="n">
        <x:v>46163.041666666664</x:v>
      </x:c>
      <x:c r="B698" s="6" t="n">
        <x:v>0.18239999999999998</x:v>
      </x:c>
      <x:c r="C698" s="6" t="n">
        <x:v>0.1097</x:v>
      </x:c>
      <x:c r="D698" s="6" t="n">
        <x:f>'Tariff and method'!$B$4</x:f>
        <x:v>0.2226</x:v>
      </x:c>
      <x:c r="E698" s="1" t="n">
        <x:v>1.05</x:v>
      </x:c>
      <x:c r="F698" s="1" t="str">
        <x:v>https://api.octopus.energy/v1/products/AGILE-24-10-01/electricity-tariffs/E-1R-AGILE-24-10-01-G/standard-unit-rates/</x:v>
      </x:c>
    </x:row>
    <x:row r="699" ht="21" customHeight="1">
      <x:c r="A699" s="24" t="n">
        <x:v>46163.0625</x:v>
      </x:c>
      <x:c r="B699" s="6" t="n">
        <x:v>0.1841</x:v>
      </x:c>
      <x:c r="C699" s="6" t="n">
        <x:v>0.1104</x:v>
      </x:c>
      <x:c r="D699" s="6" t="n">
        <x:f>'Tariff and method'!$B$4</x:f>
        <x:v>0.2226</x:v>
      </x:c>
      <x:c r="E699" s="1" t="n">
        <x:v>1.05</x:v>
      </x:c>
      <x:c r="F699" s="1" t="str">
        <x:v>https://api.octopus.energy/v1/products/AGILE-24-10-01/electricity-tariffs/E-1R-AGILE-24-10-01-G/standard-unit-rates/</x:v>
      </x:c>
    </x:row>
    <x:row r="700" ht="21" customHeight="1">
      <x:c r="A700" s="24" t="n">
        <x:v>46163.083333333336</x:v>
      </x:c>
      <x:c r="B700" s="6" t="n">
        <x:v>0.1804</x:v>
      </x:c>
      <x:c r="C700" s="6" t="n">
        <x:v>0.10880000000000001</x:v>
      </x:c>
      <x:c r="D700" s="6" t="n">
        <x:f>'Tariff and method'!$B$4</x:f>
        <x:v>0.2226</x:v>
      </x:c>
      <x:c r="E700" s="1" t="n">
        <x:v>1.05</x:v>
      </x:c>
      <x:c r="F700" s="1" t="str">
        <x:v>https://api.octopus.energy/v1/products/AGILE-24-10-01/electricity-tariffs/E-1R-AGILE-24-10-01-G/standard-unit-rates/</x:v>
      </x:c>
    </x:row>
    <x:row r="701" ht="21" customHeight="1">
      <x:c r="A701" s="24" t="n">
        <x:v>46163.104166666664</x:v>
      </x:c>
      <x:c r="B701" s="6" t="n">
        <x:v>0.1787</x:v>
      </x:c>
      <x:c r="C701" s="6" t="n">
        <x:v>0.10800000000000001</x:v>
      </x:c>
      <x:c r="D701" s="6" t="n">
        <x:f>'Tariff and method'!$B$4</x:f>
        <x:v>0.2226</x:v>
      </x:c>
      <x:c r="E701" s="1" t="n">
        <x:v>1.05</x:v>
      </x:c>
      <x:c r="F701" s="1" t="str">
        <x:v>https://api.octopus.energy/v1/products/AGILE-24-10-01/electricity-tariffs/E-1R-AGILE-24-10-01-G/standard-unit-rates/</x:v>
      </x:c>
    </x:row>
    <x:row r="702" ht="21" customHeight="1">
      <x:c r="A702" s="24" t="n">
        <x:v>46163.125</x:v>
      </x:c>
      <x:c r="B702" s="6" t="n">
        <x:v>0.18469999999999998</x:v>
      </x:c>
      <x:c r="C702" s="6" t="n">
        <x:v>0.1107</x:v>
      </x:c>
      <x:c r="D702" s="6" t="n">
        <x:f>'Tariff and method'!$B$4</x:f>
        <x:v>0.2226</x:v>
      </x:c>
      <x:c r="E702" s="1" t="n">
        <x:v>1.05</x:v>
      </x:c>
      <x:c r="F702" s="1" t="str">
        <x:v>https://api.octopus.energy/v1/products/AGILE-24-10-01/electricity-tariffs/E-1R-AGILE-24-10-01-G/standard-unit-rates/</x:v>
      </x:c>
    </x:row>
    <x:row r="703" ht="21" customHeight="1">
      <x:c r="A703" s="24" t="n">
        <x:v>46163.145833333336</x:v>
      </x:c>
      <x:c r="B703" s="6" t="n">
        <x:v>0.1812</x:v>
      </x:c>
      <x:c r="C703" s="6" t="n">
        <x:v>0.1091</x:v>
      </x:c>
      <x:c r="D703" s="6" t="n">
        <x:f>'Tariff and method'!$B$4</x:f>
        <x:v>0.2226</x:v>
      </x:c>
      <x:c r="E703" s="1" t="n">
        <x:v>1.05</x:v>
      </x:c>
      <x:c r="F703" s="1" t="str">
        <x:v>https://api.octopus.energy/v1/products/AGILE-24-10-01/electricity-tariffs/E-1R-AGILE-24-10-01-G/standard-unit-rates/</x:v>
      </x:c>
    </x:row>
    <x:row r="704" ht="21" customHeight="1">
      <x:c r="A704" s="24" t="n">
        <x:v>46163.166666666664</x:v>
      </x:c>
      <x:c r="B704" s="6" t="n">
        <x:v>0.19</x:v>
      </x:c>
      <x:c r="C704" s="6" t="n">
        <x:v>0.1131</x:v>
      </x:c>
      <x:c r="D704" s="6" t="n">
        <x:f>'Tariff and method'!$B$4</x:f>
        <x:v>0.2226</x:v>
      </x:c>
      <x:c r="E704" s="1" t="n">
        <x:v>1.05</x:v>
      </x:c>
      <x:c r="F704" s="1" t="str">
        <x:v>https://api.octopus.energy/v1/products/AGILE-24-10-01/electricity-tariffs/E-1R-AGILE-24-10-01-G/standard-unit-rates/</x:v>
      </x:c>
    </x:row>
    <x:row r="705" ht="21" customHeight="1">
      <x:c r="A705" s="24" t="n">
        <x:v>46163.1875</x:v>
      </x:c>
      <x:c r="B705" s="6" t="n">
        <x:v>0.1857</x:v>
      </x:c>
      <x:c r="C705" s="6" t="n">
        <x:v>0.1112</x:v>
      </x:c>
      <x:c r="D705" s="6" t="n">
        <x:f>'Tariff and method'!$B$4</x:f>
        <x:v>0.2226</x:v>
      </x:c>
      <x:c r="E705" s="1" t="n">
        <x:v>1.05</x:v>
      </x:c>
      <x:c r="F705" s="1" t="str">
        <x:v>https://api.octopus.energy/v1/products/AGILE-24-10-01/electricity-tariffs/E-1R-AGILE-24-10-01-G/standard-unit-rates/</x:v>
      </x:c>
    </x:row>
    <x:row r="706" ht="21" customHeight="1">
      <x:c r="A706" s="24" t="n">
        <x:v>46163.208333333336</x:v>
      </x:c>
      <x:c r="B706" s="6" t="n">
        <x:v>0.2096</x:v>
      </x:c>
      <x:c r="C706" s="6" t="n">
        <x:v>0.12210000000000001</x:v>
      </x:c>
      <x:c r="D706" s="6" t="n">
        <x:f>'Tariff and method'!$B$4</x:f>
        <x:v>0.2226</x:v>
      </x:c>
      <x:c r="E706" s="1" t="n">
        <x:v>1.05</x:v>
      </x:c>
      <x:c r="F706" s="1" t="str">
        <x:v>https://api.octopus.energy/v1/products/AGILE-24-10-01/electricity-tariffs/E-1R-AGILE-24-10-01-G/standard-unit-rates/</x:v>
      </x:c>
    </x:row>
    <x:row r="707" ht="21" customHeight="1">
      <x:c r="A707" s="24" t="n">
        <x:v>46163.229166666664</x:v>
      </x:c>
      <x:c r="B707" s="6" t="n">
        <x:v>0.1996</x:v>
      </x:c>
      <x:c r="C707" s="6" t="n">
        <x:v>0.1175</x:v>
      </x:c>
      <x:c r="D707" s="6" t="n">
        <x:f>'Tariff and method'!$B$4</x:f>
        <x:v>0.2226</x:v>
      </x:c>
      <x:c r="E707" s="1" t="n">
        <x:v>1.05</x:v>
      </x:c>
      <x:c r="F707" s="1" t="str">
        <x:v>https://api.octopus.energy/v1/products/AGILE-24-10-01/electricity-tariffs/E-1R-AGILE-24-10-01-G/standard-unit-rates/</x:v>
      </x:c>
    </x:row>
    <x:row r="708" ht="21" customHeight="1">
      <x:c r="A708" s="24" t="n">
        <x:v>46163.25</x:v>
      </x:c>
      <x:c r="B708" s="6" t="n">
        <x:v>0.2122</x:v>
      </x:c>
      <x:c r="C708" s="6" t="n">
        <x:v>0.1233</x:v>
      </x:c>
      <x:c r="D708" s="6" t="n">
        <x:f>'Tariff and method'!$B$4</x:f>
        <x:v>0.2226</x:v>
      </x:c>
      <x:c r="E708" s="1" t="n">
        <x:v>1.05</x:v>
      </x:c>
      <x:c r="F708" s="1" t="str">
        <x:v>https://api.octopus.energy/v1/products/AGILE-24-10-01/electricity-tariffs/E-1R-AGILE-24-10-01-G/standard-unit-rates/</x:v>
      </x:c>
    </x:row>
    <x:row r="709" ht="21" customHeight="1">
      <x:c r="A709" s="24" t="n">
        <x:v>46163.270833333336</x:v>
      </x:c>
      <x:c r="B709" s="6" t="n">
        <x:v>0.2285</x:v>
      </x:c>
      <x:c r="C709" s="6" t="n">
        <x:v>0.1307</x:v>
      </x:c>
      <x:c r="D709" s="6" t="n">
        <x:f>'Tariff and method'!$B$4</x:f>
        <x:v>0.2226</x:v>
      </x:c>
      <x:c r="E709" s="1" t="n">
        <x:v>1.05</x:v>
      </x:c>
      <x:c r="F709" s="1" t="str">
        <x:v>https://api.octopus.energy/v1/products/AGILE-24-10-01/electricity-tariffs/E-1R-AGILE-24-10-01-G/standard-unit-rates/</x:v>
      </x:c>
    </x:row>
    <x:row r="710" ht="21" customHeight="1">
      <x:c r="A710" s="24" t="n">
        <x:v>46163.291666666664</x:v>
      </x:c>
      <x:c r="B710" s="6" t="n">
        <x:v>0.2253</x:v>
      </x:c>
      <x:c r="C710" s="6" t="n">
        <x:v>0.1293</x:v>
      </x:c>
      <x:c r="D710" s="6" t="n">
        <x:f>'Tariff and method'!$B$4</x:f>
        <x:v>0.2226</x:v>
      </x:c>
      <x:c r="E710" s="1" t="n">
        <x:v>1.05</x:v>
      </x:c>
      <x:c r="F710" s="1" t="str">
        <x:v>https://api.octopus.energy/v1/products/AGILE-24-10-01/electricity-tariffs/E-1R-AGILE-24-10-01-G/standard-unit-rates/</x:v>
      </x:c>
    </x:row>
    <x:row r="711" ht="21" customHeight="1">
      <x:c r="A711" s="24" t="n">
        <x:v>46163.3125</x:v>
      </x:c>
      <x:c r="B711" s="6" t="n">
        <x:v>0.2306</x:v>
      </x:c>
      <x:c r="C711" s="6" t="n">
        <x:v>0.1317</x:v>
      </x:c>
      <x:c r="D711" s="6" t="n">
        <x:f>'Tariff and method'!$B$4</x:f>
        <x:v>0.2226</x:v>
      </x:c>
      <x:c r="E711" s="1" t="n">
        <x:v>1.05</x:v>
      </x:c>
      <x:c r="F711" s="1" t="str">
        <x:v>https://api.octopus.energy/v1/products/AGILE-24-10-01/electricity-tariffs/E-1R-AGILE-24-10-01-G/standard-unit-rates/</x:v>
      </x:c>
    </x:row>
    <x:row r="712" ht="21" customHeight="1">
      <x:c r="A712" s="24" t="n">
        <x:v>46163.333333333336</x:v>
      </x:c>
      <x:c r="B712" s="6" t="n">
        <x:v>0.23120000000000002</x:v>
      </x:c>
      <x:c r="C712" s="6" t="n">
        <x:v>0.132</x:v>
      </x:c>
      <x:c r="D712" s="6" t="n">
        <x:f>'Tariff and method'!$B$4</x:f>
        <x:v>0.2226</x:v>
      </x:c>
      <x:c r="E712" s="1" t="n">
        <x:v>1.05</x:v>
      </x:c>
      <x:c r="F712" s="1" t="str">
        <x:v>https://api.octopus.energy/v1/products/AGILE-24-10-01/electricity-tariffs/E-1R-AGILE-24-10-01-G/standard-unit-rates/</x:v>
      </x:c>
    </x:row>
    <x:row r="713" ht="21" customHeight="1">
      <x:c r="A713" s="24" t="n">
        <x:v>46163.354166666664</x:v>
      </x:c>
      <x:c r="B713" s="6" t="n">
        <x:v>0.23370000000000002</x:v>
      </x:c>
      <x:c r="C713" s="6" t="n">
        <x:v>0.1331</x:v>
      </x:c>
      <x:c r="D713" s="6" t="n">
        <x:f>'Tariff and method'!$B$4</x:f>
        <x:v>0.2226</x:v>
      </x:c>
      <x:c r="E713" s="1" t="n">
        <x:v>1.05</x:v>
      </x:c>
      <x:c r="F713" s="1" t="str">
        <x:v>https://api.octopus.energy/v1/products/AGILE-24-10-01/electricity-tariffs/E-1R-AGILE-24-10-01-G/standard-unit-rates/</x:v>
      </x:c>
    </x:row>
    <x:row r="714" ht="21" customHeight="1">
      <x:c r="A714" s="24" t="n">
        <x:v>46163.375</x:v>
      </x:c>
      <x:c r="B714" s="6" t="n">
        <x:v>0.23260000000000003</x:v>
      </x:c>
      <x:c r="C714" s="6" t="n">
        <x:v>0.1326</x:v>
      </x:c>
      <x:c r="D714" s="6" t="n">
        <x:f>'Tariff and method'!$B$4</x:f>
        <x:v>0.2226</x:v>
      </x:c>
      <x:c r="E714" s="1" t="n">
        <x:v>1.05</x:v>
      </x:c>
      <x:c r="F714" s="1" t="str">
        <x:v>https://api.octopus.energy/v1/products/AGILE-24-10-01/electricity-tariffs/E-1R-AGILE-24-10-01-G/standard-unit-rates/</x:v>
      </x:c>
    </x:row>
    <x:row r="715" ht="21" customHeight="1">
      <x:c r="A715" s="24" t="n">
        <x:v>46163.395833333336</x:v>
      </x:c>
      <x:c r="B715" s="6" t="n">
        <x:v>0.2186</x:v>
      </x:c>
      <x:c r="C715" s="6" t="n">
        <x:v>0.12619999999999998</x:v>
      </x:c>
      <x:c r="D715" s="6" t="n">
        <x:f>'Tariff and method'!$B$4</x:f>
        <x:v>0.2226</x:v>
      </x:c>
      <x:c r="E715" s="1" t="n">
        <x:v>1.05</x:v>
      </x:c>
      <x:c r="F715" s="1" t="str">
        <x:v>https://api.octopus.energy/v1/products/AGILE-24-10-01/electricity-tariffs/E-1R-AGILE-24-10-01-G/standard-unit-rates/</x:v>
      </x:c>
    </x:row>
    <x:row r="716" ht="21" customHeight="1">
      <x:c r="A716" s="24" t="n">
        <x:v>46163.416666666664</x:v>
      </x:c>
      <x:c r="B716" s="6" t="n">
        <x:v>0.2018</x:v>
      </x:c>
      <x:c r="C716" s="6" t="n">
        <x:v>0.1185</x:v>
      </x:c>
      <x:c r="D716" s="6" t="n">
        <x:f>'Tariff and method'!$B$4</x:f>
        <x:v>0.2226</x:v>
      </x:c>
      <x:c r="E716" s="1" t="n">
        <x:v>1.05</x:v>
      </x:c>
      <x:c r="F716" s="1" t="str">
        <x:v>https://api.octopus.energy/v1/products/AGILE-24-10-01/electricity-tariffs/E-1R-AGILE-24-10-01-G/standard-unit-rates/</x:v>
      </x:c>
    </x:row>
    <x:row r="717" ht="21" customHeight="1">
      <x:c r="A717" s="24" t="n">
        <x:v>46163.4375</x:v>
      </x:c>
      <x:c r="B717" s="6" t="n">
        <x:v>0.2002</x:v>
      </x:c>
      <x:c r="C717" s="6" t="n">
        <x:v>0.11779999999999999</x:v>
      </x:c>
      <x:c r="D717" s="6" t="n">
        <x:f>'Tariff and method'!$B$4</x:f>
        <x:v>0.2226</x:v>
      </x:c>
      <x:c r="E717" s="1" t="n">
        <x:v>1.05</x:v>
      </x:c>
      <x:c r="F717" s="1" t="str">
        <x:v>https://api.octopus.energy/v1/products/AGILE-24-10-01/electricity-tariffs/E-1R-AGILE-24-10-01-G/standard-unit-rates/</x:v>
      </x:c>
    </x:row>
    <x:row r="718" ht="21" customHeight="1">
      <x:c r="A718" s="24" t="n">
        <x:v>46163.458333333336</x:v>
      </x:c>
      <x:c r="B718" s="6" t="n">
        <x:v>0.20010000000000003</x:v>
      </x:c>
      <x:c r="C718" s="6" t="n">
        <x:v>0.11779999999999999</x:v>
      </x:c>
      <x:c r="D718" s="6" t="n">
        <x:f>'Tariff and method'!$B$4</x:f>
        <x:v>0.2226</x:v>
      </x:c>
      <x:c r="E718" s="1" t="n">
        <x:v>1.05</x:v>
      </x:c>
      <x:c r="F718" s="1" t="str">
        <x:v>https://api.octopus.energy/v1/products/AGILE-24-10-01/electricity-tariffs/E-1R-AGILE-24-10-01-G/standard-unit-rates/</x:v>
      </x:c>
    </x:row>
    <x:row r="719" ht="21" customHeight="1">
      <x:c r="A719" s="24" t="n">
        <x:v>46163.479166666664</x:v>
      </x:c>
      <x:c r="B719" s="6" t="n">
        <x:v>0.19760000000000003</x:v>
      </x:c>
      <x:c r="C719" s="6" t="n">
        <x:v>0.1166</x:v>
      </x:c>
      <x:c r="D719" s="6" t="n">
        <x:f>'Tariff and method'!$B$4</x:f>
        <x:v>0.2226</x:v>
      </x:c>
      <x:c r="E719" s="1" t="n">
        <x:v>1.05</x:v>
      </x:c>
      <x:c r="F719" s="1" t="str">
        <x:v>https://api.octopus.energy/v1/products/AGILE-24-10-01/electricity-tariffs/E-1R-AGILE-24-10-01-G/standard-unit-rates/</x:v>
      </x:c>
    </x:row>
    <x:row r="720" ht="21" customHeight="1">
      <x:c r="A720" s="24" t="n">
        <x:v>46163.5</x:v>
      </x:c>
      <x:c r="B720" s="6" t="n">
        <x:v>0.1787</x:v>
      </x:c>
      <x:c r="C720" s="6" t="n">
        <x:v>0.10800000000000001</x:v>
      </x:c>
      <x:c r="D720" s="6" t="n">
        <x:f>'Tariff and method'!$B$4</x:f>
        <x:v>0.2226</x:v>
      </x:c>
      <x:c r="E720" s="1" t="n">
        <x:v>1.05</x:v>
      </x:c>
      <x:c r="F720" s="1" t="str">
        <x:v>https://api.octopus.energy/v1/products/AGILE-24-10-01/electricity-tariffs/E-1R-AGILE-24-10-01-G/standard-unit-rates/</x:v>
      </x:c>
    </x:row>
    <x:row r="721" ht="21" customHeight="1">
      <x:c r="A721" s="24" t="n">
        <x:v>46163.520833333336</x:v>
      </x:c>
      <x:c r="B721" s="6" t="n">
        <x:v>0.17489999999999997</x:v>
      </x:c>
      <x:c r="C721" s="6" t="n">
        <x:v>0.10619999999999999</x:v>
      </x:c>
      <x:c r="D721" s="6" t="n">
        <x:f>'Tariff and method'!$B$4</x:f>
        <x:v>0.2226</x:v>
      </x:c>
      <x:c r="E721" s="1" t="n">
        <x:v>1.05</x:v>
      </x:c>
      <x:c r="F721" s="1" t="str">
        <x:v>https://api.octopus.energy/v1/products/AGILE-24-10-01/electricity-tariffs/E-1R-AGILE-24-10-01-G/standard-unit-rates/</x:v>
      </x:c>
    </x:row>
    <x:row r="722" ht="21" customHeight="1">
      <x:c r="A722" s="24" t="n">
        <x:v>46163.541666666664</x:v>
      </x:c>
      <x:c r="B722" s="6" t="n">
        <x:v>0.1778</x:v>
      </x:c>
      <x:c r="C722" s="6" t="n">
        <x:v>0.1076</x:v>
      </x:c>
      <x:c r="D722" s="6" t="n">
        <x:f>'Tariff and method'!$B$4</x:f>
        <x:v>0.2226</x:v>
      </x:c>
      <x:c r="E722" s="1" t="n">
        <x:v>1.05</x:v>
      </x:c>
      <x:c r="F722" s="1" t="str">
        <x:v>https://api.octopus.energy/v1/products/AGILE-24-10-01/electricity-tariffs/E-1R-AGILE-24-10-01-G/standard-unit-rates/</x:v>
      </x:c>
    </x:row>
    <x:row r="723" ht="21" customHeight="1">
      <x:c r="A723" s="24" t="n">
        <x:v>46163.5625</x:v>
      </x:c>
      <x:c r="B723" s="6" t="n">
        <x:v>0.16399999999999998</x:v>
      </x:c>
      <x:c r="C723" s="6" t="n">
        <x:v>0.1013</x:v>
      </x:c>
      <x:c r="D723" s="6" t="n">
        <x:f>'Tariff and method'!$B$4</x:f>
        <x:v>0.2226</x:v>
      </x:c>
      <x:c r="E723" s="1" t="n">
        <x:v>1.05</x:v>
      </x:c>
      <x:c r="F723" s="1" t="str">
        <x:v>https://api.octopus.energy/v1/products/AGILE-24-10-01/electricity-tariffs/E-1R-AGILE-24-10-01-G/standard-unit-rates/</x:v>
      </x:c>
    </x:row>
    <x:row r="724" ht="21" customHeight="1">
      <x:c r="A724" s="24" t="n">
        <x:v>46163.583333333336</x:v>
      </x:c>
      <x:c r="B724" s="6" t="n">
        <x:v>0.1677</x:v>
      </x:c>
      <x:c r="C724" s="6" t="n">
        <x:v>0.10289999999999999</x:v>
      </x:c>
      <x:c r="D724" s="6" t="n">
        <x:f>'Tariff and method'!$B$4</x:f>
        <x:v>0.2226</x:v>
      </x:c>
      <x:c r="E724" s="1" t="n">
        <x:v>1.05</x:v>
      </x:c>
      <x:c r="F724" s="1" t="str">
        <x:v>https://api.octopus.energy/v1/products/AGILE-24-10-01/electricity-tariffs/E-1R-AGILE-24-10-01-G/standard-unit-rates/</x:v>
      </x:c>
    </x:row>
    <x:row r="725" ht="21" customHeight="1">
      <x:c r="A725" s="24" t="n">
        <x:v>46163.604166666664</x:v>
      </x:c>
      <x:c r="B725" s="6" t="n">
        <x:v>0.16870000000000002</x:v>
      </x:c>
      <x:c r="C725" s="6" t="n">
        <x:v>0.10339999999999999</x:v>
      </x:c>
      <x:c r="D725" s="6" t="n">
        <x:f>'Tariff and method'!$B$4</x:f>
        <x:v>0.2226</x:v>
      </x:c>
      <x:c r="E725" s="1" t="n">
        <x:v>1.05</x:v>
      </x:c>
      <x:c r="F725" s="1" t="str">
        <x:v>https://api.octopus.energy/v1/products/AGILE-24-10-01/electricity-tariffs/E-1R-AGILE-24-10-01-G/standard-unit-rates/</x:v>
      </x:c>
    </x:row>
    <x:row r="726" ht="21" customHeight="1">
      <x:c r="A726" s="24" t="n">
        <x:v>46163.625</x:v>
      </x:c>
      <x:c r="B726" s="6" t="n">
        <x:v>0.1617</x:v>
      </x:c>
      <x:c r="C726" s="6" t="n">
        <x:v>0.1002</x:v>
      </x:c>
      <x:c r="D726" s="6" t="n">
        <x:f>'Tariff and method'!$B$4</x:f>
        <x:v>0.2226</x:v>
      </x:c>
      <x:c r="E726" s="1" t="n">
        <x:v>1.05</x:v>
      </x:c>
      <x:c r="F726" s="1" t="str">
        <x:v>https://api.octopus.energy/v1/products/AGILE-24-10-01/electricity-tariffs/E-1R-AGILE-24-10-01-G/standard-unit-rates/</x:v>
      </x:c>
    </x:row>
    <x:row r="727" ht="21" customHeight="1">
      <x:c r="A727" s="24" t="n">
        <x:v>46163.645833333336</x:v>
      </x:c>
      <x:c r="B727" s="6" t="n">
        <x:v>0.1745</x:v>
      </x:c>
      <x:c r="C727" s="6" t="n">
        <x:v>0.106</x:v>
      </x:c>
      <x:c r="D727" s="6" t="n">
        <x:f>'Tariff and method'!$B$4</x:f>
        <x:v>0.2226</x:v>
      </x:c>
      <x:c r="E727" s="1" t="n">
        <x:v>1.05</x:v>
      </x:c>
      <x:c r="F727" s="1" t="str">
        <x:v>https://api.octopus.energy/v1/products/AGILE-24-10-01/electricity-tariffs/E-1R-AGILE-24-10-01-G/standard-unit-rates/</x:v>
      </x:c>
    </x:row>
    <x:row r="728" ht="21" customHeight="1">
      <x:c r="A728" s="24" t="n">
        <x:v>46163.666666666664</x:v>
      </x:c>
      <x:c r="B728" s="6" t="n">
        <x:v>0.2932</x:v>
      </x:c>
      <x:c r="C728" s="6" t="n">
        <x:v>0.16440000000000002</x:v>
      </x:c>
      <x:c r="D728" s="6" t="n">
        <x:f>'Tariff and method'!$B$4</x:f>
        <x:v>0.2226</x:v>
      </x:c>
      <x:c r="E728" s="1" t="n">
        <x:v>1.05</x:v>
      </x:c>
      <x:c r="F728" s="1" t="str">
        <x:v>https://api.octopus.energy/v1/products/AGILE-24-10-01/electricity-tariffs/E-1R-AGILE-24-10-01-G/standard-unit-rates/</x:v>
      </x:c>
    </x:row>
    <x:row r="729" ht="21" customHeight="1">
      <x:c r="A729" s="24" t="n">
        <x:v>46163.6875</x:v>
      </x:c>
      <x:c r="B729" s="6" t="n">
        <x:v>0.3166</x:v>
      </x:c>
      <x:c r="C729" s="6" t="n">
        <x:v>0.175</x:v>
      </x:c>
      <x:c r="D729" s="6" t="n">
        <x:f>'Tariff and method'!$B$4</x:f>
        <x:v>0.2226</x:v>
      </x:c>
      <x:c r="E729" s="1" t="n">
        <x:v>1.05</x:v>
      </x:c>
      <x:c r="F729" s="1" t="str">
        <x:v>https://api.octopus.energy/v1/products/AGILE-24-10-01/electricity-tariffs/E-1R-AGILE-24-10-01-G/standard-unit-rates/</x:v>
      </x:c>
    </x:row>
    <x:row r="730" ht="21" customHeight="1">
      <x:c r="A730" s="24" t="n">
        <x:v>46163.708333333336</x:v>
      </x:c>
      <x:c r="B730" s="6" t="n">
        <x:v>0.3218</x:v>
      </x:c>
      <x:c r="C730" s="6" t="n">
        <x:v>0.17739999999999997</x:v>
      </x:c>
      <x:c r="D730" s="6" t="n">
        <x:f>'Tariff and method'!$B$4</x:f>
        <x:v>0.2226</x:v>
      </x:c>
      <x:c r="E730" s="1" t="n">
        <x:v>1.05</x:v>
      </x:c>
      <x:c r="F730" s="1" t="str">
        <x:v>https://api.octopus.energy/v1/products/AGILE-24-10-01/electricity-tariffs/E-1R-AGILE-24-10-01-G/standard-unit-rates/</x:v>
      </x:c>
    </x:row>
    <x:row r="731" ht="21" customHeight="1">
      <x:c r="A731" s="24" t="n">
        <x:v>46163.729166666664</x:v>
      </x:c>
      <x:c r="B731" s="6" t="n">
        <x:v>0.3176</x:v>
      </x:c>
      <x:c r="C731" s="6" t="n">
        <x:v>0.17550000000000002</x:v>
      </x:c>
      <x:c r="D731" s="6" t="n">
        <x:f>'Tariff and method'!$B$4</x:f>
        <x:v>0.2226</x:v>
      </x:c>
      <x:c r="E731" s="1" t="n">
        <x:v>1.05</x:v>
      </x:c>
      <x:c r="F731" s="1" t="str">
        <x:v>https://api.octopus.energy/v1/products/AGILE-24-10-01/electricity-tariffs/E-1R-AGILE-24-10-01-G/standard-unit-rates/</x:v>
      </x:c>
    </x:row>
    <x:row r="732" ht="21" customHeight="1">
      <x:c r="A732" s="24" t="n">
        <x:v>46163.75</x:v>
      </x:c>
      <x:c r="B732" s="6" t="n">
        <x:v>0.34869999999999995</x:v>
      </x:c>
      <x:c r="C732" s="6" t="n">
        <x:v>0.18969999999999998</x:v>
      </x:c>
      <x:c r="D732" s="6" t="n">
        <x:f>'Tariff and method'!$B$4</x:f>
        <x:v>0.2226</x:v>
      </x:c>
      <x:c r="E732" s="1" t="n">
        <x:v>1.05</x:v>
      </x:c>
      <x:c r="F732" s="1" t="str">
        <x:v>https://api.octopus.energy/v1/products/AGILE-24-10-01/electricity-tariffs/E-1R-AGILE-24-10-01-G/standard-unit-rates/</x:v>
      </x:c>
    </x:row>
    <x:row r="733" ht="21" customHeight="1">
      <x:c r="A733" s="24" t="n">
        <x:v>46163.770833333336</x:v>
      </x:c>
      <x:c r="B733" s="6" t="n">
        <x:v>0.3663</x:v>
      </x:c>
      <x:c r="C733" s="6" t="n">
        <x:v>0.1978</x:v>
      </x:c>
      <x:c r="D733" s="6" t="n">
        <x:f>'Tariff and method'!$B$4</x:f>
        <x:v>0.2226</x:v>
      </x:c>
      <x:c r="E733" s="1" t="n">
        <x:v>1.05</x:v>
      </x:c>
      <x:c r="F733" s="1" t="str">
        <x:v>https://api.octopus.energy/v1/products/AGILE-24-10-01/electricity-tariffs/E-1R-AGILE-24-10-01-G/standard-unit-rates/</x:v>
      </x:c>
    </x:row>
    <x:row r="734" ht="21" customHeight="1">
      <x:c r="A734" s="24" t="n">
        <x:v>46163.791666666664</x:v>
      </x:c>
      <x:c r="B734" s="6" t="n">
        <x:v>0.264</x:v>
      </x:c>
      <x:c r="C734" s="6" t="n">
        <x:v>0.1469</x:v>
      </x:c>
      <x:c r="D734" s="6" t="n">
        <x:f>'Tariff and method'!$B$4</x:f>
        <x:v>0.2226</x:v>
      </x:c>
      <x:c r="E734" s="1" t="n">
        <x:v>1.05</x:v>
      </x:c>
      <x:c r="F734" s="1" t="str">
        <x:v>https://api.octopus.energy/v1/products/AGILE-24-10-01/electricity-tariffs/E-1R-AGILE-24-10-01-G/standard-unit-rates/</x:v>
      </x:c>
    </x:row>
    <x:row r="735" ht="21" customHeight="1">
      <x:c r="A735" s="24" t="n">
        <x:v>46163.8125</x:v>
      </x:c>
      <x:c r="B735" s="6" t="n">
        <x:v>0.2631</x:v>
      </x:c>
      <x:c r="C735" s="6" t="n">
        <x:v>0.1465</x:v>
      </x:c>
      <x:c r="D735" s="6" t="n">
        <x:f>'Tariff and method'!$B$4</x:f>
        <x:v>0.2226</x:v>
      </x:c>
      <x:c r="E735" s="1" t="n">
        <x:v>1.05</x:v>
      </x:c>
      <x:c r="F735" s="1" t="str">
        <x:v>https://api.octopus.energy/v1/products/AGILE-24-10-01/electricity-tariffs/E-1R-AGILE-24-10-01-G/standard-unit-rates/</x:v>
      </x:c>
    </x:row>
    <x:row r="736" ht="21" customHeight="1">
      <x:c r="A736" s="24" t="n">
        <x:v>46163.833333333336</x:v>
      </x:c>
      <x:c r="B736" s="6" t="n">
        <x:v>0.2633</x:v>
      </x:c>
      <x:c r="C736" s="6" t="n">
        <x:v>0.1466</x:v>
      </x:c>
      <x:c r="D736" s="6" t="n">
        <x:f>'Tariff and method'!$B$4</x:f>
        <x:v>0.2226</x:v>
      </x:c>
      <x:c r="E736" s="1" t="n">
        <x:v>1.05</x:v>
      </x:c>
      <x:c r="F736" s="1" t="str">
        <x:v>https://api.octopus.energy/v1/products/AGILE-24-10-01/electricity-tariffs/E-1R-AGILE-24-10-01-G/standard-unit-rates/</x:v>
      </x:c>
    </x:row>
    <x:row r="737" ht="21" customHeight="1">
      <x:c r="A737" s="24" t="n">
        <x:v>46163.854166666664</x:v>
      </x:c>
      <x:c r="B737" s="6" t="n">
        <x:v>0.2585</x:v>
      </x:c>
      <x:c r="C737" s="6" t="n">
        <x:v>0.1444</x:v>
      </x:c>
      <x:c r="D737" s="6" t="n">
        <x:f>'Tariff and method'!$B$4</x:f>
        <x:v>0.2226</x:v>
      </x:c>
      <x:c r="E737" s="1" t="n">
        <x:v>1.05</x:v>
      </x:c>
      <x:c r="F737" s="1" t="str">
        <x:v>https://api.octopus.energy/v1/products/AGILE-24-10-01/electricity-tariffs/E-1R-AGILE-24-10-01-G/standard-unit-rates/</x:v>
      </x:c>
    </x:row>
    <x:row r="738" ht="21" customHeight="1">
      <x:c r="A738" s="24" t="n">
        <x:v>46163.875</x:v>
      </x:c>
      <x:c r="B738" s="6" t="n">
        <x:v>0.25489999999999996</x:v>
      </x:c>
      <x:c r="C738" s="6" t="n">
        <x:v>0.14279999999999998</x:v>
      </x:c>
      <x:c r="D738" s="6" t="n">
        <x:f>'Tariff and method'!$B$4</x:f>
        <x:v>0.2226</x:v>
      </x:c>
      <x:c r="E738" s="1" t="n">
        <x:v>1.05</x:v>
      </x:c>
      <x:c r="F738" s="1" t="str">
        <x:v>https://api.octopus.energy/v1/products/AGILE-24-10-01/electricity-tariffs/E-1R-AGILE-24-10-01-G/standard-unit-rates/</x:v>
      </x:c>
    </x:row>
    <x:row r="739" ht="21" customHeight="1">
      <x:c r="A739" s="24" t="n">
        <x:v>46163.895833333336</x:v>
      </x:c>
      <x:c r="B739" s="6" t="n">
        <x:v>0.24489999999999998</x:v>
      </x:c>
      <x:c r="C739" s="6" t="n">
        <x:v>0.1382</x:v>
      </x:c>
      <x:c r="D739" s="6" t="n">
        <x:f>'Tariff and method'!$B$4</x:f>
        <x:v>0.2226</x:v>
      </x:c>
      <x:c r="E739" s="1" t="n">
        <x:v>1.05</x:v>
      </x:c>
      <x:c r="F739" s="1" t="str">
        <x:v>https://api.octopus.energy/v1/products/AGILE-24-10-01/electricity-tariffs/E-1R-AGILE-24-10-01-G/standard-unit-rates/</x:v>
      </x:c>
    </x:row>
    <x:row r="740" ht="21" customHeight="1">
      <x:c r="A740" s="24" t="n">
        <x:v>46163.916666666664</x:v>
      </x:c>
      <x:c r="B740" s="6" t="n">
        <x:v>0.23120000000000002</x:v>
      </x:c>
      <x:c r="C740" s="6" t="n">
        <x:v>0.132</x:v>
      </x:c>
      <x:c r="D740" s="6" t="n">
        <x:f>'Tariff and method'!$B$4</x:f>
        <x:v>0.2226</x:v>
      </x:c>
      <x:c r="E740" s="1" t="n">
        <x:v>1.05</x:v>
      </x:c>
      <x:c r="F740" s="1" t="str">
        <x:v>https://api.octopus.energy/v1/products/AGILE-24-10-01/electricity-tariffs/E-1R-AGILE-24-10-01-G/standard-unit-rates/</x:v>
      </x:c>
    </x:row>
    <x:row r="741" ht="21" customHeight="1">
      <x:c r="A741" s="24" t="n">
        <x:v>46163.9375</x:v>
      </x:c>
      <x:c r="B741" s="6" t="n">
        <x:v>0.2016</x:v>
      </x:c>
      <x:c r="C741" s="6" t="n">
        <x:v>0.1184</x:v>
      </x:c>
      <x:c r="D741" s="6" t="n">
        <x:f>'Tariff and method'!$B$4</x:f>
        <x:v>0.2226</x:v>
      </x:c>
      <x:c r="E741" s="1" t="n">
        <x:v>1.05</x:v>
      </x:c>
      <x:c r="F741" s="1" t="str">
        <x:v>https://api.octopus.energy/v1/products/AGILE-24-10-01/electricity-tariffs/E-1R-AGILE-24-10-01-G/standard-unit-rates/</x:v>
      </x:c>
    </x:row>
    <x:row r="742" ht="21" customHeight="1">
      <x:c r="A742" s="24" t="n">
        <x:v>46164</x:v>
      </x:c>
      <x:c r="B742" s="6" t="n">
        <x:v>0.2121</x:v>
      </x:c>
      <x:c r="C742" s="6" t="n">
        <x:v>0.1232</x:v>
      </x:c>
      <x:c r="D742" s="6" t="n">
        <x:f>'Tariff and method'!$B$4</x:f>
        <x:v>0.2226</x:v>
      </x:c>
      <x:c r="E742" s="1" t="n">
        <x:v>1.05</x:v>
      </x:c>
      <x:c r="F742" s="1" t="str">
        <x:v>https://api.octopus.energy/v1/products/AGILE-24-10-01/electricity-tariffs/E-1R-AGILE-24-10-01-G/standard-unit-rates/</x:v>
      </x:c>
    </x:row>
    <x:row r="743" ht="21" customHeight="1">
      <x:c r="A743" s="24" t="n">
        <x:v>46163.979166666664</x:v>
      </x:c>
      <x:c r="B743" s="6" t="n">
        <x:v>0.1906</x:v>
      </x:c>
      <x:c r="C743" s="6" t="n">
        <x:v>0.1134</x:v>
      </x:c>
      <x:c r="D743" s="6" t="n">
        <x:f>'Tariff and method'!$B$4</x:f>
        <x:v>0.2226</x:v>
      </x:c>
      <x:c r="E743" s="1" t="n">
        <x:v>1.05</x:v>
      </x:c>
      <x:c r="F743" s="1" t="str">
        <x:v>https://api.octopus.energy/v1/products/AGILE-24-10-01/electricity-tariffs/E-1R-AGILE-24-10-01-G/standard-unit-rates/</x:v>
      </x:c>
    </x:row>
    <x:row r="744" ht="21" customHeight="1">
      <x:c r="A744" s="24" t="n">
        <x:v>46164</x:v>
      </x:c>
      <x:c r="B744" s="6" t="n">
        <x:v>0.1892</x:v>
      </x:c>
      <x:c r="C744" s="6" t="n">
        <x:v>0.1128</x:v>
      </x:c>
      <x:c r="D744" s="6" t="n">
        <x:f>'Tariff and method'!$B$4</x:f>
        <x:v>0.2226</x:v>
      </x:c>
      <x:c r="E744" s="1" t="n">
        <x:v>1.05</x:v>
      </x:c>
      <x:c r="F744" s="1" t="str">
        <x:v>https://api.octopus.energy/v1/products/AGILE-24-10-01/electricity-tariffs/E-1R-AGILE-24-10-01-G/standard-unit-rates/</x:v>
      </x:c>
    </x:row>
    <x:row r="745" ht="21" customHeight="1">
      <x:c r="A745" s="24" t="n">
        <x:v>46164.020833333336</x:v>
      </x:c>
      <x:c r="B745" s="6" t="n">
        <x:v>0.184</x:v>
      </x:c>
      <x:c r="C745" s="6" t="n">
        <x:v>0.1104</x:v>
      </x:c>
      <x:c r="D745" s="6" t="n">
        <x:f>'Tariff and method'!$B$4</x:f>
        <x:v>0.2226</x:v>
      </x:c>
      <x:c r="E745" s="1" t="n">
        <x:v>1.05</x:v>
      </x:c>
      <x:c r="F745" s="1" t="str">
        <x:v>https://api.octopus.energy/v1/products/AGILE-24-10-01/electricity-tariffs/E-1R-AGILE-24-10-01-G/standard-unit-rates/</x:v>
      </x:c>
    </x:row>
    <x:row r="746" ht="21" customHeight="1">
      <x:c r="A746" s="24" t="n">
        <x:v>46164.041666666664</x:v>
      </x:c>
      <x:c r="B746" s="6" t="n">
        <x:v>0.185</x:v>
      </x:c>
      <x:c r="C746" s="6" t="n">
        <x:v>0.1108</x:v>
      </x:c>
      <x:c r="D746" s="6" t="n">
        <x:f>'Tariff and method'!$B$4</x:f>
        <x:v>0.2226</x:v>
      </x:c>
      <x:c r="E746" s="1" t="n">
        <x:v>1.05</x:v>
      </x:c>
      <x:c r="F746" s="1" t="str">
        <x:v>https://api.octopus.energy/v1/products/AGILE-24-10-01/electricity-tariffs/E-1R-AGILE-24-10-01-G/standard-unit-rates/</x:v>
      </x:c>
    </x:row>
    <x:row r="747" ht="21" customHeight="1">
      <x:c r="A747" s="24" t="n">
        <x:v>46164.0625</x:v>
      </x:c>
      <x:c r="B747" s="6" t="n">
        <x:v>0.1936</x:v>
      </x:c>
      <x:c r="C747" s="6" t="n">
        <x:v>0.1148</x:v>
      </x:c>
      <x:c r="D747" s="6" t="n">
        <x:f>'Tariff and method'!$B$4</x:f>
        <x:v>0.2226</x:v>
      </x:c>
      <x:c r="E747" s="1" t="n">
        <x:v>1.05</x:v>
      </x:c>
      <x:c r="F747" s="1" t="str">
        <x:v>https://api.octopus.energy/v1/products/AGILE-24-10-01/electricity-tariffs/E-1R-AGILE-24-10-01-G/standard-unit-rates/</x:v>
      </x:c>
    </x:row>
    <x:row r="748" ht="21" customHeight="1">
      <x:c r="A748" s="24" t="n">
        <x:v>46164.083333333336</x:v>
      </x:c>
      <x:c r="B748" s="6" t="n">
        <x:v>0.1888</x:v>
      </x:c>
      <x:c r="C748" s="6" t="n">
        <x:v>0.11259999999999999</x:v>
      </x:c>
      <x:c r="D748" s="6" t="n">
        <x:f>'Tariff and method'!$B$4</x:f>
        <x:v>0.2226</x:v>
      </x:c>
      <x:c r="E748" s="1" t="n">
        <x:v>1.05</x:v>
      </x:c>
      <x:c r="F748" s="1" t="str">
        <x:v>https://api.octopus.energy/v1/products/AGILE-24-10-01/electricity-tariffs/E-1R-AGILE-24-10-01-G/standard-unit-rates/</x:v>
      </x:c>
    </x:row>
    <x:row r="749" ht="21" customHeight="1">
      <x:c r="A749" s="24" t="n">
        <x:v>46164.104166666664</x:v>
      </x:c>
      <x:c r="B749" s="6" t="n">
        <x:v>0.1804</x:v>
      </x:c>
      <x:c r="C749" s="6" t="n">
        <x:v>0.10869999999999999</x:v>
      </x:c>
      <x:c r="D749" s="6" t="n">
        <x:f>'Tariff and method'!$B$4</x:f>
        <x:v>0.2226</x:v>
      </x:c>
      <x:c r="E749" s="1" t="n">
        <x:v>1.05</x:v>
      </x:c>
      <x:c r="F749" s="1" t="str">
        <x:v>https://api.octopus.energy/v1/products/AGILE-24-10-01/electricity-tariffs/E-1R-AGILE-24-10-01-G/standard-unit-rates/</x:v>
      </x:c>
    </x:row>
    <x:row r="750" ht="21" customHeight="1">
      <x:c r="A750" s="24" t="n">
        <x:v>46164.125</x:v>
      </x:c>
      <x:c r="B750" s="6" t="n">
        <x:v>0.18420000000000003</x:v>
      </x:c>
      <x:c r="C750" s="6" t="n">
        <x:v>0.1105</x:v>
      </x:c>
      <x:c r="D750" s="6" t="n">
        <x:f>'Tariff and method'!$B$4</x:f>
        <x:v>0.2226</x:v>
      </x:c>
      <x:c r="E750" s="1" t="n">
        <x:v>1.05</x:v>
      </x:c>
      <x:c r="F750" s="1" t="str">
        <x:v>https://api.octopus.energy/v1/products/AGILE-24-10-01/electricity-tariffs/E-1R-AGILE-24-10-01-G/standard-unit-rates/</x:v>
      </x:c>
    </x:row>
    <x:row r="751" ht="21" customHeight="1">
      <x:c r="A751" s="24" t="n">
        <x:v>46164.145833333336</x:v>
      </x:c>
      <x:c r="B751" s="6" t="n">
        <x:v>0.1778</x:v>
      </x:c>
      <x:c r="C751" s="6" t="n">
        <x:v>0.1075</x:v>
      </x:c>
      <x:c r="D751" s="6" t="n">
        <x:f>'Tariff and method'!$B$4</x:f>
        <x:v>0.2226</x:v>
      </x:c>
      <x:c r="E751" s="1" t="n">
        <x:v>1.05</x:v>
      </x:c>
      <x:c r="F751" s="1" t="str">
        <x:v>https://api.octopus.energy/v1/products/AGILE-24-10-01/electricity-tariffs/E-1R-AGILE-24-10-01-G/standard-unit-rates/</x:v>
      </x:c>
    </x:row>
    <x:row r="752" ht="21" customHeight="1">
      <x:c r="A752" s="24" t="n">
        <x:v>46164.166666666664</x:v>
      </x:c>
      <x:c r="B752" s="6" t="n">
        <x:v>0.1997</x:v>
      </x:c>
      <x:c r="C752" s="6" t="n">
        <x:v>0.1176</x:v>
      </x:c>
      <x:c r="D752" s="6" t="n">
        <x:f>'Tariff and method'!$B$4</x:f>
        <x:v>0.2226</x:v>
      </x:c>
      <x:c r="E752" s="1" t="n">
        <x:v>1.05</x:v>
      </x:c>
      <x:c r="F752" s="1" t="str">
        <x:v>https://api.octopus.energy/v1/products/AGILE-24-10-01/electricity-tariffs/E-1R-AGILE-24-10-01-G/standard-unit-rates/</x:v>
      </x:c>
    </x:row>
    <x:row r="753" ht="21" customHeight="1">
      <x:c r="A753" s="24" t="n">
        <x:v>46164.1875</x:v>
      </x:c>
      <x:c r="B753" s="6" t="n">
        <x:v>0.1917</x:v>
      </x:c>
      <x:c r="C753" s="6" t="n">
        <x:v>0.1139</x:v>
      </x:c>
      <x:c r="D753" s="6" t="n">
        <x:f>'Tariff and method'!$B$4</x:f>
        <x:v>0.2226</x:v>
      </x:c>
      <x:c r="E753" s="1" t="n">
        <x:v>1.05</x:v>
      </x:c>
      <x:c r="F753" s="1" t="str">
        <x:v>https://api.octopus.energy/v1/products/AGILE-24-10-01/electricity-tariffs/E-1R-AGILE-24-10-01-G/standard-unit-rates/</x:v>
      </x:c>
    </x:row>
    <x:row r="754" ht="21" customHeight="1">
      <x:c r="A754" s="24" t="n">
        <x:v>46164.208333333336</x:v>
      </x:c>
      <x:c r="B754" s="6" t="n">
        <x:v>0.1954</x:v>
      </x:c>
      <x:c r="C754" s="6" t="n">
        <x:v>0.11560000000000001</x:v>
      </x:c>
      <x:c r="D754" s="6" t="n">
        <x:f>'Tariff and method'!$B$4</x:f>
        <x:v>0.2226</x:v>
      </x:c>
      <x:c r="E754" s="1" t="n">
        <x:v>1.05</x:v>
      </x:c>
      <x:c r="F754" s="1" t="str">
        <x:v>https://api.octopus.energy/v1/products/AGILE-24-10-01/electricity-tariffs/E-1R-AGILE-24-10-01-G/standard-unit-rates/</x:v>
      </x:c>
    </x:row>
    <x:row r="755" ht="21" customHeight="1">
      <x:c r="A755" s="24" t="n">
        <x:v>46164.229166666664</x:v>
      </x:c>
      <x:c r="B755" s="6" t="n">
        <x:v>0.19940000000000002</x:v>
      </x:c>
      <x:c r="C755" s="6" t="n">
        <x:v>0.1174</x:v>
      </x:c>
      <x:c r="D755" s="6" t="n">
        <x:f>'Tariff and method'!$B$4</x:f>
        <x:v>0.2226</x:v>
      </x:c>
      <x:c r="E755" s="1" t="n">
        <x:v>1.05</x:v>
      </x:c>
      <x:c r="F755" s="1" t="str">
        <x:v>https://api.octopus.energy/v1/products/AGILE-24-10-01/electricity-tariffs/E-1R-AGILE-24-10-01-G/standard-unit-rates/</x:v>
      </x:c>
    </x:row>
    <x:row r="756" ht="21" customHeight="1">
      <x:c r="A756" s="24" t="n">
        <x:v>46164.25</x:v>
      </x:c>
      <x:c r="B756" s="6" t="n">
        <x:v>0.18289999999999998</x:v>
      </x:c>
      <x:c r="C756" s="6" t="n">
        <x:v>0.1099</x:v>
      </x:c>
      <x:c r="D756" s="6" t="n">
        <x:f>'Tariff and method'!$B$4</x:f>
        <x:v>0.2226</x:v>
      </x:c>
      <x:c r="E756" s="1" t="n">
        <x:v>1.05</x:v>
      </x:c>
      <x:c r="F756" s="1" t="str">
        <x:v>https://api.octopus.energy/v1/products/AGILE-24-10-01/electricity-tariffs/E-1R-AGILE-24-10-01-G/standard-unit-rates/</x:v>
      </x:c>
    </x:row>
    <x:row r="757" ht="21" customHeight="1">
      <x:c r="A757" s="24" t="n">
        <x:v>46164.270833333336</x:v>
      </x:c>
      <x:c r="B757" s="6" t="n">
        <x:v>0.2144</x:v>
      </x:c>
      <x:c r="C757" s="6" t="n">
        <x:v>0.1243</x:v>
      </x:c>
      <x:c r="D757" s="6" t="n">
        <x:f>'Tariff and method'!$B$4</x:f>
        <x:v>0.2226</x:v>
      </x:c>
      <x:c r="E757" s="1" t="n">
        <x:v>1.05</x:v>
      </x:c>
      <x:c r="F757" s="1" t="str">
        <x:v>https://api.octopus.energy/v1/products/AGILE-24-10-01/electricity-tariffs/E-1R-AGILE-24-10-01-G/standard-unit-rates/</x:v>
      </x:c>
    </x:row>
    <x:row r="758" ht="21" customHeight="1">
      <x:c r="A758" s="24" t="n">
        <x:v>46164.291666666664</x:v>
      </x:c>
      <x:c r="B758" s="6" t="n">
        <x:v>0.2022</x:v>
      </x:c>
      <x:c r="C758" s="6" t="n">
        <x:v>0.11869999999999999</x:v>
      </x:c>
      <x:c r="D758" s="6" t="n">
        <x:f>'Tariff and method'!$B$4</x:f>
        <x:v>0.2226</x:v>
      </x:c>
      <x:c r="E758" s="1" t="n">
        <x:v>1.05</x:v>
      </x:c>
      <x:c r="F758" s="1" t="str">
        <x:v>https://api.octopus.energy/v1/products/AGILE-24-10-01/electricity-tariffs/E-1R-AGILE-24-10-01-G/standard-unit-rates/</x:v>
      </x:c>
    </x:row>
    <x:row r="759" ht="21" customHeight="1">
      <x:c r="A759" s="24" t="n">
        <x:v>46164.3125</x:v>
      </x:c>
      <x:c r="B759" s="6" t="n">
        <x:v>0.2163</x:v>
      </x:c>
      <x:c r="C759" s="6" t="n">
        <x:v>0.1251</x:v>
      </x:c>
      <x:c r="D759" s="6" t="n">
        <x:f>'Tariff and method'!$B$4</x:f>
        <x:v>0.2226</x:v>
      </x:c>
      <x:c r="E759" s="1" t="n">
        <x:v>1.05</x:v>
      </x:c>
      <x:c r="F759" s="1" t="str">
        <x:v>https://api.octopus.energy/v1/products/AGILE-24-10-01/electricity-tariffs/E-1R-AGILE-24-10-01-G/standard-unit-rates/</x:v>
      </x:c>
    </x:row>
    <x:row r="760" ht="21" customHeight="1">
      <x:c r="A760" s="24" t="n">
        <x:v>46164.333333333336</x:v>
      </x:c>
      <x:c r="B760" s="6" t="n">
        <x:v>0.20670000000000002</x:v>
      </x:c>
      <x:c r="C760" s="6" t="n">
        <x:v>0.1207</x:v>
      </x:c>
      <x:c r="D760" s="6" t="n">
        <x:f>'Tariff and method'!$B$4</x:f>
        <x:v>0.2226</x:v>
      </x:c>
      <x:c r="E760" s="1" t="n">
        <x:v>1.05</x:v>
      </x:c>
      <x:c r="F760" s="1" t="str">
        <x:v>https://api.octopus.energy/v1/products/AGILE-24-10-01/electricity-tariffs/E-1R-AGILE-24-10-01-G/standard-unit-rates/</x:v>
      </x:c>
    </x:row>
    <x:row r="761" ht="21" customHeight="1">
      <x:c r="A761" s="24" t="n">
        <x:v>46164.354166666664</x:v>
      </x:c>
      <x:c r="B761" s="6" t="n">
        <x:v>0.2078</x:v>
      </x:c>
      <x:c r="C761" s="6" t="n">
        <x:v>0.1213</x:v>
      </x:c>
      <x:c r="D761" s="6" t="n">
        <x:f>'Tariff and method'!$B$4</x:f>
        <x:v>0.2226</x:v>
      </x:c>
      <x:c r="E761" s="1" t="n">
        <x:v>1.05</x:v>
      </x:c>
      <x:c r="F761" s="1" t="str">
        <x:v>https://api.octopus.energy/v1/products/AGILE-24-10-01/electricity-tariffs/E-1R-AGILE-24-10-01-G/standard-unit-rates/</x:v>
      </x:c>
    </x:row>
    <x:row r="762" ht="21" customHeight="1">
      <x:c r="A762" s="24" t="n">
        <x:v>46164.375</x:v>
      </x:c>
      <x:c r="B762" s="6" t="n">
        <x:v>0.18789999999999998</x:v>
      </x:c>
      <x:c r="C762" s="6" t="n">
        <x:v>0.11220000000000001</x:v>
      </x:c>
      <x:c r="D762" s="6" t="n">
        <x:f>'Tariff and method'!$B$4</x:f>
        <x:v>0.2226</x:v>
      </x:c>
      <x:c r="E762" s="1" t="n">
        <x:v>1.05</x:v>
      </x:c>
      <x:c r="F762" s="1" t="str">
        <x:v>https://api.octopus.energy/v1/products/AGILE-24-10-01/electricity-tariffs/E-1R-AGILE-24-10-01-G/standard-unit-rates/</x:v>
      </x:c>
    </x:row>
    <x:row r="763" ht="21" customHeight="1">
      <x:c r="A763" s="24" t="n">
        <x:v>46164.395833333336</x:v>
      </x:c>
      <x:c r="B763" s="6" t="n">
        <x:v>0.1642</x:v>
      </x:c>
      <x:c r="C763" s="6" t="n">
        <x:v>0.1013</x:v>
      </x:c>
      <x:c r="D763" s="6" t="n">
        <x:f>'Tariff and method'!$B$4</x:f>
        <x:v>0.2226</x:v>
      </x:c>
      <x:c r="E763" s="1" t="n">
        <x:v>1.05</x:v>
      </x:c>
      <x:c r="F763" s="1" t="str">
        <x:v>https://api.octopus.energy/v1/products/AGILE-24-10-01/electricity-tariffs/E-1R-AGILE-24-10-01-G/standard-unit-rates/</x:v>
      </x:c>
    </x:row>
    <x:row r="764" ht="21" customHeight="1">
      <x:c r="A764" s="24" t="n">
        <x:v>46164.416666666664</x:v>
      </x:c>
      <x:c r="B764" s="6" t="n">
        <x:v>0.1655</x:v>
      </x:c>
      <x:c r="C764" s="6" t="n">
        <x:v>0.10189999999999999</x:v>
      </x:c>
      <x:c r="D764" s="6" t="n">
        <x:f>'Tariff and method'!$B$4</x:f>
        <x:v>0.2226</x:v>
      </x:c>
      <x:c r="E764" s="1" t="n">
        <x:v>1.05</x:v>
      </x:c>
      <x:c r="F764" s="1" t="str">
        <x:v>https://api.octopus.energy/v1/products/AGILE-24-10-01/electricity-tariffs/E-1R-AGILE-24-10-01-G/standard-unit-rates/</x:v>
      </x:c>
    </x:row>
    <x:row r="765" ht="21" customHeight="1">
      <x:c r="A765" s="24" t="n">
        <x:v>46164.4375</x:v>
      </x:c>
      <x:c r="B765" s="6" t="n">
        <x:v>0.15130000000000002</x:v>
      </x:c>
      <x:c r="C765" s="6" t="n">
        <x:v>0.09539999999999998</x:v>
      </x:c>
      <x:c r="D765" s="6" t="n">
        <x:f>'Tariff and method'!$B$4</x:f>
        <x:v>0.2226</x:v>
      </x:c>
      <x:c r="E765" s="1" t="n">
        <x:v>1.05</x:v>
      </x:c>
      <x:c r="F765" s="1" t="str">
        <x:v>https://api.octopus.energy/v1/products/AGILE-24-10-01/electricity-tariffs/E-1R-AGILE-24-10-01-G/standard-unit-rates/</x:v>
      </x:c>
    </x:row>
    <x:row r="766" ht="21" customHeight="1">
      <x:c r="A766" s="24" t="n">
        <x:v>46164.458333333336</x:v>
      </x:c>
      <x:c r="B766" s="6" t="n">
        <x:v>0.1466</x:v>
      </x:c>
      <x:c r="C766" s="6" t="n">
        <x:v>0.0933</x:v>
      </x:c>
      <x:c r="D766" s="6" t="n">
        <x:f>'Tariff and method'!$B$4</x:f>
        <x:v>0.2226</x:v>
      </x:c>
      <x:c r="E766" s="1" t="n">
        <x:v>1.05</x:v>
      </x:c>
      <x:c r="F766" s="1" t="str">
        <x:v>https://api.octopus.energy/v1/products/AGILE-24-10-01/electricity-tariffs/E-1R-AGILE-24-10-01-G/standard-unit-rates/</x:v>
      </x:c>
    </x:row>
    <x:row r="767" ht="21" customHeight="1">
      <x:c r="A767" s="24" t="n">
        <x:v>46164.479166666664</x:v>
      </x:c>
      <x:c r="B767" s="6" t="n">
        <x:v>0.13269999999999998</x:v>
      </x:c>
      <x:c r="C767" s="6" t="n">
        <x:v>0.08689999999999999</x:v>
      </x:c>
      <x:c r="D767" s="6" t="n">
        <x:f>'Tariff and method'!$B$4</x:f>
        <x:v>0.2226</x:v>
      </x:c>
      <x:c r="E767" s="1" t="n">
        <x:v>1.05</x:v>
      </x:c>
      <x:c r="F767" s="1" t="str">
        <x:v>https://api.octopus.energy/v1/products/AGILE-24-10-01/electricity-tariffs/E-1R-AGILE-24-10-01-G/standard-unit-rates/</x:v>
      </x:c>
    </x:row>
    <x:row r="768" ht="21" customHeight="1">
      <x:c r="A768" s="24" t="n">
        <x:v>46164.5</x:v>
      </x:c>
      <x:c r="B768" s="6" t="n">
        <x:v>0.1226</x:v>
      </x:c>
      <x:c r="C768" s="6" t="n">
        <x:v>0.0823</x:v>
      </x:c>
      <x:c r="D768" s="6" t="n">
        <x:f>'Tariff and method'!$B$4</x:f>
        <x:v>0.2226</x:v>
      </x:c>
      <x:c r="E768" s="1" t="n">
        <x:v>1.05</x:v>
      </x:c>
      <x:c r="F768" s="1" t="str">
        <x:v>https://api.octopus.energy/v1/products/AGILE-24-10-01/electricity-tariffs/E-1R-AGILE-24-10-01-G/standard-unit-rates/</x:v>
      </x:c>
    </x:row>
    <x:row r="769" ht="21" customHeight="1">
      <x:c r="A769" s="24" t="n">
        <x:v>46164.520833333336</x:v>
      </x:c>
      <x:c r="B769" s="6" t="n">
        <x:v>0.1207</x:v>
      </x:c>
      <x:c r="C769" s="6" t="n">
        <x:v>0.0814</x:v>
      </x:c>
      <x:c r="D769" s="6" t="n">
        <x:f>'Tariff and method'!$B$4</x:f>
        <x:v>0.2226</x:v>
      </x:c>
      <x:c r="E769" s="1" t="n">
        <x:v>1.05</x:v>
      </x:c>
      <x:c r="F769" s="1" t="str">
        <x:v>https://api.octopus.energy/v1/products/AGILE-24-10-01/electricity-tariffs/E-1R-AGILE-24-10-01-G/standard-unit-rates/</x:v>
      </x:c>
    </x:row>
    <x:row r="770" ht="21" customHeight="1">
      <x:c r="A770" s="24" t="n">
        <x:v>46164.541666666664</x:v>
      </x:c>
      <x:c r="B770" s="6" t="n">
        <x:v>0.1207</x:v>
      </x:c>
      <x:c r="C770" s="6" t="n">
        <x:v>0.0815</x:v>
      </x:c>
      <x:c r="D770" s="6" t="n">
        <x:f>'Tariff and method'!$B$4</x:f>
        <x:v>0.2226</x:v>
      </x:c>
      <x:c r="E770" s="1" t="n">
        <x:v>1.05</x:v>
      </x:c>
      <x:c r="F770" s="1" t="str">
        <x:v>https://api.octopus.energy/v1/products/AGILE-24-10-01/electricity-tariffs/E-1R-AGILE-24-10-01-G/standard-unit-rates/</x:v>
      </x:c>
    </x:row>
    <x:row r="771" ht="21" customHeight="1">
      <x:c r="A771" s="24" t="n">
        <x:v>46164.5625</x:v>
      </x:c>
      <x:c r="B771" s="6" t="n">
        <x:v>0.1191</x:v>
      </x:c>
      <x:c r="C771" s="6" t="n">
        <x:v>0.08070000000000001</x:v>
      </x:c>
      <x:c r="D771" s="6" t="n">
        <x:f>'Tariff and method'!$B$4</x:f>
        <x:v>0.2226</x:v>
      </x:c>
      <x:c r="E771" s="1" t="n">
        <x:v>1.05</x:v>
      </x:c>
      <x:c r="F771" s="1" t="str">
        <x:v>https://api.octopus.energy/v1/products/AGILE-24-10-01/electricity-tariffs/E-1R-AGILE-24-10-01-G/standard-unit-rates/</x:v>
      </x:c>
    </x:row>
    <x:row r="772" ht="21" customHeight="1">
      <x:c r="A772" s="24" t="n">
        <x:v>46164.583333333336</x:v>
      </x:c>
      <x:c r="B772" s="6" t="n">
        <x:v>0.1267</x:v>
      </x:c>
      <x:c r="C772" s="6" t="n">
        <x:v>0.0842</x:v>
      </x:c>
      <x:c r="D772" s="6" t="n">
        <x:f>'Tariff and method'!$B$4</x:f>
        <x:v>0.2226</x:v>
      </x:c>
      <x:c r="E772" s="1" t="n">
        <x:v>1.05</x:v>
      </x:c>
      <x:c r="F772" s="1" t="str">
        <x:v>https://api.octopus.energy/v1/products/AGILE-24-10-01/electricity-tariffs/E-1R-AGILE-24-10-01-G/standard-unit-rates/</x:v>
      </x:c>
    </x:row>
    <x:row r="773" ht="21" customHeight="1">
      <x:c r="A773" s="24" t="n">
        <x:v>46164.604166666664</x:v>
      </x:c>
      <x:c r="B773" s="6" t="n">
        <x:v>0.128</x:v>
      </x:c>
      <x:c r="C773" s="6" t="n">
        <x:v>0.0848</x:v>
      </x:c>
      <x:c r="D773" s="6" t="n">
        <x:f>'Tariff and method'!$B$4</x:f>
        <x:v>0.2226</x:v>
      </x:c>
      <x:c r="E773" s="1" t="n">
        <x:v>1.05</x:v>
      </x:c>
      <x:c r="F773" s="1" t="str">
        <x:v>https://api.octopus.energy/v1/products/AGILE-24-10-01/electricity-tariffs/E-1R-AGILE-24-10-01-G/standard-unit-rates/</x:v>
      </x:c>
    </x:row>
    <x:row r="774" ht="21" customHeight="1">
      <x:c r="A774" s="24" t="n">
        <x:v>46164.625</x:v>
      </x:c>
      <x:c r="B774" s="6" t="n">
        <x:v>0.1199</x:v>
      </x:c>
      <x:c r="C774" s="6" t="n">
        <x:v>0.08109999999999999</x:v>
      </x:c>
      <x:c r="D774" s="6" t="n">
        <x:f>'Tariff and method'!$B$4</x:f>
        <x:v>0.2226</x:v>
      </x:c>
      <x:c r="E774" s="1" t="n">
        <x:v>1.05</x:v>
      </x:c>
      <x:c r="F774" s="1" t="str">
        <x:v>https://api.octopus.energy/v1/products/AGILE-24-10-01/electricity-tariffs/E-1R-AGILE-24-10-01-G/standard-unit-rates/</x:v>
      </x:c>
    </x:row>
    <x:row r="775" ht="21" customHeight="1">
      <x:c r="A775" s="24" t="n">
        <x:v>46164.645833333336</x:v>
      </x:c>
      <x:c r="B775" s="6" t="n">
        <x:v>0.1325</x:v>
      </x:c>
      <x:c r="C775" s="6" t="n">
        <x:v>0.0868</x:v>
      </x:c>
      <x:c r="D775" s="6" t="n">
        <x:f>'Tariff and method'!$B$4</x:f>
        <x:v>0.2226</x:v>
      </x:c>
      <x:c r="E775" s="1" t="n">
        <x:v>1.05</x:v>
      </x:c>
      <x:c r="F775" s="1" t="str">
        <x:v>https://api.octopus.energy/v1/products/AGILE-24-10-01/electricity-tariffs/E-1R-AGILE-24-10-01-G/standard-unit-rates/</x:v>
      </x:c>
    </x:row>
    <x:row r="776" ht="21" customHeight="1">
      <x:c r="A776" s="24" t="n">
        <x:v>46164.666666666664</x:v>
      </x:c>
      <x:c r="B776" s="6" t="n">
        <x:v>0.262</x:v>
      </x:c>
      <x:c r="C776" s="6" t="n">
        <x:v>0.1501</x:v>
      </x:c>
      <x:c r="D776" s="6" t="n">
        <x:f>'Tariff and method'!$B$4</x:f>
        <x:v>0.2226</x:v>
      </x:c>
      <x:c r="E776" s="1" t="n">
        <x:v>1.05</x:v>
      </x:c>
      <x:c r="F776" s="1" t="str">
        <x:v>https://api.octopus.energy/v1/products/AGILE-24-10-01/electricity-tariffs/E-1R-AGILE-24-10-01-G/standard-unit-rates/</x:v>
      </x:c>
    </x:row>
    <x:row r="777" ht="21" customHeight="1">
      <x:c r="A777" s="24" t="n">
        <x:v>46164.6875</x:v>
      </x:c>
      <x:c r="B777" s="6" t="n">
        <x:v>0.2693</x:v>
      </x:c>
      <x:c r="C777" s="6" t="n">
        <x:v>0.1534</x:v>
      </x:c>
      <x:c r="D777" s="6" t="n">
        <x:f>'Tariff and method'!$B$4</x:f>
        <x:v>0.2226</x:v>
      </x:c>
      <x:c r="E777" s="1" t="n">
        <x:v>1.05</x:v>
      </x:c>
      <x:c r="F777" s="1" t="str">
        <x:v>https://api.octopus.energy/v1/products/AGILE-24-10-01/electricity-tariffs/E-1R-AGILE-24-10-01-G/standard-unit-rates/</x:v>
      </x:c>
    </x:row>
    <x:row r="778" ht="21" customHeight="1">
      <x:c r="A778" s="24" t="n">
        <x:v>46164.708333333336</x:v>
      </x:c>
      <x:c r="B778" s="6" t="n">
        <x:v>0.3124</x:v>
      </x:c>
      <x:c r="C778" s="6" t="n">
        <x:v>0.17309999999999998</x:v>
      </x:c>
      <x:c r="D778" s="6" t="n">
        <x:f>'Tariff and method'!$B$4</x:f>
        <x:v>0.2226</x:v>
      </x:c>
      <x:c r="E778" s="1" t="n">
        <x:v>1.05</x:v>
      </x:c>
      <x:c r="F778" s="1" t="str">
        <x:v>https://api.octopus.energy/v1/products/AGILE-24-10-01/electricity-tariffs/E-1R-AGILE-24-10-01-G/standard-unit-rates/</x:v>
      </x:c>
    </x:row>
    <x:row r="779" ht="21" customHeight="1">
      <x:c r="A779" s="24" t="n">
        <x:v>46164.729166666664</x:v>
      </x:c>
      <x:c r="B779" s="6" t="n">
        <x:v>0.31329999999999997</x:v>
      </x:c>
      <x:c r="C779" s="6" t="n">
        <x:v>0.17350000000000002</x:v>
      </x:c>
      <x:c r="D779" s="6" t="n">
        <x:f>'Tariff and method'!$B$4</x:f>
        <x:v>0.2226</x:v>
      </x:c>
      <x:c r="E779" s="1" t="n">
        <x:v>1.05</x:v>
      </x:c>
      <x:c r="F779" s="1" t="str">
        <x:v>https://api.octopus.energy/v1/products/AGILE-24-10-01/electricity-tariffs/E-1R-AGILE-24-10-01-G/standard-unit-rates/</x:v>
      </x:c>
    </x:row>
    <x:row r="780" ht="21" customHeight="1">
      <x:c r="A780" s="24" t="n">
        <x:v>46164.75</x:v>
      </x:c>
      <x:c r="B780" s="6" t="n">
        <x:v>0.3396</x:v>
      </x:c>
      <x:c r="C780" s="6" t="n">
        <x:v>0.1856</x:v>
      </x:c>
      <x:c r="D780" s="6" t="n">
        <x:f>'Tariff and method'!$B$4</x:f>
        <x:v>0.2226</x:v>
      </x:c>
      <x:c r="E780" s="1" t="n">
        <x:v>1.05</x:v>
      </x:c>
      <x:c r="F780" s="1" t="str">
        <x:v>https://api.octopus.energy/v1/products/AGILE-24-10-01/electricity-tariffs/E-1R-AGILE-24-10-01-G/standard-unit-rates/</x:v>
      </x:c>
    </x:row>
    <x:row r="781" ht="21" customHeight="1">
      <x:c r="A781" s="24" t="n">
        <x:v>46164.770833333336</x:v>
      </x:c>
      <x:c r="B781" s="6" t="n">
        <x:v>0.34240000000000004</x:v>
      </x:c>
      <x:c r="C781" s="6" t="n">
        <x:v>0.1868</x:v>
      </x:c>
      <x:c r="D781" s="6" t="n">
        <x:f>'Tariff and method'!$B$4</x:f>
        <x:v>0.2226</x:v>
      </x:c>
      <x:c r="E781" s="1" t="n">
        <x:v>1.05</x:v>
      </x:c>
      <x:c r="F781" s="1" t="str">
        <x:v>https://api.octopus.energy/v1/products/AGILE-24-10-01/electricity-tariffs/E-1R-AGILE-24-10-01-G/standard-unit-rates/</x:v>
      </x:c>
    </x:row>
    <x:row r="782" ht="21" customHeight="1">
      <x:c r="A782" s="24" t="n">
        <x:v>46164.791666666664</x:v>
      </x:c>
      <x:c r="B782" s="6" t="n">
        <x:v>0.2324</x:v>
      </x:c>
      <x:c r="C782" s="6" t="n">
        <x:v>0.1325</x:v>
      </x:c>
      <x:c r="D782" s="6" t="n">
        <x:f>'Tariff and method'!$B$4</x:f>
        <x:v>0.2226</x:v>
      </x:c>
      <x:c r="E782" s="1" t="n">
        <x:v>1.05</x:v>
      </x:c>
      <x:c r="F782" s="1" t="str">
        <x:v>https://api.octopus.energy/v1/products/AGILE-24-10-01/electricity-tariffs/E-1R-AGILE-24-10-01-G/standard-unit-rates/</x:v>
      </x:c>
    </x:row>
    <x:row r="783" ht="21" customHeight="1">
      <x:c r="A783" s="24" t="n">
        <x:v>46164.8125</x:v>
      </x:c>
      <x:c r="B783" s="6" t="n">
        <x:v>0.2391</x:v>
      </x:c>
      <x:c r="C783" s="6" t="n">
        <x:v>0.1356</x:v>
      </x:c>
      <x:c r="D783" s="6" t="n">
        <x:f>'Tariff and method'!$B$4</x:f>
        <x:v>0.2226</x:v>
      </x:c>
      <x:c r="E783" s="1" t="n">
        <x:v>1.05</x:v>
      </x:c>
      <x:c r="F783" s="1" t="str">
        <x:v>https://api.octopus.energy/v1/products/AGILE-24-10-01/electricity-tariffs/E-1R-AGILE-24-10-01-G/standard-unit-rates/</x:v>
      </x:c>
    </x:row>
    <x:row r="784" ht="21" customHeight="1">
      <x:c r="A784" s="24" t="n">
        <x:v>46164.833333333336</x:v>
      </x:c>
      <x:c r="B784" s="6" t="n">
        <x:v>0.235</x:v>
      </x:c>
      <x:c r="C784" s="6" t="n">
        <x:v>0.13369999999999999</x:v>
      </x:c>
      <x:c r="D784" s="6" t="n">
        <x:f>'Tariff and method'!$B$4</x:f>
        <x:v>0.2226</x:v>
      </x:c>
      <x:c r="E784" s="1" t="n">
        <x:v>1.05</x:v>
      </x:c>
      <x:c r="F784" s="1" t="str">
        <x:v>https://api.octopus.energy/v1/products/AGILE-24-10-01/electricity-tariffs/E-1R-AGILE-24-10-01-G/standard-unit-rates/</x:v>
      </x:c>
    </x:row>
    <x:row r="785" ht="21" customHeight="1">
      <x:c r="A785" s="24" t="n">
        <x:v>46164.854166666664</x:v>
      </x:c>
      <x:c r="B785" s="6" t="n">
        <x:v>0.2373</x:v>
      </x:c>
      <x:c r="C785" s="6" t="n">
        <x:v>0.13470000000000001</x:v>
      </x:c>
      <x:c r="D785" s="6" t="n">
        <x:f>'Tariff and method'!$B$4</x:f>
        <x:v>0.2226</x:v>
      </x:c>
      <x:c r="E785" s="1" t="n">
        <x:v>1.05</x:v>
      </x:c>
      <x:c r="F785" s="1" t="str">
        <x:v>https://api.octopus.energy/v1/products/AGILE-24-10-01/electricity-tariffs/E-1R-AGILE-24-10-01-G/standard-unit-rates/</x:v>
      </x:c>
    </x:row>
    <x:row r="786" ht="21" customHeight="1">
      <x:c r="A786" s="24" t="n">
        <x:v>46164.875</x:v>
      </x:c>
      <x:c r="B786" s="6" t="n">
        <x:v>0.2303</x:v>
      </x:c>
      <x:c r="C786" s="6" t="n">
        <x:v>0.1315</x:v>
      </x:c>
      <x:c r="D786" s="6" t="n">
        <x:f>'Tariff and method'!$B$4</x:f>
        <x:v>0.2226</x:v>
      </x:c>
      <x:c r="E786" s="1" t="n">
        <x:v>1.05</x:v>
      </x:c>
      <x:c r="F786" s="1" t="str">
        <x:v>https://api.octopus.energy/v1/products/AGILE-24-10-01/electricity-tariffs/E-1R-AGILE-24-10-01-G/standard-unit-rates/</x:v>
      </x:c>
    </x:row>
    <x:row r="787" ht="21" customHeight="1">
      <x:c r="A787" s="24" t="n">
        <x:v>46164.895833333336</x:v>
      </x:c>
      <x:c r="B787" s="6" t="n">
        <x:v>0.2195</x:v>
      </x:c>
      <x:c r="C787" s="6" t="n">
        <x:v>0.1266</x:v>
      </x:c>
      <x:c r="D787" s="6" t="n">
        <x:f>'Tariff and method'!$B$4</x:f>
        <x:v>0.2226</x:v>
      </x:c>
      <x:c r="E787" s="1" t="n">
        <x:v>1.05</x:v>
      </x:c>
      <x:c r="F787" s="1" t="str">
        <x:v>https://api.octopus.energy/v1/products/AGILE-24-10-01/electricity-tariffs/E-1R-AGILE-24-10-01-G/standard-unit-rates/</x:v>
      </x:c>
    </x:row>
    <x:row r="788" ht="21" customHeight="1">
      <x:c r="A788" s="24" t="n">
        <x:v>46164.916666666664</x:v>
      </x:c>
      <x:c r="B788" s="6" t="n">
        <x:v>0.2059</x:v>
      </x:c>
      <x:c r="C788" s="6" t="n">
        <x:v>0.1204</x:v>
      </x:c>
      <x:c r="D788" s="6" t="n">
        <x:f>'Tariff and method'!$B$4</x:f>
        <x:v>0.2226</x:v>
      </x:c>
      <x:c r="E788" s="1" t="n">
        <x:v>1.05</x:v>
      </x:c>
      <x:c r="F788" s="1" t="str">
        <x:v>https://api.octopus.energy/v1/products/AGILE-24-10-01/electricity-tariffs/E-1R-AGILE-24-10-01-G/standard-unit-rates/</x:v>
      </x:c>
    </x:row>
    <x:row r="789" ht="21" customHeight="1">
      <x:c r="A789" s="24" t="n">
        <x:v>46164.9375</x:v>
      </x:c>
      <x:c r="B789" s="6" t="n">
        <x:v>0.2077</x:v>
      </x:c>
      <x:c r="C789" s="6" t="n">
        <x:v>0.12119999999999999</x:v>
      </x:c>
      <x:c r="D789" s="6" t="n">
        <x:f>'Tariff and method'!$B$4</x:f>
        <x:v>0.2226</x:v>
      </x:c>
      <x:c r="E789" s="1" t="n">
        <x:v>1.05</x:v>
      </x:c>
      <x:c r="F789" s="1" t="str">
        <x:v>https://api.octopus.energy/v1/products/AGILE-24-10-01/electricity-tariffs/E-1R-AGILE-24-10-01-G/standard-unit-rates/</x:v>
      </x:c>
    </x:row>
    <x:row r="790" ht="21" customHeight="1">
      <x:c r="A790" s="24" t="n">
        <x:v>46165</x:v>
      </x:c>
      <x:c r="B790" s="6" t="n">
        <x:v>0.19760000000000003</x:v>
      </x:c>
      <x:c r="C790" s="6" t="n">
        <x:v>0.1166</x:v>
      </x:c>
      <x:c r="D790" s="6" t="n">
        <x:f>'Tariff and method'!$B$4</x:f>
        <x:v>0.2226</x:v>
      </x:c>
      <x:c r="E790" s="1" t="n">
        <x:v>1.05</x:v>
      </x:c>
      <x:c r="F790" s="1" t="str">
        <x:v>https://api.octopus.energy/v1/products/AGILE-24-10-01/electricity-tariffs/E-1R-AGILE-24-10-01-G/standard-unit-rates/</x:v>
      </x:c>
    </x:row>
    <x:row r="791" ht="21" customHeight="1">
      <x:c r="A791" s="24" t="n">
        <x:v>46164.979166666664</x:v>
      </x:c>
      <x:c r="B791" s="6" t="n">
        <x:v>0.1934</x:v>
      </x:c>
      <x:c r="C791" s="6" t="n">
        <x:v>0.11470000000000001</x:v>
      </x:c>
      <x:c r="D791" s="6" t="n">
        <x:f>'Tariff and method'!$B$4</x:f>
        <x:v>0.2226</x:v>
      </x:c>
      <x:c r="E791" s="1" t="n">
        <x:v>1.05</x:v>
      </x:c>
      <x:c r="F791" s="1" t="str">
        <x:v>https://api.octopus.energy/v1/products/AGILE-24-10-01/electricity-tariffs/E-1R-AGILE-24-10-01-G/standard-unit-rates/</x:v>
      </x:c>
    </x:row>
    <x:row r="792" ht="21" customHeight="1">
      <x:c r="A792" s="24" t="n">
        <x:v>46165</x:v>
      </x:c>
      <x:c r="B792" s="6" t="n">
        <x:v>0.18539999999999998</x:v>
      </x:c>
      <x:c r="C792" s="6" t="n">
        <x:v>0.111</x:v>
      </x:c>
      <x:c r="D792" s="6" t="n">
        <x:f>B792</x:f>
        <x:v>0.18539999999999998</x:v>
      </x:c>
      <x:c r="E792" s="1" t="n">
        <x:v>1.05</x:v>
      </x:c>
      <x:c r="F792" s="1" t="str">
        <x:v>https://api.octopus.energy/v1/products/AGILE-24-10-01/electricity-tariffs/E-1R-AGILE-24-10-01-G/standard-unit-rates/</x:v>
      </x:c>
    </x:row>
    <x:row r="793" ht="21" customHeight="1">
      <x:c r="A793" s="24" t="n">
        <x:v>46165.020833333336</x:v>
      </x:c>
      <x:c r="B793" s="6" t="n">
        <x:v>0.17620000000000002</x:v>
      </x:c>
      <x:c r="C793" s="6" t="n">
        <x:v>0.10679999999999999</x:v>
      </x:c>
      <x:c r="D793" s="6" t="n">
        <x:f>B793</x:f>
        <x:v>0.17620000000000002</x:v>
      </x:c>
      <x:c r="E793" s="1" t="n">
        <x:v>1.05</x:v>
      </x:c>
      <x:c r="F793" s="1" t="str">
        <x:v>https://api.octopus.energy/v1/products/AGILE-24-10-01/electricity-tariffs/E-1R-AGILE-24-10-01-G/standard-unit-rates/</x:v>
      </x:c>
    </x:row>
    <x:row r="794" ht="21" customHeight="1">
      <x:c r="A794" s="24" t="n">
        <x:v>46165.041666666664</x:v>
      </x:c>
      <x:c r="B794" s="6" t="n">
        <x:v>0.16820000000000002</x:v>
      </x:c>
      <x:c r="C794" s="6" t="n">
        <x:v>0.1032</x:v>
      </x:c>
      <x:c r="D794" s="6" t="n">
        <x:f>B794</x:f>
        <x:v>0.16820000000000002</x:v>
      </x:c>
      <x:c r="E794" s="1" t="n">
        <x:v>1.05</x:v>
      </x:c>
      <x:c r="F794" s="1" t="str">
        <x:v>https://api.octopus.energy/v1/products/AGILE-24-10-01/electricity-tariffs/E-1R-AGILE-24-10-01-G/standard-unit-rates/</x:v>
      </x:c>
    </x:row>
    <x:row r="795" ht="21" customHeight="1">
      <x:c r="A795" s="24" t="n">
        <x:v>46165.0625</x:v>
      </x:c>
      <x:c r="B795" s="6" t="n">
        <x:v>0.1745</x:v>
      </x:c>
      <x:c r="C795" s="6" t="n">
        <x:v>0.106</x:v>
      </x:c>
      <x:c r="D795" s="6" t="n">
        <x:f>B795</x:f>
        <x:v>0.1745</x:v>
      </x:c>
      <x:c r="E795" s="1" t="n">
        <x:v>1.05</x:v>
      </x:c>
      <x:c r="F795" s="1" t="str">
        <x:v>https://api.octopus.energy/v1/products/AGILE-24-10-01/electricity-tariffs/E-1R-AGILE-24-10-01-G/standard-unit-rates/</x:v>
      </x:c>
    </x:row>
    <x:row r="796" ht="21" customHeight="1">
      <x:c r="A796" s="24" t="n">
        <x:v>46165.083333333336</x:v>
      </x:c>
      <x:c r="B796" s="6" t="n">
        <x:v>0.16820000000000002</x:v>
      </x:c>
      <x:c r="C796" s="6" t="n">
        <x:v>0.1032</x:v>
      </x:c>
      <x:c r="D796" s="6" t="n">
        <x:f>B796</x:f>
        <x:v>0.16820000000000002</x:v>
      </x:c>
      <x:c r="E796" s="1" t="n">
        <x:v>1.05</x:v>
      </x:c>
      <x:c r="F796" s="1" t="str">
        <x:v>https://api.octopus.energy/v1/products/AGILE-24-10-01/electricity-tariffs/E-1R-AGILE-24-10-01-G/standard-unit-rates/</x:v>
      </x:c>
    </x:row>
    <x:row r="797" ht="21" customHeight="1">
      <x:c r="A797" s="24" t="n">
        <x:v>46165.104166666664</x:v>
      </x:c>
      <x:c r="B797" s="6" t="n">
        <x:v>0.15560000000000002</x:v>
      </x:c>
      <x:c r="C797" s="6" t="n">
        <x:v>0.0974</x:v>
      </x:c>
      <x:c r="D797" s="6" t="n">
        <x:f>B797</x:f>
        <x:v>0.15560000000000002</x:v>
      </x:c>
      <x:c r="E797" s="1" t="n">
        <x:v>1.05</x:v>
      </x:c>
      <x:c r="F797" s="1" t="str">
        <x:v>https://api.octopus.energy/v1/products/AGILE-24-10-01/electricity-tariffs/E-1R-AGILE-24-10-01-G/standard-unit-rates/</x:v>
      </x:c>
    </x:row>
    <x:row r="798" ht="21" customHeight="1">
      <x:c r="A798" s="24" t="n">
        <x:v>46165.125</x:v>
      </x:c>
      <x:c r="B798" s="6" t="n">
        <x:v>0.16399999999999998</x:v>
      </x:c>
      <x:c r="C798" s="6" t="n">
        <x:v>0.1012</x:v>
      </x:c>
      <x:c r="D798" s="6" t="n">
        <x:f>B798</x:f>
        <x:v>0.16399999999999998</x:v>
      </x:c>
      <x:c r="E798" s="1" t="n">
        <x:v>1.05</x:v>
      </x:c>
      <x:c r="F798" s="1" t="str">
        <x:v>https://api.octopus.energy/v1/products/AGILE-24-10-01/electricity-tariffs/E-1R-AGILE-24-10-01-G/standard-unit-rates/</x:v>
      </x:c>
    </x:row>
    <x:row r="799" ht="21" customHeight="1">
      <x:c r="A799" s="24" t="n">
        <x:v>46165.145833333336</x:v>
      </x:c>
      <x:c r="B799" s="6" t="n">
        <x:v>0.1515</x:v>
      </x:c>
      <x:c r="C799" s="6" t="n">
        <x:v>0.0955</x:v>
      </x:c>
      <x:c r="D799" s="6" t="n">
        <x:f>B799</x:f>
        <x:v>0.1515</x:v>
      </x:c>
      <x:c r="E799" s="1" t="n">
        <x:v>1.05</x:v>
      </x:c>
      <x:c r="F799" s="1" t="str">
        <x:v>https://api.octopus.energy/v1/products/AGILE-24-10-01/electricity-tariffs/E-1R-AGILE-24-10-01-G/standard-unit-rates/</x:v>
      </x:c>
    </x:row>
    <x:row r="800" ht="21" customHeight="1">
      <x:c r="A800" s="24" t="n">
        <x:v>46165.166666666664</x:v>
      </x:c>
      <x:c r="B800" s="6" t="n">
        <x:v>0.159</x:v>
      </x:c>
      <x:c r="C800" s="6" t="n">
        <x:v>0.099</x:v>
      </x:c>
      <x:c r="D800" s="6" t="n">
        <x:f>B800</x:f>
        <x:v>0.159</x:v>
      </x:c>
      <x:c r="E800" s="1" t="n">
        <x:v>1.05</x:v>
      </x:c>
      <x:c r="F800" s="1" t="str">
        <x:v>https://api.octopus.energy/v1/products/AGILE-24-10-01/electricity-tariffs/E-1R-AGILE-24-10-01-G/standard-unit-rates/</x:v>
      </x:c>
    </x:row>
    <x:row r="801" ht="21" customHeight="1">
      <x:c r="A801" s="24" t="n">
        <x:v>46165.1875</x:v>
      </x:c>
      <x:c r="B801" s="6" t="n">
        <x:v>0.1653</x:v>
      </x:c>
      <x:c r="C801" s="6" t="n">
        <x:v>0.1018</x:v>
      </x:c>
      <x:c r="D801" s="6" t="n">
        <x:f>B801</x:f>
        <x:v>0.1653</x:v>
      </x:c>
      <x:c r="E801" s="1" t="n">
        <x:v>1.05</x:v>
      </x:c>
      <x:c r="F801" s="1" t="str">
        <x:v>https://api.octopus.energy/v1/products/AGILE-24-10-01/electricity-tariffs/E-1R-AGILE-24-10-01-G/standard-unit-rates/</x:v>
      </x:c>
    </x:row>
    <x:row r="802" ht="21" customHeight="1">
      <x:c r="A802" s="24" t="n">
        <x:v>46165.208333333336</x:v>
      </x:c>
      <x:c r="B802" s="6" t="n">
        <x:v>0.163</x:v>
      </x:c>
      <x:c r="C802" s="6" t="n">
        <x:v>0.1008</x:v>
      </x:c>
      <x:c r="D802" s="6" t="n">
        <x:f>B802</x:f>
        <x:v>0.163</x:v>
      </x:c>
      <x:c r="E802" s="1" t="n">
        <x:v>1.05</x:v>
      </x:c>
      <x:c r="F802" s="1" t="str">
        <x:v>https://api.octopus.energy/v1/products/AGILE-24-10-01/electricity-tariffs/E-1R-AGILE-24-10-01-G/standard-unit-rates/</x:v>
      </x:c>
    </x:row>
    <x:row r="803" ht="21" customHeight="1">
      <x:c r="A803" s="24" t="n">
        <x:v>46165.229166666664</x:v>
      </x:c>
      <x:c r="B803" s="6" t="n">
        <x:v>0.165</x:v>
      </x:c>
      <x:c r="C803" s="6" t="n">
        <x:v>0.1017</x:v>
      </x:c>
      <x:c r="D803" s="6" t="n">
        <x:f>B803</x:f>
        <x:v>0.165</x:v>
      </x:c>
      <x:c r="E803" s="1" t="n">
        <x:v>1.05</x:v>
      </x:c>
      <x:c r="F803" s="1" t="str">
        <x:v>https://api.octopus.energy/v1/products/AGILE-24-10-01/electricity-tariffs/E-1R-AGILE-24-10-01-G/standard-unit-rates/</x:v>
      </x:c>
    </x:row>
    <x:row r="804" ht="21" customHeight="1">
      <x:c r="A804" s="24" t="n">
        <x:v>46165.25</x:v>
      </x:c>
      <x:c r="B804" s="6" t="n">
        <x:v>0.15990000000000001</x:v>
      </x:c>
      <x:c r="C804" s="6" t="n">
        <x:v>0.09939999999999999</x:v>
      </x:c>
      <x:c r="D804" s="6" t="n">
        <x:f>B804</x:f>
        <x:v>0.15990000000000001</x:v>
      </x:c>
      <x:c r="E804" s="1" t="n">
        <x:v>1.05</x:v>
      </x:c>
      <x:c r="F804" s="1" t="str">
        <x:v>https://api.octopus.energy/v1/products/AGILE-24-10-01/electricity-tariffs/E-1R-AGILE-24-10-01-G/standard-unit-rates/</x:v>
      </x:c>
    </x:row>
    <x:row r="805" ht="21" customHeight="1">
      <x:c r="A805" s="24" t="n">
        <x:v>46165.270833333336</x:v>
      </x:c>
      <x:c r="B805" s="6" t="n">
        <x:v>0.1697</x:v>
      </x:c>
      <x:c r="C805" s="6" t="n">
        <x:v>0.1039</x:v>
      </x:c>
      <x:c r="D805" s="6" t="n">
        <x:f>B805</x:f>
        <x:v>0.1697</x:v>
      </x:c>
      <x:c r="E805" s="1" t="n">
        <x:v>1.05</x:v>
      </x:c>
      <x:c r="F805" s="1" t="str">
        <x:v>https://api.octopus.energy/v1/products/AGILE-24-10-01/electricity-tariffs/E-1R-AGILE-24-10-01-G/standard-unit-rates/</x:v>
      </x:c>
    </x:row>
    <x:row r="806" ht="21" customHeight="1">
      <x:c r="A806" s="24" t="n">
        <x:v>46165.291666666664</x:v>
      </x:c>
      <x:c r="B806" s="6" t="n">
        <x:v>0.1848</x:v>
      </x:c>
      <x:c r="C806" s="6" t="n">
        <x:v>0.1107</x:v>
      </x:c>
      <x:c r="D806" s="6" t="n">
        <x:f>B806</x:f>
        <x:v>0.1848</x:v>
      </x:c>
      <x:c r="E806" s="1" t="n">
        <x:v>1.05</x:v>
      </x:c>
      <x:c r="F806" s="1" t="str">
        <x:v>https://api.octopus.energy/v1/products/AGILE-24-10-01/electricity-tariffs/E-1R-AGILE-24-10-01-G/standard-unit-rates/</x:v>
      </x:c>
    </x:row>
    <x:row r="807" ht="21" customHeight="1">
      <x:c r="A807" s="24" t="n">
        <x:v>46165.3125</x:v>
      </x:c>
      <x:c r="B807" s="6" t="n">
        <x:v>0.1931</x:v>
      </x:c>
      <x:c r="C807" s="6" t="n">
        <x:v>0.11460000000000001</x:v>
      </x:c>
      <x:c r="D807" s="6" t="n">
        <x:f>B807</x:f>
        <x:v>0.1931</x:v>
      </x:c>
      <x:c r="E807" s="1" t="n">
        <x:v>1.05</x:v>
      </x:c>
      <x:c r="F807" s="1" t="str">
        <x:v>https://api.octopus.energy/v1/products/AGILE-24-10-01/electricity-tariffs/E-1R-AGILE-24-10-01-G/standard-unit-rates/</x:v>
      </x:c>
    </x:row>
    <x:row r="808" ht="21" customHeight="1">
      <x:c r="A808" s="24" t="n">
        <x:v>46165.333333333336</x:v>
      </x:c>
      <x:c r="B808" s="6" t="n">
        <x:v>0.1913</x:v>
      </x:c>
      <x:c r="C808" s="6" t="n">
        <x:v>0.1137</x:v>
      </x:c>
      <x:c r="D808" s="6" t="n">
        <x:f>B808</x:f>
        <x:v>0.1913</x:v>
      </x:c>
      <x:c r="E808" s="1" t="n">
        <x:v>1.05</x:v>
      </x:c>
      <x:c r="F808" s="1" t="str">
        <x:v>https://api.octopus.energy/v1/products/AGILE-24-10-01/electricity-tariffs/E-1R-AGILE-24-10-01-G/standard-unit-rates/</x:v>
      </x:c>
    </x:row>
    <x:row r="809" ht="21" customHeight="1">
      <x:c r="A809" s="24" t="n">
        <x:v>46165.354166666664</x:v>
      </x:c>
      <x:c r="B809" s="6" t="n">
        <x:v>0.1913</x:v>
      </x:c>
      <x:c r="C809" s="6" t="n">
        <x:v>0.1137</x:v>
      </x:c>
      <x:c r="D809" s="6" t="n">
        <x:f>B809</x:f>
        <x:v>0.1913</x:v>
      </x:c>
      <x:c r="E809" s="1" t="n">
        <x:v>1.05</x:v>
      </x:c>
      <x:c r="F809" s="1" t="str">
        <x:v>https://api.octopus.energy/v1/products/AGILE-24-10-01/electricity-tariffs/E-1R-AGILE-24-10-01-G/standard-unit-rates/</x:v>
      </x:c>
    </x:row>
    <x:row r="810" ht="21" customHeight="1">
      <x:c r="A810" s="24" t="n">
        <x:v>46165.375</x:v>
      </x:c>
      <x:c r="B810" s="6" t="n">
        <x:v>0.1808</x:v>
      </x:c>
      <x:c r="C810" s="6" t="n">
        <x:v>0.10890000000000001</x:v>
      </x:c>
      <x:c r="D810" s="6" t="n">
        <x:f>B810</x:f>
        <x:v>0.1808</x:v>
      </x:c>
      <x:c r="E810" s="1" t="n">
        <x:v>1.05</x:v>
      </x:c>
      <x:c r="F810" s="1" t="str">
        <x:v>https://api.octopus.energy/v1/products/AGILE-24-10-01/electricity-tariffs/E-1R-AGILE-24-10-01-G/standard-unit-rates/</x:v>
      </x:c>
    </x:row>
    <x:row r="811" ht="21" customHeight="1">
      <x:c r="A811" s="24" t="n">
        <x:v>46165.395833333336</x:v>
      </x:c>
      <x:c r="B811" s="6" t="n">
        <x:v>0.16760000000000003</x:v>
      </x:c>
      <x:c r="C811" s="6" t="n">
        <x:v>0.10289999999999999</x:v>
      </x:c>
      <x:c r="D811" s="6" t="n">
        <x:f>B811</x:f>
        <x:v>0.16760000000000003</x:v>
      </x:c>
      <x:c r="E811" s="1" t="n">
        <x:v>1.05</x:v>
      </x:c>
      <x:c r="F811" s="1" t="str">
        <x:v>https://api.octopus.energy/v1/products/AGILE-24-10-01/electricity-tariffs/E-1R-AGILE-24-10-01-G/standard-unit-rates/</x:v>
      </x:c>
    </x:row>
    <x:row r="812" ht="21" customHeight="1">
      <x:c r="A812" s="24" t="n">
        <x:v>46165.416666666664</x:v>
      </x:c>
      <x:c r="B812" s="6" t="n">
        <x:v>0.1514</x:v>
      </x:c>
      <x:c r="C812" s="6" t="n">
        <x:v>0.0955</x:v>
      </x:c>
      <x:c r="D812" s="6" t="n">
        <x:f>B812</x:f>
        <x:v>0.1514</x:v>
      </x:c>
      <x:c r="E812" s="1" t="n">
        <x:v>1.05</x:v>
      </x:c>
      <x:c r="F812" s="1" t="str">
        <x:v>https://api.octopus.energy/v1/products/AGILE-24-10-01/electricity-tariffs/E-1R-AGILE-24-10-01-G/standard-unit-rates/</x:v>
      </x:c>
    </x:row>
    <x:row r="813" ht="21" customHeight="1">
      <x:c r="A813" s="24" t="n">
        <x:v>46165.4375</x:v>
      </x:c>
      <x:c r="B813" s="6" t="n">
        <x:v>0.15560000000000002</x:v>
      </x:c>
      <x:c r="C813" s="6" t="n">
        <x:v>0.0974</x:v>
      </x:c>
      <x:c r="D813" s="6" t="n">
        <x:f>B813</x:f>
        <x:v>0.15560000000000002</x:v>
      </x:c>
      <x:c r="E813" s="1" t="n">
        <x:v>1.05</x:v>
      </x:c>
      <x:c r="F813" s="1" t="str">
        <x:v>https://api.octopus.energy/v1/products/AGILE-24-10-01/electricity-tariffs/E-1R-AGILE-24-10-01-G/standard-unit-rates/</x:v>
      </x:c>
    </x:row>
    <x:row r="814" ht="21" customHeight="1">
      <x:c r="A814" s="24" t="n">
        <x:v>46165.458333333336</x:v>
      </x:c>
      <x:c r="B814" s="6" t="n">
        <x:v>0.1423</x:v>
      </x:c>
      <x:c r="C814" s="6" t="n">
        <x:v>0.0913</x:v>
      </x:c>
      <x:c r="D814" s="6" t="n">
        <x:f>B814</x:f>
        <x:v>0.1423</x:v>
      </x:c>
      <x:c r="E814" s="1" t="n">
        <x:v>1.05</x:v>
      </x:c>
      <x:c r="F814" s="1" t="str">
        <x:v>https://api.octopus.energy/v1/products/AGILE-24-10-01/electricity-tariffs/E-1R-AGILE-24-10-01-G/standard-unit-rates/</x:v>
      </x:c>
    </x:row>
    <x:row r="815" ht="21" customHeight="1">
      <x:c r="A815" s="24" t="n">
        <x:v>46165.479166666664</x:v>
      </x:c>
      <x:c r="B815" s="6" t="n">
        <x:v>0.1282</x:v>
      </x:c>
      <x:c r="C815" s="6" t="n">
        <x:v>0.0849</x:v>
      </x:c>
      <x:c r="D815" s="6" t="n">
        <x:f>B815</x:f>
        <x:v>0.1282</x:v>
      </x:c>
      <x:c r="E815" s="1" t="n">
        <x:v>1.05</x:v>
      </x:c>
      <x:c r="F815" s="1" t="str">
        <x:v>https://api.octopus.energy/v1/products/AGILE-24-10-01/electricity-tariffs/E-1R-AGILE-24-10-01-G/standard-unit-rates/</x:v>
      </x:c>
    </x:row>
    <x:row r="816" ht="21" customHeight="1">
      <x:c r="A816" s="24" t="n">
        <x:v>46165.5</x:v>
      </x:c>
      <x:c r="B816" s="6" t="n">
        <x:v>0.1234</x:v>
      </x:c>
      <x:c r="C816" s="6" t="n">
        <x:v>0.0827</x:v>
      </x:c>
      <x:c r="D816" s="6" t="n">
        <x:f>B816</x:f>
        <x:v>0.1234</x:v>
      </x:c>
      <x:c r="E816" s="1" t="n">
        <x:v>1.05</x:v>
      </x:c>
      <x:c r="F816" s="1" t="str">
        <x:v>https://api.octopus.energy/v1/products/AGILE-24-10-01/electricity-tariffs/E-1R-AGILE-24-10-01-G/standard-unit-rates/</x:v>
      </x:c>
    </x:row>
    <x:row r="817" ht="21" customHeight="1">
      <x:c r="A817" s="24" t="n">
        <x:v>46165.520833333336</x:v>
      </x:c>
      <x:c r="B817" s="6" t="n">
        <x:v>0.12390000000000001</x:v>
      </x:c>
      <x:c r="C817" s="6" t="n">
        <x:v>0.08289999999999999</x:v>
      </x:c>
      <x:c r="D817" s="6" t="n">
        <x:f>B817</x:f>
        <x:v>0.12390000000000001</x:v>
      </x:c>
      <x:c r="E817" s="1" t="n">
        <x:v>1.05</x:v>
      </x:c>
      <x:c r="F817" s="1" t="str">
        <x:v>https://api.octopus.energy/v1/products/AGILE-24-10-01/electricity-tariffs/E-1R-AGILE-24-10-01-G/standard-unit-rates/</x:v>
      </x:c>
    </x:row>
    <x:row r="818" ht="21" customHeight="1">
      <x:c r="A818" s="24" t="n">
        <x:v>46165.541666666664</x:v>
      </x:c>
      <x:c r="B818" s="6" t="n">
        <x:v>0.1161</x:v>
      </x:c>
      <x:c r="C818" s="6" t="n">
        <x:v>0.0794</x:v>
      </x:c>
      <x:c r="D818" s="6" t="n">
        <x:f>B818</x:f>
        <x:v>0.1161</x:v>
      </x:c>
      <x:c r="E818" s="1" t="n">
        <x:v>1.05</x:v>
      </x:c>
      <x:c r="F818" s="1" t="str">
        <x:v>https://api.octopus.energy/v1/products/AGILE-24-10-01/electricity-tariffs/E-1R-AGILE-24-10-01-G/standard-unit-rates/</x:v>
      </x:c>
    </x:row>
    <x:row r="819" ht="21" customHeight="1">
      <x:c r="A819" s="24" t="n">
        <x:v>46165.5625</x:v>
      </x:c>
      <x:c r="B819" s="6" t="n">
        <x:v>0.10800000000000001</x:v>
      </x:c>
      <x:c r="C819" s="6" t="n">
        <x:v>0.0756</x:v>
      </x:c>
      <x:c r="D819" s="6" t="n">
        <x:f>B819</x:f>
        <x:v>0.10800000000000001</x:v>
      </x:c>
      <x:c r="E819" s="1" t="n">
        <x:v>1.05</x:v>
      </x:c>
      <x:c r="F819" s="1" t="str">
        <x:v>https://api.octopus.energy/v1/products/AGILE-24-10-01/electricity-tariffs/E-1R-AGILE-24-10-01-G/standard-unit-rates/</x:v>
      </x:c>
    </x:row>
    <x:row r="820" ht="21" customHeight="1">
      <x:c r="A820" s="24" t="n">
        <x:v>46165.583333333336</x:v>
      </x:c>
      <x:c r="B820" s="6" t="n">
        <x:v>0.10439999999999999</x:v>
      </x:c>
      <x:c r="C820" s="6" t="n">
        <x:v>0.07400000000000001</x:v>
      </x:c>
      <x:c r="D820" s="6" t="n">
        <x:f>B820</x:f>
        <x:v>0.10439999999999999</x:v>
      </x:c>
      <x:c r="E820" s="1" t="n">
        <x:v>1.05</x:v>
      </x:c>
      <x:c r="F820" s="1" t="str">
        <x:v>https://api.octopus.energy/v1/products/AGILE-24-10-01/electricity-tariffs/E-1R-AGILE-24-10-01-G/standard-unit-rates/</x:v>
      </x:c>
    </x:row>
    <x:row r="821" ht="21" customHeight="1">
      <x:c r="A821" s="24" t="n">
        <x:v>46165.604166666664</x:v>
      </x:c>
      <x:c r="B821" s="6" t="n">
        <x:v>0.1026</x:v>
      </x:c>
      <x:c r="C821" s="6" t="n">
        <x:v>0.0732</x:v>
      </x:c>
      <x:c r="D821" s="6" t="n">
        <x:f>B821</x:f>
        <x:v>0.1026</x:v>
      </x:c>
      <x:c r="E821" s="1" t="n">
        <x:v>1.05</x:v>
      </x:c>
      <x:c r="F821" s="1" t="str">
        <x:v>https://api.octopus.energy/v1/products/AGILE-24-10-01/electricity-tariffs/E-1R-AGILE-24-10-01-G/standard-unit-rates/</x:v>
      </x:c>
    </x:row>
    <x:row r="822" ht="21" customHeight="1">
      <x:c r="A822" s="24" t="n">
        <x:v>46165.625</x:v>
      </x:c>
      <x:c r="B822" s="6" t="n">
        <x:v>0.11699999999999999</x:v>
      </x:c>
      <x:c r="C822" s="6" t="n">
        <x:v>0.0797</x:v>
      </x:c>
      <x:c r="D822" s="6" t="n">
        <x:f>B822</x:f>
        <x:v>0.11699999999999999</x:v>
      </x:c>
      <x:c r="E822" s="1" t="n">
        <x:v>1.05</x:v>
      </x:c>
      <x:c r="F822" s="1" t="str">
        <x:v>https://api.octopus.energy/v1/products/AGILE-24-10-01/electricity-tariffs/E-1R-AGILE-24-10-01-G/standard-unit-rates/</x:v>
      </x:c>
    </x:row>
    <x:row r="823" ht="21" customHeight="1">
      <x:c r="A823" s="24" t="n">
        <x:v>46165.645833333336</x:v>
      </x:c>
      <x:c r="B823" s="6" t="n">
        <x:v>0.11789999999999999</x:v>
      </x:c>
      <x:c r="C823" s="6" t="n">
        <x:v>0.0801</x:v>
      </x:c>
      <x:c r="D823" s="6" t="n">
        <x:f>B823</x:f>
        <x:v>0.11789999999999999</x:v>
      </x:c>
      <x:c r="E823" s="1" t="n">
        <x:v>1.05</x:v>
      </x:c>
      <x:c r="F823" s="1" t="str">
        <x:v>https://api.octopus.energy/v1/products/AGILE-24-10-01/electricity-tariffs/E-1R-AGILE-24-10-01-G/standard-unit-rates/</x:v>
      </x:c>
    </x:row>
    <x:row r="824" ht="21" customHeight="1">
      <x:c r="A824" s="24" t="n">
        <x:v>46165.666666666664</x:v>
      </x:c>
      <x:c r="B824" s="6" t="n">
        <x:v>0.2756</x:v>
      </x:c>
      <x:c r="C824" s="6" t="n">
        <x:v>0.1563</x:v>
      </x:c>
      <x:c r="D824" s="6" t="n">
        <x:f>B824</x:f>
        <x:v>0.2756</x:v>
      </x:c>
      <x:c r="E824" s="1" t="n">
        <x:v>1.05</x:v>
      </x:c>
      <x:c r="F824" s="1" t="str">
        <x:v>https://api.octopus.energy/v1/products/AGILE-24-10-01/electricity-tariffs/E-1R-AGILE-24-10-01-G/standard-unit-rates/</x:v>
      </x:c>
    </x:row>
    <x:row r="825" ht="21" customHeight="1">
      <x:c r="A825" s="24" t="n">
        <x:v>46165.6875</x:v>
      </x:c>
      <x:c r="B825" s="6" t="n">
        <x:v>0.2861</x:v>
      </x:c>
      <x:c r="C825" s="6" t="n">
        <x:v>0.1611</x:v>
      </x:c>
      <x:c r="D825" s="6" t="n">
        <x:f>B825</x:f>
        <x:v>0.2861</x:v>
      </x:c>
      <x:c r="E825" s="1" t="n">
        <x:v>1.05</x:v>
      </x:c>
      <x:c r="F825" s="1" t="str">
        <x:v>https://api.octopus.energy/v1/products/AGILE-24-10-01/electricity-tariffs/E-1R-AGILE-24-10-01-G/standard-unit-rates/</x:v>
      </x:c>
    </x:row>
    <x:row r="826" ht="21" customHeight="1">
      <x:c r="A826" s="24" t="n">
        <x:v>46165.708333333336</x:v>
      </x:c>
      <x:c r="B826" s="6" t="n">
        <x:v>0.304</x:v>
      </x:c>
      <x:c r="C826" s="6" t="n">
        <x:v>0.1693</x:v>
      </x:c>
      <x:c r="D826" s="6" t="n">
        <x:f>B826</x:f>
        <x:v>0.304</x:v>
      </x:c>
      <x:c r="E826" s="1" t="n">
        <x:v>1.05</x:v>
      </x:c>
      <x:c r="F826" s="1" t="str">
        <x:v>https://api.octopus.energy/v1/products/AGILE-24-10-01/electricity-tariffs/E-1R-AGILE-24-10-01-G/standard-unit-rates/</x:v>
      </x:c>
    </x:row>
    <x:row r="827" ht="21" customHeight="1">
      <x:c r="A827" s="24" t="n">
        <x:v>46165.729166666664</x:v>
      </x:c>
      <x:c r="B827" s="6" t="n">
        <x:v>0.305</x:v>
      </x:c>
      <x:c r="C827" s="6" t="n">
        <x:v>0.1697</x:v>
      </x:c>
      <x:c r="D827" s="6" t="n">
        <x:f>B827</x:f>
        <x:v>0.305</x:v>
      </x:c>
      <x:c r="E827" s="1" t="n">
        <x:v>1.05</x:v>
      </x:c>
      <x:c r="F827" s="1" t="str">
        <x:v>https://api.octopus.energy/v1/products/AGILE-24-10-01/electricity-tariffs/E-1R-AGILE-24-10-01-G/standard-unit-rates/</x:v>
      </x:c>
    </x:row>
    <x:row r="828" ht="21" customHeight="1">
      <x:c r="A828" s="24" t="n">
        <x:v>46165.75</x:v>
      </x:c>
      <x:c r="B828" s="6" t="n">
        <x:v>0.3292</x:v>
      </x:c>
      <x:c r="C828" s="6" t="n">
        <x:v>0.1808</x:v>
      </x:c>
      <x:c r="D828" s="6" t="n">
        <x:f>B828</x:f>
        <x:v>0.3292</x:v>
      </x:c>
      <x:c r="E828" s="1" t="n">
        <x:v>1.05</x:v>
      </x:c>
      <x:c r="F828" s="1" t="str">
        <x:v>https://api.octopus.energy/v1/products/AGILE-24-10-01/electricity-tariffs/E-1R-AGILE-24-10-01-G/standard-unit-rates/</x:v>
      </x:c>
    </x:row>
    <x:row r="829" ht="21" customHeight="1">
      <x:c r="A829" s="24" t="n">
        <x:v>46165.770833333336</x:v>
      </x:c>
      <x:c r="B829" s="6" t="n">
        <x:v>0.3344</x:v>
      </x:c>
      <x:c r="C829" s="6" t="n">
        <x:v>0.1832</x:v>
      </x:c>
      <x:c r="D829" s="6" t="n">
        <x:f>B829</x:f>
        <x:v>0.3344</x:v>
      </x:c>
      <x:c r="E829" s="1" t="n">
        <x:v>1.05</x:v>
      </x:c>
      <x:c r="F829" s="1" t="str">
        <x:v>https://api.octopus.energy/v1/products/AGILE-24-10-01/electricity-tariffs/E-1R-AGILE-24-10-01-G/standard-unit-rates/</x:v>
      </x:c>
    </x:row>
    <x:row r="830" ht="21" customHeight="1">
      <x:c r="A830" s="24" t="n">
        <x:v>46165.791666666664</x:v>
      </x:c>
      <x:c r="B830" s="6" t="n">
        <x:v>0.2519</x:v>
      </x:c>
      <x:c r="C830" s="6" t="n">
        <x:v>0.1414</x:v>
      </x:c>
      <x:c r="D830" s="6" t="n">
        <x:f>B830</x:f>
        <x:v>0.2519</x:v>
      </x:c>
      <x:c r="E830" s="1" t="n">
        <x:v>1.05</x:v>
      </x:c>
      <x:c r="F830" s="1" t="str">
        <x:v>https://api.octopus.energy/v1/products/AGILE-24-10-01/electricity-tariffs/E-1R-AGILE-24-10-01-G/standard-unit-rates/</x:v>
      </x:c>
    </x:row>
    <x:row r="831" ht="21" customHeight="1">
      <x:c r="A831" s="24" t="n">
        <x:v>46165.8125</x:v>
      </x:c>
      <x:c r="B831" s="6" t="n">
        <x:v>0.25739999999999996</x:v>
      </x:c>
      <x:c r="C831" s="6" t="n">
        <x:v>0.1439</x:v>
      </x:c>
      <x:c r="D831" s="6" t="n">
        <x:f>B831</x:f>
        <x:v>0.25739999999999996</x:v>
      </x:c>
      <x:c r="E831" s="1" t="n">
        <x:v>1.05</x:v>
      </x:c>
      <x:c r="F831" s="1" t="str">
        <x:v>https://api.octopus.energy/v1/products/AGILE-24-10-01/electricity-tariffs/E-1R-AGILE-24-10-01-G/standard-unit-rates/</x:v>
      </x:c>
    </x:row>
    <x:row r="832" ht="21" customHeight="1">
      <x:c r="A832" s="24" t="n">
        <x:v>46165.833333333336</x:v>
      </x:c>
      <x:c r="B832" s="6" t="n">
        <x:v>0.25980000000000003</x:v>
      </x:c>
      <x:c r="C832" s="6" t="n">
        <x:v>0.145</x:v>
      </x:c>
      <x:c r="D832" s="6" t="n">
        <x:f>B832</x:f>
        <x:v>0.25980000000000003</x:v>
      </x:c>
      <x:c r="E832" s="1" t="n">
        <x:v>1.05</x:v>
      </x:c>
      <x:c r="F832" s="1" t="str">
        <x:v>https://api.octopus.energy/v1/products/AGILE-24-10-01/electricity-tariffs/E-1R-AGILE-24-10-01-G/standard-unit-rates/</x:v>
      </x:c>
    </x:row>
    <x:row r="833" ht="21" customHeight="1">
      <x:c r="A833" s="24" t="n">
        <x:v>46165.854166666664</x:v>
      </x:c>
      <x:c r="B833" s="6" t="n">
        <x:v>0.2606</x:v>
      </x:c>
      <x:c r="C833" s="6" t="n">
        <x:v>0.1454</x:v>
      </x:c>
      <x:c r="D833" s="6" t="n">
        <x:f>B833</x:f>
        <x:v>0.2606</x:v>
      </x:c>
      <x:c r="E833" s="1" t="n">
        <x:v>1.05</x:v>
      </x:c>
      <x:c r="F833" s="1" t="str">
        <x:v>https://api.octopus.energy/v1/products/AGILE-24-10-01/electricity-tariffs/E-1R-AGILE-24-10-01-G/standard-unit-rates/</x:v>
      </x:c>
    </x:row>
    <x:row r="834" ht="21" customHeight="1">
      <x:c r="A834" s="24" t="n">
        <x:v>46165.875</x:v>
      </x:c>
      <x:c r="B834" s="6" t="n">
        <x:v>0.23120000000000002</x:v>
      </x:c>
      <x:c r="C834" s="6" t="n">
        <x:v>0.132</x:v>
      </x:c>
      <x:c r="D834" s="6" t="n">
        <x:f>B834</x:f>
        <x:v>0.23120000000000002</x:v>
      </x:c>
      <x:c r="E834" s="1" t="n">
        <x:v>1.05</x:v>
      </x:c>
      <x:c r="F834" s="1" t="str">
        <x:v>https://api.octopus.energy/v1/products/AGILE-24-10-01/electricity-tariffs/E-1R-AGILE-24-10-01-G/standard-unit-rates/</x:v>
      </x:c>
    </x:row>
    <x:row r="835" ht="21" customHeight="1">
      <x:c r="A835" s="24" t="n">
        <x:v>46165.895833333336</x:v>
      </x:c>
      <x:c r="B835" s="6" t="n">
        <x:v>0.2291</x:v>
      </x:c>
      <x:c r="C835" s="6" t="n">
        <x:v>0.131</x:v>
      </x:c>
      <x:c r="D835" s="6" t="n">
        <x:f>B835</x:f>
        <x:v>0.2291</x:v>
      </x:c>
      <x:c r="E835" s="1" t="n">
        <x:v>1.05</x:v>
      </x:c>
      <x:c r="F835" s="1" t="str">
        <x:v>https://api.octopus.energy/v1/products/AGILE-24-10-01/electricity-tariffs/E-1R-AGILE-24-10-01-G/standard-unit-rates/</x:v>
      </x:c>
    </x:row>
    <x:row r="836" ht="21" customHeight="1">
      <x:c r="A836" s="24" t="n">
        <x:v>46165.916666666664</x:v>
      </x:c>
      <x:c r="B836" s="6" t="n">
        <x:v>0.2091</x:v>
      </x:c>
      <x:c r="C836" s="6" t="n">
        <x:v>0.12179999999999999</x:v>
      </x:c>
      <x:c r="D836" s="6" t="n">
        <x:f>B836</x:f>
        <x:v>0.2091</x:v>
      </x:c>
      <x:c r="E836" s="1" t="n">
        <x:v>1.05</x:v>
      </x:c>
      <x:c r="F836" s="1" t="str">
        <x:v>https://api.octopus.energy/v1/products/AGILE-24-10-01/electricity-tariffs/E-1R-AGILE-24-10-01-G/standard-unit-rates/</x:v>
      </x:c>
    </x:row>
    <x:row r="837" ht="21" customHeight="1">
      <x:c r="A837" s="24" t="n">
        <x:v>46165.9375</x:v>
      </x:c>
      <x:c r="B837" s="6" t="n">
        <x:v>0.1895</x:v>
      </x:c>
      <x:c r="C837" s="6" t="n">
        <x:v>0.11289999999999999</x:v>
      </x:c>
      <x:c r="D837" s="6" t="n">
        <x:f>B837</x:f>
        <x:v>0.1895</x:v>
      </x:c>
      <x:c r="E837" s="1" t="n">
        <x:v>1.05</x:v>
      </x:c>
      <x:c r="F837" s="1" t="str">
        <x:v>https://api.octopus.energy/v1/products/AGILE-24-10-01/electricity-tariffs/E-1R-AGILE-24-10-01-G/standard-unit-rates/</x:v>
      </x:c>
    </x:row>
    <x:row r="838" ht="21" customHeight="1">
      <x:c r="A838" s="24" t="n">
        <x:v>46166</x:v>
      </x:c>
      <x:c r="B838" s="6" t="n">
        <x:v>0.2278</x:v>
      </x:c>
      <x:c r="C838" s="6" t="n">
        <x:v>0.1304</x:v>
      </x:c>
      <x:c r="D838" s="6" t="n">
        <x:f>B838</x:f>
        <x:v>0.2278</x:v>
      </x:c>
      <x:c r="E838" s="1" t="n">
        <x:v>1.05</x:v>
      </x:c>
      <x:c r="F838" s="1" t="str">
        <x:v>https://api.octopus.energy/v1/products/AGILE-24-10-01/electricity-tariffs/E-1R-AGILE-24-10-01-G/standard-unit-rates/</x:v>
      </x:c>
    </x:row>
    <x:row r="839" ht="21" customHeight="1">
      <x:c r="A839" s="24" t="n">
        <x:v>46165.979166666664</x:v>
      </x:c>
      <x:c r="B839" s="6" t="n">
        <x:v>0.2236</x:v>
      </x:c>
      <x:c r="C839" s="6" t="n">
        <x:v>0.1285</x:v>
      </x:c>
      <x:c r="D839" s="6" t="n">
        <x:f>B839</x:f>
        <x:v>0.2236</x:v>
      </x:c>
      <x:c r="E839" s="1" t="n">
        <x:v>1.05</x:v>
      </x:c>
      <x:c r="F839" s="1" t="str">
        <x:v>https://api.octopus.energy/v1/products/AGILE-24-10-01/electricity-tariffs/E-1R-AGILE-24-10-01-G/standard-unit-rates/</x:v>
      </x:c>
    </x:row>
    <x:row r="840" ht="21" customHeight="1">
      <x:c r="A840" s="24" t="n">
        <x:v>46166</x:v>
      </x:c>
      <x:c r="B840" s="6" t="n">
        <x:v>0.22010000000000002</x:v>
      </x:c>
      <x:c r="C840" s="6" t="n">
        <x:v>0.12689999999999999</x:v>
      </x:c>
      <x:c r="D840" s="6" t="n">
        <x:f>B840</x:f>
        <x:v>0.22010000000000002</x:v>
      </x:c>
      <x:c r="E840" s="1" t="n">
        <x:v>1.05</x:v>
      </x:c>
      <x:c r="F840" s="1" t="str">
        <x:v>https://api.octopus.energy/v1/products/AGILE-24-10-01/electricity-tariffs/E-1R-AGILE-24-10-01-G/standard-unit-rates/</x:v>
      </x:c>
    </x:row>
    <x:row r="841" ht="21" customHeight="1">
      <x:c r="A841" s="24" t="n">
        <x:v>46166.020833333336</x:v>
      </x:c>
      <x:c r="B841" s="6" t="n">
        <x:v>0.2102</x:v>
      </x:c>
      <x:c r="C841" s="6" t="n">
        <x:v>0.12240000000000001</x:v>
      </x:c>
      <x:c r="D841" s="6" t="n">
        <x:f>B841</x:f>
        <x:v>0.2102</x:v>
      </x:c>
      <x:c r="E841" s="1" t="n">
        <x:v>1.05</x:v>
      </x:c>
      <x:c r="F841" s="1" t="str">
        <x:v>https://api.octopus.energy/v1/products/AGILE-24-10-01/electricity-tariffs/E-1R-AGILE-24-10-01-G/standard-unit-rates/</x:v>
      </x:c>
    </x:row>
    <x:row r="842" ht="21" customHeight="1">
      <x:c r="A842" s="24" t="n">
        <x:v>46166.041666666664</x:v>
      </x:c>
      <x:c r="B842" s="6" t="n">
        <x:v>0.1892</x:v>
      </x:c>
      <x:c r="C842" s="6" t="n">
        <x:v>0.1128</x:v>
      </x:c>
      <x:c r="D842" s="6" t="n">
        <x:f>B842</x:f>
        <x:v>0.1892</x:v>
      </x:c>
      <x:c r="E842" s="1" t="n">
        <x:v>1.05</x:v>
      </x:c>
      <x:c r="F842" s="1" t="str">
        <x:v>https://api.octopus.energy/v1/products/AGILE-24-10-01/electricity-tariffs/E-1R-AGILE-24-10-01-G/standard-unit-rates/</x:v>
      </x:c>
    </x:row>
    <x:row r="843" ht="21" customHeight="1">
      <x:c r="A843" s="24" t="n">
        <x:v>46166.0625</x:v>
      </x:c>
      <x:c r="B843" s="6" t="n">
        <x:v>0.1945</x:v>
      </x:c>
      <x:c r="C843" s="6" t="n">
        <x:v>0.1152</x:v>
      </x:c>
      <x:c r="D843" s="6" t="n">
        <x:f>B843</x:f>
        <x:v>0.1945</x:v>
      </x:c>
      <x:c r="E843" s="1" t="n">
        <x:v>1.05</x:v>
      </x:c>
      <x:c r="F843" s="1" t="str">
        <x:v>https://api.octopus.energy/v1/products/AGILE-24-10-01/electricity-tariffs/E-1R-AGILE-24-10-01-G/standard-unit-rates/</x:v>
      </x:c>
    </x:row>
    <x:row r="844" ht="21" customHeight="1">
      <x:c r="A844" s="24" t="n">
        <x:v>46166.083333333336</x:v>
      </x:c>
      <x:c r="B844" s="6" t="n">
        <x:v>0.1978</x:v>
      </x:c>
      <x:c r="C844" s="6" t="n">
        <x:v>0.1167</x:v>
      </x:c>
      <x:c r="D844" s="6" t="n">
        <x:f>B844</x:f>
        <x:v>0.1978</x:v>
      </x:c>
      <x:c r="E844" s="1" t="n">
        <x:v>1.05</x:v>
      </x:c>
      <x:c r="F844" s="1" t="str">
        <x:v>https://api.octopus.energy/v1/products/AGILE-24-10-01/electricity-tariffs/E-1R-AGILE-24-10-01-G/standard-unit-rates/</x:v>
      </x:c>
    </x:row>
    <x:row r="845" ht="21" customHeight="1">
      <x:c r="A845" s="24" t="n">
        <x:v>46166.104166666664</x:v>
      </x:c>
      <x:c r="B845" s="6" t="n">
        <x:v>0.19469999999999998</x:v>
      </x:c>
      <x:c r="C845" s="6" t="n">
        <x:v>0.1153</x:v>
      </x:c>
      <x:c r="D845" s="6" t="n">
        <x:f>B845</x:f>
        <x:v>0.19469999999999998</x:v>
      </x:c>
      <x:c r="E845" s="1" t="n">
        <x:v>1.05</x:v>
      </x:c>
      <x:c r="F845" s="1" t="str">
        <x:v>https://api.octopus.energy/v1/products/AGILE-24-10-01/electricity-tariffs/E-1R-AGILE-24-10-01-G/standard-unit-rates/</x:v>
      </x:c>
    </x:row>
    <x:row r="846" ht="21" customHeight="1">
      <x:c r="A846" s="24" t="n">
        <x:v>46166.125</x:v>
      </x:c>
      <x:c r="B846" s="6" t="n">
        <x:v>0.1886</x:v>
      </x:c>
      <x:c r="C846" s="6" t="n">
        <x:v>0.1125</x:v>
      </x:c>
      <x:c r="D846" s="6" t="n">
        <x:f>B846</x:f>
        <x:v>0.1886</x:v>
      </x:c>
      <x:c r="E846" s="1" t="n">
        <x:v>1.05</x:v>
      </x:c>
      <x:c r="F846" s="1" t="str">
        <x:v>https://api.octopus.energy/v1/products/AGILE-24-10-01/electricity-tariffs/E-1R-AGILE-24-10-01-G/standard-unit-rates/</x:v>
      </x:c>
    </x:row>
    <x:row r="847" ht="21" customHeight="1">
      <x:c r="A847" s="24" t="n">
        <x:v>46166.145833333336</x:v>
      </x:c>
      <x:c r="B847" s="6" t="n">
        <x:v>0.1863</x:v>
      </x:c>
      <x:c r="C847" s="6" t="n">
        <x:v>0.1114</x:v>
      </x:c>
      <x:c r="D847" s="6" t="n">
        <x:f>B847</x:f>
        <x:v>0.1863</x:v>
      </x:c>
      <x:c r="E847" s="1" t="n">
        <x:v>1.05</x:v>
      </x:c>
      <x:c r="F847" s="1" t="str">
        <x:v>https://api.octopus.energy/v1/products/AGILE-24-10-01/electricity-tariffs/E-1R-AGILE-24-10-01-G/standard-unit-rates/</x:v>
      </x:c>
    </x:row>
    <x:row r="848" ht="21" customHeight="1">
      <x:c r="A848" s="24" t="n">
        <x:v>46166.166666666664</x:v>
      </x:c>
      <x:c r="B848" s="6" t="n">
        <x:v>0.18489999999999998</x:v>
      </x:c>
      <x:c r="C848" s="6" t="n">
        <x:v>0.1108</x:v>
      </x:c>
      <x:c r="D848" s="6" t="n">
        <x:f>B848</x:f>
        <x:v>0.18489999999999998</x:v>
      </x:c>
      <x:c r="E848" s="1" t="n">
        <x:v>1.05</x:v>
      </x:c>
      <x:c r="F848" s="1" t="str">
        <x:v>https://api.octopus.energy/v1/products/AGILE-24-10-01/electricity-tariffs/E-1R-AGILE-24-10-01-G/standard-unit-rates/</x:v>
      </x:c>
    </x:row>
    <x:row r="849" ht="21" customHeight="1">
      <x:c r="A849" s="24" t="n">
        <x:v>46166.1875</x:v>
      </x:c>
      <x:c r="B849" s="6" t="n">
        <x:v>0.1838</x:v>
      </x:c>
      <x:c r="C849" s="6" t="n">
        <x:v>0.1103</x:v>
      </x:c>
      <x:c r="D849" s="6" t="n">
        <x:f>B849</x:f>
        <x:v>0.1838</x:v>
      </x:c>
      <x:c r="E849" s="1" t="n">
        <x:v>1.05</x:v>
      </x:c>
      <x:c r="F849" s="1" t="str">
        <x:v>https://api.octopus.energy/v1/products/AGILE-24-10-01/electricity-tariffs/E-1R-AGILE-24-10-01-G/standard-unit-rates/</x:v>
      </x:c>
    </x:row>
    <x:row r="850" ht="21" customHeight="1">
      <x:c r="A850" s="24" t="n">
        <x:v>46166.208333333336</x:v>
      </x:c>
      <x:c r="B850" s="6" t="n">
        <x:v>0.18170000000000003</x:v>
      </x:c>
      <x:c r="C850" s="6" t="n">
        <x:v>0.1093</x:v>
      </x:c>
      <x:c r="D850" s="6" t="n">
        <x:f>B850</x:f>
        <x:v>0.18170000000000003</x:v>
      </x:c>
      <x:c r="E850" s="1" t="n">
        <x:v>1.05</x:v>
      </x:c>
      <x:c r="F850" s="1" t="str">
        <x:v>https://api.octopus.energy/v1/products/AGILE-24-10-01/electricity-tariffs/E-1R-AGILE-24-10-01-G/standard-unit-rates/</x:v>
      </x:c>
    </x:row>
    <x:row r="851" ht="21" customHeight="1">
      <x:c r="A851" s="24" t="n">
        <x:v>46166.229166666664</x:v>
      </x:c>
      <x:c r="B851" s="6" t="n">
        <x:v>0.1772</x:v>
      </x:c>
      <x:c r="C851" s="6" t="n">
        <x:v>0.1073</x:v>
      </x:c>
      <x:c r="D851" s="6" t="n">
        <x:f>B851</x:f>
        <x:v>0.1772</x:v>
      </x:c>
      <x:c r="E851" s="1" t="n">
        <x:v>1.05</x:v>
      </x:c>
      <x:c r="F851" s="1" t="str">
        <x:v>https://api.octopus.energy/v1/products/AGILE-24-10-01/electricity-tariffs/E-1R-AGILE-24-10-01-G/standard-unit-rates/</x:v>
      </x:c>
    </x:row>
    <x:row r="852" ht="21" customHeight="1">
      <x:c r="A852" s="24" t="n">
        <x:v>46166.25</x:v>
      </x:c>
      <x:c r="B852" s="6" t="n">
        <x:v>0.17859999999999998</x:v>
      </x:c>
      <x:c r="C852" s="6" t="n">
        <x:v>0.1079</x:v>
      </x:c>
      <x:c r="D852" s="6" t="n">
        <x:f>B852</x:f>
        <x:v>0.17859999999999998</x:v>
      </x:c>
      <x:c r="E852" s="1" t="n">
        <x:v>1.05</x:v>
      </x:c>
      <x:c r="F852" s="1" t="str">
        <x:v>https://api.octopus.energy/v1/products/AGILE-24-10-01/electricity-tariffs/E-1R-AGILE-24-10-01-G/standard-unit-rates/</x:v>
      </x:c>
    </x:row>
    <x:row r="853" ht="21" customHeight="1">
      <x:c r="A853" s="24" t="n">
        <x:v>46166.270833333336</x:v>
      </x:c>
      <x:c r="B853" s="6" t="n">
        <x:v>0.177</x:v>
      </x:c>
      <x:c r="C853" s="6" t="n">
        <x:v>0.1072</x:v>
      </x:c>
      <x:c r="D853" s="6" t="n">
        <x:f>B853</x:f>
        <x:v>0.177</x:v>
      </x:c>
      <x:c r="E853" s="1" t="n">
        <x:v>1.05</x:v>
      </x:c>
      <x:c r="F853" s="1" t="str">
        <x:v>https://api.octopus.energy/v1/products/AGILE-24-10-01/electricity-tariffs/E-1R-AGILE-24-10-01-G/standard-unit-rates/</x:v>
      </x:c>
    </x:row>
    <x:row r="854" ht="21" customHeight="1">
      <x:c r="A854" s="24" t="n">
        <x:v>46166.291666666664</x:v>
      </x:c>
      <x:c r="B854" s="6" t="n">
        <x:v>0.18460000000000001</x:v>
      </x:c>
      <x:c r="C854" s="6" t="n">
        <x:v>0.1106</x:v>
      </x:c>
      <x:c r="D854" s="6" t="n">
        <x:f>B854</x:f>
        <x:v>0.18460000000000001</x:v>
      </x:c>
      <x:c r="E854" s="1" t="n">
        <x:v>1.05</x:v>
      </x:c>
      <x:c r="F854" s="1" t="str">
        <x:v>https://api.octopus.energy/v1/products/AGILE-24-10-01/electricity-tariffs/E-1R-AGILE-24-10-01-G/standard-unit-rates/</x:v>
      </x:c>
    </x:row>
    <x:row r="855" ht="21" customHeight="1">
      <x:c r="A855" s="24" t="n">
        <x:v>46166.3125</x:v>
      </x:c>
      <x:c r="B855" s="6" t="n">
        <x:v>0.1804</x:v>
      </x:c>
      <x:c r="C855" s="6" t="n">
        <x:v>0.10869999999999999</x:v>
      </x:c>
      <x:c r="D855" s="6" t="n">
        <x:f>B855</x:f>
        <x:v>0.1804</x:v>
      </x:c>
      <x:c r="E855" s="1" t="n">
        <x:v>1.05</x:v>
      </x:c>
      <x:c r="F855" s="1" t="str">
        <x:v>https://api.octopus.energy/v1/products/AGILE-24-10-01/electricity-tariffs/E-1R-AGILE-24-10-01-G/standard-unit-rates/</x:v>
      </x:c>
    </x:row>
    <x:row r="856" ht="21" customHeight="1">
      <x:c r="A856" s="24" t="n">
        <x:v>46166.333333333336</x:v>
      </x:c>
      <x:c r="B856" s="6" t="n">
        <x:v>0.18309999999999998</x:v>
      </x:c>
      <x:c r="C856" s="6" t="n">
        <x:v>0.11</x:v>
      </x:c>
      <x:c r="D856" s="6" t="n">
        <x:f>B856</x:f>
        <x:v>0.18309999999999998</x:v>
      </x:c>
      <x:c r="E856" s="1" t="n">
        <x:v>1.05</x:v>
      </x:c>
      <x:c r="F856" s="1" t="str">
        <x:v>https://api.octopus.energy/v1/products/AGILE-24-10-01/electricity-tariffs/E-1R-AGILE-24-10-01-G/standard-unit-rates/</x:v>
      </x:c>
    </x:row>
    <x:row r="857" ht="21" customHeight="1">
      <x:c r="A857" s="24" t="n">
        <x:v>46166.354166666664</x:v>
      </x:c>
      <x:c r="B857" s="6" t="n">
        <x:v>0.17800000000000002</x:v>
      </x:c>
      <x:c r="C857" s="6" t="n">
        <x:v>0.1076</x:v>
      </x:c>
      <x:c r="D857" s="6" t="n">
        <x:f>B857</x:f>
        <x:v>0.17800000000000002</x:v>
      </x:c>
      <x:c r="E857" s="1" t="n">
        <x:v>1.05</x:v>
      </x:c>
      <x:c r="F857" s="1" t="str">
        <x:v>https://api.octopus.energy/v1/products/AGILE-24-10-01/electricity-tariffs/E-1R-AGILE-24-10-01-G/standard-unit-rates/</x:v>
      </x:c>
    </x:row>
    <x:row r="858" ht="21" customHeight="1">
      <x:c r="A858" s="24" t="n">
        <x:v>46166.375</x:v>
      </x:c>
      <x:c r="B858" s="6" t="n">
        <x:v>0.1819</x:v>
      </x:c>
      <x:c r="C858" s="6" t="n">
        <x:v>0.1094</x:v>
      </x:c>
      <x:c r="D858" s="6" t="n">
        <x:f>B858</x:f>
        <x:v>0.1819</x:v>
      </x:c>
      <x:c r="E858" s="1" t="n">
        <x:v>1.05</x:v>
      </x:c>
      <x:c r="F858" s="1" t="str">
        <x:v>https://api.octopus.energy/v1/products/AGILE-24-10-01/electricity-tariffs/E-1R-AGILE-24-10-01-G/standard-unit-rates/</x:v>
      </x:c>
    </x:row>
    <x:row r="859" ht="21" customHeight="1">
      <x:c r="A859" s="24" t="n">
        <x:v>46166.395833333336</x:v>
      </x:c>
      <x:c r="B859" s="6" t="n">
        <x:v>0.1724</x:v>
      </x:c>
      <x:c r="C859" s="6" t="n">
        <x:v>0.1051</x:v>
      </x:c>
      <x:c r="D859" s="6" t="n">
        <x:f>B859</x:f>
        <x:v>0.1724</x:v>
      </x:c>
      <x:c r="E859" s="1" t="n">
        <x:v>1.05</x:v>
      </x:c>
      <x:c r="F859" s="1" t="str">
        <x:v>https://api.octopus.energy/v1/products/AGILE-24-10-01/electricity-tariffs/E-1R-AGILE-24-10-01-G/standard-unit-rates/</x:v>
      </x:c>
    </x:row>
    <x:row r="860" ht="21" customHeight="1">
      <x:c r="A860" s="24" t="n">
        <x:v>46166.416666666664</x:v>
      </x:c>
      <x:c r="B860" s="6" t="n">
        <x:v>0.16570000000000001</x:v>
      </x:c>
      <x:c r="C860" s="6" t="n">
        <x:v>0.102</x:v>
      </x:c>
      <x:c r="D860" s="6" t="n">
        <x:f>B860</x:f>
        <x:v>0.16570000000000001</x:v>
      </x:c>
      <x:c r="E860" s="1" t="n">
        <x:v>1.05</x:v>
      </x:c>
      <x:c r="F860" s="1" t="str">
        <x:v>https://api.octopus.energy/v1/products/AGILE-24-10-01/electricity-tariffs/E-1R-AGILE-24-10-01-G/standard-unit-rates/</x:v>
      </x:c>
    </x:row>
    <x:row r="861" ht="21" customHeight="1">
      <x:c r="A861" s="24" t="n">
        <x:v>46166.4375</x:v>
      </x:c>
      <x:c r="B861" s="6" t="n">
        <x:v>0.1577</x:v>
      </x:c>
      <x:c r="C861" s="6" t="n">
        <x:v>0.0984</x:v>
      </x:c>
      <x:c r="D861" s="6" t="n">
        <x:f>B861</x:f>
        <x:v>0.1577</x:v>
      </x:c>
      <x:c r="E861" s="1" t="n">
        <x:v>1.05</x:v>
      </x:c>
      <x:c r="F861" s="1" t="str">
        <x:v>https://api.octopus.energy/v1/products/AGILE-24-10-01/electricity-tariffs/E-1R-AGILE-24-10-01-G/standard-unit-rates/</x:v>
      </x:c>
    </x:row>
    <x:row r="862" ht="21" customHeight="1">
      <x:c r="A862" s="24" t="n">
        <x:v>46166.458333333336</x:v>
      </x:c>
      <x:c r="B862" s="6" t="n">
        <x:v>0.1598</x:v>
      </x:c>
      <x:c r="C862" s="6" t="n">
        <x:v>0.0993</x:v>
      </x:c>
      <x:c r="D862" s="6" t="n">
        <x:f>B862</x:f>
        <x:v>0.1598</x:v>
      </x:c>
      <x:c r="E862" s="1" t="n">
        <x:v>1.05</x:v>
      </x:c>
      <x:c r="F862" s="1" t="str">
        <x:v>https://api.octopus.energy/v1/products/AGILE-24-10-01/electricity-tariffs/E-1R-AGILE-24-10-01-G/standard-unit-rates/</x:v>
      </x:c>
    </x:row>
    <x:row r="863" ht="21" customHeight="1">
      <x:c r="A863" s="24" t="n">
        <x:v>46166.479166666664</x:v>
      </x:c>
      <x:c r="B863" s="6" t="n">
        <x:v>0.1598</x:v>
      </x:c>
      <x:c r="C863" s="6" t="n">
        <x:v>0.0993</x:v>
      </x:c>
      <x:c r="D863" s="6" t="n">
        <x:f>B863</x:f>
        <x:v>0.1598</x:v>
      </x:c>
      <x:c r="E863" s="1" t="n">
        <x:v>1.05</x:v>
      </x:c>
      <x:c r="F863" s="1" t="str">
        <x:v>https://api.octopus.energy/v1/products/AGILE-24-10-01/electricity-tariffs/E-1R-AGILE-24-10-01-G/standard-unit-rates/</x:v>
      </x:c>
    </x:row>
    <x:row r="864" ht="21" customHeight="1">
      <x:c r="A864" s="24" t="n">
        <x:v>46166.5</x:v>
      </x:c>
      <x:c r="B864" s="6" t="n">
        <x:v>0.1577</x:v>
      </x:c>
      <x:c r="C864" s="6" t="n">
        <x:v>0.0984</x:v>
      </x:c>
      <x:c r="D864" s="6" t="n">
        <x:f>B864</x:f>
        <x:v>0.1577</x:v>
      </x:c>
      <x:c r="E864" s="1" t="n">
        <x:v>1.05</x:v>
      </x:c>
      <x:c r="F864" s="1" t="str">
        <x:v>https://api.octopus.energy/v1/products/AGILE-24-10-01/electricity-tariffs/E-1R-AGILE-24-10-01-G/standard-unit-rates/</x:v>
      </x:c>
    </x:row>
    <x:row r="865" ht="21" customHeight="1">
      <x:c r="A865" s="24" t="n">
        <x:v>46166.520833333336</x:v>
      </x:c>
      <x:c r="B865" s="6" t="n">
        <x:v>0.1598</x:v>
      </x:c>
      <x:c r="C865" s="6" t="n">
        <x:v>0.0993</x:v>
      </x:c>
      <x:c r="D865" s="6" t="n">
        <x:f>B865</x:f>
        <x:v>0.1598</x:v>
      </x:c>
      <x:c r="E865" s="1" t="n">
        <x:v>1.05</x:v>
      </x:c>
      <x:c r="F865" s="1" t="str">
        <x:v>https://api.octopus.energy/v1/products/AGILE-24-10-01/electricity-tariffs/E-1R-AGILE-24-10-01-G/standard-unit-rates/</x:v>
      </x:c>
    </x:row>
    <x:row r="866" ht="21" customHeight="1">
      <x:c r="A866" s="24" t="n">
        <x:v>46166.541666666664</x:v>
      </x:c>
      <x:c r="B866" s="6" t="n">
        <x:v>0.16269999999999998</x:v>
      </x:c>
      <x:c r="C866" s="6" t="n">
        <x:v>0.1007</x:v>
      </x:c>
      <x:c r="D866" s="6" t="n">
        <x:f>B866</x:f>
        <x:v>0.16269999999999998</x:v>
      </x:c>
      <x:c r="E866" s="1" t="n">
        <x:v>1.05</x:v>
      </x:c>
      <x:c r="F866" s="1" t="str">
        <x:v>https://api.octopus.energy/v1/products/AGILE-24-10-01/electricity-tariffs/E-1R-AGILE-24-10-01-G/standard-unit-rates/</x:v>
      </x:c>
    </x:row>
    <x:row r="867" ht="21" customHeight="1">
      <x:c r="A867" s="24" t="n">
        <x:v>46166.5625</x:v>
      </x:c>
      <x:c r="B867" s="6" t="n">
        <x:v>0.1598</x:v>
      </x:c>
      <x:c r="C867" s="6" t="n">
        <x:v>0.0993</x:v>
      </x:c>
      <x:c r="D867" s="6" t="n">
        <x:f>B867</x:f>
        <x:v>0.1598</x:v>
      </x:c>
      <x:c r="E867" s="1" t="n">
        <x:v>1.05</x:v>
      </x:c>
      <x:c r="F867" s="1" t="str">
        <x:v>https://api.octopus.energy/v1/products/AGILE-24-10-01/electricity-tariffs/E-1R-AGILE-24-10-01-G/standard-unit-rates/</x:v>
      </x:c>
    </x:row>
    <x:row r="868" ht="21" customHeight="1">
      <x:c r="A868" s="24" t="n">
        <x:v>46166.583333333336</x:v>
      </x:c>
      <x:c r="B868" s="6" t="n">
        <x:v>0.15869999999999998</x:v>
      </x:c>
      <x:c r="C868" s="6" t="n">
        <x:v>0.09880000000000001</x:v>
      </x:c>
      <x:c r="D868" s="6" t="n">
        <x:f>B868</x:f>
        <x:v>0.15869999999999998</x:v>
      </x:c>
      <x:c r="E868" s="1" t="n">
        <x:v>1.05</x:v>
      </x:c>
      <x:c r="F868" s="1" t="str">
        <x:v>https://api.octopus.energy/v1/products/AGILE-24-10-01/electricity-tariffs/E-1R-AGILE-24-10-01-G/standard-unit-rates/</x:v>
      </x:c>
    </x:row>
    <x:row r="869" ht="21" customHeight="1">
      <x:c r="A869" s="24" t="n">
        <x:v>46166.604166666664</x:v>
      </x:c>
      <x:c r="B869" s="6" t="n">
        <x:v>0.1598</x:v>
      </x:c>
      <x:c r="C869" s="6" t="n">
        <x:v>0.0993</x:v>
      </x:c>
      <x:c r="D869" s="6" t="n">
        <x:f>B869</x:f>
        <x:v>0.1598</x:v>
      </x:c>
      <x:c r="E869" s="1" t="n">
        <x:v>1.05</x:v>
      </x:c>
      <x:c r="F869" s="1" t="str">
        <x:v>https://api.octopus.energy/v1/products/AGILE-24-10-01/electricity-tariffs/E-1R-AGILE-24-10-01-G/standard-unit-rates/</x:v>
      </x:c>
    </x:row>
    <x:row r="870" ht="21" customHeight="1">
      <x:c r="A870" s="24" t="n">
        <x:v>46166.625</x:v>
      </x:c>
      <x:c r="B870" s="6" t="n">
        <x:v>0.16399999999999998</x:v>
      </x:c>
      <x:c r="C870" s="6" t="n">
        <x:v>0.1012</x:v>
      </x:c>
      <x:c r="D870" s="6" t="n">
        <x:f>B870</x:f>
        <x:v>0.16399999999999998</x:v>
      </x:c>
      <x:c r="E870" s="1" t="n">
        <x:v>1.05</x:v>
      </x:c>
      <x:c r="F870" s="1" t="str">
        <x:v>https://api.octopus.energy/v1/products/AGILE-24-10-01/electricity-tariffs/E-1R-AGILE-24-10-01-G/standard-unit-rates/</x:v>
      </x:c>
    </x:row>
    <x:row r="871" ht="21" customHeight="1">
      <x:c r="A871" s="24" t="n">
        <x:v>46166.645833333336</x:v>
      </x:c>
      <x:c r="B871" s="6" t="n">
        <x:v>0.16399999999999998</x:v>
      </x:c>
      <x:c r="C871" s="6" t="n">
        <x:v>0.1012</x:v>
      </x:c>
      <x:c r="D871" s="6" t="n">
        <x:f>B871</x:f>
        <x:v>0.16399999999999998</x:v>
      </x:c>
      <x:c r="E871" s="1" t="n">
        <x:v>1.05</x:v>
      </x:c>
      <x:c r="F871" s="1" t="str">
        <x:v>https://api.octopus.energy/v1/products/AGILE-24-10-01/electricity-tariffs/E-1R-AGILE-24-10-01-G/standard-unit-rates/</x:v>
      </x:c>
    </x:row>
    <x:row r="872" ht="21" customHeight="1">
      <x:c r="A872" s="24" t="n">
        <x:v>46166.666666666664</x:v>
      </x:c>
      <x:c r="B872" s="6" t="n">
        <x:v>0.3119</x:v>
      </x:c>
      <x:c r="C872" s="6" t="n">
        <x:v>0.1729</x:v>
      </x:c>
      <x:c r="D872" s="6" t="n">
        <x:f>B872</x:f>
        <x:v>0.3119</x:v>
      </x:c>
      <x:c r="E872" s="1" t="n">
        <x:v>1.05</x:v>
      </x:c>
      <x:c r="F872" s="1" t="str">
        <x:v>https://api.octopus.energy/v1/products/AGILE-24-10-01/electricity-tariffs/E-1R-AGILE-24-10-01-G/standard-unit-rates/</x:v>
      </x:c>
    </x:row>
    <x:row r="873" ht="21" customHeight="1">
      <x:c r="A873" s="24" t="n">
        <x:v>46166.6875</x:v>
      </x:c>
      <x:c r="B873" s="6" t="n">
        <x:v>0.3134</x:v>
      </x:c>
      <x:c r="C873" s="6" t="n">
        <x:v>0.1736</x:v>
      </x:c>
      <x:c r="D873" s="6" t="n">
        <x:f>B873</x:f>
        <x:v>0.3134</x:v>
      </x:c>
      <x:c r="E873" s="1" t="n">
        <x:v>1.05</x:v>
      </x:c>
      <x:c r="F873" s="1" t="str">
        <x:v>https://api.octopus.energy/v1/products/AGILE-24-10-01/electricity-tariffs/E-1R-AGILE-24-10-01-G/standard-unit-rates/</x:v>
      </x:c>
    </x:row>
    <x:row r="874" ht="21" customHeight="1">
      <x:c r="A874" s="24" t="n">
        <x:v>46166.708333333336</x:v>
      </x:c>
      <x:c r="B874" s="6" t="n">
        <x:v>0.32299999999999995</x:v>
      </x:c>
      <x:c r="C874" s="6" t="n">
        <x:v>0.17800000000000002</x:v>
      </x:c>
      <x:c r="D874" s="6" t="n">
        <x:f>B874</x:f>
        <x:v>0.32299999999999995</x:v>
      </x:c>
      <x:c r="E874" s="1" t="n">
        <x:v>1.05</x:v>
      </x:c>
      <x:c r="F874" s="1" t="str">
        <x:v>https://api.octopus.energy/v1/products/AGILE-24-10-01/electricity-tariffs/E-1R-AGILE-24-10-01-G/standard-unit-rates/</x:v>
      </x:c>
    </x:row>
    <x:row r="875" ht="21" customHeight="1">
      <x:c r="A875" s="24" t="n">
        <x:v>46166.729166666664</x:v>
      </x:c>
      <x:c r="B875" s="6" t="n">
        <x:v>0.32659999999999995</x:v>
      </x:c>
      <x:c r="C875" s="6" t="n">
        <x:v>0.1796</x:v>
      </x:c>
      <x:c r="D875" s="6" t="n">
        <x:f>B875</x:f>
        <x:v>0.32659999999999995</x:v>
      </x:c>
      <x:c r="E875" s="1" t="n">
        <x:v>1.05</x:v>
      </x:c>
      <x:c r="F875" s="1" t="str">
        <x:v>https://api.octopus.energy/v1/products/AGILE-24-10-01/electricity-tariffs/E-1R-AGILE-24-10-01-G/standard-unit-rates/</x:v>
      </x:c>
    </x:row>
    <x:row r="876" ht="21" customHeight="1">
      <x:c r="A876" s="24" t="n">
        <x:v>46166.75</x:v>
      </x:c>
      <x:c r="B876" s="6" t="n">
        <x:v>0.35609999999999997</x:v>
      </x:c>
      <x:c r="C876" s="6" t="n">
        <x:v>0.1931</x:v>
      </x:c>
      <x:c r="D876" s="6" t="n">
        <x:f>B876</x:f>
        <x:v>0.35609999999999997</x:v>
      </x:c>
      <x:c r="E876" s="1" t="n">
        <x:v>1.05</x:v>
      </x:c>
      <x:c r="F876" s="1" t="str">
        <x:v>https://api.octopus.energy/v1/products/AGILE-24-10-01/electricity-tariffs/E-1R-AGILE-24-10-01-G/standard-unit-rates/</x:v>
      </x:c>
    </x:row>
    <x:row r="877" ht="21" customHeight="1">
      <x:c r="A877" s="24" t="n">
        <x:v>46166.770833333336</x:v>
      </x:c>
      <x:c r="B877" s="6" t="n">
        <x:v>0.36329999999999996</x:v>
      </x:c>
      <x:c r="C877" s="6" t="n">
        <x:v>0.19640000000000002</x:v>
      </x:c>
      <x:c r="D877" s="6" t="n">
        <x:f>B877</x:f>
        <x:v>0.36329999999999996</x:v>
      </x:c>
      <x:c r="E877" s="1" t="n">
        <x:v>1.05</x:v>
      </x:c>
      <x:c r="F877" s="1" t="str">
        <x:v>https://api.octopus.energy/v1/products/AGILE-24-10-01/electricity-tariffs/E-1R-AGILE-24-10-01-G/standard-unit-rates/</x:v>
      </x:c>
    </x:row>
    <x:row r="878" ht="21" customHeight="1">
      <x:c r="A878" s="24" t="n">
        <x:v>46166.791666666664</x:v>
      </x:c>
      <x:c r="B878" s="6" t="n">
        <x:v>0.2531</x:v>
      </x:c>
      <x:c r="C878" s="6" t="n">
        <x:v>0.142</x:v>
      </x:c>
      <x:c r="D878" s="6" t="n">
        <x:f>B878</x:f>
        <x:v>0.2531</x:v>
      </x:c>
      <x:c r="E878" s="1" t="n">
        <x:v>1.05</x:v>
      </x:c>
      <x:c r="F878" s="1" t="str">
        <x:v>https://api.octopus.energy/v1/products/AGILE-24-10-01/electricity-tariffs/E-1R-AGILE-24-10-01-G/standard-unit-rates/</x:v>
      </x:c>
    </x:row>
    <x:row r="879" ht="21" customHeight="1">
      <x:c r="A879" s="24" t="n">
        <x:v>46166.8125</x:v>
      </x:c>
      <x:c r="B879" s="6" t="n">
        <x:v>0.2527</x:v>
      </x:c>
      <x:c r="C879" s="6" t="n">
        <x:v>0.1418</x:v>
      </x:c>
      <x:c r="D879" s="6" t="n">
        <x:f>B879</x:f>
        <x:v>0.2527</x:v>
      </x:c>
      <x:c r="E879" s="1" t="n">
        <x:v>1.05</x:v>
      </x:c>
      <x:c r="F879" s="1" t="str">
        <x:v>https://api.octopus.energy/v1/products/AGILE-24-10-01/electricity-tariffs/E-1R-AGILE-24-10-01-G/standard-unit-rates/</x:v>
      </x:c>
    </x:row>
    <x:row r="880" ht="21" customHeight="1">
      <x:c r="A880" s="24" t="n">
        <x:v>46166.833333333336</x:v>
      </x:c>
      <x:c r="B880" s="6" t="n">
        <x:v>0.2501</x:v>
      </x:c>
      <x:c r="C880" s="6" t="n">
        <x:v>0.1406</x:v>
      </x:c>
      <x:c r="D880" s="6" t="n">
        <x:f>B880</x:f>
        <x:v>0.2501</x:v>
      </x:c>
      <x:c r="E880" s="1" t="n">
        <x:v>1.05</x:v>
      </x:c>
      <x:c r="F880" s="1" t="str">
        <x:v>https://api.octopus.energy/v1/products/AGILE-24-10-01/electricity-tariffs/E-1R-AGILE-24-10-01-G/standard-unit-rates/</x:v>
      </x:c>
    </x:row>
    <x:row r="881" ht="21" customHeight="1">
      <x:c r="A881" s="24" t="n">
        <x:v>46166.854166666664</x:v>
      </x:c>
      <x:c r="B881" s="6" t="n">
        <x:v>0.2501</x:v>
      </x:c>
      <x:c r="C881" s="6" t="n">
        <x:v>0.1406</x:v>
      </x:c>
      <x:c r="D881" s="6" t="n">
        <x:f>B881</x:f>
        <x:v>0.2501</x:v>
      </x:c>
      <x:c r="E881" s="1" t="n">
        <x:v>1.05</x:v>
      </x:c>
      <x:c r="F881" s="1" t="str">
        <x:v>https://api.octopus.energy/v1/products/AGILE-24-10-01/electricity-tariffs/E-1R-AGILE-24-10-01-G/standard-unit-rates/</x:v>
      </x:c>
    </x:row>
    <x:row r="882" ht="21" customHeight="1">
      <x:c r="A882" s="24" t="n">
        <x:v>46166.875</x:v>
      </x:c>
      <x:c r="B882" s="6" t="n">
        <x:v>0.2522</x:v>
      </x:c>
      <x:c r="C882" s="6" t="n">
        <x:v>0.1416</x:v>
      </x:c>
      <x:c r="D882" s="6" t="n">
        <x:f>B882</x:f>
        <x:v>0.2522</x:v>
      </x:c>
      <x:c r="E882" s="1" t="n">
        <x:v>1.05</x:v>
      </x:c>
      <x:c r="F882" s="1" t="str">
        <x:v>https://api.octopus.energy/v1/products/AGILE-24-10-01/electricity-tariffs/E-1R-AGILE-24-10-01-G/standard-unit-rates/</x:v>
      </x:c>
    </x:row>
    <x:row r="883" ht="21" customHeight="1">
      <x:c r="A883" s="24" t="n">
        <x:v>46166.895833333336</x:v>
      </x:c>
      <x:c r="B883" s="6" t="n">
        <x:v>0.2501</x:v>
      </x:c>
      <x:c r="C883" s="6" t="n">
        <x:v>0.1406</x:v>
      </x:c>
      <x:c r="D883" s="6" t="n">
        <x:f>B883</x:f>
        <x:v>0.2501</x:v>
      </x:c>
      <x:c r="E883" s="1" t="n">
        <x:v>1.05</x:v>
      </x:c>
      <x:c r="F883" s="1" t="str">
        <x:v>https://api.octopus.energy/v1/products/AGILE-24-10-01/electricity-tariffs/E-1R-AGILE-24-10-01-G/standard-unit-rates/</x:v>
      </x:c>
    </x:row>
    <x:row r="884" ht="21" customHeight="1">
      <x:c r="A884" s="24" t="n">
        <x:v>46166.916666666664</x:v>
      </x:c>
      <x:c r="B884" s="6" t="n">
        <x:v>0.2459</x:v>
      </x:c>
      <x:c r="C884" s="6" t="n">
        <x:v>0.1387</x:v>
      </x:c>
      <x:c r="D884" s="6" t="n">
        <x:f>B884</x:f>
        <x:v>0.2459</x:v>
      </x:c>
      <x:c r="E884" s="1" t="n">
        <x:v>1.05</x:v>
      </x:c>
      <x:c r="F884" s="1" t="str">
        <x:v>https://api.octopus.energy/v1/products/AGILE-24-10-01/electricity-tariffs/E-1R-AGILE-24-10-01-G/standard-unit-rates/</x:v>
      </x:c>
    </x:row>
    <x:row r="885" ht="21" customHeight="1">
      <x:c r="A885" s="24" t="n">
        <x:v>46166.9375</x:v>
      </x:c>
      <x:c r="B885" s="6" t="n">
        <x:v>0.2341</x:v>
      </x:c>
      <x:c r="C885" s="6" t="n">
        <x:v>0.1333</x:v>
      </x:c>
      <x:c r="D885" s="6" t="n">
        <x:f>B885</x:f>
        <x:v>0.2341</x:v>
      </x:c>
      <x:c r="E885" s="1" t="n">
        <x:v>1.05</x:v>
      </x:c>
      <x:c r="F885" s="1" t="str">
        <x:v>https://api.octopus.energy/v1/products/AGILE-24-10-01/electricity-tariffs/E-1R-AGILE-24-10-01-G/standard-unit-rates/</x:v>
      </x:c>
    </x:row>
    <x:row r="886" ht="21" customHeight="1">
      <x:c r="A886" s="24" t="n">
        <x:v>46167</x:v>
      </x:c>
      <x:c r="B886" s="6" t="n">
        <x:v>0.20370000000000002</x:v>
      </x:c>
      <x:c r="C886" s="6" t="n">
        <x:v>0.11939999999999999</x:v>
      </x:c>
      <x:c r="D886" s="6" t="n">
        <x:f>B886</x:f>
        <x:v>0.20370000000000002</x:v>
      </x:c>
      <x:c r="E886" s="1" t="n">
        <x:v>1.05</x:v>
      </x:c>
      <x:c r="F886" s="1" t="str">
        <x:v>https://api.octopus.energy/v1/products/AGILE-24-10-01/electricity-tariffs/E-1R-AGILE-24-10-01-G/standard-unit-rates/</x:v>
      </x:c>
    </x:row>
    <x:row r="887" ht="21" customHeight="1">
      <x:c r="A887" s="24" t="n">
        <x:v>46166.979166666664</x:v>
      </x:c>
      <x:c r="B887" s="6" t="n">
        <x:v>0.185</x:v>
      </x:c>
      <x:c r="C887" s="6" t="n">
        <x:v>0.1108</x:v>
      </x:c>
      <x:c r="D887" s="6" t="n">
        <x:f>B887</x:f>
        <x:v>0.185</x:v>
      </x:c>
      <x:c r="E887" s="1" t="n">
        <x:v>1.05</x:v>
      </x:c>
      <x:c r="F887" s="1" t="str">
        <x:v>https://api.octopus.energy/v1/products/AGILE-24-10-01/electricity-tariffs/E-1R-AGILE-24-10-01-G/standard-unit-rates/</x:v>
      </x:c>
    </x:row>
    <x:row r="888" ht="21" customHeight="1">
      <x:c r="A888" s="24" t="n">
        <x:v>46167</x:v>
      </x:c>
      <x:c r="B888" s="6" t="n">
        <x:v>0.185</x:v>
      </x:c>
      <x:c r="C888" s="6" t="n">
        <x:v>0.1108</x:v>
      </x:c>
      <x:c r="D888" s="6" t="n">
        <x:f>B888</x:f>
        <x:v>0.185</x:v>
      </x:c>
      <x:c r="E888" s="1" t="n">
        <x:v>1.05</x:v>
      </x:c>
      <x:c r="F888" s="1" t="str">
        <x:v>https://api.octopus.energy/v1/products/AGILE-24-10-01/electricity-tariffs/E-1R-AGILE-24-10-01-G/standard-unit-rates/</x:v>
      </x:c>
    </x:row>
    <x:row r="889" ht="21" customHeight="1">
      <x:c r="A889" s="24" t="n">
        <x:v>46167.020833333336</x:v>
      </x:c>
      <x:c r="B889" s="6" t="n">
        <x:v>0.1766</x:v>
      </x:c>
      <x:c r="C889" s="6" t="n">
        <x:v>0.107</x:v>
      </x:c>
      <x:c r="D889" s="6" t="n">
        <x:f>B889</x:f>
        <x:v>0.1766</x:v>
      </x:c>
      <x:c r="E889" s="1" t="n">
        <x:v>1.05</x:v>
      </x:c>
      <x:c r="F889" s="1" t="str">
        <x:v>https://api.octopus.energy/v1/products/AGILE-24-10-01/electricity-tariffs/E-1R-AGILE-24-10-01-G/standard-unit-rates/</x:v>
      </x:c>
    </x:row>
    <x:row r="890" ht="21" customHeight="1">
      <x:c r="A890" s="24" t="n">
        <x:v>46167.041666666664</x:v>
      </x:c>
      <x:c r="B890" s="6" t="n">
        <x:v>0.1808</x:v>
      </x:c>
      <x:c r="C890" s="6" t="n">
        <x:v>0.10890000000000001</x:v>
      </x:c>
      <x:c r="D890" s="6" t="n">
        <x:f>B890</x:f>
        <x:v>0.1808</x:v>
      </x:c>
      <x:c r="E890" s="1" t="n">
        <x:v>1.05</x:v>
      </x:c>
      <x:c r="F890" s="1" t="str">
        <x:v>https://api.octopus.energy/v1/products/AGILE-24-10-01/electricity-tariffs/E-1R-AGILE-24-10-01-G/standard-unit-rates/</x:v>
      </x:c>
    </x:row>
    <x:row r="891" ht="21" customHeight="1">
      <x:c r="A891" s="24" t="n">
        <x:v>46167.0625</x:v>
      </x:c>
      <x:c r="B891" s="6" t="n">
        <x:v>0.1892</x:v>
      </x:c>
      <x:c r="C891" s="6" t="n">
        <x:v>0.1128</x:v>
      </x:c>
      <x:c r="D891" s="6" t="n">
        <x:f>B891</x:f>
        <x:v>0.1892</x:v>
      </x:c>
      <x:c r="E891" s="1" t="n">
        <x:v>1.05</x:v>
      </x:c>
      <x:c r="F891" s="1" t="str">
        <x:v>https://api.octopus.energy/v1/products/AGILE-24-10-01/electricity-tariffs/E-1R-AGILE-24-10-01-G/standard-unit-rates/</x:v>
      </x:c>
    </x:row>
    <x:row r="892" ht="21" customHeight="1">
      <x:c r="A892" s="24" t="n">
        <x:v>46167.083333333336</x:v>
      </x:c>
      <x:c r="B892" s="6" t="n">
        <x:v>0.1892</x:v>
      </x:c>
      <x:c r="C892" s="6" t="n">
        <x:v>0.1128</x:v>
      </x:c>
      <x:c r="D892" s="6" t="n">
        <x:f>B892</x:f>
        <x:v>0.1892</x:v>
      </x:c>
      <x:c r="E892" s="1" t="n">
        <x:v>1.05</x:v>
      </x:c>
      <x:c r="F892" s="1" t="str">
        <x:v>https://api.octopus.energy/v1/products/AGILE-24-10-01/electricity-tariffs/E-1R-AGILE-24-10-01-G/standard-unit-rates/</x:v>
      </x:c>
    </x:row>
    <x:row r="893" ht="21" customHeight="1">
      <x:c r="A893" s="24" t="n">
        <x:v>46167.104166666664</x:v>
      </x:c>
      <x:c r="B893" s="6" t="n">
        <x:v>0.18710000000000002</x:v>
      </x:c>
      <x:c r="C893" s="6" t="n">
        <x:v>0.1118</x:v>
      </x:c>
      <x:c r="D893" s="6" t="n">
        <x:f>B893</x:f>
        <x:v>0.18710000000000002</x:v>
      </x:c>
      <x:c r="E893" s="1" t="n">
        <x:v>1.05</x:v>
      </x:c>
      <x:c r="F893" s="1" t="str">
        <x:v>https://api.octopus.energy/v1/products/AGILE-24-10-01/electricity-tariffs/E-1R-AGILE-24-10-01-G/standard-unit-rates/</x:v>
      </x:c>
    </x:row>
    <x:row r="894" ht="21" customHeight="1">
      <x:c r="A894" s="24" t="n">
        <x:v>46167.125</x:v>
      </x:c>
      <x:c r="B894" s="6" t="n">
        <x:v>0.18710000000000002</x:v>
      </x:c>
      <x:c r="C894" s="6" t="n">
        <x:v>0.1118</x:v>
      </x:c>
      <x:c r="D894" s="6" t="n">
        <x:f>B894</x:f>
        <x:v>0.18710000000000002</x:v>
      </x:c>
      <x:c r="E894" s="1" t="n">
        <x:v>1.05</x:v>
      </x:c>
      <x:c r="F894" s="1" t="str">
        <x:v>https://api.octopus.energy/v1/products/AGILE-24-10-01/electricity-tariffs/E-1R-AGILE-24-10-01-G/standard-unit-rates/</x:v>
      </x:c>
    </x:row>
    <x:row r="895" ht="21" customHeight="1">
      <x:c r="A895" s="24" t="n">
        <x:v>46167.145833333336</x:v>
      </x:c>
      <x:c r="B895" s="6" t="n">
        <x:v>0.1787</x:v>
      </x:c>
      <x:c r="C895" s="6" t="n">
        <x:v>0.10800000000000001</x:v>
      </x:c>
      <x:c r="D895" s="6" t="n">
        <x:f>B895</x:f>
        <x:v>0.1787</x:v>
      </x:c>
      <x:c r="E895" s="1" t="n">
        <x:v>1.05</x:v>
      </x:c>
      <x:c r="F895" s="1" t="str">
        <x:v>https://api.octopus.energy/v1/products/AGILE-24-10-01/electricity-tariffs/E-1R-AGILE-24-10-01-G/standard-unit-rates/</x:v>
      </x:c>
    </x:row>
    <x:row r="896" ht="21" customHeight="1">
      <x:c r="A896" s="24" t="n">
        <x:v>46167.166666666664</x:v>
      </x:c>
      <x:c r="B896" s="6" t="n">
        <x:v>0.18710000000000002</x:v>
      </x:c>
      <x:c r="C896" s="6" t="n">
        <x:v>0.1118</x:v>
      </x:c>
      <x:c r="D896" s="6" t="n">
        <x:f>B896</x:f>
        <x:v>0.18710000000000002</x:v>
      </x:c>
      <x:c r="E896" s="1" t="n">
        <x:v>1.05</x:v>
      </x:c>
      <x:c r="F896" s="1" t="str">
        <x:v>https://api.octopus.energy/v1/products/AGILE-24-10-01/electricity-tariffs/E-1R-AGILE-24-10-01-G/standard-unit-rates/</x:v>
      </x:c>
    </x:row>
    <x:row r="897" ht="21" customHeight="1">
      <x:c r="A897" s="24" t="n">
        <x:v>46167.1875</x:v>
      </x:c>
      <x:c r="B897" s="6" t="n">
        <x:v>0.18539999999999998</x:v>
      </x:c>
      <x:c r="C897" s="6" t="n">
        <x:v>0.111</x:v>
      </x:c>
      <x:c r="D897" s="6" t="n">
        <x:f>B897</x:f>
        <x:v>0.18539999999999998</x:v>
      </x:c>
      <x:c r="E897" s="1" t="n">
        <x:v>1.05</x:v>
      </x:c>
      <x:c r="F897" s="1" t="str">
        <x:v>https://api.octopus.energy/v1/products/AGILE-24-10-01/electricity-tariffs/E-1R-AGILE-24-10-01-G/standard-unit-rates/</x:v>
      </x:c>
    </x:row>
    <x:row r="898" ht="21" customHeight="1">
      <x:c r="A898" s="24" t="n">
        <x:v>46167.208333333336</x:v>
      </x:c>
      <x:c r="B898" s="6" t="n">
        <x:v>0.1777</x:v>
      </x:c>
      <x:c r="C898" s="6" t="n">
        <x:v>0.1075</x:v>
      </x:c>
      <x:c r="D898" s="6" t="n">
        <x:f>B898</x:f>
        <x:v>0.1777</x:v>
      </x:c>
      <x:c r="E898" s="1" t="n">
        <x:v>1.05</x:v>
      </x:c>
      <x:c r="F898" s="1" t="str">
        <x:v>https://api.octopus.energy/v1/products/AGILE-24-10-01/electricity-tariffs/E-1R-AGILE-24-10-01-G/standard-unit-rates/</x:v>
      </x:c>
    </x:row>
    <x:row r="899" ht="21" customHeight="1">
      <x:c r="A899" s="24" t="n">
        <x:v>46167.229166666664</x:v>
      </x:c>
      <x:c r="B899" s="6" t="n">
        <x:v>0.185</x:v>
      </x:c>
      <x:c r="C899" s="6" t="n">
        <x:v>0.1108</x:v>
      </x:c>
      <x:c r="D899" s="6" t="n">
        <x:f>B899</x:f>
        <x:v>0.185</x:v>
      </x:c>
      <x:c r="E899" s="1" t="n">
        <x:v>1.05</x:v>
      </x:c>
      <x:c r="F899" s="1" t="str">
        <x:v>https://api.octopus.energy/v1/products/AGILE-24-10-01/electricity-tariffs/E-1R-AGILE-24-10-01-G/standard-unit-rates/</x:v>
      </x:c>
    </x:row>
    <x:row r="900" ht="21" customHeight="1">
      <x:c r="A900" s="24" t="n">
        <x:v>46167.25</x:v>
      </x:c>
      <x:c r="B900" s="6" t="n">
        <x:v>0.182</x:v>
      </x:c>
      <x:c r="C900" s="6" t="n">
        <x:v>0.10949999999999999</x:v>
      </x:c>
      <x:c r="D900" s="6" t="n">
        <x:f>B900</x:f>
        <x:v>0.182</x:v>
      </x:c>
      <x:c r="E900" s="1" t="n">
        <x:v>1.05</x:v>
      </x:c>
      <x:c r="F900" s="1" t="str">
        <x:v>https://api.octopus.energy/v1/products/AGILE-24-10-01/electricity-tariffs/E-1R-AGILE-24-10-01-G/standard-unit-rates/</x:v>
      </x:c>
    </x:row>
    <x:row r="901" ht="21" customHeight="1">
      <x:c r="A901" s="24" t="n">
        <x:v>46167.270833333336</x:v>
      </x:c>
      <x:c r="B901" s="6" t="n">
        <x:v>0.1892</x:v>
      </x:c>
      <x:c r="C901" s="6" t="n">
        <x:v>0.1128</x:v>
      </x:c>
      <x:c r="D901" s="6" t="n">
        <x:f>B901</x:f>
        <x:v>0.1892</x:v>
      </x:c>
      <x:c r="E901" s="1" t="n">
        <x:v>1.05</x:v>
      </x:c>
      <x:c r="F901" s="1" t="str">
        <x:v>https://api.octopus.energy/v1/products/AGILE-24-10-01/electricity-tariffs/E-1R-AGILE-24-10-01-G/standard-unit-rates/</x:v>
      </x:c>
    </x:row>
    <x:row r="902" ht="21" customHeight="1">
      <x:c r="A902" s="24" t="n">
        <x:v>46167.291666666664</x:v>
      </x:c>
      <x:c r="B902" s="6" t="n">
        <x:v>0.1931</x:v>
      </x:c>
      <x:c r="C902" s="6" t="n">
        <x:v>0.11449999999999999</x:v>
      </x:c>
      <x:c r="D902" s="6" t="n">
        <x:f>B902</x:f>
        <x:v>0.1931</x:v>
      </x:c>
      <x:c r="E902" s="1" t="n">
        <x:v>1.05</x:v>
      </x:c>
      <x:c r="F902" s="1" t="str">
        <x:v>https://api.octopus.energy/v1/products/AGILE-24-10-01/electricity-tariffs/E-1R-AGILE-24-10-01-G/standard-unit-rates/</x:v>
      </x:c>
    </x:row>
    <x:row r="903" ht="21" customHeight="1">
      <x:c r="A903" s="24" t="n">
        <x:v>46167.3125</x:v>
      </x:c>
      <x:c r="B903" s="6" t="n">
        <x:v>0.1972</x:v>
      </x:c>
      <x:c r="C903" s="6" t="n">
        <x:v>0.1164</x:v>
      </x:c>
      <x:c r="D903" s="6" t="n">
        <x:f>B903</x:f>
        <x:v>0.1972</x:v>
      </x:c>
      <x:c r="E903" s="1" t="n">
        <x:v>1.05</x:v>
      </x:c>
      <x:c r="F903" s="1" t="str">
        <x:v>https://api.octopus.energy/v1/products/AGILE-24-10-01/electricity-tariffs/E-1R-AGILE-24-10-01-G/standard-unit-rates/</x:v>
      </x:c>
    </x:row>
    <x:row r="904" ht="21" customHeight="1">
      <x:c r="A904" s="24" t="n">
        <x:v>46167.333333333336</x:v>
      </x:c>
      <x:c r="B904" s="6" t="n">
        <x:v>0.18309999999999998</x:v>
      </x:c>
      <x:c r="C904" s="6" t="n">
        <x:v>0.11</x:v>
      </x:c>
      <x:c r="D904" s="6" t="n">
        <x:f>B904</x:f>
        <x:v>0.18309999999999998</x:v>
      </x:c>
      <x:c r="E904" s="1" t="n">
        <x:v>1.05</x:v>
      </x:c>
      <x:c r="F904" s="1" t="str">
        <x:v>https://api.octopus.energy/v1/products/AGILE-24-10-01/electricity-tariffs/E-1R-AGILE-24-10-01-G/standard-unit-rates/</x:v>
      </x:c>
    </x:row>
    <x:row r="905" ht="21" customHeight="1">
      <x:c r="A905" s="24" t="n">
        <x:v>46167.354166666664</x:v>
      </x:c>
      <x:c r="B905" s="6" t="n">
        <x:v>0.1808</x:v>
      </x:c>
      <x:c r="C905" s="6" t="n">
        <x:v>0.10890000000000001</x:v>
      </x:c>
      <x:c r="D905" s="6" t="n">
        <x:f>B905</x:f>
        <x:v>0.1808</x:v>
      </x:c>
      <x:c r="E905" s="1" t="n">
        <x:v>1.05</x:v>
      </x:c>
      <x:c r="F905" s="1" t="str">
        <x:v>https://api.octopus.energy/v1/products/AGILE-24-10-01/electricity-tariffs/E-1R-AGILE-24-10-01-G/standard-unit-rates/</x:v>
      </x:c>
    </x:row>
    <x:row r="906" ht="21" customHeight="1">
      <x:c r="A906" s="24" t="n">
        <x:v>46167.375</x:v>
      </x:c>
      <x:c r="B906" s="6" t="n">
        <x:v>0.1793</x:v>
      </x:c>
      <x:c r="C906" s="6" t="n">
        <x:v>0.1082</x:v>
      </x:c>
      <x:c r="D906" s="6" t="n">
        <x:f>B906</x:f>
        <x:v>0.1793</x:v>
      </x:c>
      <x:c r="E906" s="1" t="n">
        <x:v>1.05</x:v>
      </x:c>
      <x:c r="F906" s="1" t="str">
        <x:v>https://api.octopus.energy/v1/products/AGILE-24-10-01/electricity-tariffs/E-1R-AGILE-24-10-01-G/standard-unit-rates/</x:v>
      </x:c>
    </x:row>
    <x:row r="907" ht="21" customHeight="1">
      <x:c r="A907" s="24" t="n">
        <x:v>46167.395833333336</x:v>
      </x:c>
      <x:c r="B907" s="6" t="n">
        <x:v>0.1707</x:v>
      </x:c>
      <x:c r="C907" s="6" t="n">
        <x:v>0.1043</x:v>
      </x:c>
      <x:c r="D907" s="6" t="n">
        <x:f>B907</x:f>
        <x:v>0.1707</x:v>
      </x:c>
      <x:c r="E907" s="1" t="n">
        <x:v>1.05</x:v>
      </x:c>
      <x:c r="F907" s="1" t="str">
        <x:v>https://api.octopus.energy/v1/products/AGILE-24-10-01/electricity-tariffs/E-1R-AGILE-24-10-01-G/standard-unit-rates/</x:v>
      </x:c>
    </x:row>
    <x:row r="908" ht="21" customHeight="1">
      <x:c r="A908" s="24" t="n">
        <x:v>46167.416666666664</x:v>
      </x:c>
      <x:c r="B908" s="6" t="n">
        <x:v>0.1606</x:v>
      </x:c>
      <x:c r="C908" s="6" t="n">
        <x:v>0.09970000000000001</x:v>
      </x:c>
      <x:c r="D908" s="6" t="n">
        <x:f>B908</x:f>
        <x:v>0.1606</x:v>
      </x:c>
      <x:c r="E908" s="1" t="n">
        <x:v>1.05</x:v>
      </x:c>
      <x:c r="F908" s="1" t="str">
        <x:v>https://api.octopus.energy/v1/products/AGILE-24-10-01/electricity-tariffs/E-1R-AGILE-24-10-01-G/standard-unit-rates/</x:v>
      </x:c>
    </x:row>
    <x:row r="909" ht="21" customHeight="1">
      <x:c r="A909" s="24" t="n">
        <x:v>46167.4375</x:v>
      </x:c>
      <x:c r="B909" s="6" t="n">
        <x:v>0.16570000000000001</x:v>
      </x:c>
      <x:c r="C909" s="6" t="n">
        <x:v>0.102</x:v>
      </x:c>
      <x:c r="D909" s="6" t="n">
        <x:f>B909</x:f>
        <x:v>0.16570000000000001</x:v>
      </x:c>
      <x:c r="E909" s="1" t="n">
        <x:v>1.05</x:v>
      </x:c>
      <x:c r="F909" s="1" t="str">
        <x:v>https://api.octopus.energy/v1/products/AGILE-24-10-01/electricity-tariffs/E-1R-AGILE-24-10-01-G/standard-unit-rates/</x:v>
      </x:c>
    </x:row>
    <x:row r="910" ht="21" customHeight="1">
      <x:c r="A910" s="24" t="n">
        <x:v>46167.458333333336</x:v>
      </x:c>
      <x:c r="B910" s="6" t="n">
        <x:v>0.1616</x:v>
      </x:c>
      <x:c r="C910" s="6" t="n">
        <x:v>0.1001</x:v>
      </x:c>
      <x:c r="D910" s="6" t="n">
        <x:f>B910</x:f>
        <x:v>0.1616</x:v>
      </x:c>
      <x:c r="E910" s="1" t="n">
        <x:v>1.05</x:v>
      </x:c>
      <x:c r="F910" s="1" t="str">
        <x:v>https://api.octopus.energy/v1/products/AGILE-24-10-01/electricity-tariffs/E-1R-AGILE-24-10-01-G/standard-unit-rates/</x:v>
      </x:c>
    </x:row>
    <x:row r="911" ht="21" customHeight="1">
      <x:c r="A911" s="24" t="n">
        <x:v>46167.479166666664</x:v>
      </x:c>
      <x:c r="B911" s="6" t="n">
        <x:v>0.1661</x:v>
      </x:c>
      <x:c r="C911" s="6" t="n">
        <x:v>0.10220000000000001</x:v>
      </x:c>
      <x:c r="D911" s="6" t="n">
        <x:f>B911</x:f>
        <x:v>0.1661</x:v>
      </x:c>
      <x:c r="E911" s="1" t="n">
        <x:v>1.05</x:v>
      </x:c>
      <x:c r="F911" s="1" t="str">
        <x:v>https://api.octopus.energy/v1/products/AGILE-24-10-01/electricity-tariffs/E-1R-AGILE-24-10-01-G/standard-unit-rates/</x:v>
      </x:c>
    </x:row>
    <x:row r="912" ht="21" customHeight="1">
      <x:c r="A912" s="24" t="n">
        <x:v>46167.5</x:v>
      </x:c>
      <x:c r="B912" s="6" t="n">
        <x:v>0.1635</x:v>
      </x:c>
      <x:c r="C912" s="6" t="n">
        <x:v>0.10099999999999999</x:v>
      </x:c>
      <x:c r="D912" s="6" t="n">
        <x:f>B912</x:f>
        <x:v>0.1635</x:v>
      </x:c>
      <x:c r="E912" s="1" t="n">
        <x:v>1.05</x:v>
      </x:c>
      <x:c r="F912" s="1" t="str">
        <x:v>https://api.octopus.energy/v1/products/AGILE-24-10-01/electricity-tariffs/E-1R-AGILE-24-10-01-G/standard-unit-rates/</x:v>
      </x:c>
    </x:row>
    <x:row r="913" ht="21" customHeight="1">
      <x:c r="A913" s="24" t="n">
        <x:v>46167.520833333336</x:v>
      </x:c>
      <x:c r="B913" s="6" t="n">
        <x:v>0.16190000000000002</x:v>
      </x:c>
      <x:c r="C913" s="6" t="n">
        <x:v>0.1003</x:v>
      </x:c>
      <x:c r="D913" s="6" t="n">
        <x:f>B913</x:f>
        <x:v>0.16190000000000002</x:v>
      </x:c>
      <x:c r="E913" s="1" t="n">
        <x:v>1.05</x:v>
      </x:c>
      <x:c r="F913" s="1" t="str">
        <x:v>https://api.octopus.energy/v1/products/AGILE-24-10-01/electricity-tariffs/E-1R-AGILE-24-10-01-G/standard-unit-rates/</x:v>
      </x:c>
    </x:row>
    <x:row r="914" ht="21" customHeight="1">
      <x:c r="A914" s="24" t="n">
        <x:v>46167.541666666664</x:v>
      </x:c>
      <x:c r="B914" s="6" t="n">
        <x:v>0.1617</x:v>
      </x:c>
      <x:c r="C914" s="6" t="n">
        <x:v>0.1002</x:v>
      </x:c>
      <x:c r="D914" s="6" t="n">
        <x:f>B914</x:f>
        <x:v>0.1617</x:v>
      </x:c>
      <x:c r="E914" s="1" t="n">
        <x:v>1.05</x:v>
      </x:c>
      <x:c r="F914" s="1" t="str">
        <x:v>https://api.octopus.energy/v1/products/AGILE-24-10-01/electricity-tariffs/E-1R-AGILE-24-10-01-G/standard-unit-rates/</x:v>
      </x:c>
    </x:row>
    <x:row r="915" ht="21" customHeight="1">
      <x:c r="A915" s="24" t="n">
        <x:v>46167.5625</x:v>
      </x:c>
      <x:c r="B915" s="6" t="n">
        <x:v>0.1661</x:v>
      </x:c>
      <x:c r="C915" s="6" t="n">
        <x:v>0.10220000000000001</x:v>
      </x:c>
      <x:c r="D915" s="6" t="n">
        <x:f>B915</x:f>
        <x:v>0.1661</x:v>
      </x:c>
      <x:c r="E915" s="1" t="n">
        <x:v>1.05</x:v>
      </x:c>
      <x:c r="F915" s="1" t="str">
        <x:v>https://api.octopus.energy/v1/products/AGILE-24-10-01/electricity-tariffs/E-1R-AGILE-24-10-01-G/standard-unit-rates/</x:v>
      </x:c>
    </x:row>
    <x:row r="916" ht="21" customHeight="1">
      <x:c r="A916" s="24" t="n">
        <x:v>46167.583333333336</x:v>
      </x:c>
      <x:c r="B916" s="6" t="n">
        <x:v>0.1661</x:v>
      </x:c>
      <x:c r="C916" s="6" t="n">
        <x:v>0.10220000000000001</x:v>
      </x:c>
      <x:c r="D916" s="6" t="n">
        <x:f>B916</x:f>
        <x:v>0.1661</x:v>
      </x:c>
      <x:c r="E916" s="1" t="n">
        <x:v>1.05</x:v>
      </x:c>
      <x:c r="F916" s="1" t="str">
        <x:v>https://api.octopus.energy/v1/products/AGILE-24-10-01/electricity-tariffs/E-1R-AGILE-24-10-01-G/standard-unit-rates/</x:v>
      </x:c>
    </x:row>
    <x:row r="917" ht="21" customHeight="1">
      <x:c r="A917" s="24" t="n">
        <x:v>46167.604166666664</x:v>
      </x:c>
      <x:c r="B917" s="6" t="n">
        <x:v>0.1594</x:v>
      </x:c>
      <x:c r="C917" s="6" t="n">
        <x:v>0.09910000000000001</x:v>
      </x:c>
      <x:c r="D917" s="6" t="n">
        <x:f>B917</x:f>
        <x:v>0.1594</x:v>
      </x:c>
      <x:c r="E917" s="1" t="n">
        <x:v>1.05</x:v>
      </x:c>
      <x:c r="F917" s="1" t="str">
        <x:v>https://api.octopus.energy/v1/products/AGILE-24-10-01/electricity-tariffs/E-1R-AGILE-24-10-01-G/standard-unit-rates/</x:v>
      </x:c>
    </x:row>
    <x:row r="918" ht="21" customHeight="1">
      <x:c r="A918" s="24" t="n">
        <x:v>46167.625</x:v>
      </x:c>
      <x:c r="B918" s="6" t="n">
        <x:v>0.1653</x:v>
      </x:c>
      <x:c r="C918" s="6" t="n">
        <x:v>0.10189999999999999</x:v>
      </x:c>
      <x:c r="D918" s="6" t="n">
        <x:f>B918</x:f>
        <x:v>0.1653</x:v>
      </x:c>
      <x:c r="E918" s="1" t="n">
        <x:v>1.05</x:v>
      </x:c>
      <x:c r="F918" s="1" t="str">
        <x:v>https://api.octopus.energy/v1/products/AGILE-24-10-01/electricity-tariffs/E-1R-AGILE-24-10-01-G/standard-unit-rates/</x:v>
      </x:c>
    </x:row>
    <x:row r="919" ht="21" customHeight="1">
      <x:c r="A919" s="24" t="n">
        <x:v>46167.645833333336</x:v>
      </x:c>
      <x:c r="B919" s="6" t="n">
        <x:v>0.1764</x:v>
      </x:c>
      <x:c r="C919" s="6" t="n">
        <x:v>0.1069</x:v>
      </x:c>
      <x:c r="D919" s="6" t="n">
        <x:f>B919</x:f>
        <x:v>0.1764</x:v>
      </x:c>
      <x:c r="E919" s="1" t="n">
        <x:v>1.05</x:v>
      </x:c>
      <x:c r="F919" s="1" t="str">
        <x:v>https://api.octopus.energy/v1/products/AGILE-24-10-01/electricity-tariffs/E-1R-AGILE-24-10-01-G/standard-unit-rates/</x:v>
      </x:c>
    </x:row>
    <x:row r="920" ht="21" customHeight="1">
      <x:c r="A920" s="24" t="n">
        <x:v>46167.666666666664</x:v>
      </x:c>
      <x:c r="B920" s="6" t="n">
        <x:v>0.30079999999999996</x:v>
      </x:c>
      <x:c r="C920" s="6" t="n">
        <x:v>0.1678</x:v>
      </x:c>
      <x:c r="D920" s="6" t="n">
        <x:f>B920</x:f>
        <x:v>0.30079999999999996</x:v>
      </x:c>
      <x:c r="E920" s="1" t="n">
        <x:v>1.05</x:v>
      </x:c>
      <x:c r="F920" s="1" t="str">
        <x:v>https://api.octopus.energy/v1/products/AGILE-24-10-01/electricity-tariffs/E-1R-AGILE-24-10-01-G/standard-unit-rates/</x:v>
      </x:c>
    </x:row>
    <x:row r="921" ht="21" customHeight="1">
      <x:c r="A921" s="24" t="n">
        <x:v>46167.6875</x:v>
      </x:c>
      <x:c r="B921" s="6" t="n">
        <x:v>0.29969999999999997</x:v>
      </x:c>
      <x:c r="C921" s="6" t="n">
        <x:v>0.1673</x:v>
      </x:c>
      <x:c r="D921" s="6" t="n">
        <x:f>B921</x:f>
        <x:v>0.29969999999999997</x:v>
      </x:c>
      <x:c r="E921" s="1" t="n">
        <x:v>1.05</x:v>
      </x:c>
      <x:c r="F921" s="1" t="str">
        <x:v>https://api.octopus.energy/v1/products/AGILE-24-10-01/electricity-tariffs/E-1R-AGILE-24-10-01-G/standard-unit-rates/</x:v>
      </x:c>
    </x:row>
    <x:row r="922" ht="21" customHeight="1">
      <x:c r="A922" s="24" t="n">
        <x:v>46167.708333333336</x:v>
      </x:c>
      <x:c r="B922" s="6" t="n">
        <x:v>0.3075</x:v>
      </x:c>
      <x:c r="C922" s="6" t="n">
        <x:v>0.1709</x:v>
      </x:c>
      <x:c r="D922" s="6" t="n">
        <x:f>B922</x:f>
        <x:v>0.3075</x:v>
      </x:c>
      <x:c r="E922" s="1" t="n">
        <x:v>1.05</x:v>
      </x:c>
      <x:c r="F922" s="1" t="str">
        <x:v>https://api.octopus.energy/v1/products/AGILE-24-10-01/electricity-tariffs/E-1R-AGILE-24-10-01-G/standard-unit-rates/</x:v>
      </x:c>
    </x:row>
    <x:row r="923" ht="21" customHeight="1">
      <x:c r="A923" s="24" t="n">
        <x:v>46167.729166666664</x:v>
      </x:c>
      <x:c r="B923" s="6" t="n">
        <x:v>0.326</x:v>
      </x:c>
      <x:c r="C923" s="6" t="n">
        <x:v>0.1793</x:v>
      </x:c>
      <x:c r="D923" s="6" t="n">
        <x:f>B923</x:f>
        <x:v>0.326</x:v>
      </x:c>
      <x:c r="E923" s="1" t="n">
        <x:v>1.05</x:v>
      </x:c>
      <x:c r="F923" s="1" t="str">
        <x:v>https://api.octopus.energy/v1/products/AGILE-24-10-01/electricity-tariffs/E-1R-AGILE-24-10-01-G/standard-unit-rates/</x:v>
      </x:c>
    </x:row>
    <x:row r="924" ht="21" customHeight="1">
      <x:c r="A924" s="24" t="n">
        <x:v>46167.75</x:v>
      </x:c>
      <x:c r="B924" s="6" t="n">
        <x:v>0.3533</x:v>
      </x:c>
      <x:c r="C924" s="6" t="n">
        <x:v>0.1918</x:v>
      </x:c>
      <x:c r="D924" s="6" t="n">
        <x:f>B924</x:f>
        <x:v>0.3533</x:v>
      </x:c>
      <x:c r="E924" s="1" t="n">
        <x:v>1.05</x:v>
      </x:c>
      <x:c r="F924" s="1" t="str">
        <x:v>https://api.octopus.energy/v1/products/AGILE-24-10-01/electricity-tariffs/E-1R-AGILE-24-10-01-G/standard-unit-rates/</x:v>
      </x:c>
    </x:row>
    <x:row r="925" ht="21" customHeight="1">
      <x:c r="A925" s="24" t="n">
        <x:v>46167.770833333336</x:v>
      </x:c>
      <x:c r="B925" s="6" t="n">
        <x:v>0.3554</x:v>
      </x:c>
      <x:c r="C925" s="6" t="n">
        <x:v>0.1928</x:v>
      </x:c>
      <x:c r="D925" s="6" t="n">
        <x:f>B925</x:f>
        <x:v>0.3554</x:v>
      </x:c>
      <x:c r="E925" s="1" t="n">
        <x:v>1.05</x:v>
      </x:c>
      <x:c r="F925" s="1" t="str">
        <x:v>https://api.octopus.energy/v1/products/AGILE-24-10-01/electricity-tariffs/E-1R-AGILE-24-10-01-G/standard-unit-rates/</x:v>
      </x:c>
    </x:row>
    <x:row r="926" ht="21" customHeight="1">
      <x:c r="A926" s="24" t="n">
        <x:v>46167.791666666664</x:v>
      </x:c>
      <x:c r="B926" s="6" t="n">
        <x:v>0.2459</x:v>
      </x:c>
      <x:c r="C926" s="6" t="n">
        <x:v>0.1387</x:v>
      </x:c>
      <x:c r="D926" s="6" t="n">
        <x:f>B926</x:f>
        <x:v>0.2459</x:v>
      </x:c>
      <x:c r="E926" s="1" t="n">
        <x:v>1.05</x:v>
      </x:c>
      <x:c r="F926" s="1" t="str">
        <x:v>https://api.octopus.energy/v1/products/AGILE-24-10-01/electricity-tariffs/E-1R-AGILE-24-10-01-G/standard-unit-rates/</x:v>
      </x:c>
    </x:row>
    <x:row r="927" ht="21" customHeight="1">
      <x:c r="A927" s="24" t="n">
        <x:v>46167.8125</x:v>
      </x:c>
      <x:c r="B927" s="6" t="n">
        <x:v>0.2438</x:v>
      </x:c>
      <x:c r="C927" s="6" t="n">
        <x:v>0.1377</x:v>
      </x:c>
      <x:c r="D927" s="6" t="n">
        <x:f>B927</x:f>
        <x:v>0.2438</x:v>
      </x:c>
      <x:c r="E927" s="1" t="n">
        <x:v>1.05</x:v>
      </x:c>
      <x:c r="F927" s="1" t="str">
        <x:v>https://api.octopus.energy/v1/products/AGILE-24-10-01/electricity-tariffs/E-1R-AGILE-24-10-01-G/standard-unit-rates/</x:v>
      </x:c>
    </x:row>
    <x:row r="928" ht="21" customHeight="1">
      <x:c r="A928" s="24" t="n">
        <x:v>46167.833333333336</x:v>
      </x:c>
      <x:c r="B928" s="6" t="n">
        <x:v>0.2484</x:v>
      </x:c>
      <x:c r="C928" s="6" t="n">
        <x:v>0.1398</x:v>
      </x:c>
      <x:c r="D928" s="6" t="n">
        <x:f>B928</x:f>
        <x:v>0.2484</x:v>
      </x:c>
      <x:c r="E928" s="1" t="n">
        <x:v>1.05</x:v>
      </x:c>
      <x:c r="F928" s="1" t="str">
        <x:v>https://api.octopus.energy/v1/products/AGILE-24-10-01/electricity-tariffs/E-1R-AGILE-24-10-01-G/standard-unit-rates/</x:v>
      </x:c>
    </x:row>
    <x:row r="929" ht="21" customHeight="1">
      <x:c r="A929" s="24" t="n">
        <x:v>46167.854166666664</x:v>
      </x:c>
      <x:c r="B929" s="6" t="n">
        <x:v>0.2516</x:v>
      </x:c>
      <x:c r="C929" s="6" t="n">
        <x:v>0.1413</x:v>
      </x:c>
      <x:c r="D929" s="6" t="n">
        <x:f>B929</x:f>
        <x:v>0.2516</x:v>
      </x:c>
      <x:c r="E929" s="1" t="n">
        <x:v>1.05</x:v>
      </x:c>
      <x:c r="F929" s="1" t="str">
        <x:v>https://api.octopus.energy/v1/products/AGILE-24-10-01/electricity-tariffs/E-1R-AGILE-24-10-01-G/standard-unit-rates/</x:v>
      </x:c>
    </x:row>
    <x:row r="930" ht="21" customHeight="1">
      <x:c r="A930" s="24" t="n">
        <x:v>46167.875</x:v>
      </x:c>
      <x:c r="B930" s="6" t="n">
        <x:v>0.2419</x:v>
      </x:c>
      <x:c r="C930" s="6" t="n">
        <x:v>0.1369</x:v>
      </x:c>
      <x:c r="D930" s="6" t="n">
        <x:f>B930</x:f>
        <x:v>0.2419</x:v>
      </x:c>
      <x:c r="E930" s="1" t="n">
        <x:v>1.05</x:v>
      </x:c>
      <x:c r="F930" s="1" t="str">
        <x:v>https://api.octopus.energy/v1/products/AGILE-24-10-01/electricity-tariffs/E-1R-AGILE-24-10-01-G/standard-unit-rates/</x:v>
      </x:c>
    </x:row>
    <x:row r="931" ht="21" customHeight="1">
      <x:c r="A931" s="24" t="n">
        <x:v>46167.895833333336</x:v>
      </x:c>
      <x:c r="B931" s="6" t="n">
        <x:v>0.23329999999999998</x:v>
      </x:c>
      <x:c r="C931" s="6" t="n">
        <x:v>0.1329</x:v>
      </x:c>
      <x:c r="D931" s="6" t="n">
        <x:f>B931</x:f>
        <x:v>0.23329999999999998</x:v>
      </x:c>
      <x:c r="E931" s="1" t="n">
        <x:v>1.05</x:v>
      </x:c>
      <x:c r="F931" s="1" t="str">
        <x:v>https://api.octopus.energy/v1/products/AGILE-24-10-01/electricity-tariffs/E-1R-AGILE-24-10-01-G/standard-unit-rates/</x:v>
      </x:c>
    </x:row>
    <x:row r="932" ht="21" customHeight="1">
      <x:c r="A932" s="24" t="n">
        <x:v>46167.916666666664</x:v>
      </x:c>
      <x:c r="B932" s="6" t="n">
        <x:v>0.22010000000000002</x:v>
      </x:c>
      <x:c r="C932" s="6" t="n">
        <x:v>0.12689999999999999</x:v>
      </x:c>
      <x:c r="D932" s="6" t="n">
        <x:f>B932</x:f>
        <x:v>0.22010000000000002</x:v>
      </x:c>
      <x:c r="E932" s="1" t="n">
        <x:v>1.05</x:v>
      </x:c>
      <x:c r="F932" s="1" t="str">
        <x:v>https://api.octopus.energy/v1/products/AGILE-24-10-01/electricity-tariffs/E-1R-AGILE-24-10-01-G/standard-unit-rates/</x:v>
      </x:c>
    </x:row>
    <x:row r="933" ht="21" customHeight="1">
      <x:c r="A933" s="24" t="n">
        <x:v>46167.9375</x:v>
      </x:c>
      <x:c r="B933" s="6" t="n">
        <x:v>0.21230000000000002</x:v>
      </x:c>
      <x:c r="C933" s="6" t="n">
        <x:v>0.1233</x:v>
      </x:c>
      <x:c r="D933" s="6" t="n">
        <x:f>B933</x:f>
        <x:v>0.21230000000000002</x:v>
      </x:c>
      <x:c r="E933" s="1" t="n">
        <x:v>1.05</x:v>
      </x:c>
      <x:c r="F933" s="1" t="str">
        <x:v>https://api.octopus.energy/v1/products/AGILE-24-10-01/electricity-tariffs/E-1R-AGILE-24-10-01-G/standard-unit-rates/</x:v>
      </x:c>
    </x:row>
    <x:row r="934" ht="21" customHeight="1">
      <x:c r="A934" s="24" t="n">
        <x:v>46168</x:v>
      </x:c>
      <x:c r="B934" s="6" t="n">
        <x:v>0.20809999999999998</x:v>
      </x:c>
      <x:c r="C934" s="6" t="n">
        <x:v>0.12140000000000001</x:v>
      </x:c>
      <x:c r="D934" s="6" t="n">
        <x:f>B934</x:f>
        <x:v>0.20809999999999998</x:v>
      </x:c>
      <x:c r="E934" s="1" t="n">
        <x:v>1.05</x:v>
      </x:c>
      <x:c r="F934" s="1" t="str">
        <x:v>https://api.octopus.energy/v1/products/AGILE-24-10-01/electricity-tariffs/E-1R-AGILE-24-10-01-G/standard-unit-rates/</x:v>
      </x:c>
    </x:row>
    <x:row r="935" ht="21" customHeight="1">
      <x:c r="A935" s="24" t="n">
        <x:v>46167.979166666664</x:v>
      </x:c>
      <x:c r="B935" s="6" t="n">
        <x:v>0.1909</x:v>
      </x:c>
      <x:c r="C935" s="6" t="n">
        <x:v>0.11349999999999999</x:v>
      </x:c>
      <x:c r="D935" s="6" t="n">
        <x:f>B935</x:f>
        <x:v>0.1909</x:v>
      </x:c>
      <x:c r="E935" s="1" t="n">
        <x:v>1.05</x:v>
      </x:c>
      <x:c r="F935" s="1" t="str">
        <x:v>https://api.octopus.energy/v1/products/AGILE-24-10-01/electricity-tariffs/E-1R-AGILE-24-10-01-G/standard-unit-rates/</x:v>
      </x:c>
    </x:row>
    <x:row r="936" ht="21" customHeight="1">
      <x:c r="A936" s="24" t="n">
        <x:v>46168</x:v>
      </x:c>
      <x:c r="B936" s="6" t="n">
        <x:v>0.1867</x:v>
      </x:c>
      <x:c r="C936" s="6" t="n">
        <x:v>0.1116</x:v>
      </x:c>
      <x:c r="D936" s="6" t="n">
        <x:f>B936</x:f>
        <x:v>0.1867</x:v>
      </x:c>
      <x:c r="E936" s="1" t="n">
        <x:v>1.05</x:v>
      </x:c>
      <x:c r="F936" s="1" t="str">
        <x:v>https://api.octopus.energy/v1/products/AGILE-24-10-01/electricity-tariffs/E-1R-AGILE-24-10-01-G/standard-unit-rates/</x:v>
      </x:c>
    </x:row>
    <x:row r="937" ht="21" customHeight="1">
      <x:c r="A937" s="24" t="n">
        <x:v>46168.020833333336</x:v>
      </x:c>
      <x:c r="B937" s="6" t="n">
        <x:v>0.19579999999999997</x:v>
      </x:c>
      <x:c r="C937" s="6" t="n">
        <x:v>0.1158</x:v>
      </x:c>
      <x:c r="D937" s="6" t="n">
        <x:f>B937</x:f>
        <x:v>0.19579999999999997</x:v>
      </x:c>
      <x:c r="E937" s="1" t="n">
        <x:v>1.05</x:v>
      </x:c>
      <x:c r="F937" s="1" t="str">
        <x:v>https://api.octopus.energy/v1/products/AGILE-24-10-01/electricity-tariffs/E-1R-AGILE-24-10-01-G/standard-unit-rates/</x:v>
      </x:c>
    </x:row>
    <x:row r="938" ht="21" customHeight="1">
      <x:c r="A938" s="24" t="n">
        <x:v>46168.041666666664</x:v>
      </x:c>
      <x:c r="B938" s="6" t="n">
        <x:v>0.1839</x:v>
      </x:c>
      <x:c r="C938" s="6" t="n">
        <x:v>0.1103</x:v>
      </x:c>
      <x:c r="D938" s="6" t="n">
        <x:f>B938</x:f>
        <x:v>0.1839</x:v>
      </x:c>
      <x:c r="E938" s="1" t="n">
        <x:v>1.05</x:v>
      </x:c>
      <x:c r="F938" s="1" t="str">
        <x:v>https://api.octopus.energy/v1/products/AGILE-24-10-01/electricity-tariffs/E-1R-AGILE-24-10-01-G/standard-unit-rates/</x:v>
      </x:c>
    </x:row>
    <x:row r="939" ht="21" customHeight="1">
      <x:c r="A939" s="24" t="n">
        <x:v>46168.0625</x:v>
      </x:c>
      <x:c r="B939" s="6" t="n">
        <x:v>0.1984</x:v>
      </x:c>
      <x:c r="C939" s="6" t="n">
        <x:v>0.11699999999999999</x:v>
      </x:c>
      <x:c r="D939" s="6" t="n">
        <x:f>B939</x:f>
        <x:v>0.1984</x:v>
      </x:c>
      <x:c r="E939" s="1" t="n">
        <x:v>1.05</x:v>
      </x:c>
      <x:c r="F939" s="1" t="str">
        <x:v>https://api.octopus.energy/v1/products/AGILE-24-10-01/electricity-tariffs/E-1R-AGILE-24-10-01-G/standard-unit-rates/</x:v>
      </x:c>
    </x:row>
    <x:row r="940" ht="21" customHeight="1">
      <x:c r="A940" s="24" t="n">
        <x:v>46168.083333333336</x:v>
      </x:c>
      <x:c r="B940" s="6" t="n">
        <x:v>0.1997</x:v>
      </x:c>
      <x:c r="C940" s="6" t="n">
        <x:v>0.1176</x:v>
      </x:c>
      <x:c r="D940" s="6" t="n">
        <x:f>B940</x:f>
        <x:v>0.1997</x:v>
      </x:c>
      <x:c r="E940" s="1" t="n">
        <x:v>1.05</x:v>
      </x:c>
      <x:c r="F940" s="1" t="str">
        <x:v>https://api.octopus.energy/v1/products/AGILE-24-10-01/electricity-tariffs/E-1R-AGILE-24-10-01-G/standard-unit-rates/</x:v>
      </x:c>
    </x:row>
    <x:row r="941" ht="21" customHeight="1">
      <x:c r="A941" s="24" t="n">
        <x:v>46168.104166666664</x:v>
      </x:c>
      <x:c r="B941" s="6" t="n">
        <x:v>0.1913</x:v>
      </x:c>
      <x:c r="C941" s="6" t="n">
        <x:v>0.1137</x:v>
      </x:c>
      <x:c r="D941" s="6" t="n">
        <x:f>B941</x:f>
        <x:v>0.1913</x:v>
      </x:c>
      <x:c r="E941" s="1" t="n">
        <x:v>1.05</x:v>
      </x:c>
      <x:c r="F941" s="1" t="str">
        <x:v>https://api.octopus.energy/v1/products/AGILE-24-10-01/electricity-tariffs/E-1R-AGILE-24-10-01-G/standard-unit-rates/</x:v>
      </x:c>
    </x:row>
    <x:row r="942" ht="21" customHeight="1">
      <x:c r="A942" s="24" t="n">
        <x:v>46168.125</x:v>
      </x:c>
      <x:c r="B942" s="6" t="n">
        <x:v>0.1766</x:v>
      </x:c>
      <x:c r="C942" s="6" t="n">
        <x:v>0.107</x:v>
      </x:c>
      <x:c r="D942" s="6" t="n">
        <x:f>B942</x:f>
        <x:v>0.1766</x:v>
      </x:c>
      <x:c r="E942" s="1" t="n">
        <x:v>1.05</x:v>
      </x:c>
      <x:c r="F942" s="1" t="str">
        <x:v>https://api.octopus.energy/v1/products/AGILE-24-10-01/electricity-tariffs/E-1R-AGILE-24-10-01-G/standard-unit-rates/</x:v>
      </x:c>
    </x:row>
    <x:row r="943" ht="21" customHeight="1">
      <x:c r="A943" s="24" t="n">
        <x:v>46168.145833333336</x:v>
      </x:c>
      <x:c r="B943" s="6" t="n">
        <x:v>0.1761</x:v>
      </x:c>
      <x:c r="C943" s="6" t="n">
        <x:v>0.10679999999999999</x:v>
      </x:c>
      <x:c r="D943" s="6" t="n">
        <x:f>B943</x:f>
        <x:v>0.1761</x:v>
      </x:c>
      <x:c r="E943" s="1" t="n">
        <x:v>1.05</x:v>
      </x:c>
      <x:c r="F943" s="1" t="str">
        <x:v>https://api.octopus.energy/v1/products/AGILE-24-10-01/electricity-tariffs/E-1R-AGILE-24-10-01-G/standard-unit-rates/</x:v>
      </x:c>
    </x:row>
    <x:row r="944" ht="21" customHeight="1">
      <x:c r="A944" s="24" t="n">
        <x:v>46168.166666666664</x:v>
      </x:c>
      <x:c r="B944" s="6" t="n">
        <x:v>0.1677</x:v>
      </x:c>
      <x:c r="C944" s="6" t="n">
        <x:v>0.10289999999999999</x:v>
      </x:c>
      <x:c r="D944" s="6" t="n">
        <x:f>B944</x:f>
        <x:v>0.1677</x:v>
      </x:c>
      <x:c r="E944" s="1" t="n">
        <x:v>1.05</x:v>
      </x:c>
      <x:c r="F944" s="1" t="str">
        <x:v>https://api.octopus.energy/v1/products/AGILE-24-10-01/electricity-tariffs/E-1R-AGILE-24-10-01-G/standard-unit-rates/</x:v>
      </x:c>
    </x:row>
    <x:row r="945" ht="21" customHeight="1">
      <x:c r="A945" s="24" t="n">
        <x:v>46168.1875</x:v>
      </x:c>
      <x:c r="B945" s="6" t="n">
        <x:v>0.16399999999999998</x:v>
      </x:c>
      <x:c r="C945" s="6" t="n">
        <x:v>0.1012</x:v>
      </x:c>
      <x:c r="D945" s="6" t="n">
        <x:f>B945</x:f>
        <x:v>0.16399999999999998</x:v>
      </x:c>
      <x:c r="E945" s="1" t="n">
        <x:v>1.05</x:v>
      </x:c>
      <x:c r="F945" s="1" t="str">
        <x:v>https://api.octopus.energy/v1/products/AGILE-24-10-01/electricity-tariffs/E-1R-AGILE-24-10-01-G/standard-unit-rates/</x:v>
      </x:c>
    </x:row>
    <x:row r="946" ht="21" customHeight="1">
      <x:c r="A946" s="24" t="n">
        <x:v>46168.208333333336</x:v>
      </x:c>
      <x:c r="B946" s="6" t="n">
        <x:v>0.1696</x:v>
      </x:c>
      <x:c r="C946" s="6" t="n">
        <x:v>0.1038</x:v>
      </x:c>
      <x:c r="D946" s="6" t="n">
        <x:f>B946</x:f>
        <x:v>0.1696</x:v>
      </x:c>
      <x:c r="E946" s="1" t="n">
        <x:v>1.05</x:v>
      </x:c>
      <x:c r="F946" s="1" t="str">
        <x:v>https://api.octopus.energy/v1/products/AGILE-24-10-01/electricity-tariffs/E-1R-AGILE-24-10-01-G/standard-unit-rates/</x:v>
      </x:c>
    </x:row>
    <x:row r="947" ht="21" customHeight="1">
      <x:c r="A947" s="24" t="n">
        <x:v>46168.229166666664</x:v>
      </x:c>
      <x:c r="B947" s="6" t="n">
        <x:v>0.1776</x:v>
      </x:c>
      <x:c r="C947" s="6" t="n">
        <x:v>0.1075</x:v>
      </x:c>
      <x:c r="D947" s="6" t="n">
        <x:f>B947</x:f>
        <x:v>0.1776</x:v>
      </x:c>
      <x:c r="E947" s="1" t="n">
        <x:v>1.05</x:v>
      </x:c>
      <x:c r="F947" s="1" t="str">
        <x:v>https://api.octopus.energy/v1/products/AGILE-24-10-01/electricity-tariffs/E-1R-AGILE-24-10-01-G/standard-unit-rates/</x:v>
      </x:c>
    </x:row>
    <x:row r="948" ht="21" customHeight="1">
      <x:c r="A948" s="24" t="n">
        <x:v>46168.25</x:v>
      </x:c>
      <x:c r="B948" s="6" t="n">
        <x:v>0.21230000000000002</x:v>
      </x:c>
      <x:c r="C948" s="6" t="n">
        <x:v>0.1233</x:v>
      </x:c>
      <x:c r="D948" s="6" t="n">
        <x:f>B948</x:f>
        <x:v>0.21230000000000002</x:v>
      </x:c>
      <x:c r="E948" s="1" t="n">
        <x:v>1.05</x:v>
      </x:c>
      <x:c r="F948" s="1" t="str">
        <x:v>https://api.octopus.energy/v1/products/AGILE-24-10-01/electricity-tariffs/E-1R-AGILE-24-10-01-G/standard-unit-rates/</x:v>
      </x:c>
    </x:row>
    <x:row r="949" ht="21" customHeight="1">
      <x:c r="A949" s="24" t="n">
        <x:v>46168.270833333336</x:v>
      </x:c>
      <x:c r="B949" s="6" t="n">
        <x:v>0.2291</x:v>
      </x:c>
      <x:c r="C949" s="6" t="n">
        <x:v>0.131</x:v>
      </x:c>
      <x:c r="D949" s="6" t="n">
        <x:f>B949</x:f>
        <x:v>0.2291</x:v>
      </x:c>
      <x:c r="E949" s="1" t="n">
        <x:v>1.05</x:v>
      </x:c>
      <x:c r="F949" s="1" t="str">
        <x:v>https://api.octopus.energy/v1/products/AGILE-24-10-01/electricity-tariffs/E-1R-AGILE-24-10-01-G/standard-unit-rates/</x:v>
      </x:c>
    </x:row>
    <x:row r="950" ht="21" customHeight="1">
      <x:c r="A950" s="24" t="n">
        <x:v>46168.291666666664</x:v>
      </x:c>
      <x:c r="B950" s="6" t="n">
        <x:v>0.218</x:v>
      </x:c>
      <x:c r="C950" s="6" t="n">
        <x:v>0.1259</x:v>
      </x:c>
      <x:c r="D950" s="6" t="n">
        <x:f>B950</x:f>
        <x:v>0.218</x:v>
      </x:c>
      <x:c r="E950" s="1" t="n">
        <x:v>1.05</x:v>
      </x:c>
      <x:c r="F950" s="1" t="str">
        <x:v>https://api.octopus.energy/v1/products/AGILE-24-10-01/electricity-tariffs/E-1R-AGILE-24-10-01-G/standard-unit-rates/</x:v>
      </x:c>
    </x:row>
    <x:row r="951" ht="21" customHeight="1">
      <x:c r="A951" s="24" t="n">
        <x:v>46168.3125</x:v>
      </x:c>
      <x:c r="B951" s="6" t="n">
        <x:v>0.2198</x:v>
      </x:c>
      <x:c r="C951" s="6" t="n">
        <x:v>0.1268</x:v>
      </x:c>
      <x:c r="D951" s="6" t="n">
        <x:f>B951</x:f>
        <x:v>0.2198</x:v>
      </x:c>
      <x:c r="E951" s="1" t="n">
        <x:v>1.05</x:v>
      </x:c>
      <x:c r="F951" s="1" t="str">
        <x:v>https://api.octopus.energy/v1/products/AGILE-24-10-01/electricity-tariffs/E-1R-AGILE-24-10-01-G/standard-unit-rates/</x:v>
      </x:c>
    </x:row>
    <x:row r="952" ht="21" customHeight="1">
      <x:c r="A952" s="24" t="n">
        <x:v>46168.333333333336</x:v>
      </x:c>
      <x:c r="B952" s="6" t="n">
        <x:v>0.22030000000000002</x:v>
      </x:c>
      <x:c r="C952" s="6" t="n">
        <x:v>0.127</x:v>
      </x:c>
      <x:c r="D952" s="6" t="n">
        <x:f>B952</x:f>
        <x:v>0.22030000000000002</x:v>
      </x:c>
      <x:c r="E952" s="1" t="n">
        <x:v>1.05</x:v>
      </x:c>
      <x:c r="F952" s="1" t="str">
        <x:v>https://api.octopus.energy/v1/products/AGILE-24-10-01/electricity-tariffs/E-1R-AGILE-24-10-01-G/standard-unit-rates/</x:v>
      </x:c>
    </x:row>
    <x:row r="953" ht="21" customHeight="1">
      <x:c r="A953" s="24" t="n">
        <x:v>46168.354166666664</x:v>
      </x:c>
      <x:c r="B953" s="6" t="n">
        <x:v>0.21539999999999998</x:v>
      </x:c>
      <x:c r="C953" s="6" t="n">
        <x:v>0.12480000000000001</x:v>
      </x:c>
      <x:c r="D953" s="6" t="n">
        <x:f>B953</x:f>
        <x:v>0.21539999999999998</x:v>
      </x:c>
      <x:c r="E953" s="1" t="n">
        <x:v>1.05</x:v>
      </x:c>
      <x:c r="F953" s="1" t="str">
        <x:v>https://api.octopus.energy/v1/products/AGILE-24-10-01/electricity-tariffs/E-1R-AGILE-24-10-01-G/standard-unit-rates/</x:v>
      </x:c>
    </x:row>
    <x:row r="954" ht="21" customHeight="1">
      <x:c r="A954" s="24" t="n">
        <x:v>46168.375</x:v>
      </x:c>
      <x:c r="B954" s="6" t="n">
        <x:v>0.2186</x:v>
      </x:c>
      <x:c r="C954" s="6" t="n">
        <x:v>0.12619999999999998</x:v>
      </x:c>
      <x:c r="D954" s="6" t="n">
        <x:f>B954</x:f>
        <x:v>0.2186</x:v>
      </x:c>
      <x:c r="E954" s="1" t="n">
        <x:v>1.05</x:v>
      </x:c>
      <x:c r="F954" s="1" t="str">
        <x:v>https://api.octopus.energy/v1/products/AGILE-24-10-01/electricity-tariffs/E-1R-AGILE-24-10-01-G/standard-unit-rates/</x:v>
      </x:c>
    </x:row>
    <x:row r="955" ht="21" customHeight="1">
      <x:c r="A955" s="24" t="n">
        <x:v>46168.395833333336</x:v>
      </x:c>
      <x:c r="B955" s="6" t="n">
        <x:v>0.2102</x:v>
      </x:c>
      <x:c r="C955" s="6" t="n">
        <x:v>0.12240000000000001</x:v>
      </x:c>
      <x:c r="D955" s="6" t="n">
        <x:f>B955</x:f>
        <x:v>0.2102</x:v>
      </x:c>
      <x:c r="E955" s="1" t="n">
        <x:v>1.05</x:v>
      </x:c>
      <x:c r="F955" s="1" t="str">
        <x:v>https://api.octopus.energy/v1/products/AGILE-24-10-01/electricity-tariffs/E-1R-AGILE-24-10-01-G/standard-unit-rates/</x:v>
      </x:c>
    </x:row>
    <x:row r="956" ht="21" customHeight="1">
      <x:c r="A956" s="24" t="n">
        <x:v>46168.416666666664</x:v>
      </x:c>
      <x:c r="B956" s="6" t="n">
        <x:v>0.20190000000000002</x:v>
      </x:c>
      <x:c r="C956" s="6" t="n">
        <x:v>0.1185</x:v>
      </x:c>
      <x:c r="D956" s="6" t="n">
        <x:f>B956</x:f>
        <x:v>0.20190000000000002</x:v>
      </x:c>
      <x:c r="E956" s="1" t="n">
        <x:v>1.05</x:v>
      </x:c>
      <x:c r="F956" s="1" t="str">
        <x:v>https://api.octopus.energy/v1/products/AGILE-24-10-01/electricity-tariffs/E-1R-AGILE-24-10-01-G/standard-unit-rates/</x:v>
      </x:c>
    </x:row>
    <x:row r="957" ht="21" customHeight="1">
      <x:c r="A957" s="24" t="n">
        <x:v>46168.4375</x:v>
      </x:c>
      <x:c r="B957" s="6" t="n">
        <x:v>0.19870000000000002</x:v>
      </x:c>
      <x:c r="C957" s="6" t="n">
        <x:v>0.11710000000000001</x:v>
      </x:c>
      <x:c r="D957" s="6" t="n">
        <x:f>B957</x:f>
        <x:v>0.19870000000000002</x:v>
      </x:c>
      <x:c r="E957" s="1" t="n">
        <x:v>1.05</x:v>
      </x:c>
      <x:c r="F957" s="1" t="str">
        <x:v>https://api.octopus.energy/v1/products/AGILE-24-10-01/electricity-tariffs/E-1R-AGILE-24-10-01-G/standard-unit-rates/</x:v>
      </x:c>
    </x:row>
    <x:row r="958" ht="21" customHeight="1">
      <x:c r="A958" s="24" t="n">
        <x:v>46168.458333333336</x:v>
      </x:c>
      <x:c r="B958" s="6" t="n">
        <x:v>0.18539999999999998</x:v>
      </x:c>
      <x:c r="C958" s="6" t="n">
        <x:v>0.111</x:v>
      </x:c>
      <x:c r="D958" s="6" t="n">
        <x:f>B958</x:f>
        <x:v>0.18539999999999998</x:v>
      </x:c>
      <x:c r="E958" s="1" t="n">
        <x:v>1.05</x:v>
      </x:c>
      <x:c r="F958" s="1" t="str">
        <x:v>https://api.octopus.energy/v1/products/AGILE-24-10-01/electricity-tariffs/E-1R-AGILE-24-10-01-G/standard-unit-rates/</x:v>
      </x:c>
    </x:row>
    <x:row r="959" ht="21" customHeight="1">
      <x:c r="A959" s="24" t="n">
        <x:v>46168.479166666664</x:v>
      </x:c>
      <x:c r="B959" s="6" t="n">
        <x:v>0.1793</x:v>
      </x:c>
      <x:c r="C959" s="6" t="n">
        <x:v>0.1082</x:v>
      </x:c>
      <x:c r="D959" s="6" t="n">
        <x:f>B959</x:f>
        <x:v>0.1793</x:v>
      </x:c>
      <x:c r="E959" s="1" t="n">
        <x:v>1.05</x:v>
      </x:c>
      <x:c r="F959" s="1" t="str">
        <x:v>https://api.octopus.energy/v1/products/AGILE-24-10-01/electricity-tariffs/E-1R-AGILE-24-10-01-G/standard-unit-rates/</x:v>
      </x:c>
    </x:row>
    <x:row r="960" ht="21" customHeight="1">
      <x:c r="A960" s="24" t="n">
        <x:v>46168.5</x:v>
      </x:c>
      <x:c r="B960" s="6" t="n">
        <x:v>0.17559999999999998</x:v>
      </x:c>
      <x:c r="C960" s="6" t="n">
        <x:v>0.1066</x:v>
      </x:c>
      <x:c r="D960" s="6" t="n">
        <x:f>B960</x:f>
        <x:v>0.17559999999999998</x:v>
      </x:c>
      <x:c r="E960" s="1" t="n">
        <x:v>1.05</x:v>
      </x:c>
      <x:c r="F960" s="1" t="str">
        <x:v>https://api.octopus.energy/v1/products/AGILE-24-10-01/electricity-tariffs/E-1R-AGILE-24-10-01-G/standard-unit-rates/</x:v>
      </x:c>
    </x:row>
    <x:row r="961" ht="21" customHeight="1">
      <x:c r="A961" s="24" t="n">
        <x:v>46168.520833333336</x:v>
      </x:c>
      <x:c r="B961" s="6" t="n">
        <x:v>0.1747</x:v>
      </x:c>
      <x:c r="C961" s="6" t="n">
        <x:v>0.1061</x:v>
      </x:c>
      <x:c r="D961" s="6" t="n">
        <x:f>B961</x:f>
        <x:v>0.1747</x:v>
      </x:c>
      <x:c r="E961" s="1" t="n">
        <x:v>1.05</x:v>
      </x:c>
      <x:c r="F961" s="1" t="str">
        <x:v>https://api.octopus.energy/v1/products/AGILE-24-10-01/electricity-tariffs/E-1R-AGILE-24-10-01-G/standard-unit-rates/</x:v>
      </x:c>
    </x:row>
    <x:row r="962" ht="21" customHeight="1">
      <x:c r="A962" s="24" t="n">
        <x:v>46168.541666666664</x:v>
      </x:c>
      <x:c r="B962" s="6" t="n">
        <x:v>0.1766</x:v>
      </x:c>
      <x:c r="C962" s="6" t="n">
        <x:v>0.107</x:v>
      </x:c>
      <x:c r="D962" s="6" t="n">
        <x:f>B962</x:f>
        <x:v>0.1766</x:v>
      </x:c>
      <x:c r="E962" s="1" t="n">
        <x:v>1.05</x:v>
      </x:c>
      <x:c r="F962" s="1" t="str">
        <x:v>https://api.octopus.energy/v1/products/AGILE-24-10-01/electricity-tariffs/E-1R-AGILE-24-10-01-G/standard-unit-rates/</x:v>
      </x:c>
    </x:row>
    <x:row r="963" ht="21" customHeight="1">
      <x:c r="A963" s="24" t="n">
        <x:v>46168.5625</x:v>
      </x:c>
      <x:c r="B963" s="6" t="n">
        <x:v>0.1699</x:v>
      </x:c>
      <x:c r="C963" s="6" t="n">
        <x:v>0.1039</x:v>
      </x:c>
      <x:c r="D963" s="6" t="n">
        <x:f>B963</x:f>
        <x:v>0.1699</x:v>
      </x:c>
      <x:c r="E963" s="1" t="n">
        <x:v>1.05</x:v>
      </x:c>
      <x:c r="F963" s="1" t="str">
        <x:v>https://api.octopus.energy/v1/products/AGILE-24-10-01/electricity-tariffs/E-1R-AGILE-24-10-01-G/standard-unit-rates/</x:v>
      </x:c>
    </x:row>
    <x:row r="964" ht="21" customHeight="1">
      <x:c r="A964" s="24" t="n">
        <x:v>46168.583333333336</x:v>
      </x:c>
      <x:c r="B964" s="6" t="n">
        <x:v>0.1661</x:v>
      </x:c>
      <x:c r="C964" s="6" t="n">
        <x:v>0.10220000000000001</x:v>
      </x:c>
      <x:c r="D964" s="6" t="n">
        <x:f>B964</x:f>
        <x:v>0.1661</x:v>
      </x:c>
      <x:c r="E964" s="1" t="n">
        <x:v>1.05</x:v>
      </x:c>
      <x:c r="F964" s="1" t="str">
        <x:v>https://api.octopus.energy/v1/products/AGILE-24-10-01/electricity-tariffs/E-1R-AGILE-24-10-01-G/standard-unit-rates/</x:v>
      </x:c>
    </x:row>
    <x:row r="965" ht="21" customHeight="1">
      <x:c r="A965" s="24" t="n">
        <x:v>46168.604166666664</x:v>
      </x:c>
      <x:c r="B965" s="6" t="n">
        <x:v>0.1661</x:v>
      </x:c>
      <x:c r="C965" s="6" t="n">
        <x:v>0.10220000000000001</x:v>
      </x:c>
      <x:c r="D965" s="6" t="n">
        <x:f>B965</x:f>
        <x:v>0.1661</x:v>
      </x:c>
      <x:c r="E965" s="1" t="n">
        <x:v>1.05</x:v>
      </x:c>
      <x:c r="F965" s="1" t="str">
        <x:v>https://api.octopus.energy/v1/products/AGILE-24-10-01/electricity-tariffs/E-1R-AGILE-24-10-01-G/standard-unit-rates/</x:v>
      </x:c>
    </x:row>
    <x:row r="966" ht="21" customHeight="1">
      <x:c r="A966" s="24" t="n">
        <x:v>46168.625</x:v>
      </x:c>
      <x:c r="B966" s="6" t="n">
        <x:v>0.1766</x:v>
      </x:c>
      <x:c r="C966" s="6" t="n">
        <x:v>0.107</x:v>
      </x:c>
      <x:c r="D966" s="6" t="n">
        <x:f>B966</x:f>
        <x:v>0.1766</x:v>
      </x:c>
      <x:c r="E966" s="1" t="n">
        <x:v>1.05</x:v>
      </x:c>
      <x:c r="F966" s="1" t="str">
        <x:v>https://api.octopus.energy/v1/products/AGILE-24-10-01/electricity-tariffs/E-1R-AGILE-24-10-01-G/standard-unit-rates/</x:v>
      </x:c>
    </x:row>
    <x:row r="967" ht="21" customHeight="1">
      <x:c r="A967" s="24" t="n">
        <x:v>46168.645833333336</x:v>
      </x:c>
      <x:c r="B967" s="6" t="n">
        <x:v>0.1769</x:v>
      </x:c>
      <x:c r="C967" s="6" t="n">
        <x:v>0.10710000000000001</x:v>
      </x:c>
      <x:c r="D967" s="6" t="n">
        <x:f>B967</x:f>
        <x:v>0.1769</x:v>
      </x:c>
      <x:c r="E967" s="1" t="n">
        <x:v>1.05</x:v>
      </x:c>
      <x:c r="F967" s="1" t="str">
        <x:v>https://api.octopus.energy/v1/products/AGILE-24-10-01/electricity-tariffs/E-1R-AGILE-24-10-01-G/standard-unit-rates/</x:v>
      </x:c>
    </x:row>
    <x:row r="968" ht="21" customHeight="1">
      <x:c r="A968" s="24" t="n">
        <x:v>46168.666666666664</x:v>
      </x:c>
      <x:c r="B968" s="6" t="n">
        <x:v>0.30079999999999996</x:v>
      </x:c>
      <x:c r="C968" s="6" t="n">
        <x:v>0.1678</x:v>
      </x:c>
      <x:c r="D968" s="6" t="n">
        <x:f>B968</x:f>
        <x:v>0.30079999999999996</x:v>
      </x:c>
      <x:c r="E968" s="1" t="n">
        <x:v>1.05</x:v>
      </x:c>
      <x:c r="F968" s="1" t="str">
        <x:v>https://api.octopus.energy/v1/products/AGILE-24-10-01/electricity-tariffs/E-1R-AGILE-24-10-01-G/standard-unit-rates/</x:v>
      </x:c>
    </x:row>
    <x:row r="969" ht="21" customHeight="1">
      <x:c r="A969" s="24" t="n">
        <x:v>46168.6875</x:v>
      </x:c>
      <x:c r="B969" s="6" t="n">
        <x:v>0.29410000000000003</x:v>
      </x:c>
      <x:c r="C969" s="6" t="n">
        <x:v>0.16469999999999999</x:v>
      </x:c>
      <x:c r="D969" s="6" t="n">
        <x:f>B969</x:f>
        <x:v>0.29410000000000003</x:v>
      </x:c>
      <x:c r="E969" s="1" t="n">
        <x:v>1.05</x:v>
      </x:c>
      <x:c r="F969" s="1" t="str">
        <x:v>https://api.octopus.energy/v1/products/AGILE-24-10-01/electricity-tariffs/E-1R-AGILE-24-10-01-G/standard-unit-rates/</x:v>
      </x:c>
    </x:row>
    <x:row r="970" ht="21" customHeight="1">
      <x:c r="A970" s="24" t="n">
        <x:v>46168.708333333336</x:v>
      </x:c>
      <x:c r="B970" s="6" t="n">
        <x:v>0.3208</x:v>
      </x:c>
      <x:c r="C970" s="6" t="n">
        <x:v>0.1769</x:v>
      </x:c>
      <x:c r="D970" s="6" t="n">
        <x:f>B970</x:f>
        <x:v>0.3208</x:v>
      </x:c>
      <x:c r="E970" s="1" t="n">
        <x:v>1.05</x:v>
      </x:c>
      <x:c r="F970" s="1" t="str">
        <x:v>https://api.octopus.energy/v1/products/AGILE-24-10-01/electricity-tariffs/E-1R-AGILE-24-10-01-G/standard-unit-rates/</x:v>
      </x:c>
    </x:row>
    <x:row r="971" ht="21" customHeight="1">
      <x:c r="A971" s="24" t="n">
        <x:v>46168.729166666664</x:v>
      </x:c>
      <x:c r="B971" s="6" t="n">
        <x:v>0.34490000000000004</x:v>
      </x:c>
      <x:c r="C971" s="6" t="n">
        <x:v>0.188</x:v>
      </x:c>
      <x:c r="D971" s="6" t="n">
        <x:f>B971</x:f>
        <x:v>0.34490000000000004</x:v>
      </x:c>
      <x:c r="E971" s="1" t="n">
        <x:v>1.05</x:v>
      </x:c>
      <x:c r="F971" s="1" t="str">
        <x:v>https://api.octopus.energy/v1/products/AGILE-24-10-01/electricity-tariffs/E-1R-AGILE-24-10-01-G/standard-unit-rates/</x:v>
      </x:c>
    </x:row>
    <x:row r="972" ht="21" customHeight="1">
      <x:c r="A972" s="24" t="n">
        <x:v>46168.75</x:v>
      </x:c>
      <x:c r="B972" s="6" t="n">
        <x:v>0.38060000000000005</x:v>
      </x:c>
      <x:c r="C972" s="6" t="n">
        <x:v>0.2043</x:v>
      </x:c>
      <x:c r="D972" s="6" t="n">
        <x:f>B972</x:f>
        <x:v>0.38060000000000005</x:v>
      </x:c>
      <x:c r="E972" s="1" t="n">
        <x:v>1.05</x:v>
      </x:c>
      <x:c r="F972" s="1" t="str">
        <x:v>https://api.octopus.energy/v1/products/AGILE-24-10-01/electricity-tariffs/E-1R-AGILE-24-10-01-G/standard-unit-rates/</x:v>
      </x:c>
    </x:row>
    <x:row r="973" ht="21" customHeight="1">
      <x:c r="A973" s="24" t="n">
        <x:v>46168.770833333336</x:v>
      </x:c>
      <x:c r="B973" s="6" t="n">
        <x:v>0.3893</x:v>
      </x:c>
      <x:c r="C973" s="6" t="n">
        <x:v>0.20829999999999999</x:v>
      </x:c>
      <x:c r="D973" s="6" t="n">
        <x:f>B973</x:f>
        <x:v>0.3893</x:v>
      </x:c>
      <x:c r="E973" s="1" t="n">
        <x:v>1.05</x:v>
      </x:c>
      <x:c r="F973" s="1" t="str">
        <x:v>https://api.octopus.energy/v1/products/AGILE-24-10-01/electricity-tariffs/E-1R-AGILE-24-10-01-G/standard-unit-rates/</x:v>
      </x:c>
    </x:row>
    <x:row r="974" ht="21" customHeight="1">
      <x:c r="A974" s="24" t="n">
        <x:v>46168.791666666664</x:v>
      </x:c>
      <x:c r="B974" s="6" t="n">
        <x:v>0.2501</x:v>
      </x:c>
      <x:c r="C974" s="6" t="n">
        <x:v>0.1406</x:v>
      </x:c>
      <x:c r="D974" s="6" t="n">
        <x:f>B974</x:f>
        <x:v>0.2501</x:v>
      </x:c>
      <x:c r="E974" s="1" t="n">
        <x:v>1.05</x:v>
      </x:c>
      <x:c r="F974" s="1" t="str">
        <x:v>https://api.octopus.energy/v1/products/AGILE-24-10-01/electricity-tariffs/E-1R-AGILE-24-10-01-G/standard-unit-rates/</x:v>
      </x:c>
    </x:row>
    <x:row r="975" ht="21" customHeight="1">
      <x:c r="A975" s="24" t="n">
        <x:v>46168.8125</x:v>
      </x:c>
      <x:c r="B975" s="6" t="n">
        <x:v>0.2522</x:v>
      </x:c>
      <x:c r="C975" s="6" t="n">
        <x:v>0.1416</x:v>
      </x:c>
      <x:c r="D975" s="6" t="n">
        <x:f>B975</x:f>
        <x:v>0.2522</x:v>
      </x:c>
      <x:c r="E975" s="1" t="n">
        <x:v>1.05</x:v>
      </x:c>
      <x:c r="F975" s="1" t="str">
        <x:v>https://api.octopus.energy/v1/products/AGILE-24-10-01/electricity-tariffs/E-1R-AGILE-24-10-01-G/standard-unit-rates/</x:v>
      </x:c>
    </x:row>
    <x:row r="976" ht="21" customHeight="1">
      <x:c r="A976" s="24" t="n">
        <x:v>46168.833333333336</x:v>
      </x:c>
      <x:c r="B976" s="6" t="n">
        <x:v>0.2627</x:v>
      </x:c>
      <x:c r="C976" s="6" t="n">
        <x:v>0.1464</x:v>
      </x:c>
      <x:c r="D976" s="6" t="n">
        <x:f>B976</x:f>
        <x:v>0.2627</x:v>
      </x:c>
      <x:c r="E976" s="1" t="n">
        <x:v>1.05</x:v>
      </x:c>
      <x:c r="F976" s="1" t="str">
        <x:v>https://api.octopus.energy/v1/products/AGILE-24-10-01/electricity-tariffs/E-1R-AGILE-24-10-01-G/standard-unit-rates/</x:v>
      </x:c>
    </x:row>
    <x:row r="977" ht="21" customHeight="1">
      <x:c r="A977" s="24" t="n">
        <x:v>46168.854166666664</x:v>
      </x:c>
      <x:c r="B977" s="6" t="n">
        <x:v>0.2606</x:v>
      </x:c>
      <x:c r="C977" s="6" t="n">
        <x:v>0.1454</x:v>
      </x:c>
      <x:c r="D977" s="6" t="n">
        <x:f>B977</x:f>
        <x:v>0.2606</x:v>
      </x:c>
      <x:c r="E977" s="1" t="n">
        <x:v>1.05</x:v>
      </x:c>
      <x:c r="F977" s="1" t="str">
        <x:v>https://api.octopus.energy/v1/products/AGILE-24-10-01/electricity-tariffs/E-1R-AGILE-24-10-01-G/standard-unit-rates/</x:v>
      </x:c>
    </x:row>
    <x:row r="978" ht="21" customHeight="1">
      <x:c r="A978" s="24" t="n">
        <x:v>46168.875</x:v>
      </x:c>
      <x:c r="B978" s="6" t="n">
        <x:v>0.2419</x:v>
      </x:c>
      <x:c r="C978" s="6" t="n">
        <x:v>0.1369</x:v>
      </x:c>
      <x:c r="D978" s="6" t="n">
        <x:f>B978</x:f>
        <x:v>0.2419</x:v>
      </x:c>
      <x:c r="E978" s="1" t="n">
        <x:v>1.05</x:v>
      </x:c>
      <x:c r="F978" s="1" t="str">
        <x:v>https://api.octopus.energy/v1/products/AGILE-24-10-01/electricity-tariffs/E-1R-AGILE-24-10-01-G/standard-unit-rates/</x:v>
      </x:c>
    </x:row>
    <x:row r="979" ht="21" customHeight="1">
      <x:c r="A979" s="24" t="n">
        <x:v>46168.895833333336</x:v>
      </x:c>
      <x:c r="B979" s="6" t="n">
        <x:v>0.2373</x:v>
      </x:c>
      <x:c r="C979" s="6" t="n">
        <x:v>0.13470000000000001</x:v>
      </x:c>
      <x:c r="D979" s="6" t="n">
        <x:f>B979</x:f>
        <x:v>0.2373</x:v>
      </x:c>
      <x:c r="E979" s="1" t="n">
        <x:v>1.05</x:v>
      </x:c>
      <x:c r="F979" s="1" t="str">
        <x:v>https://api.octopus.energy/v1/products/AGILE-24-10-01/electricity-tariffs/E-1R-AGILE-24-10-01-G/standard-unit-rates/</x:v>
      </x:c>
    </x:row>
    <x:row r="980" ht="21" customHeight="1">
      <x:c r="A980" s="24" t="n">
        <x:v>46168.916666666664</x:v>
      </x:c>
      <x:c r="B980" s="6" t="n">
        <x:v>0.2119</x:v>
      </x:c>
      <x:c r="C980" s="6" t="n">
        <x:v>0.1231</x:v>
      </x:c>
      <x:c r="D980" s="6" t="n">
        <x:f>B980</x:f>
        <x:v>0.2119</x:v>
      </x:c>
      <x:c r="E980" s="1" t="n">
        <x:v>1.05</x:v>
      </x:c>
      <x:c r="F980" s="1" t="str">
        <x:v>https://api.octopus.energy/v1/products/AGILE-24-10-01/electricity-tariffs/E-1R-AGILE-24-10-01-G/standard-unit-rates/</x:v>
      </x:c>
    </x:row>
    <x:row r="981" ht="21" customHeight="1">
      <x:c r="A981" s="24" t="n">
        <x:v>46168.9375</x:v>
      </x:c>
      <x:c r="B981" s="6" t="n">
        <x:v>0.20559999999999998</x:v>
      </x:c>
      <x:c r="C981" s="6" t="n">
        <x:v>0.1202</x:v>
      </x:c>
      <x:c r="D981" s="6" t="n">
        <x:f>B981</x:f>
        <x:v>0.20559999999999998</x:v>
      </x:c>
      <x:c r="E981" s="1" t="n">
        <x:v>1.05</x:v>
      </x:c>
      <x:c r="F981" s="1" t="str">
        <x:v>https://api.octopus.energy/v1/products/AGILE-24-10-01/electricity-tariffs/E-1R-AGILE-24-10-01-G/standard-unit-rates/</x:v>
      </x:c>
    </x:row>
    <x:row r="982" ht="21" customHeight="1">
      <x:c r="A982" s="24" t="n">
        <x:v>46169</x:v>
      </x:c>
      <x:c r="B982" s="6" t="n">
        <x:v>0.20809999999999998</x:v>
      </x:c>
      <x:c r="C982" s="6" t="n">
        <x:v>0.12140000000000001</x:v>
      </x:c>
      <x:c r="D982" s="6" t="n">
        <x:f>B982</x:f>
        <x:v>0.20809999999999998</x:v>
      </x:c>
      <x:c r="E982" s="1" t="n">
        <x:v>1.05</x:v>
      </x:c>
      <x:c r="F982" s="1" t="str">
        <x:v>https://api.octopus.energy/v1/products/AGILE-24-10-01/electricity-tariffs/E-1R-AGILE-24-10-01-G/standard-unit-rates/</x:v>
      </x:c>
    </x:row>
    <x:row r="983" ht="21" customHeight="1">
      <x:c r="A983" s="24" t="n">
        <x:v>46168.979166666664</x:v>
      </x:c>
      <x:c r="B983" s="6" t="n">
        <x:v>0.2039</x:v>
      </x:c>
      <x:c r="C983" s="6" t="n">
        <x:v>0.1195</x:v>
      </x:c>
      <x:c r="D983" s="6" t="n">
        <x:f>B983</x:f>
        <x:v>0.2039</x:v>
      </x:c>
      <x:c r="E983" s="1" t="n">
        <x:v>1.05</x:v>
      </x:c>
      <x:c r="F983" s="1" t="str">
        <x:v>https://api.octopus.energy/v1/products/AGILE-24-10-01/electricity-tariffs/E-1R-AGILE-24-10-01-G/standard-unit-rates/</x:v>
      </x:c>
    </x:row>
    <x:row r="984" ht="21" customHeight="1">
      <x:c r="A984" s="24" t="n">
        <x:v>46169</x:v>
      </x:c>
      <x:c r="B984" s="6" t="n">
        <x:v>0.1955</x:v>
      </x:c>
      <x:c r="C984" s="6" t="n">
        <x:v>0.11560000000000001</x:v>
      </x:c>
      <x:c r="D984" s="6" t="n">
        <x:f>B984</x:f>
        <x:v>0.1955</x:v>
      </x:c>
      <x:c r="E984" s="1" t="n">
        <x:v>1.05</x:v>
      </x:c>
      <x:c r="F984" s="1" t="str">
        <x:v>https://api.octopus.energy/v1/products/AGILE-24-10-01/electricity-tariffs/E-1R-AGILE-24-10-01-G/standard-unit-rates/</x:v>
      </x:c>
    </x:row>
    <x:row r="985" ht="21" customHeight="1">
      <x:c r="A985" s="24" t="n">
        <x:v>46169.020833333336</x:v>
      </x:c>
      <x:c r="B985" s="6" t="n">
        <x:v>0.1955</x:v>
      </x:c>
      <x:c r="C985" s="6" t="n">
        <x:v>0.11560000000000001</x:v>
      </x:c>
      <x:c r="D985" s="6" t="n">
        <x:f>B985</x:f>
        <x:v>0.1955</x:v>
      </x:c>
      <x:c r="E985" s="1" t="n">
        <x:v>1.05</x:v>
      </x:c>
      <x:c r="F985" s="1" t="str">
        <x:v>https://api.octopus.energy/v1/products/AGILE-24-10-01/electricity-tariffs/E-1R-AGILE-24-10-01-G/standard-unit-rates/</x:v>
      </x:c>
    </x:row>
    <x:row r="986" ht="21" customHeight="1">
      <x:c r="A986" s="24" t="n">
        <x:v>46169.041666666664</x:v>
      </x:c>
      <x:c r="B986" s="6" t="n">
        <x:v>0.1787</x:v>
      </x:c>
      <x:c r="C986" s="6" t="n">
        <x:v>0.10800000000000001</x:v>
      </x:c>
      <x:c r="D986" s="6" t="n">
        <x:f>B986</x:f>
        <x:v>0.1787</x:v>
      </x:c>
      <x:c r="E986" s="1" t="n">
        <x:v>1.05</x:v>
      </x:c>
      <x:c r="F986" s="1" t="str">
        <x:v>https://api.octopus.energy/v1/products/AGILE-24-10-01/electricity-tariffs/E-1R-AGILE-24-10-01-G/standard-unit-rates/</x:v>
      </x:c>
    </x:row>
    <x:row r="987" ht="21" customHeight="1">
      <x:c r="A987" s="24" t="n">
        <x:v>46169.0625</x:v>
      </x:c>
      <x:c r="B987" s="6" t="n">
        <x:v>0.1766</x:v>
      </x:c>
      <x:c r="C987" s="6" t="n">
        <x:v>0.107</x:v>
      </x:c>
      <x:c r="D987" s="6" t="n">
        <x:f>B987</x:f>
        <x:v>0.1766</x:v>
      </x:c>
      <x:c r="E987" s="1" t="n">
        <x:v>1.05</x:v>
      </x:c>
      <x:c r="F987" s="1" t="str">
        <x:v>https://api.octopus.energy/v1/products/AGILE-24-10-01/electricity-tariffs/E-1R-AGILE-24-10-01-G/standard-unit-rates/</x:v>
      </x:c>
    </x:row>
    <x:row r="988" ht="21" customHeight="1">
      <x:c r="A988" s="24" t="n">
        <x:v>46169.083333333336</x:v>
      </x:c>
      <x:c r="B988" s="6" t="n">
        <x:v>0.1775</x:v>
      </x:c>
      <x:c r="C988" s="6" t="n">
        <x:v>0.1074</x:v>
      </x:c>
      <x:c r="D988" s="6" t="n">
        <x:f>B988</x:f>
        <x:v>0.1775</x:v>
      </x:c>
      <x:c r="E988" s="1" t="n">
        <x:v>1.05</x:v>
      </x:c>
      <x:c r="F988" s="1" t="str">
        <x:v>https://api.octopus.energy/v1/products/AGILE-24-10-01/electricity-tariffs/E-1R-AGILE-24-10-01-G/standard-unit-rates/</x:v>
      </x:c>
    </x:row>
    <x:row r="989" ht="21" customHeight="1">
      <x:c r="A989" s="24" t="n">
        <x:v>46169.104166666664</x:v>
      </x:c>
      <x:c r="B989" s="6" t="n">
        <x:v>0.17370000000000002</x:v>
      </x:c>
      <x:c r="C989" s="6" t="n">
        <x:v>0.1057</x:v>
      </x:c>
      <x:c r="D989" s="6" t="n">
        <x:f>B989</x:f>
        <x:v>0.17370000000000002</x:v>
      </x:c>
      <x:c r="E989" s="1" t="n">
        <x:v>1.05</x:v>
      </x:c>
      <x:c r="F989" s="1" t="str">
        <x:v>https://api.octopus.energy/v1/products/AGILE-24-10-01/electricity-tariffs/E-1R-AGILE-24-10-01-G/standard-unit-rates/</x:v>
      </x:c>
    </x:row>
    <x:row r="990" ht="21" customHeight="1">
      <x:c r="A990" s="24" t="n">
        <x:v>46169.125</x:v>
      </x:c>
      <x:c r="B990" s="6" t="n">
        <x:v>0.172</x:v>
      </x:c>
      <x:c r="C990" s="6" t="n">
        <x:v>0.10490000000000001</x:v>
      </x:c>
      <x:c r="D990" s="6" t="n">
        <x:f>B990</x:f>
        <x:v>0.172</x:v>
      </x:c>
      <x:c r="E990" s="1" t="n">
        <x:v>1.05</x:v>
      </x:c>
      <x:c r="F990" s="1" t="str">
        <x:v>https://api.octopus.energy/v1/products/AGILE-24-10-01/electricity-tariffs/E-1R-AGILE-24-10-01-G/standard-unit-rates/</x:v>
      </x:c>
    </x:row>
    <x:row r="991" ht="21" customHeight="1">
      <x:c r="A991" s="24" t="n">
        <x:v>46169.145833333336</x:v>
      </x:c>
      <x:c r="B991" s="6" t="n">
        <x:v>0.1703</x:v>
      </x:c>
      <x:c r="C991" s="6" t="n">
        <x:v>0.1041</x:v>
      </x:c>
      <x:c r="D991" s="6" t="n">
        <x:f>B991</x:f>
        <x:v>0.1703</x:v>
      </x:c>
      <x:c r="E991" s="1" t="n">
        <x:v>1.05</x:v>
      </x:c>
      <x:c r="F991" s="1" t="str">
        <x:v>https://api.octopus.energy/v1/products/AGILE-24-10-01/electricity-tariffs/E-1R-AGILE-24-10-01-G/standard-unit-rates/</x:v>
      </x:c>
    </x:row>
    <x:row r="992" ht="21" customHeight="1">
      <x:c r="A992" s="24" t="n">
        <x:v>46169.166666666664</x:v>
      </x:c>
      <x:c r="B992" s="6" t="n">
        <x:v>0.1856</x:v>
      </x:c>
      <x:c r="C992" s="6" t="n">
        <x:v>0.11109999999999999</x:v>
      </x:c>
      <x:c r="D992" s="6" t="n">
        <x:f>B992</x:f>
        <x:v>0.1856</x:v>
      </x:c>
      <x:c r="E992" s="1" t="n">
        <x:v>1.05</x:v>
      </x:c>
      <x:c r="F992" s="1" t="str">
        <x:v>https://api.octopus.energy/v1/products/AGILE-24-10-01/electricity-tariffs/E-1R-AGILE-24-10-01-G/standard-unit-rates/</x:v>
      </x:c>
    </x:row>
    <x:row r="993" ht="21" customHeight="1">
      <x:c r="A993" s="24" t="n">
        <x:v>46169.1875</x:v>
      </x:c>
      <x:c r="B993" s="6" t="n">
        <x:v>0.17809999999999998</x:v>
      </x:c>
      <x:c r="C993" s="6" t="n">
        <x:v>0.10769999999999999</x:v>
      </x:c>
      <x:c r="D993" s="6" t="n">
        <x:f>B993</x:f>
        <x:v>0.17809999999999998</x:v>
      </x:c>
      <x:c r="E993" s="1" t="n">
        <x:v>1.05</x:v>
      </x:c>
      <x:c r="F993" s="1" t="str">
        <x:v>https://api.octopus.energy/v1/products/AGILE-24-10-01/electricity-tariffs/E-1R-AGILE-24-10-01-G/standard-unit-rates/</x:v>
      </x:c>
    </x:row>
    <x:row r="994" ht="21" customHeight="1">
      <x:c r="A994" s="24" t="n">
        <x:v>46169.208333333336</x:v>
      </x:c>
      <x:c r="B994" s="6" t="n">
        <x:v>0.1875</x:v>
      </x:c>
      <x:c r="C994" s="6" t="n">
        <x:v>0.11199999999999999</x:v>
      </x:c>
      <x:c r="D994" s="6" t="n">
        <x:f>B994</x:f>
        <x:v>0.1875</x:v>
      </x:c>
      <x:c r="E994" s="1" t="n">
        <x:v>1.05</x:v>
      </x:c>
      <x:c r="F994" s="1" t="str">
        <x:v>https://api.octopus.energy/v1/products/AGILE-24-10-01/electricity-tariffs/E-1R-AGILE-24-10-01-G/standard-unit-rates/</x:v>
      </x:c>
    </x:row>
    <x:row r="995" ht="21" customHeight="1">
      <x:c r="A995" s="24" t="n">
        <x:v>46169.229166666664</x:v>
      </x:c>
      <x:c r="B995" s="6" t="n">
        <x:v>0.1893</x:v>
      </x:c>
      <x:c r="C995" s="6" t="n">
        <x:v>0.1128</x:v>
      </x:c>
      <x:c r="D995" s="6" t="n">
        <x:f>B995</x:f>
        <x:v>0.1893</x:v>
      </x:c>
      <x:c r="E995" s="1" t="n">
        <x:v>1.05</x:v>
      </x:c>
      <x:c r="F995" s="1" t="str">
        <x:v>https://api.octopus.energy/v1/products/AGILE-24-10-01/electricity-tariffs/E-1R-AGILE-24-10-01-G/standard-unit-rates/</x:v>
      </x:c>
    </x:row>
    <x:row r="996" ht="21" customHeight="1">
      <x:c r="A996" s="24" t="n">
        <x:v>46169.25</x:v>
      </x:c>
      <x:c r="B996" s="6" t="n">
        <x:v>0.19149999999999998</x:v>
      </x:c>
      <x:c r="C996" s="6" t="n">
        <x:v>0.11380000000000001</x:v>
      </x:c>
      <x:c r="D996" s="6" t="n">
        <x:f>B996</x:f>
        <x:v>0.19149999999999998</x:v>
      </x:c>
      <x:c r="E996" s="1" t="n">
        <x:v>1.05</x:v>
      </x:c>
      <x:c r="F996" s="1" t="str">
        <x:v>https://api.octopus.energy/v1/products/AGILE-24-10-01/electricity-tariffs/E-1R-AGILE-24-10-01-G/standard-unit-rates/</x:v>
      </x:c>
    </x:row>
    <x:row r="997" ht="21" customHeight="1">
      <x:c r="A997" s="24" t="n">
        <x:v>46169.270833333336</x:v>
      </x:c>
      <x:c r="B997" s="6" t="n">
        <x:v>0.2205</x:v>
      </x:c>
      <x:c r="C997" s="6" t="n">
        <x:v>0.12710000000000002</x:v>
      </x:c>
      <x:c r="D997" s="6" t="n">
        <x:f>B997</x:f>
        <x:v>0.2205</x:v>
      </x:c>
      <x:c r="E997" s="1" t="n">
        <x:v>1.05</x:v>
      </x:c>
      <x:c r="F997" s="1" t="str">
        <x:v>https://api.octopus.energy/v1/products/AGILE-24-10-01/electricity-tariffs/E-1R-AGILE-24-10-01-G/standard-unit-rates/</x:v>
      </x:c>
    </x:row>
    <x:row r="998" ht="21" customHeight="1">
      <x:c r="A998" s="24" t="n">
        <x:v>46169.291666666664</x:v>
      </x:c>
      <x:c r="B998" s="6" t="n">
        <x:v>0.19820000000000002</x:v>
      </x:c>
      <x:c r="C998" s="6" t="n">
        <x:v>0.11689999999999999</x:v>
      </x:c>
      <x:c r="D998" s="6" t="n">
        <x:f>B998</x:f>
        <x:v>0.19820000000000002</x:v>
      </x:c>
      <x:c r="E998" s="1" t="n">
        <x:v>1.05</x:v>
      </x:c>
      <x:c r="F998" s="1" t="str">
        <x:v>https://api.octopus.energy/v1/products/AGILE-24-10-01/electricity-tariffs/E-1R-AGILE-24-10-01-G/standard-unit-rates/</x:v>
      </x:c>
    </x:row>
    <x:row r="999" ht="21" customHeight="1">
      <x:c r="A999" s="24" t="n">
        <x:v>46169.3125</x:v>
      </x:c>
      <x:c r="B999" s="6" t="n">
        <x:v>0.21</x:v>
      </x:c>
      <x:c r="C999" s="6" t="n">
        <x:v>0.1223</x:v>
      </x:c>
      <x:c r="D999" s="6" t="n">
        <x:f>B999</x:f>
        <x:v>0.21</x:v>
      </x:c>
      <x:c r="E999" s="1" t="n">
        <x:v>1.05</x:v>
      </x:c>
      <x:c r="F999" s="1" t="str">
        <x:v>https://api.octopus.energy/v1/products/AGILE-24-10-01/electricity-tariffs/E-1R-AGILE-24-10-01-G/standard-unit-rates/</x:v>
      </x:c>
    </x:row>
    <x:row r="1000" ht="21" customHeight="1">
      <x:c r="A1000" s="24" t="n">
        <x:v>46169.333333333336</x:v>
      </x:c>
      <x:c r="B1000" s="6" t="n">
        <x:v>0.2108</x:v>
      </x:c>
      <x:c r="C1000" s="6" t="n">
        <x:v>0.1226</x:v>
      </x:c>
      <x:c r="D1000" s="6" t="n">
        <x:f>B1000</x:f>
        <x:v>0.2108</x:v>
      </x:c>
      <x:c r="E1000" s="1" t="n">
        <x:v>1.05</x:v>
      </x:c>
      <x:c r="F1000" s="1" t="str">
        <x:v>https://api.octopus.energy/v1/products/AGILE-24-10-01/electricity-tariffs/E-1R-AGILE-24-10-01-G/standard-unit-rates/</x:v>
      </x:c>
    </x:row>
    <x:row r="1001" ht="21" customHeight="1">
      <x:c r="A1001" s="24" t="n">
        <x:v>46169.354166666664</x:v>
      </x:c>
      <x:c r="B1001" s="6" t="n">
        <x:v>0.21</x:v>
      </x:c>
      <x:c r="C1001" s="6" t="n">
        <x:v>0.1223</x:v>
      </x:c>
      <x:c r="D1001" s="6" t="n">
        <x:f>B1001</x:f>
        <x:v>0.21</x:v>
      </x:c>
      <x:c r="E1001" s="1" t="n">
        <x:v>1.05</x:v>
      </x:c>
      <x:c r="F1001" s="1" t="str">
        <x:v>https://api.octopus.energy/v1/products/AGILE-24-10-01/electricity-tariffs/E-1R-AGILE-24-10-01-G/standard-unit-rates/</x:v>
      </x:c>
    </x:row>
    <x:row r="1002" ht="21" customHeight="1">
      <x:c r="A1002" s="24" t="n">
        <x:v>46169.375</x:v>
      </x:c>
      <x:c r="B1002" s="6" t="n">
        <x:v>0.19829999999999998</x:v>
      </x:c>
      <x:c r="C1002" s="6" t="n">
        <x:v>0.11689999999999999</x:v>
      </x:c>
      <x:c r="D1002" s="6" t="n">
        <x:f>B1002</x:f>
        <x:v>0.19829999999999998</x:v>
      </x:c>
      <x:c r="E1002" s="1" t="n">
        <x:v>1.05</x:v>
      </x:c>
      <x:c r="F1002" s="1" t="str">
        <x:v>https://api.octopus.energy/v1/products/AGILE-24-10-01/electricity-tariffs/E-1R-AGILE-24-10-01-G/standard-unit-rates/</x:v>
      </x:c>
    </x:row>
    <x:row r="1003" ht="21" customHeight="1">
      <x:c r="A1003" s="24" t="n">
        <x:v>46169.395833333336</x:v>
      </x:c>
      <x:c r="B1003" s="6" t="n">
        <x:v>0.1808</x:v>
      </x:c>
      <x:c r="C1003" s="6" t="n">
        <x:v>0.10890000000000001</x:v>
      </x:c>
      <x:c r="D1003" s="6" t="n">
        <x:f>B1003</x:f>
        <x:v>0.1808</x:v>
      </x:c>
      <x:c r="E1003" s="1" t="n">
        <x:v>1.05</x:v>
      </x:c>
      <x:c r="F1003" s="1" t="str">
        <x:v>https://api.octopus.energy/v1/products/AGILE-24-10-01/electricity-tariffs/E-1R-AGILE-24-10-01-G/standard-unit-rates/</x:v>
      </x:c>
    </x:row>
    <x:row r="1004" ht="21" customHeight="1">
      <x:c r="A1004" s="24" t="n">
        <x:v>46169.416666666664</x:v>
      </x:c>
      <x:c r="B1004" s="6" t="n">
        <x:v>0.17579999999999998</x:v>
      </x:c>
      <x:c r="C1004" s="6" t="n">
        <x:v>0.1066</x:v>
      </x:c>
      <x:c r="D1004" s="6" t="n">
        <x:f>B1004</x:f>
        <x:v>0.17579999999999998</x:v>
      </x:c>
      <x:c r="E1004" s="1" t="n">
        <x:v>1.05</x:v>
      </x:c>
      <x:c r="F1004" s="1" t="str">
        <x:v>https://api.octopus.energy/v1/products/AGILE-24-10-01/electricity-tariffs/E-1R-AGILE-24-10-01-G/standard-unit-rates/</x:v>
      </x:c>
    </x:row>
    <x:row r="1005" ht="21" customHeight="1">
      <x:c r="A1005" s="24" t="n">
        <x:v>46169.4375</x:v>
      </x:c>
      <x:c r="B1005" s="6" t="n">
        <x:v>0.1745</x:v>
      </x:c>
      <x:c r="C1005" s="6" t="n">
        <x:v>0.106</x:v>
      </x:c>
      <x:c r="D1005" s="6" t="n">
        <x:f>B1005</x:f>
        <x:v>0.1745</x:v>
      </x:c>
      <x:c r="E1005" s="1" t="n">
        <x:v>1.05</x:v>
      </x:c>
      <x:c r="F1005" s="1" t="str">
        <x:v>https://api.octopus.energy/v1/products/AGILE-24-10-01/electricity-tariffs/E-1R-AGILE-24-10-01-G/standard-unit-rates/</x:v>
      </x:c>
    </x:row>
    <x:row r="1006" ht="21" customHeight="1">
      <x:c r="A1006" s="24" t="n">
        <x:v>46169.458333333336</x:v>
      </x:c>
      <x:c r="B1006" s="6" t="n">
        <x:v>0.17579999999999998</x:v>
      </x:c>
      <x:c r="C1006" s="6" t="n">
        <x:v>0.1066</x:v>
      </x:c>
      <x:c r="D1006" s="6" t="n">
        <x:f>B1006</x:f>
        <x:v>0.17579999999999998</x:v>
      </x:c>
      <x:c r="E1006" s="1" t="n">
        <x:v>1.05</x:v>
      </x:c>
      <x:c r="F1006" s="1" t="str">
        <x:v>https://api.octopus.energy/v1/products/AGILE-24-10-01/electricity-tariffs/E-1R-AGILE-24-10-01-G/standard-unit-rates/</x:v>
      </x:c>
    </x:row>
    <x:row r="1007" ht="21" customHeight="1">
      <x:c r="A1007" s="24" t="n">
        <x:v>46169.479166666664</x:v>
      </x:c>
      <x:c r="B1007" s="6" t="n">
        <x:v>0.1648</x:v>
      </x:c>
      <x:c r="C1007" s="6" t="n">
        <x:v>0.1016</x:v>
      </x:c>
      <x:c r="D1007" s="6" t="n">
        <x:f>B1007</x:f>
        <x:v>0.1648</x:v>
      </x:c>
      <x:c r="E1007" s="1" t="n">
        <x:v>1.05</x:v>
      </x:c>
      <x:c r="F1007" s="1" t="str">
        <x:v>https://api.octopus.energy/v1/products/AGILE-24-10-01/electricity-tariffs/E-1R-AGILE-24-10-01-G/standard-unit-rates/</x:v>
      </x:c>
    </x:row>
    <x:row r="1008" ht="21" customHeight="1">
      <x:c r="A1008" s="24" t="n">
        <x:v>46169.5</x:v>
      </x:c>
      <x:c r="B1008" s="6" t="n">
        <x:v>0.1724</x:v>
      </x:c>
      <x:c r="C1008" s="6" t="n">
        <x:v>0.1051</x:v>
      </x:c>
      <x:c r="D1008" s="6" t="n">
        <x:f>B1008</x:f>
        <x:v>0.1724</x:v>
      </x:c>
      <x:c r="E1008" s="1" t="n">
        <x:v>1.05</x:v>
      </x:c>
      <x:c r="F1008" s="1" t="str">
        <x:v>https://api.octopus.energy/v1/products/AGILE-24-10-01/electricity-tariffs/E-1R-AGILE-24-10-01-G/standard-unit-rates/</x:v>
      </x:c>
    </x:row>
    <x:row r="1009" ht="21" customHeight="1">
      <x:c r="A1009" s="24" t="n">
        <x:v>46169.520833333336</x:v>
      </x:c>
      <x:c r="B1009" s="6" t="n">
        <x:v>0.16219999999999998</x:v>
      </x:c>
      <x:c r="C1009" s="6" t="n">
        <x:v>0.10039999999999999</x:v>
      </x:c>
      <x:c r="D1009" s="6" t="n">
        <x:f>B1009</x:f>
        <x:v>0.16219999999999998</x:v>
      </x:c>
      <x:c r="E1009" s="1" t="n">
        <x:v>1.05</x:v>
      </x:c>
      <x:c r="F1009" s="1" t="str">
        <x:v>https://api.octopus.energy/v1/products/AGILE-24-10-01/electricity-tariffs/E-1R-AGILE-24-10-01-G/standard-unit-rates/</x:v>
      </x:c>
    </x:row>
    <x:row r="1010" ht="21" customHeight="1">
      <x:c r="A1010" s="24" t="n">
        <x:v>46169.541666666664</x:v>
      </x:c>
      <x:c r="B1010" s="6" t="n">
        <x:v>0.1606</x:v>
      </x:c>
      <x:c r="C1010" s="6" t="n">
        <x:v>0.09970000000000001</x:v>
      </x:c>
      <x:c r="D1010" s="6" t="n">
        <x:f>B1010</x:f>
        <x:v>0.1606</x:v>
      </x:c>
      <x:c r="E1010" s="1" t="n">
        <x:v>1.05</x:v>
      </x:c>
      <x:c r="F1010" s="1" t="str">
        <x:v>https://api.octopus.energy/v1/products/AGILE-24-10-01/electricity-tariffs/E-1R-AGILE-24-10-01-G/standard-unit-rates/</x:v>
      </x:c>
    </x:row>
    <x:row r="1011" ht="21" customHeight="1">
      <x:c r="A1011" s="24" t="n">
        <x:v>46169.5625</x:v>
      </x:c>
      <x:c r="B1011" s="6" t="n">
        <x:v>0.1566</x:v>
      </x:c>
      <x:c r="C1011" s="6" t="n">
        <x:v>0.09789999999999999</x:v>
      </x:c>
      <x:c r="D1011" s="6" t="n">
        <x:f>B1011</x:f>
        <x:v>0.1566</x:v>
      </x:c>
      <x:c r="E1011" s="1" t="n">
        <x:v>1.05</x:v>
      </x:c>
      <x:c r="F1011" s="1" t="str">
        <x:v>https://api.octopus.energy/v1/products/AGILE-24-10-01/electricity-tariffs/E-1R-AGILE-24-10-01-G/standard-unit-rates/</x:v>
      </x:c>
    </x:row>
    <x:row r="1012" ht="21" customHeight="1">
      <x:c r="A1012" s="24" t="n">
        <x:v>46169.583333333336</x:v>
      </x:c>
      <x:c r="B1012" s="6" t="n">
        <x:v>0.16010000000000002</x:v>
      </x:c>
      <x:c r="C1012" s="6" t="n">
        <x:v>0.09949999999999999</x:v>
      </x:c>
      <x:c r="D1012" s="6" t="n">
        <x:f>B1012</x:f>
        <x:v>0.16010000000000002</x:v>
      </x:c>
      <x:c r="E1012" s="1" t="n">
        <x:v>1.05</x:v>
      </x:c>
      <x:c r="F1012" s="1" t="str">
        <x:v>https://api.octopus.energy/v1/products/AGILE-24-10-01/electricity-tariffs/E-1R-AGILE-24-10-01-G/standard-unit-rates/</x:v>
      </x:c>
    </x:row>
    <x:row r="1013" ht="21" customHeight="1">
      <x:c r="A1013" s="24" t="n">
        <x:v>46169.604166666664</x:v>
      </x:c>
      <x:c r="B1013" s="6" t="n">
        <x:v>0.1594</x:v>
      </x:c>
      <x:c r="C1013" s="6" t="n">
        <x:v>0.09910000000000001</x:v>
      </x:c>
      <x:c r="D1013" s="6" t="n">
        <x:f>B1013</x:f>
        <x:v>0.1594</x:v>
      </x:c>
      <x:c r="E1013" s="1" t="n">
        <x:v>1.05</x:v>
      </x:c>
      <x:c r="F1013" s="1" t="str">
        <x:v>https://api.octopus.energy/v1/products/AGILE-24-10-01/electricity-tariffs/E-1R-AGILE-24-10-01-G/standard-unit-rates/</x:v>
      </x:c>
    </x:row>
    <x:row r="1014" ht="21" customHeight="1">
      <x:c r="A1014" s="24" t="n">
        <x:v>46169.625</x:v>
      </x:c>
      <x:c r="B1014" s="6" t="n">
        <x:v>0.15810000000000002</x:v>
      </x:c>
      <x:c r="C1014" s="6" t="n">
        <x:v>0.0986</x:v>
      </x:c>
      <x:c r="D1014" s="6" t="n">
        <x:f>B1014</x:f>
        <x:v>0.15810000000000002</x:v>
      </x:c>
      <x:c r="E1014" s="1" t="n">
        <x:v>1.05</x:v>
      </x:c>
      <x:c r="F1014" s="1" t="str">
        <x:v>https://api.octopus.energy/v1/products/AGILE-24-10-01/electricity-tariffs/E-1R-AGILE-24-10-01-G/standard-unit-rates/</x:v>
      </x:c>
    </x:row>
    <x:row r="1015" ht="21" customHeight="1">
      <x:c r="A1015" s="24" t="n">
        <x:v>46169.645833333336</x:v>
      </x:c>
      <x:c r="B1015" s="6" t="n">
        <x:v>0.1595</x:v>
      </x:c>
      <x:c r="C1015" s="6" t="n">
        <x:v>0.0992</x:v>
      </x:c>
      <x:c r="D1015" s="6" t="n">
        <x:f>B1015</x:f>
        <x:v>0.1595</x:v>
      </x:c>
      <x:c r="E1015" s="1" t="n">
        <x:v>1.05</x:v>
      </x:c>
      <x:c r="F1015" s="1" t="str">
        <x:v>https://api.octopus.energy/v1/products/AGILE-24-10-01/electricity-tariffs/E-1R-AGILE-24-10-01-G/standard-unit-rates/</x:v>
      </x:c>
    </x:row>
    <x:row r="1016" ht="21" customHeight="1">
      <x:c r="A1016" s="24" t="n">
        <x:v>46169.666666666664</x:v>
      </x:c>
      <x:c r="B1016" s="6" t="n">
        <x:v>0.2777</x:v>
      </x:c>
      <x:c r="C1016" s="6" t="n">
        <x:v>0.1573</x:v>
      </x:c>
      <x:c r="D1016" s="6" t="n">
        <x:f>B1016</x:f>
        <x:v>0.2777</x:v>
      </x:c>
      <x:c r="E1016" s="1" t="n">
        <x:v>1.05</x:v>
      </x:c>
      <x:c r="F1016" s="1" t="str">
        <x:v>https://api.octopus.energy/v1/products/AGILE-24-10-01/electricity-tariffs/E-1R-AGILE-24-10-01-G/standard-unit-rates/</x:v>
      </x:c>
    </x:row>
    <x:row r="1017" ht="21" customHeight="1">
      <x:c r="A1017" s="24" t="n">
        <x:v>46169.6875</x:v>
      </x:c>
      <x:c r="B1017" s="6" t="n">
        <x:v>0.2818</x:v>
      </x:c>
      <x:c r="C1017" s="6" t="n">
        <x:v>0.1591</x:v>
      </x:c>
      <x:c r="D1017" s="6" t="n">
        <x:f>B1017</x:f>
        <x:v>0.2818</x:v>
      </x:c>
      <x:c r="E1017" s="1" t="n">
        <x:v>1.05</x:v>
      </x:c>
      <x:c r="F1017" s="1" t="str">
        <x:v>https://api.octopus.energy/v1/products/AGILE-24-10-01/electricity-tariffs/E-1R-AGILE-24-10-01-G/standard-unit-rates/</x:v>
      </x:c>
    </x:row>
    <x:row r="1018" ht="21" customHeight="1">
      <x:c r="A1018" s="24" t="n">
        <x:v>46169.708333333336</x:v>
      </x:c>
      <x:c r="B1018" s="6" t="n">
        <x:v>0.2957</x:v>
      </x:c>
      <x:c r="C1018" s="6" t="n">
        <x:v>0.1655</x:v>
      </x:c>
      <x:c r="D1018" s="6" t="n">
        <x:f>B1018</x:f>
        <x:v>0.2957</x:v>
      </x:c>
      <x:c r="E1018" s="1" t="n">
        <x:v>1.05</x:v>
      </x:c>
      <x:c r="F1018" s="1" t="str">
        <x:v>https://api.octopus.energy/v1/products/AGILE-24-10-01/electricity-tariffs/E-1R-AGILE-24-10-01-G/standard-unit-rates/</x:v>
      </x:c>
    </x:row>
    <x:row r="1019" ht="21" customHeight="1">
      <x:c r="A1019" s="24" t="n">
        <x:v>46169.729166666664</x:v>
      </x:c>
      <x:c r="B1019" s="6" t="n">
        <x:v>0.292</x:v>
      </x:c>
      <x:c r="C1019" s="6" t="n">
        <x:v>0.1638</x:v>
      </x:c>
      <x:c r="D1019" s="6" t="n">
        <x:f>B1019</x:f>
        <x:v>0.292</x:v>
      </x:c>
      <x:c r="E1019" s="1" t="n">
        <x:v>1.05</x:v>
      </x:c>
      <x:c r="F1019" s="1" t="str">
        <x:v>https://api.octopus.energy/v1/products/AGILE-24-10-01/electricity-tariffs/E-1R-AGILE-24-10-01-G/standard-unit-rates/</x:v>
      </x:c>
    </x:row>
    <x:row r="1020" ht="21" customHeight="1">
      <x:c r="A1020" s="24" t="n">
        <x:v>46169.75</x:v>
      </x:c>
      <x:c r="B1020" s="6" t="n">
        <x:v>0.3281</x:v>
      </x:c>
      <x:c r="C1020" s="6" t="n">
        <x:v>0.18030000000000002</x:v>
      </x:c>
      <x:c r="D1020" s="6" t="n">
        <x:f>B1020</x:f>
        <x:v>0.3281</x:v>
      </x:c>
      <x:c r="E1020" s="1" t="n">
        <x:v>1.05</x:v>
      </x:c>
      <x:c r="F1020" s="1" t="str">
        <x:v>https://api.octopus.energy/v1/products/AGILE-24-10-01/electricity-tariffs/E-1R-AGILE-24-10-01-G/standard-unit-rates/</x:v>
      </x:c>
    </x:row>
    <x:row r="1021" ht="21" customHeight="1">
      <x:c r="A1021" s="24" t="n">
        <x:v>46169.770833333336</x:v>
      </x:c>
      <x:c r="B1021" s="6" t="n">
        <x:v>0.3321</x:v>
      </x:c>
      <x:c r="C1021" s="6" t="n">
        <x:v>0.1821</x:v>
      </x:c>
      <x:c r="D1021" s="6" t="n">
        <x:f>B1021</x:f>
        <x:v>0.3321</x:v>
      </x:c>
      <x:c r="E1021" s="1" t="n">
        <x:v>1.05</x:v>
      </x:c>
      <x:c r="F1021" s="1" t="str">
        <x:v>https://api.octopus.energy/v1/products/AGILE-24-10-01/electricity-tariffs/E-1R-AGILE-24-10-01-G/standard-unit-rates/</x:v>
      </x:c>
    </x:row>
    <x:row r="1022" ht="21" customHeight="1">
      <x:c r="A1022" s="24" t="n">
        <x:v>46169.791666666664</x:v>
      </x:c>
      <x:c r="B1022" s="6" t="n">
        <x:v>0.2324</x:v>
      </x:c>
      <x:c r="C1022" s="6" t="n">
        <x:v>0.1325</x:v>
      </x:c>
      <x:c r="D1022" s="6" t="n">
        <x:f>B1022</x:f>
        <x:v>0.2324</x:v>
      </x:c>
      <x:c r="E1022" s="1" t="n">
        <x:v>1.05</x:v>
      </x:c>
      <x:c r="F1022" s="1" t="str">
        <x:v>https://api.octopus.energy/v1/products/AGILE-24-10-01/electricity-tariffs/E-1R-AGILE-24-10-01-G/standard-unit-rates/</x:v>
      </x:c>
    </x:row>
    <x:row r="1023" ht="21" customHeight="1">
      <x:c r="A1023" s="24" t="n">
        <x:v>46169.8125</x:v>
      </x:c>
      <x:c r="B1023" s="6" t="n">
        <x:v>0.22870000000000001</x:v>
      </x:c>
      <x:c r="C1023" s="6" t="n">
        <x:v>0.1308</x:v>
      </x:c>
      <x:c r="D1023" s="6" t="n">
        <x:f>B1023</x:f>
        <x:v>0.22870000000000001</x:v>
      </x:c>
      <x:c r="E1023" s="1" t="n">
        <x:v>1.05</x:v>
      </x:c>
      <x:c r="F1023" s="1" t="str">
        <x:v>https://api.octopus.energy/v1/products/AGILE-24-10-01/electricity-tariffs/E-1R-AGILE-24-10-01-G/standard-unit-rates/</x:v>
      </x:c>
    </x:row>
    <x:row r="1024" ht="21" customHeight="1">
      <x:c r="A1024" s="24" t="n">
        <x:v>46169.833333333336</x:v>
      </x:c>
      <x:c r="B1024" s="6" t="n">
        <x:v>0.23199999999999998</x:v>
      </x:c>
      <x:c r="C1024" s="6" t="n">
        <x:v>0.1323</x:v>
      </x:c>
      <x:c r="D1024" s="6" t="n">
        <x:f>B1024</x:f>
        <x:v>0.23199999999999998</x:v>
      </x:c>
      <x:c r="E1024" s="1" t="n">
        <x:v>1.05</x:v>
      </x:c>
      <x:c r="F1024" s="1" t="str">
        <x:v>https://api.octopus.energy/v1/products/AGILE-24-10-01/electricity-tariffs/E-1R-AGILE-24-10-01-G/standard-unit-rates/</x:v>
      </x:c>
    </x:row>
    <x:row r="1025" ht="21" customHeight="1">
      <x:c r="A1025" s="24" t="n">
        <x:v>46169.854166666664</x:v>
      </x:c>
      <x:c r="B1025" s="6" t="n">
        <x:v>0.2293</x:v>
      </x:c>
      <x:c r="C1025" s="6" t="n">
        <x:v>0.1311</x:v>
      </x:c>
      <x:c r="D1025" s="6" t="n">
        <x:f>B1025</x:f>
        <x:v>0.2293</x:v>
      </x:c>
      <x:c r="E1025" s="1" t="n">
        <x:v>1.05</x:v>
      </x:c>
      <x:c r="F1025" s="1" t="str">
        <x:v>https://api.octopus.energy/v1/products/AGILE-24-10-01/electricity-tariffs/E-1R-AGILE-24-10-01-G/standard-unit-rates/</x:v>
      </x:c>
    </x:row>
    <x:row r="1026" ht="21" customHeight="1">
      <x:c r="A1026" s="24" t="n">
        <x:v>46169.875</x:v>
      </x:c>
      <x:c r="B1026" s="6" t="n">
        <x:v>0.2361</x:v>
      </x:c>
      <x:c r="C1026" s="6" t="n">
        <x:v>0.13419999999999999</x:v>
      </x:c>
      <x:c r="D1026" s="6" t="n">
        <x:f>B1026</x:f>
        <x:v>0.2361</x:v>
      </x:c>
      <x:c r="E1026" s="1" t="n">
        <x:v>1.05</x:v>
      </x:c>
      <x:c r="F1026" s="1" t="str">
        <x:v>https://api.octopus.energy/v1/products/AGILE-24-10-01/electricity-tariffs/E-1R-AGILE-24-10-01-G/standard-unit-rates/</x:v>
      </x:c>
    </x:row>
    <x:row r="1027" ht="21" customHeight="1">
      <x:c r="A1027" s="24" t="n">
        <x:v>46169.895833333336</x:v>
      </x:c>
      <x:c r="B1027" s="6" t="n">
        <x:v>0.22899999999999998</x:v>
      </x:c>
      <x:c r="C1027" s="6" t="n">
        <x:v>0.1309</x:v>
      </x:c>
      <x:c r="D1027" s="6" t="n">
        <x:f>B1027</x:f>
        <x:v>0.22899999999999998</x:v>
      </x:c>
      <x:c r="E1027" s="1" t="n">
        <x:v>1.05</x:v>
      </x:c>
      <x:c r="F1027" s="1" t="str">
        <x:v>https://api.octopus.energy/v1/products/AGILE-24-10-01/electricity-tariffs/E-1R-AGILE-24-10-01-G/standard-unit-rates/</x:v>
      </x:c>
    </x:row>
    <x:row r="1028" ht="21" customHeight="1">
      <x:c r="A1028" s="24" t="n">
        <x:v>46169.916666666664</x:v>
      </x:c>
      <x:c r="B1028" s="6" t="n">
        <x:v>0.20629999999999998</x:v>
      </x:c>
      <x:c r="C1028" s="6" t="n">
        <x:v>0.1206</x:v>
      </x:c>
      <x:c r="D1028" s="6" t="n">
        <x:f>B1028</x:f>
        <x:v>0.20629999999999998</x:v>
      </x:c>
      <x:c r="E1028" s="1" t="n">
        <x:v>1.05</x:v>
      </x:c>
      <x:c r="F1028" s="1" t="str">
        <x:v>https://api.octopus.energy/v1/products/AGILE-24-10-01/electricity-tariffs/E-1R-AGILE-24-10-01-G/standard-unit-rates/</x:v>
      </x:c>
    </x:row>
    <x:row r="1029" ht="21" customHeight="1">
      <x:c r="A1029" s="24" t="n">
        <x:v>46169.9375</x:v>
      </x:c>
      <x:c r="B1029" s="6" t="n">
        <x:v>0.193</x:v>
      </x:c>
      <x:c r="C1029" s="6" t="n">
        <x:v>0.11449999999999999</x:v>
      </x:c>
      <x:c r="D1029" s="6" t="n">
        <x:f>B1029</x:f>
        <x:v>0.193</x:v>
      </x:c>
      <x:c r="E1029" s="1" t="n">
        <x:v>1.05</x:v>
      </x:c>
      <x:c r="F1029" s="1" t="str">
        <x:v>https://api.octopus.energy/v1/products/AGILE-24-10-01/electricity-tariffs/E-1R-AGILE-24-10-01-G/standard-unit-rates/</x:v>
      </x:c>
    </x:row>
    <x:row r="1030" ht="21" customHeight="1">
      <x:c r="A1030" s="24" t="n">
        <x:v>46170</x:v>
      </x:c>
      <x:c r="B1030" s="6" t="n">
        <x:v>0.1892</x:v>
      </x:c>
      <x:c r="C1030" s="6" t="n">
        <x:v>0.1128</x:v>
      </x:c>
      <x:c r="D1030" s="6" t="n">
        <x:f>B1030</x:f>
        <x:v>0.1892</x:v>
      </x:c>
      <x:c r="E1030" s="1" t="n">
        <x:v>1.05</x:v>
      </x:c>
      <x:c r="F1030" s="1" t="str">
        <x:v>https://api.octopus.energy/v1/products/AGILE-24-10-01/electricity-tariffs/E-1R-AGILE-24-10-01-G/standard-unit-rates/</x:v>
      </x:c>
    </x:row>
    <x:row r="1031" ht="21" customHeight="1">
      <x:c r="A1031" s="24" t="n">
        <x:v>46169.979166666664</x:v>
      </x:c>
      <x:c r="B1031" s="6" t="n">
        <x:v>0.20149999999999998</x:v>
      </x:c>
      <x:c r="C1031" s="6" t="n">
        <x:v>0.1184</x:v>
      </x:c>
      <x:c r="D1031" s="6" t="n">
        <x:f>B1031</x:f>
        <x:v>0.20149999999999998</x:v>
      </x:c>
      <x:c r="E1031" s="1" t="n">
        <x:v>1.05</x:v>
      </x:c>
      <x:c r="F1031" s="1" t="str">
        <x:v>https://api.octopus.energy/v1/products/AGILE-24-10-01/electricity-tariffs/E-1R-AGILE-24-10-01-G/standard-unit-rates/</x:v>
      </x:c>
    </x:row>
    <x:row r="1032" ht="21" customHeight="1">
      <x:c r="A1032" s="24" t="n">
        <x:v>46170</x:v>
      </x:c>
      <x:c r="B1032" s="6" t="n">
        <x:v>0.1934</x:v>
      </x:c>
      <x:c r="C1032" s="6" t="n">
        <x:v>0.11470000000000001</x:v>
      </x:c>
      <x:c r="D1032" s="6" t="n">
        <x:f>B1032</x:f>
        <x:v>0.1934</x:v>
      </x:c>
      <x:c r="E1032" s="1" t="n">
        <x:v>1.05</x:v>
      </x:c>
      <x:c r="F1032" s="1" t="str">
        <x:v>https://api.octopus.energy/v1/products/AGILE-24-10-01/electricity-tariffs/E-1R-AGILE-24-10-01-G/standard-unit-rates/</x:v>
      </x:c>
    </x:row>
    <x:row r="1033" ht="21" customHeight="1">
      <x:c r="A1033" s="24" t="n">
        <x:v>46170.020833333336</x:v>
      </x:c>
      <x:c r="B1033" s="6" t="n">
        <x:v>0.1809</x:v>
      </x:c>
      <x:c r="C1033" s="6" t="n">
        <x:v>0.109</x:v>
      </x:c>
      <x:c r="D1033" s="6" t="n">
        <x:f>B1033</x:f>
        <x:v>0.1809</x:v>
      </x:c>
      <x:c r="E1033" s="1" t="n">
        <x:v>1.05</x:v>
      </x:c>
      <x:c r="F1033" s="1" t="str">
        <x:v>https://api.octopus.energy/v1/products/AGILE-24-10-01/electricity-tariffs/E-1R-AGILE-24-10-01-G/standard-unit-rates/</x:v>
      </x:c>
    </x:row>
    <x:row r="1034" ht="21" customHeight="1">
      <x:c r="A1034" s="24" t="n">
        <x:v>46170.041666666664</x:v>
      </x:c>
      <x:c r="B1034" s="6" t="n">
        <x:v>0.17679999999999998</x:v>
      </x:c>
      <x:c r="C1034" s="6" t="n">
        <x:v>0.10710000000000001</x:v>
      </x:c>
      <x:c r="D1034" s="6" t="n">
        <x:f>B1034</x:f>
        <x:v>0.17679999999999998</x:v>
      </x:c>
      <x:c r="E1034" s="1" t="n">
        <x:v>1.05</x:v>
      </x:c>
      <x:c r="F1034" s="1" t="str">
        <x:v>https://api.octopus.energy/v1/products/AGILE-24-10-01/electricity-tariffs/E-1R-AGILE-24-10-01-G/standard-unit-rates/</x:v>
      </x:c>
    </x:row>
    <x:row r="1035" ht="21" customHeight="1">
      <x:c r="A1035" s="24" t="n">
        <x:v>46170.0625</x:v>
      </x:c>
      <x:c r="B1035" s="6" t="n">
        <x:v>0.1741</x:v>
      </x:c>
      <x:c r="C1035" s="6" t="n">
        <x:v>0.1058</x:v>
      </x:c>
      <x:c r="D1035" s="6" t="n">
        <x:f>B1035</x:f>
        <x:v>0.1741</x:v>
      </x:c>
      <x:c r="E1035" s="1" t="n">
        <x:v>1.05</x:v>
      </x:c>
      <x:c r="F1035" s="1" t="str">
        <x:v>https://api.octopus.energy/v1/products/AGILE-24-10-01/electricity-tariffs/E-1R-AGILE-24-10-01-G/standard-unit-rates/</x:v>
      </x:c>
    </x:row>
    <x:row r="1036" ht="21" customHeight="1">
      <x:c r="A1036" s="24" t="n">
        <x:v>46170.083333333336</x:v>
      </x:c>
      <x:c r="B1036" s="6" t="n">
        <x:v>0.1809</x:v>
      </x:c>
      <x:c r="C1036" s="6" t="n">
        <x:v>0.109</x:v>
      </x:c>
      <x:c r="D1036" s="6" t="n">
        <x:f>B1036</x:f>
        <x:v>0.1809</x:v>
      </x:c>
      <x:c r="E1036" s="1" t="n">
        <x:v>1.05</x:v>
      </x:c>
      <x:c r="F1036" s="1" t="str">
        <x:v>https://api.octopus.energy/v1/products/AGILE-24-10-01/electricity-tariffs/E-1R-AGILE-24-10-01-G/standard-unit-rates/</x:v>
      </x:c>
    </x:row>
    <x:row r="1037" ht="21" customHeight="1">
      <x:c r="A1037" s="24" t="n">
        <x:v>46170.104166666664</x:v>
      </x:c>
      <x:c r="B1037" s="6" t="n">
        <x:v>0.17679999999999998</x:v>
      </x:c>
      <x:c r="C1037" s="6" t="n">
        <x:v>0.10710000000000001</x:v>
      </x:c>
      <x:c r="D1037" s="6" t="n">
        <x:f>B1037</x:f>
        <x:v>0.17679999999999998</x:v>
      </x:c>
      <x:c r="E1037" s="1" t="n">
        <x:v>1.05</x:v>
      </x:c>
      <x:c r="F1037" s="1" t="str">
        <x:v>https://api.octopus.energy/v1/products/AGILE-24-10-01/electricity-tariffs/E-1R-AGILE-24-10-01-G/standard-unit-rates/</x:v>
      </x:c>
    </x:row>
    <x:row r="1038" ht="21" customHeight="1">
      <x:c r="A1038" s="24" t="n">
        <x:v>46170.125</x:v>
      </x:c>
      <x:c r="B1038" s="6" t="n">
        <x:v>0.1641</x:v>
      </x:c>
      <x:c r="C1038" s="6" t="n">
        <x:v>0.1013</x:v>
      </x:c>
      <x:c r="D1038" s="6" t="n">
        <x:f>B1038</x:f>
        <x:v>0.1641</x:v>
      </x:c>
      <x:c r="E1038" s="1" t="n">
        <x:v>1.05</x:v>
      </x:c>
      <x:c r="F1038" s="1" t="str">
        <x:v>https://api.octopus.energy/v1/products/AGILE-24-10-01/electricity-tariffs/E-1R-AGILE-24-10-01-G/standard-unit-rates/</x:v>
      </x:c>
    </x:row>
    <x:row r="1039" ht="21" customHeight="1">
      <x:c r="A1039" s="24" t="n">
        <x:v>46170.145833333336</x:v>
      </x:c>
      <x:c r="B1039" s="6" t="n">
        <x:v>0.1609</x:v>
      </x:c>
      <x:c r="C1039" s="6" t="n">
        <x:v>0.0998</x:v>
      </x:c>
      <x:c r="D1039" s="6" t="n">
        <x:f>B1039</x:f>
        <x:v>0.1609</x:v>
      </x:c>
      <x:c r="E1039" s="1" t="n">
        <x:v>1.05</x:v>
      </x:c>
      <x:c r="F1039" s="1" t="str">
        <x:v>https://api.octopus.energy/v1/products/AGILE-24-10-01/electricity-tariffs/E-1R-AGILE-24-10-01-G/standard-unit-rates/</x:v>
      </x:c>
    </x:row>
    <x:row r="1040" ht="21" customHeight="1">
      <x:c r="A1040" s="24" t="n">
        <x:v>46170.166666666664</x:v>
      </x:c>
      <x:c r="B1040" s="6" t="n">
        <x:v>0.17379999999999998</x:v>
      </x:c>
      <x:c r="C1040" s="6" t="n">
        <x:v>0.1057</x:v>
      </x:c>
      <x:c r="D1040" s="6" t="n">
        <x:f>B1040</x:f>
        <x:v>0.17379999999999998</x:v>
      </x:c>
      <x:c r="E1040" s="1" t="n">
        <x:v>1.05</x:v>
      </x:c>
      <x:c r="F1040" s="1" t="str">
        <x:v>https://api.octopus.energy/v1/products/AGILE-24-10-01/electricity-tariffs/E-1R-AGILE-24-10-01-G/standard-unit-rates/</x:v>
      </x:c>
    </x:row>
    <x:row r="1041" ht="21" customHeight="1">
      <x:c r="A1041" s="24" t="n">
        <x:v>46170.1875</x:v>
      </x:c>
      <x:c r="B1041" s="6" t="n">
        <x:v>0.16949999999999998</x:v>
      </x:c>
      <x:c r="C1041" s="6" t="n">
        <x:v>0.1038</x:v>
      </x:c>
      <x:c r="D1041" s="6" t="n">
        <x:f>B1041</x:f>
        <x:v>0.16949999999999998</x:v>
      </x:c>
      <x:c r="E1041" s="1" t="n">
        <x:v>1.05</x:v>
      </x:c>
      <x:c r="F1041" s="1" t="str">
        <x:v>https://api.octopus.energy/v1/products/AGILE-24-10-01/electricity-tariffs/E-1R-AGILE-24-10-01-G/standard-unit-rates/</x:v>
      </x:c>
    </x:row>
    <x:row r="1042" ht="21" customHeight="1">
      <x:c r="A1042" s="24" t="n">
        <x:v>46170.208333333336</x:v>
      </x:c>
      <x:c r="B1042" s="6" t="n">
        <x:v>0.1744</x:v>
      </x:c>
      <x:c r="C1042" s="6" t="n">
        <x:v>0.106</x:v>
      </x:c>
      <x:c r="D1042" s="6" t="n">
        <x:f>B1042</x:f>
        <x:v>0.1744</x:v>
      </x:c>
      <x:c r="E1042" s="1" t="n">
        <x:v>1.05</x:v>
      </x:c>
      <x:c r="F1042" s="1" t="str">
        <x:v>https://api.octopus.energy/v1/products/AGILE-24-10-01/electricity-tariffs/E-1R-AGILE-24-10-01-G/standard-unit-rates/</x:v>
      </x:c>
    </x:row>
    <x:row r="1043" ht="21" customHeight="1">
      <x:c r="A1043" s="24" t="n">
        <x:v>46170.229166666664</x:v>
      </x:c>
      <x:c r="B1043" s="6" t="n">
        <x:v>0.1757</x:v>
      </x:c>
      <x:c r="C1043" s="6" t="n">
        <x:v>0.1066</x:v>
      </x:c>
      <x:c r="D1043" s="6" t="n">
        <x:f>B1043</x:f>
        <x:v>0.1757</x:v>
      </x:c>
      <x:c r="E1043" s="1" t="n">
        <x:v>1.05</x:v>
      </x:c>
      <x:c r="F1043" s="1" t="str">
        <x:v>https://api.octopus.energy/v1/products/AGILE-24-10-01/electricity-tariffs/E-1R-AGILE-24-10-01-G/standard-unit-rates/</x:v>
      </x:c>
    </x:row>
    <x:row r="1044" ht="21" customHeight="1">
      <x:c r="A1044" s="24" t="n">
        <x:v>46170.25</x:v>
      </x:c>
      <x:c r="B1044" s="6" t="n">
        <x:v>0.19820000000000002</x:v>
      </x:c>
      <x:c r="C1044" s="6" t="n">
        <x:v>0.11689999999999999</x:v>
      </x:c>
      <x:c r="D1044" s="6" t="n">
        <x:f>B1044</x:f>
        <x:v>0.19820000000000002</x:v>
      </x:c>
      <x:c r="E1044" s="1" t="n">
        <x:v>1.05</x:v>
      </x:c>
      <x:c r="F1044" s="1" t="str">
        <x:v>https://api.octopus.energy/v1/products/AGILE-24-10-01/electricity-tariffs/E-1R-AGILE-24-10-01-G/standard-unit-rates/</x:v>
      </x:c>
    </x:row>
    <x:row r="1045" ht="21" customHeight="1">
      <x:c r="A1045" s="24" t="n">
        <x:v>46170.270833333336</x:v>
      </x:c>
      <x:c r="B1045" s="6" t="n">
        <x:v>0.2165</x:v>
      </x:c>
      <x:c r="C1045" s="6" t="n">
        <x:v>0.1252</x:v>
      </x:c>
      <x:c r="D1045" s="6" t="n">
        <x:f>B1045</x:f>
        <x:v>0.2165</x:v>
      </x:c>
      <x:c r="E1045" s="1" t="n">
        <x:v>1.05</x:v>
      </x:c>
      <x:c r="F1045" s="1" t="str">
        <x:v>https://api.octopus.energy/v1/products/AGILE-24-10-01/electricity-tariffs/E-1R-AGILE-24-10-01-G/standard-unit-rates/</x:v>
      </x:c>
    </x:row>
    <x:row r="1046" ht="21" customHeight="1">
      <x:c r="A1046" s="24" t="n">
        <x:v>46170.291666666664</x:v>
      </x:c>
      <x:c r="B1046" s="6" t="n">
        <x:v>0.1892</x:v>
      </x:c>
      <x:c r="C1046" s="6" t="n">
        <x:v>0.1128</x:v>
      </x:c>
      <x:c r="D1046" s="6" t="n">
        <x:f>B1046</x:f>
        <x:v>0.1892</x:v>
      </x:c>
      <x:c r="E1046" s="1" t="n">
        <x:v>1.05</x:v>
      </x:c>
      <x:c r="F1046" s="1" t="str">
        <x:v>https://api.octopus.energy/v1/products/AGILE-24-10-01/electricity-tariffs/E-1R-AGILE-24-10-01-G/standard-unit-rates/</x:v>
      </x:c>
    </x:row>
    <x:row r="1047" ht="21" customHeight="1">
      <x:c r="A1047" s="24" t="n">
        <x:v>46170.3125</x:v>
      </x:c>
      <x:c r="B1047" s="6" t="n">
        <x:v>0.19440000000000002</x:v>
      </x:c>
      <x:c r="C1047" s="6" t="n">
        <x:v>0.1152</x:v>
      </x:c>
      <x:c r="D1047" s="6" t="n">
        <x:f>B1047</x:f>
        <x:v>0.19440000000000002</x:v>
      </x:c>
      <x:c r="E1047" s="1" t="n">
        <x:v>1.05</x:v>
      </x:c>
      <x:c r="F1047" s="1" t="str">
        <x:v>https://api.octopus.energy/v1/products/AGILE-24-10-01/electricity-tariffs/E-1R-AGILE-24-10-01-G/standard-unit-rates/</x:v>
      </x:c>
    </x:row>
    <x:row r="1048" ht="21" customHeight="1">
      <x:c r="A1048" s="24" t="n">
        <x:v>46170.333333333336</x:v>
      </x:c>
      <x:c r="B1048" s="6" t="n">
        <x:v>0.20420000000000002</x:v>
      </x:c>
      <x:c r="C1048" s="6" t="n">
        <x:v>0.11960000000000001</x:v>
      </x:c>
      <x:c r="D1048" s="6" t="n">
        <x:f>B1048</x:f>
        <x:v>0.20420000000000002</x:v>
      </x:c>
      <x:c r="E1048" s="1" t="n">
        <x:v>1.05</x:v>
      </x:c>
      <x:c r="F1048" s="1" t="str">
        <x:v>https://api.octopus.energy/v1/products/AGILE-24-10-01/electricity-tariffs/E-1R-AGILE-24-10-01-G/standard-unit-rates/</x:v>
      </x:c>
    </x:row>
    <x:row r="1049" ht="21" customHeight="1">
      <x:c r="A1049" s="24" t="n">
        <x:v>46170.354166666664</x:v>
      </x:c>
      <x:c r="B1049" s="6" t="n">
        <x:v>0.1884</x:v>
      </x:c>
      <x:c r="C1049" s="6" t="n">
        <x:v>0.1124</x:v>
      </x:c>
      <x:c r="D1049" s="6" t="n">
        <x:f>B1049</x:f>
        <x:v>0.1884</x:v>
      </x:c>
      <x:c r="E1049" s="1" t="n">
        <x:v>1.05</x:v>
      </x:c>
      <x:c r="F1049" s="1" t="str">
        <x:v>https://api.octopus.energy/v1/products/AGILE-24-10-01/electricity-tariffs/E-1R-AGILE-24-10-01-G/standard-unit-rates/</x:v>
      </x:c>
    </x:row>
    <x:row r="1050" ht="21" customHeight="1">
      <x:c r="A1050" s="24" t="n">
        <x:v>46170.375</x:v>
      </x:c>
      <x:c r="B1050" s="6" t="n">
        <x:v>0.1924</x:v>
      </x:c>
      <x:c r="C1050" s="6" t="n">
        <x:v>0.1142</x:v>
      </x:c>
      <x:c r="D1050" s="6" t="n">
        <x:f>B1050</x:f>
        <x:v>0.1924</x:v>
      </x:c>
      <x:c r="E1050" s="1" t="n">
        <x:v>1.05</x:v>
      </x:c>
      <x:c r="F1050" s="1" t="str">
        <x:v>https://api.octopus.energy/v1/products/AGILE-24-10-01/electricity-tariffs/E-1R-AGILE-24-10-01-G/standard-unit-rates/</x:v>
      </x:c>
    </x:row>
    <x:row r="1051" ht="21" customHeight="1">
      <x:c r="A1051" s="24" t="n">
        <x:v>46170.395833333336</x:v>
      </x:c>
      <x:c r="B1051" s="6" t="n">
        <x:v>0.1745</x:v>
      </x:c>
      <x:c r="C1051" s="6" t="n">
        <x:v>0.106</x:v>
      </x:c>
      <x:c r="D1051" s="6" t="n">
        <x:f>B1051</x:f>
        <x:v>0.1745</x:v>
      </x:c>
      <x:c r="E1051" s="1" t="n">
        <x:v>1.05</x:v>
      </x:c>
      <x:c r="F1051" s="1" t="str">
        <x:v>https://api.octopus.energy/v1/products/AGILE-24-10-01/electricity-tariffs/E-1R-AGILE-24-10-01-G/standard-unit-rates/</x:v>
      </x:c>
    </x:row>
    <x:row r="1052" ht="21" customHeight="1">
      <x:c r="A1052" s="24" t="n">
        <x:v>46170.416666666664</x:v>
      </x:c>
      <x:c r="B1052" s="6" t="n">
        <x:v>0.1491</x:v>
      </x:c>
      <x:c r="C1052" s="6" t="n">
        <x:v>0.0944</x:v>
      </x:c>
      <x:c r="D1052" s="6" t="n">
        <x:f>B1052</x:f>
        <x:v>0.1491</x:v>
      </x:c>
      <x:c r="E1052" s="1" t="n">
        <x:v>1.05</x:v>
      </x:c>
      <x:c r="F1052" s="1" t="str">
        <x:v>https://api.octopus.energy/v1/products/AGILE-24-10-01/electricity-tariffs/E-1R-AGILE-24-10-01-G/standard-unit-rates/</x:v>
      </x:c>
    </x:row>
    <x:row r="1053" ht="21" customHeight="1">
      <x:c r="A1053" s="24" t="n">
        <x:v>46170.4375</x:v>
      </x:c>
      <x:c r="B1053" s="6" t="n">
        <x:v>0.122</x:v>
      </x:c>
      <x:c r="C1053" s="6" t="n">
        <x:v>0.08199999999999999</x:v>
      </x:c>
      <x:c r="D1053" s="6" t="n">
        <x:f>B1053</x:f>
        <x:v>0.122</x:v>
      </x:c>
      <x:c r="E1053" s="1" t="n">
        <x:v>1.05</x:v>
      </x:c>
      <x:c r="F1053" s="1" t="str">
        <x:v>https://api.octopus.energy/v1/products/AGILE-24-10-01/electricity-tariffs/E-1R-AGILE-24-10-01-G/standard-unit-rates/</x:v>
      </x:c>
    </x:row>
    <x:row r="1054" ht="21" customHeight="1">
      <x:c r="A1054" s="24" t="n">
        <x:v>46170.458333333336</x:v>
      </x:c>
      <x:c r="B1054" s="6" t="n">
        <x:v>0.1241</x:v>
      </x:c>
      <x:c r="C1054" s="6" t="n">
        <x:v>0.083</x:v>
      </x:c>
      <x:c r="D1054" s="6" t="n">
        <x:f>B1054</x:f>
        <x:v>0.1241</x:v>
      </x:c>
      <x:c r="E1054" s="1" t="n">
        <x:v>1.05</x:v>
      </x:c>
      <x:c r="F1054" s="1" t="str">
        <x:v>https://api.octopus.energy/v1/products/AGILE-24-10-01/electricity-tariffs/E-1R-AGILE-24-10-01-G/standard-unit-rates/</x:v>
      </x:c>
    </x:row>
    <x:row r="1055" ht="21" customHeight="1">
      <x:c r="A1055" s="24" t="n">
        <x:v>46170.479166666664</x:v>
      </x:c>
      <x:c r="B1055" s="6" t="n">
        <x:v>0.122</x:v>
      </x:c>
      <x:c r="C1055" s="6" t="n">
        <x:v>0.0821</x:v>
      </x:c>
      <x:c r="D1055" s="6" t="n">
        <x:f>B1055</x:f>
        <x:v>0.122</x:v>
      </x:c>
      <x:c r="E1055" s="1" t="n">
        <x:v>1.05</x:v>
      </x:c>
      <x:c r="F1055" s="1" t="str">
        <x:v>https://api.octopus.energy/v1/products/AGILE-24-10-01/electricity-tariffs/E-1R-AGILE-24-10-01-G/standard-unit-rates/</x:v>
      </x:c>
    </x:row>
    <x:row r="1056" ht="21" customHeight="1">
      <x:c r="A1056" s="24" t="n">
        <x:v>46170.5</x:v>
      </x:c>
      <x:c r="B1056" s="6" t="n">
        <x:v>0.122</x:v>
      </x:c>
      <x:c r="C1056" s="6" t="n">
        <x:v>0.08199999999999999</x:v>
      </x:c>
      <x:c r="D1056" s="6" t="n">
        <x:f>B1056</x:f>
        <x:v>0.122</x:v>
      </x:c>
      <x:c r="E1056" s="1" t="n">
        <x:v>1.05</x:v>
      </x:c>
      <x:c r="F1056" s="1" t="str">
        <x:v>https://api.octopus.energy/v1/products/AGILE-24-10-01/electricity-tariffs/E-1R-AGILE-24-10-01-G/standard-unit-rates/</x:v>
      </x:c>
    </x:row>
    <x:row r="1057" ht="21" customHeight="1">
      <x:c r="A1057" s="24" t="n">
        <x:v>46170.520833333336</x:v>
      </x:c>
      <x:c r="B1057" s="6" t="n">
        <x:v>0.122</x:v>
      </x:c>
      <x:c r="C1057" s="6" t="n">
        <x:v>0.08199999999999999</x:v>
      </x:c>
      <x:c r="D1057" s="6" t="n">
        <x:f>B1057</x:f>
        <x:v>0.122</x:v>
      </x:c>
      <x:c r="E1057" s="1" t="n">
        <x:v>1.05</x:v>
      </x:c>
      <x:c r="F1057" s="1" t="str">
        <x:v>https://api.octopus.energy/v1/products/AGILE-24-10-01/electricity-tariffs/E-1R-AGILE-24-10-01-G/standard-unit-rates/</x:v>
      </x:c>
    </x:row>
    <x:row r="1058" ht="21" customHeight="1">
      <x:c r="A1058" s="24" t="n">
        <x:v>46170.541666666664</x:v>
      </x:c>
      <x:c r="B1058" s="6" t="n">
        <x:v>0.122</x:v>
      </x:c>
      <x:c r="C1058" s="6" t="n">
        <x:v>0.08199999999999999</x:v>
      </x:c>
      <x:c r="D1058" s="6" t="n">
        <x:f>B1058</x:f>
        <x:v>0.122</x:v>
      </x:c>
      <x:c r="E1058" s="1" t="n">
        <x:v>1.05</x:v>
      </x:c>
      <x:c r="F1058" s="1" t="str">
        <x:v>https://api.octopus.energy/v1/products/AGILE-24-10-01/electricity-tariffs/E-1R-AGILE-24-10-01-G/standard-unit-rates/</x:v>
      </x:c>
    </x:row>
    <x:row r="1059" ht="21" customHeight="1">
      <x:c r="A1059" s="24" t="n">
        <x:v>46170.5625</x:v>
      </x:c>
      <x:c r="B1059" s="6" t="n">
        <x:v>0.122</x:v>
      </x:c>
      <x:c r="C1059" s="6" t="n">
        <x:v>0.08199999999999999</x:v>
      </x:c>
      <x:c r="D1059" s="6" t="n">
        <x:f>B1059</x:f>
        <x:v>0.122</x:v>
      </x:c>
      <x:c r="E1059" s="1" t="n">
        <x:v>1.05</x:v>
      </x:c>
      <x:c r="F1059" s="1" t="str">
        <x:v>https://api.octopus.energy/v1/products/AGILE-24-10-01/electricity-tariffs/E-1R-AGILE-24-10-01-G/standard-unit-rates/</x:v>
      </x:c>
    </x:row>
    <x:row r="1060" ht="21" customHeight="1">
      <x:c r="A1060" s="24" t="n">
        <x:v>46170.583333333336</x:v>
      </x:c>
      <x:c r="B1060" s="6" t="n">
        <x:v>0.122</x:v>
      </x:c>
      <x:c r="C1060" s="6" t="n">
        <x:v>0.08199999999999999</x:v>
      </x:c>
      <x:c r="D1060" s="6" t="n">
        <x:f>B1060</x:f>
        <x:v>0.122</x:v>
      </x:c>
      <x:c r="E1060" s="1" t="n">
        <x:v>1.05</x:v>
      </x:c>
      <x:c r="F1060" s="1" t="str">
        <x:v>https://api.octopus.energy/v1/products/AGILE-24-10-01/electricity-tariffs/E-1R-AGILE-24-10-01-G/standard-unit-rates/</x:v>
      </x:c>
    </x:row>
    <x:row r="1061" ht="21" customHeight="1">
      <x:c r="A1061" s="24" t="n">
        <x:v>46170.604166666664</x:v>
      </x:c>
      <x:c r="B1061" s="6" t="n">
        <x:v>0.122</x:v>
      </x:c>
      <x:c r="C1061" s="6" t="n">
        <x:v>0.08199999999999999</x:v>
      </x:c>
      <x:c r="D1061" s="6" t="n">
        <x:f>B1061</x:f>
        <x:v>0.122</x:v>
      </x:c>
      <x:c r="E1061" s="1" t="n">
        <x:v>1.05</x:v>
      </x:c>
      <x:c r="F1061" s="1" t="str">
        <x:v>https://api.octopus.energy/v1/products/AGILE-24-10-01/electricity-tariffs/E-1R-AGILE-24-10-01-G/standard-unit-rates/</x:v>
      </x:c>
    </x:row>
    <x:row r="1062" ht="21" customHeight="1">
      <x:c r="A1062" s="24" t="n">
        <x:v>46170.625</x:v>
      </x:c>
      <x:c r="B1062" s="6" t="n">
        <x:v>0.1334</x:v>
      </x:c>
      <x:c r="C1062" s="6" t="n">
        <x:v>0.0873</x:v>
      </x:c>
      <x:c r="D1062" s="6" t="n">
        <x:f>B1062</x:f>
        <x:v>0.1334</x:v>
      </x:c>
      <x:c r="E1062" s="1" t="n">
        <x:v>1.05</x:v>
      </x:c>
      <x:c r="F1062" s="1" t="str">
        <x:v>https://api.octopus.energy/v1/products/AGILE-24-10-01/electricity-tariffs/E-1R-AGILE-24-10-01-G/standard-unit-rates/</x:v>
      </x:c>
    </x:row>
    <x:row r="1063" ht="21" customHeight="1">
      <x:c r="A1063" s="24" t="n">
        <x:v>46170.645833333336</x:v>
      </x:c>
      <x:c r="B1063" s="6" t="n">
        <x:v>0.14300000000000002</x:v>
      </x:c>
      <x:c r="C1063" s="6" t="n">
        <x:v>0.0916</x:v>
      </x:c>
      <x:c r="D1063" s="6" t="n">
        <x:f>B1063</x:f>
        <x:v>0.14300000000000002</x:v>
      </x:c>
      <x:c r="E1063" s="1" t="n">
        <x:v>1.05</x:v>
      </x:c>
      <x:c r="F1063" s="1" t="str">
        <x:v>https://api.octopus.energy/v1/products/AGILE-24-10-01/electricity-tariffs/E-1R-AGILE-24-10-01-G/standard-unit-rates/</x:v>
      </x:c>
    </x:row>
    <x:row r="1064" ht="21" customHeight="1">
      <x:c r="A1064" s="24" t="n">
        <x:v>46170.666666666664</x:v>
      </x:c>
      <x:c r="B1064" s="6" t="n">
        <x:v>0.2693</x:v>
      </x:c>
      <x:c r="C1064" s="6" t="n">
        <x:v>0.1534</x:v>
      </x:c>
      <x:c r="D1064" s="6" t="n">
        <x:f>B1064</x:f>
        <x:v>0.2693</x:v>
      </x:c>
      <x:c r="E1064" s="1" t="n">
        <x:v>1.05</x:v>
      </x:c>
      <x:c r="F1064" s="1" t="str">
        <x:v>https://api.octopus.energy/v1/products/AGILE-24-10-01/electricity-tariffs/E-1R-AGILE-24-10-01-G/standard-unit-rates/</x:v>
      </x:c>
    </x:row>
    <x:row r="1065" ht="21" customHeight="1">
      <x:c r="A1065" s="24" t="n">
        <x:v>46170.6875</x:v>
      </x:c>
      <x:c r="B1065" s="6" t="n">
        <x:v>0.2756</x:v>
      </x:c>
      <x:c r="C1065" s="6" t="n">
        <x:v>0.1563</x:v>
      </x:c>
      <x:c r="D1065" s="6" t="n">
        <x:f>B1065</x:f>
        <x:v>0.2756</x:v>
      </x:c>
      <x:c r="E1065" s="1" t="n">
        <x:v>1.05</x:v>
      </x:c>
      <x:c r="F1065" s="1" t="str">
        <x:v>https://api.octopus.energy/v1/products/AGILE-24-10-01/electricity-tariffs/E-1R-AGILE-24-10-01-G/standard-unit-rates/</x:v>
      </x:c>
    </x:row>
    <x:row r="1066" ht="21" customHeight="1">
      <x:c r="A1066" s="24" t="n">
        <x:v>46170.708333333336</x:v>
      </x:c>
      <x:c r="B1066" s="6" t="n">
        <x:v>0.3176</x:v>
      </x:c>
      <x:c r="C1066" s="6" t="n">
        <x:v>0.17550000000000002</x:v>
      </x:c>
      <x:c r="D1066" s="6" t="n">
        <x:f>B1066</x:f>
        <x:v>0.3176</x:v>
      </x:c>
      <x:c r="E1066" s="1" t="n">
        <x:v>1.05</x:v>
      </x:c>
      <x:c r="F1066" s="1" t="str">
        <x:v>https://api.octopus.energy/v1/products/AGILE-24-10-01/electricity-tariffs/E-1R-AGILE-24-10-01-G/standard-unit-rates/</x:v>
      </x:c>
    </x:row>
    <x:row r="1067" ht="21" customHeight="1">
      <x:c r="A1067" s="24" t="n">
        <x:v>46170.729166666664</x:v>
      </x:c>
      <x:c r="B1067" s="6" t="n">
        <x:v>0.3218</x:v>
      </x:c>
      <x:c r="C1067" s="6" t="n">
        <x:v>0.17739999999999997</x:v>
      </x:c>
      <x:c r="D1067" s="6" t="n">
        <x:f>B1067</x:f>
        <x:v>0.3218</x:v>
      </x:c>
      <x:c r="E1067" s="1" t="n">
        <x:v>1.05</x:v>
      </x:c>
      <x:c r="F1067" s="1" t="str">
        <x:v>https://api.octopus.energy/v1/products/AGILE-24-10-01/electricity-tariffs/E-1R-AGILE-24-10-01-G/standard-unit-rates/</x:v>
      </x:c>
    </x:row>
    <x:row r="1068" ht="21" customHeight="1">
      <x:c r="A1068" s="24" t="n">
        <x:v>46170.75</x:v>
      </x:c>
      <x:c r="B1068" s="6" t="n">
        <x:v>0.3386</x:v>
      </x:c>
      <x:c r="C1068" s="6" t="n">
        <x:v>0.18510000000000001</x:v>
      </x:c>
      <x:c r="D1068" s="6" t="n">
        <x:f>B1068</x:f>
        <x:v>0.3386</x:v>
      </x:c>
      <x:c r="E1068" s="1" t="n">
        <x:v>1.05</x:v>
      </x:c>
      <x:c r="F1068" s="1" t="str">
        <x:v>https://api.octopus.energy/v1/products/AGILE-24-10-01/electricity-tariffs/E-1R-AGILE-24-10-01-G/standard-unit-rates/</x:v>
      </x:c>
    </x:row>
    <x:row r="1069" ht="21" customHeight="1">
      <x:c r="A1069" s="24" t="n">
        <x:v>46170.770833333336</x:v>
      </x:c>
      <x:c r="B1069" s="6" t="n">
        <x:v>0.3467</x:v>
      </x:c>
      <x:c r="C1069" s="6" t="n">
        <x:v>0.1888</x:v>
      </x:c>
      <x:c r="D1069" s="6" t="n">
        <x:f>B1069</x:f>
        <x:v>0.3467</x:v>
      </x:c>
      <x:c r="E1069" s="1" t="n">
        <x:v>1.05</x:v>
      </x:c>
      <x:c r="F1069" s="1" t="str">
        <x:v>https://api.octopus.energy/v1/products/AGILE-24-10-01/electricity-tariffs/E-1R-AGILE-24-10-01-G/standard-unit-rates/</x:v>
      </x:c>
    </x:row>
    <x:row r="1070" ht="21" customHeight="1">
      <x:c r="A1070" s="24" t="n">
        <x:v>46170.791666666664</x:v>
      </x:c>
      <x:c r="B1070" s="6" t="n">
        <x:v>0.23329999999999998</x:v>
      </x:c>
      <x:c r="C1070" s="6" t="n">
        <x:v>0.1329</x:v>
      </x:c>
      <x:c r="D1070" s="6" t="n">
        <x:f>B1070</x:f>
        <x:v>0.23329999999999998</x:v>
      </x:c>
      <x:c r="E1070" s="1" t="n">
        <x:v>1.05</x:v>
      </x:c>
      <x:c r="F1070" s="1" t="str">
        <x:v>https://api.octopus.energy/v1/products/AGILE-24-10-01/electricity-tariffs/E-1R-AGILE-24-10-01-G/standard-unit-rates/</x:v>
      </x:c>
    </x:row>
    <x:row r="1071" ht="21" customHeight="1">
      <x:c r="A1071" s="24" t="n">
        <x:v>46170.8125</x:v>
      </x:c>
      <x:c r="B1071" s="6" t="n">
        <x:v>0.23199999999999998</x:v>
      </x:c>
      <x:c r="C1071" s="6" t="n">
        <x:v>0.1323</x:v>
      </x:c>
      <x:c r="D1071" s="6" t="n">
        <x:f>B1071</x:f>
        <x:v>0.23199999999999998</x:v>
      </x:c>
      <x:c r="E1071" s="1" t="n">
        <x:v>1.05</x:v>
      </x:c>
      <x:c r="F1071" s="1" t="str">
        <x:v>https://api.octopus.energy/v1/products/AGILE-24-10-01/electricity-tariffs/E-1R-AGILE-24-10-01-G/standard-unit-rates/</x:v>
      </x:c>
    </x:row>
    <x:row r="1072" ht="21" customHeight="1">
      <x:c r="A1072" s="24" t="n">
        <x:v>46170.833333333336</x:v>
      </x:c>
      <x:c r="B1072" s="6" t="n">
        <x:v>0.24559999999999998</x:v>
      </x:c>
      <x:c r="C1072" s="6" t="n">
        <x:v>0.13849999999999998</x:v>
      </x:c>
      <x:c r="D1072" s="6" t="n">
        <x:f>B1072</x:f>
        <x:v>0.24559999999999998</x:v>
      </x:c>
      <x:c r="E1072" s="1" t="n">
        <x:v>1.05</x:v>
      </x:c>
      <x:c r="F1072" s="1" t="str">
        <x:v>https://api.octopus.energy/v1/products/AGILE-24-10-01/electricity-tariffs/E-1R-AGILE-24-10-01-G/standard-unit-rates/</x:v>
      </x:c>
    </x:row>
    <x:row r="1073" ht="21" customHeight="1">
      <x:c r="A1073" s="24" t="n">
        <x:v>46170.854166666664</x:v>
      </x:c>
      <x:c r="B1073" s="6" t="n">
        <x:v>0.2396</x:v>
      </x:c>
      <x:c r="C1073" s="6" t="n">
        <x:v>0.1358</x:v>
      </x:c>
      <x:c r="D1073" s="6" t="n">
        <x:f>B1073</x:f>
        <x:v>0.2396</x:v>
      </x:c>
      <x:c r="E1073" s="1" t="n">
        <x:v>1.05</x:v>
      </x:c>
      <x:c r="F1073" s="1" t="str">
        <x:v>https://api.octopus.energy/v1/products/AGILE-24-10-01/electricity-tariffs/E-1R-AGILE-24-10-01-G/standard-unit-rates/</x:v>
      </x:c>
    </x:row>
    <x:row r="1074" ht="21" customHeight="1">
      <x:c r="A1074" s="24" t="n">
        <x:v>46170.875</x:v>
      </x:c>
      <x:c r="B1074" s="6" t="n">
        <x:v>0.2354</x:v>
      </x:c>
      <x:c r="C1074" s="6" t="n">
        <x:v>0.13390000000000002</x:v>
      </x:c>
      <x:c r="D1074" s="6" t="n">
        <x:f>B1074</x:f>
        <x:v>0.2354</x:v>
      </x:c>
      <x:c r="E1074" s="1" t="n">
        <x:v>1.05</x:v>
      </x:c>
      <x:c r="F1074" s="1" t="str">
        <x:v>https://api.octopus.energy/v1/products/AGILE-24-10-01/electricity-tariffs/E-1R-AGILE-24-10-01-G/standard-unit-rates/</x:v>
      </x:c>
    </x:row>
    <x:row r="1075" ht="21" customHeight="1">
      <x:c r="A1075" s="24" t="n">
        <x:v>46170.895833333336</x:v>
      </x:c>
      <x:c r="B1075" s="6" t="n">
        <x:v>0.2274</x:v>
      </x:c>
      <x:c r="C1075" s="6" t="n">
        <x:v>0.13019999999999998</x:v>
      </x:c>
      <x:c r="D1075" s="6" t="n">
        <x:f>B1075</x:f>
        <x:v>0.2274</x:v>
      </x:c>
      <x:c r="E1075" s="1" t="n">
        <x:v>1.05</x:v>
      </x:c>
      <x:c r="F1075" s="1" t="str">
        <x:v>https://api.octopus.energy/v1/products/AGILE-24-10-01/electricity-tariffs/E-1R-AGILE-24-10-01-G/standard-unit-rates/</x:v>
      </x:c>
    </x:row>
    <x:row r="1076" ht="21" customHeight="1">
      <x:c r="A1076" s="24" t="n">
        <x:v>46170.916666666664</x:v>
      </x:c>
      <x:c r="B1076" s="6" t="n">
        <x:v>0.2138</x:v>
      </x:c>
      <x:c r="C1076" s="6" t="n">
        <x:v>0.124</x:v>
      </x:c>
      <x:c r="D1076" s="6" t="n">
        <x:f>B1076</x:f>
        <x:v>0.2138</x:v>
      </x:c>
      <x:c r="E1076" s="1" t="n">
        <x:v>1.05</x:v>
      </x:c>
      <x:c r="F1076" s="1" t="str">
        <x:v>https://api.octopus.energy/v1/products/AGILE-24-10-01/electricity-tariffs/E-1R-AGILE-24-10-01-G/standard-unit-rates/</x:v>
      </x:c>
    </x:row>
    <x:row r="1077" ht="21" customHeight="1">
      <x:c r="A1077" s="24" t="n">
        <x:v>46170.9375</x:v>
      </x:c>
      <x:c r="B1077" s="6" t="n">
        <x:v>0.2144</x:v>
      </x:c>
      <x:c r="C1077" s="6" t="n">
        <x:v>0.1243</x:v>
      </x:c>
      <x:c r="D1077" s="6" t="n">
        <x:f>B1077</x:f>
        <x:v>0.2144</x:v>
      </x:c>
      <x:c r="E1077" s="1" t="n">
        <x:v>1.05</x:v>
      </x:c>
      <x:c r="F1077" s="1" t="str">
        <x:v>https://api.octopus.energy/v1/products/AGILE-24-10-01/electricity-tariffs/E-1R-AGILE-24-10-01-G/standard-unit-rates/</x:v>
      </x:c>
    </x:row>
    <x:row r="1078" ht="21" customHeight="1">
      <x:c r="A1078" s="24" t="n">
        <x:v>46171</x:v>
      </x:c>
      <x:c r="B1078" s="6" t="n">
        <x:v>0.1892</x:v>
      </x:c>
      <x:c r="C1078" s="6" t="n">
        <x:v>0.1128</x:v>
      </x:c>
      <x:c r="D1078" s="6" t="n">
        <x:f>B1078</x:f>
        <x:v>0.1892</x:v>
      </x:c>
      <x:c r="E1078" s="1" t="n">
        <x:v>1.05</x:v>
      </x:c>
      <x:c r="F1078" s="1" t="str">
        <x:v>https://api.octopus.energy/v1/products/AGILE-24-10-01/electricity-tariffs/E-1R-AGILE-24-10-01-G/standard-unit-rates/</x:v>
      </x:c>
    </x:row>
    <x:row r="1079" ht="21" customHeight="1">
      <x:c r="A1079" s="24" t="n">
        <x:v>46170.979166666664</x:v>
      </x:c>
      <x:c r="B1079" s="6" t="n">
        <x:v>0.1913</x:v>
      </x:c>
      <x:c r="C1079" s="6" t="n">
        <x:v>0.1137</x:v>
      </x:c>
      <x:c r="D1079" s="6" t="n">
        <x:f>B1079</x:f>
        <x:v>0.1913</x:v>
      </x:c>
      <x:c r="E1079" s="1" t="n">
        <x:v>1.05</x:v>
      </x:c>
      <x:c r="F1079" s="1" t="str">
        <x:v>https://api.octopus.energy/v1/products/AGILE-24-10-01/electricity-tariffs/E-1R-AGILE-24-10-01-G/standard-unit-rates/</x:v>
      </x:c>
    </x:row>
    <x:row r="1080" ht="21" customHeight="1">
      <x:c r="A1080" s="24" t="n">
        <x:v>46171</x:v>
      </x:c>
      <x:c r="B1080" s="6" t="n">
        <x:v>0.21239999999999998</x:v>
      </x:c>
      <x:c r="C1080" s="6" t="n">
        <x:v>0.1234</x:v>
      </x:c>
      <x:c r="D1080" s="6" t="n">
        <x:f>B1080</x:f>
        <x:v>0.21239999999999998</x:v>
      </x:c>
      <x:c r="E1080" s="1" t="n">
        <x:v>1.05</x:v>
      </x:c>
      <x:c r="F1080" s="1" t="str">
        <x:v>https://api.octopus.energy/v1/products/AGILE-24-10-01/electricity-tariffs/E-1R-AGILE-24-10-01-G/standard-unit-rates/</x:v>
      </x:c>
    </x:row>
    <x:row r="1081" ht="21" customHeight="1">
      <x:c r="A1081" s="24" t="n">
        <x:v>46171.020833333336</x:v>
      </x:c>
      <x:c r="B1081" s="6" t="n">
        <x:v>0.204</x:v>
      </x:c>
      <x:c r="C1081" s="6" t="n">
        <x:v>0.1195</x:v>
      </x:c>
      <x:c r="D1081" s="6" t="n">
        <x:f>B1081</x:f>
        <x:v>0.204</x:v>
      </x:c>
      <x:c r="E1081" s="1" t="n">
        <x:v>1.05</x:v>
      </x:c>
      <x:c r="F1081" s="1" t="str">
        <x:v>https://api.octopus.energy/v1/products/AGILE-24-10-01/electricity-tariffs/E-1R-AGILE-24-10-01-G/standard-unit-rates/</x:v>
      </x:c>
    </x:row>
    <x:row r="1082" ht="21" customHeight="1">
      <x:c r="A1082" s="24" t="n">
        <x:v>46171.041666666664</x:v>
      </x:c>
      <x:c r="B1082" s="6" t="n">
        <x:v>0.1825</x:v>
      </x:c>
      <x:c r="C1082" s="6" t="n">
        <x:v>0.1097</x:v>
      </x:c>
      <x:c r="D1082" s="6" t="n">
        <x:f>B1082</x:f>
        <x:v>0.1825</x:v>
      </x:c>
      <x:c r="E1082" s="1" t="n">
        <x:v>1.05</x:v>
      </x:c>
      <x:c r="F1082" s="1" t="str">
        <x:v>https://api.octopus.energy/v1/products/AGILE-24-10-01/electricity-tariffs/E-1R-AGILE-24-10-01-G/standard-unit-rates/</x:v>
      </x:c>
    </x:row>
    <x:row r="1083" ht="21" customHeight="1">
      <x:c r="A1083" s="24" t="n">
        <x:v>46171.0625</x:v>
      </x:c>
      <x:c r="B1083" s="6" t="n">
        <x:v>0.18100000000000002</x:v>
      </x:c>
      <x:c r="C1083" s="6" t="n">
        <x:v>0.109</x:v>
      </x:c>
      <x:c r="D1083" s="6" t="n">
        <x:f>B1083</x:f>
        <x:v>0.18100000000000002</x:v>
      </x:c>
      <x:c r="E1083" s="1" t="n">
        <x:v>1.05</x:v>
      </x:c>
      <x:c r="F1083" s="1" t="str">
        <x:v>https://api.octopus.energy/v1/products/AGILE-24-10-01/electricity-tariffs/E-1R-AGILE-24-10-01-G/standard-unit-rates/</x:v>
      </x:c>
    </x:row>
    <x:row r="1084" ht="21" customHeight="1">
      <x:c r="A1084" s="24" t="n">
        <x:v>46171.083333333336</x:v>
      </x:c>
      <x:c r="B1084" s="6" t="n">
        <x:v>0.1743</x:v>
      </x:c>
      <x:c r="C1084" s="6" t="n">
        <x:v>0.1059</x:v>
      </x:c>
      <x:c r="D1084" s="6" t="n">
        <x:f>B1084</x:f>
        <x:v>0.1743</x:v>
      </x:c>
      <x:c r="E1084" s="1" t="n">
        <x:v>1.05</x:v>
      </x:c>
      <x:c r="F1084" s="1" t="str">
        <x:v>https://api.octopus.energy/v1/products/AGILE-24-10-01/electricity-tariffs/E-1R-AGILE-24-10-01-G/standard-unit-rates/</x:v>
      </x:c>
    </x:row>
    <x:row r="1085" ht="21" customHeight="1">
      <x:c r="A1085" s="24" t="n">
        <x:v>46171.104166666664</x:v>
      </x:c>
      <x:c r="B1085" s="6" t="n">
        <x:v>0.1748</x:v>
      </x:c>
      <x:c r="C1085" s="6" t="n">
        <x:v>0.10619999999999999</x:v>
      </x:c>
      <x:c r="D1085" s="6" t="n">
        <x:f>B1085</x:f>
        <x:v>0.1748</x:v>
      </x:c>
      <x:c r="E1085" s="1" t="n">
        <x:v>1.05</x:v>
      </x:c>
      <x:c r="F1085" s="1" t="str">
        <x:v>https://api.octopus.energy/v1/products/AGILE-24-10-01/electricity-tariffs/E-1R-AGILE-24-10-01-G/standard-unit-rates/</x:v>
      </x:c>
    </x:row>
    <x:row r="1086" ht="21" customHeight="1">
      <x:c r="A1086" s="24" t="n">
        <x:v>46171.125</x:v>
      </x:c>
      <x:c r="B1086" s="6" t="n">
        <x:v>0.185</x:v>
      </x:c>
      <x:c r="C1086" s="6" t="n">
        <x:v>0.1108</x:v>
      </x:c>
      <x:c r="D1086" s="6" t="n">
        <x:f>B1086</x:f>
        <x:v>0.185</x:v>
      </x:c>
      <x:c r="E1086" s="1" t="n">
        <x:v>1.05</x:v>
      </x:c>
      <x:c r="F1086" s="1" t="str">
        <x:v>https://api.octopus.energy/v1/products/AGILE-24-10-01/electricity-tariffs/E-1R-AGILE-24-10-01-G/standard-unit-rates/</x:v>
      </x:c>
    </x:row>
    <x:row r="1087" ht="21" customHeight="1">
      <x:c r="A1087" s="24" t="n">
        <x:v>46171.145833333336</x:v>
      </x:c>
      <x:c r="B1087" s="6" t="n">
        <x:v>0.19039999999999999</x:v>
      </x:c>
      <x:c r="C1087" s="6" t="n">
        <x:v>0.1133</x:v>
      </x:c>
      <x:c r="D1087" s="6" t="n">
        <x:f>B1087</x:f>
        <x:v>0.19039999999999999</x:v>
      </x:c>
      <x:c r="E1087" s="1" t="n">
        <x:v>1.05</x:v>
      </x:c>
      <x:c r="F1087" s="1" t="str">
        <x:v>https://api.octopus.energy/v1/products/AGILE-24-10-01/electricity-tariffs/E-1R-AGILE-24-10-01-G/standard-unit-rates/</x:v>
      </x:c>
    </x:row>
    <x:row r="1088" ht="21" customHeight="1">
      <x:c r="A1088" s="24" t="n">
        <x:v>46171.166666666664</x:v>
      </x:c>
      <x:c r="B1088" s="6" t="n">
        <x:v>0.1923</x:v>
      </x:c>
      <x:c r="C1088" s="6" t="n">
        <x:v>0.1142</x:v>
      </x:c>
      <x:c r="D1088" s="6" t="n">
        <x:f>B1088</x:f>
        <x:v>0.1923</x:v>
      </x:c>
      <x:c r="E1088" s="1" t="n">
        <x:v>1.05</x:v>
      </x:c>
      <x:c r="F1088" s="1" t="str">
        <x:v>https://api.octopus.energy/v1/products/AGILE-24-10-01/electricity-tariffs/E-1R-AGILE-24-10-01-G/standard-unit-rates/</x:v>
      </x:c>
    </x:row>
    <x:row r="1089" ht="21" customHeight="1">
      <x:c r="A1089" s="24" t="n">
        <x:v>46171.1875</x:v>
      </x:c>
      <x:c r="B1089" s="6" t="n">
        <x:v>0.1956</x:v>
      </x:c>
      <x:c r="C1089" s="6" t="n">
        <x:v>0.1157</x:v>
      </x:c>
      <x:c r="D1089" s="6" t="n">
        <x:f>B1089</x:f>
        <x:v>0.1956</x:v>
      </x:c>
      <x:c r="E1089" s="1" t="n">
        <x:v>1.05</x:v>
      </x:c>
      <x:c r="F1089" s="1" t="str">
        <x:v>https://api.octopus.energy/v1/products/AGILE-24-10-01/electricity-tariffs/E-1R-AGILE-24-10-01-G/standard-unit-rates/</x:v>
      </x:c>
    </x:row>
    <x:row r="1090" ht="21" customHeight="1">
      <x:c r="A1090" s="24" t="n">
        <x:v>46171.208333333336</x:v>
      </x:c>
      <x:c r="B1090" s="6" t="n">
        <x:v>0.1934</x:v>
      </x:c>
      <x:c r="C1090" s="6" t="n">
        <x:v>0.11470000000000001</x:v>
      </x:c>
      <x:c r="D1090" s="6" t="n">
        <x:f>B1090</x:f>
        <x:v>0.1934</x:v>
      </x:c>
      <x:c r="E1090" s="1" t="n">
        <x:v>1.05</x:v>
      </x:c>
      <x:c r="F1090" s="1" t="str">
        <x:v>https://api.octopus.energy/v1/products/AGILE-24-10-01/electricity-tariffs/E-1R-AGILE-24-10-01-G/standard-unit-rates/</x:v>
      </x:c>
    </x:row>
    <x:row r="1091" ht="21" customHeight="1">
      <x:c r="A1091" s="24" t="n">
        <x:v>46171.229166666664</x:v>
      </x:c>
      <x:c r="B1091" s="6" t="n">
        <x:v>0.20350000000000001</x:v>
      </x:c>
      <x:c r="C1091" s="6" t="n">
        <x:v>0.1193</x:v>
      </x:c>
      <x:c r="D1091" s="6" t="n">
        <x:f>B1091</x:f>
        <x:v>0.20350000000000001</x:v>
      </x:c>
      <x:c r="E1091" s="1" t="n">
        <x:v>1.05</x:v>
      </x:c>
      <x:c r="F1091" s="1" t="str">
        <x:v>https://api.octopus.energy/v1/products/AGILE-24-10-01/electricity-tariffs/E-1R-AGILE-24-10-01-G/standard-unit-rates/</x:v>
      </x:c>
    </x:row>
    <x:row r="1092" ht="21" customHeight="1">
      <x:c r="A1092" s="24" t="n">
        <x:v>46171.25</x:v>
      </x:c>
      <x:c r="B1092" s="6" t="n">
        <x:v>0.1934</x:v>
      </x:c>
      <x:c r="C1092" s="6" t="n">
        <x:v>0.11470000000000001</x:v>
      </x:c>
      <x:c r="D1092" s="6" t="n">
        <x:f>B1092</x:f>
        <x:v>0.1934</x:v>
      </x:c>
      <x:c r="E1092" s="1" t="n">
        <x:v>1.05</x:v>
      </x:c>
      <x:c r="F1092" s="1" t="str">
        <x:v>https://api.octopus.energy/v1/products/AGILE-24-10-01/electricity-tariffs/E-1R-AGILE-24-10-01-G/standard-unit-rates/</x:v>
      </x:c>
    </x:row>
    <x:row r="1093" ht="21" customHeight="1">
      <x:c r="A1093" s="24" t="n">
        <x:v>46171.270833333336</x:v>
      </x:c>
      <x:c r="B1093" s="6" t="n">
        <x:v>0.20809999999999998</x:v>
      </x:c>
      <x:c r="C1093" s="6" t="n">
        <x:v>0.12140000000000001</x:v>
      </x:c>
      <x:c r="D1093" s="6" t="n">
        <x:f>B1093</x:f>
        <x:v>0.20809999999999998</x:v>
      </x:c>
      <x:c r="E1093" s="1" t="n">
        <x:v>1.05</x:v>
      </x:c>
      <x:c r="F1093" s="1" t="str">
        <x:v>https://api.octopus.energy/v1/products/AGILE-24-10-01/electricity-tariffs/E-1R-AGILE-24-10-01-G/standard-unit-rates/</x:v>
      </x:c>
    </x:row>
    <x:row r="1094" ht="21" customHeight="1">
      <x:c r="A1094" s="24" t="n">
        <x:v>46171.291666666664</x:v>
      </x:c>
      <x:c r="B1094" s="6" t="n">
        <x:v>0.2086</x:v>
      </x:c>
      <x:c r="C1094" s="6" t="n">
        <x:v>0.1216</x:v>
      </x:c>
      <x:c r="D1094" s="6" t="n">
        <x:f>B1094</x:f>
        <x:v>0.2086</x:v>
      </x:c>
      <x:c r="E1094" s="1" t="n">
        <x:v>1.05</x:v>
      </x:c>
      <x:c r="F1094" s="1" t="str">
        <x:v>https://api.octopus.energy/v1/products/AGILE-24-10-01/electricity-tariffs/E-1R-AGILE-24-10-01-G/standard-unit-rates/</x:v>
      </x:c>
    </x:row>
    <x:row r="1095" ht="21" customHeight="1">
      <x:c r="A1095" s="24" t="n">
        <x:v>46171.3125</x:v>
      </x:c>
      <x:c r="B1095" s="6" t="n">
        <x:v>0.2186</x:v>
      </x:c>
      <x:c r="C1095" s="6" t="n">
        <x:v>0.12619999999999998</x:v>
      </x:c>
      <x:c r="D1095" s="6" t="n">
        <x:f>B1095</x:f>
        <x:v>0.2186</x:v>
      </x:c>
      <x:c r="E1095" s="1" t="n">
        <x:v>1.05</x:v>
      </x:c>
      <x:c r="F1095" s="1" t="str">
        <x:v>https://api.octopus.energy/v1/products/AGILE-24-10-01/electricity-tariffs/E-1R-AGILE-24-10-01-G/standard-unit-rates/</x:v>
      </x:c>
    </x:row>
    <x:row r="1096" ht="21" customHeight="1">
      <x:c r="A1096" s="24" t="n">
        <x:v>46171.333333333336</x:v>
      </x:c>
      <x:c r="B1096" s="6" t="n">
        <x:v>0.2165</x:v>
      </x:c>
      <x:c r="C1096" s="6" t="n">
        <x:v>0.1252</x:v>
      </x:c>
      <x:c r="D1096" s="6" t="n">
        <x:f>B1096</x:f>
        <x:v>0.2165</x:v>
      </x:c>
      <x:c r="E1096" s="1" t="n">
        <x:v>1.05</x:v>
      </x:c>
      <x:c r="F1096" s="1" t="str">
        <x:v>https://api.octopus.energy/v1/products/AGILE-24-10-01/electricity-tariffs/E-1R-AGILE-24-10-01-G/standard-unit-rates/</x:v>
      </x:c>
    </x:row>
    <x:row r="1097" ht="21" customHeight="1">
      <x:c r="A1097" s="24" t="n">
        <x:v>46171.354166666664</x:v>
      </x:c>
      <x:c r="B1097" s="6" t="n">
        <x:v>0.21420000000000003</x:v>
      </x:c>
      <x:c r="C1097" s="6" t="n">
        <x:v>0.1242</x:v>
      </x:c>
      <x:c r="D1097" s="6" t="n">
        <x:f>B1097</x:f>
        <x:v>0.21420000000000003</x:v>
      </x:c>
      <x:c r="E1097" s="1" t="n">
        <x:v>1.05</x:v>
      </x:c>
      <x:c r="F1097" s="1" t="str">
        <x:v>https://api.octopus.energy/v1/products/AGILE-24-10-01/electricity-tariffs/E-1R-AGILE-24-10-01-G/standard-unit-rates/</x:v>
      </x:c>
    </x:row>
    <x:row r="1098" ht="21" customHeight="1">
      <x:c r="A1098" s="24" t="n">
        <x:v>46171.375</x:v>
      </x:c>
      <x:c r="B1098" s="6" t="n">
        <x:v>0.1938</x:v>
      </x:c>
      <x:c r="C1098" s="6" t="n">
        <x:v>0.1148</x:v>
      </x:c>
      <x:c r="D1098" s="6" t="n">
        <x:f>B1098</x:f>
        <x:v>0.1938</x:v>
      </x:c>
      <x:c r="E1098" s="1" t="n">
        <x:v>1.05</x:v>
      </x:c>
      <x:c r="F1098" s="1" t="str">
        <x:v>https://api.octopus.energy/v1/products/AGILE-24-10-01/electricity-tariffs/E-1R-AGILE-24-10-01-G/standard-unit-rates/</x:v>
      </x:c>
    </x:row>
    <x:row r="1099" ht="21" customHeight="1">
      <x:c r="A1099" s="24" t="n">
        <x:v>46171.395833333336</x:v>
      </x:c>
      <x:c r="B1099" s="6" t="n">
        <x:v>0.18239999999999998</x:v>
      </x:c>
      <x:c r="C1099" s="6" t="n">
        <x:v>0.1097</x:v>
      </x:c>
      <x:c r="D1099" s="6" t="n">
        <x:f>B1099</x:f>
        <x:v>0.18239999999999998</x:v>
      </x:c>
      <x:c r="E1099" s="1" t="n">
        <x:v>1.05</x:v>
      </x:c>
      <x:c r="F1099" s="1" t="str">
        <x:v>https://api.octopus.energy/v1/products/AGILE-24-10-01/electricity-tariffs/E-1R-AGILE-24-10-01-G/standard-unit-rates/</x:v>
      </x:c>
    </x:row>
    <x:row r="1100" ht="21" customHeight="1">
      <x:c r="A1100" s="24" t="n">
        <x:v>46171.416666666664</x:v>
      </x:c>
      <x:c r="B1100" s="6" t="n">
        <x:v>0.1722</x:v>
      </x:c>
      <x:c r="C1100" s="6" t="n">
        <x:v>0.105</x:v>
      </x:c>
      <x:c r="D1100" s="6" t="n">
        <x:f>B1100</x:f>
        <x:v>0.1722</x:v>
      </x:c>
      <x:c r="E1100" s="1" t="n">
        <x:v>1.05</x:v>
      </x:c>
      <x:c r="F1100" s="1" t="str">
        <x:v>https://api.octopus.energy/v1/products/AGILE-24-10-01/electricity-tariffs/E-1R-AGILE-24-10-01-G/standard-unit-rates/</x:v>
      </x:c>
    </x:row>
    <x:row r="1101" ht="21" customHeight="1">
      <x:c r="A1101" s="24" t="n">
        <x:v>46171.4375</x:v>
      </x:c>
      <x:c r="B1101" s="6" t="n">
        <x:v>0.158</x:v>
      </x:c>
      <x:c r="C1101" s="6" t="n">
        <x:v>0.09849999999999999</x:v>
      </x:c>
      <x:c r="D1101" s="6" t="n">
        <x:f>B1101</x:f>
        <x:v>0.158</x:v>
      </x:c>
      <x:c r="E1101" s="1" t="n">
        <x:v>1.05</x:v>
      </x:c>
      <x:c r="F1101" s="1" t="str">
        <x:v>https://api.octopus.energy/v1/products/AGILE-24-10-01/electricity-tariffs/E-1R-AGILE-24-10-01-G/standard-unit-rates/</x:v>
      </x:c>
    </x:row>
    <x:row r="1102" ht="21" customHeight="1">
      <x:c r="A1102" s="24" t="n">
        <x:v>46171.458333333336</x:v>
      </x:c>
      <x:c r="B1102" s="6" t="n">
        <x:v>0.1423</x:v>
      </x:c>
      <x:c r="C1102" s="6" t="n">
        <x:v>0.0913</x:v>
      </x:c>
      <x:c r="D1102" s="6" t="n">
        <x:f>B1102</x:f>
        <x:v>0.1423</x:v>
      </x:c>
      <x:c r="E1102" s="1" t="n">
        <x:v>1.05</x:v>
      </x:c>
      <x:c r="F1102" s="1" t="str">
        <x:v>https://api.octopus.energy/v1/products/AGILE-24-10-01/electricity-tariffs/E-1R-AGILE-24-10-01-G/standard-unit-rates/</x:v>
      </x:c>
    </x:row>
    <x:row r="1103" ht="21" customHeight="1">
      <x:c r="A1103" s="24" t="n">
        <x:v>46171.479166666664</x:v>
      </x:c>
      <x:c r="B1103" s="6" t="n">
        <x:v>0.133</x:v>
      </x:c>
      <x:c r="C1103" s="6" t="n">
        <x:v>0.08710000000000001</x:v>
      </x:c>
      <x:c r="D1103" s="6" t="n">
        <x:f>B1103</x:f>
        <x:v>0.133</x:v>
      </x:c>
      <x:c r="E1103" s="1" t="n">
        <x:v>1.05</x:v>
      </x:c>
      <x:c r="F1103" s="1" t="str">
        <x:v>https://api.octopus.energy/v1/products/AGILE-24-10-01/electricity-tariffs/E-1R-AGILE-24-10-01-G/standard-unit-rates/</x:v>
      </x:c>
    </x:row>
    <x:row r="1104" ht="21" customHeight="1">
      <x:c r="A1104" s="24" t="n">
        <x:v>46171.5</x:v>
      </x:c>
      <x:c r="B1104" s="6" t="n">
        <x:v>0.1304</x:v>
      </x:c>
      <x:c r="C1104" s="6" t="n">
        <x:v>0.0859</x:v>
      </x:c>
      <x:c r="D1104" s="6" t="n">
        <x:f>B1104</x:f>
        <x:v>0.1304</x:v>
      </x:c>
      <x:c r="E1104" s="1" t="n">
        <x:v>1.05</x:v>
      </x:c>
      <x:c r="F1104" s="1" t="str">
        <x:v>https://api.octopus.energy/v1/products/AGILE-24-10-01/electricity-tariffs/E-1R-AGILE-24-10-01-G/standard-unit-rates/</x:v>
      </x:c>
    </x:row>
    <x:row r="1105" ht="21" customHeight="1">
      <x:c r="A1105" s="24" t="n">
        <x:v>46171.520833333336</x:v>
      </x:c>
      <x:c r="B1105" s="6" t="n">
        <x:v>0.11779999999999999</x:v>
      </x:c>
      <x:c r="C1105" s="6" t="n">
        <x:v>0.0801</x:v>
      </x:c>
      <x:c r="D1105" s="6" t="n">
        <x:f>B1105</x:f>
        <x:v>0.11779999999999999</x:v>
      </x:c>
      <x:c r="E1105" s="1" t="n">
        <x:v>1.05</x:v>
      </x:c>
      <x:c r="F1105" s="1" t="str">
        <x:v>https://api.octopus.energy/v1/products/AGILE-24-10-01/electricity-tariffs/E-1R-AGILE-24-10-01-G/standard-unit-rates/</x:v>
      </x:c>
    </x:row>
    <x:row r="1106" ht="21" customHeight="1">
      <x:c r="A1106" s="24" t="n">
        <x:v>46171.541666666664</x:v>
      </x:c>
      <x:c r="B1106" s="6" t="n">
        <x:v>0.1094</x:v>
      </x:c>
      <x:c r="C1106" s="6" t="n">
        <x:v>0.07629999999999999</x:v>
      </x:c>
      <x:c r="D1106" s="6" t="n">
        <x:f>B1106</x:f>
        <x:v>0.1094</x:v>
      </x:c>
      <x:c r="E1106" s="1" t="n">
        <x:v>1.05</x:v>
      </x:c>
      <x:c r="F1106" s="1" t="str">
        <x:v>https://api.octopus.energy/v1/products/AGILE-24-10-01/electricity-tariffs/E-1R-AGILE-24-10-01-G/standard-unit-rates/</x:v>
      </x:c>
    </x:row>
    <x:row r="1107" ht="21" customHeight="1">
      <x:c r="A1107" s="24" t="n">
        <x:v>46171.5625</x:v>
      </x:c>
      <x:c r="B1107" s="6" t="n">
        <x:v>0.11320000000000001</x:v>
      </x:c>
      <x:c r="C1107" s="6" t="n">
        <x:v>0.078</x:v>
      </x:c>
      <x:c r="D1107" s="6" t="n">
        <x:f>B1107</x:f>
        <x:v>0.11320000000000001</x:v>
      </x:c>
      <x:c r="E1107" s="1" t="n">
        <x:v>1.05</x:v>
      </x:c>
      <x:c r="F1107" s="1" t="str">
        <x:v>https://api.octopus.energy/v1/products/AGILE-24-10-01/electricity-tariffs/E-1R-AGILE-24-10-01-G/standard-unit-rates/</x:v>
      </x:c>
    </x:row>
    <x:row r="1108" ht="21" customHeight="1">
      <x:c r="A1108" s="24" t="n">
        <x:v>46171.583333333336</x:v>
      </x:c>
      <x:c r="B1108" s="6" t="n">
        <x:v>0.1094</x:v>
      </x:c>
      <x:c r="C1108" s="6" t="n">
        <x:v>0.07629999999999999</x:v>
      </x:c>
      <x:c r="D1108" s="6" t="n">
        <x:f>B1108</x:f>
        <x:v>0.1094</x:v>
      </x:c>
      <x:c r="E1108" s="1" t="n">
        <x:v>1.05</x:v>
      </x:c>
      <x:c r="F1108" s="1" t="str">
        <x:v>https://api.octopus.energy/v1/products/AGILE-24-10-01/electricity-tariffs/E-1R-AGILE-24-10-01-G/standard-unit-rates/</x:v>
      </x:c>
    </x:row>
    <x:row r="1109" ht="21" customHeight="1">
      <x:c r="A1109" s="24" t="n">
        <x:v>46171.604166666664</x:v>
      </x:c>
      <x:c r="B1109" s="6" t="n">
        <x:v>0.1094</x:v>
      </x:c>
      <x:c r="C1109" s="6" t="n">
        <x:v>0.07629999999999999</x:v>
      </x:c>
      <x:c r="D1109" s="6" t="n">
        <x:f>B1109</x:f>
        <x:v>0.1094</x:v>
      </x:c>
      <x:c r="E1109" s="1" t="n">
        <x:v>1.05</x:v>
      </x:c>
      <x:c r="F1109" s="1" t="str">
        <x:v>https://api.octopus.energy/v1/products/AGILE-24-10-01/electricity-tariffs/E-1R-AGILE-24-10-01-G/standard-unit-rates/</x:v>
      </x:c>
    </x:row>
    <x:row r="1110" ht="21" customHeight="1">
      <x:c r="A1110" s="24" t="n">
        <x:v>46171.625</x:v>
      </x:c>
      <x:c r="B1110" s="6" t="n">
        <x:v>0.1376</x:v>
      </x:c>
      <x:c r="C1110" s="6" t="n">
        <x:v>0.0892</x:v>
      </x:c>
      <x:c r="D1110" s="6" t="n">
        <x:f>B1110</x:f>
        <x:v>0.1376</x:v>
      </x:c>
      <x:c r="E1110" s="1" t="n">
        <x:v>1.05</x:v>
      </x:c>
      <x:c r="F1110" s="1" t="str">
        <x:v>https://api.octopus.energy/v1/products/AGILE-24-10-01/electricity-tariffs/E-1R-AGILE-24-10-01-G/standard-unit-rates/</x:v>
      </x:c>
    </x:row>
    <x:row r="1111" ht="21" customHeight="1">
      <x:c r="A1111" s="24" t="n">
        <x:v>46171.645833333336</x:v>
      </x:c>
      <x:c r="B1111" s="6" t="n">
        <x:v>0.16940000000000002</x:v>
      </x:c>
      <x:c r="C1111" s="6" t="n">
        <x:v>0.10369999999999999</x:v>
      </x:c>
      <x:c r="D1111" s="6" t="n">
        <x:f>B1111</x:f>
        <x:v>0.16940000000000002</x:v>
      </x:c>
      <x:c r="E1111" s="1" t="n">
        <x:v>1.05</x:v>
      </x:c>
      <x:c r="F1111" s="1" t="str">
        <x:v>https://api.octopus.energy/v1/products/AGILE-24-10-01/electricity-tariffs/E-1R-AGILE-24-10-01-G/standard-unit-rates/</x:v>
      </x:c>
    </x:row>
    <x:row r="1112" ht="21" customHeight="1">
      <x:c r="A1112" s="24" t="n">
        <x:v>46171.666666666664</x:v>
      </x:c>
      <x:c r="B1112" s="6" t="n">
        <x:v>0.2748</x:v>
      </x:c>
      <x:c r="C1112" s="6" t="n">
        <x:v>0.1559</x:v>
      </x:c>
      <x:c r="D1112" s="6" t="n">
        <x:f>B1112</x:f>
        <x:v>0.2748</x:v>
      </x:c>
      <x:c r="E1112" s="1" t="n">
        <x:v>1.05</x:v>
      </x:c>
      <x:c r="F1112" s="1" t="str">
        <x:v>https://api.octopus.energy/v1/products/AGILE-24-10-01/electricity-tariffs/E-1R-AGILE-24-10-01-G/standard-unit-rates/</x:v>
      </x:c>
    </x:row>
    <x:row r="1113" ht="21" customHeight="1">
      <x:c r="A1113" s="24" t="n">
        <x:v>46171.6875</x:v>
      </x:c>
      <x:c r="B1113" s="6" t="n">
        <x:v>0.2748</x:v>
      </x:c>
      <x:c r="C1113" s="6" t="n">
        <x:v>0.1559</x:v>
      </x:c>
      <x:c r="D1113" s="6" t="n">
        <x:f>B1113</x:f>
        <x:v>0.2748</x:v>
      </x:c>
      <x:c r="E1113" s="1" t="n">
        <x:v>1.05</x:v>
      </x:c>
      <x:c r="F1113" s="1" t="str">
        <x:v>https://api.octopus.energy/v1/products/AGILE-24-10-01/electricity-tariffs/E-1R-AGILE-24-10-01-G/standard-unit-rates/</x:v>
      </x:c>
    </x:row>
    <x:row r="1114" ht="21" customHeight="1">
      <x:c r="A1114" s="24" t="n">
        <x:v>46171.708333333336</x:v>
      </x:c>
      <x:c r="B1114" s="6" t="n">
        <x:v>0.3009</x:v>
      </x:c>
      <x:c r="C1114" s="6" t="n">
        <x:v>0.1679</x:v>
      </x:c>
      <x:c r="D1114" s="6" t="n">
        <x:f>B1114</x:f>
        <x:v>0.3009</x:v>
      </x:c>
      <x:c r="E1114" s="1" t="n">
        <x:v>1.05</x:v>
      </x:c>
      <x:c r="F1114" s="1" t="str">
        <x:v>https://api.octopus.energy/v1/products/AGILE-24-10-01/electricity-tariffs/E-1R-AGILE-24-10-01-G/standard-unit-rates/</x:v>
      </x:c>
    </x:row>
    <x:row r="1115" ht="21" customHeight="1">
      <x:c r="A1115" s="24" t="n">
        <x:v>46171.729166666664</x:v>
      </x:c>
      <x:c r="B1115" s="6" t="n">
        <x:v>0.299</x:v>
      </x:c>
      <x:c r="C1115" s="6" t="n">
        <x:v>0.16699999999999998</x:v>
      </x:c>
      <x:c r="D1115" s="6" t="n">
        <x:f>B1115</x:f>
        <x:v>0.299</x:v>
      </x:c>
      <x:c r="E1115" s="1" t="n">
        <x:v>1.05</x:v>
      </x:c>
      <x:c r="F1115" s="1" t="str">
        <x:v>https://api.octopus.energy/v1/products/AGILE-24-10-01/electricity-tariffs/E-1R-AGILE-24-10-01-G/standard-unit-rates/</x:v>
      </x:c>
    </x:row>
    <x:row r="1116" ht="21" customHeight="1">
      <x:c r="A1116" s="24" t="n">
        <x:v>46171.75</x:v>
      </x:c>
      <x:c r="B1116" s="6" t="n">
        <x:v>0.3184</x:v>
      </x:c>
      <x:c r="C1116" s="6" t="n">
        <x:v>0.1759</x:v>
      </x:c>
      <x:c r="D1116" s="6" t="n">
        <x:f>B1116</x:f>
        <x:v>0.3184</x:v>
      </x:c>
      <x:c r="E1116" s="1" t="n">
        <x:v>1.05</x:v>
      </x:c>
      <x:c r="F1116" s="1" t="str">
        <x:v>https://api.octopus.energy/v1/products/AGILE-24-10-01/electricity-tariffs/E-1R-AGILE-24-10-01-G/standard-unit-rates/</x:v>
      </x:c>
    </x:row>
    <x:row r="1117" ht="21" customHeight="1">
      <x:c r="A1117" s="24" t="n">
        <x:v>46171.770833333336</x:v>
      </x:c>
      <x:c r="B1117" s="6" t="n">
        <x:v>0.3281</x:v>
      </x:c>
      <x:c r="C1117" s="6" t="n">
        <x:v>0.18030000000000002</x:v>
      </x:c>
      <x:c r="D1117" s="6" t="n">
        <x:f>B1117</x:f>
        <x:v>0.3281</x:v>
      </x:c>
      <x:c r="E1117" s="1" t="n">
        <x:v>1.05</x:v>
      </x:c>
      <x:c r="F1117" s="1" t="str">
        <x:v>https://api.octopus.energy/v1/products/AGILE-24-10-01/electricity-tariffs/E-1R-AGILE-24-10-01-G/standard-unit-rates/</x:v>
      </x:c>
    </x:row>
    <x:row r="1118" ht="21" customHeight="1">
      <x:c r="A1118" s="24" t="n">
        <x:v>46171.791666666664</x:v>
      </x:c>
      <x:c r="B1118" s="6" t="n">
        <x:v>0.2186</x:v>
      </x:c>
      <x:c r="C1118" s="6" t="n">
        <x:v>0.12619999999999998</x:v>
      </x:c>
      <x:c r="D1118" s="6" t="n">
        <x:f>B1118</x:f>
        <x:v>0.2186</x:v>
      </x:c>
      <x:c r="E1118" s="1" t="n">
        <x:v>1.05</x:v>
      </x:c>
      <x:c r="F1118" s="1" t="str">
        <x:v>https://api.octopus.energy/v1/products/AGILE-24-10-01/electricity-tariffs/E-1R-AGILE-24-10-01-G/standard-unit-rates/</x:v>
      </x:c>
    </x:row>
    <x:row r="1119" ht="21" customHeight="1">
      <x:c r="A1119" s="24" t="n">
        <x:v>46171.8125</x:v>
      </x:c>
      <x:c r="B1119" s="6" t="n">
        <x:v>0.22699999999999998</x:v>
      </x:c>
      <x:c r="C1119" s="6" t="n">
        <x:v>0.13</x:v>
      </x:c>
      <x:c r="D1119" s="6" t="n">
        <x:f>B1119</x:f>
        <x:v>0.22699999999999998</x:v>
      </x:c>
      <x:c r="E1119" s="1" t="n">
        <x:v>1.05</x:v>
      </x:c>
      <x:c r="F1119" s="1" t="str">
        <x:v>https://api.octopus.energy/v1/products/AGILE-24-10-01/electricity-tariffs/E-1R-AGILE-24-10-01-G/standard-unit-rates/</x:v>
      </x:c>
    </x:row>
    <x:row r="1120" ht="21" customHeight="1">
      <x:c r="A1120" s="24" t="n">
        <x:v>46171.833333333336</x:v>
      </x:c>
      <x:c r="B1120" s="6" t="n">
        <x:v>0.2364</x:v>
      </x:c>
      <x:c r="C1120" s="6" t="n">
        <x:v>0.1343</x:v>
      </x:c>
      <x:c r="D1120" s="6" t="n">
        <x:f>B1120</x:f>
        <x:v>0.2364</x:v>
      </x:c>
      <x:c r="E1120" s="1" t="n">
        <x:v>1.05</x:v>
      </x:c>
      <x:c r="F1120" s="1" t="str">
        <x:v>https://api.octopus.energy/v1/products/AGILE-24-10-01/electricity-tariffs/E-1R-AGILE-24-10-01-G/standard-unit-rates/</x:v>
      </x:c>
    </x:row>
    <x:row r="1121" ht="21" customHeight="1">
      <x:c r="A1121" s="24" t="n">
        <x:v>46171.854166666664</x:v>
      </x:c>
      <x:c r="B1121" s="6" t="n">
        <x:v>0.2309</x:v>
      </x:c>
      <x:c r="C1121" s="6" t="n">
        <x:v>0.1318</x:v>
      </x:c>
      <x:c r="D1121" s="6" t="n">
        <x:f>B1121</x:f>
        <x:v>0.2309</x:v>
      </x:c>
      <x:c r="E1121" s="1" t="n">
        <x:v>1.05</x:v>
      </x:c>
      <x:c r="F1121" s="1" t="str">
        <x:v>https://api.octopus.energy/v1/products/AGILE-24-10-01/electricity-tariffs/E-1R-AGILE-24-10-01-G/standard-unit-rates/</x:v>
      </x:c>
    </x:row>
    <x:row r="1122" ht="21" customHeight="1">
      <x:c r="A1122" s="24" t="n">
        <x:v>46171.875</x:v>
      </x:c>
      <x:c r="B1122" s="6" t="n">
        <x:v>0.2293</x:v>
      </x:c>
      <x:c r="C1122" s="6" t="n">
        <x:v>0.1311</x:v>
      </x:c>
      <x:c r="D1122" s="6" t="n">
        <x:f>B1122</x:f>
        <x:v>0.2293</x:v>
      </x:c>
      <x:c r="E1122" s="1" t="n">
        <x:v>1.05</x:v>
      </x:c>
      <x:c r="F1122" s="1" t="str">
        <x:v>https://api.octopus.energy/v1/products/AGILE-24-10-01/electricity-tariffs/E-1R-AGILE-24-10-01-G/standard-unit-rates/</x:v>
      </x:c>
    </x:row>
    <x:row r="1123" ht="21" customHeight="1">
      <x:c r="A1123" s="24" t="n">
        <x:v>46171.895833333336</x:v>
      </x:c>
      <x:c r="B1123" s="6" t="n">
        <x:v>0.23559999999999998</x:v>
      </x:c>
      <x:c r="C1123" s="6" t="n">
        <x:v>0.134</x:v>
      </x:c>
      <x:c r="D1123" s="6" t="n">
        <x:f>B1123</x:f>
        <x:v>0.23559999999999998</x:v>
      </x:c>
      <x:c r="E1123" s="1" t="n">
        <x:v>1.05</x:v>
      </x:c>
      <x:c r="F1123" s="1" t="str">
        <x:v>https://api.octopus.energy/v1/products/AGILE-24-10-01/electricity-tariffs/E-1R-AGILE-24-10-01-G/standard-unit-rates/</x:v>
      </x:c>
    </x:row>
    <x:row r="1124" ht="21" customHeight="1">
      <x:c r="A1124" s="24" t="n">
        <x:v>46171.916666666664</x:v>
      </x:c>
      <x:c r="B1124" s="6" t="n">
        <x:v>0.22260000000000002</x:v>
      </x:c>
      <x:c r="C1124" s="6" t="n">
        <x:v>0.128</x:v>
      </x:c>
      <x:c r="D1124" s="6" t="n">
        <x:f>B1124</x:f>
        <x:v>0.22260000000000002</x:v>
      </x:c>
      <x:c r="E1124" s="1" t="n">
        <x:v>1.05</x:v>
      </x:c>
      <x:c r="F1124" s="1" t="str">
        <x:v>https://api.octopus.energy/v1/products/AGILE-24-10-01/electricity-tariffs/E-1R-AGILE-24-10-01-G/standard-unit-rates/</x:v>
      </x:c>
    </x:row>
    <x:row r="1125" ht="21" customHeight="1">
      <x:c r="A1125" s="24" t="n">
        <x:v>46171.9375</x:v>
      </x:c>
      <x:c r="B1125" s="6" t="n">
        <x:v>0.2354</x:v>
      </x:c>
      <x:c r="C1125" s="6" t="n">
        <x:v>0.13390000000000002</x:v>
      </x:c>
      <x:c r="D1125" s="6" t="n">
        <x:f>B1125</x:f>
        <x:v>0.2354</x:v>
      </x:c>
      <x:c r="E1125" s="1" t="n">
        <x:v>1.05</x:v>
      </x:c>
      <x:c r="F1125" s="1" t="str">
        <x:v>https://api.octopus.energy/v1/products/AGILE-24-10-01/electricity-tariffs/E-1R-AGILE-24-10-01-G/standard-unit-rates/</x:v>
      </x:c>
    </x:row>
    <x:row r="1126" ht="21" customHeight="1">
      <x:c r="A1126" s="24" t="n">
        <x:v>46172</x:v>
      </x:c>
      <x:c r="B1126" s="6" t="n">
        <x:v>0.21350000000000002</x:v>
      </x:c>
      <x:c r="C1126" s="6" t="n">
        <x:v>0.12390000000000001</x:v>
      </x:c>
      <x:c r="D1126" s="6" t="n">
        <x:f>B1126</x:f>
        <x:v>0.21350000000000002</x:v>
      </x:c>
      <x:c r="E1126" s="1" t="n">
        <x:v>1.05</x:v>
      </x:c>
      <x:c r="F1126" s="1" t="str">
        <x:v>https://api.octopus.energy/v1/products/AGILE-24-10-01/electricity-tariffs/E-1R-AGILE-24-10-01-G/standard-unit-rates/</x:v>
      </x:c>
    </x:row>
    <x:row r="1127" ht="21" customHeight="1">
      <x:c r="A1127" s="24" t="n">
        <x:v>46171.979166666664</x:v>
      </x:c>
      <x:c r="B1127" s="6" t="n">
        <x:v>0.2148</x:v>
      </x:c>
      <x:c r="C1127" s="6" t="n">
        <x:v>0.1245</x:v>
      </x:c>
      <x:c r="D1127" s="6" t="n">
        <x:f>B1127</x:f>
        <x:v>0.2148</x:v>
      </x:c>
      <x:c r="E1127" s="1" t="n">
        <x:v>1.05</x:v>
      </x:c>
      <x:c r="F1127" s="1" t="str">
        <x:v>https://api.octopus.energy/v1/products/AGILE-24-10-01/electricity-tariffs/E-1R-AGILE-24-10-01-G/standard-unit-rates/</x:v>
      </x:c>
    </x:row>
    <x:row r="1128" ht="21" customHeight="1">
      <x:c r="A1128" s="24" t="n">
        <x:v>46172</x:v>
      </x:c>
      <x:c r="B1128" s="6" t="n">
        <x:v>0.2018</x:v>
      </x:c>
      <x:c r="C1128" s="6" t="n">
        <x:v>0.1185</x:v>
      </x:c>
      <x:c r="D1128" s="6" t="n">
        <x:f>B1128</x:f>
        <x:v>0.2018</x:v>
      </x:c>
      <x:c r="E1128" s="1" t="n">
        <x:v>1.05</x:v>
      </x:c>
      <x:c r="F1128" s="1" t="str">
        <x:v>https://api.octopus.energy/v1/products/AGILE-24-10-01/electricity-tariffs/E-1R-AGILE-24-10-01-G/standard-unit-rates/</x:v>
      </x:c>
    </x:row>
    <x:row r="1129" ht="21" customHeight="1">
      <x:c r="A1129" s="24" t="n">
        <x:v>46172.020833333336</x:v>
      </x:c>
      <x:c r="B1129" s="6" t="n">
        <x:v>0.2102</x:v>
      </x:c>
      <x:c r="C1129" s="6" t="n">
        <x:v>0.12240000000000001</x:v>
      </x:c>
      <x:c r="D1129" s="6" t="n">
        <x:f>B1129</x:f>
        <x:v>0.2102</x:v>
      </x:c>
      <x:c r="E1129" s="1" t="n">
        <x:v>1.05</x:v>
      </x:c>
      <x:c r="F1129" s="1" t="str">
        <x:v>https://api.octopus.energy/v1/products/AGILE-24-10-01/electricity-tariffs/E-1R-AGILE-24-10-01-G/standard-unit-rates/</x:v>
      </x:c>
    </x:row>
    <x:row r="1130" ht="21" customHeight="1">
      <x:c r="A1130" s="24" t="n">
        <x:v>46172.041666666664</x:v>
      </x:c>
      <x:c r="B1130" s="6" t="n">
        <x:v>0.20079999999999998</x:v>
      </x:c>
      <x:c r="C1130" s="6" t="n">
        <x:v>0.11810000000000001</x:v>
      </x:c>
      <x:c r="D1130" s="6" t="n">
        <x:f>B1130</x:f>
        <x:v>0.20079999999999998</x:v>
      </x:c>
      <x:c r="E1130" s="1" t="n">
        <x:v>1.05</x:v>
      </x:c>
      <x:c r="F1130" s="1" t="str">
        <x:v>https://api.octopus.energy/v1/products/AGILE-24-10-01/electricity-tariffs/E-1R-AGILE-24-10-01-G/standard-unit-rates/</x:v>
      </x:c>
    </x:row>
    <x:row r="1131" ht="21" customHeight="1">
      <x:c r="A1131" s="24" t="n">
        <x:v>46172.0625</x:v>
      </x:c>
      <x:c r="B1131" s="6" t="n">
        <x:v>0.20809999999999998</x:v>
      </x:c>
      <x:c r="C1131" s="6" t="n">
        <x:v>0.12140000000000001</x:v>
      </x:c>
      <x:c r="D1131" s="6" t="n">
        <x:f>B1131</x:f>
        <x:v>0.20809999999999998</x:v>
      </x:c>
      <x:c r="E1131" s="1" t="n">
        <x:v>1.05</x:v>
      </x:c>
      <x:c r="F1131" s="1" t="str">
        <x:v>https://api.octopus.energy/v1/products/AGILE-24-10-01/electricity-tariffs/E-1R-AGILE-24-10-01-G/standard-unit-rates/</x:v>
      </x:c>
    </x:row>
    <x:row r="1132" ht="21" customHeight="1">
      <x:c r="A1132" s="24" t="n">
        <x:v>46172.083333333336</x:v>
      </x:c>
      <x:c r="B1132" s="6" t="n">
        <x:v>0.1997</x:v>
      </x:c>
      <x:c r="C1132" s="6" t="n">
        <x:v>0.1176</x:v>
      </x:c>
      <x:c r="D1132" s="6" t="n">
        <x:f>B1132</x:f>
        <x:v>0.1997</x:v>
      </x:c>
      <x:c r="E1132" s="1" t="n">
        <x:v>1.05</x:v>
      </x:c>
      <x:c r="F1132" s="1" t="str">
        <x:v>https://api.octopus.energy/v1/products/AGILE-24-10-01/electricity-tariffs/E-1R-AGILE-24-10-01-G/standard-unit-rates/</x:v>
      </x:c>
    </x:row>
    <x:row r="1133" ht="21" customHeight="1">
      <x:c r="A1133" s="24" t="n">
        <x:v>46172.104166666664</x:v>
      </x:c>
      <x:c r="B1133" s="6" t="n">
        <x:v>0.1905</x:v>
      </x:c>
      <x:c r="C1133" s="6" t="n">
        <x:v>0.1133</x:v>
      </x:c>
      <x:c r="D1133" s="6" t="n">
        <x:f>B1133</x:f>
        <x:v>0.1905</x:v>
      </x:c>
      <x:c r="E1133" s="1" t="n">
        <x:v>1.05</x:v>
      </x:c>
      <x:c r="F1133" s="1" t="str">
        <x:v>https://api.octopus.energy/v1/products/AGILE-24-10-01/electricity-tariffs/E-1R-AGILE-24-10-01-G/standard-unit-rates/</x:v>
      </x:c>
    </x:row>
    <x:row r="1134" ht="21" customHeight="1">
      <x:c r="A1134" s="24" t="n">
        <x:v>46172.125</x:v>
      </x:c>
      <x:c r="B1134" s="6" t="n">
        <x:v>0.19820000000000002</x:v>
      </x:c>
      <x:c r="C1134" s="6" t="n">
        <x:v>0.11689999999999999</x:v>
      </x:c>
      <x:c r="D1134" s="6" t="n">
        <x:f>B1134</x:f>
        <x:v>0.19820000000000002</x:v>
      </x:c>
      <x:c r="E1134" s="1" t="n">
        <x:v>1.05</x:v>
      </x:c>
      <x:c r="F1134" s="1" t="str">
        <x:v>https://api.octopus.energy/v1/products/AGILE-24-10-01/electricity-tariffs/E-1R-AGILE-24-10-01-G/standard-unit-rates/</x:v>
      </x:c>
    </x:row>
    <x:row r="1135" ht="21" customHeight="1">
      <x:c r="A1135" s="24" t="n">
        <x:v>46172.145833333336</x:v>
      </x:c>
      <x:c r="B1135" s="6" t="n">
        <x:v>0.1916</x:v>
      </x:c>
      <x:c r="C1135" s="6" t="n">
        <x:v>0.11380000000000001</x:v>
      </x:c>
      <x:c r="D1135" s="6" t="n">
        <x:f>B1135</x:f>
        <x:v>0.1916</x:v>
      </x:c>
      <x:c r="E1135" s="1" t="n">
        <x:v>1.05</x:v>
      </x:c>
      <x:c r="F1135" s="1" t="str">
        <x:v>https://api.octopus.energy/v1/products/AGILE-24-10-01/electricity-tariffs/E-1R-AGILE-24-10-01-G/standard-unit-rates/</x:v>
      </x:c>
    </x:row>
    <x:row r="1136" ht="21" customHeight="1">
      <x:c r="A1136" s="24" t="n">
        <x:v>46172.166666666664</x:v>
      </x:c>
      <x:c r="B1136" s="6" t="n">
        <x:v>0.1974</x:v>
      </x:c>
      <x:c r="C1136" s="6" t="n">
        <x:v>0.1165</x:v>
      </x:c>
      <x:c r="D1136" s="6" t="n">
        <x:f>B1136</x:f>
        <x:v>0.1974</x:v>
      </x:c>
      <x:c r="E1136" s="1" t="n">
        <x:v>1.05</x:v>
      </x:c>
      <x:c r="F1136" s="1" t="str">
        <x:v>https://api.octopus.energy/v1/products/AGILE-24-10-01/electricity-tariffs/E-1R-AGILE-24-10-01-G/standard-unit-rates/</x:v>
      </x:c>
    </x:row>
    <x:row r="1137" ht="21" customHeight="1">
      <x:c r="A1137" s="24" t="n">
        <x:v>46172.1875</x:v>
      </x:c>
      <x:c r="B1137" s="6" t="n">
        <x:v>0.1955</x:v>
      </x:c>
      <x:c r="C1137" s="6" t="n">
        <x:v>0.11560000000000001</x:v>
      </x:c>
      <x:c r="D1137" s="6" t="n">
        <x:f>B1137</x:f>
        <x:v>0.1955</x:v>
      </x:c>
      <x:c r="E1137" s="1" t="n">
        <x:v>1.05</x:v>
      </x:c>
      <x:c r="F1137" s="1" t="str">
        <x:v>https://api.octopus.energy/v1/products/AGILE-24-10-01/electricity-tariffs/E-1R-AGILE-24-10-01-G/standard-unit-rates/</x:v>
      </x:c>
    </x:row>
    <x:row r="1138" ht="21" customHeight="1">
      <x:c r="A1138" s="24" t="n">
        <x:v>46172.208333333336</x:v>
      </x:c>
      <x:c r="B1138" s="6" t="n">
        <x:v>0.1892</x:v>
      </x:c>
      <x:c r="C1138" s="6" t="n">
        <x:v>0.1128</x:v>
      </x:c>
      <x:c r="D1138" s="6" t="n">
        <x:f>B1138</x:f>
        <x:v>0.1892</x:v>
      </x:c>
      <x:c r="E1138" s="1" t="n">
        <x:v>1.05</x:v>
      </x:c>
      <x:c r="F1138" s="1" t="str">
        <x:v>https://api.octopus.energy/v1/products/AGILE-24-10-01/electricity-tariffs/E-1R-AGILE-24-10-01-G/standard-unit-rates/</x:v>
      </x:c>
    </x:row>
    <x:row r="1139" ht="21" customHeight="1">
      <x:c r="A1139" s="24" t="n">
        <x:v>46172.229166666664</x:v>
      </x:c>
      <x:c r="B1139" s="6" t="n">
        <x:v>0.1888</x:v>
      </x:c>
      <x:c r="C1139" s="6" t="n">
        <x:v>0.11259999999999999</x:v>
      </x:c>
      <x:c r="D1139" s="6" t="n">
        <x:f>B1139</x:f>
        <x:v>0.1888</x:v>
      </x:c>
      <x:c r="E1139" s="1" t="n">
        <x:v>1.05</x:v>
      </x:c>
      <x:c r="F1139" s="1" t="str">
        <x:v>https://api.octopus.energy/v1/products/AGILE-24-10-01/electricity-tariffs/E-1R-AGILE-24-10-01-G/standard-unit-rates/</x:v>
      </x:c>
    </x:row>
    <x:row r="1140" ht="21" customHeight="1">
      <x:c r="A1140" s="24" t="n">
        <x:v>46172.25</x:v>
      </x:c>
      <x:c r="B1140" s="6" t="n">
        <x:v>0.18460000000000001</x:v>
      </x:c>
      <x:c r="C1140" s="6" t="n">
        <x:v>0.1107</x:v>
      </x:c>
      <x:c r="D1140" s="6" t="n">
        <x:f>B1140</x:f>
        <x:v>0.18460000000000001</x:v>
      </x:c>
      <x:c r="E1140" s="1" t="n">
        <x:v>1.05</x:v>
      </x:c>
      <x:c r="F1140" s="1" t="str">
        <x:v>https://api.octopus.energy/v1/products/AGILE-24-10-01/electricity-tariffs/E-1R-AGILE-24-10-01-G/standard-unit-rates/</x:v>
      </x:c>
    </x:row>
    <x:row r="1141" ht="21" customHeight="1">
      <x:c r="A1141" s="24" t="n">
        <x:v>46172.270833333336</x:v>
      </x:c>
      <x:c r="B1141" s="6" t="n">
        <x:v>0.1941</x:v>
      </x:c>
      <x:c r="C1141" s="6" t="n">
        <x:v>0.115</x:v>
      </x:c>
      <x:c r="D1141" s="6" t="n">
        <x:f>B1141</x:f>
        <x:v>0.1941</x:v>
      </x:c>
      <x:c r="E1141" s="1" t="n">
        <x:v>1.05</x:v>
      </x:c>
      <x:c r="F1141" s="1" t="str">
        <x:v>https://api.octopus.energy/v1/products/AGILE-24-10-01/electricity-tariffs/E-1R-AGILE-24-10-01-G/standard-unit-rates/</x:v>
      </x:c>
    </x:row>
    <x:row r="1142" ht="21" customHeight="1">
      <x:c r="A1142" s="24" t="n">
        <x:v>46172.291666666664</x:v>
      </x:c>
      <x:c r="B1142" s="6" t="n">
        <x:v>0.1808</x:v>
      </x:c>
      <x:c r="C1142" s="6" t="n">
        <x:v>0.10890000000000001</x:v>
      </x:c>
      <x:c r="D1142" s="6" t="n">
        <x:f>B1142</x:f>
        <x:v>0.1808</x:v>
      </x:c>
      <x:c r="E1142" s="1" t="n">
        <x:v>1.05</x:v>
      </x:c>
      <x:c r="F1142" s="1" t="str">
        <x:v>https://api.octopus.energy/v1/products/AGILE-24-10-01/electricity-tariffs/E-1R-AGILE-24-10-01-G/standard-unit-rates/</x:v>
      </x:c>
    </x:row>
    <x:row r="1143" ht="21" customHeight="1">
      <x:c r="A1143" s="24" t="n">
        <x:v>46172.3125</x:v>
      </x:c>
      <x:c r="B1143" s="6" t="n">
        <x:v>0.1844</x:v>
      </x:c>
      <x:c r="C1143" s="6" t="n">
        <x:v>0.1106</x:v>
      </x:c>
      <x:c r="D1143" s="6" t="n">
        <x:f>B1143</x:f>
        <x:v>0.1844</x:v>
      </x:c>
      <x:c r="E1143" s="1" t="n">
        <x:v>1.05</x:v>
      </x:c>
      <x:c r="F1143" s="1" t="str">
        <x:v>https://api.octopus.energy/v1/products/AGILE-24-10-01/electricity-tariffs/E-1R-AGILE-24-10-01-G/standard-unit-rates/</x:v>
      </x:c>
    </x:row>
    <x:row r="1144" ht="21" customHeight="1">
      <x:c r="A1144" s="24" t="n">
        <x:v>46172.333333333336</x:v>
      </x:c>
      <x:c r="B1144" s="6" t="n">
        <x:v>0.187</x:v>
      </x:c>
      <x:c r="C1144" s="6" t="n">
        <x:v>0.1117</x:v>
      </x:c>
      <x:c r="D1144" s="6" t="n">
        <x:f>B1144</x:f>
        <x:v>0.187</x:v>
      </x:c>
      <x:c r="E1144" s="1" t="n">
        <x:v>1.05</x:v>
      </x:c>
      <x:c r="F1144" s="1" t="str">
        <x:v>https://api.octopus.energy/v1/products/AGILE-24-10-01/electricity-tariffs/E-1R-AGILE-24-10-01-G/standard-unit-rates/</x:v>
      </x:c>
    </x:row>
    <x:row r="1145" ht="21" customHeight="1">
      <x:c r="A1145" s="24" t="n">
        <x:v>46172.354166666664</x:v>
      </x:c>
      <x:c r="B1145" s="6" t="n">
        <x:v>0.182</x:v>
      </x:c>
      <x:c r="C1145" s="6" t="n">
        <x:v>0.10949999999999999</x:v>
      </x:c>
      <x:c r="D1145" s="6" t="n">
        <x:f>B1145</x:f>
        <x:v>0.182</x:v>
      </x:c>
      <x:c r="E1145" s="1" t="n">
        <x:v>1.05</x:v>
      </x:c>
      <x:c r="F1145" s="1" t="str">
        <x:v>https://api.octopus.energy/v1/products/AGILE-24-10-01/electricity-tariffs/E-1R-AGILE-24-10-01-G/standard-unit-rates/</x:v>
      </x:c>
    </x:row>
    <x:row r="1146" ht="21" customHeight="1">
      <x:c r="A1146" s="24" t="n">
        <x:v>46172.375</x:v>
      </x:c>
      <x:c r="B1146" s="6" t="n">
        <x:v>0.154</x:v>
      </x:c>
      <x:c r="C1146" s="6" t="n">
        <x:v>0.0967</x:v>
      </x:c>
      <x:c r="D1146" s="6" t="n">
        <x:f>B1146</x:f>
        <x:v>0.154</x:v>
      </x:c>
      <x:c r="E1146" s="1" t="n">
        <x:v>1.05</x:v>
      </x:c>
      <x:c r="F1146" s="1" t="str">
        <x:v>https://api.octopus.energy/v1/products/AGILE-24-10-01/electricity-tariffs/E-1R-AGILE-24-10-01-G/standard-unit-rates/</x:v>
      </x:c>
    </x:row>
    <x:row r="1147" ht="21" customHeight="1">
      <x:c r="A1147" s="24" t="n">
        <x:v>46172.395833333336</x:v>
      </x:c>
      <x:c r="B1147" s="6" t="n">
        <x:v>0.16820000000000002</x:v>
      </x:c>
      <x:c r="C1147" s="6" t="n">
        <x:v>0.1032</x:v>
      </x:c>
      <x:c r="D1147" s="6" t="n">
        <x:f>B1147</x:f>
        <x:v>0.16820000000000002</x:v>
      </x:c>
      <x:c r="E1147" s="1" t="n">
        <x:v>1.05</x:v>
      </x:c>
      <x:c r="F1147" s="1" t="str">
        <x:v>https://api.octopus.energy/v1/products/AGILE-24-10-01/electricity-tariffs/E-1R-AGILE-24-10-01-G/standard-unit-rates/</x:v>
      </x:c>
    </x:row>
    <x:row r="1148" ht="21" customHeight="1">
      <x:c r="A1148" s="24" t="n">
        <x:v>46172.416666666664</x:v>
      </x:c>
      <x:c r="B1148" s="6" t="n">
        <x:v>0.1858</x:v>
      </x:c>
      <x:c r="C1148" s="6" t="n">
        <x:v>0.1112</x:v>
      </x:c>
      <x:c r="D1148" s="6" t="n">
        <x:f>B1148</x:f>
        <x:v>0.1858</x:v>
      </x:c>
      <x:c r="E1148" s="1" t="n">
        <x:v>1.05</x:v>
      </x:c>
      <x:c r="F1148" s="1" t="str">
        <x:v>https://api.octopus.energy/v1/products/AGILE-24-10-01/electricity-tariffs/E-1R-AGILE-24-10-01-G/standard-unit-rates/</x:v>
      </x:c>
    </x:row>
    <x:row r="1149" ht="21" customHeight="1">
      <x:c r="A1149" s="24" t="n">
        <x:v>46172.4375</x:v>
      </x:c>
      <x:c r="B1149" s="6" t="n">
        <x:v>0.1752</x:v>
      </x:c>
      <x:c r="C1149" s="6" t="n">
        <x:v>0.10640000000000001</x:v>
      </x:c>
      <x:c r="D1149" s="6" t="n">
        <x:f>B1149</x:f>
        <x:v>0.1752</x:v>
      </x:c>
      <x:c r="E1149" s="1" t="n">
        <x:v>1.05</x:v>
      </x:c>
      <x:c r="F1149" s="1" t="str">
        <x:v>https://api.octopus.energy/v1/products/AGILE-24-10-01/electricity-tariffs/E-1R-AGILE-24-10-01-G/standard-unit-rates/</x:v>
      </x:c>
    </x:row>
    <x:row r="1150" ht="21" customHeight="1">
      <x:c r="A1150" s="24" t="n">
        <x:v>46172.458333333336</x:v>
      </x:c>
      <x:c r="B1150" s="6" t="n">
        <x:v>0.1724</x:v>
      </x:c>
      <x:c r="C1150" s="6" t="n">
        <x:v>0.1051</x:v>
      </x:c>
      <x:c r="D1150" s="6" t="n">
        <x:f>B1150</x:f>
        <x:v>0.1724</x:v>
      </x:c>
      <x:c r="E1150" s="1" t="n">
        <x:v>1.05</x:v>
      </x:c>
      <x:c r="F1150" s="1" t="str">
        <x:v>https://api.octopus.energy/v1/products/AGILE-24-10-01/electricity-tariffs/E-1R-AGILE-24-10-01-G/standard-unit-rates/</x:v>
      </x:c>
    </x:row>
    <x:row r="1151" ht="21" customHeight="1">
      <x:c r="A1151" s="24" t="n">
        <x:v>46172.479166666664</x:v>
      </x:c>
      <x:c r="B1151" s="6" t="n">
        <x:v>0.16210000000000002</x:v>
      </x:c>
      <x:c r="C1151" s="6" t="n">
        <x:v>0.10039999999999999</x:v>
      </x:c>
      <x:c r="D1151" s="6" t="n">
        <x:f>B1151</x:f>
        <x:v>0.16210000000000002</x:v>
      </x:c>
      <x:c r="E1151" s="1" t="n">
        <x:v>1.05</x:v>
      </x:c>
      <x:c r="F1151" s="1" t="str">
        <x:v>https://api.octopus.energy/v1/products/AGILE-24-10-01/electricity-tariffs/E-1R-AGILE-24-10-01-G/standard-unit-rates/</x:v>
      </x:c>
    </x:row>
    <x:row r="1152" ht="21" customHeight="1">
      <x:c r="A1152" s="24" t="n">
        <x:v>46172.5</x:v>
      </x:c>
      <x:c r="B1152" s="6" t="n">
        <x:v>0.1646</x:v>
      </x:c>
      <x:c r="C1152" s="6" t="n">
        <x:v>0.1015</x:v>
      </x:c>
      <x:c r="D1152" s="6" t="n">
        <x:f>B1152</x:f>
        <x:v>0.1646</x:v>
      </x:c>
      <x:c r="E1152" s="1" t="n">
        <x:v>1.05</x:v>
      </x:c>
      <x:c r="F1152" s="1" t="str">
        <x:v>https://api.octopus.energy/v1/products/AGILE-24-10-01/electricity-tariffs/E-1R-AGILE-24-10-01-G/standard-unit-rates/</x:v>
      </x:c>
    </x:row>
    <x:row r="1153" ht="21" customHeight="1">
      <x:c r="A1153" s="24" t="n">
        <x:v>46172.520833333336</x:v>
      </x:c>
      <x:c r="B1153" s="6" t="n">
        <x:v>0.159</x:v>
      </x:c>
      <x:c r="C1153" s="6" t="n">
        <x:v>0.0989</x:v>
      </x:c>
      <x:c r="D1153" s="6" t="n">
        <x:f>B1153</x:f>
        <x:v>0.159</x:v>
      </x:c>
      <x:c r="E1153" s="1" t="n">
        <x:v>1.05</x:v>
      </x:c>
      <x:c r="F1153" s="1" t="str">
        <x:v>https://api.octopus.energy/v1/products/AGILE-24-10-01/electricity-tariffs/E-1R-AGILE-24-10-01-G/standard-unit-rates/</x:v>
      </x:c>
    </x:row>
    <x:row r="1154" ht="21" customHeight="1">
      <x:c r="A1154" s="24" t="n">
        <x:v>46172.541666666664</x:v>
      </x:c>
      <x:c r="B1154" s="6" t="n">
        <x:v>0.1604</x:v>
      </x:c>
      <x:c r="C1154" s="6" t="n">
        <x:v>0.09960000000000001</x:v>
      </x:c>
      <x:c r="D1154" s="6" t="n">
        <x:f>B1154</x:f>
        <x:v>0.1604</x:v>
      </x:c>
      <x:c r="E1154" s="1" t="n">
        <x:v>1.05</x:v>
      </x:c>
      <x:c r="F1154" s="1" t="str">
        <x:v>https://api.octopus.energy/v1/products/AGILE-24-10-01/electricity-tariffs/E-1R-AGILE-24-10-01-G/standard-unit-rates/</x:v>
      </x:c>
    </x:row>
    <x:row r="1155" ht="21" customHeight="1">
      <x:c r="A1155" s="24" t="n">
        <x:v>46172.5625</x:v>
      </x:c>
      <x:c r="B1155" s="6" t="n">
        <x:v>0.1604</x:v>
      </x:c>
      <x:c r="C1155" s="6" t="n">
        <x:v>0.09960000000000001</x:v>
      </x:c>
      <x:c r="D1155" s="6" t="n">
        <x:f>B1155</x:f>
        <x:v>0.1604</x:v>
      </x:c>
      <x:c r="E1155" s="1" t="n">
        <x:v>1.05</x:v>
      </x:c>
      <x:c r="F1155" s="1" t="str">
        <x:v>https://api.octopus.energy/v1/products/AGILE-24-10-01/electricity-tariffs/E-1R-AGILE-24-10-01-G/standard-unit-rates/</x:v>
      </x:c>
    </x:row>
    <x:row r="1156" ht="21" customHeight="1">
      <x:c r="A1156" s="24" t="n">
        <x:v>46172.583333333336</x:v>
      </x:c>
      <x:c r="B1156" s="6" t="n">
        <x:v>0.1612</x:v>
      </x:c>
      <x:c r="C1156" s="6" t="n">
        <x:v>0.0999</x:v>
      </x:c>
      <x:c r="D1156" s="6" t="n">
        <x:f>B1156</x:f>
        <x:v>0.1612</x:v>
      </x:c>
      <x:c r="E1156" s="1" t="n">
        <x:v>1.05</x:v>
      </x:c>
      <x:c r="F1156" s="1" t="str">
        <x:v>https://api.octopus.energy/v1/products/AGILE-24-10-01/electricity-tariffs/E-1R-AGILE-24-10-01-G/standard-unit-rates/</x:v>
      </x:c>
    </x:row>
    <x:row r="1157" ht="21" customHeight="1">
      <x:c r="A1157" s="24" t="n">
        <x:v>46172.604166666664</x:v>
      </x:c>
      <x:c r="B1157" s="6" t="n">
        <x:v>0.157</x:v>
      </x:c>
      <x:c r="C1157" s="6" t="n">
        <x:v>0.098</x:v>
      </x:c>
      <x:c r="D1157" s="6" t="n">
        <x:f>B1157</x:f>
        <x:v>0.157</x:v>
      </x:c>
      <x:c r="E1157" s="1" t="n">
        <x:v>1.05</x:v>
      </x:c>
      <x:c r="F1157" s="1" t="str">
        <x:v>https://api.octopus.energy/v1/products/AGILE-24-10-01/electricity-tariffs/E-1R-AGILE-24-10-01-G/standard-unit-rates/</x:v>
      </x:c>
    </x:row>
    <x:row r="1158" ht="21" customHeight="1">
      <x:c r="A1158" s="24" t="n">
        <x:v>46172.625</x:v>
      </x:c>
      <x:c r="B1158" s="6" t="n">
        <x:v>0.1567</x:v>
      </x:c>
      <x:c r="C1158" s="6" t="n">
        <x:v>0.09789999999999999</x:v>
      </x:c>
      <x:c r="D1158" s="6" t="n">
        <x:f>B1158</x:f>
        <x:v>0.1567</x:v>
      </x:c>
      <x:c r="E1158" s="1" t="n">
        <x:v>1.05</x:v>
      </x:c>
      <x:c r="F1158" s="1" t="str">
        <x:v>https://api.octopus.energy/v1/products/AGILE-24-10-01/electricity-tariffs/E-1R-AGILE-24-10-01-G/standard-unit-rates/</x:v>
      </x:c>
    </x:row>
    <x:row r="1159" ht="21" customHeight="1">
      <x:c r="A1159" s="24" t="n">
        <x:v>46172.645833333336</x:v>
      </x:c>
      <x:c r="B1159" s="6" t="n">
        <x:v>0.1598</x:v>
      </x:c>
      <x:c r="C1159" s="6" t="n">
        <x:v>0.0993</x:v>
      </x:c>
      <x:c r="D1159" s="6" t="n">
        <x:f>B1159</x:f>
        <x:v>0.1598</x:v>
      </x:c>
      <x:c r="E1159" s="1" t="n">
        <x:v>1.05</x:v>
      </x:c>
      <x:c r="F1159" s="1" t="str">
        <x:v>https://api.octopus.energy/v1/products/AGILE-24-10-01/electricity-tariffs/E-1R-AGILE-24-10-01-G/standard-unit-rates/</x:v>
      </x:c>
    </x:row>
    <x:row r="1160" ht="21" customHeight="1">
      <x:c r="A1160" s="24" t="n">
        <x:v>46172.666666666664</x:v>
      </x:c>
      <x:c r="B1160" s="6" t="n">
        <x:v>0.2939</x:v>
      </x:c>
      <x:c r="C1160" s="6" t="n">
        <x:v>0.16469999999999999</x:v>
      </x:c>
      <x:c r="D1160" s="6" t="n">
        <x:f>B1160</x:f>
        <x:v>0.2939</x:v>
      </x:c>
      <x:c r="E1160" s="1" t="n">
        <x:v>1.05</x:v>
      </x:c>
      <x:c r="F1160" s="1" t="str">
        <x:v>https://api.octopus.energy/v1/products/AGILE-24-10-01/electricity-tariffs/E-1R-AGILE-24-10-01-G/standard-unit-rates/</x:v>
      </x:c>
    </x:row>
    <x:row r="1161" ht="21" customHeight="1">
      <x:c r="A1161" s="24" t="n">
        <x:v>46172.6875</x:v>
      </x:c>
      <x:c r="B1161" s="6" t="n">
        <x:v>0.2882</x:v>
      </x:c>
      <x:c r="C1161" s="6" t="n">
        <x:v>0.16210000000000002</x:v>
      </x:c>
      <x:c r="D1161" s="6" t="n">
        <x:f>B1161</x:f>
        <x:v>0.2882</x:v>
      </x:c>
      <x:c r="E1161" s="1" t="n">
        <x:v>1.05</x:v>
      </x:c>
      <x:c r="F1161" s="1" t="str">
        <x:v>https://api.octopus.energy/v1/products/AGILE-24-10-01/electricity-tariffs/E-1R-AGILE-24-10-01-G/standard-unit-rates/</x:v>
      </x:c>
    </x:row>
    <x:row r="1162" ht="21" customHeight="1">
      <x:c r="A1162" s="24" t="n">
        <x:v>46172.708333333336</x:v>
      </x:c>
      <x:c r="B1162" s="6" t="n">
        <x:v>0.3114</x:v>
      </x:c>
      <x:c r="C1162" s="6" t="n">
        <x:v>0.1726</x:v>
      </x:c>
      <x:c r="D1162" s="6" t="n">
        <x:f>B1162</x:f>
        <x:v>0.3114</x:v>
      </x:c>
      <x:c r="E1162" s="1" t="n">
        <x:v>1.05</x:v>
      </x:c>
      <x:c r="F1162" s="1" t="str">
        <x:v>https://api.octopus.energy/v1/products/AGILE-24-10-01/electricity-tariffs/E-1R-AGILE-24-10-01-G/standard-unit-rates/</x:v>
      </x:c>
    </x:row>
    <x:row r="1163" ht="21" customHeight="1">
      <x:c r="A1163" s="24" t="n">
        <x:v>46172.729166666664</x:v>
      </x:c>
      <x:c r="B1163" s="6" t="n">
        <x:v>0.30079999999999996</x:v>
      </x:c>
      <x:c r="C1163" s="6" t="n">
        <x:v>0.1678</x:v>
      </x:c>
      <x:c r="D1163" s="6" t="n">
        <x:f>B1163</x:f>
        <x:v>0.30079999999999996</x:v>
      </x:c>
      <x:c r="E1163" s="1" t="n">
        <x:v>1.05</x:v>
      </x:c>
      <x:c r="F1163" s="1" t="str">
        <x:v>https://api.octopus.energy/v1/products/AGILE-24-10-01/electricity-tariffs/E-1R-AGILE-24-10-01-G/standard-unit-rates/</x:v>
      </x:c>
    </x:row>
    <x:row r="1164" ht="21" customHeight="1">
      <x:c r="A1164" s="24" t="n">
        <x:v>46172.75</x:v>
      </x:c>
      <x:c r="B1164" s="6" t="n">
        <x:v>0.327</x:v>
      </x:c>
      <x:c r="C1164" s="6" t="n">
        <x:v>0.17980000000000002</x:v>
      </x:c>
      <x:c r="D1164" s="6" t="n">
        <x:f>B1164</x:f>
        <x:v>0.327</x:v>
      </x:c>
      <x:c r="E1164" s="1" t="n">
        <x:v>1.05</x:v>
      </x:c>
      <x:c r="F1164" s="1" t="str">
        <x:v>https://api.octopus.energy/v1/products/AGILE-24-10-01/electricity-tariffs/E-1R-AGILE-24-10-01-G/standard-unit-rates/</x:v>
      </x:c>
    </x:row>
    <x:row r="1165" ht="21" customHeight="1">
      <x:c r="A1165" s="24" t="n">
        <x:v>46172.770833333336</x:v>
      </x:c>
      <x:c r="B1165" s="6" t="n">
        <x:v>0.3386</x:v>
      </x:c>
      <x:c r="C1165" s="6" t="n">
        <x:v>0.18510000000000001</x:v>
      </x:c>
      <x:c r="D1165" s="6" t="n">
        <x:f>B1165</x:f>
        <x:v>0.3386</x:v>
      </x:c>
      <x:c r="E1165" s="1" t="n">
        <x:v>1.05</x:v>
      </x:c>
      <x:c r="F1165" s="1" t="str">
        <x:v>https://api.octopus.energy/v1/products/AGILE-24-10-01/electricity-tariffs/E-1R-AGILE-24-10-01-G/standard-unit-rates/</x:v>
      </x:c>
    </x:row>
    <x:row r="1166" ht="21" customHeight="1">
      <x:c r="A1166" s="24" t="n">
        <x:v>46172.791666666664</x:v>
      </x:c>
      <x:c r="B1166" s="6" t="n">
        <x:v>0.2207</x:v>
      </x:c>
      <x:c r="C1166" s="6" t="n">
        <x:v>0.1272</x:v>
      </x:c>
      <x:c r="D1166" s="6" t="n">
        <x:f>B1166</x:f>
        <x:v>0.2207</x:v>
      </x:c>
      <x:c r="E1166" s="1" t="n">
        <x:v>1.05</x:v>
      </x:c>
      <x:c r="F1166" s="1" t="str">
        <x:v>https://api.octopus.energy/v1/products/AGILE-24-10-01/electricity-tariffs/E-1R-AGILE-24-10-01-G/standard-unit-rates/</x:v>
      </x:c>
    </x:row>
    <x:row r="1167" ht="21" customHeight="1">
      <x:c r="A1167" s="24" t="n">
        <x:v>46172.8125</x:v>
      </x:c>
      <x:c r="B1167" s="6" t="n">
        <x:v>0.2291</x:v>
      </x:c>
      <x:c r="C1167" s="6" t="n">
        <x:v>0.131</x:v>
      </x:c>
      <x:c r="D1167" s="6" t="n">
        <x:f>B1167</x:f>
        <x:v>0.2291</x:v>
      </x:c>
      <x:c r="E1167" s="1" t="n">
        <x:v>1.05</x:v>
      </x:c>
      <x:c r="F1167" s="1" t="str">
        <x:v>https://api.octopus.energy/v1/products/AGILE-24-10-01/electricity-tariffs/E-1R-AGILE-24-10-01-G/standard-unit-rates/</x:v>
      </x:c>
    </x:row>
    <x:row r="1168" ht="21" customHeight="1">
      <x:c r="A1168" s="24" t="n">
        <x:v>46172.833333333336</x:v>
      </x:c>
      <x:c r="B1168" s="6" t="n">
        <x:v>0.2325</x:v>
      </x:c>
      <x:c r="C1168" s="6" t="n">
        <x:v>0.1326</x:v>
      </x:c>
      <x:c r="D1168" s="6" t="n">
        <x:f>B1168</x:f>
        <x:v>0.2325</x:v>
      </x:c>
      <x:c r="E1168" s="1" t="n">
        <x:v>1.05</x:v>
      </x:c>
      <x:c r="F1168" s="1" t="str">
        <x:v>https://api.octopus.energy/v1/products/AGILE-24-10-01/electricity-tariffs/E-1R-AGILE-24-10-01-G/standard-unit-rates/</x:v>
      </x:c>
    </x:row>
    <x:row r="1169" ht="21" customHeight="1">
      <x:c r="A1169" s="24" t="n">
        <x:v>46172.854166666664</x:v>
      </x:c>
      <x:c r="B1169" s="6" t="n">
        <x:v>0.2366</x:v>
      </x:c>
      <x:c r="C1169" s="6" t="n">
        <x:v>0.1344</x:v>
      </x:c>
      <x:c r="D1169" s="6" t="n">
        <x:f>B1169</x:f>
        <x:v>0.2366</x:v>
      </x:c>
      <x:c r="E1169" s="1" t="n">
        <x:v>1.05</x:v>
      </x:c>
      <x:c r="F1169" s="1" t="str">
        <x:v>https://api.octopus.energy/v1/products/AGILE-24-10-01/electricity-tariffs/E-1R-AGILE-24-10-01-G/standard-unit-rates/</x:v>
      </x:c>
    </x:row>
    <x:row r="1170" ht="21" customHeight="1">
      <x:c r="A1170" s="24" t="n">
        <x:v>46172.875</x:v>
      </x:c>
      <x:c r="B1170" s="6" t="n">
        <x:v>0.2357</x:v>
      </x:c>
      <x:c r="C1170" s="6" t="n">
        <x:v>0.134</x:v>
      </x:c>
      <x:c r="D1170" s="6" t="n">
        <x:f>B1170</x:f>
        <x:v>0.2357</x:v>
      </x:c>
      <x:c r="E1170" s="1" t="n">
        <x:v>1.05</x:v>
      </x:c>
      <x:c r="F1170" s="1" t="str">
        <x:v>https://api.octopus.energy/v1/products/AGILE-24-10-01/electricity-tariffs/E-1R-AGILE-24-10-01-G/standard-unit-rates/</x:v>
      </x:c>
    </x:row>
    <x:row r="1171" ht="21" customHeight="1">
      <x:c r="A1171" s="24" t="n">
        <x:v>46172.895833333336</x:v>
      </x:c>
      <x:c r="B1171" s="6" t="n">
        <x:v>0.2408</x:v>
      </x:c>
      <x:c r="C1171" s="6" t="n">
        <x:v>0.1363</x:v>
      </x:c>
      <x:c r="D1171" s="6" t="n">
        <x:f>B1171</x:f>
        <x:v>0.2408</x:v>
      </x:c>
      <x:c r="E1171" s="1" t="n">
        <x:v>1.05</x:v>
      </x:c>
      <x:c r="F1171" s="1" t="str">
        <x:v>https://api.octopus.energy/v1/products/AGILE-24-10-01/electricity-tariffs/E-1R-AGILE-24-10-01-G/standard-unit-rates/</x:v>
      </x:c>
    </x:row>
    <x:row r="1172" ht="21" customHeight="1">
      <x:c r="A1172" s="24" t="n">
        <x:v>46172.916666666664</x:v>
      </x:c>
      <x:c r="B1172" s="6" t="n">
        <x:v>0.2228</x:v>
      </x:c>
      <x:c r="C1172" s="6" t="n">
        <x:v>0.1281</x:v>
      </x:c>
      <x:c r="D1172" s="6" t="n">
        <x:f>B1172</x:f>
        <x:v>0.2228</x:v>
      </x:c>
      <x:c r="E1172" s="1" t="n">
        <x:v>1.05</x:v>
      </x:c>
      <x:c r="F1172" s="1" t="str">
        <x:v>https://api.octopus.energy/v1/products/AGILE-24-10-01/electricity-tariffs/E-1R-AGILE-24-10-01-G/standard-unit-rates/</x:v>
      </x:c>
    </x:row>
    <x:row r="1173" ht="21" customHeight="1">
      <x:c r="A1173" s="24" t="n">
        <x:v>46172.9375</x:v>
      </x:c>
      <x:c r="B1173" s="6" t="n">
        <x:v>0.2186</x:v>
      </x:c>
      <x:c r="C1173" s="6" t="n">
        <x:v>0.12619999999999998</x:v>
      </x:c>
      <x:c r="D1173" s="6" t="n">
        <x:f>B1173</x:f>
        <x:v>0.2186</x:v>
      </x:c>
      <x:c r="E1173" s="1" t="n">
        <x:v>1.05</x:v>
      </x:c>
      <x:c r="F1173" s="1" t="str">
        <x:v>https://api.octopus.energy/v1/products/AGILE-24-10-01/electricity-tariffs/E-1R-AGILE-24-10-01-G/standard-unit-rates/</x:v>
      </x:c>
    </x:row>
    <x:row r="1174" ht="21" customHeight="1">
      <x:c r="A1174" s="24" t="n">
        <x:v>46173</x:v>
      </x:c>
      <x:c r="B1174" s="6" t="n">
        <x:v>0.1984</x:v>
      </x:c>
      <x:c r="C1174" s="6" t="n">
        <x:v>0.11699999999999999</x:v>
      </x:c>
      <x:c r="D1174" s="6" t="n">
        <x:f>B1174</x:f>
        <x:v>0.1984</x:v>
      </x:c>
      <x:c r="E1174" s="1" t="n">
        <x:v>1.05</x:v>
      </x:c>
      <x:c r="F1174" s="1" t="str">
        <x:v>https://api.octopus.energy/v1/products/AGILE-24-10-01/electricity-tariffs/E-1R-AGILE-24-10-01-G/standard-unit-rates/</x:v>
      </x:c>
    </x:row>
    <x:row r="1175" ht="21" customHeight="1">
      <x:c r="A1175" s="24" t="n">
        <x:v>46172.979166666664</x:v>
      </x:c>
      <x:c r="B1175" s="6" t="n">
        <x:v>0.20809999999999998</x:v>
      </x:c>
      <x:c r="C1175" s="6" t="n">
        <x:v>0.12140000000000001</x:v>
      </x:c>
      <x:c r="D1175" s="6" t="n">
        <x:f>B1175</x:f>
        <x:v>0.20809999999999998</x:v>
      </x:c>
      <x:c r="E1175" s="1" t="n">
        <x:v>1.05</x:v>
      </x:c>
      <x:c r="F1175" s="1" t="str">
        <x:v>https://api.octopus.energy/v1/products/AGILE-24-10-01/electricity-tariffs/E-1R-AGILE-24-10-01-G/standard-unit-rates/</x:v>
      </x:c>
    </x:row>
    <x:row r="1176" ht="21" customHeight="1">
      <x:c r="A1176" s="24" t="n">
        <x:v>46173</x:v>
      </x:c>
      <x:c r="B1176" s="6" t="n">
        <x:v>0.19140000000000001</x:v>
      </x:c>
      <x:c r="C1176" s="6" t="n">
        <x:v>0.11380000000000001</x:v>
      </x:c>
      <x:c r="D1176" s="6" t="n">
        <x:f>B1176</x:f>
        <x:v>0.19140000000000001</x:v>
      </x:c>
      <x:c r="E1176" s="1" t="n">
        <x:v>1.05</x:v>
      </x:c>
      <x:c r="F1176" s="1" t="str">
        <x:v>https://api.octopus.energy/v1/products/AGILE-24-10-01/electricity-tariffs/E-1R-AGILE-24-10-01-G/standard-unit-rates/</x:v>
      </x:c>
    </x:row>
    <x:row r="1177" ht="21" customHeight="1">
      <x:c r="A1177" s="24" t="n">
        <x:v>46173.020833333336</x:v>
      </x:c>
      <x:c r="B1177" s="6" t="n">
        <x:v>0.1787</x:v>
      </x:c>
      <x:c r="C1177" s="6" t="n">
        <x:v>0.10800000000000001</x:v>
      </x:c>
      <x:c r="D1177" s="6" t="n">
        <x:f>B1177</x:f>
        <x:v>0.1787</x:v>
      </x:c>
      <x:c r="E1177" s="1" t="n">
        <x:v>1.05</x:v>
      </x:c>
      <x:c r="F1177" s="1" t="str">
        <x:v>https://api.octopus.energy/v1/products/AGILE-24-10-01/electricity-tariffs/E-1R-AGILE-24-10-01-G/standard-unit-rates/</x:v>
      </x:c>
    </x:row>
    <x:row r="1178" ht="21" customHeight="1">
      <x:c r="A1178" s="24" t="n">
        <x:v>46173.041666666664</x:v>
      </x:c>
      <x:c r="B1178" s="6" t="n">
        <x:v>0.18239999999999998</x:v>
      </x:c>
      <x:c r="C1178" s="6" t="n">
        <x:v>0.1096</x:v>
      </x:c>
      <x:c r="D1178" s="6" t="n">
        <x:f>B1178</x:f>
        <x:v>0.18239999999999998</x:v>
      </x:c>
      <x:c r="E1178" s="1" t="n">
        <x:v>1.05</x:v>
      </x:c>
      <x:c r="F1178" s="1" t="str">
        <x:v>https://api.octopus.energy/v1/products/AGILE-24-10-01/electricity-tariffs/E-1R-AGILE-24-10-01-G/standard-unit-rates/</x:v>
      </x:c>
    </x:row>
    <x:row r="1179" ht="21" customHeight="1">
      <x:c r="A1179" s="24" t="n">
        <x:v>46173.0625</x:v>
      </x:c>
      <x:c r="B1179" s="6" t="n">
        <x:v>0.1858</x:v>
      </x:c>
      <x:c r="C1179" s="6" t="n">
        <x:v>0.1112</x:v>
      </x:c>
      <x:c r="D1179" s="6" t="n">
        <x:f>B1179</x:f>
        <x:v>0.1858</x:v>
      </x:c>
      <x:c r="E1179" s="1" t="n">
        <x:v>1.05</x:v>
      </x:c>
      <x:c r="F1179" s="1" t="str">
        <x:v>https://api.octopus.energy/v1/products/AGILE-24-10-01/electricity-tariffs/E-1R-AGILE-24-10-01-G/standard-unit-rates/</x:v>
      </x:c>
    </x:row>
    <x:row r="1180" ht="21" customHeight="1">
      <x:c r="A1180" s="24" t="n">
        <x:v>46173.083333333336</x:v>
      </x:c>
      <x:c r="B1180" s="6" t="n">
        <x:v>0.1838</x:v>
      </x:c>
      <x:c r="C1180" s="6" t="n">
        <x:v>0.1103</x:v>
      </x:c>
      <x:c r="D1180" s="6" t="n">
        <x:f>B1180</x:f>
        <x:v>0.1838</x:v>
      </x:c>
      <x:c r="E1180" s="1" t="n">
        <x:v>1.05</x:v>
      </x:c>
      <x:c r="F1180" s="1" t="str">
        <x:v>https://api.octopus.energy/v1/products/AGILE-24-10-01/electricity-tariffs/E-1R-AGILE-24-10-01-G/standard-unit-rates/</x:v>
      </x:c>
    </x:row>
    <x:row r="1181" ht="21" customHeight="1">
      <x:c r="A1181" s="24" t="n">
        <x:v>46173.104166666664</x:v>
      </x:c>
      <x:c r="B1181" s="6" t="n">
        <x:v>0.17120000000000002</x:v>
      </x:c>
      <x:c r="C1181" s="6" t="n">
        <x:v>0.1045</x:v>
      </x:c>
      <x:c r="D1181" s="6" t="n">
        <x:f>B1181</x:f>
        <x:v>0.17120000000000002</x:v>
      </x:c>
      <x:c r="E1181" s="1" t="n">
        <x:v>1.05</x:v>
      </x:c>
      <x:c r="F1181" s="1" t="str">
        <x:v>https://api.octopus.energy/v1/products/AGILE-24-10-01/electricity-tariffs/E-1R-AGILE-24-10-01-G/standard-unit-rates/</x:v>
      </x:c>
    </x:row>
    <x:row r="1182" ht="21" customHeight="1">
      <x:c r="A1182" s="24" t="n">
        <x:v>46173.125</x:v>
      </x:c>
      <x:c r="B1182" s="6" t="n">
        <x:v>0.1766</x:v>
      </x:c>
      <x:c r="C1182" s="6" t="n">
        <x:v>0.107</x:v>
      </x:c>
      <x:c r="D1182" s="6" t="n">
        <x:f>B1182</x:f>
        <x:v>0.1766</x:v>
      </x:c>
      <x:c r="E1182" s="1" t="n">
        <x:v>1.05</x:v>
      </x:c>
      <x:c r="F1182" s="1" t="str">
        <x:v>https://api.octopus.energy/v1/products/AGILE-24-10-01/electricity-tariffs/E-1R-AGILE-24-10-01-G/standard-unit-rates/</x:v>
      </x:c>
    </x:row>
    <x:row r="1183" ht="21" customHeight="1">
      <x:c r="A1183" s="24" t="n">
        <x:v>46173.145833333336</x:v>
      </x:c>
      <x:c r="B1183" s="6" t="n">
        <x:v>0.1698</x:v>
      </x:c>
      <x:c r="C1183" s="6" t="n">
        <x:v>0.1039</x:v>
      </x:c>
      <x:c r="D1183" s="6" t="n">
        <x:f>B1183</x:f>
        <x:v>0.1698</x:v>
      </x:c>
      <x:c r="E1183" s="1" t="n">
        <x:v>1.05</x:v>
      </x:c>
      <x:c r="F1183" s="1" t="str">
        <x:v>https://api.octopus.energy/v1/products/AGILE-24-10-01/electricity-tariffs/E-1R-AGILE-24-10-01-G/standard-unit-rates/</x:v>
      </x:c>
    </x:row>
    <x:row r="1184" ht="21" customHeight="1">
      <x:c r="A1184" s="24" t="n">
        <x:v>46173.166666666664</x:v>
      </x:c>
      <x:c r="B1184" s="6" t="n">
        <x:v>0.1783</x:v>
      </x:c>
      <x:c r="C1184" s="6" t="n">
        <x:v>0.10779999999999999</x:v>
      </x:c>
      <x:c r="D1184" s="6" t="n">
        <x:f>B1184</x:f>
        <x:v>0.1783</x:v>
      </x:c>
      <x:c r="E1184" s="1" t="n">
        <x:v>1.05</x:v>
      </x:c>
      <x:c r="F1184" s="1" t="str">
        <x:v>https://api.octopus.energy/v1/products/AGILE-24-10-01/electricity-tariffs/E-1R-AGILE-24-10-01-G/standard-unit-rates/</x:v>
      </x:c>
    </x:row>
    <x:row r="1185" ht="21" customHeight="1">
      <x:c r="A1185" s="24" t="n">
        <x:v>46173.1875</x:v>
      </x:c>
      <x:c r="B1185" s="6" t="n">
        <x:v>0.1818</x:v>
      </x:c>
      <x:c r="C1185" s="6" t="n">
        <x:v>0.1094</x:v>
      </x:c>
      <x:c r="D1185" s="6" t="n">
        <x:f>B1185</x:f>
        <x:v>0.1818</x:v>
      </x:c>
      <x:c r="E1185" s="1" t="n">
        <x:v>1.05</x:v>
      </x:c>
      <x:c r="F1185" s="1" t="str">
        <x:v>https://api.octopus.energy/v1/products/AGILE-24-10-01/electricity-tariffs/E-1R-AGILE-24-10-01-G/standard-unit-rates/</x:v>
      </x:c>
    </x:row>
    <x:row r="1186" ht="21" customHeight="1">
      <x:c r="A1186" s="24" t="n">
        <x:v>46173.208333333336</x:v>
      </x:c>
      <x:c r="B1186" s="6" t="n">
        <x:v>0.1674</x:v>
      </x:c>
      <x:c r="C1186" s="6" t="n">
        <x:v>0.10279999999999999</x:v>
      </x:c>
      <x:c r="D1186" s="6" t="n">
        <x:f>B1186</x:f>
        <x:v>0.1674</x:v>
      </x:c>
      <x:c r="E1186" s="1" t="n">
        <x:v>1.05</x:v>
      </x:c>
      <x:c r="F1186" s="1" t="str">
        <x:v>https://api.octopus.energy/v1/products/AGILE-24-10-01/electricity-tariffs/E-1R-AGILE-24-10-01-G/standard-unit-rates/</x:v>
      </x:c>
    </x:row>
    <x:row r="1187" ht="21" customHeight="1">
      <x:c r="A1187" s="24" t="n">
        <x:v>46173.229166666664</x:v>
      </x:c>
      <x:c r="B1187" s="6" t="n">
        <x:v>0.162</x:v>
      </x:c>
      <x:c r="C1187" s="6" t="n">
        <x:v>0.1003</x:v>
      </x:c>
      <x:c r="D1187" s="6" t="n">
        <x:f>B1187</x:f>
        <x:v>0.162</x:v>
      </x:c>
      <x:c r="E1187" s="1" t="n">
        <x:v>1.05</x:v>
      </x:c>
      <x:c r="F1187" s="1" t="str">
        <x:v>https://api.octopus.energy/v1/products/AGILE-24-10-01/electricity-tariffs/E-1R-AGILE-24-10-01-G/standard-unit-rates/</x:v>
      </x:c>
    </x:row>
    <x:row r="1188" ht="21" customHeight="1">
      <x:c r="A1188" s="24" t="n">
        <x:v>46173.25</x:v>
      </x:c>
      <x:c r="B1188" s="6" t="n">
        <x:v>0.1724</x:v>
      </x:c>
      <x:c r="C1188" s="6" t="n">
        <x:v>0.1051</x:v>
      </x:c>
      <x:c r="D1188" s="6" t="n">
        <x:f>B1188</x:f>
        <x:v>0.1724</x:v>
      </x:c>
      <x:c r="E1188" s="1" t="n">
        <x:v>1.05</x:v>
      </x:c>
      <x:c r="F1188" s="1" t="str">
        <x:v>https://api.octopus.energy/v1/products/AGILE-24-10-01/electricity-tariffs/E-1R-AGILE-24-10-01-G/standard-unit-rates/</x:v>
      </x:c>
    </x:row>
    <x:row r="1189" ht="21" customHeight="1">
      <x:c r="A1189" s="24" t="n">
        <x:v>46173.270833333336</x:v>
      </x:c>
      <x:c r="B1189" s="6" t="n">
        <x:v>0.1745</x:v>
      </x:c>
      <x:c r="C1189" s="6" t="n">
        <x:v>0.106</x:v>
      </x:c>
      <x:c r="D1189" s="6" t="n">
        <x:f>B1189</x:f>
        <x:v>0.1745</x:v>
      </x:c>
      <x:c r="E1189" s="1" t="n">
        <x:v>1.05</x:v>
      </x:c>
      <x:c r="F1189" s="1" t="str">
        <x:v>https://api.octopus.energy/v1/products/AGILE-24-10-01/electricity-tariffs/E-1R-AGILE-24-10-01-G/standard-unit-rates/</x:v>
      </x:c>
    </x:row>
    <x:row r="1190" ht="21" customHeight="1">
      <x:c r="A1190" s="24" t="n">
        <x:v>46173.291666666664</x:v>
      </x:c>
      <x:c r="B1190" s="6" t="n">
        <x:v>0.1808</x:v>
      </x:c>
      <x:c r="C1190" s="6" t="n">
        <x:v>0.10890000000000001</x:v>
      </x:c>
      <x:c r="D1190" s="6" t="n">
        <x:f>B1190</x:f>
        <x:v>0.1808</x:v>
      </x:c>
      <x:c r="E1190" s="1" t="n">
        <x:v>1.05</x:v>
      </x:c>
      <x:c r="F1190" s="1" t="str">
        <x:v>https://api.octopus.energy/v1/products/AGILE-24-10-01/electricity-tariffs/E-1R-AGILE-24-10-01-G/standard-unit-rates/</x:v>
      </x:c>
    </x:row>
    <x:row r="1191" ht="21" customHeight="1">
      <x:c r="A1191" s="24" t="n">
        <x:v>46173.3125</x:v>
      </x:c>
      <x:c r="B1191" s="6" t="n">
        <x:v>0.1822</x:v>
      </x:c>
      <x:c r="C1191" s="6" t="n">
        <x:v>0.1096</x:v>
      </x:c>
      <x:c r="D1191" s="6" t="n">
        <x:f>B1191</x:f>
        <x:v>0.1822</x:v>
      </x:c>
      <x:c r="E1191" s="1" t="n">
        <x:v>1.05</x:v>
      </x:c>
      <x:c r="F1191" s="1" t="str">
        <x:v>https://api.octopus.energy/v1/products/AGILE-24-10-01/electricity-tariffs/E-1R-AGILE-24-10-01-G/standard-unit-rates/</x:v>
      </x:c>
    </x:row>
    <x:row r="1192" ht="21" customHeight="1">
      <x:c r="A1192" s="24" t="n">
        <x:v>46173.333333333336</x:v>
      </x:c>
      <x:c r="B1192" s="6" t="n">
        <x:v>0.1736</x:v>
      </x:c>
      <x:c r="C1192" s="6" t="n">
        <x:v>0.1056</x:v>
      </x:c>
      <x:c r="D1192" s="6" t="n">
        <x:f>B1192</x:f>
        <x:v>0.1736</x:v>
      </x:c>
      <x:c r="E1192" s="1" t="n">
        <x:v>1.05</x:v>
      </x:c>
      <x:c r="F1192" s="1" t="str">
        <x:v>https://api.octopus.energy/v1/products/AGILE-24-10-01/electricity-tariffs/E-1R-AGILE-24-10-01-G/standard-unit-rates/</x:v>
      </x:c>
    </x:row>
    <x:row r="1193" ht="21" customHeight="1">
      <x:c r="A1193" s="24" t="n">
        <x:v>46173.354166666664</x:v>
      </x:c>
      <x:c r="B1193" s="6" t="n">
        <x:v>0.17739999999999997</x:v>
      </x:c>
      <x:c r="C1193" s="6" t="n">
        <x:v>0.1074</x:v>
      </x:c>
      <x:c r="D1193" s="6" t="n">
        <x:f>B1193</x:f>
        <x:v>0.17739999999999997</x:v>
      </x:c>
      <x:c r="E1193" s="1" t="n">
        <x:v>1.05</x:v>
      </x:c>
      <x:c r="F1193" s="1" t="str">
        <x:v>https://api.octopus.energy/v1/products/AGILE-24-10-01/electricity-tariffs/E-1R-AGILE-24-10-01-G/standard-unit-rates/</x:v>
      </x:c>
    </x:row>
    <x:row r="1194" ht="21" customHeight="1">
      <x:c r="A1194" s="24" t="n">
        <x:v>46173.375</x:v>
      </x:c>
      <x:c r="B1194" s="6" t="n">
        <x:v>0.1766</x:v>
      </x:c>
      <x:c r="C1194" s="6" t="n">
        <x:v>0.107</x:v>
      </x:c>
      <x:c r="D1194" s="6" t="n">
        <x:f>B1194</x:f>
        <x:v>0.1766</x:v>
      </x:c>
      <x:c r="E1194" s="1" t="n">
        <x:v>1.05</x:v>
      </x:c>
      <x:c r="F1194" s="1" t="str">
        <x:v>https://api.octopus.energy/v1/products/AGILE-24-10-01/electricity-tariffs/E-1R-AGILE-24-10-01-G/standard-unit-rates/</x:v>
      </x:c>
    </x:row>
    <x:row r="1195" ht="21" customHeight="1">
      <x:c r="A1195" s="24" t="n">
        <x:v>46173.395833333336</x:v>
      </x:c>
      <x:c r="B1195" s="6" t="n">
        <x:v>0.1745</x:v>
      </x:c>
      <x:c r="C1195" s="6" t="n">
        <x:v>0.106</x:v>
      </x:c>
      <x:c r="D1195" s="6" t="n">
        <x:f>B1195</x:f>
        <x:v>0.1745</x:v>
      </x:c>
      <x:c r="E1195" s="1" t="n">
        <x:v>1.05</x:v>
      </x:c>
      <x:c r="F1195" s="1" t="str">
        <x:v>https://api.octopus.energy/v1/products/AGILE-24-10-01/electricity-tariffs/E-1R-AGILE-24-10-01-G/standard-unit-rates/</x:v>
      </x:c>
    </x:row>
    <x:row r="1196" ht="21" customHeight="1">
      <x:c r="A1196" s="24" t="n">
        <x:v>46173.416666666664</x:v>
      </x:c>
      <x:c r="B1196" s="6" t="n">
        <x:v>0.1674</x:v>
      </x:c>
      <x:c r="C1196" s="6" t="n">
        <x:v>0.10279999999999999</x:v>
      </x:c>
      <x:c r="D1196" s="6" t="n">
        <x:f>B1196</x:f>
        <x:v>0.1674</x:v>
      </x:c>
      <x:c r="E1196" s="1" t="n">
        <x:v>1.05</x:v>
      </x:c>
      <x:c r="F1196" s="1" t="str">
        <x:v>https://api.octopus.energy/v1/products/AGILE-24-10-01/electricity-tariffs/E-1R-AGILE-24-10-01-G/standard-unit-rates/</x:v>
      </x:c>
    </x:row>
    <x:row r="1197" ht="21" customHeight="1">
      <x:c r="A1197" s="24" t="n">
        <x:v>46173.4375</x:v>
      </x:c>
      <x:c r="B1197" s="6" t="n">
        <x:v>0.1632</x:v>
      </x:c>
      <x:c r="C1197" s="6" t="n">
        <x:v>0.1009</x:v>
      </x:c>
      <x:c r="D1197" s="6" t="n">
        <x:f>B1197</x:f>
        <x:v>0.1632</x:v>
      </x:c>
      <x:c r="E1197" s="1" t="n">
        <x:v>1.05</x:v>
      </x:c>
      <x:c r="F1197" s="1" t="str">
        <x:v>https://api.octopus.energy/v1/products/AGILE-24-10-01/electricity-tariffs/E-1R-AGILE-24-10-01-G/standard-unit-rates/</x:v>
      </x:c>
    </x:row>
    <x:row r="1198" ht="21" customHeight="1">
      <x:c r="A1198" s="24" t="n">
        <x:v>46173.458333333336</x:v>
      </x:c>
      <x:c r="B1198" s="6" t="n">
        <x:v>0.171</x:v>
      </x:c>
      <x:c r="C1198" s="6" t="n">
        <x:v>0.1045</x:v>
      </x:c>
      <x:c r="D1198" s="6" t="n">
        <x:f>B1198</x:f>
        <x:v>0.171</x:v>
      </x:c>
      <x:c r="E1198" s="1" t="n">
        <x:v>1.05</x:v>
      </x:c>
      <x:c r="F1198" s="1" t="str">
        <x:v>https://api.octopus.energy/v1/products/AGILE-24-10-01/electricity-tariffs/E-1R-AGILE-24-10-01-G/standard-unit-rates/</x:v>
      </x:c>
    </x:row>
    <x:row r="1199" ht="21" customHeight="1">
      <x:c r="A1199" s="24" t="n">
        <x:v>46173.479166666664</x:v>
      </x:c>
      <x:c r="B1199" s="6" t="n">
        <x:v>0.16440000000000002</x:v>
      </x:c>
      <x:c r="C1199" s="6" t="n">
        <x:v>0.1014</x:v>
      </x:c>
      <x:c r="D1199" s="6" t="n">
        <x:f>B1199</x:f>
        <x:v>0.16440000000000002</x:v>
      </x:c>
      <x:c r="E1199" s="1" t="n">
        <x:v>1.05</x:v>
      </x:c>
      <x:c r="F1199" s="1" t="str">
        <x:v>https://api.octopus.energy/v1/products/AGILE-24-10-01/electricity-tariffs/E-1R-AGILE-24-10-01-G/standard-unit-rates/</x:v>
      </x:c>
    </x:row>
    <x:row r="1200" ht="21" customHeight="1">
      <x:c r="A1200" s="24" t="n">
        <x:v>46173.5</x:v>
      </x:c>
      <x:c r="B1200" s="6" t="n">
        <x:v>0.17190000000000003</x:v>
      </x:c>
      <x:c r="C1200" s="6" t="n">
        <x:v>0.10490000000000001</x:v>
      </x:c>
      <x:c r="D1200" s="6" t="n">
        <x:f>B1200</x:f>
        <x:v>0.17190000000000003</x:v>
      </x:c>
      <x:c r="E1200" s="1" t="n">
        <x:v>1.05</x:v>
      </x:c>
      <x:c r="F1200" s="1" t="str">
        <x:v>https://api.octopus.energy/v1/products/AGILE-24-10-01/electricity-tariffs/E-1R-AGILE-24-10-01-G/standard-unit-rates/</x:v>
      </x:c>
    </x:row>
    <x:row r="1201" ht="21" customHeight="1">
      <x:c r="A1201" s="24" t="n">
        <x:v>46173.520833333336</x:v>
      </x:c>
      <x:c r="B1201" s="6" t="n">
        <x:v>0.1635</x:v>
      </x:c>
      <x:c r="C1201" s="6" t="n">
        <x:v>0.10099999999999999</x:v>
      </x:c>
      <x:c r="D1201" s="6" t="n">
        <x:f>B1201</x:f>
        <x:v>0.1635</x:v>
      </x:c>
      <x:c r="E1201" s="1" t="n">
        <x:v>1.05</x:v>
      </x:c>
      <x:c r="F1201" s="1" t="str">
        <x:v>https://api.octopus.energy/v1/products/AGILE-24-10-01/electricity-tariffs/E-1R-AGILE-24-10-01-G/standard-unit-rates/</x:v>
      </x:c>
    </x:row>
    <x:row r="1202" ht="21" customHeight="1">
      <x:c r="A1202" s="24" t="n">
        <x:v>46173.541666666664</x:v>
      </x:c>
      <x:c r="B1202" s="6" t="n">
        <x:v>0.1661</x:v>
      </x:c>
      <x:c r="C1202" s="6" t="n">
        <x:v>0.10220000000000001</x:v>
      </x:c>
      <x:c r="D1202" s="6" t="n">
        <x:f>B1202</x:f>
        <x:v>0.1661</x:v>
      </x:c>
      <x:c r="E1202" s="1" t="n">
        <x:v>1.05</x:v>
      </x:c>
      <x:c r="F1202" s="1" t="str">
        <x:v>https://api.octopus.energy/v1/products/AGILE-24-10-01/electricity-tariffs/E-1R-AGILE-24-10-01-G/standard-unit-rates/</x:v>
      </x:c>
    </x:row>
    <x:row r="1203" ht="21" customHeight="1">
      <x:c r="A1203" s="24" t="n">
        <x:v>46173.5625</x:v>
      </x:c>
      <x:c r="B1203" s="6" t="n">
        <x:v>0.1476</x:v>
      </x:c>
      <x:c r="C1203" s="6" t="n">
        <x:v>0.09369999999999999</x:v>
      </x:c>
      <x:c r="D1203" s="6" t="n">
        <x:f>B1203</x:f>
        <x:v>0.1476</x:v>
      </x:c>
      <x:c r="E1203" s="1" t="n">
        <x:v>1.05</x:v>
      </x:c>
      <x:c r="F1203" s="1" t="str">
        <x:v>https://api.octopus.energy/v1/products/AGILE-24-10-01/electricity-tariffs/E-1R-AGILE-24-10-01-G/standard-unit-rates/</x:v>
      </x:c>
    </x:row>
    <x:row r="1204" ht="21" customHeight="1">
      <x:c r="A1204" s="24" t="n">
        <x:v>46173.583333333336</x:v>
      </x:c>
      <x:c r="B1204" s="6" t="n">
        <x:v>0.1472</x:v>
      </x:c>
      <x:c r="C1204" s="6" t="n">
        <x:v>0.09359999999999999</x:v>
      </x:c>
      <x:c r="D1204" s="6" t="n">
        <x:f>B1204</x:f>
        <x:v>0.1472</x:v>
      </x:c>
      <x:c r="E1204" s="1" t="n">
        <x:v>1.05</x:v>
      </x:c>
      <x:c r="F1204" s="1" t="str">
        <x:v>https://api.octopus.energy/v1/products/AGILE-24-10-01/electricity-tariffs/E-1R-AGILE-24-10-01-G/standard-unit-rates/</x:v>
      </x:c>
    </x:row>
    <x:row r="1205" ht="21" customHeight="1">
      <x:c r="A1205" s="24" t="n">
        <x:v>46173.604166666664</x:v>
      </x:c>
      <x:c r="B1205" s="6" t="n">
        <x:v>0.1524</x:v>
      </x:c>
      <x:c r="C1205" s="6" t="n">
        <x:v>0.096</x:v>
      </x:c>
      <x:c r="D1205" s="6" t="n">
        <x:f>B1205</x:f>
        <x:v>0.1524</x:v>
      </x:c>
      <x:c r="E1205" s="1" t="n">
        <x:v>1.05</x:v>
      </x:c>
      <x:c r="F1205" s="1" t="str">
        <x:v>https://api.octopus.energy/v1/products/AGILE-24-10-01/electricity-tariffs/E-1R-AGILE-24-10-01-G/standard-unit-rates/</x:v>
      </x:c>
    </x:row>
    <x:row r="1206" ht="21" customHeight="1">
      <x:c r="A1206" s="24" t="n">
        <x:v>46173.625</x:v>
      </x:c>
      <x:c r="B1206" s="6" t="n">
        <x:v>0.1474</x:v>
      </x:c>
      <x:c r="C1206" s="6" t="n">
        <x:v>0.09369999999999999</x:v>
      </x:c>
      <x:c r="D1206" s="6" t="n">
        <x:f>B1206</x:f>
        <x:v>0.1474</x:v>
      </x:c>
      <x:c r="E1206" s="1" t="n">
        <x:v>1.05</x:v>
      </x:c>
      <x:c r="F1206" s="1" t="str">
        <x:v>https://api.octopus.energy/v1/products/AGILE-24-10-01/electricity-tariffs/E-1R-AGILE-24-10-01-G/standard-unit-rates/</x:v>
      </x:c>
    </x:row>
    <x:row r="1207" ht="21" customHeight="1">
      <x:c r="A1207" s="24" t="n">
        <x:v>46173.645833333336</x:v>
      </x:c>
      <x:c r="B1207" s="6" t="n">
        <x:v>0.15560000000000002</x:v>
      </x:c>
      <x:c r="C1207" s="6" t="n">
        <x:v>0.0974</x:v>
      </x:c>
      <x:c r="D1207" s="6" t="n">
        <x:f>B1207</x:f>
        <x:v>0.15560000000000002</x:v>
      </x:c>
      <x:c r="E1207" s="1" t="n">
        <x:v>1.05</x:v>
      </x:c>
      <x:c r="F1207" s="1" t="str">
        <x:v>https://api.octopus.energy/v1/products/AGILE-24-10-01/electricity-tariffs/E-1R-AGILE-24-10-01-G/standard-unit-rates/</x:v>
      </x:c>
    </x:row>
    <x:row r="1208" ht="21" customHeight="1">
      <x:c r="A1208" s="24" t="n">
        <x:v>46173.666666666664</x:v>
      </x:c>
      <x:c r="B1208" s="6" t="n">
        <x:v>0.2861</x:v>
      </x:c>
      <x:c r="C1208" s="6" t="n">
        <x:v>0.1611</x:v>
      </x:c>
      <x:c r="D1208" s="6" t="n">
        <x:f>B1208</x:f>
        <x:v>0.2861</x:v>
      </x:c>
      <x:c r="E1208" s="1" t="n">
        <x:v>1.05</x:v>
      </x:c>
      <x:c r="F1208" s="1" t="str">
        <x:v>https://api.octopus.energy/v1/products/AGILE-24-10-01/electricity-tariffs/E-1R-AGILE-24-10-01-G/standard-unit-rates/</x:v>
      </x:c>
    </x:row>
    <x:row r="1209" ht="21" customHeight="1">
      <x:c r="A1209" s="24" t="n">
        <x:v>46173.6875</x:v>
      </x:c>
      <x:c r="B1209" s="6" t="n">
        <x:v>0.2861</x:v>
      </x:c>
      <x:c r="C1209" s="6" t="n">
        <x:v>0.1611</x:v>
      </x:c>
      <x:c r="D1209" s="6" t="n">
        <x:f>B1209</x:f>
        <x:v>0.2861</x:v>
      </x:c>
      <x:c r="E1209" s="1" t="n">
        <x:v>1.05</x:v>
      </x:c>
      <x:c r="F1209" s="1" t="str">
        <x:v>https://api.octopus.energy/v1/products/AGILE-24-10-01/electricity-tariffs/E-1R-AGILE-24-10-01-G/standard-unit-rates/</x:v>
      </x:c>
    </x:row>
    <x:row r="1210" ht="21" customHeight="1">
      <x:c r="A1210" s="24" t="n">
        <x:v>46173.708333333336</x:v>
      </x:c>
      <x:c r="B1210" s="6" t="n">
        <x:v>0.30010000000000003</x:v>
      </x:c>
      <x:c r="C1210" s="6" t="n">
        <x:v>0.1675</x:v>
      </x:c>
      <x:c r="D1210" s="6" t="n">
        <x:f>B1210</x:f>
        <x:v>0.30010000000000003</x:v>
      </x:c>
      <x:c r="E1210" s="1" t="n">
        <x:v>1.05</x:v>
      </x:c>
      <x:c r="F1210" s="1" t="str">
        <x:v>https://api.octopus.energy/v1/products/AGILE-24-10-01/electricity-tariffs/E-1R-AGILE-24-10-01-G/standard-unit-rates/</x:v>
      </x:c>
    </x:row>
    <x:row r="1211" ht="21" customHeight="1">
      <x:c r="A1211" s="24" t="n">
        <x:v>46173.729166666664</x:v>
      </x:c>
      <x:c r="B1211" s="6" t="n">
        <x:v>0.2914</x:v>
      </x:c>
      <x:c r="C1211" s="6" t="n">
        <x:v>0.1635</x:v>
      </x:c>
      <x:c r="D1211" s="6" t="n">
        <x:f>B1211</x:f>
        <x:v>0.2914</x:v>
      </x:c>
      <x:c r="E1211" s="1" t="n">
        <x:v>1.05</x:v>
      </x:c>
      <x:c r="F1211" s="1" t="str">
        <x:v>https://api.octopus.energy/v1/products/AGILE-24-10-01/electricity-tariffs/E-1R-AGILE-24-10-01-G/standard-unit-rates/</x:v>
      </x:c>
    </x:row>
    <x:row r="1212" ht="21" customHeight="1">
      <x:c r="A1212" s="24" t="n">
        <x:v>46173.75</x:v>
      </x:c>
      <x:c r="B1212" s="6" t="n">
        <x:v>0.31989999999999996</x:v>
      </x:c>
      <x:c r="C1212" s="6" t="n">
        <x:v>0.1765</x:v>
      </x:c>
      <x:c r="D1212" s="6" t="n">
        <x:f>B1212</x:f>
        <x:v>0.31989999999999996</x:v>
      </x:c>
      <x:c r="E1212" s="1" t="n">
        <x:v>1.05</x:v>
      </x:c>
      <x:c r="F1212" s="1" t="str">
        <x:v>https://api.octopus.energy/v1/products/AGILE-24-10-01/electricity-tariffs/E-1R-AGILE-24-10-01-G/standard-unit-rates/</x:v>
      </x:c>
    </x:row>
    <x:row r="1213" ht="21" customHeight="1">
      <x:c r="A1213" s="24" t="n">
        <x:v>46173.770833333336</x:v>
      </x:c>
      <x:c r="B1213" s="6" t="n">
        <x:v>0.3436</x:v>
      </x:c>
      <x:c r="C1213" s="6" t="n">
        <x:v>0.18739999999999998</x:v>
      </x:c>
      <x:c r="D1213" s="6" t="n">
        <x:f>B1213</x:f>
        <x:v>0.3436</x:v>
      </x:c>
      <x:c r="E1213" s="1" t="n">
        <x:v>1.05</x:v>
      </x:c>
      <x:c r="F1213" s="1" t="str">
        <x:v>https://api.octopus.energy/v1/products/AGILE-24-10-01/electricity-tariffs/E-1R-AGILE-24-10-01-G/standard-unit-rates/</x:v>
      </x:c>
    </x:row>
    <x:row r="1214" ht="21" customHeight="1">
      <x:c r="A1214" s="24" t="n">
        <x:v>46173.791666666664</x:v>
      </x:c>
      <x:c r="B1214" s="6" t="n">
        <x:v>0.2341</x:v>
      </x:c>
      <x:c r="C1214" s="6" t="n">
        <x:v>0.1333</x:v>
      </x:c>
      <x:c r="D1214" s="6" t="n">
        <x:f>B1214</x:f>
        <x:v>0.2341</x:v>
      </x:c>
      <x:c r="E1214" s="1" t="n">
        <x:v>1.05</x:v>
      </x:c>
      <x:c r="F1214" s="1" t="str">
        <x:v>https://api.octopus.energy/v1/products/AGILE-24-10-01/electricity-tariffs/E-1R-AGILE-24-10-01-G/standard-unit-rates/</x:v>
      </x:c>
    </x:row>
    <x:row r="1215" ht="21" customHeight="1">
      <x:c r="A1215" s="24" t="n">
        <x:v>46173.8125</x:v>
      </x:c>
      <x:c r="B1215" s="6" t="n">
        <x:v>0.2396</x:v>
      </x:c>
      <x:c r="C1215" s="6" t="n">
        <x:v>0.1358</x:v>
      </x:c>
      <x:c r="D1215" s="6" t="n">
        <x:f>B1215</x:f>
        <x:v>0.2396</x:v>
      </x:c>
      <x:c r="E1215" s="1" t="n">
        <x:v>1.05</x:v>
      </x:c>
      <x:c r="F1215" s="1" t="str">
        <x:v>https://api.octopus.energy/v1/products/AGILE-24-10-01/electricity-tariffs/E-1R-AGILE-24-10-01-G/standard-unit-rates/</x:v>
      </x:c>
    </x:row>
    <x:row r="1216" ht="21" customHeight="1">
      <x:c r="A1216" s="24" t="n">
        <x:v>46173.833333333336</x:v>
      </x:c>
      <x:c r="B1216" s="6" t="n">
        <x:v>0.23600000000000002</x:v>
      </x:c>
      <x:c r="C1216" s="6" t="n">
        <x:v>0.1341</x:v>
      </x:c>
      <x:c r="D1216" s="6" t="n">
        <x:f>B1216</x:f>
        <x:v>0.23600000000000002</x:v>
      </x:c>
      <x:c r="E1216" s="1" t="n">
        <x:v>1.05</x:v>
      </x:c>
      <x:c r="F1216" s="1" t="str">
        <x:v>https://api.octopus.energy/v1/products/AGILE-24-10-01/electricity-tariffs/E-1R-AGILE-24-10-01-G/standard-unit-rates/</x:v>
      </x:c>
    </x:row>
    <x:row r="1217" ht="21" customHeight="1">
      <x:c r="A1217" s="24" t="n">
        <x:v>46173.854166666664</x:v>
      </x:c>
      <x:c r="B1217" s="6" t="n">
        <x:v>0.2394</x:v>
      </x:c>
      <x:c r="C1217" s="6" t="n">
        <x:v>0.13570000000000002</x:v>
      </x:c>
      <x:c r="D1217" s="6" t="n">
        <x:f>B1217</x:f>
        <x:v>0.2394</x:v>
      </x:c>
      <x:c r="E1217" s="1" t="n">
        <x:v>1.05</x:v>
      </x:c>
      <x:c r="F1217" s="1" t="str">
        <x:v>https://api.octopus.energy/v1/products/AGILE-24-10-01/electricity-tariffs/E-1R-AGILE-24-10-01-G/standard-unit-rates/</x:v>
      </x:c>
    </x:row>
    <x:row r="1218" ht="21" customHeight="1">
      <x:c r="A1218" s="24" t="n">
        <x:v>46173.875</x:v>
      </x:c>
      <x:c r="B1218" s="6" t="n">
        <x:v>0.2409</x:v>
      </x:c>
      <x:c r="C1218" s="6" t="n">
        <x:v>0.1364</x:v>
      </x:c>
      <x:c r="D1218" s="6" t="n">
        <x:f>B1218</x:f>
        <x:v>0.2409</x:v>
      </x:c>
      <x:c r="E1218" s="1" t="n">
        <x:v>1.05</x:v>
      </x:c>
      <x:c r="F1218" s="1" t="str">
        <x:v>https://api.octopus.energy/v1/products/AGILE-24-10-01/electricity-tariffs/E-1R-AGILE-24-10-01-G/standard-unit-rates/</x:v>
      </x:c>
    </x:row>
    <x:row r="1219" ht="21" customHeight="1">
      <x:c r="A1219" s="24" t="n">
        <x:v>46173.895833333336</x:v>
      </x:c>
      <x:c r="B1219" s="6" t="n">
        <x:v>0.2408</x:v>
      </x:c>
      <x:c r="C1219" s="6" t="n">
        <x:v>0.1364</x:v>
      </x:c>
      <x:c r="D1219" s="6" t="n">
        <x:f>B1219</x:f>
        <x:v>0.2408</x:v>
      </x:c>
      <x:c r="E1219" s="1" t="n">
        <x:v>1.05</x:v>
      </x:c>
      <x:c r="F1219" s="1" t="str">
        <x:v>https://api.octopus.energy/v1/products/AGILE-24-10-01/electricity-tariffs/E-1R-AGILE-24-10-01-G/standard-unit-rates/</x:v>
      </x:c>
    </x:row>
    <x:row r="1220" ht="21" customHeight="1">
      <x:c r="A1220" s="24" t="n">
        <x:v>46173.916666666664</x:v>
      </x:c>
      <x:c r="B1220" s="6" t="n">
        <x:v>0.222</x:v>
      </x:c>
      <x:c r="C1220" s="6" t="n">
        <x:v>0.1277</x:v>
      </x:c>
      <x:c r="D1220" s="6" t="n">
        <x:f>B1220</x:f>
        <x:v>0.222</x:v>
      </x:c>
      <x:c r="E1220" s="1" t="n">
        <x:v>1.05</x:v>
      </x:c>
      <x:c r="F1220" s="1" t="str">
        <x:v>https://api.octopus.energy/v1/products/AGILE-24-10-01/electricity-tariffs/E-1R-AGILE-24-10-01-G/standard-unit-rates/</x:v>
      </x:c>
    </x:row>
    <x:row r="1221" ht="21" customHeight="1">
      <x:c r="A1221" s="24" t="n">
        <x:v>46173.9375</x:v>
      </x:c>
      <x:c r="B1221" s="6" t="n">
        <x:v>0.22519999999999998</x:v>
      </x:c>
      <x:c r="C1221" s="6" t="n">
        <x:v>0.1292</x:v>
      </x:c>
      <x:c r="D1221" s="6" t="n">
        <x:f>B1221</x:f>
        <x:v>0.22519999999999998</x:v>
      </x:c>
      <x:c r="E1221" s="1" t="n">
        <x:v>1.05</x:v>
      </x:c>
      <x:c r="F1221" s="1" t="str">
        <x:v>https://api.octopus.energy/v1/products/AGILE-24-10-01/electricity-tariffs/E-1R-AGILE-24-10-01-G/standard-unit-rates/</x:v>
      </x:c>
    </x:row>
    <x:row r="1222" ht="21" customHeight="1">
      <x:c r="A1222" s="24" t="n">
        <x:v>46174</x:v>
      </x:c>
      <x:c r="B1222" s="6" t="n">
        <x:v>0.2354</x:v>
      </x:c>
      <x:c r="C1222" s="6" t="n">
        <x:v>0.13390000000000002</x:v>
      </x:c>
      <x:c r="D1222" s="6" t="n">
        <x:f>B1222</x:f>
        <x:v>0.2354</x:v>
      </x:c>
      <x:c r="E1222" s="1" t="n">
        <x:v>1.05</x:v>
      </x:c>
      <x:c r="F1222" s="1" t="str">
        <x:v>https://api.octopus.energy/v1/products/AGILE-24-10-01/electricity-tariffs/E-1R-AGILE-24-10-01-G/standard-unit-rates/</x:v>
      </x:c>
    </x:row>
    <x:row r="1223" ht="21" customHeight="1">
      <x:c r="A1223" s="24" t="n">
        <x:v>46173.979166666664</x:v>
      </x:c>
      <x:c r="B1223" s="6" t="n">
        <x:v>0.21710000000000002</x:v>
      </x:c>
      <x:c r="C1223" s="6" t="n">
        <x:v>0.1255</x:v>
      </x:c>
      <x:c r="D1223" s="6" t="n">
        <x:f>B1223</x:f>
        <x:v>0.21710000000000002</x:v>
      </x:c>
      <x:c r="E1223" s="1" t="n">
        <x:v>1.05</x:v>
      </x:c>
      <x:c r="F1223" s="1" t="str">
        <x:v>https://api.octopus.energy/v1/products/AGILE-24-10-01/electricity-tariffs/E-1R-AGILE-24-10-01-G/standard-unit-rates/</x:v>
      </x:c>
    </x:row>
    <x:row r="1224" ht="21" customHeight="1">
      <x:c r="A1224" s="24" t="n">
        <x:v>46174</x:v>
      </x:c>
      <x:c r="B1224" s="6" t="n">
        <x:v>0.2057</x:v>
      </x:c>
      <x:c r="C1224" s="6" t="n">
        <x:v>0.12029999999999999</x:v>
      </x:c>
      <x:c r="D1224" s="6" t="n">
        <x:f>B1224</x:f>
        <x:v>0.2057</x:v>
      </x:c>
      <x:c r="E1224" s="1" t="n">
        <x:v>1.05</x:v>
      </x:c>
      <x:c r="F1224" s="1" t="str">
        <x:v>https://api.octopus.energy/v1/products/AGILE-24-10-01/electricity-tariffs/E-1R-AGILE-24-10-01-G/standard-unit-rates/</x:v>
      </x:c>
    </x:row>
    <x:row r="1225" ht="21" customHeight="1">
      <x:c r="A1225" s="24" t="n">
        <x:v>46174.020833333336</x:v>
      </x:c>
      <x:c r="B1225" s="6" t="n">
        <x:v>0.19390000000000002</x:v>
      </x:c>
      <x:c r="C1225" s="6" t="n">
        <x:v>0.1149</x:v>
      </x:c>
      <x:c r="D1225" s="6" t="n">
        <x:f>B1225</x:f>
        <x:v>0.19390000000000002</x:v>
      </x:c>
      <x:c r="E1225" s="1" t="n">
        <x:v>1.05</x:v>
      </x:c>
      <x:c r="F1225" s="1" t="str">
        <x:v>https://api.octopus.energy/v1/products/AGILE-24-10-01/electricity-tariffs/E-1R-AGILE-24-10-01-G/standard-unit-rates/</x:v>
      </x:c>
    </x:row>
    <x:row r="1226" ht="21" customHeight="1">
      <x:c r="A1226" s="24" t="n">
        <x:v>46174.041666666664</x:v>
      </x:c>
      <x:c r="B1226" s="6" t="n">
        <x:v>0.1885</x:v>
      </x:c>
      <x:c r="C1226" s="6" t="n">
        <x:v>0.1124</x:v>
      </x:c>
      <x:c r="D1226" s="6" t="n">
        <x:f>B1226</x:f>
        <x:v>0.1885</x:v>
      </x:c>
      <x:c r="E1226" s="1" t="n">
        <x:v>1.05</x:v>
      </x:c>
      <x:c r="F1226" s="1" t="str">
        <x:v>https://api.octopus.energy/v1/products/AGILE-24-10-01/electricity-tariffs/E-1R-AGILE-24-10-01-G/standard-unit-rates/</x:v>
      </x:c>
    </x:row>
    <x:row r="1227" ht="21" customHeight="1">
      <x:c r="A1227" s="24" t="n">
        <x:v>46174.0625</x:v>
      </x:c>
      <x:c r="B1227" s="6" t="n">
        <x:v>0.19690000000000002</x:v>
      </x:c>
      <x:c r="C1227" s="6" t="n">
        <x:v>0.11630000000000001</x:v>
      </x:c>
      <x:c r="D1227" s="6" t="n">
        <x:f>B1227</x:f>
        <x:v>0.19690000000000002</x:v>
      </x:c>
      <x:c r="E1227" s="1" t="n">
        <x:v>1.05</x:v>
      </x:c>
      <x:c r="F1227" s="1" t="str">
        <x:v>https://api.octopus.energy/v1/products/AGILE-24-10-01/electricity-tariffs/E-1R-AGILE-24-10-01-G/standard-unit-rates/</x:v>
      </x:c>
    </x:row>
    <x:row r="1228" ht="21" customHeight="1">
      <x:c r="A1228" s="24" t="n">
        <x:v>46174.083333333336</x:v>
      </x:c>
      <x:c r="B1228" s="6" t="n">
        <x:v>0.1885</x:v>
      </x:c>
      <x:c r="C1228" s="6" t="n">
        <x:v>0.1124</x:v>
      </x:c>
      <x:c r="D1228" s="6" t="n">
        <x:f>B1228</x:f>
        <x:v>0.1885</x:v>
      </x:c>
      <x:c r="E1228" s="1" t="n">
        <x:v>1.05</x:v>
      </x:c>
      <x:c r="F1228" s="1" t="str">
        <x:v>https://api.octopus.energy/v1/products/AGILE-24-10-01/electricity-tariffs/E-1R-AGILE-24-10-01-G/standard-unit-rates/</x:v>
      </x:c>
    </x:row>
    <x:row r="1229" ht="21" customHeight="1">
      <x:c r="A1229" s="24" t="n">
        <x:v>46174.104166666664</x:v>
      </x:c>
      <x:c r="B1229" s="6" t="n">
        <x:v>0.18460000000000001</x:v>
      </x:c>
      <x:c r="C1229" s="6" t="n">
        <x:v>0.1106</x:v>
      </x:c>
      <x:c r="D1229" s="6" t="n">
        <x:f>B1229</x:f>
        <x:v>0.18460000000000001</x:v>
      </x:c>
      <x:c r="E1229" s="1" t="n">
        <x:v>1.05</x:v>
      </x:c>
      <x:c r="F1229" s="1" t="str">
        <x:v>https://api.octopus.energy/v1/products/AGILE-24-10-01/electricity-tariffs/E-1R-AGILE-24-10-01-G/standard-unit-rates/</x:v>
      </x:c>
    </x:row>
    <x:row r="1230" ht="21" customHeight="1">
      <x:c r="A1230" s="24" t="n">
        <x:v>46174.125</x:v>
      </x:c>
      <x:c r="B1230" s="6" t="n">
        <x:v>0.185</x:v>
      </x:c>
      <x:c r="C1230" s="6" t="n">
        <x:v>0.1108</x:v>
      </x:c>
      <x:c r="D1230" s="6" t="n">
        <x:f>B1230</x:f>
        <x:v>0.185</x:v>
      </x:c>
      <x:c r="E1230" s="1" t="n">
        <x:v>1.05</x:v>
      </x:c>
      <x:c r="F1230" s="1" t="str">
        <x:v>https://api.octopus.energy/v1/products/AGILE-24-10-01/electricity-tariffs/E-1R-AGILE-24-10-01-G/standard-unit-rates/</x:v>
      </x:c>
    </x:row>
    <x:row r="1231" ht="21" customHeight="1">
      <x:c r="A1231" s="24" t="n">
        <x:v>46174.145833333336</x:v>
      </x:c>
      <x:c r="B1231" s="6" t="n">
        <x:v>0.1838</x:v>
      </x:c>
      <x:c r="C1231" s="6" t="n">
        <x:v>0.1103</x:v>
      </x:c>
      <x:c r="D1231" s="6" t="n">
        <x:f>B1231</x:f>
        <x:v>0.1838</x:v>
      </x:c>
      <x:c r="E1231" s="1" t="n">
        <x:v>1.05</x:v>
      </x:c>
      <x:c r="F1231" s="1" t="str">
        <x:v>https://api.octopus.energy/v1/products/AGILE-24-10-01/electricity-tariffs/E-1R-AGILE-24-10-01-G/standard-unit-rates/</x:v>
      </x:c>
    </x:row>
    <x:row r="1232" ht="21" customHeight="1">
      <x:c r="A1232" s="24" t="n">
        <x:v>46174.166666666664</x:v>
      </x:c>
      <x:c r="B1232" s="6" t="n">
        <x:v>0.19210000000000002</x:v>
      </x:c>
      <x:c r="C1232" s="6" t="n">
        <x:v>0.11410000000000001</x:v>
      </x:c>
      <x:c r="D1232" s="6" t="n">
        <x:f>B1232</x:f>
        <x:v>0.19210000000000002</x:v>
      </x:c>
      <x:c r="E1232" s="1" t="n">
        <x:v>1.05</x:v>
      </x:c>
      <x:c r="F1232" s="1" t="str">
        <x:v>https://api.octopus.energy/v1/products/AGILE-24-10-01/electricity-tariffs/E-1R-AGILE-24-10-01-G/standard-unit-rates/</x:v>
      </x:c>
    </x:row>
    <x:row r="1233" ht="21" customHeight="1">
      <x:c r="A1233" s="24" t="n">
        <x:v>46174.1875</x:v>
      </x:c>
      <x:c r="B1233" s="6" t="n">
        <x:v>0.1905</x:v>
      </x:c>
      <x:c r="C1233" s="6" t="n">
        <x:v>0.1133</x:v>
      </x:c>
      <x:c r="D1233" s="6" t="n">
        <x:f>B1233</x:f>
        <x:v>0.1905</x:v>
      </x:c>
      <x:c r="E1233" s="1" t="n">
        <x:v>1.05</x:v>
      </x:c>
      <x:c r="F1233" s="1" t="str">
        <x:v>https://api.octopus.energy/v1/products/AGILE-24-10-01/electricity-tariffs/E-1R-AGILE-24-10-01-G/standard-unit-rates/</x:v>
      </x:c>
    </x:row>
    <x:row r="1234" ht="21" customHeight="1">
      <x:c r="A1234" s="24" t="n">
        <x:v>46174.208333333336</x:v>
      </x:c>
      <x:c r="B1234" s="6" t="n">
        <x:v>0.2018</x:v>
      </x:c>
      <x:c r="C1234" s="6" t="n">
        <x:v>0.1185</x:v>
      </x:c>
      <x:c r="D1234" s="6" t="n">
        <x:f>B1234</x:f>
        <x:v>0.2018</x:v>
      </x:c>
      <x:c r="E1234" s="1" t="n">
        <x:v>1.05</x:v>
      </x:c>
      <x:c r="F1234" s="1" t="str">
        <x:v>https://api.octopus.energy/v1/products/AGILE-24-10-01/electricity-tariffs/E-1R-AGILE-24-10-01-G/standard-unit-rates/</x:v>
      </x:c>
    </x:row>
    <x:row r="1235" ht="21" customHeight="1">
      <x:c r="A1235" s="24" t="n">
        <x:v>46174.229166666664</x:v>
      </x:c>
      <x:c r="B1235" s="6" t="n">
        <x:v>0.19760000000000003</x:v>
      </x:c>
      <x:c r="C1235" s="6" t="n">
        <x:v>0.1166</x:v>
      </x:c>
      <x:c r="D1235" s="6" t="n">
        <x:f>B1235</x:f>
        <x:v>0.19760000000000003</x:v>
      </x:c>
      <x:c r="E1235" s="1" t="n">
        <x:v>1.05</x:v>
      </x:c>
      <x:c r="F1235" s="1" t="str">
        <x:v>https://api.octopus.energy/v1/products/AGILE-24-10-01/electricity-tariffs/E-1R-AGILE-24-10-01-G/standard-unit-rates/</x:v>
      </x:c>
    </x:row>
    <x:row r="1236" ht="21" customHeight="1">
      <x:c r="A1236" s="24" t="n">
        <x:v>46174.25</x:v>
      </x:c>
      <x:c r="B1236" s="6" t="n">
        <x:v>0.2228</x:v>
      </x:c>
      <x:c r="C1236" s="6" t="n">
        <x:v>0.1281</x:v>
      </x:c>
      <x:c r="D1236" s="6" t="n">
        <x:f>B1236</x:f>
        <x:v>0.2228</x:v>
      </x:c>
      <x:c r="E1236" s="1" t="n">
        <x:v>1.05</x:v>
      </x:c>
      <x:c r="F1236" s="1" t="str">
        <x:v>https://api.octopus.energy/v1/products/AGILE-24-10-01/electricity-tariffs/E-1R-AGILE-24-10-01-G/standard-unit-rates/</x:v>
      </x:c>
    </x:row>
    <x:row r="1237" ht="21" customHeight="1">
      <x:c r="A1237" s="24" t="n">
        <x:v>46174.270833333336</x:v>
      </x:c>
      <x:c r="B1237" s="6" t="n">
        <x:v>0.24100000000000002</x:v>
      </x:c>
      <x:c r="C1237" s="6" t="n">
        <x:v>0.1364</x:v>
      </x:c>
      <x:c r="D1237" s="6" t="n">
        <x:f>B1237</x:f>
        <x:v>0.24100000000000002</x:v>
      </x:c>
      <x:c r="E1237" s="1" t="n">
        <x:v>1.05</x:v>
      </x:c>
      <x:c r="F1237" s="1" t="str">
        <x:v>https://api.octopus.energy/v1/products/AGILE-24-10-01/electricity-tariffs/E-1R-AGILE-24-10-01-G/standard-unit-rates/</x:v>
      </x:c>
    </x:row>
    <x:row r="1238" ht="21" customHeight="1">
      <x:c r="A1238" s="24" t="n">
        <x:v>46174.291666666664</x:v>
      </x:c>
      <x:c r="B1238" s="6" t="n">
        <x:v>0.2228</x:v>
      </x:c>
      <x:c r="C1238" s="6" t="n">
        <x:v>0.1281</x:v>
      </x:c>
      <x:c r="D1238" s="6" t="n">
        <x:f>B1238</x:f>
        <x:v>0.2228</x:v>
      </x:c>
      <x:c r="E1238" s="1" t="n">
        <x:v>1.05</x:v>
      </x:c>
      <x:c r="F1238" s="1" t="str">
        <x:v>https://api.octopus.energy/v1/products/AGILE-24-10-01/electricity-tariffs/E-1R-AGILE-24-10-01-G/standard-unit-rates/</x:v>
      </x:c>
    </x:row>
    <x:row r="1239" ht="21" customHeight="1">
      <x:c r="A1239" s="24" t="n">
        <x:v>46174.3125</x:v>
      </x:c>
      <x:c r="B1239" s="6" t="n">
        <x:v>0.2288</x:v>
      </x:c>
      <x:c r="C1239" s="6" t="n">
        <x:v>0.1309</x:v>
      </x:c>
      <x:c r="D1239" s="6" t="n">
        <x:f>B1239</x:f>
        <x:v>0.2288</x:v>
      </x:c>
      <x:c r="E1239" s="1" t="n">
        <x:v>1.05</x:v>
      </x:c>
      <x:c r="F1239" s="1" t="str">
        <x:v>https://api.octopus.energy/v1/products/AGILE-24-10-01/electricity-tariffs/E-1R-AGILE-24-10-01-G/standard-unit-rates/</x:v>
      </x:c>
    </x:row>
    <x:row r="1240" ht="21" customHeight="1">
      <x:c r="A1240" s="24" t="n">
        <x:v>46174.333333333336</x:v>
      </x:c>
      <x:c r="B1240" s="6" t="n">
        <x:v>0.198</x:v>
      </x:c>
      <x:c r="C1240" s="6" t="n">
        <x:v>0.1168</x:v>
      </x:c>
      <x:c r="D1240" s="6" t="n">
        <x:f>B1240</x:f>
        <x:v>0.198</x:v>
      </x:c>
      <x:c r="E1240" s="1" t="n">
        <x:v>1.05</x:v>
      </x:c>
      <x:c r="F1240" s="1" t="str">
        <x:v>https://api.octopus.energy/v1/products/AGILE-24-10-01/electricity-tariffs/E-1R-AGILE-24-10-01-G/standard-unit-rates/</x:v>
      </x:c>
    </x:row>
    <x:row r="1241" ht="21" customHeight="1">
      <x:c r="A1241" s="24" t="n">
        <x:v>46174.354166666664</x:v>
      </x:c>
      <x:c r="B1241" s="6" t="n">
        <x:v>0.18969999999999998</x:v>
      </x:c>
      <x:c r="C1241" s="6" t="n">
        <x:v>0.113</x:v>
      </x:c>
      <x:c r="D1241" s="6" t="n">
        <x:f>B1241</x:f>
        <x:v>0.18969999999999998</x:v>
      </x:c>
      <x:c r="E1241" s="1" t="n">
        <x:v>1.05</x:v>
      </x:c>
      <x:c r="F1241" s="1" t="str">
        <x:v>https://api.octopus.energy/v1/products/AGILE-24-10-01/electricity-tariffs/E-1R-AGILE-24-10-01-G/standard-unit-rates/</x:v>
      </x:c>
    </x:row>
    <x:row r="1242" ht="21" customHeight="1">
      <x:c r="A1242" s="24" t="n">
        <x:v>46174.375</x:v>
      </x:c>
      <x:c r="B1242" s="6" t="n">
        <x:v>0.1787</x:v>
      </x:c>
      <x:c r="C1242" s="6" t="n">
        <x:v>0.10800000000000001</x:v>
      </x:c>
      <x:c r="D1242" s="6" t="n">
        <x:f>B1242</x:f>
        <x:v>0.1787</x:v>
      </x:c>
      <x:c r="E1242" s="1" t="n">
        <x:v>1.05</x:v>
      </x:c>
      <x:c r="F1242" s="1" t="str">
        <x:v>https://api.octopus.energy/v1/products/AGILE-24-10-01/electricity-tariffs/E-1R-AGILE-24-10-01-G/standard-unit-rates/</x:v>
      </x:c>
    </x:row>
    <x:row r="1243" ht="21" customHeight="1">
      <x:c r="A1243" s="24" t="n">
        <x:v>46174.395833333336</x:v>
      </x:c>
      <x:c r="B1243" s="6" t="n">
        <x:v>0.1697</x:v>
      </x:c>
      <x:c r="C1243" s="6" t="n">
        <x:v>0.1038</x:v>
      </x:c>
      <x:c r="D1243" s="6" t="n">
        <x:f>B1243</x:f>
        <x:v>0.1697</x:v>
      </x:c>
      <x:c r="E1243" s="1" t="n">
        <x:v>1.05</x:v>
      </x:c>
      <x:c r="F1243" s="1" t="str">
        <x:v>https://api.octopus.energy/v1/products/AGILE-24-10-01/electricity-tariffs/E-1R-AGILE-24-10-01-G/standard-unit-rates/</x:v>
      </x:c>
    </x:row>
    <x:row r="1244" ht="21" customHeight="1">
      <x:c r="A1244" s="24" t="n">
        <x:v>46174.416666666664</x:v>
      </x:c>
      <x:c r="B1244" s="6" t="n">
        <x:v>0.17809999999999998</x:v>
      </x:c>
      <x:c r="C1244" s="6" t="n">
        <x:v>0.10769999999999999</x:v>
      </x:c>
      <x:c r="D1244" s="6" t="n">
        <x:f>B1244</x:f>
        <x:v>0.17809999999999998</x:v>
      </x:c>
      <x:c r="E1244" s="1" t="n">
        <x:v>1.05</x:v>
      </x:c>
      <x:c r="F1244" s="1" t="str">
        <x:v>https://api.octopus.energy/v1/products/AGILE-24-10-01/electricity-tariffs/E-1R-AGILE-24-10-01-G/standard-unit-rates/</x:v>
      </x:c>
    </x:row>
    <x:row r="1245" ht="21" customHeight="1">
      <x:c r="A1245" s="24" t="n">
        <x:v>46174.4375</x:v>
      </x:c>
      <x:c r="B1245" s="6" t="n">
        <x:v>0.1728</x:v>
      </x:c>
      <x:c r="C1245" s="6" t="n">
        <x:v>0.10529999999999999</x:v>
      </x:c>
      <x:c r="D1245" s="6" t="n">
        <x:f>B1245</x:f>
        <x:v>0.1728</x:v>
      </x:c>
      <x:c r="E1245" s="1" t="n">
        <x:v>1.05</x:v>
      </x:c>
      <x:c r="F1245" s="1" t="str">
        <x:v>https://api.octopus.energy/v1/products/AGILE-24-10-01/electricity-tariffs/E-1R-AGILE-24-10-01-G/standard-unit-rates/</x:v>
      </x:c>
    </x:row>
    <x:row r="1246" ht="21" customHeight="1">
      <x:c r="A1246" s="24" t="n">
        <x:v>46174.458333333336</x:v>
      </x:c>
      <x:c r="B1246" s="6" t="n">
        <x:v>0.1728</x:v>
      </x:c>
      <x:c r="C1246" s="6" t="n">
        <x:v>0.10529999999999999</x:v>
      </x:c>
      <x:c r="D1246" s="6" t="n">
        <x:f>B1246</x:f>
        <x:v>0.1728</x:v>
      </x:c>
      <x:c r="E1246" s="1" t="n">
        <x:v>1.05</x:v>
      </x:c>
      <x:c r="F1246" s="1" t="str">
        <x:v>https://api.octopus.energy/v1/products/AGILE-24-10-01/electricity-tariffs/E-1R-AGILE-24-10-01-G/standard-unit-rates/</x:v>
      </x:c>
    </x:row>
    <x:row r="1247" ht="21" customHeight="1">
      <x:c r="A1247" s="24" t="n">
        <x:v>46174.479166666664</x:v>
      </x:c>
      <x:c r="B1247" s="6" t="n">
        <x:v>0.16399999999999998</x:v>
      </x:c>
      <x:c r="C1247" s="6" t="n">
        <x:v>0.1012</x:v>
      </x:c>
      <x:c r="D1247" s="6" t="n">
        <x:f>B1247</x:f>
        <x:v>0.16399999999999998</x:v>
      </x:c>
      <x:c r="E1247" s="1" t="n">
        <x:v>1.05</x:v>
      </x:c>
      <x:c r="F1247" s="1" t="str">
        <x:v>https://api.octopus.energy/v1/products/AGILE-24-10-01/electricity-tariffs/E-1R-AGILE-24-10-01-G/standard-unit-rates/</x:v>
      </x:c>
    </x:row>
    <x:row r="1248" ht="21" customHeight="1">
      <x:c r="A1248" s="24" t="n">
        <x:v>46174.5</x:v>
      </x:c>
      <x:c r="B1248" s="6" t="n">
        <x:v>0.1643</x:v>
      </x:c>
      <x:c r="C1248" s="6" t="n">
        <x:v>0.1014</x:v>
      </x:c>
      <x:c r="D1248" s="6" t="n">
        <x:f>B1248</x:f>
        <x:v>0.1643</x:v>
      </x:c>
      <x:c r="E1248" s="1" t="n">
        <x:v>1.05</x:v>
      </x:c>
      <x:c r="F1248" s="1" t="str">
        <x:v>https://api.octopus.energy/v1/products/AGILE-24-10-01/electricity-tariffs/E-1R-AGILE-24-10-01-G/standard-unit-rates/</x:v>
      </x:c>
    </x:row>
    <x:row r="1249" ht="21" customHeight="1">
      <x:c r="A1249" s="24" t="n">
        <x:v>46174.520833333336</x:v>
      </x:c>
      <x:c r="B1249" s="6" t="n">
        <x:v>0.1617</x:v>
      </x:c>
      <x:c r="C1249" s="6" t="n">
        <x:v>0.1002</x:v>
      </x:c>
      <x:c r="D1249" s="6" t="n">
        <x:f>B1249</x:f>
        <x:v>0.1617</x:v>
      </x:c>
      <x:c r="E1249" s="1" t="n">
        <x:v>1.05</x:v>
      </x:c>
      <x:c r="F1249" s="1" t="str">
        <x:v>https://api.octopus.energy/v1/products/AGILE-24-10-01/electricity-tariffs/E-1R-AGILE-24-10-01-G/standard-unit-rates/</x:v>
      </x:c>
    </x:row>
    <x:row r="1250" ht="21" customHeight="1">
      <x:c r="A1250" s="24" t="n">
        <x:v>46174.541666666664</x:v>
      </x:c>
      <x:c r="B1250" s="6" t="n">
        <x:v>0.16519999999999999</x:v>
      </x:c>
      <x:c r="C1250" s="6" t="n">
        <x:v>0.1018</x:v>
      </x:c>
      <x:c r="D1250" s="6" t="n">
        <x:f>B1250</x:f>
        <x:v>0.16519999999999999</x:v>
      </x:c>
      <x:c r="E1250" s="1" t="n">
        <x:v>1.05</x:v>
      </x:c>
      <x:c r="F1250" s="1" t="str">
        <x:v>https://api.octopus.energy/v1/products/AGILE-24-10-01/electricity-tariffs/E-1R-AGILE-24-10-01-G/standard-unit-rates/</x:v>
      </x:c>
    </x:row>
    <x:row r="1251" ht="21" customHeight="1">
      <x:c r="A1251" s="24" t="n">
        <x:v>46174.5625</x:v>
      </x:c>
      <x:c r="B1251" s="6" t="n">
        <x:v>0.1623</x:v>
      </x:c>
      <x:c r="C1251" s="6" t="n">
        <x:v>0.1005</x:v>
      </x:c>
      <x:c r="D1251" s="6" t="n">
        <x:f>B1251</x:f>
        <x:v>0.1623</x:v>
      </x:c>
      <x:c r="E1251" s="1" t="n">
        <x:v>1.05</x:v>
      </x:c>
      <x:c r="F1251" s="1" t="str">
        <x:v>https://api.octopus.energy/v1/products/AGILE-24-10-01/electricity-tariffs/E-1R-AGILE-24-10-01-G/standard-unit-rates/</x:v>
      </x:c>
    </x:row>
    <x:row r="1252" ht="21" customHeight="1">
      <x:c r="A1252" s="24" t="n">
        <x:v>46174.583333333336</x:v>
      </x:c>
      <x:c r="B1252" s="6" t="n">
        <x:v>0.1629</x:v>
      </x:c>
      <x:c r="C1252" s="6" t="n">
        <x:v>0.1007</x:v>
      </x:c>
      <x:c r="D1252" s="6" t="n">
        <x:f>B1252</x:f>
        <x:v>0.1629</x:v>
      </x:c>
      <x:c r="E1252" s="1" t="n">
        <x:v>1.05</x:v>
      </x:c>
      <x:c r="F1252" s="1" t="str">
        <x:v>https://api.octopus.energy/v1/products/AGILE-24-10-01/electricity-tariffs/E-1R-AGILE-24-10-01-G/standard-unit-rates/</x:v>
      </x:c>
    </x:row>
    <x:row r="1253" ht="21" customHeight="1">
      <x:c r="A1253" s="24" t="n">
        <x:v>46174.604166666664</x:v>
      </x:c>
      <x:c r="B1253" s="6" t="n">
        <x:v>0.1598</x:v>
      </x:c>
      <x:c r="C1253" s="6" t="n">
        <x:v>0.0993</x:v>
      </x:c>
      <x:c r="D1253" s="6" t="n">
        <x:f>B1253</x:f>
        <x:v>0.1598</x:v>
      </x:c>
      <x:c r="E1253" s="1" t="n">
        <x:v>1.05</x:v>
      </x:c>
      <x:c r="F1253" s="1" t="str">
        <x:v>https://api.octopus.energy/v1/products/AGILE-24-10-01/electricity-tariffs/E-1R-AGILE-24-10-01-G/standard-unit-rates/</x:v>
      </x:c>
    </x:row>
    <x:row r="1254" ht="21" customHeight="1">
      <x:c r="A1254" s="24" t="n">
        <x:v>46174.625</x:v>
      </x:c>
      <x:c r="B1254" s="6" t="n">
        <x:v>0.172</x:v>
      </x:c>
      <x:c r="C1254" s="6" t="n">
        <x:v>0.10490000000000001</x:v>
      </x:c>
      <x:c r="D1254" s="6" t="n">
        <x:f>B1254</x:f>
        <x:v>0.172</x:v>
      </x:c>
      <x:c r="E1254" s="1" t="n">
        <x:v>1.05</x:v>
      </x:c>
      <x:c r="F1254" s="1" t="str">
        <x:v>https://api.octopus.energy/v1/products/AGILE-24-10-01/electricity-tariffs/E-1R-AGILE-24-10-01-G/standard-unit-rates/</x:v>
      </x:c>
    </x:row>
    <x:row r="1255" ht="21" customHeight="1">
      <x:c r="A1255" s="24" t="n">
        <x:v>46174.645833333336</x:v>
      </x:c>
      <x:c r="B1255" s="6" t="n">
        <x:v>0.1728</x:v>
      </x:c>
      <x:c r="C1255" s="6" t="n">
        <x:v>0.10529999999999999</x:v>
      </x:c>
      <x:c r="D1255" s="6" t="n">
        <x:f>B1255</x:f>
        <x:v>0.1728</x:v>
      </x:c>
      <x:c r="E1255" s="1" t="n">
        <x:v>1.05</x:v>
      </x:c>
      <x:c r="F1255" s="1" t="str">
        <x:v>https://api.octopus.energy/v1/products/AGILE-24-10-01/electricity-tariffs/E-1R-AGILE-24-10-01-G/standard-unit-rates/</x:v>
      </x:c>
    </x:row>
    <x:row r="1256" ht="21" customHeight="1">
      <x:c r="A1256" s="24" t="n">
        <x:v>46174.666666666664</x:v>
      </x:c>
      <x:c r="B1256" s="6" t="n">
        <x:v>0.322</x:v>
      </x:c>
      <x:c r="C1256" s="6" t="n">
        <x:v>0.1775</x:v>
      </x:c>
      <x:c r="D1256" s="6" t="n">
        <x:f>B1256</x:f>
        <x:v>0.322</x:v>
      </x:c>
      <x:c r="E1256" s="1" t="n">
        <x:v>1.05</x:v>
      </x:c>
      <x:c r="F1256" s="1" t="str">
        <x:v>https://api.octopus.energy/v1/products/AGILE-24-10-01/electricity-tariffs/E-1R-AGILE-24-10-01-G/standard-unit-rates/</x:v>
      </x:c>
    </x:row>
    <x:row r="1257" ht="21" customHeight="1">
      <x:c r="A1257" s="24" t="n">
        <x:v>46174.6875</x:v>
      </x:c>
      <x:c r="B1257" s="6" t="n">
        <x:v>0.3268</x:v>
      </x:c>
      <x:c r="C1257" s="6" t="n">
        <x:v>0.1797</x:v>
      </x:c>
      <x:c r="D1257" s="6" t="n">
        <x:f>B1257</x:f>
        <x:v>0.3268</x:v>
      </x:c>
      <x:c r="E1257" s="1" t="n">
        <x:v>1.05</x:v>
      </x:c>
      <x:c r="F1257" s="1" t="str">
        <x:v>https://api.octopus.energy/v1/products/AGILE-24-10-01/electricity-tariffs/E-1R-AGILE-24-10-01-G/standard-unit-rates/</x:v>
      </x:c>
    </x:row>
    <x:row r="1258" ht="21" customHeight="1">
      <x:c r="A1258" s="24" t="n">
        <x:v>46174.708333333336</x:v>
      </x:c>
      <x:c r="B1258" s="6" t="n">
        <x:v>0.35259999999999997</x:v>
      </x:c>
      <x:c r="C1258" s="6" t="n">
        <x:v>0.19149999999999998</x:v>
      </x:c>
      <x:c r="D1258" s="6" t="n">
        <x:f>B1258</x:f>
        <x:v>0.35259999999999997</x:v>
      </x:c>
      <x:c r="E1258" s="1" t="n">
        <x:v>1.05</x:v>
      </x:c>
      <x:c r="F1258" s="1" t="str">
        <x:v>https://api.octopus.energy/v1/products/AGILE-24-10-01/electricity-tariffs/E-1R-AGILE-24-10-01-G/standard-unit-rates/</x:v>
      </x:c>
    </x:row>
    <x:row r="1259" ht="21" customHeight="1">
      <x:c r="A1259" s="24" t="n">
        <x:v>46174.729166666664</x:v>
      </x:c>
      <x:c r="B1259" s="6" t="n">
        <x:v>0.36210000000000003</x:v>
      </x:c>
      <x:c r="C1259" s="6" t="n">
        <x:v>0.1959</x:v>
      </x:c>
      <x:c r="D1259" s="6" t="n">
        <x:f>B1259</x:f>
        <x:v>0.36210000000000003</x:v>
      </x:c>
      <x:c r="E1259" s="1" t="n">
        <x:v>1.05</x:v>
      </x:c>
      <x:c r="F1259" s="1" t="str">
        <x:v>https://api.octopus.energy/v1/products/AGILE-24-10-01/electricity-tariffs/E-1R-AGILE-24-10-01-G/standard-unit-rates/</x:v>
      </x:c>
    </x:row>
    <x:row r="1260" ht="21" customHeight="1">
      <x:c r="A1260" s="24" t="n">
        <x:v>46174.75</x:v>
      </x:c>
      <x:c r="B1260" s="6" t="n">
        <x:v>0.3743</x:v>
      </x:c>
      <x:c r="C1260" s="6" t="n">
        <x:v>0.2014</x:v>
      </x:c>
      <x:c r="D1260" s="6" t="n">
        <x:f>B1260</x:f>
        <x:v>0.3743</x:v>
      </x:c>
      <x:c r="E1260" s="1" t="n">
        <x:v>1.05</x:v>
      </x:c>
      <x:c r="F1260" s="1" t="str">
        <x:v>https://api.octopus.energy/v1/products/AGILE-24-10-01/electricity-tariffs/E-1R-AGILE-24-10-01-G/standard-unit-rates/</x:v>
      </x:c>
    </x:row>
    <x:row r="1261" ht="21" customHeight="1">
      <x:c r="A1261" s="24" t="n">
        <x:v>46174.770833333336</x:v>
      </x:c>
      <x:c r="B1261" s="6" t="n">
        <x:v>0.3743</x:v>
      </x:c>
      <x:c r="C1261" s="6" t="n">
        <x:v>0.2014</x:v>
      </x:c>
      <x:c r="D1261" s="6" t="n">
        <x:f>B1261</x:f>
        <x:v>0.3743</x:v>
      </x:c>
      <x:c r="E1261" s="1" t="n">
        <x:v>1.05</x:v>
      </x:c>
      <x:c r="F1261" s="1" t="str">
        <x:v>https://api.octopus.energy/v1/products/AGILE-24-10-01/electricity-tariffs/E-1R-AGILE-24-10-01-G/standard-unit-rates/</x:v>
      </x:c>
    </x:row>
    <x:row r="1262" ht="21" customHeight="1">
      <x:c r="A1262" s="24" t="n">
        <x:v>46174.791666666664</x:v>
      </x:c>
      <x:c r="B1262" s="6" t="n">
        <x:v>0.2606</x:v>
      </x:c>
      <x:c r="C1262" s="6" t="n">
        <x:v>0.1454</x:v>
      </x:c>
      <x:c r="D1262" s="6" t="n">
        <x:f>B1262</x:f>
        <x:v>0.2606</x:v>
      </x:c>
      <x:c r="E1262" s="1" t="n">
        <x:v>1.05</x:v>
      </x:c>
      <x:c r="F1262" s="1" t="str">
        <x:v>https://api.octopus.energy/v1/products/AGILE-24-10-01/electricity-tariffs/E-1R-AGILE-24-10-01-G/standard-unit-rates/</x:v>
      </x:c>
    </x:row>
    <x:row r="1263" ht="21" customHeight="1">
      <x:c r="A1263" s="24" t="n">
        <x:v>46174.8125</x:v>
      </x:c>
      <x:c r="B1263" s="6" t="n">
        <x:v>0.2606</x:v>
      </x:c>
      <x:c r="C1263" s="6" t="n">
        <x:v>0.1454</x:v>
      </x:c>
      <x:c r="D1263" s="6" t="n">
        <x:f>B1263</x:f>
        <x:v>0.2606</x:v>
      </x:c>
      <x:c r="E1263" s="1" t="n">
        <x:v>1.05</x:v>
      </x:c>
      <x:c r="F1263" s="1" t="str">
        <x:v>https://api.octopus.energy/v1/products/AGILE-24-10-01/electricity-tariffs/E-1R-AGILE-24-10-01-G/standard-unit-rates/</x:v>
      </x:c>
    </x:row>
    <x:row r="1264" ht="21" customHeight="1">
      <x:c r="A1264" s="24" t="n">
        <x:v>46174.833333333336</x:v>
      </x:c>
      <x:c r="B1264" s="6" t="n">
        <x:v>0.26039999999999996</x:v>
      </x:c>
      <x:c r="C1264" s="6" t="n">
        <x:v>0.14529999999999998</x:v>
      </x:c>
      <x:c r="D1264" s="6" t="n">
        <x:f>B1264</x:f>
        <x:v>0.26039999999999996</x:v>
      </x:c>
      <x:c r="E1264" s="1" t="n">
        <x:v>1.05</x:v>
      </x:c>
      <x:c r="F1264" s="1" t="str">
        <x:v>https://api.octopus.energy/v1/products/AGILE-24-10-01/electricity-tariffs/E-1R-AGILE-24-10-01-G/standard-unit-rates/</x:v>
      </x:c>
    </x:row>
    <x:row r="1265" ht="21" customHeight="1">
      <x:c r="A1265" s="24" t="n">
        <x:v>46174.854166666664</x:v>
      </x:c>
      <x:c r="B1265" s="6" t="n">
        <x:v>0.2606</x:v>
      </x:c>
      <x:c r="C1265" s="6" t="n">
        <x:v>0.1454</x:v>
      </x:c>
      <x:c r="D1265" s="6" t="n">
        <x:f>B1265</x:f>
        <x:v>0.2606</x:v>
      </x:c>
      <x:c r="E1265" s="1" t="n">
        <x:v>1.05</x:v>
      </x:c>
      <x:c r="F1265" s="1" t="str">
        <x:v>https://api.octopus.energy/v1/products/AGILE-24-10-01/electricity-tariffs/E-1R-AGILE-24-10-01-G/standard-unit-rates/</x:v>
      </x:c>
    </x:row>
    <x:row r="1266" ht="21" customHeight="1">
      <x:c r="A1266" s="24" t="n">
        <x:v>46174.875</x:v>
      </x:c>
      <x:c r="B1266" s="6" t="n">
        <x:v>0.25429999999999997</x:v>
      </x:c>
      <x:c r="C1266" s="6" t="n">
        <x:v>0.1425</x:v>
      </x:c>
      <x:c r="D1266" s="6" t="n">
        <x:f>B1266</x:f>
        <x:v>0.25429999999999997</x:v>
      </x:c>
      <x:c r="E1266" s="1" t="n">
        <x:v>1.05</x:v>
      </x:c>
      <x:c r="F1266" s="1" t="str">
        <x:v>https://api.octopus.energy/v1/products/AGILE-24-10-01/electricity-tariffs/E-1R-AGILE-24-10-01-G/standard-unit-rates/</x:v>
      </x:c>
    </x:row>
    <x:row r="1267" ht="21" customHeight="1">
      <x:c r="A1267" s="24" t="n">
        <x:v>46174.895833333336</x:v>
      </x:c>
      <x:c r="B1267" s="6" t="n">
        <x:v>0.2409</x:v>
      </x:c>
      <x:c r="C1267" s="6" t="n">
        <x:v>0.1364</x:v>
      </x:c>
      <x:c r="D1267" s="6" t="n">
        <x:f>B1267</x:f>
        <x:v>0.2409</x:v>
      </x:c>
      <x:c r="E1267" s="1" t="n">
        <x:v>1.05</x:v>
      </x:c>
      <x:c r="F1267" s="1" t="str">
        <x:v>https://api.octopus.energy/v1/products/AGILE-24-10-01/electricity-tariffs/E-1R-AGILE-24-10-01-G/standard-unit-rates/</x:v>
      </x:c>
    </x:row>
    <x:row r="1268" ht="21" customHeight="1">
      <x:c r="A1268" s="24" t="n">
        <x:v>46174.916666666664</x:v>
      </x:c>
      <x:c r="B1268" s="6" t="n">
        <x:v>0.21760000000000002</x:v>
      </x:c>
      <x:c r="C1268" s="6" t="n">
        <x:v>0.1257</x:v>
      </x:c>
      <x:c r="D1268" s="6" t="n">
        <x:f>B1268</x:f>
        <x:v>0.21760000000000002</x:v>
      </x:c>
      <x:c r="E1268" s="1" t="n">
        <x:v>1.05</x:v>
      </x:c>
      <x:c r="F1268" s="1" t="str">
        <x:v>https://api.octopus.energy/v1/products/AGILE-24-10-01/electricity-tariffs/E-1R-AGILE-24-10-01-G/standard-unit-rates/</x:v>
      </x:c>
    </x:row>
    <x:row r="1269" ht="21" customHeight="1">
      <x:c r="A1269" s="24" t="n">
        <x:v>46174.9375</x:v>
      </x:c>
      <x:c r="B1269" s="6" t="n">
        <x:v>0.2211</x:v>
      </x:c>
      <x:c r="C1269" s="6" t="n">
        <x:v>0.1274</x:v>
      </x:c>
      <x:c r="D1269" s="6" t="n">
        <x:f>B1269</x:f>
        <x:v>0.2211</x:v>
      </x:c>
      <x:c r="E1269" s="1" t="n">
        <x:v>1.05</x:v>
      </x:c>
      <x:c r="F1269" s="1" t="str">
        <x:v>https://api.octopus.energy/v1/products/AGILE-24-10-01/electricity-tariffs/E-1R-AGILE-24-10-01-G/standard-unit-rates/</x:v>
      </x:c>
    </x:row>
    <x:row r="1270" ht="21" customHeight="1">
      <x:c r="A1270" s="24" t="n">
        <x:v>46175</x:v>
      </x:c>
      <x:c r="B1270" s="6" t="n">
        <x:v>0.2184</x:v>
      </x:c>
      <x:c r="C1270" s="6" t="n">
        <x:v>0.1261</x:v>
      </x:c>
      <x:c r="D1270" s="6" t="n">
        <x:f>B1270</x:f>
        <x:v>0.2184</x:v>
      </x:c>
      <x:c r="E1270" s="1" t="n">
        <x:v>1.05</x:v>
      </x:c>
      <x:c r="F1270" s="1" t="str">
        <x:v>https://api.octopus.energy/v1/products/AGILE-24-10-01/electricity-tariffs/E-1R-AGILE-24-10-01-G/standard-unit-rates/</x:v>
      </x:c>
    </x:row>
    <x:row r="1271" ht="21" customHeight="1">
      <x:c r="A1271" s="24" t="n">
        <x:v>46174.979166666664</x:v>
      </x:c>
      <x:c r="B1271" s="6" t="n">
        <x:v>0.2281</x:v>
      </x:c>
      <x:c r="C1271" s="6" t="n">
        <x:v>0.1306</x:v>
      </x:c>
      <x:c r="D1271" s="6" t="n">
        <x:f>B1271</x:f>
        <x:v>0.2281</x:v>
      </x:c>
      <x:c r="E1271" s="1" t="n">
        <x:v>1.05</x:v>
      </x:c>
      <x:c r="F1271" s="1" t="str">
        <x:v>https://api.octopus.energy/v1/products/AGILE-24-10-01/electricity-tariffs/E-1R-AGILE-24-10-01-G/standard-unit-rates/</x:v>
      </x:c>
    </x:row>
    <x:row r="1272" ht="21" customHeight="1">
      <x:c r="A1272" s="24" t="n">
        <x:v>46175</x:v>
      </x:c>
      <x:c r="B1272" s="6" t="n">
        <x:v>0.20489999999999997</x:v>
      </x:c>
      <x:c r="C1272" s="6" t="n">
        <x:v>0.1199</x:v>
      </x:c>
      <x:c r="D1272" s="6" t="n">
        <x:f>B1272</x:f>
        <x:v>0.20489999999999997</x:v>
      </x:c>
      <x:c r="E1272" s="1" t="n">
        <x:v>1.05</x:v>
      </x:c>
      <x:c r="F1272" s="1" t="str">
        <x:v>https://api.octopus.energy/v1/products/AGILE-24-10-01/electricity-tariffs/E-1R-AGILE-24-10-01-G/standard-unit-rates/</x:v>
      </x:c>
    </x:row>
    <x:row r="1273" ht="21" customHeight="1">
      <x:c r="A1273" s="24" t="n">
        <x:v>46175.020833333336</x:v>
      </x:c>
      <x:c r="B1273" s="6" t="n">
        <x:v>0.19640000000000002</x:v>
      </x:c>
      <x:c r="C1273" s="6" t="n">
        <x:v>0.1161</x:v>
      </x:c>
      <x:c r="D1273" s="6" t="n">
        <x:f>B1273</x:f>
        <x:v>0.19640000000000002</x:v>
      </x:c>
      <x:c r="E1273" s="1" t="n">
        <x:v>1.05</x:v>
      </x:c>
      <x:c r="F1273" s="1" t="str">
        <x:v>https://api.octopus.energy/v1/products/AGILE-24-10-01/electricity-tariffs/E-1R-AGILE-24-10-01-G/standard-unit-rates/</x:v>
      </x:c>
    </x:row>
    <x:row r="1274" ht="21" customHeight="1">
      <x:c r="A1274" s="24" t="n">
        <x:v>46175.041666666664</x:v>
      </x:c>
      <x:c r="B1274" s="6" t="n">
        <x:v>0.1833</x:v>
      </x:c>
      <x:c r="C1274" s="6" t="n">
        <x:v>0.1101</x:v>
      </x:c>
      <x:c r="D1274" s="6" t="n">
        <x:f>B1274</x:f>
        <x:v>0.1833</x:v>
      </x:c>
      <x:c r="E1274" s="1" t="n">
        <x:v>1.05</x:v>
      </x:c>
      <x:c r="F1274" s="1" t="str">
        <x:v>https://api.octopus.energy/v1/products/AGILE-24-10-01/electricity-tariffs/E-1R-AGILE-24-10-01-G/standard-unit-rates/</x:v>
      </x:c>
    </x:row>
    <x:row r="1275" ht="21" customHeight="1">
      <x:c r="A1275" s="24" t="n">
        <x:v>46175.0625</x:v>
      </x:c>
      <x:c r="B1275" s="6" t="n">
        <x:v>0.1845</x:v>
      </x:c>
      <x:c r="C1275" s="6" t="n">
        <x:v>0.1106</x:v>
      </x:c>
      <x:c r="D1275" s="6" t="n">
        <x:f>B1275</x:f>
        <x:v>0.1845</x:v>
      </x:c>
      <x:c r="E1275" s="1" t="n">
        <x:v>1.05</x:v>
      </x:c>
      <x:c r="F1275" s="1" t="str">
        <x:v>https://api.octopus.energy/v1/products/AGILE-24-10-01/electricity-tariffs/E-1R-AGILE-24-10-01-G/standard-unit-rates/</x:v>
      </x:c>
    </x:row>
    <x:row r="1276" ht="21" customHeight="1">
      <x:c r="A1276" s="24" t="n">
        <x:v>46175.083333333336</x:v>
      </x:c>
      <x:c r="B1276" s="6" t="n">
        <x:v>0.18059999999999998</x:v>
      </x:c>
      <x:c r="C1276" s="6" t="n">
        <x:v>0.10880000000000001</x:v>
      </x:c>
      <x:c r="D1276" s="6" t="n">
        <x:f>B1276</x:f>
        <x:v>0.18059999999999998</x:v>
      </x:c>
      <x:c r="E1276" s="1" t="n">
        <x:v>1.05</x:v>
      </x:c>
      <x:c r="F1276" s="1" t="str">
        <x:v>https://api.octopus.energy/v1/products/AGILE-24-10-01/electricity-tariffs/E-1R-AGILE-24-10-01-G/standard-unit-rates/</x:v>
      </x:c>
    </x:row>
    <x:row r="1277" ht="21" customHeight="1">
      <x:c r="A1277" s="24" t="n">
        <x:v>46175.104166666664</x:v>
      </x:c>
      <x:c r="B1277" s="6" t="n">
        <x:v>0.1838</x:v>
      </x:c>
      <x:c r="C1277" s="6" t="n">
        <x:v>0.1103</x:v>
      </x:c>
      <x:c r="D1277" s="6" t="n">
        <x:f>B1277</x:f>
        <x:v>0.1838</x:v>
      </x:c>
      <x:c r="E1277" s="1" t="n">
        <x:v>1.05</x:v>
      </x:c>
      <x:c r="F1277" s="1" t="str">
        <x:v>https://api.octopus.energy/v1/products/AGILE-24-10-01/electricity-tariffs/E-1R-AGILE-24-10-01-G/standard-unit-rates/</x:v>
      </x:c>
    </x:row>
    <x:row r="1278" ht="21" customHeight="1">
      <x:c r="A1278" s="24" t="n">
        <x:v>46175.125</x:v>
      </x:c>
      <x:c r="B1278" s="6" t="n">
        <x:v>0.1816</x:v>
      </x:c>
      <x:c r="C1278" s="6" t="n">
        <x:v>0.1093</x:v>
      </x:c>
      <x:c r="D1278" s="6" t="n">
        <x:f>B1278</x:f>
        <x:v>0.1816</x:v>
      </x:c>
      <x:c r="E1278" s="1" t="n">
        <x:v>1.05</x:v>
      </x:c>
      <x:c r="F1278" s="1" t="str">
        <x:v>https://api.octopus.energy/v1/products/AGILE-24-10-01/electricity-tariffs/E-1R-AGILE-24-10-01-G/standard-unit-rates/</x:v>
      </x:c>
    </x:row>
    <x:row r="1279" ht="21" customHeight="1">
      <x:c r="A1279" s="24" t="n">
        <x:v>46175.145833333336</x:v>
      </x:c>
      <x:c r="B1279" s="6" t="n">
        <x:v>0.1787</x:v>
      </x:c>
      <x:c r="C1279" s="6" t="n">
        <x:v>0.10800000000000001</x:v>
      </x:c>
      <x:c r="D1279" s="6" t="n">
        <x:f>B1279</x:f>
        <x:v>0.1787</x:v>
      </x:c>
      <x:c r="E1279" s="1" t="n">
        <x:v>1.05</x:v>
      </x:c>
      <x:c r="F1279" s="1" t="str">
        <x:v>https://api.octopus.energy/v1/products/AGILE-24-10-01/electricity-tariffs/E-1R-AGILE-24-10-01-G/standard-unit-rates/</x:v>
      </x:c>
    </x:row>
    <x:row r="1280" ht="21" customHeight="1">
      <x:c r="A1280" s="24" t="n">
        <x:v>46175.166666666664</x:v>
      </x:c>
      <x:c r="B1280" s="6" t="n">
        <x:v>0.18539999999999998</x:v>
      </x:c>
      <x:c r="C1280" s="6" t="n">
        <x:v>0.111</x:v>
      </x:c>
      <x:c r="D1280" s="6" t="n">
        <x:f>B1280</x:f>
        <x:v>0.18539999999999998</x:v>
      </x:c>
      <x:c r="E1280" s="1" t="n">
        <x:v>1.05</x:v>
      </x:c>
      <x:c r="F1280" s="1" t="str">
        <x:v>https://api.octopus.energy/v1/products/AGILE-24-10-01/electricity-tariffs/E-1R-AGILE-24-10-01-G/standard-unit-rates/</x:v>
      </x:c>
    </x:row>
    <x:row r="1281" ht="21" customHeight="1">
      <x:c r="A1281" s="24" t="n">
        <x:v>46175.1875</x:v>
      </x:c>
      <x:c r="B1281" s="6" t="n">
        <x:v>0.18489999999999998</x:v>
      </x:c>
      <x:c r="C1281" s="6" t="n">
        <x:v>0.1108</x:v>
      </x:c>
      <x:c r="D1281" s="6" t="n">
        <x:f>B1281</x:f>
        <x:v>0.18489999999999998</x:v>
      </x:c>
      <x:c r="E1281" s="1" t="n">
        <x:v>1.05</x:v>
      </x:c>
      <x:c r="F1281" s="1" t="str">
        <x:v>https://api.octopus.energy/v1/products/AGILE-24-10-01/electricity-tariffs/E-1R-AGILE-24-10-01-G/standard-unit-rates/</x:v>
      </x:c>
    </x:row>
    <x:row r="1282" ht="21" customHeight="1">
      <x:c r="A1282" s="24" t="n">
        <x:v>46175.208333333336</x:v>
      </x:c>
      <x:c r="B1282" s="6" t="n">
        <x:v>0.20190000000000002</x:v>
      </x:c>
      <x:c r="C1282" s="6" t="n">
        <x:v>0.1186</x:v>
      </x:c>
      <x:c r="D1282" s="6" t="n">
        <x:f>B1282</x:f>
        <x:v>0.20190000000000002</x:v>
      </x:c>
      <x:c r="E1282" s="1" t="n">
        <x:v>1.05</x:v>
      </x:c>
      <x:c r="F1282" s="1" t="str">
        <x:v>https://api.octopus.energy/v1/products/AGILE-24-10-01/electricity-tariffs/E-1R-AGILE-24-10-01-G/standard-unit-rates/</x:v>
      </x:c>
    </x:row>
    <x:row r="1283" ht="21" customHeight="1">
      <x:c r="A1283" s="24" t="n">
        <x:v>46175.229166666664</x:v>
      </x:c>
      <x:c r="B1283" s="6" t="n">
        <x:v>0.2101</x:v>
      </x:c>
      <x:c r="C1283" s="6" t="n">
        <x:v>0.1223</x:v>
      </x:c>
      <x:c r="D1283" s="6" t="n">
        <x:f>B1283</x:f>
        <x:v>0.2101</x:v>
      </x:c>
      <x:c r="E1283" s="1" t="n">
        <x:v>1.05</x:v>
      </x:c>
      <x:c r="F1283" s="1" t="str">
        <x:v>https://api.octopus.energy/v1/products/AGILE-24-10-01/electricity-tariffs/E-1R-AGILE-24-10-01-G/standard-unit-rates/</x:v>
      </x:c>
    </x:row>
    <x:row r="1284" ht="21" customHeight="1">
      <x:c r="A1284" s="24" t="n">
        <x:v>46175.25</x:v>
      </x:c>
      <x:c r="B1284" s="6" t="n">
        <x:v>0.20980000000000001</x:v>
      </x:c>
      <x:c r="C1284" s="6" t="n">
        <x:v>0.1222</x:v>
      </x:c>
      <x:c r="D1284" s="6" t="n">
        <x:f>B1284</x:f>
        <x:v>0.20980000000000001</x:v>
      </x:c>
      <x:c r="E1284" s="1" t="n">
        <x:v>1.05</x:v>
      </x:c>
      <x:c r="F1284" s="1" t="str">
        <x:v>https://api.octopus.energy/v1/products/AGILE-24-10-01/electricity-tariffs/E-1R-AGILE-24-10-01-G/standard-unit-rates/</x:v>
      </x:c>
    </x:row>
    <x:row r="1285" ht="21" customHeight="1">
      <x:c r="A1285" s="24" t="n">
        <x:v>46175.270833333336</x:v>
      </x:c>
      <x:c r="B1285" s="6" t="n">
        <x:v>0.2274</x:v>
      </x:c>
      <x:c r="C1285" s="6" t="n">
        <x:v>0.13019999999999998</x:v>
      </x:c>
      <x:c r="D1285" s="6" t="n">
        <x:f>B1285</x:f>
        <x:v>0.2274</x:v>
      </x:c>
      <x:c r="E1285" s="1" t="n">
        <x:v>1.05</x:v>
      </x:c>
      <x:c r="F1285" s="1" t="str">
        <x:v>https://api.octopus.energy/v1/products/AGILE-24-10-01/electricity-tariffs/E-1R-AGILE-24-10-01-G/standard-unit-rates/</x:v>
      </x:c>
    </x:row>
    <x:row r="1286" ht="21" customHeight="1">
      <x:c r="A1286" s="24" t="n">
        <x:v>46175.291666666664</x:v>
      </x:c>
      <x:c r="B1286" s="6" t="n">
        <x:v>0.2354</x:v>
      </x:c>
      <x:c r="C1286" s="6" t="n">
        <x:v>0.13390000000000002</x:v>
      </x:c>
      <x:c r="D1286" s="6" t="n">
        <x:f>B1286</x:f>
        <x:v>0.2354</x:v>
      </x:c>
      <x:c r="E1286" s="1" t="n">
        <x:v>1.05</x:v>
      </x:c>
      <x:c r="F1286" s="1" t="str">
        <x:v>https://api.octopus.energy/v1/products/AGILE-24-10-01/electricity-tariffs/E-1R-AGILE-24-10-01-G/standard-unit-rates/</x:v>
      </x:c>
    </x:row>
    <x:row r="1287" ht="21" customHeight="1">
      <x:c r="A1287" s="24" t="n">
        <x:v>46175.3125</x:v>
      </x:c>
      <x:c r="B1287" s="6" t="n">
        <x:v>0.2396</x:v>
      </x:c>
      <x:c r="C1287" s="6" t="n">
        <x:v>0.1358</x:v>
      </x:c>
      <x:c r="D1287" s="6" t="n">
        <x:f>B1287</x:f>
        <x:v>0.2396</x:v>
      </x:c>
      <x:c r="E1287" s="1" t="n">
        <x:v>1.05</x:v>
      </x:c>
      <x:c r="F1287" s="1" t="str">
        <x:v>https://api.octopus.energy/v1/products/AGILE-24-10-01/electricity-tariffs/E-1R-AGILE-24-10-01-G/standard-unit-rates/</x:v>
      </x:c>
    </x:row>
    <x:row r="1288" ht="21" customHeight="1">
      <x:c r="A1288" s="24" t="n">
        <x:v>46175.333333333336</x:v>
      </x:c>
      <x:c r="B1288" s="6" t="n">
        <x:v>0.24789999999999998</x:v>
      </x:c>
      <x:c r="C1288" s="6" t="n">
        <x:v>0.1396</x:v>
      </x:c>
      <x:c r="D1288" s="6" t="n">
        <x:f>B1288</x:f>
        <x:v>0.24789999999999998</x:v>
      </x:c>
      <x:c r="E1288" s="1" t="n">
        <x:v>1.05</x:v>
      </x:c>
      <x:c r="F1288" s="1" t="str">
        <x:v>https://api.octopus.energy/v1/products/AGILE-24-10-01/electricity-tariffs/E-1R-AGILE-24-10-01-G/standard-unit-rates/</x:v>
      </x:c>
    </x:row>
    <x:row r="1289" ht="21" customHeight="1">
      <x:c r="A1289" s="24" t="n">
        <x:v>46175.354166666664</x:v>
      </x:c>
      <x:c r="B1289" s="6" t="n">
        <x:v>0.2415</x:v>
      </x:c>
      <x:c r="C1289" s="6" t="n">
        <x:v>0.1367</x:v>
      </x:c>
      <x:c r="D1289" s="6" t="n">
        <x:f>B1289</x:f>
        <x:v>0.2415</x:v>
      </x:c>
      <x:c r="E1289" s="1" t="n">
        <x:v>1.05</x:v>
      </x:c>
      <x:c r="F1289" s="1" t="str">
        <x:v>https://api.octopus.energy/v1/products/AGILE-24-10-01/electricity-tariffs/E-1R-AGILE-24-10-01-G/standard-unit-rates/</x:v>
      </x:c>
    </x:row>
    <x:row r="1290" ht="21" customHeight="1">
      <x:c r="A1290" s="24" t="n">
        <x:v>46175.375</x:v>
      </x:c>
      <x:c r="B1290" s="6" t="n">
        <x:v>0.2438</x:v>
      </x:c>
      <x:c r="C1290" s="6" t="n">
        <x:v>0.1377</x:v>
      </x:c>
      <x:c r="D1290" s="6" t="n">
        <x:f>B1290</x:f>
        <x:v>0.2438</x:v>
      </x:c>
      <x:c r="E1290" s="1" t="n">
        <x:v>1.05</x:v>
      </x:c>
      <x:c r="F1290" s="1" t="str">
        <x:v>https://api.octopus.energy/v1/products/AGILE-24-10-01/electricity-tariffs/E-1R-AGILE-24-10-01-G/standard-unit-rates/</x:v>
      </x:c>
    </x:row>
    <x:row r="1291" ht="21" customHeight="1">
      <x:c r="A1291" s="24" t="n">
        <x:v>46175.395833333336</x:v>
      </x:c>
      <x:c r="B1291" s="6" t="n">
        <x:v>0.2396</x:v>
      </x:c>
      <x:c r="C1291" s="6" t="n">
        <x:v>0.1358</x:v>
      </x:c>
      <x:c r="D1291" s="6" t="n">
        <x:f>B1291</x:f>
        <x:v>0.2396</x:v>
      </x:c>
      <x:c r="E1291" s="1" t="n">
        <x:v>1.05</x:v>
      </x:c>
      <x:c r="F1291" s="1" t="str">
        <x:v>https://api.octopus.energy/v1/products/AGILE-24-10-01/electricity-tariffs/E-1R-AGILE-24-10-01-G/standard-unit-rates/</x:v>
      </x:c>
    </x:row>
    <x:row r="1292" ht="21" customHeight="1">
      <x:c r="A1292" s="24" t="n">
        <x:v>46175.416666666664</x:v>
      </x:c>
      <x:c r="B1292" s="6" t="n">
        <x:v>0.1996</x:v>
      </x:c>
      <x:c r="C1292" s="6" t="n">
        <x:v>0.1175</x:v>
      </x:c>
      <x:c r="D1292" s="6" t="n">
        <x:f>B1292</x:f>
        <x:v>0.1996</x:v>
      </x:c>
      <x:c r="E1292" s="1" t="n">
        <x:v>1.05</x:v>
      </x:c>
      <x:c r="F1292" s="1" t="str">
        <x:v>https://api.octopus.energy/v1/products/AGILE-24-10-01/electricity-tariffs/E-1R-AGILE-24-10-01-G/standard-unit-rates/</x:v>
      </x:c>
    </x:row>
    <x:row r="1293" ht="21" customHeight="1">
      <x:c r="A1293" s="24" t="n">
        <x:v>46175.4375</x:v>
      </x:c>
      <x:c r="B1293" s="6" t="n">
        <x:v>0.18350000000000002</x:v>
      </x:c>
      <x:c r="C1293" s="6" t="n">
        <x:v>0.11019999999999999</x:v>
      </x:c>
      <x:c r="D1293" s="6" t="n">
        <x:f>B1293</x:f>
        <x:v>0.18350000000000002</x:v>
      </x:c>
      <x:c r="E1293" s="1" t="n">
        <x:v>1.05</x:v>
      </x:c>
      <x:c r="F1293" s="1" t="str">
        <x:v>https://api.octopus.energy/v1/products/AGILE-24-10-01/electricity-tariffs/E-1R-AGILE-24-10-01-G/standard-unit-rates/</x:v>
      </x:c>
    </x:row>
    <x:row r="1294" ht="21" customHeight="1">
      <x:c r="A1294" s="24" t="n">
        <x:v>46175.458333333336</x:v>
      </x:c>
      <x:c r="B1294" s="6" t="n">
        <x:v>0.1766</x:v>
      </x:c>
      <x:c r="C1294" s="6" t="n">
        <x:v>0.107</x:v>
      </x:c>
      <x:c r="D1294" s="6" t="n">
        <x:f>B1294</x:f>
        <x:v>0.1766</x:v>
      </x:c>
      <x:c r="E1294" s="1" t="n">
        <x:v>1.05</x:v>
      </x:c>
      <x:c r="F1294" s="1" t="str">
        <x:v>https://api.octopus.energy/v1/products/AGILE-24-10-01/electricity-tariffs/E-1R-AGILE-24-10-01-G/standard-unit-rates/</x:v>
      </x:c>
    </x:row>
    <x:row r="1295" ht="21" customHeight="1">
      <x:c r="A1295" s="24" t="n">
        <x:v>46175.479166666664</x:v>
      </x:c>
      <x:c r="B1295" s="6" t="n">
        <x:v>0.1722</x:v>
      </x:c>
      <x:c r="C1295" s="6" t="n">
        <x:v>0.105</x:v>
      </x:c>
      <x:c r="D1295" s="6" t="n">
        <x:f>B1295</x:f>
        <x:v>0.1722</x:v>
      </x:c>
      <x:c r="E1295" s="1" t="n">
        <x:v>1.05</x:v>
      </x:c>
      <x:c r="F1295" s="1" t="str">
        <x:v>https://api.octopus.energy/v1/products/AGILE-24-10-01/electricity-tariffs/E-1R-AGILE-24-10-01-G/standard-unit-rates/</x:v>
      </x:c>
    </x:row>
    <x:row r="1296" ht="21" customHeight="1">
      <x:c r="A1296" s="24" t="n">
        <x:v>46175.5</x:v>
      </x:c>
      <x:c r="B1296" s="6" t="n">
        <x:v>0.16820000000000002</x:v>
      </x:c>
      <x:c r="C1296" s="6" t="n">
        <x:v>0.1032</x:v>
      </x:c>
      <x:c r="D1296" s="6" t="n">
        <x:f>B1296</x:f>
        <x:v>0.16820000000000002</x:v>
      </x:c>
      <x:c r="E1296" s="1" t="n">
        <x:v>1.05</x:v>
      </x:c>
      <x:c r="F1296" s="1" t="str">
        <x:v>https://api.octopus.energy/v1/products/AGILE-24-10-01/electricity-tariffs/E-1R-AGILE-24-10-01-G/standard-unit-rates/</x:v>
      </x:c>
    </x:row>
    <x:row r="1297" ht="21" customHeight="1">
      <x:c r="A1297" s="24" t="n">
        <x:v>46175.520833333336</x:v>
      </x:c>
      <x:c r="B1297" s="6" t="n">
        <x:v>0.1637</x:v>
      </x:c>
      <x:c r="C1297" s="6" t="n">
        <x:v>0.1011</x:v>
      </x:c>
      <x:c r="D1297" s="6" t="n">
        <x:f>B1297</x:f>
        <x:v>0.1637</x:v>
      </x:c>
      <x:c r="E1297" s="1" t="n">
        <x:v>1.05</x:v>
      </x:c>
      <x:c r="F1297" s="1" t="str">
        <x:v>https://api.octopus.energy/v1/products/AGILE-24-10-01/electricity-tariffs/E-1R-AGILE-24-10-01-G/standard-unit-rates/</x:v>
      </x:c>
    </x:row>
    <x:row r="1298" ht="21" customHeight="1">
      <x:c r="A1298" s="24" t="n">
        <x:v>46175.541666666664</x:v>
      </x:c>
      <x:c r="B1298" s="6" t="n">
        <x:v>0.16140000000000002</x:v>
      </x:c>
      <x:c r="C1298" s="6" t="n">
        <x:v>0.1</x:v>
      </x:c>
      <x:c r="D1298" s="6" t="n">
        <x:f>B1298</x:f>
        <x:v>0.16140000000000002</x:v>
      </x:c>
      <x:c r="E1298" s="1" t="n">
        <x:v>1.05</x:v>
      </x:c>
      <x:c r="F1298" s="1" t="str">
        <x:v>https://api.octopus.energy/v1/products/AGILE-24-10-01/electricity-tariffs/E-1R-AGILE-24-10-01-G/standard-unit-rates/</x:v>
      </x:c>
    </x:row>
    <x:row r="1299" ht="21" customHeight="1">
      <x:c r="A1299" s="24" t="n">
        <x:v>46175.5625</x:v>
      </x:c>
      <x:c r="B1299" s="6" t="n">
        <x:v>0.1594</x:v>
      </x:c>
      <x:c r="C1299" s="6" t="n">
        <x:v>0.09910000000000001</x:v>
      </x:c>
      <x:c r="D1299" s="6" t="n">
        <x:f>B1299</x:f>
        <x:v>0.1594</x:v>
      </x:c>
      <x:c r="E1299" s="1" t="n">
        <x:v>1.05</x:v>
      </x:c>
      <x:c r="F1299" s="1" t="str">
        <x:v>https://api.octopus.energy/v1/products/AGILE-24-10-01/electricity-tariffs/E-1R-AGILE-24-10-01-G/standard-unit-rates/</x:v>
      </x:c>
    </x:row>
    <x:row r="1300" ht="21" customHeight="1">
      <x:c r="A1300" s="24" t="n">
        <x:v>46175.583333333336</x:v>
      </x:c>
      <x:c r="B1300" s="6" t="n">
        <x:v>0.16399999999999998</x:v>
      </x:c>
      <x:c r="C1300" s="6" t="n">
        <x:v>0.1012</x:v>
      </x:c>
      <x:c r="D1300" s="6" t="n">
        <x:f>B1300</x:f>
        <x:v>0.16399999999999998</x:v>
      </x:c>
      <x:c r="E1300" s="1" t="n">
        <x:v>1.05</x:v>
      </x:c>
      <x:c r="F1300" s="1" t="str">
        <x:v>https://api.octopus.energy/v1/products/AGILE-24-10-01/electricity-tariffs/E-1R-AGILE-24-10-01-G/standard-unit-rates/</x:v>
      </x:c>
    </x:row>
    <x:row r="1301" ht="21" customHeight="1">
      <x:c r="A1301" s="24" t="n">
        <x:v>46175.604166666664</x:v>
      </x:c>
      <x:c r="B1301" s="6" t="n">
        <x:v>0.1562</x:v>
      </x:c>
      <x:c r="C1301" s="6" t="n">
        <x:v>0.0977</x:v>
      </x:c>
      <x:c r="D1301" s="6" t="n">
        <x:f>B1301</x:f>
        <x:v>0.1562</x:v>
      </x:c>
      <x:c r="E1301" s="1" t="n">
        <x:v>1.05</x:v>
      </x:c>
      <x:c r="F1301" s="1" t="str">
        <x:v>https://api.octopus.energy/v1/products/AGILE-24-10-01/electricity-tariffs/E-1R-AGILE-24-10-01-G/standard-unit-rates/</x:v>
      </x:c>
    </x:row>
    <x:row r="1302" ht="21" customHeight="1">
      <x:c r="A1302" s="24" t="n">
        <x:v>46175.625</x:v>
      </x:c>
      <x:c r="B1302" s="6" t="n">
        <x:v>0.1638</x:v>
      </x:c>
      <x:c r="C1302" s="6" t="n">
        <x:v>0.1011</x:v>
      </x:c>
      <x:c r="D1302" s="6" t="n">
        <x:f>B1302</x:f>
        <x:v>0.1638</x:v>
      </x:c>
      <x:c r="E1302" s="1" t="n">
        <x:v>1.05</x:v>
      </x:c>
      <x:c r="F1302" s="1" t="str">
        <x:v>https://api.octopus.energy/v1/products/AGILE-24-10-01/electricity-tariffs/E-1R-AGILE-24-10-01-G/standard-unit-rates/</x:v>
      </x:c>
    </x:row>
    <x:row r="1303" ht="21" customHeight="1">
      <x:c r="A1303" s="24" t="n">
        <x:v>46175.645833333336</x:v>
      </x:c>
      <x:c r="B1303" s="6" t="n">
        <x:v>0.16440000000000002</x:v>
      </x:c>
      <x:c r="C1303" s="6" t="n">
        <x:v>0.1014</x:v>
      </x:c>
      <x:c r="D1303" s="6" t="n">
        <x:f>B1303</x:f>
        <x:v>0.16440000000000002</x:v>
      </x:c>
      <x:c r="E1303" s="1" t="n">
        <x:v>1.05</x:v>
      </x:c>
      <x:c r="F1303" s="1" t="str">
        <x:v>https://api.octopus.energy/v1/products/AGILE-24-10-01/electricity-tariffs/E-1R-AGILE-24-10-01-G/standard-unit-rates/</x:v>
      </x:c>
    </x:row>
    <x:row r="1304" ht="21" customHeight="1">
      <x:c r="A1304" s="24" t="n">
        <x:v>46175.666666666664</x:v>
      </x:c>
      <x:c r="B1304" s="6" t="n">
        <x:v>0.306</x:v>
      </x:c>
      <x:c r="C1304" s="6" t="n">
        <x:v>0.1702</x:v>
      </x:c>
      <x:c r="D1304" s="6" t="n">
        <x:f>B1304</x:f>
        <x:v>0.306</x:v>
      </x:c>
      <x:c r="E1304" s="1" t="n">
        <x:v>1.05</x:v>
      </x:c>
      <x:c r="F1304" s="1" t="str">
        <x:v>https://api.octopus.energy/v1/products/AGILE-24-10-01/electricity-tariffs/E-1R-AGILE-24-10-01-G/standard-unit-rates/</x:v>
      </x:c>
    </x:row>
    <x:row r="1305" ht="21" customHeight="1">
      <x:c r="A1305" s="24" t="n">
        <x:v>46175.6875</x:v>
      </x:c>
      <x:c r="B1305" s="6" t="n">
        <x:v>0.3134</x:v>
      </x:c>
      <x:c r="C1305" s="6" t="n">
        <x:v>0.1736</x:v>
      </x:c>
      <x:c r="D1305" s="6" t="n">
        <x:f>B1305</x:f>
        <x:v>0.3134</x:v>
      </x:c>
      <x:c r="E1305" s="1" t="n">
        <x:v>1.05</x:v>
      </x:c>
      <x:c r="F1305" s="1" t="str">
        <x:v>https://api.octopus.energy/v1/products/AGILE-24-10-01/electricity-tariffs/E-1R-AGILE-24-10-01-G/standard-unit-rates/</x:v>
      </x:c>
    </x:row>
    <x:row r="1306" ht="21" customHeight="1">
      <x:c r="A1306" s="24" t="n">
        <x:v>46175.708333333336</x:v>
      </x:c>
      <x:c r="B1306" s="6" t="n">
        <x:v>0.326</x:v>
      </x:c>
      <x:c r="C1306" s="6" t="n">
        <x:v>0.1793</x:v>
      </x:c>
      <x:c r="D1306" s="6" t="n">
        <x:f>B1306</x:f>
        <x:v>0.326</x:v>
      </x:c>
      <x:c r="E1306" s="1" t="n">
        <x:v>1.05</x:v>
      </x:c>
      <x:c r="F1306" s="1" t="str">
        <x:v>https://api.octopus.energy/v1/products/AGILE-24-10-01/electricity-tariffs/E-1R-AGILE-24-10-01-G/standard-unit-rates/</x:v>
      </x:c>
    </x:row>
    <x:row r="1307" ht="21" customHeight="1">
      <x:c r="A1307" s="24" t="n">
        <x:v>46175.729166666664</x:v>
      </x:c>
      <x:c r="B1307" s="6" t="n">
        <x:v>0.3337</x:v>
      </x:c>
      <x:c r="C1307" s="6" t="n">
        <x:v>0.18280000000000002</x:v>
      </x:c>
      <x:c r="D1307" s="6" t="n">
        <x:f>B1307</x:f>
        <x:v>0.3337</x:v>
      </x:c>
      <x:c r="E1307" s="1" t="n">
        <x:v>1.05</x:v>
      </x:c>
      <x:c r="F1307" s="1" t="str">
        <x:v>https://api.octopus.energy/v1/products/AGILE-24-10-01/electricity-tariffs/E-1R-AGILE-24-10-01-G/standard-unit-rates/</x:v>
      </x:c>
    </x:row>
    <x:row r="1308" ht="21" customHeight="1">
      <x:c r="A1308" s="24" t="n">
        <x:v>46175.75</x:v>
      </x:c>
      <x:c r="B1308" s="6" t="n">
        <x:v>0.3678</x:v>
      </x:c>
      <x:c r="C1308" s="6" t="n">
        <x:v>0.1984</x:v>
      </x:c>
      <x:c r="D1308" s="6" t="n">
        <x:f>B1308</x:f>
        <x:v>0.3678</x:v>
      </x:c>
      <x:c r="E1308" s="1" t="n">
        <x:v>1.05</x:v>
      </x:c>
      <x:c r="F1308" s="1" t="str">
        <x:v>https://api.octopus.energy/v1/products/AGILE-24-10-01/electricity-tariffs/E-1R-AGILE-24-10-01-G/standard-unit-rates/</x:v>
      </x:c>
    </x:row>
    <x:row r="1309" ht="21" customHeight="1">
      <x:c r="A1309" s="24" t="n">
        <x:v>46175.770833333336</x:v>
      </x:c>
      <x:c r="B1309" s="6" t="n">
        <x:v>0.36590000000000006</x:v>
      </x:c>
      <x:c r="C1309" s="6" t="n">
        <x:v>0.19760000000000003</x:v>
      </x:c>
      <x:c r="D1309" s="6" t="n">
        <x:f>B1309</x:f>
        <x:v>0.36590000000000006</x:v>
      </x:c>
      <x:c r="E1309" s="1" t="n">
        <x:v>1.05</x:v>
      </x:c>
      <x:c r="F1309" s="1" t="str">
        <x:v>https://api.octopus.energy/v1/products/AGILE-24-10-01/electricity-tariffs/E-1R-AGILE-24-10-01-G/standard-unit-rates/</x:v>
      </x:c>
    </x:row>
    <x:row r="1310" ht="21" customHeight="1">
      <x:c r="A1310" s="24" t="n">
        <x:v>46175.791666666664</x:v>
      </x:c>
      <x:c r="B1310" s="6" t="n">
        <x:v>0.24350000000000002</x:v>
      </x:c>
      <x:c r="C1310" s="6" t="n">
        <x:v>0.1376</x:v>
      </x:c>
      <x:c r="D1310" s="6" t="n">
        <x:f>B1310</x:f>
        <x:v>0.24350000000000002</x:v>
      </x:c>
      <x:c r="E1310" s="1" t="n">
        <x:v>1.05</x:v>
      </x:c>
      <x:c r="F1310" s="1" t="str">
        <x:v>https://api.octopus.energy/v1/products/AGILE-24-10-01/electricity-tariffs/E-1R-AGILE-24-10-01-G/standard-unit-rates/</x:v>
      </x:c>
    </x:row>
    <x:row r="1311" ht="21" customHeight="1">
      <x:c r="A1311" s="24" t="n">
        <x:v>46175.8125</x:v>
      </x:c>
      <x:c r="B1311" s="6" t="n">
        <x:v>0.2443</x:v>
      </x:c>
      <x:c r="C1311" s="6" t="n">
        <x:v>0.138</x:v>
      </x:c>
      <x:c r="D1311" s="6" t="n">
        <x:f>B1311</x:f>
        <x:v>0.2443</x:v>
      </x:c>
      <x:c r="E1311" s="1" t="n">
        <x:v>1.05</x:v>
      </x:c>
      <x:c r="F1311" s="1" t="str">
        <x:v>https://api.octopus.energy/v1/products/AGILE-24-10-01/electricity-tariffs/E-1R-AGILE-24-10-01-G/standard-unit-rates/</x:v>
      </x:c>
    </x:row>
    <x:row r="1312" ht="21" customHeight="1">
      <x:c r="A1312" s="24" t="n">
        <x:v>46175.833333333336</x:v>
      </x:c>
      <x:c r="B1312" s="6" t="n">
        <x:v>0.2438</x:v>
      </x:c>
      <x:c r="C1312" s="6" t="n">
        <x:v>0.1377</x:v>
      </x:c>
      <x:c r="D1312" s="6" t="n">
        <x:f>B1312</x:f>
        <x:v>0.2438</x:v>
      </x:c>
      <x:c r="E1312" s="1" t="n">
        <x:v>1.05</x:v>
      </x:c>
      <x:c r="F1312" s="1" t="str">
        <x:v>https://api.octopus.energy/v1/products/AGILE-24-10-01/electricity-tariffs/E-1R-AGILE-24-10-01-G/standard-unit-rates/</x:v>
      </x:c>
    </x:row>
    <x:row r="1313" ht="21" customHeight="1">
      <x:c r="A1313" s="24" t="n">
        <x:v>46175.854166666664</x:v>
      </x:c>
      <x:c r="B1313" s="6" t="n">
        <x:v>0.24489999999999998</x:v>
      </x:c>
      <x:c r="C1313" s="6" t="n">
        <x:v>0.1382</x:v>
      </x:c>
      <x:c r="D1313" s="6" t="n">
        <x:f>B1313</x:f>
        <x:v>0.24489999999999998</x:v>
      </x:c>
      <x:c r="E1313" s="1" t="n">
        <x:v>1.05</x:v>
      </x:c>
      <x:c r="F1313" s="1" t="str">
        <x:v>https://api.octopus.energy/v1/products/AGILE-24-10-01/electricity-tariffs/E-1R-AGILE-24-10-01-G/standard-unit-rates/</x:v>
      </x:c>
    </x:row>
    <x:row r="1314" ht="21" customHeight="1">
      <x:c r="A1314" s="24" t="n">
        <x:v>46175.875</x:v>
      </x:c>
      <x:c r="B1314" s="6" t="n">
        <x:v>0.2438</x:v>
      </x:c>
      <x:c r="C1314" s="6" t="n">
        <x:v>0.1377</x:v>
      </x:c>
      <x:c r="D1314" s="6" t="n">
        <x:f>B1314</x:f>
        <x:v>0.2438</x:v>
      </x:c>
      <x:c r="E1314" s="1" t="n">
        <x:v>1.05</x:v>
      </x:c>
      <x:c r="F1314" s="1" t="str">
        <x:v>https://api.octopus.energy/v1/products/AGILE-24-10-01/electricity-tariffs/E-1R-AGILE-24-10-01-G/standard-unit-rates/</x:v>
      </x:c>
    </x:row>
    <x:row r="1315" ht="21" customHeight="1">
      <x:c r="A1315" s="24" t="n">
        <x:v>46175.895833333336</x:v>
      </x:c>
      <x:c r="B1315" s="6" t="n">
        <x:v>0.22699999999999998</x:v>
      </x:c>
      <x:c r="C1315" s="6" t="n">
        <x:v>0.13</x:v>
      </x:c>
      <x:c r="D1315" s="6" t="n">
        <x:f>B1315</x:f>
        <x:v>0.22699999999999998</x:v>
      </x:c>
      <x:c r="E1315" s="1" t="n">
        <x:v>1.05</x:v>
      </x:c>
      <x:c r="F1315" s="1" t="str">
        <x:v>https://api.octopus.energy/v1/products/AGILE-24-10-01/electricity-tariffs/E-1R-AGILE-24-10-01-G/standard-unit-rates/</x:v>
      </x:c>
    </x:row>
    <x:row r="1316" ht="21" customHeight="1">
      <x:c r="A1316" s="24" t="n">
        <x:v>46175.916666666664</x:v>
      </x:c>
      <x:c r="B1316" s="6" t="n">
        <x:v>0.2119</x:v>
      </x:c>
      <x:c r="C1316" s="6" t="n">
        <x:v>0.1231</x:v>
      </x:c>
      <x:c r="D1316" s="6" t="n">
        <x:f>B1316</x:f>
        <x:v>0.2119</x:v>
      </x:c>
      <x:c r="E1316" s="1" t="n">
        <x:v>1.05</x:v>
      </x:c>
      <x:c r="F1316" s="1" t="str">
        <x:v>https://api.octopus.energy/v1/products/AGILE-24-10-01/electricity-tariffs/E-1R-AGILE-24-10-01-G/standard-unit-rates/</x:v>
      </x:c>
    </x:row>
    <x:row r="1317" ht="21" customHeight="1">
      <x:c r="A1317" s="24" t="n">
        <x:v>46175.9375</x:v>
      </x:c>
      <x:c r="B1317" s="6" t="n">
        <x:v>0.1997</x:v>
      </x:c>
      <x:c r="C1317" s="6" t="n">
        <x:v>0.1176</x:v>
      </x:c>
      <x:c r="D1317" s="6" t="n">
        <x:f>B1317</x:f>
        <x:v>0.1997</x:v>
      </x:c>
      <x:c r="E1317" s="1" t="n">
        <x:v>1.05</x:v>
      </x:c>
      <x:c r="F1317" s="1" t="str">
        <x:v>https://api.octopus.energy/v1/products/AGILE-24-10-01/electricity-tariffs/E-1R-AGILE-24-10-01-G/standard-unit-rates/</x:v>
      </x:c>
    </x:row>
    <x:row r="1318" ht="21" customHeight="1">
      <x:c r="A1318" s="24" t="n">
        <x:v>46176</x:v>
      </x:c>
      <x:c r="B1318" s="6" t="n">
        <x:v>0.1882</x:v>
      </x:c>
      <x:c r="C1318" s="6" t="n">
        <x:v>0.11230000000000001</x:v>
      </x:c>
      <x:c r="D1318" s="6" t="n">
        <x:f>B1318</x:f>
        <x:v>0.1882</x:v>
      </x:c>
      <x:c r="E1318" s="1" t="n">
        <x:v>1.05</x:v>
      </x:c>
      <x:c r="F1318" s="1" t="str">
        <x:v>https://api.octopus.energy/v1/products/AGILE-24-10-01/electricity-tariffs/E-1R-AGILE-24-10-01-G/standard-unit-rates/</x:v>
      </x:c>
    </x:row>
    <x:row r="1319" ht="21" customHeight="1">
      <x:c r="A1319" s="24" t="n">
        <x:v>46175.979166666664</x:v>
      </x:c>
      <x:c r="B1319" s="6" t="n">
        <x:v>0.1937</x:v>
      </x:c>
      <x:c r="C1319" s="6" t="n">
        <x:v>0.1148</x:v>
      </x:c>
      <x:c r="D1319" s="6" t="n">
        <x:f>B1319</x:f>
        <x:v>0.1937</x:v>
      </x:c>
      <x:c r="E1319" s="1" t="n">
        <x:v>1.05</x:v>
      </x:c>
      <x:c r="F1319" s="1" t="str">
        <x:v>https://api.octopus.energy/v1/products/AGILE-24-10-01/electricity-tariffs/E-1R-AGILE-24-10-01-G/standard-unit-rates/</x:v>
      </x:c>
    </x:row>
    <x:row r="1320" ht="21" customHeight="1">
      <x:c r="A1320" s="24" t="n">
        <x:v>46176</x:v>
      </x:c>
      <x:c r="B1320" s="6" t="n">
        <x:v>0.1821</x:v>
      </x:c>
      <x:c r="C1320" s="6" t="n">
        <x:v>0.10949999999999999</x:v>
      </x:c>
      <x:c r="D1320" s="6" t="n">
        <x:f>B1320</x:f>
        <x:v>0.1821</x:v>
      </x:c>
      <x:c r="E1320" s="1" t="n">
        <x:v>1.05</x:v>
      </x:c>
      <x:c r="F1320" s="1" t="str">
        <x:v>https://api.octopus.energy/v1/products/AGILE-24-10-01/electricity-tariffs/E-1R-AGILE-24-10-01-G/standard-unit-rates/</x:v>
      </x:c>
    </x:row>
    <x:row r="1321" ht="21" customHeight="1">
      <x:c r="A1321" s="24" t="n">
        <x:v>46176.020833333336</x:v>
      </x:c>
      <x:c r="B1321" s="6" t="n">
        <x:v>0.1808</x:v>
      </x:c>
      <x:c r="C1321" s="6" t="n">
        <x:v>0.10890000000000001</x:v>
      </x:c>
      <x:c r="D1321" s="6" t="n">
        <x:f>B1321</x:f>
        <x:v>0.1808</x:v>
      </x:c>
      <x:c r="E1321" s="1" t="n">
        <x:v>1.05</x:v>
      </x:c>
      <x:c r="F1321" s="1" t="str">
        <x:v>https://api.octopus.energy/v1/products/AGILE-24-10-01/electricity-tariffs/E-1R-AGILE-24-10-01-G/standard-unit-rates/</x:v>
      </x:c>
    </x:row>
    <x:row r="1322" ht="21" customHeight="1">
      <x:c r="A1322" s="24" t="n">
        <x:v>46176.041666666664</x:v>
      </x:c>
      <x:c r="B1322" s="6" t="n">
        <x:v>0.1787</x:v>
      </x:c>
      <x:c r="C1322" s="6" t="n">
        <x:v>0.10800000000000001</x:v>
      </x:c>
      <x:c r="D1322" s="6" t="n">
        <x:f>B1322</x:f>
        <x:v>0.1787</x:v>
      </x:c>
      <x:c r="E1322" s="1" t="n">
        <x:v>1.05</x:v>
      </x:c>
      <x:c r="F1322" s="1" t="str">
        <x:v>https://api.octopus.energy/v1/products/AGILE-24-10-01/electricity-tariffs/E-1R-AGILE-24-10-01-G/standard-unit-rates/</x:v>
      </x:c>
    </x:row>
    <x:row r="1323" ht="21" customHeight="1">
      <x:c r="A1323" s="24" t="n">
        <x:v>46176.0625</x:v>
      </x:c>
      <x:c r="B1323" s="6" t="n">
        <x:v>0.18030000000000002</x:v>
      </x:c>
      <x:c r="C1323" s="6" t="n">
        <x:v>0.10869999999999999</x:v>
      </x:c>
      <x:c r="D1323" s="6" t="n">
        <x:f>B1323</x:f>
        <x:v>0.18030000000000002</x:v>
      </x:c>
      <x:c r="E1323" s="1" t="n">
        <x:v>1.05</x:v>
      </x:c>
      <x:c r="F1323" s="1" t="str">
        <x:v>https://api.octopus.energy/v1/products/AGILE-24-10-01/electricity-tariffs/E-1R-AGILE-24-10-01-G/standard-unit-rates/</x:v>
      </x:c>
    </x:row>
    <x:row r="1324" ht="21" customHeight="1">
      <x:c r="A1324" s="24" t="n">
        <x:v>46176.083333333336</x:v>
      </x:c>
      <x:c r="B1324" s="6" t="n">
        <x:v>0.183</x:v>
      </x:c>
      <x:c r="C1324" s="6" t="n">
        <x:v>0.1099</x:v>
      </x:c>
      <x:c r="D1324" s="6" t="n">
        <x:f>B1324</x:f>
        <x:v>0.183</x:v>
      </x:c>
      <x:c r="E1324" s="1" t="n">
        <x:v>1.05</x:v>
      </x:c>
      <x:c r="F1324" s="1" t="str">
        <x:v>https://api.octopus.energy/v1/products/AGILE-24-10-01/electricity-tariffs/E-1R-AGILE-24-10-01-G/standard-unit-rates/</x:v>
      </x:c>
    </x:row>
    <x:row r="1325" ht="21" customHeight="1">
      <x:c r="A1325" s="24" t="n">
        <x:v>46176.104166666664</x:v>
      </x:c>
      <x:c r="B1325" s="6" t="n">
        <x:v>0.1808</x:v>
      </x:c>
      <x:c r="C1325" s="6" t="n">
        <x:v>0.10890000000000001</x:v>
      </x:c>
      <x:c r="D1325" s="6" t="n">
        <x:f>B1325</x:f>
        <x:v>0.1808</x:v>
      </x:c>
      <x:c r="E1325" s="1" t="n">
        <x:v>1.05</x:v>
      </x:c>
      <x:c r="F1325" s="1" t="str">
        <x:v>https://api.octopus.energy/v1/products/AGILE-24-10-01/electricity-tariffs/E-1R-AGILE-24-10-01-G/standard-unit-rates/</x:v>
      </x:c>
    </x:row>
    <x:row r="1326" ht="21" customHeight="1">
      <x:c r="A1326" s="24" t="n">
        <x:v>46176.125</x:v>
      </x:c>
      <x:c r="B1326" s="6" t="n">
        <x:v>0.175</x:v>
      </x:c>
      <x:c r="C1326" s="6" t="n">
        <x:v>0.1063</x:v>
      </x:c>
      <x:c r="D1326" s="6" t="n">
        <x:f>B1326</x:f>
        <x:v>0.175</x:v>
      </x:c>
      <x:c r="E1326" s="1" t="n">
        <x:v>1.05</x:v>
      </x:c>
      <x:c r="F1326" s="1" t="str">
        <x:v>https://api.octopus.energy/v1/products/AGILE-24-10-01/electricity-tariffs/E-1R-AGILE-24-10-01-G/standard-unit-rates/</x:v>
      </x:c>
    </x:row>
    <x:row r="1327" ht="21" customHeight="1">
      <x:c r="A1327" s="24" t="n">
        <x:v>46176.145833333336</x:v>
      </x:c>
      <x:c r="B1327" s="6" t="n">
        <x:v>0.16920000000000002</x:v>
      </x:c>
      <x:c r="C1327" s="6" t="n">
        <x:v>0.1036</x:v>
      </x:c>
      <x:c r="D1327" s="6" t="n">
        <x:f>B1327</x:f>
        <x:v>0.16920000000000002</x:v>
      </x:c>
      <x:c r="E1327" s="1" t="n">
        <x:v>1.05</x:v>
      </x:c>
      <x:c r="F1327" s="1" t="str">
        <x:v>https://api.octopus.energy/v1/products/AGILE-24-10-01/electricity-tariffs/E-1R-AGILE-24-10-01-G/standard-unit-rates/</x:v>
      </x:c>
    </x:row>
    <x:row r="1328" ht="21" customHeight="1">
      <x:c r="A1328" s="24" t="n">
        <x:v>46176.166666666664</x:v>
      </x:c>
      <x:c r="B1328" s="6" t="n">
        <x:v>0.1718</x:v>
      </x:c>
      <x:c r="C1328" s="6" t="n">
        <x:v>0.1048</x:v>
      </x:c>
      <x:c r="D1328" s="6" t="n">
        <x:f>B1328</x:f>
        <x:v>0.1718</x:v>
      </x:c>
      <x:c r="E1328" s="1" t="n">
        <x:v>1.05</x:v>
      </x:c>
      <x:c r="F1328" s="1" t="str">
        <x:v>https://api.octopus.energy/v1/products/AGILE-24-10-01/electricity-tariffs/E-1R-AGILE-24-10-01-G/standard-unit-rates/</x:v>
      </x:c>
    </x:row>
    <x:row r="1329" ht="21" customHeight="1">
      <x:c r="A1329" s="24" t="n">
        <x:v>46176.1875</x:v>
      </x:c>
      <x:c r="B1329" s="6" t="n">
        <x:v>0.1724</x:v>
      </x:c>
      <x:c r="C1329" s="6" t="n">
        <x:v>0.1051</x:v>
      </x:c>
      <x:c r="D1329" s="6" t="n">
        <x:f>B1329</x:f>
        <x:v>0.1724</x:v>
      </x:c>
      <x:c r="E1329" s="1" t="n">
        <x:v>1.05</x:v>
      </x:c>
      <x:c r="F1329" s="1" t="str">
        <x:v>https://api.octopus.energy/v1/products/AGILE-24-10-01/electricity-tariffs/E-1R-AGILE-24-10-01-G/standard-unit-rates/</x:v>
      </x:c>
    </x:row>
    <x:row r="1330" ht="21" customHeight="1">
      <x:c r="A1330" s="24" t="n">
        <x:v>46176.208333333336</x:v>
      </x:c>
      <x:c r="B1330" s="6" t="n">
        <x:v>0.1892</x:v>
      </x:c>
      <x:c r="C1330" s="6" t="n">
        <x:v>0.1128</x:v>
      </x:c>
      <x:c r="D1330" s="6" t="n">
        <x:f>B1330</x:f>
        <x:v>0.1892</x:v>
      </x:c>
      <x:c r="E1330" s="1" t="n">
        <x:v>1.05</x:v>
      </x:c>
      <x:c r="F1330" s="1" t="str">
        <x:v>https://api.octopus.energy/v1/products/AGILE-24-10-01/electricity-tariffs/E-1R-AGILE-24-10-01-G/standard-unit-rates/</x:v>
      </x:c>
    </x:row>
    <x:row r="1331" ht="21" customHeight="1">
      <x:c r="A1331" s="24" t="n">
        <x:v>46176.229166666664</x:v>
      </x:c>
      <x:c r="B1331" s="6" t="n">
        <x:v>0.19690000000000002</x:v>
      </x:c>
      <x:c r="C1331" s="6" t="n">
        <x:v>0.11630000000000001</x:v>
      </x:c>
      <x:c r="D1331" s="6" t="n">
        <x:f>B1331</x:f>
        <x:v>0.19690000000000002</x:v>
      </x:c>
      <x:c r="E1331" s="1" t="n">
        <x:v>1.05</x:v>
      </x:c>
      <x:c r="F1331" s="1" t="str">
        <x:v>https://api.octopus.energy/v1/products/AGILE-24-10-01/electricity-tariffs/E-1R-AGILE-24-10-01-G/standard-unit-rates/</x:v>
      </x:c>
    </x:row>
    <x:row r="1332" ht="21" customHeight="1">
      <x:c r="A1332" s="24" t="n">
        <x:v>46176.25</x:v>
      </x:c>
      <x:c r="B1332" s="6" t="n">
        <x:v>0.21280000000000002</x:v>
      </x:c>
      <x:c r="C1332" s="6" t="n">
        <x:v>0.1235</x:v>
      </x:c>
      <x:c r="D1332" s="6" t="n">
        <x:f>B1332</x:f>
        <x:v>0.21280000000000002</x:v>
      </x:c>
      <x:c r="E1332" s="1" t="n">
        <x:v>1.05</x:v>
      </x:c>
      <x:c r="F1332" s="1" t="str">
        <x:v>https://api.octopus.energy/v1/products/AGILE-24-10-01/electricity-tariffs/E-1R-AGILE-24-10-01-G/standard-unit-rates/</x:v>
      </x:c>
    </x:row>
    <x:row r="1333" ht="21" customHeight="1">
      <x:c r="A1333" s="24" t="n">
        <x:v>46176.270833333336</x:v>
      </x:c>
      <x:c r="B1333" s="6" t="n">
        <x:v>0.23170000000000002</x:v>
      </x:c>
      <x:c r="C1333" s="6" t="n">
        <x:v>0.1322</x:v>
      </x:c>
      <x:c r="D1333" s="6" t="n">
        <x:f>B1333</x:f>
        <x:v>0.23170000000000002</x:v>
      </x:c>
      <x:c r="E1333" s="1" t="n">
        <x:v>1.05</x:v>
      </x:c>
      <x:c r="F1333" s="1" t="str">
        <x:v>https://api.octopus.energy/v1/products/AGILE-24-10-01/electricity-tariffs/E-1R-AGILE-24-10-01-G/standard-unit-rates/</x:v>
      </x:c>
    </x:row>
    <x:row r="1334" ht="21" customHeight="1">
      <x:c r="A1334" s="24" t="n">
        <x:v>46176.291666666664</x:v>
      </x:c>
      <x:c r="B1334" s="6" t="n">
        <x:v>0.20809999999999998</x:v>
      </x:c>
      <x:c r="C1334" s="6" t="n">
        <x:v>0.12140000000000001</x:v>
      </x:c>
      <x:c r="D1334" s="6" t="n">
        <x:f>B1334</x:f>
        <x:v>0.20809999999999998</x:v>
      </x:c>
      <x:c r="E1334" s="1" t="n">
        <x:v>1.05</x:v>
      </x:c>
      <x:c r="F1334" s="1" t="str">
        <x:v>https://api.octopus.energy/v1/products/AGILE-24-10-01/electricity-tariffs/E-1R-AGILE-24-10-01-G/standard-unit-rates/</x:v>
      </x:c>
    </x:row>
    <x:row r="1335" ht="21" customHeight="1">
      <x:c r="A1335" s="24" t="n">
        <x:v>46176.3125</x:v>
      </x:c>
      <x:c r="B1335" s="6" t="n">
        <x:v>0.2187</x:v>
      </x:c>
      <x:c r="C1335" s="6" t="n">
        <x:v>0.12619999999999998</x:v>
      </x:c>
      <x:c r="D1335" s="6" t="n">
        <x:f>B1335</x:f>
        <x:v>0.2187</x:v>
      </x:c>
      <x:c r="E1335" s="1" t="n">
        <x:v>1.05</x:v>
      </x:c>
      <x:c r="F1335" s="1" t="str">
        <x:v>https://api.octopus.energy/v1/products/AGILE-24-10-01/electricity-tariffs/E-1R-AGILE-24-10-01-G/standard-unit-rates/</x:v>
      </x:c>
    </x:row>
    <x:row r="1336" ht="21" customHeight="1">
      <x:c r="A1336" s="24" t="n">
        <x:v>46176.333333333336</x:v>
      </x:c>
      <x:c r="B1336" s="6" t="n">
        <x:v>0.2089</x:v>
      </x:c>
      <x:c r="C1336" s="6" t="n">
        <x:v>0.12179999999999999</x:v>
      </x:c>
      <x:c r="D1336" s="6" t="n">
        <x:f>B1336</x:f>
        <x:v>0.2089</x:v>
      </x:c>
      <x:c r="E1336" s="1" t="n">
        <x:v>1.05</x:v>
      </x:c>
      <x:c r="F1336" s="1" t="str">
        <x:v>https://api.octopus.energy/v1/products/AGILE-24-10-01/electricity-tariffs/E-1R-AGILE-24-10-01-G/standard-unit-rates/</x:v>
      </x:c>
    </x:row>
    <x:row r="1337" ht="21" customHeight="1">
      <x:c r="A1337" s="24" t="n">
        <x:v>46176.354166666664</x:v>
      </x:c>
      <x:c r="B1337" s="6" t="n">
        <x:v>0.2113</x:v>
      </x:c>
      <x:c r="C1337" s="6" t="n">
        <x:v>0.12279999999999999</x:v>
      </x:c>
      <x:c r="D1337" s="6" t="n">
        <x:f>B1337</x:f>
        <x:v>0.2113</x:v>
      </x:c>
      <x:c r="E1337" s="1" t="n">
        <x:v>1.05</x:v>
      </x:c>
      <x:c r="F1337" s="1" t="str">
        <x:v>https://api.octopus.energy/v1/products/AGILE-24-10-01/electricity-tariffs/E-1R-AGILE-24-10-01-G/standard-unit-rates/</x:v>
      </x:c>
    </x:row>
    <x:row r="1338" ht="21" customHeight="1">
      <x:c r="A1338" s="24" t="n">
        <x:v>46176.375</x:v>
      </x:c>
      <x:c r="B1338" s="6" t="n">
        <x:v>0.21739999999999998</x:v>
      </x:c>
      <x:c r="C1338" s="6" t="n">
        <x:v>0.12560000000000002</x:v>
      </x:c>
      <x:c r="D1338" s="6" t="n">
        <x:f>B1338</x:f>
        <x:v>0.21739999999999998</x:v>
      </x:c>
      <x:c r="E1338" s="1" t="n">
        <x:v>1.05</x:v>
      </x:c>
      <x:c r="F1338" s="1" t="str">
        <x:v>https://api.octopus.energy/v1/products/AGILE-24-10-01/electricity-tariffs/E-1R-AGILE-24-10-01-G/standard-unit-rates/</x:v>
      </x:c>
    </x:row>
    <x:row r="1339" ht="21" customHeight="1">
      <x:c r="A1339" s="24" t="n">
        <x:v>46176.395833333336</x:v>
      </x:c>
      <x:c r="B1339" s="6" t="n">
        <x:v>0.19699999999999998</x:v>
      </x:c>
      <x:c r="C1339" s="6" t="n">
        <x:v>0.11630000000000001</x:v>
      </x:c>
      <x:c r="D1339" s="6" t="n">
        <x:f>B1339</x:f>
        <x:v>0.19699999999999998</x:v>
      </x:c>
      <x:c r="E1339" s="1" t="n">
        <x:v>1.05</x:v>
      </x:c>
      <x:c r="F1339" s="1" t="str">
        <x:v>https://api.octopus.energy/v1/products/AGILE-24-10-01/electricity-tariffs/E-1R-AGILE-24-10-01-G/standard-unit-rates/</x:v>
      </x:c>
    </x:row>
    <x:row r="1340" ht="21" customHeight="1">
      <x:c r="A1340" s="24" t="n">
        <x:v>46176.416666666664</x:v>
      </x:c>
      <x:c r="B1340" s="6" t="n">
        <x:v>0.1923</x:v>
      </x:c>
      <x:c r="C1340" s="6" t="n">
        <x:v>0.1142</x:v>
      </x:c>
      <x:c r="D1340" s="6" t="n">
        <x:f>B1340</x:f>
        <x:v>0.1923</x:v>
      </x:c>
      <x:c r="E1340" s="1" t="n">
        <x:v>1.05</x:v>
      </x:c>
      <x:c r="F1340" s="1" t="str">
        <x:v>https://api.octopus.energy/v1/products/AGILE-24-10-01/electricity-tariffs/E-1R-AGILE-24-10-01-G/standard-unit-rates/</x:v>
      </x:c>
    </x:row>
    <x:row r="1341" ht="21" customHeight="1">
      <x:c r="A1341" s="24" t="n">
        <x:v>46176.4375</x:v>
      </x:c>
      <x:c r="B1341" s="6" t="n">
        <x:v>0.1884</x:v>
      </x:c>
      <x:c r="C1341" s="6" t="n">
        <x:v>0.1124</x:v>
      </x:c>
      <x:c r="D1341" s="6" t="n">
        <x:f>B1341</x:f>
        <x:v>0.1884</x:v>
      </x:c>
      <x:c r="E1341" s="1" t="n">
        <x:v>1.05</x:v>
      </x:c>
      <x:c r="F1341" s="1" t="str">
        <x:v>https://api.octopus.energy/v1/products/AGILE-24-10-01/electricity-tariffs/E-1R-AGILE-24-10-01-G/standard-unit-rates/</x:v>
      </x:c>
    </x:row>
    <x:row r="1342" ht="21" customHeight="1">
      <x:c r="A1342" s="24" t="n">
        <x:v>46176.458333333336</x:v>
      </x:c>
      <x:c r="B1342" s="6" t="n">
        <x:v>0.1661</x:v>
      </x:c>
      <x:c r="C1342" s="6" t="n">
        <x:v>0.10220000000000001</x:v>
      </x:c>
      <x:c r="D1342" s="6" t="n">
        <x:f>B1342</x:f>
        <x:v>0.1661</x:v>
      </x:c>
      <x:c r="E1342" s="1" t="n">
        <x:v>1.05</x:v>
      </x:c>
      <x:c r="F1342" s="1" t="str">
        <x:v>https://api.octopus.energy/v1/products/AGILE-24-10-01/electricity-tariffs/E-1R-AGILE-24-10-01-G/standard-unit-rates/</x:v>
      </x:c>
    </x:row>
    <x:row r="1343" ht="21" customHeight="1">
      <x:c r="A1343" s="24" t="n">
        <x:v>46176.479166666664</x:v>
      </x:c>
      <x:c r="B1343" s="6" t="n">
        <x:v>0.1661</x:v>
      </x:c>
      <x:c r="C1343" s="6" t="n">
        <x:v>0.10220000000000001</x:v>
      </x:c>
      <x:c r="D1343" s="6" t="n">
        <x:f>B1343</x:f>
        <x:v>0.1661</x:v>
      </x:c>
      <x:c r="E1343" s="1" t="n">
        <x:v>1.05</x:v>
      </x:c>
      <x:c r="F1343" s="1" t="str">
        <x:v>https://api.octopus.energy/v1/products/AGILE-24-10-01/electricity-tariffs/E-1R-AGILE-24-10-01-G/standard-unit-rates/</x:v>
      </x:c>
    </x:row>
    <x:row r="1344" ht="21" customHeight="1">
      <x:c r="A1344" s="24" t="n">
        <x:v>46176.5</x:v>
      </x:c>
      <x:c r="B1344" s="6" t="n">
        <x:v>0.1702</x:v>
      </x:c>
      <x:c r="C1344" s="6" t="n">
        <x:v>0.1041</x:v>
      </x:c>
      <x:c r="D1344" s="6" t="n">
        <x:f>B1344</x:f>
        <x:v>0.1702</x:v>
      </x:c>
      <x:c r="E1344" s="1" t="n">
        <x:v>1.05</x:v>
      </x:c>
      <x:c r="F1344" s="1" t="str">
        <x:v>https://api.octopus.energy/v1/products/AGILE-24-10-01/electricity-tariffs/E-1R-AGILE-24-10-01-G/standard-unit-rates/</x:v>
      </x:c>
    </x:row>
    <x:row r="1345" ht="21" customHeight="1">
      <x:c r="A1345" s="24" t="n">
        <x:v>46176.520833333336</x:v>
      </x:c>
      <x:c r="B1345" s="6" t="n">
        <x:v>0.1518</x:v>
      </x:c>
      <x:c r="C1345" s="6" t="n">
        <x:v>0.09570000000000001</x:v>
      </x:c>
      <x:c r="D1345" s="6" t="n">
        <x:f>B1345</x:f>
        <x:v>0.1518</x:v>
      </x:c>
      <x:c r="E1345" s="1" t="n">
        <x:v>1.05</x:v>
      </x:c>
      <x:c r="F1345" s="1" t="str">
        <x:v>https://api.octopus.energy/v1/products/AGILE-24-10-01/electricity-tariffs/E-1R-AGILE-24-10-01-G/standard-unit-rates/</x:v>
      </x:c>
    </x:row>
    <x:row r="1346" ht="21" customHeight="1">
      <x:c r="A1346" s="24" t="n">
        <x:v>46176.541666666664</x:v>
      </x:c>
      <x:c r="B1346" s="6" t="n">
        <x:v>0.1388</x:v>
      </x:c>
      <x:c r="C1346" s="6" t="n">
        <x:v>0.0897</x:v>
      </x:c>
      <x:c r="D1346" s="6" t="n">
        <x:f>B1346</x:f>
        <x:v>0.1388</x:v>
      </x:c>
      <x:c r="E1346" s="1" t="n">
        <x:v>1.05</x:v>
      </x:c>
      <x:c r="F1346" s="1" t="str">
        <x:v>https://api.octopus.energy/v1/products/AGILE-24-10-01/electricity-tariffs/E-1R-AGILE-24-10-01-G/standard-unit-rates/</x:v>
      </x:c>
    </x:row>
    <x:row r="1347" ht="21" customHeight="1">
      <x:c r="A1347" s="24" t="n">
        <x:v>46176.5625</x:v>
      </x:c>
      <x:c r="B1347" s="6" t="n">
        <x:v>0.1306</x:v>
      </x:c>
      <x:c r="C1347" s="6" t="n">
        <x:v>0.086</x:v>
      </x:c>
      <x:c r="D1347" s="6" t="n">
        <x:f>B1347</x:f>
        <x:v>0.1306</x:v>
      </x:c>
      <x:c r="E1347" s="1" t="n">
        <x:v>1.05</x:v>
      </x:c>
      <x:c r="F1347" s="1" t="str">
        <x:v>https://api.octopus.energy/v1/products/AGILE-24-10-01/electricity-tariffs/E-1R-AGILE-24-10-01-G/standard-unit-rates/</x:v>
      </x:c>
    </x:row>
    <x:row r="1348" ht="21" customHeight="1">
      <x:c r="A1348" s="24" t="n">
        <x:v>46176.583333333336</x:v>
      </x:c>
      <x:c r="B1348" s="6" t="n">
        <x:v>0.1056</x:v>
      </x:c>
      <x:c r="C1348" s="6" t="n">
        <x:v>0.0746</x:v>
      </x:c>
      <x:c r="D1348" s="6" t="n">
        <x:f>B1348</x:f>
        <x:v>0.1056</x:v>
      </x:c>
      <x:c r="E1348" s="1" t="n">
        <x:v>1.05</x:v>
      </x:c>
      <x:c r="F1348" s="1" t="str">
        <x:v>https://api.octopus.energy/v1/products/AGILE-24-10-01/electricity-tariffs/E-1R-AGILE-24-10-01-G/standard-unit-rates/</x:v>
      </x:c>
    </x:row>
    <x:row r="1349" ht="21" customHeight="1">
      <x:c r="A1349" s="24" t="n">
        <x:v>46176.604166666664</x:v>
      </x:c>
      <x:c r="B1349" s="6" t="n">
        <x:v>0.09970000000000001</x:v>
      </x:c>
      <x:c r="C1349" s="6" t="n">
        <x:v>0.0719</x:v>
      </x:c>
      <x:c r="D1349" s="6" t="n">
        <x:f>B1349</x:f>
        <x:v>0.09970000000000001</x:v>
      </x:c>
      <x:c r="E1349" s="1" t="n">
        <x:v>1.05</x:v>
      </x:c>
      <x:c r="F1349" s="1" t="str">
        <x:v>https://api.octopus.energy/v1/products/AGILE-24-10-01/electricity-tariffs/E-1R-AGILE-24-10-01-G/standard-unit-rates/</x:v>
      </x:c>
    </x:row>
    <x:row r="1350" ht="21" customHeight="1">
      <x:c r="A1350" s="24" t="n">
        <x:v>46176.625</x:v>
      </x:c>
      <x:c r="B1350" s="6" t="n">
        <x:v>0.1304</x:v>
      </x:c>
      <x:c r="C1350" s="6" t="n">
        <x:v>0.0859</x:v>
      </x:c>
      <x:c r="D1350" s="6" t="n">
        <x:f>B1350</x:f>
        <x:v>0.1304</x:v>
      </x:c>
      <x:c r="E1350" s="1" t="n">
        <x:v>1.05</x:v>
      </x:c>
      <x:c r="F1350" s="1" t="str">
        <x:v>https://api.octopus.energy/v1/products/AGILE-24-10-01/electricity-tariffs/E-1R-AGILE-24-10-01-G/standard-unit-rates/</x:v>
      </x:c>
    </x:row>
    <x:row r="1351" ht="21" customHeight="1">
      <x:c r="A1351" s="24" t="n">
        <x:v>46176.645833333336</x:v>
      </x:c>
      <x:c r="B1351" s="6" t="n">
        <x:v>0.1396</x:v>
      </x:c>
      <x:c r="C1351" s="6" t="n">
        <x:v>0.0901</x:v>
      </x:c>
      <x:c r="D1351" s="6" t="n">
        <x:f>B1351</x:f>
        <x:v>0.1396</x:v>
      </x:c>
      <x:c r="E1351" s="1" t="n">
        <x:v>1.05</x:v>
      </x:c>
      <x:c r="F1351" s="1" t="str">
        <x:v>https://api.octopus.energy/v1/products/AGILE-24-10-01/electricity-tariffs/E-1R-AGILE-24-10-01-G/standard-unit-rates/</x:v>
      </x:c>
    </x:row>
    <x:row r="1352" ht="21" customHeight="1">
      <x:c r="A1352" s="24" t="n">
        <x:v>46176.666666666664</x:v>
      </x:c>
      <x:c r="B1352" s="6" t="n">
        <x:v>0.2646</x:v>
      </x:c>
      <x:c r="C1352" s="6" t="n">
        <x:v>0.15130000000000002</x:v>
      </x:c>
      <x:c r="D1352" s="6" t="n">
        <x:f>B1352</x:f>
        <x:v>0.2646</x:v>
      </x:c>
      <x:c r="E1352" s="1" t="n">
        <x:v>1.05</x:v>
      </x:c>
      <x:c r="F1352" s="1" t="str">
        <x:v>https://api.octopus.energy/v1/products/AGILE-24-10-01/electricity-tariffs/E-1R-AGILE-24-10-01-G/standard-unit-rates/</x:v>
      </x:c>
    </x:row>
    <x:row r="1353" ht="21" customHeight="1">
      <x:c r="A1353" s="24" t="n">
        <x:v>46176.6875</x:v>
      </x:c>
      <x:c r="B1353" s="6" t="n">
        <x:v>0.2756</x:v>
      </x:c>
      <x:c r="C1353" s="6" t="n">
        <x:v>0.1563</x:v>
      </x:c>
      <x:c r="D1353" s="6" t="n">
        <x:f>B1353</x:f>
        <x:v>0.2756</x:v>
      </x:c>
      <x:c r="E1353" s="1" t="n">
        <x:v>1.05</x:v>
      </x:c>
      <x:c r="F1353" s="1" t="str">
        <x:v>https://api.octopus.energy/v1/products/AGILE-24-10-01/electricity-tariffs/E-1R-AGILE-24-10-01-G/standard-unit-rates/</x:v>
      </x:c>
    </x:row>
    <x:row r="1354" ht="21" customHeight="1">
      <x:c r="A1354" s="24" t="n">
        <x:v>46176.708333333336</x:v>
      </x:c>
      <x:c r="B1354" s="6" t="n">
        <x:v>0.2799</x:v>
      </x:c>
      <x:c r="C1354" s="6" t="n">
        <x:v>0.1583</x:v>
      </x:c>
      <x:c r="D1354" s="6" t="n">
        <x:f>B1354</x:f>
        <x:v>0.2799</x:v>
      </x:c>
      <x:c r="E1354" s="1" t="n">
        <x:v>1.05</x:v>
      </x:c>
      <x:c r="F1354" s="1" t="str">
        <x:v>https://api.octopus.energy/v1/products/AGILE-24-10-01/electricity-tariffs/E-1R-AGILE-24-10-01-G/standard-unit-rates/</x:v>
      </x:c>
    </x:row>
    <x:row r="1355" ht="21" customHeight="1">
      <x:c r="A1355" s="24" t="n">
        <x:v>46176.729166666664</x:v>
      </x:c>
      <x:c r="B1355" s="6" t="n">
        <x:v>0.2992</x:v>
      </x:c>
      <x:c r="C1355" s="6" t="n">
        <x:v>0.1671</x:v>
      </x:c>
      <x:c r="D1355" s="6" t="n">
        <x:f>B1355</x:f>
        <x:v>0.2992</x:v>
      </x:c>
      <x:c r="E1355" s="1" t="n">
        <x:v>1.05</x:v>
      </x:c>
      <x:c r="F1355" s="1" t="str">
        <x:v>https://api.octopus.energy/v1/products/AGILE-24-10-01/electricity-tariffs/E-1R-AGILE-24-10-01-G/standard-unit-rates/</x:v>
      </x:c>
    </x:row>
    <x:row r="1356" ht="21" customHeight="1">
      <x:c r="A1356" s="24" t="n">
        <x:v>46176.75</x:v>
      </x:c>
      <x:c r="B1356" s="6" t="n">
        <x:v>0.326</x:v>
      </x:c>
      <x:c r="C1356" s="6" t="n">
        <x:v>0.1793</x:v>
      </x:c>
      <x:c r="D1356" s="6" t="n">
        <x:f>B1356</x:f>
        <x:v>0.326</x:v>
      </x:c>
      <x:c r="E1356" s="1" t="n">
        <x:v>1.05</x:v>
      </x:c>
      <x:c r="F1356" s="1" t="str">
        <x:v>https://api.octopus.energy/v1/products/AGILE-24-10-01/electricity-tariffs/E-1R-AGILE-24-10-01-G/standard-unit-rates/</x:v>
      </x:c>
    </x:row>
    <x:row r="1357" ht="21" customHeight="1">
      <x:c r="A1357" s="24" t="n">
        <x:v>46176.770833333336</x:v>
      </x:c>
      <x:c r="B1357" s="6" t="n">
        <x:v>0.3264</x:v>
      </x:c>
      <x:c r="C1357" s="6" t="n">
        <x:v>0.1795</x:v>
      </x:c>
      <x:c r="D1357" s="6" t="n">
        <x:f>B1357</x:f>
        <x:v>0.3264</x:v>
      </x:c>
      <x:c r="E1357" s="1" t="n">
        <x:v>1.05</x:v>
      </x:c>
      <x:c r="F1357" s="1" t="str">
        <x:v>https://api.octopus.energy/v1/products/AGILE-24-10-01/electricity-tariffs/E-1R-AGILE-24-10-01-G/standard-unit-rates/</x:v>
      </x:c>
    </x:row>
    <x:row r="1358" ht="21" customHeight="1">
      <x:c r="A1358" s="24" t="n">
        <x:v>46176.791666666664</x:v>
      </x:c>
      <x:c r="B1358" s="6" t="n">
        <x:v>0.2089</x:v>
      </x:c>
      <x:c r="C1358" s="6" t="n">
        <x:v>0.12179999999999999</x:v>
      </x:c>
      <x:c r="D1358" s="6" t="n">
        <x:f>B1358</x:f>
        <x:v>0.2089</x:v>
      </x:c>
      <x:c r="E1358" s="1" t="n">
        <x:v>1.05</x:v>
      </x:c>
      <x:c r="F1358" s="1" t="str">
        <x:v>https://api.octopus.energy/v1/products/AGILE-24-10-01/electricity-tariffs/E-1R-AGILE-24-10-01-G/standard-unit-rates/</x:v>
      </x:c>
    </x:row>
    <x:row r="1359" ht="21" customHeight="1">
      <x:c r="A1359" s="24" t="n">
        <x:v>46176.8125</x:v>
      </x:c>
      <x:c r="B1359" s="6" t="n">
        <x:v>0.2141</x:v>
      </x:c>
      <x:c r="C1359" s="6" t="n">
        <x:v>0.1242</x:v>
      </x:c>
      <x:c r="D1359" s="6" t="n">
        <x:f>B1359</x:f>
        <x:v>0.2141</x:v>
      </x:c>
      <x:c r="E1359" s="1" t="n">
        <x:v>1.05</x:v>
      </x:c>
      <x:c r="F1359" s="1" t="str">
        <x:v>https://api.octopus.energy/v1/products/AGILE-24-10-01/electricity-tariffs/E-1R-AGILE-24-10-01-G/standard-unit-rates/</x:v>
      </x:c>
    </x:row>
    <x:row r="1360" ht="21" customHeight="1">
      <x:c r="A1360" s="24" t="n">
        <x:v>46176.833333333336</x:v>
      </x:c>
      <x:c r="B1360" s="6" t="n">
        <x:v>0.20809999999999998</x:v>
      </x:c>
      <x:c r="C1360" s="6" t="n">
        <x:v>0.12140000000000001</x:v>
      </x:c>
      <x:c r="D1360" s="6" t="n">
        <x:f>B1360</x:f>
        <x:v>0.20809999999999998</x:v>
      </x:c>
      <x:c r="E1360" s="1" t="n">
        <x:v>1.05</x:v>
      </x:c>
      <x:c r="F1360" s="1" t="str">
        <x:v>https://api.octopus.energy/v1/products/AGILE-24-10-01/electricity-tariffs/E-1R-AGILE-24-10-01-G/standard-unit-rates/</x:v>
      </x:c>
    </x:row>
    <x:row r="1361" ht="21" customHeight="1">
      <x:c r="A1361" s="24" t="n">
        <x:v>46176.854166666664</x:v>
      </x:c>
      <x:c r="B1361" s="6" t="n">
        <x:v>0.2104</x:v>
      </x:c>
      <x:c r="C1361" s="6" t="n">
        <x:v>0.1225</x:v>
      </x:c>
      <x:c r="D1361" s="6" t="n">
        <x:f>B1361</x:f>
        <x:v>0.2104</x:v>
      </x:c>
      <x:c r="E1361" s="1" t="n">
        <x:v>1.05</x:v>
      </x:c>
      <x:c r="F1361" s="1" t="str">
        <x:v>https://api.octopus.energy/v1/products/AGILE-24-10-01/electricity-tariffs/E-1R-AGILE-24-10-01-G/standard-unit-rates/</x:v>
      </x:c>
    </x:row>
    <x:row r="1362" ht="21" customHeight="1">
      <x:c r="A1362" s="24" t="n">
        <x:v>46176.875</x:v>
      </x:c>
      <x:c r="B1362" s="6" t="n">
        <x:v>0.20809999999999998</x:v>
      </x:c>
      <x:c r="C1362" s="6" t="n">
        <x:v>0.12140000000000001</x:v>
      </x:c>
      <x:c r="D1362" s="6" t="n">
        <x:f>B1362</x:f>
        <x:v>0.20809999999999998</x:v>
      </x:c>
      <x:c r="E1362" s="1" t="n">
        <x:v>1.05</x:v>
      </x:c>
      <x:c r="F1362" s="1" t="str">
        <x:v>https://api.octopus.energy/v1/products/AGILE-24-10-01/electricity-tariffs/E-1R-AGILE-24-10-01-G/standard-unit-rates/</x:v>
      </x:c>
    </x:row>
    <x:row r="1363" ht="21" customHeight="1">
      <x:c r="A1363" s="24" t="n">
        <x:v>46176.895833333336</x:v>
      </x:c>
      <x:c r="B1363" s="6" t="n">
        <x:v>0.1913</x:v>
      </x:c>
      <x:c r="C1363" s="6" t="n">
        <x:v>0.1137</x:v>
      </x:c>
      <x:c r="D1363" s="6" t="n">
        <x:f>B1363</x:f>
        <x:v>0.1913</x:v>
      </x:c>
      <x:c r="E1363" s="1" t="n">
        <x:v>1.05</x:v>
      </x:c>
      <x:c r="F1363" s="1" t="str">
        <x:v>https://api.octopus.energy/v1/products/AGILE-24-10-01/electricity-tariffs/E-1R-AGILE-24-10-01-G/standard-unit-rates/</x:v>
      </x:c>
    </x:row>
    <x:row r="1364" ht="21" customHeight="1">
      <x:c r="A1364" s="24" t="n">
        <x:v>46176.916666666664</x:v>
      </x:c>
      <x:c r="B1364" s="6" t="n">
        <x:v>0.1734</x:v>
      </x:c>
      <x:c r="C1364" s="6" t="n">
        <x:v>0.1056</x:v>
      </x:c>
      <x:c r="D1364" s="6" t="n">
        <x:f>B1364</x:f>
        <x:v>0.1734</x:v>
      </x:c>
      <x:c r="E1364" s="1" t="n">
        <x:v>1.05</x:v>
      </x:c>
      <x:c r="F1364" s="1" t="str">
        <x:v>https://api.octopus.energy/v1/products/AGILE-24-10-01/electricity-tariffs/E-1R-AGILE-24-10-01-G/standard-unit-rates/</x:v>
      </x:c>
    </x:row>
    <x:row r="1365" ht="21" customHeight="1">
      <x:c r="A1365" s="24" t="n">
        <x:v>46176.9375</x:v>
      </x:c>
      <x:c r="B1365" s="6" t="n">
        <x:v>0.142</x:v>
      </x:c>
      <x:c r="C1365" s="6" t="n">
        <x:v>0.09119999999999999</x:v>
      </x:c>
      <x:c r="D1365" s="6" t="n">
        <x:f>B1365</x:f>
        <x:v>0.142</x:v>
      </x:c>
      <x:c r="E1365" s="1" t="n">
        <x:v>1.05</x:v>
      </x:c>
      <x:c r="F1365" s="1" t="str">
        <x:v>https://api.octopus.energy/v1/products/AGILE-24-10-01/electricity-tariffs/E-1R-AGILE-24-10-01-G/standard-unit-rates/</x:v>
      </x:c>
    </x:row>
    <x:row r="1366" ht="21" customHeight="1">
      <x:c r="A1366" s="24" t="n">
        <x:v>46177</x:v>
      </x:c>
      <x:c r="B1366" s="6" t="n">
        <x:v>0.11779999999999999</x:v>
      </x:c>
      <x:c r="C1366" s="6" t="n">
        <x:v>0.0801</x:v>
      </x:c>
      <x:c r="D1366" s="6" t="n">
        <x:f>B1366</x:f>
        <x:v>0.11779999999999999</x:v>
      </x:c>
      <x:c r="E1366" s="1" t="n">
        <x:v>1.05</x:v>
      </x:c>
      <x:c r="F1366" s="1" t="str">
        <x:v>https://api.octopus.energy/v1/products/AGILE-24-10-01/electricity-tariffs/E-1R-AGILE-24-10-01-G/standard-unit-rates/</x:v>
      </x:c>
    </x:row>
    <x:row r="1367" ht="21" customHeight="1">
      <x:c r="A1367" s="24" t="n">
        <x:v>46176.979166666664</x:v>
      </x:c>
      <x:c r="B1367" s="6" t="n">
        <x:v>0.1107</x:v>
      </x:c>
      <x:c r="C1367" s="6" t="n">
        <x:v>0.07690000000000001</x:v>
      </x:c>
      <x:c r="D1367" s="6" t="n">
        <x:f>B1367</x:f>
        <x:v>0.1107</x:v>
      </x:c>
      <x:c r="E1367" s="1" t="n">
        <x:v>1.05</x:v>
      </x:c>
      <x:c r="F1367" s="1" t="str">
        <x:v>https://api.octopus.energy/v1/products/AGILE-24-10-01/electricity-tariffs/E-1R-AGILE-24-10-01-G/standard-unit-rates/</x:v>
      </x:c>
    </x:row>
    <x:row r="1368" ht="21" customHeight="1">
      <x:c r="A1368" s="24" t="n">
        <x:v>46177</x:v>
      </x:c>
      <x:c r="B1368" s="6" t="n">
        <x:v>0.0817</x:v>
      </x:c>
      <x:c r="C1368" s="6" t="n">
        <x:v>0.0636</x:v>
      </x:c>
      <x:c r="D1368" s="6" t="n">
        <x:f>B1368</x:f>
        <x:v>0.0817</x:v>
      </x:c>
      <x:c r="E1368" s="1" t="n">
        <x:v>1.05</x:v>
      </x:c>
      <x:c r="F1368" s="1" t="str">
        <x:v>https://api.octopus.energy/v1/products/AGILE-24-10-01/electricity-tariffs/E-1R-AGILE-24-10-01-G/standard-unit-rates/</x:v>
      </x:c>
    </x:row>
    <x:row r="1369" ht="21" customHeight="1">
      <x:c r="A1369" s="24" t="n">
        <x:v>46177.020833333336</x:v>
      </x:c>
      <x:c r="B1369" s="6" t="n">
        <x:v>0.0775</x:v>
      </x:c>
      <x:c r="C1369" s="6" t="n">
        <x:v>0.0617</x:v>
      </x:c>
      <x:c r="D1369" s="6" t="n">
        <x:f>B1369</x:f>
        <x:v>0.0775</x:v>
      </x:c>
      <x:c r="E1369" s="1" t="n">
        <x:v>1.05</x:v>
      </x:c>
      <x:c r="F1369" s="1" t="str">
        <x:v>https://api.octopus.energy/v1/products/AGILE-24-10-01/electricity-tariffs/E-1R-AGILE-24-10-01-G/standard-unit-rates/</x:v>
      </x:c>
    </x:row>
    <x:row r="1370" ht="21" customHeight="1">
      <x:c r="A1370" s="24" t="n">
        <x:v>46177.041666666664</x:v>
      </x:c>
      <x:c r="B1370" s="6" t="n">
        <x:v>0.0892</x:v>
      </x:c>
      <x:c r="C1370" s="6" t="n">
        <x:v>0.06709999999999999</x:v>
      </x:c>
      <x:c r="D1370" s="6" t="n">
        <x:f>B1370</x:f>
        <x:v>0.0892</x:v>
      </x:c>
      <x:c r="E1370" s="1" t="n">
        <x:v>1.05</x:v>
      </x:c>
      <x:c r="F1370" s="1" t="str">
        <x:v>https://api.octopus.energy/v1/products/AGILE-24-10-01/electricity-tariffs/E-1R-AGILE-24-10-01-G/standard-unit-rates/</x:v>
      </x:c>
    </x:row>
    <x:row r="1371" ht="21" customHeight="1">
      <x:c r="A1371" s="24" t="n">
        <x:v>46177.0625</x:v>
      </x:c>
      <x:c r="B1371" s="6" t="n">
        <x:v>0.0926</x:v>
      </x:c>
      <x:c r="C1371" s="6" t="n">
        <x:v>0.06860000000000001</x:v>
      </x:c>
      <x:c r="D1371" s="6" t="n">
        <x:f>B1371</x:f>
        <x:v>0.0926</x:v>
      </x:c>
      <x:c r="E1371" s="1" t="n">
        <x:v>1.05</x:v>
      </x:c>
      <x:c r="F1371" s="1" t="str">
        <x:v>https://api.octopus.energy/v1/products/AGILE-24-10-01/electricity-tariffs/E-1R-AGILE-24-10-01-G/standard-unit-rates/</x:v>
      </x:c>
    </x:row>
    <x:row r="1372" ht="21" customHeight="1">
      <x:c r="A1372" s="24" t="n">
        <x:v>46177.083333333336</x:v>
      </x:c>
      <x:c r="B1372" s="6" t="n">
        <x:v>0.0917</x:v>
      </x:c>
      <x:c r="C1372" s="6" t="n">
        <x:v>0.0682</x:v>
      </x:c>
      <x:c r="D1372" s="6" t="n">
        <x:f>B1372</x:f>
        <x:v>0.0917</x:v>
      </x:c>
      <x:c r="E1372" s="1" t="n">
        <x:v>1.05</x:v>
      </x:c>
      <x:c r="F1372" s="1" t="str">
        <x:v>https://api.octopus.energy/v1/products/AGILE-24-10-01/electricity-tariffs/E-1R-AGILE-24-10-01-G/standard-unit-rates/</x:v>
      </x:c>
    </x:row>
    <x:row r="1373" ht="21" customHeight="1">
      <x:c r="A1373" s="24" t="n">
        <x:v>46177.104166666664</x:v>
      </x:c>
      <x:c r="B1373" s="6" t="n">
        <x:v>0.0859</x:v>
      </x:c>
      <x:c r="C1373" s="6" t="n">
        <x:v>0.0655</x:v>
      </x:c>
      <x:c r="D1373" s="6" t="n">
        <x:f>B1373</x:f>
        <x:v>0.0859</x:v>
      </x:c>
      <x:c r="E1373" s="1" t="n">
        <x:v>1.05</x:v>
      </x:c>
      <x:c r="F1373" s="1" t="str">
        <x:v>https://api.octopus.energy/v1/products/AGILE-24-10-01/electricity-tariffs/E-1R-AGILE-24-10-01-G/standard-unit-rates/</x:v>
      </x:c>
    </x:row>
    <x:row r="1374" ht="21" customHeight="1">
      <x:c r="A1374" s="24" t="n">
        <x:v>46177.125</x:v>
      </x:c>
      <x:c r="B1374" s="6" t="n">
        <x:v>0.0849</x:v>
      </x:c>
      <x:c r="C1374" s="6" t="n">
        <x:v>0.06509999999999999</x:v>
      </x:c>
      <x:c r="D1374" s="6" t="n">
        <x:f>B1374</x:f>
        <x:v>0.0849</x:v>
      </x:c>
      <x:c r="E1374" s="1" t="n">
        <x:v>1.05</x:v>
      </x:c>
      <x:c r="F1374" s="1" t="str">
        <x:v>https://api.octopus.energy/v1/products/AGILE-24-10-01/electricity-tariffs/E-1R-AGILE-24-10-01-G/standard-unit-rates/</x:v>
      </x:c>
    </x:row>
    <x:row r="1375" ht="21" customHeight="1">
      <x:c r="A1375" s="24" t="n">
        <x:v>46177.145833333336</x:v>
      </x:c>
      <x:c r="B1375" s="6" t="n">
        <x:v>0.0842</x:v>
      </x:c>
      <x:c r="C1375" s="6" t="n">
        <x:v>0.06480000000000001</x:v>
      </x:c>
      <x:c r="D1375" s="6" t="n">
        <x:f>B1375</x:f>
        <x:v>0.0842</x:v>
      </x:c>
      <x:c r="E1375" s="1" t="n">
        <x:v>1.05</x:v>
      </x:c>
      <x:c r="F1375" s="1" t="str">
        <x:v>https://api.octopus.energy/v1/products/AGILE-24-10-01/electricity-tariffs/E-1R-AGILE-24-10-01-G/standard-unit-rates/</x:v>
      </x:c>
    </x:row>
    <x:row r="1376" ht="21" customHeight="1">
      <x:c r="A1376" s="24" t="n">
        <x:v>46177.166666666664</x:v>
      </x:c>
      <x:c r="B1376" s="6" t="n">
        <x:v>0.0858</x:v>
      </x:c>
      <x:c r="C1376" s="6" t="n">
        <x:v>0.0655</x:v>
      </x:c>
      <x:c r="D1376" s="6" t="n">
        <x:f>B1376</x:f>
        <x:v>0.0858</x:v>
      </x:c>
      <x:c r="E1376" s="1" t="n">
        <x:v>1.05</x:v>
      </x:c>
      <x:c r="F1376" s="1" t="str">
        <x:v>https://api.octopus.energy/v1/products/AGILE-24-10-01/electricity-tariffs/E-1R-AGILE-24-10-01-G/standard-unit-rates/</x:v>
      </x:c>
    </x:row>
    <x:row r="1377" ht="21" customHeight="1">
      <x:c r="A1377" s="24" t="n">
        <x:v>46177.1875</x:v>
      </x:c>
      <x:c r="B1377" s="6" t="n">
        <x:v>0.0863</x:v>
      </x:c>
      <x:c r="C1377" s="6" t="n">
        <x:v>0.06570000000000001</x:v>
      </x:c>
      <x:c r="D1377" s="6" t="n">
        <x:f>B1377</x:f>
        <x:v>0.0863</x:v>
      </x:c>
      <x:c r="E1377" s="1" t="n">
        <x:v>1.05</x:v>
      </x:c>
      <x:c r="F1377" s="1" t="str">
        <x:v>https://api.octopus.energy/v1/products/AGILE-24-10-01/electricity-tariffs/E-1R-AGILE-24-10-01-G/standard-unit-rates/</x:v>
      </x:c>
    </x:row>
    <x:row r="1378" ht="21" customHeight="1">
      <x:c r="A1378" s="24" t="n">
        <x:v>46177.208333333336</x:v>
      </x:c>
      <x:c r="B1378" s="6" t="n">
        <x:v>0.0832</x:v>
      </x:c>
      <x:c r="C1378" s="6" t="n">
        <x:v>0.0643</x:v>
      </x:c>
      <x:c r="D1378" s="6" t="n">
        <x:f>B1378</x:f>
        <x:v>0.0832</x:v>
      </x:c>
      <x:c r="E1378" s="1" t="n">
        <x:v>1.05</x:v>
      </x:c>
      <x:c r="F1378" s="1" t="str">
        <x:v>https://api.octopus.energy/v1/products/AGILE-24-10-01/electricity-tariffs/E-1R-AGILE-24-10-01-G/standard-unit-rates/</x:v>
      </x:c>
    </x:row>
    <x:row r="1379" ht="21" customHeight="1">
      <x:c r="A1379" s="24" t="n">
        <x:v>46177.229166666664</x:v>
      </x:c>
      <x:c r="B1379" s="6" t="n">
        <x:v>0.0821</x:v>
      </x:c>
      <x:c r="C1379" s="6" t="n">
        <x:v>0.0638</x:v>
      </x:c>
      <x:c r="D1379" s="6" t="n">
        <x:f>B1379</x:f>
        <x:v>0.0821</x:v>
      </x:c>
      <x:c r="E1379" s="1" t="n">
        <x:v>1.05</x:v>
      </x:c>
      <x:c r="F1379" s="1" t="str">
        <x:v>https://api.octopus.energy/v1/products/AGILE-24-10-01/electricity-tariffs/E-1R-AGILE-24-10-01-G/standard-unit-rates/</x:v>
      </x:c>
    </x:row>
    <x:row r="1380" ht="21" customHeight="1">
      <x:c r="A1380" s="24" t="n">
        <x:v>46177.25</x:v>
      </x:c>
      <x:c r="B1380" s="6" t="n">
        <x:v>0.0876</x:v>
      </x:c>
      <x:c r="C1380" s="6" t="n">
        <x:v>0.0663</x:v>
      </x:c>
      <x:c r="D1380" s="6" t="n">
        <x:f>B1380</x:f>
        <x:v>0.0876</x:v>
      </x:c>
      <x:c r="E1380" s="1" t="n">
        <x:v>1.05</x:v>
      </x:c>
      <x:c r="F1380" s="1" t="str">
        <x:v>https://api.octopus.energy/v1/products/AGILE-24-10-01/electricity-tariffs/E-1R-AGILE-24-10-01-G/standard-unit-rates/</x:v>
      </x:c>
    </x:row>
    <x:row r="1381" ht="21" customHeight="1">
      <x:c r="A1381" s="24" t="n">
        <x:v>46177.270833333336</x:v>
      </x:c>
      <x:c r="B1381" s="6" t="n">
        <x:v>0.12210000000000001</x:v>
      </x:c>
      <x:c r="C1381" s="6" t="n">
        <x:v>0.0821</x:v>
      </x:c>
      <x:c r="D1381" s="6" t="n">
        <x:f>B1381</x:f>
        <x:v>0.12210000000000001</x:v>
      </x:c>
      <x:c r="E1381" s="1" t="n">
        <x:v>1.05</x:v>
      </x:c>
      <x:c r="F1381" s="1" t="str">
        <x:v>https://api.octopus.energy/v1/products/AGILE-24-10-01/electricity-tariffs/E-1R-AGILE-24-10-01-G/standard-unit-rates/</x:v>
      </x:c>
    </x:row>
    <x:row r="1382" ht="21" customHeight="1">
      <x:c r="A1382" s="24" t="n">
        <x:v>46177.291666666664</x:v>
      </x:c>
      <x:c r="B1382" s="6" t="n">
        <x:v>0.122</x:v>
      </x:c>
      <x:c r="C1382" s="6" t="n">
        <x:v>0.08199999999999999</x:v>
      </x:c>
      <x:c r="D1382" s="6" t="n">
        <x:f>B1382</x:f>
        <x:v>0.122</x:v>
      </x:c>
      <x:c r="E1382" s="1" t="n">
        <x:v>1.05</x:v>
      </x:c>
      <x:c r="F1382" s="1" t="str">
        <x:v>https://api.octopus.energy/v1/products/AGILE-24-10-01/electricity-tariffs/E-1R-AGILE-24-10-01-G/standard-unit-rates/</x:v>
      </x:c>
    </x:row>
    <x:row r="1383" ht="21" customHeight="1">
      <x:c r="A1383" s="24" t="n">
        <x:v>46177.3125</x:v>
      </x:c>
      <x:c r="B1383" s="6" t="n">
        <x:v>0.12619999999999998</x:v>
      </x:c>
      <x:c r="C1383" s="6" t="n">
        <x:v>0.084</x:v>
      </x:c>
      <x:c r="D1383" s="6" t="n">
        <x:f>B1383</x:f>
        <x:v>0.12619999999999998</x:v>
      </x:c>
      <x:c r="E1383" s="1" t="n">
        <x:v>1.05</x:v>
      </x:c>
      <x:c r="F1383" s="1" t="str">
        <x:v>https://api.octopus.energy/v1/products/AGILE-24-10-01/electricity-tariffs/E-1R-AGILE-24-10-01-G/standard-unit-rates/</x:v>
      </x:c>
    </x:row>
    <x:row r="1384" ht="21" customHeight="1">
      <x:c r="A1384" s="24" t="n">
        <x:v>46177.333333333336</x:v>
      </x:c>
      <x:c r="B1384" s="6" t="n">
        <x:v>0.1231</x:v>
      </x:c>
      <x:c r="C1384" s="6" t="n">
        <x:v>0.0825</x:v>
      </x:c>
      <x:c r="D1384" s="6" t="n">
        <x:f>B1384</x:f>
        <x:v>0.1231</x:v>
      </x:c>
      <x:c r="E1384" s="1" t="n">
        <x:v>1.05</x:v>
      </x:c>
      <x:c r="F1384" s="1" t="str">
        <x:v>https://api.octopus.energy/v1/products/AGILE-24-10-01/electricity-tariffs/E-1R-AGILE-24-10-01-G/standard-unit-rates/</x:v>
      </x:c>
    </x:row>
    <x:row r="1385" ht="21" customHeight="1">
      <x:c r="A1385" s="24" t="n">
        <x:v>46177.354166666664</x:v>
      </x:c>
      <x:c r="B1385" s="6" t="n">
        <x:v>0.1241</x:v>
      </x:c>
      <x:c r="C1385" s="6" t="n">
        <x:v>0.083</x:v>
      </x:c>
      <x:c r="D1385" s="6" t="n">
        <x:f>B1385</x:f>
        <x:v>0.1241</x:v>
      </x:c>
      <x:c r="E1385" s="1" t="n">
        <x:v>1.05</x:v>
      </x:c>
      <x:c r="F1385" s="1" t="str">
        <x:v>https://api.octopus.energy/v1/products/AGILE-24-10-01/electricity-tariffs/E-1R-AGILE-24-10-01-G/standard-unit-rates/</x:v>
      </x:c>
    </x:row>
    <x:row r="1386" ht="21" customHeight="1">
      <x:c r="A1386" s="24" t="n">
        <x:v>46177.375</x:v>
      </x:c>
      <x:c r="B1386" s="6" t="n">
        <x:v>0.142</x:v>
      </x:c>
      <x:c r="C1386" s="6" t="n">
        <x:v>0.09119999999999999</x:v>
      </x:c>
      <x:c r="D1386" s="6" t="n">
        <x:f>B1386</x:f>
        <x:v>0.142</x:v>
      </x:c>
      <x:c r="E1386" s="1" t="n">
        <x:v>1.05</x:v>
      </x:c>
      <x:c r="F1386" s="1" t="str">
        <x:v>https://api.octopus.energy/v1/products/AGILE-24-10-01/electricity-tariffs/E-1R-AGILE-24-10-01-G/standard-unit-rates/</x:v>
      </x:c>
    </x:row>
    <x:row r="1387" ht="21" customHeight="1">
      <x:c r="A1387" s="24" t="n">
        <x:v>46177.395833333336</x:v>
      </x:c>
      <x:c r="B1387" s="6" t="n">
        <x:v>0.1283</x:v>
      </x:c>
      <x:c r="C1387" s="6" t="n">
        <x:v>0.0849</x:v>
      </x:c>
      <x:c r="D1387" s="6" t="n">
        <x:f>B1387</x:f>
        <x:v>0.1283</x:v>
      </x:c>
      <x:c r="E1387" s="1" t="n">
        <x:v>1.05</x:v>
      </x:c>
      <x:c r="F1387" s="1" t="str">
        <x:v>https://api.octopus.energy/v1/products/AGILE-24-10-01/electricity-tariffs/E-1R-AGILE-24-10-01-G/standard-unit-rates/</x:v>
      </x:c>
    </x:row>
    <x:row r="1388" ht="21" customHeight="1">
      <x:c r="A1388" s="24" t="n">
        <x:v>46177.416666666664</x:v>
      </x:c>
      <x:c r="B1388" s="6" t="n">
        <x:v>0.1207</x:v>
      </x:c>
      <x:c r="C1388" s="6" t="n">
        <x:v>0.0815</x:v>
      </x:c>
      <x:c r="D1388" s="6" t="n">
        <x:f>B1388</x:f>
        <x:v>0.1207</x:v>
      </x:c>
      <x:c r="E1388" s="1" t="n">
        <x:v>1.05</x:v>
      </x:c>
      <x:c r="F1388" s="1" t="str">
        <x:v>https://api.octopus.energy/v1/products/AGILE-24-10-01/electricity-tariffs/E-1R-AGILE-24-10-01-G/standard-unit-rates/</x:v>
      </x:c>
    </x:row>
    <x:row r="1389" ht="21" customHeight="1">
      <x:c r="A1389" s="24" t="n">
        <x:v>46177.4375</x:v>
      </x:c>
      <x:c r="B1389" s="6" t="n">
        <x:v>0.0949</x:v>
      </x:c>
      <x:c r="C1389" s="6" t="n">
        <x:v>0.0697</x:v>
      </x:c>
      <x:c r="D1389" s="6" t="n">
        <x:f>B1389</x:f>
        <x:v>0.0949</x:v>
      </x:c>
      <x:c r="E1389" s="1" t="n">
        <x:v>1.05</x:v>
      </x:c>
      <x:c r="F1389" s="1" t="str">
        <x:v>https://api.octopus.energy/v1/products/AGILE-24-10-01/electricity-tariffs/E-1R-AGILE-24-10-01-G/standard-unit-rates/</x:v>
      </x:c>
    </x:row>
    <x:row r="1390" ht="21" customHeight="1">
      <x:c r="A1390" s="24" t="n">
        <x:v>46177.458333333336</x:v>
      </x:c>
      <x:c r="B1390" s="6" t="n">
        <x:v>0.0695</x:v>
      </x:c>
      <x:c r="C1390" s="6" t="n">
        <x:v>0.057999999999999996</x:v>
      </x:c>
      <x:c r="D1390" s="6" t="n">
        <x:f>B1390</x:f>
        <x:v>0.0695</x:v>
      </x:c>
      <x:c r="E1390" s="1" t="n">
        <x:v>1.05</x:v>
      </x:c>
      <x:c r="F1390" s="1" t="str">
        <x:v>https://api.octopus.energy/v1/products/AGILE-24-10-01/electricity-tariffs/E-1R-AGILE-24-10-01-G/standard-unit-rates/</x:v>
      </x:c>
    </x:row>
    <x:row r="1391" ht="21" customHeight="1">
      <x:c r="A1391" s="24" t="n">
        <x:v>46177.479166666664</x:v>
      </x:c>
      <x:c r="B1391" s="6" t="n">
        <x:v>0.0691</x:v>
      </x:c>
      <x:c r="C1391" s="6" t="n">
        <x:v>0.057800000000000004</x:v>
      </x:c>
      <x:c r="D1391" s="6" t="n">
        <x:f>B1391</x:f>
        <x:v>0.0691</x:v>
      </x:c>
      <x:c r="E1391" s="1" t="n">
        <x:v>1.05</x:v>
      </x:c>
      <x:c r="F1391" s="1" t="str">
        <x:v>https://api.octopus.energy/v1/products/AGILE-24-10-01/electricity-tariffs/E-1R-AGILE-24-10-01-G/standard-unit-rates/</x:v>
      </x:c>
    </x:row>
    <x:row r="1392" ht="21" customHeight="1">
      <x:c r="A1392" s="24" t="n">
        <x:v>46177.5</x:v>
      </x:c>
      <x:c r="B1392" s="6" t="n">
        <x:v>0.0541</x:v>
      </x:c>
      <x:c r="C1392" s="6" t="n">
        <x:v>0.051</x:v>
      </x:c>
      <x:c r="D1392" s="6" t="n">
        <x:f>B1392</x:f>
        <x:v>0.0541</x:v>
      </x:c>
      <x:c r="E1392" s="1" t="n">
        <x:v>1.05</x:v>
      </x:c>
      <x:c r="F1392" s="1" t="str">
        <x:v>https://api.octopus.energy/v1/products/AGILE-24-10-01/electricity-tariffs/E-1R-AGILE-24-10-01-G/standard-unit-rates/</x:v>
      </x:c>
    </x:row>
    <x:row r="1393" ht="21" customHeight="1">
      <x:c r="A1393" s="24" t="n">
        <x:v>46177.520833333336</x:v>
      </x:c>
      <x:c r="B1393" s="6" t="n">
        <x:v>0.0352</x:v>
      </x:c>
      <x:c r="C1393" s="6" t="n">
        <x:v>0.0424</x:v>
      </x:c>
      <x:c r="D1393" s="6" t="n">
        <x:f>B1393</x:f>
        <x:v>0.0352</x:v>
      </x:c>
      <x:c r="E1393" s="1" t="n">
        <x:v>1.05</x:v>
      </x:c>
      <x:c r="F1393" s="1" t="str">
        <x:v>https://api.octopus.energy/v1/products/AGILE-24-10-01/electricity-tariffs/E-1R-AGILE-24-10-01-G/standard-unit-rates/</x:v>
      </x:c>
    </x:row>
    <x:row r="1394" ht="21" customHeight="1">
      <x:c r="A1394" s="24" t="n">
        <x:v>46177.541666666664</x:v>
      </x:c>
      <x:c r="B1394" s="6" t="n">
        <x:v>0.0189</x:v>
      </x:c>
      <x:c r="C1394" s="6" t="n">
        <x:v>0.0349</x:v>
      </x:c>
      <x:c r="D1394" s="6" t="n">
        <x:f>B1394</x:f>
        <x:v>0.0189</x:v>
      </x:c>
      <x:c r="E1394" s="1" t="n">
        <x:v>1.05</x:v>
      </x:c>
      <x:c r="F1394" s="1" t="str">
        <x:v>https://api.octopus.energy/v1/products/AGILE-24-10-01/electricity-tariffs/E-1R-AGILE-24-10-01-G/standard-unit-rates/</x:v>
      </x:c>
    </x:row>
    <x:row r="1395" ht="21" customHeight="1">
      <x:c r="A1395" s="24" t="n">
        <x:v>46177.5625</x:v>
      </x:c>
      <x:c r="B1395" s="6" t="n">
        <x:v>-0.0032</x:v>
      </x:c>
      <x:c r="C1395" s="6" t="n">
        <x:v>0.0248</x:v>
      </x:c>
      <x:c r="D1395" s="6" t="n">
        <x:f>B1395</x:f>
        <x:v>-0.0032</x:v>
      </x:c>
      <x:c r="E1395" s="1" t="n">
        <x:v>1.05</x:v>
      </x:c>
      <x:c r="F1395" s="1" t="str">
        <x:v>https://api.octopus.energy/v1/products/AGILE-24-10-01/electricity-tariffs/E-1R-AGILE-24-10-01-G/standard-unit-rates/</x:v>
      </x:c>
    </x:row>
    <x:row r="1396" ht="21" customHeight="1">
      <x:c r="A1396" s="24" t="n">
        <x:v>46177.583333333336</x:v>
      </x:c>
      <x:c r="B1396" s="6" t="n">
        <x:v>0.0073</x:v>
      </x:c>
      <x:c r="C1396" s="6" t="n">
        <x:v>0.0296</x:v>
      </x:c>
      <x:c r="D1396" s="6" t="n">
        <x:f>B1396</x:f>
        <x:v>0.0073</x:v>
      </x:c>
      <x:c r="E1396" s="1" t="n">
        <x:v>1.05</x:v>
      </x:c>
      <x:c r="F1396" s="1" t="str">
        <x:v>https://api.octopus.energy/v1/products/AGILE-24-10-01/electricity-tariffs/E-1R-AGILE-24-10-01-G/standard-unit-rates/</x:v>
      </x:c>
    </x:row>
    <x:row r="1397" ht="21" customHeight="1">
      <x:c r="A1397" s="24" t="n">
        <x:v>46177.604166666664</x:v>
      </x:c>
      <x:c r="B1397" s="6" t="n">
        <x:v>-0.0124</x:v>
      </x:c>
      <x:c r="C1397" s="6" t="n">
        <x:v>0.0206</x:v>
      </x:c>
      <x:c r="D1397" s="6" t="n">
        <x:f>B1397</x:f>
        <x:v>-0.0124</x:v>
      </x:c>
      <x:c r="E1397" s="1" t="n">
        <x:v>1.05</x:v>
      </x:c>
      <x:c r="F1397" s="1" t="str">
        <x:v>https://api.octopus.energy/v1/products/AGILE-24-10-01/electricity-tariffs/E-1R-AGILE-24-10-01-G/standard-unit-rates/</x:v>
      </x:c>
    </x:row>
    <x:row r="1398" ht="21" customHeight="1">
      <x:c r="A1398" s="24" t="n">
        <x:v>46177.625</x:v>
      </x:c>
      <x:c r="B1398" s="6" t="n">
        <x:v>-0.008199999999999999</x:v>
      </x:c>
      <x:c r="C1398" s="6" t="n">
        <x:v>0.0225</x:v>
      </x:c>
      <x:c r="D1398" s="6" t="n">
        <x:f>B1398</x:f>
        <x:v>-0.008199999999999999</x:v>
      </x:c>
      <x:c r="E1398" s="1" t="n">
        <x:v>1.05</x:v>
      </x:c>
      <x:c r="F1398" s="1" t="str">
        <x:v>https://api.octopus.energy/v1/products/AGILE-24-10-01/electricity-tariffs/E-1R-AGILE-24-10-01-G/standard-unit-rates/</x:v>
      </x:c>
    </x:row>
    <x:row r="1399" ht="21" customHeight="1">
      <x:c r="A1399" s="24" t="n">
        <x:v>46177.645833333336</x:v>
      </x:c>
      <x:c r="B1399" s="6" t="n">
        <x:v>0.0048</x:v>
      </x:c>
      <x:c r="C1399" s="6" t="n">
        <x:v>0.0285</x:v>
      </x:c>
      <x:c r="D1399" s="6" t="n">
        <x:f>B1399</x:f>
        <x:v>0.0048</x:v>
      </x:c>
      <x:c r="E1399" s="1" t="n">
        <x:v>1.05</x:v>
      </x:c>
      <x:c r="F1399" s="1" t="str">
        <x:v>https://api.octopus.energy/v1/products/AGILE-24-10-01/electricity-tariffs/E-1R-AGILE-24-10-01-G/standard-unit-rates/</x:v>
      </x:c>
    </x:row>
    <x:row r="1400" ht="21" customHeight="1">
      <x:c r="A1400" s="24" t="n">
        <x:v>46177.666666666664</x:v>
      </x:c>
      <x:c r="B1400" s="6" t="n">
        <x:v>0.1334</x:v>
      </x:c>
      <x:c r="C1400" s="6" t="n">
        <x:v>0.0913</x:v>
      </x:c>
      <x:c r="D1400" s="6" t="n">
        <x:f>B1400</x:f>
        <x:v>0.1334</x:v>
      </x:c>
      <x:c r="E1400" s="1" t="n">
        <x:v>1.05</x:v>
      </x:c>
      <x:c r="F1400" s="1" t="str">
        <x:v>https://api.octopus.energy/v1/products/AGILE-24-10-01/electricity-tariffs/E-1R-AGILE-24-10-01-G/standard-unit-rates/</x:v>
      </x:c>
    </x:row>
    <x:row r="1401" ht="21" customHeight="1">
      <x:c r="A1401" s="24" t="n">
        <x:v>46177.6875</x:v>
      </x:c>
      <x:c r="B1401" s="6" t="n">
        <x:v>0.18739999999999998</x:v>
      </x:c>
      <x:c r="C1401" s="6" t="n">
        <x:v>0.11599999999999999</x:v>
      </x:c>
      <x:c r="D1401" s="6" t="n">
        <x:f>B1401</x:f>
        <x:v>0.18739999999999998</x:v>
      </x:c>
      <x:c r="E1401" s="1" t="n">
        <x:v>1.05</x:v>
      </x:c>
      <x:c r="F1401" s="1" t="str">
        <x:v>https://api.octopus.energy/v1/products/AGILE-24-10-01/electricity-tariffs/E-1R-AGILE-24-10-01-G/standard-unit-rates/</x:v>
      </x:c>
    </x:row>
    <x:row r="1402" ht="21" customHeight="1">
      <x:c r="A1402" s="24" t="n">
        <x:v>46177.708333333336</x:v>
      </x:c>
      <x:c r="B1402" s="6" t="n">
        <x:v>0.242</x:v>
      </x:c>
      <x:c r="C1402" s="6" t="n">
        <x:v>0.1409</x:v>
      </x:c>
      <x:c r="D1402" s="6" t="n">
        <x:f>B1402</x:f>
        <x:v>0.242</x:v>
      </x:c>
      <x:c r="E1402" s="1" t="n">
        <x:v>1.05</x:v>
      </x:c>
      <x:c r="F1402" s="1" t="str">
        <x:v>https://api.octopus.energy/v1/products/AGILE-24-10-01/electricity-tariffs/E-1R-AGILE-24-10-01-G/standard-unit-rates/</x:v>
      </x:c>
    </x:row>
    <x:row r="1403" ht="21" customHeight="1">
      <x:c r="A1403" s="24" t="n">
        <x:v>46177.729166666664</x:v>
      </x:c>
      <x:c r="B1403" s="6" t="n">
        <x:v>0.2632</x:v>
      </x:c>
      <x:c r="C1403" s="6" t="n">
        <x:v>0.1506</x:v>
      </x:c>
      <x:c r="D1403" s="6" t="n">
        <x:f>B1403</x:f>
        <x:v>0.2632</x:v>
      </x:c>
      <x:c r="E1403" s="1" t="n">
        <x:v>1.05</x:v>
      </x:c>
      <x:c r="F1403" s="1" t="str">
        <x:v>https://api.octopus.energy/v1/products/AGILE-24-10-01/electricity-tariffs/E-1R-AGILE-24-10-01-G/standard-unit-rates/</x:v>
      </x:c>
    </x:row>
    <x:row r="1404" ht="21" customHeight="1">
      <x:c r="A1404" s="24" t="n">
        <x:v>46177.75</x:v>
      </x:c>
      <x:c r="B1404" s="6" t="n">
        <x:v>0.2848</x:v>
      </x:c>
      <x:c r="C1404" s="6" t="n">
        <x:v>0.1605</x:v>
      </x:c>
      <x:c r="D1404" s="6" t="n">
        <x:f>B1404</x:f>
        <x:v>0.2848</x:v>
      </x:c>
      <x:c r="E1404" s="1" t="n">
        <x:v>1.05</x:v>
      </x:c>
      <x:c r="F1404" s="1" t="str">
        <x:v>https://api.octopus.energy/v1/products/AGILE-24-10-01/electricity-tariffs/E-1R-AGILE-24-10-01-G/standard-unit-rates/</x:v>
      </x:c>
    </x:row>
    <x:row r="1405" ht="21" customHeight="1">
      <x:c r="A1405" s="24" t="n">
        <x:v>46177.770833333336</x:v>
      </x:c>
      <x:c r="B1405" s="6" t="n">
        <x:v>0.2919</x:v>
      </x:c>
      <x:c r="C1405" s="6" t="n">
        <x:v>0.1638</x:v>
      </x:c>
      <x:c r="D1405" s="6" t="n">
        <x:f>B1405</x:f>
        <x:v>0.2919</x:v>
      </x:c>
      <x:c r="E1405" s="1" t="n">
        <x:v>1.05</x:v>
      </x:c>
      <x:c r="F1405" s="1" t="str">
        <x:v>https://api.octopus.energy/v1/products/AGILE-24-10-01/electricity-tariffs/E-1R-AGILE-24-10-01-G/standard-unit-rates/</x:v>
      </x:c>
    </x:row>
    <x:row r="1406" ht="21" customHeight="1">
      <x:c r="A1406" s="24" t="n">
        <x:v>46177.791666666664</x:v>
      </x:c>
      <x:c r="B1406" s="6" t="n">
        <x:v>0.1573</x:v>
      </x:c>
      <x:c r="C1406" s="6" t="n">
        <x:v>0.09820000000000001</x:v>
      </x:c>
      <x:c r="D1406" s="6" t="n">
        <x:f>B1406</x:f>
        <x:v>0.1573</x:v>
      </x:c>
      <x:c r="E1406" s="1" t="n">
        <x:v>1.05</x:v>
      </x:c>
      <x:c r="F1406" s="1" t="str">
        <x:v>https://api.octopus.energy/v1/products/AGILE-24-10-01/electricity-tariffs/E-1R-AGILE-24-10-01-G/standard-unit-rates/</x:v>
      </x:c>
    </x:row>
    <x:row r="1407" ht="21" customHeight="1">
      <x:c r="A1407" s="24" t="n">
        <x:v>46177.8125</x:v>
      </x:c>
      <x:c r="B1407" s="6" t="n">
        <x:v>0.1617</x:v>
      </x:c>
      <x:c r="C1407" s="6" t="n">
        <x:v>0.1002</x:v>
      </x:c>
      <x:c r="D1407" s="6" t="n">
        <x:f>B1407</x:f>
        <x:v>0.1617</x:v>
      </x:c>
      <x:c r="E1407" s="1" t="n">
        <x:v>1.05</x:v>
      </x:c>
      <x:c r="F1407" s="1" t="str">
        <x:v>https://api.octopus.energy/v1/products/AGILE-24-10-01/electricity-tariffs/E-1R-AGILE-24-10-01-G/standard-unit-rates/</x:v>
      </x:c>
    </x:row>
    <x:row r="1408" ht="21" customHeight="1">
      <x:c r="A1408" s="24" t="n">
        <x:v>46177.833333333336</x:v>
      </x:c>
      <x:c r="B1408" s="6" t="n">
        <x:v>0.1808</x:v>
      </x:c>
      <x:c r="C1408" s="6" t="n">
        <x:v>0.10890000000000001</x:v>
      </x:c>
      <x:c r="D1408" s="6" t="n">
        <x:f>B1408</x:f>
        <x:v>0.1808</x:v>
      </x:c>
      <x:c r="E1408" s="1" t="n">
        <x:v>1.05</x:v>
      </x:c>
      <x:c r="F1408" s="1" t="str">
        <x:v>https://api.octopus.energy/v1/products/AGILE-24-10-01/electricity-tariffs/E-1R-AGILE-24-10-01-G/standard-unit-rates/</x:v>
      </x:c>
    </x:row>
    <x:row r="1409" ht="21" customHeight="1">
      <x:c r="A1409" s="24" t="n">
        <x:v>46177.854166666664</x:v>
      </x:c>
      <x:c r="B1409" s="6" t="n">
        <x:v>0.1818</x:v>
      </x:c>
      <x:c r="C1409" s="6" t="n">
        <x:v>0.1094</x:v>
      </x:c>
      <x:c r="D1409" s="6" t="n">
        <x:f>B1409</x:f>
        <x:v>0.1818</x:v>
      </x:c>
      <x:c r="E1409" s="1" t="n">
        <x:v>1.05</x:v>
      </x:c>
      <x:c r="F1409" s="1" t="str">
        <x:v>https://api.octopus.energy/v1/products/AGILE-24-10-01/electricity-tariffs/E-1R-AGILE-24-10-01-G/standard-unit-rates/</x:v>
      </x:c>
    </x:row>
    <x:row r="1410" ht="21" customHeight="1">
      <x:c r="A1410" s="24" t="n">
        <x:v>46177.875</x:v>
      </x:c>
      <x:c r="B1410" s="6" t="n">
        <x:v>0.16829999999999998</x:v>
      </x:c>
      <x:c r="C1410" s="6" t="n">
        <x:v>0.1032</x:v>
      </x:c>
      <x:c r="D1410" s="6" t="n">
        <x:f>B1410</x:f>
        <x:v>0.16829999999999998</x:v>
      </x:c>
      <x:c r="E1410" s="1" t="n">
        <x:v>1.05</x:v>
      </x:c>
      <x:c r="F1410" s="1" t="str">
        <x:v>https://api.octopus.energy/v1/products/AGILE-24-10-01/electricity-tariffs/E-1R-AGILE-24-10-01-G/standard-unit-rates/</x:v>
      </x:c>
    </x:row>
    <x:row r="1411" ht="21" customHeight="1">
      <x:c r="A1411" s="24" t="n">
        <x:v>46177.895833333336</x:v>
      </x:c>
      <x:c r="B1411" s="6" t="n">
        <x:v>0.16260000000000002</x:v>
      </x:c>
      <x:c r="C1411" s="6" t="n">
        <x:v>0.10060000000000001</x:v>
      </x:c>
      <x:c r="D1411" s="6" t="n">
        <x:f>B1411</x:f>
        <x:v>0.16260000000000002</x:v>
      </x:c>
      <x:c r="E1411" s="1" t="n">
        <x:v>1.05</x:v>
      </x:c>
      <x:c r="F1411" s="1" t="str">
        <x:v>https://api.octopus.energy/v1/products/AGILE-24-10-01/electricity-tariffs/E-1R-AGILE-24-10-01-G/standard-unit-rates/</x:v>
      </x:c>
    </x:row>
    <x:row r="1412" ht="21" customHeight="1">
      <x:c r="A1412" s="24" t="n">
        <x:v>46177.916666666664</x:v>
      </x:c>
      <x:c r="B1412" s="6" t="n">
        <x:v>0.16579999999999998</x:v>
      </x:c>
      <x:c r="C1412" s="6" t="n">
        <x:v>0.10210000000000001</x:v>
      </x:c>
      <x:c r="D1412" s="6" t="n">
        <x:f>B1412</x:f>
        <x:v>0.16579999999999998</x:v>
      </x:c>
      <x:c r="E1412" s="1" t="n">
        <x:v>1.05</x:v>
      </x:c>
      <x:c r="F1412" s="1" t="str">
        <x:v>https://api.octopus.energy/v1/products/AGILE-24-10-01/electricity-tariffs/E-1R-AGILE-24-10-01-G/standard-unit-rates/</x:v>
      </x:c>
    </x:row>
    <x:row r="1413" ht="21" customHeight="1">
      <x:c r="A1413" s="24" t="n">
        <x:v>46177.9375</x:v>
      </x:c>
      <x:c r="B1413" s="6" t="n">
        <x:v>0.1346</x:v>
      </x:c>
      <x:c r="C1413" s="6" t="n">
        <x:v>0.08779999999999999</x:v>
      </x:c>
      <x:c r="D1413" s="6" t="n">
        <x:f>B1413</x:f>
        <x:v>0.1346</x:v>
      </x:c>
      <x:c r="E1413" s="1" t="n">
        <x:v>1.05</x:v>
      </x:c>
      <x:c r="F1413" s="1" t="str">
        <x:v>https://api.octopus.energy/v1/products/AGILE-24-10-01/electricity-tariffs/E-1R-AGILE-24-10-01-G/standard-unit-rates/</x:v>
      </x:c>
    </x:row>
    <x:row r="1414" ht="21" customHeight="1">
      <x:c r="A1414" s="24" t="n">
        <x:v>46178</x:v>
      </x:c>
      <x:c r="B1414" s="6" t="n">
        <x:v>0.127</x:v>
      </x:c>
      <x:c r="C1414" s="6" t="n">
        <x:v>0.0843</x:v>
      </x:c>
      <x:c r="D1414" s="6" t="n">
        <x:f>B1414</x:f>
        <x:v>0.127</x:v>
      </x:c>
      <x:c r="E1414" s="1" t="n">
        <x:v>1.05</x:v>
      </x:c>
      <x:c r="F1414" s="1" t="str">
        <x:v>https://api.octopus.energy/v1/products/AGILE-24-10-01/electricity-tariffs/E-1R-AGILE-24-10-01-G/standard-unit-rates/</x:v>
      </x:c>
    </x:row>
    <x:row r="1415" ht="21" customHeight="1">
      <x:c r="A1415" s="24" t="n">
        <x:v>46177.979166666664</x:v>
      </x:c>
      <x:c r="B1415" s="6" t="n">
        <x:v>0.1104</x:v>
      </x:c>
      <x:c r="C1415" s="6" t="n">
        <x:v>0.0768</x:v>
      </x:c>
      <x:c r="D1415" s="6" t="n">
        <x:f>B1415</x:f>
        <x:v>0.1104</x:v>
      </x:c>
      <x:c r="E1415" s="1" t="n">
        <x:v>1.05</x:v>
      </x:c>
      <x:c r="F1415" s="1" t="str">
        <x:v>https://api.octopus.energy/v1/products/AGILE-24-10-01/electricity-tariffs/E-1R-AGILE-24-10-01-G/standard-unit-rates/</x:v>
      </x:c>
    </x:row>
    <x:row r="1416" ht="21" customHeight="1">
      <x:c r="A1416" s="24" t="n">
        <x:v>46178</x:v>
      </x:c>
      <x:c r="B1416" s="6" t="n">
        <x:v>0.1104</x:v>
      </x:c>
      <x:c r="C1416" s="6" t="n">
        <x:v>0.0768</x:v>
      </x:c>
      <x:c r="D1416" s="6" t="n">
        <x:f>B1416</x:f>
        <x:v>0.1104</x:v>
      </x:c>
      <x:c r="E1416" s="1" t="n">
        <x:v>1.05</x:v>
      </x:c>
      <x:c r="F1416" s="1" t="str">
        <x:v>https://api.octopus.energy/v1/products/AGILE-24-10-01/electricity-tariffs/E-1R-AGILE-24-10-01-G/standard-unit-rates/</x:v>
      </x:c>
    </x:row>
    <x:row r="1417" ht="21" customHeight="1">
      <x:c r="A1417" s="24" t="n">
        <x:v>46178.020833333336</x:v>
      </x:c>
      <x:c r="B1417" s="6" t="n">
        <x:v>0.1104</x:v>
      </x:c>
      <x:c r="C1417" s="6" t="n">
        <x:v>0.0768</x:v>
      </x:c>
      <x:c r="D1417" s="6" t="n">
        <x:f>B1417</x:f>
        <x:v>0.1104</x:v>
      </x:c>
      <x:c r="E1417" s="1" t="n">
        <x:v>1.05</x:v>
      </x:c>
      <x:c r="F1417" s="1" t="str">
        <x:v>https://api.octopus.energy/v1/products/AGILE-24-10-01/electricity-tariffs/E-1R-AGILE-24-10-01-G/standard-unit-rates/</x:v>
      </x:c>
    </x:row>
    <x:row r="1418" ht="21" customHeight="1">
      <x:c r="A1418" s="24" t="n">
        <x:v>46178.041666666664</x:v>
      </x:c>
      <x:c r="B1418" s="6" t="n">
        <x:v>0.1104</x:v>
      </x:c>
      <x:c r="C1418" s="6" t="n">
        <x:v>0.0768</x:v>
      </x:c>
      <x:c r="D1418" s="6" t="n">
        <x:f>B1418</x:f>
        <x:v>0.1104</x:v>
      </x:c>
      <x:c r="E1418" s="1" t="n">
        <x:v>1.05</x:v>
      </x:c>
      <x:c r="F1418" s="1" t="str">
        <x:v>https://api.octopus.energy/v1/products/AGILE-24-10-01/electricity-tariffs/E-1R-AGILE-24-10-01-G/standard-unit-rates/</x:v>
      </x:c>
    </x:row>
    <x:row r="1419" ht="21" customHeight="1">
      <x:c r="A1419" s="24" t="n">
        <x:v>46178.0625</x:v>
      </x:c>
      <x:c r="B1419" s="6" t="n">
        <x:v>0.1104</x:v>
      </x:c>
      <x:c r="C1419" s="6" t="n">
        <x:v>0.0768</x:v>
      </x:c>
      <x:c r="D1419" s="6" t="n">
        <x:f>B1419</x:f>
        <x:v>0.1104</x:v>
      </x:c>
      <x:c r="E1419" s="1" t="n">
        <x:v>1.05</x:v>
      </x:c>
      <x:c r="F1419" s="1" t="str">
        <x:v>https://api.octopus.energy/v1/products/AGILE-24-10-01/electricity-tariffs/E-1R-AGILE-24-10-01-G/standard-unit-rates/</x:v>
      </x:c>
    </x:row>
    <x:row r="1420" ht="21" customHeight="1">
      <x:c r="A1420" s="24" t="n">
        <x:v>46178.083333333336</x:v>
      </x:c>
      <x:c r="B1420" s="6" t="n">
        <x:v>0.1094</x:v>
      </x:c>
      <x:c r="C1420" s="6" t="n">
        <x:v>0.07629999999999999</x:v>
      </x:c>
      <x:c r="D1420" s="6" t="n">
        <x:f>B1420</x:f>
        <x:v>0.1094</x:v>
      </x:c>
      <x:c r="E1420" s="1" t="n">
        <x:v>1.05</x:v>
      </x:c>
      <x:c r="F1420" s="1" t="str">
        <x:v>https://api.octopus.energy/v1/products/AGILE-24-10-01/electricity-tariffs/E-1R-AGILE-24-10-01-G/standard-unit-rates/</x:v>
      </x:c>
    </x:row>
    <x:row r="1421" ht="21" customHeight="1">
      <x:c r="A1421" s="24" t="n">
        <x:v>46178.104166666664</x:v>
      </x:c>
      <x:c r="B1421" s="6" t="n">
        <x:v>0.1104</x:v>
      </x:c>
      <x:c r="C1421" s="6" t="n">
        <x:v>0.0768</x:v>
      </x:c>
      <x:c r="D1421" s="6" t="n">
        <x:f>B1421</x:f>
        <x:v>0.1104</x:v>
      </x:c>
      <x:c r="E1421" s="1" t="n">
        <x:v>1.05</x:v>
      </x:c>
      <x:c r="F1421" s="1" t="str">
        <x:v>https://api.octopus.energy/v1/products/AGILE-24-10-01/electricity-tariffs/E-1R-AGILE-24-10-01-G/standard-unit-rates/</x:v>
      </x:c>
    </x:row>
    <x:row r="1422" ht="21" customHeight="1">
      <x:c r="A1422" s="24" t="n">
        <x:v>46178.125</x:v>
      </x:c>
      <x:c r="B1422" s="6" t="n">
        <x:v>0.0968</x:v>
      </x:c>
      <x:c r="C1422" s="6" t="n">
        <x:v>0.0705</x:v>
      </x:c>
      <x:c r="D1422" s="6" t="n">
        <x:f>B1422</x:f>
        <x:v>0.0968</x:v>
      </x:c>
      <x:c r="E1422" s="1" t="n">
        <x:v>1.05</x:v>
      </x:c>
      <x:c r="F1422" s="1" t="str">
        <x:v>https://api.octopus.energy/v1/products/AGILE-24-10-01/electricity-tariffs/E-1R-AGILE-24-10-01-G/standard-unit-rates/</x:v>
      </x:c>
    </x:row>
    <x:row r="1423" ht="21" customHeight="1">
      <x:c r="A1423" s="24" t="n">
        <x:v>46178.145833333336</x:v>
      </x:c>
      <x:c r="B1423" s="6" t="n">
        <x:v>0.0842</x:v>
      </x:c>
      <x:c r="C1423" s="6" t="n">
        <x:v>0.06480000000000001</x:v>
      </x:c>
      <x:c r="D1423" s="6" t="n">
        <x:f>B1423</x:f>
        <x:v>0.0842</x:v>
      </x:c>
      <x:c r="E1423" s="1" t="n">
        <x:v>1.05</x:v>
      </x:c>
      <x:c r="F1423" s="1" t="str">
        <x:v>https://api.octopus.energy/v1/products/AGILE-24-10-01/electricity-tariffs/E-1R-AGILE-24-10-01-G/standard-unit-rates/</x:v>
      </x:c>
    </x:row>
    <x:row r="1424" ht="21" customHeight="1">
      <x:c r="A1424" s="24" t="n">
        <x:v>46178.166666666664</x:v>
      </x:c>
      <x:c r="B1424" s="6" t="n">
        <x:v>0.1094</x:v>
      </x:c>
      <x:c r="C1424" s="6" t="n">
        <x:v>0.07629999999999999</x:v>
      </x:c>
      <x:c r="D1424" s="6" t="n">
        <x:f>B1424</x:f>
        <x:v>0.1094</x:v>
      </x:c>
      <x:c r="E1424" s="1" t="n">
        <x:v>1.05</x:v>
      </x:c>
      <x:c r="F1424" s="1" t="str">
        <x:v>https://api.octopus.energy/v1/products/AGILE-24-10-01/electricity-tariffs/E-1R-AGILE-24-10-01-G/standard-unit-rates/</x:v>
      </x:c>
    </x:row>
    <x:row r="1425" ht="21" customHeight="1">
      <x:c r="A1425" s="24" t="n">
        <x:v>46178.1875</x:v>
      </x:c>
      <x:c r="B1425" s="6" t="n">
        <x:v>0.1094</x:v>
      </x:c>
      <x:c r="C1425" s="6" t="n">
        <x:v>0.07629999999999999</x:v>
      </x:c>
      <x:c r="D1425" s="6" t="n">
        <x:f>B1425</x:f>
        <x:v>0.1094</x:v>
      </x:c>
      <x:c r="E1425" s="1" t="n">
        <x:v>1.05</x:v>
      </x:c>
      <x:c r="F1425" s="1" t="str">
        <x:v>https://api.octopus.energy/v1/products/AGILE-24-10-01/electricity-tariffs/E-1R-AGILE-24-10-01-G/standard-unit-rates/</x:v>
      </x:c>
    </x:row>
    <x:row r="1426" ht="21" customHeight="1">
      <x:c r="A1426" s="24" t="n">
        <x:v>46178.208333333336</x:v>
      </x:c>
      <x:c r="B1426" s="6" t="n">
        <x:v>0.1613</x:v>
      </x:c>
      <x:c r="C1426" s="6" t="n">
        <x:v>0.1</x:v>
      </x:c>
      <x:c r="D1426" s="6" t="n">
        <x:f>B1426</x:f>
        <x:v>0.1613</x:v>
      </x:c>
      <x:c r="E1426" s="1" t="n">
        <x:v>1.05</x:v>
      </x:c>
      <x:c r="F1426" s="1" t="str">
        <x:v>https://api.octopus.energy/v1/products/AGILE-24-10-01/electricity-tariffs/E-1R-AGILE-24-10-01-G/standard-unit-rates/</x:v>
      </x:c>
    </x:row>
    <x:row r="1427" ht="21" customHeight="1">
      <x:c r="A1427" s="24" t="n">
        <x:v>46178.229166666664</x:v>
      </x:c>
      <x:c r="B1427" s="6" t="n">
        <x:v>0.17850000000000002</x:v>
      </x:c>
      <x:c r="C1427" s="6" t="n">
        <x:v>0.1079</x:v>
      </x:c>
      <x:c r="D1427" s="6" t="n">
        <x:f>B1427</x:f>
        <x:v>0.17850000000000002</x:v>
      </x:c>
      <x:c r="E1427" s="1" t="n">
        <x:v>1.05</x:v>
      </x:c>
      <x:c r="F1427" s="1" t="str">
        <x:v>https://api.octopus.energy/v1/products/AGILE-24-10-01/electricity-tariffs/E-1R-AGILE-24-10-01-G/standard-unit-rates/</x:v>
      </x:c>
    </x:row>
    <x:row r="1428" ht="21" customHeight="1">
      <x:c r="A1428" s="24" t="n">
        <x:v>46178.25</x:v>
      </x:c>
      <x:c r="B1428" s="6" t="n">
        <x:v>0.1707</x:v>
      </x:c>
      <x:c r="C1428" s="6" t="n">
        <x:v>0.1043</x:v>
      </x:c>
      <x:c r="D1428" s="6" t="n">
        <x:f>B1428</x:f>
        <x:v>0.1707</x:v>
      </x:c>
      <x:c r="E1428" s="1" t="n">
        <x:v>1.05</x:v>
      </x:c>
      <x:c r="F1428" s="1" t="str">
        <x:v>https://api.octopus.energy/v1/products/AGILE-24-10-01/electricity-tariffs/E-1R-AGILE-24-10-01-G/standard-unit-rates/</x:v>
      </x:c>
    </x:row>
    <x:row r="1429" ht="21" customHeight="1">
      <x:c r="A1429" s="24" t="n">
        <x:v>46178.270833333336</x:v>
      </x:c>
      <x:c r="B1429" s="6" t="n">
        <x:v>0.20800000000000002</x:v>
      </x:c>
      <x:c r="C1429" s="6" t="n">
        <x:v>0.12140000000000001</x:v>
      </x:c>
      <x:c r="D1429" s="6" t="n">
        <x:f>B1429</x:f>
        <x:v>0.20800000000000002</x:v>
      </x:c>
      <x:c r="E1429" s="1" t="n">
        <x:v>1.05</x:v>
      </x:c>
      <x:c r="F1429" s="1" t="str">
        <x:v>https://api.octopus.energy/v1/products/AGILE-24-10-01/electricity-tariffs/E-1R-AGILE-24-10-01-G/standard-unit-rates/</x:v>
      </x:c>
    </x:row>
    <x:row r="1430" ht="21" customHeight="1">
      <x:c r="A1430" s="24" t="n">
        <x:v>46178.291666666664</x:v>
      </x:c>
      <x:c r="B1430" s="6" t="n">
        <x:v>0.20600000000000002</x:v>
      </x:c>
      <x:c r="C1430" s="6" t="n">
        <x:v>0.1204</x:v>
      </x:c>
      <x:c r="D1430" s="6" t="n">
        <x:f>B1430</x:f>
        <x:v>0.20600000000000002</x:v>
      </x:c>
      <x:c r="E1430" s="1" t="n">
        <x:v>1.05</x:v>
      </x:c>
      <x:c r="F1430" s="1" t="str">
        <x:v>https://api.octopus.energy/v1/products/AGILE-24-10-01/electricity-tariffs/E-1R-AGILE-24-10-01-G/standard-unit-rates/</x:v>
      </x:c>
    </x:row>
    <x:row r="1431" ht="21" customHeight="1">
      <x:c r="A1431" s="24" t="n">
        <x:v>46178.3125</x:v>
      </x:c>
      <x:c r="B1431" s="6" t="n">
        <x:v>0.2228</x:v>
      </x:c>
      <x:c r="C1431" s="6" t="n">
        <x:v>0.1281</x:v>
      </x:c>
      <x:c r="D1431" s="6" t="n">
        <x:f>B1431</x:f>
        <x:v>0.2228</x:v>
      </x:c>
      <x:c r="E1431" s="1" t="n">
        <x:v>1.05</x:v>
      </x:c>
      <x:c r="F1431" s="1" t="str">
        <x:v>https://api.octopus.energy/v1/products/AGILE-24-10-01/electricity-tariffs/E-1R-AGILE-24-10-01-G/standard-unit-rates/</x:v>
      </x:c>
    </x:row>
    <x:row r="1432" ht="21" customHeight="1">
      <x:c r="A1432" s="24" t="n">
        <x:v>46178.333333333336</x:v>
      </x:c>
      <x:c r="B1432" s="6" t="n">
        <x:v>0.2064</x:v>
      </x:c>
      <x:c r="C1432" s="6" t="n">
        <x:v>0.1206</x:v>
      </x:c>
      <x:c r="D1432" s="6" t="n">
        <x:f>B1432</x:f>
        <x:v>0.2064</x:v>
      </x:c>
      <x:c r="E1432" s="1" t="n">
        <x:v>1.05</x:v>
      </x:c>
      <x:c r="F1432" s="1" t="str">
        <x:v>https://api.octopus.energy/v1/products/AGILE-24-10-01/electricity-tariffs/E-1R-AGILE-24-10-01-G/standard-unit-rates/</x:v>
      </x:c>
    </x:row>
    <x:row r="1433" ht="21" customHeight="1">
      <x:c r="A1433" s="24" t="n">
        <x:v>46178.354166666664</x:v>
      </x:c>
      <x:c r="B1433" s="6" t="n">
        <x:v>0.185</x:v>
      </x:c>
      <x:c r="C1433" s="6" t="n">
        <x:v>0.1108</x:v>
      </x:c>
      <x:c r="D1433" s="6" t="n">
        <x:f>B1433</x:f>
        <x:v>0.185</x:v>
      </x:c>
      <x:c r="E1433" s="1" t="n">
        <x:v>1.05</x:v>
      </x:c>
      <x:c r="F1433" s="1" t="str">
        <x:v>https://api.octopus.energy/v1/products/AGILE-24-10-01/electricity-tariffs/E-1R-AGILE-24-10-01-G/standard-unit-rates/</x:v>
      </x:c>
    </x:row>
    <x:row r="1434" ht="21" customHeight="1">
      <x:c r="A1434" s="24" t="n">
        <x:v>46178.375</x:v>
      </x:c>
      <x:c r="B1434" s="6" t="n">
        <x:v>0.1892</x:v>
      </x:c>
      <x:c r="C1434" s="6" t="n">
        <x:v>0.1128</x:v>
      </x:c>
      <x:c r="D1434" s="6" t="n">
        <x:f>B1434</x:f>
        <x:v>0.1892</x:v>
      </x:c>
      <x:c r="E1434" s="1" t="n">
        <x:v>1.05</x:v>
      </x:c>
      <x:c r="F1434" s="1" t="str">
        <x:v>https://api.octopus.energy/v1/products/AGILE-24-10-01/electricity-tariffs/E-1R-AGILE-24-10-01-G/standard-unit-rates/</x:v>
      </x:c>
    </x:row>
    <x:row r="1435" ht="21" customHeight="1">
      <x:c r="A1435" s="24" t="n">
        <x:v>46178.395833333336</x:v>
      </x:c>
      <x:c r="B1435" s="6" t="n">
        <x:v>0.1766</x:v>
      </x:c>
      <x:c r="C1435" s="6" t="n">
        <x:v>0.107</x:v>
      </x:c>
      <x:c r="D1435" s="6" t="n">
        <x:f>B1435</x:f>
        <x:v>0.1766</x:v>
      </x:c>
      <x:c r="E1435" s="1" t="n">
        <x:v>1.05</x:v>
      </x:c>
      <x:c r="F1435" s="1" t="str">
        <x:v>https://api.octopus.energy/v1/products/AGILE-24-10-01/electricity-tariffs/E-1R-AGILE-24-10-01-G/standard-unit-rates/</x:v>
      </x:c>
    </x:row>
    <x:row r="1436" ht="21" customHeight="1">
      <x:c r="A1436" s="24" t="n">
        <x:v>46178.416666666664</x:v>
      </x:c>
      <x:c r="B1436" s="6" t="n">
        <x:v>0.1881</x:v>
      </x:c>
      <x:c r="C1436" s="6" t="n">
        <x:v>0.11220000000000001</x:v>
      </x:c>
      <x:c r="D1436" s="6" t="n">
        <x:f>B1436</x:f>
        <x:v>0.1881</x:v>
      </x:c>
      <x:c r="E1436" s="1" t="n">
        <x:v>1.05</x:v>
      </x:c>
      <x:c r="F1436" s="1" t="str">
        <x:v>https://api.octopus.energy/v1/products/AGILE-24-10-01/electricity-tariffs/E-1R-AGILE-24-10-01-G/standard-unit-rates/</x:v>
      </x:c>
    </x:row>
    <x:row r="1437" ht="21" customHeight="1">
      <x:c r="A1437" s="24" t="n">
        <x:v>46178.4375</x:v>
      </x:c>
      <x:c r="B1437" s="6" t="n">
        <x:v>0.1868</x:v>
      </x:c>
      <x:c r="C1437" s="6" t="n">
        <x:v>0.1116</x:v>
      </x:c>
      <x:c r="D1437" s="6" t="n">
        <x:f>B1437</x:f>
        <x:v>0.1868</x:v>
      </x:c>
      <x:c r="E1437" s="1" t="n">
        <x:v>1.05</x:v>
      </x:c>
      <x:c r="F1437" s="1" t="str">
        <x:v>https://api.octopus.energy/v1/products/AGILE-24-10-01/electricity-tariffs/E-1R-AGILE-24-10-01-G/standard-unit-rates/</x:v>
      </x:c>
    </x:row>
    <x:row r="1438" ht="21" customHeight="1">
      <x:c r="A1438" s="24" t="n">
        <x:v>46178.458333333336</x:v>
      </x:c>
      <x:c r="B1438" s="6" t="n">
        <x:v>0.198</x:v>
      </x:c>
      <x:c r="C1438" s="6" t="n">
        <x:v>0.1168</x:v>
      </x:c>
      <x:c r="D1438" s="6" t="n">
        <x:f>B1438</x:f>
        <x:v>0.198</x:v>
      </x:c>
      <x:c r="E1438" s="1" t="n">
        <x:v>1.05</x:v>
      </x:c>
      <x:c r="F1438" s="1" t="str">
        <x:v>https://api.octopus.energy/v1/products/AGILE-24-10-01/electricity-tariffs/E-1R-AGILE-24-10-01-G/standard-unit-rates/</x:v>
      </x:c>
    </x:row>
    <x:row r="1439" ht="21" customHeight="1">
      <x:c r="A1439" s="24" t="n">
        <x:v>46178.479166666664</x:v>
      </x:c>
      <x:c r="B1439" s="6" t="n">
        <x:v>0.1934</x:v>
      </x:c>
      <x:c r="C1439" s="6" t="n">
        <x:v>0.11470000000000001</x:v>
      </x:c>
      <x:c r="D1439" s="6" t="n">
        <x:f>B1439</x:f>
        <x:v>0.1934</x:v>
      </x:c>
      <x:c r="E1439" s="1" t="n">
        <x:v>1.05</x:v>
      </x:c>
      <x:c r="F1439" s="1" t="str">
        <x:v>https://api.octopus.energy/v1/products/AGILE-24-10-01/electricity-tariffs/E-1R-AGILE-24-10-01-G/standard-unit-rates/</x:v>
      </x:c>
    </x:row>
    <x:row r="1440" ht="21" customHeight="1">
      <x:c r="A1440" s="24" t="n">
        <x:v>46178.5</x:v>
      </x:c>
      <x:c r="B1440" s="6" t="n">
        <x:v>0.2227</x:v>
      </x:c>
      <x:c r="C1440" s="6" t="n">
        <x:v>0.1281</x:v>
      </x:c>
      <x:c r="D1440" s="6" t="n">
        <x:f>B1440</x:f>
        <x:v>0.2227</x:v>
      </x:c>
      <x:c r="E1440" s="1" t="n">
        <x:v>1.05</x:v>
      </x:c>
      <x:c r="F1440" s="1" t="str">
        <x:v>https://api.octopus.energy/v1/products/AGILE-24-10-01/electricity-tariffs/E-1R-AGILE-24-10-01-G/standard-unit-rates/</x:v>
      </x:c>
    </x:row>
    <x:row r="1441" ht="21" customHeight="1">
      <x:c r="A1441" s="24" t="n">
        <x:v>46178.520833333336</x:v>
      </x:c>
      <x:c r="B1441" s="6" t="n">
        <x:v>0.2107</x:v>
      </x:c>
      <x:c r="C1441" s="6" t="n">
        <x:v>0.1226</x:v>
      </x:c>
      <x:c r="D1441" s="6" t="n">
        <x:f>B1441</x:f>
        <x:v>0.2107</x:v>
      </x:c>
      <x:c r="E1441" s="1" t="n">
        <x:v>1.05</x:v>
      </x:c>
      <x:c r="F1441" s="1" t="str">
        <x:v>https://api.octopus.energy/v1/products/AGILE-24-10-01/electricity-tariffs/E-1R-AGILE-24-10-01-G/standard-unit-rates/</x:v>
      </x:c>
    </x:row>
    <x:row r="1442" ht="21" customHeight="1">
      <x:c r="A1442" s="24" t="n">
        <x:v>46178.541666666664</x:v>
      </x:c>
      <x:c r="B1442" s="6" t="n">
        <x:v>0.19399999999999998</x:v>
      </x:c>
      <x:c r="C1442" s="6" t="n">
        <x:v>0.115</x:v>
      </x:c>
      <x:c r="D1442" s="6" t="n">
        <x:f>B1442</x:f>
        <x:v>0.19399999999999998</x:v>
      </x:c>
      <x:c r="E1442" s="1" t="n">
        <x:v>1.05</x:v>
      </x:c>
      <x:c r="F1442" s="1" t="str">
        <x:v>https://api.octopus.energy/v1/products/AGILE-24-10-01/electricity-tariffs/E-1R-AGILE-24-10-01-G/standard-unit-rates/</x:v>
      </x:c>
    </x:row>
    <x:row r="1443" ht="21" customHeight="1">
      <x:c r="A1443" s="24" t="n">
        <x:v>46178.5625</x:v>
      </x:c>
      <x:c r="B1443" s="6" t="n">
        <x:v>0.1892</x:v>
      </x:c>
      <x:c r="C1443" s="6" t="n">
        <x:v>0.1128</x:v>
      </x:c>
      <x:c r="D1443" s="6" t="n">
        <x:f>B1443</x:f>
        <x:v>0.1892</x:v>
      </x:c>
      <x:c r="E1443" s="1" t="n">
        <x:v>1.05</x:v>
      </x:c>
      <x:c r="F1443" s="1" t="str">
        <x:v>https://api.octopus.energy/v1/products/AGILE-24-10-01/electricity-tariffs/E-1R-AGILE-24-10-01-G/standard-unit-rates/</x:v>
      </x:c>
    </x:row>
    <x:row r="1444" ht="21" customHeight="1">
      <x:c r="A1444" s="24" t="n">
        <x:v>46178.583333333336</x:v>
      </x:c>
      <x:c r="B1444" s="6" t="n">
        <x:v>0.1893</x:v>
      </x:c>
      <x:c r="C1444" s="6" t="n">
        <x:v>0.1128</x:v>
      </x:c>
      <x:c r="D1444" s="6" t="n">
        <x:f>B1444</x:f>
        <x:v>0.1893</x:v>
      </x:c>
      <x:c r="E1444" s="1" t="n">
        <x:v>1.05</x:v>
      </x:c>
      <x:c r="F1444" s="1" t="str">
        <x:v>https://api.octopus.energy/v1/products/AGILE-24-10-01/electricity-tariffs/E-1R-AGILE-24-10-01-G/standard-unit-rates/</x:v>
      </x:c>
    </x:row>
    <x:row r="1445" ht="21" customHeight="1">
      <x:c r="A1445" s="24" t="n">
        <x:v>46178.604166666664</x:v>
      </x:c>
      <x:c r="B1445" s="6" t="n">
        <x:v>0.18289999999999998</x:v>
      </x:c>
      <x:c r="C1445" s="6" t="n">
        <x:v>0.1099</x:v>
      </x:c>
      <x:c r="D1445" s="6" t="n">
        <x:f>B1445</x:f>
        <x:v>0.18289999999999998</x:v>
      </x:c>
      <x:c r="E1445" s="1" t="n">
        <x:v>1.05</x:v>
      </x:c>
      <x:c r="F1445" s="1" t="str">
        <x:v>https://api.octopus.energy/v1/products/AGILE-24-10-01/electricity-tariffs/E-1R-AGILE-24-10-01-G/standard-unit-rates/</x:v>
      </x:c>
    </x:row>
    <x:row r="1446" ht="21" customHeight="1">
      <x:c r="A1446" s="24" t="n">
        <x:v>46178.625</x:v>
      </x:c>
      <x:c r="B1446" s="6" t="n">
        <x:v>0.185</x:v>
      </x:c>
      <x:c r="C1446" s="6" t="n">
        <x:v>0.1108</x:v>
      </x:c>
      <x:c r="D1446" s="6" t="n">
        <x:f>B1446</x:f>
        <x:v>0.185</x:v>
      </x:c>
      <x:c r="E1446" s="1" t="n">
        <x:v>1.05</x:v>
      </x:c>
      <x:c r="F1446" s="1" t="str">
        <x:v>https://api.octopus.energy/v1/products/AGILE-24-10-01/electricity-tariffs/E-1R-AGILE-24-10-01-G/standard-unit-rates/</x:v>
      </x:c>
    </x:row>
    <x:row r="1447" ht="21" customHeight="1">
      <x:c r="A1447" s="24" t="n">
        <x:v>46178.645833333336</x:v>
      </x:c>
      <x:c r="B1447" s="6" t="n">
        <x:v>0.18530000000000002</x:v>
      </x:c>
      <x:c r="C1447" s="6" t="n">
        <x:v>0.111</x:v>
      </x:c>
      <x:c r="D1447" s="6" t="n">
        <x:f>B1447</x:f>
        <x:v>0.18530000000000002</x:v>
      </x:c>
      <x:c r="E1447" s="1" t="n">
        <x:v>1.05</x:v>
      </x:c>
      <x:c r="F1447" s="1" t="str">
        <x:v>https://api.octopus.energy/v1/products/AGILE-24-10-01/electricity-tariffs/E-1R-AGILE-24-10-01-G/standard-unit-rates/</x:v>
      </x:c>
    </x:row>
    <x:row r="1448" ht="21" customHeight="1">
      <x:c r="A1448" s="24" t="n">
        <x:v>46178.666666666664</x:v>
      </x:c>
      <x:c r="B1448" s="6" t="n">
        <x:v>0.3134</x:v>
      </x:c>
      <x:c r="C1448" s="6" t="n">
        <x:v>0.1736</x:v>
      </x:c>
      <x:c r="D1448" s="6" t="n">
        <x:f>B1448</x:f>
        <x:v>0.3134</x:v>
      </x:c>
      <x:c r="E1448" s="1" t="n">
        <x:v>1.05</x:v>
      </x:c>
      <x:c r="F1448" s="1" t="str">
        <x:v>https://api.octopus.energy/v1/products/AGILE-24-10-01/electricity-tariffs/E-1R-AGILE-24-10-01-G/standard-unit-rates/</x:v>
      </x:c>
    </x:row>
    <x:row r="1449" ht="21" customHeight="1">
      <x:c r="A1449" s="24" t="n">
        <x:v>46178.6875</x:v>
      </x:c>
      <x:c r="B1449" s="6" t="n">
        <x:v>0.30920000000000003</x:v>
      </x:c>
      <x:c r="C1449" s="6" t="n">
        <x:v>0.17170000000000002</x:v>
      </x:c>
      <x:c r="D1449" s="6" t="n">
        <x:f>B1449</x:f>
        <x:v>0.30920000000000003</x:v>
      </x:c>
      <x:c r="E1449" s="1" t="n">
        <x:v>1.05</x:v>
      </x:c>
      <x:c r="F1449" s="1" t="str">
        <x:v>https://api.octopus.energy/v1/products/AGILE-24-10-01/electricity-tariffs/E-1R-AGILE-24-10-01-G/standard-unit-rates/</x:v>
      </x:c>
    </x:row>
    <x:row r="1450" ht="21" customHeight="1">
      <x:c r="A1450" s="24" t="n">
        <x:v>46178.708333333336</x:v>
      </x:c>
      <x:c r="B1450" s="6" t="n">
        <x:v>0.32439999999999997</x:v>
      </x:c>
      <x:c r="C1450" s="6" t="n">
        <x:v>0.17859999999999998</x:v>
      </x:c>
      <x:c r="D1450" s="6" t="n">
        <x:f>B1450</x:f>
        <x:v>0.32439999999999997</x:v>
      </x:c>
      <x:c r="E1450" s="1" t="n">
        <x:v>1.05</x:v>
      </x:c>
      <x:c r="F1450" s="1" t="str">
        <x:v>https://api.octopus.energy/v1/products/AGILE-24-10-01/electricity-tariffs/E-1R-AGILE-24-10-01-G/standard-unit-rates/</x:v>
      </x:c>
    </x:row>
    <x:row r="1451" ht="21" customHeight="1">
      <x:c r="A1451" s="24" t="n">
        <x:v>46178.729166666664</x:v>
      </x:c>
      <x:c r="B1451" s="6" t="n">
        <x:v>0.3261</x:v>
      </x:c>
      <x:c r="C1451" s="6" t="n">
        <x:v>0.1794</x:v>
      </x:c>
      <x:c r="D1451" s="6" t="n">
        <x:f>B1451</x:f>
        <x:v>0.3261</x:v>
      </x:c>
      <x:c r="E1451" s="1" t="n">
        <x:v>1.05</x:v>
      </x:c>
      <x:c r="F1451" s="1" t="str">
        <x:v>https://api.octopus.energy/v1/products/AGILE-24-10-01/electricity-tariffs/E-1R-AGILE-24-10-01-G/standard-unit-rates/</x:v>
      </x:c>
    </x:row>
    <x:row r="1452" ht="21" customHeight="1">
      <x:c r="A1452" s="24" t="n">
        <x:v>46178.75</x:v>
      </x:c>
      <x:c r="B1452" s="6" t="n">
        <x:v>0.3492</x:v>
      </x:c>
      <x:c r="C1452" s="6" t="n">
        <x:v>0.18989999999999999</x:v>
      </x:c>
      <x:c r="D1452" s="6" t="n">
        <x:f>B1452</x:f>
        <x:v>0.3492</x:v>
      </x:c>
      <x:c r="E1452" s="1" t="n">
        <x:v>1.05</x:v>
      </x:c>
      <x:c r="F1452" s="1" t="str">
        <x:v>https://api.octopus.energy/v1/products/AGILE-24-10-01/electricity-tariffs/E-1R-AGILE-24-10-01-G/standard-unit-rates/</x:v>
      </x:c>
    </x:row>
    <x:row r="1453" ht="21" customHeight="1">
      <x:c r="A1453" s="24" t="n">
        <x:v>46178.770833333336</x:v>
      </x:c>
      <x:c r="B1453" s="6" t="n">
        <x:v>0.3638</x:v>
      </x:c>
      <x:c r="C1453" s="6" t="n">
        <x:v>0.1966</x:v>
      </x:c>
      <x:c r="D1453" s="6" t="n">
        <x:f>B1453</x:f>
        <x:v>0.3638</x:v>
      </x:c>
      <x:c r="E1453" s="1" t="n">
        <x:v>1.05</x:v>
      </x:c>
      <x:c r="F1453" s="1" t="str">
        <x:v>https://api.octopus.energy/v1/products/AGILE-24-10-01/electricity-tariffs/E-1R-AGILE-24-10-01-G/standard-unit-rates/</x:v>
      </x:c>
    </x:row>
    <x:row r="1454" ht="21" customHeight="1">
      <x:c r="A1454" s="24" t="n">
        <x:v>46178.791666666664</x:v>
      </x:c>
      <x:c r="B1454" s="6" t="n">
        <x:v>0.26280000000000003</x:v>
      </x:c>
      <x:c r="C1454" s="6" t="n">
        <x:v>0.1464</x:v>
      </x:c>
      <x:c r="D1454" s="6" t="n">
        <x:f>B1454</x:f>
        <x:v>0.26280000000000003</x:v>
      </x:c>
      <x:c r="E1454" s="1" t="n">
        <x:v>1.05</x:v>
      </x:c>
      <x:c r="F1454" s="1" t="str">
        <x:v>https://api.octopus.energy/v1/products/AGILE-24-10-01/electricity-tariffs/E-1R-AGILE-24-10-01-G/standard-unit-rates/</x:v>
      </x:c>
    </x:row>
    <x:row r="1455" ht="21" customHeight="1">
      <x:c r="A1455" s="24" t="n">
        <x:v>46178.8125</x:v>
      </x:c>
      <x:c r="B1455" s="6" t="n">
        <x:v>0.2606</x:v>
      </x:c>
      <x:c r="C1455" s="6" t="n">
        <x:v>0.1454</x:v>
      </x:c>
      <x:c r="D1455" s="6" t="n">
        <x:f>B1455</x:f>
        <x:v>0.2606</x:v>
      </x:c>
      <x:c r="E1455" s="1" t="n">
        <x:v>1.05</x:v>
      </x:c>
      <x:c r="F1455" s="1" t="str">
        <x:v>https://api.octopus.energy/v1/products/AGILE-24-10-01/electricity-tariffs/E-1R-AGILE-24-10-01-G/standard-unit-rates/</x:v>
      </x:c>
    </x:row>
    <x:row r="1456" ht="21" customHeight="1">
      <x:c r="A1456" s="24" t="n">
        <x:v>46178.833333333336</x:v>
      </x:c>
      <x:c r="B1456" s="6" t="n">
        <x:v>0.2553</x:v>
      </x:c>
      <x:c r="C1456" s="6" t="n">
        <x:v>0.14300000000000002</x:v>
      </x:c>
      <x:c r="D1456" s="6" t="n">
        <x:f>B1456</x:f>
        <x:v>0.2553</x:v>
      </x:c>
      <x:c r="E1456" s="1" t="n">
        <x:v>1.05</x:v>
      </x:c>
      <x:c r="F1456" s="1" t="str">
        <x:v>https://api.octopus.energy/v1/products/AGILE-24-10-01/electricity-tariffs/E-1R-AGILE-24-10-01-G/standard-unit-rates/</x:v>
      </x:c>
    </x:row>
    <x:row r="1457" ht="21" customHeight="1">
      <x:c r="A1457" s="24" t="n">
        <x:v>46178.854166666664</x:v>
      </x:c>
      <x:c r="B1457" s="6" t="n">
        <x:v>0.2536</x:v>
      </x:c>
      <x:c r="C1457" s="6" t="n">
        <x:v>0.1422</x:v>
      </x:c>
      <x:c r="D1457" s="6" t="n">
        <x:f>B1457</x:f>
        <x:v>0.2536</x:v>
      </x:c>
      <x:c r="E1457" s="1" t="n">
        <x:v>1.05</x:v>
      </x:c>
      <x:c r="F1457" s="1" t="str">
        <x:v>https://api.octopus.energy/v1/products/AGILE-24-10-01/electricity-tariffs/E-1R-AGILE-24-10-01-G/standard-unit-rates/</x:v>
      </x:c>
    </x:row>
    <x:row r="1458" ht="21" customHeight="1">
      <x:c r="A1458" s="24" t="n">
        <x:v>46178.875</x:v>
      </x:c>
      <x:c r="B1458" s="6" t="n">
        <x:v>0.2662</x:v>
      </x:c>
      <x:c r="C1458" s="6" t="n">
        <x:v>0.14800000000000002</x:v>
      </x:c>
      <x:c r="D1458" s="6" t="n">
        <x:f>B1458</x:f>
        <x:v>0.2662</x:v>
      </x:c>
      <x:c r="E1458" s="1" t="n">
        <x:v>1.05</x:v>
      </x:c>
      <x:c r="F1458" s="1" t="str">
        <x:v>https://api.octopus.energy/v1/products/AGILE-24-10-01/electricity-tariffs/E-1R-AGILE-24-10-01-G/standard-unit-rates/</x:v>
      </x:c>
    </x:row>
    <x:row r="1459" ht="21" customHeight="1">
      <x:c r="A1459" s="24" t="n">
        <x:v>46178.895833333336</x:v>
      </x:c>
      <x:c r="B1459" s="6" t="n">
        <x:v>0.2545</x:v>
      </x:c>
      <x:c r="C1459" s="6" t="n">
        <x:v>0.1426</x:v>
      </x:c>
      <x:c r="D1459" s="6" t="n">
        <x:f>B1459</x:f>
        <x:v>0.2545</x:v>
      </x:c>
      <x:c r="E1459" s="1" t="n">
        <x:v>1.05</x:v>
      </x:c>
      <x:c r="F1459" s="1" t="str">
        <x:v>https://api.octopus.energy/v1/products/AGILE-24-10-01/electricity-tariffs/E-1R-AGILE-24-10-01-G/standard-unit-rates/</x:v>
      </x:c>
    </x:row>
    <x:row r="1460" ht="21" customHeight="1">
      <x:c r="A1460" s="24" t="n">
        <x:v>46178.916666666664</x:v>
      </x:c>
      <x:c r="B1460" s="6" t="n">
        <x:v>0.24050000000000002</x:v>
      </x:c>
      <x:c r="C1460" s="6" t="n">
        <x:v>0.1362</x:v>
      </x:c>
      <x:c r="D1460" s="6" t="n">
        <x:f>B1460</x:f>
        <x:v>0.24050000000000002</x:v>
      </x:c>
      <x:c r="E1460" s="1" t="n">
        <x:v>1.05</x:v>
      </x:c>
      <x:c r="F1460" s="1" t="str">
        <x:v>https://api.octopus.energy/v1/products/AGILE-24-10-01/electricity-tariffs/E-1R-AGILE-24-10-01-G/standard-unit-rates/</x:v>
      </x:c>
    </x:row>
    <x:row r="1461" ht="21" customHeight="1">
      <x:c r="A1461" s="24" t="n">
        <x:v>46178.9375</x:v>
      </x:c>
      <x:c r="B1461" s="6" t="n">
        <x:v>0.2348</x:v>
      </x:c>
      <x:c r="C1461" s="6" t="n">
        <x:v>0.1336</x:v>
      </x:c>
      <x:c r="D1461" s="6" t="n">
        <x:f>B1461</x:f>
        <x:v>0.2348</x:v>
      </x:c>
      <x:c r="E1461" s="1" t="n">
        <x:v>1.05</x:v>
      </x:c>
      <x:c r="F1461" s="1" t="str">
        <x:v>https://api.octopus.energy/v1/products/AGILE-24-10-01/electricity-tariffs/E-1R-AGILE-24-10-01-G/standard-unit-rates/</x:v>
      </x:c>
    </x:row>
    <x:row r="1462" ht="21" customHeight="1">
      <x:c r="A1462" s="24" t="n">
        <x:v>46179</x:v>
      </x:c>
      <x:c r="B1462" s="6" t="n">
        <x:v>0.21230000000000002</x:v>
      </x:c>
      <x:c r="C1462" s="6" t="n">
        <x:v>0.1233</x:v>
      </x:c>
      <x:c r="D1462" s="6" t="n">
        <x:f>B1462</x:f>
        <x:v>0.21230000000000002</x:v>
      </x:c>
      <x:c r="E1462" s="1" t="n">
        <x:v>1.05</x:v>
      </x:c>
      <x:c r="F1462" s="1" t="str">
        <x:v>https://api.octopus.energy/v1/products/AGILE-24-10-01/electricity-tariffs/E-1R-AGILE-24-10-01-G/standard-unit-rates/</x:v>
      </x:c>
    </x:row>
    <x:row r="1463" ht="21" customHeight="1">
      <x:c r="A1463" s="24" t="n">
        <x:v>46178.979166666664</x:v>
      </x:c>
      <x:c r="B1463" s="6" t="n">
        <x:v>0.2018</x:v>
      </x:c>
      <x:c r="C1463" s="6" t="n">
        <x:v>0.1185</x:v>
      </x:c>
      <x:c r="D1463" s="6" t="n">
        <x:f>B1463</x:f>
        <x:v>0.2018</x:v>
      </x:c>
      <x:c r="E1463" s="1" t="n">
        <x:v>1.05</x:v>
      </x:c>
      <x:c r="F1463" s="1" t="str">
        <x:v>https://api.octopus.energy/v1/products/AGILE-24-10-01/electricity-tariffs/E-1R-AGILE-24-10-01-G/standard-unit-rates/</x:v>
      </x:c>
    </x:row>
    <x:row r="1464" ht="21" customHeight="1">
      <x:c r="A1464" s="24" t="n">
        <x:v>46179</x:v>
      </x:c>
      <x:c r="B1464" s="6" t="n">
        <x:v>0.1766</x:v>
      </x:c>
      <x:c r="C1464" s="6" t="n">
        <x:v>0.107</x:v>
      </x:c>
      <x:c r="D1464" s="6" t="n">
        <x:f>B1464</x:f>
        <x:v>0.1766</x:v>
      </x:c>
      <x:c r="E1464" s="1" t="n">
        <x:v>1.05</x:v>
      </x:c>
      <x:c r="F1464" s="1" t="str">
        <x:v>https://api.octopus.energy/v1/products/AGILE-24-10-01/electricity-tariffs/E-1R-AGILE-24-10-01-G/standard-unit-rates/</x:v>
      </x:c>
    </x:row>
    <x:row r="1465" ht="21" customHeight="1">
      <x:c r="A1465" s="24" t="n">
        <x:v>46179.020833333336</x:v>
      </x:c>
      <x:c r="B1465" s="6" t="n">
        <x:v>0.1766</x:v>
      </x:c>
      <x:c r="C1465" s="6" t="n">
        <x:v>0.107</x:v>
      </x:c>
      <x:c r="D1465" s="6" t="n">
        <x:f>B1465</x:f>
        <x:v>0.1766</x:v>
      </x:c>
      <x:c r="E1465" s="1" t="n">
        <x:v>1.05</x:v>
      </x:c>
      <x:c r="F1465" s="1" t="str">
        <x:v>https://api.octopus.energy/v1/products/AGILE-24-10-01/electricity-tariffs/E-1R-AGILE-24-10-01-G/standard-unit-rates/</x:v>
      </x:c>
    </x:row>
    <x:row r="1466" ht="21" customHeight="1">
      <x:c r="A1466" s="24" t="n">
        <x:v>46179.041666666664</x:v>
      </x:c>
      <x:c r="B1466" s="6" t="n">
        <x:v>0.19219999999999998</x:v>
      </x:c>
      <x:c r="C1466" s="6" t="n">
        <x:v>0.11410000000000001</x:v>
      </x:c>
      <x:c r="D1466" s="6" t="n">
        <x:f>B1466</x:f>
        <x:v>0.19219999999999998</x:v>
      </x:c>
      <x:c r="E1466" s="1" t="n">
        <x:v>1.05</x:v>
      </x:c>
      <x:c r="F1466" s="1" t="str">
        <x:v>https://api.octopus.energy/v1/products/AGILE-24-10-01/electricity-tariffs/E-1R-AGILE-24-10-01-G/standard-unit-rates/</x:v>
      </x:c>
    </x:row>
    <x:row r="1467" ht="21" customHeight="1">
      <x:c r="A1467" s="24" t="n">
        <x:v>46179.0625</x:v>
      </x:c>
      <x:c r="B1467" s="6" t="n">
        <x:v>0.1883</x:v>
      </x:c>
      <x:c r="C1467" s="6" t="n">
        <x:v>0.11230000000000001</x:v>
      </x:c>
      <x:c r="D1467" s="6" t="n">
        <x:f>B1467</x:f>
        <x:v>0.1883</x:v>
      </x:c>
      <x:c r="E1467" s="1" t="n">
        <x:v>1.05</x:v>
      </x:c>
      <x:c r="F1467" s="1" t="str">
        <x:v>https://api.octopus.energy/v1/products/AGILE-24-10-01/electricity-tariffs/E-1R-AGILE-24-10-01-G/standard-unit-rates/</x:v>
      </x:c>
    </x:row>
    <x:row r="1468" ht="21" customHeight="1">
      <x:c r="A1468" s="24" t="n">
        <x:v>46179.083333333336</x:v>
      </x:c>
      <x:c r="B1468" s="6" t="n">
        <x:v>0.1856</x:v>
      </x:c>
      <x:c r="C1468" s="6" t="n">
        <x:v>0.11109999999999999</x:v>
      </x:c>
      <x:c r="D1468" s="6" t="n">
        <x:f>B1468</x:f>
        <x:v>0.1856</x:v>
      </x:c>
      <x:c r="E1468" s="1" t="n">
        <x:v>1.05</x:v>
      </x:c>
      <x:c r="F1468" s="1" t="str">
        <x:v>https://api.octopus.energy/v1/products/AGILE-24-10-01/electricity-tariffs/E-1R-AGILE-24-10-01-G/standard-unit-rates/</x:v>
      </x:c>
    </x:row>
    <x:row r="1469" ht="21" customHeight="1">
      <x:c r="A1469" s="24" t="n">
        <x:v>46179.104166666664</x:v>
      </x:c>
      <x:c r="B1469" s="6" t="n">
        <x:v>0.1873</x:v>
      </x:c>
      <x:c r="C1469" s="6" t="n">
        <x:v>0.1119</x:v>
      </x:c>
      <x:c r="D1469" s="6" t="n">
        <x:f>B1469</x:f>
        <x:v>0.1873</x:v>
      </x:c>
      <x:c r="E1469" s="1" t="n">
        <x:v>1.05</x:v>
      </x:c>
      <x:c r="F1469" s="1" t="str">
        <x:v>https://api.octopus.energy/v1/products/AGILE-24-10-01/electricity-tariffs/E-1R-AGILE-24-10-01-G/standard-unit-rates/</x:v>
      </x:c>
    </x:row>
    <x:row r="1470" ht="21" customHeight="1">
      <x:c r="A1470" s="24" t="n">
        <x:v>46179.125</x:v>
      </x:c>
      <x:c r="B1470" s="6" t="n">
        <x:v>0.1808</x:v>
      </x:c>
      <x:c r="C1470" s="6" t="n">
        <x:v>0.10890000000000001</x:v>
      </x:c>
      <x:c r="D1470" s="6" t="n">
        <x:f>B1470</x:f>
        <x:v>0.1808</x:v>
      </x:c>
      <x:c r="E1470" s="1" t="n">
        <x:v>1.05</x:v>
      </x:c>
      <x:c r="F1470" s="1" t="str">
        <x:v>https://api.octopus.energy/v1/products/AGILE-24-10-01/electricity-tariffs/E-1R-AGILE-24-10-01-G/standard-unit-rates/</x:v>
      </x:c>
    </x:row>
    <x:row r="1471" ht="21" customHeight="1">
      <x:c r="A1471" s="24" t="n">
        <x:v>46179.145833333336</x:v>
      </x:c>
      <x:c r="B1471" s="6" t="n">
        <x:v>0.18109999999999998</x:v>
      </x:c>
      <x:c r="C1471" s="6" t="n">
        <x:v>0.1091</x:v>
      </x:c>
      <x:c r="D1471" s="6" t="n">
        <x:f>B1471</x:f>
        <x:v>0.18109999999999998</x:v>
      </x:c>
      <x:c r="E1471" s="1" t="n">
        <x:v>1.05</x:v>
      </x:c>
      <x:c r="F1471" s="1" t="str">
        <x:v>https://api.octopus.energy/v1/products/AGILE-24-10-01/electricity-tariffs/E-1R-AGILE-24-10-01-G/standard-unit-rates/</x:v>
      </x:c>
    </x:row>
    <x:row r="1472" ht="21" customHeight="1">
      <x:c r="A1472" s="24" t="n">
        <x:v>46179.166666666664</x:v>
      </x:c>
      <x:c r="B1472" s="6" t="n">
        <x:v>0.1895</x:v>
      </x:c>
      <x:c r="C1472" s="6" t="n">
        <x:v>0.11289999999999999</x:v>
      </x:c>
      <x:c r="D1472" s="6" t="n">
        <x:f>B1472</x:f>
        <x:v>0.1895</x:v>
      </x:c>
      <x:c r="E1472" s="1" t="n">
        <x:v>1.05</x:v>
      </x:c>
      <x:c r="F1472" s="1" t="str">
        <x:v>https://api.octopus.energy/v1/products/AGILE-24-10-01/electricity-tariffs/E-1R-AGILE-24-10-01-G/standard-unit-rates/</x:v>
      </x:c>
    </x:row>
    <x:row r="1473" ht="21" customHeight="1">
      <x:c r="A1473" s="24" t="n">
        <x:v>46179.1875</x:v>
      </x:c>
      <x:c r="B1473" s="6" t="n">
        <x:v>0.1808</x:v>
      </x:c>
      <x:c r="C1473" s="6" t="n">
        <x:v>0.10890000000000001</x:v>
      </x:c>
      <x:c r="D1473" s="6" t="n">
        <x:f>B1473</x:f>
        <x:v>0.1808</x:v>
      </x:c>
      <x:c r="E1473" s="1" t="n">
        <x:v>1.05</x:v>
      </x:c>
      <x:c r="F1473" s="1" t="str">
        <x:v>https://api.octopus.energy/v1/products/AGILE-24-10-01/electricity-tariffs/E-1R-AGILE-24-10-01-G/standard-unit-rates/</x:v>
      </x:c>
    </x:row>
    <x:row r="1474" ht="21" customHeight="1">
      <x:c r="A1474" s="24" t="n">
        <x:v>46179.208333333336</x:v>
      </x:c>
      <x:c r="B1474" s="6" t="n">
        <x:v>0.16579999999999998</x:v>
      </x:c>
      <x:c r="C1474" s="6" t="n">
        <x:v>0.10210000000000001</x:v>
      </x:c>
      <x:c r="D1474" s="6" t="n">
        <x:f>B1474</x:f>
        <x:v>0.16579999999999998</x:v>
      </x:c>
      <x:c r="E1474" s="1" t="n">
        <x:v>1.05</x:v>
      </x:c>
      <x:c r="F1474" s="1" t="str">
        <x:v>https://api.octopus.energy/v1/products/AGILE-24-10-01/electricity-tariffs/E-1R-AGILE-24-10-01-G/standard-unit-rates/</x:v>
      </x:c>
    </x:row>
    <x:row r="1475" ht="21" customHeight="1">
      <x:c r="A1475" s="24" t="n">
        <x:v>46179.229166666664</x:v>
      </x:c>
      <x:c r="B1475" s="6" t="n">
        <x:v>0.14800000000000002</x:v>
      </x:c>
      <x:c r="C1475" s="6" t="n">
        <x:v>0.09390000000000001</x:v>
      </x:c>
      <x:c r="D1475" s="6" t="n">
        <x:f>B1475</x:f>
        <x:v>0.14800000000000002</x:v>
      </x:c>
      <x:c r="E1475" s="1" t="n">
        <x:v>1.05</x:v>
      </x:c>
      <x:c r="F1475" s="1" t="str">
        <x:v>https://api.octopus.energy/v1/products/AGILE-24-10-01/electricity-tariffs/E-1R-AGILE-24-10-01-G/standard-unit-rates/</x:v>
      </x:c>
    </x:row>
    <x:row r="1476" ht="21" customHeight="1">
      <x:c r="A1476" s="24" t="n">
        <x:v>46179.25</x:v>
      </x:c>
      <x:c r="B1476" s="6" t="n">
        <x:v>0.0944</x:v>
      </x:c>
      <x:c r="C1476" s="6" t="n">
        <x:v>0.0694</x:v>
      </x:c>
      <x:c r="D1476" s="6" t="n">
        <x:f>B1476</x:f>
        <x:v>0.0944</x:v>
      </x:c>
      <x:c r="E1476" s="1" t="n">
        <x:v>1.05</x:v>
      </x:c>
      <x:c r="F1476" s="1" t="str">
        <x:v>https://api.octopus.energy/v1/products/AGILE-24-10-01/electricity-tariffs/E-1R-AGILE-24-10-01-G/standard-unit-rates/</x:v>
      </x:c>
    </x:row>
    <x:row r="1477" ht="21" customHeight="1">
      <x:c r="A1477" s="24" t="n">
        <x:v>46179.270833333336</x:v>
      </x:c>
      <x:c r="B1477" s="6" t="n">
        <x:v>0.11779999999999999</x:v>
      </x:c>
      <x:c r="C1477" s="6" t="n">
        <x:v>0.0801</x:v>
      </x:c>
      <x:c r="D1477" s="6" t="n">
        <x:f>B1477</x:f>
        <x:v>0.11779999999999999</x:v>
      </x:c>
      <x:c r="E1477" s="1" t="n">
        <x:v>1.05</x:v>
      </x:c>
      <x:c r="F1477" s="1" t="str">
        <x:v>https://api.octopus.energy/v1/products/AGILE-24-10-01/electricity-tariffs/E-1R-AGILE-24-10-01-G/standard-unit-rates/</x:v>
      </x:c>
    </x:row>
    <x:row r="1478" ht="21" customHeight="1">
      <x:c r="A1478" s="24" t="n">
        <x:v>46179.291666666664</x:v>
      </x:c>
      <x:c r="B1478" s="6" t="n">
        <x:v>0.0536</x:v>
      </x:c>
      <x:c r="C1478" s="6" t="n">
        <x:v>0.0508</x:v>
      </x:c>
      <x:c r="D1478" s="6" t="n">
        <x:f>B1478</x:f>
        <x:v>0.0536</x:v>
      </x:c>
      <x:c r="E1478" s="1" t="n">
        <x:v>1.05</x:v>
      </x:c>
      <x:c r="F1478" s="1" t="str">
        <x:v>https://api.octopus.energy/v1/products/AGILE-24-10-01/electricity-tariffs/E-1R-AGILE-24-10-01-G/standard-unit-rates/</x:v>
      </x:c>
    </x:row>
    <x:row r="1479" ht="21" customHeight="1">
      <x:c r="A1479" s="24" t="n">
        <x:v>46179.3125</x:v>
      </x:c>
      <x:c r="B1479" s="6" t="n">
        <x:v>0.122</x:v>
      </x:c>
      <x:c r="C1479" s="6" t="n">
        <x:v>0.08199999999999999</x:v>
      </x:c>
      <x:c r="D1479" s="6" t="n">
        <x:f>B1479</x:f>
        <x:v>0.122</x:v>
      </x:c>
      <x:c r="E1479" s="1" t="n">
        <x:v>1.05</x:v>
      </x:c>
      <x:c r="F1479" s="1" t="str">
        <x:v>https://api.octopus.energy/v1/products/AGILE-24-10-01/electricity-tariffs/E-1R-AGILE-24-10-01-G/standard-unit-rates/</x:v>
      </x:c>
    </x:row>
    <x:row r="1480" ht="21" customHeight="1">
      <x:c r="A1480" s="24" t="n">
        <x:v>46179.333333333336</x:v>
      </x:c>
      <x:c r="B1480" s="6" t="n">
        <x:v>0.1</x:v>
      </x:c>
      <x:c r="C1480" s="6" t="n">
        <x:v>0.07200000000000001</x:v>
      </x:c>
      <x:c r="D1480" s="6" t="n">
        <x:f>B1480</x:f>
        <x:v>0.1</x:v>
      </x:c>
      <x:c r="E1480" s="1" t="n">
        <x:v>1.05</x:v>
      </x:c>
      <x:c r="F1480" s="1" t="str">
        <x:v>https://api.octopus.energy/v1/products/AGILE-24-10-01/electricity-tariffs/E-1R-AGILE-24-10-01-G/standard-unit-rates/</x:v>
      </x:c>
    </x:row>
    <x:row r="1481" ht="21" customHeight="1">
      <x:c r="A1481" s="24" t="n">
        <x:v>46179.354166666664</x:v>
      </x:c>
      <x:c r="B1481" s="6" t="n">
        <x:v>0.10640000000000001</x:v>
      </x:c>
      <x:c r="C1481" s="6" t="n">
        <x:v>0.07490000000000001</x:v>
      </x:c>
      <x:c r="D1481" s="6" t="n">
        <x:f>B1481</x:f>
        <x:v>0.10640000000000001</x:v>
      </x:c>
      <x:c r="E1481" s="1" t="n">
        <x:v>1.05</x:v>
      </x:c>
      <x:c r="F1481" s="1" t="str">
        <x:v>https://api.octopus.energy/v1/products/AGILE-24-10-01/electricity-tariffs/E-1R-AGILE-24-10-01-G/standard-unit-rates/</x:v>
      </x:c>
    </x:row>
    <x:row r="1482" ht="21" customHeight="1">
      <x:c r="A1482" s="24" t="n">
        <x:v>46179.375</x:v>
      </x:c>
      <x:c r="B1482" s="6" t="n">
        <x:v>0.0842</x:v>
      </x:c>
      <x:c r="C1482" s="6" t="n">
        <x:v>0.06480000000000001</x:v>
      </x:c>
      <x:c r="D1482" s="6" t="n">
        <x:f>B1482</x:f>
        <x:v>0.0842</x:v>
      </x:c>
      <x:c r="E1482" s="1" t="n">
        <x:v>1.05</x:v>
      </x:c>
      <x:c r="F1482" s="1" t="str">
        <x:v>https://api.octopus.energy/v1/products/AGILE-24-10-01/electricity-tariffs/E-1R-AGILE-24-10-01-G/standard-unit-rates/</x:v>
      </x:c>
    </x:row>
    <x:row r="1483" ht="21" customHeight="1">
      <x:c r="A1483" s="24" t="n">
        <x:v>46179.395833333336</x:v>
      </x:c>
      <x:c r="B1483" s="6" t="n">
        <x:v>0.08839999999999999</x:v>
      </x:c>
      <x:c r="C1483" s="6" t="n">
        <x:v>0.0667</x:v>
      </x:c>
      <x:c r="D1483" s="6" t="n">
        <x:f>B1483</x:f>
        <x:v>0.08839999999999999</x:v>
      </x:c>
      <x:c r="E1483" s="1" t="n">
        <x:v>1.05</x:v>
      </x:c>
      <x:c r="F1483" s="1" t="str">
        <x:v>https://api.octopus.energy/v1/products/AGILE-24-10-01/electricity-tariffs/E-1R-AGILE-24-10-01-G/standard-unit-rates/</x:v>
      </x:c>
    </x:row>
    <x:row r="1484" ht="21" customHeight="1">
      <x:c r="A1484" s="24" t="n">
        <x:v>46179.416666666664</x:v>
      </x:c>
      <x:c r="B1484" s="6" t="n">
        <x:v>0.0842</x:v>
      </x:c>
      <x:c r="C1484" s="6" t="n">
        <x:v>0.06480000000000001</x:v>
      </x:c>
      <x:c r="D1484" s="6" t="n">
        <x:f>B1484</x:f>
        <x:v>0.0842</x:v>
      </x:c>
      <x:c r="E1484" s="1" t="n">
        <x:v>1.05</x:v>
      </x:c>
      <x:c r="F1484" s="1" t="str">
        <x:v>https://api.octopus.energy/v1/products/AGILE-24-10-01/electricity-tariffs/E-1R-AGILE-24-10-01-G/standard-unit-rates/</x:v>
      </x:c>
    </x:row>
    <x:row r="1485" ht="21" customHeight="1">
      <x:c r="A1485" s="24" t="n">
        <x:v>46179.4375</x:v>
      </x:c>
      <x:c r="B1485" s="6" t="n">
        <x:v>0.0674</x:v>
      </x:c>
      <x:c r="C1485" s="6" t="n">
        <x:v>0.0571</x:v>
      </x:c>
      <x:c r="D1485" s="6" t="n">
        <x:f>B1485</x:f>
        <x:v>0.0674</x:v>
      </x:c>
      <x:c r="E1485" s="1" t="n">
        <x:v>1.05</x:v>
      </x:c>
      <x:c r="F1485" s="1" t="str">
        <x:v>https://api.octopus.energy/v1/products/AGILE-24-10-01/electricity-tariffs/E-1R-AGILE-24-10-01-G/standard-unit-rates/</x:v>
      </x:c>
    </x:row>
    <x:row r="1486" ht="21" customHeight="1">
      <x:c r="A1486" s="24" t="n">
        <x:v>46179.458333333336</x:v>
      </x:c>
      <x:c r="B1486" s="6" t="n">
        <x:v>0.0876</x:v>
      </x:c>
      <x:c r="C1486" s="6" t="n">
        <x:v>0.0663</x:v>
      </x:c>
      <x:c r="D1486" s="6" t="n">
        <x:f>B1486</x:f>
        <x:v>0.0876</x:v>
      </x:c>
      <x:c r="E1486" s="1" t="n">
        <x:v>1.05</x:v>
      </x:c>
      <x:c r="F1486" s="1" t="str">
        <x:v>https://api.octopus.energy/v1/products/AGILE-24-10-01/electricity-tariffs/E-1R-AGILE-24-10-01-G/standard-unit-rates/</x:v>
      </x:c>
    </x:row>
    <x:row r="1487" ht="21" customHeight="1">
      <x:c r="A1487" s="24" t="n">
        <x:v>46179.479166666664</x:v>
      </x:c>
      <x:c r="B1487" s="6" t="n">
        <x:v>0.0928</x:v>
      </x:c>
      <x:c r="C1487" s="6" t="n">
        <x:v>0.0687</x:v>
      </x:c>
      <x:c r="D1487" s="6" t="n">
        <x:f>B1487</x:f>
        <x:v>0.0928</x:v>
      </x:c>
      <x:c r="E1487" s="1" t="n">
        <x:v>1.05</x:v>
      </x:c>
      <x:c r="F1487" s="1" t="str">
        <x:v>https://api.octopus.energy/v1/products/AGILE-24-10-01/electricity-tariffs/E-1R-AGILE-24-10-01-G/standard-unit-rates/</x:v>
      </x:c>
    </x:row>
    <x:row r="1488" ht="21" customHeight="1">
      <x:c r="A1488" s="24" t="n">
        <x:v>46179.5</x:v>
      </x:c>
      <x:c r="B1488" s="6" t="n">
        <x:v>0.08410000000000001</x:v>
      </x:c>
      <x:c r="C1488" s="6" t="n">
        <x:v>0.0647</x:v>
      </x:c>
      <x:c r="D1488" s="6" t="n">
        <x:f>B1488</x:f>
        <x:v>0.08410000000000001</x:v>
      </x:c>
      <x:c r="E1488" s="1" t="n">
        <x:v>1.05</x:v>
      </x:c>
      <x:c r="F1488" s="1" t="str">
        <x:v>https://api.octopus.energy/v1/products/AGILE-24-10-01/electricity-tariffs/E-1R-AGILE-24-10-01-G/standard-unit-rates/</x:v>
      </x:c>
    </x:row>
    <x:row r="1489" ht="21" customHeight="1">
      <x:c r="A1489" s="24" t="n">
        <x:v>46179.520833333336</x:v>
      </x:c>
      <x:c r="B1489" s="6" t="n">
        <x:v>0.0842</x:v>
      </x:c>
      <x:c r="C1489" s="6" t="n">
        <x:v>0.06480000000000001</x:v>
      </x:c>
      <x:c r="D1489" s="6" t="n">
        <x:f>B1489</x:f>
        <x:v>0.0842</x:v>
      </x:c>
      <x:c r="E1489" s="1" t="n">
        <x:v>1.05</x:v>
      </x:c>
      <x:c r="F1489" s="1" t="str">
        <x:v>https://api.octopus.energy/v1/products/AGILE-24-10-01/electricity-tariffs/E-1R-AGILE-24-10-01-G/standard-unit-rates/</x:v>
      </x:c>
    </x:row>
    <x:row r="1490" ht="21" customHeight="1">
      <x:c r="A1490" s="24" t="n">
        <x:v>46179.541666666664</x:v>
      </x:c>
      <x:c r="B1490" s="6" t="n">
        <x:v>0.0861</x:v>
      </x:c>
      <x:c r="C1490" s="6" t="n">
        <x:v>0.06559999999999999</x:v>
      </x:c>
      <x:c r="D1490" s="6" t="n">
        <x:f>B1490</x:f>
        <x:v>0.0861</x:v>
      </x:c>
      <x:c r="E1490" s="1" t="n">
        <x:v>1.05</x:v>
      </x:c>
      <x:c r="F1490" s="1" t="str">
        <x:v>https://api.octopus.energy/v1/products/AGILE-24-10-01/electricity-tariffs/E-1R-AGILE-24-10-01-G/standard-unit-rates/</x:v>
      </x:c>
    </x:row>
    <x:row r="1491" ht="21" customHeight="1">
      <x:c r="A1491" s="24" t="n">
        <x:v>46179.5625</x:v>
      </x:c>
      <x:c r="B1491" s="6" t="n">
        <x:v>0.0809</x:v>
      </x:c>
      <x:c r="C1491" s="6" t="n">
        <x:v>0.0633</x:v>
      </x:c>
      <x:c r="D1491" s="6" t="n">
        <x:f>B1491</x:f>
        <x:v>0.0809</x:v>
      </x:c>
      <x:c r="E1491" s="1" t="n">
        <x:v>1.05</x:v>
      </x:c>
      <x:c r="F1491" s="1" t="str">
        <x:v>https://api.octopus.energy/v1/products/AGILE-24-10-01/electricity-tariffs/E-1R-AGILE-24-10-01-G/standard-unit-rates/</x:v>
      </x:c>
    </x:row>
    <x:row r="1492" ht="21" customHeight="1">
      <x:c r="A1492" s="24" t="n">
        <x:v>46179.583333333336</x:v>
      </x:c>
      <x:c r="B1492" s="6" t="n">
        <x:v>0.0824</x:v>
      </x:c>
      <x:c r="C1492" s="6" t="n">
        <x:v>0.0639</x:v>
      </x:c>
      <x:c r="D1492" s="6" t="n">
        <x:f>B1492</x:f>
        <x:v>0.0824</x:v>
      </x:c>
      <x:c r="E1492" s="1" t="n">
        <x:v>1.05</x:v>
      </x:c>
      <x:c r="F1492" s="1" t="str">
        <x:v>https://api.octopus.energy/v1/products/AGILE-24-10-01/electricity-tariffs/E-1R-AGILE-24-10-01-G/standard-unit-rates/</x:v>
      </x:c>
    </x:row>
    <x:row r="1493" ht="21" customHeight="1">
      <x:c r="A1493" s="24" t="n">
        <x:v>46179.604166666664</x:v>
      </x:c>
      <x:c r="B1493" s="6" t="n">
        <x:v>0.08779999999999999</x:v>
      </x:c>
      <x:c r="C1493" s="6" t="n">
        <x:v>0.0664</x:v>
      </x:c>
      <x:c r="D1493" s="6" t="n">
        <x:f>B1493</x:f>
        <x:v>0.08779999999999999</x:v>
      </x:c>
      <x:c r="E1493" s="1" t="n">
        <x:v>1.05</x:v>
      </x:c>
      <x:c r="F1493" s="1" t="str">
        <x:v>https://api.octopus.energy/v1/products/AGILE-24-10-01/electricity-tariffs/E-1R-AGILE-24-10-01-G/standard-unit-rates/</x:v>
      </x:c>
    </x:row>
    <x:row r="1494" ht="21" customHeight="1">
      <x:c r="A1494" s="24" t="n">
        <x:v>46179.625</x:v>
      </x:c>
      <x:c r="B1494" s="6" t="n">
        <x:v>0.11449999999999999</x:v>
      </x:c>
      <x:c r="C1494" s="6" t="n">
        <x:v>0.0786</x:v>
      </x:c>
      <x:c r="D1494" s="6" t="n">
        <x:f>B1494</x:f>
        <x:v>0.11449999999999999</x:v>
      </x:c>
      <x:c r="E1494" s="1" t="n">
        <x:v>1.05</x:v>
      </x:c>
      <x:c r="F1494" s="1" t="str">
        <x:v>https://api.octopus.energy/v1/products/AGILE-24-10-01/electricity-tariffs/E-1R-AGILE-24-10-01-G/standard-unit-rates/</x:v>
      </x:c>
    </x:row>
    <x:row r="1495" ht="21" customHeight="1">
      <x:c r="A1495" s="24" t="n">
        <x:v>46179.645833333336</x:v>
      </x:c>
      <x:c r="B1495" s="6" t="n">
        <x:v>0.133</x:v>
      </x:c>
      <x:c r="C1495" s="6" t="n">
        <x:v>0.08710000000000001</x:v>
      </x:c>
      <x:c r="D1495" s="6" t="n">
        <x:f>B1495</x:f>
        <x:v>0.133</x:v>
      </x:c>
      <x:c r="E1495" s="1" t="n">
        <x:v>1.05</x:v>
      </x:c>
      <x:c r="F1495" s="1" t="str">
        <x:v>https://api.octopus.energy/v1/products/AGILE-24-10-01/electricity-tariffs/E-1R-AGILE-24-10-01-G/standard-unit-rates/</x:v>
      </x:c>
    </x:row>
    <x:row r="1496" ht="21" customHeight="1">
      <x:c r="A1496" s="24" t="n">
        <x:v>46179.666666666664</x:v>
      </x:c>
      <x:c r="B1496" s="6" t="n">
        <x:v>0.2651</x:v>
      </x:c>
      <x:c r="C1496" s="6" t="n">
        <x:v>0.1515</x:v>
      </x:c>
      <x:c r="D1496" s="6" t="n">
        <x:f>B1496</x:f>
        <x:v>0.2651</x:v>
      </x:c>
      <x:c r="E1496" s="1" t="n">
        <x:v>1.05</x:v>
      </x:c>
      <x:c r="F1496" s="1" t="str">
        <x:v>https://api.octopus.energy/v1/products/AGILE-24-10-01/electricity-tariffs/E-1R-AGILE-24-10-01-G/standard-unit-rates/</x:v>
      </x:c>
    </x:row>
    <x:row r="1497" ht="21" customHeight="1">
      <x:c r="A1497" s="24" t="n">
        <x:v>46179.6875</x:v>
      </x:c>
      <x:c r="B1497" s="6" t="n">
        <x:v>0.27140000000000003</x:v>
      </x:c>
      <x:c r="C1497" s="6" t="n">
        <x:v>0.15439999999999998</x:v>
      </x:c>
      <x:c r="D1497" s="6" t="n">
        <x:f>B1497</x:f>
        <x:v>0.27140000000000003</x:v>
      </x:c>
      <x:c r="E1497" s="1" t="n">
        <x:v>1.05</x:v>
      </x:c>
      <x:c r="F1497" s="1" t="str">
        <x:v>https://api.octopus.energy/v1/products/AGILE-24-10-01/electricity-tariffs/E-1R-AGILE-24-10-01-G/standard-unit-rates/</x:v>
      </x:c>
    </x:row>
    <x:row r="1498" ht="21" customHeight="1">
      <x:c r="A1498" s="24" t="n">
        <x:v>46179.708333333336</x:v>
      </x:c>
      <x:c r="B1498" s="6" t="n">
        <x:v>0.3102</x:v>
      </x:c>
      <x:c r="C1498" s="6" t="n">
        <x:v>0.1721</x:v>
      </x:c>
      <x:c r="D1498" s="6" t="n">
        <x:f>B1498</x:f>
        <x:v>0.3102</x:v>
      </x:c>
      <x:c r="E1498" s="1" t="n">
        <x:v>1.05</x:v>
      </x:c>
      <x:c r="F1498" s="1" t="str">
        <x:v>https://api.octopus.energy/v1/products/AGILE-24-10-01/electricity-tariffs/E-1R-AGILE-24-10-01-G/standard-unit-rates/</x:v>
      </x:c>
    </x:row>
    <x:row r="1499" ht="21" customHeight="1">
      <x:c r="A1499" s="24" t="n">
        <x:v>46179.729166666664</x:v>
      </x:c>
      <x:c r="B1499" s="6" t="n">
        <x:v>0.3176</x:v>
      </x:c>
      <x:c r="C1499" s="6" t="n">
        <x:v>0.17550000000000002</x:v>
      </x:c>
      <x:c r="D1499" s="6" t="n">
        <x:f>B1499</x:f>
        <x:v>0.3176</x:v>
      </x:c>
      <x:c r="E1499" s="1" t="n">
        <x:v>1.05</x:v>
      </x:c>
      <x:c r="F1499" s="1" t="str">
        <x:v>https://api.octopus.energy/v1/products/AGILE-24-10-01/electricity-tariffs/E-1R-AGILE-24-10-01-G/standard-unit-rates/</x:v>
      </x:c>
    </x:row>
    <x:row r="1500" ht="21" customHeight="1">
      <x:c r="A1500" s="24" t="n">
        <x:v>46179.75</x:v>
      </x:c>
      <x:c r="B1500" s="6" t="n">
        <x:v>0.3386</x:v>
      </x:c>
      <x:c r="C1500" s="6" t="n">
        <x:v>0.18510000000000001</x:v>
      </x:c>
      <x:c r="D1500" s="6" t="n">
        <x:f>B1500</x:f>
        <x:v>0.3386</x:v>
      </x:c>
      <x:c r="E1500" s="1" t="n">
        <x:v>1.05</x:v>
      </x:c>
      <x:c r="F1500" s="1" t="str">
        <x:v>https://api.octopus.energy/v1/products/AGILE-24-10-01/electricity-tariffs/E-1R-AGILE-24-10-01-G/standard-unit-rates/</x:v>
      </x:c>
    </x:row>
    <x:row r="1501" ht="21" customHeight="1">
      <x:c r="A1501" s="24" t="n">
        <x:v>46179.770833333336</x:v>
      </x:c>
      <x:c r="B1501" s="6" t="n">
        <x:v>0.3408</x:v>
      </x:c>
      <x:c r="C1501" s="6" t="n">
        <x:v>0.1861</x:v>
      </x:c>
      <x:c r="D1501" s="6" t="n">
        <x:f>B1501</x:f>
        <x:v>0.3408</x:v>
      </x:c>
      <x:c r="E1501" s="1" t="n">
        <x:v>1.05</x:v>
      </x:c>
      <x:c r="F1501" s="1" t="str">
        <x:v>https://api.octopus.energy/v1/products/AGILE-24-10-01/electricity-tariffs/E-1R-AGILE-24-10-01-G/standard-unit-rates/</x:v>
      </x:c>
    </x:row>
    <x:row r="1502" ht="21" customHeight="1">
      <x:c r="A1502" s="24" t="n">
        <x:v>46179.791666666664</x:v>
      </x:c>
      <x:c r="B1502" s="6" t="n">
        <x:v>0.22870000000000001</x:v>
      </x:c>
      <x:c r="C1502" s="6" t="n">
        <x:v>0.1308</x:v>
      </x:c>
      <x:c r="D1502" s="6" t="n">
        <x:f>B1502</x:f>
        <x:v>0.22870000000000001</x:v>
      </x:c>
      <x:c r="E1502" s="1" t="n">
        <x:v>1.05</x:v>
      </x:c>
      <x:c r="F1502" s="1" t="str">
        <x:v>https://api.octopus.energy/v1/products/AGILE-24-10-01/electricity-tariffs/E-1R-AGILE-24-10-01-G/standard-unit-rates/</x:v>
      </x:c>
    </x:row>
    <x:row r="1503" ht="21" customHeight="1">
      <x:c r="A1503" s="24" t="n">
        <x:v>46179.8125</x:v>
      </x:c>
      <x:c r="B1503" s="6" t="n">
        <x:v>0.2371</x:v>
      </x:c>
      <x:c r="C1503" s="6" t="n">
        <x:v>0.13470000000000001</x:v>
      </x:c>
      <x:c r="D1503" s="6" t="n">
        <x:f>B1503</x:f>
        <x:v>0.2371</x:v>
      </x:c>
      <x:c r="E1503" s="1" t="n">
        <x:v>1.05</x:v>
      </x:c>
      <x:c r="F1503" s="1" t="str">
        <x:v>https://api.octopus.energy/v1/products/AGILE-24-10-01/electricity-tariffs/E-1R-AGILE-24-10-01-G/standard-unit-rates/</x:v>
      </x:c>
    </x:row>
    <x:row r="1504" ht="21" customHeight="1">
      <x:c r="A1504" s="24" t="n">
        <x:v>46179.833333333336</x:v>
      </x:c>
      <x:c r="B1504" s="6" t="n">
        <x:v>0.2254</x:v>
      </x:c>
      <x:c r="C1504" s="6" t="n">
        <x:v>0.1293</x:v>
      </x:c>
      <x:c r="D1504" s="6" t="n">
        <x:f>B1504</x:f>
        <x:v>0.2254</x:v>
      </x:c>
      <x:c r="E1504" s="1" t="n">
        <x:v>1.05</x:v>
      </x:c>
      <x:c r="F1504" s="1" t="str">
        <x:v>https://api.octopus.energy/v1/products/AGILE-24-10-01/electricity-tariffs/E-1R-AGILE-24-10-01-G/standard-unit-rates/</x:v>
      </x:c>
    </x:row>
    <x:row r="1505" ht="21" customHeight="1">
      <x:c r="A1505" s="24" t="n">
        <x:v>46179.854166666664</x:v>
      </x:c>
      <x:c r="B1505" s="6" t="n">
        <x:v>0.2257</x:v>
      </x:c>
      <x:c r="C1505" s="6" t="n">
        <x:v>0.1295</x:v>
      </x:c>
      <x:c r="D1505" s="6" t="n">
        <x:f>B1505</x:f>
        <x:v>0.2257</x:v>
      </x:c>
      <x:c r="E1505" s="1" t="n">
        <x:v>1.05</x:v>
      </x:c>
      <x:c r="F1505" s="1" t="str">
        <x:v>https://api.octopus.energy/v1/products/AGILE-24-10-01/electricity-tariffs/E-1R-AGILE-24-10-01-G/standard-unit-rates/</x:v>
      </x:c>
    </x:row>
    <x:row r="1506" ht="21" customHeight="1">
      <x:c r="A1506" s="24" t="n">
        <x:v>46179.875</x:v>
      </x:c>
      <x:c r="B1506" s="6" t="n">
        <x:v>0.2279</x:v>
      </x:c>
      <x:c r="C1506" s="6" t="n">
        <x:v>0.1304</x:v>
      </x:c>
      <x:c r="D1506" s="6" t="n">
        <x:f>B1506</x:f>
        <x:v>0.2279</x:v>
      </x:c>
      <x:c r="E1506" s="1" t="n">
        <x:v>1.05</x:v>
      </x:c>
      <x:c r="F1506" s="1" t="str">
        <x:v>https://api.octopus.energy/v1/products/AGILE-24-10-01/electricity-tariffs/E-1R-AGILE-24-10-01-G/standard-unit-rates/</x:v>
      </x:c>
    </x:row>
    <x:row r="1507" ht="21" customHeight="1">
      <x:c r="A1507" s="24" t="n">
        <x:v>46179.895833333336</x:v>
      </x:c>
      <x:c r="B1507" s="6" t="n">
        <x:v>0.21719999999999998</x:v>
      </x:c>
      <x:c r="C1507" s="6" t="n">
        <x:v>0.1255</x:v>
      </x:c>
      <x:c r="D1507" s="6" t="n">
        <x:f>B1507</x:f>
        <x:v>0.21719999999999998</x:v>
      </x:c>
      <x:c r="E1507" s="1" t="n">
        <x:v>1.05</x:v>
      </x:c>
      <x:c r="F1507" s="1" t="str">
        <x:v>https://api.octopus.energy/v1/products/AGILE-24-10-01/electricity-tariffs/E-1R-AGILE-24-10-01-G/standard-unit-rates/</x:v>
      </x:c>
    </x:row>
    <x:row r="1508" ht="21" customHeight="1">
      <x:c r="A1508" s="24" t="n">
        <x:v>46179.916666666664</x:v>
      </x:c>
      <x:c r="B1508" s="6" t="n">
        <x:v>0.1892</x:v>
      </x:c>
      <x:c r="C1508" s="6" t="n">
        <x:v>0.1128</x:v>
      </x:c>
      <x:c r="D1508" s="6" t="n">
        <x:f>B1508</x:f>
        <x:v>0.1892</x:v>
      </x:c>
      <x:c r="E1508" s="1" t="n">
        <x:v>1.05</x:v>
      </x:c>
      <x:c r="F1508" s="1" t="str">
        <x:v>https://api.octopus.energy/v1/products/AGILE-24-10-01/electricity-tariffs/E-1R-AGILE-24-10-01-G/standard-unit-rates/</x:v>
      </x:c>
    </x:row>
    <x:row r="1509" ht="21" customHeight="1">
      <x:c r="A1509" s="24" t="n">
        <x:v>46179.9375</x:v>
      </x:c>
      <x:c r="B1509" s="6" t="n">
        <x:v>0.1724</x:v>
      </x:c>
      <x:c r="C1509" s="6" t="n">
        <x:v>0.1051</x:v>
      </x:c>
      <x:c r="D1509" s="6" t="n">
        <x:f>B1509</x:f>
        <x:v>0.1724</x:v>
      </x:c>
      <x:c r="E1509" s="1" t="n">
        <x:v>1.05</x:v>
      </x:c>
      <x:c r="F1509" s="1" t="str">
        <x:v>https://api.octopus.energy/v1/products/AGILE-24-10-01/electricity-tariffs/E-1R-AGILE-24-10-01-G/standard-unit-rates/</x:v>
      </x:c>
    </x:row>
    <x:row r="1510" ht="21" customHeight="1">
      <x:c r="A1510" s="24" t="n">
        <x:v>46180</x:v>
      </x:c>
      <x:c r="B1510" s="6" t="n">
        <x:v>0.1892</x:v>
      </x:c>
      <x:c r="C1510" s="6" t="n">
        <x:v>0.1128</x:v>
      </x:c>
      <x:c r="D1510" s="6" t="n">
        <x:f>B1510</x:f>
        <x:v>0.1892</x:v>
      </x:c>
      <x:c r="E1510" s="1" t="n">
        <x:v>1.05</x:v>
      </x:c>
      <x:c r="F1510" s="1" t="str">
        <x:v>https://api.octopus.energy/v1/products/AGILE-24-10-01/electricity-tariffs/E-1R-AGILE-24-10-01-G/standard-unit-rates/</x:v>
      </x:c>
    </x:row>
    <x:row r="1511" ht="21" customHeight="1">
      <x:c r="A1511" s="24" t="n">
        <x:v>46179.979166666664</x:v>
      </x:c>
      <x:c r="B1511" s="6" t="n">
        <x:v>0.1801</x:v>
      </x:c>
      <x:c r="C1511" s="6" t="n">
        <x:v>0.10859999999999999</x:v>
      </x:c>
      <x:c r="D1511" s="6" t="n">
        <x:f>B1511</x:f>
        <x:v>0.1801</x:v>
      </x:c>
      <x:c r="E1511" s="1" t="n">
        <x:v>1.05</x:v>
      </x:c>
      <x:c r="F1511" s="1" t="str">
        <x:v>https://api.octopus.energy/v1/products/AGILE-24-10-01/electricity-tariffs/E-1R-AGILE-24-10-01-G/standard-unit-rates/</x:v>
      </x:c>
    </x:row>
    <x:row r="1512" ht="21" customHeight="1">
      <x:c r="A1512" s="24" t="n">
        <x:v>46180</x:v>
      </x:c>
      <x:c r="B1512" s="6" t="n">
        <x:v>0.16399999999999998</x:v>
      </x:c>
      <x:c r="C1512" s="6" t="n">
        <x:v>0.1012</x:v>
      </x:c>
      <x:c r="D1512" s="6" t="n">
        <x:f>B1512</x:f>
        <x:v>0.16399999999999998</x:v>
      </x:c>
      <x:c r="E1512" s="1" t="n">
        <x:v>1.05</x:v>
      </x:c>
      <x:c r="F1512" s="1" t="str">
        <x:v>https://api.octopus.energy/v1/products/AGILE-24-10-01/electricity-tariffs/E-1R-AGILE-24-10-01-G/standard-unit-rates/</x:v>
      </x:c>
    </x:row>
    <x:row r="1513" ht="21" customHeight="1">
      <x:c r="A1513" s="24" t="n">
        <x:v>46180.020833333336</x:v>
      </x:c>
      <x:c r="B1513" s="6" t="n">
        <x:v>0.1435</x:v>
      </x:c>
      <x:c r="C1513" s="6" t="n">
        <x:v>0.0919</x:v>
      </x:c>
      <x:c r="D1513" s="6" t="n">
        <x:f>B1513</x:f>
        <x:v>0.1435</x:v>
      </x:c>
      <x:c r="E1513" s="1" t="n">
        <x:v>1.05</x:v>
      </x:c>
      <x:c r="F1513" s="1" t="str">
        <x:v>https://api.octopus.energy/v1/products/AGILE-24-10-01/electricity-tariffs/E-1R-AGILE-24-10-01-G/standard-unit-rates/</x:v>
      </x:c>
    </x:row>
    <x:row r="1514" ht="21" customHeight="1">
      <x:c r="A1514" s="24" t="n">
        <x:v>46180.041666666664</x:v>
      </x:c>
      <x:c r="B1514" s="6" t="n">
        <x:v>0.1409</x:v>
      </x:c>
      <x:c r="C1514" s="6" t="n">
        <x:v>0.0907</x:v>
      </x:c>
      <x:c r="D1514" s="6" t="n">
        <x:f>B1514</x:f>
        <x:v>0.1409</x:v>
      </x:c>
      <x:c r="E1514" s="1" t="n">
        <x:v>1.05</x:v>
      </x:c>
      <x:c r="F1514" s="1" t="str">
        <x:v>https://api.octopus.energy/v1/products/AGILE-24-10-01/electricity-tariffs/E-1R-AGILE-24-10-01-G/standard-unit-rates/</x:v>
      </x:c>
    </x:row>
    <x:row r="1515" ht="21" customHeight="1">
      <x:c r="A1515" s="24" t="n">
        <x:v>46180.0625</x:v>
      </x:c>
      <x:c r="B1515" s="6" t="n">
        <x:v>0.1295</x:v>
      </x:c>
      <x:c r="C1515" s="6" t="n">
        <x:v>0.08539999999999999</x:v>
      </x:c>
      <x:c r="D1515" s="6" t="n">
        <x:f>B1515</x:f>
        <x:v>0.1295</x:v>
      </x:c>
      <x:c r="E1515" s="1" t="n">
        <x:v>1.05</x:v>
      </x:c>
      <x:c r="F1515" s="1" t="str">
        <x:v>https://api.octopus.energy/v1/products/AGILE-24-10-01/electricity-tariffs/E-1R-AGILE-24-10-01-G/standard-unit-rates/</x:v>
      </x:c>
    </x:row>
    <x:row r="1516" ht="21" customHeight="1">
      <x:c r="A1516" s="24" t="n">
        <x:v>46180.083333333336</x:v>
      </x:c>
      <x:c r="B1516" s="6" t="n">
        <x:v>0.1199</x:v>
      </x:c>
      <x:c r="C1516" s="6" t="n">
        <x:v>0.08109999999999999</x:v>
      </x:c>
      <x:c r="D1516" s="6" t="n">
        <x:f>B1516</x:f>
        <x:v>0.1199</x:v>
      </x:c>
      <x:c r="E1516" s="1" t="n">
        <x:v>1.05</x:v>
      </x:c>
      <x:c r="F1516" s="1" t="str">
        <x:v>https://api.octopus.energy/v1/products/AGILE-24-10-01/electricity-tariffs/E-1R-AGILE-24-10-01-G/standard-unit-rates/</x:v>
      </x:c>
    </x:row>
    <x:row r="1517" ht="21" customHeight="1">
      <x:c r="A1517" s="24" t="n">
        <x:v>46180.104166666664</x:v>
      </x:c>
      <x:c r="B1517" s="6" t="n">
        <x:v>0.10310000000000001</x:v>
      </x:c>
      <x:c r="C1517" s="6" t="n">
        <x:v>0.07339999999999999</x:v>
      </x:c>
      <x:c r="D1517" s="6" t="n">
        <x:f>B1517</x:f>
        <x:v>0.10310000000000001</x:v>
      </x:c>
      <x:c r="E1517" s="1" t="n">
        <x:v>1.05</x:v>
      </x:c>
      <x:c r="F1517" s="1" t="str">
        <x:v>https://api.octopus.energy/v1/products/AGILE-24-10-01/electricity-tariffs/E-1R-AGILE-24-10-01-G/standard-unit-rates/</x:v>
      </x:c>
    </x:row>
    <x:row r="1518" ht="21" customHeight="1">
      <x:c r="A1518" s="24" t="n">
        <x:v>46180.125</x:v>
      </x:c>
      <x:c r="B1518" s="6" t="n">
        <x:v>0.0933</x:v>
      </x:c>
      <x:c r="C1518" s="6" t="n">
        <x:v>0.0689</x:v>
      </x:c>
      <x:c r="D1518" s="6" t="n">
        <x:f>B1518</x:f>
        <x:v>0.0933</x:v>
      </x:c>
      <x:c r="E1518" s="1" t="n">
        <x:v>1.05</x:v>
      </x:c>
      <x:c r="F1518" s="1" t="str">
        <x:v>https://api.octopus.energy/v1/products/AGILE-24-10-01/electricity-tariffs/E-1R-AGILE-24-10-01-G/standard-unit-rates/</x:v>
      </x:c>
    </x:row>
    <x:row r="1519" ht="21" customHeight="1">
      <x:c r="A1519" s="24" t="n">
        <x:v>46180.145833333336</x:v>
      </x:c>
      <x:c r="B1519" s="6" t="n">
        <x:v>0.08</x:v>
      </x:c>
      <x:c r="C1519" s="6" t="n">
        <x:v>0.0629</x:v>
      </x:c>
      <x:c r="D1519" s="6" t="n">
        <x:f>B1519</x:f>
        <x:v>0.08</x:v>
      </x:c>
      <x:c r="E1519" s="1" t="n">
        <x:v>1.05</x:v>
      </x:c>
      <x:c r="F1519" s="1" t="str">
        <x:v>https://api.octopus.energy/v1/products/AGILE-24-10-01/electricity-tariffs/E-1R-AGILE-24-10-01-G/standard-unit-rates/</x:v>
      </x:c>
    </x:row>
    <x:row r="1520" ht="21" customHeight="1">
      <x:c r="A1520" s="24" t="n">
        <x:v>46180.166666666664</x:v>
      </x:c>
      <x:c r="B1520" s="6" t="n">
        <x:v>0.0506</x:v>
      </x:c>
      <x:c r="C1520" s="6" t="n">
        <x:v>0.049400000000000006</x:v>
      </x:c>
      <x:c r="D1520" s="6" t="n">
        <x:f>B1520</x:f>
        <x:v>0.0506</x:v>
      </x:c>
      <x:c r="E1520" s="1" t="n">
        <x:v>1.05</x:v>
      </x:c>
      <x:c r="F1520" s="1" t="str">
        <x:v>https://api.octopus.energy/v1/products/AGILE-24-10-01/electricity-tariffs/E-1R-AGILE-24-10-01-G/standard-unit-rates/</x:v>
      </x:c>
    </x:row>
    <x:row r="1521" ht="21" customHeight="1">
      <x:c r="A1521" s="24" t="n">
        <x:v>46180.1875</x:v>
      </x:c>
      <x:c r="B1521" s="6" t="n">
        <x:v>0.021099999999999997</x:v>
      </x:c>
      <x:c r="C1521" s="6" t="n">
        <x:v>0.0359</x:v>
      </x:c>
      <x:c r="D1521" s="6" t="n">
        <x:f>B1521</x:f>
        <x:v>0.021099999999999997</x:v>
      </x:c>
      <x:c r="E1521" s="1" t="n">
        <x:v>1.05</x:v>
      </x:c>
      <x:c r="F1521" s="1" t="str">
        <x:v>https://api.octopus.energy/v1/products/AGILE-24-10-01/electricity-tariffs/E-1R-AGILE-24-10-01-G/standard-unit-rates/</x:v>
      </x:c>
    </x:row>
    <x:row r="1522" ht="21" customHeight="1">
      <x:c r="A1522" s="24" t="n">
        <x:v>46180.208333333336</x:v>
      </x:c>
      <x:c r="B1522" s="6" t="n">
        <x:v>-0.003</x:v>
      </x:c>
      <x:c r="C1522" s="6" t="n">
        <x:v>0.024900000000000002</x:v>
      </x:c>
      <x:c r="D1522" s="6" t="n">
        <x:f>B1522</x:f>
        <x:v>-0.003</x:v>
      </x:c>
      <x:c r="E1522" s="1" t="n">
        <x:v>1.05</x:v>
      </x:c>
      <x:c r="F1522" s="1" t="str">
        <x:v>https://api.octopus.energy/v1/products/AGILE-24-10-01/electricity-tariffs/E-1R-AGILE-24-10-01-G/standard-unit-rates/</x:v>
      </x:c>
    </x:row>
    <x:row r="1523" ht="21" customHeight="1">
      <x:c r="A1523" s="24" t="n">
        <x:v>46180.229166666664</x:v>
      </x:c>
      <x:c r="B1523" s="6" t="n">
        <x:v>-0.0355</x:v>
      </x:c>
      <x:c r="C1523" s="6" t="n">
        <x:v>0.01</x:v>
      </x:c>
      <x:c r="D1523" s="6" t="n">
        <x:f>B1523</x:f>
        <x:v>-0.0355</x:v>
      </x:c>
      <x:c r="E1523" s="1" t="n">
        <x:v>1.05</x:v>
      </x:c>
      <x:c r="F1523" s="1" t="str">
        <x:v>https://api.octopus.energy/v1/products/AGILE-24-10-01/electricity-tariffs/E-1R-AGILE-24-10-01-G/standard-unit-rates/</x:v>
      </x:c>
    </x:row>
    <x:row r="1524" ht="21" customHeight="1">
      <x:c r="A1524" s="24" t="n">
        <x:v>46180.25</x:v>
      </x:c>
      <x:c r="B1524" s="6" t="n">
        <x:v>-0.0106</x:v>
      </x:c>
      <x:c r="C1524" s="6" t="n">
        <x:v>0.021400000000000002</x:v>
      </x:c>
      <x:c r="D1524" s="6" t="n">
        <x:f>B1524</x:f>
        <x:v>-0.0106</x:v>
      </x:c>
      <x:c r="E1524" s="1" t="n">
        <x:v>1.05</x:v>
      </x:c>
      <x:c r="F1524" s="1" t="str">
        <x:v>https://api.octopus.energy/v1/products/AGILE-24-10-01/electricity-tariffs/E-1R-AGILE-24-10-01-G/standard-unit-rates/</x:v>
      </x:c>
    </x:row>
    <x:row r="1525" ht="21" customHeight="1">
      <x:c r="A1525" s="24" t="n">
        <x:v>46180.270833333336</x:v>
      </x:c>
      <x:c r="B1525" s="6" t="n">
        <x:v>-0.0166</x:v>
      </x:c>
      <x:c r="C1525" s="6" t="n">
        <x:v>0.0187</x:v>
      </x:c>
      <x:c r="D1525" s="6" t="n">
        <x:f>B1525</x:f>
        <x:v>-0.0166</x:v>
      </x:c>
      <x:c r="E1525" s="1" t="n">
        <x:v>1.05</x:v>
      </x:c>
      <x:c r="F1525" s="1" t="str">
        <x:v>https://api.octopus.energy/v1/products/AGILE-24-10-01/electricity-tariffs/E-1R-AGILE-24-10-01-G/standard-unit-rates/</x:v>
      </x:c>
    </x:row>
    <x:row r="1526" ht="21" customHeight="1">
      <x:c r="A1526" s="24" t="n">
        <x:v>46180.291666666664</x:v>
      </x:c>
      <x:c r="B1526" s="6" t="n">
        <x:v>-0.026000000000000002</x:v>
      </x:c>
      <x:c r="C1526" s="6" t="n">
        <x:v>0.0144</x:v>
      </x:c>
      <x:c r="D1526" s="6" t="n">
        <x:f>B1526</x:f>
        <x:v>-0.026000000000000002</x:v>
      </x:c>
      <x:c r="E1526" s="1" t="n">
        <x:v>1.05</x:v>
      </x:c>
      <x:c r="F1526" s="1" t="str">
        <x:v>https://api.octopus.energy/v1/products/AGILE-24-10-01/electricity-tariffs/E-1R-AGILE-24-10-01-G/standard-unit-rates/</x:v>
      </x:c>
    </x:row>
    <x:row r="1527" ht="21" customHeight="1">
      <x:c r="A1527" s="24" t="n">
        <x:v>46180.3125</x:v>
      </x:c>
      <x:c r="B1527" s="6" t="n">
        <x:v>-0.028300000000000002</x:v>
      </x:c>
      <x:c r="C1527" s="6" t="n">
        <x:v>0.013300000000000001</x:v>
      </x:c>
      <x:c r="D1527" s="6" t="n">
        <x:f>B1527</x:f>
        <x:v>-0.028300000000000002</x:v>
      </x:c>
      <x:c r="E1527" s="1" t="n">
        <x:v>1.05</x:v>
      </x:c>
      <x:c r="F1527" s="1" t="str">
        <x:v>https://api.octopus.energy/v1/products/AGILE-24-10-01/electricity-tariffs/E-1R-AGILE-24-10-01-G/standard-unit-rates/</x:v>
      </x:c>
    </x:row>
    <x:row r="1528" ht="21" customHeight="1">
      <x:c r="A1528" s="24" t="n">
        <x:v>46180.333333333336</x:v>
      </x:c>
      <x:c r="B1528" s="6" t="n">
        <x:v>-0.0274</x:v>
      </x:c>
      <x:c r="C1528" s="6" t="n">
        <x:v>0.0137</x:v>
      </x:c>
      <x:c r="D1528" s="6" t="n">
        <x:f>B1528</x:f>
        <x:v>-0.0274</x:v>
      </x:c>
      <x:c r="E1528" s="1" t="n">
        <x:v>1.05</x:v>
      </x:c>
      <x:c r="F1528" s="1" t="str">
        <x:v>https://api.octopus.energy/v1/products/AGILE-24-10-01/electricity-tariffs/E-1R-AGILE-24-10-01-G/standard-unit-rates/</x:v>
      </x:c>
    </x:row>
    <x:row r="1529" ht="21" customHeight="1">
      <x:c r="A1529" s="24" t="n">
        <x:v>46180.354166666664</x:v>
      </x:c>
      <x:c r="B1529" s="6" t="n">
        <x:v>-0.024</x:v>
      </x:c>
      <x:c r="C1529" s="6" t="n">
        <x:v>0.015300000000000001</x:v>
      </x:c>
      <x:c r="D1529" s="6" t="n">
        <x:f>B1529</x:f>
        <x:v>-0.024</x:v>
      </x:c>
      <x:c r="E1529" s="1" t="n">
        <x:v>1.05</x:v>
      </x:c>
      <x:c r="F1529" s="1" t="str">
        <x:v>https://api.octopus.energy/v1/products/AGILE-24-10-01/electricity-tariffs/E-1R-AGILE-24-10-01-G/standard-unit-rates/</x:v>
      </x:c>
    </x:row>
    <x:row r="1530" ht="21" customHeight="1">
      <x:c r="A1530" s="24" t="n">
        <x:v>46180.375</x:v>
      </x:c>
      <x:c r="B1530" s="6" t="n">
        <x:v>-0.0252</x:v>
      </x:c>
      <x:c r="C1530" s="6" t="n">
        <x:v>0.0148</x:v>
      </x:c>
      <x:c r="D1530" s="6" t="n">
        <x:f>B1530</x:f>
        <x:v>-0.0252</x:v>
      </x:c>
      <x:c r="E1530" s="1" t="n">
        <x:v>1.05</x:v>
      </x:c>
      <x:c r="F1530" s="1" t="str">
        <x:v>https://api.octopus.energy/v1/products/AGILE-24-10-01/electricity-tariffs/E-1R-AGILE-24-10-01-G/standard-unit-rates/</x:v>
      </x:c>
    </x:row>
    <x:row r="1531" ht="21" customHeight="1">
      <x:c r="A1531" s="24" t="n">
        <x:v>46180.395833333336</x:v>
      </x:c>
      <x:c r="B1531" s="6" t="n">
        <x:v>-0.028999999999999998</x:v>
      </x:c>
      <x:c r="C1531" s="6" t="n">
        <x:v>0.013000000000000001</x:v>
      </x:c>
      <x:c r="D1531" s="6" t="n">
        <x:f>B1531</x:f>
        <x:v>-0.028999999999999998</x:v>
      </x:c>
      <x:c r="E1531" s="1" t="n">
        <x:v>1.05</x:v>
      </x:c>
      <x:c r="F1531" s="1" t="str">
        <x:v>https://api.octopus.energy/v1/products/AGILE-24-10-01/electricity-tariffs/E-1R-AGILE-24-10-01-G/standard-unit-rates/</x:v>
      </x:c>
    </x:row>
    <x:row r="1532" ht="21" customHeight="1">
      <x:c r="A1532" s="24" t="n">
        <x:v>46180.416666666664</x:v>
      </x:c>
      <x:c r="B1532" s="6" t="n">
        <x:v>-0.0334</x:v>
      </x:c>
      <x:c r="C1532" s="6" t="n">
        <x:v>0.011000000000000001</x:v>
      </x:c>
      <x:c r="D1532" s="6" t="n">
        <x:f>B1532</x:f>
        <x:v>-0.0334</x:v>
      </x:c>
      <x:c r="E1532" s="1" t="n">
        <x:v>1.05</x:v>
      </x:c>
      <x:c r="F1532" s="1" t="str">
        <x:v>https://api.octopus.energy/v1/products/AGILE-24-10-01/electricity-tariffs/E-1R-AGILE-24-10-01-G/standard-unit-rates/</x:v>
      </x:c>
    </x:row>
    <x:row r="1533" ht="21" customHeight="1">
      <x:c r="A1533" s="24" t="n">
        <x:v>46180.4375</x:v>
      </x:c>
      <x:c r="B1533" s="6" t="n">
        <x:v>-0.0334</x:v>
      </x:c>
      <x:c r="C1533" s="6" t="n">
        <x:v>0.011000000000000001</x:v>
      </x:c>
      <x:c r="D1533" s="6" t="n">
        <x:f>B1533</x:f>
        <x:v>-0.0334</x:v>
      </x:c>
      <x:c r="E1533" s="1" t="n">
        <x:v>1.05</x:v>
      </x:c>
      <x:c r="F1533" s="1" t="str">
        <x:v>https://api.octopus.energy/v1/products/AGILE-24-10-01/electricity-tariffs/E-1R-AGILE-24-10-01-G/standard-unit-rates/</x:v>
      </x:c>
    </x:row>
    <x:row r="1534" ht="21" customHeight="1">
      <x:c r="A1534" s="24" t="n">
        <x:v>46180.458333333336</x:v>
      </x:c>
      <x:c r="B1534" s="6" t="n">
        <x:v>-0.037599999999999995</x:v>
      </x:c>
      <x:c r="C1534" s="6" t="n">
        <x:v>0.0091</x:v>
      </x:c>
      <x:c r="D1534" s="6" t="n">
        <x:f>B1534</x:f>
        <x:v>-0.037599999999999995</x:v>
      </x:c>
      <x:c r="E1534" s="1" t="n">
        <x:v>1.05</x:v>
      </x:c>
      <x:c r="F1534" s="1" t="str">
        <x:v>https://api.octopus.energy/v1/products/AGILE-24-10-01/electricity-tariffs/E-1R-AGILE-24-10-01-G/standard-unit-rates/</x:v>
      </x:c>
    </x:row>
    <x:row r="1535" ht="21" customHeight="1">
      <x:c r="A1535" s="24" t="n">
        <x:v>46180.479166666664</x:v>
      </x:c>
      <x:c r="B1535" s="6" t="n">
        <x:v>-0.0313</x:v>
      </x:c>
      <x:c r="C1535" s="6" t="n">
        <x:v>0.012</x:v>
      </x:c>
      <x:c r="D1535" s="6" t="n">
        <x:f>B1535</x:f>
        <x:v>-0.0313</x:v>
      </x:c>
      <x:c r="E1535" s="1" t="n">
        <x:v>1.05</x:v>
      </x:c>
      <x:c r="F1535" s="1" t="str">
        <x:v>https://api.octopus.energy/v1/products/AGILE-24-10-01/electricity-tariffs/E-1R-AGILE-24-10-01-G/standard-unit-rates/</x:v>
      </x:c>
    </x:row>
    <x:row r="1536" ht="21" customHeight="1">
      <x:c r="A1536" s="24" t="n">
        <x:v>46180.5</x:v>
      </x:c>
      <x:c r="B1536" s="6" t="n">
        <x:v>-0.037599999999999995</x:v>
      </x:c>
      <x:c r="C1536" s="6" t="n">
        <x:v>0.0091</x:v>
      </x:c>
      <x:c r="D1536" s="6" t="n">
        <x:f>B1536</x:f>
        <x:v>-0.037599999999999995</x:v>
      </x:c>
      <x:c r="E1536" s="1" t="n">
        <x:v>1.05</x:v>
      </x:c>
      <x:c r="F1536" s="1" t="str">
        <x:v>https://api.octopus.energy/v1/products/AGILE-24-10-01/electricity-tariffs/E-1R-AGILE-24-10-01-G/standard-unit-rates/</x:v>
      </x:c>
    </x:row>
    <x:row r="1537" ht="21" customHeight="1">
      <x:c r="A1537" s="24" t="n">
        <x:v>46180.520833333336</x:v>
      </x:c>
      <x:c r="B1537" s="6" t="n">
        <x:v>-0.045599999999999995</x:v>
      </x:c>
      <x:c r="C1537" s="6" t="n">
        <x:v>0.0054</x:v>
      </x:c>
      <x:c r="D1537" s="6" t="n">
        <x:f>B1537</x:f>
        <x:v>-0.045599999999999995</x:v>
      </x:c>
      <x:c r="E1537" s="1" t="n">
        <x:v>1.05</x:v>
      </x:c>
      <x:c r="F1537" s="1" t="str">
        <x:v>https://api.octopus.energy/v1/products/AGILE-24-10-01/electricity-tariffs/E-1R-AGILE-24-10-01-G/standard-unit-rates/</x:v>
      </x:c>
    </x:row>
    <x:row r="1538" ht="21" customHeight="1">
      <x:c r="A1538" s="24" t="n">
        <x:v>46180.541666666664</x:v>
      </x:c>
      <x:c r="B1538" s="6" t="n">
        <x:v>-0.0416</x:v>
      </x:c>
      <x:c r="C1538" s="6" t="n">
        <x:v>0.0073</x:v>
      </x:c>
      <x:c r="D1538" s="6" t="n">
        <x:f>B1538</x:f>
        <x:v>-0.0416</x:v>
      </x:c>
      <x:c r="E1538" s="1" t="n">
        <x:v>1.05</x:v>
      </x:c>
      <x:c r="F1538" s="1" t="str">
        <x:v>https://api.octopus.energy/v1/products/AGILE-24-10-01/electricity-tariffs/E-1R-AGILE-24-10-01-G/standard-unit-rates/</x:v>
      </x:c>
    </x:row>
    <x:row r="1539" ht="21" customHeight="1">
      <x:c r="A1539" s="24" t="n">
        <x:v>46180.5625</x:v>
      </x:c>
      <x:c r="B1539" s="6" t="n">
        <x:v>-0.038</x:v>
      </x:c>
      <x:c r="C1539" s="6" t="n">
        <x:v>0.0089</x:v>
      </x:c>
      <x:c r="D1539" s="6" t="n">
        <x:f>B1539</x:f>
        <x:v>-0.038</x:v>
      </x:c>
      <x:c r="E1539" s="1" t="n">
        <x:v>1.05</x:v>
      </x:c>
      <x:c r="F1539" s="1" t="str">
        <x:v>https://api.octopus.energy/v1/products/AGILE-24-10-01/electricity-tariffs/E-1R-AGILE-24-10-01-G/standard-unit-rates/</x:v>
      </x:c>
    </x:row>
    <x:row r="1540" ht="21" customHeight="1">
      <x:c r="A1540" s="24" t="n">
        <x:v>46180.583333333336</x:v>
      </x:c>
      <x:c r="B1540" s="6" t="n">
        <x:v>-0.037599999999999995</x:v>
      </x:c>
      <x:c r="C1540" s="6" t="n">
        <x:v>0.0091</x:v>
      </x:c>
      <x:c r="D1540" s="6" t="n">
        <x:f>B1540</x:f>
        <x:v>-0.037599999999999995</x:v>
      </x:c>
      <x:c r="E1540" s="1" t="n">
        <x:v>1.05</x:v>
      </x:c>
      <x:c r="F1540" s="1" t="str">
        <x:v>https://api.octopus.energy/v1/products/AGILE-24-10-01/electricity-tariffs/E-1R-AGILE-24-10-01-G/standard-unit-rates/</x:v>
      </x:c>
    </x:row>
    <x:row r="1541" ht="21" customHeight="1">
      <x:c r="A1541" s="24" t="n">
        <x:v>46180.604166666664</x:v>
      </x:c>
      <x:c r="B1541" s="6" t="n">
        <x:v>-0.037599999999999995</x:v>
      </x:c>
      <x:c r="C1541" s="6" t="n">
        <x:v>0.0091</x:v>
      </x:c>
      <x:c r="D1541" s="6" t="n">
        <x:f>B1541</x:f>
        <x:v>-0.037599999999999995</x:v>
      </x:c>
      <x:c r="E1541" s="1" t="n">
        <x:v>1.05</x:v>
      </x:c>
      <x:c r="F1541" s="1" t="str">
        <x:v>https://api.octopus.energy/v1/products/AGILE-24-10-01/electricity-tariffs/E-1R-AGILE-24-10-01-G/standard-unit-rates/</x:v>
      </x:c>
    </x:row>
    <x:row r="1542" ht="21" customHeight="1">
      <x:c r="A1542" s="24" t="n">
        <x:v>46180.625</x:v>
      </x:c>
      <x:c r="B1542" s="6" t="n">
        <x:v>-0.0313</x:v>
      </x:c>
      <x:c r="C1542" s="6" t="n">
        <x:v>0.012</x:v>
      </x:c>
      <x:c r="D1542" s="6" t="n">
        <x:f>B1542</x:f>
        <x:v>-0.0313</x:v>
      </x:c>
      <x:c r="E1542" s="1" t="n">
        <x:v>1.05</x:v>
      </x:c>
      <x:c r="F1542" s="1" t="str">
        <x:v>https://api.octopus.energy/v1/products/AGILE-24-10-01/electricity-tariffs/E-1R-AGILE-24-10-01-G/standard-unit-rates/</x:v>
      </x:c>
    </x:row>
    <x:row r="1543" ht="21" customHeight="1">
      <x:c r="A1543" s="24" t="n">
        <x:v>46180.645833333336</x:v>
      </x:c>
      <x:c r="B1543" s="6" t="n">
        <x:v>-0.0265</x:v>
      </x:c>
      <x:c r="C1543" s="6" t="n">
        <x:v>0.014199999999999999</x:v>
      </x:c>
      <x:c r="D1543" s="6" t="n">
        <x:f>B1543</x:f>
        <x:v>-0.0265</x:v>
      </x:c>
      <x:c r="E1543" s="1" t="n">
        <x:v>1.05</x:v>
      </x:c>
      <x:c r="F1543" s="1" t="str">
        <x:v>https://api.octopus.energy/v1/products/AGILE-24-10-01/electricity-tariffs/E-1R-AGILE-24-10-01-G/standard-unit-rates/</x:v>
      </x:c>
    </x:row>
    <x:row r="1544" ht="21" customHeight="1">
      <x:c r="A1544" s="24" t="n">
        <x:v>46180.666666666664</x:v>
      </x:c>
      <x:c r="B1544" s="6" t="n">
        <x:v>0.09369999999999999</x:v>
      </x:c>
      <x:c r="C1544" s="6" t="n">
        <x:v>0.0732</x:v>
      </x:c>
      <x:c r="D1544" s="6" t="n">
        <x:f>B1544</x:f>
        <x:v>0.09369999999999999</x:v>
      </x:c>
      <x:c r="E1544" s="1" t="n">
        <x:v>1.05</x:v>
      </x:c>
      <x:c r="F1544" s="1" t="str">
        <x:v>https://api.octopus.energy/v1/products/AGILE-24-10-01/electricity-tariffs/E-1R-AGILE-24-10-01-G/standard-unit-rates/</x:v>
      </x:c>
    </x:row>
    <x:row r="1545" ht="21" customHeight="1">
      <x:c r="A1545" s="24" t="n">
        <x:v>46180.6875</x:v>
      </x:c>
      <x:c r="B1545" s="6" t="n">
        <x:v>0.17059999999999997</x:v>
      </x:c>
      <x:c r="C1545" s="6" t="n">
        <x:v>0.10830000000000001</x:v>
      </x:c>
      <x:c r="D1545" s="6" t="n">
        <x:f>B1545</x:f>
        <x:v>0.17059999999999997</x:v>
      </x:c>
      <x:c r="E1545" s="1" t="n">
        <x:v>1.05</x:v>
      </x:c>
      <x:c r="F1545" s="1" t="str">
        <x:v>https://api.octopus.energy/v1/products/AGILE-24-10-01/electricity-tariffs/E-1R-AGILE-24-10-01-G/standard-unit-rates/</x:v>
      </x:c>
    </x:row>
    <x:row r="1546" ht="21" customHeight="1">
      <x:c r="A1546" s="24" t="n">
        <x:v>46180.708333333336</x:v>
      </x:c>
      <x:c r="B1546" s="6" t="n">
        <x:v>0.22519999999999998</x:v>
      </x:c>
      <x:c r="C1546" s="6" t="n">
        <x:v>0.1333</x:v>
      </x:c>
      <x:c r="D1546" s="6" t="n">
        <x:f>B1546</x:f>
        <x:v>0.22519999999999998</x:v>
      </x:c>
      <x:c r="E1546" s="1" t="n">
        <x:v>1.05</x:v>
      </x:c>
      <x:c r="F1546" s="1" t="str">
        <x:v>https://api.octopus.energy/v1/products/AGILE-24-10-01/electricity-tariffs/E-1R-AGILE-24-10-01-G/standard-unit-rates/</x:v>
      </x:c>
    </x:row>
    <x:row r="1547" ht="21" customHeight="1">
      <x:c r="A1547" s="24" t="n">
        <x:v>46180.729166666664</x:v>
      </x:c>
      <x:c r="B1547" s="6" t="n">
        <x:v>0.27140000000000003</x:v>
      </x:c>
      <x:c r="C1547" s="6" t="n">
        <x:v>0.15439999999999998</x:v>
      </x:c>
      <x:c r="D1547" s="6" t="n">
        <x:f>B1547</x:f>
        <x:v>0.27140000000000003</x:v>
      </x:c>
      <x:c r="E1547" s="1" t="n">
        <x:v>1.05</x:v>
      </x:c>
      <x:c r="F1547" s="1" t="str">
        <x:v>https://api.octopus.energy/v1/products/AGILE-24-10-01/electricity-tariffs/E-1R-AGILE-24-10-01-G/standard-unit-rates/</x:v>
      </x:c>
    </x:row>
    <x:row r="1548" ht="21" customHeight="1">
      <x:c r="A1548" s="24" t="n">
        <x:v>46180.75</x:v>
      </x:c>
      <x:c r="B1548" s="6" t="n">
        <x:v>0.2899</x:v>
      </x:c>
      <x:c r="C1548" s="6" t="n">
        <x:v>0.1628</x:v>
      </x:c>
      <x:c r="D1548" s="6" t="n">
        <x:f>B1548</x:f>
        <x:v>0.2899</x:v>
      </x:c>
      <x:c r="E1548" s="1" t="n">
        <x:v>1.05</x:v>
      </x:c>
      <x:c r="F1548" s="1" t="str">
        <x:v>https://api.octopus.energy/v1/products/AGILE-24-10-01/electricity-tariffs/E-1R-AGILE-24-10-01-G/standard-unit-rates/</x:v>
      </x:c>
    </x:row>
    <x:row r="1549" ht="21" customHeight="1">
      <x:c r="A1549" s="24" t="n">
        <x:v>46180.770833333336</x:v>
      </x:c>
      <x:c r="B1549" s="6" t="n">
        <x:v>0.2899</x:v>
      </x:c>
      <x:c r="C1549" s="6" t="n">
        <x:v>0.1628</x:v>
      </x:c>
      <x:c r="D1549" s="6" t="n">
        <x:f>B1549</x:f>
        <x:v>0.2899</x:v>
      </x:c>
      <x:c r="E1549" s="1" t="n">
        <x:v>1.05</x:v>
      </x:c>
      <x:c r="F1549" s="1" t="str">
        <x:v>https://api.octopus.energy/v1/products/AGILE-24-10-01/electricity-tariffs/E-1R-AGILE-24-10-01-G/standard-unit-rates/</x:v>
      </x:c>
    </x:row>
    <x:row r="1550" ht="21" customHeight="1">
      <x:c r="A1550" s="24" t="n">
        <x:v>46180.791666666664</x:v>
      </x:c>
      <x:c r="B1550" s="6" t="n">
        <x:v>0.20600000000000002</x:v>
      </x:c>
      <x:c r="C1550" s="6" t="n">
        <x:v>0.1204</x:v>
      </x:c>
      <x:c r="D1550" s="6" t="n">
        <x:f>B1550</x:f>
        <x:v>0.20600000000000002</x:v>
      </x:c>
      <x:c r="E1550" s="1" t="n">
        <x:v>1.05</x:v>
      </x:c>
      <x:c r="F1550" s="1" t="str">
        <x:v>https://api.octopus.energy/v1/products/AGILE-24-10-01/electricity-tariffs/E-1R-AGILE-24-10-01-G/standard-unit-rates/</x:v>
      </x:c>
    </x:row>
    <x:row r="1551" ht="21" customHeight="1">
      <x:c r="A1551" s="24" t="n">
        <x:v>46180.8125</x:v>
      </x:c>
      <x:c r="B1551" s="6" t="n">
        <x:v>0.2236</x:v>
      </x:c>
      <x:c r="C1551" s="6" t="n">
        <x:v>0.1285</x:v>
      </x:c>
      <x:c r="D1551" s="6" t="n">
        <x:f>B1551</x:f>
        <x:v>0.2236</x:v>
      </x:c>
      <x:c r="E1551" s="1" t="n">
        <x:v>1.05</x:v>
      </x:c>
      <x:c r="F1551" s="1" t="str">
        <x:v>https://api.octopus.energy/v1/products/AGILE-24-10-01/electricity-tariffs/E-1R-AGILE-24-10-01-G/standard-unit-rates/</x:v>
      </x:c>
    </x:row>
    <x:row r="1552" ht="21" customHeight="1">
      <x:c r="A1552" s="24" t="n">
        <x:v>46180.833333333336</x:v>
      </x:c>
      <x:c r="B1552" s="6" t="n">
        <x:v>0.2163</x:v>
      </x:c>
      <x:c r="C1552" s="6" t="n">
        <x:v>0.1252</x:v>
      </x:c>
      <x:c r="D1552" s="6" t="n">
        <x:f>B1552</x:f>
        <x:v>0.2163</x:v>
      </x:c>
      <x:c r="E1552" s="1" t="n">
        <x:v>1.05</x:v>
      </x:c>
      <x:c r="F1552" s="1" t="str">
        <x:v>https://api.octopus.energy/v1/products/AGILE-24-10-01/electricity-tariffs/E-1R-AGILE-24-10-01-G/standard-unit-rates/</x:v>
      </x:c>
    </x:row>
    <x:row r="1553" ht="21" customHeight="1">
      <x:c r="A1553" s="24" t="n">
        <x:v>46180.854166666664</x:v>
      </x:c>
      <x:c r="B1553" s="6" t="n">
        <x:v>0.2291</x:v>
      </x:c>
      <x:c r="C1553" s="6" t="n">
        <x:v>0.131</x:v>
      </x:c>
      <x:c r="D1553" s="6" t="n">
        <x:f>B1553</x:f>
        <x:v>0.2291</x:v>
      </x:c>
      <x:c r="E1553" s="1" t="n">
        <x:v>1.05</x:v>
      </x:c>
      <x:c r="F1553" s="1" t="str">
        <x:v>https://api.octopus.energy/v1/products/AGILE-24-10-01/electricity-tariffs/E-1R-AGILE-24-10-01-G/standard-unit-rates/</x:v>
      </x:c>
    </x:row>
    <x:row r="1554" ht="21" customHeight="1">
      <x:c r="A1554" s="24" t="n">
        <x:v>46180.875</x:v>
      </x:c>
      <x:c r="B1554" s="6" t="n">
        <x:v>0.2162</x:v>
      </x:c>
      <x:c r="C1554" s="6" t="n">
        <x:v>0.1251</x:v>
      </x:c>
      <x:c r="D1554" s="6" t="n">
        <x:f>B1554</x:f>
        <x:v>0.2162</x:v>
      </x:c>
      <x:c r="E1554" s="1" t="n">
        <x:v>1.05</x:v>
      </x:c>
      <x:c r="F1554" s="1" t="str">
        <x:v>https://api.octopus.energy/v1/products/AGILE-24-10-01/electricity-tariffs/E-1R-AGILE-24-10-01-G/standard-unit-rates/</x:v>
      </x:c>
    </x:row>
    <x:row r="1555" ht="21" customHeight="1">
      <x:c r="A1555" s="24" t="n">
        <x:v>46180.895833333336</x:v>
      </x:c>
      <x:c r="B1555" s="6" t="n">
        <x:v>0.2152</x:v>
      </x:c>
      <x:c r="C1555" s="6" t="n">
        <x:v>0.1247</x:v>
      </x:c>
      <x:c r="D1555" s="6" t="n">
        <x:f>B1555</x:f>
        <x:v>0.2152</x:v>
      </x:c>
      <x:c r="E1555" s="1" t="n">
        <x:v>1.05</x:v>
      </x:c>
      <x:c r="F1555" s="1" t="str">
        <x:v>https://api.octopus.energy/v1/products/AGILE-24-10-01/electricity-tariffs/E-1R-AGILE-24-10-01-G/standard-unit-rates/</x:v>
      </x:c>
    </x:row>
    <x:row r="1556" ht="21" customHeight="1">
      <x:c r="A1556" s="24" t="n">
        <x:v>46180.916666666664</x:v>
      </x:c>
      <x:c r="B1556" s="6" t="n">
        <x:v>0.22699999999999998</x:v>
      </x:c>
      <x:c r="C1556" s="6" t="n">
        <x:v>0.13</x:v>
      </x:c>
      <x:c r="D1556" s="6" t="n">
        <x:f>B1556</x:f>
        <x:v>0.22699999999999998</x:v>
      </x:c>
      <x:c r="E1556" s="1" t="n">
        <x:v>1.05</x:v>
      </x:c>
      <x:c r="F1556" s="1" t="str">
        <x:v>https://api.octopus.energy/v1/products/AGILE-24-10-01/electricity-tariffs/E-1R-AGILE-24-10-01-G/standard-unit-rates/</x:v>
      </x:c>
    </x:row>
    <x:row r="1557" ht="21" customHeight="1">
      <x:c r="A1557" s="24" t="n">
        <x:v>46180.9375</x:v>
      </x:c>
      <x:c r="B1557" s="6" t="n">
        <x:v>0.21539999999999998</x:v>
      </x:c>
      <x:c r="C1557" s="6" t="n">
        <x:v>0.1247</x:v>
      </x:c>
      <x:c r="D1557" s="6" t="n">
        <x:f>B1557</x:f>
        <x:v>0.21539999999999998</x:v>
      </x:c>
      <x:c r="E1557" s="1" t="n">
        <x:v>1.05</x:v>
      </x:c>
      <x:c r="F1557" s="1" t="str">
        <x:v>https://api.octopus.energy/v1/products/AGILE-24-10-01/electricity-tariffs/E-1R-AGILE-24-10-01-G/standard-unit-rates/</x:v>
      </x:c>
    </x:row>
    <x:row r="1558" ht="21" customHeight="1">
      <x:c r="A1558" s="24" t="n">
        <x:v>46181</x:v>
      </x:c>
      <x:c r="B1558" s="6" t="n">
        <x:v>0.21850000000000003</x:v>
      </x:c>
      <x:c r="C1558" s="6" t="n">
        <x:v>0.1261</x:v>
      </x:c>
      <x:c r="D1558" s="6" t="n">
        <x:f>B1558</x:f>
        <x:v>0.21850000000000003</x:v>
      </x:c>
      <x:c r="E1558" s="1" t="n">
        <x:v>1.05</x:v>
      </x:c>
      <x:c r="F1558" s="1" t="str">
        <x:v>https://api.octopus.energy/v1/products/AGILE-24-10-01/electricity-tariffs/E-1R-AGILE-24-10-01-G/standard-unit-rates/</x:v>
      </x:c>
    </x:row>
    <x:row r="1559" ht="21" customHeight="1">
      <x:c r="A1559" s="24" t="n">
        <x:v>46180.979166666664</x:v>
      </x:c>
      <x:c r="B1559" s="6" t="n">
        <x:v>0.18289999999999998</x:v>
      </x:c>
      <x:c r="C1559" s="6" t="n">
        <x:v>0.1099</x:v>
      </x:c>
      <x:c r="D1559" s="6" t="n">
        <x:f>B1559</x:f>
        <x:v>0.18289999999999998</x:v>
      </x:c>
      <x:c r="E1559" s="1" t="n">
        <x:v>1.05</x:v>
      </x:c>
      <x:c r="F1559" s="1" t="str">
        <x:v>https://api.octopus.energy/v1/products/AGILE-24-10-01/electricity-tariffs/E-1R-AGILE-24-10-01-G/standard-unit-rates/</x:v>
      </x:c>
    </x:row>
    <x:row r="1560" ht="21" customHeight="1">
      <x:c r="A1560" s="24" t="n">
        <x:v>46181</x:v>
      </x:c>
      <x:c r="B1560" s="6" t="n">
        <x:v>0.18289999999999998</x:v>
      </x:c>
      <x:c r="C1560" s="6" t="n">
        <x:v>0.1099</x:v>
      </x:c>
      <x:c r="D1560" s="6" t="n">
        <x:f>B1560</x:f>
        <x:v>0.18289999999999998</x:v>
      </x:c>
      <x:c r="E1560" s="1" t="n">
        <x:v>1.05</x:v>
      </x:c>
      <x:c r="F1560" s="1" t="str">
        <x:v>https://api.octopus.energy/v1/products/AGILE-24-10-01/electricity-tariffs/E-1R-AGILE-24-10-01-G/standard-unit-rates/</x:v>
      </x:c>
    </x:row>
    <x:row r="1561" ht="21" customHeight="1">
      <x:c r="A1561" s="24" t="n">
        <x:v>46181.020833333336</x:v>
      </x:c>
      <x:c r="B1561" s="6" t="n">
        <x:v>0.1867</x:v>
      </x:c>
      <x:c r="C1561" s="6" t="n">
        <x:v>0.1116</x:v>
      </x:c>
      <x:c r="D1561" s="6" t="n">
        <x:f>B1561</x:f>
        <x:v>0.1867</x:v>
      </x:c>
      <x:c r="E1561" s="1" t="n">
        <x:v>1.05</x:v>
      </x:c>
      <x:c r="F1561" s="1" t="str">
        <x:v>https://api.octopus.energy/v1/products/AGILE-24-10-01/electricity-tariffs/E-1R-AGILE-24-10-01-G/standard-unit-rates/</x:v>
      </x:c>
    </x:row>
    <x:row r="1562" ht="21" customHeight="1">
      <x:c r="A1562" s="24" t="n">
        <x:v>46181.041666666664</x:v>
      </x:c>
      <x:c r="B1562" s="6" t="n">
        <x:v>0.1766</x:v>
      </x:c>
      <x:c r="C1562" s="6" t="n">
        <x:v>0.107</x:v>
      </x:c>
      <x:c r="D1562" s="6" t="n">
        <x:f>B1562</x:f>
        <x:v>0.1766</x:v>
      </x:c>
      <x:c r="E1562" s="1" t="n">
        <x:v>1.05</x:v>
      </x:c>
      <x:c r="F1562" s="1" t="str">
        <x:v>https://api.octopus.energy/v1/products/AGILE-24-10-01/electricity-tariffs/E-1R-AGILE-24-10-01-G/standard-unit-rates/</x:v>
      </x:c>
    </x:row>
    <x:row r="1563" ht="21" customHeight="1">
      <x:c r="A1563" s="24" t="n">
        <x:v>46181.0625</x:v>
      </x:c>
      <x:c r="B1563" s="6" t="n">
        <x:v>0.1724</x:v>
      </x:c>
      <x:c r="C1563" s="6" t="n">
        <x:v>0.1051</x:v>
      </x:c>
      <x:c r="D1563" s="6" t="n">
        <x:f>B1563</x:f>
        <x:v>0.1724</x:v>
      </x:c>
      <x:c r="E1563" s="1" t="n">
        <x:v>1.05</x:v>
      </x:c>
      <x:c r="F1563" s="1" t="str">
        <x:v>https://api.octopus.energy/v1/products/AGILE-24-10-01/electricity-tariffs/E-1R-AGILE-24-10-01-G/standard-unit-rates/</x:v>
      </x:c>
    </x:row>
    <x:row r="1564" ht="21" customHeight="1">
      <x:c r="A1564" s="24" t="n">
        <x:v>46181.083333333336</x:v>
      </x:c>
      <x:c r="B1564" s="6" t="n">
        <x:v>0.1766</x:v>
      </x:c>
      <x:c r="C1564" s="6" t="n">
        <x:v>0.107</x:v>
      </x:c>
      <x:c r="D1564" s="6" t="n">
        <x:f>B1564</x:f>
        <x:v>0.1766</x:v>
      </x:c>
      <x:c r="E1564" s="1" t="n">
        <x:v>1.05</x:v>
      </x:c>
      <x:c r="F1564" s="1" t="str">
        <x:v>https://api.octopus.energy/v1/products/AGILE-24-10-01/electricity-tariffs/E-1R-AGILE-24-10-01-G/standard-unit-rates/</x:v>
      </x:c>
    </x:row>
    <x:row r="1565" ht="21" customHeight="1">
      <x:c r="A1565" s="24" t="n">
        <x:v>46181.104166666664</x:v>
      </x:c>
      <x:c r="B1565" s="6" t="n">
        <x:v>0.1787</x:v>
      </x:c>
      <x:c r="C1565" s="6" t="n">
        <x:v>0.10800000000000001</x:v>
      </x:c>
      <x:c r="D1565" s="6" t="n">
        <x:f>B1565</x:f>
        <x:v>0.1787</x:v>
      </x:c>
      <x:c r="E1565" s="1" t="n">
        <x:v>1.05</x:v>
      </x:c>
      <x:c r="F1565" s="1" t="str">
        <x:v>https://api.octopus.energy/v1/products/AGILE-24-10-01/electricity-tariffs/E-1R-AGILE-24-10-01-G/standard-unit-rates/</x:v>
      </x:c>
    </x:row>
    <x:row r="1566" ht="21" customHeight="1">
      <x:c r="A1566" s="24" t="n">
        <x:v>46181.125</x:v>
      </x:c>
      <x:c r="B1566" s="6" t="n">
        <x:v>0.1745</x:v>
      </x:c>
      <x:c r="C1566" s="6" t="n">
        <x:v>0.106</x:v>
      </x:c>
      <x:c r="D1566" s="6" t="n">
        <x:f>B1566</x:f>
        <x:v>0.1745</x:v>
      </x:c>
      <x:c r="E1566" s="1" t="n">
        <x:v>1.05</x:v>
      </x:c>
      <x:c r="F1566" s="1" t="str">
        <x:v>https://api.octopus.energy/v1/products/AGILE-24-10-01/electricity-tariffs/E-1R-AGILE-24-10-01-G/standard-unit-rates/</x:v>
      </x:c>
    </x:row>
    <x:row r="1567" ht="21" customHeight="1">
      <x:c r="A1567" s="24" t="n">
        <x:v>46181.145833333336</x:v>
      </x:c>
      <x:c r="B1567" s="6" t="n">
        <x:v>0.1745</x:v>
      </x:c>
      <x:c r="C1567" s="6" t="n">
        <x:v>0.106</x:v>
      </x:c>
      <x:c r="D1567" s="6" t="n">
        <x:f>B1567</x:f>
        <x:v>0.1745</x:v>
      </x:c>
      <x:c r="E1567" s="1" t="n">
        <x:v>1.05</x:v>
      </x:c>
      <x:c r="F1567" s="1" t="str">
        <x:v>https://api.octopus.energy/v1/products/AGILE-24-10-01/electricity-tariffs/E-1R-AGILE-24-10-01-G/standard-unit-rates/</x:v>
      </x:c>
    </x:row>
    <x:row r="1568" ht="21" customHeight="1">
      <x:c r="A1568" s="24" t="n">
        <x:v>46181.166666666664</x:v>
      </x:c>
      <x:c r="B1568" s="6" t="n">
        <x:v>0.185</x:v>
      </x:c>
      <x:c r="C1568" s="6" t="n">
        <x:v>0.1108</x:v>
      </x:c>
      <x:c r="D1568" s="6" t="n">
        <x:f>B1568</x:f>
        <x:v>0.185</x:v>
      </x:c>
      <x:c r="E1568" s="1" t="n">
        <x:v>1.05</x:v>
      </x:c>
      <x:c r="F1568" s="1" t="str">
        <x:v>https://api.octopus.energy/v1/products/AGILE-24-10-01/electricity-tariffs/E-1R-AGILE-24-10-01-G/standard-unit-rates/</x:v>
      </x:c>
    </x:row>
    <x:row r="1569" ht="21" customHeight="1">
      <x:c r="A1569" s="24" t="n">
        <x:v>46181.1875</x:v>
      </x:c>
      <x:c r="B1569" s="6" t="n">
        <x:v>0.185</x:v>
      </x:c>
      <x:c r="C1569" s="6" t="n">
        <x:v>0.1108</x:v>
      </x:c>
      <x:c r="D1569" s="6" t="n">
        <x:f>B1569</x:f>
        <x:v>0.185</x:v>
      </x:c>
      <x:c r="E1569" s="1" t="n">
        <x:v>1.05</x:v>
      </x:c>
      <x:c r="F1569" s="1" t="str">
        <x:v>https://api.octopus.energy/v1/products/AGILE-24-10-01/electricity-tariffs/E-1R-AGILE-24-10-01-G/standard-unit-rates/</x:v>
      </x:c>
    </x:row>
    <x:row r="1570" ht="21" customHeight="1">
      <x:c r="A1570" s="24" t="n">
        <x:v>46181.208333333336</x:v>
      </x:c>
      <x:c r="B1570" s="6" t="n">
        <x:v>0.20600000000000002</x:v>
      </x:c>
      <x:c r="C1570" s="6" t="n">
        <x:v>0.1204</x:v>
      </x:c>
      <x:c r="D1570" s="6" t="n">
        <x:f>B1570</x:f>
        <x:v>0.20600000000000002</x:v>
      </x:c>
      <x:c r="E1570" s="1" t="n">
        <x:v>1.05</x:v>
      </x:c>
      <x:c r="F1570" s="1" t="str">
        <x:v>https://api.octopus.energy/v1/products/AGILE-24-10-01/electricity-tariffs/E-1R-AGILE-24-10-01-G/standard-unit-rates/</x:v>
      </x:c>
    </x:row>
    <x:row r="1571" ht="21" customHeight="1">
      <x:c r="A1571" s="24" t="n">
        <x:v>46181.229166666664</x:v>
      </x:c>
      <x:c r="B1571" s="6" t="n">
        <x:v>0.2045</x:v>
      </x:c>
      <x:c r="C1571" s="6" t="n">
        <x:v>0.1198</x:v>
      </x:c>
      <x:c r="D1571" s="6" t="n">
        <x:f>B1571</x:f>
        <x:v>0.2045</x:v>
      </x:c>
      <x:c r="E1571" s="1" t="n">
        <x:v>1.05</x:v>
      </x:c>
      <x:c r="F1571" s="1" t="str">
        <x:v>https://api.octopus.energy/v1/products/AGILE-24-10-01/electricity-tariffs/E-1R-AGILE-24-10-01-G/standard-unit-rates/</x:v>
      </x:c>
    </x:row>
    <x:row r="1572" ht="21" customHeight="1">
      <x:c r="A1572" s="24" t="n">
        <x:v>46181.25</x:v>
      </x:c>
      <x:c r="B1572" s="6" t="n">
        <x:v>0.2066</x:v>
      </x:c>
      <x:c r="C1572" s="6" t="n">
        <x:v>0.1207</x:v>
      </x:c>
      <x:c r="D1572" s="6" t="n">
        <x:f>B1572</x:f>
        <x:v>0.2066</x:v>
      </x:c>
      <x:c r="E1572" s="1" t="n">
        <x:v>1.05</x:v>
      </x:c>
      <x:c r="F1572" s="1" t="str">
        <x:v>https://api.octopus.energy/v1/products/AGILE-24-10-01/electricity-tariffs/E-1R-AGILE-24-10-01-G/standard-unit-rates/</x:v>
      </x:c>
    </x:row>
    <x:row r="1573" ht="21" customHeight="1">
      <x:c r="A1573" s="24" t="n">
        <x:v>46181.270833333336</x:v>
      </x:c>
      <x:c r="B1573" s="6" t="n">
        <x:v>0.2234</x:v>
      </x:c>
      <x:c r="C1573" s="6" t="n">
        <x:v>0.1284</x:v>
      </x:c>
      <x:c r="D1573" s="6" t="n">
        <x:f>B1573</x:f>
        <x:v>0.2234</x:v>
      </x:c>
      <x:c r="E1573" s="1" t="n">
        <x:v>1.05</x:v>
      </x:c>
      <x:c r="F1573" s="1" t="str">
        <x:v>https://api.octopus.energy/v1/products/AGILE-24-10-01/electricity-tariffs/E-1R-AGILE-24-10-01-G/standard-unit-rates/</x:v>
      </x:c>
    </x:row>
    <x:row r="1574" ht="21" customHeight="1">
      <x:c r="A1574" s="24" t="n">
        <x:v>46181.291666666664</x:v>
      </x:c>
      <x:c r="B1574" s="6" t="n">
        <x:v>0.2006</x:v>
      </x:c>
      <x:c r="C1574" s="6" t="n">
        <x:v>0.11800000000000001</x:v>
      </x:c>
      <x:c r="D1574" s="6" t="n">
        <x:f>B1574</x:f>
        <x:v>0.2006</x:v>
      </x:c>
      <x:c r="E1574" s="1" t="n">
        <x:v>1.05</x:v>
      </x:c>
      <x:c r="F1574" s="1" t="str">
        <x:v>https://api.octopus.energy/v1/products/AGILE-24-10-01/electricity-tariffs/E-1R-AGILE-24-10-01-G/standard-unit-rates/</x:v>
      </x:c>
    </x:row>
    <x:row r="1575" ht="21" customHeight="1">
      <x:c r="A1575" s="24" t="n">
        <x:v>46181.3125</x:v>
      </x:c>
      <x:c r="B1575" s="6" t="n">
        <x:v>0.2329</x:v>
      </x:c>
      <x:c r="C1575" s="6" t="n">
        <x:v>0.13269999999999998</x:v>
      </x:c>
      <x:c r="D1575" s="6" t="n">
        <x:f>B1575</x:f>
        <x:v>0.2329</x:v>
      </x:c>
      <x:c r="E1575" s="1" t="n">
        <x:v>1.05</x:v>
      </x:c>
      <x:c r="F1575" s="1" t="str">
        <x:v>https://api.octopus.energy/v1/products/AGILE-24-10-01/electricity-tariffs/E-1R-AGILE-24-10-01-G/standard-unit-rates/</x:v>
      </x:c>
    </x:row>
    <x:row r="1576" ht="21" customHeight="1">
      <x:c r="A1576" s="24" t="n">
        <x:v>46181.333333333336</x:v>
      </x:c>
      <x:c r="B1576" s="6" t="n">
        <x:v>0.2238</x:v>
      </x:c>
      <x:c r="C1576" s="6" t="n">
        <x:v>0.1286</x:v>
      </x:c>
      <x:c r="D1576" s="6" t="n">
        <x:f>B1576</x:f>
        <x:v>0.2238</x:v>
      </x:c>
      <x:c r="E1576" s="1" t="n">
        <x:v>1.05</x:v>
      </x:c>
      <x:c r="F1576" s="1" t="str">
        <x:v>https://api.octopus.energy/v1/products/AGILE-24-10-01/electricity-tariffs/E-1R-AGILE-24-10-01-G/standard-unit-rates/</x:v>
      </x:c>
    </x:row>
    <x:row r="1577" ht="21" customHeight="1">
      <x:c r="A1577" s="24" t="n">
        <x:v>46181.354166666664</x:v>
      </x:c>
      <x:c r="B1577" s="6" t="n">
        <x:v>0.2238</x:v>
      </x:c>
      <x:c r="C1577" s="6" t="n">
        <x:v>0.1286</x:v>
      </x:c>
      <x:c r="D1577" s="6" t="n">
        <x:f>B1577</x:f>
        <x:v>0.2238</x:v>
      </x:c>
      <x:c r="E1577" s="1" t="n">
        <x:v>1.05</x:v>
      </x:c>
      <x:c r="F1577" s="1" t="str">
        <x:v>https://api.octopus.energy/v1/products/AGILE-24-10-01/electricity-tariffs/E-1R-AGILE-24-10-01-G/standard-unit-rates/</x:v>
      </x:c>
    </x:row>
    <x:row r="1578" ht="21" customHeight="1">
      <x:c r="A1578" s="24" t="n">
        <x:v>46181.375</x:v>
      </x:c>
      <x:c r="B1578" s="6" t="n">
        <x:v>0.2144</x:v>
      </x:c>
      <x:c r="C1578" s="6" t="n">
        <x:v>0.1243</x:v>
      </x:c>
      <x:c r="D1578" s="6" t="n">
        <x:f>B1578</x:f>
        <x:v>0.2144</x:v>
      </x:c>
      <x:c r="E1578" s="1" t="n">
        <x:v>1.05</x:v>
      </x:c>
      <x:c r="F1578" s="1" t="str">
        <x:v>https://api.octopus.energy/v1/products/AGILE-24-10-01/electricity-tariffs/E-1R-AGILE-24-10-01-G/standard-unit-rates/</x:v>
      </x:c>
    </x:row>
    <x:row r="1579" ht="21" customHeight="1">
      <x:c r="A1579" s="24" t="n">
        <x:v>46181.395833333336</x:v>
      </x:c>
      <x:c r="B1579" s="6" t="n">
        <x:v>0.21760000000000002</x:v>
      </x:c>
      <x:c r="C1579" s="6" t="n">
        <x:v>0.1257</x:v>
      </x:c>
      <x:c r="D1579" s="6" t="n">
        <x:f>B1579</x:f>
        <x:v>0.21760000000000002</x:v>
      </x:c>
      <x:c r="E1579" s="1" t="n">
        <x:v>1.05</x:v>
      </x:c>
      <x:c r="F1579" s="1" t="str">
        <x:v>https://api.octopus.energy/v1/products/AGILE-24-10-01/electricity-tariffs/E-1R-AGILE-24-10-01-G/standard-unit-rates/</x:v>
      </x:c>
    </x:row>
    <x:row r="1580" ht="21" customHeight="1">
      <x:c r="A1580" s="24" t="n">
        <x:v>46181.416666666664</x:v>
      </x:c>
      <x:c r="B1580" s="6" t="n">
        <x:v>0.20739999999999997</x:v>
      </x:c>
      <x:c r="C1580" s="6" t="n">
        <x:v>0.1211</x:v>
      </x:c>
      <x:c r="D1580" s="6" t="n">
        <x:f>B1580</x:f>
        <x:v>0.20739999999999997</x:v>
      </x:c>
      <x:c r="E1580" s="1" t="n">
        <x:v>1.05</x:v>
      </x:c>
      <x:c r="F1580" s="1" t="str">
        <x:v>https://api.octopus.energy/v1/products/AGILE-24-10-01/electricity-tariffs/E-1R-AGILE-24-10-01-G/standard-unit-rates/</x:v>
      </x:c>
    </x:row>
    <x:row r="1581" ht="21" customHeight="1">
      <x:c r="A1581" s="24" t="n">
        <x:v>46181.4375</x:v>
      </x:c>
      <x:c r="B1581" s="6" t="n">
        <x:v>0.2024</x:v>
      </x:c>
      <x:c r="C1581" s="6" t="n">
        <x:v>0.1188</x:v>
      </x:c>
      <x:c r="D1581" s="6" t="n">
        <x:f>B1581</x:f>
        <x:v>0.2024</x:v>
      </x:c>
      <x:c r="E1581" s="1" t="n">
        <x:v>1.05</x:v>
      </x:c>
      <x:c r="F1581" s="1" t="str">
        <x:v>https://api.octopus.energy/v1/products/AGILE-24-10-01/electricity-tariffs/E-1R-AGILE-24-10-01-G/standard-unit-rates/</x:v>
      </x:c>
    </x:row>
    <x:row r="1582" ht="21" customHeight="1">
      <x:c r="A1582" s="24" t="n">
        <x:v>46181.458333333336</x:v>
      </x:c>
      <x:c r="B1582" s="6" t="n">
        <x:v>0.19760000000000003</x:v>
      </x:c>
      <x:c r="C1582" s="6" t="n">
        <x:v>0.1166</x:v>
      </x:c>
      <x:c r="D1582" s="6" t="n">
        <x:f>B1582</x:f>
        <x:v>0.19760000000000003</x:v>
      </x:c>
      <x:c r="E1582" s="1" t="n">
        <x:v>1.05</x:v>
      </x:c>
      <x:c r="F1582" s="1" t="str">
        <x:v>https://api.octopus.energy/v1/products/AGILE-24-10-01/electricity-tariffs/E-1R-AGILE-24-10-01-G/standard-unit-rates/</x:v>
      </x:c>
    </x:row>
    <x:row r="1583" ht="21" customHeight="1">
      <x:c r="A1583" s="24" t="n">
        <x:v>46181.479166666664</x:v>
      </x:c>
      <x:c r="B1583" s="6" t="n">
        <x:v>0.18710000000000002</x:v>
      </x:c>
      <x:c r="C1583" s="6" t="n">
        <x:v>0.1118</x:v>
      </x:c>
      <x:c r="D1583" s="6" t="n">
        <x:f>B1583</x:f>
        <x:v>0.18710000000000002</x:v>
      </x:c>
      <x:c r="E1583" s="1" t="n">
        <x:v>1.05</x:v>
      </x:c>
      <x:c r="F1583" s="1" t="str">
        <x:v>https://api.octopus.energy/v1/products/AGILE-24-10-01/electricity-tariffs/E-1R-AGILE-24-10-01-G/standard-unit-rates/</x:v>
      </x:c>
    </x:row>
    <x:row r="1584" ht="21" customHeight="1">
      <x:c r="A1584" s="24" t="n">
        <x:v>46181.5</x:v>
      </x:c>
      <x:c r="B1584" s="6" t="n">
        <x:v>0.1812</x:v>
      </x:c>
      <x:c r="C1584" s="6" t="n">
        <x:v>0.1091</x:v>
      </x:c>
      <x:c r="D1584" s="6" t="n">
        <x:f>B1584</x:f>
        <x:v>0.1812</x:v>
      </x:c>
      <x:c r="E1584" s="1" t="n">
        <x:v>1.05</x:v>
      </x:c>
      <x:c r="F1584" s="1" t="str">
        <x:v>https://api.octopus.energy/v1/products/AGILE-24-10-01/electricity-tariffs/E-1R-AGILE-24-10-01-G/standard-unit-rates/</x:v>
      </x:c>
    </x:row>
    <x:row r="1585" ht="21" customHeight="1">
      <x:c r="A1585" s="24" t="n">
        <x:v>46181.520833333336</x:v>
      </x:c>
      <x:c r="B1585" s="6" t="n">
        <x:v>0.1703</x:v>
      </x:c>
      <x:c r="C1585" s="6" t="n">
        <x:v>0.1041</x:v>
      </x:c>
      <x:c r="D1585" s="6" t="n">
        <x:f>B1585</x:f>
        <x:v>0.1703</x:v>
      </x:c>
      <x:c r="E1585" s="1" t="n">
        <x:v>1.05</x:v>
      </x:c>
      <x:c r="F1585" s="1" t="str">
        <x:v>https://api.octopus.energy/v1/products/AGILE-24-10-01/electricity-tariffs/E-1R-AGILE-24-10-01-G/standard-unit-rates/</x:v>
      </x:c>
    </x:row>
    <x:row r="1586" ht="21" customHeight="1">
      <x:c r="A1586" s="24" t="n">
        <x:v>46181.541666666664</x:v>
      </x:c>
      <x:c r="B1586" s="6" t="n">
        <x:v>0.147</x:v>
      </x:c>
      <x:c r="C1586" s="6" t="n">
        <x:v>0.0935</x:v>
      </x:c>
      <x:c r="D1586" s="6" t="n">
        <x:f>B1586</x:f>
        <x:v>0.147</x:v>
      </x:c>
      <x:c r="E1586" s="1" t="n">
        <x:v>1.05</x:v>
      </x:c>
      <x:c r="F1586" s="1" t="str">
        <x:v>https://api.octopus.energy/v1/products/AGILE-24-10-01/electricity-tariffs/E-1R-AGILE-24-10-01-G/standard-unit-rates/</x:v>
      </x:c>
    </x:row>
    <x:row r="1587" ht="21" customHeight="1">
      <x:c r="A1587" s="24" t="n">
        <x:v>46181.5625</x:v>
      </x:c>
      <x:c r="B1587" s="6" t="n">
        <x:v>0.147</x:v>
      </x:c>
      <x:c r="C1587" s="6" t="n">
        <x:v>0.0935</x:v>
      </x:c>
      <x:c r="D1587" s="6" t="n">
        <x:f>B1587</x:f>
        <x:v>0.147</x:v>
      </x:c>
      <x:c r="E1587" s="1" t="n">
        <x:v>1.05</x:v>
      </x:c>
      <x:c r="F1587" s="1" t="str">
        <x:v>https://api.octopus.energy/v1/products/AGILE-24-10-01/electricity-tariffs/E-1R-AGILE-24-10-01-G/standard-unit-rates/</x:v>
      </x:c>
    </x:row>
    <x:row r="1588" ht="21" customHeight="1">
      <x:c r="A1588" s="24" t="n">
        <x:v>46181.583333333336</x:v>
      </x:c>
      <x:c r="B1588" s="6" t="n">
        <x:v>0.147</x:v>
      </x:c>
      <x:c r="C1588" s="6" t="n">
        <x:v>0.0935</x:v>
      </x:c>
      <x:c r="D1588" s="6" t="n">
        <x:f>B1588</x:f>
        <x:v>0.147</x:v>
      </x:c>
      <x:c r="E1588" s="1" t="n">
        <x:v>1.05</x:v>
      </x:c>
      <x:c r="F1588" s="1" t="str">
        <x:v>https://api.octopus.energy/v1/products/AGILE-24-10-01/electricity-tariffs/E-1R-AGILE-24-10-01-G/standard-unit-rates/</x:v>
      </x:c>
    </x:row>
    <x:row r="1589" ht="21" customHeight="1">
      <x:c r="A1589" s="24" t="n">
        <x:v>46181.604166666664</x:v>
      </x:c>
      <x:c r="B1589" s="6" t="n">
        <x:v>0.147</x:v>
      </x:c>
      <x:c r="C1589" s="6" t="n">
        <x:v>0.0935</x:v>
      </x:c>
      <x:c r="D1589" s="6" t="n">
        <x:f>B1589</x:f>
        <x:v>0.147</x:v>
      </x:c>
      <x:c r="E1589" s="1" t="n">
        <x:v>1.05</x:v>
      </x:c>
      <x:c r="F1589" s="1" t="str">
        <x:v>https://api.octopus.energy/v1/products/AGILE-24-10-01/electricity-tariffs/E-1R-AGILE-24-10-01-G/standard-unit-rates/</x:v>
      </x:c>
    </x:row>
    <x:row r="1590" ht="21" customHeight="1">
      <x:c r="A1590" s="24" t="n">
        <x:v>46181.625</x:v>
      </x:c>
      <x:c r="B1590" s="6" t="n">
        <x:v>0.1522</x:v>
      </x:c>
      <x:c r="C1590" s="6" t="n">
        <x:v>0.0958</x:v>
      </x:c>
      <x:c r="D1590" s="6" t="n">
        <x:f>B1590</x:f>
        <x:v>0.1522</x:v>
      </x:c>
      <x:c r="E1590" s="1" t="n">
        <x:v>1.05</x:v>
      </x:c>
      <x:c r="F1590" s="1" t="str">
        <x:v>https://api.octopus.energy/v1/products/AGILE-24-10-01/electricity-tariffs/E-1R-AGILE-24-10-01-G/standard-unit-rates/</x:v>
      </x:c>
    </x:row>
    <x:row r="1591" ht="21" customHeight="1">
      <x:c r="A1591" s="24" t="n">
        <x:v>46181.645833333336</x:v>
      </x:c>
      <x:c r="B1591" s="6" t="n">
        <x:v>0.147</x:v>
      </x:c>
      <x:c r="C1591" s="6" t="n">
        <x:v>0.0935</x:v>
      </x:c>
      <x:c r="D1591" s="6" t="n">
        <x:f>B1591</x:f>
        <x:v>0.147</x:v>
      </x:c>
      <x:c r="E1591" s="1" t="n">
        <x:v>1.05</x:v>
      </x:c>
      <x:c r="F1591" s="1" t="str">
        <x:v>https://api.octopus.energy/v1/products/AGILE-24-10-01/electricity-tariffs/E-1R-AGILE-24-10-01-G/standard-unit-rates/</x:v>
      </x:c>
    </x:row>
    <x:row r="1592" ht="21" customHeight="1">
      <x:c r="A1592" s="24" t="n">
        <x:v>46181.666666666664</x:v>
      </x:c>
      <x:c r="B1592" s="6" t="n">
        <x:v>0.2945</x:v>
      </x:c>
      <x:c r="C1592" s="6" t="n">
        <x:v>0.1649</x:v>
      </x:c>
      <x:c r="D1592" s="6" t="n">
        <x:f>B1592</x:f>
        <x:v>0.2945</x:v>
      </x:c>
      <x:c r="E1592" s="1" t="n">
        <x:v>1.05</x:v>
      </x:c>
      <x:c r="F1592" s="1" t="str">
        <x:v>https://api.octopus.energy/v1/products/AGILE-24-10-01/electricity-tariffs/E-1R-AGILE-24-10-01-G/standard-unit-rates/</x:v>
      </x:c>
    </x:row>
    <x:row r="1593" ht="21" customHeight="1">
      <x:c r="A1593" s="24" t="n">
        <x:v>46181.6875</x:v>
      </x:c>
      <x:c r="B1593" s="6" t="n">
        <x:v>0.2967</x:v>
      </x:c>
      <x:c r="C1593" s="6" t="n">
        <x:v>0.166</x:v>
      </x:c>
      <x:c r="D1593" s="6" t="n">
        <x:f>B1593</x:f>
        <x:v>0.2967</x:v>
      </x:c>
      <x:c r="E1593" s="1" t="n">
        <x:v>1.05</x:v>
      </x:c>
      <x:c r="F1593" s="1" t="str">
        <x:v>https://api.octopus.energy/v1/products/AGILE-24-10-01/electricity-tariffs/E-1R-AGILE-24-10-01-G/standard-unit-rates/</x:v>
      </x:c>
    </x:row>
    <x:row r="1594" ht="21" customHeight="1">
      <x:c r="A1594" s="24" t="n">
        <x:v>46181.708333333336</x:v>
      </x:c>
      <x:c r="B1594" s="6" t="n">
        <x:v>0.33020000000000005</x:v>
      </x:c>
      <x:c r="C1594" s="6" t="n">
        <x:v>0.1813</x:v>
      </x:c>
      <x:c r="D1594" s="6" t="n">
        <x:f>B1594</x:f>
        <x:v>0.33020000000000005</x:v>
      </x:c>
      <x:c r="E1594" s="1" t="n">
        <x:v>1.05</x:v>
      </x:c>
      <x:c r="F1594" s="1" t="str">
        <x:v>https://api.octopus.energy/v1/products/AGILE-24-10-01/electricity-tariffs/E-1R-AGILE-24-10-01-G/standard-unit-rates/</x:v>
      </x:c>
    </x:row>
    <x:row r="1595" ht="21" customHeight="1">
      <x:c r="A1595" s="24" t="n">
        <x:v>46181.729166666664</x:v>
      </x:c>
      <x:c r="B1595" s="6" t="n">
        <x:v>0.3422</x:v>
      </x:c>
      <x:c r="C1595" s="6" t="n">
        <x:v>0.1868</x:v>
      </x:c>
      <x:c r="D1595" s="6" t="n">
        <x:f>B1595</x:f>
        <x:v>0.3422</x:v>
      </x:c>
      <x:c r="E1595" s="1" t="n">
        <x:v>1.05</x:v>
      </x:c>
      <x:c r="F1595" s="1" t="str">
        <x:v>https://api.octopus.energy/v1/products/AGILE-24-10-01/electricity-tariffs/E-1R-AGILE-24-10-01-G/standard-unit-rates/</x:v>
      </x:c>
    </x:row>
    <x:row r="1596" ht="21" customHeight="1">
      <x:c r="A1596" s="24" t="n">
        <x:v>46181.75</x:v>
      </x:c>
      <x:c r="B1596" s="6" t="n">
        <x:v>0.3544</x:v>
      </x:c>
      <x:c r="C1596" s="6" t="n">
        <x:v>0.1923</x:v>
      </x:c>
      <x:c r="D1596" s="6" t="n">
        <x:f>B1596</x:f>
        <x:v>0.3544</x:v>
      </x:c>
      <x:c r="E1596" s="1" t="n">
        <x:v>1.05</x:v>
      </x:c>
      <x:c r="F1596" s="1" t="str">
        <x:v>https://api.octopus.energy/v1/products/AGILE-24-10-01/electricity-tariffs/E-1R-AGILE-24-10-01-G/standard-unit-rates/</x:v>
      </x:c>
    </x:row>
    <x:row r="1597" ht="21" customHeight="1">
      <x:c r="A1597" s="24" t="n">
        <x:v>46181.770833333336</x:v>
      </x:c>
      <x:c r="B1597" s="6" t="n">
        <x:v>0.35960000000000003</x:v>
      </x:c>
      <x:c r="C1597" s="6" t="n">
        <x:v>0.19469999999999998</x:v>
      </x:c>
      <x:c r="D1597" s="6" t="n">
        <x:f>B1597</x:f>
        <x:v>0.35960000000000003</x:v>
      </x:c>
      <x:c r="E1597" s="1" t="n">
        <x:v>1.05</x:v>
      </x:c>
      <x:c r="F1597" s="1" t="str">
        <x:v>https://api.octopus.energy/v1/products/AGILE-24-10-01/electricity-tariffs/E-1R-AGILE-24-10-01-G/standard-unit-rates/</x:v>
      </x:c>
    </x:row>
    <x:row r="1598" ht="21" customHeight="1">
      <x:c r="A1598" s="24" t="n">
        <x:v>46181.791666666664</x:v>
      </x:c>
      <x:c r="B1598" s="6" t="n">
        <x:v>0.2396</x:v>
      </x:c>
      <x:c r="C1598" s="6" t="n">
        <x:v>0.1358</x:v>
      </x:c>
      <x:c r="D1598" s="6" t="n">
        <x:f>B1598</x:f>
        <x:v>0.2396</x:v>
      </x:c>
      <x:c r="E1598" s="1" t="n">
        <x:v>1.05</x:v>
      </x:c>
      <x:c r="F1598" s="1" t="str">
        <x:v>https://api.octopus.energy/v1/products/AGILE-24-10-01/electricity-tariffs/E-1R-AGILE-24-10-01-G/standard-unit-rates/</x:v>
      </x:c>
    </x:row>
    <x:row r="1599" ht="21" customHeight="1">
      <x:c r="A1599" s="24" t="n">
        <x:v>46181.8125</x:v>
      </x:c>
      <x:c r="B1599" s="6" t="n">
        <x:v>0.2396</x:v>
      </x:c>
      <x:c r="C1599" s="6" t="n">
        <x:v>0.1358</x:v>
      </x:c>
      <x:c r="D1599" s="6" t="n">
        <x:f>B1599</x:f>
        <x:v>0.2396</x:v>
      </x:c>
      <x:c r="E1599" s="1" t="n">
        <x:v>1.05</x:v>
      </x:c>
      <x:c r="F1599" s="1" t="str">
        <x:v>https://api.octopus.energy/v1/products/AGILE-24-10-01/electricity-tariffs/E-1R-AGILE-24-10-01-G/standard-unit-rates/</x:v>
      </x:c>
    </x:row>
    <x:row r="1600" ht="21" customHeight="1">
      <x:c r="A1600" s="24" t="n">
        <x:v>46181.833333333336</x:v>
      </x:c>
      <x:c r="B1600" s="6" t="n">
        <x:v>0.2422</x:v>
      </x:c>
      <x:c r="C1600" s="6" t="n">
        <x:v>0.13699999999999998</x:v>
      </x:c>
      <x:c r="D1600" s="6" t="n">
        <x:f>B1600</x:f>
        <x:v>0.2422</x:v>
      </x:c>
      <x:c r="E1600" s="1" t="n">
        <x:v>1.05</x:v>
      </x:c>
      <x:c r="F1600" s="1" t="str">
        <x:v>https://api.octopus.energy/v1/products/AGILE-24-10-01/electricity-tariffs/E-1R-AGILE-24-10-01-G/standard-unit-rates/</x:v>
      </x:c>
    </x:row>
    <x:row r="1601" ht="21" customHeight="1">
      <x:c r="A1601" s="24" t="n">
        <x:v>46181.854166666664</x:v>
      </x:c>
      <x:c r="B1601" s="6" t="n">
        <x:v>0.2414</x:v>
      </x:c>
      <x:c r="C1601" s="6" t="n">
        <x:v>0.1366</x:v>
      </x:c>
      <x:c r="D1601" s="6" t="n">
        <x:f>B1601</x:f>
        <x:v>0.2414</x:v>
      </x:c>
      <x:c r="E1601" s="1" t="n">
        <x:v>1.05</x:v>
      </x:c>
      <x:c r="F1601" s="1" t="str">
        <x:v>https://api.octopus.energy/v1/products/AGILE-24-10-01/electricity-tariffs/E-1R-AGILE-24-10-01-G/standard-unit-rates/</x:v>
      </x:c>
    </x:row>
    <x:row r="1602" ht="21" customHeight="1">
      <x:c r="A1602" s="24" t="n">
        <x:v>46181.875</x:v>
      </x:c>
      <x:c r="B1602" s="6" t="n">
        <x:v>0.2364</x:v>
      </x:c>
      <x:c r="C1602" s="6" t="n">
        <x:v>0.1344</x:v>
      </x:c>
      <x:c r="D1602" s="6" t="n">
        <x:f>B1602</x:f>
        <x:v>0.2364</x:v>
      </x:c>
      <x:c r="E1602" s="1" t="n">
        <x:v>1.05</x:v>
      </x:c>
      <x:c r="F1602" s="1" t="str">
        <x:v>https://api.octopus.energy/v1/products/AGILE-24-10-01/electricity-tariffs/E-1R-AGILE-24-10-01-G/standard-unit-rates/</x:v>
      </x:c>
    </x:row>
    <x:row r="1603" ht="21" customHeight="1">
      <x:c r="A1603" s="24" t="n">
        <x:v>46181.895833333336</x:v>
      </x:c>
      <x:c r="B1603" s="6" t="n">
        <x:v>0.23440000000000003</x:v>
      </x:c>
      <x:c r="C1603" s="6" t="n">
        <x:v>0.1334</x:v>
      </x:c>
      <x:c r="D1603" s="6" t="n">
        <x:f>B1603</x:f>
        <x:v>0.23440000000000003</x:v>
      </x:c>
      <x:c r="E1603" s="1" t="n">
        <x:v>1.05</x:v>
      </x:c>
      <x:c r="F1603" s="1" t="str">
        <x:v>https://api.octopus.energy/v1/products/AGILE-24-10-01/electricity-tariffs/E-1R-AGILE-24-10-01-G/standard-unit-rates/</x:v>
      </x:c>
    </x:row>
    <x:row r="1604" ht="21" customHeight="1">
      <x:c r="A1604" s="24" t="n">
        <x:v>46181.916666666664</x:v>
      </x:c>
      <x:c r="B1604" s="6" t="n">
        <x:v>0.20350000000000001</x:v>
      </x:c>
      <x:c r="C1604" s="6" t="n">
        <x:v>0.1193</x:v>
      </x:c>
      <x:c r="D1604" s="6" t="n">
        <x:f>B1604</x:f>
        <x:v>0.20350000000000001</x:v>
      </x:c>
      <x:c r="E1604" s="1" t="n">
        <x:v>1.05</x:v>
      </x:c>
      <x:c r="F1604" s="1" t="str">
        <x:v>https://api.octopus.energy/v1/products/AGILE-24-10-01/electricity-tariffs/E-1R-AGILE-24-10-01-G/standard-unit-rates/</x:v>
      </x:c>
    </x:row>
    <x:row r="1605" ht="21" customHeight="1">
      <x:c r="A1605" s="24" t="n">
        <x:v>46181.9375</x:v>
      </x:c>
      <x:c r="B1605" s="6" t="n">
        <x:v>0.1942</x:v>
      </x:c>
      <x:c r="C1605" s="6" t="n">
        <x:v>0.1151</x:v>
      </x:c>
      <x:c r="D1605" s="6" t="n">
        <x:f>B1605</x:f>
        <x:v>0.1942</x:v>
      </x:c>
      <x:c r="E1605" s="1" t="n">
        <x:v>1.05</x:v>
      </x:c>
      <x:c r="F1605" s="1" t="str">
        <x:v>https://api.octopus.energy/v1/products/AGILE-24-10-01/electricity-tariffs/E-1R-AGILE-24-10-01-G/standard-unit-rates/</x:v>
      </x:c>
    </x:row>
    <x:row r="1606" ht="21" customHeight="1">
      <x:c r="A1606" s="24" t="n">
        <x:v>46182</x:v>
      </x:c>
      <x:c r="B1606" s="6" t="n">
        <x:v>0.19760000000000003</x:v>
      </x:c>
      <x:c r="C1606" s="6" t="n">
        <x:v>0.1166</x:v>
      </x:c>
      <x:c r="D1606" s="6" t="n">
        <x:f>B1606</x:f>
        <x:v>0.19760000000000003</x:v>
      </x:c>
      <x:c r="E1606" s="1" t="n">
        <x:v>1.05</x:v>
      </x:c>
      <x:c r="F1606" s="1" t="str">
        <x:v>https://api.octopus.energy/v1/products/AGILE-24-10-01/electricity-tariffs/E-1R-AGILE-24-10-01-G/standard-unit-rates/</x:v>
      </x:c>
    </x:row>
    <x:row r="1607" ht="21" customHeight="1">
      <x:c r="A1607" s="24" t="n">
        <x:v>46181.979166666664</x:v>
      </x:c>
      <x:c r="B1607" s="6" t="n">
        <x:v>0.1955</x:v>
      </x:c>
      <x:c r="C1607" s="6" t="n">
        <x:v>0.11560000000000001</x:v>
      </x:c>
      <x:c r="D1607" s="6" t="n">
        <x:f>B1607</x:f>
        <x:v>0.1955</x:v>
      </x:c>
      <x:c r="E1607" s="1" t="n">
        <x:v>1.05</x:v>
      </x:c>
      <x:c r="F1607" s="1" t="str">
        <x:v>https://api.octopus.energy/v1/products/AGILE-24-10-01/electricity-tariffs/E-1R-AGILE-24-10-01-G/standard-unit-rates/</x:v>
      </x:c>
    </x:row>
    <x:row r="1608" ht="21" customHeight="1">
      <x:c r="A1608" s="24" t="n">
        <x:v>46182</x:v>
      </x:c>
      <x:c r="B1608" s="6" t="n">
        <x:v>0.1892</x:v>
      </x:c>
      <x:c r="C1608" s="6" t="n">
        <x:v>0.1128</x:v>
      </x:c>
      <x:c r="D1608" s="6" t="n">
        <x:f>B1608</x:f>
        <x:v>0.1892</x:v>
      </x:c>
      <x:c r="E1608" s="1" t="n">
        <x:v>1.05</x:v>
      </x:c>
      <x:c r="F1608" s="1" t="str">
        <x:v>https://api.octopus.energy/v1/products/AGILE-24-10-01/electricity-tariffs/E-1R-AGILE-24-10-01-G/standard-unit-rates/</x:v>
      </x:c>
    </x:row>
    <x:row r="1609" ht="21" customHeight="1">
      <x:c r="A1609" s="24" t="n">
        <x:v>46182.020833333336</x:v>
      </x:c>
      <x:c r="B1609" s="6" t="n">
        <x:v>0.1999</x:v>
      </x:c>
      <x:c r="C1609" s="6" t="n">
        <x:v>0.1177</x:v>
      </x:c>
      <x:c r="D1609" s="6" t="n">
        <x:f>B1609</x:f>
        <x:v>0.1999</x:v>
      </x:c>
      <x:c r="E1609" s="1" t="n">
        <x:v>1.05</x:v>
      </x:c>
      <x:c r="F1609" s="1" t="str">
        <x:v>https://api.octopus.energy/v1/products/AGILE-24-10-01/electricity-tariffs/E-1R-AGILE-24-10-01-G/standard-unit-rates/</x:v>
      </x:c>
    </x:row>
    <x:row r="1610" ht="21" customHeight="1">
      <x:c r="A1610" s="24" t="n">
        <x:v>46182.041666666664</x:v>
      </x:c>
      <x:c r="B1610" s="6" t="n">
        <x:v>0.1985</x:v>
      </x:c>
      <x:c r="C1610" s="6" t="n">
        <x:v>0.11699999999999999</x:v>
      </x:c>
      <x:c r="D1610" s="6" t="n">
        <x:f>B1610</x:f>
        <x:v>0.1985</x:v>
      </x:c>
      <x:c r="E1610" s="1" t="n">
        <x:v>1.05</x:v>
      </x:c>
      <x:c r="F1610" s="1" t="str">
        <x:v>https://api.octopus.energy/v1/products/AGILE-24-10-01/electricity-tariffs/E-1R-AGILE-24-10-01-G/standard-unit-rates/</x:v>
      </x:c>
    </x:row>
    <x:row r="1611" ht="21" customHeight="1">
      <x:c r="A1611" s="24" t="n">
        <x:v>46182.0625</x:v>
      </x:c>
      <x:c r="B1611" s="6" t="n">
        <x:v>0.18789999999999998</x:v>
      </x:c>
      <x:c r="C1611" s="6" t="n">
        <x:v>0.1121</x:v>
      </x:c>
      <x:c r="D1611" s="6" t="n">
        <x:f>B1611</x:f>
        <x:v>0.18789999999999998</x:v>
      </x:c>
      <x:c r="E1611" s="1" t="n">
        <x:v>1.05</x:v>
      </x:c>
      <x:c r="F1611" s="1" t="str">
        <x:v>https://api.octopus.energy/v1/products/AGILE-24-10-01/electricity-tariffs/E-1R-AGILE-24-10-01-G/standard-unit-rates/</x:v>
      </x:c>
    </x:row>
    <x:row r="1612" ht="21" customHeight="1">
      <x:c r="A1612" s="24" t="n">
        <x:v>46182.083333333336</x:v>
      </x:c>
      <x:c r="B1612" s="6" t="n">
        <x:v>0.18420000000000003</x:v>
      </x:c>
      <x:c r="C1612" s="6" t="n">
        <x:v>0.1105</x:v>
      </x:c>
      <x:c r="D1612" s="6" t="n">
        <x:f>B1612</x:f>
        <x:v>0.18420000000000003</x:v>
      </x:c>
      <x:c r="E1612" s="1" t="n">
        <x:v>1.05</x:v>
      </x:c>
      <x:c r="F1612" s="1" t="str">
        <x:v>https://api.octopus.energy/v1/products/AGILE-24-10-01/electricity-tariffs/E-1R-AGILE-24-10-01-G/standard-unit-rates/</x:v>
      </x:c>
    </x:row>
    <x:row r="1613" ht="21" customHeight="1">
      <x:c r="A1613" s="24" t="n">
        <x:v>46182.104166666664</x:v>
      </x:c>
      <x:c r="B1613" s="6" t="n">
        <x:v>0.1834</x:v>
      </x:c>
      <x:c r="C1613" s="6" t="n">
        <x:v>0.1101</x:v>
      </x:c>
      <x:c r="D1613" s="6" t="n">
        <x:f>B1613</x:f>
        <x:v>0.1834</x:v>
      </x:c>
      <x:c r="E1613" s="1" t="n">
        <x:v>1.05</x:v>
      </x:c>
      <x:c r="F1613" s="1" t="str">
        <x:v>https://api.octopus.energy/v1/products/AGILE-24-10-01/electricity-tariffs/E-1R-AGILE-24-10-01-G/standard-unit-rates/</x:v>
      </x:c>
    </x:row>
    <x:row r="1614" ht="21" customHeight="1">
      <x:c r="A1614" s="24" t="n">
        <x:v>46182.125</x:v>
      </x:c>
      <x:c r="B1614" s="6" t="n">
        <x:v>0.1783</x:v>
      </x:c>
      <x:c r="C1614" s="6" t="n">
        <x:v>0.10779999999999999</x:v>
      </x:c>
      <x:c r="D1614" s="6" t="n">
        <x:f>B1614</x:f>
        <x:v>0.1783</x:v>
      </x:c>
      <x:c r="E1614" s="1" t="n">
        <x:v>1.05</x:v>
      </x:c>
      <x:c r="F1614" s="1" t="str">
        <x:v>https://api.octopus.energy/v1/products/AGILE-24-10-01/electricity-tariffs/E-1R-AGILE-24-10-01-G/standard-unit-rates/</x:v>
      </x:c>
    </x:row>
    <x:row r="1615" ht="21" customHeight="1">
      <x:c r="A1615" s="24" t="n">
        <x:v>46182.145833333336</x:v>
      </x:c>
      <x:c r="B1615" s="6" t="n">
        <x:v>0.17559999999999998</x:v>
      </x:c>
      <x:c r="C1615" s="6" t="n">
        <x:v>0.1065</x:v>
      </x:c>
      <x:c r="D1615" s="6" t="n">
        <x:f>B1615</x:f>
        <x:v>0.17559999999999998</x:v>
      </x:c>
      <x:c r="E1615" s="1" t="n">
        <x:v>1.05</x:v>
      </x:c>
      <x:c r="F1615" s="1" t="str">
        <x:v>https://api.octopus.energy/v1/products/AGILE-24-10-01/electricity-tariffs/E-1R-AGILE-24-10-01-G/standard-unit-rates/</x:v>
      </x:c>
    </x:row>
    <x:row r="1616" ht="21" customHeight="1">
      <x:c r="A1616" s="24" t="n">
        <x:v>46182.166666666664</x:v>
      </x:c>
      <x:c r="B1616" s="6" t="n">
        <x:v>0.1815</x:v>
      </x:c>
      <x:c r="C1616" s="6" t="n">
        <x:v>0.1092</x:v>
      </x:c>
      <x:c r="D1616" s="6" t="n">
        <x:f>B1616</x:f>
        <x:v>0.1815</x:v>
      </x:c>
      <x:c r="E1616" s="1" t="n">
        <x:v>1.05</x:v>
      </x:c>
      <x:c r="F1616" s="1" t="str">
        <x:v>https://api.octopus.energy/v1/products/AGILE-24-10-01/electricity-tariffs/E-1R-AGILE-24-10-01-G/standard-unit-rates/</x:v>
      </x:c>
    </x:row>
    <x:row r="1617" ht="21" customHeight="1">
      <x:c r="A1617" s="24" t="n">
        <x:v>46182.1875</x:v>
      </x:c>
      <x:c r="B1617" s="6" t="n">
        <x:v>0.17980000000000002</x:v>
      </x:c>
      <x:c r="C1617" s="6" t="n">
        <x:v>0.1084</x:v>
      </x:c>
      <x:c r="D1617" s="6" t="n">
        <x:f>B1617</x:f>
        <x:v>0.17980000000000002</x:v>
      </x:c>
      <x:c r="E1617" s="1" t="n">
        <x:v>1.05</x:v>
      </x:c>
      <x:c r="F1617" s="1" t="str">
        <x:v>https://api.octopus.energy/v1/products/AGILE-24-10-01/electricity-tariffs/E-1R-AGILE-24-10-01-G/standard-unit-rates/</x:v>
      </x:c>
    </x:row>
    <x:row r="1618" ht="21" customHeight="1">
      <x:c r="A1618" s="24" t="n">
        <x:v>46182.208333333336</x:v>
      </x:c>
      <x:c r="B1618" s="6" t="n">
        <x:v>0.187</x:v>
      </x:c>
      <x:c r="C1618" s="6" t="n">
        <x:v>0.1118</x:v>
      </x:c>
      <x:c r="D1618" s="6" t="n">
        <x:f>B1618</x:f>
        <x:v>0.187</x:v>
      </x:c>
      <x:c r="E1618" s="1" t="n">
        <x:v>1.05</x:v>
      </x:c>
      <x:c r="F1618" s="1" t="str">
        <x:v>https://api.octopus.energy/v1/products/AGILE-24-10-01/electricity-tariffs/E-1R-AGILE-24-10-01-G/standard-unit-rates/</x:v>
      </x:c>
    </x:row>
    <x:row r="1619" ht="21" customHeight="1">
      <x:c r="A1619" s="24" t="n">
        <x:v>46182.229166666664</x:v>
      </x:c>
      <x:c r="B1619" s="6" t="n">
        <x:v>0.1894</x:v>
      </x:c>
      <x:c r="C1619" s="6" t="n">
        <x:v>0.1128</x:v>
      </x:c>
      <x:c r="D1619" s="6" t="n">
        <x:f>B1619</x:f>
        <x:v>0.1894</x:v>
      </x:c>
      <x:c r="E1619" s="1" t="n">
        <x:v>1.05</x:v>
      </x:c>
      <x:c r="F1619" s="1" t="str">
        <x:v>https://api.octopus.energy/v1/products/AGILE-24-10-01/electricity-tariffs/E-1R-AGILE-24-10-01-G/standard-unit-rates/</x:v>
      </x:c>
    </x:row>
    <x:row r="1620" ht="21" customHeight="1">
      <x:c r="A1620" s="24" t="n">
        <x:v>46182.25</x:v>
      </x:c>
      <x:c r="B1620" s="6" t="n">
        <x:v>0.191</x:v>
      </x:c>
      <x:c r="C1620" s="6" t="n">
        <x:v>0.11359999999999999</x:v>
      </x:c>
      <x:c r="D1620" s="6" t="n">
        <x:f>B1620</x:f>
        <x:v>0.191</x:v>
      </x:c>
      <x:c r="E1620" s="1" t="n">
        <x:v>1.05</x:v>
      </x:c>
      <x:c r="F1620" s="1" t="str">
        <x:v>https://api.octopus.energy/v1/products/AGILE-24-10-01/electricity-tariffs/E-1R-AGILE-24-10-01-G/standard-unit-rates/</x:v>
      </x:c>
    </x:row>
    <x:row r="1621" ht="21" customHeight="1">
      <x:c r="A1621" s="24" t="n">
        <x:v>46182.270833333336</x:v>
      </x:c>
      <x:c r="B1621" s="6" t="n">
        <x:v>0.2115</x:v>
      </x:c>
      <x:c r="C1621" s="6" t="n">
        <x:v>0.1229</x:v>
      </x:c>
      <x:c r="D1621" s="6" t="n">
        <x:f>B1621</x:f>
        <x:v>0.2115</x:v>
      </x:c>
      <x:c r="E1621" s="1" t="n">
        <x:v>1.05</x:v>
      </x:c>
      <x:c r="F1621" s="1" t="str">
        <x:v>https://api.octopus.energy/v1/products/AGILE-24-10-01/electricity-tariffs/E-1R-AGILE-24-10-01-G/standard-unit-rates/</x:v>
      </x:c>
    </x:row>
    <x:row r="1622" ht="21" customHeight="1">
      <x:c r="A1622" s="24" t="n">
        <x:v>46182.291666666664</x:v>
      </x:c>
      <x:c r="B1622" s="6" t="n">
        <x:v>0.20809999999999998</x:v>
      </x:c>
      <x:c r="C1622" s="6" t="n">
        <x:v>0.12140000000000001</x:v>
      </x:c>
      <x:c r="D1622" s="6" t="n">
        <x:f>B1622</x:f>
        <x:v>0.20809999999999998</x:v>
      </x:c>
      <x:c r="E1622" s="1" t="n">
        <x:v>1.05</x:v>
      </x:c>
      <x:c r="F1622" s="1" t="str">
        <x:v>https://api.octopus.energy/v1/products/AGILE-24-10-01/electricity-tariffs/E-1R-AGILE-24-10-01-G/standard-unit-rates/</x:v>
      </x:c>
    </x:row>
    <x:row r="1623" ht="21" customHeight="1">
      <x:c r="A1623" s="24" t="n">
        <x:v>46182.3125</x:v>
      </x:c>
      <x:c r="B1623" s="6" t="n">
        <x:v>0.2144</x:v>
      </x:c>
      <x:c r="C1623" s="6" t="n">
        <x:v>0.1243</x:v>
      </x:c>
      <x:c r="D1623" s="6" t="n">
        <x:f>B1623</x:f>
        <x:v>0.2144</x:v>
      </x:c>
      <x:c r="E1623" s="1" t="n">
        <x:v>1.05</x:v>
      </x:c>
      <x:c r="F1623" s="1" t="str">
        <x:v>https://api.octopus.energy/v1/products/AGILE-24-10-01/electricity-tariffs/E-1R-AGILE-24-10-01-G/standard-unit-rates/</x:v>
      </x:c>
    </x:row>
    <x:row r="1624" ht="21" customHeight="1">
      <x:c r="A1624" s="24" t="n">
        <x:v>46182.333333333336</x:v>
      </x:c>
      <x:c r="B1624" s="6" t="n">
        <x:v>0.2145</x:v>
      </x:c>
      <x:c r="C1624" s="6" t="n">
        <x:v>0.1243</x:v>
      </x:c>
      <x:c r="D1624" s="6" t="n">
        <x:f>B1624</x:f>
        <x:v>0.2145</x:v>
      </x:c>
      <x:c r="E1624" s="1" t="n">
        <x:v>1.05</x:v>
      </x:c>
      <x:c r="F1624" s="1" t="str">
        <x:v>https://api.octopus.energy/v1/products/AGILE-24-10-01/electricity-tariffs/E-1R-AGILE-24-10-01-G/standard-unit-rates/</x:v>
      </x:c>
    </x:row>
    <x:row r="1625" ht="21" customHeight="1">
      <x:c r="A1625" s="24" t="n">
        <x:v>46182.354166666664</x:v>
      </x:c>
      <x:c r="B1625" s="6" t="n">
        <x:v>0.20170000000000002</x:v>
      </x:c>
      <x:c r="C1625" s="6" t="n">
        <x:v>0.1185</x:v>
      </x:c>
      <x:c r="D1625" s="6" t="n">
        <x:f>B1625</x:f>
        <x:v>0.20170000000000002</x:v>
      </x:c>
      <x:c r="E1625" s="1" t="n">
        <x:v>1.05</x:v>
      </x:c>
      <x:c r="F1625" s="1" t="str">
        <x:v>https://api.octopus.energy/v1/products/AGILE-24-10-01/electricity-tariffs/E-1R-AGILE-24-10-01-G/standard-unit-rates/</x:v>
      </x:c>
    </x:row>
    <x:row r="1626" ht="21" customHeight="1">
      <x:c r="A1626" s="24" t="n">
        <x:v>46182.375</x:v>
      </x:c>
      <x:c r="B1626" s="6" t="n">
        <x:v>0.1857</x:v>
      </x:c>
      <x:c r="C1626" s="6" t="n">
        <x:v>0.1112</x:v>
      </x:c>
      <x:c r="D1626" s="6" t="n">
        <x:f>B1626</x:f>
        <x:v>0.1857</x:v>
      </x:c>
      <x:c r="E1626" s="1" t="n">
        <x:v>1.05</x:v>
      </x:c>
      <x:c r="F1626" s="1" t="str">
        <x:v>https://api.octopus.energy/v1/products/AGILE-24-10-01/electricity-tariffs/E-1R-AGILE-24-10-01-G/standard-unit-rates/</x:v>
      </x:c>
    </x:row>
    <x:row r="1627" ht="21" customHeight="1">
      <x:c r="A1627" s="24" t="n">
        <x:v>46182.395833333336</x:v>
      </x:c>
      <x:c r="B1627" s="6" t="n">
        <x:v>0.17670000000000002</x:v>
      </x:c>
      <x:c r="C1627" s="6" t="n">
        <x:v>0.107</x:v>
      </x:c>
      <x:c r="D1627" s="6" t="n">
        <x:f>B1627</x:f>
        <x:v>0.17670000000000002</x:v>
      </x:c>
      <x:c r="E1627" s="1" t="n">
        <x:v>1.05</x:v>
      </x:c>
      <x:c r="F1627" s="1" t="str">
        <x:v>https://api.octopus.energy/v1/products/AGILE-24-10-01/electricity-tariffs/E-1R-AGILE-24-10-01-G/standard-unit-rates/</x:v>
      </x:c>
    </x:row>
    <x:row r="1628" ht="21" customHeight="1">
      <x:c r="A1628" s="24" t="n">
        <x:v>46182.416666666664</x:v>
      </x:c>
      <x:c r="B1628" s="6" t="n">
        <x:v>0.16579999999999998</x:v>
      </x:c>
      <x:c r="C1628" s="6" t="n">
        <x:v>0.10210000000000001</x:v>
      </x:c>
      <x:c r="D1628" s="6" t="n">
        <x:f>B1628</x:f>
        <x:v>0.16579999999999998</x:v>
      </x:c>
      <x:c r="E1628" s="1" t="n">
        <x:v>1.05</x:v>
      </x:c>
      <x:c r="F1628" s="1" t="str">
        <x:v>https://api.octopus.energy/v1/products/AGILE-24-10-01/electricity-tariffs/E-1R-AGILE-24-10-01-G/standard-unit-rates/</x:v>
      </x:c>
    </x:row>
    <x:row r="1629" ht="21" customHeight="1">
      <x:c r="A1629" s="24" t="n">
        <x:v>46182.4375</x:v>
      </x:c>
      <x:c r="B1629" s="6" t="n">
        <x:v>0.1553</x:v>
      </x:c>
      <x:c r="C1629" s="6" t="n">
        <x:v>0.0973</x:v>
      </x:c>
      <x:c r="D1629" s="6" t="n">
        <x:f>B1629</x:f>
        <x:v>0.1553</x:v>
      </x:c>
      <x:c r="E1629" s="1" t="n">
        <x:v>1.05</x:v>
      </x:c>
      <x:c r="F1629" s="1" t="str">
        <x:v>https://api.octopus.energy/v1/products/AGILE-24-10-01/electricity-tariffs/E-1R-AGILE-24-10-01-G/standard-unit-rates/</x:v>
      </x:c>
    </x:row>
    <x:row r="1630" ht="21" customHeight="1">
      <x:c r="A1630" s="24" t="n">
        <x:v>46182.458333333336</x:v>
      </x:c>
      <x:c r="B1630" s="6" t="n">
        <x:v>0.147</x:v>
      </x:c>
      <x:c r="C1630" s="6" t="n">
        <x:v>0.0935</x:v>
      </x:c>
      <x:c r="D1630" s="6" t="n">
        <x:f>B1630</x:f>
        <x:v>0.147</x:v>
      </x:c>
      <x:c r="E1630" s="1" t="n">
        <x:v>1.05</x:v>
      </x:c>
      <x:c r="F1630" s="1" t="str">
        <x:v>https://api.octopus.energy/v1/products/AGILE-24-10-01/electricity-tariffs/E-1R-AGILE-24-10-01-G/standard-unit-rates/</x:v>
      </x:c>
    </x:row>
    <x:row r="1631" ht="21" customHeight="1">
      <x:c r="A1631" s="24" t="n">
        <x:v>46182.479166666664</x:v>
      </x:c>
      <x:c r="B1631" s="6" t="n">
        <x:v>0.1426</x:v>
      </x:c>
      <x:c r="C1631" s="6" t="n">
        <x:v>0.0915</x:v>
      </x:c>
      <x:c r="D1631" s="6" t="n">
        <x:f>B1631</x:f>
        <x:v>0.1426</x:v>
      </x:c>
      <x:c r="E1631" s="1" t="n">
        <x:v>1.05</x:v>
      </x:c>
      <x:c r="F1631" s="1" t="str">
        <x:v>https://api.octopus.energy/v1/products/AGILE-24-10-01/electricity-tariffs/E-1R-AGILE-24-10-01-G/standard-unit-rates/</x:v>
      </x:c>
    </x:row>
    <x:row r="1632" ht="21" customHeight="1">
      <x:c r="A1632" s="24" t="n">
        <x:v>46182.5</x:v>
      </x:c>
      <x:c r="B1632" s="6" t="n">
        <x:v>0.1492</x:v>
      </x:c>
      <x:c r="C1632" s="6" t="n">
        <x:v>0.09449999999999999</x:v>
      </x:c>
      <x:c r="D1632" s="6" t="n">
        <x:f>B1632</x:f>
        <x:v>0.1492</x:v>
      </x:c>
      <x:c r="E1632" s="1" t="n">
        <x:v>1.05</x:v>
      </x:c>
      <x:c r="F1632" s="1" t="str">
        <x:v>https://api.octopus.energy/v1/products/AGILE-24-10-01/electricity-tariffs/E-1R-AGILE-24-10-01-G/standard-unit-rates/</x:v>
      </x:c>
    </x:row>
    <x:row r="1633" ht="21" customHeight="1">
      <x:c r="A1633" s="24" t="n">
        <x:v>46182.520833333336</x:v>
      </x:c>
      <x:c r="B1633" s="6" t="n">
        <x:v>0.138</x:v>
      </x:c>
      <x:c r="C1633" s="6" t="n">
        <x:v>0.08929999999999999</x:v>
      </x:c>
      <x:c r="D1633" s="6" t="n">
        <x:f>B1633</x:f>
        <x:v>0.138</x:v>
      </x:c>
      <x:c r="E1633" s="1" t="n">
        <x:v>1.05</x:v>
      </x:c>
      <x:c r="F1633" s="1" t="str">
        <x:v>https://api.octopus.energy/v1/products/AGILE-24-10-01/electricity-tariffs/E-1R-AGILE-24-10-01-G/standard-unit-rates/</x:v>
      </x:c>
    </x:row>
    <x:row r="1634" ht="21" customHeight="1">
      <x:c r="A1634" s="24" t="n">
        <x:v>46182.541666666664</x:v>
      </x:c>
      <x:c r="B1634" s="6" t="n">
        <x:v>0.1346</x:v>
      </x:c>
      <x:c r="C1634" s="6" t="n">
        <x:v>0.08779999999999999</x:v>
      </x:c>
      <x:c r="D1634" s="6" t="n">
        <x:f>B1634</x:f>
        <x:v>0.1346</x:v>
      </x:c>
      <x:c r="E1634" s="1" t="n">
        <x:v>1.05</x:v>
      </x:c>
      <x:c r="F1634" s="1" t="str">
        <x:v>https://api.octopus.energy/v1/products/AGILE-24-10-01/electricity-tariffs/E-1R-AGILE-24-10-01-G/standard-unit-rates/</x:v>
      </x:c>
    </x:row>
    <x:row r="1635" ht="21" customHeight="1">
      <x:c r="A1635" s="24" t="n">
        <x:v>46182.5625</x:v>
      </x:c>
      <x:c r="B1635" s="6" t="n">
        <x:v>0.1307</x:v>
      </x:c>
      <x:c r="C1635" s="6" t="n">
        <x:v>0.086</x:v>
      </x:c>
      <x:c r="D1635" s="6" t="n">
        <x:f>B1635</x:f>
        <x:v>0.1307</x:v>
      </x:c>
      <x:c r="E1635" s="1" t="n">
        <x:v>1.05</x:v>
      </x:c>
      <x:c r="F1635" s="1" t="str">
        <x:v>https://api.octopus.energy/v1/products/AGILE-24-10-01/electricity-tariffs/E-1R-AGILE-24-10-01-G/standard-unit-rates/</x:v>
      </x:c>
    </x:row>
    <x:row r="1636" ht="21" customHeight="1">
      <x:c r="A1636" s="24" t="n">
        <x:v>46182.583333333336</x:v>
      </x:c>
      <x:c r="B1636" s="6" t="n">
        <x:v>0.122</x:v>
      </x:c>
      <x:c r="C1636" s="6" t="n">
        <x:v>0.08199999999999999</x:v>
      </x:c>
      <x:c r="D1636" s="6" t="n">
        <x:f>B1636</x:f>
        <x:v>0.122</x:v>
      </x:c>
      <x:c r="E1636" s="1" t="n">
        <x:v>1.05</x:v>
      </x:c>
      <x:c r="F1636" s="1" t="str">
        <x:v>https://api.octopus.energy/v1/products/AGILE-24-10-01/electricity-tariffs/E-1R-AGILE-24-10-01-G/standard-unit-rates/</x:v>
      </x:c>
    </x:row>
    <x:row r="1637" ht="21" customHeight="1">
      <x:c r="A1637" s="24" t="n">
        <x:v>46182.604166666664</x:v>
      </x:c>
      <x:c r="B1637" s="6" t="n">
        <x:v>0.12119999999999999</x:v>
      </x:c>
      <x:c r="C1637" s="6" t="n">
        <x:v>0.0817</x:v>
      </x:c>
      <x:c r="D1637" s="6" t="n">
        <x:f>B1637</x:f>
        <x:v>0.12119999999999999</x:v>
      </x:c>
      <x:c r="E1637" s="1" t="n">
        <x:v>1.05</x:v>
      </x:c>
      <x:c r="F1637" s="1" t="str">
        <x:v>https://api.octopus.energy/v1/products/AGILE-24-10-01/electricity-tariffs/E-1R-AGILE-24-10-01-G/standard-unit-rates/</x:v>
      </x:c>
    </x:row>
    <x:row r="1638" ht="21" customHeight="1">
      <x:c r="A1638" s="24" t="n">
        <x:v>46182.625</x:v>
      </x:c>
      <x:c r="B1638" s="6" t="n">
        <x:v>0.1257</x:v>
      </x:c>
      <x:c r="C1638" s="6" t="n">
        <x:v>0.0837</x:v>
      </x:c>
      <x:c r="D1638" s="6" t="n">
        <x:f>B1638</x:f>
        <x:v>0.1257</x:v>
      </x:c>
      <x:c r="E1638" s="1" t="n">
        <x:v>1.05</x:v>
      </x:c>
      <x:c r="F1638" s="1" t="str">
        <x:v>https://api.octopus.energy/v1/products/AGILE-24-10-01/electricity-tariffs/E-1R-AGILE-24-10-01-G/standard-unit-rates/</x:v>
      </x:c>
    </x:row>
    <x:row r="1639" ht="21" customHeight="1">
      <x:c r="A1639" s="24" t="n">
        <x:v>46182.645833333336</x:v>
      </x:c>
      <x:c r="B1639" s="6" t="n">
        <x:v>0.1338</x:v>
      </x:c>
      <x:c r="C1639" s="6" t="n">
        <x:v>0.0874</x:v>
      </x:c>
      <x:c r="D1639" s="6" t="n">
        <x:f>B1639</x:f>
        <x:v>0.1338</x:v>
      </x:c>
      <x:c r="E1639" s="1" t="n">
        <x:v>1.05</x:v>
      </x:c>
      <x:c r="F1639" s="1" t="str">
        <x:v>https://api.octopus.energy/v1/products/AGILE-24-10-01/electricity-tariffs/E-1R-AGILE-24-10-01-G/standard-unit-rates/</x:v>
      </x:c>
    </x:row>
    <x:row r="1640" ht="21" customHeight="1">
      <x:c r="A1640" s="24" t="n">
        <x:v>46182.666666666664</x:v>
      </x:c>
      <x:c r="B1640" s="6" t="n">
        <x:v>0.26489999999999997</x:v>
      </x:c>
      <x:c r="C1640" s="6" t="n">
        <x:v>0.1514</x:v>
      </x:c>
      <x:c r="D1640" s="6" t="n">
        <x:f>B1640</x:f>
        <x:v>0.26489999999999997</x:v>
      </x:c>
      <x:c r="E1640" s="1" t="n">
        <x:v>1.05</x:v>
      </x:c>
      <x:c r="F1640" s="1" t="str">
        <x:v>https://api.octopus.energy/v1/products/AGILE-24-10-01/electricity-tariffs/E-1R-AGILE-24-10-01-G/standard-unit-rates/</x:v>
      </x:c>
    </x:row>
    <x:row r="1641" ht="21" customHeight="1">
      <x:c r="A1641" s="24" t="n">
        <x:v>46182.6875</x:v>
      </x:c>
      <x:c r="B1641" s="6" t="n">
        <x:v>0.2961</x:v>
      </x:c>
      <x:c r="C1641" s="6" t="n">
        <x:v>0.16570000000000001</x:v>
      </x:c>
      <x:c r="D1641" s="6" t="n">
        <x:f>B1641</x:f>
        <x:v>0.2961</x:v>
      </x:c>
      <x:c r="E1641" s="1" t="n">
        <x:v>1.05</x:v>
      </x:c>
      <x:c r="F1641" s="1" t="str">
        <x:v>https://api.octopus.energy/v1/products/AGILE-24-10-01/electricity-tariffs/E-1R-AGILE-24-10-01-G/standard-unit-rates/</x:v>
      </x:c>
    </x:row>
    <x:row r="1642" ht="21" customHeight="1">
      <x:c r="A1642" s="24" t="n">
        <x:v>46182.708333333336</x:v>
      </x:c>
      <x:c r="B1642" s="6" t="n">
        <x:v>0.30920000000000003</x:v>
      </x:c>
      <x:c r="C1642" s="6" t="n">
        <x:v>0.17170000000000002</x:v>
      </x:c>
      <x:c r="D1642" s="6" t="n">
        <x:f>B1642</x:f>
        <x:v>0.30920000000000003</x:v>
      </x:c>
      <x:c r="E1642" s="1" t="n">
        <x:v>1.05</x:v>
      </x:c>
      <x:c r="F1642" s="1" t="str">
        <x:v>https://api.octopus.energy/v1/products/AGILE-24-10-01/electricity-tariffs/E-1R-AGILE-24-10-01-G/standard-unit-rates/</x:v>
      </x:c>
    </x:row>
    <x:row r="1643" ht="21" customHeight="1">
      <x:c r="A1643" s="24" t="n">
        <x:v>46182.729166666664</x:v>
      </x:c>
      <x:c r="B1643" s="6" t="n">
        <x:v>0.3207</x:v>
      </x:c>
      <x:c r="C1643" s="6" t="n">
        <x:v>0.1769</x:v>
      </x:c>
      <x:c r="D1643" s="6" t="n">
        <x:f>B1643</x:f>
        <x:v>0.3207</x:v>
      </x:c>
      <x:c r="E1643" s="1" t="n">
        <x:v>1.05</x:v>
      </x:c>
      <x:c r="F1643" s="1" t="str">
        <x:v>https://api.octopus.energy/v1/products/AGILE-24-10-01/electricity-tariffs/E-1R-AGILE-24-10-01-G/standard-unit-rates/</x:v>
      </x:c>
    </x:row>
    <x:row r="1644" ht="21" customHeight="1">
      <x:c r="A1644" s="24" t="n">
        <x:v>46182.75</x:v>
      </x:c>
      <x:c r="B1644" s="6" t="n">
        <x:v>0.326</x:v>
      </x:c>
      <x:c r="C1644" s="6" t="n">
        <x:v>0.1793</x:v>
      </x:c>
      <x:c r="D1644" s="6" t="n">
        <x:f>B1644</x:f>
        <x:v>0.326</x:v>
      </x:c>
      <x:c r="E1644" s="1" t="n">
        <x:v>1.05</x:v>
      </x:c>
      <x:c r="F1644" s="1" t="str">
        <x:v>https://api.octopus.energy/v1/products/AGILE-24-10-01/electricity-tariffs/E-1R-AGILE-24-10-01-G/standard-unit-rates/</x:v>
      </x:c>
    </x:row>
    <x:row r="1645" ht="21" customHeight="1">
      <x:c r="A1645" s="24" t="n">
        <x:v>46182.770833333336</x:v>
      </x:c>
      <x:c r="B1645" s="6" t="n">
        <x:v>0.33649999999999997</x:v>
      </x:c>
      <x:c r="C1645" s="6" t="n">
        <x:v>0.1841</x:v>
      </x:c>
      <x:c r="D1645" s="6" t="n">
        <x:f>B1645</x:f>
        <x:v>0.33649999999999997</x:v>
      </x:c>
      <x:c r="E1645" s="1" t="n">
        <x:v>1.05</x:v>
      </x:c>
      <x:c r="F1645" s="1" t="str">
        <x:v>https://api.octopus.energy/v1/products/AGILE-24-10-01/electricity-tariffs/E-1R-AGILE-24-10-01-G/standard-unit-rates/</x:v>
      </x:c>
    </x:row>
    <x:row r="1646" ht="21" customHeight="1">
      <x:c r="A1646" s="24" t="n">
        <x:v>46182.791666666664</x:v>
      </x:c>
      <x:c r="B1646" s="6" t="n">
        <x:v>0.2304</x:v>
      </x:c>
      <x:c r="C1646" s="6" t="n">
        <x:v>0.1316</x:v>
      </x:c>
      <x:c r="D1646" s="6" t="n">
        <x:f>B1646</x:f>
        <x:v>0.2304</x:v>
      </x:c>
      <x:c r="E1646" s="1" t="n">
        <x:v>1.05</x:v>
      </x:c>
      <x:c r="F1646" s="1" t="str">
        <x:v>https://api.octopus.energy/v1/products/AGILE-24-10-01/electricity-tariffs/E-1R-AGILE-24-10-01-G/standard-unit-rates/</x:v>
      </x:c>
    </x:row>
    <x:row r="1647" ht="21" customHeight="1">
      <x:c r="A1647" s="24" t="n">
        <x:v>46182.8125</x:v>
      </x:c>
      <x:c r="B1647" s="6" t="n">
        <x:v>0.23309999999999997</x:v>
      </x:c>
      <x:c r="C1647" s="6" t="n">
        <x:v>0.1328</x:v>
      </x:c>
      <x:c r="D1647" s="6" t="n">
        <x:f>B1647</x:f>
        <x:v>0.23309999999999997</x:v>
      </x:c>
      <x:c r="E1647" s="1" t="n">
        <x:v>1.05</x:v>
      </x:c>
      <x:c r="F1647" s="1" t="str">
        <x:v>https://api.octopus.energy/v1/products/AGILE-24-10-01/electricity-tariffs/E-1R-AGILE-24-10-01-G/standard-unit-rates/</x:v>
      </x:c>
    </x:row>
    <x:row r="1648" ht="21" customHeight="1">
      <x:c r="A1648" s="24" t="n">
        <x:v>46182.833333333336</x:v>
      </x:c>
      <x:c r="B1648" s="6" t="n">
        <x:v>0.2396</x:v>
      </x:c>
      <x:c r="C1648" s="6" t="n">
        <x:v>0.1358</x:v>
      </x:c>
      <x:c r="D1648" s="6" t="n">
        <x:f>B1648</x:f>
        <x:v>0.2396</x:v>
      </x:c>
      <x:c r="E1648" s="1" t="n">
        <x:v>1.05</x:v>
      </x:c>
      <x:c r="F1648" s="1" t="str">
        <x:v>https://api.octopus.energy/v1/products/AGILE-24-10-01/electricity-tariffs/E-1R-AGILE-24-10-01-G/standard-unit-rates/</x:v>
      </x:c>
    </x:row>
    <x:row r="1649" ht="21" customHeight="1">
      <x:c r="A1649" s="24" t="n">
        <x:v>46182.854166666664</x:v>
      </x:c>
      <x:c r="B1649" s="6" t="n">
        <x:v>0.2396</x:v>
      </x:c>
      <x:c r="C1649" s="6" t="n">
        <x:v>0.1358</x:v>
      </x:c>
      <x:c r="D1649" s="6" t="n">
        <x:f>B1649</x:f>
        <x:v>0.2396</x:v>
      </x:c>
      <x:c r="E1649" s="1" t="n">
        <x:v>1.05</x:v>
      </x:c>
      <x:c r="F1649" s="1" t="str">
        <x:v>https://api.octopus.energy/v1/products/AGILE-24-10-01/electricity-tariffs/E-1R-AGILE-24-10-01-G/standard-unit-rates/</x:v>
      </x:c>
    </x:row>
    <x:row r="1650" ht="21" customHeight="1">
      <x:c r="A1650" s="24" t="n">
        <x:v>46182.875</x:v>
      </x:c>
      <x:c r="B1650" s="6" t="n">
        <x:v>0.23879999999999998</x:v>
      </x:c>
      <x:c r="C1650" s="6" t="n">
        <x:v>0.1354</x:v>
      </x:c>
      <x:c r="D1650" s="6" t="n">
        <x:f>B1650</x:f>
        <x:v>0.23879999999999998</x:v>
      </x:c>
      <x:c r="E1650" s="1" t="n">
        <x:v>1.05</x:v>
      </x:c>
      <x:c r="F1650" s="1" t="str">
        <x:v>https://api.octopus.energy/v1/products/AGILE-24-10-01/electricity-tariffs/E-1R-AGILE-24-10-01-G/standard-unit-rates/</x:v>
      </x:c>
    </x:row>
    <x:row r="1651" ht="21" customHeight="1">
      <x:c r="A1651" s="24" t="n">
        <x:v>46182.895833333336</x:v>
      </x:c>
      <x:c r="B1651" s="6" t="n">
        <x:v>0.24</x:v>
      </x:c>
      <x:c r="C1651" s="6" t="n">
        <x:v>0.136</x:v>
      </x:c>
      <x:c r="D1651" s="6" t="n">
        <x:f>B1651</x:f>
        <x:v>0.24</x:v>
      </x:c>
      <x:c r="E1651" s="1" t="n">
        <x:v>1.05</x:v>
      </x:c>
      <x:c r="F1651" s="1" t="str">
        <x:v>https://api.octopus.energy/v1/products/AGILE-24-10-01/electricity-tariffs/E-1R-AGILE-24-10-01-G/standard-unit-rates/</x:v>
      </x:c>
    </x:row>
    <x:row r="1652" ht="21" customHeight="1">
      <x:c r="A1652" s="24" t="n">
        <x:v>46182.916666666664</x:v>
      </x:c>
      <x:c r="B1652" s="6" t="n">
        <x:v>0.218</x:v>
      </x:c>
      <x:c r="C1652" s="6" t="n">
        <x:v>0.1259</x:v>
      </x:c>
      <x:c r="D1652" s="6" t="n">
        <x:f>B1652</x:f>
        <x:v>0.218</x:v>
      </x:c>
      <x:c r="E1652" s="1" t="n">
        <x:v>1.05</x:v>
      </x:c>
      <x:c r="F1652" s="1" t="str">
        <x:v>https://api.octopus.energy/v1/products/AGILE-24-10-01/electricity-tariffs/E-1R-AGILE-24-10-01-G/standard-unit-rates/</x:v>
      </x:c>
    </x:row>
    <x:row r="1653" ht="21" customHeight="1">
      <x:c r="A1653" s="24" t="n">
        <x:v>46182.9375</x:v>
      </x:c>
      <x:c r="B1653" s="6" t="n">
        <x:v>0.1955</x:v>
      </x:c>
      <x:c r="C1653" s="6" t="n">
        <x:v>0.11560000000000001</x:v>
      </x:c>
      <x:c r="D1653" s="6" t="n">
        <x:f>B1653</x:f>
        <x:v>0.1955</x:v>
      </x:c>
      <x:c r="E1653" s="1" t="n">
        <x:v>1.05</x:v>
      </x:c>
      <x:c r="F1653" s="1" t="str">
        <x:v>https://api.octopus.energy/v1/products/AGILE-24-10-01/electricity-tariffs/E-1R-AGILE-24-10-01-G/standard-unit-rates/</x:v>
      </x:c>
    </x:row>
    <x:row r="1654" ht="21" customHeight="1">
      <x:c r="A1654" s="24" t="n">
        <x:v>46183</x:v>
      </x:c>
      <x:c r="B1654" s="6" t="n">
        <x:v>0.2018</x:v>
      </x:c>
      <x:c r="C1654" s="6" t="n">
        <x:v>0.1185</x:v>
      </x:c>
      <x:c r="D1654" s="6" t="n">
        <x:f>B1654</x:f>
        <x:v>0.2018</x:v>
      </x:c>
      <x:c r="E1654" s="1" t="n">
        <x:v>1.05</x:v>
      </x:c>
      <x:c r="F1654" s="1" t="str">
        <x:v>https://api.octopus.energy/v1/products/AGILE-24-10-01/electricity-tariffs/E-1R-AGILE-24-10-01-G/standard-unit-rates/</x:v>
      </x:c>
    </x:row>
    <x:row r="1655" ht="21" customHeight="1">
      <x:c r="A1655" s="24" t="n">
        <x:v>46182.979166666664</x:v>
      </x:c>
      <x:c r="B1655" s="6" t="n">
        <x:v>0.195</x:v>
      </x:c>
      <x:c r="C1655" s="6" t="n">
        <x:v>0.11539999999999999</x:v>
      </x:c>
      <x:c r="D1655" s="6" t="n">
        <x:f>B1655</x:f>
        <x:v>0.195</x:v>
      </x:c>
      <x:c r="E1655" s="1" t="n">
        <x:v>1.05</x:v>
      </x:c>
      <x:c r="F1655" s="1" t="str">
        <x:v>https://api.octopus.energy/v1/products/AGILE-24-10-01/electricity-tariffs/E-1R-AGILE-24-10-01-G/standard-unit-rates/</x:v>
      </x:c>
    </x:row>
    <x:row r="1656" ht="21" customHeight="1">
      <x:c r="A1656" s="24" t="n">
        <x:v>46183</x:v>
      </x:c>
      <x:c r="B1656" s="6" t="n">
        <x:v>0.1929</x:v>
      </x:c>
      <x:c r="C1656" s="6" t="n">
        <x:v>0.1144</x:v>
      </x:c>
      <x:c r="D1656" s="6" t="n">
        <x:f>B1656</x:f>
        <x:v>0.1929</x:v>
      </x:c>
      <x:c r="E1656" s="1" t="n">
        <x:v>1.05</x:v>
      </x:c>
      <x:c r="F1656" s="1" t="str">
        <x:v>https://api.octopus.energy/v1/products/AGILE-24-10-01/electricity-tariffs/E-1R-AGILE-24-10-01-G/standard-unit-rates/</x:v>
      </x:c>
    </x:row>
    <x:row r="1657" ht="21" customHeight="1">
      <x:c r="A1657" s="24" t="n">
        <x:v>46183.020833333336</x:v>
      </x:c>
      <x:c r="B1657" s="6" t="n">
        <x:v>0.18969999999999998</x:v>
      </x:c>
      <x:c r="C1657" s="6" t="n">
        <x:v>0.113</x:v>
      </x:c>
      <x:c r="D1657" s="6" t="n">
        <x:f>B1657</x:f>
        <x:v>0.18969999999999998</x:v>
      </x:c>
      <x:c r="E1657" s="1" t="n">
        <x:v>1.05</x:v>
      </x:c>
      <x:c r="F1657" s="1" t="str">
        <x:v>https://api.octopus.energy/v1/products/AGILE-24-10-01/electricity-tariffs/E-1R-AGILE-24-10-01-G/standard-unit-rates/</x:v>
      </x:c>
    </x:row>
    <x:row r="1658" ht="21" customHeight="1">
      <x:c r="A1658" s="24" t="n">
        <x:v>46183.041666666664</x:v>
      </x:c>
      <x:c r="B1658" s="6" t="n">
        <x:v>0.1805</x:v>
      </x:c>
      <x:c r="C1658" s="6" t="n">
        <x:v>0.10880000000000001</x:v>
      </x:c>
      <x:c r="D1658" s="6" t="n">
        <x:f>B1658</x:f>
        <x:v>0.1805</x:v>
      </x:c>
      <x:c r="E1658" s="1" t="n">
        <x:v>1.05</x:v>
      </x:c>
      <x:c r="F1658" s="1" t="str">
        <x:v>https://api.octopus.energy/v1/products/AGILE-24-10-01/electricity-tariffs/E-1R-AGILE-24-10-01-G/standard-unit-rates/</x:v>
      </x:c>
    </x:row>
    <x:row r="1659" ht="21" customHeight="1">
      <x:c r="A1659" s="24" t="n">
        <x:v>46183.0625</x:v>
      </x:c>
      <x:c r="B1659" s="6" t="n">
        <x:v>0.17579999999999998</x:v>
      </x:c>
      <x:c r="C1659" s="6" t="n">
        <x:v>0.1067</x:v>
      </x:c>
      <x:c r="D1659" s="6" t="n">
        <x:f>B1659</x:f>
        <x:v>0.17579999999999998</x:v>
      </x:c>
      <x:c r="E1659" s="1" t="n">
        <x:v>1.05</x:v>
      </x:c>
      <x:c r="F1659" s="1" t="str">
        <x:v>https://api.octopus.energy/v1/products/AGILE-24-10-01/electricity-tariffs/E-1R-AGILE-24-10-01-G/standard-unit-rates/</x:v>
      </x:c>
    </x:row>
    <x:row r="1660" ht="21" customHeight="1">
      <x:c r="A1660" s="24" t="n">
        <x:v>46183.083333333336</x:v>
      </x:c>
      <x:c r="B1660" s="6" t="n">
        <x:v>0.1646</x:v>
      </x:c>
      <x:c r="C1660" s="6" t="n">
        <x:v>0.1015</x:v>
      </x:c>
      <x:c r="D1660" s="6" t="n">
        <x:f>B1660</x:f>
        <x:v>0.1646</x:v>
      </x:c>
      <x:c r="E1660" s="1" t="n">
        <x:v>1.05</x:v>
      </x:c>
      <x:c r="F1660" s="1" t="str">
        <x:v>https://api.octopus.energy/v1/products/AGILE-24-10-01/electricity-tariffs/E-1R-AGILE-24-10-01-G/standard-unit-rates/</x:v>
      </x:c>
    </x:row>
    <x:row r="1661" ht="21" customHeight="1">
      <x:c r="A1661" s="24" t="n">
        <x:v>46183.104166666664</x:v>
      </x:c>
      <x:c r="B1661" s="6" t="n">
        <x:v>0.17129999999999998</x:v>
      </x:c>
      <x:c r="C1661" s="6" t="n">
        <x:v>0.10460000000000001</x:v>
      </x:c>
      <x:c r="D1661" s="6" t="n">
        <x:f>B1661</x:f>
        <x:v>0.17129999999999998</x:v>
      </x:c>
      <x:c r="E1661" s="1" t="n">
        <x:v>1.05</x:v>
      </x:c>
      <x:c r="F1661" s="1" t="str">
        <x:v>https://api.octopus.energy/v1/products/AGILE-24-10-01/electricity-tariffs/E-1R-AGILE-24-10-01-G/standard-unit-rates/</x:v>
      </x:c>
    </x:row>
    <x:row r="1662" ht="21" customHeight="1">
      <x:c r="A1662" s="24" t="n">
        <x:v>46183.125</x:v>
      </x:c>
      <x:c r="B1662" s="6" t="n">
        <x:v>0.17629999999999998</x:v>
      </x:c>
      <x:c r="C1662" s="6" t="n">
        <x:v>0.1069</x:v>
      </x:c>
      <x:c r="D1662" s="6" t="n">
        <x:f>B1662</x:f>
        <x:v>0.17629999999999998</x:v>
      </x:c>
      <x:c r="E1662" s="1" t="n">
        <x:v>1.05</x:v>
      </x:c>
      <x:c r="F1662" s="1" t="str">
        <x:v>https://api.octopus.energy/v1/products/AGILE-24-10-01/electricity-tariffs/E-1R-AGILE-24-10-01-G/standard-unit-rates/</x:v>
      </x:c>
    </x:row>
    <x:row r="1663" ht="21" customHeight="1">
      <x:c r="A1663" s="24" t="n">
        <x:v>46183.145833333336</x:v>
      </x:c>
      <x:c r="B1663" s="6" t="n">
        <x:v>0.1783</x:v>
      </x:c>
      <x:c r="C1663" s="6" t="n">
        <x:v>0.10779999999999999</x:v>
      </x:c>
      <x:c r="D1663" s="6" t="n">
        <x:f>B1663</x:f>
        <x:v>0.1783</x:v>
      </x:c>
      <x:c r="E1663" s="1" t="n">
        <x:v>1.05</x:v>
      </x:c>
      <x:c r="F1663" s="1" t="str">
        <x:v>https://api.octopus.energy/v1/products/AGILE-24-10-01/electricity-tariffs/E-1R-AGILE-24-10-01-G/standard-unit-rates/</x:v>
      </x:c>
    </x:row>
    <x:row r="1664" ht="21" customHeight="1">
      <x:c r="A1664" s="24" t="n">
        <x:v>46183.166666666664</x:v>
      </x:c>
      <x:c r="B1664" s="6" t="n">
        <x:v>0.1745</x:v>
      </x:c>
      <x:c r="C1664" s="6" t="n">
        <x:v>0.106</x:v>
      </x:c>
      <x:c r="D1664" s="6" t="n">
        <x:f>B1664</x:f>
        <x:v>0.1745</x:v>
      </x:c>
      <x:c r="E1664" s="1" t="n">
        <x:v>1.05</x:v>
      </x:c>
      <x:c r="F1664" s="1" t="str">
        <x:v>https://api.octopus.energy/v1/products/AGILE-24-10-01/electricity-tariffs/E-1R-AGILE-24-10-01-G/standard-unit-rates/</x:v>
      </x:c>
    </x:row>
    <x:row r="1665" ht="21" customHeight="1">
      <x:c r="A1665" s="24" t="n">
        <x:v>46183.1875</x:v>
      </x:c>
      <x:c r="B1665" s="6" t="n">
        <x:v>0.1761</x:v>
      </x:c>
      <x:c r="C1665" s="6" t="n">
        <x:v>0.10679999999999999</x:v>
      </x:c>
      <x:c r="D1665" s="6" t="n">
        <x:f>B1665</x:f>
        <x:v>0.1761</x:v>
      </x:c>
      <x:c r="E1665" s="1" t="n">
        <x:v>1.05</x:v>
      </x:c>
      <x:c r="F1665" s="1" t="str">
        <x:v>https://api.octopus.energy/v1/products/AGILE-24-10-01/electricity-tariffs/E-1R-AGILE-24-10-01-G/standard-unit-rates/</x:v>
      </x:c>
    </x:row>
    <x:row r="1666" ht="21" customHeight="1">
      <x:c r="A1666" s="24" t="n">
        <x:v>46183.208333333336</x:v>
      </x:c>
      <x:c r="B1666" s="6" t="n">
        <x:v>0.183</x:v>
      </x:c>
      <x:c r="C1666" s="6" t="n">
        <x:v>0.1099</x:v>
      </x:c>
      <x:c r="D1666" s="6" t="n">
        <x:f>B1666</x:f>
        <x:v>0.183</x:v>
      </x:c>
      <x:c r="E1666" s="1" t="n">
        <x:v>1.05</x:v>
      </x:c>
      <x:c r="F1666" s="1" t="str">
        <x:v>https://api.octopus.energy/v1/products/AGILE-24-10-01/electricity-tariffs/E-1R-AGILE-24-10-01-G/standard-unit-rates/</x:v>
      </x:c>
    </x:row>
    <x:row r="1667" ht="21" customHeight="1">
      <x:c r="A1667" s="24" t="n">
        <x:v>46183.229166666664</x:v>
      </x:c>
      <x:c r="B1667" s="6" t="n">
        <x:v>0.18289999999999998</x:v>
      </x:c>
      <x:c r="C1667" s="6" t="n">
        <x:v>0.1099</x:v>
      </x:c>
      <x:c r="D1667" s="6" t="n">
        <x:f>B1667</x:f>
        <x:v>0.18289999999999998</x:v>
      </x:c>
      <x:c r="E1667" s="1" t="n">
        <x:v>1.05</x:v>
      </x:c>
      <x:c r="F1667" s="1" t="str">
        <x:v>https://api.octopus.energy/v1/products/AGILE-24-10-01/electricity-tariffs/E-1R-AGILE-24-10-01-G/standard-unit-rates/</x:v>
      </x:c>
    </x:row>
    <x:row r="1668" ht="21" customHeight="1">
      <x:c r="A1668" s="24" t="n">
        <x:v>46183.25</x:v>
      </x:c>
      <x:c r="B1668" s="6" t="n">
        <x:v>0.18780000000000002</x:v>
      </x:c>
      <x:c r="C1668" s="6" t="n">
        <x:v>0.1121</x:v>
      </x:c>
      <x:c r="D1668" s="6" t="n">
        <x:f>B1668</x:f>
        <x:v>0.18780000000000002</x:v>
      </x:c>
      <x:c r="E1668" s="1" t="n">
        <x:v>1.05</x:v>
      </x:c>
      <x:c r="F1668" s="1" t="str">
        <x:v>https://api.octopus.energy/v1/products/AGILE-24-10-01/electricity-tariffs/E-1R-AGILE-24-10-01-G/standard-unit-rates/</x:v>
      </x:c>
    </x:row>
    <x:row r="1669" ht="21" customHeight="1">
      <x:c r="A1669" s="24" t="n">
        <x:v>46183.270833333336</x:v>
      </x:c>
      <x:c r="B1669" s="6" t="n">
        <x:v>0.21539999999999998</x:v>
      </x:c>
      <x:c r="C1669" s="6" t="n">
        <x:v>0.1247</x:v>
      </x:c>
      <x:c r="D1669" s="6" t="n">
        <x:f>B1669</x:f>
        <x:v>0.21539999999999998</x:v>
      </x:c>
      <x:c r="E1669" s="1" t="n">
        <x:v>1.05</x:v>
      </x:c>
      <x:c r="F1669" s="1" t="str">
        <x:v>https://api.octopus.energy/v1/products/AGILE-24-10-01/electricity-tariffs/E-1R-AGILE-24-10-01-G/standard-unit-rates/</x:v>
      </x:c>
    </x:row>
    <x:row r="1670" ht="21" customHeight="1">
      <x:c r="A1670" s="24" t="n">
        <x:v>46183.291666666664</x:v>
      </x:c>
      <x:c r="B1670" s="6" t="n">
        <x:v>0.2198</x:v>
      </x:c>
      <x:c r="C1670" s="6" t="n">
        <x:v>0.1268</x:v>
      </x:c>
      <x:c r="D1670" s="6" t="n">
        <x:f>B1670</x:f>
        <x:v>0.2198</x:v>
      </x:c>
      <x:c r="E1670" s="1" t="n">
        <x:v>1.05</x:v>
      </x:c>
      <x:c r="F1670" s="1" t="str">
        <x:v>https://api.octopus.energy/v1/products/AGILE-24-10-01/electricity-tariffs/E-1R-AGILE-24-10-01-G/standard-unit-rates/</x:v>
      </x:c>
    </x:row>
    <x:row r="1671" ht="21" customHeight="1">
      <x:c r="A1671" s="24" t="n">
        <x:v>46183.3125</x:v>
      </x:c>
      <x:c r="B1671" s="6" t="n">
        <x:v>0.2207</x:v>
      </x:c>
      <x:c r="C1671" s="6" t="n">
        <x:v>0.1272</x:v>
      </x:c>
      <x:c r="D1671" s="6" t="n">
        <x:f>B1671</x:f>
        <x:v>0.2207</x:v>
      </x:c>
      <x:c r="E1671" s="1" t="n">
        <x:v>1.05</x:v>
      </x:c>
      <x:c r="F1671" s="1" t="str">
        <x:v>https://api.octopus.energy/v1/products/AGILE-24-10-01/electricity-tariffs/E-1R-AGILE-24-10-01-G/standard-unit-rates/</x:v>
      </x:c>
    </x:row>
    <x:row r="1672" ht="21" customHeight="1">
      <x:c r="A1672" s="24" t="n">
        <x:v>46183.333333333336</x:v>
      </x:c>
      <x:c r="B1672" s="6" t="n">
        <x:v>0.21530000000000002</x:v>
      </x:c>
      <x:c r="C1672" s="6" t="n">
        <x:v>0.1247</x:v>
      </x:c>
      <x:c r="D1672" s="6" t="n">
        <x:f>B1672</x:f>
        <x:v>0.21530000000000002</x:v>
      </x:c>
      <x:c r="E1672" s="1" t="n">
        <x:v>1.05</x:v>
      </x:c>
      <x:c r="F1672" s="1" t="str">
        <x:v>https://api.octopus.energy/v1/products/AGILE-24-10-01/electricity-tariffs/E-1R-AGILE-24-10-01-G/standard-unit-rates/</x:v>
      </x:c>
    </x:row>
    <x:row r="1673" ht="21" customHeight="1">
      <x:c r="A1673" s="24" t="n">
        <x:v>46183.354166666664</x:v>
      </x:c>
      <x:c r="B1673" s="6" t="n">
        <x:v>0.2165</x:v>
      </x:c>
      <x:c r="C1673" s="6" t="n">
        <x:v>0.1252</x:v>
      </x:c>
      <x:c r="D1673" s="6" t="n">
        <x:f>B1673</x:f>
        <x:v>0.2165</x:v>
      </x:c>
      <x:c r="E1673" s="1" t="n">
        <x:v>1.05</x:v>
      </x:c>
      <x:c r="F1673" s="1" t="str">
        <x:v>https://api.octopus.energy/v1/products/AGILE-24-10-01/electricity-tariffs/E-1R-AGILE-24-10-01-G/standard-unit-rates/</x:v>
      </x:c>
    </x:row>
    <x:row r="1674" ht="21" customHeight="1">
      <x:c r="A1674" s="24" t="n">
        <x:v>46183.375</x:v>
      </x:c>
      <x:c r="B1674" s="6" t="n">
        <x:v>0.2165</x:v>
      </x:c>
      <x:c r="C1674" s="6" t="n">
        <x:v>0.1252</x:v>
      </x:c>
      <x:c r="D1674" s="6" t="n">
        <x:f>B1674</x:f>
        <x:v>0.2165</x:v>
      </x:c>
      <x:c r="E1674" s="1" t="n">
        <x:v>1.05</x:v>
      </x:c>
      <x:c r="F1674" s="1" t="str">
        <x:v>https://api.octopus.energy/v1/products/AGILE-24-10-01/electricity-tariffs/E-1R-AGILE-24-10-01-G/standard-unit-rates/</x:v>
      </x:c>
    </x:row>
    <x:row r="1675" ht="21" customHeight="1">
      <x:c r="A1675" s="24" t="n">
        <x:v>46183.395833333336</x:v>
      </x:c>
      <x:c r="B1675" s="6" t="n">
        <x:v>0.20350000000000001</x:v>
      </x:c>
      <x:c r="C1675" s="6" t="n">
        <x:v>0.1193</x:v>
      </x:c>
      <x:c r="D1675" s="6" t="n">
        <x:f>B1675</x:f>
        <x:v>0.20350000000000001</x:v>
      </x:c>
      <x:c r="E1675" s="1" t="n">
        <x:v>1.05</x:v>
      </x:c>
      <x:c r="F1675" s="1" t="str">
        <x:v>https://api.octopus.energy/v1/products/AGILE-24-10-01/electricity-tariffs/E-1R-AGILE-24-10-01-G/standard-unit-rates/</x:v>
      </x:c>
    </x:row>
    <x:row r="1676" ht="21" customHeight="1">
      <x:c r="A1676" s="24" t="n">
        <x:v>46183.416666666664</x:v>
      </x:c>
      <x:c r="B1676" s="6" t="n">
        <x:v>0.2075</x:v>
      </x:c>
      <x:c r="C1676" s="6" t="n">
        <x:v>0.1211</x:v>
      </x:c>
      <x:c r="D1676" s="6" t="n">
        <x:f>B1676</x:f>
        <x:v>0.2075</x:v>
      </x:c>
      <x:c r="E1676" s="1" t="n">
        <x:v>1.05</x:v>
      </x:c>
      <x:c r="F1676" s="1" t="str">
        <x:v>https://api.octopus.energy/v1/products/AGILE-24-10-01/electricity-tariffs/E-1R-AGILE-24-10-01-G/standard-unit-rates/</x:v>
      </x:c>
    </x:row>
    <x:row r="1677" ht="21" customHeight="1">
      <x:c r="A1677" s="24" t="n">
        <x:v>46183.4375</x:v>
      </x:c>
      <x:c r="B1677" s="6" t="n">
        <x:v>0.201</x:v>
      </x:c>
      <x:c r="C1677" s="6" t="n">
        <x:v>0.1182</x:v>
      </x:c>
      <x:c r="D1677" s="6" t="n">
        <x:f>B1677</x:f>
        <x:v>0.201</x:v>
      </x:c>
      <x:c r="E1677" s="1" t="n">
        <x:v>1.05</x:v>
      </x:c>
      <x:c r="F1677" s="1" t="str">
        <x:v>https://api.octopus.energy/v1/products/AGILE-24-10-01/electricity-tariffs/E-1R-AGILE-24-10-01-G/standard-unit-rates/</x:v>
      </x:c>
    </x:row>
    <x:row r="1678" ht="21" customHeight="1">
      <x:c r="A1678" s="24" t="n">
        <x:v>46183.458333333336</x:v>
      </x:c>
      <x:c r="B1678" s="6" t="n">
        <x:v>0.1863</x:v>
      </x:c>
      <x:c r="C1678" s="6" t="n">
        <x:v>0.1114</x:v>
      </x:c>
      <x:c r="D1678" s="6" t="n">
        <x:f>B1678</x:f>
        <x:v>0.1863</x:v>
      </x:c>
      <x:c r="E1678" s="1" t="n">
        <x:v>1.05</x:v>
      </x:c>
      <x:c r="F1678" s="1" t="str">
        <x:v>https://api.octopus.energy/v1/products/AGILE-24-10-01/electricity-tariffs/E-1R-AGILE-24-10-01-G/standard-unit-rates/</x:v>
      </x:c>
    </x:row>
    <x:row r="1679" ht="21" customHeight="1">
      <x:c r="A1679" s="24" t="n">
        <x:v>46183.479166666664</x:v>
      </x:c>
      <x:c r="B1679" s="6" t="n">
        <x:v>0.18289999999999998</x:v>
      </x:c>
      <x:c r="C1679" s="6" t="n">
        <x:v>0.1099</x:v>
      </x:c>
      <x:c r="D1679" s="6" t="n">
        <x:f>B1679</x:f>
        <x:v>0.18289999999999998</x:v>
      </x:c>
      <x:c r="E1679" s="1" t="n">
        <x:v>1.05</x:v>
      </x:c>
      <x:c r="F1679" s="1" t="str">
        <x:v>https://api.octopus.energy/v1/products/AGILE-24-10-01/electricity-tariffs/E-1R-AGILE-24-10-01-G/standard-unit-rates/</x:v>
      </x:c>
    </x:row>
    <x:row r="1680" ht="21" customHeight="1">
      <x:c r="A1680" s="24" t="n">
        <x:v>46183.5</x:v>
      </x:c>
      <x:c r="B1680" s="6" t="n">
        <x:v>0.1848</x:v>
      </x:c>
      <x:c r="C1680" s="6" t="n">
        <x:v>0.1108</x:v>
      </x:c>
      <x:c r="D1680" s="6" t="n">
        <x:f>B1680</x:f>
        <x:v>0.1848</x:v>
      </x:c>
      <x:c r="E1680" s="1" t="n">
        <x:v>1.05</x:v>
      </x:c>
      <x:c r="F1680" s="1" t="str">
        <x:v>https://api.octopus.energy/v1/products/AGILE-24-10-01/electricity-tariffs/E-1R-AGILE-24-10-01-G/standard-unit-rates/</x:v>
      </x:c>
    </x:row>
    <x:row r="1681" ht="21" customHeight="1">
      <x:c r="A1681" s="24" t="n">
        <x:v>46183.520833333336</x:v>
      </x:c>
      <x:c r="B1681" s="6" t="n">
        <x:v>0.17739999999999997</x:v>
      </x:c>
      <x:c r="C1681" s="6" t="n">
        <x:v>0.1074</x:v>
      </x:c>
      <x:c r="D1681" s="6" t="n">
        <x:f>B1681</x:f>
        <x:v>0.17739999999999997</x:v>
      </x:c>
      <x:c r="E1681" s="1" t="n">
        <x:v>1.05</x:v>
      </x:c>
      <x:c r="F1681" s="1" t="str">
        <x:v>https://api.octopus.energy/v1/products/AGILE-24-10-01/electricity-tariffs/E-1R-AGILE-24-10-01-G/standard-unit-rates/</x:v>
      </x:c>
    </x:row>
    <x:row r="1682" ht="21" customHeight="1">
      <x:c r="A1682" s="24" t="n">
        <x:v>46183.541666666664</x:v>
      </x:c>
      <x:c r="B1682" s="6" t="n">
        <x:v>0.18</x:v>
      </x:c>
      <x:c r="C1682" s="6" t="n">
        <x:v>0.10859999999999999</x:v>
      </x:c>
      <x:c r="D1682" s="6" t="n">
        <x:f>B1682</x:f>
        <x:v>0.18</x:v>
      </x:c>
      <x:c r="E1682" s="1" t="n">
        <x:v>1.05</x:v>
      </x:c>
      <x:c r="F1682" s="1" t="str">
        <x:v>https://api.octopus.energy/v1/products/AGILE-24-10-01/electricity-tariffs/E-1R-AGILE-24-10-01-G/standard-unit-rates/</x:v>
      </x:c>
    </x:row>
    <x:row r="1683" ht="21" customHeight="1">
      <x:c r="A1683" s="24" t="n">
        <x:v>46183.5625</x:v>
      </x:c>
      <x:c r="B1683" s="6" t="n">
        <x:v>0.1724</x:v>
      </x:c>
      <x:c r="C1683" s="6" t="n">
        <x:v>0.1051</x:v>
      </x:c>
      <x:c r="D1683" s="6" t="n">
        <x:f>B1683</x:f>
        <x:v>0.1724</x:v>
      </x:c>
      <x:c r="E1683" s="1" t="n">
        <x:v>1.05</x:v>
      </x:c>
      <x:c r="F1683" s="1" t="str">
        <x:v>https://api.octopus.energy/v1/products/AGILE-24-10-01/electricity-tariffs/E-1R-AGILE-24-10-01-G/standard-unit-rates/</x:v>
      </x:c>
    </x:row>
    <x:row r="1684" ht="21" customHeight="1">
      <x:c r="A1684" s="24" t="n">
        <x:v>46183.583333333336</x:v>
      </x:c>
      <x:c r="B1684" s="6" t="n">
        <x:v>0.1684</x:v>
      </x:c>
      <x:c r="C1684" s="6" t="n">
        <x:v>0.1033</x:v>
      </x:c>
      <x:c r="D1684" s="6" t="n">
        <x:f>B1684</x:f>
        <x:v>0.1684</x:v>
      </x:c>
      <x:c r="E1684" s="1" t="n">
        <x:v>1.05</x:v>
      </x:c>
      <x:c r="F1684" s="1" t="str">
        <x:v>https://api.octopus.energy/v1/products/AGILE-24-10-01/electricity-tariffs/E-1R-AGILE-24-10-01-G/standard-unit-rates/</x:v>
      </x:c>
    </x:row>
    <x:row r="1685" ht="21" customHeight="1">
      <x:c r="A1685" s="24" t="n">
        <x:v>46183.604166666664</x:v>
      </x:c>
      <x:c r="B1685" s="6" t="n">
        <x:v>0.1661</x:v>
      </x:c>
      <x:c r="C1685" s="6" t="n">
        <x:v>0.10220000000000001</x:v>
      </x:c>
      <x:c r="D1685" s="6" t="n">
        <x:f>B1685</x:f>
        <x:v>0.1661</x:v>
      </x:c>
      <x:c r="E1685" s="1" t="n">
        <x:v>1.05</x:v>
      </x:c>
      <x:c r="F1685" s="1" t="str">
        <x:v>https://api.octopus.energy/v1/products/AGILE-24-10-01/electricity-tariffs/E-1R-AGILE-24-10-01-G/standard-unit-rates/</x:v>
      </x:c>
    </x:row>
    <x:row r="1686" ht="21" customHeight="1">
      <x:c r="A1686" s="24" t="n">
        <x:v>46183.625</x:v>
      </x:c>
      <x:c r="B1686" s="6" t="n">
        <x:v>0.1641</x:v>
      </x:c>
      <x:c r="C1686" s="6" t="n">
        <x:v>0.1013</x:v>
      </x:c>
      <x:c r="D1686" s="6" t="n">
        <x:f>B1686</x:f>
        <x:v>0.1641</x:v>
      </x:c>
      <x:c r="E1686" s="1" t="n">
        <x:v>1.05</x:v>
      </x:c>
      <x:c r="F1686" s="1" t="str">
        <x:v>https://api.octopus.energy/v1/products/AGILE-24-10-01/electricity-tariffs/E-1R-AGILE-24-10-01-G/standard-unit-rates/</x:v>
      </x:c>
    </x:row>
    <x:row r="1687" ht="21" customHeight="1">
      <x:c r="A1687" s="24" t="n">
        <x:v>46183.645833333336</x:v>
      </x:c>
      <x:c r="B1687" s="6" t="n">
        <x:v>0.1704</x:v>
      </x:c>
      <x:c r="C1687" s="6" t="n">
        <x:v>0.1042</x:v>
      </x:c>
      <x:c r="D1687" s="6" t="n">
        <x:f>B1687</x:f>
        <x:v>0.1704</x:v>
      </x:c>
      <x:c r="E1687" s="1" t="n">
        <x:v>1.05</x:v>
      </x:c>
      <x:c r="F1687" s="1" t="str">
        <x:v>https://api.octopus.energy/v1/products/AGILE-24-10-01/electricity-tariffs/E-1R-AGILE-24-10-01-G/standard-unit-rates/</x:v>
      </x:c>
    </x:row>
    <x:row r="1688" ht="21" customHeight="1">
      <x:c r="A1688" s="24" t="n">
        <x:v>46183.666666666664</x:v>
      </x:c>
      <x:c r="B1688" s="6" t="n">
        <x:v>0.3122</x:v>
      </x:c>
      <x:c r="C1688" s="6" t="n">
        <x:v>0.17300000000000001</x:v>
      </x:c>
      <x:c r="D1688" s="6" t="n">
        <x:f>B1688</x:f>
        <x:v>0.3122</x:v>
      </x:c>
      <x:c r="E1688" s="1" t="n">
        <x:v>1.05</x:v>
      </x:c>
      <x:c r="F1688" s="1" t="str">
        <x:v>https://api.octopus.energy/v1/products/AGILE-24-10-01/electricity-tariffs/E-1R-AGILE-24-10-01-G/standard-unit-rates/</x:v>
      </x:c>
    </x:row>
    <x:row r="1689" ht="21" customHeight="1">
      <x:c r="A1689" s="24" t="n">
        <x:v>46183.6875</x:v>
      </x:c>
      <x:c r="B1689" s="6" t="n">
        <x:v>0.3141</x:v>
      </x:c>
      <x:c r="C1689" s="6" t="n">
        <x:v>0.1739</x:v>
      </x:c>
      <x:c r="D1689" s="6" t="n">
        <x:f>B1689</x:f>
        <x:v>0.3141</x:v>
      </x:c>
      <x:c r="E1689" s="1" t="n">
        <x:v>1.05</x:v>
      </x:c>
      <x:c r="F1689" s="1" t="str">
        <x:v>https://api.octopus.energy/v1/products/AGILE-24-10-01/electricity-tariffs/E-1R-AGILE-24-10-01-G/standard-unit-rates/</x:v>
      </x:c>
    </x:row>
    <x:row r="1690" ht="21" customHeight="1">
      <x:c r="A1690" s="24" t="n">
        <x:v>46183.708333333336</x:v>
      </x:c>
      <x:c r="B1690" s="6" t="n">
        <x:v>0.3268</x:v>
      </x:c>
      <x:c r="C1690" s="6" t="n">
        <x:v>0.1797</x:v>
      </x:c>
      <x:c r="D1690" s="6" t="n">
        <x:f>B1690</x:f>
        <x:v>0.3268</x:v>
      </x:c>
      <x:c r="E1690" s="1" t="n">
        <x:v>1.05</x:v>
      </x:c>
      <x:c r="F1690" s="1" t="str">
        <x:v>https://api.octopus.energy/v1/products/AGILE-24-10-01/electricity-tariffs/E-1R-AGILE-24-10-01-G/standard-unit-rates/</x:v>
      </x:c>
    </x:row>
    <x:row r="1691" ht="21" customHeight="1">
      <x:c r="A1691" s="24" t="n">
        <x:v>46183.729166666664</x:v>
      </x:c>
      <x:c r="B1691" s="6" t="n">
        <x:v>0.3381</x:v>
      </x:c>
      <x:c r="C1691" s="6" t="n">
        <x:v>0.18489999999999998</x:v>
      </x:c>
      <x:c r="D1691" s="6" t="n">
        <x:f>B1691</x:f>
        <x:v>0.3381</x:v>
      </x:c>
      <x:c r="E1691" s="1" t="n">
        <x:v>1.05</x:v>
      </x:c>
      <x:c r="F1691" s="1" t="str">
        <x:v>https://api.octopus.energy/v1/products/AGILE-24-10-01/electricity-tariffs/E-1R-AGILE-24-10-01-G/standard-unit-rates/</x:v>
      </x:c>
    </x:row>
    <x:row r="1692" ht="21" customHeight="1">
      <x:c r="A1692" s="24" t="n">
        <x:v>46183.75</x:v>
      </x:c>
      <x:c r="B1692" s="6" t="n">
        <x:v>0.3617</x:v>
      </x:c>
      <x:c r="C1692" s="6" t="n">
        <x:v>0.1957</x:v>
      </x:c>
      <x:c r="D1692" s="6" t="n">
        <x:f>B1692</x:f>
        <x:v>0.3617</x:v>
      </x:c>
      <x:c r="E1692" s="1" t="n">
        <x:v>1.05</x:v>
      </x:c>
      <x:c r="F1692" s="1" t="str">
        <x:v>https://api.octopus.energy/v1/products/AGILE-24-10-01/electricity-tariffs/E-1R-AGILE-24-10-01-G/standard-unit-rates/</x:v>
      </x:c>
    </x:row>
    <x:row r="1693" ht="21" customHeight="1">
      <x:c r="A1693" s="24" t="n">
        <x:v>46183.770833333336</x:v>
      </x:c>
      <x:c r="B1693" s="6" t="n">
        <x:v>0.368</x:v>
      </x:c>
      <x:c r="C1693" s="6" t="n">
        <x:v>0.1985</x:v>
      </x:c>
      <x:c r="D1693" s="6" t="n">
        <x:f>B1693</x:f>
        <x:v>0.368</x:v>
      </x:c>
      <x:c r="E1693" s="1" t="n">
        <x:v>1.05</x:v>
      </x:c>
      <x:c r="F1693" s="1" t="str">
        <x:v>https://api.octopus.energy/v1/products/AGILE-24-10-01/electricity-tariffs/E-1R-AGILE-24-10-01-G/standard-unit-rates/</x:v>
      </x:c>
    </x:row>
    <x:row r="1694" ht="21" customHeight="1">
      <x:c r="A1694" s="24" t="n">
        <x:v>46183.791666666664</x:v>
      </x:c>
      <x:c r="B1694" s="6" t="n">
        <x:v>0.2809</x:v>
      </x:c>
      <x:c r="C1694" s="6" t="n">
        <x:v>0.1547</x:v>
      </x:c>
      <x:c r="D1694" s="6" t="n">
        <x:f>B1694</x:f>
        <x:v>0.2809</x:v>
      </x:c>
      <x:c r="E1694" s="1" t="n">
        <x:v>1.05</x:v>
      </x:c>
      <x:c r="F1694" s="1" t="str">
        <x:v>https://api.octopus.energy/v1/products/AGILE-24-10-01/electricity-tariffs/E-1R-AGILE-24-10-01-G/standard-unit-rates/</x:v>
      </x:c>
    </x:row>
    <x:row r="1695" ht="21" customHeight="1">
      <x:c r="A1695" s="24" t="n">
        <x:v>46183.8125</x:v>
      </x:c>
      <x:c r="B1695" s="6" t="n">
        <x:v>0.2724</x:v>
      </x:c>
      <x:c r="C1695" s="6" t="n">
        <x:v>0.1508</x:v>
      </x:c>
      <x:c r="D1695" s="6" t="n">
        <x:f>B1695</x:f>
        <x:v>0.2724</x:v>
      </x:c>
      <x:c r="E1695" s="1" t="n">
        <x:v>1.05</x:v>
      </x:c>
      <x:c r="F1695" s="1" t="str">
        <x:v>https://api.octopus.energy/v1/products/AGILE-24-10-01/electricity-tariffs/E-1R-AGILE-24-10-01-G/standard-unit-rates/</x:v>
      </x:c>
    </x:row>
    <x:row r="1696" ht="21" customHeight="1">
      <x:c r="A1696" s="24" t="n">
        <x:v>46183.833333333336</x:v>
      </x:c>
      <x:c r="B1696" s="6" t="n">
        <x:v>0.28309999999999996</x:v>
      </x:c>
      <x:c r="C1696" s="6" t="n">
        <x:v>0.1557</x:v>
      </x:c>
      <x:c r="D1696" s="6" t="n">
        <x:f>B1696</x:f>
        <x:v>0.28309999999999996</x:v>
      </x:c>
      <x:c r="E1696" s="1" t="n">
        <x:v>1.05</x:v>
      </x:c>
      <x:c r="F1696" s="1" t="str">
        <x:v>https://api.octopus.energy/v1/products/AGILE-24-10-01/electricity-tariffs/E-1R-AGILE-24-10-01-G/standard-unit-rates/</x:v>
      </x:c>
    </x:row>
    <x:row r="1697" ht="21" customHeight="1">
      <x:c r="A1697" s="24" t="n">
        <x:v>46183.854166666664</x:v>
      </x:c>
      <x:c r="B1697" s="6" t="n">
        <x:v>0.2756</x:v>
      </x:c>
      <x:c r="C1697" s="6" t="n">
        <x:v>0.1523</x:v>
      </x:c>
      <x:c r="D1697" s="6" t="n">
        <x:f>B1697</x:f>
        <x:v>0.2756</x:v>
      </x:c>
      <x:c r="E1697" s="1" t="n">
        <x:v>1.05</x:v>
      </x:c>
      <x:c r="F1697" s="1" t="str">
        <x:v>https://api.octopus.energy/v1/products/AGILE-24-10-01/electricity-tariffs/E-1R-AGILE-24-10-01-G/standard-unit-rates/</x:v>
      </x:c>
    </x:row>
    <x:row r="1698" ht="21" customHeight="1">
      <x:c r="A1698" s="24" t="n">
        <x:v>46183.875</x:v>
      </x:c>
      <x:c r="B1698" s="6" t="n">
        <x:v>0.2686</x:v>
      </x:c>
      <x:c r="C1698" s="6" t="n">
        <x:v>0.149</x:v>
      </x:c>
      <x:c r="D1698" s="6" t="n">
        <x:f>B1698</x:f>
        <x:v>0.2686</x:v>
      </x:c>
      <x:c r="E1698" s="1" t="n">
        <x:v>1.05</x:v>
      </x:c>
      <x:c r="F1698" s="1" t="str">
        <x:v>https://api.octopus.energy/v1/products/AGILE-24-10-01/electricity-tariffs/E-1R-AGILE-24-10-01-G/standard-unit-rates/</x:v>
      </x:c>
    </x:row>
    <x:row r="1699" ht="21" customHeight="1">
      <x:c r="A1699" s="24" t="n">
        <x:v>46183.895833333336</x:v>
      </x:c>
      <x:c r="B1699" s="6" t="n">
        <x:v>0.2658</x:v>
      </x:c>
      <x:c r="C1699" s="6" t="n">
        <x:v>0.1478</x:v>
      </x:c>
      <x:c r="D1699" s="6" t="n">
        <x:f>B1699</x:f>
        <x:v>0.2658</x:v>
      </x:c>
      <x:c r="E1699" s="1" t="n">
        <x:v>1.05</x:v>
      </x:c>
      <x:c r="F1699" s="1" t="str">
        <x:v>https://api.octopus.energy/v1/products/AGILE-24-10-01/electricity-tariffs/E-1R-AGILE-24-10-01-G/standard-unit-rates/</x:v>
      </x:c>
    </x:row>
    <x:row r="1700" ht="21" customHeight="1">
      <x:c r="A1700" s="24" t="n">
        <x:v>46183.916666666664</x:v>
      </x:c>
      <x:c r="B1700" s="6" t="n">
        <x:v>0.22769999999999999</x:v>
      </x:c>
      <x:c r="C1700" s="6" t="n">
        <x:v>0.1304</x:v>
      </x:c>
      <x:c r="D1700" s="6" t="n">
        <x:f>B1700</x:f>
        <x:v>0.22769999999999999</x:v>
      </x:c>
      <x:c r="E1700" s="1" t="n">
        <x:v>1.05</x:v>
      </x:c>
      <x:c r="F1700" s="1" t="str">
        <x:v>https://api.octopus.energy/v1/products/AGILE-24-10-01/electricity-tariffs/E-1R-AGILE-24-10-01-G/standard-unit-rates/</x:v>
      </x:c>
    </x:row>
    <x:row r="1701" ht="21" customHeight="1">
      <x:c r="A1701" s="24" t="n">
        <x:v>46183.9375</x:v>
      </x:c>
      <x:c r="B1701" s="6" t="n">
        <x:v>0.2274</x:v>
      </x:c>
      <x:c r="C1701" s="6" t="n">
        <x:v>0.13019999999999998</x:v>
      </x:c>
      <x:c r="D1701" s="6" t="n">
        <x:f>B1701</x:f>
        <x:v>0.2274</x:v>
      </x:c>
      <x:c r="E1701" s="1" t="n">
        <x:v>1.05</x:v>
      </x:c>
      <x:c r="F1701" s="1" t="str">
        <x:v>https://api.octopus.energy/v1/products/AGILE-24-10-01/electricity-tariffs/E-1R-AGILE-24-10-01-G/standard-unit-rates/</x:v>
      </x:c>
    </x:row>
    <x:row r="1702" ht="21" customHeight="1">
      <x:c r="A1702" s="24" t="n">
        <x:v>46184</x:v>
      </x:c>
      <x:c r="B1702" s="6" t="n">
        <x:v>0.2254</x:v>
      </x:c>
      <x:c r="C1702" s="6" t="n">
        <x:v>0.1293</x:v>
      </x:c>
      <x:c r="D1702" s="6" t="n">
        <x:f>B1702</x:f>
        <x:v>0.2254</x:v>
      </x:c>
      <x:c r="E1702" s="1" t="n">
        <x:v>1.05</x:v>
      </x:c>
      <x:c r="F1702" s="1" t="str">
        <x:v>https://api.octopus.energy/v1/products/AGILE-24-10-01/electricity-tariffs/E-1R-AGILE-24-10-01-G/standard-unit-rates/</x:v>
      </x:c>
    </x:row>
    <x:row r="1703" ht="21" customHeight="1">
      <x:c r="A1703" s="24" t="n">
        <x:v>46183.979166666664</x:v>
      </x:c>
      <x:c r="B1703" s="6" t="n">
        <x:v>0.2231</x:v>
      </x:c>
      <x:c r="C1703" s="6" t="n">
        <x:v>0.1283</x:v>
      </x:c>
      <x:c r="D1703" s="6" t="n">
        <x:f>B1703</x:f>
        <x:v>0.2231</x:v>
      </x:c>
      <x:c r="E1703" s="1" t="n">
        <x:v>1.05</x:v>
      </x:c>
      <x:c r="F1703" s="1" t="str">
        <x:v>https://api.octopus.energy/v1/products/AGILE-24-10-01/electricity-tariffs/E-1R-AGILE-24-10-01-G/standard-unit-rates/</x:v>
      </x:c>
    </x:row>
    <x:row r="1704" ht="21" customHeight="1">
      <x:c r="A1704" s="24" t="n">
        <x:v>46184</x:v>
      </x:c>
      <x:c r="B1704" s="6" t="n">
        <x:v>0.2138</x:v>
      </x:c>
      <x:c r="C1704" s="6" t="n">
        <x:v>0.124</x:v>
      </x:c>
      <x:c r="D1704" s="6" t="n">
        <x:f>B1704</x:f>
        <x:v>0.2138</x:v>
      </x:c>
      <x:c r="E1704" s="1" t="n">
        <x:v>1.05</x:v>
      </x:c>
      <x:c r="F1704" s="1" t="str">
        <x:v>https://api.octopus.energy/v1/products/AGILE-24-10-01/electricity-tariffs/E-1R-AGILE-24-10-01-G/standard-unit-rates/</x:v>
      </x:c>
    </x:row>
    <x:row r="1705" ht="21" customHeight="1">
      <x:c r="A1705" s="24" t="n">
        <x:v>46184.020833333336</x:v>
      </x:c>
      <x:c r="B1705" s="6" t="n">
        <x:v>0.2108</x:v>
      </x:c>
      <x:c r="C1705" s="6" t="n">
        <x:v>0.1226</x:v>
      </x:c>
      <x:c r="D1705" s="6" t="n">
        <x:f>B1705</x:f>
        <x:v>0.2108</x:v>
      </x:c>
      <x:c r="E1705" s="1" t="n">
        <x:v>1.05</x:v>
      </x:c>
      <x:c r="F1705" s="1" t="str">
        <x:v>https://api.octopus.energy/v1/products/AGILE-24-10-01/electricity-tariffs/E-1R-AGILE-24-10-01-G/standard-unit-rates/</x:v>
      </x:c>
    </x:row>
    <x:row r="1706" ht="21" customHeight="1">
      <x:c r="A1706" s="24" t="n">
        <x:v>46184.041666666664</x:v>
      </x:c>
      <x:c r="B1706" s="6" t="n">
        <x:v>0.2076</x:v>
      </x:c>
      <x:c r="C1706" s="6" t="n">
        <x:v>0.12119999999999999</x:v>
      </x:c>
      <x:c r="D1706" s="6" t="n">
        <x:f>B1706</x:f>
        <x:v>0.2076</x:v>
      </x:c>
      <x:c r="E1706" s="1" t="n">
        <x:v>1.05</x:v>
      </x:c>
      <x:c r="F1706" s="1" t="str">
        <x:v>https://api.octopus.energy/v1/products/AGILE-24-10-01/electricity-tariffs/E-1R-AGILE-24-10-01-G/standard-unit-rates/</x:v>
      </x:c>
    </x:row>
    <x:row r="1707" ht="21" customHeight="1">
      <x:c r="A1707" s="24" t="n">
        <x:v>46184.0625</x:v>
      </x:c>
      <x:c r="B1707" s="6" t="n">
        <x:v>0.1968</x:v>
      </x:c>
      <x:c r="C1707" s="6" t="n">
        <x:v>0.1162</x:v>
      </x:c>
      <x:c r="D1707" s="6" t="n">
        <x:f>B1707</x:f>
        <x:v>0.1968</x:v>
      </x:c>
      <x:c r="E1707" s="1" t="n">
        <x:v>1.05</x:v>
      </x:c>
      <x:c r="F1707" s="1" t="str">
        <x:v>https://api.octopus.energy/v1/products/AGILE-24-10-01/electricity-tariffs/E-1R-AGILE-24-10-01-G/standard-unit-rates/</x:v>
      </x:c>
    </x:row>
    <x:row r="1708" ht="21" customHeight="1">
      <x:c r="A1708" s="24" t="n">
        <x:v>46184.083333333336</x:v>
      </x:c>
      <x:c r="B1708" s="6" t="n">
        <x:v>0.1955</x:v>
      </x:c>
      <x:c r="C1708" s="6" t="n">
        <x:v>0.11560000000000001</x:v>
      </x:c>
      <x:c r="D1708" s="6" t="n">
        <x:f>B1708</x:f>
        <x:v>0.1955</x:v>
      </x:c>
      <x:c r="E1708" s="1" t="n">
        <x:v>1.05</x:v>
      </x:c>
      <x:c r="F1708" s="1" t="str">
        <x:v>https://api.octopus.energy/v1/products/AGILE-24-10-01/electricity-tariffs/E-1R-AGILE-24-10-01-G/standard-unit-rates/</x:v>
      </x:c>
    </x:row>
    <x:row r="1709" ht="21" customHeight="1">
      <x:c r="A1709" s="24" t="n">
        <x:v>46184.104166666664</x:v>
      </x:c>
      <x:c r="B1709" s="6" t="n">
        <x:v>0.1865</x:v>
      </x:c>
      <x:c r="C1709" s="6" t="n">
        <x:v>0.1115</x:v>
      </x:c>
      <x:c r="D1709" s="6" t="n">
        <x:f>B1709</x:f>
        <x:v>0.1865</x:v>
      </x:c>
      <x:c r="E1709" s="1" t="n">
        <x:v>1.05</x:v>
      </x:c>
      <x:c r="F1709" s="1" t="str">
        <x:v>https://api.octopus.energy/v1/products/AGILE-24-10-01/electricity-tariffs/E-1R-AGILE-24-10-01-G/standard-unit-rates/</x:v>
      </x:c>
    </x:row>
    <x:row r="1710" ht="21" customHeight="1">
      <x:c r="A1710" s="24" t="n">
        <x:v>46184.125</x:v>
      </x:c>
      <x:c r="B1710" s="6" t="n">
        <x:v>0.18420000000000003</x:v>
      </x:c>
      <x:c r="C1710" s="6" t="n">
        <x:v>0.1105</x:v>
      </x:c>
      <x:c r="D1710" s="6" t="n">
        <x:f>B1710</x:f>
        <x:v>0.18420000000000003</x:v>
      </x:c>
      <x:c r="E1710" s="1" t="n">
        <x:v>1.05</x:v>
      </x:c>
      <x:c r="F1710" s="1" t="str">
        <x:v>https://api.octopus.energy/v1/products/AGILE-24-10-01/electricity-tariffs/E-1R-AGILE-24-10-01-G/standard-unit-rates/</x:v>
      </x:c>
    </x:row>
    <x:row r="1711" ht="21" customHeight="1">
      <x:c r="A1711" s="24" t="n">
        <x:v>46184.145833333336</x:v>
      </x:c>
      <x:c r="B1711" s="6" t="n">
        <x:v>0.1772</x:v>
      </x:c>
      <x:c r="C1711" s="6" t="n">
        <x:v>0.1073</x:v>
      </x:c>
      <x:c r="D1711" s="6" t="n">
        <x:f>B1711</x:f>
        <x:v>0.1772</x:v>
      </x:c>
      <x:c r="E1711" s="1" t="n">
        <x:v>1.05</x:v>
      </x:c>
      <x:c r="F1711" s="1" t="str">
        <x:v>https://api.octopus.energy/v1/products/AGILE-24-10-01/electricity-tariffs/E-1R-AGILE-24-10-01-G/standard-unit-rates/</x:v>
      </x:c>
    </x:row>
    <x:row r="1712" ht="21" customHeight="1">
      <x:c r="A1712" s="24" t="n">
        <x:v>46184.166666666664</x:v>
      </x:c>
      <x:c r="B1712" s="6" t="n">
        <x:v>0.184</x:v>
      </x:c>
      <x:c r="C1712" s="6" t="n">
        <x:v>0.1104</x:v>
      </x:c>
      <x:c r="D1712" s="6" t="n">
        <x:f>B1712</x:f>
        <x:v>0.184</x:v>
      </x:c>
      <x:c r="E1712" s="1" t="n">
        <x:v>1.05</x:v>
      </x:c>
      <x:c r="F1712" s="1" t="str">
        <x:v>https://api.octopus.energy/v1/products/AGILE-24-10-01/electricity-tariffs/E-1R-AGILE-24-10-01-G/standard-unit-rates/</x:v>
      </x:c>
    </x:row>
    <x:row r="1713" ht="21" customHeight="1">
      <x:c r="A1713" s="24" t="n">
        <x:v>46184.1875</x:v>
      </x:c>
      <x:c r="B1713" s="6" t="n">
        <x:v>0.18</x:v>
      </x:c>
      <x:c r="C1713" s="6" t="n">
        <x:v>0.1085</x:v>
      </x:c>
      <x:c r="D1713" s="6" t="n">
        <x:f>B1713</x:f>
        <x:v>0.18</x:v>
      </x:c>
      <x:c r="E1713" s="1" t="n">
        <x:v>1.05</x:v>
      </x:c>
      <x:c r="F1713" s="1" t="str">
        <x:v>https://api.octopus.energy/v1/products/AGILE-24-10-01/electricity-tariffs/E-1R-AGILE-24-10-01-G/standard-unit-rates/</x:v>
      </x:c>
    </x:row>
    <x:row r="1714" ht="21" customHeight="1">
      <x:c r="A1714" s="24" t="n">
        <x:v>46184.208333333336</x:v>
      </x:c>
      <x:c r="B1714" s="6" t="n">
        <x:v>0.198</x:v>
      </x:c>
      <x:c r="C1714" s="6" t="n">
        <x:v>0.1168</x:v>
      </x:c>
      <x:c r="D1714" s="6" t="n">
        <x:f>B1714</x:f>
        <x:v>0.198</x:v>
      </x:c>
      <x:c r="E1714" s="1" t="n">
        <x:v>1.05</x:v>
      </x:c>
      <x:c r="F1714" s="1" t="str">
        <x:v>https://api.octopus.energy/v1/products/AGILE-24-10-01/electricity-tariffs/E-1R-AGILE-24-10-01-G/standard-unit-rates/</x:v>
      </x:c>
    </x:row>
    <x:row r="1715" ht="21" customHeight="1">
      <x:c r="A1715" s="24" t="n">
        <x:v>46184.229166666664</x:v>
      </x:c>
      <x:c r="B1715" s="6" t="n">
        <x:v>0.1999</x:v>
      </x:c>
      <x:c r="C1715" s="6" t="n">
        <x:v>0.1177</x:v>
      </x:c>
      <x:c r="D1715" s="6" t="n">
        <x:f>B1715</x:f>
        <x:v>0.1999</x:v>
      </x:c>
      <x:c r="E1715" s="1" t="n">
        <x:v>1.05</x:v>
      </x:c>
      <x:c r="F1715" s="1" t="str">
        <x:v>https://api.octopus.energy/v1/products/AGILE-24-10-01/electricity-tariffs/E-1R-AGILE-24-10-01-G/standard-unit-rates/</x:v>
      </x:c>
    </x:row>
    <x:row r="1716" ht="21" customHeight="1">
      <x:c r="A1716" s="24" t="n">
        <x:v>46184.25</x:v>
      </x:c>
      <x:c r="B1716" s="6" t="n">
        <x:v>0.1953</x:v>
      </x:c>
      <x:c r="C1716" s="6" t="n">
        <x:v>0.1155</x:v>
      </x:c>
      <x:c r="D1716" s="6" t="n">
        <x:f>B1716</x:f>
        <x:v>0.1953</x:v>
      </x:c>
      <x:c r="E1716" s="1" t="n">
        <x:v>1.05</x:v>
      </x:c>
      <x:c r="F1716" s="1" t="str">
        <x:v>https://api.octopus.energy/v1/products/AGILE-24-10-01/electricity-tariffs/E-1R-AGILE-24-10-01-G/standard-unit-rates/</x:v>
      </x:c>
    </x:row>
    <x:row r="1717" ht="21" customHeight="1">
      <x:c r="A1717" s="24" t="n">
        <x:v>46184.270833333336</x:v>
      </x:c>
      <x:c r="B1717" s="6" t="n">
        <x:v>0.2144</x:v>
      </x:c>
      <x:c r="C1717" s="6" t="n">
        <x:v>0.1243</x:v>
      </x:c>
      <x:c r="D1717" s="6" t="n">
        <x:f>B1717</x:f>
        <x:v>0.2144</x:v>
      </x:c>
      <x:c r="E1717" s="1" t="n">
        <x:v>1.05</x:v>
      </x:c>
      <x:c r="F1717" s="1" t="str">
        <x:v>https://api.octopus.energy/v1/products/AGILE-24-10-01/electricity-tariffs/E-1R-AGILE-24-10-01-G/standard-unit-rates/</x:v>
      </x:c>
    </x:row>
    <x:row r="1718" ht="21" customHeight="1">
      <x:c r="A1718" s="24" t="n">
        <x:v>46184.291666666664</x:v>
      </x:c>
      <x:c r="B1718" s="6" t="n">
        <x:v>0.19870000000000002</x:v>
      </x:c>
      <x:c r="C1718" s="6" t="n">
        <x:v>0.11710000000000001</x:v>
      </x:c>
      <x:c r="D1718" s="6" t="n">
        <x:f>B1718</x:f>
        <x:v>0.19870000000000002</x:v>
      </x:c>
      <x:c r="E1718" s="1" t="n">
        <x:v>1.05</x:v>
      </x:c>
      <x:c r="F1718" s="1" t="str">
        <x:v>https://api.octopus.energy/v1/products/AGILE-24-10-01/electricity-tariffs/E-1R-AGILE-24-10-01-G/standard-unit-rates/</x:v>
      </x:c>
    </x:row>
    <x:row r="1719" ht="21" customHeight="1">
      <x:c r="A1719" s="24" t="n">
        <x:v>46184.3125</x:v>
      </x:c>
      <x:c r="B1719" s="6" t="n">
        <x:v>0.22089999999999999</x:v>
      </x:c>
      <x:c r="C1719" s="6" t="n">
        <x:v>0.1273</x:v>
      </x:c>
      <x:c r="D1719" s="6" t="n">
        <x:f>B1719</x:f>
        <x:v>0.22089999999999999</x:v>
      </x:c>
      <x:c r="E1719" s="1" t="n">
        <x:v>1.05</x:v>
      </x:c>
      <x:c r="F1719" s="1" t="str">
        <x:v>https://api.octopus.energy/v1/products/AGILE-24-10-01/electricity-tariffs/E-1R-AGILE-24-10-01-G/standard-unit-rates/</x:v>
      </x:c>
    </x:row>
    <x:row r="1720" ht="21" customHeight="1">
      <x:c r="A1720" s="24" t="n">
        <x:v>46184.333333333336</x:v>
      </x:c>
      <x:c r="B1720" s="6" t="n">
        <x:v>0.20600000000000002</x:v>
      </x:c>
      <x:c r="C1720" s="6" t="n">
        <x:v>0.1204</x:v>
      </x:c>
      <x:c r="D1720" s="6" t="n">
        <x:f>B1720</x:f>
        <x:v>0.20600000000000002</x:v>
      </x:c>
      <x:c r="E1720" s="1" t="n">
        <x:v>1.05</x:v>
      </x:c>
      <x:c r="F1720" s="1" t="str">
        <x:v>https://api.octopus.energy/v1/products/AGILE-24-10-01/electricity-tariffs/E-1R-AGILE-24-10-01-G/standard-unit-rates/</x:v>
      </x:c>
    </x:row>
    <x:row r="1721" ht="21" customHeight="1">
      <x:c r="A1721" s="24" t="n">
        <x:v>46184.354166666664</x:v>
      </x:c>
      <x:c r="B1721" s="6" t="n">
        <x:v>0.20079999999999998</x:v>
      </x:c>
      <x:c r="C1721" s="6" t="n">
        <x:v>0.11800000000000001</x:v>
      </x:c>
      <x:c r="D1721" s="6" t="n">
        <x:f>B1721</x:f>
        <x:v>0.20079999999999998</x:v>
      </x:c>
      <x:c r="E1721" s="1" t="n">
        <x:v>1.05</x:v>
      </x:c>
      <x:c r="F1721" s="1" t="str">
        <x:v>https://api.octopus.energy/v1/products/AGILE-24-10-01/electricity-tariffs/E-1R-AGILE-24-10-01-G/standard-unit-rates/</x:v>
      </x:c>
    </x:row>
    <x:row r="1722" ht="21" customHeight="1">
      <x:c r="A1722" s="24" t="n">
        <x:v>46184.375</x:v>
      </x:c>
      <x:c r="B1722" s="6" t="n">
        <x:v>0.20600000000000002</x:v>
      </x:c>
      <x:c r="C1722" s="6" t="n">
        <x:v>0.1204</x:v>
      </x:c>
      <x:c r="D1722" s="6" t="n">
        <x:f>B1722</x:f>
        <x:v>0.20600000000000002</x:v>
      </x:c>
      <x:c r="E1722" s="1" t="n">
        <x:v>1.05</x:v>
      </x:c>
      <x:c r="F1722" s="1" t="str">
        <x:v>https://api.octopus.energy/v1/products/AGILE-24-10-01/electricity-tariffs/E-1R-AGILE-24-10-01-G/standard-unit-rates/</x:v>
      </x:c>
    </x:row>
    <x:row r="1723" ht="21" customHeight="1">
      <x:c r="A1723" s="24" t="n">
        <x:v>46184.395833333336</x:v>
      </x:c>
      <x:c r="B1723" s="6" t="n">
        <x:v>0.1945</x:v>
      </x:c>
      <x:c r="C1723" s="6" t="n">
        <x:v>0.1152</x:v>
      </x:c>
      <x:c r="D1723" s="6" t="n">
        <x:f>B1723</x:f>
        <x:v>0.1945</x:v>
      </x:c>
      <x:c r="E1723" s="1" t="n">
        <x:v>1.05</x:v>
      </x:c>
      <x:c r="F1723" s="1" t="str">
        <x:v>https://api.octopus.energy/v1/products/AGILE-24-10-01/electricity-tariffs/E-1R-AGILE-24-10-01-G/standard-unit-rates/</x:v>
      </x:c>
    </x:row>
    <x:row r="1724" ht="21" customHeight="1">
      <x:c r="A1724" s="24" t="n">
        <x:v>46184.416666666664</x:v>
      </x:c>
      <x:c r="B1724" s="6" t="n">
        <x:v>0.1942</x:v>
      </x:c>
      <x:c r="C1724" s="6" t="n">
        <x:v>0.1151</x:v>
      </x:c>
      <x:c r="D1724" s="6" t="n">
        <x:f>B1724</x:f>
        <x:v>0.1942</x:v>
      </x:c>
      <x:c r="E1724" s="1" t="n">
        <x:v>1.05</x:v>
      </x:c>
      <x:c r="F1724" s="1" t="str">
        <x:v>https://api.octopus.energy/v1/products/AGILE-24-10-01/electricity-tariffs/E-1R-AGILE-24-10-01-G/standard-unit-rates/</x:v>
      </x:c>
    </x:row>
    <x:row r="1725" ht="21" customHeight="1">
      <x:c r="A1725" s="24" t="n">
        <x:v>46184.4375</x:v>
      </x:c>
      <x:c r="B1725" s="6" t="n">
        <x:v>0.1838</x:v>
      </x:c>
      <x:c r="C1725" s="6" t="n">
        <x:v>0.1103</x:v>
      </x:c>
      <x:c r="D1725" s="6" t="n">
        <x:f>B1725</x:f>
        <x:v>0.1838</x:v>
      </x:c>
      <x:c r="E1725" s="1" t="n">
        <x:v>1.05</x:v>
      </x:c>
      <x:c r="F1725" s="1" t="str">
        <x:v>https://api.octopus.energy/v1/products/AGILE-24-10-01/electricity-tariffs/E-1R-AGILE-24-10-01-G/standard-unit-rates/</x:v>
      </x:c>
    </x:row>
    <x:row r="1726" ht="21" customHeight="1">
      <x:c r="A1726" s="24" t="n">
        <x:v>46184.458333333336</x:v>
      </x:c>
      <x:c r="B1726" s="6" t="n">
        <x:v>0.1766</x:v>
      </x:c>
      <x:c r="C1726" s="6" t="n">
        <x:v>0.107</x:v>
      </x:c>
      <x:c r="D1726" s="6" t="n">
        <x:f>B1726</x:f>
        <x:v>0.1766</x:v>
      </x:c>
      <x:c r="E1726" s="1" t="n">
        <x:v>1.05</x:v>
      </x:c>
      <x:c r="F1726" s="1" t="str">
        <x:v>https://api.octopus.energy/v1/products/AGILE-24-10-01/electricity-tariffs/E-1R-AGILE-24-10-01-G/standard-unit-rates/</x:v>
      </x:c>
    </x:row>
    <x:row r="1727" ht="21" customHeight="1">
      <x:c r="A1727" s="24" t="n">
        <x:v>46184.479166666664</x:v>
      </x:c>
      <x:c r="B1727" s="6" t="n">
        <x:v>0.1787</x:v>
      </x:c>
      <x:c r="C1727" s="6" t="n">
        <x:v>0.10800000000000001</x:v>
      </x:c>
      <x:c r="D1727" s="6" t="n">
        <x:f>B1727</x:f>
        <x:v>0.1787</x:v>
      </x:c>
      <x:c r="E1727" s="1" t="n">
        <x:v>1.05</x:v>
      </x:c>
      <x:c r="F1727" s="1" t="str">
        <x:v>https://api.octopus.energy/v1/products/AGILE-24-10-01/electricity-tariffs/E-1R-AGILE-24-10-01-G/standard-unit-rates/</x:v>
      </x:c>
    </x:row>
    <x:row r="1728" ht="21" customHeight="1">
      <x:c r="A1728" s="24" t="n">
        <x:v>46184.5</x:v>
      </x:c>
      <x:c r="B1728" s="6" t="n">
        <x:v>0.185</x:v>
      </x:c>
      <x:c r="C1728" s="6" t="n">
        <x:v>0.1108</x:v>
      </x:c>
      <x:c r="D1728" s="6" t="n">
        <x:f>B1728</x:f>
        <x:v>0.185</x:v>
      </x:c>
      <x:c r="E1728" s="1" t="n">
        <x:v>1.05</x:v>
      </x:c>
      <x:c r="F1728" s="1" t="str">
        <x:v>https://api.octopus.energy/v1/products/AGILE-24-10-01/electricity-tariffs/E-1R-AGILE-24-10-01-G/standard-unit-rates/</x:v>
      </x:c>
    </x:row>
    <x:row r="1729" ht="21" customHeight="1">
      <x:c r="A1729" s="24" t="n">
        <x:v>46184.520833333336</x:v>
      </x:c>
      <x:c r="B1729" s="6" t="n">
        <x:v>0.1936</x:v>
      </x:c>
      <x:c r="C1729" s="6" t="n">
        <x:v>0.1148</x:v>
      </x:c>
      <x:c r="D1729" s="6" t="n">
        <x:f>B1729</x:f>
        <x:v>0.1936</x:v>
      </x:c>
      <x:c r="E1729" s="1" t="n">
        <x:v>1.05</x:v>
      </x:c>
      <x:c r="F1729" s="1" t="str">
        <x:v>https://api.octopus.energy/v1/products/AGILE-24-10-01/electricity-tariffs/E-1R-AGILE-24-10-01-G/standard-unit-rates/</x:v>
      </x:c>
    </x:row>
    <x:row r="1730" ht="21" customHeight="1">
      <x:c r="A1730" s="24" t="n">
        <x:v>46184.541666666664</x:v>
      </x:c>
      <x:c r="B1730" s="6" t="n">
        <x:v>0.1886</x:v>
      </x:c>
      <x:c r="C1730" s="6" t="n">
        <x:v>0.1125</x:v>
      </x:c>
      <x:c r="D1730" s="6" t="n">
        <x:f>B1730</x:f>
        <x:v>0.1886</x:v>
      </x:c>
      <x:c r="E1730" s="1" t="n">
        <x:v>1.05</x:v>
      </x:c>
      <x:c r="F1730" s="1" t="str">
        <x:v>https://api.octopus.energy/v1/products/AGILE-24-10-01/electricity-tariffs/E-1R-AGILE-24-10-01-G/standard-unit-rates/</x:v>
      </x:c>
    </x:row>
    <x:row r="1731" ht="21" customHeight="1">
      <x:c r="A1731" s="24" t="n">
        <x:v>46184.5625</x:v>
      </x:c>
      <x:c r="B1731" s="6" t="n">
        <x:v>0.1759</x:v>
      </x:c>
      <x:c r="C1731" s="6" t="n">
        <x:v>0.1067</x:v>
      </x:c>
      <x:c r="D1731" s="6" t="n">
        <x:f>B1731</x:f>
        <x:v>0.1759</x:v>
      </x:c>
      <x:c r="E1731" s="1" t="n">
        <x:v>1.05</x:v>
      </x:c>
      <x:c r="F1731" s="1" t="str">
        <x:v>https://api.octopus.energy/v1/products/AGILE-24-10-01/electricity-tariffs/E-1R-AGILE-24-10-01-G/standard-unit-rates/</x:v>
      </x:c>
    </x:row>
    <x:row r="1732" ht="21" customHeight="1">
      <x:c r="A1732" s="24" t="n">
        <x:v>46184.583333333336</x:v>
      </x:c>
      <x:c r="B1732" s="6" t="n">
        <x:v>0.16149999999999998</x:v>
      </x:c>
      <x:c r="C1732" s="6" t="n">
        <x:v>0.1001</x:v>
      </x:c>
      <x:c r="D1732" s="6" t="n">
        <x:f>B1732</x:f>
        <x:v>0.16149999999999998</x:v>
      </x:c>
      <x:c r="E1732" s="1" t="n">
        <x:v>1.05</x:v>
      </x:c>
      <x:c r="F1732" s="1" t="str">
        <x:v>https://api.octopus.energy/v1/products/AGILE-24-10-01/electricity-tariffs/E-1R-AGILE-24-10-01-G/standard-unit-rates/</x:v>
      </x:c>
    </x:row>
    <x:row r="1733" ht="21" customHeight="1">
      <x:c r="A1733" s="24" t="n">
        <x:v>46184.604166666664</x:v>
      </x:c>
      <x:c r="B1733" s="6" t="n">
        <x:v>0.1631</x:v>
      </x:c>
      <x:c r="C1733" s="6" t="n">
        <x:v>0.1008</x:v>
      </x:c>
      <x:c r="D1733" s="6" t="n">
        <x:f>B1733</x:f>
        <x:v>0.1631</x:v>
      </x:c>
      <x:c r="E1733" s="1" t="n">
        <x:v>1.05</x:v>
      </x:c>
      <x:c r="F1733" s="1" t="str">
        <x:v>https://api.octopus.energy/v1/products/AGILE-24-10-01/electricity-tariffs/E-1R-AGILE-24-10-01-G/standard-unit-rates/</x:v>
      </x:c>
    </x:row>
    <x:row r="1734" ht="21" customHeight="1">
      <x:c r="A1734" s="24" t="n">
        <x:v>46184.625</x:v>
      </x:c>
      <x:c r="B1734" s="6" t="n">
        <x:v>0.1493</x:v>
      </x:c>
      <x:c r="C1734" s="6" t="n">
        <x:v>0.09449999999999999</x:v>
      </x:c>
      <x:c r="D1734" s="6" t="n">
        <x:f>B1734</x:f>
        <x:v>0.1493</x:v>
      </x:c>
      <x:c r="E1734" s="1" t="n">
        <x:v>1.05</x:v>
      </x:c>
      <x:c r="F1734" s="1" t="str">
        <x:v>https://api.octopus.energy/v1/products/AGILE-24-10-01/electricity-tariffs/E-1R-AGILE-24-10-01-G/standard-unit-rates/</x:v>
      </x:c>
    </x:row>
    <x:row r="1735" ht="21" customHeight="1">
      <x:c r="A1735" s="24" t="n">
        <x:v>46184.645833333336</x:v>
      </x:c>
      <x:c r="B1735" s="6" t="n">
        <x:v>0.15289999999999998</x:v>
      </x:c>
      <x:c r="C1735" s="6" t="n">
        <x:v>0.0962</x:v>
      </x:c>
      <x:c r="D1735" s="6" t="n">
        <x:f>B1735</x:f>
        <x:v>0.15289999999999998</x:v>
      </x:c>
      <x:c r="E1735" s="1" t="n">
        <x:v>1.05</x:v>
      </x:c>
      <x:c r="F1735" s="1" t="str">
        <x:v>https://api.octopus.energy/v1/products/AGILE-24-10-01/electricity-tariffs/E-1R-AGILE-24-10-01-G/standard-unit-rates/</x:v>
      </x:c>
    </x:row>
    <x:row r="1736" ht="21" customHeight="1">
      <x:c r="A1736" s="24" t="n">
        <x:v>46184.666666666664</x:v>
      </x:c>
      <x:c r="B1736" s="6" t="n">
        <x:v>0.28300000000000003</x:v>
      </x:c>
      <x:c r="C1736" s="6" t="n">
        <x:v>0.1597</x:v>
      </x:c>
      <x:c r="D1736" s="6" t="n">
        <x:f>B1736</x:f>
        <x:v>0.28300000000000003</x:v>
      </x:c>
      <x:c r="E1736" s="1" t="n">
        <x:v>1.05</x:v>
      </x:c>
      <x:c r="F1736" s="1" t="str">
        <x:v>https://api.octopus.energy/v1/products/AGILE-24-10-01/electricity-tariffs/E-1R-AGILE-24-10-01-G/standard-unit-rates/</x:v>
      </x:c>
    </x:row>
    <x:row r="1737" ht="21" customHeight="1">
      <x:c r="A1737" s="24" t="n">
        <x:v>46184.6875</x:v>
      </x:c>
      <x:c r="B1737" s="6" t="n">
        <x:v>0.2924</x:v>
      </x:c>
      <x:c r="C1737" s="6" t="n">
        <x:v>0.16399999999999998</x:v>
      </x:c>
      <x:c r="D1737" s="6" t="n">
        <x:f>B1737</x:f>
        <x:v>0.2924</x:v>
      </x:c>
      <x:c r="E1737" s="1" t="n">
        <x:v>1.05</x:v>
      </x:c>
      <x:c r="F1737" s="1" t="str">
        <x:v>https://api.octopus.energy/v1/products/AGILE-24-10-01/electricity-tariffs/E-1R-AGILE-24-10-01-G/standard-unit-rates/</x:v>
      </x:c>
    </x:row>
    <x:row r="1738" ht="21" customHeight="1">
      <x:c r="A1738" s="24" t="n">
        <x:v>46184.708333333336</x:v>
      </x:c>
      <x:c r="B1738" s="6" t="n">
        <x:v>0.3104</x:v>
      </x:c>
      <x:c r="C1738" s="6" t="n">
        <x:v>0.1722</x:v>
      </x:c>
      <x:c r="D1738" s="6" t="n">
        <x:f>B1738</x:f>
        <x:v>0.3104</x:v>
      </x:c>
      <x:c r="E1738" s="1" t="n">
        <x:v>1.05</x:v>
      </x:c>
      <x:c r="F1738" s="1" t="str">
        <x:v>https://api.octopus.energy/v1/products/AGILE-24-10-01/electricity-tariffs/E-1R-AGILE-24-10-01-G/standard-unit-rates/</x:v>
      </x:c>
    </x:row>
    <x:row r="1739" ht="21" customHeight="1">
      <x:c r="A1739" s="24" t="n">
        <x:v>46184.729166666664</x:v>
      </x:c>
      <x:c r="B1739" s="6" t="n">
        <x:v>0.3169</x:v>
      </x:c>
      <x:c r="C1739" s="6" t="n">
        <x:v>0.1752</x:v>
      </x:c>
      <x:c r="D1739" s="6" t="n">
        <x:f>B1739</x:f>
        <x:v>0.3169</x:v>
      </x:c>
      <x:c r="E1739" s="1" t="n">
        <x:v>1.05</x:v>
      </x:c>
      <x:c r="F1739" s="1" t="str">
        <x:v>https://api.octopus.energy/v1/products/AGILE-24-10-01/electricity-tariffs/E-1R-AGILE-24-10-01-G/standard-unit-rates/</x:v>
      </x:c>
    </x:row>
    <x:row r="1740" ht="21" customHeight="1">
      <x:c r="A1740" s="24" t="n">
        <x:v>46184.75</x:v>
      </x:c>
      <x:c r="B1740" s="6" t="n">
        <x:v>0.34909999999999997</x:v>
      </x:c>
      <x:c r="C1740" s="6" t="n">
        <x:v>0.18989999999999999</x:v>
      </x:c>
      <x:c r="D1740" s="6" t="n">
        <x:f>B1740</x:f>
        <x:v>0.34909999999999997</x:v>
      </x:c>
      <x:c r="E1740" s="1" t="n">
        <x:v>1.05</x:v>
      </x:c>
      <x:c r="F1740" s="1" t="str">
        <x:v>https://api.octopus.energy/v1/products/AGILE-24-10-01/electricity-tariffs/E-1R-AGILE-24-10-01-G/standard-unit-rates/</x:v>
      </x:c>
    </x:row>
    <x:row r="1741" ht="21" customHeight="1">
      <x:c r="A1741" s="24" t="n">
        <x:v>46184.770833333336</x:v>
      </x:c>
      <x:c r="B1741" s="6" t="n">
        <x:v>0.345</x:v>
      </x:c>
      <x:c r="C1741" s="6" t="n">
        <x:v>0.188</x:v>
      </x:c>
      <x:c r="D1741" s="6" t="n">
        <x:f>B1741</x:f>
        <x:v>0.345</x:v>
      </x:c>
      <x:c r="E1741" s="1" t="n">
        <x:v>1.05</x:v>
      </x:c>
      <x:c r="F1741" s="1" t="str">
        <x:v>https://api.octopus.energy/v1/products/AGILE-24-10-01/electricity-tariffs/E-1R-AGILE-24-10-01-G/standard-unit-rates/</x:v>
      </x:c>
    </x:row>
    <x:row r="1742" ht="21" customHeight="1">
      <x:c r="A1742" s="24" t="n">
        <x:v>46184.791666666664</x:v>
      </x:c>
      <x:c r="B1742" s="6" t="n">
        <x:v>0.2274</x:v>
      </x:c>
      <x:c r="C1742" s="6" t="n">
        <x:v>0.13019999999999998</x:v>
      </x:c>
      <x:c r="D1742" s="6" t="n">
        <x:f>B1742</x:f>
        <x:v>0.2274</x:v>
      </x:c>
      <x:c r="E1742" s="1" t="n">
        <x:v>1.05</x:v>
      </x:c>
      <x:c r="F1742" s="1" t="str">
        <x:v>https://api.octopus.energy/v1/products/AGILE-24-10-01/electricity-tariffs/E-1R-AGILE-24-10-01-G/standard-unit-rates/</x:v>
      </x:c>
    </x:row>
    <x:row r="1743" ht="21" customHeight="1">
      <x:c r="A1743" s="24" t="n">
        <x:v>46184.8125</x:v>
      </x:c>
      <x:c r="B1743" s="6" t="n">
        <x:v>0.2266</x:v>
      </x:c>
      <x:c r="C1743" s="6" t="n">
        <x:v>0.1298</x:v>
      </x:c>
      <x:c r="D1743" s="6" t="n">
        <x:f>B1743</x:f>
        <x:v>0.2266</x:v>
      </x:c>
      <x:c r="E1743" s="1" t="n">
        <x:v>1.05</x:v>
      </x:c>
      <x:c r="F1743" s="1" t="str">
        <x:v>https://api.octopus.energy/v1/products/AGILE-24-10-01/electricity-tariffs/E-1R-AGILE-24-10-01-G/standard-unit-rates/</x:v>
      </x:c>
    </x:row>
    <x:row r="1744" ht="21" customHeight="1">
      <x:c r="A1744" s="24" t="n">
        <x:v>46184.833333333336</x:v>
      </x:c>
      <x:c r="B1744" s="6" t="n">
        <x:v>0.2225</x:v>
      </x:c>
      <x:c r="C1744" s="6" t="n">
        <x:v>0.128</x:v>
      </x:c>
      <x:c r="D1744" s="6" t="n">
        <x:f>B1744</x:f>
        <x:v>0.2225</x:v>
      </x:c>
      <x:c r="E1744" s="1" t="n">
        <x:v>1.05</x:v>
      </x:c>
      <x:c r="F1744" s="1" t="str">
        <x:v>https://api.octopus.energy/v1/products/AGILE-24-10-01/electricity-tariffs/E-1R-AGILE-24-10-01-G/standard-unit-rates/</x:v>
      </x:c>
    </x:row>
    <x:row r="1745" ht="21" customHeight="1">
      <x:c r="A1745" s="24" t="n">
        <x:v>46184.854166666664</x:v>
      </x:c>
      <x:c r="B1745" s="6" t="n">
        <x:v>0.2225</x:v>
      </x:c>
      <x:c r="C1745" s="6" t="n">
        <x:v>0.128</x:v>
      </x:c>
      <x:c r="D1745" s="6" t="n">
        <x:f>B1745</x:f>
        <x:v>0.2225</x:v>
      </x:c>
      <x:c r="E1745" s="1" t="n">
        <x:v>1.05</x:v>
      </x:c>
      <x:c r="F1745" s="1" t="str">
        <x:v>https://api.octopus.energy/v1/products/AGILE-24-10-01/electricity-tariffs/E-1R-AGILE-24-10-01-G/standard-unit-rates/</x:v>
      </x:c>
    </x:row>
    <x:row r="1746" ht="21" customHeight="1">
      <x:c r="A1746" s="24" t="n">
        <x:v>46184.875</x:v>
      </x:c>
      <x:c r="B1746" s="6" t="n">
        <x:v>0.21420000000000003</x:v>
      </x:c>
      <x:c r="C1746" s="6" t="n">
        <x:v>0.1242</x:v>
      </x:c>
      <x:c r="D1746" s="6" t="n">
        <x:f>B1746</x:f>
        <x:v>0.21420000000000003</x:v>
      </x:c>
      <x:c r="E1746" s="1" t="n">
        <x:v>1.05</x:v>
      </x:c>
      <x:c r="F1746" s="1" t="str">
        <x:v>https://api.octopus.energy/v1/products/AGILE-24-10-01/electricity-tariffs/E-1R-AGILE-24-10-01-G/standard-unit-rates/</x:v>
      </x:c>
    </x:row>
    <x:row r="1747" ht="21" customHeight="1">
      <x:c r="A1747" s="24" t="n">
        <x:v>46184.895833333336</x:v>
      </x:c>
      <x:c r="B1747" s="6" t="n">
        <x:v>0.1913</x:v>
      </x:c>
      <x:c r="C1747" s="6" t="n">
        <x:v>0.1137</x:v>
      </x:c>
      <x:c r="D1747" s="6" t="n">
        <x:f>B1747</x:f>
        <x:v>0.1913</x:v>
      </x:c>
      <x:c r="E1747" s="1" t="n">
        <x:v>1.05</x:v>
      </x:c>
      <x:c r="F1747" s="1" t="str">
        <x:v>https://api.octopus.energy/v1/products/AGILE-24-10-01/electricity-tariffs/E-1R-AGILE-24-10-01-G/standard-unit-rates/</x:v>
      </x:c>
    </x:row>
    <x:row r="1748" ht="21" customHeight="1">
      <x:c r="A1748" s="24" t="n">
        <x:v>46184.916666666664</x:v>
      </x:c>
      <x:c r="B1748" s="6" t="n">
        <x:v>0.1661</x:v>
      </x:c>
      <x:c r="C1748" s="6" t="n">
        <x:v>0.10220000000000001</x:v>
      </x:c>
      <x:c r="D1748" s="6" t="n">
        <x:f>B1748</x:f>
        <x:v>0.1661</x:v>
      </x:c>
      <x:c r="E1748" s="1" t="n">
        <x:v>1.05</x:v>
      </x:c>
      <x:c r="F1748" s="1" t="str">
        <x:v>https://api.octopus.energy/v1/products/AGILE-24-10-01/electricity-tariffs/E-1R-AGILE-24-10-01-G/standard-unit-rates/</x:v>
      </x:c>
    </x:row>
    <x:row r="1749" ht="21" customHeight="1">
      <x:c r="A1749" s="24" t="n">
        <x:v>46184.9375</x:v>
      </x:c>
      <x:c r="B1749" s="6" t="n">
        <x:v>0.1463</x:v>
      </x:c>
      <x:c r="C1749" s="6" t="n">
        <x:v>0.0931</x:v>
      </x:c>
      <x:c r="D1749" s="6" t="n">
        <x:f>B1749</x:f>
        <x:v>0.1463</x:v>
      </x:c>
      <x:c r="E1749" s="1" t="n">
        <x:v>1.05</x:v>
      </x:c>
      <x:c r="F1749" s="1" t="str">
        <x:v>https://api.octopus.energy/v1/products/AGILE-24-10-01/electricity-tariffs/E-1R-AGILE-24-10-01-G/standard-unit-rates/</x:v>
      </x:c>
    </x:row>
    <x:row r="1750" ht="21" customHeight="1">
      <x:c r="A1750" s="24" t="n">
        <x:v>46185</x:v>
      </x:c>
      <x:c r="B1750" s="6" t="n">
        <x:v>0.2144</x:v>
      </x:c>
      <x:c r="C1750" s="6" t="n">
        <x:v>0.1243</x:v>
      </x:c>
      <x:c r="D1750" s="6" t="n">
        <x:f>B1750</x:f>
        <x:v>0.2144</x:v>
      </x:c>
      <x:c r="E1750" s="1" t="n">
        <x:v>1.05</x:v>
      </x:c>
      <x:c r="F1750" s="1" t="str">
        <x:v>https://api.octopus.energy/v1/products/AGILE-24-10-01/electricity-tariffs/E-1R-AGILE-24-10-01-G/standard-unit-rates/</x:v>
      </x:c>
    </x:row>
    <x:row r="1751" ht="21" customHeight="1">
      <x:c r="A1751" s="24" t="n">
        <x:v>46184.979166666664</x:v>
      </x:c>
      <x:c r="B1751" s="6" t="n">
        <x:v>0.20079999999999998</x:v>
      </x:c>
      <x:c r="C1751" s="6" t="n">
        <x:v>0.11810000000000001</x:v>
      </x:c>
      <x:c r="D1751" s="6" t="n">
        <x:f>B1751</x:f>
        <x:v>0.20079999999999998</x:v>
      </x:c>
      <x:c r="E1751" s="1" t="n">
        <x:v>1.05</x:v>
      </x:c>
      <x:c r="F1751" s="1" t="str">
        <x:v>https://api.octopus.energy/v1/products/AGILE-24-10-01/electricity-tariffs/E-1R-AGILE-24-10-01-G/standard-unit-rates/</x:v>
      </x:c>
    </x:row>
    <x:row r="1752" ht="21" customHeight="1">
      <x:c r="A1752" s="24" t="n">
        <x:v>46185</x:v>
      </x:c>
      <x:c r="B1752" s="6" t="n">
        <x:v>0.1766</x:v>
      </x:c>
      <x:c r="C1752" s="6" t="n">
        <x:v>0.107</x:v>
      </x:c>
      <x:c r="D1752" s="6" t="n">
        <x:f>B1752</x:f>
        <x:v>0.1766</x:v>
      </x:c>
      <x:c r="E1752" s="1" t="n">
        <x:v>1.05</x:v>
      </x:c>
      <x:c r="F1752" s="1" t="str">
        <x:v>https://api.octopus.energy/v1/products/AGILE-24-10-01/electricity-tariffs/E-1R-AGILE-24-10-01-G/standard-unit-rates/</x:v>
      </x:c>
    </x:row>
    <x:row r="1753" ht="21" customHeight="1">
      <x:c r="A1753" s="24" t="n">
        <x:v>46185.020833333336</x:v>
      </x:c>
      <x:c r="B1753" s="6" t="n">
        <x:v>0.1582</x:v>
      </x:c>
      <x:c r="C1753" s="6" t="n">
        <x:v>0.0986</x:v>
      </x:c>
      <x:c r="D1753" s="6" t="n">
        <x:f>B1753</x:f>
        <x:v>0.1582</x:v>
      </x:c>
      <x:c r="E1753" s="1" t="n">
        <x:v>1.05</x:v>
      </x:c>
      <x:c r="F1753" s="1" t="str">
        <x:v>https://api.octopus.energy/v1/products/AGILE-24-10-01/electricity-tariffs/E-1R-AGILE-24-10-01-G/standard-unit-rates/</x:v>
      </x:c>
    </x:row>
    <x:row r="1754" ht="21" customHeight="1">
      <x:c r="A1754" s="24" t="n">
        <x:v>46185.041666666664</x:v>
      </x:c>
      <x:c r="B1754" s="6" t="n">
        <x:v>0.1367</x:v>
      </x:c>
      <x:c r="C1754" s="6" t="n">
        <x:v>0.0888</x:v>
      </x:c>
      <x:c r="D1754" s="6" t="n">
        <x:f>B1754</x:f>
        <x:v>0.1367</x:v>
      </x:c>
      <x:c r="E1754" s="1" t="n">
        <x:v>1.05</x:v>
      </x:c>
      <x:c r="F1754" s="1" t="str">
        <x:v>https://api.octopus.energy/v1/products/AGILE-24-10-01/electricity-tariffs/E-1R-AGILE-24-10-01-G/standard-unit-rates/</x:v>
      </x:c>
    </x:row>
    <x:row r="1755" ht="21" customHeight="1">
      <x:c r="A1755" s="24" t="n">
        <x:v>46185.0625</x:v>
      </x:c>
      <x:c r="B1755" s="6" t="n">
        <x:v>0.1445</x:v>
      </x:c>
      <x:c r="C1755" s="6" t="n">
        <x:v>0.09230000000000001</x:v>
      </x:c>
      <x:c r="D1755" s="6" t="n">
        <x:f>B1755</x:f>
        <x:v>0.1445</x:v>
      </x:c>
      <x:c r="E1755" s="1" t="n">
        <x:v>1.05</x:v>
      </x:c>
      <x:c r="F1755" s="1" t="str">
        <x:v>https://api.octopus.energy/v1/products/AGILE-24-10-01/electricity-tariffs/E-1R-AGILE-24-10-01-G/standard-unit-rates/</x:v>
      </x:c>
    </x:row>
    <x:row r="1756" ht="21" customHeight="1">
      <x:c r="A1756" s="24" t="n">
        <x:v>46185.083333333336</x:v>
      </x:c>
      <x:c r="B1756" s="6" t="n">
        <x:v>0.1421</x:v>
      </x:c>
      <x:c r="C1756" s="6" t="n">
        <x:v>0.09119999999999999</x:v>
      </x:c>
      <x:c r="D1756" s="6" t="n">
        <x:f>B1756</x:f>
        <x:v>0.1421</x:v>
      </x:c>
      <x:c r="E1756" s="1" t="n">
        <x:v>1.05</x:v>
      </x:c>
      <x:c r="F1756" s="1" t="str">
        <x:v>https://api.octopus.energy/v1/products/AGILE-24-10-01/electricity-tariffs/E-1R-AGILE-24-10-01-G/standard-unit-rates/</x:v>
      </x:c>
    </x:row>
    <x:row r="1757" ht="21" customHeight="1">
      <x:c r="A1757" s="24" t="n">
        <x:v>46185.104166666664</x:v>
      </x:c>
      <x:c r="B1757" s="6" t="n">
        <x:v>0.1388</x:v>
      </x:c>
      <x:c r="C1757" s="6" t="n">
        <x:v>0.0897</x:v>
      </x:c>
      <x:c r="D1757" s="6" t="n">
        <x:f>B1757</x:f>
        <x:v>0.1388</x:v>
      </x:c>
      <x:c r="E1757" s="1" t="n">
        <x:v>1.05</x:v>
      </x:c>
      <x:c r="F1757" s="1" t="str">
        <x:v>https://api.octopus.energy/v1/products/AGILE-24-10-01/electricity-tariffs/E-1R-AGILE-24-10-01-G/standard-unit-rates/</x:v>
      </x:c>
    </x:row>
    <x:row r="1758" ht="21" customHeight="1">
      <x:c r="A1758" s="24" t="n">
        <x:v>46185.125</x:v>
      </x:c>
      <x:c r="B1758" s="6" t="n">
        <x:v>0.1351</x:v>
      </x:c>
      <x:c r="C1758" s="6" t="n">
        <x:v>0.08800000000000001</x:v>
      </x:c>
      <x:c r="D1758" s="6" t="n">
        <x:f>B1758</x:f>
        <x:v>0.1351</x:v>
      </x:c>
      <x:c r="E1758" s="1" t="n">
        <x:v>1.05</x:v>
      </x:c>
      <x:c r="F1758" s="1" t="str">
        <x:v>https://api.octopus.energy/v1/products/AGILE-24-10-01/electricity-tariffs/E-1R-AGILE-24-10-01-G/standard-unit-rates/</x:v>
      </x:c>
    </x:row>
    <x:row r="1759" ht="21" customHeight="1">
      <x:c r="A1759" s="24" t="n">
        <x:v>46185.145833333336</x:v>
      </x:c>
      <x:c r="B1759" s="6" t="n">
        <x:v>0.1404</x:v>
      </x:c>
      <x:c r="C1759" s="6" t="n">
        <x:v>0.09050000000000001</x:v>
      </x:c>
      <x:c r="D1759" s="6" t="n">
        <x:f>B1759</x:f>
        <x:v>0.1404</x:v>
      </x:c>
      <x:c r="E1759" s="1" t="n">
        <x:v>1.05</x:v>
      </x:c>
      <x:c r="F1759" s="1" t="str">
        <x:v>https://api.octopus.energy/v1/products/AGILE-24-10-01/electricity-tariffs/E-1R-AGILE-24-10-01-G/standard-unit-rates/</x:v>
      </x:c>
    </x:row>
    <x:row r="1760" ht="21" customHeight="1">
      <x:c r="A1760" s="24" t="n">
        <x:v>46185.166666666664</x:v>
      </x:c>
      <x:c r="B1760" s="6" t="n">
        <x:v>0.1434</x:v>
      </x:c>
      <x:c r="C1760" s="6" t="n">
        <x:v>0.09179999999999999</x:v>
      </x:c>
      <x:c r="D1760" s="6" t="n">
        <x:f>B1760</x:f>
        <x:v>0.1434</x:v>
      </x:c>
      <x:c r="E1760" s="1" t="n">
        <x:v>1.05</x:v>
      </x:c>
      <x:c r="F1760" s="1" t="str">
        <x:v>https://api.octopus.energy/v1/products/AGILE-24-10-01/electricity-tariffs/E-1R-AGILE-24-10-01-G/standard-unit-rates/</x:v>
      </x:c>
    </x:row>
    <x:row r="1761" ht="21" customHeight="1">
      <x:c r="A1761" s="24" t="n">
        <x:v>46185.1875</x:v>
      </x:c>
      <x:c r="B1761" s="6" t="n">
        <x:v>0.1543</x:v>
      </x:c>
      <x:c r="C1761" s="6" t="n">
        <x:v>0.0968</x:v>
      </x:c>
      <x:c r="D1761" s="6" t="n">
        <x:f>B1761</x:f>
        <x:v>0.1543</x:v>
      </x:c>
      <x:c r="E1761" s="1" t="n">
        <x:v>1.05</x:v>
      </x:c>
      <x:c r="F1761" s="1" t="str">
        <x:v>https://api.octopus.energy/v1/products/AGILE-24-10-01/electricity-tariffs/E-1R-AGILE-24-10-01-G/standard-unit-rates/</x:v>
      </x:c>
    </x:row>
    <x:row r="1762" ht="21" customHeight="1">
      <x:c r="A1762" s="24" t="n">
        <x:v>46185.208333333336</x:v>
      </x:c>
      <x:c r="B1762" s="6" t="n">
        <x:v>0.1564</x:v>
      </x:c>
      <x:c r="C1762" s="6" t="n">
        <x:v>0.0978</x:v>
      </x:c>
      <x:c r="D1762" s="6" t="n">
        <x:f>B1762</x:f>
        <x:v>0.1564</x:v>
      </x:c>
      <x:c r="E1762" s="1" t="n">
        <x:v>1.05</x:v>
      </x:c>
      <x:c r="F1762" s="1" t="str">
        <x:v>https://api.octopus.energy/v1/products/AGILE-24-10-01/electricity-tariffs/E-1R-AGILE-24-10-01-G/standard-unit-rates/</x:v>
      </x:c>
    </x:row>
    <x:row r="1763" ht="21" customHeight="1">
      <x:c r="A1763" s="24" t="n">
        <x:v>46185.229166666664</x:v>
      </x:c>
      <x:c r="B1763" s="6" t="n">
        <x:v>0.1734</x:v>
      </x:c>
      <x:c r="C1763" s="6" t="n">
        <x:v>0.1056</x:v>
      </x:c>
      <x:c r="D1763" s="6" t="n">
        <x:f>B1763</x:f>
        <x:v>0.1734</x:v>
      </x:c>
      <x:c r="E1763" s="1" t="n">
        <x:v>1.05</x:v>
      </x:c>
      <x:c r="F1763" s="1" t="str">
        <x:v>https://api.octopus.energy/v1/products/AGILE-24-10-01/electricity-tariffs/E-1R-AGILE-24-10-01-G/standard-unit-rates/</x:v>
      </x:c>
    </x:row>
    <x:row r="1764" ht="21" customHeight="1">
      <x:c r="A1764" s="24" t="n">
        <x:v>46185.25</x:v>
      </x:c>
      <x:c r="B1764" s="6" t="n">
        <x:v>0.1832</x:v>
      </x:c>
      <x:c r="C1764" s="6" t="n">
        <x:v>0.11</x:v>
      </x:c>
      <x:c r="D1764" s="6" t="n">
        <x:f>B1764</x:f>
        <x:v>0.1832</x:v>
      </x:c>
      <x:c r="E1764" s="1" t="n">
        <x:v>1.05</x:v>
      </x:c>
      <x:c r="F1764" s="1" t="str">
        <x:v>https://api.octopus.energy/v1/products/AGILE-24-10-01/electricity-tariffs/E-1R-AGILE-24-10-01-G/standard-unit-rates/</x:v>
      </x:c>
    </x:row>
    <x:row r="1765" ht="21" customHeight="1">
      <x:c r="A1765" s="24" t="n">
        <x:v>46185.270833333336</x:v>
      </x:c>
      <x:c r="B1765" s="6" t="n">
        <x:v>0.2186</x:v>
      </x:c>
      <x:c r="C1765" s="6" t="n">
        <x:v>0.12619999999999998</x:v>
      </x:c>
      <x:c r="D1765" s="6" t="n">
        <x:f>B1765</x:f>
        <x:v>0.2186</x:v>
      </x:c>
      <x:c r="E1765" s="1" t="n">
        <x:v>1.05</x:v>
      </x:c>
      <x:c r="F1765" s="1" t="str">
        <x:v>https://api.octopus.energy/v1/products/AGILE-24-10-01/electricity-tariffs/E-1R-AGILE-24-10-01-G/standard-unit-rates/</x:v>
      </x:c>
    </x:row>
    <x:row r="1766" ht="21" customHeight="1">
      <x:c r="A1766" s="24" t="n">
        <x:v>46185.291666666664</x:v>
      </x:c>
      <x:c r="B1766" s="6" t="n">
        <x:v>0.201</x:v>
      </x:c>
      <x:c r="C1766" s="6" t="n">
        <x:v>0.11810000000000001</x:v>
      </x:c>
      <x:c r="D1766" s="6" t="n">
        <x:f>B1766</x:f>
        <x:v>0.201</x:v>
      </x:c>
      <x:c r="E1766" s="1" t="n">
        <x:v>1.05</x:v>
      </x:c>
      <x:c r="F1766" s="1" t="str">
        <x:v>https://api.octopus.energy/v1/products/AGILE-24-10-01/electricity-tariffs/E-1R-AGILE-24-10-01-G/standard-unit-rates/</x:v>
      </x:c>
    </x:row>
    <x:row r="1767" ht="21" customHeight="1">
      <x:c r="A1767" s="24" t="n">
        <x:v>46185.3125</x:v>
      </x:c>
      <x:c r="B1767" s="6" t="n">
        <x:v>0.2177</x:v>
      </x:c>
      <x:c r="C1767" s="6" t="n">
        <x:v>0.1258</x:v>
      </x:c>
      <x:c r="D1767" s="6" t="n">
        <x:f>B1767</x:f>
        <x:v>0.2177</x:v>
      </x:c>
      <x:c r="E1767" s="1" t="n">
        <x:v>1.05</x:v>
      </x:c>
      <x:c r="F1767" s="1" t="str">
        <x:v>https://api.octopus.energy/v1/products/AGILE-24-10-01/electricity-tariffs/E-1R-AGILE-24-10-01-G/standard-unit-rates/</x:v>
      </x:c>
    </x:row>
    <x:row r="1768" ht="21" customHeight="1">
      <x:c r="A1768" s="24" t="n">
        <x:v>46185.333333333336</x:v>
      </x:c>
      <x:c r="B1768" s="6" t="n">
        <x:v>0.1989</x:v>
      </x:c>
      <x:c r="C1768" s="6" t="n">
        <x:v>0.11720000000000001</x:v>
      </x:c>
      <x:c r="D1768" s="6" t="n">
        <x:f>B1768</x:f>
        <x:v>0.1989</x:v>
      </x:c>
      <x:c r="E1768" s="1" t="n">
        <x:v>1.05</x:v>
      </x:c>
      <x:c r="F1768" s="1" t="str">
        <x:v>https://api.octopus.energy/v1/products/AGILE-24-10-01/electricity-tariffs/E-1R-AGILE-24-10-01-G/standard-unit-rates/</x:v>
      </x:c>
    </x:row>
    <x:row r="1769" ht="21" customHeight="1">
      <x:c r="A1769" s="24" t="n">
        <x:v>46185.354166666664</x:v>
      </x:c>
      <x:c r="B1769" s="6" t="n">
        <x:v>0.19190000000000002</x:v>
      </x:c>
      <x:c r="C1769" s="6" t="n">
        <x:v>0.114</x:v>
      </x:c>
      <x:c r="D1769" s="6" t="n">
        <x:f>B1769</x:f>
        <x:v>0.19190000000000002</x:v>
      </x:c>
      <x:c r="E1769" s="1" t="n">
        <x:v>1.05</x:v>
      </x:c>
      <x:c r="F1769" s="1" t="str">
        <x:v>https://api.octopus.energy/v1/products/AGILE-24-10-01/electricity-tariffs/E-1R-AGILE-24-10-01-G/standard-unit-rates/</x:v>
      </x:c>
    </x:row>
    <x:row r="1770" ht="21" customHeight="1">
      <x:c r="A1770" s="24" t="n">
        <x:v>46185.375</x:v>
      </x:c>
      <x:c r="B1770" s="6" t="n">
        <x:v>0.1787</x:v>
      </x:c>
      <x:c r="C1770" s="6" t="n">
        <x:v>0.10800000000000001</x:v>
      </x:c>
      <x:c r="D1770" s="6" t="n">
        <x:f>B1770</x:f>
        <x:v>0.1787</x:v>
      </x:c>
      <x:c r="E1770" s="1" t="n">
        <x:v>1.05</x:v>
      </x:c>
      <x:c r="F1770" s="1" t="str">
        <x:v>https://api.octopus.energy/v1/products/AGILE-24-10-01/electricity-tariffs/E-1R-AGILE-24-10-01-G/standard-unit-rates/</x:v>
      </x:c>
    </x:row>
    <x:row r="1771" ht="21" customHeight="1">
      <x:c r="A1771" s="24" t="n">
        <x:v>46185.395833333336</x:v>
      </x:c>
      <x:c r="B1771" s="6" t="n">
        <x:v>0.1499</x:v>
      </x:c>
      <x:c r="C1771" s="6" t="n">
        <x:v>0.09480000000000001</x:v>
      </x:c>
      <x:c r="D1771" s="6" t="n">
        <x:f>B1771</x:f>
        <x:v>0.1499</x:v>
      </x:c>
      <x:c r="E1771" s="1" t="n">
        <x:v>1.05</x:v>
      </x:c>
      <x:c r="F1771" s="1" t="str">
        <x:v>https://api.octopus.energy/v1/products/AGILE-24-10-01/electricity-tariffs/E-1R-AGILE-24-10-01-G/standard-unit-rates/</x:v>
      </x:c>
    </x:row>
    <x:row r="1772" ht="21" customHeight="1">
      <x:c r="A1772" s="24" t="n">
        <x:v>46185.416666666664</x:v>
      </x:c>
      <x:c r="B1772" s="6" t="n">
        <x:v>0.1476</x:v>
      </x:c>
      <x:c r="C1772" s="6" t="n">
        <x:v>0.09380000000000001</x:v>
      </x:c>
      <x:c r="D1772" s="6" t="n">
        <x:f>B1772</x:f>
        <x:v>0.1476</x:v>
      </x:c>
      <x:c r="E1772" s="1" t="n">
        <x:v>1.05</x:v>
      </x:c>
      <x:c r="F1772" s="1" t="str">
        <x:v>https://api.octopus.energy/v1/products/AGILE-24-10-01/electricity-tariffs/E-1R-AGILE-24-10-01-G/standard-unit-rates/</x:v>
      </x:c>
    </x:row>
    <x:row r="1773" ht="21" customHeight="1">
      <x:c r="A1773" s="24" t="n">
        <x:v>46185.4375</x:v>
      </x:c>
      <x:c r="B1773" s="6" t="n">
        <x:v>0.1278</x:v>
      </x:c>
      <x:c r="C1773" s="6" t="n">
        <x:v>0.08470000000000001</x:v>
      </x:c>
      <x:c r="D1773" s="6" t="n">
        <x:f>B1773</x:f>
        <x:v>0.1278</x:v>
      </x:c>
      <x:c r="E1773" s="1" t="n">
        <x:v>1.05</x:v>
      </x:c>
      <x:c r="F1773" s="1" t="str">
        <x:v>https://api.octopus.energy/v1/products/AGILE-24-10-01/electricity-tariffs/E-1R-AGILE-24-10-01-G/standard-unit-rates/</x:v>
      </x:c>
    </x:row>
    <x:row r="1774" ht="21" customHeight="1">
      <x:c r="A1774" s="24" t="n">
        <x:v>46185.458333333336</x:v>
      </x:c>
      <x:c r="B1774" s="6" t="n">
        <x:v>0.1159</x:v>
      </x:c>
      <x:c r="C1774" s="6" t="n">
        <x:v>0.0793</x:v>
      </x:c>
      <x:c r="D1774" s="6" t="n">
        <x:f>B1774</x:f>
        <x:v>0.1159</x:v>
      </x:c>
      <x:c r="E1774" s="1" t="n">
        <x:v>1.05</x:v>
      </x:c>
      <x:c r="F1774" s="1" t="str">
        <x:v>https://api.octopus.energy/v1/products/AGILE-24-10-01/electricity-tariffs/E-1R-AGILE-24-10-01-G/standard-unit-rates/</x:v>
      </x:c>
    </x:row>
    <x:row r="1775" ht="21" customHeight="1">
      <x:c r="A1775" s="24" t="n">
        <x:v>46185.479166666664</x:v>
      </x:c>
      <x:c r="B1775" s="6" t="n">
        <x:v>0.09029999999999999</x:v>
      </x:c>
      <x:c r="C1775" s="6" t="n">
        <x:v>0.0675</x:v>
      </x:c>
      <x:c r="D1775" s="6" t="n">
        <x:f>B1775</x:f>
        <x:v>0.09029999999999999</x:v>
      </x:c>
      <x:c r="E1775" s="1" t="n">
        <x:v>1.05</x:v>
      </x:c>
      <x:c r="F1775" s="1" t="str">
        <x:v>https://api.octopus.energy/v1/products/AGILE-24-10-01/electricity-tariffs/E-1R-AGILE-24-10-01-G/standard-unit-rates/</x:v>
      </x:c>
    </x:row>
    <x:row r="1776" ht="21" customHeight="1">
      <x:c r="A1776" s="24" t="n">
        <x:v>46185.5</x:v>
      </x:c>
      <x:c r="B1776" s="6" t="n">
        <x:v>0.09050000000000001</x:v>
      </x:c>
      <x:c r="C1776" s="6" t="n">
        <x:v>0.0677</x:v>
      </x:c>
      <x:c r="D1776" s="6" t="n">
        <x:f>B1776</x:f>
        <x:v>0.09050000000000001</x:v>
      </x:c>
      <x:c r="E1776" s="1" t="n">
        <x:v>1.05</x:v>
      </x:c>
      <x:c r="F1776" s="1" t="str">
        <x:v>https://api.octopus.energy/v1/products/AGILE-24-10-01/electricity-tariffs/E-1R-AGILE-24-10-01-G/standard-unit-rates/</x:v>
      </x:c>
    </x:row>
    <x:row r="1777" ht="21" customHeight="1">
      <x:c r="A1777" s="24" t="n">
        <x:v>46185.520833333336</x:v>
      </x:c>
      <x:c r="B1777" s="6" t="n">
        <x:v>0.0702</x:v>
      </x:c>
      <x:c r="C1777" s="6" t="n">
        <x:v>0.0583</x:v>
      </x:c>
      <x:c r="D1777" s="6" t="n">
        <x:f>B1777</x:f>
        <x:v>0.0702</x:v>
      </x:c>
      <x:c r="E1777" s="1" t="n">
        <x:v>1.05</x:v>
      </x:c>
      <x:c r="F1777" s="1" t="str">
        <x:v>https://api.octopus.energy/v1/products/AGILE-24-10-01/electricity-tariffs/E-1R-AGILE-24-10-01-G/standard-unit-rates/</x:v>
      </x:c>
    </x:row>
    <x:row r="1778" ht="21" customHeight="1">
      <x:c r="A1778" s="24" t="n">
        <x:v>46185.541666666664</x:v>
      </x:c>
      <x:c r="B1778" s="6" t="n">
        <x:v>0.07429999999999999</x:v>
      </x:c>
      <x:c r="C1778" s="6" t="n">
        <x:v>0.0602</x:v>
      </x:c>
      <x:c r="D1778" s="6" t="n">
        <x:f>B1778</x:f>
        <x:v>0.07429999999999999</x:v>
      </x:c>
      <x:c r="E1778" s="1" t="n">
        <x:v>1.05</x:v>
      </x:c>
      <x:c r="F1778" s="1" t="str">
        <x:v>https://api.octopus.energy/v1/products/AGILE-24-10-01/electricity-tariffs/E-1R-AGILE-24-10-01-G/standard-unit-rates/</x:v>
      </x:c>
    </x:row>
    <x:row r="1779" ht="21" customHeight="1">
      <x:c r="A1779" s="24" t="n">
        <x:v>46185.5625</x:v>
      </x:c>
      <x:c r="B1779" s="6" t="n">
        <x:v>0.0481</x:v>
      </x:c>
      <x:c r="C1779" s="6" t="n">
        <x:v>0.0482</x:v>
      </x:c>
      <x:c r="D1779" s="6" t="n">
        <x:f>B1779</x:f>
        <x:v>0.0481</x:v>
      </x:c>
      <x:c r="E1779" s="1" t="n">
        <x:v>1.05</x:v>
      </x:c>
      <x:c r="F1779" s="1" t="str">
        <x:v>https://api.octopus.energy/v1/products/AGILE-24-10-01/electricity-tariffs/E-1R-AGILE-24-10-01-G/standard-unit-rates/</x:v>
      </x:c>
    </x:row>
    <x:row r="1780" ht="21" customHeight="1">
      <x:c r="A1780" s="24" t="n">
        <x:v>46185.583333333336</x:v>
      </x:c>
      <x:c r="B1780" s="6" t="n">
        <x:v>0.0507</x:v>
      </x:c>
      <x:c r="C1780" s="6" t="n">
        <x:v>0.049400000000000006</x:v>
      </x:c>
      <x:c r="D1780" s="6" t="n">
        <x:f>B1780</x:f>
        <x:v>0.0507</x:v>
      </x:c>
      <x:c r="E1780" s="1" t="n">
        <x:v>1.05</x:v>
      </x:c>
      <x:c r="F1780" s="1" t="str">
        <x:v>https://api.octopus.energy/v1/products/AGILE-24-10-01/electricity-tariffs/E-1R-AGILE-24-10-01-G/standard-unit-rates/</x:v>
      </x:c>
    </x:row>
    <x:row r="1781" ht="21" customHeight="1">
      <x:c r="A1781" s="24" t="n">
        <x:v>46185.604166666664</x:v>
      </x:c>
      <x:c r="B1781" s="6" t="n">
        <x:v>0.0403</x:v>
      </x:c>
      <x:c r="C1781" s="6" t="n">
        <x:v>0.0447</x:v>
      </x:c>
      <x:c r="D1781" s="6" t="n">
        <x:f>B1781</x:f>
        <x:v>0.0403</x:v>
      </x:c>
      <x:c r="E1781" s="1" t="n">
        <x:v>1.05</x:v>
      </x:c>
      <x:c r="F1781" s="1" t="str">
        <x:v>https://api.octopus.energy/v1/products/AGILE-24-10-01/electricity-tariffs/E-1R-AGILE-24-10-01-G/standard-unit-rates/</x:v>
      </x:c>
    </x:row>
    <x:row r="1782" ht="21" customHeight="1">
      <x:c r="A1782" s="24" t="n">
        <x:v>46185.625</x:v>
      </x:c>
      <x:c r="B1782" s="6" t="n">
        <x:v>0.059000000000000004</x:v>
      </x:c>
      <x:c r="C1782" s="6" t="n">
        <x:v>0.053200000000000004</x:v>
      </x:c>
      <x:c r="D1782" s="6" t="n">
        <x:f>B1782</x:f>
        <x:v>0.059000000000000004</x:v>
      </x:c>
      <x:c r="E1782" s="1" t="n">
        <x:v>1.05</x:v>
      </x:c>
      <x:c r="F1782" s="1" t="str">
        <x:v>https://api.octopus.energy/v1/products/AGILE-24-10-01/electricity-tariffs/E-1R-AGILE-24-10-01-G/standard-unit-rates/</x:v>
      </x:c>
    </x:row>
    <x:row r="1783" ht="21" customHeight="1">
      <x:c r="A1783" s="24" t="n">
        <x:v>46185.645833333336</x:v>
      </x:c>
      <x:c r="B1783" s="6" t="n">
        <x:v>0.0552</x:v>
      </x:c>
      <x:c r="C1783" s="6" t="n">
        <x:v>0.051500000000000004</x:v>
      </x:c>
      <x:c r="D1783" s="6" t="n">
        <x:f>B1783</x:f>
        <x:v>0.0552</x:v>
      </x:c>
      <x:c r="E1783" s="1" t="n">
        <x:v>1.05</x:v>
      </x:c>
      <x:c r="F1783" s="1" t="str">
        <x:v>https://api.octopus.energy/v1/products/AGILE-24-10-01/electricity-tariffs/E-1R-AGILE-24-10-01-G/standard-unit-rates/</x:v>
      </x:c>
    </x:row>
    <x:row r="1784" ht="21" customHeight="1">
      <x:c r="A1784" s="24" t="n">
        <x:v>46185.666666666664</x:v>
      </x:c>
      <x:c r="B1784" s="6" t="n">
        <x:v>0.1643</x:v>
      </x:c>
      <x:c r="C1784" s="6" t="n">
        <x:v>0.1054</x:v>
      </x:c>
      <x:c r="D1784" s="6" t="n">
        <x:f>B1784</x:f>
        <x:v>0.1643</x:v>
      </x:c>
      <x:c r="E1784" s="1" t="n">
        <x:v>1.05</x:v>
      </x:c>
      <x:c r="F1784" s="1" t="str">
        <x:v>https://api.octopus.energy/v1/products/AGILE-24-10-01/electricity-tariffs/E-1R-AGILE-24-10-01-G/standard-unit-rates/</x:v>
      </x:c>
    </x:row>
    <x:row r="1785" ht="21" customHeight="1">
      <x:c r="A1785" s="24" t="n">
        <x:v>46185.6875</x:v>
      </x:c>
      <x:c r="B1785" s="6" t="n">
        <x:v>0.19920000000000002</x:v>
      </x:c>
      <x:c r="C1785" s="6" t="n">
        <x:v>0.12140000000000001</x:v>
      </x:c>
      <x:c r="D1785" s="6" t="n">
        <x:f>B1785</x:f>
        <x:v>0.19920000000000002</x:v>
      </x:c>
      <x:c r="E1785" s="1" t="n">
        <x:v>1.05</x:v>
      </x:c>
      <x:c r="F1785" s="1" t="str">
        <x:v>https://api.octopus.energy/v1/products/AGILE-24-10-01/electricity-tariffs/E-1R-AGILE-24-10-01-G/standard-unit-rates/</x:v>
      </x:c>
    </x:row>
    <x:row r="1786" ht="21" customHeight="1">
      <x:c r="A1786" s="24" t="n">
        <x:v>46185.708333333336</x:v>
      </x:c>
      <x:c r="B1786" s="6" t="n">
        <x:v>0.20920000000000002</x:v>
      </x:c>
      <x:c r="C1786" s="6" t="n">
        <x:v>0.126</x:v>
      </x:c>
      <x:c r="D1786" s="6" t="n">
        <x:f>B1786</x:f>
        <x:v>0.20920000000000002</x:v>
      </x:c>
      <x:c r="E1786" s="1" t="n">
        <x:v>1.05</x:v>
      </x:c>
      <x:c r="F1786" s="1" t="str">
        <x:v>https://api.octopus.energy/v1/products/AGILE-24-10-01/electricity-tariffs/E-1R-AGILE-24-10-01-G/standard-unit-rates/</x:v>
      </x:c>
    </x:row>
    <x:row r="1787" ht="21" customHeight="1">
      <x:c r="A1787" s="24" t="n">
        <x:v>46185.729166666664</x:v>
      </x:c>
      <x:c r="B1787" s="6" t="n">
        <x:v>0.2357</x:v>
      </x:c>
      <x:c r="C1787" s="6" t="n">
        <x:v>0.1381</x:v>
      </x:c>
      <x:c r="D1787" s="6" t="n">
        <x:f>B1787</x:f>
        <x:v>0.2357</x:v>
      </x:c>
      <x:c r="E1787" s="1" t="n">
        <x:v>1.05</x:v>
      </x:c>
      <x:c r="F1787" s="1" t="str">
        <x:v>https://api.octopus.energy/v1/products/AGILE-24-10-01/electricity-tariffs/E-1R-AGILE-24-10-01-G/standard-unit-rates/</x:v>
      </x:c>
    </x:row>
    <x:row r="1788" ht="21" customHeight="1">
      <x:c r="A1788" s="24" t="n">
        <x:v>46185.75</x:v>
      </x:c>
      <x:c r="B1788" s="6" t="n">
        <x:v>0.2439</x:v>
      </x:c>
      <x:c r="C1788" s="6" t="n">
        <x:v>0.1418</x:v>
      </x:c>
      <x:c r="D1788" s="6" t="n">
        <x:f>B1788</x:f>
        <x:v>0.2439</x:v>
      </x:c>
      <x:c r="E1788" s="1" t="n">
        <x:v>1.05</x:v>
      </x:c>
      <x:c r="F1788" s="1" t="str">
        <x:v>https://api.octopus.energy/v1/products/AGILE-24-10-01/electricity-tariffs/E-1R-AGILE-24-10-01-G/standard-unit-rates/</x:v>
      </x:c>
    </x:row>
    <x:row r="1789" ht="21" customHeight="1">
      <x:c r="A1789" s="24" t="n">
        <x:v>46185.770833333336</x:v>
      </x:c>
      <x:c r="B1789" s="6" t="n">
        <x:v>0.2588</x:v>
      </x:c>
      <x:c r="C1789" s="6" t="n">
        <x:v>0.14859999999999998</x:v>
      </x:c>
      <x:c r="D1789" s="6" t="n">
        <x:f>B1789</x:f>
        <x:v>0.2588</x:v>
      </x:c>
      <x:c r="E1789" s="1" t="n">
        <x:v>1.05</x:v>
      </x:c>
      <x:c r="F1789" s="1" t="str">
        <x:v>https://api.octopus.energy/v1/products/AGILE-24-10-01/electricity-tariffs/E-1R-AGILE-24-10-01-G/standard-unit-rates/</x:v>
      </x:c>
    </x:row>
    <x:row r="1790" ht="21" customHeight="1">
      <x:c r="A1790" s="24" t="n">
        <x:v>46185.791666666664</x:v>
      </x:c>
      <x:c r="B1790" s="6" t="n">
        <x:v>0.1433</x:v>
      </x:c>
      <x:c r="C1790" s="6" t="n">
        <x:v>0.09179999999999999</x:v>
      </x:c>
      <x:c r="D1790" s="6" t="n">
        <x:f>B1790</x:f>
        <x:v>0.1433</x:v>
      </x:c>
      <x:c r="E1790" s="1" t="n">
        <x:v>1.05</x:v>
      </x:c>
      <x:c r="F1790" s="1" t="str">
        <x:v>https://api.octopus.energy/v1/products/AGILE-24-10-01/electricity-tariffs/E-1R-AGILE-24-10-01-G/standard-unit-rates/</x:v>
      </x:c>
    </x:row>
    <x:row r="1791" ht="21" customHeight="1">
      <x:c r="A1791" s="24" t="n">
        <x:v>46185.8125</x:v>
      </x:c>
      <x:c r="B1791" s="6" t="n">
        <x:v>0.1517</x:v>
      </x:c>
      <x:c r="C1791" s="6" t="n">
        <x:v>0.0956</x:v>
      </x:c>
      <x:c r="D1791" s="6" t="n">
        <x:f>B1791</x:f>
        <x:v>0.1517</x:v>
      </x:c>
      <x:c r="E1791" s="1" t="n">
        <x:v>1.05</x:v>
      </x:c>
      <x:c r="F1791" s="1" t="str">
        <x:v>https://api.octopus.energy/v1/products/AGILE-24-10-01/electricity-tariffs/E-1R-AGILE-24-10-01-G/standard-unit-rates/</x:v>
      </x:c>
    </x:row>
    <x:row r="1792" ht="21" customHeight="1">
      <x:c r="A1792" s="24" t="n">
        <x:v>46185.833333333336</x:v>
      </x:c>
      <x:c r="B1792" s="6" t="n">
        <x:v>0.1583</x:v>
      </x:c>
      <x:c r="C1792" s="6" t="n">
        <x:v>0.0986</x:v>
      </x:c>
      <x:c r="D1792" s="6" t="n">
        <x:f>B1792</x:f>
        <x:v>0.1583</x:v>
      </x:c>
      <x:c r="E1792" s="1" t="n">
        <x:v>1.05</x:v>
      </x:c>
      <x:c r="F1792" s="1" t="str">
        <x:v>https://api.octopus.energy/v1/products/AGILE-24-10-01/electricity-tariffs/E-1R-AGILE-24-10-01-G/standard-unit-rates/</x:v>
      </x:c>
    </x:row>
    <x:row r="1793" ht="21" customHeight="1">
      <x:c r="A1793" s="24" t="n">
        <x:v>46185.854166666664</x:v>
      </x:c>
      <x:c r="B1793" s="6" t="n">
        <x:v>0.16570000000000001</x:v>
      </x:c>
      <x:c r="C1793" s="6" t="n">
        <x:v>0.102</x:v>
      </x:c>
      <x:c r="D1793" s="6" t="n">
        <x:f>B1793</x:f>
        <x:v>0.16570000000000001</x:v>
      </x:c>
      <x:c r="E1793" s="1" t="n">
        <x:v>1.05</x:v>
      </x:c>
      <x:c r="F1793" s="1" t="str">
        <x:v>https://api.octopus.energy/v1/products/AGILE-24-10-01/electricity-tariffs/E-1R-AGILE-24-10-01-G/standard-unit-rates/</x:v>
      </x:c>
    </x:row>
    <x:row r="1794" ht="21" customHeight="1">
      <x:c r="A1794" s="24" t="n">
        <x:v>46185.875</x:v>
      </x:c>
      <x:c r="B1794" s="6" t="n">
        <x:v>0.17190000000000003</x:v>
      </x:c>
      <x:c r="C1794" s="6" t="n">
        <x:v>0.10490000000000001</x:v>
      </x:c>
      <x:c r="D1794" s="6" t="n">
        <x:f>B1794</x:f>
        <x:v>0.17190000000000003</x:v>
      </x:c>
      <x:c r="E1794" s="1" t="n">
        <x:v>1.05</x:v>
      </x:c>
      <x:c r="F1794" s="1" t="str">
        <x:v>https://api.octopus.energy/v1/products/AGILE-24-10-01/electricity-tariffs/E-1R-AGILE-24-10-01-G/standard-unit-rates/</x:v>
      </x:c>
    </x:row>
    <x:row r="1795" ht="21" customHeight="1">
      <x:c r="A1795" s="24" t="n">
        <x:v>46185.895833333336</x:v>
      </x:c>
      <x:c r="B1795" s="6" t="n">
        <x:v>0.1729</x:v>
      </x:c>
      <x:c r="C1795" s="6" t="n">
        <x:v>0.10529999999999999</x:v>
      </x:c>
      <x:c r="D1795" s="6" t="n">
        <x:f>B1795</x:f>
        <x:v>0.1729</x:v>
      </x:c>
      <x:c r="E1795" s="1" t="n">
        <x:v>1.05</x:v>
      </x:c>
      <x:c r="F1795" s="1" t="str">
        <x:v>https://api.octopus.energy/v1/products/AGILE-24-10-01/electricity-tariffs/E-1R-AGILE-24-10-01-G/standard-unit-rates/</x:v>
      </x:c>
    </x:row>
    <x:row r="1796" ht="21" customHeight="1">
      <x:c r="A1796" s="24" t="n">
        <x:v>46185.916666666664</x:v>
      </x:c>
      <x:c r="B1796" s="6" t="n">
        <x:v>0.1724</x:v>
      </x:c>
      <x:c r="C1796" s="6" t="n">
        <x:v>0.1051</x:v>
      </x:c>
      <x:c r="D1796" s="6" t="n">
        <x:f>B1796</x:f>
        <x:v>0.1724</x:v>
      </x:c>
      <x:c r="E1796" s="1" t="n">
        <x:v>1.05</x:v>
      </x:c>
      <x:c r="F1796" s="1" t="str">
        <x:v>https://api.octopus.energy/v1/products/AGILE-24-10-01/electricity-tariffs/E-1R-AGILE-24-10-01-G/standard-unit-rates/</x:v>
      </x:c>
    </x:row>
    <x:row r="1797" ht="21" customHeight="1">
      <x:c r="A1797" s="24" t="n">
        <x:v>46185.9375</x:v>
      </x:c>
      <x:c r="B1797" s="6" t="n">
        <x:v>0.1542</x:v>
      </x:c>
      <x:c r="C1797" s="6" t="n">
        <x:v>0.0967</x:v>
      </x:c>
      <x:c r="D1797" s="6" t="n">
        <x:f>B1797</x:f>
        <x:v>0.1542</x:v>
      </x:c>
      <x:c r="E1797" s="1" t="n">
        <x:v>1.05</x:v>
      </x:c>
      <x:c r="F1797" s="1" t="str">
        <x:v>https://api.octopus.energy/v1/products/AGILE-24-10-01/electricity-tariffs/E-1R-AGILE-24-10-01-G/standard-unit-rates/</x:v>
      </x:c>
    </x:row>
    <x:row r="1798" ht="21" customHeight="1">
      <x:c r="A1798" s="24" t="n">
        <x:v>46186</x:v>
      </x:c>
      <x:c r="B1798" s="6" t="n">
        <x:v>0.1366</x:v>
      </x:c>
      <x:c r="C1798" s="6" t="n">
        <x:v>0.08869999999999999</x:v>
      </x:c>
      <x:c r="D1798" s="6" t="n">
        <x:f>B1798</x:f>
        <x:v>0.1366</x:v>
      </x:c>
      <x:c r="E1798" s="1" t="n">
        <x:v>1.05</x:v>
      </x:c>
      <x:c r="F1798" s="1" t="str">
        <x:v>https://api.octopus.energy/v1/products/AGILE-24-10-01/electricity-tariffs/E-1R-AGILE-24-10-01-G/standard-unit-rates/</x:v>
      </x:c>
    </x:row>
    <x:row r="1799" ht="21" customHeight="1">
      <x:c r="A1799" s="24" t="n">
        <x:v>46185.979166666664</x:v>
      </x:c>
      <x:c r="B1799" s="6" t="n">
        <x:v>0.1116</x:v>
      </x:c>
      <x:c r="C1799" s="6" t="n">
        <x:v>0.07730000000000001</x:v>
      </x:c>
      <x:c r="D1799" s="6" t="n">
        <x:f>B1799</x:f>
        <x:v>0.1116</x:v>
      </x:c>
      <x:c r="E1799" s="1" t="n">
        <x:v>1.05</x:v>
      </x:c>
      <x:c r="F1799" s="1" t="str">
        <x:v>https://api.octopus.energy/v1/products/AGILE-24-10-01/electricity-tariffs/E-1R-AGILE-24-10-01-G/standard-unit-rates/</x:v>
      </x:c>
    </x:row>
    <x:row r="1800" ht="21" customHeight="1">
      <x:c r="A1800" s="24" t="n">
        <x:v>46186</x:v>
      </x:c>
      <x:c r="B1800" s="6" t="n">
        <x:v>0.11359999999999999</x:v>
      </x:c>
      <x:c r="C1800" s="6" t="n">
        <x:v>0.0782</x:v>
      </x:c>
      <x:c r="D1800" s="6" t="n">
        <x:f>B1800</x:f>
        <x:v>0.11359999999999999</x:v>
      </x:c>
      <x:c r="E1800" s="1" t="n">
        <x:v>1.05</x:v>
      </x:c>
      <x:c r="F1800" s="1" t="str">
        <x:v>https://api.octopus.energy/v1/products/AGILE-24-10-01/electricity-tariffs/E-1R-AGILE-24-10-01-G/standard-unit-rates/</x:v>
      </x:c>
    </x:row>
    <x:row r="1801" ht="21" customHeight="1">
      <x:c r="A1801" s="24" t="n">
        <x:v>46186.020833333336</x:v>
      </x:c>
      <x:c r="B1801" s="6" t="n">
        <x:v>0.09539999999999998</x:v>
      </x:c>
      <x:c r="C1801" s="6" t="n">
        <x:v>0.0699</x:v>
      </x:c>
      <x:c r="D1801" s="6" t="n">
        <x:f>B1801</x:f>
        <x:v>0.09539999999999998</x:v>
      </x:c>
      <x:c r="E1801" s="1" t="n">
        <x:v>1.05</x:v>
      </x:c>
      <x:c r="F1801" s="1" t="str">
        <x:v>https://api.octopus.energy/v1/products/AGILE-24-10-01/electricity-tariffs/E-1R-AGILE-24-10-01-G/standard-unit-rates/</x:v>
      </x:c>
    </x:row>
    <x:row r="1802" ht="21" customHeight="1">
      <x:c r="A1802" s="24" t="n">
        <x:v>46186.041666666664</x:v>
      </x:c>
      <x:c r="B1802" s="6" t="n">
        <x:v>0.0808</x:v>
      </x:c>
      <x:c r="C1802" s="6" t="n">
        <x:v>0.0632</x:v>
      </x:c>
      <x:c r="D1802" s="6" t="n">
        <x:f>B1802</x:f>
        <x:v>0.0808</x:v>
      </x:c>
      <x:c r="E1802" s="1" t="n">
        <x:v>1.05</x:v>
      </x:c>
      <x:c r="F1802" s="1" t="str">
        <x:v>https://api.octopus.energy/v1/products/AGILE-24-10-01/electricity-tariffs/E-1R-AGILE-24-10-01-G/standard-unit-rates/</x:v>
      </x:c>
    </x:row>
    <x:row r="1803" ht="21" customHeight="1">
      <x:c r="A1803" s="24" t="n">
        <x:v>46186.0625</x:v>
      </x:c>
      <x:c r="B1803" s="6" t="n">
        <x:v>0.0717</x:v>
      </x:c>
      <x:c r="C1803" s="6" t="n">
        <x:v>0.059000000000000004</x:v>
      </x:c>
      <x:c r="D1803" s="6" t="n">
        <x:f>B1803</x:f>
        <x:v>0.0717</x:v>
      </x:c>
      <x:c r="E1803" s="1" t="n">
        <x:v>1.05</x:v>
      </x:c>
      <x:c r="F1803" s="1" t="str">
        <x:v>https://api.octopus.energy/v1/products/AGILE-24-10-01/electricity-tariffs/E-1R-AGILE-24-10-01-G/standard-unit-rates/</x:v>
      </x:c>
    </x:row>
    <x:row r="1804" ht="21" customHeight="1">
      <x:c r="A1804" s="24" t="n">
        <x:v>46186.083333333336</x:v>
      </x:c>
      <x:c r="B1804" s="6" t="n">
        <x:v>0.0603</x:v>
      </x:c>
      <x:c r="C1804" s="6" t="n">
        <x:v>0.0538</x:v>
      </x:c>
      <x:c r="D1804" s="6" t="n">
        <x:f>B1804</x:f>
        <x:v>0.0603</x:v>
      </x:c>
      <x:c r="E1804" s="1" t="n">
        <x:v>1.05</x:v>
      </x:c>
      <x:c r="F1804" s="1" t="str">
        <x:v>https://api.octopus.energy/v1/products/AGILE-24-10-01/electricity-tariffs/E-1R-AGILE-24-10-01-G/standard-unit-rates/</x:v>
      </x:c>
    </x:row>
    <x:row r="1805" ht="21" customHeight="1">
      <x:c r="A1805" s="24" t="n">
        <x:v>46186.104166666664</x:v>
      </x:c>
      <x:c r="B1805" s="6" t="n">
        <x:v>0.0429</x:v>
      </x:c>
      <x:c r="C1805" s="6" t="n">
        <x:v>0.045899999999999996</x:v>
      </x:c>
      <x:c r="D1805" s="6" t="n">
        <x:f>B1805</x:f>
        <x:v>0.0429</x:v>
      </x:c>
      <x:c r="E1805" s="1" t="n">
        <x:v>1.05</x:v>
      </x:c>
      <x:c r="F1805" s="1" t="str">
        <x:v>https://api.octopus.energy/v1/products/AGILE-24-10-01/electricity-tariffs/E-1R-AGILE-24-10-01-G/standard-unit-rates/</x:v>
      </x:c>
    </x:row>
    <x:row r="1806" ht="21" customHeight="1">
      <x:c r="A1806" s="24" t="n">
        <x:v>46186.125</x:v>
      </x:c>
      <x:c r="B1806" s="6" t="n">
        <x:v>0.0513</x:v>
      </x:c>
      <x:c r="C1806" s="6" t="n">
        <x:v>0.049699999999999994</x:v>
      </x:c>
      <x:c r="D1806" s="6" t="n">
        <x:f>B1806</x:f>
        <x:v>0.0513</x:v>
      </x:c>
      <x:c r="E1806" s="1" t="n">
        <x:v>1.05</x:v>
      </x:c>
      <x:c r="F1806" s="1" t="str">
        <x:v>https://api.octopus.energy/v1/products/AGILE-24-10-01/electricity-tariffs/E-1R-AGILE-24-10-01-G/standard-unit-rates/</x:v>
      </x:c>
    </x:row>
    <x:row r="1807" ht="21" customHeight="1">
      <x:c r="A1807" s="24" t="n">
        <x:v>46186.145833333336</x:v>
      </x:c>
      <x:c r="B1807" s="6" t="n">
        <x:v>0.0431</x:v>
      </x:c>
      <x:c r="C1807" s="6" t="n">
        <x:v>0.046</x:v>
      </x:c>
      <x:c r="D1807" s="6" t="n">
        <x:f>B1807</x:f>
        <x:v>0.0431</x:v>
      </x:c>
      <x:c r="E1807" s="1" t="n">
        <x:v>1.05</x:v>
      </x:c>
      <x:c r="F1807" s="1" t="str">
        <x:v>https://api.octopus.energy/v1/products/AGILE-24-10-01/electricity-tariffs/E-1R-AGILE-24-10-01-G/standard-unit-rates/</x:v>
      </x:c>
    </x:row>
    <x:row r="1808" ht="21" customHeight="1">
      <x:c r="A1808" s="24" t="n">
        <x:v>46186.166666666664</x:v>
      </x:c>
      <x:c r="B1808" s="6" t="n">
        <x:v>0.045</x:v>
      </x:c>
      <x:c r="C1808" s="6" t="n">
        <x:v>0.046799999999999994</x:v>
      </x:c>
      <x:c r="D1808" s="6" t="n">
        <x:f>B1808</x:f>
        <x:v>0.045</x:v>
      </x:c>
      <x:c r="E1808" s="1" t="n">
        <x:v>1.05</x:v>
      </x:c>
      <x:c r="F1808" s="1" t="str">
        <x:v>https://api.octopus.energy/v1/products/AGILE-24-10-01/electricity-tariffs/E-1R-AGILE-24-10-01-G/standard-unit-rates/</x:v>
      </x:c>
    </x:row>
    <x:row r="1809" ht="21" customHeight="1">
      <x:c r="A1809" s="24" t="n">
        <x:v>46186.1875</x:v>
      </x:c>
      <x:c r="B1809" s="6" t="n">
        <x:v>0.0374</x:v>
      </x:c>
      <x:c r="C1809" s="6" t="n">
        <x:v>0.0434</x:v>
      </x:c>
      <x:c r="D1809" s="6" t="n">
        <x:f>B1809</x:f>
        <x:v>0.0374</x:v>
      </x:c>
      <x:c r="E1809" s="1" t="n">
        <x:v>1.05</x:v>
      </x:c>
      <x:c r="F1809" s="1" t="str">
        <x:v>https://api.octopus.energy/v1/products/AGILE-24-10-01/electricity-tariffs/E-1R-AGILE-24-10-01-G/standard-unit-rates/</x:v>
      </x:c>
    </x:row>
    <x:row r="1810" ht="21" customHeight="1">
      <x:c r="A1810" s="24" t="n">
        <x:v>46186.208333333336</x:v>
      </x:c>
      <x:c r="B1810" s="6" t="n">
        <x:v>0.0353</x:v>
      </x:c>
      <x:c r="C1810" s="6" t="n">
        <x:v>0.0424</x:v>
      </x:c>
      <x:c r="D1810" s="6" t="n">
        <x:f>B1810</x:f>
        <x:v>0.0353</x:v>
      </x:c>
      <x:c r="E1810" s="1" t="n">
        <x:v>1.05</x:v>
      </x:c>
      <x:c r="F1810" s="1" t="str">
        <x:v>https://api.octopus.energy/v1/products/AGILE-24-10-01/electricity-tariffs/E-1R-AGILE-24-10-01-G/standard-unit-rates/</x:v>
      </x:c>
    </x:row>
    <x:row r="1811" ht="21" customHeight="1">
      <x:c r="A1811" s="24" t="n">
        <x:v>46186.229166666664</x:v>
      </x:c>
      <x:c r="B1811" s="6" t="n">
        <x:v>0.0296</x:v>
      </x:c>
      <x:c r="C1811" s="6" t="n">
        <x:v>0.0398</x:v>
      </x:c>
      <x:c r="D1811" s="6" t="n">
        <x:f>B1811</x:f>
        <x:v>0.0296</x:v>
      </x:c>
      <x:c r="E1811" s="1" t="n">
        <x:v>1.05</x:v>
      </x:c>
      <x:c r="F1811" s="1" t="str">
        <x:v>https://api.octopus.energy/v1/products/AGILE-24-10-01/electricity-tariffs/E-1R-AGILE-24-10-01-G/standard-unit-rates/</x:v>
      </x:c>
    </x:row>
    <x:row r="1812" ht="21" customHeight="1">
      <x:c r="A1812" s="24" t="n">
        <x:v>46186.25</x:v>
      </x:c>
      <x:c r="B1812" s="6" t="n">
        <x:v>0.0109</x:v>
      </x:c>
      <x:c r="C1812" s="6" t="n">
        <x:v>0.0313</x:v>
      </x:c>
      <x:c r="D1812" s="6" t="n">
        <x:f>B1812</x:f>
        <x:v>0.0109</x:v>
      </x:c>
      <x:c r="E1812" s="1" t="n">
        <x:v>1.05</x:v>
      </x:c>
      <x:c r="F1812" s="1" t="str">
        <x:v>https://api.octopus.energy/v1/products/AGILE-24-10-01/electricity-tariffs/E-1R-AGILE-24-10-01-G/standard-unit-rates/</x:v>
      </x:c>
    </x:row>
    <x:row r="1813" ht="21" customHeight="1">
      <x:c r="A1813" s="24" t="n">
        <x:v>46186.270833333336</x:v>
      </x:c>
      <x:c r="B1813" s="6" t="n">
        <x:v>0.0147</x:v>
      </x:c>
      <x:c r="C1813" s="6" t="n">
        <x:v>0.033</x:v>
      </x:c>
      <x:c r="D1813" s="6" t="n">
        <x:f>B1813</x:f>
        <x:v>0.0147</x:v>
      </x:c>
      <x:c r="E1813" s="1" t="n">
        <x:v>1.05</x:v>
      </x:c>
      <x:c r="F1813" s="1" t="str">
        <x:v>https://api.octopus.energy/v1/products/AGILE-24-10-01/electricity-tariffs/E-1R-AGILE-24-10-01-G/standard-unit-rates/</x:v>
      </x:c>
    </x:row>
    <x:row r="1814" ht="21" customHeight="1">
      <x:c r="A1814" s="24" t="n">
        <x:v>46186.291666666664</x:v>
      </x:c>
      <x:c r="B1814" s="6" t="n">
        <x:v>-0.0208</x:v>
      </x:c>
      <x:c r="C1814" s="6" t="n">
        <x:v>0.0168</x:v>
      </x:c>
      <x:c r="D1814" s="6" t="n">
        <x:f>B1814</x:f>
        <x:v>-0.0208</x:v>
      </x:c>
      <x:c r="E1814" s="1" t="n">
        <x:v>1.05</x:v>
      </x:c>
      <x:c r="F1814" s="1" t="str">
        <x:v>https://api.octopus.energy/v1/products/AGILE-24-10-01/electricity-tariffs/E-1R-AGILE-24-10-01-G/standard-unit-rates/</x:v>
      </x:c>
    </x:row>
    <x:row r="1815" ht="21" customHeight="1">
      <x:c r="A1815" s="24" t="n">
        <x:v>46186.3125</x:v>
      </x:c>
      <x:c r="B1815" s="6" t="n">
        <x:v>-0.0264</x:v>
      </x:c>
      <x:c r="C1815" s="6" t="n">
        <x:v>0.014199999999999999</x:v>
      </x:c>
      <x:c r="D1815" s="6" t="n">
        <x:f>B1815</x:f>
        <x:v>-0.0264</x:v>
      </x:c>
      <x:c r="E1815" s="1" t="n">
        <x:v>1.05</x:v>
      </x:c>
      <x:c r="F1815" s="1" t="str">
        <x:v>https://api.octopus.energy/v1/products/AGILE-24-10-01/electricity-tariffs/E-1R-AGILE-24-10-01-G/standard-unit-rates/</x:v>
      </x:c>
    </x:row>
    <x:row r="1816" ht="21" customHeight="1">
      <x:c r="A1816" s="24" t="n">
        <x:v>46186.333333333336</x:v>
      </x:c>
      <x:c r="B1816" s="6" t="n">
        <x:v>-0.0168</x:v>
      </x:c>
      <x:c r="C1816" s="6" t="n">
        <x:v>0.018600000000000002</x:v>
      </x:c>
      <x:c r="D1816" s="6" t="n">
        <x:f>B1816</x:f>
        <x:v>-0.0168</x:v>
      </x:c>
      <x:c r="E1816" s="1" t="n">
        <x:v>1.05</x:v>
      </x:c>
      <x:c r="F1816" s="1" t="str">
        <x:v>https://api.octopus.energy/v1/products/AGILE-24-10-01/electricity-tariffs/E-1R-AGILE-24-10-01-G/standard-unit-rates/</x:v>
      </x:c>
    </x:row>
    <x:row r="1817" ht="21" customHeight="1">
      <x:c r="A1817" s="24" t="n">
        <x:v>46186.354166666664</x:v>
      </x:c>
      <x:c r="B1817" s="6" t="n">
        <x:v>-0.016</x:v>
      </x:c>
      <x:c r="C1817" s="6" t="n">
        <x:v>0.019</x:v>
      </x:c>
      <x:c r="D1817" s="6" t="n">
        <x:f>B1817</x:f>
        <x:v>-0.016</x:v>
      </x:c>
      <x:c r="E1817" s="1" t="n">
        <x:v>1.05</x:v>
      </x:c>
      <x:c r="F1817" s="1" t="str">
        <x:v>https://api.octopus.energy/v1/products/AGILE-24-10-01/electricity-tariffs/E-1R-AGILE-24-10-01-G/standard-unit-rates/</x:v>
      </x:c>
    </x:row>
    <x:row r="1818" ht="21" customHeight="1">
      <x:c r="A1818" s="24" t="n">
        <x:v>46186.375</x:v>
      </x:c>
      <x:c r="B1818" s="6" t="n">
        <x:v>-0.0123</x:v>
      </x:c>
      <x:c r="C1818" s="6" t="n">
        <x:v>0.0207</x:v>
      </x:c>
      <x:c r="D1818" s="6" t="n">
        <x:f>B1818</x:f>
        <x:v>-0.0123</x:v>
      </x:c>
      <x:c r="E1818" s="1" t="n">
        <x:v>1.05</x:v>
      </x:c>
      <x:c r="F1818" s="1" t="str">
        <x:v>https://api.octopus.energy/v1/products/AGILE-24-10-01/electricity-tariffs/E-1R-AGILE-24-10-01-G/standard-unit-rates/</x:v>
      </x:c>
    </x:row>
    <x:row r="1819" ht="21" customHeight="1">
      <x:c r="A1819" s="24" t="n">
        <x:v>46186.395833333336</x:v>
      </x:c>
      <x:c r="B1819" s="6" t="n">
        <x:v>-0.0154</x:v>
      </x:c>
      <x:c r="C1819" s="6" t="n">
        <x:v>0.0192</x:v>
      </x:c>
      <x:c r="D1819" s="6" t="n">
        <x:f>B1819</x:f>
        <x:v>-0.0154</x:v>
      </x:c>
      <x:c r="E1819" s="1" t="n">
        <x:v>1.05</x:v>
      </x:c>
      <x:c r="F1819" s="1" t="str">
        <x:v>https://api.octopus.energy/v1/products/AGILE-24-10-01/electricity-tariffs/E-1R-AGILE-24-10-01-G/standard-unit-rates/</x:v>
      </x:c>
    </x:row>
    <x:row r="1820" ht="21" customHeight="1">
      <x:c r="A1820" s="24" t="n">
        <x:v>46186.416666666664</x:v>
      </x:c>
      <x:c r="B1820" s="6" t="n">
        <x:v>-0.0401</x:v>
      </x:c>
      <x:c r="C1820" s="6" t="n">
        <x:v>0.008</x:v>
      </x:c>
      <x:c r="D1820" s="6" t="n">
        <x:f>B1820</x:f>
        <x:v>-0.0401</x:v>
      </x:c>
      <x:c r="E1820" s="1" t="n">
        <x:v>1.05</x:v>
      </x:c>
      <x:c r="F1820" s="1" t="str">
        <x:v>https://api.octopus.energy/v1/products/AGILE-24-10-01/electricity-tariffs/E-1R-AGILE-24-10-01-G/standard-unit-rates/</x:v>
      </x:c>
    </x:row>
    <x:row r="1821" ht="21" customHeight="1">
      <x:c r="A1821" s="24" t="n">
        <x:v>46186.4375</x:v>
      </x:c>
      <x:c r="B1821" s="6" t="n">
        <x:v>-0.0555</x:v>
      </x:c>
      <x:c r="C1821" s="6" t="n">
        <x:v>0.0009</x:v>
      </x:c>
      <x:c r="D1821" s="6" t="n">
        <x:f>B1821</x:f>
        <x:v>-0.0555</x:v>
      </x:c>
      <x:c r="E1821" s="1" t="n">
        <x:v>1.05</x:v>
      </x:c>
      <x:c r="F1821" s="1" t="str">
        <x:v>https://api.octopus.energy/v1/products/AGILE-24-10-01/electricity-tariffs/E-1R-AGILE-24-10-01-G/standard-unit-rates/</x:v>
      </x:c>
    </x:row>
    <x:row r="1822" ht="21" customHeight="1">
      <x:c r="A1822" s="24" t="n">
        <x:v>46186.458333333336</x:v>
      </x:c>
      <x:c r="B1822" s="6" t="n">
        <x:v>-0.06559999999999999</x:v>
      </x:c>
      <x:c r="C1822" s="6" t="n">
        <x:v>0</x:v>
      </x:c>
      <x:c r="D1822" s="6" t="n">
        <x:f>B1822</x:f>
        <x:v>-0.06559999999999999</x:v>
      </x:c>
      <x:c r="E1822" s="1" t="n">
        <x:v>1.05</x:v>
      </x:c>
      <x:c r="F1822" s="1" t="str">
        <x:v>https://api.octopus.energy/v1/products/AGILE-24-10-01/electricity-tariffs/E-1R-AGILE-24-10-01-G/standard-unit-rates/</x:v>
      </x:c>
    </x:row>
    <x:row r="1823" ht="21" customHeight="1">
      <x:c r="A1823" s="24" t="n">
        <x:v>46186.479166666664</x:v>
      </x:c>
      <x:c r="B1823" s="6" t="n">
        <x:v>-0.06280000000000001</x:v>
      </x:c>
      <x:c r="C1823" s="6" t="n">
        <x:v>0</x:v>
      </x:c>
      <x:c r="D1823" s="6" t="n">
        <x:f>B1823</x:f>
        <x:v>-0.06280000000000001</x:v>
      </x:c>
      <x:c r="E1823" s="1" t="n">
        <x:v>1.05</x:v>
      </x:c>
      <x:c r="F1823" s="1" t="str">
        <x:v>https://api.octopus.energy/v1/products/AGILE-24-10-01/electricity-tariffs/E-1R-AGILE-24-10-01-G/standard-unit-rates/</x:v>
      </x:c>
    </x:row>
    <x:row r="1824" ht="21" customHeight="1">
      <x:c r="A1824" s="24" t="n">
        <x:v>46186.5</x:v>
      </x:c>
      <x:c r="B1824" s="6" t="n">
        <x:v>-0.0796</x:v>
      </x:c>
      <x:c r="C1824" s="6" t="n">
        <x:v>0</x:v>
      </x:c>
      <x:c r="D1824" s="6" t="n">
        <x:f>B1824</x:f>
        <x:v>-0.0796</x:v>
      </x:c>
      <x:c r="E1824" s="1" t="n">
        <x:v>1.05</x:v>
      </x:c>
      <x:c r="F1824" s="1" t="str">
        <x:v>https://api.octopus.energy/v1/products/AGILE-24-10-01/electricity-tariffs/E-1R-AGILE-24-10-01-G/standard-unit-rates/</x:v>
      </x:c>
    </x:row>
    <x:row r="1825" ht="21" customHeight="1">
      <x:c r="A1825" s="24" t="n">
        <x:v>46186.520833333336</x:v>
      </x:c>
      <x:c r="B1825" s="6" t="n">
        <x:v>-0.0837</x:v>
      </x:c>
      <x:c r="C1825" s="6" t="n">
        <x:v>0</x:v>
      </x:c>
      <x:c r="D1825" s="6" t="n">
        <x:f>B1825</x:f>
        <x:v>-0.0837</x:v>
      </x:c>
      <x:c r="E1825" s="1" t="n">
        <x:v>1.05</x:v>
      </x:c>
      <x:c r="F1825" s="1" t="str">
        <x:v>https://api.octopus.energy/v1/products/AGILE-24-10-01/electricity-tariffs/E-1R-AGILE-24-10-01-G/standard-unit-rates/</x:v>
      </x:c>
    </x:row>
    <x:row r="1826" ht="21" customHeight="1">
      <x:c r="A1826" s="24" t="n">
        <x:v>46186.541666666664</x:v>
      </x:c>
      <x:c r="B1826" s="6" t="n">
        <x:v>-0.0832</x:v>
      </x:c>
      <x:c r="C1826" s="6" t="n">
        <x:v>0</x:v>
      </x:c>
      <x:c r="D1826" s="6" t="n">
        <x:f>B1826</x:f>
        <x:v>-0.0832</x:v>
      </x:c>
      <x:c r="E1826" s="1" t="n">
        <x:v>1.05</x:v>
      </x:c>
      <x:c r="F1826" s="1" t="str">
        <x:v>https://api.octopus.energy/v1/products/AGILE-24-10-01/electricity-tariffs/E-1R-AGILE-24-10-01-G/standard-unit-rates/</x:v>
      </x:c>
    </x:row>
    <x:row r="1827" ht="21" customHeight="1">
      <x:c r="A1827" s="24" t="n">
        <x:v>46186.5625</x:v>
      </x:c>
      <x:c r="B1827" s="6" t="n">
        <x:v>-0.0755</x:v>
      </x:c>
      <x:c r="C1827" s="6" t="n">
        <x:v>0</x:v>
      </x:c>
      <x:c r="D1827" s="6" t="n">
        <x:f>B1827</x:f>
        <x:v>-0.0755</x:v>
      </x:c>
      <x:c r="E1827" s="1" t="n">
        <x:v>1.05</x:v>
      </x:c>
      <x:c r="F1827" s="1" t="str">
        <x:v>https://api.octopus.energy/v1/products/AGILE-24-10-01/electricity-tariffs/E-1R-AGILE-24-10-01-G/standard-unit-rates/</x:v>
      </x:c>
    </x:row>
    <x:row r="1828" ht="21" customHeight="1">
      <x:c r="A1828" s="24" t="n">
        <x:v>46186.583333333336</x:v>
      </x:c>
      <x:c r="B1828" s="6" t="n">
        <x:v>-0.061799999999999994</x:v>
      </x:c>
      <x:c r="C1828" s="6" t="n">
        <x:v>0</x:v>
      </x:c>
      <x:c r="D1828" s="6" t="n">
        <x:f>B1828</x:f>
        <x:v>-0.061799999999999994</x:v>
      </x:c>
      <x:c r="E1828" s="1" t="n">
        <x:v>1.05</x:v>
      </x:c>
      <x:c r="F1828" s="1" t="str">
        <x:v>https://api.octopus.energy/v1/products/AGILE-24-10-01/electricity-tariffs/E-1R-AGILE-24-10-01-G/standard-unit-rates/</x:v>
      </x:c>
    </x:row>
    <x:row r="1829" ht="21" customHeight="1">
      <x:c r="A1829" s="24" t="n">
        <x:v>46186.604166666664</x:v>
      </x:c>
      <x:c r="B1829" s="6" t="n">
        <x:v>-0.0672</x:v>
      </x:c>
      <x:c r="C1829" s="6" t="n">
        <x:v>0</x:v>
      </x:c>
      <x:c r="D1829" s="6" t="n">
        <x:f>B1829</x:f>
        <x:v>-0.0672</x:v>
      </x:c>
      <x:c r="E1829" s="1" t="n">
        <x:v>1.05</x:v>
      </x:c>
      <x:c r="F1829" s="1" t="str">
        <x:v>https://api.octopus.energy/v1/products/AGILE-24-10-01/electricity-tariffs/E-1R-AGILE-24-10-01-G/standard-unit-rates/</x:v>
      </x:c>
    </x:row>
    <x:row r="1830" ht="21" customHeight="1">
      <x:c r="A1830" s="24" t="n">
        <x:v>46186.625</x:v>
      </x:c>
      <x:c r="B1830" s="6" t="n">
        <x:v>-0.0444</x:v>
      </x:c>
      <x:c r="C1830" s="6" t="n">
        <x:v>0.006</x:v>
      </x:c>
      <x:c r="D1830" s="6" t="n">
        <x:f>B1830</x:f>
        <x:v>-0.0444</x:v>
      </x:c>
      <x:c r="E1830" s="1" t="n">
        <x:v>1.05</x:v>
      </x:c>
      <x:c r="F1830" s="1" t="str">
        <x:v>https://api.octopus.energy/v1/products/AGILE-24-10-01/electricity-tariffs/E-1R-AGILE-24-10-01-G/standard-unit-rates/</x:v>
      </x:c>
    </x:row>
    <x:row r="1831" ht="21" customHeight="1">
      <x:c r="A1831" s="24" t="n">
        <x:v>46186.645833333336</x:v>
      </x:c>
      <x:c r="B1831" s="6" t="n">
        <x:v>-0.04</x:v>
      </x:c>
      <x:c r="C1831" s="6" t="n">
        <x:v>0.008</x:v>
      </x:c>
      <x:c r="D1831" s="6" t="n">
        <x:f>B1831</x:f>
        <x:v>-0.04</x:v>
      </x:c>
      <x:c r="E1831" s="1" t="n">
        <x:v>1.05</x:v>
      </x:c>
      <x:c r="F1831" s="1" t="str">
        <x:v>https://api.octopus.energy/v1/products/AGILE-24-10-01/electricity-tariffs/E-1R-AGILE-24-10-01-G/standard-unit-rates/</x:v>
      </x:c>
    </x:row>
    <x:row r="1832" ht="21" customHeight="1">
      <x:c r="A1832" s="24" t="n">
        <x:v>46186.666666666664</x:v>
      </x:c>
      <x:c r="B1832" s="6" t="n">
        <x:v>0.09630000000000001</x:v>
      </x:c>
      <x:c r="C1832" s="6" t="n">
        <x:v>0.07429999999999999</x:v>
      </x:c>
      <x:c r="D1832" s="6" t="n">
        <x:f>B1832</x:f>
        <x:v>0.09630000000000001</x:v>
      </x:c>
      <x:c r="E1832" s="1" t="n">
        <x:v>1.05</x:v>
      </x:c>
      <x:c r="F1832" s="1" t="str">
        <x:v>https://api.octopus.energy/v1/products/AGILE-24-10-01/electricity-tariffs/E-1R-AGILE-24-10-01-G/standard-unit-rates/</x:v>
      </x:c>
    </x:row>
    <x:row r="1833" ht="21" customHeight="1">
      <x:c r="A1833" s="24" t="n">
        <x:v>46186.6875</x:v>
      </x:c>
      <x:c r="B1833" s="6" t="n">
        <x:v>0.15810000000000002</x:v>
      </x:c>
      <x:c r="C1833" s="6" t="n">
        <x:v>0.1026</x:v>
      </x:c>
      <x:c r="D1833" s="6" t="n">
        <x:f>B1833</x:f>
        <x:v>0.15810000000000002</x:v>
      </x:c>
      <x:c r="E1833" s="1" t="n">
        <x:v>1.05</x:v>
      </x:c>
      <x:c r="F1833" s="1" t="str">
        <x:v>https://api.octopus.energy/v1/products/AGILE-24-10-01/electricity-tariffs/E-1R-AGILE-24-10-01-G/standard-unit-rates/</x:v>
      </x:c>
    </x:row>
    <x:row r="1834" ht="21" customHeight="1">
      <x:c r="A1834" s="24" t="n">
        <x:v>46186.708333333336</x:v>
      </x:c>
      <x:c r="B1834" s="6" t="n">
        <x:v>0.0992</x:v>
      </x:c>
      <x:c r="C1834" s="6" t="n">
        <x:v>0.0757</x:v>
      </x:c>
      <x:c r="D1834" s="6" t="n">
        <x:f>B1834</x:f>
        <x:v>0.0992</x:v>
      </x:c>
      <x:c r="E1834" s="1" t="n">
        <x:v>1.05</x:v>
      </x:c>
      <x:c r="F1834" s="1" t="str">
        <x:v>https://api.octopus.energy/v1/products/AGILE-24-10-01/electricity-tariffs/E-1R-AGILE-24-10-01-G/standard-unit-rates/</x:v>
      </x:c>
    </x:row>
    <x:row r="1835" ht="21" customHeight="1">
      <x:c r="A1835" s="24" t="n">
        <x:v>46186.729166666664</x:v>
      </x:c>
      <x:c r="B1835" s="6" t="n">
        <x:v>0.1454</x:v>
      </x:c>
      <x:c r="C1835" s="6" t="n">
        <x:v>0.0968</x:v>
      </x:c>
      <x:c r="D1835" s="6" t="n">
        <x:f>B1835</x:f>
        <x:v>0.1454</x:v>
      </x:c>
      <x:c r="E1835" s="1" t="n">
        <x:v>1.05</x:v>
      </x:c>
      <x:c r="F1835" s="1" t="str">
        <x:v>https://api.octopus.energy/v1/products/AGILE-24-10-01/electricity-tariffs/E-1R-AGILE-24-10-01-G/standard-unit-rates/</x:v>
      </x:c>
    </x:row>
    <x:row r="1836" ht="21" customHeight="1">
      <x:c r="A1836" s="24" t="n">
        <x:v>46186.75</x:v>
      </x:c>
      <x:c r="B1836" s="6" t="n">
        <x:v>0.1246</x:v>
      </x:c>
      <x:c r="C1836" s="6" t="n">
        <x:v>0.0873</x:v>
      </x:c>
      <x:c r="D1836" s="6" t="n">
        <x:f>B1836</x:f>
        <x:v>0.1246</x:v>
      </x:c>
      <x:c r="E1836" s="1" t="n">
        <x:v>1.05</x:v>
      </x:c>
      <x:c r="F1836" s="1" t="str">
        <x:v>https://api.octopus.energy/v1/products/AGILE-24-10-01/electricity-tariffs/E-1R-AGILE-24-10-01-G/standard-unit-rates/</x:v>
      </x:c>
    </x:row>
    <x:row r="1837" ht="21" customHeight="1">
      <x:c r="A1837" s="24" t="n">
        <x:v>46186.770833333336</x:v>
      </x:c>
      <x:c r="B1837" s="6" t="n">
        <x:v>0.17670000000000002</x:v>
      </x:c>
      <x:c r="C1837" s="6" t="n">
        <x:v>0.11109999999999999</x:v>
      </x:c>
      <x:c r="D1837" s="6" t="n">
        <x:f>B1837</x:f>
        <x:v>0.17670000000000002</x:v>
      </x:c>
      <x:c r="E1837" s="1" t="n">
        <x:v>1.05</x:v>
      </x:c>
      <x:c r="F1837" s="1" t="str">
        <x:v>https://api.octopus.energy/v1/products/AGILE-24-10-01/electricity-tariffs/E-1R-AGILE-24-10-01-G/standard-unit-rates/</x:v>
      </x:c>
    </x:row>
    <x:row r="1838" ht="21" customHeight="1">
      <x:c r="A1838" s="24" t="n">
        <x:v>46186.791666666664</x:v>
      </x:c>
      <x:c r="B1838" s="6" t="n">
        <x:v>0.15560000000000002</x:v>
      </x:c>
      <x:c r="C1838" s="6" t="n">
        <x:v>0.0974</x:v>
      </x:c>
      <x:c r="D1838" s="6" t="n">
        <x:f>B1838</x:f>
        <x:v>0.15560000000000002</x:v>
      </x:c>
      <x:c r="E1838" s="1" t="n">
        <x:v>1.05</x:v>
      </x:c>
      <x:c r="F1838" s="1" t="str">
        <x:v>https://api.octopus.energy/v1/products/AGILE-24-10-01/electricity-tariffs/E-1R-AGILE-24-10-01-G/standard-unit-rates/</x:v>
      </x:c>
    </x:row>
    <x:row r="1839" ht="21" customHeight="1">
      <x:c r="A1839" s="24" t="n">
        <x:v>46186.8125</x:v>
      </x:c>
      <x:c r="B1839" s="6" t="n">
        <x:v>0.1697</x:v>
      </x:c>
      <x:c r="C1839" s="6" t="n">
        <x:v>0.1039</x:v>
      </x:c>
      <x:c r="D1839" s="6" t="n">
        <x:f>B1839</x:f>
        <x:v>0.1697</x:v>
      </x:c>
      <x:c r="E1839" s="1" t="n">
        <x:v>1.05</x:v>
      </x:c>
      <x:c r="F1839" s="1" t="str">
        <x:v>https://api.octopus.energy/v1/products/AGILE-24-10-01/electricity-tariffs/E-1R-AGILE-24-10-01-G/standard-unit-rates/</x:v>
      </x:c>
    </x:row>
    <x:row r="1840" ht="21" customHeight="1">
      <x:c r="A1840" s="24" t="n">
        <x:v>46186.833333333336</x:v>
      </x:c>
      <x:c r="B1840" s="6" t="n">
        <x:v>0.1892</x:v>
      </x:c>
      <x:c r="C1840" s="6" t="n">
        <x:v>0.1128</x:v>
      </x:c>
      <x:c r="D1840" s="6" t="n">
        <x:f>B1840</x:f>
        <x:v>0.1892</x:v>
      </x:c>
      <x:c r="E1840" s="1" t="n">
        <x:v>1.05</x:v>
      </x:c>
      <x:c r="F1840" s="1" t="str">
        <x:v>https://api.octopus.energy/v1/products/AGILE-24-10-01/electricity-tariffs/E-1R-AGILE-24-10-01-G/standard-unit-rates/</x:v>
      </x:c>
    </x:row>
    <x:row r="1841" ht="21" customHeight="1">
      <x:c r="A1841" s="24" t="n">
        <x:v>46186.854166666664</x:v>
      </x:c>
      <x:c r="B1841" s="6" t="n">
        <x:v>0.1815</x:v>
      </x:c>
      <x:c r="C1841" s="6" t="n">
        <x:v>0.1092</x:v>
      </x:c>
      <x:c r="D1841" s="6" t="n">
        <x:f>B1841</x:f>
        <x:v>0.1815</x:v>
      </x:c>
      <x:c r="E1841" s="1" t="n">
        <x:v>1.05</x:v>
      </x:c>
      <x:c r="F1841" s="1" t="str">
        <x:v>https://api.octopus.energy/v1/products/AGILE-24-10-01/electricity-tariffs/E-1R-AGILE-24-10-01-G/standard-unit-rates/</x:v>
      </x:c>
    </x:row>
    <x:row r="1842" ht="21" customHeight="1">
      <x:c r="A1842" s="24" t="n">
        <x:v>46186.875</x:v>
      </x:c>
      <x:c r="B1842" s="6" t="n">
        <x:v>0.18</x:v>
      </x:c>
      <x:c r="C1842" s="6" t="n">
        <x:v>0.10859999999999999</x:v>
      </x:c>
      <x:c r="D1842" s="6" t="n">
        <x:f>B1842</x:f>
        <x:v>0.18</x:v>
      </x:c>
      <x:c r="E1842" s="1" t="n">
        <x:v>1.05</x:v>
      </x:c>
      <x:c r="F1842" s="1" t="str">
        <x:v>https://api.octopus.energy/v1/products/AGILE-24-10-01/electricity-tariffs/E-1R-AGILE-24-10-01-G/standard-unit-rates/</x:v>
      </x:c>
    </x:row>
    <x:row r="1843" ht="21" customHeight="1">
      <x:c r="A1843" s="24" t="n">
        <x:v>46186.895833333336</x:v>
      </x:c>
      <x:c r="B1843" s="6" t="n">
        <x:v>0.17739999999999997</x:v>
      </x:c>
      <x:c r="C1843" s="6" t="n">
        <x:v>0.1074</x:v>
      </x:c>
      <x:c r="D1843" s="6" t="n">
        <x:f>B1843</x:f>
        <x:v>0.17739999999999997</x:v>
      </x:c>
      <x:c r="E1843" s="1" t="n">
        <x:v>1.05</x:v>
      </x:c>
      <x:c r="F1843" s="1" t="str">
        <x:v>https://api.octopus.energy/v1/products/AGILE-24-10-01/electricity-tariffs/E-1R-AGILE-24-10-01-G/standard-unit-rates/</x:v>
      </x:c>
    </x:row>
    <x:row r="1844" ht="21" customHeight="1">
      <x:c r="A1844" s="24" t="n">
        <x:v>46186.916666666664</x:v>
      </x:c>
      <x:c r="B1844" s="6" t="n">
        <x:v>0.1598</x:v>
      </x:c>
      <x:c r="C1844" s="6" t="n">
        <x:v>0.0993</x:v>
      </x:c>
      <x:c r="D1844" s="6" t="n">
        <x:f>B1844</x:f>
        <x:v>0.1598</x:v>
      </x:c>
      <x:c r="E1844" s="1" t="n">
        <x:v>1.05</x:v>
      </x:c>
      <x:c r="F1844" s="1" t="str">
        <x:v>https://api.octopus.energy/v1/products/AGILE-24-10-01/electricity-tariffs/E-1R-AGILE-24-10-01-G/standard-unit-rates/</x:v>
      </x:c>
    </x:row>
    <x:row r="1845" ht="21" customHeight="1">
      <x:c r="A1845" s="24" t="n">
        <x:v>46186.9375</x:v>
      </x:c>
      <x:c r="B1845" s="6" t="n">
        <x:v>0.15960000000000002</x:v>
      </x:c>
      <x:c r="C1845" s="6" t="n">
        <x:v>0.0992</x:v>
      </x:c>
      <x:c r="D1845" s="6" t="n">
        <x:f>B1845</x:f>
        <x:v>0.15960000000000002</x:v>
      </x:c>
      <x:c r="E1845" s="1" t="n">
        <x:v>1.05</x:v>
      </x:c>
      <x:c r="F1845" s="1" t="str">
        <x:v>https://api.octopus.energy/v1/products/AGILE-24-10-01/electricity-tariffs/E-1R-AGILE-24-10-01-G/standard-unit-rates/</x:v>
      </x:c>
    </x:row>
    <x:row r="1846" ht="21" customHeight="1">
      <x:c r="A1846" s="24" t="n">
        <x:v>46187</x:v>
      </x:c>
      <x:c r="B1846" s="6" t="n">
        <x:v>0.1011</x:v>
      </x:c>
      <x:c r="C1846" s="6" t="n">
        <x:v>0.0725</x:v>
      </x:c>
      <x:c r="D1846" s="6" t="n">
        <x:f>B1846</x:f>
        <x:v>0.1011</x:v>
      </x:c>
      <x:c r="E1846" s="1" t="n">
        <x:v>1.05</x:v>
      </x:c>
      <x:c r="F1846" s="1" t="str">
        <x:v>https://api.octopus.energy/v1/products/AGILE-24-10-01/electricity-tariffs/E-1R-AGILE-24-10-01-G/standard-unit-rates/</x:v>
      </x:c>
    </x:row>
    <x:row r="1847" ht="21" customHeight="1">
      <x:c r="A1847" s="24" t="n">
        <x:v>46186.979166666664</x:v>
      </x:c>
      <x:c r="B1847" s="6" t="n">
        <x:v>0.0812</x:v>
      </x:c>
      <x:c r="C1847" s="6" t="n">
        <x:v>0.0634</x:v>
      </x:c>
      <x:c r="D1847" s="6" t="n">
        <x:f>B1847</x:f>
        <x:v>0.0812</x:v>
      </x:c>
      <x:c r="E1847" s="1" t="n">
        <x:v>1.05</x:v>
      </x:c>
      <x:c r="F1847" s="1" t="str">
        <x:v>https://api.octopus.energy/v1/products/AGILE-24-10-01/electricity-tariffs/E-1R-AGILE-24-10-01-G/standard-unit-rates/</x:v>
      </x:c>
    </x:row>
    <x:row r="1848" ht="21" customHeight="1">
      <x:c r="A1848" s="24" t="n">
        <x:v>46187</x:v>
      </x:c>
      <x:c r="B1848" s="6" t="n">
        <x:v>0.035</x:v>
      </x:c>
      <x:c r="C1848" s="6" t="n">
        <x:v>0.042300000000000004</x:v>
      </x:c>
      <x:c r="D1848" s="6" t="n">
        <x:f>B1848</x:f>
        <x:v>0.035</x:v>
      </x:c>
      <x:c r="E1848" s="1" t="n">
        <x:v>1.05</x:v>
      </x:c>
      <x:c r="F1848" s="1" t="str">
        <x:v>https://api.octopus.energy/v1/products/AGILE-24-10-01/electricity-tariffs/E-1R-AGILE-24-10-01-G/standard-unit-rates/</x:v>
      </x:c>
    </x:row>
    <x:row r="1849" ht="21" customHeight="1">
      <x:c r="A1849" s="24" t="n">
        <x:v>46187.020833333336</x:v>
      </x:c>
      <x:c r="B1849" s="6" t="n">
        <x:v>0.0393</x:v>
      </x:c>
      <x:c r="C1849" s="6" t="n">
        <x:v>0.044199999999999996</x:v>
      </x:c>
      <x:c r="D1849" s="6" t="n">
        <x:f>B1849</x:f>
        <x:v>0.0393</x:v>
      </x:c>
      <x:c r="E1849" s="1" t="n">
        <x:v>1.05</x:v>
      </x:c>
      <x:c r="F1849" s="1" t="str">
        <x:v>https://api.octopus.energy/v1/products/AGILE-24-10-01/electricity-tariffs/E-1R-AGILE-24-10-01-G/standard-unit-rates/</x:v>
      </x:c>
    </x:row>
    <x:row r="1850" ht="21" customHeight="1">
      <x:c r="A1850" s="24" t="n">
        <x:v>46187.041666666664</x:v>
      </x:c>
      <x:c r="B1850" s="6" t="n">
        <x:v>0.013500000000000002</x:v>
      </x:c>
      <x:c r="C1850" s="6" t="n">
        <x:v>0.032400000000000005</x:v>
      </x:c>
      <x:c r="D1850" s="6" t="n">
        <x:f>B1850</x:f>
        <x:v>0.013500000000000002</x:v>
      </x:c>
      <x:c r="E1850" s="1" t="n">
        <x:v>1.05</x:v>
      </x:c>
      <x:c r="F1850" s="1" t="str">
        <x:v>https://api.octopus.energy/v1/products/AGILE-24-10-01/electricity-tariffs/E-1R-AGILE-24-10-01-G/standard-unit-rates/</x:v>
      </x:c>
    </x:row>
    <x:row r="1851" ht="21" customHeight="1">
      <x:c r="A1851" s="24" t="n">
        <x:v>46187.0625</x:v>
      </x:c>
      <x:c r="B1851" s="6" t="n">
        <x:v>0.032799999999999996</x:v>
      </x:c>
      <x:c r="C1851" s="6" t="n">
        <x:v>0.0412</x:v>
      </x:c>
      <x:c r="D1851" s="6" t="n">
        <x:f>B1851</x:f>
        <x:v>0.032799999999999996</x:v>
      </x:c>
      <x:c r="E1851" s="1" t="n">
        <x:v>1.05</x:v>
      </x:c>
      <x:c r="F1851" s="1" t="str">
        <x:v>https://api.octopus.energy/v1/products/AGILE-24-10-01/electricity-tariffs/E-1R-AGILE-24-10-01-G/standard-unit-rates/</x:v>
      </x:c>
    </x:row>
    <x:row r="1852" ht="21" customHeight="1">
      <x:c r="A1852" s="24" t="n">
        <x:v>46187.083333333336</x:v>
      </x:c>
      <x:c r="B1852" s="6" t="n">
        <x:v>0.030600000000000002</x:v>
      </x:c>
      <x:c r="C1852" s="6" t="n">
        <x:v>0.0403</x:v>
      </x:c>
      <x:c r="D1852" s="6" t="n">
        <x:f>B1852</x:f>
        <x:v>0.030600000000000002</x:v>
      </x:c>
      <x:c r="E1852" s="1" t="n">
        <x:v>1.05</x:v>
      </x:c>
      <x:c r="F1852" s="1" t="str">
        <x:v>https://api.octopus.energy/v1/products/AGILE-24-10-01/electricity-tariffs/E-1R-AGILE-24-10-01-G/standard-unit-rates/</x:v>
      </x:c>
    </x:row>
    <x:row r="1853" ht="21" customHeight="1">
      <x:c r="A1853" s="24" t="n">
        <x:v>46187.104166666664</x:v>
      </x:c>
      <x:c r="B1853" s="6" t="n">
        <x:v>0.0178</x:v>
      </x:c>
      <x:c r="C1853" s="6" t="n">
        <x:v>0.0344</x:v>
      </x:c>
      <x:c r="D1853" s="6" t="n">
        <x:f>B1853</x:f>
        <x:v>0.0178</x:v>
      </x:c>
      <x:c r="E1853" s="1" t="n">
        <x:v>1.05</x:v>
      </x:c>
      <x:c r="F1853" s="1" t="str">
        <x:v>https://api.octopus.energy/v1/products/AGILE-24-10-01/electricity-tariffs/E-1R-AGILE-24-10-01-G/standard-unit-rates/</x:v>
      </x:c>
    </x:row>
    <x:row r="1854" ht="21" customHeight="1">
      <x:c r="A1854" s="24" t="n">
        <x:v>46187.125</x:v>
      </x:c>
      <x:c r="B1854" s="6" t="n">
        <x:v>0.0405</x:v>
      </x:c>
      <x:c r="C1854" s="6" t="n">
        <x:v>0.044800000000000006</x:v>
      </x:c>
      <x:c r="D1854" s="6" t="n">
        <x:f>B1854</x:f>
        <x:v>0.0405</x:v>
      </x:c>
      <x:c r="E1854" s="1" t="n">
        <x:v>1.05</x:v>
      </x:c>
      <x:c r="F1854" s="1" t="str">
        <x:v>https://api.octopus.energy/v1/products/AGILE-24-10-01/electricity-tariffs/E-1R-AGILE-24-10-01-G/standard-unit-rates/</x:v>
      </x:c>
    </x:row>
    <x:row r="1855" ht="21" customHeight="1">
      <x:c r="A1855" s="24" t="n">
        <x:v>46187.145833333336</x:v>
      </x:c>
      <x:c r="B1855" s="6" t="n">
        <x:v>0.03</x:v>
      </x:c>
      <x:c r="C1855" s="6" t="n">
        <x:v>0.04</x:v>
      </x:c>
      <x:c r="D1855" s="6" t="n">
        <x:f>B1855</x:f>
        <x:v>0.03</x:v>
      </x:c>
      <x:c r="E1855" s="1" t="n">
        <x:v>1.05</x:v>
      </x:c>
      <x:c r="F1855" s="1" t="str">
        <x:v>https://api.octopus.energy/v1/products/AGILE-24-10-01/electricity-tariffs/E-1R-AGILE-24-10-01-G/standard-unit-rates/</x:v>
      </x:c>
    </x:row>
    <x:row r="1856" ht="21" customHeight="1">
      <x:c r="A1856" s="24" t="n">
        <x:v>46187.166666666664</x:v>
      </x:c>
      <x:c r="B1856" s="6" t="n">
        <x:v>0.0506</x:v>
      </x:c>
      <x:c r="C1856" s="6" t="n">
        <x:v>0.049400000000000006</x:v>
      </x:c>
      <x:c r="D1856" s="6" t="n">
        <x:f>B1856</x:f>
        <x:v>0.0506</x:v>
      </x:c>
      <x:c r="E1856" s="1" t="n">
        <x:v>1.05</x:v>
      </x:c>
      <x:c r="F1856" s="1" t="str">
        <x:v>https://api.octopus.energy/v1/products/AGILE-24-10-01/electricity-tariffs/E-1R-AGILE-24-10-01-G/standard-unit-rates/</x:v>
      </x:c>
    </x:row>
    <x:row r="1857" ht="21" customHeight="1">
      <x:c r="A1857" s="24" t="n">
        <x:v>46187.1875</x:v>
      </x:c>
      <x:c r="B1857" s="6" t="n">
        <x:v>0.056900000000000006</x:v>
      </x:c>
      <x:c r="C1857" s="6" t="n">
        <x:v>0.052300000000000006</x:v>
      </x:c>
      <x:c r="D1857" s="6" t="n">
        <x:f>B1857</x:f>
        <x:v>0.056900000000000006</x:v>
      </x:c>
      <x:c r="E1857" s="1" t="n">
        <x:v>1.05</x:v>
      </x:c>
      <x:c r="F1857" s="1" t="str">
        <x:v>https://api.octopus.energy/v1/products/AGILE-24-10-01/electricity-tariffs/E-1R-AGILE-24-10-01-G/standard-unit-rates/</x:v>
      </x:c>
    </x:row>
    <x:row r="1858" ht="21" customHeight="1">
      <x:c r="A1858" s="24" t="n">
        <x:v>46187.208333333336</x:v>
      </x:c>
      <x:c r="B1858" s="6" t="n">
        <x:v>0.0716</x:v>
      </x:c>
      <x:c r="C1858" s="6" t="n">
        <x:v>0.059000000000000004</x:v>
      </x:c>
      <x:c r="D1858" s="6" t="n">
        <x:f>B1858</x:f>
        <x:v>0.0716</x:v>
      </x:c>
      <x:c r="E1858" s="1" t="n">
        <x:v>1.05</x:v>
      </x:c>
      <x:c r="F1858" s="1" t="str">
        <x:v>https://api.octopus.energy/v1/products/AGILE-24-10-01/electricity-tariffs/E-1R-AGILE-24-10-01-G/standard-unit-rates/</x:v>
      </x:c>
    </x:row>
    <x:row r="1859" ht="21" customHeight="1">
      <x:c r="A1859" s="24" t="n">
        <x:v>46187.229166666664</x:v>
      </x:c>
      <x:c r="B1859" s="6" t="n">
        <x:v>0.0704</x:v>
      </x:c>
      <x:c r="C1859" s="6" t="n">
        <x:v>0.058499999999999996</x:v>
      </x:c>
      <x:c r="D1859" s="6" t="n">
        <x:f>B1859</x:f>
        <x:v>0.0704</x:v>
      </x:c>
      <x:c r="E1859" s="1" t="n">
        <x:v>1.05</x:v>
      </x:c>
      <x:c r="F1859" s="1" t="str">
        <x:v>https://api.octopus.energy/v1/products/AGILE-24-10-01/electricity-tariffs/E-1R-AGILE-24-10-01-G/standard-unit-rates/</x:v>
      </x:c>
    </x:row>
    <x:row r="1860" ht="21" customHeight="1">
      <x:c r="A1860" s="24" t="n">
        <x:v>46187.25</x:v>
      </x:c>
      <x:c r="B1860" s="6" t="n">
        <x:v>0.0438</x:v>
      </x:c>
      <x:c r="C1860" s="6" t="n">
        <x:v>0.0463</x:v>
      </x:c>
      <x:c r="D1860" s="6" t="n">
        <x:f>B1860</x:f>
        <x:v>0.0438</x:v>
      </x:c>
      <x:c r="E1860" s="1" t="n">
        <x:v>1.05</x:v>
      </x:c>
      <x:c r="F1860" s="1" t="str">
        <x:v>https://api.octopus.energy/v1/products/AGILE-24-10-01/electricity-tariffs/E-1R-AGILE-24-10-01-G/standard-unit-rates/</x:v>
      </x:c>
    </x:row>
    <x:row r="1861" ht="21" customHeight="1">
      <x:c r="A1861" s="24" t="n">
        <x:v>46187.270833333336</x:v>
      </x:c>
      <x:c r="B1861" s="6" t="n">
        <x:v>0.0239</x:v>
      </x:c>
      <x:c r="C1861" s="6" t="n">
        <x:v>0.037200000000000004</x:v>
      </x:c>
      <x:c r="D1861" s="6" t="n">
        <x:f>B1861</x:f>
        <x:v>0.0239</x:v>
      </x:c>
      <x:c r="E1861" s="1" t="n">
        <x:v>1.05</x:v>
      </x:c>
      <x:c r="F1861" s="1" t="str">
        <x:v>https://api.octopus.energy/v1/products/AGILE-24-10-01/electricity-tariffs/E-1R-AGILE-24-10-01-G/standard-unit-rates/</x:v>
      </x:c>
    </x:row>
    <x:row r="1862" ht="21" customHeight="1">
      <x:c r="A1862" s="24" t="n">
        <x:v>46187.291666666664</x:v>
      </x:c>
      <x:c r="B1862" s="6" t="n">
        <x:v>0.0821</x:v>
      </x:c>
      <x:c r="C1862" s="6" t="n">
        <x:v>0.0638</x:v>
      </x:c>
      <x:c r="D1862" s="6" t="n">
        <x:f>B1862</x:f>
        <x:v>0.0821</x:v>
      </x:c>
      <x:c r="E1862" s="1" t="n">
        <x:v>1.05</x:v>
      </x:c>
      <x:c r="F1862" s="1" t="str">
        <x:v>https://api.octopus.energy/v1/products/AGILE-24-10-01/electricity-tariffs/E-1R-AGILE-24-10-01-G/standard-unit-rates/</x:v>
      </x:c>
    </x:row>
    <x:row r="1863" ht="21" customHeight="1">
      <x:c r="A1863" s="24" t="n">
        <x:v>46187.3125</x:v>
      </x:c>
      <x:c r="B1863" s="6" t="n">
        <x:v>0.0821</x:v>
      </x:c>
      <x:c r="C1863" s="6" t="n">
        <x:v>0.0638</x:v>
      </x:c>
      <x:c r="D1863" s="6" t="n">
        <x:f>B1863</x:f>
        <x:v>0.0821</x:v>
      </x:c>
      <x:c r="E1863" s="1" t="n">
        <x:v>1.05</x:v>
      </x:c>
      <x:c r="F1863" s="1" t="str">
        <x:v>https://api.octopus.energy/v1/products/AGILE-24-10-01/electricity-tariffs/E-1R-AGILE-24-10-01-G/standard-unit-rates/</x:v>
      </x:c>
    </x:row>
    <x:row r="1864" ht="21" customHeight="1">
      <x:c r="A1864" s="24" t="n">
        <x:v>46187.333333333336</x:v>
      </x:c>
      <x:c r="B1864" s="6" t="n">
        <x:v>0.092</x:v>
      </x:c>
      <x:c r="C1864" s="6" t="n">
        <x:v>0.0683</x:v>
      </x:c>
      <x:c r="D1864" s="6" t="n">
        <x:f>B1864</x:f>
        <x:v>0.092</x:v>
      </x:c>
      <x:c r="E1864" s="1" t="n">
        <x:v>1.05</x:v>
      </x:c>
      <x:c r="F1864" s="1" t="str">
        <x:v>https://api.octopus.energy/v1/products/AGILE-24-10-01/electricity-tariffs/E-1R-AGILE-24-10-01-G/standard-unit-rates/</x:v>
      </x:c>
    </x:row>
    <x:row r="1865" ht="21" customHeight="1">
      <x:c r="A1865" s="24" t="n">
        <x:v>46187.354166666664</x:v>
      </x:c>
      <x:c r="B1865" s="6" t="n">
        <x:v>0.0966</x:v>
      </x:c>
      <x:c r="C1865" s="6" t="n">
        <x:v>0.0704</x:v>
      </x:c>
      <x:c r="D1865" s="6" t="n">
        <x:f>B1865</x:f>
        <x:v>0.0966</x:v>
      </x:c>
      <x:c r="E1865" s="1" t="n">
        <x:v>1.05</x:v>
      </x:c>
      <x:c r="F1865" s="1" t="str">
        <x:v>https://api.octopus.energy/v1/products/AGILE-24-10-01/electricity-tariffs/E-1R-AGILE-24-10-01-G/standard-unit-rates/</x:v>
      </x:c>
    </x:row>
    <x:row r="1866" ht="21" customHeight="1">
      <x:c r="A1866" s="24" t="n">
        <x:v>46187.375</x:v>
      </x:c>
      <x:c r="B1866" s="6" t="n">
        <x:v>0.1157</x:v>
      </x:c>
      <x:c r="C1866" s="6" t="n">
        <x:v>0.07919999999999999</x:v>
      </x:c>
      <x:c r="D1866" s="6" t="n">
        <x:f>B1866</x:f>
        <x:v>0.1157</x:v>
      </x:c>
      <x:c r="E1866" s="1" t="n">
        <x:v>1.05</x:v>
      </x:c>
      <x:c r="F1866" s="1" t="str">
        <x:v>https://api.octopus.energy/v1/products/AGILE-24-10-01/electricity-tariffs/E-1R-AGILE-24-10-01-G/standard-unit-rates/</x:v>
      </x:c>
    </x:row>
    <x:row r="1867" ht="21" customHeight="1">
      <x:c r="A1867" s="24" t="n">
        <x:v>46187.395833333336</x:v>
      </x:c>
      <x:c r="B1867" s="6" t="n">
        <x:v>0.1157</x:v>
      </x:c>
      <x:c r="C1867" s="6" t="n">
        <x:v>0.07919999999999999</x:v>
      </x:c>
      <x:c r="D1867" s="6" t="n">
        <x:f>B1867</x:f>
        <x:v>0.1157</x:v>
      </x:c>
      <x:c r="E1867" s="1" t="n">
        <x:v>1.05</x:v>
      </x:c>
      <x:c r="F1867" s="1" t="str">
        <x:v>https://api.octopus.energy/v1/products/AGILE-24-10-01/electricity-tariffs/E-1R-AGILE-24-10-01-G/standard-unit-rates/</x:v>
      </x:c>
    </x:row>
    <x:row r="1868" ht="21" customHeight="1">
      <x:c r="A1868" s="24" t="n">
        <x:v>46187.416666666664</x:v>
      </x:c>
      <x:c r="B1868" s="6" t="n">
        <x:v>0.1409</x:v>
      </x:c>
      <x:c r="C1868" s="6" t="n">
        <x:v>0.0907</x:v>
      </x:c>
      <x:c r="D1868" s="6" t="n">
        <x:f>B1868</x:f>
        <x:v>0.1409</x:v>
      </x:c>
      <x:c r="E1868" s="1" t="n">
        <x:v>1.05</x:v>
      </x:c>
      <x:c r="F1868" s="1" t="str">
        <x:v>https://api.octopus.energy/v1/products/AGILE-24-10-01/electricity-tariffs/E-1R-AGILE-24-10-01-G/standard-unit-rates/</x:v>
      </x:c>
    </x:row>
    <x:row r="1869" ht="21" customHeight="1">
      <x:c r="A1869" s="24" t="n">
        <x:v>46187.4375</x:v>
      </x:c>
      <x:c r="B1869" s="6" t="n">
        <x:v>0.1409</x:v>
      </x:c>
      <x:c r="C1869" s="6" t="n">
        <x:v>0.0907</x:v>
      </x:c>
      <x:c r="D1869" s="6" t="n">
        <x:f>B1869</x:f>
        <x:v>0.1409</x:v>
      </x:c>
      <x:c r="E1869" s="1" t="n">
        <x:v>1.05</x:v>
      </x:c>
      <x:c r="F1869" s="1" t="str">
        <x:v>https://api.octopus.energy/v1/products/AGILE-24-10-01/electricity-tariffs/E-1R-AGILE-24-10-01-G/standard-unit-rates/</x:v>
      </x:c>
    </x:row>
    <x:row r="1870" ht="21" customHeight="1">
      <x:c r="A1870" s="24" t="n">
        <x:v>46187.458333333336</x:v>
      </x:c>
      <x:c r="B1870" s="6" t="n">
        <x:v>0.1451</x:v>
      </x:c>
      <x:c r="C1870" s="6" t="n">
        <x:v>0.0926</x:v>
      </x:c>
      <x:c r="D1870" s="6" t="n">
        <x:f>B1870</x:f>
        <x:v>0.1451</x:v>
      </x:c>
      <x:c r="E1870" s="1" t="n">
        <x:v>1.05</x:v>
      </x:c>
      <x:c r="F1870" s="1" t="str">
        <x:v>https://api.octopus.energy/v1/products/AGILE-24-10-01/electricity-tariffs/E-1R-AGILE-24-10-01-G/standard-unit-rates/</x:v>
      </x:c>
    </x:row>
    <x:row r="1871" ht="21" customHeight="1">
      <x:c r="A1871" s="24" t="n">
        <x:v>46187.479166666664</x:v>
      </x:c>
      <x:c r="B1871" s="6" t="n">
        <x:v>0.1241</x:v>
      </x:c>
      <x:c r="C1871" s="6" t="n">
        <x:v>0.083</x:v>
      </x:c>
      <x:c r="D1871" s="6" t="n">
        <x:f>B1871</x:f>
        <x:v>0.1241</x:v>
      </x:c>
      <x:c r="E1871" s="1" t="n">
        <x:v>1.05</x:v>
      </x:c>
      <x:c r="F1871" s="1" t="str">
        <x:v>https://api.octopus.energy/v1/products/AGILE-24-10-01/electricity-tariffs/E-1R-AGILE-24-10-01-G/standard-unit-rates/</x:v>
      </x:c>
    </x:row>
    <x:row r="1872" ht="21" customHeight="1">
      <x:c r="A1872" s="24" t="n">
        <x:v>46187.5</x:v>
      </x:c>
      <x:c r="B1872" s="6" t="n">
        <x:v>0.12390000000000001</x:v>
      </x:c>
      <x:c r="C1872" s="6" t="n">
        <x:v>0.08289999999999999</x:v>
      </x:c>
      <x:c r="D1872" s="6" t="n">
        <x:f>B1872</x:f>
        <x:v>0.12390000000000001</x:v>
      </x:c>
      <x:c r="E1872" s="1" t="n">
        <x:v>1.05</x:v>
      </x:c>
      <x:c r="F1872" s="1" t="str">
        <x:v>https://api.octopus.energy/v1/products/AGILE-24-10-01/electricity-tariffs/E-1R-AGILE-24-10-01-G/standard-unit-rates/</x:v>
      </x:c>
    </x:row>
    <x:row r="1873" ht="21" customHeight="1">
      <x:c r="A1873" s="24" t="n">
        <x:v>46187.520833333336</x:v>
      </x:c>
      <x:c r="B1873" s="6" t="n">
        <x:v>0.1285</x:v>
      </x:c>
      <x:c r="C1873" s="6" t="n">
        <x:v>0.085</x:v>
      </x:c>
      <x:c r="D1873" s="6" t="n">
        <x:f>B1873</x:f>
        <x:v>0.1285</x:v>
      </x:c>
      <x:c r="E1873" s="1" t="n">
        <x:v>1.05</x:v>
      </x:c>
      <x:c r="F1873" s="1" t="str">
        <x:v>https://api.octopus.energy/v1/products/AGILE-24-10-01/electricity-tariffs/E-1R-AGILE-24-10-01-G/standard-unit-rates/</x:v>
      </x:c>
    </x:row>
    <x:row r="1874" ht="21" customHeight="1">
      <x:c r="A1874" s="24" t="n">
        <x:v>46187.541666666664</x:v>
      </x:c>
      <x:c r="B1874" s="6" t="n">
        <x:v>0.1392</x:v>
      </x:c>
      <x:c r="C1874" s="6" t="n">
        <x:v>0.08990000000000001</x:v>
      </x:c>
      <x:c r="D1874" s="6" t="n">
        <x:f>B1874</x:f>
        <x:v>0.1392</x:v>
      </x:c>
      <x:c r="E1874" s="1" t="n">
        <x:v>1.05</x:v>
      </x:c>
      <x:c r="F1874" s="1" t="str">
        <x:v>https://api.octopus.energy/v1/products/AGILE-24-10-01/electricity-tariffs/E-1R-AGILE-24-10-01-G/standard-unit-rates/</x:v>
      </x:c>
    </x:row>
    <x:row r="1875" ht="21" customHeight="1">
      <x:c r="A1875" s="24" t="n">
        <x:v>46187.5625</x:v>
      </x:c>
      <x:c r="B1875" s="6" t="n">
        <x:v>0.1367</x:v>
      </x:c>
      <x:c r="C1875" s="6" t="n">
        <x:v>0.0888</x:v>
      </x:c>
      <x:c r="D1875" s="6" t="n">
        <x:f>B1875</x:f>
        <x:v>0.1367</x:v>
      </x:c>
      <x:c r="E1875" s="1" t="n">
        <x:v>1.05</x:v>
      </x:c>
      <x:c r="F1875" s="1" t="str">
        <x:v>https://api.octopus.energy/v1/products/AGILE-24-10-01/electricity-tariffs/E-1R-AGILE-24-10-01-G/standard-unit-rates/</x:v>
      </x:c>
    </x:row>
    <x:row r="1876" ht="21" customHeight="1">
      <x:c r="A1876" s="24" t="n">
        <x:v>46187.583333333336</x:v>
      </x:c>
      <x:c r="B1876" s="6" t="n">
        <x:v>0.1409</x:v>
      </x:c>
      <x:c r="C1876" s="6" t="n">
        <x:v>0.0907</x:v>
      </x:c>
      <x:c r="D1876" s="6" t="n">
        <x:f>B1876</x:f>
        <x:v>0.1409</x:v>
      </x:c>
      <x:c r="E1876" s="1" t="n">
        <x:v>1.05</x:v>
      </x:c>
      <x:c r="F1876" s="1" t="str">
        <x:v>https://api.octopus.energy/v1/products/AGILE-24-10-01/electricity-tariffs/E-1R-AGILE-24-10-01-G/standard-unit-rates/</x:v>
      </x:c>
    </x:row>
    <x:row r="1877" ht="21" customHeight="1">
      <x:c r="A1877" s="24" t="n">
        <x:v>46187.604166666664</x:v>
      </x:c>
      <x:c r="B1877" s="6" t="n">
        <x:v>0.1471</x:v>
      </x:c>
      <x:c r="C1877" s="6" t="n">
        <x:v>0.0935</x:v>
      </x:c>
      <x:c r="D1877" s="6" t="n">
        <x:f>B1877</x:f>
        <x:v>0.1471</x:v>
      </x:c>
      <x:c r="E1877" s="1" t="n">
        <x:v>1.05</x:v>
      </x:c>
      <x:c r="F1877" s="1" t="str">
        <x:v>https://api.octopus.energy/v1/products/AGILE-24-10-01/electricity-tariffs/E-1R-AGILE-24-10-01-G/standard-unit-rates/</x:v>
      </x:c>
    </x:row>
    <x:row r="1878" ht="21" customHeight="1">
      <x:c r="A1878" s="24" t="n">
        <x:v>46187.625</x:v>
      </x:c>
      <x:c r="B1878" s="6" t="n">
        <x:v>0.1472</x:v>
      </x:c>
      <x:c r="C1878" s="6" t="n">
        <x:v>0.09359999999999999</x:v>
      </x:c>
      <x:c r="D1878" s="6" t="n">
        <x:f>B1878</x:f>
        <x:v>0.1472</x:v>
      </x:c>
      <x:c r="E1878" s="1" t="n">
        <x:v>1.05</x:v>
      </x:c>
      <x:c r="F1878" s="1" t="str">
        <x:v>https://api.octopus.energy/v1/products/AGILE-24-10-01/electricity-tariffs/E-1R-AGILE-24-10-01-G/standard-unit-rates/</x:v>
      </x:c>
    </x:row>
    <x:row r="1879" ht="21" customHeight="1">
      <x:c r="A1879" s="24" t="n">
        <x:v>46187.645833333336</x:v>
      </x:c>
      <x:c r="B1879" s="6" t="n">
        <x:v>0.1589</x:v>
      </x:c>
      <x:c r="C1879" s="6" t="n">
        <x:v>0.0989</x:v>
      </x:c>
      <x:c r="D1879" s="6" t="n">
        <x:f>B1879</x:f>
        <x:v>0.1589</x:v>
      </x:c>
      <x:c r="E1879" s="1" t="n">
        <x:v>1.05</x:v>
      </x:c>
      <x:c r="F1879" s="1" t="str">
        <x:v>https://api.octopus.energy/v1/products/AGILE-24-10-01/electricity-tariffs/E-1R-AGILE-24-10-01-G/standard-unit-rates/</x:v>
      </x:c>
    </x:row>
    <x:row r="1880" ht="21" customHeight="1">
      <x:c r="A1880" s="24" t="n">
        <x:v>46187.666666666664</x:v>
      </x:c>
      <x:c r="B1880" s="6" t="n">
        <x:v>0.3095</x:v>
      </x:c>
      <x:c r="C1880" s="6" t="n">
        <x:v>0.1718</x:v>
      </x:c>
      <x:c r="D1880" s="6" t="n">
        <x:f>B1880</x:f>
        <x:v>0.3095</x:v>
      </x:c>
      <x:c r="E1880" s="1" t="n">
        <x:v>1.05</x:v>
      </x:c>
      <x:c r="F1880" s="1" t="str">
        <x:v>https://api.octopus.energy/v1/products/AGILE-24-10-01/electricity-tariffs/E-1R-AGILE-24-10-01-G/standard-unit-rates/</x:v>
      </x:c>
    </x:row>
    <x:row r="1881" ht="21" customHeight="1">
      <x:c r="A1881" s="24" t="n">
        <x:v>46187.6875</x:v>
      </x:c>
      <x:c r="B1881" s="6" t="n">
        <x:v>0.3146</x:v>
      </x:c>
      <x:c r="C1881" s="6" t="n">
        <x:v>0.1741</x:v>
      </x:c>
      <x:c r="D1881" s="6" t="n">
        <x:f>B1881</x:f>
        <x:v>0.3146</x:v>
      </x:c>
      <x:c r="E1881" s="1" t="n">
        <x:v>1.05</x:v>
      </x:c>
      <x:c r="F1881" s="1" t="str">
        <x:v>https://api.octopus.energy/v1/products/AGILE-24-10-01/electricity-tariffs/E-1R-AGILE-24-10-01-G/standard-unit-rates/</x:v>
      </x:c>
    </x:row>
    <x:row r="1882" ht="21" customHeight="1">
      <x:c r="A1882" s="24" t="n">
        <x:v>46187.708333333336</x:v>
      </x:c>
      <x:c r="B1882" s="6" t="n">
        <x:v>0.3281</x:v>
      </x:c>
      <x:c r="C1882" s="6" t="n">
        <x:v>0.18030000000000002</x:v>
      </x:c>
      <x:c r="D1882" s="6" t="n">
        <x:f>B1882</x:f>
        <x:v>0.3281</x:v>
      </x:c>
      <x:c r="E1882" s="1" t="n">
        <x:v>1.05</x:v>
      </x:c>
      <x:c r="F1882" s="1" t="str">
        <x:v>https://api.octopus.energy/v1/products/AGILE-24-10-01/electricity-tariffs/E-1R-AGILE-24-10-01-G/standard-unit-rates/</x:v>
      </x:c>
    </x:row>
    <x:row r="1883" ht="21" customHeight="1">
      <x:c r="A1883" s="24" t="n">
        <x:v>46187.729166666664</x:v>
      </x:c>
      <x:c r="B1883" s="6" t="n">
        <x:v>0.3378</x:v>
      </x:c>
      <x:c r="C1883" s="6" t="n">
        <x:v>0.18469999999999998</x:v>
      </x:c>
      <x:c r="D1883" s="6" t="n">
        <x:f>B1883</x:f>
        <x:v>0.3378</x:v>
      </x:c>
      <x:c r="E1883" s="1" t="n">
        <x:v>1.05</x:v>
      </x:c>
      <x:c r="F1883" s="1" t="str">
        <x:v>https://api.octopus.energy/v1/products/AGILE-24-10-01/electricity-tariffs/E-1R-AGILE-24-10-01-G/standard-unit-rates/</x:v>
      </x:c>
    </x:row>
    <x:row r="1884" ht="21" customHeight="1">
      <x:c r="A1884" s="24" t="n">
        <x:v>46187.75</x:v>
      </x:c>
      <x:c r="B1884" s="6" t="n">
        <x:v>0.34380000000000005</x:v>
      </x:c>
      <x:c r="C1884" s="6" t="n">
        <x:v>0.1875</x:v>
      </x:c>
      <x:c r="D1884" s="6" t="n">
        <x:f>B1884</x:f>
        <x:v>0.34380000000000005</x:v>
      </x:c>
      <x:c r="E1884" s="1" t="n">
        <x:v>1.05</x:v>
      </x:c>
      <x:c r="F1884" s="1" t="str">
        <x:v>https://api.octopus.energy/v1/products/AGILE-24-10-01/electricity-tariffs/E-1R-AGILE-24-10-01-G/standard-unit-rates/</x:v>
      </x:c>
    </x:row>
    <x:row r="1885" ht="21" customHeight="1">
      <x:c r="A1885" s="24" t="n">
        <x:v>46187.770833333336</x:v>
      </x:c>
      <x:c r="B1885" s="6" t="n">
        <x:v>0.33020000000000005</x:v>
      </x:c>
      <x:c r="C1885" s="6" t="n">
        <x:v>0.1813</x:v>
      </x:c>
      <x:c r="D1885" s="6" t="n">
        <x:f>B1885</x:f>
        <x:v>0.33020000000000005</x:v>
      </x:c>
      <x:c r="E1885" s="1" t="n">
        <x:v>1.05</x:v>
      </x:c>
      <x:c r="F1885" s="1" t="str">
        <x:v>https://api.octopus.energy/v1/products/AGILE-24-10-01/electricity-tariffs/E-1R-AGILE-24-10-01-G/standard-unit-rates/</x:v>
      </x:c>
    </x:row>
    <x:row r="1886" ht="21" customHeight="1">
      <x:c r="A1886" s="24" t="n">
        <x:v>46187.791666666664</x:v>
      </x:c>
      <x:c r="B1886" s="6" t="n">
        <x:v>0.2207</x:v>
      </x:c>
      <x:c r="C1886" s="6" t="n">
        <x:v>0.1272</x:v>
      </x:c>
      <x:c r="D1886" s="6" t="n">
        <x:f>B1886</x:f>
        <x:v>0.2207</x:v>
      </x:c>
      <x:c r="E1886" s="1" t="n">
        <x:v>1.05</x:v>
      </x:c>
      <x:c r="F1886" s="1" t="str">
        <x:v>https://api.octopus.energy/v1/products/AGILE-24-10-01/electricity-tariffs/E-1R-AGILE-24-10-01-G/standard-unit-rates/</x:v>
      </x:c>
    </x:row>
    <x:row r="1887" ht="21" customHeight="1">
      <x:c r="A1887" s="24" t="n">
        <x:v>46187.8125</x:v>
      </x:c>
      <x:c r="B1887" s="6" t="n">
        <x:v>0.22769999999999999</x:v>
      </x:c>
      <x:c r="C1887" s="6" t="n">
        <x:v>0.1304</x:v>
      </x:c>
      <x:c r="D1887" s="6" t="n">
        <x:f>B1887</x:f>
        <x:v>0.22769999999999999</x:v>
      </x:c>
      <x:c r="E1887" s="1" t="n">
        <x:v>1.05</x:v>
      </x:c>
      <x:c r="F1887" s="1" t="str">
        <x:v>https://api.octopus.energy/v1/products/AGILE-24-10-01/electricity-tariffs/E-1R-AGILE-24-10-01-G/standard-unit-rates/</x:v>
      </x:c>
    </x:row>
    <x:row r="1888" ht="21" customHeight="1">
      <x:c r="A1888" s="24" t="n">
        <x:v>46187.833333333336</x:v>
      </x:c>
      <x:c r="B1888" s="6" t="n">
        <x:v>0.2368</x:v>
      </x:c>
      <x:c r="C1888" s="6" t="n">
        <x:v>0.13449999999999998</x:v>
      </x:c>
      <x:c r="D1888" s="6" t="n">
        <x:f>B1888</x:f>
        <x:v>0.2368</x:v>
      </x:c>
      <x:c r="E1888" s="1" t="n">
        <x:v>1.05</x:v>
      </x:c>
      <x:c r="F1888" s="1" t="str">
        <x:v>https://api.octopus.energy/v1/products/AGILE-24-10-01/electricity-tariffs/E-1R-AGILE-24-10-01-G/standard-unit-rates/</x:v>
      </x:c>
    </x:row>
    <x:row r="1889" ht="21" customHeight="1">
      <x:c r="A1889" s="24" t="n">
        <x:v>46187.854166666664</x:v>
      </x:c>
      <x:c r="B1889" s="6" t="n">
        <x:v>0.23800000000000002</x:v>
      </x:c>
      <x:c r="C1889" s="6" t="n">
        <x:v>0.1351</x:v>
      </x:c>
      <x:c r="D1889" s="6" t="n">
        <x:f>B1889</x:f>
        <x:v>0.23800000000000002</x:v>
      </x:c>
      <x:c r="E1889" s="1" t="n">
        <x:v>1.05</x:v>
      </x:c>
      <x:c r="F1889" s="1" t="str">
        <x:v>https://api.octopus.energy/v1/products/AGILE-24-10-01/electricity-tariffs/E-1R-AGILE-24-10-01-G/standard-unit-rates/</x:v>
      </x:c>
    </x:row>
    <x:row r="1890" ht="21" customHeight="1">
      <x:c r="A1890" s="24" t="n">
        <x:v>46187.875</x:v>
      </x:c>
      <x:c r="B1890" s="6" t="n">
        <x:v>0.2255</x:v>
      </x:c>
      <x:c r="C1890" s="6" t="n">
        <x:v>0.1294</x:v>
      </x:c>
      <x:c r="D1890" s="6" t="n">
        <x:f>B1890</x:f>
        <x:v>0.2255</x:v>
      </x:c>
      <x:c r="E1890" s="1" t="n">
        <x:v>1.05</x:v>
      </x:c>
      <x:c r="F1890" s="1" t="str">
        <x:v>https://api.octopus.energy/v1/products/AGILE-24-10-01/electricity-tariffs/E-1R-AGILE-24-10-01-G/standard-unit-rates/</x:v>
      </x:c>
    </x:row>
    <x:row r="1891" ht="21" customHeight="1">
      <x:c r="A1891" s="24" t="n">
        <x:v>46187.895833333336</x:v>
      </x:c>
      <x:c r="B1891" s="6" t="n">
        <x:v>0.2266</x:v>
      </x:c>
      <x:c r="C1891" s="6" t="n">
        <x:v>0.1298</x:v>
      </x:c>
      <x:c r="D1891" s="6" t="n">
        <x:f>B1891</x:f>
        <x:v>0.2266</x:v>
      </x:c>
      <x:c r="E1891" s="1" t="n">
        <x:v>1.05</x:v>
      </x:c>
      <x:c r="F1891" s="1" t="str">
        <x:v>https://api.octopus.energy/v1/products/AGILE-24-10-01/electricity-tariffs/E-1R-AGILE-24-10-01-G/standard-unit-rates/</x:v>
      </x:c>
    </x:row>
    <x:row r="1892" ht="21" customHeight="1">
      <x:c r="A1892" s="24" t="n">
        <x:v>46187.916666666664</x:v>
      </x:c>
      <x:c r="B1892" s="6" t="n">
        <x:v>0.2241</x:v>
      </x:c>
      <x:c r="C1892" s="6" t="n">
        <x:v>0.12869999999999998</x:v>
      </x:c>
      <x:c r="D1892" s="6" t="n">
        <x:f>B1892</x:f>
        <x:v>0.2241</x:v>
      </x:c>
      <x:c r="E1892" s="1" t="n">
        <x:v>1.05</x:v>
      </x:c>
      <x:c r="F1892" s="1" t="str">
        <x:v>https://api.octopus.energy/v1/products/AGILE-24-10-01/electricity-tariffs/E-1R-AGILE-24-10-01-G/standard-unit-rates/</x:v>
      </x:c>
    </x:row>
    <x:row r="1893" ht="21" customHeight="1">
      <x:c r="A1893" s="24" t="n">
        <x:v>46187.9375</x:v>
      </x:c>
      <x:c r="B1893" s="6" t="n">
        <x:v>0.2165</x:v>
      </x:c>
      <x:c r="C1893" s="6" t="n">
        <x:v>0.1253</x:v>
      </x:c>
      <x:c r="D1893" s="6" t="n">
        <x:f>B1893</x:f>
        <x:v>0.2165</x:v>
      </x:c>
      <x:c r="E1893" s="1" t="n">
        <x:v>1.05</x:v>
      </x:c>
      <x:c r="F1893" s="1" t="str">
        <x:v>https://api.octopus.energy/v1/products/AGILE-24-10-01/electricity-tariffs/E-1R-AGILE-24-10-01-G/standard-unit-rates/</x:v>
      </x:c>
    </x:row>
    <x:row r="1894" ht="21" customHeight="1">
      <x:c r="A1894" s="24" t="n">
        <x:v>46188</x:v>
      </x:c>
      <x:c r="B1894" s="6" t="n">
        <x:v>0.18289999999999998</x:v>
      </x:c>
      <x:c r="C1894" s="6" t="n">
        <x:v>0.1099</x:v>
      </x:c>
      <x:c r="D1894" s="6" t="n">
        <x:f>B1894</x:f>
        <x:v>0.18289999999999998</x:v>
      </x:c>
      <x:c r="E1894" s="1" t="n">
        <x:v>1.05</x:v>
      </x:c>
      <x:c r="F1894" s="1" t="str">
        <x:v>https://api.octopus.energy/v1/products/AGILE-24-10-01/electricity-tariffs/E-1R-AGILE-24-10-01-G/standard-unit-rates/</x:v>
      </x:c>
    </x:row>
    <x:row r="1895" ht="21" customHeight="1">
      <x:c r="A1895" s="24" t="n">
        <x:v>46187.979166666664</x:v>
      </x:c>
      <x:c r="B1895" s="6" t="n">
        <x:v>0.16820000000000002</x:v>
      </x:c>
      <x:c r="C1895" s="6" t="n">
        <x:v>0.10310000000000001</x:v>
      </x:c>
      <x:c r="D1895" s="6" t="n">
        <x:f>B1895</x:f>
        <x:v>0.16820000000000002</x:v>
      </x:c>
      <x:c r="E1895" s="1" t="n">
        <x:v>1.05</x:v>
      </x:c>
      <x:c r="F1895" s="1" t="str">
        <x:v>https://api.octopus.energy/v1/products/AGILE-24-10-01/electricity-tariffs/E-1R-AGILE-24-10-01-G/standard-unit-rates/</x:v>
      </x:c>
    </x:row>
    <x:row r="1896" ht="21" customHeight="1">
      <x:c r="A1896" s="24" t="n">
        <x:v>46188</x:v>
      </x:c>
      <x:c r="B1896" s="6" t="n">
        <x:v>0.1707</x:v>
      </x:c>
      <x:c r="C1896" s="6" t="n">
        <x:v>0.1043</x:v>
      </x:c>
      <x:c r="D1896" s="6" t="n">
        <x:f>B1896</x:f>
        <x:v>0.1707</x:v>
      </x:c>
      <x:c r="E1896" s="1" t="n">
        <x:v>1.05</x:v>
      </x:c>
      <x:c r="F1896" s="1" t="str">
        <x:v>https://api.octopus.energy/v1/products/AGILE-24-10-01/electricity-tariffs/E-1R-AGILE-24-10-01-G/standard-unit-rates/</x:v>
      </x:c>
    </x:row>
    <x:row r="1897" ht="21" customHeight="1">
      <x:c r="A1897" s="24" t="n">
        <x:v>46188.020833333336</x:v>
      </x:c>
      <x:c r="B1897" s="6" t="n">
        <x:v>0.1629</x:v>
      </x:c>
      <x:c r="C1897" s="6" t="n">
        <x:v>0.1007</x:v>
      </x:c>
      <x:c r="D1897" s="6" t="n">
        <x:f>B1897</x:f>
        <x:v>0.1629</x:v>
      </x:c>
      <x:c r="E1897" s="1" t="n">
        <x:v>1.05</x:v>
      </x:c>
      <x:c r="F1897" s="1" t="str">
        <x:v>https://api.octopus.energy/v1/products/AGILE-24-10-01/electricity-tariffs/E-1R-AGILE-24-10-01-G/standard-unit-rates/</x:v>
      </x:c>
    </x:row>
    <x:row r="1898" ht="21" customHeight="1">
      <x:c r="A1898" s="24" t="n">
        <x:v>46188.041666666664</x:v>
      </x:c>
      <x:c r="B1898" s="6" t="n">
        <x:v>0.1577</x:v>
      </x:c>
      <x:c r="C1898" s="6" t="n">
        <x:v>0.0984</x:v>
      </x:c>
      <x:c r="D1898" s="6" t="n">
        <x:f>B1898</x:f>
        <x:v>0.1577</x:v>
      </x:c>
      <x:c r="E1898" s="1" t="n">
        <x:v>1.05</x:v>
      </x:c>
      <x:c r="F1898" s="1" t="str">
        <x:v>https://api.octopus.energy/v1/products/AGILE-24-10-01/electricity-tariffs/E-1R-AGILE-24-10-01-G/standard-unit-rates/</x:v>
      </x:c>
    </x:row>
    <x:row r="1899" ht="21" customHeight="1">
      <x:c r="A1899" s="24" t="n">
        <x:v>46188.0625</x:v>
      </x:c>
      <x:c r="B1899" s="6" t="n">
        <x:v>0.1577</x:v>
      </x:c>
      <x:c r="C1899" s="6" t="n">
        <x:v>0.0984</x:v>
      </x:c>
      <x:c r="D1899" s="6" t="n">
        <x:f>B1899</x:f>
        <x:v>0.1577</x:v>
      </x:c>
      <x:c r="E1899" s="1" t="n">
        <x:v>1.05</x:v>
      </x:c>
      <x:c r="F1899" s="1" t="str">
        <x:v>https://api.octopus.energy/v1/products/AGILE-24-10-01/electricity-tariffs/E-1R-AGILE-24-10-01-G/standard-unit-rates/</x:v>
      </x:c>
    </x:row>
    <x:row r="1900" ht="21" customHeight="1">
      <x:c r="A1900" s="24" t="n">
        <x:v>46188.083333333336</x:v>
      </x:c>
      <x:c r="B1900" s="6" t="n">
        <x:v>0.1618</x:v>
      </x:c>
      <x:c r="C1900" s="6" t="n">
        <x:v>0.1002</x:v>
      </x:c>
      <x:c r="D1900" s="6" t="n">
        <x:f>B1900</x:f>
        <x:v>0.1618</x:v>
      </x:c>
      <x:c r="E1900" s="1" t="n">
        <x:v>1.05</x:v>
      </x:c>
      <x:c r="F1900" s="1" t="str">
        <x:v>https://api.octopus.energy/v1/products/AGILE-24-10-01/electricity-tariffs/E-1R-AGILE-24-10-01-G/standard-unit-rates/</x:v>
      </x:c>
    </x:row>
    <x:row r="1901" ht="21" customHeight="1">
      <x:c r="A1901" s="24" t="n">
        <x:v>46188.104166666664</x:v>
      </x:c>
      <x:c r="B1901" s="6" t="n">
        <x:v>0.156</x:v>
      </x:c>
      <x:c r="C1901" s="6" t="n">
        <x:v>0.09759999999999999</x:v>
      </x:c>
      <x:c r="D1901" s="6" t="n">
        <x:f>B1901</x:f>
        <x:v>0.156</x:v>
      </x:c>
      <x:c r="E1901" s="1" t="n">
        <x:v>1.05</x:v>
      </x:c>
      <x:c r="F1901" s="1" t="str">
        <x:v>https://api.octopus.energy/v1/products/AGILE-24-10-01/electricity-tariffs/E-1R-AGILE-24-10-01-G/standard-unit-rates/</x:v>
      </x:c>
    </x:row>
    <x:row r="1902" ht="21" customHeight="1">
      <x:c r="A1902" s="24" t="n">
        <x:v>46188.125</x:v>
      </x:c>
      <x:c r="B1902" s="6" t="n">
        <x:v>0.1514</x:v>
      </x:c>
      <x:c r="C1902" s="6" t="n">
        <x:v>0.0955</x:v>
      </x:c>
      <x:c r="D1902" s="6" t="n">
        <x:f>B1902</x:f>
        <x:v>0.1514</x:v>
      </x:c>
      <x:c r="E1902" s="1" t="n">
        <x:v>1.05</x:v>
      </x:c>
      <x:c r="F1902" s="1" t="str">
        <x:v>https://api.octopus.energy/v1/products/AGILE-24-10-01/electricity-tariffs/E-1R-AGILE-24-10-01-G/standard-unit-rates/</x:v>
      </x:c>
    </x:row>
    <x:row r="1903" ht="21" customHeight="1">
      <x:c r="A1903" s="24" t="n">
        <x:v>46188.145833333336</x:v>
      </x:c>
      <x:c r="B1903" s="6" t="n">
        <x:v>0.1577</x:v>
      </x:c>
      <x:c r="C1903" s="6" t="n">
        <x:v>0.0983</x:v>
      </x:c>
      <x:c r="D1903" s="6" t="n">
        <x:f>B1903</x:f>
        <x:v>0.1577</x:v>
      </x:c>
      <x:c r="E1903" s="1" t="n">
        <x:v>1.05</x:v>
      </x:c>
      <x:c r="F1903" s="1" t="str">
        <x:v>https://api.octopus.energy/v1/products/AGILE-24-10-01/electricity-tariffs/E-1R-AGILE-24-10-01-G/standard-unit-rates/</x:v>
      </x:c>
    </x:row>
    <x:row r="1904" ht="21" customHeight="1">
      <x:c r="A1904" s="24" t="n">
        <x:v>46188.166666666664</x:v>
      </x:c>
      <x:c r="B1904" s="6" t="n">
        <x:v>0.15380000000000002</x:v>
      </x:c>
      <x:c r="C1904" s="6" t="n">
        <x:v>0.0966</x:v>
      </x:c>
      <x:c r="D1904" s="6" t="n">
        <x:f>B1904</x:f>
        <x:v>0.15380000000000002</x:v>
      </x:c>
      <x:c r="E1904" s="1" t="n">
        <x:v>1.05</x:v>
      </x:c>
      <x:c r="F1904" s="1" t="str">
        <x:v>https://api.octopus.energy/v1/products/AGILE-24-10-01/electricity-tariffs/E-1R-AGILE-24-10-01-G/standard-unit-rates/</x:v>
      </x:c>
    </x:row>
    <x:row r="1905" ht="21" customHeight="1">
      <x:c r="A1905" s="24" t="n">
        <x:v>46188.1875</x:v>
      </x:c>
      <x:c r="B1905" s="6" t="n">
        <x:v>0.1496</x:v>
      </x:c>
      <x:c r="C1905" s="6" t="n">
        <x:v>0.0946</x:v>
      </x:c>
      <x:c r="D1905" s="6" t="n">
        <x:f>B1905</x:f>
        <x:v>0.1496</x:v>
      </x:c>
      <x:c r="E1905" s="1" t="n">
        <x:v>1.05</x:v>
      </x:c>
      <x:c r="F1905" s="1" t="str">
        <x:v>https://api.octopus.energy/v1/products/AGILE-24-10-01/electricity-tariffs/E-1R-AGILE-24-10-01-G/standard-unit-rates/</x:v>
      </x:c>
    </x:row>
    <x:row r="1906" ht="21" customHeight="1">
      <x:c r="A1906" s="24" t="n">
        <x:v>46188.208333333336</x:v>
      </x:c>
      <x:c r="B1906" s="6" t="n">
        <x:v>0.1629</x:v>
      </x:c>
      <x:c r="C1906" s="6" t="n">
        <x:v>0.1007</x:v>
      </x:c>
      <x:c r="D1906" s="6" t="n">
        <x:f>B1906</x:f>
        <x:v>0.1629</x:v>
      </x:c>
      <x:c r="E1906" s="1" t="n">
        <x:v>1.05</x:v>
      </x:c>
      <x:c r="F1906" s="1" t="str">
        <x:v>https://api.octopus.energy/v1/products/AGILE-24-10-01/electricity-tariffs/E-1R-AGILE-24-10-01-G/standard-unit-rates/</x:v>
      </x:c>
    </x:row>
    <x:row r="1907" ht="21" customHeight="1">
      <x:c r="A1907" s="24" t="n">
        <x:v>46188.229166666664</x:v>
      </x:c>
      <x:c r="B1907" s="6" t="n">
        <x:v>0.15960000000000002</x:v>
      </x:c>
      <x:c r="C1907" s="6" t="n">
        <x:v>0.0992</x:v>
      </x:c>
      <x:c r="D1907" s="6" t="n">
        <x:f>B1907</x:f>
        <x:v>0.15960000000000002</x:v>
      </x:c>
      <x:c r="E1907" s="1" t="n">
        <x:v>1.05</x:v>
      </x:c>
      <x:c r="F1907" s="1" t="str">
        <x:v>https://api.octopus.energy/v1/products/AGILE-24-10-01/electricity-tariffs/E-1R-AGILE-24-10-01-G/standard-unit-rates/</x:v>
      </x:c>
    </x:row>
    <x:row r="1908" ht="21" customHeight="1">
      <x:c r="A1908" s="24" t="n">
        <x:v>46188.25</x:v>
      </x:c>
      <x:c r="B1908" s="6" t="n">
        <x:v>0.1646</x:v>
      </x:c>
      <x:c r="C1908" s="6" t="n">
        <x:v>0.1015</x:v>
      </x:c>
      <x:c r="D1908" s="6" t="n">
        <x:f>B1908</x:f>
        <x:v>0.1646</x:v>
      </x:c>
      <x:c r="E1908" s="1" t="n">
        <x:v>1.05</x:v>
      </x:c>
      <x:c r="F1908" s="1" t="str">
        <x:v>https://api.octopus.energy/v1/products/AGILE-24-10-01/electricity-tariffs/E-1R-AGILE-24-10-01-G/standard-unit-rates/</x:v>
      </x:c>
    </x:row>
    <x:row r="1909" ht="21" customHeight="1">
      <x:c r="A1909" s="24" t="n">
        <x:v>46188.270833333336</x:v>
      </x:c>
      <x:c r="B1909" s="6" t="n">
        <x:v>0.2004</x:v>
      </x:c>
      <x:c r="C1909" s="6" t="n">
        <x:v>0.11789999999999999</x:v>
      </x:c>
      <x:c r="D1909" s="6" t="n">
        <x:f>B1909</x:f>
        <x:v>0.2004</x:v>
      </x:c>
      <x:c r="E1909" s="1" t="n">
        <x:v>1.05</x:v>
      </x:c>
      <x:c r="F1909" s="1" t="str">
        <x:v>https://api.octopus.energy/v1/products/AGILE-24-10-01/electricity-tariffs/E-1R-AGILE-24-10-01-G/standard-unit-rates/</x:v>
      </x:c>
    </x:row>
    <x:row r="1910" ht="21" customHeight="1">
      <x:c r="A1910" s="24" t="n">
        <x:v>46188.291666666664</x:v>
      </x:c>
      <x:c r="B1910" s="6" t="n">
        <x:v>0.21539999999999998</x:v>
      </x:c>
      <x:c r="C1910" s="6" t="n">
        <x:v>0.12480000000000001</x:v>
      </x:c>
      <x:c r="D1910" s="6" t="n">
        <x:f>B1910</x:f>
        <x:v>0.21539999999999998</x:v>
      </x:c>
      <x:c r="E1910" s="1" t="n">
        <x:v>1.05</x:v>
      </x:c>
      <x:c r="F1910" s="1" t="str">
        <x:v>https://api.octopus.energy/v1/products/AGILE-24-10-01/electricity-tariffs/E-1R-AGILE-24-10-01-G/standard-unit-rates/</x:v>
      </x:c>
    </x:row>
    <x:row r="1911" ht="21" customHeight="1">
      <x:c r="A1911" s="24" t="n">
        <x:v>46188.3125</x:v>
      </x:c>
      <x:c r="B1911" s="6" t="n">
        <x:v>0.2186</x:v>
      </x:c>
      <x:c r="C1911" s="6" t="n">
        <x:v>0.12619999999999998</x:v>
      </x:c>
      <x:c r="D1911" s="6" t="n">
        <x:f>B1911</x:f>
        <x:v>0.2186</x:v>
      </x:c>
      <x:c r="E1911" s="1" t="n">
        <x:v>1.05</x:v>
      </x:c>
      <x:c r="F1911" s="1" t="str">
        <x:v>https://api.octopus.energy/v1/products/AGILE-24-10-01/electricity-tariffs/E-1R-AGILE-24-10-01-G/standard-unit-rates/</x:v>
      </x:c>
    </x:row>
    <x:row r="1912" ht="21" customHeight="1">
      <x:c r="A1912" s="24" t="n">
        <x:v>46188.333333333336</x:v>
      </x:c>
      <x:c r="B1912" s="6" t="n">
        <x:v>0.20579999999999998</x:v>
      </x:c>
      <x:c r="C1912" s="6" t="n">
        <x:v>0.12029999999999999</x:v>
      </x:c>
      <x:c r="D1912" s="6" t="n">
        <x:f>B1912</x:f>
        <x:v>0.20579999999999998</x:v>
      </x:c>
      <x:c r="E1912" s="1" t="n">
        <x:v>1.05</x:v>
      </x:c>
      <x:c r="F1912" s="1" t="str">
        <x:v>https://api.octopus.energy/v1/products/AGILE-24-10-01/electricity-tariffs/E-1R-AGILE-24-10-01-G/standard-unit-rates/</x:v>
      </x:c>
    </x:row>
    <x:row r="1913" ht="21" customHeight="1">
      <x:c r="A1913" s="24" t="n">
        <x:v>46188.354166666664</x:v>
      </x:c>
      <x:c r="B1913" s="6" t="n">
        <x:v>0.1911</x:v>
      </x:c>
      <x:c r="C1913" s="6" t="n">
        <x:v>0.11359999999999999</x:v>
      </x:c>
      <x:c r="D1913" s="6" t="n">
        <x:f>B1913</x:f>
        <x:v>0.1911</x:v>
      </x:c>
      <x:c r="E1913" s="1" t="n">
        <x:v>1.05</x:v>
      </x:c>
      <x:c r="F1913" s="1" t="str">
        <x:v>https://api.octopus.energy/v1/products/AGILE-24-10-01/electricity-tariffs/E-1R-AGILE-24-10-01-G/standard-unit-rates/</x:v>
      </x:c>
    </x:row>
    <x:row r="1914" ht="21" customHeight="1">
      <x:c r="A1914" s="24" t="n">
        <x:v>46188.375</x:v>
      </x:c>
      <x:c r="B1914" s="6" t="n">
        <x:v>0.1973</x:v>
      </x:c>
      <x:c r="C1914" s="6" t="n">
        <x:v>0.1164</x:v>
      </x:c>
      <x:c r="D1914" s="6" t="n">
        <x:f>B1914</x:f>
        <x:v>0.1973</x:v>
      </x:c>
      <x:c r="E1914" s="1" t="n">
        <x:v>1.05</x:v>
      </x:c>
      <x:c r="F1914" s="1" t="str">
        <x:v>https://api.octopus.energy/v1/products/AGILE-24-10-01/electricity-tariffs/E-1R-AGILE-24-10-01-G/standard-unit-rates/</x:v>
      </x:c>
    </x:row>
    <x:row r="1915" ht="21" customHeight="1">
      <x:c r="A1915" s="24" t="n">
        <x:v>46188.395833333336</x:v>
      </x:c>
      <x:c r="B1915" s="6" t="n">
        <x:v>0.17920000000000003</x:v>
      </x:c>
      <x:c r="C1915" s="6" t="n">
        <x:v>0.1082</x:v>
      </x:c>
      <x:c r="D1915" s="6" t="n">
        <x:f>B1915</x:f>
        <x:v>0.17920000000000003</x:v>
      </x:c>
      <x:c r="E1915" s="1" t="n">
        <x:v>1.05</x:v>
      </x:c>
      <x:c r="F1915" s="1" t="str">
        <x:v>https://api.octopus.energy/v1/products/AGILE-24-10-01/electricity-tariffs/E-1R-AGILE-24-10-01-G/standard-unit-rates/</x:v>
      </x:c>
    </x:row>
    <x:row r="1916" ht="21" customHeight="1">
      <x:c r="A1916" s="24" t="n">
        <x:v>46188.416666666664</x:v>
      </x:c>
      <x:c r="B1916" s="6" t="n">
        <x:v>0.1613</x:v>
      </x:c>
      <x:c r="C1916" s="6" t="n">
        <x:v>0.1</x:v>
      </x:c>
      <x:c r="D1916" s="6" t="n">
        <x:f>B1916</x:f>
        <x:v>0.1613</x:v>
      </x:c>
      <x:c r="E1916" s="1" t="n">
        <x:v>1.05</x:v>
      </x:c>
      <x:c r="F1916" s="1" t="str">
        <x:v>https://api.octopus.energy/v1/products/AGILE-24-10-01/electricity-tariffs/E-1R-AGILE-24-10-01-G/standard-unit-rates/</x:v>
      </x:c>
    </x:row>
    <x:row r="1917" ht="21" customHeight="1">
      <x:c r="A1917" s="24" t="n">
        <x:v>46188.4375</x:v>
      </x:c>
      <x:c r="B1917" s="6" t="n">
        <x:v>0.14529999999999998</x:v>
      </x:c>
      <x:c r="C1917" s="6" t="n">
        <x:v>0.09269999999999999</x:v>
      </x:c>
      <x:c r="D1917" s="6" t="n">
        <x:f>B1917</x:f>
        <x:v>0.14529999999999998</x:v>
      </x:c>
      <x:c r="E1917" s="1" t="n">
        <x:v>1.05</x:v>
      </x:c>
      <x:c r="F1917" s="1" t="str">
        <x:v>https://api.octopus.energy/v1/products/AGILE-24-10-01/electricity-tariffs/E-1R-AGILE-24-10-01-G/standard-unit-rates/</x:v>
      </x:c>
    </x:row>
    <x:row r="1918" ht="21" customHeight="1">
      <x:c r="A1918" s="24" t="n">
        <x:v>46188.458333333336</x:v>
      </x:c>
      <x:c r="B1918" s="6" t="n">
        <x:v>0.1522</x:v>
      </x:c>
      <x:c r="C1918" s="6" t="n">
        <x:v>0.0959</x:v>
      </x:c>
      <x:c r="D1918" s="6" t="n">
        <x:f>B1918</x:f>
        <x:v>0.1522</x:v>
      </x:c>
      <x:c r="E1918" s="1" t="n">
        <x:v>1.05</x:v>
      </x:c>
      <x:c r="F1918" s="1" t="str">
        <x:v>https://api.octopus.energy/v1/products/AGILE-24-10-01/electricity-tariffs/E-1R-AGILE-24-10-01-G/standard-unit-rates/</x:v>
      </x:c>
    </x:row>
    <x:row r="1919" ht="21" customHeight="1">
      <x:c r="A1919" s="24" t="n">
        <x:v>46188.479166666664</x:v>
      </x:c>
      <x:c r="B1919" s="6" t="n">
        <x:v>0.1447</x:v>
      </x:c>
      <x:c r="C1919" s="6" t="n">
        <x:v>0.0924</x:v>
      </x:c>
      <x:c r="D1919" s="6" t="n">
        <x:f>B1919</x:f>
        <x:v>0.1447</x:v>
      </x:c>
      <x:c r="E1919" s="1" t="n">
        <x:v>1.05</x:v>
      </x:c>
      <x:c r="F1919" s="1" t="str">
        <x:v>https://api.octopus.energy/v1/products/AGILE-24-10-01/electricity-tariffs/E-1R-AGILE-24-10-01-G/standard-unit-rates/</x:v>
      </x:c>
    </x:row>
    <x:row r="1920" ht="21" customHeight="1">
      <x:c r="A1920" s="24" t="n">
        <x:v>46188.5</x:v>
      </x:c>
      <x:c r="B1920" s="6" t="n">
        <x:v>0.1542</x:v>
      </x:c>
      <x:c r="C1920" s="6" t="n">
        <x:v>0.0967</x:v>
      </x:c>
      <x:c r="D1920" s="6" t="n">
        <x:f>B1920</x:f>
        <x:v>0.1542</x:v>
      </x:c>
      <x:c r="E1920" s="1" t="n">
        <x:v>1.05</x:v>
      </x:c>
      <x:c r="F1920" s="1" t="str">
        <x:v>https://api.octopus.energy/v1/products/AGILE-24-10-01/electricity-tariffs/E-1R-AGILE-24-10-01-G/standard-unit-rates/</x:v>
      </x:c>
    </x:row>
    <x:row r="1921" ht="21" customHeight="1">
      <x:c r="A1921" s="24" t="n">
        <x:v>46188.520833333336</x:v>
      </x:c>
      <x:c r="B1921" s="6" t="n">
        <x:v>0.15289999999999998</x:v>
      </x:c>
      <x:c r="C1921" s="6" t="n">
        <x:v>0.0962</x:v>
      </x:c>
      <x:c r="D1921" s="6" t="n">
        <x:f>B1921</x:f>
        <x:v>0.15289999999999998</x:v>
      </x:c>
      <x:c r="E1921" s="1" t="n">
        <x:v>1.05</x:v>
      </x:c>
      <x:c r="F1921" s="1" t="str">
        <x:v>https://api.octopus.energy/v1/products/AGILE-24-10-01/electricity-tariffs/E-1R-AGILE-24-10-01-G/standard-unit-rates/</x:v>
      </x:c>
    </x:row>
    <x:row r="1922" ht="21" customHeight="1">
      <x:c r="A1922" s="24" t="n">
        <x:v>46188.541666666664</x:v>
      </x:c>
      <x:c r="B1922" s="6" t="n">
        <x:v>0.155</x:v>
      </x:c>
      <x:c r="C1922" s="6" t="n">
        <x:v>0.0971</x:v>
      </x:c>
      <x:c r="D1922" s="6" t="n">
        <x:f>B1922</x:f>
        <x:v>0.155</x:v>
      </x:c>
      <x:c r="E1922" s="1" t="n">
        <x:v>1.05</x:v>
      </x:c>
      <x:c r="F1922" s="1" t="str">
        <x:v>https://api.octopus.energy/v1/products/AGILE-24-10-01/electricity-tariffs/E-1R-AGILE-24-10-01-G/standard-unit-rates/</x:v>
      </x:c>
    </x:row>
    <x:row r="1923" ht="21" customHeight="1">
      <x:c r="A1923" s="24" t="n">
        <x:v>46188.5625</x:v>
      </x:c>
      <x:c r="B1923" s="6" t="n">
        <x:v>0.14400000000000002</x:v>
      </x:c>
      <x:c r="C1923" s="6" t="n">
        <x:v>0.09210000000000002</x:v>
      </x:c>
      <x:c r="D1923" s="6" t="n">
        <x:f>B1923</x:f>
        <x:v>0.14400000000000002</x:v>
      </x:c>
      <x:c r="E1923" s="1" t="n">
        <x:v>1.05</x:v>
      </x:c>
      <x:c r="F1923" s="1" t="str">
        <x:v>https://api.octopus.energy/v1/products/AGILE-24-10-01/electricity-tariffs/E-1R-AGILE-24-10-01-G/standard-unit-rates/</x:v>
      </x:c>
    </x:row>
    <x:row r="1924" ht="21" customHeight="1">
      <x:c r="A1924" s="24" t="n">
        <x:v>46188.583333333336</x:v>
      </x:c>
      <x:c r="B1924" s="6" t="n">
        <x:v>0.15039999999999998</x:v>
      </x:c>
      <x:c r="C1924" s="6" t="n">
        <x:v>0.095</x:v>
      </x:c>
      <x:c r="D1924" s="6" t="n">
        <x:f>B1924</x:f>
        <x:v>0.15039999999999998</x:v>
      </x:c>
      <x:c r="E1924" s="1" t="n">
        <x:v>1.05</x:v>
      </x:c>
      <x:c r="F1924" s="1" t="str">
        <x:v>https://api.octopus.energy/v1/products/AGILE-24-10-01/electricity-tariffs/E-1R-AGILE-24-10-01-G/standard-unit-rates/</x:v>
      </x:c>
    </x:row>
    <x:row r="1925" ht="21" customHeight="1">
      <x:c r="A1925" s="24" t="n">
        <x:v>46188.604166666664</x:v>
      </x:c>
      <x:c r="B1925" s="6" t="n">
        <x:v>0.1477</x:v>
      </x:c>
      <x:c r="C1925" s="6" t="n">
        <x:v>0.09380000000000001</x:v>
      </x:c>
      <x:c r="D1925" s="6" t="n">
        <x:f>B1925</x:f>
        <x:v>0.1477</x:v>
      </x:c>
      <x:c r="E1925" s="1" t="n">
        <x:v>1.05</x:v>
      </x:c>
      <x:c r="F1925" s="1" t="str">
        <x:v>https://api.octopus.energy/v1/products/AGILE-24-10-01/electricity-tariffs/E-1R-AGILE-24-10-01-G/standard-unit-rates/</x:v>
      </x:c>
    </x:row>
    <x:row r="1926" ht="21" customHeight="1">
      <x:c r="A1926" s="24" t="n">
        <x:v>46188.625</x:v>
      </x:c>
      <x:c r="B1926" s="6" t="n">
        <x:v>0.1491</x:v>
      </x:c>
      <x:c r="C1926" s="6" t="n">
        <x:v>0.0944</x:v>
      </x:c>
      <x:c r="D1926" s="6" t="n">
        <x:f>B1926</x:f>
        <x:v>0.1491</x:v>
      </x:c>
      <x:c r="E1926" s="1" t="n">
        <x:v>1.05</x:v>
      </x:c>
      <x:c r="F1926" s="1" t="str">
        <x:v>https://api.octopus.energy/v1/products/AGILE-24-10-01/electricity-tariffs/E-1R-AGILE-24-10-01-G/standard-unit-rates/</x:v>
      </x:c>
    </x:row>
    <x:row r="1927" ht="21" customHeight="1">
      <x:c r="A1927" s="24" t="n">
        <x:v>46188.645833333336</x:v>
      </x:c>
      <x:c r="B1927" s="6" t="n">
        <x:v>0.1632</x:v>
      </x:c>
      <x:c r="C1927" s="6" t="n">
        <x:v>0.1009</x:v>
      </x:c>
      <x:c r="D1927" s="6" t="n">
        <x:f>B1927</x:f>
        <x:v>0.1632</x:v>
      </x:c>
      <x:c r="E1927" s="1" t="n">
        <x:v>1.05</x:v>
      </x:c>
      <x:c r="F1927" s="1" t="str">
        <x:v>https://api.octopus.energy/v1/products/AGILE-24-10-01/electricity-tariffs/E-1R-AGILE-24-10-01-G/standard-unit-rates/</x:v>
      </x:c>
    </x:row>
    <x:row r="1928" ht="21" customHeight="1">
      <x:c r="A1928" s="24" t="n">
        <x:v>46188.666666666664</x:v>
      </x:c>
      <x:c r="B1928" s="6" t="n">
        <x:v>0.2945</x:v>
      </x:c>
      <x:c r="C1928" s="6" t="n">
        <x:v>0.1649</x:v>
      </x:c>
      <x:c r="D1928" s="6" t="n">
        <x:f>B1928</x:f>
        <x:v>0.2945</x:v>
      </x:c>
      <x:c r="E1928" s="1" t="n">
        <x:v>1.05</x:v>
      </x:c>
      <x:c r="F1928" s="1" t="str">
        <x:v>https://api.octopus.energy/v1/products/AGILE-24-10-01/electricity-tariffs/E-1R-AGILE-24-10-01-G/standard-unit-rates/</x:v>
      </x:c>
    </x:row>
    <x:row r="1929" ht="21" customHeight="1">
      <x:c r="A1929" s="24" t="n">
        <x:v>46188.6875</x:v>
      </x:c>
      <x:c r="B1929" s="6" t="n">
        <x:v>0.3155</x:v>
      </x:c>
      <x:c r="C1929" s="6" t="n">
        <x:v>0.1745</x:v>
      </x:c>
      <x:c r="D1929" s="6" t="n">
        <x:f>B1929</x:f>
        <x:v>0.3155</x:v>
      </x:c>
      <x:c r="E1929" s="1" t="n">
        <x:v>1.05</x:v>
      </x:c>
      <x:c r="F1929" s="1" t="str">
        <x:v>https://api.octopus.energy/v1/products/AGILE-24-10-01/electricity-tariffs/E-1R-AGILE-24-10-01-G/standard-unit-rates/</x:v>
      </x:c>
    </x:row>
    <x:row r="1930" ht="21" customHeight="1">
      <x:c r="A1930" s="24" t="n">
        <x:v>46188.708333333336</x:v>
      </x:c>
      <x:c r="B1930" s="6" t="n">
        <x:v>0.32159999999999994</x:v>
      </x:c>
      <x:c r="C1930" s="6" t="n">
        <x:v>0.1773</x:v>
      </x:c>
      <x:c r="D1930" s="6" t="n">
        <x:f>B1930</x:f>
        <x:v>0.32159999999999994</x:v>
      </x:c>
      <x:c r="E1930" s="1" t="n">
        <x:v>1.05</x:v>
      </x:c>
      <x:c r="F1930" s="1" t="str">
        <x:v>https://api.octopus.energy/v1/products/AGILE-24-10-01/electricity-tariffs/E-1R-AGILE-24-10-01-G/standard-unit-rates/</x:v>
      </x:c>
    </x:row>
    <x:row r="1931" ht="21" customHeight="1">
      <x:c r="A1931" s="24" t="n">
        <x:v>46188.729166666664</x:v>
      </x:c>
      <x:c r="B1931" s="6" t="n">
        <x:v>0.3539</x:v>
      </x:c>
      <x:c r="C1931" s="6" t="n">
        <x:v>0.19210000000000002</x:v>
      </x:c>
      <x:c r="D1931" s="6" t="n">
        <x:f>B1931</x:f>
        <x:v>0.3539</x:v>
      </x:c>
      <x:c r="E1931" s="1" t="n">
        <x:v>1.05</x:v>
      </x:c>
      <x:c r="F1931" s="1" t="str">
        <x:v>https://api.octopus.energy/v1/products/AGILE-24-10-01/electricity-tariffs/E-1R-AGILE-24-10-01-G/standard-unit-rates/</x:v>
      </x:c>
    </x:row>
    <x:row r="1932" ht="21" customHeight="1">
      <x:c r="A1932" s="24" t="n">
        <x:v>46188.75</x:v>
      </x:c>
      <x:c r="B1932" s="6" t="n">
        <x:v>0.35960000000000003</x:v>
      </x:c>
      <x:c r="C1932" s="6" t="n">
        <x:v>0.19469999999999998</x:v>
      </x:c>
      <x:c r="D1932" s="6" t="n">
        <x:f>B1932</x:f>
        <x:v>0.35960000000000003</x:v>
      </x:c>
      <x:c r="E1932" s="1" t="n">
        <x:v>1.05</x:v>
      </x:c>
      <x:c r="F1932" s="1" t="str">
        <x:v>https://api.octopus.energy/v1/products/AGILE-24-10-01/electricity-tariffs/E-1R-AGILE-24-10-01-G/standard-unit-rates/</x:v>
      </x:c>
    </x:row>
    <x:row r="1933" ht="21" customHeight="1">
      <x:c r="A1933" s="24" t="n">
        <x:v>46188.770833333336</x:v>
      </x:c>
      <x:c r="B1933" s="6" t="n">
        <x:v>0.36920000000000003</x:v>
      </x:c>
      <x:c r="C1933" s="6" t="n">
        <x:v>0.1991</x:v>
      </x:c>
      <x:c r="D1933" s="6" t="n">
        <x:f>B1933</x:f>
        <x:v>0.36920000000000003</x:v>
      </x:c>
      <x:c r="E1933" s="1" t="n">
        <x:v>1.05</x:v>
      </x:c>
      <x:c r="F1933" s="1" t="str">
        <x:v>https://api.octopus.energy/v1/products/AGILE-24-10-01/electricity-tariffs/E-1R-AGILE-24-10-01-G/standard-unit-rates/</x:v>
      </x:c>
    </x:row>
    <x:row r="1934" ht="21" customHeight="1">
      <x:c r="A1934" s="24" t="n">
        <x:v>46188.791666666664</x:v>
      </x:c>
      <x:c r="B1934" s="6" t="n">
        <x:v>0.2492</x:v>
      </x:c>
      <x:c r="C1934" s="6" t="n">
        <x:v>0.1402</x:v>
      </x:c>
      <x:c r="D1934" s="6" t="n">
        <x:f>B1934</x:f>
        <x:v>0.2492</x:v>
      </x:c>
      <x:c r="E1934" s="1" t="n">
        <x:v>1.05</x:v>
      </x:c>
      <x:c r="F1934" s="1" t="str">
        <x:v>https://api.octopus.energy/v1/products/AGILE-24-10-01/electricity-tariffs/E-1R-AGILE-24-10-01-G/standard-unit-rates/</x:v>
      </x:c>
    </x:row>
    <x:row r="1935" ht="21" customHeight="1">
      <x:c r="A1935" s="24" t="n">
        <x:v>46188.8125</x:v>
      </x:c>
      <x:c r="B1935" s="6" t="n">
        <x:v>0.2489</x:v>
      </x:c>
      <x:c r="C1935" s="6" t="n">
        <x:v>0.14</x:v>
      </x:c>
      <x:c r="D1935" s="6" t="n">
        <x:f>B1935</x:f>
        <x:v>0.2489</x:v>
      </x:c>
      <x:c r="E1935" s="1" t="n">
        <x:v>1.05</x:v>
      </x:c>
      <x:c r="F1935" s="1" t="str">
        <x:v>https://api.octopus.energy/v1/products/AGILE-24-10-01/electricity-tariffs/E-1R-AGILE-24-10-01-G/standard-unit-rates/</x:v>
      </x:c>
    </x:row>
    <x:row r="1936" ht="21" customHeight="1">
      <x:c r="A1936" s="24" t="n">
        <x:v>46188.833333333336</x:v>
      </x:c>
      <x:c r="B1936" s="6" t="n">
        <x:v>0.255</x:v>
      </x:c>
      <x:c r="C1936" s="6" t="n">
        <x:v>0.14279999999999998</x:v>
      </x:c>
      <x:c r="D1936" s="6" t="n">
        <x:f>B1936</x:f>
        <x:v>0.255</x:v>
      </x:c>
      <x:c r="E1936" s="1" t="n">
        <x:v>1.05</x:v>
      </x:c>
      <x:c r="F1936" s="1" t="str">
        <x:v>https://api.octopus.energy/v1/products/AGILE-24-10-01/electricity-tariffs/E-1R-AGILE-24-10-01-G/standard-unit-rates/</x:v>
      </x:c>
    </x:row>
    <x:row r="1937" ht="21" customHeight="1">
      <x:c r="A1937" s="24" t="n">
        <x:v>46188.854166666664</x:v>
      </x:c>
      <x:c r="B1937" s="6" t="n">
        <x:v>0.2557</x:v>
      </x:c>
      <x:c r="C1937" s="6" t="n">
        <x:v>0.1432</x:v>
      </x:c>
      <x:c r="D1937" s="6" t="n">
        <x:f>B1937</x:f>
        <x:v>0.2557</x:v>
      </x:c>
      <x:c r="E1937" s="1" t="n">
        <x:v>1.05</x:v>
      </x:c>
      <x:c r="F1937" s="1" t="str">
        <x:v>https://api.octopus.energy/v1/products/AGILE-24-10-01/electricity-tariffs/E-1R-AGILE-24-10-01-G/standard-unit-rates/</x:v>
      </x:c>
    </x:row>
    <x:row r="1938" ht="21" customHeight="1">
      <x:c r="A1938" s="24" t="n">
        <x:v>46188.875</x:v>
      </x:c>
      <x:c r="B1938" s="6" t="n">
        <x:v>0.2482</x:v>
      </x:c>
      <x:c r="C1938" s="6" t="n">
        <x:v>0.13970000000000002</x:v>
      </x:c>
      <x:c r="D1938" s="6" t="n">
        <x:f>B1938</x:f>
        <x:v>0.2482</x:v>
      </x:c>
      <x:c r="E1938" s="1" t="n">
        <x:v>1.05</x:v>
      </x:c>
      <x:c r="F1938" s="1" t="str">
        <x:v>https://api.octopus.energy/v1/products/AGILE-24-10-01/electricity-tariffs/E-1R-AGILE-24-10-01-G/standard-unit-rates/</x:v>
      </x:c>
    </x:row>
    <x:row r="1939" ht="21" customHeight="1">
      <x:c r="A1939" s="24" t="n">
        <x:v>46188.895833333336</x:v>
      </x:c>
      <x:c r="B1939" s="6" t="n">
        <x:v>0.24710000000000001</x:v>
      </x:c>
      <x:c r="C1939" s="6" t="n">
        <x:v>0.1392</x:v>
      </x:c>
      <x:c r="D1939" s="6" t="n">
        <x:f>B1939</x:f>
        <x:v>0.24710000000000001</x:v>
      </x:c>
      <x:c r="E1939" s="1" t="n">
        <x:v>1.05</x:v>
      </x:c>
      <x:c r="F1939" s="1" t="str">
        <x:v>https://api.octopus.energy/v1/products/AGILE-24-10-01/electricity-tariffs/E-1R-AGILE-24-10-01-G/standard-unit-rates/</x:v>
      </x:c>
    </x:row>
    <x:row r="1940" ht="21" customHeight="1">
      <x:c r="A1940" s="24" t="n">
        <x:v>46188.916666666664</x:v>
      </x:c>
      <x:c r="B1940" s="6" t="n">
        <x:v>0.23079999999999998</x:v>
      </x:c>
      <x:c r="C1940" s="6" t="n">
        <x:v>0.1318</x:v>
      </x:c>
      <x:c r="D1940" s="6" t="n">
        <x:f>B1940</x:f>
        <x:v>0.23079999999999998</x:v>
      </x:c>
      <x:c r="E1940" s="1" t="n">
        <x:v>1.05</x:v>
      </x:c>
      <x:c r="F1940" s="1" t="str">
        <x:v>https://api.octopus.energy/v1/products/AGILE-24-10-01/electricity-tariffs/E-1R-AGILE-24-10-01-G/standard-unit-rates/</x:v>
      </x:c>
    </x:row>
    <x:row r="1941" ht="21" customHeight="1">
      <x:c r="A1941" s="24" t="n">
        <x:v>46188.9375</x:v>
      </x:c>
      <x:c r="B1941" s="6" t="n">
        <x:v>0.2232</x:v>
      </x:c>
      <x:c r="C1941" s="6" t="n">
        <x:v>0.1283</x:v>
      </x:c>
      <x:c r="D1941" s="6" t="n">
        <x:f>B1941</x:f>
        <x:v>0.2232</x:v>
      </x:c>
      <x:c r="E1941" s="1" t="n">
        <x:v>1.05</x:v>
      </x:c>
      <x:c r="F1941" s="1" t="str">
        <x:v>https://api.octopus.energy/v1/products/AGILE-24-10-01/electricity-tariffs/E-1R-AGILE-24-10-01-G/standard-unit-rates/</x:v>
      </x:c>
    </x:row>
    <x:row r="1942" ht="21" customHeight="1">
      <x:c r="A1942" s="24" t="n">
        <x:v>46189</x:v>
      </x:c>
      <x:c r="B1942" s="6" t="n">
        <x:v>0.20829999999999999</x:v>
      </x:c>
      <x:c r="C1942" s="6" t="n">
        <x:v>0.1215</x:v>
      </x:c>
      <x:c r="D1942" s="6" t="n">
        <x:f>B1942</x:f>
        <x:v>0.20829999999999999</x:v>
      </x:c>
      <x:c r="E1942" s="1" t="n">
        <x:v>1.05</x:v>
      </x:c>
      <x:c r="F1942" s="1" t="str">
        <x:v>https://api.octopus.energy/v1/products/AGILE-24-10-01/electricity-tariffs/E-1R-AGILE-24-10-01-G/standard-unit-rates/</x:v>
      </x:c>
    </x:row>
    <x:row r="1943" ht="21" customHeight="1">
      <x:c r="A1943" s="24" t="n">
        <x:v>46188.979166666664</x:v>
      </x:c>
      <x:c r="B1943" s="6" t="n">
        <x:v>0.1941</x:v>
      </x:c>
      <x:c r="C1943" s="6" t="n">
        <x:v>0.115</x:v>
      </x:c>
      <x:c r="D1943" s="6" t="n">
        <x:f>B1943</x:f>
        <x:v>0.1941</x:v>
      </x:c>
      <x:c r="E1943" s="1" t="n">
        <x:v>1.05</x:v>
      </x:c>
      <x:c r="F1943" s="1" t="str">
        <x:v>https://api.octopus.energy/v1/products/AGILE-24-10-01/electricity-tariffs/E-1R-AGILE-24-10-01-G/standard-unit-rates/</x:v>
      </x:c>
    </x:row>
    <x:row r="1944" ht="21" customHeight="1">
      <x:c r="A1944" s="24" t="n">
        <x:v>46189</x:v>
      </x:c>
      <x:c r="B1944" s="6" t="n">
        <x:v>0.1948</x:v>
      </x:c>
      <x:c r="C1944" s="6" t="n">
        <x:v>0.1153</x:v>
      </x:c>
      <x:c r="D1944" s="6" t="n">
        <x:f>B1944</x:f>
        <x:v>0.1948</x:v>
      </x:c>
      <x:c r="E1944" s="1" t="n">
        <x:v>1.05</x:v>
      </x:c>
      <x:c r="F1944" s="1" t="str">
        <x:v>https://api.octopus.energy/v1/products/AGILE-24-10-01/electricity-tariffs/E-1R-AGILE-24-10-01-G/standard-unit-rates/</x:v>
      </x:c>
    </x:row>
    <x:row r="1945" ht="21" customHeight="1">
      <x:c r="A1945" s="24" t="n">
        <x:v>46189.020833333336</x:v>
      </x:c>
      <x:c r="B1945" s="6" t="n">
        <x:v>0.1935</x:v>
      </x:c>
      <x:c r="C1945" s="6" t="n">
        <x:v>0.11470000000000001</x:v>
      </x:c>
      <x:c r="D1945" s="6" t="n">
        <x:f>B1945</x:f>
        <x:v>0.1935</x:v>
      </x:c>
      <x:c r="E1945" s="1" t="n">
        <x:v>1.05</x:v>
      </x:c>
      <x:c r="F1945" s="1" t="str">
        <x:v>https://api.octopus.energy/v1/products/AGILE-24-10-01/electricity-tariffs/E-1R-AGILE-24-10-01-G/standard-unit-rates/</x:v>
      </x:c>
    </x:row>
    <x:row r="1946" ht="21" customHeight="1">
      <x:c r="A1946" s="24" t="n">
        <x:v>46189.041666666664</x:v>
      </x:c>
      <x:c r="B1946" s="6" t="n">
        <x:v>0.1663</x:v>
      </x:c>
      <x:c r="C1946" s="6" t="n">
        <x:v>0.1023</x:v>
      </x:c>
      <x:c r="D1946" s="6" t="n">
        <x:f>B1946</x:f>
        <x:v>0.1663</x:v>
      </x:c>
      <x:c r="E1946" s="1" t="n">
        <x:v>1.05</x:v>
      </x:c>
      <x:c r="F1946" s="1" t="str">
        <x:v>https://api.octopus.energy/v1/products/AGILE-24-10-01/electricity-tariffs/E-1R-AGILE-24-10-01-G/standard-unit-rates/</x:v>
      </x:c>
    </x:row>
    <x:row r="1947" ht="21" customHeight="1">
      <x:c r="A1947" s="24" t="n">
        <x:v>46189.0625</x:v>
      </x:c>
      <x:c r="B1947" s="6" t="n">
        <x:v>0.16820000000000002</x:v>
      </x:c>
      <x:c r="C1947" s="6" t="n">
        <x:v>0.1032</x:v>
      </x:c>
      <x:c r="D1947" s="6" t="n">
        <x:f>B1947</x:f>
        <x:v>0.16820000000000002</x:v>
      </x:c>
      <x:c r="E1947" s="1" t="n">
        <x:v>1.05</x:v>
      </x:c>
      <x:c r="F1947" s="1" t="str">
        <x:v>https://api.octopus.energy/v1/products/AGILE-24-10-01/electricity-tariffs/E-1R-AGILE-24-10-01-G/standard-unit-rates/</x:v>
      </x:c>
    </x:row>
    <x:row r="1948" ht="21" customHeight="1">
      <x:c r="A1948" s="24" t="n">
        <x:v>46189.083333333336</x:v>
      </x:c>
      <x:c r="B1948" s="6" t="n">
        <x:v>0.1766</x:v>
      </x:c>
      <x:c r="C1948" s="6" t="n">
        <x:v>0.107</x:v>
      </x:c>
      <x:c r="D1948" s="6" t="n">
        <x:f>B1948</x:f>
        <x:v>0.1766</x:v>
      </x:c>
      <x:c r="E1948" s="1" t="n">
        <x:v>1.05</x:v>
      </x:c>
      <x:c r="F1948" s="1" t="str">
        <x:v>https://api.octopus.energy/v1/products/AGILE-24-10-01/electricity-tariffs/E-1R-AGILE-24-10-01-G/standard-unit-rates/</x:v>
      </x:c>
    </x:row>
    <x:row r="1949" ht="21" customHeight="1">
      <x:c r="A1949" s="24" t="n">
        <x:v>46189.104166666664</x:v>
      </x:c>
      <x:c r="B1949" s="6" t="n">
        <x:v>0.1728</x:v>
      </x:c>
      <x:c r="C1949" s="6" t="n">
        <x:v>0.10529999999999999</x:v>
      </x:c>
      <x:c r="D1949" s="6" t="n">
        <x:f>B1949</x:f>
        <x:v>0.1728</x:v>
      </x:c>
      <x:c r="E1949" s="1" t="n">
        <x:v>1.05</x:v>
      </x:c>
      <x:c r="F1949" s="1" t="str">
        <x:v>https://api.octopus.energy/v1/products/AGILE-24-10-01/electricity-tariffs/E-1R-AGILE-24-10-01-G/standard-unit-rates/</x:v>
      </x:c>
    </x:row>
    <x:row r="1950" ht="21" customHeight="1">
      <x:c r="A1950" s="24" t="n">
        <x:v>46189.125</x:v>
      </x:c>
      <x:c r="B1950" s="6" t="n">
        <x:v>0.1766</x:v>
      </x:c>
      <x:c r="C1950" s="6" t="n">
        <x:v>0.107</x:v>
      </x:c>
      <x:c r="D1950" s="6" t="n">
        <x:f>B1950</x:f>
        <x:v>0.1766</x:v>
      </x:c>
      <x:c r="E1950" s="1" t="n">
        <x:v>1.05</x:v>
      </x:c>
      <x:c r="F1950" s="1" t="str">
        <x:v>https://api.octopus.energy/v1/products/AGILE-24-10-01/electricity-tariffs/E-1R-AGILE-24-10-01-G/standard-unit-rates/</x:v>
      </x:c>
    </x:row>
    <x:row r="1951" ht="21" customHeight="1">
      <x:c r="A1951" s="24" t="n">
        <x:v>46189.145833333336</x:v>
      </x:c>
      <x:c r="B1951" s="6" t="n">
        <x:v>0.17579999999999998</x:v>
      </x:c>
      <x:c r="C1951" s="6" t="n">
        <x:v>0.1066</x:v>
      </x:c>
      <x:c r="D1951" s="6" t="n">
        <x:f>B1951</x:f>
        <x:v>0.17579999999999998</x:v>
      </x:c>
      <x:c r="E1951" s="1" t="n">
        <x:v>1.05</x:v>
      </x:c>
      <x:c r="F1951" s="1" t="str">
        <x:v>https://api.octopus.energy/v1/products/AGILE-24-10-01/electricity-tariffs/E-1R-AGILE-24-10-01-G/standard-unit-rates/</x:v>
      </x:c>
    </x:row>
    <x:row r="1952" ht="21" customHeight="1">
      <x:c r="A1952" s="24" t="n">
        <x:v>46189.166666666664</x:v>
      </x:c>
      <x:c r="B1952" s="6" t="n">
        <x:v>0.185</x:v>
      </x:c>
      <x:c r="C1952" s="6" t="n">
        <x:v>0.1108</x:v>
      </x:c>
      <x:c r="D1952" s="6" t="n">
        <x:f>B1952</x:f>
        <x:v>0.185</x:v>
      </x:c>
      <x:c r="E1952" s="1" t="n">
        <x:v>1.05</x:v>
      </x:c>
      <x:c r="F1952" s="1" t="str">
        <x:v>https://api.octopus.energy/v1/products/AGILE-24-10-01/electricity-tariffs/E-1R-AGILE-24-10-01-G/standard-unit-rates/</x:v>
      </x:c>
    </x:row>
    <x:row r="1953" ht="21" customHeight="1">
      <x:c r="A1953" s="24" t="n">
        <x:v>46189.1875</x:v>
      </x:c>
      <x:c r="B1953" s="6" t="n">
        <x:v>0.17620000000000002</x:v>
      </x:c>
      <x:c r="C1953" s="6" t="n">
        <x:v>0.10679999999999999</x:v>
      </x:c>
      <x:c r="D1953" s="6" t="n">
        <x:f>B1953</x:f>
        <x:v>0.17620000000000002</x:v>
      </x:c>
      <x:c r="E1953" s="1" t="n">
        <x:v>1.05</x:v>
      </x:c>
      <x:c r="F1953" s="1" t="str">
        <x:v>https://api.octopus.energy/v1/products/AGILE-24-10-01/electricity-tariffs/E-1R-AGILE-24-10-01-G/standard-unit-rates/</x:v>
      </x:c>
    </x:row>
    <x:row r="1954" ht="21" customHeight="1">
      <x:c r="A1954" s="24" t="n">
        <x:v>46189.208333333336</x:v>
      </x:c>
      <x:c r="B1954" s="6" t="n">
        <x:v>0.20199999999999999</x:v>
      </x:c>
      <x:c r="C1954" s="6" t="n">
        <x:v>0.1186</x:v>
      </x:c>
      <x:c r="D1954" s="6" t="n">
        <x:f>B1954</x:f>
        <x:v>0.20199999999999999</x:v>
      </x:c>
      <x:c r="E1954" s="1" t="n">
        <x:v>1.05</x:v>
      </x:c>
      <x:c r="F1954" s="1" t="str">
        <x:v>https://api.octopus.energy/v1/products/AGILE-24-10-01/electricity-tariffs/E-1R-AGILE-24-10-01-G/standard-unit-rates/</x:v>
      </x:c>
    </x:row>
    <x:row r="1955" ht="21" customHeight="1">
      <x:c r="A1955" s="24" t="n">
        <x:v>46189.229166666664</x:v>
      </x:c>
      <x:c r="B1955" s="6" t="n">
        <x:v>0.2082</x:v>
      </x:c>
      <x:c r="C1955" s="6" t="n">
        <x:v>0.12140000000000001</x:v>
      </x:c>
      <x:c r="D1955" s="6" t="n">
        <x:f>B1955</x:f>
        <x:v>0.2082</x:v>
      </x:c>
      <x:c r="E1955" s="1" t="n">
        <x:v>1.05</x:v>
      </x:c>
      <x:c r="F1955" s="1" t="str">
        <x:v>https://api.octopus.energy/v1/products/AGILE-24-10-01/electricity-tariffs/E-1R-AGILE-24-10-01-G/standard-unit-rates/</x:v>
      </x:c>
    </x:row>
    <x:row r="1956" ht="21" customHeight="1">
      <x:c r="A1956" s="24" t="n">
        <x:v>46189.25</x:v>
      </x:c>
      <x:c r="B1956" s="6" t="n">
        <x:v>0.2183</x:v>
      </x:c>
      <x:c r="C1956" s="6" t="n">
        <x:v>0.126</x:v>
      </x:c>
      <x:c r="D1956" s="6" t="n">
        <x:f>B1956</x:f>
        <x:v>0.2183</x:v>
      </x:c>
      <x:c r="E1956" s="1" t="n">
        <x:v>1.05</x:v>
      </x:c>
      <x:c r="F1956" s="1" t="str">
        <x:v>https://api.octopus.energy/v1/products/AGILE-24-10-01/electricity-tariffs/E-1R-AGILE-24-10-01-G/standard-unit-rates/</x:v>
      </x:c>
    </x:row>
    <x:row r="1957" ht="21" customHeight="1">
      <x:c r="A1957" s="24" t="n">
        <x:v>46189.270833333336</x:v>
      </x:c>
      <x:c r="B1957" s="6" t="n">
        <x:v>0.2322</x:v>
      </x:c>
      <x:c r="C1957" s="6" t="n">
        <x:v>0.1324</x:v>
      </x:c>
      <x:c r="D1957" s="6" t="n">
        <x:f>B1957</x:f>
        <x:v>0.2322</x:v>
      </x:c>
      <x:c r="E1957" s="1" t="n">
        <x:v>1.05</x:v>
      </x:c>
      <x:c r="F1957" s="1" t="str">
        <x:v>https://api.octopus.energy/v1/products/AGILE-24-10-01/electricity-tariffs/E-1R-AGILE-24-10-01-G/standard-unit-rates/</x:v>
      </x:c>
    </x:row>
    <x:row r="1958" ht="21" customHeight="1">
      <x:c r="A1958" s="24" t="n">
        <x:v>46189.291666666664</x:v>
      </x:c>
      <x:c r="B1958" s="6" t="n">
        <x:v>0.22210000000000002</x:v>
      </x:c>
      <x:c r="C1958" s="6" t="n">
        <x:v>0.1278</x:v>
      </x:c>
      <x:c r="D1958" s="6" t="n">
        <x:f>B1958</x:f>
        <x:v>0.22210000000000002</x:v>
      </x:c>
      <x:c r="E1958" s="1" t="n">
        <x:v>1.05</x:v>
      </x:c>
      <x:c r="F1958" s="1" t="str">
        <x:v>https://api.octopus.energy/v1/products/AGILE-24-10-01/electricity-tariffs/E-1R-AGILE-24-10-01-G/standard-unit-rates/</x:v>
      </x:c>
    </x:row>
    <x:row r="1959" ht="21" customHeight="1">
      <x:c r="A1959" s="24" t="n">
        <x:v>46189.3125</x:v>
      </x:c>
      <x:c r="B1959" s="6" t="n">
        <x:v>0.2228</x:v>
      </x:c>
      <x:c r="C1959" s="6" t="n">
        <x:v>0.1281</x:v>
      </x:c>
      <x:c r="D1959" s="6" t="n">
        <x:f>B1959</x:f>
        <x:v>0.2228</x:v>
      </x:c>
      <x:c r="E1959" s="1" t="n">
        <x:v>1.05</x:v>
      </x:c>
      <x:c r="F1959" s="1" t="str">
        <x:v>https://api.octopus.energy/v1/products/AGILE-24-10-01/electricity-tariffs/E-1R-AGILE-24-10-01-G/standard-unit-rates/</x:v>
      </x:c>
    </x:row>
    <x:row r="1960" ht="21" customHeight="1">
      <x:c r="A1960" s="24" t="n">
        <x:v>46189.333333333336</x:v>
      </x:c>
      <x:c r="B1960" s="6" t="n">
        <x:v>0.22260000000000002</x:v>
      </x:c>
      <x:c r="C1960" s="6" t="n">
        <x:v>0.128</x:v>
      </x:c>
      <x:c r="D1960" s="6" t="n">
        <x:f>B1960</x:f>
        <x:v>0.22260000000000002</x:v>
      </x:c>
      <x:c r="E1960" s="1" t="n">
        <x:v>1.05</x:v>
      </x:c>
      <x:c r="F1960" s="1" t="str">
        <x:v>https://api.octopus.energy/v1/products/AGILE-24-10-01/electricity-tariffs/E-1R-AGILE-24-10-01-G/standard-unit-rates/</x:v>
      </x:c>
    </x:row>
    <x:row r="1961" ht="21" customHeight="1">
      <x:c r="A1961" s="24" t="n">
        <x:v>46189.354166666664</x:v>
      </x:c>
      <x:c r="B1961" s="6" t="n">
        <x:v>0.2169</x:v>
      </x:c>
      <x:c r="C1961" s="6" t="n">
        <x:v>0.12539999999999998</x:v>
      </x:c>
      <x:c r="D1961" s="6" t="n">
        <x:f>B1961</x:f>
        <x:v>0.2169</x:v>
      </x:c>
      <x:c r="E1961" s="1" t="n">
        <x:v>1.05</x:v>
      </x:c>
      <x:c r="F1961" s="1" t="str">
        <x:v>https://api.octopus.energy/v1/products/AGILE-24-10-01/electricity-tariffs/E-1R-AGILE-24-10-01-G/standard-unit-rates/</x:v>
      </x:c>
    </x:row>
    <x:row r="1962" ht="21" customHeight="1">
      <x:c r="A1962" s="24" t="n">
        <x:v>46189.375</x:v>
      </x:c>
      <x:c r="B1962" s="6" t="n">
        <x:v>0.21030000000000001</x:v>
      </x:c>
      <x:c r="C1962" s="6" t="n">
        <x:v>0.12240000000000001</x:v>
      </x:c>
      <x:c r="D1962" s="6" t="n">
        <x:f>B1962</x:f>
        <x:v>0.21030000000000001</x:v>
      </x:c>
      <x:c r="E1962" s="1" t="n">
        <x:v>1.05</x:v>
      </x:c>
      <x:c r="F1962" s="1" t="str">
        <x:v>https://api.octopus.energy/v1/products/AGILE-24-10-01/electricity-tariffs/E-1R-AGILE-24-10-01-G/standard-unit-rates/</x:v>
      </x:c>
    </x:row>
    <x:row r="1963" ht="21" customHeight="1">
      <x:c r="A1963" s="24" t="n">
        <x:v>46189.395833333336</x:v>
      </x:c>
      <x:c r="B1963" s="6" t="n">
        <x:v>0.1931</x:v>
      </x:c>
      <x:c r="C1963" s="6" t="n">
        <x:v>0.11449999999999999</x:v>
      </x:c>
      <x:c r="D1963" s="6" t="n">
        <x:f>B1963</x:f>
        <x:v>0.1931</x:v>
      </x:c>
      <x:c r="E1963" s="1" t="n">
        <x:v>1.05</x:v>
      </x:c>
      <x:c r="F1963" s="1" t="str">
        <x:v>https://api.octopus.energy/v1/products/AGILE-24-10-01/electricity-tariffs/E-1R-AGILE-24-10-01-G/standard-unit-rates/</x:v>
      </x:c>
    </x:row>
    <x:row r="1964" ht="21" customHeight="1">
      <x:c r="A1964" s="24" t="n">
        <x:v>46189.416666666664</x:v>
      </x:c>
      <x:c r="B1964" s="6" t="n">
        <x:v>0.185</x:v>
      </x:c>
      <x:c r="C1964" s="6" t="n">
        <x:v>0.1108</x:v>
      </x:c>
      <x:c r="D1964" s="6" t="n">
        <x:f>B1964</x:f>
        <x:v>0.185</x:v>
      </x:c>
      <x:c r="E1964" s="1" t="n">
        <x:v>1.05</x:v>
      </x:c>
      <x:c r="F1964" s="1" t="str">
        <x:v>https://api.octopus.energy/v1/products/AGILE-24-10-01/electricity-tariffs/E-1R-AGILE-24-10-01-G/standard-unit-rates/</x:v>
      </x:c>
    </x:row>
    <x:row r="1965" ht="21" customHeight="1">
      <x:c r="A1965" s="24" t="n">
        <x:v>46189.4375</x:v>
      </x:c>
      <x:c r="B1965" s="6" t="n">
        <x:v>0.1746</x:v>
      </x:c>
      <x:c r="C1965" s="6" t="n">
        <x:v>0.1061</x:v>
      </x:c>
      <x:c r="D1965" s="6" t="n">
        <x:f>B1965</x:f>
        <x:v>0.1746</x:v>
      </x:c>
      <x:c r="E1965" s="1" t="n">
        <x:v>1.05</x:v>
      </x:c>
      <x:c r="F1965" s="1" t="str">
        <x:v>https://api.octopus.energy/v1/products/AGILE-24-10-01/electricity-tariffs/E-1R-AGILE-24-10-01-G/standard-unit-rates/</x:v>
      </x:c>
    </x:row>
    <x:row r="1966" ht="21" customHeight="1">
      <x:c r="A1966" s="24" t="n">
        <x:v>46189.458333333336</x:v>
      </x:c>
      <x:c r="B1966" s="6" t="n">
        <x:v>0.15560000000000002</x:v>
      </x:c>
      <x:c r="C1966" s="6" t="n">
        <x:v>0.0974</x:v>
      </x:c>
      <x:c r="D1966" s="6" t="n">
        <x:f>B1966</x:f>
        <x:v>0.15560000000000002</x:v>
      </x:c>
      <x:c r="E1966" s="1" t="n">
        <x:v>1.05</x:v>
      </x:c>
      <x:c r="F1966" s="1" t="str">
        <x:v>https://api.octopus.energy/v1/products/AGILE-24-10-01/electricity-tariffs/E-1R-AGILE-24-10-01-G/standard-unit-rates/</x:v>
      </x:c>
    </x:row>
    <x:row r="1967" ht="21" customHeight="1">
      <x:c r="A1967" s="24" t="n">
        <x:v>46189.479166666664</x:v>
      </x:c>
      <x:c r="B1967" s="6" t="n">
        <x:v>0.1463</x:v>
      </x:c>
      <x:c r="C1967" s="6" t="n">
        <x:v>0.0932</x:v>
      </x:c>
      <x:c r="D1967" s="6" t="n">
        <x:f>B1967</x:f>
        <x:v>0.1463</x:v>
      </x:c>
      <x:c r="E1967" s="1" t="n">
        <x:v>1.05</x:v>
      </x:c>
      <x:c r="F1967" s="1" t="str">
        <x:v>https://api.octopus.energy/v1/products/AGILE-24-10-01/electricity-tariffs/E-1R-AGILE-24-10-01-G/standard-unit-rates/</x:v>
      </x:c>
    </x:row>
    <x:row r="1968" ht="21" customHeight="1">
      <x:c r="A1968" s="24" t="n">
        <x:v>46189.5</x:v>
      </x:c>
      <x:c r="B1968" s="6" t="n">
        <x:v>0.1493</x:v>
      </x:c>
      <x:c r="C1968" s="6" t="n">
        <x:v>0.09449999999999999</x:v>
      </x:c>
      <x:c r="D1968" s="6" t="n">
        <x:f>B1968</x:f>
        <x:v>0.1493</x:v>
      </x:c>
      <x:c r="E1968" s="1" t="n">
        <x:v>1.05</x:v>
      </x:c>
      <x:c r="F1968" s="1" t="str">
        <x:v>https://api.octopus.energy/v1/products/AGILE-24-10-01/electricity-tariffs/E-1R-AGILE-24-10-01-G/standard-unit-rates/</x:v>
      </x:c>
    </x:row>
    <x:row r="1969" ht="21" customHeight="1">
      <x:c r="A1969" s="24" t="n">
        <x:v>46189.520833333336</x:v>
      </x:c>
      <x:c r="B1969" s="6" t="n">
        <x:v>0.1493</x:v>
      </x:c>
      <x:c r="C1969" s="6" t="n">
        <x:v>0.09449999999999999</x:v>
      </x:c>
      <x:c r="D1969" s="6" t="n">
        <x:f>B1969</x:f>
        <x:v>0.1493</x:v>
      </x:c>
      <x:c r="E1969" s="1" t="n">
        <x:v>1.05</x:v>
      </x:c>
      <x:c r="F1969" s="1" t="str">
        <x:v>https://api.octopus.energy/v1/products/AGILE-24-10-01/electricity-tariffs/E-1R-AGILE-24-10-01-G/standard-unit-rates/</x:v>
      </x:c>
    </x:row>
    <x:row r="1970" ht="21" customHeight="1">
      <x:c r="A1970" s="24" t="n">
        <x:v>46189.541666666664</x:v>
      </x:c>
      <x:c r="B1970" s="6" t="n">
        <x:v>0.1493</x:v>
      </x:c>
      <x:c r="C1970" s="6" t="n">
        <x:v>0.09449999999999999</x:v>
      </x:c>
      <x:c r="D1970" s="6" t="n">
        <x:f>B1970</x:f>
        <x:v>0.1493</x:v>
      </x:c>
      <x:c r="E1970" s="1" t="n">
        <x:v>1.05</x:v>
      </x:c>
      <x:c r="F1970" s="1" t="str">
        <x:v>https://api.octopus.energy/v1/products/AGILE-24-10-01/electricity-tariffs/E-1R-AGILE-24-10-01-G/standard-unit-rates/</x:v>
      </x:c>
    </x:row>
    <x:row r="1971" ht="21" customHeight="1">
      <x:c r="A1971" s="24" t="n">
        <x:v>46189.5625</x:v>
      </x:c>
      <x:c r="B1971" s="6" t="n">
        <x:v>0.1493</x:v>
      </x:c>
      <x:c r="C1971" s="6" t="n">
        <x:v>0.09449999999999999</x:v>
      </x:c>
      <x:c r="D1971" s="6" t="n">
        <x:f>B1971</x:f>
        <x:v>0.1493</x:v>
      </x:c>
      <x:c r="E1971" s="1" t="n">
        <x:v>1.05</x:v>
      </x:c>
      <x:c r="F1971" s="1" t="str">
        <x:v>https://api.octopus.energy/v1/products/AGILE-24-10-01/electricity-tariffs/E-1R-AGILE-24-10-01-G/standard-unit-rates/</x:v>
      </x:c>
    </x:row>
    <x:row r="1972" ht="21" customHeight="1">
      <x:c r="A1972" s="24" t="n">
        <x:v>46189.583333333336</x:v>
      </x:c>
      <x:c r="B1972" s="6" t="n">
        <x:v>0.1493</x:v>
      </x:c>
      <x:c r="C1972" s="6" t="n">
        <x:v>0.09449999999999999</x:v>
      </x:c>
      <x:c r="D1972" s="6" t="n">
        <x:f>B1972</x:f>
        <x:v>0.1493</x:v>
      </x:c>
      <x:c r="E1972" s="1" t="n">
        <x:v>1.05</x:v>
      </x:c>
      <x:c r="F1972" s="1" t="str">
        <x:v>https://api.octopus.energy/v1/products/AGILE-24-10-01/electricity-tariffs/E-1R-AGILE-24-10-01-G/standard-unit-rates/</x:v>
      </x:c>
    </x:row>
    <x:row r="1973" ht="21" customHeight="1">
      <x:c r="A1973" s="24" t="n">
        <x:v>46189.604166666664</x:v>
      </x:c>
      <x:c r="B1973" s="6" t="n">
        <x:v>0.1472</x:v>
      </x:c>
      <x:c r="C1973" s="6" t="n">
        <x:v>0.09359999999999999</x:v>
      </x:c>
      <x:c r="D1973" s="6" t="n">
        <x:f>B1973</x:f>
        <x:v>0.1472</x:v>
      </x:c>
      <x:c r="E1973" s="1" t="n">
        <x:v>1.05</x:v>
      </x:c>
      <x:c r="F1973" s="1" t="str">
        <x:v>https://api.octopus.energy/v1/products/AGILE-24-10-01/electricity-tariffs/E-1R-AGILE-24-10-01-G/standard-unit-rates/</x:v>
      </x:c>
    </x:row>
    <x:row r="1974" ht="21" customHeight="1">
      <x:c r="A1974" s="24" t="n">
        <x:v>46189.625</x:v>
      </x:c>
      <x:c r="B1974" s="6" t="n">
        <x:v>0.1497</x:v>
      </x:c>
      <x:c r="C1974" s="6" t="n">
        <x:v>0.0947</x:v>
      </x:c>
      <x:c r="D1974" s="6" t="n">
        <x:f>B1974</x:f>
        <x:v>0.1497</x:v>
      </x:c>
      <x:c r="E1974" s="1" t="n">
        <x:v>1.05</x:v>
      </x:c>
      <x:c r="F1974" s="1" t="str">
        <x:v>https://api.octopus.energy/v1/products/AGILE-24-10-01/electricity-tariffs/E-1R-AGILE-24-10-01-G/standard-unit-rates/</x:v>
      </x:c>
    </x:row>
    <x:row r="1975" ht="21" customHeight="1">
      <x:c r="A1975" s="24" t="n">
        <x:v>46189.645833333336</x:v>
      </x:c>
      <x:c r="B1975" s="6" t="n">
        <x:v>0.1543</x:v>
      </x:c>
      <x:c r="C1975" s="6" t="n">
        <x:v>0.0968</x:v>
      </x:c>
      <x:c r="D1975" s="6" t="n">
        <x:f>B1975</x:f>
        <x:v>0.1543</x:v>
      </x:c>
      <x:c r="E1975" s="1" t="n">
        <x:v>1.05</x:v>
      </x:c>
      <x:c r="F1975" s="1" t="str">
        <x:v>https://api.octopus.energy/v1/products/AGILE-24-10-01/electricity-tariffs/E-1R-AGILE-24-10-01-G/standard-unit-rates/</x:v>
      </x:c>
    </x:row>
    <x:row r="1976" ht="21" customHeight="1">
      <x:c r="A1976" s="24" t="n">
        <x:v>46189.666666666664</x:v>
      </x:c>
      <x:c r="B1976" s="6" t="n">
        <x:v>0.2895</x:v>
      </x:c>
      <x:c r="C1976" s="6" t="n">
        <x:v>0.16260000000000002</x:v>
      </x:c>
      <x:c r="D1976" s="6" t="n">
        <x:f>B1976</x:f>
        <x:v>0.2895</x:v>
      </x:c>
      <x:c r="E1976" s="1" t="n">
        <x:v>1.05</x:v>
      </x:c>
      <x:c r="F1976" s="1" t="str">
        <x:v>https://api.octopus.energy/v1/products/AGILE-24-10-01/electricity-tariffs/E-1R-AGILE-24-10-01-G/standard-unit-rates/</x:v>
      </x:c>
    </x:row>
    <x:row r="1977" ht="21" customHeight="1">
      <x:c r="A1977" s="24" t="n">
        <x:v>46189.6875</x:v>
      </x:c>
      <x:c r="B1977" s="6" t="n">
        <x:v>0.2902</x:v>
      </x:c>
      <x:c r="C1977" s="6" t="n">
        <x:v>0.163</x:v>
      </x:c>
      <x:c r="D1977" s="6" t="n">
        <x:f>B1977</x:f>
        <x:v>0.2902</x:v>
      </x:c>
      <x:c r="E1977" s="1" t="n">
        <x:v>1.05</x:v>
      </x:c>
      <x:c r="F1977" s="1" t="str">
        <x:v>https://api.octopus.energy/v1/products/AGILE-24-10-01/electricity-tariffs/E-1R-AGILE-24-10-01-G/standard-unit-rates/</x:v>
      </x:c>
    </x:row>
    <x:row r="1978" ht="21" customHeight="1">
      <x:c r="A1978" s="24" t="n">
        <x:v>46189.708333333336</x:v>
      </x:c>
      <x:c r="B1978" s="6" t="n">
        <x:v>0.3243</x:v>
      </x:c>
      <x:c r="C1978" s="6" t="n">
        <x:v>0.17859999999999998</x:v>
      </x:c>
      <x:c r="D1978" s="6" t="n">
        <x:f>B1978</x:f>
        <x:v>0.3243</x:v>
      </x:c>
      <x:c r="E1978" s="1" t="n">
        <x:v>1.05</x:v>
      </x:c>
      <x:c r="F1978" s="1" t="str">
        <x:v>https://api.octopus.energy/v1/products/AGILE-24-10-01/electricity-tariffs/E-1R-AGILE-24-10-01-G/standard-unit-rates/</x:v>
      </x:c>
    </x:row>
    <x:row r="1979" ht="21" customHeight="1">
      <x:c r="A1979" s="24" t="n">
        <x:v>46189.729166666664</x:v>
      </x:c>
      <x:c r="B1979" s="6" t="n">
        <x:v>0.3354</x:v>
      </x:c>
      <x:c r="C1979" s="6" t="n">
        <x:v>0.1837</x:v>
      </x:c>
      <x:c r="D1979" s="6" t="n">
        <x:f>B1979</x:f>
        <x:v>0.3354</x:v>
      </x:c>
      <x:c r="E1979" s="1" t="n">
        <x:v>1.05</x:v>
      </x:c>
      <x:c r="F1979" s="1" t="str">
        <x:v>https://api.octopus.energy/v1/products/AGILE-24-10-01/electricity-tariffs/E-1R-AGILE-24-10-01-G/standard-unit-rates/</x:v>
      </x:c>
    </x:row>
    <x:row r="1980" ht="21" customHeight="1">
      <x:c r="A1980" s="24" t="n">
        <x:v>46189.75</x:v>
      </x:c>
      <x:c r="B1980" s="6" t="n">
        <x:v>0.36560000000000004</x:v>
      </x:c>
      <x:c r="C1980" s="6" t="n">
        <x:v>0.1975</x:v>
      </x:c>
      <x:c r="D1980" s="6" t="n">
        <x:f>B1980</x:f>
        <x:v>0.36560000000000004</x:v>
      </x:c>
      <x:c r="E1980" s="1" t="n">
        <x:v>1.05</x:v>
      </x:c>
      <x:c r="F1980" s="1" t="str">
        <x:v>https://api.octopus.energy/v1/products/AGILE-24-10-01/electricity-tariffs/E-1R-AGILE-24-10-01-G/standard-unit-rates/</x:v>
      </x:c>
    </x:row>
    <x:row r="1981" ht="21" customHeight="1">
      <x:c r="A1981" s="24" t="n">
        <x:v>46189.770833333336</x:v>
      </x:c>
      <x:c r="B1981" s="6" t="n">
        <x:v>0.3761</x:v>
      </x:c>
      <x:c r="C1981" s="6" t="n">
        <x:v>0.2023</x:v>
      </x:c>
      <x:c r="D1981" s="6" t="n">
        <x:f>B1981</x:f>
        <x:v>0.3761</x:v>
      </x:c>
      <x:c r="E1981" s="1" t="n">
        <x:v>1.05</x:v>
      </x:c>
      <x:c r="F1981" s="1" t="str">
        <x:v>https://api.octopus.energy/v1/products/AGILE-24-10-01/electricity-tariffs/E-1R-AGILE-24-10-01-G/standard-unit-rates/</x:v>
      </x:c>
    </x:row>
    <x:row r="1982" ht="21" customHeight="1">
      <x:c r="A1982" s="24" t="n">
        <x:v>46189.791666666664</x:v>
      </x:c>
      <x:c r="B1982" s="6" t="n">
        <x:v>0.26899999999999996</x:v>
      </x:c>
      <x:c r="C1982" s="6" t="n">
        <x:v>0.1492</x:v>
      </x:c>
      <x:c r="D1982" s="6" t="n">
        <x:f>B1982</x:f>
        <x:v>0.26899999999999996</x:v>
      </x:c>
      <x:c r="E1982" s="1" t="n">
        <x:v>1.05</x:v>
      </x:c>
      <x:c r="F1982" s="1" t="str">
        <x:v>https://api.octopus.energy/v1/products/AGILE-24-10-01/electricity-tariffs/E-1R-AGILE-24-10-01-G/standard-unit-rates/</x:v>
      </x:c>
    </x:row>
    <x:row r="1983" ht="21" customHeight="1">
      <x:c r="A1983" s="24" t="n">
        <x:v>46189.8125</x:v>
      </x:c>
      <x:c r="B1983" s="6" t="n">
        <x:v>0.2606</x:v>
      </x:c>
      <x:c r="C1983" s="6" t="n">
        <x:v>0.1454</x:v>
      </x:c>
      <x:c r="D1983" s="6" t="n">
        <x:f>B1983</x:f>
        <x:v>0.2606</x:v>
      </x:c>
      <x:c r="E1983" s="1" t="n">
        <x:v>1.05</x:v>
      </x:c>
      <x:c r="F1983" s="1" t="str">
        <x:v>https://api.octopus.energy/v1/products/AGILE-24-10-01/electricity-tariffs/E-1R-AGILE-24-10-01-G/standard-unit-rates/</x:v>
      </x:c>
    </x:row>
    <x:row r="1984" ht="21" customHeight="1">
      <x:c r="A1984" s="24" t="n">
        <x:v>46189.833333333336</x:v>
      </x:c>
      <x:c r="B1984" s="6" t="n">
        <x:v>0.2639</x:v>
      </x:c>
      <x:c r="C1984" s="6" t="n">
        <x:v>0.1469</x:v>
      </x:c>
      <x:c r="D1984" s="6" t="n">
        <x:f>B1984</x:f>
        <x:v>0.2639</x:v>
      </x:c>
      <x:c r="E1984" s="1" t="n">
        <x:v>1.05</x:v>
      </x:c>
      <x:c r="F1984" s="1" t="str">
        <x:v>https://api.octopus.energy/v1/products/AGILE-24-10-01/electricity-tariffs/E-1R-AGILE-24-10-01-G/standard-unit-rates/</x:v>
      </x:c>
    </x:row>
    <x:row r="1985" ht="21" customHeight="1">
      <x:c r="A1985" s="24" t="n">
        <x:v>46189.854166666664</x:v>
      </x:c>
      <x:c r="B1985" s="6" t="n">
        <x:v>0.2627</x:v>
      </x:c>
      <x:c r="C1985" s="6" t="n">
        <x:v>0.1464</x:v>
      </x:c>
      <x:c r="D1985" s="6" t="n">
        <x:f>B1985</x:f>
        <x:v>0.2627</x:v>
      </x:c>
      <x:c r="E1985" s="1" t="n">
        <x:v>1.05</x:v>
      </x:c>
      <x:c r="F1985" s="1" t="str">
        <x:v>https://api.octopus.energy/v1/products/AGILE-24-10-01/electricity-tariffs/E-1R-AGILE-24-10-01-G/standard-unit-rates/</x:v>
      </x:c>
    </x:row>
    <x:row r="1986" ht="21" customHeight="1">
      <x:c r="A1986" s="24" t="n">
        <x:v>46189.875</x:v>
      </x:c>
      <x:c r="B1986" s="6" t="n">
        <x:v>0.2563</x:v>
      </x:c>
      <x:c r="C1986" s="6" t="n">
        <x:v>0.1434</x:v>
      </x:c>
      <x:c r="D1986" s="6" t="n">
        <x:f>B1986</x:f>
        <x:v>0.2563</x:v>
      </x:c>
      <x:c r="E1986" s="1" t="n">
        <x:v>1.05</x:v>
      </x:c>
      <x:c r="F1986" s="1" t="str">
        <x:v>https://api.octopus.energy/v1/products/AGILE-24-10-01/electricity-tariffs/E-1R-AGILE-24-10-01-G/standard-unit-rates/</x:v>
      </x:c>
    </x:row>
    <x:row r="1987" ht="21" customHeight="1">
      <x:c r="A1987" s="24" t="n">
        <x:v>46189.895833333336</x:v>
      </x:c>
      <x:c r="B1987" s="6" t="n">
        <x:v>0.2606</x:v>
      </x:c>
      <x:c r="C1987" s="6" t="n">
        <x:v>0.1454</x:v>
      </x:c>
      <x:c r="D1987" s="6" t="n">
        <x:f>B1987</x:f>
        <x:v>0.2606</x:v>
      </x:c>
      <x:c r="E1987" s="1" t="n">
        <x:v>1.05</x:v>
      </x:c>
      <x:c r="F1987" s="1" t="str">
        <x:v>https://api.octopus.energy/v1/products/AGILE-24-10-01/electricity-tariffs/E-1R-AGILE-24-10-01-G/standard-unit-rates/</x:v>
      </x:c>
    </x:row>
    <x:row r="1988" ht="21" customHeight="1">
      <x:c r="A1988" s="24" t="n">
        <x:v>46189.916666666664</x:v>
      </x:c>
      <x:c r="B1988" s="6" t="n">
        <x:v>0.2334</x:v>
      </x:c>
      <x:c r="C1988" s="6" t="n">
        <x:v>0.133</x:v>
      </x:c>
      <x:c r="D1988" s="6" t="n">
        <x:f>B1988</x:f>
        <x:v>0.2334</x:v>
      </x:c>
      <x:c r="E1988" s="1" t="n">
        <x:v>1.05</x:v>
      </x:c>
      <x:c r="F1988" s="1" t="str">
        <x:v>https://api.octopus.energy/v1/products/AGILE-24-10-01/electricity-tariffs/E-1R-AGILE-24-10-01-G/standard-unit-rates/</x:v>
      </x:c>
    </x:row>
    <x:row r="1989" ht="21" customHeight="1">
      <x:c r="A1989" s="24" t="n">
        <x:v>46189.9375</x:v>
      </x:c>
      <x:c r="B1989" s="6" t="n">
        <x:v>0.2413</x:v>
      </x:c>
      <x:c r="C1989" s="6" t="n">
        <x:v>0.1366</x:v>
      </x:c>
      <x:c r="D1989" s="6" t="n">
        <x:f>B1989</x:f>
        <x:v>0.2413</x:v>
      </x:c>
      <x:c r="E1989" s="1" t="n">
        <x:v>1.05</x:v>
      </x:c>
      <x:c r="F1989" s="1" t="str">
        <x:v>https://api.octopus.energy/v1/products/AGILE-24-10-01/electricity-tariffs/E-1R-AGILE-24-10-01-G/standard-unit-rates/</x:v>
      </x:c>
    </x:row>
    <x:row r="1990" ht="21" customHeight="1">
      <x:c r="A1990" s="24" t="n">
        <x:v>46190</x:v>
      </x:c>
      <x:c r="B1990" s="6" t="n">
        <x:v>0.2281</x:v>
      </x:c>
      <x:c r="C1990" s="6" t="n">
        <x:v>0.1305</x:v>
      </x:c>
      <x:c r="D1990" s="6" t="n">
        <x:f>B1990</x:f>
        <x:v>0.2281</x:v>
      </x:c>
      <x:c r="E1990" s="1" t="n">
        <x:v>1.05</x:v>
      </x:c>
      <x:c r="F1990" s="1" t="str">
        <x:v>https://api.octopus.energy/v1/products/AGILE-24-10-01/electricity-tariffs/E-1R-AGILE-24-10-01-G/standard-unit-rates/</x:v>
      </x:c>
    </x:row>
    <x:row r="1991" ht="21" customHeight="1">
      <x:c r="A1991" s="24" t="n">
        <x:v>46189.979166666664</x:v>
      </x:c>
      <x:c r="B1991" s="6" t="n">
        <x:v>0.2211</x:v>
      </x:c>
      <x:c r="C1991" s="6" t="n">
        <x:v>0.1273</x:v>
      </x:c>
      <x:c r="D1991" s="6" t="n">
        <x:f>B1991</x:f>
        <x:v>0.2211</x:v>
      </x:c>
      <x:c r="E1991" s="1" t="n">
        <x:v>1.05</x:v>
      </x:c>
      <x:c r="F1991" s="1" t="str">
        <x:v>https://api.octopus.energy/v1/products/AGILE-24-10-01/electricity-tariffs/E-1R-AGILE-24-10-01-G/standard-unit-rates/</x:v>
      </x:c>
    </x:row>
    <x:row r="1992" ht="21" customHeight="1">
      <x:c r="A1992" s="24" t="n">
        <x:v>46190</x:v>
      </x:c>
      <x:c r="B1992" s="6" t="n">
        <x:v>0.2094</x:v>
      </x:c>
      <x:c r="C1992" s="6" t="n">
        <x:v>0.122</x:v>
      </x:c>
      <x:c r="D1992" s="6" t="n">
        <x:f>B1992</x:f>
        <x:v>0.2094</x:v>
      </x:c>
      <x:c r="E1992" s="1" t="n">
        <x:v>1.05</x:v>
      </x:c>
      <x:c r="F1992" s="1" t="str">
        <x:v>https://api.octopus.energy/v1/products/AGILE-24-10-01/electricity-tariffs/E-1R-AGILE-24-10-01-G/standard-unit-rates/</x:v>
      </x:c>
    </x:row>
    <x:row r="1993" ht="21" customHeight="1">
      <x:c r="A1993" s="24" t="n">
        <x:v>46190.020833333336</x:v>
      </x:c>
      <x:c r="B1993" s="6" t="n">
        <x:v>0.2116</x:v>
      </x:c>
      <x:c r="C1993" s="6" t="n">
        <x:v>0.12300000000000001</x:v>
      </x:c>
      <x:c r="D1993" s="6" t="n">
        <x:f>B1993</x:f>
        <x:v>0.2116</x:v>
      </x:c>
      <x:c r="E1993" s="1" t="n">
        <x:v>1.05</x:v>
      </x:c>
      <x:c r="F1993" s="1" t="str">
        <x:v>https://api.octopus.energy/v1/products/AGILE-24-10-01/electricity-tariffs/E-1R-AGILE-24-10-01-G/standard-unit-rates/</x:v>
      </x:c>
    </x:row>
    <x:row r="1994" ht="21" customHeight="1">
      <x:c r="A1994" s="24" t="n">
        <x:v>46190.041666666664</x:v>
      </x:c>
      <x:c r="B1994" s="6" t="n">
        <x:v>0.19899999999999998</x:v>
      </x:c>
      <x:c r="C1994" s="6" t="n">
        <x:v>0.11720000000000001</x:v>
      </x:c>
      <x:c r="D1994" s="6" t="n">
        <x:f>B1994</x:f>
        <x:v>0.19899999999999998</x:v>
      </x:c>
      <x:c r="E1994" s="1" t="n">
        <x:v>1.05</x:v>
      </x:c>
      <x:c r="F1994" s="1" t="str">
        <x:v>https://api.octopus.energy/v1/products/AGILE-24-10-01/electricity-tariffs/E-1R-AGILE-24-10-01-G/standard-unit-rates/</x:v>
      </x:c>
    </x:row>
    <x:row r="1995" ht="21" customHeight="1">
      <x:c r="A1995" s="24" t="n">
        <x:v>46190.0625</x:v>
      </x:c>
      <x:c r="B1995" s="6" t="n">
        <x:v>0.1978</x:v>
      </x:c>
      <x:c r="C1995" s="6" t="n">
        <x:v>0.1167</x:v>
      </x:c>
      <x:c r="D1995" s="6" t="n">
        <x:f>B1995</x:f>
        <x:v>0.1978</x:v>
      </x:c>
      <x:c r="E1995" s="1" t="n">
        <x:v>1.05</x:v>
      </x:c>
      <x:c r="F1995" s="1" t="str">
        <x:v>https://api.octopus.energy/v1/products/AGILE-24-10-01/electricity-tariffs/E-1R-AGILE-24-10-01-G/standard-unit-rates/</x:v>
      </x:c>
    </x:row>
    <x:row r="1996" ht="21" customHeight="1">
      <x:c r="A1996" s="24" t="n">
        <x:v>46190.083333333336</x:v>
      </x:c>
      <x:c r="B1996" s="6" t="n">
        <x:v>0.19519999999999998</x:v>
      </x:c>
      <x:c r="C1996" s="6" t="n">
        <x:v>0.1155</x:v>
      </x:c>
      <x:c r="D1996" s="6" t="n">
        <x:f>B1996</x:f>
        <x:v>0.19519999999999998</x:v>
      </x:c>
      <x:c r="E1996" s="1" t="n">
        <x:v>1.05</x:v>
      </x:c>
      <x:c r="F1996" s="1" t="str">
        <x:v>https://api.octopus.energy/v1/products/AGILE-24-10-01/electricity-tariffs/E-1R-AGILE-24-10-01-G/standard-unit-rates/</x:v>
      </x:c>
    </x:row>
    <x:row r="1997" ht="21" customHeight="1">
      <x:c r="A1997" s="24" t="n">
        <x:v>46190.104166666664</x:v>
      </x:c>
      <x:c r="B1997" s="6" t="n">
        <x:v>0.1863</x:v>
      </x:c>
      <x:c r="C1997" s="6" t="n">
        <x:v>0.1114</x:v>
      </x:c>
      <x:c r="D1997" s="6" t="n">
        <x:f>B1997</x:f>
        <x:v>0.1863</x:v>
      </x:c>
      <x:c r="E1997" s="1" t="n">
        <x:v>1.05</x:v>
      </x:c>
      <x:c r="F1997" s="1" t="str">
        <x:v>https://api.octopus.energy/v1/products/AGILE-24-10-01/electricity-tariffs/E-1R-AGILE-24-10-01-G/standard-unit-rates/</x:v>
      </x:c>
    </x:row>
    <x:row r="1998" ht="21" customHeight="1">
      <x:c r="A1998" s="24" t="n">
        <x:v>46190.125</x:v>
      </x:c>
      <x:c r="B1998" s="6" t="n">
        <x:v>0.18109999999999998</x:v>
      </x:c>
      <x:c r="C1998" s="6" t="n">
        <x:v>0.1091</x:v>
      </x:c>
      <x:c r="D1998" s="6" t="n">
        <x:f>B1998</x:f>
        <x:v>0.18109999999999998</x:v>
      </x:c>
      <x:c r="E1998" s="1" t="n">
        <x:v>1.05</x:v>
      </x:c>
      <x:c r="F1998" s="1" t="str">
        <x:v>https://api.octopus.energy/v1/products/AGILE-24-10-01/electricity-tariffs/E-1R-AGILE-24-10-01-G/standard-unit-rates/</x:v>
      </x:c>
    </x:row>
    <x:row r="1999" ht="21" customHeight="1">
      <x:c r="A1999" s="24" t="n">
        <x:v>46190.145833333336</x:v>
      </x:c>
      <x:c r="B1999" s="6" t="n">
        <x:v>0.18100000000000002</x:v>
      </x:c>
      <x:c r="C1999" s="6" t="n">
        <x:v>0.109</x:v>
      </x:c>
      <x:c r="D1999" s="6" t="n">
        <x:f>B1999</x:f>
        <x:v>0.18100000000000002</x:v>
      </x:c>
      <x:c r="E1999" s="1" t="n">
        <x:v>1.05</x:v>
      </x:c>
      <x:c r="F1999" s="1" t="str">
        <x:v>https://api.octopus.energy/v1/products/AGILE-24-10-01/electricity-tariffs/E-1R-AGILE-24-10-01-G/standard-unit-rates/</x:v>
      </x:c>
    </x:row>
    <x:row r="2000" ht="21" customHeight="1">
      <x:c r="A2000" s="24" t="n">
        <x:v>46190.166666666664</x:v>
      </x:c>
      <x:c r="B2000" s="6" t="n">
        <x:v>0.1808</x:v>
      </x:c>
      <x:c r="C2000" s="6" t="n">
        <x:v>0.10890000000000001</x:v>
      </x:c>
      <x:c r="D2000" s="6" t="n">
        <x:f>B2000</x:f>
        <x:v>0.1808</x:v>
      </x:c>
      <x:c r="E2000" s="1" t="n">
        <x:v>1.05</x:v>
      </x:c>
      <x:c r="F2000" s="1" t="str">
        <x:v>https://api.octopus.energy/v1/products/AGILE-24-10-01/electricity-tariffs/E-1R-AGILE-24-10-01-G/standard-unit-rates/</x:v>
      </x:c>
    </x:row>
    <x:row r="2001" ht="21" customHeight="1">
      <x:c r="A2001" s="24" t="n">
        <x:v>46190.1875</x:v>
      </x:c>
      <x:c r="B2001" s="6" t="n">
        <x:v>0.17620000000000002</x:v>
      </x:c>
      <x:c r="C2001" s="6" t="n">
        <x:v>0.10679999999999999</x:v>
      </x:c>
      <x:c r="D2001" s="6" t="n">
        <x:f>B2001</x:f>
        <x:v>0.17620000000000002</x:v>
      </x:c>
      <x:c r="E2001" s="1" t="n">
        <x:v>1.05</x:v>
      </x:c>
      <x:c r="F2001" s="1" t="str">
        <x:v>https://api.octopus.energy/v1/products/AGILE-24-10-01/electricity-tariffs/E-1R-AGILE-24-10-01-G/standard-unit-rates/</x:v>
      </x:c>
    </x:row>
    <x:row r="2002" ht="21" customHeight="1">
      <x:c r="A2002" s="24" t="n">
        <x:v>46190.208333333336</x:v>
      </x:c>
      <x:c r="B2002" s="6" t="n">
        <x:v>0.18739999999999998</x:v>
      </x:c>
      <x:c r="C2002" s="6" t="n">
        <x:v>0.1119</x:v>
      </x:c>
      <x:c r="D2002" s="6" t="n">
        <x:f>B2002</x:f>
        <x:v>0.18739999999999998</x:v>
      </x:c>
      <x:c r="E2002" s="1" t="n">
        <x:v>1.05</x:v>
      </x:c>
      <x:c r="F2002" s="1" t="str">
        <x:v>https://api.octopus.energy/v1/products/AGILE-24-10-01/electricity-tariffs/E-1R-AGILE-24-10-01-G/standard-unit-rates/</x:v>
      </x:c>
    </x:row>
    <x:row r="2003" ht="21" customHeight="1">
      <x:c r="A2003" s="24" t="n">
        <x:v>46190.229166666664</x:v>
      </x:c>
      <x:c r="B2003" s="6" t="n">
        <x:v>0.1888</x:v>
      </x:c>
      <x:c r="C2003" s="6" t="n">
        <x:v>0.11259999999999999</x:v>
      </x:c>
      <x:c r="D2003" s="6" t="n">
        <x:f>B2003</x:f>
        <x:v>0.1888</x:v>
      </x:c>
      <x:c r="E2003" s="1" t="n">
        <x:v>1.05</x:v>
      </x:c>
      <x:c r="F2003" s="1" t="str">
        <x:v>https://api.octopus.energy/v1/products/AGILE-24-10-01/electricity-tariffs/E-1R-AGILE-24-10-01-G/standard-unit-rates/</x:v>
      </x:c>
    </x:row>
    <x:row r="2004" ht="21" customHeight="1">
      <x:c r="A2004" s="24" t="n">
        <x:v>46190.25</x:v>
      </x:c>
      <x:c r="B2004" s="6" t="n">
        <x:v>0.1802</x:v>
      </x:c>
      <x:c r="C2004" s="6" t="n">
        <x:v>0.10869999999999999</x:v>
      </x:c>
      <x:c r="D2004" s="6" t="n">
        <x:f>B2004</x:f>
        <x:v>0.1802</x:v>
      </x:c>
      <x:c r="E2004" s="1" t="n">
        <x:v>1.05</x:v>
      </x:c>
      <x:c r="F2004" s="1" t="str">
        <x:v>https://api.octopus.energy/v1/products/AGILE-24-10-01/electricity-tariffs/E-1R-AGILE-24-10-01-G/standard-unit-rates/</x:v>
      </x:c>
    </x:row>
    <x:row r="2005" ht="21" customHeight="1">
      <x:c r="A2005" s="24" t="n">
        <x:v>46190.270833333336</x:v>
      </x:c>
      <x:c r="B2005" s="6" t="n">
        <x:v>0.1978</x:v>
      </x:c>
      <x:c r="C2005" s="6" t="n">
        <x:v>0.1167</x:v>
      </x:c>
      <x:c r="D2005" s="6" t="n">
        <x:f>B2005</x:f>
        <x:v>0.1978</x:v>
      </x:c>
      <x:c r="E2005" s="1" t="n">
        <x:v>1.05</x:v>
      </x:c>
      <x:c r="F2005" s="1" t="str">
        <x:v>https://api.octopus.energy/v1/products/AGILE-24-10-01/electricity-tariffs/E-1R-AGILE-24-10-01-G/standard-unit-rates/</x:v>
      </x:c>
    </x:row>
    <x:row r="2006" ht="21" customHeight="1">
      <x:c r="A2006" s="24" t="n">
        <x:v>46190.291666666664</x:v>
      </x:c>
      <x:c r="B2006" s="6" t="n">
        <x:v>0.1852</x:v>
      </x:c>
      <x:c r="C2006" s="6" t="n">
        <x:v>0.1109</x:v>
      </x:c>
      <x:c r="D2006" s="6" t="n">
        <x:f>B2006</x:f>
        <x:v>0.1852</x:v>
      </x:c>
      <x:c r="E2006" s="1" t="n">
        <x:v>1.05</x:v>
      </x:c>
      <x:c r="F2006" s="1" t="str">
        <x:v>https://api.octopus.energy/v1/products/AGILE-24-10-01/electricity-tariffs/E-1R-AGILE-24-10-01-G/standard-unit-rates/</x:v>
      </x:c>
    </x:row>
    <x:row r="2007" ht="21" customHeight="1">
      <x:c r="A2007" s="24" t="n">
        <x:v>46190.3125</x:v>
      </x:c>
      <x:c r="B2007" s="6" t="n">
        <x:v>0.1917</x:v>
      </x:c>
      <x:c r="C2007" s="6" t="n">
        <x:v>0.1139</x:v>
      </x:c>
      <x:c r="D2007" s="6" t="n">
        <x:f>B2007</x:f>
        <x:v>0.1917</x:v>
      </x:c>
      <x:c r="E2007" s="1" t="n">
        <x:v>1.05</x:v>
      </x:c>
      <x:c r="F2007" s="1" t="str">
        <x:v>https://api.octopus.energy/v1/products/AGILE-24-10-01/electricity-tariffs/E-1R-AGILE-24-10-01-G/standard-unit-rates/</x:v>
      </x:c>
    </x:row>
    <x:row r="2008" ht="21" customHeight="1">
      <x:c r="A2008" s="24" t="n">
        <x:v>46190.333333333336</x:v>
      </x:c>
      <x:c r="B2008" s="6" t="n">
        <x:v>0.1705</x:v>
      </x:c>
      <x:c r="C2008" s="6" t="n">
        <x:v>0.1042</x:v>
      </x:c>
      <x:c r="D2008" s="6" t="n">
        <x:f>B2008</x:f>
        <x:v>0.1705</x:v>
      </x:c>
      <x:c r="E2008" s="1" t="n">
        <x:v>1.05</x:v>
      </x:c>
      <x:c r="F2008" s="1" t="str">
        <x:v>https://api.octopus.energy/v1/products/AGILE-24-10-01/electricity-tariffs/E-1R-AGILE-24-10-01-G/standard-unit-rates/</x:v>
      </x:c>
    </x:row>
    <x:row r="2009" ht="21" customHeight="1">
      <x:c r="A2009" s="24" t="n">
        <x:v>46190.354166666664</x:v>
      </x:c>
      <x:c r="B2009" s="6" t="n">
        <x:v>0.1674</x:v>
      </x:c>
      <x:c r="C2009" s="6" t="n">
        <x:v>0.10279999999999999</x:v>
      </x:c>
      <x:c r="D2009" s="6" t="n">
        <x:f>B2009</x:f>
        <x:v>0.1674</x:v>
      </x:c>
      <x:c r="E2009" s="1" t="n">
        <x:v>1.05</x:v>
      </x:c>
      <x:c r="F2009" s="1" t="str">
        <x:v>https://api.octopus.energy/v1/products/AGILE-24-10-01/electricity-tariffs/E-1R-AGILE-24-10-01-G/standard-unit-rates/</x:v>
      </x:c>
    </x:row>
    <x:row r="2010" ht="21" customHeight="1">
      <x:c r="A2010" s="24" t="n">
        <x:v>46190.375</x:v>
      </x:c>
      <x:c r="B2010" s="6" t="n">
        <x:v>0.1696</x:v>
      </x:c>
      <x:c r="C2010" s="6" t="n">
        <x:v>0.1038</x:v>
      </x:c>
      <x:c r="D2010" s="6" t="n">
        <x:f>B2010</x:f>
        <x:v>0.1696</x:v>
      </x:c>
      <x:c r="E2010" s="1" t="n">
        <x:v>1.05</x:v>
      </x:c>
      <x:c r="F2010" s="1" t="str">
        <x:v>https://api.octopus.energy/v1/products/AGILE-24-10-01/electricity-tariffs/E-1R-AGILE-24-10-01-G/standard-unit-rates/</x:v>
      </x:c>
    </x:row>
    <x:row r="2011" ht="21" customHeight="1">
      <x:c r="A2011" s="24" t="n">
        <x:v>46190.395833333336</x:v>
      </x:c>
      <x:c r="B2011" s="6" t="n">
        <x:v>0.1703</x:v>
      </x:c>
      <x:c r="C2011" s="6" t="n">
        <x:v>0.1041</x:v>
      </x:c>
      <x:c r="D2011" s="6" t="n">
        <x:f>B2011</x:f>
        <x:v>0.1703</x:v>
      </x:c>
      <x:c r="E2011" s="1" t="n">
        <x:v>1.05</x:v>
      </x:c>
      <x:c r="F2011" s="1" t="str">
        <x:v>https://api.octopus.energy/v1/products/AGILE-24-10-01/electricity-tariffs/E-1R-AGILE-24-10-01-G/standard-unit-rates/</x:v>
      </x:c>
    </x:row>
    <x:row r="2012" ht="21" customHeight="1">
      <x:c r="A2012" s="24" t="n">
        <x:v>46190.416666666664</x:v>
      </x:c>
      <x:c r="B2012" s="6" t="n">
        <x:v>0.15560000000000002</x:v>
      </x:c>
      <x:c r="C2012" s="6" t="n">
        <x:v>0.0974</x:v>
      </x:c>
      <x:c r="D2012" s="6" t="n">
        <x:f>B2012</x:f>
        <x:v>0.15560000000000002</x:v>
      </x:c>
      <x:c r="E2012" s="1" t="n">
        <x:v>1.05</x:v>
      </x:c>
      <x:c r="F2012" s="1" t="str">
        <x:v>https://api.octopus.energy/v1/products/AGILE-24-10-01/electricity-tariffs/E-1R-AGILE-24-10-01-G/standard-unit-rates/</x:v>
      </x:c>
    </x:row>
    <x:row r="2013" ht="21" customHeight="1">
      <x:c r="A2013" s="24" t="n">
        <x:v>46190.4375</x:v>
      </x:c>
      <x:c r="B2013" s="6" t="n">
        <x:v>0.1517</x:v>
      </x:c>
      <x:c r="C2013" s="6" t="n">
        <x:v>0.0956</x:v>
      </x:c>
      <x:c r="D2013" s="6" t="n">
        <x:f>B2013</x:f>
        <x:v>0.1517</x:v>
      </x:c>
      <x:c r="E2013" s="1" t="n">
        <x:v>1.05</x:v>
      </x:c>
      <x:c r="F2013" s="1" t="str">
        <x:v>https://api.octopus.energy/v1/products/AGILE-24-10-01/electricity-tariffs/E-1R-AGILE-24-10-01-G/standard-unit-rates/</x:v>
      </x:c>
    </x:row>
    <x:row r="2014" ht="21" customHeight="1">
      <x:c r="A2014" s="24" t="n">
        <x:v>46190.458333333336</x:v>
      </x:c>
      <x:c r="B2014" s="6" t="n">
        <x:v>0.15560000000000002</x:v>
      </x:c>
      <x:c r="C2014" s="6" t="n">
        <x:v>0.0974</x:v>
      </x:c>
      <x:c r="D2014" s="6" t="n">
        <x:f>B2014</x:f>
        <x:v>0.15560000000000002</x:v>
      </x:c>
      <x:c r="E2014" s="1" t="n">
        <x:v>1.05</x:v>
      </x:c>
      <x:c r="F2014" s="1" t="str">
        <x:v>https://api.octopus.energy/v1/products/AGILE-24-10-01/electricity-tariffs/E-1R-AGILE-24-10-01-G/standard-unit-rates/</x:v>
      </x:c>
    </x:row>
    <x:row r="2015" ht="21" customHeight="1">
      <x:c r="A2015" s="24" t="n">
        <x:v>46190.479166666664</x:v>
      </x:c>
      <x:c r="B2015" s="6" t="n">
        <x:v>0.1459</x:v>
      </x:c>
      <x:c r="C2015" s="6" t="n">
        <x:v>0.09300000000000001</x:v>
      </x:c>
      <x:c r="D2015" s="6" t="n">
        <x:f>B2015</x:f>
        <x:v>0.1459</x:v>
      </x:c>
      <x:c r="E2015" s="1" t="n">
        <x:v>1.05</x:v>
      </x:c>
      <x:c r="F2015" s="1" t="str">
        <x:v>https://api.octopus.energy/v1/products/AGILE-24-10-01/electricity-tariffs/E-1R-AGILE-24-10-01-G/standard-unit-rates/</x:v>
      </x:c>
    </x:row>
    <x:row r="2016" ht="21" customHeight="1">
      <x:c r="A2016" s="24" t="n">
        <x:v>46190.5</x:v>
      </x:c>
      <x:c r="B2016" s="6" t="n">
        <x:v>0.1533</x:v>
      </x:c>
      <x:c r="C2016" s="6" t="n">
        <x:v>0.09630000000000001</x:v>
      </x:c>
      <x:c r="D2016" s="6" t="n">
        <x:f>B2016</x:f>
        <x:v>0.1533</x:v>
      </x:c>
      <x:c r="E2016" s="1" t="n">
        <x:v>1.05</x:v>
      </x:c>
      <x:c r="F2016" s="1" t="str">
        <x:v>https://api.octopus.energy/v1/products/AGILE-24-10-01/electricity-tariffs/E-1R-AGILE-24-10-01-G/standard-unit-rates/</x:v>
      </x:c>
    </x:row>
    <x:row r="2017" ht="21" customHeight="1">
      <x:c r="A2017" s="24" t="n">
        <x:v>46190.520833333336</x:v>
      </x:c>
      <x:c r="B2017" s="6" t="n">
        <x:v>0.1476</x:v>
      </x:c>
      <x:c r="C2017" s="6" t="n">
        <x:v>0.09380000000000001</x:v>
      </x:c>
      <x:c r="D2017" s="6" t="n">
        <x:f>B2017</x:f>
        <x:v>0.1476</x:v>
      </x:c>
      <x:c r="E2017" s="1" t="n">
        <x:v>1.05</x:v>
      </x:c>
      <x:c r="F2017" s="1" t="str">
        <x:v>https://api.octopus.energy/v1/products/AGILE-24-10-01/electricity-tariffs/E-1R-AGILE-24-10-01-G/standard-unit-rates/</x:v>
      </x:c>
    </x:row>
    <x:row r="2018" ht="21" customHeight="1">
      <x:c r="A2018" s="24" t="n">
        <x:v>46190.541666666664</x:v>
      </x:c>
      <x:c r="B2018" s="6" t="n">
        <x:v>0.1388</x:v>
      </x:c>
      <x:c r="C2018" s="6" t="n">
        <x:v>0.0897</x:v>
      </x:c>
      <x:c r="D2018" s="6" t="n">
        <x:f>B2018</x:f>
        <x:v>0.1388</x:v>
      </x:c>
      <x:c r="E2018" s="1" t="n">
        <x:v>1.05</x:v>
      </x:c>
      <x:c r="F2018" s="1" t="str">
        <x:v>https://api.octopus.energy/v1/products/AGILE-24-10-01/electricity-tariffs/E-1R-AGILE-24-10-01-G/standard-unit-rates/</x:v>
      </x:c>
    </x:row>
    <x:row r="2019" ht="21" customHeight="1">
      <x:c r="A2019" s="24" t="n">
        <x:v>46190.5625</x:v>
      </x:c>
      <x:c r="B2019" s="6" t="n">
        <x:v>0.1252</x:v>
      </x:c>
      <x:c r="C2019" s="6" t="n">
        <x:v>0.08349999999999999</x:v>
      </x:c>
      <x:c r="D2019" s="6" t="n">
        <x:f>B2019</x:f>
        <x:v>0.1252</x:v>
      </x:c>
      <x:c r="E2019" s="1" t="n">
        <x:v>1.05</x:v>
      </x:c>
      <x:c r="F2019" s="1" t="str">
        <x:v>https://api.octopus.energy/v1/products/AGILE-24-10-01/electricity-tariffs/E-1R-AGILE-24-10-01-G/standard-unit-rates/</x:v>
      </x:c>
    </x:row>
    <x:row r="2020" ht="21" customHeight="1">
      <x:c r="A2020" s="24" t="n">
        <x:v>46190.583333333336</x:v>
      </x:c>
      <x:c r="B2020" s="6" t="n">
        <x:v>0.1183</x:v>
      </x:c>
      <x:c r="C2020" s="6" t="n">
        <x:v>0.08039999999999999</x:v>
      </x:c>
      <x:c r="D2020" s="6" t="n">
        <x:f>B2020</x:f>
        <x:v>0.1183</x:v>
      </x:c>
      <x:c r="E2020" s="1" t="n">
        <x:v>1.05</x:v>
      </x:c>
      <x:c r="F2020" s="1" t="str">
        <x:v>https://api.octopus.energy/v1/products/AGILE-24-10-01/electricity-tariffs/E-1R-AGILE-24-10-01-G/standard-unit-rates/</x:v>
      </x:c>
    </x:row>
    <x:row r="2021" ht="21" customHeight="1">
      <x:c r="A2021" s="24" t="n">
        <x:v>46190.604166666664</x:v>
      </x:c>
      <x:c r="B2021" s="6" t="n">
        <x:v>0.1173</x:v>
      </x:c>
      <x:c r="C2021" s="6" t="n">
        <x:v>0.0799</x:v>
      </x:c>
      <x:c r="D2021" s="6" t="n">
        <x:f>B2021</x:f>
        <x:v>0.1173</x:v>
      </x:c>
      <x:c r="E2021" s="1" t="n">
        <x:v>1.05</x:v>
      </x:c>
      <x:c r="F2021" s="1" t="str">
        <x:v>https://api.octopus.energy/v1/products/AGILE-24-10-01/electricity-tariffs/E-1R-AGILE-24-10-01-G/standard-unit-rates/</x:v>
      </x:c>
    </x:row>
    <x:row r="2022" ht="21" customHeight="1">
      <x:c r="A2022" s="24" t="n">
        <x:v>46190.625</x:v>
      </x:c>
      <x:c r="B2022" s="6" t="n">
        <x:v>0.1355</x:v>
      </x:c>
      <x:c r="C2022" s="6" t="n">
        <x:v>0.0882</x:v>
      </x:c>
      <x:c r="D2022" s="6" t="n">
        <x:f>B2022</x:f>
        <x:v>0.1355</x:v>
      </x:c>
      <x:c r="E2022" s="1" t="n">
        <x:v>1.05</x:v>
      </x:c>
      <x:c r="F2022" s="1" t="str">
        <x:v>https://api.octopus.energy/v1/products/AGILE-24-10-01/electricity-tariffs/E-1R-AGILE-24-10-01-G/standard-unit-rates/</x:v>
      </x:c>
    </x:row>
    <x:row r="2023" ht="21" customHeight="1">
      <x:c r="A2023" s="24" t="n">
        <x:v>46190.645833333336</x:v>
      </x:c>
      <x:c r="B2023" s="6" t="n">
        <x:v>0.14150000000000001</x:v>
      </x:c>
      <x:c r="C2023" s="6" t="n">
        <x:v>0.091</x:v>
      </x:c>
      <x:c r="D2023" s="6" t="n">
        <x:f>B2023</x:f>
        <x:v>0.14150000000000001</x:v>
      </x:c>
      <x:c r="E2023" s="1" t="n">
        <x:v>1.05</x:v>
      </x:c>
      <x:c r="F2023" s="1" t="str">
        <x:v>https://api.octopus.energy/v1/products/AGILE-24-10-01/electricity-tariffs/E-1R-AGILE-24-10-01-G/standard-unit-rates/</x:v>
      </x:c>
    </x:row>
    <x:row r="2024" ht="21" customHeight="1">
      <x:c r="A2024" s="24" t="n">
        <x:v>46190.666666666664</x:v>
      </x:c>
      <x:c r="B2024" s="6" t="n">
        <x:v>0.2761</x:v>
      </x:c>
      <x:c r="C2024" s="6" t="n">
        <x:v>0.1565</x:v>
      </x:c>
      <x:c r="D2024" s="6" t="n">
        <x:f>B2024</x:f>
        <x:v>0.2761</x:v>
      </x:c>
      <x:c r="E2024" s="1" t="n">
        <x:v>1.05</x:v>
      </x:c>
      <x:c r="F2024" s="1" t="str">
        <x:v>https://api.octopus.energy/v1/products/AGILE-24-10-01/electricity-tariffs/E-1R-AGILE-24-10-01-G/standard-unit-rates/</x:v>
      </x:c>
    </x:row>
    <x:row r="2025" ht="21" customHeight="1">
      <x:c r="A2025" s="24" t="n">
        <x:v>46190.6875</x:v>
      </x:c>
      <x:c r="B2025" s="6" t="n">
        <x:v>0.2756</x:v>
      </x:c>
      <x:c r="C2025" s="6" t="n">
        <x:v>0.1563</x:v>
      </x:c>
      <x:c r="D2025" s="6" t="n">
        <x:f>B2025</x:f>
        <x:v>0.2756</x:v>
      </x:c>
      <x:c r="E2025" s="1" t="n">
        <x:v>1.05</x:v>
      </x:c>
      <x:c r="F2025" s="1" t="str">
        <x:v>https://api.octopus.energy/v1/products/AGILE-24-10-01/electricity-tariffs/E-1R-AGILE-24-10-01-G/standard-unit-rates/</x:v>
      </x:c>
    </x:row>
    <x:row r="2026" ht="21" customHeight="1">
      <x:c r="A2026" s="24" t="n">
        <x:v>46190.708333333336</x:v>
      </x:c>
      <x:c r="B2026" s="6" t="n">
        <x:v>0.27140000000000003</x:v>
      </x:c>
      <x:c r="C2026" s="6" t="n">
        <x:v>0.15439999999999998</x:v>
      </x:c>
      <x:c r="D2026" s="6" t="n">
        <x:f>B2026</x:f>
        <x:v>0.27140000000000003</x:v>
      </x:c>
      <x:c r="E2026" s="1" t="n">
        <x:v>1.05</x:v>
      </x:c>
      <x:c r="F2026" s="1" t="str">
        <x:v>https://api.octopus.energy/v1/products/AGILE-24-10-01/electricity-tariffs/E-1R-AGILE-24-10-01-G/standard-unit-rates/</x:v>
      </x:c>
    </x:row>
    <x:row r="2027" ht="21" customHeight="1">
      <x:c r="A2027" s="24" t="n">
        <x:v>46190.729166666664</x:v>
      </x:c>
      <x:c r="B2027" s="6" t="n">
        <x:v>0.2853</x:v>
      </x:c>
      <x:c r="C2027" s="6" t="n">
        <x:v>0.16079999999999997</x:v>
      </x:c>
      <x:c r="D2027" s="6" t="n">
        <x:f>B2027</x:f>
        <x:v>0.2853</x:v>
      </x:c>
      <x:c r="E2027" s="1" t="n">
        <x:v>1.05</x:v>
      </x:c>
      <x:c r="F2027" s="1" t="str">
        <x:v>https://api.octopus.energy/v1/products/AGILE-24-10-01/electricity-tariffs/E-1R-AGILE-24-10-01-G/standard-unit-rates/</x:v>
      </x:c>
    </x:row>
    <x:row r="2028" ht="21" customHeight="1">
      <x:c r="A2028" s="24" t="n">
        <x:v>46190.75</x:v>
      </x:c>
      <x:c r="B2028" s="6" t="n">
        <x:v>0.32289999999999996</x:v>
      </x:c>
      <x:c r="C2028" s="6" t="n">
        <x:v>0.1779</x:v>
      </x:c>
      <x:c r="D2028" s="6" t="n">
        <x:f>B2028</x:f>
        <x:v>0.32289999999999996</x:v>
      </x:c>
      <x:c r="E2028" s="1" t="n">
        <x:v>1.05</x:v>
      </x:c>
      <x:c r="F2028" s="1" t="str">
        <x:v>https://api.octopus.energy/v1/products/AGILE-24-10-01/electricity-tariffs/E-1R-AGILE-24-10-01-G/standard-unit-rates/</x:v>
      </x:c>
    </x:row>
    <x:row r="2029" ht="21" customHeight="1">
      <x:c r="A2029" s="24" t="n">
        <x:v>46190.770833333336</x:v>
      </x:c>
      <x:c r="B2029" s="6" t="n">
        <x:v>0.33340000000000003</x:v>
      </x:c>
      <x:c r="C2029" s="6" t="n">
        <x:v>0.1827</x:v>
      </x:c>
      <x:c r="D2029" s="6" t="n">
        <x:f>B2029</x:f>
        <x:v>0.33340000000000003</x:v>
      </x:c>
      <x:c r="E2029" s="1" t="n">
        <x:v>1.05</x:v>
      </x:c>
      <x:c r="F2029" s="1" t="str">
        <x:v>https://api.octopus.energy/v1/products/AGILE-24-10-01/electricity-tariffs/E-1R-AGILE-24-10-01-G/standard-unit-rates/</x:v>
      </x:c>
    </x:row>
    <x:row r="2030" ht="21" customHeight="1">
      <x:c r="A2030" s="24" t="n">
        <x:v>46190.791666666664</x:v>
      </x:c>
      <x:c r="B2030" s="6" t="n">
        <x:v>0.2477</x:v>
      </x:c>
      <x:c r="C2030" s="6" t="n">
        <x:v>0.13949999999999999</x:v>
      </x:c>
      <x:c r="D2030" s="6" t="n">
        <x:f>B2030</x:f>
        <x:v>0.2477</x:v>
      </x:c>
      <x:c r="E2030" s="1" t="n">
        <x:v>1.05</x:v>
      </x:c>
      <x:c r="F2030" s="1" t="str">
        <x:v>https://api.octopus.energy/v1/products/AGILE-24-10-01/electricity-tariffs/E-1R-AGILE-24-10-01-G/standard-unit-rates/</x:v>
      </x:c>
    </x:row>
    <x:row r="2031" ht="21" customHeight="1">
      <x:c r="A2031" s="24" t="n">
        <x:v>46190.8125</x:v>
      </x:c>
      <x:c r="B2031" s="6" t="n">
        <x:v>0.2554</x:v>
      </x:c>
      <x:c r="C2031" s="6" t="n">
        <x:v>0.14300000000000002</x:v>
      </x:c>
      <x:c r="D2031" s="6" t="n">
        <x:f>B2031</x:f>
        <x:v>0.2554</x:v>
      </x:c>
      <x:c r="E2031" s="1" t="n">
        <x:v>1.05</x:v>
      </x:c>
      <x:c r="F2031" s="1" t="str">
        <x:v>https://api.octopus.energy/v1/products/AGILE-24-10-01/electricity-tariffs/E-1R-AGILE-24-10-01-G/standard-unit-rates/</x:v>
      </x:c>
    </x:row>
    <x:row r="2032" ht="21" customHeight="1">
      <x:c r="A2032" s="24" t="n">
        <x:v>46190.833333333336</x:v>
      </x:c>
      <x:c r="B2032" s="6" t="n">
        <x:v>0.2554</x:v>
      </x:c>
      <x:c r="C2032" s="6" t="n">
        <x:v>0.14300000000000002</x:v>
      </x:c>
      <x:c r="D2032" s="6" t="n">
        <x:f>B2032</x:f>
        <x:v>0.2554</x:v>
      </x:c>
      <x:c r="E2032" s="1" t="n">
        <x:v>1.05</x:v>
      </x:c>
      <x:c r="F2032" s="1" t="str">
        <x:v>https://api.octopus.energy/v1/products/AGILE-24-10-01/electricity-tariffs/E-1R-AGILE-24-10-01-G/standard-unit-rates/</x:v>
      </x:c>
    </x:row>
    <x:row r="2033" ht="21" customHeight="1">
      <x:c r="A2033" s="24" t="n">
        <x:v>46190.854166666664</x:v>
      </x:c>
      <x:c r="B2033" s="6" t="n">
        <x:v>0.2556</x:v>
      </x:c>
      <x:c r="C2033" s="6" t="n">
        <x:v>0.1431</x:v>
      </x:c>
      <x:c r="D2033" s="6" t="n">
        <x:f>B2033</x:f>
        <x:v>0.2556</x:v>
      </x:c>
      <x:c r="E2033" s="1" t="n">
        <x:v>1.05</x:v>
      </x:c>
      <x:c r="F2033" s="1" t="str">
        <x:v>https://api.octopus.energy/v1/products/AGILE-24-10-01/electricity-tariffs/E-1R-AGILE-24-10-01-G/standard-unit-rates/</x:v>
      </x:c>
    </x:row>
    <x:row r="2034" ht="21" customHeight="1">
      <x:c r="A2034" s="24" t="n">
        <x:v>46190.875</x:v>
      </x:c>
      <x:c r="B2034" s="6" t="n">
        <x:v>0.249</x:v>
      </x:c>
      <x:c r="C2034" s="6" t="n">
        <x:v>0.1401</x:v>
      </x:c>
      <x:c r="D2034" s="6" t="n">
        <x:f>B2034</x:f>
        <x:v>0.249</x:v>
      </x:c>
      <x:c r="E2034" s="1" t="n">
        <x:v>1.05</x:v>
      </x:c>
      <x:c r="F2034" s="1" t="str">
        <x:v>https://api.octopus.energy/v1/products/AGILE-24-10-01/electricity-tariffs/E-1R-AGILE-24-10-01-G/standard-unit-rates/</x:v>
      </x:c>
    </x:row>
    <x:row r="2035" ht="21" customHeight="1">
      <x:c r="A2035" s="24" t="n">
        <x:v>46190.895833333336</x:v>
      </x:c>
      <x:c r="B2035" s="6" t="n">
        <x:v>0.2554</x:v>
      </x:c>
      <x:c r="C2035" s="6" t="n">
        <x:v>0.14300000000000002</x:v>
      </x:c>
      <x:c r="D2035" s="6" t="n">
        <x:f>B2035</x:f>
        <x:v>0.2554</x:v>
      </x:c>
      <x:c r="E2035" s="1" t="n">
        <x:v>1.05</x:v>
      </x:c>
      <x:c r="F2035" s="1" t="str">
        <x:v>https://api.octopus.energy/v1/products/AGILE-24-10-01/electricity-tariffs/E-1R-AGILE-24-10-01-G/standard-unit-rates/</x:v>
      </x:c>
    </x:row>
    <x:row r="2036" ht="21" customHeight="1">
      <x:c r="A2036" s="24" t="n">
        <x:v>46190.916666666664</x:v>
      </x:c>
      <x:c r="B2036" s="6" t="n">
        <x:v>0.2266</x:v>
      </x:c>
      <x:c r="C2036" s="6" t="n">
        <x:v>0.12990000000000002</x:v>
      </x:c>
      <x:c r="D2036" s="6" t="n">
        <x:f>B2036</x:f>
        <x:v>0.2266</x:v>
      </x:c>
      <x:c r="E2036" s="1" t="n">
        <x:v>1.05</x:v>
      </x:c>
      <x:c r="F2036" s="1" t="str">
        <x:v>https://api.octopus.energy/v1/products/AGILE-24-10-01/electricity-tariffs/E-1R-AGILE-24-10-01-G/standard-unit-rates/</x:v>
      </x:c>
    </x:row>
    <x:row r="2037" ht="21" customHeight="1">
      <x:c r="A2037" s="24" t="n">
        <x:v>46190.9375</x:v>
      </x:c>
      <x:c r="B2037" s="6" t="n">
        <x:v>0.23120000000000002</x:v>
      </x:c>
      <x:c r="C2037" s="6" t="n">
        <x:v>0.132</x:v>
      </x:c>
      <x:c r="D2037" s="6" t="n">
        <x:f>B2037</x:f>
        <x:v>0.23120000000000002</x:v>
      </x:c>
      <x:c r="E2037" s="1" t="n">
        <x:v>1.05</x:v>
      </x:c>
      <x:c r="F2037" s="1" t="str">
        <x:v>https://api.octopus.energy/v1/products/AGILE-24-10-01/electricity-tariffs/E-1R-AGILE-24-10-01-G/standard-unit-rates/</x:v>
      </x:c>
    </x:row>
    <x:row r="2038" ht="21" customHeight="1">
      <x:c r="A2038" s="24" t="n">
        <x:v>46191</x:v>
      </x:c>
      <x:c r="B2038" s="6" t="n">
        <x:v>0.2213</x:v>
      </x:c>
      <x:c r="C2038" s="6" t="n">
        <x:v>0.1274</x:v>
      </x:c>
      <x:c r="D2038" s="6" t="n">
        <x:f>B2038</x:f>
        <x:v>0.2213</x:v>
      </x:c>
      <x:c r="E2038" s="1" t="n">
        <x:v>1.05</x:v>
      </x:c>
      <x:c r="F2038" s="1" t="str">
        <x:v>https://api.octopus.energy/v1/products/AGILE-24-10-01/electricity-tariffs/E-1R-AGILE-24-10-01-G/standard-unit-rates/</x:v>
      </x:c>
    </x:row>
    <x:row r="2039" ht="21" customHeight="1">
      <x:c r="A2039" s="24" t="n">
        <x:v>46190.979166666664</x:v>
      </x:c>
      <x:c r="B2039" s="6" t="n">
        <x:v>0.1916</x:v>
      </x:c>
      <x:c r="C2039" s="6" t="n">
        <x:v>0.11380000000000001</x:v>
      </x:c>
      <x:c r="D2039" s="6" t="n">
        <x:f>B2039</x:f>
        <x:v>0.1916</x:v>
      </x:c>
      <x:c r="E2039" s="1" t="n">
        <x:v>1.05</x:v>
      </x:c>
      <x:c r="F2039" s="1" t="str">
        <x:v>https://api.octopus.energy/v1/products/AGILE-24-10-01/electricity-tariffs/E-1R-AGILE-24-10-01-G/standard-unit-rates/</x:v>
      </x:c>
    </x:row>
    <x:row r="2040" ht="21" customHeight="1">
      <x:c r="A2040" s="24" t="n">
        <x:v>46191</x:v>
      </x:c>
      <x:c r="B2040" s="6" t="n">
        <x:v>0.20600000000000002</x:v>
      </x:c>
      <x:c r="C2040" s="6" t="n">
        <x:v>0.1204</x:v>
      </x:c>
      <x:c r="D2040" s="6" t="n">
        <x:f>B2040</x:f>
        <x:v>0.20600000000000002</x:v>
      </x:c>
      <x:c r="E2040" s="1" t="n">
        <x:v>1.05</x:v>
      </x:c>
      <x:c r="F2040" s="1" t="str">
        <x:v>https://api.octopus.energy/v1/products/AGILE-24-10-01/electricity-tariffs/E-1R-AGILE-24-10-01-G/standard-unit-rates/</x:v>
      </x:c>
    </x:row>
    <x:row r="2041" ht="21" customHeight="1">
      <x:c r="A2041" s="24" t="n">
        <x:v>46191.020833333336</x:v>
      </x:c>
      <x:c r="B2041" s="6" t="n">
        <x:v>0.19760000000000003</x:v>
      </x:c>
      <x:c r="C2041" s="6" t="n">
        <x:v>0.1166</x:v>
      </x:c>
      <x:c r="D2041" s="6" t="n">
        <x:f>B2041</x:f>
        <x:v>0.19760000000000003</x:v>
      </x:c>
      <x:c r="E2041" s="1" t="n">
        <x:v>1.05</x:v>
      </x:c>
      <x:c r="F2041" s="1" t="str">
        <x:v>https://api.octopus.energy/v1/products/AGILE-24-10-01/electricity-tariffs/E-1R-AGILE-24-10-01-G/standard-unit-rates/</x:v>
      </x:c>
    </x:row>
    <x:row r="2042" ht="21" customHeight="1">
      <x:c r="A2042" s="24" t="n">
        <x:v>46191.041666666664</x:v>
      </x:c>
      <x:c r="B2042" s="6" t="n">
        <x:v>0.1934</x:v>
      </x:c>
      <x:c r="C2042" s="6" t="n">
        <x:v>0.11470000000000001</x:v>
      </x:c>
      <x:c r="D2042" s="6" t="n">
        <x:f>B2042</x:f>
        <x:v>0.1934</x:v>
      </x:c>
      <x:c r="E2042" s="1" t="n">
        <x:v>1.05</x:v>
      </x:c>
      <x:c r="F2042" s="1" t="str">
        <x:v>https://api.octopus.energy/v1/products/AGILE-24-10-01/electricity-tariffs/E-1R-AGILE-24-10-01-G/standard-unit-rates/</x:v>
      </x:c>
    </x:row>
    <x:row r="2043" ht="21" customHeight="1">
      <x:c r="A2043" s="24" t="n">
        <x:v>46191.0625</x:v>
      </x:c>
      <x:c r="B2043" s="6" t="n">
        <x:v>0.1892</x:v>
      </x:c>
      <x:c r="C2043" s="6" t="n">
        <x:v>0.1128</x:v>
      </x:c>
      <x:c r="D2043" s="6" t="n">
        <x:f>B2043</x:f>
        <x:v>0.1892</x:v>
      </x:c>
      <x:c r="E2043" s="1" t="n">
        <x:v>1.05</x:v>
      </x:c>
      <x:c r="F2043" s="1" t="str">
        <x:v>https://api.octopus.energy/v1/products/AGILE-24-10-01/electricity-tariffs/E-1R-AGILE-24-10-01-G/standard-unit-rates/</x:v>
      </x:c>
    </x:row>
    <x:row r="2044" ht="21" customHeight="1">
      <x:c r="A2044" s="24" t="n">
        <x:v>46191.083333333336</x:v>
      </x:c>
      <x:c r="B2044" s="6" t="n">
        <x:v>0.1805</x:v>
      </x:c>
      <x:c r="C2044" s="6" t="n">
        <x:v>0.10880000000000001</x:v>
      </x:c>
      <x:c r="D2044" s="6" t="n">
        <x:f>B2044</x:f>
        <x:v>0.1805</x:v>
      </x:c>
      <x:c r="E2044" s="1" t="n">
        <x:v>1.05</x:v>
      </x:c>
      <x:c r="F2044" s="1" t="str">
        <x:v>https://api.octopus.energy/v1/products/AGILE-24-10-01/electricity-tariffs/E-1R-AGILE-24-10-01-G/standard-unit-rates/</x:v>
      </x:c>
    </x:row>
    <x:row r="2045" ht="21" customHeight="1">
      <x:c r="A2045" s="24" t="n">
        <x:v>46191.104166666664</x:v>
      </x:c>
      <x:c r="B2045" s="6" t="n">
        <x:v>0.17600000000000002</x:v>
      </x:c>
      <x:c r="C2045" s="6" t="n">
        <x:v>0.1067</x:v>
      </x:c>
      <x:c r="D2045" s="6" t="n">
        <x:f>B2045</x:f>
        <x:v>0.17600000000000002</x:v>
      </x:c>
      <x:c r="E2045" s="1" t="n">
        <x:v>1.05</x:v>
      </x:c>
      <x:c r="F2045" s="1" t="str">
        <x:v>https://api.octopus.energy/v1/products/AGILE-24-10-01/electricity-tariffs/E-1R-AGILE-24-10-01-G/standard-unit-rates/</x:v>
      </x:c>
    </x:row>
    <x:row r="2046" ht="21" customHeight="1">
      <x:c r="A2046" s="24" t="n">
        <x:v>46191.125</x:v>
      </x:c>
      <x:c r="B2046" s="6" t="n">
        <x:v>0.1787</x:v>
      </x:c>
      <x:c r="C2046" s="6" t="n">
        <x:v>0.10800000000000001</x:v>
      </x:c>
      <x:c r="D2046" s="6" t="n">
        <x:f>B2046</x:f>
        <x:v>0.1787</x:v>
      </x:c>
      <x:c r="E2046" s="1" t="n">
        <x:v>1.05</x:v>
      </x:c>
      <x:c r="F2046" s="1" t="str">
        <x:v>https://api.octopus.energy/v1/products/AGILE-24-10-01/electricity-tariffs/E-1R-AGILE-24-10-01-G/standard-unit-rates/</x:v>
      </x:c>
    </x:row>
    <x:row r="2047" ht="21" customHeight="1">
      <x:c r="A2047" s="24" t="n">
        <x:v>46191.145833333336</x:v>
      </x:c>
      <x:c r="B2047" s="6" t="n">
        <x:v>0.1734</x:v>
      </x:c>
      <x:c r="C2047" s="6" t="n">
        <x:v>0.1056</x:v>
      </x:c>
      <x:c r="D2047" s="6" t="n">
        <x:f>B2047</x:f>
        <x:v>0.1734</x:v>
      </x:c>
      <x:c r="E2047" s="1" t="n">
        <x:v>1.05</x:v>
      </x:c>
      <x:c r="F2047" s="1" t="str">
        <x:v>https://api.octopus.energy/v1/products/AGILE-24-10-01/electricity-tariffs/E-1R-AGILE-24-10-01-G/standard-unit-rates/</x:v>
      </x:c>
    </x:row>
    <x:row r="2048" ht="21" customHeight="1">
      <x:c r="A2048" s="24" t="n">
        <x:v>46191.166666666664</x:v>
      </x:c>
      <x:c r="B2048" s="6" t="n">
        <x:v>0.1826</x:v>
      </x:c>
      <x:c r="C2048" s="6" t="n">
        <x:v>0.1097</x:v>
      </x:c>
      <x:c r="D2048" s="6" t="n">
        <x:f>B2048</x:f>
        <x:v>0.1826</x:v>
      </x:c>
      <x:c r="E2048" s="1" t="n">
        <x:v>1.05</x:v>
      </x:c>
      <x:c r="F2048" s="1" t="str">
        <x:v>https://api.octopus.energy/v1/products/AGILE-24-10-01/electricity-tariffs/E-1R-AGILE-24-10-01-G/standard-unit-rates/</x:v>
      </x:c>
    </x:row>
    <x:row r="2049" ht="21" customHeight="1">
      <x:c r="A2049" s="24" t="n">
        <x:v>46191.1875</x:v>
      </x:c>
      <x:c r="B2049" s="6" t="n">
        <x:v>0.1777</x:v>
      </x:c>
      <x:c r="C2049" s="6" t="n">
        <x:v>0.1075</x:v>
      </x:c>
      <x:c r="D2049" s="6" t="n">
        <x:f>B2049</x:f>
        <x:v>0.1777</x:v>
      </x:c>
      <x:c r="E2049" s="1" t="n">
        <x:v>1.05</x:v>
      </x:c>
      <x:c r="F2049" s="1" t="str">
        <x:v>https://api.octopus.energy/v1/products/AGILE-24-10-01/electricity-tariffs/E-1R-AGILE-24-10-01-G/standard-unit-rates/</x:v>
      </x:c>
    </x:row>
    <x:row r="2050" ht="21" customHeight="1">
      <x:c r="A2050" s="24" t="n">
        <x:v>46191.208333333336</x:v>
      </x:c>
      <x:c r="B2050" s="6" t="n">
        <x:v>0.1955</x:v>
      </x:c>
      <x:c r="C2050" s="6" t="n">
        <x:v>0.11560000000000001</x:v>
      </x:c>
      <x:c r="D2050" s="6" t="n">
        <x:f>B2050</x:f>
        <x:v>0.1955</x:v>
      </x:c>
      <x:c r="E2050" s="1" t="n">
        <x:v>1.05</x:v>
      </x:c>
      <x:c r="F2050" s="1" t="str">
        <x:v>https://api.octopus.energy/v1/products/AGILE-24-10-01/electricity-tariffs/E-1R-AGILE-24-10-01-G/standard-unit-rates/</x:v>
      </x:c>
    </x:row>
    <x:row r="2051" ht="21" customHeight="1">
      <x:c r="A2051" s="24" t="n">
        <x:v>46191.229166666664</x:v>
      </x:c>
      <x:c r="B2051" s="6" t="n">
        <x:v>0.2051</x:v>
      </x:c>
      <x:c r="C2051" s="6" t="n">
        <x:v>0.12</x:v>
      </x:c>
      <x:c r="D2051" s="6" t="n">
        <x:f>B2051</x:f>
        <x:v>0.2051</x:v>
      </x:c>
      <x:c r="E2051" s="1" t="n">
        <x:v>1.05</x:v>
      </x:c>
      <x:c r="F2051" s="1" t="str">
        <x:v>https://api.octopus.energy/v1/products/AGILE-24-10-01/electricity-tariffs/E-1R-AGILE-24-10-01-G/standard-unit-rates/</x:v>
      </x:c>
    </x:row>
    <x:row r="2052" ht="21" customHeight="1">
      <x:c r="A2052" s="24" t="n">
        <x:v>46191.25</x:v>
      </x:c>
      <x:c r="B2052" s="6" t="n">
        <x:v>0.19399999999999998</x:v>
      </x:c>
      <x:c r="C2052" s="6" t="n">
        <x:v>0.115</x:v>
      </x:c>
      <x:c r="D2052" s="6" t="n">
        <x:f>B2052</x:f>
        <x:v>0.19399999999999998</x:v>
      </x:c>
      <x:c r="E2052" s="1" t="n">
        <x:v>1.05</x:v>
      </x:c>
      <x:c r="F2052" s="1" t="str">
        <x:v>https://api.octopus.energy/v1/products/AGILE-24-10-01/electricity-tariffs/E-1R-AGILE-24-10-01-G/standard-unit-rates/</x:v>
      </x:c>
    </x:row>
    <x:row r="2053" ht="21" customHeight="1">
      <x:c r="A2053" s="24" t="n">
        <x:v>46191.270833333336</x:v>
      </x:c>
      <x:c r="B2053" s="6" t="n">
        <x:v>0.21530000000000002</x:v>
      </x:c>
      <x:c r="C2053" s="6" t="n">
        <x:v>0.1247</x:v>
      </x:c>
      <x:c r="D2053" s="6" t="n">
        <x:f>B2053</x:f>
        <x:v>0.21530000000000002</x:v>
      </x:c>
      <x:c r="E2053" s="1" t="n">
        <x:v>1.05</x:v>
      </x:c>
      <x:c r="F2053" s="1" t="str">
        <x:v>https://api.octopus.energy/v1/products/AGILE-24-10-01/electricity-tariffs/E-1R-AGILE-24-10-01-G/standard-unit-rates/</x:v>
      </x:c>
    </x:row>
    <x:row r="2054" ht="21" customHeight="1">
      <x:c r="A2054" s="24" t="n">
        <x:v>46191.291666666664</x:v>
      </x:c>
      <x:c r="B2054" s="6" t="n">
        <x:v>0.18960000000000002</x:v>
      </x:c>
      <x:c r="C2054" s="6" t="n">
        <x:v>0.113</x:v>
      </x:c>
      <x:c r="D2054" s="6" t="n">
        <x:f>B2054</x:f>
        <x:v>0.18960000000000002</x:v>
      </x:c>
      <x:c r="E2054" s="1" t="n">
        <x:v>1.05</x:v>
      </x:c>
      <x:c r="F2054" s="1" t="str">
        <x:v>https://api.octopus.energy/v1/products/AGILE-24-10-01/electricity-tariffs/E-1R-AGILE-24-10-01-G/standard-unit-rates/</x:v>
      </x:c>
    </x:row>
    <x:row r="2055" ht="21" customHeight="1">
      <x:c r="A2055" s="24" t="n">
        <x:v>46191.3125</x:v>
      </x:c>
      <x:c r="B2055" s="6" t="n">
        <x:v>0.20809999999999998</x:v>
      </x:c>
      <x:c r="C2055" s="6" t="n">
        <x:v>0.12140000000000001</x:v>
      </x:c>
      <x:c r="D2055" s="6" t="n">
        <x:f>B2055</x:f>
        <x:v>0.20809999999999998</x:v>
      </x:c>
      <x:c r="E2055" s="1" t="n">
        <x:v>1.05</x:v>
      </x:c>
      <x:c r="F2055" s="1" t="str">
        <x:v>https://api.octopus.energy/v1/products/AGILE-24-10-01/electricity-tariffs/E-1R-AGILE-24-10-01-G/standard-unit-rates/</x:v>
      </x:c>
    </x:row>
    <x:row r="2056" ht="21" customHeight="1">
      <x:c r="A2056" s="24" t="n">
        <x:v>46191.333333333336</x:v>
      </x:c>
      <x:c r="B2056" s="6" t="n">
        <x:v>0.2026</x:v>
      </x:c>
      <x:c r="C2056" s="6" t="n">
        <x:v>0.1189</x:v>
      </x:c>
      <x:c r="D2056" s="6" t="n">
        <x:f>B2056</x:f>
        <x:v>0.2026</x:v>
      </x:c>
      <x:c r="E2056" s="1" t="n">
        <x:v>1.05</x:v>
      </x:c>
      <x:c r="F2056" s="1" t="str">
        <x:v>https://api.octopus.energy/v1/products/AGILE-24-10-01/electricity-tariffs/E-1R-AGILE-24-10-01-G/standard-unit-rates/</x:v>
      </x:c>
    </x:row>
    <x:row r="2057" ht="21" customHeight="1">
      <x:c r="A2057" s="24" t="n">
        <x:v>46191.354166666664</x:v>
      </x:c>
      <x:c r="B2057" s="6" t="n">
        <x:v>0.18760000000000002</x:v>
      </x:c>
      <x:c r="C2057" s="6" t="n">
        <x:v>0.11199999999999999</x:v>
      </x:c>
      <x:c r="D2057" s="6" t="n">
        <x:f>B2057</x:f>
        <x:v>0.18760000000000002</x:v>
      </x:c>
      <x:c r="E2057" s="1" t="n">
        <x:v>1.05</x:v>
      </x:c>
      <x:c r="F2057" s="1" t="str">
        <x:v>https://api.octopus.energy/v1/products/AGILE-24-10-01/electricity-tariffs/E-1R-AGILE-24-10-01-G/standard-unit-rates/</x:v>
      </x:c>
    </x:row>
    <x:row r="2058" ht="21" customHeight="1">
      <x:c r="A2058" s="24" t="n">
        <x:v>46191.375</x:v>
      </x:c>
      <x:c r="B2058" s="6" t="n">
        <x:v>0.1707</x:v>
      </x:c>
      <x:c r="C2058" s="6" t="n">
        <x:v>0.1043</x:v>
      </x:c>
      <x:c r="D2058" s="6" t="n">
        <x:f>B2058</x:f>
        <x:v>0.1707</x:v>
      </x:c>
      <x:c r="E2058" s="1" t="n">
        <x:v>1.05</x:v>
      </x:c>
      <x:c r="F2058" s="1" t="str">
        <x:v>https://api.octopus.energy/v1/products/AGILE-24-10-01/electricity-tariffs/E-1R-AGILE-24-10-01-G/standard-unit-rates/</x:v>
      </x:c>
    </x:row>
    <x:row r="2059" ht="21" customHeight="1">
      <x:c r="A2059" s="24" t="n">
        <x:v>46191.395833333336</x:v>
      </x:c>
      <x:c r="B2059" s="6" t="n">
        <x:v>0.1807</x:v>
      </x:c>
      <x:c r="C2059" s="6" t="n">
        <x:v>0.10890000000000001</x:v>
      </x:c>
      <x:c r="D2059" s="6" t="n">
        <x:f>B2059</x:f>
        <x:v>0.1807</x:v>
      </x:c>
      <x:c r="E2059" s="1" t="n">
        <x:v>1.05</x:v>
      </x:c>
      <x:c r="F2059" s="1" t="str">
        <x:v>https://api.octopus.energy/v1/products/AGILE-24-10-01/electricity-tariffs/E-1R-AGILE-24-10-01-G/standard-unit-rates/</x:v>
      </x:c>
    </x:row>
    <x:row r="2060" ht="21" customHeight="1">
      <x:c r="A2060" s="24" t="n">
        <x:v>46191.416666666664</x:v>
      </x:c>
      <x:c r="B2060" s="6" t="n">
        <x:v>0.1751</x:v>
      </x:c>
      <x:c r="C2060" s="6" t="n">
        <x:v>0.1063</x:v>
      </x:c>
      <x:c r="D2060" s="6" t="n">
        <x:f>B2060</x:f>
        <x:v>0.1751</x:v>
      </x:c>
      <x:c r="E2060" s="1" t="n">
        <x:v>1.05</x:v>
      </x:c>
      <x:c r="F2060" s="1" t="str">
        <x:v>https://api.octopus.energy/v1/products/AGILE-24-10-01/electricity-tariffs/E-1R-AGILE-24-10-01-G/standard-unit-rates/</x:v>
      </x:c>
    </x:row>
    <x:row r="2061" ht="21" customHeight="1">
      <x:c r="A2061" s="24" t="n">
        <x:v>46191.4375</x:v>
      </x:c>
      <x:c r="B2061" s="6" t="n">
        <x:v>0.16670000000000001</x:v>
      </x:c>
      <x:c r="C2061" s="6" t="n">
        <x:v>0.1025</x:v>
      </x:c>
      <x:c r="D2061" s="6" t="n">
        <x:f>B2061</x:f>
        <x:v>0.16670000000000001</x:v>
      </x:c>
      <x:c r="E2061" s="1" t="n">
        <x:v>1.05</x:v>
      </x:c>
      <x:c r="F2061" s="1" t="str">
        <x:v>https://api.octopus.energy/v1/products/AGILE-24-10-01/electricity-tariffs/E-1R-AGILE-24-10-01-G/standard-unit-rates/</x:v>
      </x:c>
    </x:row>
    <x:row r="2062" ht="21" customHeight="1">
      <x:c r="A2062" s="24" t="n">
        <x:v>46191.458333333336</x:v>
      </x:c>
      <x:c r="B2062" s="6" t="n">
        <x:v>0.15560000000000002</x:v>
      </x:c>
      <x:c r="C2062" s="6" t="n">
        <x:v>0.0974</x:v>
      </x:c>
      <x:c r="D2062" s="6" t="n">
        <x:f>B2062</x:f>
        <x:v>0.15560000000000002</x:v>
      </x:c>
      <x:c r="E2062" s="1" t="n">
        <x:v>1.05</x:v>
      </x:c>
      <x:c r="F2062" s="1" t="str">
        <x:v>https://api.octopus.energy/v1/products/AGILE-24-10-01/electricity-tariffs/E-1R-AGILE-24-10-01-G/standard-unit-rates/</x:v>
      </x:c>
    </x:row>
    <x:row r="2063" ht="21" customHeight="1">
      <x:c r="A2063" s="24" t="n">
        <x:v>46191.479166666664</x:v>
      </x:c>
      <x:c r="B2063" s="6" t="n">
        <x:v>0.1543</x:v>
      </x:c>
      <x:c r="C2063" s="6" t="n">
        <x:v>0.0968</x:v>
      </x:c>
      <x:c r="D2063" s="6" t="n">
        <x:f>B2063</x:f>
        <x:v>0.1543</x:v>
      </x:c>
      <x:c r="E2063" s="1" t="n">
        <x:v>1.05</x:v>
      </x:c>
      <x:c r="F2063" s="1" t="str">
        <x:v>https://api.octopus.energy/v1/products/AGILE-24-10-01/electricity-tariffs/E-1R-AGILE-24-10-01-G/standard-unit-rates/</x:v>
      </x:c>
    </x:row>
    <x:row r="2064" ht="21" customHeight="1">
      <x:c r="A2064" s="24" t="n">
        <x:v>46191.5</x:v>
      </x:c>
      <x:c r="B2064" s="6" t="n">
        <x:v>0.13470000000000001</x:v>
      </x:c>
      <x:c r="C2064" s="6" t="n">
        <x:v>0.08789999999999999</x:v>
      </x:c>
      <x:c r="D2064" s="6" t="n">
        <x:f>B2064</x:f>
        <x:v>0.13470000000000001</x:v>
      </x:c>
      <x:c r="E2064" s="1" t="n">
        <x:v>1.05</x:v>
      </x:c>
      <x:c r="F2064" s="1" t="str">
        <x:v>https://api.octopus.energy/v1/products/AGILE-24-10-01/electricity-tariffs/E-1R-AGILE-24-10-01-G/standard-unit-rates/</x:v>
      </x:c>
    </x:row>
    <x:row r="2065" ht="21" customHeight="1">
      <x:c r="A2065" s="24" t="n">
        <x:v>46191.520833333336</x:v>
      </x:c>
      <x:c r="B2065" s="6" t="n">
        <x:v>0.1346</x:v>
      </x:c>
      <x:c r="C2065" s="6" t="n">
        <x:v>0.08779999999999999</x:v>
      </x:c>
      <x:c r="D2065" s="6" t="n">
        <x:f>B2065</x:f>
        <x:v>0.1346</x:v>
      </x:c>
      <x:c r="E2065" s="1" t="n">
        <x:v>1.05</x:v>
      </x:c>
      <x:c r="F2065" s="1" t="str">
        <x:v>https://api.octopus.energy/v1/products/AGILE-24-10-01/electricity-tariffs/E-1R-AGILE-24-10-01-G/standard-unit-rates/</x:v>
      </x:c>
    </x:row>
    <x:row r="2066" ht="21" customHeight="1">
      <x:c r="A2066" s="24" t="n">
        <x:v>46191.541666666664</x:v>
      </x:c>
      <x:c r="B2066" s="6" t="n">
        <x:v>0.1304</x:v>
      </x:c>
      <x:c r="C2066" s="6" t="n">
        <x:v>0.0859</x:v>
      </x:c>
      <x:c r="D2066" s="6" t="n">
        <x:f>B2066</x:f>
        <x:v>0.1304</x:v>
      </x:c>
      <x:c r="E2066" s="1" t="n">
        <x:v>1.05</x:v>
      </x:c>
      <x:c r="F2066" s="1" t="str">
        <x:v>https://api.octopus.energy/v1/products/AGILE-24-10-01/electricity-tariffs/E-1R-AGILE-24-10-01-G/standard-unit-rates/</x:v>
      </x:c>
    </x:row>
    <x:row r="2067" ht="21" customHeight="1">
      <x:c r="A2067" s="24" t="n">
        <x:v>46191.5625</x:v>
      </x:c>
      <x:c r="B2067" s="6" t="n">
        <x:v>0.11779999999999999</x:v>
      </x:c>
      <x:c r="C2067" s="6" t="n">
        <x:v>0.0801</x:v>
      </x:c>
      <x:c r="D2067" s="6" t="n">
        <x:f>B2067</x:f>
        <x:v>0.11779999999999999</x:v>
      </x:c>
      <x:c r="E2067" s="1" t="n">
        <x:v>1.05</x:v>
      </x:c>
      <x:c r="F2067" s="1" t="str">
        <x:v>https://api.octopus.energy/v1/products/AGILE-24-10-01/electricity-tariffs/E-1R-AGILE-24-10-01-G/standard-unit-rates/</x:v>
      </x:c>
    </x:row>
    <x:row r="2068" ht="21" customHeight="1">
      <x:c r="A2068" s="24" t="n">
        <x:v>46191.583333333336</x:v>
      </x:c>
      <x:c r="B2068" s="6" t="n">
        <x:v>0.11599999999999999</x:v>
      </x:c>
      <x:c r="C2068" s="6" t="n">
        <x:v>0.0793</x:v>
      </x:c>
      <x:c r="D2068" s="6" t="n">
        <x:f>B2068</x:f>
        <x:v>0.11599999999999999</x:v>
      </x:c>
      <x:c r="E2068" s="1" t="n">
        <x:v>1.05</x:v>
      </x:c>
      <x:c r="F2068" s="1" t="str">
        <x:v>https://api.octopus.energy/v1/products/AGILE-24-10-01/electricity-tariffs/E-1R-AGILE-24-10-01-G/standard-unit-rates/</x:v>
      </x:c>
    </x:row>
    <x:row r="2069" ht="21" customHeight="1">
      <x:c r="A2069" s="24" t="n">
        <x:v>46191.604166666664</x:v>
      </x:c>
      <x:c r="B2069" s="6" t="n">
        <x:v>0.11539999999999999</x:v>
      </x:c>
      <x:c r="C2069" s="6" t="n">
        <x:v>0.079</x:v>
      </x:c>
      <x:c r="D2069" s="6" t="n">
        <x:f>B2069</x:f>
        <x:v>0.11539999999999999</x:v>
      </x:c>
      <x:c r="E2069" s="1" t="n">
        <x:v>1.05</x:v>
      </x:c>
      <x:c r="F2069" s="1" t="str">
        <x:v>https://api.octopus.energy/v1/products/AGILE-24-10-01/electricity-tariffs/E-1R-AGILE-24-10-01-G/standard-unit-rates/</x:v>
      </x:c>
    </x:row>
    <x:row r="2070" ht="21" customHeight="1">
      <x:c r="A2070" s="24" t="n">
        <x:v>46191.625</x:v>
      </x:c>
      <x:c r="B2070" s="6" t="n">
        <x:v>0.12789999999999999</x:v>
      </x:c>
      <x:c r="C2070" s="6" t="n">
        <x:v>0.08470000000000001</x:v>
      </x:c>
      <x:c r="D2070" s="6" t="n">
        <x:f>B2070</x:f>
        <x:v>0.12789999999999999</x:v>
      </x:c>
      <x:c r="E2070" s="1" t="n">
        <x:v>1.05</x:v>
      </x:c>
      <x:c r="F2070" s="1" t="str">
        <x:v>https://api.octopus.energy/v1/products/AGILE-24-10-01/electricity-tariffs/E-1R-AGILE-24-10-01-G/standard-unit-rates/</x:v>
      </x:c>
    </x:row>
    <x:row r="2071" ht="21" customHeight="1">
      <x:c r="A2071" s="24" t="n">
        <x:v>46191.645833333336</x:v>
      </x:c>
      <x:c r="B2071" s="6" t="n">
        <x:v>0.1298</x:v>
      </x:c>
      <x:c r="C2071" s="6" t="n">
        <x:v>0.08560000000000001</x:v>
      </x:c>
      <x:c r="D2071" s="6" t="n">
        <x:f>B2071</x:f>
        <x:v>0.1298</x:v>
      </x:c>
      <x:c r="E2071" s="1" t="n">
        <x:v>1.05</x:v>
      </x:c>
      <x:c r="F2071" s="1" t="str">
        <x:v>https://api.octopus.energy/v1/products/AGILE-24-10-01/electricity-tariffs/E-1R-AGILE-24-10-01-G/standard-unit-rates/</x:v>
      </x:c>
    </x:row>
    <x:row r="2072" ht="21" customHeight="1">
      <x:c r="A2072" s="24" t="n">
        <x:v>46191.666666666664</x:v>
      </x:c>
      <x:c r="B2072" s="6" t="n">
        <x:v>0.2867</x:v>
      </x:c>
      <x:c r="C2072" s="6" t="n">
        <x:v>0.16140000000000002</x:v>
      </x:c>
      <x:c r="D2072" s="6" t="n">
        <x:f>B2072</x:f>
        <x:v>0.2867</x:v>
      </x:c>
      <x:c r="E2072" s="1" t="n">
        <x:v>1.05</x:v>
      </x:c>
      <x:c r="F2072" s="1" t="str">
        <x:v>https://api.octopus.energy/v1/products/AGILE-24-10-01/electricity-tariffs/E-1R-AGILE-24-10-01-G/standard-unit-rates/</x:v>
      </x:c>
    </x:row>
    <x:row r="2073" ht="21" customHeight="1">
      <x:c r="A2073" s="24" t="n">
        <x:v>46191.6875</x:v>
      </x:c>
      <x:c r="B2073" s="6" t="n">
        <x:v>0.2735</x:v>
      </x:c>
      <x:c r="C2073" s="6" t="n">
        <x:v>0.1553</x:v>
      </x:c>
      <x:c r="D2073" s="6" t="n">
        <x:f>B2073</x:f>
        <x:v>0.2735</x:v>
      </x:c>
      <x:c r="E2073" s="1" t="n">
        <x:v>1.05</x:v>
      </x:c>
      <x:c r="F2073" s="1" t="str">
        <x:v>https://api.octopus.energy/v1/products/AGILE-24-10-01/electricity-tariffs/E-1R-AGILE-24-10-01-G/standard-unit-rates/</x:v>
      </x:c>
    </x:row>
    <x:row r="2074" ht="21" customHeight="1">
      <x:c r="A2074" s="24" t="n">
        <x:v>46191.708333333336</x:v>
      </x:c>
      <x:c r="B2074" s="6" t="n">
        <x:v>0.32789999999999997</x:v>
      </x:c>
      <x:c r="C2074" s="6" t="n">
        <x:v>0.1802</x:v>
      </x:c>
      <x:c r="D2074" s="6" t="n">
        <x:f>B2074</x:f>
        <x:v>0.32789999999999997</x:v>
      </x:c>
      <x:c r="E2074" s="1" t="n">
        <x:v>1.05</x:v>
      </x:c>
      <x:c r="F2074" s="1" t="str">
        <x:v>https://api.octopus.energy/v1/products/AGILE-24-10-01/electricity-tariffs/E-1R-AGILE-24-10-01-G/standard-unit-rates/</x:v>
      </x:c>
    </x:row>
    <x:row r="2075" ht="21" customHeight="1">
      <x:c r="A2075" s="24" t="n">
        <x:v>46191.729166666664</x:v>
      </x:c>
      <x:c r="B2075" s="6" t="n">
        <x:v>0.3346</x:v>
      </x:c>
      <x:c r="C2075" s="6" t="n">
        <x:v>0.1833</x:v>
      </x:c>
      <x:c r="D2075" s="6" t="n">
        <x:f>B2075</x:f>
        <x:v>0.3346</x:v>
      </x:c>
      <x:c r="E2075" s="1" t="n">
        <x:v>1.05</x:v>
      </x:c>
      <x:c r="F2075" s="1" t="str">
        <x:v>https://api.octopus.energy/v1/products/AGILE-24-10-01/electricity-tariffs/E-1R-AGILE-24-10-01-G/standard-unit-rates/</x:v>
      </x:c>
    </x:row>
    <x:row r="2076" ht="21" customHeight="1">
      <x:c r="A2076" s="24" t="n">
        <x:v>46191.75</x:v>
      </x:c>
      <x:c r="B2076" s="6" t="n">
        <x:v>0.368</x:v>
      </x:c>
      <x:c r="C2076" s="6" t="n">
        <x:v>0.1985</x:v>
      </x:c>
      <x:c r="D2076" s="6" t="n">
        <x:f>B2076</x:f>
        <x:v>0.368</x:v>
      </x:c>
      <x:c r="E2076" s="1" t="n">
        <x:v>1.05</x:v>
      </x:c>
      <x:c r="F2076" s="1" t="str">
        <x:v>https://api.octopus.energy/v1/products/AGILE-24-10-01/electricity-tariffs/E-1R-AGILE-24-10-01-G/standard-unit-rates/</x:v>
      </x:c>
    </x:row>
    <x:row r="2077" ht="21" customHeight="1">
      <x:c r="A2077" s="24" t="n">
        <x:v>46191.770833333336</x:v>
      </x:c>
      <x:c r="B2077" s="6" t="n">
        <x:v>0.39590000000000003</x:v>
      </x:c>
      <x:c r="C2077" s="6" t="n">
        <x:v>0.2113</x:v>
      </x:c>
      <x:c r="D2077" s="6" t="n">
        <x:f>B2077</x:f>
        <x:v>0.39590000000000003</x:v>
      </x:c>
      <x:c r="E2077" s="1" t="n">
        <x:v>1.05</x:v>
      </x:c>
      <x:c r="F2077" s="1" t="str">
        <x:v>https://api.octopus.energy/v1/products/AGILE-24-10-01/electricity-tariffs/E-1R-AGILE-24-10-01-G/standard-unit-rates/</x:v>
      </x:c>
    </x:row>
    <x:row r="2078" ht="21" customHeight="1">
      <x:c r="A2078" s="24" t="n">
        <x:v>46191.791666666664</x:v>
      </x:c>
      <x:c r="B2078" s="6" t="n">
        <x:v>0.3005</x:v>
      </x:c>
      <x:c r="C2078" s="6" t="n">
        <x:v>0.1636</x:v>
      </x:c>
      <x:c r="D2078" s="6" t="n">
        <x:f>B2078</x:f>
        <x:v>0.3005</x:v>
      </x:c>
      <x:c r="E2078" s="1" t="n">
        <x:v>1.05</x:v>
      </x:c>
      <x:c r="F2078" s="1" t="str">
        <x:v>https://api.octopus.energy/v1/products/AGILE-24-10-01/electricity-tariffs/E-1R-AGILE-24-10-01-G/standard-unit-rates/</x:v>
      </x:c>
    </x:row>
    <x:row r="2079" ht="21" customHeight="1">
      <x:c r="A2079" s="24" t="n">
        <x:v>46191.8125</x:v>
      </x:c>
      <x:c r="B2079" s="6" t="n">
        <x:v>0.2988</x:v>
      </x:c>
      <x:c r="C2079" s="6" t="n">
        <x:v>0.1629</x:v>
      </x:c>
      <x:c r="D2079" s="6" t="n">
        <x:f>B2079</x:f>
        <x:v>0.2988</x:v>
      </x:c>
      <x:c r="E2079" s="1" t="n">
        <x:v>1.05</x:v>
      </x:c>
      <x:c r="F2079" s="1" t="str">
        <x:v>https://api.octopus.energy/v1/products/AGILE-24-10-01/electricity-tariffs/E-1R-AGILE-24-10-01-G/standard-unit-rates/</x:v>
      </x:c>
    </x:row>
    <x:row r="2080" ht="21" customHeight="1">
      <x:c r="A2080" s="24" t="n">
        <x:v>46191.833333333336</x:v>
      </x:c>
      <x:c r="B2080" s="6" t="n">
        <x:v>0.2952</x:v>
      </x:c>
      <x:c r="C2080" s="6" t="n">
        <x:v>0.1612</x:v>
      </x:c>
      <x:c r="D2080" s="6" t="n">
        <x:f>B2080</x:f>
        <x:v>0.2952</x:v>
      </x:c>
      <x:c r="E2080" s="1" t="n">
        <x:v>1.05</x:v>
      </x:c>
      <x:c r="F2080" s="1" t="str">
        <x:v>https://api.octopus.energy/v1/products/AGILE-24-10-01/electricity-tariffs/E-1R-AGILE-24-10-01-G/standard-unit-rates/</x:v>
      </x:c>
    </x:row>
    <x:row r="2081" ht="21" customHeight="1">
      <x:c r="A2081" s="24" t="n">
        <x:v>46191.854166666664</x:v>
      </x:c>
      <x:c r="B2081" s="6" t="n">
        <x:v>0.289</x:v>
      </x:c>
      <x:c r="C2081" s="6" t="n">
        <x:v>0.15839999999999999</x:v>
      </x:c>
      <x:c r="D2081" s="6" t="n">
        <x:f>B2081</x:f>
        <x:v>0.289</x:v>
      </x:c>
      <x:c r="E2081" s="1" t="n">
        <x:v>1.05</x:v>
      </x:c>
      <x:c r="F2081" s="1" t="str">
        <x:v>https://api.octopus.energy/v1/products/AGILE-24-10-01/electricity-tariffs/E-1R-AGILE-24-10-01-G/standard-unit-rates/</x:v>
      </x:c>
    </x:row>
    <x:row r="2082" ht="21" customHeight="1">
      <x:c r="A2082" s="24" t="n">
        <x:v>46191.875</x:v>
      </x:c>
      <x:c r="B2082" s="6" t="n">
        <x:v>0.276</x:v>
      </x:c>
      <x:c r="C2082" s="6" t="n">
        <x:v>0.1525</x:v>
      </x:c>
      <x:c r="D2082" s="6" t="n">
        <x:f>B2082</x:f>
        <x:v>0.276</x:v>
      </x:c>
      <x:c r="E2082" s="1" t="n">
        <x:v>1.05</x:v>
      </x:c>
      <x:c r="F2082" s="1" t="str">
        <x:v>https://api.octopus.energy/v1/products/AGILE-24-10-01/electricity-tariffs/E-1R-AGILE-24-10-01-G/standard-unit-rates/</x:v>
      </x:c>
    </x:row>
    <x:row r="2083" ht="21" customHeight="1">
      <x:c r="A2083" s="24" t="n">
        <x:v>46191.895833333336</x:v>
      </x:c>
      <x:c r="B2083" s="6" t="n">
        <x:v>0.2713</x:v>
      </x:c>
      <x:c r="C2083" s="6" t="n">
        <x:v>0.1503</x:v>
      </x:c>
      <x:c r="D2083" s="6" t="n">
        <x:f>B2083</x:f>
        <x:v>0.2713</x:v>
      </x:c>
      <x:c r="E2083" s="1" t="n">
        <x:v>1.05</x:v>
      </x:c>
      <x:c r="F2083" s="1" t="str">
        <x:v>https://api.octopus.energy/v1/products/AGILE-24-10-01/electricity-tariffs/E-1R-AGILE-24-10-01-G/standard-unit-rates/</x:v>
      </x:c>
    </x:row>
    <x:row r="2084" ht="21" customHeight="1">
      <x:c r="A2084" s="24" t="n">
        <x:v>46191.916666666664</x:v>
      </x:c>
      <x:c r="B2084" s="6" t="n">
        <x:v>0.2438</x:v>
      </x:c>
      <x:c r="C2084" s="6" t="n">
        <x:v>0.1377</x:v>
      </x:c>
      <x:c r="D2084" s="6" t="n">
        <x:f>B2084</x:f>
        <x:v>0.2438</x:v>
      </x:c>
      <x:c r="E2084" s="1" t="n">
        <x:v>1.05</x:v>
      </x:c>
      <x:c r="F2084" s="1" t="str">
        <x:v>https://api.octopus.energy/v1/products/AGILE-24-10-01/electricity-tariffs/E-1R-AGILE-24-10-01-G/standard-unit-rates/</x:v>
      </x:c>
    </x:row>
    <x:row r="2085" ht="21" customHeight="1">
      <x:c r="A2085" s="24" t="n">
        <x:v>46191.9375</x:v>
      </x:c>
      <x:c r="B2085" s="6" t="n">
        <x:v>0.2564</x:v>
      </x:c>
      <x:c r="C2085" s="6" t="n">
        <x:v>0.1435</x:v>
      </x:c>
      <x:c r="D2085" s="6" t="n">
        <x:f>B2085</x:f>
        <x:v>0.2564</x:v>
      </x:c>
      <x:c r="E2085" s="1" t="n">
        <x:v>1.05</x:v>
      </x:c>
      <x:c r="F2085" s="1" t="str">
        <x:v>https://api.octopus.energy/v1/products/AGILE-24-10-01/electricity-tariffs/E-1R-AGILE-24-10-01-G/standard-unit-rates/</x:v>
      </x:c>
    </x:row>
    <x:row r="2086" ht="21" customHeight="1">
      <x:c r="A2086" s="24" t="n">
        <x:v>46192</x:v>
      </x:c>
      <x:c r="B2086" s="6" t="n">
        <x:v>0.20809999999999998</x:v>
      </x:c>
      <x:c r="C2086" s="6" t="n">
        <x:v>0.12140000000000001</x:v>
      </x:c>
      <x:c r="D2086" s="6" t="n">
        <x:f>B2086</x:f>
        <x:v>0.20809999999999998</x:v>
      </x:c>
      <x:c r="E2086" s="1" t="n">
        <x:v>1.05</x:v>
      </x:c>
      <x:c r="F2086" s="1" t="str">
        <x:v>https://api.octopus.energy/v1/products/AGILE-24-10-01/electricity-tariffs/E-1R-AGILE-24-10-01-G/standard-unit-rates/</x:v>
      </x:c>
    </x:row>
    <x:row r="2087" ht="21" customHeight="1">
      <x:c r="A2087" s="24" t="n">
        <x:v>46191.979166666664</x:v>
      </x:c>
      <x:c r="B2087" s="6" t="n">
        <x:v>0.19760000000000003</x:v>
      </x:c>
      <x:c r="C2087" s="6" t="n">
        <x:v>0.1166</x:v>
      </x:c>
      <x:c r="D2087" s="6" t="n">
        <x:f>B2087</x:f>
        <x:v>0.19760000000000003</x:v>
      </x:c>
      <x:c r="E2087" s="1" t="n">
        <x:v>1.05</x:v>
      </x:c>
      <x:c r="F2087" s="1" t="str">
        <x:v>https://api.octopus.energy/v1/products/AGILE-24-10-01/electricity-tariffs/E-1R-AGILE-24-10-01-G/standard-unit-rates/</x:v>
      </x:c>
    </x:row>
    <x:row r="2088" ht="21" customHeight="1">
      <x:c r="A2088" s="24" t="n">
        <x:v>46192</x:v>
      </x:c>
      <x:c r="B2088" s="6" t="n">
        <x:v>0.18420000000000003</x:v>
      </x:c>
      <x:c r="C2088" s="6" t="n">
        <x:v>0.1105</x:v>
      </x:c>
      <x:c r="D2088" s="6" t="n">
        <x:f>B2088</x:f>
        <x:v>0.18420000000000003</x:v>
      </x:c>
      <x:c r="E2088" s="1" t="n">
        <x:v>1.05</x:v>
      </x:c>
      <x:c r="F2088" s="1" t="str">
        <x:v>https://api.octopus.energy/v1/products/AGILE-24-10-01/electricity-tariffs/E-1R-AGILE-24-10-01-G/standard-unit-rates/</x:v>
      </x:c>
    </x:row>
    <x:row r="2089" ht="21" customHeight="1">
      <x:c r="A2089" s="24" t="n">
        <x:v>46192.020833333336</x:v>
      </x:c>
      <x:c r="B2089" s="6" t="n">
        <x:v>0.1852</x:v>
      </x:c>
      <x:c r="C2089" s="6" t="n">
        <x:v>0.1109</x:v>
      </x:c>
      <x:c r="D2089" s="6" t="n">
        <x:f>B2089</x:f>
        <x:v>0.1852</x:v>
      </x:c>
      <x:c r="E2089" s="1" t="n">
        <x:v>1.05</x:v>
      </x:c>
      <x:c r="F2089" s="1" t="str">
        <x:v>https://api.octopus.energy/v1/products/AGILE-24-10-01/electricity-tariffs/E-1R-AGILE-24-10-01-G/standard-unit-rates/</x:v>
      </x:c>
    </x:row>
    <x:row r="2090" ht="21" customHeight="1">
      <x:c r="A2090" s="24" t="n">
        <x:v>46192.041666666664</x:v>
      </x:c>
      <x:c r="B2090" s="6" t="n">
        <x:v>0.17679999999999998</x:v>
      </x:c>
      <x:c r="C2090" s="6" t="n">
        <x:v>0.10710000000000001</x:v>
      </x:c>
      <x:c r="D2090" s="6" t="n">
        <x:f>B2090</x:f>
        <x:v>0.17679999999999998</x:v>
      </x:c>
      <x:c r="E2090" s="1" t="n">
        <x:v>1.05</x:v>
      </x:c>
      <x:c r="F2090" s="1" t="str">
        <x:v>https://api.octopus.energy/v1/products/AGILE-24-10-01/electricity-tariffs/E-1R-AGILE-24-10-01-G/standard-unit-rates/</x:v>
      </x:c>
    </x:row>
    <x:row r="2091" ht="21" customHeight="1">
      <x:c r="A2091" s="24" t="n">
        <x:v>46192.0625</x:v>
      </x:c>
      <x:c r="B2091" s="6" t="n">
        <x:v>0.1812</x:v>
      </x:c>
      <x:c r="C2091" s="6" t="n">
        <x:v>0.1091</x:v>
      </x:c>
      <x:c r="D2091" s="6" t="n">
        <x:f>B2091</x:f>
        <x:v>0.1812</x:v>
      </x:c>
      <x:c r="E2091" s="1" t="n">
        <x:v>1.05</x:v>
      </x:c>
      <x:c r="F2091" s="1" t="str">
        <x:v>https://api.octopus.energy/v1/products/AGILE-24-10-01/electricity-tariffs/E-1R-AGILE-24-10-01-G/standard-unit-rates/</x:v>
      </x:c>
    </x:row>
    <x:row r="2092" ht="21" customHeight="1">
      <x:c r="A2092" s="24" t="n">
        <x:v>46192.083333333336</x:v>
      </x:c>
      <x:c r="B2092" s="6" t="n">
        <x:v>0.1753</x:v>
      </x:c>
      <x:c r="C2092" s="6" t="n">
        <x:v>0.10640000000000001</x:v>
      </x:c>
      <x:c r="D2092" s="6" t="n">
        <x:f>B2092</x:f>
        <x:v>0.1753</x:v>
      </x:c>
      <x:c r="E2092" s="1" t="n">
        <x:v>1.05</x:v>
      </x:c>
      <x:c r="F2092" s="1" t="str">
        <x:v>https://api.octopus.energy/v1/products/AGILE-24-10-01/electricity-tariffs/E-1R-AGILE-24-10-01-G/standard-unit-rates/</x:v>
      </x:c>
    </x:row>
    <x:row r="2093" ht="21" customHeight="1">
      <x:c r="A2093" s="24" t="n">
        <x:v>46192.104166666664</x:v>
      </x:c>
      <x:c r="B2093" s="6" t="n">
        <x:v>0.17129999999999998</x:v>
      </x:c>
      <x:c r="C2093" s="6" t="n">
        <x:v>0.10460000000000001</x:v>
      </x:c>
      <x:c r="D2093" s="6" t="n">
        <x:f>B2093</x:f>
        <x:v>0.17129999999999998</x:v>
      </x:c>
      <x:c r="E2093" s="1" t="n">
        <x:v>1.05</x:v>
      </x:c>
      <x:c r="F2093" s="1" t="str">
        <x:v>https://api.octopus.energy/v1/products/AGILE-24-10-01/electricity-tariffs/E-1R-AGILE-24-10-01-G/standard-unit-rates/</x:v>
      </x:c>
    </x:row>
    <x:row r="2094" ht="21" customHeight="1">
      <x:c r="A2094" s="24" t="n">
        <x:v>46192.125</x:v>
      </x:c>
      <x:c r="B2094" s="6" t="n">
        <x:v>0.1653</x:v>
      </x:c>
      <x:c r="C2094" s="6" t="n">
        <x:v>0.1018</x:v>
      </x:c>
      <x:c r="D2094" s="6" t="n">
        <x:f>B2094</x:f>
        <x:v>0.1653</x:v>
      </x:c>
      <x:c r="E2094" s="1" t="n">
        <x:v>1.05</x:v>
      </x:c>
      <x:c r="F2094" s="1" t="str">
        <x:v>https://api.octopus.energy/v1/products/AGILE-24-10-01/electricity-tariffs/E-1R-AGILE-24-10-01-G/standard-unit-rates/</x:v>
      </x:c>
    </x:row>
    <x:row r="2095" ht="21" customHeight="1">
      <x:c r="A2095" s="24" t="n">
        <x:v>46192.145833333336</x:v>
      </x:c>
      <x:c r="B2095" s="6" t="n">
        <x:v>0.16440000000000002</x:v>
      </x:c>
      <x:c r="C2095" s="6" t="n">
        <x:v>0.1014</x:v>
      </x:c>
      <x:c r="D2095" s="6" t="n">
        <x:f>B2095</x:f>
        <x:v>0.16440000000000002</x:v>
      </x:c>
      <x:c r="E2095" s="1" t="n">
        <x:v>1.05</x:v>
      </x:c>
      <x:c r="F2095" s="1" t="str">
        <x:v>https://api.octopus.energy/v1/products/AGILE-24-10-01/electricity-tariffs/E-1R-AGILE-24-10-01-G/standard-unit-rates/</x:v>
      </x:c>
    </x:row>
    <x:row r="2096" ht="21" customHeight="1">
      <x:c r="A2096" s="24" t="n">
        <x:v>46192.166666666664</x:v>
      </x:c>
      <x:c r="B2096" s="6" t="n">
        <x:v>0.1602</x:v>
      </x:c>
      <x:c r="C2096" s="6" t="n">
        <x:v>0.09949999999999999</x:v>
      </x:c>
      <x:c r="D2096" s="6" t="n">
        <x:f>B2096</x:f>
        <x:v>0.1602</x:v>
      </x:c>
      <x:c r="E2096" s="1" t="n">
        <x:v>1.05</x:v>
      </x:c>
      <x:c r="F2096" s="1" t="str">
        <x:v>https://api.octopus.energy/v1/products/AGILE-24-10-01/electricity-tariffs/E-1R-AGILE-24-10-01-G/standard-unit-rates/</x:v>
      </x:c>
    </x:row>
    <x:row r="2097" ht="21" customHeight="1">
      <x:c r="A2097" s="24" t="n">
        <x:v>46192.1875</x:v>
      </x:c>
      <x:c r="B2097" s="6" t="n">
        <x:v>0.1493</x:v>
      </x:c>
      <x:c r="C2097" s="6" t="n">
        <x:v>0.09449999999999999</x:v>
      </x:c>
      <x:c r="D2097" s="6" t="n">
        <x:f>B2097</x:f>
        <x:v>0.1493</x:v>
      </x:c>
      <x:c r="E2097" s="1" t="n">
        <x:v>1.05</x:v>
      </x:c>
      <x:c r="F2097" s="1" t="str">
        <x:v>https://api.octopus.energy/v1/products/AGILE-24-10-01/electricity-tariffs/E-1R-AGILE-24-10-01-G/standard-unit-rates/</x:v>
      </x:c>
    </x:row>
    <x:row r="2098" ht="21" customHeight="1">
      <x:c r="A2098" s="24" t="n">
        <x:v>46192.208333333336</x:v>
      </x:c>
      <x:c r="B2098" s="6" t="n">
        <x:v>0.1514</x:v>
      </x:c>
      <x:c r="C2098" s="6" t="n">
        <x:v>0.0955</x:v>
      </x:c>
      <x:c r="D2098" s="6" t="n">
        <x:f>B2098</x:f>
        <x:v>0.1514</x:v>
      </x:c>
      <x:c r="E2098" s="1" t="n">
        <x:v>1.05</x:v>
      </x:c>
      <x:c r="F2098" s="1" t="str">
        <x:v>https://api.octopus.energy/v1/products/AGILE-24-10-01/electricity-tariffs/E-1R-AGILE-24-10-01-G/standard-unit-rates/</x:v>
      </x:c>
    </x:row>
    <x:row r="2099" ht="21" customHeight="1">
      <x:c r="A2099" s="24" t="n">
        <x:v>46192.229166666664</x:v>
      </x:c>
      <x:c r="B2099" s="6" t="n">
        <x:v>0.15789999999999998</x:v>
      </x:c>
      <x:c r="C2099" s="6" t="n">
        <x:v>0.09849999999999999</x:v>
      </x:c>
      <x:c r="D2099" s="6" t="n">
        <x:f>B2099</x:f>
        <x:v>0.15789999999999998</x:v>
      </x:c>
      <x:c r="E2099" s="1" t="n">
        <x:v>1.05</x:v>
      </x:c>
      <x:c r="F2099" s="1" t="str">
        <x:v>https://api.octopus.energy/v1/products/AGILE-24-10-01/electricity-tariffs/E-1R-AGILE-24-10-01-G/standard-unit-rates/</x:v>
      </x:c>
    </x:row>
    <x:row r="2100" ht="21" customHeight="1">
      <x:c r="A2100" s="24" t="n">
        <x:v>46192.25</x:v>
      </x:c>
      <x:c r="B2100" s="6" t="n">
        <x:v>0.16210000000000002</x:v>
      </x:c>
      <x:c r="C2100" s="6" t="n">
        <x:v>0.10039999999999999</x:v>
      </x:c>
      <x:c r="D2100" s="6" t="n">
        <x:f>B2100</x:f>
        <x:v>0.16210000000000002</x:v>
      </x:c>
      <x:c r="E2100" s="1" t="n">
        <x:v>1.05</x:v>
      </x:c>
      <x:c r="F2100" s="1" t="str">
        <x:v>https://api.octopus.energy/v1/products/AGILE-24-10-01/electricity-tariffs/E-1R-AGILE-24-10-01-G/standard-unit-rates/</x:v>
      </x:c>
    </x:row>
    <x:row r="2101" ht="21" customHeight="1">
      <x:c r="A2101" s="24" t="n">
        <x:v>46192.270833333336</x:v>
      </x:c>
      <x:c r="B2101" s="6" t="n">
        <x:v>0.19519999999999998</x:v>
      </x:c>
      <x:c r="C2101" s="6" t="n">
        <x:v>0.1155</x:v>
      </x:c>
      <x:c r="D2101" s="6" t="n">
        <x:f>B2101</x:f>
        <x:v>0.19519999999999998</x:v>
      </x:c>
      <x:c r="E2101" s="1" t="n">
        <x:v>1.05</x:v>
      </x:c>
      <x:c r="F2101" s="1" t="str">
        <x:v>https://api.octopus.energy/v1/products/AGILE-24-10-01/electricity-tariffs/E-1R-AGILE-24-10-01-G/standard-unit-rates/</x:v>
      </x:c>
    </x:row>
    <x:row r="2102" ht="21" customHeight="1">
      <x:c r="A2102" s="24" t="n">
        <x:v>46192.291666666664</x:v>
      </x:c>
      <x:c r="B2102" s="6" t="n">
        <x:v>0.16820000000000002</x:v>
      </x:c>
      <x:c r="C2102" s="6" t="n">
        <x:v>0.1032</x:v>
      </x:c>
      <x:c r="D2102" s="6" t="n">
        <x:f>B2102</x:f>
        <x:v>0.16820000000000002</x:v>
      </x:c>
      <x:c r="E2102" s="1" t="n">
        <x:v>1.05</x:v>
      </x:c>
      <x:c r="F2102" s="1" t="str">
        <x:v>https://api.octopus.energy/v1/products/AGILE-24-10-01/electricity-tariffs/E-1R-AGILE-24-10-01-G/standard-unit-rates/</x:v>
      </x:c>
    </x:row>
    <x:row r="2103" ht="21" customHeight="1">
      <x:c r="A2103" s="24" t="n">
        <x:v>46192.3125</x:v>
      </x:c>
      <x:c r="B2103" s="6" t="n">
        <x:v>0.1724</x:v>
      </x:c>
      <x:c r="C2103" s="6" t="n">
        <x:v>0.1051</x:v>
      </x:c>
      <x:c r="D2103" s="6" t="n">
        <x:f>B2103</x:f>
        <x:v>0.1724</x:v>
      </x:c>
      <x:c r="E2103" s="1" t="n">
        <x:v>1.05</x:v>
      </x:c>
      <x:c r="F2103" s="1" t="str">
        <x:v>https://api.octopus.energy/v1/products/AGILE-24-10-01/electricity-tariffs/E-1R-AGILE-24-10-01-G/standard-unit-rates/</x:v>
      </x:c>
    </x:row>
    <x:row r="2104" ht="21" customHeight="1">
      <x:c r="A2104" s="24" t="n">
        <x:v>46192.333333333336</x:v>
      </x:c>
      <x:c r="B2104" s="6" t="n">
        <x:v>0.1519</x:v>
      </x:c>
      <x:c r="C2104" s="6" t="n">
        <x:v>0.09570000000000001</x:v>
      </x:c>
      <x:c r="D2104" s="6" t="n">
        <x:f>B2104</x:f>
        <x:v>0.1519</x:v>
      </x:c>
      <x:c r="E2104" s="1" t="n">
        <x:v>1.05</x:v>
      </x:c>
      <x:c r="F2104" s="1" t="str">
        <x:v>https://api.octopus.energy/v1/products/AGILE-24-10-01/electricity-tariffs/E-1R-AGILE-24-10-01-G/standard-unit-rates/</x:v>
      </x:c>
    </x:row>
    <x:row r="2105" ht="21" customHeight="1">
      <x:c r="A2105" s="24" t="n">
        <x:v>46192.354166666664</x:v>
      </x:c>
      <x:c r="B2105" s="6" t="n">
        <x:v>0.1684</x:v>
      </x:c>
      <x:c r="C2105" s="6" t="n">
        <x:v>0.1033</x:v>
      </x:c>
      <x:c r="D2105" s="6" t="n">
        <x:f>B2105</x:f>
        <x:v>0.1684</x:v>
      </x:c>
      <x:c r="E2105" s="1" t="n">
        <x:v>1.05</x:v>
      </x:c>
      <x:c r="F2105" s="1" t="str">
        <x:v>https://api.octopus.energy/v1/products/AGILE-24-10-01/electricity-tariffs/E-1R-AGILE-24-10-01-G/standard-unit-rates/</x:v>
      </x:c>
    </x:row>
    <x:row r="2106" ht="21" customHeight="1">
      <x:c r="A2106" s="24" t="n">
        <x:v>46192.375</x:v>
      </x:c>
      <x:c r="B2106" s="6" t="n">
        <x:v>0.1535</x:v>
      </x:c>
      <x:c r="C2106" s="6" t="n">
        <x:v>0.0964</x:v>
      </x:c>
      <x:c r="D2106" s="6" t="n">
        <x:f>B2106</x:f>
        <x:v>0.1535</x:v>
      </x:c>
      <x:c r="E2106" s="1" t="n">
        <x:v>1.05</x:v>
      </x:c>
      <x:c r="F2106" s="1" t="str">
        <x:v>https://api.octopus.energy/v1/products/AGILE-24-10-01/electricity-tariffs/E-1R-AGILE-24-10-01-G/standard-unit-rates/</x:v>
      </x:c>
    </x:row>
    <x:row r="2107" ht="21" customHeight="1">
      <x:c r="A2107" s="24" t="n">
        <x:v>46192.395833333336</x:v>
      </x:c>
      <x:c r="B2107" s="6" t="n">
        <x:v>0.141</x:v>
      </x:c>
      <x:c r="C2107" s="6" t="n">
        <x:v>0.0907</x:v>
      </x:c>
      <x:c r="D2107" s="6" t="n">
        <x:f>B2107</x:f>
        <x:v>0.141</x:v>
      </x:c>
      <x:c r="E2107" s="1" t="n">
        <x:v>1.05</x:v>
      </x:c>
      <x:c r="F2107" s="1" t="str">
        <x:v>https://api.octopus.energy/v1/products/AGILE-24-10-01/electricity-tariffs/E-1R-AGILE-24-10-01-G/standard-unit-rates/</x:v>
      </x:c>
    </x:row>
    <x:row r="2108" ht="21" customHeight="1">
      <x:c r="A2108" s="24" t="n">
        <x:v>46192.416666666664</x:v>
      </x:c>
      <x:c r="B2108" s="6" t="n">
        <x:v>0.1065</x:v>
      </x:c>
      <x:c r="C2108" s="6" t="n">
        <x:v>0.07490000000000001</x:v>
      </x:c>
      <x:c r="D2108" s="6" t="n">
        <x:f>B2108</x:f>
        <x:v>0.1065</x:v>
      </x:c>
      <x:c r="E2108" s="1" t="n">
        <x:v>1.05</x:v>
      </x:c>
      <x:c r="F2108" s="1" t="str">
        <x:v>https://api.octopus.energy/v1/products/AGILE-24-10-01/electricity-tariffs/E-1R-AGILE-24-10-01-G/standard-unit-rates/</x:v>
      </x:c>
    </x:row>
    <x:row r="2109" ht="21" customHeight="1">
      <x:c r="A2109" s="24" t="n">
        <x:v>46192.4375</x:v>
      </x:c>
      <x:c r="B2109" s="6" t="n">
        <x:v>0.1009</x:v>
      </x:c>
      <x:c r="C2109" s="6" t="n">
        <x:v>0.0724</x:v>
      </x:c>
      <x:c r="D2109" s="6" t="n">
        <x:f>B2109</x:f>
        <x:v>0.1009</x:v>
      </x:c>
      <x:c r="E2109" s="1" t="n">
        <x:v>1.05</x:v>
      </x:c>
      <x:c r="F2109" s="1" t="str">
        <x:v>https://api.octopus.energy/v1/products/AGILE-24-10-01/electricity-tariffs/E-1R-AGILE-24-10-01-G/standard-unit-rates/</x:v>
      </x:c>
    </x:row>
    <x:row r="2110" ht="21" customHeight="1">
      <x:c r="A2110" s="24" t="n">
        <x:v>46192.458333333336</x:v>
      </x:c>
      <x:c r="B2110" s="6" t="n">
        <x:v>0.1038</x:v>
      </x:c>
      <x:c r="C2110" s="6" t="n">
        <x:v>0.0737</x:v>
      </x:c>
      <x:c r="D2110" s="6" t="n">
        <x:f>B2110</x:f>
        <x:v>0.1038</x:v>
      </x:c>
      <x:c r="E2110" s="1" t="n">
        <x:v>1.05</x:v>
      </x:c>
      <x:c r="F2110" s="1" t="str">
        <x:v>https://api.octopus.energy/v1/products/AGILE-24-10-01/electricity-tariffs/E-1R-AGILE-24-10-01-G/standard-unit-rates/</x:v>
      </x:c>
    </x:row>
    <x:row r="2111" ht="21" customHeight="1">
      <x:c r="A2111" s="24" t="n">
        <x:v>46192.479166666664</x:v>
      </x:c>
      <x:c r="B2111" s="6" t="n">
        <x:v>0.0973</x:v>
      </x:c>
      <x:c r="C2111" s="6" t="n">
        <x:v>0.0708</x:v>
      </x:c>
      <x:c r="D2111" s="6" t="n">
        <x:f>B2111</x:f>
        <x:v>0.0973</x:v>
      </x:c>
      <x:c r="E2111" s="1" t="n">
        <x:v>1.05</x:v>
      </x:c>
      <x:c r="F2111" s="1" t="str">
        <x:v>https://api.octopus.energy/v1/products/AGILE-24-10-01/electricity-tariffs/E-1R-AGILE-24-10-01-G/standard-unit-rates/</x:v>
      </x:c>
    </x:row>
    <x:row r="2112" ht="21" customHeight="1">
      <x:c r="A2112" s="24" t="n">
        <x:v>46192.5</x:v>
      </x:c>
      <x:c r="B2112" s="6" t="n">
        <x:v>0.10300000000000001</x:v>
      </x:c>
      <x:c r="C2112" s="6" t="n">
        <x:v>0.0733</x:v>
      </x:c>
      <x:c r="D2112" s="6" t="n">
        <x:f>B2112</x:f>
        <x:v>0.10300000000000001</x:v>
      </x:c>
      <x:c r="E2112" s="1" t="n">
        <x:v>1.05</x:v>
      </x:c>
      <x:c r="F2112" s="1" t="str">
        <x:v>https://api.octopus.energy/v1/products/AGILE-24-10-01/electricity-tariffs/E-1R-AGILE-24-10-01-G/standard-unit-rates/</x:v>
      </x:c>
    </x:row>
    <x:row r="2113" ht="21" customHeight="1">
      <x:c r="A2113" s="24" t="n">
        <x:v>46192.520833333336</x:v>
      </x:c>
      <x:c r="B2113" s="6" t="n">
        <x:v>0.0978</x:v>
      </x:c>
      <x:c r="C2113" s="6" t="n">
        <x:v>0.071</x:v>
      </x:c>
      <x:c r="D2113" s="6" t="n">
        <x:f>B2113</x:f>
        <x:v>0.0978</x:v>
      </x:c>
      <x:c r="E2113" s="1" t="n">
        <x:v>1.05</x:v>
      </x:c>
      <x:c r="F2113" s="1" t="str">
        <x:v>https://api.octopus.energy/v1/products/AGILE-24-10-01/electricity-tariffs/E-1R-AGILE-24-10-01-G/standard-unit-rates/</x:v>
      </x:c>
    </x:row>
    <x:row r="2114" ht="21" customHeight="1">
      <x:c r="A2114" s="24" t="n">
        <x:v>46192.541666666664</x:v>
      </x:c>
      <x:c r="B2114" s="6" t="n">
        <x:v>0.0947</x:v>
      </x:c>
      <x:c r="C2114" s="6" t="n">
        <x:v>0.0696</x:v>
      </x:c>
      <x:c r="D2114" s="6" t="n">
        <x:f>B2114</x:f>
        <x:v>0.0947</x:v>
      </x:c>
      <x:c r="E2114" s="1" t="n">
        <x:v>1.05</x:v>
      </x:c>
      <x:c r="F2114" s="1" t="str">
        <x:v>https://api.octopus.energy/v1/products/AGILE-24-10-01/electricity-tariffs/E-1R-AGILE-24-10-01-G/standard-unit-rates/</x:v>
      </x:c>
    </x:row>
    <x:row r="2115" ht="21" customHeight="1">
      <x:c r="A2115" s="24" t="n">
        <x:v>46192.5625</x:v>
      </x:c>
      <x:c r="B2115" s="6" t="n">
        <x:v>0.1018</x:v>
      </x:c>
      <x:c r="C2115" s="6" t="n">
        <x:v>0.0728</x:v>
      </x:c>
      <x:c r="D2115" s="6" t="n">
        <x:f>B2115</x:f>
        <x:v>0.1018</x:v>
      </x:c>
      <x:c r="E2115" s="1" t="n">
        <x:v>1.05</x:v>
      </x:c>
      <x:c r="F2115" s="1" t="str">
        <x:v>https://api.octopus.energy/v1/products/AGILE-24-10-01/electricity-tariffs/E-1R-AGILE-24-10-01-G/standard-unit-rates/</x:v>
      </x:c>
    </x:row>
    <x:row r="2116" ht="21" customHeight="1">
      <x:c r="A2116" s="24" t="n">
        <x:v>46192.583333333336</x:v>
      </x:c>
      <x:c r="B2116" s="6" t="n">
        <x:v>0.09050000000000001</x:v>
      </x:c>
      <x:c r="C2116" s="6" t="n">
        <x:v>0.0676</x:v>
      </x:c>
      <x:c r="D2116" s="6" t="n">
        <x:f>B2116</x:f>
        <x:v>0.09050000000000001</x:v>
      </x:c>
      <x:c r="E2116" s="1" t="n">
        <x:v>1.05</x:v>
      </x:c>
      <x:c r="F2116" s="1" t="str">
        <x:v>https://api.octopus.energy/v1/products/AGILE-24-10-01/electricity-tariffs/E-1R-AGILE-24-10-01-G/standard-unit-rates/</x:v>
      </x:c>
    </x:row>
    <x:row r="2117" ht="21" customHeight="1">
      <x:c r="A2117" s="24" t="n">
        <x:v>46192.604166666664</x:v>
      </x:c>
      <x:c r="B2117" s="6" t="n">
        <x:v>0.10099999999999999</x:v>
      </x:c>
      <x:c r="C2117" s="6" t="n">
        <x:v>0.0724</x:v>
      </x:c>
      <x:c r="D2117" s="6" t="n">
        <x:f>B2117</x:f>
        <x:v>0.10099999999999999</x:v>
      </x:c>
      <x:c r="E2117" s="1" t="n">
        <x:v>1.05</x:v>
      </x:c>
      <x:c r="F2117" s="1" t="str">
        <x:v>https://api.octopus.energy/v1/products/AGILE-24-10-01/electricity-tariffs/E-1R-AGILE-24-10-01-G/standard-unit-rates/</x:v>
      </x:c>
    </x:row>
    <x:row r="2118" ht="21" customHeight="1">
      <x:c r="A2118" s="24" t="n">
        <x:v>46192.625</x:v>
      </x:c>
      <x:c r="B2118" s="6" t="n">
        <x:v>0.1577</x:v>
      </x:c>
      <x:c r="C2118" s="6" t="n">
        <x:v>0.0984</x:v>
      </x:c>
      <x:c r="D2118" s="6" t="n">
        <x:f>B2118</x:f>
        <x:v>0.1577</x:v>
      </x:c>
      <x:c r="E2118" s="1" t="n">
        <x:v>1.05</x:v>
      </x:c>
      <x:c r="F2118" s="1" t="str">
        <x:v>https://api.octopus.energy/v1/products/AGILE-24-10-01/electricity-tariffs/E-1R-AGILE-24-10-01-G/standard-unit-rates/</x:v>
      </x:c>
    </x:row>
    <x:row r="2119" ht="21" customHeight="1">
      <x:c r="A2119" s="24" t="n">
        <x:v>46192.645833333336</x:v>
      </x:c>
      <x:c r="B2119" s="6" t="n">
        <x:v>0.16329999999999997</x:v>
      </x:c>
      <x:c r="C2119" s="6" t="n">
        <x:v>0.1009</x:v>
      </x:c>
      <x:c r="D2119" s="6" t="n">
        <x:f>B2119</x:f>
        <x:v>0.16329999999999997</x:v>
      </x:c>
      <x:c r="E2119" s="1" t="n">
        <x:v>1.05</x:v>
      </x:c>
      <x:c r="F2119" s="1" t="str">
        <x:v>https://api.octopus.energy/v1/products/AGILE-24-10-01/electricity-tariffs/E-1R-AGILE-24-10-01-G/standard-unit-rates/</x:v>
      </x:c>
    </x:row>
    <x:row r="2120" ht="21" customHeight="1">
      <x:c r="A2120" s="24" t="n">
        <x:v>46192.666666666664</x:v>
      </x:c>
      <x:c r="B2120" s="6" t="n">
        <x:v>0.2898</x:v>
      </x:c>
      <x:c r="C2120" s="6" t="n">
        <x:v>0.1628</x:v>
      </x:c>
      <x:c r="D2120" s="6" t="n">
        <x:f>B2120</x:f>
        <x:v>0.2898</x:v>
      </x:c>
      <x:c r="E2120" s="1" t="n">
        <x:v>1.05</x:v>
      </x:c>
      <x:c r="F2120" s="1" t="str">
        <x:v>https://api.octopus.energy/v1/products/AGILE-24-10-01/electricity-tariffs/E-1R-AGILE-24-10-01-G/standard-unit-rates/</x:v>
      </x:c>
    </x:row>
    <x:row r="2121" ht="21" customHeight="1">
      <x:c r="A2121" s="24" t="n">
        <x:v>46192.6875</x:v>
      </x:c>
      <x:c r="B2121" s="6" t="n">
        <x:v>0.284</x:v>
      </x:c>
      <x:c r="C2121" s="6" t="n">
        <x:v>0.16010000000000002</x:v>
      </x:c>
      <x:c r="D2121" s="6" t="n">
        <x:f>B2121</x:f>
        <x:v>0.284</x:v>
      </x:c>
      <x:c r="E2121" s="1" t="n">
        <x:v>1.05</x:v>
      </x:c>
      <x:c r="F2121" s="1" t="str">
        <x:v>https://api.octopus.energy/v1/products/AGILE-24-10-01/electricity-tariffs/E-1R-AGILE-24-10-01-G/standard-unit-rates/</x:v>
      </x:c>
    </x:row>
    <x:row r="2122" ht="21" customHeight="1">
      <x:c r="A2122" s="24" t="n">
        <x:v>46192.708333333336</x:v>
      </x:c>
      <x:c r="B2122" s="6" t="n">
        <x:v>0.3056</x:v>
      </x:c>
      <x:c r="C2122" s="6" t="n">
        <x:v>0.17</x:v>
      </x:c>
      <x:c r="D2122" s="6" t="n">
        <x:f>B2122</x:f>
        <x:v>0.3056</x:v>
      </x:c>
      <x:c r="E2122" s="1" t="n">
        <x:v>1.05</x:v>
      </x:c>
      <x:c r="F2122" s="1" t="str">
        <x:v>https://api.octopus.energy/v1/products/AGILE-24-10-01/electricity-tariffs/E-1R-AGILE-24-10-01-G/standard-unit-rates/</x:v>
      </x:c>
    </x:row>
    <x:row r="2123" ht="21" customHeight="1">
      <x:c r="A2123" s="24" t="n">
        <x:v>46192.729166666664</x:v>
      </x:c>
      <x:c r="B2123" s="6" t="n">
        <x:v>0.2966</x:v>
      </x:c>
      <x:c r="C2123" s="6" t="n">
        <x:v>0.1659</x:v>
      </x:c>
      <x:c r="D2123" s="6" t="n">
        <x:f>B2123</x:f>
        <x:v>0.2966</x:v>
      </x:c>
      <x:c r="E2123" s="1" t="n">
        <x:v>1.05</x:v>
      </x:c>
      <x:c r="F2123" s="1" t="str">
        <x:v>https://api.octopus.energy/v1/products/AGILE-24-10-01/electricity-tariffs/E-1R-AGILE-24-10-01-G/standard-unit-rates/</x:v>
      </x:c>
    </x:row>
    <x:row r="2124" ht="21" customHeight="1">
      <x:c r="A2124" s="24" t="n">
        <x:v>46192.75</x:v>
      </x:c>
      <x:c r="B2124" s="6" t="n">
        <x:v>0.3281</x:v>
      </x:c>
      <x:c r="C2124" s="6" t="n">
        <x:v>0.18030000000000002</x:v>
      </x:c>
      <x:c r="D2124" s="6" t="n">
        <x:f>B2124</x:f>
        <x:v>0.3281</x:v>
      </x:c>
      <x:c r="E2124" s="1" t="n">
        <x:v>1.05</x:v>
      </x:c>
      <x:c r="F2124" s="1" t="str">
        <x:v>https://api.octopus.energy/v1/products/AGILE-24-10-01/electricity-tariffs/E-1R-AGILE-24-10-01-G/standard-unit-rates/</x:v>
      </x:c>
    </x:row>
    <x:row r="2125" ht="21" customHeight="1">
      <x:c r="A2125" s="24" t="n">
        <x:v>46192.770833333336</x:v>
      </x:c>
      <x:c r="B2125" s="6" t="n">
        <x:v>0.3531</x:v>
      </x:c>
      <x:c r="C2125" s="6" t="n">
        <x:v>0.1917</x:v>
      </x:c>
      <x:c r="D2125" s="6" t="n">
        <x:f>B2125</x:f>
        <x:v>0.3531</x:v>
      </x:c>
      <x:c r="E2125" s="1" t="n">
        <x:v>1.05</x:v>
      </x:c>
      <x:c r="F2125" s="1" t="str">
        <x:v>https://api.octopus.energy/v1/products/AGILE-24-10-01/electricity-tariffs/E-1R-AGILE-24-10-01-G/standard-unit-rates/</x:v>
      </x:c>
    </x:row>
    <x:row r="2126" ht="21" customHeight="1">
      <x:c r="A2126" s="24" t="n">
        <x:v>46192.791666666664</x:v>
      </x:c>
      <x:c r="B2126" s="6" t="n">
        <x:v>0.252</x:v>
      </x:c>
      <x:c r="C2126" s="6" t="n">
        <x:v>0.14150000000000001</x:v>
      </x:c>
      <x:c r="D2126" s="6" t="n">
        <x:f>B2126</x:f>
        <x:v>0.252</x:v>
      </x:c>
      <x:c r="E2126" s="1" t="n">
        <x:v>1.05</x:v>
      </x:c>
      <x:c r="F2126" s="1" t="str">
        <x:v>https://api.octopus.energy/v1/products/AGILE-24-10-01/electricity-tariffs/E-1R-AGILE-24-10-01-G/standard-unit-rates/</x:v>
      </x:c>
    </x:row>
    <x:row r="2127" ht="21" customHeight="1">
      <x:c r="A2127" s="24" t="n">
        <x:v>46192.8125</x:v>
      </x:c>
      <x:c r="B2127" s="6" t="n">
        <x:v>0.2589</x:v>
      </x:c>
      <x:c r="C2127" s="6" t="n">
        <x:v>0.1446</x:v>
      </x:c>
      <x:c r="D2127" s="6" t="n">
        <x:f>B2127</x:f>
        <x:v>0.2589</x:v>
      </x:c>
      <x:c r="E2127" s="1" t="n">
        <x:v>1.05</x:v>
      </x:c>
      <x:c r="F2127" s="1" t="str">
        <x:v>https://api.octopus.energy/v1/products/AGILE-24-10-01/electricity-tariffs/E-1R-AGILE-24-10-01-G/standard-unit-rates/</x:v>
      </x:c>
    </x:row>
    <x:row r="2128" ht="21" customHeight="1">
      <x:c r="A2128" s="24" t="n">
        <x:v>46192.833333333336</x:v>
      </x:c>
      <x:c r="B2128" s="6" t="n">
        <x:v>0.2522</x:v>
      </x:c>
      <x:c r="C2128" s="6" t="n">
        <x:v>0.1416</x:v>
      </x:c>
      <x:c r="D2128" s="6" t="n">
        <x:f>B2128</x:f>
        <x:v>0.2522</x:v>
      </x:c>
      <x:c r="E2128" s="1" t="n">
        <x:v>1.05</x:v>
      </x:c>
      <x:c r="F2128" s="1" t="str">
        <x:v>https://api.octopus.energy/v1/products/AGILE-24-10-01/electricity-tariffs/E-1R-AGILE-24-10-01-G/standard-unit-rates/</x:v>
      </x:c>
    </x:row>
    <x:row r="2129" ht="21" customHeight="1">
      <x:c r="A2129" s="24" t="n">
        <x:v>46192.854166666664</x:v>
      </x:c>
      <x:c r="B2129" s="6" t="n">
        <x:v>0.2522</x:v>
      </x:c>
      <x:c r="C2129" s="6" t="n">
        <x:v>0.1416</x:v>
      </x:c>
      <x:c r="D2129" s="6" t="n">
        <x:f>B2129</x:f>
        <x:v>0.2522</x:v>
      </x:c>
      <x:c r="E2129" s="1" t="n">
        <x:v>1.05</x:v>
      </x:c>
      <x:c r="F2129" s="1" t="str">
        <x:v>https://api.octopus.energy/v1/products/AGILE-24-10-01/electricity-tariffs/E-1R-AGILE-24-10-01-G/standard-unit-rates/</x:v>
      </x:c>
    </x:row>
    <x:row r="2130" ht="21" customHeight="1">
      <x:c r="A2130" s="24" t="n">
        <x:v>46192.875</x:v>
      </x:c>
      <x:c r="B2130" s="6" t="n">
        <x:v>0.2522</x:v>
      </x:c>
      <x:c r="C2130" s="6" t="n">
        <x:v>0.1416</x:v>
      </x:c>
      <x:c r="D2130" s="6" t="n">
        <x:f>B2130</x:f>
        <x:v>0.2522</x:v>
      </x:c>
      <x:c r="E2130" s="1" t="n">
        <x:v>1.05</x:v>
      </x:c>
      <x:c r="F2130" s="1" t="str">
        <x:v>https://api.octopus.energy/v1/products/AGILE-24-10-01/electricity-tariffs/E-1R-AGILE-24-10-01-G/standard-unit-rates/</x:v>
      </x:c>
    </x:row>
    <x:row r="2131" ht="21" customHeight="1">
      <x:c r="A2131" s="24" t="n">
        <x:v>46192.895833333336</x:v>
      </x:c>
      <x:c r="B2131" s="6" t="n">
        <x:v>0.24719999999999998</x:v>
      </x:c>
      <x:c r="C2131" s="6" t="n">
        <x:v>0.1393</x:v>
      </x:c>
      <x:c r="D2131" s="6" t="n">
        <x:f>B2131</x:f>
        <x:v>0.24719999999999998</x:v>
      </x:c>
      <x:c r="E2131" s="1" t="n">
        <x:v>1.05</x:v>
      </x:c>
      <x:c r="F2131" s="1" t="str">
        <x:v>https://api.octopus.energy/v1/products/AGILE-24-10-01/electricity-tariffs/E-1R-AGILE-24-10-01-G/standard-unit-rates/</x:v>
      </x:c>
    </x:row>
    <x:row r="2132" ht="21" customHeight="1">
      <x:c r="A2132" s="24" t="n">
        <x:v>46192.916666666664</x:v>
      </x:c>
      <x:c r="B2132" s="6" t="n">
        <x:v>0.2137</x:v>
      </x:c>
      <x:c r="C2132" s="6" t="n">
        <x:v>0.124</x:v>
      </x:c>
      <x:c r="D2132" s="6" t="n">
        <x:f>B2132</x:f>
        <x:v>0.2137</x:v>
      </x:c>
      <x:c r="E2132" s="1" t="n">
        <x:v>1.05</x:v>
      </x:c>
      <x:c r="F2132" s="1" t="str">
        <x:v>https://api.octopus.energy/v1/products/AGILE-24-10-01/electricity-tariffs/E-1R-AGILE-24-10-01-G/standard-unit-rates/</x:v>
      </x:c>
    </x:row>
    <x:row r="2133" ht="21" customHeight="1">
      <x:c r="A2133" s="24" t="n">
        <x:v>46192.9375</x:v>
      </x:c>
      <x:c r="B2133" s="6" t="n">
        <x:v>0.2182</x:v>
      </x:c>
      <x:c r="C2133" s="6" t="n">
        <x:v>0.126</x:v>
      </x:c>
      <x:c r="D2133" s="6" t="n">
        <x:f>B2133</x:f>
        <x:v>0.2182</x:v>
      </x:c>
      <x:c r="E2133" s="1" t="n">
        <x:v>1.05</x:v>
      </x:c>
      <x:c r="F2133" s="1" t="str">
        <x:v>https://api.octopus.energy/v1/products/AGILE-24-10-01/electricity-tariffs/E-1R-AGILE-24-10-01-G/standard-unit-rates/</x:v>
      </x:c>
    </x:row>
    <x:row r="2134" ht="21" customHeight="1">
      <x:c r="A2134" s="24" t="n">
        <x:v>46193</x:v>
      </x:c>
      <x:c r="B2134" s="6" t="n">
        <x:v>0.1898</x:v>
      </x:c>
      <x:c r="C2134" s="6" t="n">
        <x:v>0.113</x:v>
      </x:c>
      <x:c r="D2134" s="6" t="n">
        <x:f>B2134</x:f>
        <x:v>0.1898</x:v>
      </x:c>
      <x:c r="E2134" s="1" t="n">
        <x:v>1.05</x:v>
      </x:c>
      <x:c r="F2134" s="1" t="str">
        <x:v>https://api.octopus.energy/v1/products/AGILE-24-10-01/electricity-tariffs/E-1R-AGILE-24-10-01-G/standard-unit-rates/</x:v>
      </x:c>
    </x:row>
    <x:row r="2135" ht="21" customHeight="1">
      <x:c r="A2135" s="24" t="n">
        <x:v>46192.979166666664</x:v>
      </x:c>
      <x:c r="B2135" s="6" t="n">
        <x:v>0.1909</x:v>
      </x:c>
      <x:c r="C2135" s="6" t="n">
        <x:v>0.11349999999999999</x:v>
      </x:c>
      <x:c r="D2135" s="6" t="n">
        <x:f>B2135</x:f>
        <x:v>0.1909</x:v>
      </x:c>
      <x:c r="E2135" s="1" t="n">
        <x:v>1.05</x:v>
      </x:c>
      <x:c r="F2135" s="1" t="str">
        <x:v>https://api.octopus.energy/v1/products/AGILE-24-10-01/electricity-tariffs/E-1R-AGILE-24-10-01-G/standard-unit-rates/</x:v>
      </x:c>
    </x:row>
    <x:row r="2136" ht="21" customHeight="1">
      <x:c r="A2136" s="24" t="n">
        <x:v>46193</x:v>
      </x:c>
      <x:c r="B2136" s="6" t="n">
        <x:v>0.1934</x:v>
      </x:c>
      <x:c r="C2136" s="6" t="n">
        <x:v>0.11470000000000001</x:v>
      </x:c>
      <x:c r="D2136" s="6" t="n">
        <x:f>B2136</x:f>
        <x:v>0.1934</x:v>
      </x:c>
      <x:c r="E2136" s="1" t="n">
        <x:v>1.05</x:v>
      </x:c>
      <x:c r="F2136" s="1" t="str">
        <x:v>https://api.octopus.energy/v1/products/AGILE-24-10-01/electricity-tariffs/E-1R-AGILE-24-10-01-G/standard-unit-rates/</x:v>
      </x:c>
    </x:row>
    <x:row r="2137" ht="21" customHeight="1">
      <x:c r="A2137" s="24" t="n">
        <x:v>46193.020833333336</x:v>
      </x:c>
      <x:c r="B2137" s="6" t="n">
        <x:v>0.1881</x:v>
      </x:c>
      <x:c r="C2137" s="6" t="n">
        <x:v>0.11230000000000001</x:v>
      </x:c>
      <x:c r="D2137" s="6" t="n">
        <x:f>B2137</x:f>
        <x:v>0.1881</x:v>
      </x:c>
      <x:c r="E2137" s="1" t="n">
        <x:v>1.05</x:v>
      </x:c>
      <x:c r="F2137" s="1" t="str">
        <x:v>https://api.octopus.energy/v1/products/AGILE-24-10-01/electricity-tariffs/E-1R-AGILE-24-10-01-G/standard-unit-rates/</x:v>
      </x:c>
    </x:row>
    <x:row r="2138" ht="21" customHeight="1">
      <x:c r="A2138" s="24" t="n">
        <x:v>46193.041666666664</x:v>
      </x:c>
      <x:c r="B2138" s="6" t="n">
        <x:v>0.18230000000000002</x:v>
      </x:c>
      <x:c r="C2138" s="6" t="n">
        <x:v>0.1096</x:v>
      </x:c>
      <x:c r="D2138" s="6" t="n">
        <x:f>B2138</x:f>
        <x:v>0.18230000000000002</x:v>
      </x:c>
      <x:c r="E2138" s="1" t="n">
        <x:v>1.05</x:v>
      </x:c>
      <x:c r="F2138" s="1" t="str">
        <x:v>https://api.octopus.energy/v1/products/AGILE-24-10-01/electricity-tariffs/E-1R-AGILE-24-10-01-G/standard-unit-rates/</x:v>
      </x:c>
    </x:row>
    <x:row r="2139" ht="21" customHeight="1">
      <x:c r="A2139" s="24" t="n">
        <x:v>46193.0625</x:v>
      </x:c>
      <x:c r="B2139" s="6" t="n">
        <x:v>0.1773</x:v>
      </x:c>
      <x:c r="C2139" s="6" t="n">
        <x:v>0.1073</x:v>
      </x:c>
      <x:c r="D2139" s="6" t="n">
        <x:f>B2139</x:f>
        <x:v>0.1773</x:v>
      </x:c>
      <x:c r="E2139" s="1" t="n">
        <x:v>1.05</x:v>
      </x:c>
      <x:c r="F2139" s="1" t="str">
        <x:v>https://api.octopus.energy/v1/products/AGILE-24-10-01/electricity-tariffs/E-1R-AGILE-24-10-01-G/standard-unit-rates/</x:v>
      </x:c>
    </x:row>
    <x:row r="2140" ht="21" customHeight="1">
      <x:c r="A2140" s="24" t="n">
        <x:v>46193.083333333336</x:v>
      </x:c>
      <x:c r="B2140" s="6" t="n">
        <x:v>0.1686</x:v>
      </x:c>
      <x:c r="C2140" s="6" t="n">
        <x:v>0.10339999999999999</x:v>
      </x:c>
      <x:c r="D2140" s="6" t="n">
        <x:f>B2140</x:f>
        <x:v>0.1686</x:v>
      </x:c>
      <x:c r="E2140" s="1" t="n">
        <x:v>1.05</x:v>
      </x:c>
      <x:c r="F2140" s="1" t="str">
        <x:v>https://api.octopus.energy/v1/products/AGILE-24-10-01/electricity-tariffs/E-1R-AGILE-24-10-01-G/standard-unit-rates/</x:v>
      </x:c>
    </x:row>
    <x:row r="2141" ht="21" customHeight="1">
      <x:c r="A2141" s="24" t="n">
        <x:v>46193.104166666664</x:v>
      </x:c>
      <x:c r="B2141" s="6" t="n">
        <x:v>0.156</x:v>
      </x:c>
      <x:c r="C2141" s="6" t="n">
        <x:v>0.09759999999999999</x:v>
      </x:c>
      <x:c r="D2141" s="6" t="n">
        <x:f>B2141</x:f>
        <x:v>0.156</x:v>
      </x:c>
      <x:c r="E2141" s="1" t="n">
        <x:v>1.05</x:v>
      </x:c>
      <x:c r="F2141" s="1" t="str">
        <x:v>https://api.octopus.energy/v1/products/AGILE-24-10-01/electricity-tariffs/E-1R-AGILE-24-10-01-G/standard-unit-rates/</x:v>
      </x:c>
    </x:row>
    <x:row r="2142" ht="21" customHeight="1">
      <x:c r="A2142" s="24" t="n">
        <x:v>46193.125</x:v>
      </x:c>
      <x:c r="B2142" s="6" t="n">
        <x:v>0.1802</x:v>
      </x:c>
      <x:c r="C2142" s="6" t="n">
        <x:v>0.10859999999999999</x:v>
      </x:c>
      <x:c r="D2142" s="6" t="n">
        <x:f>B2142</x:f>
        <x:v>0.1802</x:v>
      </x:c>
      <x:c r="E2142" s="1" t="n">
        <x:v>1.05</x:v>
      </x:c>
      <x:c r="F2142" s="1" t="str">
        <x:v>https://api.octopus.energy/v1/products/AGILE-24-10-01/electricity-tariffs/E-1R-AGILE-24-10-01-G/standard-unit-rates/</x:v>
      </x:c>
    </x:row>
    <x:row r="2143" ht="21" customHeight="1">
      <x:c r="A2143" s="24" t="n">
        <x:v>46193.145833333336</x:v>
      </x:c>
      <x:c r="B2143" s="6" t="n">
        <x:v>0.1759</x:v>
      </x:c>
      <x:c r="C2143" s="6" t="n">
        <x:v>0.1067</x:v>
      </x:c>
      <x:c r="D2143" s="6" t="n">
        <x:f>B2143</x:f>
        <x:v>0.1759</x:v>
      </x:c>
      <x:c r="E2143" s="1" t="n">
        <x:v>1.05</x:v>
      </x:c>
      <x:c r="F2143" s="1" t="str">
        <x:v>https://api.octopus.energy/v1/products/AGILE-24-10-01/electricity-tariffs/E-1R-AGILE-24-10-01-G/standard-unit-rates/</x:v>
      </x:c>
    </x:row>
    <x:row r="2144" ht="21" customHeight="1">
      <x:c r="A2144" s="24" t="n">
        <x:v>46193.166666666664</x:v>
      </x:c>
      <x:c r="B2144" s="6" t="n">
        <x:v>0.17679999999999998</x:v>
      </x:c>
      <x:c r="C2144" s="6" t="n">
        <x:v>0.10710000000000001</x:v>
      </x:c>
      <x:c r="D2144" s="6" t="n">
        <x:f>B2144</x:f>
        <x:v>0.17679999999999998</x:v>
      </x:c>
      <x:c r="E2144" s="1" t="n">
        <x:v>1.05</x:v>
      </x:c>
      <x:c r="F2144" s="1" t="str">
        <x:v>https://api.octopus.energy/v1/products/AGILE-24-10-01/electricity-tariffs/E-1R-AGILE-24-10-01-G/standard-unit-rates/</x:v>
      </x:c>
    </x:row>
    <x:row r="2145" ht="21" customHeight="1">
      <x:c r="A2145" s="24" t="n">
        <x:v>46193.1875</x:v>
      </x:c>
      <x:c r="B2145" s="6" t="n">
        <x:v>0.1778</x:v>
      </x:c>
      <x:c r="C2145" s="6" t="n">
        <x:v>0.1075</x:v>
      </x:c>
      <x:c r="D2145" s="6" t="n">
        <x:f>B2145</x:f>
        <x:v>0.1778</x:v>
      </x:c>
      <x:c r="E2145" s="1" t="n">
        <x:v>1.05</x:v>
      </x:c>
      <x:c r="F2145" s="1" t="str">
        <x:v>https://api.octopus.energy/v1/products/AGILE-24-10-01/electricity-tariffs/E-1R-AGILE-24-10-01-G/standard-unit-rates/</x:v>
      </x:c>
    </x:row>
    <x:row r="2146" ht="21" customHeight="1">
      <x:c r="A2146" s="24" t="n">
        <x:v>46193.208333333336</x:v>
      </x:c>
      <x:c r="B2146" s="6" t="n">
        <x:v>0.1739</x:v>
      </x:c>
      <x:c r="C2146" s="6" t="n">
        <x:v>0.1058</x:v>
      </x:c>
      <x:c r="D2146" s="6" t="n">
        <x:f>B2146</x:f>
        <x:v>0.1739</x:v>
      </x:c>
      <x:c r="E2146" s="1" t="n">
        <x:v>1.05</x:v>
      </x:c>
      <x:c r="F2146" s="1" t="str">
        <x:v>https://api.octopus.energy/v1/products/AGILE-24-10-01/electricity-tariffs/E-1R-AGILE-24-10-01-G/standard-unit-rates/</x:v>
      </x:c>
    </x:row>
    <x:row r="2147" ht="21" customHeight="1">
      <x:c r="A2147" s="24" t="n">
        <x:v>46193.229166666664</x:v>
      </x:c>
      <x:c r="B2147" s="6" t="n">
        <x:v>0.1686</x:v>
      </x:c>
      <x:c r="C2147" s="6" t="n">
        <x:v>0.10339999999999999</x:v>
      </x:c>
      <x:c r="D2147" s="6" t="n">
        <x:f>B2147</x:f>
        <x:v>0.1686</x:v>
      </x:c>
      <x:c r="E2147" s="1" t="n">
        <x:v>1.05</x:v>
      </x:c>
      <x:c r="F2147" s="1" t="str">
        <x:v>https://api.octopus.energy/v1/products/AGILE-24-10-01/electricity-tariffs/E-1R-AGILE-24-10-01-G/standard-unit-rates/</x:v>
      </x:c>
    </x:row>
    <x:row r="2148" ht="21" customHeight="1">
      <x:c r="A2148" s="24" t="n">
        <x:v>46193.25</x:v>
      </x:c>
      <x:c r="B2148" s="6" t="n">
        <x:v>0.1594</x:v>
      </x:c>
      <x:c r="C2148" s="6" t="n">
        <x:v>0.09910000000000001</x:v>
      </x:c>
      <x:c r="D2148" s="6" t="n">
        <x:f>B2148</x:f>
        <x:v>0.1594</x:v>
      </x:c>
      <x:c r="E2148" s="1" t="n">
        <x:v>1.05</x:v>
      </x:c>
      <x:c r="F2148" s="1" t="str">
        <x:v>https://api.octopus.energy/v1/products/AGILE-24-10-01/electricity-tariffs/E-1R-AGILE-24-10-01-G/standard-unit-rates/</x:v>
      </x:c>
    </x:row>
    <x:row r="2149" ht="21" customHeight="1">
      <x:c r="A2149" s="24" t="n">
        <x:v>46193.270833333336</x:v>
      </x:c>
      <x:c r="B2149" s="6" t="n">
        <x:v>0.1707</x:v>
      </x:c>
      <x:c r="C2149" s="6" t="n">
        <x:v>0.1043</x:v>
      </x:c>
      <x:c r="D2149" s="6" t="n">
        <x:f>B2149</x:f>
        <x:v>0.1707</x:v>
      </x:c>
      <x:c r="E2149" s="1" t="n">
        <x:v>1.05</x:v>
      </x:c>
      <x:c r="F2149" s="1" t="str">
        <x:v>https://api.octopus.energy/v1/products/AGILE-24-10-01/electricity-tariffs/E-1R-AGILE-24-10-01-G/standard-unit-rates/</x:v>
      </x:c>
    </x:row>
    <x:row r="2150" ht="21" customHeight="1">
      <x:c r="A2150" s="24" t="n">
        <x:v>46193.291666666664</x:v>
      </x:c>
      <x:c r="B2150" s="6" t="n">
        <x:v>0.1606</x:v>
      </x:c>
      <x:c r="C2150" s="6" t="n">
        <x:v>0.09970000000000001</x:v>
      </x:c>
      <x:c r="D2150" s="6" t="n">
        <x:f>B2150</x:f>
        <x:v>0.1606</x:v>
      </x:c>
      <x:c r="E2150" s="1" t="n">
        <x:v>1.05</x:v>
      </x:c>
      <x:c r="F2150" s="1" t="str">
        <x:v>https://api.octopus.energy/v1/products/AGILE-24-10-01/electricity-tariffs/E-1R-AGILE-24-10-01-G/standard-unit-rates/</x:v>
      </x:c>
    </x:row>
    <x:row r="2151" ht="21" customHeight="1">
      <x:c r="A2151" s="24" t="n">
        <x:v>46193.3125</x:v>
      </x:c>
      <x:c r="B2151" s="6" t="n">
        <x:v>0.1703</x:v>
      </x:c>
      <x:c r="C2151" s="6" t="n">
        <x:v>0.1041</x:v>
      </x:c>
      <x:c r="D2151" s="6" t="n">
        <x:f>B2151</x:f>
        <x:v>0.1703</x:v>
      </x:c>
      <x:c r="E2151" s="1" t="n">
        <x:v>1.05</x:v>
      </x:c>
      <x:c r="F2151" s="1" t="str">
        <x:v>https://api.octopus.energy/v1/products/AGILE-24-10-01/electricity-tariffs/E-1R-AGILE-24-10-01-G/standard-unit-rates/</x:v>
      </x:c>
    </x:row>
    <x:row r="2152" ht="21" customHeight="1">
      <x:c r="A2152" s="24" t="n">
        <x:v>46193.333333333336</x:v>
      </x:c>
      <x:c r="B2152" s="6" t="n">
        <x:v>0.1432</x:v>
      </x:c>
      <x:c r="C2152" s="6" t="n">
        <x:v>0.0917</x:v>
      </x:c>
      <x:c r="D2152" s="6" t="n">
        <x:f>B2152</x:f>
        <x:v>0.1432</x:v>
      </x:c>
      <x:c r="E2152" s="1" t="n">
        <x:v>1.05</x:v>
      </x:c>
      <x:c r="F2152" s="1" t="str">
        <x:v>https://api.octopus.energy/v1/products/AGILE-24-10-01/electricity-tariffs/E-1R-AGILE-24-10-01-G/standard-unit-rates/</x:v>
      </x:c>
    </x:row>
    <x:row r="2153" ht="21" customHeight="1">
      <x:c r="A2153" s="24" t="n">
        <x:v>46193.354166666664</x:v>
      </x:c>
      <x:c r="B2153" s="6" t="n">
        <x:v>0.1514</x:v>
      </x:c>
      <x:c r="C2153" s="6" t="n">
        <x:v>0.0955</x:v>
      </x:c>
      <x:c r="D2153" s="6" t="n">
        <x:f>B2153</x:f>
        <x:v>0.1514</x:v>
      </x:c>
      <x:c r="E2153" s="1" t="n">
        <x:v>1.05</x:v>
      </x:c>
      <x:c r="F2153" s="1" t="str">
        <x:v>https://api.octopus.energy/v1/products/AGILE-24-10-01/electricity-tariffs/E-1R-AGILE-24-10-01-G/standard-unit-rates/</x:v>
      </x:c>
    </x:row>
    <x:row r="2154" ht="21" customHeight="1">
      <x:c r="A2154" s="24" t="n">
        <x:v>46193.375</x:v>
      </x:c>
      <x:c r="B2154" s="6" t="n">
        <x:v>0.1536</x:v>
      </x:c>
      <x:c r="C2154" s="6" t="n">
        <x:v>0.0965</x:v>
      </x:c>
      <x:c r="D2154" s="6" t="n">
        <x:f>B2154</x:f>
        <x:v>0.1536</x:v>
      </x:c>
      <x:c r="E2154" s="1" t="n">
        <x:v>1.05</x:v>
      </x:c>
      <x:c r="F2154" s="1" t="str">
        <x:v>https://api.octopus.energy/v1/products/AGILE-24-10-01/electricity-tariffs/E-1R-AGILE-24-10-01-G/standard-unit-rates/</x:v>
      </x:c>
    </x:row>
    <x:row r="2155" ht="21" customHeight="1">
      <x:c r="A2155" s="24" t="n">
        <x:v>46193.395833333336</x:v>
      </x:c>
      <x:c r="B2155" s="6" t="n">
        <x:v>0.1404</x:v>
      </x:c>
      <x:c r="C2155" s="6" t="n">
        <x:v>0.09050000000000001</x:v>
      </x:c>
      <x:c r="D2155" s="6" t="n">
        <x:f>B2155</x:f>
        <x:v>0.1404</x:v>
      </x:c>
      <x:c r="E2155" s="1" t="n">
        <x:v>1.05</x:v>
      </x:c>
      <x:c r="F2155" s="1" t="str">
        <x:v>https://api.octopus.energy/v1/products/AGILE-24-10-01/electricity-tariffs/E-1R-AGILE-24-10-01-G/standard-unit-rates/</x:v>
      </x:c>
    </x:row>
    <x:row r="2156" ht="21" customHeight="1">
      <x:c r="A2156" s="24" t="n">
        <x:v>46193.416666666664</x:v>
      </x:c>
      <x:c r="B2156" s="6" t="n">
        <x:v>0.14880000000000002</x:v>
      </x:c>
      <x:c r="C2156" s="6" t="n">
        <x:v>0.0943</x:v>
      </x:c>
      <x:c r="D2156" s="6" t="n">
        <x:f>B2156</x:f>
        <x:v>0.14880000000000002</x:v>
      </x:c>
      <x:c r="E2156" s="1" t="n">
        <x:v>1.05</x:v>
      </x:c>
      <x:c r="F2156" s="1" t="str">
        <x:v>https://api.octopus.energy/v1/products/AGILE-24-10-01/electricity-tariffs/E-1R-AGILE-24-10-01-G/standard-unit-rates/</x:v>
      </x:c>
    </x:row>
    <x:row r="2157" ht="21" customHeight="1">
      <x:c r="A2157" s="24" t="n">
        <x:v>46193.4375</x:v>
      </x:c>
      <x:c r="B2157" s="6" t="n">
        <x:v>0.1422</x:v>
      </x:c>
      <x:c r="C2157" s="6" t="n">
        <x:v>0.0913</x:v>
      </x:c>
      <x:c r="D2157" s="6" t="n">
        <x:f>B2157</x:f>
        <x:v>0.1422</x:v>
      </x:c>
      <x:c r="E2157" s="1" t="n">
        <x:v>1.05</x:v>
      </x:c>
      <x:c r="F2157" s="1" t="str">
        <x:v>https://api.octopus.energy/v1/products/AGILE-24-10-01/electricity-tariffs/E-1R-AGILE-24-10-01-G/standard-unit-rates/</x:v>
      </x:c>
    </x:row>
    <x:row r="2158" ht="21" customHeight="1">
      <x:c r="A2158" s="24" t="n">
        <x:v>46193.458333333336</x:v>
      </x:c>
      <x:c r="B2158" s="6" t="n">
        <x:v>0.12539999999999998</x:v>
      </x:c>
      <x:c r="C2158" s="6" t="n">
        <x:v>0.0836</x:v>
      </x:c>
      <x:c r="D2158" s="6" t="n">
        <x:f>B2158</x:f>
        <x:v>0.12539999999999998</x:v>
      </x:c>
      <x:c r="E2158" s="1" t="n">
        <x:v>1.05</x:v>
      </x:c>
      <x:c r="F2158" s="1" t="str">
        <x:v>https://api.octopus.energy/v1/products/AGILE-24-10-01/electricity-tariffs/E-1R-AGILE-24-10-01-G/standard-unit-rates/</x:v>
      </x:c>
    </x:row>
    <x:row r="2159" ht="21" customHeight="1">
      <x:c r="A2159" s="24" t="n">
        <x:v>46193.479166666664</x:v>
      </x:c>
      <x:c r="B2159" s="6" t="n">
        <x:v>0.1281</x:v>
      </x:c>
      <x:c r="C2159" s="6" t="n">
        <x:v>0.0848</x:v>
      </x:c>
      <x:c r="D2159" s="6" t="n">
        <x:f>B2159</x:f>
        <x:v>0.1281</x:v>
      </x:c>
      <x:c r="E2159" s="1" t="n">
        <x:v>1.05</x:v>
      </x:c>
      <x:c r="F2159" s="1" t="str">
        <x:v>https://api.octopus.energy/v1/products/AGILE-24-10-01/electricity-tariffs/E-1R-AGILE-24-10-01-G/standard-unit-rates/</x:v>
      </x:c>
    </x:row>
    <x:row r="2160" ht="21" customHeight="1">
      <x:c r="A2160" s="24" t="n">
        <x:v>46193.5</x:v>
      </x:c>
      <x:c r="B2160" s="6" t="n">
        <x:v>0.1346</x:v>
      </x:c>
      <x:c r="C2160" s="6" t="n">
        <x:v>0.08779999999999999</x:v>
      </x:c>
      <x:c r="D2160" s="6" t="n">
        <x:f>B2160</x:f>
        <x:v>0.1346</x:v>
      </x:c>
      <x:c r="E2160" s="1" t="n">
        <x:v>1.05</x:v>
      </x:c>
      <x:c r="F2160" s="1" t="str">
        <x:v>https://api.octopus.energy/v1/products/AGILE-24-10-01/electricity-tariffs/E-1R-AGILE-24-10-01-G/standard-unit-rates/</x:v>
      </x:c>
    </x:row>
    <x:row r="2161" ht="21" customHeight="1">
      <x:c r="A2161" s="24" t="n">
        <x:v>46193.520833333336</x:v>
      </x:c>
      <x:c r="B2161" s="6" t="n">
        <x:v>0.13140000000000002</x:v>
      </x:c>
      <x:c r="C2161" s="6" t="n">
        <x:v>0.0864</x:v>
      </x:c>
      <x:c r="D2161" s="6" t="n">
        <x:f>B2161</x:f>
        <x:v>0.13140000000000002</x:v>
      </x:c>
      <x:c r="E2161" s="1" t="n">
        <x:v>1.05</x:v>
      </x:c>
      <x:c r="F2161" s="1" t="str">
        <x:v>https://api.octopus.energy/v1/products/AGILE-24-10-01/electricity-tariffs/E-1R-AGILE-24-10-01-G/standard-unit-rates/</x:v>
      </x:c>
    </x:row>
    <x:row r="2162" ht="21" customHeight="1">
      <x:c r="A2162" s="24" t="n">
        <x:v>46193.541666666664</x:v>
      </x:c>
      <x:c r="B2162" s="6" t="n">
        <x:v>0.1304</x:v>
      </x:c>
      <x:c r="C2162" s="6" t="n">
        <x:v>0.0859</x:v>
      </x:c>
      <x:c r="D2162" s="6" t="n">
        <x:f>B2162</x:f>
        <x:v>0.1304</x:v>
      </x:c>
      <x:c r="E2162" s="1" t="n">
        <x:v>1.05</x:v>
      </x:c>
      <x:c r="F2162" s="1" t="str">
        <x:v>https://api.octopus.energy/v1/products/AGILE-24-10-01/electricity-tariffs/E-1R-AGILE-24-10-01-G/standard-unit-rates/</x:v>
      </x:c>
    </x:row>
    <x:row r="2163" ht="21" customHeight="1">
      <x:c r="A2163" s="24" t="n">
        <x:v>46193.5625</x:v>
      </x:c>
      <x:c r="B2163" s="6" t="n">
        <x:v>0.1304</x:v>
      </x:c>
      <x:c r="C2163" s="6" t="n">
        <x:v>0.0859</x:v>
      </x:c>
      <x:c r="D2163" s="6" t="n">
        <x:f>B2163</x:f>
        <x:v>0.1304</x:v>
      </x:c>
      <x:c r="E2163" s="1" t="n">
        <x:v>1.05</x:v>
      </x:c>
      <x:c r="F2163" s="1" t="str">
        <x:v>https://api.octopus.energy/v1/products/AGILE-24-10-01/electricity-tariffs/E-1R-AGILE-24-10-01-G/standard-unit-rates/</x:v>
      </x:c>
    </x:row>
    <x:row r="2164" ht="21" customHeight="1">
      <x:c r="A2164" s="24" t="n">
        <x:v>46193.583333333336</x:v>
      </x:c>
      <x:c r="B2164" s="6" t="n">
        <x:v>0.13269999999999998</x:v>
      </x:c>
      <x:c r="C2164" s="6" t="n">
        <x:v>0.08689999999999999</x:v>
      </x:c>
      <x:c r="D2164" s="6" t="n">
        <x:f>B2164</x:f>
        <x:v>0.13269999999999998</x:v>
      </x:c>
      <x:c r="E2164" s="1" t="n">
        <x:v>1.05</x:v>
      </x:c>
      <x:c r="F2164" s="1" t="str">
        <x:v>https://api.octopus.energy/v1/products/AGILE-24-10-01/electricity-tariffs/E-1R-AGILE-24-10-01-G/standard-unit-rates/</x:v>
      </x:c>
    </x:row>
    <x:row r="2165" ht="21" customHeight="1">
      <x:c r="A2165" s="24" t="n">
        <x:v>46193.604166666664</x:v>
      </x:c>
      <x:c r="B2165" s="6" t="n">
        <x:v>0.1304</x:v>
      </x:c>
      <x:c r="C2165" s="6" t="n">
        <x:v>0.0859</x:v>
      </x:c>
      <x:c r="D2165" s="6" t="n">
        <x:f>B2165</x:f>
        <x:v>0.1304</x:v>
      </x:c>
      <x:c r="E2165" s="1" t="n">
        <x:v>1.05</x:v>
      </x:c>
      <x:c r="F2165" s="1" t="str">
        <x:v>https://api.octopus.energy/v1/products/AGILE-24-10-01/electricity-tariffs/E-1R-AGILE-24-10-01-G/standard-unit-rates/</x:v>
      </x:c>
    </x:row>
    <x:row r="2166" ht="21" customHeight="1">
      <x:c r="A2166" s="24" t="n">
        <x:v>46193.625</x:v>
      </x:c>
      <x:c r="B2166" s="6" t="n">
        <x:v>0.1304</x:v>
      </x:c>
      <x:c r="C2166" s="6" t="n">
        <x:v>0.0859</x:v>
      </x:c>
      <x:c r="D2166" s="6" t="n">
        <x:f>B2166</x:f>
        <x:v>0.1304</x:v>
      </x:c>
      <x:c r="E2166" s="1" t="n">
        <x:v>1.05</x:v>
      </x:c>
      <x:c r="F2166" s="1" t="str">
        <x:v>https://api.octopus.energy/v1/products/AGILE-24-10-01/electricity-tariffs/E-1R-AGILE-24-10-01-G/standard-unit-rates/</x:v>
      </x:c>
    </x:row>
    <x:row r="2167" ht="21" customHeight="1">
      <x:c r="A2167" s="24" t="n">
        <x:v>46193.645833333336</x:v>
      </x:c>
      <x:c r="B2167" s="6" t="n">
        <x:v>0.13849999999999998</x:v>
      </x:c>
      <x:c r="C2167" s="6" t="n">
        <x:v>0.08960000000000001</x:v>
      </x:c>
      <x:c r="D2167" s="6" t="n">
        <x:f>B2167</x:f>
        <x:v>0.13849999999999998</x:v>
      </x:c>
      <x:c r="E2167" s="1" t="n">
        <x:v>1.05</x:v>
      </x:c>
      <x:c r="F2167" s="1" t="str">
        <x:v>https://api.octopus.energy/v1/products/AGILE-24-10-01/electricity-tariffs/E-1R-AGILE-24-10-01-G/standard-unit-rates/</x:v>
      </x:c>
    </x:row>
    <x:row r="2168" ht="21" customHeight="1">
      <x:c r="A2168" s="24" t="n">
        <x:v>46193.666666666664</x:v>
      </x:c>
      <x:c r="B2168" s="6" t="n">
        <x:v>0.27399999999999997</x:v>
      </x:c>
      <x:c r="C2168" s="6" t="n">
        <x:v>0.15560000000000002</x:v>
      </x:c>
      <x:c r="D2168" s="6" t="n">
        <x:f>B2168</x:f>
        <x:v>0.27399999999999997</x:v>
      </x:c>
      <x:c r="E2168" s="1" t="n">
        <x:v>1.05</x:v>
      </x:c>
      <x:c r="F2168" s="1" t="str">
        <x:v>https://api.octopus.energy/v1/products/AGILE-24-10-01/electricity-tariffs/E-1R-AGILE-24-10-01-G/standard-unit-rates/</x:v>
      </x:c>
    </x:row>
    <x:row r="2169" ht="21" customHeight="1">
      <x:c r="A2169" s="24" t="n">
        <x:v>46193.6875</x:v>
      </x:c>
      <x:c r="B2169" s="6" t="n">
        <x:v>0.2609</x:v>
      </x:c>
      <x:c r="C2169" s="6" t="n">
        <x:v>0.1496</x:v>
      </x:c>
      <x:c r="D2169" s="6" t="n">
        <x:f>B2169</x:f>
        <x:v>0.2609</x:v>
      </x:c>
      <x:c r="E2169" s="1" t="n">
        <x:v>1.05</x:v>
      </x:c>
      <x:c r="F2169" s="1" t="str">
        <x:v>https://api.octopus.energy/v1/products/AGILE-24-10-01/electricity-tariffs/E-1R-AGILE-24-10-01-G/standard-unit-rates/</x:v>
      </x:c>
    </x:row>
    <x:row r="2170" ht="21" customHeight="1">
      <x:c r="A2170" s="24" t="n">
        <x:v>46193.708333333336</x:v>
      </x:c>
      <x:c r="B2170" s="6" t="n">
        <x:v>0.2966</x:v>
      </x:c>
      <x:c r="C2170" s="6" t="n">
        <x:v>0.1659</x:v>
      </x:c>
      <x:c r="D2170" s="6" t="n">
        <x:f>B2170</x:f>
        <x:v>0.2966</x:v>
      </x:c>
      <x:c r="E2170" s="1" t="n">
        <x:v>1.05</x:v>
      </x:c>
      <x:c r="F2170" s="1" t="str">
        <x:v>https://api.octopus.energy/v1/products/AGILE-24-10-01/electricity-tariffs/E-1R-AGILE-24-10-01-G/standard-unit-rates/</x:v>
      </x:c>
    </x:row>
    <x:row r="2171" ht="21" customHeight="1">
      <x:c r="A2171" s="24" t="n">
        <x:v>46193.729166666664</x:v>
      </x:c>
      <x:c r="B2171" s="6" t="n">
        <x:v>0.2924</x:v>
      </x:c>
      <x:c r="C2171" s="6" t="n">
        <x:v>0.16399999999999998</x:v>
      </x:c>
      <x:c r="D2171" s="6" t="n">
        <x:f>B2171</x:f>
        <x:v>0.2924</x:v>
      </x:c>
      <x:c r="E2171" s="1" t="n">
        <x:v>1.05</x:v>
      </x:c>
      <x:c r="F2171" s="1" t="str">
        <x:v>https://api.octopus.energy/v1/products/AGILE-24-10-01/electricity-tariffs/E-1R-AGILE-24-10-01-G/standard-unit-rates/</x:v>
      </x:c>
    </x:row>
    <x:row r="2172" ht="21" customHeight="1">
      <x:c r="A2172" s="24" t="n">
        <x:v>46193.75</x:v>
      </x:c>
      <x:c r="B2172" s="6" t="n">
        <x:v>0.33270000000000005</x:v>
      </x:c>
      <x:c r="C2172" s="6" t="n">
        <x:v>0.18239999999999998</x:v>
      </x:c>
      <x:c r="D2172" s="6" t="n">
        <x:f>B2172</x:f>
        <x:v>0.33270000000000005</x:v>
      </x:c>
      <x:c r="E2172" s="1" t="n">
        <x:v>1.05</x:v>
      </x:c>
      <x:c r="F2172" s="1" t="str">
        <x:v>https://api.octopus.energy/v1/products/AGILE-24-10-01/electricity-tariffs/E-1R-AGILE-24-10-01-G/standard-unit-rates/</x:v>
      </x:c>
    </x:row>
    <x:row r="2173" ht="21" customHeight="1">
      <x:c r="A2173" s="24" t="n">
        <x:v>46193.770833333336</x:v>
      </x:c>
      <x:c r="B2173" s="6" t="n">
        <x:v>0.3479</x:v>
      </x:c>
      <x:c r="C2173" s="6" t="n">
        <x:v>0.1894</x:v>
      </x:c>
      <x:c r="D2173" s="6" t="n">
        <x:f>B2173</x:f>
        <x:v>0.3479</x:v>
      </x:c>
      <x:c r="E2173" s="1" t="n">
        <x:v>1.05</x:v>
      </x:c>
      <x:c r="F2173" s="1" t="str">
        <x:v>https://api.octopus.energy/v1/products/AGILE-24-10-01/electricity-tariffs/E-1R-AGILE-24-10-01-G/standard-unit-rates/</x:v>
      </x:c>
    </x:row>
    <x:row r="2174" ht="21" customHeight="1">
      <x:c r="A2174" s="24" t="n">
        <x:v>46193.791666666664</x:v>
      </x:c>
      <x:c r="B2174" s="6" t="n">
        <x:v>0.2648</x:v>
      </x:c>
      <x:c r="C2174" s="6" t="n">
        <x:v>0.14730000000000001</x:v>
      </x:c>
      <x:c r="D2174" s="6" t="n">
        <x:f>B2174</x:f>
        <x:v>0.2648</x:v>
      </x:c>
      <x:c r="E2174" s="1" t="n">
        <x:v>1.05</x:v>
      </x:c>
      <x:c r="F2174" s="1" t="str">
        <x:v>https://api.octopus.energy/v1/products/AGILE-24-10-01/electricity-tariffs/E-1R-AGILE-24-10-01-G/standard-unit-rates/</x:v>
      </x:c>
    </x:row>
    <x:row r="2175" ht="21" customHeight="1">
      <x:c r="A2175" s="24" t="n">
        <x:v>46193.8125</x:v>
      </x:c>
      <x:c r="B2175" s="6" t="n">
        <x:v>0.2589</x:v>
      </x:c>
      <x:c r="C2175" s="6" t="n">
        <x:v>0.1446</x:v>
      </x:c>
      <x:c r="D2175" s="6" t="n">
        <x:f>B2175</x:f>
        <x:v>0.2589</x:v>
      </x:c>
      <x:c r="E2175" s="1" t="n">
        <x:v>1.05</x:v>
      </x:c>
      <x:c r="F2175" s="1" t="str">
        <x:v>https://api.octopus.energy/v1/products/AGILE-24-10-01/electricity-tariffs/E-1R-AGILE-24-10-01-G/standard-unit-rates/</x:v>
      </x:c>
    </x:row>
    <x:row r="2176" ht="21" customHeight="1">
      <x:c r="A2176" s="24" t="n">
        <x:v>46193.833333333336</x:v>
      </x:c>
      <x:c r="B2176" s="6" t="n">
        <x:v>0.261</x:v>
      </x:c>
      <x:c r="C2176" s="6" t="n">
        <x:v>0.1456</x:v>
      </x:c>
      <x:c r="D2176" s="6" t="n">
        <x:f>B2176</x:f>
        <x:v>0.261</x:v>
      </x:c>
      <x:c r="E2176" s="1" t="n">
        <x:v>1.05</x:v>
      </x:c>
      <x:c r="F2176" s="1" t="str">
        <x:v>https://api.octopus.energy/v1/products/AGILE-24-10-01/electricity-tariffs/E-1R-AGILE-24-10-01-G/standard-unit-rates/</x:v>
      </x:c>
    </x:row>
    <x:row r="2177" ht="21" customHeight="1">
      <x:c r="A2177" s="24" t="n">
        <x:v>46193.854166666664</x:v>
      </x:c>
      <x:c r="B2177" s="6" t="n">
        <x:v>0.2646</x:v>
      </x:c>
      <x:c r="C2177" s="6" t="n">
        <x:v>0.1472</x:v>
      </x:c>
      <x:c r="D2177" s="6" t="n">
        <x:f>B2177</x:f>
        <x:v>0.2646</x:v>
      </x:c>
      <x:c r="E2177" s="1" t="n">
        <x:v>1.05</x:v>
      </x:c>
      <x:c r="F2177" s="1" t="str">
        <x:v>https://api.octopus.energy/v1/products/AGILE-24-10-01/electricity-tariffs/E-1R-AGILE-24-10-01-G/standard-unit-rates/</x:v>
      </x:c>
    </x:row>
    <x:row r="2178" ht="21" customHeight="1">
      <x:c r="A2178" s="24" t="n">
        <x:v>46193.875</x:v>
      </x:c>
      <x:c r="B2178" s="6" t="n">
        <x:v>0.2581</x:v>
      </x:c>
      <x:c r="C2178" s="6" t="n">
        <x:v>0.14429999999999998</x:v>
      </x:c>
      <x:c r="D2178" s="6" t="n">
        <x:f>B2178</x:f>
        <x:v>0.2581</x:v>
      </x:c>
      <x:c r="E2178" s="1" t="n">
        <x:v>1.05</x:v>
      </x:c>
      <x:c r="F2178" s="1" t="str">
        <x:v>https://api.octopus.energy/v1/products/AGILE-24-10-01/electricity-tariffs/E-1R-AGILE-24-10-01-G/standard-unit-rates/</x:v>
      </x:c>
    </x:row>
    <x:row r="2179" ht="21" customHeight="1">
      <x:c r="A2179" s="24" t="n">
        <x:v>46193.895833333336</x:v>
      </x:c>
      <x:c r="B2179" s="6" t="n">
        <x:v>0.2635</x:v>
      </x:c>
      <x:c r="C2179" s="6" t="n">
        <x:v>0.1467</x:v>
      </x:c>
      <x:c r="D2179" s="6" t="n">
        <x:f>B2179</x:f>
        <x:v>0.2635</x:v>
      </x:c>
      <x:c r="E2179" s="1" t="n">
        <x:v>1.05</x:v>
      </x:c>
      <x:c r="F2179" s="1" t="str">
        <x:v>https://api.octopus.energy/v1/products/AGILE-24-10-01/electricity-tariffs/E-1R-AGILE-24-10-01-G/standard-unit-rates/</x:v>
      </x:c>
    </x:row>
    <x:row r="2180" ht="21" customHeight="1">
      <x:c r="A2180" s="24" t="n">
        <x:v>46193.916666666664</x:v>
      </x:c>
      <x:c r="B2180" s="6" t="n">
        <x:v>0.2327</x:v>
      </x:c>
      <x:c r="C2180" s="6" t="n">
        <x:v>0.13269999999999998</x:v>
      </x:c>
      <x:c r="D2180" s="6" t="n">
        <x:f>B2180</x:f>
        <x:v>0.2327</x:v>
      </x:c>
      <x:c r="E2180" s="1" t="n">
        <x:v>1.05</x:v>
      </x:c>
      <x:c r="F2180" s="1" t="str">
        <x:v>https://api.octopus.energy/v1/products/AGILE-24-10-01/electricity-tariffs/E-1R-AGILE-24-10-01-G/standard-unit-rates/</x:v>
      </x:c>
    </x:row>
    <x:row r="2181" ht="21" customHeight="1">
      <x:c r="A2181" s="24" t="n">
        <x:v>46193.9375</x:v>
      </x:c>
      <x:c r="B2181" s="6" t="n">
        <x:v>0.2259</x:v>
      </x:c>
      <x:c r="C2181" s="6" t="n">
        <x:v>0.1295</x:v>
      </x:c>
      <x:c r="D2181" s="6" t="n">
        <x:f>B2181</x:f>
        <x:v>0.2259</x:v>
      </x:c>
      <x:c r="E2181" s="1" t="n">
        <x:v>1.05</x:v>
      </x:c>
      <x:c r="F2181" s="1" t="str">
        <x:v>https://api.octopus.energy/v1/products/AGILE-24-10-01/electricity-tariffs/E-1R-AGILE-24-10-01-G/standard-unit-rates/</x:v>
      </x:c>
    </x:row>
    <x:row r="2182" ht="21" customHeight="1">
      <x:c r="A2182" s="24" t="n">
        <x:v>46194</x:v>
      </x:c>
      <x:c r="B2182" s="6" t="n">
        <x:v>0.22469999999999998</x:v>
      </x:c>
      <x:c r="C2182" s="6" t="n">
        <x:v>0.129</x:v>
      </x:c>
      <x:c r="D2182" s="6" t="n">
        <x:f>B2182</x:f>
        <x:v>0.22469999999999998</x:v>
      </x:c>
      <x:c r="E2182" s="1" t="n">
        <x:v>1.05</x:v>
      </x:c>
      <x:c r="F2182" s="1" t="str">
        <x:v>https://api.octopus.energy/v1/products/AGILE-24-10-01/electricity-tariffs/E-1R-AGILE-24-10-01-G/standard-unit-rates/</x:v>
      </x:c>
    </x:row>
    <x:row r="2183" ht="21" customHeight="1">
      <x:c r="A2183" s="24" t="n">
        <x:v>46193.979166666664</x:v>
      </x:c>
      <x:c r="B2183" s="6" t="n">
        <x:v>0.21780000000000002</x:v>
      </x:c>
      <x:c r="C2183" s="6" t="n">
        <x:v>0.1258</x:v>
      </x:c>
      <x:c r="D2183" s="6" t="n">
        <x:f>B2183</x:f>
        <x:v>0.21780000000000002</x:v>
      </x:c>
      <x:c r="E2183" s="1" t="n">
        <x:v>1.05</x:v>
      </x:c>
      <x:c r="F2183" s="1" t="str">
        <x:v>https://api.octopus.energy/v1/products/AGILE-24-10-01/electricity-tariffs/E-1R-AGILE-24-10-01-G/standard-unit-rates/</x:v>
      </x:c>
    </x:row>
    <x:row r="2184" ht="21" customHeight="1">
      <x:c r="A2184" s="24" t="n">
        <x:v>46194</x:v>
      </x:c>
      <x:c r="B2184" s="6" t="n">
        <x:v>0.2157</x:v>
      </x:c>
      <x:c r="C2184" s="6" t="n">
        <x:v>0.1249</x:v>
      </x:c>
      <x:c r="D2184" s="6" t="n">
        <x:f>B2184</x:f>
        <x:v>0.2157</x:v>
      </x:c>
      <x:c r="E2184" s="1" t="n">
        <x:v>1.05</x:v>
      </x:c>
      <x:c r="F2184" s="1" t="str">
        <x:v>https://api.octopus.energy/v1/products/AGILE-24-10-01/electricity-tariffs/E-1R-AGILE-24-10-01-G/standard-unit-rates/</x:v>
      </x:c>
    </x:row>
    <x:row r="2185" ht="21" customHeight="1">
      <x:c r="A2185" s="24" t="n">
        <x:v>46194.020833333336</x:v>
      </x:c>
      <x:c r="B2185" s="6" t="n">
        <x:v>0.2079</x:v>
      </x:c>
      <x:c r="C2185" s="6" t="n">
        <x:v>0.1213</x:v>
      </x:c>
      <x:c r="D2185" s="6" t="n">
        <x:f>B2185</x:f>
        <x:v>0.2079</x:v>
      </x:c>
      <x:c r="E2185" s="1" t="n">
        <x:v>1.05</x:v>
      </x:c>
      <x:c r="F2185" s="1" t="str">
        <x:v>https://api.octopus.energy/v1/products/AGILE-24-10-01/electricity-tariffs/E-1R-AGILE-24-10-01-G/standard-unit-rates/</x:v>
      </x:c>
    </x:row>
    <x:row r="2186" ht="21" customHeight="1">
      <x:c r="A2186" s="24" t="n">
        <x:v>46194.041666666664</x:v>
      </x:c>
      <x:c r="B2186" s="6" t="n">
        <x:v>0.19949999999999998</x:v>
      </x:c>
      <x:c r="C2186" s="6" t="n">
        <x:v>0.1175</x:v>
      </x:c>
      <x:c r="D2186" s="6" t="n">
        <x:f>B2186</x:f>
        <x:v>0.19949999999999998</x:v>
      </x:c>
      <x:c r="E2186" s="1" t="n">
        <x:v>1.05</x:v>
      </x:c>
      <x:c r="F2186" s="1" t="str">
        <x:v>https://api.octopus.energy/v1/products/AGILE-24-10-01/electricity-tariffs/E-1R-AGILE-24-10-01-G/standard-unit-rates/</x:v>
      </x:c>
    </x:row>
    <x:row r="2187" ht="21" customHeight="1">
      <x:c r="A2187" s="24" t="n">
        <x:v>46194.0625</x:v>
      </x:c>
      <x:c r="B2187" s="6" t="n">
        <x:v>0.19640000000000002</x:v>
      </x:c>
      <x:c r="C2187" s="6" t="n">
        <x:v>0.11599999999999999</x:v>
      </x:c>
      <x:c r="D2187" s="6" t="n">
        <x:f>B2187</x:f>
        <x:v>0.19640000000000002</x:v>
      </x:c>
      <x:c r="E2187" s="1" t="n">
        <x:v>1.05</x:v>
      </x:c>
      <x:c r="F2187" s="1" t="str">
        <x:v>https://api.octopus.energy/v1/products/AGILE-24-10-01/electricity-tariffs/E-1R-AGILE-24-10-01-G/standard-unit-rates/</x:v>
      </x:c>
    </x:row>
    <x:row r="2188" ht="21" customHeight="1">
      <x:c r="A2188" s="24" t="n">
        <x:v>46194.083333333336</x:v>
      </x:c>
      <x:c r="B2188" s="6" t="n">
        <x:v>0.1955</x:v>
      </x:c>
      <x:c r="C2188" s="6" t="n">
        <x:v>0.11560000000000001</x:v>
      </x:c>
      <x:c r="D2188" s="6" t="n">
        <x:f>B2188</x:f>
        <x:v>0.1955</x:v>
      </x:c>
      <x:c r="E2188" s="1" t="n">
        <x:v>1.05</x:v>
      </x:c>
      <x:c r="F2188" s="1" t="str">
        <x:v>https://api.octopus.energy/v1/products/AGILE-24-10-01/electricity-tariffs/E-1R-AGILE-24-10-01-G/standard-unit-rates/</x:v>
      </x:c>
    </x:row>
    <x:row r="2189" ht="21" customHeight="1">
      <x:c r="A2189" s="24" t="n">
        <x:v>46194.104166666664</x:v>
      </x:c>
      <x:c r="B2189" s="6" t="n">
        <x:v>0.185</x:v>
      </x:c>
      <x:c r="C2189" s="6" t="n">
        <x:v>0.1108</x:v>
      </x:c>
      <x:c r="D2189" s="6" t="n">
        <x:f>B2189</x:f>
        <x:v>0.185</x:v>
      </x:c>
      <x:c r="E2189" s="1" t="n">
        <x:v>1.05</x:v>
      </x:c>
      <x:c r="F2189" s="1" t="str">
        <x:v>https://api.octopus.energy/v1/products/AGILE-24-10-01/electricity-tariffs/E-1R-AGILE-24-10-01-G/standard-unit-rates/</x:v>
      </x:c>
    </x:row>
    <x:row r="2190" ht="21" customHeight="1">
      <x:c r="A2190" s="24" t="n">
        <x:v>46194.125</x:v>
      </x:c>
      <x:c r="B2190" s="6" t="n">
        <x:v>0.1766</x:v>
      </x:c>
      <x:c r="C2190" s="6" t="n">
        <x:v>0.107</x:v>
      </x:c>
      <x:c r="D2190" s="6" t="n">
        <x:f>B2190</x:f>
        <x:v>0.1766</x:v>
      </x:c>
      <x:c r="E2190" s="1" t="n">
        <x:v>1.05</x:v>
      </x:c>
      <x:c r="F2190" s="1" t="str">
        <x:v>https://api.octopus.energy/v1/products/AGILE-24-10-01/electricity-tariffs/E-1R-AGILE-24-10-01-G/standard-unit-rates/</x:v>
      </x:c>
    </x:row>
    <x:row r="2191" ht="21" customHeight="1">
      <x:c r="A2191" s="24" t="n">
        <x:v>46194.145833333336</x:v>
      </x:c>
      <x:c r="B2191" s="6" t="n">
        <x:v>0.1825</x:v>
      </x:c>
      <x:c r="C2191" s="6" t="n">
        <x:v>0.1097</x:v>
      </x:c>
      <x:c r="D2191" s="6" t="n">
        <x:f>B2191</x:f>
        <x:v>0.1825</x:v>
      </x:c>
      <x:c r="E2191" s="1" t="n">
        <x:v>1.05</x:v>
      </x:c>
      <x:c r="F2191" s="1" t="str">
        <x:v>https://api.octopus.energy/v1/products/AGILE-24-10-01/electricity-tariffs/E-1R-AGILE-24-10-01-G/standard-unit-rates/</x:v>
      </x:c>
    </x:row>
    <x:row r="2192" ht="21" customHeight="1">
      <x:c r="A2192" s="24" t="n">
        <x:v>46194.166666666664</x:v>
      </x:c>
      <x:c r="B2192" s="6" t="n">
        <x:v>0.17620000000000002</x:v>
      </x:c>
      <x:c r="C2192" s="6" t="n">
        <x:v>0.10679999999999999</x:v>
      </x:c>
      <x:c r="D2192" s="6" t="n">
        <x:f>B2192</x:f>
        <x:v>0.17620000000000002</x:v>
      </x:c>
      <x:c r="E2192" s="1" t="n">
        <x:v>1.05</x:v>
      </x:c>
      <x:c r="F2192" s="1" t="str">
        <x:v>https://api.octopus.energy/v1/products/AGILE-24-10-01/electricity-tariffs/E-1R-AGILE-24-10-01-G/standard-unit-rates/</x:v>
      </x:c>
    </x:row>
    <x:row r="2193" ht="21" customHeight="1">
      <x:c r="A2193" s="24" t="n">
        <x:v>46194.1875</x:v>
      </x:c>
      <x:c r="B2193" s="6" t="n">
        <x:v>0.1787</x:v>
      </x:c>
      <x:c r="C2193" s="6" t="n">
        <x:v>0.10800000000000001</x:v>
      </x:c>
      <x:c r="D2193" s="6" t="n">
        <x:f>B2193</x:f>
        <x:v>0.1787</x:v>
      </x:c>
      <x:c r="E2193" s="1" t="n">
        <x:v>1.05</x:v>
      </x:c>
      <x:c r="F2193" s="1" t="str">
        <x:v>https://api.octopus.energy/v1/products/AGILE-24-10-01/electricity-tariffs/E-1R-AGILE-24-10-01-G/standard-unit-rates/</x:v>
      </x:c>
    </x:row>
    <x:row r="2194" ht="21" customHeight="1">
      <x:c r="A2194" s="24" t="n">
        <x:v>46194.208333333336</x:v>
      </x:c>
      <x:c r="B2194" s="6" t="n">
        <x:v>0.17559999999999998</x:v>
      </x:c>
      <x:c r="C2194" s="6" t="n">
        <x:v>0.1065</x:v>
      </x:c>
      <x:c r="D2194" s="6" t="n">
        <x:f>B2194</x:f>
        <x:v>0.17559999999999998</x:v>
      </x:c>
      <x:c r="E2194" s="1" t="n">
        <x:v>1.05</x:v>
      </x:c>
      <x:c r="F2194" s="1" t="str">
        <x:v>https://api.octopus.energy/v1/products/AGILE-24-10-01/electricity-tariffs/E-1R-AGILE-24-10-01-G/standard-unit-rates/</x:v>
      </x:c>
    </x:row>
    <x:row r="2195" ht="21" customHeight="1">
      <x:c r="A2195" s="24" t="n">
        <x:v>46194.229166666664</x:v>
      </x:c>
      <x:c r="B2195" s="6" t="n">
        <x:v>0.1776</x:v>
      </x:c>
      <x:c r="C2195" s="6" t="n">
        <x:v>0.1075</x:v>
      </x:c>
      <x:c r="D2195" s="6" t="n">
        <x:f>B2195</x:f>
        <x:v>0.1776</x:v>
      </x:c>
      <x:c r="E2195" s="1" t="n">
        <x:v>1.05</x:v>
      </x:c>
      <x:c r="F2195" s="1" t="str">
        <x:v>https://api.octopus.energy/v1/products/AGILE-24-10-01/electricity-tariffs/E-1R-AGILE-24-10-01-G/standard-unit-rates/</x:v>
      </x:c>
    </x:row>
    <x:row r="2196" ht="21" customHeight="1">
      <x:c r="A2196" s="24" t="n">
        <x:v>46194.25</x:v>
      </x:c>
      <x:c r="B2196" s="6" t="n">
        <x:v>0.1745</x:v>
      </x:c>
      <x:c r="C2196" s="6" t="n">
        <x:v>0.1061</x:v>
      </x:c>
      <x:c r="D2196" s="6" t="n">
        <x:f>B2196</x:f>
        <x:v>0.1745</x:v>
      </x:c>
      <x:c r="E2196" s="1" t="n">
        <x:v>1.05</x:v>
      </x:c>
      <x:c r="F2196" s="1" t="str">
        <x:v>https://api.octopus.energy/v1/products/AGILE-24-10-01/electricity-tariffs/E-1R-AGILE-24-10-01-G/standard-unit-rates/</x:v>
      </x:c>
    </x:row>
    <x:row r="2197" ht="21" customHeight="1">
      <x:c r="A2197" s="24" t="n">
        <x:v>46194.270833333336</x:v>
      </x:c>
      <x:c r="B2197" s="6" t="n">
        <x:v>0.1745</x:v>
      </x:c>
      <x:c r="C2197" s="6" t="n">
        <x:v>0.106</x:v>
      </x:c>
      <x:c r="D2197" s="6" t="n">
        <x:f>B2197</x:f>
        <x:v>0.1745</x:v>
      </x:c>
      <x:c r="E2197" s="1" t="n">
        <x:v>1.05</x:v>
      </x:c>
      <x:c r="F2197" s="1" t="str">
        <x:v>https://api.octopus.energy/v1/products/AGILE-24-10-01/electricity-tariffs/E-1R-AGILE-24-10-01-G/standard-unit-rates/</x:v>
      </x:c>
    </x:row>
    <x:row r="2198" ht="21" customHeight="1">
      <x:c r="A2198" s="24" t="n">
        <x:v>46194.291666666664</x:v>
      </x:c>
      <x:c r="B2198" s="6" t="n">
        <x:v>0.15960000000000002</x:v>
      </x:c>
      <x:c r="C2198" s="6" t="n">
        <x:v>0.0992</x:v>
      </x:c>
      <x:c r="D2198" s="6" t="n">
        <x:f>B2198</x:f>
        <x:v>0.15960000000000002</x:v>
      </x:c>
      <x:c r="E2198" s="1" t="n">
        <x:v>1.05</x:v>
      </x:c>
      <x:c r="F2198" s="1" t="str">
        <x:v>https://api.octopus.energy/v1/products/AGILE-24-10-01/electricity-tariffs/E-1R-AGILE-24-10-01-G/standard-unit-rates/</x:v>
      </x:c>
    </x:row>
    <x:row r="2199" ht="21" customHeight="1">
      <x:c r="A2199" s="24" t="n">
        <x:v>46194.3125</x:v>
      </x:c>
      <x:c r="B2199" s="6" t="n">
        <x:v>0.1653</x:v>
      </x:c>
      <x:c r="C2199" s="6" t="n">
        <x:v>0.1018</x:v>
      </x:c>
      <x:c r="D2199" s="6" t="n">
        <x:f>B2199</x:f>
        <x:v>0.1653</x:v>
      </x:c>
      <x:c r="E2199" s="1" t="n">
        <x:v>1.05</x:v>
      </x:c>
      <x:c r="F2199" s="1" t="str">
        <x:v>https://api.octopus.energy/v1/products/AGILE-24-10-01/electricity-tariffs/E-1R-AGILE-24-10-01-G/standard-unit-rates/</x:v>
      </x:c>
    </x:row>
    <x:row r="2200" ht="21" customHeight="1">
      <x:c r="A2200" s="24" t="n">
        <x:v>46194.333333333336</x:v>
      </x:c>
      <x:c r="B2200" s="6" t="n">
        <x:v>0.15539999999999998</x:v>
      </x:c>
      <x:c r="C2200" s="6" t="n">
        <x:v>0.0973</x:v>
      </x:c>
      <x:c r="D2200" s="6" t="n">
        <x:f>B2200</x:f>
        <x:v>0.15539999999999998</x:v>
      </x:c>
      <x:c r="E2200" s="1" t="n">
        <x:v>1.05</x:v>
      </x:c>
      <x:c r="F2200" s="1" t="str">
        <x:v>https://api.octopus.energy/v1/products/AGILE-24-10-01/electricity-tariffs/E-1R-AGILE-24-10-01-G/standard-unit-rates/</x:v>
      </x:c>
    </x:row>
    <x:row r="2201" ht="21" customHeight="1">
      <x:c r="A2201" s="24" t="n">
        <x:v>46194.354166666664</x:v>
      </x:c>
      <x:c r="B2201" s="6" t="n">
        <x:v>0.1612</x:v>
      </x:c>
      <x:c r="C2201" s="6" t="n">
        <x:v>0.1</x:v>
      </x:c>
      <x:c r="D2201" s="6" t="n">
        <x:f>B2201</x:f>
        <x:v>0.1612</x:v>
      </x:c>
      <x:c r="E2201" s="1" t="n">
        <x:v>1.05</x:v>
      </x:c>
      <x:c r="F2201" s="1" t="str">
        <x:v>https://api.octopus.energy/v1/products/AGILE-24-10-01/electricity-tariffs/E-1R-AGILE-24-10-01-G/standard-unit-rates/</x:v>
      </x:c>
    </x:row>
    <x:row r="2202" ht="21" customHeight="1">
      <x:c r="A2202" s="24" t="n">
        <x:v>46194.375</x:v>
      </x:c>
      <x:c r="B2202" s="6" t="n">
        <x:v>0.1598</x:v>
      </x:c>
      <x:c r="C2202" s="6" t="n">
        <x:v>0.0993</x:v>
      </x:c>
      <x:c r="D2202" s="6" t="n">
        <x:f>B2202</x:f>
        <x:v>0.1598</x:v>
      </x:c>
      <x:c r="E2202" s="1" t="n">
        <x:v>1.05</x:v>
      </x:c>
      <x:c r="F2202" s="1" t="str">
        <x:v>https://api.octopus.energy/v1/products/AGILE-24-10-01/electricity-tariffs/E-1R-AGILE-24-10-01-G/standard-unit-rates/</x:v>
      </x:c>
    </x:row>
    <x:row r="2203" ht="21" customHeight="1">
      <x:c r="A2203" s="24" t="n">
        <x:v>46194.395833333336</x:v>
      </x:c>
      <x:c r="B2203" s="6" t="n">
        <x:v>0.16469999999999999</x:v>
      </x:c>
      <x:c r="C2203" s="6" t="n">
        <x:v>0.1015</x:v>
      </x:c>
      <x:c r="D2203" s="6" t="n">
        <x:f>B2203</x:f>
        <x:v>0.16469999999999999</x:v>
      </x:c>
      <x:c r="E2203" s="1" t="n">
        <x:v>1.05</x:v>
      </x:c>
      <x:c r="F2203" s="1" t="str">
        <x:v>https://api.octopus.energy/v1/products/AGILE-24-10-01/electricity-tariffs/E-1R-AGILE-24-10-01-G/standard-unit-rates/</x:v>
      </x:c>
    </x:row>
    <x:row r="2204" ht="21" customHeight="1">
      <x:c r="A2204" s="24" t="n">
        <x:v>46194.416666666664</x:v>
      </x:c>
      <x:c r="B2204" s="6" t="n">
        <x:v>0.1641</x:v>
      </x:c>
      <x:c r="C2204" s="6" t="n">
        <x:v>0.1013</x:v>
      </x:c>
      <x:c r="D2204" s="6" t="n">
        <x:f>B2204</x:f>
        <x:v>0.1641</x:v>
      </x:c>
      <x:c r="E2204" s="1" t="n">
        <x:v>1.05</x:v>
      </x:c>
      <x:c r="F2204" s="1" t="str">
        <x:v>https://api.octopus.energy/v1/products/AGILE-24-10-01/electricity-tariffs/E-1R-AGILE-24-10-01-G/standard-unit-rates/</x:v>
      </x:c>
    </x:row>
    <x:row r="2205" ht="21" customHeight="1">
      <x:c r="A2205" s="24" t="n">
        <x:v>46194.4375</x:v>
      </x:c>
      <x:c r="B2205" s="6" t="n">
        <x:v>0.1613</x:v>
      </x:c>
      <x:c r="C2205" s="6" t="n">
        <x:v>0.1</x:v>
      </x:c>
      <x:c r="D2205" s="6" t="n">
        <x:f>B2205</x:f>
        <x:v>0.1613</x:v>
      </x:c>
      <x:c r="E2205" s="1" t="n">
        <x:v>1.05</x:v>
      </x:c>
      <x:c r="F2205" s="1" t="str">
        <x:v>https://api.octopus.energy/v1/products/AGILE-24-10-01/electricity-tariffs/E-1R-AGILE-24-10-01-G/standard-unit-rates/</x:v>
      </x:c>
    </x:row>
    <x:row r="2206" ht="21" customHeight="1">
      <x:c r="A2206" s="24" t="n">
        <x:v>46194.458333333336</x:v>
      </x:c>
      <x:c r="B2206" s="6" t="n">
        <x:v>0.16699999999999998</x:v>
      </x:c>
      <x:c r="C2206" s="6" t="n">
        <x:v>0.1026</x:v>
      </x:c>
      <x:c r="D2206" s="6" t="n">
        <x:f>B2206</x:f>
        <x:v>0.16699999999999998</x:v>
      </x:c>
      <x:c r="E2206" s="1" t="n">
        <x:v>1.05</x:v>
      </x:c>
      <x:c r="F2206" s="1" t="str">
        <x:v>https://api.octopus.energy/v1/products/AGILE-24-10-01/electricity-tariffs/E-1R-AGILE-24-10-01-G/standard-unit-rates/</x:v>
      </x:c>
    </x:row>
    <x:row r="2207" ht="21" customHeight="1">
      <x:c r="A2207" s="24" t="n">
        <x:v>46194.479166666664</x:v>
      </x:c>
      <x:c r="B2207" s="6" t="n">
        <x:v>0.16390000000000002</x:v>
      </x:c>
      <x:c r="C2207" s="6" t="n">
        <x:v>0.1012</x:v>
      </x:c>
      <x:c r="D2207" s="6" t="n">
        <x:f>B2207</x:f>
        <x:v>0.16390000000000002</x:v>
      </x:c>
      <x:c r="E2207" s="1" t="n">
        <x:v>1.05</x:v>
      </x:c>
      <x:c r="F2207" s="1" t="str">
        <x:v>https://api.octopus.energy/v1/products/AGILE-24-10-01/electricity-tariffs/E-1R-AGILE-24-10-01-G/standard-unit-rates/</x:v>
      </x:c>
    </x:row>
    <x:row r="2208" ht="21" customHeight="1">
      <x:c r="A2208" s="24" t="n">
        <x:v>46194.5</x:v>
      </x:c>
      <x:c r="B2208" s="6" t="n">
        <x:v>0.16269999999999998</x:v>
      </x:c>
      <x:c r="C2208" s="6" t="n">
        <x:v>0.1007</x:v>
      </x:c>
      <x:c r="D2208" s="6" t="n">
        <x:f>B2208</x:f>
        <x:v>0.16269999999999998</x:v>
      </x:c>
      <x:c r="E2208" s="1" t="n">
        <x:v>1.05</x:v>
      </x:c>
      <x:c r="F2208" s="1" t="str">
        <x:v>https://api.octopus.energy/v1/products/AGILE-24-10-01/electricity-tariffs/E-1R-AGILE-24-10-01-G/standard-unit-rates/</x:v>
      </x:c>
    </x:row>
    <x:row r="2209" ht="21" customHeight="1">
      <x:c r="A2209" s="24" t="n">
        <x:v>46194.520833333336</x:v>
      </x:c>
      <x:c r="B2209" s="6" t="n">
        <x:v>0.1598</x:v>
      </x:c>
      <x:c r="C2209" s="6" t="n">
        <x:v>0.0993</x:v>
      </x:c>
      <x:c r="D2209" s="6" t="n">
        <x:f>B2209</x:f>
        <x:v>0.1598</x:v>
      </x:c>
      <x:c r="E2209" s="1" t="n">
        <x:v>1.05</x:v>
      </x:c>
      <x:c r="F2209" s="1" t="str">
        <x:v>https://api.octopus.energy/v1/products/AGILE-24-10-01/electricity-tariffs/E-1R-AGILE-24-10-01-G/standard-unit-rates/</x:v>
      </x:c>
    </x:row>
    <x:row r="2210" ht="21" customHeight="1">
      <x:c r="A2210" s="24" t="n">
        <x:v>46194.541666666664</x:v>
      </x:c>
      <x:c r="B2210" s="6" t="n">
        <x:v>0.16399999999999998</x:v>
      </x:c>
      <x:c r="C2210" s="6" t="n">
        <x:v>0.1012</x:v>
      </x:c>
      <x:c r="D2210" s="6" t="n">
        <x:f>B2210</x:f>
        <x:v>0.16399999999999998</x:v>
      </x:c>
      <x:c r="E2210" s="1" t="n">
        <x:v>1.05</x:v>
      </x:c>
      <x:c r="F2210" s="1" t="str">
        <x:v>https://api.octopus.energy/v1/products/AGILE-24-10-01/electricity-tariffs/E-1R-AGILE-24-10-01-G/standard-unit-rates/</x:v>
      </x:c>
    </x:row>
    <x:row r="2211" ht="21" customHeight="1">
      <x:c r="A2211" s="24" t="n">
        <x:v>46194.5625</x:v>
      </x:c>
      <x:c r="B2211" s="6" t="n">
        <x:v>0.163</x:v>
      </x:c>
      <x:c r="C2211" s="6" t="n">
        <x:v>0.1008</x:v>
      </x:c>
      <x:c r="D2211" s="6" t="n">
        <x:f>B2211</x:f>
        <x:v>0.163</x:v>
      </x:c>
      <x:c r="E2211" s="1" t="n">
        <x:v>1.05</x:v>
      </x:c>
      <x:c r="F2211" s="1" t="str">
        <x:v>https://api.octopus.energy/v1/products/AGILE-24-10-01/electricity-tariffs/E-1R-AGILE-24-10-01-G/standard-unit-rates/</x:v>
      </x:c>
    </x:row>
    <x:row r="2212" ht="21" customHeight="1">
      <x:c r="A2212" s="24" t="n">
        <x:v>46194.583333333336</x:v>
      </x:c>
      <x:c r="B2212" s="6" t="n">
        <x:v>0.1663</x:v>
      </x:c>
      <x:c r="C2212" s="6" t="n">
        <x:v>0.1023</x:v>
      </x:c>
      <x:c r="D2212" s="6" t="n">
        <x:f>B2212</x:f>
        <x:v>0.1663</x:v>
      </x:c>
      <x:c r="E2212" s="1" t="n">
        <x:v>1.05</x:v>
      </x:c>
      <x:c r="F2212" s="1" t="str">
        <x:v>https://api.octopus.energy/v1/products/AGILE-24-10-01/electricity-tariffs/E-1R-AGILE-24-10-01-G/standard-unit-rates/</x:v>
      </x:c>
    </x:row>
    <x:row r="2213" ht="21" customHeight="1">
      <x:c r="A2213" s="24" t="n">
        <x:v>46194.604166666664</x:v>
      </x:c>
      <x:c r="B2213" s="6" t="n">
        <x:v>0.16820000000000002</x:v>
      </x:c>
      <x:c r="C2213" s="6" t="n">
        <x:v>0.1032</x:v>
      </x:c>
      <x:c r="D2213" s="6" t="n">
        <x:f>B2213</x:f>
        <x:v>0.16820000000000002</x:v>
      </x:c>
      <x:c r="E2213" s="1" t="n">
        <x:v>1.05</x:v>
      </x:c>
      <x:c r="F2213" s="1" t="str">
        <x:v>https://api.octopus.energy/v1/products/AGILE-24-10-01/electricity-tariffs/E-1R-AGILE-24-10-01-G/standard-unit-rates/</x:v>
      </x:c>
    </x:row>
    <x:row r="2214" ht="21" customHeight="1">
      <x:c r="A2214" s="24" t="n">
        <x:v>46194.625</x:v>
      </x:c>
      <x:c r="B2214" s="6" t="n">
        <x:v>0.1588</x:v>
      </x:c>
      <x:c r="C2214" s="6" t="n">
        <x:v>0.0989</x:v>
      </x:c>
      <x:c r="D2214" s="6" t="n">
        <x:f>B2214</x:f>
        <x:v>0.1588</x:v>
      </x:c>
      <x:c r="E2214" s="1" t="n">
        <x:v>1.05</x:v>
      </x:c>
      <x:c r="F2214" s="1" t="str">
        <x:v>https://api.octopus.energy/v1/products/AGILE-24-10-01/electricity-tariffs/E-1R-AGILE-24-10-01-G/standard-unit-rates/</x:v>
      </x:c>
    </x:row>
    <x:row r="2215" ht="21" customHeight="1">
      <x:c r="A2215" s="24" t="n">
        <x:v>46194.645833333336</x:v>
      </x:c>
      <x:c r="B2215" s="6" t="n">
        <x:v>0.15560000000000002</x:v>
      </x:c>
      <x:c r="C2215" s="6" t="n">
        <x:v>0.0974</x:v>
      </x:c>
      <x:c r="D2215" s="6" t="n">
        <x:f>B2215</x:f>
        <x:v>0.15560000000000002</x:v>
      </x:c>
      <x:c r="E2215" s="1" t="n">
        <x:v>1.05</x:v>
      </x:c>
      <x:c r="F2215" s="1" t="str">
        <x:v>https://api.octopus.energy/v1/products/AGILE-24-10-01/electricity-tariffs/E-1R-AGILE-24-10-01-G/standard-unit-rates/</x:v>
      </x:c>
    </x:row>
    <x:row r="2216" ht="21" customHeight="1">
      <x:c r="A2216" s="24" t="n">
        <x:v>46194.666666666664</x:v>
      </x:c>
      <x:c r="B2216" s="6" t="n">
        <x:v>0.284</x:v>
      </x:c>
      <x:c r="C2216" s="6" t="n">
        <x:v>0.16010000000000002</x:v>
      </x:c>
      <x:c r="D2216" s="6" t="n">
        <x:f>B2216</x:f>
        <x:v>0.284</x:v>
      </x:c>
      <x:c r="E2216" s="1" t="n">
        <x:v>1.05</x:v>
      </x:c>
      <x:c r="F2216" s="1" t="str">
        <x:v>https://api.octopus.energy/v1/products/AGILE-24-10-01/electricity-tariffs/E-1R-AGILE-24-10-01-G/standard-unit-rates/</x:v>
      </x:c>
    </x:row>
    <x:row r="2217" ht="21" customHeight="1">
      <x:c r="A2217" s="24" t="n">
        <x:v>46194.6875</x:v>
      </x:c>
      <x:c r="B2217" s="6" t="n">
        <x:v>0.289</x:v>
      </x:c>
      <x:c r="C2217" s="6" t="n">
        <x:v>0.1624</x:v>
      </x:c>
      <x:c r="D2217" s="6" t="n">
        <x:f>B2217</x:f>
        <x:v>0.289</x:v>
      </x:c>
      <x:c r="E2217" s="1" t="n">
        <x:v>1.05</x:v>
      </x:c>
      <x:c r="F2217" s="1" t="str">
        <x:v>https://api.octopus.energy/v1/products/AGILE-24-10-01/electricity-tariffs/E-1R-AGILE-24-10-01-G/standard-unit-rates/</x:v>
      </x:c>
    </x:row>
    <x:row r="2218" ht="21" customHeight="1">
      <x:c r="A2218" s="24" t="n">
        <x:v>46194.708333333336</x:v>
      </x:c>
      <x:c r="B2218" s="6" t="n">
        <x:v>0.2942</x:v>
      </x:c>
      <x:c r="C2218" s="6" t="n">
        <x:v>0.1648</x:v>
      </x:c>
      <x:c r="D2218" s="6" t="n">
        <x:f>B2218</x:f>
        <x:v>0.2942</x:v>
      </x:c>
      <x:c r="E2218" s="1" t="n">
        <x:v>1.05</x:v>
      </x:c>
      <x:c r="F2218" s="1" t="str">
        <x:v>https://api.octopus.energy/v1/products/AGILE-24-10-01/electricity-tariffs/E-1R-AGILE-24-10-01-G/standard-unit-rates/</x:v>
      </x:c>
    </x:row>
    <x:row r="2219" ht="21" customHeight="1">
      <x:c r="A2219" s="24" t="n">
        <x:v>46194.729166666664</x:v>
      </x:c>
      <x:c r="B2219" s="6" t="n">
        <x:v>0.2966</x:v>
      </x:c>
      <x:c r="C2219" s="6" t="n">
        <x:v>0.1659</x:v>
      </x:c>
      <x:c r="D2219" s="6" t="n">
        <x:f>B2219</x:f>
        <x:v>0.2966</x:v>
      </x:c>
      <x:c r="E2219" s="1" t="n">
        <x:v>1.05</x:v>
      </x:c>
      <x:c r="F2219" s="1" t="str">
        <x:v>https://api.octopus.energy/v1/products/AGILE-24-10-01/electricity-tariffs/E-1R-AGILE-24-10-01-G/standard-unit-rates/</x:v>
      </x:c>
    </x:row>
    <x:row r="2220" ht="21" customHeight="1">
      <x:c r="A2220" s="24" t="n">
        <x:v>46194.75</x:v>
      </x:c>
      <x:c r="B2220" s="6" t="n">
        <x:v>0.3178</x:v>
      </x:c>
      <x:c r="C2220" s="6" t="n">
        <x:v>0.17559999999999998</x:v>
      </x:c>
      <x:c r="D2220" s="6" t="n">
        <x:f>B2220</x:f>
        <x:v>0.3178</x:v>
      </x:c>
      <x:c r="E2220" s="1" t="n">
        <x:v>1.05</x:v>
      </x:c>
      <x:c r="F2220" s="1" t="str">
        <x:v>https://api.octopus.energy/v1/products/AGILE-24-10-01/electricity-tariffs/E-1R-AGILE-24-10-01-G/standard-unit-rates/</x:v>
      </x:c>
    </x:row>
    <x:row r="2221" ht="21" customHeight="1">
      <x:c r="A2221" s="24" t="n">
        <x:v>46194.770833333336</x:v>
      </x:c>
      <x:c r="B2221" s="6" t="n">
        <x:v>0.33899999999999997</x:v>
      </x:c>
      <x:c r="C2221" s="6" t="n">
        <x:v>0.18530000000000002</x:v>
      </x:c>
      <x:c r="D2221" s="6" t="n">
        <x:f>B2221</x:f>
        <x:v>0.33899999999999997</x:v>
      </x:c>
      <x:c r="E2221" s="1" t="n">
        <x:v>1.05</x:v>
      </x:c>
      <x:c r="F2221" s="1" t="str">
        <x:v>https://api.octopus.energy/v1/products/AGILE-24-10-01/electricity-tariffs/E-1R-AGILE-24-10-01-G/standard-unit-rates/</x:v>
      </x:c>
    </x:row>
    <x:row r="2222" ht="21" customHeight="1">
      <x:c r="A2222" s="24" t="n">
        <x:v>46194.791666666664</x:v>
      </x:c>
      <x:c r="B2222" s="6" t="n">
        <x:v>0.23579999999999998</x:v>
      </x:c>
      <x:c r="C2222" s="6" t="n">
        <x:v>0.1341</x:v>
      </x:c>
      <x:c r="D2222" s="6" t="n">
        <x:f>B2222</x:f>
        <x:v>0.23579999999999998</x:v>
      </x:c>
      <x:c r="E2222" s="1" t="n">
        <x:v>1.05</x:v>
      </x:c>
      <x:c r="F2222" s="1" t="str">
        <x:v>https://api.octopus.energy/v1/products/AGILE-24-10-01/electricity-tariffs/E-1R-AGILE-24-10-01-G/standard-unit-rates/</x:v>
      </x:c>
    </x:row>
    <x:row r="2223" ht="21" customHeight="1">
      <x:c r="A2223" s="24" t="n">
        <x:v>46194.8125</x:v>
      </x:c>
      <x:c r="B2223" s="6" t="n">
        <x:v>0.2375</x:v>
      </x:c>
      <x:c r="C2223" s="6" t="n">
        <x:v>0.1348</x:v>
      </x:c>
      <x:c r="D2223" s="6" t="n">
        <x:f>B2223</x:f>
        <x:v>0.2375</x:v>
      </x:c>
      <x:c r="E2223" s="1" t="n">
        <x:v>1.05</x:v>
      </x:c>
      <x:c r="F2223" s="1" t="str">
        <x:v>https://api.octopus.energy/v1/products/AGILE-24-10-01/electricity-tariffs/E-1R-AGILE-24-10-01-G/standard-unit-rates/</x:v>
      </x:c>
    </x:row>
    <x:row r="2224" ht="21" customHeight="1">
      <x:c r="A2224" s="24" t="n">
        <x:v>46194.833333333336</x:v>
      </x:c>
      <x:c r="B2224" s="6" t="n">
        <x:v>0.2341</x:v>
      </x:c>
      <x:c r="C2224" s="6" t="n">
        <x:v>0.1333</x:v>
      </x:c>
      <x:c r="D2224" s="6" t="n">
        <x:f>B2224</x:f>
        <x:v>0.2341</x:v>
      </x:c>
      <x:c r="E2224" s="1" t="n">
        <x:v>1.05</x:v>
      </x:c>
      <x:c r="F2224" s="1" t="str">
        <x:v>https://api.octopus.energy/v1/products/AGILE-24-10-01/electricity-tariffs/E-1R-AGILE-24-10-01-G/standard-unit-rates/</x:v>
      </x:c>
    </x:row>
    <x:row r="2225" ht="21" customHeight="1">
      <x:c r="A2225" s="24" t="n">
        <x:v>46194.854166666664</x:v>
      </x:c>
      <x:c r="B2225" s="6" t="n">
        <x:v>0.2375</x:v>
      </x:c>
      <x:c r="C2225" s="6" t="n">
        <x:v>0.1348</x:v>
      </x:c>
      <x:c r="D2225" s="6" t="n">
        <x:f>B2225</x:f>
        <x:v>0.2375</x:v>
      </x:c>
      <x:c r="E2225" s="1" t="n">
        <x:v>1.05</x:v>
      </x:c>
      <x:c r="F2225" s="1" t="str">
        <x:v>https://api.octopus.energy/v1/products/AGILE-24-10-01/electricity-tariffs/E-1R-AGILE-24-10-01-G/standard-unit-rates/</x:v>
      </x:c>
    </x:row>
    <x:row r="2226" ht="21" customHeight="1">
      <x:c r="A2226" s="24" t="n">
        <x:v>46194.875</x:v>
      </x:c>
      <x:c r="B2226" s="6" t="n">
        <x:v>0.23370000000000002</x:v>
      </x:c>
      <x:c r="C2226" s="6" t="n">
        <x:v>0.1331</x:v>
      </x:c>
      <x:c r="D2226" s="6" t="n">
        <x:f>B2226</x:f>
        <x:v>0.23370000000000002</x:v>
      </x:c>
      <x:c r="E2226" s="1" t="n">
        <x:v>1.05</x:v>
      </x:c>
      <x:c r="F2226" s="1" t="str">
        <x:v>https://api.octopus.energy/v1/products/AGILE-24-10-01/electricity-tariffs/E-1R-AGILE-24-10-01-G/standard-unit-rates/</x:v>
      </x:c>
    </x:row>
    <x:row r="2227" ht="21" customHeight="1">
      <x:c r="A2227" s="24" t="n">
        <x:v>46194.895833333336</x:v>
      </x:c>
      <x:c r="B2227" s="6" t="n">
        <x:v>0.23370000000000002</x:v>
      </x:c>
      <x:c r="C2227" s="6" t="n">
        <x:v>0.1331</x:v>
      </x:c>
      <x:c r="D2227" s="6" t="n">
        <x:f>B2227</x:f>
        <x:v>0.23370000000000002</x:v>
      </x:c>
      <x:c r="E2227" s="1" t="n">
        <x:v>1.05</x:v>
      </x:c>
      <x:c r="F2227" s="1" t="str">
        <x:v>https://api.octopus.energy/v1/products/AGILE-24-10-01/electricity-tariffs/E-1R-AGILE-24-10-01-G/standard-unit-rates/</x:v>
      </x:c>
    </x:row>
    <x:row r="2228" ht="21" customHeight="1">
      <x:c r="A2228" s="24" t="n">
        <x:v>46194.916666666664</x:v>
      </x:c>
      <x:c r="B2228" s="6" t="n">
        <x:v>0.2184</x:v>
      </x:c>
      <x:c r="C2228" s="6" t="n">
        <x:v>0.1261</x:v>
      </x:c>
      <x:c r="D2228" s="6" t="n">
        <x:f>B2228</x:f>
        <x:v>0.2184</x:v>
      </x:c>
      <x:c r="E2228" s="1" t="n">
        <x:v>1.05</x:v>
      </x:c>
      <x:c r="F2228" s="1" t="str">
        <x:v>https://api.octopus.energy/v1/products/AGILE-24-10-01/electricity-tariffs/E-1R-AGILE-24-10-01-G/standard-unit-rates/</x:v>
      </x:c>
    </x:row>
    <x:row r="2229" ht="21" customHeight="1">
      <x:c r="A2229" s="24" t="n">
        <x:v>46194.9375</x:v>
      </x:c>
      <x:c r="B2229" s="6" t="n">
        <x:v>0.2184</x:v>
      </x:c>
      <x:c r="C2229" s="6" t="n">
        <x:v>0.1261</x:v>
      </x:c>
      <x:c r="D2229" s="6" t="n">
        <x:f>B2229</x:f>
        <x:v>0.2184</x:v>
      </x:c>
      <x:c r="E2229" s="1" t="n">
        <x:v>1.05</x:v>
      </x:c>
      <x:c r="F2229" s="1" t="str">
        <x:v>https://api.octopus.energy/v1/products/AGILE-24-10-01/electricity-tariffs/E-1R-AGILE-24-10-01-G/standard-unit-rates/</x:v>
      </x:c>
    </x:row>
    <x:row r="2230" ht="21" customHeight="1">
      <x:c r="A2230" s="24" t="n">
        <x:v>46195</x:v>
      </x:c>
      <x:c r="B2230" s="6" t="n">
        <x:v>0.19510000000000002</x:v>
      </x:c>
      <x:c r="C2230" s="6" t="n">
        <x:v>0.1155</x:v>
      </x:c>
      <x:c r="D2230" s="6" t="n">
        <x:f>B2230</x:f>
        <x:v>0.19510000000000002</x:v>
      </x:c>
      <x:c r="E2230" s="1" t="n">
        <x:v>1.05</x:v>
      </x:c>
      <x:c r="F2230" s="1" t="str">
        <x:v>https://api.octopus.energy/v1/products/AGILE-24-10-01/electricity-tariffs/E-1R-AGILE-24-10-01-G/standard-unit-rates/</x:v>
      </x:c>
    </x:row>
    <x:row r="2231" ht="21" customHeight="1">
      <x:c r="A2231" s="24" t="n">
        <x:v>46194.979166666664</x:v>
      </x:c>
      <x:c r="B2231" s="6" t="n">
        <x:v>0.1924</x:v>
      </x:c>
      <x:c r="C2231" s="6" t="n">
        <x:v>0.1142</x:v>
      </x:c>
      <x:c r="D2231" s="6" t="n">
        <x:f>B2231</x:f>
        <x:v>0.1924</x:v>
      </x:c>
      <x:c r="E2231" s="1" t="n">
        <x:v>1.05</x:v>
      </x:c>
      <x:c r="F2231" s="1" t="str">
        <x:v>https://api.octopus.energy/v1/products/AGILE-24-10-01/electricity-tariffs/E-1R-AGILE-24-10-01-G/standard-unit-rates/</x:v>
      </x:c>
    </x:row>
    <x:row r="2232" ht="21" customHeight="1">
      <x:c r="A2232" s="24" t="n">
        <x:v>46195</x:v>
      </x:c>
      <x:c r="B2232" s="6" t="n">
        <x:v>0.18600000000000003</x:v>
      </x:c>
      <x:c r="C2232" s="6" t="n">
        <x:v>0.11130000000000001</x:v>
      </x:c>
      <x:c r="D2232" s="6" t="n">
        <x:f>B2232</x:f>
        <x:v>0.18600000000000003</x:v>
      </x:c>
      <x:c r="E2232" s="1" t="n">
        <x:v>1.05</x:v>
      </x:c>
      <x:c r="F2232" s="1" t="str">
        <x:v>https://api.octopus.energy/v1/products/AGILE-24-10-01/electricity-tariffs/E-1R-AGILE-24-10-01-G/standard-unit-rates/</x:v>
      </x:c>
    </x:row>
    <x:row r="2233" ht="21" customHeight="1">
      <x:c r="A2233" s="24" t="n">
        <x:v>46195.020833333336</x:v>
      </x:c>
      <x:c r="B2233" s="6" t="n">
        <x:v>0.1815</x:v>
      </x:c>
      <x:c r="C2233" s="6" t="n">
        <x:v>0.1092</x:v>
      </x:c>
      <x:c r="D2233" s="6" t="n">
        <x:f>B2233</x:f>
        <x:v>0.1815</x:v>
      </x:c>
      <x:c r="E2233" s="1" t="n">
        <x:v>1.05</x:v>
      </x:c>
      <x:c r="F2233" s="1" t="str">
        <x:v>https://api.octopus.energy/v1/products/AGILE-24-10-01/electricity-tariffs/E-1R-AGILE-24-10-01-G/standard-unit-rates/</x:v>
      </x:c>
    </x:row>
    <x:row r="2234" ht="21" customHeight="1">
      <x:c r="A2234" s="24" t="n">
        <x:v>46195.041666666664</x:v>
      </x:c>
      <x:c r="B2234" s="6" t="n">
        <x:v>0.1722</x:v>
      </x:c>
      <x:c r="C2234" s="6" t="n">
        <x:v>0.105</x:v>
      </x:c>
      <x:c r="D2234" s="6" t="n">
        <x:f>B2234</x:f>
        <x:v>0.1722</x:v>
      </x:c>
      <x:c r="E2234" s="1" t="n">
        <x:v>1.05</x:v>
      </x:c>
      <x:c r="F2234" s="1" t="str">
        <x:v>https://api.octopus.energy/v1/products/AGILE-24-10-01/electricity-tariffs/E-1R-AGILE-24-10-01-G/standard-unit-rates/</x:v>
      </x:c>
    </x:row>
    <x:row r="2235" ht="21" customHeight="1">
      <x:c r="A2235" s="24" t="n">
        <x:v>46195.0625</x:v>
      </x:c>
      <x:c r="B2235" s="6" t="n">
        <x:v>0.172</x:v>
      </x:c>
      <x:c r="C2235" s="6" t="n">
        <x:v>0.10490000000000001</x:v>
      </x:c>
      <x:c r="D2235" s="6" t="n">
        <x:f>B2235</x:f>
        <x:v>0.172</x:v>
      </x:c>
      <x:c r="E2235" s="1" t="n">
        <x:v>1.05</x:v>
      </x:c>
      <x:c r="F2235" s="1" t="str">
        <x:v>https://api.octopus.energy/v1/products/AGILE-24-10-01/electricity-tariffs/E-1R-AGILE-24-10-01-G/standard-unit-rates/</x:v>
      </x:c>
    </x:row>
    <x:row r="2236" ht="21" customHeight="1">
      <x:c r="A2236" s="24" t="n">
        <x:v>46195.083333333336</x:v>
      </x:c>
      <x:c r="B2236" s="6" t="n">
        <x:v>0.1779</x:v>
      </x:c>
      <x:c r="C2236" s="6" t="n">
        <x:v>0.1076</x:v>
      </x:c>
      <x:c r="D2236" s="6" t="n">
        <x:f>B2236</x:f>
        <x:v>0.1779</x:v>
      </x:c>
      <x:c r="E2236" s="1" t="n">
        <x:v>1.05</x:v>
      </x:c>
      <x:c r="F2236" s="1" t="str">
        <x:v>https://api.octopus.energy/v1/products/AGILE-24-10-01/electricity-tariffs/E-1R-AGILE-24-10-01-G/standard-unit-rates/</x:v>
      </x:c>
    </x:row>
    <x:row r="2237" ht="21" customHeight="1">
      <x:c r="A2237" s="24" t="n">
        <x:v>46195.104166666664</x:v>
      </x:c>
      <x:c r="B2237" s="6" t="n">
        <x:v>0.1686</x:v>
      </x:c>
      <x:c r="C2237" s="6" t="n">
        <x:v>0.1033</x:v>
      </x:c>
      <x:c r="D2237" s="6" t="n">
        <x:f>B2237</x:f>
        <x:v>0.1686</x:v>
      </x:c>
      <x:c r="E2237" s="1" t="n">
        <x:v>1.05</x:v>
      </x:c>
      <x:c r="F2237" s="1" t="str">
        <x:v>https://api.octopus.energy/v1/products/AGILE-24-10-01/electricity-tariffs/E-1R-AGILE-24-10-01-G/standard-unit-rates/</x:v>
      </x:c>
    </x:row>
    <x:row r="2238" ht="21" customHeight="1">
      <x:c r="A2238" s="24" t="n">
        <x:v>46195.125</x:v>
      </x:c>
      <x:c r="B2238" s="6" t="n">
        <x:v>0.1724</x:v>
      </x:c>
      <x:c r="C2238" s="6" t="n">
        <x:v>0.1051</x:v>
      </x:c>
      <x:c r="D2238" s="6" t="n">
        <x:f>B2238</x:f>
        <x:v>0.1724</x:v>
      </x:c>
      <x:c r="E2238" s="1" t="n">
        <x:v>1.05</x:v>
      </x:c>
      <x:c r="F2238" s="1" t="str">
        <x:v>https://api.octopus.energy/v1/products/AGILE-24-10-01/electricity-tariffs/E-1R-AGILE-24-10-01-G/standard-unit-rates/</x:v>
      </x:c>
    </x:row>
    <x:row r="2239" ht="21" customHeight="1">
      <x:c r="A2239" s="24" t="n">
        <x:v>46195.145833333336</x:v>
      </x:c>
      <x:c r="B2239" s="6" t="n">
        <x:v>0.17370000000000002</x:v>
      </x:c>
      <x:c r="C2239" s="6" t="n">
        <x:v>0.1057</x:v>
      </x:c>
      <x:c r="D2239" s="6" t="n">
        <x:f>B2239</x:f>
        <x:v>0.17370000000000002</x:v>
      </x:c>
      <x:c r="E2239" s="1" t="n">
        <x:v>1.05</x:v>
      </x:c>
      <x:c r="F2239" s="1" t="str">
        <x:v>https://api.octopus.energy/v1/products/AGILE-24-10-01/electricity-tariffs/E-1R-AGILE-24-10-01-G/standard-unit-rates/</x:v>
      </x:c>
    </x:row>
    <x:row r="2240" ht="21" customHeight="1">
      <x:c r="A2240" s="24" t="n">
        <x:v>46195.166666666664</x:v>
      </x:c>
      <x:c r="B2240" s="6" t="n">
        <x:v>0.1841</x:v>
      </x:c>
      <x:c r="C2240" s="6" t="n">
        <x:v>0.1104</x:v>
      </x:c>
      <x:c r="D2240" s="6" t="n">
        <x:f>B2240</x:f>
        <x:v>0.1841</x:v>
      </x:c>
      <x:c r="E2240" s="1" t="n">
        <x:v>1.05</x:v>
      </x:c>
      <x:c r="F2240" s="1" t="str">
        <x:v>https://api.octopus.energy/v1/products/AGILE-24-10-01/electricity-tariffs/E-1R-AGILE-24-10-01-G/standard-unit-rates/</x:v>
      </x:c>
    </x:row>
    <x:row r="2241" ht="21" customHeight="1">
      <x:c r="A2241" s="24" t="n">
        <x:v>46195.1875</x:v>
      </x:c>
      <x:c r="B2241" s="6" t="n">
        <x:v>0.1766</x:v>
      </x:c>
      <x:c r="C2241" s="6" t="n">
        <x:v>0.107</x:v>
      </x:c>
      <x:c r="D2241" s="6" t="n">
        <x:f>B2241</x:f>
        <x:v>0.1766</x:v>
      </x:c>
      <x:c r="E2241" s="1" t="n">
        <x:v>1.05</x:v>
      </x:c>
      <x:c r="F2241" s="1" t="str">
        <x:v>https://api.octopus.energy/v1/products/AGILE-24-10-01/electricity-tariffs/E-1R-AGILE-24-10-01-G/standard-unit-rates/</x:v>
      </x:c>
    </x:row>
    <x:row r="2242" ht="21" customHeight="1">
      <x:c r="A2242" s="24" t="n">
        <x:v>46195.208333333336</x:v>
      </x:c>
      <x:c r="B2242" s="6" t="n">
        <x:v>0.1934</x:v>
      </x:c>
      <x:c r="C2242" s="6" t="n">
        <x:v>0.11470000000000001</x:v>
      </x:c>
      <x:c r="D2242" s="6" t="n">
        <x:f>B2242</x:f>
        <x:v>0.1934</x:v>
      </x:c>
      <x:c r="E2242" s="1" t="n">
        <x:v>1.05</x:v>
      </x:c>
      <x:c r="F2242" s="1" t="str">
        <x:v>https://api.octopus.energy/v1/products/AGILE-24-10-01/electricity-tariffs/E-1R-AGILE-24-10-01-G/standard-unit-rates/</x:v>
      </x:c>
    </x:row>
    <x:row r="2243" ht="21" customHeight="1">
      <x:c r="A2243" s="24" t="n">
        <x:v>46195.229166666664</x:v>
      </x:c>
      <x:c r="B2243" s="6" t="n">
        <x:v>0.1955</x:v>
      </x:c>
      <x:c r="C2243" s="6" t="n">
        <x:v>0.11560000000000001</x:v>
      </x:c>
      <x:c r="D2243" s="6" t="n">
        <x:f>B2243</x:f>
        <x:v>0.1955</x:v>
      </x:c>
      <x:c r="E2243" s="1" t="n">
        <x:v>1.05</x:v>
      </x:c>
      <x:c r="F2243" s="1" t="str">
        <x:v>https://api.octopus.energy/v1/products/AGILE-24-10-01/electricity-tariffs/E-1R-AGILE-24-10-01-G/standard-unit-rates/</x:v>
      </x:c>
    </x:row>
    <x:row r="2244" ht="21" customHeight="1">
      <x:c r="A2244" s="24" t="n">
        <x:v>46195.25</x:v>
      </x:c>
      <x:c r="B2244" s="6" t="n">
        <x:v>0.21</x:v>
      </x:c>
      <x:c r="C2244" s="6" t="n">
        <x:v>0.1223</x:v>
      </x:c>
      <x:c r="D2244" s="6" t="n">
        <x:f>B2244</x:f>
        <x:v>0.21</x:v>
      </x:c>
      <x:c r="E2244" s="1" t="n">
        <x:v>1.05</x:v>
      </x:c>
      <x:c r="F2244" s="1" t="str">
        <x:v>https://api.octopus.energy/v1/products/AGILE-24-10-01/electricity-tariffs/E-1R-AGILE-24-10-01-G/standard-unit-rates/</x:v>
      </x:c>
    </x:row>
    <x:row r="2245" ht="21" customHeight="1">
      <x:c r="A2245" s="24" t="n">
        <x:v>46195.270833333336</x:v>
      </x:c>
      <x:c r="B2245" s="6" t="n">
        <x:v>0.2144</x:v>
      </x:c>
      <x:c r="C2245" s="6" t="n">
        <x:v>0.1243</x:v>
      </x:c>
      <x:c r="D2245" s="6" t="n">
        <x:f>B2245</x:f>
        <x:v>0.2144</x:v>
      </x:c>
      <x:c r="E2245" s="1" t="n">
        <x:v>1.05</x:v>
      </x:c>
      <x:c r="F2245" s="1" t="str">
        <x:v>https://api.octopus.energy/v1/products/AGILE-24-10-01/electricity-tariffs/E-1R-AGILE-24-10-01-G/standard-unit-rates/</x:v>
      </x:c>
    </x:row>
    <x:row r="2246" ht="21" customHeight="1">
      <x:c r="A2246" s="24" t="n">
        <x:v>46195.291666666664</x:v>
      </x:c>
      <x:c r="B2246" s="6" t="n">
        <x:v>0.1898</x:v>
      </x:c>
      <x:c r="C2246" s="6" t="n">
        <x:v>0.113</x:v>
      </x:c>
      <x:c r="D2246" s="6" t="n">
        <x:f>B2246</x:f>
        <x:v>0.1898</x:v>
      </x:c>
      <x:c r="E2246" s="1" t="n">
        <x:v>1.05</x:v>
      </x:c>
      <x:c r="F2246" s="1" t="str">
        <x:v>https://api.octopus.energy/v1/products/AGILE-24-10-01/electricity-tariffs/E-1R-AGILE-24-10-01-G/standard-unit-rates/</x:v>
      </x:c>
    </x:row>
    <x:row r="2247" ht="21" customHeight="1">
      <x:c r="A2247" s="24" t="n">
        <x:v>46195.3125</x:v>
      </x:c>
      <x:c r="B2247" s="6" t="n">
        <x:v>0.1893</x:v>
      </x:c>
      <x:c r="C2247" s="6" t="n">
        <x:v>0.1128</x:v>
      </x:c>
      <x:c r="D2247" s="6" t="n">
        <x:f>B2247</x:f>
        <x:v>0.1893</x:v>
      </x:c>
      <x:c r="E2247" s="1" t="n">
        <x:v>1.05</x:v>
      </x:c>
      <x:c r="F2247" s="1" t="str">
        <x:v>https://api.octopus.energy/v1/products/AGILE-24-10-01/electricity-tariffs/E-1R-AGILE-24-10-01-G/standard-unit-rates/</x:v>
      </x:c>
    </x:row>
    <x:row r="2248" ht="21" customHeight="1">
      <x:c r="A2248" s="24" t="n">
        <x:v>46195.333333333336</x:v>
      </x:c>
      <x:c r="B2248" s="6" t="n">
        <x:v>0.17</x:v>
      </x:c>
      <x:c r="C2248" s="6" t="n">
        <x:v>0.10400000000000001</x:v>
      </x:c>
      <x:c r="D2248" s="6" t="n">
        <x:f>B2248</x:f>
        <x:v>0.17</x:v>
      </x:c>
      <x:c r="E2248" s="1" t="n">
        <x:v>1.05</x:v>
      </x:c>
      <x:c r="F2248" s="1" t="str">
        <x:v>https://api.octopus.energy/v1/products/AGILE-24-10-01/electricity-tariffs/E-1R-AGILE-24-10-01-G/standard-unit-rates/</x:v>
      </x:c>
    </x:row>
    <x:row r="2249" ht="21" customHeight="1">
      <x:c r="A2249" s="24" t="n">
        <x:v>46195.354166666664</x:v>
      </x:c>
      <x:c r="B2249" s="6" t="n">
        <x:v>0.1654</x:v>
      </x:c>
      <x:c r="C2249" s="6" t="n">
        <x:v>0.10189999999999999</x:v>
      </x:c>
      <x:c r="D2249" s="6" t="n">
        <x:f>B2249</x:f>
        <x:v>0.1654</x:v>
      </x:c>
      <x:c r="E2249" s="1" t="n">
        <x:v>1.05</x:v>
      </x:c>
      <x:c r="F2249" s="1" t="str">
        <x:v>https://api.octopus.energy/v1/products/AGILE-24-10-01/electricity-tariffs/E-1R-AGILE-24-10-01-G/standard-unit-rates/</x:v>
      </x:c>
    </x:row>
    <x:row r="2250" ht="21" customHeight="1">
      <x:c r="A2250" s="24" t="n">
        <x:v>46195.375</x:v>
      </x:c>
      <x:c r="B2250" s="6" t="n">
        <x:v>0.1656</x:v>
      </x:c>
      <x:c r="C2250" s="6" t="n">
        <x:v>0.102</x:v>
      </x:c>
      <x:c r="D2250" s="6" t="n">
        <x:f>B2250</x:f>
        <x:v>0.1656</x:v>
      </x:c>
      <x:c r="E2250" s="1" t="n">
        <x:v>1.05</x:v>
      </x:c>
      <x:c r="F2250" s="1" t="str">
        <x:v>https://api.octopus.energy/v1/products/AGILE-24-10-01/electricity-tariffs/E-1R-AGILE-24-10-01-G/standard-unit-rates/</x:v>
      </x:c>
    </x:row>
    <x:row r="2251" ht="21" customHeight="1">
      <x:c r="A2251" s="24" t="n">
        <x:v>46195.395833333336</x:v>
      </x:c>
      <x:c r="B2251" s="6" t="n">
        <x:v>0.15560000000000002</x:v>
      </x:c>
      <x:c r="C2251" s="6" t="n">
        <x:v>0.0974</x:v>
      </x:c>
      <x:c r="D2251" s="6" t="n">
        <x:f>B2251</x:f>
        <x:v>0.15560000000000002</x:v>
      </x:c>
      <x:c r="E2251" s="1" t="n">
        <x:v>1.05</x:v>
      </x:c>
      <x:c r="F2251" s="1" t="str">
        <x:v>https://api.octopus.energy/v1/products/AGILE-24-10-01/electricity-tariffs/E-1R-AGILE-24-10-01-G/standard-unit-rates/</x:v>
      </x:c>
    </x:row>
    <x:row r="2252" ht="21" customHeight="1">
      <x:c r="A2252" s="24" t="n">
        <x:v>46195.416666666664</x:v>
      </x:c>
      <x:c r="B2252" s="6" t="n">
        <x:v>0.16190000000000002</x:v>
      </x:c>
      <x:c r="C2252" s="6" t="n">
        <x:v>0.1003</x:v>
      </x:c>
      <x:c r="D2252" s="6" t="n">
        <x:f>B2252</x:f>
        <x:v>0.16190000000000002</x:v>
      </x:c>
      <x:c r="E2252" s="1" t="n">
        <x:v>1.05</x:v>
      </x:c>
      <x:c r="F2252" s="1" t="str">
        <x:v>https://api.octopus.energy/v1/products/AGILE-24-10-01/electricity-tariffs/E-1R-AGILE-24-10-01-G/standard-unit-rates/</x:v>
      </x:c>
    </x:row>
    <x:row r="2253" ht="21" customHeight="1">
      <x:c r="A2253" s="24" t="n">
        <x:v>46195.4375</x:v>
      </x:c>
      <x:c r="B2253" s="6" t="n">
        <x:v>0.1542</x:v>
      </x:c>
      <x:c r="C2253" s="6" t="n">
        <x:v>0.0968</x:v>
      </x:c>
      <x:c r="D2253" s="6" t="n">
        <x:f>B2253</x:f>
        <x:v>0.1542</x:v>
      </x:c>
      <x:c r="E2253" s="1" t="n">
        <x:v>1.05</x:v>
      </x:c>
      <x:c r="F2253" s="1" t="str">
        <x:v>https://api.octopus.energy/v1/products/AGILE-24-10-01/electricity-tariffs/E-1R-AGILE-24-10-01-G/standard-unit-rates/</x:v>
      </x:c>
    </x:row>
    <x:row r="2254" ht="21" customHeight="1">
      <x:c r="A2254" s="24" t="n">
        <x:v>46195.458333333336</x:v>
      </x:c>
      <x:c r="B2254" s="6" t="n">
        <x:v>0.1515</x:v>
      </x:c>
      <x:c r="C2254" s="6" t="n">
        <x:v>0.0955</x:v>
      </x:c>
      <x:c r="D2254" s="6" t="n">
        <x:f>B2254</x:f>
        <x:v>0.1515</x:v>
      </x:c>
      <x:c r="E2254" s="1" t="n">
        <x:v>1.05</x:v>
      </x:c>
      <x:c r="F2254" s="1" t="str">
        <x:v>https://api.octopus.energy/v1/products/AGILE-24-10-01/electricity-tariffs/E-1R-AGILE-24-10-01-G/standard-unit-rates/</x:v>
      </x:c>
    </x:row>
    <x:row r="2255" ht="21" customHeight="1">
      <x:c r="A2255" s="24" t="n">
        <x:v>46195.479166666664</x:v>
      </x:c>
      <x:c r="B2255" s="6" t="n">
        <x:v>0.1457</x:v>
      </x:c>
      <x:c r="C2255" s="6" t="n">
        <x:v>0.0929</x:v>
      </x:c>
      <x:c r="D2255" s="6" t="n">
        <x:f>B2255</x:f>
        <x:v>0.1457</x:v>
      </x:c>
      <x:c r="E2255" s="1" t="n">
        <x:v>1.05</x:v>
      </x:c>
      <x:c r="F2255" s="1" t="str">
        <x:v>https://api.octopus.energy/v1/products/AGILE-24-10-01/electricity-tariffs/E-1R-AGILE-24-10-01-G/standard-unit-rates/</x:v>
      </x:c>
    </x:row>
    <x:row r="2256" ht="21" customHeight="1">
      <x:c r="A2256" s="24" t="n">
        <x:v>46195.5</x:v>
      </x:c>
      <x:c r="B2256" s="6" t="n">
        <x:v>0.1562</x:v>
      </x:c>
      <x:c r="C2256" s="6" t="n">
        <x:v>0.0977</x:v>
      </x:c>
      <x:c r="D2256" s="6" t="n">
        <x:f>B2256</x:f>
        <x:v>0.1562</x:v>
      </x:c>
      <x:c r="E2256" s="1" t="n">
        <x:v>1.05</x:v>
      </x:c>
      <x:c r="F2256" s="1" t="str">
        <x:v>https://api.octopus.energy/v1/products/AGILE-24-10-01/electricity-tariffs/E-1R-AGILE-24-10-01-G/standard-unit-rates/</x:v>
      </x:c>
    </x:row>
    <x:row r="2257" ht="21" customHeight="1">
      <x:c r="A2257" s="24" t="n">
        <x:v>46195.520833333336</x:v>
      </x:c>
      <x:c r="B2257" s="6" t="n">
        <x:v>0.1506</x:v>
      </x:c>
      <x:c r="C2257" s="6" t="n">
        <x:v>0.0951</x:v>
      </x:c>
      <x:c r="D2257" s="6" t="n">
        <x:f>B2257</x:f>
        <x:v>0.1506</x:v>
      </x:c>
      <x:c r="E2257" s="1" t="n">
        <x:v>1.05</x:v>
      </x:c>
      <x:c r="F2257" s="1" t="str">
        <x:v>https://api.octopus.energy/v1/products/AGILE-24-10-01/electricity-tariffs/E-1R-AGILE-24-10-01-G/standard-unit-rates/</x:v>
      </x:c>
    </x:row>
    <x:row r="2258" ht="21" customHeight="1">
      <x:c r="A2258" s="24" t="n">
        <x:v>46195.541666666664</x:v>
      </x:c>
      <x:c r="B2258" s="6" t="n">
        <x:v>0.1431</x:v>
      </x:c>
      <x:c r="C2258" s="6" t="n">
        <x:v>0.0917</x:v>
      </x:c>
      <x:c r="D2258" s="6" t="n">
        <x:f>B2258</x:f>
        <x:v>0.1431</x:v>
      </x:c>
      <x:c r="E2258" s="1" t="n">
        <x:v>1.05</x:v>
      </x:c>
      <x:c r="F2258" s="1" t="str">
        <x:v>https://api.octopus.energy/v1/products/AGILE-24-10-01/electricity-tariffs/E-1R-AGILE-24-10-01-G/standard-unit-rates/</x:v>
      </x:c>
    </x:row>
    <x:row r="2259" ht="21" customHeight="1">
      <x:c r="A2259" s="24" t="n">
        <x:v>46195.5625</x:v>
      </x:c>
      <x:c r="B2259" s="6" t="n">
        <x:v>0.1437</x:v>
      </x:c>
      <x:c r="C2259" s="6" t="n">
        <x:v>0.092</x:v>
      </x:c>
      <x:c r="D2259" s="6" t="n">
        <x:f>B2259</x:f>
        <x:v>0.1437</x:v>
      </x:c>
      <x:c r="E2259" s="1" t="n">
        <x:v>1.05</x:v>
      </x:c>
      <x:c r="F2259" s="1" t="str">
        <x:v>https://api.octopus.energy/v1/products/AGILE-24-10-01/electricity-tariffs/E-1R-AGILE-24-10-01-G/standard-unit-rates/</x:v>
      </x:c>
    </x:row>
    <x:row r="2260" ht="21" customHeight="1">
      <x:c r="A2260" s="24" t="n">
        <x:v>46195.583333333336</x:v>
      </x:c>
      <x:c r="B2260" s="6" t="n">
        <x:v>0.1514</x:v>
      </x:c>
      <x:c r="C2260" s="6" t="n">
        <x:v>0.0955</x:v>
      </x:c>
      <x:c r="D2260" s="6" t="n">
        <x:f>B2260</x:f>
        <x:v>0.1514</x:v>
      </x:c>
      <x:c r="E2260" s="1" t="n">
        <x:v>1.05</x:v>
      </x:c>
      <x:c r="F2260" s="1" t="str">
        <x:v>https://api.octopus.energy/v1/products/AGILE-24-10-01/electricity-tariffs/E-1R-AGILE-24-10-01-G/standard-unit-rates/</x:v>
      </x:c>
    </x:row>
    <x:row r="2261" ht="21" customHeight="1">
      <x:c r="A2261" s="24" t="n">
        <x:v>46195.604166666664</x:v>
      </x:c>
      <x:c r="B2261" s="6" t="n">
        <x:v>0.1535</x:v>
      </x:c>
      <x:c r="C2261" s="6" t="n">
        <x:v>0.0964</x:v>
      </x:c>
      <x:c r="D2261" s="6" t="n">
        <x:f>B2261</x:f>
        <x:v>0.1535</x:v>
      </x:c>
      <x:c r="E2261" s="1" t="n">
        <x:v>1.05</x:v>
      </x:c>
      <x:c r="F2261" s="1" t="str">
        <x:v>https://api.octopus.energy/v1/products/AGILE-24-10-01/electricity-tariffs/E-1R-AGILE-24-10-01-G/standard-unit-rates/</x:v>
      </x:c>
    </x:row>
    <x:row r="2262" ht="21" customHeight="1">
      <x:c r="A2262" s="24" t="n">
        <x:v>46195.625</x:v>
      </x:c>
      <x:c r="B2262" s="6" t="n">
        <x:v>0.1535</x:v>
      </x:c>
      <x:c r="C2262" s="6" t="n">
        <x:v>0.0964</x:v>
      </x:c>
      <x:c r="D2262" s="6" t="n">
        <x:f>B2262</x:f>
        <x:v>0.1535</x:v>
      </x:c>
      <x:c r="E2262" s="1" t="n">
        <x:v>1.05</x:v>
      </x:c>
      <x:c r="F2262" s="1" t="str">
        <x:v>https://api.octopus.energy/v1/products/AGILE-24-10-01/electricity-tariffs/E-1R-AGILE-24-10-01-G/standard-unit-rates/</x:v>
      </x:c>
    </x:row>
    <x:row r="2263" ht="21" customHeight="1">
      <x:c r="A2263" s="24" t="n">
        <x:v>46195.645833333336</x:v>
      </x:c>
      <x:c r="B2263" s="6" t="n">
        <x:v>0.15689999999999998</x:v>
      </x:c>
      <x:c r="C2263" s="6" t="n">
        <x:v>0.098</x:v>
      </x:c>
      <x:c r="D2263" s="6" t="n">
        <x:f>B2263</x:f>
        <x:v>0.15689999999999998</x:v>
      </x:c>
      <x:c r="E2263" s="1" t="n">
        <x:v>1.05</x:v>
      </x:c>
      <x:c r="F2263" s="1" t="str">
        <x:v>https://api.octopus.energy/v1/products/AGILE-24-10-01/electricity-tariffs/E-1R-AGILE-24-10-01-G/standard-unit-rates/</x:v>
      </x:c>
    </x:row>
    <x:row r="2264" ht="21" customHeight="1">
      <x:c r="A2264" s="24" t="n">
        <x:v>46195.666666666664</x:v>
      </x:c>
      <x:c r="B2264" s="6" t="n">
        <x:v>0.2966</x:v>
      </x:c>
      <x:c r="C2264" s="6" t="n">
        <x:v>0.1659</x:v>
      </x:c>
      <x:c r="D2264" s="6" t="n">
        <x:f>B2264</x:f>
        <x:v>0.2966</x:v>
      </x:c>
      <x:c r="E2264" s="1" t="n">
        <x:v>1.05</x:v>
      </x:c>
      <x:c r="F2264" s="1" t="str">
        <x:v>https://api.octopus.energy/v1/products/AGILE-24-10-01/electricity-tariffs/E-1R-AGILE-24-10-01-G/standard-unit-rates/</x:v>
      </x:c>
    </x:row>
    <x:row r="2265" ht="21" customHeight="1">
      <x:c r="A2265" s="24" t="n">
        <x:v>46195.6875</x:v>
      </x:c>
      <x:c r="B2265" s="6" t="n">
        <x:v>0.2965</x:v>
      </x:c>
      <x:c r="C2265" s="6" t="n">
        <x:v>0.1659</x:v>
      </x:c>
      <x:c r="D2265" s="6" t="n">
        <x:f>B2265</x:f>
        <x:v>0.2965</x:v>
      </x:c>
      <x:c r="E2265" s="1" t="n">
        <x:v>1.05</x:v>
      </x:c>
      <x:c r="F2265" s="1" t="str">
        <x:v>https://api.octopus.energy/v1/products/AGILE-24-10-01/electricity-tariffs/E-1R-AGILE-24-10-01-G/standard-unit-rates/</x:v>
      </x:c>
    </x:row>
    <x:row r="2266" ht="21" customHeight="1">
      <x:c r="A2266" s="24" t="n">
        <x:v>46195.708333333336</x:v>
      </x:c>
      <x:c r="B2266" s="6" t="n">
        <x:v>0.3592</x:v>
      </x:c>
      <x:c r="C2266" s="6" t="n">
        <x:v>0.1945</x:v>
      </x:c>
      <x:c r="D2266" s="6" t="n">
        <x:f>B2266</x:f>
        <x:v>0.3592</x:v>
      </x:c>
      <x:c r="E2266" s="1" t="n">
        <x:v>1.05</x:v>
      </x:c>
      <x:c r="F2266" s="1" t="str">
        <x:v>https://api.octopus.energy/v1/products/AGILE-24-10-01/electricity-tariffs/E-1R-AGILE-24-10-01-G/standard-unit-rates/</x:v>
      </x:c>
    </x:row>
    <x:row r="2267" ht="21" customHeight="1">
      <x:c r="A2267" s="24" t="n">
        <x:v>46195.729166666664</x:v>
      </x:c>
      <x:c r="B2267" s="6" t="n">
        <x:v>0.3946</x:v>
      </x:c>
      <x:c r="C2267" s="6" t="n">
        <x:v>0.2107</x:v>
      </x:c>
      <x:c r="D2267" s="6" t="n">
        <x:f>B2267</x:f>
        <x:v>0.3946</x:v>
      </x:c>
      <x:c r="E2267" s="1" t="n">
        <x:v>1.05</x:v>
      </x:c>
      <x:c r="F2267" s="1" t="str">
        <x:v>https://api.octopus.energy/v1/products/AGILE-24-10-01/electricity-tariffs/E-1R-AGILE-24-10-01-G/standard-unit-rates/</x:v>
      </x:c>
    </x:row>
    <x:row r="2268" ht="21" customHeight="1">
      <x:c r="A2268" s="24" t="n">
        <x:v>46195.75</x:v>
      </x:c>
      <x:c r="B2268" s="6" t="n">
        <x:v>0.43310000000000004</x:v>
      </x:c>
      <x:c r="C2268" s="6" t="n">
        <x:v>0.22829999999999998</x:v>
      </x:c>
      <x:c r="D2268" s="6" t="n">
        <x:f>B2268</x:f>
        <x:v>0.43310000000000004</x:v>
      </x:c>
      <x:c r="E2268" s="1" t="n">
        <x:v>1.05</x:v>
      </x:c>
      <x:c r="F2268" s="1" t="str">
        <x:v>https://api.octopus.energy/v1/products/AGILE-24-10-01/electricity-tariffs/E-1R-AGILE-24-10-01-G/standard-unit-rates/</x:v>
      </x:c>
    </x:row>
    <x:row r="2269" ht="21" customHeight="1">
      <x:c r="A2269" s="24" t="n">
        <x:v>46195.770833333336</x:v>
      </x:c>
      <x:c r="B2269" s="6" t="n">
        <x:v>0.47090000000000004</x:v>
      </x:c>
      <x:c r="C2269" s="6" t="n">
        <x:v>0.24559999999999998</x:v>
      </x:c>
      <x:c r="D2269" s="6" t="n">
        <x:f>B2269</x:f>
        <x:v>0.47090000000000004</x:v>
      </x:c>
      <x:c r="E2269" s="1" t="n">
        <x:v>1.05</x:v>
      </x:c>
      <x:c r="F2269" s="1" t="str">
        <x:v>https://api.octopus.energy/v1/products/AGILE-24-10-01/electricity-tariffs/E-1R-AGILE-24-10-01-G/standard-unit-rates/</x:v>
      </x:c>
    </x:row>
    <x:row r="2270" ht="21" customHeight="1">
      <x:c r="A2270" s="24" t="n">
        <x:v>46195.791666666664</x:v>
      </x:c>
      <x:c r="B2270" s="6" t="n">
        <x:v>0.36460000000000004</x:v>
      </x:c>
      <x:c r="C2270" s="6" t="n">
        <x:v>0.193</x:v>
      </x:c>
      <x:c r="D2270" s="6" t="n">
        <x:f>B2270</x:f>
        <x:v>0.36460000000000004</x:v>
      </x:c>
      <x:c r="E2270" s="1" t="n">
        <x:v>1.05</x:v>
      </x:c>
      <x:c r="F2270" s="1" t="str">
        <x:v>https://api.octopus.energy/v1/products/AGILE-24-10-01/electricity-tariffs/E-1R-AGILE-24-10-01-G/standard-unit-rates/</x:v>
      </x:c>
    </x:row>
    <x:row r="2271" ht="21" customHeight="1">
      <x:c r="A2271" s="24" t="n">
        <x:v>46195.8125</x:v>
      </x:c>
      <x:c r="B2271" s="6" t="n">
        <x:v>0.3383</x:v>
      </x:c>
      <x:c r="C2271" s="6" t="n">
        <x:v>0.1809</x:v>
      </x:c>
      <x:c r="D2271" s="6" t="n">
        <x:f>B2271</x:f>
        <x:v>0.3383</x:v>
      </x:c>
      <x:c r="E2271" s="1" t="n">
        <x:v>1.05</x:v>
      </x:c>
      <x:c r="F2271" s="1" t="str">
        <x:v>https://api.octopus.energy/v1/products/AGILE-24-10-01/electricity-tariffs/E-1R-AGILE-24-10-01-G/standard-unit-rates/</x:v>
      </x:c>
    </x:row>
    <x:row r="2272" ht="21" customHeight="1">
      <x:c r="A2272" s="24" t="n">
        <x:v>46195.833333333336</x:v>
      </x:c>
      <x:c r="B2272" s="6" t="n">
        <x:v>0.3386</x:v>
      </x:c>
      <x:c r="C2272" s="6" t="n">
        <x:v>0.18109999999999998</x:v>
      </x:c>
      <x:c r="D2272" s="6" t="n">
        <x:f>B2272</x:f>
        <x:v>0.3386</x:v>
      </x:c>
      <x:c r="E2272" s="1" t="n">
        <x:v>1.05</x:v>
      </x:c>
      <x:c r="F2272" s="1" t="str">
        <x:v>https://api.octopus.energy/v1/products/AGILE-24-10-01/electricity-tariffs/E-1R-AGILE-24-10-01-G/standard-unit-rates/</x:v>
      </x:c>
    </x:row>
    <x:row r="2273" ht="21" customHeight="1">
      <x:c r="A2273" s="24" t="n">
        <x:v>46195.854166666664</x:v>
      </x:c>
      <x:c r="B2273" s="6" t="n">
        <x:v>0.33039999999999997</x:v>
      </x:c>
      <x:c r="C2273" s="6" t="n">
        <x:v>0.1773</x:v>
      </x:c>
      <x:c r="D2273" s="6" t="n">
        <x:f>B2273</x:f>
        <x:v>0.33039999999999997</x:v>
      </x:c>
      <x:c r="E2273" s="1" t="n">
        <x:v>1.05</x:v>
      </x:c>
      <x:c r="F2273" s="1" t="str">
        <x:v>https://api.octopus.energy/v1/products/AGILE-24-10-01/electricity-tariffs/E-1R-AGILE-24-10-01-G/standard-unit-rates/</x:v>
      </x:c>
    </x:row>
    <x:row r="2274" ht="21" customHeight="1">
      <x:c r="A2274" s="24" t="n">
        <x:v>46195.875</x:v>
      </x:c>
      <x:c r="B2274" s="6" t="n">
        <x:v>0.3299</x:v>
      </x:c>
      <x:c r="C2274" s="6" t="n">
        <x:v>0.1771</x:v>
      </x:c>
      <x:c r="D2274" s="6" t="n">
        <x:f>B2274</x:f>
        <x:v>0.3299</x:v>
      </x:c>
      <x:c r="E2274" s="1" t="n">
        <x:v>1.05</x:v>
      </x:c>
      <x:c r="F2274" s="1" t="str">
        <x:v>https://api.octopus.energy/v1/products/AGILE-24-10-01/electricity-tariffs/E-1R-AGILE-24-10-01-G/standard-unit-rates/</x:v>
      </x:c>
    </x:row>
    <x:row r="2275" ht="21" customHeight="1">
      <x:c r="A2275" s="24" t="n">
        <x:v>46195.895833333336</x:v>
      </x:c>
      <x:c r="B2275" s="6" t="n">
        <x:v>0.3131</x:v>
      </x:c>
      <x:c r="C2275" s="6" t="n">
        <x:v>0.16940000000000002</x:v>
      </x:c>
      <x:c r="D2275" s="6" t="n">
        <x:f>B2275</x:f>
        <x:v>0.3131</x:v>
      </x:c>
      <x:c r="E2275" s="1" t="n">
        <x:v>1.05</x:v>
      </x:c>
      <x:c r="F2275" s="1" t="str">
        <x:v>https://api.octopus.energy/v1/products/AGILE-24-10-01/electricity-tariffs/E-1R-AGILE-24-10-01-G/standard-unit-rates/</x:v>
      </x:c>
    </x:row>
    <x:row r="2276" ht="21" customHeight="1">
      <x:c r="A2276" s="24" t="n">
        <x:v>46195.916666666664</x:v>
      </x:c>
      <x:c r="B2276" s="6" t="n">
        <x:v>0.27</x:v>
      </x:c>
      <x:c r="C2276" s="6" t="n">
        <x:v>0.1497</x:v>
      </x:c>
      <x:c r="D2276" s="6" t="n">
        <x:f>B2276</x:f>
        <x:v>0.27</x:v>
      </x:c>
      <x:c r="E2276" s="1" t="n">
        <x:v>1.05</x:v>
      </x:c>
      <x:c r="F2276" s="1" t="str">
        <x:v>https://api.octopus.energy/v1/products/AGILE-24-10-01/electricity-tariffs/E-1R-AGILE-24-10-01-G/standard-unit-rates/</x:v>
      </x:c>
    </x:row>
    <x:row r="2277" ht="21" customHeight="1">
      <x:c r="A2277" s="24" t="n">
        <x:v>46195.9375</x:v>
      </x:c>
      <x:c r="B2277" s="6" t="n">
        <x:v>0.2585</x:v>
      </x:c>
      <x:c r="C2277" s="6" t="n">
        <x:v>0.1444</x:v>
      </x:c>
      <x:c r="D2277" s="6" t="n">
        <x:f>B2277</x:f>
        <x:v>0.2585</x:v>
      </x:c>
      <x:c r="E2277" s="1" t="n">
        <x:v>1.05</x:v>
      </x:c>
      <x:c r="F2277" s="1" t="str">
        <x:v>https://api.octopus.energy/v1/products/AGILE-24-10-01/electricity-tariffs/E-1R-AGILE-24-10-01-G/standard-unit-rates/</x:v>
      </x:c>
    </x:row>
    <x:row r="2278" ht="21" customHeight="1">
      <x:c r="A2278" s="24" t="n">
        <x:v>46196</x:v>
      </x:c>
      <x:c r="B2278" s="6" t="n">
        <x:v>0.2274</x:v>
      </x:c>
      <x:c r="C2278" s="6" t="n">
        <x:v>0.13019999999999998</x:v>
      </x:c>
      <x:c r="D2278" s="6" t="n">
        <x:f>B2278</x:f>
        <x:v>0.2274</x:v>
      </x:c>
      <x:c r="E2278" s="1" t="n">
        <x:v>1.05</x:v>
      </x:c>
      <x:c r="F2278" s="1" t="str">
        <x:v>https://api.octopus.energy/v1/products/AGILE-24-10-01/electricity-tariffs/E-1R-AGILE-24-10-01-G/standard-unit-rates/</x:v>
      </x:c>
    </x:row>
    <x:row r="2279" ht="21" customHeight="1">
      <x:c r="A2279" s="24" t="n">
        <x:v>46195.979166666664</x:v>
      </x:c>
      <x:c r="B2279" s="6" t="n">
        <x:v>0.20809999999999998</x:v>
      </x:c>
      <x:c r="C2279" s="6" t="n">
        <x:v>0.12140000000000001</x:v>
      </x:c>
      <x:c r="D2279" s="6" t="n">
        <x:f>B2279</x:f>
        <x:v>0.20809999999999998</x:v>
      </x:c>
      <x:c r="E2279" s="1" t="n">
        <x:v>1.05</x:v>
      </x:c>
      <x:c r="F2279" s="1" t="str">
        <x:v>https://api.octopus.energy/v1/products/AGILE-24-10-01/electricity-tariffs/E-1R-AGILE-24-10-01-G/standard-unit-rates/</x:v>
      </x:c>
    </x:row>
    <x:row r="2280" ht="21" customHeight="1">
      <x:c r="A2280" s="24" t="n">
        <x:v>46196</x:v>
      </x:c>
      <x:c r="B2280" s="6" t="n">
        <x:v>0.2004</x:v>
      </x:c>
      <x:c r="C2280" s="6" t="n">
        <x:v>0.11789999999999999</x:v>
      </x:c>
      <x:c r="D2280" s="6" t="n">
        <x:f>B2280</x:f>
        <x:v>0.2004</x:v>
      </x:c>
      <x:c r="E2280" s="1" t="n">
        <x:v>1.05</x:v>
      </x:c>
      <x:c r="F2280" s="1" t="str">
        <x:v>https://api.octopus.energy/v1/products/AGILE-24-10-01/electricity-tariffs/E-1R-AGILE-24-10-01-G/standard-unit-rates/</x:v>
      </x:c>
    </x:row>
    <x:row r="2281" ht="21" customHeight="1">
      <x:c r="A2281" s="24" t="n">
        <x:v>46196.020833333336</x:v>
      </x:c>
      <x:c r="B2281" s="6" t="n">
        <x:v>0.20809999999999998</x:v>
      </x:c>
      <x:c r="C2281" s="6" t="n">
        <x:v>0.12140000000000001</x:v>
      </x:c>
      <x:c r="D2281" s="6" t="n">
        <x:f>B2281</x:f>
        <x:v>0.20809999999999998</x:v>
      </x:c>
      <x:c r="E2281" s="1" t="n">
        <x:v>1.05</x:v>
      </x:c>
      <x:c r="F2281" s="1" t="str">
        <x:v>https://api.octopus.energy/v1/products/AGILE-24-10-01/electricity-tariffs/E-1R-AGILE-24-10-01-G/standard-unit-rates/</x:v>
      </x:c>
    </x:row>
    <x:row r="2282" ht="21" customHeight="1">
      <x:c r="A2282" s="24" t="n">
        <x:v>46196.041666666664</x:v>
      </x:c>
      <x:c r="B2282" s="6" t="n">
        <x:v>0.20329999999999998</x:v>
      </x:c>
      <x:c r="C2282" s="6" t="n">
        <x:v>0.1192</x:v>
      </x:c>
      <x:c r="D2282" s="6" t="n">
        <x:f>B2282</x:f>
        <x:v>0.20329999999999998</x:v>
      </x:c>
      <x:c r="E2282" s="1" t="n">
        <x:v>1.05</x:v>
      </x:c>
      <x:c r="F2282" s="1" t="str">
        <x:v>https://api.octopus.energy/v1/products/AGILE-24-10-01/electricity-tariffs/E-1R-AGILE-24-10-01-G/standard-unit-rates/</x:v>
      </x:c>
    </x:row>
    <x:row r="2283" ht="21" customHeight="1">
      <x:c r="A2283" s="24" t="n">
        <x:v>46196.0625</x:v>
      </x:c>
      <x:c r="B2283" s="6" t="n">
        <x:v>0.19399999999999998</x:v>
      </x:c>
      <x:c r="C2283" s="6" t="n">
        <x:v>0.115</x:v>
      </x:c>
      <x:c r="D2283" s="6" t="n">
        <x:f>B2283</x:f>
        <x:v>0.19399999999999998</x:v>
      </x:c>
      <x:c r="E2283" s="1" t="n">
        <x:v>1.05</x:v>
      </x:c>
      <x:c r="F2283" s="1" t="str">
        <x:v>https://api.octopus.energy/v1/products/AGILE-24-10-01/electricity-tariffs/E-1R-AGILE-24-10-01-G/standard-unit-rates/</x:v>
      </x:c>
    </x:row>
    <x:row r="2284" ht="21" customHeight="1">
      <x:c r="A2284" s="24" t="n">
        <x:v>46196.083333333336</x:v>
      </x:c>
      <x:c r="B2284" s="6" t="n">
        <x:v>0.1938</x:v>
      </x:c>
      <x:c r="C2284" s="6" t="n">
        <x:v>0.1149</x:v>
      </x:c>
      <x:c r="D2284" s="6" t="n">
        <x:f>B2284</x:f>
        <x:v>0.1938</x:v>
      </x:c>
      <x:c r="E2284" s="1" t="n">
        <x:v>1.05</x:v>
      </x:c>
      <x:c r="F2284" s="1" t="str">
        <x:v>https://api.octopus.energy/v1/products/AGILE-24-10-01/electricity-tariffs/E-1R-AGILE-24-10-01-G/standard-unit-rates/</x:v>
      </x:c>
    </x:row>
    <x:row r="2285" ht="21" customHeight="1">
      <x:c r="A2285" s="24" t="n">
        <x:v>46196.104166666664</x:v>
      </x:c>
      <x:c r="B2285" s="6" t="n">
        <x:v>0.19260000000000002</x:v>
      </x:c>
      <x:c r="C2285" s="6" t="n">
        <x:v>0.1143</x:v>
      </x:c>
      <x:c r="D2285" s="6" t="n">
        <x:f>B2285</x:f>
        <x:v>0.19260000000000002</x:v>
      </x:c>
      <x:c r="E2285" s="1" t="n">
        <x:v>1.05</x:v>
      </x:c>
      <x:c r="F2285" s="1" t="str">
        <x:v>https://api.octopus.energy/v1/products/AGILE-24-10-01/electricity-tariffs/E-1R-AGILE-24-10-01-G/standard-unit-rates/</x:v>
      </x:c>
    </x:row>
    <x:row r="2286" ht="21" customHeight="1">
      <x:c r="A2286" s="24" t="n">
        <x:v>46196.125</x:v>
      </x:c>
      <x:c r="B2286" s="6" t="n">
        <x:v>0.21289999999999998</x:v>
      </x:c>
      <x:c r="C2286" s="6" t="n">
        <x:v>0.12359999999999999</x:v>
      </x:c>
      <x:c r="D2286" s="6" t="n">
        <x:f>B2286</x:f>
        <x:v>0.21289999999999998</x:v>
      </x:c>
      <x:c r="E2286" s="1" t="n">
        <x:v>1.05</x:v>
      </x:c>
      <x:c r="F2286" s="1" t="str">
        <x:v>https://api.octopus.energy/v1/products/AGILE-24-10-01/electricity-tariffs/E-1R-AGILE-24-10-01-G/standard-unit-rates/</x:v>
      </x:c>
    </x:row>
    <x:row r="2287" ht="21" customHeight="1">
      <x:c r="A2287" s="24" t="n">
        <x:v>46196.145833333336</x:v>
      </x:c>
      <x:c r="B2287" s="6" t="n">
        <x:v>0.20629999999999998</x:v>
      </x:c>
      <x:c r="C2287" s="6" t="n">
        <x:v>0.1206</x:v>
      </x:c>
      <x:c r="D2287" s="6" t="n">
        <x:f>B2287</x:f>
        <x:v>0.20629999999999998</x:v>
      </x:c>
      <x:c r="E2287" s="1" t="n">
        <x:v>1.05</x:v>
      </x:c>
      <x:c r="F2287" s="1" t="str">
        <x:v>https://api.octopus.energy/v1/products/AGILE-24-10-01/electricity-tariffs/E-1R-AGILE-24-10-01-G/standard-unit-rates/</x:v>
      </x:c>
    </x:row>
    <x:row r="2288" ht="21" customHeight="1">
      <x:c r="A2288" s="24" t="n">
        <x:v>46196.166666666664</x:v>
      </x:c>
      <x:c r="B2288" s="6" t="n">
        <x:v>0.1934</x:v>
      </x:c>
      <x:c r="C2288" s="6" t="n">
        <x:v>0.11470000000000001</x:v>
      </x:c>
      <x:c r="D2288" s="6" t="n">
        <x:f>B2288</x:f>
        <x:v>0.1934</x:v>
      </x:c>
      <x:c r="E2288" s="1" t="n">
        <x:v>1.05</x:v>
      </x:c>
      <x:c r="F2288" s="1" t="str">
        <x:v>https://api.octopus.energy/v1/products/AGILE-24-10-01/electricity-tariffs/E-1R-AGILE-24-10-01-G/standard-unit-rates/</x:v>
      </x:c>
    </x:row>
    <x:row r="2289" ht="21" customHeight="1">
      <x:c r="A2289" s="24" t="n">
        <x:v>46196.1875</x:v>
      </x:c>
      <x:c r="B2289" s="6" t="n">
        <x:v>0.1894</x:v>
      </x:c>
      <x:c r="C2289" s="6" t="n">
        <x:v>0.11289999999999999</x:v>
      </x:c>
      <x:c r="D2289" s="6" t="n">
        <x:f>B2289</x:f>
        <x:v>0.1894</x:v>
      </x:c>
      <x:c r="E2289" s="1" t="n">
        <x:v>1.05</x:v>
      </x:c>
      <x:c r="F2289" s="1" t="str">
        <x:v>https://api.octopus.energy/v1/products/AGILE-24-10-01/electricity-tariffs/E-1R-AGILE-24-10-01-G/standard-unit-rates/</x:v>
      </x:c>
    </x:row>
    <x:row r="2290" ht="21" customHeight="1">
      <x:c r="A2290" s="24" t="n">
        <x:v>46196.208333333336</x:v>
      </x:c>
      <x:c r="B2290" s="6" t="n">
        <x:v>0.2018</x:v>
      </x:c>
      <x:c r="C2290" s="6" t="n">
        <x:v>0.1185</x:v>
      </x:c>
      <x:c r="D2290" s="6" t="n">
        <x:f>B2290</x:f>
        <x:v>0.2018</x:v>
      </x:c>
      <x:c r="E2290" s="1" t="n">
        <x:v>1.05</x:v>
      </x:c>
      <x:c r="F2290" s="1" t="str">
        <x:v>https://api.octopus.energy/v1/products/AGILE-24-10-01/electricity-tariffs/E-1R-AGILE-24-10-01-G/standard-unit-rates/</x:v>
      </x:c>
    </x:row>
    <x:row r="2291" ht="21" customHeight="1">
      <x:c r="A2291" s="24" t="n">
        <x:v>46196.229166666664</x:v>
      </x:c>
      <x:c r="B2291" s="6" t="n">
        <x:v>0.2076</x:v>
      </x:c>
      <x:c r="C2291" s="6" t="n">
        <x:v>0.12119999999999999</x:v>
      </x:c>
      <x:c r="D2291" s="6" t="n">
        <x:f>B2291</x:f>
        <x:v>0.2076</x:v>
      </x:c>
      <x:c r="E2291" s="1" t="n">
        <x:v>1.05</x:v>
      </x:c>
      <x:c r="F2291" s="1" t="str">
        <x:v>https://api.octopus.energy/v1/products/AGILE-24-10-01/electricity-tariffs/E-1R-AGILE-24-10-01-G/standard-unit-rates/</x:v>
      </x:c>
    </x:row>
    <x:row r="2292" ht="21" customHeight="1">
      <x:c r="A2292" s="24" t="n">
        <x:v>46196.25</x:v>
      </x:c>
      <x:c r="B2292" s="6" t="n">
        <x:v>0.2207</x:v>
      </x:c>
      <x:c r="C2292" s="6" t="n">
        <x:v>0.1272</x:v>
      </x:c>
      <x:c r="D2292" s="6" t="n">
        <x:f>B2292</x:f>
        <x:v>0.2207</x:v>
      </x:c>
      <x:c r="E2292" s="1" t="n">
        <x:v>1.05</x:v>
      </x:c>
      <x:c r="F2292" s="1" t="str">
        <x:v>https://api.octopus.energy/v1/products/AGILE-24-10-01/electricity-tariffs/E-1R-AGILE-24-10-01-G/standard-unit-rates/</x:v>
      </x:c>
    </x:row>
    <x:row r="2293" ht="21" customHeight="1">
      <x:c r="A2293" s="24" t="n">
        <x:v>46196.270833333336</x:v>
      </x:c>
      <x:c r="B2293" s="6" t="n">
        <x:v>0.237</x:v>
      </x:c>
      <x:c r="C2293" s="6" t="n">
        <x:v>0.1346</x:v>
      </x:c>
      <x:c r="D2293" s="6" t="n">
        <x:f>B2293</x:f>
        <x:v>0.237</x:v>
      </x:c>
      <x:c r="E2293" s="1" t="n">
        <x:v>1.05</x:v>
      </x:c>
      <x:c r="F2293" s="1" t="str">
        <x:v>https://api.octopus.energy/v1/products/AGILE-24-10-01/electricity-tariffs/E-1R-AGILE-24-10-01-G/standard-unit-rates/</x:v>
      </x:c>
    </x:row>
    <x:row r="2294" ht="21" customHeight="1">
      <x:c r="A2294" s="24" t="n">
        <x:v>46196.291666666664</x:v>
      </x:c>
      <x:c r="B2294" s="6" t="n">
        <x:v>0.20809999999999998</x:v>
      </x:c>
      <x:c r="C2294" s="6" t="n">
        <x:v>0.12140000000000001</x:v>
      </x:c>
      <x:c r="D2294" s="6" t="n">
        <x:f>B2294</x:f>
        <x:v>0.20809999999999998</x:v>
      </x:c>
      <x:c r="E2294" s="1" t="n">
        <x:v>1.05</x:v>
      </x:c>
      <x:c r="F2294" s="1" t="str">
        <x:v>https://api.octopus.energy/v1/products/AGILE-24-10-01/electricity-tariffs/E-1R-AGILE-24-10-01-G/standard-unit-rates/</x:v>
      </x:c>
    </x:row>
    <x:row r="2295" ht="21" customHeight="1">
      <x:c r="A2295" s="24" t="n">
        <x:v>46196.3125</x:v>
      </x:c>
      <x:c r="B2295" s="6" t="n">
        <x:v>0.22149999999999997</x:v>
      </x:c>
      <x:c r="C2295" s="6" t="n">
        <x:v>0.1275</x:v>
      </x:c>
      <x:c r="D2295" s="6" t="n">
        <x:f>B2295</x:f>
        <x:v>0.22149999999999997</x:v>
      </x:c>
      <x:c r="E2295" s="1" t="n">
        <x:v>1.05</x:v>
      </x:c>
      <x:c r="F2295" s="1" t="str">
        <x:v>https://api.octopus.energy/v1/products/AGILE-24-10-01/electricity-tariffs/E-1R-AGILE-24-10-01-G/standard-unit-rates/</x:v>
      </x:c>
    </x:row>
    <x:row r="2296" ht="21" customHeight="1">
      <x:c r="A2296" s="24" t="n">
        <x:v>46196.333333333336</x:v>
      </x:c>
      <x:c r="B2296" s="6" t="n">
        <x:v>0.185</x:v>
      </x:c>
      <x:c r="C2296" s="6" t="n">
        <x:v>0.1108</x:v>
      </x:c>
      <x:c r="D2296" s="6" t="n">
        <x:f>B2296</x:f>
        <x:v>0.185</x:v>
      </x:c>
      <x:c r="E2296" s="1" t="n">
        <x:v>1.05</x:v>
      </x:c>
      <x:c r="F2296" s="1" t="str">
        <x:v>https://api.octopus.energy/v1/products/AGILE-24-10-01/electricity-tariffs/E-1R-AGILE-24-10-01-G/standard-unit-rates/</x:v>
      </x:c>
    </x:row>
    <x:row r="2297" ht="21" customHeight="1">
      <x:c r="A2297" s="24" t="n">
        <x:v>46196.354166666664</x:v>
      </x:c>
      <x:c r="B2297" s="6" t="n">
        <x:v>0.1766</x:v>
      </x:c>
      <x:c r="C2297" s="6" t="n">
        <x:v>0.107</x:v>
      </x:c>
      <x:c r="D2297" s="6" t="n">
        <x:f>B2297</x:f>
        <x:v>0.1766</x:v>
      </x:c>
      <x:c r="E2297" s="1" t="n">
        <x:v>1.05</x:v>
      </x:c>
      <x:c r="F2297" s="1" t="str">
        <x:v>https://api.octopus.energy/v1/products/AGILE-24-10-01/electricity-tariffs/E-1R-AGILE-24-10-01-G/standard-unit-rates/</x:v>
      </x:c>
    </x:row>
    <x:row r="2298" ht="21" customHeight="1">
      <x:c r="A2298" s="24" t="n">
        <x:v>46196.375</x:v>
      </x:c>
      <x:c r="B2298" s="6" t="n">
        <x:v>0.1514</x:v>
      </x:c>
      <x:c r="C2298" s="6" t="n">
        <x:v>0.0955</x:v>
      </x:c>
      <x:c r="D2298" s="6" t="n">
        <x:f>B2298</x:f>
        <x:v>0.1514</x:v>
      </x:c>
      <x:c r="E2298" s="1" t="n">
        <x:v>1.05</x:v>
      </x:c>
      <x:c r="F2298" s="1" t="str">
        <x:v>https://api.octopus.energy/v1/products/AGILE-24-10-01/electricity-tariffs/E-1R-AGILE-24-10-01-G/standard-unit-rates/</x:v>
      </x:c>
    </x:row>
    <x:row r="2299" ht="21" customHeight="1">
      <x:c r="A2299" s="24" t="n">
        <x:v>46196.395833333336</x:v>
      </x:c>
      <x:c r="B2299" s="6" t="n">
        <x:v>0.1535</x:v>
      </x:c>
      <x:c r="C2299" s="6" t="n">
        <x:v>0.0964</x:v>
      </x:c>
      <x:c r="D2299" s="6" t="n">
        <x:f>B2299</x:f>
        <x:v>0.1535</x:v>
      </x:c>
      <x:c r="E2299" s="1" t="n">
        <x:v>1.05</x:v>
      </x:c>
      <x:c r="F2299" s="1" t="str">
        <x:v>https://api.octopus.energy/v1/products/AGILE-24-10-01/electricity-tariffs/E-1R-AGILE-24-10-01-G/standard-unit-rates/</x:v>
      </x:c>
    </x:row>
    <x:row r="2300" ht="21" customHeight="1">
      <x:c r="A2300" s="24" t="n">
        <x:v>46196.416666666664</x:v>
      </x:c>
      <x:c r="B2300" s="6" t="n">
        <x:v>0.1539</x:v>
      </x:c>
      <x:c r="C2300" s="6" t="n">
        <x:v>0.0966</x:v>
      </x:c>
      <x:c r="D2300" s="6" t="n">
        <x:f>B2300</x:f>
        <x:v>0.1539</x:v>
      </x:c>
      <x:c r="E2300" s="1" t="n">
        <x:v>1.05</x:v>
      </x:c>
      <x:c r="F2300" s="1" t="str">
        <x:v>https://api.octopus.energy/v1/products/AGILE-24-10-01/electricity-tariffs/E-1R-AGILE-24-10-01-G/standard-unit-rates/</x:v>
      </x:c>
    </x:row>
    <x:row r="2301" ht="21" customHeight="1">
      <x:c r="A2301" s="24" t="n">
        <x:v>46196.4375</x:v>
      </x:c>
      <x:c r="B2301" s="6" t="n">
        <x:v>0.16399999999999998</x:v>
      </x:c>
      <x:c r="C2301" s="6" t="n">
        <x:v>0.1012</x:v>
      </x:c>
      <x:c r="D2301" s="6" t="n">
        <x:f>B2301</x:f>
        <x:v>0.16399999999999998</x:v>
      </x:c>
      <x:c r="E2301" s="1" t="n">
        <x:v>1.05</x:v>
      </x:c>
      <x:c r="F2301" s="1" t="str">
        <x:v>https://api.octopus.energy/v1/products/AGILE-24-10-01/electricity-tariffs/E-1R-AGILE-24-10-01-G/standard-unit-rates/</x:v>
      </x:c>
    </x:row>
    <x:row r="2302" ht="21" customHeight="1">
      <x:c r="A2302" s="24" t="n">
        <x:v>46196.458333333336</x:v>
      </x:c>
      <x:c r="B2302" s="6" t="n">
        <x:v>0.159</x:v>
      </x:c>
      <x:c r="C2302" s="6" t="n">
        <x:v>0.0989</x:v>
      </x:c>
      <x:c r="D2302" s="6" t="n">
        <x:f>B2302</x:f>
        <x:v>0.159</x:v>
      </x:c>
      <x:c r="E2302" s="1" t="n">
        <x:v>1.05</x:v>
      </x:c>
      <x:c r="F2302" s="1" t="str">
        <x:v>https://api.octopus.energy/v1/products/AGILE-24-10-01/electricity-tariffs/E-1R-AGILE-24-10-01-G/standard-unit-rates/</x:v>
      </x:c>
    </x:row>
    <x:row r="2303" ht="21" customHeight="1">
      <x:c r="A2303" s="24" t="n">
        <x:v>46196.479166666664</x:v>
      </x:c>
      <x:c r="B2303" s="6" t="n">
        <x:v>0.1518</x:v>
      </x:c>
      <x:c r="C2303" s="6" t="n">
        <x:v>0.09570000000000001</x:v>
      </x:c>
      <x:c r="D2303" s="6" t="n">
        <x:f>B2303</x:f>
        <x:v>0.1518</x:v>
      </x:c>
      <x:c r="E2303" s="1" t="n">
        <x:v>1.05</x:v>
      </x:c>
      <x:c r="F2303" s="1" t="str">
        <x:v>https://api.octopus.energy/v1/products/AGILE-24-10-01/electricity-tariffs/E-1R-AGILE-24-10-01-G/standard-unit-rates/</x:v>
      </x:c>
    </x:row>
    <x:row r="2304" ht="21" customHeight="1">
      <x:c r="A2304" s="24" t="n">
        <x:v>46196.5</x:v>
      </x:c>
      <x:c r="B2304" s="6" t="n">
        <x:v>0.15560000000000002</x:v>
      </x:c>
      <x:c r="C2304" s="6" t="n">
        <x:v>0.0974</x:v>
      </x:c>
      <x:c r="D2304" s="6" t="n">
        <x:f>B2304</x:f>
        <x:v>0.15560000000000002</x:v>
      </x:c>
      <x:c r="E2304" s="1" t="n">
        <x:v>1.05</x:v>
      </x:c>
      <x:c r="F2304" s="1" t="str">
        <x:v>https://api.octopus.energy/v1/products/AGILE-24-10-01/electricity-tariffs/E-1R-AGILE-24-10-01-G/standard-unit-rates/</x:v>
      </x:c>
    </x:row>
    <x:row r="2305" ht="21" customHeight="1">
      <x:c r="A2305" s="24" t="n">
        <x:v>46196.520833333336</x:v>
      </x:c>
      <x:c r="B2305" s="6" t="n">
        <x:v>0.1539</x:v>
      </x:c>
      <x:c r="C2305" s="6" t="n">
        <x:v>0.0966</x:v>
      </x:c>
      <x:c r="D2305" s="6" t="n">
        <x:f>B2305</x:f>
        <x:v>0.1539</x:v>
      </x:c>
      <x:c r="E2305" s="1" t="n">
        <x:v>1.05</x:v>
      </x:c>
      <x:c r="F2305" s="1" t="str">
        <x:v>https://api.octopus.energy/v1/products/AGILE-24-10-01/electricity-tariffs/E-1R-AGILE-24-10-01-G/standard-unit-rates/</x:v>
      </x:c>
    </x:row>
    <x:row r="2306" ht="21" customHeight="1">
      <x:c r="A2306" s="24" t="n">
        <x:v>46196.541666666664</x:v>
      </x:c>
      <x:c r="B2306" s="6" t="n">
        <x:v>0.1518</x:v>
      </x:c>
      <x:c r="C2306" s="6" t="n">
        <x:v>0.09570000000000001</x:v>
      </x:c>
      <x:c r="D2306" s="6" t="n">
        <x:f>B2306</x:f>
        <x:v>0.1518</x:v>
      </x:c>
      <x:c r="E2306" s="1" t="n">
        <x:v>1.05</x:v>
      </x:c>
      <x:c r="F2306" s="1" t="str">
        <x:v>https://api.octopus.energy/v1/products/AGILE-24-10-01/electricity-tariffs/E-1R-AGILE-24-10-01-G/standard-unit-rates/</x:v>
      </x:c>
    </x:row>
    <x:row r="2307" ht="21" customHeight="1">
      <x:c r="A2307" s="24" t="n">
        <x:v>46196.5625</x:v>
      </x:c>
      <x:c r="B2307" s="6" t="n">
        <x:v>0.1518</x:v>
      </x:c>
      <x:c r="C2307" s="6" t="n">
        <x:v>0.09570000000000001</x:v>
      </x:c>
      <x:c r="D2307" s="6" t="n">
        <x:f>B2307</x:f>
        <x:v>0.1518</x:v>
      </x:c>
      <x:c r="E2307" s="1" t="n">
        <x:v>1.05</x:v>
      </x:c>
      <x:c r="F2307" s="1" t="str">
        <x:v>https://api.octopus.energy/v1/products/AGILE-24-10-01/electricity-tariffs/E-1R-AGILE-24-10-01-G/standard-unit-rates/</x:v>
      </x:c>
    </x:row>
    <x:row r="2308" ht="21" customHeight="1">
      <x:c r="A2308" s="24" t="n">
        <x:v>46196.583333333336</x:v>
      </x:c>
      <x:c r="B2308" s="6" t="n">
        <x:v>0.1518</x:v>
      </x:c>
      <x:c r="C2308" s="6" t="n">
        <x:v>0.09570000000000001</x:v>
      </x:c>
      <x:c r="D2308" s="6" t="n">
        <x:f>B2308</x:f>
        <x:v>0.1518</x:v>
      </x:c>
      <x:c r="E2308" s="1" t="n">
        <x:v>1.05</x:v>
      </x:c>
      <x:c r="F2308" s="1" t="str">
        <x:v>https://api.octopus.energy/v1/products/AGILE-24-10-01/electricity-tariffs/E-1R-AGILE-24-10-01-G/standard-unit-rates/</x:v>
      </x:c>
    </x:row>
    <x:row r="2309" ht="21" customHeight="1">
      <x:c r="A2309" s="24" t="n">
        <x:v>46196.604166666664</x:v>
      </x:c>
      <x:c r="B2309" s="6" t="n">
        <x:v>0.1518</x:v>
      </x:c>
      <x:c r="C2309" s="6" t="n">
        <x:v>0.09570000000000001</x:v>
      </x:c>
      <x:c r="D2309" s="6" t="n">
        <x:f>B2309</x:f>
        <x:v>0.1518</x:v>
      </x:c>
      <x:c r="E2309" s="1" t="n">
        <x:v>1.05</x:v>
      </x:c>
      <x:c r="F2309" s="1" t="str">
        <x:v>https://api.octopus.energy/v1/products/AGILE-24-10-01/electricity-tariffs/E-1R-AGILE-24-10-01-G/standard-unit-rates/</x:v>
      </x:c>
    </x:row>
    <x:row r="2310" ht="21" customHeight="1">
      <x:c r="A2310" s="24" t="n">
        <x:v>46196.625</x:v>
      </x:c>
      <x:c r="B2310" s="6" t="n">
        <x:v>0.16399999999999998</x:v>
      </x:c>
      <x:c r="C2310" s="6" t="n">
        <x:v>0.1012</x:v>
      </x:c>
      <x:c r="D2310" s="6" t="n">
        <x:f>B2310</x:f>
        <x:v>0.16399999999999998</x:v>
      </x:c>
      <x:c r="E2310" s="1" t="n">
        <x:v>1.05</x:v>
      </x:c>
      <x:c r="F2310" s="1" t="str">
        <x:v>https://api.octopus.energy/v1/products/AGILE-24-10-01/electricity-tariffs/E-1R-AGILE-24-10-01-G/standard-unit-rates/</x:v>
      </x:c>
    </x:row>
    <x:row r="2311" ht="21" customHeight="1">
      <x:c r="A2311" s="24" t="n">
        <x:v>46196.645833333336</x:v>
      </x:c>
      <x:c r="B2311" s="6" t="n">
        <x:v>0.1671</x:v>
      </x:c>
      <x:c r="C2311" s="6" t="n">
        <x:v>0.1027</x:v>
      </x:c>
      <x:c r="D2311" s="6" t="n">
        <x:f>B2311</x:f>
        <x:v>0.1671</x:v>
      </x:c>
      <x:c r="E2311" s="1" t="n">
        <x:v>1.05</x:v>
      </x:c>
      <x:c r="F2311" s="1" t="str">
        <x:v>https://api.octopus.energy/v1/products/AGILE-24-10-01/electricity-tariffs/E-1R-AGILE-24-10-01-G/standard-unit-rates/</x:v>
      </x:c>
    </x:row>
    <x:row r="2312" ht="21" customHeight="1">
      <x:c r="A2312" s="24" t="n">
        <x:v>46196.666666666664</x:v>
      </x:c>
      <x:c r="B2312" s="6" t="n">
        <x:v>0.33159999999999995</x:v>
      </x:c>
      <x:c r="C2312" s="6" t="n">
        <x:v>0.1819</x:v>
      </x:c>
      <x:c r="D2312" s="6" t="n">
        <x:f>B2312</x:f>
        <x:v>0.33159999999999995</x:v>
      </x:c>
      <x:c r="E2312" s="1" t="n">
        <x:v>1.05</x:v>
      </x:c>
      <x:c r="F2312" s="1" t="str">
        <x:v>https://api.octopus.energy/v1/products/AGILE-24-10-01/electricity-tariffs/E-1R-AGILE-24-10-01-G/standard-unit-rates/</x:v>
      </x:c>
    </x:row>
    <x:row r="2313" ht="21" customHeight="1">
      <x:c r="A2313" s="24" t="n">
        <x:v>46196.6875</x:v>
      </x:c>
      <x:c r="B2313" s="6" t="n">
        <x:v>0.3281</x:v>
      </x:c>
      <x:c r="C2313" s="6" t="n">
        <x:v>0.18030000000000002</x:v>
      </x:c>
      <x:c r="D2313" s="6" t="n">
        <x:f>B2313</x:f>
        <x:v>0.3281</x:v>
      </x:c>
      <x:c r="E2313" s="1" t="n">
        <x:v>1.05</x:v>
      </x:c>
      <x:c r="F2313" s="1" t="str">
        <x:v>https://api.octopus.energy/v1/products/AGILE-24-10-01/electricity-tariffs/E-1R-AGILE-24-10-01-G/standard-unit-rates/</x:v>
      </x:c>
    </x:row>
    <x:row r="2314" ht="21" customHeight="1">
      <x:c r="A2314" s="24" t="n">
        <x:v>46196.708333333336</x:v>
      </x:c>
      <x:c r="B2314" s="6" t="n">
        <x:v>0.4028</x:v>
      </x:c>
      <x:c r="C2314" s="6" t="n">
        <x:v>0.2144</x:v>
      </x:c>
      <x:c r="D2314" s="6" t="n">
        <x:f>B2314</x:f>
        <x:v>0.4028</x:v>
      </x:c>
      <x:c r="E2314" s="1" t="n">
        <x:v>1.05</x:v>
      </x:c>
      <x:c r="F2314" s="1" t="str">
        <x:v>https://api.octopus.energy/v1/products/AGILE-24-10-01/electricity-tariffs/E-1R-AGILE-24-10-01-G/standard-unit-rates/</x:v>
      </x:c>
    </x:row>
    <x:row r="2315" ht="21" customHeight="1">
      <x:c r="A2315" s="24" t="n">
        <x:v>46196.729166666664</x:v>
      </x:c>
      <x:c r="B2315" s="6" t="n">
        <x:v>0.4499</x:v>
      </x:c>
      <x:c r="C2315" s="6" t="n">
        <x:v>0.23600000000000002</x:v>
      </x:c>
      <x:c r="D2315" s="6" t="n">
        <x:f>B2315</x:f>
        <x:v>0.4499</x:v>
      </x:c>
      <x:c r="E2315" s="1" t="n">
        <x:v>1.05</x:v>
      </x:c>
      <x:c r="F2315" s="1" t="str">
        <x:v>https://api.octopus.energy/v1/products/AGILE-24-10-01/electricity-tariffs/E-1R-AGILE-24-10-01-G/standard-unit-rates/</x:v>
      </x:c>
    </x:row>
    <x:row r="2316" ht="21" customHeight="1">
      <x:c r="A2316" s="24" t="n">
        <x:v>46196.75</x:v>
      </x:c>
      <x:c r="B2316" s="6" t="n">
        <x:v>0.528</x:v>
      </x:c>
      <x:c r="C2316" s="6" t="n">
        <x:v>0.2717</x:v>
      </x:c>
      <x:c r="D2316" s="6" t="n">
        <x:f>B2316</x:f>
        <x:v>0.528</x:v>
      </x:c>
      <x:c r="E2316" s="1" t="n">
        <x:v>1.05</x:v>
      </x:c>
      <x:c r="F2316" s="1" t="str">
        <x:v>https://api.octopus.energy/v1/products/AGILE-24-10-01/electricity-tariffs/E-1R-AGILE-24-10-01-G/standard-unit-rates/</x:v>
      </x:c>
    </x:row>
    <x:row r="2317" ht="21" customHeight="1">
      <x:c r="A2317" s="24" t="n">
        <x:v>46196.770833333336</x:v>
      </x:c>
      <x:c r="B2317" s="6" t="n">
        <x:v>0.5801</x:v>
      </x:c>
      <x:c r="C2317" s="6" t="n">
        <x:v>0.2955</x:v>
      </x:c>
      <x:c r="D2317" s="6" t="n">
        <x:f>B2317</x:f>
        <x:v>0.5801</x:v>
      </x:c>
      <x:c r="E2317" s="1" t="n">
        <x:v>1.05</x:v>
      </x:c>
      <x:c r="F2317" s="1" t="str">
        <x:v>https://api.octopus.energy/v1/products/AGILE-24-10-01/electricity-tariffs/E-1R-AGILE-24-10-01-G/standard-unit-rates/</x:v>
      </x:c>
    </x:row>
    <x:row r="2318" ht="21" customHeight="1">
      <x:c r="A2318" s="24" t="n">
        <x:v>46196.791666666664</x:v>
      </x:c>
      <x:c r="B2318" s="6" t="n">
        <x:v>0.49369999999999997</x:v>
      </x:c>
      <x:c r="C2318" s="6" t="n">
        <x:v>0.252</x:v>
      </x:c>
      <x:c r="D2318" s="6" t="n">
        <x:f>B2318</x:f>
        <x:v>0.49369999999999997</x:v>
      </x:c>
      <x:c r="E2318" s="1" t="n">
        <x:v>1.05</x:v>
      </x:c>
      <x:c r="F2318" s="1" t="str">
        <x:v>https://api.octopus.energy/v1/products/AGILE-24-10-01/electricity-tariffs/E-1R-AGILE-24-10-01-G/standard-unit-rates/</x:v>
      </x:c>
    </x:row>
    <x:row r="2319" ht="21" customHeight="1">
      <x:c r="A2319" s="24" t="n">
        <x:v>46196.8125</x:v>
      </x:c>
      <x:c r="B2319" s="6" t="n">
        <x:v>0.49979999999999997</x:v>
      </x:c>
      <x:c r="C2319" s="6" t="n">
        <x:v>0.2547</x:v>
      </x:c>
      <x:c r="D2319" s="6" t="n">
        <x:f>B2319</x:f>
        <x:v>0.49979999999999997</x:v>
      </x:c>
      <x:c r="E2319" s="1" t="n">
        <x:v>1.05</x:v>
      </x:c>
      <x:c r="F2319" s="1" t="str">
        <x:v>https://api.octopus.energy/v1/products/AGILE-24-10-01/electricity-tariffs/E-1R-AGILE-24-10-01-G/standard-unit-rates/</x:v>
      </x:c>
    </x:row>
    <x:row r="2320" ht="21" customHeight="1">
      <x:c r="A2320" s="24" t="n">
        <x:v>46196.833333333336</x:v>
      </x:c>
      <x:c r="B2320" s="6" t="n">
        <x:v>0.4928</x:v>
      </x:c>
      <x:c r="C2320" s="6" t="n">
        <x:v>0.2515</x:v>
      </x:c>
      <x:c r="D2320" s="6" t="n">
        <x:f>B2320</x:f>
        <x:v>0.4928</x:v>
      </x:c>
      <x:c r="E2320" s="1" t="n">
        <x:v>1.05</x:v>
      </x:c>
      <x:c r="F2320" s="1" t="str">
        <x:v>https://api.octopus.energy/v1/products/AGILE-24-10-01/electricity-tariffs/E-1R-AGILE-24-10-01-G/standard-unit-rates/</x:v>
      </x:c>
    </x:row>
    <x:row r="2321" ht="21" customHeight="1">
      <x:c r="A2321" s="24" t="n">
        <x:v>46196.854166666664</x:v>
      </x:c>
      <x:c r="B2321" s="6" t="n">
        <x:v>0.5042</x:v>
      </x:c>
      <x:c r="C2321" s="6" t="n">
        <x:v>0.2568</x:v>
      </x:c>
      <x:c r="D2321" s="6" t="n">
        <x:f>B2321</x:f>
        <x:v>0.5042</x:v>
      </x:c>
      <x:c r="E2321" s="1" t="n">
        <x:v>1.05</x:v>
      </x:c>
      <x:c r="F2321" s="1" t="str">
        <x:v>https://api.octopus.energy/v1/products/AGILE-24-10-01/electricity-tariffs/E-1R-AGILE-24-10-01-G/standard-unit-rates/</x:v>
      </x:c>
    </x:row>
    <x:row r="2322" ht="21" customHeight="1">
      <x:c r="A2322" s="24" t="n">
        <x:v>46196.875</x:v>
      </x:c>
      <x:c r="B2322" s="6" t="n">
        <x:v>0.4622</x:v>
      </x:c>
      <x:c r="C2322" s="6" t="n">
        <x:v>0.2376</x:v>
      </x:c>
      <x:c r="D2322" s="6" t="n">
        <x:f>B2322</x:f>
        <x:v>0.4622</x:v>
      </x:c>
      <x:c r="E2322" s="1" t="n">
        <x:v>1.05</x:v>
      </x:c>
      <x:c r="F2322" s="1" t="str">
        <x:v>https://api.octopus.energy/v1/products/AGILE-24-10-01/electricity-tariffs/E-1R-AGILE-24-10-01-G/standard-unit-rates/</x:v>
      </x:c>
    </x:row>
    <x:row r="2323" ht="21" customHeight="1">
      <x:c r="A2323" s="24" t="n">
        <x:v>46196.895833333336</x:v>
      </x:c>
      <x:c r="B2323" s="6" t="n">
        <x:v>0.4307</x:v>
      </x:c>
      <x:c r="C2323" s="6" t="n">
        <x:v>0.2232</x:v>
      </x:c>
      <x:c r="D2323" s="6" t="n">
        <x:f>B2323</x:f>
        <x:v>0.4307</x:v>
      </x:c>
      <x:c r="E2323" s="1" t="n">
        <x:v>1.05</x:v>
      </x:c>
      <x:c r="F2323" s="1" t="str">
        <x:v>https://api.octopus.energy/v1/products/AGILE-24-10-01/electricity-tariffs/E-1R-AGILE-24-10-01-G/standard-unit-rates/</x:v>
      </x:c>
    </x:row>
    <x:row r="2324" ht="21" customHeight="1">
      <x:c r="A2324" s="24" t="n">
        <x:v>46196.916666666664</x:v>
      </x:c>
      <x:c r="B2324" s="6" t="n">
        <x:v>0.38439999999999996</x:v>
      </x:c>
      <x:c r="C2324" s="6" t="n">
        <x:v>0.20199999999999999</x:v>
      </x:c>
      <x:c r="D2324" s="6" t="n">
        <x:f>B2324</x:f>
        <x:v>0.38439999999999996</x:v>
      </x:c>
      <x:c r="E2324" s="1" t="n">
        <x:v>1.05</x:v>
      </x:c>
      <x:c r="F2324" s="1" t="str">
        <x:v>https://api.octopus.energy/v1/products/AGILE-24-10-01/electricity-tariffs/E-1R-AGILE-24-10-01-G/standard-unit-rates/</x:v>
      </x:c>
    </x:row>
    <x:row r="2325" ht="21" customHeight="1">
      <x:c r="A2325" s="24" t="n">
        <x:v>46196.9375</x:v>
      </x:c>
      <x:c r="B2325" s="6" t="n">
        <x:v>0.35240000000000005</x:v>
      </x:c>
      <x:c r="C2325" s="6" t="n">
        <x:v>0.18739999999999998</x:v>
      </x:c>
      <x:c r="D2325" s="6" t="n">
        <x:f>B2325</x:f>
        <x:v>0.35240000000000005</x:v>
      </x:c>
      <x:c r="E2325" s="1" t="n">
        <x:v>1.05</x:v>
      </x:c>
      <x:c r="F2325" s="1" t="str">
        <x:v>https://api.octopus.energy/v1/products/AGILE-24-10-01/electricity-tariffs/E-1R-AGILE-24-10-01-G/standard-unit-rates/</x:v>
      </x:c>
    </x:row>
    <x:row r="2326" ht="21" customHeight="1">
      <x:c r="A2326" s="24" t="n">
        <x:v>46197</x:v>
      </x:c>
      <x:c r="B2326" s="6" t="n">
        <x:v>0.2638</x:v>
      </x:c>
      <x:c r="C2326" s="6" t="n">
        <x:v>0.14679999999999999</x:v>
      </x:c>
      <x:c r="D2326" s="6" t="n">
        <x:f>B2326</x:f>
        <x:v>0.2638</x:v>
      </x:c>
      <x:c r="E2326" s="1" t="n">
        <x:v>1.05</x:v>
      </x:c>
      <x:c r="F2326" s="1" t="str">
        <x:v>https://api.octopus.energy/v1/products/AGILE-24-10-01/electricity-tariffs/E-1R-AGILE-24-10-01-G/standard-unit-rates/</x:v>
      </x:c>
    </x:row>
    <x:row r="2327" ht="21" customHeight="1">
      <x:c r="A2327" s="24" t="n">
        <x:v>46196.979166666664</x:v>
      </x:c>
      <x:c r="B2327" s="6" t="n">
        <x:v>0.2426</x:v>
      </x:c>
      <x:c r="C2327" s="6" t="n">
        <x:v>0.13720000000000002</x:v>
      </x:c>
      <x:c r="D2327" s="6" t="n">
        <x:f>B2327</x:f>
        <x:v>0.2426</x:v>
      </x:c>
      <x:c r="E2327" s="1" t="n">
        <x:v>1.05</x:v>
      </x:c>
      <x:c r="F2327" s="1" t="str">
        <x:v>https://api.octopus.energy/v1/products/AGILE-24-10-01/electricity-tariffs/E-1R-AGILE-24-10-01-G/standard-unit-rates/</x:v>
      </x:c>
    </x:row>
    <x:row r="2328" ht="21" customHeight="1">
      <x:c r="A2328" s="24" t="n">
        <x:v>46197</x:v>
      </x:c>
      <x:c r="B2328" s="6" t="n">
        <x:v>0.2236</x:v>
      </x:c>
      <x:c r="C2328" s="6" t="n">
        <x:v>0.1285</x:v>
      </x:c>
      <x:c r="D2328" s="6" t="n">
        <x:f>B2328</x:f>
        <x:v>0.2236</x:v>
      </x:c>
      <x:c r="E2328" s="1" t="n">
        <x:v>1.05</x:v>
      </x:c>
      <x:c r="F2328" s="1" t="str">
        <x:v>https://api.octopus.energy/v1/products/AGILE-24-10-01/electricity-tariffs/E-1R-AGILE-24-10-01-G/standard-unit-rates/</x:v>
      </x:c>
    </x:row>
    <x:row r="2329" ht="21" customHeight="1">
      <x:c r="A2329" s="24" t="n">
        <x:v>46197.020833333336</x:v>
      </x:c>
      <x:c r="B2329" s="6" t="n">
        <x:v>0.222</x:v>
      </x:c>
      <x:c r="C2329" s="6" t="n">
        <x:v>0.1277</x:v>
      </x:c>
      <x:c r="D2329" s="6" t="n">
        <x:f>B2329</x:f>
        <x:v>0.222</x:v>
      </x:c>
      <x:c r="E2329" s="1" t="n">
        <x:v>1.05</x:v>
      </x:c>
      <x:c r="F2329" s="1" t="str">
        <x:v>https://api.octopus.energy/v1/products/AGILE-24-10-01/electricity-tariffs/E-1R-AGILE-24-10-01-G/standard-unit-rates/</x:v>
      </x:c>
    </x:row>
    <x:row r="2330" ht="21" customHeight="1">
      <x:c r="A2330" s="24" t="n">
        <x:v>46197.041666666664</x:v>
      </x:c>
      <x:c r="B2330" s="6" t="n">
        <x:v>0.2094</x:v>
      </x:c>
      <x:c r="C2330" s="6" t="n">
        <x:v>0.122</x:v>
      </x:c>
      <x:c r="D2330" s="6" t="n">
        <x:f>B2330</x:f>
        <x:v>0.2094</x:v>
      </x:c>
      <x:c r="E2330" s="1" t="n">
        <x:v>1.05</x:v>
      </x:c>
      <x:c r="F2330" s="1" t="str">
        <x:v>https://api.octopus.energy/v1/products/AGILE-24-10-01/electricity-tariffs/E-1R-AGILE-24-10-01-G/standard-unit-rates/</x:v>
      </x:c>
    </x:row>
    <x:row r="2331" ht="21" customHeight="1">
      <x:c r="A2331" s="24" t="n">
        <x:v>46197.0625</x:v>
      </x:c>
      <x:c r="B2331" s="6" t="n">
        <x:v>0.2152</x:v>
      </x:c>
      <x:c r="C2331" s="6" t="n">
        <x:v>0.1247</x:v>
      </x:c>
      <x:c r="D2331" s="6" t="n">
        <x:f>B2331</x:f>
        <x:v>0.2152</x:v>
      </x:c>
      <x:c r="E2331" s="1" t="n">
        <x:v>1.05</x:v>
      </x:c>
      <x:c r="F2331" s="1" t="str">
        <x:v>https://api.octopus.energy/v1/products/AGILE-24-10-01/electricity-tariffs/E-1R-AGILE-24-10-01-G/standard-unit-rates/</x:v>
      </x:c>
    </x:row>
    <x:row r="2332" ht="21" customHeight="1">
      <x:c r="A2332" s="24" t="n">
        <x:v>46197.083333333336</x:v>
      </x:c>
      <x:c r="B2332" s="6" t="n">
        <x:v>0.20350000000000001</x:v>
      </x:c>
      <x:c r="C2332" s="6" t="n">
        <x:v>0.1193</x:v>
      </x:c>
      <x:c r="D2332" s="6" t="n">
        <x:f>B2332</x:f>
        <x:v>0.20350000000000001</x:v>
      </x:c>
      <x:c r="E2332" s="1" t="n">
        <x:v>1.05</x:v>
      </x:c>
      <x:c r="F2332" s="1" t="str">
        <x:v>https://api.octopus.energy/v1/products/AGILE-24-10-01/electricity-tariffs/E-1R-AGILE-24-10-01-G/standard-unit-rates/</x:v>
      </x:c>
    </x:row>
    <x:row r="2333" ht="21" customHeight="1">
      <x:c r="A2333" s="24" t="n">
        <x:v>46197.104166666664</x:v>
      </x:c>
      <x:c r="B2333" s="6" t="n">
        <x:v>0.2026</x:v>
      </x:c>
      <x:c r="C2333" s="6" t="n">
        <x:v>0.1189</x:v>
      </x:c>
      <x:c r="D2333" s="6" t="n">
        <x:f>B2333</x:f>
        <x:v>0.2026</x:v>
      </x:c>
      <x:c r="E2333" s="1" t="n">
        <x:v>1.05</x:v>
      </x:c>
      <x:c r="F2333" s="1" t="str">
        <x:v>https://api.octopus.energy/v1/products/AGILE-24-10-01/electricity-tariffs/E-1R-AGILE-24-10-01-G/standard-unit-rates/</x:v>
      </x:c>
    </x:row>
    <x:row r="2334" ht="21" customHeight="1">
      <x:c r="A2334" s="24" t="n">
        <x:v>46197.125</x:v>
      </x:c>
      <x:c r="B2334" s="6" t="n">
        <x:v>0.20350000000000001</x:v>
      </x:c>
      <x:c r="C2334" s="6" t="n">
        <x:v>0.1193</x:v>
      </x:c>
      <x:c r="D2334" s="6" t="n">
        <x:f>B2334</x:f>
        <x:v>0.20350000000000001</x:v>
      </x:c>
      <x:c r="E2334" s="1" t="n">
        <x:v>1.05</x:v>
      </x:c>
      <x:c r="F2334" s="1" t="str">
        <x:v>https://api.octopus.energy/v1/products/AGILE-24-10-01/electricity-tariffs/E-1R-AGILE-24-10-01-G/standard-unit-rates/</x:v>
      </x:c>
    </x:row>
    <x:row r="2335" ht="21" customHeight="1">
      <x:c r="A2335" s="24" t="n">
        <x:v>46197.145833333336</x:v>
      </x:c>
      <x:c r="B2335" s="6" t="n">
        <x:v>0.2053</x:v>
      </x:c>
      <x:c r="C2335" s="6" t="n">
        <x:v>0.1201</x:v>
      </x:c>
      <x:c r="D2335" s="6" t="n">
        <x:f>B2335</x:f>
        <x:v>0.2053</x:v>
      </x:c>
      <x:c r="E2335" s="1" t="n">
        <x:v>1.05</x:v>
      </x:c>
      <x:c r="F2335" s="1" t="str">
        <x:v>https://api.octopus.energy/v1/products/AGILE-24-10-01/electricity-tariffs/E-1R-AGILE-24-10-01-G/standard-unit-rates/</x:v>
      </x:c>
    </x:row>
    <x:row r="2336" ht="21" customHeight="1">
      <x:c r="A2336" s="24" t="n">
        <x:v>46197.166666666664</x:v>
      </x:c>
      <x:c r="B2336" s="6" t="n">
        <x:v>0.2052</x:v>
      </x:c>
      <x:c r="C2336" s="6" t="n">
        <x:v>0.1201</x:v>
      </x:c>
      <x:c r="D2336" s="6" t="n">
        <x:f>B2336</x:f>
        <x:v>0.2052</x:v>
      </x:c>
      <x:c r="E2336" s="1" t="n">
        <x:v>1.05</x:v>
      </x:c>
      <x:c r="F2336" s="1" t="str">
        <x:v>https://api.octopus.energy/v1/products/AGILE-24-10-01/electricity-tariffs/E-1R-AGILE-24-10-01-G/standard-unit-rates/</x:v>
      </x:c>
    </x:row>
    <x:row r="2337" ht="21" customHeight="1">
      <x:c r="A2337" s="24" t="n">
        <x:v>46197.1875</x:v>
      </x:c>
      <x:c r="B2337" s="6" t="n">
        <x:v>0.20809999999999998</x:v>
      </x:c>
      <x:c r="C2337" s="6" t="n">
        <x:v>0.12140000000000001</x:v>
      </x:c>
      <x:c r="D2337" s="6" t="n">
        <x:f>B2337</x:f>
        <x:v>0.20809999999999998</x:v>
      </x:c>
      <x:c r="E2337" s="1" t="n">
        <x:v>1.05</x:v>
      </x:c>
      <x:c r="F2337" s="1" t="str">
        <x:v>https://api.octopus.energy/v1/products/AGILE-24-10-01/electricity-tariffs/E-1R-AGILE-24-10-01-G/standard-unit-rates/</x:v>
      </x:c>
    </x:row>
    <x:row r="2338" ht="21" customHeight="1">
      <x:c r="A2338" s="24" t="n">
        <x:v>46197.208333333336</x:v>
      </x:c>
      <x:c r="B2338" s="6" t="n">
        <x:v>0.21899999999999997</x:v>
      </x:c>
      <x:c r="C2338" s="6" t="n">
        <x:v>0.1264</x:v>
      </x:c>
      <x:c r="D2338" s="6" t="n">
        <x:f>B2338</x:f>
        <x:v>0.21899999999999997</x:v>
      </x:c>
      <x:c r="E2338" s="1" t="n">
        <x:v>1.05</x:v>
      </x:c>
      <x:c r="F2338" s="1" t="str">
        <x:v>https://api.octopus.energy/v1/products/AGILE-24-10-01/electricity-tariffs/E-1R-AGILE-24-10-01-G/standard-unit-rates/</x:v>
      </x:c>
    </x:row>
    <x:row r="2339" ht="21" customHeight="1">
      <x:c r="A2339" s="24" t="n">
        <x:v>46197.229166666664</x:v>
      </x:c>
      <x:c r="B2339" s="6" t="n">
        <x:v>0.222</x:v>
      </x:c>
      <x:c r="C2339" s="6" t="n">
        <x:v>0.1277</x:v>
      </x:c>
      <x:c r="D2339" s="6" t="n">
        <x:f>B2339</x:f>
        <x:v>0.222</x:v>
      </x:c>
      <x:c r="E2339" s="1" t="n">
        <x:v>1.05</x:v>
      </x:c>
      <x:c r="F2339" s="1" t="str">
        <x:v>https://api.octopus.energy/v1/products/AGILE-24-10-01/electricity-tariffs/E-1R-AGILE-24-10-01-G/standard-unit-rates/</x:v>
      </x:c>
    </x:row>
    <x:row r="2340" ht="21" customHeight="1">
      <x:c r="A2340" s="24" t="n">
        <x:v>46197.25</x:v>
      </x:c>
      <x:c r="B2340" s="6" t="n">
        <x:v>0.239</x:v>
      </x:c>
      <x:c r="C2340" s="6" t="n">
        <x:v>0.1355</x:v>
      </x:c>
      <x:c r="D2340" s="6" t="n">
        <x:f>B2340</x:f>
        <x:v>0.239</x:v>
      </x:c>
      <x:c r="E2340" s="1" t="n">
        <x:v>1.05</x:v>
      </x:c>
      <x:c r="F2340" s="1" t="str">
        <x:v>https://api.octopus.energy/v1/products/AGILE-24-10-01/electricity-tariffs/E-1R-AGILE-24-10-01-G/standard-unit-rates/</x:v>
      </x:c>
    </x:row>
    <x:row r="2341" ht="21" customHeight="1">
      <x:c r="A2341" s="24" t="n">
        <x:v>46197.270833333336</x:v>
      </x:c>
      <x:c r="B2341" s="6" t="n">
        <x:v>0.2587</x:v>
      </x:c>
      <x:c r="C2341" s="6" t="n">
        <x:v>0.1445</x:v>
      </x:c>
      <x:c r="D2341" s="6" t="n">
        <x:f>B2341</x:f>
        <x:v>0.2587</x:v>
      </x:c>
      <x:c r="E2341" s="1" t="n">
        <x:v>1.05</x:v>
      </x:c>
      <x:c r="F2341" s="1" t="str">
        <x:v>https://api.octopus.energy/v1/products/AGILE-24-10-01/electricity-tariffs/E-1R-AGILE-24-10-01-G/standard-unit-rates/</x:v>
      </x:c>
    </x:row>
    <x:row r="2342" ht="21" customHeight="1">
      <x:c r="A2342" s="24" t="n">
        <x:v>46197.291666666664</x:v>
      </x:c>
      <x:c r="B2342" s="6" t="n">
        <x:v>0.2332</x:v>
      </x:c>
      <x:c r="C2342" s="6" t="n">
        <x:v>0.1329</x:v>
      </x:c>
      <x:c r="D2342" s="6" t="n">
        <x:f>B2342</x:f>
        <x:v>0.2332</x:v>
      </x:c>
      <x:c r="E2342" s="1" t="n">
        <x:v>1.05</x:v>
      </x:c>
      <x:c r="F2342" s="1" t="str">
        <x:v>https://api.octopus.energy/v1/products/AGILE-24-10-01/electricity-tariffs/E-1R-AGILE-24-10-01-G/standard-unit-rates/</x:v>
      </x:c>
    </x:row>
    <x:row r="2343" ht="21" customHeight="1">
      <x:c r="A2343" s="24" t="n">
        <x:v>46197.3125</x:v>
      </x:c>
      <x:c r="B2343" s="6" t="n">
        <x:v>0.2432</x:v>
      </x:c>
      <x:c r="C2343" s="6" t="n">
        <x:v>0.1375</x:v>
      </x:c>
      <x:c r="D2343" s="6" t="n">
        <x:f>B2343</x:f>
        <x:v>0.2432</x:v>
      </x:c>
      <x:c r="E2343" s="1" t="n">
        <x:v>1.05</x:v>
      </x:c>
      <x:c r="F2343" s="1" t="str">
        <x:v>https://api.octopus.energy/v1/products/AGILE-24-10-01/electricity-tariffs/E-1R-AGILE-24-10-01-G/standard-unit-rates/</x:v>
      </x:c>
    </x:row>
    <x:row r="2344" ht="21" customHeight="1">
      <x:c r="A2344" s="24" t="n">
        <x:v>46197.333333333336</x:v>
      </x:c>
      <x:c r="B2344" s="6" t="n">
        <x:v>0.1928</x:v>
      </x:c>
      <x:c r="C2344" s="6" t="n">
        <x:v>0.1144</x:v>
      </x:c>
      <x:c r="D2344" s="6" t="n">
        <x:f>B2344</x:f>
        <x:v>0.1928</x:v>
      </x:c>
      <x:c r="E2344" s="1" t="n">
        <x:v>1.05</x:v>
      </x:c>
      <x:c r="F2344" s="1" t="str">
        <x:v>https://api.octopus.energy/v1/products/AGILE-24-10-01/electricity-tariffs/E-1R-AGILE-24-10-01-G/standard-unit-rates/</x:v>
      </x:c>
    </x:row>
    <x:row r="2345" ht="21" customHeight="1">
      <x:c r="A2345" s="24" t="n">
        <x:v>46197.354166666664</x:v>
      </x:c>
      <x:c r="B2345" s="6" t="n">
        <x:v>0.1838</x:v>
      </x:c>
      <x:c r="C2345" s="6" t="n">
        <x:v>0.1103</x:v>
      </x:c>
      <x:c r="D2345" s="6" t="n">
        <x:f>B2345</x:f>
        <x:v>0.1838</x:v>
      </x:c>
      <x:c r="E2345" s="1" t="n">
        <x:v>1.05</x:v>
      </x:c>
      <x:c r="F2345" s="1" t="str">
        <x:v>https://api.octopus.energy/v1/products/AGILE-24-10-01/electricity-tariffs/E-1R-AGILE-24-10-01-G/standard-unit-rates/</x:v>
      </x:c>
    </x:row>
    <x:row r="2346" ht="21" customHeight="1">
      <x:c r="A2346" s="24" t="n">
        <x:v>46197.375</x:v>
      </x:c>
      <x:c r="B2346" s="6" t="n">
        <x:v>0.1934</x:v>
      </x:c>
      <x:c r="C2346" s="6" t="n">
        <x:v>0.11470000000000001</x:v>
      </x:c>
      <x:c r="D2346" s="6" t="n">
        <x:f>B2346</x:f>
        <x:v>0.1934</x:v>
      </x:c>
      <x:c r="E2346" s="1" t="n">
        <x:v>1.05</x:v>
      </x:c>
      <x:c r="F2346" s="1" t="str">
        <x:v>https://api.octopus.energy/v1/products/AGILE-24-10-01/electricity-tariffs/E-1R-AGILE-24-10-01-G/standard-unit-rates/</x:v>
      </x:c>
    </x:row>
    <x:row r="2347" ht="21" customHeight="1">
      <x:c r="A2347" s="24" t="n">
        <x:v>46197.395833333336</x:v>
      </x:c>
      <x:c r="B2347" s="6" t="n">
        <x:v>0.185</x:v>
      </x:c>
      <x:c r="C2347" s="6" t="n">
        <x:v>0.1108</x:v>
      </x:c>
      <x:c r="D2347" s="6" t="n">
        <x:f>B2347</x:f>
        <x:v>0.185</x:v>
      </x:c>
      <x:c r="E2347" s="1" t="n">
        <x:v>1.05</x:v>
      </x:c>
      <x:c r="F2347" s="1" t="str">
        <x:v>https://api.octopus.energy/v1/products/AGILE-24-10-01/electricity-tariffs/E-1R-AGILE-24-10-01-G/standard-unit-rates/</x:v>
      </x:c>
    </x:row>
    <x:row r="2348" ht="21" customHeight="1">
      <x:c r="A2348" s="24" t="n">
        <x:v>46197.416666666664</x:v>
      </x:c>
      <x:c r="B2348" s="6" t="n">
        <x:v>0.1534</x:v>
      </x:c>
      <x:c r="C2348" s="6" t="n">
        <x:v>0.0964</x:v>
      </x:c>
      <x:c r="D2348" s="6" t="n">
        <x:f>B2348</x:f>
        <x:v>0.1534</x:v>
      </x:c>
      <x:c r="E2348" s="1" t="n">
        <x:v>1.05</x:v>
      </x:c>
      <x:c r="F2348" s="1" t="str">
        <x:v>https://api.octopus.energy/v1/products/AGILE-24-10-01/electricity-tariffs/E-1R-AGILE-24-10-01-G/standard-unit-rates/</x:v>
      </x:c>
    </x:row>
    <x:row r="2349" ht="21" customHeight="1">
      <x:c r="A2349" s="24" t="n">
        <x:v>46197.4375</x:v>
      </x:c>
      <x:c r="B2349" s="6" t="n">
        <x:v>0.1577</x:v>
      </x:c>
      <x:c r="C2349" s="6" t="n">
        <x:v>0.0984</x:v>
      </x:c>
      <x:c r="D2349" s="6" t="n">
        <x:f>B2349</x:f>
        <x:v>0.1577</x:v>
      </x:c>
      <x:c r="E2349" s="1" t="n">
        <x:v>1.05</x:v>
      </x:c>
      <x:c r="F2349" s="1" t="str">
        <x:v>https://api.octopus.energy/v1/products/AGILE-24-10-01/electricity-tariffs/E-1R-AGILE-24-10-01-G/standard-unit-rates/</x:v>
      </x:c>
    </x:row>
    <x:row r="2350" ht="21" customHeight="1">
      <x:c r="A2350" s="24" t="n">
        <x:v>46197.458333333336</x:v>
      </x:c>
      <x:c r="B2350" s="6" t="n">
        <x:v>0.1451</x:v>
      </x:c>
      <x:c r="C2350" s="6" t="n">
        <x:v>0.0926</x:v>
      </x:c>
      <x:c r="D2350" s="6" t="n">
        <x:f>B2350</x:f>
        <x:v>0.1451</x:v>
      </x:c>
      <x:c r="E2350" s="1" t="n">
        <x:v>1.05</x:v>
      </x:c>
      <x:c r="F2350" s="1" t="str">
        <x:v>https://api.octopus.energy/v1/products/AGILE-24-10-01/electricity-tariffs/E-1R-AGILE-24-10-01-G/standard-unit-rates/</x:v>
      </x:c>
    </x:row>
    <x:row r="2351" ht="21" customHeight="1">
      <x:c r="A2351" s="24" t="n">
        <x:v>46197.479166666664</x:v>
      </x:c>
      <x:c r="B2351" s="6" t="n">
        <x:v>0.1451</x:v>
      </x:c>
      <x:c r="C2351" s="6" t="n">
        <x:v>0.0926</x:v>
      </x:c>
      <x:c r="D2351" s="6" t="n">
        <x:f>B2351</x:f>
        <x:v>0.1451</x:v>
      </x:c>
      <x:c r="E2351" s="1" t="n">
        <x:v>1.05</x:v>
      </x:c>
      <x:c r="F2351" s="1" t="str">
        <x:v>https://api.octopus.energy/v1/products/AGILE-24-10-01/electricity-tariffs/E-1R-AGILE-24-10-01-G/standard-unit-rates/</x:v>
      </x:c>
    </x:row>
    <x:row r="2352" ht="21" customHeight="1">
      <x:c r="A2352" s="24" t="n">
        <x:v>46197.5</x:v>
      </x:c>
      <x:c r="B2352" s="6" t="n">
        <x:v>0.1451</x:v>
      </x:c>
      <x:c r="C2352" s="6" t="n">
        <x:v>0.0926</x:v>
      </x:c>
      <x:c r="D2352" s="6" t="n">
        <x:f>B2352</x:f>
        <x:v>0.1451</x:v>
      </x:c>
      <x:c r="E2352" s="1" t="n">
        <x:v>1.05</x:v>
      </x:c>
      <x:c r="F2352" s="1" t="str">
        <x:v>https://api.octopus.energy/v1/products/AGILE-24-10-01/electricity-tariffs/E-1R-AGILE-24-10-01-G/standard-unit-rates/</x:v>
      </x:c>
    </x:row>
    <x:row r="2353" ht="21" customHeight="1">
      <x:c r="A2353" s="24" t="n">
        <x:v>46197.520833333336</x:v>
      </x:c>
      <x:c r="B2353" s="6" t="n">
        <x:v>0.1451</x:v>
      </x:c>
      <x:c r="C2353" s="6" t="n">
        <x:v>0.0926</x:v>
      </x:c>
      <x:c r="D2353" s="6" t="n">
        <x:f>B2353</x:f>
        <x:v>0.1451</x:v>
      </x:c>
      <x:c r="E2353" s="1" t="n">
        <x:v>1.05</x:v>
      </x:c>
      <x:c r="F2353" s="1" t="str">
        <x:v>https://api.octopus.energy/v1/products/AGILE-24-10-01/electricity-tariffs/E-1R-AGILE-24-10-01-G/standard-unit-rates/</x:v>
      </x:c>
    </x:row>
    <x:row r="2354" ht="21" customHeight="1">
      <x:c r="A2354" s="24" t="n">
        <x:v>46197.541666666664</x:v>
      </x:c>
      <x:c r="B2354" s="6" t="n">
        <x:v>0.1451</x:v>
      </x:c>
      <x:c r="C2354" s="6" t="n">
        <x:v>0.0926</x:v>
      </x:c>
      <x:c r="D2354" s="6" t="n">
        <x:f>B2354</x:f>
        <x:v>0.1451</x:v>
      </x:c>
      <x:c r="E2354" s="1" t="n">
        <x:v>1.05</x:v>
      </x:c>
      <x:c r="F2354" s="1" t="str">
        <x:v>https://api.octopus.energy/v1/products/AGILE-24-10-01/electricity-tariffs/E-1R-AGILE-24-10-01-G/standard-unit-rates/</x:v>
      </x:c>
    </x:row>
    <x:row r="2355" ht="21" customHeight="1">
      <x:c r="A2355" s="24" t="n">
        <x:v>46197.5625</x:v>
      </x:c>
      <x:c r="B2355" s="6" t="n">
        <x:v>0.1409</x:v>
      </x:c>
      <x:c r="C2355" s="6" t="n">
        <x:v>0.0907</x:v>
      </x:c>
      <x:c r="D2355" s="6" t="n">
        <x:f>B2355</x:f>
        <x:v>0.1409</x:v>
      </x:c>
      <x:c r="E2355" s="1" t="n">
        <x:v>1.05</x:v>
      </x:c>
      <x:c r="F2355" s="1" t="str">
        <x:v>https://api.octopus.energy/v1/products/AGILE-24-10-01/electricity-tariffs/E-1R-AGILE-24-10-01-G/standard-unit-rates/</x:v>
      </x:c>
    </x:row>
    <x:row r="2356" ht="21" customHeight="1">
      <x:c r="A2356" s="24" t="n">
        <x:v>46197.583333333336</x:v>
      </x:c>
      <x:c r="B2356" s="6" t="n">
        <x:v>0.1451</x:v>
      </x:c>
      <x:c r="C2356" s="6" t="n">
        <x:v>0.0926</x:v>
      </x:c>
      <x:c r="D2356" s="6" t="n">
        <x:f>B2356</x:f>
        <x:v>0.1451</x:v>
      </x:c>
      <x:c r="E2356" s="1" t="n">
        <x:v>1.05</x:v>
      </x:c>
      <x:c r="F2356" s="1" t="str">
        <x:v>https://api.octopus.energy/v1/products/AGILE-24-10-01/electricity-tariffs/E-1R-AGILE-24-10-01-G/standard-unit-rates/</x:v>
      </x:c>
    </x:row>
    <x:row r="2357" ht="21" customHeight="1">
      <x:c r="A2357" s="24" t="n">
        <x:v>46197.604166666664</x:v>
      </x:c>
      <x:c r="B2357" s="6" t="n">
        <x:v>0.1451</x:v>
      </x:c>
      <x:c r="C2357" s="6" t="n">
        <x:v>0.0926</x:v>
      </x:c>
      <x:c r="D2357" s="6" t="n">
        <x:f>B2357</x:f>
        <x:v>0.1451</x:v>
      </x:c>
      <x:c r="E2357" s="1" t="n">
        <x:v>1.05</x:v>
      </x:c>
      <x:c r="F2357" s="1" t="str">
        <x:v>https://api.octopus.energy/v1/products/AGILE-24-10-01/electricity-tariffs/E-1R-AGILE-24-10-01-G/standard-unit-rates/</x:v>
      </x:c>
    </x:row>
    <x:row r="2358" ht="21" customHeight="1">
      <x:c r="A2358" s="24" t="n">
        <x:v>46197.625</x:v>
      </x:c>
      <x:c r="B2358" s="6" t="n">
        <x:v>0.1734</x:v>
      </x:c>
      <x:c r="C2358" s="6" t="n">
        <x:v>0.1056</x:v>
      </x:c>
      <x:c r="D2358" s="6" t="n">
        <x:f>B2358</x:f>
        <x:v>0.1734</x:v>
      </x:c>
      <x:c r="E2358" s="1" t="n">
        <x:v>1.05</x:v>
      </x:c>
      <x:c r="F2358" s="1" t="str">
        <x:v>https://api.octopus.energy/v1/products/AGILE-24-10-01/electricity-tariffs/E-1R-AGILE-24-10-01-G/standard-unit-rates/</x:v>
      </x:c>
    </x:row>
    <x:row r="2359" ht="21" customHeight="1">
      <x:c r="A2359" s="24" t="n">
        <x:v>46197.645833333336</x:v>
      </x:c>
      <x:c r="B2359" s="6" t="n">
        <x:v>0.1641</x:v>
      </x:c>
      <x:c r="C2359" s="6" t="n">
        <x:v>0.1013</x:v>
      </x:c>
      <x:c r="D2359" s="6" t="n">
        <x:f>B2359</x:f>
        <x:v>0.1641</x:v>
      </x:c>
      <x:c r="E2359" s="1" t="n">
        <x:v>1.05</x:v>
      </x:c>
      <x:c r="F2359" s="1" t="str">
        <x:v>https://api.octopus.energy/v1/products/AGILE-24-10-01/electricity-tariffs/E-1R-AGILE-24-10-01-G/standard-unit-rates/</x:v>
      </x:c>
    </x:row>
    <x:row r="2360" ht="21" customHeight="1">
      <x:c r="A2360" s="24" t="n">
        <x:v>46197.666666666664</x:v>
      </x:c>
      <x:c r="B2360" s="6" t="n">
        <x:v>0.305</x:v>
      </x:c>
      <x:c r="C2360" s="6" t="n">
        <x:v>0.1697</x:v>
      </x:c>
      <x:c r="D2360" s="6" t="n">
        <x:f>B2360</x:f>
        <x:v>0.305</x:v>
      </x:c>
      <x:c r="E2360" s="1" t="n">
        <x:v>1.05</x:v>
      </x:c>
      <x:c r="F2360" s="1" t="str">
        <x:v>https://api.octopus.energy/v1/products/AGILE-24-10-01/electricity-tariffs/E-1R-AGILE-24-10-01-G/standard-unit-rates/</x:v>
      </x:c>
    </x:row>
    <x:row r="2361" ht="21" customHeight="1">
      <x:c r="A2361" s="24" t="n">
        <x:v>46197.6875</x:v>
      </x:c>
      <x:c r="B2361" s="6" t="n">
        <x:v>0.32939999999999997</x:v>
      </x:c>
      <x:c r="C2361" s="6" t="n">
        <x:v>0.1809</x:v>
      </x:c>
      <x:c r="D2361" s="6" t="n">
        <x:f>B2361</x:f>
        <x:v>0.32939999999999997</x:v>
      </x:c>
      <x:c r="E2361" s="1" t="n">
        <x:v>1.05</x:v>
      </x:c>
      <x:c r="F2361" s="1" t="str">
        <x:v>https://api.octopus.energy/v1/products/AGILE-24-10-01/electricity-tariffs/E-1R-AGILE-24-10-01-G/standard-unit-rates/</x:v>
      </x:c>
    </x:row>
    <x:row r="2362" ht="21" customHeight="1">
      <x:c r="A2362" s="24" t="n">
        <x:v>46197.708333333336</x:v>
      </x:c>
      <x:c r="B2362" s="6" t="n">
        <x:v>0.42719999999999997</x:v>
      </x:c>
      <x:c r="C2362" s="6" t="n">
        <x:v>0.2256</x:v>
      </x:c>
      <x:c r="D2362" s="6" t="n">
        <x:f>B2362</x:f>
        <x:v>0.42719999999999997</x:v>
      </x:c>
      <x:c r="E2362" s="1" t="n">
        <x:v>1.05</x:v>
      </x:c>
      <x:c r="F2362" s="1" t="str">
        <x:v>https://api.octopus.energy/v1/products/AGILE-24-10-01/electricity-tariffs/E-1R-AGILE-24-10-01-G/standard-unit-rates/</x:v>
      </x:c>
    </x:row>
    <x:row r="2363" ht="21" customHeight="1">
      <x:c r="A2363" s="24" t="n">
        <x:v>46197.729166666664</x:v>
      </x:c>
      <x:c r="B2363" s="6" t="n">
        <x:v>0.5045000000000001</x:v>
      </x:c>
      <x:c r="C2363" s="6" t="n">
        <x:v>0.2609</x:v>
      </x:c>
      <x:c r="D2363" s="6" t="n">
        <x:f>B2363</x:f>
        <x:v>0.5045000000000001</x:v>
      </x:c>
      <x:c r="E2363" s="1" t="n">
        <x:v>1.05</x:v>
      </x:c>
      <x:c r="F2363" s="1" t="str">
        <x:v>https://api.octopus.energy/v1/products/AGILE-24-10-01/electricity-tariffs/E-1R-AGILE-24-10-01-G/standard-unit-rates/</x:v>
      </x:c>
    </x:row>
    <x:row r="2364" ht="21" customHeight="1">
      <x:c r="A2364" s="24" t="n">
        <x:v>46197.75</x:v>
      </x:c>
      <x:c r="B2364" s="6" t="n">
        <x:v>0.7166</x:v>
      </x:c>
      <x:c r="C2364" s="6" t="n">
        <x:v>0.3579</x:v>
      </x:c>
      <x:c r="D2364" s="6" t="n">
        <x:f>B2364</x:f>
        <x:v>0.7166</x:v>
      </x:c>
      <x:c r="E2364" s="1" t="n">
        <x:v>1.05</x:v>
      </x:c>
      <x:c r="F2364" s="1" t="str">
        <x:v>https://api.octopus.energy/v1/products/AGILE-24-10-01/electricity-tariffs/E-1R-AGILE-24-10-01-G/standard-unit-rates/</x:v>
      </x:c>
    </x:row>
    <x:row r="2365" ht="21" customHeight="1">
      <x:c r="A2365" s="24" t="n">
        <x:v>46197.770833333336</x:v>
      </x:c>
      <x:c r="B2365" s="6" t="n">
        <x:v>0.7559999999999999</x:v>
      </x:c>
      <x:c r="C2365" s="6" t="n">
        <x:v>0.3759</x:v>
      </x:c>
      <x:c r="D2365" s="6" t="n">
        <x:f>B2365</x:f>
        <x:v>0.7559999999999999</x:v>
      </x:c>
      <x:c r="E2365" s="1" t="n">
        <x:v>1.05</x:v>
      </x:c>
      <x:c r="F2365" s="1" t="str">
        <x:v>https://api.octopus.energy/v1/products/AGILE-24-10-01/electricity-tariffs/E-1R-AGILE-24-10-01-G/standard-unit-rates/</x:v>
      </x:c>
    </x:row>
    <x:row r="2366" ht="21" customHeight="1">
      <x:c r="A2366" s="24" t="n">
        <x:v>46197.791666666664</x:v>
      </x:c>
      <x:c r="B2366" s="6" t="n">
        <x:v>0.726</x:v>
      </x:c>
      <x:c r="C2366" s="6" t="n">
        <x:v>0.3582</x:v>
      </x:c>
      <x:c r="D2366" s="6" t="n">
        <x:f>B2366</x:f>
        <x:v>0.726</x:v>
      </x:c>
      <x:c r="E2366" s="1" t="n">
        <x:v>1.05</x:v>
      </x:c>
      <x:c r="F2366" s="1" t="str">
        <x:v>https://api.octopus.energy/v1/products/AGILE-24-10-01/electricity-tariffs/E-1R-AGILE-24-10-01-G/standard-unit-rates/</x:v>
      </x:c>
    </x:row>
    <x:row r="2367" ht="21" customHeight="1">
      <x:c r="A2367" s="24" t="n">
        <x:v>46197.8125</x:v>
      </x:c>
      <x:c r="B2367" s="6" t="n">
        <x:v>0.7021999999999999</x:v>
      </x:c>
      <x:c r="C2367" s="6" t="n">
        <x:v>0.34729999999999994</x:v>
      </x:c>
      <x:c r="D2367" s="6" t="n">
        <x:f>B2367</x:f>
        <x:v>0.7021999999999999</x:v>
      </x:c>
      <x:c r="E2367" s="1" t="n">
        <x:v>1.05</x:v>
      </x:c>
      <x:c r="F2367" s="1" t="str">
        <x:v>https://api.octopus.energy/v1/products/AGILE-24-10-01/electricity-tariffs/E-1R-AGILE-24-10-01-G/standard-unit-rates/</x:v>
      </x:c>
    </x:row>
    <x:row r="2368" ht="21" customHeight="1">
      <x:c r="A2368" s="24" t="n">
        <x:v>46197.833333333336</x:v>
      </x:c>
      <x:c r="B2368" s="6" t="n">
        <x:v>0.7334999999999999</x:v>
      </x:c>
      <x:c r="C2368" s="6" t="n">
        <x:v>0.3616</x:v>
      </x:c>
      <x:c r="D2368" s="6" t="n">
        <x:f>B2368</x:f>
        <x:v>0.7334999999999999</x:v>
      </x:c>
      <x:c r="E2368" s="1" t="n">
        <x:v>1.05</x:v>
      </x:c>
      <x:c r="F2368" s="1" t="str">
        <x:v>https://api.octopus.energy/v1/products/AGILE-24-10-01/electricity-tariffs/E-1R-AGILE-24-10-01-G/standard-unit-rates/</x:v>
      </x:c>
    </x:row>
    <x:row r="2369" ht="21" customHeight="1">
      <x:c r="A2369" s="24" t="n">
        <x:v>46197.854166666664</x:v>
      </x:c>
      <x:c r="B2369" s="6" t="n">
        <x:v>0.7417</x:v>
      </x:c>
      <x:c r="C2369" s="6" t="n">
        <x:v>0.3653</x:v>
      </x:c>
      <x:c r="D2369" s="6" t="n">
        <x:f>B2369</x:f>
        <x:v>0.7417</x:v>
      </x:c>
      <x:c r="E2369" s="1" t="n">
        <x:v>1.05</x:v>
      </x:c>
      <x:c r="F2369" s="1" t="str">
        <x:v>https://api.octopus.energy/v1/products/AGILE-24-10-01/electricity-tariffs/E-1R-AGILE-24-10-01-G/standard-unit-rates/</x:v>
      </x:c>
    </x:row>
    <x:row r="2370" ht="21" customHeight="1">
      <x:c r="A2370" s="24" t="n">
        <x:v>46197.875</x:v>
      </x:c>
      <x:c r="B2370" s="6" t="n">
        <x:v>0.7667</x:v>
      </x:c>
      <x:c r="C2370" s="6" t="n">
        <x:v>0.37670000000000003</x:v>
      </x:c>
      <x:c r="D2370" s="6" t="n">
        <x:f>B2370</x:f>
        <x:v>0.7667</x:v>
      </x:c>
      <x:c r="E2370" s="1" t="n">
        <x:v>1.05</x:v>
      </x:c>
      <x:c r="F2370" s="1" t="str">
        <x:v>https://api.octopus.energy/v1/products/AGILE-24-10-01/electricity-tariffs/E-1R-AGILE-24-10-01-G/standard-unit-rates/</x:v>
      </x:c>
    </x:row>
    <x:row r="2371" ht="21" customHeight="1">
      <x:c r="A2371" s="24" t="n">
        <x:v>46197.895833333336</x:v>
      </x:c>
      <x:c r="B2371" s="6" t="n">
        <x:v>0.7415</x:v>
      </x:c>
      <x:c r="C2371" s="6" t="n">
        <x:v>0.3653</x:v>
      </x:c>
      <x:c r="D2371" s="6" t="n">
        <x:f>B2371</x:f>
        <x:v>0.7415</x:v>
      </x:c>
      <x:c r="E2371" s="1" t="n">
        <x:v>1.05</x:v>
      </x:c>
      <x:c r="F2371" s="1" t="str">
        <x:v>https://api.octopus.energy/v1/products/AGILE-24-10-01/electricity-tariffs/E-1R-AGILE-24-10-01-G/standard-unit-rates/</x:v>
      </x:c>
    </x:row>
    <x:row r="2372" ht="21" customHeight="1">
      <x:c r="A2372" s="24" t="n">
        <x:v>46197.916666666664</x:v>
      </x:c>
      <x:c r="B2372" s="6" t="n">
        <x:v>0.4916</x:v>
      </x:c>
      <x:c r="C2372" s="6" t="n">
        <x:v>0.251</x:v>
      </x:c>
      <x:c r="D2372" s="6" t="n">
        <x:f>B2372</x:f>
        <x:v>0.4916</x:v>
      </x:c>
      <x:c r="E2372" s="1" t="n">
        <x:v>1.05</x:v>
      </x:c>
      <x:c r="F2372" s="1" t="str">
        <x:v>https://api.octopus.energy/v1/products/AGILE-24-10-01/electricity-tariffs/E-1R-AGILE-24-10-01-G/standard-unit-rates/</x:v>
      </x:c>
    </x:row>
    <x:row r="2373" ht="21" customHeight="1">
      <x:c r="A2373" s="24" t="n">
        <x:v>46197.9375</x:v>
      </x:c>
      <x:c r="B2373" s="6" t="n">
        <x:v>0.4575</x:v>
      </x:c>
      <x:c r="C2373" s="6" t="n">
        <x:v>0.2354</x:v>
      </x:c>
      <x:c r="D2373" s="6" t="n">
        <x:f>B2373</x:f>
        <x:v>0.4575</x:v>
      </x:c>
      <x:c r="E2373" s="1" t="n">
        <x:v>1.05</x:v>
      </x:c>
      <x:c r="F2373" s="1" t="str">
        <x:v>https://api.octopus.energy/v1/products/AGILE-24-10-01/electricity-tariffs/E-1R-AGILE-24-10-01-G/standard-unit-rates/</x:v>
      </x:c>
    </x:row>
    <x:row r="2374" ht="21" customHeight="1">
      <x:c r="A2374" s="24" t="n">
        <x:v>46198</x:v>
      </x:c>
      <x:c r="B2374" s="6" t="n">
        <x:v>0.2942</x:v>
      </x:c>
      <x:c r="C2374" s="6" t="n">
        <x:v>0.16079999999999997</x:v>
      </x:c>
      <x:c r="D2374" s="6" t="n">
        <x:f>B2374</x:f>
        <x:v>0.2942</x:v>
      </x:c>
      <x:c r="E2374" s="1" t="n">
        <x:v>1.05</x:v>
      </x:c>
      <x:c r="F2374" s="1" t="str">
        <x:v>https://api.octopus.energy/v1/products/AGILE-24-10-01/electricity-tariffs/E-1R-AGILE-24-10-01-G/standard-unit-rates/</x:v>
      </x:c>
    </x:row>
    <x:row r="2375" ht="21" customHeight="1">
      <x:c r="A2375" s="24" t="n">
        <x:v>46197.979166666664</x:v>
      </x:c>
      <x:c r="B2375" s="6" t="n">
        <x:v>0.2585</x:v>
      </x:c>
      <x:c r="C2375" s="6" t="n">
        <x:v>0.1444</x:v>
      </x:c>
      <x:c r="D2375" s="6" t="n">
        <x:f>B2375</x:f>
        <x:v>0.2585</x:v>
      </x:c>
      <x:c r="E2375" s="1" t="n">
        <x:v>1.05</x:v>
      </x:c>
      <x:c r="F2375" s="1" t="str">
        <x:v>https://api.octopus.energy/v1/products/AGILE-24-10-01/electricity-tariffs/E-1R-AGILE-24-10-01-G/standard-unit-rates/</x:v>
      </x:c>
    </x:row>
    <x:row r="2376" ht="21" customHeight="1">
      <x:c r="A2376" s="24" t="n">
        <x:v>46198</x:v>
      </x:c>
      <x:c r="B2376" s="6" t="n">
        <x:v>0.2483</x:v>
      </x:c>
      <x:c r="C2376" s="6" t="n">
        <x:v>0.1398</x:v>
      </x:c>
      <x:c r="D2376" s="6" t="n">
        <x:f>B2376</x:f>
        <x:v>0.2483</x:v>
      </x:c>
      <x:c r="E2376" s="1" t="n">
        <x:v>1.05</x:v>
      </x:c>
      <x:c r="F2376" s="1" t="str">
        <x:v>https://api.octopus.energy/v1/products/AGILE-24-10-01/electricity-tariffs/E-1R-AGILE-24-10-01-G/standard-unit-rates/</x:v>
      </x:c>
    </x:row>
    <x:row r="2377" ht="21" customHeight="1">
      <x:c r="A2377" s="24" t="n">
        <x:v>46198.020833333336</x:v>
      </x:c>
      <x:c r="B2377" s="6" t="n">
        <x:v>0.2353</x:v>
      </x:c>
      <x:c r="C2377" s="6" t="n">
        <x:v>0.1338</x:v>
      </x:c>
      <x:c r="D2377" s="6" t="n">
        <x:f>B2377</x:f>
        <x:v>0.2353</x:v>
      </x:c>
      <x:c r="E2377" s="1" t="n">
        <x:v>1.05</x:v>
      </x:c>
      <x:c r="F2377" s="1" t="str">
        <x:v>https://api.octopus.energy/v1/products/AGILE-24-10-01/electricity-tariffs/E-1R-AGILE-24-10-01-G/standard-unit-rates/</x:v>
      </x:c>
    </x:row>
    <x:row r="2378" ht="21" customHeight="1">
      <x:c r="A2378" s="24" t="n">
        <x:v>46198.041666666664</x:v>
      </x:c>
      <x:c r="B2378" s="6" t="n">
        <x:v>0.21539999999999998</x:v>
      </x:c>
      <x:c r="C2378" s="6" t="n">
        <x:v>0.12480000000000001</x:v>
      </x:c>
      <x:c r="D2378" s="6" t="n">
        <x:f>B2378</x:f>
        <x:v>0.21539999999999998</x:v>
      </x:c>
      <x:c r="E2378" s="1" t="n">
        <x:v>1.05</x:v>
      </x:c>
      <x:c r="F2378" s="1" t="str">
        <x:v>https://api.octopus.energy/v1/products/AGILE-24-10-01/electricity-tariffs/E-1R-AGILE-24-10-01-G/standard-unit-rates/</x:v>
      </x:c>
    </x:row>
    <x:row r="2379" ht="21" customHeight="1">
      <x:c r="A2379" s="24" t="n">
        <x:v>46198.0625</x:v>
      </x:c>
      <x:c r="B2379" s="6" t="n">
        <x:v>0.2102</x:v>
      </x:c>
      <x:c r="C2379" s="6" t="n">
        <x:v>0.12240000000000001</x:v>
      </x:c>
      <x:c r="D2379" s="6" t="n">
        <x:f>B2379</x:f>
        <x:v>0.2102</x:v>
      </x:c>
      <x:c r="E2379" s="1" t="n">
        <x:v>1.05</x:v>
      </x:c>
      <x:c r="F2379" s="1" t="str">
        <x:v>https://api.octopus.energy/v1/products/AGILE-24-10-01/electricity-tariffs/E-1R-AGILE-24-10-01-G/standard-unit-rates/</x:v>
      </x:c>
    </x:row>
    <x:row r="2380" ht="21" customHeight="1">
      <x:c r="A2380" s="24" t="n">
        <x:v>46198.083333333336</x:v>
      </x:c>
      <x:c r="B2380" s="6" t="n">
        <x:v>0.2079</x:v>
      </x:c>
      <x:c r="C2380" s="6" t="n">
        <x:v>0.1213</x:v>
      </x:c>
      <x:c r="D2380" s="6" t="n">
        <x:f>B2380</x:f>
        <x:v>0.2079</x:v>
      </x:c>
      <x:c r="E2380" s="1" t="n">
        <x:v>1.05</x:v>
      </x:c>
      <x:c r="F2380" s="1" t="str">
        <x:v>https://api.octopus.energy/v1/products/AGILE-24-10-01/electricity-tariffs/E-1R-AGILE-24-10-01-G/standard-unit-rates/</x:v>
      </x:c>
    </x:row>
    <x:row r="2381" ht="21" customHeight="1">
      <x:c r="A2381" s="24" t="n">
        <x:v>46198.104166666664</x:v>
      </x:c>
      <x:c r="B2381" s="6" t="n">
        <x:v>0.1997</x:v>
      </x:c>
      <x:c r="C2381" s="6" t="n">
        <x:v>0.1175</x:v>
      </x:c>
      <x:c r="D2381" s="6" t="n">
        <x:f>B2381</x:f>
        <x:v>0.1997</x:v>
      </x:c>
      <x:c r="E2381" s="1" t="n">
        <x:v>1.05</x:v>
      </x:c>
      <x:c r="F2381" s="1" t="str">
        <x:v>https://api.octopus.energy/v1/products/AGILE-24-10-01/electricity-tariffs/E-1R-AGILE-24-10-01-G/standard-unit-rates/</x:v>
      </x:c>
    </x:row>
    <x:row r="2382" ht="21" customHeight="1">
      <x:c r="A2382" s="24" t="n">
        <x:v>46198.125</x:v>
      </x:c>
      <x:c r="B2382" s="6" t="n">
        <x:v>0.2028</x:v>
      </x:c>
      <x:c r="C2382" s="6" t="n">
        <x:v>0.11900000000000001</x:v>
      </x:c>
      <x:c r="D2382" s="6" t="n">
        <x:f>B2382</x:f>
        <x:v>0.2028</x:v>
      </x:c>
      <x:c r="E2382" s="1" t="n">
        <x:v>1.05</x:v>
      </x:c>
      <x:c r="F2382" s="1" t="str">
        <x:v>https://api.octopus.energy/v1/products/AGILE-24-10-01/electricity-tariffs/E-1R-AGILE-24-10-01-G/standard-unit-rates/</x:v>
      </x:c>
    </x:row>
    <x:row r="2383" ht="21" customHeight="1">
      <x:c r="A2383" s="24" t="n">
        <x:v>46198.145833333336</x:v>
      </x:c>
      <x:c r="B2383" s="6" t="n">
        <x:v>0.19440000000000002</x:v>
      </x:c>
      <x:c r="C2383" s="6" t="n">
        <x:v>0.1152</x:v>
      </x:c>
      <x:c r="D2383" s="6" t="n">
        <x:f>B2383</x:f>
        <x:v>0.19440000000000002</x:v>
      </x:c>
      <x:c r="E2383" s="1" t="n">
        <x:v>1.05</x:v>
      </x:c>
      <x:c r="F2383" s="1" t="str">
        <x:v>https://api.octopus.energy/v1/products/AGILE-24-10-01/electricity-tariffs/E-1R-AGILE-24-10-01-G/standard-unit-rates/</x:v>
      </x:c>
    </x:row>
    <x:row r="2384" ht="21" customHeight="1">
      <x:c r="A2384" s="24" t="n">
        <x:v>46198.166666666664</x:v>
      </x:c>
      <x:c r="B2384" s="6" t="n">
        <x:v>0.19940000000000002</x:v>
      </x:c>
      <x:c r="C2384" s="6" t="n">
        <x:v>0.1174</x:v>
      </x:c>
      <x:c r="D2384" s="6" t="n">
        <x:f>B2384</x:f>
        <x:v>0.19940000000000002</x:v>
      </x:c>
      <x:c r="E2384" s="1" t="n">
        <x:v>1.05</x:v>
      </x:c>
      <x:c r="F2384" s="1" t="str">
        <x:v>https://api.octopus.energy/v1/products/AGILE-24-10-01/electricity-tariffs/E-1R-AGILE-24-10-01-G/standard-unit-rates/</x:v>
      </x:c>
    </x:row>
    <x:row r="2385" ht="21" customHeight="1">
      <x:c r="A2385" s="24" t="n">
        <x:v>46198.1875</x:v>
      </x:c>
      <x:c r="B2385" s="6" t="n">
        <x:v>0.19260000000000002</x:v>
      </x:c>
      <x:c r="C2385" s="6" t="n">
        <x:v>0.1143</x:v>
      </x:c>
      <x:c r="D2385" s="6" t="n">
        <x:f>B2385</x:f>
        <x:v>0.19260000000000002</x:v>
      </x:c>
      <x:c r="E2385" s="1" t="n">
        <x:v>1.05</x:v>
      </x:c>
      <x:c r="F2385" s="1" t="str">
        <x:v>https://api.octopus.energy/v1/products/AGILE-24-10-01/electricity-tariffs/E-1R-AGILE-24-10-01-G/standard-unit-rates/</x:v>
      </x:c>
    </x:row>
    <x:row r="2386" ht="21" customHeight="1">
      <x:c r="A2386" s="24" t="n">
        <x:v>46198.208333333336</x:v>
      </x:c>
      <x:c r="B2386" s="6" t="n">
        <x:v>0.1943</x:v>
      </x:c>
      <x:c r="C2386" s="6" t="n">
        <x:v>0.1151</x:v>
      </x:c>
      <x:c r="D2386" s="6" t="n">
        <x:f>B2386</x:f>
        <x:v>0.1943</x:v>
      </x:c>
      <x:c r="E2386" s="1" t="n">
        <x:v>1.05</x:v>
      </x:c>
      <x:c r="F2386" s="1" t="str">
        <x:v>https://api.octopus.energy/v1/products/AGILE-24-10-01/electricity-tariffs/E-1R-AGILE-24-10-01-G/standard-unit-rates/</x:v>
      </x:c>
    </x:row>
    <x:row r="2387" ht="21" customHeight="1">
      <x:c r="A2387" s="24" t="n">
        <x:v>46198.229166666664</x:v>
      </x:c>
      <x:c r="B2387" s="6" t="n">
        <x:v>0.1966</x:v>
      </x:c>
      <x:c r="C2387" s="6" t="n">
        <x:v>0.1161</x:v>
      </x:c>
      <x:c r="D2387" s="6" t="n">
        <x:f>B2387</x:f>
        <x:v>0.1966</x:v>
      </x:c>
      <x:c r="E2387" s="1" t="n">
        <x:v>1.05</x:v>
      </x:c>
      <x:c r="F2387" s="1" t="str">
        <x:v>https://api.octopus.energy/v1/products/AGILE-24-10-01/electricity-tariffs/E-1R-AGILE-24-10-01-G/standard-unit-rates/</x:v>
      </x:c>
    </x:row>
    <x:row r="2388" ht="21" customHeight="1">
      <x:c r="A2388" s="24" t="n">
        <x:v>46198.25</x:v>
      </x:c>
      <x:c r="B2388" s="6" t="n">
        <x:v>0.201</x:v>
      </x:c>
      <x:c r="C2388" s="6" t="n">
        <x:v>0.1182</x:v>
      </x:c>
      <x:c r="D2388" s="6" t="n">
        <x:f>B2388</x:f>
        <x:v>0.201</x:v>
      </x:c>
      <x:c r="E2388" s="1" t="n">
        <x:v>1.05</x:v>
      </x:c>
      <x:c r="F2388" s="1" t="str">
        <x:v>https://api.octopus.energy/v1/products/AGILE-24-10-01/electricity-tariffs/E-1R-AGILE-24-10-01-G/standard-unit-rates/</x:v>
      </x:c>
    </x:row>
    <x:row r="2389" ht="21" customHeight="1">
      <x:c r="A2389" s="24" t="n">
        <x:v>46198.270833333336</x:v>
      </x:c>
      <x:c r="B2389" s="6" t="n">
        <x:v>0.222</x:v>
      </x:c>
      <x:c r="C2389" s="6" t="n">
        <x:v>0.1277</x:v>
      </x:c>
      <x:c r="D2389" s="6" t="n">
        <x:f>B2389</x:f>
        <x:v>0.222</x:v>
      </x:c>
      <x:c r="E2389" s="1" t="n">
        <x:v>1.05</x:v>
      </x:c>
      <x:c r="F2389" s="1" t="str">
        <x:v>https://api.octopus.energy/v1/products/AGILE-24-10-01/electricity-tariffs/E-1R-AGILE-24-10-01-G/standard-unit-rates/</x:v>
      </x:c>
    </x:row>
    <x:row r="2390" ht="21" customHeight="1">
      <x:c r="A2390" s="24" t="n">
        <x:v>46198.291666666664</x:v>
      </x:c>
      <x:c r="B2390" s="6" t="n">
        <x:v>0.1791</x:v>
      </x:c>
      <x:c r="C2390" s="6" t="n">
        <x:v>0.1082</x:v>
      </x:c>
      <x:c r="D2390" s="6" t="n">
        <x:f>B2390</x:f>
        <x:v>0.1791</x:v>
      </x:c>
      <x:c r="E2390" s="1" t="n">
        <x:v>1.05</x:v>
      </x:c>
      <x:c r="F2390" s="1" t="str">
        <x:v>https://api.octopus.energy/v1/products/AGILE-24-10-01/electricity-tariffs/E-1R-AGILE-24-10-01-G/standard-unit-rates/</x:v>
      </x:c>
    </x:row>
    <x:row r="2391" ht="21" customHeight="1">
      <x:c r="A2391" s="24" t="n">
        <x:v>46198.3125</x:v>
      </x:c>
      <x:c r="B2391" s="6" t="n">
        <x:v>0.19</x:v>
      </x:c>
      <x:c r="C2391" s="6" t="n">
        <x:v>0.1131</x:v>
      </x:c>
      <x:c r="D2391" s="6" t="n">
        <x:f>B2391</x:f>
        <x:v>0.19</x:v>
      </x:c>
      <x:c r="E2391" s="1" t="n">
        <x:v>1.05</x:v>
      </x:c>
      <x:c r="F2391" s="1" t="str">
        <x:v>https://api.octopus.energy/v1/products/AGILE-24-10-01/electricity-tariffs/E-1R-AGILE-24-10-01-G/standard-unit-rates/</x:v>
      </x:c>
    </x:row>
    <x:row r="2392" ht="21" customHeight="1">
      <x:c r="A2392" s="24" t="n">
        <x:v>46198.333333333336</x:v>
      </x:c>
      <x:c r="B2392" s="6" t="n">
        <x:v>0.1703</x:v>
      </x:c>
      <x:c r="C2392" s="6" t="n">
        <x:v>0.1041</x:v>
      </x:c>
      <x:c r="D2392" s="6" t="n">
        <x:f>B2392</x:f>
        <x:v>0.1703</x:v>
      </x:c>
      <x:c r="E2392" s="1" t="n">
        <x:v>1.05</x:v>
      </x:c>
      <x:c r="F2392" s="1" t="str">
        <x:v>https://api.octopus.energy/v1/products/AGILE-24-10-01/electricity-tariffs/E-1R-AGILE-24-10-01-G/standard-unit-rates/</x:v>
      </x:c>
    </x:row>
    <x:row r="2393" ht="21" customHeight="1">
      <x:c r="A2393" s="24" t="n">
        <x:v>46198.354166666664</x:v>
      </x:c>
      <x:c r="B2393" s="6" t="n">
        <x:v>0.16760000000000003</x:v>
      </x:c>
      <x:c r="C2393" s="6" t="n">
        <x:v>0.10289999999999999</x:v>
      </x:c>
      <x:c r="D2393" s="6" t="n">
        <x:f>B2393</x:f>
        <x:v>0.16760000000000003</x:v>
      </x:c>
      <x:c r="E2393" s="1" t="n">
        <x:v>1.05</x:v>
      </x:c>
      <x:c r="F2393" s="1" t="str">
        <x:v>https://api.octopus.energy/v1/products/AGILE-24-10-01/electricity-tariffs/E-1R-AGILE-24-10-01-G/standard-unit-rates/</x:v>
      </x:c>
    </x:row>
    <x:row r="2394" ht="21" customHeight="1">
      <x:c r="A2394" s="24" t="n">
        <x:v>46198.375</x:v>
      </x:c>
      <x:c r="B2394" s="6" t="n">
        <x:v>0.1598</x:v>
      </x:c>
      <x:c r="C2394" s="6" t="n">
        <x:v>0.0993</x:v>
      </x:c>
      <x:c r="D2394" s="6" t="n">
        <x:f>B2394</x:f>
        <x:v>0.1598</x:v>
      </x:c>
      <x:c r="E2394" s="1" t="n">
        <x:v>1.05</x:v>
      </x:c>
      <x:c r="F2394" s="1" t="str">
        <x:v>https://api.octopus.energy/v1/products/AGILE-24-10-01/electricity-tariffs/E-1R-AGILE-24-10-01-G/standard-unit-rates/</x:v>
      </x:c>
    </x:row>
    <x:row r="2395" ht="21" customHeight="1">
      <x:c r="A2395" s="24" t="n">
        <x:v>46198.395833333336</x:v>
      </x:c>
      <x:c r="B2395" s="6" t="n">
        <x:v>0.1714</x:v>
      </x:c>
      <x:c r="C2395" s="6" t="n">
        <x:v>0.10460000000000001</x:v>
      </x:c>
      <x:c r="D2395" s="6" t="n">
        <x:f>B2395</x:f>
        <x:v>0.1714</x:v>
      </x:c>
      <x:c r="E2395" s="1" t="n">
        <x:v>1.05</x:v>
      </x:c>
      <x:c r="F2395" s="1" t="str">
        <x:v>https://api.octopus.energy/v1/products/AGILE-24-10-01/electricity-tariffs/E-1R-AGILE-24-10-01-G/standard-unit-rates/</x:v>
      </x:c>
    </x:row>
    <x:row r="2396" ht="21" customHeight="1">
      <x:c r="A2396" s="24" t="n">
        <x:v>46198.416666666664</x:v>
      </x:c>
      <x:c r="B2396" s="6" t="n">
        <x:v>0.1577</x:v>
      </x:c>
      <x:c r="C2396" s="6" t="n">
        <x:v>0.0984</x:v>
      </x:c>
      <x:c r="D2396" s="6" t="n">
        <x:f>B2396</x:f>
        <x:v>0.1577</x:v>
      </x:c>
      <x:c r="E2396" s="1" t="n">
        <x:v>1.05</x:v>
      </x:c>
      <x:c r="F2396" s="1" t="str">
        <x:v>https://api.octopus.energy/v1/products/AGILE-24-10-01/electricity-tariffs/E-1R-AGILE-24-10-01-G/standard-unit-rates/</x:v>
      </x:c>
    </x:row>
    <x:row r="2397" ht="21" customHeight="1">
      <x:c r="A2397" s="24" t="n">
        <x:v>46198.4375</x:v>
      </x:c>
      <x:c r="B2397" s="6" t="n">
        <x:v>0.15259999999999999</x:v>
      </x:c>
      <x:c r="C2397" s="6" t="n">
        <x:v>0.096</x:v>
      </x:c>
      <x:c r="D2397" s="6" t="n">
        <x:f>B2397</x:f>
        <x:v>0.15259999999999999</x:v>
      </x:c>
      <x:c r="E2397" s="1" t="n">
        <x:v>1.05</x:v>
      </x:c>
      <x:c r="F2397" s="1" t="str">
        <x:v>https://api.octopus.energy/v1/products/AGILE-24-10-01/electricity-tariffs/E-1R-AGILE-24-10-01-G/standard-unit-rates/</x:v>
      </x:c>
    </x:row>
    <x:row r="2398" ht="21" customHeight="1">
      <x:c r="A2398" s="24" t="n">
        <x:v>46198.458333333336</x:v>
      </x:c>
      <x:c r="B2398" s="6" t="n">
        <x:v>0.1501</x:v>
      </x:c>
      <x:c r="C2398" s="6" t="n">
        <x:v>0.0949</x:v>
      </x:c>
      <x:c r="D2398" s="6" t="n">
        <x:f>B2398</x:f>
        <x:v>0.1501</x:v>
      </x:c>
      <x:c r="E2398" s="1" t="n">
        <x:v>1.05</x:v>
      </x:c>
      <x:c r="F2398" s="1" t="str">
        <x:v>https://api.octopus.energy/v1/products/AGILE-24-10-01/electricity-tariffs/E-1R-AGILE-24-10-01-G/standard-unit-rates/</x:v>
      </x:c>
    </x:row>
    <x:row r="2399" ht="21" customHeight="1">
      <x:c r="A2399" s="24" t="n">
        <x:v>46198.479166666664</x:v>
      </x:c>
      <x:c r="B2399" s="6" t="n">
        <x:v>0.1461</x:v>
      </x:c>
      <x:c r="C2399" s="6" t="n">
        <x:v>0.0931</x:v>
      </x:c>
      <x:c r="D2399" s="6" t="n">
        <x:f>B2399</x:f>
        <x:v>0.1461</x:v>
      </x:c>
      <x:c r="E2399" s="1" t="n">
        <x:v>1.05</x:v>
      </x:c>
      <x:c r="F2399" s="1" t="str">
        <x:v>https://api.octopus.energy/v1/products/AGILE-24-10-01/electricity-tariffs/E-1R-AGILE-24-10-01-G/standard-unit-rates/</x:v>
      </x:c>
    </x:row>
    <x:row r="2400" ht="21" customHeight="1">
      <x:c r="A2400" s="24" t="n">
        <x:v>46198.5</x:v>
      </x:c>
      <x:c r="B2400" s="6" t="n">
        <x:v>0.1461</x:v>
      </x:c>
      <x:c r="C2400" s="6" t="n">
        <x:v>0.0931</x:v>
      </x:c>
      <x:c r="D2400" s="6" t="n">
        <x:f>B2400</x:f>
        <x:v>0.1461</x:v>
      </x:c>
      <x:c r="E2400" s="1" t="n">
        <x:v>1.05</x:v>
      </x:c>
      <x:c r="F2400" s="1" t="str">
        <x:v>https://api.octopus.energy/v1/products/AGILE-24-10-01/electricity-tariffs/E-1R-AGILE-24-10-01-G/standard-unit-rates/</x:v>
      </x:c>
    </x:row>
    <x:row r="2401" ht="21" customHeight="1">
      <x:c r="A2401" s="24" t="n">
        <x:v>46198.520833333336</x:v>
      </x:c>
      <x:c r="B2401" s="6" t="n">
        <x:v>0.1461</x:v>
      </x:c>
      <x:c r="C2401" s="6" t="n">
        <x:v>0.0931</x:v>
      </x:c>
      <x:c r="D2401" s="6" t="n">
        <x:f>B2401</x:f>
        <x:v>0.1461</x:v>
      </x:c>
      <x:c r="E2401" s="1" t="n">
        <x:v>1.05</x:v>
      </x:c>
      <x:c r="F2401" s="1" t="str">
        <x:v>https://api.octopus.energy/v1/products/AGILE-24-10-01/electricity-tariffs/E-1R-AGILE-24-10-01-G/standard-unit-rates/</x:v>
      </x:c>
    </x:row>
    <x:row r="2402" ht="21" customHeight="1">
      <x:c r="A2402" s="24" t="n">
        <x:v>46198.541666666664</x:v>
      </x:c>
      <x:c r="B2402" s="6" t="n">
        <x:v>0.1419</x:v>
      </x:c>
      <x:c r="C2402" s="6" t="n">
        <x:v>0.09119999999999999</x:v>
      </x:c>
      <x:c r="D2402" s="6" t="n">
        <x:f>B2402</x:f>
        <x:v>0.1419</x:v>
      </x:c>
      <x:c r="E2402" s="1" t="n">
        <x:v>1.05</x:v>
      </x:c>
      <x:c r="F2402" s="1" t="str">
        <x:v>https://api.octopus.energy/v1/products/AGILE-24-10-01/electricity-tariffs/E-1R-AGILE-24-10-01-G/standard-unit-rates/</x:v>
      </x:c>
    </x:row>
    <x:row r="2403" ht="21" customHeight="1">
      <x:c r="A2403" s="24" t="n">
        <x:v>46198.5625</x:v>
      </x:c>
      <x:c r="B2403" s="6" t="n">
        <x:v>0.1399</x:v>
      </x:c>
      <x:c r="C2403" s="6" t="n">
        <x:v>0.0902</x:v>
      </x:c>
      <x:c r="D2403" s="6" t="n">
        <x:f>B2403</x:f>
        <x:v>0.1399</x:v>
      </x:c>
      <x:c r="E2403" s="1" t="n">
        <x:v>1.05</x:v>
      </x:c>
      <x:c r="F2403" s="1" t="str">
        <x:v>https://api.octopus.energy/v1/products/AGILE-24-10-01/electricity-tariffs/E-1R-AGILE-24-10-01-G/standard-unit-rates/</x:v>
      </x:c>
    </x:row>
    <x:row r="2404" ht="21" customHeight="1">
      <x:c r="A2404" s="24" t="n">
        <x:v>46198.583333333336</x:v>
      </x:c>
      <x:c r="B2404" s="6" t="n">
        <x:v>0.13949999999999999</x:v>
      </x:c>
      <x:c r="C2404" s="6" t="n">
        <x:v>0.09</x:v>
      </x:c>
      <x:c r="D2404" s="6" t="n">
        <x:f>B2404</x:f>
        <x:v>0.13949999999999999</x:v>
      </x:c>
      <x:c r="E2404" s="1" t="n">
        <x:v>1.05</x:v>
      </x:c>
      <x:c r="F2404" s="1" t="str">
        <x:v>https://api.octopus.energy/v1/products/AGILE-24-10-01/electricity-tariffs/E-1R-AGILE-24-10-01-G/standard-unit-rates/</x:v>
      </x:c>
    </x:row>
    <x:row r="2405" ht="21" customHeight="1">
      <x:c r="A2405" s="24" t="n">
        <x:v>46198.604166666664</x:v>
      </x:c>
      <x:c r="B2405" s="6" t="n">
        <x:v>0.1367</x:v>
      </x:c>
      <x:c r="C2405" s="6" t="n">
        <x:v>0.0888</x:v>
      </x:c>
      <x:c r="D2405" s="6" t="n">
        <x:f>B2405</x:f>
        <x:v>0.1367</x:v>
      </x:c>
      <x:c r="E2405" s="1" t="n">
        <x:v>1.05</x:v>
      </x:c>
      <x:c r="F2405" s="1" t="str">
        <x:v>https://api.octopus.energy/v1/products/AGILE-24-10-01/electricity-tariffs/E-1R-AGILE-24-10-01-G/standard-unit-rates/</x:v>
      </x:c>
    </x:row>
    <x:row r="2406" ht="21" customHeight="1">
      <x:c r="A2406" s="24" t="n">
        <x:v>46198.625</x:v>
      </x:c>
      <x:c r="B2406" s="6" t="n">
        <x:v>0.1423</x:v>
      </x:c>
      <x:c r="C2406" s="6" t="n">
        <x:v>0.0913</x:v>
      </x:c>
      <x:c r="D2406" s="6" t="n">
        <x:f>B2406</x:f>
        <x:v>0.1423</x:v>
      </x:c>
      <x:c r="E2406" s="1" t="n">
        <x:v>1.05</x:v>
      </x:c>
      <x:c r="F2406" s="1" t="str">
        <x:v>https://api.octopus.energy/v1/products/AGILE-24-10-01/electricity-tariffs/E-1R-AGILE-24-10-01-G/standard-unit-rates/</x:v>
      </x:c>
    </x:row>
    <x:row r="2407" ht="21" customHeight="1">
      <x:c r="A2407" s="24" t="n">
        <x:v>46198.645833333336</x:v>
      </x:c>
      <x:c r="B2407" s="6" t="n">
        <x:v>0.1451</x:v>
      </x:c>
      <x:c r="C2407" s="6" t="n">
        <x:v>0.0926</x:v>
      </x:c>
      <x:c r="D2407" s="6" t="n">
        <x:f>B2407</x:f>
        <x:v>0.1451</x:v>
      </x:c>
      <x:c r="E2407" s="1" t="n">
        <x:v>1.05</x:v>
      </x:c>
      <x:c r="F2407" s="1" t="str">
        <x:v>https://api.octopus.energy/v1/products/AGILE-24-10-01/electricity-tariffs/E-1R-AGILE-24-10-01-G/standard-unit-rates/</x:v>
      </x:c>
    </x:row>
    <x:row r="2408" ht="21" customHeight="1">
      <x:c r="A2408" s="24" t="n">
        <x:v>46198.666666666664</x:v>
      </x:c>
      <x:c r="B2408" s="6" t="n">
        <x:v>0.2903</x:v>
      </x:c>
      <x:c r="C2408" s="6" t="n">
        <x:v>0.163</x:v>
      </x:c>
      <x:c r="D2408" s="6" t="n">
        <x:f>B2408</x:f>
        <x:v>0.2903</x:v>
      </x:c>
      <x:c r="E2408" s="1" t="n">
        <x:v>1.05</x:v>
      </x:c>
      <x:c r="F2408" s="1" t="str">
        <x:v>https://api.octopus.energy/v1/products/AGILE-24-10-01/electricity-tariffs/E-1R-AGILE-24-10-01-G/standard-unit-rates/</x:v>
      </x:c>
    </x:row>
    <x:row r="2409" ht="21" customHeight="1">
      <x:c r="A2409" s="24" t="n">
        <x:v>46198.6875</x:v>
      </x:c>
      <x:c r="B2409" s="6" t="n">
        <x:v>0.2933</x:v>
      </x:c>
      <x:c r="C2409" s="6" t="n">
        <x:v>0.16440000000000002</x:v>
      </x:c>
      <x:c r="D2409" s="6" t="n">
        <x:f>B2409</x:f>
        <x:v>0.2933</x:v>
      </x:c>
      <x:c r="E2409" s="1" t="n">
        <x:v>1.05</x:v>
      </x:c>
      <x:c r="F2409" s="1" t="str">
        <x:v>https://api.octopus.energy/v1/products/AGILE-24-10-01/electricity-tariffs/E-1R-AGILE-24-10-01-G/standard-unit-rates/</x:v>
      </x:c>
    </x:row>
    <x:row r="2410" ht="21" customHeight="1">
      <x:c r="A2410" s="24" t="n">
        <x:v>46198.708333333336</x:v>
      </x:c>
      <x:c r="B2410" s="6" t="n">
        <x:v>0.3143</x:v>
      </x:c>
      <x:c r="C2410" s="6" t="n">
        <x:v>0.174</x:v>
      </x:c>
      <x:c r="D2410" s="6" t="n">
        <x:f>B2410</x:f>
        <x:v>0.3143</x:v>
      </x:c>
      <x:c r="E2410" s="1" t="n">
        <x:v>1.05</x:v>
      </x:c>
      <x:c r="F2410" s="1" t="str">
        <x:v>https://api.octopus.energy/v1/products/AGILE-24-10-01/electricity-tariffs/E-1R-AGILE-24-10-01-G/standard-unit-rates/</x:v>
      </x:c>
    </x:row>
    <x:row r="2411" ht="21" customHeight="1">
      <x:c r="A2411" s="24" t="n">
        <x:v>46198.729166666664</x:v>
      </x:c>
      <x:c r="B2411" s="6" t="n">
        <x:v>0.3423</x:v>
      </x:c>
      <x:c r="C2411" s="6" t="n">
        <x:v>0.1868</x:v>
      </x:c>
      <x:c r="D2411" s="6" t="n">
        <x:f>B2411</x:f>
        <x:v>0.3423</x:v>
      </x:c>
      <x:c r="E2411" s="1" t="n">
        <x:v>1.05</x:v>
      </x:c>
      <x:c r="F2411" s="1" t="str">
        <x:v>https://api.octopus.energy/v1/products/AGILE-24-10-01/electricity-tariffs/E-1R-AGILE-24-10-01-G/standard-unit-rates/</x:v>
      </x:c>
    </x:row>
    <x:row r="2412" ht="21" customHeight="1">
      <x:c r="A2412" s="24" t="n">
        <x:v>46198.75</x:v>
      </x:c>
      <x:c r="B2412" s="6" t="n">
        <x:v>0.4353</x:v>
      </x:c>
      <x:c r="C2412" s="6" t="n">
        <x:v>0.2293</x:v>
      </x:c>
      <x:c r="D2412" s="6" t="n">
        <x:f>B2412</x:f>
        <x:v>0.4353</x:v>
      </x:c>
      <x:c r="E2412" s="1" t="n">
        <x:v>1.05</x:v>
      </x:c>
      <x:c r="F2412" s="1" t="str">
        <x:v>https://api.octopus.energy/v1/products/AGILE-24-10-01/electricity-tariffs/E-1R-AGILE-24-10-01-G/standard-unit-rates/</x:v>
      </x:c>
    </x:row>
    <x:row r="2413" ht="21" customHeight="1">
      <x:c r="A2413" s="24" t="n">
        <x:v>46198.770833333336</x:v>
      </x:c>
      <x:c r="B2413" s="6" t="n">
        <x:v>0.4435</x:v>
      </x:c>
      <x:c r="C2413" s="6" t="n">
        <x:v>0.23309999999999997</x:v>
      </x:c>
      <x:c r="D2413" s="6" t="n">
        <x:f>B2413</x:f>
        <x:v>0.4435</x:v>
      </x:c>
      <x:c r="E2413" s="1" t="n">
        <x:v>1.05</x:v>
      </x:c>
      <x:c r="F2413" s="1" t="str">
        <x:v>https://api.octopus.energy/v1/products/AGILE-24-10-01/electricity-tariffs/E-1R-AGILE-24-10-01-G/standard-unit-rates/</x:v>
      </x:c>
    </x:row>
    <x:row r="2414" ht="21" customHeight="1">
      <x:c r="A2414" s="24" t="n">
        <x:v>46198.791666666664</x:v>
      </x:c>
      <x:c r="B2414" s="6" t="n">
        <x:v>0.30469999999999997</x:v>
      </x:c>
      <x:c r="C2414" s="6" t="n">
        <x:v>0.1656</x:v>
      </x:c>
      <x:c r="D2414" s="6" t="n">
        <x:f>B2414</x:f>
        <x:v>0.30469999999999997</x:v>
      </x:c>
      <x:c r="E2414" s="1" t="n">
        <x:v>1.05</x:v>
      </x:c>
      <x:c r="F2414" s="1" t="str">
        <x:v>https://api.octopus.energy/v1/products/AGILE-24-10-01/electricity-tariffs/E-1R-AGILE-24-10-01-G/standard-unit-rates/</x:v>
      </x:c>
    </x:row>
    <x:row r="2415" ht="21" customHeight="1">
      <x:c r="A2415" s="24" t="n">
        <x:v>46198.8125</x:v>
      </x:c>
      <x:c r="B2415" s="6" t="n">
        <x:v>0.3152</x:v>
      </x:c>
      <x:c r="C2415" s="6" t="n">
        <x:v>0.1704</x:v>
      </x:c>
      <x:c r="D2415" s="6" t="n">
        <x:f>B2415</x:f>
        <x:v>0.3152</x:v>
      </x:c>
      <x:c r="E2415" s="1" t="n">
        <x:v>1.05</x:v>
      </x:c>
      <x:c r="F2415" s="1" t="str">
        <x:v>https://api.octopus.energy/v1/products/AGILE-24-10-01/electricity-tariffs/E-1R-AGILE-24-10-01-G/standard-unit-rates/</x:v>
      </x:c>
    </x:row>
    <x:row r="2416" ht="21" customHeight="1">
      <x:c r="A2416" s="24" t="n">
        <x:v>46198.833333333336</x:v>
      </x:c>
      <x:c r="B2416" s="6" t="n">
        <x:v>0.30670000000000003</x:v>
      </x:c>
      <x:c r="C2416" s="6" t="n">
        <x:v>0.16649999999999998</x:v>
      </x:c>
      <x:c r="D2416" s="6" t="n">
        <x:f>B2416</x:f>
        <x:v>0.30670000000000003</x:v>
      </x:c>
      <x:c r="E2416" s="1" t="n">
        <x:v>1.05</x:v>
      </x:c>
      <x:c r="F2416" s="1" t="str">
        <x:v>https://api.octopus.energy/v1/products/AGILE-24-10-01/electricity-tariffs/E-1R-AGILE-24-10-01-G/standard-unit-rates/</x:v>
      </x:c>
    </x:row>
    <x:row r="2417" ht="21" customHeight="1">
      <x:c r="A2417" s="24" t="n">
        <x:v>46198.854166666664</x:v>
      </x:c>
      <x:c r="B2417" s="6" t="n">
        <x:v>0.2989</x:v>
      </x:c>
      <x:c r="C2417" s="6" t="n">
        <x:v>0.1629</x:v>
      </x:c>
      <x:c r="D2417" s="6" t="n">
        <x:f>B2417</x:f>
        <x:v>0.2989</x:v>
      </x:c>
      <x:c r="E2417" s="1" t="n">
        <x:v>1.05</x:v>
      </x:c>
      <x:c r="F2417" s="1" t="str">
        <x:v>https://api.octopus.energy/v1/products/AGILE-24-10-01/electricity-tariffs/E-1R-AGILE-24-10-01-G/standard-unit-rates/</x:v>
      </x:c>
    </x:row>
    <x:row r="2418" ht="21" customHeight="1">
      <x:c r="A2418" s="24" t="n">
        <x:v>46198.875</x:v>
      </x:c>
      <x:c r="B2418" s="6" t="n">
        <x:v>0.28309999999999996</x:v>
      </x:c>
      <x:c r="C2418" s="6" t="n">
        <x:v>0.1557</x:v>
      </x:c>
      <x:c r="D2418" s="6" t="n">
        <x:f>B2418</x:f>
        <x:v>0.28309999999999996</x:v>
      </x:c>
      <x:c r="E2418" s="1" t="n">
        <x:v>1.05</x:v>
      </x:c>
      <x:c r="F2418" s="1" t="str">
        <x:v>https://api.octopus.energy/v1/products/AGILE-24-10-01/electricity-tariffs/E-1R-AGILE-24-10-01-G/standard-unit-rates/</x:v>
      </x:c>
    </x:row>
    <x:row r="2419" ht="21" customHeight="1">
      <x:c r="A2419" s="24" t="n">
        <x:v>46198.895833333336</x:v>
      </x:c>
      <x:c r="B2419" s="6" t="n">
        <x:v>0.2793</x:v>
      </x:c>
      <x:c r="C2419" s="6" t="n">
        <x:v>0.1539</x:v>
      </x:c>
      <x:c r="D2419" s="6" t="n">
        <x:f>B2419</x:f>
        <x:v>0.2793</x:v>
      </x:c>
      <x:c r="E2419" s="1" t="n">
        <x:v>1.05</x:v>
      </x:c>
      <x:c r="F2419" s="1" t="str">
        <x:v>https://api.octopus.energy/v1/products/AGILE-24-10-01/electricity-tariffs/E-1R-AGILE-24-10-01-G/standard-unit-rates/</x:v>
      </x:c>
    </x:row>
    <x:row r="2420" ht="21" customHeight="1">
      <x:c r="A2420" s="24" t="n">
        <x:v>46198.916666666664</x:v>
      </x:c>
      <x:c r="B2420" s="6" t="n">
        <x:v>0.2249</x:v>
      </x:c>
      <x:c r="C2420" s="6" t="n">
        <x:v>0.1291</x:v>
      </x:c>
      <x:c r="D2420" s="6" t="n">
        <x:f>B2420</x:f>
        <x:v>0.2249</x:v>
      </x:c>
      <x:c r="E2420" s="1" t="n">
        <x:v>1.05</x:v>
      </x:c>
      <x:c r="F2420" s="1" t="str">
        <x:v>https://api.octopus.energy/v1/products/AGILE-24-10-01/electricity-tariffs/E-1R-AGILE-24-10-01-G/standard-unit-rates/</x:v>
      </x:c>
    </x:row>
    <x:row r="2421" ht="21" customHeight="1">
      <x:c r="A2421" s="24" t="n">
        <x:v>46198.9375</x:v>
      </x:c>
      <x:c r="B2421" s="6" t="n">
        <x:v>0.1955</x:v>
      </x:c>
      <x:c r="C2421" s="6" t="n">
        <x:v>0.11560000000000001</x:v>
      </x:c>
      <x:c r="D2421" s="6" t="n">
        <x:f>B2421</x:f>
        <x:v>0.1955</x:v>
      </x:c>
      <x:c r="E2421" s="1" t="n">
        <x:v>1.05</x:v>
      </x:c>
      <x:c r="F2421" s="1" t="str">
        <x:v>https://api.octopus.energy/v1/products/AGILE-24-10-01/electricity-tariffs/E-1R-AGILE-24-10-01-G/standard-unit-rates/</x:v>
      </x:c>
    </x:row>
    <x:row r="2422" ht="21" customHeight="1">
      <x:c r="A2422" s="24" t="n">
        <x:v>46199</x:v>
      </x:c>
      <x:c r="B2422" s="6" t="n">
        <x:v>0.1739</x:v>
      </x:c>
      <x:c r="C2422" s="6" t="n">
        <x:v>0.1058</x:v>
      </x:c>
      <x:c r="D2422" s="6" t="n">
        <x:f>B2422</x:f>
        <x:v>0.1739</x:v>
      </x:c>
      <x:c r="E2422" s="1" t="n">
        <x:v>1.05</x:v>
      </x:c>
      <x:c r="F2422" s="1" t="str">
        <x:v>https://api.octopus.energy/v1/products/AGILE-24-10-01/electricity-tariffs/E-1R-AGILE-24-10-01-G/standard-unit-rates/</x:v>
      </x:c>
    </x:row>
    <x:row r="2423" ht="21" customHeight="1">
      <x:c r="A2423" s="24" t="n">
        <x:v>46198.979166666664</x:v>
      </x:c>
      <x:c r="B2423" s="6" t="n">
        <x:v>0.1752</x:v>
      </x:c>
      <x:c r="C2423" s="6" t="n">
        <x:v>0.10640000000000001</x:v>
      </x:c>
      <x:c r="D2423" s="6" t="n">
        <x:f>B2423</x:f>
        <x:v>0.1752</x:v>
      </x:c>
      <x:c r="E2423" s="1" t="n">
        <x:v>1.05</x:v>
      </x:c>
      <x:c r="F2423" s="1" t="str">
        <x:v>https://api.octopus.energy/v1/products/AGILE-24-10-01/electricity-tariffs/E-1R-AGILE-24-10-01-G/standard-unit-rates/</x:v>
      </x:c>
    </x:row>
    <x:row r="2424" ht="21" customHeight="1">
      <x:c r="A2424" s="24" t="n">
        <x:v>46199</x:v>
      </x:c>
      <x:c r="B2424" s="6" t="n">
        <x:v>0.1732</x:v>
      </x:c>
      <x:c r="C2424" s="6" t="n">
        <x:v>0.1054</x:v>
      </x:c>
      <x:c r="D2424" s="6" t="n">
        <x:f>B2424</x:f>
        <x:v>0.1732</x:v>
      </x:c>
      <x:c r="E2424" s="1" t="n">
        <x:v>1.05</x:v>
      </x:c>
      <x:c r="F2424" s="1" t="str">
        <x:v>https://api.octopus.energy/v1/products/AGILE-24-10-01/electricity-tariffs/E-1R-AGILE-24-10-01-G/standard-unit-rates/</x:v>
      </x:c>
    </x:row>
    <x:row r="2425" ht="21" customHeight="1">
      <x:c r="A2425" s="24" t="n">
        <x:v>46199.020833333336</x:v>
      </x:c>
      <x:c r="B2425" s="6" t="n">
        <x:v>0.1648</x:v>
      </x:c>
      <x:c r="C2425" s="6" t="n">
        <x:v>0.1016</x:v>
      </x:c>
      <x:c r="D2425" s="6" t="n">
        <x:f>B2425</x:f>
        <x:v>0.1648</x:v>
      </x:c>
      <x:c r="E2425" s="1" t="n">
        <x:v>1.05</x:v>
      </x:c>
      <x:c r="F2425" s="1" t="str">
        <x:v>https://api.octopus.energy/v1/products/AGILE-24-10-01/electricity-tariffs/E-1R-AGILE-24-10-01-G/standard-unit-rates/</x:v>
      </x:c>
    </x:row>
    <x:row r="2426" ht="21" customHeight="1">
      <x:c r="A2426" s="24" t="n">
        <x:v>46199.041666666664</x:v>
      </x:c>
      <x:c r="B2426" s="6" t="n">
        <x:v>0.16879999999999998</x:v>
      </x:c>
      <x:c r="C2426" s="6" t="n">
        <x:v>0.10339999999999999</x:v>
      </x:c>
      <x:c r="D2426" s="6" t="n">
        <x:f>B2426</x:f>
        <x:v>0.16879999999999998</x:v>
      </x:c>
      <x:c r="E2426" s="1" t="n">
        <x:v>1.05</x:v>
      </x:c>
      <x:c r="F2426" s="1" t="str">
        <x:v>https://api.octopus.energy/v1/products/AGILE-24-10-01/electricity-tariffs/E-1R-AGILE-24-10-01-G/standard-unit-rates/</x:v>
      </x:c>
    </x:row>
    <x:row r="2427" ht="21" customHeight="1">
      <x:c r="A2427" s="24" t="n">
        <x:v>46199.0625</x:v>
      </x:c>
      <x:c r="B2427" s="6" t="n">
        <x:v>0.17420000000000002</x:v>
      </x:c>
      <x:c r="C2427" s="6" t="n">
        <x:v>0.1059</x:v>
      </x:c>
      <x:c r="D2427" s="6" t="n">
        <x:f>B2427</x:f>
        <x:v>0.17420000000000002</x:v>
      </x:c>
      <x:c r="E2427" s="1" t="n">
        <x:v>1.05</x:v>
      </x:c>
      <x:c r="F2427" s="1" t="str">
        <x:v>https://api.octopus.energy/v1/products/AGILE-24-10-01/electricity-tariffs/E-1R-AGILE-24-10-01-G/standard-unit-rates/</x:v>
      </x:c>
    </x:row>
    <x:row r="2428" ht="21" customHeight="1">
      <x:c r="A2428" s="24" t="n">
        <x:v>46199.083333333336</x:v>
      </x:c>
      <x:c r="B2428" s="6" t="n">
        <x:v>0.1766</x:v>
      </x:c>
      <x:c r="C2428" s="6" t="n">
        <x:v>0.107</x:v>
      </x:c>
      <x:c r="D2428" s="6" t="n">
        <x:f>B2428</x:f>
        <x:v>0.1766</x:v>
      </x:c>
      <x:c r="E2428" s="1" t="n">
        <x:v>1.05</x:v>
      </x:c>
      <x:c r="F2428" s="1" t="str">
        <x:v>https://api.octopus.energy/v1/products/AGILE-24-10-01/electricity-tariffs/E-1R-AGILE-24-10-01-G/standard-unit-rates/</x:v>
      </x:c>
    </x:row>
    <x:row r="2429" ht="21" customHeight="1">
      <x:c r="A2429" s="24" t="n">
        <x:v>46199.104166666664</x:v>
      </x:c>
      <x:c r="B2429" s="6" t="n">
        <x:v>0.1766</x:v>
      </x:c>
      <x:c r="C2429" s="6" t="n">
        <x:v>0.107</x:v>
      </x:c>
      <x:c r="D2429" s="6" t="n">
        <x:f>B2429</x:f>
        <x:v>0.1766</x:v>
      </x:c>
      <x:c r="E2429" s="1" t="n">
        <x:v>1.05</x:v>
      </x:c>
      <x:c r="F2429" s="1" t="str">
        <x:v>https://api.octopus.energy/v1/products/AGILE-24-10-01/electricity-tariffs/E-1R-AGILE-24-10-01-G/standard-unit-rates/</x:v>
      </x:c>
    </x:row>
    <x:row r="2430" ht="21" customHeight="1">
      <x:c r="A2430" s="24" t="n">
        <x:v>46199.125</x:v>
      </x:c>
      <x:c r="B2430" s="6" t="n">
        <x:v>0.1793</x:v>
      </x:c>
      <x:c r="C2430" s="6" t="n">
        <x:v>0.1082</x:v>
      </x:c>
      <x:c r="D2430" s="6" t="n">
        <x:f>B2430</x:f>
        <x:v>0.1793</x:v>
      </x:c>
      <x:c r="E2430" s="1" t="n">
        <x:v>1.05</x:v>
      </x:c>
      <x:c r="F2430" s="1" t="str">
        <x:v>https://api.octopus.energy/v1/products/AGILE-24-10-01/electricity-tariffs/E-1R-AGILE-24-10-01-G/standard-unit-rates/</x:v>
      </x:c>
    </x:row>
    <x:row r="2431" ht="21" customHeight="1">
      <x:c r="A2431" s="24" t="n">
        <x:v>46199.145833333336</x:v>
      </x:c>
      <x:c r="B2431" s="6" t="n">
        <x:v>0.17989999999999998</x:v>
      </x:c>
      <x:c r="C2431" s="6" t="n">
        <x:v>0.1085</x:v>
      </x:c>
      <x:c r="D2431" s="6" t="n">
        <x:f>B2431</x:f>
        <x:v>0.17989999999999998</x:v>
      </x:c>
      <x:c r="E2431" s="1" t="n">
        <x:v>1.05</x:v>
      </x:c>
      <x:c r="F2431" s="1" t="str">
        <x:v>https://api.octopus.energy/v1/products/AGILE-24-10-01/electricity-tariffs/E-1R-AGILE-24-10-01-G/standard-unit-rates/</x:v>
      </x:c>
    </x:row>
    <x:row r="2432" ht="21" customHeight="1">
      <x:c r="A2432" s="24" t="n">
        <x:v>46199.166666666664</x:v>
      </x:c>
      <x:c r="B2432" s="6" t="n">
        <x:v>0.1942</x:v>
      </x:c>
      <x:c r="C2432" s="6" t="n">
        <x:v>0.1151</x:v>
      </x:c>
      <x:c r="D2432" s="6" t="n">
        <x:f>B2432</x:f>
        <x:v>0.1942</x:v>
      </x:c>
      <x:c r="E2432" s="1" t="n">
        <x:v>1.05</x:v>
      </x:c>
      <x:c r="F2432" s="1" t="str">
        <x:v>https://api.octopus.energy/v1/products/AGILE-24-10-01/electricity-tariffs/E-1R-AGILE-24-10-01-G/standard-unit-rates/</x:v>
      </x:c>
    </x:row>
    <x:row r="2433" ht="21" customHeight="1">
      <x:c r="A2433" s="24" t="n">
        <x:v>46199.1875</x:v>
      </x:c>
      <x:c r="B2433" s="6" t="n">
        <x:v>0.1942</x:v>
      </x:c>
      <x:c r="C2433" s="6" t="n">
        <x:v>0.1151</x:v>
      </x:c>
      <x:c r="D2433" s="6" t="n">
        <x:f>B2433</x:f>
        <x:v>0.1942</x:v>
      </x:c>
      <x:c r="E2433" s="1" t="n">
        <x:v>1.05</x:v>
      </x:c>
      <x:c r="F2433" s="1" t="str">
        <x:v>https://api.octopus.energy/v1/products/AGILE-24-10-01/electricity-tariffs/E-1R-AGILE-24-10-01-G/standard-unit-rates/</x:v>
      </x:c>
    </x:row>
    <x:row r="2434" ht="21" customHeight="1">
      <x:c r="A2434" s="24" t="n">
        <x:v>46199.208333333336</x:v>
      </x:c>
      <x:c r="B2434" s="6" t="n">
        <x:v>0.20149999999999998</x:v>
      </x:c>
      <x:c r="C2434" s="6" t="n">
        <x:v>0.1184</x:v>
      </x:c>
      <x:c r="D2434" s="6" t="n">
        <x:f>B2434</x:f>
        <x:v>0.20149999999999998</x:v>
      </x:c>
      <x:c r="E2434" s="1" t="n">
        <x:v>1.05</x:v>
      </x:c>
      <x:c r="F2434" s="1" t="str">
        <x:v>https://api.octopus.energy/v1/products/AGILE-24-10-01/electricity-tariffs/E-1R-AGILE-24-10-01-G/standard-unit-rates/</x:v>
      </x:c>
    </x:row>
    <x:row r="2435" ht="21" customHeight="1">
      <x:c r="A2435" s="24" t="n">
        <x:v>46199.229166666664</x:v>
      </x:c>
      <x:c r="B2435" s="6" t="n">
        <x:v>0.2109</x:v>
      </x:c>
      <x:c r="C2435" s="6" t="n">
        <x:v>0.12269999999999999</x:v>
      </x:c>
      <x:c r="D2435" s="6" t="n">
        <x:f>B2435</x:f>
        <x:v>0.2109</x:v>
      </x:c>
      <x:c r="E2435" s="1" t="n">
        <x:v>1.05</x:v>
      </x:c>
      <x:c r="F2435" s="1" t="str">
        <x:v>https://api.octopus.energy/v1/products/AGILE-24-10-01/electricity-tariffs/E-1R-AGILE-24-10-01-G/standard-unit-rates/</x:v>
      </x:c>
    </x:row>
    <x:row r="2436" ht="21" customHeight="1">
      <x:c r="A2436" s="24" t="n">
        <x:v>46199.25</x:v>
      </x:c>
      <x:c r="B2436" s="6" t="n">
        <x:v>0.2054</x:v>
      </x:c>
      <x:c r="C2436" s="6" t="n">
        <x:v>0.1202</x:v>
      </x:c>
      <x:c r="D2436" s="6" t="n">
        <x:f>B2436</x:f>
        <x:v>0.2054</x:v>
      </x:c>
      <x:c r="E2436" s="1" t="n">
        <x:v>1.05</x:v>
      </x:c>
      <x:c r="F2436" s="1" t="str">
        <x:v>https://api.octopus.energy/v1/products/AGILE-24-10-01/electricity-tariffs/E-1R-AGILE-24-10-01-G/standard-unit-rates/</x:v>
      </x:c>
    </x:row>
    <x:row r="2437" ht="21" customHeight="1">
      <x:c r="A2437" s="24" t="n">
        <x:v>46199.270833333336</x:v>
      </x:c>
      <x:c r="B2437" s="6" t="n">
        <x:v>0.2268</x:v>
      </x:c>
      <x:c r="C2437" s="6" t="n">
        <x:v>0.12990000000000002</x:v>
      </x:c>
      <x:c r="D2437" s="6" t="n">
        <x:f>B2437</x:f>
        <x:v>0.2268</x:v>
      </x:c>
      <x:c r="E2437" s="1" t="n">
        <x:v>1.05</x:v>
      </x:c>
      <x:c r="F2437" s="1" t="str">
        <x:v>https://api.octopus.energy/v1/products/AGILE-24-10-01/electricity-tariffs/E-1R-AGILE-24-10-01-G/standard-unit-rates/</x:v>
      </x:c>
    </x:row>
    <x:row r="2438" ht="21" customHeight="1">
      <x:c r="A2438" s="24" t="n">
        <x:v>46199.291666666664</x:v>
      </x:c>
      <x:c r="B2438" s="6" t="n">
        <x:v>0.2018</x:v>
      </x:c>
      <x:c r="C2438" s="6" t="n">
        <x:v>0.1185</x:v>
      </x:c>
      <x:c r="D2438" s="6" t="n">
        <x:f>B2438</x:f>
        <x:v>0.2018</x:v>
      </x:c>
      <x:c r="E2438" s="1" t="n">
        <x:v>1.05</x:v>
      </x:c>
      <x:c r="F2438" s="1" t="str">
        <x:v>https://api.octopus.energy/v1/products/AGILE-24-10-01/electricity-tariffs/E-1R-AGILE-24-10-01-G/standard-unit-rates/</x:v>
      </x:c>
    </x:row>
    <x:row r="2439" ht="21" customHeight="1">
      <x:c r="A2439" s="24" t="n">
        <x:v>46199.3125</x:v>
      </x:c>
      <x:c r="B2439" s="6" t="n">
        <x:v>0.2298</x:v>
      </x:c>
      <x:c r="C2439" s="6" t="n">
        <x:v>0.1313</x:v>
      </x:c>
      <x:c r="D2439" s="6" t="n">
        <x:f>B2439</x:f>
        <x:v>0.2298</x:v>
      </x:c>
      <x:c r="E2439" s="1" t="n">
        <x:v>1.05</x:v>
      </x:c>
      <x:c r="F2439" s="1" t="str">
        <x:v>https://api.octopus.energy/v1/products/AGILE-24-10-01/electricity-tariffs/E-1R-AGILE-24-10-01-G/standard-unit-rates/</x:v>
      </x:c>
    </x:row>
    <x:row r="2440" ht="21" customHeight="1">
      <x:c r="A2440" s="24" t="n">
        <x:v>46199.333333333336</x:v>
      </x:c>
      <x:c r="B2440" s="6" t="n">
        <x:v>0.1699</x:v>
      </x:c>
      <x:c r="C2440" s="6" t="n">
        <x:v>0.1039</x:v>
      </x:c>
      <x:c r="D2440" s="6" t="n">
        <x:f>B2440</x:f>
        <x:v>0.1699</x:v>
      </x:c>
      <x:c r="E2440" s="1" t="n">
        <x:v>1.05</x:v>
      </x:c>
      <x:c r="F2440" s="1" t="str">
        <x:v>https://api.octopus.energy/v1/products/AGILE-24-10-01/electricity-tariffs/E-1R-AGILE-24-10-01-G/standard-unit-rates/</x:v>
      </x:c>
    </x:row>
    <x:row r="2441" ht="21" customHeight="1">
      <x:c r="A2441" s="24" t="n">
        <x:v>46199.354166666664</x:v>
      </x:c>
      <x:c r="B2441" s="6" t="n">
        <x:v>0.1703</x:v>
      </x:c>
      <x:c r="C2441" s="6" t="n">
        <x:v>0.1041</x:v>
      </x:c>
      <x:c r="D2441" s="6" t="n">
        <x:f>B2441</x:f>
        <x:v>0.1703</x:v>
      </x:c>
      <x:c r="E2441" s="1" t="n">
        <x:v>1.05</x:v>
      </x:c>
      <x:c r="F2441" s="1" t="str">
        <x:v>https://api.octopus.energy/v1/products/AGILE-24-10-01/electricity-tariffs/E-1R-AGILE-24-10-01-G/standard-unit-rates/</x:v>
      </x:c>
    </x:row>
    <x:row r="2442" ht="21" customHeight="1">
      <x:c r="A2442" s="24" t="n">
        <x:v>46199.375</x:v>
      </x:c>
      <x:c r="B2442" s="6" t="n">
        <x:v>0.1636</x:v>
      </x:c>
      <x:c r="C2442" s="6" t="n">
        <x:v>0.1011</x:v>
      </x:c>
      <x:c r="D2442" s="6" t="n">
        <x:f>B2442</x:f>
        <x:v>0.1636</x:v>
      </x:c>
      <x:c r="E2442" s="1" t="n">
        <x:v>1.05</x:v>
      </x:c>
      <x:c r="F2442" s="1" t="str">
        <x:v>https://api.octopus.energy/v1/products/AGILE-24-10-01/electricity-tariffs/E-1R-AGILE-24-10-01-G/standard-unit-rates/</x:v>
      </x:c>
    </x:row>
    <x:row r="2443" ht="21" customHeight="1">
      <x:c r="A2443" s="24" t="n">
        <x:v>46199.395833333336</x:v>
      </x:c>
      <x:c r="B2443" s="6" t="n">
        <x:v>0.16399999999999998</x:v>
      </x:c>
      <x:c r="C2443" s="6" t="n">
        <x:v>0.1012</x:v>
      </x:c>
      <x:c r="D2443" s="6" t="n">
        <x:f>B2443</x:f>
        <x:v>0.16399999999999998</x:v>
      </x:c>
      <x:c r="E2443" s="1" t="n">
        <x:v>1.05</x:v>
      </x:c>
      <x:c r="F2443" s="1" t="str">
        <x:v>https://api.octopus.energy/v1/products/AGILE-24-10-01/electricity-tariffs/E-1R-AGILE-24-10-01-G/standard-unit-rates/</x:v>
      </x:c>
    </x:row>
    <x:row r="2444" ht="21" customHeight="1">
      <x:c r="A2444" s="24" t="n">
        <x:v>46199.416666666664</x:v>
      </x:c>
      <x:c r="B2444" s="6" t="n">
        <x:v>0.1577</x:v>
      </x:c>
      <x:c r="C2444" s="6" t="n">
        <x:v>0.0984</x:v>
      </x:c>
      <x:c r="D2444" s="6" t="n">
        <x:f>B2444</x:f>
        <x:v>0.1577</x:v>
      </x:c>
      <x:c r="E2444" s="1" t="n">
        <x:v>1.05</x:v>
      </x:c>
      <x:c r="F2444" s="1" t="str">
        <x:v>https://api.octopus.energy/v1/products/AGILE-24-10-01/electricity-tariffs/E-1R-AGILE-24-10-01-G/standard-unit-rates/</x:v>
      </x:c>
    </x:row>
    <x:row r="2445" ht="21" customHeight="1">
      <x:c r="A2445" s="24" t="n">
        <x:v>46199.4375</x:v>
      </x:c>
      <x:c r="B2445" s="6" t="n">
        <x:v>0.1517</x:v>
      </x:c>
      <x:c r="C2445" s="6" t="n">
        <x:v>0.0956</x:v>
      </x:c>
      <x:c r="D2445" s="6" t="n">
        <x:f>B2445</x:f>
        <x:v>0.1517</x:v>
      </x:c>
      <x:c r="E2445" s="1" t="n">
        <x:v>1.05</x:v>
      </x:c>
      <x:c r="F2445" s="1" t="str">
        <x:v>https://api.octopus.energy/v1/products/AGILE-24-10-01/electricity-tariffs/E-1R-AGILE-24-10-01-G/standard-unit-rates/</x:v>
      </x:c>
    </x:row>
    <x:row r="2446" ht="21" customHeight="1">
      <x:c r="A2446" s="24" t="n">
        <x:v>46199.458333333336</x:v>
      </x:c>
      <x:c r="B2446" s="6" t="n">
        <x:v>0.1496</x:v>
      </x:c>
      <x:c r="C2446" s="6" t="n">
        <x:v>0.0946</x:v>
      </x:c>
      <x:c r="D2446" s="6" t="n">
        <x:f>B2446</x:f>
        <x:v>0.1496</x:v>
      </x:c>
      <x:c r="E2446" s="1" t="n">
        <x:v>1.05</x:v>
      </x:c>
      <x:c r="F2446" s="1" t="str">
        <x:v>https://api.octopus.energy/v1/products/AGILE-24-10-01/electricity-tariffs/E-1R-AGILE-24-10-01-G/standard-unit-rates/</x:v>
      </x:c>
    </x:row>
    <x:row r="2447" ht="21" customHeight="1">
      <x:c r="A2447" s="24" t="n">
        <x:v>46199.479166666664</x:v>
      </x:c>
      <x:c r="B2447" s="6" t="n">
        <x:v>0.1442</x:v>
      </x:c>
      <x:c r="C2447" s="6" t="n">
        <x:v>0.0922</x:v>
      </x:c>
      <x:c r="D2447" s="6" t="n">
        <x:f>B2447</x:f>
        <x:v>0.1442</x:v>
      </x:c>
      <x:c r="E2447" s="1" t="n">
        <x:v>1.05</x:v>
      </x:c>
      <x:c r="F2447" s="1" t="str">
        <x:v>https://api.octopus.energy/v1/products/AGILE-24-10-01/electricity-tariffs/E-1R-AGILE-24-10-01-G/standard-unit-rates/</x:v>
      </x:c>
    </x:row>
    <x:row r="2448" ht="21" customHeight="1">
      <x:c r="A2448" s="24" t="n">
        <x:v>46199.5</x:v>
      </x:c>
      <x:c r="B2448" s="6" t="n">
        <x:v>0.1434</x:v>
      </x:c>
      <x:c r="C2448" s="6" t="n">
        <x:v>0.09179999999999999</x:v>
      </x:c>
      <x:c r="D2448" s="6" t="n">
        <x:f>B2448</x:f>
        <x:v>0.1434</x:v>
      </x:c>
      <x:c r="E2448" s="1" t="n">
        <x:v>1.05</x:v>
      </x:c>
      <x:c r="F2448" s="1" t="str">
        <x:v>https://api.octopus.energy/v1/products/AGILE-24-10-01/electricity-tariffs/E-1R-AGILE-24-10-01-G/standard-unit-rates/</x:v>
      </x:c>
    </x:row>
    <x:row r="2449" ht="21" customHeight="1">
      <x:c r="A2449" s="24" t="n">
        <x:v>46199.520833333336</x:v>
      </x:c>
      <x:c r="B2449" s="6" t="n">
        <x:v>0.1434</x:v>
      </x:c>
      <x:c r="C2449" s="6" t="n">
        <x:v>0.09179999999999999</x:v>
      </x:c>
      <x:c r="D2449" s="6" t="n">
        <x:f>B2449</x:f>
        <x:v>0.1434</x:v>
      </x:c>
      <x:c r="E2449" s="1" t="n">
        <x:v>1.05</x:v>
      </x:c>
      <x:c r="F2449" s="1" t="str">
        <x:v>https://api.octopus.energy/v1/products/AGILE-24-10-01/electricity-tariffs/E-1R-AGILE-24-10-01-G/standard-unit-rates/</x:v>
      </x:c>
    </x:row>
    <x:row r="2450" ht="21" customHeight="1">
      <x:c r="A2450" s="24" t="n">
        <x:v>46199.541666666664</x:v>
      </x:c>
      <x:c r="B2450" s="6" t="n">
        <x:v>0.1421</x:v>
      </x:c>
      <x:c r="C2450" s="6" t="n">
        <x:v>0.09119999999999999</x:v>
      </x:c>
      <x:c r="D2450" s="6" t="n">
        <x:f>B2450</x:f>
        <x:v>0.1421</x:v>
      </x:c>
      <x:c r="E2450" s="1" t="n">
        <x:v>1.05</x:v>
      </x:c>
      <x:c r="F2450" s="1" t="str">
        <x:v>https://api.octopus.energy/v1/products/AGILE-24-10-01/electricity-tariffs/E-1R-AGILE-24-10-01-G/standard-unit-rates/</x:v>
      </x:c>
    </x:row>
    <x:row r="2451" ht="21" customHeight="1">
      <x:c r="A2451" s="24" t="n">
        <x:v>46199.5625</x:v>
      </x:c>
      <x:c r="B2451" s="6" t="n">
        <x:v>0.1304</x:v>
      </x:c>
      <x:c r="C2451" s="6" t="n">
        <x:v>0.0859</x:v>
      </x:c>
      <x:c r="D2451" s="6" t="n">
        <x:f>B2451</x:f>
        <x:v>0.1304</x:v>
      </x:c>
      <x:c r="E2451" s="1" t="n">
        <x:v>1.05</x:v>
      </x:c>
      <x:c r="F2451" s="1" t="str">
        <x:v>https://api.octopus.energy/v1/products/AGILE-24-10-01/electricity-tariffs/E-1R-AGILE-24-10-01-G/standard-unit-rates/</x:v>
      </x:c>
    </x:row>
    <x:row r="2452" ht="21" customHeight="1">
      <x:c r="A2452" s="24" t="n">
        <x:v>46199.583333333336</x:v>
      </x:c>
      <x:c r="B2452" s="6" t="n">
        <x:v>0.1378</x:v>
      </x:c>
      <x:c r="C2452" s="6" t="n">
        <x:v>0.0892</x:v>
      </x:c>
      <x:c r="D2452" s="6" t="n">
        <x:f>B2452</x:f>
        <x:v>0.1378</x:v>
      </x:c>
      <x:c r="E2452" s="1" t="n">
        <x:v>1.05</x:v>
      </x:c>
      <x:c r="F2452" s="1" t="str">
        <x:v>https://api.octopus.energy/v1/products/AGILE-24-10-01/electricity-tariffs/E-1R-AGILE-24-10-01-G/standard-unit-rates/</x:v>
      </x:c>
    </x:row>
    <x:row r="2453" ht="21" customHeight="1">
      <x:c r="A2453" s="24" t="n">
        <x:v>46199.604166666664</x:v>
      </x:c>
      <x:c r="B2453" s="6" t="n">
        <x:v>0.1346</x:v>
      </x:c>
      <x:c r="C2453" s="6" t="n">
        <x:v>0.08779999999999999</x:v>
      </x:c>
      <x:c r="D2453" s="6" t="n">
        <x:f>B2453</x:f>
        <x:v>0.1346</x:v>
      </x:c>
      <x:c r="E2453" s="1" t="n">
        <x:v>1.05</x:v>
      </x:c>
      <x:c r="F2453" s="1" t="str">
        <x:v>https://api.octopus.energy/v1/products/AGILE-24-10-01/electricity-tariffs/E-1R-AGILE-24-10-01-G/standard-unit-rates/</x:v>
      </x:c>
    </x:row>
    <x:row r="2454" ht="21" customHeight="1">
      <x:c r="A2454" s="24" t="n">
        <x:v>46199.625</x:v>
      </x:c>
      <x:c r="B2454" s="6" t="n">
        <x:v>0.1527</x:v>
      </x:c>
      <x:c r="C2454" s="6" t="n">
        <x:v>0.09609999999999999</x:v>
      </x:c>
      <x:c r="D2454" s="6" t="n">
        <x:f>B2454</x:f>
        <x:v>0.1527</x:v>
      </x:c>
      <x:c r="E2454" s="1" t="n">
        <x:v>1.05</x:v>
      </x:c>
      <x:c r="F2454" s="1" t="str">
        <x:v>https://api.octopus.energy/v1/products/AGILE-24-10-01/electricity-tariffs/E-1R-AGILE-24-10-01-G/standard-unit-rates/</x:v>
      </x:c>
    </x:row>
    <x:row r="2455" ht="21" customHeight="1">
      <x:c r="A2455" s="24" t="n">
        <x:v>46199.645833333336</x:v>
      </x:c>
      <x:c r="B2455" s="6" t="n">
        <x:v>0.1457</x:v>
      </x:c>
      <x:c r="C2455" s="6" t="n">
        <x:v>0.0929</x:v>
      </x:c>
      <x:c r="D2455" s="6" t="n">
        <x:f>B2455</x:f>
        <x:v>0.1457</x:v>
      </x:c>
      <x:c r="E2455" s="1" t="n">
        <x:v>1.05</x:v>
      </x:c>
      <x:c r="F2455" s="1" t="str">
        <x:v>https://api.octopus.energy/v1/products/AGILE-24-10-01/electricity-tariffs/E-1R-AGILE-24-10-01-G/standard-unit-rates/</x:v>
      </x:c>
    </x:row>
    <x:row r="2456" ht="21" customHeight="1">
      <x:c r="A2456" s="24" t="n">
        <x:v>46199.666666666664</x:v>
      </x:c>
      <x:c r="B2456" s="6" t="n">
        <x:v>0.294</x:v>
      </x:c>
      <x:c r="C2456" s="6" t="n">
        <x:v>0.16469999999999999</x:v>
      </x:c>
      <x:c r="D2456" s="6" t="n">
        <x:f>B2456</x:f>
        <x:v>0.294</x:v>
      </x:c>
      <x:c r="E2456" s="1" t="n">
        <x:v>1.05</x:v>
      </x:c>
      <x:c r="F2456" s="1" t="str">
        <x:v>https://api.octopus.energy/v1/products/AGILE-24-10-01/electricity-tariffs/E-1R-AGILE-24-10-01-G/standard-unit-rates/</x:v>
      </x:c>
    </x:row>
    <x:row r="2457" ht="21" customHeight="1">
      <x:c r="A2457" s="24" t="n">
        <x:v>46199.6875</x:v>
      </x:c>
      <x:c r="B2457" s="6" t="n">
        <x:v>0.2966</x:v>
      </x:c>
      <x:c r="C2457" s="6" t="n">
        <x:v>0.1659</x:v>
      </x:c>
      <x:c r="D2457" s="6" t="n">
        <x:f>B2457</x:f>
        <x:v>0.2966</x:v>
      </x:c>
      <x:c r="E2457" s="1" t="n">
        <x:v>1.05</x:v>
      </x:c>
      <x:c r="F2457" s="1" t="str">
        <x:v>https://api.octopus.energy/v1/products/AGILE-24-10-01/electricity-tariffs/E-1R-AGILE-24-10-01-G/standard-unit-rates/</x:v>
      </x:c>
    </x:row>
    <x:row r="2458" ht="21" customHeight="1">
      <x:c r="A2458" s="24" t="n">
        <x:v>46199.708333333336</x:v>
      </x:c>
      <x:c r="B2458" s="6" t="n">
        <x:v>0.3453</x:v>
      </x:c>
      <x:c r="C2458" s="6" t="n">
        <x:v>0.1882</x:v>
      </x:c>
      <x:c r="D2458" s="6" t="n">
        <x:f>B2458</x:f>
        <x:v>0.3453</x:v>
      </x:c>
      <x:c r="E2458" s="1" t="n">
        <x:v>1.05</x:v>
      </x:c>
      <x:c r="F2458" s="1" t="str">
        <x:v>https://api.octopus.energy/v1/products/AGILE-24-10-01/electricity-tariffs/E-1R-AGILE-24-10-01-G/standard-unit-rates/</x:v>
      </x:c>
    </x:row>
    <x:row r="2459" ht="21" customHeight="1">
      <x:c r="A2459" s="24" t="n">
        <x:v>46199.729166666664</x:v>
      </x:c>
      <x:c r="B2459" s="6" t="n">
        <x:v>0.3741</x:v>
      </x:c>
      <x:c r="C2459" s="6" t="n">
        <x:v>0.20129999999999998</x:v>
      </x:c>
      <x:c r="D2459" s="6" t="n">
        <x:f>B2459</x:f>
        <x:v>0.3741</x:v>
      </x:c>
      <x:c r="E2459" s="1" t="n">
        <x:v>1.05</x:v>
      </x:c>
      <x:c r="F2459" s="1" t="str">
        <x:v>https://api.octopus.energy/v1/products/AGILE-24-10-01/electricity-tariffs/E-1R-AGILE-24-10-01-G/standard-unit-rates/</x:v>
      </x:c>
    </x:row>
    <x:row r="2460" ht="21" customHeight="1">
      <x:c r="A2460" s="24" t="n">
        <x:v>46199.75</x:v>
      </x:c>
      <x:c r="B2460" s="6" t="n">
        <x:v>0.5345</x:v>
      </x:c>
      <x:c r="C2460" s="6" t="n">
        <x:v>0.2747</x:v>
      </x:c>
      <x:c r="D2460" s="6" t="n">
        <x:f>B2460</x:f>
        <x:v>0.5345</x:v>
      </x:c>
      <x:c r="E2460" s="1" t="n">
        <x:v>1.05</x:v>
      </x:c>
      <x:c r="F2460" s="1" t="str">
        <x:v>https://api.octopus.energy/v1/products/AGILE-24-10-01/electricity-tariffs/E-1R-AGILE-24-10-01-G/standard-unit-rates/</x:v>
      </x:c>
    </x:row>
    <x:row r="2461" ht="21" customHeight="1">
      <x:c r="A2461" s="24" t="n">
        <x:v>46199.770833333336</x:v>
      </x:c>
      <x:c r="B2461" s="6" t="n">
        <x:v>0.5318999999999999</x:v>
      </x:c>
      <x:c r="C2461" s="6" t="n">
        <x:v>0.2735</x:v>
      </x:c>
      <x:c r="D2461" s="6" t="n">
        <x:f>B2461</x:f>
        <x:v>0.5318999999999999</x:v>
      </x:c>
      <x:c r="E2461" s="1" t="n">
        <x:v>1.05</x:v>
      </x:c>
      <x:c r="F2461" s="1" t="str">
        <x:v>https://api.octopus.energy/v1/products/AGILE-24-10-01/electricity-tariffs/E-1R-AGILE-24-10-01-G/standard-unit-rates/</x:v>
      </x:c>
    </x:row>
    <x:row r="2462" ht="21" customHeight="1">
      <x:c r="A2462" s="24" t="n">
        <x:v>46199.791666666664</x:v>
      </x:c>
      <x:c r="B2462" s="6" t="n">
        <x:v>0.42200000000000004</x:v>
      </x:c>
      <x:c r="C2462" s="6" t="n">
        <x:v>0.2192</x:v>
      </x:c>
      <x:c r="D2462" s="6" t="n">
        <x:f>B2462</x:f>
        <x:v>0.42200000000000004</x:v>
      </x:c>
      <x:c r="E2462" s="1" t="n">
        <x:v>1.05</x:v>
      </x:c>
      <x:c r="F2462" s="1" t="str">
        <x:v>https://api.octopus.energy/v1/products/AGILE-24-10-01/electricity-tariffs/E-1R-AGILE-24-10-01-G/standard-unit-rates/</x:v>
      </x:c>
    </x:row>
    <x:row r="2463" ht="21" customHeight="1">
      <x:c r="A2463" s="24" t="n">
        <x:v>46199.8125</x:v>
      </x:c>
      <x:c r="B2463" s="6" t="n">
        <x:v>0.4163</x:v>
      </x:c>
      <x:c r="C2463" s="6" t="n">
        <x:v>0.21660000000000001</x:v>
      </x:c>
      <x:c r="D2463" s="6" t="n">
        <x:f>B2463</x:f>
        <x:v>0.4163</x:v>
      </x:c>
      <x:c r="E2463" s="1" t="n">
        <x:v>1.05</x:v>
      </x:c>
      <x:c r="F2463" s="1" t="str">
        <x:v>https://api.octopus.energy/v1/products/AGILE-24-10-01/electricity-tariffs/E-1R-AGILE-24-10-01-G/standard-unit-rates/</x:v>
      </x:c>
    </x:row>
    <x:row r="2464" ht="21" customHeight="1">
      <x:c r="A2464" s="24" t="n">
        <x:v>46199.833333333336</x:v>
      </x:c>
      <x:c r="B2464" s="6" t="n">
        <x:v>0.4064</x:v>
      </x:c>
      <x:c r="C2464" s="6" t="n">
        <x:v>0.2121</x:v>
      </x:c>
      <x:c r="D2464" s="6" t="n">
        <x:f>B2464</x:f>
        <x:v>0.4064</x:v>
      </x:c>
      <x:c r="E2464" s="1" t="n">
        <x:v>1.05</x:v>
      </x:c>
      <x:c r="F2464" s="1" t="str">
        <x:v>https://api.octopus.energy/v1/products/AGILE-24-10-01/electricity-tariffs/E-1R-AGILE-24-10-01-G/standard-unit-rates/</x:v>
      </x:c>
    </x:row>
    <x:row r="2465" ht="21" customHeight="1">
      <x:c r="A2465" s="24" t="n">
        <x:v>46199.854166666664</x:v>
      </x:c>
      <x:c r="B2465" s="6" t="n">
        <x:v>0.3897</x:v>
      </x:c>
      <x:c r="C2465" s="6" t="n">
        <x:v>0.20440000000000003</x:v>
      </x:c>
      <x:c r="D2465" s="6" t="n">
        <x:f>B2465</x:f>
        <x:v>0.3897</x:v>
      </x:c>
      <x:c r="E2465" s="1" t="n">
        <x:v>1.05</x:v>
      </x:c>
      <x:c r="F2465" s="1" t="str">
        <x:v>https://api.octopus.energy/v1/products/AGILE-24-10-01/electricity-tariffs/E-1R-AGILE-24-10-01-G/standard-unit-rates/</x:v>
      </x:c>
    </x:row>
    <x:row r="2466" ht="21" customHeight="1">
      <x:c r="A2466" s="24" t="n">
        <x:v>46199.875</x:v>
      </x:c>
      <x:c r="B2466" s="6" t="n">
        <x:v>0.384</x:v>
      </x:c>
      <x:c r="C2466" s="6" t="n">
        <x:v>0.2018</x:v>
      </x:c>
      <x:c r="D2466" s="6" t="n">
        <x:f>B2466</x:f>
        <x:v>0.384</x:v>
      </x:c>
      <x:c r="E2466" s="1" t="n">
        <x:v>1.05</x:v>
      </x:c>
      <x:c r="F2466" s="1" t="str">
        <x:v>https://api.octopus.energy/v1/products/AGILE-24-10-01/electricity-tariffs/E-1R-AGILE-24-10-01-G/standard-unit-rates/</x:v>
      </x:c>
    </x:row>
    <x:row r="2467" ht="21" customHeight="1">
      <x:c r="A2467" s="24" t="n">
        <x:v>46199.895833333336</x:v>
      </x:c>
      <x:c r="B2467" s="6" t="n">
        <x:v>0.3362</x:v>
      </x:c>
      <x:c r="C2467" s="6" t="n">
        <x:v>0.18</x:v>
      </x:c>
      <x:c r="D2467" s="6" t="n">
        <x:f>B2467</x:f>
        <x:v>0.3362</x:v>
      </x:c>
      <x:c r="E2467" s="1" t="n">
        <x:v>1.05</x:v>
      </x:c>
      <x:c r="F2467" s="1" t="str">
        <x:v>https://api.octopus.energy/v1/products/AGILE-24-10-01/electricity-tariffs/E-1R-AGILE-24-10-01-G/standard-unit-rates/</x:v>
      </x:c>
    </x:row>
    <x:row r="2468" ht="21" customHeight="1">
      <x:c r="A2468" s="24" t="n">
        <x:v>46199.916666666664</x:v>
      </x:c>
      <x:c r="B2468" s="6" t="n">
        <x:v>0.2711</x:v>
      </x:c>
      <x:c r="C2468" s="6" t="n">
        <x:v>0.1502</x:v>
      </x:c>
      <x:c r="D2468" s="6" t="n">
        <x:f>B2468</x:f>
        <x:v>0.2711</x:v>
      </x:c>
      <x:c r="E2468" s="1" t="n">
        <x:v>1.05</x:v>
      </x:c>
      <x:c r="F2468" s="1" t="str">
        <x:v>https://api.octopus.energy/v1/products/AGILE-24-10-01/electricity-tariffs/E-1R-AGILE-24-10-01-G/standard-unit-rates/</x:v>
      </x:c>
    </x:row>
    <x:row r="2469" ht="21" customHeight="1">
      <x:c r="A2469" s="24" t="n">
        <x:v>46199.9375</x:v>
      </x:c>
      <x:c r="B2469" s="6" t="n">
        <x:v>0.2725</x:v>
      </x:c>
      <x:c r="C2469" s="6" t="n">
        <x:v>0.1508</x:v>
      </x:c>
      <x:c r="D2469" s="6" t="n">
        <x:f>B2469</x:f>
        <x:v>0.2725</x:v>
      </x:c>
      <x:c r="E2469" s="1" t="n">
        <x:v>1.05</x:v>
      </x:c>
      <x:c r="F2469" s="1" t="str">
        <x:v>https://api.octopus.energy/v1/products/AGILE-24-10-01/electricity-tariffs/E-1R-AGILE-24-10-01-G/standard-unit-rates/</x:v>
      </x:c>
    </x:row>
    <x:row r="2470" ht="21" customHeight="1">
      <x:c r="A2470" s="24" t="n">
        <x:v>46200</x:v>
      </x:c>
      <x:c r="B2470" s="6" t="n">
        <x:v>0.2072</x:v>
      </x:c>
      <x:c r="C2470" s="6" t="n">
        <x:v>0.121</x:v>
      </x:c>
      <x:c r="D2470" s="6" t="n">
        <x:f>B2470</x:f>
        <x:v>0.2072</x:v>
      </x:c>
      <x:c r="E2470" s="1" t="n">
        <x:v>1.05</x:v>
      </x:c>
      <x:c r="F2470" s="1" t="str">
        <x:v>https://api.octopus.energy/v1/products/AGILE-24-10-01/electricity-tariffs/E-1R-AGILE-24-10-01-G/standard-unit-rates/</x:v>
      </x:c>
    </x:row>
    <x:row r="2471" ht="21" customHeight="1">
      <x:c r="A2471" s="24" t="n">
        <x:v>46199.979166666664</x:v>
      </x:c>
      <x:c r="B2471" s="6" t="n">
        <x:v>0.20079999999999998</x:v>
      </x:c>
      <x:c r="C2471" s="6" t="n">
        <x:v>0.11800000000000001</x:v>
      </x:c>
      <x:c r="D2471" s="6" t="n">
        <x:f>B2471</x:f>
        <x:v>0.20079999999999998</x:v>
      </x:c>
      <x:c r="E2471" s="1" t="n">
        <x:v>1.05</x:v>
      </x:c>
      <x:c r="F2471" s="1" t="str">
        <x:v>https://api.octopus.energy/v1/products/AGILE-24-10-01/electricity-tariffs/E-1R-AGILE-24-10-01-G/standard-unit-rates/</x:v>
      </x:c>
    </x:row>
    <x:row r="2472" ht="21" customHeight="1">
      <x:c r="A2472" s="24" t="n">
        <x:v>46200</x:v>
      </x:c>
      <x:c r="B2472" s="6" t="n">
        <x:v>0.19399999999999998</x:v>
      </x:c>
      <x:c r="C2472" s="6" t="n">
        <x:v>0.1149</x:v>
      </x:c>
      <x:c r="D2472" s="6" t="n">
        <x:f>B2472</x:f>
        <x:v>0.19399999999999998</x:v>
      </x:c>
      <x:c r="E2472" s="1" t="n">
        <x:v>1.05</x:v>
      </x:c>
      <x:c r="F2472" s="1" t="str">
        <x:v>https://api.octopus.energy/v1/products/AGILE-24-10-01/electricity-tariffs/E-1R-AGILE-24-10-01-G/standard-unit-rates/</x:v>
      </x:c>
    </x:row>
    <x:row r="2473" ht="21" customHeight="1">
      <x:c r="A2473" s="24" t="n">
        <x:v>46200.020833333336</x:v>
      </x:c>
      <x:c r="B2473" s="6" t="n">
        <x:v>0.1869</x:v>
      </x:c>
      <x:c r="C2473" s="6" t="n">
        <x:v>0.1117</x:v>
      </x:c>
      <x:c r="D2473" s="6" t="n">
        <x:f>B2473</x:f>
        <x:v>0.1869</x:v>
      </x:c>
      <x:c r="E2473" s="1" t="n">
        <x:v>1.05</x:v>
      </x:c>
      <x:c r="F2473" s="1" t="str">
        <x:v>https://api.octopus.energy/v1/products/AGILE-24-10-01/electricity-tariffs/E-1R-AGILE-24-10-01-G/standard-unit-rates/</x:v>
      </x:c>
    </x:row>
    <x:row r="2474" ht="21" customHeight="1">
      <x:c r="A2474" s="24" t="n">
        <x:v>46200.041666666664</x:v>
      </x:c>
      <x:c r="B2474" s="6" t="n">
        <x:v>0.1815</x:v>
      </x:c>
      <x:c r="C2474" s="6" t="n">
        <x:v>0.1092</x:v>
      </x:c>
      <x:c r="D2474" s="6" t="n">
        <x:f>B2474</x:f>
        <x:v>0.1815</x:v>
      </x:c>
      <x:c r="E2474" s="1" t="n">
        <x:v>1.05</x:v>
      </x:c>
      <x:c r="F2474" s="1" t="str">
        <x:v>https://api.octopus.energy/v1/products/AGILE-24-10-01/electricity-tariffs/E-1R-AGILE-24-10-01-G/standard-unit-rates/</x:v>
      </x:c>
    </x:row>
    <x:row r="2475" ht="21" customHeight="1">
      <x:c r="A2475" s="24" t="n">
        <x:v>46200.0625</x:v>
      </x:c>
      <x:c r="B2475" s="6" t="n">
        <x:v>0.172</x:v>
      </x:c>
      <x:c r="C2475" s="6" t="n">
        <x:v>0.10490000000000001</x:v>
      </x:c>
      <x:c r="D2475" s="6" t="n">
        <x:f>B2475</x:f>
        <x:v>0.172</x:v>
      </x:c>
      <x:c r="E2475" s="1" t="n">
        <x:v>1.05</x:v>
      </x:c>
      <x:c r="F2475" s="1" t="str">
        <x:v>https://api.octopus.energy/v1/products/AGILE-24-10-01/electricity-tariffs/E-1R-AGILE-24-10-01-G/standard-unit-rates/</x:v>
      </x:c>
    </x:row>
    <x:row r="2476" ht="21" customHeight="1">
      <x:c r="A2476" s="24" t="n">
        <x:v>46200.083333333336</x:v>
      </x:c>
      <x:c r="B2476" s="6" t="n">
        <x:v>0.17620000000000002</x:v>
      </x:c>
      <x:c r="C2476" s="6" t="n">
        <x:v>0.10679999999999999</x:v>
      </x:c>
      <x:c r="D2476" s="6" t="n">
        <x:f>B2476</x:f>
        <x:v>0.17620000000000002</x:v>
      </x:c>
      <x:c r="E2476" s="1" t="n">
        <x:v>1.05</x:v>
      </x:c>
      <x:c r="F2476" s="1" t="str">
        <x:v>https://api.octopus.energy/v1/products/AGILE-24-10-01/electricity-tariffs/E-1R-AGILE-24-10-01-G/standard-unit-rates/</x:v>
      </x:c>
    </x:row>
    <x:row r="2477" ht="21" customHeight="1">
      <x:c r="A2477" s="24" t="n">
        <x:v>46200.104166666664</x:v>
      </x:c>
      <x:c r="B2477" s="6" t="n">
        <x:v>0.1724</x:v>
      </x:c>
      <x:c r="C2477" s="6" t="n">
        <x:v>0.1051</x:v>
      </x:c>
      <x:c r="D2477" s="6" t="n">
        <x:f>B2477</x:f>
        <x:v>0.1724</x:v>
      </x:c>
      <x:c r="E2477" s="1" t="n">
        <x:v>1.05</x:v>
      </x:c>
      <x:c r="F2477" s="1" t="str">
        <x:v>https://api.octopus.energy/v1/products/AGILE-24-10-01/electricity-tariffs/E-1R-AGILE-24-10-01-G/standard-unit-rates/</x:v>
      </x:c>
    </x:row>
    <x:row r="2478" ht="21" customHeight="1">
      <x:c r="A2478" s="24" t="n">
        <x:v>46200.125</x:v>
      </x:c>
      <x:c r="B2478" s="6" t="n">
        <x:v>0.17859999999999998</x:v>
      </x:c>
      <x:c r="C2478" s="6" t="n">
        <x:v>0.1079</x:v>
      </x:c>
      <x:c r="D2478" s="6" t="n">
        <x:f>B2478</x:f>
        <x:v>0.17859999999999998</x:v>
      </x:c>
      <x:c r="E2478" s="1" t="n">
        <x:v>1.05</x:v>
      </x:c>
      <x:c r="F2478" s="1" t="str">
        <x:v>https://api.octopus.energy/v1/products/AGILE-24-10-01/electricity-tariffs/E-1R-AGILE-24-10-01-G/standard-unit-rates/</x:v>
      </x:c>
    </x:row>
    <x:row r="2479" ht="21" customHeight="1">
      <x:c r="A2479" s="24" t="n">
        <x:v>46200.145833333336</x:v>
      </x:c>
      <x:c r="B2479" s="6" t="n">
        <x:v>0.1678</x:v>
      </x:c>
      <x:c r="C2479" s="6" t="n">
        <x:v>0.10300000000000001</x:v>
      </x:c>
      <x:c r="D2479" s="6" t="n">
        <x:f>B2479</x:f>
        <x:v>0.1678</x:v>
      </x:c>
      <x:c r="E2479" s="1" t="n">
        <x:v>1.05</x:v>
      </x:c>
      <x:c r="F2479" s="1" t="str">
        <x:v>https://api.octopus.energy/v1/products/AGILE-24-10-01/electricity-tariffs/E-1R-AGILE-24-10-01-G/standard-unit-rates/</x:v>
      </x:c>
    </x:row>
    <x:row r="2480" ht="21" customHeight="1">
      <x:c r="A2480" s="24" t="n">
        <x:v>46200.166666666664</x:v>
      </x:c>
      <x:c r="B2480" s="6" t="n">
        <x:v>0.1629</x:v>
      </x:c>
      <x:c r="C2480" s="6" t="n">
        <x:v>0.1007</x:v>
      </x:c>
      <x:c r="D2480" s="6" t="n">
        <x:f>B2480</x:f>
        <x:v>0.1629</x:v>
      </x:c>
      <x:c r="E2480" s="1" t="n">
        <x:v>1.05</x:v>
      </x:c>
      <x:c r="F2480" s="1" t="str">
        <x:v>https://api.octopus.energy/v1/products/AGILE-24-10-01/electricity-tariffs/E-1R-AGILE-24-10-01-G/standard-unit-rates/</x:v>
      </x:c>
    </x:row>
    <x:row r="2481" ht="21" customHeight="1">
      <x:c r="A2481" s="24" t="n">
        <x:v>46200.1875</x:v>
      </x:c>
      <x:c r="B2481" s="6" t="n">
        <x:v>0.1686</x:v>
      </x:c>
      <x:c r="C2481" s="6" t="n">
        <x:v>0.10339999999999999</x:v>
      </x:c>
      <x:c r="D2481" s="6" t="n">
        <x:f>B2481</x:f>
        <x:v>0.1686</x:v>
      </x:c>
      <x:c r="E2481" s="1" t="n">
        <x:v>1.05</x:v>
      </x:c>
      <x:c r="F2481" s="1" t="str">
        <x:v>https://api.octopus.energy/v1/products/AGILE-24-10-01/electricity-tariffs/E-1R-AGILE-24-10-01-G/standard-unit-rates/</x:v>
      </x:c>
    </x:row>
    <x:row r="2482" ht="21" customHeight="1">
      <x:c r="A2482" s="24" t="n">
        <x:v>46200.208333333336</x:v>
      </x:c>
      <x:c r="B2482" s="6" t="n">
        <x:v>0.1709</x:v>
      </x:c>
      <x:c r="C2482" s="6" t="n">
        <x:v>0.10439999999999999</x:v>
      </x:c>
      <x:c r="D2482" s="6" t="n">
        <x:f>B2482</x:f>
        <x:v>0.1709</x:v>
      </x:c>
      <x:c r="E2482" s="1" t="n">
        <x:v>1.05</x:v>
      </x:c>
      <x:c r="F2482" s="1" t="str">
        <x:v>https://api.octopus.energy/v1/products/AGILE-24-10-01/electricity-tariffs/E-1R-AGILE-24-10-01-G/standard-unit-rates/</x:v>
      </x:c>
    </x:row>
    <x:row r="2483" ht="21" customHeight="1">
      <x:c r="A2483" s="24" t="n">
        <x:v>46200.229166666664</x:v>
      </x:c>
      <x:c r="B2483" s="6" t="n">
        <x:v>0.16649999999999998</x:v>
      </x:c>
      <x:c r="C2483" s="6" t="n">
        <x:v>0.1024</x:v>
      </x:c>
      <x:c r="D2483" s="6" t="n">
        <x:f>B2483</x:f>
        <x:v>0.16649999999999998</x:v>
      </x:c>
      <x:c r="E2483" s="1" t="n">
        <x:v>1.05</x:v>
      </x:c>
      <x:c r="F2483" s="1" t="str">
        <x:v>https://api.octopus.energy/v1/products/AGILE-24-10-01/electricity-tariffs/E-1R-AGILE-24-10-01-G/standard-unit-rates/</x:v>
      </x:c>
    </x:row>
    <x:row r="2484" ht="21" customHeight="1">
      <x:c r="A2484" s="24" t="n">
        <x:v>46200.25</x:v>
      </x:c>
      <x:c r="B2484" s="6" t="n">
        <x:v>0.1628</x:v>
      </x:c>
      <x:c r="C2484" s="6" t="n">
        <x:v>0.1007</x:v>
      </x:c>
      <x:c r="D2484" s="6" t="n">
        <x:f>B2484</x:f>
        <x:v>0.1628</x:v>
      </x:c>
      <x:c r="E2484" s="1" t="n">
        <x:v>1.05</x:v>
      </x:c>
      <x:c r="F2484" s="1" t="str">
        <x:v>https://api.octopus.energy/v1/products/AGILE-24-10-01/electricity-tariffs/E-1R-AGILE-24-10-01-G/standard-unit-rates/</x:v>
      </x:c>
    </x:row>
    <x:row r="2485" ht="21" customHeight="1">
      <x:c r="A2485" s="24" t="n">
        <x:v>46200.270833333336</x:v>
      </x:c>
      <x:c r="B2485" s="6" t="n">
        <x:v>0.1734</x:v>
      </x:c>
      <x:c r="C2485" s="6" t="n">
        <x:v>0.1056</x:v>
      </x:c>
      <x:c r="D2485" s="6" t="n">
        <x:f>B2485</x:f>
        <x:v>0.1734</x:v>
      </x:c>
      <x:c r="E2485" s="1" t="n">
        <x:v>1.05</x:v>
      </x:c>
      <x:c r="F2485" s="1" t="str">
        <x:v>https://api.octopus.energy/v1/products/AGILE-24-10-01/electricity-tariffs/E-1R-AGILE-24-10-01-G/standard-unit-rates/</x:v>
      </x:c>
    </x:row>
    <x:row r="2486" ht="21" customHeight="1">
      <x:c r="A2486" s="24" t="n">
        <x:v>46200.291666666664</x:v>
      </x:c>
      <x:c r="B2486" s="6" t="n">
        <x:v>0.1472</x:v>
      </x:c>
      <x:c r="C2486" s="6" t="n">
        <x:v>0.09359999999999999</x:v>
      </x:c>
      <x:c r="D2486" s="6" t="n">
        <x:f>B2486</x:f>
        <x:v>0.1472</x:v>
      </x:c>
      <x:c r="E2486" s="1" t="n">
        <x:v>1.05</x:v>
      </x:c>
      <x:c r="F2486" s="1" t="str">
        <x:v>https://api.octopus.energy/v1/products/AGILE-24-10-01/electricity-tariffs/E-1R-AGILE-24-10-01-G/standard-unit-rates/</x:v>
      </x:c>
    </x:row>
    <x:row r="2487" ht="21" customHeight="1">
      <x:c r="A2487" s="24" t="n">
        <x:v>46200.3125</x:v>
      </x:c>
      <x:c r="B2487" s="6" t="n">
        <x:v>0.1472</x:v>
      </x:c>
      <x:c r="C2487" s="6" t="n">
        <x:v>0.09359999999999999</x:v>
      </x:c>
      <x:c r="D2487" s="6" t="n">
        <x:f>B2487</x:f>
        <x:v>0.1472</x:v>
      </x:c>
      <x:c r="E2487" s="1" t="n">
        <x:v>1.05</x:v>
      </x:c>
      <x:c r="F2487" s="1" t="str">
        <x:v>https://api.octopus.energy/v1/products/AGILE-24-10-01/electricity-tariffs/E-1R-AGILE-24-10-01-G/standard-unit-rates/</x:v>
      </x:c>
    </x:row>
    <x:row r="2488" ht="21" customHeight="1">
      <x:c r="A2488" s="24" t="n">
        <x:v>46200.333333333336</x:v>
      </x:c>
      <x:c r="B2488" s="6" t="n">
        <x:v>0.1094</x:v>
      </x:c>
      <x:c r="C2488" s="6" t="n">
        <x:v>0.07629999999999999</x:v>
      </x:c>
      <x:c r="D2488" s="6" t="n">
        <x:f>B2488</x:f>
        <x:v>0.1094</x:v>
      </x:c>
      <x:c r="E2488" s="1" t="n">
        <x:v>1.05</x:v>
      </x:c>
      <x:c r="F2488" s="1" t="str">
        <x:v>https://api.octopus.energy/v1/products/AGILE-24-10-01/electricity-tariffs/E-1R-AGILE-24-10-01-G/standard-unit-rates/</x:v>
      </x:c>
    </x:row>
    <x:row r="2489" ht="21" customHeight="1">
      <x:c r="A2489" s="24" t="n">
        <x:v>46200.354166666664</x:v>
      </x:c>
      <x:c r="B2489" s="6" t="n">
        <x:v>0.0947</x:v>
      </x:c>
      <x:c r="C2489" s="6" t="n">
        <x:v>0.0696</x:v>
      </x:c>
      <x:c r="D2489" s="6" t="n">
        <x:f>B2489</x:f>
        <x:v>0.0947</x:v>
      </x:c>
      <x:c r="E2489" s="1" t="n">
        <x:v>1.05</x:v>
      </x:c>
      <x:c r="F2489" s="1" t="str">
        <x:v>https://api.octopus.energy/v1/products/AGILE-24-10-01/electricity-tariffs/E-1R-AGILE-24-10-01-G/standard-unit-rates/</x:v>
      </x:c>
    </x:row>
    <x:row r="2490" ht="21" customHeight="1">
      <x:c r="A2490" s="24" t="n">
        <x:v>46200.375</x:v>
      </x:c>
      <x:c r="B2490" s="6" t="n">
        <x:v>0.058600000000000006</x:v>
      </x:c>
      <x:c r="C2490" s="6" t="n">
        <x:v>0.053099999999999994</x:v>
      </x:c>
      <x:c r="D2490" s="6" t="n">
        <x:f>B2490</x:f>
        <x:v>0.058600000000000006</x:v>
      </x:c>
      <x:c r="E2490" s="1" t="n">
        <x:v>1.05</x:v>
      </x:c>
      <x:c r="F2490" s="1" t="str">
        <x:v>https://api.octopus.energy/v1/products/AGILE-24-10-01/electricity-tariffs/E-1R-AGILE-24-10-01-G/standard-unit-rates/</x:v>
      </x:c>
    </x:row>
    <x:row r="2491" ht="21" customHeight="1">
      <x:c r="A2491" s="24" t="n">
        <x:v>46200.395833333336</x:v>
      </x:c>
      <x:c r="B2491" s="6" t="n">
        <x:v>0.0182</x:v>
      </x:c>
      <x:c r="C2491" s="6" t="n">
        <x:v>0.0346</x:v>
      </x:c>
      <x:c r="D2491" s="6" t="n">
        <x:f>B2491</x:f>
        <x:v>0.0182</x:v>
      </x:c>
      <x:c r="E2491" s="1" t="n">
        <x:v>1.05</x:v>
      </x:c>
      <x:c r="F2491" s="1" t="str">
        <x:v>https://api.octopus.energy/v1/products/AGILE-24-10-01/electricity-tariffs/E-1R-AGILE-24-10-01-G/standard-unit-rates/</x:v>
      </x:c>
    </x:row>
    <x:row r="2492" ht="21" customHeight="1">
      <x:c r="A2492" s="24" t="n">
        <x:v>46200.416666666664</x:v>
      </x:c>
      <x:c r="B2492" s="6" t="n">
        <x:v>0.026600000000000002</x:v>
      </x:c>
      <x:c r="C2492" s="6" t="n">
        <x:v>0.0384</x:v>
      </x:c>
      <x:c r="D2492" s="6" t="n">
        <x:f>B2492</x:f>
        <x:v>0.026600000000000002</x:v>
      </x:c>
      <x:c r="E2492" s="1" t="n">
        <x:v>1.05</x:v>
      </x:c>
      <x:c r="F2492" s="1" t="str">
        <x:v>https://api.octopus.energy/v1/products/AGILE-24-10-01/electricity-tariffs/E-1R-AGILE-24-10-01-G/standard-unit-rates/</x:v>
      </x:c>
    </x:row>
    <x:row r="2493" ht="21" customHeight="1">
      <x:c r="A2493" s="24" t="n">
        <x:v>46200.4375</x:v>
      </x:c>
      <x:c r="B2493" s="6" t="n">
        <x:v>0.0192</x:v>
      </x:c>
      <x:c r="C2493" s="6" t="n">
        <x:v>0.035</x:v>
      </x:c>
      <x:c r="D2493" s="6" t="n">
        <x:f>B2493</x:f>
        <x:v>0.0192</x:v>
      </x:c>
      <x:c r="E2493" s="1" t="n">
        <x:v>1.05</x:v>
      </x:c>
      <x:c r="F2493" s="1" t="str">
        <x:v>https://api.octopus.energy/v1/products/AGILE-24-10-01/electricity-tariffs/E-1R-AGILE-24-10-01-G/standard-unit-rates/</x:v>
      </x:c>
    </x:row>
    <x:row r="2494" ht="21" customHeight="1">
      <x:c r="A2494" s="24" t="n">
        <x:v>46200.458333333336</x:v>
      </x:c>
      <x:c r="B2494" s="6" t="n">
        <x:v>-0.0005</x:v>
      </x:c>
      <x:c r="C2494" s="6" t="n">
        <x:v>0.026099999999999998</x:v>
      </x:c>
      <x:c r="D2494" s="6" t="n">
        <x:f>B2494</x:f>
        <x:v>-0.0005</x:v>
      </x:c>
      <x:c r="E2494" s="1" t="n">
        <x:v>1.05</x:v>
      </x:c>
      <x:c r="F2494" s="1" t="str">
        <x:v>https://api.octopus.energy/v1/products/AGILE-24-10-01/electricity-tariffs/E-1R-AGILE-24-10-01-G/standard-unit-rates/</x:v>
      </x:c>
    </x:row>
    <x:row r="2495" ht="21" customHeight="1">
      <x:c r="A2495" s="24" t="n">
        <x:v>46200.479166666664</x:v>
      </x:c>
      <x:c r="B2495" s="6" t="n">
        <x:v>-0.0072</x:v>
      </x:c>
      <x:c r="C2495" s="6" t="n">
        <x:v>0.023</x:v>
      </x:c>
      <x:c r="D2495" s="6" t="n">
        <x:f>B2495</x:f>
        <x:v>-0.0072</x:v>
      </x:c>
      <x:c r="E2495" s="1" t="n">
        <x:v>1.05</x:v>
      </x:c>
      <x:c r="F2495" s="1" t="str">
        <x:v>https://api.octopus.energy/v1/products/AGILE-24-10-01/electricity-tariffs/E-1R-AGILE-24-10-01-G/standard-unit-rates/</x:v>
      </x:c>
    </x:row>
    <x:row r="2496" ht="21" customHeight="1">
      <x:c r="A2496" s="24" t="n">
        <x:v>46200.5</x:v>
      </x:c>
      <x:c r="B2496" s="6" t="n">
        <x:v>-0.0019</x:v>
      </x:c>
      <x:c r="C2496" s="6" t="n">
        <x:v>0.0254</x:v>
      </x:c>
      <x:c r="D2496" s="6" t="n">
        <x:f>B2496</x:f>
        <x:v>-0.0019</x:v>
      </x:c>
      <x:c r="E2496" s="1" t="n">
        <x:v>1.05</x:v>
      </x:c>
      <x:c r="F2496" s="1" t="str">
        <x:v>https://api.octopus.energy/v1/products/AGILE-24-10-01/electricity-tariffs/E-1R-AGILE-24-10-01-G/standard-unit-rates/</x:v>
      </x:c>
    </x:row>
    <x:row r="2497" ht="21" customHeight="1">
      <x:c r="A2497" s="24" t="n">
        <x:v>46200.520833333336</x:v>
      </x:c>
      <x:c r="B2497" s="6" t="n">
        <x:v>-0.0095</x:v>
      </x:c>
      <x:c r="C2497" s="6" t="n">
        <x:v>0.0219</x:v>
      </x:c>
      <x:c r="D2497" s="6" t="n">
        <x:f>B2497</x:f>
        <x:v>-0.0095</x:v>
      </x:c>
      <x:c r="E2497" s="1" t="n">
        <x:v>1.05</x:v>
      </x:c>
      <x:c r="F2497" s="1" t="str">
        <x:v>https://api.octopus.energy/v1/products/AGILE-24-10-01/electricity-tariffs/E-1R-AGILE-24-10-01-G/standard-unit-rates/</x:v>
      </x:c>
    </x:row>
    <x:row r="2498" ht="21" customHeight="1">
      <x:c r="A2498" s="24" t="n">
        <x:v>46200.541666666664</x:v>
      </x:c>
      <x:c r="B2498" s="6" t="n">
        <x:v>-0.0031</x:v>
      </x:c>
      <x:c r="C2498" s="6" t="n">
        <x:v>0.0248</x:v>
      </x:c>
      <x:c r="D2498" s="6" t="n">
        <x:f>B2498</x:f>
        <x:v>-0.0031</x:v>
      </x:c>
      <x:c r="E2498" s="1" t="n">
        <x:v>1.05</x:v>
      </x:c>
      <x:c r="F2498" s="1" t="str">
        <x:v>https://api.octopus.energy/v1/products/AGILE-24-10-01/electricity-tariffs/E-1R-AGILE-24-10-01-G/standard-unit-rates/</x:v>
      </x:c>
    </x:row>
    <x:row r="2499" ht="21" customHeight="1">
      <x:c r="A2499" s="24" t="n">
        <x:v>46200.5625</x:v>
      </x:c>
      <x:c r="B2499" s="6" t="n">
        <x:v>-0.0124</x:v>
      </x:c>
      <x:c r="C2499" s="6" t="n">
        <x:v>0.0206</x:v>
      </x:c>
      <x:c r="D2499" s="6" t="n">
        <x:f>B2499</x:f>
        <x:v>-0.0124</x:v>
      </x:c>
      <x:c r="E2499" s="1" t="n">
        <x:v>1.05</x:v>
      </x:c>
      <x:c r="F2499" s="1" t="str">
        <x:v>https://api.octopus.energy/v1/products/AGILE-24-10-01/electricity-tariffs/E-1R-AGILE-24-10-01-G/standard-unit-rates/</x:v>
      </x:c>
    </x:row>
    <x:row r="2500" ht="21" customHeight="1">
      <x:c r="A2500" s="24" t="n">
        <x:v>46200.583333333336</x:v>
      </x:c>
      <x:c r="B2500" s="6" t="n">
        <x:v>0.0002</x:v>
      </x:c>
      <x:c r="C2500" s="6" t="n">
        <x:v>0.0264</x:v>
      </x:c>
      <x:c r="D2500" s="6" t="n">
        <x:f>B2500</x:f>
        <x:v>0.0002</x:v>
      </x:c>
      <x:c r="E2500" s="1" t="n">
        <x:v>1.05</x:v>
      </x:c>
      <x:c r="F2500" s="1" t="str">
        <x:v>https://api.octopus.energy/v1/products/AGILE-24-10-01/electricity-tariffs/E-1R-AGILE-24-10-01-G/standard-unit-rates/</x:v>
      </x:c>
    </x:row>
    <x:row r="2501" ht="21" customHeight="1">
      <x:c r="A2501" s="24" t="n">
        <x:v>46200.604166666664</x:v>
      </x:c>
      <x:c r="B2501" s="6" t="n">
        <x:v>0.0023</x:v>
      </x:c>
      <x:c r="C2501" s="6" t="n">
        <x:v>0.0273</x:v>
      </x:c>
      <x:c r="D2501" s="6" t="n">
        <x:f>B2501</x:f>
        <x:v>0.0023</x:v>
      </x:c>
      <x:c r="E2501" s="1" t="n">
        <x:v>1.05</x:v>
      </x:c>
      <x:c r="F2501" s="1" t="str">
        <x:v>https://api.octopus.energy/v1/products/AGILE-24-10-01/electricity-tariffs/E-1R-AGILE-24-10-01-G/standard-unit-rates/</x:v>
      </x:c>
    </x:row>
    <x:row r="2502" ht="21" customHeight="1">
      <x:c r="A2502" s="24" t="n">
        <x:v>46200.625</x:v>
      </x:c>
      <x:c r="B2502" s="6" t="n">
        <x:v>0.0611</x:v>
      </x:c>
      <x:c r="C2502" s="6" t="n">
        <x:v>0.0542</x:v>
      </x:c>
      <x:c r="D2502" s="6" t="n">
        <x:f>B2502</x:f>
        <x:v>0.0611</x:v>
      </x:c>
      <x:c r="E2502" s="1" t="n">
        <x:v>1.05</x:v>
      </x:c>
      <x:c r="F2502" s="1" t="str">
        <x:v>https://api.octopus.energy/v1/products/AGILE-24-10-01/electricity-tariffs/E-1R-AGILE-24-10-01-G/standard-unit-rates/</x:v>
      </x:c>
    </x:row>
    <x:row r="2503" ht="21" customHeight="1">
      <x:c r="A2503" s="24" t="n">
        <x:v>46200.645833333336</x:v>
      </x:c>
      <x:c r="B2503" s="6" t="n">
        <x:v>0.0603</x:v>
      </x:c>
      <x:c r="C2503" s="6" t="n">
        <x:v>0.0538</x:v>
      </x:c>
      <x:c r="D2503" s="6" t="n">
        <x:f>B2503</x:f>
        <x:v>0.0603</x:v>
      </x:c>
      <x:c r="E2503" s="1" t="n">
        <x:v>1.05</x:v>
      </x:c>
      <x:c r="F2503" s="1" t="str">
        <x:v>https://api.octopus.energy/v1/products/AGILE-24-10-01/electricity-tariffs/E-1R-AGILE-24-10-01-G/standard-unit-rates/</x:v>
      </x:c>
    </x:row>
    <x:row r="2504" ht="21" customHeight="1">
      <x:c r="A2504" s="24" t="n">
        <x:v>46200.666666666664</x:v>
      </x:c>
      <x:c r="B2504" s="6" t="n">
        <x:v>0.2441</x:v>
      </x:c>
      <x:c r="C2504" s="6" t="n">
        <x:v>0.1419</x:v>
      </x:c>
      <x:c r="D2504" s="6" t="n">
        <x:f>B2504</x:f>
        <x:v>0.2441</x:v>
      </x:c>
      <x:c r="E2504" s="1" t="n">
        <x:v>1.05</x:v>
      </x:c>
      <x:c r="F2504" s="1" t="str">
        <x:v>https://api.octopus.energy/v1/products/AGILE-24-10-01/electricity-tariffs/E-1R-AGILE-24-10-01-G/standard-unit-rates/</x:v>
      </x:c>
    </x:row>
    <x:row r="2505" ht="21" customHeight="1">
      <x:c r="A2505" s="24" t="n">
        <x:v>46200.6875</x:v>
      </x:c>
      <x:c r="B2505" s="6" t="n">
        <x:v>0.2441</x:v>
      </x:c>
      <x:c r="C2505" s="6" t="n">
        <x:v>0.1419</x:v>
      </x:c>
      <x:c r="D2505" s="6" t="n">
        <x:f>B2505</x:f>
        <x:v>0.2441</x:v>
      </x:c>
      <x:c r="E2505" s="1" t="n">
        <x:v>1.05</x:v>
      </x:c>
      <x:c r="F2505" s="1" t="str">
        <x:v>https://api.octopus.energy/v1/products/AGILE-24-10-01/electricity-tariffs/E-1R-AGILE-24-10-01-G/standard-unit-rates/</x:v>
      </x:c>
    </x:row>
    <x:row r="2506" ht="21" customHeight="1">
      <x:c r="A2506" s="24" t="n">
        <x:v>46200.708333333336</x:v>
      </x:c>
      <x:c r="B2506" s="6" t="n">
        <x:v>0.2854</x:v>
      </x:c>
      <x:c r="C2506" s="6" t="n">
        <x:v>0.16079999999999997</x:v>
      </x:c>
      <x:c r="D2506" s="6" t="n">
        <x:f>B2506</x:f>
        <x:v>0.2854</x:v>
      </x:c>
      <x:c r="E2506" s="1" t="n">
        <x:v>1.05</x:v>
      </x:c>
      <x:c r="F2506" s="1" t="str">
        <x:v>https://api.octopus.energy/v1/products/AGILE-24-10-01/electricity-tariffs/E-1R-AGILE-24-10-01-G/standard-unit-rates/</x:v>
      </x:c>
    </x:row>
    <x:row r="2507" ht="21" customHeight="1">
      <x:c r="A2507" s="24" t="n">
        <x:v>46200.729166666664</x:v>
      </x:c>
      <x:c r="B2507" s="6" t="n">
        <x:v>0.292</x:v>
      </x:c>
      <x:c r="C2507" s="6" t="n">
        <x:v>0.1638</x:v>
      </x:c>
      <x:c r="D2507" s="6" t="n">
        <x:f>B2507</x:f>
        <x:v>0.292</x:v>
      </x:c>
      <x:c r="E2507" s="1" t="n">
        <x:v>1.05</x:v>
      </x:c>
      <x:c r="F2507" s="1" t="str">
        <x:v>https://api.octopus.energy/v1/products/AGILE-24-10-01/electricity-tariffs/E-1R-AGILE-24-10-01-G/standard-unit-rates/</x:v>
      </x:c>
    </x:row>
    <x:row r="2508" ht="21" customHeight="1">
      <x:c r="A2508" s="24" t="n">
        <x:v>46200.75</x:v>
      </x:c>
      <x:c r="B2508" s="6" t="n">
        <x:v>0.3155</x:v>
      </x:c>
      <x:c r="C2508" s="6" t="n">
        <x:v>0.1745</x:v>
      </x:c>
      <x:c r="D2508" s="6" t="n">
        <x:f>B2508</x:f>
        <x:v>0.3155</x:v>
      </x:c>
      <x:c r="E2508" s="1" t="n">
        <x:v>1.05</x:v>
      </x:c>
      <x:c r="F2508" s="1" t="str">
        <x:v>https://api.octopus.energy/v1/products/AGILE-24-10-01/electricity-tariffs/E-1R-AGILE-24-10-01-G/standard-unit-rates/</x:v>
      </x:c>
    </x:row>
    <x:row r="2509" ht="21" customHeight="1">
      <x:c r="A2509" s="24" t="n">
        <x:v>46200.770833333336</x:v>
      </x:c>
      <x:c r="B2509" s="6" t="n">
        <x:v>0.3218</x:v>
      </x:c>
      <x:c r="C2509" s="6" t="n">
        <x:v>0.17739999999999997</x:v>
      </x:c>
      <x:c r="D2509" s="6" t="n">
        <x:f>B2509</x:f>
        <x:v>0.3218</x:v>
      </x:c>
      <x:c r="E2509" s="1" t="n">
        <x:v>1.05</x:v>
      </x:c>
      <x:c r="F2509" s="1" t="str">
        <x:v>https://api.octopus.energy/v1/products/AGILE-24-10-01/electricity-tariffs/E-1R-AGILE-24-10-01-G/standard-unit-rates/</x:v>
      </x:c>
    </x:row>
    <x:row r="2510" ht="21" customHeight="1">
      <x:c r="A2510" s="24" t="n">
        <x:v>46200.791666666664</x:v>
      </x:c>
      <x:c r="B2510" s="6" t="n">
        <x:v>0.20620000000000002</x:v>
      </x:c>
      <x:c r="C2510" s="6" t="n">
        <x:v>0.12050000000000001</x:v>
      </x:c>
      <x:c r="D2510" s="6" t="n">
        <x:f>B2510</x:f>
        <x:v>0.20620000000000002</x:v>
      </x:c>
      <x:c r="E2510" s="1" t="n">
        <x:v>1.05</x:v>
      </x:c>
      <x:c r="F2510" s="1" t="str">
        <x:v>https://api.octopus.energy/v1/products/AGILE-24-10-01/electricity-tariffs/E-1R-AGILE-24-10-01-G/standard-unit-rates/</x:v>
      </x:c>
    </x:row>
    <x:row r="2511" ht="21" customHeight="1">
      <x:c r="A2511" s="24" t="n">
        <x:v>46200.8125</x:v>
      </x:c>
      <x:c r="B2511" s="6" t="n">
        <x:v>0.2113</x:v>
      </x:c>
      <x:c r="C2511" s="6" t="n">
        <x:v>0.12279999999999999</x:v>
      </x:c>
      <x:c r="D2511" s="6" t="n">
        <x:f>B2511</x:f>
        <x:v>0.2113</x:v>
      </x:c>
      <x:c r="E2511" s="1" t="n">
        <x:v>1.05</x:v>
      </x:c>
      <x:c r="F2511" s="1" t="str">
        <x:v>https://api.octopus.energy/v1/products/AGILE-24-10-01/electricity-tariffs/E-1R-AGILE-24-10-01-G/standard-unit-rates/</x:v>
      </x:c>
    </x:row>
    <x:row r="2512" ht="21" customHeight="1">
      <x:c r="A2512" s="24" t="n">
        <x:v>46200.833333333336</x:v>
      </x:c>
      <x:c r="B2512" s="6" t="n">
        <x:v>0.2182</x:v>
      </x:c>
      <x:c r="C2512" s="6" t="n">
        <x:v>0.126</x:v>
      </x:c>
      <x:c r="D2512" s="6" t="n">
        <x:f>B2512</x:f>
        <x:v>0.2182</x:v>
      </x:c>
      <x:c r="E2512" s="1" t="n">
        <x:v>1.05</x:v>
      </x:c>
      <x:c r="F2512" s="1" t="str">
        <x:v>https://api.octopus.energy/v1/products/AGILE-24-10-01/electricity-tariffs/E-1R-AGILE-24-10-01-G/standard-unit-rates/</x:v>
      </x:c>
    </x:row>
    <x:row r="2513" ht="21" customHeight="1">
      <x:c r="A2513" s="24" t="n">
        <x:v>46200.854166666664</x:v>
      </x:c>
      <x:c r="B2513" s="6" t="n">
        <x:v>0.2193</x:v>
      </x:c>
      <x:c r="C2513" s="6" t="n">
        <x:v>0.1265</x:v>
      </x:c>
      <x:c r="D2513" s="6" t="n">
        <x:f>B2513</x:f>
        <x:v>0.2193</x:v>
      </x:c>
      <x:c r="E2513" s="1" t="n">
        <x:v>1.05</x:v>
      </x:c>
      <x:c r="F2513" s="1" t="str">
        <x:v>https://api.octopus.energy/v1/products/AGILE-24-10-01/electricity-tariffs/E-1R-AGILE-24-10-01-G/standard-unit-rates/</x:v>
      </x:c>
    </x:row>
    <x:row r="2514" ht="21" customHeight="1">
      <x:c r="A2514" s="24" t="n">
        <x:v>46200.875</x:v>
      </x:c>
      <x:c r="B2514" s="6" t="n">
        <x:v>0.2177</x:v>
      </x:c>
      <x:c r="C2514" s="6" t="n">
        <x:v>0.1258</x:v>
      </x:c>
      <x:c r="D2514" s="6" t="n">
        <x:f>B2514</x:f>
        <x:v>0.2177</x:v>
      </x:c>
      <x:c r="E2514" s="1" t="n">
        <x:v>1.05</x:v>
      </x:c>
      <x:c r="F2514" s="1" t="str">
        <x:v>https://api.octopus.energy/v1/products/AGILE-24-10-01/electricity-tariffs/E-1R-AGILE-24-10-01-G/standard-unit-rates/</x:v>
      </x:c>
    </x:row>
    <x:row r="2515" ht="21" customHeight="1">
      <x:c r="A2515" s="24" t="n">
        <x:v>46200.895833333336</x:v>
      </x:c>
      <x:c r="B2515" s="6" t="n">
        <x:v>0.2144</x:v>
      </x:c>
      <x:c r="C2515" s="6" t="n">
        <x:v>0.1243</x:v>
      </x:c>
      <x:c r="D2515" s="6" t="n">
        <x:f>B2515</x:f>
        <x:v>0.2144</x:v>
      </x:c>
      <x:c r="E2515" s="1" t="n">
        <x:v>1.05</x:v>
      </x:c>
      <x:c r="F2515" s="1" t="str">
        <x:v>https://api.octopus.energy/v1/products/AGILE-24-10-01/electricity-tariffs/E-1R-AGILE-24-10-01-G/standard-unit-rates/</x:v>
      </x:c>
    </x:row>
    <x:row r="2516" ht="21" customHeight="1">
      <x:c r="A2516" s="24" t="n">
        <x:v>46200.916666666664</x:v>
      </x:c>
      <x:c r="B2516" s="6" t="n">
        <x:v>0.2102</x:v>
      </x:c>
      <x:c r="C2516" s="6" t="n">
        <x:v>0.12240000000000001</x:v>
      </x:c>
      <x:c r="D2516" s="6" t="n">
        <x:f>B2516</x:f>
        <x:v>0.2102</x:v>
      </x:c>
      <x:c r="E2516" s="1" t="n">
        <x:v>1.05</x:v>
      </x:c>
      <x:c r="F2516" s="1" t="str">
        <x:v>https://api.octopus.energy/v1/products/AGILE-24-10-01/electricity-tariffs/E-1R-AGILE-24-10-01-G/standard-unit-rates/</x:v>
      </x:c>
    </x:row>
    <x:row r="2517" ht="21" customHeight="1">
      <x:c r="A2517" s="24" t="n">
        <x:v>46200.9375</x:v>
      </x:c>
      <x:c r="B2517" s="6" t="n">
        <x:v>0.2116</x:v>
      </x:c>
      <x:c r="C2517" s="6" t="n">
        <x:v>0.12300000000000001</x:v>
      </x:c>
      <x:c r="D2517" s="6" t="n">
        <x:f>B2517</x:f>
        <x:v>0.2116</x:v>
      </x:c>
      <x:c r="E2517" s="1" t="n">
        <x:v>1.05</x:v>
      </x:c>
      <x:c r="F2517" s="1" t="str">
        <x:v>https://api.octopus.energy/v1/products/AGILE-24-10-01/electricity-tariffs/E-1R-AGILE-24-10-01-G/standard-unit-rates/</x:v>
      </x:c>
    </x:row>
    <x:row r="2518" ht="21" customHeight="1">
      <x:c r="A2518" s="24" t="n">
        <x:v>46201</x:v>
      </x:c>
      <x:c r="B2518" s="6" t="n">
        <x:v>0.1801</x:v>
      </x:c>
      <x:c r="C2518" s="6" t="n">
        <x:v>0.10859999999999999</x:v>
      </x:c>
      <x:c r="D2518" s="6" t="n">
        <x:f>B2518</x:f>
        <x:v>0.1801</x:v>
      </x:c>
      <x:c r="E2518" s="1" t="n">
        <x:v>1.05</x:v>
      </x:c>
      <x:c r="F2518" s="1" t="str">
        <x:v>https://api.octopus.energy/v1/products/AGILE-24-10-01/electricity-tariffs/E-1R-AGILE-24-10-01-G/standard-unit-rates/</x:v>
      </x:c>
    </x:row>
    <x:row r="2519" ht="21" customHeight="1">
      <x:c r="A2519" s="24" t="n">
        <x:v>46200.979166666664</x:v>
      </x:c>
      <x:c r="B2519" s="6" t="n">
        <x:v>0.1869</x:v>
      </x:c>
      <x:c r="C2519" s="6" t="n">
        <x:v>0.1117</x:v>
      </x:c>
      <x:c r="D2519" s="6" t="n">
        <x:f>B2519</x:f>
        <x:v>0.1869</x:v>
      </x:c>
      <x:c r="E2519" s="1" t="n">
        <x:v>1.05</x:v>
      </x:c>
      <x:c r="F2519" s="1" t="str">
        <x:v>https://api.octopus.energy/v1/products/AGILE-24-10-01/electricity-tariffs/E-1R-AGILE-24-10-01-G/standard-unit-rates/</x:v>
      </x:c>
    </x:row>
    <x:row r="2520" ht="21" customHeight="1">
      <x:c r="A2520" s="24" t="n">
        <x:v>46201</x:v>
      </x:c>
      <x:c r="B2520" s="6" t="n">
        <x:v>0.1837</x:v>
      </x:c>
      <x:c r="C2520" s="6" t="n">
        <x:v>0.1103</x:v>
      </x:c>
      <x:c r="D2520" s="6" t="n">
        <x:f>B2520</x:f>
        <x:v>0.1837</x:v>
      </x:c>
      <x:c r="E2520" s="1" t="n">
        <x:v>1.05</x:v>
      </x:c>
      <x:c r="F2520" s="1" t="str">
        <x:v>https://api.octopus.energy/v1/products/AGILE-24-10-01/electricity-tariffs/E-1R-AGILE-24-10-01-G/standard-unit-rates/</x:v>
      </x:c>
    </x:row>
    <x:row r="2521" ht="21" customHeight="1">
      <x:c r="A2521" s="24" t="n">
        <x:v>46201.020833333336</x:v>
      </x:c>
      <x:c r="B2521" s="6" t="n">
        <x:v>0.1837</x:v>
      </x:c>
      <x:c r="C2521" s="6" t="n">
        <x:v>0.1103</x:v>
      </x:c>
      <x:c r="D2521" s="6" t="n">
        <x:f>B2521</x:f>
        <x:v>0.1837</x:v>
      </x:c>
      <x:c r="E2521" s="1" t="n">
        <x:v>1.05</x:v>
      </x:c>
      <x:c r="F2521" s="1" t="str">
        <x:v>https://api.octopus.energy/v1/products/AGILE-24-10-01/electricity-tariffs/E-1R-AGILE-24-10-01-G/standard-unit-rates/</x:v>
      </x:c>
    </x:row>
    <x:row r="2522" ht="21" customHeight="1">
      <x:c r="A2522" s="24" t="n">
        <x:v>46201.041666666664</x:v>
      </x:c>
      <x:c r="B2522" s="6" t="n">
        <x:v>0.1721</x:v>
      </x:c>
      <x:c r="C2522" s="6" t="n">
        <x:v>0.10490000000000001</x:v>
      </x:c>
      <x:c r="D2522" s="6" t="n">
        <x:f>B2522</x:f>
        <x:v>0.1721</x:v>
      </x:c>
      <x:c r="E2522" s="1" t="n">
        <x:v>1.05</x:v>
      </x:c>
      <x:c r="F2522" s="1" t="str">
        <x:v>https://api.octopus.energy/v1/products/AGILE-24-10-01/electricity-tariffs/E-1R-AGILE-24-10-01-G/standard-unit-rates/</x:v>
      </x:c>
    </x:row>
    <x:row r="2523" ht="21" customHeight="1">
      <x:c r="A2523" s="24" t="n">
        <x:v>46201.0625</x:v>
      </x:c>
      <x:c r="B2523" s="6" t="n">
        <x:v>0.1869</x:v>
      </x:c>
      <x:c r="C2523" s="6" t="n">
        <x:v>0.1117</x:v>
      </x:c>
      <x:c r="D2523" s="6" t="n">
        <x:f>B2523</x:f>
        <x:v>0.1869</x:v>
      </x:c>
      <x:c r="E2523" s="1" t="n">
        <x:v>1.05</x:v>
      </x:c>
      <x:c r="F2523" s="1" t="str">
        <x:v>https://api.octopus.energy/v1/products/AGILE-24-10-01/electricity-tariffs/E-1R-AGILE-24-10-01-G/standard-unit-rates/</x:v>
      </x:c>
    </x:row>
    <x:row r="2524" ht="21" customHeight="1">
      <x:c r="A2524" s="24" t="n">
        <x:v>46201.083333333336</x:v>
      </x:c>
      <x:c r="B2524" s="6" t="n">
        <x:v>0.1936</x:v>
      </x:c>
      <x:c r="C2524" s="6" t="n">
        <x:v>0.1148</x:v>
      </x:c>
      <x:c r="D2524" s="6" t="n">
        <x:f>B2524</x:f>
        <x:v>0.1936</x:v>
      </x:c>
      <x:c r="E2524" s="1" t="n">
        <x:v>1.05</x:v>
      </x:c>
      <x:c r="F2524" s="1" t="str">
        <x:v>https://api.octopus.energy/v1/products/AGILE-24-10-01/electricity-tariffs/E-1R-AGILE-24-10-01-G/standard-unit-rates/</x:v>
      </x:c>
    </x:row>
    <x:row r="2525" ht="21" customHeight="1">
      <x:c r="A2525" s="24" t="n">
        <x:v>46201.104166666664</x:v>
      </x:c>
      <x:c r="B2525" s="6" t="n">
        <x:v>0.1825</x:v>
      </x:c>
      <x:c r="C2525" s="6" t="n">
        <x:v>0.1097</x:v>
      </x:c>
      <x:c r="D2525" s="6" t="n">
        <x:f>B2525</x:f>
        <x:v>0.1825</x:v>
      </x:c>
      <x:c r="E2525" s="1" t="n">
        <x:v>1.05</x:v>
      </x:c>
      <x:c r="F2525" s="1" t="str">
        <x:v>https://api.octopus.energy/v1/products/AGILE-24-10-01/electricity-tariffs/E-1R-AGILE-24-10-01-G/standard-unit-rates/</x:v>
      </x:c>
    </x:row>
    <x:row r="2526" ht="21" customHeight="1">
      <x:c r="A2526" s="24" t="n">
        <x:v>46201.125</x:v>
      </x:c>
      <x:c r="B2526" s="6" t="n">
        <x:v>0.18530000000000002</x:v>
      </x:c>
      <x:c r="C2526" s="6" t="n">
        <x:v>0.111</x:v>
      </x:c>
      <x:c r="D2526" s="6" t="n">
        <x:f>B2526</x:f>
        <x:v>0.18530000000000002</x:v>
      </x:c>
      <x:c r="E2526" s="1" t="n">
        <x:v>1.05</x:v>
      </x:c>
      <x:c r="F2526" s="1" t="str">
        <x:v>https://api.octopus.energy/v1/products/AGILE-24-10-01/electricity-tariffs/E-1R-AGILE-24-10-01-G/standard-unit-rates/</x:v>
      </x:c>
    </x:row>
    <x:row r="2527" ht="21" customHeight="1">
      <x:c r="A2527" s="24" t="n">
        <x:v>46201.145833333336</x:v>
      </x:c>
      <x:c r="B2527" s="6" t="n">
        <x:v>0.17300000000000001</x:v>
      </x:c>
      <x:c r="C2527" s="6" t="n">
        <x:v>0.1054</x:v>
      </x:c>
      <x:c r="D2527" s="6" t="n">
        <x:f>B2527</x:f>
        <x:v>0.17300000000000001</x:v>
      </x:c>
      <x:c r="E2527" s="1" t="n">
        <x:v>1.05</x:v>
      </x:c>
      <x:c r="F2527" s="1" t="str">
        <x:v>https://api.octopus.energy/v1/products/AGILE-24-10-01/electricity-tariffs/E-1R-AGILE-24-10-01-G/standard-unit-rates/</x:v>
      </x:c>
    </x:row>
    <x:row r="2528" ht="21" customHeight="1">
      <x:c r="A2528" s="24" t="n">
        <x:v>46201.166666666664</x:v>
      </x:c>
      <x:c r="B2528" s="6" t="n">
        <x:v>0.16620000000000001</x:v>
      </x:c>
      <x:c r="C2528" s="6" t="n">
        <x:v>0.10220000000000001</x:v>
      </x:c>
      <x:c r="D2528" s="6" t="n">
        <x:f>B2528</x:f>
        <x:v>0.16620000000000001</x:v>
      </x:c>
      <x:c r="E2528" s="1" t="n">
        <x:v>1.05</x:v>
      </x:c>
      <x:c r="F2528" s="1" t="str">
        <x:v>https://api.octopus.energy/v1/products/AGILE-24-10-01/electricity-tariffs/E-1R-AGILE-24-10-01-G/standard-unit-rates/</x:v>
      </x:c>
    </x:row>
    <x:row r="2529" ht="21" customHeight="1">
      <x:c r="A2529" s="24" t="n">
        <x:v>46201.1875</x:v>
      </x:c>
      <x:c r="B2529" s="6" t="n">
        <x:v>0.17079999999999998</x:v>
      </x:c>
      <x:c r="C2529" s="6" t="n">
        <x:v>0.10439999999999999</x:v>
      </x:c>
      <x:c r="D2529" s="6" t="n">
        <x:f>B2529</x:f>
        <x:v>0.17079999999999998</x:v>
      </x:c>
      <x:c r="E2529" s="1" t="n">
        <x:v>1.05</x:v>
      </x:c>
      <x:c r="F2529" s="1" t="str">
        <x:v>https://api.octopus.energy/v1/products/AGILE-24-10-01/electricity-tariffs/E-1R-AGILE-24-10-01-G/standard-unit-rates/</x:v>
      </x:c>
    </x:row>
    <x:row r="2530" ht="21" customHeight="1">
      <x:c r="A2530" s="24" t="n">
        <x:v>46201.208333333336</x:v>
      </x:c>
      <x:c r="B2530" s="6" t="n">
        <x:v>0.16190000000000002</x:v>
      </x:c>
      <x:c r="C2530" s="6" t="n">
        <x:v>0.1003</x:v>
      </x:c>
      <x:c r="D2530" s="6" t="n">
        <x:f>B2530</x:f>
        <x:v>0.16190000000000002</x:v>
      </x:c>
      <x:c r="E2530" s="1" t="n">
        <x:v>1.05</x:v>
      </x:c>
      <x:c r="F2530" s="1" t="str">
        <x:v>https://api.octopus.energy/v1/products/AGILE-24-10-01/electricity-tariffs/E-1R-AGILE-24-10-01-G/standard-unit-rates/</x:v>
      </x:c>
    </x:row>
    <x:row r="2531" ht="21" customHeight="1">
      <x:c r="A2531" s="24" t="n">
        <x:v>46201.229166666664</x:v>
      </x:c>
      <x:c r="B2531" s="6" t="n">
        <x:v>0.16820000000000002</x:v>
      </x:c>
      <x:c r="C2531" s="6" t="n">
        <x:v>0.1032</x:v>
      </x:c>
      <x:c r="D2531" s="6" t="n">
        <x:f>B2531</x:f>
        <x:v>0.16820000000000002</x:v>
      </x:c>
      <x:c r="E2531" s="1" t="n">
        <x:v>1.05</x:v>
      </x:c>
      <x:c r="F2531" s="1" t="str">
        <x:v>https://api.octopus.energy/v1/products/AGILE-24-10-01/electricity-tariffs/E-1R-AGILE-24-10-01-G/standard-unit-rates/</x:v>
      </x:c>
    </x:row>
    <x:row r="2532" ht="21" customHeight="1">
      <x:c r="A2532" s="24" t="n">
        <x:v>46201.25</x:v>
      </x:c>
      <x:c r="B2532" s="6" t="n">
        <x:v>0.157</x:v>
      </x:c>
      <x:c r="C2532" s="6" t="n">
        <x:v>0.098</x:v>
      </x:c>
      <x:c r="D2532" s="6" t="n">
        <x:f>B2532</x:f>
        <x:v>0.157</x:v>
      </x:c>
      <x:c r="E2532" s="1" t="n">
        <x:v>1.05</x:v>
      </x:c>
      <x:c r="F2532" s="1" t="str">
        <x:v>https://api.octopus.energy/v1/products/AGILE-24-10-01/electricity-tariffs/E-1R-AGILE-24-10-01-G/standard-unit-rates/</x:v>
      </x:c>
    </x:row>
    <x:row r="2533" ht="21" customHeight="1">
      <x:c r="A2533" s="24" t="n">
        <x:v>46201.270833333336</x:v>
      </x:c>
      <x:c r="B2533" s="6" t="n">
        <x:v>0.1412</x:v>
      </x:c>
      <x:c r="C2533" s="6" t="n">
        <x:v>0.0908</x:v>
      </x:c>
      <x:c r="D2533" s="6" t="n">
        <x:f>B2533</x:f>
        <x:v>0.1412</x:v>
      </x:c>
      <x:c r="E2533" s="1" t="n">
        <x:v>1.05</x:v>
      </x:c>
      <x:c r="F2533" s="1" t="str">
        <x:v>https://api.octopus.energy/v1/products/AGILE-24-10-01/electricity-tariffs/E-1R-AGILE-24-10-01-G/standard-unit-rates/</x:v>
      </x:c>
    </x:row>
    <x:row r="2534" ht="21" customHeight="1">
      <x:c r="A2534" s="24" t="n">
        <x:v>46201.291666666664</x:v>
      </x:c>
      <x:c r="B2534" s="6" t="n">
        <x:v>0.1057</x:v>
      </x:c>
      <x:c r="C2534" s="6" t="n">
        <x:v>0.0746</x:v>
      </x:c>
      <x:c r="D2534" s="6" t="n">
        <x:f>B2534</x:f>
        <x:v>0.1057</x:v>
      </x:c>
      <x:c r="E2534" s="1" t="n">
        <x:v>1.05</x:v>
      </x:c>
      <x:c r="F2534" s="1" t="str">
        <x:v>https://api.octopus.energy/v1/products/AGILE-24-10-01/electricity-tariffs/E-1R-AGILE-24-10-01-G/standard-unit-rates/</x:v>
      </x:c>
    </x:row>
    <x:row r="2535" ht="21" customHeight="1">
      <x:c r="A2535" s="24" t="n">
        <x:v>46201.3125</x:v>
      </x:c>
      <x:c r="B2535" s="6" t="n">
        <x:v>0.0975</x:v>
      </x:c>
      <x:c r="C2535" s="6" t="n">
        <x:v>0.0708</x:v>
      </x:c>
      <x:c r="D2535" s="6" t="n">
        <x:f>B2535</x:f>
        <x:v>0.0975</x:v>
      </x:c>
      <x:c r="E2535" s="1" t="n">
        <x:v>1.05</x:v>
      </x:c>
      <x:c r="F2535" s="1" t="str">
        <x:v>https://api.octopus.energy/v1/products/AGILE-24-10-01/electricity-tariffs/E-1R-AGILE-24-10-01-G/standard-unit-rates/</x:v>
      </x:c>
    </x:row>
    <x:row r="2536" ht="21" customHeight="1">
      <x:c r="A2536" s="24" t="n">
        <x:v>46201.333333333336</x:v>
      </x:c>
      <x:c r="B2536" s="6" t="n">
        <x:v>0.0409</x:v>
      </x:c>
      <x:c r="C2536" s="6" t="n">
        <x:v>0.045</x:v>
      </x:c>
      <x:c r="D2536" s="6" t="n">
        <x:f>B2536</x:f>
        <x:v>0.0409</x:v>
      </x:c>
      <x:c r="E2536" s="1" t="n">
        <x:v>1.05</x:v>
      </x:c>
      <x:c r="F2536" s="1" t="str">
        <x:v>https://api.octopus.energy/v1/products/AGILE-24-10-01/electricity-tariffs/E-1R-AGILE-24-10-01-G/standard-unit-rates/</x:v>
      </x:c>
    </x:row>
    <x:row r="2537" ht="21" customHeight="1">
      <x:c r="A2537" s="24" t="n">
        <x:v>46201.354166666664</x:v>
      </x:c>
      <x:c r="B2537" s="6" t="n">
        <x:v>0.045700000000000005</x:v>
      </x:c>
      <x:c r="C2537" s="6" t="n">
        <x:v>0.0471</x:v>
      </x:c>
      <x:c r="D2537" s="6" t="n">
        <x:f>B2537</x:f>
        <x:v>0.045700000000000005</x:v>
      </x:c>
      <x:c r="E2537" s="1" t="n">
        <x:v>1.05</x:v>
      </x:c>
      <x:c r="F2537" s="1" t="str">
        <x:v>https://api.octopus.energy/v1/products/AGILE-24-10-01/electricity-tariffs/E-1R-AGILE-24-10-01-G/standard-unit-rates/</x:v>
      </x:c>
    </x:row>
    <x:row r="2538" ht="21" customHeight="1">
      <x:c r="A2538" s="24" t="n">
        <x:v>46201.375</x:v>
      </x:c>
      <x:c r="B2538" s="6" t="n">
        <x:v>0.008199999999999999</x:v>
      </x:c>
      <x:c r="C2538" s="6" t="n">
        <x:v>0.03</x:v>
      </x:c>
      <x:c r="D2538" s="6" t="n">
        <x:f>B2538</x:f>
        <x:v>0.008199999999999999</x:v>
      </x:c>
      <x:c r="E2538" s="1" t="n">
        <x:v>1.05</x:v>
      </x:c>
      <x:c r="F2538" s="1" t="str">
        <x:v>https://api.octopus.energy/v1/products/AGILE-24-10-01/electricity-tariffs/E-1R-AGILE-24-10-01-G/standard-unit-rates/</x:v>
      </x:c>
    </x:row>
    <x:row r="2539" ht="21" customHeight="1">
      <x:c r="A2539" s="24" t="n">
        <x:v>46201.395833333336</x:v>
      </x:c>
      <x:c r="B2539" s="6" t="n">
        <x:v>-0.0096</x:v>
      </x:c>
      <x:c r="C2539" s="6" t="n">
        <x:v>0.0219</x:v>
      </x:c>
      <x:c r="D2539" s="6" t="n">
        <x:f>B2539</x:f>
        <x:v>-0.0096</x:v>
      </x:c>
      <x:c r="E2539" s="1" t="n">
        <x:v>1.05</x:v>
      </x:c>
      <x:c r="F2539" s="1" t="str">
        <x:v>https://api.octopus.energy/v1/products/AGILE-24-10-01/electricity-tariffs/E-1R-AGILE-24-10-01-G/standard-unit-rates/</x:v>
      </x:c>
    </x:row>
    <x:row r="2540" ht="21" customHeight="1">
      <x:c r="A2540" s="24" t="n">
        <x:v>46201.416666666664</x:v>
      </x:c>
      <x:c r="B2540" s="6" t="n">
        <x:v>-0.0175</x:v>
      </x:c>
      <x:c r="C2540" s="6" t="n">
        <x:v>0.0183</x:v>
      </x:c>
      <x:c r="D2540" s="6" t="n">
        <x:f>B2540</x:f>
        <x:v>-0.0175</x:v>
      </x:c>
      <x:c r="E2540" s="1" t="n">
        <x:v>1.05</x:v>
      </x:c>
      <x:c r="F2540" s="1" t="str">
        <x:v>https://api.octopus.energy/v1/products/AGILE-24-10-01/electricity-tariffs/E-1R-AGILE-24-10-01-G/standard-unit-rates/</x:v>
      </x:c>
    </x:row>
    <x:row r="2541" ht="21" customHeight="1">
      <x:c r="A2541" s="24" t="n">
        <x:v>46201.4375</x:v>
      </x:c>
      <x:c r="B2541" s="6" t="n">
        <x:v>-0.024900000000000002</x:v>
      </x:c>
      <x:c r="C2541" s="6" t="n">
        <x:v>0.0149</x:v>
      </x:c>
      <x:c r="D2541" s="6" t="n">
        <x:f>B2541</x:f>
        <x:v>-0.024900000000000002</x:v>
      </x:c>
      <x:c r="E2541" s="1" t="n">
        <x:v>1.05</x:v>
      </x:c>
      <x:c r="F2541" s="1" t="str">
        <x:v>https://api.octopus.energy/v1/products/AGILE-24-10-01/electricity-tariffs/E-1R-AGILE-24-10-01-G/standard-unit-rates/</x:v>
      </x:c>
    </x:row>
    <x:row r="2542" ht="21" customHeight="1">
      <x:c r="A2542" s="24" t="n">
        <x:v>46201.458333333336</x:v>
      </x:c>
      <x:c r="B2542" s="6" t="n">
        <x:v>-0.0202</x:v>
      </x:c>
      <x:c r="C2542" s="6" t="n">
        <x:v>0.017</x:v>
      </x:c>
      <x:c r="D2542" s="6" t="n">
        <x:f>B2542</x:f>
        <x:v>-0.0202</x:v>
      </x:c>
      <x:c r="E2542" s="1" t="n">
        <x:v>1.05</x:v>
      </x:c>
      <x:c r="F2542" s="1" t="str">
        <x:v>https://api.octopus.energy/v1/products/AGILE-24-10-01/electricity-tariffs/E-1R-AGILE-24-10-01-G/standard-unit-rates/</x:v>
      </x:c>
    </x:row>
    <x:row r="2543" ht="21" customHeight="1">
      <x:c r="A2543" s="24" t="n">
        <x:v>46201.479166666664</x:v>
      </x:c>
      <x:c r="B2543" s="6" t="n">
        <x:v>-0.0361</x:v>
      </x:c>
      <x:c r="C2543" s="6" t="n">
        <x:v>0.0098</x:v>
      </x:c>
      <x:c r="D2543" s="6" t="n">
        <x:f>B2543</x:f>
        <x:v>-0.0361</x:v>
      </x:c>
      <x:c r="E2543" s="1" t="n">
        <x:v>1.05</x:v>
      </x:c>
      <x:c r="F2543" s="1" t="str">
        <x:v>https://api.octopus.energy/v1/products/AGILE-24-10-01/electricity-tariffs/E-1R-AGILE-24-10-01-G/standard-unit-rates/</x:v>
      </x:c>
    </x:row>
    <x:row r="2544" ht="21" customHeight="1">
      <x:c r="A2544" s="24" t="n">
        <x:v>46201.5</x:v>
      </x:c>
      <x:c r="B2544" s="6" t="n">
        <x:v>-0.024</x:v>
      </x:c>
      <x:c r="C2544" s="6" t="n">
        <x:v>0.015300000000000001</x:v>
      </x:c>
      <x:c r="D2544" s="6" t="n">
        <x:f>B2544</x:f>
        <x:v>-0.024</x:v>
      </x:c>
      <x:c r="E2544" s="1" t="n">
        <x:v>1.05</x:v>
      </x:c>
      <x:c r="F2544" s="1" t="str">
        <x:v>https://api.octopus.energy/v1/products/AGILE-24-10-01/electricity-tariffs/E-1R-AGILE-24-10-01-G/standard-unit-rates/</x:v>
      </x:c>
    </x:row>
    <x:row r="2545" ht="21" customHeight="1">
      <x:c r="A2545" s="24" t="n">
        <x:v>46201.520833333336</x:v>
      </x:c>
      <x:c r="B2545" s="6" t="n">
        <x:v>-0.0317</x:v>
      </x:c>
      <x:c r="C2545" s="6" t="n">
        <x:v>0.0118</x:v>
      </x:c>
      <x:c r="D2545" s="6" t="n">
        <x:f>B2545</x:f>
        <x:v>-0.0317</x:v>
      </x:c>
      <x:c r="E2545" s="1" t="n">
        <x:v>1.05</x:v>
      </x:c>
      <x:c r="F2545" s="1" t="str">
        <x:v>https://api.octopus.energy/v1/products/AGILE-24-10-01/electricity-tariffs/E-1R-AGILE-24-10-01-G/standard-unit-rates/</x:v>
      </x:c>
    </x:row>
    <x:row r="2546" ht="21" customHeight="1">
      <x:c r="A2546" s="24" t="n">
        <x:v>46201.541666666664</x:v>
      </x:c>
      <x:c r="B2546" s="6" t="n">
        <x:v>-0.0233</x:v>
      </x:c>
      <x:c r="C2546" s="6" t="n">
        <x:v>0.015600000000000001</x:v>
      </x:c>
      <x:c r="D2546" s="6" t="n">
        <x:f>B2546</x:f>
        <x:v>-0.0233</x:v>
      </x:c>
      <x:c r="E2546" s="1" t="n">
        <x:v>1.05</x:v>
      </x:c>
      <x:c r="F2546" s="1" t="str">
        <x:v>https://api.octopus.energy/v1/products/AGILE-24-10-01/electricity-tariffs/E-1R-AGILE-24-10-01-G/standard-unit-rates/</x:v>
      </x:c>
    </x:row>
    <x:row r="2547" ht="21" customHeight="1">
      <x:c r="A2547" s="24" t="n">
        <x:v>46201.5625</x:v>
      </x:c>
      <x:c r="B2547" s="6" t="n">
        <x:v>-0.0311</x:v>
      </x:c>
      <x:c r="C2547" s="6" t="n">
        <x:v>0.012</x:v>
      </x:c>
      <x:c r="D2547" s="6" t="n">
        <x:f>B2547</x:f>
        <x:v>-0.0311</x:v>
      </x:c>
      <x:c r="E2547" s="1" t="n">
        <x:v>1.05</x:v>
      </x:c>
      <x:c r="F2547" s="1" t="str">
        <x:v>https://api.octopus.energy/v1/products/AGILE-24-10-01/electricity-tariffs/E-1R-AGILE-24-10-01-G/standard-unit-rates/</x:v>
      </x:c>
    </x:row>
    <x:row r="2548" ht="21" customHeight="1">
      <x:c r="A2548" s="24" t="n">
        <x:v>46201.583333333336</x:v>
      </x:c>
      <x:c r="B2548" s="6" t="n">
        <x:v>-0.0395</x:v>
      </x:c>
      <x:c r="C2548" s="6" t="n">
        <x:v>0.008199999999999999</x:v>
      </x:c>
      <x:c r="D2548" s="6" t="n">
        <x:f>B2548</x:f>
        <x:v>-0.0395</x:v>
      </x:c>
      <x:c r="E2548" s="1" t="n">
        <x:v>1.05</x:v>
      </x:c>
      <x:c r="F2548" s="1" t="str">
        <x:v>https://api.octopus.energy/v1/products/AGILE-24-10-01/electricity-tariffs/E-1R-AGILE-24-10-01-G/standard-unit-rates/</x:v>
      </x:c>
    </x:row>
    <x:row r="2549" ht="21" customHeight="1">
      <x:c r="A2549" s="24" t="n">
        <x:v>46201.604166666664</x:v>
      </x:c>
      <x:c r="B2549" s="6" t="n">
        <x:v>-0.0512</x:v>
      </x:c>
      <x:c r="C2549" s="6" t="n">
        <x:v>0.0028000000000000004</x:v>
      </x:c>
      <x:c r="D2549" s="6" t="n">
        <x:f>B2549</x:f>
        <x:v>-0.0512</x:v>
      </x:c>
      <x:c r="E2549" s="1" t="n">
        <x:v>1.05</x:v>
      </x:c>
      <x:c r="F2549" s="1" t="str">
        <x:v>https://api.octopus.energy/v1/products/AGILE-24-10-01/electricity-tariffs/E-1R-AGILE-24-10-01-G/standard-unit-rates/</x:v>
      </x:c>
    </x:row>
    <x:row r="2550" ht="21" customHeight="1">
      <x:c r="A2550" s="24" t="n">
        <x:v>46201.625</x:v>
      </x:c>
      <x:c r="B2550" s="6" t="n">
        <x:v>-0.013500000000000002</x:v>
      </x:c>
      <x:c r="C2550" s="6" t="n">
        <x:v>0.020099999999999996</x:v>
      </x:c>
      <x:c r="D2550" s="6" t="n">
        <x:f>B2550</x:f>
        <x:v>-0.013500000000000002</x:v>
      </x:c>
      <x:c r="E2550" s="1" t="n">
        <x:v>1.05</x:v>
      </x:c>
      <x:c r="F2550" s="1" t="str">
        <x:v>https://api.octopus.energy/v1/products/AGILE-24-10-01/electricity-tariffs/E-1R-AGILE-24-10-01-G/standard-unit-rates/</x:v>
      </x:c>
    </x:row>
    <x:row r="2551" ht="21" customHeight="1">
      <x:c r="A2551" s="24" t="n">
        <x:v>46201.645833333336</x:v>
      </x:c>
      <x:c r="B2551" s="6" t="n">
        <x:v>-0.0131</x:v>
      </x:c>
      <x:c r="C2551" s="6" t="n">
        <x:v>0.0203</x:v>
      </x:c>
      <x:c r="D2551" s="6" t="n">
        <x:f>B2551</x:f>
        <x:v>-0.0131</x:v>
      </x:c>
      <x:c r="E2551" s="1" t="n">
        <x:v>1.05</x:v>
      </x:c>
      <x:c r="F2551" s="1" t="str">
        <x:v>https://api.octopus.energy/v1/products/AGILE-24-10-01/electricity-tariffs/E-1R-AGILE-24-10-01-G/standard-unit-rates/</x:v>
      </x:c>
    </x:row>
    <x:row r="2552" ht="21" customHeight="1">
      <x:c r="A2552" s="24" t="n">
        <x:v>46201.666666666664</x:v>
      </x:c>
      <x:c r="B2552" s="6" t="n">
        <x:v>0.18969999999999998</x:v>
      </x:c>
      <x:c r="C2552" s="6" t="n">
        <x:v>0.11699999999999999</x:v>
      </x:c>
      <x:c r="D2552" s="6" t="n">
        <x:f>B2552</x:f>
        <x:v>0.18969999999999998</x:v>
      </x:c>
      <x:c r="E2552" s="1" t="n">
        <x:v>1.05</x:v>
      </x:c>
      <x:c r="F2552" s="1" t="str">
        <x:v>https://api.octopus.energy/v1/products/AGILE-24-10-01/electricity-tariffs/E-1R-AGILE-24-10-01-G/standard-unit-rates/</x:v>
      </x:c>
    </x:row>
    <x:row r="2553" ht="21" customHeight="1">
      <x:c r="A2553" s="24" t="n">
        <x:v>46201.6875</x:v>
      </x:c>
      <x:c r="B2553" s="6" t="n">
        <x:v>0.2095</x:v>
      </x:c>
      <x:c r="C2553" s="6" t="n">
        <x:v>0.1261</x:v>
      </x:c>
      <x:c r="D2553" s="6" t="n">
        <x:f>B2553</x:f>
        <x:v>0.2095</x:v>
      </x:c>
      <x:c r="E2553" s="1" t="n">
        <x:v>1.05</x:v>
      </x:c>
      <x:c r="F2553" s="1" t="str">
        <x:v>https://api.octopus.energy/v1/products/AGILE-24-10-01/electricity-tariffs/E-1R-AGILE-24-10-01-G/standard-unit-rates/</x:v>
      </x:c>
    </x:row>
    <x:row r="2554" ht="21" customHeight="1">
      <x:c r="A2554" s="24" t="n">
        <x:v>46201.708333333336</x:v>
      </x:c>
      <x:c r="B2554" s="6" t="n">
        <x:v>0.2705</x:v>
      </x:c>
      <x:c r="C2554" s="6" t="n">
        <x:v>0.154</x:v>
      </x:c>
      <x:c r="D2554" s="6" t="n">
        <x:f>B2554</x:f>
        <x:v>0.2705</x:v>
      </x:c>
      <x:c r="E2554" s="1" t="n">
        <x:v>1.05</x:v>
      </x:c>
      <x:c r="F2554" s="1" t="str">
        <x:v>https://api.octopus.energy/v1/products/AGILE-24-10-01/electricity-tariffs/E-1R-AGILE-24-10-01-G/standard-unit-rates/</x:v>
      </x:c>
    </x:row>
    <x:row r="2555" ht="21" customHeight="1">
      <x:c r="A2555" s="24" t="n">
        <x:v>46201.729166666664</x:v>
      </x:c>
      <x:c r="B2555" s="6" t="n">
        <x:v>0.2705</x:v>
      </x:c>
      <x:c r="C2555" s="6" t="n">
        <x:v>0.154</x:v>
      </x:c>
      <x:c r="D2555" s="6" t="n">
        <x:f>B2555</x:f>
        <x:v>0.2705</x:v>
      </x:c>
      <x:c r="E2555" s="1" t="n">
        <x:v>1.05</x:v>
      </x:c>
      <x:c r="F2555" s="1" t="str">
        <x:v>https://api.octopus.energy/v1/products/AGILE-24-10-01/electricity-tariffs/E-1R-AGILE-24-10-01-G/standard-unit-rates/</x:v>
      </x:c>
    </x:row>
    <x:row r="2556" ht="21" customHeight="1">
      <x:c r="A2556" s="24" t="n">
        <x:v>46201.75</x:v>
      </x:c>
      <x:c r="B2556" s="6" t="n">
        <x:v>0.30829999999999996</x:v>
      </x:c>
      <x:c r="C2556" s="6" t="n">
        <x:v>0.17129999999999998</x:v>
      </x:c>
      <x:c r="D2556" s="6" t="n">
        <x:f>B2556</x:f>
        <x:v>0.30829999999999996</x:v>
      </x:c>
      <x:c r="E2556" s="1" t="n">
        <x:v>1.05</x:v>
      </x:c>
      <x:c r="F2556" s="1" t="str">
        <x:v>https://api.octopus.energy/v1/products/AGILE-24-10-01/electricity-tariffs/E-1R-AGILE-24-10-01-G/standard-unit-rates/</x:v>
      </x:c>
    </x:row>
    <x:row r="2557" ht="21" customHeight="1">
      <x:c r="A2557" s="24" t="n">
        <x:v>46201.770833333336</x:v>
      </x:c>
      <x:c r="B2557" s="6" t="n">
        <x:v>0.30260000000000004</x:v>
      </x:c>
      <x:c r="C2557" s="6" t="n">
        <x:v>0.1686</x:v>
      </x:c>
      <x:c r="D2557" s="6" t="n">
        <x:f>B2557</x:f>
        <x:v>0.30260000000000004</x:v>
      </x:c>
      <x:c r="E2557" s="1" t="n">
        <x:v>1.05</x:v>
      </x:c>
      <x:c r="F2557" s="1" t="str">
        <x:v>https://api.octopus.energy/v1/products/AGILE-24-10-01/electricity-tariffs/E-1R-AGILE-24-10-01-G/standard-unit-rates/</x:v>
      </x:c>
    </x:row>
    <x:row r="2558" ht="21" customHeight="1">
      <x:c r="A2558" s="24" t="n">
        <x:v>46201.791666666664</x:v>
      </x:c>
      <x:c r="B2558" s="6" t="n">
        <x:v>0.1877</x:v>
      </x:c>
      <x:c r="C2558" s="6" t="n">
        <x:v>0.1121</x:v>
      </x:c>
      <x:c r="D2558" s="6" t="n">
        <x:f>B2558</x:f>
        <x:v>0.1877</x:v>
      </x:c>
      <x:c r="E2558" s="1" t="n">
        <x:v>1.05</x:v>
      </x:c>
      <x:c r="F2558" s="1" t="str">
        <x:v>https://api.octopus.energy/v1/products/AGILE-24-10-01/electricity-tariffs/E-1R-AGILE-24-10-01-G/standard-unit-rates/</x:v>
      </x:c>
    </x:row>
    <x:row r="2559" ht="21" customHeight="1">
      <x:c r="A2559" s="24" t="n">
        <x:v>46201.8125</x:v>
      </x:c>
      <x:c r="B2559" s="6" t="n">
        <x:v>0.1961</x:v>
      </x:c>
      <x:c r="C2559" s="6" t="n">
        <x:v>0.1159</x:v>
      </x:c>
      <x:c r="D2559" s="6" t="n">
        <x:f>B2559</x:f>
        <x:v>0.1961</x:v>
      </x:c>
      <x:c r="E2559" s="1" t="n">
        <x:v>1.05</x:v>
      </x:c>
      <x:c r="F2559" s="1" t="str">
        <x:v>https://api.octopus.energy/v1/products/AGILE-24-10-01/electricity-tariffs/E-1R-AGILE-24-10-01-G/standard-unit-rates/</x:v>
      </x:c>
    </x:row>
    <x:row r="2560" ht="21" customHeight="1">
      <x:c r="A2560" s="24" t="n">
        <x:v>46201.833333333336</x:v>
      </x:c>
      <x:c r="B2560" s="6" t="n">
        <x:v>0.2028</x:v>
      </x:c>
      <x:c r="C2560" s="6" t="n">
        <x:v>0.11900000000000001</x:v>
      </x:c>
      <x:c r="D2560" s="6" t="n">
        <x:f>B2560</x:f>
        <x:v>0.2028</x:v>
      </x:c>
      <x:c r="E2560" s="1" t="n">
        <x:v>1.05</x:v>
      </x:c>
      <x:c r="F2560" s="1" t="str">
        <x:v>https://api.octopus.energy/v1/products/AGILE-24-10-01/electricity-tariffs/E-1R-AGILE-24-10-01-G/standard-unit-rates/</x:v>
      </x:c>
    </x:row>
    <x:row r="2561" ht="21" customHeight="1">
      <x:c r="A2561" s="24" t="n">
        <x:v>46201.854166666664</x:v>
      </x:c>
      <x:c r="B2561" s="6" t="n">
        <x:v>0.2102</x:v>
      </x:c>
      <x:c r="C2561" s="6" t="n">
        <x:v>0.12240000000000001</x:v>
      </x:c>
      <x:c r="D2561" s="6" t="n">
        <x:f>B2561</x:f>
        <x:v>0.2102</x:v>
      </x:c>
      <x:c r="E2561" s="1" t="n">
        <x:v>1.05</x:v>
      </x:c>
      <x:c r="F2561" s="1" t="str">
        <x:v>https://api.octopus.energy/v1/products/AGILE-24-10-01/electricity-tariffs/E-1R-AGILE-24-10-01-G/standard-unit-rates/</x:v>
      </x:c>
    </x:row>
    <x:row r="2562" ht="21" customHeight="1">
      <x:c r="A2562" s="24" t="n">
        <x:v>46201.875</x:v>
      </x:c>
      <x:c r="B2562" s="6" t="n">
        <x:v>0.2091</x:v>
      </x:c>
      <x:c r="C2562" s="6" t="n">
        <x:v>0.1219</x:v>
      </x:c>
      <x:c r="D2562" s="6" t="n">
        <x:f>B2562</x:f>
        <x:v>0.2091</x:v>
      </x:c>
      <x:c r="E2562" s="1" t="n">
        <x:v>1.05</x:v>
      </x:c>
      <x:c r="F2562" s="1" t="str">
        <x:v>https://api.octopus.energy/v1/products/AGILE-24-10-01/electricity-tariffs/E-1R-AGILE-24-10-01-G/standard-unit-rates/</x:v>
      </x:c>
    </x:row>
    <x:row r="2563" ht="21" customHeight="1">
      <x:c r="A2563" s="24" t="n">
        <x:v>46201.895833333336</x:v>
      </x:c>
      <x:c r="B2563" s="6" t="n">
        <x:v>0.2119</x:v>
      </x:c>
      <x:c r="C2563" s="6" t="n">
        <x:v>0.1231</x:v>
      </x:c>
      <x:c r="D2563" s="6" t="n">
        <x:f>B2563</x:f>
        <x:v>0.2119</x:v>
      </x:c>
      <x:c r="E2563" s="1" t="n">
        <x:v>1.05</x:v>
      </x:c>
      <x:c r="F2563" s="1" t="str">
        <x:v>https://api.octopus.energy/v1/products/AGILE-24-10-01/electricity-tariffs/E-1R-AGILE-24-10-01-G/standard-unit-rates/</x:v>
      </x:c>
    </x:row>
    <x:row r="2564" ht="21" customHeight="1">
      <x:c r="A2564" s="24" t="n">
        <x:v>46201.916666666664</x:v>
      </x:c>
      <x:c r="B2564" s="6" t="n">
        <x:v>0.20559999999999998</x:v>
      </x:c>
      <x:c r="C2564" s="6" t="n">
        <x:v>0.12029999999999999</x:v>
      </x:c>
      <x:c r="D2564" s="6" t="n">
        <x:f>B2564</x:f>
        <x:v>0.20559999999999998</x:v>
      </x:c>
      <x:c r="E2564" s="1" t="n">
        <x:v>1.05</x:v>
      </x:c>
      <x:c r="F2564" s="1" t="str">
        <x:v>https://api.octopus.energy/v1/products/AGILE-24-10-01/electricity-tariffs/E-1R-AGILE-24-10-01-G/standard-unit-rates/</x:v>
      </x:c>
    </x:row>
    <x:row r="2565" ht="21" customHeight="1">
      <x:c r="A2565" s="24" t="n">
        <x:v>46201.9375</x:v>
      </x:c>
      <x:c r="B2565" s="6" t="n">
        <x:v>0.20170000000000002</x:v>
      </x:c>
      <x:c r="C2565" s="6" t="n">
        <x:v>0.1185</x:v>
      </x:c>
      <x:c r="D2565" s="6" t="n">
        <x:f>B2565</x:f>
        <x:v>0.20170000000000002</x:v>
      </x:c>
      <x:c r="E2565" s="1" t="n">
        <x:v>1.05</x:v>
      </x:c>
      <x:c r="F2565" s="1" t="str">
        <x:v>https://api.octopus.energy/v1/products/AGILE-24-10-01/electricity-tariffs/E-1R-AGILE-24-10-01-G/standard-unit-rates/</x:v>
      </x:c>
    </x:row>
    <x:row r="2566" ht="21" customHeight="1">
      <x:c r="A2566" s="24" t="n">
        <x:v>46202</x:v>
      </x:c>
      <x:c r="B2566" s="6" t="n">
        <x:v>0.1869</x:v>
      </x:c>
      <x:c r="C2566" s="6" t="n">
        <x:v>0.1117</x:v>
      </x:c>
      <x:c r="D2566" s="6" t="n">
        <x:f>B2566</x:f>
        <x:v>0.1869</x:v>
      </x:c>
      <x:c r="E2566" s="1" t="n">
        <x:v>1.05</x:v>
      </x:c>
      <x:c r="F2566" s="1" t="str">
        <x:v>https://api.octopus.energy/v1/products/AGILE-24-10-01/electricity-tariffs/E-1R-AGILE-24-10-01-G/standard-unit-rates/</x:v>
      </x:c>
    </x:row>
    <x:row r="2567" ht="21" customHeight="1">
      <x:c r="A2567" s="24" t="n">
        <x:v>46201.979166666664</x:v>
      </x:c>
      <x:c r="B2567" s="6" t="n">
        <x:v>0.1844</x:v>
      </x:c>
      <x:c r="C2567" s="6" t="n">
        <x:v>0.1106</x:v>
      </x:c>
      <x:c r="D2567" s="6" t="n">
        <x:f>B2567</x:f>
        <x:v>0.1844</x:v>
      </x:c>
      <x:c r="E2567" s="1" t="n">
        <x:v>1.05</x:v>
      </x:c>
      <x:c r="F2567" s="1" t="str">
        <x:v>https://api.octopus.energy/v1/products/AGILE-24-10-01/electricity-tariffs/E-1R-AGILE-24-10-01-G/standard-unit-rates/</x:v>
      </x:c>
    </x:row>
    <x:row r="2568" ht="21" customHeight="1">
      <x:c r="A2568" s="24" t="n">
        <x:v>46202</x:v>
      </x:c>
      <x:c r="B2568" s="6" t="n">
        <x:v>0.1721</x:v>
      </x:c>
      <x:c r="C2568" s="6" t="n">
        <x:v>0.10490000000000001</x:v>
      </x:c>
      <x:c r="D2568" s="6" t="n">
        <x:f>B2568</x:f>
        <x:v>0.1721</x:v>
      </x:c>
      <x:c r="E2568" s="1" t="n">
        <x:v>1.05</x:v>
      </x:c>
      <x:c r="F2568" s="1" t="str">
        <x:v>https://api.octopus.energy/v1/products/AGILE-24-10-01/electricity-tariffs/E-1R-AGILE-24-10-01-G/standard-unit-rates/</x:v>
      </x:c>
    </x:row>
    <x:row r="2569" ht="21" customHeight="1">
      <x:c r="A2569" s="24" t="n">
        <x:v>46202.020833333336</x:v>
      </x:c>
      <x:c r="B2569" s="6" t="n">
        <x:v>0.1637</x:v>
      </x:c>
      <x:c r="C2569" s="6" t="n">
        <x:v>0.1011</x:v>
      </x:c>
      <x:c r="D2569" s="6" t="n">
        <x:f>B2569</x:f>
        <x:v>0.1637</x:v>
      </x:c>
      <x:c r="E2569" s="1" t="n">
        <x:v>1.05</x:v>
      </x:c>
      <x:c r="F2569" s="1" t="str">
        <x:v>https://api.octopus.energy/v1/products/AGILE-24-10-01/electricity-tariffs/E-1R-AGILE-24-10-01-G/standard-unit-rates/</x:v>
      </x:c>
    </x:row>
    <x:row r="2570" ht="21" customHeight="1">
      <x:c r="A2570" s="24" t="n">
        <x:v>46202.041666666664</x:v>
      </x:c>
      <x:c r="B2570" s="6" t="n">
        <x:v>0.1573</x:v>
      </x:c>
      <x:c r="C2570" s="6" t="n">
        <x:v>0.09820000000000001</x:v>
      </x:c>
      <x:c r="D2570" s="6" t="n">
        <x:f>B2570</x:f>
        <x:v>0.1573</x:v>
      </x:c>
      <x:c r="E2570" s="1" t="n">
        <x:v>1.05</x:v>
      </x:c>
      <x:c r="F2570" s="1" t="str">
        <x:v>https://api.octopus.energy/v1/products/AGILE-24-10-01/electricity-tariffs/E-1R-AGILE-24-10-01-G/standard-unit-rates/</x:v>
      </x:c>
    </x:row>
    <x:row r="2571" ht="21" customHeight="1">
      <x:c r="A2571" s="24" t="n">
        <x:v>46202.0625</x:v>
      </x:c>
      <x:c r="B2571" s="6" t="n">
        <x:v>0.1539</x:v>
      </x:c>
      <x:c r="C2571" s="6" t="n">
        <x:v>0.0966</x:v>
      </x:c>
      <x:c r="D2571" s="6" t="n">
        <x:f>B2571</x:f>
        <x:v>0.1539</x:v>
      </x:c>
      <x:c r="E2571" s="1" t="n">
        <x:v>1.05</x:v>
      </x:c>
      <x:c r="F2571" s="1" t="str">
        <x:v>https://api.octopus.energy/v1/products/AGILE-24-10-01/electricity-tariffs/E-1R-AGILE-24-10-01-G/standard-unit-rates/</x:v>
      </x:c>
    </x:row>
    <x:row r="2572" ht="21" customHeight="1">
      <x:c r="A2572" s="24" t="n">
        <x:v>46202.083333333336</x:v>
      </x:c>
      <x:c r="B2572" s="6" t="n">
        <x:v>0.1577</x:v>
      </x:c>
      <x:c r="C2572" s="6" t="n">
        <x:v>0.0984</x:v>
      </x:c>
      <x:c r="D2572" s="6" t="n">
        <x:f>B2572</x:f>
        <x:v>0.1577</x:v>
      </x:c>
      <x:c r="E2572" s="1" t="n">
        <x:v>1.05</x:v>
      </x:c>
      <x:c r="F2572" s="1" t="str">
        <x:v>https://api.octopus.energy/v1/products/AGILE-24-10-01/electricity-tariffs/E-1R-AGILE-24-10-01-G/standard-unit-rates/</x:v>
      </x:c>
    </x:row>
    <x:row r="2573" ht="21" customHeight="1">
      <x:c r="A2573" s="24" t="n">
        <x:v>46202.104166666664</x:v>
      </x:c>
      <x:c r="B2573" s="6" t="n">
        <x:v>0.15460000000000002</x:v>
      </x:c>
      <x:c r="C2573" s="6" t="n">
        <x:v>0.0969</x:v>
      </x:c>
      <x:c r="D2573" s="6" t="n">
        <x:f>B2573</x:f>
        <x:v>0.15460000000000002</x:v>
      </x:c>
      <x:c r="E2573" s="1" t="n">
        <x:v>1.05</x:v>
      </x:c>
      <x:c r="F2573" s="1" t="str">
        <x:v>https://api.octopus.energy/v1/products/AGILE-24-10-01/electricity-tariffs/E-1R-AGILE-24-10-01-G/standard-unit-rates/</x:v>
      </x:c>
    </x:row>
    <x:row r="2574" ht="21" customHeight="1">
      <x:c r="A2574" s="24" t="n">
        <x:v>46202.125</x:v>
      </x:c>
      <x:c r="B2574" s="6" t="n">
        <x:v>0.1564</x:v>
      </x:c>
      <x:c r="C2574" s="6" t="n">
        <x:v>0.0978</x:v>
      </x:c>
      <x:c r="D2574" s="6" t="n">
        <x:f>B2574</x:f>
        <x:v>0.1564</x:v>
      </x:c>
      <x:c r="E2574" s="1" t="n">
        <x:v>1.05</x:v>
      </x:c>
      <x:c r="F2574" s="1" t="str">
        <x:v>https://api.octopus.energy/v1/products/AGILE-24-10-01/electricity-tariffs/E-1R-AGILE-24-10-01-G/standard-unit-rates/</x:v>
      </x:c>
    </x:row>
    <x:row r="2575" ht="21" customHeight="1">
      <x:c r="A2575" s="24" t="n">
        <x:v>46202.145833333336</x:v>
      </x:c>
      <x:c r="B2575" s="6" t="n">
        <x:v>0.1548</x:v>
      </x:c>
      <x:c r="C2575" s="6" t="n">
        <x:v>0.09699999999999999</x:v>
      </x:c>
      <x:c r="D2575" s="6" t="n">
        <x:f>B2575</x:f>
        <x:v>0.1548</x:v>
      </x:c>
      <x:c r="E2575" s="1" t="n">
        <x:v>1.05</x:v>
      </x:c>
      <x:c r="F2575" s="1" t="str">
        <x:v>https://api.octopus.energy/v1/products/AGILE-24-10-01/electricity-tariffs/E-1R-AGILE-24-10-01-G/standard-unit-rates/</x:v>
      </x:c>
    </x:row>
    <x:row r="2576" ht="21" customHeight="1">
      <x:c r="A2576" s="24" t="n">
        <x:v>46202.166666666664</x:v>
      </x:c>
      <x:c r="B2576" s="6" t="n">
        <x:v>0.1557</x:v>
      </x:c>
      <x:c r="C2576" s="6" t="n">
        <x:v>0.0974</x:v>
      </x:c>
      <x:c r="D2576" s="6" t="n">
        <x:f>B2576</x:f>
        <x:v>0.1557</x:v>
      </x:c>
      <x:c r="E2576" s="1" t="n">
        <x:v>1.05</x:v>
      </x:c>
      <x:c r="F2576" s="1" t="str">
        <x:v>https://api.octopus.energy/v1/products/AGILE-24-10-01/electricity-tariffs/E-1R-AGILE-24-10-01-G/standard-unit-rates/</x:v>
      </x:c>
    </x:row>
    <x:row r="2577" ht="21" customHeight="1">
      <x:c r="A2577" s="24" t="n">
        <x:v>46202.1875</x:v>
      </x:c>
      <x:c r="B2577" s="6" t="n">
        <x:v>0.1539</x:v>
      </x:c>
      <x:c r="C2577" s="6" t="n">
        <x:v>0.0966</x:v>
      </x:c>
      <x:c r="D2577" s="6" t="n">
        <x:f>B2577</x:f>
        <x:v>0.1539</x:v>
      </x:c>
      <x:c r="E2577" s="1" t="n">
        <x:v>1.05</x:v>
      </x:c>
      <x:c r="F2577" s="1" t="str">
        <x:v>https://api.octopus.energy/v1/products/AGILE-24-10-01/electricity-tariffs/E-1R-AGILE-24-10-01-G/standard-unit-rates/</x:v>
      </x:c>
    </x:row>
    <x:row r="2578" ht="21" customHeight="1">
      <x:c r="A2578" s="24" t="n">
        <x:v>46202.208333333336</x:v>
      </x:c>
      <x:c r="B2578" s="6" t="n">
        <x:v>0.1646</x:v>
      </x:c>
      <x:c r="C2578" s="6" t="n">
        <x:v>0.1015</x:v>
      </x:c>
      <x:c r="D2578" s="6" t="n">
        <x:f>B2578</x:f>
        <x:v>0.1646</x:v>
      </x:c>
      <x:c r="E2578" s="1" t="n">
        <x:v>1.05</x:v>
      </x:c>
      <x:c r="F2578" s="1" t="str">
        <x:v>https://api.octopus.energy/v1/products/AGILE-24-10-01/electricity-tariffs/E-1R-AGILE-24-10-01-G/standard-unit-rates/</x:v>
      </x:c>
    </x:row>
    <x:row r="2579" ht="21" customHeight="1">
      <x:c r="A2579" s="24" t="n">
        <x:v>46202.229166666664</x:v>
      </x:c>
      <x:c r="B2579" s="6" t="n">
        <x:v>0.16820000000000002</x:v>
      </x:c>
      <x:c r="C2579" s="6" t="n">
        <x:v>0.1032</x:v>
      </x:c>
      <x:c r="D2579" s="6" t="n">
        <x:f>B2579</x:f>
        <x:v>0.16820000000000002</x:v>
      </x:c>
      <x:c r="E2579" s="1" t="n">
        <x:v>1.05</x:v>
      </x:c>
      <x:c r="F2579" s="1" t="str">
        <x:v>https://api.octopus.energy/v1/products/AGILE-24-10-01/electricity-tariffs/E-1R-AGILE-24-10-01-G/standard-unit-rates/</x:v>
      </x:c>
    </x:row>
    <x:row r="2580" ht="21" customHeight="1">
      <x:c r="A2580" s="24" t="n">
        <x:v>46202.25</x:v>
      </x:c>
      <x:c r="B2580" s="6" t="n">
        <x:v>0.1925</x:v>
      </x:c>
      <x:c r="C2580" s="6" t="n">
        <x:v>0.1143</x:v>
      </x:c>
      <x:c r="D2580" s="6" t="n">
        <x:f>B2580</x:f>
        <x:v>0.1925</x:v>
      </x:c>
      <x:c r="E2580" s="1" t="n">
        <x:v>1.05</x:v>
      </x:c>
      <x:c r="F2580" s="1" t="str">
        <x:v>https://api.octopus.energy/v1/products/AGILE-24-10-01/electricity-tariffs/E-1R-AGILE-24-10-01-G/standard-unit-rates/</x:v>
      </x:c>
    </x:row>
    <x:row r="2581" ht="21" customHeight="1">
      <x:c r="A2581" s="24" t="n">
        <x:v>46202.270833333336</x:v>
      </x:c>
      <x:c r="B2581" s="6" t="n">
        <x:v>0.2079</x:v>
      </x:c>
      <x:c r="C2581" s="6" t="n">
        <x:v>0.1213</x:v>
      </x:c>
      <x:c r="D2581" s="6" t="n">
        <x:f>B2581</x:f>
        <x:v>0.2079</x:v>
      </x:c>
      <x:c r="E2581" s="1" t="n">
        <x:v>1.05</x:v>
      </x:c>
      <x:c r="F2581" s="1" t="str">
        <x:v>https://api.octopus.energy/v1/products/AGILE-24-10-01/electricity-tariffs/E-1R-AGILE-24-10-01-G/standard-unit-rates/</x:v>
      </x:c>
    </x:row>
    <x:row r="2582" ht="21" customHeight="1">
      <x:c r="A2582" s="24" t="n">
        <x:v>46202.291666666664</x:v>
      </x:c>
      <x:c r="B2582" s="6" t="n">
        <x:v>0.1788</x:v>
      </x:c>
      <x:c r="C2582" s="6" t="n">
        <x:v>0.10800000000000001</x:v>
      </x:c>
      <x:c r="D2582" s="6" t="n">
        <x:f>B2582</x:f>
        <x:v>0.1788</x:v>
      </x:c>
      <x:c r="E2582" s="1" t="n">
        <x:v>1.05</x:v>
      </x:c>
      <x:c r="F2582" s="1" t="str">
        <x:v>https://api.octopus.energy/v1/products/AGILE-24-10-01/electricity-tariffs/E-1R-AGILE-24-10-01-G/standard-unit-rates/</x:v>
      </x:c>
    </x:row>
    <x:row r="2583" ht="21" customHeight="1">
      <x:c r="A2583" s="24" t="n">
        <x:v>46202.3125</x:v>
      </x:c>
      <x:c r="B2583" s="6" t="n">
        <x:v>0.195</x:v>
      </x:c>
      <x:c r="C2583" s="6" t="n">
        <x:v>0.11539999999999999</x:v>
      </x:c>
      <x:c r="D2583" s="6" t="n">
        <x:f>B2583</x:f>
        <x:v>0.195</x:v>
      </x:c>
      <x:c r="E2583" s="1" t="n">
        <x:v>1.05</x:v>
      </x:c>
      <x:c r="F2583" s="1" t="str">
        <x:v>https://api.octopus.energy/v1/products/AGILE-24-10-01/electricity-tariffs/E-1R-AGILE-24-10-01-G/standard-unit-rates/</x:v>
      </x:c>
    </x:row>
    <x:row r="2584" ht="21" customHeight="1">
      <x:c r="A2584" s="24" t="n">
        <x:v>46202.333333333336</x:v>
      </x:c>
      <x:c r="B2584" s="6" t="n">
        <x:v>0.1728</x:v>
      </x:c>
      <x:c r="C2584" s="6" t="n">
        <x:v>0.10529999999999999</x:v>
      </x:c>
      <x:c r="D2584" s="6" t="n">
        <x:f>B2584</x:f>
        <x:v>0.1728</x:v>
      </x:c>
      <x:c r="E2584" s="1" t="n">
        <x:v>1.05</x:v>
      </x:c>
      <x:c r="F2584" s="1" t="str">
        <x:v>https://api.octopus.energy/v1/products/AGILE-24-10-01/electricity-tariffs/E-1R-AGILE-24-10-01-G/standard-unit-rates/</x:v>
      </x:c>
    </x:row>
    <x:row r="2585" ht="21" customHeight="1">
      <x:c r="A2585" s="24" t="n">
        <x:v>46202.354166666664</x:v>
      </x:c>
      <x:c r="B2585" s="6" t="n">
        <x:v>0.16820000000000002</x:v>
      </x:c>
      <x:c r="C2585" s="6" t="n">
        <x:v>0.1032</x:v>
      </x:c>
      <x:c r="D2585" s="6" t="n">
        <x:f>B2585</x:f>
        <x:v>0.16820000000000002</x:v>
      </x:c>
      <x:c r="E2585" s="1" t="n">
        <x:v>1.05</x:v>
      </x:c>
      <x:c r="F2585" s="1" t="str">
        <x:v>https://api.octopus.energy/v1/products/AGILE-24-10-01/electricity-tariffs/E-1R-AGILE-24-10-01-G/standard-unit-rates/</x:v>
      </x:c>
    </x:row>
    <x:row r="2586" ht="21" customHeight="1">
      <x:c r="A2586" s="24" t="n">
        <x:v>46202.375</x:v>
      </x:c>
      <x:c r="B2586" s="6" t="n">
        <x:v>0.1734</x:v>
      </x:c>
      <x:c r="C2586" s="6" t="n">
        <x:v>0.10550000000000001</x:v>
      </x:c>
      <x:c r="D2586" s="6" t="n">
        <x:f>B2586</x:f>
        <x:v>0.1734</x:v>
      </x:c>
      <x:c r="E2586" s="1" t="n">
        <x:v>1.05</x:v>
      </x:c>
      <x:c r="F2586" s="1" t="str">
        <x:v>https://api.octopus.energy/v1/products/AGILE-24-10-01/electricity-tariffs/E-1R-AGILE-24-10-01-G/standard-unit-rates/</x:v>
      </x:c>
    </x:row>
    <x:row r="2587" ht="21" customHeight="1">
      <x:c r="A2587" s="24" t="n">
        <x:v>46202.395833333336</x:v>
      </x:c>
      <x:c r="B2587" s="6" t="n">
        <x:v>0.16870000000000002</x:v>
      </x:c>
      <x:c r="C2587" s="6" t="n">
        <x:v>0.10339999999999999</x:v>
      </x:c>
      <x:c r="D2587" s="6" t="n">
        <x:f>B2587</x:f>
        <x:v>0.16870000000000002</x:v>
      </x:c>
      <x:c r="E2587" s="1" t="n">
        <x:v>1.05</x:v>
      </x:c>
      <x:c r="F2587" s="1" t="str">
        <x:v>https://api.octopus.energy/v1/products/AGILE-24-10-01/electricity-tariffs/E-1R-AGILE-24-10-01-G/standard-unit-rates/</x:v>
      </x:c>
    </x:row>
    <x:row r="2588" ht="21" customHeight="1">
      <x:c r="A2588" s="24" t="n">
        <x:v>46202.416666666664</x:v>
      </x:c>
      <x:c r="B2588" s="6" t="n">
        <x:v>0.15</x:v>
      </x:c>
      <x:c r="C2588" s="6" t="n">
        <x:v>0.09480000000000001</x:v>
      </x:c>
      <x:c r="D2588" s="6" t="n">
        <x:f>B2588</x:f>
        <x:v>0.15</x:v>
      </x:c>
      <x:c r="E2588" s="1" t="n">
        <x:v>1.05</x:v>
      </x:c>
      <x:c r="F2588" s="1" t="str">
        <x:v>https://api.octopus.energy/v1/products/AGILE-24-10-01/electricity-tariffs/E-1R-AGILE-24-10-01-G/standard-unit-rates/</x:v>
      </x:c>
    </x:row>
    <x:row r="2589" ht="21" customHeight="1">
      <x:c r="A2589" s="24" t="n">
        <x:v>46202.4375</x:v>
      </x:c>
      <x:c r="B2589" s="6" t="n">
        <x:v>0.1512</x:v>
      </x:c>
      <x:c r="C2589" s="6" t="n">
        <x:v>0.09539999999999998</x:v>
      </x:c>
      <x:c r="D2589" s="6" t="n">
        <x:f>B2589</x:f>
        <x:v>0.1512</x:v>
      </x:c>
      <x:c r="E2589" s="1" t="n">
        <x:v>1.05</x:v>
      </x:c>
      <x:c r="F2589" s="1" t="str">
        <x:v>https://api.octopus.energy/v1/products/AGILE-24-10-01/electricity-tariffs/E-1R-AGILE-24-10-01-G/standard-unit-rates/</x:v>
      </x:c>
    </x:row>
    <x:row r="2590" ht="21" customHeight="1">
      <x:c r="A2590" s="24" t="n">
        <x:v>46202.458333333336</x:v>
      </x:c>
      <x:c r="B2590" s="6" t="n">
        <x:v>0.1416</x:v>
      </x:c>
      <x:c r="C2590" s="6" t="n">
        <x:v>0.091</x:v>
      </x:c>
      <x:c r="D2590" s="6" t="n">
        <x:f>B2590</x:f>
        <x:v>0.1416</x:v>
      </x:c>
      <x:c r="E2590" s="1" t="n">
        <x:v>1.05</x:v>
      </x:c>
      <x:c r="F2590" s="1" t="str">
        <x:v>https://api.octopus.energy/v1/products/AGILE-24-10-01/electricity-tariffs/E-1R-AGILE-24-10-01-G/standard-unit-rates/</x:v>
      </x:c>
    </x:row>
    <x:row r="2591" ht="21" customHeight="1">
      <x:c r="A2591" s="24" t="n">
        <x:v>46202.479166666664</x:v>
      </x:c>
      <x:c r="B2591" s="6" t="n">
        <x:v>0.1387</x:v>
      </x:c>
      <x:c r="C2591" s="6" t="n">
        <x:v>0.0897</x:v>
      </x:c>
      <x:c r="D2591" s="6" t="n">
        <x:f>B2591</x:f>
        <x:v>0.1387</x:v>
      </x:c>
      <x:c r="E2591" s="1" t="n">
        <x:v>1.05</x:v>
      </x:c>
      <x:c r="F2591" s="1" t="str">
        <x:v>https://api.octopus.energy/v1/products/AGILE-24-10-01/electricity-tariffs/E-1R-AGILE-24-10-01-G/standard-unit-rates/</x:v>
      </x:c>
    </x:row>
    <x:row r="2592" ht="21" customHeight="1">
      <x:c r="A2592" s="24" t="n">
        <x:v>46202.5</x:v>
      </x:c>
      <x:c r="B2592" s="6" t="n">
        <x:v>0.1388</x:v>
      </x:c>
      <x:c r="C2592" s="6" t="n">
        <x:v>0.0897</x:v>
      </x:c>
      <x:c r="D2592" s="6" t="n">
        <x:f>B2592</x:f>
        <x:v>0.1388</x:v>
      </x:c>
      <x:c r="E2592" s="1" t="n">
        <x:v>1.05</x:v>
      </x:c>
      <x:c r="F2592" s="1" t="str">
        <x:v>https://api.octopus.energy/v1/products/AGILE-24-10-01/electricity-tariffs/E-1R-AGILE-24-10-01-G/standard-unit-rates/</x:v>
      </x:c>
    </x:row>
    <x:row r="2593" ht="21" customHeight="1">
      <x:c r="A2593" s="24" t="n">
        <x:v>46202.520833333336</x:v>
      </x:c>
      <x:c r="B2593" s="6" t="n">
        <x:v>0.1378</x:v>
      </x:c>
      <x:c r="C2593" s="6" t="n">
        <x:v>0.0892</x:v>
      </x:c>
      <x:c r="D2593" s="6" t="n">
        <x:f>B2593</x:f>
        <x:v>0.1378</x:v>
      </x:c>
      <x:c r="E2593" s="1" t="n">
        <x:v>1.05</x:v>
      </x:c>
      <x:c r="F2593" s="1" t="str">
        <x:v>https://api.octopus.energy/v1/products/AGILE-24-10-01/electricity-tariffs/E-1R-AGILE-24-10-01-G/standard-unit-rates/</x:v>
      </x:c>
    </x:row>
    <x:row r="2594" ht="21" customHeight="1">
      <x:c r="A2594" s="24" t="n">
        <x:v>46202.541666666664</x:v>
      </x:c>
      <x:c r="B2594" s="6" t="n">
        <x:v>0.1388</x:v>
      </x:c>
      <x:c r="C2594" s="6" t="n">
        <x:v>0.0897</x:v>
      </x:c>
      <x:c r="D2594" s="6" t="n">
        <x:f>B2594</x:f>
        <x:v>0.1388</x:v>
      </x:c>
      <x:c r="E2594" s="1" t="n">
        <x:v>1.05</x:v>
      </x:c>
      <x:c r="F2594" s="1" t="str">
        <x:v>https://api.octopus.energy/v1/products/AGILE-24-10-01/electricity-tariffs/E-1R-AGILE-24-10-01-G/standard-unit-rates/</x:v>
      </x:c>
    </x:row>
    <x:row r="2595" ht="21" customHeight="1">
      <x:c r="A2595" s="24" t="n">
        <x:v>46202.5625</x:v>
      </x:c>
      <x:c r="B2595" s="6" t="n">
        <x:v>0.1408</x:v>
      </x:c>
      <x:c r="C2595" s="6" t="n">
        <x:v>0.0907</x:v>
      </x:c>
      <x:c r="D2595" s="6" t="n">
        <x:f>B2595</x:f>
        <x:v>0.1408</x:v>
      </x:c>
      <x:c r="E2595" s="1" t="n">
        <x:v>1.05</x:v>
      </x:c>
      <x:c r="F2595" s="1" t="str">
        <x:v>https://api.octopus.energy/v1/products/AGILE-24-10-01/electricity-tariffs/E-1R-AGILE-24-10-01-G/standard-unit-rates/</x:v>
      </x:c>
    </x:row>
    <x:row r="2596" ht="21" customHeight="1">
      <x:c r="A2596" s="24" t="n">
        <x:v>46202.583333333336</x:v>
      </x:c>
      <x:c r="B2596" s="6" t="n">
        <x:v>0.1558</x:v>
      </x:c>
      <x:c r="C2596" s="6" t="n">
        <x:v>0.0975</x:v>
      </x:c>
      <x:c r="D2596" s="6" t="n">
        <x:f>B2596</x:f>
        <x:v>0.1558</x:v>
      </x:c>
      <x:c r="E2596" s="1" t="n">
        <x:v>1.05</x:v>
      </x:c>
      <x:c r="F2596" s="1" t="str">
        <x:v>https://api.octopus.energy/v1/products/AGILE-24-10-01/electricity-tariffs/E-1R-AGILE-24-10-01-G/standard-unit-rates/</x:v>
      </x:c>
    </x:row>
    <x:row r="2597" ht="21" customHeight="1">
      <x:c r="A2597" s="24" t="n">
        <x:v>46202.604166666664</x:v>
      </x:c>
      <x:c r="B2597" s="6" t="n">
        <x:v>0.15810000000000002</x:v>
      </x:c>
      <x:c r="C2597" s="6" t="n">
        <x:v>0.09849999999999999</x:v>
      </x:c>
      <x:c r="D2597" s="6" t="n">
        <x:f>B2597</x:f>
        <x:v>0.15810000000000002</x:v>
      </x:c>
      <x:c r="E2597" s="1" t="n">
        <x:v>1.05</x:v>
      </x:c>
      <x:c r="F2597" s="1" t="str">
        <x:v>https://api.octopus.energy/v1/products/AGILE-24-10-01/electricity-tariffs/E-1R-AGILE-24-10-01-G/standard-unit-rates/</x:v>
      </x:c>
    </x:row>
    <x:row r="2598" ht="21" customHeight="1">
      <x:c r="A2598" s="24" t="n">
        <x:v>46202.625</x:v>
      </x:c>
      <x:c r="B2598" s="6" t="n">
        <x:v>0.1659</x:v>
      </x:c>
      <x:c r="C2598" s="6" t="n">
        <x:v>0.10210000000000001</x:v>
      </x:c>
      <x:c r="D2598" s="6" t="n">
        <x:f>B2598</x:f>
        <x:v>0.1659</x:v>
      </x:c>
      <x:c r="E2598" s="1" t="n">
        <x:v>1.05</x:v>
      </x:c>
      <x:c r="F2598" s="1" t="str">
        <x:v>https://api.octopus.energy/v1/products/AGILE-24-10-01/electricity-tariffs/E-1R-AGILE-24-10-01-G/standard-unit-rates/</x:v>
      </x:c>
    </x:row>
    <x:row r="2599" ht="21" customHeight="1">
      <x:c r="A2599" s="24" t="n">
        <x:v>46202.645833333336</x:v>
      </x:c>
      <x:c r="B2599" s="6" t="n">
        <x:v>0.1663</x:v>
      </x:c>
      <x:c r="C2599" s="6" t="n">
        <x:v>0.1023</x:v>
      </x:c>
      <x:c r="D2599" s="6" t="n">
        <x:f>B2599</x:f>
        <x:v>0.1663</x:v>
      </x:c>
      <x:c r="E2599" s="1" t="n">
        <x:v>1.05</x:v>
      </x:c>
      <x:c r="F2599" s="1" t="str">
        <x:v>https://api.octopus.energy/v1/products/AGILE-24-10-01/electricity-tariffs/E-1R-AGILE-24-10-01-G/standard-unit-rates/</x:v>
      </x:c>
    </x:row>
    <x:row r="2600" ht="21" customHeight="1">
      <x:c r="A2600" s="24" t="n">
        <x:v>46202.666666666664</x:v>
      </x:c>
      <x:c r="B2600" s="6" t="n">
        <x:v>0.3046</x:v>
      </x:c>
      <x:c r="C2600" s="6" t="n">
        <x:v>0.16949999999999998</x:v>
      </x:c>
      <x:c r="D2600" s="6" t="n">
        <x:f>B2600</x:f>
        <x:v>0.3046</x:v>
      </x:c>
      <x:c r="E2600" s="1" t="n">
        <x:v>1.05</x:v>
      </x:c>
      <x:c r="F2600" s="1" t="str">
        <x:v>https://api.octopus.energy/v1/products/AGILE-24-10-01/electricity-tariffs/E-1R-AGILE-24-10-01-G/standard-unit-rates/</x:v>
      </x:c>
    </x:row>
    <x:row r="2601" ht="21" customHeight="1">
      <x:c r="A2601" s="24" t="n">
        <x:v>46202.6875</x:v>
      </x:c>
      <x:c r="B2601" s="6" t="n">
        <x:v>0.292</x:v>
      </x:c>
      <x:c r="C2601" s="6" t="n">
        <x:v>0.1638</x:v>
      </x:c>
      <x:c r="D2601" s="6" t="n">
        <x:f>B2601</x:f>
        <x:v>0.292</x:v>
      </x:c>
      <x:c r="E2601" s="1" t="n">
        <x:v>1.05</x:v>
      </x:c>
      <x:c r="F2601" s="1" t="str">
        <x:v>https://api.octopus.energy/v1/products/AGILE-24-10-01/electricity-tariffs/E-1R-AGILE-24-10-01-G/standard-unit-rates/</x:v>
      </x:c>
    </x:row>
    <x:row r="2602" ht="21" customHeight="1">
      <x:c r="A2602" s="24" t="n">
        <x:v>46202.708333333336</x:v>
      </x:c>
      <x:c r="B2602" s="6" t="n">
        <x:v>0.32939999999999997</x:v>
      </x:c>
      <x:c r="C2602" s="6" t="n">
        <x:v>0.1809</x:v>
      </x:c>
      <x:c r="D2602" s="6" t="n">
        <x:f>B2602</x:f>
        <x:v>0.32939999999999997</x:v>
      </x:c>
      <x:c r="E2602" s="1" t="n">
        <x:v>1.05</x:v>
      </x:c>
      <x:c r="F2602" s="1" t="str">
        <x:v>https://api.octopus.energy/v1/products/AGILE-24-10-01/electricity-tariffs/E-1R-AGILE-24-10-01-G/standard-unit-rates/</x:v>
      </x:c>
    </x:row>
    <x:row r="2603" ht="21" customHeight="1">
      <x:c r="A2603" s="24" t="n">
        <x:v>46202.729166666664</x:v>
      </x:c>
      <x:c r="B2603" s="6" t="n">
        <x:v>0.3396</x:v>
      </x:c>
      <x:c r="C2603" s="6" t="n">
        <x:v>0.1856</x:v>
      </x:c>
      <x:c r="D2603" s="6" t="n">
        <x:f>B2603</x:f>
        <x:v>0.3396</x:v>
      </x:c>
      <x:c r="E2603" s="1" t="n">
        <x:v>1.05</x:v>
      </x:c>
      <x:c r="F2603" s="1" t="str">
        <x:v>https://api.octopus.energy/v1/products/AGILE-24-10-01/electricity-tariffs/E-1R-AGILE-24-10-01-G/standard-unit-rates/</x:v>
      </x:c>
    </x:row>
    <x:row r="2604" ht="21" customHeight="1">
      <x:c r="A2604" s="24" t="n">
        <x:v>46202.75</x:v>
      </x:c>
      <x:c r="B2604" s="6" t="n">
        <x:v>0.42469999999999997</x:v>
      </x:c>
      <x:c r="C2604" s="6" t="n">
        <x:v>0.2245</x:v>
      </x:c>
      <x:c r="D2604" s="6" t="n">
        <x:f>B2604</x:f>
        <x:v>0.42469999999999997</x:v>
      </x:c>
      <x:c r="E2604" s="1" t="n">
        <x:v>1.05</x:v>
      </x:c>
      <x:c r="F2604" s="1" t="str">
        <x:v>https://api.octopus.energy/v1/products/AGILE-24-10-01/electricity-tariffs/E-1R-AGILE-24-10-01-G/standard-unit-rates/</x:v>
      </x:c>
    </x:row>
    <x:row r="2605" ht="21" customHeight="1">
      <x:c r="A2605" s="24" t="n">
        <x:v>46202.770833333336</x:v>
      </x:c>
      <x:c r="B2605" s="6" t="n">
        <x:v>0.4289</x:v>
      </x:c>
      <x:c r="C2605" s="6" t="n">
        <x:v>0.22640000000000002</x:v>
      </x:c>
      <x:c r="D2605" s="6" t="n">
        <x:f>B2605</x:f>
        <x:v>0.4289</x:v>
      </x:c>
      <x:c r="E2605" s="1" t="n">
        <x:v>1.05</x:v>
      </x:c>
      <x:c r="F2605" s="1" t="str">
        <x:v>https://api.octopus.energy/v1/products/AGILE-24-10-01/electricity-tariffs/E-1R-AGILE-24-10-01-G/standard-unit-rates/</x:v>
      </x:c>
    </x:row>
    <x:row r="2606" ht="21" customHeight="1">
      <x:c r="A2606" s="24" t="n">
        <x:v>46202.791666666664</x:v>
      </x:c>
      <x:c r="B2606" s="6" t="n">
        <x:v>0.319</x:v>
      </x:c>
      <x:c r="C2606" s="6" t="n">
        <x:v>0.1721</x:v>
      </x:c>
      <x:c r="D2606" s="6" t="n">
        <x:f>B2606</x:f>
        <x:v>0.319</x:v>
      </x:c>
      <x:c r="E2606" s="1" t="n">
        <x:v>1.05</x:v>
      </x:c>
      <x:c r="F2606" s="1" t="str">
        <x:v>https://api.octopus.energy/v1/products/AGILE-24-10-01/electricity-tariffs/E-1R-AGILE-24-10-01-G/standard-unit-rates/</x:v>
      </x:c>
    </x:row>
    <x:row r="2607" ht="21" customHeight="1">
      <x:c r="A2607" s="24" t="n">
        <x:v>46202.8125</x:v>
      </x:c>
      <x:c r="B2607" s="6" t="n">
        <x:v>0.3236</x:v>
      </x:c>
      <x:c r="C2607" s="6" t="n">
        <x:v>0.17420000000000002</x:v>
      </x:c>
      <x:c r="D2607" s="6" t="n">
        <x:f>B2607</x:f>
        <x:v>0.3236</x:v>
      </x:c>
      <x:c r="E2607" s="1" t="n">
        <x:v>1.05</x:v>
      </x:c>
      <x:c r="F2607" s="1" t="str">
        <x:v>https://api.octopus.energy/v1/products/AGILE-24-10-01/electricity-tariffs/E-1R-AGILE-24-10-01-G/standard-unit-rates/</x:v>
      </x:c>
    </x:row>
    <x:row r="2608" ht="21" customHeight="1">
      <x:c r="A2608" s="24" t="n">
        <x:v>46202.833333333336</x:v>
      </x:c>
      <x:c r="B2608" s="6" t="n">
        <x:v>0.30510000000000004</x:v>
      </x:c>
      <x:c r="C2608" s="6" t="n">
        <x:v>0.16570000000000001</x:v>
      </x:c>
      <x:c r="D2608" s="6" t="n">
        <x:f>B2608</x:f>
        <x:v>0.30510000000000004</x:v>
      </x:c>
      <x:c r="E2608" s="1" t="n">
        <x:v>1.05</x:v>
      </x:c>
      <x:c r="F2608" s="1" t="str">
        <x:v>https://api.octopus.energy/v1/products/AGILE-24-10-01/electricity-tariffs/E-1R-AGILE-24-10-01-G/standard-unit-rates/</x:v>
      </x:c>
    </x:row>
    <x:row r="2609" ht="21" customHeight="1">
      <x:c r="A2609" s="24" t="n">
        <x:v>46202.854166666664</x:v>
      </x:c>
      <x:c r="B2609" s="6" t="n">
        <x:v>0.2983</x:v>
      </x:c>
      <x:c r="C2609" s="6" t="n">
        <x:v>0.16260000000000002</x:v>
      </x:c>
      <x:c r="D2609" s="6" t="n">
        <x:f>B2609</x:f>
        <x:v>0.2983</x:v>
      </x:c>
      <x:c r="E2609" s="1" t="n">
        <x:v>1.05</x:v>
      </x:c>
      <x:c r="F2609" s="1" t="str">
        <x:v>https://api.octopus.energy/v1/products/AGILE-24-10-01/electricity-tariffs/E-1R-AGILE-24-10-01-G/standard-unit-rates/</x:v>
      </x:c>
    </x:row>
    <x:row r="2610" ht="21" customHeight="1">
      <x:c r="A2610" s="24" t="n">
        <x:v>46202.875</x:v>
      </x:c>
      <x:c r="B2610" s="6" t="n">
        <x:v>0.2994</x:v>
      </x:c>
      <x:c r="C2610" s="6" t="n">
        <x:v>0.1632</x:v>
      </x:c>
      <x:c r="D2610" s="6" t="n">
        <x:f>B2610</x:f>
        <x:v>0.2994</x:v>
      </x:c>
      <x:c r="E2610" s="1" t="n">
        <x:v>1.05</x:v>
      </x:c>
      <x:c r="F2610" s="1" t="str">
        <x:v>https://api.octopus.energy/v1/products/AGILE-24-10-01/electricity-tariffs/E-1R-AGILE-24-10-01-G/standard-unit-rates/</x:v>
      </x:c>
    </x:row>
    <x:row r="2611" ht="21" customHeight="1">
      <x:c r="A2611" s="24" t="n">
        <x:v>46202.895833333336</x:v>
      </x:c>
      <x:c r="B2611" s="6" t="n">
        <x:v>0.2784</x:v>
      </x:c>
      <x:c r="C2611" s="6" t="n">
        <x:v>0.1536</x:v>
      </x:c>
      <x:c r="D2611" s="6" t="n">
        <x:f>B2611</x:f>
        <x:v>0.2784</x:v>
      </x:c>
      <x:c r="E2611" s="1" t="n">
        <x:v>1.05</x:v>
      </x:c>
      <x:c r="F2611" s="1" t="str">
        <x:v>https://api.octopus.energy/v1/products/AGILE-24-10-01/electricity-tariffs/E-1R-AGILE-24-10-01-G/standard-unit-rates/</x:v>
      </x:c>
    </x:row>
    <x:row r="2612" ht="21" customHeight="1">
      <x:c r="A2612" s="24" t="n">
        <x:v>46202.916666666664</x:v>
      </x:c>
      <x:c r="B2612" s="6" t="n">
        <x:v>0.2413</x:v>
      </x:c>
      <x:c r="C2612" s="6" t="n">
        <x:v>0.1366</x:v>
      </x:c>
      <x:c r="D2612" s="6" t="n">
        <x:f>B2612</x:f>
        <x:v>0.2413</x:v>
      </x:c>
      <x:c r="E2612" s="1" t="n">
        <x:v>1.05</x:v>
      </x:c>
      <x:c r="F2612" s="1" t="str">
        <x:v>https://api.octopus.energy/v1/products/AGILE-24-10-01/electricity-tariffs/E-1R-AGILE-24-10-01-G/standard-unit-rates/</x:v>
      </x:c>
    </x:row>
    <x:row r="2613" ht="21" customHeight="1">
      <x:c r="A2613" s="24" t="n">
        <x:v>46202.9375</x:v>
      </x:c>
      <x:c r="B2613" s="6" t="n">
        <x:v>0.2217</x:v>
      </x:c>
      <x:c r="C2613" s="6" t="n">
        <x:v>0.1276</x:v>
      </x:c>
      <x:c r="D2613" s="6" t="n">
        <x:f>B2613</x:f>
        <x:v>0.2217</x:v>
      </x:c>
      <x:c r="E2613" s="1" t="n">
        <x:v>1.05</x:v>
      </x:c>
      <x:c r="F2613" s="1" t="str">
        <x:v>https://api.octopus.energy/v1/products/AGILE-24-10-01/electricity-tariffs/E-1R-AGILE-24-10-01-G/standard-unit-rates/</x:v>
      </x:c>
    </x:row>
    <x:row r="2614" ht="21" customHeight="1">
      <x:c r="A2614" s="24" t="n">
        <x:v>46203</x:v>
      </x:c>
      <x:c r="B2614" s="6" t="n">
        <x:v>0.16949999999999998</x:v>
      </x:c>
      <x:c r="C2614" s="6" t="n">
        <x:v>0.1038</x:v>
      </x:c>
      <x:c r="D2614" s="6" t="n">
        <x:f>B2614</x:f>
        <x:v>0.16949999999999998</x:v>
      </x:c>
      <x:c r="E2614" s="1" t="n">
        <x:v>1.05</x:v>
      </x:c>
      <x:c r="F2614" s="1" t="str">
        <x:v>https://api.octopus.energy/v1/products/AGILE-24-10-01/electricity-tariffs/E-1R-AGILE-24-10-01-G/standard-unit-rates/</x:v>
      </x:c>
    </x:row>
    <x:row r="2615" ht="21" customHeight="1">
      <x:c r="A2615" s="24" t="n">
        <x:v>46202.979166666664</x:v>
      </x:c>
      <x:c r="B2615" s="6" t="n">
        <x:v>0.16269999999999998</x:v>
      </x:c>
      <x:c r="C2615" s="6" t="n">
        <x:v>0.1007</x:v>
      </x:c>
      <x:c r="D2615" s="6" t="n">
        <x:f>B2615</x:f>
        <x:v>0.16269999999999998</x:v>
      </x:c>
      <x:c r="E2615" s="1" t="n">
        <x:v>1.05</x:v>
      </x:c>
      <x:c r="F2615" s="1" t="str">
        <x:v>https://api.octopus.energy/v1/products/AGILE-24-10-01/electricity-tariffs/E-1R-AGILE-24-10-01-G/standard-unit-rates/</x:v>
      </x:c>
    </x:row>
    <x:row r="2616" ht="21" customHeight="1">
      <x:c r="A2616" s="24" t="n">
        <x:v>46203</x:v>
      </x:c>
      <x:c r="B2616" s="6" t="n">
        <x:v>0.15560000000000002</x:v>
      </x:c>
      <x:c r="C2616" s="6" t="n">
        <x:v>0.0974</x:v>
      </x:c>
      <x:c r="D2616" s="6" t="n">
        <x:f>B2616</x:f>
        <x:v>0.15560000000000002</x:v>
      </x:c>
      <x:c r="E2616" s="1" t="n">
        <x:v>1.05</x:v>
      </x:c>
      <x:c r="F2616" s="1" t="str">
        <x:v>https://api.octopus.energy/v1/products/AGILE-24-10-01/electricity-tariffs/E-1R-AGILE-24-10-01-G/standard-unit-rates/</x:v>
      </x:c>
    </x:row>
    <x:row r="2617" ht="21" customHeight="1">
      <x:c r="A2617" s="24" t="n">
        <x:v>46203.020833333336</x:v>
      </x:c>
      <x:c r="B2617" s="6" t="n">
        <x:v>0.1666</x:v>
      </x:c>
      <x:c r="C2617" s="6" t="n">
        <x:v>0.1024</x:v>
      </x:c>
      <x:c r="D2617" s="6" t="n">
        <x:f>B2617</x:f>
        <x:v>0.1666</x:v>
      </x:c>
      <x:c r="E2617" s="1" t="n">
        <x:v>1.05</x:v>
      </x:c>
      <x:c r="F2617" s="1" t="str">
        <x:v>https://api.octopus.energy/v1/products/AGILE-24-10-01/electricity-tariffs/E-1R-AGILE-24-10-01-G/standard-unit-rates/</x:v>
      </x:c>
    </x:row>
    <x:row r="2618" ht="21" customHeight="1">
      <x:c r="A2618" s="24" t="n">
        <x:v>46203.041666666664</x:v>
      </x:c>
      <x:c r="B2618" s="6" t="n">
        <x:v>0.1678</x:v>
      </x:c>
      <x:c r="C2618" s="6" t="n">
        <x:v>0.10300000000000001</x:v>
      </x:c>
      <x:c r="D2618" s="6" t="n">
        <x:f>B2618</x:f>
        <x:v>0.1678</x:v>
      </x:c>
      <x:c r="E2618" s="1" t="n">
        <x:v>1.05</x:v>
      </x:c>
      <x:c r="F2618" s="1" t="str">
        <x:v>https://api.octopus.energy/v1/products/AGILE-24-10-01/electricity-tariffs/E-1R-AGILE-24-10-01-G/standard-unit-rates/</x:v>
      </x:c>
    </x:row>
    <x:row r="2619" ht="21" customHeight="1">
      <x:c r="A2619" s="24" t="n">
        <x:v>46203.0625</x:v>
      </x:c>
      <x:c r="B2619" s="6" t="n">
        <x:v>0.1664</x:v>
      </x:c>
      <x:c r="C2619" s="6" t="n">
        <x:v>0.1023</x:v>
      </x:c>
      <x:c r="D2619" s="6" t="n">
        <x:f>B2619</x:f>
        <x:v>0.1664</x:v>
      </x:c>
      <x:c r="E2619" s="1" t="n">
        <x:v>1.05</x:v>
      </x:c>
      <x:c r="F2619" s="1" t="str">
        <x:v>https://api.octopus.energy/v1/products/AGILE-24-10-01/electricity-tariffs/E-1R-AGILE-24-10-01-G/standard-unit-rates/</x:v>
      </x:c>
    </x:row>
    <x:row r="2620" ht="21" customHeight="1">
      <x:c r="A2620" s="24" t="n">
        <x:v>46203.083333333336</x:v>
      </x:c>
      <x:c r="B2620" s="6" t="n">
        <x:v>0.1646</x:v>
      </x:c>
      <x:c r="C2620" s="6" t="n">
        <x:v>0.1015</x:v>
      </x:c>
      <x:c r="D2620" s="6" t="n">
        <x:f>B2620</x:f>
        <x:v>0.1646</x:v>
      </x:c>
      <x:c r="E2620" s="1" t="n">
        <x:v>1.05</x:v>
      </x:c>
      <x:c r="F2620" s="1" t="str">
        <x:v>https://api.octopus.energy/v1/products/AGILE-24-10-01/electricity-tariffs/E-1R-AGILE-24-10-01-G/standard-unit-rates/</x:v>
      </x:c>
    </x:row>
    <x:row r="2621" ht="21" customHeight="1">
      <x:c r="A2621" s="24" t="n">
        <x:v>46203.104166666664</x:v>
      </x:c>
      <x:c r="B2621" s="6" t="n">
        <x:v>0.1562</x:v>
      </x:c>
      <x:c r="C2621" s="6" t="n">
        <x:v>0.0977</x:v>
      </x:c>
      <x:c r="D2621" s="6" t="n">
        <x:f>B2621</x:f>
        <x:v>0.1562</x:v>
      </x:c>
      <x:c r="E2621" s="1" t="n">
        <x:v>1.05</x:v>
      </x:c>
      <x:c r="F2621" s="1" t="str">
        <x:v>https://api.octopus.energy/v1/products/AGILE-24-10-01/electricity-tariffs/E-1R-AGILE-24-10-01-G/standard-unit-rates/</x:v>
      </x:c>
    </x:row>
    <x:row r="2622" ht="21" customHeight="1">
      <x:c r="A2622" s="24" t="n">
        <x:v>46203.125</x:v>
      </x:c>
      <x:c r="B2622" s="6" t="n">
        <x:v>0.15560000000000002</x:v>
      </x:c>
      <x:c r="C2622" s="6" t="n">
        <x:v>0.0974</x:v>
      </x:c>
      <x:c r="D2622" s="6" t="n">
        <x:f>B2622</x:f>
        <x:v>0.15560000000000002</x:v>
      </x:c>
      <x:c r="E2622" s="1" t="n">
        <x:v>1.05</x:v>
      </x:c>
      <x:c r="F2622" s="1" t="str">
        <x:v>https://api.octopus.energy/v1/products/AGILE-24-10-01/electricity-tariffs/E-1R-AGILE-24-10-01-G/standard-unit-rates/</x:v>
      </x:c>
    </x:row>
    <x:row r="2623" ht="21" customHeight="1">
      <x:c r="A2623" s="24" t="n">
        <x:v>46203.145833333336</x:v>
      </x:c>
      <x:c r="B2623" s="6" t="n">
        <x:v>0.15560000000000002</x:v>
      </x:c>
      <x:c r="C2623" s="6" t="n">
        <x:v>0.0974</x:v>
      </x:c>
      <x:c r="D2623" s="6" t="n">
        <x:f>B2623</x:f>
        <x:v>0.15560000000000002</x:v>
      </x:c>
      <x:c r="E2623" s="1" t="n">
        <x:v>1.05</x:v>
      </x:c>
      <x:c r="F2623" s="1" t="str">
        <x:v>https://api.octopus.energy/v1/products/AGILE-24-10-01/electricity-tariffs/E-1R-AGILE-24-10-01-G/standard-unit-rates/</x:v>
      </x:c>
    </x:row>
    <x:row r="2624" ht="21" customHeight="1">
      <x:c r="A2624" s="24" t="n">
        <x:v>46203.166666666664</x:v>
      </x:c>
      <x:c r="B2624" s="6" t="n">
        <x:v>0.1646</x:v>
      </x:c>
      <x:c r="C2624" s="6" t="n">
        <x:v>0.1015</x:v>
      </x:c>
      <x:c r="D2624" s="6" t="n">
        <x:f>B2624</x:f>
        <x:v>0.1646</x:v>
      </x:c>
      <x:c r="E2624" s="1" t="n">
        <x:v>1.05</x:v>
      </x:c>
      <x:c r="F2624" s="1" t="str">
        <x:v>https://api.octopus.energy/v1/products/AGILE-24-10-01/electricity-tariffs/E-1R-AGILE-24-10-01-G/standard-unit-rates/</x:v>
      </x:c>
    </x:row>
    <x:row r="2625" ht="21" customHeight="1">
      <x:c r="A2625" s="24" t="n">
        <x:v>46203.1875</x:v>
      </x:c>
      <x:c r="B2625" s="6" t="n">
        <x:v>0.1635</x:v>
      </x:c>
      <x:c r="C2625" s="6" t="n">
        <x:v>0.10099999999999999</x:v>
      </x:c>
      <x:c r="D2625" s="6" t="n">
        <x:f>B2625</x:f>
        <x:v>0.1635</x:v>
      </x:c>
      <x:c r="E2625" s="1" t="n">
        <x:v>1.05</x:v>
      </x:c>
      <x:c r="F2625" s="1" t="str">
        <x:v>https://api.octopus.energy/v1/products/AGILE-24-10-01/electricity-tariffs/E-1R-AGILE-24-10-01-G/standard-unit-rates/</x:v>
      </x:c>
    </x:row>
    <x:row r="2626" ht="21" customHeight="1">
      <x:c r="A2626" s="24" t="n">
        <x:v>46203.208333333336</x:v>
      </x:c>
      <x:c r="B2626" s="6" t="n">
        <x:v>0.1789</x:v>
      </x:c>
      <x:c r="C2626" s="6" t="n">
        <x:v>0.1081</x:v>
      </x:c>
      <x:c r="D2626" s="6" t="n">
        <x:f>B2626</x:f>
        <x:v>0.1789</x:v>
      </x:c>
      <x:c r="E2626" s="1" t="n">
        <x:v>1.05</x:v>
      </x:c>
      <x:c r="F2626" s="1" t="str">
        <x:v>https://api.octopus.energy/v1/products/AGILE-24-10-01/electricity-tariffs/E-1R-AGILE-24-10-01-G/standard-unit-rates/</x:v>
      </x:c>
    </x:row>
    <x:row r="2627" ht="21" customHeight="1">
      <x:c r="A2627" s="24" t="n">
        <x:v>46203.229166666664</x:v>
      </x:c>
      <x:c r="B2627" s="6" t="n">
        <x:v>0.1743</x:v>
      </x:c>
      <x:c r="C2627" s="6" t="n">
        <x:v>0.1059</x:v>
      </x:c>
      <x:c r="D2627" s="6" t="n">
        <x:f>B2627</x:f>
        <x:v>0.1743</x:v>
      </x:c>
      <x:c r="E2627" s="1" t="n">
        <x:v>1.05</x:v>
      </x:c>
      <x:c r="F2627" s="1" t="str">
        <x:v>https://api.octopus.energy/v1/products/AGILE-24-10-01/electricity-tariffs/E-1R-AGILE-24-10-01-G/standard-unit-rates/</x:v>
      </x:c>
    </x:row>
    <x:row r="2628" ht="21" customHeight="1">
      <x:c r="A2628" s="24" t="n">
        <x:v>46203.25</x:v>
      </x:c>
      <x:c r="B2628" s="6" t="n">
        <x:v>0.1754</x:v>
      </x:c>
      <x:c r="C2628" s="6" t="n">
        <x:v>0.1065</x:v>
      </x:c>
      <x:c r="D2628" s="6" t="n">
        <x:f>B2628</x:f>
        <x:v>0.1754</x:v>
      </x:c>
      <x:c r="E2628" s="1" t="n">
        <x:v>1.05</x:v>
      </x:c>
      <x:c r="F2628" s="1" t="str">
        <x:v>https://api.octopus.energy/v1/products/AGILE-24-10-01/electricity-tariffs/E-1R-AGILE-24-10-01-G/standard-unit-rates/</x:v>
      </x:c>
    </x:row>
    <x:row r="2629" ht="21" customHeight="1">
      <x:c r="A2629" s="24" t="n">
        <x:v>46203.270833333336</x:v>
      </x:c>
      <x:c r="B2629" s="6" t="n">
        <x:v>0.20929999999999999</x:v>
      </x:c>
      <x:c r="C2629" s="6" t="n">
        <x:v>0.1219</x:v>
      </x:c>
      <x:c r="D2629" s="6" t="n">
        <x:f>B2629</x:f>
        <x:v>0.20929999999999999</x:v>
      </x:c>
      <x:c r="E2629" s="1" t="n">
        <x:v>1.05</x:v>
      </x:c>
      <x:c r="F2629" s="1" t="str">
        <x:v>https://api.octopus.energy/v1/products/AGILE-24-10-01/electricity-tariffs/E-1R-AGILE-24-10-01-G/standard-unit-rates/</x:v>
      </x:c>
    </x:row>
    <x:row r="2630" ht="21" customHeight="1">
      <x:c r="A2630" s="24" t="n">
        <x:v>46203.291666666664</x:v>
      </x:c>
      <x:c r="B2630" s="6" t="n">
        <x:v>0.2205</x:v>
      </x:c>
      <x:c r="C2630" s="6" t="n">
        <x:v>0.12710000000000002</x:v>
      </x:c>
      <x:c r="D2630" s="6" t="n">
        <x:f>B2630</x:f>
        <x:v>0.2205</x:v>
      </x:c>
      <x:c r="E2630" s="1" t="n">
        <x:v>1.05</x:v>
      </x:c>
      <x:c r="F2630" s="1" t="str">
        <x:v>https://api.octopus.energy/v1/products/AGILE-24-10-01/electricity-tariffs/E-1R-AGILE-24-10-01-G/standard-unit-rates/</x:v>
      </x:c>
    </x:row>
    <x:row r="2631" ht="21" customHeight="1">
      <x:c r="A2631" s="24" t="n">
        <x:v>46203.3125</x:v>
      </x:c>
      <x:c r="B2631" s="6" t="n">
        <x:v>0.2351</x:v>
      </x:c>
      <x:c r="C2631" s="6" t="n">
        <x:v>0.1338</x:v>
      </x:c>
      <x:c r="D2631" s="6" t="n">
        <x:f>B2631</x:f>
        <x:v>0.2351</x:v>
      </x:c>
      <x:c r="E2631" s="1" t="n">
        <x:v>1.05</x:v>
      </x:c>
      <x:c r="F2631" s="1" t="str">
        <x:v>https://api.octopus.energy/v1/products/AGILE-24-10-01/electricity-tariffs/E-1R-AGILE-24-10-01-G/standard-unit-rates/</x:v>
      </x:c>
    </x:row>
    <x:row r="2632" ht="21" customHeight="1">
      <x:c r="A2632" s="24" t="n">
        <x:v>46203.333333333336</x:v>
      </x:c>
      <x:c r="B2632" s="6" t="n">
        <x:v>0.2022</x:v>
      </x:c>
      <x:c r="C2632" s="6" t="n">
        <x:v>0.11869999999999999</x:v>
      </x:c>
      <x:c r="D2632" s="6" t="n">
        <x:f>B2632</x:f>
        <x:v>0.2022</x:v>
      </x:c>
      <x:c r="E2632" s="1" t="n">
        <x:v>1.05</x:v>
      </x:c>
      <x:c r="F2632" s="1" t="str">
        <x:v>https://api.octopus.energy/v1/products/AGILE-24-10-01/electricity-tariffs/E-1R-AGILE-24-10-01-G/standard-unit-rates/</x:v>
      </x:c>
    </x:row>
    <x:row r="2633" ht="21" customHeight="1">
      <x:c r="A2633" s="24" t="n">
        <x:v>46203.354166666664</x:v>
      </x:c>
      <x:c r="B2633" s="6" t="n">
        <x:v>0.18789999999999998</x:v>
      </x:c>
      <x:c r="C2633" s="6" t="n">
        <x:v>0.11220000000000001</x:v>
      </x:c>
      <x:c r="D2633" s="6" t="n">
        <x:f>B2633</x:f>
        <x:v>0.18789999999999998</x:v>
      </x:c>
      <x:c r="E2633" s="1" t="n">
        <x:v>1.05</x:v>
      </x:c>
      <x:c r="F2633" s="1" t="str">
        <x:v>https://api.octopus.energy/v1/products/AGILE-24-10-01/electricity-tariffs/E-1R-AGILE-24-10-01-G/standard-unit-rates/</x:v>
      </x:c>
    </x:row>
    <x:row r="2634" ht="21" customHeight="1">
      <x:c r="A2634" s="24" t="n">
        <x:v>46203.375</x:v>
      </x:c>
      <x:c r="B2634" s="6" t="n">
        <x:v>0.1745</x:v>
      </x:c>
      <x:c r="C2634" s="6" t="n">
        <x:v>0.106</x:v>
      </x:c>
      <x:c r="D2634" s="6" t="n">
        <x:f>B2634</x:f>
        <x:v>0.1745</x:v>
      </x:c>
      <x:c r="E2634" s="1" t="n">
        <x:v>1.05</x:v>
      </x:c>
      <x:c r="F2634" s="1" t="str">
        <x:v>https://api.octopus.energy/v1/products/AGILE-24-10-01/electricity-tariffs/E-1R-AGILE-24-10-01-G/standard-unit-rates/</x:v>
      </x:c>
    </x:row>
    <x:row r="2635" ht="21" customHeight="1">
      <x:c r="A2635" s="24" t="n">
        <x:v>46203.395833333336</x:v>
      </x:c>
      <x:c r="B2635" s="6" t="n">
        <x:v>0.1765</x:v>
      </x:c>
      <x:c r="C2635" s="6" t="n">
        <x:v>0.107</x:v>
      </x:c>
      <x:c r="D2635" s="6" t="n">
        <x:f>B2635</x:f>
        <x:v>0.1765</x:v>
      </x:c>
      <x:c r="E2635" s="1" t="n">
        <x:v>1.05</x:v>
      </x:c>
      <x:c r="F2635" s="1" t="str">
        <x:v>https://api.octopus.energy/v1/products/AGILE-24-10-01/electricity-tariffs/E-1R-AGILE-24-10-01-G/standard-unit-rates/</x:v>
      </x:c>
    </x:row>
    <x:row r="2636" ht="21" customHeight="1">
      <x:c r="A2636" s="24" t="n">
        <x:v>46203.416666666664</x:v>
      </x:c>
      <x:c r="B2636" s="6" t="n">
        <x:v>0.15810000000000002</x:v>
      </x:c>
      <x:c r="C2636" s="6" t="n">
        <x:v>0.09849999999999999</x:v>
      </x:c>
      <x:c r="D2636" s="6" t="n">
        <x:f>B2636</x:f>
        <x:v>0.15810000000000002</x:v>
      </x:c>
      <x:c r="E2636" s="1" t="n">
        <x:v>1.05</x:v>
      </x:c>
      <x:c r="F2636" s="1" t="str">
        <x:v>https://api.octopus.energy/v1/products/AGILE-24-10-01/electricity-tariffs/E-1R-AGILE-24-10-01-G/standard-unit-rates/</x:v>
      </x:c>
    </x:row>
    <x:row r="2637" ht="21" customHeight="1">
      <x:c r="A2637" s="24" t="n">
        <x:v>46203.4375</x:v>
      </x:c>
      <x:c r="B2637" s="6" t="n">
        <x:v>0.1514</x:v>
      </x:c>
      <x:c r="C2637" s="6" t="n">
        <x:v>0.0955</x:v>
      </x:c>
      <x:c r="D2637" s="6" t="n">
        <x:f>B2637</x:f>
        <x:v>0.1514</x:v>
      </x:c>
      <x:c r="E2637" s="1" t="n">
        <x:v>1.05</x:v>
      </x:c>
      <x:c r="F2637" s="1" t="str">
        <x:v>https://api.octopus.energy/v1/products/AGILE-24-10-01/electricity-tariffs/E-1R-AGILE-24-10-01-G/standard-unit-rates/</x:v>
      </x:c>
    </x:row>
    <x:row r="2638" ht="21" customHeight="1">
      <x:c r="A2638" s="24" t="n">
        <x:v>46203.458333333336</x:v>
      </x:c>
      <x:c r="B2638" s="6" t="n">
        <x:v>0.1463</x:v>
      </x:c>
      <x:c r="C2638" s="6" t="n">
        <x:v>0.0932</x:v>
      </x:c>
      <x:c r="D2638" s="6" t="n">
        <x:f>B2638</x:f>
        <x:v>0.1463</x:v>
      </x:c>
      <x:c r="E2638" s="1" t="n">
        <x:v>1.05</x:v>
      </x:c>
      <x:c r="F2638" s="1" t="str">
        <x:v>https://api.octopus.energy/v1/products/AGILE-24-10-01/electricity-tariffs/E-1R-AGILE-24-10-01-G/standard-unit-rates/</x:v>
      </x:c>
    </x:row>
    <x:row r="2639" ht="21" customHeight="1">
      <x:c r="A2639" s="24" t="n">
        <x:v>46203.479166666664</x:v>
      </x:c>
      <x:c r="B2639" s="6" t="n">
        <x:v>0.14800000000000002</x:v>
      </x:c>
      <x:c r="C2639" s="6" t="n">
        <x:v>0.09390000000000001</x:v>
      </x:c>
      <x:c r="D2639" s="6" t="n">
        <x:f>B2639</x:f>
        <x:v>0.14800000000000002</x:v>
      </x:c>
      <x:c r="E2639" s="1" t="n">
        <x:v>1.05</x:v>
      </x:c>
      <x:c r="F2639" s="1" t="str">
        <x:v>https://api.octopus.energy/v1/products/AGILE-24-10-01/electricity-tariffs/E-1R-AGILE-24-10-01-G/standard-unit-rates/</x:v>
      </x:c>
    </x:row>
    <x:row r="2640" ht="21" customHeight="1">
      <x:c r="A2640" s="24" t="n">
        <x:v>46203.5</x:v>
      </x:c>
      <x:c r="B2640" s="6" t="n">
        <x:v>0.145</x:v>
      </x:c>
      <x:c r="C2640" s="6" t="n">
        <x:v>0.0926</x:v>
      </x:c>
      <x:c r="D2640" s="6" t="n">
        <x:f>B2640</x:f>
        <x:v>0.145</x:v>
      </x:c>
      <x:c r="E2640" s="1" t="n">
        <x:v>1.05</x:v>
      </x:c>
      <x:c r="F2640" s="1" t="str">
        <x:v>https://api.octopus.energy/v1/products/AGILE-24-10-01/electricity-tariffs/E-1R-AGILE-24-10-01-G/standard-unit-rates/</x:v>
      </x:c>
    </x:row>
    <x:row r="2641" ht="21" customHeight="1">
      <x:c r="A2641" s="24" t="n">
        <x:v>46203.520833333336</x:v>
      </x:c>
      <x:c r="B2641" s="6" t="n">
        <x:v>0.1451</x:v>
      </x:c>
      <x:c r="C2641" s="6" t="n">
        <x:v>0.0926</x:v>
      </x:c>
      <x:c r="D2641" s="6" t="n">
        <x:f>B2641</x:f>
        <x:v>0.1451</x:v>
      </x:c>
      <x:c r="E2641" s="1" t="n">
        <x:v>1.05</x:v>
      </x:c>
      <x:c r="F2641" s="1" t="str">
        <x:v>https://api.octopus.energy/v1/products/AGILE-24-10-01/electricity-tariffs/E-1R-AGILE-24-10-01-G/standard-unit-rates/</x:v>
      </x:c>
    </x:row>
    <x:row r="2642" ht="21" customHeight="1">
      <x:c r="A2642" s="24" t="n">
        <x:v>46203.541666666664</x:v>
      </x:c>
      <x:c r="B2642" s="6" t="n">
        <x:v>0.14800000000000002</x:v>
      </x:c>
      <x:c r="C2642" s="6" t="n">
        <x:v>0.09390000000000001</x:v>
      </x:c>
      <x:c r="D2642" s="6" t="n">
        <x:f>B2642</x:f>
        <x:v>0.14800000000000002</x:v>
      </x:c>
      <x:c r="E2642" s="1" t="n">
        <x:v>1.05</x:v>
      </x:c>
      <x:c r="F2642" s="1" t="str">
        <x:v>https://api.octopus.energy/v1/products/AGILE-24-10-01/electricity-tariffs/E-1R-AGILE-24-10-01-G/standard-unit-rates/</x:v>
      </x:c>
    </x:row>
    <x:row r="2643" ht="21" customHeight="1">
      <x:c r="A2643" s="24" t="n">
        <x:v>46203.5625</x:v>
      </x:c>
      <x:c r="B2643" s="6" t="n">
        <x:v>0.14800000000000002</x:v>
      </x:c>
      <x:c r="C2643" s="6" t="n">
        <x:v>0.09390000000000001</x:v>
      </x:c>
      <x:c r="D2643" s="6" t="n">
        <x:f>B2643</x:f>
        <x:v>0.14800000000000002</x:v>
      </x:c>
      <x:c r="E2643" s="1" t="n">
        <x:v>1.05</x:v>
      </x:c>
      <x:c r="F2643" s="1" t="str">
        <x:v>https://api.octopus.energy/v1/products/AGILE-24-10-01/electricity-tariffs/E-1R-AGILE-24-10-01-G/standard-unit-rates/</x:v>
      </x:c>
    </x:row>
    <x:row r="2644" ht="21" customHeight="1">
      <x:c r="A2644" s="24" t="n">
        <x:v>46203.583333333336</x:v>
      </x:c>
      <x:c r="B2644" s="6" t="n">
        <x:v>0.1514</x:v>
      </x:c>
      <x:c r="C2644" s="6" t="n">
        <x:v>0.0955</x:v>
      </x:c>
      <x:c r="D2644" s="6" t="n">
        <x:f>B2644</x:f>
        <x:v>0.1514</x:v>
      </x:c>
      <x:c r="E2644" s="1" t="n">
        <x:v>1.05</x:v>
      </x:c>
      <x:c r="F2644" s="1" t="str">
        <x:v>https://api.octopus.energy/v1/products/AGILE-24-10-01/electricity-tariffs/E-1R-AGILE-24-10-01-G/standard-unit-rates/</x:v>
      </x:c>
    </x:row>
    <x:row r="2645" ht="21" customHeight="1">
      <x:c r="A2645" s="24" t="n">
        <x:v>46203.604166666664</x:v>
      </x:c>
      <x:c r="B2645" s="6" t="n">
        <x:v>0.156</x:v>
      </x:c>
      <x:c r="C2645" s="6" t="n">
        <x:v>0.09759999999999999</x:v>
      </x:c>
      <x:c r="D2645" s="6" t="n">
        <x:f>B2645</x:f>
        <x:v>0.156</x:v>
      </x:c>
      <x:c r="E2645" s="1" t="n">
        <x:v>1.05</x:v>
      </x:c>
      <x:c r="F2645" s="1" t="str">
        <x:v>https://api.octopus.energy/v1/products/AGILE-24-10-01/electricity-tariffs/E-1R-AGILE-24-10-01-G/standard-unit-rates/</x:v>
      </x:c>
    </x:row>
    <x:row r="2646" ht="21" customHeight="1">
      <x:c r="A2646" s="24" t="n">
        <x:v>46203.625</x:v>
      </x:c>
      <x:c r="B2646" s="6" t="n">
        <x:v>0.18239999999999998</x:v>
      </x:c>
      <x:c r="C2646" s="6" t="n">
        <x:v>0.1097</x:v>
      </x:c>
      <x:c r="D2646" s="6" t="n">
        <x:f>B2646</x:f>
        <x:v>0.18239999999999998</x:v>
      </x:c>
      <x:c r="E2646" s="1" t="n">
        <x:v>1.05</x:v>
      </x:c>
      <x:c r="F2646" s="1" t="str">
        <x:v>https://api.octopus.energy/v1/products/AGILE-24-10-01/electricity-tariffs/E-1R-AGILE-24-10-01-G/standard-unit-rates/</x:v>
      </x:c>
    </x:row>
    <x:row r="2647" ht="21" customHeight="1">
      <x:c r="A2647" s="24" t="n">
        <x:v>46203.645833333336</x:v>
      </x:c>
      <x:c r="B2647" s="6" t="n">
        <x:v>0.19640000000000002</x:v>
      </x:c>
      <x:c r="C2647" s="6" t="n">
        <x:v>0.1161</x:v>
      </x:c>
      <x:c r="D2647" s="6" t="n">
        <x:f>B2647</x:f>
        <x:v>0.19640000000000002</x:v>
      </x:c>
      <x:c r="E2647" s="1" t="n">
        <x:v>1.05</x:v>
      </x:c>
      <x:c r="F2647" s="1" t="str">
        <x:v>https://api.octopus.energy/v1/products/AGILE-24-10-01/electricity-tariffs/E-1R-AGILE-24-10-01-G/standard-unit-rates/</x:v>
      </x:c>
    </x:row>
    <x:row r="2648" ht="21" customHeight="1">
      <x:c r="A2648" s="24" t="n">
        <x:v>46203.666666666664</x:v>
      </x:c>
      <x:c r="B2648" s="6" t="n">
        <x:v>0.3422</x:v>
      </x:c>
      <x:c r="C2648" s="6" t="n">
        <x:v>0.1868</x:v>
      </x:c>
      <x:c r="D2648" s="6" t="n">
        <x:f>B2648</x:f>
        <x:v>0.3422</x:v>
      </x:c>
      <x:c r="E2648" s="1" t="n">
        <x:v>1.05</x:v>
      </x:c>
      <x:c r="F2648" s="1" t="str">
        <x:v>https://api.octopus.energy/v1/products/AGILE-24-10-01/electricity-tariffs/E-1R-AGILE-24-10-01-G/standard-unit-rates/</x:v>
      </x:c>
    </x:row>
    <x:row r="2649" ht="21" customHeight="1">
      <x:c r="A2649" s="24" t="n">
        <x:v>46203.6875</x:v>
      </x:c>
      <x:c r="B2649" s="6" t="n">
        <x:v>0.3497</x:v>
      </x:c>
      <x:c r="C2649" s="6" t="n">
        <x:v>0.1902</x:v>
      </x:c>
      <x:c r="D2649" s="6" t="n">
        <x:f>B2649</x:f>
        <x:v>0.3497</x:v>
      </x:c>
      <x:c r="E2649" s="1" t="n">
        <x:v>1.05</x:v>
      </x:c>
      <x:c r="F2649" s="1" t="str">
        <x:v>https://api.octopus.energy/v1/products/AGILE-24-10-01/electricity-tariffs/E-1R-AGILE-24-10-01-G/standard-unit-rates/</x:v>
      </x:c>
    </x:row>
    <x:row r="2650" ht="21" customHeight="1">
      <x:c r="A2650" s="24" t="n">
        <x:v>46203.708333333336</x:v>
      </x:c>
      <x:c r="B2650" s="6" t="n">
        <x:v>0.39049999999999996</x:v>
      </x:c>
      <x:c r="C2650" s="6" t="n">
        <x:v>0.20879999999999999</x:v>
      </x:c>
      <x:c r="D2650" s="6" t="n">
        <x:f>B2650</x:f>
        <x:v>0.39049999999999996</x:v>
      </x:c>
      <x:c r="E2650" s="1" t="n">
        <x:v>1.05</x:v>
      </x:c>
      <x:c r="F2650" s="1" t="str">
        <x:v>https://api.octopus.energy/v1/products/AGILE-24-10-01/electricity-tariffs/E-1R-AGILE-24-10-01-G/standard-unit-rates/</x:v>
      </x:c>
    </x:row>
    <x:row r="2651" ht="21" customHeight="1">
      <x:c r="A2651" s="24" t="n">
        <x:v>46203.729166666664</x:v>
      </x:c>
      <x:c r="B2651" s="6" t="n">
        <x:v>0.4226</x:v>
      </x:c>
      <x:c r="C2651" s="6" t="n">
        <x:v>0.2235</x:v>
      </x:c>
      <x:c r="D2651" s="6" t="n">
        <x:f>B2651</x:f>
        <x:v>0.4226</x:v>
      </x:c>
      <x:c r="E2651" s="1" t="n">
        <x:v>1.05</x:v>
      </x:c>
      <x:c r="F2651" s="1" t="str">
        <x:v>https://api.octopus.energy/v1/products/AGILE-24-10-01/electricity-tariffs/E-1R-AGILE-24-10-01-G/standard-unit-rates/</x:v>
      </x:c>
    </x:row>
    <x:row r="2652" ht="21" customHeight="1">
      <x:c r="A2652" s="24" t="n">
        <x:v>46203.75</x:v>
      </x:c>
      <x:c r="B2652" s="6" t="n">
        <x:v>0.45409999999999995</x:v>
      </x:c>
      <x:c r="C2652" s="6" t="n">
        <x:v>0.2379</x:v>
      </x:c>
      <x:c r="D2652" s="6" t="n">
        <x:f>B2652</x:f>
        <x:v>0.45409999999999995</x:v>
      </x:c>
      <x:c r="E2652" s="1" t="n">
        <x:v>1.05</x:v>
      </x:c>
      <x:c r="F2652" s="1" t="str">
        <x:v>https://api.octopus.energy/v1/products/AGILE-24-10-01/electricity-tariffs/E-1R-AGILE-24-10-01-G/standard-unit-rates/</x:v>
      </x:c>
    </x:row>
    <x:row r="2653" ht="21" customHeight="1">
      <x:c r="A2653" s="24" t="n">
        <x:v>46203.770833333336</x:v>
      </x:c>
      <x:c r="B2653" s="6" t="n">
        <x:v>0.4771</x:v>
      </x:c>
      <x:c r="C2653" s="6" t="n">
        <x:v>0.2484</x:v>
      </x:c>
      <x:c r="D2653" s="6" t="n">
        <x:f>B2653</x:f>
        <x:v>0.4771</x:v>
      </x:c>
      <x:c r="E2653" s="1" t="n">
        <x:v>1.05</x:v>
      </x:c>
      <x:c r="F2653" s="1" t="str">
        <x:v>https://api.octopus.energy/v1/products/AGILE-24-10-01/electricity-tariffs/E-1R-AGILE-24-10-01-G/standard-unit-rates/</x:v>
      </x:c>
    </x:row>
    <x:row r="2654" ht="21" customHeight="1">
      <x:c r="A2654" s="24" t="n">
        <x:v>46203.791666666664</x:v>
      </x:c>
      <x:c r="B2654" s="6" t="n">
        <x:v>0.3446</x:v>
      </x:c>
      <x:c r="C2654" s="6" t="n">
        <x:v>0.1838</x:v>
      </x:c>
      <x:c r="D2654" s="6" t="n">
        <x:f>B2654</x:f>
        <x:v>0.3446</x:v>
      </x:c>
      <x:c r="E2654" s="1" t="n">
        <x:v>1.05</x:v>
      </x:c>
      <x:c r="F2654" s="1" t="str">
        <x:v>https://api.octopus.energy/v1/products/AGILE-24-10-01/electricity-tariffs/E-1R-AGILE-24-10-01-G/standard-unit-rates/</x:v>
      </x:c>
    </x:row>
    <x:row r="2655" ht="21" customHeight="1">
      <x:c r="A2655" s="24" t="n">
        <x:v>46203.8125</x:v>
      </x:c>
      <x:c r="B2655" s="6" t="n">
        <x:v>0.3457</x:v>
      </x:c>
      <x:c r="C2655" s="6" t="n">
        <x:v>0.1843</x:v>
      </x:c>
      <x:c r="D2655" s="6" t="n">
        <x:f>B2655</x:f>
        <x:v>0.3457</x:v>
      </x:c>
      <x:c r="E2655" s="1" t="n">
        <x:v>1.05</x:v>
      </x:c>
      <x:c r="F2655" s="1" t="str">
        <x:v>https://api.octopus.energy/v1/products/AGILE-24-10-01/electricity-tariffs/E-1R-AGILE-24-10-01-G/standard-unit-rates/</x:v>
      </x:c>
    </x:row>
    <x:row r="2656" ht="21" customHeight="1">
      <x:c r="A2656" s="24" t="n">
        <x:v>46203.833333333336</x:v>
      </x:c>
      <x:c r="B2656" s="6" t="n">
        <x:v>0.3468</x:v>
      </x:c>
      <x:c r="C2656" s="6" t="n">
        <x:v>0.1848</x:v>
      </x:c>
      <x:c r="D2656" s="6" t="n">
        <x:f>B2656</x:f>
        <x:v>0.3468</x:v>
      </x:c>
      <x:c r="E2656" s="1" t="n">
        <x:v>1.05</x:v>
      </x:c>
      <x:c r="F2656" s="1" t="str">
        <x:v>https://api.octopus.energy/v1/products/AGILE-24-10-01/electricity-tariffs/E-1R-AGILE-24-10-01-G/standard-unit-rates/</x:v>
      </x:c>
    </x:row>
    <x:row r="2657" ht="21" customHeight="1">
      <x:c r="A2657" s="24" t="n">
        <x:v>46203.854166666664</x:v>
      </x:c>
      <x:c r="B2657" s="6" t="n">
        <x:v>0.3421</x:v>
      </x:c>
      <x:c r="C2657" s="6" t="n">
        <x:v>0.1826</x:v>
      </x:c>
      <x:c r="D2657" s="6" t="n">
        <x:f>B2657</x:f>
        <x:v>0.3421</x:v>
      </x:c>
      <x:c r="E2657" s="1" t="n">
        <x:v>1.05</x:v>
      </x:c>
      <x:c r="F2657" s="1" t="str">
        <x:v>https://api.octopus.energy/v1/products/AGILE-24-10-01/electricity-tariffs/E-1R-AGILE-24-10-01-G/standard-unit-rates/</x:v>
      </x:c>
    </x:row>
    <x:row r="2658" ht="21" customHeight="1">
      <x:c r="A2658" s="24" t="n">
        <x:v>46203.875</x:v>
      </x:c>
      <x:c r="B2658" s="6" t="n">
        <x:v>0.3446</x:v>
      </x:c>
      <x:c r="C2658" s="6" t="n">
        <x:v>0.1838</x:v>
      </x:c>
      <x:c r="D2658" s="6" t="n">
        <x:f>B2658</x:f>
        <x:v>0.3446</x:v>
      </x:c>
      <x:c r="E2658" s="1" t="n">
        <x:v>1.05</x:v>
      </x:c>
      <x:c r="F2658" s="1" t="str">
        <x:v>https://api.octopus.energy/v1/products/AGILE-24-10-01/electricity-tariffs/E-1R-AGILE-24-10-01-G/standard-unit-rates/</x:v>
      </x:c>
    </x:row>
    <x:row r="2659" ht="21" customHeight="1">
      <x:c r="A2659" s="24" t="n">
        <x:v>46203.895833333336</x:v>
      </x:c>
      <x:c r="B2659" s="6" t="n">
        <x:v>0.32799999999999996</x:v>
      </x:c>
      <x:c r="C2659" s="6" t="n">
        <x:v>0.17620000000000002</x:v>
      </x:c>
      <x:c r="D2659" s="6" t="n">
        <x:f>B2659</x:f>
        <x:v>0.32799999999999996</x:v>
      </x:c>
      <x:c r="E2659" s="1" t="n">
        <x:v>1.05</x:v>
      </x:c>
      <x:c r="F2659" s="1" t="str">
        <x:v>https://api.octopus.energy/v1/products/AGILE-24-10-01/electricity-tariffs/E-1R-AGILE-24-10-01-G/standard-unit-rates/</x:v>
      </x:c>
    </x:row>
    <x:row r="2660" ht="21" customHeight="1">
      <x:c r="A2660" s="24" t="n">
        <x:v>46203.916666666664</x:v>
      </x:c>
      <x:c r="B2660" s="6" t="n">
        <x:v>0.2921</x:v>
      </x:c>
      <x:c r="C2660" s="6" t="n">
        <x:v>0.1598</x:v>
      </x:c>
      <x:c r="D2660" s="6" t="n">
        <x:f>B2660</x:f>
        <x:v>0.2921</x:v>
      </x:c>
      <x:c r="E2660" s="1" t="n">
        <x:v>1.05</x:v>
      </x:c>
      <x:c r="F2660" s="1" t="str">
        <x:v>https://api.octopus.energy/v1/products/AGILE-24-10-01/electricity-tariffs/E-1R-AGILE-24-10-01-G/standard-unit-rates/</x:v>
      </x:c>
    </x:row>
    <x:row r="2661" ht="21" customHeight="1">
      <x:c r="A2661" s="24" t="n">
        <x:v>46203.9375</x:v>
      </x:c>
      <x:c r="B2661" s="6" t="n">
        <x:v>0.2699</x:v>
      </x:c>
      <x:c r="C2661" s="6" t="n">
        <x:v>0.1497</x:v>
      </x:c>
      <x:c r="D2661" s="6" t="n">
        <x:f>B2661</x:f>
        <x:v>0.2699</x:v>
      </x:c>
      <x:c r="E2661" s="1" t="n">
        <x:v>1.05</x:v>
      </x:c>
      <x:c r="F2661" s="1" t="str">
        <x:v>https://api.octopus.energy/v1/products/AGILE-24-10-01/electricity-tariffs/E-1R-AGILE-24-10-01-G/standard-unit-rates/</x:v>
      </x:c>
    </x:row>
    <x:row r="2662" ht="21" customHeight="1">
      <x:c r="A2662" s="24" t="n">
        <x:v>46204</x:v>
      </x:c>
      <x:c r="B2662" s="6" t="n">
        <x:v>0.2115</x:v>
      </x:c>
      <x:c r="C2662" s="6" t="n">
        <x:v>0.1229</x:v>
      </x:c>
      <x:c r="D2662" s="6" t="n">
        <x:f>B2662</x:f>
        <x:v>0.2115</x:v>
      </x:c>
      <x:c r="E2662" s="1" t="n">
        <x:v>1.05</x:v>
      </x:c>
      <x:c r="F2662" s="1" t="str">
        <x:v>https://api.octopus.energy/v1/products/AGILE-24-10-01/electricity-tariffs/E-1R-AGILE-24-10-01-G/standard-unit-rates/</x:v>
      </x:c>
    </x:row>
    <x:row r="2663" ht="21" customHeight="1">
      <x:c r="A2663" s="24" t="n">
        <x:v>46203.979166666664</x:v>
      </x:c>
      <x:c r="B2663" s="6" t="n">
        <x:v>0.20829999999999999</x:v>
      </x:c>
      <x:c r="C2663" s="6" t="n">
        <x:v>0.1215</x:v>
      </x:c>
      <x:c r="D2663" s="6" t="n">
        <x:f>B2663</x:f>
        <x:v>0.20829999999999999</x:v>
      </x:c>
      <x:c r="E2663" s="1" t="n">
        <x:v>1.05</x:v>
      </x:c>
      <x:c r="F2663" s="1" t="str">
        <x:v>https://api.octopus.energy/v1/products/AGILE-24-10-01/electricity-tariffs/E-1R-AGILE-24-10-01-G/standard-unit-rates/</x:v>
      </x:c>
    </x:row>
    <x:row r="2664" ht="21" customHeight="1">
      <x:c r="A2664" s="24" t="n">
        <x:v>46204</x:v>
      </x:c>
      <x:c r="B2664" s="6" t="n">
        <x:v>0.2071</x:v>
      </x:c>
      <x:c r="C2664" s="6" t="n">
        <x:v>0.1209</x:v>
      </x:c>
      <x:c r="D2664" s="6" t="n">
        <x:f>B2664</x:f>
        <x:v>0.2071</x:v>
      </x:c>
      <x:c r="E2664" s="1" t="n">
        <x:v>1.05</x:v>
      </x:c>
      <x:c r="F2664" s="1" t="str">
        <x:v>https://api.octopus.energy/v1/products/AGILE-24-10-01/electricity-tariffs/E-1R-AGILE-24-10-01-G/standard-unit-rates/</x:v>
      </x:c>
    </x:row>
    <x:row r="2665" ht="21" customHeight="1">
      <x:c r="A2665" s="24" t="n">
        <x:v>46204.020833333336</x:v>
      </x:c>
      <x:c r="B2665" s="6" t="n">
        <x:v>0.19640000000000002</x:v>
      </x:c>
      <x:c r="C2665" s="6" t="n">
        <x:v>0.1161</x:v>
      </x:c>
      <x:c r="D2665" s="6" t="n">
        <x:f>B2665</x:f>
        <x:v>0.19640000000000002</x:v>
      </x:c>
      <x:c r="E2665" s="1" t="n">
        <x:v>1.05</x:v>
      </x:c>
      <x:c r="F2665" s="1" t="str">
        <x:v>https://api.octopus.energy/v1/products/AGILE-24-10-01/electricity-tariffs/E-1R-AGILE-24-10-01-G/standard-unit-rates/</x:v>
      </x:c>
    </x:row>
    <x:row r="2666" ht="21" customHeight="1">
      <x:c r="A2666" s="24" t="n">
        <x:v>46204.041666666664</x:v>
      </x:c>
      <x:c r="B2666" s="6" t="n">
        <x:v>0.19940000000000002</x:v>
      </x:c>
      <x:c r="C2666" s="6" t="n">
        <x:v>0.1174</x:v>
      </x:c>
      <x:c r="D2666" s="6" t="n">
        <x:f>B2666</x:f>
        <x:v>0.19940000000000002</x:v>
      </x:c>
      <x:c r="E2666" s="1" t="n">
        <x:v>1.05</x:v>
      </x:c>
      <x:c r="F2666" s="1" t="str">
        <x:v>https://api.octopus.energy/v1/products/AGILE-24-10-01/electricity-tariffs/E-1R-AGILE-24-10-01-G/standard-unit-rates/</x:v>
      </x:c>
    </x:row>
    <x:row r="2667" ht="21" customHeight="1">
      <x:c r="A2667" s="24" t="n">
        <x:v>46204.0625</x:v>
      </x:c>
      <x:c r="B2667" s="6" t="n">
        <x:v>0.2025</x:v>
      </x:c>
      <x:c r="C2667" s="6" t="n">
        <x:v>0.1188</x:v>
      </x:c>
      <x:c r="D2667" s="6" t="n">
        <x:f>B2667</x:f>
        <x:v>0.2025</x:v>
      </x:c>
      <x:c r="E2667" s="1" t="n">
        <x:v>1.05</x:v>
      </x:c>
      <x:c r="F2667" s="1" t="str">
        <x:v>https://api.octopus.energy/v1/products/AGILE-24-10-01/electricity-tariffs/E-1R-AGILE-24-10-01-G/standard-unit-rates/</x:v>
      </x:c>
    </x:row>
    <x:row r="2668" ht="21" customHeight="1">
      <x:c r="A2668" s="24" t="n">
        <x:v>46204.083333333336</x:v>
      </x:c>
      <x:c r="B2668" s="6" t="n">
        <x:v>0.2065</x:v>
      </x:c>
      <x:c r="C2668" s="6" t="n">
        <x:v>0.1207</x:v>
      </x:c>
      <x:c r="D2668" s="6" t="n">
        <x:f>B2668</x:f>
        <x:v>0.2065</x:v>
      </x:c>
      <x:c r="E2668" s="1" t="n">
        <x:v>1.05</x:v>
      </x:c>
      <x:c r="F2668" s="1" t="str">
        <x:v>https://api.octopus.energy/v1/products/AGILE-24-10-01/electricity-tariffs/E-1R-AGILE-24-10-01-G/standard-unit-rates/</x:v>
      </x:c>
    </x:row>
    <x:row r="2669" ht="21" customHeight="1">
      <x:c r="A2669" s="24" t="n">
        <x:v>46204.104166666664</x:v>
      </x:c>
      <x:c r="B2669" s="6" t="n">
        <x:v>0.1981</x:v>
      </x:c>
      <x:c r="C2669" s="6" t="n">
        <x:v>0.1168</x:v>
      </x:c>
      <x:c r="D2669" s="6" t="n">
        <x:f>B2669</x:f>
        <x:v>0.1981</x:v>
      </x:c>
      <x:c r="E2669" s="1" t="n">
        <x:v>1.05</x:v>
      </x:c>
      <x:c r="F2669" s="1" t="str">
        <x:v>https://api.octopus.energy/v1/products/AGILE-24-10-01/electricity-tariffs/E-1R-AGILE-24-10-01-G/standard-unit-rates/</x:v>
      </x:c>
    </x:row>
    <x:row r="2670" ht="21" customHeight="1">
      <x:c r="A2670" s="24" t="n">
        <x:v>46204.125</x:v>
      </x:c>
      <x:c r="B2670" s="6" t="n">
        <x:v>0.19390000000000002</x:v>
      </x:c>
      <x:c r="C2670" s="6" t="n">
        <x:v>0.1149</x:v>
      </x:c>
      <x:c r="D2670" s="6" t="n">
        <x:f>B2670</x:f>
        <x:v>0.19390000000000002</x:v>
      </x:c>
      <x:c r="E2670" s="1" t="n">
        <x:v>1.05</x:v>
      </x:c>
      <x:c r="F2670" s="1" t="str">
        <x:v>https://api.octopus.energy/v1/products/AGILE-24-10-01/electricity-tariffs/E-1R-AGILE-24-10-01-G/standard-unit-rates/</x:v>
      </x:c>
    </x:row>
    <x:row r="2671" ht="21" customHeight="1">
      <x:c r="A2671" s="24" t="n">
        <x:v>46204.145833333336</x:v>
      </x:c>
      <x:c r="B2671" s="6" t="n">
        <x:v>0.19399999999999998</x:v>
      </x:c>
      <x:c r="C2671" s="6" t="n">
        <x:v>0.115</x:v>
      </x:c>
      <x:c r="D2671" s="6" t="n">
        <x:f>B2671</x:f>
        <x:v>0.19399999999999998</x:v>
      </x:c>
      <x:c r="E2671" s="1" t="n">
        <x:v>1.05</x:v>
      </x:c>
      <x:c r="F2671" s="1" t="str">
        <x:v>https://api.octopus.energy/v1/products/AGILE-24-10-01/electricity-tariffs/E-1R-AGILE-24-10-01-G/standard-unit-rates/</x:v>
      </x:c>
    </x:row>
    <x:row r="2672" ht="21" customHeight="1">
      <x:c r="A2672" s="24" t="n">
        <x:v>46204.166666666664</x:v>
      </x:c>
      <x:c r="B2672" s="6" t="n">
        <x:v>0.1968</x:v>
      </x:c>
      <x:c r="C2672" s="6" t="n">
        <x:v>0.1162</x:v>
      </x:c>
      <x:c r="D2672" s="6" t="n">
        <x:f>B2672</x:f>
        <x:v>0.1968</x:v>
      </x:c>
      <x:c r="E2672" s="1" t="n">
        <x:v>1.05</x:v>
      </x:c>
      <x:c r="F2672" s="1" t="str">
        <x:v>https://api.octopus.energy/v1/products/AGILE-24-10-01/electricity-tariffs/E-1R-AGILE-24-10-01-G/standard-unit-rates/</x:v>
      </x:c>
    </x:row>
    <x:row r="2673" ht="21" customHeight="1">
      <x:c r="A2673" s="24" t="n">
        <x:v>46204.1875</x:v>
      </x:c>
      <x:c r="B2673" s="6" t="n">
        <x:v>0.1968</x:v>
      </x:c>
      <x:c r="C2673" s="6" t="n">
        <x:v>0.1162</x:v>
      </x:c>
      <x:c r="D2673" s="6" t="n">
        <x:f>B2673</x:f>
        <x:v>0.1968</x:v>
      </x:c>
      <x:c r="E2673" s="1" t="n">
        <x:v>1.05</x:v>
      </x:c>
      <x:c r="F2673" s="1" t="str">
        <x:v>https://api.octopus.energy/v1/products/AGILE-24-10-01/electricity-tariffs/E-1R-AGILE-24-10-01-G/standard-unit-rates/</x:v>
      </x:c>
    </x:row>
    <x:row r="2674" ht="21" customHeight="1">
      <x:c r="A2674" s="24" t="n">
        <x:v>46204.208333333336</x:v>
      </x:c>
      <x:c r="B2674" s="6" t="n">
        <x:v>0.1943</x:v>
      </x:c>
      <x:c r="C2674" s="6" t="n">
        <x:v>0.1151</x:v>
      </x:c>
      <x:c r="D2674" s="6" t="n">
        <x:f>B2674</x:f>
        <x:v>0.1943</x:v>
      </x:c>
      <x:c r="E2674" s="1" t="n">
        <x:v>1.05</x:v>
      </x:c>
      <x:c r="F2674" s="1" t="str">
        <x:v>https://api.octopus.energy/v1/products/AGILE-24-10-01/electricity-tariffs/E-1R-AGILE-24-10-01-G/standard-unit-rates/</x:v>
      </x:c>
    </x:row>
    <x:row r="2675" ht="21" customHeight="1">
      <x:c r="A2675" s="24" t="n">
        <x:v>46204.229166666664</x:v>
      </x:c>
      <x:c r="B2675" s="6" t="n">
        <x:v>0.1928</x:v>
      </x:c>
      <x:c r="C2675" s="6" t="n">
        <x:v>0.1144</x:v>
      </x:c>
      <x:c r="D2675" s="6" t="n">
        <x:f>B2675</x:f>
        <x:v>0.1928</x:v>
      </x:c>
      <x:c r="E2675" s="1" t="n">
        <x:v>1.05</x:v>
      </x:c>
      <x:c r="F2675" s="1" t="str">
        <x:v>https://api.octopus.energy/v1/products/AGILE-24-10-01/electricity-tariffs/E-1R-AGILE-24-10-01-G/standard-unit-rates/</x:v>
      </x:c>
    </x:row>
    <x:row r="2676" ht="21" customHeight="1">
      <x:c r="A2676" s="24" t="n">
        <x:v>46204.25</x:v>
      </x:c>
      <x:c r="B2676" s="6" t="n">
        <x:v>0.2217</x:v>
      </x:c>
      <x:c r="C2676" s="6" t="n">
        <x:v>0.1276</x:v>
      </x:c>
      <x:c r="D2676" s="6" t="n">
        <x:f>B2676</x:f>
        <x:v>0.2217</x:v>
      </x:c>
      <x:c r="E2676" s="1" t="n">
        <x:v>1.05</x:v>
      </x:c>
      <x:c r="F2676" s="1" t="str">
        <x:v>https://api.octopus.energy/v1/products/AGILE-24-10-01/electricity-tariffs/E-1R-AGILE-24-10-01-G/standard-unit-rates/</x:v>
      </x:c>
    </x:row>
    <x:row r="2677" ht="21" customHeight="1">
      <x:c r="A2677" s="24" t="n">
        <x:v>46204.270833333336</x:v>
      </x:c>
      <x:c r="B2677" s="6" t="n">
        <x:v>0.2606</x:v>
      </x:c>
      <x:c r="C2677" s="6" t="n">
        <x:v>0.1454</x:v>
      </x:c>
      <x:c r="D2677" s="6" t="n">
        <x:f>B2677</x:f>
        <x:v>0.2606</x:v>
      </x:c>
      <x:c r="E2677" s="1" t="n">
        <x:v>1.05</x:v>
      </x:c>
      <x:c r="F2677" s="1" t="str">
        <x:v>https://api.octopus.energy/v1/products/AGILE-24-10-01/electricity-tariffs/E-1R-AGILE-24-10-01-G/standard-unit-rates/</x:v>
      </x:c>
    </x:row>
    <x:row r="2678" ht="21" customHeight="1">
      <x:c r="A2678" s="24" t="n">
        <x:v>46204.291666666664</x:v>
      </x:c>
      <x:c r="B2678" s="6" t="n">
        <x:v>0.25420000000000004</x:v>
      </x:c>
      <x:c r="C2678" s="6" t="n">
        <x:v>0.1425</x:v>
      </x:c>
      <x:c r="D2678" s="6" t="n">
        <x:f>B2678</x:f>
        <x:v>0.25420000000000004</x:v>
      </x:c>
      <x:c r="E2678" s="1" t="n">
        <x:v>1.05</x:v>
      </x:c>
      <x:c r="F2678" s="1" t="str">
        <x:v>https://api.octopus.energy/v1/products/AGILE-24-10-01/electricity-tariffs/E-1R-AGILE-24-10-01-G/standard-unit-rates/</x:v>
      </x:c>
    </x:row>
    <x:row r="2679" ht="21" customHeight="1">
      <x:c r="A2679" s="24" t="n">
        <x:v>46204.3125</x:v>
      </x:c>
      <x:c r="B2679" s="6" t="n">
        <x:v>0.2692</x:v>
      </x:c>
      <x:c r="C2679" s="6" t="n">
        <x:v>0.1493</x:v>
      </x:c>
      <x:c r="D2679" s="6" t="n">
        <x:f>B2679</x:f>
        <x:v>0.2692</x:v>
      </x:c>
      <x:c r="E2679" s="1" t="n">
        <x:v>1.05</x:v>
      </x:c>
      <x:c r="F2679" s="1" t="str">
        <x:v>https://api.octopus.energy/v1/products/AGILE-24-10-01/electricity-tariffs/E-1R-AGILE-24-10-01-G/standard-unit-rates/</x:v>
      </x:c>
    </x:row>
    <x:row r="2680" ht="21" customHeight="1">
      <x:c r="A2680" s="24" t="n">
        <x:v>46204.333333333336</x:v>
      </x:c>
      <x:c r="B2680" s="6" t="n">
        <x:v>0.2369</x:v>
      </x:c>
      <x:c r="C2680" s="6" t="n">
        <x:v>0.1346</x:v>
      </x:c>
      <x:c r="D2680" s="6" t="n">
        <x:f>B2680</x:f>
        <x:v>0.2369</x:v>
      </x:c>
      <x:c r="E2680" s="1" t="n">
        <x:v>1.05</x:v>
      </x:c>
      <x:c r="F2680" s="1" t="str">
        <x:v>https://api.octopus.energy/v1/products/AGILE-24-10-01/electricity-tariffs/E-1R-AGILE-24-10-01-G/standard-unit-rates/</x:v>
      </x:c>
    </x:row>
    <x:row r="2681" ht="21" customHeight="1">
      <x:c r="A2681" s="24" t="n">
        <x:v>46204.354166666664</x:v>
      </x:c>
      <x:c r="B2681" s="6" t="n">
        <x:v>0.2202</x:v>
      </x:c>
      <x:c r="C2681" s="6" t="n">
        <x:v>0.12689999999999999</x:v>
      </x:c>
      <x:c r="D2681" s="6" t="n">
        <x:f>B2681</x:f>
        <x:v>0.2202</x:v>
      </x:c>
      <x:c r="E2681" s="1" t="n">
        <x:v>1.05</x:v>
      </x:c>
      <x:c r="F2681" s="1" t="str">
        <x:v>https://api.octopus.energy/v1/products/AGILE-24-10-01/electricity-tariffs/E-1R-AGILE-24-10-01-G/standard-unit-rates/</x:v>
      </x:c>
    </x:row>
    <x:row r="2682" ht="21" customHeight="1">
      <x:c r="A2682" s="24" t="n">
        <x:v>46204.375</x:v>
      </x:c>
      <x:c r="B2682" s="6" t="n">
        <x:v>0.19190000000000002</x:v>
      </x:c>
      <x:c r="C2682" s="6" t="n">
        <x:v>0.114</x:v>
      </x:c>
      <x:c r="D2682" s="6" t="n">
        <x:f>B2682</x:f>
        <x:v>0.19190000000000002</x:v>
      </x:c>
      <x:c r="E2682" s="1" t="n">
        <x:v>1.05</x:v>
      </x:c>
      <x:c r="F2682" s="1" t="str">
        <x:v>https://api.octopus.energy/v1/products/AGILE-24-10-01/electricity-tariffs/E-1R-AGILE-24-10-01-G/standard-unit-rates/</x:v>
      </x:c>
    </x:row>
    <x:row r="2683" ht="21" customHeight="1">
      <x:c r="A2683" s="24" t="n">
        <x:v>46204.395833333336</x:v>
      </x:c>
      <x:c r="B2683" s="6" t="n">
        <x:v>0.1895</x:v>
      </x:c>
      <x:c r="C2683" s="6" t="n">
        <x:v>0.11289999999999999</x:v>
      </x:c>
      <x:c r="D2683" s="6" t="n">
        <x:f>B2683</x:f>
        <x:v>0.1895</x:v>
      </x:c>
      <x:c r="E2683" s="1" t="n">
        <x:v>1.05</x:v>
      </x:c>
      <x:c r="F2683" s="1" t="str">
        <x:v>https://api.octopus.energy/v1/products/AGILE-24-10-01/electricity-tariffs/E-1R-AGILE-24-10-01-G/standard-unit-rates/</x:v>
      </x:c>
    </x:row>
    <x:row r="2684" ht="21" customHeight="1">
      <x:c r="A2684" s="24" t="n">
        <x:v>46204.416666666664</x:v>
      </x:c>
      <x:c r="B2684" s="6" t="n">
        <x:v>0.183</x:v>
      </x:c>
      <x:c r="C2684" s="6" t="n">
        <x:v>0.1099</x:v>
      </x:c>
      <x:c r="D2684" s="6" t="n">
        <x:f>B2684</x:f>
        <x:v>0.183</x:v>
      </x:c>
      <x:c r="E2684" s="1" t="n">
        <x:v>1.05</x:v>
      </x:c>
      <x:c r="F2684" s="1" t="str">
        <x:v>https://api.octopus.energy/v1/products/AGILE-24-10-01/electricity-tariffs/E-1R-AGILE-24-10-01-G/standard-unit-rates/</x:v>
      </x:c>
    </x:row>
    <x:row r="2685" ht="21" customHeight="1">
      <x:c r="A2685" s="24" t="n">
        <x:v>46204.4375</x:v>
      </x:c>
      <x:c r="B2685" s="6" t="n">
        <x:v>0.2039</x:v>
      </x:c>
      <x:c r="C2685" s="6" t="n">
        <x:v>0.1195</x:v>
      </x:c>
      <x:c r="D2685" s="6" t="n">
        <x:f>B2685</x:f>
        <x:v>0.2039</x:v>
      </x:c>
      <x:c r="E2685" s="1" t="n">
        <x:v>1.05</x:v>
      </x:c>
      <x:c r="F2685" s="1" t="str">
        <x:v>https://api.octopus.energy/v1/products/AGILE-24-10-01/electricity-tariffs/E-1R-AGILE-24-10-01-G/standard-unit-rates/</x:v>
      </x:c>
    </x:row>
    <x:row r="2686" ht="21" customHeight="1">
      <x:c r="A2686" s="24" t="n">
        <x:v>46204.458333333336</x:v>
      </x:c>
      <x:c r="B2686" s="6" t="n">
        <x:v>0.21230000000000002</x:v>
      </x:c>
      <x:c r="C2686" s="6" t="n">
        <x:v>0.1233</x:v>
      </x:c>
      <x:c r="D2686" s="6" t="n">
        <x:f>B2686</x:f>
        <x:v>0.21230000000000002</x:v>
      </x:c>
      <x:c r="E2686" s="1" t="n">
        <x:v>1.05</x:v>
      </x:c>
      <x:c r="F2686" s="1" t="str">
        <x:v>https://api.octopus.energy/v1/products/AGILE-24-10-01/electricity-tariffs/E-1R-AGILE-24-10-01-G/standard-unit-rates/</x:v>
      </x:c>
    </x:row>
    <x:row r="2687" ht="21" customHeight="1">
      <x:c r="A2687" s="24" t="n">
        <x:v>46204.479166666664</x:v>
      </x:c>
      <x:c r="B2687" s="6" t="n">
        <x:v>0.20379999999999998</x:v>
      </x:c>
      <x:c r="C2687" s="6" t="n">
        <x:v>0.11939999999999999</x:v>
      </x:c>
      <x:c r="D2687" s="6" t="n">
        <x:f>B2687</x:f>
        <x:v>0.20379999999999998</x:v>
      </x:c>
      <x:c r="E2687" s="1" t="n">
        <x:v>1.05</x:v>
      </x:c>
      <x:c r="F2687" s="1" t="str">
        <x:v>https://api.octopus.energy/v1/products/AGILE-24-10-01/electricity-tariffs/E-1R-AGILE-24-10-01-G/standard-unit-rates/</x:v>
      </x:c>
    </x:row>
    <x:row r="2688" ht="21" customHeight="1">
      <x:c r="A2688" s="24" t="n">
        <x:v>46204.5</x:v>
      </x:c>
      <x:c r="B2688" s="6" t="n">
        <x:v>0.1839</x:v>
      </x:c>
      <x:c r="C2688" s="6" t="n">
        <x:v>0.1103</x:v>
      </x:c>
      <x:c r="D2688" s="6" t="n">
        <x:f>B2688</x:f>
        <x:v>0.1839</x:v>
      </x:c>
      <x:c r="E2688" s="1" t="n">
        <x:v>1.05</x:v>
      </x:c>
      <x:c r="F2688" s="1" t="str">
        <x:v>https://api.octopus.energy/v1/products/AGILE-24-10-01/electricity-tariffs/E-1R-AGILE-24-10-01-G/standard-unit-rates/</x:v>
      </x:c>
    </x:row>
    <x:row r="2689" ht="21" customHeight="1">
      <x:c r="A2689" s="24" t="n">
        <x:v>46204.520833333336</x:v>
      </x:c>
      <x:c r="B2689" s="6" t="n">
        <x:v>0.16649999999999998</x:v>
      </x:c>
      <x:c r="C2689" s="6" t="n">
        <x:v>0.1024</x:v>
      </x:c>
      <x:c r="D2689" s="6" t="n">
        <x:f>B2689</x:f>
        <x:v>0.16649999999999998</x:v>
      </x:c>
      <x:c r="E2689" s="1" t="n">
        <x:v>1.05</x:v>
      </x:c>
      <x:c r="F2689" s="1" t="str">
        <x:v>https://api.octopus.energy/v1/products/AGILE-24-10-01/electricity-tariffs/E-1R-AGILE-24-10-01-G/standard-unit-rates/</x:v>
      </x:c>
    </x:row>
    <x:row r="2690" ht="21" customHeight="1">
      <x:c r="A2690" s="24" t="n">
        <x:v>46204.541666666664</x:v>
      </x:c>
      <x:c r="B2690" s="6" t="n">
        <x:v>0.1547</x:v>
      </x:c>
      <x:c r="C2690" s="6" t="n">
        <x:v>0.09699999999999999</x:v>
      </x:c>
      <x:c r="D2690" s="6" t="n">
        <x:f>B2690</x:f>
        <x:v>0.1547</x:v>
      </x:c>
      <x:c r="E2690" s="1" t="n">
        <x:v>1.05</x:v>
      </x:c>
      <x:c r="F2690" s="1" t="str">
        <x:v>https://api.octopus.energy/v1/products/AGILE-24-10-01/electricity-tariffs/E-1R-AGILE-24-10-01-G/standard-unit-rates/</x:v>
      </x:c>
    </x:row>
    <x:row r="2691" ht="21" customHeight="1">
      <x:c r="A2691" s="24" t="n">
        <x:v>46204.5625</x:v>
      </x:c>
      <x:c r="B2691" s="6" t="n">
        <x:v>0.1523</x:v>
      </x:c>
      <x:c r="C2691" s="6" t="n">
        <x:v>0.0959</x:v>
      </x:c>
      <x:c r="D2691" s="6" t="n">
        <x:f>B2691</x:f>
        <x:v>0.1523</x:v>
      </x:c>
      <x:c r="E2691" s="1" t="n">
        <x:v>1.05</x:v>
      </x:c>
      <x:c r="F2691" s="1" t="str">
        <x:v>https://api.octopus.energy/v1/products/AGILE-24-10-01/electricity-tariffs/E-1R-AGILE-24-10-01-G/standard-unit-rates/</x:v>
      </x:c>
    </x:row>
    <x:row r="2692" ht="21" customHeight="1">
      <x:c r="A2692" s="24" t="n">
        <x:v>46204.583333333336</x:v>
      </x:c>
      <x:c r="B2692" s="6" t="n">
        <x:v>0.1517</x:v>
      </x:c>
      <x:c r="C2692" s="6" t="n">
        <x:v>0.0956</x:v>
      </x:c>
      <x:c r="D2692" s="6" t="n">
        <x:f>B2692</x:f>
        <x:v>0.1517</x:v>
      </x:c>
      <x:c r="E2692" s="1" t="n">
        <x:v>1.05</x:v>
      </x:c>
      <x:c r="F2692" s="1" t="str">
        <x:v>https://api.octopus.energy/v1/products/AGILE-24-10-01/electricity-tariffs/E-1R-AGILE-24-10-01-G/standard-unit-rates/</x:v>
      </x:c>
    </x:row>
    <x:row r="2693" ht="21" customHeight="1">
      <x:c r="A2693" s="24" t="n">
        <x:v>46204.604166666664</x:v>
      </x:c>
      <x:c r="B2693" s="6" t="n">
        <x:v>0.1472</x:v>
      </x:c>
      <x:c r="C2693" s="6" t="n">
        <x:v>0.09359999999999999</x:v>
      </x:c>
      <x:c r="D2693" s="6" t="n">
        <x:f>B2693</x:f>
        <x:v>0.1472</x:v>
      </x:c>
      <x:c r="E2693" s="1" t="n">
        <x:v>1.05</x:v>
      </x:c>
      <x:c r="F2693" s="1" t="str">
        <x:v>https://api.octopus.energy/v1/products/AGILE-24-10-01/electricity-tariffs/E-1R-AGILE-24-10-01-G/standard-unit-rates/</x:v>
      </x:c>
    </x:row>
    <x:row r="2694" ht="21" customHeight="1">
      <x:c r="A2694" s="24" t="n">
        <x:v>46204.625</x:v>
      </x:c>
      <x:c r="B2694" s="6" t="n">
        <x:v>0.1426</x:v>
      </x:c>
      <x:c r="C2694" s="6" t="n">
        <x:v>0.09140000000000001</x:v>
      </x:c>
      <x:c r="D2694" s="6" t="n">
        <x:f>B2694</x:f>
        <x:v>0.1426</x:v>
      </x:c>
      <x:c r="E2694" s="1" t="n">
        <x:v>1.05</x:v>
      </x:c>
      <x:c r="F2694" s="1" t="str">
        <x:v>https://api.octopus.energy/v1/products/AGILE-24-10-01/electricity-tariffs/E-1R-AGILE-24-10-01-G/standard-unit-rates/</x:v>
      </x:c>
    </x:row>
    <x:row r="2695" ht="21" customHeight="1">
      <x:c r="A2695" s="24" t="n">
        <x:v>46204.645833333336</x:v>
      </x:c>
      <x:c r="B2695" s="6" t="n">
        <x:v>0.1426</x:v>
      </x:c>
      <x:c r="C2695" s="6" t="n">
        <x:v>0.0915</x:v>
      </x:c>
      <x:c r="D2695" s="6" t="n">
        <x:f>B2695</x:f>
        <x:v>0.1426</x:v>
      </x:c>
      <x:c r="E2695" s="1" t="n">
        <x:v>1.05</x:v>
      </x:c>
      <x:c r="F2695" s="1" t="str">
        <x:v>https://api.octopus.energy/v1/products/AGILE-24-10-01/electricity-tariffs/E-1R-AGILE-24-10-01-G/standard-unit-rates/</x:v>
      </x:c>
    </x:row>
    <x:row r="2696" ht="21" customHeight="1">
      <x:c r="A2696" s="24" t="n">
        <x:v>46204.666666666664</x:v>
      </x:c>
      <x:c r="B2696" s="6" t="n">
        <x:v>0.2756</x:v>
      </x:c>
      <x:c r="C2696" s="6" t="n">
        <x:v>0.1563</x:v>
      </x:c>
      <x:c r="D2696" s="6" t="n">
        <x:f>B2696</x:f>
        <x:v>0.2756</x:v>
      </x:c>
      <x:c r="E2696" s="1" t="n">
        <x:v>1.05</x:v>
      </x:c>
      <x:c r="F2696" s="1" t="str">
        <x:v>https://api.octopus.energy/v1/products/AGILE-24-10-01/electricity-tariffs/E-1R-AGILE-24-10-01-G/standard-unit-rates/</x:v>
      </x:c>
    </x:row>
    <x:row r="2697" ht="21" customHeight="1">
      <x:c r="A2697" s="24" t="n">
        <x:v>46204.6875</x:v>
      </x:c>
      <x:c r="B2697" s="6" t="n">
        <x:v>0.2731</x:v>
      </x:c>
      <x:c r="C2697" s="6" t="n">
        <x:v>0.1552</x:v>
      </x:c>
      <x:c r="D2697" s="6" t="n">
        <x:f>B2697</x:f>
        <x:v>0.2731</x:v>
      </x:c>
      <x:c r="E2697" s="1" t="n">
        <x:v>1.05</x:v>
      </x:c>
      <x:c r="F2697" s="1" t="str">
        <x:v>https://api.octopus.energy/v1/products/AGILE-24-10-01/electricity-tariffs/E-1R-AGILE-24-10-01-G/standard-unit-rates/</x:v>
      </x:c>
    </x:row>
    <x:row r="2698" ht="21" customHeight="1">
      <x:c r="A2698" s="24" t="n">
        <x:v>46204.708333333336</x:v>
      </x:c>
      <x:c r="B2698" s="6" t="n">
        <x:v>0.3041</x:v>
      </x:c>
      <x:c r="C2698" s="6" t="n">
        <x:v>0.1693</x:v>
      </x:c>
      <x:c r="D2698" s="6" t="n">
        <x:f>B2698</x:f>
        <x:v>0.3041</x:v>
      </x:c>
      <x:c r="E2698" s="1" t="n">
        <x:v>1.05</x:v>
      </x:c>
      <x:c r="F2698" s="1" t="str">
        <x:v>https://api.octopus.energy/v1/products/AGILE-24-10-01/electricity-tariffs/E-1R-AGILE-24-10-01-G/standard-unit-rates/</x:v>
      </x:c>
    </x:row>
    <x:row r="2699" ht="21" customHeight="1">
      <x:c r="A2699" s="24" t="n">
        <x:v>46204.729166666664</x:v>
      </x:c>
      <x:c r="B2699" s="6" t="n">
        <x:v>0.3157</x:v>
      </x:c>
      <x:c r="C2699" s="6" t="n">
        <x:v>0.1746</x:v>
      </x:c>
      <x:c r="D2699" s="6" t="n">
        <x:f>B2699</x:f>
        <x:v>0.3157</x:v>
      </x:c>
      <x:c r="E2699" s="1" t="n">
        <x:v>1.05</x:v>
      </x:c>
      <x:c r="F2699" s="1" t="str">
        <x:v>https://api.octopus.energy/v1/products/AGILE-24-10-01/electricity-tariffs/E-1R-AGILE-24-10-01-G/standard-unit-rates/</x:v>
      </x:c>
    </x:row>
    <x:row r="2700" ht="21" customHeight="1">
      <x:c r="A2700" s="24" t="n">
        <x:v>46204.75</x:v>
      </x:c>
      <x:c r="B2700" s="6" t="n">
        <x:v>0.3172</x:v>
      </x:c>
      <x:c r="C2700" s="6" t="n">
        <x:v>0.1753</x:v>
      </x:c>
      <x:c r="D2700" s="6" t="n">
        <x:f>B2700</x:f>
        <x:v>0.3172</x:v>
      </x:c>
      <x:c r="E2700" s="1" t="n">
        <x:v>1.05</x:v>
      </x:c>
      <x:c r="F2700" s="1" t="str">
        <x:v>https://api.octopus.energy/v1/products/AGILE-24-10-01/electricity-tariffs/E-1R-AGILE-24-10-01-G/standard-unit-rates/</x:v>
      </x:c>
    </x:row>
    <x:row r="2701" ht="21" customHeight="1">
      <x:c r="A2701" s="24" t="n">
        <x:v>46204.770833333336</x:v>
      </x:c>
      <x:c r="B2701" s="6" t="n">
        <x:v>0.31489999999999996</x:v>
      </x:c>
      <x:c r="C2701" s="6" t="n">
        <x:v>0.1743</x:v>
      </x:c>
      <x:c r="D2701" s="6" t="n">
        <x:f>B2701</x:f>
        <x:v>0.31489999999999996</x:v>
      </x:c>
      <x:c r="E2701" s="1" t="n">
        <x:v>1.05</x:v>
      </x:c>
      <x:c r="F2701" s="1" t="str">
        <x:v>https://api.octopus.energy/v1/products/AGILE-24-10-01/electricity-tariffs/E-1R-AGILE-24-10-01-G/standard-unit-rates/</x:v>
      </x:c>
    </x:row>
    <x:row r="2702" ht="21" customHeight="1">
      <x:c r="A2702" s="24" t="n">
        <x:v>46204.791666666664</x:v>
      </x:c>
      <x:c r="B2702" s="6" t="n">
        <x:v>0.2182</x:v>
      </x:c>
      <x:c r="C2702" s="6" t="n">
        <x:v>0.126</x:v>
      </x:c>
      <x:c r="D2702" s="6" t="n">
        <x:f>B2702</x:f>
        <x:v>0.2182</x:v>
      </x:c>
      <x:c r="E2702" s="1" t="n">
        <x:v>1.05</x:v>
      </x:c>
      <x:c r="F2702" s="1" t="str">
        <x:v>https://api.octopus.energy/v1/products/AGILE-24-10-01/electricity-tariffs/E-1R-AGILE-24-10-01-G/standard-unit-rates/</x:v>
      </x:c>
    </x:row>
    <x:row r="2703" ht="21" customHeight="1">
      <x:c r="A2703" s="24" t="n">
        <x:v>46204.8125</x:v>
      </x:c>
      <x:c r="B2703" s="6" t="n">
        <x:v>0.2186</x:v>
      </x:c>
      <x:c r="C2703" s="6" t="n">
        <x:v>0.12619999999999998</x:v>
      </x:c>
      <x:c r="D2703" s="6" t="n">
        <x:f>B2703</x:f>
        <x:v>0.2186</x:v>
      </x:c>
      <x:c r="E2703" s="1" t="n">
        <x:v>1.05</x:v>
      </x:c>
      <x:c r="F2703" s="1" t="str">
        <x:v>https://api.octopus.energy/v1/products/AGILE-24-10-01/electricity-tariffs/E-1R-AGILE-24-10-01-G/standard-unit-rates/</x:v>
      </x:c>
    </x:row>
    <x:row r="2704" ht="21" customHeight="1">
      <x:c r="A2704" s="24" t="n">
        <x:v>46204.833333333336</x:v>
      </x:c>
      <x:c r="B2704" s="6" t="n">
        <x:v>0.20679999999999998</x:v>
      </x:c>
      <x:c r="C2704" s="6" t="n">
        <x:v>0.1208</x:v>
      </x:c>
      <x:c r="D2704" s="6" t="n">
        <x:f>B2704</x:f>
        <x:v>0.20679999999999998</x:v>
      </x:c>
      <x:c r="E2704" s="1" t="n">
        <x:v>1.05</x:v>
      </x:c>
      <x:c r="F2704" s="1" t="str">
        <x:v>https://api.octopus.energy/v1/products/AGILE-24-10-01/electricity-tariffs/E-1R-AGILE-24-10-01-G/standard-unit-rates/</x:v>
      </x:c>
    </x:row>
    <x:row r="2705" ht="21" customHeight="1">
      <x:c r="A2705" s="24" t="n">
        <x:v>46204.854166666664</x:v>
      </x:c>
      <x:c r="B2705" s="6" t="n">
        <x:v>0.1934</x:v>
      </x:c>
      <x:c r="C2705" s="6" t="n">
        <x:v>0.11470000000000001</x:v>
      </x:c>
      <x:c r="D2705" s="6" t="n">
        <x:f>B2705</x:f>
        <x:v>0.1934</x:v>
      </x:c>
      <x:c r="E2705" s="1" t="n">
        <x:v>1.05</x:v>
      </x:c>
      <x:c r="F2705" s="1" t="str">
        <x:v>https://api.octopus.energy/v1/products/AGILE-24-10-01/electricity-tariffs/E-1R-AGILE-24-10-01-G/standard-unit-rates/</x:v>
      </x:c>
    </x:row>
    <x:row r="2706" ht="21" customHeight="1">
      <x:c r="A2706" s="24" t="n">
        <x:v>46204.875</x:v>
      </x:c>
      <x:c r="B2706" s="6" t="n">
        <x:v>0.20579999999999998</x:v>
      </x:c>
      <x:c r="C2706" s="6" t="n">
        <x:v>0.1204</x:v>
      </x:c>
      <x:c r="D2706" s="6" t="n">
        <x:f>B2706</x:f>
        <x:v>0.20579999999999998</x:v>
      </x:c>
      <x:c r="E2706" s="1" t="n">
        <x:v>1.05</x:v>
      </x:c>
      <x:c r="F2706" s="1" t="str">
        <x:v>https://api.octopus.energy/v1/products/AGILE-24-10-01/electricity-tariffs/E-1R-AGILE-24-10-01-G/standard-unit-rates/</x:v>
      </x:c>
    </x:row>
    <x:row r="2707" ht="21" customHeight="1">
      <x:c r="A2707" s="24" t="n">
        <x:v>46204.895833333336</x:v>
      </x:c>
      <x:c r="B2707" s="6" t="n">
        <x:v>0.17300000000000001</x:v>
      </x:c>
      <x:c r="C2707" s="6" t="n">
        <x:v>0.1054</x:v>
      </x:c>
      <x:c r="D2707" s="6" t="n">
        <x:f>B2707</x:f>
        <x:v>0.17300000000000001</x:v>
      </x:c>
      <x:c r="E2707" s="1" t="n">
        <x:v>1.05</x:v>
      </x:c>
      <x:c r="F2707" s="1" t="str">
        <x:v>https://api.octopus.energy/v1/products/AGILE-24-10-01/electricity-tariffs/E-1R-AGILE-24-10-01-G/standard-unit-rates/</x:v>
      </x:c>
    </x:row>
    <x:row r="2708" ht="21" customHeight="1">
      <x:c r="A2708" s="24" t="n">
        <x:v>46204.916666666664</x:v>
      </x:c>
      <x:c r="B2708" s="6" t="n">
        <x:v>0.1684</x:v>
      </x:c>
      <x:c r="C2708" s="6" t="n">
        <x:v>0.1033</x:v>
      </x:c>
      <x:c r="D2708" s="6" t="n">
        <x:f>B2708</x:f>
        <x:v>0.1684</x:v>
      </x:c>
      <x:c r="E2708" s="1" t="n">
        <x:v>1.05</x:v>
      </x:c>
      <x:c r="F2708" s="1" t="str">
        <x:v>https://api.octopus.energy/v1/products/AGILE-24-10-01/electricity-tariffs/E-1R-AGILE-24-10-01-G/standard-unit-rates/</x:v>
      </x:c>
    </x:row>
    <x:row r="2709" ht="21" customHeight="1">
      <x:c r="A2709" s="24" t="n">
        <x:v>46204.9375</x:v>
      </x:c>
      <x:c r="B2709" s="6" t="n">
        <x:v>0.16399999999999998</x:v>
      </x:c>
      <x:c r="C2709" s="6" t="n">
        <x:v>0.1012</x:v>
      </x:c>
      <x:c r="D2709" s="6" t="n">
        <x:f>B2709</x:f>
        <x:v>0.16399999999999998</x:v>
      </x:c>
      <x:c r="E2709" s="1" t="n">
        <x:v>1.05</x:v>
      </x:c>
      <x:c r="F2709" s="1" t="str">
        <x:v>https://api.octopus.energy/v1/products/AGILE-24-10-01/electricity-tariffs/E-1R-AGILE-24-10-01-G/standard-unit-rates/</x:v>
      </x:c>
    </x:row>
    <x:row r="2710" ht="21" customHeight="1">
      <x:c r="A2710" s="24" t="n">
        <x:v>46205</x:v>
      </x:c>
      <x:c r="B2710" s="6" t="n">
        <x:v>0.14859999999999998</x:v>
      </x:c>
      <x:c r="C2710" s="6" t="n">
        <x:v>0.0942</x:v>
      </x:c>
      <x:c r="D2710" s="6" t="n">
        <x:f>B2710</x:f>
        <x:v>0.14859999999999998</x:v>
      </x:c>
      <x:c r="E2710" s="1" t="n">
        <x:v>1.05</x:v>
      </x:c>
      <x:c r="F2710" s="1" t="str">
        <x:v>https://api.octopus.energy/v1/products/AGILE-24-10-01/electricity-tariffs/E-1R-AGILE-24-10-01-G/standard-unit-rates/</x:v>
      </x:c>
    </x:row>
    <x:row r="2711" ht="21" customHeight="1">
      <x:c r="A2711" s="24" t="n">
        <x:v>46204.979166666664</x:v>
      </x:c>
      <x:c r="B2711" s="6" t="n">
        <x:v>0.12359999999999999</x:v>
      </x:c>
      <x:c r="C2711" s="6" t="n">
        <x:v>0.0828</x:v>
      </x:c>
      <x:c r="D2711" s="6" t="n">
        <x:f>B2711</x:f>
        <x:v>0.12359999999999999</x:v>
      </x:c>
      <x:c r="E2711" s="1" t="n">
        <x:v>1.05</x:v>
      </x:c>
      <x:c r="F2711" s="1" t="str">
        <x:v>https://api.octopus.energy/v1/products/AGILE-24-10-01/electricity-tariffs/E-1R-AGILE-24-10-01-G/standard-unit-rates/</x:v>
      </x:c>
    </x:row>
    <x:row r="2712" ht="21" customHeight="1">
      <x:c r="A2712" s="24" t="n">
        <x:v>46205</x:v>
      </x:c>
      <x:c r="B2712" s="6" t="n">
        <x:v>0.1277</x:v>
      </x:c>
      <x:c r="C2712" s="6" t="n">
        <x:v>0.08470000000000001</x:v>
      </x:c>
      <x:c r="D2712" s="6" t="n">
        <x:f>B2712</x:f>
        <x:v>0.1277</x:v>
      </x:c>
      <x:c r="E2712" s="1" t="n">
        <x:v>1.05</x:v>
      </x:c>
      <x:c r="F2712" s="1" t="str">
        <x:v>https://api.octopus.energy/v1/products/AGILE-24-10-01/electricity-tariffs/E-1R-AGILE-24-10-01-G/standard-unit-rates/</x:v>
      </x:c>
    </x:row>
    <x:row r="2713" ht="21" customHeight="1">
      <x:c r="A2713" s="24" t="n">
        <x:v>46205.020833333336</x:v>
      </x:c>
      <x:c r="B2713" s="6" t="n">
        <x:v>0.10890000000000001</x:v>
      </x:c>
      <x:c r="C2713" s="6" t="n">
        <x:v>0.076</x:v>
      </x:c>
      <x:c r="D2713" s="6" t="n">
        <x:f>B2713</x:f>
        <x:v>0.10890000000000001</x:v>
      </x:c>
      <x:c r="E2713" s="1" t="n">
        <x:v>1.05</x:v>
      </x:c>
      <x:c r="F2713" s="1" t="str">
        <x:v>https://api.octopus.energy/v1/products/AGILE-24-10-01/electricity-tariffs/E-1R-AGILE-24-10-01-G/standard-unit-rates/</x:v>
      </x:c>
    </x:row>
    <x:row r="2714" ht="21" customHeight="1">
      <x:c r="A2714" s="24" t="n">
        <x:v>46205.041666666664</x:v>
      </x:c>
      <x:c r="B2714" s="6" t="n">
        <x:v>0.0958</x:v>
      </x:c>
      <x:c r="C2714" s="6" t="n">
        <x:v>0.07</x:v>
      </x:c>
      <x:c r="D2714" s="6" t="n">
        <x:f>B2714</x:f>
        <x:v>0.0958</x:v>
      </x:c>
      <x:c r="E2714" s="1" t="n">
        <x:v>1.05</x:v>
      </x:c>
      <x:c r="F2714" s="1" t="str">
        <x:v>https://api.octopus.energy/v1/products/AGILE-24-10-01/electricity-tariffs/E-1R-AGILE-24-10-01-G/standard-unit-rates/</x:v>
      </x:c>
    </x:row>
    <x:row r="2715" ht="21" customHeight="1">
      <x:c r="A2715" s="24" t="n">
        <x:v>46205.0625</x:v>
      </x:c>
      <x:c r="B2715" s="6" t="n">
        <x:v>0.08</x:v>
      </x:c>
      <x:c r="C2715" s="6" t="n">
        <x:v>0.06280000000000001</x:v>
      </x:c>
      <x:c r="D2715" s="6" t="n">
        <x:f>B2715</x:f>
        <x:v>0.08</x:v>
      </x:c>
      <x:c r="E2715" s="1" t="n">
        <x:v>1.05</x:v>
      </x:c>
      <x:c r="F2715" s="1" t="str">
        <x:v>https://api.octopus.energy/v1/products/AGILE-24-10-01/electricity-tariffs/E-1R-AGILE-24-10-01-G/standard-unit-rates/</x:v>
      </x:c>
    </x:row>
    <x:row r="2716" ht="21" customHeight="1">
      <x:c r="A2716" s="24" t="n">
        <x:v>46205.083333333336</x:v>
      </x:c>
      <x:c r="B2716" s="6" t="n">
        <x:v>0.0795</x:v>
      </x:c>
      <x:c r="C2716" s="6" t="n">
        <x:v>0.0626</x:v>
      </x:c>
      <x:c r="D2716" s="6" t="n">
        <x:f>B2716</x:f>
        <x:v>0.0795</x:v>
      </x:c>
      <x:c r="E2716" s="1" t="n">
        <x:v>1.05</x:v>
      </x:c>
      <x:c r="F2716" s="1" t="str">
        <x:v>https://api.octopus.energy/v1/products/AGILE-24-10-01/electricity-tariffs/E-1R-AGILE-24-10-01-G/standard-unit-rates/</x:v>
      </x:c>
    </x:row>
    <x:row r="2717" ht="21" customHeight="1">
      <x:c r="A2717" s="24" t="n">
        <x:v>46205.104166666664</x:v>
      </x:c>
      <x:c r="B2717" s="6" t="n">
        <x:v>0.057699999999999994</x:v>
      </x:c>
      <x:c r="C2717" s="6" t="n">
        <x:v>0.0527</x:v>
      </x:c>
      <x:c r="D2717" s="6" t="n">
        <x:f>B2717</x:f>
        <x:v>0.057699999999999994</x:v>
      </x:c>
      <x:c r="E2717" s="1" t="n">
        <x:v>1.05</x:v>
      </x:c>
      <x:c r="F2717" s="1" t="str">
        <x:v>https://api.octopus.energy/v1/products/AGILE-24-10-01/electricity-tariffs/E-1R-AGILE-24-10-01-G/standard-unit-rates/</x:v>
      </x:c>
    </x:row>
    <x:row r="2718" ht="21" customHeight="1">
      <x:c r="A2718" s="24" t="n">
        <x:v>46205.125</x:v>
      </x:c>
      <x:c r="B2718" s="6" t="n">
        <x:v>0.0506</x:v>
      </x:c>
      <x:c r="C2718" s="6" t="n">
        <x:v>0.049400000000000006</x:v>
      </x:c>
      <x:c r="D2718" s="6" t="n">
        <x:f>B2718</x:f>
        <x:v>0.0506</x:v>
      </x:c>
      <x:c r="E2718" s="1" t="n">
        <x:v>1.05</x:v>
      </x:c>
      <x:c r="F2718" s="1" t="str">
        <x:v>https://api.octopus.energy/v1/products/AGILE-24-10-01/electricity-tariffs/E-1R-AGILE-24-10-01-G/standard-unit-rates/</x:v>
      </x:c>
    </x:row>
    <x:row r="2719" ht="21" customHeight="1">
      <x:c r="A2719" s="24" t="n">
        <x:v>46205.145833333336</x:v>
      </x:c>
      <x:c r="B2719" s="6" t="n">
        <x:v>0.054400000000000004</x:v>
      </x:c>
      <x:c r="C2719" s="6" t="n">
        <x:v>0.051100000000000007</x:v>
      </x:c>
      <x:c r="D2719" s="6" t="n">
        <x:f>B2719</x:f>
        <x:v>0.054400000000000004</x:v>
      </x:c>
      <x:c r="E2719" s="1" t="n">
        <x:v>1.05</x:v>
      </x:c>
      <x:c r="F2719" s="1" t="str">
        <x:v>https://api.octopus.energy/v1/products/AGILE-24-10-01/electricity-tariffs/E-1R-AGILE-24-10-01-G/standard-unit-rates/</x:v>
      </x:c>
    </x:row>
    <x:row r="2720" ht="21" customHeight="1">
      <x:c r="A2720" s="24" t="n">
        <x:v>46205.166666666664</x:v>
      </x:c>
      <x:c r="B2720" s="6" t="n">
        <x:v>0.071</x:v>
      </x:c>
      <x:c r="C2720" s="6" t="n">
        <x:v>0.0587</x:v>
      </x:c>
      <x:c r="D2720" s="6" t="n">
        <x:f>B2720</x:f>
        <x:v>0.071</x:v>
      </x:c>
      <x:c r="E2720" s="1" t="n">
        <x:v>1.05</x:v>
      </x:c>
      <x:c r="F2720" s="1" t="str">
        <x:v>https://api.octopus.energy/v1/products/AGILE-24-10-01/electricity-tariffs/E-1R-AGILE-24-10-01-G/standard-unit-rates/</x:v>
      </x:c>
    </x:row>
    <x:row r="2721" ht="21" customHeight="1">
      <x:c r="A2721" s="24" t="n">
        <x:v>46205.1875</x:v>
      </x:c>
      <x:c r="B2721" s="6" t="n">
        <x:v>0.0646</x:v>
      </x:c>
      <x:c r="C2721" s="6" t="n">
        <x:v>0.0558</x:v>
      </x:c>
      <x:c r="D2721" s="6" t="n">
        <x:f>B2721</x:f>
        <x:v>0.0646</x:v>
      </x:c>
      <x:c r="E2721" s="1" t="n">
        <x:v>1.05</x:v>
      </x:c>
      <x:c r="F2721" s="1" t="str">
        <x:v>https://api.octopus.energy/v1/products/AGILE-24-10-01/electricity-tariffs/E-1R-AGILE-24-10-01-G/standard-unit-rates/</x:v>
      </x:c>
    </x:row>
    <x:row r="2722" ht="21" customHeight="1">
      <x:c r="A2722" s="24" t="n">
        <x:v>46205.208333333336</x:v>
      </x:c>
      <x:c r="B2722" s="6" t="n">
        <x:v>0.0757</x:v>
      </x:c>
      <x:c r="C2722" s="6" t="n">
        <x:v>0.060899999999999996</x:v>
      </x:c>
      <x:c r="D2722" s="6" t="n">
        <x:f>B2722</x:f>
        <x:v>0.0757</x:v>
      </x:c>
      <x:c r="E2722" s="1" t="n">
        <x:v>1.05</x:v>
      </x:c>
      <x:c r="F2722" s="1" t="str">
        <x:v>https://api.octopus.energy/v1/products/AGILE-24-10-01/electricity-tariffs/E-1R-AGILE-24-10-01-G/standard-unit-rates/</x:v>
      </x:c>
    </x:row>
    <x:row r="2723" ht="21" customHeight="1">
      <x:c r="A2723" s="24" t="n">
        <x:v>46205.229166666664</x:v>
      </x:c>
      <x:c r="B2723" s="6" t="n">
        <x:v>0.0716</x:v>
      </x:c>
      <x:c r="C2723" s="6" t="n">
        <x:v>0.059000000000000004</x:v>
      </x:c>
      <x:c r="D2723" s="6" t="n">
        <x:f>B2723</x:f>
        <x:v>0.0716</x:v>
      </x:c>
      <x:c r="E2723" s="1" t="n">
        <x:v>1.05</x:v>
      </x:c>
      <x:c r="F2723" s="1" t="str">
        <x:v>https://api.octopus.energy/v1/products/AGILE-24-10-01/electricity-tariffs/E-1R-AGILE-24-10-01-G/standard-unit-rates/</x:v>
      </x:c>
    </x:row>
    <x:row r="2724" ht="21" customHeight="1">
      <x:c r="A2724" s="24" t="n">
        <x:v>46205.25</x:v>
      </x:c>
      <x:c r="B2724" s="6" t="n">
        <x:v>0.0848</x:v>
      </x:c>
      <x:c r="C2724" s="6" t="n">
        <x:v>0.065</x:v>
      </x:c>
      <x:c r="D2724" s="6" t="n">
        <x:f>B2724</x:f>
        <x:v>0.0848</x:v>
      </x:c>
      <x:c r="E2724" s="1" t="n">
        <x:v>1.05</x:v>
      </x:c>
      <x:c r="F2724" s="1" t="str">
        <x:v>https://api.octopus.energy/v1/products/AGILE-24-10-01/electricity-tariffs/E-1R-AGILE-24-10-01-G/standard-unit-rates/</x:v>
      </x:c>
    </x:row>
    <x:row r="2725" ht="21" customHeight="1">
      <x:c r="A2725" s="24" t="n">
        <x:v>46205.270833333336</x:v>
      </x:c>
      <x:c r="B2725" s="6" t="n">
        <x:v>0.0922</x:v>
      </x:c>
      <x:c r="C2725" s="6" t="n">
        <x:v>0.0684</x:v>
      </x:c>
      <x:c r="D2725" s="6" t="n">
        <x:f>B2725</x:f>
        <x:v>0.0922</x:v>
      </x:c>
      <x:c r="E2725" s="1" t="n">
        <x:v>1.05</x:v>
      </x:c>
      <x:c r="F2725" s="1" t="str">
        <x:v>https://api.octopus.energy/v1/products/AGILE-24-10-01/electricity-tariffs/E-1R-AGILE-24-10-01-G/standard-unit-rates/</x:v>
      </x:c>
    </x:row>
    <x:row r="2726" ht="21" customHeight="1">
      <x:c r="A2726" s="24" t="n">
        <x:v>46205.291666666664</x:v>
      </x:c>
      <x:c r="B2726" s="6" t="n">
        <x:v>0.0355</x:v>
      </x:c>
      <x:c r="C2726" s="6" t="n">
        <x:v>0.0425</x:v>
      </x:c>
      <x:c r="D2726" s="6" t="n">
        <x:f>B2726</x:f>
        <x:v>0.0355</x:v>
      </x:c>
      <x:c r="E2726" s="1" t="n">
        <x:v>1.05</x:v>
      </x:c>
      <x:c r="F2726" s="1" t="str">
        <x:v>https://api.octopus.energy/v1/products/AGILE-24-10-01/electricity-tariffs/E-1R-AGILE-24-10-01-G/standard-unit-rates/</x:v>
      </x:c>
    </x:row>
    <x:row r="2727" ht="21" customHeight="1">
      <x:c r="A2727" s="24" t="n">
        <x:v>46205.3125</x:v>
      </x:c>
      <x:c r="B2727" s="6" t="n">
        <x:v>0.0489</x:v>
      </x:c>
      <x:c r="C2727" s="6" t="n">
        <x:v>0.048600000000000004</x:v>
      </x:c>
      <x:c r="D2727" s="6" t="n">
        <x:f>B2727</x:f>
        <x:v>0.0489</x:v>
      </x:c>
      <x:c r="E2727" s="1" t="n">
        <x:v>1.05</x:v>
      </x:c>
      <x:c r="F2727" s="1" t="str">
        <x:v>https://api.octopus.energy/v1/products/AGILE-24-10-01/electricity-tariffs/E-1R-AGILE-24-10-01-G/standard-unit-rates/</x:v>
      </x:c>
    </x:row>
    <x:row r="2728" ht="21" customHeight="1">
      <x:c r="A2728" s="24" t="n">
        <x:v>46205.333333333336</x:v>
      </x:c>
      <x:c r="B2728" s="6" t="n">
        <x:v>0.0007000000000000001</x:v>
      </x:c>
      <x:c r="C2728" s="6" t="n">
        <x:v>0.026600000000000002</x:v>
      </x:c>
      <x:c r="D2728" s="6" t="n">
        <x:f>B2728</x:f>
        <x:v>0.0007000000000000001</x:v>
      </x:c>
      <x:c r="E2728" s="1" t="n">
        <x:v>1.05</x:v>
      </x:c>
      <x:c r="F2728" s="1" t="str">
        <x:v>https://api.octopus.energy/v1/products/AGILE-24-10-01/electricity-tariffs/E-1R-AGILE-24-10-01-G/standard-unit-rates/</x:v>
      </x:c>
    </x:row>
    <x:row r="2729" ht="21" customHeight="1">
      <x:c r="A2729" s="24" t="n">
        <x:v>46205.354166666664</x:v>
      </x:c>
      <x:c r="B2729" s="6" t="n">
        <x:v>-0.0187</x:v>
      </x:c>
      <x:c r="C2729" s="6" t="n">
        <x:v>0.0177</x:v>
      </x:c>
      <x:c r="D2729" s="6" t="n">
        <x:f>B2729</x:f>
        <x:v>-0.0187</x:v>
      </x:c>
      <x:c r="E2729" s="1" t="n">
        <x:v>1.05</x:v>
      </x:c>
      <x:c r="F2729" s="1" t="str">
        <x:v>https://api.octopus.energy/v1/products/AGILE-24-10-01/electricity-tariffs/E-1R-AGILE-24-10-01-G/standard-unit-rates/</x:v>
      </x:c>
    </x:row>
    <x:row r="2730" ht="21" customHeight="1">
      <x:c r="A2730" s="24" t="n">
        <x:v>46205.375</x:v>
      </x:c>
      <x:c r="B2730" s="6" t="n">
        <x:v>-0.014499999999999999</x:v>
      </x:c>
      <x:c r="C2730" s="6" t="n">
        <x:v>0.0196</x:v>
      </x:c>
      <x:c r="D2730" s="6" t="n">
        <x:f>B2730</x:f>
        <x:v>-0.014499999999999999</x:v>
      </x:c>
      <x:c r="E2730" s="1" t="n">
        <x:v>1.05</x:v>
      </x:c>
      <x:c r="F2730" s="1" t="str">
        <x:v>https://api.octopus.energy/v1/products/AGILE-24-10-01/electricity-tariffs/E-1R-AGILE-24-10-01-G/standard-unit-rates/</x:v>
      </x:c>
    </x:row>
    <x:row r="2731" ht="21" customHeight="1">
      <x:c r="A2731" s="24" t="n">
        <x:v>46205.395833333336</x:v>
      </x:c>
      <x:c r="B2731" s="6" t="n">
        <x:v>-0.0382</x:v>
      </x:c>
      <x:c r="C2731" s="6" t="n">
        <x:v>0.0088</x:v>
      </x:c>
      <x:c r="D2731" s="6" t="n">
        <x:f>B2731</x:f>
        <x:v>-0.0382</x:v>
      </x:c>
      <x:c r="E2731" s="1" t="n">
        <x:v>1.05</x:v>
      </x:c>
      <x:c r="F2731" s="1" t="str">
        <x:v>https://api.octopus.energy/v1/products/AGILE-24-10-01/electricity-tariffs/E-1R-AGILE-24-10-01-G/standard-unit-rates/</x:v>
      </x:c>
    </x:row>
    <x:row r="2732" ht="21" customHeight="1">
      <x:c r="A2732" s="24" t="n">
        <x:v>46205.416666666664</x:v>
      </x:c>
      <x:c r="B2732" s="6" t="n">
        <x:v>-0.0235</x:v>
      </x:c>
      <x:c r="C2732" s="6" t="n">
        <x:v>0.0155</x:v>
      </x:c>
      <x:c r="D2732" s="6" t="n">
        <x:f>B2732</x:f>
        <x:v>-0.0235</x:v>
      </x:c>
      <x:c r="E2732" s="1" t="n">
        <x:v>1.05</x:v>
      </x:c>
      <x:c r="F2732" s="1" t="str">
        <x:v>https://api.octopus.energy/v1/products/AGILE-24-10-01/electricity-tariffs/E-1R-AGILE-24-10-01-G/standard-unit-rates/</x:v>
      </x:c>
    </x:row>
    <x:row r="2733" ht="21" customHeight="1">
      <x:c r="A2733" s="24" t="n">
        <x:v>46205.4375</x:v>
      </x:c>
      <x:c r="B2733" s="6" t="n">
        <x:v>-0.031400000000000004</x:v>
      </x:c>
      <x:c r="C2733" s="6" t="n">
        <x:v>0.011899999999999999</x:v>
      </x:c>
      <x:c r="D2733" s="6" t="n">
        <x:f>B2733</x:f>
        <x:v>-0.031400000000000004</x:v>
      </x:c>
      <x:c r="E2733" s="1" t="n">
        <x:v>1.05</x:v>
      </x:c>
      <x:c r="F2733" s="1" t="str">
        <x:v>https://api.octopus.energy/v1/products/AGILE-24-10-01/electricity-tariffs/E-1R-AGILE-24-10-01-G/standard-unit-rates/</x:v>
      </x:c>
    </x:row>
    <x:row r="2734" ht="21" customHeight="1">
      <x:c r="A2734" s="24" t="n">
        <x:v>46205.458333333336</x:v>
      </x:c>
      <x:c r="B2734" s="6" t="n">
        <x:v>-0.0418</x:v>
      </x:c>
      <x:c r="C2734" s="6" t="n">
        <x:v>0.0072</x:v>
      </x:c>
      <x:c r="D2734" s="6" t="n">
        <x:f>B2734</x:f>
        <x:v>-0.0418</x:v>
      </x:c>
      <x:c r="E2734" s="1" t="n">
        <x:v>1.05</x:v>
      </x:c>
      <x:c r="F2734" s="1" t="str">
        <x:v>https://api.octopus.energy/v1/products/AGILE-24-10-01/electricity-tariffs/E-1R-AGILE-24-10-01-G/standard-unit-rates/</x:v>
      </x:c>
    </x:row>
    <x:row r="2735" ht="21" customHeight="1">
      <x:c r="A2735" s="24" t="n">
        <x:v>46205.479166666664</x:v>
      </x:c>
      <x:c r="B2735" s="6" t="n">
        <x:v>-0.0417</x:v>
      </x:c>
      <x:c r="C2735" s="6" t="n">
        <x:v>0.0072</x:v>
      </x:c>
      <x:c r="D2735" s="6" t="n">
        <x:f>B2735</x:f>
        <x:v>-0.0417</x:v>
      </x:c>
      <x:c r="E2735" s="1" t="n">
        <x:v>1.05</x:v>
      </x:c>
      <x:c r="F2735" s="1" t="str">
        <x:v>https://api.octopus.energy/v1/products/AGILE-24-10-01/electricity-tariffs/E-1R-AGILE-24-10-01-G/standard-unit-rates/</x:v>
      </x:c>
    </x:row>
    <x:row r="2736" ht="21" customHeight="1">
      <x:c r="A2736" s="24" t="n">
        <x:v>46205.5</x:v>
      </x:c>
      <x:c r="B2736" s="6" t="n">
        <x:v>-0.042199999999999994</x:v>
      </x:c>
      <x:c r="C2736" s="6" t="n">
        <x:v>0.006999999999999999</x:v>
      </x:c>
      <x:c r="D2736" s="6" t="n">
        <x:f>B2736</x:f>
        <x:v>-0.042199999999999994</x:v>
      </x:c>
      <x:c r="E2736" s="1" t="n">
        <x:v>1.05</x:v>
      </x:c>
      <x:c r="F2736" s="1" t="str">
        <x:v>https://api.octopus.energy/v1/products/AGILE-24-10-01/electricity-tariffs/E-1R-AGILE-24-10-01-G/standard-unit-rates/</x:v>
      </x:c>
    </x:row>
    <x:row r="2737" ht="21" customHeight="1">
      <x:c r="A2737" s="24" t="n">
        <x:v>46205.520833333336</x:v>
      </x:c>
      <x:c r="B2737" s="6" t="n">
        <x:v>-0.0405</x:v>
      </x:c>
      <x:c r="C2737" s="6" t="n">
        <x:v>0.0077</x:v>
      </x:c>
      <x:c r="D2737" s="6" t="n">
        <x:f>B2737</x:f>
        <x:v>-0.0405</x:v>
      </x:c>
      <x:c r="E2737" s="1" t="n">
        <x:v>1.05</x:v>
      </x:c>
      <x:c r="F2737" s="1" t="str">
        <x:v>https://api.octopus.energy/v1/products/AGILE-24-10-01/electricity-tariffs/E-1R-AGILE-24-10-01-G/standard-unit-rates/</x:v>
      </x:c>
    </x:row>
    <x:row r="2738" ht="21" customHeight="1">
      <x:c r="A2738" s="24" t="n">
        <x:v>46205.541666666664</x:v>
      </x:c>
      <x:c r="B2738" s="6" t="n">
        <x:v>-0.0331</x:v>
      </x:c>
      <x:c r="C2738" s="6" t="n">
        <x:v>0.011200000000000002</x:v>
      </x:c>
      <x:c r="D2738" s="6" t="n">
        <x:f>B2738</x:f>
        <x:v>-0.0331</x:v>
      </x:c>
      <x:c r="E2738" s="1" t="n">
        <x:v>1.05</x:v>
      </x:c>
      <x:c r="F2738" s="1" t="str">
        <x:v>https://api.octopus.energy/v1/products/AGILE-24-10-01/electricity-tariffs/E-1R-AGILE-24-10-01-G/standard-unit-rates/</x:v>
      </x:c>
    </x:row>
    <x:row r="2739" ht="21" customHeight="1">
      <x:c r="A2739" s="24" t="n">
        <x:v>46205.5625</x:v>
      </x:c>
      <x:c r="B2739" s="6" t="n">
        <x:v>-0.0355</x:v>
      </x:c>
      <x:c r="C2739" s="6" t="n">
        <x:v>0.01</x:v>
      </x:c>
      <x:c r="D2739" s="6" t="n">
        <x:f>B2739</x:f>
        <x:v>-0.0355</x:v>
      </x:c>
      <x:c r="E2739" s="1" t="n">
        <x:v>1.05</x:v>
      </x:c>
      <x:c r="F2739" s="1" t="str">
        <x:v>https://api.octopus.energy/v1/products/AGILE-24-10-01/electricity-tariffs/E-1R-AGILE-24-10-01-G/standard-unit-rates/</x:v>
      </x:c>
    </x:row>
    <x:row r="2740" ht="21" customHeight="1">
      <x:c r="A2740" s="24" t="n">
        <x:v>46205.583333333336</x:v>
      </x:c>
      <x:c r="B2740" s="6" t="n">
        <x:v>-0.0406</x:v>
      </x:c>
      <x:c r="C2740" s="6" t="n">
        <x:v>0.0077</x:v>
      </x:c>
      <x:c r="D2740" s="6" t="n">
        <x:f>B2740</x:f>
        <x:v>-0.0406</x:v>
      </x:c>
      <x:c r="E2740" s="1" t="n">
        <x:v>1.05</x:v>
      </x:c>
      <x:c r="F2740" s="1" t="str">
        <x:v>https://api.octopus.energy/v1/products/AGILE-24-10-01/electricity-tariffs/E-1R-AGILE-24-10-01-G/standard-unit-rates/</x:v>
      </x:c>
    </x:row>
    <x:row r="2741" ht="21" customHeight="1">
      <x:c r="A2741" s="24" t="n">
        <x:v>46205.604166666664</x:v>
      </x:c>
      <x:c r="B2741" s="6" t="n">
        <x:v>-0.0329</x:v>
      </x:c>
      <x:c r="C2741" s="6" t="n">
        <x:v>0.011200000000000002</x:v>
      </x:c>
      <x:c r="D2741" s="6" t="n">
        <x:f>B2741</x:f>
        <x:v>-0.0329</x:v>
      </x:c>
      <x:c r="E2741" s="1" t="n">
        <x:v>1.05</x:v>
      </x:c>
      <x:c r="F2741" s="1" t="str">
        <x:v>https://api.octopus.energy/v1/products/AGILE-24-10-01/electricity-tariffs/E-1R-AGILE-24-10-01-G/standard-unit-rates/</x:v>
      </x:c>
    </x:row>
    <x:row r="2742" ht="21" customHeight="1">
      <x:c r="A2742" s="24" t="n">
        <x:v>46205.625</x:v>
      </x:c>
      <x:c r="B2742" s="6" t="n">
        <x:v>-0.042199999999999994</x:v>
      </x:c>
      <x:c r="C2742" s="6" t="n">
        <x:v>0.006999999999999999</x:v>
      </x:c>
      <x:c r="D2742" s="6" t="n">
        <x:f>B2742</x:f>
        <x:v>-0.042199999999999994</x:v>
      </x:c>
      <x:c r="E2742" s="1" t="n">
        <x:v>1.05</x:v>
      </x:c>
      <x:c r="F2742" s="1" t="str">
        <x:v>https://api.octopus.energy/v1/products/AGILE-24-10-01/electricity-tariffs/E-1R-AGILE-24-10-01-G/standard-unit-rates/</x:v>
      </x:c>
    </x:row>
    <x:row r="2743" ht="21" customHeight="1">
      <x:c r="A2743" s="24" t="n">
        <x:v>46205.645833333336</x:v>
      </x:c>
      <x:c r="B2743" s="6" t="n">
        <x:v>-0.0292</x:v>
      </x:c>
      <x:c r="C2743" s="6" t="n">
        <x:v>0.0129</x:v>
      </x:c>
      <x:c r="D2743" s="6" t="n">
        <x:f>B2743</x:f>
        <x:v>-0.0292</x:v>
      </x:c>
      <x:c r="E2743" s="1" t="n">
        <x:v>1.05</x:v>
      </x:c>
      <x:c r="F2743" s="1" t="str">
        <x:v>https://api.octopus.energy/v1/products/AGILE-24-10-01/electricity-tariffs/E-1R-AGILE-24-10-01-G/standard-unit-rates/</x:v>
      </x:c>
    </x:row>
    <x:row r="2744" ht="21" customHeight="1">
      <x:c r="A2744" s="24" t="n">
        <x:v>46205.666666666664</x:v>
      </x:c>
      <x:c r="B2744" s="6" t="n">
        <x:v>0.06559999999999999</x:v>
      </x:c>
      <x:c r="C2744" s="6" t="n">
        <x:v>0.0603</x:v>
      </x:c>
      <x:c r="D2744" s="6" t="n">
        <x:f>B2744</x:f>
        <x:v>0.06559999999999999</x:v>
      </x:c>
      <x:c r="E2744" s="1" t="n">
        <x:v>1.05</x:v>
      </x:c>
      <x:c r="F2744" s="1" t="str">
        <x:v>https://api.octopus.energy/v1/products/AGILE-24-10-01/electricity-tariffs/E-1R-AGILE-24-10-01-G/standard-unit-rates/</x:v>
      </x:c>
    </x:row>
    <x:row r="2745" ht="21" customHeight="1">
      <x:c r="A2745" s="24" t="n">
        <x:v>46205.6875</x:v>
      </x:c>
      <x:c r="B2745" s="6" t="n">
        <x:v>0.11810000000000001</x:v>
      </x:c>
      <x:c r="C2745" s="6" t="n">
        <x:v>0.0843</x:v>
      </x:c>
      <x:c r="D2745" s="6" t="n">
        <x:f>B2745</x:f>
        <x:v>0.11810000000000001</x:v>
      </x:c>
      <x:c r="E2745" s="1" t="n">
        <x:v>1.05</x:v>
      </x:c>
      <x:c r="F2745" s="1" t="str">
        <x:v>https://api.octopus.energy/v1/products/AGILE-24-10-01/electricity-tariffs/E-1R-AGILE-24-10-01-G/standard-unit-rates/</x:v>
      </x:c>
    </x:row>
    <x:row r="2746" ht="21" customHeight="1">
      <x:c r="A2746" s="24" t="n">
        <x:v>46205.708333333336</x:v>
      </x:c>
      <x:c r="B2746" s="6" t="n">
        <x:v>0.1797</x:v>
      </x:c>
      <x:c r="C2746" s="6" t="n">
        <x:v>0.1124</x:v>
      </x:c>
      <x:c r="D2746" s="6" t="n">
        <x:f>B2746</x:f>
        <x:v>0.1797</x:v>
      </x:c>
      <x:c r="E2746" s="1" t="n">
        <x:v>1.05</x:v>
      </x:c>
      <x:c r="F2746" s="1" t="str">
        <x:v>https://api.octopus.energy/v1/products/AGILE-24-10-01/electricity-tariffs/E-1R-AGILE-24-10-01-G/standard-unit-rates/</x:v>
      </x:c>
    </x:row>
    <x:row r="2747" ht="21" customHeight="1">
      <x:c r="A2747" s="24" t="n">
        <x:v>46205.729166666664</x:v>
      </x:c>
      <x:c r="B2747" s="6" t="n">
        <x:v>0.2291</x:v>
      </x:c>
      <x:c r="C2747" s="6" t="n">
        <x:v>0.135</x:v>
      </x:c>
      <x:c r="D2747" s="6" t="n">
        <x:f>B2747</x:f>
        <x:v>0.2291</x:v>
      </x:c>
      <x:c r="E2747" s="1" t="n">
        <x:v>1.05</x:v>
      </x:c>
      <x:c r="F2747" s="1" t="str">
        <x:v>https://api.octopus.energy/v1/products/AGILE-24-10-01/electricity-tariffs/E-1R-AGILE-24-10-01-G/standard-unit-rates/</x:v>
      </x:c>
    </x:row>
    <x:row r="2748" ht="21" customHeight="1">
      <x:c r="A2748" s="24" t="n">
        <x:v>46205.75</x:v>
      </x:c>
      <x:c r="B2748" s="6" t="n">
        <x:v>0.2672</x:v>
      </x:c>
      <x:c r="C2748" s="6" t="n">
        <x:v>0.1525</x:v>
      </x:c>
      <x:c r="D2748" s="6" t="n">
        <x:f>B2748</x:f>
        <x:v>0.2672</x:v>
      </x:c>
      <x:c r="E2748" s="1" t="n">
        <x:v>1.05</x:v>
      </x:c>
      <x:c r="F2748" s="1" t="str">
        <x:v>https://api.octopus.energy/v1/products/AGILE-24-10-01/electricity-tariffs/E-1R-AGILE-24-10-01-G/standard-unit-rates/</x:v>
      </x:c>
    </x:row>
    <x:row r="2749" ht="21" customHeight="1">
      <x:c r="A2749" s="24" t="n">
        <x:v>46205.770833333336</x:v>
      </x:c>
      <x:c r="B2749" s="6" t="n">
        <x:v>0.25780000000000003</x:v>
      </x:c>
      <x:c r="C2749" s="6" t="n">
        <x:v>0.1482</x:v>
      </x:c>
      <x:c r="D2749" s="6" t="n">
        <x:f>B2749</x:f>
        <x:v>0.25780000000000003</x:v>
      </x:c>
      <x:c r="E2749" s="1" t="n">
        <x:v>1.05</x:v>
      </x:c>
      <x:c r="F2749" s="1" t="str">
        <x:v>https://api.octopus.energy/v1/products/AGILE-24-10-01/electricity-tariffs/E-1R-AGILE-24-10-01-G/standard-unit-rates/</x:v>
      </x:c>
    </x:row>
    <x:row r="2750" ht="21" customHeight="1">
      <x:c r="A2750" s="24" t="n">
        <x:v>46205.791666666664</x:v>
      </x:c>
      <x:c r="B2750" s="6" t="n">
        <x:v>0.18239999999999998</x:v>
      </x:c>
      <x:c r="C2750" s="6" t="n">
        <x:v>0.1097</x:v>
      </x:c>
      <x:c r="D2750" s="6" t="n">
        <x:f>B2750</x:f>
        <x:v>0.18239999999999998</x:v>
      </x:c>
      <x:c r="E2750" s="1" t="n">
        <x:v>1.05</x:v>
      </x:c>
      <x:c r="F2750" s="1" t="str">
        <x:v>https://api.octopus.energy/v1/products/AGILE-24-10-01/electricity-tariffs/E-1R-AGILE-24-10-01-G/standard-unit-rates/</x:v>
      </x:c>
    </x:row>
    <x:row r="2751" ht="21" customHeight="1">
      <x:c r="A2751" s="24" t="n">
        <x:v>46205.8125</x:v>
      </x:c>
      <x:c r="B2751" s="6" t="n">
        <x:v>0.2018</x:v>
      </x:c>
      <x:c r="C2751" s="6" t="n">
        <x:v>0.1185</x:v>
      </x:c>
      <x:c r="D2751" s="6" t="n">
        <x:f>B2751</x:f>
        <x:v>0.2018</x:v>
      </x:c>
      <x:c r="E2751" s="1" t="n">
        <x:v>1.05</x:v>
      </x:c>
      <x:c r="F2751" s="1" t="str">
        <x:v>https://api.octopus.energy/v1/products/AGILE-24-10-01/electricity-tariffs/E-1R-AGILE-24-10-01-G/standard-unit-rates/</x:v>
      </x:c>
    </x:row>
    <x:row r="2752" ht="21" customHeight="1">
      <x:c r="A2752" s="24" t="n">
        <x:v>46205.833333333336</x:v>
      </x:c>
      <x:c r="B2752" s="6" t="n">
        <x:v>0.2132</x:v>
      </x:c>
      <x:c r="C2752" s="6" t="n">
        <x:v>0.12369999999999999</x:v>
      </x:c>
      <x:c r="D2752" s="6" t="n">
        <x:f>B2752</x:f>
        <x:v>0.2132</x:v>
      </x:c>
      <x:c r="E2752" s="1" t="n">
        <x:v>1.05</x:v>
      </x:c>
      <x:c r="F2752" s="1" t="str">
        <x:v>https://api.octopus.energy/v1/products/AGILE-24-10-01/electricity-tariffs/E-1R-AGILE-24-10-01-G/standard-unit-rates/</x:v>
      </x:c>
    </x:row>
    <x:row r="2753" ht="21" customHeight="1">
      <x:c r="A2753" s="24" t="n">
        <x:v>46205.854166666664</x:v>
      </x:c>
      <x:c r="B2753" s="6" t="n">
        <x:v>0.2126</x:v>
      </x:c>
      <x:c r="C2753" s="6" t="n">
        <x:v>0.1235</x:v>
      </x:c>
      <x:c r="D2753" s="6" t="n">
        <x:f>B2753</x:f>
        <x:v>0.2126</x:v>
      </x:c>
      <x:c r="E2753" s="1" t="n">
        <x:v>1.05</x:v>
      </x:c>
      <x:c r="F2753" s="1" t="str">
        <x:v>https://api.octopus.energy/v1/products/AGILE-24-10-01/electricity-tariffs/E-1R-AGILE-24-10-01-G/standard-unit-rates/</x:v>
      </x:c>
    </x:row>
    <x:row r="2754" ht="21" customHeight="1">
      <x:c r="A2754" s="24" t="n">
        <x:v>46205.875</x:v>
      </x:c>
      <x:c r="B2754" s="6" t="n">
        <x:v>0.215</x:v>
      </x:c>
      <x:c r="C2754" s="6" t="n">
        <x:v>0.1246</x:v>
      </x:c>
      <x:c r="D2754" s="6" t="n">
        <x:f>B2754</x:f>
        <x:v>0.215</x:v>
      </x:c>
      <x:c r="E2754" s="1" t="n">
        <x:v>1.05</x:v>
      </x:c>
      <x:c r="F2754" s="1" t="str">
        <x:v>https://api.octopus.energy/v1/products/AGILE-24-10-01/electricity-tariffs/E-1R-AGILE-24-10-01-G/standard-unit-rates/</x:v>
      </x:c>
    </x:row>
    <x:row r="2755" ht="21" customHeight="1">
      <x:c r="A2755" s="24" t="n">
        <x:v>46205.895833333336</x:v>
      </x:c>
      <x:c r="B2755" s="6" t="n">
        <x:v>0.221</x:v>
      </x:c>
      <x:c r="C2755" s="6" t="n">
        <x:v>0.1273</x:v>
      </x:c>
      <x:c r="D2755" s="6" t="n">
        <x:f>B2755</x:f>
        <x:v>0.221</x:v>
      </x:c>
      <x:c r="E2755" s="1" t="n">
        <x:v>1.05</x:v>
      </x:c>
      <x:c r="F2755" s="1" t="str">
        <x:v>https://api.octopus.energy/v1/products/AGILE-24-10-01/electricity-tariffs/E-1R-AGILE-24-10-01-G/standard-unit-rates/</x:v>
      </x:c>
    </x:row>
    <x:row r="2756" ht="21" customHeight="1">
      <x:c r="A2756" s="24" t="n">
        <x:v>46205.916666666664</x:v>
      </x:c>
      <x:c r="B2756" s="6" t="n">
        <x:v>0.2018</x:v>
      </x:c>
      <x:c r="C2756" s="6" t="n">
        <x:v>0.1185</x:v>
      </x:c>
      <x:c r="D2756" s="6" t="n">
        <x:f>B2756</x:f>
        <x:v>0.2018</x:v>
      </x:c>
      <x:c r="E2756" s="1" t="n">
        <x:v>1.05</x:v>
      </x:c>
      <x:c r="F2756" s="1" t="str">
        <x:v>https://api.octopus.energy/v1/products/AGILE-24-10-01/electricity-tariffs/E-1R-AGILE-24-10-01-G/standard-unit-rates/</x:v>
      </x:c>
    </x:row>
    <x:row r="2757" ht="21" customHeight="1">
      <x:c r="A2757" s="24" t="n">
        <x:v>46205.9375</x:v>
      </x:c>
      <x:c r="B2757" s="6" t="n">
        <x:v>0.1766</x:v>
      </x:c>
      <x:c r="C2757" s="6" t="n">
        <x:v>0.107</x:v>
      </x:c>
      <x:c r="D2757" s="6" t="n">
        <x:f>B2757</x:f>
        <x:v>0.1766</x:v>
      </x:c>
      <x:c r="E2757" s="1" t="n">
        <x:v>1.05</x:v>
      </x:c>
      <x:c r="F2757" s="1" t="str">
        <x:v>https://api.octopus.energy/v1/products/AGILE-24-10-01/electricity-tariffs/E-1R-AGILE-24-10-01-G/standard-unit-rates/</x:v>
      </x:c>
    </x:row>
    <x:row r="2758" ht="21" customHeight="1">
      <x:c r="A2758" s="24" t="n">
        <x:v>46206</x:v>
      </x:c>
      <x:c r="B2758" s="6" t="n">
        <x:v>0.1802</x:v>
      </x:c>
      <x:c r="C2758" s="6" t="n">
        <x:v>0.10869999999999999</x:v>
      </x:c>
      <x:c r="D2758" s="6" t="n">
        <x:f>B2758</x:f>
        <x:v>0.1802</x:v>
      </x:c>
      <x:c r="E2758" s="1" t="n">
        <x:v>1.05</x:v>
      </x:c>
      <x:c r="F2758" s="1" t="str">
        <x:v>https://api.octopus.energy/v1/products/AGILE-24-10-01/electricity-tariffs/E-1R-AGILE-24-10-01-G/standard-unit-rates/</x:v>
      </x:c>
    </x:row>
    <x:row r="2759" ht="21" customHeight="1">
      <x:c r="A2759" s="24" t="n">
        <x:v>46205.979166666664</x:v>
      </x:c>
      <x:c r="B2759" s="6" t="n">
        <x:v>0.17300000000000001</x:v>
      </x:c>
      <x:c r="C2759" s="6" t="n">
        <x:v>0.10529999999999999</x:v>
      </x:c>
      <x:c r="D2759" s="6" t="n">
        <x:f>B2759</x:f>
        <x:v>0.17300000000000001</x:v>
      </x:c>
      <x:c r="E2759" s="1" t="n">
        <x:v>1.05</x:v>
      </x:c>
      <x:c r="F2759" s="1" t="str">
        <x:v>https://api.octopus.energy/v1/products/AGILE-24-10-01/electricity-tariffs/E-1R-AGILE-24-10-01-G/standard-unit-rates/</x:v>
      </x:c>
    </x:row>
    <x:row r="2760" ht="21" customHeight="1">
      <x:c r="A2760" s="24" t="n">
        <x:v>46206</x:v>
      </x:c>
      <x:c r="B2760" s="6" t="n">
        <x:v>0.16140000000000002</x:v>
      </x:c>
      <x:c r="C2760" s="6" t="n">
        <x:v>0.1</x:v>
      </x:c>
      <x:c r="D2760" s="6" t="n">
        <x:f>B2760</x:f>
        <x:v>0.16140000000000002</x:v>
      </x:c>
      <x:c r="E2760" s="1" t="n">
        <x:v>1.05</x:v>
      </x:c>
      <x:c r="F2760" s="1" t="str">
        <x:v>https://api.octopus.energy/v1/products/AGILE-24-10-01/electricity-tariffs/E-1R-AGILE-24-10-01-G/standard-unit-rates/</x:v>
      </x:c>
    </x:row>
    <x:row r="2761" ht="21" customHeight="1">
      <x:c r="A2761" s="24" t="n">
        <x:v>46206.020833333336</x:v>
      </x:c>
      <x:c r="B2761" s="6" t="n">
        <x:v>0.1654</x:v>
      </x:c>
      <x:c r="C2761" s="6" t="n">
        <x:v>0.10189999999999999</x:v>
      </x:c>
      <x:c r="D2761" s="6" t="n">
        <x:f>B2761</x:f>
        <x:v>0.1654</x:v>
      </x:c>
      <x:c r="E2761" s="1" t="n">
        <x:v>1.05</x:v>
      </x:c>
      <x:c r="F2761" s="1" t="str">
        <x:v>https://api.octopus.energy/v1/products/AGILE-24-10-01/electricity-tariffs/E-1R-AGILE-24-10-01-G/standard-unit-rates/</x:v>
      </x:c>
    </x:row>
    <x:row r="2762" ht="21" customHeight="1">
      <x:c r="A2762" s="24" t="n">
        <x:v>46206.041666666664</x:v>
      </x:c>
      <x:c r="B2762" s="6" t="n">
        <x:v>0.15560000000000002</x:v>
      </x:c>
      <x:c r="C2762" s="6" t="n">
        <x:v>0.0974</x:v>
      </x:c>
      <x:c r="D2762" s="6" t="n">
        <x:f>B2762</x:f>
        <x:v>0.15560000000000002</x:v>
      </x:c>
      <x:c r="E2762" s="1" t="n">
        <x:v>1.05</x:v>
      </x:c>
      <x:c r="F2762" s="1" t="str">
        <x:v>https://api.octopus.energy/v1/products/AGILE-24-10-01/electricity-tariffs/E-1R-AGILE-24-10-01-G/standard-unit-rates/</x:v>
      </x:c>
    </x:row>
    <x:row r="2763" ht="21" customHeight="1">
      <x:c r="A2763" s="24" t="n">
        <x:v>46206.0625</x:v>
      </x:c>
      <x:c r="B2763" s="6" t="n">
        <x:v>0.1573</x:v>
      </x:c>
      <x:c r="C2763" s="6" t="n">
        <x:v>0.09820000000000001</x:v>
      </x:c>
      <x:c r="D2763" s="6" t="n">
        <x:f>B2763</x:f>
        <x:v>0.1573</x:v>
      </x:c>
      <x:c r="E2763" s="1" t="n">
        <x:v>1.05</x:v>
      </x:c>
      <x:c r="F2763" s="1" t="str">
        <x:v>https://api.octopus.energy/v1/products/AGILE-24-10-01/electricity-tariffs/E-1R-AGILE-24-10-01-G/standard-unit-rates/</x:v>
      </x:c>
    </x:row>
    <x:row r="2764" ht="21" customHeight="1">
      <x:c r="A2764" s="24" t="n">
        <x:v>46206.083333333336</x:v>
      </x:c>
      <x:c r="B2764" s="6" t="n">
        <x:v>0.1507</x:v>
      </x:c>
      <x:c r="C2764" s="6" t="n">
        <x:v>0.09519999999999999</x:v>
      </x:c>
      <x:c r="D2764" s="6" t="n">
        <x:f>B2764</x:f>
        <x:v>0.1507</x:v>
      </x:c>
      <x:c r="E2764" s="1" t="n">
        <x:v>1.05</x:v>
      </x:c>
      <x:c r="F2764" s="1" t="str">
        <x:v>https://api.octopus.energy/v1/products/AGILE-24-10-01/electricity-tariffs/E-1R-AGILE-24-10-01-G/standard-unit-rates/</x:v>
      </x:c>
    </x:row>
    <x:row r="2765" ht="21" customHeight="1">
      <x:c r="A2765" s="24" t="n">
        <x:v>46206.104166666664</x:v>
      </x:c>
      <x:c r="B2765" s="6" t="n">
        <x:v>0.1501</x:v>
      </x:c>
      <x:c r="C2765" s="6" t="n">
        <x:v>0.0949</x:v>
      </x:c>
      <x:c r="D2765" s="6" t="n">
        <x:f>B2765</x:f>
        <x:v>0.1501</x:v>
      </x:c>
      <x:c r="E2765" s="1" t="n">
        <x:v>1.05</x:v>
      </x:c>
      <x:c r="F2765" s="1" t="str">
        <x:v>https://api.octopus.energy/v1/products/AGILE-24-10-01/electricity-tariffs/E-1R-AGILE-24-10-01-G/standard-unit-rates/</x:v>
      </x:c>
    </x:row>
    <x:row r="2766" ht="21" customHeight="1">
      <x:c r="A2766" s="24" t="n">
        <x:v>46206.125</x:v>
      </x:c>
      <x:c r="B2766" s="6" t="n">
        <x:v>0.1502</x:v>
      </x:c>
      <x:c r="C2766" s="6" t="n">
        <x:v>0.095</x:v>
      </x:c>
      <x:c r="D2766" s="6" t="n">
        <x:f>B2766</x:f>
        <x:v>0.1502</x:v>
      </x:c>
      <x:c r="E2766" s="1" t="n">
        <x:v>1.05</x:v>
      </x:c>
      <x:c r="F2766" s="1" t="str">
        <x:v>https://api.octopus.energy/v1/products/AGILE-24-10-01/electricity-tariffs/E-1R-AGILE-24-10-01-G/standard-unit-rates/</x:v>
      </x:c>
    </x:row>
    <x:row r="2767" ht="21" customHeight="1">
      <x:c r="A2767" s="24" t="n">
        <x:v>46206.145833333336</x:v>
      </x:c>
      <x:c r="B2767" s="6" t="n">
        <x:v>0.1477</x:v>
      </x:c>
      <x:c r="C2767" s="6" t="n">
        <x:v>0.09380000000000001</x:v>
      </x:c>
      <x:c r="D2767" s="6" t="n">
        <x:f>B2767</x:f>
        <x:v>0.1477</x:v>
      </x:c>
      <x:c r="E2767" s="1" t="n">
        <x:v>1.05</x:v>
      </x:c>
      <x:c r="F2767" s="1" t="str">
        <x:v>https://api.octopus.energy/v1/products/AGILE-24-10-01/electricity-tariffs/E-1R-AGILE-24-10-01-G/standard-unit-rates/</x:v>
      </x:c>
    </x:row>
    <x:row r="2768" ht="21" customHeight="1">
      <x:c r="A2768" s="24" t="n">
        <x:v>46206.166666666664</x:v>
      </x:c>
      <x:c r="B2768" s="6" t="n">
        <x:v>0.15039999999999998</x:v>
      </x:c>
      <x:c r="C2768" s="6" t="n">
        <x:v>0.095</x:v>
      </x:c>
      <x:c r="D2768" s="6" t="n">
        <x:f>B2768</x:f>
        <x:v>0.15039999999999998</x:v>
      </x:c>
      <x:c r="E2768" s="1" t="n">
        <x:v>1.05</x:v>
      </x:c>
      <x:c r="F2768" s="1" t="str">
        <x:v>https://api.octopus.energy/v1/products/AGILE-24-10-01/electricity-tariffs/E-1R-AGILE-24-10-01-G/standard-unit-rates/</x:v>
      </x:c>
    </x:row>
    <x:row r="2769" ht="21" customHeight="1">
      <x:c r="A2769" s="24" t="n">
        <x:v>46206.1875</x:v>
      </x:c>
      <x:c r="B2769" s="6" t="n">
        <x:v>0.1461</x:v>
      </x:c>
      <x:c r="C2769" s="6" t="n">
        <x:v>0.0931</x:v>
      </x:c>
      <x:c r="D2769" s="6" t="n">
        <x:f>B2769</x:f>
        <x:v>0.1461</x:v>
      </x:c>
      <x:c r="E2769" s="1" t="n">
        <x:v>1.05</x:v>
      </x:c>
      <x:c r="F2769" s="1" t="str">
        <x:v>https://api.octopus.energy/v1/products/AGILE-24-10-01/electricity-tariffs/E-1R-AGILE-24-10-01-G/standard-unit-rates/</x:v>
      </x:c>
    </x:row>
    <x:row r="2770" ht="21" customHeight="1">
      <x:c r="A2770" s="24" t="n">
        <x:v>46206.208333333336</x:v>
      </x:c>
      <x:c r="B2770" s="6" t="n">
        <x:v>0.1604</x:v>
      </x:c>
      <x:c r="C2770" s="6" t="n">
        <x:v>0.09960000000000001</x:v>
      </x:c>
      <x:c r="D2770" s="6" t="n">
        <x:f>B2770</x:f>
        <x:v>0.1604</x:v>
      </x:c>
      <x:c r="E2770" s="1" t="n">
        <x:v>1.05</x:v>
      </x:c>
      <x:c r="F2770" s="1" t="str">
        <x:v>https://api.octopus.energy/v1/products/AGILE-24-10-01/electricity-tariffs/E-1R-AGILE-24-10-01-G/standard-unit-rates/</x:v>
      </x:c>
    </x:row>
    <x:row r="2771" ht="21" customHeight="1">
      <x:c r="A2771" s="24" t="n">
        <x:v>46206.229166666664</x:v>
      </x:c>
      <x:c r="B2771" s="6" t="n">
        <x:v>0.1604</x:v>
      </x:c>
      <x:c r="C2771" s="6" t="n">
        <x:v>0.09960000000000001</x:v>
      </x:c>
      <x:c r="D2771" s="6" t="n">
        <x:f>B2771</x:f>
        <x:v>0.1604</x:v>
      </x:c>
      <x:c r="E2771" s="1" t="n">
        <x:v>1.05</x:v>
      </x:c>
      <x:c r="F2771" s="1" t="str">
        <x:v>https://api.octopus.energy/v1/products/AGILE-24-10-01/electricity-tariffs/E-1R-AGILE-24-10-01-G/standard-unit-rates/</x:v>
      </x:c>
    </x:row>
    <x:row r="2772" ht="21" customHeight="1">
      <x:c r="A2772" s="24" t="n">
        <x:v>46206.25</x:v>
      </x:c>
      <x:c r="B2772" s="6" t="n">
        <x:v>0.17670000000000002</x:v>
      </x:c>
      <x:c r="C2772" s="6" t="n">
        <x:v>0.107</x:v>
      </x:c>
      <x:c r="D2772" s="6" t="n">
        <x:f>B2772</x:f>
        <x:v>0.17670000000000002</x:v>
      </x:c>
      <x:c r="E2772" s="1" t="n">
        <x:v>1.05</x:v>
      </x:c>
      <x:c r="F2772" s="1" t="str">
        <x:v>https://api.octopus.energy/v1/products/AGILE-24-10-01/electricity-tariffs/E-1R-AGILE-24-10-01-G/standard-unit-rates/</x:v>
      </x:c>
    </x:row>
    <x:row r="2773" ht="21" customHeight="1">
      <x:c r="A2773" s="24" t="n">
        <x:v>46206.270833333336</x:v>
      </x:c>
      <x:c r="B2773" s="6" t="n">
        <x:v>0.20679999999999998</x:v>
      </x:c>
      <x:c r="C2773" s="6" t="n">
        <x:v>0.1208</x:v>
      </x:c>
      <x:c r="D2773" s="6" t="n">
        <x:f>B2773</x:f>
        <x:v>0.20679999999999998</x:v>
      </x:c>
      <x:c r="E2773" s="1" t="n">
        <x:v>1.05</x:v>
      </x:c>
      <x:c r="F2773" s="1" t="str">
        <x:v>https://api.octopus.energy/v1/products/AGILE-24-10-01/electricity-tariffs/E-1R-AGILE-24-10-01-G/standard-unit-rates/</x:v>
      </x:c>
    </x:row>
    <x:row r="2774" ht="21" customHeight="1">
      <x:c r="A2774" s="24" t="n">
        <x:v>46206.291666666664</x:v>
      </x:c>
      <x:c r="B2774" s="6" t="n">
        <x:v>0.2045</x:v>
      </x:c>
      <x:c r="C2774" s="6" t="n">
        <x:v>0.1198</x:v>
      </x:c>
      <x:c r="D2774" s="6" t="n">
        <x:f>B2774</x:f>
        <x:v>0.2045</x:v>
      </x:c>
      <x:c r="E2774" s="1" t="n">
        <x:v>1.05</x:v>
      </x:c>
      <x:c r="F2774" s="1" t="str">
        <x:v>https://api.octopus.energy/v1/products/AGILE-24-10-01/electricity-tariffs/E-1R-AGILE-24-10-01-G/standard-unit-rates/</x:v>
      </x:c>
    </x:row>
    <x:row r="2775" ht="21" customHeight="1">
      <x:c r="A2775" s="24" t="n">
        <x:v>46206.3125</x:v>
      </x:c>
      <x:c r="B2775" s="6" t="n">
        <x:v>0.20800000000000002</x:v>
      </x:c>
      <x:c r="C2775" s="6" t="n">
        <x:v>0.1213</x:v>
      </x:c>
      <x:c r="D2775" s="6" t="n">
        <x:f>B2775</x:f>
        <x:v>0.20800000000000002</x:v>
      </x:c>
      <x:c r="E2775" s="1" t="n">
        <x:v>1.05</x:v>
      </x:c>
      <x:c r="F2775" s="1" t="str">
        <x:v>https://api.octopus.energy/v1/products/AGILE-24-10-01/electricity-tariffs/E-1R-AGILE-24-10-01-G/standard-unit-rates/</x:v>
      </x:c>
    </x:row>
    <x:row r="2776" ht="21" customHeight="1">
      <x:c r="A2776" s="24" t="n">
        <x:v>46206.333333333336</x:v>
      </x:c>
      <x:c r="B2776" s="6" t="n">
        <x:v>0.20920000000000002</x:v>
      </x:c>
      <x:c r="C2776" s="6" t="n">
        <x:v>0.1219</x:v>
      </x:c>
      <x:c r="D2776" s="6" t="n">
        <x:f>B2776</x:f>
        <x:v>0.20920000000000002</x:v>
      </x:c>
      <x:c r="E2776" s="1" t="n">
        <x:v>1.05</x:v>
      </x:c>
      <x:c r="F2776" s="1" t="str">
        <x:v>https://api.octopus.energy/v1/products/AGILE-24-10-01/electricity-tariffs/E-1R-AGILE-24-10-01-G/standard-unit-rates/</x:v>
      </x:c>
    </x:row>
    <x:row r="2777" ht="21" customHeight="1">
      <x:c r="A2777" s="24" t="n">
        <x:v>46206.354166666664</x:v>
      </x:c>
      <x:c r="B2777" s="6" t="n">
        <x:v>0.1882</x:v>
      </x:c>
      <x:c r="C2777" s="6" t="n">
        <x:v>0.11230000000000001</x:v>
      </x:c>
      <x:c r="D2777" s="6" t="n">
        <x:f>B2777</x:f>
        <x:v>0.1882</x:v>
      </x:c>
      <x:c r="E2777" s="1" t="n">
        <x:v>1.05</x:v>
      </x:c>
      <x:c r="F2777" s="1" t="str">
        <x:v>https://api.octopus.energy/v1/products/AGILE-24-10-01/electricity-tariffs/E-1R-AGILE-24-10-01-G/standard-unit-rates/</x:v>
      </x:c>
    </x:row>
    <x:row r="2778" ht="21" customHeight="1">
      <x:c r="A2778" s="24" t="n">
        <x:v>46206.375</x:v>
      </x:c>
      <x:c r="B2778" s="6" t="n">
        <x:v>0.1822</x:v>
      </x:c>
      <x:c r="C2778" s="6" t="n">
        <x:v>0.10949999999999999</x:v>
      </x:c>
      <x:c r="D2778" s="6" t="n">
        <x:f>B2778</x:f>
        <x:v>0.1822</x:v>
      </x:c>
      <x:c r="E2778" s="1" t="n">
        <x:v>1.05</x:v>
      </x:c>
      <x:c r="F2778" s="1" t="str">
        <x:v>https://api.octopus.energy/v1/products/AGILE-24-10-01/electricity-tariffs/E-1R-AGILE-24-10-01-G/standard-unit-rates/</x:v>
      </x:c>
    </x:row>
    <x:row r="2779" ht="21" customHeight="1">
      <x:c r="A2779" s="24" t="n">
        <x:v>46206.395833333336</x:v>
      </x:c>
      <x:c r="B2779" s="6" t="n">
        <x:v>0.1725</x:v>
      </x:c>
      <x:c r="C2779" s="6" t="n">
        <x:v>0.1051</x:v>
      </x:c>
      <x:c r="D2779" s="6" t="n">
        <x:f>B2779</x:f>
        <x:v>0.1725</x:v>
      </x:c>
      <x:c r="E2779" s="1" t="n">
        <x:v>1.05</x:v>
      </x:c>
      <x:c r="F2779" s="1" t="str">
        <x:v>https://api.octopus.energy/v1/products/AGILE-24-10-01/electricity-tariffs/E-1R-AGILE-24-10-01-G/standard-unit-rates/</x:v>
      </x:c>
    </x:row>
    <x:row r="2780" ht="21" customHeight="1">
      <x:c r="A2780" s="24" t="n">
        <x:v>46206.416666666664</x:v>
      </x:c>
      <x:c r="B2780" s="6" t="n">
        <x:v>0.16820000000000002</x:v>
      </x:c>
      <x:c r="C2780" s="6" t="n">
        <x:v>0.1032</x:v>
      </x:c>
      <x:c r="D2780" s="6" t="n">
        <x:f>B2780</x:f>
        <x:v>0.16820000000000002</x:v>
      </x:c>
      <x:c r="E2780" s="1" t="n">
        <x:v>1.05</x:v>
      </x:c>
      <x:c r="F2780" s="1" t="str">
        <x:v>https://api.octopus.energy/v1/products/AGILE-24-10-01/electricity-tariffs/E-1R-AGILE-24-10-01-G/standard-unit-rates/</x:v>
      </x:c>
    </x:row>
    <x:row r="2781" ht="21" customHeight="1">
      <x:c r="A2781" s="24" t="n">
        <x:v>46206.4375</x:v>
      </x:c>
      <x:c r="B2781" s="6" t="n">
        <x:v>0.1524</x:v>
      </x:c>
      <x:c r="C2781" s="6" t="n">
        <x:v>0.0959</x:v>
      </x:c>
      <x:c r="D2781" s="6" t="n">
        <x:f>B2781</x:f>
        <x:v>0.1524</x:v>
      </x:c>
      <x:c r="E2781" s="1" t="n">
        <x:v>1.05</x:v>
      </x:c>
      <x:c r="F2781" s="1" t="str">
        <x:v>https://api.octopus.energy/v1/products/AGILE-24-10-01/electricity-tariffs/E-1R-AGILE-24-10-01-G/standard-unit-rates/</x:v>
      </x:c>
    </x:row>
    <x:row r="2782" ht="21" customHeight="1">
      <x:c r="A2782" s="24" t="n">
        <x:v>46206.458333333336</x:v>
      </x:c>
      <x:c r="B2782" s="6" t="n">
        <x:v>0.1241</x:v>
      </x:c>
      <x:c r="C2782" s="6" t="n">
        <x:v>0.083</x:v>
      </x:c>
      <x:c r="D2782" s="6" t="n">
        <x:f>B2782</x:f>
        <x:v>0.1241</x:v>
      </x:c>
      <x:c r="E2782" s="1" t="n">
        <x:v>1.05</x:v>
      </x:c>
      <x:c r="F2782" s="1" t="str">
        <x:v>https://api.octopus.energy/v1/products/AGILE-24-10-01/electricity-tariffs/E-1R-AGILE-24-10-01-G/standard-unit-rates/</x:v>
      </x:c>
    </x:row>
    <x:row r="2783" ht="21" customHeight="1">
      <x:c r="A2783" s="24" t="n">
        <x:v>46206.479166666664</x:v>
      </x:c>
      <x:c r="B2783" s="6" t="n">
        <x:v>0.11359999999999999</x:v>
      </x:c>
      <x:c r="C2783" s="6" t="n">
        <x:v>0.0782</x:v>
      </x:c>
      <x:c r="D2783" s="6" t="n">
        <x:f>B2783</x:f>
        <x:v>0.11359999999999999</x:v>
      </x:c>
      <x:c r="E2783" s="1" t="n">
        <x:v>1.05</x:v>
      </x:c>
      <x:c r="F2783" s="1" t="str">
        <x:v>https://api.octopus.energy/v1/products/AGILE-24-10-01/electricity-tariffs/E-1R-AGILE-24-10-01-G/standard-unit-rates/</x:v>
      </x:c>
    </x:row>
    <x:row r="2784" ht="21" customHeight="1">
      <x:c r="A2784" s="24" t="n">
        <x:v>46206.5</x:v>
      </x:c>
      <x:c r="B2784" s="6" t="n">
        <x:v>0.1188</x:v>
      </x:c>
      <x:c r="C2784" s="6" t="n">
        <x:v>0.0806</x:v>
      </x:c>
      <x:c r="D2784" s="6" t="n">
        <x:f>B2784</x:f>
        <x:v>0.1188</x:v>
      </x:c>
      <x:c r="E2784" s="1" t="n">
        <x:v>1.05</x:v>
      </x:c>
      <x:c r="F2784" s="1" t="str">
        <x:v>https://api.octopus.energy/v1/products/AGILE-24-10-01/electricity-tariffs/E-1R-AGILE-24-10-01-G/standard-unit-rates/</x:v>
      </x:c>
    </x:row>
    <x:row r="2785" ht="21" customHeight="1">
      <x:c r="A2785" s="24" t="n">
        <x:v>46206.520833333336</x:v>
      </x:c>
      <x:c r="B2785" s="6" t="n">
        <x:v>0.11359999999999999</x:v>
      </x:c>
      <x:c r="C2785" s="6" t="n">
        <x:v>0.0782</x:v>
      </x:c>
      <x:c r="D2785" s="6" t="n">
        <x:f>B2785</x:f>
        <x:v>0.11359999999999999</x:v>
      </x:c>
      <x:c r="E2785" s="1" t="n">
        <x:v>1.05</x:v>
      </x:c>
      <x:c r="F2785" s="1" t="str">
        <x:v>https://api.octopus.energy/v1/products/AGILE-24-10-01/electricity-tariffs/E-1R-AGILE-24-10-01-G/standard-unit-rates/</x:v>
      </x:c>
    </x:row>
    <x:row r="2786" ht="21" customHeight="1">
      <x:c r="A2786" s="24" t="n">
        <x:v>46206.541666666664</x:v>
      </x:c>
      <x:c r="B2786" s="6" t="n">
        <x:v>0.11359999999999999</x:v>
      </x:c>
      <x:c r="C2786" s="6" t="n">
        <x:v>0.0782</x:v>
      </x:c>
      <x:c r="D2786" s="6" t="n">
        <x:f>B2786</x:f>
        <x:v>0.11359999999999999</x:v>
      </x:c>
      <x:c r="E2786" s="1" t="n">
        <x:v>1.05</x:v>
      </x:c>
      <x:c r="F2786" s="1" t="str">
        <x:v>https://api.octopus.energy/v1/products/AGILE-24-10-01/electricity-tariffs/E-1R-AGILE-24-10-01-G/standard-unit-rates/</x:v>
      </x:c>
    </x:row>
    <x:row r="2787" ht="21" customHeight="1">
      <x:c r="A2787" s="24" t="n">
        <x:v>46206.5625</x:v>
      </x:c>
      <x:c r="B2787" s="6" t="n">
        <x:v>0.1093</x:v>
      </x:c>
      <x:c r="C2787" s="6" t="n">
        <x:v>0.0762</x:v>
      </x:c>
      <x:c r="D2787" s="6" t="n">
        <x:f>B2787</x:f>
        <x:v>0.1093</x:v>
      </x:c>
      <x:c r="E2787" s="1" t="n">
        <x:v>1.05</x:v>
      </x:c>
      <x:c r="F2787" s="1" t="str">
        <x:v>https://api.octopus.energy/v1/products/AGILE-24-10-01/electricity-tariffs/E-1R-AGILE-24-10-01-G/standard-unit-rates/</x:v>
      </x:c>
    </x:row>
    <x:row r="2788" ht="21" customHeight="1">
      <x:c r="A2788" s="24" t="n">
        <x:v>46206.583333333336</x:v>
      </x:c>
      <x:c r="B2788" s="6" t="n">
        <x:v>0.122</x:v>
      </x:c>
      <x:c r="C2788" s="6" t="n">
        <x:v>0.08199999999999999</x:v>
      </x:c>
      <x:c r="D2788" s="6" t="n">
        <x:f>B2788</x:f>
        <x:v>0.122</x:v>
      </x:c>
      <x:c r="E2788" s="1" t="n">
        <x:v>1.05</x:v>
      </x:c>
      <x:c r="F2788" s="1" t="str">
        <x:v>https://api.octopus.energy/v1/products/AGILE-24-10-01/electricity-tariffs/E-1R-AGILE-24-10-01-G/standard-unit-rates/</x:v>
      </x:c>
    </x:row>
    <x:row r="2789" ht="21" customHeight="1">
      <x:c r="A2789" s="24" t="n">
        <x:v>46206.604166666664</x:v>
      </x:c>
      <x:c r="B2789" s="6" t="n">
        <x:v>0.11380000000000001</x:v>
      </x:c>
      <x:c r="C2789" s="6" t="n">
        <x:v>0.0783</x:v>
      </x:c>
      <x:c r="D2789" s="6" t="n">
        <x:f>B2789</x:f>
        <x:v>0.11380000000000001</x:v>
      </x:c>
      <x:c r="E2789" s="1" t="n">
        <x:v>1.05</x:v>
      </x:c>
      <x:c r="F2789" s="1" t="str">
        <x:v>https://api.octopus.energy/v1/products/AGILE-24-10-01/electricity-tariffs/E-1R-AGILE-24-10-01-G/standard-unit-rates/</x:v>
      </x:c>
    </x:row>
    <x:row r="2790" ht="21" customHeight="1">
      <x:c r="A2790" s="24" t="n">
        <x:v>46206.625</x:v>
      </x:c>
      <x:c r="B2790" s="6" t="n">
        <x:v>0.1128</x:v>
      </x:c>
      <x:c r="C2790" s="6" t="n">
        <x:v>0.07780000000000001</x:v>
      </x:c>
      <x:c r="D2790" s="6" t="n">
        <x:f>B2790</x:f>
        <x:v>0.1128</x:v>
      </x:c>
      <x:c r="E2790" s="1" t="n">
        <x:v>1.05</x:v>
      </x:c>
      <x:c r="F2790" s="1" t="str">
        <x:v>https://api.octopus.energy/v1/products/AGILE-24-10-01/electricity-tariffs/E-1R-AGILE-24-10-01-G/standard-unit-rates/</x:v>
      </x:c>
    </x:row>
    <x:row r="2791" ht="21" customHeight="1">
      <x:c r="A2791" s="24" t="n">
        <x:v>46206.645833333336</x:v>
      </x:c>
      <x:c r="B2791" s="6" t="n">
        <x:v>0.11359999999999999</x:v>
      </x:c>
      <x:c r="C2791" s="6" t="n">
        <x:v>0.0782</x:v>
      </x:c>
      <x:c r="D2791" s="6" t="n">
        <x:f>B2791</x:f>
        <x:v>0.11359999999999999</x:v>
      </x:c>
      <x:c r="E2791" s="1" t="n">
        <x:v>1.05</x:v>
      </x:c>
      <x:c r="F2791" s="1" t="str">
        <x:v>https://api.octopus.energy/v1/products/AGILE-24-10-01/electricity-tariffs/E-1R-AGILE-24-10-01-G/standard-unit-rates/</x:v>
      </x:c>
    </x:row>
    <x:row r="2792" ht="21" customHeight="1">
      <x:c r="A2792" s="24" t="n">
        <x:v>46206.666666666664</x:v>
      </x:c>
      <x:c r="B2792" s="6" t="n">
        <x:v>0.25670000000000004</x:v>
      </x:c>
      <x:c r="C2792" s="6" t="n">
        <x:v>0.1477</x:v>
      </x:c>
      <x:c r="D2792" s="6" t="n">
        <x:f>B2792</x:f>
        <x:v>0.25670000000000004</x:v>
      </x:c>
      <x:c r="E2792" s="1" t="n">
        <x:v>1.05</x:v>
      </x:c>
      <x:c r="F2792" s="1" t="str">
        <x:v>https://api.octopus.energy/v1/products/AGILE-24-10-01/electricity-tariffs/E-1R-AGILE-24-10-01-G/standard-unit-rates/</x:v>
      </x:c>
    </x:row>
    <x:row r="2793" ht="21" customHeight="1">
      <x:c r="A2793" s="24" t="n">
        <x:v>46206.6875</x:v>
      </x:c>
      <x:c r="B2793" s="6" t="n">
        <x:v>0.2842</x:v>
      </x:c>
      <x:c r="C2793" s="6" t="n">
        <x:v>0.1602</x:v>
      </x:c>
      <x:c r="D2793" s="6" t="n">
        <x:f>B2793</x:f>
        <x:v>0.2842</x:v>
      </x:c>
      <x:c r="E2793" s="1" t="n">
        <x:v>1.05</x:v>
      </x:c>
      <x:c r="F2793" s="1" t="str">
        <x:v>https://api.octopus.energy/v1/products/AGILE-24-10-01/electricity-tariffs/E-1R-AGILE-24-10-01-G/standard-unit-rates/</x:v>
      </x:c>
    </x:row>
    <x:row r="2794" ht="21" customHeight="1">
      <x:c r="A2794" s="24" t="n">
        <x:v>46206.708333333336</x:v>
      </x:c>
      <x:c r="B2794" s="6" t="n">
        <x:v>0.2987</x:v>
      </x:c>
      <x:c r="C2794" s="6" t="n">
        <x:v>0.16690000000000002</x:v>
      </x:c>
      <x:c r="D2794" s="6" t="n">
        <x:f>B2794</x:f>
        <x:v>0.2987</x:v>
      </x:c>
      <x:c r="E2794" s="1" t="n">
        <x:v>1.05</x:v>
      </x:c>
      <x:c r="F2794" s="1" t="str">
        <x:v>https://api.octopus.energy/v1/products/AGILE-24-10-01/electricity-tariffs/E-1R-AGILE-24-10-01-G/standard-unit-rates/</x:v>
      </x:c>
    </x:row>
    <x:row r="2795" ht="21" customHeight="1">
      <x:c r="A2795" s="24" t="n">
        <x:v>46206.729166666664</x:v>
      </x:c>
      <x:c r="B2795" s="6" t="n">
        <x:v>0.3099</x:v>
      </x:c>
      <x:c r="C2795" s="6" t="n">
        <x:v>0.172</x:v>
      </x:c>
      <x:c r="D2795" s="6" t="n">
        <x:f>B2795</x:f>
        <x:v>0.3099</x:v>
      </x:c>
      <x:c r="E2795" s="1" t="n">
        <x:v>1.05</x:v>
      </x:c>
      <x:c r="F2795" s="1" t="str">
        <x:v>https://api.octopus.energy/v1/products/AGILE-24-10-01/electricity-tariffs/E-1R-AGILE-24-10-01-G/standard-unit-rates/</x:v>
      </x:c>
    </x:row>
    <x:row r="2796" ht="21" customHeight="1">
      <x:c r="A2796" s="24" t="n">
        <x:v>46206.75</x:v>
      </x:c>
      <x:c r="B2796" s="6" t="n">
        <x:v>0.305</x:v>
      </x:c>
      <x:c r="C2796" s="6" t="n">
        <x:v>0.1697</x:v>
      </x:c>
      <x:c r="D2796" s="6" t="n">
        <x:f>B2796</x:f>
        <x:v>0.305</x:v>
      </x:c>
      <x:c r="E2796" s="1" t="n">
        <x:v>1.05</x:v>
      </x:c>
      <x:c r="F2796" s="1" t="str">
        <x:v>https://api.octopus.energy/v1/products/AGILE-24-10-01/electricity-tariffs/E-1R-AGILE-24-10-01-G/standard-unit-rates/</x:v>
      </x:c>
    </x:row>
    <x:row r="2797" ht="21" customHeight="1">
      <x:c r="A2797" s="24" t="n">
        <x:v>46206.770833333336</x:v>
      </x:c>
      <x:c r="B2797" s="6" t="n">
        <x:v>0.30920000000000003</x:v>
      </x:c>
      <x:c r="C2797" s="6" t="n">
        <x:v>0.17170000000000002</x:v>
      </x:c>
      <x:c r="D2797" s="6" t="n">
        <x:f>B2797</x:f>
        <x:v>0.30920000000000003</x:v>
      </x:c>
      <x:c r="E2797" s="1" t="n">
        <x:v>1.05</x:v>
      </x:c>
      <x:c r="F2797" s="1" t="str">
        <x:v>https://api.octopus.energy/v1/products/AGILE-24-10-01/electricity-tariffs/E-1R-AGILE-24-10-01-G/standard-unit-rates/</x:v>
      </x:c>
    </x:row>
    <x:row r="2798" ht="21" customHeight="1">
      <x:c r="A2798" s="24" t="n">
        <x:v>46206.791666666664</x:v>
      </x:c>
      <x:c r="B2798" s="6" t="n">
        <x:v>0.21289999999999998</x:v>
      </x:c>
      <x:c r="C2798" s="6" t="n">
        <x:v>0.12359999999999999</x:v>
      </x:c>
      <x:c r="D2798" s="6" t="n">
        <x:f>B2798</x:f>
        <x:v>0.21289999999999998</x:v>
      </x:c>
      <x:c r="E2798" s="1" t="n">
        <x:v>1.05</x:v>
      </x:c>
      <x:c r="F2798" s="1" t="str">
        <x:v>https://api.octopus.energy/v1/products/AGILE-24-10-01/electricity-tariffs/E-1R-AGILE-24-10-01-G/standard-unit-rates/</x:v>
      </x:c>
    </x:row>
    <x:row r="2799" ht="21" customHeight="1">
      <x:c r="A2799" s="24" t="n">
        <x:v>46206.8125</x:v>
      </x:c>
      <x:c r="B2799" s="6" t="n">
        <x:v>0.21600000000000003</x:v>
      </x:c>
      <x:c r="C2799" s="6" t="n">
        <x:v>0.125</x:v>
      </x:c>
      <x:c r="D2799" s="6" t="n">
        <x:f>B2799</x:f>
        <x:v>0.21600000000000003</x:v>
      </x:c>
      <x:c r="E2799" s="1" t="n">
        <x:v>1.05</x:v>
      </x:c>
      <x:c r="F2799" s="1" t="str">
        <x:v>https://api.octopus.energy/v1/products/AGILE-24-10-01/electricity-tariffs/E-1R-AGILE-24-10-01-G/standard-unit-rates/</x:v>
      </x:c>
    </x:row>
    <x:row r="2800" ht="21" customHeight="1">
      <x:c r="A2800" s="24" t="n">
        <x:v>46206.833333333336</x:v>
      </x:c>
      <x:c r="B2800" s="6" t="n">
        <x:v>0.2217</x:v>
      </x:c>
      <x:c r="C2800" s="6" t="n">
        <x:v>0.1276</x:v>
      </x:c>
      <x:c r="D2800" s="6" t="n">
        <x:f>B2800</x:f>
        <x:v>0.2217</x:v>
      </x:c>
      <x:c r="E2800" s="1" t="n">
        <x:v>1.05</x:v>
      </x:c>
      <x:c r="F2800" s="1" t="str">
        <x:v>https://api.octopus.energy/v1/products/AGILE-24-10-01/electricity-tariffs/E-1R-AGILE-24-10-01-G/standard-unit-rates/</x:v>
      </x:c>
    </x:row>
    <x:row r="2801" ht="21" customHeight="1">
      <x:c r="A2801" s="24" t="n">
        <x:v>46206.854166666664</x:v>
      </x:c>
      <x:c r="B2801" s="6" t="n">
        <x:v>0.2183</x:v>
      </x:c>
      <x:c r="C2801" s="6" t="n">
        <x:v>0.1261</x:v>
      </x:c>
      <x:c r="D2801" s="6" t="n">
        <x:f>B2801</x:f>
        <x:v>0.2183</x:v>
      </x:c>
      <x:c r="E2801" s="1" t="n">
        <x:v>1.05</x:v>
      </x:c>
      <x:c r="F2801" s="1" t="str">
        <x:v>https://api.octopus.energy/v1/products/AGILE-24-10-01/electricity-tariffs/E-1R-AGILE-24-10-01-G/standard-unit-rates/</x:v>
      </x:c>
    </x:row>
    <x:row r="2802" ht="21" customHeight="1">
      <x:c r="A2802" s="24" t="n">
        <x:v>46206.875</x:v>
      </x:c>
      <x:c r="B2802" s="6" t="n">
        <x:v>0.2184</x:v>
      </x:c>
      <x:c r="C2802" s="6" t="n">
        <x:v>0.1261</x:v>
      </x:c>
      <x:c r="D2802" s="6" t="n">
        <x:f>B2802</x:f>
        <x:v>0.2184</x:v>
      </x:c>
      <x:c r="E2802" s="1" t="n">
        <x:v>1.05</x:v>
      </x:c>
      <x:c r="F2802" s="1" t="str">
        <x:v>https://api.octopus.energy/v1/products/AGILE-24-10-01/electricity-tariffs/E-1R-AGILE-24-10-01-G/standard-unit-rates/</x:v>
      </x:c>
    </x:row>
    <x:row r="2803" ht="21" customHeight="1">
      <x:c r="A2803" s="24" t="n">
        <x:v>46206.895833333336</x:v>
      </x:c>
      <x:c r="B2803" s="6" t="n">
        <x:v>0.2164</x:v>
      </x:c>
      <x:c r="C2803" s="6" t="n">
        <x:v>0.1252</x:v>
      </x:c>
      <x:c r="D2803" s="6" t="n">
        <x:f>B2803</x:f>
        <x:v>0.2164</x:v>
      </x:c>
      <x:c r="E2803" s="1" t="n">
        <x:v>1.05</x:v>
      </x:c>
      <x:c r="F2803" s="1" t="str">
        <x:v>https://api.octopus.energy/v1/products/AGILE-24-10-01/electricity-tariffs/E-1R-AGILE-24-10-01-G/standard-unit-rates/</x:v>
      </x:c>
    </x:row>
    <x:row r="2804" ht="21" customHeight="1">
      <x:c r="A2804" s="24" t="n">
        <x:v>46206.916666666664</x:v>
      </x:c>
      <x:c r="B2804" s="6" t="n">
        <x:v>0.2059</x:v>
      </x:c>
      <x:c r="C2804" s="6" t="n">
        <x:v>0.1204</x:v>
      </x:c>
      <x:c r="D2804" s="6" t="n">
        <x:f>B2804</x:f>
        <x:v>0.2059</x:v>
      </x:c>
      <x:c r="E2804" s="1" t="n">
        <x:v>1.05</x:v>
      </x:c>
      <x:c r="F2804" s="1" t="str">
        <x:v>https://api.octopus.energy/v1/products/AGILE-24-10-01/electricity-tariffs/E-1R-AGILE-24-10-01-G/standard-unit-rates/</x:v>
      </x:c>
    </x:row>
    <x:row r="2805" ht="21" customHeight="1">
      <x:c r="A2805" s="24" t="n">
        <x:v>46206.9375</x:v>
      </x:c>
      <x:c r="B2805" s="6" t="n">
        <x:v>0.1888</x:v>
      </x:c>
      <x:c r="C2805" s="6" t="n">
        <x:v>0.11259999999999999</x:v>
      </x:c>
      <x:c r="D2805" s="6" t="n">
        <x:f>B2805</x:f>
        <x:v>0.1888</x:v>
      </x:c>
      <x:c r="E2805" s="1" t="n">
        <x:v>1.05</x:v>
      </x:c>
      <x:c r="F2805" s="1" t="str">
        <x:v>https://api.octopus.energy/v1/products/AGILE-24-10-01/electricity-tariffs/E-1R-AGILE-24-10-01-G/standard-unit-rates/</x:v>
      </x:c>
    </x:row>
    <x:row r="2806" ht="21" customHeight="1">
      <x:c r="A2806" s="24" t="n">
        <x:v>46207</x:v>
      </x:c>
      <x:c r="B2806" s="6" t="n">
        <x:v>0.1916</x:v>
      </x:c>
      <x:c r="C2806" s="6" t="n">
        <x:v>0.11380000000000001</x:v>
      </x:c>
      <x:c r="D2806" s="6" t="n">
        <x:f>B2806</x:f>
        <x:v>0.1916</x:v>
      </x:c>
      <x:c r="E2806" s="1" t="n">
        <x:v>1.05</x:v>
      </x:c>
      <x:c r="F2806" s="1" t="str">
        <x:v>https://api.octopus.energy/v1/products/AGILE-24-10-01/electricity-tariffs/E-1R-AGILE-24-10-01-G/standard-unit-rates/</x:v>
      </x:c>
    </x:row>
    <x:row r="2807" ht="21" customHeight="1">
      <x:c r="A2807" s="24" t="n">
        <x:v>46206.979166666664</x:v>
      </x:c>
      <x:c r="B2807" s="6" t="n">
        <x:v>0.19149999999999998</x:v>
      </x:c>
      <x:c r="C2807" s="6" t="n">
        <x:v>0.11380000000000001</x:v>
      </x:c>
      <x:c r="D2807" s="6" t="n">
        <x:f>B2807</x:f>
        <x:v>0.19149999999999998</x:v>
      </x:c>
      <x:c r="E2807" s="1" t="n">
        <x:v>1.05</x:v>
      </x:c>
      <x:c r="F2807" s="1" t="str">
        <x:v>https://api.octopus.energy/v1/products/AGILE-24-10-01/electricity-tariffs/E-1R-AGILE-24-10-01-G/standard-unit-rates/</x:v>
      </x:c>
    </x:row>
    <x:row r="2808" ht="21" customHeight="1">
      <x:c r="A2808" s="24" t="n">
        <x:v>46207</x:v>
      </x:c>
      <x:c r="B2808" s="6" t="n">
        <x:v>0.1957</x:v>
      </x:c>
      <x:c r="C2808" s="6" t="n">
        <x:v>0.1157</x:v>
      </x:c>
      <x:c r="D2808" s="6" t="n">
        <x:f>B2808</x:f>
        <x:v>0.1957</x:v>
      </x:c>
      <x:c r="E2808" s="1" t="n">
        <x:v>1.05</x:v>
      </x:c>
      <x:c r="F2808" s="1" t="str">
        <x:v>https://api.octopus.energy/v1/products/AGILE-24-10-01/electricity-tariffs/E-1R-AGILE-24-10-01-G/standard-unit-rates/</x:v>
      </x:c>
    </x:row>
    <x:row r="2809" ht="21" customHeight="1">
      <x:c r="A2809" s="24" t="n">
        <x:v>46207.020833333336</x:v>
      </x:c>
      <x:c r="B2809" s="6" t="n">
        <x:v>0.1916</x:v>
      </x:c>
      <x:c r="C2809" s="6" t="n">
        <x:v>0.11380000000000001</x:v>
      </x:c>
      <x:c r="D2809" s="6" t="n">
        <x:f>B2809</x:f>
        <x:v>0.1916</x:v>
      </x:c>
      <x:c r="E2809" s="1" t="n">
        <x:v>1.05</x:v>
      </x:c>
      <x:c r="F2809" s="1" t="str">
        <x:v>https://api.octopus.energy/v1/products/AGILE-24-10-01/electricity-tariffs/E-1R-AGILE-24-10-01-G/standard-unit-rates/</x:v>
      </x:c>
    </x:row>
    <x:row r="2810" ht="21" customHeight="1">
      <x:c r="A2810" s="24" t="n">
        <x:v>46207.041666666664</x:v>
      </x:c>
      <x:c r="B2810" s="6" t="n">
        <x:v>0.18530000000000002</x:v>
      </x:c>
      <x:c r="C2810" s="6" t="n">
        <x:v>0.111</x:v>
      </x:c>
      <x:c r="D2810" s="6" t="n">
        <x:f>B2810</x:f>
        <x:v>0.18530000000000002</x:v>
      </x:c>
      <x:c r="E2810" s="1" t="n">
        <x:v>1.05</x:v>
      </x:c>
      <x:c r="F2810" s="1" t="str">
        <x:v>https://api.octopus.energy/v1/products/AGILE-24-10-01/electricity-tariffs/E-1R-AGILE-24-10-01-G/standard-unit-rates/</x:v>
      </x:c>
    </x:row>
    <x:row r="2811" ht="21" customHeight="1">
      <x:c r="A2811" s="24" t="n">
        <x:v>46207.0625</x:v>
      </x:c>
      <x:c r="B2811" s="6" t="n">
        <x:v>0.1791</x:v>
      </x:c>
      <x:c r="C2811" s="6" t="n">
        <x:v>0.1082</x:v>
      </x:c>
      <x:c r="D2811" s="6" t="n">
        <x:f>B2811</x:f>
        <x:v>0.1791</x:v>
      </x:c>
      <x:c r="E2811" s="1" t="n">
        <x:v>1.05</x:v>
      </x:c>
      <x:c r="F2811" s="1" t="str">
        <x:v>https://api.octopus.energy/v1/products/AGILE-24-10-01/electricity-tariffs/E-1R-AGILE-24-10-01-G/standard-unit-rates/</x:v>
      </x:c>
    </x:row>
    <x:row r="2812" ht="21" customHeight="1">
      <x:c r="A2812" s="24" t="n">
        <x:v>46207.083333333336</x:v>
      </x:c>
      <x:c r="B2812" s="6" t="n">
        <x:v>0.16399999999999998</x:v>
      </x:c>
      <x:c r="C2812" s="6" t="n">
        <x:v>0.1012</x:v>
      </x:c>
      <x:c r="D2812" s="6" t="n">
        <x:f>B2812</x:f>
        <x:v>0.16399999999999998</x:v>
      </x:c>
      <x:c r="E2812" s="1" t="n">
        <x:v>1.05</x:v>
      </x:c>
      <x:c r="F2812" s="1" t="str">
        <x:v>https://api.octopus.energy/v1/products/AGILE-24-10-01/electricity-tariffs/E-1R-AGILE-24-10-01-G/standard-unit-rates/</x:v>
      </x:c>
    </x:row>
    <x:row r="2813" ht="21" customHeight="1">
      <x:c r="A2813" s="24" t="n">
        <x:v>46207.104166666664</x:v>
      </x:c>
      <x:c r="B2813" s="6" t="n">
        <x:v>0.1407</x:v>
      </x:c>
      <x:c r="C2813" s="6" t="n">
        <x:v>0.0906</x:v>
      </x:c>
      <x:c r="D2813" s="6" t="n">
        <x:f>B2813</x:f>
        <x:v>0.1407</x:v>
      </x:c>
      <x:c r="E2813" s="1" t="n">
        <x:v>1.05</x:v>
      </x:c>
      <x:c r="F2813" s="1" t="str">
        <x:v>https://api.octopus.energy/v1/products/AGILE-24-10-01/electricity-tariffs/E-1R-AGILE-24-10-01-G/standard-unit-rates/</x:v>
      </x:c>
    </x:row>
    <x:row r="2814" ht="21" customHeight="1">
      <x:c r="A2814" s="24" t="n">
        <x:v>46207.125</x:v>
      </x:c>
      <x:c r="B2814" s="6" t="n">
        <x:v>0.13119999999999998</x:v>
      </x:c>
      <x:c r="C2814" s="6" t="n">
        <x:v>0.0863</x:v>
      </x:c>
      <x:c r="D2814" s="6" t="n">
        <x:f>B2814</x:f>
        <x:v>0.13119999999999998</x:v>
      </x:c>
      <x:c r="E2814" s="1" t="n">
        <x:v>1.05</x:v>
      </x:c>
      <x:c r="F2814" s="1" t="str">
        <x:v>https://api.octopus.energy/v1/products/AGILE-24-10-01/electricity-tariffs/E-1R-AGILE-24-10-01-G/standard-unit-rates/</x:v>
      </x:c>
    </x:row>
    <x:row r="2815" ht="21" customHeight="1">
      <x:c r="A2815" s="24" t="n">
        <x:v>46207.145833333336</x:v>
      </x:c>
      <x:c r="B2815" s="6" t="n">
        <x:v>0.1081</x:v>
      </x:c>
      <x:c r="C2815" s="6" t="n">
        <x:v>0.0757</x:v>
      </x:c>
      <x:c r="D2815" s="6" t="n">
        <x:f>B2815</x:f>
        <x:v>0.1081</x:v>
      </x:c>
      <x:c r="E2815" s="1" t="n">
        <x:v>1.05</x:v>
      </x:c>
      <x:c r="F2815" s="1" t="str">
        <x:v>https://api.octopus.energy/v1/products/AGILE-24-10-01/electricity-tariffs/E-1R-AGILE-24-10-01-G/standard-unit-rates/</x:v>
      </x:c>
    </x:row>
    <x:row r="2816" ht="21" customHeight="1">
      <x:c r="A2816" s="24" t="n">
        <x:v>46207.166666666664</x:v>
      </x:c>
      <x:c r="B2816" s="6" t="n">
        <x:v>0.1003</x:v>
      </x:c>
      <x:c r="C2816" s="6" t="n">
        <x:v>0.0721</x:v>
      </x:c>
      <x:c r="D2816" s="6" t="n">
        <x:f>B2816</x:f>
        <x:v>0.1003</x:v>
      </x:c>
      <x:c r="E2816" s="1" t="n">
        <x:v>1.05</x:v>
      </x:c>
      <x:c r="F2816" s="1" t="str">
        <x:v>https://api.octopus.energy/v1/products/AGILE-24-10-01/electricity-tariffs/E-1R-AGILE-24-10-01-G/standard-unit-rates/</x:v>
      </x:c>
    </x:row>
    <x:row r="2817" ht="21" customHeight="1">
      <x:c r="A2817" s="24" t="n">
        <x:v>46207.1875</x:v>
      </x:c>
      <x:c r="B2817" s="6" t="n">
        <x:v>0.0817</x:v>
      </x:c>
      <x:c r="C2817" s="6" t="n">
        <x:v>0.0636</x:v>
      </x:c>
      <x:c r="D2817" s="6" t="n">
        <x:f>B2817</x:f>
        <x:v>0.0817</x:v>
      </x:c>
      <x:c r="E2817" s="1" t="n">
        <x:v>1.05</x:v>
      </x:c>
      <x:c r="F2817" s="1" t="str">
        <x:v>https://api.octopus.energy/v1/products/AGILE-24-10-01/electricity-tariffs/E-1R-AGILE-24-10-01-G/standard-unit-rates/</x:v>
      </x:c>
    </x:row>
    <x:row r="2818" ht="21" customHeight="1">
      <x:c r="A2818" s="24" t="n">
        <x:v>46207.208333333336</x:v>
      </x:c>
      <x:c r="B2818" s="6" t="n">
        <x:v>0.0723</x:v>
      </x:c>
      <x:c r="C2818" s="6" t="n">
        <x:v>0.0593</x:v>
      </x:c>
      <x:c r="D2818" s="6" t="n">
        <x:f>B2818</x:f>
        <x:v>0.0723</x:v>
      </x:c>
      <x:c r="E2818" s="1" t="n">
        <x:v>1.05</x:v>
      </x:c>
      <x:c r="F2818" s="1" t="str">
        <x:v>https://api.octopus.energy/v1/products/AGILE-24-10-01/electricity-tariffs/E-1R-AGILE-24-10-01-G/standard-unit-rates/</x:v>
      </x:c>
    </x:row>
    <x:row r="2819" ht="21" customHeight="1">
      <x:c r="A2819" s="24" t="n">
        <x:v>46207.229166666664</x:v>
      </x:c>
      <x:c r="B2819" s="6" t="n">
        <x:v>0.0613</x:v>
      </x:c>
      <x:c r="C2819" s="6" t="n">
        <x:v>0.054299999999999994</x:v>
      </x:c>
      <x:c r="D2819" s="6" t="n">
        <x:f>B2819</x:f>
        <x:v>0.0613</x:v>
      </x:c>
      <x:c r="E2819" s="1" t="n">
        <x:v>1.05</x:v>
      </x:c>
      <x:c r="F2819" s="1" t="str">
        <x:v>https://api.octopus.energy/v1/products/AGILE-24-10-01/electricity-tariffs/E-1R-AGILE-24-10-01-G/standard-unit-rates/</x:v>
      </x:c>
    </x:row>
    <x:row r="2820" ht="21" customHeight="1">
      <x:c r="A2820" s="24" t="n">
        <x:v>46207.25</x:v>
      </x:c>
      <x:c r="B2820" s="6" t="n">
        <x:v>0.0768</x:v>
      </x:c>
      <x:c r="C2820" s="6" t="n">
        <x:v>0.061399999999999996</x:v>
      </x:c>
      <x:c r="D2820" s="6" t="n">
        <x:f>B2820</x:f>
        <x:v>0.0768</x:v>
      </x:c>
      <x:c r="E2820" s="1" t="n">
        <x:v>1.05</x:v>
      </x:c>
      <x:c r="F2820" s="1" t="str">
        <x:v>https://api.octopus.energy/v1/products/AGILE-24-10-01/electricity-tariffs/E-1R-AGILE-24-10-01-G/standard-unit-rates/</x:v>
      </x:c>
    </x:row>
    <x:row r="2821" ht="21" customHeight="1">
      <x:c r="A2821" s="24" t="n">
        <x:v>46207.270833333336</x:v>
      </x:c>
      <x:c r="B2821" s="6" t="n">
        <x:v>0.0766</x:v>
      </x:c>
      <x:c r="C2821" s="6" t="n">
        <x:v>0.0613</x:v>
      </x:c>
      <x:c r="D2821" s="6" t="n">
        <x:f>B2821</x:f>
        <x:v>0.0766</x:v>
      </x:c>
      <x:c r="E2821" s="1" t="n">
        <x:v>1.05</x:v>
      </x:c>
      <x:c r="F2821" s="1" t="str">
        <x:v>https://api.octopus.energy/v1/products/AGILE-24-10-01/electricity-tariffs/E-1R-AGILE-24-10-01-G/standard-unit-rates/</x:v>
      </x:c>
    </x:row>
    <x:row r="2822" ht="21" customHeight="1">
      <x:c r="A2822" s="24" t="n">
        <x:v>46207.291666666664</x:v>
      </x:c>
      <x:c r="B2822" s="6" t="n">
        <x:v>-0.009300000000000001</x:v>
      </x:c>
      <x:c r="C2822" s="6" t="n">
        <x:v>0.022000000000000002</x:v>
      </x:c>
      <x:c r="D2822" s="6" t="n">
        <x:f>B2822</x:f>
        <x:v>-0.009300000000000001</x:v>
      </x:c>
      <x:c r="E2822" s="1" t="n">
        <x:v>1.05</x:v>
      </x:c>
      <x:c r="F2822" s="1" t="str">
        <x:v>https://api.octopus.energy/v1/products/AGILE-24-10-01/electricity-tariffs/E-1R-AGILE-24-10-01-G/standard-unit-rates/</x:v>
      </x:c>
    </x:row>
    <x:row r="2823" ht="21" customHeight="1">
      <x:c r="A2823" s="24" t="n">
        <x:v>46207.3125</x:v>
      </x:c>
      <x:c r="B2823" s="6" t="n">
        <x:v>0.0097</x:v>
      </x:c>
      <x:c r="C2823" s="6" t="n">
        <x:v>0.030699999999999998</x:v>
      </x:c>
      <x:c r="D2823" s="6" t="n">
        <x:f>B2823</x:f>
        <x:v>0.0097</x:v>
      </x:c>
      <x:c r="E2823" s="1" t="n">
        <x:v>1.05</x:v>
      </x:c>
      <x:c r="F2823" s="1" t="str">
        <x:v>https://api.octopus.energy/v1/products/AGILE-24-10-01/electricity-tariffs/E-1R-AGILE-24-10-01-G/standard-unit-rates/</x:v>
      </x:c>
    </x:row>
    <x:row r="2824" ht="21" customHeight="1">
      <x:c r="A2824" s="24" t="n">
        <x:v>46207.333333333336</x:v>
      </x:c>
      <x:c r="B2824" s="6" t="n">
        <x:v>-0.011399999999999999</x:v>
      </x:c>
      <x:c r="C2824" s="6" t="n">
        <x:v>0.021099999999999997</x:v>
      </x:c>
      <x:c r="D2824" s="6" t="n">
        <x:f>B2824</x:f>
        <x:v>-0.011399999999999999</x:v>
      </x:c>
      <x:c r="E2824" s="1" t="n">
        <x:v>1.05</x:v>
      </x:c>
      <x:c r="F2824" s="1" t="str">
        <x:v>https://api.octopus.energy/v1/products/AGILE-24-10-01/electricity-tariffs/E-1R-AGILE-24-10-01-G/standard-unit-rates/</x:v>
      </x:c>
    </x:row>
    <x:row r="2825" ht="21" customHeight="1">
      <x:c r="A2825" s="24" t="n">
        <x:v>46207.354166666664</x:v>
      </x:c>
      <x:c r="B2825" s="6" t="n">
        <x:v>-0.0218</x:v>
      </x:c>
      <x:c r="C2825" s="6" t="n">
        <x:v>0.0163</x:v>
      </x:c>
      <x:c r="D2825" s="6" t="n">
        <x:f>B2825</x:f>
        <x:v>-0.0218</x:v>
      </x:c>
      <x:c r="E2825" s="1" t="n">
        <x:v>1.05</x:v>
      </x:c>
      <x:c r="F2825" s="1" t="str">
        <x:v>https://api.octopus.energy/v1/products/AGILE-24-10-01/electricity-tariffs/E-1R-AGILE-24-10-01-G/standard-unit-rates/</x:v>
      </x:c>
    </x:row>
    <x:row r="2826" ht="21" customHeight="1">
      <x:c r="A2826" s="24" t="n">
        <x:v>46207.375</x:v>
      </x:c>
      <x:c r="B2826" s="6" t="n">
        <x:v>-0.018799999999999997</x:v>
      </x:c>
      <x:c r="C2826" s="6" t="n">
        <x:v>0.0177</x:v>
      </x:c>
      <x:c r="D2826" s="6" t="n">
        <x:f>B2826</x:f>
        <x:v>-0.018799999999999997</x:v>
      </x:c>
      <x:c r="E2826" s="1" t="n">
        <x:v>1.05</x:v>
      </x:c>
      <x:c r="F2826" s="1" t="str">
        <x:v>https://api.octopus.energy/v1/products/AGILE-24-10-01/electricity-tariffs/E-1R-AGILE-24-10-01-G/standard-unit-rates/</x:v>
      </x:c>
    </x:row>
    <x:row r="2827" ht="21" customHeight="1">
      <x:c r="A2827" s="24" t="n">
        <x:v>46207.395833333336</x:v>
      </x:c>
      <x:c r="B2827" s="6" t="n">
        <x:v>-0.0269</x:v>
      </x:c>
      <x:c r="C2827" s="6" t="n">
        <x:v>0.013999999999999999</x:v>
      </x:c>
      <x:c r="D2827" s="6" t="n">
        <x:f>B2827</x:f>
        <x:v>-0.0269</x:v>
      </x:c>
      <x:c r="E2827" s="1" t="n">
        <x:v>1.05</x:v>
      </x:c>
      <x:c r="F2827" s="1" t="str">
        <x:v>https://api.octopus.energy/v1/products/AGILE-24-10-01/electricity-tariffs/E-1R-AGILE-24-10-01-G/standard-unit-rates/</x:v>
      </x:c>
    </x:row>
    <x:row r="2828" ht="21" customHeight="1">
      <x:c r="A2828" s="24" t="n">
        <x:v>46207.416666666664</x:v>
      </x:c>
      <x:c r="B2828" s="6" t="n">
        <x:v>-0.025</x:v>
      </x:c>
      <x:c r="C2828" s="6" t="n">
        <x:v>0.0149</x:v>
      </x:c>
      <x:c r="D2828" s="6" t="n">
        <x:f>B2828</x:f>
        <x:v>-0.025</x:v>
      </x:c>
      <x:c r="E2828" s="1" t="n">
        <x:v>1.05</x:v>
      </x:c>
      <x:c r="F2828" s="1" t="str">
        <x:v>https://api.octopus.energy/v1/products/AGILE-24-10-01/electricity-tariffs/E-1R-AGILE-24-10-01-G/standard-unit-rates/</x:v>
      </x:c>
    </x:row>
    <x:row r="2829" ht="21" customHeight="1">
      <x:c r="A2829" s="24" t="n">
        <x:v>46207.4375</x:v>
      </x:c>
      <x:c r="B2829" s="6" t="n">
        <x:v>-0.0316</x:v>
      </x:c>
      <x:c r="C2829" s="6" t="n">
        <x:v>0.0118</x:v>
      </x:c>
      <x:c r="D2829" s="6" t="n">
        <x:f>B2829</x:f>
        <x:v>-0.0316</x:v>
      </x:c>
      <x:c r="E2829" s="1" t="n">
        <x:v>1.05</x:v>
      </x:c>
      <x:c r="F2829" s="1" t="str">
        <x:v>https://api.octopus.energy/v1/products/AGILE-24-10-01/electricity-tariffs/E-1R-AGILE-24-10-01-G/standard-unit-rates/</x:v>
      </x:c>
    </x:row>
    <x:row r="2830" ht="21" customHeight="1">
      <x:c r="A2830" s="24" t="n">
        <x:v>46207.458333333336</x:v>
      </x:c>
      <x:c r="B2830" s="6" t="n">
        <x:v>-0.026699999999999998</x:v>
      </x:c>
      <x:c r="C2830" s="6" t="n">
        <x:v>0.0141</x:v>
      </x:c>
      <x:c r="D2830" s="6" t="n">
        <x:f>B2830</x:f>
        <x:v>-0.026699999999999998</x:v>
      </x:c>
      <x:c r="E2830" s="1" t="n">
        <x:v>1.05</x:v>
      </x:c>
      <x:c r="F2830" s="1" t="str">
        <x:v>https://api.octopus.energy/v1/products/AGILE-24-10-01/electricity-tariffs/E-1R-AGILE-24-10-01-G/standard-unit-rates/</x:v>
      </x:c>
    </x:row>
    <x:row r="2831" ht="21" customHeight="1">
      <x:c r="A2831" s="24" t="n">
        <x:v>46207.479166666664</x:v>
      </x:c>
      <x:c r="B2831" s="6" t="n">
        <x:v>-0.0383</x:v>
      </x:c>
      <x:c r="C2831" s="6" t="n">
        <x:v>0.0088</x:v>
      </x:c>
      <x:c r="D2831" s="6" t="n">
        <x:f>B2831</x:f>
        <x:v>-0.0383</x:v>
      </x:c>
      <x:c r="E2831" s="1" t="n">
        <x:v>1.05</x:v>
      </x:c>
      <x:c r="F2831" s="1" t="str">
        <x:v>https://api.octopus.energy/v1/products/AGILE-24-10-01/electricity-tariffs/E-1R-AGILE-24-10-01-G/standard-unit-rates/</x:v>
      </x:c>
    </x:row>
    <x:row r="2832" ht="21" customHeight="1">
      <x:c r="A2832" s="24" t="n">
        <x:v>46207.5</x:v>
      </x:c>
      <x:c r="B2832" s="6" t="n">
        <x:v>-0.0397</x:v>
      </x:c>
      <x:c r="C2832" s="6" t="n">
        <x:v>0.008100000000000001</x:v>
      </x:c>
      <x:c r="D2832" s="6" t="n">
        <x:f>B2832</x:f>
        <x:v>-0.0397</x:v>
      </x:c>
      <x:c r="E2832" s="1" t="n">
        <x:v>1.05</x:v>
      </x:c>
      <x:c r="F2832" s="1" t="str">
        <x:v>https://api.octopus.energy/v1/products/AGILE-24-10-01/electricity-tariffs/E-1R-AGILE-24-10-01-G/standard-unit-rates/</x:v>
      </x:c>
    </x:row>
    <x:row r="2833" ht="21" customHeight="1">
      <x:c r="A2833" s="24" t="n">
        <x:v>46207.520833333336</x:v>
      </x:c>
      <x:c r="B2833" s="6" t="n">
        <x:v>-0.0417</x:v>
      </x:c>
      <x:c r="C2833" s="6" t="n">
        <x:v>0.0072</x:v>
      </x:c>
      <x:c r="D2833" s="6" t="n">
        <x:f>B2833</x:f>
        <x:v>-0.0417</x:v>
      </x:c>
      <x:c r="E2833" s="1" t="n">
        <x:v>1.05</x:v>
      </x:c>
      <x:c r="F2833" s="1" t="str">
        <x:v>https://api.octopus.energy/v1/products/AGILE-24-10-01/electricity-tariffs/E-1R-AGILE-24-10-01-G/standard-unit-rates/</x:v>
      </x:c>
    </x:row>
    <x:row r="2834" ht="21" customHeight="1">
      <x:c r="A2834" s="24" t="n">
        <x:v>46207.541666666664</x:v>
      </x:c>
      <x:c r="B2834" s="6" t="n">
        <x:v>-0.0397</x:v>
      </x:c>
      <x:c r="C2834" s="6" t="n">
        <x:v>0.008100000000000001</x:v>
      </x:c>
      <x:c r="D2834" s="6" t="n">
        <x:f>B2834</x:f>
        <x:v>-0.0397</x:v>
      </x:c>
      <x:c r="E2834" s="1" t="n">
        <x:v>1.05</x:v>
      </x:c>
      <x:c r="F2834" s="1" t="str">
        <x:v>https://api.octopus.energy/v1/products/AGILE-24-10-01/electricity-tariffs/E-1R-AGILE-24-10-01-G/standard-unit-rates/</x:v>
      </x:c>
    </x:row>
    <x:row r="2835" ht="21" customHeight="1">
      <x:c r="A2835" s="24" t="n">
        <x:v>46207.5625</x:v>
      </x:c>
      <x:c r="B2835" s="6" t="n">
        <x:v>-0.0506</x:v>
      </x:c>
      <x:c r="C2835" s="6" t="n">
        <x:v>0.0031</x:v>
      </x:c>
      <x:c r="D2835" s="6" t="n">
        <x:f>B2835</x:f>
        <x:v>-0.0506</x:v>
      </x:c>
      <x:c r="E2835" s="1" t="n">
        <x:v>1.05</x:v>
      </x:c>
      <x:c r="F2835" s="1" t="str">
        <x:v>https://api.octopus.energy/v1/products/AGILE-24-10-01/electricity-tariffs/E-1R-AGILE-24-10-01-G/standard-unit-rates/</x:v>
      </x:c>
    </x:row>
    <x:row r="2836" ht="21" customHeight="1">
      <x:c r="A2836" s="24" t="n">
        <x:v>46207.583333333336</x:v>
      </x:c>
      <x:c r="B2836" s="6" t="n">
        <x:v>-0.0363</x:v>
      </x:c>
      <x:c r="C2836" s="6" t="n">
        <x:v>0.0097</x:v>
      </x:c>
      <x:c r="D2836" s="6" t="n">
        <x:f>B2836</x:f>
        <x:v>-0.0363</x:v>
      </x:c>
      <x:c r="E2836" s="1" t="n">
        <x:v>1.05</x:v>
      </x:c>
      <x:c r="F2836" s="1" t="str">
        <x:v>https://api.octopus.energy/v1/products/AGILE-24-10-01/electricity-tariffs/E-1R-AGILE-24-10-01-G/standard-unit-rates/</x:v>
      </x:c>
    </x:row>
    <x:row r="2837" ht="21" customHeight="1">
      <x:c r="A2837" s="24" t="n">
        <x:v>46207.604166666664</x:v>
      </x:c>
      <x:c r="B2837" s="6" t="n">
        <x:v>-0.0355</x:v>
      </x:c>
      <x:c r="C2837" s="6" t="n">
        <x:v>0.01</x:v>
      </x:c>
      <x:c r="D2837" s="6" t="n">
        <x:f>B2837</x:f>
        <x:v>-0.0355</x:v>
      </x:c>
      <x:c r="E2837" s="1" t="n">
        <x:v>1.05</x:v>
      </x:c>
      <x:c r="F2837" s="1" t="str">
        <x:v>https://api.octopus.energy/v1/products/AGILE-24-10-01/electricity-tariffs/E-1R-AGILE-24-10-01-G/standard-unit-rates/</x:v>
      </x:c>
    </x:row>
    <x:row r="2838" ht="21" customHeight="1">
      <x:c r="A2838" s="24" t="n">
        <x:v>46207.625</x:v>
      </x:c>
      <x:c r="B2838" s="6" t="n">
        <x:v>-0.0349</x:v>
      </x:c>
      <x:c r="C2838" s="6" t="n">
        <x:v>0.0103</x:v>
      </x:c>
      <x:c r="D2838" s="6" t="n">
        <x:f>B2838</x:f>
        <x:v>-0.0349</x:v>
      </x:c>
      <x:c r="E2838" s="1" t="n">
        <x:v>1.05</x:v>
      </x:c>
      <x:c r="F2838" s="1" t="str">
        <x:v>https://api.octopus.energy/v1/products/AGILE-24-10-01/electricity-tariffs/E-1R-AGILE-24-10-01-G/standard-unit-rates/</x:v>
      </x:c>
    </x:row>
    <x:row r="2839" ht="21" customHeight="1">
      <x:c r="A2839" s="24" t="n">
        <x:v>46207.645833333336</x:v>
      </x:c>
      <x:c r="B2839" s="6" t="n">
        <x:v>-0.0277</x:v>
      </x:c>
      <x:c r="C2839" s="6" t="n">
        <x:v>0.013600000000000001</x:v>
      </x:c>
      <x:c r="D2839" s="6" t="n">
        <x:f>B2839</x:f>
        <x:v>-0.0277</x:v>
      </x:c>
      <x:c r="E2839" s="1" t="n">
        <x:v>1.05</x:v>
      </x:c>
      <x:c r="F2839" s="1" t="str">
        <x:v>https://api.octopus.energy/v1/products/AGILE-24-10-01/electricity-tariffs/E-1R-AGILE-24-10-01-G/standard-unit-rates/</x:v>
      </x:c>
    </x:row>
    <x:row r="2840" ht="21" customHeight="1">
      <x:c r="A2840" s="24" t="n">
        <x:v>46207.666666666664</x:v>
      </x:c>
      <x:c r="B2840" s="6" t="n">
        <x:v>0.0915</x:v>
      </x:c>
      <x:c r="C2840" s="6" t="n">
        <x:v>0.0722</x:v>
      </x:c>
      <x:c r="D2840" s="6" t="n">
        <x:f>B2840</x:f>
        <x:v>0.0915</x:v>
      </x:c>
      <x:c r="E2840" s="1" t="n">
        <x:v>1.05</x:v>
      </x:c>
      <x:c r="F2840" s="1" t="str">
        <x:v>https://api.octopus.energy/v1/products/AGILE-24-10-01/electricity-tariffs/E-1R-AGILE-24-10-01-G/standard-unit-rates/</x:v>
      </x:c>
    </x:row>
    <x:row r="2841" ht="21" customHeight="1">
      <x:c r="A2841" s="24" t="n">
        <x:v>46207.6875</x:v>
      </x:c>
      <x:c r="B2841" s="6" t="n">
        <x:v>0.12</x:v>
      </x:c>
      <x:c r="C2841" s="6" t="n">
        <x:v>0.0852</x:v>
      </x:c>
      <x:c r="D2841" s="6" t="n">
        <x:f>B2841</x:f>
        <x:v>0.12</x:v>
      </x:c>
      <x:c r="E2841" s="1" t="n">
        <x:v>1.05</x:v>
      </x:c>
      <x:c r="F2841" s="1" t="str">
        <x:v>https://api.octopus.energy/v1/products/AGILE-24-10-01/electricity-tariffs/E-1R-AGILE-24-10-01-G/standard-unit-rates/</x:v>
      </x:c>
    </x:row>
    <x:row r="2842" ht="21" customHeight="1">
      <x:c r="A2842" s="24" t="n">
        <x:v>46207.708333333336</x:v>
      </x:c>
      <x:c r="B2842" s="6" t="n">
        <x:v>0.1643</x:v>
      </x:c>
      <x:c r="C2842" s="6" t="n">
        <x:v>0.1054</x:v>
      </x:c>
      <x:c r="D2842" s="6" t="n">
        <x:f>B2842</x:f>
        <x:v>0.1643</x:v>
      </x:c>
      <x:c r="E2842" s="1" t="n">
        <x:v>1.05</x:v>
      </x:c>
      <x:c r="F2842" s="1" t="str">
        <x:v>https://api.octopus.energy/v1/products/AGILE-24-10-01/electricity-tariffs/E-1R-AGILE-24-10-01-G/standard-unit-rates/</x:v>
      </x:c>
    </x:row>
    <x:row r="2843" ht="21" customHeight="1">
      <x:c r="A2843" s="24" t="n">
        <x:v>46207.729166666664</x:v>
      </x:c>
      <x:c r="B2843" s="6" t="n">
        <x:v>0.2231</x:v>
      </x:c>
      <x:c r="C2843" s="6" t="n">
        <x:v>0.1323</x:v>
      </x:c>
      <x:c r="D2843" s="6" t="n">
        <x:f>B2843</x:f>
        <x:v>0.2231</x:v>
      </x:c>
      <x:c r="E2843" s="1" t="n">
        <x:v>1.05</x:v>
      </x:c>
      <x:c r="F2843" s="1" t="str">
        <x:v>https://api.octopus.energy/v1/products/AGILE-24-10-01/electricity-tariffs/E-1R-AGILE-24-10-01-G/standard-unit-rates/</x:v>
      </x:c>
    </x:row>
    <x:row r="2844" ht="21" customHeight="1">
      <x:c r="A2844" s="24" t="n">
        <x:v>46207.75</x:v>
      </x:c>
      <x:c r="B2844" s="6" t="n">
        <x:v>0.2547</x:v>
      </x:c>
      <x:c r="C2844" s="6" t="n">
        <x:v>0.1467</x:v>
      </x:c>
      <x:c r="D2844" s="6" t="n">
        <x:f>B2844</x:f>
        <x:v>0.2547</x:v>
      </x:c>
      <x:c r="E2844" s="1" t="n">
        <x:v>1.05</x:v>
      </x:c>
      <x:c r="F2844" s="1" t="str">
        <x:v>https://api.octopus.energy/v1/products/AGILE-24-10-01/electricity-tariffs/E-1R-AGILE-24-10-01-G/standard-unit-rates/</x:v>
      </x:c>
    </x:row>
    <x:row r="2845" ht="21" customHeight="1">
      <x:c r="A2845" s="24" t="n">
        <x:v>46207.770833333336</x:v>
      </x:c>
      <x:c r="B2845" s="6" t="n">
        <x:v>0.2845</x:v>
      </x:c>
      <x:c r="C2845" s="6" t="n">
        <x:v>0.1604</x:v>
      </x:c>
      <x:c r="D2845" s="6" t="n">
        <x:f>B2845</x:f>
        <x:v>0.2845</x:v>
      </x:c>
      <x:c r="E2845" s="1" t="n">
        <x:v>1.05</x:v>
      </x:c>
      <x:c r="F2845" s="1" t="str">
        <x:v>https://api.octopus.energy/v1/products/AGILE-24-10-01/electricity-tariffs/E-1R-AGILE-24-10-01-G/standard-unit-rates/</x:v>
      </x:c>
    </x:row>
    <x:row r="2846" ht="21" customHeight="1">
      <x:c r="A2846" s="24" t="n">
        <x:v>46207.791666666664</x:v>
      </x:c>
      <x:c r="B2846" s="6" t="n">
        <x:v>0.19510000000000002</x:v>
      </x:c>
      <x:c r="C2846" s="6" t="n">
        <x:v>0.11539999999999999</x:v>
      </x:c>
      <x:c r="D2846" s="6" t="n">
        <x:f>B2846</x:f>
        <x:v>0.19510000000000002</x:v>
      </x:c>
      <x:c r="E2846" s="1" t="n">
        <x:v>1.05</x:v>
      </x:c>
      <x:c r="F2846" s="1" t="str">
        <x:v>https://api.octopus.energy/v1/products/AGILE-24-10-01/electricity-tariffs/E-1R-AGILE-24-10-01-G/standard-unit-rates/</x:v>
      </x:c>
    </x:row>
    <x:row r="2847" ht="21" customHeight="1">
      <x:c r="A2847" s="24" t="n">
        <x:v>46207.8125</x:v>
      </x:c>
      <x:c r="B2847" s="6" t="n">
        <x:v>0.1984</x:v>
      </x:c>
      <x:c r="C2847" s="6" t="n">
        <x:v>0.11699999999999999</x:v>
      </x:c>
      <x:c r="D2847" s="6" t="n">
        <x:f>B2847</x:f>
        <x:v>0.1984</x:v>
      </x:c>
      <x:c r="E2847" s="1" t="n">
        <x:v>1.05</x:v>
      </x:c>
      <x:c r="F2847" s="1" t="str">
        <x:v>https://api.octopus.energy/v1/products/AGILE-24-10-01/electricity-tariffs/E-1R-AGILE-24-10-01-G/standard-unit-rates/</x:v>
      </x:c>
    </x:row>
    <x:row r="2848" ht="21" customHeight="1">
      <x:c r="A2848" s="24" t="n">
        <x:v>46207.833333333336</x:v>
      </x:c>
      <x:c r="B2848" s="6" t="n">
        <x:v>0.1934</x:v>
      </x:c>
      <x:c r="C2848" s="6" t="n">
        <x:v>0.11470000000000001</x:v>
      </x:c>
      <x:c r="D2848" s="6" t="n">
        <x:f>B2848</x:f>
        <x:v>0.1934</x:v>
      </x:c>
      <x:c r="E2848" s="1" t="n">
        <x:v>1.05</x:v>
      </x:c>
      <x:c r="F2848" s="1" t="str">
        <x:v>https://api.octopus.energy/v1/products/AGILE-24-10-01/electricity-tariffs/E-1R-AGILE-24-10-01-G/standard-unit-rates/</x:v>
      </x:c>
    </x:row>
    <x:row r="2849" ht="21" customHeight="1">
      <x:c r="A2849" s="24" t="n">
        <x:v>46207.854166666664</x:v>
      </x:c>
      <x:c r="B2849" s="6" t="n">
        <x:v>0.2018</x:v>
      </x:c>
      <x:c r="C2849" s="6" t="n">
        <x:v>0.1185</x:v>
      </x:c>
      <x:c r="D2849" s="6" t="n">
        <x:f>B2849</x:f>
        <x:v>0.2018</x:v>
      </x:c>
      <x:c r="E2849" s="1" t="n">
        <x:v>1.05</x:v>
      </x:c>
      <x:c r="F2849" s="1" t="str">
        <x:v>https://api.octopus.energy/v1/products/AGILE-24-10-01/electricity-tariffs/E-1R-AGILE-24-10-01-G/standard-unit-rates/</x:v>
      </x:c>
    </x:row>
    <x:row r="2850" ht="21" customHeight="1">
      <x:c r="A2850" s="24" t="n">
        <x:v>46207.875</x:v>
      </x:c>
      <x:c r="B2850" s="6" t="n">
        <x:v>0.196</x:v>
      </x:c>
      <x:c r="C2850" s="6" t="n">
        <x:v>0.1159</x:v>
      </x:c>
      <x:c r="D2850" s="6" t="n">
        <x:f>B2850</x:f>
        <x:v>0.196</x:v>
      </x:c>
      <x:c r="E2850" s="1" t="n">
        <x:v>1.05</x:v>
      </x:c>
      <x:c r="F2850" s="1" t="str">
        <x:v>https://api.octopus.energy/v1/products/AGILE-24-10-01/electricity-tariffs/E-1R-AGILE-24-10-01-G/standard-unit-rates/</x:v>
      </x:c>
    </x:row>
    <x:row r="2851" ht="21" customHeight="1">
      <x:c r="A2851" s="24" t="n">
        <x:v>46207.895833333336</x:v>
      </x:c>
      <x:c r="B2851" s="6" t="n">
        <x:v>0.2046</x:v>
      </x:c>
      <x:c r="C2851" s="6" t="n">
        <x:v>0.1198</x:v>
      </x:c>
      <x:c r="D2851" s="6" t="n">
        <x:f>B2851</x:f>
        <x:v>0.2046</x:v>
      </x:c>
      <x:c r="E2851" s="1" t="n">
        <x:v>1.05</x:v>
      </x:c>
      <x:c r="F2851" s="1" t="str">
        <x:v>https://api.octopus.energy/v1/products/AGILE-24-10-01/electricity-tariffs/E-1R-AGILE-24-10-01-G/standard-unit-rates/</x:v>
      </x:c>
    </x:row>
    <x:row r="2852" ht="21" customHeight="1">
      <x:c r="A2852" s="24" t="n">
        <x:v>46207.916666666664</x:v>
      </x:c>
      <x:c r="B2852" s="6" t="n">
        <x:v>0.2018</x:v>
      </x:c>
      <x:c r="C2852" s="6" t="n">
        <x:v>0.1185</x:v>
      </x:c>
      <x:c r="D2852" s="6" t="n">
        <x:f>B2852</x:f>
        <x:v>0.2018</x:v>
      </x:c>
      <x:c r="E2852" s="1" t="n">
        <x:v>1.05</x:v>
      </x:c>
      <x:c r="F2852" s="1" t="str">
        <x:v>https://api.octopus.energy/v1/products/AGILE-24-10-01/electricity-tariffs/E-1R-AGILE-24-10-01-G/standard-unit-rates/</x:v>
      </x:c>
    </x:row>
    <x:row r="2853" ht="21" customHeight="1">
      <x:c r="A2853" s="24" t="n">
        <x:v>46207.9375</x:v>
      </x:c>
      <x:c r="B2853" s="6" t="n">
        <x:v>0.1893</x:v>
      </x:c>
      <x:c r="C2853" s="6" t="n">
        <x:v>0.1128</x:v>
      </x:c>
      <x:c r="D2853" s="6" t="n">
        <x:f>B2853</x:f>
        <x:v>0.1893</x:v>
      </x:c>
      <x:c r="E2853" s="1" t="n">
        <x:v>1.05</x:v>
      </x:c>
      <x:c r="F2853" s="1" t="str">
        <x:v>https://api.octopus.energy/v1/products/AGILE-24-10-01/electricity-tariffs/E-1R-AGILE-24-10-01-G/standard-unit-rates/</x:v>
      </x:c>
    </x:row>
    <x:row r="2854" ht="21" customHeight="1">
      <x:c r="A2854" s="24" t="n">
        <x:v>46208</x:v>
      </x:c>
      <x:c r="B2854" s="6" t="n">
        <x:v>0.2151</x:v>
      </x:c>
      <x:c r="C2854" s="6" t="n">
        <x:v>0.1246</x:v>
      </x:c>
      <x:c r="D2854" s="6" t="n">
        <x:f>B2854</x:f>
        <x:v>0.2151</x:v>
      </x:c>
      <x:c r="E2854" s="1" t="n">
        <x:v>1.05</x:v>
      </x:c>
      <x:c r="F2854" s="1" t="str">
        <x:v>https://api.octopus.energy/v1/products/AGILE-24-10-01/electricity-tariffs/E-1R-AGILE-24-10-01-G/standard-unit-rates/</x:v>
      </x:c>
    </x:row>
    <x:row r="2855" ht="21" customHeight="1">
      <x:c r="A2855" s="24" t="n">
        <x:v>46207.979166666664</x:v>
      </x:c>
      <x:c r="B2855" s="6" t="n">
        <x:v>0.20600000000000002</x:v>
      </x:c>
      <x:c r="C2855" s="6" t="n">
        <x:v>0.1204</x:v>
      </x:c>
      <x:c r="D2855" s="6" t="n">
        <x:f>B2855</x:f>
        <x:v>0.20600000000000002</x:v>
      </x:c>
      <x:c r="E2855" s="1" t="n">
        <x:v>1.05</x:v>
      </x:c>
      <x:c r="F2855" s="1" t="str">
        <x:v>https://api.octopus.energy/v1/products/AGILE-24-10-01/electricity-tariffs/E-1R-AGILE-24-10-01-G/standard-unit-rates/</x:v>
      </x:c>
    </x:row>
    <x:row r="2856" ht="21" customHeight="1">
      <x:c r="A2856" s="24" t="n">
        <x:v>46208</x:v>
      </x:c>
      <x:c r="B2856" s="6" t="n">
        <x:v>0.16579999999999998</x:v>
      </x:c>
      <x:c r="C2856" s="6" t="n">
        <x:v>0.10210000000000001</x:v>
      </x:c>
      <x:c r="D2856" s="6" t="n">
        <x:f>B2856</x:f>
        <x:v>0.16579999999999998</x:v>
      </x:c>
      <x:c r="E2856" s="1" t="n">
        <x:v>1.05</x:v>
      </x:c>
      <x:c r="F2856" s="1" t="str">
        <x:v>https://api.octopus.energy/v1/products/AGILE-24-10-01/electricity-tariffs/E-1R-AGILE-24-10-01-G/standard-unit-rates/</x:v>
      </x:c>
    </x:row>
    <x:row r="2857" ht="21" customHeight="1">
      <x:c r="A2857" s="24" t="n">
        <x:v>46208.020833333336</x:v>
      </x:c>
      <x:c r="B2857" s="6" t="n">
        <x:v>0.16149999999999998</x:v>
      </x:c>
      <x:c r="C2857" s="6" t="n">
        <x:v>0.1001</x:v>
      </x:c>
      <x:c r="D2857" s="6" t="n">
        <x:f>B2857</x:f>
        <x:v>0.16149999999999998</x:v>
      </x:c>
      <x:c r="E2857" s="1" t="n">
        <x:v>1.05</x:v>
      </x:c>
      <x:c r="F2857" s="1" t="str">
        <x:v>https://api.octopus.energy/v1/products/AGILE-24-10-01/electricity-tariffs/E-1R-AGILE-24-10-01-G/standard-unit-rates/</x:v>
      </x:c>
    </x:row>
    <x:row r="2858" ht="21" customHeight="1">
      <x:c r="A2858" s="24" t="n">
        <x:v>46208.041666666664</x:v>
      </x:c>
      <x:c r="B2858" s="6" t="n">
        <x:v>0.1655</x:v>
      </x:c>
      <x:c r="C2858" s="6" t="n">
        <x:v>0.10189999999999999</x:v>
      </x:c>
      <x:c r="D2858" s="6" t="n">
        <x:f>B2858</x:f>
        <x:v>0.1655</x:v>
      </x:c>
      <x:c r="E2858" s="1" t="n">
        <x:v>1.05</x:v>
      </x:c>
      <x:c r="F2858" s="1" t="str">
        <x:v>https://api.octopus.energy/v1/products/AGILE-24-10-01/electricity-tariffs/E-1R-AGILE-24-10-01-G/standard-unit-rates/</x:v>
      </x:c>
    </x:row>
    <x:row r="2859" ht="21" customHeight="1">
      <x:c r="A2859" s="24" t="n">
        <x:v>46208.0625</x:v>
      </x:c>
      <x:c r="B2859" s="6" t="n">
        <x:v>0.1681</x:v>
      </x:c>
      <x:c r="C2859" s="6" t="n">
        <x:v>0.10310000000000001</x:v>
      </x:c>
      <x:c r="D2859" s="6" t="n">
        <x:f>B2859</x:f>
        <x:v>0.1681</x:v>
      </x:c>
      <x:c r="E2859" s="1" t="n">
        <x:v>1.05</x:v>
      </x:c>
      <x:c r="F2859" s="1" t="str">
        <x:v>https://api.octopus.energy/v1/products/AGILE-24-10-01/electricity-tariffs/E-1R-AGILE-24-10-01-G/standard-unit-rates/</x:v>
      </x:c>
    </x:row>
    <x:row r="2860" ht="21" customHeight="1">
      <x:c r="A2860" s="24" t="n">
        <x:v>46208.083333333336</x:v>
      </x:c>
      <x:c r="B2860" s="6" t="n">
        <x:v>0.1576</x:v>
      </x:c>
      <x:c r="C2860" s="6" t="n">
        <x:v>0.0983</x:v>
      </x:c>
      <x:c r="D2860" s="6" t="n">
        <x:f>B2860</x:f>
        <x:v>0.1576</x:v>
      </x:c>
      <x:c r="E2860" s="1" t="n">
        <x:v>1.05</x:v>
      </x:c>
      <x:c r="F2860" s="1" t="str">
        <x:v>https://api.octopus.energy/v1/products/AGILE-24-10-01/electricity-tariffs/E-1R-AGILE-24-10-01-G/standard-unit-rates/</x:v>
      </x:c>
    </x:row>
    <x:row r="2861" ht="21" customHeight="1">
      <x:c r="A2861" s="24" t="n">
        <x:v>46208.104166666664</x:v>
      </x:c>
      <x:c r="B2861" s="6" t="n">
        <x:v>0.1457</x:v>
      </x:c>
      <x:c r="C2861" s="6" t="n">
        <x:v>0.0929</x:v>
      </x:c>
      <x:c r="D2861" s="6" t="n">
        <x:f>B2861</x:f>
        <x:v>0.1457</x:v>
      </x:c>
      <x:c r="E2861" s="1" t="n">
        <x:v>1.05</x:v>
      </x:c>
      <x:c r="F2861" s="1" t="str">
        <x:v>https://api.octopus.energy/v1/products/AGILE-24-10-01/electricity-tariffs/E-1R-AGILE-24-10-01-G/standard-unit-rates/</x:v>
      </x:c>
    </x:row>
    <x:row r="2862" ht="21" customHeight="1">
      <x:c r="A2862" s="24" t="n">
        <x:v>46208.125</x:v>
      </x:c>
      <x:c r="B2862" s="6" t="n">
        <x:v>0.1457</x:v>
      </x:c>
      <x:c r="C2862" s="6" t="n">
        <x:v>0.0929</x:v>
      </x:c>
      <x:c r="D2862" s="6" t="n">
        <x:f>B2862</x:f>
        <x:v>0.1457</x:v>
      </x:c>
      <x:c r="E2862" s="1" t="n">
        <x:v>1.05</x:v>
      </x:c>
      <x:c r="F2862" s="1" t="str">
        <x:v>https://api.octopus.energy/v1/products/AGILE-24-10-01/electricity-tariffs/E-1R-AGILE-24-10-01-G/standard-unit-rates/</x:v>
      </x:c>
    </x:row>
    <x:row r="2863" ht="21" customHeight="1">
      <x:c r="A2863" s="24" t="n">
        <x:v>46208.145833333336</x:v>
      </x:c>
      <x:c r="B2863" s="6" t="n">
        <x:v>0.1422</x:v>
      </x:c>
      <x:c r="C2863" s="6" t="n">
        <x:v>0.0913</x:v>
      </x:c>
      <x:c r="D2863" s="6" t="n">
        <x:f>B2863</x:f>
        <x:v>0.1422</x:v>
      </x:c>
      <x:c r="E2863" s="1" t="n">
        <x:v>1.05</x:v>
      </x:c>
      <x:c r="F2863" s="1" t="str">
        <x:v>https://api.octopus.energy/v1/products/AGILE-24-10-01/electricity-tariffs/E-1R-AGILE-24-10-01-G/standard-unit-rates/</x:v>
      </x:c>
    </x:row>
    <x:row r="2864" ht="21" customHeight="1">
      <x:c r="A2864" s="24" t="n">
        <x:v>46208.166666666664</x:v>
      </x:c>
      <x:c r="B2864" s="6" t="n">
        <x:v>0.1408</x:v>
      </x:c>
      <x:c r="C2864" s="6" t="n">
        <x:v>0.0906</x:v>
      </x:c>
      <x:c r="D2864" s="6" t="n">
        <x:f>B2864</x:f>
        <x:v>0.1408</x:v>
      </x:c>
      <x:c r="E2864" s="1" t="n">
        <x:v>1.05</x:v>
      </x:c>
      <x:c r="F2864" s="1" t="str">
        <x:v>https://api.octopus.energy/v1/products/AGILE-24-10-01/electricity-tariffs/E-1R-AGILE-24-10-01-G/standard-unit-rates/</x:v>
      </x:c>
    </x:row>
    <x:row r="2865" ht="21" customHeight="1">
      <x:c r="A2865" s="24" t="n">
        <x:v>46208.1875</x:v>
      </x:c>
      <x:c r="B2865" s="6" t="n">
        <x:v>0.1386</x:v>
      </x:c>
      <x:c r="C2865" s="6" t="n">
        <x:v>0.08960000000000001</x:v>
      </x:c>
      <x:c r="D2865" s="6" t="n">
        <x:f>B2865</x:f>
        <x:v>0.1386</x:v>
      </x:c>
      <x:c r="E2865" s="1" t="n">
        <x:v>1.05</x:v>
      </x:c>
      <x:c r="F2865" s="1" t="str">
        <x:v>https://api.octopus.energy/v1/products/AGILE-24-10-01/electricity-tariffs/E-1R-AGILE-24-10-01-G/standard-unit-rates/</x:v>
      </x:c>
    </x:row>
    <x:row r="2866" ht="21" customHeight="1">
      <x:c r="A2866" s="24" t="n">
        <x:v>46208.208333333336</x:v>
      </x:c>
      <x:c r="B2866" s="6" t="n">
        <x:v>0.135</x:v>
      </x:c>
      <x:c r="C2866" s="6" t="n">
        <x:v>0.08800000000000001</x:v>
      </x:c>
      <x:c r="D2866" s="6" t="n">
        <x:f>B2866</x:f>
        <x:v>0.135</x:v>
      </x:c>
      <x:c r="E2866" s="1" t="n">
        <x:v>1.05</x:v>
      </x:c>
      <x:c r="F2866" s="1" t="str">
        <x:v>https://api.octopus.energy/v1/products/AGILE-24-10-01/electricity-tariffs/E-1R-AGILE-24-10-01-G/standard-unit-rates/</x:v>
      </x:c>
    </x:row>
    <x:row r="2867" ht="21" customHeight="1">
      <x:c r="A2867" s="24" t="n">
        <x:v>46208.229166666664</x:v>
      </x:c>
      <x:c r="B2867" s="6" t="n">
        <x:v>0.1244</x:v>
      </x:c>
      <x:c r="C2867" s="6" t="n">
        <x:v>0.0832</x:v>
      </x:c>
      <x:c r="D2867" s="6" t="n">
        <x:f>B2867</x:f>
        <x:v>0.1244</x:v>
      </x:c>
      <x:c r="E2867" s="1" t="n">
        <x:v>1.05</x:v>
      </x:c>
      <x:c r="F2867" s="1" t="str">
        <x:v>https://api.octopus.energy/v1/products/AGILE-24-10-01/electricity-tariffs/E-1R-AGILE-24-10-01-G/standard-unit-rates/</x:v>
      </x:c>
    </x:row>
    <x:row r="2868" ht="21" customHeight="1">
      <x:c r="A2868" s="24" t="n">
        <x:v>46208.25</x:v>
      </x:c>
      <x:c r="B2868" s="6" t="n">
        <x:v>0.11359999999999999</x:v>
      </x:c>
      <x:c r="C2868" s="6" t="n">
        <x:v>0.0782</x:v>
      </x:c>
      <x:c r="D2868" s="6" t="n">
        <x:f>B2868</x:f>
        <x:v>0.11359999999999999</x:v>
      </x:c>
      <x:c r="E2868" s="1" t="n">
        <x:v>1.05</x:v>
      </x:c>
      <x:c r="F2868" s="1" t="str">
        <x:v>https://api.octopus.energy/v1/products/AGILE-24-10-01/electricity-tariffs/E-1R-AGILE-24-10-01-G/standard-unit-rates/</x:v>
      </x:c>
    </x:row>
    <x:row r="2869" ht="21" customHeight="1">
      <x:c r="A2869" s="24" t="n">
        <x:v>46208.270833333336</x:v>
      </x:c>
      <x:c r="B2869" s="6" t="n">
        <x:v>0.1115</x:v>
      </x:c>
      <x:c r="C2869" s="6" t="n">
        <x:v>0.07719999999999999</x:v>
      </x:c>
      <x:c r="D2869" s="6" t="n">
        <x:f>B2869</x:f>
        <x:v>0.1115</x:v>
      </x:c>
      <x:c r="E2869" s="1" t="n">
        <x:v>1.05</x:v>
      </x:c>
      <x:c r="F2869" s="1" t="str">
        <x:v>https://api.octopus.energy/v1/products/AGILE-24-10-01/electricity-tariffs/E-1R-AGILE-24-10-01-G/standard-unit-rates/</x:v>
      </x:c>
    </x:row>
    <x:row r="2870" ht="21" customHeight="1">
      <x:c r="A2870" s="24" t="n">
        <x:v>46208.291666666664</x:v>
      </x:c>
      <x:c r="B2870" s="6" t="n">
        <x:v>0.0875</x:v>
      </x:c>
      <x:c r="C2870" s="6" t="n">
        <x:v>0.0663</x:v>
      </x:c>
      <x:c r="D2870" s="6" t="n">
        <x:f>B2870</x:f>
        <x:v>0.0875</x:v>
      </x:c>
      <x:c r="E2870" s="1" t="n">
        <x:v>1.05</x:v>
      </x:c>
      <x:c r="F2870" s="1" t="str">
        <x:v>https://api.octopus.energy/v1/products/AGILE-24-10-01/electricity-tariffs/E-1R-AGILE-24-10-01-G/standard-unit-rates/</x:v>
      </x:c>
    </x:row>
    <x:row r="2871" ht="21" customHeight="1">
      <x:c r="A2871" s="24" t="n">
        <x:v>46208.3125</x:v>
      </x:c>
      <x:c r="B2871" s="6" t="n">
        <x:v>0.1052</x:v>
      </x:c>
      <x:c r="C2871" s="6" t="n">
        <x:v>0.07440000000000001</x:v>
      </x:c>
      <x:c r="D2871" s="6" t="n">
        <x:f>B2871</x:f>
        <x:v>0.1052</x:v>
      </x:c>
      <x:c r="E2871" s="1" t="n">
        <x:v>1.05</x:v>
      </x:c>
      <x:c r="F2871" s="1" t="str">
        <x:v>https://api.octopus.energy/v1/products/AGILE-24-10-01/electricity-tariffs/E-1R-AGILE-24-10-01-G/standard-unit-rates/</x:v>
      </x:c>
    </x:row>
    <x:row r="2872" ht="21" customHeight="1">
      <x:c r="A2872" s="24" t="n">
        <x:v>46208.333333333336</x:v>
      </x:c>
      <x:c r="B2872" s="6" t="n">
        <x:v>0.1142</x:v>
      </x:c>
      <x:c r="C2872" s="6" t="n">
        <x:v>0.0785</x:v>
      </x:c>
      <x:c r="D2872" s="6" t="n">
        <x:f>B2872</x:f>
        <x:v>0.1142</x:v>
      </x:c>
      <x:c r="E2872" s="1" t="n">
        <x:v>1.05</x:v>
      </x:c>
      <x:c r="F2872" s="1" t="str">
        <x:v>https://api.octopus.energy/v1/products/AGILE-24-10-01/electricity-tariffs/E-1R-AGILE-24-10-01-G/standard-unit-rates/</x:v>
      </x:c>
    </x:row>
    <x:row r="2873" ht="21" customHeight="1">
      <x:c r="A2873" s="24" t="n">
        <x:v>46208.354166666664</x:v>
      </x:c>
      <x:c r="B2873" s="6" t="n">
        <x:v>0.134</x:v>
      </x:c>
      <x:c r="C2873" s="6" t="n">
        <x:v>0.0875</x:v>
      </x:c>
      <x:c r="D2873" s="6" t="n">
        <x:f>B2873</x:f>
        <x:v>0.134</x:v>
      </x:c>
      <x:c r="E2873" s="1" t="n">
        <x:v>1.05</x:v>
      </x:c>
      <x:c r="F2873" s="1" t="str">
        <x:v>https://api.octopus.energy/v1/products/AGILE-24-10-01/electricity-tariffs/E-1R-AGILE-24-10-01-G/standard-unit-rates/</x:v>
      </x:c>
    </x:row>
    <x:row r="2874" ht="21" customHeight="1">
      <x:c r="A2874" s="24" t="n">
        <x:v>46208.375</x:v>
      </x:c>
      <x:c r="B2874" s="6" t="n">
        <x:v>0.1407</x:v>
      </x:c>
      <x:c r="C2874" s="6" t="n">
        <x:v>0.0906</x:v>
      </x:c>
      <x:c r="D2874" s="6" t="n">
        <x:f>B2874</x:f>
        <x:v>0.1407</x:v>
      </x:c>
      <x:c r="E2874" s="1" t="n">
        <x:v>1.05</x:v>
      </x:c>
      <x:c r="F2874" s="1" t="str">
        <x:v>https://api.octopus.energy/v1/products/AGILE-24-10-01/electricity-tariffs/E-1R-AGILE-24-10-01-G/standard-unit-rates/</x:v>
      </x:c>
    </x:row>
    <x:row r="2875" ht="21" customHeight="1">
      <x:c r="A2875" s="24" t="n">
        <x:v>46208.395833333336</x:v>
      </x:c>
      <x:c r="B2875" s="6" t="n">
        <x:v>0.1422</x:v>
      </x:c>
      <x:c r="C2875" s="6" t="n">
        <x:v>0.0913</x:v>
      </x:c>
      <x:c r="D2875" s="6" t="n">
        <x:f>B2875</x:f>
        <x:v>0.1422</x:v>
      </x:c>
      <x:c r="E2875" s="1" t="n">
        <x:v>1.05</x:v>
      </x:c>
      <x:c r="F2875" s="1" t="str">
        <x:v>https://api.octopus.energy/v1/products/AGILE-24-10-01/electricity-tariffs/E-1R-AGILE-24-10-01-G/standard-unit-rates/</x:v>
      </x:c>
    </x:row>
    <x:row r="2876" ht="21" customHeight="1">
      <x:c r="A2876" s="24" t="n">
        <x:v>46208.416666666664</x:v>
      </x:c>
      <x:c r="B2876" s="6" t="n">
        <x:v>0.1451</x:v>
      </x:c>
      <x:c r="C2876" s="6" t="n">
        <x:v>0.0926</x:v>
      </x:c>
      <x:c r="D2876" s="6" t="n">
        <x:f>B2876</x:f>
        <x:v>0.1451</x:v>
      </x:c>
      <x:c r="E2876" s="1" t="n">
        <x:v>1.05</x:v>
      </x:c>
      <x:c r="F2876" s="1" t="str">
        <x:v>https://api.octopus.energy/v1/products/AGILE-24-10-01/electricity-tariffs/E-1R-AGILE-24-10-01-G/standard-unit-rates/</x:v>
      </x:c>
    </x:row>
    <x:row r="2877" ht="21" customHeight="1">
      <x:c r="A2877" s="24" t="n">
        <x:v>46208.4375</x:v>
      </x:c>
      <x:c r="B2877" s="6" t="n">
        <x:v>0.1457</x:v>
      </x:c>
      <x:c r="C2877" s="6" t="n">
        <x:v>0.0929</x:v>
      </x:c>
      <x:c r="D2877" s="6" t="n">
        <x:f>B2877</x:f>
        <x:v>0.1457</x:v>
      </x:c>
      <x:c r="E2877" s="1" t="n">
        <x:v>1.05</x:v>
      </x:c>
      <x:c r="F2877" s="1" t="str">
        <x:v>https://api.octopus.energy/v1/products/AGILE-24-10-01/electricity-tariffs/E-1R-AGILE-24-10-01-G/standard-unit-rates/</x:v>
      </x:c>
    </x:row>
    <x:row r="2878" ht="21" customHeight="1">
      <x:c r="A2878" s="24" t="n">
        <x:v>46208.458333333336</x:v>
      </x:c>
      <x:c r="B2878" s="6" t="n">
        <x:v>0.14550000000000002</x:v>
      </x:c>
      <x:c r="C2878" s="6" t="n">
        <x:v>0.0928</x:v>
      </x:c>
      <x:c r="D2878" s="6" t="n">
        <x:f>B2878</x:f>
        <x:v>0.14550000000000002</x:v>
      </x:c>
      <x:c r="E2878" s="1" t="n">
        <x:v>1.05</x:v>
      </x:c>
      <x:c r="F2878" s="1" t="str">
        <x:v>https://api.octopus.energy/v1/products/AGILE-24-10-01/electricity-tariffs/E-1R-AGILE-24-10-01-G/standard-unit-rates/</x:v>
      </x:c>
    </x:row>
    <x:row r="2879" ht="21" customHeight="1">
      <x:c r="A2879" s="24" t="n">
        <x:v>46208.479166666664</x:v>
      </x:c>
      <x:c r="B2879" s="6" t="n">
        <x:v>0.1335</x:v>
      </x:c>
      <x:c r="C2879" s="6" t="n">
        <x:v>0.0873</x:v>
      </x:c>
      <x:c r="D2879" s="6" t="n">
        <x:f>B2879</x:f>
        <x:v>0.1335</x:v>
      </x:c>
      <x:c r="E2879" s="1" t="n">
        <x:v>1.05</x:v>
      </x:c>
      <x:c r="F2879" s="1" t="str">
        <x:v>https://api.octopus.energy/v1/products/AGILE-24-10-01/electricity-tariffs/E-1R-AGILE-24-10-01-G/standard-unit-rates/</x:v>
      </x:c>
    </x:row>
    <x:row r="2880" ht="21" customHeight="1">
      <x:c r="A2880" s="24" t="n">
        <x:v>46208.5</x:v>
      </x:c>
      <x:c r="B2880" s="6" t="n">
        <x:v>0.12619999999999998</x:v>
      </x:c>
      <x:c r="C2880" s="6" t="n">
        <x:v>0.084</x:v>
      </x:c>
      <x:c r="D2880" s="6" t="n">
        <x:f>B2880</x:f>
        <x:v>0.12619999999999998</x:v>
      </x:c>
      <x:c r="E2880" s="1" t="n">
        <x:v>1.05</x:v>
      </x:c>
      <x:c r="F2880" s="1" t="str">
        <x:v>https://api.octopus.energy/v1/products/AGILE-24-10-01/electricity-tariffs/E-1R-AGILE-24-10-01-G/standard-unit-rates/</x:v>
      </x:c>
    </x:row>
    <x:row r="2881" ht="21" customHeight="1">
      <x:c r="A2881" s="24" t="n">
        <x:v>46208.520833333336</x:v>
      </x:c>
      <x:c r="B2881" s="6" t="n">
        <x:v>0.1085</x:v>
      </x:c>
      <x:c r="C2881" s="6" t="n">
        <x:v>0.0759</x:v>
      </x:c>
      <x:c r="D2881" s="6" t="n">
        <x:f>B2881</x:f>
        <x:v>0.1085</x:v>
      </x:c>
      <x:c r="E2881" s="1" t="n">
        <x:v>1.05</x:v>
      </x:c>
      <x:c r="F2881" s="1" t="str">
        <x:v>https://api.octopus.energy/v1/products/AGILE-24-10-01/electricity-tariffs/E-1R-AGILE-24-10-01-G/standard-unit-rates/</x:v>
      </x:c>
    </x:row>
    <x:row r="2882" ht="21" customHeight="1">
      <x:c r="A2882" s="24" t="n">
        <x:v>46208.541666666664</x:v>
      </x:c>
      <x:c r="B2882" s="6" t="n">
        <x:v>0.09759999999999999</x:v>
      </x:c>
      <x:c r="C2882" s="6" t="n">
        <x:v>0.0709</x:v>
      </x:c>
      <x:c r="D2882" s="6" t="n">
        <x:f>B2882</x:f>
        <x:v>0.09759999999999999</x:v>
      </x:c>
      <x:c r="E2882" s="1" t="n">
        <x:v>1.05</x:v>
      </x:c>
      <x:c r="F2882" s="1" t="str">
        <x:v>https://api.octopus.energy/v1/products/AGILE-24-10-01/electricity-tariffs/E-1R-AGILE-24-10-01-G/standard-unit-rates/</x:v>
      </x:c>
    </x:row>
    <x:row r="2883" ht="21" customHeight="1">
      <x:c r="A2883" s="24" t="n">
        <x:v>46208.5625</x:v>
      </x:c>
      <x:c r="B2883" s="6" t="n">
        <x:v>0.09029999999999999</x:v>
      </x:c>
      <x:c r="C2883" s="6" t="n">
        <x:v>0.0675</x:v>
      </x:c>
      <x:c r="D2883" s="6" t="n">
        <x:f>B2883</x:f>
        <x:v>0.09029999999999999</x:v>
      </x:c>
      <x:c r="E2883" s="1" t="n">
        <x:v>1.05</x:v>
      </x:c>
      <x:c r="F2883" s="1" t="str">
        <x:v>https://api.octopus.energy/v1/products/AGILE-24-10-01/electricity-tariffs/E-1R-AGILE-24-10-01-G/standard-unit-rates/</x:v>
      </x:c>
    </x:row>
    <x:row r="2884" ht="21" customHeight="1">
      <x:c r="A2884" s="24" t="n">
        <x:v>46208.583333333336</x:v>
      </x:c>
      <x:c r="B2884" s="6" t="n">
        <x:v>0.0947</x:v>
      </x:c>
      <x:c r="C2884" s="6" t="n">
        <x:v>0.0696</x:v>
      </x:c>
      <x:c r="D2884" s="6" t="n">
        <x:f>B2884</x:f>
        <x:v>0.0947</x:v>
      </x:c>
      <x:c r="E2884" s="1" t="n">
        <x:v>1.05</x:v>
      </x:c>
      <x:c r="F2884" s="1" t="str">
        <x:v>https://api.octopus.energy/v1/products/AGILE-24-10-01/electricity-tariffs/E-1R-AGILE-24-10-01-G/standard-unit-rates/</x:v>
      </x:c>
    </x:row>
    <x:row r="2885" ht="21" customHeight="1">
      <x:c r="A2885" s="24" t="n">
        <x:v>46208.604166666664</x:v>
      </x:c>
      <x:c r="B2885" s="6" t="n">
        <x:v>0.09050000000000001</x:v>
      </x:c>
      <x:c r="C2885" s="6" t="n">
        <x:v>0.0676</x:v>
      </x:c>
      <x:c r="D2885" s="6" t="n">
        <x:f>B2885</x:f>
        <x:v>0.09050000000000001</x:v>
      </x:c>
      <x:c r="E2885" s="1" t="n">
        <x:v>1.05</x:v>
      </x:c>
      <x:c r="F2885" s="1" t="str">
        <x:v>https://api.octopus.energy/v1/products/AGILE-24-10-01/electricity-tariffs/E-1R-AGILE-24-10-01-G/standard-unit-rates/</x:v>
      </x:c>
    </x:row>
    <x:row r="2886" ht="21" customHeight="1">
      <x:c r="A2886" s="24" t="n">
        <x:v>46208.625</x:v>
      </x:c>
      <x:c r="B2886" s="6" t="n">
        <x:v>0.09359999999999999</x:v>
      </x:c>
      <x:c r="C2886" s="6" t="n">
        <x:v>0.0691</x:v>
      </x:c>
      <x:c r="D2886" s="6" t="n">
        <x:f>B2886</x:f>
        <x:v>0.09359999999999999</x:v>
      </x:c>
      <x:c r="E2886" s="1" t="n">
        <x:v>1.05</x:v>
      </x:c>
      <x:c r="F2886" s="1" t="str">
        <x:v>https://api.octopus.energy/v1/products/AGILE-24-10-01/electricity-tariffs/E-1R-AGILE-24-10-01-G/standard-unit-rates/</x:v>
      </x:c>
    </x:row>
    <x:row r="2887" ht="21" customHeight="1">
      <x:c r="A2887" s="24" t="n">
        <x:v>46208.645833333336</x:v>
      </x:c>
      <x:c r="B2887" s="6" t="n">
        <x:v>0.1018</x:v>
      </x:c>
      <x:c r="C2887" s="6" t="n">
        <x:v>0.0728</x:v>
      </x:c>
      <x:c r="D2887" s="6" t="n">
        <x:f>B2887</x:f>
        <x:v>0.1018</x:v>
      </x:c>
      <x:c r="E2887" s="1" t="n">
        <x:v>1.05</x:v>
      </x:c>
      <x:c r="F2887" s="1" t="str">
        <x:v>https://api.octopus.energy/v1/products/AGILE-24-10-01/electricity-tariffs/E-1R-AGILE-24-10-01-G/standard-unit-rates/</x:v>
      </x:c>
    </x:row>
    <x:row r="2888" ht="21" customHeight="1">
      <x:c r="A2888" s="24" t="n">
        <x:v>46208.666666666664</x:v>
      </x:c>
      <x:c r="B2888" s="6" t="n">
        <x:v>0.2281</x:v>
      </x:c>
      <x:c r="C2888" s="6" t="n">
        <x:v>0.1346</x:v>
      </x:c>
      <x:c r="D2888" s="6" t="n">
        <x:f>B2888</x:f>
        <x:v>0.2281</x:v>
      </x:c>
      <x:c r="E2888" s="1" t="n">
        <x:v>1.05</x:v>
      </x:c>
      <x:c r="F2888" s="1" t="str">
        <x:v>https://api.octopus.energy/v1/products/AGILE-24-10-01/electricity-tariffs/E-1R-AGILE-24-10-01-G/standard-unit-rates/</x:v>
      </x:c>
    </x:row>
    <x:row r="2889" ht="21" customHeight="1">
      <x:c r="A2889" s="24" t="n">
        <x:v>46208.6875</x:v>
      </x:c>
      <x:c r="B2889" s="6" t="n">
        <x:v>0.2373</x:v>
      </x:c>
      <x:c r="C2889" s="6" t="n">
        <x:v>0.1388</x:v>
      </x:c>
      <x:c r="D2889" s="6" t="n">
        <x:f>B2889</x:f>
        <x:v>0.2373</x:v>
      </x:c>
      <x:c r="E2889" s="1" t="n">
        <x:v>1.05</x:v>
      </x:c>
      <x:c r="F2889" s="1" t="str">
        <x:v>https://api.octopus.energy/v1/products/AGILE-24-10-01/electricity-tariffs/E-1R-AGILE-24-10-01-G/standard-unit-rates/</x:v>
      </x:c>
    </x:row>
    <x:row r="2890" ht="21" customHeight="1">
      <x:c r="A2890" s="24" t="n">
        <x:v>46208.708333333336</x:v>
      </x:c>
      <x:c r="B2890" s="6" t="n">
        <x:v>0.2807</x:v>
      </x:c>
      <x:c r="C2890" s="6" t="n">
        <x:v>0.1586</x:v>
      </x:c>
      <x:c r="D2890" s="6" t="n">
        <x:f>B2890</x:f>
        <x:v>0.2807</x:v>
      </x:c>
      <x:c r="E2890" s="1" t="n">
        <x:v>1.05</x:v>
      </x:c>
      <x:c r="F2890" s="1" t="str">
        <x:v>https://api.octopus.energy/v1/products/AGILE-24-10-01/electricity-tariffs/E-1R-AGILE-24-10-01-G/standard-unit-rates/</x:v>
      </x:c>
    </x:row>
    <x:row r="2891" ht="21" customHeight="1">
      <x:c r="A2891" s="24" t="n">
        <x:v>46208.729166666664</x:v>
      </x:c>
      <x:c r="B2891" s="6" t="n">
        <x:v>0.2966</x:v>
      </x:c>
      <x:c r="C2891" s="6" t="n">
        <x:v>0.1659</x:v>
      </x:c>
      <x:c r="D2891" s="6" t="n">
        <x:f>B2891</x:f>
        <x:v>0.2966</x:v>
      </x:c>
      <x:c r="E2891" s="1" t="n">
        <x:v>1.05</x:v>
      </x:c>
      <x:c r="F2891" s="1" t="str">
        <x:v>https://api.octopus.energy/v1/products/AGILE-24-10-01/electricity-tariffs/E-1R-AGILE-24-10-01-G/standard-unit-rates/</x:v>
      </x:c>
    </x:row>
    <x:row r="2892" ht="21" customHeight="1">
      <x:c r="A2892" s="24" t="n">
        <x:v>46208.75</x:v>
      </x:c>
      <x:c r="B2892" s="6" t="n">
        <x:v>0.32770000000000005</x:v>
      </x:c>
      <x:c r="C2892" s="6" t="n">
        <x:v>0.1801</x:v>
      </x:c>
      <x:c r="D2892" s="6" t="n">
        <x:f>B2892</x:f>
        <x:v>0.32770000000000005</x:v>
      </x:c>
      <x:c r="E2892" s="1" t="n">
        <x:v>1.05</x:v>
      </x:c>
      <x:c r="F2892" s="1" t="str">
        <x:v>https://api.octopus.energy/v1/products/AGILE-24-10-01/electricity-tariffs/E-1R-AGILE-24-10-01-G/standard-unit-rates/</x:v>
      </x:c>
    </x:row>
    <x:row r="2893" ht="21" customHeight="1">
      <x:c r="A2893" s="24" t="n">
        <x:v>46208.770833333336</x:v>
      </x:c>
      <x:c r="B2893" s="6" t="n">
        <x:v>0.3257</x:v>
      </x:c>
      <x:c r="C2893" s="6" t="n">
        <x:v>0.17920000000000003</x:v>
      </x:c>
      <x:c r="D2893" s="6" t="n">
        <x:f>B2893</x:f>
        <x:v>0.3257</x:v>
      </x:c>
      <x:c r="E2893" s="1" t="n">
        <x:v>1.05</x:v>
      </x:c>
      <x:c r="F2893" s="1" t="str">
        <x:v>https://api.octopus.energy/v1/products/AGILE-24-10-01/electricity-tariffs/E-1R-AGILE-24-10-01-G/standard-unit-rates/</x:v>
      </x:c>
    </x:row>
    <x:row r="2894" ht="21" customHeight="1">
      <x:c r="A2894" s="24" t="n">
        <x:v>46208.791666666664</x:v>
      </x:c>
      <x:c r="B2894" s="6" t="n">
        <x:v>0.2257</x:v>
      </x:c>
      <x:c r="C2894" s="6" t="n">
        <x:v>0.1295</x:v>
      </x:c>
      <x:c r="D2894" s="6" t="n">
        <x:f>B2894</x:f>
        <x:v>0.2257</x:v>
      </x:c>
      <x:c r="E2894" s="1" t="n">
        <x:v>1.05</x:v>
      </x:c>
      <x:c r="F2894" s="1" t="str">
        <x:v>https://api.octopus.energy/v1/products/AGILE-24-10-01/electricity-tariffs/E-1R-AGILE-24-10-01-G/standard-unit-rates/</x:v>
      </x:c>
    </x:row>
    <x:row r="2895" ht="21" customHeight="1">
      <x:c r="A2895" s="24" t="n">
        <x:v>46208.8125</x:v>
      </x:c>
      <x:c r="B2895" s="6" t="n">
        <x:v>0.2291</x:v>
      </x:c>
      <x:c r="C2895" s="6" t="n">
        <x:v>0.131</x:v>
      </x:c>
      <x:c r="D2895" s="6" t="n">
        <x:f>B2895</x:f>
        <x:v>0.2291</x:v>
      </x:c>
      <x:c r="E2895" s="1" t="n">
        <x:v>1.05</x:v>
      </x:c>
      <x:c r="F2895" s="1" t="str">
        <x:v>https://api.octopus.energy/v1/products/AGILE-24-10-01/electricity-tariffs/E-1R-AGILE-24-10-01-G/standard-unit-rates/</x:v>
      </x:c>
    </x:row>
    <x:row r="2896" ht="21" customHeight="1">
      <x:c r="A2896" s="24" t="n">
        <x:v>46208.833333333336</x:v>
      </x:c>
      <x:c r="B2896" s="6" t="n">
        <x:v>0.2279</x:v>
      </x:c>
      <x:c r="C2896" s="6" t="n">
        <x:v>0.1305</x:v>
      </x:c>
      <x:c r="D2896" s="6" t="n">
        <x:f>B2896</x:f>
        <x:v>0.2279</x:v>
      </x:c>
      <x:c r="E2896" s="1" t="n">
        <x:v>1.05</x:v>
      </x:c>
      <x:c r="F2896" s="1" t="str">
        <x:v>https://api.octopus.energy/v1/products/AGILE-24-10-01/electricity-tariffs/E-1R-AGILE-24-10-01-G/standard-unit-rates/</x:v>
      </x:c>
    </x:row>
    <x:row r="2897" ht="21" customHeight="1">
      <x:c r="A2897" s="24" t="n">
        <x:v>46208.854166666664</x:v>
      </x:c>
      <x:c r="B2897" s="6" t="n">
        <x:v>0.2237</x:v>
      </x:c>
      <x:c r="C2897" s="6" t="n">
        <x:v>0.1285</x:v>
      </x:c>
      <x:c r="D2897" s="6" t="n">
        <x:f>B2897</x:f>
        <x:v>0.2237</x:v>
      </x:c>
      <x:c r="E2897" s="1" t="n">
        <x:v>1.05</x:v>
      </x:c>
      <x:c r="F2897" s="1" t="str">
        <x:v>https://api.octopus.energy/v1/products/AGILE-24-10-01/electricity-tariffs/E-1R-AGILE-24-10-01-G/standard-unit-rates/</x:v>
      </x:c>
    </x:row>
    <x:row r="2898" ht="21" customHeight="1">
      <x:c r="A2898" s="24" t="n">
        <x:v>46208.875</x:v>
      </x:c>
      <x:c r="B2898" s="6" t="n">
        <x:v>0.21660000000000001</x:v>
      </x:c>
      <x:c r="C2898" s="6" t="n">
        <x:v>0.1253</x:v>
      </x:c>
      <x:c r="D2898" s="6" t="n">
        <x:f>B2898</x:f>
        <x:v>0.21660000000000001</x:v>
      </x:c>
      <x:c r="E2898" s="1" t="n">
        <x:v>1.05</x:v>
      </x:c>
      <x:c r="F2898" s="1" t="str">
        <x:v>https://api.octopus.energy/v1/products/AGILE-24-10-01/electricity-tariffs/E-1R-AGILE-24-10-01-G/standard-unit-rates/</x:v>
      </x:c>
    </x:row>
    <x:row r="2899" ht="21" customHeight="1">
      <x:c r="A2899" s="24" t="n">
        <x:v>46208.895833333336</x:v>
      </x:c>
      <x:c r="B2899" s="6" t="n">
        <x:v>0.21230000000000002</x:v>
      </x:c>
      <x:c r="C2899" s="6" t="n">
        <x:v>0.1233</x:v>
      </x:c>
      <x:c r="D2899" s="6" t="n">
        <x:f>B2899</x:f>
        <x:v>0.21230000000000002</x:v>
      </x:c>
      <x:c r="E2899" s="1" t="n">
        <x:v>1.05</x:v>
      </x:c>
      <x:c r="F2899" s="1" t="str">
        <x:v>https://api.octopus.energy/v1/products/AGILE-24-10-01/electricity-tariffs/E-1R-AGILE-24-10-01-G/standard-unit-rates/</x:v>
      </x:c>
    </x:row>
    <x:row r="2900" ht="21" customHeight="1">
      <x:c r="A2900" s="24" t="n">
        <x:v>46208.916666666664</x:v>
      </x:c>
      <x:c r="B2900" s="6" t="n">
        <x:v>0.21309999999999998</x:v>
      </x:c>
      <x:c r="C2900" s="6" t="n">
        <x:v>0.12369999999999999</x:v>
      </x:c>
      <x:c r="D2900" s="6" t="n">
        <x:f>B2900</x:f>
        <x:v>0.21309999999999998</x:v>
      </x:c>
      <x:c r="E2900" s="1" t="n">
        <x:v>1.05</x:v>
      </x:c>
      <x:c r="F2900" s="1" t="str">
        <x:v>https://api.octopus.energy/v1/products/AGILE-24-10-01/electricity-tariffs/E-1R-AGILE-24-10-01-G/standard-unit-rates/</x:v>
      </x:c>
    </x:row>
    <x:row r="2901" ht="21" customHeight="1">
      <x:c r="A2901" s="24" t="n">
        <x:v>46208.9375</x:v>
      </x:c>
      <x:c r="B2901" s="6" t="n">
        <x:v>0.19760000000000003</x:v>
      </x:c>
      <x:c r="C2901" s="6" t="n">
        <x:v>0.1166</x:v>
      </x:c>
      <x:c r="D2901" s="6" t="n">
        <x:f>B2901</x:f>
        <x:v>0.19760000000000003</x:v>
      </x:c>
      <x:c r="E2901" s="1" t="n">
        <x:v>1.05</x:v>
      </x:c>
      <x:c r="F2901" s="1" t="str">
        <x:v>https://api.octopus.energy/v1/products/AGILE-24-10-01/electricity-tariffs/E-1R-AGILE-24-10-01-G/standard-unit-rates/</x:v>
      </x:c>
    </x:row>
    <x:row r="2902" ht="21" customHeight="1">
      <x:c r="A2902" s="24" t="n">
        <x:v>46209</x:v>
      </x:c>
      <x:c r="B2902" s="6" t="n">
        <x:v>0.2109</x:v>
      </x:c>
      <x:c r="C2902" s="6" t="n">
        <x:v>0.12269999999999999</x:v>
      </x:c>
      <x:c r="D2902" s="6" t="n">
        <x:f>B2902</x:f>
        <x:v>0.2109</x:v>
      </x:c>
      <x:c r="E2902" s="1" t="n">
        <x:v>1.05</x:v>
      </x:c>
      <x:c r="F2902" s="1" t="str">
        <x:v>https://api.octopus.energy/v1/products/AGILE-24-10-01/electricity-tariffs/E-1R-AGILE-24-10-01-G/standard-unit-rates/</x:v>
      </x:c>
    </x:row>
    <x:row r="2903" ht="21" customHeight="1">
      <x:c r="A2903" s="24" t="n">
        <x:v>46208.979166666664</x:v>
      </x:c>
      <x:c r="B2903" s="6" t="n">
        <x:v>0.2004</x:v>
      </x:c>
      <x:c r="C2903" s="6" t="n">
        <x:v>0.11789999999999999</x:v>
      </x:c>
      <x:c r="D2903" s="6" t="n">
        <x:f>B2903</x:f>
        <x:v>0.2004</x:v>
      </x:c>
      <x:c r="E2903" s="1" t="n">
        <x:v>1.05</x:v>
      </x:c>
      <x:c r="F2903" s="1" t="str">
        <x:v>https://api.octopus.energy/v1/products/AGILE-24-10-01/electricity-tariffs/E-1R-AGILE-24-10-01-G/standard-unit-rates/</x:v>
      </x:c>
    </x:row>
    <x:row r="2904" ht="21" customHeight="1">
      <x:c r="A2904" s="24" t="n">
        <x:v>46209</x:v>
      </x:c>
      <x:c r="B2904" s="6" t="n">
        <x:v>0.20579999999999998</x:v>
      </x:c>
      <x:c r="C2904" s="6" t="n">
        <x:v>0.12029999999999999</x:v>
      </x:c>
      <x:c r="D2904" s="6" t="n">
        <x:f>B2904</x:f>
        <x:v>0.20579999999999998</x:v>
      </x:c>
      <x:c r="E2904" s="1" t="n">
        <x:v>1.05</x:v>
      </x:c>
      <x:c r="F2904" s="1" t="str">
        <x:v>https://api.octopus.energy/v1/products/AGILE-24-10-01/electricity-tariffs/E-1R-AGILE-24-10-01-G/standard-unit-rates/</x:v>
      </x:c>
    </x:row>
    <x:row r="2905" ht="21" customHeight="1">
      <x:c r="A2905" s="24" t="n">
        <x:v>46209.020833333336</x:v>
      </x:c>
      <x:c r="B2905" s="6" t="n">
        <x:v>0.1928</x:v>
      </x:c>
      <x:c r="C2905" s="6" t="n">
        <x:v>0.1144</x:v>
      </x:c>
      <x:c r="D2905" s="6" t="n">
        <x:f>B2905</x:f>
        <x:v>0.1928</x:v>
      </x:c>
      <x:c r="E2905" s="1" t="n">
        <x:v>1.05</x:v>
      </x:c>
      <x:c r="F2905" s="1" t="str">
        <x:v>https://api.octopus.energy/v1/products/AGILE-24-10-01/electricity-tariffs/E-1R-AGILE-24-10-01-G/standard-unit-rates/</x:v>
      </x:c>
    </x:row>
    <x:row r="2906" ht="21" customHeight="1">
      <x:c r="A2906" s="24" t="n">
        <x:v>46209.041666666664</x:v>
      </x:c>
      <x:c r="B2906" s="6" t="n">
        <x:v>0.1691</x:v>
      </x:c>
      <x:c r="C2906" s="6" t="n">
        <x:v>0.1036</x:v>
      </x:c>
      <x:c r="D2906" s="6" t="n">
        <x:f>B2906</x:f>
        <x:v>0.1691</x:v>
      </x:c>
      <x:c r="E2906" s="1" t="n">
        <x:v>1.05</x:v>
      </x:c>
      <x:c r="F2906" s="1" t="str">
        <x:v>https://api.octopus.energy/v1/products/AGILE-24-10-01/electricity-tariffs/E-1R-AGILE-24-10-01-G/standard-unit-rates/</x:v>
      </x:c>
    </x:row>
    <x:row r="2907" ht="21" customHeight="1">
      <x:c r="A2907" s="24" t="n">
        <x:v>46209.0625</x:v>
      </x:c>
      <x:c r="B2907" s="6" t="n">
        <x:v>0.16949999999999998</x:v>
      </x:c>
      <x:c r="C2907" s="6" t="n">
        <x:v>0.10369999999999999</x:v>
      </x:c>
      <x:c r="D2907" s="6" t="n">
        <x:f>B2907</x:f>
        <x:v>0.16949999999999998</x:v>
      </x:c>
      <x:c r="E2907" s="1" t="n">
        <x:v>1.05</x:v>
      </x:c>
      <x:c r="F2907" s="1" t="str">
        <x:v>https://api.octopus.energy/v1/products/AGILE-24-10-01/electricity-tariffs/E-1R-AGILE-24-10-01-G/standard-unit-rates/</x:v>
      </x:c>
    </x:row>
    <x:row r="2908" ht="21" customHeight="1">
      <x:c r="A2908" s="24" t="n">
        <x:v>46209.083333333336</x:v>
      </x:c>
      <x:c r="B2908" s="6" t="n">
        <x:v>0.1734</x:v>
      </x:c>
      <x:c r="C2908" s="6" t="n">
        <x:v>0.1056</x:v>
      </x:c>
      <x:c r="D2908" s="6" t="n">
        <x:f>B2908</x:f>
        <x:v>0.1734</x:v>
      </x:c>
      <x:c r="E2908" s="1" t="n">
        <x:v>1.05</x:v>
      </x:c>
      <x:c r="F2908" s="1" t="str">
        <x:v>https://api.octopus.energy/v1/products/AGILE-24-10-01/electricity-tariffs/E-1R-AGILE-24-10-01-G/standard-unit-rates/</x:v>
      </x:c>
    </x:row>
    <x:row r="2909" ht="21" customHeight="1">
      <x:c r="A2909" s="24" t="n">
        <x:v>46209.104166666664</x:v>
      </x:c>
      <x:c r="B2909" s="6" t="n">
        <x:v>0.16940000000000002</x:v>
      </x:c>
      <x:c r="C2909" s="6" t="n">
        <x:v>0.10369999999999999</x:v>
      </x:c>
      <x:c r="D2909" s="6" t="n">
        <x:f>B2909</x:f>
        <x:v>0.16940000000000002</x:v>
      </x:c>
      <x:c r="E2909" s="1" t="n">
        <x:v>1.05</x:v>
      </x:c>
      <x:c r="F2909" s="1" t="str">
        <x:v>https://api.octopus.energy/v1/products/AGILE-24-10-01/electricity-tariffs/E-1R-AGILE-24-10-01-G/standard-unit-rates/</x:v>
      </x:c>
    </x:row>
    <x:row r="2910" ht="21" customHeight="1">
      <x:c r="A2910" s="24" t="n">
        <x:v>46209.125</x:v>
      </x:c>
      <x:c r="B2910" s="6" t="n">
        <x:v>0.1721</x:v>
      </x:c>
      <x:c r="C2910" s="6" t="n">
        <x:v>0.10490000000000001</x:v>
      </x:c>
      <x:c r="D2910" s="6" t="n">
        <x:f>B2910</x:f>
        <x:v>0.1721</x:v>
      </x:c>
      <x:c r="E2910" s="1" t="n">
        <x:v>1.05</x:v>
      </x:c>
      <x:c r="F2910" s="1" t="str">
        <x:v>https://api.octopus.energy/v1/products/AGILE-24-10-01/electricity-tariffs/E-1R-AGILE-24-10-01-G/standard-unit-rates/</x:v>
      </x:c>
    </x:row>
    <x:row r="2911" ht="21" customHeight="1">
      <x:c r="A2911" s="24" t="n">
        <x:v>46209.145833333336</x:v>
      </x:c>
      <x:c r="B2911" s="6" t="n">
        <x:v>0.16149999999999998</x:v>
      </x:c>
      <x:c r="C2911" s="6" t="n">
        <x:v>0.1001</x:v>
      </x:c>
      <x:c r="D2911" s="6" t="n">
        <x:f>B2911</x:f>
        <x:v>0.16149999999999998</x:v>
      </x:c>
      <x:c r="E2911" s="1" t="n">
        <x:v>1.05</x:v>
      </x:c>
      <x:c r="F2911" s="1" t="str">
        <x:v>https://api.octopus.energy/v1/products/AGILE-24-10-01/electricity-tariffs/E-1R-AGILE-24-10-01-G/standard-unit-rates/</x:v>
      </x:c>
    </x:row>
    <x:row r="2912" ht="21" customHeight="1">
      <x:c r="A2912" s="24" t="n">
        <x:v>46209.166666666664</x:v>
      </x:c>
      <x:c r="B2912" s="6" t="n">
        <x:v>0.18309999999999998</x:v>
      </x:c>
      <x:c r="C2912" s="6" t="n">
        <x:v>0.11</x:v>
      </x:c>
      <x:c r="D2912" s="6" t="n">
        <x:f>B2912</x:f>
        <x:v>0.18309999999999998</x:v>
      </x:c>
      <x:c r="E2912" s="1" t="n">
        <x:v>1.05</x:v>
      </x:c>
      <x:c r="F2912" s="1" t="str">
        <x:v>https://api.octopus.energy/v1/products/AGILE-24-10-01/electricity-tariffs/E-1R-AGILE-24-10-01-G/standard-unit-rates/</x:v>
      </x:c>
    </x:row>
    <x:row r="2913" ht="21" customHeight="1">
      <x:c r="A2913" s="24" t="n">
        <x:v>46209.1875</x:v>
      </x:c>
      <x:c r="B2913" s="6" t="n">
        <x:v>0.1827</x:v>
      </x:c>
      <x:c r="C2913" s="6" t="n">
        <x:v>0.10980000000000001</x:v>
      </x:c>
      <x:c r="D2913" s="6" t="n">
        <x:f>B2913</x:f>
        <x:v>0.1827</x:v>
      </x:c>
      <x:c r="E2913" s="1" t="n">
        <x:v>1.05</x:v>
      </x:c>
      <x:c r="F2913" s="1" t="str">
        <x:v>https://api.octopus.energy/v1/products/AGILE-24-10-01/electricity-tariffs/E-1R-AGILE-24-10-01-G/standard-unit-rates/</x:v>
      </x:c>
    </x:row>
    <x:row r="2914" ht="21" customHeight="1">
      <x:c r="A2914" s="24" t="n">
        <x:v>46209.208333333336</x:v>
      </x:c>
      <x:c r="B2914" s="6" t="n">
        <x:v>0.21760000000000002</x:v>
      </x:c>
      <x:c r="C2914" s="6" t="n">
        <x:v>0.1257</x:v>
      </x:c>
      <x:c r="D2914" s="6" t="n">
        <x:f>B2914</x:f>
        <x:v>0.21760000000000002</x:v>
      </x:c>
      <x:c r="E2914" s="1" t="n">
        <x:v>1.05</x:v>
      </x:c>
      <x:c r="F2914" s="1" t="str">
        <x:v>https://api.octopus.energy/v1/products/AGILE-24-10-01/electricity-tariffs/E-1R-AGILE-24-10-01-G/standard-unit-rates/</x:v>
      </x:c>
    </x:row>
    <x:row r="2915" ht="21" customHeight="1">
      <x:c r="A2915" s="24" t="n">
        <x:v>46209.229166666664</x:v>
      </x:c>
      <x:c r="B2915" s="6" t="n">
        <x:v>0.2162</x:v>
      </x:c>
      <x:c r="C2915" s="6" t="n">
        <x:v>0.1251</x:v>
      </x:c>
      <x:c r="D2915" s="6" t="n">
        <x:f>B2915</x:f>
        <x:v>0.2162</x:v>
      </x:c>
      <x:c r="E2915" s="1" t="n">
        <x:v>1.05</x:v>
      </x:c>
      <x:c r="F2915" s="1" t="str">
        <x:v>https://api.octopus.energy/v1/products/AGILE-24-10-01/electricity-tariffs/E-1R-AGILE-24-10-01-G/standard-unit-rates/</x:v>
      </x:c>
    </x:row>
    <x:row r="2916" ht="21" customHeight="1">
      <x:c r="A2916" s="24" t="n">
        <x:v>46209.25</x:v>
      </x:c>
      <x:c r="B2916" s="6" t="n">
        <x:v>0.2027</x:v>
      </x:c>
      <x:c r="C2916" s="6" t="n">
        <x:v>0.1189</x:v>
      </x:c>
      <x:c r="D2916" s="6" t="n">
        <x:f>B2916</x:f>
        <x:v>0.2027</x:v>
      </x:c>
      <x:c r="E2916" s="1" t="n">
        <x:v>1.05</x:v>
      </x:c>
      <x:c r="F2916" s="1" t="str">
        <x:v>https://api.octopus.energy/v1/products/AGILE-24-10-01/electricity-tariffs/E-1R-AGILE-24-10-01-G/standard-unit-rates/</x:v>
      </x:c>
    </x:row>
    <x:row r="2917" ht="21" customHeight="1">
      <x:c r="A2917" s="24" t="n">
        <x:v>46209.270833333336</x:v>
      </x:c>
      <x:c r="B2917" s="6" t="n">
        <x:v>0.2173</x:v>
      </x:c>
      <x:c r="C2917" s="6" t="n">
        <x:v>0.12560000000000002</x:v>
      </x:c>
      <x:c r="D2917" s="6" t="n">
        <x:f>B2917</x:f>
        <x:v>0.2173</x:v>
      </x:c>
      <x:c r="E2917" s="1" t="n">
        <x:v>1.05</x:v>
      </x:c>
      <x:c r="F2917" s="1" t="str">
        <x:v>https://api.octopus.energy/v1/products/AGILE-24-10-01/electricity-tariffs/E-1R-AGILE-24-10-01-G/standard-unit-rates/</x:v>
      </x:c>
    </x:row>
    <x:row r="2918" ht="21" customHeight="1">
      <x:c r="A2918" s="24" t="n">
        <x:v>46209.291666666664</x:v>
      </x:c>
      <x:c r="B2918" s="6" t="n">
        <x:v>0.2069</x:v>
      </x:c>
      <x:c r="C2918" s="6" t="n">
        <x:v>0.1209</x:v>
      </x:c>
      <x:c r="D2918" s="6" t="n">
        <x:f>B2918</x:f>
        <x:v>0.2069</x:v>
      </x:c>
      <x:c r="E2918" s="1" t="n">
        <x:v>1.05</x:v>
      </x:c>
      <x:c r="F2918" s="1" t="str">
        <x:v>https://api.octopus.energy/v1/products/AGILE-24-10-01/electricity-tariffs/E-1R-AGILE-24-10-01-G/standard-unit-rates/</x:v>
      </x:c>
    </x:row>
    <x:row r="2919" ht="21" customHeight="1">
      <x:c r="A2919" s="24" t="n">
        <x:v>46209.3125</x:v>
      </x:c>
      <x:c r="B2919" s="6" t="n">
        <x:v>0.20929999999999999</x:v>
      </x:c>
      <x:c r="C2919" s="6" t="n">
        <x:v>0.1219</x:v>
      </x:c>
      <x:c r="D2919" s="6" t="n">
        <x:f>B2919</x:f>
        <x:v>0.20929999999999999</x:v>
      </x:c>
      <x:c r="E2919" s="1" t="n">
        <x:v>1.05</x:v>
      </x:c>
      <x:c r="F2919" s="1" t="str">
        <x:v>https://api.octopus.energy/v1/products/AGILE-24-10-01/electricity-tariffs/E-1R-AGILE-24-10-01-G/standard-unit-rates/</x:v>
      </x:c>
    </x:row>
    <x:row r="2920" ht="21" customHeight="1">
      <x:c r="A2920" s="24" t="n">
        <x:v>46209.333333333336</x:v>
      </x:c>
      <x:c r="B2920" s="6" t="n">
        <x:v>0.19190000000000002</x:v>
      </x:c>
      <x:c r="C2920" s="6" t="n">
        <x:v>0.114</x:v>
      </x:c>
      <x:c r="D2920" s="6" t="n">
        <x:f>B2920</x:f>
        <x:v>0.19190000000000002</x:v>
      </x:c>
      <x:c r="E2920" s="1" t="n">
        <x:v>1.05</x:v>
      </x:c>
      <x:c r="F2920" s="1" t="str">
        <x:v>https://api.octopus.energy/v1/products/AGILE-24-10-01/electricity-tariffs/E-1R-AGILE-24-10-01-G/standard-unit-rates/</x:v>
      </x:c>
    </x:row>
    <x:row r="2921" ht="21" customHeight="1">
      <x:c r="A2921" s="24" t="n">
        <x:v>46209.354166666664</x:v>
      </x:c>
      <x:c r="B2921" s="6" t="n">
        <x:v>0.16219999999999998</x:v>
      </x:c>
      <x:c r="C2921" s="6" t="n">
        <x:v>0.10039999999999999</x:v>
      </x:c>
      <x:c r="D2921" s="6" t="n">
        <x:f>B2921</x:f>
        <x:v>0.16219999999999998</x:v>
      </x:c>
      <x:c r="E2921" s="1" t="n">
        <x:v>1.05</x:v>
      </x:c>
      <x:c r="F2921" s="1" t="str">
        <x:v>https://api.octopus.energy/v1/products/AGILE-24-10-01/electricity-tariffs/E-1R-AGILE-24-10-01-G/standard-unit-rates/</x:v>
      </x:c>
    </x:row>
    <x:row r="2922" ht="21" customHeight="1">
      <x:c r="A2922" s="24" t="n">
        <x:v>46209.375</x:v>
      </x:c>
      <x:c r="B2922" s="6" t="n">
        <x:v>0.1527</x:v>
      </x:c>
      <x:c r="C2922" s="6" t="n">
        <x:v>0.09609999999999999</x:v>
      </x:c>
      <x:c r="D2922" s="6" t="n">
        <x:f>B2922</x:f>
        <x:v>0.1527</x:v>
      </x:c>
      <x:c r="E2922" s="1" t="n">
        <x:v>1.05</x:v>
      </x:c>
      <x:c r="F2922" s="1" t="str">
        <x:v>https://api.octopus.energy/v1/products/AGILE-24-10-01/electricity-tariffs/E-1R-AGILE-24-10-01-G/standard-unit-rates/</x:v>
      </x:c>
    </x:row>
    <x:row r="2923" ht="21" customHeight="1">
      <x:c r="A2923" s="24" t="n">
        <x:v>46209.395833333336</x:v>
      </x:c>
      <x:c r="B2923" s="6" t="n">
        <x:v>0.12619999999999998</x:v>
      </x:c>
      <x:c r="C2923" s="6" t="n">
        <x:v>0.084</x:v>
      </x:c>
      <x:c r="D2923" s="6" t="n">
        <x:f>B2923</x:f>
        <x:v>0.12619999999999998</x:v>
      </x:c>
      <x:c r="E2923" s="1" t="n">
        <x:v>1.05</x:v>
      </x:c>
      <x:c r="F2923" s="1" t="str">
        <x:v>https://api.octopus.energy/v1/products/AGILE-24-10-01/electricity-tariffs/E-1R-AGILE-24-10-01-G/standard-unit-rates/</x:v>
      </x:c>
    </x:row>
    <x:row r="2924" ht="21" customHeight="1">
      <x:c r="A2924" s="24" t="n">
        <x:v>46209.416666666664</x:v>
      </x:c>
      <x:c r="B2924" s="6" t="n">
        <x:v>0.0977</x:v>
      </x:c>
      <x:c r="C2924" s="6" t="n">
        <x:v>0.0709</x:v>
      </x:c>
      <x:c r="D2924" s="6" t="n">
        <x:f>B2924</x:f>
        <x:v>0.0977</x:v>
      </x:c>
      <x:c r="E2924" s="1" t="n">
        <x:v>1.05</x:v>
      </x:c>
      <x:c r="F2924" s="1" t="str">
        <x:v>https://api.octopus.energy/v1/products/AGILE-24-10-01/electricity-tariffs/E-1R-AGILE-24-10-01-G/standard-unit-rates/</x:v>
      </x:c>
    </x:row>
    <x:row r="2925" ht="21" customHeight="1">
      <x:c r="A2925" s="24" t="n">
        <x:v>46209.4375</x:v>
      </x:c>
      <x:c r="B2925" s="6" t="n">
        <x:v>0.0888</x:v>
      </x:c>
      <x:c r="C2925" s="6" t="n">
        <x:v>0.0669</x:v>
      </x:c>
      <x:c r="D2925" s="6" t="n">
        <x:f>B2925</x:f>
        <x:v>0.0888</x:v>
      </x:c>
      <x:c r="E2925" s="1" t="n">
        <x:v>1.05</x:v>
      </x:c>
      <x:c r="F2925" s="1" t="str">
        <x:v>https://api.octopus.energy/v1/products/AGILE-24-10-01/electricity-tariffs/E-1R-AGILE-24-10-01-G/standard-unit-rates/</x:v>
      </x:c>
    </x:row>
    <x:row r="2926" ht="21" customHeight="1">
      <x:c r="A2926" s="24" t="n">
        <x:v>46209.458333333336</x:v>
      </x:c>
      <x:c r="B2926" s="6" t="n">
        <x:v>0.0554</x:v>
      </x:c>
      <x:c r="C2926" s="6" t="n">
        <x:v>0.0516</x:v>
      </x:c>
      <x:c r="D2926" s="6" t="n">
        <x:f>B2926</x:f>
        <x:v>0.0554</x:v>
      </x:c>
      <x:c r="E2926" s="1" t="n">
        <x:v>1.05</x:v>
      </x:c>
      <x:c r="F2926" s="1" t="str">
        <x:v>https://api.octopus.energy/v1/products/AGILE-24-10-01/electricity-tariffs/E-1R-AGILE-24-10-01-G/standard-unit-rates/</x:v>
      </x:c>
    </x:row>
    <x:row r="2927" ht="21" customHeight="1">
      <x:c r="A2927" s="24" t="n">
        <x:v>46209.479166666664</x:v>
      </x:c>
      <x:c r="B2927" s="6" t="n">
        <x:v>0.0462</x:v>
      </x:c>
      <x:c r="C2927" s="6" t="n">
        <x:v>0.047400000000000005</x:v>
      </x:c>
      <x:c r="D2927" s="6" t="n">
        <x:f>B2927</x:f>
        <x:v>0.0462</x:v>
      </x:c>
      <x:c r="E2927" s="1" t="n">
        <x:v>1.05</x:v>
      </x:c>
      <x:c r="F2927" s="1" t="str">
        <x:v>https://api.octopus.energy/v1/products/AGILE-24-10-01/electricity-tariffs/E-1R-AGILE-24-10-01-G/standard-unit-rates/</x:v>
      </x:c>
    </x:row>
    <x:row r="2928" ht="21" customHeight="1">
      <x:c r="A2928" s="24" t="n">
        <x:v>46209.5</x:v>
      </x:c>
      <x:c r="B2928" s="6" t="n">
        <x:v>0.018799999999999997</x:v>
      </x:c>
      <x:c r="C2928" s="6" t="n">
        <x:v>0.0349</x:v>
      </x:c>
      <x:c r="D2928" s="6" t="n">
        <x:f>B2928</x:f>
        <x:v>0.018799999999999997</x:v>
      </x:c>
      <x:c r="E2928" s="1" t="n">
        <x:v>1.05</x:v>
      </x:c>
      <x:c r="F2928" s="1" t="str">
        <x:v>https://api.octopus.energy/v1/products/AGILE-24-10-01/electricity-tariffs/E-1R-AGILE-24-10-01-G/standard-unit-rates/</x:v>
      </x:c>
    </x:row>
    <x:row r="2929" ht="21" customHeight="1">
      <x:c r="A2929" s="24" t="n">
        <x:v>46209.520833333336</x:v>
      </x:c>
      <x:c r="B2929" s="6" t="n">
        <x:v>0.0315</x:v>
      </x:c>
      <x:c r="C2929" s="6" t="n">
        <x:v>0.0407</x:v>
      </x:c>
      <x:c r="D2929" s="6" t="n">
        <x:f>B2929</x:f>
        <x:v>0.0315</x:v>
      </x:c>
      <x:c r="E2929" s="1" t="n">
        <x:v>1.05</x:v>
      </x:c>
      <x:c r="F2929" s="1" t="str">
        <x:v>https://api.octopus.energy/v1/products/AGILE-24-10-01/electricity-tariffs/E-1R-AGILE-24-10-01-G/standard-unit-rates/</x:v>
      </x:c>
    </x:row>
    <x:row r="2930" ht="21" customHeight="1">
      <x:c r="A2930" s="24" t="n">
        <x:v>46209.541666666664</x:v>
      </x:c>
      <x:c r="B2930" s="6" t="n">
        <x:v>0.010700000000000001</x:v>
      </x:c>
      <x:c r="C2930" s="6" t="n">
        <x:v>0.031200000000000002</x:v>
      </x:c>
      <x:c r="D2930" s="6" t="n">
        <x:f>B2930</x:f>
        <x:v>0.010700000000000001</x:v>
      </x:c>
      <x:c r="E2930" s="1" t="n">
        <x:v>1.05</x:v>
      </x:c>
      <x:c r="F2930" s="1" t="str">
        <x:v>https://api.octopus.energy/v1/products/AGILE-24-10-01/electricity-tariffs/E-1R-AGILE-24-10-01-G/standard-unit-rates/</x:v>
      </x:c>
    </x:row>
    <x:row r="2931" ht="21" customHeight="1">
      <x:c r="A2931" s="24" t="n">
        <x:v>46209.5625</x:v>
      </x:c>
      <x:c r="B2931" s="6" t="n">
        <x:v>0.0233</x:v>
      </x:c>
      <x:c r="C2931" s="6" t="n">
        <x:v>0.0369</x:v>
      </x:c>
      <x:c r="D2931" s="6" t="n">
        <x:f>B2931</x:f>
        <x:v>0.0233</x:v>
      </x:c>
      <x:c r="E2931" s="1" t="n">
        <x:v>1.05</x:v>
      </x:c>
      <x:c r="F2931" s="1" t="str">
        <x:v>https://api.octopus.energy/v1/products/AGILE-24-10-01/electricity-tariffs/E-1R-AGILE-24-10-01-G/standard-unit-rates/</x:v>
      </x:c>
    </x:row>
    <x:row r="2932" ht="21" customHeight="1">
      <x:c r="A2932" s="24" t="n">
        <x:v>46209.583333333336</x:v>
      </x:c>
      <x:c r="B2932" s="6" t="n">
        <x:v>0.0369</x:v>
      </x:c>
      <x:c r="C2932" s="6" t="n">
        <x:v>0.0431</x:v>
      </x:c>
      <x:c r="D2932" s="6" t="n">
        <x:f>B2932</x:f>
        <x:v>0.0369</x:v>
      </x:c>
      <x:c r="E2932" s="1" t="n">
        <x:v>1.05</x:v>
      </x:c>
      <x:c r="F2932" s="1" t="str">
        <x:v>https://api.octopus.energy/v1/products/AGILE-24-10-01/electricity-tariffs/E-1R-AGILE-24-10-01-G/standard-unit-rates/</x:v>
      </x:c>
    </x:row>
    <x:row r="2933" ht="21" customHeight="1">
      <x:c r="A2933" s="24" t="n">
        <x:v>46209.604166666664</x:v>
      </x:c>
      <x:c r="B2933" s="6" t="n">
        <x:v>0.0336</x:v>
      </x:c>
      <x:c r="C2933" s="6" t="n">
        <x:v>0.0416</x:v>
      </x:c>
      <x:c r="D2933" s="6" t="n">
        <x:f>B2933</x:f>
        <x:v>0.0336</x:v>
      </x:c>
      <x:c r="E2933" s="1" t="n">
        <x:v>1.05</x:v>
      </x:c>
      <x:c r="F2933" s="1" t="str">
        <x:v>https://api.octopus.energy/v1/products/AGILE-24-10-01/electricity-tariffs/E-1R-AGILE-24-10-01-G/standard-unit-rates/</x:v>
      </x:c>
    </x:row>
    <x:row r="2934" ht="21" customHeight="1">
      <x:c r="A2934" s="24" t="n">
        <x:v>46209.625</x:v>
      </x:c>
      <x:c r="B2934" s="6" t="n">
        <x:v>0.0447</x:v>
      </x:c>
      <x:c r="C2934" s="6" t="n">
        <x:v>0.0467</x:v>
      </x:c>
      <x:c r="D2934" s="6" t="n">
        <x:f>B2934</x:f>
        <x:v>0.0447</x:v>
      </x:c>
      <x:c r="E2934" s="1" t="n">
        <x:v>1.05</x:v>
      </x:c>
      <x:c r="F2934" s="1" t="str">
        <x:v>https://api.octopus.energy/v1/products/AGILE-24-10-01/electricity-tariffs/E-1R-AGILE-24-10-01-G/standard-unit-rates/</x:v>
      </x:c>
    </x:row>
    <x:row r="2935" ht="21" customHeight="1">
      <x:c r="A2935" s="24" t="n">
        <x:v>46209.645833333336</x:v>
      </x:c>
      <x:c r="B2935" s="6" t="n">
        <x:v>0.0678</x:v>
      </x:c>
      <x:c r="C2935" s="6" t="n">
        <x:v>0.057300000000000004</x:v>
      </x:c>
      <x:c r="D2935" s="6" t="n">
        <x:f>B2935</x:f>
        <x:v>0.0678</x:v>
      </x:c>
      <x:c r="E2935" s="1" t="n">
        <x:v>1.05</x:v>
      </x:c>
      <x:c r="F2935" s="1" t="str">
        <x:v>https://api.octopus.energy/v1/products/AGILE-24-10-01/electricity-tariffs/E-1R-AGILE-24-10-01-G/standard-unit-rates/</x:v>
      </x:c>
    </x:row>
    <x:row r="2936" ht="21" customHeight="1">
      <x:c r="A2936" s="24" t="n">
        <x:v>46209.666666666664</x:v>
      </x:c>
      <x:c r="B2936" s="6" t="n">
        <x:v>0.2462</x:v>
      </x:c>
      <x:c r="C2936" s="6" t="n">
        <x:v>0.1429</x:v>
      </x:c>
      <x:c r="D2936" s="6" t="n">
        <x:f>B2936</x:f>
        <x:v>0.2462</x:v>
      </x:c>
      <x:c r="E2936" s="1" t="n">
        <x:v>1.05</x:v>
      </x:c>
      <x:c r="F2936" s="1" t="str">
        <x:v>https://api.octopus.energy/v1/products/AGILE-24-10-01/electricity-tariffs/E-1R-AGILE-24-10-01-G/standard-unit-rates/</x:v>
      </x:c>
    </x:row>
    <x:row r="2937" ht="21" customHeight="1">
      <x:c r="A2937" s="24" t="n">
        <x:v>46209.6875</x:v>
      </x:c>
      <x:c r="B2937" s="6" t="n">
        <x:v>0.2395</x:v>
      </x:c>
      <x:c r="C2937" s="6" t="n">
        <x:v>0.1398</x:v>
      </x:c>
      <x:c r="D2937" s="6" t="n">
        <x:f>B2937</x:f>
        <x:v>0.2395</x:v>
      </x:c>
      <x:c r="E2937" s="1" t="n">
        <x:v>1.05</x:v>
      </x:c>
      <x:c r="F2937" s="1" t="str">
        <x:v>https://api.octopus.energy/v1/products/AGILE-24-10-01/electricity-tariffs/E-1R-AGILE-24-10-01-G/standard-unit-rates/</x:v>
      </x:c>
    </x:row>
    <x:row r="2938" ht="21" customHeight="1">
      <x:c r="A2938" s="24" t="n">
        <x:v>46209.708333333336</x:v>
      </x:c>
      <x:c r="B2938" s="6" t="n">
        <x:v>0.2735</x:v>
      </x:c>
      <x:c r="C2938" s="6" t="n">
        <x:v>0.1553</x:v>
      </x:c>
      <x:c r="D2938" s="6" t="n">
        <x:f>B2938</x:f>
        <x:v>0.2735</x:v>
      </x:c>
      <x:c r="E2938" s="1" t="n">
        <x:v>1.05</x:v>
      </x:c>
      <x:c r="F2938" s="1" t="str">
        <x:v>https://api.octopus.energy/v1/products/AGILE-24-10-01/electricity-tariffs/E-1R-AGILE-24-10-01-G/standard-unit-rates/</x:v>
      </x:c>
    </x:row>
    <x:row r="2939" ht="21" customHeight="1">
      <x:c r="A2939" s="24" t="n">
        <x:v>46209.729166666664</x:v>
      </x:c>
      <x:c r="B2939" s="6" t="n">
        <x:v>0.2912</x:v>
      </x:c>
      <x:c r="C2939" s="6" t="n">
        <x:v>0.1634</x:v>
      </x:c>
      <x:c r="D2939" s="6" t="n">
        <x:f>B2939</x:f>
        <x:v>0.2912</x:v>
      </x:c>
      <x:c r="E2939" s="1" t="n">
        <x:v>1.05</x:v>
      </x:c>
      <x:c r="F2939" s="1" t="str">
        <x:v>https://api.octopus.energy/v1/products/AGILE-24-10-01/electricity-tariffs/E-1R-AGILE-24-10-01-G/standard-unit-rates/</x:v>
      </x:c>
    </x:row>
    <x:row r="2940" ht="21" customHeight="1">
      <x:c r="A2940" s="24" t="n">
        <x:v>46209.75</x:v>
      </x:c>
      <x:c r="B2940" s="6" t="n">
        <x:v>0.3046</x:v>
      </x:c>
      <x:c r="C2940" s="6" t="n">
        <x:v>0.16949999999999998</x:v>
      </x:c>
      <x:c r="D2940" s="6" t="n">
        <x:f>B2940</x:f>
        <x:v>0.3046</x:v>
      </x:c>
      <x:c r="E2940" s="1" t="n">
        <x:v>1.05</x:v>
      </x:c>
      <x:c r="F2940" s="1" t="str">
        <x:v>https://api.octopus.energy/v1/products/AGILE-24-10-01/electricity-tariffs/E-1R-AGILE-24-10-01-G/standard-unit-rates/</x:v>
      </x:c>
    </x:row>
    <x:row r="2941" ht="21" customHeight="1">
      <x:c r="A2941" s="24" t="n">
        <x:v>46209.770833333336</x:v>
      </x:c>
      <x:c r="B2941" s="6" t="n">
        <x:v>0.3068</x:v>
      </x:c>
      <x:c r="C2941" s="6" t="n">
        <x:v>0.17059999999999997</x:v>
      </x:c>
      <x:c r="D2941" s="6" t="n">
        <x:f>B2941</x:f>
        <x:v>0.3068</x:v>
      </x:c>
      <x:c r="E2941" s="1" t="n">
        <x:v>1.05</x:v>
      </x:c>
      <x:c r="F2941" s="1" t="str">
        <x:v>https://api.octopus.energy/v1/products/AGILE-24-10-01/electricity-tariffs/E-1R-AGILE-24-10-01-G/standard-unit-rates/</x:v>
      </x:c>
    </x:row>
    <x:row r="2942" ht="21" customHeight="1">
      <x:c r="A2942" s="24" t="n">
        <x:v>46209.791666666664</x:v>
      </x:c>
      <x:c r="B2942" s="6" t="n">
        <x:v>0.2186</x:v>
      </x:c>
      <x:c r="C2942" s="6" t="n">
        <x:v>0.12619999999999998</x:v>
      </x:c>
      <x:c r="D2942" s="6" t="n">
        <x:f>B2942</x:f>
        <x:v>0.2186</x:v>
      </x:c>
      <x:c r="E2942" s="1" t="n">
        <x:v>1.05</x:v>
      </x:c>
      <x:c r="F2942" s="1" t="str">
        <x:v>https://api.octopus.energy/v1/products/AGILE-24-10-01/electricity-tariffs/E-1R-AGILE-24-10-01-G/standard-unit-rates/</x:v>
      </x:c>
    </x:row>
    <x:row r="2943" ht="21" customHeight="1">
      <x:c r="A2943" s="24" t="n">
        <x:v>46209.8125</x:v>
      </x:c>
      <x:c r="B2943" s="6" t="n">
        <x:v>0.21710000000000002</x:v>
      </x:c>
      <x:c r="C2943" s="6" t="n">
        <x:v>0.1255</x:v>
      </x:c>
      <x:c r="D2943" s="6" t="n">
        <x:f>B2943</x:f>
        <x:v>0.21710000000000002</x:v>
      </x:c>
      <x:c r="E2943" s="1" t="n">
        <x:v>1.05</x:v>
      </x:c>
      <x:c r="F2943" s="1" t="str">
        <x:v>https://api.octopus.energy/v1/products/AGILE-24-10-01/electricity-tariffs/E-1R-AGILE-24-10-01-G/standard-unit-rates/</x:v>
      </x:c>
    </x:row>
    <x:row r="2944" ht="21" customHeight="1">
      <x:c r="A2944" s="24" t="n">
        <x:v>46209.833333333336</x:v>
      </x:c>
      <x:c r="B2944" s="6" t="n">
        <x:v>0.2207</x:v>
      </x:c>
      <x:c r="C2944" s="6" t="n">
        <x:v>0.1272</x:v>
      </x:c>
      <x:c r="D2944" s="6" t="n">
        <x:f>B2944</x:f>
        <x:v>0.2207</x:v>
      </x:c>
      <x:c r="E2944" s="1" t="n">
        <x:v>1.05</x:v>
      </x:c>
      <x:c r="F2944" s="1" t="str">
        <x:v>https://api.octopus.energy/v1/products/AGILE-24-10-01/electricity-tariffs/E-1R-AGILE-24-10-01-G/standard-unit-rates/</x:v>
      </x:c>
    </x:row>
    <x:row r="2945" ht="21" customHeight="1">
      <x:c r="A2945" s="24" t="n">
        <x:v>46209.854166666664</x:v>
      </x:c>
      <x:c r="B2945" s="6" t="n">
        <x:v>0.2207</x:v>
      </x:c>
      <x:c r="C2945" s="6" t="n">
        <x:v>0.1272</x:v>
      </x:c>
      <x:c r="D2945" s="6" t="n">
        <x:f>B2945</x:f>
        <x:v>0.2207</x:v>
      </x:c>
      <x:c r="E2945" s="1" t="n">
        <x:v>1.05</x:v>
      </x:c>
      <x:c r="F2945" s="1" t="str">
        <x:v>https://api.octopus.energy/v1/products/AGILE-24-10-01/electricity-tariffs/E-1R-AGILE-24-10-01-G/standard-unit-rates/</x:v>
      </x:c>
    </x:row>
    <x:row r="2946" ht="21" customHeight="1">
      <x:c r="A2946" s="24" t="n">
        <x:v>46209.875</x:v>
      </x:c>
      <x:c r="B2946" s="6" t="n">
        <x:v>0.2192</x:v>
      </x:c>
      <x:c r="C2946" s="6" t="n">
        <x:v>0.1265</x:v>
      </x:c>
      <x:c r="D2946" s="6" t="n">
        <x:f>B2946</x:f>
        <x:v>0.2192</x:v>
      </x:c>
      <x:c r="E2946" s="1" t="n">
        <x:v>1.05</x:v>
      </x:c>
      <x:c r="F2946" s="1" t="str">
        <x:v>https://api.octopus.energy/v1/products/AGILE-24-10-01/electricity-tariffs/E-1R-AGILE-24-10-01-G/standard-unit-rates/</x:v>
      </x:c>
    </x:row>
    <x:row r="2947" ht="21" customHeight="1">
      <x:c r="A2947" s="24" t="n">
        <x:v>46209.895833333336</x:v>
      </x:c>
      <x:c r="B2947" s="6" t="n">
        <x:v>0.2186</x:v>
      </x:c>
      <x:c r="C2947" s="6" t="n">
        <x:v>0.12619999999999998</x:v>
      </x:c>
      <x:c r="D2947" s="6" t="n">
        <x:f>B2947</x:f>
        <x:v>0.2186</x:v>
      </x:c>
      <x:c r="E2947" s="1" t="n">
        <x:v>1.05</x:v>
      </x:c>
      <x:c r="F2947" s="1" t="str">
        <x:v>https://api.octopus.energy/v1/products/AGILE-24-10-01/electricity-tariffs/E-1R-AGILE-24-10-01-G/standard-unit-rates/</x:v>
      </x:c>
    </x:row>
    <x:row r="2948" ht="21" customHeight="1">
      <x:c r="A2948" s="24" t="n">
        <x:v>46209.916666666664</x:v>
      </x:c>
      <x:c r="B2948" s="6" t="n">
        <x:v>0.2113</x:v>
      </x:c>
      <x:c r="C2948" s="6" t="n">
        <x:v>0.1229</x:v>
      </x:c>
      <x:c r="D2948" s="6" t="n">
        <x:f>B2948</x:f>
        <x:v>0.2113</x:v>
      </x:c>
      <x:c r="E2948" s="1" t="n">
        <x:v>1.05</x:v>
      </x:c>
      <x:c r="F2948" s="1" t="str">
        <x:v>https://api.octopus.energy/v1/products/AGILE-24-10-01/electricity-tariffs/E-1R-AGILE-24-10-01-G/standard-unit-rates/</x:v>
      </x:c>
    </x:row>
    <x:row r="2949" ht="21" customHeight="1">
      <x:c r="A2949" s="24" t="n">
        <x:v>46209.9375</x:v>
      </x:c>
      <x:c r="B2949" s="6" t="n">
        <x:v>0.1839</x:v>
      </x:c>
      <x:c r="C2949" s="6" t="n">
        <x:v>0.1103</x:v>
      </x:c>
      <x:c r="D2949" s="6" t="n">
        <x:f>B2949</x:f>
        <x:v>0.1839</x:v>
      </x:c>
      <x:c r="E2949" s="1" t="n">
        <x:v>1.05</x:v>
      </x:c>
      <x:c r="F2949" s="1" t="str">
        <x:v>https://api.octopus.energy/v1/products/AGILE-24-10-01/electricity-tariffs/E-1R-AGILE-24-10-01-G/standard-unit-rates/</x:v>
      </x:c>
    </x:row>
    <x:row r="2950" ht="21" customHeight="1">
      <x:c r="A2950" s="24" t="n">
        <x:v>46210</x:v>
      </x:c>
      <x:c r="B2950" s="6" t="n">
        <x:v>0.1808</x:v>
      </x:c>
      <x:c r="C2950" s="6" t="n">
        <x:v>0.10890000000000001</x:v>
      </x:c>
      <x:c r="D2950" s="6" t="n">
        <x:f>B2950</x:f>
        <x:v>0.1808</x:v>
      </x:c>
      <x:c r="E2950" s="1" t="n">
        <x:v>1.05</x:v>
      </x:c>
      <x:c r="F2950" s="1" t="str">
        <x:v>https://api.octopus.energy/v1/products/AGILE-24-10-01/electricity-tariffs/E-1R-AGILE-24-10-01-G/standard-unit-rates/</x:v>
      </x:c>
    </x:row>
    <x:row r="2951" ht="21" customHeight="1">
      <x:c r="A2951" s="24" t="n">
        <x:v>46209.979166666664</x:v>
      </x:c>
      <x:c r="B2951" s="6" t="n">
        <x:v>0.1948</x:v>
      </x:c>
      <x:c r="C2951" s="6" t="n">
        <x:v>0.1153</x:v>
      </x:c>
      <x:c r="D2951" s="6" t="n">
        <x:f>B2951</x:f>
        <x:v>0.1948</x:v>
      </x:c>
      <x:c r="E2951" s="1" t="n">
        <x:v>1.05</x:v>
      </x:c>
      <x:c r="F2951" s="1" t="str">
        <x:v>https://api.octopus.energy/v1/products/AGILE-24-10-01/electricity-tariffs/E-1R-AGILE-24-10-01-G/standard-unit-rates/</x:v>
      </x:c>
    </x:row>
    <x:row r="2952" ht="21" customHeight="1">
      <x:c r="A2952" s="24" t="n">
        <x:v>46210</x:v>
      </x:c>
      <x:c r="B2952" s="6" t="n">
        <x:v>0.1918</x:v>
      </x:c>
      <x:c r="C2952" s="6" t="n">
        <x:v>0.1139</x:v>
      </x:c>
      <x:c r="D2952" s="6" t="n">
        <x:f>B2952</x:f>
        <x:v>0.1918</x:v>
      </x:c>
      <x:c r="E2952" s="1" t="n">
        <x:v>1.05</x:v>
      </x:c>
      <x:c r="F2952" s="1" t="str">
        <x:v>https://api.octopus.energy/v1/products/AGILE-24-10-01/electricity-tariffs/E-1R-AGILE-24-10-01-G/standard-unit-rates/</x:v>
      </x:c>
    </x:row>
    <x:row r="2953" ht="21" customHeight="1">
      <x:c r="A2953" s="24" t="n">
        <x:v>46210.020833333336</x:v>
      </x:c>
      <x:c r="B2953" s="6" t="n">
        <x:v>0.18760000000000002</x:v>
      </x:c>
      <x:c r="C2953" s="6" t="n">
        <x:v>0.11199999999999999</x:v>
      </x:c>
      <x:c r="D2953" s="6" t="n">
        <x:f>B2953</x:f>
        <x:v>0.18760000000000002</x:v>
      </x:c>
      <x:c r="E2953" s="1" t="n">
        <x:v>1.05</x:v>
      </x:c>
      <x:c r="F2953" s="1" t="str">
        <x:v>https://api.octopus.energy/v1/products/AGILE-24-10-01/electricity-tariffs/E-1R-AGILE-24-10-01-G/standard-unit-rates/</x:v>
      </x:c>
    </x:row>
    <x:row r="2954" ht="21" customHeight="1">
      <x:c r="A2954" s="24" t="n">
        <x:v>46210.041666666664</x:v>
      </x:c>
      <x:c r="B2954" s="6" t="n">
        <x:v>0.1617</x:v>
      </x:c>
      <x:c r="C2954" s="6" t="n">
        <x:v>0.1002</x:v>
      </x:c>
      <x:c r="D2954" s="6" t="n">
        <x:f>B2954</x:f>
        <x:v>0.1617</x:v>
      </x:c>
      <x:c r="E2954" s="1" t="n">
        <x:v>1.05</x:v>
      </x:c>
      <x:c r="F2954" s="1" t="str">
        <x:v>https://api.octopus.energy/v1/products/AGILE-24-10-01/electricity-tariffs/E-1R-AGILE-24-10-01-G/standard-unit-rates/</x:v>
      </x:c>
    </x:row>
    <x:row r="2955" ht="21" customHeight="1">
      <x:c r="A2955" s="24" t="n">
        <x:v>46210.0625</x:v>
      </x:c>
      <x:c r="B2955" s="6" t="n">
        <x:v>0.1598</x:v>
      </x:c>
      <x:c r="C2955" s="6" t="n">
        <x:v>0.0993</x:v>
      </x:c>
      <x:c r="D2955" s="6" t="n">
        <x:f>B2955</x:f>
        <x:v>0.1598</x:v>
      </x:c>
      <x:c r="E2955" s="1" t="n">
        <x:v>1.05</x:v>
      </x:c>
      <x:c r="F2955" s="1" t="str">
        <x:v>https://api.octopus.energy/v1/products/AGILE-24-10-01/electricity-tariffs/E-1R-AGILE-24-10-01-G/standard-unit-rates/</x:v>
      </x:c>
    </x:row>
    <x:row r="2956" ht="21" customHeight="1">
      <x:c r="A2956" s="24" t="n">
        <x:v>46210.083333333336</x:v>
      </x:c>
      <x:c r="B2956" s="6" t="n">
        <x:v>0.15960000000000002</x:v>
      </x:c>
      <x:c r="C2956" s="6" t="n">
        <x:v>0.0992</x:v>
      </x:c>
      <x:c r="D2956" s="6" t="n">
        <x:f>B2956</x:f>
        <x:v>0.15960000000000002</x:v>
      </x:c>
      <x:c r="E2956" s="1" t="n">
        <x:v>1.05</x:v>
      </x:c>
      <x:c r="F2956" s="1" t="str">
        <x:v>https://api.octopus.energy/v1/products/AGILE-24-10-01/electricity-tariffs/E-1R-AGILE-24-10-01-G/standard-unit-rates/</x:v>
      </x:c>
    </x:row>
    <x:row r="2957" ht="21" customHeight="1">
      <x:c r="A2957" s="24" t="n">
        <x:v>46210.104166666664</x:v>
      </x:c>
      <x:c r="B2957" s="6" t="n">
        <x:v>0.154</x:v>
      </x:c>
      <x:c r="C2957" s="6" t="n">
        <x:v>0.0967</x:v>
      </x:c>
      <x:c r="D2957" s="6" t="n">
        <x:f>B2957</x:f>
        <x:v>0.154</x:v>
      </x:c>
      <x:c r="E2957" s="1" t="n">
        <x:v>1.05</x:v>
      </x:c>
      <x:c r="F2957" s="1" t="str">
        <x:v>https://api.octopus.energy/v1/products/AGILE-24-10-01/electricity-tariffs/E-1R-AGILE-24-10-01-G/standard-unit-rates/</x:v>
      </x:c>
    </x:row>
    <x:row r="2958" ht="21" customHeight="1">
      <x:c r="A2958" s="24" t="n">
        <x:v>46210.125</x:v>
      </x:c>
      <x:c r="B2958" s="6" t="n">
        <x:v>0.1602</x:v>
      </x:c>
      <x:c r="C2958" s="6" t="n">
        <x:v>0.09949999999999999</x:v>
      </x:c>
      <x:c r="D2958" s="6" t="n">
        <x:f>B2958</x:f>
        <x:v>0.1602</x:v>
      </x:c>
      <x:c r="E2958" s="1" t="n">
        <x:v>1.05</x:v>
      </x:c>
      <x:c r="F2958" s="1" t="str">
        <x:v>https://api.octopus.energy/v1/products/AGILE-24-10-01/electricity-tariffs/E-1R-AGILE-24-10-01-G/standard-unit-rates/</x:v>
      </x:c>
    </x:row>
    <x:row r="2959" ht="21" customHeight="1">
      <x:c r="A2959" s="24" t="n">
        <x:v>46210.145833333336</x:v>
      </x:c>
      <x:c r="B2959" s="6" t="n">
        <x:v>0.1597</x:v>
      </x:c>
      <x:c r="C2959" s="6" t="n">
        <x:v>0.0993</x:v>
      </x:c>
      <x:c r="D2959" s="6" t="n">
        <x:f>B2959</x:f>
        <x:v>0.1597</x:v>
      </x:c>
      <x:c r="E2959" s="1" t="n">
        <x:v>1.05</x:v>
      </x:c>
      <x:c r="F2959" s="1" t="str">
        <x:v>https://api.octopus.energy/v1/products/AGILE-24-10-01/electricity-tariffs/E-1R-AGILE-24-10-01-G/standard-unit-rates/</x:v>
      </x:c>
    </x:row>
    <x:row r="2960" ht="21" customHeight="1">
      <x:c r="A2960" s="24" t="n">
        <x:v>46210.166666666664</x:v>
      </x:c>
      <x:c r="B2960" s="6" t="n">
        <x:v>0.1521</x:v>
      </x:c>
      <x:c r="C2960" s="6" t="n">
        <x:v>0.0958</x:v>
      </x:c>
      <x:c r="D2960" s="6" t="n">
        <x:f>B2960</x:f>
        <x:v>0.1521</x:v>
      </x:c>
      <x:c r="E2960" s="1" t="n">
        <x:v>1.05</x:v>
      </x:c>
      <x:c r="F2960" s="1" t="str">
        <x:v>https://api.octopus.energy/v1/products/AGILE-24-10-01/electricity-tariffs/E-1R-AGILE-24-10-01-G/standard-unit-rates/</x:v>
      </x:c>
    </x:row>
    <x:row r="2961" ht="21" customHeight="1">
      <x:c r="A2961" s="24" t="n">
        <x:v>46210.1875</x:v>
      </x:c>
      <x:c r="B2961" s="6" t="n">
        <x:v>0.1506</x:v>
      </x:c>
      <x:c r="C2961" s="6" t="n">
        <x:v>0.0951</x:v>
      </x:c>
      <x:c r="D2961" s="6" t="n">
        <x:f>B2961</x:f>
        <x:v>0.1506</x:v>
      </x:c>
      <x:c r="E2961" s="1" t="n">
        <x:v>1.05</x:v>
      </x:c>
      <x:c r="F2961" s="1" t="str">
        <x:v>https://api.octopus.energy/v1/products/AGILE-24-10-01/electricity-tariffs/E-1R-AGILE-24-10-01-G/standard-unit-rates/</x:v>
      </x:c>
    </x:row>
    <x:row r="2962" ht="21" customHeight="1">
      <x:c r="A2962" s="24" t="n">
        <x:v>46210.208333333336</x:v>
      </x:c>
      <x:c r="B2962" s="6" t="n">
        <x:v>0.1624</x:v>
      </x:c>
      <x:c r="C2962" s="6" t="n">
        <x:v>0.1005</x:v>
      </x:c>
      <x:c r="D2962" s="6" t="n">
        <x:f>B2962</x:f>
        <x:v>0.1624</x:v>
      </x:c>
      <x:c r="E2962" s="1" t="n">
        <x:v>1.05</x:v>
      </x:c>
      <x:c r="F2962" s="1" t="str">
        <x:v>https://api.octopus.energy/v1/products/AGILE-24-10-01/electricity-tariffs/E-1R-AGILE-24-10-01-G/standard-unit-rates/</x:v>
      </x:c>
    </x:row>
    <x:row r="2963" ht="21" customHeight="1">
      <x:c r="A2963" s="24" t="n">
        <x:v>46210.229166666664</x:v>
      </x:c>
      <x:c r="B2963" s="6" t="n">
        <x:v>0.16329999999999997</x:v>
      </x:c>
      <x:c r="C2963" s="6" t="n">
        <x:v>0.1009</x:v>
      </x:c>
      <x:c r="D2963" s="6" t="n">
        <x:f>B2963</x:f>
        <x:v>0.16329999999999997</x:v>
      </x:c>
      <x:c r="E2963" s="1" t="n">
        <x:v>1.05</x:v>
      </x:c>
      <x:c r="F2963" s="1" t="str">
        <x:v>https://api.octopus.energy/v1/products/AGILE-24-10-01/electricity-tariffs/E-1R-AGILE-24-10-01-G/standard-unit-rates/</x:v>
      </x:c>
    </x:row>
    <x:row r="2964" ht="21" customHeight="1">
      <x:c r="A2964" s="24" t="n">
        <x:v>46210.25</x:v>
      </x:c>
      <x:c r="B2964" s="6" t="n">
        <x:v>0.1808</x:v>
      </x:c>
      <x:c r="C2964" s="6" t="n">
        <x:v>0.10890000000000001</x:v>
      </x:c>
      <x:c r="D2964" s="6" t="n">
        <x:f>B2964</x:f>
        <x:v>0.1808</x:v>
      </x:c>
      <x:c r="E2964" s="1" t="n">
        <x:v>1.05</x:v>
      </x:c>
      <x:c r="F2964" s="1" t="str">
        <x:v>https://api.octopus.energy/v1/products/AGILE-24-10-01/electricity-tariffs/E-1R-AGILE-24-10-01-G/standard-unit-rates/</x:v>
      </x:c>
    </x:row>
    <x:row r="2965" ht="21" customHeight="1">
      <x:c r="A2965" s="24" t="n">
        <x:v>46210.270833333336</x:v>
      </x:c>
      <x:c r="B2965" s="6" t="n">
        <x:v>0.20550000000000002</x:v>
      </x:c>
      <x:c r="C2965" s="6" t="n">
        <x:v>0.1202</x:v>
      </x:c>
      <x:c r="D2965" s="6" t="n">
        <x:f>B2965</x:f>
        <x:v>0.20550000000000002</x:v>
      </x:c>
      <x:c r="E2965" s="1" t="n">
        <x:v>1.05</x:v>
      </x:c>
      <x:c r="F2965" s="1" t="str">
        <x:v>https://api.octopus.energy/v1/products/AGILE-24-10-01/electricity-tariffs/E-1R-AGILE-24-10-01-G/standard-unit-rates/</x:v>
      </x:c>
    </x:row>
    <x:row r="2966" ht="21" customHeight="1">
      <x:c r="A2966" s="24" t="n">
        <x:v>46210.291666666664</x:v>
      </x:c>
      <x:c r="B2966" s="6" t="n">
        <x:v>0.19760000000000003</x:v>
      </x:c>
      <x:c r="C2966" s="6" t="n">
        <x:v>0.1166</x:v>
      </x:c>
      <x:c r="D2966" s="6" t="n">
        <x:f>B2966</x:f>
        <x:v>0.19760000000000003</x:v>
      </x:c>
      <x:c r="E2966" s="1" t="n">
        <x:v>1.05</x:v>
      </x:c>
      <x:c r="F2966" s="1" t="str">
        <x:v>https://api.octopus.energy/v1/products/AGILE-24-10-01/electricity-tariffs/E-1R-AGILE-24-10-01-G/standard-unit-rates/</x:v>
      </x:c>
    </x:row>
    <x:row r="2967" ht="21" customHeight="1">
      <x:c r="A2967" s="24" t="n">
        <x:v>46210.3125</x:v>
      </x:c>
      <x:c r="B2967" s="6" t="n">
        <x:v>0.19879999999999998</x:v>
      </x:c>
      <x:c r="C2967" s="6" t="n">
        <x:v>0.11720000000000001</x:v>
      </x:c>
      <x:c r="D2967" s="6" t="n">
        <x:f>B2967</x:f>
        <x:v>0.19879999999999998</x:v>
      </x:c>
      <x:c r="E2967" s="1" t="n">
        <x:v>1.05</x:v>
      </x:c>
      <x:c r="F2967" s="1" t="str">
        <x:v>https://api.octopus.energy/v1/products/AGILE-24-10-01/electricity-tariffs/E-1R-AGILE-24-10-01-G/standard-unit-rates/</x:v>
      </x:c>
    </x:row>
    <x:row r="2968" ht="21" customHeight="1">
      <x:c r="A2968" s="24" t="n">
        <x:v>46210.333333333336</x:v>
      </x:c>
      <x:c r="B2968" s="6" t="n">
        <x:v>0.2212</x:v>
      </x:c>
      <x:c r="C2968" s="6" t="n">
        <x:v>0.1274</x:v>
      </x:c>
      <x:c r="D2968" s="6" t="n">
        <x:f>B2968</x:f>
        <x:v>0.2212</x:v>
      </x:c>
      <x:c r="E2968" s="1" t="n">
        <x:v>1.05</x:v>
      </x:c>
      <x:c r="F2968" s="1" t="str">
        <x:v>https://api.octopus.energy/v1/products/AGILE-24-10-01/electricity-tariffs/E-1R-AGILE-24-10-01-G/standard-unit-rates/</x:v>
      </x:c>
    </x:row>
    <x:row r="2969" ht="21" customHeight="1">
      <x:c r="A2969" s="24" t="n">
        <x:v>46210.354166666664</x:v>
      </x:c>
      <x:c r="B2969" s="6" t="n">
        <x:v>0.1892</x:v>
      </x:c>
      <x:c r="C2969" s="6" t="n">
        <x:v>0.1128</x:v>
      </x:c>
      <x:c r="D2969" s="6" t="n">
        <x:f>B2969</x:f>
        <x:v>0.1892</x:v>
      </x:c>
      <x:c r="E2969" s="1" t="n">
        <x:v>1.05</x:v>
      </x:c>
      <x:c r="F2969" s="1" t="str">
        <x:v>https://api.octopus.energy/v1/products/AGILE-24-10-01/electricity-tariffs/E-1R-AGILE-24-10-01-G/standard-unit-rates/</x:v>
      </x:c>
    </x:row>
    <x:row r="2970" ht="21" customHeight="1">
      <x:c r="A2970" s="24" t="n">
        <x:v>46210.375</x:v>
      </x:c>
      <x:c r="B2970" s="6" t="n">
        <x:v>0.18289999999999998</x:v>
      </x:c>
      <x:c r="C2970" s="6" t="n">
        <x:v>0.1099</x:v>
      </x:c>
      <x:c r="D2970" s="6" t="n">
        <x:f>B2970</x:f>
        <x:v>0.18289999999999998</x:v>
      </x:c>
      <x:c r="E2970" s="1" t="n">
        <x:v>1.05</x:v>
      </x:c>
      <x:c r="F2970" s="1" t="str">
        <x:v>https://api.octopus.energy/v1/products/AGILE-24-10-01/electricity-tariffs/E-1R-AGILE-24-10-01-G/standard-unit-rates/</x:v>
      </x:c>
    </x:row>
    <x:row r="2971" ht="21" customHeight="1">
      <x:c r="A2971" s="24" t="n">
        <x:v>46210.395833333336</x:v>
      </x:c>
      <x:c r="B2971" s="6" t="n">
        <x:v>0.1648</x:v>
      </x:c>
      <x:c r="C2971" s="6" t="n">
        <x:v>0.1016</x:v>
      </x:c>
      <x:c r="D2971" s="6" t="n">
        <x:f>B2971</x:f>
        <x:v>0.1648</x:v>
      </x:c>
      <x:c r="E2971" s="1" t="n">
        <x:v>1.05</x:v>
      </x:c>
      <x:c r="F2971" s="1" t="str">
        <x:v>https://api.octopus.energy/v1/products/AGILE-24-10-01/electricity-tariffs/E-1R-AGILE-24-10-01-G/standard-unit-rates/</x:v>
      </x:c>
    </x:row>
    <x:row r="2972" ht="21" customHeight="1">
      <x:c r="A2972" s="24" t="n">
        <x:v>46210.416666666664</x:v>
      </x:c>
      <x:c r="B2972" s="6" t="n">
        <x:v>0.15460000000000002</x:v>
      </x:c>
      <x:c r="C2972" s="6" t="n">
        <x:v>0.0969</x:v>
      </x:c>
      <x:c r="D2972" s="6" t="n">
        <x:f>B2972</x:f>
        <x:v>0.15460000000000002</x:v>
      </x:c>
      <x:c r="E2972" s="1" t="n">
        <x:v>1.05</x:v>
      </x:c>
      <x:c r="F2972" s="1" t="str">
        <x:v>https://api.octopus.energy/v1/products/AGILE-24-10-01/electricity-tariffs/E-1R-AGILE-24-10-01-G/standard-unit-rates/</x:v>
      </x:c>
    </x:row>
    <x:row r="2973" ht="21" customHeight="1">
      <x:c r="A2973" s="24" t="n">
        <x:v>46210.4375</x:v>
      </x:c>
      <x:c r="B2973" s="6" t="n">
        <x:v>0.14679999999999999</x:v>
      </x:c>
      <x:c r="C2973" s="6" t="n">
        <x:v>0.0934</x:v>
      </x:c>
      <x:c r="D2973" s="6" t="n">
        <x:f>B2973</x:f>
        <x:v>0.14679999999999999</x:v>
      </x:c>
      <x:c r="E2973" s="1" t="n">
        <x:v>1.05</x:v>
      </x:c>
      <x:c r="F2973" s="1" t="str">
        <x:v>https://api.octopus.energy/v1/products/AGILE-24-10-01/electricity-tariffs/E-1R-AGILE-24-10-01-G/standard-unit-rates/</x:v>
      </x:c>
    </x:row>
    <x:row r="2974" ht="21" customHeight="1">
      <x:c r="A2974" s="24" t="n">
        <x:v>46210.458333333336</x:v>
      </x:c>
      <x:c r="B2974" s="6" t="n">
        <x:v>0.1367</x:v>
      </x:c>
      <x:c r="C2974" s="6" t="n">
        <x:v>0.0888</x:v>
      </x:c>
      <x:c r="D2974" s="6" t="n">
        <x:f>B2974</x:f>
        <x:v>0.1367</x:v>
      </x:c>
      <x:c r="E2974" s="1" t="n">
        <x:v>1.05</x:v>
      </x:c>
      <x:c r="F2974" s="1" t="str">
        <x:v>https://api.octopus.energy/v1/products/AGILE-24-10-01/electricity-tariffs/E-1R-AGILE-24-10-01-G/standard-unit-rates/</x:v>
      </x:c>
    </x:row>
    <x:row r="2975" ht="21" customHeight="1">
      <x:c r="A2975" s="24" t="n">
        <x:v>46210.479166666664</x:v>
      </x:c>
      <x:c r="B2975" s="6" t="n">
        <x:v>0.1472</x:v>
      </x:c>
      <x:c r="C2975" s="6" t="n">
        <x:v>0.09359999999999999</x:v>
      </x:c>
      <x:c r="D2975" s="6" t="n">
        <x:f>B2975</x:f>
        <x:v>0.1472</x:v>
      </x:c>
      <x:c r="E2975" s="1" t="n">
        <x:v>1.05</x:v>
      </x:c>
      <x:c r="F2975" s="1" t="str">
        <x:v>https://api.octopus.energy/v1/products/AGILE-24-10-01/electricity-tariffs/E-1R-AGILE-24-10-01-G/standard-unit-rates/</x:v>
      </x:c>
    </x:row>
    <x:row r="2976" ht="21" customHeight="1">
      <x:c r="A2976" s="24" t="n">
        <x:v>46210.5</x:v>
      </x:c>
      <x:c r="B2976" s="6" t="n">
        <x:v>0.1346</x:v>
      </x:c>
      <x:c r="C2976" s="6" t="n">
        <x:v>0.08779999999999999</x:v>
      </x:c>
      <x:c r="D2976" s="6" t="n">
        <x:f>B2976</x:f>
        <x:v>0.1346</x:v>
      </x:c>
      <x:c r="E2976" s="1" t="n">
        <x:v>1.05</x:v>
      </x:c>
      <x:c r="F2976" s="1" t="str">
        <x:v>https://api.octopus.energy/v1/products/AGILE-24-10-01/electricity-tariffs/E-1R-AGILE-24-10-01-G/standard-unit-rates/</x:v>
      </x:c>
    </x:row>
    <x:row r="2977" ht="21" customHeight="1">
      <x:c r="A2977" s="24" t="n">
        <x:v>46210.520833333336</x:v>
      </x:c>
      <x:c r="B2977" s="6" t="n">
        <x:v>0.1481</x:v>
      </x:c>
      <x:c r="C2977" s="6" t="n">
        <x:v>0.094</x:v>
      </x:c>
      <x:c r="D2977" s="6" t="n">
        <x:f>B2977</x:f>
        <x:v>0.1481</x:v>
      </x:c>
      <x:c r="E2977" s="1" t="n">
        <x:v>1.05</x:v>
      </x:c>
      <x:c r="F2977" s="1" t="str">
        <x:v>https://api.octopus.energy/v1/products/AGILE-24-10-01/electricity-tariffs/E-1R-AGILE-24-10-01-G/standard-unit-rates/</x:v>
      </x:c>
    </x:row>
    <x:row r="2978" ht="21" customHeight="1">
      <x:c r="A2978" s="24" t="n">
        <x:v>46210.541666666664</x:v>
      </x:c>
      <x:c r="B2978" s="6" t="n">
        <x:v>0.1388</x:v>
      </x:c>
      <x:c r="C2978" s="6" t="n">
        <x:v>0.0897</x:v>
      </x:c>
      <x:c r="D2978" s="6" t="n">
        <x:f>B2978</x:f>
        <x:v>0.1388</x:v>
      </x:c>
      <x:c r="E2978" s="1" t="n">
        <x:v>1.05</x:v>
      </x:c>
      <x:c r="F2978" s="1" t="str">
        <x:v>https://api.octopus.energy/v1/products/AGILE-24-10-01/electricity-tariffs/E-1R-AGILE-24-10-01-G/standard-unit-rates/</x:v>
      </x:c>
    </x:row>
    <x:row r="2979" ht="21" customHeight="1">
      <x:c r="A2979" s="24" t="n">
        <x:v>46210.5625</x:v>
      </x:c>
      <x:c r="B2979" s="6" t="n">
        <x:v>0.1346</x:v>
      </x:c>
      <x:c r="C2979" s="6" t="n">
        <x:v>0.08779999999999999</x:v>
      </x:c>
      <x:c r="D2979" s="6" t="n">
        <x:f>B2979</x:f>
        <x:v>0.1346</x:v>
      </x:c>
      <x:c r="E2979" s="1" t="n">
        <x:v>1.05</x:v>
      </x:c>
      <x:c r="F2979" s="1" t="str">
        <x:v>https://api.octopus.energy/v1/products/AGILE-24-10-01/electricity-tariffs/E-1R-AGILE-24-10-01-G/standard-unit-rates/</x:v>
      </x:c>
    </x:row>
    <x:row r="2980" ht="21" customHeight="1">
      <x:c r="A2980" s="24" t="n">
        <x:v>46210.583333333336</x:v>
      </x:c>
      <x:c r="B2980" s="6" t="n">
        <x:v>0.1346</x:v>
      </x:c>
      <x:c r="C2980" s="6" t="n">
        <x:v>0.08779999999999999</x:v>
      </x:c>
      <x:c r="D2980" s="6" t="n">
        <x:f>B2980</x:f>
        <x:v>0.1346</x:v>
      </x:c>
      <x:c r="E2980" s="1" t="n">
        <x:v>1.05</x:v>
      </x:c>
      <x:c r="F2980" s="1" t="str">
        <x:v>https://api.octopus.energy/v1/products/AGILE-24-10-01/electricity-tariffs/E-1R-AGILE-24-10-01-G/standard-unit-rates/</x:v>
      </x:c>
    </x:row>
    <x:row r="2981" ht="21" customHeight="1">
      <x:c r="A2981" s="24" t="n">
        <x:v>46210.604166666664</x:v>
      </x:c>
      <x:c r="B2981" s="6" t="n">
        <x:v>0.1409</x:v>
      </x:c>
      <x:c r="C2981" s="6" t="n">
        <x:v>0.0907</x:v>
      </x:c>
      <x:c r="D2981" s="6" t="n">
        <x:f>B2981</x:f>
        <x:v>0.1409</x:v>
      </x:c>
      <x:c r="E2981" s="1" t="n">
        <x:v>1.05</x:v>
      </x:c>
      <x:c r="F2981" s="1" t="str">
        <x:v>https://api.octopus.energy/v1/products/AGILE-24-10-01/electricity-tariffs/E-1R-AGILE-24-10-01-G/standard-unit-rates/</x:v>
      </x:c>
    </x:row>
    <x:row r="2982" ht="21" customHeight="1">
      <x:c r="A2982" s="24" t="n">
        <x:v>46210.625</x:v>
      </x:c>
      <x:c r="B2982" s="6" t="n">
        <x:v>0.16079999999999997</x:v>
      </x:c>
      <x:c r="C2982" s="6" t="n">
        <x:v>0.0998</x:v>
      </x:c>
      <x:c r="D2982" s="6" t="n">
        <x:f>B2982</x:f>
        <x:v>0.16079999999999997</x:v>
      </x:c>
      <x:c r="E2982" s="1" t="n">
        <x:v>1.05</x:v>
      </x:c>
      <x:c r="F2982" s="1" t="str">
        <x:v>https://api.octopus.energy/v1/products/AGILE-24-10-01/electricity-tariffs/E-1R-AGILE-24-10-01-G/standard-unit-rates/</x:v>
      </x:c>
    </x:row>
    <x:row r="2983" ht="21" customHeight="1">
      <x:c r="A2983" s="24" t="n">
        <x:v>46210.645833333336</x:v>
      </x:c>
      <x:c r="B2983" s="6" t="n">
        <x:v>0.1678</x:v>
      </x:c>
      <x:c r="C2983" s="6" t="n">
        <x:v>0.10300000000000001</x:v>
      </x:c>
      <x:c r="D2983" s="6" t="n">
        <x:f>B2983</x:f>
        <x:v>0.1678</x:v>
      </x:c>
      <x:c r="E2983" s="1" t="n">
        <x:v>1.05</x:v>
      </x:c>
      <x:c r="F2983" s="1" t="str">
        <x:v>https://api.octopus.energy/v1/products/AGILE-24-10-01/electricity-tariffs/E-1R-AGILE-24-10-01-G/standard-unit-rates/</x:v>
      </x:c>
    </x:row>
    <x:row r="2984" ht="21" customHeight="1">
      <x:c r="A2984" s="24" t="n">
        <x:v>46210.666666666664</x:v>
      </x:c>
      <x:c r="B2984" s="6" t="n">
        <x:v>0.2987</x:v>
      </x:c>
      <x:c r="C2984" s="6" t="n">
        <x:v>0.16690000000000002</x:v>
      </x:c>
      <x:c r="D2984" s="6" t="n">
        <x:f>B2984</x:f>
        <x:v>0.2987</x:v>
      </x:c>
      <x:c r="E2984" s="1" t="n">
        <x:v>1.05</x:v>
      </x:c>
      <x:c r="F2984" s="1" t="str">
        <x:v>https://api.octopus.energy/v1/products/AGILE-24-10-01/electricity-tariffs/E-1R-AGILE-24-10-01-G/standard-unit-rates/</x:v>
      </x:c>
    </x:row>
    <x:row r="2985" ht="21" customHeight="1">
      <x:c r="A2985" s="24" t="n">
        <x:v>46210.6875</x:v>
      </x:c>
      <x:c r="B2985" s="6" t="n">
        <x:v>0.2938</x:v>
      </x:c>
      <x:c r="C2985" s="6" t="n">
        <x:v>0.1646</x:v>
      </x:c>
      <x:c r="D2985" s="6" t="n">
        <x:f>B2985</x:f>
        <x:v>0.2938</x:v>
      </x:c>
      <x:c r="E2985" s="1" t="n">
        <x:v>1.05</x:v>
      </x:c>
      <x:c r="F2985" s="1" t="str">
        <x:v>https://api.octopus.energy/v1/products/AGILE-24-10-01/electricity-tariffs/E-1R-AGILE-24-10-01-G/standard-unit-rates/</x:v>
      </x:c>
    </x:row>
    <x:row r="2986" ht="21" customHeight="1">
      <x:c r="A2986" s="24" t="n">
        <x:v>46210.708333333336</x:v>
      </x:c>
      <x:c r="B2986" s="6" t="n">
        <x:v>0.2924</x:v>
      </x:c>
      <x:c r="C2986" s="6" t="n">
        <x:v>0.16399999999999998</x:v>
      </x:c>
      <x:c r="D2986" s="6" t="n">
        <x:f>B2986</x:f>
        <x:v>0.2924</x:v>
      </x:c>
      <x:c r="E2986" s="1" t="n">
        <x:v>1.05</x:v>
      </x:c>
      <x:c r="F2986" s="1" t="str">
        <x:v>https://api.octopus.energy/v1/products/AGILE-24-10-01/electricity-tariffs/E-1R-AGILE-24-10-01-G/standard-unit-rates/</x:v>
      </x:c>
    </x:row>
    <x:row r="2987" ht="21" customHeight="1">
      <x:c r="A2987" s="24" t="n">
        <x:v>46210.729166666664</x:v>
      </x:c>
      <x:c r="B2987" s="6" t="n">
        <x:v>0.29719999999999996</x:v>
      </x:c>
      <x:c r="C2987" s="6" t="n">
        <x:v>0.16620000000000001</x:v>
      </x:c>
      <x:c r="D2987" s="6" t="n">
        <x:f>B2987</x:f>
        <x:v>0.29719999999999996</x:v>
      </x:c>
      <x:c r="E2987" s="1" t="n">
        <x:v>1.05</x:v>
      </x:c>
      <x:c r="F2987" s="1" t="str">
        <x:v>https://api.octopus.energy/v1/products/AGILE-24-10-01/electricity-tariffs/E-1R-AGILE-24-10-01-G/standard-unit-rates/</x:v>
      </x:c>
    </x:row>
    <x:row r="2988" ht="21" customHeight="1">
      <x:c r="A2988" s="24" t="n">
        <x:v>46210.75</x:v>
      </x:c>
      <x:c r="B2988" s="6" t="n">
        <x:v>0.31129999999999997</x:v>
      </x:c>
      <x:c r="C2988" s="6" t="n">
        <x:v>0.1726</x:v>
      </x:c>
      <x:c r="D2988" s="6" t="n">
        <x:f>B2988</x:f>
        <x:v>0.31129999999999997</x:v>
      </x:c>
      <x:c r="E2988" s="1" t="n">
        <x:v>1.05</x:v>
      </x:c>
      <x:c r="F2988" s="1" t="str">
        <x:v>https://api.octopus.energy/v1/products/AGILE-24-10-01/electricity-tariffs/E-1R-AGILE-24-10-01-G/standard-unit-rates/</x:v>
      </x:c>
    </x:row>
    <x:row r="2989" ht="21" customHeight="1">
      <x:c r="A2989" s="24" t="n">
        <x:v>46210.770833333336</x:v>
      </x:c>
      <x:c r="B2989" s="6" t="n">
        <x:v>0.3176</x:v>
      </x:c>
      <x:c r="C2989" s="6" t="n">
        <x:v>0.17550000000000002</x:v>
      </x:c>
      <x:c r="D2989" s="6" t="n">
        <x:f>B2989</x:f>
        <x:v>0.3176</x:v>
      </x:c>
      <x:c r="E2989" s="1" t="n">
        <x:v>1.05</x:v>
      </x:c>
      <x:c r="F2989" s="1" t="str">
        <x:v>https://api.octopus.energy/v1/products/AGILE-24-10-01/electricity-tariffs/E-1R-AGILE-24-10-01-G/standard-unit-rates/</x:v>
      </x:c>
    </x:row>
    <x:row r="2990" ht="21" customHeight="1">
      <x:c r="A2990" s="24" t="n">
        <x:v>46210.791666666664</x:v>
      </x:c>
      <x:c r="B2990" s="6" t="n">
        <x:v>0.2375</x:v>
      </x:c>
      <x:c r="C2990" s="6" t="n">
        <x:v>0.1348</x:v>
      </x:c>
      <x:c r="D2990" s="6" t="n">
        <x:f>B2990</x:f>
        <x:v>0.2375</x:v>
      </x:c>
      <x:c r="E2990" s="1" t="n">
        <x:v>1.05</x:v>
      </x:c>
      <x:c r="F2990" s="1" t="str">
        <x:v>https://api.octopus.energy/v1/products/AGILE-24-10-01/electricity-tariffs/E-1R-AGILE-24-10-01-G/standard-unit-rates/</x:v>
      </x:c>
    </x:row>
    <x:row r="2991" ht="21" customHeight="1">
      <x:c r="A2991" s="24" t="n">
        <x:v>46210.8125</x:v>
      </x:c>
      <x:c r="B2991" s="6" t="n">
        <x:v>0.2354</x:v>
      </x:c>
      <x:c r="C2991" s="6" t="n">
        <x:v>0.13390000000000002</x:v>
      </x:c>
      <x:c r="D2991" s="6" t="n">
        <x:f>B2991</x:f>
        <x:v>0.2354</x:v>
      </x:c>
      <x:c r="E2991" s="1" t="n">
        <x:v>1.05</x:v>
      </x:c>
      <x:c r="F2991" s="1" t="str">
        <x:v>https://api.octopus.energy/v1/products/AGILE-24-10-01/electricity-tariffs/E-1R-AGILE-24-10-01-G/standard-unit-rates/</x:v>
      </x:c>
    </x:row>
    <x:row r="2992" ht="21" customHeight="1">
      <x:c r="A2992" s="24" t="n">
        <x:v>46210.833333333336</x:v>
      </x:c>
      <x:c r="B2992" s="6" t="n">
        <x:v>0.2459</x:v>
      </x:c>
      <x:c r="C2992" s="6" t="n">
        <x:v>0.1387</x:v>
      </x:c>
      <x:c r="D2992" s="6" t="n">
        <x:f>B2992</x:f>
        <x:v>0.2459</x:v>
      </x:c>
      <x:c r="E2992" s="1" t="n">
        <x:v>1.05</x:v>
      </x:c>
      <x:c r="F2992" s="1" t="str">
        <x:v>https://api.octopus.energy/v1/products/AGILE-24-10-01/electricity-tariffs/E-1R-AGILE-24-10-01-G/standard-unit-rates/</x:v>
      </x:c>
    </x:row>
    <x:row r="2993" ht="21" customHeight="1">
      <x:c r="A2993" s="24" t="n">
        <x:v>46210.854166666664</x:v>
      </x:c>
      <x:c r="B2993" s="6" t="n">
        <x:v>0.2347</x:v>
      </x:c>
      <x:c r="C2993" s="6" t="n">
        <x:v>0.1336</x:v>
      </x:c>
      <x:c r="D2993" s="6" t="n">
        <x:f>B2993</x:f>
        <x:v>0.2347</x:v>
      </x:c>
      <x:c r="E2993" s="1" t="n">
        <x:v>1.05</x:v>
      </x:c>
      <x:c r="F2993" s="1" t="str">
        <x:v>https://api.octopus.energy/v1/products/AGILE-24-10-01/electricity-tariffs/E-1R-AGILE-24-10-01-G/standard-unit-rates/</x:v>
      </x:c>
    </x:row>
    <x:row r="2994" ht="21" customHeight="1">
      <x:c r="A2994" s="24" t="n">
        <x:v>46210.875</x:v>
      </x:c>
      <x:c r="B2994" s="6" t="n">
        <x:v>0.2347</x:v>
      </x:c>
      <x:c r="C2994" s="6" t="n">
        <x:v>0.1336</x:v>
      </x:c>
      <x:c r="D2994" s="6" t="n">
        <x:f>B2994</x:f>
        <x:v>0.2347</x:v>
      </x:c>
      <x:c r="E2994" s="1" t="n">
        <x:v>1.05</x:v>
      </x:c>
      <x:c r="F2994" s="1" t="str">
        <x:v>https://api.octopus.energy/v1/products/AGILE-24-10-01/electricity-tariffs/E-1R-AGILE-24-10-01-G/standard-unit-rates/</x:v>
      </x:c>
    </x:row>
    <x:row r="2995" ht="21" customHeight="1">
      <x:c r="A2995" s="24" t="n">
        <x:v>46210.895833333336</x:v>
      </x:c>
      <x:c r="B2995" s="6" t="n">
        <x:v>0.2347</x:v>
      </x:c>
      <x:c r="C2995" s="6" t="n">
        <x:v>0.1336</x:v>
      </x:c>
      <x:c r="D2995" s="6" t="n">
        <x:f>B2995</x:f>
        <x:v>0.2347</x:v>
      </x:c>
      <x:c r="E2995" s="1" t="n">
        <x:v>1.05</x:v>
      </x:c>
      <x:c r="F2995" s="1" t="str">
        <x:v>https://api.octopus.energy/v1/products/AGILE-24-10-01/electricity-tariffs/E-1R-AGILE-24-10-01-G/standard-unit-rates/</x:v>
      </x:c>
    </x:row>
    <x:row r="2996" ht="21" customHeight="1">
      <x:c r="A2996" s="24" t="n">
        <x:v>46210.916666666664</x:v>
      </x:c>
      <x:c r="B2996" s="6" t="n">
        <x:v>0.2396</x:v>
      </x:c>
      <x:c r="C2996" s="6" t="n">
        <x:v>0.1358</x:v>
      </x:c>
      <x:c r="D2996" s="6" t="n">
        <x:f>B2996</x:f>
        <x:v>0.2396</x:v>
      </x:c>
      <x:c r="E2996" s="1" t="n">
        <x:v>1.05</x:v>
      </x:c>
      <x:c r="F2996" s="1" t="str">
        <x:v>https://api.octopus.energy/v1/products/AGILE-24-10-01/electricity-tariffs/E-1R-AGILE-24-10-01-G/standard-unit-rates/</x:v>
      </x:c>
    </x:row>
    <x:row r="2997" ht="21" customHeight="1">
      <x:c r="A2997" s="24" t="n">
        <x:v>46210.9375</x:v>
      </x:c>
      <x:c r="B2997" s="6" t="n">
        <x:v>0.21780000000000002</x:v>
      </x:c>
      <x:c r="C2997" s="6" t="n">
        <x:v>0.1258</x:v>
      </x:c>
      <x:c r="D2997" s="6" t="n">
        <x:f>B2997</x:f>
        <x:v>0.21780000000000002</x:v>
      </x:c>
      <x:c r="E2997" s="1" t="n">
        <x:v>1.05</x:v>
      </x:c>
      <x:c r="F2997" s="1" t="str">
        <x:v>https://api.octopus.energy/v1/products/AGILE-24-10-01/electricity-tariffs/E-1R-AGILE-24-10-01-G/standard-unit-rates/</x:v>
      </x:c>
    </x:row>
    <x:row r="2998" ht="21" customHeight="1">
      <x:c r="A2998" s="24" t="n">
        <x:v>46211</x:v>
      </x:c>
      <x:c r="B2998" s="6" t="n">
        <x:v>0.2069</x:v>
      </x:c>
      <x:c r="C2998" s="6" t="n">
        <x:v>0.1209</x:v>
      </x:c>
      <x:c r="D2998" s="6" t="n">
        <x:f>B2998</x:f>
        <x:v>0.2069</x:v>
      </x:c>
      <x:c r="E2998" s="1" t="n">
        <x:v>1.05</x:v>
      </x:c>
      <x:c r="F2998" s="1" t="str">
        <x:v>https://api.octopus.energy/v1/products/AGILE-24-10-01/electricity-tariffs/E-1R-AGILE-24-10-01-G/standard-unit-rates/</x:v>
      </x:c>
    </x:row>
    <x:row r="2999" ht="21" customHeight="1">
      <x:c r="A2999" s="24" t="n">
        <x:v>46210.979166666664</x:v>
      </x:c>
      <x:c r="B2999" s="6" t="n">
        <x:v>0.20800000000000002</x:v>
      </x:c>
      <x:c r="C2999" s="6" t="n">
        <x:v>0.1213</x:v>
      </x:c>
      <x:c r="D2999" s="6" t="n">
        <x:f>B2999</x:f>
        <x:v>0.20800000000000002</x:v>
      </x:c>
      <x:c r="E2999" s="1" t="n">
        <x:v>1.05</x:v>
      </x:c>
      <x:c r="F2999" s="1" t="str">
        <x:v>https://api.octopus.energy/v1/products/AGILE-24-10-01/electricity-tariffs/E-1R-AGILE-24-10-01-G/standard-unit-rates/</x:v>
      </x:c>
    </x:row>
    <x:row r="3000" ht="21" customHeight="1">
      <x:c r="A3000" s="24" t="n">
        <x:v>46211</x:v>
      </x:c>
      <x:c r="B3000" s="6" t="n">
        <x:v>0.20600000000000002</x:v>
      </x:c>
      <x:c r="C3000" s="6" t="n">
        <x:v>0.1204</x:v>
      </x:c>
      <x:c r="D3000" s="6" t="n">
        <x:f>B3000</x:f>
        <x:v>0.20600000000000002</x:v>
      </x:c>
      <x:c r="E3000" s="1" t="n">
        <x:v>1.05</x:v>
      </x:c>
      <x:c r="F3000" s="1" t="str">
        <x:v>https://api.octopus.energy/v1/products/AGILE-24-10-01/electricity-tariffs/E-1R-AGILE-24-10-01-G/standard-unit-rates/</x:v>
      </x:c>
    </x:row>
    <x:row r="3001" ht="21" customHeight="1">
      <x:c r="A3001" s="24" t="n">
        <x:v>46211.020833333336</x:v>
      </x:c>
      <x:c r="B3001" s="6" t="n">
        <x:v>0.20600000000000002</x:v>
      </x:c>
      <x:c r="C3001" s="6" t="n">
        <x:v>0.1204</x:v>
      </x:c>
      <x:c r="D3001" s="6" t="n">
        <x:f>B3001</x:f>
        <x:v>0.20600000000000002</x:v>
      </x:c>
      <x:c r="E3001" s="1" t="n">
        <x:v>1.05</x:v>
      </x:c>
      <x:c r="F3001" s="1" t="str">
        <x:v>https://api.octopus.energy/v1/products/AGILE-24-10-01/electricity-tariffs/E-1R-AGILE-24-10-01-G/standard-unit-rates/</x:v>
      </x:c>
    </x:row>
    <x:row r="3002" ht="21" customHeight="1">
      <x:c r="A3002" s="24" t="n">
        <x:v>46211.041666666664</x:v>
      </x:c>
      <x:c r="B3002" s="6" t="n">
        <x:v>0.18239999999999998</x:v>
      </x:c>
      <x:c r="C3002" s="6" t="n">
        <x:v>0.1096</x:v>
      </x:c>
      <x:c r="D3002" s="6" t="n">
        <x:f>B3002</x:f>
        <x:v>0.18239999999999998</x:v>
      </x:c>
      <x:c r="E3002" s="1" t="n">
        <x:v>1.05</x:v>
      </x:c>
      <x:c r="F3002" s="1" t="str">
        <x:v>https://api.octopus.energy/v1/products/AGILE-24-10-01/electricity-tariffs/E-1R-AGILE-24-10-01-G/standard-unit-rates/</x:v>
      </x:c>
    </x:row>
    <x:row r="3003" ht="21" customHeight="1">
      <x:c r="A3003" s="24" t="n">
        <x:v>46211.0625</x:v>
      </x:c>
      <x:c r="B3003" s="6" t="n">
        <x:v>0.1918</x:v>
      </x:c>
      <x:c r="C3003" s="6" t="n">
        <x:v>0.114</x:v>
      </x:c>
      <x:c r="D3003" s="6" t="n">
        <x:f>B3003</x:f>
        <x:v>0.1918</x:v>
      </x:c>
      <x:c r="E3003" s="1" t="n">
        <x:v>1.05</x:v>
      </x:c>
      <x:c r="F3003" s="1" t="str">
        <x:v>https://api.octopus.energy/v1/products/AGILE-24-10-01/electricity-tariffs/E-1R-AGILE-24-10-01-G/standard-unit-rates/</x:v>
      </x:c>
    </x:row>
    <x:row r="3004" ht="21" customHeight="1">
      <x:c r="A3004" s="24" t="n">
        <x:v>46211.083333333336</x:v>
      </x:c>
      <x:c r="B3004" s="6" t="n">
        <x:v>0.1936</x:v>
      </x:c>
      <x:c r="C3004" s="6" t="n">
        <x:v>0.1148</x:v>
      </x:c>
      <x:c r="D3004" s="6" t="n">
        <x:f>B3004</x:f>
        <x:v>0.1936</x:v>
      </x:c>
      <x:c r="E3004" s="1" t="n">
        <x:v>1.05</x:v>
      </x:c>
      <x:c r="F3004" s="1" t="str">
        <x:v>https://api.octopus.energy/v1/products/AGILE-24-10-01/electricity-tariffs/E-1R-AGILE-24-10-01-G/standard-unit-rates/</x:v>
      </x:c>
    </x:row>
    <x:row r="3005" ht="21" customHeight="1">
      <x:c r="A3005" s="24" t="n">
        <x:v>46211.104166666664</x:v>
      </x:c>
      <x:c r="B3005" s="6" t="n">
        <x:v>0.17679999999999998</x:v>
      </x:c>
      <x:c r="C3005" s="6" t="n">
        <x:v>0.10710000000000001</x:v>
      </x:c>
      <x:c r="D3005" s="6" t="n">
        <x:f>B3005</x:f>
        <x:v>0.17679999999999998</x:v>
      </x:c>
      <x:c r="E3005" s="1" t="n">
        <x:v>1.05</x:v>
      </x:c>
      <x:c r="F3005" s="1" t="str">
        <x:v>https://api.octopus.energy/v1/products/AGILE-24-10-01/electricity-tariffs/E-1R-AGILE-24-10-01-G/standard-unit-rates/</x:v>
      </x:c>
    </x:row>
    <x:row r="3006" ht="21" customHeight="1">
      <x:c r="A3006" s="24" t="n">
        <x:v>46211.125</x:v>
      </x:c>
      <x:c r="B3006" s="6" t="n">
        <x:v>0.1684</x:v>
      </x:c>
      <x:c r="C3006" s="6" t="n">
        <x:v>0.1033</x:v>
      </x:c>
      <x:c r="D3006" s="6" t="n">
        <x:f>B3006</x:f>
        <x:v>0.1684</x:v>
      </x:c>
      <x:c r="E3006" s="1" t="n">
        <x:v>1.05</x:v>
      </x:c>
      <x:c r="F3006" s="1" t="str">
        <x:v>https://api.octopus.energy/v1/products/AGILE-24-10-01/electricity-tariffs/E-1R-AGILE-24-10-01-G/standard-unit-rates/</x:v>
      </x:c>
    </x:row>
    <x:row r="3007" ht="21" customHeight="1">
      <x:c r="A3007" s="24" t="n">
        <x:v>46211.145833333336</x:v>
      </x:c>
      <x:c r="B3007" s="6" t="n">
        <x:v>0.1745</x:v>
      </x:c>
      <x:c r="C3007" s="6" t="n">
        <x:v>0.106</x:v>
      </x:c>
      <x:c r="D3007" s="6" t="n">
        <x:f>B3007</x:f>
        <x:v>0.1745</x:v>
      </x:c>
      <x:c r="E3007" s="1" t="n">
        <x:v>1.05</x:v>
      </x:c>
      <x:c r="F3007" s="1" t="str">
        <x:v>https://api.octopus.energy/v1/products/AGILE-24-10-01/electricity-tariffs/E-1R-AGILE-24-10-01-G/standard-unit-rates/</x:v>
      </x:c>
    </x:row>
    <x:row r="3008" ht="21" customHeight="1">
      <x:c r="A3008" s="24" t="n">
        <x:v>46211.166666666664</x:v>
      </x:c>
      <x:c r="B3008" s="6" t="n">
        <x:v>0.16820000000000002</x:v>
      </x:c>
      <x:c r="C3008" s="6" t="n">
        <x:v>0.1032</x:v>
      </x:c>
      <x:c r="D3008" s="6" t="n">
        <x:f>B3008</x:f>
        <x:v>0.16820000000000002</x:v>
      </x:c>
      <x:c r="E3008" s="1" t="n">
        <x:v>1.05</x:v>
      </x:c>
      <x:c r="F3008" s="1" t="str">
        <x:v>https://api.octopus.energy/v1/products/AGILE-24-10-01/electricity-tariffs/E-1R-AGILE-24-10-01-G/standard-unit-rates/</x:v>
      </x:c>
    </x:row>
    <x:row r="3009" ht="21" customHeight="1">
      <x:c r="A3009" s="24" t="n">
        <x:v>46211.1875</x:v>
      </x:c>
      <x:c r="B3009" s="6" t="n">
        <x:v>0.1699</x:v>
      </x:c>
      <x:c r="C3009" s="6" t="n">
        <x:v>0.1039</x:v>
      </x:c>
      <x:c r="D3009" s="6" t="n">
        <x:f>B3009</x:f>
        <x:v>0.1699</x:v>
      </x:c>
      <x:c r="E3009" s="1" t="n">
        <x:v>1.05</x:v>
      </x:c>
      <x:c r="F3009" s="1" t="str">
        <x:v>https://api.octopus.energy/v1/products/AGILE-24-10-01/electricity-tariffs/E-1R-AGILE-24-10-01-G/standard-unit-rates/</x:v>
      </x:c>
    </x:row>
    <x:row r="3010" ht="21" customHeight="1">
      <x:c r="A3010" s="24" t="n">
        <x:v>46211.208333333336</x:v>
      </x:c>
      <x:c r="B3010" s="6" t="n">
        <x:v>0.1778</x:v>
      </x:c>
      <x:c r="C3010" s="6" t="n">
        <x:v>0.1076</x:v>
      </x:c>
      <x:c r="D3010" s="6" t="n">
        <x:f>B3010</x:f>
        <x:v>0.1778</x:v>
      </x:c>
      <x:c r="E3010" s="1" t="n">
        <x:v>1.05</x:v>
      </x:c>
      <x:c r="F3010" s="1" t="str">
        <x:v>https://api.octopus.energy/v1/products/AGILE-24-10-01/electricity-tariffs/E-1R-AGILE-24-10-01-G/standard-unit-rates/</x:v>
      </x:c>
    </x:row>
    <x:row r="3011" ht="21" customHeight="1">
      <x:c r="A3011" s="24" t="n">
        <x:v>46211.229166666664</x:v>
      </x:c>
      <x:c r="B3011" s="6" t="n">
        <x:v>0.1827</x:v>
      </x:c>
      <x:c r="C3011" s="6" t="n">
        <x:v>0.10980000000000001</x:v>
      </x:c>
      <x:c r="D3011" s="6" t="n">
        <x:f>B3011</x:f>
        <x:v>0.1827</x:v>
      </x:c>
      <x:c r="E3011" s="1" t="n">
        <x:v>1.05</x:v>
      </x:c>
      <x:c r="F3011" s="1" t="str">
        <x:v>https://api.octopus.energy/v1/products/AGILE-24-10-01/electricity-tariffs/E-1R-AGILE-24-10-01-G/standard-unit-rates/</x:v>
      </x:c>
    </x:row>
    <x:row r="3012" ht="21" customHeight="1">
      <x:c r="A3012" s="24" t="n">
        <x:v>46211.25</x:v>
      </x:c>
      <x:c r="B3012" s="6" t="n">
        <x:v>0.2073</x:v>
      </x:c>
      <x:c r="C3012" s="6" t="n">
        <x:v>0.121</x:v>
      </x:c>
      <x:c r="D3012" s="6" t="n">
        <x:f>B3012</x:f>
        <x:v>0.2073</x:v>
      </x:c>
      <x:c r="E3012" s="1" t="n">
        <x:v>1.05</x:v>
      </x:c>
      <x:c r="F3012" s="1" t="str">
        <x:v>https://api.octopus.energy/v1/products/AGILE-24-10-01/electricity-tariffs/E-1R-AGILE-24-10-01-G/standard-unit-rates/</x:v>
      </x:c>
    </x:row>
    <x:row r="3013" ht="21" customHeight="1">
      <x:c r="A3013" s="24" t="n">
        <x:v>46211.270833333336</x:v>
      </x:c>
      <x:c r="B3013" s="6" t="n">
        <x:v>0.2207</x:v>
      </x:c>
      <x:c r="C3013" s="6" t="n">
        <x:v>0.1272</x:v>
      </x:c>
      <x:c r="D3013" s="6" t="n">
        <x:f>B3013</x:f>
        <x:v>0.2207</x:v>
      </x:c>
      <x:c r="E3013" s="1" t="n">
        <x:v>1.05</x:v>
      </x:c>
      <x:c r="F3013" s="1" t="str">
        <x:v>https://api.octopus.energy/v1/products/AGILE-24-10-01/electricity-tariffs/E-1R-AGILE-24-10-01-G/standard-unit-rates/</x:v>
      </x:c>
    </x:row>
    <x:row r="3014" ht="21" customHeight="1">
      <x:c r="A3014" s="24" t="n">
        <x:v>46211.291666666664</x:v>
      </x:c>
      <x:c r="B3014" s="6" t="n">
        <x:v>0.20809999999999998</x:v>
      </x:c>
      <x:c r="C3014" s="6" t="n">
        <x:v>0.12140000000000001</x:v>
      </x:c>
      <x:c r="D3014" s="6" t="n">
        <x:f>B3014</x:f>
        <x:v>0.20809999999999998</x:v>
      </x:c>
      <x:c r="E3014" s="1" t="n">
        <x:v>1.05</x:v>
      </x:c>
      <x:c r="F3014" s="1" t="str">
        <x:v>https://api.octopus.energy/v1/products/AGILE-24-10-01/electricity-tariffs/E-1R-AGILE-24-10-01-G/standard-unit-rates/</x:v>
      </x:c>
    </x:row>
    <x:row r="3015" ht="21" customHeight="1">
      <x:c r="A3015" s="24" t="n">
        <x:v>46211.3125</x:v>
      </x:c>
      <x:c r="B3015" s="6" t="n">
        <x:v>0.2102</x:v>
      </x:c>
      <x:c r="C3015" s="6" t="n">
        <x:v>0.12240000000000001</x:v>
      </x:c>
      <x:c r="D3015" s="6" t="n">
        <x:f>B3015</x:f>
        <x:v>0.2102</x:v>
      </x:c>
      <x:c r="E3015" s="1" t="n">
        <x:v>1.05</x:v>
      </x:c>
      <x:c r="F3015" s="1" t="str">
        <x:v>https://api.octopus.energy/v1/products/AGILE-24-10-01/electricity-tariffs/E-1R-AGILE-24-10-01-G/standard-unit-rates/</x:v>
      </x:c>
    </x:row>
    <x:row r="3016" ht="21" customHeight="1">
      <x:c r="A3016" s="24" t="n">
        <x:v>46211.333333333336</x:v>
      </x:c>
      <x:c r="B3016" s="6" t="n">
        <x:v>0.20809999999999998</x:v>
      </x:c>
      <x:c r="C3016" s="6" t="n">
        <x:v>0.12140000000000001</x:v>
      </x:c>
      <x:c r="D3016" s="6" t="n">
        <x:f>B3016</x:f>
        <x:v>0.20809999999999998</x:v>
      </x:c>
      <x:c r="E3016" s="1" t="n">
        <x:v>1.05</x:v>
      </x:c>
      <x:c r="F3016" s="1" t="str">
        <x:v>https://api.octopus.energy/v1/products/AGILE-24-10-01/electricity-tariffs/E-1R-AGILE-24-10-01-G/standard-unit-rates/</x:v>
      </x:c>
    </x:row>
    <x:row r="3017" ht="21" customHeight="1">
      <x:c r="A3017" s="24" t="n">
        <x:v>46211.354166666664</x:v>
      </x:c>
      <x:c r="B3017" s="6" t="n">
        <x:v>0.1955</x:v>
      </x:c>
      <x:c r="C3017" s="6" t="n">
        <x:v>0.11560000000000001</x:v>
      </x:c>
      <x:c r="D3017" s="6" t="n">
        <x:f>B3017</x:f>
        <x:v>0.1955</x:v>
      </x:c>
      <x:c r="E3017" s="1" t="n">
        <x:v>1.05</x:v>
      </x:c>
      <x:c r="F3017" s="1" t="str">
        <x:v>https://api.octopus.energy/v1/products/AGILE-24-10-01/electricity-tariffs/E-1R-AGILE-24-10-01-G/standard-unit-rates/</x:v>
      </x:c>
    </x:row>
    <x:row r="3018" ht="21" customHeight="1">
      <x:c r="A3018" s="24" t="n">
        <x:v>46211.375</x:v>
      </x:c>
      <x:c r="B3018" s="6" t="n">
        <x:v>0.20010000000000003</x:v>
      </x:c>
      <x:c r="C3018" s="6" t="n">
        <x:v>0.1177</x:v>
      </x:c>
      <x:c r="D3018" s="6" t="n">
        <x:f>B3018</x:f>
        <x:v>0.20010000000000003</x:v>
      </x:c>
      <x:c r="E3018" s="1" t="n">
        <x:v>1.05</x:v>
      </x:c>
      <x:c r="F3018" s="1" t="str">
        <x:v>https://api.octopus.energy/v1/products/AGILE-24-10-01/electricity-tariffs/E-1R-AGILE-24-10-01-G/standard-unit-rates/</x:v>
      </x:c>
    </x:row>
    <x:row r="3019" ht="21" customHeight="1">
      <x:c r="A3019" s="24" t="n">
        <x:v>46211.395833333336</x:v>
      </x:c>
      <x:c r="B3019" s="6" t="n">
        <x:v>0.1745</x:v>
      </x:c>
      <x:c r="C3019" s="6" t="n">
        <x:v>0.106</x:v>
      </x:c>
      <x:c r="D3019" s="6" t="n">
        <x:f>B3019</x:f>
        <x:v>0.1745</x:v>
      </x:c>
      <x:c r="E3019" s="1" t="n">
        <x:v>1.05</x:v>
      </x:c>
      <x:c r="F3019" s="1" t="str">
        <x:v>https://api.octopus.energy/v1/products/AGILE-24-10-01/electricity-tariffs/E-1R-AGILE-24-10-01-G/standard-unit-rates/</x:v>
      </x:c>
    </x:row>
    <x:row r="3020" ht="21" customHeight="1">
      <x:c r="A3020" s="24" t="n">
        <x:v>46211.416666666664</x:v>
      </x:c>
      <x:c r="B3020" s="6" t="n">
        <x:v>0.172</x:v>
      </x:c>
      <x:c r="C3020" s="6" t="n">
        <x:v>0.10490000000000001</x:v>
      </x:c>
      <x:c r="D3020" s="6" t="n">
        <x:f>B3020</x:f>
        <x:v>0.172</x:v>
      </x:c>
      <x:c r="E3020" s="1" t="n">
        <x:v>1.05</x:v>
      </x:c>
      <x:c r="F3020" s="1" t="str">
        <x:v>https://api.octopus.energy/v1/products/AGILE-24-10-01/electricity-tariffs/E-1R-AGILE-24-10-01-G/standard-unit-rates/</x:v>
      </x:c>
    </x:row>
    <x:row r="3021" ht="21" customHeight="1">
      <x:c r="A3021" s="24" t="n">
        <x:v>46211.4375</x:v>
      </x:c>
      <x:c r="B3021" s="6" t="n">
        <x:v>0.1677</x:v>
      </x:c>
      <x:c r="C3021" s="6" t="n">
        <x:v>0.10289999999999999</x:v>
      </x:c>
      <x:c r="D3021" s="6" t="n">
        <x:f>B3021</x:f>
        <x:v>0.1677</x:v>
      </x:c>
      <x:c r="E3021" s="1" t="n">
        <x:v>1.05</x:v>
      </x:c>
      <x:c r="F3021" s="1" t="str">
        <x:v>https://api.octopus.energy/v1/products/AGILE-24-10-01/electricity-tariffs/E-1R-AGILE-24-10-01-G/standard-unit-rates/</x:v>
      </x:c>
    </x:row>
    <x:row r="3022" ht="21" customHeight="1">
      <x:c r="A3022" s="24" t="n">
        <x:v>46211.458333333336</x:v>
      </x:c>
      <x:c r="B3022" s="6" t="n">
        <x:v>0.1598</x:v>
      </x:c>
      <x:c r="C3022" s="6" t="n">
        <x:v>0.0993</x:v>
      </x:c>
      <x:c r="D3022" s="6" t="n">
        <x:f>B3022</x:f>
        <x:v>0.1598</x:v>
      </x:c>
      <x:c r="E3022" s="1" t="n">
        <x:v>1.05</x:v>
      </x:c>
      <x:c r="F3022" s="1" t="str">
        <x:v>https://api.octopus.energy/v1/products/AGILE-24-10-01/electricity-tariffs/E-1R-AGILE-24-10-01-G/standard-unit-rates/</x:v>
      </x:c>
    </x:row>
    <x:row r="3023" ht="21" customHeight="1">
      <x:c r="A3023" s="24" t="n">
        <x:v>46211.479166666664</x:v>
      </x:c>
      <x:c r="B3023" s="6" t="n">
        <x:v>0.1552</x:v>
      </x:c>
      <x:c r="C3023" s="6" t="n">
        <x:v>0.09720000000000001</x:v>
      </x:c>
      <x:c r="D3023" s="6" t="n">
        <x:f>B3023</x:f>
        <x:v>0.1552</x:v>
      </x:c>
      <x:c r="E3023" s="1" t="n">
        <x:v>1.05</x:v>
      </x:c>
      <x:c r="F3023" s="1" t="str">
        <x:v>https://api.octopus.energy/v1/products/AGILE-24-10-01/electricity-tariffs/E-1R-AGILE-24-10-01-G/standard-unit-rates/</x:v>
      </x:c>
    </x:row>
    <x:row r="3024" ht="21" customHeight="1">
      <x:c r="A3024" s="24" t="n">
        <x:v>46211.5</x:v>
      </x:c>
      <x:c r="B3024" s="6" t="n">
        <x:v>0.1612</x:v>
      </x:c>
      <x:c r="C3024" s="6" t="n">
        <x:v>0.1</x:v>
      </x:c>
      <x:c r="D3024" s="6" t="n">
        <x:f>B3024</x:f>
        <x:v>0.1612</x:v>
      </x:c>
      <x:c r="E3024" s="1" t="n">
        <x:v>1.05</x:v>
      </x:c>
      <x:c r="F3024" s="1" t="str">
        <x:v>https://api.octopus.energy/v1/products/AGILE-24-10-01/electricity-tariffs/E-1R-AGILE-24-10-01-G/standard-unit-rates/</x:v>
      </x:c>
    </x:row>
    <x:row r="3025" ht="21" customHeight="1">
      <x:c r="A3025" s="24" t="n">
        <x:v>46211.520833333336</x:v>
      </x:c>
      <x:c r="B3025" s="6" t="n">
        <x:v>0.16149999999999998</x:v>
      </x:c>
      <x:c r="C3025" s="6" t="n">
        <x:v>0.1001</x:v>
      </x:c>
      <x:c r="D3025" s="6" t="n">
        <x:f>B3025</x:f>
        <x:v>0.16149999999999998</x:v>
      </x:c>
      <x:c r="E3025" s="1" t="n">
        <x:v>1.05</x:v>
      </x:c>
      <x:c r="F3025" s="1" t="str">
        <x:v>https://api.octopus.energy/v1/products/AGILE-24-10-01/electricity-tariffs/E-1R-AGILE-24-10-01-G/standard-unit-rates/</x:v>
      </x:c>
    </x:row>
    <x:row r="3026" ht="21" customHeight="1">
      <x:c r="A3026" s="24" t="n">
        <x:v>46211.541666666664</x:v>
      </x:c>
      <x:c r="B3026" s="6" t="n">
        <x:v>0.1677</x:v>
      </x:c>
      <x:c r="C3026" s="6" t="n">
        <x:v>0.10289999999999999</x:v>
      </x:c>
      <x:c r="D3026" s="6" t="n">
        <x:f>B3026</x:f>
        <x:v>0.1677</x:v>
      </x:c>
      <x:c r="E3026" s="1" t="n">
        <x:v>1.05</x:v>
      </x:c>
      <x:c r="F3026" s="1" t="str">
        <x:v>https://api.octopus.energy/v1/products/AGILE-24-10-01/electricity-tariffs/E-1R-AGILE-24-10-01-G/standard-unit-rates/</x:v>
      </x:c>
    </x:row>
    <x:row r="3027" ht="21" customHeight="1">
      <x:c r="A3027" s="24" t="n">
        <x:v>46211.5625</x:v>
      </x:c>
      <x:c r="B3027" s="6" t="n">
        <x:v>0.16390000000000002</x:v>
      </x:c>
      <x:c r="C3027" s="6" t="n">
        <x:v>0.1012</x:v>
      </x:c>
      <x:c r="D3027" s="6" t="n">
        <x:f>B3027</x:f>
        <x:v>0.16390000000000002</x:v>
      </x:c>
      <x:c r="E3027" s="1" t="n">
        <x:v>1.05</x:v>
      </x:c>
      <x:c r="F3027" s="1" t="str">
        <x:v>https://api.octopus.energy/v1/products/AGILE-24-10-01/electricity-tariffs/E-1R-AGILE-24-10-01-G/standard-unit-rates/</x:v>
      </x:c>
    </x:row>
    <x:row r="3028" ht="21" customHeight="1">
      <x:c r="A3028" s="24" t="n">
        <x:v>46211.583333333336</x:v>
      </x:c>
      <x:c r="B3028" s="6" t="n">
        <x:v>0.16140000000000002</x:v>
      </x:c>
      <x:c r="C3028" s="6" t="n">
        <x:v>0.1</x:v>
      </x:c>
      <x:c r="D3028" s="6" t="n">
        <x:f>B3028</x:f>
        <x:v>0.16140000000000002</x:v>
      </x:c>
      <x:c r="E3028" s="1" t="n">
        <x:v>1.05</x:v>
      </x:c>
      <x:c r="F3028" s="1" t="str">
        <x:v>https://api.octopus.energy/v1/products/AGILE-24-10-01/electricity-tariffs/E-1R-AGILE-24-10-01-G/standard-unit-rates/</x:v>
      </x:c>
    </x:row>
    <x:row r="3029" ht="21" customHeight="1">
      <x:c r="A3029" s="24" t="n">
        <x:v>46211.604166666664</x:v>
      </x:c>
      <x:c r="B3029" s="6" t="n">
        <x:v>0.16140000000000002</x:v>
      </x:c>
      <x:c r="C3029" s="6" t="n">
        <x:v>0.1</x:v>
      </x:c>
      <x:c r="D3029" s="6" t="n">
        <x:f>B3029</x:f>
        <x:v>0.16140000000000002</x:v>
      </x:c>
      <x:c r="E3029" s="1" t="n">
        <x:v>1.05</x:v>
      </x:c>
      <x:c r="F3029" s="1" t="str">
        <x:v>https://api.octopus.energy/v1/products/AGILE-24-10-01/electricity-tariffs/E-1R-AGILE-24-10-01-G/standard-unit-rates/</x:v>
      </x:c>
    </x:row>
    <x:row r="3030" ht="21" customHeight="1">
      <x:c r="A3030" s="24" t="n">
        <x:v>46211.625</x:v>
      </x:c>
      <x:c r="B3030" s="6" t="n">
        <x:v>0.1482</x:v>
      </x:c>
      <x:c r="C3030" s="6" t="n">
        <x:v>0.094</x:v>
      </x:c>
      <x:c r="D3030" s="6" t="n">
        <x:f>B3030</x:f>
        <x:v>0.1482</x:v>
      </x:c>
      <x:c r="E3030" s="1" t="n">
        <x:v>1.05</x:v>
      </x:c>
      <x:c r="F3030" s="1" t="str">
        <x:v>https://api.octopus.energy/v1/products/AGILE-24-10-01/electricity-tariffs/E-1R-AGILE-24-10-01-G/standard-unit-rates/</x:v>
      </x:c>
    </x:row>
    <x:row r="3031" ht="21" customHeight="1">
      <x:c r="A3031" s="24" t="n">
        <x:v>46211.645833333336</x:v>
      </x:c>
      <x:c r="B3031" s="6" t="n">
        <x:v>0.1635</x:v>
      </x:c>
      <x:c r="C3031" s="6" t="n">
        <x:v>0.10099999999999999</x:v>
      </x:c>
      <x:c r="D3031" s="6" t="n">
        <x:f>B3031</x:f>
        <x:v>0.1635</x:v>
      </x:c>
      <x:c r="E3031" s="1" t="n">
        <x:v>1.05</x:v>
      </x:c>
      <x:c r="F3031" s="1" t="str">
        <x:v>https://api.octopus.energy/v1/products/AGILE-24-10-01/electricity-tariffs/E-1R-AGILE-24-10-01-G/standard-unit-rates/</x:v>
      </x:c>
    </x:row>
    <x:row r="3032" ht="21" customHeight="1">
      <x:c r="A3032" s="24" t="n">
        <x:v>46211.666666666664</x:v>
      </x:c>
      <x:c r="B3032" s="6" t="n">
        <x:v>0.30079999999999996</x:v>
      </x:c>
      <x:c r="C3032" s="6" t="n">
        <x:v>0.1678</x:v>
      </x:c>
      <x:c r="D3032" s="6" t="n">
        <x:f>B3032</x:f>
        <x:v>0.30079999999999996</x:v>
      </x:c>
      <x:c r="E3032" s="1" t="n">
        <x:v>1.05</x:v>
      </x:c>
      <x:c r="F3032" s="1" t="str">
        <x:v>https://api.octopus.energy/v1/products/AGILE-24-10-01/electricity-tariffs/E-1R-AGILE-24-10-01-G/standard-unit-rates/</x:v>
      </x:c>
    </x:row>
    <x:row r="3033" ht="21" customHeight="1">
      <x:c r="A3033" s="24" t="n">
        <x:v>46211.6875</x:v>
      </x:c>
      <x:c r="B3033" s="6" t="n">
        <x:v>0.2987</x:v>
      </x:c>
      <x:c r="C3033" s="6" t="n">
        <x:v>0.16690000000000002</x:v>
      </x:c>
      <x:c r="D3033" s="6" t="n">
        <x:f>B3033</x:f>
        <x:v>0.2987</x:v>
      </x:c>
      <x:c r="E3033" s="1" t="n">
        <x:v>1.05</x:v>
      </x:c>
      <x:c r="F3033" s="1" t="str">
        <x:v>https://api.octopus.energy/v1/products/AGILE-24-10-01/electricity-tariffs/E-1R-AGILE-24-10-01-G/standard-unit-rates/</x:v>
      </x:c>
    </x:row>
    <x:row r="3034" ht="21" customHeight="1">
      <x:c r="A3034" s="24" t="n">
        <x:v>46211.708333333336</x:v>
      </x:c>
      <x:c r="B3034" s="6" t="n">
        <x:v>0.2962</x:v>
      </x:c>
      <x:c r="C3034" s="6" t="n">
        <x:v>0.16570000000000001</x:v>
      </x:c>
      <x:c r="D3034" s="6" t="n">
        <x:f>B3034</x:f>
        <x:v>0.2962</x:v>
      </x:c>
      <x:c r="E3034" s="1" t="n">
        <x:v>1.05</x:v>
      </x:c>
      <x:c r="F3034" s="1" t="str">
        <x:v>https://api.octopus.energy/v1/products/AGILE-24-10-01/electricity-tariffs/E-1R-AGILE-24-10-01-G/standard-unit-rates/</x:v>
      </x:c>
    </x:row>
    <x:row r="3035" ht="21" customHeight="1">
      <x:c r="A3035" s="24" t="n">
        <x:v>46211.729166666664</x:v>
      </x:c>
      <x:c r="B3035" s="6" t="n">
        <x:v>0.3248</x:v>
      </x:c>
      <x:c r="C3035" s="6" t="n">
        <x:v>0.1788</x:v>
      </x:c>
      <x:c r="D3035" s="6" t="n">
        <x:f>B3035</x:f>
        <x:v>0.3248</x:v>
      </x:c>
      <x:c r="E3035" s="1" t="n">
        <x:v>1.05</x:v>
      </x:c>
      <x:c r="F3035" s="1" t="str">
        <x:v>https://api.octopus.energy/v1/products/AGILE-24-10-01/electricity-tariffs/E-1R-AGILE-24-10-01-G/standard-unit-rates/</x:v>
      </x:c>
    </x:row>
    <x:row r="3036" ht="21" customHeight="1">
      <x:c r="A3036" s="24" t="n">
        <x:v>46211.75</x:v>
      </x:c>
      <x:c r="B3036" s="6" t="n">
        <x:v>0.3323</x:v>
      </x:c>
      <x:c r="C3036" s="6" t="n">
        <x:v>0.1822</x:v>
      </x:c>
      <x:c r="D3036" s="6" t="n">
        <x:f>B3036</x:f>
        <x:v>0.3323</x:v>
      </x:c>
      <x:c r="E3036" s="1" t="n">
        <x:v>1.05</x:v>
      </x:c>
      <x:c r="F3036" s="1" t="str">
        <x:v>https://api.octopus.energy/v1/products/AGILE-24-10-01/electricity-tariffs/E-1R-AGILE-24-10-01-G/standard-unit-rates/</x:v>
      </x:c>
    </x:row>
    <x:row r="3037" ht="21" customHeight="1">
      <x:c r="A3037" s="24" t="n">
        <x:v>46211.770833333336</x:v>
      </x:c>
      <x:c r="B3037" s="6" t="n">
        <x:v>0.36329999999999996</x:v>
      </x:c>
      <x:c r="C3037" s="6" t="n">
        <x:v>0.19640000000000002</x:v>
      </x:c>
      <x:c r="D3037" s="6" t="n">
        <x:f>B3037</x:f>
        <x:v>0.36329999999999996</x:v>
      </x:c>
      <x:c r="E3037" s="1" t="n">
        <x:v>1.05</x:v>
      </x:c>
      <x:c r="F3037" s="1" t="str">
        <x:v>https://api.octopus.energy/v1/products/AGILE-24-10-01/electricity-tariffs/E-1R-AGILE-24-10-01-G/standard-unit-rates/</x:v>
      </x:c>
    </x:row>
    <x:row r="3038" ht="21" customHeight="1">
      <x:c r="A3038" s="24" t="n">
        <x:v>46211.791666666664</x:v>
      </x:c>
      <x:c r="B3038" s="6" t="n">
        <x:v>0.2648</x:v>
      </x:c>
      <x:c r="C3038" s="6" t="n">
        <x:v>0.14730000000000001</x:v>
      </x:c>
      <x:c r="D3038" s="6" t="n">
        <x:f>B3038</x:f>
        <x:v>0.2648</x:v>
      </x:c>
      <x:c r="E3038" s="1" t="n">
        <x:v>1.05</x:v>
      </x:c>
      <x:c r="F3038" s="1" t="str">
        <x:v>https://api.octopus.energy/v1/products/AGILE-24-10-01/electricity-tariffs/E-1R-AGILE-24-10-01-G/standard-unit-rates/</x:v>
      </x:c>
    </x:row>
    <x:row r="3039" ht="21" customHeight="1">
      <x:c r="A3039" s="24" t="n">
        <x:v>46211.8125</x:v>
      </x:c>
      <x:c r="B3039" s="6" t="n">
        <x:v>0.2725</x:v>
      </x:c>
      <x:c r="C3039" s="6" t="n">
        <x:v>0.1509</x:v>
      </x:c>
      <x:c r="D3039" s="6" t="n">
        <x:f>B3039</x:f>
        <x:v>0.2725</x:v>
      </x:c>
      <x:c r="E3039" s="1" t="n">
        <x:v>1.05</x:v>
      </x:c>
      <x:c r="F3039" s="1" t="str">
        <x:v>https://api.octopus.energy/v1/products/AGILE-24-10-01/electricity-tariffs/E-1R-AGILE-24-10-01-G/standard-unit-rates/</x:v>
      </x:c>
    </x:row>
    <x:row r="3040" ht="21" customHeight="1">
      <x:c r="A3040" s="24" t="n">
        <x:v>46211.833333333336</x:v>
      </x:c>
      <x:c r="B3040" s="6" t="n">
        <x:v>0.2888</x:v>
      </x:c>
      <x:c r="C3040" s="6" t="n">
        <x:v>0.1583</x:v>
      </x:c>
      <x:c r="D3040" s="6" t="n">
        <x:f>B3040</x:f>
        <x:v>0.2888</x:v>
      </x:c>
      <x:c r="E3040" s="1" t="n">
        <x:v>1.05</x:v>
      </x:c>
      <x:c r="F3040" s="1" t="str">
        <x:v>https://api.octopus.energy/v1/products/AGILE-24-10-01/electricity-tariffs/E-1R-AGILE-24-10-01-G/standard-unit-rates/</x:v>
      </x:c>
    </x:row>
    <x:row r="3041" ht="21" customHeight="1">
      <x:c r="A3041" s="24" t="n">
        <x:v>46211.854166666664</x:v>
      </x:c>
      <x:c r="B3041" s="6" t="n">
        <x:v>0.2905</x:v>
      </x:c>
      <x:c r="C3041" s="6" t="n">
        <x:v>0.1591</x:v>
      </x:c>
      <x:c r="D3041" s="6" t="n">
        <x:f>B3041</x:f>
        <x:v>0.2905</x:v>
      </x:c>
      <x:c r="E3041" s="1" t="n">
        <x:v>1.05</x:v>
      </x:c>
      <x:c r="F3041" s="1" t="str">
        <x:v>https://api.octopus.energy/v1/products/AGILE-24-10-01/electricity-tariffs/E-1R-AGILE-24-10-01-G/standard-unit-rates/</x:v>
      </x:c>
    </x:row>
    <x:row r="3042" ht="21" customHeight="1">
      <x:c r="A3042" s="24" t="n">
        <x:v>46211.875</x:v>
      </x:c>
      <x:c r="B3042" s="6" t="n">
        <x:v>0.2845</x:v>
      </x:c>
      <x:c r="C3042" s="6" t="n">
        <x:v>0.1563</x:v>
      </x:c>
      <x:c r="D3042" s="6" t="n">
        <x:f>B3042</x:f>
        <x:v>0.2845</x:v>
      </x:c>
      <x:c r="E3042" s="1" t="n">
        <x:v>1.05</x:v>
      </x:c>
      <x:c r="F3042" s="1" t="str">
        <x:v>https://api.octopus.energy/v1/products/AGILE-24-10-01/electricity-tariffs/E-1R-AGILE-24-10-01-G/standard-unit-rates/</x:v>
      </x:c>
    </x:row>
    <x:row r="3043" ht="21" customHeight="1">
      <x:c r="A3043" s="24" t="n">
        <x:v>46211.895833333336</x:v>
      </x:c>
      <x:c r="B3043" s="6" t="n">
        <x:v>0.2816</x:v>
      </x:c>
      <x:c r="C3043" s="6" t="n">
        <x:v>0.155</x:v>
      </x:c>
      <x:c r="D3043" s="6" t="n">
        <x:f>B3043</x:f>
        <x:v>0.2816</x:v>
      </x:c>
      <x:c r="E3043" s="1" t="n">
        <x:v>1.05</x:v>
      </x:c>
      <x:c r="F3043" s="1" t="str">
        <x:v>https://api.octopus.energy/v1/products/AGILE-24-10-01/electricity-tariffs/E-1R-AGILE-24-10-01-G/standard-unit-rates/</x:v>
      </x:c>
    </x:row>
    <x:row r="3044" ht="21" customHeight="1">
      <x:c r="A3044" s="24" t="n">
        <x:v>46211.916666666664</x:v>
      </x:c>
      <x:c r="B3044" s="6" t="n">
        <x:v>0.2669</x:v>
      </x:c>
      <x:c r="C3044" s="6" t="n">
        <x:v>0.1483</x:v>
      </x:c>
      <x:c r="D3044" s="6" t="n">
        <x:f>B3044</x:f>
        <x:v>0.2669</x:v>
      </x:c>
      <x:c r="E3044" s="1" t="n">
        <x:v>1.05</x:v>
      </x:c>
      <x:c r="F3044" s="1" t="str">
        <x:v>https://api.octopus.energy/v1/products/AGILE-24-10-01/electricity-tariffs/E-1R-AGILE-24-10-01-G/standard-unit-rates/</x:v>
      </x:c>
    </x:row>
    <x:row r="3045" ht="21" customHeight="1">
      <x:c r="A3045" s="24" t="n">
        <x:v>46211.9375</x:v>
      </x:c>
      <x:c r="B3045" s="6" t="n">
        <x:v>0.24280000000000002</x:v>
      </x:c>
      <x:c r="C3045" s="6" t="n">
        <x:v>0.13720000000000002</x:v>
      </x:c>
      <x:c r="D3045" s="6" t="n">
        <x:f>B3045</x:f>
        <x:v>0.24280000000000002</x:v>
      </x:c>
      <x:c r="E3045" s="1" t="n">
        <x:v>1.05</x:v>
      </x:c>
      <x:c r="F3045" s="1" t="str">
        <x:v>https://api.octopus.energy/v1/products/AGILE-24-10-01/electricity-tariffs/E-1R-AGILE-24-10-01-G/standard-unit-rates/</x:v>
      </x:c>
    </x:row>
    <x:row r="3046" ht="21" customHeight="1">
      <x:c r="A3046" s="24" t="n">
        <x:v>46212</x:v>
      </x:c>
      <x:c r="B3046" s="6" t="n">
        <x:v>0.2228</x:v>
      </x:c>
      <x:c r="C3046" s="6" t="n">
        <x:v>0.1281</x:v>
      </x:c>
      <x:c r="D3046" s="6" t="n">
        <x:f>B3046</x:f>
        <x:v>0.2228</x:v>
      </x:c>
      <x:c r="E3046" s="1" t="n">
        <x:v>1.05</x:v>
      </x:c>
      <x:c r="F3046" s="1" t="str">
        <x:v>https://api.octopus.energy/v1/products/AGILE-24-10-01/electricity-tariffs/E-1R-AGILE-24-10-01-G/standard-unit-rates/</x:v>
      </x:c>
    </x:row>
    <x:row r="3047" ht="21" customHeight="1">
      <x:c r="A3047" s="24" t="n">
        <x:v>46211.979166666664</x:v>
      </x:c>
      <x:c r="B3047" s="6" t="n">
        <x:v>0.2168</x:v>
      </x:c>
      <x:c r="C3047" s="6" t="n">
        <x:v>0.12539999999999998</x:v>
      </x:c>
      <x:c r="D3047" s="6" t="n">
        <x:f>B3047</x:f>
        <x:v>0.2168</x:v>
      </x:c>
      <x:c r="E3047" s="1" t="n">
        <x:v>1.05</x:v>
      </x:c>
      <x:c r="F3047" s="1" t="str">
        <x:v>https://api.octopus.energy/v1/products/AGILE-24-10-01/electricity-tariffs/E-1R-AGILE-24-10-01-G/standard-unit-rates/</x:v>
      </x:c>
    </x:row>
    <x:row r="3048" ht="21" customHeight="1">
      <x:c r="A3048" s="24" t="n">
        <x:v>46212</x:v>
      </x:c>
      <x:c r="B3048" s="6" t="n">
        <x:v>0.2089</x:v>
      </x:c>
      <x:c r="C3048" s="6" t="n">
        <x:v>0.12179999999999999</x:v>
      </x:c>
      <x:c r="D3048" s="6" t="n">
        <x:f>B3048</x:f>
        <x:v>0.2089</x:v>
      </x:c>
      <x:c r="E3048" s="1" t="n">
        <x:v>1.05</x:v>
      </x:c>
      <x:c r="F3048" s="1" t="str">
        <x:v>https://api.octopus.energy/v1/products/AGILE-24-10-01/electricity-tariffs/E-1R-AGILE-24-10-01-G/standard-unit-rates/</x:v>
      </x:c>
    </x:row>
    <x:row r="3049" ht="21" customHeight="1">
      <x:c r="A3049" s="24" t="n">
        <x:v>46212.020833333336</x:v>
      </x:c>
      <x:c r="B3049" s="6" t="n">
        <x:v>0.207</x:v>
      </x:c>
      <x:c r="C3049" s="6" t="n">
        <x:v>0.1209</x:v>
      </x:c>
      <x:c r="D3049" s="6" t="n">
        <x:f>B3049</x:f>
        <x:v>0.207</x:v>
      </x:c>
      <x:c r="E3049" s="1" t="n">
        <x:v>1.05</x:v>
      </x:c>
      <x:c r="F3049" s="1" t="str">
        <x:v>https://api.octopus.energy/v1/products/AGILE-24-10-01/electricity-tariffs/E-1R-AGILE-24-10-01-G/standard-unit-rates/</x:v>
      </x:c>
    </x:row>
    <x:row r="3050" ht="21" customHeight="1">
      <x:c r="A3050" s="24" t="n">
        <x:v>46212.041666666664</x:v>
      </x:c>
      <x:c r="B3050" s="6" t="n">
        <x:v>0.20550000000000002</x:v>
      </x:c>
      <x:c r="C3050" s="6" t="n">
        <x:v>0.1202</x:v>
      </x:c>
      <x:c r="D3050" s="6" t="n">
        <x:f>B3050</x:f>
        <x:v>0.20550000000000002</x:v>
      </x:c>
      <x:c r="E3050" s="1" t="n">
        <x:v>1.05</x:v>
      </x:c>
      <x:c r="F3050" s="1" t="str">
        <x:v>https://api.octopus.energy/v1/products/AGILE-24-10-01/electricity-tariffs/E-1R-AGILE-24-10-01-G/standard-unit-rates/</x:v>
      </x:c>
    </x:row>
    <x:row r="3051" ht="21" customHeight="1">
      <x:c r="A3051" s="24" t="n">
        <x:v>46212.0625</x:v>
      </x:c>
      <x:c r="B3051" s="6" t="n">
        <x:v>0.2053</x:v>
      </x:c>
      <x:c r="C3051" s="6" t="n">
        <x:v>0.1201</x:v>
      </x:c>
      <x:c r="D3051" s="6" t="n">
        <x:f>B3051</x:f>
        <x:v>0.2053</x:v>
      </x:c>
      <x:c r="E3051" s="1" t="n">
        <x:v>1.05</x:v>
      </x:c>
      <x:c r="F3051" s="1" t="str">
        <x:v>https://api.octopus.energy/v1/products/AGILE-24-10-01/electricity-tariffs/E-1R-AGILE-24-10-01-G/standard-unit-rates/</x:v>
      </x:c>
    </x:row>
    <x:row r="3052" ht="21" customHeight="1">
      <x:c r="A3052" s="24" t="n">
        <x:v>46212.083333333336</x:v>
      </x:c>
      <x:c r="B3052" s="6" t="n">
        <x:v>0.2027</x:v>
      </x:c>
      <x:c r="C3052" s="6" t="n">
        <x:v>0.1189</x:v>
      </x:c>
      <x:c r="D3052" s="6" t="n">
        <x:f>B3052</x:f>
        <x:v>0.2027</x:v>
      </x:c>
      <x:c r="E3052" s="1" t="n">
        <x:v>1.05</x:v>
      </x:c>
      <x:c r="F3052" s="1" t="str">
        <x:v>https://api.octopus.energy/v1/products/AGILE-24-10-01/electricity-tariffs/E-1R-AGILE-24-10-01-G/standard-unit-rates/</x:v>
      </x:c>
    </x:row>
    <x:row r="3053" ht="21" customHeight="1">
      <x:c r="A3053" s="24" t="n">
        <x:v>46212.104166666664</x:v>
      </x:c>
      <x:c r="B3053" s="6" t="n">
        <x:v>0.20199999999999999</x:v>
      </x:c>
      <x:c r="C3053" s="6" t="n">
        <x:v>0.1186</x:v>
      </x:c>
      <x:c r="D3053" s="6" t="n">
        <x:f>B3053</x:f>
        <x:v>0.20199999999999999</x:v>
      </x:c>
      <x:c r="E3053" s="1" t="n">
        <x:v>1.05</x:v>
      </x:c>
      <x:c r="F3053" s="1" t="str">
        <x:v>https://api.octopus.energy/v1/products/AGILE-24-10-01/electricity-tariffs/E-1R-AGILE-24-10-01-G/standard-unit-rates/</x:v>
      </x:c>
    </x:row>
    <x:row r="3054" ht="21" customHeight="1">
      <x:c r="A3054" s="24" t="n">
        <x:v>46212.125</x:v>
      </x:c>
      <x:c r="B3054" s="6" t="n">
        <x:v>0.20600000000000002</x:v>
      </x:c>
      <x:c r="C3054" s="6" t="n">
        <x:v>0.1204</x:v>
      </x:c>
      <x:c r="D3054" s="6" t="n">
        <x:f>B3054</x:f>
        <x:v>0.20600000000000002</x:v>
      </x:c>
      <x:c r="E3054" s="1" t="n">
        <x:v>1.05</x:v>
      </x:c>
      <x:c r="F3054" s="1" t="str">
        <x:v>https://api.octopus.energy/v1/products/AGILE-24-10-01/electricity-tariffs/E-1R-AGILE-24-10-01-G/standard-unit-rates/</x:v>
      </x:c>
    </x:row>
    <x:row r="3055" ht="21" customHeight="1">
      <x:c r="A3055" s="24" t="n">
        <x:v>46212.145833333336</x:v>
      </x:c>
      <x:c r="B3055" s="6" t="n">
        <x:v>0.2053</x:v>
      </x:c>
      <x:c r="C3055" s="6" t="n">
        <x:v>0.1201</x:v>
      </x:c>
      <x:c r="D3055" s="6" t="n">
        <x:f>B3055</x:f>
        <x:v>0.2053</x:v>
      </x:c>
      <x:c r="E3055" s="1" t="n">
        <x:v>1.05</x:v>
      </x:c>
      <x:c r="F3055" s="1" t="str">
        <x:v>https://api.octopus.energy/v1/products/AGILE-24-10-01/electricity-tariffs/E-1R-AGILE-24-10-01-G/standard-unit-rates/</x:v>
      </x:c>
    </x:row>
    <x:row r="3056" ht="21" customHeight="1">
      <x:c r="A3056" s="24" t="n">
        <x:v>46212.166666666664</x:v>
      </x:c>
      <x:c r="B3056" s="6" t="n">
        <x:v>0.2144</x:v>
      </x:c>
      <x:c r="C3056" s="6" t="n">
        <x:v>0.1243</x:v>
      </x:c>
      <x:c r="D3056" s="6" t="n">
        <x:f>B3056</x:f>
        <x:v>0.2144</x:v>
      </x:c>
      <x:c r="E3056" s="1" t="n">
        <x:v>1.05</x:v>
      </x:c>
      <x:c r="F3056" s="1" t="str">
        <x:v>https://api.octopus.energy/v1/products/AGILE-24-10-01/electricity-tariffs/E-1R-AGILE-24-10-01-G/standard-unit-rates/</x:v>
      </x:c>
    </x:row>
    <x:row r="3057" ht="21" customHeight="1">
      <x:c r="A3057" s="24" t="n">
        <x:v>46212.1875</x:v>
      </x:c>
      <x:c r="B3057" s="6" t="n">
        <x:v>0.20879999999999999</x:v>
      </x:c>
      <x:c r="C3057" s="6" t="n">
        <x:v>0.1217</x:v>
      </x:c>
      <x:c r="D3057" s="6" t="n">
        <x:f>B3057</x:f>
        <x:v>0.20879999999999999</x:v>
      </x:c>
      <x:c r="E3057" s="1" t="n">
        <x:v>1.05</x:v>
      </x:c>
      <x:c r="F3057" s="1" t="str">
        <x:v>https://api.octopus.energy/v1/products/AGILE-24-10-01/electricity-tariffs/E-1R-AGILE-24-10-01-G/standard-unit-rates/</x:v>
      </x:c>
    </x:row>
    <x:row r="3058" ht="21" customHeight="1">
      <x:c r="A3058" s="24" t="n">
        <x:v>46212.208333333336</x:v>
      </x:c>
      <x:c r="B3058" s="6" t="n">
        <x:v>0.22</x:v>
      </x:c>
      <x:c r="C3058" s="6" t="n">
        <x:v>0.1268</x:v>
      </x:c>
      <x:c r="D3058" s="6" t="n">
        <x:f>B3058</x:f>
        <x:v>0.22</x:v>
      </x:c>
      <x:c r="E3058" s="1" t="n">
        <x:v>1.05</x:v>
      </x:c>
      <x:c r="F3058" s="1" t="str">
        <x:v>https://api.octopus.energy/v1/products/AGILE-24-10-01/electricity-tariffs/E-1R-AGILE-24-10-01-G/standard-unit-rates/</x:v>
      </x:c>
    </x:row>
    <x:row r="3059" ht="21" customHeight="1">
      <x:c r="A3059" s="24" t="n">
        <x:v>46212.229166666664</x:v>
      </x:c>
      <x:c r="B3059" s="6" t="n">
        <x:v>0.2157</x:v>
      </x:c>
      <x:c r="C3059" s="6" t="n">
        <x:v>0.1249</x:v>
      </x:c>
      <x:c r="D3059" s="6" t="n">
        <x:f>B3059</x:f>
        <x:v>0.2157</x:v>
      </x:c>
      <x:c r="E3059" s="1" t="n">
        <x:v>1.05</x:v>
      </x:c>
      <x:c r="F3059" s="1" t="str">
        <x:v>https://api.octopus.energy/v1/products/AGILE-24-10-01/electricity-tariffs/E-1R-AGILE-24-10-01-G/standard-unit-rates/</x:v>
      </x:c>
    </x:row>
    <x:row r="3060" ht="21" customHeight="1">
      <x:c r="A3060" s="24" t="n">
        <x:v>46212.25</x:v>
      </x:c>
      <x:c r="B3060" s="6" t="n">
        <x:v>0.2408</x:v>
      </x:c>
      <x:c r="C3060" s="6" t="n">
        <x:v>0.1363</x:v>
      </x:c>
      <x:c r="D3060" s="6" t="n">
        <x:f>B3060</x:f>
        <x:v>0.2408</x:v>
      </x:c>
      <x:c r="E3060" s="1" t="n">
        <x:v>1.05</x:v>
      </x:c>
      <x:c r="F3060" s="1" t="str">
        <x:v>https://api.octopus.energy/v1/products/AGILE-24-10-01/electricity-tariffs/E-1R-AGILE-24-10-01-G/standard-unit-rates/</x:v>
      </x:c>
    </x:row>
    <x:row r="3061" ht="21" customHeight="1">
      <x:c r="A3061" s="24" t="n">
        <x:v>46212.270833333336</x:v>
      </x:c>
      <x:c r="B3061" s="6" t="n">
        <x:v>0.2492</x:v>
      </x:c>
      <x:c r="C3061" s="6" t="n">
        <x:v>0.1402</x:v>
      </x:c>
      <x:c r="D3061" s="6" t="n">
        <x:f>B3061</x:f>
        <x:v>0.2492</x:v>
      </x:c>
      <x:c r="E3061" s="1" t="n">
        <x:v>1.05</x:v>
      </x:c>
      <x:c r="F3061" s="1" t="str">
        <x:v>https://api.octopus.energy/v1/products/AGILE-24-10-01/electricity-tariffs/E-1R-AGILE-24-10-01-G/standard-unit-rates/</x:v>
      </x:c>
    </x:row>
    <x:row r="3062" ht="21" customHeight="1">
      <x:c r="A3062" s="24" t="n">
        <x:v>46212.291666666664</x:v>
      </x:c>
      <x:c r="B3062" s="6" t="n">
        <x:v>0.2194</x:v>
      </x:c>
      <x:c r="C3062" s="6" t="n">
        <x:v>0.1266</x:v>
      </x:c>
      <x:c r="D3062" s="6" t="n">
        <x:f>B3062</x:f>
        <x:v>0.2194</x:v>
      </x:c>
      <x:c r="E3062" s="1" t="n">
        <x:v>1.05</x:v>
      </x:c>
      <x:c r="F3062" s="1" t="str">
        <x:v>https://api.octopus.energy/v1/products/AGILE-24-10-01/electricity-tariffs/E-1R-AGILE-24-10-01-G/standard-unit-rates/</x:v>
      </x:c>
    </x:row>
    <x:row r="3063" ht="21" customHeight="1">
      <x:c r="A3063" s="24" t="n">
        <x:v>46212.3125</x:v>
      </x:c>
      <x:c r="B3063" s="6" t="n">
        <x:v>0.21969999999999998</x:v>
      </x:c>
      <x:c r="C3063" s="6" t="n">
        <x:v>0.1267</x:v>
      </x:c>
      <x:c r="D3063" s="6" t="n">
        <x:f>B3063</x:f>
        <x:v>0.21969999999999998</x:v>
      </x:c>
      <x:c r="E3063" s="1" t="n">
        <x:v>1.05</x:v>
      </x:c>
      <x:c r="F3063" s="1" t="str">
        <x:v>https://api.octopus.energy/v1/products/AGILE-24-10-01/electricity-tariffs/E-1R-AGILE-24-10-01-G/standard-unit-rates/</x:v>
      </x:c>
    </x:row>
    <x:row r="3064" ht="21" customHeight="1">
      <x:c r="A3064" s="24" t="n">
        <x:v>46212.333333333336</x:v>
      </x:c>
      <x:c r="B3064" s="6" t="n">
        <x:v>0.20809999999999998</x:v>
      </x:c>
      <x:c r="C3064" s="6" t="n">
        <x:v>0.12140000000000001</x:v>
      </x:c>
      <x:c r="D3064" s="6" t="n">
        <x:f>B3064</x:f>
        <x:v>0.20809999999999998</x:v>
      </x:c>
      <x:c r="E3064" s="1" t="n">
        <x:v>1.05</x:v>
      </x:c>
      <x:c r="F3064" s="1" t="str">
        <x:v>https://api.octopus.energy/v1/products/AGILE-24-10-01/electricity-tariffs/E-1R-AGILE-24-10-01-G/standard-unit-rates/</x:v>
      </x:c>
    </x:row>
    <x:row r="3065" ht="21" customHeight="1">
      <x:c r="A3065" s="24" t="n">
        <x:v>46212.354166666664</x:v>
      </x:c>
      <x:c r="B3065" s="6" t="n">
        <x:v>0.1942</x:v>
      </x:c>
      <x:c r="C3065" s="6" t="n">
        <x:v>0.115</x:v>
      </x:c>
      <x:c r="D3065" s="6" t="n">
        <x:f>B3065</x:f>
        <x:v>0.1942</x:v>
      </x:c>
      <x:c r="E3065" s="1" t="n">
        <x:v>1.05</x:v>
      </x:c>
      <x:c r="F3065" s="1" t="str">
        <x:v>https://api.octopus.energy/v1/products/AGILE-24-10-01/electricity-tariffs/E-1R-AGILE-24-10-01-G/standard-unit-rates/</x:v>
      </x:c>
    </x:row>
    <x:row r="3066" ht="21" customHeight="1">
      <x:c r="A3066" s="24" t="n">
        <x:v>46212.375</x:v>
      </x:c>
      <x:c r="B3066" s="6" t="n">
        <x:v>0.1892</x:v>
      </x:c>
      <x:c r="C3066" s="6" t="n">
        <x:v>0.1128</x:v>
      </x:c>
      <x:c r="D3066" s="6" t="n">
        <x:f>B3066</x:f>
        <x:v>0.1892</x:v>
      </x:c>
      <x:c r="E3066" s="1" t="n">
        <x:v>1.05</x:v>
      </x:c>
      <x:c r="F3066" s="1" t="str">
        <x:v>https://api.octopus.energy/v1/products/AGILE-24-10-01/electricity-tariffs/E-1R-AGILE-24-10-01-G/standard-unit-rates/</x:v>
      </x:c>
    </x:row>
    <x:row r="3067" ht="21" customHeight="1">
      <x:c r="A3067" s="24" t="n">
        <x:v>46212.395833333336</x:v>
      </x:c>
      <x:c r="B3067" s="6" t="n">
        <x:v>0.2039</x:v>
      </x:c>
      <x:c r="C3067" s="6" t="n">
        <x:v>0.1195</x:v>
      </x:c>
      <x:c r="D3067" s="6" t="n">
        <x:f>B3067</x:f>
        <x:v>0.2039</x:v>
      </x:c>
      <x:c r="E3067" s="1" t="n">
        <x:v>1.05</x:v>
      </x:c>
      <x:c r="F3067" s="1" t="str">
        <x:v>https://api.octopus.energy/v1/products/AGILE-24-10-01/electricity-tariffs/E-1R-AGILE-24-10-01-G/standard-unit-rates/</x:v>
      </x:c>
    </x:row>
    <x:row r="3068" ht="21" customHeight="1">
      <x:c r="A3068" s="24" t="n">
        <x:v>46212.416666666664</x:v>
      </x:c>
      <x:c r="B3068" s="6" t="n">
        <x:v>0.19760000000000003</x:v>
      </x:c>
      <x:c r="C3068" s="6" t="n">
        <x:v>0.1166</x:v>
      </x:c>
      <x:c r="D3068" s="6" t="n">
        <x:f>B3068</x:f>
        <x:v>0.19760000000000003</x:v>
      </x:c>
      <x:c r="E3068" s="1" t="n">
        <x:v>1.05</x:v>
      </x:c>
      <x:c r="F3068" s="1" t="str">
        <x:v>https://api.octopus.energy/v1/products/AGILE-24-10-01/electricity-tariffs/E-1R-AGILE-24-10-01-G/standard-unit-rates/</x:v>
      </x:c>
    </x:row>
    <x:row r="3069" ht="21" customHeight="1">
      <x:c r="A3069" s="24" t="n">
        <x:v>46212.4375</x:v>
      </x:c>
      <x:c r="B3069" s="6" t="n">
        <x:v>0.1808</x:v>
      </x:c>
      <x:c r="C3069" s="6" t="n">
        <x:v>0.10890000000000001</x:v>
      </x:c>
      <x:c r="D3069" s="6" t="n">
        <x:f>B3069</x:f>
        <x:v>0.1808</x:v>
      </x:c>
      <x:c r="E3069" s="1" t="n">
        <x:v>1.05</x:v>
      </x:c>
      <x:c r="F3069" s="1" t="str">
        <x:v>https://api.octopus.energy/v1/products/AGILE-24-10-01/electricity-tariffs/E-1R-AGILE-24-10-01-G/standard-unit-rates/</x:v>
      </x:c>
    </x:row>
    <x:row r="3070" ht="21" customHeight="1">
      <x:c r="A3070" s="24" t="n">
        <x:v>46212.458333333336</x:v>
      </x:c>
      <x:c r="B3070" s="6" t="n">
        <x:v>0.16820000000000002</x:v>
      </x:c>
      <x:c r="C3070" s="6" t="n">
        <x:v>0.1032</x:v>
      </x:c>
      <x:c r="D3070" s="6" t="n">
        <x:f>B3070</x:f>
        <x:v>0.16820000000000002</x:v>
      </x:c>
      <x:c r="E3070" s="1" t="n">
        <x:v>1.05</x:v>
      </x:c>
      <x:c r="F3070" s="1" t="str">
        <x:v>https://api.octopus.energy/v1/products/AGILE-24-10-01/electricity-tariffs/E-1R-AGILE-24-10-01-G/standard-unit-rates/</x:v>
      </x:c>
    </x:row>
    <x:row r="3071" ht="21" customHeight="1">
      <x:c r="A3071" s="24" t="n">
        <x:v>46212.479166666664</x:v>
      </x:c>
      <x:c r="B3071" s="6" t="n">
        <x:v>0.1686</x:v>
      </x:c>
      <x:c r="C3071" s="6" t="n">
        <x:v>0.1033</x:v>
      </x:c>
      <x:c r="D3071" s="6" t="n">
        <x:f>B3071</x:f>
        <x:v>0.1686</x:v>
      </x:c>
      <x:c r="E3071" s="1" t="n">
        <x:v>1.05</x:v>
      </x:c>
      <x:c r="F3071" s="1" t="str">
        <x:v>https://api.octopus.energy/v1/products/AGILE-24-10-01/electricity-tariffs/E-1R-AGILE-24-10-01-G/standard-unit-rates/</x:v>
      </x:c>
    </x:row>
    <x:row r="3072" ht="21" customHeight="1">
      <x:c r="A3072" s="24" t="n">
        <x:v>46212.5</x:v>
      </x:c>
      <x:c r="B3072" s="6" t="n">
        <x:v>0.16820000000000002</x:v>
      </x:c>
      <x:c r="C3072" s="6" t="n">
        <x:v>0.1032</x:v>
      </x:c>
      <x:c r="D3072" s="6" t="n">
        <x:f>B3072</x:f>
        <x:v>0.16820000000000002</x:v>
      </x:c>
      <x:c r="E3072" s="1" t="n">
        <x:v>1.05</x:v>
      </x:c>
      <x:c r="F3072" s="1" t="str">
        <x:v>https://api.octopus.energy/v1/products/AGILE-24-10-01/electricity-tariffs/E-1R-AGILE-24-10-01-G/standard-unit-rates/</x:v>
      </x:c>
    </x:row>
    <x:row r="3073" ht="21" customHeight="1">
      <x:c r="A3073" s="24" t="n">
        <x:v>46212.520833333336</x:v>
      </x:c>
      <x:c r="B3073" s="6" t="n">
        <x:v>0.16820000000000002</x:v>
      </x:c>
      <x:c r="C3073" s="6" t="n">
        <x:v>0.1032</x:v>
      </x:c>
      <x:c r="D3073" s="6" t="n">
        <x:f>B3073</x:f>
        <x:v>0.16820000000000002</x:v>
      </x:c>
      <x:c r="E3073" s="1" t="n">
        <x:v>1.05</x:v>
      </x:c>
      <x:c r="F3073" s="1" t="str">
        <x:v>https://api.octopus.energy/v1/products/AGILE-24-10-01/electricity-tariffs/E-1R-AGILE-24-10-01-G/standard-unit-rates/</x:v>
      </x:c>
    </x:row>
    <x:row r="3074" ht="21" customHeight="1">
      <x:c r="A3074" s="24" t="n">
        <x:v>46212.541666666664</x:v>
      </x:c>
      <x:c r="B3074" s="6" t="n">
        <x:v>0.16820000000000002</x:v>
      </x:c>
      <x:c r="C3074" s="6" t="n">
        <x:v>0.1032</x:v>
      </x:c>
      <x:c r="D3074" s="6" t="n">
        <x:f>B3074</x:f>
        <x:v>0.16820000000000002</x:v>
      </x:c>
      <x:c r="E3074" s="1" t="n">
        <x:v>1.05</x:v>
      </x:c>
      <x:c r="F3074" s="1" t="str">
        <x:v>https://api.octopus.energy/v1/products/AGILE-24-10-01/electricity-tariffs/E-1R-AGILE-24-10-01-G/standard-unit-rates/</x:v>
      </x:c>
    </x:row>
    <x:row r="3075" ht="21" customHeight="1">
      <x:c r="A3075" s="24" t="n">
        <x:v>46212.5625</x:v>
      </x:c>
      <x:c r="B3075" s="6" t="n">
        <x:v>0.166</x:v>
      </x:c>
      <x:c r="C3075" s="6" t="n">
        <x:v>0.10210000000000001</x:v>
      </x:c>
      <x:c r="D3075" s="6" t="n">
        <x:f>B3075</x:f>
        <x:v>0.166</x:v>
      </x:c>
      <x:c r="E3075" s="1" t="n">
        <x:v>1.05</x:v>
      </x:c>
      <x:c r="F3075" s="1" t="str">
        <x:v>https://api.octopus.energy/v1/products/AGILE-24-10-01/electricity-tariffs/E-1R-AGILE-24-10-01-G/standard-unit-rates/</x:v>
      </x:c>
    </x:row>
    <x:row r="3076" ht="21" customHeight="1">
      <x:c r="A3076" s="24" t="n">
        <x:v>46212.583333333336</x:v>
      </x:c>
      <x:c r="B3076" s="6" t="n">
        <x:v>0.1638</x:v>
      </x:c>
      <x:c r="C3076" s="6" t="n">
        <x:v>0.1011</x:v>
      </x:c>
      <x:c r="D3076" s="6" t="n">
        <x:f>B3076</x:f>
        <x:v>0.1638</x:v>
      </x:c>
      <x:c r="E3076" s="1" t="n">
        <x:v>1.05</x:v>
      </x:c>
      <x:c r="F3076" s="1" t="str">
        <x:v>https://api.octopus.energy/v1/products/AGILE-24-10-01/electricity-tariffs/E-1R-AGILE-24-10-01-G/standard-unit-rates/</x:v>
      </x:c>
    </x:row>
    <x:row r="3077" ht="21" customHeight="1">
      <x:c r="A3077" s="24" t="n">
        <x:v>46212.604166666664</x:v>
      </x:c>
      <x:c r="B3077" s="6" t="n">
        <x:v>0.1598</x:v>
      </x:c>
      <x:c r="C3077" s="6" t="n">
        <x:v>0.0993</x:v>
      </x:c>
      <x:c r="D3077" s="6" t="n">
        <x:f>B3077</x:f>
        <x:v>0.1598</x:v>
      </x:c>
      <x:c r="E3077" s="1" t="n">
        <x:v>1.05</x:v>
      </x:c>
      <x:c r="F3077" s="1" t="str">
        <x:v>https://api.octopus.energy/v1/products/AGILE-24-10-01/electricity-tariffs/E-1R-AGILE-24-10-01-G/standard-unit-rates/</x:v>
      </x:c>
    </x:row>
    <x:row r="3078" ht="21" customHeight="1">
      <x:c r="A3078" s="24" t="n">
        <x:v>46212.625</x:v>
      </x:c>
      <x:c r="B3078" s="6" t="n">
        <x:v>0.1493</x:v>
      </x:c>
      <x:c r="C3078" s="6" t="n">
        <x:v>0.09449999999999999</x:v>
      </x:c>
      <x:c r="D3078" s="6" t="n">
        <x:f>B3078</x:f>
        <x:v>0.1493</x:v>
      </x:c>
      <x:c r="E3078" s="1" t="n">
        <x:v>1.05</x:v>
      </x:c>
      <x:c r="F3078" s="1" t="str">
        <x:v>https://api.octopus.energy/v1/products/AGILE-24-10-01/electricity-tariffs/E-1R-AGILE-24-10-01-G/standard-unit-rates/</x:v>
      </x:c>
    </x:row>
    <x:row r="3079" ht="21" customHeight="1">
      <x:c r="A3079" s="24" t="n">
        <x:v>46212.645833333336</x:v>
      </x:c>
      <x:c r="B3079" s="6" t="n">
        <x:v>0.16399999999999998</x:v>
      </x:c>
      <x:c r="C3079" s="6" t="n">
        <x:v>0.1012</x:v>
      </x:c>
      <x:c r="D3079" s="6" t="n">
        <x:f>B3079</x:f>
        <x:v>0.16399999999999998</x:v>
      </x:c>
      <x:c r="E3079" s="1" t="n">
        <x:v>1.05</x:v>
      </x:c>
      <x:c r="F3079" s="1" t="str">
        <x:v>https://api.octopus.energy/v1/products/AGILE-24-10-01/electricity-tariffs/E-1R-AGILE-24-10-01-G/standard-unit-rates/</x:v>
      </x:c>
    </x:row>
    <x:row r="3080" ht="21" customHeight="1">
      <x:c r="A3080" s="24" t="n">
        <x:v>46212.666666666664</x:v>
      </x:c>
      <x:c r="B3080" s="6" t="n">
        <x:v>0.2882</x:v>
      </x:c>
      <x:c r="C3080" s="6" t="n">
        <x:v>0.16210000000000002</x:v>
      </x:c>
      <x:c r="D3080" s="6" t="n">
        <x:f>B3080</x:f>
        <x:v>0.2882</x:v>
      </x:c>
      <x:c r="E3080" s="1" t="n">
        <x:v>1.05</x:v>
      </x:c>
      <x:c r="F3080" s="1" t="str">
        <x:v>https://api.octopus.energy/v1/products/AGILE-24-10-01/electricity-tariffs/E-1R-AGILE-24-10-01-G/standard-unit-rates/</x:v>
      </x:c>
    </x:row>
    <x:row r="3081" ht="21" customHeight="1">
      <x:c r="A3081" s="24" t="n">
        <x:v>46212.6875</x:v>
      </x:c>
      <x:c r="B3081" s="6" t="n">
        <x:v>0.2655</x:v>
      </x:c>
      <x:c r="C3081" s="6" t="n">
        <x:v>0.1517</x:v>
      </x:c>
      <x:c r="D3081" s="6" t="n">
        <x:f>B3081</x:f>
        <x:v>0.2655</x:v>
      </x:c>
      <x:c r="E3081" s="1" t="n">
        <x:v>1.05</x:v>
      </x:c>
      <x:c r="F3081" s="1" t="str">
        <x:v>https://api.octopus.energy/v1/products/AGILE-24-10-01/electricity-tariffs/E-1R-AGILE-24-10-01-G/standard-unit-rates/</x:v>
      </x:c>
    </x:row>
    <x:row r="3082" ht="21" customHeight="1">
      <x:c r="A3082" s="24" t="n">
        <x:v>46212.708333333336</x:v>
      </x:c>
      <x:c r="B3082" s="6" t="n">
        <x:v>0.3373</x:v>
      </x:c>
      <x:c r="C3082" s="6" t="n">
        <x:v>0.1845</x:v>
      </x:c>
      <x:c r="D3082" s="6" t="n">
        <x:f>B3082</x:f>
        <x:v>0.3373</x:v>
      </x:c>
      <x:c r="E3082" s="1" t="n">
        <x:v>1.05</x:v>
      </x:c>
      <x:c r="F3082" s="1" t="str">
        <x:v>https://api.octopus.energy/v1/products/AGILE-24-10-01/electricity-tariffs/E-1R-AGILE-24-10-01-G/standard-unit-rates/</x:v>
      </x:c>
    </x:row>
    <x:row r="3083" ht="21" customHeight="1">
      <x:c r="A3083" s="24" t="n">
        <x:v>46212.729166666664</x:v>
      </x:c>
      <x:c r="B3083" s="6" t="n">
        <x:v>0.3367</x:v>
      </x:c>
      <x:c r="C3083" s="6" t="n">
        <x:v>0.18420000000000003</x:v>
      </x:c>
      <x:c r="D3083" s="6" t="n">
        <x:f>B3083</x:f>
        <x:v>0.3367</x:v>
      </x:c>
      <x:c r="E3083" s="1" t="n">
        <x:v>1.05</x:v>
      </x:c>
      <x:c r="F3083" s="1" t="str">
        <x:v>https://api.octopus.energy/v1/products/AGILE-24-10-01/electricity-tariffs/E-1R-AGILE-24-10-01-G/standard-unit-rates/</x:v>
      </x:c>
    </x:row>
    <x:row r="3084" ht="21" customHeight="1">
      <x:c r="A3084" s="24" t="n">
        <x:v>46212.75</x:v>
      </x:c>
      <x:c r="B3084" s="6" t="n">
        <x:v>0.409</x:v>
      </x:c>
      <x:c r="C3084" s="6" t="n">
        <x:v>0.2173</x:v>
      </x:c>
      <x:c r="D3084" s="6" t="n">
        <x:f>B3084</x:f>
        <x:v>0.409</x:v>
      </x:c>
      <x:c r="E3084" s="1" t="n">
        <x:v>1.05</x:v>
      </x:c>
      <x:c r="F3084" s="1" t="str">
        <x:v>https://api.octopus.energy/v1/products/AGILE-24-10-01/electricity-tariffs/E-1R-AGILE-24-10-01-G/standard-unit-rates/</x:v>
      </x:c>
    </x:row>
    <x:row r="3085" ht="21" customHeight="1">
      <x:c r="A3085" s="24" t="n">
        <x:v>46212.770833333336</x:v>
      </x:c>
      <x:c r="B3085" s="6" t="n">
        <x:v>0.4121</x:v>
      </x:c>
      <x:c r="C3085" s="6" t="n">
        <x:v>0.2187</x:v>
      </x:c>
      <x:c r="D3085" s="6" t="n">
        <x:f>B3085</x:f>
        <x:v>0.4121</x:v>
      </x:c>
      <x:c r="E3085" s="1" t="n">
        <x:v>1.05</x:v>
      </x:c>
      <x:c r="F3085" s="1" t="str">
        <x:v>https://api.octopus.energy/v1/products/AGILE-24-10-01/electricity-tariffs/E-1R-AGILE-24-10-01-G/standard-unit-rates/</x:v>
      </x:c>
    </x:row>
    <x:row r="3086" ht="21" customHeight="1">
      <x:c r="A3086" s="24" t="n">
        <x:v>46212.791666666664</x:v>
      </x:c>
      <x:c r="B3086" s="6" t="n">
        <x:v>0.3923</x:v>
      </x:c>
      <x:c r="C3086" s="6" t="n">
        <x:v>0.20559999999999998</x:v>
      </x:c>
      <x:c r="D3086" s="6" t="n">
        <x:f>B3086</x:f>
        <x:v>0.3923</x:v>
      </x:c>
      <x:c r="E3086" s="1" t="n">
        <x:v>1.05</x:v>
      </x:c>
      <x:c r="F3086" s="1" t="str">
        <x:v>https://api.octopus.energy/v1/products/AGILE-24-10-01/electricity-tariffs/E-1R-AGILE-24-10-01-G/standard-unit-rates/</x:v>
      </x:c>
    </x:row>
    <x:row r="3087" ht="21" customHeight="1">
      <x:c r="A3087" s="24" t="n">
        <x:v>46212.8125</x:v>
      </x:c>
      <x:c r="B3087" s="6" t="n">
        <x:v>0.38659999999999994</x:v>
      </x:c>
      <x:c r="C3087" s="6" t="n">
        <x:v>0.203</x:v>
      </x:c>
      <x:c r="D3087" s="6" t="n">
        <x:f>B3087</x:f>
        <x:v>0.38659999999999994</x:v>
      </x:c>
      <x:c r="E3087" s="1" t="n">
        <x:v>1.05</x:v>
      </x:c>
      <x:c r="F3087" s="1" t="str">
        <x:v>https://api.octopus.energy/v1/products/AGILE-24-10-01/electricity-tariffs/E-1R-AGILE-24-10-01-G/standard-unit-rates/</x:v>
      </x:c>
    </x:row>
    <x:row r="3088" ht="21" customHeight="1">
      <x:c r="A3088" s="24" t="n">
        <x:v>46212.833333333336</x:v>
      </x:c>
      <x:c r="B3088" s="6" t="n">
        <x:v>0.38659999999999994</x:v>
      </x:c>
      <x:c r="C3088" s="6" t="n">
        <x:v>0.203</x:v>
      </x:c>
      <x:c r="D3088" s="6" t="n">
        <x:f>B3088</x:f>
        <x:v>0.38659999999999994</x:v>
      </x:c>
      <x:c r="E3088" s="1" t="n">
        <x:v>1.05</x:v>
      </x:c>
      <x:c r="F3088" s="1" t="str">
        <x:v>https://api.octopus.energy/v1/products/AGILE-24-10-01/electricity-tariffs/E-1R-AGILE-24-10-01-G/standard-unit-rates/</x:v>
      </x:c>
    </x:row>
    <x:row r="3089" ht="21" customHeight="1">
      <x:c r="A3089" s="24" t="n">
        <x:v>46212.854166666664</x:v>
      </x:c>
      <x:c r="B3089" s="6" t="n">
        <x:v>0.38659999999999994</x:v>
      </x:c>
      <x:c r="C3089" s="6" t="n">
        <x:v>0.203</x:v>
      </x:c>
      <x:c r="D3089" s="6" t="n">
        <x:f>B3089</x:f>
        <x:v>0.38659999999999994</x:v>
      </x:c>
      <x:c r="E3089" s="1" t="n">
        <x:v>1.05</x:v>
      </x:c>
      <x:c r="F3089" s="1" t="str">
        <x:v>https://api.octopus.energy/v1/products/AGILE-24-10-01/electricity-tariffs/E-1R-AGILE-24-10-01-G/standard-unit-rates/</x:v>
      </x:c>
    </x:row>
    <x:row r="3090" ht="21" customHeight="1">
      <x:c r="A3090" s="24" t="n">
        <x:v>46212.875</x:v>
      </x:c>
      <x:c r="B3090" s="6" t="n">
        <x:v>0.353</x:v>
      </x:c>
      <x:c r="C3090" s="6" t="n">
        <x:v>0.18760000000000002</x:v>
      </x:c>
      <x:c r="D3090" s="6" t="n">
        <x:f>B3090</x:f>
        <x:v>0.353</x:v>
      </x:c>
      <x:c r="E3090" s="1" t="n">
        <x:v>1.05</x:v>
      </x:c>
      <x:c r="F3090" s="1" t="str">
        <x:v>https://api.octopus.energy/v1/products/AGILE-24-10-01/electricity-tariffs/E-1R-AGILE-24-10-01-G/standard-unit-rates/</x:v>
      </x:c>
    </x:row>
    <x:row r="3091" ht="21" customHeight="1">
      <x:c r="A3091" s="24" t="n">
        <x:v>46212.895833333336</x:v>
      </x:c>
      <x:c r="B3091" s="6" t="n">
        <x:v>0.3404</x:v>
      </x:c>
      <x:c r="C3091" s="6" t="n">
        <x:v>0.1819</x:v>
      </x:c>
      <x:c r="D3091" s="6" t="n">
        <x:f>B3091</x:f>
        <x:v>0.3404</x:v>
      </x:c>
      <x:c r="E3091" s="1" t="n">
        <x:v>1.05</x:v>
      </x:c>
      <x:c r="F3091" s="1" t="str">
        <x:v>https://api.octopus.energy/v1/products/AGILE-24-10-01/electricity-tariffs/E-1R-AGILE-24-10-01-G/standard-unit-rates/</x:v>
      </x:c>
    </x:row>
    <x:row r="3092" ht="21" customHeight="1">
      <x:c r="A3092" s="24" t="n">
        <x:v>46212.916666666664</x:v>
      </x:c>
      <x:c r="B3092" s="6" t="n">
        <x:v>0.29710000000000003</x:v>
      </x:c>
      <x:c r="C3092" s="6" t="n">
        <x:v>0.16210000000000002</x:v>
      </x:c>
      <x:c r="D3092" s="6" t="n">
        <x:f>B3092</x:f>
        <x:v>0.29710000000000003</x:v>
      </x:c>
      <x:c r="E3092" s="1" t="n">
        <x:v>1.05</x:v>
      </x:c>
      <x:c r="F3092" s="1" t="str">
        <x:v>https://api.octopus.energy/v1/products/AGILE-24-10-01/electricity-tariffs/E-1R-AGILE-24-10-01-G/standard-unit-rates/</x:v>
      </x:c>
    </x:row>
    <x:row r="3093" ht="21" customHeight="1">
      <x:c r="A3093" s="24" t="n">
        <x:v>46212.9375</x:v>
      </x:c>
      <x:c r="B3093" s="6" t="n">
        <x:v>0.2648</x:v>
      </x:c>
      <x:c r="C3093" s="6" t="n">
        <x:v>0.14730000000000001</x:v>
      </x:c>
      <x:c r="D3093" s="6" t="n">
        <x:f>B3093</x:f>
        <x:v>0.2648</x:v>
      </x:c>
      <x:c r="E3093" s="1" t="n">
        <x:v>1.05</x:v>
      </x:c>
      <x:c r="F3093" s="1" t="str">
        <x:v>https://api.octopus.energy/v1/products/AGILE-24-10-01/electricity-tariffs/E-1R-AGILE-24-10-01-G/standard-unit-rates/</x:v>
      </x:c>
    </x:row>
    <x:row r="3094" ht="21" customHeight="1">
      <x:c r="A3094" s="24" t="n">
        <x:v>46213</x:v>
      </x:c>
      <x:c r="B3094" s="6" t="n">
        <x:v>0.24739999999999998</x:v>
      </x:c>
      <x:c r="C3094" s="6" t="n">
        <x:v>0.1394</x:v>
      </x:c>
      <x:c r="D3094" s="6" t="n">
        <x:f>B3094</x:f>
        <x:v>0.24739999999999998</x:v>
      </x:c>
      <x:c r="E3094" s="1" t="n">
        <x:v>1.05</x:v>
      </x:c>
      <x:c r="F3094" s="1" t="str">
        <x:v>https://api.octopus.energy/v1/products/AGILE-24-10-01/electricity-tariffs/E-1R-AGILE-24-10-01-G/standard-unit-rates/</x:v>
      </x:c>
    </x:row>
    <x:row r="3095" ht="21" customHeight="1">
      <x:c r="A3095" s="24" t="n">
        <x:v>46212.979166666664</x:v>
      </x:c>
      <x:c r="B3095" s="6" t="n">
        <x:v>0.2357</x:v>
      </x:c>
      <x:c r="C3095" s="6" t="n">
        <x:v>0.134</x:v>
      </x:c>
      <x:c r="D3095" s="6" t="n">
        <x:f>B3095</x:f>
        <x:v>0.2357</x:v>
      </x:c>
      <x:c r="E3095" s="1" t="n">
        <x:v>1.05</x:v>
      </x:c>
      <x:c r="F3095" s="1" t="str">
        <x:v>https://api.octopus.energy/v1/products/AGILE-24-10-01/electricity-tariffs/E-1R-AGILE-24-10-01-G/standard-unit-rates/</x:v>
      </x:c>
    </x:row>
    <x:row r="3096" ht="21" customHeight="1">
      <x:c r="A3096" s="24" t="n">
        <x:v>46213</x:v>
      </x:c>
      <x:c r="B3096" s="6" t="n">
        <x:v>0.2187</x:v>
      </x:c>
      <x:c r="C3096" s="6" t="n">
        <x:v>0.12619999999999998</x:v>
      </x:c>
      <x:c r="D3096" s="6" t="n">
        <x:f>B3096</x:f>
        <x:v>0.2187</x:v>
      </x:c>
      <x:c r="E3096" s="1" t="n">
        <x:v>1.05</x:v>
      </x:c>
      <x:c r="F3096" s="1" t="str">
        <x:v>https://api.octopus.energy/v1/products/AGILE-24-10-01/electricity-tariffs/E-1R-AGILE-24-10-01-G/standard-unit-rates/</x:v>
      </x:c>
    </x:row>
    <x:row r="3097" ht="21" customHeight="1">
      <x:c r="A3097" s="24" t="n">
        <x:v>46213.020833333336</x:v>
      </x:c>
      <x:c r="B3097" s="6" t="n">
        <x:v>0.23129999999999998</x:v>
      </x:c>
      <x:c r="C3097" s="6" t="n">
        <x:v>0.132</x:v>
      </x:c>
      <x:c r="D3097" s="6" t="n">
        <x:f>B3097</x:f>
        <x:v>0.23129999999999998</x:v>
      </x:c>
      <x:c r="E3097" s="1" t="n">
        <x:v>1.05</x:v>
      </x:c>
      <x:c r="F3097" s="1" t="str">
        <x:v>https://api.octopus.energy/v1/products/AGILE-24-10-01/electricity-tariffs/E-1R-AGILE-24-10-01-G/standard-unit-rates/</x:v>
      </x:c>
    </x:row>
    <x:row r="3098" ht="21" customHeight="1">
      <x:c r="A3098" s="24" t="n">
        <x:v>46213.041666666664</x:v>
      </x:c>
      <x:c r="B3098" s="6" t="n">
        <x:v>0.21230000000000002</x:v>
      </x:c>
      <x:c r="C3098" s="6" t="n">
        <x:v>0.1233</x:v>
      </x:c>
      <x:c r="D3098" s="6" t="n">
        <x:f>B3098</x:f>
        <x:v>0.21230000000000002</x:v>
      </x:c>
      <x:c r="E3098" s="1" t="n">
        <x:v>1.05</x:v>
      </x:c>
      <x:c r="F3098" s="1" t="str">
        <x:v>https://api.octopus.energy/v1/products/AGILE-24-10-01/electricity-tariffs/E-1R-AGILE-24-10-01-G/standard-unit-rates/</x:v>
      </x:c>
    </x:row>
    <x:row r="3099" ht="21" customHeight="1">
      <x:c r="A3099" s="24" t="n">
        <x:v>46213.0625</x:v>
      </x:c>
      <x:c r="B3099" s="6" t="n">
        <x:v>0.21559999999999999</x:v>
      </x:c>
      <x:c r="C3099" s="6" t="n">
        <x:v>0.12480000000000001</x:v>
      </x:c>
      <x:c r="D3099" s="6" t="n">
        <x:f>B3099</x:f>
        <x:v>0.21559999999999999</x:v>
      </x:c>
      <x:c r="E3099" s="1" t="n">
        <x:v>1.05</x:v>
      </x:c>
      <x:c r="F3099" s="1" t="str">
        <x:v>https://api.octopus.energy/v1/products/AGILE-24-10-01/electricity-tariffs/E-1R-AGILE-24-10-01-G/standard-unit-rates/</x:v>
      </x:c>
    </x:row>
    <x:row r="3100" ht="21" customHeight="1">
      <x:c r="A3100" s="24" t="n">
        <x:v>46213.083333333336</x:v>
      </x:c>
      <x:c r="B3100" s="6" t="n">
        <x:v>0.2122</x:v>
      </x:c>
      <x:c r="C3100" s="6" t="n">
        <x:v>0.1233</x:v>
      </x:c>
      <x:c r="D3100" s="6" t="n">
        <x:f>B3100</x:f>
        <x:v>0.2122</x:v>
      </x:c>
      <x:c r="E3100" s="1" t="n">
        <x:v>1.05</x:v>
      </x:c>
      <x:c r="F3100" s="1" t="str">
        <x:v>https://api.octopus.energy/v1/products/AGILE-24-10-01/electricity-tariffs/E-1R-AGILE-24-10-01-G/standard-unit-rates/</x:v>
      </x:c>
    </x:row>
    <x:row r="3101" ht="21" customHeight="1">
      <x:c r="A3101" s="24" t="n">
        <x:v>46213.104166666664</x:v>
      </x:c>
      <x:c r="B3101" s="6" t="n">
        <x:v>0.1999</x:v>
      </x:c>
      <x:c r="C3101" s="6" t="n">
        <x:v>0.1176</x:v>
      </x:c>
      <x:c r="D3101" s="6" t="n">
        <x:f>B3101</x:f>
        <x:v>0.1999</x:v>
      </x:c>
      <x:c r="E3101" s="1" t="n">
        <x:v>1.05</x:v>
      </x:c>
      <x:c r="F3101" s="1" t="str">
        <x:v>https://api.octopus.energy/v1/products/AGILE-24-10-01/electricity-tariffs/E-1R-AGILE-24-10-01-G/standard-unit-rates/</x:v>
      </x:c>
    </x:row>
    <x:row r="3102" ht="21" customHeight="1">
      <x:c r="A3102" s="24" t="n">
        <x:v>46213.125</x:v>
      </x:c>
      <x:c r="B3102" s="6" t="n">
        <x:v>0.1989</x:v>
      </x:c>
      <x:c r="C3102" s="6" t="n">
        <x:v>0.11720000000000001</x:v>
      </x:c>
      <x:c r="D3102" s="6" t="n">
        <x:f>B3102</x:f>
        <x:v>0.1989</x:v>
      </x:c>
      <x:c r="E3102" s="1" t="n">
        <x:v>1.05</x:v>
      </x:c>
      <x:c r="F3102" s="1" t="str">
        <x:v>https://api.octopus.energy/v1/products/AGILE-24-10-01/electricity-tariffs/E-1R-AGILE-24-10-01-G/standard-unit-rates/</x:v>
      </x:c>
    </x:row>
    <x:row r="3103" ht="21" customHeight="1">
      <x:c r="A3103" s="24" t="n">
        <x:v>46213.145833333336</x:v>
      </x:c>
      <x:c r="B3103" s="6" t="n">
        <x:v>0.18719999999999998</x:v>
      </x:c>
      <x:c r="C3103" s="6" t="n">
        <x:v>0.1119</x:v>
      </x:c>
      <x:c r="D3103" s="6" t="n">
        <x:f>B3103</x:f>
        <x:v>0.18719999999999998</x:v>
      </x:c>
      <x:c r="E3103" s="1" t="n">
        <x:v>1.05</x:v>
      </x:c>
      <x:c r="F3103" s="1" t="str">
        <x:v>https://api.octopus.energy/v1/products/AGILE-24-10-01/electricity-tariffs/E-1R-AGILE-24-10-01-G/standard-unit-rates/</x:v>
      </x:c>
    </x:row>
    <x:row r="3104" ht="21" customHeight="1">
      <x:c r="A3104" s="24" t="n">
        <x:v>46213.166666666664</x:v>
      </x:c>
      <x:c r="B3104" s="6" t="n">
        <x:v>0.21350000000000002</x:v>
      </x:c>
      <x:c r="C3104" s="6" t="n">
        <x:v>0.12390000000000001</x:v>
      </x:c>
      <x:c r="D3104" s="6" t="n">
        <x:f>B3104</x:f>
        <x:v>0.21350000000000002</x:v>
      </x:c>
      <x:c r="E3104" s="1" t="n">
        <x:v>1.05</x:v>
      </x:c>
      <x:c r="F3104" s="1" t="str">
        <x:v>https://api.octopus.energy/v1/products/AGILE-24-10-01/electricity-tariffs/E-1R-AGILE-24-10-01-G/standard-unit-rates/</x:v>
      </x:c>
    </x:row>
    <x:row r="3105" ht="21" customHeight="1">
      <x:c r="A3105" s="24" t="n">
        <x:v>46213.1875</x:v>
      </x:c>
      <x:c r="B3105" s="6" t="n">
        <x:v>0.2021</x:v>
      </x:c>
      <x:c r="C3105" s="6" t="n">
        <x:v>0.11869999999999999</x:v>
      </x:c>
      <x:c r="D3105" s="6" t="n">
        <x:f>B3105</x:f>
        <x:v>0.2021</x:v>
      </x:c>
      <x:c r="E3105" s="1" t="n">
        <x:v>1.05</x:v>
      </x:c>
      <x:c r="F3105" s="1" t="str">
        <x:v>https://api.octopus.energy/v1/products/AGILE-24-10-01/electricity-tariffs/E-1R-AGILE-24-10-01-G/standard-unit-rates/</x:v>
      </x:c>
    </x:row>
    <x:row r="3106" ht="21" customHeight="1">
      <x:c r="A3106" s="24" t="n">
        <x:v>46213.208333333336</x:v>
      </x:c>
      <x:c r="B3106" s="6" t="n">
        <x:v>0.23550000000000001</x:v>
      </x:c>
      <x:c r="C3106" s="6" t="n">
        <x:v>0.13390000000000002</x:v>
      </x:c>
      <x:c r="D3106" s="6" t="n">
        <x:f>B3106</x:f>
        <x:v>0.23550000000000001</x:v>
      </x:c>
      <x:c r="E3106" s="1" t="n">
        <x:v>1.05</x:v>
      </x:c>
      <x:c r="F3106" s="1" t="str">
        <x:v>https://api.octopus.energy/v1/products/AGILE-24-10-01/electricity-tariffs/E-1R-AGILE-24-10-01-G/standard-unit-rates/</x:v>
      </x:c>
    </x:row>
    <x:row r="3107" ht="21" customHeight="1">
      <x:c r="A3107" s="24" t="n">
        <x:v>46213.229166666664</x:v>
      </x:c>
      <x:c r="B3107" s="6" t="n">
        <x:v>0.235</x:v>
      </x:c>
      <x:c r="C3107" s="6" t="n">
        <x:v>0.13369999999999999</x:v>
      </x:c>
      <x:c r="D3107" s="6" t="n">
        <x:f>B3107</x:f>
        <x:v>0.235</x:v>
      </x:c>
      <x:c r="E3107" s="1" t="n">
        <x:v>1.05</x:v>
      </x:c>
      <x:c r="F3107" s="1" t="str">
        <x:v>https://api.octopus.energy/v1/products/AGILE-24-10-01/electricity-tariffs/E-1R-AGILE-24-10-01-G/standard-unit-rates/</x:v>
      </x:c>
    </x:row>
    <x:row r="3108" ht="21" customHeight="1">
      <x:c r="A3108" s="24" t="n">
        <x:v>46213.25</x:v>
      </x:c>
      <x:c r="B3108" s="6" t="n">
        <x:v>0.2191</x:v>
      </x:c>
      <x:c r="C3108" s="6" t="n">
        <x:v>0.1264</x:v>
      </x:c>
      <x:c r="D3108" s="6" t="n">
        <x:f>B3108</x:f>
        <x:v>0.2191</x:v>
      </x:c>
      <x:c r="E3108" s="1" t="n">
        <x:v>1.05</x:v>
      </x:c>
      <x:c r="F3108" s="1" t="str">
        <x:v>https://api.octopus.energy/v1/products/AGILE-24-10-01/electricity-tariffs/E-1R-AGILE-24-10-01-G/standard-unit-rates/</x:v>
      </x:c>
    </x:row>
    <x:row r="3109" ht="21" customHeight="1">
      <x:c r="A3109" s="24" t="n">
        <x:v>46213.270833333336</x:v>
      </x:c>
      <x:c r="B3109" s="6" t="n">
        <x:v>0.2332</x:v>
      </x:c>
      <x:c r="C3109" s="6" t="n">
        <x:v>0.1329</x:v>
      </x:c>
      <x:c r="D3109" s="6" t="n">
        <x:f>B3109</x:f>
        <x:v>0.2332</x:v>
      </x:c>
      <x:c r="E3109" s="1" t="n">
        <x:v>1.05</x:v>
      </x:c>
      <x:c r="F3109" s="1" t="str">
        <x:v>https://api.octopus.energy/v1/products/AGILE-24-10-01/electricity-tariffs/E-1R-AGILE-24-10-01-G/standard-unit-rates/</x:v>
      </x:c>
    </x:row>
    <x:row r="3110" ht="21" customHeight="1">
      <x:c r="A3110" s="24" t="n">
        <x:v>46213.291666666664</x:v>
      </x:c>
      <x:c r="B3110" s="6" t="n">
        <x:v>0.2145</x:v>
      </x:c>
      <x:c r="C3110" s="6" t="n">
        <x:v>0.1243</x:v>
      </x:c>
      <x:c r="D3110" s="6" t="n">
        <x:f>B3110</x:f>
        <x:v>0.2145</x:v>
      </x:c>
      <x:c r="E3110" s="1" t="n">
        <x:v>1.05</x:v>
      </x:c>
      <x:c r="F3110" s="1" t="str">
        <x:v>https://api.octopus.energy/v1/products/AGILE-24-10-01/electricity-tariffs/E-1R-AGILE-24-10-01-G/standard-unit-rates/</x:v>
      </x:c>
    </x:row>
    <x:row r="3111" ht="21" customHeight="1">
      <x:c r="A3111" s="24" t="n">
        <x:v>46213.3125</x:v>
      </x:c>
      <x:c r="B3111" s="6" t="n">
        <x:v>0.21710000000000002</x:v>
      </x:c>
      <x:c r="C3111" s="6" t="n">
        <x:v>0.1255</x:v>
      </x:c>
      <x:c r="D3111" s="6" t="n">
        <x:f>B3111</x:f>
        <x:v>0.21710000000000002</x:v>
      </x:c>
      <x:c r="E3111" s="1" t="n">
        <x:v>1.05</x:v>
      </x:c>
      <x:c r="F3111" s="1" t="str">
        <x:v>https://api.octopus.energy/v1/products/AGILE-24-10-01/electricity-tariffs/E-1R-AGILE-24-10-01-G/standard-unit-rates/</x:v>
      </x:c>
    </x:row>
    <x:row r="3112" ht="21" customHeight="1">
      <x:c r="A3112" s="24" t="n">
        <x:v>46213.333333333336</x:v>
      </x:c>
      <x:c r="B3112" s="6" t="n">
        <x:v>0.18780000000000002</x:v>
      </x:c>
      <x:c r="C3112" s="6" t="n">
        <x:v>0.1121</x:v>
      </x:c>
      <x:c r="D3112" s="6" t="n">
        <x:f>B3112</x:f>
        <x:v>0.18780000000000002</x:v>
      </x:c>
      <x:c r="E3112" s="1" t="n">
        <x:v>1.05</x:v>
      </x:c>
      <x:c r="F3112" s="1" t="str">
        <x:v>https://api.octopus.energy/v1/products/AGILE-24-10-01/electricity-tariffs/E-1R-AGILE-24-10-01-G/standard-unit-rates/</x:v>
      </x:c>
    </x:row>
    <x:row r="3113" ht="21" customHeight="1">
      <x:c r="A3113" s="24" t="n">
        <x:v>46213.354166666664</x:v>
      </x:c>
      <x:c r="B3113" s="6" t="n">
        <x:v>0.1776</x:v>
      </x:c>
      <x:c r="C3113" s="6" t="n">
        <x:v>0.1074</x:v>
      </x:c>
      <x:c r="D3113" s="6" t="n">
        <x:f>B3113</x:f>
        <x:v>0.1776</x:v>
      </x:c>
      <x:c r="E3113" s="1" t="n">
        <x:v>1.05</x:v>
      </x:c>
      <x:c r="F3113" s="1" t="str">
        <x:v>https://api.octopus.energy/v1/products/AGILE-24-10-01/electricity-tariffs/E-1R-AGILE-24-10-01-G/standard-unit-rates/</x:v>
      </x:c>
    </x:row>
    <x:row r="3114" ht="21" customHeight="1">
      <x:c r="A3114" s="24" t="n">
        <x:v>46213.375</x:v>
      </x:c>
      <x:c r="B3114" s="6" t="n">
        <x:v>0.1776</x:v>
      </x:c>
      <x:c r="C3114" s="6" t="n">
        <x:v>0.1074</x:v>
      </x:c>
      <x:c r="D3114" s="6" t="n">
        <x:f>B3114</x:f>
        <x:v>0.1776</x:v>
      </x:c>
      <x:c r="E3114" s="1" t="n">
        <x:v>1.05</x:v>
      </x:c>
      <x:c r="F3114" s="1" t="str">
        <x:v>https://api.octopus.energy/v1/products/AGILE-24-10-01/electricity-tariffs/E-1R-AGILE-24-10-01-G/standard-unit-rates/</x:v>
      </x:c>
    </x:row>
    <x:row r="3115" ht="21" customHeight="1">
      <x:c r="A3115" s="24" t="n">
        <x:v>46213.395833333336</x:v>
      </x:c>
      <x:c r="B3115" s="6" t="n">
        <x:v>0.1816</x:v>
      </x:c>
      <x:c r="C3115" s="6" t="n">
        <x:v>0.1093</x:v>
      </x:c>
      <x:c r="D3115" s="6" t="n">
        <x:f>B3115</x:f>
        <x:v>0.1816</x:v>
      </x:c>
      <x:c r="E3115" s="1" t="n">
        <x:v>1.05</x:v>
      </x:c>
      <x:c r="F3115" s="1" t="str">
        <x:v>https://api.octopus.energy/v1/products/AGILE-24-10-01/electricity-tariffs/E-1R-AGILE-24-10-01-G/standard-unit-rates/</x:v>
      </x:c>
    </x:row>
    <x:row r="3116" ht="21" customHeight="1">
      <x:c r="A3116" s="24" t="n">
        <x:v>46213.416666666664</x:v>
      </x:c>
      <x:c r="B3116" s="6" t="n">
        <x:v>0.1892</x:v>
      </x:c>
      <x:c r="C3116" s="6" t="n">
        <x:v>0.1128</x:v>
      </x:c>
      <x:c r="D3116" s="6" t="n">
        <x:f>B3116</x:f>
        <x:v>0.1892</x:v>
      </x:c>
      <x:c r="E3116" s="1" t="n">
        <x:v>1.05</x:v>
      </x:c>
      <x:c r="F3116" s="1" t="str">
        <x:v>https://api.octopus.energy/v1/products/AGILE-24-10-01/electricity-tariffs/E-1R-AGILE-24-10-01-G/standard-unit-rates/</x:v>
      </x:c>
    </x:row>
    <x:row r="3117" ht="21" customHeight="1">
      <x:c r="A3117" s="24" t="n">
        <x:v>46213.4375</x:v>
      </x:c>
      <x:c r="B3117" s="6" t="n">
        <x:v>0.1892</x:v>
      </x:c>
      <x:c r="C3117" s="6" t="n">
        <x:v>0.1128</x:v>
      </x:c>
      <x:c r="D3117" s="6" t="n">
        <x:f>B3117</x:f>
        <x:v>0.1892</x:v>
      </x:c>
      <x:c r="E3117" s="1" t="n">
        <x:v>1.05</x:v>
      </x:c>
      <x:c r="F3117" s="1" t="str">
        <x:v>https://api.octopus.energy/v1/products/AGILE-24-10-01/electricity-tariffs/E-1R-AGILE-24-10-01-G/standard-unit-rates/</x:v>
      </x:c>
    </x:row>
    <x:row r="3118" ht="21" customHeight="1">
      <x:c r="A3118" s="24" t="n">
        <x:v>46213.458333333336</x:v>
      </x:c>
      <x:c r="B3118" s="6" t="n">
        <x:v>0.1776</x:v>
      </x:c>
      <x:c r="C3118" s="6" t="n">
        <x:v>0.1074</x:v>
      </x:c>
      <x:c r="D3118" s="6" t="n">
        <x:f>B3118</x:f>
        <x:v>0.1776</x:v>
      </x:c>
      <x:c r="E3118" s="1" t="n">
        <x:v>1.05</x:v>
      </x:c>
      <x:c r="F3118" s="1" t="str">
        <x:v>https://api.octopus.energy/v1/products/AGILE-24-10-01/electricity-tariffs/E-1R-AGILE-24-10-01-G/standard-unit-rates/</x:v>
      </x:c>
    </x:row>
    <x:row r="3119" ht="21" customHeight="1">
      <x:c r="A3119" s="24" t="n">
        <x:v>46213.479166666664</x:v>
      </x:c>
      <x:c r="B3119" s="6" t="n">
        <x:v>0.1776</x:v>
      </x:c>
      <x:c r="C3119" s="6" t="n">
        <x:v>0.1074</x:v>
      </x:c>
      <x:c r="D3119" s="6" t="n">
        <x:f>B3119</x:f>
        <x:v>0.1776</x:v>
      </x:c>
      <x:c r="E3119" s="1" t="n">
        <x:v>1.05</x:v>
      </x:c>
      <x:c r="F3119" s="1" t="str">
        <x:v>https://api.octopus.energy/v1/products/AGILE-24-10-01/electricity-tariffs/E-1R-AGILE-24-10-01-G/standard-unit-rates/</x:v>
      </x:c>
    </x:row>
    <x:row r="3120" ht="21" customHeight="1">
      <x:c r="A3120" s="24" t="n">
        <x:v>46213.5</x:v>
      </x:c>
      <x:c r="B3120" s="6" t="n">
        <x:v>0.1776</x:v>
      </x:c>
      <x:c r="C3120" s="6" t="n">
        <x:v>0.1074</x:v>
      </x:c>
      <x:c r="D3120" s="6" t="n">
        <x:f>B3120</x:f>
        <x:v>0.1776</x:v>
      </x:c>
      <x:c r="E3120" s="1" t="n">
        <x:v>1.05</x:v>
      </x:c>
      <x:c r="F3120" s="1" t="str">
        <x:v>https://api.octopus.energy/v1/products/AGILE-24-10-01/electricity-tariffs/E-1R-AGILE-24-10-01-G/standard-unit-rates/</x:v>
      </x:c>
    </x:row>
    <x:row r="3121" ht="21" customHeight="1">
      <x:c r="A3121" s="24" t="n">
        <x:v>46213.520833333336</x:v>
      </x:c>
      <x:c r="B3121" s="6" t="n">
        <x:v>0.1743</x:v>
      </x:c>
      <x:c r="C3121" s="6" t="n">
        <x:v>0.106</x:v>
      </x:c>
      <x:c r="D3121" s="6" t="n">
        <x:f>B3121</x:f>
        <x:v>0.1743</x:v>
      </x:c>
      <x:c r="E3121" s="1" t="n">
        <x:v>1.05</x:v>
      </x:c>
      <x:c r="F3121" s="1" t="str">
        <x:v>https://api.octopus.energy/v1/products/AGILE-24-10-01/electricity-tariffs/E-1R-AGILE-24-10-01-G/standard-unit-rates/</x:v>
      </x:c>
    </x:row>
    <x:row r="3122" ht="21" customHeight="1">
      <x:c r="A3122" s="24" t="n">
        <x:v>46213.541666666664</x:v>
      </x:c>
      <x:c r="B3122" s="6" t="n">
        <x:v>0.1724</x:v>
      </x:c>
      <x:c r="C3122" s="6" t="n">
        <x:v>0.1051</x:v>
      </x:c>
      <x:c r="D3122" s="6" t="n">
        <x:f>B3122</x:f>
        <x:v>0.1724</x:v>
      </x:c>
      <x:c r="E3122" s="1" t="n">
        <x:v>1.05</x:v>
      </x:c>
      <x:c r="F3122" s="1" t="str">
        <x:v>https://api.octopus.energy/v1/products/AGILE-24-10-01/electricity-tariffs/E-1R-AGILE-24-10-01-G/standard-unit-rates/</x:v>
      </x:c>
    </x:row>
    <x:row r="3123" ht="21" customHeight="1">
      <x:c r="A3123" s="24" t="n">
        <x:v>46213.5625</x:v>
      </x:c>
      <x:c r="B3123" s="6" t="n">
        <x:v>0.1744</x:v>
      </x:c>
      <x:c r="C3123" s="6" t="n">
        <x:v>0.106</x:v>
      </x:c>
      <x:c r="D3123" s="6" t="n">
        <x:f>B3123</x:f>
        <x:v>0.1744</x:v>
      </x:c>
      <x:c r="E3123" s="1" t="n">
        <x:v>1.05</x:v>
      </x:c>
      <x:c r="F3123" s="1" t="str">
        <x:v>https://api.octopus.energy/v1/products/AGILE-24-10-01/electricity-tariffs/E-1R-AGILE-24-10-01-G/standard-unit-rates/</x:v>
      </x:c>
    </x:row>
    <x:row r="3124" ht="21" customHeight="1">
      <x:c r="A3124" s="24" t="n">
        <x:v>46213.583333333336</x:v>
      </x:c>
      <x:c r="B3124" s="6" t="n">
        <x:v>0.1724</x:v>
      </x:c>
      <x:c r="C3124" s="6" t="n">
        <x:v>0.1051</x:v>
      </x:c>
      <x:c r="D3124" s="6" t="n">
        <x:f>B3124</x:f>
        <x:v>0.1724</x:v>
      </x:c>
      <x:c r="E3124" s="1" t="n">
        <x:v>1.05</x:v>
      </x:c>
      <x:c r="F3124" s="1" t="str">
        <x:v>https://api.octopus.energy/v1/products/AGILE-24-10-01/electricity-tariffs/E-1R-AGILE-24-10-01-G/standard-unit-rates/</x:v>
      </x:c>
    </x:row>
    <x:row r="3125" ht="21" customHeight="1">
      <x:c r="A3125" s="24" t="n">
        <x:v>46213.604166666664</x:v>
      </x:c>
      <x:c r="B3125" s="6" t="n">
        <x:v>0.1724</x:v>
      </x:c>
      <x:c r="C3125" s="6" t="n">
        <x:v>0.1051</x:v>
      </x:c>
      <x:c r="D3125" s="6" t="n">
        <x:f>B3125</x:f>
        <x:v>0.1724</x:v>
      </x:c>
      <x:c r="E3125" s="1" t="n">
        <x:v>1.05</x:v>
      </x:c>
      <x:c r="F3125" s="1" t="str">
        <x:v>https://api.octopus.energy/v1/products/AGILE-24-10-01/electricity-tariffs/E-1R-AGILE-24-10-01-G/standard-unit-rates/</x:v>
      </x:c>
    </x:row>
    <x:row r="3126" ht="21" customHeight="1">
      <x:c r="A3126" s="24" t="n">
        <x:v>46213.625</x:v>
      </x:c>
      <x:c r="B3126" s="6" t="n">
        <x:v>0.1724</x:v>
      </x:c>
      <x:c r="C3126" s="6" t="n">
        <x:v>0.1051</x:v>
      </x:c>
      <x:c r="D3126" s="6" t="n">
        <x:f>B3126</x:f>
        <x:v>0.1724</x:v>
      </x:c>
      <x:c r="E3126" s="1" t="n">
        <x:v>1.05</x:v>
      </x:c>
      <x:c r="F3126" s="1" t="str">
        <x:v>https://api.octopus.energy/v1/products/AGILE-24-10-01/electricity-tariffs/E-1R-AGILE-24-10-01-G/standard-unit-rates/</x:v>
      </x:c>
    </x:row>
    <x:row r="3127" ht="21" customHeight="1">
      <x:c r="A3127" s="24" t="n">
        <x:v>46213.645833333336</x:v>
      </x:c>
      <x:c r="B3127" s="6" t="n">
        <x:v>0.1745</x:v>
      </x:c>
      <x:c r="C3127" s="6" t="n">
        <x:v>0.106</x:v>
      </x:c>
      <x:c r="D3127" s="6" t="n">
        <x:f>B3127</x:f>
        <x:v>0.1745</x:v>
      </x:c>
      <x:c r="E3127" s="1" t="n">
        <x:v>1.05</x:v>
      </x:c>
      <x:c r="F3127" s="1" t="str">
        <x:v>https://api.octopus.energy/v1/products/AGILE-24-10-01/electricity-tariffs/E-1R-AGILE-24-10-01-G/standard-unit-rates/</x:v>
      </x:c>
    </x:row>
    <x:row r="3128" ht="21" customHeight="1">
      <x:c r="A3128" s="24" t="n">
        <x:v>46213.666666666664</x:v>
      </x:c>
      <x:c r="B3128" s="6" t="n">
        <x:v>0.31170000000000003</x:v>
      </x:c>
      <x:c r="C3128" s="6" t="n">
        <x:v>0.1728</x:v>
      </x:c>
      <x:c r="D3128" s="6" t="n">
        <x:f>B3128</x:f>
        <x:v>0.31170000000000003</x:v>
      </x:c>
      <x:c r="E3128" s="1" t="n">
        <x:v>1.05</x:v>
      </x:c>
      <x:c r="F3128" s="1" t="str">
        <x:v>https://api.octopus.energy/v1/products/AGILE-24-10-01/electricity-tariffs/E-1R-AGILE-24-10-01-G/standard-unit-rates/</x:v>
      </x:c>
    </x:row>
    <x:row r="3129" ht="21" customHeight="1">
      <x:c r="A3129" s="24" t="n">
        <x:v>46213.6875</x:v>
      </x:c>
      <x:c r="B3129" s="6" t="n">
        <x:v>0.31420000000000003</x:v>
      </x:c>
      <x:c r="C3129" s="6" t="n">
        <x:v>0.174</x:v>
      </x:c>
      <x:c r="D3129" s="6" t="n">
        <x:f>B3129</x:f>
        <x:v>0.31420000000000003</x:v>
      </x:c>
      <x:c r="E3129" s="1" t="n">
        <x:v>1.05</x:v>
      </x:c>
      <x:c r="F3129" s="1" t="str">
        <x:v>https://api.octopus.energy/v1/products/AGILE-24-10-01/electricity-tariffs/E-1R-AGILE-24-10-01-G/standard-unit-rates/</x:v>
      </x:c>
    </x:row>
    <x:row r="3130" ht="21" customHeight="1">
      <x:c r="A3130" s="24" t="n">
        <x:v>46213.708333333336</x:v>
      </x:c>
      <x:c r="B3130" s="6" t="n">
        <x:v>0.3222</x:v>
      </x:c>
      <x:c r="C3130" s="6" t="n">
        <x:v>0.1776</x:v>
      </x:c>
      <x:c r="D3130" s="6" t="n">
        <x:f>B3130</x:f>
        <x:v>0.3222</x:v>
      </x:c>
      <x:c r="E3130" s="1" t="n">
        <x:v>1.05</x:v>
      </x:c>
      <x:c r="F3130" s="1" t="str">
        <x:v>https://api.octopus.energy/v1/products/AGILE-24-10-01/electricity-tariffs/E-1R-AGILE-24-10-01-G/standard-unit-rates/</x:v>
      </x:c>
    </x:row>
    <x:row r="3131" ht="21" customHeight="1">
      <x:c r="A3131" s="24" t="n">
        <x:v>46213.729166666664</x:v>
      </x:c>
      <x:c r="B3131" s="6" t="n">
        <x:v>0.3281</x:v>
      </x:c>
      <x:c r="C3131" s="6" t="n">
        <x:v>0.18030000000000002</x:v>
      </x:c>
      <x:c r="D3131" s="6" t="n">
        <x:f>B3131</x:f>
        <x:v>0.3281</x:v>
      </x:c>
      <x:c r="E3131" s="1" t="n">
        <x:v>1.05</x:v>
      </x:c>
      <x:c r="F3131" s="1" t="str">
        <x:v>https://api.octopus.energy/v1/products/AGILE-24-10-01/electricity-tariffs/E-1R-AGILE-24-10-01-G/standard-unit-rates/</x:v>
      </x:c>
    </x:row>
    <x:row r="3132" ht="21" customHeight="1">
      <x:c r="A3132" s="24" t="n">
        <x:v>46213.75</x:v>
      </x:c>
      <x:c r="B3132" s="6" t="n">
        <x:v>0.3554</x:v>
      </x:c>
      <x:c r="C3132" s="6" t="n">
        <x:v>0.1928</x:v>
      </x:c>
      <x:c r="D3132" s="6" t="n">
        <x:f>B3132</x:f>
        <x:v>0.3554</x:v>
      </x:c>
      <x:c r="E3132" s="1" t="n">
        <x:v>1.05</x:v>
      </x:c>
      <x:c r="F3132" s="1" t="str">
        <x:v>https://api.octopus.energy/v1/products/AGILE-24-10-01/electricity-tariffs/E-1R-AGILE-24-10-01-G/standard-unit-rates/</x:v>
      </x:c>
    </x:row>
    <x:row r="3133" ht="21" customHeight="1">
      <x:c r="A3133" s="24" t="n">
        <x:v>46213.770833333336</x:v>
      </x:c>
      <x:c r="B3133" s="6" t="n">
        <x:v>0.3712</x:v>
      </x:c>
      <x:c r="C3133" s="6" t="n">
        <x:v>0.2</x:v>
      </x:c>
      <x:c r="D3133" s="6" t="n">
        <x:f>B3133</x:f>
        <x:v>0.3712</x:v>
      </x:c>
      <x:c r="E3133" s="1" t="n">
        <x:v>1.05</x:v>
      </x:c>
      <x:c r="F3133" s="1" t="str">
        <x:v>https://api.octopus.energy/v1/products/AGILE-24-10-01/electricity-tariffs/E-1R-AGILE-24-10-01-G/standard-unit-rates/</x:v>
      </x:c>
    </x:row>
    <x:row r="3134" ht="21" customHeight="1">
      <x:c r="A3134" s="24" t="n">
        <x:v>46213.791666666664</x:v>
      </x:c>
      <x:c r="B3134" s="6" t="n">
        <x:v>0.27</x:v>
      </x:c>
      <x:c r="C3134" s="6" t="n">
        <x:v>0.1497</x:v>
      </x:c>
      <x:c r="D3134" s="6" t="n">
        <x:f>B3134</x:f>
        <x:v>0.27</x:v>
      </x:c>
      <x:c r="E3134" s="1" t="n">
        <x:v>1.05</x:v>
      </x:c>
      <x:c r="F3134" s="1" t="str">
        <x:v>https://api.octopus.energy/v1/products/AGILE-24-10-01/electricity-tariffs/E-1R-AGILE-24-10-01-G/standard-unit-rates/</x:v>
      </x:c>
    </x:row>
    <x:row r="3135" ht="21" customHeight="1">
      <x:c r="A3135" s="24" t="n">
        <x:v>46213.8125</x:v>
      </x:c>
      <x:c r="B3135" s="6" t="n">
        <x:v>0.27449999999999997</x:v>
      </x:c>
      <x:c r="C3135" s="6" t="n">
        <x:v>0.1518</x:v>
      </x:c>
      <x:c r="D3135" s="6" t="n">
        <x:f>B3135</x:f>
        <x:v>0.27449999999999997</x:v>
      </x:c>
      <x:c r="E3135" s="1" t="n">
        <x:v>1.05</x:v>
      </x:c>
      <x:c r="F3135" s="1" t="str">
        <x:v>https://api.octopus.energy/v1/products/AGILE-24-10-01/electricity-tariffs/E-1R-AGILE-24-10-01-G/standard-unit-rates/</x:v>
      </x:c>
    </x:row>
    <x:row r="3136" ht="21" customHeight="1">
      <x:c r="A3136" s="24" t="n">
        <x:v>46213.833333333336</x:v>
      </x:c>
      <x:c r="B3136" s="6" t="n">
        <x:v>0.2808</x:v>
      </x:c>
      <x:c r="C3136" s="6" t="n">
        <x:v>0.15460000000000002</x:v>
      </x:c>
      <x:c r="D3136" s="6" t="n">
        <x:f>B3136</x:f>
        <x:v>0.2808</x:v>
      </x:c>
      <x:c r="E3136" s="1" t="n">
        <x:v>1.05</x:v>
      </x:c>
      <x:c r="F3136" s="1" t="str">
        <x:v>https://api.octopus.energy/v1/products/AGILE-24-10-01/electricity-tariffs/E-1R-AGILE-24-10-01-G/standard-unit-rates/</x:v>
      </x:c>
    </x:row>
    <x:row r="3137" ht="21" customHeight="1">
      <x:c r="A3137" s="24" t="n">
        <x:v>46213.854166666664</x:v>
      </x:c>
      <x:c r="B3137" s="6" t="n">
        <x:v>0.28059999999999996</x:v>
      </x:c>
      <x:c r="C3137" s="6" t="n">
        <x:v>0.15460000000000002</x:v>
      </x:c>
      <x:c r="D3137" s="6" t="n">
        <x:f>B3137</x:f>
        <x:v>0.28059999999999996</x:v>
      </x:c>
      <x:c r="E3137" s="1" t="n">
        <x:v>1.05</x:v>
      </x:c>
      <x:c r="F3137" s="1" t="str">
        <x:v>https://api.octopus.energy/v1/products/AGILE-24-10-01/electricity-tariffs/E-1R-AGILE-24-10-01-G/standard-unit-rates/</x:v>
      </x:c>
    </x:row>
    <x:row r="3138" ht="21" customHeight="1">
      <x:c r="A3138" s="24" t="n">
        <x:v>46213.875</x:v>
      </x:c>
      <x:c r="B3138" s="6" t="n">
        <x:v>0.2738</x:v>
      </x:c>
      <x:c r="C3138" s="6" t="n">
        <x:v>0.1514</x:v>
      </x:c>
      <x:c r="D3138" s="6" t="n">
        <x:f>B3138</x:f>
        <x:v>0.2738</x:v>
      </x:c>
      <x:c r="E3138" s="1" t="n">
        <x:v>1.05</x:v>
      </x:c>
      <x:c r="F3138" s="1" t="str">
        <x:v>https://api.octopus.energy/v1/products/AGILE-24-10-01/electricity-tariffs/E-1R-AGILE-24-10-01-G/standard-unit-rates/</x:v>
      </x:c>
    </x:row>
    <x:row r="3139" ht="21" customHeight="1">
      <x:c r="A3139" s="24" t="n">
        <x:v>46213.895833333336</x:v>
      </x:c>
      <x:c r="B3139" s="6" t="n">
        <x:v>0.2717</x:v>
      </x:c>
      <x:c r="C3139" s="6" t="n">
        <x:v>0.1505</x:v>
      </x:c>
      <x:c r="D3139" s="6" t="n">
        <x:f>B3139</x:f>
        <x:v>0.2717</x:v>
      </x:c>
      <x:c r="E3139" s="1" t="n">
        <x:v>1.05</x:v>
      </x:c>
      <x:c r="F3139" s="1" t="str">
        <x:v>https://api.octopus.energy/v1/products/AGILE-24-10-01/electricity-tariffs/E-1R-AGILE-24-10-01-G/standard-unit-rates/</x:v>
      </x:c>
    </x:row>
    <x:row r="3140" ht="21" customHeight="1">
      <x:c r="A3140" s="24" t="n">
        <x:v>46213.916666666664</x:v>
      </x:c>
      <x:c r="B3140" s="6" t="n">
        <x:v>0.263</x:v>
      </x:c>
      <x:c r="C3140" s="6" t="n">
        <x:v>0.1465</x:v>
      </x:c>
      <x:c r="D3140" s="6" t="n">
        <x:f>B3140</x:f>
        <x:v>0.263</x:v>
      </x:c>
      <x:c r="E3140" s="1" t="n">
        <x:v>1.05</x:v>
      </x:c>
      <x:c r="F3140" s="1" t="str">
        <x:v>https://api.octopus.energy/v1/products/AGILE-24-10-01/electricity-tariffs/E-1R-AGILE-24-10-01-G/standard-unit-rates/</x:v>
      </x:c>
    </x:row>
    <x:row r="3141" ht="21" customHeight="1">
      <x:c r="A3141" s="24" t="n">
        <x:v>46213.9375</x:v>
      </x:c>
      <x:c r="B3141" s="6" t="n">
        <x:v>0.24609999999999999</x:v>
      </x:c>
      <x:c r="C3141" s="6" t="n">
        <x:v>0.1388</x:v>
      </x:c>
      <x:c r="D3141" s="6" t="n">
        <x:f>B3141</x:f>
        <x:v>0.24609999999999999</x:v>
      </x:c>
      <x:c r="E3141" s="1" t="n">
        <x:v>1.05</x:v>
      </x:c>
      <x:c r="F3141" s="1" t="str">
        <x:v>https://api.octopus.energy/v1/products/AGILE-24-10-01/electricity-tariffs/E-1R-AGILE-24-10-01-G/standard-unit-rates/</x:v>
      </x:c>
    </x:row>
    <x:row r="3142" ht="21" customHeight="1">
      <x:c r="A3142" s="24" t="n">
        <x:v>46214</x:v>
      </x:c>
      <x:c r="B3142" s="6" t="n">
        <x:v>0.2262</x:v>
      </x:c>
      <x:c r="C3142" s="6" t="n">
        <x:v>0.1297</x:v>
      </x:c>
      <x:c r="D3142" s="6" t="n">
        <x:f>B3142</x:f>
        <x:v>0.2262</x:v>
      </x:c>
      <x:c r="E3142" s="1" t="n">
        <x:v>1.05</x:v>
      </x:c>
      <x:c r="F3142" s="1" t="str">
        <x:v>https://api.octopus.energy/v1/products/AGILE-24-10-01/electricity-tariffs/E-1R-AGILE-24-10-01-G/standard-unit-rates/</x:v>
      </x:c>
    </x:row>
    <x:row r="3143" ht="21" customHeight="1">
      <x:c r="A3143" s="24" t="n">
        <x:v>46213.979166666664</x:v>
      </x:c>
      <x:c r="B3143" s="6" t="n">
        <x:v>0.2354</x:v>
      </x:c>
      <x:c r="C3143" s="6" t="n">
        <x:v>0.13390000000000002</x:v>
      </x:c>
      <x:c r="D3143" s="6" t="n">
        <x:f>B3143</x:f>
        <x:v>0.2354</x:v>
      </x:c>
      <x:c r="E3143" s="1" t="n">
        <x:v>1.05</x:v>
      </x:c>
      <x:c r="F3143" s="1" t="str">
        <x:v>https://api.octopus.energy/v1/products/AGILE-24-10-01/electricity-tariffs/E-1R-AGILE-24-10-01-G/standard-unit-rates/</x:v>
      </x:c>
    </x:row>
    <x:row r="3144" ht="21" customHeight="1">
      <x:c r="A3144" s="24" t="n">
        <x:v>46214</x:v>
      </x:c>
      <x:c r="B3144" s="6" t="n">
        <x:v>0.2379</x:v>
      </x:c>
      <x:c r="C3144" s="6" t="n">
        <x:v>0.135</x:v>
      </x:c>
      <x:c r="D3144" s="6" t="n">
        <x:f>B3144</x:f>
        <x:v>0.2379</x:v>
      </x:c>
      <x:c r="E3144" s="1" t="n">
        <x:v>1.05</x:v>
      </x:c>
      <x:c r="F3144" s="1" t="str">
        <x:v>https://api.octopus.energy/v1/products/AGILE-24-10-01/electricity-tariffs/E-1R-AGILE-24-10-01-G/standard-unit-rates/</x:v>
      </x:c>
    </x:row>
    <x:row r="3145" ht="21" customHeight="1">
      <x:c r="A3145" s="24" t="n">
        <x:v>46214.020833333336</x:v>
      </x:c>
      <x:c r="B3145" s="6" t="n">
        <x:v>0.2348</x:v>
      </x:c>
      <x:c r="C3145" s="6" t="n">
        <x:v>0.1336</x:v>
      </x:c>
      <x:c r="D3145" s="6" t="n">
        <x:f>B3145</x:f>
        <x:v>0.2348</x:v>
      </x:c>
      <x:c r="E3145" s="1" t="n">
        <x:v>1.05</x:v>
      </x:c>
      <x:c r="F3145" s="1" t="str">
        <x:v>https://api.octopus.energy/v1/products/AGILE-24-10-01/electricity-tariffs/E-1R-AGILE-24-10-01-G/standard-unit-rates/</x:v>
      </x:c>
    </x:row>
    <x:row r="3146" ht="21" customHeight="1">
      <x:c r="A3146" s="24" t="n">
        <x:v>46214.041666666664</x:v>
      </x:c>
      <x:c r="B3146" s="6" t="n">
        <x:v>0.2279</x:v>
      </x:c>
      <x:c r="C3146" s="6" t="n">
        <x:v>0.1305</x:v>
      </x:c>
      <x:c r="D3146" s="6" t="n">
        <x:f>B3146</x:f>
        <x:v>0.2279</x:v>
      </x:c>
      <x:c r="E3146" s="1" t="n">
        <x:v>1.05</x:v>
      </x:c>
      <x:c r="F3146" s="1" t="str">
        <x:v>https://api.octopus.energy/v1/products/AGILE-24-10-01/electricity-tariffs/E-1R-AGILE-24-10-01-G/standard-unit-rates/</x:v>
      </x:c>
    </x:row>
    <x:row r="3147" ht="21" customHeight="1">
      <x:c r="A3147" s="24" t="n">
        <x:v>46214.0625</x:v>
      </x:c>
      <x:c r="B3147" s="6" t="n">
        <x:v>0.2261</x:v>
      </x:c>
      <x:c r="C3147" s="6" t="n">
        <x:v>0.12960000000000002</x:v>
      </x:c>
      <x:c r="D3147" s="6" t="n">
        <x:f>B3147</x:f>
        <x:v>0.2261</x:v>
      </x:c>
      <x:c r="E3147" s="1" t="n">
        <x:v>1.05</x:v>
      </x:c>
      <x:c r="F3147" s="1" t="str">
        <x:v>https://api.octopus.energy/v1/products/AGILE-24-10-01/electricity-tariffs/E-1R-AGILE-24-10-01-G/standard-unit-rates/</x:v>
      </x:c>
    </x:row>
    <x:row r="3148" ht="21" customHeight="1">
      <x:c r="A3148" s="24" t="n">
        <x:v>46214.083333333336</x:v>
      </x:c>
      <x:c r="B3148" s="6" t="n">
        <x:v>0.228</x:v>
      </x:c>
      <x:c r="C3148" s="6" t="n">
        <x:v>0.1305</x:v>
      </x:c>
      <x:c r="D3148" s="6" t="n">
        <x:f>B3148</x:f>
        <x:v>0.228</x:v>
      </x:c>
      <x:c r="E3148" s="1" t="n">
        <x:v>1.05</x:v>
      </x:c>
      <x:c r="F3148" s="1" t="str">
        <x:v>https://api.octopus.energy/v1/products/AGILE-24-10-01/electricity-tariffs/E-1R-AGILE-24-10-01-G/standard-unit-rates/</x:v>
      </x:c>
    </x:row>
    <x:row r="3149" ht="21" customHeight="1">
      <x:c r="A3149" s="24" t="n">
        <x:v>46214.104166666664</x:v>
      </x:c>
      <x:c r="B3149" s="6" t="n">
        <x:v>0.2134</x:v>
      </x:c>
      <x:c r="C3149" s="6" t="n">
        <x:v>0.12380000000000001</x:v>
      </x:c>
      <x:c r="D3149" s="6" t="n">
        <x:f>B3149</x:f>
        <x:v>0.2134</x:v>
      </x:c>
      <x:c r="E3149" s="1" t="n">
        <x:v>1.05</x:v>
      </x:c>
      <x:c r="F3149" s="1" t="str">
        <x:v>https://api.octopus.energy/v1/products/AGILE-24-10-01/electricity-tariffs/E-1R-AGILE-24-10-01-G/standard-unit-rates/</x:v>
      </x:c>
    </x:row>
    <x:row r="3150" ht="21" customHeight="1">
      <x:c r="A3150" s="24" t="n">
        <x:v>46214.125</x:v>
      </x:c>
      <x:c r="B3150" s="6" t="n">
        <x:v>0.2039</x:v>
      </x:c>
      <x:c r="C3150" s="6" t="n">
        <x:v>0.1195</x:v>
      </x:c>
      <x:c r="D3150" s="6" t="n">
        <x:f>B3150</x:f>
        <x:v>0.2039</x:v>
      </x:c>
      <x:c r="E3150" s="1" t="n">
        <x:v>1.05</x:v>
      </x:c>
      <x:c r="F3150" s="1" t="str">
        <x:v>https://api.octopus.energy/v1/products/AGILE-24-10-01/electricity-tariffs/E-1R-AGILE-24-10-01-G/standard-unit-rates/</x:v>
      </x:c>
    </x:row>
    <x:row r="3151" ht="21" customHeight="1">
      <x:c r="A3151" s="24" t="n">
        <x:v>46214.145833333336</x:v>
      </x:c>
      <x:c r="B3151" s="6" t="n">
        <x:v>0.2072</x:v>
      </x:c>
      <x:c r="C3151" s="6" t="n">
        <x:v>0.121</x:v>
      </x:c>
      <x:c r="D3151" s="6" t="n">
        <x:f>B3151</x:f>
        <x:v>0.2072</x:v>
      </x:c>
      <x:c r="E3151" s="1" t="n">
        <x:v>1.05</x:v>
      </x:c>
      <x:c r="F3151" s="1" t="str">
        <x:v>https://api.octopus.energy/v1/products/AGILE-24-10-01/electricity-tariffs/E-1R-AGILE-24-10-01-G/standard-unit-rates/</x:v>
      </x:c>
    </x:row>
    <x:row r="3152" ht="21" customHeight="1">
      <x:c r="A3152" s="24" t="n">
        <x:v>46214.166666666664</x:v>
      </x:c>
      <x:c r="B3152" s="6" t="n">
        <x:v>0.2065</x:v>
      </x:c>
      <x:c r="C3152" s="6" t="n">
        <x:v>0.1207</x:v>
      </x:c>
      <x:c r="D3152" s="6" t="n">
        <x:f>B3152</x:f>
        <x:v>0.2065</x:v>
      </x:c>
      <x:c r="E3152" s="1" t="n">
        <x:v>1.05</x:v>
      </x:c>
      <x:c r="F3152" s="1" t="str">
        <x:v>https://api.octopus.energy/v1/products/AGILE-24-10-01/electricity-tariffs/E-1R-AGILE-24-10-01-G/standard-unit-rates/</x:v>
      </x:c>
    </x:row>
    <x:row r="3153" ht="21" customHeight="1">
      <x:c r="A3153" s="24" t="n">
        <x:v>46214.1875</x:v>
      </x:c>
      <x:c r="B3153" s="6" t="n">
        <x:v>0.1985</x:v>
      </x:c>
      <x:c r="C3153" s="6" t="n">
        <x:v>0.11699999999999999</x:v>
      </x:c>
      <x:c r="D3153" s="6" t="n">
        <x:f>B3153</x:f>
        <x:v>0.1985</x:v>
      </x:c>
      <x:c r="E3153" s="1" t="n">
        <x:v>1.05</x:v>
      </x:c>
      <x:c r="F3153" s="1" t="str">
        <x:v>https://api.octopus.energy/v1/products/AGILE-24-10-01/electricity-tariffs/E-1R-AGILE-24-10-01-G/standard-unit-rates/</x:v>
      </x:c>
    </x:row>
    <x:row r="3154" ht="21" customHeight="1">
      <x:c r="A3154" s="24" t="n">
        <x:v>46214.208333333336</x:v>
      </x:c>
      <x:c r="B3154" s="6" t="n">
        <x:v>0.201</x:v>
      </x:c>
      <x:c r="C3154" s="6" t="n">
        <x:v>0.1182</x:v>
      </x:c>
      <x:c r="D3154" s="6" t="n">
        <x:f>B3154</x:f>
        <x:v>0.201</x:v>
      </x:c>
      <x:c r="E3154" s="1" t="n">
        <x:v>1.05</x:v>
      </x:c>
      <x:c r="F3154" s="1" t="str">
        <x:v>https://api.octopus.energy/v1/products/AGILE-24-10-01/electricity-tariffs/E-1R-AGILE-24-10-01-G/standard-unit-rates/</x:v>
      </x:c>
    </x:row>
    <x:row r="3155" ht="21" customHeight="1">
      <x:c r="A3155" s="24" t="n">
        <x:v>46214.229166666664</x:v>
      </x:c>
      <x:c r="B3155" s="6" t="n">
        <x:v>0.20199999999999999</x:v>
      </x:c>
      <x:c r="C3155" s="6" t="n">
        <x:v>0.1186</x:v>
      </x:c>
      <x:c r="D3155" s="6" t="n">
        <x:f>B3155</x:f>
        <x:v>0.20199999999999999</x:v>
      </x:c>
      <x:c r="E3155" s="1" t="n">
        <x:v>1.05</x:v>
      </x:c>
      <x:c r="F3155" s="1" t="str">
        <x:v>https://api.octopus.energy/v1/products/AGILE-24-10-01/electricity-tariffs/E-1R-AGILE-24-10-01-G/standard-unit-rates/</x:v>
      </x:c>
    </x:row>
    <x:row r="3156" ht="21" customHeight="1">
      <x:c r="A3156" s="24" t="n">
        <x:v>46214.25</x:v>
      </x:c>
      <x:c r="B3156" s="6" t="n">
        <x:v>0.1766</x:v>
      </x:c>
      <x:c r="C3156" s="6" t="n">
        <x:v>0.107</x:v>
      </x:c>
      <x:c r="D3156" s="6" t="n">
        <x:f>B3156</x:f>
        <x:v>0.1766</x:v>
      </x:c>
      <x:c r="E3156" s="1" t="n">
        <x:v>1.05</x:v>
      </x:c>
      <x:c r="F3156" s="1" t="str">
        <x:v>https://api.octopus.energy/v1/products/AGILE-24-10-01/electricity-tariffs/E-1R-AGILE-24-10-01-G/standard-unit-rates/</x:v>
      </x:c>
    </x:row>
    <x:row r="3157" ht="21" customHeight="1">
      <x:c r="A3157" s="24" t="n">
        <x:v>46214.270833333336</x:v>
      </x:c>
      <x:c r="B3157" s="6" t="n">
        <x:v>0.183</x:v>
      </x:c>
      <x:c r="C3157" s="6" t="n">
        <x:v>0.1099</x:v>
      </x:c>
      <x:c r="D3157" s="6" t="n">
        <x:f>B3157</x:f>
        <x:v>0.183</x:v>
      </x:c>
      <x:c r="E3157" s="1" t="n">
        <x:v>1.05</x:v>
      </x:c>
      <x:c r="F3157" s="1" t="str">
        <x:v>https://api.octopus.energy/v1/products/AGILE-24-10-01/electricity-tariffs/E-1R-AGILE-24-10-01-G/standard-unit-rates/</x:v>
      </x:c>
    </x:row>
    <x:row r="3158" ht="21" customHeight="1">
      <x:c r="A3158" s="24" t="n">
        <x:v>46214.291666666664</x:v>
      </x:c>
      <x:c r="B3158" s="6" t="n">
        <x:v>0.1766</x:v>
      </x:c>
      <x:c r="C3158" s="6" t="n">
        <x:v>0.107</x:v>
      </x:c>
      <x:c r="D3158" s="6" t="n">
        <x:f>B3158</x:f>
        <x:v>0.1766</x:v>
      </x:c>
      <x:c r="E3158" s="1" t="n">
        <x:v>1.05</x:v>
      </x:c>
      <x:c r="F3158" s="1" t="str">
        <x:v>https://api.octopus.energy/v1/products/AGILE-24-10-01/electricity-tariffs/E-1R-AGILE-24-10-01-G/standard-unit-rates/</x:v>
      </x:c>
    </x:row>
    <x:row r="3159" ht="21" customHeight="1">
      <x:c r="A3159" s="24" t="n">
        <x:v>46214.3125</x:v>
      </x:c>
      <x:c r="B3159" s="6" t="n">
        <x:v>0.1934</x:v>
      </x:c>
      <x:c r="C3159" s="6" t="n">
        <x:v>0.11470000000000001</x:v>
      </x:c>
      <x:c r="D3159" s="6" t="n">
        <x:f>B3159</x:f>
        <x:v>0.1934</x:v>
      </x:c>
      <x:c r="E3159" s="1" t="n">
        <x:v>1.05</x:v>
      </x:c>
      <x:c r="F3159" s="1" t="str">
        <x:v>https://api.octopus.energy/v1/products/AGILE-24-10-01/electricity-tariffs/E-1R-AGILE-24-10-01-G/standard-unit-rates/</x:v>
      </x:c>
    </x:row>
    <x:row r="3160" ht="21" customHeight="1">
      <x:c r="A3160" s="24" t="n">
        <x:v>46214.333333333336</x:v>
      </x:c>
      <x:c r="B3160" s="6" t="n">
        <x:v>0.2066</x:v>
      </x:c>
      <x:c r="C3160" s="6" t="n">
        <x:v>0.1207</x:v>
      </x:c>
      <x:c r="D3160" s="6" t="n">
        <x:f>B3160</x:f>
        <x:v>0.2066</x:v>
      </x:c>
      <x:c r="E3160" s="1" t="n">
        <x:v>1.05</x:v>
      </x:c>
      <x:c r="F3160" s="1" t="str">
        <x:v>https://api.octopus.energy/v1/products/AGILE-24-10-01/electricity-tariffs/E-1R-AGILE-24-10-01-G/standard-unit-rates/</x:v>
      </x:c>
    </x:row>
    <x:row r="3161" ht="21" customHeight="1">
      <x:c r="A3161" s="24" t="n">
        <x:v>46214.354166666664</x:v>
      </x:c>
      <x:c r="B3161" s="6" t="n">
        <x:v>0.20809999999999998</x:v>
      </x:c>
      <x:c r="C3161" s="6" t="n">
        <x:v>0.12140000000000001</x:v>
      </x:c>
      <x:c r="D3161" s="6" t="n">
        <x:f>B3161</x:f>
        <x:v>0.20809999999999998</x:v>
      </x:c>
      <x:c r="E3161" s="1" t="n">
        <x:v>1.05</x:v>
      </x:c>
      <x:c r="F3161" s="1" t="str">
        <x:v>https://api.octopus.energy/v1/products/AGILE-24-10-01/electricity-tariffs/E-1R-AGILE-24-10-01-G/standard-unit-rates/</x:v>
      </x:c>
    </x:row>
    <x:row r="3162" ht="21" customHeight="1">
      <x:c r="A3162" s="24" t="n">
        <x:v>46214.375</x:v>
      </x:c>
      <x:c r="B3162" s="6" t="n">
        <x:v>0.2186</x:v>
      </x:c>
      <x:c r="C3162" s="6" t="n">
        <x:v>0.12619999999999998</x:v>
      </x:c>
      <x:c r="D3162" s="6" t="n">
        <x:f>B3162</x:f>
        <x:v>0.2186</x:v>
      </x:c>
      <x:c r="E3162" s="1" t="n">
        <x:v>1.05</x:v>
      </x:c>
      <x:c r="F3162" s="1" t="str">
        <x:v>https://api.octopus.energy/v1/products/AGILE-24-10-01/electricity-tariffs/E-1R-AGILE-24-10-01-G/standard-unit-rates/</x:v>
      </x:c>
    </x:row>
    <x:row r="3163" ht="21" customHeight="1">
      <x:c r="A3163" s="24" t="n">
        <x:v>46214.395833333336</x:v>
      </x:c>
      <x:c r="B3163" s="6" t="n">
        <x:v>0.22820000000000001</x:v>
      </x:c>
      <x:c r="C3163" s="6" t="n">
        <x:v>0.1306</x:v>
      </x:c>
      <x:c r="D3163" s="6" t="n">
        <x:f>B3163</x:f>
        <x:v>0.22820000000000001</x:v>
      </x:c>
      <x:c r="E3163" s="1" t="n">
        <x:v>1.05</x:v>
      </x:c>
      <x:c r="F3163" s="1" t="str">
        <x:v>https://api.octopus.energy/v1/products/AGILE-24-10-01/electricity-tariffs/E-1R-AGILE-24-10-01-G/standard-unit-rates/</x:v>
      </x:c>
    </x:row>
    <x:row r="3164" ht="21" customHeight="1">
      <x:c r="A3164" s="24" t="n">
        <x:v>46214.416666666664</x:v>
      </x:c>
      <x:c r="B3164" s="6" t="n">
        <x:v>0.2087</x:v>
      </x:c>
      <x:c r="C3164" s="6" t="n">
        <x:v>0.1217</x:v>
      </x:c>
      <x:c r="D3164" s="6" t="n">
        <x:f>B3164</x:f>
        <x:v>0.2087</x:v>
      </x:c>
      <x:c r="E3164" s="1" t="n">
        <x:v>1.05</x:v>
      </x:c>
      <x:c r="F3164" s="1" t="str">
        <x:v>https://api.octopus.energy/v1/products/AGILE-24-10-01/electricity-tariffs/E-1R-AGILE-24-10-01-G/standard-unit-rates/</x:v>
      </x:c>
    </x:row>
    <x:row r="3165" ht="21" customHeight="1">
      <x:c r="A3165" s="24" t="n">
        <x:v>46214.4375</x:v>
      </x:c>
      <x:c r="B3165" s="6" t="n">
        <x:v>0.198</x:v>
      </x:c>
      <x:c r="C3165" s="6" t="n">
        <x:v>0.1168</x:v>
      </x:c>
      <x:c r="D3165" s="6" t="n">
        <x:f>B3165</x:f>
        <x:v>0.198</x:v>
      </x:c>
      <x:c r="E3165" s="1" t="n">
        <x:v>1.05</x:v>
      </x:c>
      <x:c r="F3165" s="1" t="str">
        <x:v>https://api.octopus.energy/v1/products/AGILE-24-10-01/electricity-tariffs/E-1R-AGILE-24-10-01-G/standard-unit-rates/</x:v>
      </x:c>
    </x:row>
    <x:row r="3166" ht="21" customHeight="1">
      <x:c r="A3166" s="24" t="n">
        <x:v>46214.458333333336</x:v>
      </x:c>
      <x:c r="B3166" s="6" t="n">
        <x:v>0.1778</x:v>
      </x:c>
      <x:c r="C3166" s="6" t="n">
        <x:v>0.1075</x:v>
      </x:c>
      <x:c r="D3166" s="6" t="n">
        <x:f>B3166</x:f>
        <x:v>0.1778</x:v>
      </x:c>
      <x:c r="E3166" s="1" t="n">
        <x:v>1.05</x:v>
      </x:c>
      <x:c r="F3166" s="1" t="str">
        <x:v>https://api.octopus.energy/v1/products/AGILE-24-10-01/electricity-tariffs/E-1R-AGILE-24-10-01-G/standard-unit-rates/</x:v>
      </x:c>
    </x:row>
    <x:row r="3167" ht="21" customHeight="1">
      <x:c r="A3167" s="24" t="n">
        <x:v>46214.479166666664</x:v>
      </x:c>
      <x:c r="B3167" s="6" t="n">
        <x:v>0.1663</x:v>
      </x:c>
      <x:c r="C3167" s="6" t="n">
        <x:v>0.1023</x:v>
      </x:c>
      <x:c r="D3167" s="6" t="n">
        <x:f>B3167</x:f>
        <x:v>0.1663</x:v>
      </x:c>
      <x:c r="E3167" s="1" t="n">
        <x:v>1.05</x:v>
      </x:c>
      <x:c r="F3167" s="1" t="str">
        <x:v>https://api.octopus.energy/v1/products/AGILE-24-10-01/electricity-tariffs/E-1R-AGILE-24-10-01-G/standard-unit-rates/</x:v>
      </x:c>
    </x:row>
    <x:row r="3168" ht="21" customHeight="1">
      <x:c r="A3168" s="24" t="n">
        <x:v>46214.5</x:v>
      </x:c>
      <x:c r="B3168" s="6" t="n">
        <x:v>0.1637</x:v>
      </x:c>
      <x:c r="C3168" s="6" t="n">
        <x:v>0.1011</x:v>
      </x:c>
      <x:c r="D3168" s="6" t="n">
        <x:f>B3168</x:f>
        <x:v>0.1637</x:v>
      </x:c>
      <x:c r="E3168" s="1" t="n">
        <x:v>1.05</x:v>
      </x:c>
      <x:c r="F3168" s="1" t="str">
        <x:v>https://api.octopus.energy/v1/products/AGILE-24-10-01/electricity-tariffs/E-1R-AGILE-24-10-01-G/standard-unit-rates/</x:v>
      </x:c>
    </x:row>
    <x:row r="3169" ht="21" customHeight="1">
      <x:c r="A3169" s="24" t="n">
        <x:v>46214.520833333336</x:v>
      </x:c>
      <x:c r="B3169" s="6" t="n">
        <x:v>0.1563</x:v>
      </x:c>
      <x:c r="C3169" s="6" t="n">
        <x:v>0.0977</x:v>
      </x:c>
      <x:c r="D3169" s="6" t="n">
        <x:f>B3169</x:f>
        <x:v>0.1563</x:v>
      </x:c>
      <x:c r="E3169" s="1" t="n">
        <x:v>1.05</x:v>
      </x:c>
      <x:c r="F3169" s="1" t="str">
        <x:v>https://api.octopus.energy/v1/products/AGILE-24-10-01/electricity-tariffs/E-1R-AGILE-24-10-01-G/standard-unit-rates/</x:v>
      </x:c>
    </x:row>
    <x:row r="3170" ht="21" customHeight="1">
      <x:c r="A3170" s="24" t="n">
        <x:v>46214.541666666664</x:v>
      </x:c>
      <x:c r="B3170" s="6" t="n">
        <x:v>0.1531</x:v>
      </x:c>
      <x:c r="C3170" s="6" t="n">
        <x:v>0.09630000000000001</x:v>
      </x:c>
      <x:c r="D3170" s="6" t="n">
        <x:f>B3170</x:f>
        <x:v>0.1531</x:v>
      </x:c>
      <x:c r="E3170" s="1" t="n">
        <x:v>1.05</x:v>
      </x:c>
      <x:c r="F3170" s="1" t="str">
        <x:v>https://api.octopus.energy/v1/products/AGILE-24-10-01/electricity-tariffs/E-1R-AGILE-24-10-01-G/standard-unit-rates/</x:v>
      </x:c>
    </x:row>
    <x:row r="3171" ht="21" customHeight="1">
      <x:c r="A3171" s="24" t="n">
        <x:v>46214.5625</x:v>
      </x:c>
      <x:c r="B3171" s="6" t="n">
        <x:v>0.1508</x:v>
      </x:c>
      <x:c r="C3171" s="6" t="n">
        <x:v>0.09519999999999999</x:v>
      </x:c>
      <x:c r="D3171" s="6" t="n">
        <x:f>B3171</x:f>
        <x:v>0.1508</x:v>
      </x:c>
      <x:c r="E3171" s="1" t="n">
        <x:v>1.05</x:v>
      </x:c>
      <x:c r="F3171" s="1" t="str">
        <x:v>https://api.octopus.energy/v1/products/AGILE-24-10-01/electricity-tariffs/E-1R-AGILE-24-10-01-G/standard-unit-rates/</x:v>
      </x:c>
    </x:row>
    <x:row r="3172" ht="21" customHeight="1">
      <x:c r="A3172" s="24" t="n">
        <x:v>46214.583333333336</x:v>
      </x:c>
      <x:c r="B3172" s="6" t="n">
        <x:v>0.151</x:v>
      </x:c>
      <x:c r="C3172" s="6" t="n">
        <x:v>0.0953</x:v>
      </x:c>
      <x:c r="D3172" s="6" t="n">
        <x:f>B3172</x:f>
        <x:v>0.151</x:v>
      </x:c>
      <x:c r="E3172" s="1" t="n">
        <x:v>1.05</x:v>
      </x:c>
      <x:c r="F3172" s="1" t="str">
        <x:v>https://api.octopus.energy/v1/products/AGILE-24-10-01/electricity-tariffs/E-1R-AGILE-24-10-01-G/standard-unit-rates/</x:v>
      </x:c>
    </x:row>
    <x:row r="3173" ht="21" customHeight="1">
      <x:c r="A3173" s="24" t="n">
        <x:v>46214.604166666664</x:v>
      </x:c>
      <x:c r="B3173" s="6" t="n">
        <x:v>0.1458</x:v>
      </x:c>
      <x:c r="C3173" s="6" t="n">
        <x:v>0.0929</x:v>
      </x:c>
      <x:c r="D3173" s="6" t="n">
        <x:f>B3173</x:f>
        <x:v>0.1458</x:v>
      </x:c>
      <x:c r="E3173" s="1" t="n">
        <x:v>1.05</x:v>
      </x:c>
      <x:c r="F3173" s="1" t="str">
        <x:v>https://api.octopus.energy/v1/products/AGILE-24-10-01/electricity-tariffs/E-1R-AGILE-24-10-01-G/standard-unit-rates/</x:v>
      </x:c>
    </x:row>
    <x:row r="3174" ht="21" customHeight="1">
      <x:c r="A3174" s="24" t="n">
        <x:v>46214.625</x:v>
      </x:c>
      <x:c r="B3174" s="6" t="n">
        <x:v>0.14679999999999999</x:v>
      </x:c>
      <x:c r="C3174" s="6" t="n">
        <x:v>0.0934</x:v>
      </x:c>
      <x:c r="D3174" s="6" t="n">
        <x:f>B3174</x:f>
        <x:v>0.14679999999999999</x:v>
      </x:c>
      <x:c r="E3174" s="1" t="n">
        <x:v>1.05</x:v>
      </x:c>
      <x:c r="F3174" s="1" t="str">
        <x:v>https://api.octopus.energy/v1/products/AGILE-24-10-01/electricity-tariffs/E-1R-AGILE-24-10-01-G/standard-unit-rates/</x:v>
      </x:c>
    </x:row>
    <x:row r="3175" ht="21" customHeight="1">
      <x:c r="A3175" s="24" t="n">
        <x:v>46214.645833333336</x:v>
      </x:c>
      <x:c r="B3175" s="6" t="n">
        <x:v>0.15039999999999998</x:v>
      </x:c>
      <x:c r="C3175" s="6" t="n">
        <x:v>0.095</x:v>
      </x:c>
      <x:c r="D3175" s="6" t="n">
        <x:f>B3175</x:f>
        <x:v>0.15039999999999998</x:v>
      </x:c>
      <x:c r="E3175" s="1" t="n">
        <x:v>1.05</x:v>
      </x:c>
      <x:c r="F3175" s="1" t="str">
        <x:v>https://api.octopus.energy/v1/products/AGILE-24-10-01/electricity-tariffs/E-1R-AGILE-24-10-01-G/standard-unit-rates/</x:v>
      </x:c>
    </x:row>
    <x:row r="3176" ht="21" customHeight="1">
      <x:c r="A3176" s="24" t="n">
        <x:v>46214.666666666664</x:v>
      </x:c>
      <x:c r="B3176" s="6" t="n">
        <x:v>0.2816</x:v>
      </x:c>
      <x:c r="C3176" s="6" t="n">
        <x:v>0.1591</x:v>
      </x:c>
      <x:c r="D3176" s="6" t="n">
        <x:f>B3176</x:f>
        <x:v>0.2816</x:v>
      </x:c>
      <x:c r="E3176" s="1" t="n">
        <x:v>1.05</x:v>
      </x:c>
      <x:c r="F3176" s="1" t="str">
        <x:v>https://api.octopus.energy/v1/products/AGILE-24-10-01/electricity-tariffs/E-1R-AGILE-24-10-01-G/standard-unit-rates/</x:v>
      </x:c>
    </x:row>
    <x:row r="3177" ht="21" customHeight="1">
      <x:c r="A3177" s="24" t="n">
        <x:v>46214.6875</x:v>
      </x:c>
      <x:c r="B3177" s="6" t="n">
        <x:v>0.2846</x:v>
      </x:c>
      <x:c r="C3177" s="6" t="n">
        <x:v>0.1604</x:v>
      </x:c>
      <x:c r="D3177" s="6" t="n">
        <x:f>B3177</x:f>
        <x:v>0.2846</x:v>
      </x:c>
      <x:c r="E3177" s="1" t="n">
        <x:v>1.05</x:v>
      </x:c>
      <x:c r="F3177" s="1" t="str">
        <x:v>https://api.octopus.energy/v1/products/AGILE-24-10-01/electricity-tariffs/E-1R-AGILE-24-10-01-G/standard-unit-rates/</x:v>
      </x:c>
    </x:row>
    <x:row r="3178" ht="21" customHeight="1">
      <x:c r="A3178" s="24" t="n">
        <x:v>46214.708333333336</x:v>
      </x:c>
      <x:c r="B3178" s="6" t="n">
        <x:v>0.315</x:v>
      </x:c>
      <x:c r="C3178" s="6" t="n">
        <x:v>0.1743</x:v>
      </x:c>
      <x:c r="D3178" s="6" t="n">
        <x:f>B3178</x:f>
        <x:v>0.315</x:v>
      </x:c>
      <x:c r="E3178" s="1" t="n">
        <x:v>1.05</x:v>
      </x:c>
      <x:c r="F3178" s="1" t="str">
        <x:v>https://api.octopus.energy/v1/products/AGILE-24-10-01/electricity-tariffs/E-1R-AGILE-24-10-01-G/standard-unit-rates/</x:v>
      </x:c>
    </x:row>
    <x:row r="3179" ht="21" customHeight="1">
      <x:c r="A3179" s="24" t="n">
        <x:v>46214.729166666664</x:v>
      </x:c>
      <x:c r="B3179" s="6" t="n">
        <x:v>0.3071</x:v>
      </x:c>
      <x:c r="C3179" s="6" t="n">
        <x:v>0.1707</x:v>
      </x:c>
      <x:c r="D3179" s="6" t="n">
        <x:f>B3179</x:f>
        <x:v>0.3071</x:v>
      </x:c>
      <x:c r="E3179" s="1" t="n">
        <x:v>1.05</x:v>
      </x:c>
      <x:c r="F3179" s="1" t="str">
        <x:v>https://api.octopus.energy/v1/products/AGILE-24-10-01/electricity-tariffs/E-1R-AGILE-24-10-01-G/standard-unit-rates/</x:v>
      </x:c>
    </x:row>
    <x:row r="3180" ht="21" customHeight="1">
      <x:c r="A3180" s="24" t="n">
        <x:v>46214.75</x:v>
      </x:c>
      <x:c r="B3180" s="6" t="n">
        <x:v>0.34909999999999997</x:v>
      </x:c>
      <x:c r="C3180" s="6" t="n">
        <x:v>0.18989999999999999</x:v>
      </x:c>
      <x:c r="D3180" s="6" t="n">
        <x:f>B3180</x:f>
        <x:v>0.34909999999999997</x:v>
      </x:c>
      <x:c r="E3180" s="1" t="n">
        <x:v>1.05</x:v>
      </x:c>
      <x:c r="F3180" s="1" t="str">
        <x:v>https://api.octopus.energy/v1/products/AGILE-24-10-01/electricity-tariffs/E-1R-AGILE-24-10-01-G/standard-unit-rates/</x:v>
      </x:c>
    </x:row>
    <x:row r="3181" ht="21" customHeight="1">
      <x:c r="A3181" s="24" t="n">
        <x:v>46214.770833333336</x:v>
      </x:c>
      <x:c r="B3181" s="6" t="n">
        <x:v>0.3635</x:v>
      </x:c>
      <x:c r="C3181" s="6" t="n">
        <x:v>0.19649999999999998</x:v>
      </x:c>
      <x:c r="D3181" s="6" t="n">
        <x:f>B3181</x:f>
        <x:v>0.3635</x:v>
      </x:c>
      <x:c r="E3181" s="1" t="n">
        <x:v>1.05</x:v>
      </x:c>
      <x:c r="F3181" s="1" t="str">
        <x:v>https://api.octopus.energy/v1/products/AGILE-24-10-01/electricity-tariffs/E-1R-AGILE-24-10-01-G/standard-unit-rates/</x:v>
      </x:c>
    </x:row>
    <x:row r="3182" ht="21" customHeight="1">
      <x:c r="A3182" s="24" t="n">
        <x:v>46214.791666666664</x:v>
      </x:c>
      <x:c r="B3182" s="6" t="n">
        <x:v>0.2359</x:v>
      </x:c>
      <x:c r="C3182" s="6" t="n">
        <x:v>0.1341</x:v>
      </x:c>
      <x:c r="D3182" s="6" t="n">
        <x:f>B3182</x:f>
        <x:v>0.2359</x:v>
      </x:c>
      <x:c r="E3182" s="1" t="n">
        <x:v>1.05</x:v>
      </x:c>
      <x:c r="F3182" s="1" t="str">
        <x:v>https://api.octopus.energy/v1/products/AGILE-24-10-01/electricity-tariffs/E-1R-AGILE-24-10-01-G/standard-unit-rates/</x:v>
      </x:c>
    </x:row>
    <x:row r="3183" ht="21" customHeight="1">
      <x:c r="A3183" s="24" t="n">
        <x:v>46214.8125</x:v>
      </x:c>
      <x:c r="B3183" s="6" t="n">
        <x:v>0.23579999999999998</x:v>
      </x:c>
      <x:c r="C3183" s="6" t="n">
        <x:v>0.1341</x:v>
      </x:c>
      <x:c r="D3183" s="6" t="n">
        <x:f>B3183</x:f>
        <x:v>0.23579999999999998</x:v>
      </x:c>
      <x:c r="E3183" s="1" t="n">
        <x:v>1.05</x:v>
      </x:c>
      <x:c r="F3183" s="1" t="str">
        <x:v>https://api.octopus.energy/v1/products/AGILE-24-10-01/electricity-tariffs/E-1R-AGILE-24-10-01-G/standard-unit-rates/</x:v>
      </x:c>
    </x:row>
    <x:row r="3184" ht="21" customHeight="1">
      <x:c r="A3184" s="24" t="n">
        <x:v>46214.833333333336</x:v>
      </x:c>
      <x:c r="B3184" s="6" t="n">
        <x:v>0.23550000000000001</x:v>
      </x:c>
      <x:c r="C3184" s="6" t="n">
        <x:v>0.13390000000000002</x:v>
      </x:c>
      <x:c r="D3184" s="6" t="n">
        <x:f>B3184</x:f>
        <x:v>0.23550000000000001</x:v>
      </x:c>
      <x:c r="E3184" s="1" t="n">
        <x:v>1.05</x:v>
      </x:c>
      <x:c r="F3184" s="1" t="str">
        <x:v>https://api.octopus.energy/v1/products/AGILE-24-10-01/electricity-tariffs/E-1R-AGILE-24-10-01-G/standard-unit-rates/</x:v>
      </x:c>
    </x:row>
    <x:row r="3185" ht="21" customHeight="1">
      <x:c r="A3185" s="24" t="n">
        <x:v>46214.854166666664</x:v>
      </x:c>
      <x:c r="B3185" s="6" t="n">
        <x:v>0.2349</x:v>
      </x:c>
      <x:c r="C3185" s="6" t="n">
        <x:v>0.1336</x:v>
      </x:c>
      <x:c r="D3185" s="6" t="n">
        <x:f>B3185</x:f>
        <x:v>0.2349</x:v>
      </x:c>
      <x:c r="E3185" s="1" t="n">
        <x:v>1.05</x:v>
      </x:c>
      <x:c r="F3185" s="1" t="str">
        <x:v>https://api.octopus.energy/v1/products/AGILE-24-10-01/electricity-tariffs/E-1R-AGILE-24-10-01-G/standard-unit-rates/</x:v>
      </x:c>
    </x:row>
    <x:row r="3186" ht="21" customHeight="1">
      <x:c r="A3186" s="24" t="n">
        <x:v>46214.875</x:v>
      </x:c>
      <x:c r="B3186" s="6" t="n">
        <x:v>0.22440000000000002</x:v>
      </x:c>
      <x:c r="C3186" s="6" t="n">
        <x:v>0.12890000000000001</x:v>
      </x:c>
      <x:c r="D3186" s="6" t="n">
        <x:f>B3186</x:f>
        <x:v>0.22440000000000002</x:v>
      </x:c>
      <x:c r="E3186" s="1" t="n">
        <x:v>1.05</x:v>
      </x:c>
      <x:c r="F3186" s="1" t="str">
        <x:v>https://api.octopus.energy/v1/products/AGILE-24-10-01/electricity-tariffs/E-1R-AGILE-24-10-01-G/standard-unit-rates/</x:v>
      </x:c>
    </x:row>
    <x:row r="3187" ht="21" customHeight="1">
      <x:c r="A3187" s="24" t="n">
        <x:v>46214.895833333336</x:v>
      </x:c>
      <x:c r="B3187" s="6" t="n">
        <x:v>0.2236</x:v>
      </x:c>
      <x:c r="C3187" s="6" t="n">
        <x:v>0.1285</x:v>
      </x:c>
      <x:c r="D3187" s="6" t="n">
        <x:f>B3187</x:f>
        <x:v>0.2236</x:v>
      </x:c>
      <x:c r="E3187" s="1" t="n">
        <x:v>1.05</x:v>
      </x:c>
      <x:c r="F3187" s="1" t="str">
        <x:v>https://api.octopus.energy/v1/products/AGILE-24-10-01/electricity-tariffs/E-1R-AGILE-24-10-01-G/standard-unit-rates/</x:v>
      </x:c>
    </x:row>
    <x:row r="3188" ht="21" customHeight="1">
      <x:c r="A3188" s="24" t="n">
        <x:v>46214.916666666664</x:v>
      </x:c>
      <x:c r="B3188" s="6" t="n">
        <x:v>0.2187</x:v>
      </x:c>
      <x:c r="C3188" s="6" t="n">
        <x:v>0.12619999999999998</x:v>
      </x:c>
      <x:c r="D3188" s="6" t="n">
        <x:f>B3188</x:f>
        <x:v>0.2187</x:v>
      </x:c>
      <x:c r="E3188" s="1" t="n">
        <x:v>1.05</x:v>
      </x:c>
      <x:c r="F3188" s="1" t="str">
        <x:v>https://api.octopus.energy/v1/products/AGILE-24-10-01/electricity-tariffs/E-1R-AGILE-24-10-01-G/standard-unit-rates/</x:v>
      </x:c>
    </x:row>
    <x:row r="3189" ht="21" customHeight="1">
      <x:c r="A3189" s="24" t="n">
        <x:v>46214.9375</x:v>
      </x:c>
      <x:c r="B3189" s="6" t="n">
        <x:v>0.207</x:v>
      </x:c>
      <x:c r="C3189" s="6" t="n">
        <x:v>0.1209</x:v>
      </x:c>
      <x:c r="D3189" s="6" t="n">
        <x:f>B3189</x:f>
        <x:v>0.207</x:v>
      </x:c>
      <x:c r="E3189" s="1" t="n">
        <x:v>1.05</x:v>
      </x:c>
      <x:c r="F3189" s="1" t="str">
        <x:v>https://api.octopus.energy/v1/products/AGILE-24-10-01/electricity-tariffs/E-1R-AGILE-24-10-01-G/standard-unit-rates/</x:v>
      </x:c>
    </x:row>
    <x:row r="3190" ht="21" customHeight="1">
      <x:c r="A3190" s="24" t="n">
        <x:v>46215</x:v>
      </x:c>
      <x:c r="B3190" s="6" t="n">
        <x:v>0.19760000000000003</x:v>
      </x:c>
      <x:c r="C3190" s="6" t="n">
        <x:v>0.1166</x:v>
      </x:c>
      <x:c r="D3190" s="6" t="n">
        <x:f>B3190</x:f>
        <x:v>0.19760000000000003</x:v>
      </x:c>
      <x:c r="E3190" s="1" t="n">
        <x:v>1.05</x:v>
      </x:c>
      <x:c r="F3190" s="1" t="str">
        <x:v>https://api.octopus.energy/v1/products/AGILE-24-10-01/electricity-tariffs/E-1R-AGILE-24-10-01-G/standard-unit-rates/</x:v>
      </x:c>
    </x:row>
    <x:row r="3191" ht="21" customHeight="1">
      <x:c r="A3191" s="24" t="n">
        <x:v>46214.979166666664</x:v>
      </x:c>
      <x:c r="B3191" s="6" t="n">
        <x:v>0.2022</x:v>
      </x:c>
      <x:c r="C3191" s="6" t="n">
        <x:v>0.11869999999999999</x:v>
      </x:c>
      <x:c r="D3191" s="6" t="n">
        <x:f>B3191</x:f>
        <x:v>0.2022</x:v>
      </x:c>
      <x:c r="E3191" s="1" t="n">
        <x:v>1.05</x:v>
      </x:c>
      <x:c r="F3191" s="1" t="str">
        <x:v>https://api.octopus.energy/v1/products/AGILE-24-10-01/electricity-tariffs/E-1R-AGILE-24-10-01-G/standard-unit-rates/</x:v>
      </x:c>
    </x:row>
    <x:row r="3192" ht="21" customHeight="1">
      <x:c r="A3192" s="24" t="n">
        <x:v>46215</x:v>
      </x:c>
      <x:c r="B3192" s="6" t="n">
        <x:v>0.185</x:v>
      </x:c>
      <x:c r="C3192" s="6" t="n">
        <x:v>0.1108</x:v>
      </x:c>
      <x:c r="D3192" s="6" t="n">
        <x:f>B3192</x:f>
        <x:v>0.185</x:v>
      </x:c>
      <x:c r="E3192" s="1" t="n">
        <x:v>1.05</x:v>
      </x:c>
      <x:c r="F3192" s="1" t="str">
        <x:v>https://api.octopus.energy/v1/products/AGILE-24-10-01/electricity-tariffs/E-1R-AGILE-24-10-01-G/standard-unit-rates/</x:v>
      </x:c>
    </x:row>
    <x:row r="3193" ht="21" customHeight="1">
      <x:c r="A3193" s="24" t="n">
        <x:v>46215.020833333336</x:v>
      </x:c>
      <x:c r="B3193" s="6" t="n">
        <x:v>0.1981</x:v>
      </x:c>
      <x:c r="C3193" s="6" t="n">
        <x:v>0.1168</x:v>
      </x:c>
      <x:c r="D3193" s="6" t="n">
        <x:f>B3193</x:f>
        <x:v>0.1981</x:v>
      </x:c>
      <x:c r="E3193" s="1" t="n">
        <x:v>1.05</x:v>
      </x:c>
      <x:c r="F3193" s="1" t="str">
        <x:v>https://api.octopus.energy/v1/products/AGILE-24-10-01/electricity-tariffs/E-1R-AGILE-24-10-01-G/standard-unit-rates/</x:v>
      </x:c>
    </x:row>
    <x:row r="3194" ht="21" customHeight="1">
      <x:c r="A3194" s="24" t="n">
        <x:v>46215.041666666664</x:v>
      </x:c>
      <x:c r="B3194" s="6" t="n">
        <x:v>0.1766</x:v>
      </x:c>
      <x:c r="C3194" s="6" t="n">
        <x:v>0.107</x:v>
      </x:c>
      <x:c r="D3194" s="6" t="n">
        <x:f>B3194</x:f>
        <x:v>0.1766</x:v>
      </x:c>
      <x:c r="E3194" s="1" t="n">
        <x:v>1.05</x:v>
      </x:c>
      <x:c r="F3194" s="1" t="str">
        <x:v>https://api.octopus.energy/v1/products/AGILE-24-10-01/electricity-tariffs/E-1R-AGILE-24-10-01-G/standard-unit-rates/</x:v>
      </x:c>
    </x:row>
    <x:row r="3195" ht="21" customHeight="1">
      <x:c r="A3195" s="24" t="n">
        <x:v>46215.0625</x:v>
      </x:c>
      <x:c r="B3195" s="6" t="n">
        <x:v>0.191</x:v>
      </x:c>
      <x:c r="C3195" s="6" t="n">
        <x:v>0.11359999999999999</x:v>
      </x:c>
      <x:c r="D3195" s="6" t="n">
        <x:f>B3195</x:f>
        <x:v>0.191</x:v>
      </x:c>
      <x:c r="E3195" s="1" t="n">
        <x:v>1.05</x:v>
      </x:c>
      <x:c r="F3195" s="1" t="str">
        <x:v>https://api.octopus.energy/v1/products/AGILE-24-10-01/electricity-tariffs/E-1R-AGILE-24-10-01-G/standard-unit-rates/</x:v>
      </x:c>
    </x:row>
    <x:row r="3196" ht="21" customHeight="1">
      <x:c r="A3196" s="24" t="n">
        <x:v>46215.083333333336</x:v>
      </x:c>
      <x:c r="B3196" s="6" t="n">
        <x:v>0.1913</x:v>
      </x:c>
      <x:c r="C3196" s="6" t="n">
        <x:v>0.1137</x:v>
      </x:c>
      <x:c r="D3196" s="6" t="n">
        <x:f>B3196</x:f>
        <x:v>0.1913</x:v>
      </x:c>
      <x:c r="E3196" s="1" t="n">
        <x:v>1.05</x:v>
      </x:c>
      <x:c r="F3196" s="1" t="str">
        <x:v>https://api.octopus.energy/v1/products/AGILE-24-10-01/electricity-tariffs/E-1R-AGILE-24-10-01-G/standard-unit-rates/</x:v>
      </x:c>
    </x:row>
    <x:row r="3197" ht="21" customHeight="1">
      <x:c r="A3197" s="24" t="n">
        <x:v>46215.104166666664</x:v>
      </x:c>
      <x:c r="B3197" s="6" t="n">
        <x:v>0.1913</x:v>
      </x:c>
      <x:c r="C3197" s="6" t="n">
        <x:v>0.1137</x:v>
      </x:c>
      <x:c r="D3197" s="6" t="n">
        <x:f>B3197</x:f>
        <x:v>0.1913</x:v>
      </x:c>
      <x:c r="E3197" s="1" t="n">
        <x:v>1.05</x:v>
      </x:c>
      <x:c r="F3197" s="1" t="str">
        <x:v>https://api.octopus.energy/v1/products/AGILE-24-10-01/electricity-tariffs/E-1R-AGILE-24-10-01-G/standard-unit-rates/</x:v>
      </x:c>
    </x:row>
    <x:row r="3198" ht="21" customHeight="1">
      <x:c r="A3198" s="24" t="n">
        <x:v>46215.125</x:v>
      </x:c>
      <x:c r="B3198" s="6" t="n">
        <x:v>0.19260000000000002</x:v>
      </x:c>
      <x:c r="C3198" s="6" t="n">
        <x:v>0.1143</x:v>
      </x:c>
      <x:c r="D3198" s="6" t="n">
        <x:f>B3198</x:f>
        <x:v>0.19260000000000002</x:v>
      </x:c>
      <x:c r="E3198" s="1" t="n">
        <x:v>1.05</x:v>
      </x:c>
      <x:c r="F3198" s="1" t="str">
        <x:v>https://api.octopus.energy/v1/products/AGILE-24-10-01/electricity-tariffs/E-1R-AGILE-24-10-01-G/standard-unit-rates/</x:v>
      </x:c>
    </x:row>
    <x:row r="3199" ht="21" customHeight="1">
      <x:c r="A3199" s="24" t="n">
        <x:v>46215.145833333336</x:v>
      </x:c>
      <x:c r="B3199" s="6" t="n">
        <x:v>0.19</x:v>
      </x:c>
      <x:c r="C3199" s="6" t="n">
        <x:v>0.1131</x:v>
      </x:c>
      <x:c r="D3199" s="6" t="n">
        <x:f>B3199</x:f>
        <x:v>0.19</x:v>
      </x:c>
      <x:c r="E3199" s="1" t="n">
        <x:v>1.05</x:v>
      </x:c>
      <x:c r="F3199" s="1" t="str">
        <x:v>https://api.octopus.energy/v1/products/AGILE-24-10-01/electricity-tariffs/E-1R-AGILE-24-10-01-G/standard-unit-rates/</x:v>
      </x:c>
    </x:row>
    <x:row r="3200" ht="21" customHeight="1">
      <x:c r="A3200" s="24" t="n">
        <x:v>46215.166666666664</x:v>
      </x:c>
      <x:c r="B3200" s="6" t="n">
        <x:v>0.185</x:v>
      </x:c>
      <x:c r="C3200" s="6" t="n">
        <x:v>0.1108</x:v>
      </x:c>
      <x:c r="D3200" s="6" t="n">
        <x:f>B3200</x:f>
        <x:v>0.185</x:v>
      </x:c>
      <x:c r="E3200" s="1" t="n">
        <x:v>1.05</x:v>
      </x:c>
      <x:c r="F3200" s="1" t="str">
        <x:v>https://api.octopus.energy/v1/products/AGILE-24-10-01/electricity-tariffs/E-1R-AGILE-24-10-01-G/standard-unit-rates/</x:v>
      </x:c>
    </x:row>
    <x:row r="3201" ht="21" customHeight="1">
      <x:c r="A3201" s="24" t="n">
        <x:v>46215.1875</x:v>
      </x:c>
      <x:c r="B3201" s="6" t="n">
        <x:v>0.18489999999999998</x:v>
      </x:c>
      <x:c r="C3201" s="6" t="n">
        <x:v>0.1108</x:v>
      </x:c>
      <x:c r="D3201" s="6" t="n">
        <x:f>B3201</x:f>
        <x:v>0.18489999999999998</x:v>
      </x:c>
      <x:c r="E3201" s="1" t="n">
        <x:v>1.05</x:v>
      </x:c>
      <x:c r="F3201" s="1" t="str">
        <x:v>https://api.octopus.energy/v1/products/AGILE-24-10-01/electricity-tariffs/E-1R-AGILE-24-10-01-G/standard-unit-rates/</x:v>
      </x:c>
    </x:row>
    <x:row r="3202" ht="21" customHeight="1">
      <x:c r="A3202" s="24" t="n">
        <x:v>46215.208333333336</x:v>
      </x:c>
      <x:c r="B3202" s="6" t="n">
        <x:v>0.1934</x:v>
      </x:c>
      <x:c r="C3202" s="6" t="n">
        <x:v>0.11470000000000001</x:v>
      </x:c>
      <x:c r="D3202" s="6" t="n">
        <x:f>B3202</x:f>
        <x:v>0.1934</x:v>
      </x:c>
      <x:c r="E3202" s="1" t="n">
        <x:v>1.05</x:v>
      </x:c>
      <x:c r="F3202" s="1" t="str">
        <x:v>https://api.octopus.energy/v1/products/AGILE-24-10-01/electricity-tariffs/E-1R-AGILE-24-10-01-G/standard-unit-rates/</x:v>
      </x:c>
    </x:row>
    <x:row r="3203" ht="21" customHeight="1">
      <x:c r="A3203" s="24" t="n">
        <x:v>46215.229166666664</x:v>
      </x:c>
      <x:c r="B3203" s="6" t="n">
        <x:v>0.172</x:v>
      </x:c>
      <x:c r="C3203" s="6" t="n">
        <x:v>0.10490000000000001</x:v>
      </x:c>
      <x:c r="D3203" s="6" t="n">
        <x:f>B3203</x:f>
        <x:v>0.172</x:v>
      </x:c>
      <x:c r="E3203" s="1" t="n">
        <x:v>1.05</x:v>
      </x:c>
      <x:c r="F3203" s="1" t="str">
        <x:v>https://api.octopus.energy/v1/products/AGILE-24-10-01/electricity-tariffs/E-1R-AGILE-24-10-01-G/standard-unit-rates/</x:v>
      </x:c>
    </x:row>
    <x:row r="3204" ht="21" customHeight="1">
      <x:c r="A3204" s="24" t="n">
        <x:v>46215.25</x:v>
      </x:c>
      <x:c r="B3204" s="6" t="n">
        <x:v>0.1517</x:v>
      </x:c>
      <x:c r="C3204" s="6" t="n">
        <x:v>0.0956</x:v>
      </x:c>
      <x:c r="D3204" s="6" t="n">
        <x:f>B3204</x:f>
        <x:v>0.1517</x:v>
      </x:c>
      <x:c r="E3204" s="1" t="n">
        <x:v>1.05</x:v>
      </x:c>
      <x:c r="F3204" s="1" t="str">
        <x:v>https://api.octopus.energy/v1/products/AGILE-24-10-01/electricity-tariffs/E-1R-AGILE-24-10-01-G/standard-unit-rates/</x:v>
      </x:c>
    </x:row>
    <x:row r="3205" ht="21" customHeight="1">
      <x:c r="A3205" s="24" t="n">
        <x:v>46215.270833333336</x:v>
      </x:c>
      <x:c r="B3205" s="6" t="n">
        <x:v>0.1598</x:v>
      </x:c>
      <x:c r="C3205" s="6" t="n">
        <x:v>0.0993</x:v>
      </x:c>
      <x:c r="D3205" s="6" t="n">
        <x:f>B3205</x:f>
        <x:v>0.1598</x:v>
      </x:c>
      <x:c r="E3205" s="1" t="n">
        <x:v>1.05</x:v>
      </x:c>
      <x:c r="F3205" s="1" t="str">
        <x:v>https://api.octopus.energy/v1/products/AGILE-24-10-01/electricity-tariffs/E-1R-AGILE-24-10-01-G/standard-unit-rates/</x:v>
      </x:c>
    </x:row>
    <x:row r="3206" ht="21" customHeight="1">
      <x:c r="A3206" s="24" t="n">
        <x:v>46215.291666666664</x:v>
      </x:c>
      <x:c r="B3206" s="6" t="n">
        <x:v>0.06280000000000001</x:v>
      </x:c>
      <x:c r="C3206" s="6" t="n">
        <x:v>0.055</x:v>
      </x:c>
      <x:c r="D3206" s="6" t="n">
        <x:f>B3206</x:f>
        <x:v>0.06280000000000001</x:v>
      </x:c>
      <x:c r="E3206" s="1" t="n">
        <x:v>1.05</x:v>
      </x:c>
      <x:c r="F3206" s="1" t="str">
        <x:v>https://api.octopus.energy/v1/products/AGILE-24-10-01/electricity-tariffs/E-1R-AGILE-24-10-01-G/standard-unit-rates/</x:v>
      </x:c>
    </x:row>
    <x:row r="3207" ht="21" customHeight="1">
      <x:c r="A3207" s="24" t="n">
        <x:v>46215.3125</x:v>
      </x:c>
      <x:c r="B3207" s="6" t="n">
        <x:v>0.054400000000000004</x:v>
      </x:c>
      <x:c r="C3207" s="6" t="n">
        <x:v>0.051100000000000007</x:v>
      </x:c>
      <x:c r="D3207" s="6" t="n">
        <x:f>B3207</x:f>
        <x:v>0.054400000000000004</x:v>
      </x:c>
      <x:c r="E3207" s="1" t="n">
        <x:v>1.05</x:v>
      </x:c>
      <x:c r="F3207" s="1" t="str">
        <x:v>https://api.octopus.energy/v1/products/AGILE-24-10-01/electricity-tariffs/E-1R-AGILE-24-10-01-G/standard-unit-rates/</x:v>
      </x:c>
    </x:row>
    <x:row r="3208" ht="21" customHeight="1">
      <x:c r="A3208" s="24" t="n">
        <x:v>46215.333333333336</x:v>
      </x:c>
      <x:c r="B3208" s="6" t="n">
        <x:v>0.0317</x:v>
      </x:c>
      <x:c r="C3208" s="6" t="n">
        <x:v>0.0408</x:v>
      </x:c>
      <x:c r="D3208" s="6" t="n">
        <x:f>B3208</x:f>
        <x:v>0.0317</x:v>
      </x:c>
      <x:c r="E3208" s="1" t="n">
        <x:v>1.05</x:v>
      </x:c>
      <x:c r="F3208" s="1" t="str">
        <x:v>https://api.octopus.energy/v1/products/AGILE-24-10-01/electricity-tariffs/E-1R-AGILE-24-10-01-G/standard-unit-rates/</x:v>
      </x:c>
    </x:row>
    <x:row r="3209" ht="21" customHeight="1">
      <x:c r="A3209" s="24" t="n">
        <x:v>46215.354166666664</x:v>
      </x:c>
      <x:c r="B3209" s="6" t="n">
        <x:v>0.010700000000000001</x:v>
      </x:c>
      <x:c r="C3209" s="6" t="n">
        <x:v>0.031200000000000002</x:v>
      </x:c>
      <x:c r="D3209" s="6" t="n">
        <x:f>B3209</x:f>
        <x:v>0.010700000000000001</x:v>
      </x:c>
      <x:c r="E3209" s="1" t="n">
        <x:v>1.05</x:v>
      </x:c>
      <x:c r="F3209" s="1" t="str">
        <x:v>https://api.octopus.energy/v1/products/AGILE-24-10-01/electricity-tariffs/E-1R-AGILE-24-10-01-G/standard-unit-rates/</x:v>
      </x:c>
    </x:row>
    <x:row r="3210" ht="21" customHeight="1">
      <x:c r="A3210" s="24" t="n">
        <x:v>46215.375</x:v>
      </x:c>
      <x:c r="B3210" s="6" t="n">
        <x:v>0.0233</x:v>
      </x:c>
      <x:c r="C3210" s="6" t="n">
        <x:v>0.0369</x:v>
      </x:c>
      <x:c r="D3210" s="6" t="n">
        <x:f>B3210</x:f>
        <x:v>0.0233</x:v>
      </x:c>
      <x:c r="E3210" s="1" t="n">
        <x:v>1.05</x:v>
      </x:c>
      <x:c r="F3210" s="1" t="str">
        <x:v>https://api.octopus.energy/v1/products/AGILE-24-10-01/electricity-tariffs/E-1R-AGILE-24-10-01-G/standard-unit-rates/</x:v>
      </x:c>
    </x:row>
    <x:row r="3211" ht="21" customHeight="1">
      <x:c r="A3211" s="24" t="n">
        <x:v>46215.395833333336</x:v>
      </x:c>
      <x:c r="B3211" s="6" t="n">
        <x:v>0.0086</x:v>
      </x:c>
      <x:c r="C3211" s="6" t="n">
        <x:v>0.0302</x:v>
      </x:c>
      <x:c r="D3211" s="6" t="n">
        <x:f>B3211</x:f>
        <x:v>0.0086</x:v>
      </x:c>
      <x:c r="E3211" s="1" t="n">
        <x:v>1.05</x:v>
      </x:c>
      <x:c r="F3211" s="1" t="str">
        <x:v>https://api.octopus.energy/v1/products/AGILE-24-10-01/electricity-tariffs/E-1R-AGILE-24-10-01-G/standard-unit-rates/</x:v>
      </x:c>
    </x:row>
    <x:row r="3212" ht="21" customHeight="1">
      <x:c r="A3212" s="24" t="n">
        <x:v>46215.416666666664</x:v>
      </x:c>
      <x:c r="B3212" s="6" t="n">
        <x:v>0.0212</x:v>
      </x:c>
      <x:c r="C3212" s="6" t="n">
        <x:v>0.036000000000000004</x:v>
      </x:c>
      <x:c r="D3212" s="6" t="n">
        <x:f>B3212</x:f>
        <x:v>0.0212</x:v>
      </x:c>
      <x:c r="E3212" s="1" t="n">
        <x:v>1.05</x:v>
      </x:c>
      <x:c r="F3212" s="1" t="str">
        <x:v>https://api.octopus.energy/v1/products/AGILE-24-10-01/electricity-tariffs/E-1R-AGILE-24-10-01-G/standard-unit-rates/</x:v>
      </x:c>
    </x:row>
    <x:row r="3213" ht="21" customHeight="1">
      <x:c r="A3213" s="24" t="n">
        <x:v>46215.4375</x:v>
      </x:c>
      <x:c r="B3213" s="6" t="n">
        <x:v>-0.0019</x:v>
      </x:c>
      <x:c r="C3213" s="6" t="n">
        <x:v>0.0254</x:v>
      </x:c>
      <x:c r="D3213" s="6" t="n">
        <x:f>B3213</x:f>
        <x:v>-0.0019</x:v>
      </x:c>
      <x:c r="E3213" s="1" t="n">
        <x:v>1.05</x:v>
      </x:c>
      <x:c r="F3213" s="1" t="str">
        <x:v>https://api.octopus.energy/v1/products/AGILE-24-10-01/electricity-tariffs/E-1R-AGILE-24-10-01-G/standard-unit-rates/</x:v>
      </x:c>
    </x:row>
    <x:row r="3214" ht="21" customHeight="1">
      <x:c r="A3214" s="24" t="n">
        <x:v>46215.458333333336</x:v>
      </x:c>
      <x:c r="B3214" s="6" t="n">
        <x:v>-0.0124</x:v>
      </x:c>
      <x:c r="C3214" s="6" t="n">
        <x:v>0.0206</x:v>
      </x:c>
      <x:c r="D3214" s="6" t="n">
        <x:f>B3214</x:f>
        <x:v>-0.0124</x:v>
      </x:c>
      <x:c r="E3214" s="1" t="n">
        <x:v>1.05</x:v>
      </x:c>
      <x:c r="F3214" s="1" t="str">
        <x:v>https://api.octopus.energy/v1/products/AGILE-24-10-01/electricity-tariffs/E-1R-AGILE-24-10-01-G/standard-unit-rates/</x:v>
      </x:c>
    </x:row>
    <x:row r="3215" ht="21" customHeight="1">
      <x:c r="A3215" s="24" t="n">
        <x:v>46215.479166666664</x:v>
      </x:c>
      <x:c r="B3215" s="6" t="n">
        <x:v>-0.022799999999999997</x:v>
      </x:c>
      <x:c r="C3215" s="6" t="n">
        <x:v>0.0159</x:v>
      </x:c>
      <x:c r="D3215" s="6" t="n">
        <x:f>B3215</x:f>
        <x:v>-0.022799999999999997</x:v>
      </x:c>
      <x:c r="E3215" s="1" t="n">
        <x:v>1.05</x:v>
      </x:c>
      <x:c r="F3215" s="1" t="str">
        <x:v>https://api.octopus.energy/v1/products/AGILE-24-10-01/electricity-tariffs/E-1R-AGILE-24-10-01-G/standard-unit-rates/</x:v>
      </x:c>
    </x:row>
    <x:row r="3216" ht="21" customHeight="1">
      <x:c r="A3216" s="24" t="n">
        <x:v>46215.5</x:v>
      </x:c>
      <x:c r="B3216" s="6" t="n">
        <x:v>-0.0208</x:v>
      </x:c>
      <x:c r="C3216" s="6" t="n">
        <x:v>0.0168</x:v>
      </x:c>
      <x:c r="D3216" s="6" t="n">
        <x:f>B3216</x:f>
        <x:v>-0.0208</x:v>
      </x:c>
      <x:c r="E3216" s="1" t="n">
        <x:v>1.05</x:v>
      </x:c>
      <x:c r="F3216" s="1" t="str">
        <x:v>https://api.octopus.energy/v1/products/AGILE-24-10-01/electricity-tariffs/E-1R-AGILE-24-10-01-G/standard-unit-rates/</x:v>
      </x:c>
    </x:row>
    <x:row r="3217" ht="21" customHeight="1">
      <x:c r="A3217" s="24" t="n">
        <x:v>46215.520833333336</x:v>
      </x:c>
      <x:c r="B3217" s="6" t="n">
        <x:v>-0.0208</x:v>
      </x:c>
      <x:c r="C3217" s="6" t="n">
        <x:v>0.0168</x:v>
      </x:c>
      <x:c r="D3217" s="6" t="n">
        <x:f>B3217</x:f>
        <x:v>-0.0208</x:v>
      </x:c>
      <x:c r="E3217" s="1" t="n">
        <x:v>1.05</x:v>
      </x:c>
      <x:c r="F3217" s="1" t="str">
        <x:v>https://api.octopus.energy/v1/products/AGILE-24-10-01/electricity-tariffs/E-1R-AGILE-24-10-01-G/standard-unit-rates/</x:v>
      </x:c>
    </x:row>
    <x:row r="3218" ht="21" customHeight="1">
      <x:c r="A3218" s="24" t="n">
        <x:v>46215.541666666664</x:v>
      </x:c>
      <x:c r="B3218" s="6" t="n">
        <x:v>-0.0191</x:v>
      </x:c>
      <x:c r="C3218" s="6" t="n">
        <x:v>0.0175</x:v>
      </x:c>
      <x:c r="D3218" s="6" t="n">
        <x:f>B3218</x:f>
        <x:v>-0.0191</x:v>
      </x:c>
      <x:c r="E3218" s="1" t="n">
        <x:v>1.05</x:v>
      </x:c>
      <x:c r="F3218" s="1" t="str">
        <x:v>https://api.octopus.energy/v1/products/AGILE-24-10-01/electricity-tariffs/E-1R-AGILE-24-10-01-G/standard-unit-rates/</x:v>
      </x:c>
    </x:row>
    <x:row r="3219" ht="21" customHeight="1">
      <x:c r="A3219" s="24" t="n">
        <x:v>46215.5625</x:v>
      </x:c>
      <x:c r="B3219" s="6" t="n">
        <x:v>-0.0222</x:v>
      </x:c>
      <x:c r="C3219" s="6" t="n">
        <x:v>0.0161</x:v>
      </x:c>
      <x:c r="D3219" s="6" t="n">
        <x:f>B3219</x:f>
        <x:v>-0.0222</x:v>
      </x:c>
      <x:c r="E3219" s="1" t="n">
        <x:v>1.05</x:v>
      </x:c>
      <x:c r="F3219" s="1" t="str">
        <x:v>https://api.octopus.energy/v1/products/AGILE-24-10-01/electricity-tariffs/E-1R-AGILE-24-10-01-G/standard-unit-rates/</x:v>
      </x:c>
    </x:row>
    <x:row r="3220" ht="21" customHeight="1">
      <x:c r="A3220" s="24" t="n">
        <x:v>46215.583333333336</x:v>
      </x:c>
      <x:c r="B3220" s="6" t="n">
        <x:v>-0.0208</x:v>
      </x:c>
      <x:c r="C3220" s="6" t="n">
        <x:v>0.0168</x:v>
      </x:c>
      <x:c r="D3220" s="6" t="n">
        <x:f>B3220</x:f>
        <x:v>-0.0208</x:v>
      </x:c>
      <x:c r="E3220" s="1" t="n">
        <x:v>1.05</x:v>
      </x:c>
      <x:c r="F3220" s="1" t="str">
        <x:v>https://api.octopus.energy/v1/products/AGILE-24-10-01/electricity-tariffs/E-1R-AGILE-24-10-01-G/standard-unit-rates/</x:v>
      </x:c>
    </x:row>
    <x:row r="3221" ht="21" customHeight="1">
      <x:c r="A3221" s="24" t="n">
        <x:v>46215.604166666664</x:v>
      </x:c>
      <x:c r="B3221" s="6" t="n">
        <x:v>-0.0132</x:v>
      </x:c>
      <x:c r="C3221" s="6" t="n">
        <x:v>0.0202</x:v>
      </x:c>
      <x:c r="D3221" s="6" t="n">
        <x:f>B3221</x:f>
        <x:v>-0.0132</x:v>
      </x:c>
      <x:c r="E3221" s="1" t="n">
        <x:v>1.05</x:v>
      </x:c>
      <x:c r="F3221" s="1" t="str">
        <x:v>https://api.octopus.energy/v1/products/AGILE-24-10-01/electricity-tariffs/E-1R-AGILE-24-10-01-G/standard-unit-rates/</x:v>
      </x:c>
    </x:row>
    <x:row r="3222" ht="21" customHeight="1">
      <x:c r="A3222" s="24" t="n">
        <x:v>46215.625</x:v>
      </x:c>
      <x:c r="B3222" s="6" t="n">
        <x:v>-0.008199999999999999</x:v>
      </x:c>
      <x:c r="C3222" s="6" t="n">
        <x:v>0.0225</x:v>
      </x:c>
      <x:c r="D3222" s="6" t="n">
        <x:f>B3222</x:f>
        <x:v>-0.008199999999999999</x:v>
      </x:c>
      <x:c r="E3222" s="1" t="n">
        <x:v>1.05</x:v>
      </x:c>
      <x:c r="F3222" s="1" t="str">
        <x:v>https://api.octopus.energy/v1/products/AGILE-24-10-01/electricity-tariffs/E-1R-AGILE-24-10-01-G/standard-unit-rates/</x:v>
      </x:c>
    </x:row>
    <x:row r="3223" ht="21" customHeight="1">
      <x:c r="A3223" s="24" t="n">
        <x:v>46215.645833333336</x:v>
      </x:c>
      <x:c r="B3223" s="6" t="n">
        <x:v>-0.0042</x:v>
      </x:c>
      <x:c r="C3223" s="6" t="n">
        <x:v>0.024399999999999998</x:v>
      </x:c>
      <x:c r="D3223" s="6" t="n">
        <x:f>B3223</x:f>
        <x:v>-0.0042</x:v>
      </x:c>
      <x:c r="E3223" s="1" t="n">
        <x:v>1.05</x:v>
      </x:c>
      <x:c r="F3223" s="1" t="str">
        <x:v>https://api.octopus.energy/v1/products/AGILE-24-10-01/electricity-tariffs/E-1R-AGILE-24-10-01-G/standard-unit-rates/</x:v>
      </x:c>
    </x:row>
    <x:row r="3224" ht="21" customHeight="1">
      <x:c r="A3224" s="24" t="n">
        <x:v>46215.666666666664</x:v>
      </x:c>
      <x:c r="B3224" s="6" t="n">
        <x:v>0.1284</x:v>
      </x:c>
      <x:c r="C3224" s="6" t="n">
        <x:v>0.08900000000000001</x:v>
      </x:c>
      <x:c r="D3224" s="6" t="n">
        <x:f>B3224</x:f>
        <x:v>0.1284</x:v>
      </x:c>
      <x:c r="E3224" s="1" t="n">
        <x:v>1.05</x:v>
      </x:c>
      <x:c r="F3224" s="1" t="str">
        <x:v>https://api.octopus.energy/v1/products/AGILE-24-10-01/electricity-tariffs/E-1R-AGILE-24-10-01-G/standard-unit-rates/</x:v>
      </x:c>
    </x:row>
    <x:row r="3225" ht="21" customHeight="1">
      <x:c r="A3225" s="24" t="n">
        <x:v>46215.6875</x:v>
      </x:c>
      <x:c r="B3225" s="6" t="n">
        <x:v>0.16820000000000002</x:v>
      </x:c>
      <x:c r="C3225" s="6" t="n">
        <x:v>0.1072</x:v>
      </x:c>
      <x:c r="D3225" s="6" t="n">
        <x:f>B3225</x:f>
        <x:v>0.16820000000000002</x:v>
      </x:c>
      <x:c r="E3225" s="1" t="n">
        <x:v>1.05</x:v>
      </x:c>
      <x:c r="F3225" s="1" t="str">
        <x:v>https://api.octopus.energy/v1/products/AGILE-24-10-01/electricity-tariffs/E-1R-AGILE-24-10-01-G/standard-unit-rates/</x:v>
      </x:c>
    </x:row>
    <x:row r="3226" ht="21" customHeight="1">
      <x:c r="A3226" s="24" t="n">
        <x:v>46215.708333333336</x:v>
      </x:c>
      <x:c r="B3226" s="6" t="n">
        <x:v>0.23800000000000002</x:v>
      </x:c>
      <x:c r="C3226" s="6" t="n">
        <x:v>0.1391</x:v>
      </x:c>
      <x:c r="D3226" s="6" t="n">
        <x:f>B3226</x:f>
        <x:v>0.23800000000000002</x:v>
      </x:c>
      <x:c r="E3226" s="1" t="n">
        <x:v>1.05</x:v>
      </x:c>
      <x:c r="F3226" s="1" t="str">
        <x:v>https://api.octopus.energy/v1/products/AGILE-24-10-01/electricity-tariffs/E-1R-AGILE-24-10-01-G/standard-unit-rates/</x:v>
      </x:c>
    </x:row>
    <x:row r="3227" ht="21" customHeight="1">
      <x:c r="A3227" s="24" t="n">
        <x:v>46215.729166666664</x:v>
      </x:c>
      <x:c r="B3227" s="6" t="n">
        <x:v>0.2441</x:v>
      </x:c>
      <x:c r="C3227" s="6" t="n">
        <x:v>0.1419</x:v>
      </x:c>
      <x:c r="D3227" s="6" t="n">
        <x:f>B3227</x:f>
        <x:v>0.2441</x:v>
      </x:c>
      <x:c r="E3227" s="1" t="n">
        <x:v>1.05</x:v>
      </x:c>
      <x:c r="F3227" s="1" t="str">
        <x:v>https://api.octopus.energy/v1/products/AGILE-24-10-01/electricity-tariffs/E-1R-AGILE-24-10-01-G/standard-unit-rates/</x:v>
      </x:c>
    </x:row>
    <x:row r="3228" ht="21" customHeight="1">
      <x:c r="A3228" s="24" t="n">
        <x:v>46215.75</x:v>
      </x:c>
      <x:c r="B3228" s="6" t="n">
        <x:v>0.3055</x:v>
      </x:c>
      <x:c r="C3228" s="6" t="n">
        <x:v>0.17</x:v>
      </x:c>
      <x:c r="D3228" s="6" t="n">
        <x:f>B3228</x:f>
        <x:v>0.3055</x:v>
      </x:c>
      <x:c r="E3228" s="1" t="n">
        <x:v>1.05</x:v>
      </x:c>
      <x:c r="F3228" s="1" t="str">
        <x:v>https://api.octopus.energy/v1/products/AGILE-24-10-01/electricity-tariffs/E-1R-AGILE-24-10-01-G/standard-unit-rates/</x:v>
      </x:c>
    </x:row>
    <x:row r="3229" ht="21" customHeight="1">
      <x:c r="A3229" s="24" t="n">
        <x:v>46215.770833333336</x:v>
      </x:c>
      <x:c r="B3229" s="6" t="n">
        <x:v>0.3134</x:v>
      </x:c>
      <x:c r="C3229" s="6" t="n">
        <x:v>0.1736</x:v>
      </x:c>
      <x:c r="D3229" s="6" t="n">
        <x:f>B3229</x:f>
        <x:v>0.3134</x:v>
      </x:c>
      <x:c r="E3229" s="1" t="n">
        <x:v>1.05</x:v>
      </x:c>
      <x:c r="F3229" s="1" t="str">
        <x:v>https://api.octopus.energy/v1/products/AGILE-24-10-01/electricity-tariffs/E-1R-AGILE-24-10-01-G/standard-unit-rates/</x:v>
      </x:c>
    </x:row>
    <x:row r="3230" ht="21" customHeight="1">
      <x:c r="A3230" s="24" t="n">
        <x:v>46215.791666666664</x:v>
      </x:c>
      <x:c r="B3230" s="6" t="n">
        <x:v>0.22219999999999998</x:v>
      </x:c>
      <x:c r="C3230" s="6" t="n">
        <x:v>0.12789999999999999</x:v>
      </x:c>
      <x:c r="D3230" s="6" t="n">
        <x:f>B3230</x:f>
        <x:v>0.22219999999999998</x:v>
      </x:c>
      <x:c r="E3230" s="1" t="n">
        <x:v>1.05</x:v>
      </x:c>
      <x:c r="F3230" s="1" t="str">
        <x:v>https://api.octopus.energy/v1/products/AGILE-24-10-01/electricity-tariffs/E-1R-AGILE-24-10-01-G/standard-unit-rates/</x:v>
      </x:c>
    </x:row>
    <x:row r="3231" ht="21" customHeight="1">
      <x:c r="A3231" s="24" t="n">
        <x:v>46215.8125</x:v>
      </x:c>
      <x:c r="B3231" s="6" t="n">
        <x:v>0.2256</x:v>
      </x:c>
      <x:c r="C3231" s="6" t="n">
        <x:v>0.1294</x:v>
      </x:c>
      <x:c r="D3231" s="6" t="n">
        <x:f>B3231</x:f>
        <x:v>0.2256</x:v>
      </x:c>
      <x:c r="E3231" s="1" t="n">
        <x:v>1.05</x:v>
      </x:c>
      <x:c r="F3231" s="1" t="str">
        <x:v>https://api.octopus.energy/v1/products/AGILE-24-10-01/electricity-tariffs/E-1R-AGILE-24-10-01-G/standard-unit-rates/</x:v>
      </x:c>
    </x:row>
    <x:row r="3232" ht="21" customHeight="1">
      <x:c r="A3232" s="24" t="n">
        <x:v>46215.833333333336</x:v>
      </x:c>
      <x:c r="B3232" s="6" t="n">
        <x:v>0.2228</x:v>
      </x:c>
      <x:c r="C3232" s="6" t="n">
        <x:v>0.1281</x:v>
      </x:c>
      <x:c r="D3232" s="6" t="n">
        <x:f>B3232</x:f>
        <x:v>0.2228</x:v>
      </x:c>
      <x:c r="E3232" s="1" t="n">
        <x:v>1.05</x:v>
      </x:c>
      <x:c r="F3232" s="1" t="str">
        <x:v>https://api.octopus.energy/v1/products/AGILE-24-10-01/electricity-tariffs/E-1R-AGILE-24-10-01-G/standard-unit-rates/</x:v>
      </x:c>
    </x:row>
    <x:row r="3233" ht="21" customHeight="1">
      <x:c r="A3233" s="24" t="n">
        <x:v>46215.854166666664</x:v>
      </x:c>
      <x:c r="B3233" s="6" t="n">
        <x:v>0.222</x:v>
      </x:c>
      <x:c r="C3233" s="6" t="n">
        <x:v>0.1277</x:v>
      </x:c>
      <x:c r="D3233" s="6" t="n">
        <x:f>B3233</x:f>
        <x:v>0.222</x:v>
      </x:c>
      <x:c r="E3233" s="1" t="n">
        <x:v>1.05</x:v>
      </x:c>
      <x:c r="F3233" s="1" t="str">
        <x:v>https://api.octopus.energy/v1/products/AGILE-24-10-01/electricity-tariffs/E-1R-AGILE-24-10-01-G/standard-unit-rates/</x:v>
      </x:c>
    </x:row>
    <x:row r="3234" ht="21" customHeight="1">
      <x:c r="A3234" s="24" t="n">
        <x:v>46215.875</x:v>
      </x:c>
      <x:c r="B3234" s="6" t="n">
        <x:v>0.22510000000000002</x:v>
      </x:c>
      <x:c r="C3234" s="6" t="n">
        <x:v>0.1292</x:v>
      </x:c>
      <x:c r="D3234" s="6" t="n">
        <x:f>B3234</x:f>
        <x:v>0.22510000000000002</x:v>
      </x:c>
      <x:c r="E3234" s="1" t="n">
        <x:v>1.05</x:v>
      </x:c>
      <x:c r="F3234" s="1" t="str">
        <x:v>https://api.octopus.energy/v1/products/AGILE-24-10-01/electricity-tariffs/E-1R-AGILE-24-10-01-G/standard-unit-rates/</x:v>
      </x:c>
    </x:row>
    <x:row r="3235" ht="21" customHeight="1">
      <x:c r="A3235" s="24" t="n">
        <x:v>46215.895833333336</x:v>
      </x:c>
      <x:c r="B3235" s="6" t="n">
        <x:v>0.22510000000000002</x:v>
      </x:c>
      <x:c r="C3235" s="6" t="n">
        <x:v>0.1292</x:v>
      </x:c>
      <x:c r="D3235" s="6" t="n">
        <x:f>B3235</x:f>
        <x:v>0.22510000000000002</x:v>
      </x:c>
      <x:c r="E3235" s="1" t="n">
        <x:v>1.05</x:v>
      </x:c>
      <x:c r="F3235" s="1" t="str">
        <x:v>https://api.octopus.energy/v1/products/AGILE-24-10-01/electricity-tariffs/E-1R-AGILE-24-10-01-G/standard-unit-rates/</x:v>
      </x:c>
    </x:row>
    <x:row r="3236" ht="21" customHeight="1">
      <x:c r="A3236" s="24" t="n">
        <x:v>46215.916666666664</x:v>
      </x:c>
      <x:c r="B3236" s="6" t="n">
        <x:v>0.2165</x:v>
      </x:c>
      <x:c r="C3236" s="6" t="n">
        <x:v>0.1252</x:v>
      </x:c>
      <x:c r="D3236" s="6" t="n">
        <x:f>B3236</x:f>
        <x:v>0.2165</x:v>
      </x:c>
      <x:c r="E3236" s="1" t="n">
        <x:v>1.05</x:v>
      </x:c>
      <x:c r="F3236" s="1" t="str">
        <x:v>https://api.octopus.energy/v1/products/AGILE-24-10-01/electricity-tariffs/E-1R-AGILE-24-10-01-G/standard-unit-rates/</x:v>
      </x:c>
    </x:row>
    <x:row r="3237" ht="21" customHeight="1">
      <x:c r="A3237" s="24" t="n">
        <x:v>46215.9375</x:v>
      </x:c>
      <x:c r="B3237" s="6" t="n">
        <x:v>0.20809999999999998</x:v>
      </x:c>
      <x:c r="C3237" s="6" t="n">
        <x:v>0.12140000000000001</x:v>
      </x:c>
      <x:c r="D3237" s="6" t="n">
        <x:f>B3237</x:f>
        <x:v>0.20809999999999998</x:v>
      </x:c>
      <x:c r="E3237" s="1" t="n">
        <x:v>1.05</x:v>
      </x:c>
      <x:c r="F3237" s="1" t="str">
        <x:v>https://api.octopus.energy/v1/products/AGILE-24-10-01/electricity-tariffs/E-1R-AGILE-24-10-01-G/standard-unit-rates/</x:v>
      </x:c>
    </x:row>
    <x:row r="3238" ht="21" customHeight="1">
      <x:c r="A3238" s="24" t="n">
        <x:v>46216</x:v>
      </x:c>
      <x:c r="B3238" s="6" t="n">
        <x:v>0.2159</x:v>
      </x:c>
      <x:c r="C3238" s="6" t="n">
        <x:v>0.125</x:v>
      </x:c>
      <x:c r="D3238" s="6" t="n">
        <x:f>B3238</x:f>
        <x:v>0.2159</x:v>
      </x:c>
      <x:c r="E3238" s="1" t="n">
        <x:v>1.05</x:v>
      </x:c>
      <x:c r="F3238" s="1" t="str">
        <x:v>https://api.octopus.energy/v1/products/AGILE-24-10-01/electricity-tariffs/E-1R-AGILE-24-10-01-G/standard-unit-rates/</x:v>
      </x:c>
    </x:row>
    <x:row r="3239" ht="21" customHeight="1">
      <x:c r="A3239" s="24" t="n">
        <x:v>46215.979166666664</x:v>
      </x:c>
      <x:c r="B3239" s="6" t="n">
        <x:v>0.2091</x:v>
      </x:c>
      <x:c r="C3239" s="6" t="n">
        <x:v>0.1219</x:v>
      </x:c>
      <x:c r="D3239" s="6" t="n">
        <x:f>B3239</x:f>
        <x:v>0.2091</x:v>
      </x:c>
      <x:c r="E3239" s="1" t="n">
        <x:v>1.05</x:v>
      </x:c>
      <x:c r="F3239" s="1" t="str">
        <x:v>https://api.octopus.energy/v1/products/AGILE-24-10-01/electricity-tariffs/E-1R-AGILE-24-10-01-G/standard-unit-rates/</x:v>
      </x:c>
    </x:row>
    <x:row r="3240" ht="21" customHeight="1">
      <x:c r="A3240" s="24" t="n">
        <x:v>46216</x:v>
      </x:c>
      <x:c r="B3240" s="6" t="n">
        <x:v>0.19760000000000003</x:v>
      </x:c>
      <x:c r="C3240" s="6" t="n">
        <x:v>0.1166</x:v>
      </x:c>
      <x:c r="D3240" s="6" t="n">
        <x:f>B3240</x:f>
        <x:v>0.19760000000000003</x:v>
      </x:c>
      <x:c r="E3240" s="1" t="n">
        <x:v>1.05</x:v>
      </x:c>
      <x:c r="F3240" s="1" t="str">
        <x:v>https://api.octopus.energy/v1/products/AGILE-24-10-01/electricity-tariffs/E-1R-AGILE-24-10-01-G/standard-unit-rates/</x:v>
      </x:c>
    </x:row>
    <x:row r="3241" ht="21" customHeight="1">
      <x:c r="A3241" s="24" t="n">
        <x:v>46216.020833333336</x:v>
      </x:c>
      <x:c r="B3241" s="6" t="n">
        <x:v>0.1909</x:v>
      </x:c>
      <x:c r="C3241" s="6" t="n">
        <x:v>0.11349999999999999</x:v>
      </x:c>
      <x:c r="D3241" s="6" t="n">
        <x:f>B3241</x:f>
        <x:v>0.1909</x:v>
      </x:c>
      <x:c r="E3241" s="1" t="n">
        <x:v>1.05</x:v>
      </x:c>
      <x:c r="F3241" s="1" t="str">
        <x:v>https://api.octopus.energy/v1/products/AGILE-24-10-01/electricity-tariffs/E-1R-AGILE-24-10-01-G/standard-unit-rates/</x:v>
      </x:c>
    </x:row>
    <x:row r="3242" ht="21" customHeight="1">
      <x:c r="A3242" s="24" t="n">
        <x:v>46216.041666666664</x:v>
      </x:c>
      <x:c r="B3242" s="6" t="n">
        <x:v>0.17739999999999997</x:v>
      </x:c>
      <x:c r="C3242" s="6" t="n">
        <x:v>0.1074</x:v>
      </x:c>
      <x:c r="D3242" s="6" t="n">
        <x:f>B3242</x:f>
        <x:v>0.17739999999999997</x:v>
      </x:c>
      <x:c r="E3242" s="1" t="n">
        <x:v>1.05</x:v>
      </x:c>
      <x:c r="F3242" s="1" t="str">
        <x:v>https://api.octopus.energy/v1/products/AGILE-24-10-01/electricity-tariffs/E-1R-AGILE-24-10-01-G/standard-unit-rates/</x:v>
      </x:c>
    </x:row>
    <x:row r="3243" ht="21" customHeight="1">
      <x:c r="A3243" s="24" t="n">
        <x:v>46216.0625</x:v>
      </x:c>
      <x:c r="B3243" s="6" t="n">
        <x:v>0.1784</x:v>
      </x:c>
      <x:c r="C3243" s="6" t="n">
        <x:v>0.10779999999999999</x:v>
      </x:c>
      <x:c r="D3243" s="6" t="n">
        <x:f>B3243</x:f>
        <x:v>0.1784</x:v>
      </x:c>
      <x:c r="E3243" s="1" t="n">
        <x:v>1.05</x:v>
      </x:c>
      <x:c r="F3243" s="1" t="str">
        <x:v>https://api.octopus.energy/v1/products/AGILE-24-10-01/electricity-tariffs/E-1R-AGILE-24-10-01-G/standard-unit-rates/</x:v>
      </x:c>
    </x:row>
    <x:row r="3244" ht="21" customHeight="1">
      <x:c r="A3244" s="24" t="n">
        <x:v>46216.083333333336</x:v>
      </x:c>
      <x:c r="B3244" s="6" t="n">
        <x:v>0.18789999999999998</x:v>
      </x:c>
      <x:c r="C3244" s="6" t="n">
        <x:v>0.11220000000000001</x:v>
      </x:c>
      <x:c r="D3244" s="6" t="n">
        <x:f>B3244</x:f>
        <x:v>0.18789999999999998</x:v>
      </x:c>
      <x:c r="E3244" s="1" t="n">
        <x:v>1.05</x:v>
      </x:c>
      <x:c r="F3244" s="1" t="str">
        <x:v>https://api.octopus.energy/v1/products/AGILE-24-10-01/electricity-tariffs/E-1R-AGILE-24-10-01-G/standard-unit-rates/</x:v>
      </x:c>
    </x:row>
    <x:row r="3245" ht="21" customHeight="1">
      <x:c r="A3245" s="24" t="n">
        <x:v>46216.104166666664</x:v>
      </x:c>
      <x:c r="B3245" s="6" t="n">
        <x:v>0.18420000000000003</x:v>
      </x:c>
      <x:c r="C3245" s="6" t="n">
        <x:v>0.1105</x:v>
      </x:c>
      <x:c r="D3245" s="6" t="n">
        <x:f>B3245</x:f>
        <x:v>0.18420000000000003</x:v>
      </x:c>
      <x:c r="E3245" s="1" t="n">
        <x:v>1.05</x:v>
      </x:c>
      <x:c r="F3245" s="1" t="str">
        <x:v>https://api.octopus.energy/v1/products/AGILE-24-10-01/electricity-tariffs/E-1R-AGILE-24-10-01-G/standard-unit-rates/</x:v>
      </x:c>
    </x:row>
    <x:row r="3246" ht="21" customHeight="1">
      <x:c r="A3246" s="24" t="n">
        <x:v>46216.125</x:v>
      </x:c>
      <x:c r="B3246" s="6" t="n">
        <x:v>0.1891</x:v>
      </x:c>
      <x:c r="C3246" s="6" t="n">
        <x:v>0.1127</x:v>
      </x:c>
      <x:c r="D3246" s="6" t="n">
        <x:f>B3246</x:f>
        <x:v>0.1891</x:v>
      </x:c>
      <x:c r="E3246" s="1" t="n">
        <x:v>1.05</x:v>
      </x:c>
      <x:c r="F3246" s="1" t="str">
        <x:v>https://api.octopus.energy/v1/products/AGILE-24-10-01/electricity-tariffs/E-1R-AGILE-24-10-01-G/standard-unit-rates/</x:v>
      </x:c>
    </x:row>
    <x:row r="3247" ht="21" customHeight="1">
      <x:c r="A3247" s="24" t="n">
        <x:v>46216.145833333336</x:v>
      </x:c>
      <x:c r="B3247" s="6" t="n">
        <x:v>0.1894</x:v>
      </x:c>
      <x:c r="C3247" s="6" t="n">
        <x:v>0.11289999999999999</x:v>
      </x:c>
      <x:c r="D3247" s="6" t="n">
        <x:f>B3247</x:f>
        <x:v>0.1894</x:v>
      </x:c>
      <x:c r="E3247" s="1" t="n">
        <x:v>1.05</x:v>
      </x:c>
      <x:c r="F3247" s="1" t="str">
        <x:v>https://api.octopus.energy/v1/products/AGILE-24-10-01/electricity-tariffs/E-1R-AGILE-24-10-01-G/standard-unit-rates/</x:v>
      </x:c>
    </x:row>
    <x:row r="3248" ht="21" customHeight="1">
      <x:c r="A3248" s="24" t="n">
        <x:v>46216.166666666664</x:v>
      </x:c>
      <x:c r="B3248" s="6" t="n">
        <x:v>0.20309999999999997</x:v>
      </x:c>
      <x:c r="C3248" s="6" t="n">
        <x:v>0.1191</x:v>
      </x:c>
      <x:c r="D3248" s="6" t="n">
        <x:f>B3248</x:f>
        <x:v>0.20309999999999997</x:v>
      </x:c>
      <x:c r="E3248" s="1" t="n">
        <x:v>1.05</x:v>
      </x:c>
      <x:c r="F3248" s="1" t="str">
        <x:v>https://api.octopus.energy/v1/products/AGILE-24-10-01/electricity-tariffs/E-1R-AGILE-24-10-01-G/standard-unit-rates/</x:v>
      </x:c>
    </x:row>
    <x:row r="3249" ht="21" customHeight="1">
      <x:c r="A3249" s="24" t="n">
        <x:v>46216.1875</x:v>
      </x:c>
      <x:c r="B3249" s="6" t="n">
        <x:v>0.1934</x:v>
      </x:c>
      <x:c r="C3249" s="6" t="n">
        <x:v>0.11470000000000001</x:v>
      </x:c>
      <x:c r="D3249" s="6" t="n">
        <x:f>B3249</x:f>
        <x:v>0.1934</x:v>
      </x:c>
      <x:c r="E3249" s="1" t="n">
        <x:v>1.05</x:v>
      </x:c>
      <x:c r="F3249" s="1" t="str">
        <x:v>https://api.octopus.energy/v1/products/AGILE-24-10-01/electricity-tariffs/E-1R-AGILE-24-10-01-G/standard-unit-rates/</x:v>
      </x:c>
    </x:row>
    <x:row r="3250" ht="21" customHeight="1">
      <x:c r="A3250" s="24" t="n">
        <x:v>46216.208333333336</x:v>
      </x:c>
      <x:c r="B3250" s="6" t="n">
        <x:v>0.22699999999999998</x:v>
      </x:c>
      <x:c r="C3250" s="6" t="n">
        <x:v>0.13</x:v>
      </x:c>
      <x:c r="D3250" s="6" t="n">
        <x:f>B3250</x:f>
        <x:v>0.22699999999999998</x:v>
      </x:c>
      <x:c r="E3250" s="1" t="n">
        <x:v>1.05</x:v>
      </x:c>
      <x:c r="F3250" s="1" t="str">
        <x:v>https://api.octopus.energy/v1/products/AGILE-24-10-01/electricity-tariffs/E-1R-AGILE-24-10-01-G/standard-unit-rates/</x:v>
      </x:c>
    </x:row>
    <x:row r="3251" ht="21" customHeight="1">
      <x:c r="A3251" s="24" t="n">
        <x:v>46216.229166666664</x:v>
      </x:c>
      <x:c r="B3251" s="6" t="n">
        <x:v>0.2354</x:v>
      </x:c>
      <x:c r="C3251" s="6" t="n">
        <x:v>0.13390000000000002</x:v>
      </x:c>
      <x:c r="D3251" s="6" t="n">
        <x:f>B3251</x:f>
        <x:v>0.2354</x:v>
      </x:c>
      <x:c r="E3251" s="1" t="n">
        <x:v>1.05</x:v>
      </x:c>
      <x:c r="F3251" s="1" t="str">
        <x:v>https://api.octopus.energy/v1/products/AGILE-24-10-01/electricity-tariffs/E-1R-AGILE-24-10-01-G/standard-unit-rates/</x:v>
      </x:c>
    </x:row>
    <x:row r="3252" ht="21" customHeight="1">
      <x:c r="A3252" s="24" t="n">
        <x:v>46216.25</x:v>
      </x:c>
      <x:c r="B3252" s="6" t="n">
        <x:v>0.2227</x:v>
      </x:c>
      <x:c r="C3252" s="6" t="n">
        <x:v>0.1281</x:v>
      </x:c>
      <x:c r="D3252" s="6" t="n">
        <x:f>B3252</x:f>
        <x:v>0.2227</x:v>
      </x:c>
      <x:c r="E3252" s="1" t="n">
        <x:v>1.05</x:v>
      </x:c>
      <x:c r="F3252" s="1" t="str">
        <x:v>https://api.octopus.energy/v1/products/AGILE-24-10-01/electricity-tariffs/E-1R-AGILE-24-10-01-G/standard-unit-rates/</x:v>
      </x:c>
    </x:row>
    <x:row r="3253" ht="21" customHeight="1">
      <x:c r="A3253" s="24" t="n">
        <x:v>46216.270833333336</x:v>
      </x:c>
      <x:c r="B3253" s="6" t="n">
        <x:v>0.2396</x:v>
      </x:c>
      <x:c r="C3253" s="6" t="n">
        <x:v>0.1358</x:v>
      </x:c>
      <x:c r="D3253" s="6" t="n">
        <x:f>B3253</x:f>
        <x:v>0.2396</x:v>
      </x:c>
      <x:c r="E3253" s="1" t="n">
        <x:v>1.05</x:v>
      </x:c>
      <x:c r="F3253" s="1" t="str">
        <x:v>https://api.octopus.energy/v1/products/AGILE-24-10-01/electricity-tariffs/E-1R-AGILE-24-10-01-G/standard-unit-rates/</x:v>
      </x:c>
    </x:row>
    <x:row r="3254" ht="21" customHeight="1">
      <x:c r="A3254" s="24" t="n">
        <x:v>46216.291666666664</x:v>
      </x:c>
      <x:c r="B3254" s="6" t="n">
        <x:v>0.20809999999999998</x:v>
      </x:c>
      <x:c r="C3254" s="6" t="n">
        <x:v>0.12140000000000001</x:v>
      </x:c>
      <x:c r="D3254" s="6" t="n">
        <x:f>B3254</x:f>
        <x:v>0.20809999999999998</x:v>
      </x:c>
      <x:c r="E3254" s="1" t="n">
        <x:v>1.05</x:v>
      </x:c>
      <x:c r="F3254" s="1" t="str">
        <x:v>https://api.octopus.energy/v1/products/AGILE-24-10-01/electricity-tariffs/E-1R-AGILE-24-10-01-G/standard-unit-rates/</x:v>
      </x:c>
    </x:row>
    <x:row r="3255" ht="21" customHeight="1">
      <x:c r="A3255" s="24" t="n">
        <x:v>46216.3125</x:v>
      </x:c>
      <x:c r="B3255" s="6" t="n">
        <x:v>0.2212</x:v>
      </x:c>
      <x:c r="C3255" s="6" t="n">
        <x:v>0.1274</x:v>
      </x:c>
      <x:c r="D3255" s="6" t="n">
        <x:f>B3255</x:f>
        <x:v>0.2212</x:v>
      </x:c>
      <x:c r="E3255" s="1" t="n">
        <x:v>1.05</x:v>
      </x:c>
      <x:c r="F3255" s="1" t="str">
        <x:v>https://api.octopus.energy/v1/products/AGILE-24-10-01/electricity-tariffs/E-1R-AGILE-24-10-01-G/standard-unit-rates/</x:v>
      </x:c>
    </x:row>
    <x:row r="3256" ht="21" customHeight="1">
      <x:c r="A3256" s="24" t="n">
        <x:v>46216.333333333336</x:v>
      </x:c>
      <x:c r="B3256" s="6" t="n">
        <x:v>0.1882</x:v>
      </x:c>
      <x:c r="C3256" s="6" t="n">
        <x:v>0.11230000000000001</x:v>
      </x:c>
      <x:c r="D3256" s="6" t="n">
        <x:f>B3256</x:f>
        <x:v>0.1882</x:v>
      </x:c>
      <x:c r="E3256" s="1" t="n">
        <x:v>1.05</x:v>
      </x:c>
      <x:c r="F3256" s="1" t="str">
        <x:v>https://api.octopus.energy/v1/products/AGILE-24-10-01/electricity-tariffs/E-1R-AGILE-24-10-01-G/standard-unit-rates/</x:v>
      </x:c>
    </x:row>
    <x:row r="3257" ht="21" customHeight="1">
      <x:c r="A3257" s="24" t="n">
        <x:v>46216.354166666664</x:v>
      </x:c>
      <x:c r="B3257" s="6" t="n">
        <x:v>0.2039</x:v>
      </x:c>
      <x:c r="C3257" s="6" t="n">
        <x:v>0.1195</x:v>
      </x:c>
      <x:c r="D3257" s="6" t="n">
        <x:f>B3257</x:f>
        <x:v>0.2039</x:v>
      </x:c>
      <x:c r="E3257" s="1" t="n">
        <x:v>1.05</x:v>
      </x:c>
      <x:c r="F3257" s="1" t="str">
        <x:v>https://api.octopus.energy/v1/products/AGILE-24-10-01/electricity-tariffs/E-1R-AGILE-24-10-01-G/standard-unit-rates/</x:v>
      </x:c>
    </x:row>
    <x:row r="3258" ht="21" customHeight="1">
      <x:c r="A3258" s="24" t="n">
        <x:v>46216.375</x:v>
      </x:c>
      <x:c r="B3258" s="6" t="n">
        <x:v>0.1959</x:v>
      </x:c>
      <x:c r="C3258" s="6" t="n">
        <x:v>0.1158</x:v>
      </x:c>
      <x:c r="D3258" s="6" t="n">
        <x:f>B3258</x:f>
        <x:v>0.1959</x:v>
      </x:c>
      <x:c r="E3258" s="1" t="n">
        <x:v>1.05</x:v>
      </x:c>
      <x:c r="F3258" s="1" t="str">
        <x:v>https://api.octopus.energy/v1/products/AGILE-24-10-01/electricity-tariffs/E-1R-AGILE-24-10-01-G/standard-unit-rates/</x:v>
      </x:c>
    </x:row>
    <x:row r="3259" ht="21" customHeight="1">
      <x:c r="A3259" s="24" t="n">
        <x:v>46216.395833333336</x:v>
      </x:c>
      <x:c r="B3259" s="6" t="n">
        <x:v>0.1707</x:v>
      </x:c>
      <x:c r="C3259" s="6" t="n">
        <x:v>0.1043</x:v>
      </x:c>
      <x:c r="D3259" s="6" t="n">
        <x:f>B3259</x:f>
        <x:v>0.1707</x:v>
      </x:c>
      <x:c r="E3259" s="1" t="n">
        <x:v>1.05</x:v>
      </x:c>
      <x:c r="F3259" s="1" t="str">
        <x:v>https://api.octopus.energy/v1/products/AGILE-24-10-01/electricity-tariffs/E-1R-AGILE-24-10-01-G/standard-unit-rates/</x:v>
      </x:c>
    </x:row>
    <x:row r="3260" ht="21" customHeight="1">
      <x:c r="A3260" s="24" t="n">
        <x:v>46216.416666666664</x:v>
      </x:c>
      <x:c r="B3260" s="6" t="n">
        <x:v>0.17739999999999997</x:v>
      </x:c>
      <x:c r="C3260" s="6" t="n">
        <x:v>0.1074</x:v>
      </x:c>
      <x:c r="D3260" s="6" t="n">
        <x:f>B3260</x:f>
        <x:v>0.17739999999999997</x:v>
      </x:c>
      <x:c r="E3260" s="1" t="n">
        <x:v>1.05</x:v>
      </x:c>
      <x:c r="F3260" s="1" t="str">
        <x:v>https://api.octopus.energy/v1/products/AGILE-24-10-01/electricity-tariffs/E-1R-AGILE-24-10-01-G/standard-unit-rates/</x:v>
      </x:c>
    </x:row>
    <x:row r="3261" ht="21" customHeight="1">
      <x:c r="A3261" s="24" t="n">
        <x:v>46216.4375</x:v>
      </x:c>
      <x:c r="B3261" s="6" t="n">
        <x:v>0.15789999999999998</x:v>
      </x:c>
      <x:c r="C3261" s="6" t="n">
        <x:v>0.09849999999999999</x:v>
      </x:c>
      <x:c r="D3261" s="6" t="n">
        <x:f>B3261</x:f>
        <x:v>0.15789999999999998</x:v>
      </x:c>
      <x:c r="E3261" s="1" t="n">
        <x:v>1.05</x:v>
      </x:c>
      <x:c r="F3261" s="1" t="str">
        <x:v>https://api.octopus.energy/v1/products/AGILE-24-10-01/electricity-tariffs/E-1R-AGILE-24-10-01-G/standard-unit-rates/</x:v>
      </x:c>
    </x:row>
    <x:row r="3262" ht="21" customHeight="1">
      <x:c r="A3262" s="24" t="n">
        <x:v>46216.458333333336</x:v>
      </x:c>
      <x:c r="B3262" s="6" t="n">
        <x:v>0.1354</x:v>
      </x:c>
      <x:c r="C3262" s="6" t="n">
        <x:v>0.0882</x:v>
      </x:c>
      <x:c r="D3262" s="6" t="n">
        <x:f>B3262</x:f>
        <x:v>0.1354</x:v>
      </x:c>
      <x:c r="E3262" s="1" t="n">
        <x:v>1.05</x:v>
      </x:c>
      <x:c r="F3262" s="1" t="str">
        <x:v>https://api.octopus.energy/v1/products/AGILE-24-10-01/electricity-tariffs/E-1R-AGILE-24-10-01-G/standard-unit-rates/</x:v>
      </x:c>
    </x:row>
    <x:row r="3263" ht="21" customHeight="1">
      <x:c r="A3263" s="24" t="n">
        <x:v>46216.479166666664</x:v>
      </x:c>
      <x:c r="B3263" s="6" t="n">
        <x:v>0.1317</x:v>
      </x:c>
      <x:c r="C3263" s="6" t="n">
        <x:v>0.08650000000000001</x:v>
      </x:c>
      <x:c r="D3263" s="6" t="n">
        <x:f>B3263</x:f>
        <x:v>0.1317</x:v>
      </x:c>
      <x:c r="E3263" s="1" t="n">
        <x:v>1.05</x:v>
      </x:c>
      <x:c r="F3263" s="1" t="str">
        <x:v>https://api.octopus.energy/v1/products/AGILE-24-10-01/electricity-tariffs/E-1R-AGILE-24-10-01-G/standard-unit-rates/</x:v>
      </x:c>
    </x:row>
    <x:row r="3264" ht="21" customHeight="1">
      <x:c r="A3264" s="24" t="n">
        <x:v>46216.5</x:v>
      </x:c>
      <x:c r="B3264" s="6" t="n">
        <x:v>0.13019999999999998</x:v>
      </x:c>
      <x:c r="C3264" s="6" t="n">
        <x:v>0.0858</x:v>
      </x:c>
      <x:c r="D3264" s="6" t="n">
        <x:f>B3264</x:f>
        <x:v>0.13019999999999998</x:v>
      </x:c>
      <x:c r="E3264" s="1" t="n">
        <x:v>1.05</x:v>
      </x:c>
      <x:c r="F3264" s="1" t="str">
        <x:v>https://api.octopus.energy/v1/products/AGILE-24-10-01/electricity-tariffs/E-1R-AGILE-24-10-01-G/standard-unit-rates/</x:v>
      </x:c>
    </x:row>
    <x:row r="3265" ht="21" customHeight="1">
      <x:c r="A3265" s="24" t="n">
        <x:v>46216.520833333336</x:v>
      </x:c>
      <x:c r="B3265" s="6" t="n">
        <x:v>0.1321</x:v>
      </x:c>
      <x:c r="C3265" s="6" t="n">
        <x:v>0.0866</x:v>
      </x:c>
      <x:c r="D3265" s="6" t="n">
        <x:f>B3265</x:f>
        <x:v>0.1321</x:v>
      </x:c>
      <x:c r="E3265" s="1" t="n">
        <x:v>1.05</x:v>
      </x:c>
      <x:c r="F3265" s="1" t="str">
        <x:v>https://api.octopus.energy/v1/products/AGILE-24-10-01/electricity-tariffs/E-1R-AGILE-24-10-01-G/standard-unit-rates/</x:v>
      </x:c>
    </x:row>
    <x:row r="3266" ht="21" customHeight="1">
      <x:c r="A3266" s="24" t="n">
        <x:v>46216.541666666664</x:v>
      </x:c>
      <x:c r="B3266" s="6" t="n">
        <x:v>0.12689999999999999</x:v>
      </x:c>
      <x:c r="C3266" s="6" t="n">
        <x:v>0.0843</x:v>
      </x:c>
      <x:c r="D3266" s="6" t="n">
        <x:f>B3266</x:f>
        <x:v>0.12689999999999999</x:v>
      </x:c>
      <x:c r="E3266" s="1" t="n">
        <x:v>1.05</x:v>
      </x:c>
      <x:c r="F3266" s="1" t="str">
        <x:v>https://api.octopus.energy/v1/products/AGILE-24-10-01/electricity-tariffs/E-1R-AGILE-24-10-01-G/standard-unit-rates/</x:v>
      </x:c>
    </x:row>
    <x:row r="3267" ht="21" customHeight="1">
      <x:c r="A3267" s="24" t="n">
        <x:v>46216.5625</x:v>
      </x:c>
      <x:c r="B3267" s="6" t="n">
        <x:v>0.1281</x:v>
      </x:c>
      <x:c r="C3267" s="6" t="n">
        <x:v>0.0848</x:v>
      </x:c>
      <x:c r="D3267" s="6" t="n">
        <x:f>B3267</x:f>
        <x:v>0.1281</x:v>
      </x:c>
      <x:c r="E3267" s="1" t="n">
        <x:v>1.05</x:v>
      </x:c>
      <x:c r="F3267" s="1" t="str">
        <x:v>https://api.octopus.energy/v1/products/AGILE-24-10-01/electricity-tariffs/E-1R-AGILE-24-10-01-G/standard-unit-rates/</x:v>
      </x:c>
    </x:row>
    <x:row r="3268" ht="21" customHeight="1">
      <x:c r="A3268" s="24" t="n">
        <x:v>46216.583333333336</x:v>
      </x:c>
      <x:c r="B3268" s="6" t="n">
        <x:v>0.1367</x:v>
      </x:c>
      <x:c r="C3268" s="6" t="n">
        <x:v>0.0888</x:v>
      </x:c>
      <x:c r="D3268" s="6" t="n">
        <x:f>B3268</x:f>
        <x:v>0.1367</x:v>
      </x:c>
      <x:c r="E3268" s="1" t="n">
        <x:v>1.05</x:v>
      </x:c>
      <x:c r="F3268" s="1" t="str">
        <x:v>https://api.octopus.energy/v1/products/AGILE-24-10-01/electricity-tariffs/E-1R-AGILE-24-10-01-G/standard-unit-rates/</x:v>
      </x:c>
    </x:row>
    <x:row r="3269" ht="21" customHeight="1">
      <x:c r="A3269" s="24" t="n">
        <x:v>46216.604166666664</x:v>
      </x:c>
      <x:c r="B3269" s="6" t="n">
        <x:v>0.12869999999999998</x:v>
      </x:c>
      <x:c r="C3269" s="6" t="n">
        <x:v>0.0851</x:v>
      </x:c>
      <x:c r="D3269" s="6" t="n">
        <x:f>B3269</x:f>
        <x:v>0.12869999999999998</x:v>
      </x:c>
      <x:c r="E3269" s="1" t="n">
        <x:v>1.05</x:v>
      </x:c>
      <x:c r="F3269" s="1" t="str">
        <x:v>https://api.octopus.energy/v1/products/AGILE-24-10-01/electricity-tariffs/E-1R-AGILE-24-10-01-G/standard-unit-rates/</x:v>
      </x:c>
    </x:row>
    <x:row r="3270" ht="21" customHeight="1">
      <x:c r="A3270" s="24" t="n">
        <x:v>46216.625</x:v>
      </x:c>
      <x:c r="B3270" s="6" t="n">
        <x:v>0.1388</x:v>
      </x:c>
      <x:c r="C3270" s="6" t="n">
        <x:v>0.0897</x:v>
      </x:c>
      <x:c r="D3270" s="6" t="n">
        <x:f>B3270</x:f>
        <x:v>0.1388</x:v>
      </x:c>
      <x:c r="E3270" s="1" t="n">
        <x:v>1.05</x:v>
      </x:c>
      <x:c r="F3270" s="1" t="str">
        <x:v>https://api.octopus.energy/v1/products/AGILE-24-10-01/electricity-tariffs/E-1R-AGILE-24-10-01-G/standard-unit-rates/</x:v>
      </x:c>
    </x:row>
    <x:row r="3271" ht="21" customHeight="1">
      <x:c r="A3271" s="24" t="n">
        <x:v>46216.645833333336</x:v>
      </x:c>
      <x:c r="B3271" s="6" t="n">
        <x:v>0.1388</x:v>
      </x:c>
      <x:c r="C3271" s="6" t="n">
        <x:v>0.0897</x:v>
      </x:c>
      <x:c r="D3271" s="6" t="n">
        <x:f>B3271</x:f>
        <x:v>0.1388</x:v>
      </x:c>
      <x:c r="E3271" s="1" t="n">
        <x:v>1.05</x:v>
      </x:c>
      <x:c r="F3271" s="1" t="str">
        <x:v>https://api.octopus.energy/v1/products/AGILE-24-10-01/electricity-tariffs/E-1R-AGILE-24-10-01-G/standard-unit-rates/</x:v>
      </x:c>
    </x:row>
    <x:row r="3272" ht="21" customHeight="1">
      <x:c r="A3272" s="24" t="n">
        <x:v>46216.666666666664</x:v>
      </x:c>
      <x:c r="B3272" s="6" t="n">
        <x:v>0.2945</x:v>
      </x:c>
      <x:c r="C3272" s="6" t="n">
        <x:v>0.1649</x:v>
      </x:c>
      <x:c r="D3272" s="6" t="n">
        <x:f>B3272</x:f>
        <x:v>0.2945</x:v>
      </x:c>
      <x:c r="E3272" s="1" t="n">
        <x:v>1.05</x:v>
      </x:c>
      <x:c r="F3272" s="1" t="str">
        <x:v>https://api.octopus.energy/v1/products/AGILE-24-10-01/electricity-tariffs/E-1R-AGILE-24-10-01-G/standard-unit-rates/</x:v>
      </x:c>
    </x:row>
    <x:row r="3273" ht="21" customHeight="1">
      <x:c r="A3273" s="24" t="n">
        <x:v>46216.6875</x:v>
      </x:c>
      <x:c r="B3273" s="6" t="n">
        <x:v>0.27690000000000003</x:v>
      </x:c>
      <x:c r="C3273" s="6" t="n">
        <x:v>0.15689999999999998</x:v>
      </x:c>
      <x:c r="D3273" s="6" t="n">
        <x:f>B3273</x:f>
        <x:v>0.27690000000000003</x:v>
      </x:c>
      <x:c r="E3273" s="1" t="n">
        <x:v>1.05</x:v>
      </x:c>
      <x:c r="F3273" s="1" t="str">
        <x:v>https://api.octopus.energy/v1/products/AGILE-24-10-01/electricity-tariffs/E-1R-AGILE-24-10-01-G/standard-unit-rates/</x:v>
      </x:c>
    </x:row>
    <x:row r="3274" ht="21" customHeight="1">
      <x:c r="A3274" s="24" t="n">
        <x:v>46216.708333333336</x:v>
      </x:c>
      <x:c r="B3274" s="6" t="n">
        <x:v>0.3175</x:v>
      </x:c>
      <x:c r="C3274" s="6" t="n">
        <x:v>0.17550000000000002</x:v>
      </x:c>
      <x:c r="D3274" s="6" t="n">
        <x:f>B3274</x:f>
        <x:v>0.3175</x:v>
      </x:c>
      <x:c r="E3274" s="1" t="n">
        <x:v>1.05</x:v>
      </x:c>
      <x:c r="F3274" s="1" t="str">
        <x:v>https://api.octopus.energy/v1/products/AGILE-24-10-01/electricity-tariffs/E-1R-AGILE-24-10-01-G/standard-unit-rates/</x:v>
      </x:c>
    </x:row>
    <x:row r="3275" ht="21" customHeight="1">
      <x:c r="A3275" s="24" t="n">
        <x:v>46216.729166666664</x:v>
      </x:c>
      <x:c r="B3275" s="6" t="n">
        <x:v>0.3249</x:v>
      </x:c>
      <x:c r="C3275" s="6" t="n">
        <x:v>0.1788</x:v>
      </x:c>
      <x:c r="D3275" s="6" t="n">
        <x:f>B3275</x:f>
        <x:v>0.3249</x:v>
      </x:c>
      <x:c r="E3275" s="1" t="n">
        <x:v>1.05</x:v>
      </x:c>
      <x:c r="F3275" s="1" t="str">
        <x:v>https://api.octopus.energy/v1/products/AGILE-24-10-01/electricity-tariffs/E-1R-AGILE-24-10-01-G/standard-unit-rates/</x:v>
      </x:c>
    </x:row>
    <x:row r="3276" ht="21" customHeight="1">
      <x:c r="A3276" s="24" t="n">
        <x:v>46216.75</x:v>
      </x:c>
      <x:c r="B3276" s="6" t="n">
        <x:v>0.34240000000000004</x:v>
      </x:c>
      <x:c r="C3276" s="6" t="n">
        <x:v>0.1868</x:v>
      </x:c>
      <x:c r="D3276" s="6" t="n">
        <x:f>B3276</x:f>
        <x:v>0.34240000000000004</x:v>
      </x:c>
      <x:c r="E3276" s="1" t="n">
        <x:v>1.05</x:v>
      </x:c>
      <x:c r="F3276" s="1" t="str">
        <x:v>https://api.octopus.energy/v1/products/AGILE-24-10-01/electricity-tariffs/E-1R-AGILE-24-10-01-G/standard-unit-rates/</x:v>
      </x:c>
    </x:row>
    <x:row r="3277" ht="21" customHeight="1">
      <x:c r="A3277" s="24" t="n">
        <x:v>46216.770833333336</x:v>
      </x:c>
      <x:c r="B3277" s="6" t="n">
        <x:v>0.3532</x:v>
      </x:c>
      <x:c r="C3277" s="6" t="n">
        <x:v>0.1918</x:v>
      </x:c>
      <x:c r="D3277" s="6" t="n">
        <x:f>B3277</x:f>
        <x:v>0.3532</x:v>
      </x:c>
      <x:c r="E3277" s="1" t="n">
        <x:v>1.05</x:v>
      </x:c>
      <x:c r="F3277" s="1" t="str">
        <x:v>https://api.octopus.energy/v1/products/AGILE-24-10-01/electricity-tariffs/E-1R-AGILE-24-10-01-G/standard-unit-rates/</x:v>
      </x:c>
    </x:row>
    <x:row r="3278" ht="21" customHeight="1">
      <x:c r="A3278" s="24" t="n">
        <x:v>46216.791666666664</x:v>
      </x:c>
      <x:c r="B3278" s="6" t="n">
        <x:v>0.2632</x:v>
      </x:c>
      <x:c r="C3278" s="6" t="n">
        <x:v>0.1466</x:v>
      </x:c>
      <x:c r="D3278" s="6" t="n">
        <x:f>B3278</x:f>
        <x:v>0.2632</x:v>
      </x:c>
      <x:c r="E3278" s="1" t="n">
        <x:v>1.05</x:v>
      </x:c>
      <x:c r="F3278" s="1" t="str">
        <x:v>https://api.octopus.energy/v1/products/AGILE-24-10-01/electricity-tariffs/E-1R-AGILE-24-10-01-G/standard-unit-rates/</x:v>
      </x:c>
    </x:row>
    <x:row r="3279" ht="21" customHeight="1">
      <x:c r="A3279" s="24" t="n">
        <x:v>46216.8125</x:v>
      </x:c>
      <x:c r="B3279" s="6" t="n">
        <x:v>0.2657</x:v>
      </x:c>
      <x:c r="C3279" s="6" t="n">
        <x:v>0.1477</x:v>
      </x:c>
      <x:c r="D3279" s="6" t="n">
        <x:f>B3279</x:f>
        <x:v>0.2657</x:v>
      </x:c>
      <x:c r="E3279" s="1" t="n">
        <x:v>1.05</x:v>
      </x:c>
      <x:c r="F3279" s="1" t="str">
        <x:v>https://api.octopus.energy/v1/products/AGILE-24-10-01/electricity-tariffs/E-1R-AGILE-24-10-01-G/standard-unit-rates/</x:v>
      </x:c>
    </x:row>
    <x:row r="3280" ht="21" customHeight="1">
      <x:c r="A3280" s="24" t="n">
        <x:v>46216.833333333336</x:v>
      </x:c>
      <x:c r="B3280" s="6" t="n">
        <x:v>0.275</x:v>
      </x:c>
      <x:c r="C3280" s="6" t="n">
        <x:v>0.152</x:v>
      </x:c>
      <x:c r="D3280" s="6" t="n">
        <x:f>B3280</x:f>
        <x:v>0.275</x:v>
      </x:c>
      <x:c r="E3280" s="1" t="n">
        <x:v>1.05</x:v>
      </x:c>
      <x:c r="F3280" s="1" t="str">
        <x:v>https://api.octopus.energy/v1/products/AGILE-24-10-01/electricity-tariffs/E-1R-AGILE-24-10-01-G/standard-unit-rates/</x:v>
      </x:c>
    </x:row>
    <x:row r="3281" ht="21" customHeight="1">
      <x:c r="A3281" s="24" t="n">
        <x:v>46216.854166666664</x:v>
      </x:c>
      <x:c r="B3281" s="6" t="n">
        <x:v>0.26899999999999996</x:v>
      </x:c>
      <x:c r="C3281" s="6" t="n">
        <x:v>0.1492</x:v>
      </x:c>
      <x:c r="D3281" s="6" t="n">
        <x:f>B3281</x:f>
        <x:v>0.26899999999999996</x:v>
      </x:c>
      <x:c r="E3281" s="1" t="n">
        <x:v>1.05</x:v>
      </x:c>
      <x:c r="F3281" s="1" t="str">
        <x:v>https://api.octopus.energy/v1/products/AGILE-24-10-01/electricity-tariffs/E-1R-AGILE-24-10-01-G/standard-unit-rates/</x:v>
      </x:c>
    </x:row>
    <x:row r="3282" ht="21" customHeight="1">
      <x:c r="A3282" s="24" t="n">
        <x:v>46216.875</x:v>
      </x:c>
      <x:c r="B3282" s="6" t="n">
        <x:v>0.2713</x:v>
      </x:c>
      <x:c r="C3282" s="6" t="n">
        <x:v>0.1503</x:v>
      </x:c>
      <x:c r="D3282" s="6" t="n">
        <x:f>B3282</x:f>
        <x:v>0.2713</x:v>
      </x:c>
      <x:c r="E3282" s="1" t="n">
        <x:v>1.05</x:v>
      </x:c>
      <x:c r="F3282" s="1" t="str">
        <x:v>https://api.octopus.energy/v1/products/AGILE-24-10-01/electricity-tariffs/E-1R-AGILE-24-10-01-G/standard-unit-rates/</x:v>
      </x:c>
    </x:row>
    <x:row r="3283" ht="21" customHeight="1">
      <x:c r="A3283" s="24" t="n">
        <x:v>46216.895833333336</x:v>
      </x:c>
      <x:c r="B3283" s="6" t="n">
        <x:v>0.2606</x:v>
      </x:c>
      <x:c r="C3283" s="6" t="n">
        <x:v>0.1454</x:v>
      </x:c>
      <x:c r="D3283" s="6" t="n">
        <x:f>B3283</x:f>
        <x:v>0.2606</x:v>
      </x:c>
      <x:c r="E3283" s="1" t="n">
        <x:v>1.05</x:v>
      </x:c>
      <x:c r="F3283" s="1" t="str">
        <x:v>https://api.octopus.energy/v1/products/AGILE-24-10-01/electricity-tariffs/E-1R-AGILE-24-10-01-G/standard-unit-rates/</x:v>
      </x:c>
    </x:row>
    <x:row r="3284" ht="21" customHeight="1">
      <x:c r="A3284" s="24" t="n">
        <x:v>46216.916666666664</x:v>
      </x:c>
      <x:c r="B3284" s="6" t="n">
        <x:v>0.2396</x:v>
      </x:c>
      <x:c r="C3284" s="6" t="n">
        <x:v>0.1358</x:v>
      </x:c>
      <x:c r="D3284" s="6" t="n">
        <x:f>B3284</x:f>
        <x:v>0.2396</x:v>
      </x:c>
      <x:c r="E3284" s="1" t="n">
        <x:v>1.05</x:v>
      </x:c>
      <x:c r="F3284" s="1" t="str">
        <x:v>https://api.octopus.energy/v1/products/AGILE-24-10-01/electricity-tariffs/E-1R-AGILE-24-10-01-G/standard-unit-rates/</x:v>
      </x:c>
    </x:row>
    <x:row r="3285" ht="21" customHeight="1">
      <x:c r="A3285" s="24" t="n">
        <x:v>46216.9375</x:v>
      </x:c>
      <x:c r="B3285" s="6" t="n">
        <x:v>0.2306</x:v>
      </x:c>
      <x:c r="C3285" s="6" t="n">
        <x:v>0.1317</x:v>
      </x:c>
      <x:c r="D3285" s="6" t="n">
        <x:f>B3285</x:f>
        <x:v>0.2306</x:v>
      </x:c>
      <x:c r="E3285" s="1" t="n">
        <x:v>1.05</x:v>
      </x:c>
      <x:c r="F3285" s="1" t="str">
        <x:v>https://api.octopus.energy/v1/products/AGILE-24-10-01/electricity-tariffs/E-1R-AGILE-24-10-01-G/standard-unit-rates/</x:v>
      </x:c>
    </x:row>
    <x:row r="3286" ht="21" customHeight="1">
      <x:c r="A3286" s="24" t="n">
        <x:v>46217</x:v>
      </x:c>
      <x:c r="B3286" s="6" t="n">
        <x:v>0.23079999999999998</x:v>
      </x:c>
      <x:c r="C3286" s="6" t="n">
        <x:v>0.1318</x:v>
      </x:c>
      <x:c r="D3286" s="6" t="n">
        <x:f>B3286</x:f>
        <x:v>0.23079999999999998</x:v>
      </x:c>
      <x:c r="E3286" s="1" t="n">
        <x:v>1.05</x:v>
      </x:c>
      <x:c r="F3286" s="1" t="str">
        <x:v>https://api.octopus.energy/v1/products/AGILE-24-10-01/electricity-tariffs/E-1R-AGILE-24-10-01-G/standard-unit-rates/</x:v>
      </x:c>
    </x:row>
    <x:row r="3287" ht="21" customHeight="1">
      <x:c r="A3287" s="24" t="n">
        <x:v>46216.979166666664</x:v>
      </x:c>
      <x:c r="B3287" s="6" t="n">
        <x:v>0.2193</x:v>
      </x:c>
      <x:c r="C3287" s="6" t="n">
        <x:v>0.1265</x:v>
      </x:c>
      <x:c r="D3287" s="6" t="n">
        <x:f>B3287</x:f>
        <x:v>0.2193</x:v>
      </x:c>
      <x:c r="E3287" s="1" t="n">
        <x:v>1.05</x:v>
      </x:c>
      <x:c r="F3287" s="1" t="str">
        <x:v>https://api.octopus.energy/v1/products/AGILE-24-10-01/electricity-tariffs/E-1R-AGILE-24-10-01-G/standard-unit-rates/</x:v>
      </x:c>
    </x:row>
    <x:row r="3288" ht="21" customHeight="1">
      <x:c r="A3288" s="24" t="n">
        <x:v>46217</x:v>
      </x:c>
      <x:c r="B3288" s="6" t="n">
        <x:v>0.21030000000000001</x:v>
      </x:c>
      <x:c r="C3288" s="6" t="n">
        <x:v>0.12240000000000001</x:v>
      </x:c>
      <x:c r="D3288" s="6" t="n">
        <x:f>B3288</x:f>
        <x:v>0.21030000000000001</x:v>
      </x:c>
      <x:c r="E3288" s="1" t="n">
        <x:v>1.05</x:v>
      </x:c>
      <x:c r="F3288" s="1" t="str">
        <x:v>https://api.octopus.energy/v1/products/AGILE-24-10-01/electricity-tariffs/E-1R-AGILE-24-10-01-G/standard-unit-rates/</x:v>
      </x:c>
    </x:row>
    <x:row r="3289" ht="21" customHeight="1">
      <x:c r="A3289" s="24" t="n">
        <x:v>46217.020833333336</x:v>
      </x:c>
      <x:c r="B3289" s="6" t="n">
        <x:v>0.2097</x:v>
      </x:c>
      <x:c r="C3289" s="6" t="n">
        <x:v>0.12210000000000001</x:v>
      </x:c>
      <x:c r="D3289" s="6" t="n">
        <x:f>B3289</x:f>
        <x:v>0.2097</x:v>
      </x:c>
      <x:c r="E3289" s="1" t="n">
        <x:v>1.05</x:v>
      </x:c>
      <x:c r="F3289" s="1" t="str">
        <x:v>https://api.octopus.energy/v1/products/AGILE-24-10-01/electricity-tariffs/E-1R-AGILE-24-10-01-G/standard-unit-rates/</x:v>
      </x:c>
    </x:row>
    <x:row r="3290" ht="21" customHeight="1">
      <x:c r="A3290" s="24" t="n">
        <x:v>46217.041666666664</x:v>
      </x:c>
      <x:c r="B3290" s="6" t="n">
        <x:v>0.1999</x:v>
      </x:c>
      <x:c r="C3290" s="6" t="n">
        <x:v>0.1177</x:v>
      </x:c>
      <x:c r="D3290" s="6" t="n">
        <x:f>B3290</x:f>
        <x:v>0.1999</x:v>
      </x:c>
      <x:c r="E3290" s="1" t="n">
        <x:v>1.05</x:v>
      </x:c>
      <x:c r="F3290" s="1" t="str">
        <x:v>https://api.octopus.energy/v1/products/AGILE-24-10-01/electricity-tariffs/E-1R-AGILE-24-10-01-G/standard-unit-rates/</x:v>
      </x:c>
    </x:row>
    <x:row r="3291" ht="21" customHeight="1">
      <x:c r="A3291" s="24" t="n">
        <x:v>46217.0625</x:v>
      </x:c>
      <x:c r="B3291" s="6" t="n">
        <x:v>0.198</x:v>
      </x:c>
      <x:c r="C3291" s="6" t="n">
        <x:v>0.1168</x:v>
      </x:c>
      <x:c r="D3291" s="6" t="n">
        <x:f>B3291</x:f>
        <x:v>0.198</x:v>
      </x:c>
      <x:c r="E3291" s="1" t="n">
        <x:v>1.05</x:v>
      </x:c>
      <x:c r="F3291" s="1" t="str">
        <x:v>https://api.octopus.energy/v1/products/AGILE-24-10-01/electricity-tariffs/E-1R-AGILE-24-10-01-G/standard-unit-rates/</x:v>
      </x:c>
    </x:row>
    <x:row r="3292" ht="21" customHeight="1">
      <x:c r="A3292" s="24" t="n">
        <x:v>46217.083333333336</x:v>
      </x:c>
      <x:c r="B3292" s="6" t="n">
        <x:v>0.1972</x:v>
      </x:c>
      <x:c r="C3292" s="6" t="n">
        <x:v>0.1164</x:v>
      </x:c>
      <x:c r="D3292" s="6" t="n">
        <x:f>B3292</x:f>
        <x:v>0.1972</x:v>
      </x:c>
      <x:c r="E3292" s="1" t="n">
        <x:v>1.05</x:v>
      </x:c>
      <x:c r="F3292" s="1" t="str">
        <x:v>https://api.octopus.energy/v1/products/AGILE-24-10-01/electricity-tariffs/E-1R-AGILE-24-10-01-G/standard-unit-rates/</x:v>
      </x:c>
    </x:row>
    <x:row r="3293" ht="21" customHeight="1">
      <x:c r="A3293" s="24" t="n">
        <x:v>46217.104166666664</x:v>
      </x:c>
      <x:c r="B3293" s="6" t="n">
        <x:v>0.1917</x:v>
      </x:c>
      <x:c r="C3293" s="6" t="n">
        <x:v>0.1139</x:v>
      </x:c>
      <x:c r="D3293" s="6" t="n">
        <x:f>B3293</x:f>
        <x:v>0.1917</x:v>
      </x:c>
      <x:c r="E3293" s="1" t="n">
        <x:v>1.05</x:v>
      </x:c>
      <x:c r="F3293" s="1" t="str">
        <x:v>https://api.octopus.energy/v1/products/AGILE-24-10-01/electricity-tariffs/E-1R-AGILE-24-10-01-G/standard-unit-rates/</x:v>
      </x:c>
    </x:row>
    <x:row r="3294" ht="21" customHeight="1">
      <x:c r="A3294" s="24" t="n">
        <x:v>46217.125</x:v>
      </x:c>
      <x:c r="B3294" s="6" t="n">
        <x:v>0.1852</x:v>
      </x:c>
      <x:c r="C3294" s="6" t="n">
        <x:v>0.1109</x:v>
      </x:c>
      <x:c r="D3294" s="6" t="n">
        <x:f>B3294</x:f>
        <x:v>0.1852</x:v>
      </x:c>
      <x:c r="E3294" s="1" t="n">
        <x:v>1.05</x:v>
      </x:c>
      <x:c r="F3294" s="1" t="str">
        <x:v>https://api.octopus.energy/v1/products/AGILE-24-10-01/electricity-tariffs/E-1R-AGILE-24-10-01-G/standard-unit-rates/</x:v>
      </x:c>
    </x:row>
    <x:row r="3295" ht="21" customHeight="1">
      <x:c r="A3295" s="24" t="n">
        <x:v>46217.145833333336</x:v>
      </x:c>
      <x:c r="B3295" s="6" t="n">
        <x:v>0.1827</x:v>
      </x:c>
      <x:c r="C3295" s="6" t="n">
        <x:v>0.10980000000000001</x:v>
      </x:c>
      <x:c r="D3295" s="6" t="n">
        <x:f>B3295</x:f>
        <x:v>0.1827</x:v>
      </x:c>
      <x:c r="E3295" s="1" t="n">
        <x:v>1.05</x:v>
      </x:c>
      <x:c r="F3295" s="1" t="str">
        <x:v>https://api.octopus.energy/v1/products/AGILE-24-10-01/electricity-tariffs/E-1R-AGILE-24-10-01-G/standard-unit-rates/</x:v>
      </x:c>
    </x:row>
    <x:row r="3296" ht="21" customHeight="1">
      <x:c r="A3296" s="24" t="n">
        <x:v>46217.166666666664</x:v>
      </x:c>
      <x:c r="B3296" s="6" t="n">
        <x:v>0.1978</x:v>
      </x:c>
      <x:c r="C3296" s="6" t="n">
        <x:v>0.1167</x:v>
      </x:c>
      <x:c r="D3296" s="6" t="n">
        <x:f>B3296</x:f>
        <x:v>0.1978</x:v>
      </x:c>
      <x:c r="E3296" s="1" t="n">
        <x:v>1.05</x:v>
      </x:c>
      <x:c r="F3296" s="1" t="str">
        <x:v>https://api.octopus.energy/v1/products/AGILE-24-10-01/electricity-tariffs/E-1R-AGILE-24-10-01-G/standard-unit-rates/</x:v>
      </x:c>
    </x:row>
    <x:row r="3297" ht="21" customHeight="1">
      <x:c r="A3297" s="24" t="n">
        <x:v>46217.1875</x:v>
      </x:c>
      <x:c r="B3297" s="6" t="n">
        <x:v>0.1972</x:v>
      </x:c>
      <x:c r="C3297" s="6" t="n">
        <x:v>0.1164</x:v>
      </x:c>
      <x:c r="D3297" s="6" t="n">
        <x:f>B3297</x:f>
        <x:v>0.1972</x:v>
      </x:c>
      <x:c r="E3297" s="1" t="n">
        <x:v>1.05</x:v>
      </x:c>
      <x:c r="F3297" s="1" t="str">
        <x:v>https://api.octopus.energy/v1/products/AGILE-24-10-01/electricity-tariffs/E-1R-AGILE-24-10-01-G/standard-unit-rates/</x:v>
      </x:c>
    </x:row>
    <x:row r="3298" ht="21" customHeight="1">
      <x:c r="A3298" s="24" t="n">
        <x:v>46217.208333333336</x:v>
      </x:c>
      <x:c r="B3298" s="6" t="n">
        <x:v>0.19949999999999998</x:v>
      </x:c>
      <x:c r="C3298" s="6" t="n">
        <x:v>0.1175</x:v>
      </x:c>
      <x:c r="D3298" s="6" t="n">
        <x:f>B3298</x:f>
        <x:v>0.19949999999999998</x:v>
      </x:c>
      <x:c r="E3298" s="1" t="n">
        <x:v>1.05</x:v>
      </x:c>
      <x:c r="F3298" s="1" t="str">
        <x:v>https://api.octopus.energy/v1/products/AGILE-24-10-01/electricity-tariffs/E-1R-AGILE-24-10-01-G/standard-unit-rates/</x:v>
      </x:c>
    </x:row>
    <x:row r="3299" ht="21" customHeight="1">
      <x:c r="A3299" s="24" t="n">
        <x:v>46217.229166666664</x:v>
      </x:c>
      <x:c r="B3299" s="6" t="n">
        <x:v>0.20489999999999997</x:v>
      </x:c>
      <x:c r="C3299" s="6" t="n">
        <x:v>0.1199</x:v>
      </x:c>
      <x:c r="D3299" s="6" t="n">
        <x:f>B3299</x:f>
        <x:v>0.20489999999999997</x:v>
      </x:c>
      <x:c r="E3299" s="1" t="n">
        <x:v>1.05</x:v>
      </x:c>
      <x:c r="F3299" s="1" t="str">
        <x:v>https://api.octopus.energy/v1/products/AGILE-24-10-01/electricity-tariffs/E-1R-AGILE-24-10-01-G/standard-unit-rates/</x:v>
      </x:c>
    </x:row>
    <x:row r="3300" ht="21" customHeight="1">
      <x:c r="A3300" s="24" t="n">
        <x:v>46217.25</x:v>
      </x:c>
      <x:c r="B3300" s="6" t="n">
        <x:v>0.20679999999999998</x:v>
      </x:c>
      <x:c r="C3300" s="6" t="n">
        <x:v>0.1208</x:v>
      </x:c>
      <x:c r="D3300" s="6" t="n">
        <x:f>B3300</x:f>
        <x:v>0.20679999999999998</x:v>
      </x:c>
      <x:c r="E3300" s="1" t="n">
        <x:v>1.05</x:v>
      </x:c>
      <x:c r="F3300" s="1" t="str">
        <x:v>https://api.octopus.energy/v1/products/AGILE-24-10-01/electricity-tariffs/E-1R-AGILE-24-10-01-G/standard-unit-rates/</x:v>
      </x:c>
    </x:row>
    <x:row r="3301" ht="21" customHeight="1">
      <x:c r="A3301" s="24" t="n">
        <x:v>46217.270833333336</x:v>
      </x:c>
      <x:c r="B3301" s="6" t="n">
        <x:v>0.2223</x:v>
      </x:c>
      <x:c r="C3301" s="6" t="n">
        <x:v>0.12789999999999999</x:v>
      </x:c>
      <x:c r="D3301" s="6" t="n">
        <x:f>B3301</x:f>
        <x:v>0.2223</x:v>
      </x:c>
      <x:c r="E3301" s="1" t="n">
        <x:v>1.05</x:v>
      </x:c>
      <x:c r="F3301" s="1" t="str">
        <x:v>https://api.octopus.energy/v1/products/AGILE-24-10-01/electricity-tariffs/E-1R-AGILE-24-10-01-G/standard-unit-rates/</x:v>
      </x:c>
    </x:row>
    <x:row r="3302" ht="21" customHeight="1">
      <x:c r="A3302" s="24" t="n">
        <x:v>46217.291666666664</x:v>
      </x:c>
      <x:c r="B3302" s="6" t="n">
        <x:v>0.214</x:v>
      </x:c>
      <x:c r="C3302" s="6" t="n">
        <x:v>0.1241</x:v>
      </x:c>
      <x:c r="D3302" s="6" t="n">
        <x:f>B3302</x:f>
        <x:v>0.214</x:v>
      </x:c>
      <x:c r="E3302" s="1" t="n">
        <x:v>1.05</x:v>
      </x:c>
      <x:c r="F3302" s="1" t="str">
        <x:v>https://api.octopus.energy/v1/products/AGILE-24-10-01/electricity-tariffs/E-1R-AGILE-24-10-01-G/standard-unit-rates/</x:v>
      </x:c>
    </x:row>
    <x:row r="3303" ht="21" customHeight="1">
      <x:c r="A3303" s="24" t="n">
        <x:v>46217.3125</x:v>
      </x:c>
      <x:c r="B3303" s="6" t="n">
        <x:v>0.2207</x:v>
      </x:c>
      <x:c r="C3303" s="6" t="n">
        <x:v>0.1272</x:v>
      </x:c>
      <x:c r="D3303" s="6" t="n">
        <x:f>B3303</x:f>
        <x:v>0.2207</x:v>
      </x:c>
      <x:c r="E3303" s="1" t="n">
        <x:v>1.05</x:v>
      </x:c>
      <x:c r="F3303" s="1" t="str">
        <x:v>https://api.octopus.energy/v1/products/AGILE-24-10-01/electricity-tariffs/E-1R-AGILE-24-10-01-G/standard-unit-rates/</x:v>
      </x:c>
    </x:row>
    <x:row r="3304" ht="21" customHeight="1">
      <x:c r="A3304" s="24" t="n">
        <x:v>46217.333333333336</x:v>
      </x:c>
      <x:c r="B3304" s="6" t="n">
        <x:v>0.1894</x:v>
      </x:c>
      <x:c r="C3304" s="6" t="n">
        <x:v>0.11289999999999999</x:v>
      </x:c>
      <x:c r="D3304" s="6" t="n">
        <x:f>B3304</x:f>
        <x:v>0.1894</x:v>
      </x:c>
      <x:c r="E3304" s="1" t="n">
        <x:v>1.05</x:v>
      </x:c>
      <x:c r="F3304" s="1" t="str">
        <x:v>https://api.octopus.energy/v1/products/AGILE-24-10-01/electricity-tariffs/E-1R-AGILE-24-10-01-G/standard-unit-rates/</x:v>
      </x:c>
    </x:row>
    <x:row r="3305" ht="21" customHeight="1">
      <x:c r="A3305" s="24" t="n">
        <x:v>46217.354166666664</x:v>
      </x:c>
      <x:c r="B3305" s="6" t="n">
        <x:v>0.1999</x:v>
      </x:c>
      <x:c r="C3305" s="6" t="n">
        <x:v>0.1176</x:v>
      </x:c>
      <x:c r="D3305" s="6" t="n">
        <x:f>B3305</x:f>
        <x:v>0.1999</x:v>
      </x:c>
      <x:c r="E3305" s="1" t="n">
        <x:v>1.05</x:v>
      </x:c>
      <x:c r="F3305" s="1" t="str">
        <x:v>https://api.octopus.energy/v1/products/AGILE-24-10-01/electricity-tariffs/E-1R-AGILE-24-10-01-G/standard-unit-rates/</x:v>
      </x:c>
    </x:row>
    <x:row r="3306" ht="21" customHeight="1">
      <x:c r="A3306" s="24" t="n">
        <x:v>46217.375</x:v>
      </x:c>
      <x:c r="B3306" s="6" t="n">
        <x:v>0.1966</x:v>
      </x:c>
      <x:c r="C3306" s="6" t="n">
        <x:v>0.1161</x:v>
      </x:c>
      <x:c r="D3306" s="6" t="n">
        <x:f>B3306</x:f>
        <x:v>0.1966</x:v>
      </x:c>
      <x:c r="E3306" s="1" t="n">
        <x:v>1.05</x:v>
      </x:c>
      <x:c r="F3306" s="1" t="str">
        <x:v>https://api.octopus.energy/v1/products/AGILE-24-10-01/electricity-tariffs/E-1R-AGILE-24-10-01-G/standard-unit-rates/</x:v>
      </x:c>
    </x:row>
    <x:row r="3307" ht="21" customHeight="1">
      <x:c r="A3307" s="24" t="n">
        <x:v>46217.395833333336</x:v>
      </x:c>
      <x:c r="B3307" s="6" t="n">
        <x:v>0.2026</x:v>
      </x:c>
      <x:c r="C3307" s="6" t="n">
        <x:v>0.1189</x:v>
      </x:c>
      <x:c r="D3307" s="6" t="n">
        <x:f>B3307</x:f>
        <x:v>0.2026</x:v>
      </x:c>
      <x:c r="E3307" s="1" t="n">
        <x:v>1.05</x:v>
      </x:c>
      <x:c r="F3307" s="1" t="str">
        <x:v>https://api.octopus.energy/v1/products/AGILE-24-10-01/electricity-tariffs/E-1R-AGILE-24-10-01-G/standard-unit-rates/</x:v>
      </x:c>
    </x:row>
    <x:row r="3308" ht="21" customHeight="1">
      <x:c r="A3308" s="24" t="n">
        <x:v>46217.416666666664</x:v>
      </x:c>
      <x:c r="B3308" s="6" t="n">
        <x:v>0.2023</x:v>
      </x:c>
      <x:c r="C3308" s="6" t="n">
        <x:v>0.1188</x:v>
      </x:c>
      <x:c r="D3308" s="6" t="n">
        <x:f>B3308</x:f>
        <x:v>0.2023</x:v>
      </x:c>
      <x:c r="E3308" s="1" t="n">
        <x:v>1.05</x:v>
      </x:c>
      <x:c r="F3308" s="1" t="str">
        <x:v>https://api.octopus.energy/v1/products/AGILE-24-10-01/electricity-tariffs/E-1R-AGILE-24-10-01-G/standard-unit-rates/</x:v>
      </x:c>
    </x:row>
    <x:row r="3309" ht="21" customHeight="1">
      <x:c r="A3309" s="24" t="n">
        <x:v>46217.4375</x:v>
      </x:c>
      <x:c r="B3309" s="6" t="n">
        <x:v>0.19219999999999998</x:v>
      </x:c>
      <x:c r="C3309" s="6" t="n">
        <x:v>0.11410000000000001</x:v>
      </x:c>
      <x:c r="D3309" s="6" t="n">
        <x:f>B3309</x:f>
        <x:v>0.19219999999999998</x:v>
      </x:c>
      <x:c r="E3309" s="1" t="n">
        <x:v>1.05</x:v>
      </x:c>
      <x:c r="F3309" s="1" t="str">
        <x:v>https://api.octopus.energy/v1/products/AGILE-24-10-01/electricity-tariffs/E-1R-AGILE-24-10-01-G/standard-unit-rates/</x:v>
      </x:c>
    </x:row>
    <x:row r="3310" ht="21" customHeight="1">
      <x:c r="A3310" s="24" t="n">
        <x:v>46217.458333333336</x:v>
      </x:c>
      <x:c r="B3310" s="6" t="n">
        <x:v>0.17550000000000002</x:v>
      </x:c>
      <x:c r="C3310" s="6" t="n">
        <x:v>0.1065</x:v>
      </x:c>
      <x:c r="D3310" s="6" t="n">
        <x:f>B3310</x:f>
        <x:v>0.17550000000000002</x:v>
      </x:c>
      <x:c r="E3310" s="1" t="n">
        <x:v>1.05</x:v>
      </x:c>
      <x:c r="F3310" s="1" t="str">
        <x:v>https://api.octopus.energy/v1/products/AGILE-24-10-01/electricity-tariffs/E-1R-AGILE-24-10-01-G/standard-unit-rates/</x:v>
      </x:c>
    </x:row>
    <x:row r="3311" ht="21" customHeight="1">
      <x:c r="A3311" s="24" t="n">
        <x:v>46217.479166666664</x:v>
      </x:c>
      <x:c r="B3311" s="6" t="n">
        <x:v>0.1674</x:v>
      </x:c>
      <x:c r="C3311" s="6" t="n">
        <x:v>0.10279999999999999</x:v>
      </x:c>
      <x:c r="D3311" s="6" t="n">
        <x:f>B3311</x:f>
        <x:v>0.1674</x:v>
      </x:c>
      <x:c r="E3311" s="1" t="n">
        <x:v>1.05</x:v>
      </x:c>
      <x:c r="F3311" s="1" t="str">
        <x:v>https://api.octopus.energy/v1/products/AGILE-24-10-01/electricity-tariffs/E-1R-AGILE-24-10-01-G/standard-unit-rates/</x:v>
      </x:c>
    </x:row>
    <x:row r="3312" ht="21" customHeight="1">
      <x:c r="A3312" s="24" t="n">
        <x:v>46217.5</x:v>
      </x:c>
      <x:c r="B3312" s="6" t="n">
        <x:v>0.1598</x:v>
      </x:c>
      <x:c r="C3312" s="6" t="n">
        <x:v>0.0993</x:v>
      </x:c>
      <x:c r="D3312" s="6" t="n">
        <x:f>B3312</x:f>
        <x:v>0.1598</x:v>
      </x:c>
      <x:c r="E3312" s="1" t="n">
        <x:v>1.05</x:v>
      </x:c>
      <x:c r="F3312" s="1" t="str">
        <x:v>https://api.octopus.energy/v1/products/AGILE-24-10-01/electricity-tariffs/E-1R-AGILE-24-10-01-G/standard-unit-rates/</x:v>
      </x:c>
    </x:row>
    <x:row r="3313" ht="21" customHeight="1">
      <x:c r="A3313" s="24" t="n">
        <x:v>46217.520833333336</x:v>
      </x:c>
      <x:c r="B3313" s="6" t="n">
        <x:v>0.1589</x:v>
      </x:c>
      <x:c r="C3313" s="6" t="n">
        <x:v>0.0989</x:v>
      </x:c>
      <x:c r="D3313" s="6" t="n">
        <x:f>B3313</x:f>
        <x:v>0.1589</x:v>
      </x:c>
      <x:c r="E3313" s="1" t="n">
        <x:v>1.05</x:v>
      </x:c>
      <x:c r="F3313" s="1" t="str">
        <x:v>https://api.octopus.energy/v1/products/AGILE-24-10-01/electricity-tariffs/E-1R-AGILE-24-10-01-G/standard-unit-rates/</x:v>
      </x:c>
    </x:row>
    <x:row r="3314" ht="21" customHeight="1">
      <x:c r="A3314" s="24" t="n">
        <x:v>46217.541666666664</x:v>
      </x:c>
      <x:c r="B3314" s="6" t="n">
        <x:v>0.16</x:v>
      </x:c>
      <x:c r="C3314" s="6" t="n">
        <x:v>0.09939999999999999</x:v>
      </x:c>
      <x:c r="D3314" s="6" t="n">
        <x:f>B3314</x:f>
        <x:v>0.16</x:v>
      </x:c>
      <x:c r="E3314" s="1" t="n">
        <x:v>1.05</x:v>
      </x:c>
      <x:c r="F3314" s="1" t="str">
        <x:v>https://api.octopus.energy/v1/products/AGILE-24-10-01/electricity-tariffs/E-1R-AGILE-24-10-01-G/standard-unit-rates/</x:v>
      </x:c>
    </x:row>
    <x:row r="3315" ht="21" customHeight="1">
      <x:c r="A3315" s="24" t="n">
        <x:v>46217.5625</x:v>
      </x:c>
      <x:c r="B3315" s="6" t="n">
        <x:v>0.15689999999999998</x:v>
      </x:c>
      <x:c r="C3315" s="6" t="n">
        <x:v>0.098</x:v>
      </x:c>
      <x:c r="D3315" s="6" t="n">
        <x:f>B3315</x:f>
        <x:v>0.15689999999999998</x:v>
      </x:c>
      <x:c r="E3315" s="1" t="n">
        <x:v>1.05</x:v>
      </x:c>
      <x:c r="F3315" s="1" t="str">
        <x:v>https://api.octopus.energy/v1/products/AGILE-24-10-01/electricity-tariffs/E-1R-AGILE-24-10-01-G/standard-unit-rates/</x:v>
      </x:c>
    </x:row>
    <x:row r="3316" ht="21" customHeight="1">
      <x:c r="A3316" s="24" t="n">
        <x:v>46217.583333333336</x:v>
      </x:c>
      <x:c r="B3316" s="6" t="n">
        <x:v>0.1547</x:v>
      </x:c>
      <x:c r="C3316" s="6" t="n">
        <x:v>0.09699999999999999</x:v>
      </x:c>
      <x:c r="D3316" s="6" t="n">
        <x:f>B3316</x:f>
        <x:v>0.1547</x:v>
      </x:c>
      <x:c r="E3316" s="1" t="n">
        <x:v>1.05</x:v>
      </x:c>
      <x:c r="F3316" s="1" t="str">
        <x:v>https://api.octopus.energy/v1/products/AGILE-24-10-01/electricity-tariffs/E-1R-AGILE-24-10-01-G/standard-unit-rates/</x:v>
      </x:c>
    </x:row>
    <x:row r="3317" ht="21" customHeight="1">
      <x:c r="A3317" s="24" t="n">
        <x:v>46217.604166666664</x:v>
      </x:c>
      <x:c r="B3317" s="6" t="n">
        <x:v>0.1547</x:v>
      </x:c>
      <x:c r="C3317" s="6" t="n">
        <x:v>0.09699999999999999</x:v>
      </x:c>
      <x:c r="D3317" s="6" t="n">
        <x:f>B3317</x:f>
        <x:v>0.1547</x:v>
      </x:c>
      <x:c r="E3317" s="1" t="n">
        <x:v>1.05</x:v>
      </x:c>
      <x:c r="F3317" s="1" t="str">
        <x:v>https://api.octopus.energy/v1/products/AGILE-24-10-01/electricity-tariffs/E-1R-AGILE-24-10-01-G/standard-unit-rates/</x:v>
      </x:c>
    </x:row>
    <x:row r="3318" ht="21" customHeight="1">
      <x:c r="A3318" s="24" t="n">
        <x:v>46217.625</x:v>
      </x:c>
      <x:c r="B3318" s="6" t="n">
        <x:v>0.1705</x:v>
      </x:c>
      <x:c r="C3318" s="6" t="n">
        <x:v>0.1042</x:v>
      </x:c>
      <x:c r="D3318" s="6" t="n">
        <x:f>B3318</x:f>
        <x:v>0.1705</x:v>
      </x:c>
      <x:c r="E3318" s="1" t="n">
        <x:v>1.05</x:v>
      </x:c>
      <x:c r="F3318" s="1" t="str">
        <x:v>https://api.octopus.energy/v1/products/AGILE-24-10-01/electricity-tariffs/E-1R-AGILE-24-10-01-G/standard-unit-rates/</x:v>
      </x:c>
    </x:row>
    <x:row r="3319" ht="21" customHeight="1">
      <x:c r="A3319" s="24" t="n">
        <x:v>46217.645833333336</x:v>
      </x:c>
      <x:c r="B3319" s="6" t="n">
        <x:v>0.17809999999999998</x:v>
      </x:c>
      <x:c r="C3319" s="6" t="n">
        <x:v>0.10769999999999999</x:v>
      </x:c>
      <x:c r="D3319" s="6" t="n">
        <x:f>B3319</x:f>
        <x:v>0.17809999999999998</x:v>
      </x:c>
      <x:c r="E3319" s="1" t="n">
        <x:v>1.05</x:v>
      </x:c>
      <x:c r="F3319" s="1" t="str">
        <x:v>https://api.octopus.energy/v1/products/AGILE-24-10-01/electricity-tariffs/E-1R-AGILE-24-10-01-G/standard-unit-rates/</x:v>
      </x:c>
    </x:row>
    <x:row r="3320" ht="21" customHeight="1">
      <x:c r="A3320" s="24" t="n">
        <x:v>46217.666666666664</x:v>
      </x:c>
      <x:c r="B3320" s="6" t="n">
        <x:v>0.30920000000000003</x:v>
      </x:c>
      <x:c r="C3320" s="6" t="n">
        <x:v>0.17170000000000002</x:v>
      </x:c>
      <x:c r="D3320" s="6" t="n">
        <x:f>B3320</x:f>
        <x:v>0.30920000000000003</x:v>
      </x:c>
      <x:c r="E3320" s="1" t="n">
        <x:v>1.05</x:v>
      </x:c>
      <x:c r="F3320" s="1" t="str">
        <x:v>https://api.octopus.energy/v1/products/AGILE-24-10-01/electricity-tariffs/E-1R-AGILE-24-10-01-G/standard-unit-rates/</x:v>
      </x:c>
    </x:row>
    <x:row r="3321" ht="21" customHeight="1">
      <x:c r="A3321" s="24" t="n">
        <x:v>46217.6875</x:v>
      </x:c>
      <x:c r="B3321" s="6" t="n">
        <x:v>0.2998</x:v>
      </x:c>
      <x:c r="C3321" s="6" t="n">
        <x:v>0.1673</x:v>
      </x:c>
      <x:c r="D3321" s="6" t="n">
        <x:f>B3321</x:f>
        <x:v>0.2998</x:v>
      </x:c>
      <x:c r="E3321" s="1" t="n">
        <x:v>1.05</x:v>
      </x:c>
      <x:c r="F3321" s="1" t="str">
        <x:v>https://api.octopus.energy/v1/products/AGILE-24-10-01/electricity-tariffs/E-1R-AGILE-24-10-01-G/standard-unit-rates/</x:v>
      </x:c>
    </x:row>
    <x:row r="3322" ht="21" customHeight="1">
      <x:c r="A3322" s="24" t="n">
        <x:v>46217.708333333336</x:v>
      </x:c>
      <x:c r="B3322" s="6" t="n">
        <x:v>0.326</x:v>
      </x:c>
      <x:c r="C3322" s="6" t="n">
        <x:v>0.1793</x:v>
      </x:c>
      <x:c r="D3322" s="6" t="n">
        <x:f>B3322</x:f>
        <x:v>0.326</x:v>
      </x:c>
      <x:c r="E3322" s="1" t="n">
        <x:v>1.05</x:v>
      </x:c>
      <x:c r="F3322" s="1" t="str">
        <x:v>https://api.octopus.energy/v1/products/AGILE-24-10-01/electricity-tariffs/E-1R-AGILE-24-10-01-G/standard-unit-rates/</x:v>
      </x:c>
    </x:row>
    <x:row r="3323" ht="21" customHeight="1">
      <x:c r="A3323" s="24" t="n">
        <x:v>46217.729166666664</x:v>
      </x:c>
      <x:c r="B3323" s="6" t="n">
        <x:v>0.3258</x:v>
      </x:c>
      <x:c r="C3323" s="6" t="n">
        <x:v>0.17920000000000003</x:v>
      </x:c>
      <x:c r="D3323" s="6" t="n">
        <x:f>B3323</x:f>
        <x:v>0.3258</x:v>
      </x:c>
      <x:c r="E3323" s="1" t="n">
        <x:v>1.05</x:v>
      </x:c>
      <x:c r="F3323" s="1" t="str">
        <x:v>https://api.octopus.energy/v1/products/AGILE-24-10-01/electricity-tariffs/E-1R-AGILE-24-10-01-G/standard-unit-rates/</x:v>
      </x:c>
    </x:row>
    <x:row r="3324" ht="21" customHeight="1">
      <x:c r="A3324" s="24" t="n">
        <x:v>46217.75</x:v>
      </x:c>
      <x:c r="B3324" s="6" t="n">
        <x:v>0.364</x:v>
      </x:c>
      <x:c r="C3324" s="6" t="n">
        <x:v>0.1967</x:v>
      </x:c>
      <x:c r="D3324" s="6" t="n">
        <x:f>B3324</x:f>
        <x:v>0.364</x:v>
      </x:c>
      <x:c r="E3324" s="1" t="n">
        <x:v>1.05</x:v>
      </x:c>
      <x:c r="F3324" s="1" t="str">
        <x:v>https://api.octopus.energy/v1/products/AGILE-24-10-01/electricity-tariffs/E-1R-AGILE-24-10-01-G/standard-unit-rates/</x:v>
      </x:c>
    </x:row>
    <x:row r="3325" ht="21" customHeight="1">
      <x:c r="A3325" s="24" t="n">
        <x:v>46217.770833333336</x:v>
      </x:c>
      <x:c r="B3325" s="6" t="n">
        <x:v>0.37770000000000004</x:v>
      </x:c>
      <x:c r="C3325" s="6" t="n">
        <x:v>0.203</x:v>
      </x:c>
      <x:c r="D3325" s="6" t="n">
        <x:f>B3325</x:f>
        <x:v>0.37770000000000004</x:v>
      </x:c>
      <x:c r="E3325" s="1" t="n">
        <x:v>1.05</x:v>
      </x:c>
      <x:c r="F3325" s="1" t="str">
        <x:v>https://api.octopus.energy/v1/products/AGILE-24-10-01/electricity-tariffs/E-1R-AGILE-24-10-01-G/standard-unit-rates/</x:v>
      </x:c>
    </x:row>
    <x:row r="3326" ht="21" customHeight="1">
      <x:c r="A3326" s="24" t="n">
        <x:v>46217.791666666664</x:v>
      </x:c>
      <x:c r="B3326" s="6" t="n">
        <x:v>0.281</x:v>
      </x:c>
      <x:c r="C3326" s="6" t="n">
        <x:v>0.1547</x:v>
      </x:c>
      <x:c r="D3326" s="6" t="n">
        <x:f>B3326</x:f>
        <x:v>0.281</x:v>
      </x:c>
      <x:c r="E3326" s="1" t="n">
        <x:v>1.05</x:v>
      </x:c>
      <x:c r="F3326" s="1" t="str">
        <x:v>https://api.octopus.energy/v1/products/AGILE-24-10-01/electricity-tariffs/E-1R-AGILE-24-10-01-G/standard-unit-rates/</x:v>
      </x:c>
    </x:row>
    <x:row r="3327" ht="21" customHeight="1">
      <x:c r="A3327" s="24" t="n">
        <x:v>46217.8125</x:v>
      </x:c>
      <x:c r="B3327" s="6" t="n">
        <x:v>0.2816</x:v>
      </x:c>
      <x:c r="C3327" s="6" t="n">
        <x:v>0.155</x:v>
      </x:c>
      <x:c r="D3327" s="6" t="n">
        <x:f>B3327</x:f>
        <x:v>0.2816</x:v>
      </x:c>
      <x:c r="E3327" s="1" t="n">
        <x:v>1.05</x:v>
      </x:c>
      <x:c r="F3327" s="1" t="str">
        <x:v>https://api.octopus.energy/v1/products/AGILE-24-10-01/electricity-tariffs/E-1R-AGILE-24-10-01-G/standard-unit-rates/</x:v>
      </x:c>
    </x:row>
    <x:row r="3328" ht="21" customHeight="1">
      <x:c r="A3328" s="24" t="n">
        <x:v>46217.833333333336</x:v>
      </x:c>
      <x:c r="B3328" s="6" t="n">
        <x:v>0.2816</x:v>
      </x:c>
      <x:c r="C3328" s="6" t="n">
        <x:v>0.155</x:v>
      </x:c>
      <x:c r="D3328" s="6" t="n">
        <x:f>B3328</x:f>
        <x:v>0.2816</x:v>
      </x:c>
      <x:c r="E3328" s="1" t="n">
        <x:v>1.05</x:v>
      </x:c>
      <x:c r="F3328" s="1" t="str">
        <x:v>https://api.octopus.energy/v1/products/AGILE-24-10-01/electricity-tariffs/E-1R-AGILE-24-10-01-G/standard-unit-rates/</x:v>
      </x:c>
    </x:row>
    <x:row r="3329" ht="21" customHeight="1">
      <x:c r="A3329" s="24" t="n">
        <x:v>46217.854166666664</x:v>
      </x:c>
      <x:c r="B3329" s="6" t="n">
        <x:v>0.276</x:v>
      </x:c>
      <x:c r="C3329" s="6" t="n">
        <x:v>0.1524</x:v>
      </x:c>
      <x:c r="D3329" s="6" t="n">
        <x:f>B3329</x:f>
        <x:v>0.276</x:v>
      </x:c>
      <x:c r="E3329" s="1" t="n">
        <x:v>1.05</x:v>
      </x:c>
      <x:c r="F3329" s="1" t="str">
        <x:v>https://api.octopus.energy/v1/products/AGILE-24-10-01/electricity-tariffs/E-1R-AGILE-24-10-01-G/standard-unit-rates/</x:v>
      </x:c>
    </x:row>
    <x:row r="3330" ht="21" customHeight="1">
      <x:c r="A3330" s="24" t="n">
        <x:v>46217.875</x:v>
      </x:c>
      <x:c r="B3330" s="6" t="n">
        <x:v>0.2764</x:v>
      </x:c>
      <x:c r="C3330" s="6" t="n">
        <x:v>0.15259999999999999</x:v>
      </x:c>
      <x:c r="D3330" s="6" t="n">
        <x:f>B3330</x:f>
        <x:v>0.2764</x:v>
      </x:c>
      <x:c r="E3330" s="1" t="n">
        <x:v>1.05</x:v>
      </x:c>
      <x:c r="F3330" s="1" t="str">
        <x:v>https://api.octopus.energy/v1/products/AGILE-24-10-01/electricity-tariffs/E-1R-AGILE-24-10-01-G/standard-unit-rates/</x:v>
      </x:c>
    </x:row>
    <x:row r="3331" ht="21" customHeight="1">
      <x:c r="A3331" s="24" t="n">
        <x:v>46217.895833333336</x:v>
      </x:c>
      <x:c r="B3331" s="6" t="n">
        <x:v>0.26899999999999996</x:v>
      </x:c>
      <x:c r="C3331" s="6" t="n">
        <x:v>0.1492</x:v>
      </x:c>
      <x:c r="D3331" s="6" t="n">
        <x:f>B3331</x:f>
        <x:v>0.26899999999999996</x:v>
      </x:c>
      <x:c r="E3331" s="1" t="n">
        <x:v>1.05</x:v>
      </x:c>
      <x:c r="F3331" s="1" t="str">
        <x:v>https://api.octopus.energy/v1/products/AGILE-24-10-01/electricity-tariffs/E-1R-AGILE-24-10-01-G/standard-unit-rates/</x:v>
      </x:c>
    </x:row>
    <x:row r="3332" ht="21" customHeight="1">
      <x:c r="A3332" s="24" t="n">
        <x:v>46217.916666666664</x:v>
      </x:c>
      <x:c r="B3332" s="6" t="n">
        <x:v>0.24359999999999998</x:v>
      </x:c>
      <x:c r="C3332" s="6" t="n">
        <x:v>0.1376</x:v>
      </x:c>
      <x:c r="D3332" s="6" t="n">
        <x:f>B3332</x:f>
        <x:v>0.24359999999999998</x:v>
      </x:c>
      <x:c r="E3332" s="1" t="n">
        <x:v>1.05</x:v>
      </x:c>
      <x:c r="F3332" s="1" t="str">
        <x:v>https://api.octopus.energy/v1/products/AGILE-24-10-01/electricity-tariffs/E-1R-AGILE-24-10-01-G/standard-unit-rates/</x:v>
      </x:c>
    </x:row>
    <x:row r="3333" ht="21" customHeight="1">
      <x:c r="A3333" s="24" t="n">
        <x:v>46217.9375</x:v>
      </x:c>
      <x:c r="B3333" s="6" t="n">
        <x:v>0.22899999999999998</x:v>
      </x:c>
      <x:c r="C3333" s="6" t="n">
        <x:v>0.131</x:v>
      </x:c>
      <x:c r="D3333" s="6" t="n">
        <x:f>B3333</x:f>
        <x:v>0.22899999999999998</x:v>
      </x:c>
      <x:c r="E3333" s="1" t="n">
        <x:v>1.05</x:v>
      </x:c>
      <x:c r="F3333" s="1" t="str">
        <x:v>https://api.octopus.energy/v1/products/AGILE-24-10-01/electricity-tariffs/E-1R-AGILE-24-10-01-G/standard-unit-rates/</x:v>
      </x:c>
    </x:row>
    <x:row r="3334" ht="21" customHeight="1">
      <x:c r="A3334" s="24" t="n">
        <x:v>46218</x:v>
      </x:c>
      <x:c r="B3334" s="6" t="n">
        <x:v>0.257</x:v>
      </x:c>
      <x:c r="C3334" s="6" t="n">
        <x:v>0.1438</x:v>
      </x:c>
      <x:c r="D3334" s="6" t="n">
        <x:f>B3334</x:f>
        <x:v>0.257</x:v>
      </x:c>
      <x:c r="E3334" s="1" t="n">
        <x:v>1.05</x:v>
      </x:c>
      <x:c r="F3334" s="1" t="str">
        <x:v>https://api.octopus.energy/v1/products/AGILE-24-10-01/electricity-tariffs/E-1R-AGILE-24-10-01-G/standard-unit-rates/</x:v>
      </x:c>
    </x:row>
    <x:row r="3335" ht="21" customHeight="1">
      <x:c r="A3335" s="24" t="n">
        <x:v>46217.979166666664</x:v>
      </x:c>
      <x:c r="B3335" s="6" t="n">
        <x:v>0.2583</x:v>
      </x:c>
      <x:c r="C3335" s="6" t="n">
        <x:v>0.1444</x:v>
      </x:c>
      <x:c r="D3335" s="6" t="n">
        <x:f>B3335</x:f>
        <x:v>0.2583</x:v>
      </x:c>
      <x:c r="E3335" s="1" t="n">
        <x:v>1.05</x:v>
      </x:c>
      <x:c r="F3335" s="1" t="str">
        <x:v>https://api.octopus.energy/v1/products/AGILE-24-10-01/electricity-tariffs/E-1R-AGILE-24-10-01-G/standard-unit-rates/</x:v>
      </x:c>
    </x:row>
    <x:row r="3336" ht="21" customHeight="1">
      <x:c r="A3336" s="24" t="n">
        <x:v>46218</x:v>
      </x:c>
      <x:c r="B3336" s="6" t="n">
        <x:v>0.2375</x:v>
      </x:c>
      <x:c r="C3336" s="6" t="n">
        <x:v>0.1348</x:v>
      </x:c>
      <x:c r="D3336" s="6" t="n">
        <x:f>B3336</x:f>
        <x:v>0.2375</x:v>
      </x:c>
      <x:c r="E3336" s="1" t="n">
        <x:v>1.05</x:v>
      </x:c>
      <x:c r="F3336" s="1" t="str">
        <x:v>https://api.octopus.energy/v1/products/AGILE-24-10-01/electricity-tariffs/E-1R-AGILE-24-10-01-G/standard-unit-rates/</x:v>
      </x:c>
    </x:row>
    <x:row r="3337" ht="21" customHeight="1">
      <x:c r="A3337" s="24" t="n">
        <x:v>46218.020833333336</x:v>
      </x:c>
      <x:c r="B3337" s="6" t="n">
        <x:v>0.2375</x:v>
      </x:c>
      <x:c r="C3337" s="6" t="n">
        <x:v>0.1348</x:v>
      </x:c>
      <x:c r="D3337" s="6" t="n">
        <x:f>B3337</x:f>
        <x:v>0.2375</x:v>
      </x:c>
      <x:c r="E3337" s="1" t="n">
        <x:v>1.05</x:v>
      </x:c>
      <x:c r="F3337" s="1" t="str">
        <x:v>https://api.octopus.energy/v1/products/AGILE-24-10-01/electricity-tariffs/E-1R-AGILE-24-10-01-G/standard-unit-rates/</x:v>
      </x:c>
    </x:row>
    <x:row r="3338" ht="21" customHeight="1">
      <x:c r="A3338" s="24" t="n">
        <x:v>46218.041666666664</x:v>
      </x:c>
      <x:c r="B3338" s="6" t="n">
        <x:v>0.2228</x:v>
      </x:c>
      <x:c r="C3338" s="6" t="n">
        <x:v>0.1281</x:v>
      </x:c>
      <x:c r="D3338" s="6" t="n">
        <x:f>B3338</x:f>
        <x:v>0.2228</x:v>
      </x:c>
      <x:c r="E3338" s="1" t="n">
        <x:v>1.05</x:v>
      </x:c>
      <x:c r="F3338" s="1" t="str">
        <x:v>https://api.octopus.energy/v1/products/AGILE-24-10-01/electricity-tariffs/E-1R-AGILE-24-10-01-G/standard-unit-rates/</x:v>
      </x:c>
    </x:row>
    <x:row r="3339" ht="21" customHeight="1">
      <x:c r="A3339" s="24" t="n">
        <x:v>46218.0625</x:v>
      </x:c>
      <x:c r="B3339" s="6" t="n">
        <x:v>0.21960000000000002</x:v>
      </x:c>
      <x:c r="C3339" s="6" t="n">
        <x:v>0.1266</x:v>
      </x:c>
      <x:c r="D3339" s="6" t="n">
        <x:f>B3339</x:f>
        <x:v>0.21960000000000002</x:v>
      </x:c>
      <x:c r="E3339" s="1" t="n">
        <x:v>1.05</x:v>
      </x:c>
      <x:c r="F3339" s="1" t="str">
        <x:v>https://api.octopus.energy/v1/products/AGILE-24-10-01/electricity-tariffs/E-1R-AGILE-24-10-01-G/standard-unit-rates/</x:v>
      </x:c>
    </x:row>
    <x:row r="3340" ht="21" customHeight="1">
      <x:c r="A3340" s="24" t="n">
        <x:v>46218.083333333336</x:v>
      </x:c>
      <x:c r="B3340" s="6" t="n">
        <x:v>0.1928</x:v>
      </x:c>
      <x:c r="C3340" s="6" t="n">
        <x:v>0.1144</x:v>
      </x:c>
      <x:c r="D3340" s="6" t="n">
        <x:f>B3340</x:f>
        <x:v>0.1928</x:v>
      </x:c>
      <x:c r="E3340" s="1" t="n">
        <x:v>1.05</x:v>
      </x:c>
      <x:c r="F3340" s="1" t="str">
        <x:v>https://api.octopus.energy/v1/products/AGILE-24-10-01/electricity-tariffs/E-1R-AGILE-24-10-01-G/standard-unit-rates/</x:v>
      </x:c>
    </x:row>
    <x:row r="3341" ht="21" customHeight="1">
      <x:c r="A3341" s="24" t="n">
        <x:v>46218.104166666664</x:v>
      </x:c>
      <x:c r="B3341" s="6" t="n">
        <x:v>0.1886</x:v>
      </x:c>
      <x:c r="C3341" s="6" t="n">
        <x:v>0.1125</x:v>
      </x:c>
      <x:c r="D3341" s="6" t="n">
        <x:f>B3341</x:f>
        <x:v>0.1886</x:v>
      </x:c>
      <x:c r="E3341" s="1" t="n">
        <x:v>1.05</x:v>
      </x:c>
      <x:c r="F3341" s="1" t="str">
        <x:v>https://api.octopus.energy/v1/products/AGILE-24-10-01/electricity-tariffs/E-1R-AGILE-24-10-01-G/standard-unit-rates/</x:v>
      </x:c>
    </x:row>
    <x:row r="3342" ht="21" customHeight="1">
      <x:c r="A3342" s="24" t="n">
        <x:v>46218.125</x:v>
      </x:c>
      <x:c r="B3342" s="6" t="n">
        <x:v>0.1997</x:v>
      </x:c>
      <x:c r="C3342" s="6" t="n">
        <x:v>0.1176</x:v>
      </x:c>
      <x:c r="D3342" s="6" t="n">
        <x:f>B3342</x:f>
        <x:v>0.1997</x:v>
      </x:c>
      <x:c r="E3342" s="1" t="n">
        <x:v>1.05</x:v>
      </x:c>
      <x:c r="F3342" s="1" t="str">
        <x:v>https://api.octopus.energy/v1/products/AGILE-24-10-01/electricity-tariffs/E-1R-AGILE-24-10-01-G/standard-unit-rates/</x:v>
      </x:c>
    </x:row>
    <x:row r="3343" ht="21" customHeight="1">
      <x:c r="A3343" s="24" t="n">
        <x:v>46218.145833333336</x:v>
      </x:c>
      <x:c r="B3343" s="6" t="n">
        <x:v>0.2022</x:v>
      </x:c>
      <x:c r="C3343" s="6" t="n">
        <x:v>0.11869999999999999</x:v>
      </x:c>
      <x:c r="D3343" s="6" t="n">
        <x:f>B3343</x:f>
        <x:v>0.2022</x:v>
      </x:c>
      <x:c r="E3343" s="1" t="n">
        <x:v>1.05</x:v>
      </x:c>
      <x:c r="F3343" s="1" t="str">
        <x:v>https://api.octopus.energy/v1/products/AGILE-24-10-01/electricity-tariffs/E-1R-AGILE-24-10-01-G/standard-unit-rates/</x:v>
      </x:c>
    </x:row>
    <x:row r="3344" ht="21" customHeight="1">
      <x:c r="A3344" s="24" t="n">
        <x:v>46218.166666666664</x:v>
      </x:c>
      <x:c r="B3344" s="6" t="n">
        <x:v>0.2205</x:v>
      </x:c>
      <x:c r="C3344" s="6" t="n">
        <x:v>0.12710000000000002</x:v>
      </x:c>
      <x:c r="D3344" s="6" t="n">
        <x:f>B3344</x:f>
        <x:v>0.2205</x:v>
      </x:c>
      <x:c r="E3344" s="1" t="n">
        <x:v>1.05</x:v>
      </x:c>
      <x:c r="F3344" s="1" t="str">
        <x:v>https://api.octopus.energy/v1/products/AGILE-24-10-01/electricity-tariffs/E-1R-AGILE-24-10-01-G/standard-unit-rates/</x:v>
      </x:c>
    </x:row>
    <x:row r="3345" ht="21" customHeight="1">
      <x:c r="A3345" s="24" t="n">
        <x:v>46218.1875</x:v>
      </x:c>
      <x:c r="B3345" s="6" t="n">
        <x:v>0.22510000000000002</x:v>
      </x:c>
      <x:c r="C3345" s="6" t="n">
        <x:v>0.1292</x:v>
      </x:c>
      <x:c r="D3345" s="6" t="n">
        <x:f>B3345</x:f>
        <x:v>0.22510000000000002</x:v>
      </x:c>
      <x:c r="E3345" s="1" t="n">
        <x:v>1.05</x:v>
      </x:c>
      <x:c r="F3345" s="1" t="str">
        <x:v>https://api.octopus.energy/v1/products/AGILE-24-10-01/electricity-tariffs/E-1R-AGILE-24-10-01-G/standard-unit-rates/</x:v>
      </x:c>
    </x:row>
    <x:row r="3346" ht="21" customHeight="1">
      <x:c r="A3346" s="24" t="n">
        <x:v>46218.208333333336</x:v>
      </x:c>
      <x:c r="B3346" s="6" t="n">
        <x:v>0.2498</x:v>
      </x:c>
      <x:c r="C3346" s="6" t="n">
        <x:v>0.1405</x:v>
      </x:c>
      <x:c r="D3346" s="6" t="n">
        <x:f>B3346</x:f>
        <x:v>0.2498</x:v>
      </x:c>
      <x:c r="E3346" s="1" t="n">
        <x:v>1.05</x:v>
      </x:c>
      <x:c r="F3346" s="1" t="str">
        <x:v>https://api.octopus.energy/v1/products/AGILE-24-10-01/electricity-tariffs/E-1R-AGILE-24-10-01-G/standard-unit-rates/</x:v>
      </x:c>
    </x:row>
    <x:row r="3347" ht="21" customHeight="1">
      <x:c r="A3347" s="24" t="n">
        <x:v>46218.229166666664</x:v>
      </x:c>
      <x:c r="B3347" s="6" t="n">
        <x:v>0.2494</x:v>
      </x:c>
      <x:c r="C3347" s="6" t="n">
        <x:v>0.14029999999999998</x:v>
      </x:c>
      <x:c r="D3347" s="6" t="n">
        <x:f>B3347</x:f>
        <x:v>0.2494</x:v>
      </x:c>
      <x:c r="E3347" s="1" t="n">
        <x:v>1.05</x:v>
      </x:c>
      <x:c r="F3347" s="1" t="str">
        <x:v>https://api.octopus.energy/v1/products/AGILE-24-10-01/electricity-tariffs/E-1R-AGILE-24-10-01-G/standard-unit-rates/</x:v>
      </x:c>
    </x:row>
    <x:row r="3348" ht="21" customHeight="1">
      <x:c r="A3348" s="24" t="n">
        <x:v>46218.25</x:v>
      </x:c>
      <x:c r="B3348" s="6" t="n">
        <x:v>0.256</x:v>
      </x:c>
      <x:c r="C3348" s="6" t="n">
        <x:v>0.1433</x:v>
      </x:c>
      <x:c r="D3348" s="6" t="n">
        <x:f>B3348</x:f>
        <x:v>0.256</x:v>
      </x:c>
      <x:c r="E3348" s="1" t="n">
        <x:v>1.05</x:v>
      </x:c>
      <x:c r="F3348" s="1" t="str">
        <x:v>https://api.octopus.energy/v1/products/AGILE-24-10-01/electricity-tariffs/E-1R-AGILE-24-10-01-G/standard-unit-rates/</x:v>
      </x:c>
    </x:row>
    <x:row r="3349" ht="21" customHeight="1">
      <x:c r="A3349" s="24" t="n">
        <x:v>46218.270833333336</x:v>
      </x:c>
      <x:c r="B3349" s="6" t="n">
        <x:v>0.25980000000000003</x:v>
      </x:c>
      <x:c r="C3349" s="6" t="n">
        <x:v>0.145</x:v>
      </x:c>
      <x:c r="D3349" s="6" t="n">
        <x:f>B3349</x:f>
        <x:v>0.25980000000000003</x:v>
      </x:c>
      <x:c r="E3349" s="1" t="n">
        <x:v>1.05</x:v>
      </x:c>
      <x:c r="F3349" s="1" t="str">
        <x:v>https://api.octopus.energy/v1/products/AGILE-24-10-01/electricity-tariffs/E-1R-AGILE-24-10-01-G/standard-unit-rates/</x:v>
      </x:c>
    </x:row>
    <x:row r="3350" ht="21" customHeight="1">
      <x:c r="A3350" s="24" t="n">
        <x:v>46218.291666666664</x:v>
      </x:c>
      <x:c r="B3350" s="6" t="n">
        <x:v>0.2535</x:v>
      </x:c>
      <x:c r="C3350" s="6" t="n">
        <x:v>0.1421</x:v>
      </x:c>
      <x:c r="D3350" s="6" t="n">
        <x:f>B3350</x:f>
        <x:v>0.2535</x:v>
      </x:c>
      <x:c r="E3350" s="1" t="n">
        <x:v>1.05</x:v>
      </x:c>
      <x:c r="F3350" s="1" t="str">
        <x:v>https://api.octopus.energy/v1/products/AGILE-24-10-01/electricity-tariffs/E-1R-AGILE-24-10-01-G/standard-unit-rates/</x:v>
      </x:c>
    </x:row>
    <x:row r="3351" ht="21" customHeight="1">
      <x:c r="A3351" s="24" t="n">
        <x:v>46218.3125</x:v>
      </x:c>
      <x:c r="B3351" s="6" t="n">
        <x:v>0.2539</x:v>
      </x:c>
      <x:c r="C3351" s="6" t="n">
        <x:v>0.1423</x:v>
      </x:c>
      <x:c r="D3351" s="6" t="n">
        <x:f>B3351</x:f>
        <x:v>0.2539</x:v>
      </x:c>
      <x:c r="E3351" s="1" t="n">
        <x:v>1.05</x:v>
      </x:c>
      <x:c r="F3351" s="1" t="str">
        <x:v>https://api.octopus.energy/v1/products/AGILE-24-10-01/electricity-tariffs/E-1R-AGILE-24-10-01-G/standard-unit-rates/</x:v>
      </x:c>
    </x:row>
    <x:row r="3352" ht="21" customHeight="1">
      <x:c r="A3352" s="24" t="n">
        <x:v>46218.333333333336</x:v>
      </x:c>
      <x:c r="B3352" s="6" t="n">
        <x:v>0.2186</x:v>
      </x:c>
      <x:c r="C3352" s="6" t="n">
        <x:v>0.12619999999999998</x:v>
      </x:c>
      <x:c r="D3352" s="6" t="n">
        <x:f>B3352</x:f>
        <x:v>0.2186</x:v>
      </x:c>
      <x:c r="E3352" s="1" t="n">
        <x:v>1.05</x:v>
      </x:c>
      <x:c r="F3352" s="1" t="str">
        <x:v>https://api.octopus.energy/v1/products/AGILE-24-10-01/electricity-tariffs/E-1R-AGILE-24-10-01-G/standard-unit-rates/</x:v>
      </x:c>
    </x:row>
    <x:row r="3353" ht="21" customHeight="1">
      <x:c r="A3353" s="24" t="n">
        <x:v>46218.354166666664</x:v>
      </x:c>
      <x:c r="B3353" s="6" t="n">
        <x:v>0.20309999999999997</x:v>
      </x:c>
      <x:c r="C3353" s="6" t="n">
        <x:v>0.1191</x:v>
      </x:c>
      <x:c r="D3353" s="6" t="n">
        <x:f>B3353</x:f>
        <x:v>0.20309999999999997</x:v>
      </x:c>
      <x:c r="E3353" s="1" t="n">
        <x:v>1.05</x:v>
      </x:c>
      <x:c r="F3353" s="1" t="str">
        <x:v>https://api.octopus.energy/v1/products/AGILE-24-10-01/electricity-tariffs/E-1R-AGILE-24-10-01-G/standard-unit-rates/</x:v>
      </x:c>
    </x:row>
    <x:row r="3354" ht="21" customHeight="1">
      <x:c r="A3354" s="24" t="n">
        <x:v>46218.375</x:v>
      </x:c>
      <x:c r="B3354" s="6" t="n">
        <x:v>0.1934</x:v>
      </x:c>
      <x:c r="C3354" s="6" t="n">
        <x:v>0.11470000000000001</x:v>
      </x:c>
      <x:c r="D3354" s="6" t="n">
        <x:f>B3354</x:f>
        <x:v>0.1934</x:v>
      </x:c>
      <x:c r="E3354" s="1" t="n">
        <x:v>1.05</x:v>
      </x:c>
      <x:c r="F3354" s="1" t="str">
        <x:v>https://api.octopus.energy/v1/products/AGILE-24-10-01/electricity-tariffs/E-1R-AGILE-24-10-01-G/standard-unit-rates/</x:v>
      </x:c>
    </x:row>
    <x:row r="3355" ht="21" customHeight="1">
      <x:c r="A3355" s="24" t="n">
        <x:v>46218.395833333336</x:v>
      </x:c>
      <x:c r="B3355" s="6" t="n">
        <x:v>0.21230000000000002</x:v>
      </x:c>
      <x:c r="C3355" s="6" t="n">
        <x:v>0.1233</x:v>
      </x:c>
      <x:c r="D3355" s="6" t="n">
        <x:f>B3355</x:f>
        <x:v>0.21230000000000002</x:v>
      </x:c>
      <x:c r="E3355" s="1" t="n">
        <x:v>1.05</x:v>
      </x:c>
      <x:c r="F3355" s="1" t="str">
        <x:v>https://api.octopus.energy/v1/products/AGILE-24-10-01/electricity-tariffs/E-1R-AGILE-24-10-01-G/standard-unit-rates/</x:v>
      </x:c>
    </x:row>
    <x:row r="3356" ht="21" customHeight="1">
      <x:c r="A3356" s="24" t="n">
        <x:v>46218.416666666664</x:v>
      </x:c>
      <x:c r="B3356" s="6" t="n">
        <x:v>0.1892</x:v>
      </x:c>
      <x:c r="C3356" s="6" t="n">
        <x:v>0.1128</x:v>
      </x:c>
      <x:c r="D3356" s="6" t="n">
        <x:f>B3356</x:f>
        <x:v>0.1892</x:v>
      </x:c>
      <x:c r="E3356" s="1" t="n">
        <x:v>1.05</x:v>
      </x:c>
      <x:c r="F3356" s="1" t="str">
        <x:v>https://api.octopus.energy/v1/products/AGILE-24-10-01/electricity-tariffs/E-1R-AGILE-24-10-01-G/standard-unit-rates/</x:v>
      </x:c>
    </x:row>
    <x:row r="3357" ht="21" customHeight="1">
      <x:c r="A3357" s="24" t="n">
        <x:v>46218.4375</x:v>
      </x:c>
      <x:c r="B3357" s="6" t="n">
        <x:v>0.1724</x:v>
      </x:c>
      <x:c r="C3357" s="6" t="n">
        <x:v>0.1051</x:v>
      </x:c>
      <x:c r="D3357" s="6" t="n">
        <x:f>B3357</x:f>
        <x:v>0.1724</x:v>
      </x:c>
      <x:c r="E3357" s="1" t="n">
        <x:v>1.05</x:v>
      </x:c>
      <x:c r="F3357" s="1" t="str">
        <x:v>https://api.octopus.energy/v1/products/AGILE-24-10-01/electricity-tariffs/E-1R-AGILE-24-10-01-G/standard-unit-rates/</x:v>
      </x:c>
    </x:row>
    <x:row r="3358" ht="21" customHeight="1">
      <x:c r="A3358" s="24" t="n">
        <x:v>46218.458333333336</x:v>
      </x:c>
      <x:c r="B3358" s="6" t="n">
        <x:v>0.1703</x:v>
      </x:c>
      <x:c r="C3358" s="6" t="n">
        <x:v>0.1041</x:v>
      </x:c>
      <x:c r="D3358" s="6" t="n">
        <x:f>B3358</x:f>
        <x:v>0.1703</x:v>
      </x:c>
      <x:c r="E3358" s="1" t="n">
        <x:v>1.05</x:v>
      </x:c>
      <x:c r="F3358" s="1" t="str">
        <x:v>https://api.octopus.energy/v1/products/AGILE-24-10-01/electricity-tariffs/E-1R-AGILE-24-10-01-G/standard-unit-rates/</x:v>
      </x:c>
    </x:row>
    <x:row r="3359" ht="21" customHeight="1">
      <x:c r="A3359" s="24" t="n">
        <x:v>46218.479166666664</x:v>
      </x:c>
      <x:c r="B3359" s="6" t="n">
        <x:v>0.1672</x:v>
      </x:c>
      <x:c r="C3359" s="6" t="n">
        <x:v>0.1027</x:v>
      </x:c>
      <x:c r="D3359" s="6" t="n">
        <x:f>B3359</x:f>
        <x:v>0.1672</x:v>
      </x:c>
      <x:c r="E3359" s="1" t="n">
        <x:v>1.05</x:v>
      </x:c>
      <x:c r="F3359" s="1" t="str">
        <x:v>https://api.octopus.energy/v1/products/AGILE-24-10-01/electricity-tariffs/E-1R-AGILE-24-10-01-G/standard-unit-rates/</x:v>
      </x:c>
    </x:row>
    <x:row r="3360" ht="21" customHeight="1">
      <x:c r="A3360" s="24" t="n">
        <x:v>46218.5</x:v>
      </x:c>
      <x:c r="B3360" s="6" t="n">
        <x:v>0.1642</x:v>
      </x:c>
      <x:c r="C3360" s="6" t="n">
        <x:v>0.1013</x:v>
      </x:c>
      <x:c r="D3360" s="6" t="n">
        <x:f>B3360</x:f>
        <x:v>0.1642</x:v>
      </x:c>
      <x:c r="E3360" s="1" t="n">
        <x:v>1.05</x:v>
      </x:c>
      <x:c r="F3360" s="1" t="str">
        <x:v>https://api.octopus.energy/v1/products/AGILE-24-10-01/electricity-tariffs/E-1R-AGILE-24-10-01-G/standard-unit-rates/</x:v>
      </x:c>
    </x:row>
    <x:row r="3361" ht="21" customHeight="1">
      <x:c r="A3361" s="24" t="n">
        <x:v>46218.520833333336</x:v>
      </x:c>
      <x:c r="B3361" s="6" t="n">
        <x:v>0.15560000000000002</x:v>
      </x:c>
      <x:c r="C3361" s="6" t="n">
        <x:v>0.0974</x:v>
      </x:c>
      <x:c r="D3361" s="6" t="n">
        <x:f>B3361</x:f>
        <x:v>0.15560000000000002</x:v>
      </x:c>
      <x:c r="E3361" s="1" t="n">
        <x:v>1.05</x:v>
      </x:c>
      <x:c r="F3361" s="1" t="str">
        <x:v>https://api.octopus.energy/v1/products/AGILE-24-10-01/electricity-tariffs/E-1R-AGILE-24-10-01-G/standard-unit-rates/</x:v>
      </x:c>
    </x:row>
    <x:row r="3362" ht="21" customHeight="1">
      <x:c r="A3362" s="24" t="n">
        <x:v>46218.541666666664</x:v>
      </x:c>
      <x:c r="B3362" s="6" t="n">
        <x:v>0.1699</x:v>
      </x:c>
      <x:c r="C3362" s="6" t="n">
        <x:v>0.1039</x:v>
      </x:c>
      <x:c r="D3362" s="6" t="n">
        <x:f>B3362</x:f>
        <x:v>0.1699</x:v>
      </x:c>
      <x:c r="E3362" s="1" t="n">
        <x:v>1.05</x:v>
      </x:c>
      <x:c r="F3362" s="1" t="str">
        <x:v>https://api.octopus.energy/v1/products/AGILE-24-10-01/electricity-tariffs/E-1R-AGILE-24-10-01-G/standard-unit-rates/</x:v>
      </x:c>
    </x:row>
    <x:row r="3363" ht="21" customHeight="1">
      <x:c r="A3363" s="24" t="n">
        <x:v>46218.5625</x:v>
      </x:c>
      <x:c r="B3363" s="6" t="n">
        <x:v>0.1699</x:v>
      </x:c>
      <x:c r="C3363" s="6" t="n">
        <x:v>0.1039</x:v>
      </x:c>
      <x:c r="D3363" s="6" t="n">
        <x:f>B3363</x:f>
        <x:v>0.1699</x:v>
      </x:c>
      <x:c r="E3363" s="1" t="n">
        <x:v>1.05</x:v>
      </x:c>
      <x:c r="F3363" s="1" t="str">
        <x:v>https://api.octopus.energy/v1/products/AGILE-24-10-01/electricity-tariffs/E-1R-AGILE-24-10-01-G/standard-unit-rates/</x:v>
      </x:c>
    </x:row>
    <x:row r="3364" ht="21" customHeight="1">
      <x:c r="A3364" s="24" t="n">
        <x:v>46218.583333333336</x:v>
      </x:c>
      <x:c r="B3364" s="6" t="n">
        <x:v>0.15789999999999998</x:v>
      </x:c>
      <x:c r="C3364" s="6" t="n">
        <x:v>0.09849999999999999</x:v>
      </x:c>
      <x:c r="D3364" s="6" t="n">
        <x:f>B3364</x:f>
        <x:v>0.15789999999999998</x:v>
      </x:c>
      <x:c r="E3364" s="1" t="n">
        <x:v>1.05</x:v>
      </x:c>
      <x:c r="F3364" s="1" t="str">
        <x:v>https://api.octopus.energy/v1/products/AGILE-24-10-01/electricity-tariffs/E-1R-AGILE-24-10-01-G/standard-unit-rates/</x:v>
      </x:c>
    </x:row>
    <x:row r="3365" ht="21" customHeight="1">
      <x:c r="A3365" s="24" t="n">
        <x:v>46218.604166666664</x:v>
      </x:c>
      <x:c r="B3365" s="6" t="n">
        <x:v>0.15560000000000002</x:v>
      </x:c>
      <x:c r="C3365" s="6" t="n">
        <x:v>0.0974</x:v>
      </x:c>
      <x:c r="D3365" s="6" t="n">
        <x:f>B3365</x:f>
        <x:v>0.15560000000000002</x:v>
      </x:c>
      <x:c r="E3365" s="1" t="n">
        <x:v>1.05</x:v>
      </x:c>
      <x:c r="F3365" s="1" t="str">
        <x:v>https://api.octopus.energy/v1/products/AGILE-24-10-01/electricity-tariffs/E-1R-AGILE-24-10-01-G/standard-unit-rates/</x:v>
      </x:c>
    </x:row>
    <x:row r="3366" ht="21" customHeight="1">
      <x:c r="A3366" s="24" t="n">
        <x:v>46218.625</x:v>
      </x:c>
      <x:c r="B3366" s="6" t="n">
        <x:v>0.17300000000000001</x:v>
      </x:c>
      <x:c r="C3366" s="6" t="n">
        <x:v>0.1054</x:v>
      </x:c>
      <x:c r="D3366" s="6" t="n">
        <x:f>B3366</x:f>
        <x:v>0.17300000000000001</x:v>
      </x:c>
      <x:c r="E3366" s="1" t="n">
        <x:v>1.05</x:v>
      </x:c>
      <x:c r="F3366" s="1" t="str">
        <x:v>https://api.octopus.energy/v1/products/AGILE-24-10-01/electricity-tariffs/E-1R-AGILE-24-10-01-G/standard-unit-rates/</x:v>
      </x:c>
    </x:row>
    <x:row r="3367" ht="21" customHeight="1">
      <x:c r="A3367" s="24" t="n">
        <x:v>46218.645833333336</x:v>
      </x:c>
      <x:c r="B3367" s="6" t="n">
        <x:v>0.17300000000000001</x:v>
      </x:c>
      <x:c r="C3367" s="6" t="n">
        <x:v>0.1054</x:v>
      </x:c>
      <x:c r="D3367" s="6" t="n">
        <x:f>B3367</x:f>
        <x:v>0.17300000000000001</x:v>
      </x:c>
      <x:c r="E3367" s="1" t="n">
        <x:v>1.05</x:v>
      </x:c>
      <x:c r="F3367" s="1" t="str">
        <x:v>https://api.octopus.energy/v1/products/AGILE-24-10-01/electricity-tariffs/E-1R-AGILE-24-10-01-G/standard-unit-rates/</x:v>
      </x:c>
    </x:row>
    <x:row r="3368" ht="21" customHeight="1">
      <x:c r="A3368" s="24" t="n">
        <x:v>46218.666666666664</x:v>
      </x:c>
      <x:c r="B3368" s="6" t="n">
        <x:v>0.3197</x:v>
      </x:c>
      <x:c r="C3368" s="6" t="n">
        <x:v>0.1765</x:v>
      </x:c>
      <x:c r="D3368" s="6" t="n">
        <x:f>B3368</x:f>
        <x:v>0.3197</x:v>
      </x:c>
      <x:c r="E3368" s="1" t="n">
        <x:v>1.05</x:v>
      </x:c>
      <x:c r="F3368" s="1" t="str">
        <x:v>https://api.octopus.energy/v1/products/AGILE-24-10-01/electricity-tariffs/E-1R-AGILE-24-10-01-G/standard-unit-rates/</x:v>
      </x:c>
    </x:row>
    <x:row r="3369" ht="21" customHeight="1">
      <x:c r="A3369" s="24" t="n">
        <x:v>46218.6875</x:v>
      </x:c>
      <x:c r="B3369" s="6" t="n">
        <x:v>0.3012</x:v>
      </x:c>
      <x:c r="C3369" s="6" t="n">
        <x:v>0.168</x:v>
      </x:c>
      <x:c r="D3369" s="6" t="n">
        <x:f>B3369</x:f>
        <x:v>0.3012</x:v>
      </x:c>
      <x:c r="E3369" s="1" t="n">
        <x:v>1.05</x:v>
      </x:c>
      <x:c r="F3369" s="1" t="str">
        <x:v>https://api.octopus.energy/v1/products/AGILE-24-10-01/electricity-tariffs/E-1R-AGILE-24-10-01-G/standard-unit-rates/</x:v>
      </x:c>
    </x:row>
    <x:row r="3370" ht="21" customHeight="1">
      <x:c r="A3370" s="24" t="n">
        <x:v>46218.708333333336</x:v>
      </x:c>
      <x:c r="B3370" s="6" t="n">
        <x:v>0.33649999999999997</x:v>
      </x:c>
      <x:c r="C3370" s="6" t="n">
        <x:v>0.18420000000000003</x:v>
      </x:c>
      <x:c r="D3370" s="6" t="n">
        <x:f>B3370</x:f>
        <x:v>0.33649999999999997</x:v>
      </x:c>
      <x:c r="E3370" s="1" t="n">
        <x:v>1.05</x:v>
      </x:c>
      <x:c r="F3370" s="1" t="str">
        <x:v>https://api.octopus.energy/v1/products/AGILE-24-10-01/electricity-tariffs/E-1R-AGILE-24-10-01-G/standard-unit-rates/</x:v>
      </x:c>
    </x:row>
    <x:row r="3371" ht="21" customHeight="1">
      <x:c r="A3371" s="24" t="n">
        <x:v>46218.729166666664</x:v>
      </x:c>
      <x:c r="B3371" s="6" t="n">
        <x:v>0.35590000000000005</x:v>
      </x:c>
      <x:c r="C3371" s="6" t="n">
        <x:v>0.193</x:v>
      </x:c>
      <x:c r="D3371" s="6" t="n">
        <x:f>B3371</x:f>
        <x:v>0.35590000000000005</x:v>
      </x:c>
      <x:c r="E3371" s="1" t="n">
        <x:v>1.05</x:v>
      </x:c>
      <x:c r="F3371" s="1" t="str">
        <x:v>https://api.octopus.energy/v1/products/AGILE-24-10-01/electricity-tariffs/E-1R-AGILE-24-10-01-G/standard-unit-rates/</x:v>
      </x:c>
    </x:row>
    <x:row r="3372" ht="21" customHeight="1">
      <x:c r="A3372" s="24" t="n">
        <x:v>46218.75</x:v>
      </x:c>
      <x:c r="B3372" s="6" t="n">
        <x:v>0.38439999999999996</x:v>
      </x:c>
      <x:c r="C3372" s="6" t="n">
        <x:v>0.20600000000000002</x:v>
      </x:c>
      <x:c r="D3372" s="6" t="n">
        <x:f>B3372</x:f>
        <x:v>0.38439999999999996</x:v>
      </x:c>
      <x:c r="E3372" s="1" t="n">
        <x:v>1.05</x:v>
      </x:c>
      <x:c r="F3372" s="1" t="str">
        <x:v>https://api.octopus.energy/v1/products/AGILE-24-10-01/electricity-tariffs/E-1R-AGILE-24-10-01-G/standard-unit-rates/</x:v>
      </x:c>
    </x:row>
    <x:row r="3373" ht="21" customHeight="1">
      <x:c r="A3373" s="24" t="n">
        <x:v>46218.770833333336</x:v>
      </x:c>
      <x:c r="B3373" s="6" t="n">
        <x:v>0.3953</x:v>
      </x:c>
      <x:c r="C3373" s="6" t="n">
        <x:v>0.21100000000000002</x:v>
      </x:c>
      <x:c r="D3373" s="6" t="n">
        <x:f>B3373</x:f>
        <x:v>0.3953</x:v>
      </x:c>
      <x:c r="E3373" s="1" t="n">
        <x:v>1.05</x:v>
      </x:c>
      <x:c r="F3373" s="1" t="str">
        <x:v>https://api.octopus.energy/v1/products/AGILE-24-10-01/electricity-tariffs/E-1R-AGILE-24-10-01-G/standard-unit-rates/</x:v>
      </x:c>
    </x:row>
    <x:row r="3374" ht="21" customHeight="1">
      <x:c r="A3374" s="24" t="n">
        <x:v>46218.791666666664</x:v>
      </x:c>
      <x:c r="B3374" s="6" t="n">
        <x:v>0.2963</x:v>
      </x:c>
      <x:c r="C3374" s="6" t="n">
        <x:v>0.1617</x:v>
      </x:c>
      <x:c r="D3374" s="6" t="n">
        <x:f>B3374</x:f>
        <x:v>0.2963</x:v>
      </x:c>
      <x:c r="E3374" s="1" t="n">
        <x:v>1.05</x:v>
      </x:c>
      <x:c r="F3374" s="1" t="str">
        <x:v>https://api.octopus.energy/v1/products/AGILE-24-10-01/electricity-tariffs/E-1R-AGILE-24-10-01-G/standard-unit-rates/</x:v>
      </x:c>
    </x:row>
    <x:row r="3375" ht="21" customHeight="1">
      <x:c r="A3375" s="24" t="n">
        <x:v>46218.8125</x:v>
      </x:c>
      <x:c r="B3375" s="6" t="n">
        <x:v>0.30510000000000004</x:v>
      </x:c>
      <x:c r="C3375" s="6" t="n">
        <x:v>0.16579999999999998</x:v>
      </x:c>
      <x:c r="D3375" s="6" t="n">
        <x:f>B3375</x:f>
        <x:v>0.30510000000000004</x:v>
      </x:c>
      <x:c r="E3375" s="1" t="n">
        <x:v>1.05</x:v>
      </x:c>
      <x:c r="F3375" s="1" t="str">
        <x:v>https://api.octopus.energy/v1/products/AGILE-24-10-01/electricity-tariffs/E-1R-AGILE-24-10-01-G/standard-unit-rates/</x:v>
      </x:c>
    </x:row>
    <x:row r="3376" ht="21" customHeight="1">
      <x:c r="A3376" s="24" t="n">
        <x:v>46218.833333333336</x:v>
      </x:c>
      <x:c r="B3376" s="6" t="n">
        <x:v>0.3085</x:v>
      </x:c>
      <x:c r="C3376" s="6" t="n">
        <x:v>0.1673</x:v>
      </x:c>
      <x:c r="D3376" s="6" t="n">
        <x:f>B3376</x:f>
        <x:v>0.3085</x:v>
      </x:c>
      <x:c r="E3376" s="1" t="n">
        <x:v>1.05</x:v>
      </x:c>
      <x:c r="F3376" s="1" t="str">
        <x:v>https://api.octopus.energy/v1/products/AGILE-24-10-01/electricity-tariffs/E-1R-AGILE-24-10-01-G/standard-unit-rates/</x:v>
      </x:c>
    </x:row>
    <x:row r="3377" ht="21" customHeight="1">
      <x:c r="A3377" s="24" t="n">
        <x:v>46218.854166666664</x:v>
      </x:c>
      <x:c r="B3377" s="6" t="n">
        <x:v>0.3055</x:v>
      </x:c>
      <x:c r="C3377" s="6" t="n">
        <x:v>0.1659</x:v>
      </x:c>
      <x:c r="D3377" s="6" t="n">
        <x:f>B3377</x:f>
        <x:v>0.3055</x:v>
      </x:c>
      <x:c r="E3377" s="1" t="n">
        <x:v>1.05</x:v>
      </x:c>
      <x:c r="F3377" s="1" t="str">
        <x:v>https://api.octopus.energy/v1/products/AGILE-24-10-01/electricity-tariffs/E-1R-AGILE-24-10-01-G/standard-unit-rates/</x:v>
      </x:c>
    </x:row>
    <x:row r="3378" ht="21" customHeight="1">
      <x:c r="A3378" s="24" t="n">
        <x:v>46218.875</x:v>
      </x:c>
      <x:c r="B3378" s="6" t="n">
        <x:v>0.3037</x:v>
      </x:c>
      <x:c r="C3378" s="6" t="n">
        <x:v>0.16510000000000002</x:v>
      </x:c>
      <x:c r="D3378" s="6" t="n">
        <x:f>B3378</x:f>
        <x:v>0.3037</x:v>
      </x:c>
      <x:c r="E3378" s="1" t="n">
        <x:v>1.05</x:v>
      </x:c>
      <x:c r="F3378" s="1" t="str">
        <x:v>https://api.octopus.energy/v1/products/AGILE-24-10-01/electricity-tariffs/E-1R-AGILE-24-10-01-G/standard-unit-rates/</x:v>
      </x:c>
    </x:row>
    <x:row r="3379" ht="21" customHeight="1">
      <x:c r="A3379" s="24" t="n">
        <x:v>46218.895833333336</x:v>
      </x:c>
      <x:c r="B3379" s="6" t="n">
        <x:v>0.2945</x:v>
      </x:c>
      <x:c r="C3379" s="6" t="n">
        <x:v>0.1609</x:v>
      </x:c>
      <x:c r="D3379" s="6" t="n">
        <x:f>B3379</x:f>
        <x:v>0.2945</x:v>
      </x:c>
      <x:c r="E3379" s="1" t="n">
        <x:v>1.05</x:v>
      </x:c>
      <x:c r="F3379" s="1" t="str">
        <x:v>https://api.octopus.energy/v1/products/AGILE-24-10-01/electricity-tariffs/E-1R-AGILE-24-10-01-G/standard-unit-rates/</x:v>
      </x:c>
    </x:row>
    <x:row r="3380" ht="21" customHeight="1">
      <x:c r="A3380" s="24" t="n">
        <x:v>46218.916666666664</x:v>
      </x:c>
      <x:c r="B3380" s="6" t="n">
        <x:v>0.2762</x:v>
      </x:c>
      <x:c r="C3380" s="6" t="n">
        <x:v>0.15259999999999999</x:v>
      </x:c>
      <x:c r="D3380" s="6" t="n">
        <x:f>B3380</x:f>
        <x:v>0.2762</x:v>
      </x:c>
      <x:c r="E3380" s="1" t="n">
        <x:v>1.05</x:v>
      </x:c>
      <x:c r="F3380" s="1" t="str">
        <x:v>https://api.octopus.energy/v1/products/AGILE-24-10-01/electricity-tariffs/E-1R-AGILE-24-10-01-G/standard-unit-rates/</x:v>
      </x:c>
    </x:row>
    <x:row r="3381" ht="21" customHeight="1">
      <x:c r="A3381" s="24" t="n">
        <x:v>46218.9375</x:v>
      </x:c>
      <x:c r="B3381" s="6" t="n">
        <x:v>0.2642</x:v>
      </x:c>
      <x:c r="C3381" s="6" t="n">
        <x:v>0.147</x:v>
      </x:c>
      <x:c r="D3381" s="6" t="n">
        <x:f>B3381</x:f>
        <x:v>0.2642</x:v>
      </x:c>
      <x:c r="E3381" s="1" t="n">
        <x:v>1.05</x:v>
      </x:c>
      <x:c r="F3381" s="1" t="str">
        <x:v>https://api.octopus.energy/v1/products/AGILE-24-10-01/electricity-tariffs/E-1R-AGILE-24-10-01-G/standard-unit-rates/</x:v>
      </x:c>
    </x:row>
    <x:row r="3382" ht="21" customHeight="1">
      <x:c r="A3382" s="24" t="n">
        <x:v>46219</x:v>
      </x:c>
      <x:c r="B3382" s="6" t="n">
        <x:v>0.2581</x:v>
      </x:c>
      <x:c r="C3382" s="6" t="n">
        <x:v>0.1442</x:v>
      </x:c>
      <x:c r="D3382" s="6" t="n">
        <x:f>B3382</x:f>
        <x:v>0.2581</x:v>
      </x:c>
      <x:c r="E3382" s="1" t="n">
        <x:v>1.05</x:v>
      </x:c>
      <x:c r="F3382" s="1" t="str">
        <x:v>https://api.octopus.energy/v1/products/AGILE-24-10-01/electricity-tariffs/E-1R-AGILE-24-10-01-G/standard-unit-rates/</x:v>
      </x:c>
    </x:row>
    <x:row r="3383" ht="21" customHeight="1">
      <x:c r="A3383" s="24" t="n">
        <x:v>46218.979166666664</x:v>
      </x:c>
      <x:c r="B3383" s="6" t="n">
        <x:v>0.25420000000000004</x:v>
      </x:c>
      <x:c r="C3383" s="6" t="n">
        <x:v>0.1425</x:v>
      </x:c>
      <x:c r="D3383" s="6" t="n">
        <x:f>B3383</x:f>
        <x:v>0.25420000000000004</x:v>
      </x:c>
      <x:c r="E3383" s="1" t="n">
        <x:v>1.05</x:v>
      </x:c>
      <x:c r="F3383" s="1" t="str">
        <x:v>https://api.octopus.energy/v1/products/AGILE-24-10-01/electricity-tariffs/E-1R-AGILE-24-10-01-G/standard-unit-rates/</x:v>
      </x:c>
    </x:row>
    <x:row r="3384" ht="21" customHeight="1">
      <x:c r="A3384" s="24" t="n">
        <x:v>46219</x:v>
      </x:c>
      <x:c r="B3384" s="6" t="n">
        <x:v>0.24420000000000003</x:v>
      </x:c>
      <x:c r="C3384" s="6" t="n">
        <x:v>0.1379</x:v>
      </x:c>
      <x:c r="D3384" s="6" t="n">
        <x:f>B3384</x:f>
        <x:v>0.24420000000000003</x:v>
      </x:c>
      <x:c r="E3384" s="1" t="n">
        <x:v>1.05</x:v>
      </x:c>
      <x:c r="F3384" s="1" t="str">
        <x:v>https://api.octopus.energy/v1/products/AGILE-24-10-01/electricity-tariffs/E-1R-AGILE-24-10-01-G/standard-unit-rates/</x:v>
      </x:c>
    </x:row>
    <x:row r="3385" ht="21" customHeight="1">
      <x:c r="A3385" s="24" t="n">
        <x:v>46219.020833333336</x:v>
      </x:c>
      <x:c r="B3385" s="6" t="n">
        <x:v>0.2396</x:v>
      </x:c>
      <x:c r="C3385" s="6" t="n">
        <x:v>0.1358</x:v>
      </x:c>
      <x:c r="D3385" s="6" t="n">
        <x:f>B3385</x:f>
        <x:v>0.2396</x:v>
      </x:c>
      <x:c r="E3385" s="1" t="n">
        <x:v>1.05</x:v>
      </x:c>
      <x:c r="F3385" s="1" t="str">
        <x:v>https://api.octopus.energy/v1/products/AGILE-24-10-01/electricity-tariffs/E-1R-AGILE-24-10-01-G/standard-unit-rates/</x:v>
      </x:c>
    </x:row>
    <x:row r="3386" ht="21" customHeight="1">
      <x:c r="A3386" s="24" t="n">
        <x:v>46219.041666666664</x:v>
      </x:c>
      <x:c r="B3386" s="6" t="n">
        <x:v>0.2455</x:v>
      </x:c>
      <x:c r="C3386" s="6" t="n">
        <x:v>0.13849999999999998</x:v>
      </x:c>
      <x:c r="D3386" s="6" t="n">
        <x:f>B3386</x:f>
        <x:v>0.2455</x:v>
      </x:c>
      <x:c r="E3386" s="1" t="n">
        <x:v>1.05</x:v>
      </x:c>
      <x:c r="F3386" s="1" t="str">
        <x:v>https://api.octopus.energy/v1/products/AGILE-24-10-01/electricity-tariffs/E-1R-AGILE-24-10-01-G/standard-unit-rates/</x:v>
      </x:c>
    </x:row>
    <x:row r="3387" ht="21" customHeight="1">
      <x:c r="A3387" s="24" t="n">
        <x:v>46219.0625</x:v>
      </x:c>
      <x:c r="B3387" s="6" t="n">
        <x:v>0.2299</x:v>
      </x:c>
      <x:c r="C3387" s="6" t="n">
        <x:v>0.1313</x:v>
      </x:c>
      <x:c r="D3387" s="6" t="n">
        <x:f>B3387</x:f>
        <x:v>0.2299</x:v>
      </x:c>
      <x:c r="E3387" s="1" t="n">
        <x:v>1.05</x:v>
      </x:c>
      <x:c r="F3387" s="1" t="str">
        <x:v>https://api.octopus.energy/v1/products/AGILE-24-10-01/electricity-tariffs/E-1R-AGILE-24-10-01-G/standard-unit-rates/</x:v>
      </x:c>
    </x:row>
    <x:row r="3388" ht="21" customHeight="1">
      <x:c r="A3388" s="24" t="n">
        <x:v>46219.083333333336</x:v>
      </x:c>
      <x:c r="B3388" s="6" t="n">
        <x:v>0.2318</x:v>
      </x:c>
      <x:c r="C3388" s="6" t="n">
        <x:v>0.1322</x:v>
      </x:c>
      <x:c r="D3388" s="6" t="n">
        <x:f>B3388</x:f>
        <x:v>0.2318</x:v>
      </x:c>
      <x:c r="E3388" s="1" t="n">
        <x:v>1.05</x:v>
      </x:c>
      <x:c r="F3388" s="1" t="str">
        <x:v>https://api.octopus.energy/v1/products/AGILE-24-10-01/electricity-tariffs/E-1R-AGILE-24-10-01-G/standard-unit-rates/</x:v>
      </x:c>
    </x:row>
    <x:row r="3389" ht="21" customHeight="1">
      <x:c r="A3389" s="24" t="n">
        <x:v>46219.104166666664</x:v>
      </x:c>
      <x:c r="B3389" s="6" t="n">
        <x:v>0.22440000000000002</x:v>
      </x:c>
      <x:c r="C3389" s="6" t="n">
        <x:v>0.12890000000000001</x:v>
      </x:c>
      <x:c r="D3389" s="6" t="n">
        <x:f>B3389</x:f>
        <x:v>0.22440000000000002</x:v>
      </x:c>
      <x:c r="E3389" s="1" t="n">
        <x:v>1.05</x:v>
      </x:c>
      <x:c r="F3389" s="1" t="str">
        <x:v>https://api.octopus.energy/v1/products/AGILE-24-10-01/electricity-tariffs/E-1R-AGILE-24-10-01-G/standard-unit-rates/</x:v>
      </x:c>
    </x:row>
    <x:row r="3390" ht="21" customHeight="1">
      <x:c r="A3390" s="24" t="n">
        <x:v>46219.125</x:v>
      </x:c>
      <x:c r="B3390" s="6" t="n">
        <x:v>0.228</x:v>
      </x:c>
      <x:c r="C3390" s="6" t="n">
        <x:v>0.1305</x:v>
      </x:c>
      <x:c r="D3390" s="6" t="n">
        <x:f>B3390</x:f>
        <x:v>0.228</x:v>
      </x:c>
      <x:c r="E3390" s="1" t="n">
        <x:v>1.05</x:v>
      </x:c>
      <x:c r="F3390" s="1" t="str">
        <x:v>https://api.octopus.energy/v1/products/AGILE-24-10-01/electricity-tariffs/E-1R-AGILE-24-10-01-G/standard-unit-rates/</x:v>
      </x:c>
    </x:row>
    <x:row r="3391" ht="21" customHeight="1">
      <x:c r="A3391" s="24" t="n">
        <x:v>46219.145833333336</x:v>
      </x:c>
      <x:c r="B3391" s="6" t="n">
        <x:v>0.2278</x:v>
      </x:c>
      <x:c r="C3391" s="6" t="n">
        <x:v>0.1304</x:v>
      </x:c>
      <x:c r="D3391" s="6" t="n">
        <x:f>B3391</x:f>
        <x:v>0.2278</x:v>
      </x:c>
      <x:c r="E3391" s="1" t="n">
        <x:v>1.05</x:v>
      </x:c>
      <x:c r="F3391" s="1" t="str">
        <x:v>https://api.octopus.energy/v1/products/AGILE-24-10-01/electricity-tariffs/E-1R-AGILE-24-10-01-G/standard-unit-rates/</x:v>
      </x:c>
    </x:row>
    <x:row r="3392" ht="21" customHeight="1">
      <x:c r="A3392" s="24" t="n">
        <x:v>46219.166666666664</x:v>
      </x:c>
      <x:c r="B3392" s="6" t="n">
        <x:v>0.24480000000000002</x:v>
      </x:c>
      <x:c r="C3392" s="6" t="n">
        <x:v>0.1382</x:v>
      </x:c>
      <x:c r="D3392" s="6" t="n">
        <x:f>B3392</x:f>
        <x:v>0.24480000000000002</x:v>
      </x:c>
      <x:c r="E3392" s="1" t="n">
        <x:v>1.05</x:v>
      </x:c>
      <x:c r="F3392" s="1" t="str">
        <x:v>https://api.octopus.energy/v1/products/AGILE-24-10-01/electricity-tariffs/E-1R-AGILE-24-10-01-G/standard-unit-rates/</x:v>
      </x:c>
    </x:row>
    <x:row r="3393" ht="21" customHeight="1">
      <x:c r="A3393" s="24" t="n">
        <x:v>46219.1875</x:v>
      </x:c>
      <x:c r="B3393" s="6" t="n">
        <x:v>0.2345</x:v>
      </x:c>
      <x:c r="C3393" s="6" t="n">
        <x:v>0.1334</x:v>
      </x:c>
      <x:c r="D3393" s="6" t="n">
        <x:f>B3393</x:f>
        <x:v>0.2345</x:v>
      </x:c>
      <x:c r="E3393" s="1" t="n">
        <x:v>1.05</x:v>
      </x:c>
      <x:c r="F3393" s="1" t="str">
        <x:v>https://api.octopus.energy/v1/products/AGILE-24-10-01/electricity-tariffs/E-1R-AGILE-24-10-01-G/standard-unit-rates/</x:v>
      </x:c>
    </x:row>
    <x:row r="3394" ht="21" customHeight="1">
      <x:c r="A3394" s="24" t="n">
        <x:v>46219.208333333336</x:v>
      </x:c>
      <x:c r="B3394" s="6" t="n">
        <x:v>0.2555</x:v>
      </x:c>
      <x:c r="C3394" s="6" t="n">
        <x:v>0.1431</x:v>
      </x:c>
      <x:c r="D3394" s="6" t="n">
        <x:f>B3394</x:f>
        <x:v>0.2555</x:v>
      </x:c>
      <x:c r="E3394" s="1" t="n">
        <x:v>1.05</x:v>
      </x:c>
      <x:c r="F3394" s="1" t="str">
        <x:v>https://api.octopus.energy/v1/products/AGILE-24-10-01/electricity-tariffs/E-1R-AGILE-24-10-01-G/standard-unit-rates/</x:v>
      </x:c>
    </x:row>
    <x:row r="3395" ht="21" customHeight="1">
      <x:c r="A3395" s="24" t="n">
        <x:v>46219.229166666664</x:v>
      </x:c>
      <x:c r="B3395" s="6" t="n">
        <x:v>0.264</x:v>
      </x:c>
      <x:c r="C3395" s="6" t="n">
        <x:v>0.147</x:v>
      </x:c>
      <x:c r="D3395" s="6" t="n">
        <x:f>B3395</x:f>
        <x:v>0.264</x:v>
      </x:c>
      <x:c r="E3395" s="1" t="n">
        <x:v>1.05</x:v>
      </x:c>
      <x:c r="F3395" s="1" t="str">
        <x:v>https://api.octopus.energy/v1/products/AGILE-24-10-01/electricity-tariffs/E-1R-AGILE-24-10-01-G/standard-unit-rates/</x:v>
      </x:c>
    </x:row>
    <x:row r="3396" ht="21" customHeight="1">
      <x:c r="A3396" s="24" t="n">
        <x:v>46219.25</x:v>
      </x:c>
      <x:c r="B3396" s="6" t="n">
        <x:v>0.2614</x:v>
      </x:c>
      <x:c r="C3396" s="6" t="n">
        <x:v>0.1458</x:v>
      </x:c>
      <x:c r="D3396" s="6" t="n">
        <x:f>B3396</x:f>
        <x:v>0.2614</x:v>
      </x:c>
      <x:c r="E3396" s="1" t="n">
        <x:v>1.05</x:v>
      </x:c>
      <x:c r="F3396" s="1" t="str">
        <x:v>https://api.octopus.energy/v1/products/AGILE-24-10-01/electricity-tariffs/E-1R-AGILE-24-10-01-G/standard-unit-rates/</x:v>
      </x:c>
    </x:row>
    <x:row r="3397" ht="21" customHeight="1">
      <x:c r="A3397" s="24" t="n">
        <x:v>46219.270833333336</x:v>
      </x:c>
      <x:c r="B3397" s="6" t="n">
        <x:v>0.2905</x:v>
      </x:c>
      <x:c r="C3397" s="6" t="n">
        <x:v>0.1591</x:v>
      </x:c>
      <x:c r="D3397" s="6" t="n">
        <x:f>B3397</x:f>
        <x:v>0.2905</x:v>
      </x:c>
      <x:c r="E3397" s="1" t="n">
        <x:v>1.05</x:v>
      </x:c>
      <x:c r="F3397" s="1" t="str">
        <x:v>https://api.octopus.energy/v1/products/AGILE-24-10-01/electricity-tariffs/E-1R-AGILE-24-10-01-G/standard-unit-rates/</x:v>
      </x:c>
    </x:row>
    <x:row r="3398" ht="21" customHeight="1">
      <x:c r="A3398" s="24" t="n">
        <x:v>46219.291666666664</x:v>
      </x:c>
      <x:c r="B3398" s="6" t="n">
        <x:v>0.2501</x:v>
      </x:c>
      <x:c r="C3398" s="6" t="n">
        <x:v>0.1406</x:v>
      </x:c>
      <x:c r="D3398" s="6" t="n">
        <x:f>B3398</x:f>
        <x:v>0.2501</x:v>
      </x:c>
      <x:c r="E3398" s="1" t="n">
        <x:v>1.05</x:v>
      </x:c>
      <x:c r="F3398" s="1" t="str">
        <x:v>https://api.octopus.energy/v1/products/AGILE-24-10-01/electricity-tariffs/E-1R-AGILE-24-10-01-G/standard-unit-rates/</x:v>
      </x:c>
    </x:row>
    <x:row r="3399" ht="21" customHeight="1">
      <x:c r="A3399" s="24" t="n">
        <x:v>46219.3125</x:v>
      </x:c>
      <x:c r="B3399" s="6" t="n">
        <x:v>0.27149999999999996</x:v>
      </x:c>
      <x:c r="C3399" s="6" t="n">
        <x:v>0.15039999999999998</x:v>
      </x:c>
      <x:c r="D3399" s="6" t="n">
        <x:f>B3399</x:f>
        <x:v>0.27149999999999996</x:v>
      </x:c>
      <x:c r="E3399" s="1" t="n">
        <x:v>1.05</x:v>
      </x:c>
      <x:c r="F3399" s="1" t="str">
        <x:v>https://api.octopus.energy/v1/products/AGILE-24-10-01/electricity-tariffs/E-1R-AGILE-24-10-01-G/standard-unit-rates/</x:v>
      </x:c>
    </x:row>
    <x:row r="3400" ht="21" customHeight="1">
      <x:c r="A3400" s="24" t="n">
        <x:v>46219.333333333336</x:v>
      </x:c>
      <x:c r="B3400" s="6" t="n">
        <x:v>0.2216</x:v>
      </x:c>
      <x:c r="C3400" s="6" t="n">
        <x:v>0.1276</x:v>
      </x:c>
      <x:c r="D3400" s="6" t="n">
        <x:f>B3400</x:f>
        <x:v>0.2216</x:v>
      </x:c>
      <x:c r="E3400" s="1" t="n">
        <x:v>1.05</x:v>
      </x:c>
      <x:c r="F3400" s="1" t="str">
        <x:v>https://api.octopus.energy/v1/products/AGILE-24-10-01/electricity-tariffs/E-1R-AGILE-24-10-01-G/standard-unit-rates/</x:v>
      </x:c>
    </x:row>
    <x:row r="3401" ht="21" customHeight="1">
      <x:c r="A3401" s="24" t="n">
        <x:v>46219.354166666664</x:v>
      </x:c>
      <x:c r="B3401" s="6" t="n">
        <x:v>0.2175</x:v>
      </x:c>
      <x:c r="C3401" s="6" t="n">
        <x:v>0.1257</x:v>
      </x:c>
      <x:c r="D3401" s="6" t="n">
        <x:f>B3401</x:f>
        <x:v>0.2175</x:v>
      </x:c>
      <x:c r="E3401" s="1" t="n">
        <x:v>1.05</x:v>
      </x:c>
      <x:c r="F3401" s="1" t="str">
        <x:v>https://api.octopus.energy/v1/products/AGILE-24-10-01/electricity-tariffs/E-1R-AGILE-24-10-01-G/standard-unit-rates/</x:v>
      </x:c>
    </x:row>
    <x:row r="3402" ht="21" customHeight="1">
      <x:c r="A3402" s="24" t="n">
        <x:v>46219.375</x:v>
      </x:c>
      <x:c r="B3402" s="6" t="n">
        <x:v>0.1936</x:v>
      </x:c>
      <x:c r="C3402" s="6" t="n">
        <x:v>0.1148</x:v>
      </x:c>
      <x:c r="D3402" s="6" t="n">
        <x:f>B3402</x:f>
        <x:v>0.1936</x:v>
      </x:c>
      <x:c r="E3402" s="1" t="n">
        <x:v>1.05</x:v>
      </x:c>
      <x:c r="F3402" s="1" t="str">
        <x:v>https://api.octopus.energy/v1/products/AGILE-24-10-01/electricity-tariffs/E-1R-AGILE-24-10-01-G/standard-unit-rates/</x:v>
      </x:c>
    </x:row>
    <x:row r="3403" ht="21" customHeight="1">
      <x:c r="A3403" s="24" t="n">
        <x:v>46219.395833333336</x:v>
      </x:c>
      <x:c r="B3403" s="6" t="n">
        <x:v>0.19440000000000002</x:v>
      </x:c>
      <x:c r="C3403" s="6" t="n">
        <x:v>0.1152</x:v>
      </x:c>
      <x:c r="D3403" s="6" t="n">
        <x:f>B3403</x:f>
        <x:v>0.19440000000000002</x:v>
      </x:c>
      <x:c r="E3403" s="1" t="n">
        <x:v>1.05</x:v>
      </x:c>
      <x:c r="F3403" s="1" t="str">
        <x:v>https://api.octopus.energy/v1/products/AGILE-24-10-01/electricity-tariffs/E-1R-AGILE-24-10-01-G/standard-unit-rates/</x:v>
      </x:c>
    </x:row>
    <x:row r="3404" ht="21" customHeight="1">
      <x:c r="A3404" s="24" t="n">
        <x:v>46219.416666666664</x:v>
      </x:c>
      <x:c r="B3404" s="6" t="n">
        <x:v>0.1956</x:v>
      </x:c>
      <x:c r="C3404" s="6" t="n">
        <x:v>0.1157</x:v>
      </x:c>
      <x:c r="D3404" s="6" t="n">
        <x:f>B3404</x:f>
        <x:v>0.1956</x:v>
      </x:c>
      <x:c r="E3404" s="1" t="n">
        <x:v>1.05</x:v>
      </x:c>
      <x:c r="F3404" s="1" t="str">
        <x:v>https://api.octopus.energy/v1/products/AGILE-24-10-01/electricity-tariffs/E-1R-AGILE-24-10-01-G/standard-unit-rates/</x:v>
      </x:c>
    </x:row>
    <x:row r="3405" ht="21" customHeight="1">
      <x:c r="A3405" s="24" t="n">
        <x:v>46219.4375</x:v>
      </x:c>
      <x:c r="B3405" s="6" t="n">
        <x:v>0.183</x:v>
      </x:c>
      <x:c r="C3405" s="6" t="n">
        <x:v>0.1099</x:v>
      </x:c>
      <x:c r="D3405" s="6" t="n">
        <x:f>B3405</x:f>
        <x:v>0.183</x:v>
      </x:c>
      <x:c r="E3405" s="1" t="n">
        <x:v>1.05</x:v>
      </x:c>
      <x:c r="F3405" s="1" t="str">
        <x:v>https://api.octopus.energy/v1/products/AGILE-24-10-01/electricity-tariffs/E-1R-AGILE-24-10-01-G/standard-unit-rates/</x:v>
      </x:c>
    </x:row>
    <x:row r="3406" ht="21" customHeight="1">
      <x:c r="A3406" s="24" t="n">
        <x:v>46219.458333333336</x:v>
      </x:c>
      <x:c r="B3406" s="6" t="n">
        <x:v>0.1809</x:v>
      </x:c>
      <x:c r="C3406" s="6" t="n">
        <x:v>0.109</x:v>
      </x:c>
      <x:c r="D3406" s="6" t="n">
        <x:f>B3406</x:f>
        <x:v>0.1809</x:v>
      </x:c>
      <x:c r="E3406" s="1" t="n">
        <x:v>1.05</x:v>
      </x:c>
      <x:c r="F3406" s="1" t="str">
        <x:v>https://api.octopus.energy/v1/products/AGILE-24-10-01/electricity-tariffs/E-1R-AGILE-24-10-01-G/standard-unit-rates/</x:v>
      </x:c>
    </x:row>
    <x:row r="3407" ht="21" customHeight="1">
      <x:c r="A3407" s="24" t="n">
        <x:v>46219.479166666664</x:v>
      </x:c>
      <x:c r="B3407" s="6" t="n">
        <x:v>0.17809999999999998</x:v>
      </x:c>
      <x:c r="C3407" s="6" t="n">
        <x:v>0.10769999999999999</x:v>
      </x:c>
      <x:c r="D3407" s="6" t="n">
        <x:f>B3407</x:f>
        <x:v>0.17809999999999998</x:v>
      </x:c>
      <x:c r="E3407" s="1" t="n">
        <x:v>1.05</x:v>
      </x:c>
      <x:c r="F3407" s="1" t="str">
        <x:v>https://api.octopus.energy/v1/products/AGILE-24-10-01/electricity-tariffs/E-1R-AGILE-24-10-01-G/standard-unit-rates/</x:v>
      </x:c>
    </x:row>
    <x:row r="3408" ht="21" customHeight="1">
      <x:c r="A3408" s="24" t="n">
        <x:v>46219.5</x:v>
      </x:c>
      <x:c r="B3408" s="6" t="n">
        <x:v>0.18309999999999998</x:v>
      </x:c>
      <x:c r="C3408" s="6" t="n">
        <x:v>0.11</x:v>
      </x:c>
      <x:c r="D3408" s="6" t="n">
        <x:f>B3408</x:f>
        <x:v>0.18309999999999998</x:v>
      </x:c>
      <x:c r="E3408" s="1" t="n">
        <x:v>1.05</x:v>
      </x:c>
      <x:c r="F3408" s="1" t="str">
        <x:v>https://api.octopus.energy/v1/products/AGILE-24-10-01/electricity-tariffs/E-1R-AGILE-24-10-01-G/standard-unit-rates/</x:v>
      </x:c>
    </x:row>
    <x:row r="3409" ht="21" customHeight="1">
      <x:c r="A3409" s="24" t="n">
        <x:v>46219.520833333336</x:v>
      </x:c>
      <x:c r="B3409" s="6" t="n">
        <x:v>0.1766</x:v>
      </x:c>
      <x:c r="C3409" s="6" t="n">
        <x:v>0.107</x:v>
      </x:c>
      <x:c r="D3409" s="6" t="n">
        <x:f>B3409</x:f>
        <x:v>0.1766</x:v>
      </x:c>
      <x:c r="E3409" s="1" t="n">
        <x:v>1.05</x:v>
      </x:c>
      <x:c r="F3409" s="1" t="str">
        <x:v>https://api.octopus.energy/v1/products/AGILE-24-10-01/electricity-tariffs/E-1R-AGILE-24-10-01-G/standard-unit-rates/</x:v>
      </x:c>
    </x:row>
    <x:row r="3410" ht="21" customHeight="1">
      <x:c r="A3410" s="24" t="n">
        <x:v>46219.541666666664</x:v>
      </x:c>
      <x:c r="B3410" s="6" t="n">
        <x:v>0.16820000000000002</x:v>
      </x:c>
      <x:c r="C3410" s="6" t="n">
        <x:v>0.1032</x:v>
      </x:c>
      <x:c r="D3410" s="6" t="n">
        <x:f>B3410</x:f>
        <x:v>0.16820000000000002</x:v>
      </x:c>
      <x:c r="E3410" s="1" t="n">
        <x:v>1.05</x:v>
      </x:c>
      <x:c r="F3410" s="1" t="str">
        <x:v>https://api.octopus.energy/v1/products/AGILE-24-10-01/electricity-tariffs/E-1R-AGILE-24-10-01-G/standard-unit-rates/</x:v>
      </x:c>
    </x:row>
    <x:row r="3411" ht="21" customHeight="1">
      <x:c r="A3411" s="24" t="n">
        <x:v>46219.5625</x:v>
      </x:c>
      <x:c r="B3411" s="6" t="n">
        <x:v>0.16820000000000002</x:v>
      </x:c>
      <x:c r="C3411" s="6" t="n">
        <x:v>0.1032</x:v>
      </x:c>
      <x:c r="D3411" s="6" t="n">
        <x:f>B3411</x:f>
        <x:v>0.16820000000000002</x:v>
      </x:c>
      <x:c r="E3411" s="1" t="n">
        <x:v>1.05</x:v>
      </x:c>
      <x:c r="F3411" s="1" t="str">
        <x:v>https://api.octopus.energy/v1/products/AGILE-24-10-01/electricity-tariffs/E-1R-AGILE-24-10-01-G/standard-unit-rates/</x:v>
      </x:c>
    </x:row>
    <x:row r="3412" ht="21" customHeight="1">
      <x:c r="A3412" s="24" t="n">
        <x:v>46219.583333333336</x:v>
      </x:c>
      <x:c r="B3412" s="6" t="n">
        <x:v>0.17800000000000002</x:v>
      </x:c>
      <x:c r="C3412" s="6" t="n">
        <x:v>0.1076</x:v>
      </x:c>
      <x:c r="D3412" s="6" t="n">
        <x:f>B3412</x:f>
        <x:v>0.17800000000000002</x:v>
      </x:c>
      <x:c r="E3412" s="1" t="n">
        <x:v>1.05</x:v>
      </x:c>
      <x:c r="F3412" s="1" t="str">
        <x:v>https://api.octopus.energy/v1/products/AGILE-24-10-01/electricity-tariffs/E-1R-AGILE-24-10-01-G/standard-unit-rates/</x:v>
      </x:c>
    </x:row>
    <x:row r="3413" ht="21" customHeight="1">
      <x:c r="A3413" s="24" t="n">
        <x:v>46219.604166666664</x:v>
      </x:c>
      <x:c r="B3413" s="6" t="n">
        <x:v>0.1935</x:v>
      </x:c>
      <x:c r="C3413" s="6" t="n">
        <x:v>0.11470000000000001</x:v>
      </x:c>
      <x:c r="D3413" s="6" t="n">
        <x:f>B3413</x:f>
        <x:v>0.1935</x:v>
      </x:c>
      <x:c r="E3413" s="1" t="n">
        <x:v>1.05</x:v>
      </x:c>
      <x:c r="F3413" s="1" t="str">
        <x:v>https://api.octopus.energy/v1/products/AGILE-24-10-01/electricity-tariffs/E-1R-AGILE-24-10-01-G/standard-unit-rates/</x:v>
      </x:c>
    </x:row>
    <x:row r="3414" ht="21" customHeight="1">
      <x:c r="A3414" s="24" t="n">
        <x:v>46219.625</x:v>
      </x:c>
      <x:c r="B3414" s="6" t="n">
        <x:v>0.1997</x:v>
      </x:c>
      <x:c r="C3414" s="6" t="n">
        <x:v>0.1176</x:v>
      </x:c>
      <x:c r="D3414" s="6" t="n">
        <x:f>B3414</x:f>
        <x:v>0.1997</x:v>
      </x:c>
      <x:c r="E3414" s="1" t="n">
        <x:v>1.05</x:v>
      </x:c>
      <x:c r="F3414" s="1" t="str">
        <x:v>https://api.octopus.energy/v1/products/AGILE-24-10-01/electricity-tariffs/E-1R-AGILE-24-10-01-G/standard-unit-rates/</x:v>
      </x:c>
    </x:row>
    <x:row r="3415" ht="21" customHeight="1">
      <x:c r="A3415" s="24" t="n">
        <x:v>46219.645833333336</x:v>
      </x:c>
      <x:c r="B3415" s="6" t="n">
        <x:v>0.1997</x:v>
      </x:c>
      <x:c r="C3415" s="6" t="n">
        <x:v>0.1176</x:v>
      </x:c>
      <x:c r="D3415" s="6" t="n">
        <x:f>B3415</x:f>
        <x:v>0.1997</x:v>
      </x:c>
      <x:c r="E3415" s="1" t="n">
        <x:v>1.05</x:v>
      </x:c>
      <x:c r="F3415" s="1" t="str">
        <x:v>https://api.octopus.energy/v1/products/AGILE-24-10-01/electricity-tariffs/E-1R-AGILE-24-10-01-G/standard-unit-rates/</x:v>
      </x:c>
    </x:row>
    <x:row r="3416" ht="21" customHeight="1">
      <x:c r="A3416" s="24" t="n">
        <x:v>46219.666666666664</x:v>
      </x:c>
      <x:c r="B3416" s="6" t="n">
        <x:v>0.3386</x:v>
      </x:c>
      <x:c r="C3416" s="6" t="n">
        <x:v>0.18510000000000001</x:v>
      </x:c>
      <x:c r="D3416" s="6" t="n">
        <x:f>B3416</x:f>
        <x:v>0.3386</x:v>
      </x:c>
      <x:c r="E3416" s="1" t="n">
        <x:v>1.05</x:v>
      </x:c>
      <x:c r="F3416" s="1" t="str">
        <x:v>https://api.octopus.energy/v1/products/AGILE-24-10-01/electricity-tariffs/E-1R-AGILE-24-10-01-G/standard-unit-rates/</x:v>
      </x:c>
    </x:row>
    <x:row r="3417" ht="21" customHeight="1">
      <x:c r="A3417" s="24" t="n">
        <x:v>46219.6875</x:v>
      </x:c>
      <x:c r="B3417" s="6" t="n">
        <x:v>0.326</x:v>
      </x:c>
      <x:c r="C3417" s="6" t="n">
        <x:v>0.1793</x:v>
      </x:c>
      <x:c r="D3417" s="6" t="n">
        <x:f>B3417</x:f>
        <x:v>0.326</x:v>
      </x:c>
      <x:c r="E3417" s="1" t="n">
        <x:v>1.05</x:v>
      </x:c>
      <x:c r="F3417" s="1" t="str">
        <x:v>https://api.octopus.energy/v1/products/AGILE-24-10-01/electricity-tariffs/E-1R-AGILE-24-10-01-G/standard-unit-rates/</x:v>
      </x:c>
    </x:row>
    <x:row r="3418" ht="21" customHeight="1">
      <x:c r="A3418" s="24" t="n">
        <x:v>46219.708333333336</x:v>
      </x:c>
      <x:c r="B3418" s="6" t="n">
        <x:v>0.37770000000000004</x:v>
      </x:c>
      <x:c r="C3418" s="6" t="n">
        <x:v>0.203</x:v>
      </x:c>
      <x:c r="D3418" s="6" t="n">
        <x:f>B3418</x:f>
        <x:v>0.37770000000000004</x:v>
      </x:c>
      <x:c r="E3418" s="1" t="n">
        <x:v>1.05</x:v>
      </x:c>
      <x:c r="F3418" s="1" t="str">
        <x:v>https://api.octopus.energy/v1/products/AGILE-24-10-01/electricity-tariffs/E-1R-AGILE-24-10-01-G/standard-unit-rates/</x:v>
      </x:c>
    </x:row>
    <x:row r="3419" ht="21" customHeight="1">
      <x:c r="A3419" s="24" t="n">
        <x:v>46219.729166666664</x:v>
      </x:c>
      <x:c r="B3419" s="6" t="n">
        <x:v>0.41</x:v>
      </x:c>
      <x:c r="C3419" s="6" t="n">
        <x:v>0.2177</x:v>
      </x:c>
      <x:c r="D3419" s="6" t="n">
        <x:f>B3419</x:f>
        <x:v>0.41</x:v>
      </x:c>
      <x:c r="E3419" s="1" t="n">
        <x:v>1.05</x:v>
      </x:c>
      <x:c r="F3419" s="1" t="str">
        <x:v>https://api.octopus.energy/v1/products/AGILE-24-10-01/electricity-tariffs/E-1R-AGILE-24-10-01-G/standard-unit-rates/</x:v>
      </x:c>
    </x:row>
    <x:row r="3420" ht="21" customHeight="1">
      <x:c r="A3420" s="24" t="n">
        <x:v>46219.75</x:v>
      </x:c>
      <x:c r="B3420" s="6" t="n">
        <x:v>0.4571</x:v>
      </x:c>
      <x:c r="C3420" s="6" t="n">
        <x:v>0.23929999999999998</x:v>
      </x:c>
      <x:c r="D3420" s="6" t="n">
        <x:f>B3420</x:f>
        <x:v>0.4571</x:v>
      </x:c>
      <x:c r="E3420" s="1" t="n">
        <x:v>1.05</x:v>
      </x:c>
      <x:c r="F3420" s="1" t="str">
        <x:v>https://api.octopus.energy/v1/products/AGILE-24-10-01/electricity-tariffs/E-1R-AGILE-24-10-01-G/standard-unit-rates/</x:v>
      </x:c>
    </x:row>
    <x:row r="3421" ht="21" customHeight="1">
      <x:c r="A3421" s="24" t="n">
        <x:v>46219.770833333336</x:v>
      </x:c>
      <x:c r="B3421" s="6" t="n">
        <x:v>0.4941</x:v>
      </x:c>
      <x:c r="C3421" s="6" t="n">
        <x:v>0.2562</x:v>
      </x:c>
      <x:c r="D3421" s="6" t="n">
        <x:f>B3421</x:f>
        <x:v>0.4941</x:v>
      </x:c>
      <x:c r="E3421" s="1" t="n">
        <x:v>1.05</x:v>
      </x:c>
      <x:c r="F3421" s="1" t="str">
        <x:v>https://api.octopus.energy/v1/products/AGILE-24-10-01/electricity-tariffs/E-1R-AGILE-24-10-01-G/standard-unit-rates/</x:v>
      </x:c>
    </x:row>
    <x:row r="3422" ht="21" customHeight="1">
      <x:c r="A3422" s="24" t="n">
        <x:v>46219.791666666664</x:v>
      </x:c>
      <x:c r="B3422" s="6" t="n">
        <x:v>0.38159999999999994</x:v>
      </x:c>
      <x:c r="C3422" s="6" t="n">
        <x:v>0.2007</x:v>
      </x:c>
      <x:c r="D3422" s="6" t="n">
        <x:f>B3422</x:f>
        <x:v>0.38159999999999994</x:v>
      </x:c>
      <x:c r="E3422" s="1" t="n">
        <x:v>1.05</x:v>
      </x:c>
      <x:c r="F3422" s="1" t="str">
        <x:v>https://api.octopus.energy/v1/products/AGILE-24-10-01/electricity-tariffs/E-1R-AGILE-24-10-01-G/standard-unit-rates/</x:v>
      </x:c>
    </x:row>
    <x:row r="3423" ht="21" customHeight="1">
      <x:c r="A3423" s="24" t="n">
        <x:v>46219.8125</x:v>
      </x:c>
      <x:c r="B3423" s="6" t="n">
        <x:v>0.37</x:v>
      </x:c>
      <x:c r="C3423" s="6" t="n">
        <x:v>0.1954</x:v>
      </x:c>
      <x:c r="D3423" s="6" t="n">
        <x:f>B3423</x:f>
        <x:v>0.37</x:v>
      </x:c>
      <x:c r="E3423" s="1" t="n">
        <x:v>1.05</x:v>
      </x:c>
      <x:c r="F3423" s="1" t="str">
        <x:v>https://api.octopus.energy/v1/products/AGILE-24-10-01/electricity-tariffs/E-1R-AGILE-24-10-01-G/standard-unit-rates/</x:v>
      </x:c>
    </x:row>
    <x:row r="3424" ht="21" customHeight="1">
      <x:c r="A3424" s="24" t="n">
        <x:v>46219.833333333336</x:v>
      </x:c>
      <x:c r="B3424" s="6" t="n">
        <x:v>0.36939999999999995</x:v>
      </x:c>
      <x:c r="C3424" s="6" t="n">
        <x:v>0.19510000000000002</x:v>
      </x:c>
      <x:c r="D3424" s="6" t="n">
        <x:f>B3424</x:f>
        <x:v>0.36939999999999995</x:v>
      </x:c>
      <x:c r="E3424" s="1" t="n">
        <x:v>1.05</x:v>
      </x:c>
      <x:c r="F3424" s="1" t="str">
        <x:v>https://api.octopus.energy/v1/products/AGILE-24-10-01/electricity-tariffs/E-1R-AGILE-24-10-01-G/standard-unit-rates/</x:v>
      </x:c>
    </x:row>
    <x:row r="3425" ht="21" customHeight="1">
      <x:c r="A3425" s="24" t="n">
        <x:v>46219.854166666664</x:v>
      </x:c>
      <x:c r="B3425" s="6" t="n">
        <x:v>0.36950000000000005</x:v>
      </x:c>
      <x:c r="C3425" s="6" t="n">
        <x:v>0.19519999999999998</x:v>
      </x:c>
      <x:c r="D3425" s="6" t="n">
        <x:f>B3425</x:f>
        <x:v>0.36950000000000005</x:v>
      </x:c>
      <x:c r="E3425" s="1" t="n">
        <x:v>1.05</x:v>
      </x:c>
      <x:c r="F3425" s="1" t="str">
        <x:v>https://api.octopus.energy/v1/products/AGILE-24-10-01/electricity-tariffs/E-1R-AGILE-24-10-01-G/standard-unit-rates/</x:v>
      </x:c>
    </x:row>
    <x:row r="3426" ht="21" customHeight="1">
      <x:c r="A3426" s="24" t="n">
        <x:v>46219.875</x:v>
      </x:c>
      <x:c r="B3426" s="6" t="n">
        <x:v>0.35359999999999997</x:v>
      </x:c>
      <x:c r="C3426" s="6" t="n">
        <x:v>0.18789999999999998</x:v>
      </x:c>
      <x:c r="D3426" s="6" t="n">
        <x:f>B3426</x:f>
        <x:v>0.35359999999999997</x:v>
      </x:c>
      <x:c r="E3426" s="1" t="n">
        <x:v>1.05</x:v>
      </x:c>
      <x:c r="F3426" s="1" t="str">
        <x:v>https://api.octopus.energy/v1/products/AGILE-24-10-01/electricity-tariffs/E-1R-AGILE-24-10-01-G/standard-unit-rates/</x:v>
      </x:c>
    </x:row>
    <x:row r="3427" ht="21" customHeight="1">
      <x:c r="A3427" s="24" t="n">
        <x:v>46219.895833333336</x:v>
      </x:c>
      <x:c r="B3427" s="6" t="n">
        <x:v>0.3362</x:v>
      </x:c>
      <x:c r="C3427" s="6" t="n">
        <x:v>0.18</x:v>
      </x:c>
      <x:c r="D3427" s="6" t="n">
        <x:f>B3427</x:f>
        <x:v>0.3362</x:v>
      </x:c>
      <x:c r="E3427" s="1" t="n">
        <x:v>1.05</x:v>
      </x:c>
      <x:c r="F3427" s="1" t="str">
        <x:v>https://api.octopus.energy/v1/products/AGILE-24-10-01/electricity-tariffs/E-1R-AGILE-24-10-01-G/standard-unit-rates/</x:v>
      </x:c>
    </x:row>
    <x:row r="3428" ht="21" customHeight="1">
      <x:c r="A3428" s="24" t="n">
        <x:v>46219.916666666664</x:v>
      </x:c>
      <x:c r="B3428" s="6" t="n">
        <x:v>0.3236</x:v>
      </x:c>
      <x:c r="C3428" s="6" t="n">
        <x:v>0.17420000000000002</x:v>
      </x:c>
      <x:c r="D3428" s="6" t="n">
        <x:f>B3428</x:f>
        <x:v>0.3236</x:v>
      </x:c>
      <x:c r="E3428" s="1" t="n">
        <x:v>1.05</x:v>
      </x:c>
      <x:c r="F3428" s="1" t="str">
        <x:v>https://api.octopus.energy/v1/products/AGILE-24-10-01/electricity-tariffs/E-1R-AGILE-24-10-01-G/standard-unit-rates/</x:v>
      </x:c>
    </x:row>
    <x:row r="3429" ht="21" customHeight="1">
      <x:c r="A3429" s="24" t="n">
        <x:v>46219.9375</x:v>
      </x:c>
      <x:c r="B3429" s="6" t="n">
        <x:v>0.2956</x:v>
      </x:c>
      <x:c r="C3429" s="6" t="n">
        <x:v>0.16140000000000002</x:v>
      </x:c>
      <x:c r="D3429" s="6" t="n">
        <x:f>B3429</x:f>
        <x:v>0.2956</x:v>
      </x:c>
      <x:c r="E3429" s="1" t="n">
        <x:v>1.05</x:v>
      </x:c>
      <x:c r="F3429" s="1" t="str">
        <x:v>https://api.octopus.energy/v1/products/AGILE-24-10-01/electricity-tariffs/E-1R-AGILE-24-10-01-G/standard-unit-rates/</x:v>
      </x:c>
    </x:row>
    <x:row r="3430" ht="21" customHeight="1">
      <x:c r="A3430" s="24" t="n">
        <x:v>46220</x:v>
      </x:c>
      <x:c r="B3430" s="6" t="n">
        <x:v>0.2753</x:v>
      </x:c>
      <x:c r="C3430" s="6" t="n">
        <x:v>0.1521</x:v>
      </x:c>
      <x:c r="D3430" s="6" t="n">
        <x:f>B3430</x:f>
        <x:v>0.2753</x:v>
      </x:c>
      <x:c r="E3430" s="1" t="n">
        <x:v>1.05</x:v>
      </x:c>
      <x:c r="F3430" s="1" t="str">
        <x:v>https://api.octopus.energy/v1/products/AGILE-24-10-01/electricity-tariffs/E-1R-AGILE-24-10-01-G/standard-unit-rates/</x:v>
      </x:c>
    </x:row>
    <x:row r="3431" ht="21" customHeight="1">
      <x:c r="A3431" s="24" t="n">
        <x:v>46219.979166666664</x:v>
      </x:c>
      <x:c r="B3431" s="6" t="n">
        <x:v>0.2747</x:v>
      </x:c>
      <x:c r="C3431" s="6" t="n">
        <x:v>0.1518</x:v>
      </x:c>
      <x:c r="D3431" s="6" t="n">
        <x:f>B3431</x:f>
        <x:v>0.2747</x:v>
      </x:c>
      <x:c r="E3431" s="1" t="n">
        <x:v>1.05</x:v>
      </x:c>
      <x:c r="F3431" s="1" t="str">
        <x:v>https://api.octopus.energy/v1/products/AGILE-24-10-01/electricity-tariffs/E-1R-AGILE-24-10-01-G/standard-unit-rates/</x:v>
      </x:c>
    </x:row>
    <x:row r="3432" ht="21" customHeight="1">
      <x:c r="A3432" s="24" t="n">
        <x:v>46220</x:v>
      </x:c>
      <x:c r="B3432" s="6" t="n">
        <x:v>0.2522</x:v>
      </x:c>
      <x:c r="C3432" s="6" t="n">
        <x:v>0.1416</x:v>
      </x:c>
      <x:c r="D3432" s="6" t="n">
        <x:f>B3432</x:f>
        <x:v>0.2522</x:v>
      </x:c>
      <x:c r="E3432" s="1" t="n">
        <x:v>1.05</x:v>
      </x:c>
      <x:c r="F3432" s="1" t="str">
        <x:v>https://api.octopus.energy/v1/products/AGILE-24-10-01/electricity-tariffs/E-1R-AGILE-24-10-01-G/standard-unit-rates/</x:v>
      </x:c>
    </x:row>
    <x:row r="3433" ht="21" customHeight="1">
      <x:c r="A3433" s="24" t="n">
        <x:v>46220.020833333336</x:v>
      </x:c>
      <x:c r="B3433" s="6" t="n">
        <x:v>0.2484</x:v>
      </x:c>
      <x:c r="C3433" s="6" t="n">
        <x:v>0.1398</x:v>
      </x:c>
      <x:c r="D3433" s="6" t="n">
        <x:f>B3433</x:f>
        <x:v>0.2484</x:v>
      </x:c>
      <x:c r="E3433" s="1" t="n">
        <x:v>1.05</x:v>
      </x:c>
      <x:c r="F3433" s="1" t="str">
        <x:v>https://api.octopus.energy/v1/products/AGILE-24-10-01/electricity-tariffs/E-1R-AGILE-24-10-01-G/standard-unit-rates/</x:v>
      </x:c>
    </x:row>
    <x:row r="3434" ht="21" customHeight="1">
      <x:c r="A3434" s="24" t="n">
        <x:v>46220.041666666664</x:v>
      </x:c>
      <x:c r="B3434" s="6" t="n">
        <x:v>0.2354</x:v>
      </x:c>
      <x:c r="C3434" s="6" t="n">
        <x:v>0.13390000000000002</x:v>
      </x:c>
      <x:c r="D3434" s="6" t="n">
        <x:f>B3434</x:f>
        <x:v>0.2354</x:v>
      </x:c>
      <x:c r="E3434" s="1" t="n">
        <x:v>1.05</x:v>
      </x:c>
      <x:c r="F3434" s="1" t="str">
        <x:v>https://api.octopus.energy/v1/products/AGILE-24-10-01/electricity-tariffs/E-1R-AGILE-24-10-01-G/standard-unit-rates/</x:v>
      </x:c>
    </x:row>
    <x:row r="3435" ht="21" customHeight="1">
      <x:c r="A3435" s="24" t="n">
        <x:v>46220.0625</x:v>
      </x:c>
      <x:c r="B3435" s="6" t="n">
        <x:v>0.2366</x:v>
      </x:c>
      <x:c r="C3435" s="6" t="n">
        <x:v>0.1344</x:v>
      </x:c>
      <x:c r="D3435" s="6" t="n">
        <x:f>B3435</x:f>
        <x:v>0.2366</x:v>
      </x:c>
      <x:c r="E3435" s="1" t="n">
        <x:v>1.05</x:v>
      </x:c>
      <x:c r="F3435" s="1" t="str">
        <x:v>https://api.octopus.energy/v1/products/AGILE-24-10-01/electricity-tariffs/E-1R-AGILE-24-10-01-G/standard-unit-rates/</x:v>
      </x:c>
    </x:row>
    <x:row r="3436" ht="21" customHeight="1">
      <x:c r="A3436" s="24" t="n">
        <x:v>46220.083333333336</x:v>
      </x:c>
      <x:c r="B3436" s="6" t="n">
        <x:v>0.2291</x:v>
      </x:c>
      <x:c r="C3436" s="6" t="n">
        <x:v>0.131</x:v>
      </x:c>
      <x:c r="D3436" s="6" t="n">
        <x:f>B3436</x:f>
        <x:v>0.2291</x:v>
      </x:c>
      <x:c r="E3436" s="1" t="n">
        <x:v>1.05</x:v>
      </x:c>
      <x:c r="F3436" s="1" t="str">
        <x:v>https://api.octopus.energy/v1/products/AGILE-24-10-01/electricity-tariffs/E-1R-AGILE-24-10-01-G/standard-unit-rates/</x:v>
      </x:c>
    </x:row>
    <x:row r="3437" ht="21" customHeight="1">
      <x:c r="A3437" s="24" t="n">
        <x:v>46220.104166666664</x:v>
      </x:c>
      <x:c r="B3437" s="6" t="n">
        <x:v>0.2225</x:v>
      </x:c>
      <x:c r="C3437" s="6" t="n">
        <x:v>0.128</x:v>
      </x:c>
      <x:c r="D3437" s="6" t="n">
        <x:f>B3437</x:f>
        <x:v>0.2225</x:v>
      </x:c>
      <x:c r="E3437" s="1" t="n">
        <x:v>1.05</x:v>
      </x:c>
      <x:c r="F3437" s="1" t="str">
        <x:v>https://api.octopus.energy/v1/products/AGILE-24-10-01/electricity-tariffs/E-1R-AGILE-24-10-01-G/standard-unit-rates/</x:v>
      </x:c>
    </x:row>
    <x:row r="3438" ht="21" customHeight="1">
      <x:c r="A3438" s="24" t="n">
        <x:v>46220.125</x:v>
      </x:c>
      <x:c r="B3438" s="6" t="n">
        <x:v>0.22579999999999997</x:v>
      </x:c>
      <x:c r="C3438" s="6" t="n">
        <x:v>0.1295</x:v>
      </x:c>
      <x:c r="D3438" s="6" t="n">
        <x:f>B3438</x:f>
        <x:v>0.22579999999999997</x:v>
      </x:c>
      <x:c r="E3438" s="1" t="n">
        <x:v>1.05</x:v>
      </x:c>
      <x:c r="F3438" s="1" t="str">
        <x:v>https://api.octopus.energy/v1/products/AGILE-24-10-01/electricity-tariffs/E-1R-AGILE-24-10-01-G/standard-unit-rates/</x:v>
      </x:c>
    </x:row>
    <x:row r="3439" ht="21" customHeight="1">
      <x:c r="A3439" s="24" t="n">
        <x:v>46220.145833333336</x:v>
      </x:c>
      <x:c r="B3439" s="6" t="n">
        <x:v>0.2224</x:v>
      </x:c>
      <x:c r="C3439" s="6" t="n">
        <x:v>0.12789999999999999</x:v>
      </x:c>
      <x:c r="D3439" s="6" t="n">
        <x:f>B3439</x:f>
        <x:v>0.2224</x:v>
      </x:c>
      <x:c r="E3439" s="1" t="n">
        <x:v>1.05</x:v>
      </x:c>
      <x:c r="F3439" s="1" t="str">
        <x:v>https://api.octopus.energy/v1/products/AGILE-24-10-01/electricity-tariffs/E-1R-AGILE-24-10-01-G/standard-unit-rates/</x:v>
      </x:c>
    </x:row>
    <x:row r="3440" ht="21" customHeight="1">
      <x:c r="A3440" s="24" t="n">
        <x:v>46220.166666666664</x:v>
      </x:c>
      <x:c r="B3440" s="6" t="n">
        <x:v>0.2253</x:v>
      </x:c>
      <x:c r="C3440" s="6" t="n">
        <x:v>0.1293</x:v>
      </x:c>
      <x:c r="D3440" s="6" t="n">
        <x:f>B3440</x:f>
        <x:v>0.2253</x:v>
      </x:c>
      <x:c r="E3440" s="1" t="n">
        <x:v>1.05</x:v>
      </x:c>
      <x:c r="F3440" s="1" t="str">
        <x:v>https://api.octopus.energy/v1/products/AGILE-24-10-01/electricity-tariffs/E-1R-AGILE-24-10-01-G/standard-unit-rates/</x:v>
      </x:c>
    </x:row>
    <x:row r="3441" ht="21" customHeight="1">
      <x:c r="A3441" s="24" t="n">
        <x:v>46220.1875</x:v>
      </x:c>
      <x:c r="B3441" s="6" t="n">
        <x:v>0.222</x:v>
      </x:c>
      <x:c r="C3441" s="6" t="n">
        <x:v>0.1277</x:v>
      </x:c>
      <x:c r="D3441" s="6" t="n">
        <x:f>B3441</x:f>
        <x:v>0.222</x:v>
      </x:c>
      <x:c r="E3441" s="1" t="n">
        <x:v>1.05</x:v>
      </x:c>
      <x:c r="F3441" s="1" t="str">
        <x:v>https://api.octopus.energy/v1/products/AGILE-24-10-01/electricity-tariffs/E-1R-AGILE-24-10-01-G/standard-unit-rates/</x:v>
      </x:c>
    </x:row>
    <x:row r="3442" ht="21" customHeight="1">
      <x:c r="A3442" s="24" t="n">
        <x:v>46220.208333333336</x:v>
      </x:c>
      <x:c r="B3442" s="6" t="n">
        <x:v>0.2426</x:v>
      </x:c>
      <x:c r="C3442" s="6" t="n">
        <x:v>0.13720000000000002</x:v>
      </x:c>
      <x:c r="D3442" s="6" t="n">
        <x:f>B3442</x:f>
        <x:v>0.2426</x:v>
      </x:c>
      <x:c r="E3442" s="1" t="n">
        <x:v>1.05</x:v>
      </x:c>
      <x:c r="F3442" s="1" t="str">
        <x:v>https://api.octopus.energy/v1/products/AGILE-24-10-01/electricity-tariffs/E-1R-AGILE-24-10-01-G/standard-unit-rates/</x:v>
      </x:c>
    </x:row>
    <x:row r="3443" ht="21" customHeight="1">
      <x:c r="A3443" s="24" t="n">
        <x:v>46220.229166666664</x:v>
      </x:c>
      <x:c r="B3443" s="6" t="n">
        <x:v>0.24670000000000003</x:v>
      </x:c>
      <x:c r="C3443" s="6" t="n">
        <x:v>0.1391</x:v>
      </x:c>
      <x:c r="D3443" s="6" t="n">
        <x:f>B3443</x:f>
        <x:v>0.24670000000000003</x:v>
      </x:c>
      <x:c r="E3443" s="1" t="n">
        <x:v>1.05</x:v>
      </x:c>
      <x:c r="F3443" s="1" t="str">
        <x:v>https://api.octopus.energy/v1/products/AGILE-24-10-01/electricity-tariffs/E-1R-AGILE-24-10-01-G/standard-unit-rates/</x:v>
      </x:c>
    </x:row>
    <x:row r="3444" ht="21" customHeight="1">
      <x:c r="A3444" s="24" t="n">
        <x:v>46220.25</x:v>
      </x:c>
      <x:c r="B3444" s="6" t="n">
        <x:v>0.2528</x:v>
      </x:c>
      <x:c r="C3444" s="6" t="n">
        <x:v>0.1418</x:v>
      </x:c>
      <x:c r="D3444" s="6" t="n">
        <x:f>B3444</x:f>
        <x:v>0.2528</x:v>
      </x:c>
      <x:c r="E3444" s="1" t="n">
        <x:v>1.05</x:v>
      </x:c>
      <x:c r="F3444" s="1" t="str">
        <x:v>https://api.octopus.energy/v1/products/AGILE-24-10-01/electricity-tariffs/E-1R-AGILE-24-10-01-G/standard-unit-rates/</x:v>
      </x:c>
    </x:row>
    <x:row r="3445" ht="21" customHeight="1">
      <x:c r="A3445" s="24" t="n">
        <x:v>46220.270833333336</x:v>
      </x:c>
      <x:c r="B3445" s="6" t="n">
        <x:v>0.2726</x:v>
      </x:c>
      <x:c r="C3445" s="6" t="n">
        <x:v>0.1509</x:v>
      </x:c>
      <x:c r="D3445" s="6" t="n">
        <x:f>B3445</x:f>
        <x:v>0.2726</x:v>
      </x:c>
      <x:c r="E3445" s="1" t="n">
        <x:v>1.05</x:v>
      </x:c>
      <x:c r="F3445" s="1" t="str">
        <x:v>https://api.octopus.energy/v1/products/AGILE-24-10-01/electricity-tariffs/E-1R-AGILE-24-10-01-G/standard-unit-rates/</x:v>
      </x:c>
    </x:row>
    <x:row r="3446" ht="21" customHeight="1">
      <x:c r="A3446" s="24" t="n">
        <x:v>46220.291666666664</x:v>
      </x:c>
      <x:c r="B3446" s="6" t="n">
        <x:v>0.2396</x:v>
      </x:c>
      <x:c r="C3446" s="6" t="n">
        <x:v>0.1358</x:v>
      </x:c>
      <x:c r="D3446" s="6" t="n">
        <x:f>B3446</x:f>
        <x:v>0.2396</x:v>
      </x:c>
      <x:c r="E3446" s="1" t="n">
        <x:v>1.05</x:v>
      </x:c>
      <x:c r="F3446" s="1" t="str">
        <x:v>https://api.octopus.energy/v1/products/AGILE-24-10-01/electricity-tariffs/E-1R-AGILE-24-10-01-G/standard-unit-rates/</x:v>
      </x:c>
    </x:row>
    <x:row r="3447" ht="21" customHeight="1">
      <x:c r="A3447" s="24" t="n">
        <x:v>46220.3125</x:v>
      </x:c>
      <x:c r="B3447" s="6" t="n">
        <x:v>0.24559999999999998</x:v>
      </x:c>
      <x:c r="C3447" s="6" t="n">
        <x:v>0.1386</x:v>
      </x:c>
      <x:c r="D3447" s="6" t="n">
        <x:f>B3447</x:f>
        <x:v>0.24559999999999998</x:v>
      </x:c>
      <x:c r="E3447" s="1" t="n">
        <x:v>1.05</x:v>
      </x:c>
      <x:c r="F3447" s="1" t="str">
        <x:v>https://api.octopus.energy/v1/products/AGILE-24-10-01/electricity-tariffs/E-1R-AGILE-24-10-01-G/standard-unit-rates/</x:v>
      </x:c>
    </x:row>
    <x:row r="3448" ht="21" customHeight="1">
      <x:c r="A3448" s="24" t="n">
        <x:v>46220.333333333336</x:v>
      </x:c>
      <x:c r="B3448" s="6" t="n">
        <x:v>0.2167</x:v>
      </x:c>
      <x:c r="C3448" s="6" t="n">
        <x:v>0.1253</x:v>
      </x:c>
      <x:c r="D3448" s="6" t="n">
        <x:f>B3448</x:f>
        <x:v>0.2167</x:v>
      </x:c>
      <x:c r="E3448" s="1" t="n">
        <x:v>1.05</x:v>
      </x:c>
      <x:c r="F3448" s="1" t="str">
        <x:v>https://api.octopus.energy/v1/products/AGILE-24-10-01/electricity-tariffs/E-1R-AGILE-24-10-01-G/standard-unit-rates/</x:v>
      </x:c>
    </x:row>
    <x:row r="3449" ht="21" customHeight="1">
      <x:c r="A3449" s="24" t="n">
        <x:v>46220.354166666664</x:v>
      </x:c>
      <x:c r="B3449" s="6" t="n">
        <x:v>0.2228</x:v>
      </x:c>
      <x:c r="C3449" s="6" t="n">
        <x:v>0.1281</x:v>
      </x:c>
      <x:c r="D3449" s="6" t="n">
        <x:f>B3449</x:f>
        <x:v>0.2228</x:v>
      </x:c>
      <x:c r="E3449" s="1" t="n">
        <x:v>1.05</x:v>
      </x:c>
      <x:c r="F3449" s="1" t="str">
        <x:v>https://api.octopus.energy/v1/products/AGILE-24-10-01/electricity-tariffs/E-1R-AGILE-24-10-01-G/standard-unit-rates/</x:v>
      </x:c>
    </x:row>
    <x:row r="3450" ht="21" customHeight="1">
      <x:c r="A3450" s="24" t="n">
        <x:v>46220.375</x:v>
      </x:c>
      <x:c r="B3450" s="6" t="n">
        <x:v>0.1997</x:v>
      </x:c>
      <x:c r="C3450" s="6" t="n">
        <x:v>0.1176</x:v>
      </x:c>
      <x:c r="D3450" s="6" t="n">
        <x:f>B3450</x:f>
        <x:v>0.1997</x:v>
      </x:c>
      <x:c r="E3450" s="1" t="n">
        <x:v>1.05</x:v>
      </x:c>
      <x:c r="F3450" s="1" t="str">
        <x:v>https://api.octopus.energy/v1/products/AGILE-24-10-01/electricity-tariffs/E-1R-AGILE-24-10-01-G/standard-unit-rates/</x:v>
      </x:c>
    </x:row>
    <x:row r="3451" ht="21" customHeight="1">
      <x:c r="A3451" s="24" t="n">
        <x:v>46220.395833333336</x:v>
      </x:c>
      <x:c r="B3451" s="6" t="n">
        <x:v>0.2112</x:v>
      </x:c>
      <x:c r="C3451" s="6" t="n">
        <x:v>0.12279999999999999</x:v>
      </x:c>
      <x:c r="D3451" s="6" t="n">
        <x:f>B3451</x:f>
        <x:v>0.2112</x:v>
      </x:c>
      <x:c r="E3451" s="1" t="n">
        <x:v>1.05</x:v>
      </x:c>
      <x:c r="F3451" s="1" t="str">
        <x:v>https://api.octopus.energy/v1/products/AGILE-24-10-01/electricity-tariffs/E-1R-AGILE-24-10-01-G/standard-unit-rates/</x:v>
      </x:c>
    </x:row>
    <x:row r="3452" ht="21" customHeight="1">
      <x:c r="A3452" s="24" t="n">
        <x:v>46220.416666666664</x:v>
      </x:c>
      <x:c r="B3452" s="6" t="n">
        <x:v>0.21170000000000003</x:v>
      </x:c>
      <x:c r="C3452" s="6" t="n">
        <x:v>0.1231</x:v>
      </x:c>
      <x:c r="D3452" s="6" t="n">
        <x:f>B3452</x:f>
        <x:v>0.21170000000000003</x:v>
      </x:c>
      <x:c r="E3452" s="1" t="n">
        <x:v>1.05</x:v>
      </x:c>
      <x:c r="F3452" s="1" t="str">
        <x:v>https://api.octopus.energy/v1/products/AGILE-24-10-01/electricity-tariffs/E-1R-AGILE-24-10-01-G/standard-unit-rates/</x:v>
      </x:c>
    </x:row>
    <x:row r="3453" ht="21" customHeight="1">
      <x:c r="A3453" s="24" t="n">
        <x:v>46220.4375</x:v>
      </x:c>
      <x:c r="B3453" s="6" t="n">
        <x:v>0.2025</x:v>
      </x:c>
      <x:c r="C3453" s="6" t="n">
        <x:v>0.1188</x:v>
      </x:c>
      <x:c r="D3453" s="6" t="n">
        <x:f>B3453</x:f>
        <x:v>0.2025</x:v>
      </x:c>
      <x:c r="E3453" s="1" t="n">
        <x:v>1.05</x:v>
      </x:c>
      <x:c r="F3453" s="1" t="str">
        <x:v>https://api.octopus.energy/v1/products/AGILE-24-10-01/electricity-tariffs/E-1R-AGILE-24-10-01-G/standard-unit-rates/</x:v>
      </x:c>
    </x:row>
    <x:row r="3454" ht="21" customHeight="1">
      <x:c r="A3454" s="24" t="n">
        <x:v>46220.458333333336</x:v>
      </x:c>
      <x:c r="B3454" s="6" t="n">
        <x:v>0.1812</x:v>
      </x:c>
      <x:c r="C3454" s="6" t="n">
        <x:v>0.1091</x:v>
      </x:c>
      <x:c r="D3454" s="6" t="n">
        <x:f>B3454</x:f>
        <x:v>0.1812</x:v>
      </x:c>
      <x:c r="E3454" s="1" t="n">
        <x:v>1.05</x:v>
      </x:c>
      <x:c r="F3454" s="1" t="str">
        <x:v>https://api.octopus.energy/v1/products/AGILE-24-10-01/electricity-tariffs/E-1R-AGILE-24-10-01-G/standard-unit-rates/</x:v>
      </x:c>
    </x:row>
    <x:row r="3455" ht="21" customHeight="1">
      <x:c r="A3455" s="24" t="n">
        <x:v>46220.479166666664</x:v>
      </x:c>
      <x:c r="B3455" s="6" t="n">
        <x:v>0.1787</x:v>
      </x:c>
      <x:c r="C3455" s="6" t="n">
        <x:v>0.10800000000000001</x:v>
      </x:c>
      <x:c r="D3455" s="6" t="n">
        <x:f>B3455</x:f>
        <x:v>0.1787</x:v>
      </x:c>
      <x:c r="E3455" s="1" t="n">
        <x:v>1.05</x:v>
      </x:c>
      <x:c r="F3455" s="1" t="str">
        <x:v>https://api.octopus.energy/v1/products/AGILE-24-10-01/electricity-tariffs/E-1R-AGILE-24-10-01-G/standard-unit-rates/</x:v>
      </x:c>
    </x:row>
    <x:row r="3456" ht="21" customHeight="1">
      <x:c r="A3456" s="24" t="n">
        <x:v>46220.5</x:v>
      </x:c>
      <x:c r="B3456" s="6" t="n">
        <x:v>0.1787</x:v>
      </x:c>
      <x:c r="C3456" s="6" t="n">
        <x:v>0.10800000000000001</x:v>
      </x:c>
      <x:c r="D3456" s="6" t="n">
        <x:f>B3456</x:f>
        <x:v>0.1787</x:v>
      </x:c>
      <x:c r="E3456" s="1" t="n">
        <x:v>1.05</x:v>
      </x:c>
      <x:c r="F3456" s="1" t="str">
        <x:v>https://api.octopus.energy/v1/products/AGILE-24-10-01/electricity-tariffs/E-1R-AGILE-24-10-01-G/standard-unit-rates/</x:v>
      </x:c>
    </x:row>
    <x:row r="3457" ht="21" customHeight="1">
      <x:c r="A3457" s="24" t="n">
        <x:v>46220.520833333336</x:v>
      </x:c>
      <x:c r="B3457" s="6" t="n">
        <x:v>0.1787</x:v>
      </x:c>
      <x:c r="C3457" s="6" t="n">
        <x:v>0.10800000000000001</x:v>
      </x:c>
      <x:c r="D3457" s="6" t="n">
        <x:f>B3457</x:f>
        <x:v>0.1787</x:v>
      </x:c>
      <x:c r="E3457" s="1" t="n">
        <x:v>1.05</x:v>
      </x:c>
      <x:c r="F3457" s="1" t="str">
        <x:v>https://api.octopus.energy/v1/products/AGILE-24-10-01/electricity-tariffs/E-1R-AGILE-24-10-01-G/standard-unit-rates/</x:v>
      </x:c>
    </x:row>
    <x:row r="3458" ht="21" customHeight="1">
      <x:c r="A3458" s="24" t="n">
        <x:v>46220.541666666664</x:v>
      </x:c>
      <x:c r="B3458" s="6" t="n">
        <x:v>0.1787</x:v>
      </x:c>
      <x:c r="C3458" s="6" t="n">
        <x:v>0.10800000000000001</x:v>
      </x:c>
      <x:c r="D3458" s="6" t="n">
        <x:f>B3458</x:f>
        <x:v>0.1787</x:v>
      </x:c>
      <x:c r="E3458" s="1" t="n">
        <x:v>1.05</x:v>
      </x:c>
      <x:c r="F3458" s="1" t="str">
        <x:v>https://api.octopus.energy/v1/products/AGILE-24-10-01/electricity-tariffs/E-1R-AGILE-24-10-01-G/standard-unit-rates/</x:v>
      </x:c>
    </x:row>
    <x:row r="3459" ht="21" customHeight="1">
      <x:c r="A3459" s="24" t="n">
        <x:v>46220.5625</x:v>
      </x:c>
      <x:c r="B3459" s="6" t="n">
        <x:v>0.1769</x:v>
      </x:c>
      <x:c r="C3459" s="6" t="n">
        <x:v>0.10710000000000001</x:v>
      </x:c>
      <x:c r="D3459" s="6" t="n">
        <x:f>B3459</x:f>
        <x:v>0.1769</x:v>
      </x:c>
      <x:c r="E3459" s="1" t="n">
        <x:v>1.05</x:v>
      </x:c>
      <x:c r="F3459" s="1" t="str">
        <x:v>https://api.octopus.energy/v1/products/AGILE-24-10-01/electricity-tariffs/E-1R-AGILE-24-10-01-G/standard-unit-rates/</x:v>
      </x:c>
    </x:row>
    <x:row r="3460" ht="21" customHeight="1">
      <x:c r="A3460" s="24" t="n">
        <x:v>46220.583333333336</x:v>
      </x:c>
      <x:c r="B3460" s="6" t="n">
        <x:v>0.1766</x:v>
      </x:c>
      <x:c r="C3460" s="6" t="n">
        <x:v>0.107</x:v>
      </x:c>
      <x:c r="D3460" s="6" t="n">
        <x:f>B3460</x:f>
        <x:v>0.1766</x:v>
      </x:c>
      <x:c r="E3460" s="1" t="n">
        <x:v>1.05</x:v>
      </x:c>
      <x:c r="F3460" s="1" t="str">
        <x:v>https://api.octopus.energy/v1/products/AGILE-24-10-01/electricity-tariffs/E-1R-AGILE-24-10-01-G/standard-unit-rates/</x:v>
      </x:c>
    </x:row>
    <x:row r="3461" ht="21" customHeight="1">
      <x:c r="A3461" s="24" t="n">
        <x:v>46220.604166666664</x:v>
      </x:c>
      <x:c r="B3461" s="6" t="n">
        <x:v>0.1753</x:v>
      </x:c>
      <x:c r="C3461" s="6" t="n">
        <x:v>0.10640000000000001</x:v>
      </x:c>
      <x:c r="D3461" s="6" t="n">
        <x:f>B3461</x:f>
        <x:v>0.1753</x:v>
      </x:c>
      <x:c r="E3461" s="1" t="n">
        <x:v>1.05</x:v>
      </x:c>
      <x:c r="F3461" s="1" t="str">
        <x:v>https://api.octopus.energy/v1/products/AGILE-24-10-01/electricity-tariffs/E-1R-AGILE-24-10-01-G/standard-unit-rates/</x:v>
      </x:c>
    </x:row>
    <x:row r="3462" ht="21" customHeight="1">
      <x:c r="A3462" s="24" t="n">
        <x:v>46220.625</x:v>
      </x:c>
      <x:c r="B3462" s="6" t="n">
        <x:v>0.17739999999999997</x:v>
      </x:c>
      <x:c r="C3462" s="6" t="n">
        <x:v>0.1074</x:v>
      </x:c>
      <x:c r="D3462" s="6" t="n">
        <x:f>B3462</x:f>
        <x:v>0.17739999999999997</x:v>
      </x:c>
      <x:c r="E3462" s="1" t="n">
        <x:v>1.05</x:v>
      </x:c>
      <x:c r="F3462" s="1" t="str">
        <x:v>https://api.octopus.energy/v1/products/AGILE-24-10-01/electricity-tariffs/E-1R-AGILE-24-10-01-G/standard-unit-rates/</x:v>
      </x:c>
    </x:row>
    <x:row r="3463" ht="21" customHeight="1">
      <x:c r="A3463" s="24" t="n">
        <x:v>46220.645833333336</x:v>
      </x:c>
      <x:c r="B3463" s="6" t="n">
        <x:v>0.18289999999999998</x:v>
      </x:c>
      <x:c r="C3463" s="6" t="n">
        <x:v>0.1099</x:v>
      </x:c>
      <x:c r="D3463" s="6" t="n">
        <x:f>B3463</x:f>
        <x:v>0.18289999999999998</x:v>
      </x:c>
      <x:c r="E3463" s="1" t="n">
        <x:v>1.05</x:v>
      </x:c>
      <x:c r="F3463" s="1" t="str">
        <x:v>https://api.octopus.energy/v1/products/AGILE-24-10-01/electricity-tariffs/E-1R-AGILE-24-10-01-G/standard-unit-rates/</x:v>
      </x:c>
    </x:row>
    <x:row r="3464" ht="21" customHeight="1">
      <x:c r="A3464" s="24" t="n">
        <x:v>46220.666666666664</x:v>
      </x:c>
      <x:c r="B3464" s="6" t="n">
        <x:v>0.32420000000000004</x:v>
      </x:c>
      <x:c r="C3464" s="6" t="n">
        <x:v>0.17850000000000002</x:v>
      </x:c>
      <x:c r="D3464" s="6" t="n">
        <x:f>B3464</x:f>
        <x:v>0.32420000000000004</x:v>
      </x:c>
      <x:c r="E3464" s="1" t="n">
        <x:v>1.05</x:v>
      </x:c>
      <x:c r="F3464" s="1" t="str">
        <x:v>https://api.octopus.energy/v1/products/AGILE-24-10-01/electricity-tariffs/E-1R-AGILE-24-10-01-G/standard-unit-rates/</x:v>
      </x:c>
    </x:row>
    <x:row r="3465" ht="21" customHeight="1">
      <x:c r="A3465" s="24" t="n">
        <x:v>46220.6875</x:v>
      </x:c>
      <x:c r="B3465" s="6" t="n">
        <x:v>0.3259</x:v>
      </x:c>
      <x:c r="C3465" s="6" t="n">
        <x:v>0.1793</x:v>
      </x:c>
      <x:c r="D3465" s="6" t="n">
        <x:f>B3465</x:f>
        <x:v>0.3259</x:v>
      </x:c>
      <x:c r="E3465" s="1" t="n">
        <x:v>1.05</x:v>
      </x:c>
      <x:c r="F3465" s="1" t="str">
        <x:v>https://api.octopus.energy/v1/products/AGILE-24-10-01/electricity-tariffs/E-1R-AGILE-24-10-01-G/standard-unit-rates/</x:v>
      </x:c>
    </x:row>
    <x:row r="3466" ht="21" customHeight="1">
      <x:c r="A3466" s="24" t="n">
        <x:v>46220.708333333336</x:v>
      </x:c>
      <x:c r="B3466" s="6" t="n">
        <x:v>0.3323</x:v>
      </x:c>
      <x:c r="C3466" s="6" t="n">
        <x:v>0.1822</x:v>
      </x:c>
      <x:c r="D3466" s="6" t="n">
        <x:f>B3466</x:f>
        <x:v>0.3323</x:v>
      </x:c>
      <x:c r="E3466" s="1" t="n">
        <x:v>1.05</x:v>
      </x:c>
      <x:c r="F3466" s="1" t="str">
        <x:v>https://api.octopus.energy/v1/products/AGILE-24-10-01/electricity-tariffs/E-1R-AGILE-24-10-01-G/standard-unit-rates/</x:v>
      </x:c>
    </x:row>
    <x:row r="3467" ht="21" customHeight="1">
      <x:c r="A3467" s="24" t="n">
        <x:v>46220.729166666664</x:v>
      </x:c>
      <x:c r="B3467" s="6" t="n">
        <x:v>0.3373</x:v>
      </x:c>
      <x:c r="C3467" s="6" t="n">
        <x:v>0.1845</x:v>
      </x:c>
      <x:c r="D3467" s="6" t="n">
        <x:f>B3467</x:f>
        <x:v>0.3373</x:v>
      </x:c>
      <x:c r="E3467" s="1" t="n">
        <x:v>1.05</x:v>
      </x:c>
      <x:c r="F3467" s="1" t="str">
        <x:v>https://api.octopus.energy/v1/products/AGILE-24-10-01/electricity-tariffs/E-1R-AGILE-24-10-01-G/standard-unit-rates/</x:v>
      </x:c>
    </x:row>
    <x:row r="3468" ht="21" customHeight="1">
      <x:c r="A3468" s="24" t="n">
        <x:v>46220.75</x:v>
      </x:c>
      <x:c r="B3468" s="6" t="n">
        <x:v>0.35409999999999997</x:v>
      </x:c>
      <x:c r="C3468" s="6" t="n">
        <x:v>0.19219999999999998</x:v>
      </x:c>
      <x:c r="D3468" s="6" t="n">
        <x:f>B3468</x:f>
        <x:v>0.35409999999999997</x:v>
      </x:c>
      <x:c r="E3468" s="1" t="n">
        <x:v>1.05</x:v>
      </x:c>
      <x:c r="F3468" s="1" t="str">
        <x:v>https://api.octopus.energy/v1/products/AGILE-24-10-01/electricity-tariffs/E-1R-AGILE-24-10-01-G/standard-unit-rates/</x:v>
      </x:c>
    </x:row>
    <x:row r="3469" ht="21" customHeight="1">
      <x:c r="A3469" s="24" t="n">
        <x:v>46220.770833333336</x:v>
      </x:c>
      <x:c r="B3469" s="6" t="n">
        <x:v>0.37270000000000003</x:v>
      </x:c>
      <x:c r="C3469" s="6" t="n">
        <x:v>0.2007</x:v>
      </x:c>
      <x:c r="D3469" s="6" t="n">
        <x:f>B3469</x:f>
        <x:v>0.37270000000000003</x:v>
      </x:c>
      <x:c r="E3469" s="1" t="n">
        <x:v>1.05</x:v>
      </x:c>
      <x:c r="F3469" s="1" t="str">
        <x:v>https://api.octopus.energy/v1/products/AGILE-24-10-01/electricity-tariffs/E-1R-AGILE-24-10-01-G/standard-unit-rates/</x:v>
      </x:c>
    </x:row>
    <x:row r="3470" ht="21" customHeight="1">
      <x:c r="A3470" s="24" t="n">
        <x:v>46220.791666666664</x:v>
      </x:c>
      <x:c r="B3470" s="6" t="n">
        <x:v>0.26899999999999996</x:v>
      </x:c>
      <x:c r="C3470" s="6" t="n">
        <x:v>0.1492</x:v>
      </x:c>
      <x:c r="D3470" s="6" t="n">
        <x:f>B3470</x:f>
        <x:v>0.26899999999999996</x:v>
      </x:c>
      <x:c r="E3470" s="1" t="n">
        <x:v>1.05</x:v>
      </x:c>
      <x:c r="F3470" s="1" t="str">
        <x:v>https://api.octopus.energy/v1/products/AGILE-24-10-01/electricity-tariffs/E-1R-AGILE-24-10-01-G/standard-unit-rates/</x:v>
      </x:c>
    </x:row>
    <x:row r="3471" ht="21" customHeight="1">
      <x:c r="A3471" s="24" t="n">
        <x:v>46220.8125</x:v>
      </x:c>
      <x:c r="B3471" s="6" t="n">
        <x:v>0.2685</x:v>
      </x:c>
      <x:c r="C3471" s="6" t="n">
        <x:v>0.149</x:v>
      </x:c>
      <x:c r="D3471" s="6" t="n">
        <x:f>B3471</x:f>
        <x:v>0.2685</x:v>
      </x:c>
      <x:c r="E3471" s="1" t="n">
        <x:v>1.05</x:v>
      </x:c>
      <x:c r="F3471" s="1" t="str">
        <x:v>https://api.octopus.energy/v1/products/AGILE-24-10-01/electricity-tariffs/E-1R-AGILE-24-10-01-G/standard-unit-rates/</x:v>
      </x:c>
    </x:row>
    <x:row r="3472" ht="21" customHeight="1">
      <x:c r="A3472" s="24" t="n">
        <x:v>46220.833333333336</x:v>
      </x:c>
      <x:c r="B3472" s="6" t="n">
        <x:v>0.2758</x:v>
      </x:c>
      <x:c r="C3472" s="6" t="n">
        <x:v>0.1524</x:v>
      </x:c>
      <x:c r="D3472" s="6" t="n">
        <x:f>B3472</x:f>
        <x:v>0.2758</x:v>
      </x:c>
      <x:c r="E3472" s="1" t="n">
        <x:v>1.05</x:v>
      </x:c>
      <x:c r="F3472" s="1" t="str">
        <x:v>https://api.octopus.energy/v1/products/AGILE-24-10-01/electricity-tariffs/E-1R-AGILE-24-10-01-G/standard-unit-rates/</x:v>
      </x:c>
    </x:row>
    <x:row r="3473" ht="21" customHeight="1">
      <x:c r="A3473" s="24" t="n">
        <x:v>46220.854166666664</x:v>
      </x:c>
      <x:c r="B3473" s="6" t="n">
        <x:v>0.2732</x:v>
      </x:c>
      <x:c r="C3473" s="6" t="n">
        <x:v>0.1512</x:v>
      </x:c>
      <x:c r="D3473" s="6" t="n">
        <x:f>B3473</x:f>
        <x:v>0.2732</x:v>
      </x:c>
      <x:c r="E3473" s="1" t="n">
        <x:v>1.05</x:v>
      </x:c>
      <x:c r="F3473" s="1" t="str">
        <x:v>https://api.octopus.energy/v1/products/AGILE-24-10-01/electricity-tariffs/E-1R-AGILE-24-10-01-G/standard-unit-rates/</x:v>
      </x:c>
    </x:row>
    <x:row r="3474" ht="21" customHeight="1">
      <x:c r="A3474" s="24" t="n">
        <x:v>46220.875</x:v>
      </x:c>
      <x:c r="B3474" s="6" t="n">
        <x:v>0.2693</x:v>
      </x:c>
      <x:c r="C3474" s="6" t="n">
        <x:v>0.1494</x:v>
      </x:c>
      <x:c r="D3474" s="6" t="n">
        <x:f>B3474</x:f>
        <x:v>0.2693</x:v>
      </x:c>
      <x:c r="E3474" s="1" t="n">
        <x:v>1.05</x:v>
      </x:c>
      <x:c r="F3474" s="1" t="str">
        <x:v>https://api.octopus.energy/v1/products/AGILE-24-10-01/electricity-tariffs/E-1R-AGILE-24-10-01-G/standard-unit-rates/</x:v>
      </x:c>
    </x:row>
    <x:row r="3475" ht="21" customHeight="1">
      <x:c r="A3475" s="24" t="n">
        <x:v>46220.895833333336</x:v>
      </x:c>
      <x:c r="B3475" s="6" t="n">
        <x:v>0.26539999999999997</x:v>
      </x:c>
      <x:c r="C3475" s="6" t="n">
        <x:v>0.1476</x:v>
      </x:c>
      <x:c r="D3475" s="6" t="n">
        <x:f>B3475</x:f>
        <x:v>0.26539999999999997</x:v>
      </x:c>
      <x:c r="E3475" s="1" t="n">
        <x:v>1.05</x:v>
      </x:c>
      <x:c r="F3475" s="1" t="str">
        <x:v>https://api.octopus.energy/v1/products/AGILE-24-10-01/electricity-tariffs/E-1R-AGILE-24-10-01-G/standard-unit-rates/</x:v>
      </x:c>
    </x:row>
    <x:row r="3476" ht="21" customHeight="1">
      <x:c r="A3476" s="24" t="n">
        <x:v>46220.916666666664</x:v>
      </x:c>
      <x:c r="B3476" s="6" t="n">
        <x:v>0.2711</x:v>
      </x:c>
      <x:c r="C3476" s="6" t="n">
        <x:v>0.1502</x:v>
      </x:c>
      <x:c r="D3476" s="6" t="n">
        <x:f>B3476</x:f>
        <x:v>0.2711</x:v>
      </x:c>
      <x:c r="E3476" s="1" t="n">
        <x:v>1.05</x:v>
      </x:c>
      <x:c r="F3476" s="1" t="str">
        <x:v>https://api.octopus.energy/v1/products/AGILE-24-10-01/electricity-tariffs/E-1R-AGILE-24-10-01-G/standard-unit-rates/</x:v>
      </x:c>
    </x:row>
    <x:row r="3477" ht="21" customHeight="1">
      <x:c r="A3477" s="24" t="n">
        <x:v>46220.9375</x:v>
      </x:c>
      <x:c r="B3477" s="6" t="n">
        <x:v>0.2532</x:v>
      </x:c>
      <x:c r="C3477" s="6" t="n">
        <x:v>0.142</x:v>
      </x:c>
      <x:c r="D3477" s="6" t="n">
        <x:f>B3477</x:f>
        <x:v>0.2532</x:v>
      </x:c>
      <x:c r="E3477" s="1" t="n">
        <x:v>1.05</x:v>
      </x:c>
      <x:c r="F3477" s="1" t="str">
        <x:v>https://api.octopus.energy/v1/products/AGILE-24-10-01/electricity-tariffs/E-1R-AGILE-24-10-01-G/standard-unit-rates/</x:v>
      </x:c>
    </x:row>
    <x:row r="3478" ht="21" customHeight="1">
      <x:c r="A3478" s="24" t="n">
        <x:v>46221</x:v>
      </x:c>
      <x:c r="B3478" s="6" t="n">
        <x:v>0.2311</x:v>
      </x:c>
      <x:c r="C3478" s="6" t="n">
        <x:v>0.1319</x:v>
      </x:c>
      <x:c r="D3478" s="6" t="n">
        <x:f>B3478</x:f>
        <x:v>0.2311</x:v>
      </x:c>
      <x:c r="E3478" s="1" t="n">
        <x:v>1.05</x:v>
      </x:c>
      <x:c r="F3478" s="1" t="str">
        <x:v>https://api.octopus.energy/v1/products/AGILE-24-10-01/electricity-tariffs/E-1R-AGILE-24-10-01-G/standard-unit-rates/</x:v>
      </x:c>
    </x:row>
    <x:row r="3479" ht="21" customHeight="1">
      <x:c r="A3479" s="24" t="n">
        <x:v>46220.979166666664</x:v>
      </x:c>
      <x:c r="B3479" s="6" t="n">
        <x:v>0.2396</x:v>
      </x:c>
      <x:c r="C3479" s="6" t="n">
        <x:v>0.1358</x:v>
      </x:c>
      <x:c r="D3479" s="6" t="n">
        <x:f>B3479</x:f>
        <x:v>0.2396</x:v>
      </x:c>
      <x:c r="E3479" s="1" t="n">
        <x:v>1.05</x:v>
      </x:c>
      <x:c r="F3479" s="1" t="str">
        <x:v>https://api.octopus.energy/v1/products/AGILE-24-10-01/electricity-tariffs/E-1R-AGILE-24-10-01-G/standard-unit-rates/</x:v>
      </x:c>
    </x:row>
    <x:row r="3480" ht="21" customHeight="1">
      <x:c r="A3480" s="24" t="n">
        <x:v>46221</x:v>
      </x:c>
      <x:c r="B3480" s="6" t="n">
        <x:v>0.23079999999999998</x:v>
      </x:c>
      <x:c r="C3480" s="6" t="n">
        <x:v>0.1318</x:v>
      </x:c>
      <x:c r="D3480" s="6" t="n">
        <x:f>B3480</x:f>
        <x:v>0.23079999999999998</x:v>
      </x:c>
      <x:c r="E3480" s="1" t="n">
        <x:v>1.05</x:v>
      </x:c>
      <x:c r="F3480" s="1" t="str">
        <x:v>https://api.octopus.energy/v1/products/AGILE-24-10-01/electricity-tariffs/E-1R-AGILE-24-10-01-G/standard-unit-rates/</x:v>
      </x:c>
    </x:row>
    <x:row r="3481" ht="21" customHeight="1">
      <x:c r="A3481" s="24" t="n">
        <x:v>46221.020833333336</x:v>
      </x:c>
      <x:c r="B3481" s="6" t="n">
        <x:v>0.228</x:v>
      </x:c>
      <x:c r="C3481" s="6" t="n">
        <x:v>0.1305</x:v>
      </x:c>
      <x:c r="D3481" s="6" t="n">
        <x:f>B3481</x:f>
        <x:v>0.228</x:v>
      </x:c>
      <x:c r="E3481" s="1" t="n">
        <x:v>1.05</x:v>
      </x:c>
      <x:c r="F3481" s="1" t="str">
        <x:v>https://api.octopus.energy/v1/products/AGILE-24-10-01/electricity-tariffs/E-1R-AGILE-24-10-01-G/standard-unit-rates/</x:v>
      </x:c>
    </x:row>
    <x:row r="3482" ht="21" customHeight="1">
      <x:c r="A3482" s="24" t="n">
        <x:v>46221.041666666664</x:v>
      </x:c>
      <x:c r="B3482" s="6" t="n">
        <x:v>0.2207</x:v>
      </x:c>
      <x:c r="C3482" s="6" t="n">
        <x:v>0.1272</x:v>
      </x:c>
      <x:c r="D3482" s="6" t="n">
        <x:f>B3482</x:f>
        <x:v>0.2207</x:v>
      </x:c>
      <x:c r="E3482" s="1" t="n">
        <x:v>1.05</x:v>
      </x:c>
      <x:c r="F3482" s="1" t="str">
        <x:v>https://api.octopus.energy/v1/products/AGILE-24-10-01/electricity-tariffs/E-1R-AGILE-24-10-01-G/standard-unit-rates/</x:v>
      </x:c>
    </x:row>
    <x:row r="3483" ht="21" customHeight="1">
      <x:c r="A3483" s="24" t="n">
        <x:v>46221.0625</x:v>
      </x:c>
      <x:c r="B3483" s="6" t="n">
        <x:v>0.2207</x:v>
      </x:c>
      <x:c r="C3483" s="6" t="n">
        <x:v>0.1272</x:v>
      </x:c>
      <x:c r="D3483" s="6" t="n">
        <x:f>B3483</x:f>
        <x:v>0.2207</x:v>
      </x:c>
      <x:c r="E3483" s="1" t="n">
        <x:v>1.05</x:v>
      </x:c>
      <x:c r="F3483" s="1" t="str">
        <x:v>https://api.octopus.energy/v1/products/AGILE-24-10-01/electricity-tariffs/E-1R-AGILE-24-10-01-G/standard-unit-rates/</x:v>
      </x:c>
    </x:row>
    <x:row r="3484" ht="21" customHeight="1">
      <x:c r="A3484" s="24" t="n">
        <x:v>46221.083333333336</x:v>
      </x:c>
      <x:c r="B3484" s="6" t="n">
        <x:v>0.22030000000000002</x:v>
      </x:c>
      <x:c r="C3484" s="6" t="n">
        <x:v>0.127</x:v>
      </x:c>
      <x:c r="D3484" s="6" t="n">
        <x:f>B3484</x:f>
        <x:v>0.22030000000000002</x:v>
      </x:c>
      <x:c r="E3484" s="1" t="n">
        <x:v>1.05</x:v>
      </x:c>
      <x:c r="F3484" s="1" t="str">
        <x:v>https://api.octopus.energy/v1/products/AGILE-24-10-01/electricity-tariffs/E-1R-AGILE-24-10-01-G/standard-unit-rates/</x:v>
      </x:c>
    </x:row>
    <x:row r="3485" ht="21" customHeight="1">
      <x:c r="A3485" s="24" t="n">
        <x:v>46221.104166666664</x:v>
      </x:c>
      <x:c r="B3485" s="6" t="n">
        <x:v>0.20739999999999997</x:v>
      </x:c>
      <x:c r="C3485" s="6" t="n">
        <x:v>0.1211</x:v>
      </x:c>
      <x:c r="D3485" s="6" t="n">
        <x:f>B3485</x:f>
        <x:v>0.20739999999999997</x:v>
      </x:c>
      <x:c r="E3485" s="1" t="n">
        <x:v>1.05</x:v>
      </x:c>
      <x:c r="F3485" s="1" t="str">
        <x:v>https://api.octopus.energy/v1/products/AGILE-24-10-01/electricity-tariffs/E-1R-AGILE-24-10-01-G/standard-unit-rates/</x:v>
      </x:c>
    </x:row>
    <x:row r="3486" ht="21" customHeight="1">
      <x:c r="A3486" s="24" t="n">
        <x:v>46221.125</x:v>
      </x:c>
      <x:c r="B3486" s="6" t="n">
        <x:v>0.2163</x:v>
      </x:c>
      <x:c r="C3486" s="6" t="n">
        <x:v>0.1251</x:v>
      </x:c>
      <x:c r="D3486" s="6" t="n">
        <x:f>B3486</x:f>
        <x:v>0.2163</x:v>
      </x:c>
      <x:c r="E3486" s="1" t="n">
        <x:v>1.05</x:v>
      </x:c>
      <x:c r="F3486" s="1" t="str">
        <x:v>https://api.octopus.energy/v1/products/AGILE-24-10-01/electricity-tariffs/E-1R-AGILE-24-10-01-G/standard-unit-rates/</x:v>
      </x:c>
    </x:row>
    <x:row r="3487" ht="21" customHeight="1">
      <x:c r="A3487" s="24" t="n">
        <x:v>46221.145833333336</x:v>
      </x:c>
      <x:c r="B3487" s="6" t="n">
        <x:v>0.2143</x:v>
      </x:c>
      <x:c r="C3487" s="6" t="n">
        <x:v>0.1242</x:v>
      </x:c>
      <x:c r="D3487" s="6" t="n">
        <x:f>B3487</x:f>
        <x:v>0.2143</x:v>
      </x:c>
      <x:c r="E3487" s="1" t="n">
        <x:v>1.05</x:v>
      </x:c>
      <x:c r="F3487" s="1" t="str">
        <x:v>https://api.octopus.energy/v1/products/AGILE-24-10-01/electricity-tariffs/E-1R-AGILE-24-10-01-G/standard-unit-rates/</x:v>
      </x:c>
    </x:row>
    <x:row r="3488" ht="21" customHeight="1">
      <x:c r="A3488" s="24" t="n">
        <x:v>46221.166666666664</x:v>
      </x:c>
      <x:c r="B3488" s="6" t="n">
        <x:v>0.2227</x:v>
      </x:c>
      <x:c r="C3488" s="6" t="n">
        <x:v>0.1281</x:v>
      </x:c>
      <x:c r="D3488" s="6" t="n">
        <x:f>B3488</x:f>
        <x:v>0.2227</x:v>
      </x:c>
      <x:c r="E3488" s="1" t="n">
        <x:v>1.05</x:v>
      </x:c>
      <x:c r="F3488" s="1" t="str">
        <x:v>https://api.octopus.energy/v1/products/AGILE-24-10-01/electricity-tariffs/E-1R-AGILE-24-10-01-G/standard-unit-rates/</x:v>
      </x:c>
    </x:row>
    <x:row r="3489" ht="21" customHeight="1">
      <x:c r="A3489" s="24" t="n">
        <x:v>46221.1875</x:v>
      </x:c>
      <x:c r="B3489" s="6" t="n">
        <x:v>0.2211</x:v>
      </x:c>
      <x:c r="C3489" s="6" t="n">
        <x:v>0.1273</x:v>
      </x:c>
      <x:c r="D3489" s="6" t="n">
        <x:f>B3489</x:f>
        <x:v>0.2211</x:v>
      </x:c>
      <x:c r="E3489" s="1" t="n">
        <x:v>1.05</x:v>
      </x:c>
      <x:c r="F3489" s="1" t="str">
        <x:v>https://api.octopus.energy/v1/products/AGILE-24-10-01/electricity-tariffs/E-1R-AGILE-24-10-01-G/standard-unit-rates/</x:v>
      </x:c>
    </x:row>
    <x:row r="3490" ht="21" customHeight="1">
      <x:c r="A3490" s="24" t="n">
        <x:v>46221.208333333336</x:v>
      </x:c>
      <x:c r="B3490" s="6" t="n">
        <x:v>0.2014</x:v>
      </x:c>
      <x:c r="C3490" s="6" t="n">
        <x:v>0.1183</x:v>
      </x:c>
      <x:c r="D3490" s="6" t="n">
        <x:f>B3490</x:f>
        <x:v>0.2014</x:v>
      </x:c>
      <x:c r="E3490" s="1" t="n">
        <x:v>1.05</x:v>
      </x:c>
      <x:c r="F3490" s="1" t="str">
        <x:v>https://api.octopus.energy/v1/products/AGILE-24-10-01/electricity-tariffs/E-1R-AGILE-24-10-01-G/standard-unit-rates/</x:v>
      </x:c>
    </x:row>
    <x:row r="3491" ht="21" customHeight="1">
      <x:c r="A3491" s="24" t="n">
        <x:v>46221.229166666664</x:v>
      </x:c>
      <x:c r="B3491" s="6" t="n">
        <x:v>0.2003</x:v>
      </x:c>
      <x:c r="C3491" s="6" t="n">
        <x:v>0.11779999999999999</x:v>
      </x:c>
      <x:c r="D3491" s="6" t="n">
        <x:f>B3491</x:f>
        <x:v>0.2003</x:v>
      </x:c>
      <x:c r="E3491" s="1" t="n">
        <x:v>1.05</x:v>
      </x:c>
      <x:c r="F3491" s="1" t="str">
        <x:v>https://api.octopus.energy/v1/products/AGILE-24-10-01/electricity-tariffs/E-1R-AGILE-24-10-01-G/standard-unit-rates/</x:v>
      </x:c>
    </x:row>
    <x:row r="3492" ht="21" customHeight="1">
      <x:c r="A3492" s="24" t="n">
        <x:v>46221.25</x:v>
      </x:c>
      <x:c r="B3492" s="6" t="n">
        <x:v>0.18710000000000002</x:v>
      </x:c>
      <x:c r="C3492" s="6" t="n">
        <x:v>0.1118</x:v>
      </x:c>
      <x:c r="D3492" s="6" t="n">
        <x:f>B3492</x:f>
        <x:v>0.18710000000000002</x:v>
      </x:c>
      <x:c r="E3492" s="1" t="n">
        <x:v>1.05</x:v>
      </x:c>
      <x:c r="F3492" s="1" t="str">
        <x:v>https://api.octopus.energy/v1/products/AGILE-24-10-01/electricity-tariffs/E-1R-AGILE-24-10-01-G/standard-unit-rates/</x:v>
      </x:c>
    </x:row>
    <x:row r="3493" ht="21" customHeight="1">
      <x:c r="A3493" s="24" t="n">
        <x:v>46221.270833333336</x:v>
      </x:c>
      <x:c r="B3493" s="6" t="n">
        <x:v>0.18710000000000002</x:v>
      </x:c>
      <x:c r="C3493" s="6" t="n">
        <x:v>0.1118</x:v>
      </x:c>
      <x:c r="D3493" s="6" t="n">
        <x:f>B3493</x:f>
        <x:v>0.18710000000000002</x:v>
      </x:c>
      <x:c r="E3493" s="1" t="n">
        <x:v>1.05</x:v>
      </x:c>
      <x:c r="F3493" s="1" t="str">
        <x:v>https://api.octopus.energy/v1/products/AGILE-24-10-01/electricity-tariffs/E-1R-AGILE-24-10-01-G/standard-unit-rates/</x:v>
      </x:c>
    </x:row>
    <x:row r="3494" ht="21" customHeight="1">
      <x:c r="A3494" s="24" t="n">
        <x:v>46221.291666666664</x:v>
      </x:c>
      <x:c r="B3494" s="6" t="n">
        <x:v>0.15560000000000002</x:v>
      </x:c>
      <x:c r="C3494" s="6" t="n">
        <x:v>0.0974</x:v>
      </x:c>
      <x:c r="D3494" s="6" t="n">
        <x:f>B3494</x:f>
        <x:v>0.15560000000000002</x:v>
      </x:c>
      <x:c r="E3494" s="1" t="n">
        <x:v>1.05</x:v>
      </x:c>
      <x:c r="F3494" s="1" t="str">
        <x:v>https://api.octopus.energy/v1/products/AGILE-24-10-01/electricity-tariffs/E-1R-AGILE-24-10-01-G/standard-unit-rates/</x:v>
      </x:c>
    </x:row>
    <x:row r="3495" ht="21" customHeight="1">
      <x:c r="A3495" s="24" t="n">
        <x:v>46221.3125</x:v>
      </x:c>
      <x:c r="B3495" s="6" t="n">
        <x:v>0.15560000000000002</x:v>
      </x:c>
      <x:c r="C3495" s="6" t="n">
        <x:v>0.0974</x:v>
      </x:c>
      <x:c r="D3495" s="6" t="n">
        <x:f>B3495</x:f>
        <x:v>0.15560000000000002</x:v>
      </x:c>
      <x:c r="E3495" s="1" t="n">
        <x:v>1.05</x:v>
      </x:c>
      <x:c r="F3495" s="1" t="str">
        <x:v>https://api.octopus.energy/v1/products/AGILE-24-10-01/electricity-tariffs/E-1R-AGILE-24-10-01-G/standard-unit-rates/</x:v>
      </x:c>
    </x:row>
    <x:row r="3496" ht="21" customHeight="1">
      <x:c r="A3496" s="24" t="n">
        <x:v>46221.333333333336</x:v>
      </x:c>
      <x:c r="B3496" s="6" t="n">
        <x:v>0.1602</x:v>
      </x:c>
      <x:c r="C3496" s="6" t="n">
        <x:v>0.09949999999999999</x:v>
      </x:c>
      <x:c r="D3496" s="6" t="n">
        <x:f>B3496</x:f>
        <x:v>0.1602</x:v>
      </x:c>
      <x:c r="E3496" s="1" t="n">
        <x:v>1.05</x:v>
      </x:c>
      <x:c r="F3496" s="1" t="str">
        <x:v>https://api.octopus.energy/v1/products/AGILE-24-10-01/electricity-tariffs/E-1R-AGILE-24-10-01-G/standard-unit-rates/</x:v>
      </x:c>
    </x:row>
    <x:row r="3497" ht="21" customHeight="1">
      <x:c r="A3497" s="24" t="n">
        <x:v>46221.354166666664</x:v>
      </x:c>
      <x:c r="B3497" s="6" t="n">
        <x:v>0.1598</x:v>
      </x:c>
      <x:c r="C3497" s="6" t="n">
        <x:v>0.0993</x:v>
      </x:c>
      <x:c r="D3497" s="6" t="n">
        <x:f>B3497</x:f>
        <x:v>0.1598</x:v>
      </x:c>
      <x:c r="E3497" s="1" t="n">
        <x:v>1.05</x:v>
      </x:c>
      <x:c r="F3497" s="1" t="str">
        <x:v>https://api.octopus.energy/v1/products/AGILE-24-10-01/electricity-tariffs/E-1R-AGILE-24-10-01-G/standard-unit-rates/</x:v>
      </x:c>
    </x:row>
    <x:row r="3498" ht="21" customHeight="1">
      <x:c r="A3498" s="24" t="n">
        <x:v>46221.375</x:v>
      </x:c>
      <x:c r="B3498" s="6" t="n">
        <x:v>0.1451</x:v>
      </x:c>
      <x:c r="C3498" s="6" t="n">
        <x:v>0.0926</x:v>
      </x:c>
      <x:c r="D3498" s="6" t="n">
        <x:f>B3498</x:f>
        <x:v>0.1451</x:v>
      </x:c>
      <x:c r="E3498" s="1" t="n">
        <x:v>1.05</x:v>
      </x:c>
      <x:c r="F3498" s="1" t="str">
        <x:v>https://api.octopus.energy/v1/products/AGILE-24-10-01/electricity-tariffs/E-1R-AGILE-24-10-01-G/standard-unit-rates/</x:v>
      </x:c>
    </x:row>
    <x:row r="3499" ht="21" customHeight="1">
      <x:c r="A3499" s="24" t="n">
        <x:v>46221.395833333336</x:v>
      </x:c>
      <x:c r="B3499" s="6" t="n">
        <x:v>0.1326</x:v>
      </x:c>
      <x:c r="C3499" s="6" t="n">
        <x:v>0.08689999999999999</x:v>
      </x:c>
      <x:c r="D3499" s="6" t="n">
        <x:f>B3499</x:f>
        <x:v>0.1326</x:v>
      </x:c>
      <x:c r="E3499" s="1" t="n">
        <x:v>1.05</x:v>
      </x:c>
      <x:c r="F3499" s="1" t="str">
        <x:v>https://api.octopus.energy/v1/products/AGILE-24-10-01/electricity-tariffs/E-1R-AGILE-24-10-01-G/standard-unit-rates/</x:v>
      </x:c>
    </x:row>
    <x:row r="3500" ht="21" customHeight="1">
      <x:c r="A3500" s="24" t="n">
        <x:v>46221.416666666664</x:v>
      </x:c>
      <x:c r="B3500" s="6" t="n">
        <x:v>0.1249</x:v>
      </x:c>
      <x:c r="C3500" s="6" t="n">
        <x:v>0.0834</x:v>
      </x:c>
      <x:c r="D3500" s="6" t="n">
        <x:f>B3500</x:f>
        <x:v>0.1249</x:v>
      </x:c>
      <x:c r="E3500" s="1" t="n">
        <x:v>1.05</x:v>
      </x:c>
      <x:c r="F3500" s="1" t="str">
        <x:v>https://api.octopus.energy/v1/products/AGILE-24-10-01/electricity-tariffs/E-1R-AGILE-24-10-01-G/standard-unit-rates/</x:v>
      </x:c>
    </x:row>
    <x:row r="3501" ht="21" customHeight="1">
      <x:c r="A3501" s="24" t="n">
        <x:v>46221.4375</x:v>
      </x:c>
      <x:c r="B3501" s="6" t="n">
        <x:v>0.12029999999999999</x:v>
      </x:c>
      <x:c r="C3501" s="6" t="n">
        <x:v>0.08130000000000001</x:v>
      </x:c>
      <x:c r="D3501" s="6" t="n">
        <x:f>B3501</x:f>
        <x:v>0.12029999999999999</x:v>
      </x:c>
      <x:c r="E3501" s="1" t="n">
        <x:v>1.05</x:v>
      </x:c>
      <x:c r="F3501" s="1" t="str">
        <x:v>https://api.octopus.energy/v1/products/AGILE-24-10-01/electricity-tariffs/E-1R-AGILE-24-10-01-G/standard-unit-rates/</x:v>
      </x:c>
    </x:row>
    <x:row r="3502" ht="21" customHeight="1">
      <x:c r="A3502" s="24" t="n">
        <x:v>46221.458333333336</x:v>
      </x:c>
      <x:c r="B3502" s="6" t="n">
        <x:v>0.0993</x:v>
      </x:c>
      <x:c r="C3502" s="6" t="n">
        <x:v>0.0716</x:v>
      </x:c>
      <x:c r="D3502" s="6" t="n">
        <x:f>B3502</x:f>
        <x:v>0.0993</x:v>
      </x:c>
      <x:c r="E3502" s="1" t="n">
        <x:v>1.05</x:v>
      </x:c>
      <x:c r="F3502" s="1" t="str">
        <x:v>https://api.octopus.energy/v1/products/AGILE-24-10-01/electricity-tariffs/E-1R-AGILE-24-10-01-G/standard-unit-rates/</x:v>
      </x:c>
    </x:row>
    <x:row r="3503" ht="21" customHeight="1">
      <x:c r="A3503" s="24" t="n">
        <x:v>46221.479166666664</x:v>
      </x:c>
      <x:c r="B3503" s="6" t="n">
        <x:v>0.07429999999999999</x:v>
      </x:c>
      <x:c r="C3503" s="6" t="n">
        <x:v>0.0602</x:v>
      </x:c>
      <x:c r="D3503" s="6" t="n">
        <x:f>B3503</x:f>
        <x:v>0.07429999999999999</x:v>
      </x:c>
      <x:c r="E3503" s="1" t="n">
        <x:v>1.05</x:v>
      </x:c>
      <x:c r="F3503" s="1" t="str">
        <x:v>https://api.octopus.energy/v1/products/AGILE-24-10-01/electricity-tariffs/E-1R-AGILE-24-10-01-G/standard-unit-rates/</x:v>
      </x:c>
    </x:row>
    <x:row r="3504" ht="21" customHeight="1">
      <x:c r="A3504" s="24" t="n">
        <x:v>46221.5</x:v>
      </x:c>
      <x:c r="B3504" s="6" t="n">
        <x:v>0.07200000000000001</x:v>
      </x:c>
      <x:c r="C3504" s="6" t="n">
        <x:v>0.0592</x:v>
      </x:c>
      <x:c r="D3504" s="6" t="n">
        <x:f>B3504</x:f>
        <x:v>0.07200000000000001</x:v>
      </x:c>
      <x:c r="E3504" s="1" t="n">
        <x:v>1.05</x:v>
      </x:c>
      <x:c r="F3504" s="1" t="str">
        <x:v>https://api.octopus.energy/v1/products/AGILE-24-10-01/electricity-tariffs/E-1R-AGILE-24-10-01-G/standard-unit-rates/</x:v>
      </x:c>
    </x:row>
    <x:row r="3505" ht="21" customHeight="1">
      <x:c r="A3505" s="24" t="n">
        <x:v>46221.520833333336</x:v>
      </x:c>
      <x:c r="B3505" s="6" t="n">
        <x:v>0.0712</x:v>
      </x:c>
      <x:c r="C3505" s="6" t="n">
        <x:v>0.0588</x:v>
      </x:c>
      <x:c r="D3505" s="6" t="n">
        <x:f>B3505</x:f>
        <x:v>0.0712</x:v>
      </x:c>
      <x:c r="E3505" s="1" t="n">
        <x:v>1.05</x:v>
      </x:c>
      <x:c r="F3505" s="1" t="str">
        <x:v>https://api.octopus.energy/v1/products/AGILE-24-10-01/electricity-tariffs/E-1R-AGILE-24-10-01-G/standard-unit-rates/</x:v>
      </x:c>
    </x:row>
    <x:row r="3506" ht="21" customHeight="1">
      <x:c r="A3506" s="24" t="n">
        <x:v>46221.541666666664</x:v>
      </x:c>
      <x:c r="B3506" s="6" t="n">
        <x:v>0.0633</x:v>
      </x:c>
      <x:c r="C3506" s="6" t="n">
        <x:v>0.0552</x:v>
      </x:c>
      <x:c r="D3506" s="6" t="n">
        <x:f>B3506</x:f>
        <x:v>0.0633</x:v>
      </x:c>
      <x:c r="E3506" s="1" t="n">
        <x:v>1.05</x:v>
      </x:c>
      <x:c r="F3506" s="1" t="str">
        <x:v>https://api.octopus.energy/v1/products/AGILE-24-10-01/electricity-tariffs/E-1R-AGILE-24-10-01-G/standard-unit-rates/</x:v>
      </x:c>
    </x:row>
    <x:row r="3507" ht="21" customHeight="1">
      <x:c r="A3507" s="24" t="n">
        <x:v>46221.5625</x:v>
      </x:c>
      <x:c r="B3507" s="6" t="n">
        <x:v>0.0591</x:v>
      </x:c>
      <x:c r="C3507" s="6" t="n">
        <x:v>0.0533</x:v>
      </x:c>
      <x:c r="D3507" s="6" t="n">
        <x:f>B3507</x:f>
        <x:v>0.0591</x:v>
      </x:c>
      <x:c r="E3507" s="1" t="n">
        <x:v>1.05</x:v>
      </x:c>
      <x:c r="F3507" s="1" t="str">
        <x:v>https://api.octopus.energy/v1/products/AGILE-24-10-01/electricity-tariffs/E-1R-AGILE-24-10-01-G/standard-unit-rates/</x:v>
      </x:c>
    </x:row>
    <x:row r="3508" ht="21" customHeight="1">
      <x:c r="A3508" s="24" t="n">
        <x:v>46221.583333333336</x:v>
      </x:c>
      <x:c r="B3508" s="6" t="n">
        <x:v>0.0435</x:v>
      </x:c>
      <x:c r="C3508" s="6" t="n">
        <x:v>0.0461</x:v>
      </x:c>
      <x:c r="D3508" s="6" t="n">
        <x:f>B3508</x:f>
        <x:v>0.0435</x:v>
      </x:c>
      <x:c r="E3508" s="1" t="n">
        <x:v>1.05</x:v>
      </x:c>
      <x:c r="F3508" s="1" t="str">
        <x:v>https://api.octopus.energy/v1/products/AGILE-24-10-01/electricity-tariffs/E-1R-AGILE-24-10-01-G/standard-unit-rates/</x:v>
      </x:c>
    </x:row>
    <x:row r="3509" ht="21" customHeight="1">
      <x:c r="A3509" s="24" t="n">
        <x:v>46221.604166666664</x:v>
      </x:c>
      <x:c r="B3509" s="6" t="n">
        <x:v>0.0311</x:v>
      </x:c>
      <x:c r="C3509" s="6" t="n">
        <x:v>0.0405</x:v>
      </x:c>
      <x:c r="D3509" s="6" t="n">
        <x:f>B3509</x:f>
        <x:v>0.0311</x:v>
      </x:c>
      <x:c r="E3509" s="1" t="n">
        <x:v>1.05</x:v>
      </x:c>
      <x:c r="F3509" s="1" t="str">
        <x:v>https://api.octopus.energy/v1/products/AGILE-24-10-01/electricity-tariffs/E-1R-AGILE-24-10-01-G/standard-unit-rates/</x:v>
      </x:c>
    </x:row>
    <x:row r="3510" ht="21" customHeight="1">
      <x:c r="A3510" s="24" t="n">
        <x:v>46221.625</x:v>
      </x:c>
      <x:c r="B3510" s="6" t="n">
        <x:v>0.0737</x:v>
      </x:c>
      <x:c r="C3510" s="6" t="n">
        <x:v>0.06</x:v>
      </x:c>
      <x:c r="D3510" s="6" t="n">
        <x:f>B3510</x:f>
        <x:v>0.0737</x:v>
      </x:c>
      <x:c r="E3510" s="1" t="n">
        <x:v>1.05</x:v>
      </x:c>
      <x:c r="F3510" s="1" t="str">
        <x:v>https://api.octopus.energy/v1/products/AGILE-24-10-01/electricity-tariffs/E-1R-AGILE-24-10-01-G/standard-unit-rates/</x:v>
      </x:c>
    </x:row>
    <x:row r="3511" ht="21" customHeight="1">
      <x:c r="A3511" s="24" t="n">
        <x:v>46221.645833333336</x:v>
      </x:c>
      <x:c r="B3511" s="6" t="n">
        <x:v>0.0716</x:v>
      </x:c>
      <x:c r="C3511" s="6" t="n">
        <x:v>0.059000000000000004</x:v>
      </x:c>
      <x:c r="D3511" s="6" t="n">
        <x:f>B3511</x:f>
        <x:v>0.0716</x:v>
      </x:c>
      <x:c r="E3511" s="1" t="n">
        <x:v>1.05</x:v>
      </x:c>
      <x:c r="F3511" s="1" t="str">
        <x:v>https://api.octopus.energy/v1/products/AGILE-24-10-01/electricity-tariffs/E-1R-AGILE-24-10-01-G/standard-unit-rates/</x:v>
      </x:c>
    </x:row>
    <x:row r="3512" ht="21" customHeight="1">
      <x:c r="A3512" s="24" t="n">
        <x:v>46221.666666666664</x:v>
      </x:c>
      <x:c r="B3512" s="6" t="n">
        <x:v>0.1773</x:v>
      </x:c>
      <x:c r="C3512" s="6" t="n">
        <x:v>0.1114</x:v>
      </x:c>
      <x:c r="D3512" s="6" t="n">
        <x:f>B3512</x:f>
        <x:v>0.1773</x:v>
      </x:c>
      <x:c r="E3512" s="1" t="n">
        <x:v>1.05</x:v>
      </x:c>
      <x:c r="F3512" s="1" t="str">
        <x:v>https://api.octopus.energy/v1/products/AGILE-24-10-01/electricity-tariffs/E-1R-AGILE-24-10-01-G/standard-unit-rates/</x:v>
      </x:c>
    </x:row>
    <x:row r="3513" ht="21" customHeight="1">
      <x:c r="A3513" s="24" t="n">
        <x:v>46221.6875</x:v>
      </x:c>
      <x:c r="B3513" s="6" t="n">
        <x:v>0.2286</x:v>
      </x:c>
      <x:c r="C3513" s="6" t="n">
        <x:v>0.1348</x:v>
      </x:c>
      <x:c r="D3513" s="6" t="n">
        <x:f>B3513</x:f>
        <x:v>0.2286</x:v>
      </x:c>
      <x:c r="E3513" s="1" t="n">
        <x:v>1.05</x:v>
      </x:c>
      <x:c r="F3513" s="1" t="str">
        <x:v>https://api.octopus.energy/v1/products/AGILE-24-10-01/electricity-tariffs/E-1R-AGILE-24-10-01-G/standard-unit-rates/</x:v>
      </x:c>
    </x:row>
    <x:row r="3514" ht="21" customHeight="1">
      <x:c r="A3514" s="24" t="n">
        <x:v>46221.708333333336</x:v>
      </x:c>
      <x:c r="B3514" s="6" t="n">
        <x:v>0.2546</x:v>
      </x:c>
      <x:c r="C3514" s="6" t="n">
        <x:v>0.1467</x:v>
      </x:c>
      <x:c r="D3514" s="6" t="n">
        <x:f>B3514</x:f>
        <x:v>0.2546</x:v>
      </x:c>
      <x:c r="E3514" s="1" t="n">
        <x:v>1.05</x:v>
      </x:c>
      <x:c r="F3514" s="1" t="str">
        <x:v>https://api.octopus.energy/v1/products/AGILE-24-10-01/electricity-tariffs/E-1R-AGILE-24-10-01-G/standard-unit-rates/</x:v>
      </x:c>
    </x:row>
    <x:row r="3515" ht="21" customHeight="1">
      <x:c r="A3515" s="24" t="n">
        <x:v>46221.729166666664</x:v>
      </x:c>
      <x:c r="B3515" s="6" t="n">
        <x:v>0.2748</x:v>
      </x:c>
      <x:c r="C3515" s="6" t="n">
        <x:v>0.1559</x:v>
      </x:c>
      <x:c r="D3515" s="6" t="n">
        <x:f>B3515</x:f>
        <x:v>0.2748</x:v>
      </x:c>
      <x:c r="E3515" s="1" t="n">
        <x:v>1.05</x:v>
      </x:c>
      <x:c r="F3515" s="1" t="str">
        <x:v>https://api.octopus.energy/v1/products/AGILE-24-10-01/electricity-tariffs/E-1R-AGILE-24-10-01-G/standard-unit-rates/</x:v>
      </x:c>
    </x:row>
    <x:row r="3516" ht="21" customHeight="1">
      <x:c r="A3516" s="24" t="n">
        <x:v>46221.75</x:v>
      </x:c>
      <x:c r="B3516" s="6" t="n">
        <x:v>0.3134</x:v>
      </x:c>
      <x:c r="C3516" s="6" t="n">
        <x:v>0.1736</x:v>
      </x:c>
      <x:c r="D3516" s="6" t="n">
        <x:f>B3516</x:f>
        <x:v>0.3134</x:v>
      </x:c>
      <x:c r="E3516" s="1" t="n">
        <x:v>1.05</x:v>
      </x:c>
      <x:c r="F3516" s="1" t="str">
        <x:v>https://api.octopus.energy/v1/products/AGILE-24-10-01/electricity-tariffs/E-1R-AGILE-24-10-01-G/standard-unit-rates/</x:v>
      </x:c>
    </x:row>
    <x:row r="3517" ht="21" customHeight="1">
      <x:c r="A3517" s="24" t="n">
        <x:v>46221.770833333336</x:v>
      </x:c>
      <x:c r="B3517" s="6" t="n">
        <x:v>0.33340000000000003</x:v>
      </x:c>
      <x:c r="C3517" s="6" t="n">
        <x:v>0.1827</x:v>
      </x:c>
      <x:c r="D3517" s="6" t="n">
        <x:f>B3517</x:f>
        <x:v>0.33340000000000003</x:v>
      </x:c>
      <x:c r="E3517" s="1" t="n">
        <x:v>1.05</x:v>
      </x:c>
      <x:c r="F3517" s="1" t="str">
        <x:v>https://api.octopus.energy/v1/products/AGILE-24-10-01/electricity-tariffs/E-1R-AGILE-24-10-01-G/standard-unit-rates/</x:v>
      </x:c>
    </x:row>
    <x:row r="3518" ht="21" customHeight="1">
      <x:c r="A3518" s="24" t="n">
        <x:v>46221.791666666664</x:v>
      </x:c>
      <x:c r="B3518" s="6" t="n">
        <x:v>0.2293</x:v>
      </x:c>
      <x:c r="C3518" s="6" t="n">
        <x:v>0.1311</x:v>
      </x:c>
      <x:c r="D3518" s="6" t="n">
        <x:f>B3518</x:f>
        <x:v>0.2293</x:v>
      </x:c>
      <x:c r="E3518" s="1" t="n">
        <x:v>1.05</x:v>
      </x:c>
      <x:c r="F3518" s="1" t="str">
        <x:v>https://api.octopus.energy/v1/products/AGILE-24-10-01/electricity-tariffs/E-1R-AGILE-24-10-01-G/standard-unit-rates/</x:v>
      </x:c>
    </x:row>
    <x:row r="3519" ht="21" customHeight="1">
      <x:c r="A3519" s="24" t="n">
        <x:v>46221.8125</x:v>
      </x:c>
      <x:c r="B3519" s="6" t="n">
        <x:v>0.2377</x:v>
      </x:c>
      <x:c r="C3519" s="6" t="n">
        <x:v>0.1349</x:v>
      </x:c>
      <x:c r="D3519" s="6" t="n">
        <x:f>B3519</x:f>
        <x:v>0.2377</x:v>
      </x:c>
      <x:c r="E3519" s="1" t="n">
        <x:v>1.05</x:v>
      </x:c>
      <x:c r="F3519" s="1" t="str">
        <x:v>https://api.octopus.energy/v1/products/AGILE-24-10-01/electricity-tariffs/E-1R-AGILE-24-10-01-G/standard-unit-rates/</x:v>
      </x:c>
    </x:row>
    <x:row r="3520" ht="21" customHeight="1">
      <x:c r="A3520" s="24" t="n">
        <x:v>46221.833333333336</x:v>
      </x:c>
      <x:c r="B3520" s="6" t="n">
        <x:v>0.2518</x:v>
      </x:c>
      <x:c r="C3520" s="6" t="n">
        <x:v>0.1414</x:v>
      </x:c>
      <x:c r="D3520" s="6" t="n">
        <x:f>B3520</x:f>
        <x:v>0.2518</x:v>
      </x:c>
      <x:c r="E3520" s="1" t="n">
        <x:v>1.05</x:v>
      </x:c>
      <x:c r="F3520" s="1" t="str">
        <x:v>https://api.octopus.energy/v1/products/AGILE-24-10-01/electricity-tariffs/E-1R-AGILE-24-10-01-G/standard-unit-rates/</x:v>
      </x:c>
    </x:row>
    <x:row r="3521" ht="21" customHeight="1">
      <x:c r="A3521" s="24" t="n">
        <x:v>46221.854166666664</x:v>
      </x:c>
      <x:c r="B3521" s="6" t="n">
        <x:v>0.2534</x:v>
      </x:c>
      <x:c r="C3521" s="6" t="n">
        <x:v>0.1421</x:v>
      </x:c>
      <x:c r="D3521" s="6" t="n">
        <x:f>B3521</x:f>
        <x:v>0.2534</x:v>
      </x:c>
      <x:c r="E3521" s="1" t="n">
        <x:v>1.05</x:v>
      </x:c>
      <x:c r="F3521" s="1" t="str">
        <x:v>https://api.octopus.energy/v1/products/AGILE-24-10-01/electricity-tariffs/E-1R-AGILE-24-10-01-G/standard-unit-rates/</x:v>
      </x:c>
    </x:row>
    <x:row r="3522" ht="21" customHeight="1">
      <x:c r="A3522" s="24" t="n">
        <x:v>46221.875</x:v>
      </x:c>
      <x:c r="B3522" s="6" t="n">
        <x:v>0.24789999999999998</x:v>
      </x:c>
      <x:c r="C3522" s="6" t="n">
        <x:v>0.1396</x:v>
      </x:c>
      <x:c r="D3522" s="6" t="n">
        <x:f>B3522</x:f>
        <x:v>0.24789999999999998</x:v>
      </x:c>
      <x:c r="E3522" s="1" t="n">
        <x:v>1.05</x:v>
      </x:c>
      <x:c r="F3522" s="1" t="str">
        <x:v>https://api.octopus.energy/v1/products/AGILE-24-10-01/electricity-tariffs/E-1R-AGILE-24-10-01-G/standard-unit-rates/</x:v>
      </x:c>
    </x:row>
    <x:row r="3523" ht="21" customHeight="1">
      <x:c r="A3523" s="24" t="n">
        <x:v>46221.895833333336</x:v>
      </x:c>
      <x:c r="B3523" s="6" t="n">
        <x:v>0.2451</x:v>
      </x:c>
      <x:c r="C3523" s="6" t="n">
        <x:v>0.1383</x:v>
      </x:c>
      <x:c r="D3523" s="6" t="n">
        <x:f>B3523</x:f>
        <x:v>0.2451</x:v>
      </x:c>
      <x:c r="E3523" s="1" t="n">
        <x:v>1.05</x:v>
      </x:c>
      <x:c r="F3523" s="1" t="str">
        <x:v>https://api.octopus.energy/v1/products/AGILE-24-10-01/electricity-tariffs/E-1R-AGILE-24-10-01-G/standard-unit-rates/</x:v>
      </x:c>
    </x:row>
    <x:row r="3524" ht="21" customHeight="1">
      <x:c r="A3524" s="24" t="n">
        <x:v>46221.916666666664</x:v>
      </x:c>
      <x:c r="B3524" s="6" t="n">
        <x:v>0.2421</x:v>
      </x:c>
      <x:c r="C3524" s="6" t="n">
        <x:v>0.13699999999999998</x:v>
      </x:c>
      <x:c r="D3524" s="6" t="n">
        <x:f>B3524</x:f>
        <x:v>0.2421</x:v>
      </x:c>
      <x:c r="E3524" s="1" t="n">
        <x:v>1.05</x:v>
      </x:c>
      <x:c r="F3524" s="1" t="str">
        <x:v>https://api.octopus.energy/v1/products/AGILE-24-10-01/electricity-tariffs/E-1R-AGILE-24-10-01-G/standard-unit-rates/</x:v>
      </x:c>
    </x:row>
    <x:row r="3525" ht="21" customHeight="1">
      <x:c r="A3525" s="24" t="n">
        <x:v>46221.9375</x:v>
      </x:c>
      <x:c r="B3525" s="6" t="n">
        <x:v>0.24359999999999998</x:v>
      </x:c>
      <x:c r="C3525" s="6" t="n">
        <x:v>0.1376</x:v>
      </x:c>
      <x:c r="D3525" s="6" t="n">
        <x:f>B3525</x:f>
        <x:v>0.24359999999999998</x:v>
      </x:c>
      <x:c r="E3525" s="1" t="n">
        <x:v>1.05</x:v>
      </x:c>
      <x:c r="F3525" s="1" t="str">
        <x:v>https://api.octopus.energy/v1/products/AGILE-24-10-01/electricity-tariffs/E-1R-AGILE-24-10-01-G/standard-unit-rates/</x:v>
      </x:c>
    </x:row>
    <x:row r="3526" ht="21" customHeight="1">
      <x:c r="A3526" s="24" t="n">
        <x:v>46222</x:v>
      </x:c>
      <x:c r="B3526" s="6" t="n">
        <x:v>0.2257</x:v>
      </x:c>
      <x:c r="C3526" s="6" t="n">
        <x:v>0.1294</x:v>
      </x:c>
      <x:c r="D3526" s="6" t="n">
        <x:f>B3526</x:f>
        <x:v>0.2257</x:v>
      </x:c>
      <x:c r="E3526" s="1" t="n">
        <x:v>1.05</x:v>
      </x:c>
      <x:c r="F3526" s="1" t="str">
        <x:v>https://api.octopus.energy/v1/products/AGILE-24-10-01/electricity-tariffs/E-1R-AGILE-24-10-01-G/standard-unit-rates/</x:v>
      </x:c>
    </x:row>
    <x:row r="3527" ht="21" customHeight="1">
      <x:c r="A3527" s="24" t="n">
        <x:v>46221.979166666664</x:v>
      </x:c>
      <x:c r="B3527" s="6" t="n">
        <x:v>0.22219999999999998</x:v>
      </x:c>
      <x:c r="C3527" s="6" t="n">
        <x:v>0.12789999999999999</x:v>
      </x:c>
      <x:c r="D3527" s="6" t="n">
        <x:f>B3527</x:f>
        <x:v>0.22219999999999998</x:v>
      </x:c>
      <x:c r="E3527" s="1" t="n">
        <x:v>1.05</x:v>
      </x:c>
      <x:c r="F3527" s="1" t="str">
        <x:v>https://api.octopus.energy/v1/products/AGILE-24-10-01/electricity-tariffs/E-1R-AGILE-24-10-01-G/standard-unit-rates/</x:v>
      </x:c>
    </x:row>
    <x:row r="3528" ht="21" customHeight="1">
      <x:c r="A3528" s="24" t="n">
        <x:v>46222</x:v>
      </x:c>
      <x:c r="B3528" s="6" t="n">
        <x:v>0.1997</x:v>
      </x:c>
      <x:c r="C3528" s="6" t="n">
        <x:v>0.1176</x:v>
      </x:c>
      <x:c r="D3528" s="6" t="n">
        <x:f>B3528</x:f>
        <x:v>0.1997</x:v>
      </x:c>
      <x:c r="E3528" s="1" t="n">
        <x:v>1.05</x:v>
      </x:c>
      <x:c r="F3528" s="1" t="str">
        <x:v>https://api.octopus.energy/v1/products/AGILE-24-10-01/electricity-tariffs/E-1R-AGILE-24-10-01-G/standard-unit-rates/</x:v>
      </x:c>
    </x:row>
    <x:row r="3529" ht="21" customHeight="1">
      <x:c r="A3529" s="24" t="n">
        <x:v>46222.020833333336</x:v>
      </x:c>
      <x:c r="B3529" s="6" t="n">
        <x:v>0.1913</x:v>
      </x:c>
      <x:c r="C3529" s="6" t="n">
        <x:v>0.1137</x:v>
      </x:c>
      <x:c r="D3529" s="6" t="n">
        <x:f>B3529</x:f>
        <x:v>0.1913</x:v>
      </x:c>
      <x:c r="E3529" s="1" t="n">
        <x:v>1.05</x:v>
      </x:c>
      <x:c r="F3529" s="1" t="str">
        <x:v>https://api.octopus.energy/v1/products/AGILE-24-10-01/electricity-tariffs/E-1R-AGILE-24-10-01-G/standard-unit-rates/</x:v>
      </x:c>
    </x:row>
    <x:row r="3530" ht="21" customHeight="1">
      <x:c r="A3530" s="24" t="n">
        <x:v>46222.041666666664</x:v>
      </x:c>
      <x:c r="B3530" s="6" t="n">
        <x:v>0.1827</x:v>
      </x:c>
      <x:c r="C3530" s="6" t="n">
        <x:v>0.10980000000000001</x:v>
      </x:c>
      <x:c r="D3530" s="6" t="n">
        <x:f>B3530</x:f>
        <x:v>0.1827</x:v>
      </x:c>
      <x:c r="E3530" s="1" t="n">
        <x:v>1.05</x:v>
      </x:c>
      <x:c r="F3530" s="1" t="str">
        <x:v>https://api.octopus.energy/v1/products/AGILE-24-10-01/electricity-tariffs/E-1R-AGILE-24-10-01-G/standard-unit-rates/</x:v>
      </x:c>
    </x:row>
    <x:row r="3531" ht="21" customHeight="1">
      <x:c r="A3531" s="24" t="n">
        <x:v>46222.0625</x:v>
      </x:c>
      <x:c r="B3531" s="6" t="n">
        <x:v>0.1776</x:v>
      </x:c>
      <x:c r="C3531" s="6" t="n">
        <x:v>0.1075</x:v>
      </x:c>
      <x:c r="D3531" s="6" t="n">
        <x:f>B3531</x:f>
        <x:v>0.1776</x:v>
      </x:c>
      <x:c r="E3531" s="1" t="n">
        <x:v>1.05</x:v>
      </x:c>
      <x:c r="F3531" s="1" t="str">
        <x:v>https://api.octopus.energy/v1/products/AGILE-24-10-01/electricity-tariffs/E-1R-AGILE-24-10-01-G/standard-unit-rates/</x:v>
      </x:c>
    </x:row>
    <x:row r="3532" ht="21" customHeight="1">
      <x:c r="A3532" s="24" t="n">
        <x:v>46222.083333333336</x:v>
      </x:c>
      <x:c r="B3532" s="6" t="n">
        <x:v>0.18100000000000002</x:v>
      </x:c>
      <x:c r="C3532" s="6" t="n">
        <x:v>0.109</x:v>
      </x:c>
      <x:c r="D3532" s="6" t="n">
        <x:f>B3532</x:f>
        <x:v>0.18100000000000002</x:v>
      </x:c>
      <x:c r="E3532" s="1" t="n">
        <x:v>1.05</x:v>
      </x:c>
      <x:c r="F3532" s="1" t="str">
        <x:v>https://api.octopus.energy/v1/products/AGILE-24-10-01/electricity-tariffs/E-1R-AGILE-24-10-01-G/standard-unit-rates/</x:v>
      </x:c>
    </x:row>
    <x:row r="3533" ht="21" customHeight="1">
      <x:c r="A3533" s="24" t="n">
        <x:v>46222.104166666664</x:v>
      </x:c>
      <x:c r="B3533" s="6" t="n">
        <x:v>0.1808</x:v>
      </x:c>
      <x:c r="C3533" s="6" t="n">
        <x:v>0.10890000000000001</x:v>
      </x:c>
      <x:c r="D3533" s="6" t="n">
        <x:f>B3533</x:f>
        <x:v>0.1808</x:v>
      </x:c>
      <x:c r="E3533" s="1" t="n">
        <x:v>1.05</x:v>
      </x:c>
      <x:c r="F3533" s="1" t="str">
        <x:v>https://api.octopus.energy/v1/products/AGILE-24-10-01/electricity-tariffs/E-1R-AGILE-24-10-01-G/standard-unit-rates/</x:v>
      </x:c>
    </x:row>
    <x:row r="3534" ht="21" customHeight="1">
      <x:c r="A3534" s="24" t="n">
        <x:v>46222.125</x:v>
      </x:c>
      <x:c r="B3534" s="6" t="n">
        <x:v>0.17300000000000001</x:v>
      </x:c>
      <x:c r="C3534" s="6" t="n">
        <x:v>0.1054</x:v>
      </x:c>
      <x:c r="D3534" s="6" t="n">
        <x:f>B3534</x:f>
        <x:v>0.17300000000000001</x:v>
      </x:c>
      <x:c r="E3534" s="1" t="n">
        <x:v>1.05</x:v>
      </x:c>
      <x:c r="F3534" s="1" t="str">
        <x:v>https://api.octopus.energy/v1/products/AGILE-24-10-01/electricity-tariffs/E-1R-AGILE-24-10-01-G/standard-unit-rates/</x:v>
      </x:c>
    </x:row>
    <x:row r="3535" ht="21" customHeight="1">
      <x:c r="A3535" s="24" t="n">
        <x:v>46222.145833333336</x:v>
      </x:c>
      <x:c r="B3535" s="6" t="n">
        <x:v>0.16399999999999998</x:v>
      </x:c>
      <x:c r="C3535" s="6" t="n">
        <x:v>0.1012</x:v>
      </x:c>
      <x:c r="D3535" s="6" t="n">
        <x:f>B3535</x:f>
        <x:v>0.16399999999999998</x:v>
      </x:c>
      <x:c r="E3535" s="1" t="n">
        <x:v>1.05</x:v>
      </x:c>
      <x:c r="F3535" s="1" t="str">
        <x:v>https://api.octopus.energy/v1/products/AGILE-24-10-01/electricity-tariffs/E-1R-AGILE-24-10-01-G/standard-unit-rates/</x:v>
      </x:c>
    </x:row>
    <x:row r="3536" ht="21" customHeight="1">
      <x:c r="A3536" s="24" t="n">
        <x:v>46222.166666666664</x:v>
      </x:c>
      <x:c r="B3536" s="6" t="n">
        <x:v>0.15560000000000002</x:v>
      </x:c>
      <x:c r="C3536" s="6" t="n">
        <x:v>0.0974</x:v>
      </x:c>
      <x:c r="D3536" s="6" t="n">
        <x:f>B3536</x:f>
        <x:v>0.15560000000000002</x:v>
      </x:c>
      <x:c r="E3536" s="1" t="n">
        <x:v>1.05</x:v>
      </x:c>
      <x:c r="F3536" s="1" t="str">
        <x:v>https://api.octopus.energy/v1/products/AGILE-24-10-01/electricity-tariffs/E-1R-AGILE-24-10-01-G/standard-unit-rates/</x:v>
      </x:c>
    </x:row>
    <x:row r="3537" ht="21" customHeight="1">
      <x:c r="A3537" s="24" t="n">
        <x:v>46222.1875</x:v>
      </x:c>
      <x:c r="B3537" s="6" t="n">
        <x:v>0.1543</x:v>
      </x:c>
      <x:c r="C3537" s="6" t="n">
        <x:v>0.0968</x:v>
      </x:c>
      <x:c r="D3537" s="6" t="n">
        <x:f>B3537</x:f>
        <x:v>0.1543</x:v>
      </x:c>
      <x:c r="E3537" s="1" t="n">
        <x:v>1.05</x:v>
      </x:c>
      <x:c r="F3537" s="1" t="str">
        <x:v>https://api.octopus.energy/v1/products/AGILE-24-10-01/electricity-tariffs/E-1R-AGILE-24-10-01-G/standard-unit-rates/</x:v>
      </x:c>
    </x:row>
    <x:row r="3538" ht="21" customHeight="1">
      <x:c r="A3538" s="24" t="n">
        <x:v>46222.208333333336</x:v>
      </x:c>
      <x:c r="B3538" s="6" t="n">
        <x:v>0.1388</x:v>
      </x:c>
      <x:c r="C3538" s="6" t="n">
        <x:v>0.0897</x:v>
      </x:c>
      <x:c r="D3538" s="6" t="n">
        <x:f>B3538</x:f>
        <x:v>0.1388</x:v>
      </x:c>
      <x:c r="E3538" s="1" t="n">
        <x:v>1.05</x:v>
      </x:c>
      <x:c r="F3538" s="1" t="str">
        <x:v>https://api.octopus.energy/v1/products/AGILE-24-10-01/electricity-tariffs/E-1R-AGILE-24-10-01-G/standard-unit-rates/</x:v>
      </x:c>
    </x:row>
    <x:row r="3539" ht="21" customHeight="1">
      <x:c r="A3539" s="24" t="n">
        <x:v>46222.229166666664</x:v>
      </x:c>
      <x:c r="B3539" s="6" t="n">
        <x:v>0.12619999999999998</x:v>
      </x:c>
      <x:c r="C3539" s="6" t="n">
        <x:v>0.084</x:v>
      </x:c>
      <x:c r="D3539" s="6" t="n">
        <x:f>B3539</x:f>
        <x:v>0.12619999999999998</x:v>
      </x:c>
      <x:c r="E3539" s="1" t="n">
        <x:v>1.05</x:v>
      </x:c>
      <x:c r="F3539" s="1" t="str">
        <x:v>https://api.octopus.energy/v1/products/AGILE-24-10-01/electricity-tariffs/E-1R-AGILE-24-10-01-G/standard-unit-rates/</x:v>
      </x:c>
    </x:row>
    <x:row r="3540" ht="21" customHeight="1">
      <x:c r="A3540" s="24" t="n">
        <x:v>46222.25</x:v>
      </x:c>
      <x:c r="B3540" s="6" t="n">
        <x:v>0.1096</x:v>
      </x:c>
      <x:c r="C3540" s="6" t="n">
        <x:v>0.0764</x:v>
      </x:c>
      <x:c r="D3540" s="6" t="n">
        <x:f>B3540</x:f>
        <x:v>0.1096</x:v>
      </x:c>
      <x:c r="E3540" s="1" t="n">
        <x:v>1.05</x:v>
      </x:c>
      <x:c r="F3540" s="1" t="str">
        <x:v>https://api.octopus.energy/v1/products/AGILE-24-10-01/electricity-tariffs/E-1R-AGILE-24-10-01-G/standard-unit-rates/</x:v>
      </x:c>
    </x:row>
    <x:row r="3541" ht="21" customHeight="1">
      <x:c r="A3541" s="24" t="n">
        <x:v>46222.270833333336</x:v>
      </x:c>
      <x:c r="B3541" s="6" t="n">
        <x:v>0.10869999999999999</x:v>
      </x:c>
      <x:c r="C3541" s="6" t="n">
        <x:v>0.076</x:v>
      </x:c>
      <x:c r="D3541" s="6" t="n">
        <x:f>B3541</x:f>
        <x:v>0.10869999999999999</x:v>
      </x:c>
      <x:c r="E3541" s="1" t="n">
        <x:v>1.05</x:v>
      </x:c>
      <x:c r="F3541" s="1" t="str">
        <x:v>https://api.octopus.energy/v1/products/AGILE-24-10-01/electricity-tariffs/E-1R-AGILE-24-10-01-G/standard-unit-rates/</x:v>
      </x:c>
    </x:row>
    <x:row r="3542" ht="21" customHeight="1">
      <x:c r="A3542" s="24" t="n">
        <x:v>46222.291666666664</x:v>
      </x:c>
      <x:c r="B3542" s="6" t="n">
        <x:v>0.08839999999999999</x:v>
      </x:c>
      <x:c r="C3542" s="6" t="n">
        <x:v>0.0667</x:v>
      </x:c>
      <x:c r="D3542" s="6" t="n">
        <x:f>B3542</x:f>
        <x:v>0.08839999999999999</x:v>
      </x:c>
      <x:c r="E3542" s="1" t="n">
        <x:v>1.05</x:v>
      </x:c>
      <x:c r="F3542" s="1" t="str">
        <x:v>https://api.octopus.energy/v1/products/AGILE-24-10-01/electricity-tariffs/E-1R-AGILE-24-10-01-G/standard-unit-rates/</x:v>
      </x:c>
    </x:row>
    <x:row r="3543" ht="21" customHeight="1">
      <x:c r="A3543" s="24" t="n">
        <x:v>46222.3125</x:v>
      </x:c>
      <x:c r="B3543" s="6" t="n">
        <x:v>0.11109999999999999</x:v>
      </x:c>
      <x:c r="C3543" s="6" t="n">
        <x:v>0.077</x:v>
      </x:c>
      <x:c r="D3543" s="6" t="n">
        <x:f>B3543</x:f>
        <x:v>0.11109999999999999</x:v>
      </x:c>
      <x:c r="E3543" s="1" t="n">
        <x:v>1.05</x:v>
      </x:c>
      <x:c r="F3543" s="1" t="str">
        <x:v>https://api.octopus.energy/v1/products/AGILE-24-10-01/electricity-tariffs/E-1R-AGILE-24-10-01-G/standard-unit-rates/</x:v>
      </x:c>
    </x:row>
    <x:row r="3544" ht="21" customHeight="1">
      <x:c r="A3544" s="24" t="n">
        <x:v>46222.333333333336</x:v>
      </x:c>
      <x:c r="B3544" s="6" t="n">
        <x:v>0.10189999999999999</x:v>
      </x:c>
      <x:c r="C3544" s="6" t="n">
        <x:v>0.0728</x:v>
      </x:c>
      <x:c r="D3544" s="6" t="n">
        <x:f>B3544</x:f>
        <x:v>0.10189999999999999</x:v>
      </x:c>
      <x:c r="E3544" s="1" t="n">
        <x:v>1.05</x:v>
      </x:c>
      <x:c r="F3544" s="1" t="str">
        <x:v>https://api.octopus.energy/v1/products/AGILE-24-10-01/electricity-tariffs/E-1R-AGILE-24-10-01-G/standard-unit-rates/</x:v>
      </x:c>
    </x:row>
    <x:row r="3545" ht="21" customHeight="1">
      <x:c r="A3545" s="24" t="n">
        <x:v>46222.354166666664</x:v>
      </x:c>
      <x:c r="B3545" s="6" t="n">
        <x:v>0.1014</x:v>
      </x:c>
      <x:c r="C3545" s="6" t="n">
        <x:v>0.0726</x:v>
      </x:c>
      <x:c r="D3545" s="6" t="n">
        <x:f>B3545</x:f>
        <x:v>0.1014</x:v>
      </x:c>
      <x:c r="E3545" s="1" t="n">
        <x:v>1.05</x:v>
      </x:c>
      <x:c r="F3545" s="1" t="str">
        <x:v>https://api.octopus.energy/v1/products/AGILE-24-10-01/electricity-tariffs/E-1R-AGILE-24-10-01-G/standard-unit-rates/</x:v>
      </x:c>
    </x:row>
    <x:row r="3546" ht="21" customHeight="1">
      <x:c r="A3546" s="24" t="n">
        <x:v>46222.375</x:v>
      </x:c>
      <x:c r="B3546" s="6" t="n">
        <x:v>0.0943</x:v>
      </x:c>
      <x:c r="C3546" s="6" t="n">
        <x:v>0.0694</x:v>
      </x:c>
      <x:c r="D3546" s="6" t="n">
        <x:f>B3546</x:f>
        <x:v>0.0943</x:v>
      </x:c>
      <x:c r="E3546" s="1" t="n">
        <x:v>1.05</x:v>
      </x:c>
      <x:c r="F3546" s="1" t="str">
        <x:v>https://api.octopus.energy/v1/products/AGILE-24-10-01/electricity-tariffs/E-1R-AGILE-24-10-01-G/standard-unit-rates/</x:v>
      </x:c>
    </x:row>
    <x:row r="3547" ht="21" customHeight="1">
      <x:c r="A3547" s="24" t="n">
        <x:v>46222.395833333336</x:v>
      </x:c>
      <x:c r="B3547" s="6" t="n">
        <x:v>0.0978</x:v>
      </x:c>
      <x:c r="C3547" s="6" t="n">
        <x:v>0.071</x:v>
      </x:c>
      <x:c r="D3547" s="6" t="n">
        <x:f>B3547</x:f>
        <x:v>0.0978</x:v>
      </x:c>
      <x:c r="E3547" s="1" t="n">
        <x:v>1.05</x:v>
      </x:c>
      <x:c r="F3547" s="1" t="str">
        <x:v>https://api.octopus.energy/v1/products/AGILE-24-10-01/electricity-tariffs/E-1R-AGILE-24-10-01-G/standard-unit-rates/</x:v>
      </x:c>
    </x:row>
    <x:row r="3548" ht="21" customHeight="1">
      <x:c r="A3548" s="24" t="n">
        <x:v>46222.416666666664</x:v>
      </x:c>
      <x:c r="B3548" s="6" t="n">
        <x:v>0.09359999999999999</x:v>
      </x:c>
      <x:c r="C3548" s="6" t="n">
        <x:v>0.0691</x:v>
      </x:c>
      <x:c r="D3548" s="6" t="n">
        <x:f>B3548</x:f>
        <x:v>0.09359999999999999</x:v>
      </x:c>
      <x:c r="E3548" s="1" t="n">
        <x:v>1.05</x:v>
      </x:c>
      <x:c r="F3548" s="1" t="str">
        <x:v>https://api.octopus.energy/v1/products/AGILE-24-10-01/electricity-tariffs/E-1R-AGILE-24-10-01-G/standard-unit-rates/</x:v>
      </x:c>
    </x:row>
    <x:row r="3549" ht="21" customHeight="1">
      <x:c r="A3549" s="24" t="n">
        <x:v>46222.4375</x:v>
      </x:c>
      <x:c r="B3549" s="6" t="n">
        <x:v>0.0962</x:v>
      </x:c>
      <x:c r="C3549" s="6" t="n">
        <x:v>0.0703</x:v>
      </x:c>
      <x:c r="D3549" s="6" t="n">
        <x:f>B3549</x:f>
        <x:v>0.0962</x:v>
      </x:c>
      <x:c r="E3549" s="1" t="n">
        <x:v>1.05</x:v>
      </x:c>
      <x:c r="F3549" s="1" t="str">
        <x:v>https://api.octopus.energy/v1/products/AGILE-24-10-01/electricity-tariffs/E-1R-AGILE-24-10-01-G/standard-unit-rates/</x:v>
      </x:c>
    </x:row>
    <x:row r="3550" ht="21" customHeight="1">
      <x:c r="A3550" s="24" t="n">
        <x:v>46222.458333333336</x:v>
      </x:c>
      <x:c r="B3550" s="6" t="n">
        <x:v>0.0842</x:v>
      </x:c>
      <x:c r="C3550" s="6" t="n">
        <x:v>0.06480000000000001</x:v>
      </x:c>
      <x:c r="D3550" s="6" t="n">
        <x:f>B3550</x:f>
        <x:v>0.0842</x:v>
      </x:c>
      <x:c r="E3550" s="1" t="n">
        <x:v>1.05</x:v>
      </x:c>
      <x:c r="F3550" s="1" t="str">
        <x:v>https://api.octopus.energy/v1/products/AGILE-24-10-01/electricity-tariffs/E-1R-AGILE-24-10-01-G/standard-unit-rates/</x:v>
      </x:c>
    </x:row>
    <x:row r="3551" ht="21" customHeight="1">
      <x:c r="A3551" s="24" t="n">
        <x:v>46222.479166666664</x:v>
      </x:c>
      <x:c r="B3551" s="6" t="n">
        <x:v>0.0806</x:v>
      </x:c>
      <x:c r="C3551" s="6" t="n">
        <x:v>0.06309999999999999</x:v>
      </x:c>
      <x:c r="D3551" s="6" t="n">
        <x:f>B3551</x:f>
        <x:v>0.0806</x:v>
      </x:c>
      <x:c r="E3551" s="1" t="n">
        <x:v>1.05</x:v>
      </x:c>
      <x:c r="F3551" s="1" t="str">
        <x:v>https://api.octopus.energy/v1/products/AGILE-24-10-01/electricity-tariffs/E-1R-AGILE-24-10-01-G/standard-unit-rates/</x:v>
      </x:c>
    </x:row>
    <x:row r="3552" ht="21" customHeight="1">
      <x:c r="A3552" s="24" t="n">
        <x:v>46222.5</x:v>
      </x:c>
      <x:c r="B3552" s="6" t="n">
        <x:v>0.0901</x:v>
      </x:c>
      <x:c r="C3552" s="6" t="n">
        <x:v>0.0674</x:v>
      </x:c>
      <x:c r="D3552" s="6" t="n">
        <x:f>B3552</x:f>
        <x:v>0.0901</x:v>
      </x:c>
      <x:c r="E3552" s="1" t="n">
        <x:v>1.05</x:v>
      </x:c>
      <x:c r="F3552" s="1" t="str">
        <x:v>https://api.octopus.energy/v1/products/AGILE-24-10-01/electricity-tariffs/E-1R-AGILE-24-10-01-G/standard-unit-rates/</x:v>
      </x:c>
    </x:row>
    <x:row r="3553" ht="21" customHeight="1">
      <x:c r="A3553" s="24" t="n">
        <x:v>46222.520833333336</x:v>
      </x:c>
      <x:c r="B3553" s="6" t="n">
        <x:v>0.09720000000000001</x:v>
      </x:c>
      <x:c r="C3553" s="6" t="n">
        <x:v>0.0707</x:v>
      </x:c>
      <x:c r="D3553" s="6" t="n">
        <x:f>B3553</x:f>
        <x:v>0.09720000000000001</x:v>
      </x:c>
      <x:c r="E3553" s="1" t="n">
        <x:v>1.05</x:v>
      </x:c>
      <x:c r="F3553" s="1" t="str">
        <x:v>https://api.octopus.energy/v1/products/AGILE-24-10-01/electricity-tariffs/E-1R-AGILE-24-10-01-G/standard-unit-rates/</x:v>
      </x:c>
    </x:row>
    <x:row r="3554" ht="21" customHeight="1">
      <x:c r="A3554" s="24" t="n">
        <x:v>46222.541666666664</x:v>
      </x:c>
      <x:c r="B3554" s="6" t="n">
        <x:v>0.0958</x:v>
      </x:c>
      <x:c r="C3554" s="6" t="n">
        <x:v>0.0701</x:v>
      </x:c>
      <x:c r="D3554" s="6" t="n">
        <x:f>B3554</x:f>
        <x:v>0.0958</x:v>
      </x:c>
      <x:c r="E3554" s="1" t="n">
        <x:v>1.05</x:v>
      </x:c>
      <x:c r="F3554" s="1" t="str">
        <x:v>https://api.octopus.energy/v1/products/AGILE-24-10-01/electricity-tariffs/E-1R-AGILE-24-10-01-G/standard-unit-rates/</x:v>
      </x:c>
    </x:row>
    <x:row r="3555" ht="21" customHeight="1">
      <x:c r="A3555" s="24" t="n">
        <x:v>46222.5625</x:v>
      </x:c>
      <x:c r="B3555" s="6" t="n">
        <x:v>0.08439999999999999</x:v>
      </x:c>
      <x:c r="C3555" s="6" t="n">
        <x:v>0.0649</x:v>
      </x:c>
      <x:c r="D3555" s="6" t="n">
        <x:f>B3555</x:f>
        <x:v>0.08439999999999999</x:v>
      </x:c>
      <x:c r="E3555" s="1" t="n">
        <x:v>1.05</x:v>
      </x:c>
      <x:c r="F3555" s="1" t="str">
        <x:v>https://api.octopus.energy/v1/products/AGILE-24-10-01/electricity-tariffs/E-1R-AGILE-24-10-01-G/standard-unit-rates/</x:v>
      </x:c>
    </x:row>
    <x:row r="3556" ht="21" customHeight="1">
      <x:c r="A3556" s="24" t="n">
        <x:v>46222.583333333336</x:v>
      </x:c>
      <x:c r="B3556" s="6" t="n">
        <x:v>0.0922</x:v>
      </x:c>
      <x:c r="C3556" s="6" t="n">
        <x:v>0.0684</x:v>
      </x:c>
      <x:c r="D3556" s="6" t="n">
        <x:f>B3556</x:f>
        <x:v>0.0922</x:v>
      </x:c>
      <x:c r="E3556" s="1" t="n">
        <x:v>1.05</x:v>
      </x:c>
      <x:c r="F3556" s="1" t="str">
        <x:v>https://api.octopus.energy/v1/products/AGILE-24-10-01/electricity-tariffs/E-1R-AGILE-24-10-01-G/standard-unit-rates/</x:v>
      </x:c>
    </x:row>
    <x:row r="3557" ht="21" customHeight="1">
      <x:c r="A3557" s="24" t="n">
        <x:v>46222.604166666664</x:v>
      </x:c>
      <x:c r="B3557" s="6" t="n">
        <x:v>0.0888</x:v>
      </x:c>
      <x:c r="C3557" s="6" t="n">
        <x:v>0.0669</x:v>
      </x:c>
      <x:c r="D3557" s="6" t="n">
        <x:f>B3557</x:f>
        <x:v>0.0888</x:v>
      </x:c>
      <x:c r="E3557" s="1" t="n">
        <x:v>1.05</x:v>
      </x:c>
      <x:c r="F3557" s="1" t="str">
        <x:v>https://api.octopus.energy/v1/products/AGILE-24-10-01/electricity-tariffs/E-1R-AGILE-24-10-01-G/standard-unit-rates/</x:v>
      </x:c>
    </x:row>
    <x:row r="3558" ht="21" customHeight="1">
      <x:c r="A3558" s="24" t="n">
        <x:v>46222.625</x:v>
      </x:c>
      <x:c r="B3558" s="6" t="n">
        <x:v>0.09300000000000001</x:v>
      </x:c>
      <x:c r="C3558" s="6" t="n">
        <x:v>0.0688</x:v>
      </x:c>
      <x:c r="D3558" s="6" t="n">
        <x:f>B3558</x:f>
        <x:v>0.09300000000000001</x:v>
      </x:c>
      <x:c r="E3558" s="1" t="n">
        <x:v>1.05</x:v>
      </x:c>
      <x:c r="F3558" s="1" t="str">
        <x:v>https://api.octopus.energy/v1/products/AGILE-24-10-01/electricity-tariffs/E-1R-AGILE-24-10-01-G/standard-unit-rates/</x:v>
      </x:c>
    </x:row>
    <x:row r="3559" ht="21" customHeight="1">
      <x:c r="A3559" s="24" t="n">
        <x:v>46222.645833333336</x:v>
      </x:c>
      <x:c r="B3559" s="6" t="n">
        <x:v>0.09910000000000001</x:v>
      </x:c>
      <x:c r="C3559" s="6" t="n">
        <x:v>0.0716</x:v>
      </x:c>
      <x:c r="D3559" s="6" t="n">
        <x:f>B3559</x:f>
        <x:v>0.09910000000000001</x:v>
      </x:c>
      <x:c r="E3559" s="1" t="n">
        <x:v>1.05</x:v>
      </x:c>
      <x:c r="F3559" s="1" t="str">
        <x:v>https://api.octopus.energy/v1/products/AGILE-24-10-01/electricity-tariffs/E-1R-AGILE-24-10-01-G/standard-unit-rates/</x:v>
      </x:c>
    </x:row>
    <x:row r="3560" ht="21" customHeight="1">
      <x:c r="A3560" s="24" t="n">
        <x:v>46222.666666666664</x:v>
      </x:c>
      <x:c r="B3560" s="6" t="n">
        <x:v>0.2346</x:v>
      </x:c>
      <x:c r="C3560" s="6" t="n">
        <x:v>0.1376</x:v>
      </x:c>
      <x:c r="D3560" s="6" t="n">
        <x:f>B3560</x:f>
        <x:v>0.2346</x:v>
      </x:c>
      <x:c r="E3560" s="1" t="n">
        <x:v>1.05</x:v>
      </x:c>
      <x:c r="F3560" s="1" t="str">
        <x:v>https://api.octopus.energy/v1/products/AGILE-24-10-01/electricity-tariffs/E-1R-AGILE-24-10-01-G/standard-unit-rates/</x:v>
      </x:c>
    </x:row>
    <x:row r="3561" ht="21" customHeight="1">
      <x:c r="A3561" s="24" t="n">
        <x:v>46222.6875</x:v>
      </x:c>
      <x:c r="B3561" s="6" t="n">
        <x:v>0.2546</x:v>
      </x:c>
      <x:c r="C3561" s="6" t="n">
        <x:v>0.1467</x:v>
      </x:c>
      <x:c r="D3561" s="6" t="n">
        <x:f>B3561</x:f>
        <x:v>0.2546</x:v>
      </x:c>
      <x:c r="E3561" s="1" t="n">
        <x:v>1.05</x:v>
      </x:c>
      <x:c r="F3561" s="1" t="str">
        <x:v>https://api.octopus.energy/v1/products/AGILE-24-10-01/electricity-tariffs/E-1R-AGILE-24-10-01-G/standard-unit-rates/</x:v>
      </x:c>
    </x:row>
    <x:row r="3562" ht="21" customHeight="1">
      <x:c r="A3562" s="24" t="n">
        <x:v>46222.708333333336</x:v>
      </x:c>
      <x:c r="B3562" s="6" t="n">
        <x:v>0.3124</x:v>
      </x:c>
      <x:c r="C3562" s="6" t="n">
        <x:v>0.17309999999999998</x:v>
      </x:c>
      <x:c r="D3562" s="6" t="n">
        <x:f>B3562</x:f>
        <x:v>0.3124</x:v>
      </x:c>
      <x:c r="E3562" s="1" t="n">
        <x:v>1.05</x:v>
      </x:c>
      <x:c r="F3562" s="1" t="str">
        <x:v>https://api.octopus.energy/v1/products/AGILE-24-10-01/electricity-tariffs/E-1R-AGILE-24-10-01-G/standard-unit-rates/</x:v>
      </x:c>
    </x:row>
    <x:row r="3563" ht="21" customHeight="1">
      <x:c r="A3563" s="24" t="n">
        <x:v>46222.729166666664</x:v>
      </x:c>
      <x:c r="B3563" s="6" t="n">
        <x:v>0.3079</x:v>
      </x:c>
      <x:c r="C3563" s="6" t="n">
        <x:v>0.1711</x:v>
      </x:c>
      <x:c r="D3563" s="6" t="n">
        <x:f>B3563</x:f>
        <x:v>0.3079</x:v>
      </x:c>
      <x:c r="E3563" s="1" t="n">
        <x:v>1.05</x:v>
      </x:c>
      <x:c r="F3563" s="1" t="str">
        <x:v>https://api.octopus.energy/v1/products/AGILE-24-10-01/electricity-tariffs/E-1R-AGILE-24-10-01-G/standard-unit-rates/</x:v>
      </x:c>
    </x:row>
    <x:row r="3564" ht="21" customHeight="1">
      <x:c r="A3564" s="24" t="n">
        <x:v>46222.75</x:v>
      </x:c>
      <x:c r="B3564" s="6" t="n">
        <x:v>0.34490000000000004</x:v>
      </x:c>
      <x:c r="C3564" s="6" t="n">
        <x:v>0.188</x:v>
      </x:c>
      <x:c r="D3564" s="6" t="n">
        <x:f>B3564</x:f>
        <x:v>0.34490000000000004</x:v>
      </x:c>
      <x:c r="E3564" s="1" t="n">
        <x:v>1.05</x:v>
      </x:c>
      <x:c r="F3564" s="1" t="str">
        <x:v>https://api.octopus.energy/v1/products/AGILE-24-10-01/electricity-tariffs/E-1R-AGILE-24-10-01-G/standard-unit-rates/</x:v>
      </x:c>
    </x:row>
    <x:row r="3565" ht="21" customHeight="1">
      <x:c r="A3565" s="24" t="n">
        <x:v>46222.770833333336</x:v>
      </x:c>
      <x:c r="B3565" s="6" t="n">
        <x:v>0.34909999999999997</x:v>
      </x:c>
      <x:c r="C3565" s="6" t="n">
        <x:v>0.18989999999999999</x:v>
      </x:c>
      <x:c r="D3565" s="6" t="n">
        <x:f>B3565</x:f>
        <x:v>0.34909999999999997</x:v>
      </x:c>
      <x:c r="E3565" s="1" t="n">
        <x:v>1.05</x:v>
      </x:c>
      <x:c r="F3565" s="1" t="str">
        <x:v>https://api.octopus.energy/v1/products/AGILE-24-10-01/electricity-tariffs/E-1R-AGILE-24-10-01-G/standard-unit-rates/</x:v>
      </x:c>
    </x:row>
    <x:row r="3566" ht="21" customHeight="1">
      <x:c r="A3566" s="24" t="n">
        <x:v>46222.791666666664</x:v>
      </x:c>
      <x:c r="B3566" s="6" t="n">
        <x:v>0.2523</x:v>
      </x:c>
      <x:c r="C3566" s="6" t="n">
        <x:v>0.1416</x:v>
      </x:c>
      <x:c r="D3566" s="6" t="n">
        <x:f>B3566</x:f>
        <x:v>0.2523</x:v>
      </x:c>
      <x:c r="E3566" s="1" t="n">
        <x:v>1.05</x:v>
      </x:c>
      <x:c r="F3566" s="1" t="str">
        <x:v>https://api.octopus.energy/v1/products/AGILE-24-10-01/electricity-tariffs/E-1R-AGILE-24-10-01-G/standard-unit-rates/</x:v>
      </x:c>
    </x:row>
    <x:row r="3567" ht="21" customHeight="1">
      <x:c r="A3567" s="24" t="n">
        <x:v>46222.8125</x:v>
      </x:c>
      <x:c r="B3567" s="6" t="n">
        <x:v>0.2547</x:v>
      </x:c>
      <x:c r="C3567" s="6" t="n">
        <x:v>0.1427</x:v>
      </x:c>
      <x:c r="D3567" s="6" t="n">
        <x:f>B3567</x:f>
        <x:v>0.2547</x:v>
      </x:c>
      <x:c r="E3567" s="1" t="n">
        <x:v>1.05</x:v>
      </x:c>
      <x:c r="F3567" s="1" t="str">
        <x:v>https://api.octopus.energy/v1/products/AGILE-24-10-01/electricity-tariffs/E-1R-AGILE-24-10-01-G/standard-unit-rates/</x:v>
      </x:c>
    </x:row>
    <x:row r="3568" ht="21" customHeight="1">
      <x:c r="A3568" s="24" t="n">
        <x:v>46222.833333333336</x:v>
      </x:c>
      <x:c r="B3568" s="6" t="n">
        <x:v>0.2575</x:v>
      </x:c>
      <x:c r="C3568" s="6" t="n">
        <x:v>0.14400000000000002</x:v>
      </x:c>
      <x:c r="D3568" s="6" t="n">
        <x:f>B3568</x:f>
        <x:v>0.2575</x:v>
      </x:c>
      <x:c r="E3568" s="1" t="n">
        <x:v>1.05</x:v>
      </x:c>
      <x:c r="F3568" s="1" t="str">
        <x:v>https://api.octopus.energy/v1/products/AGILE-24-10-01/electricity-tariffs/E-1R-AGILE-24-10-01-G/standard-unit-rates/</x:v>
      </x:c>
    </x:row>
    <x:row r="3569" ht="21" customHeight="1">
      <x:c r="A3569" s="24" t="n">
        <x:v>46222.854166666664</x:v>
      </x:c>
      <x:c r="B3569" s="6" t="n">
        <x:v>0.2554</x:v>
      </x:c>
      <x:c r="C3569" s="6" t="n">
        <x:v>0.14300000000000002</x:v>
      </x:c>
      <x:c r="D3569" s="6" t="n">
        <x:f>B3569</x:f>
        <x:v>0.2554</x:v>
      </x:c>
      <x:c r="E3569" s="1" t="n">
        <x:v>1.05</x:v>
      </x:c>
      <x:c r="F3569" s="1" t="str">
        <x:v>https://api.octopus.energy/v1/products/AGILE-24-10-01/electricity-tariffs/E-1R-AGILE-24-10-01-G/standard-unit-rates/</x:v>
      </x:c>
    </x:row>
    <x:row r="3570" ht="21" customHeight="1">
      <x:c r="A3570" s="24" t="n">
        <x:v>46222.875</x:v>
      </x:c>
      <x:c r="B3570" s="6" t="n">
        <x:v>0.2564</x:v>
      </x:c>
      <x:c r="C3570" s="6" t="n">
        <x:v>0.1435</x:v>
      </x:c>
      <x:c r="D3570" s="6" t="n">
        <x:f>B3570</x:f>
        <x:v>0.2564</x:v>
      </x:c>
      <x:c r="E3570" s="1" t="n">
        <x:v>1.05</x:v>
      </x:c>
      <x:c r="F3570" s="1" t="str">
        <x:v>https://api.octopus.energy/v1/products/AGILE-24-10-01/electricity-tariffs/E-1R-AGILE-24-10-01-G/standard-unit-rates/</x:v>
      </x:c>
    </x:row>
    <x:row r="3571" ht="21" customHeight="1">
      <x:c r="A3571" s="24" t="n">
        <x:v>46222.895833333336</x:v>
      </x:c>
      <x:c r="B3571" s="6" t="n">
        <x:v>0.2544</x:v>
      </x:c>
      <x:c r="C3571" s="6" t="n">
        <x:v>0.1426</x:v>
      </x:c>
      <x:c r="D3571" s="6" t="n">
        <x:f>B3571</x:f>
        <x:v>0.2544</x:v>
      </x:c>
      <x:c r="E3571" s="1" t="n">
        <x:v>1.05</x:v>
      </x:c>
      <x:c r="F3571" s="1" t="str">
        <x:v>https://api.octopus.energy/v1/products/AGILE-24-10-01/electricity-tariffs/E-1R-AGILE-24-10-01-G/standard-unit-rates/</x:v>
      </x:c>
    </x:row>
    <x:row r="3572" ht="21" customHeight="1">
      <x:c r="A3572" s="24" t="n">
        <x:v>46222.916666666664</x:v>
      </x:c>
      <x:c r="B3572" s="6" t="n">
        <x:v>0.2613</x:v>
      </x:c>
      <x:c r="C3572" s="6" t="n">
        <x:v>0.1457</x:v>
      </x:c>
      <x:c r="D3572" s="6" t="n">
        <x:f>B3572</x:f>
        <x:v>0.2613</x:v>
      </x:c>
      <x:c r="E3572" s="1" t="n">
        <x:v>1.05</x:v>
      </x:c>
      <x:c r="F3572" s="1" t="str">
        <x:v>https://api.octopus.energy/v1/products/AGILE-24-10-01/electricity-tariffs/E-1R-AGILE-24-10-01-G/standard-unit-rates/</x:v>
      </x:c>
    </x:row>
    <x:row r="3573" ht="21" customHeight="1">
      <x:c r="A3573" s="24" t="n">
        <x:v>46222.9375</x:v>
      </x:c>
      <x:c r="B3573" s="6" t="n">
        <x:v>0.2501</x:v>
      </x:c>
      <x:c r="C3573" s="6" t="n">
        <x:v>0.1406</x:v>
      </x:c>
      <x:c r="D3573" s="6" t="n">
        <x:f>B3573</x:f>
        <x:v>0.2501</x:v>
      </x:c>
      <x:c r="E3573" s="1" t="n">
        <x:v>1.05</x:v>
      </x:c>
      <x:c r="F3573" s="1" t="str">
        <x:v>https://api.octopus.energy/v1/products/AGILE-24-10-01/electricity-tariffs/E-1R-AGILE-24-10-01-G/standard-unit-rates/</x:v>
      </x:c>
    </x:row>
    <x:row r="3574" ht="21" customHeight="1">
      <x:c r="A3574" s="24" t="n">
        <x:v>46223</x:v>
      </x:c>
      <x:c r="B3574" s="6" t="n">
        <x:v>0.2731</x:v>
      </x:c>
      <x:c r="C3574" s="6" t="n">
        <x:v>0.15109999999999998</x:v>
      </x:c>
      <x:c r="D3574" s="6" t="n">
        <x:f>B3574</x:f>
        <x:v>0.2731</x:v>
      </x:c>
      <x:c r="E3574" s="1" t="n">
        <x:v>1.05</x:v>
      </x:c>
      <x:c r="F3574" s="1" t="str">
        <x:v>https://api.octopus.energy/v1/products/AGILE-24-10-01/electricity-tariffs/E-1R-AGILE-24-10-01-G/standard-unit-rates/</x:v>
      </x:c>
    </x:row>
    <x:row r="3575" ht="21" customHeight="1">
      <x:c r="A3575" s="24" t="n">
        <x:v>46222.979166666664</x:v>
      </x:c>
      <x:c r="B3575" s="6" t="n">
        <x:v>0.2518</x:v>
      </x:c>
      <x:c r="C3575" s="6" t="n">
        <x:v>0.1414</x:v>
      </x:c>
      <x:c r="D3575" s="6" t="n">
        <x:f>B3575</x:f>
        <x:v>0.2518</x:v>
      </x:c>
      <x:c r="E3575" s="1" t="n">
        <x:v>1.05</x:v>
      </x:c>
      <x:c r="F3575" s="1" t="str">
        <x:v>https://api.octopus.energy/v1/products/AGILE-24-10-01/electricity-tariffs/E-1R-AGILE-24-10-01-G/standard-unit-rates/</x:v>
      </x:c>
    </x:row>
    <x:row r="3576" ht="21" customHeight="1">
      <x:c r="A3576" s="24" t="n">
        <x:v>46223</x:v>
      </x:c>
      <x:c r="B3576" s="6" t="n">
        <x:v>0.2346</x:v>
      </x:c>
      <x:c r="C3576" s="6" t="n">
        <x:v>0.1335</x:v>
      </x:c>
      <x:c r="D3576" s="6" t="n">
        <x:f>B3576</x:f>
        <x:v>0.2346</x:v>
      </x:c>
      <x:c r="E3576" s="1" t="n">
        <x:v>1.05</x:v>
      </x:c>
      <x:c r="F3576" s="1" t="str">
        <x:v>https://api.octopus.energy/v1/products/AGILE-24-10-01/electricity-tariffs/E-1R-AGILE-24-10-01-G/standard-unit-rates/</x:v>
      </x:c>
    </x:row>
    <x:row r="3577" ht="21" customHeight="1">
      <x:c r="A3577" s="24" t="n">
        <x:v>46223.020833333336</x:v>
      </x:c>
      <x:c r="B3577" s="6" t="n">
        <x:v>0.2341</x:v>
      </x:c>
      <x:c r="C3577" s="6" t="n">
        <x:v>0.1333</x:v>
      </x:c>
      <x:c r="D3577" s="6" t="n">
        <x:f>B3577</x:f>
        <x:v>0.2341</x:v>
      </x:c>
      <x:c r="E3577" s="1" t="n">
        <x:v>1.05</x:v>
      </x:c>
      <x:c r="F3577" s="1" t="str">
        <x:v>https://api.octopus.energy/v1/products/AGILE-24-10-01/electricity-tariffs/E-1R-AGILE-24-10-01-G/standard-unit-rates/</x:v>
      </x:c>
    </x:row>
    <x:row r="3578" ht="21" customHeight="1">
      <x:c r="A3578" s="24" t="n">
        <x:v>46223.041666666664</x:v>
      </x:c>
      <x:c r="B3578" s="6" t="n">
        <x:v>0.226</x:v>
      </x:c>
      <x:c r="C3578" s="6" t="n">
        <x:v>0.12960000000000002</x:v>
      </x:c>
      <x:c r="D3578" s="6" t="n">
        <x:f>B3578</x:f>
        <x:v>0.226</x:v>
      </x:c>
      <x:c r="E3578" s="1" t="n">
        <x:v>1.05</x:v>
      </x:c>
      <x:c r="F3578" s="1" t="str">
        <x:v>https://api.octopus.energy/v1/products/AGILE-24-10-01/electricity-tariffs/E-1R-AGILE-24-10-01-G/standard-unit-rates/</x:v>
      </x:c>
    </x:row>
    <x:row r="3579" ht="21" customHeight="1">
      <x:c r="A3579" s="24" t="n">
        <x:v>46223.0625</x:v>
      </x:c>
      <x:c r="B3579" s="6" t="n">
        <x:v>0.2223</x:v>
      </x:c>
      <x:c r="C3579" s="6" t="n">
        <x:v>0.12789999999999999</x:v>
      </x:c>
      <x:c r="D3579" s="6" t="n">
        <x:f>B3579</x:f>
        <x:v>0.2223</x:v>
      </x:c>
      <x:c r="E3579" s="1" t="n">
        <x:v>1.05</x:v>
      </x:c>
      <x:c r="F3579" s="1" t="str">
        <x:v>https://api.octopus.energy/v1/products/AGILE-24-10-01/electricity-tariffs/E-1R-AGILE-24-10-01-G/standard-unit-rates/</x:v>
      </x:c>
    </x:row>
    <x:row r="3580" ht="21" customHeight="1">
      <x:c r="A3580" s="24" t="n">
        <x:v>46223.083333333336</x:v>
      </x:c>
      <x:c r="B3580" s="6" t="n">
        <x:v>0.21420000000000003</x:v>
      </x:c>
      <x:c r="C3580" s="6" t="n">
        <x:v>0.1242</x:v>
      </x:c>
      <x:c r="D3580" s="6" t="n">
        <x:f>B3580</x:f>
        <x:v>0.21420000000000003</x:v>
      </x:c>
      <x:c r="E3580" s="1" t="n">
        <x:v>1.05</x:v>
      </x:c>
      <x:c r="F3580" s="1" t="str">
        <x:v>https://api.octopus.energy/v1/products/AGILE-24-10-01/electricity-tariffs/E-1R-AGILE-24-10-01-G/standard-unit-rates/</x:v>
      </x:c>
    </x:row>
    <x:row r="3581" ht="21" customHeight="1">
      <x:c r="A3581" s="24" t="n">
        <x:v>46223.104166666664</x:v>
      </x:c>
      <x:c r="B3581" s="6" t="n">
        <x:v>0.213</x:v>
      </x:c>
      <x:c r="C3581" s="6" t="n">
        <x:v>0.12369999999999999</x:v>
      </x:c>
      <x:c r="D3581" s="6" t="n">
        <x:f>B3581</x:f>
        <x:v>0.213</x:v>
      </x:c>
      <x:c r="E3581" s="1" t="n">
        <x:v>1.05</x:v>
      </x:c>
      <x:c r="F3581" s="1" t="str">
        <x:v>https://api.octopus.energy/v1/products/AGILE-24-10-01/electricity-tariffs/E-1R-AGILE-24-10-01-G/standard-unit-rates/</x:v>
      </x:c>
    </x:row>
    <x:row r="3582" ht="21" customHeight="1">
      <x:c r="A3582" s="24" t="n">
        <x:v>46223.125</x:v>
      </x:c>
      <x:c r="B3582" s="6" t="n">
        <x:v>0.2126</x:v>
      </x:c>
      <x:c r="C3582" s="6" t="n">
        <x:v>0.1234</x:v>
      </x:c>
      <x:c r="D3582" s="6" t="n">
        <x:f>B3582</x:f>
        <x:v>0.2126</x:v>
      </x:c>
      <x:c r="E3582" s="1" t="n">
        <x:v>1.05</x:v>
      </x:c>
      <x:c r="F3582" s="1" t="str">
        <x:v>https://api.octopus.energy/v1/products/AGILE-24-10-01/electricity-tariffs/E-1R-AGILE-24-10-01-G/standard-unit-rates/</x:v>
      </x:c>
    </x:row>
    <x:row r="3583" ht="21" customHeight="1">
      <x:c r="A3583" s="24" t="n">
        <x:v>46223.145833333336</x:v>
      </x:c>
      <x:c r="B3583" s="6" t="n">
        <x:v>0.20850000000000002</x:v>
      </x:c>
      <x:c r="C3583" s="6" t="n">
        <x:v>0.1216</x:v>
      </x:c>
      <x:c r="D3583" s="6" t="n">
        <x:f>B3583</x:f>
        <x:v>0.20850000000000002</x:v>
      </x:c>
      <x:c r="E3583" s="1" t="n">
        <x:v>1.05</x:v>
      </x:c>
      <x:c r="F3583" s="1" t="str">
        <x:v>https://api.octopus.energy/v1/products/AGILE-24-10-01/electricity-tariffs/E-1R-AGILE-24-10-01-G/standard-unit-rates/</x:v>
      </x:c>
    </x:row>
    <x:row r="3584" ht="21" customHeight="1">
      <x:c r="A3584" s="24" t="n">
        <x:v>46223.166666666664</x:v>
      </x:c>
      <x:c r="B3584" s="6" t="n">
        <x:v>0.2205</x:v>
      </x:c>
      <x:c r="C3584" s="6" t="n">
        <x:v>0.12710000000000002</x:v>
      </x:c>
      <x:c r="D3584" s="6" t="n">
        <x:f>B3584</x:f>
        <x:v>0.2205</x:v>
      </x:c>
      <x:c r="E3584" s="1" t="n">
        <x:v>1.05</x:v>
      </x:c>
      <x:c r="F3584" s="1" t="str">
        <x:v>https://api.octopus.energy/v1/products/AGILE-24-10-01/electricity-tariffs/E-1R-AGILE-24-10-01-G/standard-unit-rates/</x:v>
      </x:c>
    </x:row>
    <x:row r="3585" ht="21" customHeight="1">
      <x:c r="A3585" s="24" t="n">
        <x:v>46223.1875</x:v>
      </x:c>
      <x:c r="B3585" s="6" t="n">
        <x:v>0.2118</x:v>
      </x:c>
      <x:c r="C3585" s="6" t="n">
        <x:v>0.1231</x:v>
      </x:c>
      <x:c r="D3585" s="6" t="n">
        <x:f>B3585</x:f>
        <x:v>0.2118</x:v>
      </x:c>
      <x:c r="E3585" s="1" t="n">
        <x:v>1.05</x:v>
      </x:c>
      <x:c r="F3585" s="1" t="str">
        <x:v>https://api.octopus.energy/v1/products/AGILE-24-10-01/electricity-tariffs/E-1R-AGILE-24-10-01-G/standard-unit-rates/</x:v>
      </x:c>
    </x:row>
    <x:row r="3586" ht="21" customHeight="1">
      <x:c r="A3586" s="24" t="n">
        <x:v>46223.208333333336</x:v>
      </x:c>
      <x:c r="B3586" s="6" t="n">
        <x:v>0.2217</x:v>
      </x:c>
      <x:c r="C3586" s="6" t="n">
        <x:v>0.1276</x:v>
      </x:c>
      <x:c r="D3586" s="6" t="n">
        <x:f>B3586</x:f>
        <x:v>0.2217</x:v>
      </x:c>
      <x:c r="E3586" s="1" t="n">
        <x:v>1.05</x:v>
      </x:c>
      <x:c r="F3586" s="1" t="str">
        <x:v>https://api.octopus.energy/v1/products/AGILE-24-10-01/electricity-tariffs/E-1R-AGILE-24-10-01-G/standard-unit-rates/</x:v>
      </x:c>
    </x:row>
    <x:row r="3587" ht="21" customHeight="1">
      <x:c r="A3587" s="24" t="n">
        <x:v>46223.229166666664</x:v>
      </x:c>
      <x:c r="B3587" s="6" t="n">
        <x:v>0.21850000000000003</x:v>
      </x:c>
      <x:c r="C3587" s="6" t="n">
        <x:v>0.12619999999999998</x:v>
      </x:c>
      <x:c r="D3587" s="6" t="n">
        <x:f>B3587</x:f>
        <x:v>0.21850000000000003</x:v>
      </x:c>
      <x:c r="E3587" s="1" t="n">
        <x:v>1.05</x:v>
      </x:c>
      <x:c r="F3587" s="1" t="str">
        <x:v>https://api.octopus.energy/v1/products/AGILE-24-10-01/electricity-tariffs/E-1R-AGILE-24-10-01-G/standard-unit-rates/</x:v>
      </x:c>
    </x:row>
    <x:row r="3588" ht="21" customHeight="1">
      <x:c r="A3588" s="24" t="n">
        <x:v>46223.25</x:v>
      </x:c>
      <x:c r="B3588" s="6" t="n">
        <x:v>0.2357</x:v>
      </x:c>
      <x:c r="C3588" s="6" t="n">
        <x:v>0.134</x:v>
      </x:c>
      <x:c r="D3588" s="6" t="n">
        <x:f>B3588</x:f>
        <x:v>0.2357</x:v>
      </x:c>
      <x:c r="E3588" s="1" t="n">
        <x:v>1.05</x:v>
      </x:c>
      <x:c r="F3588" s="1" t="str">
        <x:v>https://api.octopus.energy/v1/products/AGILE-24-10-01/electricity-tariffs/E-1R-AGILE-24-10-01-G/standard-unit-rates/</x:v>
      </x:c>
    </x:row>
    <x:row r="3589" ht="21" customHeight="1">
      <x:c r="A3589" s="24" t="n">
        <x:v>46223.270833333336</x:v>
      </x:c>
      <x:c r="B3589" s="6" t="n">
        <x:v>0.2488</x:v>
      </x:c>
      <x:c r="C3589" s="6" t="n">
        <x:v>0.14</x:v>
      </x:c>
      <x:c r="D3589" s="6" t="n">
        <x:f>B3589</x:f>
        <x:v>0.2488</x:v>
      </x:c>
      <x:c r="E3589" s="1" t="n">
        <x:v>1.05</x:v>
      </x:c>
      <x:c r="F3589" s="1" t="str">
        <x:v>https://api.octopus.energy/v1/products/AGILE-24-10-01/electricity-tariffs/E-1R-AGILE-24-10-01-G/standard-unit-rates/</x:v>
      </x:c>
    </x:row>
    <x:row r="3590" ht="21" customHeight="1">
      <x:c r="A3590" s="24" t="n">
        <x:v>46223.291666666664</x:v>
      </x:c>
      <x:c r="B3590" s="6" t="n">
        <x:v>0.2579</x:v>
      </x:c>
      <x:c r="C3590" s="6" t="n">
        <x:v>0.1442</x:v>
      </x:c>
      <x:c r="D3590" s="6" t="n">
        <x:f>B3590</x:f>
        <x:v>0.2579</x:v>
      </x:c>
      <x:c r="E3590" s="1" t="n">
        <x:v>1.05</x:v>
      </x:c>
      <x:c r="F3590" s="1" t="str">
        <x:v>https://api.octopus.energy/v1/products/AGILE-24-10-01/electricity-tariffs/E-1R-AGILE-24-10-01-G/standard-unit-rates/</x:v>
      </x:c>
    </x:row>
    <x:row r="3591" ht="21" customHeight="1">
      <x:c r="A3591" s="24" t="n">
        <x:v>46223.3125</x:v>
      </x:c>
      <x:c r="B3591" s="6" t="n">
        <x:v>0.2528</x:v>
      </x:c>
      <x:c r="C3591" s="6" t="n">
        <x:v>0.1418</x:v>
      </x:c>
      <x:c r="D3591" s="6" t="n">
        <x:f>B3591</x:f>
        <x:v>0.2528</x:v>
      </x:c>
      <x:c r="E3591" s="1" t="n">
        <x:v>1.05</x:v>
      </x:c>
      <x:c r="F3591" s="1" t="str">
        <x:v>https://api.octopus.energy/v1/products/AGILE-24-10-01/electricity-tariffs/E-1R-AGILE-24-10-01-G/standard-unit-rates/</x:v>
      </x:c>
    </x:row>
    <x:row r="3592" ht="21" customHeight="1">
      <x:c r="A3592" s="24" t="n">
        <x:v>46223.333333333336</x:v>
      </x:c>
      <x:c r="B3592" s="6" t="n">
        <x:v>0.2589</x:v>
      </x:c>
      <x:c r="C3592" s="6" t="n">
        <x:v>0.1446</x:v>
      </x:c>
      <x:c r="D3592" s="6" t="n">
        <x:f>B3592</x:f>
        <x:v>0.2589</x:v>
      </x:c>
      <x:c r="E3592" s="1" t="n">
        <x:v>1.05</x:v>
      </x:c>
      <x:c r="F3592" s="1" t="str">
        <x:v>https://api.octopus.energy/v1/products/AGILE-24-10-01/electricity-tariffs/E-1R-AGILE-24-10-01-G/standard-unit-rates/</x:v>
      </x:c>
    </x:row>
    <x:row r="3593" ht="21" customHeight="1">
      <x:c r="A3593" s="24" t="n">
        <x:v>46223.354166666664</x:v>
      </x:c>
      <x:c r="B3593" s="6" t="n">
        <x:v>0.243</x:v>
      </x:c>
      <x:c r="C3593" s="6" t="n">
        <x:v>0.1374</x:v>
      </x:c>
      <x:c r="D3593" s="6" t="n">
        <x:f>B3593</x:f>
        <x:v>0.243</x:v>
      </x:c>
      <x:c r="E3593" s="1" t="n">
        <x:v>1.05</x:v>
      </x:c>
      <x:c r="F3593" s="1" t="str">
        <x:v>https://api.octopus.energy/v1/products/AGILE-24-10-01/electricity-tariffs/E-1R-AGILE-24-10-01-G/standard-unit-rates/</x:v>
      </x:c>
    </x:row>
    <x:row r="3594" ht="21" customHeight="1">
      <x:c r="A3594" s="24" t="n">
        <x:v>46223.375</x:v>
      </x:c>
      <x:c r="B3594" s="6" t="n">
        <x:v>0.245</x:v>
      </x:c>
      <x:c r="C3594" s="6" t="n">
        <x:v>0.1383</x:v>
      </x:c>
      <x:c r="D3594" s="6" t="n">
        <x:f>B3594</x:f>
        <x:v>0.245</x:v>
      </x:c>
      <x:c r="E3594" s="1" t="n">
        <x:v>1.05</x:v>
      </x:c>
      <x:c r="F3594" s="1" t="str">
        <x:v>https://api.octopus.energy/v1/products/AGILE-24-10-01/electricity-tariffs/E-1R-AGILE-24-10-01-G/standard-unit-rates/</x:v>
      </x:c>
    </x:row>
    <x:row r="3595" ht="21" customHeight="1">
      <x:c r="A3595" s="24" t="n">
        <x:v>46223.395833333336</x:v>
      </x:c>
      <x:c r="B3595" s="6" t="n">
        <x:v>0.2372</x:v>
      </x:c>
      <x:c r="C3595" s="6" t="n">
        <x:v>0.13470000000000001</x:v>
      </x:c>
      <x:c r="D3595" s="6" t="n">
        <x:f>B3595</x:f>
        <x:v>0.2372</x:v>
      </x:c>
      <x:c r="E3595" s="1" t="n">
        <x:v>1.05</x:v>
      </x:c>
      <x:c r="F3595" s="1" t="str">
        <x:v>https://api.octopus.energy/v1/products/AGILE-24-10-01/electricity-tariffs/E-1R-AGILE-24-10-01-G/standard-unit-rates/</x:v>
      </x:c>
    </x:row>
    <x:row r="3596" ht="21" customHeight="1">
      <x:c r="A3596" s="24" t="n">
        <x:v>46223.416666666664</x:v>
      </x:c>
      <x:c r="B3596" s="6" t="n">
        <x:v>0.2249</x:v>
      </x:c>
      <x:c r="C3596" s="6" t="n">
        <x:v>0.1291</x:v>
      </x:c>
      <x:c r="D3596" s="6" t="n">
        <x:f>B3596</x:f>
        <x:v>0.2249</x:v>
      </x:c>
      <x:c r="E3596" s="1" t="n">
        <x:v>1.05</x:v>
      </x:c>
      <x:c r="F3596" s="1" t="str">
        <x:v>https://api.octopus.energy/v1/products/AGILE-24-10-01/electricity-tariffs/E-1R-AGILE-24-10-01-G/standard-unit-rates/</x:v>
      </x:c>
    </x:row>
    <x:row r="3597" ht="21" customHeight="1">
      <x:c r="A3597" s="24" t="n">
        <x:v>46223.4375</x:v>
      </x:c>
      <x:c r="B3597" s="6" t="n">
        <x:v>0.2039</x:v>
      </x:c>
      <x:c r="C3597" s="6" t="n">
        <x:v>0.1195</x:v>
      </x:c>
      <x:c r="D3597" s="6" t="n">
        <x:f>B3597</x:f>
        <x:v>0.2039</x:v>
      </x:c>
      <x:c r="E3597" s="1" t="n">
        <x:v>1.05</x:v>
      </x:c>
      <x:c r="F3597" s="1" t="str">
        <x:v>https://api.octopus.energy/v1/products/AGILE-24-10-01/electricity-tariffs/E-1R-AGILE-24-10-01-G/standard-unit-rates/</x:v>
      </x:c>
    </x:row>
    <x:row r="3598" ht="21" customHeight="1">
      <x:c r="A3598" s="24" t="n">
        <x:v>46223.458333333336</x:v>
      </x:c>
      <x:c r="B3598" s="6" t="n">
        <x:v>0.2026</x:v>
      </x:c>
      <x:c r="C3598" s="6" t="n">
        <x:v>0.1189</x:v>
      </x:c>
      <x:c r="D3598" s="6" t="n">
        <x:f>B3598</x:f>
        <x:v>0.2026</x:v>
      </x:c>
      <x:c r="E3598" s="1" t="n">
        <x:v>1.05</x:v>
      </x:c>
      <x:c r="F3598" s="1" t="str">
        <x:v>https://api.octopus.energy/v1/products/AGILE-24-10-01/electricity-tariffs/E-1R-AGILE-24-10-01-G/standard-unit-rates/</x:v>
      </x:c>
    </x:row>
    <x:row r="3599" ht="21" customHeight="1">
      <x:c r="A3599" s="24" t="n">
        <x:v>46223.479166666664</x:v>
      </x:c>
      <x:c r="B3599" s="6" t="n">
        <x:v>0.2024</x:v>
      </x:c>
      <x:c r="C3599" s="6" t="n">
        <x:v>0.1188</x:v>
      </x:c>
      <x:c r="D3599" s="6" t="n">
        <x:f>B3599</x:f>
        <x:v>0.2024</x:v>
      </x:c>
      <x:c r="E3599" s="1" t="n">
        <x:v>1.05</x:v>
      </x:c>
      <x:c r="F3599" s="1" t="str">
        <x:v>https://api.octopus.energy/v1/products/AGILE-24-10-01/electricity-tariffs/E-1R-AGILE-24-10-01-G/standard-unit-rates/</x:v>
      </x:c>
    </x:row>
    <x:row r="3600" ht="21" customHeight="1">
      <x:c r="A3600" s="24" t="n">
        <x:v>46223.5</x:v>
      </x:c>
      <x:c r="B3600" s="6" t="n">
        <x:v>0.214</x:v>
      </x:c>
      <x:c r="C3600" s="6" t="n">
        <x:v>0.1241</x:v>
      </x:c>
      <x:c r="D3600" s="6" t="n">
        <x:f>B3600</x:f>
        <x:v>0.214</x:v>
      </x:c>
      <x:c r="E3600" s="1" t="n">
        <x:v>1.05</x:v>
      </x:c>
      <x:c r="F3600" s="1" t="str">
        <x:v>https://api.octopus.energy/v1/products/AGILE-24-10-01/electricity-tariffs/E-1R-AGILE-24-10-01-G/standard-unit-rates/</x:v>
      </x:c>
    </x:row>
    <x:row r="3601" ht="21" customHeight="1">
      <x:c r="A3601" s="24" t="n">
        <x:v>46223.520833333336</x:v>
      </x:c>
      <x:c r="B3601" s="6" t="n">
        <x:v>0.2186</x:v>
      </x:c>
      <x:c r="C3601" s="6" t="n">
        <x:v>0.12619999999999998</x:v>
      </x:c>
      <x:c r="D3601" s="6" t="n">
        <x:f>B3601</x:f>
        <x:v>0.2186</x:v>
      </x:c>
      <x:c r="E3601" s="1" t="n">
        <x:v>1.05</x:v>
      </x:c>
      <x:c r="F3601" s="1" t="str">
        <x:v>https://api.octopus.energy/v1/products/AGILE-24-10-01/electricity-tariffs/E-1R-AGILE-24-10-01-G/standard-unit-rates/</x:v>
      </x:c>
    </x:row>
    <x:row r="3602" ht="21" customHeight="1">
      <x:c r="A3602" s="24" t="n">
        <x:v>46223.541666666664</x:v>
      </x:c>
      <x:c r="B3602" s="6" t="n">
        <x:v>0.2045</x:v>
      </x:c>
      <x:c r="C3602" s="6" t="n">
        <x:v>0.1198</x:v>
      </x:c>
      <x:c r="D3602" s="6" t="n">
        <x:f>B3602</x:f>
        <x:v>0.2045</x:v>
      </x:c>
      <x:c r="E3602" s="1" t="n">
        <x:v>1.05</x:v>
      </x:c>
      <x:c r="F3602" s="1" t="str">
        <x:v>https://api.octopus.energy/v1/products/AGILE-24-10-01/electricity-tariffs/E-1R-AGILE-24-10-01-G/standard-unit-rates/</x:v>
      </x:c>
    </x:row>
    <x:row r="3603" ht="21" customHeight="1">
      <x:c r="A3603" s="24" t="n">
        <x:v>46223.5625</x:v>
      </x:c>
      <x:c r="B3603" s="6" t="n">
        <x:v>0.20829999999999999</x:v>
      </x:c>
      <x:c r="C3603" s="6" t="n">
        <x:v>0.1215</x:v>
      </x:c>
      <x:c r="D3603" s="6" t="n">
        <x:f>B3603</x:f>
        <x:v>0.20829999999999999</x:v>
      </x:c>
      <x:c r="E3603" s="1" t="n">
        <x:v>1.05</x:v>
      </x:c>
      <x:c r="F3603" s="1" t="str">
        <x:v>https://api.octopus.energy/v1/products/AGILE-24-10-01/electricity-tariffs/E-1R-AGILE-24-10-01-G/standard-unit-rates/</x:v>
      </x:c>
    </x:row>
    <x:row r="3604" ht="21" customHeight="1">
      <x:c r="A3604" s="24" t="n">
        <x:v>46223.583333333336</x:v>
      </x:c>
      <x:c r="B3604" s="6" t="n">
        <x:v>0.20309999999999997</x:v>
      </x:c>
      <x:c r="C3604" s="6" t="n">
        <x:v>0.1191</x:v>
      </x:c>
      <x:c r="D3604" s="6" t="n">
        <x:f>B3604</x:f>
        <x:v>0.20309999999999997</x:v>
      </x:c>
      <x:c r="E3604" s="1" t="n">
        <x:v>1.05</x:v>
      </x:c>
      <x:c r="F3604" s="1" t="str">
        <x:v>https://api.octopus.energy/v1/products/AGILE-24-10-01/electricity-tariffs/E-1R-AGILE-24-10-01-G/standard-unit-rates/</x:v>
      </x:c>
    </x:row>
    <x:row r="3605" ht="21" customHeight="1">
      <x:c r="A3605" s="24" t="n">
        <x:v>46223.604166666664</x:v>
      </x:c>
      <x:c r="B3605" s="6" t="n">
        <x:v>0.19820000000000002</x:v>
      </x:c>
      <x:c r="C3605" s="6" t="n">
        <x:v>0.11689999999999999</x:v>
      </x:c>
      <x:c r="D3605" s="6" t="n">
        <x:f>B3605</x:f>
        <x:v>0.19820000000000002</x:v>
      </x:c>
      <x:c r="E3605" s="1" t="n">
        <x:v>1.05</x:v>
      </x:c>
      <x:c r="F3605" s="1" t="str">
        <x:v>https://api.octopus.energy/v1/products/AGILE-24-10-01/electricity-tariffs/E-1R-AGILE-24-10-01-G/standard-unit-rates/</x:v>
      </x:c>
    </x:row>
    <x:row r="3606" ht="21" customHeight="1">
      <x:c r="A3606" s="24" t="n">
        <x:v>46223.625</x:v>
      </x:c>
      <x:c r="B3606" s="6" t="n">
        <x:v>0.2194</x:v>
      </x:c>
      <x:c r="C3606" s="6" t="n">
        <x:v>0.1266</x:v>
      </x:c>
      <x:c r="D3606" s="6" t="n">
        <x:f>B3606</x:f>
        <x:v>0.2194</x:v>
      </x:c>
      <x:c r="E3606" s="1" t="n">
        <x:v>1.05</x:v>
      </x:c>
      <x:c r="F3606" s="1" t="str">
        <x:v>https://api.octopus.energy/v1/products/AGILE-24-10-01/electricity-tariffs/E-1R-AGILE-24-10-01-G/standard-unit-rates/</x:v>
      </x:c>
    </x:row>
    <x:row r="3607" ht="21" customHeight="1">
      <x:c r="A3607" s="24" t="n">
        <x:v>46223.645833333336</x:v>
      </x:c>
      <x:c r="B3607" s="6" t="n">
        <x:v>0.2207</x:v>
      </x:c>
      <x:c r="C3607" s="6" t="n">
        <x:v>0.1272</x:v>
      </x:c>
      <x:c r="D3607" s="6" t="n">
        <x:f>B3607</x:f>
        <x:v>0.2207</x:v>
      </x:c>
      <x:c r="E3607" s="1" t="n">
        <x:v>1.05</x:v>
      </x:c>
      <x:c r="F3607" s="1" t="str">
        <x:v>https://api.octopus.energy/v1/products/AGILE-24-10-01/electricity-tariffs/E-1R-AGILE-24-10-01-G/standard-unit-rates/</x:v>
      </x:c>
    </x:row>
    <x:row r="3608" ht="21" customHeight="1">
      <x:c r="A3608" s="24" t="n">
        <x:v>46223.666666666664</x:v>
      </x:c>
      <x:c r="B3608" s="6" t="n">
        <x:v>0.3428</x:v>
      </x:c>
      <x:c r="C3608" s="6" t="n">
        <x:v>0.187</x:v>
      </x:c>
      <x:c r="D3608" s="6" t="n">
        <x:f>B3608</x:f>
        <x:v>0.3428</x:v>
      </x:c>
      <x:c r="E3608" s="1" t="n">
        <x:v>1.05</x:v>
      </x:c>
      <x:c r="F3608" s="1" t="str">
        <x:v>https://api.octopus.energy/v1/products/AGILE-24-10-01/electricity-tariffs/E-1R-AGILE-24-10-01-G/standard-unit-rates/</x:v>
      </x:c>
    </x:row>
    <x:row r="3609" ht="21" customHeight="1">
      <x:c r="A3609" s="24" t="n">
        <x:v>46223.6875</x:v>
      </x:c>
      <x:c r="B3609" s="6" t="n">
        <x:v>0.3428</x:v>
      </x:c>
      <x:c r="C3609" s="6" t="n">
        <x:v>0.187</x:v>
      </x:c>
      <x:c r="D3609" s="6" t="n">
        <x:f>B3609</x:f>
        <x:v>0.3428</x:v>
      </x:c>
      <x:c r="E3609" s="1" t="n">
        <x:v>1.05</x:v>
      </x:c>
      <x:c r="F3609" s="1" t="str">
        <x:v>https://api.octopus.energy/v1/products/AGILE-24-10-01/electricity-tariffs/E-1R-AGILE-24-10-01-G/standard-unit-rates/</x:v>
      </x:c>
    </x:row>
    <x:row r="3610" ht="21" customHeight="1">
      <x:c r="A3610" s="24" t="n">
        <x:v>46223.708333333336</x:v>
      </x:c>
      <x:c r="B3610" s="6" t="n">
        <x:v>0.3785</x:v>
      </x:c>
      <x:c r="C3610" s="6" t="n">
        <x:v>0.20329999999999998</x:v>
      </x:c>
      <x:c r="D3610" s="6" t="n">
        <x:f>B3610</x:f>
        <x:v>0.3785</x:v>
      </x:c>
      <x:c r="E3610" s="1" t="n">
        <x:v>1.05</x:v>
      </x:c>
      <x:c r="F3610" s="1" t="str">
        <x:v>https://api.octopus.energy/v1/products/AGILE-24-10-01/electricity-tariffs/E-1R-AGILE-24-10-01-G/standard-unit-rates/</x:v>
      </x:c>
    </x:row>
    <x:row r="3611" ht="21" customHeight="1">
      <x:c r="A3611" s="24" t="n">
        <x:v>46223.729166666664</x:v>
      </x:c>
      <x:c r="B3611" s="6" t="n">
        <x:v>0.39649999999999996</x:v>
      </x:c>
      <x:c r="C3611" s="6" t="n">
        <x:v>0.2116</x:v>
      </x:c>
      <x:c r="D3611" s="6" t="n">
        <x:f>B3611</x:f>
        <x:v>0.39649999999999996</x:v>
      </x:c>
      <x:c r="E3611" s="1" t="n">
        <x:v>1.05</x:v>
      </x:c>
      <x:c r="F3611" s="1" t="str">
        <x:v>https://api.octopus.energy/v1/products/AGILE-24-10-01/electricity-tariffs/E-1R-AGILE-24-10-01-G/standard-unit-rates/</x:v>
      </x:c>
    </x:row>
    <x:row r="3612" ht="21" customHeight="1">
      <x:c r="A3612" s="24" t="n">
        <x:v>46223.75</x:v>
      </x:c>
      <x:c r="B3612" s="6" t="n">
        <x:v>0.4008</x:v>
      </x:c>
      <x:c r="C3612" s="6" t="n">
        <x:v>0.21350000000000002</x:v>
      </x:c>
      <x:c r="D3612" s="6" t="n">
        <x:f>B3612</x:f>
        <x:v>0.4008</x:v>
      </x:c>
      <x:c r="E3612" s="1" t="n">
        <x:v>1.05</x:v>
      </x:c>
      <x:c r="F3612" s="1" t="str">
        <x:v>https://api.octopus.energy/v1/products/AGILE-24-10-01/electricity-tariffs/E-1R-AGILE-24-10-01-G/standard-unit-rates/</x:v>
      </x:c>
    </x:row>
    <x:row r="3613" ht="21" customHeight="1">
      <x:c r="A3613" s="24" t="n">
        <x:v>46223.770833333336</x:v>
      </x:c>
      <x:c r="B3613" s="6" t="n">
        <x:v>0.4143</x:v>
      </x:c>
      <x:c r="C3613" s="6" t="n">
        <x:v>0.21969999999999998</x:v>
      </x:c>
      <x:c r="D3613" s="6" t="n">
        <x:f>B3613</x:f>
        <x:v>0.4143</x:v>
      </x:c>
      <x:c r="E3613" s="1" t="n">
        <x:v>1.05</x:v>
      </x:c>
      <x:c r="F3613" s="1" t="str">
        <x:v>https://api.octopus.energy/v1/products/AGILE-24-10-01/electricity-tariffs/E-1R-AGILE-24-10-01-G/standard-unit-rates/</x:v>
      </x:c>
    </x:row>
    <x:row r="3614" ht="21" customHeight="1">
      <x:c r="A3614" s="24" t="n">
        <x:v>46223.791666666664</x:v>
      </x:c>
      <x:c r="B3614" s="6" t="n">
        <x:v>0.2952</x:v>
      </x:c>
      <x:c r="C3614" s="6" t="n">
        <x:v>0.1612</x:v>
      </x:c>
      <x:c r="D3614" s="6" t="n">
        <x:f>B3614</x:f>
        <x:v>0.2952</x:v>
      </x:c>
      <x:c r="E3614" s="1" t="n">
        <x:v>1.05</x:v>
      </x:c>
      <x:c r="F3614" s="1" t="str">
        <x:v>https://api.octopus.energy/v1/products/AGILE-24-10-01/electricity-tariffs/E-1R-AGILE-24-10-01-G/standard-unit-rates/</x:v>
      </x:c>
    </x:row>
    <x:row r="3615" ht="21" customHeight="1">
      <x:c r="A3615" s="24" t="n">
        <x:v>46223.8125</x:v>
      </x:c>
      <x:c r="B3615" s="6" t="n">
        <x:v>0.2888</x:v>
      </x:c>
      <x:c r="C3615" s="6" t="n">
        <x:v>0.1583</x:v>
      </x:c>
      <x:c r="D3615" s="6" t="n">
        <x:f>B3615</x:f>
        <x:v>0.2888</x:v>
      </x:c>
      <x:c r="E3615" s="1" t="n">
        <x:v>1.05</x:v>
      </x:c>
      <x:c r="F3615" s="1" t="str">
        <x:v>https://api.octopus.energy/v1/products/AGILE-24-10-01/electricity-tariffs/E-1R-AGILE-24-10-01-G/standard-unit-rates/</x:v>
      </x:c>
    </x:row>
    <x:row r="3616" ht="21" customHeight="1">
      <x:c r="A3616" s="24" t="n">
        <x:v>46223.833333333336</x:v>
      </x:c>
      <x:c r="B3616" s="6" t="n">
        <x:v>0.29600000000000004</x:v>
      </x:c>
      <x:c r="C3616" s="6" t="n">
        <x:v>0.1616</x:v>
      </x:c>
      <x:c r="D3616" s="6" t="n">
        <x:f>B3616</x:f>
        <x:v>0.29600000000000004</x:v>
      </x:c>
      <x:c r="E3616" s="1" t="n">
        <x:v>1.05</x:v>
      </x:c>
      <x:c r="F3616" s="1" t="str">
        <x:v>https://api.octopus.energy/v1/products/AGILE-24-10-01/electricity-tariffs/E-1R-AGILE-24-10-01-G/standard-unit-rates/</x:v>
      </x:c>
    </x:row>
    <x:row r="3617" ht="21" customHeight="1">
      <x:c r="A3617" s="24" t="n">
        <x:v>46223.854166666664</x:v>
      </x:c>
      <x:c r="B3617" s="6" t="n">
        <x:v>0.2921</x:v>
      </x:c>
      <x:c r="C3617" s="6" t="n">
        <x:v>0.1598</x:v>
      </x:c>
      <x:c r="D3617" s="6" t="n">
        <x:f>B3617</x:f>
        <x:v>0.2921</x:v>
      </x:c>
      <x:c r="E3617" s="1" t="n">
        <x:v>1.05</x:v>
      </x:c>
      <x:c r="F3617" s="1" t="str">
        <x:v>https://api.octopus.energy/v1/products/AGILE-24-10-01/electricity-tariffs/E-1R-AGILE-24-10-01-G/standard-unit-rates/</x:v>
      </x:c>
    </x:row>
    <x:row r="3618" ht="21" customHeight="1">
      <x:c r="A3618" s="24" t="n">
        <x:v>46223.875</x:v>
      </x:c>
      <x:c r="B3618" s="6" t="n">
        <x:v>0.2896</x:v>
      </x:c>
      <x:c r="C3618" s="6" t="n">
        <x:v>0.1586</x:v>
      </x:c>
      <x:c r="D3618" s="6" t="n">
        <x:f>B3618</x:f>
        <x:v>0.2896</x:v>
      </x:c>
      <x:c r="E3618" s="1" t="n">
        <x:v>1.05</x:v>
      </x:c>
      <x:c r="F3618" s="1" t="str">
        <x:v>https://api.octopus.energy/v1/products/AGILE-24-10-01/electricity-tariffs/E-1R-AGILE-24-10-01-G/standard-unit-rates/</x:v>
      </x:c>
    </x:row>
    <x:row r="3619" ht="21" customHeight="1">
      <x:c r="A3619" s="24" t="n">
        <x:v>46223.895833333336</x:v>
      </x:c>
      <x:c r="B3619" s="6" t="n">
        <x:v>0.2887</x:v>
      </x:c>
      <x:c r="C3619" s="6" t="n">
        <x:v>0.1583</x:v>
      </x:c>
      <x:c r="D3619" s="6" t="n">
        <x:f>B3619</x:f>
        <x:v>0.2887</x:v>
      </x:c>
      <x:c r="E3619" s="1" t="n">
        <x:v>1.05</x:v>
      </x:c>
      <x:c r="F3619" s="1" t="str">
        <x:v>https://api.octopus.energy/v1/products/AGILE-24-10-01/electricity-tariffs/E-1R-AGILE-24-10-01-G/standard-unit-rates/</x:v>
      </x:c>
    </x:row>
    <x:row r="3620" ht="21" customHeight="1">
      <x:c r="A3620" s="24" t="n">
        <x:v>46223.916666666664</x:v>
      </x:c>
      <x:c r="B3620" s="6" t="n">
        <x:v>0.29359999999999997</x:v>
      </x:c>
      <x:c r="C3620" s="6" t="n">
        <x:v>0.1605</x:v>
      </x:c>
      <x:c r="D3620" s="6" t="n">
        <x:f>B3620</x:f>
        <x:v>0.29359999999999997</x:v>
      </x:c>
      <x:c r="E3620" s="1" t="n">
        <x:v>1.05</x:v>
      </x:c>
      <x:c r="F3620" s="1" t="str">
        <x:v>https://api.octopus.energy/v1/products/AGILE-24-10-01/electricity-tariffs/E-1R-AGILE-24-10-01-G/standard-unit-rates/</x:v>
      </x:c>
    </x:row>
    <x:row r="3621" ht="21" customHeight="1">
      <x:c r="A3621" s="24" t="n">
        <x:v>46223.9375</x:v>
      </x:c>
      <x:c r="B3621" s="6" t="n">
        <x:v>0.25920000000000004</x:v>
      </x:c>
      <x:c r="C3621" s="6" t="n">
        <x:v>0.1447</x:v>
      </x:c>
      <x:c r="D3621" s="6" t="n">
        <x:f>B3621</x:f>
        <x:v>0.25920000000000004</x:v>
      </x:c>
      <x:c r="E3621" s="1" t="n">
        <x:v>1.05</x:v>
      </x:c>
      <x:c r="F3621" s="1" t="str">
        <x:v>https://api.octopus.energy/v1/products/AGILE-24-10-01/electricity-tariffs/E-1R-AGILE-24-10-01-G/standard-unit-rates/</x:v>
      </x:c>
    </x:row>
    <x:row r="3622" ht="21" customHeight="1">
      <x:c r="A3622" s="24" t="n">
        <x:v>46224</x:v>
      </x:c>
      <x:c r="B3622" s="6" t="n">
        <x:v>0.2509</x:v>
      </x:c>
      <x:c r="C3622" s="6" t="n">
        <x:v>0.141</x:v>
      </x:c>
      <x:c r="D3622" s="6" t="n">
        <x:f>B3622</x:f>
        <x:v>0.2509</x:v>
      </x:c>
      <x:c r="E3622" s="1" t="n">
        <x:v>1.05</x:v>
      </x:c>
      <x:c r="F3622" s="1" t="str">
        <x:v>https://api.octopus.energy/v1/products/AGILE-24-10-01/electricity-tariffs/E-1R-AGILE-24-10-01-G/standard-unit-rates/</x:v>
      </x:c>
    </x:row>
    <x:row r="3623" ht="21" customHeight="1">
      <x:c r="A3623" s="24" t="n">
        <x:v>46223.979166666664</x:v>
      </x:c>
      <x:c r="B3623" s="6" t="n">
        <x:v>0.2459</x:v>
      </x:c>
      <x:c r="C3623" s="6" t="n">
        <x:v>0.1387</x:v>
      </x:c>
      <x:c r="D3623" s="6" t="n">
        <x:f>B3623</x:f>
        <x:v>0.2459</x:v>
      </x:c>
      <x:c r="E3623" s="1" t="n">
        <x:v>1.05</x:v>
      </x:c>
      <x:c r="F3623" s="1" t="str">
        <x:v>https://api.octopus.energy/v1/products/AGILE-24-10-01/electricity-tariffs/E-1R-AGILE-24-10-01-G/standard-unit-rates/</x:v>
      </x:c>
    </x:row>
    <x:row r="3624" ht="21" customHeight="1">
      <x:c r="A3624" s="24" t="n">
        <x:v>46224</x:v>
      </x:c>
      <x:c r="B3624" s="6" t="n">
        <x:v>0.2403</x:v>
      </x:c>
      <x:c r="C3624" s="6" t="n">
        <x:v>0.1361</x:v>
      </x:c>
      <x:c r="D3624" s="6" t="n">
        <x:f>B3624</x:f>
        <x:v>0.2403</x:v>
      </x:c>
      <x:c r="E3624" s="1" t="n">
        <x:v>1.05</x:v>
      </x:c>
      <x:c r="F3624" s="1" t="str">
        <x:v>https://api.octopus.energy/v1/products/AGILE-24-10-01/electricity-tariffs/E-1R-AGILE-24-10-01-G/standard-unit-rates/</x:v>
      </x:c>
    </x:row>
    <x:row r="3625" ht="21" customHeight="1">
      <x:c r="A3625" s="24" t="n">
        <x:v>46224.020833333336</x:v>
      </x:c>
      <x:c r="B3625" s="6" t="n">
        <x:v>0.24170000000000003</x:v>
      </x:c>
      <x:c r="C3625" s="6" t="n">
        <x:v>0.1368</x:v>
      </x:c>
      <x:c r="D3625" s="6" t="n">
        <x:f>B3625</x:f>
        <x:v>0.24170000000000003</x:v>
      </x:c>
      <x:c r="E3625" s="1" t="n">
        <x:v>1.05</x:v>
      </x:c>
      <x:c r="F3625" s="1" t="str">
        <x:v>https://api.octopus.energy/v1/products/AGILE-24-10-01/electricity-tariffs/E-1R-AGILE-24-10-01-G/standard-unit-rates/</x:v>
      </x:c>
    </x:row>
    <x:row r="3626" ht="21" customHeight="1">
      <x:c r="A3626" s="24" t="n">
        <x:v>46224.041666666664</x:v>
      </x:c>
      <x:c r="B3626" s="6" t="n">
        <x:v>0.23149999999999998</x:v>
      </x:c>
      <x:c r="C3626" s="6" t="n">
        <x:v>0.1321</x:v>
      </x:c>
      <x:c r="D3626" s="6" t="n">
        <x:f>B3626</x:f>
        <x:v>0.23149999999999998</x:v>
      </x:c>
      <x:c r="E3626" s="1" t="n">
        <x:v>1.05</x:v>
      </x:c>
      <x:c r="F3626" s="1" t="str">
        <x:v>https://api.octopus.energy/v1/products/AGILE-24-10-01/electricity-tariffs/E-1R-AGILE-24-10-01-G/standard-unit-rates/</x:v>
      </x:c>
    </x:row>
    <x:row r="3627" ht="21" customHeight="1">
      <x:c r="A3627" s="24" t="n">
        <x:v>46224.0625</x:v>
      </x:c>
      <x:c r="B3627" s="6" t="n">
        <x:v>0.23149999999999998</x:v>
      </x:c>
      <x:c r="C3627" s="6" t="n">
        <x:v>0.1321</x:v>
      </x:c>
      <x:c r="D3627" s="6" t="n">
        <x:f>B3627</x:f>
        <x:v>0.23149999999999998</x:v>
      </x:c>
      <x:c r="E3627" s="1" t="n">
        <x:v>1.05</x:v>
      </x:c>
      <x:c r="F3627" s="1" t="str">
        <x:v>https://api.octopus.energy/v1/products/AGILE-24-10-01/electricity-tariffs/E-1R-AGILE-24-10-01-G/standard-unit-rates/</x:v>
      </x:c>
    </x:row>
    <x:row r="3628" ht="21" customHeight="1">
      <x:c r="A3628" s="24" t="n">
        <x:v>46224.083333333336</x:v>
      </x:c>
      <x:c r="B3628" s="6" t="n">
        <x:v>0.22260000000000002</x:v>
      </x:c>
      <x:c r="C3628" s="6" t="n">
        <x:v>0.128</x:v>
      </x:c>
      <x:c r="D3628" s="6" t="n">
        <x:f>B3628</x:f>
        <x:v>0.22260000000000002</x:v>
      </x:c>
      <x:c r="E3628" s="1" t="n">
        <x:v>1.05</x:v>
      </x:c>
      <x:c r="F3628" s="1" t="str">
        <x:v>https://api.octopus.energy/v1/products/AGILE-24-10-01/electricity-tariffs/E-1R-AGILE-24-10-01-G/standard-unit-rates/</x:v>
      </x:c>
    </x:row>
    <x:row r="3629" ht="21" customHeight="1">
      <x:c r="A3629" s="24" t="n">
        <x:v>46224.104166666664</x:v>
      </x:c>
      <x:c r="B3629" s="6" t="n">
        <x:v>0.20370000000000002</x:v>
      </x:c>
      <x:c r="C3629" s="6" t="n">
        <x:v>0.11939999999999999</x:v>
      </x:c>
      <x:c r="D3629" s="6" t="n">
        <x:f>B3629</x:f>
        <x:v>0.20370000000000002</x:v>
      </x:c>
      <x:c r="E3629" s="1" t="n">
        <x:v>1.05</x:v>
      </x:c>
      <x:c r="F3629" s="1" t="str">
        <x:v>https://api.octopus.energy/v1/products/AGILE-24-10-01/electricity-tariffs/E-1R-AGILE-24-10-01-G/standard-unit-rates/</x:v>
      </x:c>
    </x:row>
    <x:row r="3630" ht="21" customHeight="1">
      <x:c r="A3630" s="24" t="n">
        <x:v>46224.125</x:v>
      </x:c>
      <x:c r="B3630" s="6" t="n">
        <x:v>0.2159</x:v>
      </x:c>
      <x:c r="C3630" s="6" t="n">
        <x:v>0.125</x:v>
      </x:c>
      <x:c r="D3630" s="6" t="n">
        <x:f>B3630</x:f>
        <x:v>0.2159</x:v>
      </x:c>
      <x:c r="E3630" s="1" t="n">
        <x:v>1.05</x:v>
      </x:c>
      <x:c r="F3630" s="1" t="str">
        <x:v>https://api.octopus.energy/v1/products/AGILE-24-10-01/electricity-tariffs/E-1R-AGILE-24-10-01-G/standard-unit-rates/</x:v>
      </x:c>
    </x:row>
    <x:row r="3631" ht="21" customHeight="1">
      <x:c r="A3631" s="24" t="n">
        <x:v>46224.145833333336</x:v>
      </x:c>
      <x:c r="B3631" s="6" t="n">
        <x:v>0.2139</x:v>
      </x:c>
      <x:c r="C3631" s="6" t="n">
        <x:v>0.124</x:v>
      </x:c>
      <x:c r="D3631" s="6" t="n">
        <x:f>B3631</x:f>
        <x:v>0.2139</x:v>
      </x:c>
      <x:c r="E3631" s="1" t="n">
        <x:v>1.05</x:v>
      </x:c>
      <x:c r="F3631" s="1" t="str">
        <x:v>https://api.octopus.energy/v1/products/AGILE-24-10-01/electricity-tariffs/E-1R-AGILE-24-10-01-G/standard-unit-rates/</x:v>
      </x:c>
    </x:row>
    <x:row r="3632" ht="21" customHeight="1">
      <x:c r="A3632" s="24" t="n">
        <x:v>46224.166666666664</x:v>
      </x:c>
      <x:c r="B3632" s="6" t="n">
        <x:v>0.2268</x:v>
      </x:c>
      <x:c r="C3632" s="6" t="n">
        <x:v>0.12990000000000002</x:v>
      </x:c>
      <x:c r="D3632" s="6" t="n">
        <x:f>B3632</x:f>
        <x:v>0.2268</x:v>
      </x:c>
      <x:c r="E3632" s="1" t="n">
        <x:v>1.05</x:v>
      </x:c>
      <x:c r="F3632" s="1" t="str">
        <x:v>https://api.octopus.energy/v1/products/AGILE-24-10-01/electricity-tariffs/E-1R-AGILE-24-10-01-G/standard-unit-rates/</x:v>
      </x:c>
    </x:row>
    <x:row r="3633" ht="21" customHeight="1">
      <x:c r="A3633" s="24" t="n">
        <x:v>46224.1875</x:v>
      </x:c>
      <x:c r="B3633" s="6" t="n">
        <x:v>0.2235</x:v>
      </x:c>
      <x:c r="C3633" s="6" t="n">
        <x:v>0.1284</x:v>
      </x:c>
      <x:c r="D3633" s="6" t="n">
        <x:f>B3633</x:f>
        <x:v>0.2235</x:v>
      </x:c>
      <x:c r="E3633" s="1" t="n">
        <x:v>1.05</x:v>
      </x:c>
      <x:c r="F3633" s="1" t="str">
        <x:v>https://api.octopus.energy/v1/products/AGILE-24-10-01/electricity-tariffs/E-1R-AGILE-24-10-01-G/standard-unit-rates/</x:v>
      </x:c>
    </x:row>
    <x:row r="3634" ht="21" customHeight="1">
      <x:c r="A3634" s="24" t="n">
        <x:v>46224.208333333336</x:v>
      </x:c>
      <x:c r="B3634" s="6" t="n">
        <x:v>0.2351</x:v>
      </x:c>
      <x:c r="C3634" s="6" t="n">
        <x:v>0.13369999999999999</x:v>
      </x:c>
      <x:c r="D3634" s="6" t="n">
        <x:f>B3634</x:f>
        <x:v>0.2351</x:v>
      </x:c>
      <x:c r="E3634" s="1" t="n">
        <x:v>1.05</x:v>
      </x:c>
      <x:c r="F3634" s="1" t="str">
        <x:v>https://api.octopus.energy/v1/products/AGILE-24-10-01/electricity-tariffs/E-1R-AGILE-24-10-01-G/standard-unit-rates/</x:v>
      </x:c>
    </x:row>
    <x:row r="3635" ht="21" customHeight="1">
      <x:c r="A3635" s="24" t="n">
        <x:v>46224.229166666664</x:v>
      </x:c>
      <x:c r="B3635" s="6" t="n">
        <x:v>0.2357</x:v>
      </x:c>
      <x:c r="C3635" s="6" t="n">
        <x:v>0.134</x:v>
      </x:c>
      <x:c r="D3635" s="6" t="n">
        <x:f>B3635</x:f>
        <x:v>0.2357</x:v>
      </x:c>
      <x:c r="E3635" s="1" t="n">
        <x:v>1.05</x:v>
      </x:c>
      <x:c r="F3635" s="1" t="str">
        <x:v>https://api.octopus.energy/v1/products/AGILE-24-10-01/electricity-tariffs/E-1R-AGILE-24-10-01-G/standard-unit-rates/</x:v>
      </x:c>
    </x:row>
    <x:row r="3636" ht="21" customHeight="1">
      <x:c r="A3636" s="24" t="n">
        <x:v>46224.25</x:v>
      </x:c>
      <x:c r="B3636" s="6" t="n">
        <x:v>0.2318</x:v>
      </x:c>
      <x:c r="C3636" s="6" t="n">
        <x:v>0.1322</x:v>
      </x:c>
      <x:c r="D3636" s="6" t="n">
        <x:f>B3636</x:f>
        <x:v>0.2318</x:v>
      </x:c>
      <x:c r="E3636" s="1" t="n">
        <x:v>1.05</x:v>
      </x:c>
      <x:c r="F3636" s="1" t="str">
        <x:v>https://api.octopus.energy/v1/products/AGILE-24-10-01/electricity-tariffs/E-1R-AGILE-24-10-01-G/standard-unit-rates/</x:v>
      </x:c>
    </x:row>
    <x:row r="3637" ht="21" customHeight="1">
      <x:c r="A3637" s="24" t="n">
        <x:v>46224.270833333336</x:v>
      </x:c>
      <x:c r="B3637" s="6" t="n">
        <x:v>0.25489999999999996</x:v>
      </x:c>
      <x:c r="C3637" s="6" t="n">
        <x:v>0.14279999999999998</x:v>
      </x:c>
      <x:c r="D3637" s="6" t="n">
        <x:f>B3637</x:f>
        <x:v>0.25489999999999996</x:v>
      </x:c>
      <x:c r="E3637" s="1" t="n">
        <x:v>1.05</x:v>
      </x:c>
      <x:c r="F3637" s="1" t="str">
        <x:v>https://api.octopus.energy/v1/products/AGILE-24-10-01/electricity-tariffs/E-1R-AGILE-24-10-01-G/standard-unit-rates/</x:v>
      </x:c>
    </x:row>
    <x:row r="3638" ht="21" customHeight="1">
      <x:c r="A3638" s="24" t="n">
        <x:v>46224.291666666664</x:v>
      </x:c>
      <x:c r="B3638" s="6" t="n">
        <x:v>0.23120000000000002</x:v>
      </x:c>
      <x:c r="C3638" s="6" t="n">
        <x:v>0.132</x:v>
      </x:c>
      <x:c r="D3638" s="6" t="n">
        <x:f>B3638</x:f>
        <x:v>0.23120000000000002</x:v>
      </x:c>
      <x:c r="E3638" s="1" t="n">
        <x:v>1.05</x:v>
      </x:c>
      <x:c r="F3638" s="1" t="str">
        <x:v>https://api.octopus.energy/v1/products/AGILE-24-10-01/electricity-tariffs/E-1R-AGILE-24-10-01-G/standard-unit-rates/</x:v>
      </x:c>
    </x:row>
    <x:row r="3639" ht="21" customHeight="1">
      <x:c r="A3639" s="24" t="n">
        <x:v>46224.3125</x:v>
      </x:c>
      <x:c r="B3639" s="6" t="n">
        <x:v>0.2365</x:v>
      </x:c>
      <x:c r="C3639" s="6" t="n">
        <x:v>0.1344</x:v>
      </x:c>
      <x:c r="D3639" s="6" t="n">
        <x:f>B3639</x:f>
        <x:v>0.2365</x:v>
      </x:c>
      <x:c r="E3639" s="1" t="n">
        <x:v>1.05</x:v>
      </x:c>
      <x:c r="F3639" s="1" t="str">
        <x:v>https://api.octopus.energy/v1/products/AGILE-24-10-01/electricity-tariffs/E-1R-AGILE-24-10-01-G/standard-unit-rates/</x:v>
      </x:c>
    </x:row>
    <x:row r="3640" ht="21" customHeight="1">
      <x:c r="A3640" s="24" t="n">
        <x:v>46224.333333333336</x:v>
      </x:c>
      <x:c r="B3640" s="6" t="n">
        <x:v>0.2228</x:v>
      </x:c>
      <x:c r="C3640" s="6" t="n">
        <x:v>0.1281</x:v>
      </x:c>
      <x:c r="D3640" s="6" t="n">
        <x:f>B3640</x:f>
        <x:v>0.2228</x:v>
      </x:c>
      <x:c r="E3640" s="1" t="n">
        <x:v>1.05</x:v>
      </x:c>
      <x:c r="F3640" s="1" t="str">
        <x:v>https://api.octopus.energy/v1/products/AGILE-24-10-01/electricity-tariffs/E-1R-AGILE-24-10-01-G/standard-unit-rates/</x:v>
      </x:c>
    </x:row>
    <x:row r="3641" ht="21" customHeight="1">
      <x:c r="A3641" s="24" t="n">
        <x:v>46224.354166666664</x:v>
      </x:c>
      <x:c r="B3641" s="6" t="n">
        <x:v>0.22699999999999998</x:v>
      </x:c>
      <x:c r="C3641" s="6" t="n">
        <x:v>0.13</x:v>
      </x:c>
      <x:c r="D3641" s="6" t="n">
        <x:f>B3641</x:f>
        <x:v>0.22699999999999998</x:v>
      </x:c>
      <x:c r="E3641" s="1" t="n">
        <x:v>1.05</x:v>
      </x:c>
      <x:c r="F3641" s="1" t="str">
        <x:v>https://api.octopus.energy/v1/products/AGILE-24-10-01/electricity-tariffs/E-1R-AGILE-24-10-01-G/standard-unit-rates/</x:v>
      </x:c>
    </x:row>
    <x:row r="3642" ht="21" customHeight="1">
      <x:c r="A3642" s="24" t="n">
        <x:v>46224.375</x:v>
      </x:c>
      <x:c r="B3642" s="6" t="n">
        <x:v>0.21719999999999998</x:v>
      </x:c>
      <x:c r="C3642" s="6" t="n">
        <x:v>0.12560000000000002</x:v>
      </x:c>
      <x:c r="D3642" s="6" t="n">
        <x:f>B3642</x:f>
        <x:v>0.21719999999999998</x:v>
      </x:c>
      <x:c r="E3642" s="1" t="n">
        <x:v>1.05</x:v>
      </x:c>
      <x:c r="F3642" s="1" t="str">
        <x:v>https://api.octopus.energy/v1/products/AGILE-24-10-01/electricity-tariffs/E-1R-AGILE-24-10-01-G/standard-unit-rates/</x:v>
      </x:c>
    </x:row>
    <x:row r="3643" ht="21" customHeight="1">
      <x:c r="A3643" s="24" t="n">
        <x:v>46224.395833333336</x:v>
      </x:c>
      <x:c r="B3643" s="6" t="n">
        <x:v>0.2018</x:v>
      </x:c>
      <x:c r="C3643" s="6" t="n">
        <x:v>0.1185</x:v>
      </x:c>
      <x:c r="D3643" s="6" t="n">
        <x:f>B3643</x:f>
        <x:v>0.2018</x:v>
      </x:c>
      <x:c r="E3643" s="1" t="n">
        <x:v>1.05</x:v>
      </x:c>
      <x:c r="F3643" s="1" t="str">
        <x:v>https://api.octopus.energy/v1/products/AGILE-24-10-01/electricity-tariffs/E-1R-AGILE-24-10-01-G/standard-unit-rates/</x:v>
      </x:c>
    </x:row>
    <x:row r="3644" ht="21" customHeight="1">
      <x:c r="A3644" s="24" t="n">
        <x:v>46224.416666666664</x:v>
      </x:c>
      <x:c r="B3644" s="6" t="n">
        <x:v>0.213</x:v>
      </x:c>
      <x:c r="C3644" s="6" t="n">
        <x:v>0.12359999999999999</x:v>
      </x:c>
      <x:c r="D3644" s="6" t="n">
        <x:f>B3644</x:f>
        <x:v>0.213</x:v>
      </x:c>
      <x:c r="E3644" s="1" t="n">
        <x:v>1.05</x:v>
      </x:c>
      <x:c r="F3644" s="1" t="str">
        <x:v>https://api.octopus.energy/v1/products/AGILE-24-10-01/electricity-tariffs/E-1R-AGILE-24-10-01-G/standard-unit-rates/</x:v>
      </x:c>
    </x:row>
    <x:row r="3645" ht="21" customHeight="1">
      <x:c r="A3645" s="24" t="n">
        <x:v>46224.4375</x:v>
      </x:c>
      <x:c r="B3645" s="6" t="n">
        <x:v>0.20440000000000003</x:v>
      </x:c>
      <x:c r="C3645" s="6" t="n">
        <x:v>0.1197</x:v>
      </x:c>
      <x:c r="D3645" s="6" t="n">
        <x:f>B3645</x:f>
        <x:v>0.20440000000000003</x:v>
      </x:c>
      <x:c r="E3645" s="1" t="n">
        <x:v>1.05</x:v>
      </x:c>
      <x:c r="F3645" s="1" t="str">
        <x:v>https://api.octopus.energy/v1/products/AGILE-24-10-01/electricity-tariffs/E-1R-AGILE-24-10-01-G/standard-unit-rates/</x:v>
      </x:c>
    </x:row>
    <x:row r="3646" ht="21" customHeight="1">
      <x:c r="A3646" s="24" t="n">
        <x:v>46224.458333333336</x:v>
      </x:c>
      <x:c r="B3646" s="6" t="n">
        <x:v>0.20379999999999998</x:v>
      </x:c>
      <x:c r="C3646" s="6" t="n">
        <x:v>0.11939999999999999</x:v>
      </x:c>
      <x:c r="D3646" s="6" t="n">
        <x:f>B3646</x:f>
        <x:v>0.20379999999999998</x:v>
      </x:c>
      <x:c r="E3646" s="1" t="n">
        <x:v>1.05</x:v>
      </x:c>
      <x:c r="F3646" s="1" t="str">
        <x:v>https://api.octopus.energy/v1/products/AGILE-24-10-01/electricity-tariffs/E-1R-AGILE-24-10-01-G/standard-unit-rates/</x:v>
      </x:c>
    </x:row>
    <x:row r="3647" ht="21" customHeight="1">
      <x:c r="A3647" s="24" t="n">
        <x:v>46224.479166666664</x:v>
      </x:c>
      <x:c r="B3647" s="6" t="n">
        <x:v>0.20379999999999998</x:v>
      </x:c>
      <x:c r="C3647" s="6" t="n">
        <x:v>0.11939999999999999</x:v>
      </x:c>
      <x:c r="D3647" s="6" t="n">
        <x:f>B3647</x:f>
        <x:v>0.20379999999999998</x:v>
      </x:c>
      <x:c r="E3647" s="1" t="n">
        <x:v>1.05</x:v>
      </x:c>
      <x:c r="F3647" s="1" t="str">
        <x:v>https://api.octopus.energy/v1/products/AGILE-24-10-01/electricity-tariffs/E-1R-AGILE-24-10-01-G/standard-unit-rates/</x:v>
      </x:c>
    </x:row>
    <x:row r="3648" ht="21" customHeight="1">
      <x:c r="A3648" s="24" t="n">
        <x:v>46224.5</x:v>
      </x:c>
      <x:c r="B3648" s="6" t="n">
        <x:v>0.1997</x:v>
      </x:c>
      <x:c r="C3648" s="6" t="n">
        <x:v>0.1176</x:v>
      </x:c>
      <x:c r="D3648" s="6" t="n">
        <x:f>B3648</x:f>
        <x:v>0.1997</x:v>
      </x:c>
      <x:c r="E3648" s="1" t="n">
        <x:v>1.05</x:v>
      </x:c>
      <x:c r="F3648" s="1" t="str">
        <x:v>https://api.octopus.energy/v1/products/AGILE-24-10-01/electricity-tariffs/E-1R-AGILE-24-10-01-G/standard-unit-rates/</x:v>
      </x:c>
    </x:row>
    <x:row r="3649" ht="21" customHeight="1">
      <x:c r="A3649" s="24" t="n">
        <x:v>46224.520833333336</x:v>
      </x:c>
      <x:c r="B3649" s="6" t="n">
        <x:v>0.1997</x:v>
      </x:c>
      <x:c r="C3649" s="6" t="n">
        <x:v>0.1176</x:v>
      </x:c>
      <x:c r="D3649" s="6" t="n">
        <x:f>B3649</x:f>
        <x:v>0.1997</x:v>
      </x:c>
      <x:c r="E3649" s="1" t="n">
        <x:v>1.05</x:v>
      </x:c>
      <x:c r="F3649" s="1" t="str">
        <x:v>https://api.octopus.energy/v1/products/AGILE-24-10-01/electricity-tariffs/E-1R-AGILE-24-10-01-G/standard-unit-rates/</x:v>
      </x:c>
    </x:row>
    <x:row r="3650" ht="21" customHeight="1">
      <x:c r="A3650" s="24" t="n">
        <x:v>46224.541666666664</x:v>
      </x:c>
      <x:c r="B3650" s="6" t="n">
        <x:v>0.19760000000000003</x:v>
      </x:c>
      <x:c r="C3650" s="6" t="n">
        <x:v>0.1166</x:v>
      </x:c>
      <x:c r="D3650" s="6" t="n">
        <x:f>B3650</x:f>
        <x:v>0.19760000000000003</x:v>
      </x:c>
      <x:c r="E3650" s="1" t="n">
        <x:v>1.05</x:v>
      </x:c>
      <x:c r="F3650" s="1" t="str">
        <x:v>https://api.octopus.energy/v1/products/AGILE-24-10-01/electricity-tariffs/E-1R-AGILE-24-10-01-G/standard-unit-rates/</x:v>
      </x:c>
    </x:row>
    <x:row r="3651" ht="21" customHeight="1">
      <x:c r="A3651" s="24" t="n">
        <x:v>46224.5625</x:v>
      </x:c>
      <x:c r="B3651" s="6" t="n">
        <x:v>0.1913</x:v>
      </x:c>
      <x:c r="C3651" s="6" t="n">
        <x:v>0.1137</x:v>
      </x:c>
      <x:c r="D3651" s="6" t="n">
        <x:f>B3651</x:f>
        <x:v>0.1913</x:v>
      </x:c>
      <x:c r="E3651" s="1" t="n">
        <x:v>1.05</x:v>
      </x:c>
      <x:c r="F3651" s="1" t="str">
        <x:v>https://api.octopus.energy/v1/products/AGILE-24-10-01/electricity-tariffs/E-1R-AGILE-24-10-01-G/standard-unit-rates/</x:v>
      </x:c>
    </x:row>
    <x:row r="3652" ht="21" customHeight="1">
      <x:c r="A3652" s="24" t="n">
        <x:v>46224.583333333336</x:v>
      </x:c>
      <x:c r="B3652" s="6" t="n">
        <x:v>0.1934</x:v>
      </x:c>
      <x:c r="C3652" s="6" t="n">
        <x:v>0.11470000000000001</x:v>
      </x:c>
      <x:c r="D3652" s="6" t="n">
        <x:f>B3652</x:f>
        <x:v>0.1934</x:v>
      </x:c>
      <x:c r="E3652" s="1" t="n">
        <x:v>1.05</x:v>
      </x:c>
      <x:c r="F3652" s="1" t="str">
        <x:v>https://api.octopus.energy/v1/products/AGILE-24-10-01/electricity-tariffs/E-1R-AGILE-24-10-01-G/standard-unit-rates/</x:v>
      </x:c>
    </x:row>
    <x:row r="3653" ht="21" customHeight="1">
      <x:c r="A3653" s="24" t="n">
        <x:v>46224.604166666664</x:v>
      </x:c>
      <x:c r="B3653" s="6" t="n">
        <x:v>0.1932</x:v>
      </x:c>
      <x:c r="C3653" s="6" t="n">
        <x:v>0.11460000000000001</x:v>
      </x:c>
      <x:c r="D3653" s="6" t="n">
        <x:f>B3653</x:f>
        <x:v>0.1932</x:v>
      </x:c>
      <x:c r="E3653" s="1" t="n">
        <x:v>1.05</x:v>
      </x:c>
      <x:c r="F3653" s="1" t="str">
        <x:v>https://api.octopus.energy/v1/products/AGILE-24-10-01/electricity-tariffs/E-1R-AGILE-24-10-01-G/standard-unit-rates/</x:v>
      </x:c>
    </x:row>
    <x:row r="3654" ht="21" customHeight="1">
      <x:c r="A3654" s="24" t="n">
        <x:v>46224.625</x:v>
      </x:c>
      <x:c r="B3654" s="6" t="n">
        <x:v>0.18710000000000002</x:v>
      </x:c>
      <x:c r="C3654" s="6" t="n">
        <x:v>0.1118</x:v>
      </x:c>
      <x:c r="D3654" s="6" t="n">
        <x:f>B3654</x:f>
        <x:v>0.18710000000000002</x:v>
      </x:c>
      <x:c r="E3654" s="1" t="n">
        <x:v>1.05</x:v>
      </x:c>
      <x:c r="F3654" s="1" t="str">
        <x:v>https://api.octopus.energy/v1/products/AGILE-24-10-01/electricity-tariffs/E-1R-AGILE-24-10-01-G/standard-unit-rates/</x:v>
      </x:c>
    </x:row>
    <x:row r="3655" ht="21" customHeight="1">
      <x:c r="A3655" s="24" t="n">
        <x:v>46224.645833333336</x:v>
      </x:c>
      <x:c r="B3655" s="6" t="n">
        <x:v>0.1934</x:v>
      </x:c>
      <x:c r="C3655" s="6" t="n">
        <x:v>0.11470000000000001</x:v>
      </x:c>
      <x:c r="D3655" s="6" t="n">
        <x:f>B3655</x:f>
        <x:v>0.1934</x:v>
      </x:c>
      <x:c r="E3655" s="1" t="n">
        <x:v>1.05</x:v>
      </x:c>
      <x:c r="F3655" s="1" t="str">
        <x:v>https://api.octopus.energy/v1/products/AGILE-24-10-01/electricity-tariffs/E-1R-AGILE-24-10-01-G/standard-unit-rates/</x:v>
      </x:c>
    </x:row>
    <x:row r="3656" ht="21" customHeight="1">
      <x:c r="A3656" s="24" t="n">
        <x:v>46224.666666666664</x:v>
      </x:c>
      <x:c r="B3656" s="6" t="n">
        <x:v>0.3211</x:v>
      </x:c>
      <x:c r="C3656" s="6" t="n">
        <x:v>0.1771</x:v>
      </x:c>
      <x:c r="D3656" s="6" t="n">
        <x:f>B3656</x:f>
        <x:v>0.3211</x:v>
      </x:c>
      <x:c r="E3656" s="1" t="n">
        <x:v>1.05</x:v>
      </x:c>
      <x:c r="F3656" s="1" t="str">
        <x:v>https://api.octopus.energy/v1/products/AGILE-24-10-01/electricity-tariffs/E-1R-AGILE-24-10-01-G/standard-unit-rates/</x:v>
      </x:c>
    </x:row>
    <x:row r="3657" ht="21" customHeight="1">
      <x:c r="A3657" s="24" t="n">
        <x:v>46224.6875</x:v>
      </x:c>
      <x:c r="B3657" s="6" t="n">
        <x:v>0.3343</x:v>
      </x:c>
      <x:c r="C3657" s="6" t="n">
        <x:v>0.18309999999999998</x:v>
      </x:c>
      <x:c r="D3657" s="6" t="n">
        <x:f>B3657</x:f>
        <x:v>0.3343</x:v>
      </x:c>
      <x:c r="E3657" s="1" t="n">
        <x:v>1.05</x:v>
      </x:c>
      <x:c r="F3657" s="1" t="str">
        <x:v>https://api.octopus.energy/v1/products/AGILE-24-10-01/electricity-tariffs/E-1R-AGILE-24-10-01-G/standard-unit-rates/</x:v>
      </x:c>
    </x:row>
    <x:row r="3658" ht="21" customHeight="1">
      <x:c r="A3658" s="24" t="n">
        <x:v>46224.708333333336</x:v>
      </x:c>
      <x:c r="B3658" s="6" t="n">
        <x:v>0.3146</x:v>
      </x:c>
      <x:c r="C3658" s="6" t="n">
        <x:v>0.1741</x:v>
      </x:c>
      <x:c r="D3658" s="6" t="n">
        <x:f>B3658</x:f>
        <x:v>0.3146</x:v>
      </x:c>
      <x:c r="E3658" s="1" t="n">
        <x:v>1.05</x:v>
      </x:c>
      <x:c r="F3658" s="1" t="str">
        <x:v>https://api.octopus.energy/v1/products/AGILE-24-10-01/electricity-tariffs/E-1R-AGILE-24-10-01-G/standard-unit-rates/</x:v>
      </x:c>
    </x:row>
    <x:row r="3659" ht="21" customHeight="1">
      <x:c r="A3659" s="24" t="n">
        <x:v>46224.729166666664</x:v>
      </x:c>
      <x:c r="B3659" s="6" t="n">
        <x:v>0.3328</x:v>
      </x:c>
      <x:c r="C3659" s="6" t="n">
        <x:v>0.18239999999999998</x:v>
      </x:c>
      <x:c r="D3659" s="6" t="n">
        <x:f>B3659</x:f>
        <x:v>0.3328</x:v>
      </x:c>
      <x:c r="E3659" s="1" t="n">
        <x:v>1.05</x:v>
      </x:c>
      <x:c r="F3659" s="1" t="str">
        <x:v>https://api.octopus.energy/v1/products/AGILE-24-10-01/electricity-tariffs/E-1R-AGILE-24-10-01-G/standard-unit-rates/</x:v>
      </x:c>
    </x:row>
    <x:row r="3660" ht="21" customHeight="1">
      <x:c r="A3660" s="24" t="n">
        <x:v>46224.75</x:v>
      </x:c>
      <x:c r="B3660" s="6" t="n">
        <x:v>0.3639</x:v>
      </x:c>
      <x:c r="C3660" s="6" t="n">
        <x:v>0.1967</x:v>
      </x:c>
      <x:c r="D3660" s="6" t="n">
        <x:f>B3660</x:f>
        <x:v>0.3639</x:v>
      </x:c>
      <x:c r="E3660" s="1" t="n">
        <x:v>1.05</x:v>
      </x:c>
      <x:c r="F3660" s="1" t="str">
        <x:v>https://api.octopus.energy/v1/products/AGILE-24-10-01/electricity-tariffs/E-1R-AGILE-24-10-01-G/standard-unit-rates/</x:v>
      </x:c>
    </x:row>
    <x:row r="3661" ht="21" customHeight="1">
      <x:c r="A3661" s="24" t="n">
        <x:v>46224.770833333336</x:v>
      </x:c>
      <x:c r="B3661" s="6" t="n">
        <x:v>0.3768</x:v>
      </x:c>
      <x:c r="C3661" s="6" t="n">
        <x:v>0.2026</x:v>
      </x:c>
      <x:c r="D3661" s="6" t="n">
        <x:f>B3661</x:f>
        <x:v>0.3768</x:v>
      </x:c>
      <x:c r="E3661" s="1" t="n">
        <x:v>1.05</x:v>
      </x:c>
      <x:c r="F3661" s="1" t="str">
        <x:v>https://api.octopus.energy/v1/products/AGILE-24-10-01/electricity-tariffs/E-1R-AGILE-24-10-01-G/standard-unit-rates/</x:v>
      </x:c>
    </x:row>
    <x:row r="3662" ht="21" customHeight="1">
      <x:c r="A3662" s="24" t="n">
        <x:v>46224.791666666664</x:v>
      </x:c>
      <x:c r="B3662" s="6" t="n">
        <x:v>0.26940000000000003</x:v>
      </x:c>
      <x:c r="C3662" s="6" t="n">
        <x:v>0.1494</x:v>
      </x:c>
      <x:c r="D3662" s="6" t="n">
        <x:f>B3662</x:f>
        <x:v>0.26940000000000003</x:v>
      </x:c>
      <x:c r="E3662" s="1" t="n">
        <x:v>1.05</x:v>
      </x:c>
      <x:c r="F3662" s="1" t="str">
        <x:v>https://api.octopus.energy/v1/products/AGILE-24-10-01/electricity-tariffs/E-1R-AGILE-24-10-01-G/standard-unit-rates/</x:v>
      </x:c>
    </x:row>
    <x:row r="3663" ht="21" customHeight="1">
      <x:c r="A3663" s="24" t="n">
        <x:v>46224.8125</x:v>
      </x:c>
      <x:c r="B3663" s="6" t="n">
        <x:v>0.2686</x:v>
      </x:c>
      <x:c r="C3663" s="6" t="n">
        <x:v>0.149</x:v>
      </x:c>
      <x:c r="D3663" s="6" t="n">
        <x:f>B3663</x:f>
        <x:v>0.2686</x:v>
      </x:c>
      <x:c r="E3663" s="1" t="n">
        <x:v>1.05</x:v>
      </x:c>
      <x:c r="F3663" s="1" t="str">
        <x:v>https://api.octopus.energy/v1/products/AGILE-24-10-01/electricity-tariffs/E-1R-AGILE-24-10-01-G/standard-unit-rates/</x:v>
      </x:c>
    </x:row>
    <x:row r="3664" ht="21" customHeight="1">
      <x:c r="A3664" s="24" t="n">
        <x:v>46224.833333333336</x:v>
      </x:c>
      <x:c r="B3664" s="6" t="n">
        <x:v>0.2648</x:v>
      </x:c>
      <x:c r="C3664" s="6" t="n">
        <x:v>0.14730000000000001</x:v>
      </x:c>
      <x:c r="D3664" s="6" t="n">
        <x:f>B3664</x:f>
        <x:v>0.2648</x:v>
      </x:c>
      <x:c r="E3664" s="1" t="n">
        <x:v>1.05</x:v>
      </x:c>
      <x:c r="F3664" s="1" t="str">
        <x:v>https://api.octopus.energy/v1/products/AGILE-24-10-01/electricity-tariffs/E-1R-AGILE-24-10-01-G/standard-unit-rates/</x:v>
      </x:c>
    </x:row>
    <x:row r="3665" ht="21" customHeight="1">
      <x:c r="A3665" s="24" t="n">
        <x:v>46224.854166666664</x:v>
      </x:c>
      <x:c r="B3665" s="6" t="n">
        <x:v>0.264</x:v>
      </x:c>
      <x:c r="C3665" s="6" t="n">
        <x:v>0.1469</x:v>
      </x:c>
      <x:c r="D3665" s="6" t="n">
        <x:f>B3665</x:f>
        <x:v>0.264</x:v>
      </x:c>
      <x:c r="E3665" s="1" t="n">
        <x:v>1.05</x:v>
      </x:c>
      <x:c r="F3665" s="1" t="str">
        <x:v>https://api.octopus.energy/v1/products/AGILE-24-10-01/electricity-tariffs/E-1R-AGILE-24-10-01-G/standard-unit-rates/</x:v>
      </x:c>
    </x:row>
    <x:row r="3666" ht="21" customHeight="1">
      <x:c r="A3666" s="24" t="n">
        <x:v>46224.875</x:v>
      </x:c>
      <x:c r="B3666" s="6" t="n">
        <x:v>0.2606</x:v>
      </x:c>
      <x:c r="C3666" s="6" t="n">
        <x:v>0.1454</x:v>
      </x:c>
      <x:c r="D3666" s="6" t="n">
        <x:f>B3666</x:f>
        <x:v>0.2606</x:v>
      </x:c>
      <x:c r="E3666" s="1" t="n">
        <x:v>1.05</x:v>
      </x:c>
      <x:c r="F3666" s="1" t="str">
        <x:v>https://api.octopus.energy/v1/products/AGILE-24-10-01/electricity-tariffs/E-1R-AGILE-24-10-01-G/standard-unit-rates/</x:v>
      </x:c>
    </x:row>
    <x:row r="3667" ht="21" customHeight="1">
      <x:c r="A3667" s="24" t="n">
        <x:v>46224.895833333336</x:v>
      </x:c>
      <x:c r="B3667" s="6" t="n">
        <x:v>0.2583</x:v>
      </x:c>
      <x:c r="C3667" s="6" t="n">
        <x:v>0.14429999999999998</x:v>
      </x:c>
      <x:c r="D3667" s="6" t="n">
        <x:f>B3667</x:f>
        <x:v>0.2583</x:v>
      </x:c>
      <x:c r="E3667" s="1" t="n">
        <x:v>1.05</x:v>
      </x:c>
      <x:c r="F3667" s="1" t="str">
        <x:v>https://api.octopus.energy/v1/products/AGILE-24-10-01/electricity-tariffs/E-1R-AGILE-24-10-01-G/standard-unit-rates/</x:v>
      </x:c>
    </x:row>
    <x:row r="3668" ht="21" customHeight="1">
      <x:c r="A3668" s="24" t="n">
        <x:v>46224.916666666664</x:v>
      </x:c>
      <x:c r="B3668" s="6" t="n">
        <x:v>0.2588</x:v>
      </x:c>
      <x:c r="C3668" s="6" t="n">
        <x:v>0.1446</x:v>
      </x:c>
      <x:c r="D3668" s="6" t="n">
        <x:f>B3668</x:f>
        <x:v>0.2588</x:v>
      </x:c>
      <x:c r="E3668" s="1" t="n">
        <x:v>1.05</x:v>
      </x:c>
      <x:c r="F3668" s="1" t="str">
        <x:v>https://api.octopus.energy/v1/products/AGILE-24-10-01/electricity-tariffs/E-1R-AGILE-24-10-01-G/standard-unit-rates/</x:v>
      </x:c>
    </x:row>
    <x:row r="3669" ht="21" customHeight="1">
      <x:c r="A3669" s="24" t="n">
        <x:v>46224.9375</x:v>
      </x:c>
      <x:c r="B3669" s="6" t="n">
        <x:v>0.2249</x:v>
      </x:c>
      <x:c r="C3669" s="6" t="n">
        <x:v>0.1291</x:v>
      </x:c>
      <x:c r="D3669" s="6" t="n">
        <x:f>B3669</x:f>
        <x:v>0.2249</x:v>
      </x:c>
      <x:c r="E3669" s="1" t="n">
        <x:v>1.05</x:v>
      </x:c>
      <x:c r="F3669" s="1" t="str">
        <x:v>https://api.octopus.energy/v1/products/AGILE-24-10-01/electricity-tariffs/E-1R-AGILE-24-10-01-G/standard-unit-rates/</x:v>
      </x:c>
    </x:row>
    <x:row r="3670" ht="21" customHeight="1">
      <x:c r="A3670" s="24" t="n">
        <x:v>46225</x:v>
      </x:c>
      <x:c r="B3670" s="6" t="n">
        <x:v>0.248</x:v>
      </x:c>
      <x:c r="C3670" s="6" t="n">
        <x:v>0.1396</x:v>
      </x:c>
      <x:c r="D3670" s="6" t="n">
        <x:f>B3670</x:f>
        <x:v>0.248</x:v>
      </x:c>
      <x:c r="E3670" s="1" t="n">
        <x:v>1.05</x:v>
      </x:c>
      <x:c r="F3670" s="1" t="str">
        <x:v>https://api.octopus.energy/v1/products/AGILE-24-10-01/electricity-tariffs/E-1R-AGILE-24-10-01-G/standard-unit-rates/</x:v>
      </x:c>
    </x:row>
    <x:row r="3671" ht="21" customHeight="1">
      <x:c r="A3671" s="24" t="n">
        <x:v>46224.979166666664</x:v>
      </x:c>
      <x:c r="B3671" s="6" t="n">
        <x:v>0.2325</x:v>
      </x:c>
      <x:c r="C3671" s="6" t="n">
        <x:v>0.1325</x:v>
      </x:c>
      <x:c r="D3671" s="6" t="n">
        <x:f>B3671</x:f>
        <x:v>0.2325</x:v>
      </x:c>
      <x:c r="E3671" s="1" t="n">
        <x:v>1.05</x:v>
      </x:c>
      <x:c r="F3671" s="1" t="str">
        <x:v>https://api.octopus.energy/v1/products/AGILE-24-10-01/electricity-tariffs/E-1R-AGILE-24-10-01-G/standard-unit-rates/</x:v>
      </x:c>
    </x:row>
    <x:row r="3672" ht="21" customHeight="1">
      <x:c r="A3672" s="24" t="n">
        <x:v>46225</x:v>
      </x:c>
      <x:c r="B3672" s="6" t="n">
        <x:v>0.2351</x:v>
      </x:c>
      <x:c r="C3672" s="6" t="n">
        <x:v>0.13369999999999999</x:v>
      </x:c>
      <x:c r="D3672" s="6" t="n">
        <x:f>B3672</x:f>
        <x:v>0.2351</x:v>
      </x:c>
      <x:c r="E3672" s="1" t="n">
        <x:v>1.05</x:v>
      </x:c>
      <x:c r="F3672" s="1" t="str">
        <x:v>https://api.octopus.energy/v1/products/AGILE-24-10-01/electricity-tariffs/E-1R-AGILE-24-10-01-G/standard-unit-rates/</x:v>
      </x:c>
    </x:row>
    <x:row r="3673" ht="21" customHeight="1">
      <x:c r="A3673" s="24" t="n">
        <x:v>46225.020833333336</x:v>
      </x:c>
      <x:c r="B3673" s="6" t="n">
        <x:v>0.2336</x:v>
      </x:c>
      <x:c r="C3673" s="6" t="n">
        <x:v>0.133</x:v>
      </x:c>
      <x:c r="D3673" s="6" t="n">
        <x:f>B3673</x:f>
        <x:v>0.2336</x:v>
      </x:c>
      <x:c r="E3673" s="1" t="n">
        <x:v>1.05</x:v>
      </x:c>
      <x:c r="F3673" s="1" t="str">
        <x:v>https://api.octopus.energy/v1/products/AGILE-24-10-01/electricity-tariffs/E-1R-AGILE-24-10-01-G/standard-unit-rates/</x:v>
      </x:c>
    </x:row>
    <x:row r="3674" ht="21" customHeight="1">
      <x:c r="A3674" s="24" t="n">
        <x:v>46225.041666666664</x:v>
      </x:c>
      <x:c r="B3674" s="6" t="n">
        <x:v>0.2232</x:v>
      </x:c>
      <x:c r="C3674" s="6" t="n">
        <x:v>0.1283</x:v>
      </x:c>
      <x:c r="D3674" s="6" t="n">
        <x:f>B3674</x:f>
        <x:v>0.2232</x:v>
      </x:c>
      <x:c r="E3674" s="1" t="n">
        <x:v>1.05</x:v>
      </x:c>
      <x:c r="F3674" s="1" t="str">
        <x:v>https://api.octopus.energy/v1/products/AGILE-24-10-01/electricity-tariffs/E-1R-AGILE-24-10-01-G/standard-unit-rates/</x:v>
      </x:c>
    </x:row>
    <x:row r="3675" ht="21" customHeight="1">
      <x:c r="A3675" s="24" t="n">
        <x:v>46225.0625</x:v>
      </x:c>
      <x:c r="B3675" s="6" t="n">
        <x:v>0.2274</x:v>
      </x:c>
      <x:c r="C3675" s="6" t="n">
        <x:v>0.13019999999999998</x:v>
      </x:c>
      <x:c r="D3675" s="6" t="n">
        <x:f>B3675</x:f>
        <x:v>0.2274</x:v>
      </x:c>
      <x:c r="E3675" s="1" t="n">
        <x:v>1.05</x:v>
      </x:c>
      <x:c r="F3675" s="1" t="str">
        <x:v>https://api.octopus.energy/v1/products/AGILE-24-10-01/electricity-tariffs/E-1R-AGILE-24-10-01-G/standard-unit-rates/</x:v>
      </x:c>
    </x:row>
    <x:row r="3676" ht="21" customHeight="1">
      <x:c r="A3676" s="24" t="n">
        <x:v>46225.083333333336</x:v>
      </x:c>
      <x:c r="B3676" s="6" t="n">
        <x:v>0.214</x:v>
      </x:c>
      <x:c r="C3676" s="6" t="n">
        <x:v>0.1241</x:v>
      </x:c>
      <x:c r="D3676" s="6" t="n">
        <x:f>B3676</x:f>
        <x:v>0.214</x:v>
      </x:c>
      <x:c r="E3676" s="1" t="n">
        <x:v>1.05</x:v>
      </x:c>
      <x:c r="F3676" s="1" t="str">
        <x:v>https://api.octopus.energy/v1/products/AGILE-24-10-01/electricity-tariffs/E-1R-AGILE-24-10-01-G/standard-unit-rates/</x:v>
      </x:c>
    </x:row>
    <x:row r="3677" ht="21" customHeight="1">
      <x:c r="A3677" s="24" t="n">
        <x:v>46225.104166666664</x:v>
      </x:c>
      <x:c r="B3677" s="6" t="n">
        <x:v>0.20920000000000002</x:v>
      </x:c>
      <x:c r="C3677" s="6" t="n">
        <x:v>0.1219</x:v>
      </x:c>
      <x:c r="D3677" s="6" t="n">
        <x:f>B3677</x:f>
        <x:v>0.20920000000000002</x:v>
      </x:c>
      <x:c r="E3677" s="1" t="n">
        <x:v>1.05</x:v>
      </x:c>
      <x:c r="F3677" s="1" t="str">
        <x:v>https://api.octopus.energy/v1/products/AGILE-24-10-01/electricity-tariffs/E-1R-AGILE-24-10-01-G/standard-unit-rates/</x:v>
      </x:c>
    </x:row>
    <x:row r="3678" ht="21" customHeight="1">
      <x:c r="A3678" s="24" t="n">
        <x:v>46225.125</x:v>
      </x:c>
      <x:c r="B3678" s="6" t="n">
        <x:v>0.2018</x:v>
      </x:c>
      <x:c r="C3678" s="6" t="n">
        <x:v>0.1185</x:v>
      </x:c>
      <x:c r="D3678" s="6" t="n">
        <x:f>B3678</x:f>
        <x:v>0.2018</x:v>
      </x:c>
      <x:c r="E3678" s="1" t="n">
        <x:v>1.05</x:v>
      </x:c>
      <x:c r="F3678" s="1" t="str">
        <x:v>https://api.octopus.energy/v1/products/AGILE-24-10-01/electricity-tariffs/E-1R-AGILE-24-10-01-G/standard-unit-rates/</x:v>
      </x:c>
    </x:row>
    <x:row r="3679" ht="21" customHeight="1">
      <x:c r="A3679" s="24" t="n">
        <x:v>46225.145833333336</x:v>
      </x:c>
      <x:c r="B3679" s="6" t="n">
        <x:v>0.2018</x:v>
      </x:c>
      <x:c r="C3679" s="6" t="n">
        <x:v>0.1185</x:v>
      </x:c>
      <x:c r="D3679" s="6" t="n">
        <x:f>B3679</x:f>
        <x:v>0.2018</x:v>
      </x:c>
      <x:c r="E3679" s="1" t="n">
        <x:v>1.05</x:v>
      </x:c>
      <x:c r="F3679" s="1" t="str">
        <x:v>https://api.octopus.energy/v1/products/AGILE-24-10-01/electricity-tariffs/E-1R-AGILE-24-10-01-G/standard-unit-rates/</x:v>
      </x:c>
    </x:row>
    <x:row r="3680" ht="21" customHeight="1">
      <x:c r="A3680" s="24" t="n">
        <x:v>46225.166666666664</x:v>
      </x:c>
      <x:c r="B3680" s="6" t="n">
        <x:v>0.20929999999999999</x:v>
      </x:c>
      <x:c r="C3680" s="6" t="n">
        <x:v>0.1219</x:v>
      </x:c>
      <x:c r="D3680" s="6" t="n">
        <x:f>B3680</x:f>
        <x:v>0.20929999999999999</x:v>
      </x:c>
      <x:c r="E3680" s="1" t="n">
        <x:v>1.05</x:v>
      </x:c>
      <x:c r="F3680" s="1" t="str">
        <x:v>https://api.octopus.energy/v1/products/AGILE-24-10-01/electricity-tariffs/E-1R-AGILE-24-10-01-G/standard-unit-rates/</x:v>
      </x:c>
    </x:row>
    <x:row r="3681" ht="21" customHeight="1">
      <x:c r="A3681" s="24" t="n">
        <x:v>46225.1875</x:v>
      </x:c>
      <x:c r="B3681" s="6" t="n">
        <x:v>0.2024</x:v>
      </x:c>
      <x:c r="C3681" s="6" t="n">
        <x:v>0.1188</x:v>
      </x:c>
      <x:c r="D3681" s="6" t="n">
        <x:f>B3681</x:f>
        <x:v>0.2024</x:v>
      </x:c>
      <x:c r="E3681" s="1" t="n">
        <x:v>1.05</x:v>
      </x:c>
      <x:c r="F3681" s="1" t="str">
        <x:v>https://api.octopus.energy/v1/products/AGILE-24-10-01/electricity-tariffs/E-1R-AGILE-24-10-01-G/standard-unit-rates/</x:v>
      </x:c>
    </x:row>
    <x:row r="3682" ht="21" customHeight="1">
      <x:c r="A3682" s="24" t="n">
        <x:v>46225.208333333336</x:v>
      </x:c>
      <x:c r="B3682" s="6" t="n">
        <x:v>0.2293</x:v>
      </x:c>
      <x:c r="C3682" s="6" t="n">
        <x:v>0.1311</x:v>
      </x:c>
      <x:c r="D3682" s="6" t="n">
        <x:f>B3682</x:f>
        <x:v>0.2293</x:v>
      </x:c>
      <x:c r="E3682" s="1" t="n">
        <x:v>1.05</x:v>
      </x:c>
      <x:c r="F3682" s="1" t="str">
        <x:v>https://api.octopus.energy/v1/products/AGILE-24-10-01/electricity-tariffs/E-1R-AGILE-24-10-01-G/standard-unit-rates/</x:v>
      </x:c>
    </x:row>
    <x:row r="3683" ht="21" customHeight="1">
      <x:c r="A3683" s="24" t="n">
        <x:v>46225.229166666664</x:v>
      </x:c>
      <x:c r="B3683" s="6" t="n">
        <x:v>0.23329999999999998</x:v>
      </x:c>
      <x:c r="C3683" s="6" t="n">
        <x:v>0.1329</x:v>
      </x:c>
      <x:c r="D3683" s="6" t="n">
        <x:f>B3683</x:f>
        <x:v>0.23329999999999998</x:v>
      </x:c>
      <x:c r="E3683" s="1" t="n">
        <x:v>1.05</x:v>
      </x:c>
      <x:c r="F3683" s="1" t="str">
        <x:v>https://api.octopus.energy/v1/products/AGILE-24-10-01/electricity-tariffs/E-1R-AGILE-24-10-01-G/standard-unit-rates/</x:v>
      </x:c>
    </x:row>
    <x:row r="3684" ht="21" customHeight="1">
      <x:c r="A3684" s="24" t="n">
        <x:v>46225.25</x:v>
      </x:c>
      <x:c r="B3684" s="6" t="n">
        <x:v>0.2262</x:v>
      </x:c>
      <x:c r="C3684" s="6" t="n">
        <x:v>0.1297</x:v>
      </x:c>
      <x:c r="D3684" s="6" t="n">
        <x:f>B3684</x:f>
        <x:v>0.2262</x:v>
      </x:c>
      <x:c r="E3684" s="1" t="n">
        <x:v>1.05</x:v>
      </x:c>
      <x:c r="F3684" s="1" t="str">
        <x:v>https://api.octopus.energy/v1/products/AGILE-24-10-01/electricity-tariffs/E-1R-AGILE-24-10-01-G/standard-unit-rates/</x:v>
      </x:c>
    </x:row>
    <x:row r="3685" ht="21" customHeight="1">
      <x:c r="A3685" s="24" t="n">
        <x:v>46225.270833333336</x:v>
      </x:c>
      <x:c r="B3685" s="6" t="n">
        <x:v>0.24230000000000002</x:v>
      </x:c>
      <x:c r="C3685" s="6" t="n">
        <x:v>0.13699999999999998</x:v>
      </x:c>
      <x:c r="D3685" s="6" t="n">
        <x:f>B3685</x:f>
        <x:v>0.24230000000000002</x:v>
      </x:c>
      <x:c r="E3685" s="1" t="n">
        <x:v>1.05</x:v>
      </x:c>
      <x:c r="F3685" s="1" t="str">
        <x:v>https://api.octopus.energy/v1/products/AGILE-24-10-01/electricity-tariffs/E-1R-AGILE-24-10-01-G/standard-unit-rates/</x:v>
      </x:c>
    </x:row>
    <x:row r="3686" ht="21" customHeight="1">
      <x:c r="A3686" s="24" t="n">
        <x:v>46225.291666666664</x:v>
      </x:c>
      <x:c r="B3686" s="6" t="n">
        <x:v>0.2271</x:v>
      </x:c>
      <x:c r="C3686" s="6" t="n">
        <x:v>0.1301</x:v>
      </x:c>
      <x:c r="D3686" s="6" t="n">
        <x:f>B3686</x:f>
        <x:v>0.2271</x:v>
      </x:c>
      <x:c r="E3686" s="1" t="n">
        <x:v>1.05</x:v>
      </x:c>
      <x:c r="F3686" s="1" t="str">
        <x:v>https://api.octopus.energy/v1/products/AGILE-24-10-01/electricity-tariffs/E-1R-AGILE-24-10-01-G/standard-unit-rates/</x:v>
      </x:c>
    </x:row>
    <x:row r="3687" ht="21" customHeight="1">
      <x:c r="A3687" s="24" t="n">
        <x:v>46225.3125</x:v>
      </x:c>
      <x:c r="B3687" s="6" t="n">
        <x:v>0.23600000000000002</x:v>
      </x:c>
      <x:c r="C3687" s="6" t="n">
        <x:v>0.13419999999999999</x:v>
      </x:c>
      <x:c r="D3687" s="6" t="n">
        <x:f>B3687</x:f>
        <x:v>0.23600000000000002</x:v>
      </x:c>
      <x:c r="E3687" s="1" t="n">
        <x:v>1.05</x:v>
      </x:c>
      <x:c r="F3687" s="1" t="str">
        <x:v>https://api.octopus.energy/v1/products/AGILE-24-10-01/electricity-tariffs/E-1R-AGILE-24-10-01-G/standard-unit-rates/</x:v>
      </x:c>
    </x:row>
    <x:row r="3688" ht="21" customHeight="1">
      <x:c r="A3688" s="24" t="n">
        <x:v>46225.333333333336</x:v>
      </x:c>
      <x:c r="B3688" s="6" t="n">
        <x:v>0.2394</x:v>
      </x:c>
      <x:c r="C3688" s="6" t="n">
        <x:v>0.13570000000000002</x:v>
      </x:c>
      <x:c r="D3688" s="6" t="n">
        <x:f>B3688</x:f>
        <x:v>0.2394</x:v>
      </x:c>
      <x:c r="E3688" s="1" t="n">
        <x:v>1.05</x:v>
      </x:c>
      <x:c r="F3688" s="1" t="str">
        <x:v>https://api.octopus.energy/v1/products/AGILE-24-10-01/electricity-tariffs/E-1R-AGILE-24-10-01-G/standard-unit-rates/</x:v>
      </x:c>
    </x:row>
    <x:row r="3689" ht="21" customHeight="1">
      <x:c r="A3689" s="24" t="n">
        <x:v>46225.354166666664</x:v>
      </x:c>
      <x:c r="B3689" s="6" t="n">
        <x:v>0.2352</x:v>
      </x:c>
      <x:c r="C3689" s="6" t="n">
        <x:v>0.1338</x:v>
      </x:c>
      <x:c r="D3689" s="6" t="n">
        <x:f>B3689</x:f>
        <x:v>0.2352</x:v>
      </x:c>
      <x:c r="E3689" s="1" t="n">
        <x:v>1.05</x:v>
      </x:c>
      <x:c r="F3689" s="1" t="str">
        <x:v>https://api.octopus.energy/v1/products/AGILE-24-10-01/electricity-tariffs/E-1R-AGILE-24-10-01-G/standard-unit-rates/</x:v>
      </x:c>
    </x:row>
    <x:row r="3690" ht="21" customHeight="1">
      <x:c r="A3690" s="24" t="n">
        <x:v>46225.375</x:v>
      </x:c>
      <x:c r="B3690" s="6" t="n">
        <x:v>0.2289</x:v>
      </x:c>
      <x:c r="C3690" s="6" t="n">
        <x:v>0.1309</x:v>
      </x:c>
      <x:c r="D3690" s="6" t="n">
        <x:f>B3690</x:f>
        <x:v>0.2289</x:v>
      </x:c>
      <x:c r="E3690" s="1" t="n">
        <x:v>1.05</x:v>
      </x:c>
      <x:c r="F3690" s="1" t="str">
        <x:v>https://api.octopus.energy/v1/products/AGILE-24-10-01/electricity-tariffs/E-1R-AGILE-24-10-01-G/standard-unit-rates/</x:v>
      </x:c>
    </x:row>
    <x:row r="3691" ht="21" customHeight="1">
      <x:c r="A3691" s="24" t="n">
        <x:v>46225.395833333336</x:v>
      </x:c>
      <x:c r="B3691" s="6" t="n">
        <x:v>0.2281</x:v>
      </x:c>
      <x:c r="C3691" s="6" t="n">
        <x:v>0.1305</x:v>
      </x:c>
      <x:c r="D3691" s="6" t="n">
        <x:f>B3691</x:f>
        <x:v>0.2281</x:v>
      </x:c>
      <x:c r="E3691" s="1" t="n">
        <x:v>1.05</x:v>
      </x:c>
      <x:c r="F3691" s="1" t="str">
        <x:v>https://api.octopus.energy/v1/products/AGILE-24-10-01/electricity-tariffs/E-1R-AGILE-24-10-01-G/standard-unit-rates/</x:v>
      </x:c>
    </x:row>
    <x:row r="3692" ht="21" customHeight="1">
      <x:c r="A3692" s="24" t="n">
        <x:v>46225.416666666664</x:v>
      </x:c>
      <x:c r="B3692" s="6" t="n">
        <x:v>0.2354</x:v>
      </x:c>
      <x:c r="C3692" s="6" t="n">
        <x:v>0.13390000000000002</x:v>
      </x:c>
      <x:c r="D3692" s="6" t="n">
        <x:f>B3692</x:f>
        <x:v>0.2354</x:v>
      </x:c>
      <x:c r="E3692" s="1" t="n">
        <x:v>1.05</x:v>
      </x:c>
      <x:c r="F3692" s="1" t="str">
        <x:v>https://api.octopus.energy/v1/products/AGILE-24-10-01/electricity-tariffs/E-1R-AGILE-24-10-01-G/standard-unit-rates/</x:v>
      </x:c>
    </x:row>
    <x:row r="3693" ht="21" customHeight="1">
      <x:c r="A3693" s="24" t="n">
        <x:v>46225.4375</x:v>
      </x:c>
      <x:c r="B3693" s="6" t="n">
        <x:v>0.23329999999999998</x:v>
      </x:c>
      <x:c r="C3693" s="6" t="n">
        <x:v>0.1329</x:v>
      </x:c>
      <x:c r="D3693" s="6" t="n">
        <x:f>B3693</x:f>
        <x:v>0.23329999999999998</x:v>
      </x:c>
      <x:c r="E3693" s="1" t="n">
        <x:v>1.05</x:v>
      </x:c>
      <x:c r="F3693" s="1" t="str">
        <x:v>https://api.octopus.energy/v1/products/AGILE-24-10-01/electricity-tariffs/E-1R-AGILE-24-10-01-G/standard-unit-rates/</x:v>
      </x:c>
    </x:row>
    <x:row r="3694" ht="21" customHeight="1">
      <x:c r="A3694" s="24" t="n">
        <x:v>46225.458333333336</x:v>
      </x:c>
      <x:c r="B3694" s="6" t="n">
        <x:v>0.21420000000000003</x:v>
      </x:c>
      <x:c r="C3694" s="6" t="n">
        <x:v>0.1242</x:v>
      </x:c>
      <x:c r="D3694" s="6" t="n">
        <x:f>B3694</x:f>
        <x:v>0.21420000000000003</x:v>
      </x:c>
      <x:c r="E3694" s="1" t="n">
        <x:v>1.05</x:v>
      </x:c>
      <x:c r="F3694" s="1" t="str">
        <x:v>https://api.octopus.energy/v1/products/AGILE-24-10-01/electricity-tariffs/E-1R-AGILE-24-10-01-G/standard-unit-rates/</x:v>
      </x:c>
    </x:row>
    <x:row r="3695" ht="21" customHeight="1">
      <x:c r="A3695" s="24" t="n">
        <x:v>46225.479166666664</x:v>
      </x:c>
      <x:c r="B3695" s="6" t="n">
        <x:v>0.21170000000000003</x:v>
      </x:c>
      <x:c r="C3695" s="6" t="n">
        <x:v>0.12300000000000001</x:v>
      </x:c>
      <x:c r="D3695" s="6" t="n">
        <x:f>B3695</x:f>
        <x:v>0.21170000000000003</x:v>
      </x:c>
      <x:c r="E3695" s="1" t="n">
        <x:v>1.05</x:v>
      </x:c>
      <x:c r="F3695" s="1" t="str">
        <x:v>https://api.octopus.energy/v1/products/AGILE-24-10-01/electricity-tariffs/E-1R-AGILE-24-10-01-G/standard-unit-rates/</x:v>
      </x:c>
    </x:row>
    <x:row r="3696" ht="21" customHeight="1">
      <x:c r="A3696" s="24" t="n">
        <x:v>46225.5</x:v>
      </x:c>
      <x:c r="B3696" s="6" t="n">
        <x:v>0.2102</x:v>
      </x:c>
      <x:c r="C3696" s="6" t="n">
        <x:v>0.12240000000000001</x:v>
      </x:c>
      <x:c r="D3696" s="6" t="n">
        <x:f>B3696</x:f>
        <x:v>0.2102</x:v>
      </x:c>
      <x:c r="E3696" s="1" t="n">
        <x:v>1.05</x:v>
      </x:c>
      <x:c r="F3696" s="1" t="str">
        <x:v>https://api.octopus.energy/v1/products/AGILE-24-10-01/electricity-tariffs/E-1R-AGILE-24-10-01-G/standard-unit-rates/</x:v>
      </x:c>
    </x:row>
    <x:row r="3697" ht="21" customHeight="1">
      <x:c r="A3697" s="24" t="n">
        <x:v>46225.520833333336</x:v>
      </x:c>
      <x:c r="B3697" s="6" t="n">
        <x:v>0.2144</x:v>
      </x:c>
      <x:c r="C3697" s="6" t="n">
        <x:v>0.1243</x:v>
      </x:c>
      <x:c r="D3697" s="6" t="n">
        <x:f>B3697</x:f>
        <x:v>0.2144</x:v>
      </x:c>
      <x:c r="E3697" s="1" t="n">
        <x:v>1.05</x:v>
      </x:c>
      <x:c r="F3697" s="1" t="str">
        <x:v>https://api.octopus.energy/v1/products/AGILE-24-10-01/electricity-tariffs/E-1R-AGILE-24-10-01-G/standard-unit-rates/</x:v>
      </x:c>
    </x:row>
    <x:row r="3698" ht="21" customHeight="1">
      <x:c r="A3698" s="24" t="n">
        <x:v>46225.541666666664</x:v>
      </x:c>
      <x:c r="B3698" s="6" t="n">
        <x:v>0.2039</x:v>
      </x:c>
      <x:c r="C3698" s="6" t="n">
        <x:v>0.1195</x:v>
      </x:c>
      <x:c r="D3698" s="6" t="n">
        <x:f>B3698</x:f>
        <x:v>0.2039</x:v>
      </x:c>
      <x:c r="E3698" s="1" t="n">
        <x:v>1.05</x:v>
      </x:c>
      <x:c r="F3698" s="1" t="str">
        <x:v>https://api.octopus.energy/v1/products/AGILE-24-10-01/electricity-tariffs/E-1R-AGILE-24-10-01-G/standard-unit-rates/</x:v>
      </x:c>
    </x:row>
    <x:row r="3699" ht="21" customHeight="1">
      <x:c r="A3699" s="24" t="n">
        <x:v>46225.5625</x:v>
      </x:c>
      <x:c r="B3699" s="6" t="n">
        <x:v>0.2046</x:v>
      </x:c>
      <x:c r="C3699" s="6" t="n">
        <x:v>0.1198</x:v>
      </x:c>
      <x:c r="D3699" s="6" t="n">
        <x:f>B3699</x:f>
        <x:v>0.2046</x:v>
      </x:c>
      <x:c r="E3699" s="1" t="n">
        <x:v>1.05</x:v>
      </x:c>
      <x:c r="F3699" s="1" t="str">
        <x:v>https://api.octopus.energy/v1/products/AGILE-24-10-01/electricity-tariffs/E-1R-AGILE-24-10-01-G/standard-unit-rates/</x:v>
      </x:c>
    </x:row>
    <x:row r="3700" ht="21" customHeight="1">
      <x:c r="A3700" s="24" t="n">
        <x:v>46225.583333333336</x:v>
      </x:c>
      <x:c r="B3700" s="6" t="n">
        <x:v>0.2022</x:v>
      </x:c>
      <x:c r="C3700" s="6" t="n">
        <x:v>0.11869999999999999</x:v>
      </x:c>
      <x:c r="D3700" s="6" t="n">
        <x:f>B3700</x:f>
        <x:v>0.2022</x:v>
      </x:c>
      <x:c r="E3700" s="1" t="n">
        <x:v>1.05</x:v>
      </x:c>
      <x:c r="F3700" s="1" t="str">
        <x:v>https://api.octopus.energy/v1/products/AGILE-24-10-01/electricity-tariffs/E-1R-AGILE-24-10-01-G/standard-unit-rates/</x:v>
      </x:c>
    </x:row>
    <x:row r="3701" ht="21" customHeight="1">
      <x:c r="A3701" s="24" t="n">
        <x:v>46225.604166666664</x:v>
      </x:c>
      <x:c r="B3701" s="6" t="n">
        <x:v>0.1997</x:v>
      </x:c>
      <x:c r="C3701" s="6" t="n">
        <x:v>0.1176</x:v>
      </x:c>
      <x:c r="D3701" s="6" t="n">
        <x:f>B3701</x:f>
        <x:v>0.1997</x:v>
      </x:c>
      <x:c r="E3701" s="1" t="n">
        <x:v>1.05</x:v>
      </x:c>
      <x:c r="F3701" s="1" t="str">
        <x:v>https://api.octopus.energy/v1/products/AGILE-24-10-01/electricity-tariffs/E-1R-AGILE-24-10-01-G/standard-unit-rates/</x:v>
      </x:c>
    </x:row>
    <x:row r="3702" ht="21" customHeight="1">
      <x:c r="A3702" s="24" t="n">
        <x:v>46225.625</x:v>
      </x:c>
      <x:c r="B3702" s="6" t="n">
        <x:v>0.20620000000000002</x:v>
      </x:c>
      <x:c r="C3702" s="6" t="n">
        <x:v>0.12050000000000001</x:v>
      </x:c>
      <x:c r="D3702" s="6" t="n">
        <x:f>B3702</x:f>
        <x:v>0.20620000000000002</x:v>
      </x:c>
      <x:c r="E3702" s="1" t="n">
        <x:v>1.05</x:v>
      </x:c>
      <x:c r="F3702" s="1" t="str">
        <x:v>https://api.octopus.energy/v1/products/AGILE-24-10-01/electricity-tariffs/E-1R-AGILE-24-10-01-G/standard-unit-rates/</x:v>
      </x:c>
    </x:row>
    <x:row r="3703" ht="21" customHeight="1">
      <x:c r="A3703" s="24" t="n">
        <x:v>46225.645833333336</x:v>
      </x:c>
      <x:c r="B3703" s="6" t="n">
        <x:v>0.2165</x:v>
      </x:c>
      <x:c r="C3703" s="6" t="n">
        <x:v>0.1252</x:v>
      </x:c>
      <x:c r="D3703" s="6" t="n">
        <x:f>B3703</x:f>
        <x:v>0.2165</x:v>
      </x:c>
      <x:c r="E3703" s="1" t="n">
        <x:v>1.05</x:v>
      </x:c>
      <x:c r="F3703" s="1" t="str">
        <x:v>https://api.octopus.energy/v1/products/AGILE-24-10-01/electricity-tariffs/E-1R-AGILE-24-10-01-G/standard-unit-rates/</x:v>
      </x:c>
    </x:row>
    <x:row r="3704" ht="21" customHeight="1">
      <x:c r="A3704" s="24" t="n">
        <x:v>46225.666666666664</x:v>
      </x:c>
      <x:c r="B3704" s="6" t="n">
        <x:v>0.3428</x:v>
      </x:c>
      <x:c r="C3704" s="6" t="n">
        <x:v>0.187</x:v>
      </x:c>
      <x:c r="D3704" s="6" t="n">
        <x:f>B3704</x:f>
        <x:v>0.3428</x:v>
      </x:c>
      <x:c r="E3704" s="1" t="n">
        <x:v>1.05</x:v>
      </x:c>
      <x:c r="F3704" s="1" t="str">
        <x:v>https://api.octopus.energy/v1/products/AGILE-24-10-01/electricity-tariffs/E-1R-AGILE-24-10-01-G/standard-unit-rates/</x:v>
      </x:c>
    </x:row>
    <x:row r="3705" ht="21" customHeight="1">
      <x:c r="A3705" s="24" t="n">
        <x:v>46225.6875</x:v>
      </x:c>
      <x:c r="B3705" s="6" t="n">
        <x:v>0.34659999999999996</x:v>
      </x:c>
      <x:c r="C3705" s="6" t="n">
        <x:v>0.1887</x:v>
      </x:c>
      <x:c r="D3705" s="6" t="n">
        <x:f>B3705</x:f>
        <x:v>0.34659999999999996</x:v>
      </x:c>
      <x:c r="E3705" s="1" t="n">
        <x:v>1.05</x:v>
      </x:c>
      <x:c r="F3705" s="1" t="str">
        <x:v>https://api.octopus.energy/v1/products/AGILE-24-10-01/electricity-tariffs/E-1R-AGILE-24-10-01-G/standard-unit-rates/</x:v>
      </x:c>
    </x:row>
    <x:row r="3706" ht="21" customHeight="1">
      <x:c r="A3706" s="24" t="n">
        <x:v>46225.708333333336</x:v>
      </x:c>
      <x:c r="B3706" s="6" t="n">
        <x:v>0.3613</x:v>
      </x:c>
      <x:c r="C3706" s="6" t="n">
        <x:v>0.1955</x:v>
      </x:c>
      <x:c r="D3706" s="6" t="n">
        <x:f>B3706</x:f>
        <x:v>0.3613</x:v>
      </x:c>
      <x:c r="E3706" s="1" t="n">
        <x:v>1.05</x:v>
      </x:c>
      <x:c r="F3706" s="1" t="str">
        <x:v>https://api.octopus.energy/v1/products/AGILE-24-10-01/electricity-tariffs/E-1R-AGILE-24-10-01-G/standard-unit-rates/</x:v>
      </x:c>
    </x:row>
    <x:row r="3707" ht="21" customHeight="1">
      <x:c r="A3707" s="24" t="n">
        <x:v>46225.729166666664</x:v>
      </x:c>
      <x:c r="B3707" s="6" t="n">
        <x:v>0.3785</x:v>
      </x:c>
      <x:c r="C3707" s="6" t="n">
        <x:v>0.20329999999999998</x:v>
      </x:c>
      <x:c r="D3707" s="6" t="n">
        <x:f>B3707</x:f>
        <x:v>0.3785</x:v>
      </x:c>
      <x:c r="E3707" s="1" t="n">
        <x:v>1.05</x:v>
      </x:c>
      <x:c r="F3707" s="1" t="str">
        <x:v>https://api.octopus.energy/v1/products/AGILE-24-10-01/electricity-tariffs/E-1R-AGILE-24-10-01-G/standard-unit-rates/</x:v>
      </x:c>
    </x:row>
    <x:row r="3708" ht="21" customHeight="1">
      <x:c r="A3708" s="24" t="n">
        <x:v>46225.75</x:v>
      </x:c>
      <x:c r="B3708" s="6" t="n">
        <x:v>0.38520000000000004</x:v>
      </x:c>
      <x:c r="C3708" s="6" t="n">
        <x:v>0.2064</x:v>
      </x:c>
      <x:c r="D3708" s="6" t="n">
        <x:f>B3708</x:f>
        <x:v>0.38520000000000004</x:v>
      </x:c>
      <x:c r="E3708" s="1" t="n">
        <x:v>1.05</x:v>
      </x:c>
      <x:c r="F3708" s="1" t="str">
        <x:v>https://api.octopus.energy/v1/products/AGILE-24-10-01/electricity-tariffs/E-1R-AGILE-24-10-01-G/standard-unit-rates/</x:v>
      </x:c>
    </x:row>
    <x:row r="3709" ht="21" customHeight="1">
      <x:c r="A3709" s="24" t="n">
        <x:v>46225.770833333336</x:v>
      </x:c>
      <x:c r="B3709" s="6" t="n">
        <x:v>0.3948</x:v>
      </x:c>
      <x:c r="C3709" s="6" t="n">
        <x:v>0.2108</x:v>
      </x:c>
      <x:c r="D3709" s="6" t="n">
        <x:f>B3709</x:f>
        <x:v>0.3948</x:v>
      </x:c>
      <x:c r="E3709" s="1" t="n">
        <x:v>1.05</x:v>
      </x:c>
      <x:c r="F3709" s="1" t="str">
        <x:v>https://api.octopus.energy/v1/products/AGILE-24-10-01/electricity-tariffs/E-1R-AGILE-24-10-01-G/standard-unit-rates/</x:v>
      </x:c>
    </x:row>
    <x:row r="3710" ht="21" customHeight="1">
      <x:c r="A3710" s="24" t="n">
        <x:v>46225.791666666664</x:v>
      </x:c>
      <x:c r="B3710" s="6" t="n">
        <x:v>0.2816</x:v>
      </x:c>
      <x:c r="C3710" s="6" t="n">
        <x:v>0.155</x:v>
      </x:c>
      <x:c r="D3710" s="6" t="n">
        <x:f>B3710</x:f>
        <x:v>0.2816</x:v>
      </x:c>
      <x:c r="E3710" s="1" t="n">
        <x:v>1.05</x:v>
      </x:c>
      <x:c r="F3710" s="1" t="str">
        <x:v>https://api.octopus.energy/v1/products/AGILE-24-10-01/electricity-tariffs/E-1R-AGILE-24-10-01-G/standard-unit-rates/</x:v>
      </x:c>
    </x:row>
    <x:row r="3711" ht="21" customHeight="1">
      <x:c r="A3711" s="24" t="n">
        <x:v>46225.8125</x:v>
      </x:c>
      <x:c r="B3711" s="6" t="n">
        <x:v>0.2845</x:v>
      </x:c>
      <x:c r="C3711" s="6" t="n">
        <x:v>0.1563</x:v>
      </x:c>
      <x:c r="D3711" s="6" t="n">
        <x:f>B3711</x:f>
        <x:v>0.2845</x:v>
      </x:c>
      <x:c r="E3711" s="1" t="n">
        <x:v>1.05</x:v>
      </x:c>
      <x:c r="F3711" s="1" t="str">
        <x:v>https://api.octopus.energy/v1/products/AGILE-24-10-01/electricity-tariffs/E-1R-AGILE-24-10-01-G/standard-unit-rates/</x:v>
      </x:c>
    </x:row>
    <x:row r="3712" ht="21" customHeight="1">
      <x:c r="A3712" s="24" t="n">
        <x:v>46225.833333333336</x:v>
      </x:c>
      <x:c r="B3712" s="6" t="n">
        <x:v>0.2774</x:v>
      </x:c>
      <x:c r="C3712" s="6" t="n">
        <x:v>0.1531</x:v>
      </x:c>
      <x:c r="D3712" s="6" t="n">
        <x:f>B3712</x:f>
        <x:v>0.2774</x:v>
      </x:c>
      <x:c r="E3712" s="1" t="n">
        <x:v>1.05</x:v>
      </x:c>
      <x:c r="F3712" s="1" t="str">
        <x:v>https://api.octopus.energy/v1/products/AGILE-24-10-01/electricity-tariffs/E-1R-AGILE-24-10-01-G/standard-unit-rates/</x:v>
      </x:c>
    </x:row>
    <x:row r="3713" ht="21" customHeight="1">
      <x:c r="A3713" s="24" t="n">
        <x:v>46225.854166666664</x:v>
      </x:c>
      <x:c r="B3713" s="6" t="n">
        <x:v>0.2764</x:v>
      </x:c>
      <x:c r="C3713" s="6" t="n">
        <x:v>0.15259999999999999</x:v>
      </x:c>
      <x:c r="D3713" s="6" t="n">
        <x:f>B3713</x:f>
        <x:v>0.2764</x:v>
      </x:c>
      <x:c r="E3713" s="1" t="n">
        <x:v>1.05</x:v>
      </x:c>
      <x:c r="F3713" s="1" t="str">
        <x:v>https://api.octopus.energy/v1/products/AGILE-24-10-01/electricity-tariffs/E-1R-AGILE-24-10-01-G/standard-unit-rates/</x:v>
      </x:c>
    </x:row>
    <x:row r="3714" ht="21" customHeight="1">
      <x:c r="A3714" s="24" t="n">
        <x:v>46225.875</x:v>
      </x:c>
      <x:c r="B3714" s="6" t="n">
        <x:v>0.2753</x:v>
      </x:c>
      <x:c r="C3714" s="6" t="n">
        <x:v>0.1521</x:v>
      </x:c>
      <x:c r="D3714" s="6" t="n">
        <x:f>B3714</x:f>
        <x:v>0.2753</x:v>
      </x:c>
      <x:c r="E3714" s="1" t="n">
        <x:v>1.05</x:v>
      </x:c>
      <x:c r="F3714" s="1" t="str">
        <x:v>https://api.octopus.energy/v1/products/AGILE-24-10-01/electricity-tariffs/E-1R-AGILE-24-10-01-G/standard-unit-rates/</x:v>
      </x:c>
    </x:row>
    <x:row r="3715" ht="21" customHeight="1">
      <x:c r="A3715" s="24" t="n">
        <x:v>46225.895833333336</x:v>
      </x:c>
      <x:c r="B3715" s="6" t="n">
        <x:v>0.2753</x:v>
      </x:c>
      <x:c r="C3715" s="6" t="n">
        <x:v>0.1521</x:v>
      </x:c>
      <x:c r="D3715" s="6" t="n">
        <x:f>B3715</x:f>
        <x:v>0.2753</x:v>
      </x:c>
      <x:c r="E3715" s="1" t="n">
        <x:v>1.05</x:v>
      </x:c>
      <x:c r="F3715" s="1" t="str">
        <x:v>https://api.octopus.energy/v1/products/AGILE-24-10-01/electricity-tariffs/E-1R-AGILE-24-10-01-G/standard-unit-rates/</x:v>
      </x:c>
    </x:row>
    <x:row r="3716" ht="21" customHeight="1">
      <x:c r="A3716" s="24" t="n">
        <x:v>46225.916666666664</x:v>
      </x:c>
      <x:c r="B3716" s="6" t="n">
        <x:v>0.2648</x:v>
      </x:c>
      <x:c r="C3716" s="6" t="n">
        <x:v>0.14730000000000001</x:v>
      </x:c>
      <x:c r="D3716" s="6" t="n">
        <x:f>B3716</x:f>
        <x:v>0.2648</x:v>
      </x:c>
      <x:c r="E3716" s="1" t="n">
        <x:v>1.05</x:v>
      </x:c>
      <x:c r="F3716" s="1" t="str">
        <x:v>https://api.octopus.energy/v1/products/AGILE-24-10-01/electricity-tariffs/E-1R-AGILE-24-10-01-G/standard-unit-rates/</x:v>
      </x:c>
    </x:row>
    <x:row r="3717" ht="21" customHeight="1">
      <x:c r="A3717" s="24" t="n">
        <x:v>46225.9375</x:v>
      </x:c>
      <x:c r="B3717" s="6" t="n">
        <x:v>0.2501</x:v>
      </x:c>
      <x:c r="C3717" s="6" t="n">
        <x:v>0.1406</x:v>
      </x:c>
      <x:c r="D3717" s="6" t="n">
        <x:f>B3717</x:f>
        <x:v>0.2501</x:v>
      </x:c>
      <x:c r="E3717" s="1" t="n">
        <x:v>1.05</x:v>
      </x:c>
      <x:c r="F3717" s="1" t="str">
        <x:v>https://api.octopus.energy/v1/products/AGILE-24-10-01/electricity-tariffs/E-1R-AGILE-24-10-01-G/standard-unit-rates/</x:v>
      </x:c>
    </x:row>
    <x:row r="3718" ht="21" customHeight="1">
      <x:c r="A3718" s="24" t="n">
        <x:v>46226</x:v>
      </x:c>
      <x:c r="B3718" s="6" t="n">
        <x:v>0.2459</x:v>
      </x:c>
      <x:c r="C3718" s="6" t="n">
        <x:v>0.1387</x:v>
      </x:c>
      <x:c r="D3718" s="6" t="n">
        <x:f>B3718</x:f>
        <x:v>0.2459</x:v>
      </x:c>
      <x:c r="E3718" s="1" t="n">
        <x:v>1.05</x:v>
      </x:c>
      <x:c r="F3718" s="1" t="str">
        <x:v>https://api.octopus.energy/v1/products/AGILE-24-10-01/electricity-tariffs/E-1R-AGILE-24-10-01-G/standard-unit-rates/</x:v>
      </x:c>
    </x:row>
    <x:row r="3719" ht="21" customHeight="1">
      <x:c r="A3719" s="24" t="n">
        <x:v>46225.979166666664</x:v>
      </x:c>
      <x:c r="B3719" s="6" t="n">
        <x:v>0.2451</x:v>
      </x:c>
      <x:c r="C3719" s="6" t="n">
        <x:v>0.1383</x:v>
      </x:c>
      <x:c r="D3719" s="6" t="n">
        <x:f>B3719</x:f>
        <x:v>0.2451</x:v>
      </x:c>
      <x:c r="E3719" s="1" t="n">
        <x:v>1.05</x:v>
      </x:c>
      <x:c r="F3719" s="1" t="str">
        <x:v>https://api.octopus.energy/v1/products/AGILE-24-10-01/electricity-tariffs/E-1R-AGILE-24-10-01-G/standard-unit-rates/</x:v>
      </x:c>
    </x:row>
    <x:row r="3720" ht="21" customHeight="1">
      <x:c r="A3720" s="24" t="n">
        <x:v>46226</x:v>
      </x:c>
      <x:c r="B3720" s="6" t="n">
        <x:v>0.2275</x:v>
      </x:c>
      <x:c r="C3720" s="6" t="n">
        <x:v>0.1303</x:v>
      </x:c>
      <x:c r="D3720" s="6" t="n">
        <x:f>B3720</x:f>
        <x:v>0.2275</x:v>
      </x:c>
      <x:c r="E3720" s="1" t="n">
        <x:v>1.05</x:v>
      </x:c>
      <x:c r="F3720" s="1" t="str">
        <x:v>https://api.octopus.energy/v1/products/AGILE-24-10-01/electricity-tariffs/E-1R-AGILE-24-10-01-G/standard-unit-rates/</x:v>
      </x:c>
    </x:row>
    <x:row r="3721" ht="21" customHeight="1">
      <x:c r="A3721" s="24" t="n">
        <x:v>46226.020833333336</x:v>
      </x:c>
      <x:c r="B3721" s="6" t="n">
        <x:v>0.2228</x:v>
      </x:c>
      <x:c r="C3721" s="6" t="n">
        <x:v>0.1281</x:v>
      </x:c>
      <x:c r="D3721" s="6" t="n">
        <x:f>B3721</x:f>
        <x:v>0.2228</x:v>
      </x:c>
      <x:c r="E3721" s="1" t="n">
        <x:v>1.05</x:v>
      </x:c>
      <x:c r="F3721" s="1" t="str">
        <x:v>https://api.octopus.energy/v1/products/AGILE-24-10-01/electricity-tariffs/E-1R-AGILE-24-10-01-G/standard-unit-rates/</x:v>
      </x:c>
    </x:row>
    <x:row r="3722" ht="21" customHeight="1">
      <x:c r="A3722" s="24" t="n">
        <x:v>46226.041666666664</x:v>
      </x:c>
      <x:c r="B3722" s="6" t="n">
        <x:v>0.2144</x:v>
      </x:c>
      <x:c r="C3722" s="6" t="n">
        <x:v>0.1243</x:v>
      </x:c>
      <x:c r="D3722" s="6" t="n">
        <x:f>B3722</x:f>
        <x:v>0.2144</x:v>
      </x:c>
      <x:c r="E3722" s="1" t="n">
        <x:v>1.05</x:v>
      </x:c>
      <x:c r="F3722" s="1" t="str">
        <x:v>https://api.octopus.energy/v1/products/AGILE-24-10-01/electricity-tariffs/E-1R-AGILE-24-10-01-G/standard-unit-rates/</x:v>
      </x:c>
    </x:row>
    <x:row r="3723" ht="21" customHeight="1">
      <x:c r="A3723" s="24" t="n">
        <x:v>46226.0625</x:v>
      </x:c>
      <x:c r="B3723" s="6" t="n">
        <x:v>0.2162</x:v>
      </x:c>
      <x:c r="C3723" s="6" t="n">
        <x:v>0.1251</x:v>
      </x:c>
      <x:c r="D3723" s="6" t="n">
        <x:f>B3723</x:f>
        <x:v>0.2162</x:v>
      </x:c>
      <x:c r="E3723" s="1" t="n">
        <x:v>1.05</x:v>
      </x:c>
      <x:c r="F3723" s="1" t="str">
        <x:v>https://api.octopus.energy/v1/products/AGILE-24-10-01/electricity-tariffs/E-1R-AGILE-24-10-01-G/standard-unit-rates/</x:v>
      </x:c>
    </x:row>
    <x:row r="3724" ht="21" customHeight="1">
      <x:c r="A3724" s="24" t="n">
        <x:v>46226.083333333336</x:v>
      </x:c>
      <x:c r="B3724" s="6" t="n">
        <x:v>0.2186</x:v>
      </x:c>
      <x:c r="C3724" s="6" t="n">
        <x:v>0.12619999999999998</x:v>
      </x:c>
      <x:c r="D3724" s="6" t="n">
        <x:f>B3724</x:f>
        <x:v>0.2186</x:v>
      </x:c>
      <x:c r="E3724" s="1" t="n">
        <x:v>1.05</x:v>
      </x:c>
      <x:c r="F3724" s="1" t="str">
        <x:v>https://api.octopus.energy/v1/products/AGILE-24-10-01/electricity-tariffs/E-1R-AGILE-24-10-01-G/standard-unit-rates/</x:v>
      </x:c>
    </x:row>
    <x:row r="3725" ht="21" customHeight="1">
      <x:c r="A3725" s="24" t="n">
        <x:v>46226.104166666664</x:v>
      </x:c>
      <x:c r="B3725" s="6" t="n">
        <x:v>0.21789999999999998</x:v>
      </x:c>
      <x:c r="C3725" s="6" t="n">
        <x:v>0.1259</x:v>
      </x:c>
      <x:c r="D3725" s="6" t="n">
        <x:f>B3725</x:f>
        <x:v>0.21789999999999998</x:v>
      </x:c>
      <x:c r="E3725" s="1" t="n">
        <x:v>1.05</x:v>
      </x:c>
      <x:c r="F3725" s="1" t="str">
        <x:v>https://api.octopus.energy/v1/products/AGILE-24-10-01/electricity-tariffs/E-1R-AGILE-24-10-01-G/standard-unit-rates/</x:v>
      </x:c>
    </x:row>
    <x:row r="3726" ht="21" customHeight="1">
      <x:c r="A3726" s="24" t="n">
        <x:v>46226.125</x:v>
      </x:c>
      <x:c r="B3726" s="6" t="n">
        <x:v>0.21760000000000002</x:v>
      </x:c>
      <x:c r="C3726" s="6" t="n">
        <x:v>0.1257</x:v>
      </x:c>
      <x:c r="D3726" s="6" t="n">
        <x:f>B3726</x:f>
        <x:v>0.21760000000000002</x:v>
      </x:c>
      <x:c r="E3726" s="1" t="n">
        <x:v>1.05</x:v>
      </x:c>
      <x:c r="F3726" s="1" t="str">
        <x:v>https://api.octopus.energy/v1/products/AGILE-24-10-01/electricity-tariffs/E-1R-AGILE-24-10-01-G/standard-unit-rates/</x:v>
      </x:c>
    </x:row>
    <x:row r="3727" ht="21" customHeight="1">
      <x:c r="A3727" s="24" t="n">
        <x:v>46226.145833333336</x:v>
      </x:c>
      <x:c r="B3727" s="6" t="n">
        <x:v>0.215</x:v>
      </x:c>
      <x:c r="C3727" s="6" t="n">
        <x:v>0.1246</x:v>
      </x:c>
      <x:c r="D3727" s="6" t="n">
        <x:f>B3727</x:f>
        <x:v>0.215</x:v>
      </x:c>
      <x:c r="E3727" s="1" t="n">
        <x:v>1.05</x:v>
      </x:c>
      <x:c r="F3727" s="1" t="str">
        <x:v>https://api.octopus.energy/v1/products/AGILE-24-10-01/electricity-tariffs/E-1R-AGILE-24-10-01-G/standard-unit-rates/</x:v>
      </x:c>
    </x:row>
    <x:row r="3728" ht="21" customHeight="1">
      <x:c r="A3728" s="24" t="n">
        <x:v>46226.166666666664</x:v>
      </x:c>
      <x:c r="B3728" s="6" t="n">
        <x:v>0.2228</x:v>
      </x:c>
      <x:c r="C3728" s="6" t="n">
        <x:v>0.1281</x:v>
      </x:c>
      <x:c r="D3728" s="6" t="n">
        <x:f>B3728</x:f>
        <x:v>0.2228</x:v>
      </x:c>
      <x:c r="E3728" s="1" t="n">
        <x:v>1.05</x:v>
      </x:c>
      <x:c r="F3728" s="1" t="str">
        <x:v>https://api.octopus.energy/v1/products/AGILE-24-10-01/electricity-tariffs/E-1R-AGILE-24-10-01-G/standard-unit-rates/</x:v>
      </x:c>
    </x:row>
    <x:row r="3729" ht="21" customHeight="1">
      <x:c r="A3729" s="24" t="n">
        <x:v>46226.1875</x:v>
      </x:c>
      <x:c r="B3729" s="6" t="n">
        <x:v>0.2235</x:v>
      </x:c>
      <x:c r="C3729" s="6" t="n">
        <x:v>0.1284</x:v>
      </x:c>
      <x:c r="D3729" s="6" t="n">
        <x:f>B3729</x:f>
        <x:v>0.2235</x:v>
      </x:c>
      <x:c r="E3729" s="1" t="n">
        <x:v>1.05</x:v>
      </x:c>
      <x:c r="F3729" s="1" t="str">
        <x:v>https://api.octopus.energy/v1/products/AGILE-24-10-01/electricity-tariffs/E-1R-AGILE-24-10-01-G/standard-unit-rates/</x:v>
      </x:c>
    </x:row>
    <x:row r="3730" ht="21" customHeight="1">
      <x:c r="A3730" s="24" t="n">
        <x:v>46226.208333333336</x:v>
      </x:c>
      <x:c r="B3730" s="6" t="n">
        <x:v>0.2482</x:v>
      </x:c>
      <x:c r="C3730" s="6" t="n">
        <x:v>0.13970000000000002</x:v>
      </x:c>
      <x:c r="D3730" s="6" t="n">
        <x:f>B3730</x:f>
        <x:v>0.2482</x:v>
      </x:c>
      <x:c r="E3730" s="1" t="n">
        <x:v>1.05</x:v>
      </x:c>
      <x:c r="F3730" s="1" t="str">
        <x:v>https://api.octopus.energy/v1/products/AGILE-24-10-01/electricity-tariffs/E-1R-AGILE-24-10-01-G/standard-unit-rates/</x:v>
      </x:c>
    </x:row>
    <x:row r="3731" ht="21" customHeight="1">
      <x:c r="A3731" s="24" t="n">
        <x:v>46226.229166666664</x:v>
      </x:c>
      <x:c r="B3731" s="6" t="n">
        <x:v>0.253</x:v>
      </x:c>
      <x:c r="C3731" s="6" t="n">
        <x:v>0.1419</x:v>
      </x:c>
      <x:c r="D3731" s="6" t="n">
        <x:f>B3731</x:f>
        <x:v>0.253</x:v>
      </x:c>
      <x:c r="E3731" s="1" t="n">
        <x:v>1.05</x:v>
      </x:c>
      <x:c r="F3731" s="1" t="str">
        <x:v>https://api.octopus.energy/v1/products/AGILE-24-10-01/electricity-tariffs/E-1R-AGILE-24-10-01-G/standard-unit-rates/</x:v>
      </x:c>
    </x:row>
    <x:row r="3732" ht="21" customHeight="1">
      <x:c r="A3732" s="24" t="n">
        <x:v>46226.25</x:v>
      </x:c>
      <x:c r="B3732" s="6" t="n">
        <x:v>0.2608</x:v>
      </x:c>
      <x:c r="C3732" s="6" t="n">
        <x:v>0.14550000000000002</x:v>
      </x:c>
      <x:c r="D3732" s="6" t="n">
        <x:f>B3732</x:f>
        <x:v>0.2608</x:v>
      </x:c>
      <x:c r="E3732" s="1" t="n">
        <x:v>1.05</x:v>
      </x:c>
      <x:c r="F3732" s="1" t="str">
        <x:v>https://api.octopus.energy/v1/products/AGILE-24-10-01/electricity-tariffs/E-1R-AGILE-24-10-01-G/standard-unit-rates/</x:v>
      </x:c>
    </x:row>
    <x:row r="3733" ht="21" customHeight="1">
      <x:c r="A3733" s="24" t="n">
        <x:v>46226.270833333336</x:v>
      </x:c>
      <x:c r="B3733" s="6" t="n">
        <x:v>0.28550000000000003</x:v>
      </x:c>
      <x:c r="C3733" s="6" t="n">
        <x:v>0.1568</x:v>
      </x:c>
      <x:c r="D3733" s="6" t="n">
        <x:f>B3733</x:f>
        <x:v>0.28550000000000003</x:v>
      </x:c>
      <x:c r="E3733" s="1" t="n">
        <x:v>1.05</x:v>
      </x:c>
      <x:c r="F3733" s="1" t="str">
        <x:v>https://api.octopus.energy/v1/products/AGILE-24-10-01/electricity-tariffs/E-1R-AGILE-24-10-01-G/standard-unit-rates/</x:v>
      </x:c>
    </x:row>
    <x:row r="3734" ht="21" customHeight="1">
      <x:c r="A3734" s="24" t="n">
        <x:v>46226.291666666664</x:v>
      </x:c>
      <x:c r="B3734" s="6" t="n">
        <x:v>0.289</x:v>
      </x:c>
      <x:c r="C3734" s="6" t="n">
        <x:v>0.15839999999999999</x:v>
      </x:c>
      <x:c r="D3734" s="6" t="n">
        <x:f>B3734</x:f>
        <x:v>0.289</x:v>
      </x:c>
      <x:c r="E3734" s="1" t="n">
        <x:v>1.05</x:v>
      </x:c>
      <x:c r="F3734" s="1" t="str">
        <x:v>https://api.octopus.energy/v1/products/AGILE-24-10-01/electricity-tariffs/E-1R-AGILE-24-10-01-G/standard-unit-rates/</x:v>
      </x:c>
    </x:row>
    <x:row r="3735" ht="21" customHeight="1">
      <x:c r="A3735" s="24" t="n">
        <x:v>46226.3125</x:v>
      </x:c>
      <x:c r="B3735" s="6" t="n">
        <x:v>0.2948</x:v>
      </x:c>
      <x:c r="C3735" s="6" t="n">
        <x:v>0.161</x:v>
      </x:c>
      <x:c r="D3735" s="6" t="n">
        <x:f>B3735</x:f>
        <x:v>0.2948</x:v>
      </x:c>
      <x:c r="E3735" s="1" t="n">
        <x:v>1.05</x:v>
      </x:c>
      <x:c r="F3735" s="1" t="str">
        <x:v>https://api.octopus.energy/v1/products/AGILE-24-10-01/electricity-tariffs/E-1R-AGILE-24-10-01-G/standard-unit-rates/</x:v>
      </x:c>
    </x:row>
    <x:row r="3736" ht="21" customHeight="1">
      <x:c r="A3736" s="24" t="n">
        <x:v>46226.333333333336</x:v>
      </x:c>
      <x:c r="B3736" s="6" t="n">
        <x:v>0.2807</x:v>
      </x:c>
      <x:c r="C3736" s="6" t="n">
        <x:v>0.15460000000000002</x:v>
      </x:c>
      <x:c r="D3736" s="6" t="n">
        <x:f>B3736</x:f>
        <x:v>0.2807</x:v>
      </x:c>
      <x:c r="E3736" s="1" t="n">
        <x:v>1.05</x:v>
      </x:c>
      <x:c r="F3736" s="1" t="str">
        <x:v>https://api.octopus.energy/v1/products/AGILE-24-10-01/electricity-tariffs/E-1R-AGILE-24-10-01-G/standard-unit-rates/</x:v>
      </x:c>
    </x:row>
    <x:row r="3737" ht="21" customHeight="1">
      <x:c r="A3737" s="24" t="n">
        <x:v>46226.354166666664</x:v>
      </x:c>
      <x:c r="B3737" s="6" t="n">
        <x:v>0.2702</x:v>
      </x:c>
      <x:c r="C3737" s="6" t="n">
        <x:v>0.14980000000000002</x:v>
      </x:c>
      <x:c r="D3737" s="6" t="n">
        <x:f>B3737</x:f>
        <x:v>0.2702</x:v>
      </x:c>
      <x:c r="E3737" s="1" t="n">
        <x:v>1.05</x:v>
      </x:c>
      <x:c r="F3737" s="1" t="str">
        <x:v>https://api.octopus.energy/v1/products/AGILE-24-10-01/electricity-tariffs/E-1R-AGILE-24-10-01-G/standard-unit-rates/</x:v>
      </x:c>
    </x:row>
    <x:row r="3738" ht="21" customHeight="1">
      <x:c r="A3738" s="24" t="n">
        <x:v>46226.375</x:v>
      </x:c>
      <x:c r="B3738" s="6" t="n">
        <x:v>0.2807</x:v>
      </x:c>
      <x:c r="C3738" s="6" t="n">
        <x:v>0.15460000000000002</x:v>
      </x:c>
      <x:c r="D3738" s="6" t="n">
        <x:f>B3738</x:f>
        <x:v>0.2807</x:v>
      </x:c>
      <x:c r="E3738" s="1" t="n">
        <x:v>1.05</x:v>
      </x:c>
      <x:c r="F3738" s="1" t="str">
        <x:v>https://api.octopus.energy/v1/products/AGILE-24-10-01/electricity-tariffs/E-1R-AGILE-24-10-01-G/standard-unit-rates/</x:v>
      </x:c>
    </x:row>
    <x:row r="3739" ht="21" customHeight="1">
      <x:c r="A3739" s="24" t="n">
        <x:v>46226.395833333336</x:v>
      </x:c>
      <x:c r="B3739" s="6" t="n">
        <x:v>0.2648</x:v>
      </x:c>
      <x:c r="C3739" s="6" t="n">
        <x:v>0.14730000000000001</x:v>
      </x:c>
      <x:c r="D3739" s="6" t="n">
        <x:f>B3739</x:f>
        <x:v>0.2648</x:v>
      </x:c>
      <x:c r="E3739" s="1" t="n">
        <x:v>1.05</x:v>
      </x:c>
      <x:c r="F3739" s="1" t="str">
        <x:v>https://api.octopus.energy/v1/products/AGILE-24-10-01/electricity-tariffs/E-1R-AGILE-24-10-01-G/standard-unit-rates/</x:v>
      </x:c>
    </x:row>
    <x:row r="3740" ht="21" customHeight="1">
      <x:c r="A3740" s="24" t="n">
        <x:v>46226.416666666664</x:v>
      </x:c>
      <x:c r="B3740" s="6" t="n">
        <x:v>0.25429999999999997</x:v>
      </x:c>
      <x:c r="C3740" s="6" t="n">
        <x:v>0.1425</x:v>
      </x:c>
      <x:c r="D3740" s="6" t="n">
        <x:f>B3740</x:f>
        <x:v>0.25429999999999997</x:v>
      </x:c>
      <x:c r="E3740" s="1" t="n">
        <x:v>1.05</x:v>
      </x:c>
      <x:c r="F3740" s="1" t="str">
        <x:v>https://api.octopus.energy/v1/products/AGILE-24-10-01/electricity-tariffs/E-1R-AGILE-24-10-01-G/standard-unit-rates/</x:v>
      </x:c>
    </x:row>
    <x:row r="3741" ht="21" customHeight="1">
      <x:c r="A3741" s="24" t="n">
        <x:v>46226.4375</x:v>
      </x:c>
      <x:c r="B3741" s="6" t="n">
        <x:v>0.24</x:v>
      </x:c>
      <x:c r="C3741" s="6" t="n">
        <x:v>0.136</x:v>
      </x:c>
      <x:c r="D3741" s="6" t="n">
        <x:f>B3741</x:f>
        <x:v>0.24</x:v>
      </x:c>
      <x:c r="E3741" s="1" t="n">
        <x:v>1.05</x:v>
      </x:c>
      <x:c r="F3741" s="1" t="str">
        <x:v>https://api.octopus.energy/v1/products/AGILE-24-10-01/electricity-tariffs/E-1R-AGILE-24-10-01-G/standard-unit-rates/</x:v>
      </x:c>
    </x:row>
    <x:row r="3742" ht="21" customHeight="1">
      <x:c r="A3742" s="24" t="n">
        <x:v>46226.458333333336</x:v>
      </x:c>
      <x:c r="B3742" s="6" t="n">
        <x:v>0.2395</x:v>
      </x:c>
      <x:c r="C3742" s="6" t="n">
        <x:v>0.13570000000000002</x:v>
      </x:c>
      <x:c r="D3742" s="6" t="n">
        <x:f>B3742</x:f>
        <x:v>0.2395</x:v>
      </x:c>
      <x:c r="E3742" s="1" t="n">
        <x:v>1.05</x:v>
      </x:c>
      <x:c r="F3742" s="1" t="str">
        <x:v>https://api.octopus.energy/v1/products/AGILE-24-10-01/electricity-tariffs/E-1R-AGILE-24-10-01-G/standard-unit-rates/</x:v>
      </x:c>
    </x:row>
    <x:row r="3743" ht="21" customHeight="1">
      <x:c r="A3743" s="24" t="n">
        <x:v>46226.479166666664</x:v>
      </x:c>
      <x:c r="B3743" s="6" t="n">
        <x:v>0.23370000000000002</x:v>
      </x:c>
      <x:c r="C3743" s="6" t="n">
        <x:v>0.1331</x:v>
      </x:c>
      <x:c r="D3743" s="6" t="n">
        <x:f>B3743</x:f>
        <x:v>0.23370000000000002</x:v>
      </x:c>
      <x:c r="E3743" s="1" t="n">
        <x:v>1.05</x:v>
      </x:c>
      <x:c r="F3743" s="1" t="str">
        <x:v>https://api.octopus.energy/v1/products/AGILE-24-10-01/electricity-tariffs/E-1R-AGILE-24-10-01-G/standard-unit-rates/</x:v>
      </x:c>
    </x:row>
    <x:row r="3744" ht="21" customHeight="1">
      <x:c r="A3744" s="24" t="n">
        <x:v>46226.5</x:v>
      </x:c>
      <x:c r="B3744" s="6" t="n">
        <x:v>0.2375</x:v>
      </x:c>
      <x:c r="C3744" s="6" t="n">
        <x:v>0.1348</x:v>
      </x:c>
      <x:c r="D3744" s="6" t="n">
        <x:f>B3744</x:f>
        <x:v>0.2375</x:v>
      </x:c>
      <x:c r="E3744" s="1" t="n">
        <x:v>1.05</x:v>
      </x:c>
      <x:c r="F3744" s="1" t="str">
        <x:v>https://api.octopus.energy/v1/products/AGILE-24-10-01/electricity-tariffs/E-1R-AGILE-24-10-01-G/standard-unit-rates/</x:v>
      </x:c>
    </x:row>
    <x:row r="3745" ht="21" customHeight="1">
      <x:c r="A3745" s="24" t="n">
        <x:v>46226.520833333336</x:v>
      </x:c>
      <x:c r="B3745" s="6" t="n">
        <x:v>0.23329999999999998</x:v>
      </x:c>
      <x:c r="C3745" s="6" t="n">
        <x:v>0.1329</x:v>
      </x:c>
      <x:c r="D3745" s="6" t="n">
        <x:f>B3745</x:f>
        <x:v>0.23329999999999998</x:v>
      </x:c>
      <x:c r="E3745" s="1" t="n">
        <x:v>1.05</x:v>
      </x:c>
      <x:c r="F3745" s="1" t="str">
        <x:v>https://api.octopus.energy/v1/products/AGILE-24-10-01/electricity-tariffs/E-1R-AGILE-24-10-01-G/standard-unit-rates/</x:v>
      </x:c>
    </x:row>
    <x:row r="3746" ht="21" customHeight="1">
      <x:c r="A3746" s="24" t="n">
        <x:v>46226.541666666664</x:v>
      </x:c>
      <x:c r="B3746" s="6" t="n">
        <x:v>0.2309</x:v>
      </x:c>
      <x:c r="C3746" s="6" t="n">
        <x:v>0.1318</x:v>
      </x:c>
      <x:c r="D3746" s="6" t="n">
        <x:f>B3746</x:f>
        <x:v>0.2309</x:v>
      </x:c>
      <x:c r="E3746" s="1" t="n">
        <x:v>1.05</x:v>
      </x:c>
      <x:c r="F3746" s="1" t="str">
        <x:v>https://api.octopus.energy/v1/products/AGILE-24-10-01/electricity-tariffs/E-1R-AGILE-24-10-01-G/standard-unit-rates/</x:v>
      </x:c>
    </x:row>
    <x:row r="3747" ht="21" customHeight="1">
      <x:c r="A3747" s="24" t="n">
        <x:v>46226.5625</x:v>
      </x:c>
      <x:c r="B3747" s="6" t="n">
        <x:v>0.22460000000000002</x:v>
      </x:c>
      <x:c r="C3747" s="6" t="n">
        <x:v>0.12890000000000001</x:v>
      </x:c>
      <x:c r="D3747" s="6" t="n">
        <x:f>B3747</x:f>
        <x:v>0.22460000000000002</x:v>
      </x:c>
      <x:c r="E3747" s="1" t="n">
        <x:v>1.05</x:v>
      </x:c>
      <x:c r="F3747" s="1" t="str">
        <x:v>https://api.octopus.energy/v1/products/AGILE-24-10-01/electricity-tariffs/E-1R-AGILE-24-10-01-G/standard-unit-rates/</x:v>
      </x:c>
    </x:row>
    <x:row r="3748" ht="21" customHeight="1">
      <x:c r="A3748" s="24" t="n">
        <x:v>46226.583333333336</x:v>
      </x:c>
      <x:c r="B3748" s="6" t="n">
        <x:v>0.2228</x:v>
      </x:c>
      <x:c r="C3748" s="6" t="n">
        <x:v>0.1281</x:v>
      </x:c>
      <x:c r="D3748" s="6" t="n">
        <x:f>B3748</x:f>
        <x:v>0.2228</x:v>
      </x:c>
      <x:c r="E3748" s="1" t="n">
        <x:v>1.05</x:v>
      </x:c>
      <x:c r="F3748" s="1" t="str">
        <x:v>https://api.octopus.energy/v1/products/AGILE-24-10-01/electricity-tariffs/E-1R-AGILE-24-10-01-G/standard-unit-rates/</x:v>
      </x:c>
    </x:row>
    <x:row r="3749" ht="21" customHeight="1">
      <x:c r="A3749" s="24" t="n">
        <x:v>46226.604166666664</x:v>
      </x:c>
      <x:c r="B3749" s="6" t="n">
        <x:v>0.2228</x:v>
      </x:c>
      <x:c r="C3749" s="6" t="n">
        <x:v>0.1281</x:v>
      </x:c>
      <x:c r="D3749" s="6" t="n">
        <x:f>B3749</x:f>
        <x:v>0.2228</x:v>
      </x:c>
      <x:c r="E3749" s="1" t="n">
        <x:v>1.05</x:v>
      </x:c>
      <x:c r="F3749" s="1" t="str">
        <x:v>https://api.octopus.energy/v1/products/AGILE-24-10-01/electricity-tariffs/E-1R-AGILE-24-10-01-G/standard-unit-rates/</x:v>
      </x:c>
    </x:row>
    <x:row r="3750" ht="21" customHeight="1">
      <x:c r="A3750" s="24" t="n">
        <x:v>46226.625</x:v>
      </x:c>
      <x:c r="B3750" s="6" t="n">
        <x:v>0.2167</x:v>
      </x:c>
      <x:c r="C3750" s="6" t="n">
        <x:v>0.1253</x:v>
      </x:c>
      <x:c r="D3750" s="6" t="n">
        <x:f>B3750</x:f>
        <x:v>0.2167</x:v>
      </x:c>
      <x:c r="E3750" s="1" t="n">
        <x:v>1.05</x:v>
      </x:c>
      <x:c r="F3750" s="1" t="str">
        <x:v>https://api.octopus.energy/v1/products/AGILE-24-10-01/electricity-tariffs/E-1R-AGILE-24-10-01-G/standard-unit-rates/</x:v>
      </x:c>
    </x:row>
    <x:row r="3751" ht="21" customHeight="1">
      <x:c r="A3751" s="24" t="n">
        <x:v>46226.645833333336</x:v>
      </x:c>
      <x:c r="B3751" s="6" t="n">
        <x:v>0.2241</x:v>
      </x:c>
      <x:c r="C3751" s="6" t="n">
        <x:v>0.12869999999999998</x:v>
      </x:c>
      <x:c r="D3751" s="6" t="n">
        <x:f>B3751</x:f>
        <x:v>0.2241</x:v>
      </x:c>
      <x:c r="E3751" s="1" t="n">
        <x:v>1.05</x:v>
      </x:c>
      <x:c r="F3751" s="1" t="str">
        <x:v>https://api.octopus.energy/v1/products/AGILE-24-10-01/electricity-tariffs/E-1R-AGILE-24-10-01-G/standard-unit-rates/</x:v>
      </x:c>
    </x:row>
    <x:row r="3752" ht="21" customHeight="1">
      <x:c r="A3752" s="24" t="n">
        <x:v>46226.666666666664</x:v>
      </x:c>
      <x:c r="B3752" s="6" t="n">
        <x:v>0.34020000000000006</x:v>
      </x:c>
      <x:c r="C3752" s="6" t="n">
        <x:v>0.1858</x:v>
      </x:c>
      <x:c r="D3752" s="6" t="n">
        <x:f>B3752</x:f>
        <x:v>0.34020000000000006</x:v>
      </x:c>
      <x:c r="E3752" s="1" t="n">
        <x:v>1.05</x:v>
      </x:c>
      <x:c r="F3752" s="1" t="str">
        <x:v>https://api.octopus.energy/v1/products/AGILE-24-10-01/electricity-tariffs/E-1R-AGILE-24-10-01-G/standard-unit-rates/</x:v>
      </x:c>
    </x:row>
    <x:row r="3753" ht="21" customHeight="1">
      <x:c r="A3753" s="24" t="n">
        <x:v>46226.6875</x:v>
      </x:c>
      <x:c r="B3753" s="6" t="n">
        <x:v>0.3444</x:v>
      </x:c>
      <x:c r="C3753" s="6" t="n">
        <x:v>0.18780000000000002</x:v>
      </x:c>
      <x:c r="D3753" s="6" t="n">
        <x:f>B3753</x:f>
        <x:v>0.3444</x:v>
      </x:c>
      <x:c r="E3753" s="1" t="n">
        <x:v>1.05</x:v>
      </x:c>
      <x:c r="F3753" s="1" t="str">
        <x:v>https://api.octopus.energy/v1/products/AGILE-24-10-01/electricity-tariffs/E-1R-AGILE-24-10-01-G/standard-unit-rates/</x:v>
      </x:c>
    </x:row>
    <x:row r="3754" ht="21" customHeight="1">
      <x:c r="A3754" s="24" t="n">
        <x:v>46226.708333333336</x:v>
      </x:c>
      <x:c r="B3754" s="6" t="n">
        <x:v>0.3577</x:v>
      </x:c>
      <x:c r="C3754" s="6" t="n">
        <x:v>0.1938</x:v>
      </x:c>
      <x:c r="D3754" s="6" t="n">
        <x:f>B3754</x:f>
        <x:v>0.3577</x:v>
      </x:c>
      <x:c r="E3754" s="1" t="n">
        <x:v>1.05</x:v>
      </x:c>
      <x:c r="F3754" s="1" t="str">
        <x:v>https://api.octopus.energy/v1/products/AGILE-24-10-01/electricity-tariffs/E-1R-AGILE-24-10-01-G/standard-unit-rates/</x:v>
      </x:c>
    </x:row>
    <x:row r="3755" ht="21" customHeight="1">
      <x:c r="A3755" s="24" t="n">
        <x:v>46226.729166666664</x:v>
      </x:c>
      <x:c r="B3755" s="6" t="n">
        <x:v>0.37579999999999997</x:v>
      </x:c>
      <x:c r="C3755" s="6" t="n">
        <x:v>0.2021</x:v>
      </x:c>
      <x:c r="D3755" s="6" t="n">
        <x:f>B3755</x:f>
        <x:v>0.37579999999999997</x:v>
      </x:c>
      <x:c r="E3755" s="1" t="n">
        <x:v>1.05</x:v>
      </x:c>
      <x:c r="F3755" s="1" t="str">
        <x:v>https://api.octopus.energy/v1/products/AGILE-24-10-01/electricity-tariffs/E-1R-AGILE-24-10-01-G/standard-unit-rates/</x:v>
      </x:c>
    </x:row>
    <x:row r="3756" ht="21" customHeight="1">
      <x:c r="A3756" s="24" t="n">
        <x:v>46226.75</x:v>
      </x:c>
      <x:c r="B3756" s="6" t="n">
        <x:v>0.4054</x:v>
      </x:c>
      <x:c r="C3756" s="6" t="n">
        <x:v>0.21559999999999999</x:v>
      </x:c>
      <x:c r="D3756" s="6" t="n">
        <x:f>B3756</x:f>
        <x:v>0.4054</x:v>
      </x:c>
      <x:c r="E3756" s="1" t="n">
        <x:v>1.05</x:v>
      </x:c>
      <x:c r="F3756" s="1" t="str">
        <x:v>https://api.octopus.energy/v1/products/AGILE-24-10-01/electricity-tariffs/E-1R-AGILE-24-10-01-G/standard-unit-rates/</x:v>
      </x:c>
    </x:row>
    <x:row r="3757" ht="21" customHeight="1">
      <x:c r="A3757" s="24" t="n">
        <x:v>46226.770833333336</x:v>
      </x:c>
      <x:c r="B3757" s="6" t="n">
        <x:v>0.4226</x:v>
      </x:c>
      <x:c r="C3757" s="6" t="n">
        <x:v>0.2235</x:v>
      </x:c>
      <x:c r="D3757" s="6" t="n">
        <x:f>B3757</x:f>
        <x:v>0.4226</x:v>
      </x:c>
      <x:c r="E3757" s="1" t="n">
        <x:v>1.05</x:v>
      </x:c>
      <x:c r="F3757" s="1" t="str">
        <x:v>https://api.octopus.energy/v1/products/AGILE-24-10-01/electricity-tariffs/E-1R-AGILE-24-10-01-G/standard-unit-rates/</x:v>
      </x:c>
    </x:row>
    <x:row r="3758" ht="21" customHeight="1">
      <x:c r="A3758" s="24" t="n">
        <x:v>46226.791666666664</x:v>
      </x:c>
      <x:c r="B3758" s="6" t="n">
        <x:v>0.3152</x:v>
      </x:c>
      <x:c r="C3758" s="6" t="n">
        <x:v>0.1704</x:v>
      </x:c>
      <x:c r="D3758" s="6" t="n">
        <x:f>B3758</x:f>
        <x:v>0.3152</x:v>
      </x:c>
      <x:c r="E3758" s="1" t="n">
        <x:v>1.05</x:v>
      </x:c>
      <x:c r="F3758" s="1" t="str">
        <x:v>https://api.octopus.energy/v1/products/AGILE-24-10-01/electricity-tariffs/E-1R-AGILE-24-10-01-G/standard-unit-rates/</x:v>
      </x:c>
    </x:row>
    <x:row r="3759" ht="21" customHeight="1">
      <x:c r="A3759" s="24" t="n">
        <x:v>46226.8125</x:v>
      </x:c>
      <x:c r="B3759" s="6" t="n">
        <x:v>0.3173</x:v>
      </x:c>
      <x:c r="C3759" s="6" t="n">
        <x:v>0.17129999999999998</x:v>
      </x:c>
      <x:c r="D3759" s="6" t="n">
        <x:f>B3759</x:f>
        <x:v>0.3173</x:v>
      </x:c>
      <x:c r="E3759" s="1" t="n">
        <x:v>1.05</x:v>
      </x:c>
      <x:c r="F3759" s="1" t="str">
        <x:v>https://api.octopus.energy/v1/products/AGILE-24-10-01/electricity-tariffs/E-1R-AGILE-24-10-01-G/standard-unit-rates/</x:v>
      </x:c>
    </x:row>
    <x:row r="3760" ht="21" customHeight="1">
      <x:c r="A3760" s="24" t="n">
        <x:v>46226.833333333336</x:v>
      </x:c>
      <x:c r="B3760" s="6" t="n">
        <x:v>0.3186</x:v>
      </x:c>
      <x:c r="C3760" s="6" t="n">
        <x:v>0.17190000000000003</x:v>
      </x:c>
      <x:c r="D3760" s="6" t="n">
        <x:f>B3760</x:f>
        <x:v>0.3186</x:v>
      </x:c>
      <x:c r="E3760" s="1" t="n">
        <x:v>1.05</x:v>
      </x:c>
      <x:c r="F3760" s="1" t="str">
        <x:v>https://api.octopus.energy/v1/products/AGILE-24-10-01/electricity-tariffs/E-1R-AGILE-24-10-01-G/standard-unit-rates/</x:v>
      </x:c>
    </x:row>
    <x:row r="3761" ht="21" customHeight="1">
      <x:c r="A3761" s="24" t="n">
        <x:v>46226.854166666664</x:v>
      </x:c>
      <x:c r="B3761" s="6" t="n">
        <x:v>0.3225</x:v>
      </x:c>
      <x:c r="C3761" s="6" t="n">
        <x:v>0.17370000000000002</x:v>
      </x:c>
      <x:c r="D3761" s="6" t="n">
        <x:f>B3761</x:f>
        <x:v>0.3225</x:v>
      </x:c>
      <x:c r="E3761" s="1" t="n">
        <x:v>1.05</x:v>
      </x:c>
      <x:c r="F3761" s="1" t="str">
        <x:v>https://api.octopus.energy/v1/products/AGILE-24-10-01/electricity-tariffs/E-1R-AGILE-24-10-01-G/standard-unit-rates/</x:v>
      </x:c>
    </x:row>
    <x:row r="3762" ht="21" customHeight="1">
      <x:c r="A3762" s="24" t="n">
        <x:v>46226.875</x:v>
      </x:c>
      <x:c r="B3762" s="6" t="n">
        <x:v>0.3259</x:v>
      </x:c>
      <x:c r="C3762" s="6" t="n">
        <x:v>0.1753</x:v>
      </x:c>
      <x:c r="D3762" s="6" t="n">
        <x:f>B3762</x:f>
        <x:v>0.3259</x:v>
      </x:c>
      <x:c r="E3762" s="1" t="n">
        <x:v>1.05</x:v>
      </x:c>
      <x:c r="F3762" s="1" t="str">
        <x:v>https://api.octopus.energy/v1/products/AGILE-24-10-01/electricity-tariffs/E-1R-AGILE-24-10-01-G/standard-unit-rates/</x:v>
      </x:c>
    </x:row>
    <x:row r="3763" ht="21" customHeight="1">
      <x:c r="A3763" s="24" t="n">
        <x:v>46226.895833333336</x:v>
      </x:c>
      <x:c r="B3763" s="6" t="n">
        <x:v>0.31739999999999996</x:v>
      </x:c>
      <x:c r="C3763" s="6" t="n">
        <x:v>0.1714</x:v>
      </x:c>
      <x:c r="D3763" s="6" t="n">
        <x:f>B3763</x:f>
        <x:v>0.31739999999999996</x:v>
      </x:c>
      <x:c r="E3763" s="1" t="n">
        <x:v>1.05</x:v>
      </x:c>
      <x:c r="F3763" s="1" t="str">
        <x:v>https://api.octopus.energy/v1/products/AGILE-24-10-01/electricity-tariffs/E-1R-AGILE-24-10-01-G/standard-unit-rates/</x:v>
      </x:c>
    </x:row>
    <x:row r="3764" ht="21" customHeight="1">
      <x:c r="A3764" s="24" t="n">
        <x:v>46226.916666666664</x:v>
      </x:c>
      <x:c r="B3764" s="6" t="n">
        <x:v>0.3017</x:v>
      </x:c>
      <x:c r="C3764" s="6" t="n">
        <x:v>0.1642</x:v>
      </x:c>
      <x:c r="D3764" s="6" t="n">
        <x:f>B3764</x:f>
        <x:v>0.3017</x:v>
      </x:c>
      <x:c r="E3764" s="1" t="n">
        <x:v>1.05</x:v>
      </x:c>
      <x:c r="F3764" s="1" t="str">
        <x:v>https://api.octopus.energy/v1/products/AGILE-24-10-01/electricity-tariffs/E-1R-AGILE-24-10-01-G/standard-unit-rates/</x:v>
      </x:c>
    </x:row>
    <x:row r="3765" ht="21" customHeight="1">
      <x:c r="A3765" s="24" t="n">
        <x:v>46226.9375</x:v>
      </x:c>
      <x:c r="B3765" s="6" t="n">
        <x:v>0.27949999999999997</x:v>
      </x:c>
      <x:c r="C3765" s="6" t="n">
        <x:v>0.154</x:v>
      </x:c>
      <x:c r="D3765" s="6" t="n">
        <x:f>B3765</x:f>
        <x:v>0.27949999999999997</x:v>
      </x:c>
      <x:c r="E3765" s="1" t="n">
        <x:v>1.05</x:v>
      </x:c>
      <x:c r="F3765" s="1" t="str">
        <x:v>https://api.octopus.energy/v1/products/AGILE-24-10-01/electricity-tariffs/E-1R-AGILE-24-10-01-G/standard-unit-rates/</x:v>
      </x:c>
    </x:row>
    <x:row r="3766" ht="21" customHeight="1">
      <x:c r="A3766" s="24" t="n">
        <x:v>46227</x:v>
      </x:c>
      <x:c r="B3766" s="6" t="n">
        <x:v>0.2811</x:v>
      </x:c>
      <x:c r="C3766" s="6" t="n">
        <x:v>0.1548</x:v>
      </x:c>
      <x:c r="D3766" s="6" t="n">
        <x:f>B3766</x:f>
        <x:v>0.2811</x:v>
      </x:c>
      <x:c r="E3766" s="1" t="n">
        <x:v>1.05</x:v>
      </x:c>
      <x:c r="F3766" s="1" t="str">
        <x:v>https://api.octopus.energy/v1/products/AGILE-24-10-01/electricity-tariffs/E-1R-AGILE-24-10-01-G/standard-unit-rates/</x:v>
      </x:c>
    </x:row>
    <x:row r="3767" ht="21" customHeight="1">
      <x:c r="A3767" s="24" t="n">
        <x:v>46226.979166666664</x:v>
      </x:c>
      <x:c r="B3767" s="6" t="n">
        <x:v>0.2648</x:v>
      </x:c>
      <x:c r="C3767" s="6" t="n">
        <x:v>0.14730000000000001</x:v>
      </x:c>
      <x:c r="D3767" s="6" t="n">
        <x:f>B3767</x:f>
        <x:v>0.2648</x:v>
      </x:c>
      <x:c r="E3767" s="1" t="n">
        <x:v>1.05</x:v>
      </x:c>
      <x:c r="F3767" s="1" t="str">
        <x:v>https://api.octopus.energy/v1/products/AGILE-24-10-01/electricity-tariffs/E-1R-AGILE-24-10-01-G/standard-unit-rates/</x:v>
      </x:c>
    </x:row>
    <x:row r="3768" ht="21" customHeight="1">
      <x:c r="A3768" s="24" t="n">
        <x:v>46227</x:v>
      </x:c>
      <x:c r="B3768" s="6" t="n">
        <x:v>0.2564</x:v>
      </x:c>
      <x:c r="C3768" s="6" t="n">
        <x:v>0.1435</x:v>
      </x:c>
      <x:c r="D3768" s="6" t="n">
        <x:f>B3768</x:f>
        <x:v>0.2564</x:v>
      </x:c>
      <x:c r="E3768" s="1" t="n">
        <x:v>1.05</x:v>
      </x:c>
      <x:c r="F3768" s="1" t="str">
        <x:v>https://api.octopus.energy/v1/products/AGILE-24-10-01/electricity-tariffs/E-1R-AGILE-24-10-01-G/standard-unit-rates/</x:v>
      </x:c>
    </x:row>
    <x:row r="3769" ht="21" customHeight="1">
      <x:c r="A3769" s="24" t="n">
        <x:v>46227.020833333336</x:v>
      </x:c>
      <x:c r="B3769" s="6" t="n">
        <x:v>0.2507</x:v>
      </x:c>
      <x:c r="C3769" s="6" t="n">
        <x:v>0.1409</x:v>
      </x:c>
      <x:c r="D3769" s="6" t="n">
        <x:f>B3769</x:f>
        <x:v>0.2507</x:v>
      </x:c>
      <x:c r="E3769" s="1" t="n">
        <x:v>1.05</x:v>
      </x:c>
      <x:c r="F3769" s="1" t="str">
        <x:v>https://api.octopus.energy/v1/products/AGILE-24-10-01/electricity-tariffs/E-1R-AGILE-24-10-01-G/standard-unit-rates/</x:v>
      </x:c>
    </x:row>
    <x:row r="3770" ht="21" customHeight="1">
      <x:c r="A3770" s="24" t="n">
        <x:v>46227.041666666664</x:v>
      </x:c>
      <x:c r="B3770" s="6" t="n">
        <x:v>0.2415</x:v>
      </x:c>
      <x:c r="C3770" s="6" t="n">
        <x:v>0.1367</x:v>
      </x:c>
      <x:c r="D3770" s="6" t="n">
        <x:f>B3770</x:f>
        <x:v>0.2415</x:v>
      </x:c>
      <x:c r="E3770" s="1" t="n">
        <x:v>1.05</x:v>
      </x:c>
      <x:c r="F3770" s="1" t="str">
        <x:v>https://api.octopus.energy/v1/products/AGILE-24-10-01/electricity-tariffs/E-1R-AGILE-24-10-01-G/standard-unit-rates/</x:v>
      </x:c>
    </x:row>
    <x:row r="3771" ht="21" customHeight="1">
      <x:c r="A3771" s="24" t="n">
        <x:v>46227.0625</x:v>
      </x:c>
      <x:c r="B3771" s="6" t="n">
        <x:v>0.2322</x:v>
      </x:c>
      <x:c r="C3771" s="6" t="n">
        <x:v>0.1324</x:v>
      </x:c>
      <x:c r="D3771" s="6" t="n">
        <x:f>B3771</x:f>
        <x:v>0.2322</x:v>
      </x:c>
      <x:c r="E3771" s="1" t="n">
        <x:v>1.05</x:v>
      </x:c>
      <x:c r="F3771" s="1" t="str">
        <x:v>https://api.octopus.energy/v1/products/AGILE-24-10-01/electricity-tariffs/E-1R-AGILE-24-10-01-G/standard-unit-rates/</x:v>
      </x:c>
    </x:row>
    <x:row r="3772" ht="21" customHeight="1">
      <x:c r="A3772" s="24" t="n">
        <x:v>46227.083333333336</x:v>
      </x:c>
      <x:c r="B3772" s="6" t="n">
        <x:v>0.24170000000000003</x:v>
      </x:c>
      <x:c r="C3772" s="6" t="n">
        <x:v>0.1367</x:v>
      </x:c>
      <x:c r="D3772" s="6" t="n">
        <x:f>B3772</x:f>
        <x:v>0.24170000000000003</x:v>
      </x:c>
      <x:c r="E3772" s="1" t="n">
        <x:v>1.05</x:v>
      </x:c>
      <x:c r="F3772" s="1" t="str">
        <x:v>https://api.octopus.energy/v1/products/AGILE-24-10-01/electricity-tariffs/E-1R-AGILE-24-10-01-G/standard-unit-rates/</x:v>
      </x:c>
    </x:row>
    <x:row r="3773" ht="21" customHeight="1">
      <x:c r="A3773" s="24" t="n">
        <x:v>46227.104166666664</x:v>
      </x:c>
      <x:c r="B3773" s="6" t="n">
        <x:v>0.2324</x:v>
      </x:c>
      <x:c r="C3773" s="6" t="n">
        <x:v>0.1325</x:v>
      </x:c>
      <x:c r="D3773" s="6" t="n">
        <x:f>B3773</x:f>
        <x:v>0.2324</x:v>
      </x:c>
      <x:c r="E3773" s="1" t="n">
        <x:v>1.05</x:v>
      </x:c>
      <x:c r="F3773" s="1" t="str">
        <x:v>https://api.octopus.energy/v1/products/AGILE-24-10-01/electricity-tariffs/E-1R-AGILE-24-10-01-G/standard-unit-rates/</x:v>
      </x:c>
    </x:row>
    <x:row r="3774" ht="21" customHeight="1">
      <x:c r="A3774" s="24" t="n">
        <x:v>46227.125</x:v>
      </x:c>
      <x:c r="B3774" s="6" t="n">
        <x:v>0.22519999999999998</x:v>
      </x:c>
      <x:c r="C3774" s="6" t="n">
        <x:v>0.1292</x:v>
      </x:c>
      <x:c r="D3774" s="6" t="n">
        <x:f>B3774</x:f>
        <x:v>0.22519999999999998</x:v>
      </x:c>
      <x:c r="E3774" s="1" t="n">
        <x:v>1.05</x:v>
      </x:c>
      <x:c r="F3774" s="1" t="str">
        <x:v>https://api.octopus.energy/v1/products/AGILE-24-10-01/electricity-tariffs/E-1R-AGILE-24-10-01-G/standard-unit-rates/</x:v>
      </x:c>
    </x:row>
    <x:row r="3775" ht="21" customHeight="1">
      <x:c r="A3775" s="24" t="n">
        <x:v>46227.145833333336</x:v>
      </x:c>
      <x:c r="B3775" s="6" t="n">
        <x:v>0.2248</x:v>
      </x:c>
      <x:c r="C3775" s="6" t="n">
        <x:v>0.129</x:v>
      </x:c>
      <x:c r="D3775" s="6" t="n">
        <x:f>B3775</x:f>
        <x:v>0.2248</x:v>
      </x:c>
      <x:c r="E3775" s="1" t="n">
        <x:v>1.05</x:v>
      </x:c>
      <x:c r="F3775" s="1" t="str">
        <x:v>https://api.octopus.energy/v1/products/AGILE-24-10-01/electricity-tariffs/E-1R-AGILE-24-10-01-G/standard-unit-rates/</x:v>
      </x:c>
    </x:row>
    <x:row r="3776" ht="21" customHeight="1">
      <x:c r="A3776" s="24" t="n">
        <x:v>46227.166666666664</x:v>
      </x:c>
      <x:c r="B3776" s="6" t="n">
        <x:v>0.2494</x:v>
      </x:c>
      <x:c r="C3776" s="6" t="n">
        <x:v>0.14029999999999998</x:v>
      </x:c>
      <x:c r="D3776" s="6" t="n">
        <x:f>B3776</x:f>
        <x:v>0.2494</x:v>
      </x:c>
      <x:c r="E3776" s="1" t="n">
        <x:v>1.05</x:v>
      </x:c>
      <x:c r="F3776" s="1" t="str">
        <x:v>https://api.octopus.energy/v1/products/AGILE-24-10-01/electricity-tariffs/E-1R-AGILE-24-10-01-G/standard-unit-rates/</x:v>
      </x:c>
    </x:row>
    <x:row r="3777" ht="21" customHeight="1">
      <x:c r="A3777" s="24" t="n">
        <x:v>46227.1875</x:v>
      </x:c>
      <x:c r="B3777" s="6" t="n">
        <x:v>0.247</x:v>
      </x:c>
      <x:c r="C3777" s="6" t="n">
        <x:v>0.1392</x:v>
      </x:c>
      <x:c r="D3777" s="6" t="n">
        <x:f>B3777</x:f>
        <x:v>0.247</x:v>
      </x:c>
      <x:c r="E3777" s="1" t="n">
        <x:v>1.05</x:v>
      </x:c>
      <x:c r="F3777" s="1" t="str">
        <x:v>https://api.octopus.energy/v1/products/AGILE-24-10-01/electricity-tariffs/E-1R-AGILE-24-10-01-G/standard-unit-rates/</x:v>
      </x:c>
    </x:row>
    <x:row r="3778" ht="21" customHeight="1">
      <x:c r="A3778" s="24" t="n">
        <x:v>46227.208333333336</x:v>
      </x:c>
      <x:c r="B3778" s="6" t="n">
        <x:v>0.2781</x:v>
      </x:c>
      <x:c r="C3778" s="6" t="n">
        <x:v>0.1534</x:v>
      </x:c>
      <x:c r="D3778" s="6" t="n">
        <x:f>B3778</x:f>
        <x:v>0.2781</x:v>
      </x:c>
      <x:c r="E3778" s="1" t="n">
        <x:v>1.05</x:v>
      </x:c>
      <x:c r="F3778" s="1" t="str">
        <x:v>https://api.octopus.energy/v1/products/AGILE-24-10-01/electricity-tariffs/E-1R-AGILE-24-10-01-G/standard-unit-rates/</x:v>
      </x:c>
    </x:row>
    <x:row r="3779" ht="21" customHeight="1">
      <x:c r="A3779" s="24" t="n">
        <x:v>46227.229166666664</x:v>
      </x:c>
      <x:c r="B3779" s="6" t="n">
        <x:v>0.26940000000000003</x:v>
      </x:c>
      <x:c r="C3779" s="6" t="n">
        <x:v>0.1494</x:v>
      </x:c>
      <x:c r="D3779" s="6" t="n">
        <x:f>B3779</x:f>
        <x:v>0.26940000000000003</x:v>
      </x:c>
      <x:c r="E3779" s="1" t="n">
        <x:v>1.05</x:v>
      </x:c>
      <x:c r="F3779" s="1" t="str">
        <x:v>https://api.octopus.energy/v1/products/AGILE-24-10-01/electricity-tariffs/E-1R-AGILE-24-10-01-G/standard-unit-rates/</x:v>
      </x:c>
    </x:row>
    <x:row r="3780" ht="21" customHeight="1">
      <x:c r="A3780" s="24" t="n">
        <x:v>46227.25</x:v>
      </x:c>
      <x:c r="B3780" s="6" t="n">
        <x:v>0.2646</x:v>
      </x:c>
      <x:c r="C3780" s="6" t="n">
        <x:v>0.1472</x:v>
      </x:c>
      <x:c r="D3780" s="6" t="n">
        <x:f>B3780</x:f>
        <x:v>0.2646</x:v>
      </x:c>
      <x:c r="E3780" s="1" t="n">
        <x:v>1.05</x:v>
      </x:c>
      <x:c r="F3780" s="1" t="str">
        <x:v>https://api.octopus.energy/v1/products/AGILE-24-10-01/electricity-tariffs/E-1R-AGILE-24-10-01-G/standard-unit-rates/</x:v>
      </x:c>
    </x:row>
    <x:row r="3781" ht="21" customHeight="1">
      <x:c r="A3781" s="24" t="n">
        <x:v>46227.270833333336</x:v>
      </x:c>
      <x:c r="B3781" s="6" t="n">
        <x:v>0.2718</x:v>
      </x:c>
      <x:c r="C3781" s="6" t="n">
        <x:v>0.1505</x:v>
      </x:c>
      <x:c r="D3781" s="6" t="n">
        <x:f>B3781</x:f>
        <x:v>0.2718</x:v>
      </x:c>
      <x:c r="E3781" s="1" t="n">
        <x:v>1.05</x:v>
      </x:c>
      <x:c r="F3781" s="1" t="str">
        <x:v>https://api.octopus.energy/v1/products/AGILE-24-10-01/electricity-tariffs/E-1R-AGILE-24-10-01-G/standard-unit-rates/</x:v>
      </x:c>
    </x:row>
    <x:row r="3782" ht="21" customHeight="1">
      <x:c r="A3782" s="24" t="n">
        <x:v>46227.291666666664</x:v>
      </x:c>
      <x:c r="B3782" s="6" t="n">
        <x:v>0.2522</x:v>
      </x:c>
      <x:c r="C3782" s="6" t="n">
        <x:v>0.1416</x:v>
      </x:c>
      <x:c r="D3782" s="6" t="n">
        <x:f>B3782</x:f>
        <x:v>0.2522</x:v>
      </x:c>
      <x:c r="E3782" s="1" t="n">
        <x:v>1.05</x:v>
      </x:c>
      <x:c r="F3782" s="1" t="str">
        <x:v>https://api.octopus.energy/v1/products/AGILE-24-10-01/electricity-tariffs/E-1R-AGILE-24-10-01-G/standard-unit-rates/</x:v>
      </x:c>
    </x:row>
    <x:row r="3783" ht="21" customHeight="1">
      <x:c r="A3783" s="24" t="n">
        <x:v>46227.3125</x:v>
      </x:c>
      <x:c r="B3783" s="6" t="n">
        <x:v>0.2522</x:v>
      </x:c>
      <x:c r="C3783" s="6" t="n">
        <x:v>0.1416</x:v>
      </x:c>
      <x:c r="D3783" s="6" t="n">
        <x:f>B3783</x:f>
        <x:v>0.2522</x:v>
      </x:c>
      <x:c r="E3783" s="1" t="n">
        <x:v>1.05</x:v>
      </x:c>
      <x:c r="F3783" s="1" t="str">
        <x:v>https://api.octopus.energy/v1/products/AGILE-24-10-01/electricity-tariffs/E-1R-AGILE-24-10-01-G/standard-unit-rates/</x:v>
      </x:c>
    </x:row>
    <x:row r="3784" ht="21" customHeight="1">
      <x:c r="A3784" s="24" t="n">
        <x:v>46227.333333333336</x:v>
      </x:c>
      <x:c r="B3784" s="6" t="n">
        <x:v>0.2138</x:v>
      </x:c>
      <x:c r="C3784" s="6" t="n">
        <x:v>0.124</x:v>
      </x:c>
      <x:c r="D3784" s="6" t="n">
        <x:f>B3784</x:f>
        <x:v>0.2138</x:v>
      </x:c>
      <x:c r="E3784" s="1" t="n">
        <x:v>1.05</x:v>
      </x:c>
      <x:c r="F3784" s="1" t="str">
        <x:v>https://api.octopus.energy/v1/products/AGILE-24-10-01/electricity-tariffs/E-1R-AGILE-24-10-01-G/standard-unit-rates/</x:v>
      </x:c>
    </x:row>
    <x:row r="3785" ht="21" customHeight="1">
      <x:c r="A3785" s="24" t="n">
        <x:v>46227.354166666664</x:v>
      </x:c>
      <x:c r="B3785" s="6" t="n">
        <x:v>0.2065</x:v>
      </x:c>
      <x:c r="C3785" s="6" t="n">
        <x:v>0.1207</x:v>
      </x:c>
      <x:c r="D3785" s="6" t="n">
        <x:f>B3785</x:f>
        <x:v>0.2065</x:v>
      </x:c>
      <x:c r="E3785" s="1" t="n">
        <x:v>1.05</x:v>
      </x:c>
      <x:c r="F3785" s="1" t="str">
        <x:v>https://api.octopus.energy/v1/products/AGILE-24-10-01/electricity-tariffs/E-1R-AGILE-24-10-01-G/standard-unit-rates/</x:v>
      </x:c>
    </x:row>
    <x:row r="3786" ht="21" customHeight="1">
      <x:c r="A3786" s="24" t="n">
        <x:v>46227.375</x:v>
      </x:c>
      <x:c r="B3786" s="6" t="n">
        <x:v>0.2212</x:v>
      </x:c>
      <x:c r="C3786" s="6" t="n">
        <x:v>0.1274</x:v>
      </x:c>
      <x:c r="D3786" s="6" t="n">
        <x:f>B3786</x:f>
        <x:v>0.2212</x:v>
      </x:c>
      <x:c r="E3786" s="1" t="n">
        <x:v>1.05</x:v>
      </x:c>
      <x:c r="F3786" s="1" t="str">
        <x:v>https://api.octopus.energy/v1/products/AGILE-24-10-01/electricity-tariffs/E-1R-AGILE-24-10-01-G/standard-unit-rates/</x:v>
      </x:c>
    </x:row>
    <x:row r="3787" ht="21" customHeight="1">
      <x:c r="A3787" s="24" t="n">
        <x:v>46227.395833333336</x:v>
      </x:c>
      <x:c r="B3787" s="6" t="n">
        <x:v>0.2207</x:v>
      </x:c>
      <x:c r="C3787" s="6" t="n">
        <x:v>0.1272</x:v>
      </x:c>
      <x:c r="D3787" s="6" t="n">
        <x:f>B3787</x:f>
        <x:v>0.2207</x:v>
      </x:c>
      <x:c r="E3787" s="1" t="n">
        <x:v>1.05</x:v>
      </x:c>
      <x:c r="F3787" s="1" t="str">
        <x:v>https://api.octopus.energy/v1/products/AGILE-24-10-01/electricity-tariffs/E-1R-AGILE-24-10-01-G/standard-unit-rates/</x:v>
      </x:c>
    </x:row>
    <x:row r="3788" ht="21" customHeight="1">
      <x:c r="A3788" s="24" t="n">
        <x:v>46227.416666666664</x:v>
      </x:c>
      <x:c r="B3788" s="6" t="n">
        <x:v>0.1564</x:v>
      </x:c>
      <x:c r="C3788" s="6" t="n">
        <x:v>0.0978</x:v>
      </x:c>
      <x:c r="D3788" s="6" t="n">
        <x:f>B3788</x:f>
        <x:v>0.1564</x:v>
      </x:c>
      <x:c r="E3788" s="1" t="n">
        <x:v>1.05</x:v>
      </x:c>
      <x:c r="F3788" s="1" t="str">
        <x:v>https://api.octopus.energy/v1/products/AGILE-24-10-01/electricity-tariffs/E-1R-AGILE-24-10-01-G/standard-unit-rates/</x:v>
      </x:c>
    </x:row>
    <x:row r="3789" ht="21" customHeight="1">
      <x:c r="A3789" s="24" t="n">
        <x:v>46227.4375</x:v>
      </x:c>
      <x:c r="B3789" s="6" t="n">
        <x:v>0.1462</x:v>
      </x:c>
      <x:c r="C3789" s="6" t="n">
        <x:v>0.0931</x:v>
      </x:c>
      <x:c r="D3789" s="6" t="n">
        <x:f>B3789</x:f>
        <x:v>0.1462</x:v>
      </x:c>
      <x:c r="E3789" s="1" t="n">
        <x:v>1.05</x:v>
      </x:c>
      <x:c r="F3789" s="1" t="str">
        <x:v>https://api.octopus.energy/v1/products/AGILE-24-10-01/electricity-tariffs/E-1R-AGILE-24-10-01-G/standard-unit-rates/</x:v>
      </x:c>
    </x:row>
    <x:row r="3790" ht="21" customHeight="1">
      <x:c r="A3790" s="24" t="n">
        <x:v>46227.458333333336</x:v>
      </x:c>
      <x:c r="B3790" s="6" t="n">
        <x:v>0.1115</x:v>
      </x:c>
      <x:c r="C3790" s="6" t="n">
        <x:v>0.07719999999999999</x:v>
      </x:c>
      <x:c r="D3790" s="6" t="n">
        <x:f>B3790</x:f>
        <x:v>0.1115</x:v>
      </x:c>
      <x:c r="E3790" s="1" t="n">
        <x:v>1.05</x:v>
      </x:c>
      <x:c r="F3790" s="1" t="str">
        <x:v>https://api.octopus.energy/v1/products/AGILE-24-10-01/electricity-tariffs/E-1R-AGILE-24-10-01-G/standard-unit-rates/</x:v>
      </x:c>
    </x:row>
    <x:row r="3791" ht="21" customHeight="1">
      <x:c r="A3791" s="24" t="n">
        <x:v>46227.479166666664</x:v>
      </x:c>
      <x:c r="B3791" s="6" t="n">
        <x:v>0.1074</x:v>
      </x:c>
      <x:c r="C3791" s="6" t="n">
        <x:v>0.0754</x:v>
      </x:c>
      <x:c r="D3791" s="6" t="n">
        <x:f>B3791</x:f>
        <x:v>0.1074</x:v>
      </x:c>
      <x:c r="E3791" s="1" t="n">
        <x:v>1.05</x:v>
      </x:c>
      <x:c r="F3791" s="1" t="str">
        <x:v>https://api.octopus.energy/v1/products/AGILE-24-10-01/electricity-tariffs/E-1R-AGILE-24-10-01-G/standard-unit-rates/</x:v>
      </x:c>
    </x:row>
    <x:row r="3792" ht="21" customHeight="1">
      <x:c r="A3792" s="24" t="n">
        <x:v>46227.5</x:v>
      </x:c>
      <x:c r="B3792" s="6" t="n">
        <x:v>0.1109</x:v>
      </x:c>
      <x:c r="C3792" s="6" t="n">
        <x:v>0.077</x:v>
      </x:c>
      <x:c r="D3792" s="6" t="n">
        <x:f>B3792</x:f>
        <x:v>0.1109</x:v>
      </x:c>
      <x:c r="E3792" s="1" t="n">
        <x:v>1.05</x:v>
      </x:c>
      <x:c r="F3792" s="1" t="str">
        <x:v>https://api.octopus.energy/v1/products/AGILE-24-10-01/electricity-tariffs/E-1R-AGILE-24-10-01-G/standard-unit-rates/</x:v>
      </x:c>
    </x:row>
    <x:row r="3793" ht="21" customHeight="1">
      <x:c r="A3793" s="24" t="n">
        <x:v>46227.520833333336</x:v>
      </x:c>
      <x:c r="B3793" s="6" t="n">
        <x:v>0.1114</x:v>
      </x:c>
      <x:c r="C3793" s="6" t="n">
        <x:v>0.07719999999999999</x:v>
      </x:c>
      <x:c r="D3793" s="6" t="n">
        <x:f>B3793</x:f>
        <x:v>0.1114</x:v>
      </x:c>
      <x:c r="E3793" s="1" t="n">
        <x:v>1.05</x:v>
      </x:c>
      <x:c r="F3793" s="1" t="str">
        <x:v>https://api.octopus.energy/v1/products/AGILE-24-10-01/electricity-tariffs/E-1R-AGILE-24-10-01-G/standard-unit-rates/</x:v>
      </x:c>
    </x:row>
    <x:row r="3794" ht="21" customHeight="1">
      <x:c r="A3794" s="24" t="n">
        <x:v>46227.541666666664</x:v>
      </x:c>
      <x:c r="B3794" s="6" t="n">
        <x:v>0.1241</x:v>
      </x:c>
      <x:c r="C3794" s="6" t="n">
        <x:v>0.083</x:v>
      </x:c>
      <x:c r="D3794" s="6" t="n">
        <x:f>B3794</x:f>
        <x:v>0.1241</x:v>
      </x:c>
      <x:c r="E3794" s="1" t="n">
        <x:v>1.05</x:v>
      </x:c>
      <x:c r="F3794" s="1" t="str">
        <x:v>https://api.octopus.energy/v1/products/AGILE-24-10-01/electricity-tariffs/E-1R-AGILE-24-10-01-G/standard-unit-rates/</x:v>
      </x:c>
    </x:row>
    <x:row r="3795" ht="21" customHeight="1">
      <x:c r="A3795" s="24" t="n">
        <x:v>46227.5625</x:v>
      </x:c>
      <x:c r="B3795" s="6" t="n">
        <x:v>0.12179999999999999</x:v>
      </x:c>
      <x:c r="C3795" s="6" t="n">
        <x:v>0.0819</x:v>
      </x:c>
      <x:c r="D3795" s="6" t="n">
        <x:f>B3795</x:f>
        <x:v>0.12179999999999999</x:v>
      </x:c>
      <x:c r="E3795" s="1" t="n">
        <x:v>1.05</x:v>
      </x:c>
      <x:c r="F3795" s="1" t="str">
        <x:v>https://api.octopus.energy/v1/products/AGILE-24-10-01/electricity-tariffs/E-1R-AGILE-24-10-01-G/standard-unit-rates/</x:v>
      </x:c>
    </x:row>
    <x:row r="3796" ht="21" customHeight="1">
      <x:c r="A3796" s="24" t="n">
        <x:v>46227.583333333336</x:v>
      </x:c>
      <x:c r="B3796" s="6" t="n">
        <x:v>0.1388</x:v>
      </x:c>
      <x:c r="C3796" s="6" t="n">
        <x:v>0.0897</x:v>
      </x:c>
      <x:c r="D3796" s="6" t="n">
        <x:f>B3796</x:f>
        <x:v>0.1388</x:v>
      </x:c>
      <x:c r="E3796" s="1" t="n">
        <x:v>1.05</x:v>
      </x:c>
      <x:c r="F3796" s="1" t="str">
        <x:v>https://api.octopus.energy/v1/products/AGILE-24-10-01/electricity-tariffs/E-1R-AGILE-24-10-01-G/standard-unit-rates/</x:v>
      </x:c>
    </x:row>
    <x:row r="3797" ht="21" customHeight="1">
      <x:c r="A3797" s="24" t="n">
        <x:v>46227.604166666664</x:v>
      </x:c>
      <x:c r="B3797" s="6" t="n">
        <x:v>0.13119999999999998</x:v>
      </x:c>
      <x:c r="C3797" s="6" t="n">
        <x:v>0.0863</x:v>
      </x:c>
      <x:c r="D3797" s="6" t="n">
        <x:f>B3797</x:f>
        <x:v>0.13119999999999998</x:v>
      </x:c>
      <x:c r="E3797" s="1" t="n">
        <x:v>1.05</x:v>
      </x:c>
      <x:c r="F3797" s="1" t="str">
        <x:v>https://api.octopus.energy/v1/products/AGILE-24-10-01/electricity-tariffs/E-1R-AGILE-24-10-01-G/standard-unit-rates/</x:v>
      </x:c>
    </x:row>
    <x:row r="3798" ht="21" customHeight="1">
      <x:c r="A3798" s="24" t="n">
        <x:v>46227.625</x:v>
      </x:c>
      <x:c r="B3798" s="6" t="n">
        <x:v>0.1155</x:v>
      </x:c>
      <x:c r="C3798" s="6" t="n">
        <x:v>0.0791</x:v>
      </x:c>
      <x:c r="D3798" s="6" t="n">
        <x:f>B3798</x:f>
        <x:v>0.1155</x:v>
      </x:c>
      <x:c r="E3798" s="1" t="n">
        <x:v>1.05</x:v>
      </x:c>
      <x:c r="F3798" s="1" t="str">
        <x:v>https://api.octopus.energy/v1/products/AGILE-24-10-01/electricity-tariffs/E-1R-AGILE-24-10-01-G/standard-unit-rates/</x:v>
      </x:c>
    </x:row>
    <x:row r="3799" ht="21" customHeight="1">
      <x:c r="A3799" s="24" t="n">
        <x:v>46227.645833333336</x:v>
      </x:c>
      <x:c r="B3799" s="6" t="n">
        <x:v>0.1329</x:v>
      </x:c>
      <x:c r="C3799" s="6" t="n">
        <x:v>0.087</x:v>
      </x:c>
      <x:c r="D3799" s="6" t="n">
        <x:f>B3799</x:f>
        <x:v>0.1329</x:v>
      </x:c>
      <x:c r="E3799" s="1" t="n">
        <x:v>1.05</x:v>
      </x:c>
      <x:c r="F3799" s="1" t="str">
        <x:v>https://api.octopus.energy/v1/products/AGILE-24-10-01/electricity-tariffs/E-1R-AGILE-24-10-01-G/standard-unit-rates/</x:v>
      </x:c>
    </x:row>
    <x:row r="3800" ht="21" customHeight="1">
      <x:c r="A3800" s="24" t="n">
        <x:v>46227.666666666664</x:v>
      </x:c>
      <x:c r="B3800" s="6" t="n">
        <x:v>0.2504</x:v>
      </x:c>
      <x:c r="C3800" s="6" t="n">
        <x:v>0.1448</x:v>
      </x:c>
      <x:c r="D3800" s="6" t="n">
        <x:f>B3800</x:f>
        <x:v>0.2504</x:v>
      </x:c>
      <x:c r="E3800" s="1" t="n">
        <x:v>1.05</x:v>
      </x:c>
      <x:c r="F3800" s="1" t="str">
        <x:v>https://api.octopus.energy/v1/products/AGILE-24-10-01/electricity-tariffs/E-1R-AGILE-24-10-01-G/standard-unit-rates/</x:v>
      </x:c>
    </x:row>
    <x:row r="3801" ht="21" customHeight="1">
      <x:c r="A3801" s="24" t="n">
        <x:v>46227.6875</x:v>
      </x:c>
      <x:c r="B3801" s="6" t="n">
        <x:v>0.264</x:v>
      </x:c>
      <x:c r="C3801" s="6" t="n">
        <x:v>0.151</x:v>
      </x:c>
      <x:c r="D3801" s="6" t="n">
        <x:f>B3801</x:f>
        <x:v>0.264</x:v>
      </x:c>
      <x:c r="E3801" s="1" t="n">
        <x:v>1.05</x:v>
      </x:c>
      <x:c r="F3801" s="1" t="str">
        <x:v>https://api.octopus.energy/v1/products/AGILE-24-10-01/electricity-tariffs/E-1R-AGILE-24-10-01-G/standard-unit-rates/</x:v>
      </x:c>
    </x:row>
    <x:row r="3802" ht="21" customHeight="1">
      <x:c r="A3802" s="24" t="n">
        <x:v>46227.708333333336</x:v>
      </x:c>
      <x:c r="B3802" s="6" t="n">
        <x:v>0.3308</x:v>
      </x:c>
      <x:c r="C3802" s="6" t="n">
        <x:v>0.1815</x:v>
      </x:c>
      <x:c r="D3802" s="6" t="n">
        <x:f>B3802</x:f>
        <x:v>0.3308</x:v>
      </x:c>
      <x:c r="E3802" s="1" t="n">
        <x:v>1.05</x:v>
      </x:c>
      <x:c r="F3802" s="1" t="str">
        <x:v>https://api.octopus.energy/v1/products/AGILE-24-10-01/electricity-tariffs/E-1R-AGILE-24-10-01-G/standard-unit-rates/</x:v>
      </x:c>
    </x:row>
    <x:row r="3803" ht="21" customHeight="1">
      <x:c r="A3803" s="24" t="n">
        <x:v>46227.729166666664</x:v>
      </x:c>
      <x:c r="B3803" s="6" t="n">
        <x:v>0.326</x:v>
      </x:c>
      <x:c r="C3803" s="6" t="n">
        <x:v>0.1793</x:v>
      </x:c>
      <x:c r="D3803" s="6" t="n">
        <x:f>B3803</x:f>
        <x:v>0.326</x:v>
      </x:c>
      <x:c r="E3803" s="1" t="n">
        <x:v>1.05</x:v>
      </x:c>
      <x:c r="F3803" s="1" t="str">
        <x:v>https://api.octopus.energy/v1/products/AGILE-24-10-01/electricity-tariffs/E-1R-AGILE-24-10-01-G/standard-unit-rates/</x:v>
      </x:c>
    </x:row>
    <x:row r="3804" ht="21" customHeight="1">
      <x:c r="A3804" s="24" t="n">
        <x:v>46227.75</x:v>
      </x:c>
      <x:c r="B3804" s="6" t="n">
        <x:v>0.3945</x:v>
      </x:c>
      <x:c r="C3804" s="6" t="n">
        <x:v>0.21059999999999998</x:v>
      </x:c>
      <x:c r="D3804" s="6" t="n">
        <x:f>B3804</x:f>
        <x:v>0.3945</x:v>
      </x:c>
      <x:c r="E3804" s="1" t="n">
        <x:v>1.05</x:v>
      </x:c>
      <x:c r="F3804" s="1" t="str">
        <x:v>https://api.octopus.energy/v1/products/AGILE-24-10-01/electricity-tariffs/E-1R-AGILE-24-10-01-G/standard-unit-rates/</x:v>
      </x:c>
    </x:row>
    <x:row r="3805" ht="21" customHeight="1">
      <x:c r="A3805" s="24" t="n">
        <x:v>46227.770833333336</x:v>
      </x:c>
      <x:c r="B3805" s="6" t="n">
        <x:v>0.4058</x:v>
      </x:c>
      <x:c r="C3805" s="6" t="n">
        <x:v>0.2158</x:v>
      </x:c>
      <x:c r="D3805" s="6" t="n">
        <x:f>B3805</x:f>
        <x:v>0.4058</x:v>
      </x:c>
      <x:c r="E3805" s="1" t="n">
        <x:v>1.05</x:v>
      </x:c>
      <x:c r="F3805" s="1" t="str">
        <x:v>https://api.octopus.energy/v1/products/AGILE-24-10-01/electricity-tariffs/E-1R-AGILE-24-10-01-G/standard-unit-rates/</x:v>
      </x:c>
    </x:row>
    <x:row r="3806" ht="21" customHeight="1">
      <x:c r="A3806" s="24" t="n">
        <x:v>46227.791666666664</x:v>
      </x:c>
      <x:c r="B3806" s="6" t="n">
        <x:v>0.3005</x:v>
      </x:c>
      <x:c r="C3806" s="6" t="n">
        <x:v>0.1636</x:v>
      </x:c>
      <x:c r="D3806" s="6" t="n">
        <x:f>B3806</x:f>
        <x:v>0.3005</x:v>
      </x:c>
      <x:c r="E3806" s="1" t="n">
        <x:v>1.05</x:v>
      </x:c>
      <x:c r="F3806" s="1" t="str">
        <x:v>https://api.octopus.energy/v1/products/AGILE-24-10-01/electricity-tariffs/E-1R-AGILE-24-10-01-G/standard-unit-rates/</x:v>
      </x:c>
    </x:row>
    <x:row r="3807" ht="21" customHeight="1">
      <x:c r="A3807" s="24" t="n">
        <x:v>46227.8125</x:v>
      </x:c>
      <x:c r="B3807" s="6" t="n">
        <x:v>0.2952</x:v>
      </x:c>
      <x:c r="C3807" s="6" t="n">
        <x:v>0.1612</x:v>
      </x:c>
      <x:c r="D3807" s="6" t="n">
        <x:f>B3807</x:f>
        <x:v>0.2952</x:v>
      </x:c>
      <x:c r="E3807" s="1" t="n">
        <x:v>1.05</x:v>
      </x:c>
      <x:c r="F3807" s="1" t="str">
        <x:v>https://api.octopus.energy/v1/products/AGILE-24-10-01/electricity-tariffs/E-1R-AGILE-24-10-01-G/standard-unit-rates/</x:v>
      </x:c>
    </x:row>
    <x:row r="3808" ht="21" customHeight="1">
      <x:c r="A3808" s="24" t="n">
        <x:v>46227.833333333336</x:v>
      </x:c>
      <x:c r="B3808" s="6" t="n">
        <x:v>0.2979</x:v>
      </x:c>
      <x:c r="C3808" s="6" t="n">
        <x:v>0.1624</x:v>
      </x:c>
      <x:c r="D3808" s="6" t="n">
        <x:f>B3808</x:f>
        <x:v>0.2979</x:v>
      </x:c>
      <x:c r="E3808" s="1" t="n">
        <x:v>1.05</x:v>
      </x:c>
      <x:c r="F3808" s="1" t="str">
        <x:v>https://api.octopus.energy/v1/products/AGILE-24-10-01/electricity-tariffs/E-1R-AGILE-24-10-01-G/standard-unit-rates/</x:v>
      </x:c>
    </x:row>
    <x:row r="3809" ht="21" customHeight="1">
      <x:c r="A3809" s="24" t="n">
        <x:v>46227.854166666664</x:v>
      </x:c>
      <x:c r="B3809" s="6" t="n">
        <x:v>0.2979</x:v>
      </x:c>
      <x:c r="C3809" s="6" t="n">
        <x:v>0.1624</x:v>
      </x:c>
      <x:c r="D3809" s="6" t="n">
        <x:f>B3809</x:f>
        <x:v>0.2979</x:v>
      </x:c>
      <x:c r="E3809" s="1" t="n">
        <x:v>1.05</x:v>
      </x:c>
      <x:c r="F3809" s="1" t="str">
        <x:v>https://api.octopus.energy/v1/products/AGILE-24-10-01/electricity-tariffs/E-1R-AGILE-24-10-01-G/standard-unit-rates/</x:v>
      </x:c>
    </x:row>
    <x:row r="3810" ht="21" customHeight="1">
      <x:c r="A3810" s="24" t="n">
        <x:v>46227.875</x:v>
      </x:c>
      <x:c r="B3810" s="6" t="n">
        <x:v>0.311</x:v>
      </x:c>
      <x:c r="C3810" s="6" t="n">
        <x:v>0.1684</x:v>
      </x:c>
      <x:c r="D3810" s="6" t="n">
        <x:f>B3810</x:f>
        <x:v>0.311</x:v>
      </x:c>
      <x:c r="E3810" s="1" t="n">
        <x:v>1.05</x:v>
      </x:c>
      <x:c r="F3810" s="1" t="str">
        <x:v>https://api.octopus.energy/v1/products/AGILE-24-10-01/electricity-tariffs/E-1R-AGILE-24-10-01-G/standard-unit-rates/</x:v>
      </x:c>
    </x:row>
    <x:row r="3811" ht="21" customHeight="1">
      <x:c r="A3811" s="24" t="n">
        <x:v>46227.895833333336</x:v>
      </x:c>
      <x:c r="B3811" s="6" t="n">
        <x:v>0.3085</x:v>
      </x:c>
      <x:c r="C3811" s="6" t="n">
        <x:v>0.1673</x:v>
      </x:c>
      <x:c r="D3811" s="6" t="n">
        <x:f>B3811</x:f>
        <x:v>0.3085</x:v>
      </x:c>
      <x:c r="E3811" s="1" t="n">
        <x:v>1.05</x:v>
      </x:c>
      <x:c r="F3811" s="1" t="str">
        <x:v>https://api.octopus.energy/v1/products/AGILE-24-10-01/electricity-tariffs/E-1R-AGILE-24-10-01-G/standard-unit-rates/</x:v>
      </x:c>
    </x:row>
    <x:row r="3812" ht="21" customHeight="1">
      <x:c r="A3812" s="24" t="n">
        <x:v>46227.916666666664</x:v>
      </x:c>
      <x:c r="B3812" s="6" t="n">
        <x:v>0.30079999999999996</x:v>
      </x:c>
      <x:c r="C3812" s="6" t="n">
        <x:v>0.1638</x:v>
      </x:c>
      <x:c r="D3812" s="6" t="n">
        <x:f>B3812</x:f>
        <x:v>0.30079999999999996</x:v>
      </x:c>
      <x:c r="E3812" s="1" t="n">
        <x:v>1.05</x:v>
      </x:c>
      <x:c r="F3812" s="1" t="str">
        <x:v>https://api.octopus.energy/v1/products/AGILE-24-10-01/electricity-tariffs/E-1R-AGILE-24-10-01-G/standard-unit-rates/</x:v>
      </x:c>
    </x:row>
    <x:row r="3813" ht="21" customHeight="1">
      <x:c r="A3813" s="24" t="n">
        <x:v>46227.9375</x:v>
      </x:c>
      <x:c r="B3813" s="6" t="n">
        <x:v>0.2812</x:v>
      </x:c>
      <x:c r="C3813" s="6" t="n">
        <x:v>0.1548</x:v>
      </x:c>
      <x:c r="D3813" s="6" t="n">
        <x:f>B3813</x:f>
        <x:v>0.2812</x:v>
      </x:c>
      <x:c r="E3813" s="1" t="n">
        <x:v>1.05</x:v>
      </x:c>
      <x:c r="F3813" s="1" t="str">
        <x:v>https://api.octopus.energy/v1/products/AGILE-24-10-01/electricity-tariffs/E-1R-AGILE-24-10-01-G/standard-unit-rates/</x:v>
      </x:c>
    </x:row>
    <x:row r="3814" ht="21" customHeight="1">
      <x:c r="A3814" s="24" t="n">
        <x:v>46228</x:v>
      </x:c>
      <x:c r="B3814" s="6" t="n">
        <x:v>0.27140000000000003</x:v>
      </x:c>
      <x:c r="C3814" s="6" t="n">
        <x:v>0.1503</x:v>
      </x:c>
      <x:c r="D3814" s="6" t="n">
        <x:f>B3814</x:f>
        <x:v>0.27140000000000003</x:v>
      </x:c>
      <x:c r="E3814" s="1" t="n">
        <x:v>1.05</x:v>
      </x:c>
      <x:c r="F3814" s="1" t="str">
        <x:v>https://api.octopus.energy/v1/products/AGILE-24-10-01/electricity-tariffs/E-1R-AGILE-24-10-01-G/standard-unit-rates/</x:v>
      </x:c>
    </x:row>
    <x:row r="3815" ht="21" customHeight="1">
      <x:c r="A3815" s="24" t="n">
        <x:v>46227.979166666664</x:v>
      </x:c>
      <x:c r="B3815" s="6" t="n">
        <x:v>0.24170000000000003</x:v>
      </x:c>
      <x:c r="C3815" s="6" t="n">
        <x:v>0.1368</x:v>
      </x:c>
      <x:c r="D3815" s="6" t="n">
        <x:f>B3815</x:f>
        <x:v>0.24170000000000003</x:v>
      </x:c>
      <x:c r="E3815" s="1" t="n">
        <x:v>1.05</x:v>
      </x:c>
      <x:c r="F3815" s="1" t="str">
        <x:v>https://api.octopus.energy/v1/products/AGILE-24-10-01/electricity-tariffs/E-1R-AGILE-24-10-01-G/standard-unit-rates/</x:v>
      </x:c>
    </x:row>
    <x:row r="3816" ht="21" customHeight="1">
      <x:c r="A3816" s="24" t="n">
        <x:v>46228</x:v>
      </x:c>
      <x:c r="B3816" s="6" t="n">
        <x:v>0.2291</x:v>
      </x:c>
      <x:c r="C3816" s="6" t="n">
        <x:v>0.131</x:v>
      </x:c>
      <x:c r="D3816" s="6" t="n">
        <x:f>B3816</x:f>
        <x:v>0.2291</x:v>
      </x:c>
      <x:c r="E3816" s="1" t="n">
        <x:v>1.05</x:v>
      </x:c>
      <x:c r="F3816" s="1" t="str">
        <x:v>https://api.octopus.energy/v1/products/AGILE-24-10-01/electricity-tariffs/E-1R-AGILE-24-10-01-G/standard-unit-rates/</x:v>
      </x:c>
    </x:row>
    <x:row r="3817" ht="21" customHeight="1">
      <x:c r="A3817" s="24" t="n">
        <x:v>46228.020833333336</x:v>
      </x:c>
      <x:c r="B3817" s="6" t="n">
        <x:v>0.2498</x:v>
      </x:c>
      <x:c r="C3817" s="6" t="n">
        <x:v>0.1405</x:v>
      </x:c>
      <x:c r="D3817" s="6" t="n">
        <x:f>B3817</x:f>
        <x:v>0.2498</x:v>
      </x:c>
      <x:c r="E3817" s="1" t="n">
        <x:v>1.05</x:v>
      </x:c>
      <x:c r="F3817" s="1" t="str">
        <x:v>https://api.octopus.energy/v1/products/AGILE-24-10-01/electricity-tariffs/E-1R-AGILE-24-10-01-G/standard-unit-rates/</x:v>
      </x:c>
    </x:row>
    <x:row r="3818" ht="21" customHeight="1">
      <x:c r="A3818" s="24" t="n">
        <x:v>46228.041666666664</x:v>
      </x:c>
      <x:c r="B3818" s="6" t="n">
        <x:v>0.2505</x:v>
      </x:c>
      <x:c r="C3818" s="6" t="n">
        <x:v>0.1408</x:v>
      </x:c>
      <x:c r="D3818" s="6" t="n">
        <x:f>B3818</x:f>
        <x:v>0.2505</x:v>
      </x:c>
      <x:c r="E3818" s="1" t="n">
        <x:v>1.05</x:v>
      </x:c>
      <x:c r="F3818" s="1" t="str">
        <x:v>https://api.octopus.energy/v1/products/AGILE-24-10-01/electricity-tariffs/E-1R-AGILE-24-10-01-G/standard-unit-rates/</x:v>
      </x:c>
    </x:row>
    <x:row r="3819" ht="21" customHeight="1">
      <x:c r="A3819" s="24" t="n">
        <x:v>46228.0625</x:v>
      </x:c>
      <x:c r="B3819" s="6" t="n">
        <x:v>0.23379999999999998</x:v>
      </x:c>
      <x:c r="C3819" s="6" t="n">
        <x:v>0.1332</x:v>
      </x:c>
      <x:c r="D3819" s="6" t="n">
        <x:f>B3819</x:f>
        <x:v>0.23379999999999998</x:v>
      </x:c>
      <x:c r="E3819" s="1" t="n">
        <x:v>1.05</x:v>
      </x:c>
      <x:c r="F3819" s="1" t="str">
        <x:v>https://api.octopus.energy/v1/products/AGILE-24-10-01/electricity-tariffs/E-1R-AGILE-24-10-01-G/standard-unit-rates/</x:v>
      </x:c>
    </x:row>
    <x:row r="3820" ht="21" customHeight="1">
      <x:c r="A3820" s="24" t="n">
        <x:v>46228.083333333336</x:v>
      </x:c>
      <x:c r="B3820" s="6" t="n">
        <x:v>0.23399999999999999</x:v>
      </x:c>
      <x:c r="C3820" s="6" t="n">
        <x:v>0.1332</x:v>
      </x:c>
      <x:c r="D3820" s="6" t="n">
        <x:f>B3820</x:f>
        <x:v>0.23399999999999999</x:v>
      </x:c>
      <x:c r="E3820" s="1" t="n">
        <x:v>1.05</x:v>
      </x:c>
      <x:c r="F3820" s="1" t="str">
        <x:v>https://api.octopus.energy/v1/products/AGILE-24-10-01/electricity-tariffs/E-1R-AGILE-24-10-01-G/standard-unit-rates/</x:v>
      </x:c>
    </x:row>
    <x:row r="3821" ht="21" customHeight="1">
      <x:c r="A3821" s="24" t="n">
        <x:v>46228.104166666664</x:v>
      </x:c>
      <x:c r="B3821" s="6" t="n">
        <x:v>0.2115</x:v>
      </x:c>
      <x:c r="C3821" s="6" t="n">
        <x:v>0.1229</x:v>
      </x:c>
      <x:c r="D3821" s="6" t="n">
        <x:f>B3821</x:f>
        <x:v>0.2115</x:v>
      </x:c>
      <x:c r="E3821" s="1" t="n">
        <x:v>1.05</x:v>
      </x:c>
      <x:c r="F3821" s="1" t="str">
        <x:v>https://api.octopus.energy/v1/products/AGILE-24-10-01/electricity-tariffs/E-1R-AGILE-24-10-01-G/standard-unit-rates/</x:v>
      </x:c>
    </x:row>
    <x:row r="3822" ht="21" customHeight="1">
      <x:c r="A3822" s="24" t="n">
        <x:v>46228.125</x:v>
      </x:c>
      <x:c r="B3822" s="6" t="n">
        <x:v>0.2018</x:v>
      </x:c>
      <x:c r="C3822" s="6" t="n">
        <x:v>0.1185</x:v>
      </x:c>
      <x:c r="D3822" s="6" t="n">
        <x:f>B3822</x:f>
        <x:v>0.2018</x:v>
      </x:c>
      <x:c r="E3822" s="1" t="n">
        <x:v>1.05</x:v>
      </x:c>
      <x:c r="F3822" s="1" t="str">
        <x:v>https://api.octopus.energy/v1/products/AGILE-24-10-01/electricity-tariffs/E-1R-AGILE-24-10-01-G/standard-unit-rates/</x:v>
      </x:c>
    </x:row>
    <x:row r="3823" ht="21" customHeight="1">
      <x:c r="A3823" s="24" t="n">
        <x:v>46228.145833333336</x:v>
      </x:c>
      <x:c r="B3823" s="6" t="n">
        <x:v>0.1844</x:v>
      </x:c>
      <x:c r="C3823" s="6" t="n">
        <x:v>0.1106</x:v>
      </x:c>
      <x:c r="D3823" s="6" t="n">
        <x:f>B3823</x:f>
        <x:v>0.1844</x:v>
      </x:c>
      <x:c r="E3823" s="1" t="n">
        <x:v>1.05</x:v>
      </x:c>
      <x:c r="F3823" s="1" t="str">
        <x:v>https://api.octopus.energy/v1/products/AGILE-24-10-01/electricity-tariffs/E-1R-AGILE-24-10-01-G/standard-unit-rates/</x:v>
      </x:c>
    </x:row>
    <x:row r="3824" ht="21" customHeight="1">
      <x:c r="A3824" s="24" t="n">
        <x:v>46228.166666666664</x:v>
      </x:c>
      <x:c r="B3824" s="6" t="n">
        <x:v>0.19640000000000002</x:v>
      </x:c>
      <x:c r="C3824" s="6" t="n">
        <x:v>0.1161</x:v>
      </x:c>
      <x:c r="D3824" s="6" t="n">
        <x:f>B3824</x:f>
        <x:v>0.19640000000000002</x:v>
      </x:c>
      <x:c r="E3824" s="1" t="n">
        <x:v>1.05</x:v>
      </x:c>
      <x:c r="F3824" s="1" t="str">
        <x:v>https://api.octopus.energy/v1/products/AGILE-24-10-01/electricity-tariffs/E-1R-AGILE-24-10-01-G/standard-unit-rates/</x:v>
      </x:c>
    </x:row>
    <x:row r="3825" ht="21" customHeight="1">
      <x:c r="A3825" s="24" t="n">
        <x:v>46228.1875</x:v>
      </x:c>
      <x:c r="B3825" s="6" t="n">
        <x:v>0.1934</x:v>
      </x:c>
      <x:c r="C3825" s="6" t="n">
        <x:v>0.11470000000000001</x:v>
      </x:c>
      <x:c r="D3825" s="6" t="n">
        <x:f>B3825</x:f>
        <x:v>0.1934</x:v>
      </x:c>
      <x:c r="E3825" s="1" t="n">
        <x:v>1.05</x:v>
      </x:c>
      <x:c r="F3825" s="1" t="str">
        <x:v>https://api.octopus.energy/v1/products/AGILE-24-10-01/electricity-tariffs/E-1R-AGILE-24-10-01-G/standard-unit-rates/</x:v>
      </x:c>
    </x:row>
    <x:row r="3826" ht="21" customHeight="1">
      <x:c r="A3826" s="24" t="n">
        <x:v>46228.208333333336</x:v>
      </x:c>
      <x:c r="B3826" s="6" t="n">
        <x:v>0.18960000000000002</x:v>
      </x:c>
      <x:c r="C3826" s="6" t="n">
        <x:v>0.113</x:v>
      </x:c>
      <x:c r="D3826" s="6" t="n">
        <x:f>B3826</x:f>
        <x:v>0.18960000000000002</x:v>
      </x:c>
      <x:c r="E3826" s="1" t="n">
        <x:v>1.05</x:v>
      </x:c>
      <x:c r="F3826" s="1" t="str">
        <x:v>https://api.octopus.energy/v1/products/AGILE-24-10-01/electricity-tariffs/E-1R-AGILE-24-10-01-G/standard-unit-rates/</x:v>
      </x:c>
    </x:row>
    <x:row r="3827" ht="21" customHeight="1">
      <x:c r="A3827" s="24" t="n">
        <x:v>46228.229166666664</x:v>
      </x:c>
      <x:c r="B3827" s="6" t="n">
        <x:v>0.1778</x:v>
      </x:c>
      <x:c r="C3827" s="6" t="n">
        <x:v>0.1075</x:v>
      </x:c>
      <x:c r="D3827" s="6" t="n">
        <x:f>B3827</x:f>
        <x:v>0.1778</x:v>
      </x:c>
      <x:c r="E3827" s="1" t="n">
        <x:v>1.05</x:v>
      </x:c>
      <x:c r="F3827" s="1" t="str">
        <x:v>https://api.octopus.energy/v1/products/AGILE-24-10-01/electricity-tariffs/E-1R-AGILE-24-10-01-G/standard-unit-rates/</x:v>
      </x:c>
    </x:row>
    <x:row r="3828" ht="21" customHeight="1">
      <x:c r="A3828" s="24" t="n">
        <x:v>46228.25</x:v>
      </x:c>
      <x:c r="B3828" s="6" t="n">
        <x:v>0.1727</x:v>
      </x:c>
      <x:c r="C3828" s="6" t="n">
        <x:v>0.1052</x:v>
      </x:c>
      <x:c r="D3828" s="6" t="n">
        <x:f>B3828</x:f>
        <x:v>0.1727</x:v>
      </x:c>
      <x:c r="E3828" s="1" t="n">
        <x:v>1.05</x:v>
      </x:c>
      <x:c r="F3828" s="1" t="str">
        <x:v>https://api.octopus.energy/v1/products/AGILE-24-10-01/electricity-tariffs/E-1R-AGILE-24-10-01-G/standard-unit-rates/</x:v>
      </x:c>
    </x:row>
    <x:row r="3829" ht="21" customHeight="1">
      <x:c r="A3829" s="24" t="n">
        <x:v>46228.270833333336</x:v>
      </x:c>
      <x:c r="B3829" s="6" t="n">
        <x:v>0.1623</x:v>
      </x:c>
      <x:c r="C3829" s="6" t="n">
        <x:v>0.1005</x:v>
      </x:c>
      <x:c r="D3829" s="6" t="n">
        <x:f>B3829</x:f>
        <x:v>0.1623</x:v>
      </x:c>
      <x:c r="E3829" s="1" t="n">
        <x:v>1.05</x:v>
      </x:c>
      <x:c r="F3829" s="1" t="str">
        <x:v>https://api.octopus.energy/v1/products/AGILE-24-10-01/electricity-tariffs/E-1R-AGILE-24-10-01-G/standard-unit-rates/</x:v>
      </x:c>
    </x:row>
    <x:row r="3830" ht="21" customHeight="1">
      <x:c r="A3830" s="24" t="n">
        <x:v>46228.291666666664</x:v>
      </x:c>
      <x:c r="B3830" s="6" t="n">
        <x:v>0.1266</x:v>
      </x:c>
      <x:c r="C3830" s="6" t="n">
        <x:v>0.0842</x:v>
      </x:c>
      <x:c r="D3830" s="6" t="n">
        <x:f>B3830</x:f>
        <x:v>0.1266</x:v>
      </x:c>
      <x:c r="E3830" s="1" t="n">
        <x:v>1.05</x:v>
      </x:c>
      <x:c r="F3830" s="1" t="str">
        <x:v>https://api.octopus.energy/v1/products/AGILE-24-10-01/electricity-tariffs/E-1R-AGILE-24-10-01-G/standard-unit-rates/</x:v>
      </x:c>
    </x:row>
    <x:row r="3831" ht="21" customHeight="1">
      <x:c r="A3831" s="24" t="n">
        <x:v>46228.3125</x:v>
      </x:c>
      <x:c r="B3831" s="6" t="n">
        <x:v>0.13699999999999998</x:v>
      </x:c>
      <x:c r="C3831" s="6" t="n">
        <x:v>0.0889</x:v>
      </x:c>
      <x:c r="D3831" s="6" t="n">
        <x:f>B3831</x:f>
        <x:v>0.13699999999999998</x:v>
      </x:c>
      <x:c r="E3831" s="1" t="n">
        <x:v>1.05</x:v>
      </x:c>
      <x:c r="F3831" s="1" t="str">
        <x:v>https://api.octopus.energy/v1/products/AGILE-24-10-01/electricity-tariffs/E-1R-AGILE-24-10-01-G/standard-unit-rates/</x:v>
      </x:c>
    </x:row>
    <x:row r="3832" ht="21" customHeight="1">
      <x:c r="A3832" s="24" t="n">
        <x:v>46228.333333333336</x:v>
      </x:c>
      <x:c r="B3832" s="6" t="n">
        <x:v>-0.0124</x:v>
      </x:c>
      <x:c r="C3832" s="6" t="n">
        <x:v>0.0206</x:v>
      </x:c>
      <x:c r="D3832" s="6" t="n">
        <x:f>B3832</x:f>
        <x:v>-0.0124</x:v>
      </x:c>
      <x:c r="E3832" s="1" t="n">
        <x:v>1.05</x:v>
      </x:c>
      <x:c r="F3832" s="1" t="str">
        <x:v>https://api.octopus.energy/v1/products/AGILE-24-10-01/electricity-tariffs/E-1R-AGILE-24-10-01-G/standard-unit-rates/</x:v>
      </x:c>
    </x:row>
    <x:row r="3833" ht="21" customHeight="1">
      <x:c r="A3833" s="24" t="n">
        <x:v>46228.354166666664</x:v>
      </x:c>
      <x:c r="B3833" s="6" t="n">
        <x:v>-0.0144</x:v>
      </x:c>
      <x:c r="C3833" s="6" t="n">
        <x:v>0.0197</x:v>
      </x:c>
      <x:c r="D3833" s="6" t="n">
        <x:f>B3833</x:f>
        <x:v>-0.0144</x:v>
      </x:c>
      <x:c r="E3833" s="1" t="n">
        <x:v>1.05</x:v>
      </x:c>
      <x:c r="F3833" s="1" t="str">
        <x:v>https://api.octopus.energy/v1/products/AGILE-24-10-01/electricity-tariffs/E-1R-AGILE-24-10-01-G/standard-unit-rates/</x:v>
      </x:c>
    </x:row>
    <x:row r="3834" ht="21" customHeight="1">
      <x:c r="A3834" s="24" t="n">
        <x:v>46228.375</x:v>
      </x:c>
      <x:c r="B3834" s="6" t="n">
        <x:v>-0.0336</x:v>
      </x:c>
      <x:c r="C3834" s="6" t="n">
        <x:v>0.0109</x:v>
      </x:c>
      <x:c r="D3834" s="6" t="n">
        <x:f>B3834</x:f>
        <x:v>-0.0336</x:v>
      </x:c>
      <x:c r="E3834" s="1" t="n">
        <x:v>1.05</x:v>
      </x:c>
      <x:c r="F3834" s="1" t="str">
        <x:v>https://api.octopus.energy/v1/products/AGILE-24-10-01/electricity-tariffs/E-1R-AGILE-24-10-01-G/standard-unit-rates/</x:v>
      </x:c>
    </x:row>
    <x:row r="3835" ht="21" customHeight="1">
      <x:c r="A3835" s="24" t="n">
        <x:v>46228.395833333336</x:v>
      </x:c>
      <x:c r="B3835" s="6" t="n">
        <x:v>-0.0362</x:v>
      </x:c>
      <x:c r="C3835" s="6" t="n">
        <x:v>0.0097</x:v>
      </x:c>
      <x:c r="D3835" s="6" t="n">
        <x:f>B3835</x:f>
        <x:v>-0.0362</x:v>
      </x:c>
      <x:c r="E3835" s="1" t="n">
        <x:v>1.05</x:v>
      </x:c>
      <x:c r="F3835" s="1" t="str">
        <x:v>https://api.octopus.energy/v1/products/AGILE-24-10-01/electricity-tariffs/E-1R-AGILE-24-10-01-G/standard-unit-rates/</x:v>
      </x:c>
    </x:row>
    <x:row r="3836" ht="21" customHeight="1">
      <x:c r="A3836" s="24" t="n">
        <x:v>46228.416666666664</x:v>
      </x:c>
      <x:c r="B3836" s="6" t="n">
        <x:v>-0.037000000000000005</x:v>
      </x:c>
      <x:c r="C3836" s="6" t="n">
        <x:v>0.009399999999999999</x:v>
      </x:c>
      <x:c r="D3836" s="6" t="n">
        <x:f>B3836</x:f>
        <x:v>-0.037000000000000005</x:v>
      </x:c>
      <x:c r="E3836" s="1" t="n">
        <x:v>1.05</x:v>
      </x:c>
      <x:c r="F3836" s="1" t="str">
        <x:v>https://api.octopus.energy/v1/products/AGILE-24-10-01/electricity-tariffs/E-1R-AGILE-24-10-01-G/standard-unit-rates/</x:v>
      </x:c>
    </x:row>
    <x:row r="3837" ht="21" customHeight="1">
      <x:c r="A3837" s="24" t="n">
        <x:v>46228.4375</x:v>
      </x:c>
      <x:c r="B3837" s="6" t="n">
        <x:v>-0.044199999999999996</x:v>
      </x:c>
      <x:c r="C3837" s="6" t="n">
        <x:v>0.0060999999999999995</x:v>
      </x:c>
      <x:c r="D3837" s="6" t="n">
        <x:f>B3837</x:f>
        <x:v>-0.044199999999999996</x:v>
      </x:c>
      <x:c r="E3837" s="1" t="n">
        <x:v>1.05</x:v>
      </x:c>
      <x:c r="F3837" s="1" t="str">
        <x:v>https://api.octopus.energy/v1/products/AGILE-24-10-01/electricity-tariffs/E-1R-AGILE-24-10-01-G/standard-unit-rates/</x:v>
      </x:c>
    </x:row>
    <x:row r="3838" ht="21" customHeight="1">
      <x:c r="A3838" s="24" t="n">
        <x:v>46228.458333333336</x:v>
      </x:c>
      <x:c r="B3838" s="6" t="n">
        <x:v>-0.0392</x:v>
      </x:c>
      <x:c r="C3838" s="6" t="n">
        <x:v>0.0083</x:v>
      </x:c>
      <x:c r="D3838" s="6" t="n">
        <x:f>B3838</x:f>
        <x:v>-0.0392</x:v>
      </x:c>
      <x:c r="E3838" s="1" t="n">
        <x:v>1.05</x:v>
      </x:c>
      <x:c r="F3838" s="1" t="str">
        <x:v>https://api.octopus.energy/v1/products/AGILE-24-10-01/electricity-tariffs/E-1R-AGILE-24-10-01-G/standard-unit-rates/</x:v>
      </x:c>
    </x:row>
    <x:row r="3839" ht="21" customHeight="1">
      <x:c r="A3839" s="24" t="n">
        <x:v>46228.479166666664</x:v>
      </x:c>
      <x:c r="B3839" s="6" t="n">
        <x:v>-0.0433</x:v>
      </x:c>
      <x:c r="C3839" s="6" t="n">
        <x:v>0.006500000000000001</x:v>
      </x:c>
      <x:c r="D3839" s="6" t="n">
        <x:f>B3839</x:f>
        <x:v>-0.0433</x:v>
      </x:c>
      <x:c r="E3839" s="1" t="n">
        <x:v>1.05</x:v>
      </x:c>
      <x:c r="F3839" s="1" t="str">
        <x:v>https://api.octopus.energy/v1/products/AGILE-24-10-01/electricity-tariffs/E-1R-AGILE-24-10-01-G/standard-unit-rates/</x:v>
      </x:c>
    </x:row>
    <x:row r="3840" ht="21" customHeight="1">
      <x:c r="A3840" s="24" t="n">
        <x:v>46228.5</x:v>
      </x:c>
      <x:c r="B3840" s="6" t="n">
        <x:v>-0.0641</x:v>
      </x:c>
      <x:c r="C3840" s="6" t="n">
        <x:v>0</x:v>
      </x:c>
      <x:c r="D3840" s="6" t="n">
        <x:f>B3840</x:f>
        <x:v>-0.0641</x:v>
      </x:c>
      <x:c r="E3840" s="1" t="n">
        <x:v>1.05</x:v>
      </x:c>
      <x:c r="F3840" s="1" t="str">
        <x:v>https://api.octopus.energy/v1/products/AGILE-24-10-01/electricity-tariffs/E-1R-AGILE-24-10-01-G/standard-unit-rates/</x:v>
      </x:c>
    </x:row>
    <x:row r="3841" ht="21" customHeight="1">
      <x:c r="A3841" s="24" t="n">
        <x:v>46228.520833333336</x:v>
      </x:c>
      <x:c r="B3841" s="6" t="n">
        <x:v>-0.0548</x:v>
      </x:c>
      <x:c r="C3841" s="6" t="n">
        <x:v>0.0012</x:v>
      </x:c>
      <x:c r="D3841" s="6" t="n">
        <x:f>B3841</x:f>
        <x:v>-0.0548</x:v>
      </x:c>
      <x:c r="E3841" s="1" t="n">
        <x:v>1.05</x:v>
      </x:c>
      <x:c r="F3841" s="1" t="str">
        <x:v>https://api.octopus.energy/v1/products/AGILE-24-10-01/electricity-tariffs/E-1R-AGILE-24-10-01-G/standard-unit-rates/</x:v>
      </x:c>
    </x:row>
    <x:row r="3842" ht="21" customHeight="1">
      <x:c r="A3842" s="24" t="n">
        <x:v>46228.541666666664</x:v>
      </x:c>
      <x:c r="B3842" s="6" t="n">
        <x:v>-0.053</x:v>
      </x:c>
      <x:c r="C3842" s="6" t="n">
        <x:v>0.002</x:v>
      </x:c>
      <x:c r="D3842" s="6" t="n">
        <x:f>B3842</x:f>
        <x:v>-0.053</x:v>
      </x:c>
      <x:c r="E3842" s="1" t="n">
        <x:v>1.05</x:v>
      </x:c>
      <x:c r="F3842" s="1" t="str">
        <x:v>https://api.octopus.energy/v1/products/AGILE-24-10-01/electricity-tariffs/E-1R-AGILE-24-10-01-G/standard-unit-rates/</x:v>
      </x:c>
    </x:row>
    <x:row r="3843" ht="21" customHeight="1">
      <x:c r="A3843" s="24" t="n">
        <x:v>46228.5625</x:v>
      </x:c>
      <x:c r="B3843" s="6" t="n">
        <x:v>-0.0603</x:v>
      </x:c>
      <x:c r="C3843" s="6" t="n">
        <x:v>0</x:v>
      </x:c>
      <x:c r="D3843" s="6" t="n">
        <x:f>B3843</x:f>
        <x:v>-0.0603</x:v>
      </x:c>
      <x:c r="E3843" s="1" t="n">
        <x:v>1.05</x:v>
      </x:c>
      <x:c r="F3843" s="1" t="str">
        <x:v>https://api.octopus.energy/v1/products/AGILE-24-10-01/electricity-tariffs/E-1R-AGILE-24-10-01-G/standard-unit-rates/</x:v>
      </x:c>
    </x:row>
    <x:row r="3844" ht="21" customHeight="1">
      <x:c r="A3844" s="24" t="n">
        <x:v>46228.583333333336</x:v>
      </x:c>
      <x:c r="B3844" s="6" t="n">
        <x:v>-0.0464</x:v>
      </x:c>
      <x:c r="C3844" s="6" t="n">
        <x:v>0.005</x:v>
      </x:c>
      <x:c r="D3844" s="6" t="n">
        <x:f>B3844</x:f>
        <x:v>-0.0464</x:v>
      </x:c>
      <x:c r="E3844" s="1" t="n">
        <x:v>1.05</x:v>
      </x:c>
      <x:c r="F3844" s="1" t="str">
        <x:v>https://api.octopus.energy/v1/products/AGILE-24-10-01/electricity-tariffs/E-1R-AGILE-24-10-01-G/standard-unit-rates/</x:v>
      </x:c>
    </x:row>
    <x:row r="3845" ht="21" customHeight="1">
      <x:c r="A3845" s="24" t="n">
        <x:v>46228.604166666664</x:v>
      </x:c>
      <x:c r="B3845" s="6" t="n">
        <x:v>-0.032</x:v>
      </x:c>
      <x:c r="C3845" s="6" t="n">
        <x:v>0.0116</x:v>
      </x:c>
      <x:c r="D3845" s="6" t="n">
        <x:f>B3845</x:f>
        <x:v>-0.032</x:v>
      </x:c>
      <x:c r="E3845" s="1" t="n">
        <x:v>1.05</x:v>
      </x:c>
      <x:c r="F3845" s="1" t="str">
        <x:v>https://api.octopus.energy/v1/products/AGILE-24-10-01/electricity-tariffs/E-1R-AGILE-24-10-01-G/standard-unit-rates/</x:v>
      </x:c>
    </x:row>
    <x:row r="3846" ht="21" customHeight="1">
      <x:c r="A3846" s="24" t="n">
        <x:v>46228.625</x:v>
      </x:c>
      <x:c r="B3846" s="6" t="n">
        <x:v>-0.0447</x:v>
      </x:c>
      <x:c r="C3846" s="6" t="n">
        <x:v>0.0058</x:v>
      </x:c>
      <x:c r="D3846" s="6" t="n">
        <x:f>B3846</x:f>
        <x:v>-0.0447</x:v>
      </x:c>
      <x:c r="E3846" s="1" t="n">
        <x:v>1.05</x:v>
      </x:c>
      <x:c r="F3846" s="1" t="str">
        <x:v>https://api.octopus.energy/v1/products/AGILE-24-10-01/electricity-tariffs/E-1R-AGILE-24-10-01-G/standard-unit-rates/</x:v>
      </x:c>
    </x:row>
    <x:row r="3847" ht="21" customHeight="1">
      <x:c r="A3847" s="24" t="n">
        <x:v>46228.645833333336</x:v>
      </x:c>
      <x:c r="B3847" s="6" t="n">
        <x:v>-0.032799999999999996</x:v>
      </x:c>
      <x:c r="C3847" s="6" t="n">
        <x:v>0.0113</x:v>
      </x:c>
      <x:c r="D3847" s="6" t="n">
        <x:f>B3847</x:f>
        <x:v>-0.032799999999999996</x:v>
      </x:c>
      <x:c r="E3847" s="1" t="n">
        <x:v>1.05</x:v>
      </x:c>
      <x:c r="F3847" s="1" t="str">
        <x:v>https://api.octopus.energy/v1/products/AGILE-24-10-01/electricity-tariffs/E-1R-AGILE-24-10-01-G/standard-unit-rates/</x:v>
      </x:c>
    </x:row>
    <x:row r="3848" ht="21" customHeight="1">
      <x:c r="A3848" s="24" t="n">
        <x:v>46228.666666666664</x:v>
      </x:c>
      <x:c r="B3848" s="6" t="n">
        <x:v>0.048</x:v>
      </x:c>
      <x:c r="C3848" s="6" t="n">
        <x:v>0.052199999999999996</x:v>
      </x:c>
      <x:c r="D3848" s="6" t="n">
        <x:f>B3848</x:f>
        <x:v>0.048</x:v>
      </x:c>
      <x:c r="E3848" s="1" t="n">
        <x:v>1.05</x:v>
      </x:c>
      <x:c r="F3848" s="1" t="str">
        <x:v>https://api.octopus.energy/v1/products/AGILE-24-10-01/electricity-tariffs/E-1R-AGILE-24-10-01-G/standard-unit-rates/</x:v>
      </x:c>
    </x:row>
    <x:row r="3849" ht="21" customHeight="1">
      <x:c r="A3849" s="24" t="n">
        <x:v>46228.6875</x:v>
      </x:c>
      <x:c r="B3849" s="6" t="n">
        <x:v>0.135</x:v>
      </x:c>
      <x:c r="C3849" s="6" t="n">
        <x:v>0.092</x:v>
      </x:c>
      <x:c r="D3849" s="6" t="n">
        <x:f>B3849</x:f>
        <x:v>0.135</x:v>
      </x:c>
      <x:c r="E3849" s="1" t="n">
        <x:v>1.05</x:v>
      </x:c>
      <x:c r="F3849" s="1" t="str">
        <x:v>https://api.octopus.energy/v1/products/AGILE-24-10-01/electricity-tariffs/E-1R-AGILE-24-10-01-G/standard-unit-rates/</x:v>
      </x:c>
    </x:row>
    <x:row r="3850" ht="21" customHeight="1">
      <x:c r="A3850" s="24" t="n">
        <x:v>46228.708333333336</x:v>
      </x:c>
      <x:c r="B3850" s="6" t="n">
        <x:v>0.20579999999999998</x:v>
      </x:c>
      <x:c r="C3850" s="6" t="n">
        <x:v>0.1244</x:v>
      </x:c>
      <x:c r="D3850" s="6" t="n">
        <x:f>B3850</x:f>
        <x:v>0.20579999999999998</x:v>
      </x:c>
      <x:c r="E3850" s="1" t="n">
        <x:v>1.05</x:v>
      </x:c>
      <x:c r="F3850" s="1" t="str">
        <x:v>https://api.octopus.energy/v1/products/AGILE-24-10-01/electricity-tariffs/E-1R-AGILE-24-10-01-G/standard-unit-rates/</x:v>
      </x:c>
    </x:row>
    <x:row r="3851" ht="21" customHeight="1">
      <x:c r="A3851" s="24" t="n">
        <x:v>46228.729166666664</x:v>
      </x:c>
      <x:c r="B3851" s="6" t="n">
        <x:v>0.2768</x:v>
      </x:c>
      <x:c r="C3851" s="6" t="n">
        <x:v>0.15689999999999998</x:v>
      </x:c>
      <x:c r="D3851" s="6" t="n">
        <x:f>B3851</x:f>
        <x:v>0.2768</x:v>
      </x:c>
      <x:c r="E3851" s="1" t="n">
        <x:v>1.05</x:v>
      </x:c>
      <x:c r="F3851" s="1" t="str">
        <x:v>https://api.octopus.energy/v1/products/AGILE-24-10-01/electricity-tariffs/E-1R-AGILE-24-10-01-G/standard-unit-rates/</x:v>
      </x:c>
    </x:row>
    <x:row r="3852" ht="21" customHeight="1">
      <x:c r="A3852" s="24" t="n">
        <x:v>46228.75</x:v>
      </x:c>
      <x:c r="B3852" s="6" t="n">
        <x:v>0.3638</x:v>
      </x:c>
      <x:c r="C3852" s="6" t="n">
        <x:v>0.1966</x:v>
      </x:c>
      <x:c r="D3852" s="6" t="n">
        <x:f>B3852</x:f>
        <x:v>0.3638</x:v>
      </x:c>
      <x:c r="E3852" s="1" t="n">
        <x:v>1.05</x:v>
      </x:c>
      <x:c r="F3852" s="1" t="str">
        <x:v>https://api.octopus.energy/v1/products/AGILE-24-10-01/electricity-tariffs/E-1R-AGILE-24-10-01-G/standard-unit-rates/</x:v>
      </x:c>
    </x:row>
    <x:row r="3853" ht="21" customHeight="1">
      <x:c r="A3853" s="24" t="n">
        <x:v>46228.770833333336</x:v>
      </x:c>
      <x:c r="B3853" s="6" t="n">
        <x:v>0.3774</x:v>
      </x:c>
      <x:c r="C3853" s="6" t="n">
        <x:v>0.2029</x:v>
      </x:c>
      <x:c r="D3853" s="6" t="n">
        <x:f>B3853</x:f>
        <x:v>0.3774</x:v>
      </x:c>
      <x:c r="E3853" s="1" t="n">
        <x:v>1.05</x:v>
      </x:c>
      <x:c r="F3853" s="1" t="str">
        <x:v>https://api.octopus.energy/v1/products/AGILE-24-10-01/electricity-tariffs/E-1R-AGILE-24-10-01-G/standard-unit-rates/</x:v>
      </x:c>
    </x:row>
    <x:row r="3854" ht="21" customHeight="1">
      <x:c r="A3854" s="24" t="n">
        <x:v>46228.791666666664</x:v>
      </x:c>
      <x:c r="B3854" s="6" t="n">
        <x:v>0.2646</x:v>
      </x:c>
      <x:c r="C3854" s="6" t="n">
        <x:v>0.1472</x:v>
      </x:c>
      <x:c r="D3854" s="6" t="n">
        <x:f>B3854</x:f>
        <x:v>0.2646</x:v>
      </x:c>
      <x:c r="E3854" s="1" t="n">
        <x:v>1.05</x:v>
      </x:c>
      <x:c r="F3854" s="1" t="str">
        <x:v>https://api.octopus.energy/v1/products/AGILE-24-10-01/electricity-tariffs/E-1R-AGILE-24-10-01-G/standard-unit-rates/</x:v>
      </x:c>
    </x:row>
    <x:row r="3855" ht="21" customHeight="1">
      <x:c r="A3855" s="24" t="n">
        <x:v>46228.8125</x:v>
      </x:c>
      <x:c r="B3855" s="6" t="n">
        <x:v>0.2777</x:v>
      </x:c>
      <x:c r="C3855" s="6" t="n">
        <x:v>0.1532</x:v>
      </x:c>
      <x:c r="D3855" s="6" t="n">
        <x:f>B3855</x:f>
        <x:v>0.2777</x:v>
      </x:c>
      <x:c r="E3855" s="1" t="n">
        <x:v>1.05</x:v>
      </x:c>
      <x:c r="F3855" s="1" t="str">
        <x:v>https://api.octopus.energy/v1/products/AGILE-24-10-01/electricity-tariffs/E-1R-AGILE-24-10-01-G/standard-unit-rates/</x:v>
      </x:c>
    </x:row>
    <x:row r="3856" ht="21" customHeight="1">
      <x:c r="A3856" s="24" t="n">
        <x:v>46228.833333333336</x:v>
      </x:c>
      <x:c r="B3856" s="6" t="n">
        <x:v>0.29</x:v>
      </x:c>
      <x:c r="C3856" s="6" t="n">
        <x:v>0.1588</x:v>
      </x:c>
      <x:c r="D3856" s="6" t="n">
        <x:f>B3856</x:f>
        <x:v>0.29</x:v>
      </x:c>
      <x:c r="E3856" s="1" t="n">
        <x:v>1.05</x:v>
      </x:c>
      <x:c r="F3856" s="1" t="str">
        <x:v>https://api.octopus.energy/v1/products/AGILE-24-10-01/electricity-tariffs/E-1R-AGILE-24-10-01-G/standard-unit-rates/</x:v>
      </x:c>
    </x:row>
    <x:row r="3857" ht="21" customHeight="1">
      <x:c r="A3857" s="24" t="n">
        <x:v>46228.854166666664</x:v>
      </x:c>
      <x:c r="B3857" s="6" t="n">
        <x:v>0.2984</x:v>
      </x:c>
      <x:c r="C3857" s="6" t="n">
        <x:v>0.16269999999999998</x:v>
      </x:c>
      <x:c r="D3857" s="6" t="n">
        <x:f>B3857</x:f>
        <x:v>0.2984</x:v>
      </x:c>
      <x:c r="E3857" s="1" t="n">
        <x:v>1.05</x:v>
      </x:c>
      <x:c r="F3857" s="1" t="str">
        <x:v>https://api.octopus.energy/v1/products/AGILE-24-10-01/electricity-tariffs/E-1R-AGILE-24-10-01-G/standard-unit-rates/</x:v>
      </x:c>
    </x:row>
    <x:row r="3858" ht="21" customHeight="1">
      <x:c r="A3858" s="24" t="n">
        <x:v>46228.875</x:v>
      </x:c>
      <x:c r="B3858" s="6" t="n">
        <x:v>0.2742</x:v>
      </x:c>
      <x:c r="C3858" s="6" t="n">
        <x:v>0.1516</x:v>
      </x:c>
      <x:c r="D3858" s="6" t="n">
        <x:f>B3858</x:f>
        <x:v>0.2742</x:v>
      </x:c>
      <x:c r="E3858" s="1" t="n">
        <x:v>1.05</x:v>
      </x:c>
      <x:c r="F3858" s="1" t="str">
        <x:v>https://api.octopus.energy/v1/products/AGILE-24-10-01/electricity-tariffs/E-1R-AGILE-24-10-01-G/standard-unit-rates/</x:v>
      </x:c>
    </x:row>
    <x:row r="3859" ht="21" customHeight="1">
      <x:c r="A3859" s="24" t="n">
        <x:v>46228.895833333336</x:v>
      </x:c>
      <x:c r="B3859" s="6" t="n">
        <x:v>0.2851</x:v>
      </x:c>
      <x:c r="C3859" s="6" t="n">
        <x:v>0.1566</x:v>
      </x:c>
      <x:c r="D3859" s="6" t="n">
        <x:f>B3859</x:f>
        <x:v>0.2851</x:v>
      </x:c>
      <x:c r="E3859" s="1" t="n">
        <x:v>1.05</x:v>
      </x:c>
      <x:c r="F3859" s="1" t="str">
        <x:v>https://api.octopus.energy/v1/products/AGILE-24-10-01/electricity-tariffs/E-1R-AGILE-24-10-01-G/standard-unit-rates/</x:v>
      </x:c>
    </x:row>
    <x:row r="3860" ht="21" customHeight="1">
      <x:c r="A3860" s="24" t="n">
        <x:v>46228.916666666664</x:v>
      </x:c>
      <x:c r="B3860" s="6" t="n">
        <x:v>0.26780000000000004</x:v>
      </x:c>
      <x:c r="C3860" s="6" t="n">
        <x:v>0.1487</x:v>
      </x:c>
      <x:c r="D3860" s="6" t="n">
        <x:f>B3860</x:f>
        <x:v>0.26780000000000004</x:v>
      </x:c>
      <x:c r="E3860" s="1" t="n">
        <x:v>1.05</x:v>
      </x:c>
      <x:c r="F3860" s="1" t="str">
        <x:v>https://api.octopus.energy/v1/products/AGILE-24-10-01/electricity-tariffs/E-1R-AGILE-24-10-01-G/standard-unit-rates/</x:v>
      </x:c>
    </x:row>
    <x:row r="3861" ht="21" customHeight="1">
      <x:c r="A3861" s="24" t="n">
        <x:v>46228.9375</x:v>
      </x:c>
      <x:c r="B3861" s="6" t="n">
        <x:v>0.2652</x:v>
      </x:c>
      <x:c r="C3861" s="6" t="n">
        <x:v>0.1475</x:v>
      </x:c>
      <x:c r="D3861" s="6" t="n">
        <x:f>B3861</x:f>
        <x:v>0.2652</x:v>
      </x:c>
      <x:c r="E3861" s="1" t="n">
        <x:v>1.05</x:v>
      </x:c>
      <x:c r="F3861" s="1" t="str">
        <x:v>https://api.octopus.energy/v1/products/AGILE-24-10-01/electricity-tariffs/E-1R-AGILE-24-10-01-G/standard-unit-rates/</x:v>
      </x:c>
    </x:row>
    <x:row r="3862" ht="21" customHeight="1">
      <x:c r="A3862" s="24" t="n">
        <x:v>46229</x:v>
      </x:c>
      <x:c r="B3862" s="6" t="n">
        <x:v>0.2706</x:v>
      </x:c>
      <x:c r="C3862" s="6" t="n">
        <x:v>0.15</x:v>
      </x:c>
      <x:c r="D3862" s="6" t="n">
        <x:f>B3862</x:f>
        <x:v>0.2706</x:v>
      </x:c>
      <x:c r="E3862" s="1" t="n">
        <x:v>1.05</x:v>
      </x:c>
      <x:c r="F3862" s="1" t="str">
        <x:v>https://api.octopus.energy/v1/products/AGILE-24-10-01/electricity-tariffs/E-1R-AGILE-24-10-01-G/standard-unit-rates/</x:v>
      </x:c>
    </x:row>
    <x:row r="3863" ht="21" customHeight="1">
      <x:c r="A3863" s="24" t="n">
        <x:v>46228.979166666664</x:v>
      </x:c>
      <x:c r="B3863" s="6" t="n">
        <x:v>0.253</x:v>
      </x:c>
      <x:c r="C3863" s="6" t="n">
        <x:v>0.1419</x:v>
      </x:c>
      <x:c r="D3863" s="6" t="n">
        <x:f>B3863</x:f>
        <x:v>0.253</x:v>
      </x:c>
      <x:c r="E3863" s="1" t="n">
        <x:v>1.05</x:v>
      </x:c>
      <x:c r="F3863" s="1" t="str">
        <x:v>https://api.octopus.energy/v1/products/AGILE-24-10-01/electricity-tariffs/E-1R-AGILE-24-10-01-G/standard-unit-rates/</x:v>
      </x:c>
    </x:row>
    <x:row r="3864" ht="21" customHeight="1">
      <x:c r="A3864" s="24" t="n">
        <x:v>46229</x:v>
      </x:c>
      <x:c r="B3864" s="6" t="n">
        <x:v>0.2614</x:v>
      </x:c>
      <x:c r="C3864" s="6" t="n">
        <x:v>0.1457</x:v>
      </x:c>
      <x:c r="D3864" s="6" t="n">
        <x:f>B3864</x:f>
        <x:v>0.2614</x:v>
      </x:c>
      <x:c r="E3864" s="1" t="n">
        <x:v>1.05</x:v>
      </x:c>
      <x:c r="F3864" s="1" t="str">
        <x:v>https://api.octopus.energy/v1/products/AGILE-24-10-01/electricity-tariffs/E-1R-AGILE-24-10-01-G/standard-unit-rates/</x:v>
      </x:c>
    </x:row>
    <x:row r="3865" ht="21" customHeight="1">
      <x:c r="A3865" s="24" t="n">
        <x:v>46229.020833333336</x:v>
      </x:c>
      <x:c r="B3865" s="6" t="n">
        <x:v>0.24600000000000002</x:v>
      </x:c>
      <x:c r="C3865" s="6" t="n">
        <x:v>0.1387</x:v>
      </x:c>
      <x:c r="D3865" s="6" t="n">
        <x:f>B3865</x:f>
        <x:v>0.24600000000000002</x:v>
      </x:c>
      <x:c r="E3865" s="1" t="n">
        <x:v>1.05</x:v>
      </x:c>
      <x:c r="F3865" s="1" t="str">
        <x:v>https://api.octopus.energy/v1/products/AGILE-24-10-01/electricity-tariffs/E-1R-AGILE-24-10-01-G/standard-unit-rates/</x:v>
      </x:c>
    </x:row>
    <x:row r="3866" ht="21" customHeight="1">
      <x:c r="A3866" s="24" t="n">
        <x:v>46229.041666666664</x:v>
      </x:c>
      <x:c r="B3866" s="6" t="n">
        <x:v>0.2346</x:v>
      </x:c>
      <x:c r="C3866" s="6" t="n">
        <x:v>0.1335</x:v>
      </x:c>
      <x:c r="D3866" s="6" t="n">
        <x:f>B3866</x:f>
        <x:v>0.2346</x:v>
      </x:c>
      <x:c r="E3866" s="1" t="n">
        <x:v>1.05</x:v>
      </x:c>
      <x:c r="F3866" s="1" t="str">
        <x:v>https://api.octopus.energy/v1/products/AGILE-24-10-01/electricity-tariffs/E-1R-AGILE-24-10-01-G/standard-unit-rates/</x:v>
      </x:c>
    </x:row>
    <x:row r="3867" ht="21" customHeight="1">
      <x:c r="A3867" s="24" t="n">
        <x:v>46229.0625</x:v>
      </x:c>
      <x:c r="B3867" s="6" t="n">
        <x:v>0.2285</x:v>
      </x:c>
      <x:c r="C3867" s="6" t="n">
        <x:v>0.1307</x:v>
      </x:c>
      <x:c r="D3867" s="6" t="n">
        <x:f>B3867</x:f>
        <x:v>0.2285</x:v>
      </x:c>
      <x:c r="E3867" s="1" t="n">
        <x:v>1.05</x:v>
      </x:c>
      <x:c r="F3867" s="1" t="str">
        <x:v>https://api.octopus.energy/v1/products/AGILE-24-10-01/electricity-tariffs/E-1R-AGILE-24-10-01-G/standard-unit-rates/</x:v>
      </x:c>
    </x:row>
    <x:row r="3868" ht="21" customHeight="1">
      <x:c r="A3868" s="24" t="n">
        <x:v>46229.083333333336</x:v>
      </x:c>
      <x:c r="B3868" s="6" t="n">
        <x:v>0.228</x:v>
      </x:c>
      <x:c r="C3868" s="6" t="n">
        <x:v>0.1305</x:v>
      </x:c>
      <x:c r="D3868" s="6" t="n">
        <x:f>B3868</x:f>
        <x:v>0.228</x:v>
      </x:c>
      <x:c r="E3868" s="1" t="n">
        <x:v>1.05</x:v>
      </x:c>
      <x:c r="F3868" s="1" t="str">
        <x:v>https://api.octopus.energy/v1/products/AGILE-24-10-01/electricity-tariffs/E-1R-AGILE-24-10-01-G/standard-unit-rates/</x:v>
      </x:c>
    </x:row>
    <x:row r="3869" ht="21" customHeight="1">
      <x:c r="A3869" s="24" t="n">
        <x:v>46229.104166666664</x:v>
      </x:c>
      <x:c r="B3869" s="6" t="n">
        <x:v>0.2112</x:v>
      </x:c>
      <x:c r="C3869" s="6" t="n">
        <x:v>0.12279999999999999</x:v>
      </x:c>
      <x:c r="D3869" s="6" t="n">
        <x:f>B3869</x:f>
        <x:v>0.2112</x:v>
      </x:c>
      <x:c r="E3869" s="1" t="n">
        <x:v>1.05</x:v>
      </x:c>
      <x:c r="F3869" s="1" t="str">
        <x:v>https://api.octopus.energy/v1/products/AGILE-24-10-01/electricity-tariffs/E-1R-AGILE-24-10-01-G/standard-unit-rates/</x:v>
      </x:c>
    </x:row>
    <x:row r="3870" ht="21" customHeight="1">
      <x:c r="A3870" s="24" t="n">
        <x:v>46229.125</x:v>
      </x:c>
      <x:c r="B3870" s="6" t="n">
        <x:v>0.2025</x:v>
      </x:c>
      <x:c r="C3870" s="6" t="n">
        <x:v>0.1188</x:v>
      </x:c>
      <x:c r="D3870" s="6" t="n">
        <x:f>B3870</x:f>
        <x:v>0.2025</x:v>
      </x:c>
      <x:c r="E3870" s="1" t="n">
        <x:v>1.05</x:v>
      </x:c>
      <x:c r="F3870" s="1" t="str">
        <x:v>https://api.octopus.energy/v1/products/AGILE-24-10-01/electricity-tariffs/E-1R-AGILE-24-10-01-G/standard-unit-rates/</x:v>
      </x:c>
    </x:row>
    <x:row r="3871" ht="21" customHeight="1">
      <x:c r="A3871" s="24" t="n">
        <x:v>46229.145833333336</x:v>
      </x:c>
      <x:c r="B3871" s="6" t="n">
        <x:v>0.1963</x:v>
      </x:c>
      <x:c r="C3871" s="6" t="n">
        <x:v>0.11599999999999999</x:v>
      </x:c>
      <x:c r="D3871" s="6" t="n">
        <x:f>B3871</x:f>
        <x:v>0.1963</x:v>
      </x:c>
      <x:c r="E3871" s="1" t="n">
        <x:v>1.05</x:v>
      </x:c>
      <x:c r="F3871" s="1" t="str">
        <x:v>https://api.octopus.energy/v1/products/AGILE-24-10-01/electricity-tariffs/E-1R-AGILE-24-10-01-G/standard-unit-rates/</x:v>
      </x:c>
    </x:row>
    <x:row r="3872" ht="21" customHeight="1">
      <x:c r="A3872" s="24" t="n">
        <x:v>46229.166666666664</x:v>
      </x:c>
      <x:c r="B3872" s="6" t="n">
        <x:v>0.193</x:v>
      </x:c>
      <x:c r="C3872" s="6" t="n">
        <x:v>0.11449999999999999</x:v>
      </x:c>
      <x:c r="D3872" s="6" t="n">
        <x:f>B3872</x:f>
        <x:v>0.193</x:v>
      </x:c>
      <x:c r="E3872" s="1" t="n">
        <x:v>1.05</x:v>
      </x:c>
      <x:c r="F3872" s="1" t="str">
        <x:v>https://api.octopus.energy/v1/products/AGILE-24-10-01/electricity-tariffs/E-1R-AGILE-24-10-01-G/standard-unit-rates/</x:v>
      </x:c>
    </x:row>
    <x:row r="3873" ht="21" customHeight="1">
      <x:c r="A3873" s="24" t="n">
        <x:v>46229.1875</x:v>
      </x:c>
      <x:c r="B3873" s="6" t="n">
        <x:v>0.1752</x:v>
      </x:c>
      <x:c r="C3873" s="6" t="n">
        <x:v>0.10640000000000001</x:v>
      </x:c>
      <x:c r="D3873" s="6" t="n">
        <x:f>B3873</x:f>
        <x:v>0.1752</x:v>
      </x:c>
      <x:c r="E3873" s="1" t="n">
        <x:v>1.05</x:v>
      </x:c>
      <x:c r="F3873" s="1" t="str">
        <x:v>https://api.octopus.energy/v1/products/AGILE-24-10-01/electricity-tariffs/E-1R-AGILE-24-10-01-G/standard-unit-rates/</x:v>
      </x:c>
    </x:row>
    <x:row r="3874" ht="21" customHeight="1">
      <x:c r="A3874" s="24" t="n">
        <x:v>46229.208333333336</x:v>
      </x:c>
      <x:c r="B3874" s="6" t="n">
        <x:v>0.1655</x:v>
      </x:c>
      <x:c r="C3874" s="6" t="n">
        <x:v>0.10189999999999999</x:v>
      </x:c>
      <x:c r="D3874" s="6" t="n">
        <x:f>B3874</x:f>
        <x:v>0.1655</x:v>
      </x:c>
      <x:c r="E3874" s="1" t="n">
        <x:v>1.05</x:v>
      </x:c>
      <x:c r="F3874" s="1" t="str">
        <x:v>https://api.octopus.energy/v1/products/AGILE-24-10-01/electricity-tariffs/E-1R-AGILE-24-10-01-G/standard-unit-rates/</x:v>
      </x:c>
    </x:row>
    <x:row r="3875" ht="21" customHeight="1">
      <x:c r="A3875" s="24" t="n">
        <x:v>46229.229166666664</x:v>
      </x:c>
      <x:c r="B3875" s="6" t="n">
        <x:v>0.1585</x:v>
      </x:c>
      <x:c r="C3875" s="6" t="n">
        <x:v>0.0987</x:v>
      </x:c>
      <x:c r="D3875" s="6" t="n">
        <x:f>B3875</x:f>
        <x:v>0.1585</x:v>
      </x:c>
      <x:c r="E3875" s="1" t="n">
        <x:v>1.05</x:v>
      </x:c>
      <x:c r="F3875" s="1" t="str">
        <x:v>https://api.octopus.energy/v1/products/AGILE-24-10-01/electricity-tariffs/E-1R-AGILE-24-10-01-G/standard-unit-rates/</x:v>
      </x:c>
    </x:row>
    <x:row r="3876" ht="21" customHeight="1">
      <x:c r="A3876" s="24" t="n">
        <x:v>46229.25</x:v>
      </x:c>
      <x:c r="B3876" s="6" t="n">
        <x:v>0.16190000000000002</x:v>
      </x:c>
      <x:c r="C3876" s="6" t="n">
        <x:v>0.1003</x:v>
      </x:c>
      <x:c r="D3876" s="6" t="n">
        <x:f>B3876</x:f>
        <x:v>0.16190000000000002</x:v>
      </x:c>
      <x:c r="E3876" s="1" t="n">
        <x:v>1.05</x:v>
      </x:c>
      <x:c r="F3876" s="1" t="str">
        <x:v>https://api.octopus.energy/v1/products/AGILE-24-10-01/electricity-tariffs/E-1R-AGILE-24-10-01-G/standard-unit-rates/</x:v>
      </x:c>
    </x:row>
    <x:row r="3877" ht="21" customHeight="1">
      <x:c r="A3877" s="24" t="n">
        <x:v>46229.270833333336</x:v>
      </x:c>
      <x:c r="B3877" s="6" t="n">
        <x:v>0.16399999999999998</x:v>
      </x:c>
      <x:c r="C3877" s="6" t="n">
        <x:v>0.1012</x:v>
      </x:c>
      <x:c r="D3877" s="6" t="n">
        <x:f>B3877</x:f>
        <x:v>0.16399999999999998</x:v>
      </x:c>
      <x:c r="E3877" s="1" t="n">
        <x:v>1.05</x:v>
      </x:c>
      <x:c r="F3877" s="1" t="str">
        <x:v>https://api.octopus.energy/v1/products/AGILE-24-10-01/electricity-tariffs/E-1R-AGILE-24-10-01-G/standard-unit-rates/</x:v>
      </x:c>
    </x:row>
    <x:row r="3878" ht="21" customHeight="1">
      <x:c r="A3878" s="24" t="n">
        <x:v>46229.291666666664</x:v>
      </x:c>
      <x:c r="B3878" s="6" t="n">
        <x:v>0.1407</x:v>
      </x:c>
      <x:c r="C3878" s="6" t="n">
        <x:v>0.0906</x:v>
      </x:c>
      <x:c r="D3878" s="6" t="n">
        <x:f>B3878</x:f>
        <x:v>0.1407</x:v>
      </x:c>
      <x:c r="E3878" s="1" t="n">
        <x:v>1.05</x:v>
      </x:c>
      <x:c r="F3878" s="1" t="str">
        <x:v>https://api.octopus.energy/v1/products/AGILE-24-10-01/electricity-tariffs/E-1R-AGILE-24-10-01-G/standard-unit-rates/</x:v>
      </x:c>
    </x:row>
    <x:row r="3879" ht="21" customHeight="1">
      <x:c r="A3879" s="24" t="n">
        <x:v>46229.3125</x:v>
      </x:c>
      <x:c r="B3879" s="6" t="n">
        <x:v>0.15109999999999998</x:v>
      </x:c>
      <x:c r="C3879" s="6" t="n">
        <x:v>0.0953</x:v>
      </x:c>
      <x:c r="D3879" s="6" t="n">
        <x:f>B3879</x:f>
        <x:v>0.15109999999999998</x:v>
      </x:c>
      <x:c r="E3879" s="1" t="n">
        <x:v>1.05</x:v>
      </x:c>
      <x:c r="F3879" s="1" t="str">
        <x:v>https://api.octopus.energy/v1/products/AGILE-24-10-01/electricity-tariffs/E-1R-AGILE-24-10-01-G/standard-unit-rates/</x:v>
      </x:c>
    </x:row>
    <x:row r="3880" ht="21" customHeight="1">
      <x:c r="A3880" s="24" t="n">
        <x:v>46229.333333333336</x:v>
      </x:c>
      <x:c r="B3880" s="6" t="n">
        <x:v>0.0742</x:v>
      </x:c>
      <x:c r="C3880" s="6" t="n">
        <x:v>0.0602</x:v>
      </x:c>
      <x:c r="D3880" s="6" t="n">
        <x:f>B3880</x:f>
        <x:v>0.0742</x:v>
      </x:c>
      <x:c r="E3880" s="1" t="n">
        <x:v>1.05</x:v>
      </x:c>
      <x:c r="F3880" s="1" t="str">
        <x:v>https://api.octopus.energy/v1/products/AGILE-24-10-01/electricity-tariffs/E-1R-AGILE-24-10-01-G/standard-unit-rates/</x:v>
      </x:c>
    </x:row>
    <x:row r="3881" ht="21" customHeight="1">
      <x:c r="A3881" s="24" t="n">
        <x:v>46229.354166666664</x:v>
      </x:c>
      <x:c r="B3881" s="6" t="n">
        <x:v>0.0716</x:v>
      </x:c>
      <x:c r="C3881" s="6" t="n">
        <x:v>0.059000000000000004</x:v>
      </x:c>
      <x:c r="D3881" s="6" t="n">
        <x:f>B3881</x:f>
        <x:v>0.0716</x:v>
      </x:c>
      <x:c r="E3881" s="1" t="n">
        <x:v>1.05</x:v>
      </x:c>
      <x:c r="F3881" s="1" t="str">
        <x:v>https://api.octopus.energy/v1/products/AGILE-24-10-01/electricity-tariffs/E-1R-AGILE-24-10-01-G/standard-unit-rates/</x:v>
      </x:c>
    </x:row>
    <x:row r="3882" ht="21" customHeight="1">
      <x:c r="A3882" s="24" t="n">
        <x:v>46229.375</x:v>
      </x:c>
      <x:c r="B3882" s="6" t="n">
        <x:v>0.019</x:v>
      </x:c>
      <x:c r="C3882" s="6" t="n">
        <x:v>0.0349</x:v>
      </x:c>
      <x:c r="D3882" s="6" t="n">
        <x:f>B3882</x:f>
        <x:v>0.019</x:v>
      </x:c>
      <x:c r="E3882" s="1" t="n">
        <x:v>1.05</x:v>
      </x:c>
      <x:c r="F3882" s="1" t="str">
        <x:v>https://api.octopus.energy/v1/products/AGILE-24-10-01/electricity-tariffs/E-1R-AGILE-24-10-01-G/standard-unit-rates/</x:v>
      </x:c>
    </x:row>
    <x:row r="3883" ht="21" customHeight="1">
      <x:c r="A3883" s="24" t="n">
        <x:v>46229.395833333336</x:v>
      </x:c>
      <x:c r="B3883" s="6" t="n">
        <x:v>0.0089</x:v>
      </x:c>
      <x:c r="C3883" s="6" t="n">
        <x:v>0.030299999999999997</x:v>
      </x:c>
      <x:c r="D3883" s="6" t="n">
        <x:f>B3883</x:f>
        <x:v>0.0089</x:v>
      </x:c>
      <x:c r="E3883" s="1" t="n">
        <x:v>1.05</x:v>
      </x:c>
      <x:c r="F3883" s="1" t="str">
        <x:v>https://api.octopus.energy/v1/products/AGILE-24-10-01/electricity-tariffs/E-1R-AGILE-24-10-01-G/standard-unit-rates/</x:v>
      </x:c>
    </x:row>
    <x:row r="3884" ht="21" customHeight="1">
      <x:c r="A3884" s="24" t="n">
        <x:v>46229.416666666664</x:v>
      </x:c>
      <x:c r="B3884" s="6" t="n">
        <x:v>0.0113</x:v>
      </x:c>
      <x:c r="C3884" s="6" t="n">
        <x:v>0.031400000000000004</x:v>
      </x:c>
      <x:c r="D3884" s="6" t="n">
        <x:f>B3884</x:f>
        <x:v>0.0113</x:v>
      </x:c>
      <x:c r="E3884" s="1" t="n">
        <x:v>1.05</x:v>
      </x:c>
      <x:c r="F3884" s="1" t="str">
        <x:v>https://api.octopus.energy/v1/products/AGILE-24-10-01/electricity-tariffs/E-1R-AGILE-24-10-01-G/standard-unit-rates/</x:v>
      </x:c>
    </x:row>
    <x:row r="3885" ht="21" customHeight="1">
      <x:c r="A3885" s="24" t="n">
        <x:v>46229.4375</x:v>
      </x:c>
      <x:c r="B3885" s="6" t="n">
        <x:v>0.008199999999999999</x:v>
      </x:c>
      <x:c r="C3885" s="6" t="n">
        <x:v>0.03</x:v>
      </x:c>
      <x:c r="D3885" s="6" t="n">
        <x:f>B3885</x:f>
        <x:v>0.008199999999999999</x:v>
      </x:c>
      <x:c r="E3885" s="1" t="n">
        <x:v>1.05</x:v>
      </x:c>
      <x:c r="F3885" s="1" t="str">
        <x:v>https://api.octopus.energy/v1/products/AGILE-24-10-01/electricity-tariffs/E-1R-AGILE-24-10-01-G/standard-unit-rates/</x:v>
      </x:c>
    </x:row>
    <x:row r="3886" ht="21" customHeight="1">
      <x:c r="A3886" s="24" t="n">
        <x:v>46229.458333333336</x:v>
      </x:c>
      <x:c r="B3886" s="6" t="n">
        <x:v>-0.0248</x:v>
      </x:c>
      <x:c r="C3886" s="6" t="n">
        <x:v>0.0149</x:v>
      </x:c>
      <x:c r="D3886" s="6" t="n">
        <x:f>B3886</x:f>
        <x:v>-0.0248</x:v>
      </x:c>
      <x:c r="E3886" s="1" t="n">
        <x:v>1.05</x:v>
      </x:c>
      <x:c r="F3886" s="1" t="str">
        <x:v>https://api.octopus.energy/v1/products/AGILE-24-10-01/electricity-tariffs/E-1R-AGILE-24-10-01-G/standard-unit-rates/</x:v>
      </x:c>
    </x:row>
    <x:row r="3887" ht="21" customHeight="1">
      <x:c r="A3887" s="24" t="n">
        <x:v>46229.479166666664</x:v>
      </x:c>
      <x:c r="B3887" s="6" t="n">
        <x:v>-0.0433</x:v>
      </x:c>
      <x:c r="C3887" s="6" t="n">
        <x:v>0.006500000000000001</x:v>
      </x:c>
      <x:c r="D3887" s="6" t="n">
        <x:f>B3887</x:f>
        <x:v>-0.0433</x:v>
      </x:c>
      <x:c r="E3887" s="1" t="n">
        <x:v>1.05</x:v>
      </x:c>
      <x:c r="F3887" s="1" t="str">
        <x:v>https://api.octopus.energy/v1/products/AGILE-24-10-01/electricity-tariffs/E-1R-AGILE-24-10-01-G/standard-unit-rates/</x:v>
      </x:c>
    </x:row>
    <x:row r="3888" ht="21" customHeight="1">
      <x:c r="A3888" s="24" t="n">
        <x:v>46229.5</x:v>
      </x:c>
      <x:c r="B3888" s="6" t="n">
        <x:v>-0.0338</x:v>
      </x:c>
      <x:c r="C3888" s="6" t="n">
        <x:v>0.0108</x:v>
      </x:c>
      <x:c r="D3888" s="6" t="n">
        <x:f>B3888</x:f>
        <x:v>-0.0338</x:v>
      </x:c>
      <x:c r="E3888" s="1" t="n">
        <x:v>1.05</x:v>
      </x:c>
      <x:c r="F3888" s="1" t="str">
        <x:v>https://api.octopus.energy/v1/products/AGILE-24-10-01/electricity-tariffs/E-1R-AGILE-24-10-01-G/standard-unit-rates/</x:v>
      </x:c>
    </x:row>
    <x:row r="3889" ht="21" customHeight="1">
      <x:c r="A3889" s="24" t="n">
        <x:v>46229.520833333336</x:v>
      </x:c>
      <x:c r="B3889" s="6" t="n">
        <x:v>-0.048499999999999995</x:v>
      </x:c>
      <x:c r="C3889" s="6" t="n">
        <x:v>0.0040999999999999995</x:v>
      </x:c>
      <x:c r="D3889" s="6" t="n">
        <x:f>B3889</x:f>
        <x:v>-0.048499999999999995</x:v>
      </x:c>
      <x:c r="E3889" s="1" t="n">
        <x:v>1.05</x:v>
      </x:c>
      <x:c r="F3889" s="1" t="str">
        <x:v>https://api.octopus.energy/v1/products/AGILE-24-10-01/electricity-tariffs/E-1R-AGILE-24-10-01-G/standard-unit-rates/</x:v>
      </x:c>
    </x:row>
    <x:row r="3890" ht="21" customHeight="1">
      <x:c r="A3890" s="24" t="n">
        <x:v>46229.541666666664</x:v>
      </x:c>
      <x:c r="B3890" s="6" t="n">
        <x:v>-0.0418</x:v>
      </x:c>
      <x:c r="C3890" s="6" t="n">
        <x:v>0.0072</x:v>
      </x:c>
      <x:c r="D3890" s="6" t="n">
        <x:f>B3890</x:f>
        <x:v>-0.0418</x:v>
      </x:c>
      <x:c r="E3890" s="1" t="n">
        <x:v>1.05</x:v>
      </x:c>
      <x:c r="F3890" s="1" t="str">
        <x:v>https://api.octopus.energy/v1/products/AGILE-24-10-01/electricity-tariffs/E-1R-AGILE-24-10-01-G/standard-unit-rates/</x:v>
      </x:c>
    </x:row>
    <x:row r="3891" ht="21" customHeight="1">
      <x:c r="A3891" s="24" t="n">
        <x:v>46229.5625</x:v>
      </x:c>
      <x:c r="B3891" s="6" t="n">
        <x:v>-0.0504</x:v>
      </x:c>
      <x:c r="C3891" s="6" t="n">
        <x:v>0.0032</x:v>
      </x:c>
      <x:c r="D3891" s="6" t="n">
        <x:f>B3891</x:f>
        <x:v>-0.0504</x:v>
      </x:c>
      <x:c r="E3891" s="1" t="n">
        <x:v>1.05</x:v>
      </x:c>
      <x:c r="F3891" s="1" t="str">
        <x:v>https://api.octopus.energy/v1/products/AGILE-24-10-01/electricity-tariffs/E-1R-AGILE-24-10-01-G/standard-unit-rates/</x:v>
      </x:c>
    </x:row>
    <x:row r="3892" ht="21" customHeight="1">
      <x:c r="A3892" s="24" t="n">
        <x:v>46229.583333333336</x:v>
      </x:c>
      <x:c r="B3892" s="6" t="n">
        <x:v>-0.0451</x:v>
      </x:c>
      <x:c r="C3892" s="6" t="n">
        <x:v>0.005699999999999999</x:v>
      </x:c>
      <x:c r="D3892" s="6" t="n">
        <x:f>B3892</x:f>
        <x:v>-0.0451</x:v>
      </x:c>
      <x:c r="E3892" s="1" t="n">
        <x:v>1.05</x:v>
      </x:c>
      <x:c r="F3892" s="1" t="str">
        <x:v>https://api.octopus.energy/v1/products/AGILE-24-10-01/electricity-tariffs/E-1R-AGILE-24-10-01-G/standard-unit-rates/</x:v>
      </x:c>
    </x:row>
    <x:row r="3893" ht="21" customHeight="1">
      <x:c r="A3893" s="24" t="n">
        <x:v>46229.604166666664</x:v>
      </x:c>
      <x:c r="B3893" s="6" t="n">
        <x:v>-0.0429</x:v>
      </x:c>
      <x:c r="C3893" s="6" t="n">
        <x:v>0.0066</x:v>
      </x:c>
      <x:c r="D3893" s="6" t="n">
        <x:f>B3893</x:f>
        <x:v>-0.0429</x:v>
      </x:c>
      <x:c r="E3893" s="1" t="n">
        <x:v>1.05</x:v>
      </x:c>
      <x:c r="F3893" s="1" t="str">
        <x:v>https://api.octopus.energy/v1/products/AGILE-24-10-01/electricity-tariffs/E-1R-AGILE-24-10-01-G/standard-unit-rates/</x:v>
      </x:c>
    </x:row>
    <x:row r="3894" ht="21" customHeight="1">
      <x:c r="A3894" s="24" t="n">
        <x:v>46229.625</x:v>
      </x:c>
      <x:c r="B3894" s="6" t="n">
        <x:v>-0.0493</x:v>
      </x:c>
      <x:c r="C3894" s="6" t="n">
        <x:v>0.0038</x:v>
      </x:c>
      <x:c r="D3894" s="6" t="n">
        <x:f>B3894</x:f>
        <x:v>-0.0493</x:v>
      </x:c>
      <x:c r="E3894" s="1" t="n">
        <x:v>1.05</x:v>
      </x:c>
      <x:c r="F3894" s="1" t="str">
        <x:v>https://api.octopus.energy/v1/products/AGILE-24-10-01/electricity-tariffs/E-1R-AGILE-24-10-01-G/standard-unit-rates/</x:v>
      </x:c>
    </x:row>
    <x:row r="3895" ht="21" customHeight="1">
      <x:c r="A3895" s="24" t="n">
        <x:v>46229.645833333336</x:v>
      </x:c>
      <x:c r="B3895" s="6" t="n">
        <x:v>-0.0455</x:v>
      </x:c>
      <x:c r="C3895" s="6" t="n">
        <x:v>0.0055000000000000005</x:v>
      </x:c>
      <x:c r="D3895" s="6" t="n">
        <x:f>B3895</x:f>
        <x:v>-0.0455</x:v>
      </x:c>
      <x:c r="E3895" s="1" t="n">
        <x:v>1.05</x:v>
      </x:c>
      <x:c r="F3895" s="1" t="str">
        <x:v>https://api.octopus.energy/v1/products/AGILE-24-10-01/electricity-tariffs/E-1R-AGILE-24-10-01-G/standard-unit-rates/</x:v>
      </x:c>
    </x:row>
    <x:row r="3896" ht="21" customHeight="1">
      <x:c r="A3896" s="24" t="n">
        <x:v>46229.666666666664</x:v>
      </x:c>
      <x:c r="B3896" s="6" t="n">
        <x:v>0.1091</x:v>
      </x:c>
      <x:c r="C3896" s="6" t="n">
        <x:v>0.0802</x:v>
      </x:c>
      <x:c r="D3896" s="6" t="n">
        <x:f>B3896</x:f>
        <x:v>0.1091</x:v>
      </x:c>
      <x:c r="E3896" s="1" t="n">
        <x:v>1.05</x:v>
      </x:c>
      <x:c r="F3896" s="1" t="str">
        <x:v>https://api.octopus.energy/v1/products/AGILE-24-10-01/electricity-tariffs/E-1R-AGILE-24-10-01-G/standard-unit-rates/</x:v>
      </x:c>
    </x:row>
    <x:row r="3897" ht="21" customHeight="1">
      <x:c r="A3897" s="24" t="n">
        <x:v>46229.6875</x:v>
      </x:c>
      <x:c r="B3897" s="6" t="n">
        <x:v>0.1777</x:v>
      </x:c>
      <x:c r="C3897" s="6" t="n">
        <x:v>0.1116</x:v>
      </x:c>
      <x:c r="D3897" s="6" t="n">
        <x:f>B3897</x:f>
        <x:v>0.1777</x:v>
      </x:c>
      <x:c r="E3897" s="1" t="n">
        <x:v>1.05</x:v>
      </x:c>
      <x:c r="F3897" s="1" t="str">
        <x:v>https://api.octopus.energy/v1/products/AGILE-24-10-01/electricity-tariffs/E-1R-AGILE-24-10-01-G/standard-unit-rates/</x:v>
      </x:c>
    </x:row>
    <x:row r="3898" ht="21" customHeight="1">
      <x:c r="A3898" s="24" t="n">
        <x:v>46229.708333333336</x:v>
      </x:c>
      <x:c r="B3898" s="6" t="n">
        <x:v>0.26280000000000003</x:v>
      </x:c>
      <x:c r="C3898" s="6" t="n">
        <x:v>0.1505</x:v>
      </x:c>
      <x:c r="D3898" s="6" t="n">
        <x:f>B3898</x:f>
        <x:v>0.26280000000000003</x:v>
      </x:c>
      <x:c r="E3898" s="1" t="n">
        <x:v>1.05</x:v>
      </x:c>
      <x:c r="F3898" s="1" t="str">
        <x:v>https://api.octopus.energy/v1/products/AGILE-24-10-01/electricity-tariffs/E-1R-AGILE-24-10-01-G/standard-unit-rates/</x:v>
      </x:c>
    </x:row>
    <x:row r="3899" ht="21" customHeight="1">
      <x:c r="A3899" s="24" t="n">
        <x:v>46229.729166666664</x:v>
      </x:c>
      <x:c r="B3899" s="6" t="n">
        <x:v>0.2887</x:v>
      </x:c>
      <x:c r="C3899" s="6" t="n">
        <x:v>0.1623</x:v>
      </x:c>
      <x:c r="D3899" s="6" t="n">
        <x:f>B3899</x:f>
        <x:v>0.2887</x:v>
      </x:c>
      <x:c r="E3899" s="1" t="n">
        <x:v>1.05</x:v>
      </x:c>
      <x:c r="F3899" s="1" t="str">
        <x:v>https://api.octopus.energy/v1/products/AGILE-24-10-01/electricity-tariffs/E-1R-AGILE-24-10-01-G/standard-unit-rates/</x:v>
      </x:c>
    </x:row>
    <x:row r="3900" ht="21" customHeight="1">
      <x:c r="A3900" s="24" t="n">
        <x:v>46229.75</x:v>
      </x:c>
      <x:c r="B3900" s="6" t="n">
        <x:v>0.3386</x:v>
      </x:c>
      <x:c r="C3900" s="6" t="n">
        <x:v>0.18510000000000001</x:v>
      </x:c>
      <x:c r="D3900" s="6" t="n">
        <x:f>B3900</x:f>
        <x:v>0.3386</x:v>
      </x:c>
      <x:c r="E3900" s="1" t="n">
        <x:v>1.05</x:v>
      </x:c>
      <x:c r="F3900" s="1" t="str">
        <x:v>https://api.octopus.energy/v1/products/AGILE-24-10-01/electricity-tariffs/E-1R-AGILE-24-10-01-G/standard-unit-rates/</x:v>
      </x:c>
    </x:row>
    <x:row r="3901" ht="21" customHeight="1">
      <x:c r="A3901" s="24" t="n">
        <x:v>46229.770833333336</x:v>
      </x:c>
      <x:c r="B3901" s="6" t="n">
        <x:v>0.3453</x:v>
      </x:c>
      <x:c r="C3901" s="6" t="n">
        <x:v>0.1882</x:v>
      </x:c>
      <x:c r="D3901" s="6" t="n">
        <x:f>B3901</x:f>
        <x:v>0.3453</x:v>
      </x:c>
      <x:c r="E3901" s="1" t="n">
        <x:v>1.05</x:v>
      </x:c>
      <x:c r="F3901" s="1" t="str">
        <x:v>https://api.octopus.energy/v1/products/AGILE-24-10-01/electricity-tariffs/E-1R-AGILE-24-10-01-G/standard-unit-rates/</x:v>
      </x:c>
    </x:row>
    <x:row r="3902" ht="21" customHeight="1">
      <x:c r="A3902" s="24" t="n">
        <x:v>46229.791666666664</x:v>
      </x:c>
      <x:c r="B3902" s="6" t="n">
        <x:v>0.25239999999999996</x:v>
      </x:c>
      <x:c r="C3902" s="6" t="n">
        <x:v>0.1417</x:v>
      </x:c>
      <x:c r="D3902" s="6" t="n">
        <x:f>B3902</x:f>
        <x:v>0.25239999999999996</x:v>
      </x:c>
      <x:c r="E3902" s="1" t="n">
        <x:v>1.05</x:v>
      </x:c>
      <x:c r="F3902" s="1" t="str">
        <x:v>https://api.octopus.energy/v1/products/AGILE-24-10-01/electricity-tariffs/E-1R-AGILE-24-10-01-G/standard-unit-rates/</x:v>
      </x:c>
    </x:row>
    <x:row r="3903" ht="21" customHeight="1">
      <x:c r="A3903" s="24" t="n">
        <x:v>46229.8125</x:v>
      </x:c>
      <x:c r="B3903" s="6" t="n">
        <x:v>0.2564</x:v>
      </x:c>
      <x:c r="C3903" s="6" t="n">
        <x:v>0.1435</x:v>
      </x:c>
      <x:c r="D3903" s="6" t="n">
        <x:f>B3903</x:f>
        <x:v>0.2564</x:v>
      </x:c>
      <x:c r="E3903" s="1" t="n">
        <x:v>1.05</x:v>
      </x:c>
      <x:c r="F3903" s="1" t="str">
        <x:v>https://api.octopus.energy/v1/products/AGILE-24-10-01/electricity-tariffs/E-1R-AGILE-24-10-01-G/standard-unit-rates/</x:v>
      </x:c>
    </x:row>
    <x:row r="3904" ht="21" customHeight="1">
      <x:c r="A3904" s="24" t="n">
        <x:v>46229.833333333336</x:v>
      </x:c>
      <x:c r="B3904" s="6" t="n">
        <x:v>0.25170000000000003</x:v>
      </x:c>
      <x:c r="C3904" s="6" t="n">
        <x:v>0.1413</x:v>
      </x:c>
      <x:c r="D3904" s="6" t="n">
        <x:f>B3904</x:f>
        <x:v>0.25170000000000003</x:v>
      </x:c>
      <x:c r="E3904" s="1" t="n">
        <x:v>1.05</x:v>
      </x:c>
      <x:c r="F3904" s="1" t="str">
        <x:v>https://api.octopus.energy/v1/products/AGILE-24-10-01/electricity-tariffs/E-1R-AGILE-24-10-01-G/standard-unit-rates/</x:v>
      </x:c>
    </x:row>
    <x:row r="3905" ht="21" customHeight="1">
      <x:c r="A3905" s="24" t="n">
        <x:v>46229.854166666664</x:v>
      </x:c>
      <x:c r="B3905" s="6" t="n">
        <x:v>0.2522</x:v>
      </x:c>
      <x:c r="C3905" s="6" t="n">
        <x:v>0.1416</x:v>
      </x:c>
      <x:c r="D3905" s="6" t="n">
        <x:f>B3905</x:f>
        <x:v>0.2522</x:v>
      </x:c>
      <x:c r="E3905" s="1" t="n">
        <x:v>1.05</x:v>
      </x:c>
      <x:c r="F3905" s="1" t="str">
        <x:v>https://api.octopus.energy/v1/products/AGILE-24-10-01/electricity-tariffs/E-1R-AGILE-24-10-01-G/standard-unit-rates/</x:v>
      </x:c>
    </x:row>
    <x:row r="3906" ht="21" customHeight="1">
      <x:c r="A3906" s="24" t="n">
        <x:v>46229.875</x:v>
      </x:c>
      <x:c r="B3906" s="6" t="n">
        <x:v>0.2511</x:v>
      </x:c>
      <x:c r="C3906" s="6" t="n">
        <x:v>0.141</x:v>
      </x:c>
      <x:c r="D3906" s="6" t="n">
        <x:f>B3906</x:f>
        <x:v>0.2511</x:v>
      </x:c>
      <x:c r="E3906" s="1" t="n">
        <x:v>1.05</x:v>
      </x:c>
      <x:c r="F3906" s="1" t="str">
        <x:v>https://api.octopus.energy/v1/products/AGILE-24-10-01/electricity-tariffs/E-1R-AGILE-24-10-01-G/standard-unit-rates/</x:v>
      </x:c>
    </x:row>
    <x:row r="3907" ht="21" customHeight="1">
      <x:c r="A3907" s="24" t="n">
        <x:v>46229.895833333336</x:v>
      </x:c>
      <x:c r="B3907" s="6" t="n">
        <x:v>0.2501</x:v>
      </x:c>
      <x:c r="C3907" s="6" t="n">
        <x:v>0.1406</x:v>
      </x:c>
      <x:c r="D3907" s="6" t="n">
        <x:f>B3907</x:f>
        <x:v>0.2501</x:v>
      </x:c>
      <x:c r="E3907" s="1" t="n">
        <x:v>1.05</x:v>
      </x:c>
      <x:c r="F3907" s="1" t="str">
        <x:v>https://api.octopus.energy/v1/products/AGILE-24-10-01/electricity-tariffs/E-1R-AGILE-24-10-01-G/standard-unit-rates/</x:v>
      </x:c>
    </x:row>
    <x:row r="3908" ht="21" customHeight="1">
      <x:c r="A3908" s="24" t="n">
        <x:v>46229.916666666664</x:v>
      </x:c>
      <x:c r="B3908" s="6" t="n">
        <x:v>0.2519</x:v>
      </x:c>
      <x:c r="C3908" s="6" t="n">
        <x:v>0.1414</x:v>
      </x:c>
      <x:c r="D3908" s="6" t="n">
        <x:f>B3908</x:f>
        <x:v>0.2519</x:v>
      </x:c>
      <x:c r="E3908" s="1" t="n">
        <x:v>1.05</x:v>
      </x:c>
      <x:c r="F3908" s="1" t="str">
        <x:v>https://api.octopus.energy/v1/products/AGILE-24-10-01/electricity-tariffs/E-1R-AGILE-24-10-01-G/standard-unit-rates/</x:v>
      </x:c>
    </x:row>
    <x:row r="3909" ht="21" customHeight="1">
      <x:c r="A3909" s="24" t="n">
        <x:v>46229.9375</x:v>
      </x:c>
      <x:c r="B3909" s="6" t="n">
        <x:v>0.23929999999999998</x:v>
      </x:c>
      <x:c r="C3909" s="6" t="n">
        <x:v>0.13570000000000002</x:v>
      </x:c>
      <x:c r="D3909" s="6" t="n">
        <x:f>B3909</x:f>
        <x:v>0.23929999999999998</x:v>
      </x:c>
      <x:c r="E3909" s="1" t="n">
        <x:v>1.05</x:v>
      </x:c>
      <x:c r="F3909" s="1" t="str">
        <x:v>https://api.octopus.energy/v1/products/AGILE-24-10-01/electricity-tariffs/E-1R-AGILE-24-10-01-G/standard-unit-rates/</x:v>
      </x:c>
    </x:row>
    <x:row r="3910" ht="21" customHeight="1">
      <x:c r="A3910" s="24" t="n">
        <x:v>46230</x:v>
      </x:c>
      <x:c r="B3910" s="6" t="n">
        <x:v>0.1961</x:v>
      </x:c>
      <x:c r="C3910" s="6" t="n">
        <x:v>0.1159</x:v>
      </x:c>
      <x:c r="D3910" s="6" t="n">
        <x:f>B3910</x:f>
        <x:v>0.1961</x:v>
      </x:c>
      <x:c r="E3910" s="1" t="n">
        <x:v>1.05</x:v>
      </x:c>
      <x:c r="F3910" s="1" t="str">
        <x:v>https://api.octopus.energy/v1/products/AGILE-24-10-01/electricity-tariffs/E-1R-AGILE-24-10-01-G/standard-unit-rates/</x:v>
      </x:c>
    </x:row>
    <x:row r="3911" ht="21" customHeight="1">
      <x:c r="A3911" s="24" t="n">
        <x:v>46229.979166666664</x:v>
      </x:c>
      <x:c r="B3911" s="6" t="n">
        <x:v>0.1653</x:v>
      </x:c>
      <x:c r="C3911" s="6" t="n">
        <x:v>0.1018</x:v>
      </x:c>
      <x:c r="D3911" s="6" t="n">
        <x:f>B3911</x:f>
        <x:v>0.1653</x:v>
      </x:c>
      <x:c r="E3911" s="1" t="n">
        <x:v>1.05</x:v>
      </x:c>
      <x:c r="F3911" s="1" t="str">
        <x:v>https://api.octopus.energy/v1/products/AGILE-24-10-01/electricity-tariffs/E-1R-AGILE-24-10-01-G/standard-unit-rates/</x:v>
      </x:c>
    </x:row>
    <x:row r="3912" ht="21" customHeight="1">
      <x:c r="A3912" s="24" t="n">
        <x:v>46230</x:v>
      </x:c>
      <x:c r="B3912" s="6" t="n">
        <x:v>0.13699999999999998</x:v>
      </x:c>
      <x:c r="C3912" s="6" t="n">
        <x:v>0.0889</x:v>
      </x:c>
      <x:c r="D3912" s="6" t="n">
        <x:f>B3912</x:f>
        <x:v>0.13699999999999998</x:v>
      </x:c>
      <x:c r="E3912" s="1" t="n">
        <x:v>1.05</x:v>
      </x:c>
      <x:c r="F3912" s="1" t="str">
        <x:v>https://api.octopus.energy/v1/products/AGILE-24-10-01/electricity-tariffs/E-1R-AGILE-24-10-01-G/standard-unit-rates/</x:v>
      </x:c>
    </x:row>
    <x:row r="3913" ht="21" customHeight="1">
      <x:c r="A3913" s="24" t="n">
        <x:v>46230.020833333336</x:v>
      </x:c>
      <x:c r="B3913" s="6" t="n">
        <x:v>0.1505</x:v>
      </x:c>
      <x:c r="C3913" s="6" t="n">
        <x:v>0.0951</x:v>
      </x:c>
      <x:c r="D3913" s="6" t="n">
        <x:f>B3913</x:f>
        <x:v>0.1505</x:v>
      </x:c>
      <x:c r="E3913" s="1" t="n">
        <x:v>1.05</x:v>
      </x:c>
      <x:c r="F3913" s="1" t="str">
        <x:v>https://api.octopus.energy/v1/products/AGILE-24-10-01/electricity-tariffs/E-1R-AGILE-24-10-01-G/standard-unit-rates/</x:v>
      </x:c>
    </x:row>
    <x:row r="3914" ht="21" customHeight="1">
      <x:c r="A3914" s="24" t="n">
        <x:v>46230.041666666664</x:v>
      </x:c>
      <x:c r="B3914" s="6" t="n">
        <x:v>0.1358</x:v>
      </x:c>
      <x:c r="C3914" s="6" t="n">
        <x:v>0.0883</x:v>
      </x:c>
      <x:c r="D3914" s="6" t="n">
        <x:f>B3914</x:f>
        <x:v>0.1358</x:v>
      </x:c>
      <x:c r="E3914" s="1" t="n">
        <x:v>1.05</x:v>
      </x:c>
      <x:c r="F3914" s="1" t="str">
        <x:v>https://api.octopus.energy/v1/products/AGILE-24-10-01/electricity-tariffs/E-1R-AGILE-24-10-01-G/standard-unit-rates/</x:v>
      </x:c>
    </x:row>
    <x:row r="3915" ht="21" customHeight="1">
      <x:c r="A3915" s="24" t="n">
        <x:v>46230.0625</x:v>
      </x:c>
      <x:c r="B3915" s="6" t="n">
        <x:v>0.1447</x:v>
      </x:c>
      <x:c r="C3915" s="6" t="n">
        <x:v>0.0924</x:v>
      </x:c>
      <x:c r="D3915" s="6" t="n">
        <x:f>B3915</x:f>
        <x:v>0.1447</x:v>
      </x:c>
      <x:c r="E3915" s="1" t="n">
        <x:v>1.05</x:v>
      </x:c>
      <x:c r="F3915" s="1" t="str">
        <x:v>https://api.octopus.energy/v1/products/AGILE-24-10-01/electricity-tariffs/E-1R-AGILE-24-10-01-G/standard-unit-rates/</x:v>
      </x:c>
    </x:row>
    <x:row r="3916" ht="21" customHeight="1">
      <x:c r="A3916" s="24" t="n">
        <x:v>46230.083333333336</x:v>
      </x:c>
      <x:c r="B3916" s="6" t="n">
        <x:v>0.1447</x:v>
      </x:c>
      <x:c r="C3916" s="6" t="n">
        <x:v>0.0924</x:v>
      </x:c>
      <x:c r="D3916" s="6" t="n">
        <x:f>B3916</x:f>
        <x:v>0.1447</x:v>
      </x:c>
      <x:c r="E3916" s="1" t="n">
        <x:v>1.05</x:v>
      </x:c>
      <x:c r="F3916" s="1" t="str">
        <x:v>https://api.octopus.energy/v1/products/AGILE-24-10-01/electricity-tariffs/E-1R-AGILE-24-10-01-G/standard-unit-rates/</x:v>
      </x:c>
    </x:row>
    <x:row r="3917" ht="21" customHeight="1">
      <x:c r="A3917" s="24" t="n">
        <x:v>46230.104166666664</x:v>
      </x:c>
      <x:c r="B3917" s="6" t="n">
        <x:v>0.1382</x:v>
      </x:c>
      <x:c r="C3917" s="6" t="n">
        <x:v>0.0894</x:v>
      </x:c>
      <x:c r="D3917" s="6" t="n">
        <x:f>B3917</x:f>
        <x:v>0.1382</x:v>
      </x:c>
      <x:c r="E3917" s="1" t="n">
        <x:v>1.05</x:v>
      </x:c>
      <x:c r="F3917" s="1" t="str">
        <x:v>https://api.octopus.energy/v1/products/AGILE-24-10-01/electricity-tariffs/E-1R-AGILE-24-10-01-G/standard-unit-rates/</x:v>
      </x:c>
    </x:row>
    <x:row r="3918" ht="21" customHeight="1">
      <x:c r="A3918" s="24" t="n">
        <x:v>46230.125</x:v>
      </x:c>
      <x:c r="B3918" s="6" t="n">
        <x:v>0.1358</x:v>
      </x:c>
      <x:c r="C3918" s="6" t="n">
        <x:v>0.0883</x:v>
      </x:c>
      <x:c r="D3918" s="6" t="n">
        <x:f>B3918</x:f>
        <x:v>0.1358</x:v>
      </x:c>
      <x:c r="E3918" s="1" t="n">
        <x:v>1.05</x:v>
      </x:c>
      <x:c r="F3918" s="1" t="str">
        <x:v>https://api.octopus.energy/v1/products/AGILE-24-10-01/electricity-tariffs/E-1R-AGILE-24-10-01-G/standard-unit-rates/</x:v>
      </x:c>
    </x:row>
    <x:row r="3919" ht="21" customHeight="1">
      <x:c r="A3919" s="24" t="n">
        <x:v>46230.145833333336</x:v>
      </x:c>
      <x:c r="B3919" s="6" t="n">
        <x:v>0.1454</x:v>
      </x:c>
      <x:c r="C3919" s="6" t="n">
        <x:v>0.0928</x:v>
      </x:c>
      <x:c r="D3919" s="6" t="n">
        <x:f>B3919</x:f>
        <x:v>0.1454</x:v>
      </x:c>
      <x:c r="E3919" s="1" t="n">
        <x:v>1.05</x:v>
      </x:c>
      <x:c r="F3919" s="1" t="str">
        <x:v>https://api.octopus.energy/v1/products/AGILE-24-10-01/electricity-tariffs/E-1R-AGILE-24-10-01-G/standard-unit-rates/</x:v>
      </x:c>
    </x:row>
    <x:row r="3920" ht="21" customHeight="1">
      <x:c r="A3920" s="24" t="n">
        <x:v>46230.166666666664</x:v>
      </x:c>
      <x:c r="B3920" s="6" t="n">
        <x:v>0.13449999999999998</x:v>
      </x:c>
      <x:c r="C3920" s="6" t="n">
        <x:v>0.08779999999999999</x:v>
      </x:c>
      <x:c r="D3920" s="6" t="n">
        <x:f>B3920</x:f>
        <x:v>0.13449999999999998</x:v>
      </x:c>
      <x:c r="E3920" s="1" t="n">
        <x:v>1.05</x:v>
      </x:c>
      <x:c r="F3920" s="1" t="str">
        <x:v>https://api.octopus.energy/v1/products/AGILE-24-10-01/electricity-tariffs/E-1R-AGILE-24-10-01-G/standard-unit-rates/</x:v>
      </x:c>
    </x:row>
    <x:row r="3921" ht="21" customHeight="1">
      <x:c r="A3921" s="24" t="n">
        <x:v>46230.1875</x:v>
      </x:c>
      <x:c r="B3921" s="6" t="n">
        <x:v>0.1482</x:v>
      </x:c>
      <x:c r="C3921" s="6" t="n">
        <x:v>0.094</x:v>
      </x:c>
      <x:c r="D3921" s="6" t="n">
        <x:f>B3921</x:f>
        <x:v>0.1482</x:v>
      </x:c>
      <x:c r="E3921" s="1" t="n">
        <x:v>1.05</x:v>
      </x:c>
      <x:c r="F3921" s="1" t="str">
        <x:v>https://api.octopus.energy/v1/products/AGILE-24-10-01/electricity-tariffs/E-1R-AGILE-24-10-01-G/standard-unit-rates/</x:v>
      </x:c>
    </x:row>
    <x:row r="3922" ht="21" customHeight="1">
      <x:c r="A3922" s="24" t="n">
        <x:v>46230.208333333336</x:v>
      </x:c>
      <x:c r="B3922" s="6" t="n">
        <x:v>0.1841</x:v>
      </x:c>
      <x:c r="C3922" s="6" t="n">
        <x:v>0.1104</x:v>
      </x:c>
      <x:c r="D3922" s="6" t="n">
        <x:f>B3922</x:f>
        <x:v>0.1841</x:v>
      </x:c>
      <x:c r="E3922" s="1" t="n">
        <x:v>1.05</x:v>
      </x:c>
      <x:c r="F3922" s="1" t="str">
        <x:v>https://api.octopus.energy/v1/products/AGILE-24-10-01/electricity-tariffs/E-1R-AGILE-24-10-01-G/standard-unit-rates/</x:v>
      </x:c>
    </x:row>
    <x:row r="3923" ht="21" customHeight="1">
      <x:c r="A3923" s="24" t="n">
        <x:v>46230.229166666664</x:v>
      </x:c>
      <x:c r="B3923" s="6" t="n">
        <x:v>0.1934</x:v>
      </x:c>
      <x:c r="C3923" s="6" t="n">
        <x:v>0.11470000000000001</x:v>
      </x:c>
      <x:c r="D3923" s="6" t="n">
        <x:f>B3923</x:f>
        <x:v>0.1934</x:v>
      </x:c>
      <x:c r="E3923" s="1" t="n">
        <x:v>1.05</x:v>
      </x:c>
      <x:c r="F3923" s="1" t="str">
        <x:v>https://api.octopus.energy/v1/products/AGILE-24-10-01/electricity-tariffs/E-1R-AGILE-24-10-01-G/standard-unit-rates/</x:v>
      </x:c>
    </x:row>
    <x:row r="3924" ht="21" customHeight="1">
      <x:c r="A3924" s="24" t="n">
        <x:v>46230.25</x:v>
      </x:c>
      <x:c r="B3924" s="6" t="n">
        <x:v>0.23920000000000002</x:v>
      </x:c>
      <x:c r="C3924" s="6" t="n">
        <x:v>0.1356</x:v>
      </x:c>
      <x:c r="D3924" s="6" t="n">
        <x:f>B3924</x:f>
        <x:v>0.23920000000000002</x:v>
      </x:c>
      <x:c r="E3924" s="1" t="n">
        <x:v>1.05</x:v>
      </x:c>
      <x:c r="F3924" s="1" t="str">
        <x:v>https://api.octopus.energy/v1/products/AGILE-24-10-01/electricity-tariffs/E-1R-AGILE-24-10-01-G/standard-unit-rates/</x:v>
      </x:c>
    </x:row>
    <x:row r="3925" ht="21" customHeight="1">
      <x:c r="A3925" s="24" t="n">
        <x:v>46230.270833333336</x:v>
      </x:c>
      <x:c r="B3925" s="6" t="n">
        <x:v>0.2668</x:v>
      </x:c>
      <x:c r="C3925" s="6" t="n">
        <x:v>0.1482</x:v>
      </x:c>
      <x:c r="D3925" s="6" t="n">
        <x:f>B3925</x:f>
        <x:v>0.2668</x:v>
      </x:c>
      <x:c r="E3925" s="1" t="n">
        <x:v>1.05</x:v>
      </x:c>
      <x:c r="F3925" s="1" t="str">
        <x:v>https://api.octopus.energy/v1/products/AGILE-24-10-01/electricity-tariffs/E-1R-AGILE-24-10-01-G/standard-unit-rates/</x:v>
      </x:c>
    </x:row>
    <x:row r="3926" ht="21" customHeight="1">
      <x:c r="A3926" s="24" t="n">
        <x:v>46230.291666666664</x:v>
      </x:c>
      <x:c r="B3926" s="6" t="n">
        <x:v>0.2808</x:v>
      </x:c>
      <x:c r="C3926" s="6" t="n">
        <x:v>0.15460000000000002</x:v>
      </x:c>
      <x:c r="D3926" s="6" t="n">
        <x:f>B3926</x:f>
        <x:v>0.2808</x:v>
      </x:c>
      <x:c r="E3926" s="1" t="n">
        <x:v>1.05</x:v>
      </x:c>
      <x:c r="F3926" s="1" t="str">
        <x:v>https://api.octopus.energy/v1/products/AGILE-24-10-01/electricity-tariffs/E-1R-AGILE-24-10-01-G/standard-unit-rates/</x:v>
      </x:c>
    </x:row>
    <x:row r="3927" ht="21" customHeight="1">
      <x:c r="A3927" s="24" t="n">
        <x:v>46230.3125</x:v>
      </x:c>
      <x:c r="B3927" s="6" t="n">
        <x:v>0.2808</x:v>
      </x:c>
      <x:c r="C3927" s="6" t="n">
        <x:v>0.15460000000000002</x:v>
      </x:c>
      <x:c r="D3927" s="6" t="n">
        <x:f>B3927</x:f>
        <x:v>0.2808</x:v>
      </x:c>
      <x:c r="E3927" s="1" t="n">
        <x:v>1.05</x:v>
      </x:c>
      <x:c r="F3927" s="1" t="str">
        <x:v>https://api.octopus.energy/v1/products/AGILE-24-10-01/electricity-tariffs/E-1R-AGILE-24-10-01-G/standard-unit-rates/</x:v>
      </x:c>
    </x:row>
    <x:row r="3928" ht="21" customHeight="1">
      <x:c r="A3928" s="24" t="n">
        <x:v>46230.333333333336</x:v>
      </x:c>
      <x:c r="B3928" s="6" t="n">
        <x:v>0.2816</x:v>
      </x:c>
      <x:c r="C3928" s="6" t="n">
        <x:v>0.155</x:v>
      </x:c>
      <x:c r="D3928" s="6" t="n">
        <x:f>B3928</x:f>
        <x:v>0.2816</x:v>
      </x:c>
      <x:c r="E3928" s="1" t="n">
        <x:v>1.05</x:v>
      </x:c>
      <x:c r="F3928" s="1" t="str">
        <x:v>https://api.octopus.energy/v1/products/AGILE-24-10-01/electricity-tariffs/E-1R-AGILE-24-10-01-G/standard-unit-rates/</x:v>
      </x:c>
    </x:row>
    <x:row r="3929" ht="21" customHeight="1">
      <x:c r="A3929" s="24" t="n">
        <x:v>46230.354166666664</x:v>
      </x:c>
      <x:c r="B3929" s="6" t="n">
        <x:v>0.2816</x:v>
      </x:c>
      <x:c r="C3929" s="6" t="n">
        <x:v>0.155</x:v>
      </x:c>
      <x:c r="D3929" s="6" t="n">
        <x:f>B3929</x:f>
        <x:v>0.2816</x:v>
      </x:c>
      <x:c r="E3929" s="1" t="n">
        <x:v>1.05</x:v>
      </x:c>
      <x:c r="F3929" s="1" t="str">
        <x:v>https://api.octopus.energy/v1/products/AGILE-24-10-01/electricity-tariffs/E-1R-AGILE-24-10-01-G/standard-unit-rates/</x:v>
      </x:c>
    </x:row>
    <x:row r="3930" ht="21" customHeight="1">
      <x:c r="A3930" s="24" t="n">
        <x:v>46230.375</x:v>
      </x:c>
      <x:c r="B3930" s="6" t="n">
        <x:v>0.2775</x:v>
      </x:c>
      <x:c r="C3930" s="6" t="n">
        <x:v>0.1531</x:v>
      </x:c>
      <x:c r="D3930" s="6" t="n">
        <x:f>B3930</x:f>
        <x:v>0.2775</x:v>
      </x:c>
      <x:c r="E3930" s="1" t="n">
        <x:v>1.05</x:v>
      </x:c>
      <x:c r="F3930" s="1" t="str">
        <x:v>https://api.octopus.energy/v1/products/AGILE-24-10-01/electricity-tariffs/E-1R-AGILE-24-10-01-G/standard-unit-rates/</x:v>
      </x:c>
    </x:row>
    <x:row r="3931" ht="21" customHeight="1">
      <x:c r="A3931" s="24" t="n">
        <x:v>46230.395833333336</x:v>
      </x:c>
      <x:c r="B3931" s="6" t="n">
        <x:v>0.2615</x:v>
      </x:c>
      <x:c r="C3931" s="6" t="n">
        <x:v>0.1458</x:v>
      </x:c>
      <x:c r="D3931" s="6" t="n">
        <x:f>B3931</x:f>
        <x:v>0.2615</x:v>
      </x:c>
      <x:c r="E3931" s="1" t="n">
        <x:v>1.05</x:v>
      </x:c>
      <x:c r="F3931" s="1" t="str">
        <x:v>https://api.octopus.energy/v1/products/AGILE-24-10-01/electricity-tariffs/E-1R-AGILE-24-10-01-G/standard-unit-rates/</x:v>
      </x:c>
    </x:row>
    <x:row r="3932" ht="21" customHeight="1">
      <x:c r="A3932" s="24" t="n">
        <x:v>46230.416666666664</x:v>
      </x:c>
      <x:c r="B3932" s="6" t="n">
        <x:v>0.25329999999999997</x:v>
      </x:c>
      <x:c r="C3932" s="6" t="n">
        <x:v>0.1421</x:v>
      </x:c>
      <x:c r="D3932" s="6" t="n">
        <x:f>B3932</x:f>
        <x:v>0.25329999999999997</x:v>
      </x:c>
      <x:c r="E3932" s="1" t="n">
        <x:v>1.05</x:v>
      </x:c>
      <x:c r="F3932" s="1" t="str">
        <x:v>https://api.octopus.energy/v1/products/AGILE-24-10-01/electricity-tariffs/E-1R-AGILE-24-10-01-G/standard-unit-rates/</x:v>
      </x:c>
    </x:row>
    <x:row r="3933" ht="21" customHeight="1">
      <x:c r="A3933" s="24" t="n">
        <x:v>46230.4375</x:v>
      </x:c>
      <x:c r="B3933" s="6" t="n">
        <x:v>0.23440000000000003</x:v>
      </x:c>
      <x:c r="C3933" s="6" t="n">
        <x:v>0.1334</x:v>
      </x:c>
      <x:c r="D3933" s="6" t="n">
        <x:f>B3933</x:f>
        <x:v>0.23440000000000003</x:v>
      </x:c>
      <x:c r="E3933" s="1" t="n">
        <x:v>1.05</x:v>
      </x:c>
      <x:c r="F3933" s="1" t="str">
        <x:v>https://api.octopus.energy/v1/products/AGILE-24-10-01/electricity-tariffs/E-1R-AGILE-24-10-01-G/standard-unit-rates/</x:v>
      </x:c>
    </x:row>
    <x:row r="3934" ht="21" customHeight="1">
      <x:c r="A3934" s="24" t="n">
        <x:v>46230.458333333336</x:v>
      </x:c>
      <x:c r="B3934" s="6" t="n">
        <x:v>0.2253</x:v>
      </x:c>
      <x:c r="C3934" s="6" t="n">
        <x:v>0.1293</x:v>
      </x:c>
      <x:c r="D3934" s="6" t="n">
        <x:f>B3934</x:f>
        <x:v>0.2253</x:v>
      </x:c>
      <x:c r="E3934" s="1" t="n">
        <x:v>1.05</x:v>
      </x:c>
      <x:c r="F3934" s="1" t="str">
        <x:v>https://api.octopus.energy/v1/products/AGILE-24-10-01/electricity-tariffs/E-1R-AGILE-24-10-01-G/standard-unit-rates/</x:v>
      </x:c>
    </x:row>
    <x:row r="3935" ht="21" customHeight="1">
      <x:c r="A3935" s="24" t="n">
        <x:v>46230.479166666664</x:v>
      </x:c>
      <x:c r="B3935" s="6" t="n">
        <x:v>0.2208</x:v>
      </x:c>
      <x:c r="C3935" s="6" t="n">
        <x:v>0.1272</x:v>
      </x:c>
      <x:c r="D3935" s="6" t="n">
        <x:f>B3935</x:f>
        <x:v>0.2208</x:v>
      </x:c>
      <x:c r="E3935" s="1" t="n">
        <x:v>1.05</x:v>
      </x:c>
      <x:c r="F3935" s="1" t="str">
        <x:v>https://api.octopus.energy/v1/products/AGILE-24-10-01/electricity-tariffs/E-1R-AGILE-24-10-01-G/standard-unit-rates/</x:v>
      </x:c>
    </x:row>
    <x:row r="3936" ht="21" customHeight="1">
      <x:c r="A3936" s="24" t="n">
        <x:v>46230.5</x:v>
      </x:c>
      <x:c r="B3936" s="6" t="n">
        <x:v>0.2041</x:v>
      </x:c>
      <x:c r="C3936" s="6" t="n">
        <x:v>0.11960000000000001</x:v>
      </x:c>
      <x:c r="D3936" s="6" t="n">
        <x:f>B3936</x:f>
        <x:v>0.2041</x:v>
      </x:c>
      <x:c r="E3936" s="1" t="n">
        <x:v>1.05</x:v>
      </x:c>
      <x:c r="F3936" s="1" t="str">
        <x:v>https://api.octopus.energy/v1/products/AGILE-24-10-01/electricity-tariffs/E-1R-AGILE-24-10-01-G/standard-unit-rates/</x:v>
      </x:c>
    </x:row>
    <x:row r="3937" ht="21" customHeight="1">
      <x:c r="A3937" s="24" t="n">
        <x:v>46230.520833333336</x:v>
      </x:c>
      <x:c r="B3937" s="6" t="n">
        <x:v>0.1942</x:v>
      </x:c>
      <x:c r="C3937" s="6" t="n">
        <x:v>0.1151</x:v>
      </x:c>
      <x:c r="D3937" s="6" t="n">
        <x:f>B3937</x:f>
        <x:v>0.1942</x:v>
      </x:c>
      <x:c r="E3937" s="1" t="n">
        <x:v>1.05</x:v>
      </x:c>
      <x:c r="F3937" s="1" t="str">
        <x:v>https://api.octopus.energy/v1/products/AGILE-24-10-01/electricity-tariffs/E-1R-AGILE-24-10-01-G/standard-unit-rates/</x:v>
      </x:c>
    </x:row>
    <x:row r="3938" ht="21" customHeight="1">
      <x:c r="A3938" s="24" t="n">
        <x:v>46230.541666666664</x:v>
      </x:c>
      <x:c r="B3938" s="6" t="n">
        <x:v>0.17300000000000001</x:v>
      </x:c>
      <x:c r="C3938" s="6" t="n">
        <x:v>0.1054</x:v>
      </x:c>
      <x:c r="D3938" s="6" t="n">
        <x:f>B3938</x:f>
        <x:v>0.17300000000000001</x:v>
      </x:c>
      <x:c r="E3938" s="1" t="n">
        <x:v>1.05</x:v>
      </x:c>
      <x:c r="F3938" s="1" t="str">
        <x:v>https://api.octopus.energy/v1/products/AGILE-24-10-01/electricity-tariffs/E-1R-AGILE-24-10-01-G/standard-unit-rates/</x:v>
      </x:c>
    </x:row>
    <x:row r="3939" ht="21" customHeight="1">
      <x:c r="A3939" s="24" t="n">
        <x:v>46230.5625</x:v>
      </x:c>
      <x:c r="B3939" s="6" t="n">
        <x:v>0.1751</x:v>
      </x:c>
      <x:c r="C3939" s="6" t="n">
        <x:v>0.1063</x:v>
      </x:c>
      <x:c r="D3939" s="6" t="n">
        <x:f>B3939</x:f>
        <x:v>0.1751</x:v>
      </x:c>
      <x:c r="E3939" s="1" t="n">
        <x:v>1.05</x:v>
      </x:c>
      <x:c r="F3939" s="1" t="str">
        <x:v>https://api.octopus.energy/v1/products/AGILE-24-10-01/electricity-tariffs/E-1R-AGILE-24-10-01-G/standard-unit-rates/</x:v>
      </x:c>
    </x:row>
    <x:row r="3940" ht="21" customHeight="1">
      <x:c r="A3940" s="24" t="n">
        <x:v>46230.583333333336</x:v>
      </x:c>
      <x:c r="B3940" s="6" t="n">
        <x:v>0.1703</x:v>
      </x:c>
      <x:c r="C3940" s="6" t="n">
        <x:v>0.1041</x:v>
      </x:c>
      <x:c r="D3940" s="6" t="n">
        <x:f>B3940</x:f>
        <x:v>0.1703</x:v>
      </x:c>
      <x:c r="E3940" s="1" t="n">
        <x:v>1.05</x:v>
      </x:c>
      <x:c r="F3940" s="1" t="str">
        <x:v>https://api.octopus.energy/v1/products/AGILE-24-10-01/electricity-tariffs/E-1R-AGILE-24-10-01-G/standard-unit-rates/</x:v>
      </x:c>
    </x:row>
    <x:row r="3941" ht="21" customHeight="1">
      <x:c r="A3941" s="24" t="n">
        <x:v>46230.604166666664</x:v>
      </x:c>
      <x:c r="B3941" s="6" t="n">
        <x:v>0.1648</x:v>
      </x:c>
      <x:c r="C3941" s="6" t="n">
        <x:v>0.1016</x:v>
      </x:c>
      <x:c r="D3941" s="6" t="n">
        <x:f>B3941</x:f>
        <x:v>0.1648</x:v>
      </x:c>
      <x:c r="E3941" s="1" t="n">
        <x:v>1.05</x:v>
      </x:c>
      <x:c r="F3941" s="1" t="str">
        <x:v>https://api.octopus.energy/v1/products/AGILE-24-10-01/electricity-tariffs/E-1R-AGILE-24-10-01-G/standard-unit-rates/</x:v>
      </x:c>
    </x:row>
    <x:row r="3942" ht="21" customHeight="1">
      <x:c r="A3942" s="24" t="n">
        <x:v>46230.625</x:v>
      </x:c>
      <x:c r="B3942" s="6" t="n">
        <x:v>0.16269999999999998</x:v>
      </x:c>
      <x:c r="C3942" s="6" t="n">
        <x:v>0.1007</x:v>
      </x:c>
      <x:c r="D3942" s="6" t="n">
        <x:f>B3942</x:f>
        <x:v>0.16269999999999998</x:v>
      </x:c>
      <x:c r="E3942" s="1" t="n">
        <x:v>1.05</x:v>
      </x:c>
      <x:c r="F3942" s="1" t="str">
        <x:v>https://api.octopus.energy/v1/products/AGILE-24-10-01/electricity-tariffs/E-1R-AGILE-24-10-01-G/standard-unit-rates/</x:v>
      </x:c>
    </x:row>
    <x:row r="3943" ht="21" customHeight="1">
      <x:c r="A3943" s="24" t="n">
        <x:v>46230.645833333336</x:v>
      </x:c>
      <x:c r="B3943" s="6" t="n">
        <x:v>0.16820000000000002</x:v>
      </x:c>
      <x:c r="C3943" s="6" t="n">
        <x:v>0.1032</x:v>
      </x:c>
      <x:c r="D3943" s="6" t="n">
        <x:f>B3943</x:f>
        <x:v>0.16820000000000002</x:v>
      </x:c>
      <x:c r="E3943" s="1" t="n">
        <x:v>1.05</x:v>
      </x:c>
      <x:c r="F3943" s="1" t="str">
        <x:v>https://api.octopus.energy/v1/products/AGILE-24-10-01/electricity-tariffs/E-1R-AGILE-24-10-01-G/standard-unit-rates/</x:v>
      </x:c>
    </x:row>
    <x:row r="3944" ht="21" customHeight="1">
      <x:c r="A3944" s="24" t="n">
        <x:v>46230.666666666664</x:v>
      </x:c>
      <x:c r="B3944" s="6" t="n">
        <x:v>0.3218</x:v>
      </x:c>
      <x:c r="C3944" s="6" t="n">
        <x:v>0.17739999999999997</x:v>
      </x:c>
      <x:c r="D3944" s="6" t="n">
        <x:f>B3944</x:f>
        <x:v>0.3218</x:v>
      </x:c>
      <x:c r="E3944" s="1" t="n">
        <x:v>1.05</x:v>
      </x:c>
      <x:c r="F3944" s="1" t="str">
        <x:v>https://api.octopus.energy/v1/products/AGILE-24-10-01/electricity-tariffs/E-1R-AGILE-24-10-01-G/standard-unit-rates/</x:v>
      </x:c>
    </x:row>
    <x:row r="3945" ht="21" customHeight="1">
      <x:c r="A3945" s="24" t="n">
        <x:v>46230.6875</x:v>
      </x:c>
      <x:c r="B3945" s="6" t="n">
        <x:v>0.3248</x:v>
      </x:c>
      <x:c r="C3945" s="6" t="n">
        <x:v>0.1788</x:v>
      </x:c>
      <x:c r="D3945" s="6" t="n">
        <x:f>B3945</x:f>
        <x:v>0.3248</x:v>
      </x:c>
      <x:c r="E3945" s="1" t="n">
        <x:v>1.05</x:v>
      </x:c>
      <x:c r="F3945" s="1" t="str">
        <x:v>https://api.octopus.energy/v1/products/AGILE-24-10-01/electricity-tariffs/E-1R-AGILE-24-10-01-G/standard-unit-rates/</x:v>
      </x:c>
    </x:row>
    <x:row r="3946" ht="21" customHeight="1">
      <x:c r="A3946" s="24" t="n">
        <x:v>46230.708333333336</x:v>
      </x:c>
      <x:c r="B3946" s="6" t="n">
        <x:v>0.3373</x:v>
      </x:c>
      <x:c r="C3946" s="6" t="n">
        <x:v>0.1845</x:v>
      </x:c>
      <x:c r="D3946" s="6" t="n">
        <x:f>B3946</x:f>
        <x:v>0.3373</x:v>
      </x:c>
      <x:c r="E3946" s="1" t="n">
        <x:v>1.05</x:v>
      </x:c>
      <x:c r="F3946" s="1" t="str">
        <x:v>https://api.octopus.energy/v1/products/AGILE-24-10-01/electricity-tariffs/E-1R-AGILE-24-10-01-G/standard-unit-rates/</x:v>
      </x:c>
    </x:row>
    <x:row r="3947" ht="21" customHeight="1">
      <x:c r="A3947" s="24" t="n">
        <x:v>46230.729166666664</x:v>
      </x:c>
      <x:c r="B3947" s="6" t="n">
        <x:v>0.3714</x:v>
      </x:c>
      <x:c r="C3947" s="6" t="n">
        <x:v>0.20010000000000003</x:v>
      </x:c>
      <x:c r="D3947" s="6" t="n">
        <x:f>B3947</x:f>
        <x:v>0.3714</x:v>
      </x:c>
      <x:c r="E3947" s="1" t="n">
        <x:v>1.05</x:v>
      </x:c>
      <x:c r="F3947" s="1" t="str">
        <x:v>https://api.octopus.energy/v1/products/AGILE-24-10-01/electricity-tariffs/E-1R-AGILE-24-10-01-G/standard-unit-rates/</x:v>
      </x:c>
    </x:row>
    <x:row r="3948" ht="21" customHeight="1">
      <x:c r="A3948" s="24" t="n">
        <x:v>46230.75</x:v>
      </x:c>
      <x:c r="B3948" s="6" t="n">
        <x:v>0.3811</x:v>
      </x:c>
      <x:c r="C3948" s="6" t="n">
        <x:v>0.2045</x:v>
      </x:c>
      <x:c r="D3948" s="6" t="n">
        <x:f>B3948</x:f>
        <x:v>0.3811</x:v>
      </x:c>
      <x:c r="E3948" s="1" t="n">
        <x:v>1.05</x:v>
      </x:c>
      <x:c r="F3948" s="1" t="str">
        <x:v>https://api.octopus.energy/v1/products/AGILE-24-10-01/electricity-tariffs/E-1R-AGILE-24-10-01-G/standard-unit-rates/</x:v>
      </x:c>
    </x:row>
    <x:row r="3949" ht="21" customHeight="1">
      <x:c r="A3949" s="24" t="n">
        <x:v>46230.770833333336</x:v>
      </x:c>
      <x:c r="B3949" s="6" t="n">
        <x:v>0.3887</x:v>
      </x:c>
      <x:c r="C3949" s="6" t="n">
        <x:v>0.20800000000000002</x:v>
      </x:c>
      <x:c r="D3949" s="6" t="n">
        <x:f>B3949</x:f>
        <x:v>0.3887</x:v>
      </x:c>
      <x:c r="E3949" s="1" t="n">
        <x:v>1.05</x:v>
      </x:c>
      <x:c r="F3949" s="1" t="str">
        <x:v>https://api.octopus.energy/v1/products/AGILE-24-10-01/electricity-tariffs/E-1R-AGILE-24-10-01-G/standard-unit-rates/</x:v>
      </x:c>
    </x:row>
    <x:row r="3950" ht="21" customHeight="1">
      <x:c r="A3950" s="24" t="n">
        <x:v>46230.791666666664</x:v>
      </x:c>
      <x:c r="B3950" s="6" t="n">
        <x:v>0.29</x:v>
      </x:c>
      <x:c r="C3950" s="6" t="n">
        <x:v>0.1588</x:v>
      </x:c>
      <x:c r="D3950" s="6" t="n">
        <x:f>B3950</x:f>
        <x:v>0.29</x:v>
      </x:c>
      <x:c r="E3950" s="1" t="n">
        <x:v>1.05</x:v>
      </x:c>
      <x:c r="F3950" s="1" t="str">
        <x:v>https://api.octopus.energy/v1/products/AGILE-24-10-01/electricity-tariffs/E-1R-AGILE-24-10-01-G/standard-unit-rates/</x:v>
      </x:c>
    </x:row>
    <x:row r="3951" ht="21" customHeight="1">
      <x:c r="A3951" s="24" t="n">
        <x:v>46230.8125</x:v>
      </x:c>
      <x:c r="B3951" s="6" t="n">
        <x:v>0.29350000000000004</x:v>
      </x:c>
      <x:c r="C3951" s="6" t="n">
        <x:v>0.1604</x:v>
      </x:c>
      <x:c r="D3951" s="6" t="n">
        <x:f>B3951</x:f>
        <x:v>0.29350000000000004</x:v>
      </x:c>
      <x:c r="E3951" s="1" t="n">
        <x:v>1.05</x:v>
      </x:c>
      <x:c r="F3951" s="1" t="str">
        <x:v>https://api.octopus.energy/v1/products/AGILE-24-10-01/electricity-tariffs/E-1R-AGILE-24-10-01-G/standard-unit-rates/</x:v>
      </x:c>
    </x:row>
    <x:row r="3952" ht="21" customHeight="1">
      <x:c r="A3952" s="24" t="n">
        <x:v>46230.833333333336</x:v>
      </x:c>
      <x:c r="B3952" s="6" t="n">
        <x:v>0.2959</x:v>
      </x:c>
      <x:c r="C3952" s="6" t="n">
        <x:v>0.16149999999999998</x:v>
      </x:c>
      <x:c r="D3952" s="6" t="n">
        <x:f>B3952</x:f>
        <x:v>0.2959</x:v>
      </x:c>
      <x:c r="E3952" s="1" t="n">
        <x:v>1.05</x:v>
      </x:c>
      <x:c r="F3952" s="1" t="str">
        <x:v>https://api.octopus.energy/v1/products/AGILE-24-10-01/electricity-tariffs/E-1R-AGILE-24-10-01-G/standard-unit-rates/</x:v>
      </x:c>
    </x:row>
    <x:row r="3953" ht="21" customHeight="1">
      <x:c r="A3953" s="24" t="n">
        <x:v>46230.854166666664</x:v>
      </x:c>
      <x:c r="B3953" s="6" t="n">
        <x:v>0.2979</x:v>
      </x:c>
      <x:c r="C3953" s="6" t="n">
        <x:v>0.1625</x:v>
      </x:c>
      <x:c r="D3953" s="6" t="n">
        <x:f>B3953</x:f>
        <x:v>0.2979</x:v>
      </x:c>
      <x:c r="E3953" s="1" t="n">
        <x:v>1.05</x:v>
      </x:c>
      <x:c r="F3953" s="1" t="str">
        <x:v>https://api.octopus.energy/v1/products/AGILE-24-10-01/electricity-tariffs/E-1R-AGILE-24-10-01-G/standard-unit-rates/</x:v>
      </x:c>
    </x:row>
    <x:row r="3954" ht="21" customHeight="1">
      <x:c r="A3954" s="24" t="n">
        <x:v>46230.875</x:v>
      </x:c>
      <x:c r="B3954" s="6" t="n">
        <x:v>0.2883</x:v>
      </x:c>
      <x:c r="C3954" s="6" t="n">
        <x:v>0.15810000000000002</x:v>
      </x:c>
      <x:c r="D3954" s="6" t="n">
        <x:f>B3954</x:f>
        <x:v>0.2883</x:v>
      </x:c>
      <x:c r="E3954" s="1" t="n">
        <x:v>1.05</x:v>
      </x:c>
      <x:c r="F3954" s="1" t="str">
        <x:v>https://api.octopus.energy/v1/products/AGILE-24-10-01/electricity-tariffs/E-1R-AGILE-24-10-01-G/standard-unit-rates/</x:v>
      </x:c>
    </x:row>
    <x:row r="3955" ht="21" customHeight="1">
      <x:c r="A3955" s="24" t="n">
        <x:v>46230.895833333336</x:v>
      </x:c>
      <x:c r="B3955" s="6" t="n">
        <x:v>0.2871</x:v>
      </x:c>
      <x:c r="C3955" s="6" t="n">
        <x:v>0.1575</x:v>
      </x:c>
      <x:c r="D3955" s="6" t="n">
        <x:f>B3955</x:f>
        <x:v>0.2871</x:v>
      </x:c>
      <x:c r="E3955" s="1" t="n">
        <x:v>1.05</x:v>
      </x:c>
      <x:c r="F3955" s="1" t="str">
        <x:v>https://api.octopus.energy/v1/products/AGILE-24-10-01/electricity-tariffs/E-1R-AGILE-24-10-01-G/standard-unit-rates/</x:v>
      </x:c>
    </x:row>
    <x:row r="3956" ht="21" customHeight="1">
      <x:c r="A3956" s="24" t="n">
        <x:v>46230.916666666664</x:v>
      </x:c>
      <x:c r="B3956" s="6" t="n">
        <x:v>0.2787</x:v>
      </x:c>
      <x:c r="C3956" s="6" t="n">
        <x:v>0.1537</x:v>
      </x:c>
      <x:c r="D3956" s="6" t="n">
        <x:f>B3956</x:f>
        <x:v>0.2787</x:v>
      </x:c>
      <x:c r="E3956" s="1" t="n">
        <x:v>1.05</x:v>
      </x:c>
      <x:c r="F3956" s="1" t="str">
        <x:v>https://api.octopus.energy/v1/products/AGILE-24-10-01/electricity-tariffs/E-1R-AGILE-24-10-01-G/standard-unit-rates/</x:v>
      </x:c>
    </x:row>
    <x:row r="3957" ht="21" customHeight="1">
      <x:c r="A3957" s="24" t="n">
        <x:v>46230.9375</x:v>
      </x:c>
      <x:c r="B3957" s="6" t="n">
        <x:v>0.2495</x:v>
      </x:c>
      <x:c r="C3957" s="6" t="n">
        <x:v>0.14029999999999998</x:v>
      </x:c>
      <x:c r="D3957" s="6" t="n">
        <x:f>B3957</x:f>
        <x:v>0.2495</x:v>
      </x:c>
      <x:c r="E3957" s="1" t="n">
        <x:v>1.05</x:v>
      </x:c>
      <x:c r="F3957" s="1" t="str">
        <x:v>https://api.octopus.energy/v1/products/AGILE-24-10-01/electricity-tariffs/E-1R-AGILE-24-10-01-G/standard-unit-rates/</x:v>
      </x:c>
    </x:row>
    <x:row r="3958" ht="21" customHeight="1">
      <x:c r="A3958" s="24" t="n">
        <x:v>46231</x:v>
      </x:c>
      <x:c r="B3958" s="6" t="n">
        <x:v>0.2718</x:v>
      </x:c>
      <x:c r="C3958" s="6" t="n">
        <x:v>0.1505</x:v>
      </x:c>
      <x:c r="D3958" s="6" t="n">
        <x:f>B3958</x:f>
        <x:v>0.2718</x:v>
      </x:c>
      <x:c r="E3958" s="1" t="n">
        <x:v>1.05</x:v>
      </x:c>
      <x:c r="F3958" s="1" t="str">
        <x:v>https://api.octopus.energy/v1/products/AGILE-24-10-01/electricity-tariffs/E-1R-AGILE-24-10-01-G/standard-unit-rates/</x:v>
      </x:c>
    </x:row>
    <x:row r="3959" ht="21" customHeight="1">
      <x:c r="A3959" s="24" t="n">
        <x:v>46230.979166666664</x:v>
      </x:c>
      <x:c r="B3959" s="6" t="n">
        <x:v>0.263</x:v>
      </x:c>
      <x:c r="C3959" s="6" t="n">
        <x:v>0.1465</x:v>
      </x:c>
      <x:c r="D3959" s="6" t="n">
        <x:f>B3959</x:f>
        <x:v>0.263</x:v>
      </x:c>
      <x:c r="E3959" s="1" t="n">
        <x:v>1.05</x:v>
      </x:c>
      <x:c r="F3959" s="1" t="str">
        <x:v>https://api.octopus.energy/v1/products/AGILE-24-10-01/electricity-tariffs/E-1R-AGILE-24-10-01-G/standard-unit-rates/</x:v>
      </x:c>
    </x:row>
    <x:row r="3960" ht="21" customHeight="1">
      <x:c r="A3960" s="24" t="n">
        <x:v>46231</x:v>
      </x:c>
      <x:c r="B3960" s="6" t="n">
        <x:v>0.2583</x:v>
      </x:c>
      <x:c r="C3960" s="6" t="n">
        <x:v>0.14429999999999998</x:v>
      </x:c>
      <x:c r="D3960" s="6" t="n">
        <x:f>B3960</x:f>
        <x:v>0.2583</x:v>
      </x:c>
      <x:c r="E3960" s="1" t="n">
        <x:v>1.05</x:v>
      </x:c>
      <x:c r="F3960" s="1" t="str">
        <x:v>https://api.octopus.energy/v1/products/AGILE-24-10-01/electricity-tariffs/E-1R-AGILE-24-10-01-G/standard-unit-rates/</x:v>
      </x:c>
    </x:row>
    <x:row r="3961" ht="21" customHeight="1">
      <x:c r="A3961" s="24" t="n">
        <x:v>46231.020833333336</x:v>
      </x:c>
      <x:c r="B3961" s="6" t="n">
        <x:v>0.2457</x:v>
      </x:c>
      <x:c r="C3961" s="6" t="n">
        <x:v>0.1386</x:v>
      </x:c>
      <x:c r="D3961" s="6" t="n">
        <x:f>B3961</x:f>
        <x:v>0.2457</x:v>
      </x:c>
      <x:c r="E3961" s="1" t="n">
        <x:v>1.05</x:v>
      </x:c>
      <x:c r="F3961" s="1" t="str">
        <x:v>https://api.octopus.energy/v1/products/AGILE-24-10-01/electricity-tariffs/E-1R-AGILE-24-10-01-G/standard-unit-rates/</x:v>
      </x:c>
    </x:row>
    <x:row r="3962" ht="21" customHeight="1">
      <x:c r="A3962" s="24" t="n">
        <x:v>46231.041666666664</x:v>
      </x:c>
      <x:c r="B3962" s="6" t="n">
        <x:v>0.2227</x:v>
      </x:c>
      <x:c r="C3962" s="6" t="n">
        <x:v>0.1281</x:v>
      </x:c>
      <x:c r="D3962" s="6" t="n">
        <x:f>B3962</x:f>
        <x:v>0.2227</x:v>
      </x:c>
      <x:c r="E3962" s="1" t="n">
        <x:v>1.05</x:v>
      </x:c>
      <x:c r="F3962" s="1" t="str">
        <x:v>https://api.octopus.energy/v1/products/AGILE-24-10-01/electricity-tariffs/E-1R-AGILE-24-10-01-G/standard-unit-rates/</x:v>
      </x:c>
    </x:row>
    <x:row r="3963" ht="21" customHeight="1">
      <x:c r="A3963" s="24" t="n">
        <x:v>46231.0625</x:v>
      </x:c>
      <x:c r="B3963" s="6" t="n">
        <x:v>0.2303</x:v>
      </x:c>
      <x:c r="C3963" s="6" t="n">
        <x:v>0.1316</x:v>
      </x:c>
      <x:c r="D3963" s="6" t="n">
        <x:f>B3963</x:f>
        <x:v>0.2303</x:v>
      </x:c>
      <x:c r="E3963" s="1" t="n">
        <x:v>1.05</x:v>
      </x:c>
      <x:c r="F3963" s="1" t="str">
        <x:v>https://api.octopus.energy/v1/products/AGILE-24-10-01/electricity-tariffs/E-1R-AGILE-24-10-01-G/standard-unit-rates/</x:v>
      </x:c>
    </x:row>
    <x:row r="3964" ht="21" customHeight="1">
      <x:c r="A3964" s="24" t="n">
        <x:v>46231.083333333336</x:v>
      </x:c>
      <x:c r="B3964" s="6" t="n">
        <x:v>0.2228</x:v>
      </x:c>
      <x:c r="C3964" s="6" t="n">
        <x:v>0.1281</x:v>
      </x:c>
      <x:c r="D3964" s="6" t="n">
        <x:f>B3964</x:f>
        <x:v>0.2228</x:v>
      </x:c>
      <x:c r="E3964" s="1" t="n">
        <x:v>1.05</x:v>
      </x:c>
      <x:c r="F3964" s="1" t="str">
        <x:v>https://api.octopus.energy/v1/products/AGILE-24-10-01/electricity-tariffs/E-1R-AGILE-24-10-01-G/standard-unit-rates/</x:v>
      </x:c>
    </x:row>
    <x:row r="3965" ht="21" customHeight="1">
      <x:c r="A3965" s="24" t="n">
        <x:v>46231.104166666664</x:v>
      </x:c>
      <x:c r="B3965" s="6" t="n">
        <x:v>0.2102</x:v>
      </x:c>
      <x:c r="C3965" s="6" t="n">
        <x:v>0.12240000000000001</x:v>
      </x:c>
      <x:c r="D3965" s="6" t="n">
        <x:f>B3965</x:f>
        <x:v>0.2102</x:v>
      </x:c>
      <x:c r="E3965" s="1" t="n">
        <x:v>1.05</x:v>
      </x:c>
      <x:c r="F3965" s="1" t="str">
        <x:v>https://api.octopus.energy/v1/products/AGILE-24-10-01/electricity-tariffs/E-1R-AGILE-24-10-01-G/standard-unit-rates/</x:v>
      </x:c>
    </x:row>
    <x:row r="3966" ht="21" customHeight="1">
      <x:c r="A3966" s="24" t="n">
        <x:v>46231.125</x:v>
      </x:c>
      <x:c r="B3966" s="6" t="n">
        <x:v>0.2173</x:v>
      </x:c>
      <x:c r="C3966" s="6" t="n">
        <x:v>0.12560000000000002</x:v>
      </x:c>
      <x:c r="D3966" s="6" t="n">
        <x:f>B3966</x:f>
        <x:v>0.2173</x:v>
      </x:c>
      <x:c r="E3966" s="1" t="n">
        <x:v>1.05</x:v>
      </x:c>
      <x:c r="F3966" s="1" t="str">
        <x:v>https://api.octopus.energy/v1/products/AGILE-24-10-01/electricity-tariffs/E-1R-AGILE-24-10-01-G/standard-unit-rates/</x:v>
      </x:c>
    </x:row>
    <x:row r="3967" ht="21" customHeight="1">
      <x:c r="A3967" s="24" t="n">
        <x:v>46231.145833333336</x:v>
      </x:c>
      <x:c r="B3967" s="6" t="n">
        <x:v>0.21710000000000002</x:v>
      </x:c>
      <x:c r="C3967" s="6" t="n">
        <x:v>0.1255</x:v>
      </x:c>
      <x:c r="D3967" s="6" t="n">
        <x:f>B3967</x:f>
        <x:v>0.21710000000000002</x:v>
      </x:c>
      <x:c r="E3967" s="1" t="n">
        <x:v>1.05</x:v>
      </x:c>
      <x:c r="F3967" s="1" t="str">
        <x:v>https://api.octopus.energy/v1/products/AGILE-24-10-01/electricity-tariffs/E-1R-AGILE-24-10-01-G/standard-unit-rates/</x:v>
      </x:c>
    </x:row>
    <x:row r="3968" ht="21" customHeight="1">
      <x:c r="A3968" s="24" t="n">
        <x:v>46231.166666666664</x:v>
      </x:c>
      <x:c r="B3968" s="6" t="n">
        <x:v>0.2184</x:v>
      </x:c>
      <x:c r="C3968" s="6" t="n">
        <x:v>0.1261</x:v>
      </x:c>
      <x:c r="D3968" s="6" t="n">
        <x:f>B3968</x:f>
        <x:v>0.2184</x:v>
      </x:c>
      <x:c r="E3968" s="1" t="n">
        <x:v>1.05</x:v>
      </x:c>
      <x:c r="F3968" s="1" t="str">
        <x:v>https://api.octopus.energy/v1/products/AGILE-24-10-01/electricity-tariffs/E-1R-AGILE-24-10-01-G/standard-unit-rates/</x:v>
      </x:c>
    </x:row>
    <x:row r="3969" ht="21" customHeight="1">
      <x:c r="A3969" s="24" t="n">
        <x:v>46231.1875</x:v>
      </x:c>
      <x:c r="B3969" s="6" t="n">
        <x:v>0.2121</x:v>
      </x:c>
      <x:c r="C3969" s="6" t="n">
        <x:v>0.1232</x:v>
      </x:c>
      <x:c r="D3969" s="6" t="n">
        <x:f>B3969</x:f>
        <x:v>0.2121</x:v>
      </x:c>
      <x:c r="E3969" s="1" t="n">
        <x:v>1.05</x:v>
      </x:c>
      <x:c r="F3969" s="1" t="str">
        <x:v>https://api.octopus.energy/v1/products/AGILE-24-10-01/electricity-tariffs/E-1R-AGILE-24-10-01-G/standard-unit-rates/</x:v>
      </x:c>
    </x:row>
    <x:row r="3970" ht="21" customHeight="1">
      <x:c r="A3970" s="24" t="n">
        <x:v>46231.208333333336</x:v>
      </x:c>
      <x:c r="B3970" s="6" t="n">
        <x:v>0.2545</x:v>
      </x:c>
      <x:c r="C3970" s="6" t="n">
        <x:v>0.1426</x:v>
      </x:c>
      <x:c r="D3970" s="6" t="n">
        <x:f>B3970</x:f>
        <x:v>0.2545</x:v>
      </x:c>
      <x:c r="E3970" s="1" t="n">
        <x:v>1.05</x:v>
      </x:c>
      <x:c r="F3970" s="1" t="str">
        <x:v>https://api.octopus.energy/v1/products/AGILE-24-10-01/electricity-tariffs/E-1R-AGILE-24-10-01-G/standard-unit-rates/</x:v>
      </x:c>
    </x:row>
    <x:row r="3971" ht="21" customHeight="1">
      <x:c r="A3971" s="24" t="n">
        <x:v>46231.229166666664</x:v>
      </x:c>
      <x:c r="B3971" s="6" t="n">
        <x:v>0.2459</x:v>
      </x:c>
      <x:c r="C3971" s="6" t="n">
        <x:v>0.1387</x:v>
      </x:c>
      <x:c r="D3971" s="6" t="n">
        <x:f>B3971</x:f>
        <x:v>0.2459</x:v>
      </x:c>
      <x:c r="E3971" s="1" t="n">
        <x:v>1.05</x:v>
      </x:c>
      <x:c r="F3971" s="1" t="str">
        <x:v>https://api.octopus.energy/v1/products/AGILE-24-10-01/electricity-tariffs/E-1R-AGILE-24-10-01-G/standard-unit-rates/</x:v>
      </x:c>
    </x:row>
    <x:row r="3972" ht="21" customHeight="1">
      <x:c r="A3972" s="24" t="n">
        <x:v>46231.25</x:v>
      </x:c>
      <x:c r="B3972" s="6" t="n">
        <x:v>0.2438</x:v>
      </x:c>
      <x:c r="C3972" s="6" t="n">
        <x:v>0.1377</x:v>
      </x:c>
      <x:c r="D3972" s="6" t="n">
        <x:f>B3972</x:f>
        <x:v>0.2438</x:v>
      </x:c>
      <x:c r="E3972" s="1" t="n">
        <x:v>1.05</x:v>
      </x:c>
      <x:c r="F3972" s="1" t="str">
        <x:v>https://api.octopus.energy/v1/products/AGILE-24-10-01/electricity-tariffs/E-1R-AGILE-24-10-01-G/standard-unit-rates/</x:v>
      </x:c>
    </x:row>
    <x:row r="3973" ht="21" customHeight="1">
      <x:c r="A3973" s="24" t="n">
        <x:v>46231.270833333336</x:v>
      </x:c>
      <x:c r="B3973" s="6" t="n">
        <x:v>0.2622</x:v>
      </x:c>
      <x:c r="C3973" s="6" t="n">
        <x:v>0.1461</x:v>
      </x:c>
      <x:c r="D3973" s="6" t="n">
        <x:f>B3973</x:f>
        <x:v>0.2622</x:v>
      </x:c>
      <x:c r="E3973" s="1" t="n">
        <x:v>1.05</x:v>
      </x:c>
      <x:c r="F3973" s="1" t="str">
        <x:v>https://api.octopus.energy/v1/products/AGILE-24-10-01/electricity-tariffs/E-1R-AGILE-24-10-01-G/standard-unit-rates/</x:v>
      </x:c>
    </x:row>
    <x:row r="3974" ht="21" customHeight="1">
      <x:c r="A3974" s="24" t="n">
        <x:v>46231.291666666664</x:v>
      </x:c>
      <x:c r="B3974" s="6" t="n">
        <x:v>0.23440000000000003</x:v>
      </x:c>
      <x:c r="C3974" s="6" t="n">
        <x:v>0.1334</x:v>
      </x:c>
      <x:c r="D3974" s="6" t="n">
        <x:f>B3974</x:f>
        <x:v>0.23440000000000003</x:v>
      </x:c>
      <x:c r="E3974" s="1" t="n">
        <x:v>1.05</x:v>
      </x:c>
      <x:c r="F3974" s="1" t="str">
        <x:v>https://api.octopus.energy/v1/products/AGILE-24-10-01/electricity-tariffs/E-1R-AGILE-24-10-01-G/standard-unit-rates/</x:v>
      </x:c>
    </x:row>
    <x:row r="3975" ht="21" customHeight="1">
      <x:c r="A3975" s="24" t="n">
        <x:v>46231.3125</x:v>
      </x:c>
      <x:c r="B3975" s="6" t="n">
        <x:v>0.24670000000000003</x:v>
      </x:c>
      <x:c r="C3975" s="6" t="n">
        <x:v>0.1391</x:v>
      </x:c>
      <x:c r="D3975" s="6" t="n">
        <x:f>B3975</x:f>
        <x:v>0.24670000000000003</x:v>
      </x:c>
      <x:c r="E3975" s="1" t="n">
        <x:v>1.05</x:v>
      </x:c>
      <x:c r="F3975" s="1" t="str">
        <x:v>https://api.octopus.energy/v1/products/AGILE-24-10-01/electricity-tariffs/E-1R-AGILE-24-10-01-G/standard-unit-rates/</x:v>
      </x:c>
    </x:row>
    <x:row r="3976" ht="21" customHeight="1">
      <x:c r="A3976" s="24" t="n">
        <x:v>46231.333333333336</x:v>
      </x:c>
      <x:c r="B3976" s="6" t="n">
        <x:v>0.2297</x:v>
      </x:c>
      <x:c r="C3976" s="6" t="n">
        <x:v>0.1313</x:v>
      </x:c>
      <x:c r="D3976" s="6" t="n">
        <x:f>B3976</x:f>
        <x:v>0.2297</x:v>
      </x:c>
      <x:c r="E3976" s="1" t="n">
        <x:v>1.05</x:v>
      </x:c>
      <x:c r="F3976" s="1" t="str">
        <x:v>https://api.octopus.energy/v1/products/AGILE-24-10-01/electricity-tariffs/E-1R-AGILE-24-10-01-G/standard-unit-rates/</x:v>
      </x:c>
    </x:row>
    <x:row r="3977" ht="21" customHeight="1">
      <x:c r="A3977" s="24" t="n">
        <x:v>46231.354166666664</x:v>
      </x:c>
      <x:c r="B3977" s="6" t="n">
        <x:v>0.2335</x:v>
      </x:c>
      <x:c r="C3977" s="6" t="n">
        <x:v>0.133</x:v>
      </x:c>
      <x:c r="D3977" s="6" t="n">
        <x:f>B3977</x:f>
        <x:v>0.2335</x:v>
      </x:c>
      <x:c r="E3977" s="1" t="n">
        <x:v>1.05</x:v>
      </x:c>
      <x:c r="F3977" s="1" t="str">
        <x:v>https://api.octopus.energy/v1/products/AGILE-24-10-01/electricity-tariffs/E-1R-AGILE-24-10-01-G/standard-unit-rates/</x:v>
      </x:c>
    </x:row>
    <x:row r="3978" ht="21" customHeight="1">
      <x:c r="A3978" s="24" t="n">
        <x:v>46231.375</x:v>
      </x:c>
      <x:c r="B3978" s="6" t="n">
        <x:v>0.2245</x:v>
      </x:c>
      <x:c r="C3978" s="6" t="n">
        <x:v>0.12890000000000001</x:v>
      </x:c>
      <x:c r="D3978" s="6" t="n">
        <x:f>B3978</x:f>
        <x:v>0.2245</x:v>
      </x:c>
      <x:c r="E3978" s="1" t="n">
        <x:v>1.05</x:v>
      </x:c>
      <x:c r="F3978" s="1" t="str">
        <x:v>https://api.octopus.energy/v1/products/AGILE-24-10-01/electricity-tariffs/E-1R-AGILE-24-10-01-G/standard-unit-rates/</x:v>
      </x:c>
    </x:row>
    <x:row r="3979" ht="21" customHeight="1">
      <x:c r="A3979" s="24" t="n">
        <x:v>46231.395833333336</x:v>
      </x:c>
      <x:c r="B3979" s="6" t="n">
        <x:v>0.2159</x:v>
      </x:c>
      <x:c r="C3979" s="6" t="n">
        <x:v>0.125</x:v>
      </x:c>
      <x:c r="D3979" s="6" t="n">
        <x:f>B3979</x:f>
        <x:v>0.2159</x:v>
      </x:c>
      <x:c r="E3979" s="1" t="n">
        <x:v>1.05</x:v>
      </x:c>
      <x:c r="F3979" s="1" t="str">
        <x:v>https://api.octopus.energy/v1/products/AGILE-24-10-01/electricity-tariffs/E-1R-AGILE-24-10-01-G/standard-unit-rates/</x:v>
      </x:c>
    </x:row>
    <x:row r="3980" ht="21" customHeight="1">
      <x:c r="A3980" s="24" t="n">
        <x:v>46231.416666666664</x:v>
      </x:c>
      <x:c r="B3980" s="6" t="n">
        <x:v>0.185</x:v>
      </x:c>
      <x:c r="C3980" s="6" t="n">
        <x:v>0.1108</x:v>
      </x:c>
      <x:c r="D3980" s="6" t="n">
        <x:f>B3980</x:f>
        <x:v>0.185</x:v>
      </x:c>
      <x:c r="E3980" s="1" t="n">
        <x:v>1.05</x:v>
      </x:c>
      <x:c r="F3980" s="1" t="str">
        <x:v>https://api.octopus.energy/v1/products/AGILE-24-10-01/electricity-tariffs/E-1R-AGILE-24-10-01-G/standard-unit-rates/</x:v>
      </x:c>
    </x:row>
    <x:row r="3981" ht="21" customHeight="1">
      <x:c r="A3981" s="24" t="n">
        <x:v>46231.4375</x:v>
      </x:c>
      <x:c r="B3981" s="6" t="n">
        <x:v>0.16949999999999998</x:v>
      </x:c>
      <x:c r="C3981" s="6" t="n">
        <x:v>0.1038</x:v>
      </x:c>
      <x:c r="D3981" s="6" t="n">
        <x:f>B3981</x:f>
        <x:v>0.16949999999999998</x:v>
      </x:c>
      <x:c r="E3981" s="1" t="n">
        <x:v>1.05</x:v>
      </x:c>
      <x:c r="F3981" s="1" t="str">
        <x:v>https://api.octopus.energy/v1/products/AGILE-24-10-01/electricity-tariffs/E-1R-AGILE-24-10-01-G/standard-unit-rates/</x:v>
      </x:c>
    </x:row>
    <x:row r="3982" ht="21" customHeight="1">
      <x:c r="A3982" s="24" t="n">
        <x:v>46231.458333333336</x:v>
      </x:c>
      <x:c r="B3982" s="6" t="n">
        <x:v>0.1598</x:v>
      </x:c>
      <x:c r="C3982" s="6" t="n">
        <x:v>0.0993</x:v>
      </x:c>
      <x:c r="D3982" s="6" t="n">
        <x:f>B3982</x:f>
        <x:v>0.1598</x:v>
      </x:c>
      <x:c r="E3982" s="1" t="n">
        <x:v>1.05</x:v>
      </x:c>
      <x:c r="F3982" s="1" t="str">
        <x:v>https://api.octopus.energy/v1/products/AGILE-24-10-01/electricity-tariffs/E-1R-AGILE-24-10-01-G/standard-unit-rates/</x:v>
      </x:c>
    </x:row>
    <x:row r="3983" ht="21" customHeight="1">
      <x:c r="A3983" s="24" t="n">
        <x:v>46231.479166666664</x:v>
      </x:c>
      <x:c r="B3983" s="6" t="n">
        <x:v>0.1451</x:v>
      </x:c>
      <x:c r="C3983" s="6" t="n">
        <x:v>0.0926</x:v>
      </x:c>
      <x:c r="D3983" s="6" t="n">
        <x:f>B3983</x:f>
        <x:v>0.1451</x:v>
      </x:c>
      <x:c r="E3983" s="1" t="n">
        <x:v>1.05</x:v>
      </x:c>
      <x:c r="F3983" s="1" t="str">
        <x:v>https://api.octopus.energy/v1/products/AGILE-24-10-01/electricity-tariffs/E-1R-AGILE-24-10-01-G/standard-unit-rates/</x:v>
      </x:c>
    </x:row>
    <x:row r="3984" ht="21" customHeight="1">
      <x:c r="A3984" s="24" t="n">
        <x:v>46231.5</x:v>
      </x:c>
      <x:c r="B3984" s="6" t="n">
        <x:v>0.1401</x:v>
      </x:c>
      <x:c r="C3984" s="6" t="n">
        <x:v>0.09029999999999999</x:v>
      </x:c>
      <x:c r="D3984" s="6" t="n">
        <x:f>B3984</x:f>
        <x:v>0.1401</x:v>
      </x:c>
      <x:c r="E3984" s="1" t="n">
        <x:v>1.05</x:v>
      </x:c>
      <x:c r="F3984" s="1" t="str">
        <x:v>https://api.octopus.energy/v1/products/AGILE-24-10-01/electricity-tariffs/E-1R-AGILE-24-10-01-G/standard-unit-rates/</x:v>
      </x:c>
    </x:row>
    <x:row r="3985" ht="21" customHeight="1">
      <x:c r="A3985" s="24" t="n">
        <x:v>46231.520833333336</x:v>
      </x:c>
      <x:c r="B3985" s="6" t="n">
        <x:v>0.1283</x:v>
      </x:c>
      <x:c r="C3985" s="6" t="n">
        <x:v>0.0849</x:v>
      </x:c>
      <x:c r="D3985" s="6" t="n">
        <x:f>B3985</x:f>
        <x:v>0.1283</x:v>
      </x:c>
      <x:c r="E3985" s="1" t="n">
        <x:v>1.05</x:v>
      </x:c>
      <x:c r="F3985" s="1" t="str">
        <x:v>https://api.octopus.energy/v1/products/AGILE-24-10-01/electricity-tariffs/E-1R-AGILE-24-10-01-G/standard-unit-rates/</x:v>
      </x:c>
    </x:row>
    <x:row r="3986" ht="21" customHeight="1">
      <x:c r="A3986" s="24" t="n">
        <x:v>46231.541666666664</x:v>
      </x:c>
      <x:c r="B3986" s="6" t="n">
        <x:v>0.1253</x:v>
      </x:c>
      <x:c r="C3986" s="6" t="n">
        <x:v>0.0836</x:v>
      </x:c>
      <x:c r="D3986" s="6" t="n">
        <x:f>B3986</x:f>
        <x:v>0.1253</x:v>
      </x:c>
      <x:c r="E3986" s="1" t="n">
        <x:v>1.05</x:v>
      </x:c>
      <x:c r="F3986" s="1" t="str">
        <x:v>https://api.octopus.energy/v1/products/AGILE-24-10-01/electricity-tariffs/E-1R-AGILE-24-10-01-G/standard-unit-rates/</x:v>
      </x:c>
    </x:row>
    <x:row r="3987" ht="21" customHeight="1">
      <x:c r="A3987" s="24" t="n">
        <x:v>46231.5625</x:v>
      </x:c>
      <x:c r="B3987" s="6" t="n">
        <x:v>0.1285</x:v>
      </x:c>
      <x:c r="C3987" s="6" t="n">
        <x:v>0.085</x:v>
      </x:c>
      <x:c r="D3987" s="6" t="n">
        <x:f>B3987</x:f>
        <x:v>0.1285</x:v>
      </x:c>
      <x:c r="E3987" s="1" t="n">
        <x:v>1.05</x:v>
      </x:c>
      <x:c r="F3987" s="1" t="str">
        <x:v>https://api.octopus.energy/v1/products/AGILE-24-10-01/electricity-tariffs/E-1R-AGILE-24-10-01-G/standard-unit-rates/</x:v>
      </x:c>
    </x:row>
    <x:row r="3988" ht="21" customHeight="1">
      <x:c r="A3988" s="24" t="n">
        <x:v>46231.583333333336</x:v>
      </x:c>
      <x:c r="B3988" s="6" t="n">
        <x:v>0.1346</x:v>
      </x:c>
      <x:c r="C3988" s="6" t="n">
        <x:v>0.08779999999999999</x:v>
      </x:c>
      <x:c r="D3988" s="6" t="n">
        <x:f>B3988</x:f>
        <x:v>0.1346</x:v>
      </x:c>
      <x:c r="E3988" s="1" t="n">
        <x:v>1.05</x:v>
      </x:c>
      <x:c r="F3988" s="1" t="str">
        <x:v>https://api.octopus.energy/v1/products/AGILE-24-10-01/electricity-tariffs/E-1R-AGILE-24-10-01-G/standard-unit-rates/</x:v>
      </x:c>
    </x:row>
    <x:row r="3989" ht="21" customHeight="1">
      <x:c r="A3989" s="24" t="n">
        <x:v>46231.604166666664</x:v>
      </x:c>
      <x:c r="B3989" s="6" t="n">
        <x:v>0.1241</x:v>
      </x:c>
      <x:c r="C3989" s="6" t="n">
        <x:v>0.083</x:v>
      </x:c>
      <x:c r="D3989" s="6" t="n">
        <x:f>B3989</x:f>
        <x:v>0.1241</x:v>
      </x:c>
      <x:c r="E3989" s="1" t="n">
        <x:v>1.05</x:v>
      </x:c>
      <x:c r="F3989" s="1" t="str">
        <x:v>https://api.octopus.energy/v1/products/AGILE-24-10-01/electricity-tariffs/E-1R-AGILE-24-10-01-G/standard-unit-rates/</x:v>
      </x:c>
    </x:row>
    <x:row r="3990" ht="21" customHeight="1">
      <x:c r="A3990" s="24" t="n">
        <x:v>46231.625</x:v>
      </x:c>
      <x:c r="B3990" s="6" t="n">
        <x:v>0.1398</x:v>
      </x:c>
      <x:c r="C3990" s="6" t="n">
        <x:v>0.0902</x:v>
      </x:c>
      <x:c r="D3990" s="6" t="n">
        <x:f>B3990</x:f>
        <x:v>0.1398</x:v>
      </x:c>
      <x:c r="E3990" s="1" t="n">
        <x:v>1.05</x:v>
      </x:c>
      <x:c r="F3990" s="1" t="str">
        <x:v>https://api.octopus.energy/v1/products/AGILE-24-10-01/electricity-tariffs/E-1R-AGILE-24-10-01-G/standard-unit-rates/</x:v>
      </x:c>
    </x:row>
    <x:row r="3991" ht="21" customHeight="1">
      <x:c r="A3991" s="24" t="n">
        <x:v>46231.645833333336</x:v>
      </x:c>
      <x:c r="B3991" s="6" t="n">
        <x:v>0.1474</x:v>
      </x:c>
      <x:c r="C3991" s="6" t="n">
        <x:v>0.09369999999999999</x:v>
      </x:c>
      <x:c r="D3991" s="6" t="n">
        <x:f>B3991</x:f>
        <x:v>0.1474</x:v>
      </x:c>
      <x:c r="E3991" s="1" t="n">
        <x:v>1.05</x:v>
      </x:c>
      <x:c r="F3991" s="1" t="str">
        <x:v>https://api.octopus.energy/v1/products/AGILE-24-10-01/electricity-tariffs/E-1R-AGILE-24-10-01-G/standard-unit-rates/</x:v>
      </x:c>
    </x:row>
    <x:row r="3992" ht="21" customHeight="1">
      <x:c r="A3992" s="24" t="n">
        <x:v>46231.666666666664</x:v>
      </x:c>
      <x:c r="B3992" s="6" t="n">
        <x:v>0.2772</x:v>
      </x:c>
      <x:c r="C3992" s="6" t="n">
        <x:v>0.157</x:v>
      </x:c>
      <x:c r="D3992" s="6" t="n">
        <x:f>B3992</x:f>
        <x:v>0.2772</x:v>
      </x:c>
      <x:c r="E3992" s="1" t="n">
        <x:v>1.05</x:v>
      </x:c>
      <x:c r="F3992" s="1" t="str">
        <x:v>https://api.octopus.energy/v1/products/AGILE-24-10-01/electricity-tariffs/E-1R-AGILE-24-10-01-G/standard-unit-rates/</x:v>
      </x:c>
    </x:row>
    <x:row r="3993" ht="21" customHeight="1">
      <x:c r="A3993" s="24" t="n">
        <x:v>46231.6875</x:v>
      </x:c>
      <x:c r="B3993" s="6" t="n">
        <x:v>0.2847</x:v>
      </x:c>
      <x:c r="C3993" s="6" t="n">
        <x:v>0.1605</x:v>
      </x:c>
      <x:c r="D3993" s="6" t="n">
        <x:f>B3993</x:f>
        <x:v>0.2847</x:v>
      </x:c>
      <x:c r="E3993" s="1" t="n">
        <x:v>1.05</x:v>
      </x:c>
      <x:c r="F3993" s="1" t="str">
        <x:v>https://api.octopus.energy/v1/products/AGILE-24-10-01/electricity-tariffs/E-1R-AGILE-24-10-01-G/standard-unit-rates/</x:v>
      </x:c>
    </x:row>
    <x:row r="3994" ht="21" customHeight="1">
      <x:c r="A3994" s="24" t="n">
        <x:v>46231.708333333336</x:v>
      </x:c>
      <x:c r="B3994" s="6" t="n">
        <x:v>0.3478</x:v>
      </x:c>
      <x:c r="C3994" s="6" t="n">
        <x:v>0.1893</x:v>
      </x:c>
      <x:c r="D3994" s="6" t="n">
        <x:f>B3994</x:f>
        <x:v>0.3478</x:v>
      </x:c>
      <x:c r="E3994" s="1" t="n">
        <x:v>1.05</x:v>
      </x:c>
      <x:c r="F3994" s="1" t="str">
        <x:v>https://api.octopus.energy/v1/products/AGILE-24-10-01/electricity-tariffs/E-1R-AGILE-24-10-01-G/standard-unit-rates/</x:v>
      </x:c>
    </x:row>
    <x:row r="3995" ht="21" customHeight="1">
      <x:c r="A3995" s="24" t="n">
        <x:v>46231.729166666664</x:v>
      </x:c>
      <x:c r="B3995" s="6" t="n">
        <x:v>0.35840000000000005</x:v>
      </x:c>
      <x:c r="C3995" s="6" t="n">
        <x:v>0.1942</x:v>
      </x:c>
      <x:c r="D3995" s="6" t="n">
        <x:f>B3995</x:f>
        <x:v>0.35840000000000005</x:v>
      </x:c>
      <x:c r="E3995" s="1" t="n">
        <x:v>1.05</x:v>
      </x:c>
      <x:c r="F3995" s="1" t="str">
        <x:v>https://api.octopus.energy/v1/products/AGILE-24-10-01/electricity-tariffs/E-1R-AGILE-24-10-01-G/standard-unit-rates/</x:v>
      </x:c>
    </x:row>
    <x:row r="3996" ht="21" customHeight="1">
      <x:c r="A3996" s="24" t="n">
        <x:v>46231.75</x:v>
      </x:c>
      <x:c r="B3996" s="6" t="n">
        <x:v>0.40490000000000004</x:v>
      </x:c>
      <x:c r="C3996" s="6" t="n">
        <x:v>0.21539999999999998</x:v>
      </x:c>
      <x:c r="D3996" s="6" t="n">
        <x:f>B3996</x:f>
        <x:v>0.40490000000000004</x:v>
      </x:c>
      <x:c r="E3996" s="1" t="n">
        <x:v>1.05</x:v>
      </x:c>
      <x:c r="F3996" s="1" t="str">
        <x:v>https://api.octopus.energy/v1/products/AGILE-24-10-01/electricity-tariffs/E-1R-AGILE-24-10-01-G/standard-unit-rates/</x:v>
      </x:c>
    </x:row>
    <x:row r="3997" ht="21" customHeight="1">
      <x:c r="A3997" s="24" t="n">
        <x:v>46231.770833333336</x:v>
      </x:c>
      <x:c r="B3997" s="6" t="n">
        <x:v>0.4268</x:v>
      </x:c>
      <x:c r="C3997" s="6" t="n">
        <x:v>0.2254</x:v>
      </x:c>
      <x:c r="D3997" s="6" t="n">
        <x:f>B3997</x:f>
        <x:v>0.4268</x:v>
      </x:c>
      <x:c r="E3997" s="1" t="n">
        <x:v>1.05</x:v>
      </x:c>
      <x:c r="F3997" s="1" t="str">
        <x:v>https://api.octopus.energy/v1/products/AGILE-24-10-01/electricity-tariffs/E-1R-AGILE-24-10-01-G/standard-unit-rates/</x:v>
      </x:c>
    </x:row>
    <x:row r="3998" ht="21" customHeight="1">
      <x:c r="A3998" s="24" t="n">
        <x:v>46231.791666666664</x:v>
      </x:c>
      <x:c r="B3998" s="6" t="n">
        <x:v>0.3236</x:v>
      </x:c>
      <x:c r="C3998" s="6" t="n">
        <x:v>0.17420000000000002</x:v>
      </x:c>
      <x:c r="D3998" s="6" t="n">
        <x:f>B3998</x:f>
        <x:v>0.3236</x:v>
      </x:c>
      <x:c r="E3998" s="1" t="n">
        <x:v>1.05</x:v>
      </x:c>
      <x:c r="F3998" s="1" t="str">
        <x:v>https://api.octopus.energy/v1/products/AGILE-24-10-01/electricity-tariffs/E-1R-AGILE-24-10-01-G/standard-unit-rates/</x:v>
      </x:c>
    </x:row>
    <x:row r="3999" ht="21" customHeight="1">
      <x:c r="A3999" s="24" t="n">
        <x:v>46231.8125</x:v>
      </x:c>
      <x:c r="B3999" s="6" t="n">
        <x:v>0.3292</x:v>
      </x:c>
      <x:c r="C3999" s="6" t="n">
        <x:v>0.17679999999999998</x:v>
      </x:c>
      <x:c r="D3999" s="6" t="n">
        <x:f>B3999</x:f>
        <x:v>0.3292</x:v>
      </x:c>
      <x:c r="E3999" s="1" t="n">
        <x:v>1.05</x:v>
      </x:c>
      <x:c r="F3999" s="1" t="str">
        <x:v>https://api.octopus.energy/v1/products/AGILE-24-10-01/electricity-tariffs/E-1R-AGILE-24-10-01-G/standard-unit-rates/</x:v>
      </x:c>
    </x:row>
    <x:row r="4000" ht="21" customHeight="1">
      <x:c r="A4000" s="24" t="n">
        <x:v>46231.833333333336</x:v>
      </x:c>
      <x:c r="B4000" s="6" t="n">
        <x:v>0.33</x:v>
      </x:c>
      <x:c r="C4000" s="6" t="n">
        <x:v>0.1771</x:v>
      </x:c>
      <x:c r="D4000" s="6" t="n">
        <x:f>B4000</x:f>
        <x:v>0.33</x:v>
      </x:c>
      <x:c r="E4000" s="1" t="n">
        <x:v>1.05</x:v>
      </x:c>
      <x:c r="F4000" s="1" t="str">
        <x:v>https://api.octopus.energy/v1/products/AGILE-24-10-01/electricity-tariffs/E-1R-AGILE-24-10-01-G/standard-unit-rates/</x:v>
      </x:c>
    </x:row>
    <x:row r="4001" ht="21" customHeight="1">
      <x:c r="A4001" s="24" t="n">
        <x:v>46231.854166666664</x:v>
      </x:c>
      <x:c r="B4001" s="6" t="n">
        <x:v>0.3236</x:v>
      </x:c>
      <x:c r="C4001" s="6" t="n">
        <x:v>0.17420000000000002</x:v>
      </x:c>
      <x:c r="D4001" s="6" t="n">
        <x:f>B4001</x:f>
        <x:v>0.3236</x:v>
      </x:c>
      <x:c r="E4001" s="1" t="n">
        <x:v>1.05</x:v>
      </x:c>
      <x:c r="F4001" s="1" t="str">
        <x:v>https://api.octopus.energy/v1/products/AGILE-24-10-01/electricity-tariffs/E-1R-AGILE-24-10-01-G/standard-unit-rates/</x:v>
      </x:c>
    </x:row>
    <x:row r="4002" ht="21" customHeight="1">
      <x:c r="A4002" s="24" t="n">
        <x:v>46231.875</x:v>
      </x:c>
      <x:c r="B4002" s="6" t="n">
        <x:v>0.3126</x:v>
      </x:c>
      <x:c r="C4002" s="6" t="n">
        <x:v>0.16920000000000002</x:v>
      </x:c>
      <x:c r="D4002" s="6" t="n">
        <x:f>B4002</x:f>
        <x:v>0.3126</x:v>
      </x:c>
      <x:c r="E4002" s="1" t="n">
        <x:v>1.05</x:v>
      </x:c>
      <x:c r="F4002" s="1" t="str">
        <x:v>https://api.octopus.energy/v1/products/AGILE-24-10-01/electricity-tariffs/E-1R-AGILE-24-10-01-G/standard-unit-rates/</x:v>
      </x:c>
    </x:row>
    <x:row r="4003" ht="21" customHeight="1">
      <x:c r="A4003" s="24" t="n">
        <x:v>46231.895833333336</x:v>
      </x:c>
      <x:c r="B4003" s="6" t="n">
        <x:v>0.3005</x:v>
      </x:c>
      <x:c r="C4003" s="6" t="n">
        <x:v>0.1636</x:v>
      </x:c>
      <x:c r="D4003" s="6" t="n">
        <x:f>B4003</x:f>
        <x:v>0.3005</x:v>
      </x:c>
      <x:c r="E4003" s="1" t="n">
        <x:v>1.05</x:v>
      </x:c>
      <x:c r="F4003" s="1" t="str">
        <x:v>https://api.octopus.energy/v1/products/AGILE-24-10-01/electricity-tariffs/E-1R-AGILE-24-10-01-G/standard-unit-rates/</x:v>
      </x:c>
    </x:row>
    <x:row r="4004" ht="21" customHeight="1">
      <x:c r="A4004" s="24" t="n">
        <x:v>46231.916666666664</x:v>
      </x:c>
      <x:c r="B4004" s="6" t="n">
        <x:v>0.2623</x:v>
      </x:c>
      <x:c r="C4004" s="6" t="n">
        <x:v>0.1462</x:v>
      </x:c>
      <x:c r="D4004" s="6" t="n">
        <x:f>B4004</x:f>
        <x:v>0.2623</x:v>
      </x:c>
      <x:c r="E4004" s="1" t="n">
        <x:v>1.05</x:v>
      </x:c>
      <x:c r="F4004" s="1" t="str">
        <x:v>https://api.octopus.energy/v1/products/AGILE-24-10-01/electricity-tariffs/E-1R-AGILE-24-10-01-G/standard-unit-rates/</x:v>
      </x:c>
    </x:row>
    <x:row r="4005" ht="21" customHeight="1">
      <x:c r="A4005" s="24" t="n">
        <x:v>46231.9375</x:v>
      </x:c>
      <x:c r="B4005" s="6" t="n">
        <x:v>0.23829999999999998</x:v>
      </x:c>
      <x:c r="C4005" s="6" t="n">
        <x:v>0.1352</x:v>
      </x:c>
      <x:c r="D4005" s="6" t="n">
        <x:f>B4005</x:f>
        <x:v>0.23829999999999998</x:v>
      </x:c>
      <x:c r="E4005" s="1" t="n">
        <x:v>1.05</x:v>
      </x:c>
      <x:c r="F4005" s="1" t="str">
        <x:v>https://api.octopus.energy/v1/products/AGILE-24-10-01/electricity-tariffs/E-1R-AGILE-24-10-01-G/standard-unit-rates/</x:v>
      </x:c>
    </x:row>
    <x:row r="4006" ht="21" customHeight="1">
      <x:c r="A4006" s="24" t="n">
        <x:v>46232</x:v>
      </x:c>
      <x:c r="B4006" s="6" t="n">
        <x:v>0.23190000000000002</x:v>
      </x:c>
      <x:c r="C4006" s="6" t="n">
        <x:v>0.1323</x:v>
      </x:c>
      <x:c r="D4006" s="6" t="n">
        <x:f>B4006</x:f>
        <x:v>0.23190000000000002</x:v>
      </x:c>
      <x:c r="E4006" s="1" t="n">
        <x:v>1.05</x:v>
      </x:c>
      <x:c r="F4006" s="1" t="str">
        <x:v>https://api.octopus.energy/v1/products/AGILE-24-10-01/electricity-tariffs/E-1R-AGILE-24-10-01-G/standard-unit-rates/</x:v>
      </x:c>
    </x:row>
    <x:row r="4007" ht="21" customHeight="1">
      <x:c r="A4007" s="24" t="n">
        <x:v>46231.979166666664</x:v>
      </x:c>
      <x:c r="B4007" s="6" t="n">
        <x:v>0.22210000000000002</x:v>
      </x:c>
      <x:c r="C4007" s="6" t="n">
        <x:v>0.1278</x:v>
      </x:c>
      <x:c r="D4007" s="6" t="n">
        <x:f>B4007</x:f>
        <x:v>0.22210000000000002</x:v>
      </x:c>
      <x:c r="E4007" s="1" t="n">
        <x:v>1.05</x:v>
      </x:c>
      <x:c r="F4007" s="1" t="str">
        <x:v>https://api.octopus.energy/v1/products/AGILE-24-10-01/electricity-tariffs/E-1R-AGILE-24-10-01-G/standard-unit-rates/</x:v>
      </x:c>
    </x:row>
    <x:row r="4008" ht="21" customHeight="1">
      <x:c r="A4008" s="24" t="n">
        <x:v>46232</x:v>
      </x:c>
      <x:c r="B4008" s="6" t="n">
        <x:v>0.21030000000000001</x:v>
      </x:c>
      <x:c r="C4008" s="6" t="n">
        <x:v>0.12240000000000001</x:v>
      </x:c>
      <x:c r="D4008" s="6" t="n">
        <x:f>B4008</x:f>
        <x:v>0.21030000000000001</x:v>
      </x:c>
      <x:c r="E4008" s="1" t="n">
        <x:v>1.05</x:v>
      </x:c>
      <x:c r="F4008" s="1" t="str">
        <x:v>https://api.octopus.energy/v1/products/AGILE-24-10-01/electricity-tariffs/E-1R-AGILE-24-10-01-G/standard-unit-rates/</x:v>
      </x:c>
    </x:row>
    <x:row r="4009" ht="21" customHeight="1">
      <x:c r="A4009" s="24" t="n">
        <x:v>46232.020833333336</x:v>
      </x:c>
      <x:c r="B4009" s="6" t="n">
        <x:v>0.2094</x:v>
      </x:c>
      <x:c r="C4009" s="6" t="n">
        <x:v>0.122</x:v>
      </x:c>
      <x:c r="D4009" s="6" t="n">
        <x:f>B4009</x:f>
        <x:v>0.2094</x:v>
      </x:c>
      <x:c r="E4009" s="1" t="n">
        <x:v>1.05</x:v>
      </x:c>
      <x:c r="F4009" s="1" t="str">
        <x:v>https://api.octopus.energy/v1/products/AGILE-24-10-01/electricity-tariffs/E-1R-AGILE-24-10-01-G/standard-unit-rates/</x:v>
      </x:c>
    </x:row>
    <x:row r="4010" ht="21" customHeight="1">
      <x:c r="A4010" s="24" t="n">
        <x:v>46232.041666666664</x:v>
      </x:c>
      <x:c r="B4010" s="6" t="n">
        <x:v>0.2134</x:v>
      </x:c>
      <x:c r="C4010" s="6" t="n">
        <x:v>0.12380000000000001</x:v>
      </x:c>
      <x:c r="D4010" s="6" t="n">
        <x:f>B4010</x:f>
        <x:v>0.2134</x:v>
      </x:c>
      <x:c r="E4010" s="1" t="n">
        <x:v>1.05</x:v>
      </x:c>
      <x:c r="F4010" s="1" t="str">
        <x:v>https://api.octopus.energy/v1/products/AGILE-24-10-01/electricity-tariffs/E-1R-AGILE-24-10-01-G/standard-unit-rates/</x:v>
      </x:c>
    </x:row>
    <x:row r="4011" ht="21" customHeight="1">
      <x:c r="A4011" s="24" t="n">
        <x:v>46232.0625</x:v>
      </x:c>
      <x:c r="B4011" s="6" t="n">
        <x:v>0.207</x:v>
      </x:c>
      <x:c r="C4011" s="6" t="n">
        <x:v>0.1209</x:v>
      </x:c>
      <x:c r="D4011" s="6" t="n">
        <x:f>B4011</x:f>
        <x:v>0.207</x:v>
      </x:c>
      <x:c r="E4011" s="1" t="n">
        <x:v>1.05</x:v>
      </x:c>
      <x:c r="F4011" s="1" t="str">
        <x:v>https://api.octopus.energy/v1/products/AGILE-24-10-01/electricity-tariffs/E-1R-AGILE-24-10-01-G/standard-unit-rates/</x:v>
      </x:c>
    </x:row>
    <x:row r="4012" ht="21" customHeight="1">
      <x:c r="A4012" s="24" t="n">
        <x:v>46232.083333333336</x:v>
      </x:c>
      <x:c r="B4012" s="6" t="n">
        <x:v>0.2102</x:v>
      </x:c>
      <x:c r="C4012" s="6" t="n">
        <x:v>0.12240000000000001</x:v>
      </x:c>
      <x:c r="D4012" s="6" t="n">
        <x:f>B4012</x:f>
        <x:v>0.2102</x:v>
      </x:c>
      <x:c r="E4012" s="1" t="n">
        <x:v>1.05</x:v>
      </x:c>
      <x:c r="F4012" s="1" t="str">
        <x:v>https://api.octopus.energy/v1/products/AGILE-24-10-01/electricity-tariffs/E-1R-AGILE-24-10-01-G/standard-unit-rates/</x:v>
      </x:c>
    </x:row>
    <x:row r="4013" ht="21" customHeight="1">
      <x:c r="A4013" s="24" t="n">
        <x:v>46232.104166666664</x:v>
      </x:c>
      <x:c r="B4013" s="6" t="n">
        <x:v>0.2102</x:v>
      </x:c>
      <x:c r="C4013" s="6" t="n">
        <x:v>0.12240000000000001</x:v>
      </x:c>
      <x:c r="D4013" s="6" t="n">
        <x:f>B4013</x:f>
        <x:v>0.2102</x:v>
      </x:c>
      <x:c r="E4013" s="1" t="n">
        <x:v>1.05</x:v>
      </x:c>
      <x:c r="F4013" s="1" t="str">
        <x:v>https://api.octopus.energy/v1/products/AGILE-24-10-01/electricity-tariffs/E-1R-AGILE-24-10-01-G/standard-unit-rates/</x:v>
      </x:c>
    </x:row>
    <x:row r="4014" ht="21" customHeight="1">
      <x:c r="A4014" s="24" t="n">
        <x:v>46232.125</x:v>
      </x:c>
      <x:c r="B4014" s="6" t="n">
        <x:v>0.2086</x:v>
      </x:c>
      <x:c r="C4014" s="6" t="n">
        <x:v>0.1216</x:v>
      </x:c>
      <x:c r="D4014" s="6" t="n">
        <x:f>B4014</x:f>
        <x:v>0.2086</x:v>
      </x:c>
      <x:c r="E4014" s="1" t="n">
        <x:v>1.05</x:v>
      </x:c>
      <x:c r="F4014" s="1" t="str">
        <x:v>https://api.octopus.energy/v1/products/AGILE-24-10-01/electricity-tariffs/E-1R-AGILE-24-10-01-G/standard-unit-rates/</x:v>
      </x:c>
    </x:row>
    <x:row r="4015" ht="21" customHeight="1">
      <x:c r="A4015" s="24" t="n">
        <x:v>46232.145833333336</x:v>
      </x:c>
      <x:c r="B4015" s="6" t="n">
        <x:v>0.207</x:v>
      </x:c>
      <x:c r="C4015" s="6" t="n">
        <x:v>0.1209</x:v>
      </x:c>
      <x:c r="D4015" s="6" t="n">
        <x:f>B4015</x:f>
        <x:v>0.207</x:v>
      </x:c>
      <x:c r="E4015" s="1" t="n">
        <x:v>1.05</x:v>
      </x:c>
      <x:c r="F4015" s="1" t="str">
        <x:v>https://api.octopus.energy/v1/products/AGILE-24-10-01/electricity-tariffs/E-1R-AGILE-24-10-01-G/standard-unit-rates/</x:v>
      </x:c>
    </x:row>
    <x:row r="4016" ht="21" customHeight="1">
      <x:c r="A4016" s="24" t="n">
        <x:v>46232.166666666664</x:v>
      </x:c>
      <x:c r="B4016" s="6" t="n">
        <x:v>0.2207</x:v>
      </x:c>
      <x:c r="C4016" s="6" t="n">
        <x:v>0.1272</x:v>
      </x:c>
      <x:c r="D4016" s="6" t="n">
        <x:f>B4016</x:f>
        <x:v>0.2207</x:v>
      </x:c>
      <x:c r="E4016" s="1" t="n">
        <x:v>1.05</x:v>
      </x:c>
      <x:c r="F4016" s="1" t="str">
        <x:v>https://api.octopus.energy/v1/products/AGILE-24-10-01/electricity-tariffs/E-1R-AGILE-24-10-01-G/standard-unit-rates/</x:v>
      </x:c>
    </x:row>
    <x:row r="4017" ht="21" customHeight="1">
      <x:c r="A4017" s="24" t="n">
        <x:v>46232.1875</x:v>
      </x:c>
      <x:c r="B4017" s="6" t="n">
        <x:v>0.22</x:v>
      </x:c>
      <x:c r="C4017" s="6" t="n">
        <x:v>0.1268</x:v>
      </x:c>
      <x:c r="D4017" s="6" t="n">
        <x:f>B4017</x:f>
        <x:v>0.22</x:v>
      </x:c>
      <x:c r="E4017" s="1" t="n">
        <x:v>1.05</x:v>
      </x:c>
      <x:c r="F4017" s="1" t="str">
        <x:v>https://api.octopus.energy/v1/products/AGILE-24-10-01/electricity-tariffs/E-1R-AGILE-24-10-01-G/standard-unit-rates/</x:v>
      </x:c>
    </x:row>
    <x:row r="4018" ht="21" customHeight="1">
      <x:c r="A4018" s="24" t="n">
        <x:v>46232.208333333336</x:v>
      </x:c>
      <x:c r="B4018" s="6" t="n">
        <x:v>0.24109999999999998</x:v>
      </x:c>
      <x:c r="C4018" s="6" t="n">
        <x:v>0.1365</x:v>
      </x:c>
      <x:c r="D4018" s="6" t="n">
        <x:f>B4018</x:f>
        <x:v>0.24109999999999998</x:v>
      </x:c>
      <x:c r="E4018" s="1" t="n">
        <x:v>1.05</x:v>
      </x:c>
      <x:c r="F4018" s="1" t="str">
        <x:v>https://api.octopus.energy/v1/products/AGILE-24-10-01/electricity-tariffs/E-1R-AGILE-24-10-01-G/standard-unit-rates/</x:v>
      </x:c>
    </x:row>
    <x:row r="4019" ht="21" customHeight="1">
      <x:c r="A4019" s="24" t="n">
        <x:v>46232.229166666664</x:v>
      </x:c>
      <x:c r="B4019" s="6" t="n">
        <x:v>0.24109999999999998</x:v>
      </x:c>
      <x:c r="C4019" s="6" t="n">
        <x:v>0.1365</x:v>
      </x:c>
      <x:c r="D4019" s="6" t="n">
        <x:f>B4019</x:f>
        <x:v>0.24109999999999998</x:v>
      </x:c>
      <x:c r="E4019" s="1" t="n">
        <x:v>1.05</x:v>
      </x:c>
      <x:c r="F4019" s="1" t="str">
        <x:v>https://api.octopus.energy/v1/products/AGILE-24-10-01/electricity-tariffs/E-1R-AGILE-24-10-01-G/standard-unit-rates/</x:v>
      </x:c>
    </x:row>
    <x:row r="4020" ht="21" customHeight="1">
      <x:c r="A4020" s="24" t="n">
        <x:v>46232.25</x:v>
      </x:c>
      <x:c r="B4020" s="6" t="n">
        <x:v>0.24059999999999998</x:v>
      </x:c>
      <x:c r="C4020" s="6" t="n">
        <x:v>0.1363</x:v>
      </x:c>
      <x:c r="D4020" s="6" t="n">
        <x:f>B4020</x:f>
        <x:v>0.24059999999999998</x:v>
      </x:c>
      <x:c r="E4020" s="1" t="n">
        <x:v>1.05</x:v>
      </x:c>
      <x:c r="F4020" s="1" t="str">
        <x:v>https://api.octopus.energy/v1/products/AGILE-24-10-01/electricity-tariffs/E-1R-AGILE-24-10-01-G/standard-unit-rates/</x:v>
      </x:c>
    </x:row>
    <x:row r="4021" ht="21" customHeight="1">
      <x:c r="A4021" s="24" t="n">
        <x:v>46232.270833333336</x:v>
      </x:c>
      <x:c r="B4021" s="6" t="n">
        <x:v>0.2516</x:v>
      </x:c>
      <x:c r="C4021" s="6" t="n">
        <x:v>0.1413</x:v>
      </x:c>
      <x:c r="D4021" s="6" t="n">
        <x:f>B4021</x:f>
        <x:v>0.2516</x:v>
      </x:c>
      <x:c r="E4021" s="1" t="n">
        <x:v>1.05</x:v>
      </x:c>
      <x:c r="F4021" s="1" t="str">
        <x:v>https://api.octopus.energy/v1/products/AGILE-24-10-01/electricity-tariffs/E-1R-AGILE-24-10-01-G/standard-unit-rates/</x:v>
      </x:c>
    </x:row>
    <x:row r="4022" ht="21" customHeight="1">
      <x:c r="A4022" s="24" t="n">
        <x:v>46232.291666666664</x:v>
      </x:c>
      <x:c r="B4022" s="6" t="n">
        <x:v>0.2311</x:v>
      </x:c>
      <x:c r="C4022" s="6" t="n">
        <x:v>0.1319</x:v>
      </x:c>
      <x:c r="D4022" s="6" t="n">
        <x:f>B4022</x:f>
        <x:v>0.2311</x:v>
      </x:c>
      <x:c r="E4022" s="1" t="n">
        <x:v>1.05</x:v>
      </x:c>
      <x:c r="F4022" s="1" t="str">
        <x:v>https://api.octopus.energy/v1/products/AGILE-24-10-01/electricity-tariffs/E-1R-AGILE-24-10-01-G/standard-unit-rates/</x:v>
      </x:c>
    </x:row>
    <x:row r="4023" ht="21" customHeight="1">
      <x:c r="A4023" s="24" t="n">
        <x:v>46232.3125</x:v>
      </x:c>
      <x:c r="B4023" s="6" t="n">
        <x:v>0.2379</x:v>
      </x:c>
      <x:c r="C4023" s="6" t="n">
        <x:v>0.135</x:v>
      </x:c>
      <x:c r="D4023" s="6" t="n">
        <x:f>B4023</x:f>
        <x:v>0.2379</x:v>
      </x:c>
      <x:c r="E4023" s="1" t="n">
        <x:v>1.05</x:v>
      </x:c>
      <x:c r="F4023" s="1" t="str">
        <x:v>https://api.octopus.energy/v1/products/AGILE-24-10-01/electricity-tariffs/E-1R-AGILE-24-10-01-G/standard-unit-rates/</x:v>
      </x:c>
    </x:row>
    <x:row r="4024" ht="21" customHeight="1">
      <x:c r="A4024" s="24" t="n">
        <x:v>46232.333333333336</x:v>
      </x:c>
      <x:c r="B4024" s="6" t="n">
        <x:v>0.20079999999999998</x:v>
      </x:c>
      <x:c r="C4024" s="6" t="n">
        <x:v>0.11810000000000001</x:v>
      </x:c>
      <x:c r="D4024" s="6" t="n">
        <x:f>B4024</x:f>
        <x:v>0.20079999999999998</x:v>
      </x:c>
      <x:c r="E4024" s="1" t="n">
        <x:v>1.05</x:v>
      </x:c>
      <x:c r="F4024" s="1" t="str">
        <x:v>https://api.octopus.energy/v1/products/AGILE-24-10-01/electricity-tariffs/E-1R-AGILE-24-10-01-G/standard-unit-rates/</x:v>
      </x:c>
    </x:row>
    <x:row r="4025" ht="21" customHeight="1">
      <x:c r="A4025" s="24" t="n">
        <x:v>46232.354166666664</x:v>
      </x:c>
      <x:c r="B4025" s="6" t="n">
        <x:v>0.20600000000000002</x:v>
      </x:c>
      <x:c r="C4025" s="6" t="n">
        <x:v>0.1204</x:v>
      </x:c>
      <x:c r="D4025" s="6" t="n">
        <x:f>B4025</x:f>
        <x:v>0.20600000000000002</x:v>
      </x:c>
      <x:c r="E4025" s="1" t="n">
        <x:v>1.05</x:v>
      </x:c>
      <x:c r="F4025" s="1" t="str">
        <x:v>https://api.octopus.energy/v1/products/AGILE-24-10-01/electricity-tariffs/E-1R-AGILE-24-10-01-G/standard-unit-rates/</x:v>
      </x:c>
    </x:row>
    <x:row r="4026" ht="21" customHeight="1">
      <x:c r="A4026" s="24" t="n">
        <x:v>46232.375</x:v>
      </x:c>
      <x:c r="B4026" s="6" t="n">
        <x:v>0.2027</x:v>
      </x:c>
      <x:c r="C4026" s="6" t="n">
        <x:v>0.1189</x:v>
      </x:c>
      <x:c r="D4026" s="6" t="n">
        <x:f>B4026</x:f>
        <x:v>0.2027</x:v>
      </x:c>
      <x:c r="E4026" s="1" t="n">
        <x:v>1.05</x:v>
      </x:c>
      <x:c r="F4026" s="1" t="str">
        <x:v>https://api.octopus.energy/v1/products/AGILE-24-10-01/electricity-tariffs/E-1R-AGILE-24-10-01-G/standard-unit-rates/</x:v>
      </x:c>
    </x:row>
    <x:row r="4027" ht="21" customHeight="1">
      <x:c r="A4027" s="24" t="n">
        <x:v>46232.395833333336</x:v>
      </x:c>
      <x:c r="B4027" s="6" t="n">
        <x:v>0.20600000000000002</x:v>
      </x:c>
      <x:c r="C4027" s="6" t="n">
        <x:v>0.1204</x:v>
      </x:c>
      <x:c r="D4027" s="6" t="n">
        <x:f>B4027</x:f>
        <x:v>0.20600000000000002</x:v>
      </x:c>
      <x:c r="E4027" s="1" t="n">
        <x:v>1.05</x:v>
      </x:c>
      <x:c r="F4027" s="1" t="str">
        <x:v>https://api.octopus.energy/v1/products/AGILE-24-10-01/electricity-tariffs/E-1R-AGILE-24-10-01-G/standard-unit-rates/</x:v>
      </x:c>
    </x:row>
    <x:row r="4028" ht="21" customHeight="1">
      <x:c r="A4028" s="24" t="n">
        <x:v>46232.416666666664</x:v>
      </x:c>
      <x:c r="B4028" s="6" t="n">
        <x:v>0.2018</x:v>
      </x:c>
      <x:c r="C4028" s="6" t="n">
        <x:v>0.1185</x:v>
      </x:c>
      <x:c r="D4028" s="6" t="n">
        <x:f>B4028</x:f>
        <x:v>0.2018</x:v>
      </x:c>
      <x:c r="E4028" s="1" t="n">
        <x:v>1.05</x:v>
      </x:c>
      <x:c r="F4028" s="1" t="str">
        <x:v>https://api.octopus.energy/v1/products/AGILE-24-10-01/electricity-tariffs/E-1R-AGILE-24-10-01-G/standard-unit-rates/</x:v>
      </x:c>
    </x:row>
    <x:row r="4029" ht="21" customHeight="1">
      <x:c r="A4029" s="24" t="n">
        <x:v>46232.4375</x:v>
      </x:c>
      <x:c r="B4029" s="6" t="n">
        <x:v>0.1953</x:v>
      </x:c>
      <x:c r="C4029" s="6" t="n">
        <x:v>0.1155</x:v>
      </x:c>
      <x:c r="D4029" s="6" t="n">
        <x:f>B4029</x:f>
        <x:v>0.1953</x:v>
      </x:c>
      <x:c r="E4029" s="1" t="n">
        <x:v>1.05</x:v>
      </x:c>
      <x:c r="F4029" s="1" t="str">
        <x:v>https://api.octopus.energy/v1/products/AGILE-24-10-01/electricity-tariffs/E-1R-AGILE-24-10-01-G/standard-unit-rates/</x:v>
      </x:c>
    </x:row>
    <x:row r="4030" ht="21" customHeight="1">
      <x:c r="A4030" s="24" t="n">
        <x:v>46232.458333333336</x:v>
      </x:c>
      <x:c r="B4030" s="6" t="n">
        <x:v>0.1934</x:v>
      </x:c>
      <x:c r="C4030" s="6" t="n">
        <x:v>0.11470000000000001</x:v>
      </x:c>
      <x:c r="D4030" s="6" t="n">
        <x:f>B4030</x:f>
        <x:v>0.1934</x:v>
      </x:c>
      <x:c r="E4030" s="1" t="n">
        <x:v>1.05</x:v>
      </x:c>
      <x:c r="F4030" s="1" t="str">
        <x:v>https://api.octopus.energy/v1/products/AGILE-24-10-01/electricity-tariffs/E-1R-AGILE-24-10-01-G/standard-unit-rates/</x:v>
      </x:c>
    </x:row>
    <x:row r="4031" ht="21" customHeight="1">
      <x:c r="A4031" s="24" t="n">
        <x:v>46232.479166666664</x:v>
      </x:c>
      <x:c r="B4031" s="6" t="n">
        <x:v>0.1934</x:v>
      </x:c>
      <x:c r="C4031" s="6" t="n">
        <x:v>0.11470000000000001</x:v>
      </x:c>
      <x:c r="D4031" s="6" t="n">
        <x:f>B4031</x:f>
        <x:v>0.1934</x:v>
      </x:c>
      <x:c r="E4031" s="1" t="n">
        <x:v>1.05</x:v>
      </x:c>
      <x:c r="F4031" s="1" t="str">
        <x:v>https://api.octopus.energy/v1/products/AGILE-24-10-01/electricity-tariffs/E-1R-AGILE-24-10-01-G/standard-unit-rates/</x:v>
      </x:c>
    </x:row>
    <x:row r="4032" ht="21" customHeight="1">
      <x:c r="A4032" s="24" t="n">
        <x:v>46232.5</x:v>
      </x:c>
      <x:c r="B4032" s="6" t="n">
        <x:v>0.19760000000000003</x:v>
      </x:c>
      <x:c r="C4032" s="6" t="n">
        <x:v>0.1166</x:v>
      </x:c>
      <x:c r="D4032" s="6" t="n">
        <x:f>B4032</x:f>
        <x:v>0.19760000000000003</x:v>
      </x:c>
      <x:c r="E4032" s="1" t="n">
        <x:v>1.05</x:v>
      </x:c>
      <x:c r="F4032" s="1" t="str">
        <x:v>https://api.octopus.energy/v1/products/AGILE-24-10-01/electricity-tariffs/E-1R-AGILE-24-10-01-G/standard-unit-rates/</x:v>
      </x:c>
    </x:row>
    <x:row r="4033" ht="21" customHeight="1">
      <x:c r="A4033" s="24" t="n">
        <x:v>46232.520833333336</x:v>
      </x:c>
      <x:c r="B4033" s="6" t="n">
        <x:v>0.19760000000000003</x:v>
      </x:c>
      <x:c r="C4033" s="6" t="n">
        <x:v>0.1166</x:v>
      </x:c>
      <x:c r="D4033" s="6" t="n">
        <x:f>B4033</x:f>
        <x:v>0.19760000000000003</x:v>
      </x:c>
      <x:c r="E4033" s="1" t="n">
        <x:v>1.05</x:v>
      </x:c>
      <x:c r="F4033" s="1" t="str">
        <x:v>https://api.octopus.energy/v1/products/AGILE-24-10-01/electricity-tariffs/E-1R-AGILE-24-10-01-G/standard-unit-rates/</x:v>
      </x:c>
    </x:row>
    <x:row r="4034" ht="21" customHeight="1">
      <x:c r="A4034" s="24" t="n">
        <x:v>46232.541666666664</x:v>
      </x:c>
      <x:c r="B4034" s="6" t="n">
        <x:v>0.1917</x:v>
      </x:c>
      <x:c r="C4034" s="6" t="n">
        <x:v>0.1139</x:v>
      </x:c>
      <x:c r="D4034" s="6" t="n">
        <x:f>B4034</x:f>
        <x:v>0.1917</x:v>
      </x:c>
      <x:c r="E4034" s="1" t="n">
        <x:v>1.05</x:v>
      </x:c>
      <x:c r="F4034" s="1" t="str">
        <x:v>https://api.octopus.energy/v1/products/AGILE-24-10-01/electricity-tariffs/E-1R-AGILE-24-10-01-G/standard-unit-rates/</x:v>
      </x:c>
    </x:row>
    <x:row r="4035" ht="21" customHeight="1">
      <x:c r="A4035" s="24" t="n">
        <x:v>46232.5625</x:v>
      </x:c>
      <x:c r="B4035" s="6" t="n">
        <x:v>0.18469999999999998</x:v>
      </x:c>
      <x:c r="C4035" s="6" t="n">
        <x:v>0.1107</x:v>
      </x:c>
      <x:c r="D4035" s="6" t="n">
        <x:f>B4035</x:f>
        <x:v>0.18469999999999998</x:v>
      </x:c>
      <x:c r="E4035" s="1" t="n">
        <x:v>1.05</x:v>
      </x:c>
      <x:c r="F4035" s="1" t="str">
        <x:v>https://api.octopus.energy/v1/products/AGILE-24-10-01/electricity-tariffs/E-1R-AGILE-24-10-01-G/standard-unit-rates/</x:v>
      </x:c>
    </x:row>
    <x:row r="4036" ht="21" customHeight="1">
      <x:c r="A4036" s="24" t="n">
        <x:v>46232.583333333336</x:v>
      </x:c>
      <x:c r="B4036" s="6" t="n">
        <x:v>0.18280000000000002</x:v>
      </x:c>
      <x:c r="C4036" s="6" t="n">
        <x:v>0.1099</x:v>
      </x:c>
      <x:c r="D4036" s="6" t="n">
        <x:f>B4036</x:f>
        <x:v>0.18280000000000002</x:v>
      </x:c>
      <x:c r="E4036" s="1" t="n">
        <x:v>1.05</x:v>
      </x:c>
      <x:c r="F4036" s="1" t="str">
        <x:v>https://api.octopus.energy/v1/products/AGILE-24-10-01/electricity-tariffs/E-1R-AGILE-24-10-01-G/standard-unit-rates/</x:v>
      </x:c>
    </x:row>
    <x:row r="4037" ht="21" customHeight="1">
      <x:c r="A4037" s="24" t="n">
        <x:v>46232.604166666664</x:v>
      </x:c>
      <x:c r="B4037" s="6" t="n">
        <x:v>0.1839</x:v>
      </x:c>
      <x:c r="C4037" s="6" t="n">
        <x:v>0.1103</x:v>
      </x:c>
      <x:c r="D4037" s="6" t="n">
        <x:f>B4037</x:f>
        <x:v>0.1839</x:v>
      </x:c>
      <x:c r="E4037" s="1" t="n">
        <x:v>1.05</x:v>
      </x:c>
      <x:c r="F4037" s="1" t="str">
        <x:v>https://api.octopus.energy/v1/products/AGILE-24-10-01/electricity-tariffs/E-1R-AGILE-24-10-01-G/standard-unit-rates/</x:v>
      </x:c>
    </x:row>
    <x:row r="4038" ht="21" customHeight="1">
      <x:c r="A4038" s="24" t="n">
        <x:v>46232.625</x:v>
      </x:c>
      <x:c r="B4038" s="6" t="n">
        <x:v>0.19940000000000002</x:v>
      </x:c>
      <x:c r="C4038" s="6" t="n">
        <x:v>0.1174</x:v>
      </x:c>
      <x:c r="D4038" s="6" t="n">
        <x:f>B4038</x:f>
        <x:v>0.19940000000000002</x:v>
      </x:c>
      <x:c r="E4038" s="1" t="n">
        <x:v>1.05</x:v>
      </x:c>
      <x:c r="F4038" s="1" t="str">
        <x:v>https://api.octopus.energy/v1/products/AGILE-24-10-01/electricity-tariffs/E-1R-AGILE-24-10-01-G/standard-unit-rates/</x:v>
      </x:c>
    </x:row>
    <x:row r="4039" ht="21" customHeight="1">
      <x:c r="A4039" s="24" t="n">
        <x:v>46232.645833333336</x:v>
      </x:c>
      <x:c r="B4039" s="6" t="n">
        <x:v>0.20079999999999998</x:v>
      </x:c>
      <x:c r="C4039" s="6" t="n">
        <x:v>0.11810000000000001</x:v>
      </x:c>
      <x:c r="D4039" s="6" t="n">
        <x:f>B4039</x:f>
        <x:v>0.20079999999999998</x:v>
      </x:c>
      <x:c r="E4039" s="1" t="n">
        <x:v>1.05</x:v>
      </x:c>
      <x:c r="F4039" s="1" t="str">
        <x:v>https://api.octopus.energy/v1/products/AGILE-24-10-01/electricity-tariffs/E-1R-AGILE-24-10-01-G/standard-unit-rates/</x:v>
      </x:c>
    </x:row>
    <x:row r="4040" ht="21" customHeight="1">
      <x:c r="A4040" s="24" t="n">
        <x:v>46232.666666666664</x:v>
      </x:c>
      <x:c r="B4040" s="6" t="n">
        <x:v>0.3239</x:v>
      </x:c>
      <x:c r="C4040" s="6" t="n">
        <x:v>0.1784</x:v>
      </x:c>
      <x:c r="D4040" s="6" t="n">
        <x:f>B4040</x:f>
        <x:v>0.3239</x:v>
      </x:c>
      <x:c r="E4040" s="1" t="n">
        <x:v>1.05</x:v>
      </x:c>
      <x:c r="F4040" s="1" t="str">
        <x:v>https://api.octopus.energy/v1/products/AGILE-24-10-01/electricity-tariffs/E-1R-AGILE-24-10-01-G/standard-unit-rates/</x:v>
      </x:c>
    </x:row>
    <x:row r="4041" ht="21" customHeight="1">
      <x:c r="A4041" s="24" t="n">
        <x:v>46232.6875</x:v>
      </x:c>
      <x:c r="B4041" s="6" t="n">
        <x:v>0.32539999999999997</x:v>
      </x:c>
      <x:c r="C4041" s="6" t="n">
        <x:v>0.1791</x:v>
      </x:c>
      <x:c r="D4041" s="6" t="n">
        <x:f>B4041</x:f>
        <x:v>0.32539999999999997</x:v>
      </x:c>
      <x:c r="E4041" s="1" t="n">
        <x:v>1.05</x:v>
      </x:c>
      <x:c r="F4041" s="1" t="str">
        <x:v>https://api.octopus.energy/v1/products/AGILE-24-10-01/electricity-tariffs/E-1R-AGILE-24-10-01-G/standard-unit-rates/</x:v>
      </x:c>
    </x:row>
    <x:row r="4042" ht="21" customHeight="1">
      <x:c r="A4042" s="24" t="n">
        <x:v>46232.708333333336</x:v>
      </x:c>
      <x:c r="B4042" s="6" t="n">
        <x:v>0.3519</x:v>
      </x:c>
      <x:c r="C4042" s="6" t="n">
        <x:v>0.1912</x:v>
      </x:c>
      <x:c r="D4042" s="6" t="n">
        <x:f>B4042</x:f>
        <x:v>0.3519</x:v>
      </x:c>
      <x:c r="E4042" s="1" t="n">
        <x:v>1.05</x:v>
      </x:c>
      <x:c r="F4042" s="1" t="str">
        <x:v>https://api.octopus.energy/v1/products/AGILE-24-10-01/electricity-tariffs/E-1R-AGILE-24-10-01-G/standard-unit-rates/</x:v>
      </x:c>
    </x:row>
    <x:row r="4043" ht="21" customHeight="1">
      <x:c r="A4043" s="24" t="n">
        <x:v>46232.729166666664</x:v>
      </x:c>
      <x:c r="B4043" s="6" t="n">
        <x:v>0.3812</x:v>
      </x:c>
      <x:c r="C4043" s="6" t="n">
        <x:v>0.2046</x:v>
      </x:c>
      <x:c r="D4043" s="6" t="n">
        <x:f>B4043</x:f>
        <x:v>0.3812</x:v>
      </x:c>
      <x:c r="E4043" s="1" t="n">
        <x:v>1.05</x:v>
      </x:c>
      <x:c r="F4043" s="1" t="str">
        <x:v>https://api.octopus.energy/v1/products/AGILE-24-10-01/electricity-tariffs/E-1R-AGILE-24-10-01-G/standard-unit-rates/</x:v>
      </x:c>
    </x:row>
    <x:row r="4044" ht="21" customHeight="1">
      <x:c r="A4044" s="24" t="n">
        <x:v>46232.75</x:v>
      </x:c>
      <x:c r="B4044" s="6" t="n">
        <x:v>0.447</x:v>
      </x:c>
      <x:c r="C4044" s="6" t="n">
        <x:v>0.2346</x:v>
      </x:c>
      <x:c r="D4044" s="6" t="n">
        <x:f>B4044</x:f>
        <x:v>0.447</x:v>
      </x:c>
      <x:c r="E4044" s="1" t="n">
        <x:v>1.05</x:v>
      </x:c>
      <x:c r="F4044" s="1" t="str">
        <x:v>https://api.octopus.energy/v1/products/AGILE-24-10-01/electricity-tariffs/E-1R-AGILE-24-10-01-G/standard-unit-rates/</x:v>
      </x:c>
    </x:row>
    <x:row r="4045" ht="21" customHeight="1">
      <x:c r="A4045" s="24" t="n">
        <x:v>46232.770833333336</x:v>
      </x:c>
      <x:c r="B4045" s="6" t="n">
        <x:v>0.45990000000000003</x:v>
      </x:c>
      <x:c r="C4045" s="6" t="n">
        <x:v>0.24059999999999998</x:v>
      </x:c>
      <x:c r="D4045" s="6" t="n">
        <x:f>B4045</x:f>
        <x:v>0.45990000000000003</x:v>
      </x:c>
      <x:c r="E4045" s="1" t="n">
        <x:v>1.05</x:v>
      </x:c>
      <x:c r="F4045" s="1" t="str">
        <x:v>https://api.octopus.energy/v1/products/AGILE-24-10-01/electricity-tariffs/E-1R-AGILE-24-10-01-G/standard-unit-rates/</x:v>
      </x:c>
    </x:row>
    <x:row r="4046" ht="21" customHeight="1">
      <x:c r="A4046" s="24" t="n">
        <x:v>46232.791666666664</x:v>
      </x:c>
      <x:c r="B4046" s="6" t="n">
        <x:v>0.34759999999999996</x:v>
      </x:c>
      <x:c r="C4046" s="6" t="n">
        <x:v>0.1852</x:v>
      </x:c>
      <x:c r="D4046" s="6" t="n">
        <x:f>B4046</x:f>
        <x:v>0.34759999999999996</x:v>
      </x:c>
      <x:c r="E4046" s="1" t="n">
        <x:v>1.05</x:v>
      </x:c>
      <x:c r="F4046" s="1" t="str">
        <x:v>https://api.octopus.energy/v1/products/AGILE-24-10-01/electricity-tariffs/E-1R-AGILE-24-10-01-G/standard-unit-rates/</x:v>
      </x:c>
    </x:row>
    <x:row r="4047" ht="21" customHeight="1">
      <x:c r="A4047" s="24" t="n">
        <x:v>46232.8125</x:v>
      </x:c>
      <x:c r="B4047" s="6" t="n">
        <x:v>0.353</x:v>
      </x:c>
      <x:c r="C4047" s="6" t="n">
        <x:v>0.18760000000000002</x:v>
      </x:c>
      <x:c r="D4047" s="6" t="n">
        <x:f>B4047</x:f>
        <x:v>0.353</x:v>
      </x:c>
      <x:c r="E4047" s="1" t="n">
        <x:v>1.05</x:v>
      </x:c>
      <x:c r="F4047" s="1" t="str">
        <x:v>https://api.octopus.energy/v1/products/AGILE-24-10-01/electricity-tariffs/E-1R-AGILE-24-10-01-G/standard-unit-rates/</x:v>
      </x:c>
    </x:row>
    <x:row r="4048" ht="21" customHeight="1">
      <x:c r="A4048" s="24" t="n">
        <x:v>46232.833333333336</x:v>
      </x:c>
      <x:c r="B4048" s="6" t="n">
        <x:v>0.3356</x:v>
      </x:c>
      <x:c r="C4048" s="6" t="n">
        <x:v>0.1797</x:v>
      </x:c>
      <x:c r="D4048" s="6" t="n">
        <x:f>B4048</x:f>
        <x:v>0.3356</x:v>
      </x:c>
      <x:c r="E4048" s="1" t="n">
        <x:v>1.05</x:v>
      </x:c>
      <x:c r="F4048" s="1" t="str">
        <x:v>https://api.octopus.energy/v1/products/AGILE-24-10-01/electricity-tariffs/E-1R-AGILE-24-10-01-G/standard-unit-rates/</x:v>
      </x:c>
    </x:row>
    <x:row r="4049" ht="21" customHeight="1">
      <x:c r="A4049" s="24" t="n">
        <x:v>46232.854166666664</x:v>
      </x:c>
      <x:c r="B4049" s="6" t="n">
        <x:v>0.33990000000000004</x:v>
      </x:c>
      <x:c r="C4049" s="6" t="n">
        <x:v>0.18170000000000003</x:v>
      </x:c>
      <x:c r="D4049" s="6" t="n">
        <x:f>B4049</x:f>
        <x:v>0.33990000000000004</x:v>
      </x:c>
      <x:c r="E4049" s="1" t="n">
        <x:v>1.05</x:v>
      </x:c>
      <x:c r="F4049" s="1" t="str">
        <x:v>https://api.octopus.energy/v1/products/AGILE-24-10-01/electricity-tariffs/E-1R-AGILE-24-10-01-G/standard-unit-rates/</x:v>
      </x:c>
    </x:row>
    <x:row r="4050" ht="21" customHeight="1">
      <x:c r="A4050" s="24" t="n">
        <x:v>46232.875</x:v>
      </x:c>
      <x:c r="B4050" s="6" t="n">
        <x:v>0.3336</x:v>
      </x:c>
      <x:c r="C4050" s="6" t="n">
        <x:v>0.1788</x:v>
      </x:c>
      <x:c r="D4050" s="6" t="n">
        <x:f>B4050</x:f>
        <x:v>0.3336</x:v>
      </x:c>
      <x:c r="E4050" s="1" t="n">
        <x:v>1.05</x:v>
      </x:c>
      <x:c r="F4050" s="1" t="str">
        <x:v>https://api.octopus.energy/v1/products/AGILE-24-10-01/electricity-tariffs/E-1R-AGILE-24-10-01-G/standard-unit-rates/</x:v>
      </x:c>
    </x:row>
    <x:row r="4051" ht="21" customHeight="1">
      <x:c r="A4051" s="24" t="n">
        <x:v>46232.895833333336</x:v>
      </x:c>
      <x:c r="B4051" s="6" t="n">
        <x:v>0.3094</x:v>
      </x:c>
      <x:c r="C4051" s="6" t="n">
        <x:v>0.1677</x:v>
      </x:c>
      <x:c r="D4051" s="6" t="n">
        <x:f>B4051</x:f>
        <x:v>0.3094</x:v>
      </x:c>
      <x:c r="E4051" s="1" t="n">
        <x:v>1.05</x:v>
      </x:c>
      <x:c r="F4051" s="1" t="str">
        <x:v>https://api.octopus.energy/v1/products/AGILE-24-10-01/electricity-tariffs/E-1R-AGILE-24-10-01-G/standard-unit-rates/</x:v>
      </x:c>
    </x:row>
    <x:row r="4052" ht="21" customHeight="1">
      <x:c r="A4052" s="24" t="n">
        <x:v>46232.916666666664</x:v>
      </x:c>
      <x:c r="B4052" s="6" t="n">
        <x:v>0.2734</x:v>
      </x:c>
      <x:c r="C4052" s="6" t="n">
        <x:v>0.15130000000000002</x:v>
      </x:c>
      <x:c r="D4052" s="6" t="n">
        <x:f>B4052</x:f>
        <x:v>0.2734</x:v>
      </x:c>
      <x:c r="E4052" s="1" t="n">
        <x:v>1.05</x:v>
      </x:c>
      <x:c r="F4052" s="1" t="str">
        <x:v>https://api.octopus.energy/v1/products/AGILE-24-10-01/electricity-tariffs/E-1R-AGILE-24-10-01-G/standard-unit-rates/</x:v>
      </x:c>
    </x:row>
    <x:row r="4053" ht="21" customHeight="1">
      <x:c r="A4053" s="24" t="n">
        <x:v>46232.9375</x:v>
      </x:c>
      <x:c r="B4053" s="6" t="n">
        <x:v>0.27949999999999997</x:v>
      </x:c>
      <x:c r="C4053" s="6" t="n">
        <x:v>0.154</x:v>
      </x:c>
      <x:c r="D4053" s="6" t="n">
        <x:f>B4053</x:f>
        <x:v>0.27949999999999997</x:v>
      </x:c>
      <x:c r="E4053" s="1" t="n">
        <x:v>1.05</x:v>
      </x:c>
      <x:c r="F4053" s="1" t="str">
        <x:v>https://api.octopus.energy/v1/products/AGILE-24-10-01/electricity-tariffs/E-1R-AGILE-24-10-01-G/standard-unit-rates/</x:v>
      </x:c>
    </x:row>
    <x:row r="4054" ht="21" customHeight="1">
      <x:c r="A4054" s="24" t="n">
        <x:v>46233</x:v>
      </x:c>
      <x:c r="B4054" s="6" t="n">
        <x:v>0.2462</x:v>
      </x:c>
      <x:c r="C4054" s="6" t="n">
        <x:v>0.1388</x:v>
      </x:c>
      <x:c r="D4054" s="6" t="n">
        <x:f>B4054</x:f>
        <x:v>0.2462</x:v>
      </x:c>
      <x:c r="E4054" s="1" t="n">
        <x:v>1.05</x:v>
      </x:c>
      <x:c r="F4054" s="1" t="str">
        <x:v>https://api.octopus.energy/v1/products/AGILE-24-10-01/electricity-tariffs/E-1R-AGILE-24-10-01-G/standard-unit-rates/</x:v>
      </x:c>
    </x:row>
    <x:row r="4055" ht="21" customHeight="1">
      <x:c r="A4055" s="24" t="n">
        <x:v>46232.979166666664</x:v>
      </x:c>
      <x:c r="B4055" s="6" t="n">
        <x:v>0.2396</x:v>
      </x:c>
      <x:c r="C4055" s="6" t="n">
        <x:v>0.1358</x:v>
      </x:c>
      <x:c r="D4055" s="6" t="n">
        <x:f>B4055</x:f>
        <x:v>0.2396</x:v>
      </x:c>
      <x:c r="E4055" s="1" t="n">
        <x:v>1.05</x:v>
      </x:c>
      <x:c r="F4055" s="1" t="str">
        <x:v>https://api.octopus.energy/v1/products/AGILE-24-10-01/electricity-tariffs/E-1R-AGILE-24-10-01-G/standard-unit-rates/</x:v>
      </x:c>
    </x:row>
    <x:row r="4056" ht="21" customHeight="1">
      <x:c r="A4056" s="24" t="n">
        <x:v>46233</x:v>
      </x:c>
      <x:c r="B4056" s="6" t="n">
        <x:v>0.23629999999999998</x:v>
      </x:c>
      <x:c r="C4056" s="6" t="n">
        <x:v>0.1343</x:v>
      </x:c>
      <x:c r="D4056" s="6" t="n">
        <x:f>B4056</x:f>
        <x:v>0.23629999999999998</x:v>
      </x:c>
      <x:c r="E4056" s="1" t="n">
        <x:v>1.05</x:v>
      </x:c>
      <x:c r="F4056" s="1" t="str">
        <x:v>https://api.octopus.energy/v1/products/AGILE-24-10-01/electricity-tariffs/E-1R-AGILE-24-10-01-G/standard-unit-rates/</x:v>
      </x:c>
    </x:row>
    <x:row r="4057" ht="21" customHeight="1">
      <x:c r="A4057" s="24" t="n">
        <x:v>46233.020833333336</x:v>
      </x:c>
      <x:c r="B4057" s="6" t="n">
        <x:v>0.22719999999999999</x:v>
      </x:c>
      <x:c r="C4057" s="6" t="n">
        <x:v>0.1301</x:v>
      </x:c>
      <x:c r="D4057" s="6" t="n">
        <x:f>B4057</x:f>
        <x:v>0.22719999999999999</x:v>
      </x:c>
      <x:c r="E4057" s="1" t="n">
        <x:v>1.05</x:v>
      </x:c>
      <x:c r="F4057" s="1" t="str">
        <x:v>https://api.octopus.energy/v1/products/AGILE-24-10-01/electricity-tariffs/E-1R-AGILE-24-10-01-G/standard-unit-rates/</x:v>
      </x:c>
    </x:row>
    <x:row r="4058" ht="21" customHeight="1">
      <x:c r="A4058" s="24" t="n">
        <x:v>46233.041666666664</x:v>
      </x:c>
      <x:c r="B4058" s="6" t="n">
        <x:v>0.22719999999999999</x:v>
      </x:c>
      <x:c r="C4058" s="6" t="n">
        <x:v>0.1301</x:v>
      </x:c>
      <x:c r="D4058" s="6" t="n">
        <x:f>B4058</x:f>
        <x:v>0.22719999999999999</x:v>
      </x:c>
      <x:c r="E4058" s="1" t="n">
        <x:v>1.05</x:v>
      </x:c>
      <x:c r="F4058" s="1" t="str">
        <x:v>https://api.octopus.energy/v1/products/AGILE-24-10-01/electricity-tariffs/E-1R-AGILE-24-10-01-G/standard-unit-rates/</x:v>
      </x:c>
    </x:row>
    <x:row r="4059" ht="21" customHeight="1">
      <x:c r="A4059" s="24" t="n">
        <x:v>46233.0625</x:v>
      </x:c>
      <x:c r="B4059" s="6" t="n">
        <x:v>0.2207</x:v>
      </x:c>
      <x:c r="C4059" s="6" t="n">
        <x:v>0.1272</x:v>
      </x:c>
      <x:c r="D4059" s="6" t="n">
        <x:f>B4059</x:f>
        <x:v>0.2207</x:v>
      </x:c>
      <x:c r="E4059" s="1" t="n">
        <x:v>1.05</x:v>
      </x:c>
      <x:c r="F4059" s="1" t="str">
        <x:v>https://api.octopus.energy/v1/products/AGILE-24-10-01/electricity-tariffs/E-1R-AGILE-24-10-01-G/standard-unit-rates/</x:v>
      </x:c>
    </x:row>
    <x:row r="4060" ht="21" customHeight="1">
      <x:c r="A4060" s="24" t="n">
        <x:v>46233.083333333336</x:v>
      </x:c>
      <x:c r="B4060" s="6" t="n">
        <x:v>0.2143</x:v>
      </x:c>
      <x:c r="C4060" s="6" t="n">
        <x:v>0.1242</x:v>
      </x:c>
      <x:c r="D4060" s="6" t="n">
        <x:f>B4060</x:f>
        <x:v>0.2143</x:v>
      </x:c>
      <x:c r="E4060" s="1" t="n">
        <x:v>1.05</x:v>
      </x:c>
      <x:c r="F4060" s="1" t="str">
        <x:v>https://api.octopus.energy/v1/products/AGILE-24-10-01/electricity-tariffs/E-1R-AGILE-24-10-01-G/standard-unit-rates/</x:v>
      </x:c>
    </x:row>
    <x:row r="4061" ht="21" customHeight="1">
      <x:c r="A4061" s="24" t="n">
        <x:v>46233.104166666664</x:v>
      </x:c>
      <x:c r="B4061" s="6" t="n">
        <x:v>0.2096</x:v>
      </x:c>
      <x:c r="C4061" s="6" t="n">
        <x:v>0.12210000000000001</x:v>
      </x:c>
      <x:c r="D4061" s="6" t="n">
        <x:f>B4061</x:f>
        <x:v>0.2096</x:v>
      </x:c>
      <x:c r="E4061" s="1" t="n">
        <x:v>1.05</x:v>
      </x:c>
      <x:c r="F4061" s="1" t="str">
        <x:v>https://api.octopus.energy/v1/products/AGILE-24-10-01/electricity-tariffs/E-1R-AGILE-24-10-01-G/standard-unit-rates/</x:v>
      </x:c>
    </x:row>
    <x:row r="4062" ht="21" customHeight="1">
      <x:c r="A4062" s="24" t="n">
        <x:v>46233.125</x:v>
      </x:c>
      <x:c r="B4062" s="6" t="n">
        <x:v>0.2143</x:v>
      </x:c>
      <x:c r="C4062" s="6" t="n">
        <x:v>0.1242</x:v>
      </x:c>
      <x:c r="D4062" s="6" t="n">
        <x:f>B4062</x:f>
        <x:v>0.2143</x:v>
      </x:c>
      <x:c r="E4062" s="1" t="n">
        <x:v>1.05</x:v>
      </x:c>
      <x:c r="F4062" s="1" t="str">
        <x:v>https://api.octopus.energy/v1/products/AGILE-24-10-01/electricity-tariffs/E-1R-AGILE-24-10-01-G/standard-unit-rates/</x:v>
      </x:c>
    </x:row>
    <x:row r="4063" ht="21" customHeight="1">
      <x:c r="A4063" s="24" t="n">
        <x:v>46233.145833333336</x:v>
      </x:c>
      <x:c r="B4063" s="6" t="n">
        <x:v>0.20679999999999998</x:v>
      </x:c>
      <x:c r="C4063" s="6" t="n">
        <x:v>0.1208</x:v>
      </x:c>
      <x:c r="D4063" s="6" t="n">
        <x:f>B4063</x:f>
        <x:v>0.20679999999999998</x:v>
      </x:c>
      <x:c r="E4063" s="1" t="n">
        <x:v>1.05</x:v>
      </x:c>
      <x:c r="F4063" s="1" t="str">
        <x:v>https://api.octopus.energy/v1/products/AGILE-24-10-01/electricity-tariffs/E-1R-AGILE-24-10-01-G/standard-unit-rates/</x:v>
      </x:c>
    </x:row>
    <x:row r="4064" ht="21" customHeight="1">
      <x:c r="A4064" s="24" t="n">
        <x:v>46233.166666666664</x:v>
      </x:c>
      <x:c r="B4064" s="6" t="n">
        <x:v>0.2102</x:v>
      </x:c>
      <x:c r="C4064" s="6" t="n">
        <x:v>0.12240000000000001</x:v>
      </x:c>
      <x:c r="D4064" s="6" t="n">
        <x:f>B4064</x:f>
        <x:v>0.2102</x:v>
      </x:c>
      <x:c r="E4064" s="1" t="n">
        <x:v>1.05</x:v>
      </x:c>
      <x:c r="F4064" s="1" t="str">
        <x:v>https://api.octopus.energy/v1/products/AGILE-24-10-01/electricity-tariffs/E-1R-AGILE-24-10-01-G/standard-unit-rates/</x:v>
      </x:c>
    </x:row>
    <x:row r="4065" ht="21" customHeight="1">
      <x:c r="A4065" s="24" t="n">
        <x:v>46233.1875</x:v>
      </x:c>
      <x:c r="B4065" s="6" t="n">
        <x:v>0.2075</x:v>
      </x:c>
      <x:c r="C4065" s="6" t="n">
        <x:v>0.1211</x:v>
      </x:c>
      <x:c r="D4065" s="6" t="n">
        <x:f>B4065</x:f>
        <x:v>0.2075</x:v>
      </x:c>
      <x:c r="E4065" s="1" t="n">
        <x:v>1.05</x:v>
      </x:c>
      <x:c r="F4065" s="1" t="str">
        <x:v>https://api.octopus.energy/v1/products/AGILE-24-10-01/electricity-tariffs/E-1R-AGILE-24-10-01-G/standard-unit-rates/</x:v>
      </x:c>
    </x:row>
    <x:row r="4066" ht="21" customHeight="1">
      <x:c r="A4066" s="24" t="n">
        <x:v>46233.208333333336</x:v>
      </x:c>
      <x:c r="B4066" s="6" t="n">
        <x:v>0.22870000000000001</x:v>
      </x:c>
      <x:c r="C4066" s="6" t="n">
        <x:v>0.1308</x:v>
      </x:c>
      <x:c r="D4066" s="6" t="n">
        <x:f>B4066</x:f>
        <x:v>0.22870000000000001</x:v>
      </x:c>
      <x:c r="E4066" s="1" t="n">
        <x:v>1.05</x:v>
      </x:c>
      <x:c r="F4066" s="1" t="str">
        <x:v>https://api.octopus.energy/v1/products/AGILE-24-10-01/electricity-tariffs/E-1R-AGILE-24-10-01-G/standard-unit-rates/</x:v>
      </x:c>
    </x:row>
    <x:row r="4067" ht="21" customHeight="1">
      <x:c r="A4067" s="24" t="n">
        <x:v>46233.229166666664</x:v>
      </x:c>
      <x:c r="B4067" s="6" t="n">
        <x:v>0.23370000000000002</x:v>
      </x:c>
      <x:c r="C4067" s="6" t="n">
        <x:v>0.1331</x:v>
      </x:c>
      <x:c r="D4067" s="6" t="n">
        <x:f>B4067</x:f>
        <x:v>0.23370000000000002</x:v>
      </x:c>
      <x:c r="E4067" s="1" t="n">
        <x:v>1.05</x:v>
      </x:c>
      <x:c r="F4067" s="1" t="str">
        <x:v>https://api.octopus.energy/v1/products/AGILE-24-10-01/electricity-tariffs/E-1R-AGILE-24-10-01-G/standard-unit-rates/</x:v>
      </x:c>
    </x:row>
    <x:row r="4068" ht="21" customHeight="1">
      <x:c r="A4068" s="24" t="n">
        <x:v>46233.25</x:v>
      </x:c>
      <x:c r="B4068" s="6" t="n">
        <x:v>0.2173</x:v>
      </x:c>
      <x:c r="C4068" s="6" t="n">
        <x:v>0.12560000000000002</x:v>
      </x:c>
      <x:c r="D4068" s="6" t="n">
        <x:f>B4068</x:f>
        <x:v>0.2173</x:v>
      </x:c>
      <x:c r="E4068" s="1" t="n">
        <x:v>1.05</x:v>
      </x:c>
      <x:c r="F4068" s="1" t="str">
        <x:v>https://api.octopus.energy/v1/products/AGILE-24-10-01/electricity-tariffs/E-1R-AGILE-24-10-01-G/standard-unit-rates/</x:v>
      </x:c>
    </x:row>
    <x:row r="4069" ht="21" customHeight="1">
      <x:c r="A4069" s="24" t="n">
        <x:v>46233.270833333336</x:v>
      </x:c>
      <x:c r="B4069" s="6" t="n">
        <x:v>0.2495</x:v>
      </x:c>
      <x:c r="C4069" s="6" t="n">
        <x:v>0.14029999999999998</x:v>
      </x:c>
      <x:c r="D4069" s="6" t="n">
        <x:f>B4069</x:f>
        <x:v>0.2495</x:v>
      </x:c>
      <x:c r="E4069" s="1" t="n">
        <x:v>1.05</x:v>
      </x:c>
      <x:c r="F4069" s="1" t="str">
        <x:v>https://api.octopus.energy/v1/products/AGILE-24-10-01/electricity-tariffs/E-1R-AGILE-24-10-01-G/standard-unit-rates/</x:v>
      </x:c>
    </x:row>
    <x:row r="4070" ht="21" customHeight="1">
      <x:c r="A4070" s="24" t="n">
        <x:v>46233.291666666664</x:v>
      </x:c>
      <x:c r="B4070" s="6" t="n">
        <x:v>0.2354</x:v>
      </x:c>
      <x:c r="C4070" s="6" t="n">
        <x:v>0.13390000000000002</x:v>
      </x:c>
      <x:c r="D4070" s="6" t="n">
        <x:f>B4070</x:f>
        <x:v>0.2354</x:v>
      </x:c>
      <x:c r="E4070" s="1" t="n">
        <x:v>1.05</x:v>
      </x:c>
      <x:c r="F4070" s="1" t="str">
        <x:v>https://api.octopus.energy/v1/products/AGILE-24-10-01/electricity-tariffs/E-1R-AGILE-24-10-01-G/standard-unit-rates/</x:v>
      </x:c>
    </x:row>
    <x:row r="4071" ht="21" customHeight="1">
      <x:c r="A4071" s="24" t="n">
        <x:v>46233.3125</x:v>
      </x:c>
      <x:c r="B4071" s="6" t="n">
        <x:v>0.2396</x:v>
      </x:c>
      <x:c r="C4071" s="6" t="n">
        <x:v>0.1358</x:v>
      </x:c>
      <x:c r="D4071" s="6" t="n">
        <x:f>B4071</x:f>
        <x:v>0.2396</x:v>
      </x:c>
      <x:c r="E4071" s="1" t="n">
        <x:v>1.05</x:v>
      </x:c>
      <x:c r="F4071" s="1" t="str">
        <x:v>https://api.octopus.energy/v1/products/AGILE-24-10-01/electricity-tariffs/E-1R-AGILE-24-10-01-G/standard-unit-rates/</x:v>
      </x:c>
    </x:row>
    <x:row r="4072" ht="21" customHeight="1">
      <x:c r="A4072" s="24" t="n">
        <x:v>46233.333333333336</x:v>
      </x:c>
      <x:c r="B4072" s="6" t="n">
        <x:v>0.25780000000000003</x:v>
      </x:c>
      <x:c r="C4072" s="6" t="n">
        <x:v>0.1441</x:v>
      </x:c>
      <x:c r="D4072" s="6" t="n">
        <x:f>B4072</x:f>
        <x:v>0.25780000000000003</x:v>
      </x:c>
      <x:c r="E4072" s="1" t="n">
        <x:v>1.05</x:v>
      </x:c>
      <x:c r="F4072" s="1" t="str">
        <x:v>https://api.octopus.energy/v1/products/AGILE-24-10-01/electricity-tariffs/E-1R-AGILE-24-10-01-G/standard-unit-rates/</x:v>
      </x:c>
    </x:row>
    <x:row r="4073" ht="21" customHeight="1">
      <x:c r="A4073" s="24" t="n">
        <x:v>46233.354166666664</x:v>
      </x:c>
      <x:c r="B4073" s="6" t="n">
        <x:v>0.2572</x:v>
      </x:c>
      <x:c r="C4073" s="6" t="n">
        <x:v>0.1438</x:v>
      </x:c>
      <x:c r="D4073" s="6" t="n">
        <x:f>B4073</x:f>
        <x:v>0.2572</x:v>
      </x:c>
      <x:c r="E4073" s="1" t="n">
        <x:v>1.05</x:v>
      </x:c>
      <x:c r="F4073" s="1" t="str">
        <x:v>https://api.octopus.energy/v1/products/AGILE-24-10-01/electricity-tariffs/E-1R-AGILE-24-10-01-G/standard-unit-rates/</x:v>
      </x:c>
    </x:row>
    <x:row r="4074" ht="21" customHeight="1">
      <x:c r="A4074" s="24" t="n">
        <x:v>46233.375</x:v>
      </x:c>
      <x:c r="B4074" s="6" t="n">
        <x:v>0.23399999999999999</x:v>
      </x:c>
      <x:c r="C4074" s="6" t="n">
        <x:v>0.1332</x:v>
      </x:c>
      <x:c r="D4074" s="6" t="n">
        <x:f>B4074</x:f>
        <x:v>0.23399999999999999</x:v>
      </x:c>
      <x:c r="E4074" s="1" t="n">
        <x:v>1.05</x:v>
      </x:c>
      <x:c r="F4074" s="1" t="str">
        <x:v>https://api.octopus.energy/v1/products/AGILE-24-10-01/electricity-tariffs/E-1R-AGILE-24-10-01-G/standard-unit-rates/</x:v>
      </x:c>
    </x:row>
    <x:row r="4075" ht="21" customHeight="1">
      <x:c r="A4075" s="24" t="n">
        <x:v>46233.395833333336</x:v>
      </x:c>
      <x:c r="B4075" s="6" t="n">
        <x:v>0.23120000000000002</x:v>
      </x:c>
      <x:c r="C4075" s="6" t="n">
        <x:v>0.132</x:v>
      </x:c>
      <x:c r="D4075" s="6" t="n">
        <x:f>B4075</x:f>
        <x:v>0.23120000000000002</x:v>
      </x:c>
      <x:c r="E4075" s="1" t="n">
        <x:v>1.05</x:v>
      </x:c>
      <x:c r="F4075" s="1" t="str">
        <x:v>https://api.octopus.energy/v1/products/AGILE-24-10-01/electricity-tariffs/E-1R-AGILE-24-10-01-G/standard-unit-rates/</x:v>
      </x:c>
    </x:row>
    <x:row r="4076" ht="21" customHeight="1">
      <x:c r="A4076" s="24" t="n">
        <x:v>46233.416666666664</x:v>
      </x:c>
      <x:c r="B4076" s="6" t="n">
        <x:v>0.2263</x:v>
      </x:c>
      <x:c r="C4076" s="6" t="n">
        <x:v>0.1297</x:v>
      </x:c>
      <x:c r="D4076" s="6" t="n">
        <x:f>B4076</x:f>
        <x:v>0.2263</x:v>
      </x:c>
      <x:c r="E4076" s="1" t="n">
        <x:v>1.05</x:v>
      </x:c>
      <x:c r="F4076" s="1" t="str">
        <x:v>https://api.octopus.energy/v1/products/AGILE-24-10-01/electricity-tariffs/E-1R-AGILE-24-10-01-G/standard-unit-rates/</x:v>
      </x:c>
    </x:row>
    <x:row r="4077" ht="21" customHeight="1">
      <x:c r="A4077" s="24" t="n">
        <x:v>46233.4375</x:v>
      </x:c>
      <x:c r="B4077" s="6" t="n">
        <x:v>0.20350000000000001</x:v>
      </x:c>
      <x:c r="C4077" s="6" t="n">
        <x:v>0.1193</x:v>
      </x:c>
      <x:c r="D4077" s="6" t="n">
        <x:f>B4077</x:f>
        <x:v>0.20350000000000001</x:v>
      </x:c>
      <x:c r="E4077" s="1" t="n">
        <x:v>1.05</x:v>
      </x:c>
      <x:c r="F4077" s="1" t="str">
        <x:v>https://api.octopus.energy/v1/products/AGILE-24-10-01/electricity-tariffs/E-1R-AGILE-24-10-01-G/standard-unit-rates/</x:v>
      </x:c>
    </x:row>
    <x:row r="4078" ht="21" customHeight="1">
      <x:c r="A4078" s="24" t="n">
        <x:v>46233.458333333336</x:v>
      </x:c>
      <x:c r="B4078" s="6" t="n">
        <x:v>0.166</x:v>
      </x:c>
      <x:c r="C4078" s="6" t="n">
        <x:v>0.10220000000000001</x:v>
      </x:c>
      <x:c r="D4078" s="6" t="n">
        <x:f>B4078</x:f>
        <x:v>0.166</x:v>
      </x:c>
      <x:c r="E4078" s="1" t="n">
        <x:v>1.05</x:v>
      </x:c>
      <x:c r="F4078" s="1" t="str">
        <x:v>https://api.octopus.energy/v1/products/AGILE-24-10-01/electricity-tariffs/E-1R-AGILE-24-10-01-G/standard-unit-rates/</x:v>
      </x:c>
    </x:row>
    <x:row r="4079" ht="21" customHeight="1">
      <x:c r="A4079" s="24" t="n">
        <x:v>46233.479166666664</x:v>
      </x:c>
      <x:c r="B4079" s="6" t="n">
        <x:v>0.1585</x:v>
      </x:c>
      <x:c r="C4079" s="6" t="n">
        <x:v>0.0987</x:v>
      </x:c>
      <x:c r="D4079" s="6" t="n">
        <x:f>B4079</x:f>
        <x:v>0.1585</x:v>
      </x:c>
      <x:c r="E4079" s="1" t="n">
        <x:v>1.05</x:v>
      </x:c>
      <x:c r="F4079" s="1" t="str">
        <x:v>https://api.octopus.energy/v1/products/AGILE-24-10-01/electricity-tariffs/E-1R-AGILE-24-10-01-G/standard-unit-rates/</x:v>
      </x:c>
    </x:row>
    <x:row r="4080" ht="21" customHeight="1">
      <x:c r="A4080" s="24" t="n">
        <x:v>46233.5</x:v>
      </x:c>
      <x:c r="B4080" s="6" t="n">
        <x:v>0.13470000000000001</x:v>
      </x:c>
      <x:c r="C4080" s="6" t="n">
        <x:v>0.08789999999999999</x:v>
      </x:c>
      <x:c r="D4080" s="6" t="n">
        <x:f>B4080</x:f>
        <x:v>0.13470000000000001</x:v>
      </x:c>
      <x:c r="E4080" s="1" t="n">
        <x:v>1.05</x:v>
      </x:c>
      <x:c r="F4080" s="1" t="str">
        <x:v>https://api.octopus.energy/v1/products/AGILE-24-10-01/electricity-tariffs/E-1R-AGILE-24-10-01-G/standard-unit-rates/</x:v>
      </x:c>
    </x:row>
    <x:row r="4081" ht="21" customHeight="1">
      <x:c r="A4081" s="24" t="n">
        <x:v>46233.520833333336</x:v>
      </x:c>
      <x:c r="B4081" s="6" t="n">
        <x:v>0.1325</x:v>
      </x:c>
      <x:c r="C4081" s="6" t="n">
        <x:v>0.0868</x:v>
      </x:c>
      <x:c r="D4081" s="6" t="n">
        <x:f>B4081</x:f>
        <x:v>0.1325</x:v>
      </x:c>
      <x:c r="E4081" s="1" t="n">
        <x:v>1.05</x:v>
      </x:c>
      <x:c r="F4081" s="1" t="str">
        <x:v>https://api.octopus.energy/v1/products/AGILE-24-10-01/electricity-tariffs/E-1R-AGILE-24-10-01-G/standard-unit-rates/</x:v>
      </x:c>
    </x:row>
    <x:row r="4082" ht="21" customHeight="1">
      <x:c r="A4082" s="24" t="n">
        <x:v>46233.541666666664</x:v>
      </x:c>
      <x:c r="B4082" s="6" t="n">
        <x:v>0.1472</x:v>
      </x:c>
      <x:c r="C4082" s="6" t="n">
        <x:v>0.09359999999999999</x:v>
      </x:c>
      <x:c r="D4082" s="6" t="n">
        <x:f>B4082</x:f>
        <x:v>0.1472</x:v>
      </x:c>
      <x:c r="E4082" s="1" t="n">
        <x:v>1.05</x:v>
      </x:c>
      <x:c r="F4082" s="1" t="str">
        <x:v>https://api.octopus.energy/v1/products/AGILE-24-10-01/electricity-tariffs/E-1R-AGILE-24-10-01-G/standard-unit-rates/</x:v>
      </x:c>
    </x:row>
    <x:row r="4083" ht="21" customHeight="1">
      <x:c r="A4083" s="24" t="n">
        <x:v>46233.5625</x:v>
      </x:c>
      <x:c r="B4083" s="6" t="n">
        <x:v>0.1349</x:v>
      </x:c>
      <x:c r="C4083" s="6" t="n">
        <x:v>0.08789999999999999</x:v>
      </x:c>
      <x:c r="D4083" s="6" t="n">
        <x:f>B4083</x:f>
        <x:v>0.1349</x:v>
      </x:c>
      <x:c r="E4083" s="1" t="n">
        <x:v>1.05</x:v>
      </x:c>
      <x:c r="F4083" s="1" t="str">
        <x:v>https://api.octopus.energy/v1/products/AGILE-24-10-01/electricity-tariffs/E-1R-AGILE-24-10-01-G/standard-unit-rates/</x:v>
      </x:c>
    </x:row>
    <x:row r="4084" ht="21" customHeight="1">
      <x:c r="A4084" s="24" t="n">
        <x:v>46233.583333333336</x:v>
      </x:c>
      <x:c r="B4084" s="6" t="n">
        <x:v>0.1418</x:v>
      </x:c>
      <x:c r="C4084" s="6" t="n">
        <x:v>0.0911</x:v>
      </x:c>
      <x:c r="D4084" s="6" t="n">
        <x:f>B4084</x:f>
        <x:v>0.1418</x:v>
      </x:c>
      <x:c r="E4084" s="1" t="n">
        <x:v>1.05</x:v>
      </x:c>
      <x:c r="F4084" s="1" t="str">
        <x:v>https://api.octopus.energy/v1/products/AGILE-24-10-01/electricity-tariffs/E-1R-AGILE-24-10-01-G/standard-unit-rates/</x:v>
      </x:c>
    </x:row>
    <x:row r="4085" ht="21" customHeight="1">
      <x:c r="A4085" s="24" t="n">
        <x:v>46233.604166666664</x:v>
      </x:c>
      <x:c r="B4085" s="6" t="n">
        <x:v>0.1325</x:v>
      </x:c>
      <x:c r="C4085" s="6" t="n">
        <x:v>0.0868</x:v>
      </x:c>
      <x:c r="D4085" s="6" t="n">
        <x:f>B4085</x:f>
        <x:v>0.1325</x:v>
      </x:c>
      <x:c r="E4085" s="1" t="n">
        <x:v>1.05</x:v>
      </x:c>
      <x:c r="F4085" s="1" t="str">
        <x:v>https://api.octopus.energy/v1/products/AGILE-24-10-01/electricity-tariffs/E-1R-AGILE-24-10-01-G/standard-unit-rates/</x:v>
      </x:c>
    </x:row>
    <x:row r="4086" ht="21" customHeight="1">
      <x:c r="A4086" s="24" t="n">
        <x:v>46233.625</x:v>
      </x:c>
      <x:c r="B4086" s="6" t="n">
        <x:v>0.1487</x:v>
      </x:c>
      <x:c r="C4086" s="6" t="n">
        <x:v>0.0943</x:v>
      </x:c>
      <x:c r="D4086" s="6" t="n">
        <x:f>B4086</x:f>
        <x:v>0.1487</x:v>
      </x:c>
      <x:c r="E4086" s="1" t="n">
        <x:v>1.05</x:v>
      </x:c>
      <x:c r="F4086" s="1" t="str">
        <x:v>https://api.octopus.energy/v1/products/AGILE-24-10-01/electricity-tariffs/E-1R-AGILE-24-10-01-G/standard-unit-rates/</x:v>
      </x:c>
    </x:row>
    <x:row r="4087" ht="21" customHeight="1">
      <x:c r="A4087" s="24" t="n">
        <x:v>46233.645833333336</x:v>
      </x:c>
      <x:c r="B4087" s="6" t="n">
        <x:v>0.1612</x:v>
      </x:c>
      <x:c r="C4087" s="6" t="n">
        <x:v>0.1</x:v>
      </x:c>
      <x:c r="D4087" s="6" t="n">
        <x:f>B4087</x:f>
        <x:v>0.1612</x:v>
      </x:c>
      <x:c r="E4087" s="1" t="n">
        <x:v>1.05</x:v>
      </x:c>
      <x:c r="F4087" s="1" t="str">
        <x:v>https://api.octopus.energy/v1/products/AGILE-24-10-01/electricity-tariffs/E-1R-AGILE-24-10-01-G/standard-unit-rates/</x:v>
      </x:c>
    </x:row>
    <x:row r="4088" ht="21" customHeight="1">
      <x:c r="A4088" s="24" t="n">
        <x:v>46233.666666666664</x:v>
      </x:c>
      <x:c r="B4088" s="6" t="n">
        <x:v>0.30329999999999996</x:v>
      </x:c>
      <x:c r="C4088" s="6" t="n">
        <x:v>0.16899999999999998</x:v>
      </x:c>
      <x:c r="D4088" s="6" t="n">
        <x:f>B4088</x:f>
        <x:v>0.30329999999999996</x:v>
      </x:c>
      <x:c r="E4088" s="1" t="n">
        <x:v>1.05</x:v>
      </x:c>
      <x:c r="F4088" s="1" t="str">
        <x:v>https://api.octopus.energy/v1/products/AGILE-24-10-01/electricity-tariffs/E-1R-AGILE-24-10-01-G/standard-unit-rates/</x:v>
      </x:c>
    </x:row>
    <x:row r="4089" ht="21" customHeight="1">
      <x:c r="A4089" s="24" t="n">
        <x:v>46233.6875</x:v>
      </x:c>
      <x:c r="B4089" s="6" t="n">
        <x:v>0.3155</x:v>
      </x:c>
      <x:c r="C4089" s="6" t="n">
        <x:v>0.1745</x:v>
      </x:c>
      <x:c r="D4089" s="6" t="n">
        <x:f>B4089</x:f>
        <x:v>0.3155</x:v>
      </x:c>
      <x:c r="E4089" s="1" t="n">
        <x:v>1.05</x:v>
      </x:c>
      <x:c r="F4089" s="1" t="str">
        <x:v>https://api.octopus.energy/v1/products/AGILE-24-10-01/electricity-tariffs/E-1R-AGILE-24-10-01-G/standard-unit-rates/</x:v>
      </x:c>
    </x:row>
    <x:row r="4090" ht="21" customHeight="1">
      <x:c r="A4090" s="24" t="n">
        <x:v>46233.708333333336</x:v>
      </x:c>
      <x:c r="B4090" s="6" t="n">
        <x:v>0.3469</x:v>
      </x:c>
      <x:c r="C4090" s="6" t="n">
        <x:v>0.1889</x:v>
      </x:c>
      <x:c r="D4090" s="6" t="n">
        <x:f>B4090</x:f>
        <x:v>0.3469</x:v>
      </x:c>
      <x:c r="E4090" s="1" t="n">
        <x:v>1.05</x:v>
      </x:c>
      <x:c r="F4090" s="1" t="str">
        <x:v>https://api.octopus.energy/v1/products/AGILE-24-10-01/electricity-tariffs/E-1R-AGILE-24-10-01-G/standard-unit-rates/</x:v>
      </x:c>
    </x:row>
    <x:row r="4091" ht="21" customHeight="1">
      <x:c r="A4091" s="24" t="n">
        <x:v>46233.729166666664</x:v>
      </x:c>
      <x:c r="B4091" s="6" t="n">
        <x:v>0.33490000000000003</x:v>
      </x:c>
      <x:c r="C4091" s="6" t="n">
        <x:v>0.1834</x:v>
      </x:c>
      <x:c r="D4091" s="6" t="n">
        <x:f>B4091</x:f>
        <x:v>0.33490000000000003</x:v>
      </x:c>
      <x:c r="E4091" s="1" t="n">
        <x:v>1.05</x:v>
      </x:c>
      <x:c r="F4091" s="1" t="str">
        <x:v>https://api.octopus.energy/v1/products/AGILE-24-10-01/electricity-tariffs/E-1R-AGILE-24-10-01-G/standard-unit-rates/</x:v>
      </x:c>
    </x:row>
    <x:row r="4092" ht="21" customHeight="1">
      <x:c r="A4092" s="24" t="n">
        <x:v>46233.75</x:v>
      </x:c>
      <x:c r="B4092" s="6" t="n">
        <x:v>0.38270000000000004</x:v>
      </x:c>
      <x:c r="C4092" s="6" t="n">
        <x:v>0.2053</x:v>
      </x:c>
      <x:c r="D4092" s="6" t="n">
        <x:f>B4092</x:f>
        <x:v>0.38270000000000004</x:v>
      </x:c>
      <x:c r="E4092" s="1" t="n">
        <x:v>1.05</x:v>
      </x:c>
      <x:c r="F4092" s="1" t="str">
        <x:v>https://api.octopus.energy/v1/products/AGILE-24-10-01/electricity-tariffs/E-1R-AGILE-24-10-01-G/standard-unit-rates/</x:v>
      </x:c>
    </x:row>
    <x:row r="4093" ht="21" customHeight="1">
      <x:c r="A4093" s="24" t="n">
        <x:v>46233.770833333336</x:v>
      </x:c>
      <x:c r="B4093" s="6" t="n">
        <x:v>0.4128</x:v>
      </x:c>
      <x:c r="C4093" s="6" t="n">
        <x:v>0.21899999999999997</x:v>
      </x:c>
      <x:c r="D4093" s="6" t="n">
        <x:f>B4093</x:f>
        <x:v>0.4128</x:v>
      </x:c>
      <x:c r="E4093" s="1" t="n">
        <x:v>1.05</x:v>
      </x:c>
      <x:c r="F4093" s="1" t="str">
        <x:v>https://api.octopus.energy/v1/products/AGILE-24-10-01/electricity-tariffs/E-1R-AGILE-24-10-01-G/standard-unit-rates/</x:v>
      </x:c>
    </x:row>
    <x:row r="4094" ht="21" customHeight="1">
      <x:c r="A4094" s="24" t="n">
        <x:v>46233.791666666664</x:v>
      </x:c>
      <x:c r="B4094" s="6" t="n">
        <x:v>0.31620000000000004</x:v>
      </x:c>
      <x:c r="C4094" s="6" t="n">
        <x:v>0.17079999999999998</x:v>
      </x:c>
      <x:c r="D4094" s="6" t="n">
        <x:f>B4094</x:f>
        <x:v>0.31620000000000004</x:v>
      </x:c>
      <x:c r="E4094" s="1" t="n">
        <x:v>1.05</x:v>
      </x:c>
      <x:c r="F4094" s="1" t="str">
        <x:v>https://api.octopus.energy/v1/products/AGILE-24-10-01/electricity-tariffs/E-1R-AGILE-24-10-01-G/standard-unit-rates/</x:v>
      </x:c>
    </x:row>
    <x:row r="4095" ht="21" customHeight="1">
      <x:c r="A4095" s="24" t="n">
        <x:v>46233.8125</x:v>
      </x:c>
      <x:c r="B4095" s="6" t="n">
        <x:v>0.3236</x:v>
      </x:c>
      <x:c r="C4095" s="6" t="n">
        <x:v>0.17420000000000002</x:v>
      </x:c>
      <x:c r="D4095" s="6" t="n">
        <x:f>B4095</x:f>
        <x:v>0.3236</x:v>
      </x:c>
      <x:c r="E4095" s="1" t="n">
        <x:v>1.05</x:v>
      </x:c>
      <x:c r="F4095" s="1" t="str">
        <x:v>https://api.octopus.energy/v1/products/AGILE-24-10-01/electricity-tariffs/E-1R-AGILE-24-10-01-G/standard-unit-rates/</x:v>
      </x:c>
    </x:row>
    <x:row r="4096" ht="21" customHeight="1">
      <x:c r="A4096" s="24" t="n">
        <x:v>46233.833333333336</x:v>
      </x:c>
      <x:c r="B4096" s="6" t="n">
        <x:v>0.3223</x:v>
      </x:c>
      <x:c r="C4096" s="6" t="n">
        <x:v>0.1736</x:v>
      </x:c>
      <x:c r="D4096" s="6" t="n">
        <x:f>B4096</x:f>
        <x:v>0.3223</x:v>
      </x:c>
      <x:c r="E4096" s="1" t="n">
        <x:v>1.05</x:v>
      </x:c>
      <x:c r="F4096" s="1" t="str">
        <x:v>https://api.octopus.energy/v1/products/AGILE-24-10-01/electricity-tariffs/E-1R-AGILE-24-10-01-G/standard-unit-rates/</x:v>
      </x:c>
    </x:row>
    <x:row r="4097" ht="21" customHeight="1">
      <x:c r="A4097" s="24" t="n">
        <x:v>46233.854166666664</x:v>
      </x:c>
      <x:c r="B4097" s="6" t="n">
        <x:v>0.3265</x:v>
      </x:c>
      <x:c r="C4097" s="6" t="n">
        <x:v>0.17550000000000002</x:v>
      </x:c>
      <x:c r="D4097" s="6" t="n">
        <x:f>B4097</x:f>
        <x:v>0.3265</x:v>
      </x:c>
      <x:c r="E4097" s="1" t="n">
        <x:v>1.05</x:v>
      </x:c>
      <x:c r="F4097" s="1" t="str">
        <x:v>https://api.octopus.energy/v1/products/AGILE-24-10-01/electricity-tariffs/E-1R-AGILE-24-10-01-G/standard-unit-rates/</x:v>
      </x:c>
    </x:row>
    <x:row r="4098" ht="21" customHeight="1">
      <x:c r="A4098" s="24" t="n">
        <x:v>46233.875</x:v>
      </x:c>
      <x:c r="B4098" s="6" t="n">
        <x:v>0.3131</x:v>
      </x:c>
      <x:c r="C4098" s="6" t="n">
        <x:v>0.16940000000000002</x:v>
      </x:c>
      <x:c r="D4098" s="6" t="n">
        <x:f>B4098</x:f>
        <x:v>0.3131</x:v>
      </x:c>
      <x:c r="E4098" s="1" t="n">
        <x:v>1.05</x:v>
      </x:c>
      <x:c r="F4098" s="1" t="str">
        <x:v>https://api.octopus.energy/v1/products/AGILE-24-10-01/electricity-tariffs/E-1R-AGILE-24-10-01-G/standard-unit-rates/</x:v>
      </x:c>
    </x:row>
    <x:row r="4099" ht="21" customHeight="1">
      <x:c r="A4099" s="24" t="n">
        <x:v>46233.895833333336</x:v>
      </x:c>
      <x:c r="B4099" s="6" t="n">
        <x:v>0.3107</x:v>
      </x:c>
      <x:c r="C4099" s="6" t="n">
        <x:v>0.16829999999999998</x:v>
      </x:c>
      <x:c r="D4099" s="6" t="n">
        <x:f>B4099</x:f>
        <x:v>0.3107</x:v>
      </x:c>
      <x:c r="E4099" s="1" t="n">
        <x:v>1.05</x:v>
      </x:c>
      <x:c r="F4099" s="1" t="str">
        <x:v>https://api.octopus.energy/v1/products/AGILE-24-10-01/electricity-tariffs/E-1R-AGILE-24-10-01-G/standard-unit-rates/</x:v>
      </x:c>
    </x:row>
    <x:row r="4100" ht="21" customHeight="1">
      <x:c r="A4100" s="24" t="n">
        <x:v>46233.916666666664</x:v>
      </x:c>
      <x:c r="B4100" s="6" t="n">
        <x:v>0.2887</x:v>
      </x:c>
      <x:c r="C4100" s="6" t="n">
        <x:v>0.1582</x:v>
      </x:c>
      <x:c r="D4100" s="6" t="n">
        <x:f>B4100</x:f>
        <x:v>0.2887</x:v>
      </x:c>
      <x:c r="E4100" s="1" t="n">
        <x:v>1.05</x:v>
      </x:c>
      <x:c r="F4100" s="1" t="str">
        <x:v>https://api.octopus.energy/v1/products/AGILE-24-10-01/electricity-tariffs/E-1R-AGILE-24-10-01-G/standard-unit-rates/</x:v>
      </x:c>
    </x:row>
    <x:row r="4101" ht="21" customHeight="1">
      <x:c r="A4101" s="24" t="n">
        <x:v>46233.9375</x:v>
      </x:c>
      <x:c r="B4101" s="6" t="n">
        <x:v>0.2778</x:v>
      </x:c>
      <x:c r="C4101" s="6" t="n">
        <x:v>0.1533</x:v>
      </x:c>
      <x:c r="D4101" s="6" t="n">
        <x:f>B4101</x:f>
        <x:v>0.2778</x:v>
      </x:c>
      <x:c r="E4101" s="1" t="n">
        <x:v>1.05</x:v>
      </x:c>
      <x:c r="F4101" s="1" t="str">
        <x:v>https://api.octopus.energy/v1/products/AGILE-24-10-01/electricity-tariffs/E-1R-AGILE-24-10-01-G/standard-unit-rates/</x:v>
      </x:c>
    </x:row>
    <x:row r="4102" ht="21" customHeight="1">
      <x:c r="A4102" s="24" t="n">
        <x:v>46234</x:v>
      </x:c>
      <x:c r="B4102" s="6" t="n">
        <x:v>0.2924</x:v>
      </x:c>
      <x:c r="C4102" s="6" t="n">
        <x:v>0.15990000000000001</x:v>
      </x:c>
      <x:c r="D4102" s="6" t="n">
        <x:f>B4102</x:f>
        <x:v>0.2924</x:v>
      </x:c>
      <x:c r="E4102" s="1" t="n">
        <x:v>1.05</x:v>
      </x:c>
      <x:c r="F4102" s="1" t="str">
        <x:v>https://api.octopus.energy/v1/products/AGILE-24-10-01/electricity-tariffs/E-1R-AGILE-24-10-01-G/standard-unit-rates/</x:v>
      </x:c>
    </x:row>
    <x:row r="4103" ht="21" customHeight="1">
      <x:c r="A4103" s="24" t="n">
        <x:v>46233.979166666664</x:v>
      </x:c>
      <x:c r="B4103" s="6" t="n">
        <x:v>0.26940000000000003</x:v>
      </x:c>
      <x:c r="C4103" s="6" t="n">
        <x:v>0.1494</x:v>
      </x:c>
      <x:c r="D4103" s="6" t="n">
        <x:f>B4103</x:f>
        <x:v>0.26940000000000003</x:v>
      </x:c>
      <x:c r="E4103" s="1" t="n">
        <x:v>1.05</x:v>
      </x:c>
      <x:c r="F4103" s="1" t="str">
        <x:v>https://api.octopus.energy/v1/products/AGILE-24-10-01/electricity-tariffs/E-1R-AGILE-24-10-01-G/standard-unit-rates/</x:v>
      </x:c>
    </x:row>
    <x:row r="4104" ht="21" customHeight="1">
      <x:c r="A4104" s="24" t="n">
        <x:v>46234</x:v>
      </x:c>
      <x:c r="B4104" s="6" t="n">
        <x:v>0.256</x:v>
      </x:c>
      <x:c r="C4104" s="6" t="n">
        <x:v>0.1433</x:v>
      </x:c>
      <x:c r="D4104" s="6" t="n">
        <x:f>B4104</x:f>
        <x:v>0.256</x:v>
      </x:c>
      <x:c r="E4104" s="1" t="n">
        <x:v>1.05</x:v>
      </x:c>
      <x:c r="F4104" s="1" t="str">
        <x:v>https://api.octopus.energy/v1/products/AGILE-24-10-01/electricity-tariffs/E-1R-AGILE-24-10-01-G/standard-unit-rates/</x:v>
      </x:c>
    </x:row>
    <x:row r="4105" ht="21" customHeight="1">
      <x:c r="A4105" s="24" t="n">
        <x:v>46234.020833333336</x:v>
      </x:c>
      <x:c r="B4105" s="6" t="n">
        <x:v>0.2532</x:v>
      </x:c>
      <x:c r="C4105" s="6" t="n">
        <x:v>0.142</x:v>
      </x:c>
      <x:c r="D4105" s="6" t="n">
        <x:f>B4105</x:f>
        <x:v>0.2532</x:v>
      </x:c>
      <x:c r="E4105" s="1" t="n">
        <x:v>1.05</x:v>
      </x:c>
      <x:c r="F4105" s="1" t="str">
        <x:v>https://api.octopus.energy/v1/products/AGILE-24-10-01/electricity-tariffs/E-1R-AGILE-24-10-01-G/standard-unit-rates/</x:v>
      </x:c>
    </x:row>
    <x:row r="4106" ht="21" customHeight="1">
      <x:c r="A4106" s="24" t="n">
        <x:v>46234.041666666664</x:v>
      </x:c>
      <x:c r="B4106" s="6" t="n">
        <x:v>0.2396</x:v>
      </x:c>
      <x:c r="C4106" s="6" t="n">
        <x:v>0.1358</x:v>
      </x:c>
      <x:c r="D4106" s="6" t="n">
        <x:f>B4106</x:f>
        <x:v>0.2396</x:v>
      </x:c>
      <x:c r="E4106" s="1" t="n">
        <x:v>1.05</x:v>
      </x:c>
      <x:c r="F4106" s="1" t="str">
        <x:v>https://api.octopus.energy/v1/products/AGILE-24-10-01/electricity-tariffs/E-1R-AGILE-24-10-01-G/standard-unit-rates/</x:v>
      </x:c>
    </x:row>
    <x:row r="4107" ht="21" customHeight="1">
      <x:c r="A4107" s="24" t="n">
        <x:v>46234.0625</x:v>
      </x:c>
      <x:c r="B4107" s="6" t="n">
        <x:v>0.23120000000000002</x:v>
      </x:c>
      <x:c r="C4107" s="6" t="n">
        <x:v>0.132</x:v>
      </x:c>
      <x:c r="D4107" s="6" t="n">
        <x:f>B4107</x:f>
        <x:v>0.23120000000000002</x:v>
      </x:c>
      <x:c r="E4107" s="1" t="n">
        <x:v>1.05</x:v>
      </x:c>
      <x:c r="F4107" s="1" t="str">
        <x:v>https://api.octopus.energy/v1/products/AGILE-24-10-01/electricity-tariffs/E-1R-AGILE-24-10-01-G/standard-unit-rates/</x:v>
      </x:c>
    </x:row>
    <x:row r="4108" ht="21" customHeight="1">
      <x:c r="A4108" s="24" t="n">
        <x:v>46234.083333333336</x:v>
      </x:c>
      <x:c r="B4108" s="6" t="n">
        <x:v>0.21899999999999997</x:v>
      </x:c>
      <x:c r="C4108" s="6" t="n">
        <x:v>0.1264</x:v>
      </x:c>
      <x:c r="D4108" s="6" t="n">
        <x:f>B4108</x:f>
        <x:v>0.21899999999999997</x:v>
      </x:c>
      <x:c r="E4108" s="1" t="n">
        <x:v>1.05</x:v>
      </x:c>
      <x:c r="F4108" s="1" t="str">
        <x:v>https://api.octopus.energy/v1/products/AGILE-24-10-01/electricity-tariffs/E-1R-AGILE-24-10-01-G/standard-unit-rates/</x:v>
      </x:c>
    </x:row>
    <x:row r="4109" ht="21" customHeight="1">
      <x:c r="A4109" s="24" t="n">
        <x:v>46234.104166666664</x:v>
      </x:c>
      <x:c r="B4109" s="6" t="n">
        <x:v>0.21230000000000002</x:v>
      </x:c>
      <x:c r="C4109" s="6" t="n">
        <x:v>0.1233</x:v>
      </x:c>
      <x:c r="D4109" s="6" t="n">
        <x:f>B4109</x:f>
        <x:v>0.21230000000000002</x:v>
      </x:c>
      <x:c r="E4109" s="1" t="n">
        <x:v>1.05</x:v>
      </x:c>
      <x:c r="F4109" s="1" t="str">
        <x:v>https://api.octopus.energy/v1/products/AGILE-24-10-01/electricity-tariffs/E-1R-AGILE-24-10-01-G/standard-unit-rates/</x:v>
      </x:c>
    </x:row>
    <x:row r="4110" ht="21" customHeight="1">
      <x:c r="A4110" s="24" t="n">
        <x:v>46234.125</x:v>
      </x:c>
      <x:c r="B4110" s="6" t="n">
        <x:v>0.21539999999999998</x:v>
      </x:c>
      <x:c r="C4110" s="6" t="n">
        <x:v>0.12480000000000001</x:v>
      </x:c>
      <x:c r="D4110" s="6" t="n">
        <x:f>B4110</x:f>
        <x:v>0.21539999999999998</x:v>
      </x:c>
      <x:c r="E4110" s="1" t="n">
        <x:v>1.05</x:v>
      </x:c>
      <x:c r="F4110" s="1" t="str">
        <x:v>https://api.octopus.energy/v1/products/AGILE-24-10-01/electricity-tariffs/E-1R-AGILE-24-10-01-G/standard-unit-rates/</x:v>
      </x:c>
    </x:row>
    <x:row r="4111" ht="21" customHeight="1">
      <x:c r="A4111" s="24" t="n">
        <x:v>46234.145833333336</x:v>
      </x:c>
      <x:c r="B4111" s="6" t="n">
        <x:v>0.2127</x:v>
      </x:c>
      <x:c r="C4111" s="6" t="n">
        <x:v>0.1235</x:v>
      </x:c>
      <x:c r="D4111" s="6" t="n">
        <x:f>B4111</x:f>
        <x:v>0.2127</x:v>
      </x:c>
      <x:c r="E4111" s="1" t="n">
        <x:v>1.05</x:v>
      </x:c>
      <x:c r="F4111" s="1" t="str">
        <x:v>https://api.octopus.energy/v1/products/AGILE-24-10-01/electricity-tariffs/E-1R-AGILE-24-10-01-G/standard-unit-rates/</x:v>
      </x:c>
    </x:row>
    <x:row r="4112" ht="21" customHeight="1">
      <x:c r="A4112" s="24" t="n">
        <x:v>46234.166666666664</x:v>
      </x:c>
      <x:c r="B4112" s="6" t="n">
        <x:v>0.22699999999999998</x:v>
      </x:c>
      <x:c r="C4112" s="6" t="n">
        <x:v>0.13</x:v>
      </x:c>
      <x:c r="D4112" s="6" t="n">
        <x:f>B4112</x:f>
        <x:v>0.22699999999999998</x:v>
      </x:c>
      <x:c r="E4112" s="1" t="n">
        <x:v>1.05</x:v>
      </x:c>
      <x:c r="F4112" s="1" t="str">
        <x:v>https://api.octopus.energy/v1/products/AGILE-24-10-01/electricity-tariffs/E-1R-AGILE-24-10-01-G/standard-unit-rates/</x:v>
      </x:c>
    </x:row>
    <x:row r="4113" ht="21" customHeight="1">
      <x:c r="A4113" s="24" t="n">
        <x:v>46234.1875</x:v>
      </x:c>
      <x:c r="B4113" s="6" t="n">
        <x:v>0.2195</x:v>
      </x:c>
      <x:c r="C4113" s="6" t="n">
        <x:v>0.1266</x:v>
      </x:c>
      <x:c r="D4113" s="6" t="n">
        <x:f>B4113</x:f>
        <x:v>0.2195</x:v>
      </x:c>
      <x:c r="E4113" s="1" t="n">
        <x:v>1.05</x:v>
      </x:c>
      <x:c r="F4113" s="1" t="str">
        <x:v>https://api.octopus.energy/v1/products/AGILE-24-10-01/electricity-tariffs/E-1R-AGILE-24-10-01-G/standard-unit-rates/</x:v>
      </x:c>
    </x:row>
    <x:row r="4114" ht="21" customHeight="1">
      <x:c r="A4114" s="24" t="n">
        <x:v>46234.208333333336</x:v>
      </x:c>
      <x:c r="B4114" s="6" t="n">
        <x:v>0.2588</x:v>
      </x:c>
      <x:c r="C4114" s="6" t="n">
        <x:v>0.1446</x:v>
      </x:c>
      <x:c r="D4114" s="6" t="n">
        <x:f>B4114</x:f>
        <x:v>0.2588</x:v>
      </x:c>
      <x:c r="E4114" s="1" t="n">
        <x:v>1.05</x:v>
      </x:c>
      <x:c r="F4114" s="1" t="str">
        <x:v>https://api.octopus.energy/v1/products/AGILE-24-10-01/electricity-tariffs/E-1R-AGILE-24-10-01-G/standard-unit-rates/</x:v>
      </x:c>
    </x:row>
    <x:row r="4115" ht="21" customHeight="1">
      <x:c r="A4115" s="24" t="n">
        <x:v>46234.229166666664</x:v>
      </x:c>
      <x:c r="B4115" s="6" t="n">
        <x:v>0.2589</x:v>
      </x:c>
      <x:c r="C4115" s="6" t="n">
        <x:v>0.1446</x:v>
      </x:c>
      <x:c r="D4115" s="6" t="n">
        <x:f>B4115</x:f>
        <x:v>0.2589</x:v>
      </x:c>
      <x:c r="E4115" s="1" t="n">
        <x:v>1.05</x:v>
      </x:c>
      <x:c r="F4115" s="1" t="str">
        <x:v>https://api.octopus.energy/v1/products/AGILE-24-10-01/electricity-tariffs/E-1R-AGILE-24-10-01-G/standard-unit-rates/</x:v>
      </x:c>
    </x:row>
    <x:row r="4116" ht="21" customHeight="1">
      <x:c r="A4116" s="24" t="n">
        <x:v>46234.25</x:v>
      </x:c>
      <x:c r="B4116" s="6" t="n">
        <x:v>0.26530000000000004</x:v>
      </x:c>
      <x:c r="C4116" s="6" t="n">
        <x:v>0.1476</x:v>
      </x:c>
      <x:c r="D4116" s="6" t="n">
        <x:f>B4116</x:f>
        <x:v>0.26530000000000004</x:v>
      </x:c>
      <x:c r="E4116" s="1" t="n">
        <x:v>1.05</x:v>
      </x:c>
      <x:c r="F4116" s="1" t="str">
        <x:v>https://api.octopus.energy/v1/products/AGILE-24-10-01/electricity-tariffs/E-1R-AGILE-24-10-01-G/standard-unit-rates/</x:v>
      </x:c>
    </x:row>
    <x:row r="4117" ht="21" customHeight="1">
      <x:c r="A4117" s="24" t="n">
        <x:v>46234.270833333336</x:v>
      </x:c>
      <x:c r="B4117" s="6" t="n">
        <x:v>0.2708</x:v>
      </x:c>
      <x:c r="C4117" s="6" t="n">
        <x:v>0.1501</x:v>
      </x:c>
      <x:c r="D4117" s="6" t="n">
        <x:f>B4117</x:f>
        <x:v>0.2708</x:v>
      </x:c>
      <x:c r="E4117" s="1" t="n">
        <x:v>1.05</x:v>
      </x:c>
      <x:c r="F4117" s="1" t="str">
        <x:v>https://api.octopus.energy/v1/products/AGILE-24-10-01/electricity-tariffs/E-1R-AGILE-24-10-01-G/standard-unit-rates/</x:v>
      </x:c>
    </x:row>
    <x:row r="4118" ht="21" customHeight="1">
      <x:c r="A4118" s="24" t="n">
        <x:v>46234.291666666664</x:v>
      </x:c>
      <x:c r="B4118" s="6" t="n">
        <x:v>0.2339</x:v>
      </x:c>
      <x:c r="C4118" s="6" t="n">
        <x:v>0.1332</x:v>
      </x:c>
      <x:c r="D4118" s="6" t="n">
        <x:f>B4118</x:f>
        <x:v>0.2339</x:v>
      </x:c>
      <x:c r="E4118" s="1" t="n">
        <x:v>1.05</x:v>
      </x:c>
      <x:c r="F4118" s="1" t="str">
        <x:v>https://api.octopus.energy/v1/products/AGILE-24-10-01/electricity-tariffs/E-1R-AGILE-24-10-01-G/standard-unit-rates/</x:v>
      </x:c>
    </x:row>
    <x:row r="4119" ht="21" customHeight="1">
      <x:c r="A4119" s="24" t="n">
        <x:v>46234.3125</x:v>
      </x:c>
      <x:c r="B4119" s="6" t="n">
        <x:v>0.2571</x:v>
      </x:c>
      <x:c r="C4119" s="6" t="n">
        <x:v>0.1438</x:v>
      </x:c>
      <x:c r="D4119" s="6" t="n">
        <x:f>B4119</x:f>
        <x:v>0.2571</x:v>
      </x:c>
      <x:c r="E4119" s="1" t="n">
        <x:v>1.05</x:v>
      </x:c>
      <x:c r="F4119" s="1" t="str">
        <x:v>https://api.octopus.energy/v1/products/AGILE-24-10-01/electricity-tariffs/E-1R-AGILE-24-10-01-G/standard-unit-rates/</x:v>
      </x:c>
    </x:row>
    <x:row r="4120" ht="21" customHeight="1">
      <x:c r="A4120" s="24" t="n">
        <x:v>46234.333333333336</x:v>
      </x:c>
      <x:c r="B4120" s="6" t="n">
        <x:v>0.22219999999999998</x:v>
      </x:c>
      <x:c r="C4120" s="6" t="n">
        <x:v>0.1278</x:v>
      </x:c>
      <x:c r="D4120" s="6" t="n">
        <x:f>B4120</x:f>
        <x:v>0.22219999999999998</x:v>
      </x:c>
      <x:c r="E4120" s="1" t="n">
        <x:v>1.05</x:v>
      </x:c>
      <x:c r="F4120" s="1" t="str">
        <x:v>https://api.octopus.energy/v1/products/AGILE-24-10-01/electricity-tariffs/E-1R-AGILE-24-10-01-G/standard-unit-rates/</x:v>
      </x:c>
    </x:row>
    <x:row r="4121" ht="21" customHeight="1">
      <x:c r="A4121" s="24" t="n">
        <x:v>46234.354166666664</x:v>
      </x:c>
      <x:c r="B4121" s="6" t="n">
        <x:v>0.23329999999999998</x:v>
      </x:c>
      <x:c r="C4121" s="6" t="n">
        <x:v>0.1329</x:v>
      </x:c>
      <x:c r="D4121" s="6" t="n">
        <x:f>B4121</x:f>
        <x:v>0.23329999999999998</x:v>
      </x:c>
      <x:c r="E4121" s="1" t="n">
        <x:v>1.05</x:v>
      </x:c>
      <x:c r="F4121" s="1" t="str">
        <x:v>https://api.octopus.energy/v1/products/AGILE-24-10-01/electricity-tariffs/E-1R-AGILE-24-10-01-G/standard-unit-rates/</x:v>
      </x:c>
    </x:row>
    <x:row r="4122" ht="21" customHeight="1">
      <x:c r="A4122" s="24" t="n">
        <x:v>46234.375</x:v>
      </x:c>
      <x:c r="B4122" s="6" t="n">
        <x:v>0.2291</x:v>
      </x:c>
      <x:c r="C4122" s="6" t="n">
        <x:v>0.131</x:v>
      </x:c>
      <x:c r="D4122" s="6" t="n">
        <x:f>B4122</x:f>
        <x:v>0.2291</x:v>
      </x:c>
      <x:c r="E4122" s="1" t="n">
        <x:v>1.05</x:v>
      </x:c>
      <x:c r="F4122" s="1" t="str">
        <x:v>https://api.octopus.energy/v1/products/AGILE-24-10-01/electricity-tariffs/E-1R-AGILE-24-10-01-G/standard-unit-rates/</x:v>
      </x:c>
    </x:row>
    <x:row r="4123" ht="21" customHeight="1">
      <x:c r="A4123" s="24" t="n">
        <x:v>46234.395833333336</x:v>
      </x:c>
      <x:c r="B4123" s="6" t="n">
        <x:v>0.2352</x:v>
      </x:c>
      <x:c r="C4123" s="6" t="n">
        <x:v>0.1338</x:v>
      </x:c>
      <x:c r="D4123" s="6" t="n">
        <x:f>B4123</x:f>
        <x:v>0.2352</x:v>
      </x:c>
      <x:c r="E4123" s="1" t="n">
        <x:v>1.05</x:v>
      </x:c>
      <x:c r="F4123" s="1" t="str">
        <x:v>https://api.octopus.energy/v1/products/AGILE-24-10-01/electricity-tariffs/E-1R-AGILE-24-10-01-G/standard-unit-rates/</x:v>
      </x:c>
    </x:row>
    <x:row r="4124" ht="21" customHeight="1">
      <x:c r="A4124" s="24" t="n">
        <x:v>46234.416666666664</x:v>
      </x:c>
      <x:c r="B4124" s="6" t="n">
        <x:v>0.23120000000000002</x:v>
      </x:c>
      <x:c r="C4124" s="6" t="n">
        <x:v>0.132</x:v>
      </x:c>
      <x:c r="D4124" s="6" t="n">
        <x:f>B4124</x:f>
        <x:v>0.23120000000000002</x:v>
      </x:c>
      <x:c r="E4124" s="1" t="n">
        <x:v>1.05</x:v>
      </x:c>
      <x:c r="F4124" s="1" t="str">
        <x:v>https://api.octopus.energy/v1/products/AGILE-24-10-01/electricity-tariffs/E-1R-AGILE-24-10-01-G/standard-unit-rates/</x:v>
      </x:c>
    </x:row>
    <x:row r="4125" ht="21" customHeight="1">
      <x:c r="A4125" s="24" t="n">
        <x:v>46234.4375</x:v>
      </x:c>
      <x:c r="B4125" s="6" t="n">
        <x:v>0.2188</x:v>
      </x:c>
      <x:c r="C4125" s="6" t="n">
        <x:v>0.1263</x:v>
      </x:c>
      <x:c r="D4125" s="6" t="n">
        <x:f>B4125</x:f>
        <x:v>0.2188</x:v>
      </x:c>
      <x:c r="E4125" s="1" t="n">
        <x:v>1.05</x:v>
      </x:c>
      <x:c r="F4125" s="1" t="str">
        <x:v>https://api.octopus.energy/v1/products/AGILE-24-10-01/electricity-tariffs/E-1R-AGILE-24-10-01-G/standard-unit-rates/</x:v>
      </x:c>
    </x:row>
    <x:row r="4126" ht="21" customHeight="1">
      <x:c r="A4126" s="24" t="n">
        <x:v>46234.458333333336</x:v>
      </x:c>
      <x:c r="B4126" s="6" t="n">
        <x:v>0.2121</x:v>
      </x:c>
      <x:c r="C4126" s="6" t="n">
        <x:v>0.1232</x:v>
      </x:c>
      <x:c r="D4126" s="6" t="n">
        <x:f>B4126</x:f>
        <x:v>0.2121</x:v>
      </x:c>
      <x:c r="E4126" s="1" t="n">
        <x:v>1.05</x:v>
      </x:c>
      <x:c r="F4126" s="1" t="str">
        <x:v>https://api.octopus.energy/v1/products/AGILE-24-10-01/electricity-tariffs/E-1R-AGILE-24-10-01-G/standard-unit-rates/</x:v>
      </x:c>
    </x:row>
    <x:row r="4127" ht="21" customHeight="1">
      <x:c r="A4127" s="24" t="n">
        <x:v>46234.479166666664</x:v>
      </x:c>
      <x:c r="B4127" s="6" t="n">
        <x:v>0.20440000000000003</x:v>
      </x:c>
      <x:c r="C4127" s="6" t="n">
        <x:v>0.1197</x:v>
      </x:c>
      <x:c r="D4127" s="6" t="n">
        <x:f>B4127</x:f>
        <x:v>0.20440000000000003</x:v>
      </x:c>
      <x:c r="E4127" s="1" t="n">
        <x:v>1.05</x:v>
      </x:c>
      <x:c r="F4127" s="1" t="str">
        <x:v>https://api.octopus.energy/v1/products/AGILE-24-10-01/electricity-tariffs/E-1R-AGILE-24-10-01-G/standard-unit-rates/</x:v>
      </x:c>
    </x:row>
    <x:row r="4128" ht="21" customHeight="1">
      <x:c r="A4128" s="24" t="n">
        <x:v>46234.5</x:v>
      </x:c>
      <x:c r="B4128" s="6" t="n">
        <x:v>0.1978</x:v>
      </x:c>
      <x:c r="C4128" s="6" t="n">
        <x:v>0.1167</x:v>
      </x:c>
      <x:c r="D4128" s="6" t="n">
        <x:f>B4128</x:f>
        <x:v>0.1978</x:v>
      </x:c>
      <x:c r="E4128" s="1" t="n">
        <x:v>1.05</x:v>
      </x:c>
      <x:c r="F4128" s="1" t="str">
        <x:v>https://api.octopus.energy/v1/products/AGILE-24-10-01/electricity-tariffs/E-1R-AGILE-24-10-01-G/standard-unit-rates/</x:v>
      </x:c>
    </x:row>
    <x:row r="4129" ht="21" customHeight="1">
      <x:c r="A4129" s="24" t="n">
        <x:v>46234.520833333336</x:v>
      </x:c>
      <x:c r="B4129" s="6" t="n">
        <x:v>0.1932</x:v>
      </x:c>
      <x:c r="C4129" s="6" t="n">
        <x:v>0.11460000000000001</x:v>
      </x:c>
      <x:c r="D4129" s="6" t="n">
        <x:f>B4129</x:f>
        <x:v>0.1932</x:v>
      </x:c>
      <x:c r="E4129" s="1" t="n">
        <x:v>1.05</x:v>
      </x:c>
      <x:c r="F4129" s="1" t="str">
        <x:v>https://api.octopus.energy/v1/products/AGILE-24-10-01/electricity-tariffs/E-1R-AGILE-24-10-01-G/standard-unit-rates/</x:v>
      </x:c>
    </x:row>
    <x:row r="4130" ht="21" customHeight="1">
      <x:c r="A4130" s="24" t="n">
        <x:v>46234.541666666664</x:v>
      </x:c>
      <x:c r="B4130" s="6" t="n">
        <x:v>0.1884</x:v>
      </x:c>
      <x:c r="C4130" s="6" t="n">
        <x:v>0.1124</x:v>
      </x:c>
      <x:c r="D4130" s="6" t="n">
        <x:f>B4130</x:f>
        <x:v>0.1884</x:v>
      </x:c>
      <x:c r="E4130" s="1" t="n">
        <x:v>1.05</x:v>
      </x:c>
      <x:c r="F4130" s="1" t="str">
        <x:v>https://api.octopus.energy/v1/products/AGILE-24-10-01/electricity-tariffs/E-1R-AGILE-24-10-01-G/standard-unit-rates/</x:v>
      </x:c>
    </x:row>
    <x:row r="4131" ht="21" customHeight="1">
      <x:c r="A4131" s="24" t="n">
        <x:v>46234.5625</x:v>
      </x:c>
      <x:c r="B4131" s="6" t="n">
        <x:v>0.185</x:v>
      </x:c>
      <x:c r="C4131" s="6" t="n">
        <x:v>0.1108</x:v>
      </x:c>
      <x:c r="D4131" s="6" t="n">
        <x:f>B4131</x:f>
        <x:v>0.185</x:v>
      </x:c>
      <x:c r="E4131" s="1" t="n">
        <x:v>1.05</x:v>
      </x:c>
      <x:c r="F4131" s="1" t="str">
        <x:v>https://api.octopus.energy/v1/products/AGILE-24-10-01/electricity-tariffs/E-1R-AGILE-24-10-01-G/standard-unit-rates/</x:v>
      </x:c>
    </x:row>
    <x:row r="4132" ht="21" customHeight="1">
      <x:c r="A4132" s="24" t="n">
        <x:v>46234.583333333336</x:v>
      </x:c>
      <x:c r="B4132" s="6" t="n">
        <x:v>0.1888</x:v>
      </x:c>
      <x:c r="C4132" s="6" t="n">
        <x:v>0.11259999999999999</x:v>
      </x:c>
      <x:c r="D4132" s="6" t="n">
        <x:f>B4132</x:f>
        <x:v>0.1888</x:v>
      </x:c>
      <x:c r="E4132" s="1" t="n">
        <x:v>1.05</x:v>
      </x:c>
      <x:c r="F4132" s="1" t="str">
        <x:v>https://api.octopus.energy/v1/products/AGILE-24-10-01/electricity-tariffs/E-1R-AGILE-24-10-01-G/standard-unit-rates/</x:v>
      </x:c>
    </x:row>
    <x:row r="4133" ht="21" customHeight="1">
      <x:c r="A4133" s="24" t="n">
        <x:v>46234.604166666664</x:v>
      </x:c>
      <x:c r="B4133" s="6" t="n">
        <x:v>0.1841</x:v>
      </x:c>
      <x:c r="C4133" s="6" t="n">
        <x:v>0.1104</x:v>
      </x:c>
      <x:c r="D4133" s="6" t="n">
        <x:f>B4133</x:f>
        <x:v>0.1841</x:v>
      </x:c>
      <x:c r="E4133" s="1" t="n">
        <x:v>1.05</x:v>
      </x:c>
      <x:c r="F4133" s="1" t="str">
        <x:v>https://api.octopus.energy/v1/products/AGILE-24-10-01/electricity-tariffs/E-1R-AGILE-24-10-01-G/standard-unit-rates/</x:v>
      </x:c>
    </x:row>
    <x:row r="4134" ht="21" customHeight="1">
      <x:c r="A4134" s="24" t="n">
        <x:v>46234.625</x:v>
      </x:c>
      <x:c r="B4134" s="6" t="n">
        <x:v>0.1888</x:v>
      </x:c>
      <x:c r="C4134" s="6" t="n">
        <x:v>0.11259999999999999</x:v>
      </x:c>
      <x:c r="D4134" s="6" t="n">
        <x:f>B4134</x:f>
        <x:v>0.1888</x:v>
      </x:c>
      <x:c r="E4134" s="1" t="n">
        <x:v>1.05</x:v>
      </x:c>
      <x:c r="F4134" s="1" t="str">
        <x:v>https://api.octopus.energy/v1/products/AGILE-24-10-01/electricity-tariffs/E-1R-AGILE-24-10-01-G/standard-unit-rates/</x:v>
      </x:c>
    </x:row>
    <x:row r="4135" ht="21" customHeight="1">
      <x:c r="A4135" s="24" t="n">
        <x:v>46234.645833333336</x:v>
      </x:c>
      <x:c r="B4135" s="6" t="n">
        <x:v>0.1888</x:v>
      </x:c>
      <x:c r="C4135" s="6" t="n">
        <x:v>0.11259999999999999</x:v>
      </x:c>
      <x:c r="D4135" s="6" t="n">
        <x:f>B4135</x:f>
        <x:v>0.1888</x:v>
      </x:c>
      <x:c r="E4135" s="1" t="n">
        <x:v>1.05</x:v>
      </x:c>
      <x:c r="F4135" s="1" t="str">
        <x:v>https://api.octopus.energy/v1/products/AGILE-24-10-01/electricity-tariffs/E-1R-AGILE-24-10-01-G/standard-unit-rates/</x:v>
      </x:c>
    </x:row>
    <x:row r="4136" ht="21" customHeight="1">
      <x:c r="A4136" s="24" t="n">
        <x:v>46234.666666666664</x:v>
      </x:c>
      <x:c r="B4136" s="6" t="n">
        <x:v>0.3258</x:v>
      </x:c>
      <x:c r="C4136" s="6" t="n">
        <x:v>0.17920000000000003</x:v>
      </x:c>
      <x:c r="D4136" s="6" t="n">
        <x:f>B4136</x:f>
        <x:v>0.3258</x:v>
      </x:c>
      <x:c r="E4136" s="1" t="n">
        <x:v>1.05</x:v>
      </x:c>
      <x:c r="F4136" s="1" t="str">
        <x:v>https://api.octopus.energy/v1/products/AGILE-24-10-01/electricity-tariffs/E-1R-AGILE-24-10-01-G/standard-unit-rates/</x:v>
      </x:c>
    </x:row>
    <x:row r="4137" ht="21" customHeight="1">
      <x:c r="A4137" s="24" t="n">
        <x:v>46234.6875</x:v>
      </x:c>
      <x:c r="B4137" s="6" t="n">
        <x:v>0.32280000000000003</x:v>
      </x:c>
      <x:c r="C4137" s="6" t="n">
        <x:v>0.1779</x:v>
      </x:c>
      <x:c r="D4137" s="6" t="n">
        <x:f>B4137</x:f>
        <x:v>0.32280000000000003</x:v>
      </x:c>
      <x:c r="E4137" s="1" t="n">
        <x:v>1.05</x:v>
      </x:c>
      <x:c r="F4137" s="1" t="str">
        <x:v>https://api.octopus.energy/v1/products/AGILE-24-10-01/electricity-tariffs/E-1R-AGILE-24-10-01-G/standard-unit-rates/</x:v>
      </x:c>
    </x:row>
    <x:row r="4138" ht="21" customHeight="1">
      <x:c r="A4138" s="24" t="n">
        <x:v>46234.708333333336</x:v>
      </x:c>
      <x:c r="B4138" s="6" t="n">
        <x:v>0.3676</x:v>
      </x:c>
      <x:c r="C4138" s="6" t="n">
        <x:v>0.1984</x:v>
      </x:c>
      <x:c r="D4138" s="6" t="n">
        <x:f>B4138</x:f>
        <x:v>0.3676</x:v>
      </x:c>
      <x:c r="E4138" s="1" t="n">
        <x:v>1.05</x:v>
      </x:c>
      <x:c r="F4138" s="1" t="str">
        <x:v>https://api.octopus.energy/v1/products/AGILE-24-10-01/electricity-tariffs/E-1R-AGILE-24-10-01-G/standard-unit-rates/</x:v>
      </x:c>
    </x:row>
    <x:row r="4139" ht="21" customHeight="1">
      <x:c r="A4139" s="24" t="n">
        <x:v>46234.729166666664</x:v>
      </x:c>
      <x:c r="B4139" s="6" t="n">
        <x:v>0.36560000000000004</x:v>
      </x:c>
      <x:c r="C4139" s="6" t="n">
        <x:v>0.1974</x:v>
      </x:c>
      <x:c r="D4139" s="6" t="n">
        <x:f>B4139</x:f>
        <x:v>0.36560000000000004</x:v>
      </x:c>
      <x:c r="E4139" s="1" t="n">
        <x:v>1.05</x:v>
      </x:c>
      <x:c r="F4139" s="1" t="str">
        <x:v>https://api.octopus.energy/v1/products/AGILE-24-10-01/electricity-tariffs/E-1R-AGILE-24-10-01-G/standard-unit-rates/</x:v>
      </x:c>
    </x:row>
    <x:row r="4140" ht="21" customHeight="1">
      <x:c r="A4140" s="24" t="n">
        <x:v>46234.75</x:v>
      </x:c>
      <x:c r="B4140" s="6" t="n">
        <x:v>0.37189999999999995</x:v>
      </x:c>
      <x:c r="C4140" s="6" t="n">
        <x:v>0.2003</x:v>
      </x:c>
      <x:c r="D4140" s="6" t="n">
        <x:f>B4140</x:f>
        <x:v>0.37189999999999995</x:v>
      </x:c>
      <x:c r="E4140" s="1" t="n">
        <x:v>1.05</x:v>
      </x:c>
      <x:c r="F4140" s="1" t="str">
        <x:v>https://api.octopus.energy/v1/products/AGILE-24-10-01/electricity-tariffs/E-1R-AGILE-24-10-01-G/standard-unit-rates/</x:v>
      </x:c>
    </x:row>
    <x:row r="4141" ht="21" customHeight="1">
      <x:c r="A4141" s="24" t="n">
        <x:v>46234.770833333336</x:v>
      </x:c>
      <x:c r="B4141" s="6" t="n">
        <x:v>0.3932</x:v>
      </x:c>
      <x:c r="C4141" s="6" t="n">
        <x:v>0.2101</x:v>
      </x:c>
      <x:c r="D4141" s="6" t="n">
        <x:f>B4141</x:f>
        <x:v>0.3932</x:v>
      </x:c>
      <x:c r="E4141" s="1" t="n">
        <x:v>1.05</x:v>
      </x:c>
      <x:c r="F4141" s="1" t="str">
        <x:v>https://api.octopus.energy/v1/products/AGILE-24-10-01/electricity-tariffs/E-1R-AGILE-24-10-01-G/standard-unit-rates/</x:v>
      </x:c>
    </x:row>
    <x:row r="4142" ht="21" customHeight="1">
      <x:c r="A4142" s="24" t="n">
        <x:v>46234.791666666664</x:v>
      </x:c>
      <x:c r="B4142" s="6" t="n">
        <x:v>0.2957</x:v>
      </x:c>
      <x:c r="C4142" s="6" t="n">
        <x:v>0.16140000000000002</x:v>
      </x:c>
      <x:c r="D4142" s="6" t="n">
        <x:f>B4142</x:f>
        <x:v>0.2957</x:v>
      </x:c>
      <x:c r="E4142" s="1" t="n">
        <x:v>1.05</x:v>
      </x:c>
      <x:c r="F4142" s="1" t="str">
        <x:v>https://api.octopus.energy/v1/products/AGILE-24-10-01/electricity-tariffs/E-1R-AGILE-24-10-01-G/standard-unit-rates/</x:v>
      </x:c>
    </x:row>
    <x:row r="4143" ht="21" customHeight="1">
      <x:c r="A4143" s="24" t="n">
        <x:v>46234.8125</x:v>
      </x:c>
      <x:c r="B4143" s="6" t="n">
        <x:v>0.3003</x:v>
      </x:c>
      <x:c r="C4143" s="6" t="n">
        <x:v>0.1635</x:v>
      </x:c>
      <x:c r="D4143" s="6" t="n">
        <x:f>B4143</x:f>
        <x:v>0.3003</x:v>
      </x:c>
      <x:c r="E4143" s="1" t="n">
        <x:v>1.05</x:v>
      </x:c>
      <x:c r="F4143" s="1" t="str">
        <x:v>https://api.octopus.energy/v1/products/AGILE-24-10-01/electricity-tariffs/E-1R-AGILE-24-10-01-G/standard-unit-rates/</x:v>
      </x:c>
    </x:row>
    <x:row r="4144" ht="21" customHeight="1">
      <x:c r="A4144" s="24" t="n">
        <x:v>46234.833333333336</x:v>
      </x:c>
      <x:c r="B4144" s="6" t="n">
        <x:v>0.3007</x:v>
      </x:c>
      <x:c r="C4144" s="6" t="n">
        <x:v>0.1637</x:v>
      </x:c>
      <x:c r="D4144" s="6" t="n">
        <x:f>B4144</x:f>
        <x:v>0.3007</x:v>
      </x:c>
      <x:c r="E4144" s="1" t="n">
        <x:v>1.05</x:v>
      </x:c>
      <x:c r="F4144" s="1" t="str">
        <x:v>https://api.octopus.energy/v1/products/AGILE-24-10-01/electricity-tariffs/E-1R-AGILE-24-10-01-G/standard-unit-rates/</x:v>
      </x:c>
    </x:row>
    <x:row r="4145" ht="21" customHeight="1">
      <x:c r="A4145" s="24" t="n">
        <x:v>46234.854166666664</x:v>
      </x:c>
      <x:c r="B4145" s="6" t="n">
        <x:v>0.30260000000000004</x:v>
      </x:c>
      <x:c r="C4145" s="6" t="n">
        <x:v>0.1646</x:v>
      </x:c>
      <x:c r="D4145" s="6" t="n">
        <x:f>B4145</x:f>
        <x:v>0.30260000000000004</x:v>
      </x:c>
      <x:c r="E4145" s="1" t="n">
        <x:v>1.05</x:v>
      </x:c>
      <x:c r="F4145" s="1" t="str">
        <x:v>https://api.octopus.energy/v1/products/AGILE-24-10-01/electricity-tariffs/E-1R-AGILE-24-10-01-G/standard-unit-rates/</x:v>
      </x:c>
    </x:row>
    <x:row r="4146" ht="21" customHeight="1">
      <x:c r="A4146" s="24" t="n">
        <x:v>46234.875</x:v>
      </x:c>
      <x:c r="B4146" s="6" t="n">
        <x:v>0.2963</x:v>
      </x:c>
      <x:c r="C4146" s="6" t="n">
        <x:v>0.1617</x:v>
      </x:c>
      <x:c r="D4146" s="6" t="n">
        <x:f>B4146</x:f>
        <x:v>0.2963</x:v>
      </x:c>
      <x:c r="E4146" s="1" t="n">
        <x:v>1.05</x:v>
      </x:c>
      <x:c r="F4146" s="1" t="str">
        <x:v>https://api.octopus.energy/v1/products/AGILE-24-10-01/electricity-tariffs/E-1R-AGILE-24-10-01-G/standard-unit-rates/</x:v>
      </x:c>
    </x:row>
    <x:row r="4147" ht="21" customHeight="1">
      <x:c r="A4147" s="24" t="n">
        <x:v>46234.895833333336</x:v>
      </x:c>
      <x:c r="B4147" s="6" t="n">
        <x:v>0.2923</x:v>
      </x:c>
      <x:c r="C4147" s="6" t="n">
        <x:v>0.15990000000000001</x:v>
      </x:c>
      <x:c r="D4147" s="6" t="n">
        <x:f>B4147</x:f>
        <x:v>0.2923</x:v>
      </x:c>
      <x:c r="E4147" s="1" t="n">
        <x:v>1.05</x:v>
      </x:c>
      <x:c r="F4147" s="1" t="str">
        <x:v>https://api.octopus.energy/v1/products/AGILE-24-10-01/electricity-tariffs/E-1R-AGILE-24-10-01-G/standard-unit-rates/</x:v>
      </x:c>
    </x:row>
    <x:row r="4148" ht="21" customHeight="1">
      <x:c r="A4148" s="24" t="n">
        <x:v>46234.916666666664</x:v>
      </x:c>
      <x:c r="B4148" s="6" t="n">
        <x:v>0.294</x:v>
      </x:c>
      <x:c r="C4148" s="6" t="n">
        <x:v>0.1607</x:v>
      </x:c>
      <x:c r="D4148" s="6" t="n">
        <x:f>B4148</x:f>
        <x:v>0.294</x:v>
      </x:c>
      <x:c r="E4148" s="1" t="n">
        <x:v>1.05</x:v>
      </x:c>
      <x:c r="F4148" s="1" t="str">
        <x:v>https://api.octopus.energy/v1/products/AGILE-24-10-01/electricity-tariffs/E-1R-AGILE-24-10-01-G/standard-unit-rates/</x:v>
      </x:c>
    </x:row>
    <x:row r="4149" ht="21" customHeight="1">
      <x:c r="A4149" s="24" t="n">
        <x:v>46234.9375</x:v>
      </x:c>
      <x:c r="B4149" s="6" t="n">
        <x:v>0.2805</x:v>
      </x:c>
      <x:c r="C4149" s="6" t="n">
        <x:v>0.1545</x:v>
      </x:c>
      <x:c r="D4149" s="6" t="n">
        <x:f>B4149</x:f>
        <x:v>0.2805</x:v>
      </x:c>
      <x:c r="E4149" s="1" t="n">
        <x:v>1.05</x:v>
      </x:c>
      <x:c r="F4149" s="1" t="str">
        <x:v>https://api.octopus.energy/v1/products/AGILE-24-10-01/electricity-tariffs/E-1R-AGILE-24-10-01-G/standard-unit-rates/</x:v>
      </x:c>
    </x:row>
    <x:row r="4150" ht="21" customHeight="1">
      <x:c r="A4150" s="24" t="n">
        <x:v>46235</x:v>
      </x:c>
      <x:c r="B4150" s="6" t="n">
        <x:v>0.2732</x:v>
      </x:c>
      <x:c r="C4150" s="6" t="n">
        <x:v>0.1512</x:v>
      </x:c>
      <x:c r="D4150" s="6" t="n">
        <x:f>B4150</x:f>
        <x:v>0.2732</x:v>
      </x:c>
      <x:c r="E4150" s="1" t="n">
        <x:v>1.05</x:v>
      </x:c>
      <x:c r="F4150" s="1" t="str">
        <x:v>https://api.octopus.energy/v1/products/AGILE-24-10-01/electricity-tariffs/E-1R-AGILE-24-10-01-G/standard-unit-rates/</x:v>
      </x:c>
    </x:row>
    <x:row r="4151" ht="21" customHeight="1">
      <x:c r="A4151" s="24" t="n">
        <x:v>46234.979166666664</x:v>
      </x:c>
      <x:c r="B4151" s="6" t="n">
        <x:v>0.27399999999999997</x:v>
      </x:c>
      <x:c r="C4151" s="6" t="n">
        <x:v>0.1515</x:v>
      </x:c>
      <x:c r="D4151" s="6" t="n">
        <x:f>B4151</x:f>
        <x:v>0.27399999999999997</x:v>
      </x:c>
      <x:c r="E4151" s="1" t="n">
        <x:v>1.05</x:v>
      </x:c>
      <x:c r="F4151" s="1" t="str">
        <x:v>https://api.octopus.energy/v1/products/AGILE-24-10-01/electricity-tariffs/E-1R-AGILE-24-10-01-G/standard-unit-rates/</x:v>
      </x:c>
    </x:row>
    <x:row r="4152" ht="21" customHeight="1">
      <x:c r="A4152" s="24" t="n">
        <x:v>46235</x:v>
      </x:c>
      <x:c r="B4152" s="6" t="n">
        <x:v>0.2579</x:v>
      </x:c>
      <x:c r="C4152" s="6" t="n">
        <x:v>0.1442</x:v>
      </x:c>
      <x:c r="D4152" s="6" t="n">
        <x:f>B4152</x:f>
        <x:v>0.2579</x:v>
      </x:c>
      <x:c r="E4152" s="1" t="n">
        <x:v>1.05</x:v>
      </x:c>
      <x:c r="F4152" s="1" t="str">
        <x:v>https://api.octopus.energy/v1/products/AGILE-24-10-01/electricity-tariffs/E-1R-AGILE-24-10-01-G/standard-unit-rates/</x:v>
      </x:c>
    </x:row>
    <x:row r="4153" ht="21" customHeight="1">
      <x:c r="A4153" s="24" t="n">
        <x:v>46235.020833333336</x:v>
      </x:c>
      <x:c r="B4153" s="6" t="n">
        <x:v>0.24850000000000003</x:v>
      </x:c>
      <x:c r="C4153" s="6" t="n">
        <x:v>0.1399</x:v>
      </x:c>
      <x:c r="D4153" s="6" t="n">
        <x:f>B4153</x:f>
        <x:v>0.24850000000000003</x:v>
      </x:c>
      <x:c r="E4153" s="1" t="n">
        <x:v>1.05</x:v>
      </x:c>
      <x:c r="F4153" s="1" t="str">
        <x:v>https://api.octopus.energy/v1/products/AGILE-24-10-01/electricity-tariffs/E-1R-AGILE-24-10-01-G/standard-unit-rates/</x:v>
      </x:c>
    </x:row>
    <x:row r="4154" ht="21" customHeight="1">
      <x:c r="A4154" s="24" t="n">
        <x:v>46235.041666666664</x:v>
      </x:c>
      <x:c r="B4154" s="6" t="n">
        <x:v>0.2369</x:v>
      </x:c>
      <x:c r="C4154" s="6" t="n">
        <x:v>0.1346</x:v>
      </x:c>
      <x:c r="D4154" s="6" t="n">
        <x:f>B4154</x:f>
        <x:v>0.2369</x:v>
      </x:c>
      <x:c r="E4154" s="1" t="n">
        <x:v>1.05</x:v>
      </x:c>
      <x:c r="F4154" s="1" t="str">
        <x:v>https://api.octopus.energy/v1/products/AGILE-24-10-01/electricity-tariffs/E-1R-AGILE-24-10-01-G/standard-unit-rates/</x:v>
      </x:c>
    </x:row>
    <x:row r="4155" ht="21" customHeight="1">
      <x:c r="A4155" s="24" t="n">
        <x:v>46235.0625</x:v>
      </x:c>
      <x:c r="B4155" s="6" t="n">
        <x:v>0.2398</x:v>
      </x:c>
      <x:c r="C4155" s="6" t="n">
        <x:v>0.1359</x:v>
      </x:c>
      <x:c r="D4155" s="6" t="n">
        <x:f>B4155</x:f>
        <x:v>0.2398</x:v>
      </x:c>
      <x:c r="E4155" s="1" t="n">
        <x:v>1.05</x:v>
      </x:c>
      <x:c r="F4155" s="1" t="str">
        <x:v>https://api.octopus.energy/v1/products/AGILE-24-10-01/electricity-tariffs/E-1R-AGILE-24-10-01-G/standard-unit-rates/</x:v>
      </x:c>
    </x:row>
    <x:row r="4156" ht="21" customHeight="1">
      <x:c r="A4156" s="24" t="n">
        <x:v>46235.083333333336</x:v>
      </x:c>
      <x:c r="B4156" s="6" t="n">
        <x:v>0.2396</x:v>
      </x:c>
      <x:c r="C4156" s="6" t="n">
        <x:v>0.1358</x:v>
      </x:c>
      <x:c r="D4156" s="6" t="n">
        <x:f>B4156</x:f>
        <x:v>0.2396</x:v>
      </x:c>
      <x:c r="E4156" s="1" t="n">
        <x:v>1.05</x:v>
      </x:c>
      <x:c r="F4156" s="1" t="str">
        <x:v>https://api.octopus.energy/v1/products/AGILE-24-10-01/electricity-tariffs/E-1R-AGILE-24-10-01-G/standard-unit-rates/</x:v>
      </x:c>
    </x:row>
    <x:row r="4157" ht="21" customHeight="1">
      <x:c r="A4157" s="24" t="n">
        <x:v>46235.104166666664</x:v>
      </x:c>
      <x:c r="B4157" s="6" t="n">
        <x:v>0.2396</x:v>
      </x:c>
      <x:c r="C4157" s="6" t="n">
        <x:v>0.1358</x:v>
      </x:c>
      <x:c r="D4157" s="6" t="n">
        <x:f>B4157</x:f>
        <x:v>0.2396</x:v>
      </x:c>
      <x:c r="E4157" s="1" t="n">
        <x:v>1.05</x:v>
      </x:c>
      <x:c r="F4157" s="1" t="str">
        <x:v>https://api.octopus.energy/v1/products/AGILE-24-10-01/electricity-tariffs/E-1R-AGILE-24-10-01-G/standard-unit-rates/</x:v>
      </x:c>
    </x:row>
    <x:row r="4158" ht="21" customHeight="1">
      <x:c r="A4158" s="24" t="n">
        <x:v>46235.125</x:v>
      </x:c>
      <x:c r="B4158" s="6" t="n">
        <x:v>0.22899999999999998</x:v>
      </x:c>
      <x:c r="C4158" s="6" t="n">
        <x:v>0.131</x:v>
      </x:c>
      <x:c r="D4158" s="6" t="n">
        <x:f>B4158</x:f>
        <x:v>0.22899999999999998</x:v>
      </x:c>
      <x:c r="E4158" s="1" t="n">
        <x:v>1.05</x:v>
      </x:c>
      <x:c r="F4158" s="1" t="str">
        <x:v>https://api.octopus.energy/v1/products/AGILE-24-10-01/electricity-tariffs/E-1R-AGILE-24-10-01-G/standard-unit-rates/</x:v>
      </x:c>
    </x:row>
    <x:row r="4159" ht="21" customHeight="1">
      <x:c r="A4159" s="24" t="n">
        <x:v>46235.145833333336</x:v>
      </x:c>
      <x:c r="B4159" s="6" t="n">
        <x:v>0.2351</x:v>
      </x:c>
      <x:c r="C4159" s="6" t="n">
        <x:v>0.1338</x:v>
      </x:c>
      <x:c r="D4159" s="6" t="n">
        <x:f>B4159</x:f>
        <x:v>0.2351</x:v>
      </x:c>
      <x:c r="E4159" s="1" t="n">
        <x:v>1.05</x:v>
      </x:c>
      <x:c r="F4159" s="1" t="str">
        <x:v>https://api.octopus.energy/v1/products/AGILE-24-10-01/electricity-tariffs/E-1R-AGILE-24-10-01-G/standard-unit-rates/</x:v>
      </x:c>
    </x:row>
    <x:row r="4160" ht="21" customHeight="1">
      <x:c r="A4160" s="24" t="n">
        <x:v>46235.166666666664</x:v>
      </x:c>
      <x:c r="B4160" s="6" t="n">
        <x:v>0.2404</x:v>
      </x:c>
      <x:c r="C4160" s="6" t="n">
        <x:v>0.1362</x:v>
      </x:c>
      <x:c r="D4160" s="6" t="n">
        <x:f>B4160</x:f>
        <x:v>0.2404</x:v>
      </x:c>
      <x:c r="E4160" s="1" t="n">
        <x:v>1.05</x:v>
      </x:c>
      <x:c r="F4160" s="1" t="str">
        <x:v>https://api.octopus.energy/v1/products/AGILE-24-10-01/electricity-tariffs/E-1R-AGILE-24-10-01-G/standard-unit-rates/</x:v>
      </x:c>
    </x:row>
    <x:row r="4161" ht="21" customHeight="1">
      <x:c r="A4161" s="24" t="n">
        <x:v>46235.1875</x:v>
      </x:c>
      <x:c r="B4161" s="6" t="n">
        <x:v>0.23829999999999998</x:v>
      </x:c>
      <x:c r="C4161" s="6" t="n">
        <x:v>0.1352</x:v>
      </x:c>
      <x:c r="D4161" s="6" t="n">
        <x:f>B4161</x:f>
        <x:v>0.23829999999999998</x:v>
      </x:c>
      <x:c r="E4161" s="1" t="n">
        <x:v>1.05</x:v>
      </x:c>
      <x:c r="F4161" s="1" t="str">
        <x:v>https://api.octopus.energy/v1/products/AGILE-24-10-01/electricity-tariffs/E-1R-AGILE-24-10-01-G/standard-unit-rates/</x:v>
      </x:c>
    </x:row>
    <x:row r="4162" ht="21" customHeight="1">
      <x:c r="A4162" s="24" t="n">
        <x:v>46235.208333333336</x:v>
      </x:c>
      <x:c r="B4162" s="6" t="n">
        <x:v>0.2396</x:v>
      </x:c>
      <x:c r="C4162" s="6" t="n">
        <x:v>0.1358</x:v>
      </x:c>
      <x:c r="D4162" s="6" t="n">
        <x:f>B4162</x:f>
        <x:v>0.2396</x:v>
      </x:c>
      <x:c r="E4162" s="1" t="n">
        <x:v>1.05</x:v>
      </x:c>
      <x:c r="F4162" s="1" t="str">
        <x:v>https://api.octopus.energy/v1/products/AGILE-24-10-01/electricity-tariffs/E-1R-AGILE-24-10-01-G/standard-unit-rates/</x:v>
      </x:c>
    </x:row>
    <x:row r="4163" ht="21" customHeight="1">
      <x:c r="A4163" s="24" t="n">
        <x:v>46235.229166666664</x:v>
      </x:c>
      <x:c r="B4163" s="6" t="n">
        <x:v>0.2359</x:v>
      </x:c>
      <x:c r="C4163" s="6" t="n">
        <x:v>0.1341</x:v>
      </x:c>
      <x:c r="D4163" s="6" t="n">
        <x:f>B4163</x:f>
        <x:v>0.2359</x:v>
      </x:c>
      <x:c r="E4163" s="1" t="n">
        <x:v>1.05</x:v>
      </x:c>
      <x:c r="F4163" s="1" t="str">
        <x:v>https://api.octopus.energy/v1/products/AGILE-24-10-01/electricity-tariffs/E-1R-AGILE-24-10-01-G/standard-unit-rates/</x:v>
      </x:c>
    </x:row>
    <x:row r="4164" ht="21" customHeight="1">
      <x:c r="A4164" s="24" t="n">
        <x:v>46235.25</x:v>
      </x:c>
      <x:c r="B4164" s="6" t="n">
        <x:v>0.2409</x:v>
      </x:c>
      <x:c r="C4164" s="6" t="n">
        <x:v>0.1364</x:v>
      </x:c>
      <x:c r="D4164" s="6" t="n">
        <x:f>B4164</x:f>
        <x:v>0.2409</x:v>
      </x:c>
      <x:c r="E4164" s="1" t="n">
        <x:v>1.05</x:v>
      </x:c>
      <x:c r="F4164" s="1" t="str">
        <x:v>https://api.octopus.energy/v1/products/AGILE-24-10-01/electricity-tariffs/E-1R-AGILE-24-10-01-G/standard-unit-rates/</x:v>
      </x:c>
    </x:row>
    <x:row r="4165" ht="21" customHeight="1">
      <x:c r="A4165" s="24" t="n">
        <x:v>46235.270833333336</x:v>
      </x:c>
      <x:c r="B4165" s="6" t="n">
        <x:v>0.2514</x:v>
      </x:c>
      <x:c r="C4165" s="6" t="n">
        <x:v>0.1412</x:v>
      </x:c>
      <x:c r="D4165" s="6" t="n">
        <x:f>B4165</x:f>
        <x:v>0.2514</x:v>
      </x:c>
      <x:c r="E4165" s="1" t="n">
        <x:v>1.05</x:v>
      </x:c>
      <x:c r="F4165" s="1" t="str">
        <x:v>https://api.octopus.energy/v1/products/AGILE-24-10-01/electricity-tariffs/E-1R-AGILE-24-10-01-G/standard-unit-rates/</x:v>
      </x:c>
    </x:row>
    <x:row r="4166" ht="21" customHeight="1">
      <x:c r="A4166" s="24" t="n">
        <x:v>46235.291666666664</x:v>
      </x:c>
      <x:c r="B4166" s="6" t="n">
        <x:v>0.21350000000000002</x:v>
      </x:c>
      <x:c r="C4166" s="6" t="n">
        <x:v>0.12390000000000001</x:v>
      </x:c>
      <x:c r="D4166" s="6" t="n">
        <x:f>B4166</x:f>
        <x:v>0.21350000000000002</x:v>
      </x:c>
      <x:c r="E4166" s="1" t="n">
        <x:v>1.05</x:v>
      </x:c>
      <x:c r="F4166" s="1" t="str">
        <x:v>https://api.octopus.energy/v1/products/AGILE-24-10-01/electricity-tariffs/E-1R-AGILE-24-10-01-G/standard-unit-rates/</x:v>
      </x:c>
    </x:row>
    <x:row r="4167" ht="21" customHeight="1">
      <x:c r="A4167" s="24" t="n">
        <x:v>46235.3125</x:v>
      </x:c>
      <x:c r="B4167" s="6" t="n">
        <x:v>0.2236</x:v>
      </x:c>
      <x:c r="C4167" s="6" t="n">
        <x:v>0.1285</x:v>
      </x:c>
      <x:c r="D4167" s="6" t="n">
        <x:f>B4167</x:f>
        <x:v>0.2236</x:v>
      </x:c>
      <x:c r="E4167" s="1" t="n">
        <x:v>1.05</x:v>
      </x:c>
      <x:c r="F4167" s="1" t="str">
        <x:v>https://api.octopus.energy/v1/products/AGILE-24-10-01/electricity-tariffs/E-1R-AGILE-24-10-01-G/standard-unit-rates/</x:v>
      </x:c>
    </x:row>
    <x:row r="4168" ht="21" customHeight="1">
      <x:c r="A4168" s="24" t="n">
        <x:v>46235.333333333336</x:v>
      </x:c>
      <x:c r="B4168" s="6" t="n">
        <x:v>0.19329999999999997</x:v>
      </x:c>
      <x:c r="C4168" s="6" t="n">
        <x:v>0.11460000000000001</x:v>
      </x:c>
      <x:c r="D4168" s="6" t="n">
        <x:f>B4168</x:f>
        <x:v>0.19329999999999997</x:v>
      </x:c>
      <x:c r="E4168" s="1" t="n">
        <x:v>1.05</x:v>
      </x:c>
      <x:c r="F4168" s="1" t="str">
        <x:v>https://api.octopus.energy/v1/products/AGILE-24-10-01/electricity-tariffs/E-1R-AGILE-24-10-01-G/standard-unit-rates/</x:v>
      </x:c>
    </x:row>
    <x:row r="4169" ht="21" customHeight="1">
      <x:c r="A4169" s="24" t="n">
        <x:v>46235.354166666664</x:v>
      </x:c>
      <x:c r="B4169" s="6" t="n">
        <x:v>0.1818</x:v>
      </x:c>
      <x:c r="C4169" s="6" t="n">
        <x:v>0.1094</x:v>
      </x:c>
      <x:c r="D4169" s="6" t="n">
        <x:f>B4169</x:f>
        <x:v>0.1818</x:v>
      </x:c>
      <x:c r="E4169" s="1" t="n">
        <x:v>1.05</x:v>
      </x:c>
      <x:c r="F4169" s="1" t="str">
        <x:v>https://api.octopus.energy/v1/products/AGILE-24-10-01/electricity-tariffs/E-1R-AGILE-24-10-01-G/standard-unit-rates/</x:v>
      </x:c>
    </x:row>
    <x:row r="4170" ht="21" customHeight="1">
      <x:c r="A4170" s="24" t="n">
        <x:v>46235.375</x:v>
      </x:c>
      <x:c r="B4170" s="6" t="n">
        <x:v>0.1703</x:v>
      </x:c>
      <x:c r="C4170" s="6" t="n">
        <x:v>0.1041</x:v>
      </x:c>
      <x:c r="D4170" s="6" t="n">
        <x:f>B4170</x:f>
        <x:v>0.1703</x:v>
      </x:c>
      <x:c r="E4170" s="1" t="n">
        <x:v>1.05</x:v>
      </x:c>
      <x:c r="F4170" s="1" t="str">
        <x:v>https://api.octopus.energy/v1/products/AGILE-24-10-01/electricity-tariffs/E-1R-AGILE-24-10-01-G/standard-unit-rates/</x:v>
      </x:c>
    </x:row>
    <x:row r="4171" ht="21" customHeight="1">
      <x:c r="A4171" s="24" t="n">
        <x:v>46235.395833333336</x:v>
      </x:c>
      <x:c r="B4171" s="6" t="n">
        <x:v>0.1496</x:v>
      </x:c>
      <x:c r="C4171" s="6" t="n">
        <x:v>0.0946</x:v>
      </x:c>
      <x:c r="D4171" s="6" t="n">
        <x:f>B4171</x:f>
        <x:v>0.1496</x:v>
      </x:c>
      <x:c r="E4171" s="1" t="n">
        <x:v>1.05</x:v>
      </x:c>
      <x:c r="F4171" s="1" t="str">
        <x:v>https://api.octopus.energy/v1/products/AGILE-24-10-01/electricity-tariffs/E-1R-AGILE-24-10-01-G/standard-unit-rates/</x:v>
      </x:c>
    </x:row>
    <x:row r="4172" ht="21" customHeight="1">
      <x:c r="A4172" s="24" t="n">
        <x:v>46235.416666666664</x:v>
      </x:c>
      <x:c r="B4172" s="6" t="n">
        <x:v>0.1304</x:v>
      </x:c>
      <x:c r="C4172" s="6" t="n">
        <x:v>0.0859</x:v>
      </x:c>
      <x:c r="D4172" s="6" t="n">
        <x:f>B4172</x:f>
        <x:v>0.1304</x:v>
      </x:c>
      <x:c r="E4172" s="1" t="n">
        <x:v>1.05</x:v>
      </x:c>
      <x:c r="F4172" s="1" t="str">
        <x:v>https://api.octopus.energy/v1/products/AGILE-24-10-01/electricity-tariffs/E-1R-AGILE-24-10-01-G/standard-unit-rates/</x:v>
      </x:c>
    </x:row>
    <x:row r="4173" ht="21" customHeight="1">
      <x:c r="A4173" s="24" t="n">
        <x:v>46235.4375</x:v>
      </x:c>
      <x:c r="B4173" s="6" t="n">
        <x:v>0.09359999999999999</x:v>
      </x:c>
      <x:c r="C4173" s="6" t="n">
        <x:v>0.0691</x:v>
      </x:c>
      <x:c r="D4173" s="6" t="n">
        <x:f>B4173</x:f>
        <x:v>0.09359999999999999</x:v>
      </x:c>
      <x:c r="E4173" s="1" t="n">
        <x:v>1.05</x:v>
      </x:c>
      <x:c r="F4173" s="1" t="str">
        <x:v>https://api.octopus.energy/v1/products/AGILE-24-10-01/electricity-tariffs/E-1R-AGILE-24-10-01-G/standard-unit-rates/</x:v>
      </x:c>
    </x:row>
    <x:row r="4174" ht="21" customHeight="1">
      <x:c r="A4174" s="24" t="n">
        <x:v>46235.458333333336</x:v>
      </x:c>
      <x:c r="B4174" s="6" t="n">
        <x:v>0.10310000000000001</x:v>
      </x:c>
      <x:c r="C4174" s="6" t="n">
        <x:v>0.07339999999999999</x:v>
      </x:c>
      <x:c r="D4174" s="6" t="n">
        <x:f>B4174</x:f>
        <x:v>0.10310000000000001</x:v>
      </x:c>
      <x:c r="E4174" s="1" t="n">
        <x:v>1.05</x:v>
      </x:c>
      <x:c r="F4174" s="1" t="str">
        <x:v>https://api.octopus.energy/v1/products/AGILE-24-10-01/electricity-tariffs/E-1R-AGILE-24-10-01-G/standard-unit-rates/</x:v>
      </x:c>
    </x:row>
    <x:row r="4175" ht="21" customHeight="1">
      <x:c r="A4175" s="24" t="n">
        <x:v>46235.479166666664</x:v>
      </x:c>
      <x:c r="B4175" s="6" t="n">
        <x:v>0.0716</x:v>
      </x:c>
      <x:c r="C4175" s="6" t="n">
        <x:v>0.059000000000000004</x:v>
      </x:c>
      <x:c r="D4175" s="6" t="n">
        <x:f>B4175</x:f>
        <x:v>0.0716</x:v>
      </x:c>
      <x:c r="E4175" s="1" t="n">
        <x:v>1.05</x:v>
      </x:c>
      <x:c r="F4175" s="1" t="str">
        <x:v>https://api.octopus.energy/v1/products/AGILE-24-10-01/electricity-tariffs/E-1R-AGILE-24-10-01-G/standard-unit-rates/</x:v>
      </x:c>
    </x:row>
    <x:row r="4176" ht="21" customHeight="1">
      <x:c r="A4176" s="24" t="n">
        <x:v>46235.5</x:v>
      </x:c>
      <x:c r="B4176" s="6" t="n">
        <x:v>0.0684</x:v>
      </x:c>
      <x:c r="C4176" s="6" t="n">
        <x:v>0.0576</x:v>
      </x:c>
      <x:c r="D4176" s="6" t="n">
        <x:f>B4176</x:f>
        <x:v>0.0684</x:v>
      </x:c>
      <x:c r="E4176" s="1" t="n">
        <x:v>1.05</x:v>
      </x:c>
      <x:c r="F4176" s="1" t="str">
        <x:v>https://api.octopus.energy/v1/products/AGILE-24-10-01/electricity-tariffs/E-1R-AGILE-24-10-01-G/standard-unit-rates/</x:v>
      </x:c>
    </x:row>
    <x:row r="4177" ht="21" customHeight="1">
      <x:c r="A4177" s="24" t="n">
        <x:v>46235.520833333336</x:v>
      </x:c>
      <x:c r="B4177" s="6" t="n">
        <x:v>0.0706</x:v>
      </x:c>
      <x:c r="C4177" s="6" t="n">
        <x:v>0.058499999999999996</x:v>
      </x:c>
      <x:c r="D4177" s="6" t="n">
        <x:f>B4177</x:f>
        <x:v>0.0706</x:v>
      </x:c>
      <x:c r="E4177" s="1" t="n">
        <x:v>1.05</x:v>
      </x:c>
      <x:c r="F4177" s="1" t="str">
        <x:v>https://api.octopus.energy/v1/products/AGILE-24-10-01/electricity-tariffs/E-1R-AGILE-24-10-01-G/standard-unit-rates/</x:v>
      </x:c>
    </x:row>
    <x:row r="4178" ht="21" customHeight="1">
      <x:c r="A4178" s="24" t="n">
        <x:v>46235.541666666664</x:v>
      </x:c>
      <x:c r="B4178" s="6" t="n">
        <x:v>0.0644</x:v>
      </x:c>
      <x:c r="C4178" s="6" t="n">
        <x:v>0.0557</x:v>
      </x:c>
      <x:c r="D4178" s="6" t="n">
        <x:f>B4178</x:f>
        <x:v>0.0644</x:v>
      </x:c>
      <x:c r="E4178" s="1" t="n">
        <x:v>1.05</x:v>
      </x:c>
      <x:c r="F4178" s="1" t="str">
        <x:v>https://api.octopus.energy/v1/products/AGILE-24-10-01/electricity-tariffs/E-1R-AGILE-24-10-01-G/standard-unit-rates/</x:v>
      </x:c>
    </x:row>
    <x:row r="4179" ht="21" customHeight="1">
      <x:c r="A4179" s="24" t="n">
        <x:v>46235.5625</x:v>
      </x:c>
      <x:c r="B4179" s="6" t="n">
        <x:v>0.060599999999999994</x:v>
      </x:c>
      <x:c r="C4179" s="6" t="n">
        <x:v>0.054000000000000006</x:v>
      </x:c>
      <x:c r="D4179" s="6" t="n">
        <x:f>B4179</x:f>
        <x:v>0.060599999999999994</x:v>
      </x:c>
      <x:c r="E4179" s="1" t="n">
        <x:v>1.05</x:v>
      </x:c>
      <x:c r="F4179" s="1" t="str">
        <x:v>https://api.octopus.energy/v1/products/AGILE-24-10-01/electricity-tariffs/E-1R-AGILE-24-10-01-G/standard-unit-rates/</x:v>
      </x:c>
    </x:row>
    <x:row r="4180" ht="21" customHeight="1">
      <x:c r="A4180" s="24" t="n">
        <x:v>46235.583333333336</x:v>
      </x:c>
      <x:c r="B4180" s="6" t="n">
        <x:v>0.0758</x:v>
      </x:c>
      <x:c r="C4180" s="6" t="n">
        <x:v>0.060899999999999996</x:v>
      </x:c>
      <x:c r="D4180" s="6" t="n">
        <x:f>B4180</x:f>
        <x:v>0.0758</x:v>
      </x:c>
      <x:c r="E4180" s="1" t="n">
        <x:v>1.05</x:v>
      </x:c>
      <x:c r="F4180" s="1" t="str">
        <x:v>https://api.octopus.energy/v1/products/AGILE-24-10-01/electricity-tariffs/E-1R-AGILE-24-10-01-G/standard-unit-rates/</x:v>
      </x:c>
    </x:row>
    <x:row r="4181" ht="21" customHeight="1">
      <x:c r="A4181" s="24" t="n">
        <x:v>46235.604166666664</x:v>
      </x:c>
      <x:c r="B4181" s="6" t="n">
        <x:v>0.0707</x:v>
      </x:c>
      <x:c r="C4181" s="6" t="n">
        <x:v>0.058600000000000006</x:v>
      </x:c>
      <x:c r="D4181" s="6" t="n">
        <x:f>B4181</x:f>
        <x:v>0.0707</x:v>
      </x:c>
      <x:c r="E4181" s="1" t="n">
        <x:v>1.05</x:v>
      </x:c>
      <x:c r="F4181" s="1" t="str">
        <x:v>https://api.octopus.energy/v1/products/AGILE-24-10-01/electricity-tariffs/E-1R-AGILE-24-10-01-G/standard-unit-rates/</x:v>
      </x:c>
    </x:row>
    <x:row r="4182" ht="21" customHeight="1">
      <x:c r="A4182" s="24" t="n">
        <x:v>46235.625</x:v>
      </x:c>
      <x:c r="B4182" s="6" t="n">
        <x:v>0.0535</x:v>
      </x:c>
      <x:c r="C4182" s="6" t="n">
        <x:v>0.0507</x:v>
      </x:c>
      <x:c r="D4182" s="6" t="n">
        <x:f>B4182</x:f>
        <x:v>0.0535</x:v>
      </x:c>
      <x:c r="E4182" s="1" t="n">
        <x:v>1.05</x:v>
      </x:c>
      <x:c r="F4182" s="1" t="str">
        <x:v>https://api.octopus.energy/v1/products/AGILE-24-10-01/electricity-tariffs/E-1R-AGILE-24-10-01-G/standard-unit-rates/</x:v>
      </x:c>
    </x:row>
    <x:row r="4183" ht="21" customHeight="1">
      <x:c r="A4183" s="24" t="n">
        <x:v>46235.645833333336</x:v>
      </x:c>
      <x:c r="B4183" s="6" t="n">
        <x:v>0.0672</x:v>
      </x:c>
      <x:c r="C4183" s="6" t="n">
        <x:v>0.057</x:v>
      </x:c>
      <x:c r="D4183" s="6" t="n">
        <x:f>B4183</x:f>
        <x:v>0.0672</x:v>
      </x:c>
      <x:c r="E4183" s="1" t="n">
        <x:v>1.05</x:v>
      </x:c>
      <x:c r="F4183" s="1" t="str">
        <x:v>https://api.octopus.energy/v1/products/AGILE-24-10-01/electricity-tariffs/E-1R-AGILE-24-10-01-G/standard-unit-rates/</x:v>
      </x:c>
    </x:row>
    <x:row r="4184" ht="21" customHeight="1">
      <x:c r="A4184" s="24" t="n">
        <x:v>46235.666666666664</x:v>
      </x:c>
      <x:c r="B4184" s="6" t="n">
        <x:v>0.2798</x:v>
      </x:c>
      <x:c r="C4184" s="6" t="n">
        <x:v>0.1582</x:v>
      </x:c>
      <x:c r="D4184" s="6" t="n">
        <x:f>B4184</x:f>
        <x:v>0.2798</x:v>
      </x:c>
      <x:c r="E4184" s="1" t="n">
        <x:v>1.05</x:v>
      </x:c>
      <x:c r="F4184" s="1" t="str">
        <x:v>https://api.octopus.energy/v1/products/AGILE-24-10-01/electricity-tariffs/E-1R-AGILE-24-10-01-G/standard-unit-rates/</x:v>
      </x:c>
    </x:row>
    <x:row r="4185" ht="21" customHeight="1">
      <x:c r="A4185" s="24" t="n">
        <x:v>46235.6875</x:v>
      </x:c>
      <x:c r="B4185" s="6" t="n">
        <x:v>0.3048</x:v>
      </x:c>
      <x:c r="C4185" s="6" t="n">
        <x:v>0.1696</x:v>
      </x:c>
      <x:c r="D4185" s="6" t="n">
        <x:f>B4185</x:f>
        <x:v>0.3048</x:v>
      </x:c>
      <x:c r="E4185" s="1" t="n">
        <x:v>1.05</x:v>
      </x:c>
      <x:c r="F4185" s="1" t="str">
        <x:v>https://api.octopus.energy/v1/products/AGILE-24-10-01/electricity-tariffs/E-1R-AGILE-24-10-01-G/standard-unit-rates/</x:v>
      </x:c>
    </x:row>
    <x:row r="4186" ht="21" customHeight="1">
      <x:c r="A4186" s="24" t="n">
        <x:v>46235.708333333336</x:v>
      </x:c>
      <x:c r="B4186" s="6" t="n">
        <x:v>0.3344</x:v>
      </x:c>
      <x:c r="C4186" s="6" t="n">
        <x:v>0.1832</x:v>
      </x:c>
      <x:c r="D4186" s="6" t="n">
        <x:f>B4186</x:f>
        <x:v>0.3344</x:v>
      </x:c>
      <x:c r="E4186" s="1" t="n">
        <x:v>1.05</x:v>
      </x:c>
      <x:c r="F4186" s="1" t="str">
        <x:v>https://api.octopus.energy/v1/products/AGILE-24-10-01/electricity-tariffs/E-1R-AGILE-24-10-01-G/standard-unit-rates/</x:v>
      </x:c>
    </x:row>
    <x:row r="4187" ht="21" customHeight="1">
      <x:c r="A4187" s="24" t="n">
        <x:v>46235.729166666664</x:v>
      </x:c>
      <x:c r="B4187" s="6" t="n">
        <x:v>0.3354</x:v>
      </x:c>
      <x:c r="C4187" s="6" t="n">
        <x:v>0.1837</x:v>
      </x:c>
      <x:c r="D4187" s="6" t="n">
        <x:f>B4187</x:f>
        <x:v>0.3354</x:v>
      </x:c>
      <x:c r="E4187" s="1" t="n">
        <x:v>1.05</x:v>
      </x:c>
      <x:c r="F4187" s="1" t="str">
        <x:v>https://api.octopus.energy/v1/products/AGILE-24-10-01/electricity-tariffs/E-1R-AGILE-24-10-01-G/standard-unit-rates/</x:v>
      </x:c>
    </x:row>
    <x:row r="4188" ht="21" customHeight="1">
      <x:c r="A4188" s="24" t="n">
        <x:v>46235.75</x:v>
      </x:c>
      <x:c r="B4188" s="6" t="n">
        <x:v>0.3627</x:v>
      </x:c>
      <x:c r="C4188" s="6" t="n">
        <x:v>0.1961</x:v>
      </x:c>
      <x:c r="D4188" s="6" t="n">
        <x:f>B4188</x:f>
        <x:v>0.3627</x:v>
      </x:c>
      <x:c r="E4188" s="1" t="n">
        <x:v>1.05</x:v>
      </x:c>
      <x:c r="F4188" s="1" t="str">
        <x:v>https://api.octopus.energy/v1/products/AGILE-24-10-01/electricity-tariffs/E-1R-AGILE-24-10-01-G/standard-unit-rates/</x:v>
      </x:c>
    </x:row>
    <x:row r="4189" ht="21" customHeight="1">
      <x:c r="A4189" s="24" t="n">
        <x:v>46235.770833333336</x:v>
      </x:c>
      <x:c r="B4189" s="6" t="n">
        <x:v>0.3857</x:v>
      </x:c>
      <x:c r="C4189" s="6" t="n">
        <x:v>0.2066</x:v>
      </x:c>
      <x:c r="D4189" s="6" t="n">
        <x:f>B4189</x:f>
        <x:v>0.3857</x:v>
      </x:c>
      <x:c r="E4189" s="1" t="n">
        <x:v>1.05</x:v>
      </x:c>
      <x:c r="F4189" s="1" t="str">
        <x:v>https://api.octopus.energy/v1/products/AGILE-24-10-01/electricity-tariffs/E-1R-AGILE-24-10-01-G/standard-unit-rates/</x:v>
      </x:c>
    </x:row>
    <x:row r="4190" ht="21" customHeight="1">
      <x:c r="A4190" s="24" t="n">
        <x:v>46235.791666666664</x:v>
      </x:c>
      <x:c r="B4190" s="6" t="n">
        <x:v>0.29719999999999996</x:v>
      </x:c>
      <x:c r="C4190" s="6" t="n">
        <x:v>0.16210000000000002</x:v>
      </x:c>
      <x:c r="D4190" s="6" t="n">
        <x:f>B4190</x:f>
        <x:v>0.29719999999999996</x:v>
      </x:c>
      <x:c r="E4190" s="1" t="n">
        <x:v>1.05</x:v>
      </x:c>
      <x:c r="F4190" s="1" t="str">
        <x:v>https://api.octopus.energy/v1/products/AGILE-24-10-01/electricity-tariffs/E-1R-AGILE-24-10-01-G/standard-unit-rates/</x:v>
      </x:c>
    </x:row>
    <x:row r="4191" ht="21" customHeight="1">
      <x:c r="A4191" s="24" t="n">
        <x:v>46235.8125</x:v>
      </x:c>
      <x:c r="B4191" s="6" t="n">
        <x:v>0.30210000000000004</x:v>
      </x:c>
      <x:c r="C4191" s="6" t="n">
        <x:v>0.16440000000000002</x:v>
      </x:c>
      <x:c r="D4191" s="6" t="n">
        <x:f>B4191</x:f>
        <x:v>0.30210000000000004</x:v>
      </x:c>
      <x:c r="E4191" s="1" t="n">
        <x:v>1.05</x:v>
      </x:c>
      <x:c r="F4191" s="1" t="str">
        <x:v>https://api.octopus.energy/v1/products/AGILE-24-10-01/electricity-tariffs/E-1R-AGILE-24-10-01-G/standard-unit-rates/</x:v>
      </x:c>
    </x:row>
    <x:row r="4192" ht="21" customHeight="1">
      <x:c r="A4192" s="24" t="n">
        <x:v>46235.833333333336</x:v>
      </x:c>
      <x:c r="B4192" s="6" t="n">
        <x:v>0.2921</x:v>
      </x:c>
      <x:c r="C4192" s="6" t="n">
        <x:v>0.1598</x:v>
      </x:c>
      <x:c r="D4192" s="6" t="n">
        <x:f>B4192</x:f>
        <x:v>0.2921</x:v>
      </x:c>
      <x:c r="E4192" s="1" t="n">
        <x:v>1.05</x:v>
      </x:c>
      <x:c r="F4192" s="1" t="str">
        <x:v>https://api.octopus.energy/v1/products/AGILE-24-10-01/electricity-tariffs/E-1R-AGILE-24-10-01-G/standard-unit-rates/</x:v>
      </x:c>
    </x:row>
    <x:row r="4193" ht="21" customHeight="1">
      <x:c r="A4193" s="24" t="n">
        <x:v>46235.854166666664</x:v>
      </x:c>
      <x:c r="B4193" s="6" t="n">
        <x:v>0.3005</x:v>
      </x:c>
      <x:c r="C4193" s="6" t="n">
        <x:v>0.1636</x:v>
      </x:c>
      <x:c r="D4193" s="6" t="n">
        <x:f>B4193</x:f>
        <x:v>0.3005</x:v>
      </x:c>
      <x:c r="E4193" s="1" t="n">
        <x:v>1.05</x:v>
      </x:c>
      <x:c r="F4193" s="1" t="str">
        <x:v>https://api.octopus.energy/v1/products/AGILE-24-10-01/electricity-tariffs/E-1R-AGILE-24-10-01-G/standard-unit-rates/</x:v>
      </x:c>
    </x:row>
    <x:row r="4194" ht="21" customHeight="1">
      <x:c r="A4194" s="24" t="n">
        <x:v>46235.875</x:v>
      </x:c>
      <x:c r="B4194" s="6" t="n">
        <x:v>0.2868</x:v>
      </x:c>
      <x:c r="C4194" s="6" t="n">
        <x:v>0.1574</x:v>
      </x:c>
      <x:c r="D4194" s="6" t="n">
        <x:f>B4194</x:f>
        <x:v>0.2868</x:v>
      </x:c>
      <x:c r="E4194" s="1" t="n">
        <x:v>1.05</x:v>
      </x:c>
      <x:c r="F4194" s="1" t="str">
        <x:v>https://api.octopus.energy/v1/products/AGILE-24-10-01/electricity-tariffs/E-1R-AGILE-24-10-01-G/standard-unit-rates/</x:v>
      </x:c>
    </x:row>
    <x:row r="4195" ht="21" customHeight="1">
      <x:c r="A4195" s="24" t="n">
        <x:v>46235.895833333336</x:v>
      </x:c>
      <x:c r="B4195" s="6" t="n">
        <x:v>0.2865</x:v>
      </x:c>
      <x:c r="C4195" s="6" t="n">
        <x:v>0.1572</x:v>
      </x:c>
      <x:c r="D4195" s="6" t="n">
        <x:f>B4195</x:f>
        <x:v>0.2865</x:v>
      </x:c>
      <x:c r="E4195" s="1" t="n">
        <x:v>1.05</x:v>
      </x:c>
      <x:c r="F4195" s="1" t="str">
        <x:v>https://api.octopus.energy/v1/products/AGILE-24-10-01/electricity-tariffs/E-1R-AGILE-24-10-01-G/standard-unit-rates/</x:v>
      </x:c>
    </x:row>
    <x:row r="4196" ht="21" customHeight="1">
      <x:c r="A4196" s="24" t="n">
        <x:v>46235.916666666664</x:v>
      </x:c>
      <x:c r="B4196" s="6" t="n">
        <x:v>0.2709</x:v>
      </x:c>
      <x:c r="C4196" s="6" t="n">
        <x:v>0.1501</x:v>
      </x:c>
      <x:c r="D4196" s="6" t="n">
        <x:f>B4196</x:f>
        <x:v>0.2709</x:v>
      </x:c>
      <x:c r="E4196" s="1" t="n">
        <x:v>1.05</x:v>
      </x:c>
      <x:c r="F4196" s="1" t="str">
        <x:v>https://api.octopus.energy/v1/products/AGILE-24-10-01/electricity-tariffs/E-1R-AGILE-24-10-01-G/standard-unit-rates/</x:v>
      </x:c>
    </x:row>
    <x:row r="4197" ht="21" customHeight="1">
      <x:c r="A4197" s="24" t="n">
        <x:v>46235.9375</x:v>
      </x:c>
      <x:c r="B4197" s="6" t="n">
        <x:v>0.2606</x:v>
      </x:c>
      <x:c r="C4197" s="6" t="n">
        <x:v>0.1454</x:v>
      </x:c>
      <x:c r="D4197" s="6" t="n">
        <x:f>B4197</x:f>
        <x:v>0.2606</x:v>
      </x:c>
      <x:c r="E4197" s="1" t="n">
        <x:v>1.05</x:v>
      </x:c>
      <x:c r="F4197" s="1" t="str">
        <x:v>https://api.octopus.energy/v1/products/AGILE-24-10-01/electricity-tariffs/E-1R-AGILE-24-10-01-G/standard-unit-rates/</x:v>
      </x:c>
    </x:row>
    <x:row r="4198" ht="21" customHeight="1">
      <x:c r="A4198" s="24" t="n">
        <x:v>46236</x:v>
      </x:c>
      <x:c r="B4198" s="6" t="n">
        <x:v>0.2711</x:v>
      </x:c>
      <x:c r="C4198" s="6" t="n">
        <x:v>0.1502</x:v>
      </x:c>
      <x:c r="D4198" s="6" t="n">
        <x:f>B4198</x:f>
        <x:v>0.2711</x:v>
      </x:c>
      <x:c r="E4198" s="1" t="n">
        <x:v>1.05</x:v>
      </x:c>
      <x:c r="F4198" s="1" t="str">
        <x:v>https://api.octopus.energy/v1/products/AGILE-24-10-01/electricity-tariffs/E-1R-AGILE-24-10-01-G/standard-unit-rates/</x:v>
      </x:c>
    </x:row>
    <x:row r="4199" ht="21" customHeight="1">
      <x:c r="A4199" s="24" t="n">
        <x:v>46235.979166666664</x:v>
      </x:c>
      <x:c r="B4199" s="6" t="n">
        <x:v>0.2728</x:v>
      </x:c>
      <x:c r="C4199" s="6" t="n">
        <x:v>0.151</x:v>
      </x:c>
      <x:c r="D4199" s="6" t="n">
        <x:f>B4199</x:f>
        <x:v>0.2728</x:v>
      </x:c>
      <x:c r="E4199" s="1" t="n">
        <x:v>1.05</x:v>
      </x:c>
      <x:c r="F4199" s="1" t="str">
        <x:v>https://api.octopus.energy/v1/products/AGILE-24-10-01/electricity-tariffs/E-1R-AGILE-24-10-01-G/standard-unit-rates/</x:v>
      </x:c>
    </x:row>
    <x:row r="4200" ht="21" customHeight="1">
      <x:c r="A4200" s="24" t="n">
        <x:v>46236</x:v>
      </x:c>
      <x:c r="B4200" s="6" t="n">
        <x:v>0.2585</x:v>
      </x:c>
      <x:c r="C4200" s="6" t="n">
        <x:v>0.1444</x:v>
      </x:c>
      <x:c r="D4200" s="6" t="n">
        <x:f>B4200</x:f>
        <x:v>0.2585</x:v>
      </x:c>
      <x:c r="E4200" s="1" t="n">
        <x:v>1.05</x:v>
      </x:c>
      <x:c r="F4200" s="1" t="str">
        <x:v>https://api.octopus.energy/v1/products/AGILE-24-10-01/electricity-tariffs/E-1R-AGILE-24-10-01-G/standard-unit-rates/</x:v>
      </x:c>
    </x:row>
    <x:row r="4201" ht="21" customHeight="1">
      <x:c r="A4201" s="24" t="n">
        <x:v>46236.020833333336</x:v>
      </x:c>
      <x:c r="B4201" s="6" t="n">
        <x:v>0.2606</x:v>
      </x:c>
      <x:c r="C4201" s="6" t="n">
        <x:v>0.1454</x:v>
      </x:c>
      <x:c r="D4201" s="6" t="n">
        <x:f>B4201</x:f>
        <x:v>0.2606</x:v>
      </x:c>
      <x:c r="E4201" s="1" t="n">
        <x:v>1.05</x:v>
      </x:c>
      <x:c r="F4201" s="1" t="str">
        <x:v>https://api.octopus.energy/v1/products/AGILE-24-10-01/electricity-tariffs/E-1R-AGILE-24-10-01-G/standard-unit-rates/</x:v>
      </x:c>
    </x:row>
    <x:row r="4202" ht="21" customHeight="1">
      <x:c r="A4202" s="24" t="n">
        <x:v>46236.041666666664</x:v>
      </x:c>
      <x:c r="B4202" s="6" t="n">
        <x:v>0.2438</x:v>
      </x:c>
      <x:c r="C4202" s="6" t="n">
        <x:v>0.1377</x:v>
      </x:c>
      <x:c r="D4202" s="6" t="n">
        <x:f>B4202</x:f>
        <x:v>0.2438</x:v>
      </x:c>
      <x:c r="E4202" s="1" t="n">
        <x:v>1.05</x:v>
      </x:c>
      <x:c r="F4202" s="1" t="str">
        <x:v>https://api.octopus.energy/v1/products/AGILE-24-10-01/electricity-tariffs/E-1R-AGILE-24-10-01-G/standard-unit-rates/</x:v>
      </x:c>
    </x:row>
    <x:row r="4203" ht="21" customHeight="1">
      <x:c r="A4203" s="24" t="n">
        <x:v>46236.0625</x:v>
      </x:c>
      <x:c r="B4203" s="6" t="n">
        <x:v>0.25579999999999997</x:v>
      </x:c>
      <x:c r="C4203" s="6" t="n">
        <x:v>0.1432</x:v>
      </x:c>
      <x:c r="D4203" s="6" t="n">
        <x:f>B4203</x:f>
        <x:v>0.25579999999999997</x:v>
      </x:c>
      <x:c r="E4203" s="1" t="n">
        <x:v>1.05</x:v>
      </x:c>
      <x:c r="F4203" s="1" t="str">
        <x:v>https://api.octopus.energy/v1/products/AGILE-24-10-01/electricity-tariffs/E-1R-AGILE-24-10-01-G/standard-unit-rates/</x:v>
      </x:c>
    </x:row>
    <x:row r="4204" ht="21" customHeight="1">
      <x:c r="A4204" s="24" t="n">
        <x:v>46236.083333333336</x:v>
      </x:c>
      <x:c r="B4204" s="6" t="n">
        <x:v>0.2502</x:v>
      </x:c>
      <x:c r="C4204" s="6" t="n">
        <x:v>0.1407</x:v>
      </x:c>
      <x:c r="D4204" s="6" t="n">
        <x:f>B4204</x:f>
        <x:v>0.2502</x:v>
      </x:c>
      <x:c r="E4204" s="1" t="n">
        <x:v>1.05</x:v>
      </x:c>
      <x:c r="F4204" s="1" t="str">
        <x:v>https://api.octopus.energy/v1/products/AGILE-24-10-01/electricity-tariffs/E-1R-AGILE-24-10-01-G/standard-unit-rates/</x:v>
      </x:c>
    </x:row>
    <x:row r="4205" ht="21" customHeight="1">
      <x:c r="A4205" s="24" t="n">
        <x:v>46236.104166666664</x:v>
      </x:c>
      <x:c r="B4205" s="6" t="n">
        <x:v>0.2375</x:v>
      </x:c>
      <x:c r="C4205" s="6" t="n">
        <x:v>0.1348</x:v>
      </x:c>
      <x:c r="D4205" s="6" t="n">
        <x:f>B4205</x:f>
        <x:v>0.2375</x:v>
      </x:c>
      <x:c r="E4205" s="1" t="n">
        <x:v>1.05</x:v>
      </x:c>
      <x:c r="F4205" s="1" t="str">
        <x:v>https://api.octopus.energy/v1/products/AGILE-24-10-01/electricity-tariffs/E-1R-AGILE-24-10-01-G/standard-unit-rates/</x:v>
      </x:c>
    </x:row>
    <x:row r="4206" ht="21" customHeight="1">
      <x:c r="A4206" s="24" t="n">
        <x:v>46236.125</x:v>
      </x:c>
      <x:c r="B4206" s="6" t="n">
        <x:v>0.2354</x:v>
      </x:c>
      <x:c r="C4206" s="6" t="n">
        <x:v>0.13390000000000002</x:v>
      </x:c>
      <x:c r="D4206" s="6" t="n">
        <x:f>B4206</x:f>
        <x:v>0.2354</x:v>
      </x:c>
      <x:c r="E4206" s="1" t="n">
        <x:v>1.05</x:v>
      </x:c>
      <x:c r="F4206" s="1" t="str">
        <x:v>https://api.octopus.energy/v1/products/AGILE-24-10-01/electricity-tariffs/E-1R-AGILE-24-10-01-G/standard-unit-rates/</x:v>
      </x:c>
    </x:row>
    <x:row r="4207" ht="21" customHeight="1">
      <x:c r="A4207" s="24" t="n">
        <x:v>46236.145833333336</x:v>
      </x:c>
      <x:c r="B4207" s="6" t="n">
        <x:v>0.2318</x:v>
      </x:c>
      <x:c r="C4207" s="6" t="n">
        <x:v>0.1322</x:v>
      </x:c>
      <x:c r="D4207" s="6" t="n">
        <x:f>B4207</x:f>
        <x:v>0.2318</x:v>
      </x:c>
      <x:c r="E4207" s="1" t="n">
        <x:v>1.05</x:v>
      </x:c>
      <x:c r="F4207" s="1" t="str">
        <x:v>https://api.octopus.energy/v1/products/AGILE-24-10-01/electricity-tariffs/E-1R-AGILE-24-10-01-G/standard-unit-rates/</x:v>
      </x:c>
    </x:row>
    <x:row r="4208" ht="21" customHeight="1">
      <x:c r="A4208" s="24" t="n">
        <x:v>46236.166666666664</x:v>
      </x:c>
      <x:c r="B4208" s="6" t="n">
        <x:v>0.2395</x:v>
      </x:c>
      <x:c r="C4208" s="6" t="n">
        <x:v>0.13570000000000002</x:v>
      </x:c>
      <x:c r="D4208" s="6" t="n">
        <x:f>B4208</x:f>
        <x:v>0.2395</x:v>
      </x:c>
      <x:c r="E4208" s="1" t="n">
        <x:v>1.05</x:v>
      </x:c>
      <x:c r="F4208" s="1" t="str">
        <x:v>https://api.octopus.energy/v1/products/AGILE-24-10-01/electricity-tariffs/E-1R-AGILE-24-10-01-G/standard-unit-rates/</x:v>
      </x:c>
    </x:row>
    <x:row r="4209" ht="21" customHeight="1">
      <x:c r="A4209" s="24" t="n">
        <x:v>46236.1875</x:v>
      </x:c>
      <x:c r="B4209" s="6" t="n">
        <x:v>0.23800000000000002</x:v>
      </x:c>
      <x:c r="C4209" s="6" t="n">
        <x:v>0.1351</x:v>
      </x:c>
      <x:c r="D4209" s="6" t="n">
        <x:f>B4209</x:f>
        <x:v>0.23800000000000002</x:v>
      </x:c>
      <x:c r="E4209" s="1" t="n">
        <x:v>1.05</x:v>
      </x:c>
      <x:c r="F4209" s="1" t="str">
        <x:v>https://api.octopus.energy/v1/products/AGILE-24-10-01/electricity-tariffs/E-1R-AGILE-24-10-01-G/standard-unit-rates/</x:v>
      </x:c>
    </x:row>
    <x:row r="4210" ht="21" customHeight="1">
      <x:c r="A4210" s="24" t="n">
        <x:v>46236.208333333336</x:v>
      </x:c>
      <x:c r="B4210" s="6" t="n">
        <x:v>0.2332</x:v>
      </x:c>
      <x:c r="C4210" s="6" t="n">
        <x:v>0.1329</x:v>
      </x:c>
      <x:c r="D4210" s="6" t="n">
        <x:f>B4210</x:f>
        <x:v>0.2332</x:v>
      </x:c>
      <x:c r="E4210" s="1" t="n">
        <x:v>1.05</x:v>
      </x:c>
      <x:c r="F4210" s="1" t="str">
        <x:v>https://api.octopus.energy/v1/products/AGILE-24-10-01/electricity-tariffs/E-1R-AGILE-24-10-01-G/standard-unit-rates/</x:v>
      </x:c>
    </x:row>
    <x:row r="4211" ht="21" customHeight="1">
      <x:c r="A4211" s="24" t="n">
        <x:v>46236.229166666664</x:v>
      </x:c>
      <x:c r="B4211" s="6" t="n">
        <x:v>0.2299</x:v>
      </x:c>
      <x:c r="C4211" s="6" t="n">
        <x:v>0.13140000000000002</x:v>
      </x:c>
      <x:c r="D4211" s="6" t="n">
        <x:f>B4211</x:f>
        <x:v>0.2299</x:v>
      </x:c>
      <x:c r="E4211" s="1" t="n">
        <x:v>1.05</x:v>
      </x:c>
      <x:c r="F4211" s="1" t="str">
        <x:v>https://api.octopus.energy/v1/products/AGILE-24-10-01/electricity-tariffs/E-1R-AGILE-24-10-01-G/standard-unit-rates/</x:v>
      </x:c>
    </x:row>
    <x:row r="4212" ht="21" customHeight="1">
      <x:c r="A4212" s="24" t="n">
        <x:v>46236.25</x:v>
      </x:c>
      <x:c r="B4212" s="6" t="n">
        <x:v>0.2228</x:v>
      </x:c>
      <x:c r="C4212" s="6" t="n">
        <x:v>0.1281</x:v>
      </x:c>
      <x:c r="D4212" s="6" t="n">
        <x:f>B4212</x:f>
        <x:v>0.2228</x:v>
      </x:c>
      <x:c r="E4212" s="1" t="n">
        <x:v>1.05</x:v>
      </x:c>
      <x:c r="F4212" s="1" t="str">
        <x:v>https://api.octopus.energy/v1/products/AGILE-24-10-01/electricity-tariffs/E-1R-AGILE-24-10-01-G/standard-unit-rates/</x:v>
      </x:c>
    </x:row>
    <x:row r="4213" ht="21" customHeight="1">
      <x:c r="A4213" s="24" t="n">
        <x:v>46236.270833333336</x:v>
      </x:c>
      <x:c r="B4213" s="6" t="n">
        <x:v>0.2278</x:v>
      </x:c>
      <x:c r="C4213" s="6" t="n">
        <x:v>0.1304</x:v>
      </x:c>
      <x:c r="D4213" s="6" t="n">
        <x:f>B4213</x:f>
        <x:v>0.2278</x:v>
      </x:c>
      <x:c r="E4213" s="1" t="n">
        <x:v>1.05</x:v>
      </x:c>
      <x:c r="F4213" s="1" t="str">
        <x:v>https://api.octopus.energy/v1/products/AGILE-24-10-01/electricity-tariffs/E-1R-AGILE-24-10-01-G/standard-unit-rates/</x:v>
      </x:c>
    </x:row>
    <x:row r="4214" ht="21" customHeight="1">
      <x:c r="A4214" s="24" t="n">
        <x:v>46236.291666666664</x:v>
      </x:c>
      <x:c r="B4214" s="6" t="n">
        <x:v>0.221</x:v>
      </x:c>
      <x:c r="C4214" s="6" t="n">
        <x:v>0.1273</x:v>
      </x:c>
      <x:c r="D4214" s="6" t="n">
        <x:f>B4214</x:f>
        <x:v>0.221</x:v>
      </x:c>
      <x:c r="E4214" s="1" t="n">
        <x:v>1.05</x:v>
      </x:c>
      <x:c r="F4214" s="1" t="str">
        <x:v>https://api.octopus.energy/v1/products/AGILE-24-10-01/electricity-tariffs/E-1R-AGILE-24-10-01-G/standard-unit-rates/</x:v>
      </x:c>
    </x:row>
    <x:row r="4215" ht="21" customHeight="1">
      <x:c r="A4215" s="24" t="n">
        <x:v>46236.3125</x:v>
      </x:c>
      <x:c r="B4215" s="6" t="n">
        <x:v>0.2291</x:v>
      </x:c>
      <x:c r="C4215" s="6" t="n">
        <x:v>0.131</x:v>
      </x:c>
      <x:c r="D4215" s="6" t="n">
        <x:f>B4215</x:f>
        <x:v>0.2291</x:v>
      </x:c>
      <x:c r="E4215" s="1" t="n">
        <x:v>1.05</x:v>
      </x:c>
      <x:c r="F4215" s="1" t="str">
        <x:v>https://api.octopus.energy/v1/products/AGILE-24-10-01/electricity-tariffs/E-1R-AGILE-24-10-01-G/standard-unit-rates/</x:v>
      </x:c>
    </x:row>
    <x:row r="4216" ht="21" customHeight="1">
      <x:c r="A4216" s="24" t="n">
        <x:v>46236.333333333336</x:v>
      </x:c>
      <x:c r="B4216" s="6" t="n">
        <x:v>0.2291</x:v>
      </x:c>
      <x:c r="C4216" s="6" t="n">
        <x:v>0.131</x:v>
      </x:c>
      <x:c r="D4216" s="6" t="n">
        <x:f>B4216</x:f>
        <x:v>0.2291</x:v>
      </x:c>
      <x:c r="E4216" s="1" t="n">
        <x:v>1.05</x:v>
      </x:c>
      <x:c r="F4216" s="1" t="str">
        <x:v>https://api.octopus.energy/v1/products/AGILE-24-10-01/electricity-tariffs/E-1R-AGILE-24-10-01-G/standard-unit-rates/</x:v>
      </x:c>
    </x:row>
    <x:row r="4217" ht="21" customHeight="1">
      <x:c r="A4217" s="24" t="n">
        <x:v>46236.354166666664</x:v>
      </x:c>
      <x:c r="B4217" s="6" t="n">
        <x:v>0.2438</x:v>
      </x:c>
      <x:c r="C4217" s="6" t="n">
        <x:v>0.1377</x:v>
      </x:c>
      <x:c r="D4217" s="6" t="n">
        <x:f>B4217</x:f>
        <x:v>0.2438</x:v>
      </x:c>
      <x:c r="E4217" s="1" t="n">
        <x:v>1.05</x:v>
      </x:c>
      <x:c r="F4217" s="1" t="str">
        <x:v>https://api.octopus.energy/v1/products/AGILE-24-10-01/electricity-tariffs/E-1R-AGILE-24-10-01-G/standard-unit-rates/</x:v>
      </x:c>
    </x:row>
    <x:row r="4218" ht="21" customHeight="1">
      <x:c r="A4218" s="24" t="n">
        <x:v>46236.375</x:v>
      </x:c>
      <x:c r="B4218" s="6" t="n">
        <x:v>0.228</x:v>
      </x:c>
      <x:c r="C4218" s="6" t="n">
        <x:v>0.1305</x:v>
      </x:c>
      <x:c r="D4218" s="6" t="n">
        <x:f>B4218</x:f>
        <x:v>0.228</x:v>
      </x:c>
      <x:c r="E4218" s="1" t="n">
        <x:v>1.05</x:v>
      </x:c>
      <x:c r="F4218" s="1" t="str">
        <x:v>https://api.octopus.energy/v1/products/AGILE-24-10-01/electricity-tariffs/E-1R-AGILE-24-10-01-G/standard-unit-rates/</x:v>
      </x:c>
    </x:row>
    <x:row r="4219" ht="21" customHeight="1">
      <x:c r="A4219" s="24" t="n">
        <x:v>46236.395833333336</x:v>
      </x:c>
      <x:c r="B4219" s="6" t="n">
        <x:v>0.2227</x:v>
      </x:c>
      <x:c r="C4219" s="6" t="n">
        <x:v>0.1281</x:v>
      </x:c>
      <x:c r="D4219" s="6" t="n">
        <x:f>B4219</x:f>
        <x:v>0.2227</x:v>
      </x:c>
      <x:c r="E4219" s="1" t="n">
        <x:v>1.05</x:v>
      </x:c>
      <x:c r="F4219" s="1" t="str">
        <x:v>https://api.octopus.energy/v1/products/AGILE-24-10-01/electricity-tariffs/E-1R-AGILE-24-10-01-G/standard-unit-rates/</x:v>
      </x:c>
    </x:row>
    <x:row r="4220" ht="21" customHeight="1">
      <x:c r="A4220" s="24" t="n">
        <x:v>46236.416666666664</x:v>
      </x:c>
      <x:c r="B4220" s="6" t="n">
        <x:v>0.2186</x:v>
      </x:c>
      <x:c r="C4220" s="6" t="n">
        <x:v>0.12619999999999998</x:v>
      </x:c>
      <x:c r="D4220" s="6" t="n">
        <x:f>B4220</x:f>
        <x:v>0.2186</x:v>
      </x:c>
      <x:c r="E4220" s="1" t="n">
        <x:v>1.05</x:v>
      </x:c>
      <x:c r="F4220" s="1" t="str">
        <x:v>https://api.octopus.energy/v1/products/AGILE-24-10-01/electricity-tariffs/E-1R-AGILE-24-10-01-G/standard-unit-rates/</x:v>
      </x:c>
    </x:row>
    <x:row r="4221" ht="21" customHeight="1">
      <x:c r="A4221" s="24" t="n">
        <x:v>46236.4375</x:v>
      </x:c>
      <x:c r="B4221" s="6" t="n">
        <x:v>0.214</x:v>
      </x:c>
      <x:c r="C4221" s="6" t="n">
        <x:v>0.1241</x:v>
      </x:c>
      <x:c r="D4221" s="6" t="n">
        <x:f>B4221</x:f>
        <x:v>0.214</x:v>
      </x:c>
      <x:c r="E4221" s="1" t="n">
        <x:v>1.05</x:v>
      </x:c>
      <x:c r="F4221" s="1" t="str">
        <x:v>https://api.octopus.energy/v1/products/AGILE-24-10-01/electricity-tariffs/E-1R-AGILE-24-10-01-G/standard-unit-rates/</x:v>
      </x:c>
    </x:row>
    <x:row r="4222" ht="21" customHeight="1">
      <x:c r="A4222" s="24" t="n">
        <x:v>46236.458333333336</x:v>
      </x:c>
      <x:c r="B4222" s="6" t="n">
        <x:v>0.20809999999999998</x:v>
      </x:c>
      <x:c r="C4222" s="6" t="n">
        <x:v>0.12140000000000001</x:v>
      </x:c>
      <x:c r="D4222" s="6" t="n">
        <x:f>B4222</x:f>
        <x:v>0.20809999999999998</x:v>
      </x:c>
      <x:c r="E4222" s="1" t="n">
        <x:v>1.05</x:v>
      </x:c>
      <x:c r="F4222" s="1" t="str">
        <x:v>https://api.octopus.energy/v1/products/AGILE-24-10-01/electricity-tariffs/E-1R-AGILE-24-10-01-G/standard-unit-rates/</x:v>
      </x:c>
    </x:row>
    <x:row r="4223" ht="21" customHeight="1">
      <x:c r="A4223" s="24" t="n">
        <x:v>46236.479166666664</x:v>
      </x:c>
      <x:c r="B4223" s="6" t="n">
        <x:v>0.20809999999999998</x:v>
      </x:c>
      <x:c r="C4223" s="6" t="n">
        <x:v>0.12140000000000001</x:v>
      </x:c>
      <x:c r="D4223" s="6" t="n">
        <x:f>B4223</x:f>
        <x:v>0.20809999999999998</x:v>
      </x:c>
      <x:c r="E4223" s="1" t="n">
        <x:v>1.05</x:v>
      </x:c>
      <x:c r="F4223" s="1" t="str">
        <x:v>https://api.octopus.energy/v1/products/AGILE-24-10-01/electricity-tariffs/E-1R-AGILE-24-10-01-G/standard-unit-rates/</x:v>
      </x:c>
    </x:row>
    <x:row r="4224" ht="21" customHeight="1">
      <x:c r="A4224" s="24" t="n">
        <x:v>46236.5</x:v>
      </x:c>
      <x:c r="B4224" s="6" t="n">
        <x:v>0.20809999999999998</x:v>
      </x:c>
      <x:c r="C4224" s="6" t="n">
        <x:v>0.12140000000000001</x:v>
      </x:c>
      <x:c r="D4224" s="6" t="n">
        <x:f>B4224</x:f>
        <x:v>0.20809999999999998</x:v>
      </x:c>
      <x:c r="E4224" s="1" t="n">
        <x:v>1.05</x:v>
      </x:c>
      <x:c r="F4224" s="1" t="str">
        <x:v>https://api.octopus.energy/v1/products/AGILE-24-10-01/electricity-tariffs/E-1R-AGILE-24-10-01-G/standard-unit-rates/</x:v>
      </x:c>
    </x:row>
    <x:row r="4225" ht="21" customHeight="1">
      <x:c r="A4225" s="24" t="n">
        <x:v>46236.520833333336</x:v>
      </x:c>
      <x:c r="B4225" s="6" t="n">
        <x:v>0.20809999999999998</x:v>
      </x:c>
      <x:c r="C4225" s="6" t="n">
        <x:v>0.12140000000000001</x:v>
      </x:c>
      <x:c r="D4225" s="6" t="n">
        <x:f>B4225</x:f>
        <x:v>0.20809999999999998</x:v>
      </x:c>
      <x:c r="E4225" s="1" t="n">
        <x:v>1.05</x:v>
      </x:c>
      <x:c r="F4225" s="1" t="str">
        <x:v>https://api.octopus.energy/v1/products/AGILE-24-10-01/electricity-tariffs/E-1R-AGILE-24-10-01-G/standard-unit-rates/</x:v>
      </x:c>
    </x:row>
    <x:row r="4226" ht="21" customHeight="1">
      <x:c r="A4226" s="24" t="n">
        <x:v>46236.541666666664</x:v>
      </x:c>
      <x:c r="B4226" s="6" t="n">
        <x:v>0.2095</x:v>
      </x:c>
      <x:c r="C4226" s="6" t="n">
        <x:v>0.12210000000000001</x:v>
      </x:c>
      <x:c r="D4226" s="6" t="n">
        <x:f>B4226</x:f>
        <x:v>0.2095</x:v>
      </x:c>
      <x:c r="E4226" s="1" t="n">
        <x:v>1.05</x:v>
      </x:c>
      <x:c r="F4226" s="1" t="str">
        <x:v>https://api.octopus.energy/v1/products/AGILE-24-10-01/electricity-tariffs/E-1R-AGILE-24-10-01-G/standard-unit-rates/</x:v>
      </x:c>
    </x:row>
    <x:row r="4227" ht="21" customHeight="1">
      <x:c r="A4227" s="24" t="n">
        <x:v>46236.5625</x:v>
      </x:c>
      <x:c r="B4227" s="6" t="n">
        <x:v>0.2018</x:v>
      </x:c>
      <x:c r="C4227" s="6" t="n">
        <x:v>0.1185</x:v>
      </x:c>
      <x:c r="D4227" s="6" t="n">
        <x:f>B4227</x:f>
        <x:v>0.2018</x:v>
      </x:c>
      <x:c r="E4227" s="1" t="n">
        <x:v>1.05</x:v>
      </x:c>
      <x:c r="F4227" s="1" t="str">
        <x:v>https://api.octopus.energy/v1/products/AGILE-24-10-01/electricity-tariffs/E-1R-AGILE-24-10-01-G/standard-unit-rates/</x:v>
      </x:c>
    </x:row>
    <x:row r="4228" ht="21" customHeight="1">
      <x:c r="A4228" s="24" t="n">
        <x:v>46236.583333333336</x:v>
      </x:c>
      <x:c r="B4228" s="6" t="n">
        <x:v>0.2018</x:v>
      </x:c>
      <x:c r="C4228" s="6" t="n">
        <x:v>0.1185</x:v>
      </x:c>
      <x:c r="D4228" s="6" t="n">
        <x:f>B4228</x:f>
        <x:v>0.2018</x:v>
      </x:c>
      <x:c r="E4228" s="1" t="n">
        <x:v>1.05</x:v>
      </x:c>
      <x:c r="F4228" s="1" t="str">
        <x:v>https://api.octopus.energy/v1/products/AGILE-24-10-01/electricity-tariffs/E-1R-AGILE-24-10-01-G/standard-unit-rates/</x:v>
      </x:c>
    </x:row>
    <x:row r="4229" ht="21" customHeight="1">
      <x:c r="A4229" s="24" t="n">
        <x:v>46236.604166666664</x:v>
      </x:c>
      <x:c r="B4229" s="6" t="n">
        <x:v>0.2018</x:v>
      </x:c>
      <x:c r="C4229" s="6" t="n">
        <x:v>0.1185</x:v>
      </x:c>
      <x:c r="D4229" s="6" t="n">
        <x:f>B4229</x:f>
        <x:v>0.2018</x:v>
      </x:c>
      <x:c r="E4229" s="1" t="n">
        <x:v>1.05</x:v>
      </x:c>
      <x:c r="F4229" s="1" t="str">
        <x:v>https://api.octopus.energy/v1/products/AGILE-24-10-01/electricity-tariffs/E-1R-AGILE-24-10-01-G/standard-unit-rates/</x:v>
      </x:c>
    </x:row>
    <x:row r="4230" ht="21" customHeight="1">
      <x:c r="A4230" s="24" t="n">
        <x:v>46236.625</x:v>
      </x:c>
      <x:c r="B4230" s="6" t="n">
        <x:v>0.215</x:v>
      </x:c>
      <x:c r="C4230" s="6" t="n">
        <x:v>0.1246</x:v>
      </x:c>
      <x:c r="D4230" s="6" t="n">
        <x:f>B4230</x:f>
        <x:v>0.215</x:v>
      </x:c>
      <x:c r="E4230" s="1" t="n">
        <x:v>1.05</x:v>
      </x:c>
      <x:c r="F4230" s="1" t="str">
        <x:v>https://api.octopus.energy/v1/products/AGILE-24-10-01/electricity-tariffs/E-1R-AGILE-24-10-01-G/standard-unit-rates/</x:v>
      </x:c>
    </x:row>
    <x:row r="4231" ht="21" customHeight="1">
      <x:c r="A4231" s="24" t="n">
        <x:v>46236.645833333336</x:v>
      </x:c>
      <x:c r="B4231" s="6" t="n">
        <x:v>0.22399999999999998</x:v>
      </x:c>
      <x:c r="C4231" s="6" t="n">
        <x:v>0.12869999999999998</x:v>
      </x:c>
      <x:c r="D4231" s="6" t="n">
        <x:f>B4231</x:f>
        <x:v>0.22399999999999998</x:v>
      </x:c>
      <x:c r="E4231" s="1" t="n">
        <x:v>1.05</x:v>
      </x:c>
      <x:c r="F4231" s="1" t="str">
        <x:v>https://api.octopus.energy/v1/products/AGILE-24-10-01/electricity-tariffs/E-1R-AGILE-24-10-01-G/standard-unit-rates/</x:v>
      </x:c>
    </x:row>
    <x:row r="4232" ht="21" customHeight="1">
      <x:c r="A4232" s="24" t="n">
        <x:v>46236.666666666664</x:v>
      </x:c>
      <x:c r="B4232" s="6" t="n">
        <x:v>0.3593</x:v>
      </x:c>
      <x:c r="C4232" s="6" t="n">
        <x:v>0.1946</x:v>
      </x:c>
      <x:c r="D4232" s="6" t="n">
        <x:f>B4232</x:f>
        <x:v>0.3593</x:v>
      </x:c>
      <x:c r="E4232" s="1" t="n">
        <x:v>1.05</x:v>
      </x:c>
      <x:c r="F4232" s="1" t="str">
        <x:v>https://api.octopus.energy/v1/products/AGILE-24-10-01/electricity-tariffs/E-1R-AGILE-24-10-01-G/standard-unit-rates/</x:v>
      </x:c>
    </x:row>
    <x:row r="4233" ht="21" customHeight="1">
      <x:c r="A4233" s="24" t="n">
        <x:v>46236.6875</x:v>
      </x:c>
      <x:c r="B4233" s="6" t="n">
        <x:v>0.3468</x:v>
      </x:c>
      <x:c r="C4233" s="6" t="n">
        <x:v>0.1888</x:v>
      </x:c>
      <x:c r="D4233" s="6" t="n">
        <x:f>B4233</x:f>
        <x:v>0.3468</x:v>
      </x:c>
      <x:c r="E4233" s="1" t="n">
        <x:v>1.05</x:v>
      </x:c>
      <x:c r="F4233" s="1" t="str">
        <x:v>https://api.octopus.energy/v1/products/AGILE-24-10-01/electricity-tariffs/E-1R-AGILE-24-10-01-G/standard-unit-rates/</x:v>
      </x:c>
    </x:row>
    <x:row r="4234" ht="21" customHeight="1">
      <x:c r="A4234" s="24" t="n">
        <x:v>46236.708333333336</x:v>
      </x:c>
      <x:c r="B4234" s="6" t="n">
        <x:v>0.3722</x:v>
      </x:c>
      <x:c r="C4234" s="6" t="n">
        <x:v>0.2005</x:v>
      </x:c>
      <x:c r="D4234" s="6" t="n">
        <x:f>B4234</x:f>
        <x:v>0.3722</x:v>
      </x:c>
      <x:c r="E4234" s="1" t="n">
        <x:v>1.05</x:v>
      </x:c>
      <x:c r="F4234" s="1" t="str">
        <x:v>https://api.octopus.energy/v1/products/AGILE-24-10-01/electricity-tariffs/E-1R-AGILE-24-10-01-G/standard-unit-rates/</x:v>
      </x:c>
    </x:row>
    <x:row r="4235" ht="21" customHeight="1">
      <x:c r="A4235" s="24" t="n">
        <x:v>46236.729166666664</x:v>
      </x:c>
      <x:c r="B4235" s="6" t="n">
        <x:v>0.3638</x:v>
      </x:c>
      <x:c r="C4235" s="6" t="n">
        <x:v>0.1966</x:v>
      </x:c>
      <x:c r="D4235" s="6" t="n">
        <x:f>B4235</x:f>
        <x:v>0.3638</x:v>
      </x:c>
      <x:c r="E4235" s="1" t="n">
        <x:v>1.05</x:v>
      </x:c>
      <x:c r="F4235" s="1" t="str">
        <x:v>https://api.octopus.energy/v1/products/AGILE-24-10-01/electricity-tariffs/E-1R-AGILE-24-10-01-G/standard-unit-rates/</x:v>
      </x:c>
    </x:row>
    <x:row r="4236" ht="21" customHeight="1">
      <x:c r="A4236" s="24" t="n">
        <x:v>46236.75</x:v>
      </x:c>
      <x:c r="B4236" s="6" t="n">
        <x:v>0.4022</x:v>
      </x:c>
      <x:c r="C4236" s="6" t="n">
        <x:v>0.21420000000000003</x:v>
      </x:c>
      <x:c r="D4236" s="6" t="n">
        <x:f>B4236</x:f>
        <x:v>0.4022</x:v>
      </x:c>
      <x:c r="E4236" s="1" t="n">
        <x:v>1.05</x:v>
      </x:c>
      <x:c r="F4236" s="1" t="str">
        <x:v>https://api.octopus.energy/v1/products/AGILE-24-10-01/electricity-tariffs/E-1R-AGILE-24-10-01-G/standard-unit-rates/</x:v>
      </x:c>
    </x:row>
    <x:row r="4237" ht="21" customHeight="1">
      <x:c r="A4237" s="24" t="n">
        <x:v>46236.770833333336</x:v>
      </x:c>
      <x:c r="B4237" s="6" t="n">
        <x:v>0.4064</x:v>
      </x:c>
      <x:c r="C4237" s="6" t="n">
        <x:v>0.2161</x:v>
      </x:c>
      <x:c r="D4237" s="6" t="n">
        <x:f>B4237</x:f>
        <x:v>0.4064</x:v>
      </x:c>
      <x:c r="E4237" s="1" t="n">
        <x:v>1.05</x:v>
      </x:c>
      <x:c r="F4237" s="1" t="str">
        <x:v>https://api.octopus.energy/v1/products/AGILE-24-10-01/electricity-tariffs/E-1R-AGILE-24-10-01-G/standard-unit-rates/</x:v>
      </x:c>
    </x:row>
    <x:row r="4238" ht="21" customHeight="1">
      <x:c r="A4238" s="24" t="n">
        <x:v>46236.791666666664</x:v>
      </x:c>
      <x:c r="B4238" s="6" t="n">
        <x:v>0.29719999999999996</x:v>
      </x:c>
      <x:c r="C4238" s="6" t="n">
        <x:v>0.16210000000000002</x:v>
      </x:c>
      <x:c r="D4238" s="6" t="n">
        <x:f>B4238</x:f>
        <x:v>0.29719999999999996</x:v>
      </x:c>
      <x:c r="E4238" s="1" t="n">
        <x:v>1.05</x:v>
      </x:c>
      <x:c r="F4238" s="1" t="str">
        <x:v>https://api.octopus.energy/v1/products/AGILE-24-10-01/electricity-tariffs/E-1R-AGILE-24-10-01-G/standard-unit-rates/</x:v>
      </x:c>
    </x:row>
    <x:row r="4239" ht="21" customHeight="1">
      <x:c r="A4239" s="24" t="n">
        <x:v>46236.8125</x:v>
      </x:c>
      <x:c r="B4239" s="6" t="n">
        <x:v>0.2843</x:v>
      </x:c>
      <x:c r="C4239" s="6" t="n">
        <x:v>0.1562</x:v>
      </x:c>
      <x:c r="D4239" s="6" t="n">
        <x:f>B4239</x:f>
        <x:v>0.2843</x:v>
      </x:c>
      <x:c r="E4239" s="1" t="n">
        <x:v>1.05</x:v>
      </x:c>
      <x:c r="F4239" s="1" t="str">
        <x:v>https://api.octopus.energy/v1/products/AGILE-24-10-01/electricity-tariffs/E-1R-AGILE-24-10-01-G/standard-unit-rates/</x:v>
      </x:c>
    </x:row>
    <x:row r="4240" ht="21" customHeight="1">
      <x:c r="A4240" s="24" t="n">
        <x:v>46236.833333333336</x:v>
      </x:c>
      <x:c r="B4240" s="6" t="n">
        <x:v>0.2852</x:v>
      </x:c>
      <x:c r="C4240" s="6" t="n">
        <x:v>0.1566</x:v>
      </x:c>
      <x:c r="D4240" s="6" t="n">
        <x:f>B4240</x:f>
        <x:v>0.2852</x:v>
      </x:c>
      <x:c r="E4240" s="1" t="n">
        <x:v>1.05</x:v>
      </x:c>
      <x:c r="F4240" s="1" t="str">
        <x:v>https://api.octopus.energy/v1/products/AGILE-24-10-01/electricity-tariffs/E-1R-AGILE-24-10-01-G/standard-unit-rates/</x:v>
      </x:c>
    </x:row>
    <x:row r="4241" ht="21" customHeight="1">
      <x:c r="A4241" s="24" t="n">
        <x:v>46236.854166666664</x:v>
      </x:c>
      <x:c r="B4241" s="6" t="n">
        <x:v>0.2846</x:v>
      </x:c>
      <x:c r="C4241" s="6" t="n">
        <x:v>0.1564</x:v>
      </x:c>
      <x:c r="D4241" s="6" t="n">
        <x:f>B4241</x:f>
        <x:v>0.2846</x:v>
      </x:c>
      <x:c r="E4241" s="1" t="n">
        <x:v>1.05</x:v>
      </x:c>
      <x:c r="F4241" s="1" t="str">
        <x:v>https://api.octopus.energy/v1/products/AGILE-24-10-01/electricity-tariffs/E-1R-AGILE-24-10-01-G/standard-unit-rates/</x:v>
      </x:c>
    </x:row>
    <x:row r="4242" ht="21" customHeight="1">
      <x:c r="A4242" s="24" t="n">
        <x:v>46236.875</x:v>
      </x:c>
      <x:c r="B4242" s="6" t="n">
        <x:v>0.2763</x:v>
      </x:c>
      <x:c r="C4242" s="6" t="n">
        <x:v>0.15259999999999999</x:v>
      </x:c>
      <x:c r="D4242" s="6" t="n">
        <x:f>B4242</x:f>
        <x:v>0.2763</x:v>
      </x:c>
      <x:c r="E4242" s="1" t="n">
        <x:v>1.05</x:v>
      </x:c>
      <x:c r="F4242" s="1" t="str">
        <x:v>https://api.octopus.energy/v1/products/AGILE-24-10-01/electricity-tariffs/E-1R-AGILE-24-10-01-G/standard-unit-rates/</x:v>
      </x:c>
    </x:row>
    <x:row r="4243" ht="21" customHeight="1">
      <x:c r="A4243" s="24" t="n">
        <x:v>46236.895833333336</x:v>
      </x:c>
      <x:c r="B4243" s="6" t="n">
        <x:v>0.2662</x:v>
      </x:c>
      <x:c r="C4243" s="6" t="n">
        <x:v>0.14800000000000002</x:v>
      </x:c>
      <x:c r="D4243" s="6" t="n">
        <x:f>B4243</x:f>
        <x:v>0.2662</x:v>
      </x:c>
      <x:c r="E4243" s="1" t="n">
        <x:v>1.05</x:v>
      </x:c>
      <x:c r="F4243" s="1" t="str">
        <x:v>https://api.octopus.energy/v1/products/AGILE-24-10-01/electricity-tariffs/E-1R-AGILE-24-10-01-G/standard-unit-rates/</x:v>
      </x:c>
    </x:row>
    <x:row r="4244" ht="21" customHeight="1">
      <x:c r="A4244" s="24" t="n">
        <x:v>46236.916666666664</x:v>
      </x:c>
      <x:c r="B4244" s="6" t="n">
        <x:v>0.2501</x:v>
      </x:c>
      <x:c r="C4244" s="6" t="n">
        <x:v>0.1406</x:v>
      </x:c>
      <x:c r="D4244" s="6" t="n">
        <x:f>B4244</x:f>
        <x:v>0.2501</x:v>
      </x:c>
      <x:c r="E4244" s="1" t="n">
        <x:v>1.05</x:v>
      </x:c>
      <x:c r="F4244" s="1" t="str">
        <x:v>https://api.octopus.energy/v1/products/AGILE-24-10-01/electricity-tariffs/E-1R-AGILE-24-10-01-G/standard-unit-rates/</x:v>
      </x:c>
    </x:row>
    <x:row r="4245" ht="21" customHeight="1">
      <x:c r="A4245" s="24" t="n">
        <x:v>46236.9375</x:v>
      </x:c>
      <x:c r="B4245" s="6" t="n">
        <x:v>0.21420000000000003</x:v>
      </x:c>
      <x:c r="C4245" s="6" t="n">
        <x:v>0.1242</x:v>
      </x:c>
      <x:c r="D4245" s="6" t="n">
        <x:f>B4245</x:f>
        <x:v>0.21420000000000003</x:v>
      </x:c>
      <x:c r="E4245" s="1" t="n">
        <x:v>1.05</x:v>
      </x:c>
      <x:c r="F4245" s="1" t="str">
        <x:v>https://api.octopus.energy/v1/products/AGILE-24-10-01/electricity-tariffs/E-1R-AGILE-24-10-01-G/standard-unit-rates/</x:v>
      </x:c>
    </x:row>
    <x:row r="4246" ht="21" customHeight="1">
      <x:c r="A4246" s="24" t="n">
        <x:v>46237</x:v>
      </x:c>
      <x:c r="B4246" s="6" t="n">
        <x:v>0.21109999999999998</x:v>
      </x:c>
      <x:c r="C4246" s="6" t="n">
        <x:v>0.12279999999999999</x:v>
      </x:c>
      <x:c r="D4246" s="6" t="n">
        <x:f>B4246</x:f>
        <x:v>0.21109999999999998</x:v>
      </x:c>
      <x:c r="E4246" s="1" t="n">
        <x:v>1.05</x:v>
      </x:c>
      <x:c r="F4246" s="1" t="str">
        <x:v>https://api.octopus.energy/v1/products/AGILE-24-10-01/electricity-tariffs/E-1R-AGILE-24-10-01-G/standard-unit-rates/</x:v>
      </x:c>
    </x:row>
    <x:row r="4247" ht="21" customHeight="1">
      <x:c r="A4247" s="24" t="n">
        <x:v>46236.979166666664</x:v>
      </x:c>
      <x:c r="B4247" s="6" t="n">
        <x:v>0.1909</x:v>
      </x:c>
      <x:c r="C4247" s="6" t="n">
        <x:v>0.11349999999999999</x:v>
      </x:c>
      <x:c r="D4247" s="6" t="n">
        <x:f>B4247</x:f>
        <x:v>0.1909</x:v>
      </x:c>
      <x:c r="E4247" s="1" t="n">
        <x:v>1.05</x:v>
      </x:c>
      <x:c r="F4247" s="1" t="str">
        <x:v>https://api.octopus.energy/v1/products/AGILE-24-10-01/electricity-tariffs/E-1R-AGILE-24-10-01-G/standard-unit-rates/</x:v>
      </x:c>
    </x:row>
    <x:row r="4248" ht="21" customHeight="1">
      <x:c r="A4248" s="24" t="n">
        <x:v>46237</x:v>
      </x:c>
      <x:c r="B4248" s="6" t="n">
        <x:v>0.2138</x:v>
      </x:c>
      <x:c r="C4248" s="6" t="n">
        <x:v>0.124</x:v>
      </x:c>
      <x:c r="D4248" s="6" t="n">
        <x:f>B4248</x:f>
        <x:v>0.2138</x:v>
      </x:c>
      <x:c r="E4248" s="1" t="n">
        <x:v>1.05</x:v>
      </x:c>
      <x:c r="F4248" s="1" t="str">
        <x:v>https://api.octopus.energy/v1/products/AGILE-24-10-01/electricity-tariffs/E-1R-AGILE-24-10-01-G/standard-unit-rates/</x:v>
      </x:c>
    </x:row>
    <x:row r="4249" ht="21" customHeight="1">
      <x:c r="A4249" s="24" t="n">
        <x:v>46237.020833333336</x:v>
      </x:c>
      <x:c r="B4249" s="6" t="n">
        <x:v>0.2102</x:v>
      </x:c>
      <x:c r="C4249" s="6" t="n">
        <x:v>0.12240000000000001</x:v>
      </x:c>
      <x:c r="D4249" s="6" t="n">
        <x:f>B4249</x:f>
        <x:v>0.2102</x:v>
      </x:c>
      <x:c r="E4249" s="1" t="n">
        <x:v>1.05</x:v>
      </x:c>
      <x:c r="F4249" s="1" t="str">
        <x:v>https://api.octopus.energy/v1/products/AGILE-24-10-01/electricity-tariffs/E-1R-AGILE-24-10-01-G/standard-unit-rates/</x:v>
      </x:c>
    </x:row>
    <x:row r="4250" ht="21" customHeight="1">
      <x:c r="A4250" s="24" t="n">
        <x:v>46237.041666666664</x:v>
      </x:c>
      <x:c r="B4250" s="6" t="n">
        <x:v>0.19760000000000003</x:v>
      </x:c>
      <x:c r="C4250" s="6" t="n">
        <x:v>0.1166</x:v>
      </x:c>
      <x:c r="D4250" s="6" t="n">
        <x:f>B4250</x:f>
        <x:v>0.19760000000000003</x:v>
      </x:c>
      <x:c r="E4250" s="1" t="n">
        <x:v>1.05</x:v>
      </x:c>
      <x:c r="F4250" s="1" t="str">
        <x:v>https://api.octopus.energy/v1/products/AGILE-24-10-01/electricity-tariffs/E-1R-AGILE-24-10-01-G/standard-unit-rates/</x:v>
      </x:c>
    </x:row>
    <x:row r="4251" ht="21" customHeight="1">
      <x:c r="A4251" s="24" t="n">
        <x:v>46237.0625</x:v>
      </x:c>
      <x:c r="B4251" s="6" t="n">
        <x:v>0.2046</x:v>
      </x:c>
      <x:c r="C4251" s="6" t="n">
        <x:v>0.1198</x:v>
      </x:c>
      <x:c r="D4251" s="6" t="n">
        <x:f>B4251</x:f>
        <x:v>0.2046</x:v>
      </x:c>
      <x:c r="E4251" s="1" t="n">
        <x:v>1.05</x:v>
      </x:c>
      <x:c r="F4251" s="1" t="str">
        <x:v>https://api.octopus.energy/v1/products/AGILE-24-10-01/electricity-tariffs/E-1R-AGILE-24-10-01-G/standard-unit-rates/</x:v>
      </x:c>
    </x:row>
    <x:row r="4252" ht="21" customHeight="1">
      <x:c r="A4252" s="24" t="n">
        <x:v>46237.083333333336</x:v>
      </x:c>
      <x:c r="B4252" s="6" t="n">
        <x:v>0.213</x:v>
      </x:c>
      <x:c r="C4252" s="6" t="n">
        <x:v>0.12359999999999999</x:v>
      </x:c>
      <x:c r="D4252" s="6" t="n">
        <x:f>B4252</x:f>
        <x:v>0.213</x:v>
      </x:c>
      <x:c r="E4252" s="1" t="n">
        <x:v>1.05</x:v>
      </x:c>
      <x:c r="F4252" s="1" t="str">
        <x:v>https://api.octopus.energy/v1/products/AGILE-24-10-01/electricity-tariffs/E-1R-AGILE-24-10-01-G/standard-unit-rates/</x:v>
      </x:c>
    </x:row>
    <x:row r="4253" ht="21" customHeight="1">
      <x:c r="A4253" s="24" t="n">
        <x:v>46237.104166666664</x:v>
      </x:c>
      <x:c r="B4253" s="6" t="n">
        <x:v>0.2102</x:v>
      </x:c>
      <x:c r="C4253" s="6" t="n">
        <x:v>0.12240000000000001</x:v>
      </x:c>
      <x:c r="D4253" s="6" t="n">
        <x:f>B4253</x:f>
        <x:v>0.2102</x:v>
      </x:c>
      <x:c r="E4253" s="1" t="n">
        <x:v>1.05</x:v>
      </x:c>
      <x:c r="F4253" s="1" t="str">
        <x:v>https://api.octopus.energy/v1/products/AGILE-24-10-01/electricity-tariffs/E-1R-AGILE-24-10-01-G/standard-unit-rates/</x:v>
      </x:c>
    </x:row>
    <x:row r="4254" ht="21" customHeight="1">
      <x:c r="A4254" s="24" t="n">
        <x:v>46237.125</x:v>
      </x:c>
      <x:c r="B4254" s="6" t="n">
        <x:v>0.21559999999999999</x:v>
      </x:c>
      <x:c r="C4254" s="6" t="n">
        <x:v>0.12480000000000001</x:v>
      </x:c>
      <x:c r="D4254" s="6" t="n">
        <x:f>B4254</x:f>
        <x:v>0.21559999999999999</x:v>
      </x:c>
      <x:c r="E4254" s="1" t="n">
        <x:v>1.05</x:v>
      </x:c>
      <x:c r="F4254" s="1" t="str">
        <x:v>https://api.octopus.energy/v1/products/AGILE-24-10-01/electricity-tariffs/E-1R-AGILE-24-10-01-G/standard-unit-rates/</x:v>
      </x:c>
    </x:row>
    <x:row r="4255" ht="21" customHeight="1">
      <x:c r="A4255" s="24" t="n">
        <x:v>46237.145833333336</x:v>
      </x:c>
      <x:c r="B4255" s="6" t="n">
        <x:v>0.2155</x:v>
      </x:c>
      <x:c r="C4255" s="6" t="n">
        <x:v>0.12480000000000001</x:v>
      </x:c>
      <x:c r="D4255" s="6" t="n">
        <x:f>B4255</x:f>
        <x:v>0.2155</x:v>
      </x:c>
      <x:c r="E4255" s="1" t="n">
        <x:v>1.05</x:v>
      </x:c>
      <x:c r="F4255" s="1" t="str">
        <x:v>https://api.octopus.energy/v1/products/AGILE-24-10-01/electricity-tariffs/E-1R-AGILE-24-10-01-G/standard-unit-rates/</x:v>
      </x:c>
    </x:row>
    <x:row r="4256" ht="21" customHeight="1">
      <x:c r="A4256" s="24" t="n">
        <x:v>46237.166666666664</x:v>
      </x:c>
      <x:c r="B4256" s="6" t="n">
        <x:v>0.2339</x:v>
      </x:c>
      <x:c r="C4256" s="6" t="n">
        <x:v>0.1332</x:v>
      </x:c>
      <x:c r="D4256" s="6" t="n">
        <x:f>B4256</x:f>
        <x:v>0.2339</x:v>
      </x:c>
      <x:c r="E4256" s="1" t="n">
        <x:v>1.05</x:v>
      </x:c>
      <x:c r="F4256" s="1" t="str">
        <x:v>https://api.octopus.energy/v1/products/AGILE-24-10-01/electricity-tariffs/E-1R-AGILE-24-10-01-G/standard-unit-rates/</x:v>
      </x:c>
    </x:row>
    <x:row r="4257" ht="21" customHeight="1">
      <x:c r="A4257" s="24" t="n">
        <x:v>46237.1875</x:v>
      </x:c>
      <x:c r="B4257" s="6" t="n">
        <x:v>0.22640000000000002</x:v>
      </x:c>
      <x:c r="C4257" s="6" t="n">
        <x:v>0.1298</x:v>
      </x:c>
      <x:c r="D4257" s="6" t="n">
        <x:f>B4257</x:f>
        <x:v>0.22640000000000002</x:v>
      </x:c>
      <x:c r="E4257" s="1" t="n">
        <x:v>1.05</x:v>
      </x:c>
      <x:c r="F4257" s="1" t="str">
        <x:v>https://api.octopus.energy/v1/products/AGILE-24-10-01/electricity-tariffs/E-1R-AGILE-24-10-01-G/standard-unit-rates/</x:v>
      </x:c>
    </x:row>
    <x:row r="4258" ht="21" customHeight="1">
      <x:c r="A4258" s="24" t="n">
        <x:v>46237.208333333336</x:v>
      </x:c>
      <x:c r="B4258" s="6" t="n">
        <x:v>0.2482</x:v>
      </x:c>
      <x:c r="C4258" s="6" t="n">
        <x:v>0.13970000000000002</x:v>
      </x:c>
      <x:c r="D4258" s="6" t="n">
        <x:f>B4258</x:f>
        <x:v>0.2482</x:v>
      </x:c>
      <x:c r="E4258" s="1" t="n">
        <x:v>1.05</x:v>
      </x:c>
      <x:c r="F4258" s="1" t="str">
        <x:v>https://api.octopus.energy/v1/products/AGILE-24-10-01/electricity-tariffs/E-1R-AGILE-24-10-01-G/standard-unit-rates/</x:v>
      </x:c>
    </x:row>
    <x:row r="4259" ht="21" customHeight="1">
      <x:c r="A4259" s="24" t="n">
        <x:v>46237.229166666664</x:v>
      </x:c>
      <x:c r="B4259" s="6" t="n">
        <x:v>0.2581</x:v>
      </x:c>
      <x:c r="C4259" s="6" t="n">
        <x:v>0.14429999999999998</x:v>
      </x:c>
      <x:c r="D4259" s="6" t="n">
        <x:f>B4259</x:f>
        <x:v>0.2581</x:v>
      </x:c>
      <x:c r="E4259" s="1" t="n">
        <x:v>1.05</x:v>
      </x:c>
      <x:c r="F4259" s="1" t="str">
        <x:v>https://api.octopus.energy/v1/products/AGILE-24-10-01/electricity-tariffs/E-1R-AGILE-24-10-01-G/standard-unit-rates/</x:v>
      </x:c>
    </x:row>
    <x:row r="4260" ht="21" customHeight="1">
      <x:c r="A4260" s="24" t="n">
        <x:v>46237.25</x:v>
      </x:c>
      <x:c r="B4260" s="6" t="n">
        <x:v>0.2505</x:v>
      </x:c>
      <x:c r="C4260" s="6" t="n">
        <x:v>0.1408</x:v>
      </x:c>
      <x:c r="D4260" s="6" t="n">
        <x:f>B4260</x:f>
        <x:v>0.2505</x:v>
      </x:c>
      <x:c r="E4260" s="1" t="n">
        <x:v>1.05</x:v>
      </x:c>
      <x:c r="F4260" s="1" t="str">
        <x:v>https://api.octopus.energy/v1/products/AGILE-24-10-01/electricity-tariffs/E-1R-AGILE-24-10-01-G/standard-unit-rates/</x:v>
      </x:c>
    </x:row>
    <x:row r="4261" ht="21" customHeight="1">
      <x:c r="A4261" s="24" t="n">
        <x:v>46237.270833333336</x:v>
      </x:c>
      <x:c r="B4261" s="6" t="n">
        <x:v>0.25980000000000003</x:v>
      </x:c>
      <x:c r="C4261" s="6" t="n">
        <x:v>0.145</x:v>
      </x:c>
      <x:c r="D4261" s="6" t="n">
        <x:f>B4261</x:f>
        <x:v>0.25980000000000003</x:v>
      </x:c>
      <x:c r="E4261" s="1" t="n">
        <x:v>1.05</x:v>
      </x:c>
      <x:c r="F4261" s="1" t="str">
        <x:v>https://api.octopus.energy/v1/products/AGILE-24-10-01/electricity-tariffs/E-1R-AGILE-24-10-01-G/standard-unit-rates/</x:v>
      </x:c>
    </x:row>
    <x:row r="4262" ht="21" customHeight="1">
      <x:c r="A4262" s="24" t="n">
        <x:v>46237.291666666664</x:v>
      </x:c>
      <x:c r="B4262" s="6" t="n">
        <x:v>0.2501</x:v>
      </x:c>
      <x:c r="C4262" s="6" t="n">
        <x:v>0.1406</x:v>
      </x:c>
      <x:c r="D4262" s="6" t="n">
        <x:f>B4262</x:f>
        <x:v>0.2501</x:v>
      </x:c>
      <x:c r="E4262" s="1" t="n">
        <x:v>1.05</x:v>
      </x:c>
      <x:c r="F4262" s="1" t="str">
        <x:v>https://api.octopus.energy/v1/products/AGILE-24-10-01/electricity-tariffs/E-1R-AGILE-24-10-01-G/standard-unit-rates/</x:v>
      </x:c>
    </x:row>
    <x:row r="4263" ht="21" customHeight="1">
      <x:c r="A4263" s="24" t="n">
        <x:v>46237.3125</x:v>
      </x:c>
      <x:c r="B4263" s="6" t="n">
        <x:v>0.2585</x:v>
      </x:c>
      <x:c r="C4263" s="6" t="n">
        <x:v>0.1444</x:v>
      </x:c>
      <x:c r="D4263" s="6" t="n">
        <x:f>B4263</x:f>
        <x:v>0.2585</x:v>
      </x:c>
      <x:c r="E4263" s="1" t="n">
        <x:v>1.05</x:v>
      </x:c>
      <x:c r="F4263" s="1" t="str">
        <x:v>https://api.octopus.energy/v1/products/AGILE-24-10-01/electricity-tariffs/E-1R-AGILE-24-10-01-G/standard-unit-rates/</x:v>
      </x:c>
    </x:row>
    <x:row r="4264" ht="21" customHeight="1">
      <x:c r="A4264" s="24" t="n">
        <x:v>46237.333333333336</x:v>
      </x:c>
      <x:c r="B4264" s="6" t="n">
        <x:v>0.2144</x:v>
      </x:c>
      <x:c r="C4264" s="6" t="n">
        <x:v>0.1243</x:v>
      </x:c>
      <x:c r="D4264" s="6" t="n">
        <x:f>B4264</x:f>
        <x:v>0.2144</x:v>
      </x:c>
      <x:c r="E4264" s="1" t="n">
        <x:v>1.05</x:v>
      </x:c>
      <x:c r="F4264" s="1" t="str">
        <x:v>https://api.octopus.energy/v1/products/AGILE-24-10-01/electricity-tariffs/E-1R-AGILE-24-10-01-G/standard-unit-rates/</x:v>
      </x:c>
    </x:row>
    <x:row r="4265" ht="21" customHeight="1">
      <x:c r="A4265" s="24" t="n">
        <x:v>46237.354166666664</x:v>
      </x:c>
      <x:c r="B4265" s="6" t="n">
        <x:v>0.2316</x:v>
      </x:c>
      <x:c r="C4265" s="6" t="n">
        <x:v>0.1322</x:v>
      </x:c>
      <x:c r="D4265" s="6" t="n">
        <x:f>B4265</x:f>
        <x:v>0.2316</x:v>
      </x:c>
      <x:c r="E4265" s="1" t="n">
        <x:v>1.05</x:v>
      </x:c>
      <x:c r="F4265" s="1" t="str">
        <x:v>https://api.octopus.energy/v1/products/AGILE-24-10-01/electricity-tariffs/E-1R-AGILE-24-10-01-G/standard-unit-rates/</x:v>
      </x:c>
    </x:row>
    <x:row r="4266" ht="21" customHeight="1">
      <x:c r="A4266" s="24" t="n">
        <x:v>46237.375</x:v>
      </x:c>
      <x:c r="B4266" s="6" t="n">
        <x:v>0.23879999999999998</x:v>
      </x:c>
      <x:c r="C4266" s="6" t="n">
        <x:v>0.1354</x:v>
      </x:c>
      <x:c r="D4266" s="6" t="n">
        <x:f>B4266</x:f>
        <x:v>0.23879999999999998</x:v>
      </x:c>
      <x:c r="E4266" s="1" t="n">
        <x:v>1.05</x:v>
      </x:c>
      <x:c r="F4266" s="1" t="str">
        <x:v>https://api.octopus.energy/v1/products/AGILE-24-10-01/electricity-tariffs/E-1R-AGILE-24-10-01-G/standard-unit-rates/</x:v>
      </x:c>
    </x:row>
    <x:row r="4267" ht="21" customHeight="1">
      <x:c r="A4267" s="24" t="n">
        <x:v>46237.395833333336</x:v>
      </x:c>
      <x:c r="B4267" s="6" t="n">
        <x:v>0.2303</x:v>
      </x:c>
      <x:c r="C4267" s="6" t="n">
        <x:v>0.1315</x:v>
      </x:c>
      <x:c r="D4267" s="6" t="n">
        <x:f>B4267</x:f>
        <x:v>0.2303</x:v>
      </x:c>
      <x:c r="E4267" s="1" t="n">
        <x:v>1.05</x:v>
      </x:c>
      <x:c r="F4267" s="1" t="str">
        <x:v>https://api.octopus.energy/v1/products/AGILE-24-10-01/electricity-tariffs/E-1R-AGILE-24-10-01-G/standard-unit-rates/</x:v>
      </x:c>
    </x:row>
    <x:row r="4268" ht="21" customHeight="1">
      <x:c r="A4268" s="24" t="n">
        <x:v>46237.416666666664</x:v>
      </x:c>
      <x:c r="B4268" s="6" t="n">
        <x:v>0.1913</x:v>
      </x:c>
      <x:c r="C4268" s="6" t="n">
        <x:v>0.1137</x:v>
      </x:c>
      <x:c r="D4268" s="6" t="n">
        <x:f>B4268</x:f>
        <x:v>0.1913</x:v>
      </x:c>
      <x:c r="E4268" s="1" t="n">
        <x:v>1.05</x:v>
      </x:c>
      <x:c r="F4268" s="1" t="str">
        <x:v>https://api.octopus.energy/v1/products/AGILE-24-10-01/electricity-tariffs/E-1R-AGILE-24-10-01-G/standard-unit-rates/</x:v>
      </x:c>
    </x:row>
    <x:row r="4269" ht="21" customHeight="1">
      <x:c r="A4269" s="24" t="n">
        <x:v>46237.4375</x:v>
      </x:c>
      <x:c r="B4269" s="6" t="n">
        <x:v>0.1837</x:v>
      </x:c>
      <x:c r="C4269" s="6" t="n">
        <x:v>0.1103</x:v>
      </x:c>
      <x:c r="D4269" s="6" t="n">
        <x:f>B4269</x:f>
        <x:v>0.1837</x:v>
      </x:c>
      <x:c r="E4269" s="1" t="n">
        <x:v>1.05</x:v>
      </x:c>
      <x:c r="F4269" s="1" t="str">
        <x:v>https://api.octopus.energy/v1/products/AGILE-24-10-01/electricity-tariffs/E-1R-AGILE-24-10-01-G/standard-unit-rates/</x:v>
      </x:c>
    </x:row>
    <x:row r="4270" ht="21" customHeight="1">
      <x:c r="A4270" s="24" t="n">
        <x:v>46237.458333333336</x:v>
      </x:c>
      <x:c r="B4270" s="6" t="n">
        <x:v>0.1852</x:v>
      </x:c>
      <x:c r="C4270" s="6" t="n">
        <x:v>0.1109</x:v>
      </x:c>
      <x:c r="D4270" s="6" t="n">
        <x:f>B4270</x:f>
        <x:v>0.1852</x:v>
      </x:c>
      <x:c r="E4270" s="1" t="n">
        <x:v>1.05</x:v>
      </x:c>
      <x:c r="F4270" s="1" t="str">
        <x:v>https://api.octopus.energy/v1/products/AGILE-24-10-01/electricity-tariffs/E-1R-AGILE-24-10-01-G/standard-unit-rates/</x:v>
      </x:c>
    </x:row>
    <x:row r="4271" ht="21" customHeight="1">
      <x:c r="A4271" s="24" t="n">
        <x:v>46237.479166666664</x:v>
      </x:c>
      <x:c r="B4271" s="6" t="n">
        <x:v>0.1852</x:v>
      </x:c>
      <x:c r="C4271" s="6" t="n">
        <x:v>0.1109</x:v>
      </x:c>
      <x:c r="D4271" s="6" t="n">
        <x:f>B4271</x:f>
        <x:v>0.1852</x:v>
      </x:c>
      <x:c r="E4271" s="1" t="n">
        <x:v>1.05</x:v>
      </x:c>
      <x:c r="F4271" s="1" t="str">
        <x:v>https://api.octopus.energy/v1/products/AGILE-24-10-01/electricity-tariffs/E-1R-AGILE-24-10-01-G/standard-unit-rates/</x:v>
      </x:c>
    </x:row>
    <x:row r="4272" ht="21" customHeight="1">
      <x:c r="A4272" s="24" t="n">
        <x:v>46237.5</x:v>
      </x:c>
      <x:c r="B4272" s="6" t="n">
        <x:v>0.18289999999999998</x:v>
      </x:c>
      <x:c r="C4272" s="6" t="n">
        <x:v>0.1099</x:v>
      </x:c>
      <x:c r="D4272" s="6" t="n">
        <x:f>B4272</x:f>
        <x:v>0.18289999999999998</x:v>
      </x:c>
      <x:c r="E4272" s="1" t="n">
        <x:v>1.05</x:v>
      </x:c>
      <x:c r="F4272" s="1" t="str">
        <x:v>https://api.octopus.energy/v1/products/AGILE-24-10-01/electricity-tariffs/E-1R-AGILE-24-10-01-G/standard-unit-rates/</x:v>
      </x:c>
    </x:row>
    <x:row r="4273" ht="21" customHeight="1">
      <x:c r="A4273" s="24" t="n">
        <x:v>46237.520833333336</x:v>
      </x:c>
      <x:c r="B4273" s="6" t="n">
        <x:v>0.185</x:v>
      </x:c>
      <x:c r="C4273" s="6" t="n">
        <x:v>0.1108</x:v>
      </x:c>
      <x:c r="D4273" s="6" t="n">
        <x:f>B4273</x:f>
        <x:v>0.185</x:v>
      </x:c>
      <x:c r="E4273" s="1" t="n">
        <x:v>1.05</x:v>
      </x:c>
      <x:c r="F4273" s="1" t="str">
        <x:v>https://api.octopus.energy/v1/products/AGILE-24-10-01/electricity-tariffs/E-1R-AGILE-24-10-01-G/standard-unit-rates/</x:v>
      </x:c>
    </x:row>
    <x:row r="4274" ht="21" customHeight="1">
      <x:c r="A4274" s="24" t="n">
        <x:v>46237.541666666664</x:v>
      </x:c>
      <x:c r="B4274" s="6" t="n">
        <x:v>0.1833</x:v>
      </x:c>
      <x:c r="C4274" s="6" t="n">
        <x:v>0.1101</x:v>
      </x:c>
      <x:c r="D4274" s="6" t="n">
        <x:f>B4274</x:f>
        <x:v>0.1833</x:v>
      </x:c>
      <x:c r="E4274" s="1" t="n">
        <x:v>1.05</x:v>
      </x:c>
      <x:c r="F4274" s="1" t="str">
        <x:v>https://api.octopus.energy/v1/products/AGILE-24-10-01/electricity-tariffs/E-1R-AGILE-24-10-01-G/standard-unit-rates/</x:v>
      </x:c>
    </x:row>
    <x:row r="4275" ht="21" customHeight="1">
      <x:c r="A4275" s="24" t="n">
        <x:v>46237.5625</x:v>
      </x:c>
      <x:c r="B4275" s="6" t="n">
        <x:v>0.1825</x:v>
      </x:c>
      <x:c r="C4275" s="6" t="n">
        <x:v>0.1097</x:v>
      </x:c>
      <x:c r="D4275" s="6" t="n">
        <x:f>B4275</x:f>
        <x:v>0.1825</x:v>
      </x:c>
      <x:c r="E4275" s="1" t="n">
        <x:v>1.05</x:v>
      </x:c>
      <x:c r="F4275" s="1" t="str">
        <x:v>https://api.octopus.energy/v1/products/AGILE-24-10-01/electricity-tariffs/E-1R-AGILE-24-10-01-G/standard-unit-rates/</x:v>
      </x:c>
    </x:row>
    <x:row r="4276" ht="21" customHeight="1">
      <x:c r="A4276" s="24" t="n">
        <x:v>46237.583333333336</x:v>
      </x:c>
      <x:c r="B4276" s="6" t="n">
        <x:v>0.18710000000000002</x:v>
      </x:c>
      <x:c r="C4276" s="6" t="n">
        <x:v>0.1118</x:v>
      </x:c>
      <x:c r="D4276" s="6" t="n">
        <x:f>B4276</x:f>
        <x:v>0.18710000000000002</x:v>
      </x:c>
      <x:c r="E4276" s="1" t="n">
        <x:v>1.05</x:v>
      </x:c>
      <x:c r="F4276" s="1" t="str">
        <x:v>https://api.octopus.energy/v1/products/AGILE-24-10-01/electricity-tariffs/E-1R-AGILE-24-10-01-G/standard-unit-rates/</x:v>
      </x:c>
    </x:row>
    <x:row r="4277" ht="21" customHeight="1">
      <x:c r="A4277" s="24" t="n">
        <x:v>46237.604166666664</x:v>
      </x:c>
      <x:c r="B4277" s="6" t="n">
        <x:v>0.18710000000000002</x:v>
      </x:c>
      <x:c r="C4277" s="6" t="n">
        <x:v>0.1118</x:v>
      </x:c>
      <x:c r="D4277" s="6" t="n">
        <x:f>B4277</x:f>
        <x:v>0.18710000000000002</x:v>
      </x:c>
      <x:c r="E4277" s="1" t="n">
        <x:v>1.05</x:v>
      </x:c>
      <x:c r="F4277" s="1" t="str">
        <x:v>https://api.octopus.energy/v1/products/AGILE-24-10-01/electricity-tariffs/E-1R-AGILE-24-10-01-G/standard-unit-rates/</x:v>
      </x:c>
    </x:row>
    <x:row r="4278" ht="21" customHeight="1">
      <x:c r="A4278" s="24" t="n">
        <x:v>46237.625</x:v>
      </x:c>
      <x:c r="B4278" s="6" t="n">
        <x:v>0.2104</x:v>
      </x:c>
      <x:c r="C4278" s="6" t="n">
        <x:v>0.12240000000000001</x:v>
      </x:c>
      <x:c r="D4278" s="6" t="n">
        <x:f>B4278</x:f>
        <x:v>0.2104</x:v>
      </x:c>
      <x:c r="E4278" s="1" t="n">
        <x:v>1.05</x:v>
      </x:c>
      <x:c r="F4278" s="1" t="str">
        <x:v>https://api.octopus.energy/v1/products/AGILE-24-10-01/electricity-tariffs/E-1R-AGILE-24-10-01-G/standard-unit-rates/</x:v>
      </x:c>
    </x:row>
    <x:row r="4279" ht="21" customHeight="1">
      <x:c r="A4279" s="24" t="n">
        <x:v>46237.645833333336</x:v>
      </x:c>
      <x:c r="B4279" s="6" t="n">
        <x:v>0.2109</x:v>
      </x:c>
      <x:c r="C4279" s="6" t="n">
        <x:v>0.12269999999999999</x:v>
      </x:c>
      <x:c r="D4279" s="6" t="n">
        <x:f>B4279</x:f>
        <x:v>0.2109</x:v>
      </x:c>
      <x:c r="E4279" s="1" t="n">
        <x:v>1.05</x:v>
      </x:c>
      <x:c r="F4279" s="1" t="str">
        <x:v>https://api.octopus.energy/v1/products/AGILE-24-10-01/electricity-tariffs/E-1R-AGILE-24-10-01-G/standard-unit-rates/</x:v>
      </x:c>
    </x:row>
    <x:row r="4280" ht="21" customHeight="1">
      <x:c r="A4280" s="24" t="n">
        <x:v>46237.666666666664</x:v>
      </x:c>
      <x:c r="B4280" s="6" t="n">
        <x:v>0.3564</x:v>
      </x:c>
      <x:c r="C4280" s="6" t="n">
        <x:v>0.19329999999999997</x:v>
      </x:c>
      <x:c r="D4280" s="6" t="n">
        <x:f>B4280</x:f>
        <x:v>0.3564</x:v>
      </x:c>
      <x:c r="E4280" s="1" t="n">
        <x:v>1.05</x:v>
      </x:c>
      <x:c r="F4280" s="1" t="str">
        <x:v>https://api.octopus.energy/v1/products/AGILE-24-10-01/electricity-tariffs/E-1R-AGILE-24-10-01-G/standard-unit-rates/</x:v>
      </x:c>
    </x:row>
    <x:row r="4281" ht="21" customHeight="1">
      <x:c r="A4281" s="24" t="n">
        <x:v>46237.6875</x:v>
      </x:c>
      <x:c r="B4281" s="6" t="n">
        <x:v>0.3477</x:v>
      </x:c>
      <x:c r="C4281" s="6" t="n">
        <x:v>0.1892</x:v>
      </x:c>
      <x:c r="D4281" s="6" t="n">
        <x:f>B4281</x:f>
        <x:v>0.3477</x:v>
      </x:c>
      <x:c r="E4281" s="1" t="n">
        <x:v>1.05</x:v>
      </x:c>
      <x:c r="F4281" s="1" t="str">
        <x:v>https://api.octopus.energy/v1/products/AGILE-24-10-01/electricity-tariffs/E-1R-AGILE-24-10-01-G/standard-unit-rates/</x:v>
      </x:c>
    </x:row>
    <x:row r="4282" ht="21" customHeight="1">
      <x:c r="A4282" s="24" t="n">
        <x:v>46237.708333333336</x:v>
      </x:c>
      <x:c r="B4282" s="6" t="n">
        <x:v>0.3834</x:v>
      </x:c>
      <x:c r="C4282" s="6" t="n">
        <x:v>0.20559999999999998</x:v>
      </x:c>
      <x:c r="D4282" s="6" t="n">
        <x:f>B4282</x:f>
        <x:v>0.3834</x:v>
      </x:c>
      <x:c r="E4282" s="1" t="n">
        <x:v>1.05</x:v>
      </x:c>
      <x:c r="F4282" s="1" t="str">
        <x:v>https://api.octopus.energy/v1/products/AGILE-24-10-01/electricity-tariffs/E-1R-AGILE-24-10-01-G/standard-unit-rates/</x:v>
      </x:c>
    </x:row>
    <x:row r="4283" ht="21" customHeight="1">
      <x:c r="A4283" s="24" t="n">
        <x:v>46237.729166666664</x:v>
      </x:c>
      <x:c r="B4283" s="6" t="n">
        <x:v>0.3908</x:v>
      </x:c>
      <x:c r="C4283" s="6" t="n">
        <x:v>0.209</x:v>
      </x:c>
      <x:c r="D4283" s="6" t="n">
        <x:f>B4283</x:f>
        <x:v>0.3908</x:v>
      </x:c>
      <x:c r="E4283" s="1" t="n">
        <x:v>1.05</x:v>
      </x:c>
      <x:c r="F4283" s="1" t="str">
        <x:v>https://api.octopus.energy/v1/products/AGILE-24-10-01/electricity-tariffs/E-1R-AGILE-24-10-01-G/standard-unit-rates/</x:v>
      </x:c>
    </x:row>
    <x:row r="4284" ht="21" customHeight="1">
      <x:c r="A4284" s="24" t="n">
        <x:v>46237.75</x:v>
      </x:c>
      <x:c r="B4284" s="6" t="n">
        <x:v>0.436</x:v>
      </x:c>
      <x:c r="C4284" s="6" t="n">
        <x:v>0.2296</x:v>
      </x:c>
      <x:c r="D4284" s="6" t="n">
        <x:f>B4284</x:f>
        <x:v>0.436</x:v>
      </x:c>
      <x:c r="E4284" s="1" t="n">
        <x:v>1.05</x:v>
      </x:c>
      <x:c r="F4284" s="1" t="str">
        <x:v>https://api.octopus.energy/v1/products/AGILE-24-10-01/electricity-tariffs/E-1R-AGILE-24-10-01-G/standard-unit-rates/</x:v>
      </x:c>
    </x:row>
    <x:row r="4285" ht="21" customHeight="1">
      <x:c r="A4285" s="24" t="n">
        <x:v>46237.770833333336</x:v>
      </x:c>
      <x:c r="B4285" s="6" t="n">
        <x:v>0.4397</x:v>
      </x:c>
      <x:c r="C4285" s="6" t="n">
        <x:v>0.23129999999999998</x:v>
      </x:c>
      <x:c r="D4285" s="6" t="n">
        <x:f>B4285</x:f>
        <x:v>0.4397</x:v>
      </x:c>
      <x:c r="E4285" s="1" t="n">
        <x:v>1.05</x:v>
      </x:c>
      <x:c r="F4285" s="1" t="str">
        <x:v>https://api.octopus.energy/v1/products/AGILE-24-10-01/electricity-tariffs/E-1R-AGILE-24-10-01-G/standard-unit-rates/</x:v>
      </x:c>
    </x:row>
    <x:row r="4286" ht="21" customHeight="1">
      <x:c r="A4286" s="24" t="n">
        <x:v>46237.791666666664</x:v>
      </x:c>
      <x:c r="B4286" s="6" t="n">
        <x:v>0.32780000000000004</x:v>
      </x:c>
      <x:c r="C4286" s="6" t="n">
        <x:v>0.1761</x:v>
      </x:c>
      <x:c r="D4286" s="6" t="n">
        <x:f>B4286</x:f>
        <x:v>0.32780000000000004</x:v>
      </x:c>
      <x:c r="E4286" s="1" t="n">
        <x:v>1.05</x:v>
      </x:c>
      <x:c r="F4286" s="1" t="str">
        <x:v>https://api.octopus.energy/v1/products/AGILE-24-10-01/electricity-tariffs/E-1R-AGILE-24-10-01-G/standard-unit-rates/</x:v>
      </x:c>
    </x:row>
    <x:row r="4287" ht="21" customHeight="1">
      <x:c r="A4287" s="24" t="n">
        <x:v>46237.8125</x:v>
      </x:c>
      <x:c r="B4287" s="6" t="n">
        <x:v>0.3236</x:v>
      </x:c>
      <x:c r="C4287" s="6" t="n">
        <x:v>0.17420000000000002</x:v>
      </x:c>
      <x:c r="D4287" s="6" t="n">
        <x:f>B4287</x:f>
        <x:v>0.3236</x:v>
      </x:c>
      <x:c r="E4287" s="1" t="n">
        <x:v>1.05</x:v>
      </x:c>
      <x:c r="F4287" s="1" t="str">
        <x:v>https://api.octopus.energy/v1/products/AGILE-24-10-01/electricity-tariffs/E-1R-AGILE-24-10-01-G/standard-unit-rates/</x:v>
      </x:c>
    </x:row>
    <x:row r="4288" ht="21" customHeight="1">
      <x:c r="A4288" s="24" t="n">
        <x:v>46237.833333333336</x:v>
      </x:c>
      <x:c r="B4288" s="6" t="n">
        <x:v>0.3179</x:v>
      </x:c>
      <x:c r="C4288" s="6" t="n">
        <x:v>0.1716</x:v>
      </x:c>
      <x:c r="D4288" s="6" t="n">
        <x:f>B4288</x:f>
        <x:v>0.3179</x:v>
      </x:c>
      <x:c r="E4288" s="1" t="n">
        <x:v>1.05</x:v>
      </x:c>
      <x:c r="F4288" s="1" t="str">
        <x:v>https://api.octopus.energy/v1/products/AGILE-24-10-01/electricity-tariffs/E-1R-AGILE-24-10-01-G/standard-unit-rates/</x:v>
      </x:c>
    </x:row>
    <x:row r="4289" ht="21" customHeight="1">
      <x:c r="A4289" s="24" t="n">
        <x:v>46237.854166666664</x:v>
      </x:c>
      <x:c r="B4289" s="6" t="n">
        <x:v>0.3125</x:v>
      </x:c>
      <x:c r="C4289" s="6" t="n">
        <x:v>0.1691</x:v>
      </x:c>
      <x:c r="D4289" s="6" t="n">
        <x:f>B4289</x:f>
        <x:v>0.3125</x:v>
      </x:c>
      <x:c r="E4289" s="1" t="n">
        <x:v>1.05</x:v>
      </x:c>
      <x:c r="F4289" s="1" t="str">
        <x:v>https://api.octopus.energy/v1/products/AGILE-24-10-01/electricity-tariffs/E-1R-AGILE-24-10-01-G/standard-unit-rates/</x:v>
      </x:c>
    </x:row>
    <x:row r="4290" ht="21" customHeight="1">
      <x:c r="A4290" s="24" t="n">
        <x:v>46237.875</x:v>
      </x:c>
      <x:c r="B4290" s="6" t="n">
        <x:v>0.3045</x:v>
      </x:c>
      <x:c r="C4290" s="6" t="n">
        <x:v>0.1655</x:v>
      </x:c>
      <x:c r="D4290" s="6" t="n">
        <x:f>B4290</x:f>
        <x:v>0.3045</x:v>
      </x:c>
      <x:c r="E4290" s="1" t="n">
        <x:v>1.05</x:v>
      </x:c>
      <x:c r="F4290" s="1" t="str">
        <x:v>https://api.octopus.energy/v1/products/AGILE-24-10-01/electricity-tariffs/E-1R-AGILE-24-10-01-G/standard-unit-rates/</x:v>
      </x:c>
    </x:row>
    <x:row r="4291" ht="21" customHeight="1">
      <x:c r="A4291" s="24" t="n">
        <x:v>46237.895833333336</x:v>
      </x:c>
      <x:c r="B4291" s="6" t="n">
        <x:v>0.2917</x:v>
      </x:c>
      <x:c r="C4291" s="6" t="n">
        <x:v>0.15960000000000002</x:v>
      </x:c>
      <x:c r="D4291" s="6" t="n">
        <x:f>B4291</x:f>
        <x:v>0.2917</x:v>
      </x:c>
      <x:c r="E4291" s="1" t="n">
        <x:v>1.05</x:v>
      </x:c>
      <x:c r="F4291" s="1" t="str">
        <x:v>https://api.octopus.energy/v1/products/AGILE-24-10-01/electricity-tariffs/E-1R-AGILE-24-10-01-G/standard-unit-rates/</x:v>
      </x:c>
    </x:row>
    <x:row r="4292" ht="21" customHeight="1">
      <x:c r="A4292" s="24" t="n">
        <x:v>46237.916666666664</x:v>
      </x:c>
      <x:c r="B4292" s="6" t="n">
        <x:v>0.2816</x:v>
      </x:c>
      <x:c r="C4292" s="6" t="n">
        <x:v>0.155</x:v>
      </x:c>
      <x:c r="D4292" s="6" t="n">
        <x:f>B4292</x:f>
        <x:v>0.2816</x:v>
      </x:c>
      <x:c r="E4292" s="1" t="n">
        <x:v>1.05</x:v>
      </x:c>
      <x:c r="F4292" s="1" t="str">
        <x:v>https://api.octopus.energy/v1/products/AGILE-24-10-01/electricity-tariffs/E-1R-AGILE-24-10-01-G/standard-unit-rates/</x:v>
      </x:c>
    </x:row>
    <x:row r="4293" ht="21" customHeight="1">
      <x:c r="A4293" s="24" t="n">
        <x:v>46237.9375</x:v>
      </x:c>
      <x:c r="B4293" s="6" t="n">
        <x:v>0.2682</x:v>
      </x:c>
      <x:c r="C4293" s="6" t="n">
        <x:v>0.1489</x:v>
      </x:c>
      <x:c r="D4293" s="6" t="n">
        <x:f>B4293</x:f>
        <x:v>0.2682</x:v>
      </x:c>
      <x:c r="E4293" s="1" t="n">
        <x:v>1.05</x:v>
      </x:c>
      <x:c r="F4293" s="1" t="str">
        <x:v>https://api.octopus.energy/v1/products/AGILE-24-10-01/electricity-tariffs/E-1R-AGILE-24-10-01-G/standard-unit-rates/</x:v>
      </x:c>
    </x:row>
    <x:row r="4294" ht="21" customHeight="1">
      <x:c r="A4294" s="24" t="n">
        <x:v>46238</x:v>
      </x:c>
      <x:c r="B4294" s="6" t="n">
        <x:v>0.2571</x:v>
      </x:c>
      <x:c r="C4294" s="6" t="n">
        <x:v>0.1438</x:v>
      </x:c>
      <x:c r="D4294" s="6" t="n">
        <x:f>B4294</x:f>
        <x:v>0.2571</x:v>
      </x:c>
      <x:c r="E4294" s="1" t="n">
        <x:v>1.05</x:v>
      </x:c>
      <x:c r="F4294" s="1" t="str">
        <x:v>https://api.octopus.energy/v1/products/AGILE-24-10-01/electricity-tariffs/E-1R-AGILE-24-10-01-G/standard-unit-rates/</x:v>
      </x:c>
    </x:row>
    <x:row r="4295" ht="21" customHeight="1">
      <x:c r="A4295" s="24" t="n">
        <x:v>46237.979166666664</x:v>
      </x:c>
      <x:c r="B4295" s="6" t="n">
        <x:v>0.2522</x:v>
      </x:c>
      <x:c r="C4295" s="6" t="n">
        <x:v>0.1416</x:v>
      </x:c>
      <x:c r="D4295" s="6" t="n">
        <x:f>B4295</x:f>
        <x:v>0.2522</x:v>
      </x:c>
      <x:c r="E4295" s="1" t="n">
        <x:v>1.05</x:v>
      </x:c>
      <x:c r="F4295" s="1" t="str">
        <x:v>https://api.octopus.energy/v1/products/AGILE-24-10-01/electricity-tariffs/E-1R-AGILE-24-10-01-G/standard-unit-rates/</x:v>
      </x:c>
    </x:row>
    <x:row r="4296" ht="21" customHeight="1">
      <x:c r="A4296" s="24" t="n">
        <x:v>46238</x:v>
      </x:c>
      <x:c r="B4296" s="6" t="n">
        <x:v>0.223</x:v>
      </x:c>
      <x:c r="C4296" s="6" t="n">
        <x:v>0.1282</x:v>
      </x:c>
      <x:c r="D4296" s="6" t="n">
        <x:f>B4296</x:f>
        <x:v>0.223</x:v>
      </x:c>
      <x:c r="E4296" s="1" t="n">
        <x:v>1.05</x:v>
      </x:c>
      <x:c r="F4296" s="1" t="str">
        <x:v>https://api.octopus.energy/v1/products/AGILE-24-10-01/electricity-tariffs/E-1R-AGILE-24-10-01-G/standard-unit-rates/</x:v>
      </x:c>
    </x:row>
    <x:row r="4297" ht="21" customHeight="1">
      <x:c r="A4297" s="24" t="n">
        <x:v>46238.020833333336</x:v>
      </x:c>
      <x:c r="B4297" s="6" t="n">
        <x:v>0.2146</x:v>
      </x:c>
      <x:c r="C4297" s="6" t="n">
        <x:v>0.1244</x:v>
      </x:c>
      <x:c r="D4297" s="6" t="n">
        <x:f>B4297</x:f>
        <x:v>0.2146</x:v>
      </x:c>
      <x:c r="E4297" s="1" t="n">
        <x:v>1.05</x:v>
      </x:c>
      <x:c r="F4297" s="1" t="str">
        <x:v>https://api.octopus.energy/v1/products/AGILE-24-10-01/electricity-tariffs/E-1R-AGILE-24-10-01-G/standard-unit-rates/</x:v>
      </x:c>
    </x:row>
    <x:row r="4298" ht="21" customHeight="1">
      <x:c r="A4298" s="24" t="n">
        <x:v>46238.041666666664</x:v>
      </x:c>
      <x:c r="B4298" s="6" t="n">
        <x:v>0.21309999999999998</x:v>
      </x:c>
      <x:c r="C4298" s="6" t="n">
        <x:v>0.12369999999999999</x:v>
      </x:c>
      <x:c r="D4298" s="6" t="n">
        <x:f>B4298</x:f>
        <x:v>0.21309999999999998</x:v>
      </x:c>
      <x:c r="E4298" s="1" t="n">
        <x:v>1.05</x:v>
      </x:c>
      <x:c r="F4298" s="1" t="str">
        <x:v>https://api.octopus.energy/v1/products/AGILE-24-10-01/electricity-tariffs/E-1R-AGILE-24-10-01-G/standard-unit-rates/</x:v>
      </x:c>
    </x:row>
    <x:row r="4299" ht="21" customHeight="1">
      <x:c r="A4299" s="24" t="n">
        <x:v>46238.0625</x:v>
      </x:c>
      <x:c r="B4299" s="6" t="n">
        <x:v>0.2047</x:v>
      </x:c>
      <x:c r="C4299" s="6" t="n">
        <x:v>0.1199</x:v>
      </x:c>
      <x:c r="D4299" s="6" t="n">
        <x:f>B4299</x:f>
        <x:v>0.2047</x:v>
      </x:c>
      <x:c r="E4299" s="1" t="n">
        <x:v>1.05</x:v>
      </x:c>
      <x:c r="F4299" s="1" t="str">
        <x:v>https://api.octopus.energy/v1/products/AGILE-24-10-01/electricity-tariffs/E-1R-AGILE-24-10-01-G/standard-unit-rates/</x:v>
      </x:c>
    </x:row>
    <x:row r="4300" ht="21" customHeight="1">
      <x:c r="A4300" s="24" t="n">
        <x:v>46238.083333333336</x:v>
      </x:c>
      <x:c r="B4300" s="6" t="n">
        <x:v>0.2091</x:v>
      </x:c>
      <x:c r="C4300" s="6" t="n">
        <x:v>0.1219</x:v>
      </x:c>
      <x:c r="D4300" s="6" t="n">
        <x:f>B4300</x:f>
        <x:v>0.2091</x:v>
      </x:c>
      <x:c r="E4300" s="1" t="n">
        <x:v>1.05</x:v>
      </x:c>
      <x:c r="F4300" s="1" t="str">
        <x:v>https://api.octopus.energy/v1/products/AGILE-24-10-01/electricity-tariffs/E-1R-AGILE-24-10-01-G/standard-unit-rates/</x:v>
      </x:c>
    </x:row>
    <x:row r="4301" ht="21" customHeight="1">
      <x:c r="A4301" s="24" t="n">
        <x:v>46238.104166666664</x:v>
      </x:c>
      <x:c r="B4301" s="6" t="n">
        <x:v>0.2077</x:v>
      </x:c>
      <x:c r="C4301" s="6" t="n">
        <x:v>0.12119999999999999</x:v>
      </x:c>
      <x:c r="D4301" s="6" t="n">
        <x:f>B4301</x:f>
        <x:v>0.2077</x:v>
      </x:c>
      <x:c r="E4301" s="1" t="n">
        <x:v>1.05</x:v>
      </x:c>
      <x:c r="F4301" s="1" t="str">
        <x:v>https://api.octopus.energy/v1/products/AGILE-24-10-01/electricity-tariffs/E-1R-AGILE-24-10-01-G/standard-unit-rates/</x:v>
      </x:c>
    </x:row>
    <x:row r="4302" ht="21" customHeight="1">
      <x:c r="A4302" s="24" t="n">
        <x:v>46238.125</x:v>
      </x:c>
      <x:c r="B4302" s="6" t="n">
        <x:v>0.21359999999999998</x:v>
      </x:c>
      <x:c r="C4302" s="6" t="n">
        <x:v>0.12390000000000001</x:v>
      </x:c>
      <x:c r="D4302" s="6" t="n">
        <x:f>B4302</x:f>
        <x:v>0.21359999999999998</x:v>
      </x:c>
      <x:c r="E4302" s="1" t="n">
        <x:v>1.05</x:v>
      </x:c>
      <x:c r="F4302" s="1" t="str">
        <x:v>https://api.octopus.energy/v1/products/AGILE-24-10-01/electricity-tariffs/E-1R-AGILE-24-10-01-G/standard-unit-rates/</x:v>
      </x:c>
    </x:row>
    <x:row r="4303" ht="21" customHeight="1">
      <x:c r="A4303" s="24" t="n">
        <x:v>46238.145833333336</x:v>
      </x:c>
      <x:c r="B4303" s="6" t="n">
        <x:v>0.2102</x:v>
      </x:c>
      <x:c r="C4303" s="6" t="n">
        <x:v>0.12240000000000001</x:v>
      </x:c>
      <x:c r="D4303" s="6" t="n">
        <x:f>B4303</x:f>
        <x:v>0.2102</x:v>
      </x:c>
      <x:c r="E4303" s="1" t="n">
        <x:v>1.05</x:v>
      </x:c>
      <x:c r="F4303" s="1" t="str">
        <x:v>https://api.octopus.energy/v1/products/AGILE-24-10-01/electricity-tariffs/E-1R-AGILE-24-10-01-G/standard-unit-rates/</x:v>
      </x:c>
    </x:row>
    <x:row r="4304" ht="21" customHeight="1">
      <x:c r="A4304" s="24" t="n">
        <x:v>46238.166666666664</x:v>
      </x:c>
      <x:c r="B4304" s="6" t="n">
        <x:v>0.2216</x:v>
      </x:c>
      <x:c r="C4304" s="6" t="n">
        <x:v>0.1276</x:v>
      </x:c>
      <x:c r="D4304" s="6" t="n">
        <x:f>B4304</x:f>
        <x:v>0.2216</x:v>
      </x:c>
      <x:c r="E4304" s="1" t="n">
        <x:v>1.05</x:v>
      </x:c>
      <x:c r="F4304" s="1" t="str">
        <x:v>https://api.octopus.energy/v1/products/AGILE-24-10-01/electricity-tariffs/E-1R-AGILE-24-10-01-G/standard-unit-rates/</x:v>
      </x:c>
    </x:row>
    <x:row r="4305" ht="21" customHeight="1">
      <x:c r="A4305" s="24" t="n">
        <x:v>46238.1875</x:v>
      </x:c>
      <x:c r="B4305" s="6" t="n">
        <x:v>0.2186</x:v>
      </x:c>
      <x:c r="C4305" s="6" t="n">
        <x:v>0.12619999999999998</x:v>
      </x:c>
      <x:c r="D4305" s="6" t="n">
        <x:f>B4305</x:f>
        <x:v>0.2186</x:v>
      </x:c>
      <x:c r="E4305" s="1" t="n">
        <x:v>1.05</x:v>
      </x:c>
      <x:c r="F4305" s="1" t="str">
        <x:v>https://api.octopus.energy/v1/products/AGILE-24-10-01/electricity-tariffs/E-1R-AGILE-24-10-01-G/standard-unit-rates/</x:v>
      </x:c>
    </x:row>
    <x:row r="4306" ht="21" customHeight="1">
      <x:c r="A4306" s="24" t="n">
        <x:v>46238.208333333336</x:v>
      </x:c>
      <x:c r="B4306" s="6" t="n">
        <x:v>0.2409</x:v>
      </x:c>
      <x:c r="C4306" s="6" t="n">
        <x:v>0.1364</x:v>
      </x:c>
      <x:c r="D4306" s="6" t="n">
        <x:f>B4306</x:f>
        <x:v>0.2409</x:v>
      </x:c>
      <x:c r="E4306" s="1" t="n">
        <x:v>1.05</x:v>
      </x:c>
      <x:c r="F4306" s="1" t="str">
        <x:v>https://api.octopus.energy/v1/products/AGILE-24-10-01/electricity-tariffs/E-1R-AGILE-24-10-01-G/standard-unit-rates/</x:v>
      </x:c>
    </x:row>
    <x:row r="4307" ht="21" customHeight="1">
      <x:c r="A4307" s="24" t="n">
        <x:v>46238.229166666664</x:v>
      </x:c>
      <x:c r="B4307" s="6" t="n">
        <x:v>0.24530000000000002</x:v>
      </x:c>
      <x:c r="C4307" s="6" t="n">
        <x:v>0.1384</x:v>
      </x:c>
      <x:c r="D4307" s="6" t="n">
        <x:f>B4307</x:f>
        <x:v>0.24530000000000002</x:v>
      </x:c>
      <x:c r="E4307" s="1" t="n">
        <x:v>1.05</x:v>
      </x:c>
      <x:c r="F4307" s="1" t="str">
        <x:v>https://api.octopus.energy/v1/products/AGILE-24-10-01/electricity-tariffs/E-1R-AGILE-24-10-01-G/standard-unit-rates/</x:v>
      </x:c>
    </x:row>
    <x:row r="4308" ht="21" customHeight="1">
      <x:c r="A4308" s="24" t="n">
        <x:v>46238.25</x:v>
      </x:c>
      <x:c r="B4308" s="6" t="n">
        <x:v>0.2531</x:v>
      </x:c>
      <x:c r="C4308" s="6" t="n">
        <x:v>0.142</x:v>
      </x:c>
      <x:c r="D4308" s="6" t="n">
        <x:f>B4308</x:f>
        <x:v>0.2531</x:v>
      </x:c>
      <x:c r="E4308" s="1" t="n">
        <x:v>1.05</x:v>
      </x:c>
      <x:c r="F4308" s="1" t="str">
        <x:v>https://api.octopus.energy/v1/products/AGILE-24-10-01/electricity-tariffs/E-1R-AGILE-24-10-01-G/standard-unit-rates/</x:v>
      </x:c>
    </x:row>
    <x:row r="4309" ht="21" customHeight="1">
      <x:c r="A4309" s="24" t="n">
        <x:v>46238.270833333336</x:v>
      </x:c>
      <x:c r="B4309" s="6" t="n">
        <x:v>0.2642</x:v>
      </x:c>
      <x:c r="C4309" s="6" t="n">
        <x:v>0.1471</x:v>
      </x:c>
      <x:c r="D4309" s="6" t="n">
        <x:f>B4309</x:f>
        <x:v>0.2642</x:v>
      </x:c>
      <x:c r="E4309" s="1" t="n">
        <x:v>1.05</x:v>
      </x:c>
      <x:c r="F4309" s="1" t="str">
        <x:v>https://api.octopus.energy/v1/products/AGILE-24-10-01/electricity-tariffs/E-1R-AGILE-24-10-01-G/standard-unit-rates/</x:v>
      </x:c>
    </x:row>
    <x:row r="4310" ht="21" customHeight="1">
      <x:c r="A4310" s="24" t="n">
        <x:v>46238.291666666664</x:v>
      </x:c>
      <x:c r="B4310" s="6" t="n">
        <x:v>0.2516</x:v>
      </x:c>
      <x:c r="C4310" s="6" t="n">
        <x:v>0.1413</x:v>
      </x:c>
      <x:c r="D4310" s="6" t="n">
        <x:f>B4310</x:f>
        <x:v>0.2516</x:v>
      </x:c>
      <x:c r="E4310" s="1" t="n">
        <x:v>1.05</x:v>
      </x:c>
      <x:c r="F4310" s="1" t="str">
        <x:v>https://api.octopus.energy/v1/products/AGILE-24-10-01/electricity-tariffs/E-1R-AGILE-24-10-01-G/standard-unit-rates/</x:v>
      </x:c>
    </x:row>
    <x:row r="4311" ht="21" customHeight="1">
      <x:c r="A4311" s="24" t="n">
        <x:v>46238.3125</x:v>
      </x:c>
      <x:c r="B4311" s="6" t="n">
        <x:v>0.25980000000000003</x:v>
      </x:c>
      <x:c r="C4311" s="6" t="n">
        <x:v>0.145</x:v>
      </x:c>
      <x:c r="D4311" s="6" t="n">
        <x:f>B4311</x:f>
        <x:v>0.25980000000000003</x:v>
      </x:c>
      <x:c r="E4311" s="1" t="n">
        <x:v>1.05</x:v>
      </x:c>
      <x:c r="F4311" s="1" t="str">
        <x:v>https://api.octopus.energy/v1/products/AGILE-24-10-01/electricity-tariffs/E-1R-AGILE-24-10-01-G/standard-unit-rates/</x:v>
      </x:c>
    </x:row>
    <x:row r="4312" ht="21" customHeight="1">
      <x:c r="A4312" s="24" t="n">
        <x:v>46238.333333333336</x:v>
      </x:c>
      <x:c r="B4312" s="6" t="n">
        <x:v>0.23120000000000002</x:v>
      </x:c>
      <x:c r="C4312" s="6" t="n">
        <x:v>0.132</x:v>
      </x:c>
      <x:c r="D4312" s="6" t="n">
        <x:f>B4312</x:f>
        <x:v>0.23120000000000002</x:v>
      </x:c>
      <x:c r="E4312" s="1" t="n">
        <x:v>1.05</x:v>
      </x:c>
      <x:c r="F4312" s="1" t="str">
        <x:v>https://api.octopus.energy/v1/products/AGILE-24-10-01/electricity-tariffs/E-1R-AGILE-24-10-01-G/standard-unit-rates/</x:v>
      </x:c>
    </x:row>
    <x:row r="4313" ht="21" customHeight="1">
      <x:c r="A4313" s="24" t="n">
        <x:v>46238.354166666664</x:v>
      </x:c>
      <x:c r="B4313" s="6" t="n">
        <x:v>0.23329999999999998</x:v>
      </x:c>
      <x:c r="C4313" s="6" t="n">
        <x:v>0.1329</x:v>
      </x:c>
      <x:c r="D4313" s="6" t="n">
        <x:f>B4313</x:f>
        <x:v>0.23329999999999998</x:v>
      </x:c>
      <x:c r="E4313" s="1" t="n">
        <x:v>1.05</x:v>
      </x:c>
      <x:c r="F4313" s="1" t="str">
        <x:v>https://api.octopus.energy/v1/products/AGILE-24-10-01/electricity-tariffs/E-1R-AGILE-24-10-01-G/standard-unit-rates/</x:v>
      </x:c>
    </x:row>
    <x:row r="4314" ht="21" customHeight="1">
      <x:c r="A4314" s="24" t="n">
        <x:v>46238.375</x:v>
      </x:c>
      <x:c r="B4314" s="6" t="n">
        <x:v>0.2165</x:v>
      </x:c>
      <x:c r="C4314" s="6" t="n">
        <x:v>0.1252</x:v>
      </x:c>
      <x:c r="D4314" s="6" t="n">
        <x:f>B4314</x:f>
        <x:v>0.2165</x:v>
      </x:c>
      <x:c r="E4314" s="1" t="n">
        <x:v>1.05</x:v>
      </x:c>
      <x:c r="F4314" s="1" t="str">
        <x:v>https://api.octopus.energy/v1/products/AGILE-24-10-01/electricity-tariffs/E-1R-AGILE-24-10-01-G/standard-unit-rates/</x:v>
      </x:c>
    </x:row>
    <x:row r="4315" ht="21" customHeight="1">
      <x:c r="A4315" s="24" t="n">
        <x:v>46238.395833333336</x:v>
      </x:c>
      <x:c r="B4315" s="6" t="n">
        <x:v>0.2183</x:v>
      </x:c>
      <x:c r="C4315" s="6" t="n">
        <x:v>0.1261</x:v>
      </x:c>
      <x:c r="D4315" s="6" t="n">
        <x:f>B4315</x:f>
        <x:v>0.2183</x:v>
      </x:c>
      <x:c r="E4315" s="1" t="n">
        <x:v>1.05</x:v>
      </x:c>
      <x:c r="F4315" s="1" t="str">
        <x:v>https://api.octopus.energy/v1/products/AGILE-24-10-01/electricity-tariffs/E-1R-AGILE-24-10-01-G/standard-unit-rates/</x:v>
      </x:c>
    </x:row>
    <x:row r="4316" ht="21" customHeight="1">
      <x:c r="A4316" s="24" t="n">
        <x:v>46238.416666666664</x:v>
      </x:c>
      <x:c r="B4316" s="6" t="n">
        <x:v>0.2186</x:v>
      </x:c>
      <x:c r="C4316" s="6" t="n">
        <x:v>0.12619999999999998</x:v>
      </x:c>
      <x:c r="D4316" s="6" t="n">
        <x:f>B4316</x:f>
        <x:v>0.2186</x:v>
      </x:c>
      <x:c r="E4316" s="1" t="n">
        <x:v>1.05</x:v>
      </x:c>
      <x:c r="F4316" s="1" t="str">
        <x:v>https://api.octopus.energy/v1/products/AGILE-24-10-01/electricity-tariffs/E-1R-AGILE-24-10-01-G/standard-unit-rates/</x:v>
      </x:c>
    </x:row>
    <x:row r="4317" ht="21" customHeight="1">
      <x:c r="A4317" s="24" t="n">
        <x:v>46238.4375</x:v>
      </x:c>
      <x:c r="B4317" s="6" t="n">
        <x:v>0.2205</x:v>
      </x:c>
      <x:c r="C4317" s="6" t="n">
        <x:v>0.12710000000000002</x:v>
      </x:c>
      <x:c r="D4317" s="6" t="n">
        <x:f>B4317</x:f>
        <x:v>0.2205</x:v>
      </x:c>
      <x:c r="E4317" s="1" t="n">
        <x:v>1.05</x:v>
      </x:c>
      <x:c r="F4317" s="1" t="str">
        <x:v>https://api.octopus.energy/v1/products/AGILE-24-10-01/electricity-tariffs/E-1R-AGILE-24-10-01-G/standard-unit-rates/</x:v>
      </x:c>
    </x:row>
    <x:row r="4318" ht="21" customHeight="1">
      <x:c r="A4318" s="24" t="n">
        <x:v>46238.458333333336</x:v>
      </x:c>
      <x:c r="B4318" s="6" t="n">
        <x:v>0.20809999999999998</x:v>
      </x:c>
      <x:c r="C4318" s="6" t="n">
        <x:v>0.12140000000000001</x:v>
      </x:c>
      <x:c r="D4318" s="6" t="n">
        <x:f>B4318</x:f>
        <x:v>0.20809999999999998</x:v>
      </x:c>
      <x:c r="E4318" s="1" t="n">
        <x:v>1.05</x:v>
      </x:c>
      <x:c r="F4318" s="1" t="str">
        <x:v>https://api.octopus.energy/v1/products/AGILE-24-10-01/electricity-tariffs/E-1R-AGILE-24-10-01-G/standard-unit-rates/</x:v>
      </x:c>
    </x:row>
    <x:row r="4319" ht="21" customHeight="1">
      <x:c r="A4319" s="24" t="n">
        <x:v>46238.479166666664</x:v>
      </x:c>
      <x:c r="B4319" s="6" t="n">
        <x:v>0.2005</x:v>
      </x:c>
      <x:c r="C4319" s="6" t="n">
        <x:v>0.11789999999999999</x:v>
      </x:c>
      <x:c r="D4319" s="6" t="n">
        <x:f>B4319</x:f>
        <x:v>0.2005</x:v>
      </x:c>
      <x:c r="E4319" s="1" t="n">
        <x:v>1.05</x:v>
      </x:c>
      <x:c r="F4319" s="1" t="str">
        <x:v>https://api.octopus.energy/v1/products/AGILE-24-10-01/electricity-tariffs/E-1R-AGILE-24-10-01-G/standard-unit-rates/</x:v>
      </x:c>
    </x:row>
    <x:row r="4320" ht="21" customHeight="1">
      <x:c r="A4320" s="24" t="n">
        <x:v>46238.5</x:v>
      </x:c>
      <x:c r="B4320" s="6" t="n">
        <x:v>0.20850000000000002</x:v>
      </x:c>
      <x:c r="C4320" s="6" t="n">
        <x:v>0.1216</x:v>
      </x:c>
      <x:c r="D4320" s="6" t="n">
        <x:f>B4320</x:f>
        <x:v>0.20850000000000002</x:v>
      </x:c>
      <x:c r="E4320" s="1" t="n">
        <x:v>1.05</x:v>
      </x:c>
      <x:c r="F4320" s="1" t="str">
        <x:v>https://api.octopus.energy/v1/products/AGILE-24-10-01/electricity-tariffs/E-1R-AGILE-24-10-01-G/standard-unit-rates/</x:v>
      </x:c>
    </x:row>
    <x:row r="4321" ht="21" customHeight="1">
      <x:c r="A4321" s="24" t="n">
        <x:v>46238.520833333336</x:v>
      </x:c>
      <x:c r="B4321" s="6" t="n">
        <x:v>0.195</x:v>
      </x:c>
      <x:c r="C4321" s="6" t="n">
        <x:v>0.11539999999999999</x:v>
      </x:c>
      <x:c r="D4321" s="6" t="n">
        <x:f>B4321</x:f>
        <x:v>0.195</x:v>
      </x:c>
      <x:c r="E4321" s="1" t="n">
        <x:v>1.05</x:v>
      </x:c>
      <x:c r="F4321" s="1" t="str">
        <x:v>https://api.octopus.energy/v1/products/AGILE-24-10-01/electricity-tariffs/E-1R-AGILE-24-10-01-G/standard-unit-rates/</x:v>
      </x:c>
    </x:row>
    <x:row r="4322" ht="21" customHeight="1">
      <x:c r="A4322" s="24" t="n">
        <x:v>46238.541666666664</x:v>
      </x:c>
      <x:c r="B4322" s="6" t="n">
        <x:v>0.21059999999999998</x:v>
      </x:c>
      <x:c r="C4322" s="6" t="n">
        <x:v>0.1226</x:v>
      </x:c>
      <x:c r="D4322" s="6" t="n">
        <x:f>B4322</x:f>
        <x:v>0.21059999999999998</x:v>
      </x:c>
      <x:c r="E4322" s="1" t="n">
        <x:v>1.05</x:v>
      </x:c>
      <x:c r="F4322" s="1" t="str">
        <x:v>https://api.octopus.energy/v1/products/AGILE-24-10-01/electricity-tariffs/E-1R-AGILE-24-10-01-G/standard-unit-rates/</x:v>
      </x:c>
    </x:row>
    <x:row r="4323" ht="21" customHeight="1">
      <x:c r="A4323" s="24" t="n">
        <x:v>46238.5625</x:v>
      </x:c>
      <x:c r="B4323" s="6" t="n">
        <x:v>0.2029</x:v>
      </x:c>
      <x:c r="C4323" s="6" t="n">
        <x:v>0.11900000000000001</x:v>
      </x:c>
      <x:c r="D4323" s="6" t="n">
        <x:f>B4323</x:f>
        <x:v>0.2029</x:v>
      </x:c>
      <x:c r="E4323" s="1" t="n">
        <x:v>1.05</x:v>
      </x:c>
      <x:c r="F4323" s="1" t="str">
        <x:v>https://api.octopus.energy/v1/products/AGILE-24-10-01/electricity-tariffs/E-1R-AGILE-24-10-01-G/standard-unit-rates/</x:v>
      </x:c>
    </x:row>
    <x:row r="4324" ht="21" customHeight="1">
      <x:c r="A4324" s="24" t="n">
        <x:v>46238.583333333336</x:v>
      </x:c>
      <x:c r="B4324" s="6" t="n">
        <x:v>0.1956</x:v>
      </x:c>
      <x:c r="C4324" s="6" t="n">
        <x:v>0.1157</x:v>
      </x:c>
      <x:c r="D4324" s="6" t="n">
        <x:f>B4324</x:f>
        <x:v>0.1956</x:v>
      </x:c>
      <x:c r="E4324" s="1" t="n">
        <x:v>1.05</x:v>
      </x:c>
      <x:c r="F4324" s="1" t="str">
        <x:v>https://api.octopus.energy/v1/products/AGILE-24-10-01/electricity-tariffs/E-1R-AGILE-24-10-01-G/standard-unit-rates/</x:v>
      </x:c>
    </x:row>
    <x:row r="4325" ht="21" customHeight="1">
      <x:c r="A4325" s="24" t="n">
        <x:v>46238.604166666664</x:v>
      </x:c>
      <x:c r="B4325" s="6" t="n">
        <x:v>0.1928</x:v>
      </x:c>
      <x:c r="C4325" s="6" t="n">
        <x:v>0.1144</x:v>
      </x:c>
      <x:c r="D4325" s="6" t="n">
        <x:f>B4325</x:f>
        <x:v>0.1928</x:v>
      </x:c>
      <x:c r="E4325" s="1" t="n">
        <x:v>1.05</x:v>
      </x:c>
      <x:c r="F4325" s="1" t="str">
        <x:v>https://api.octopus.energy/v1/products/AGILE-24-10-01/electricity-tariffs/E-1R-AGILE-24-10-01-G/standard-unit-rates/</x:v>
      </x:c>
    </x:row>
    <x:row r="4326" ht="21" customHeight="1">
      <x:c r="A4326" s="24" t="n">
        <x:v>46238.625</x:v>
      </x:c>
      <x:c r="B4326" s="6" t="n">
        <x:v>0.1997</x:v>
      </x:c>
      <x:c r="C4326" s="6" t="n">
        <x:v>0.1176</x:v>
      </x:c>
      <x:c r="D4326" s="6" t="n">
        <x:f>B4326</x:f>
        <x:v>0.1997</x:v>
      </x:c>
      <x:c r="E4326" s="1" t="n">
        <x:v>1.05</x:v>
      </x:c>
      <x:c r="F4326" s="1" t="str">
        <x:v>https://api.octopus.energy/v1/products/AGILE-24-10-01/electricity-tariffs/E-1R-AGILE-24-10-01-G/standard-unit-rates/</x:v>
      </x:c>
    </x:row>
    <x:row r="4327" ht="21" customHeight="1">
      <x:c r="A4327" s="24" t="n">
        <x:v>46238.645833333336</x:v>
      </x:c>
      <x:c r="B4327" s="6" t="n">
        <x:v>0.19760000000000003</x:v>
      </x:c>
      <x:c r="C4327" s="6" t="n">
        <x:v>0.1166</x:v>
      </x:c>
      <x:c r="D4327" s="6" t="n">
        <x:f>B4327</x:f>
        <x:v>0.19760000000000003</x:v>
      </x:c>
      <x:c r="E4327" s="1" t="n">
        <x:v>1.05</x:v>
      </x:c>
      <x:c r="F4327" s="1" t="str">
        <x:v>https://api.octopus.energy/v1/products/AGILE-24-10-01/electricity-tariffs/E-1R-AGILE-24-10-01-G/standard-unit-rates/</x:v>
      </x:c>
    </x:row>
    <x:row r="4328" ht="21" customHeight="1">
      <x:c r="A4328" s="24" t="n">
        <x:v>46238.666666666664</x:v>
      </x:c>
      <x:c r="B4328" s="6" t="n">
        <x:v>0.3348</x:v>
      </x:c>
      <x:c r="C4328" s="6" t="n">
        <x:v>0.1834</x:v>
      </x:c>
      <x:c r="D4328" s="6" t="n">
        <x:f>B4328</x:f>
        <x:v>0.3348</x:v>
      </x:c>
      <x:c r="E4328" s="1" t="n">
        <x:v>1.05</x:v>
      </x:c>
      <x:c r="F4328" s="1" t="str">
        <x:v>https://api.octopus.energy/v1/products/AGILE-24-10-01/electricity-tariffs/E-1R-AGILE-24-10-01-G/standard-unit-rates/</x:v>
      </x:c>
    </x:row>
    <x:row r="4329" ht="21" customHeight="1">
      <x:c r="A4329" s="24" t="n">
        <x:v>46238.6875</x:v>
      </x:c>
      <x:c r="B4329" s="6" t="n">
        <x:v>0.32439999999999997</x:v>
      </x:c>
      <x:c r="C4329" s="6" t="n">
        <x:v>0.17859999999999998</x:v>
      </x:c>
      <x:c r="D4329" s="6" t="n">
        <x:f>B4329</x:f>
        <x:v>0.32439999999999997</x:v>
      </x:c>
      <x:c r="E4329" s="1" t="n">
        <x:v>1.05</x:v>
      </x:c>
      <x:c r="F4329" s="1" t="str">
        <x:v>https://api.octopus.energy/v1/products/AGILE-24-10-01/electricity-tariffs/E-1R-AGILE-24-10-01-G/standard-unit-rates/</x:v>
      </x:c>
    </x:row>
    <x:row r="4330" ht="21" customHeight="1">
      <x:c r="A4330" s="24" t="n">
        <x:v>46238.708333333336</x:v>
      </x:c>
      <x:c r="B4330" s="6" t="n">
        <x:v>0.3452</x:v>
      </x:c>
      <x:c r="C4330" s="6" t="n">
        <x:v>0.1881</x:v>
      </x:c>
      <x:c r="D4330" s="6" t="n">
        <x:f>B4330</x:f>
        <x:v>0.3452</x:v>
      </x:c>
      <x:c r="E4330" s="1" t="n">
        <x:v>1.05</x:v>
      </x:c>
      <x:c r="F4330" s="1" t="str">
        <x:v>https://api.octopus.energy/v1/products/AGILE-24-10-01/electricity-tariffs/E-1R-AGILE-24-10-01-G/standard-unit-rates/</x:v>
      </x:c>
    </x:row>
    <x:row r="4331" ht="21" customHeight="1">
      <x:c r="A4331" s="24" t="n">
        <x:v>46238.729166666664</x:v>
      </x:c>
      <x:c r="B4331" s="6" t="n">
        <x:v>0.3582</x:v>
      </x:c>
      <x:c r="C4331" s="6" t="n">
        <x:v>0.1941</x:v>
      </x:c>
      <x:c r="D4331" s="6" t="n">
        <x:f>B4331</x:f>
        <x:v>0.3582</x:v>
      </x:c>
      <x:c r="E4331" s="1" t="n">
        <x:v>1.05</x:v>
      </x:c>
      <x:c r="F4331" s="1" t="str">
        <x:v>https://api.octopus.energy/v1/products/AGILE-24-10-01/electricity-tariffs/E-1R-AGILE-24-10-01-G/standard-unit-rates/</x:v>
      </x:c>
    </x:row>
    <x:row r="4332" ht="21" customHeight="1">
      <x:c r="A4332" s="24" t="n">
        <x:v>46238.75</x:v>
      </x:c>
      <x:c r="B4332" s="6" t="n">
        <x:v>0.3754</x:v>
      </x:c>
      <x:c r="C4332" s="6" t="n">
        <x:v>0.20190000000000002</x:v>
      </x:c>
      <x:c r="D4332" s="6" t="n">
        <x:f>B4332</x:f>
        <x:v>0.3754</x:v>
      </x:c>
      <x:c r="E4332" s="1" t="n">
        <x:v>1.05</x:v>
      </x:c>
      <x:c r="F4332" s="1" t="str">
        <x:v>https://api.octopus.energy/v1/products/AGILE-24-10-01/electricity-tariffs/E-1R-AGILE-24-10-01-G/standard-unit-rates/</x:v>
      </x:c>
    </x:row>
    <x:row r="4333" ht="21" customHeight="1">
      <x:c r="A4333" s="24" t="n">
        <x:v>46238.770833333336</x:v>
      </x:c>
      <x:c r="B4333" s="6" t="n">
        <x:v>0.39</x:v>
      </x:c>
      <x:c r="C4333" s="6" t="n">
        <x:v>0.2086</x:v>
      </x:c>
      <x:c r="D4333" s="6" t="n">
        <x:f>B4333</x:f>
        <x:v>0.39</x:v>
      </x:c>
      <x:c r="E4333" s="1" t="n">
        <x:v>1.05</x:v>
      </x:c>
      <x:c r="F4333" s="1" t="str">
        <x:v>https://api.octopus.energy/v1/products/AGILE-24-10-01/electricity-tariffs/E-1R-AGILE-24-10-01-G/standard-unit-rates/</x:v>
      </x:c>
    </x:row>
    <x:row r="4334" ht="21" customHeight="1">
      <x:c r="A4334" s="24" t="n">
        <x:v>46238.791666666664</x:v>
      </x:c>
      <x:c r="B4334" s="6" t="n">
        <x:v>0.293</x:v>
      </x:c>
      <x:c r="C4334" s="6" t="n">
        <x:v>0.1602</x:v>
      </x:c>
      <x:c r="D4334" s="6" t="n">
        <x:f>B4334</x:f>
        <x:v>0.293</x:v>
      </x:c>
      <x:c r="E4334" s="1" t="n">
        <x:v>1.05</x:v>
      </x:c>
      <x:c r="F4334" s="1" t="str">
        <x:v>https://api.octopus.energy/v1/products/AGILE-24-10-01/electricity-tariffs/E-1R-AGILE-24-10-01-G/standard-unit-rates/</x:v>
      </x:c>
    </x:row>
    <x:row r="4335" ht="21" customHeight="1">
      <x:c r="A4335" s="24" t="n">
        <x:v>46238.8125</x:v>
      </x:c>
      <x:c r="B4335" s="6" t="n">
        <x:v>0.2927</x:v>
      </x:c>
      <x:c r="C4335" s="6" t="n">
        <x:v>0.16010000000000002</x:v>
      </x:c>
      <x:c r="D4335" s="6" t="n">
        <x:f>B4335</x:f>
        <x:v>0.2927</x:v>
      </x:c>
      <x:c r="E4335" s="1" t="n">
        <x:v>1.05</x:v>
      </x:c>
      <x:c r="F4335" s="1" t="str">
        <x:v>https://api.octopus.energy/v1/products/AGILE-24-10-01/electricity-tariffs/E-1R-AGILE-24-10-01-G/standard-unit-rates/</x:v>
      </x:c>
    </x:row>
    <x:row r="4336" ht="21" customHeight="1">
      <x:c r="A4336" s="24" t="n">
        <x:v>46238.833333333336</x:v>
      </x:c>
      <x:c r="B4336" s="6" t="n">
        <x:v>0.2968</x:v>
      </x:c>
      <x:c r="C4336" s="6" t="n">
        <x:v>0.162</x:v>
      </x:c>
      <x:c r="D4336" s="6" t="n">
        <x:f>B4336</x:f>
        <x:v>0.2968</x:v>
      </x:c>
      <x:c r="E4336" s="1" t="n">
        <x:v>1.05</x:v>
      </x:c>
      <x:c r="F4336" s="1" t="str">
        <x:v>https://api.octopus.energy/v1/products/AGILE-24-10-01/electricity-tariffs/E-1R-AGILE-24-10-01-G/standard-unit-rates/</x:v>
      </x:c>
    </x:row>
    <x:row r="4337" ht="21" customHeight="1">
      <x:c r="A4337" s="24" t="n">
        <x:v>46238.854166666664</x:v>
      </x:c>
      <x:c r="B4337" s="6" t="n">
        <x:v>0.2903</x:v>
      </x:c>
      <x:c r="C4337" s="6" t="n">
        <x:v>0.159</x:v>
      </x:c>
      <x:c r="D4337" s="6" t="n">
        <x:f>B4337</x:f>
        <x:v>0.2903</x:v>
      </x:c>
      <x:c r="E4337" s="1" t="n">
        <x:v>1.05</x:v>
      </x:c>
      <x:c r="F4337" s="1" t="str">
        <x:v>https://api.octopus.energy/v1/products/AGILE-24-10-01/electricity-tariffs/E-1R-AGILE-24-10-01-G/standard-unit-rates/</x:v>
      </x:c>
    </x:row>
    <x:row r="4338" ht="21" customHeight="1">
      <x:c r="A4338" s="24" t="n">
        <x:v>46238.875</x:v>
      </x:c>
      <x:c r="B4338" s="6" t="n">
        <x:v>0.2862</x:v>
      </x:c>
      <x:c r="C4338" s="6" t="n">
        <x:v>0.15710000000000002</x:v>
      </x:c>
      <x:c r="D4338" s="6" t="n">
        <x:f>B4338</x:f>
        <x:v>0.2862</x:v>
      </x:c>
      <x:c r="E4338" s="1" t="n">
        <x:v>1.05</x:v>
      </x:c>
      <x:c r="F4338" s="1" t="str">
        <x:v>https://api.octopus.energy/v1/products/AGILE-24-10-01/electricity-tariffs/E-1R-AGILE-24-10-01-G/standard-unit-rates/</x:v>
      </x:c>
    </x:row>
    <x:row r="4339" ht="21" customHeight="1">
      <x:c r="A4339" s="24" t="n">
        <x:v>46238.895833333336</x:v>
      </x:c>
      <x:c r="B4339" s="6" t="n">
        <x:v>0.27699999999999997</x:v>
      </x:c>
      <x:c r="C4339" s="6" t="n">
        <x:v>0.15289999999999998</x:v>
      </x:c>
      <x:c r="D4339" s="6" t="n">
        <x:f>B4339</x:f>
        <x:v>0.27699999999999997</x:v>
      </x:c>
      <x:c r="E4339" s="1" t="n">
        <x:v>1.05</x:v>
      </x:c>
      <x:c r="F4339" s="1" t="str">
        <x:v>https://api.octopus.energy/v1/products/AGILE-24-10-01/electricity-tariffs/E-1R-AGILE-24-10-01-G/standard-unit-rates/</x:v>
      </x:c>
    </x:row>
    <x:row r="4340" ht="21" customHeight="1">
      <x:c r="A4340" s="24" t="n">
        <x:v>46238.916666666664</x:v>
      </x:c>
      <x:c r="B4340" s="6" t="n">
        <x:v>0.2614</x:v>
      </x:c>
      <x:c r="C4340" s="6" t="n">
        <x:v>0.1458</x:v>
      </x:c>
      <x:c r="D4340" s="6" t="n">
        <x:f>B4340</x:f>
        <x:v>0.2614</x:v>
      </x:c>
      <x:c r="E4340" s="1" t="n">
        <x:v>1.05</x:v>
      </x:c>
      <x:c r="F4340" s="1" t="str">
        <x:v>https://api.octopus.energy/v1/products/AGILE-24-10-01/electricity-tariffs/E-1R-AGILE-24-10-01-G/standard-unit-rates/</x:v>
      </x:c>
    </x:row>
    <x:row r="4341" ht="21" customHeight="1">
      <x:c r="A4341" s="24" t="n">
        <x:v>46238.9375</x:v>
      </x:c>
      <x:c r="B4341" s="6" t="n">
        <x:v>0.2413</x:v>
      </x:c>
      <x:c r="C4341" s="6" t="n">
        <x:v>0.1366</x:v>
      </x:c>
      <x:c r="D4341" s="6" t="n">
        <x:f>B4341</x:f>
        <x:v>0.2413</x:v>
      </x:c>
      <x:c r="E4341" s="1" t="n">
        <x:v>1.05</x:v>
      </x:c>
      <x:c r="F4341" s="1" t="str">
        <x:v>https://api.octopus.energy/v1/products/AGILE-24-10-01/electricity-tariffs/E-1R-AGILE-24-10-01-G/standard-unit-rates/</x:v>
      </x:c>
    </x:row>
    <x:row r="4342" ht="21" customHeight="1">
      <x:c r="A4342" s="24" t="n">
        <x:v>46239</x:v>
      </x:c>
      <x:c r="B4342" s="6" t="n">
        <x:v>0.2302</x:v>
      </x:c>
      <x:c r="C4342" s="6" t="n">
        <x:v>0.1315</x:v>
      </x:c>
      <x:c r="D4342" s="6" t="n">
        <x:f>B4342</x:f>
        <x:v>0.2302</x:v>
      </x:c>
      <x:c r="E4342" s="1" t="n">
        <x:v>1.05</x:v>
      </x:c>
      <x:c r="F4342" s="1" t="str">
        <x:v>https://api.octopus.energy/v1/products/AGILE-24-10-01/electricity-tariffs/E-1R-AGILE-24-10-01-G/standard-unit-rates/</x:v>
      </x:c>
    </x:row>
    <x:row r="4343" ht="21" customHeight="1">
      <x:c r="A4343" s="24" t="n">
        <x:v>46238.979166666664</x:v>
      </x:c>
      <x:c r="B4343" s="6" t="n">
        <x:v>0.23329999999999998</x:v>
      </x:c>
      <x:c r="C4343" s="6" t="n">
        <x:v>0.1329</x:v>
      </x:c>
      <x:c r="D4343" s="6" t="n">
        <x:f>B4343</x:f>
        <x:v>0.23329999999999998</x:v>
      </x:c>
      <x:c r="E4343" s="1" t="n">
        <x:v>1.05</x:v>
      </x:c>
      <x:c r="F4343" s="1" t="str">
        <x:v>https://api.octopus.energy/v1/products/AGILE-24-10-01/electricity-tariffs/E-1R-AGILE-24-10-01-G/standard-unit-rates/</x:v>
      </x:c>
    </x:row>
    <x:row r="4344" ht="21" customHeight="1">
      <x:c r="A4344" s="24" t="n">
        <x:v>46239</x:v>
      </x:c>
      <x:c r="B4344" s="6" t="n">
        <x:v>0.2354</x:v>
      </x:c>
      <x:c r="C4344" s="6" t="n">
        <x:v>0.13390000000000002</x:v>
      </x:c>
      <x:c r="D4344" s="6" t="n">
        <x:f>B4344</x:f>
        <x:v>0.2354</x:v>
      </x:c>
      <x:c r="E4344" s="1" t="n">
        <x:v>1.05</x:v>
      </x:c>
      <x:c r="F4344" s="1" t="str">
        <x:v>https://api.octopus.energy/v1/products/AGILE-24-10-01/electricity-tariffs/E-1R-AGILE-24-10-01-G/standard-unit-rates/</x:v>
      </x:c>
    </x:row>
    <x:row r="4345" ht="21" customHeight="1">
      <x:c r="A4345" s="24" t="n">
        <x:v>46239.020833333336</x:v>
      </x:c>
      <x:c r="B4345" s="6" t="n">
        <x:v>0.22699999999999998</x:v>
      </x:c>
      <x:c r="C4345" s="6" t="n">
        <x:v>0.13</x:v>
      </x:c>
      <x:c r="D4345" s="6" t="n">
        <x:f>B4345</x:f>
        <x:v>0.22699999999999998</x:v>
      </x:c>
      <x:c r="E4345" s="1" t="n">
        <x:v>1.05</x:v>
      </x:c>
      <x:c r="F4345" s="1" t="str">
        <x:v>https://api.octopus.energy/v1/products/AGILE-24-10-01/electricity-tariffs/E-1R-AGILE-24-10-01-G/standard-unit-rates/</x:v>
      </x:c>
    </x:row>
    <x:row r="4346" ht="21" customHeight="1">
      <x:c r="A4346" s="24" t="n">
        <x:v>46239.041666666664</x:v>
      </x:c>
      <x:c r="B4346" s="6" t="n">
        <x:v>0.22030000000000002</x:v>
      </x:c>
      <x:c r="C4346" s="6" t="n">
        <x:v>0.127</x:v>
      </x:c>
      <x:c r="D4346" s="6" t="n">
        <x:f>B4346</x:f>
        <x:v>0.22030000000000002</x:v>
      </x:c>
      <x:c r="E4346" s="1" t="n">
        <x:v>1.05</x:v>
      </x:c>
      <x:c r="F4346" s="1" t="str">
        <x:v>https://api.octopus.energy/v1/products/AGILE-24-10-01/electricity-tariffs/E-1R-AGILE-24-10-01-G/standard-unit-rates/</x:v>
      </x:c>
    </x:row>
    <x:row r="4347" ht="21" customHeight="1">
      <x:c r="A4347" s="24" t="n">
        <x:v>46239.0625</x:v>
      </x:c>
      <x:c r="B4347" s="6" t="n">
        <x:v>0.22260000000000002</x:v>
      </x:c>
      <x:c r="C4347" s="6" t="n">
        <x:v>0.128</x:v>
      </x:c>
      <x:c r="D4347" s="6" t="n">
        <x:f>B4347</x:f>
        <x:v>0.22260000000000002</x:v>
      </x:c>
      <x:c r="E4347" s="1" t="n">
        <x:v>1.05</x:v>
      </x:c>
      <x:c r="F4347" s="1" t="str">
        <x:v>https://api.octopus.energy/v1/products/AGILE-24-10-01/electricity-tariffs/E-1R-AGILE-24-10-01-G/standard-unit-rates/</x:v>
      </x:c>
    </x:row>
    <x:row r="4348" ht="21" customHeight="1">
      <x:c r="A4348" s="24" t="n">
        <x:v>46239.083333333336</x:v>
      </x:c>
      <x:c r="B4348" s="6" t="n">
        <x:v>0.22</x:v>
      </x:c>
      <x:c r="C4348" s="6" t="n">
        <x:v>0.1268</x:v>
      </x:c>
      <x:c r="D4348" s="6" t="n">
        <x:f>B4348</x:f>
        <x:v>0.22</x:v>
      </x:c>
      <x:c r="E4348" s="1" t="n">
        <x:v>1.05</x:v>
      </x:c>
      <x:c r="F4348" s="1" t="str">
        <x:v>https://api.octopus.energy/v1/products/AGILE-24-10-01/electricity-tariffs/E-1R-AGILE-24-10-01-G/standard-unit-rates/</x:v>
      </x:c>
    </x:row>
    <x:row r="4349" ht="21" customHeight="1">
      <x:c r="A4349" s="24" t="n">
        <x:v>46239.104166666664</x:v>
      </x:c>
      <x:c r="B4349" s="6" t="n">
        <x:v>0.20929999999999999</x:v>
      </x:c>
      <x:c r="C4349" s="6" t="n">
        <x:v>0.1219</x:v>
      </x:c>
      <x:c r="D4349" s="6" t="n">
        <x:f>B4349</x:f>
        <x:v>0.20929999999999999</x:v>
      </x:c>
      <x:c r="E4349" s="1" t="n">
        <x:v>1.05</x:v>
      </x:c>
      <x:c r="F4349" s="1" t="str">
        <x:v>https://api.octopus.energy/v1/products/AGILE-24-10-01/electricity-tariffs/E-1R-AGILE-24-10-01-G/standard-unit-rates/</x:v>
      </x:c>
    </x:row>
    <x:row r="4350" ht="21" customHeight="1">
      <x:c r="A4350" s="24" t="n">
        <x:v>46239.125</x:v>
      </x:c>
      <x:c r="B4350" s="6" t="n">
        <x:v>0.2046</x:v>
      </x:c>
      <x:c r="C4350" s="6" t="n">
        <x:v>0.1198</x:v>
      </x:c>
      <x:c r="D4350" s="6" t="n">
        <x:f>B4350</x:f>
        <x:v>0.2046</x:v>
      </x:c>
      <x:c r="E4350" s="1" t="n">
        <x:v>1.05</x:v>
      </x:c>
      <x:c r="F4350" s="1" t="str">
        <x:v>https://api.octopus.energy/v1/products/AGILE-24-10-01/electricity-tariffs/E-1R-AGILE-24-10-01-G/standard-unit-rates/</x:v>
      </x:c>
    </x:row>
    <x:row r="4351" ht="21" customHeight="1">
      <x:c r="A4351" s="24" t="n">
        <x:v>46239.145833333336</x:v>
      </x:c>
      <x:c r="B4351" s="6" t="n">
        <x:v>0.1954</x:v>
      </x:c>
      <x:c r="C4351" s="6" t="n">
        <x:v>0.11560000000000001</x:v>
      </x:c>
      <x:c r="D4351" s="6" t="n">
        <x:f>B4351</x:f>
        <x:v>0.1954</x:v>
      </x:c>
      <x:c r="E4351" s="1" t="n">
        <x:v>1.05</x:v>
      </x:c>
      <x:c r="F4351" s="1" t="str">
        <x:v>https://api.octopus.energy/v1/products/AGILE-24-10-01/electricity-tariffs/E-1R-AGILE-24-10-01-G/standard-unit-rates/</x:v>
      </x:c>
    </x:row>
    <x:row r="4352" ht="21" customHeight="1">
      <x:c r="A4352" s="24" t="n">
        <x:v>46239.166666666664</x:v>
      </x:c>
      <x:c r="B4352" s="6" t="n">
        <x:v>0.2125</x:v>
      </x:c>
      <x:c r="C4352" s="6" t="n">
        <x:v>0.1234</x:v>
      </x:c>
      <x:c r="D4352" s="6" t="n">
        <x:f>B4352</x:f>
        <x:v>0.2125</x:v>
      </x:c>
      <x:c r="E4352" s="1" t="n">
        <x:v>1.05</x:v>
      </x:c>
      <x:c r="F4352" s="1" t="str">
        <x:v>https://api.octopus.energy/v1/products/AGILE-24-10-01/electricity-tariffs/E-1R-AGILE-24-10-01-G/standard-unit-rates/</x:v>
      </x:c>
    </x:row>
    <x:row r="4353" ht="21" customHeight="1">
      <x:c r="A4353" s="24" t="n">
        <x:v>46239.1875</x:v>
      </x:c>
      <x:c r="B4353" s="6" t="n">
        <x:v>0.2047</x:v>
      </x:c>
      <x:c r="C4353" s="6" t="n">
        <x:v>0.1199</x:v>
      </x:c>
      <x:c r="D4353" s="6" t="n">
        <x:f>B4353</x:f>
        <x:v>0.2047</x:v>
      </x:c>
      <x:c r="E4353" s="1" t="n">
        <x:v>1.05</x:v>
      </x:c>
      <x:c r="F4353" s="1" t="str">
        <x:v>https://api.octopus.energy/v1/products/AGILE-24-10-01/electricity-tariffs/E-1R-AGILE-24-10-01-G/standard-unit-rates/</x:v>
      </x:c>
    </x:row>
    <x:row r="4354" ht="21" customHeight="1">
      <x:c r="A4354" s="24" t="n">
        <x:v>46239.208333333336</x:v>
      </x:c>
      <x:c r="B4354" s="6" t="n">
        <x:v>0.226</x:v>
      </x:c>
      <x:c r="C4354" s="6" t="n">
        <x:v>0.12960000000000002</x:v>
      </x:c>
      <x:c r="D4354" s="6" t="n">
        <x:f>B4354</x:f>
        <x:v>0.226</x:v>
      </x:c>
      <x:c r="E4354" s="1" t="n">
        <x:v>1.05</x:v>
      </x:c>
      <x:c r="F4354" s="1" t="str">
        <x:v>https://api.octopus.energy/v1/products/AGILE-24-10-01/electricity-tariffs/E-1R-AGILE-24-10-01-G/standard-unit-rates/</x:v>
      </x:c>
    </x:row>
    <x:row r="4355" ht="21" customHeight="1">
      <x:c r="A4355" s="24" t="n">
        <x:v>46239.229166666664</x:v>
      </x:c>
      <x:c r="B4355" s="6" t="n">
        <x:v>0.2255</x:v>
      </x:c>
      <x:c r="C4355" s="6" t="n">
        <x:v>0.1294</x:v>
      </x:c>
      <x:c r="D4355" s="6" t="n">
        <x:f>B4355</x:f>
        <x:v>0.2255</x:v>
      </x:c>
      <x:c r="E4355" s="1" t="n">
        <x:v>1.05</x:v>
      </x:c>
      <x:c r="F4355" s="1" t="str">
        <x:v>https://api.octopus.energy/v1/products/AGILE-24-10-01/electricity-tariffs/E-1R-AGILE-24-10-01-G/standard-unit-rates/</x:v>
      </x:c>
    </x:row>
    <x:row r="4356" ht="21" customHeight="1">
      <x:c r="A4356" s="24" t="n">
        <x:v>46239.25</x:v>
      </x:c>
      <x:c r="B4356" s="6" t="n">
        <x:v>0.2089</x:v>
      </x:c>
      <x:c r="C4356" s="6" t="n">
        <x:v>0.12179999999999999</x:v>
      </x:c>
      <x:c r="D4356" s="6" t="n">
        <x:f>B4356</x:f>
        <x:v>0.2089</x:v>
      </x:c>
      <x:c r="E4356" s="1" t="n">
        <x:v>1.05</x:v>
      </x:c>
      <x:c r="F4356" s="1" t="str">
        <x:v>https://api.octopus.energy/v1/products/AGILE-24-10-01/electricity-tariffs/E-1R-AGILE-24-10-01-G/standard-unit-rates/</x:v>
      </x:c>
    </x:row>
    <x:row r="4357" ht="21" customHeight="1">
      <x:c r="A4357" s="24" t="n">
        <x:v>46239.270833333336</x:v>
      </x:c>
      <x:c r="B4357" s="6" t="n">
        <x:v>0.22469999999999998</x:v>
      </x:c>
      <x:c r="C4357" s="6" t="n">
        <x:v>0.129</x:v>
      </x:c>
      <x:c r="D4357" s="6" t="n">
        <x:f>B4357</x:f>
        <x:v>0.22469999999999998</x:v>
      </x:c>
      <x:c r="E4357" s="1" t="n">
        <x:v>1.05</x:v>
      </x:c>
      <x:c r="F4357" s="1" t="str">
        <x:v>https://api.octopus.energy/v1/products/AGILE-24-10-01/electricity-tariffs/E-1R-AGILE-24-10-01-G/standard-unit-rates/</x:v>
      </x:c>
    </x:row>
    <x:row r="4358" ht="21" customHeight="1">
      <x:c r="A4358" s="24" t="n">
        <x:v>46239.291666666664</x:v>
      </x:c>
      <x:c r="B4358" s="6" t="n">
        <x:v>0.21230000000000002</x:v>
      </x:c>
      <x:c r="C4358" s="6" t="n">
        <x:v>0.1233</x:v>
      </x:c>
      <x:c r="D4358" s="6" t="n">
        <x:f>B4358</x:f>
        <x:v>0.21230000000000002</x:v>
      </x:c>
      <x:c r="E4358" s="1" t="n">
        <x:v>1.05</x:v>
      </x:c>
      <x:c r="F4358" s="1" t="str">
        <x:v>https://api.octopus.energy/v1/products/AGILE-24-10-01/electricity-tariffs/E-1R-AGILE-24-10-01-G/standard-unit-rates/</x:v>
      </x:c>
    </x:row>
    <x:row r="4359" ht="21" customHeight="1">
      <x:c r="A4359" s="24" t="n">
        <x:v>46239.3125</x:v>
      </x:c>
      <x:c r="B4359" s="6" t="n">
        <x:v>0.2147</x:v>
      </x:c>
      <x:c r="C4359" s="6" t="n">
        <x:v>0.1244</x:v>
      </x:c>
      <x:c r="D4359" s="6" t="n">
        <x:f>B4359</x:f>
        <x:v>0.2147</x:v>
      </x:c>
      <x:c r="E4359" s="1" t="n">
        <x:v>1.05</x:v>
      </x:c>
      <x:c r="F4359" s="1" t="str">
        <x:v>https://api.octopus.energy/v1/products/AGILE-24-10-01/electricity-tariffs/E-1R-AGILE-24-10-01-G/standard-unit-rates/</x:v>
      </x:c>
    </x:row>
    <x:row r="4360" ht="21" customHeight="1">
      <x:c r="A4360" s="24" t="n">
        <x:v>46239.333333333336</x:v>
      </x:c>
      <x:c r="B4360" s="6" t="n">
        <x:v>0.1693</x:v>
      </x:c>
      <x:c r="C4360" s="6" t="n">
        <x:v>0.10369999999999999</x:v>
      </x:c>
      <x:c r="D4360" s="6" t="n">
        <x:f>B4360</x:f>
        <x:v>0.1693</x:v>
      </x:c>
      <x:c r="E4360" s="1" t="n">
        <x:v>1.05</x:v>
      </x:c>
      <x:c r="F4360" s="1" t="str">
        <x:v>https://api.octopus.energy/v1/products/AGILE-24-10-01/electricity-tariffs/E-1R-AGILE-24-10-01-G/standard-unit-rates/</x:v>
      </x:c>
    </x:row>
    <x:row r="4361" ht="21" customHeight="1">
      <x:c r="A4361" s="24" t="n">
        <x:v>46239.354166666664</x:v>
      </x:c>
      <x:c r="B4361" s="6" t="n">
        <x:v>0.16149999999999998</x:v>
      </x:c>
      <x:c r="C4361" s="6" t="n">
        <x:v>0.1001</x:v>
      </x:c>
      <x:c r="D4361" s="6" t="n">
        <x:f>B4361</x:f>
        <x:v>0.16149999999999998</x:v>
      </x:c>
      <x:c r="E4361" s="1" t="n">
        <x:v>1.05</x:v>
      </x:c>
      <x:c r="F4361" s="1" t="str">
        <x:v>https://api.octopus.energy/v1/products/AGILE-24-10-01/electricity-tariffs/E-1R-AGILE-24-10-01-G/standard-unit-rates/</x:v>
      </x:c>
    </x:row>
    <x:row r="4362" ht="21" customHeight="1">
      <x:c r="A4362" s="24" t="n">
        <x:v>46239.375</x:v>
      </x:c>
      <x:c r="B4362" s="6" t="n">
        <x:v>0.0973</x:v>
      </x:c>
      <x:c r="C4362" s="6" t="n">
        <x:v>0.0707</x:v>
      </x:c>
      <x:c r="D4362" s="6" t="n">
        <x:f>B4362</x:f>
        <x:v>0.0973</x:v>
      </x:c>
      <x:c r="E4362" s="1" t="n">
        <x:v>1.05</x:v>
      </x:c>
      <x:c r="F4362" s="1" t="str">
        <x:v>https://api.octopus.energy/v1/products/AGILE-24-10-01/electricity-tariffs/E-1R-AGILE-24-10-01-G/standard-unit-rates/</x:v>
      </x:c>
    </x:row>
    <x:row r="4363" ht="21" customHeight="1">
      <x:c r="A4363" s="24" t="n">
        <x:v>46239.395833333336</x:v>
      </x:c>
      <x:c r="B4363" s="6" t="n">
        <x:v>0.053899999999999997</x:v>
      </x:c>
      <x:c r="C4363" s="6" t="n">
        <x:v>0.0509</x:v>
      </x:c>
      <x:c r="D4363" s="6" t="n">
        <x:f>B4363</x:f>
        <x:v>0.053899999999999997</x:v>
      </x:c>
      <x:c r="E4363" s="1" t="n">
        <x:v>1.05</x:v>
      </x:c>
      <x:c r="F4363" s="1" t="str">
        <x:v>https://api.octopus.energy/v1/products/AGILE-24-10-01/electricity-tariffs/E-1R-AGILE-24-10-01-G/standard-unit-rates/</x:v>
      </x:c>
    </x:row>
    <x:row r="4364" ht="21" customHeight="1">
      <x:c r="A4364" s="24" t="n">
        <x:v>46239.416666666664</x:v>
      </x:c>
      <x:c r="B4364" s="6" t="n">
        <x:v>-0.0098</x:v>
      </x:c>
      <x:c r="C4364" s="6" t="n">
        <x:v>0.0218</x:v>
      </x:c>
      <x:c r="D4364" s="6" t="n">
        <x:f>B4364</x:f>
        <x:v>-0.0098</x:v>
      </x:c>
      <x:c r="E4364" s="1" t="n">
        <x:v>1.05</x:v>
      </x:c>
      <x:c r="F4364" s="1" t="str">
        <x:v>https://api.octopus.energy/v1/products/AGILE-24-10-01/electricity-tariffs/E-1R-AGILE-24-10-01-G/standard-unit-rates/</x:v>
      </x:c>
    </x:row>
    <x:row r="4365" ht="21" customHeight="1">
      <x:c r="A4365" s="24" t="n">
        <x:v>46239.4375</x:v>
      </x:c>
      <x:c r="B4365" s="6" t="n">
        <x:v>-0.028999999999999998</x:v>
      </x:c>
      <x:c r="C4365" s="6" t="n">
        <x:v>0.013000000000000001</x:v>
      </x:c>
      <x:c r="D4365" s="6" t="n">
        <x:f>B4365</x:f>
        <x:v>-0.028999999999999998</x:v>
      </x:c>
      <x:c r="E4365" s="1" t="n">
        <x:v>1.05</x:v>
      </x:c>
      <x:c r="F4365" s="1" t="str">
        <x:v>https://api.octopus.energy/v1/products/AGILE-24-10-01/electricity-tariffs/E-1R-AGILE-24-10-01-G/standard-unit-rates/</x:v>
      </x:c>
    </x:row>
    <x:row r="4366" ht="21" customHeight="1">
      <x:c r="A4366" s="24" t="n">
        <x:v>46239.458333333336</x:v>
      </x:c>
      <x:c r="B4366" s="6" t="n">
        <x:v>-0.0316</x:v>
      </x:c>
      <x:c r="C4366" s="6" t="n">
        <x:v>0.0118</x:v>
      </x:c>
      <x:c r="D4366" s="6" t="n">
        <x:f>B4366</x:f>
        <x:v>-0.0316</x:v>
      </x:c>
      <x:c r="E4366" s="1" t="n">
        <x:v>1.05</x:v>
      </x:c>
      <x:c r="F4366" s="1" t="str">
        <x:v>https://api.octopus.energy/v1/products/AGILE-24-10-01/electricity-tariffs/E-1R-AGILE-24-10-01-G/standard-unit-rates/</x:v>
      </x:c>
    </x:row>
    <x:row r="4367" ht="21" customHeight="1">
      <x:c r="A4367" s="24" t="n">
        <x:v>46239.479166666664</x:v>
      </x:c>
      <x:c r="B4367" s="6" t="n">
        <x:v>-0.0344</x:v>
      </x:c>
      <x:c r="C4367" s="6" t="n">
        <x:v>0.0105</x:v>
      </x:c>
      <x:c r="D4367" s="6" t="n">
        <x:f>B4367</x:f>
        <x:v>-0.0344</x:v>
      </x:c>
      <x:c r="E4367" s="1" t="n">
        <x:v>1.05</x:v>
      </x:c>
      <x:c r="F4367" s="1" t="str">
        <x:v>https://api.octopus.energy/v1/products/AGILE-24-10-01/electricity-tariffs/E-1R-AGILE-24-10-01-G/standard-unit-rates/</x:v>
      </x:c>
    </x:row>
    <x:row r="4368" ht="21" customHeight="1">
      <x:c r="A4368" s="24" t="n">
        <x:v>46239.5</x:v>
      </x:c>
      <x:c r="B4368" s="6" t="n">
        <x:v>-0.037200000000000004</x:v>
      </x:c>
      <x:c r="C4368" s="6" t="n">
        <x:v>0.009300000000000001</x:v>
      </x:c>
      <x:c r="D4368" s="6" t="n">
        <x:f>B4368</x:f>
        <x:v>-0.037200000000000004</x:v>
      </x:c>
      <x:c r="E4368" s="1" t="n">
        <x:v>1.05</x:v>
      </x:c>
      <x:c r="F4368" s="1" t="str">
        <x:v>https://api.octopus.energy/v1/products/AGILE-24-10-01/electricity-tariffs/E-1R-AGILE-24-10-01-G/standard-unit-rates/</x:v>
      </x:c>
    </x:row>
    <x:row r="4369" ht="21" customHeight="1">
      <x:c r="A4369" s="24" t="n">
        <x:v>46239.520833333336</x:v>
      </x:c>
      <x:c r="B4369" s="6" t="n">
        <x:v>-0.037200000000000004</x:v>
      </x:c>
      <x:c r="C4369" s="6" t="n">
        <x:v>0.009300000000000001</x:v>
      </x:c>
      <x:c r="D4369" s="6" t="n">
        <x:f>B4369</x:f>
        <x:v>-0.037200000000000004</x:v>
      </x:c>
      <x:c r="E4369" s="1" t="n">
        <x:v>1.05</x:v>
      </x:c>
      <x:c r="F4369" s="1" t="str">
        <x:v>https://api.octopus.energy/v1/products/AGILE-24-10-01/electricity-tariffs/E-1R-AGILE-24-10-01-G/standard-unit-rates/</x:v>
      </x:c>
    </x:row>
    <x:row r="4370" ht="21" customHeight="1">
      <x:c r="A4370" s="24" t="n">
        <x:v>46239.541666666664</x:v>
      </x:c>
      <x:c r="B4370" s="6" t="n">
        <x:v>-0.0387</x:v>
      </x:c>
      <x:c r="C4370" s="6" t="n">
        <x:v>0.0086</x:v>
      </x:c>
      <x:c r="D4370" s="6" t="n">
        <x:f>B4370</x:f>
        <x:v>-0.0387</x:v>
      </x:c>
      <x:c r="E4370" s="1" t="n">
        <x:v>1.05</x:v>
      </x:c>
      <x:c r="F4370" s="1" t="str">
        <x:v>https://api.octopus.energy/v1/products/AGILE-24-10-01/electricity-tariffs/E-1R-AGILE-24-10-01-G/standard-unit-rates/</x:v>
      </x:c>
    </x:row>
    <x:row r="4371" ht="21" customHeight="1">
      <x:c r="A4371" s="24" t="n">
        <x:v>46239.5625</x:v>
      </x:c>
      <x:c r="B4371" s="6" t="n">
        <x:v>-0.0384</x:v>
      </x:c>
      <x:c r="C4371" s="6" t="n">
        <x:v>0.0087</x:v>
      </x:c>
      <x:c r="D4371" s="6" t="n">
        <x:f>B4371</x:f>
        <x:v>-0.0384</x:v>
      </x:c>
      <x:c r="E4371" s="1" t="n">
        <x:v>1.05</x:v>
      </x:c>
      <x:c r="F4371" s="1" t="str">
        <x:v>https://api.octopus.energy/v1/products/AGILE-24-10-01/electricity-tariffs/E-1R-AGILE-24-10-01-G/standard-unit-rates/</x:v>
      </x:c>
    </x:row>
    <x:row r="4372" ht="21" customHeight="1">
      <x:c r="A4372" s="24" t="n">
        <x:v>46239.583333333336</x:v>
      </x:c>
      <x:c r="B4372" s="6" t="n">
        <x:v>-0.0383</x:v>
      </x:c>
      <x:c r="C4372" s="6" t="n">
        <x:v>0.0088</x:v>
      </x:c>
      <x:c r="D4372" s="6" t="n">
        <x:f>B4372</x:f>
        <x:v>-0.0383</x:v>
      </x:c>
      <x:c r="E4372" s="1" t="n">
        <x:v>1.05</x:v>
      </x:c>
      <x:c r="F4372" s="1" t="str">
        <x:v>https://api.octopus.energy/v1/products/AGILE-24-10-01/electricity-tariffs/E-1R-AGILE-24-10-01-G/standard-unit-rates/</x:v>
      </x:c>
    </x:row>
    <x:row r="4373" ht="21" customHeight="1">
      <x:c r="A4373" s="24" t="n">
        <x:v>46239.604166666664</x:v>
      </x:c>
      <x:c r="B4373" s="6" t="n">
        <x:v>-0.037200000000000004</x:v>
      </x:c>
      <x:c r="C4373" s="6" t="n">
        <x:v>0.009300000000000001</x:v>
      </x:c>
      <x:c r="D4373" s="6" t="n">
        <x:f>B4373</x:f>
        <x:v>-0.037200000000000004</x:v>
      </x:c>
      <x:c r="E4373" s="1" t="n">
        <x:v>1.05</x:v>
      </x:c>
      <x:c r="F4373" s="1" t="str">
        <x:v>https://api.octopus.energy/v1/products/AGILE-24-10-01/electricity-tariffs/E-1R-AGILE-24-10-01-G/standard-unit-rates/</x:v>
      </x:c>
    </x:row>
    <x:row r="4374" ht="21" customHeight="1">
      <x:c r="A4374" s="24" t="n">
        <x:v>46239.625</x:v>
      </x:c>
      <x:c r="B4374" s="6" t="n">
        <x:v>-0.037200000000000004</x:v>
      </x:c>
      <x:c r="C4374" s="6" t="n">
        <x:v>0.009300000000000001</x:v>
      </x:c>
      <x:c r="D4374" s="6" t="n">
        <x:f>B4374</x:f>
        <x:v>-0.037200000000000004</x:v>
      </x:c>
      <x:c r="E4374" s="1" t="n">
        <x:v>1.05</x:v>
      </x:c>
      <x:c r="F4374" s="1" t="str">
        <x:v>https://api.octopus.energy/v1/products/AGILE-24-10-01/electricity-tariffs/E-1R-AGILE-24-10-01-G/standard-unit-rates/</x:v>
      </x:c>
    </x:row>
    <x:row r="4375" ht="21" customHeight="1">
      <x:c r="A4375" s="24" t="n">
        <x:v>46239.645833333336</x:v>
      </x:c>
      <x:c r="B4375" s="6" t="n">
        <x:v>-0.037200000000000004</x:v>
      </x:c>
      <x:c r="C4375" s="6" t="n">
        <x:v>0.009300000000000001</x:v>
      </x:c>
      <x:c r="D4375" s="6" t="n">
        <x:f>B4375</x:f>
        <x:v>-0.037200000000000004</x:v>
      </x:c>
      <x:c r="E4375" s="1" t="n">
        <x:v>1.05</x:v>
      </x:c>
      <x:c r="F4375" s="1" t="str">
        <x:v>https://api.octopus.energy/v1/products/AGILE-24-10-01/electricity-tariffs/E-1R-AGILE-24-10-01-G/standard-unit-rates/</x:v>
      </x:c>
    </x:row>
    <x:row r="4376" ht="21" customHeight="1">
      <x:c r="A4376" s="24" t="n">
        <x:v>46239.666666666664</x:v>
      </x:c>
      <x:c r="B4376" s="6" t="n">
        <x:v>0.1242</x:v>
      </x:c>
      <x:c r="C4376" s="6" t="n">
        <x:v>0.08710000000000001</x:v>
      </x:c>
      <x:c r="D4376" s="6" t="n">
        <x:f>B4376</x:f>
        <x:v>0.1242</x:v>
      </x:c>
      <x:c r="E4376" s="1" t="n">
        <x:v>1.05</x:v>
      </x:c>
      <x:c r="F4376" s="1" t="str">
        <x:v>https://api.octopus.energy/v1/products/AGILE-24-10-01/electricity-tariffs/E-1R-AGILE-24-10-01-G/standard-unit-rates/</x:v>
      </x:c>
    </x:row>
    <x:row r="4377" ht="21" customHeight="1">
      <x:c r="A4377" s="24" t="n">
        <x:v>46239.6875</x:v>
      </x:c>
      <x:c r="B4377" s="6" t="n">
        <x:v>0.18030000000000002</x:v>
      </x:c>
      <x:c r="C4377" s="6" t="n">
        <x:v>0.1127</x:v>
      </x:c>
      <x:c r="D4377" s="6" t="n">
        <x:f>B4377</x:f>
        <x:v>0.18030000000000002</x:v>
      </x:c>
      <x:c r="E4377" s="1" t="n">
        <x:v>1.05</x:v>
      </x:c>
      <x:c r="F4377" s="1" t="str">
        <x:v>https://api.octopus.energy/v1/products/AGILE-24-10-01/electricity-tariffs/E-1R-AGILE-24-10-01-G/standard-unit-rates/</x:v>
      </x:c>
    </x:row>
    <x:row r="4378" ht="21" customHeight="1">
      <x:c r="A4378" s="24" t="n">
        <x:v>46239.708333333336</x:v>
      </x:c>
      <x:c r="B4378" s="6" t="n">
        <x:v>0.2682</x:v>
      </x:c>
      <x:c r="C4378" s="6" t="n">
        <x:v>0.15289999999999998</x:v>
      </x:c>
      <x:c r="D4378" s="6" t="n">
        <x:f>B4378</x:f>
        <x:v>0.2682</x:v>
      </x:c>
      <x:c r="E4378" s="1" t="n">
        <x:v>1.05</x:v>
      </x:c>
      <x:c r="F4378" s="1" t="str">
        <x:v>https://api.octopus.energy/v1/products/AGILE-24-10-01/electricity-tariffs/E-1R-AGILE-24-10-01-G/standard-unit-rates/</x:v>
      </x:c>
    </x:row>
    <x:row r="4379" ht="21" customHeight="1">
      <x:c r="A4379" s="24" t="n">
        <x:v>46239.729166666664</x:v>
      </x:c>
      <x:c r="B4379" s="6" t="n">
        <x:v>0.2896</x:v>
      </x:c>
      <x:c r="C4379" s="6" t="n">
        <x:v>0.16269999999999998</x:v>
      </x:c>
      <x:c r="D4379" s="6" t="n">
        <x:f>B4379</x:f>
        <x:v>0.2896</x:v>
      </x:c>
      <x:c r="E4379" s="1" t="n">
        <x:v>1.05</x:v>
      </x:c>
      <x:c r="F4379" s="1" t="str">
        <x:v>https://api.octopus.energy/v1/products/AGILE-24-10-01/electricity-tariffs/E-1R-AGILE-24-10-01-G/standard-unit-rates/</x:v>
      </x:c>
    </x:row>
    <x:row r="4380" ht="21" customHeight="1">
      <x:c r="A4380" s="24" t="n">
        <x:v>46239.75</x:v>
      </x:c>
      <x:c r="B4380" s="6" t="n">
        <x:v>0.3181</x:v>
      </x:c>
      <x:c r="C4380" s="6" t="n">
        <x:v>0.1757</x:v>
      </x:c>
      <x:c r="D4380" s="6" t="n">
        <x:f>B4380</x:f>
        <x:v>0.3181</x:v>
      </x:c>
      <x:c r="E4380" s="1" t="n">
        <x:v>1.05</x:v>
      </x:c>
      <x:c r="F4380" s="1" t="str">
        <x:v>https://api.octopus.energy/v1/products/AGILE-24-10-01/electricity-tariffs/E-1R-AGILE-24-10-01-G/standard-unit-rates/</x:v>
      </x:c>
    </x:row>
    <x:row r="4381" ht="21" customHeight="1">
      <x:c r="A4381" s="24" t="n">
        <x:v>46239.770833333336</x:v>
      </x:c>
      <x:c r="B4381" s="6" t="n">
        <x:v>0.3444</x:v>
      </x:c>
      <x:c r="C4381" s="6" t="n">
        <x:v>0.1877</x:v>
      </x:c>
      <x:c r="D4381" s="6" t="n">
        <x:f>B4381</x:f>
        <x:v>0.3444</x:v>
      </x:c>
      <x:c r="E4381" s="1" t="n">
        <x:v>1.05</x:v>
      </x:c>
      <x:c r="F4381" s="1" t="str">
        <x:v>https://api.octopus.energy/v1/products/AGILE-24-10-01/electricity-tariffs/E-1R-AGILE-24-10-01-G/standard-unit-rates/</x:v>
      </x:c>
    </x:row>
    <x:row r="4382" ht="21" customHeight="1">
      <x:c r="A4382" s="24" t="n">
        <x:v>46239.791666666664</x:v>
      </x:c>
      <x:c r="B4382" s="6" t="n">
        <x:v>0.239</x:v>
      </x:c>
      <x:c r="C4382" s="6" t="n">
        <x:v>0.1355</x:v>
      </x:c>
      <x:c r="D4382" s="6" t="n">
        <x:f>B4382</x:f>
        <x:v>0.239</x:v>
      </x:c>
      <x:c r="E4382" s="1" t="n">
        <x:v>1.05</x:v>
      </x:c>
      <x:c r="F4382" s="1" t="str">
        <x:v>https://api.octopus.energy/v1/products/AGILE-24-10-01/electricity-tariffs/E-1R-AGILE-24-10-01-G/standard-unit-rates/</x:v>
      </x:c>
    </x:row>
    <x:row r="4383" ht="21" customHeight="1">
      <x:c r="A4383" s="24" t="n">
        <x:v>46239.8125</x:v>
      </x:c>
      <x:c r="B4383" s="6" t="n">
        <x:v>0.2414</x:v>
      </x:c>
      <x:c r="C4383" s="6" t="n">
        <x:v>0.1366</x:v>
      </x:c>
      <x:c r="D4383" s="6" t="n">
        <x:f>B4383</x:f>
        <x:v>0.2414</x:v>
      </x:c>
      <x:c r="E4383" s="1" t="n">
        <x:v>1.05</x:v>
      </x:c>
      <x:c r="F4383" s="1" t="str">
        <x:v>https://api.octopus.energy/v1/products/AGILE-24-10-01/electricity-tariffs/E-1R-AGILE-24-10-01-G/standard-unit-rates/</x:v>
      </x:c>
    </x:row>
    <x:row r="4384" ht="21" customHeight="1">
      <x:c r="A4384" s="24" t="n">
        <x:v>46239.833333333336</x:v>
      </x:c>
      <x:c r="B4384" s="6" t="n">
        <x:v>0.2395</x:v>
      </x:c>
      <x:c r="C4384" s="6" t="n">
        <x:v>0.1358</x:v>
      </x:c>
      <x:c r="D4384" s="6" t="n">
        <x:f>B4384</x:f>
        <x:v>0.2395</x:v>
      </x:c>
      <x:c r="E4384" s="1" t="n">
        <x:v>1.05</x:v>
      </x:c>
      <x:c r="F4384" s="1" t="str">
        <x:v>https://api.octopus.energy/v1/products/AGILE-24-10-01/electricity-tariffs/E-1R-AGILE-24-10-01-G/standard-unit-rates/</x:v>
      </x:c>
    </x:row>
    <x:row r="4385" ht="21" customHeight="1">
      <x:c r="A4385" s="24" t="n">
        <x:v>46239.854166666664</x:v>
      </x:c>
      <x:c r="B4385" s="6" t="n">
        <x:v>0.2384</x:v>
      </x:c>
      <x:c r="C4385" s="6" t="n">
        <x:v>0.1352</x:v>
      </x:c>
      <x:c r="D4385" s="6" t="n">
        <x:f>B4385</x:f>
        <x:v>0.2384</x:v>
      </x:c>
      <x:c r="E4385" s="1" t="n">
        <x:v>1.05</x:v>
      </x:c>
      <x:c r="F4385" s="1" t="str">
        <x:v>https://api.octopus.energy/v1/products/AGILE-24-10-01/electricity-tariffs/E-1R-AGILE-24-10-01-G/standard-unit-rates/</x:v>
      </x:c>
    </x:row>
    <x:row r="4386" ht="21" customHeight="1">
      <x:c r="A4386" s="24" t="n">
        <x:v>46239.875</x:v>
      </x:c>
      <x:c r="B4386" s="6" t="n">
        <x:v>0.2446</x:v>
      </x:c>
      <x:c r="C4386" s="6" t="n">
        <x:v>0.1381</x:v>
      </x:c>
      <x:c r="D4386" s="6" t="n">
        <x:f>B4386</x:f>
        <x:v>0.2446</x:v>
      </x:c>
      <x:c r="E4386" s="1" t="n">
        <x:v>1.05</x:v>
      </x:c>
      <x:c r="F4386" s="1" t="str">
        <x:v>https://api.octopus.energy/v1/products/AGILE-24-10-01/electricity-tariffs/E-1R-AGILE-24-10-01-G/standard-unit-rates/</x:v>
      </x:c>
    </x:row>
    <x:row r="4387" ht="21" customHeight="1">
      <x:c r="A4387" s="24" t="n">
        <x:v>46239.895833333336</x:v>
      </x:c>
      <x:c r="B4387" s="6" t="n">
        <x:v>0.24170000000000003</x:v>
      </x:c>
      <x:c r="C4387" s="6" t="n">
        <x:v>0.1368</x:v>
      </x:c>
      <x:c r="D4387" s="6" t="n">
        <x:f>B4387</x:f>
        <x:v>0.24170000000000003</x:v>
      </x:c>
      <x:c r="E4387" s="1" t="n">
        <x:v>1.05</x:v>
      </x:c>
      <x:c r="F4387" s="1" t="str">
        <x:v>https://api.octopus.energy/v1/products/AGILE-24-10-01/electricity-tariffs/E-1R-AGILE-24-10-01-G/standard-unit-rates/</x:v>
      </x:c>
    </x:row>
    <x:row r="4388" ht="21" customHeight="1">
      <x:c r="A4388" s="24" t="n">
        <x:v>46239.916666666664</x:v>
      </x:c>
      <x:c r="B4388" s="6" t="n">
        <x:v>0.2416</x:v>
      </x:c>
      <x:c r="C4388" s="6" t="n">
        <x:v>0.1367</x:v>
      </x:c>
      <x:c r="D4388" s="6" t="n">
        <x:f>B4388</x:f>
        <x:v>0.2416</x:v>
      </x:c>
      <x:c r="E4388" s="1" t="n">
        <x:v>1.05</x:v>
      </x:c>
      <x:c r="F4388" s="1" t="str">
        <x:v>https://api.octopus.energy/v1/products/AGILE-24-10-01/electricity-tariffs/E-1R-AGILE-24-10-01-G/standard-unit-rates/</x:v>
      </x:c>
    </x:row>
    <x:row r="4389" ht="21" customHeight="1">
      <x:c r="A4389" s="24" t="n">
        <x:v>46239.9375</x:v>
      </x:c>
      <x:c r="B4389" s="6" t="n">
        <x:v>0.2305</x:v>
      </x:c>
      <x:c r="C4389" s="6" t="n">
        <x:v>0.1317</x:v>
      </x:c>
      <x:c r="D4389" s="6" t="n">
        <x:f>B4389</x:f>
        <x:v>0.2305</x:v>
      </x:c>
      <x:c r="E4389" s="1" t="n">
        <x:v>1.05</x:v>
      </x:c>
      <x:c r="F4389" s="1" t="str">
        <x:v>https://api.octopus.energy/v1/products/AGILE-24-10-01/electricity-tariffs/E-1R-AGILE-24-10-01-G/standard-unit-rates/</x:v>
      </x:c>
    </x:row>
    <x:row r="4390" ht="21" customHeight="1">
      <x:c r="A4390" s="24" t="n">
        <x:v>46240</x:v>
      </x:c>
      <x:c r="B4390" s="6" t="n">
        <x:v>0.20920000000000002</x:v>
      </x:c>
      <x:c r="C4390" s="6" t="n">
        <x:v>0.1219</x:v>
      </x:c>
      <x:c r="D4390" s="6" t="n">
        <x:f>B4390</x:f>
        <x:v>0.20920000000000002</x:v>
      </x:c>
      <x:c r="E4390" s="1" t="n">
        <x:v>1.05</x:v>
      </x:c>
      <x:c r="F4390" s="1" t="str">
        <x:v>https://api.octopus.energy/v1/products/AGILE-24-10-01/electricity-tariffs/E-1R-AGILE-24-10-01-G/standard-unit-rates/</x:v>
      </x:c>
    </x:row>
    <x:row r="4391" ht="21" customHeight="1">
      <x:c r="A4391" s="24" t="n">
        <x:v>46239.979166666664</x:v>
      </x:c>
      <x:c r="B4391" s="6" t="n">
        <x:v>0.18230000000000002</x:v>
      </x:c>
      <x:c r="C4391" s="6" t="n">
        <x:v>0.1096</x:v>
      </x:c>
      <x:c r="D4391" s="6" t="n">
        <x:f>B4391</x:f>
        <x:v>0.18230000000000002</x:v>
      </x:c>
      <x:c r="E4391" s="1" t="n">
        <x:v>1.05</x:v>
      </x:c>
      <x:c r="F4391" s="1" t="str">
        <x:v>https://api.octopus.energy/v1/products/AGILE-24-10-01/electricity-tariffs/E-1R-AGILE-24-10-01-G/standard-unit-rates/</x:v>
      </x:c>
    </x:row>
    <x:row r="4392" ht="21" customHeight="1">
      <x:c r="A4392" s="24" t="n">
        <x:v>46240</x:v>
      </x:c>
      <x:c r="B4392" s="6" t="n">
        <x:v>0.18739999999999998</x:v>
      </x:c>
      <x:c r="C4392" s="6" t="n">
        <x:v>0.1119</x:v>
      </x:c>
      <x:c r="D4392" s="6" t="n">
        <x:f>B4392</x:f>
        <x:v>0.18739999999999998</x:v>
      </x:c>
      <x:c r="E4392" s="1" t="n">
        <x:v>1.05</x:v>
      </x:c>
      <x:c r="F4392" s="1" t="str">
        <x:v>https://api.octopus.energy/v1/products/AGILE-24-10-01/electricity-tariffs/E-1R-AGILE-24-10-01-G/standard-unit-rates/</x:v>
      </x:c>
    </x:row>
    <x:row r="4393" ht="21" customHeight="1">
      <x:c r="A4393" s="24" t="n">
        <x:v>46240.020833333336</x:v>
      </x:c>
      <x:c r="B4393" s="6" t="n">
        <x:v>0.18960000000000002</x:v>
      </x:c>
      <x:c r="C4393" s="6" t="n">
        <x:v>0.11289999999999999</x:v>
      </x:c>
      <x:c r="D4393" s="6" t="n">
        <x:f>B4393</x:f>
        <x:v>0.18960000000000002</x:v>
      </x:c>
      <x:c r="E4393" s="1" t="n">
        <x:v>1.05</x:v>
      </x:c>
      <x:c r="F4393" s="1" t="str">
        <x:v>https://api.octopus.energy/v1/products/AGILE-24-10-01/electricity-tariffs/E-1R-AGILE-24-10-01-G/standard-unit-rates/</x:v>
      </x:c>
    </x:row>
    <x:row r="4394" ht="21" customHeight="1">
      <x:c r="A4394" s="24" t="n">
        <x:v>46240.041666666664</x:v>
      </x:c>
      <x:c r="B4394" s="6" t="n">
        <x:v>0.1788</x:v>
      </x:c>
      <x:c r="C4394" s="6" t="n">
        <x:v>0.10800000000000001</x:v>
      </x:c>
      <x:c r="D4394" s="6" t="n">
        <x:f>B4394</x:f>
        <x:v>0.1788</x:v>
      </x:c>
      <x:c r="E4394" s="1" t="n">
        <x:v>1.05</x:v>
      </x:c>
      <x:c r="F4394" s="1" t="str">
        <x:v>https://api.octopus.energy/v1/products/AGILE-24-10-01/electricity-tariffs/E-1R-AGILE-24-10-01-G/standard-unit-rates/</x:v>
      </x:c>
    </x:row>
    <x:row r="4395" ht="21" customHeight="1">
      <x:c r="A4395" s="24" t="n">
        <x:v>46240.0625</x:v>
      </x:c>
      <x:c r="B4395" s="6" t="n">
        <x:v>0.1782</x:v>
      </x:c>
      <x:c r="C4395" s="6" t="n">
        <x:v>0.10769999999999999</x:v>
      </x:c>
      <x:c r="D4395" s="6" t="n">
        <x:f>B4395</x:f>
        <x:v>0.1782</x:v>
      </x:c>
      <x:c r="E4395" s="1" t="n">
        <x:v>1.05</x:v>
      </x:c>
      <x:c r="F4395" s="1" t="str">
        <x:v>https://api.octopus.energy/v1/products/AGILE-24-10-01/electricity-tariffs/E-1R-AGILE-24-10-01-G/standard-unit-rates/</x:v>
      </x:c>
    </x:row>
    <x:row r="4396" ht="21" customHeight="1">
      <x:c r="A4396" s="24" t="n">
        <x:v>46240.083333333336</x:v>
      </x:c>
      <x:c r="B4396" s="6" t="n">
        <x:v>0.17300000000000001</x:v>
      </x:c>
      <x:c r="C4396" s="6" t="n">
        <x:v>0.1054</x:v>
      </x:c>
      <x:c r="D4396" s="6" t="n">
        <x:f>B4396</x:f>
        <x:v>0.17300000000000001</x:v>
      </x:c>
      <x:c r="E4396" s="1" t="n">
        <x:v>1.05</x:v>
      </x:c>
      <x:c r="F4396" s="1" t="str">
        <x:v>https://api.octopus.energy/v1/products/AGILE-24-10-01/electricity-tariffs/E-1R-AGILE-24-10-01-G/standard-unit-rates/</x:v>
      </x:c>
    </x:row>
    <x:row r="4397" ht="21" customHeight="1">
      <x:c r="A4397" s="24" t="n">
        <x:v>46240.104166666664</x:v>
      </x:c>
      <x:c r="B4397" s="6" t="n">
        <x:v>0.1714</x:v>
      </x:c>
      <x:c r="C4397" s="6" t="n">
        <x:v>0.10460000000000001</x:v>
      </x:c>
      <x:c r="D4397" s="6" t="n">
        <x:f>B4397</x:f>
        <x:v>0.1714</x:v>
      </x:c>
      <x:c r="E4397" s="1" t="n">
        <x:v>1.05</x:v>
      </x:c>
      <x:c r="F4397" s="1" t="str">
        <x:v>https://api.octopus.energy/v1/products/AGILE-24-10-01/electricity-tariffs/E-1R-AGILE-24-10-01-G/standard-unit-rates/</x:v>
      </x:c>
    </x:row>
    <x:row r="4398" ht="21" customHeight="1">
      <x:c r="A4398" s="24" t="n">
        <x:v>46240.125</x:v>
      </x:c>
      <x:c r="B4398" s="6" t="n">
        <x:v>0.16620000000000001</x:v>
      </x:c>
      <x:c r="C4398" s="6" t="n">
        <x:v>0.10220000000000001</x:v>
      </x:c>
      <x:c r="D4398" s="6" t="n">
        <x:f>B4398</x:f>
        <x:v>0.16620000000000001</x:v>
      </x:c>
      <x:c r="E4398" s="1" t="n">
        <x:v>1.05</x:v>
      </x:c>
      <x:c r="F4398" s="1" t="str">
        <x:v>https://api.octopus.energy/v1/products/AGILE-24-10-01/electricity-tariffs/E-1R-AGILE-24-10-01-G/standard-unit-rates/</x:v>
      </x:c>
    </x:row>
    <x:row r="4399" ht="21" customHeight="1">
      <x:c r="A4399" s="24" t="n">
        <x:v>46240.145833333336</x:v>
      </x:c>
      <x:c r="B4399" s="6" t="n">
        <x:v>0.15810000000000002</x:v>
      </x:c>
      <x:c r="C4399" s="6" t="n">
        <x:v>0.0986</x:v>
      </x:c>
      <x:c r="D4399" s="6" t="n">
        <x:f>B4399</x:f>
        <x:v>0.15810000000000002</x:v>
      </x:c>
      <x:c r="E4399" s="1" t="n">
        <x:v>1.05</x:v>
      </x:c>
      <x:c r="F4399" s="1" t="str">
        <x:v>https://api.octopus.energy/v1/products/AGILE-24-10-01/electricity-tariffs/E-1R-AGILE-24-10-01-G/standard-unit-rates/</x:v>
      </x:c>
    </x:row>
    <x:row r="4400" ht="21" customHeight="1">
      <x:c r="A4400" s="24" t="n">
        <x:v>46240.166666666664</x:v>
      </x:c>
      <x:c r="B4400" s="6" t="n">
        <x:v>0.1724</x:v>
      </x:c>
      <x:c r="C4400" s="6" t="n">
        <x:v>0.1051</x:v>
      </x:c>
      <x:c r="D4400" s="6" t="n">
        <x:f>B4400</x:f>
        <x:v>0.1724</x:v>
      </x:c>
      <x:c r="E4400" s="1" t="n">
        <x:v>1.05</x:v>
      </x:c>
      <x:c r="F4400" s="1" t="str">
        <x:v>https://api.octopus.energy/v1/products/AGILE-24-10-01/electricity-tariffs/E-1R-AGILE-24-10-01-G/standard-unit-rates/</x:v>
      </x:c>
    </x:row>
    <x:row r="4401" ht="21" customHeight="1">
      <x:c r="A4401" s="24" t="n">
        <x:v>46240.1875</x:v>
      </x:c>
      <x:c r="B4401" s="6" t="n">
        <x:v>0.1728</x:v>
      </x:c>
      <x:c r="C4401" s="6" t="n">
        <x:v>0.10529999999999999</x:v>
      </x:c>
      <x:c r="D4401" s="6" t="n">
        <x:f>B4401</x:f>
        <x:v>0.1728</x:v>
      </x:c>
      <x:c r="E4401" s="1" t="n">
        <x:v>1.05</x:v>
      </x:c>
      <x:c r="F4401" s="1" t="str">
        <x:v>https://api.octopus.energy/v1/products/AGILE-24-10-01/electricity-tariffs/E-1R-AGILE-24-10-01-G/standard-unit-rates/</x:v>
      </x:c>
    </x:row>
    <x:row r="4402" ht="21" customHeight="1">
      <x:c r="A4402" s="24" t="n">
        <x:v>46240.208333333336</x:v>
      </x:c>
      <x:c r="B4402" s="6" t="n">
        <x:v>0.17379999999999998</x:v>
      </x:c>
      <x:c r="C4402" s="6" t="n">
        <x:v>0.1057</x:v>
      </x:c>
      <x:c r="D4402" s="6" t="n">
        <x:f>B4402</x:f>
        <x:v>0.17379999999999998</x:v>
      </x:c>
      <x:c r="E4402" s="1" t="n">
        <x:v>1.05</x:v>
      </x:c>
      <x:c r="F4402" s="1" t="str">
        <x:v>https://api.octopus.energy/v1/products/AGILE-24-10-01/electricity-tariffs/E-1R-AGILE-24-10-01-G/standard-unit-rates/</x:v>
      </x:c>
    </x:row>
    <x:row r="4403" ht="21" customHeight="1">
      <x:c r="A4403" s="24" t="n">
        <x:v>46240.229166666664</x:v>
      </x:c>
      <x:c r="B4403" s="6" t="n">
        <x:v>0.18710000000000002</x:v>
      </x:c>
      <x:c r="C4403" s="6" t="n">
        <x:v>0.1118</x:v>
      </x:c>
      <x:c r="D4403" s="6" t="n">
        <x:f>B4403</x:f>
        <x:v>0.18710000000000002</x:v>
      </x:c>
      <x:c r="E4403" s="1" t="n">
        <x:v>1.05</x:v>
      </x:c>
      <x:c r="F4403" s="1" t="str">
        <x:v>https://api.octopus.energy/v1/products/AGILE-24-10-01/electricity-tariffs/E-1R-AGILE-24-10-01-G/standard-unit-rates/</x:v>
      </x:c>
    </x:row>
    <x:row r="4404" ht="21" customHeight="1">
      <x:c r="A4404" s="24" t="n">
        <x:v>46240.25</x:v>
      </x:c>
      <x:c r="B4404" s="6" t="n">
        <x:v>0.20079999999999998</x:v>
      </x:c>
      <x:c r="C4404" s="6" t="n">
        <x:v>0.11800000000000001</x:v>
      </x:c>
      <x:c r="D4404" s="6" t="n">
        <x:f>B4404</x:f>
        <x:v>0.20079999999999998</x:v>
      </x:c>
      <x:c r="E4404" s="1" t="n">
        <x:v>1.05</x:v>
      </x:c>
      <x:c r="F4404" s="1" t="str">
        <x:v>https://api.octopus.energy/v1/products/AGILE-24-10-01/electricity-tariffs/E-1R-AGILE-24-10-01-G/standard-unit-rates/</x:v>
      </x:c>
    </x:row>
    <x:row r="4405" ht="21" customHeight="1">
      <x:c r="A4405" s="24" t="n">
        <x:v>46240.270833333336</x:v>
      </x:c>
      <x:c r="B4405" s="6" t="n">
        <x:v>0.2163</x:v>
      </x:c>
      <x:c r="C4405" s="6" t="n">
        <x:v>0.1252</x:v>
      </x:c>
      <x:c r="D4405" s="6" t="n">
        <x:f>B4405</x:f>
        <x:v>0.2163</x:v>
      </x:c>
      <x:c r="E4405" s="1" t="n">
        <x:v>1.05</x:v>
      </x:c>
      <x:c r="F4405" s="1" t="str">
        <x:v>https://api.octopus.energy/v1/products/AGILE-24-10-01/electricity-tariffs/E-1R-AGILE-24-10-01-G/standard-unit-rates/</x:v>
      </x:c>
    </x:row>
    <x:row r="4406" ht="21" customHeight="1">
      <x:c r="A4406" s="24" t="n">
        <x:v>46240.291666666664</x:v>
      </x:c>
      <x:c r="B4406" s="6" t="n">
        <x:v>0.20440000000000003</x:v>
      </x:c>
      <x:c r="C4406" s="6" t="n">
        <x:v>0.1197</x:v>
      </x:c>
      <x:c r="D4406" s="6" t="n">
        <x:f>B4406</x:f>
        <x:v>0.20440000000000003</x:v>
      </x:c>
      <x:c r="E4406" s="1" t="n">
        <x:v>1.05</x:v>
      </x:c>
      <x:c r="F4406" s="1" t="str">
        <x:v>https://api.octopus.energy/v1/products/AGILE-24-10-01/electricity-tariffs/E-1R-AGILE-24-10-01-G/standard-unit-rates/</x:v>
      </x:c>
    </x:row>
    <x:row r="4407" ht="21" customHeight="1">
      <x:c r="A4407" s="24" t="n">
        <x:v>46240.3125</x:v>
      </x:c>
      <x:c r="B4407" s="6" t="n">
        <x:v>0.20600000000000002</x:v>
      </x:c>
      <x:c r="C4407" s="6" t="n">
        <x:v>0.1204</x:v>
      </x:c>
      <x:c r="D4407" s="6" t="n">
        <x:f>B4407</x:f>
        <x:v>0.20600000000000002</x:v>
      </x:c>
      <x:c r="E4407" s="1" t="n">
        <x:v>1.05</x:v>
      </x:c>
      <x:c r="F4407" s="1" t="str">
        <x:v>https://api.octopus.energy/v1/products/AGILE-24-10-01/electricity-tariffs/E-1R-AGILE-24-10-01-G/standard-unit-rates/</x:v>
      </x:c>
    </x:row>
    <x:row r="4408" ht="21" customHeight="1">
      <x:c r="A4408" s="24" t="n">
        <x:v>46240.333333333336</x:v>
      </x:c>
      <x:c r="B4408" s="6" t="n">
        <x:v>0.12710000000000002</x:v>
      </x:c>
      <x:c r="C4408" s="6" t="n">
        <x:v>0.08439999999999999</x:v>
      </x:c>
      <x:c r="D4408" s="6" t="n">
        <x:f>B4408</x:f>
        <x:v>0.12710000000000002</x:v>
      </x:c>
      <x:c r="E4408" s="1" t="n">
        <x:v>1.05</x:v>
      </x:c>
      <x:c r="F4408" s="1" t="str">
        <x:v>https://api.octopus.energy/v1/products/AGILE-24-10-01/electricity-tariffs/E-1R-AGILE-24-10-01-G/standard-unit-rates/</x:v>
      </x:c>
    </x:row>
    <x:row r="4409" ht="21" customHeight="1">
      <x:c r="A4409" s="24" t="n">
        <x:v>46240.354166666664</x:v>
      </x:c>
      <x:c r="B4409" s="6" t="n">
        <x:v>0.1519</x:v>
      </x:c>
      <x:c r="C4409" s="6" t="n">
        <x:v>0.09570000000000001</x:v>
      </x:c>
      <x:c r="D4409" s="6" t="n">
        <x:f>B4409</x:f>
        <x:v>0.1519</x:v>
      </x:c>
      <x:c r="E4409" s="1" t="n">
        <x:v>1.05</x:v>
      </x:c>
      <x:c r="F4409" s="1" t="str">
        <x:v>https://api.octopus.energy/v1/products/AGILE-24-10-01/electricity-tariffs/E-1R-AGILE-24-10-01-G/standard-unit-rates/</x:v>
      </x:c>
    </x:row>
    <x:row r="4410" ht="21" customHeight="1">
      <x:c r="A4410" s="24" t="n">
        <x:v>46240.375</x:v>
      </x:c>
      <x:c r="B4410" s="6" t="n">
        <x:v>0.1168</x:v>
      </x:c>
      <x:c r="C4410" s="6" t="n">
        <x:v>0.0796</x:v>
      </x:c>
      <x:c r="D4410" s="6" t="n">
        <x:f>B4410</x:f>
        <x:v>0.1168</x:v>
      </x:c>
      <x:c r="E4410" s="1" t="n">
        <x:v>1.05</x:v>
      </x:c>
      <x:c r="F4410" s="1" t="str">
        <x:v>https://api.octopus.energy/v1/products/AGILE-24-10-01/electricity-tariffs/E-1R-AGILE-24-10-01-G/standard-unit-rates/</x:v>
      </x:c>
    </x:row>
    <x:row r="4411" ht="21" customHeight="1">
      <x:c r="A4411" s="24" t="n">
        <x:v>46240.395833333336</x:v>
      </x:c>
      <x:c r="B4411" s="6" t="n">
        <x:v>0.1165</x:v>
      </x:c>
      <x:c r="C4411" s="6" t="n">
        <x:v>0.0795</x:v>
      </x:c>
      <x:c r="D4411" s="6" t="n">
        <x:f>B4411</x:f>
        <x:v>0.1165</x:v>
      </x:c>
      <x:c r="E4411" s="1" t="n">
        <x:v>1.05</x:v>
      </x:c>
      <x:c r="F4411" s="1" t="str">
        <x:v>https://api.octopus.energy/v1/products/AGILE-24-10-01/electricity-tariffs/E-1R-AGILE-24-10-01-G/standard-unit-rates/</x:v>
      </x:c>
    </x:row>
    <x:row r="4412" ht="21" customHeight="1">
      <x:c r="A4412" s="24" t="n">
        <x:v>46240.416666666664</x:v>
      </x:c>
      <x:c r="B4412" s="6" t="n">
        <x:v>0.1076</x:v>
      </x:c>
      <x:c r="C4412" s="6" t="n">
        <x:v>0.0755</x:v>
      </x:c>
      <x:c r="D4412" s="6" t="n">
        <x:f>B4412</x:f>
        <x:v>0.1076</x:v>
      </x:c>
      <x:c r="E4412" s="1" t="n">
        <x:v>1.05</x:v>
      </x:c>
      <x:c r="F4412" s="1" t="str">
        <x:v>https://api.octopus.energy/v1/products/AGILE-24-10-01/electricity-tariffs/E-1R-AGILE-24-10-01-G/standard-unit-rates/</x:v>
      </x:c>
    </x:row>
    <x:row r="4413" ht="21" customHeight="1">
      <x:c r="A4413" s="24" t="n">
        <x:v>46240.4375</x:v>
      </x:c>
      <x:c r="B4413" s="6" t="n">
        <x:v>0.1094</x:v>
      </x:c>
      <x:c r="C4413" s="6" t="n">
        <x:v>0.07629999999999999</x:v>
      </x:c>
      <x:c r="D4413" s="6" t="n">
        <x:f>B4413</x:f>
        <x:v>0.1094</x:v>
      </x:c>
      <x:c r="E4413" s="1" t="n">
        <x:v>1.05</x:v>
      </x:c>
      <x:c r="F4413" s="1" t="str">
        <x:v>https://api.octopus.energy/v1/products/AGILE-24-10-01/electricity-tariffs/E-1R-AGILE-24-10-01-G/standard-unit-rates/</x:v>
      </x:c>
    </x:row>
    <x:row r="4414" ht="21" customHeight="1">
      <x:c r="A4414" s="24" t="n">
        <x:v>46240.458333333336</x:v>
      </x:c>
      <x:c r="B4414" s="6" t="n">
        <x:v>0.11019999999999999</x:v>
      </x:c>
      <x:c r="C4414" s="6" t="n">
        <x:v>0.0767</x:v>
      </x:c>
      <x:c r="D4414" s="6" t="n">
        <x:f>B4414</x:f>
        <x:v>0.11019999999999999</x:v>
      </x:c>
      <x:c r="E4414" s="1" t="n">
        <x:v>1.05</x:v>
      </x:c>
      <x:c r="F4414" s="1" t="str">
        <x:v>https://api.octopus.energy/v1/products/AGILE-24-10-01/electricity-tariffs/E-1R-AGILE-24-10-01-G/standard-unit-rates/</x:v>
      </x:c>
    </x:row>
    <x:row r="4415" ht="21" customHeight="1">
      <x:c r="A4415" s="24" t="n">
        <x:v>46240.479166666664</x:v>
      </x:c>
      <x:c r="B4415" s="6" t="n">
        <x:v>0.1277</x:v>
      </x:c>
      <x:c r="C4415" s="6" t="n">
        <x:v>0.08460000000000001</x:v>
      </x:c>
      <x:c r="D4415" s="6" t="n">
        <x:f>B4415</x:f>
        <x:v>0.1277</x:v>
      </x:c>
      <x:c r="E4415" s="1" t="n">
        <x:v>1.05</x:v>
      </x:c>
      <x:c r="F4415" s="1" t="str">
        <x:v>https://api.octopus.energy/v1/products/AGILE-24-10-01/electricity-tariffs/E-1R-AGILE-24-10-01-G/standard-unit-rates/</x:v>
      </x:c>
    </x:row>
    <x:row r="4416" ht="21" customHeight="1">
      <x:c r="A4416" s="24" t="n">
        <x:v>46240.5</x:v>
      </x:c>
      <x:c r="B4416" s="6" t="n">
        <x:v>0.12380000000000001</x:v>
      </x:c>
      <x:c r="C4416" s="6" t="n">
        <x:v>0.0828</x:v>
      </x:c>
      <x:c r="D4416" s="6" t="n">
        <x:f>B4416</x:f>
        <x:v>0.12380000000000001</x:v>
      </x:c>
      <x:c r="E4416" s="1" t="n">
        <x:v>1.05</x:v>
      </x:c>
      <x:c r="F4416" s="1" t="str">
        <x:v>https://api.octopus.energy/v1/products/AGILE-24-10-01/electricity-tariffs/E-1R-AGILE-24-10-01-G/standard-unit-rates/</x:v>
      </x:c>
    </x:row>
    <x:row r="4417" ht="21" customHeight="1">
      <x:c r="A4417" s="24" t="n">
        <x:v>46240.520833333336</x:v>
      </x:c>
      <x:c r="B4417" s="6" t="n">
        <x:v>0.1451</x:v>
      </x:c>
      <x:c r="C4417" s="6" t="n">
        <x:v>0.0926</x:v>
      </x:c>
      <x:c r="D4417" s="6" t="n">
        <x:f>B4417</x:f>
        <x:v>0.1451</x:v>
      </x:c>
      <x:c r="E4417" s="1" t="n">
        <x:v>1.05</x:v>
      </x:c>
      <x:c r="F4417" s="1" t="str">
        <x:v>https://api.octopus.energy/v1/products/AGILE-24-10-01/electricity-tariffs/E-1R-AGILE-24-10-01-G/standard-unit-rates/</x:v>
      </x:c>
    </x:row>
    <x:row r="4418" ht="21" customHeight="1">
      <x:c r="A4418" s="24" t="n">
        <x:v>46240.541666666664</x:v>
      </x:c>
      <x:c r="B4418" s="6" t="n">
        <x:v>0.157</x:v>
      </x:c>
      <x:c r="C4418" s="6" t="n">
        <x:v>0.0981</x:v>
      </x:c>
      <x:c r="D4418" s="6" t="n">
        <x:f>B4418</x:f>
        <x:v>0.157</x:v>
      </x:c>
      <x:c r="E4418" s="1" t="n">
        <x:v>1.05</x:v>
      </x:c>
      <x:c r="F4418" s="1" t="str">
        <x:v>https://api.octopus.energy/v1/products/AGILE-24-10-01/electricity-tariffs/E-1R-AGILE-24-10-01-G/standard-unit-rates/</x:v>
      </x:c>
    </x:row>
    <x:row r="4419" ht="21" customHeight="1">
      <x:c r="A4419" s="24" t="n">
        <x:v>46240.5625</x:v>
      </x:c>
      <x:c r="B4419" s="6" t="n">
        <x:v>0.1588</x:v>
      </x:c>
      <x:c r="C4419" s="6" t="n">
        <x:v>0.0989</x:v>
      </x:c>
      <x:c r="D4419" s="6" t="n">
        <x:f>B4419</x:f>
        <x:v>0.1588</x:v>
      </x:c>
      <x:c r="E4419" s="1" t="n">
        <x:v>1.05</x:v>
      </x:c>
      <x:c r="F4419" s="1" t="str">
        <x:v>https://api.octopus.energy/v1/products/AGILE-24-10-01/electricity-tariffs/E-1R-AGILE-24-10-01-G/standard-unit-rates/</x:v>
      </x:c>
    </x:row>
    <x:row r="4420" ht="21" customHeight="1">
      <x:c r="A4420" s="24" t="n">
        <x:v>46240.583333333336</x:v>
      </x:c>
      <x:c r="B4420" s="6" t="n">
        <x:v>0.1598</x:v>
      </x:c>
      <x:c r="C4420" s="6" t="n">
        <x:v>0.0993</x:v>
      </x:c>
      <x:c r="D4420" s="6" t="n">
        <x:f>B4420</x:f>
        <x:v>0.1598</x:v>
      </x:c>
      <x:c r="E4420" s="1" t="n">
        <x:v>1.05</x:v>
      </x:c>
      <x:c r="F4420" s="1" t="str">
        <x:v>https://api.octopus.energy/v1/products/AGILE-24-10-01/electricity-tariffs/E-1R-AGILE-24-10-01-G/standard-unit-rates/</x:v>
      </x:c>
    </x:row>
    <x:row r="4421" ht="21" customHeight="1">
      <x:c r="A4421" s="24" t="n">
        <x:v>46240.604166666664</x:v>
      </x:c>
      <x:c r="B4421" s="6" t="n">
        <x:v>0.1632</x:v>
      </x:c>
      <x:c r="C4421" s="6" t="n">
        <x:v>0.1009</x:v>
      </x:c>
      <x:c r="D4421" s="6" t="n">
        <x:f>B4421</x:f>
        <x:v>0.1632</x:v>
      </x:c>
      <x:c r="E4421" s="1" t="n">
        <x:v>1.05</x:v>
      </x:c>
      <x:c r="F4421" s="1" t="str">
        <x:v>https://api.octopus.energy/v1/products/AGILE-24-10-01/electricity-tariffs/E-1R-AGILE-24-10-01-G/standard-unit-rates/</x:v>
      </x:c>
    </x:row>
    <x:row r="4422" ht="21" customHeight="1">
      <x:c r="A4422" s="24" t="n">
        <x:v>46240.625</x:v>
      </x:c>
      <x:c r="B4422" s="6" t="n">
        <x:v>0.16920000000000002</x:v>
      </x:c>
      <x:c r="C4422" s="6" t="n">
        <x:v>0.1036</x:v>
      </x:c>
      <x:c r="D4422" s="6" t="n">
        <x:f>B4422</x:f>
        <x:v>0.16920000000000002</x:v>
      </x:c>
      <x:c r="E4422" s="1" t="n">
        <x:v>1.05</x:v>
      </x:c>
      <x:c r="F4422" s="1" t="str">
        <x:v>https://api.octopus.energy/v1/products/AGILE-24-10-01/electricity-tariffs/E-1R-AGILE-24-10-01-G/standard-unit-rates/</x:v>
      </x:c>
    </x:row>
    <x:row r="4423" ht="21" customHeight="1">
      <x:c r="A4423" s="24" t="n">
        <x:v>46240.645833333336</x:v>
      </x:c>
      <x:c r="B4423" s="6" t="n">
        <x:v>0.1724</x:v>
      </x:c>
      <x:c r="C4423" s="6" t="n">
        <x:v>0.1051</x:v>
      </x:c>
      <x:c r="D4423" s="6" t="n">
        <x:f>B4423</x:f>
        <x:v>0.1724</x:v>
      </x:c>
      <x:c r="E4423" s="1" t="n">
        <x:v>1.05</x:v>
      </x:c>
      <x:c r="F4423" s="1" t="str">
        <x:v>https://api.octopus.energy/v1/products/AGILE-24-10-01/electricity-tariffs/E-1R-AGILE-24-10-01-G/standard-unit-rates/</x:v>
      </x:c>
    </x:row>
    <x:row r="4424" ht="21" customHeight="1">
      <x:c r="A4424" s="24" t="n">
        <x:v>46240.666666666664</x:v>
      </x:c>
      <x:c r="B4424" s="6" t="n">
        <x:v>0.326</x:v>
      </x:c>
      <x:c r="C4424" s="6" t="n">
        <x:v>0.1793</x:v>
      </x:c>
      <x:c r="D4424" s="6" t="n">
        <x:f>B4424</x:f>
        <x:v>0.326</x:v>
      </x:c>
      <x:c r="E4424" s="1" t="n">
        <x:v>1.05</x:v>
      </x:c>
      <x:c r="F4424" s="1" t="str">
        <x:v>https://api.octopus.energy/v1/products/AGILE-24-10-01/electricity-tariffs/E-1R-AGILE-24-10-01-G/standard-unit-rates/</x:v>
      </x:c>
    </x:row>
    <x:row r="4425" ht="21" customHeight="1">
      <x:c r="A4425" s="24" t="n">
        <x:v>46240.6875</x:v>
      </x:c>
      <x:c r="B4425" s="6" t="n">
        <x:v>0.322</x:v>
      </x:c>
      <x:c r="C4425" s="6" t="n">
        <x:v>0.1775</x:v>
      </x:c>
      <x:c r="D4425" s="6" t="n">
        <x:f>B4425</x:f>
        <x:v>0.322</x:v>
      </x:c>
      <x:c r="E4425" s="1" t="n">
        <x:v>1.05</x:v>
      </x:c>
      <x:c r="F4425" s="1" t="str">
        <x:v>https://api.octopus.energy/v1/products/AGILE-24-10-01/electricity-tariffs/E-1R-AGILE-24-10-01-G/standard-unit-rates/</x:v>
      </x:c>
    </x:row>
    <x:row r="4426" ht="21" customHeight="1">
      <x:c r="A4426" s="24" t="n">
        <x:v>46240.708333333336</x:v>
      </x:c>
      <x:c r="B4426" s="6" t="n">
        <x:v>0.33520000000000005</x:v>
      </x:c>
      <x:c r="C4426" s="6" t="n">
        <x:v>0.18350000000000002</x:v>
      </x:c>
      <x:c r="D4426" s="6" t="n">
        <x:f>B4426</x:f>
        <x:v>0.33520000000000005</x:v>
      </x:c>
      <x:c r="E4426" s="1" t="n">
        <x:v>1.05</x:v>
      </x:c>
      <x:c r="F4426" s="1" t="str">
        <x:v>https://api.octopus.energy/v1/products/AGILE-24-10-01/electricity-tariffs/E-1R-AGILE-24-10-01-G/standard-unit-rates/</x:v>
      </x:c>
    </x:row>
    <x:row r="4427" ht="21" customHeight="1">
      <x:c r="A4427" s="24" t="n">
        <x:v>46240.729166666664</x:v>
      </x:c>
      <x:c r="B4427" s="6" t="n">
        <x:v>0.34490000000000004</x:v>
      </x:c>
      <x:c r="C4427" s="6" t="n">
        <x:v>0.188</x:v>
      </x:c>
      <x:c r="D4427" s="6" t="n">
        <x:f>B4427</x:f>
        <x:v>0.34490000000000004</x:v>
      </x:c>
      <x:c r="E4427" s="1" t="n">
        <x:v>1.05</x:v>
      </x:c>
      <x:c r="F4427" s="1" t="str">
        <x:v>https://api.octopus.energy/v1/products/AGILE-24-10-01/electricity-tariffs/E-1R-AGILE-24-10-01-G/standard-unit-rates/</x:v>
      </x:c>
    </x:row>
    <x:row r="4428" ht="21" customHeight="1">
      <x:c r="A4428" s="24" t="n">
        <x:v>46240.75</x:v>
      </x:c>
      <x:c r="B4428" s="6" t="n">
        <x:v>0.3483</x:v>
      </x:c>
      <x:c r="C4428" s="6" t="n">
        <x:v>0.1895</x:v>
      </x:c>
      <x:c r="D4428" s="6" t="n">
        <x:f>B4428</x:f>
        <x:v>0.3483</x:v>
      </x:c>
      <x:c r="E4428" s="1" t="n">
        <x:v>1.05</x:v>
      </x:c>
      <x:c r="F4428" s="1" t="str">
        <x:v>https://api.octopus.energy/v1/products/AGILE-24-10-01/electricity-tariffs/E-1R-AGILE-24-10-01-G/standard-unit-rates/</x:v>
      </x:c>
    </x:row>
    <x:row r="4429" ht="21" customHeight="1">
      <x:c r="A4429" s="24" t="n">
        <x:v>46240.770833333336</x:v>
      </x:c>
      <x:c r="B4429" s="6" t="n">
        <x:v>0.368</x:v>
      </x:c>
      <x:c r="C4429" s="6" t="n">
        <x:v>0.1985</x:v>
      </x:c>
      <x:c r="D4429" s="6" t="n">
        <x:f>B4429</x:f>
        <x:v>0.368</x:v>
      </x:c>
      <x:c r="E4429" s="1" t="n">
        <x:v>1.05</x:v>
      </x:c>
      <x:c r="F4429" s="1" t="str">
        <x:v>https://api.octopus.energy/v1/products/AGILE-24-10-01/electricity-tariffs/E-1R-AGILE-24-10-01-G/standard-unit-rates/</x:v>
      </x:c>
    </x:row>
    <x:row r="4430" ht="21" customHeight="1">
      <x:c r="A4430" s="24" t="n">
        <x:v>46240.791666666664</x:v>
      </x:c>
      <x:c r="B4430" s="6" t="n">
        <x:v>0.2877</x:v>
      </x:c>
      <x:c r="C4430" s="6" t="n">
        <x:v>0.1578</x:v>
      </x:c>
      <x:c r="D4430" s="6" t="n">
        <x:f>B4430</x:f>
        <x:v>0.2877</x:v>
      </x:c>
      <x:c r="E4430" s="1" t="n">
        <x:v>1.05</x:v>
      </x:c>
      <x:c r="F4430" s="1" t="str">
        <x:v>https://api.octopus.energy/v1/products/AGILE-24-10-01/electricity-tariffs/E-1R-AGILE-24-10-01-G/standard-unit-rates/</x:v>
      </x:c>
    </x:row>
    <x:row r="4431" ht="21" customHeight="1">
      <x:c r="A4431" s="24" t="n">
        <x:v>46240.8125</x:v>
      </x:c>
      <x:c r="B4431" s="6" t="n">
        <x:v>0.28550000000000003</x:v>
      </x:c>
      <x:c r="C4431" s="6" t="n">
        <x:v>0.1568</x:v>
      </x:c>
      <x:c r="D4431" s="6" t="n">
        <x:f>B4431</x:f>
        <x:v>0.28550000000000003</x:v>
      </x:c>
      <x:c r="E4431" s="1" t="n">
        <x:v>1.05</x:v>
      </x:c>
      <x:c r="F4431" s="1" t="str">
        <x:v>https://api.octopus.energy/v1/products/AGILE-24-10-01/electricity-tariffs/E-1R-AGILE-24-10-01-G/standard-unit-rates/</x:v>
      </x:c>
    </x:row>
    <x:row r="4432" ht="21" customHeight="1">
      <x:c r="A4432" s="24" t="n">
        <x:v>46240.833333333336</x:v>
      </x:c>
      <x:c r="B4432" s="6" t="n">
        <x:v>0.2858</x:v>
      </x:c>
      <x:c r="C4432" s="6" t="n">
        <x:v>0.15689999999999998</x:v>
      </x:c>
      <x:c r="D4432" s="6" t="n">
        <x:f>B4432</x:f>
        <x:v>0.2858</x:v>
      </x:c>
      <x:c r="E4432" s="1" t="n">
        <x:v>1.05</x:v>
      </x:c>
      <x:c r="F4432" s="1" t="str">
        <x:v>https://api.octopus.energy/v1/products/AGILE-24-10-01/electricity-tariffs/E-1R-AGILE-24-10-01-G/standard-unit-rates/</x:v>
      </x:c>
    </x:row>
    <x:row r="4433" ht="21" customHeight="1">
      <x:c r="A4433" s="24" t="n">
        <x:v>46240.854166666664</x:v>
      </x:c>
      <x:c r="B4433" s="6" t="n">
        <x:v>0.2879</x:v>
      </x:c>
      <x:c r="C4433" s="6" t="n">
        <x:v>0.15789999999999998</x:v>
      </x:c>
      <x:c r="D4433" s="6" t="n">
        <x:f>B4433</x:f>
        <x:v>0.2879</x:v>
      </x:c>
      <x:c r="E4433" s="1" t="n">
        <x:v>1.05</x:v>
      </x:c>
      <x:c r="F4433" s="1" t="str">
        <x:v>https://api.octopus.energy/v1/products/AGILE-24-10-01/electricity-tariffs/E-1R-AGILE-24-10-01-G/standard-unit-rates/</x:v>
      </x:c>
    </x:row>
    <x:row r="4434" ht="21" customHeight="1">
      <x:c r="A4434" s="24" t="n">
        <x:v>46240.875</x:v>
      </x:c>
      <x:c r="B4434" s="6" t="n">
        <x:v>0.28190000000000004</x:v>
      </x:c>
      <x:c r="C4434" s="6" t="n">
        <x:v>0.1551</x:v>
      </x:c>
      <x:c r="D4434" s="6" t="n">
        <x:f>B4434</x:f>
        <x:v>0.28190000000000004</x:v>
      </x:c>
      <x:c r="E4434" s="1" t="n">
        <x:v>1.05</x:v>
      </x:c>
      <x:c r="F4434" s="1" t="str">
        <x:v>https://api.octopus.energy/v1/products/AGILE-24-10-01/electricity-tariffs/E-1R-AGILE-24-10-01-G/standard-unit-rates/</x:v>
      </x:c>
    </x:row>
    <x:row r="4435" ht="21" customHeight="1">
      <x:c r="A4435" s="24" t="n">
        <x:v>46240.895833333336</x:v>
      </x:c>
      <x:c r="B4435" s="6" t="n">
        <x:v>0.2832</x:v>
      </x:c>
      <x:c r="C4435" s="6" t="n">
        <x:v>0.1557</x:v>
      </x:c>
      <x:c r="D4435" s="6" t="n">
        <x:f>B4435</x:f>
        <x:v>0.2832</x:v>
      </x:c>
      <x:c r="E4435" s="1" t="n">
        <x:v>1.05</x:v>
      </x:c>
      <x:c r="F4435" s="1" t="str">
        <x:v>https://api.octopus.energy/v1/products/AGILE-24-10-01/electricity-tariffs/E-1R-AGILE-24-10-01-G/standard-unit-rates/</x:v>
      </x:c>
    </x:row>
    <x:row r="4436" ht="21" customHeight="1">
      <x:c r="A4436" s="24" t="n">
        <x:v>46240.916666666664</x:v>
      </x:c>
      <x:c r="B4436" s="6" t="n">
        <x:v>0.276</x:v>
      </x:c>
      <x:c r="C4436" s="6" t="n">
        <x:v>0.1525</x:v>
      </x:c>
      <x:c r="D4436" s="6" t="n">
        <x:f>B4436</x:f>
        <x:v>0.276</x:v>
      </x:c>
      <x:c r="E4436" s="1" t="n">
        <x:v>1.05</x:v>
      </x:c>
      <x:c r="F4436" s="1" t="str">
        <x:v>https://api.octopus.energy/v1/products/AGILE-24-10-01/electricity-tariffs/E-1R-AGILE-24-10-01-G/standard-unit-rates/</x:v>
      </x:c>
    </x:row>
    <x:row r="4437" ht="21" customHeight="1">
      <x:c r="A4437" s="24" t="n">
        <x:v>46240.9375</x:v>
      </x:c>
      <x:c r="B4437" s="6" t="n">
        <x:v>0.2648</x:v>
      </x:c>
      <x:c r="C4437" s="6" t="n">
        <x:v>0.14730000000000001</x:v>
      </x:c>
      <x:c r="D4437" s="6" t="n">
        <x:f>B4437</x:f>
        <x:v>0.2648</x:v>
      </x:c>
      <x:c r="E4437" s="1" t="n">
        <x:v>1.05</x:v>
      </x:c>
      <x:c r="F4437" s="1" t="str">
        <x:v>https://api.octopus.energy/v1/products/AGILE-24-10-01/electricity-tariffs/E-1R-AGILE-24-10-01-G/standard-unit-rates/</x:v>
      </x:c>
    </x:row>
    <x:row r="4438" ht="21" customHeight="1">
      <x:c r="A4438" s="24" t="n">
        <x:v>46241</x:v>
      </x:c>
      <x:c r="B4438" s="6" t="n">
        <x:v>0.2396</x:v>
      </x:c>
      <x:c r="C4438" s="6" t="n">
        <x:v>0.1358</x:v>
      </x:c>
      <x:c r="D4438" s="6" t="n">
        <x:f>B4438</x:f>
        <x:v>0.2396</x:v>
      </x:c>
      <x:c r="E4438" s="1" t="n">
        <x:v>1.05</x:v>
      </x:c>
      <x:c r="F4438" s="1" t="str">
        <x:v>https://api.octopus.energy/v1/products/AGILE-24-10-01/electricity-tariffs/E-1R-AGILE-24-10-01-G/standard-unit-rates/</x:v>
      </x:c>
    </x:row>
    <x:row r="4439" ht="21" customHeight="1">
      <x:c r="A4439" s="24" t="n">
        <x:v>46240.979166666664</x:v>
      </x:c>
      <x:c r="B4439" s="6" t="n">
        <x:v>0.2396</x:v>
      </x:c>
      <x:c r="C4439" s="6" t="n">
        <x:v>0.1358</x:v>
      </x:c>
      <x:c r="D4439" s="6" t="n">
        <x:f>B4439</x:f>
        <x:v>0.2396</x:v>
      </x:c>
      <x:c r="E4439" s="1" t="n">
        <x:v>1.05</x:v>
      </x:c>
      <x:c r="F4439" s="1" t="str">
        <x:v>https://api.octopus.energy/v1/products/AGILE-24-10-01/electricity-tariffs/E-1R-AGILE-24-10-01-G/standard-unit-rates/</x:v>
      </x:c>
    </x:row>
    <x:row r="4440" ht="21" customHeight="1">
      <x:c r="A4440" s="24" t="n">
        <x:v>46241</x:v>
      </x:c>
      <x:c r="B4440" s="6" t="n">
        <x:v>0.2291</x:v>
      </x:c>
      <x:c r="C4440" s="6" t="n">
        <x:v>0.131</x:v>
      </x:c>
      <x:c r="D4440" s="6" t="n">
        <x:f>B4440</x:f>
        <x:v>0.2291</x:v>
      </x:c>
      <x:c r="E4440" s="1" t="n">
        <x:v>1.05</x:v>
      </x:c>
      <x:c r="F4440" s="1" t="str">
        <x:v>https://api.octopus.energy/v1/products/AGILE-24-10-01/electricity-tariffs/E-1R-AGILE-24-10-01-G/standard-unit-rates/</x:v>
      </x:c>
    </x:row>
    <x:row r="4441" ht="21" customHeight="1">
      <x:c r="A4441" s="24" t="n">
        <x:v>46241.020833333336</x:v>
      </x:c>
      <x:c r="B4441" s="6" t="n">
        <x:v>0.2234</x:v>
      </x:c>
      <x:c r="C4441" s="6" t="n">
        <x:v>0.1284</x:v>
      </x:c>
      <x:c r="D4441" s="6" t="n">
        <x:f>B4441</x:f>
        <x:v>0.2234</x:v>
      </x:c>
      <x:c r="E4441" s="1" t="n">
        <x:v>1.05</x:v>
      </x:c>
      <x:c r="F4441" s="1" t="str">
        <x:v>https://api.octopus.energy/v1/products/AGILE-24-10-01/electricity-tariffs/E-1R-AGILE-24-10-01-G/standard-unit-rates/</x:v>
      </x:c>
    </x:row>
    <x:row r="4442" ht="21" customHeight="1">
      <x:c r="A4442" s="24" t="n">
        <x:v>46241.041666666664</x:v>
      </x:c>
      <x:c r="B4442" s="6" t="n">
        <x:v>0.2087</x:v>
      </x:c>
      <x:c r="C4442" s="6" t="n">
        <x:v>0.1217</x:v>
      </x:c>
      <x:c r="D4442" s="6" t="n">
        <x:f>B4442</x:f>
        <x:v>0.2087</x:v>
      </x:c>
      <x:c r="E4442" s="1" t="n">
        <x:v>1.05</x:v>
      </x:c>
      <x:c r="F4442" s="1" t="str">
        <x:v>https://api.octopus.energy/v1/products/AGILE-24-10-01/electricity-tariffs/E-1R-AGILE-24-10-01-G/standard-unit-rates/</x:v>
      </x:c>
    </x:row>
    <x:row r="4443" ht="21" customHeight="1">
      <x:c r="A4443" s="24" t="n">
        <x:v>46241.0625</x:v>
      </x:c>
      <x:c r="B4443" s="6" t="n">
        <x:v>0.20329999999999998</x:v>
      </x:c>
      <x:c r="C4443" s="6" t="n">
        <x:v>0.1192</x:v>
      </x:c>
      <x:c r="D4443" s="6" t="n">
        <x:f>B4443</x:f>
        <x:v>0.20329999999999998</x:v>
      </x:c>
      <x:c r="E4443" s="1" t="n">
        <x:v>1.05</x:v>
      </x:c>
      <x:c r="F4443" s="1" t="str">
        <x:v>https://api.octopus.energy/v1/products/AGILE-24-10-01/electricity-tariffs/E-1R-AGILE-24-10-01-G/standard-unit-rates/</x:v>
      </x:c>
    </x:row>
    <x:row r="4444" ht="21" customHeight="1">
      <x:c r="A4444" s="24" t="n">
        <x:v>46241.083333333336</x:v>
      </x:c>
      <x:c r="B4444" s="6" t="n">
        <x:v>0.1997</x:v>
      </x:c>
      <x:c r="C4444" s="6" t="n">
        <x:v>0.1176</x:v>
      </x:c>
      <x:c r="D4444" s="6" t="n">
        <x:f>B4444</x:f>
        <x:v>0.1997</x:v>
      </x:c>
      <x:c r="E4444" s="1" t="n">
        <x:v>1.05</x:v>
      </x:c>
      <x:c r="F4444" s="1" t="str">
        <x:v>https://api.octopus.energy/v1/products/AGILE-24-10-01/electricity-tariffs/E-1R-AGILE-24-10-01-G/standard-unit-rates/</x:v>
      </x:c>
    </x:row>
    <x:row r="4445" ht="21" customHeight="1">
      <x:c r="A4445" s="24" t="n">
        <x:v>46241.104166666664</x:v>
      </x:c>
      <x:c r="B4445" s="6" t="n">
        <x:v>0.1955</x:v>
      </x:c>
      <x:c r="C4445" s="6" t="n">
        <x:v>0.11560000000000001</x:v>
      </x:c>
      <x:c r="D4445" s="6" t="n">
        <x:f>B4445</x:f>
        <x:v>0.1955</x:v>
      </x:c>
      <x:c r="E4445" s="1" t="n">
        <x:v>1.05</x:v>
      </x:c>
      <x:c r="F4445" s="1" t="str">
        <x:v>https://api.octopus.energy/v1/products/AGILE-24-10-01/electricity-tariffs/E-1R-AGILE-24-10-01-G/standard-unit-rates/</x:v>
      </x:c>
    </x:row>
    <x:row r="4446" ht="21" customHeight="1">
      <x:c r="A4446" s="24" t="n">
        <x:v>46241.125</x:v>
      </x:c>
      <x:c r="B4446" s="6" t="n">
        <x:v>0.1997</x:v>
      </x:c>
      <x:c r="C4446" s="6" t="n">
        <x:v>0.1176</x:v>
      </x:c>
      <x:c r="D4446" s="6" t="n">
        <x:f>B4446</x:f>
        <x:v>0.1997</x:v>
      </x:c>
      <x:c r="E4446" s="1" t="n">
        <x:v>1.05</x:v>
      </x:c>
      <x:c r="F4446" s="1" t="str">
        <x:v>https://api.octopus.energy/v1/products/AGILE-24-10-01/electricity-tariffs/E-1R-AGILE-24-10-01-G/standard-unit-rates/</x:v>
      </x:c>
    </x:row>
    <x:row r="4447" ht="21" customHeight="1">
      <x:c r="A4447" s="24" t="n">
        <x:v>46241.145833333336</x:v>
      </x:c>
      <x:c r="B4447" s="6" t="n">
        <x:v>0.1955</x:v>
      </x:c>
      <x:c r="C4447" s="6" t="n">
        <x:v>0.11560000000000001</x:v>
      </x:c>
      <x:c r="D4447" s="6" t="n">
        <x:f>B4447</x:f>
        <x:v>0.1955</x:v>
      </x:c>
      <x:c r="E4447" s="1" t="n">
        <x:v>1.05</x:v>
      </x:c>
      <x:c r="F4447" s="1" t="str">
        <x:v>https://api.octopus.energy/v1/products/AGILE-24-10-01/electricity-tariffs/E-1R-AGILE-24-10-01-G/standard-unit-rates/</x:v>
      </x:c>
    </x:row>
    <x:row r="4448" ht="21" customHeight="1">
      <x:c r="A4448" s="24" t="n">
        <x:v>46241.166666666664</x:v>
      </x:c>
      <x:c r="B4448" s="6" t="n">
        <x:v>0.20809999999999998</x:v>
      </x:c>
      <x:c r="C4448" s="6" t="n">
        <x:v>0.12140000000000001</x:v>
      </x:c>
      <x:c r="D4448" s="6" t="n">
        <x:f>B4448</x:f>
        <x:v>0.20809999999999998</x:v>
      </x:c>
      <x:c r="E4448" s="1" t="n">
        <x:v>1.05</x:v>
      </x:c>
      <x:c r="F4448" s="1" t="str">
        <x:v>https://api.octopus.energy/v1/products/AGILE-24-10-01/electricity-tariffs/E-1R-AGILE-24-10-01-G/standard-unit-rates/</x:v>
      </x:c>
    </x:row>
    <x:row r="4449" ht="21" customHeight="1">
      <x:c r="A4449" s="24" t="n">
        <x:v>46241.1875</x:v>
      </x:c>
      <x:c r="B4449" s="6" t="n">
        <x:v>0.2039</x:v>
      </x:c>
      <x:c r="C4449" s="6" t="n">
        <x:v>0.1195</x:v>
      </x:c>
      <x:c r="D4449" s="6" t="n">
        <x:f>B4449</x:f>
        <x:v>0.2039</x:v>
      </x:c>
      <x:c r="E4449" s="1" t="n">
        <x:v>1.05</x:v>
      </x:c>
      <x:c r="F4449" s="1" t="str">
        <x:v>https://api.octopus.energy/v1/products/AGILE-24-10-01/electricity-tariffs/E-1R-AGILE-24-10-01-G/standard-unit-rates/</x:v>
      </x:c>
    </x:row>
    <x:row r="4450" ht="21" customHeight="1">
      <x:c r="A4450" s="24" t="n">
        <x:v>46241.208333333336</x:v>
      </x:c>
      <x:c r="B4450" s="6" t="n">
        <x:v>0.2306</x:v>
      </x:c>
      <x:c r="C4450" s="6" t="n">
        <x:v>0.1317</x:v>
      </x:c>
      <x:c r="D4450" s="6" t="n">
        <x:f>B4450</x:f>
        <x:v>0.2306</x:v>
      </x:c>
      <x:c r="E4450" s="1" t="n">
        <x:v>1.05</x:v>
      </x:c>
      <x:c r="F4450" s="1" t="str">
        <x:v>https://api.octopus.energy/v1/products/AGILE-24-10-01/electricity-tariffs/E-1R-AGILE-24-10-01-G/standard-unit-rates/</x:v>
      </x:c>
    </x:row>
    <x:row r="4451" ht="21" customHeight="1">
      <x:c r="A4451" s="24" t="n">
        <x:v>46241.229166666664</x:v>
      </x:c>
      <x:c r="B4451" s="6" t="n">
        <x:v>0.2293</x:v>
      </x:c>
      <x:c r="C4451" s="6" t="n">
        <x:v>0.1311</x:v>
      </x:c>
      <x:c r="D4451" s="6" t="n">
        <x:f>B4451</x:f>
        <x:v>0.2293</x:v>
      </x:c>
      <x:c r="E4451" s="1" t="n">
        <x:v>1.05</x:v>
      </x:c>
      <x:c r="F4451" s="1" t="str">
        <x:v>https://api.octopus.energy/v1/products/AGILE-24-10-01/electricity-tariffs/E-1R-AGILE-24-10-01-G/standard-unit-rates/</x:v>
      </x:c>
    </x:row>
    <x:row r="4452" ht="21" customHeight="1">
      <x:c r="A4452" s="24" t="n">
        <x:v>46241.25</x:v>
      </x:c>
      <x:c r="B4452" s="6" t="n">
        <x:v>0.2318</x:v>
      </x:c>
      <x:c r="C4452" s="6" t="n">
        <x:v>0.1322</x:v>
      </x:c>
      <x:c r="D4452" s="6" t="n">
        <x:f>B4452</x:f>
        <x:v>0.2318</x:v>
      </x:c>
      <x:c r="E4452" s="1" t="n">
        <x:v>1.05</x:v>
      </x:c>
      <x:c r="F4452" s="1" t="str">
        <x:v>https://api.octopus.energy/v1/products/AGILE-24-10-01/electricity-tariffs/E-1R-AGILE-24-10-01-G/standard-unit-rates/</x:v>
      </x:c>
    </x:row>
    <x:row r="4453" ht="21" customHeight="1">
      <x:c r="A4453" s="24" t="n">
        <x:v>46241.270833333336</x:v>
      </x:c>
      <x:c r="B4453" s="6" t="n">
        <x:v>0.2447</x:v>
      </x:c>
      <x:c r="C4453" s="6" t="n">
        <x:v>0.1381</x:v>
      </x:c>
      <x:c r="D4453" s="6" t="n">
        <x:f>B4453</x:f>
        <x:v>0.2447</x:v>
      </x:c>
      <x:c r="E4453" s="1" t="n">
        <x:v>1.05</x:v>
      </x:c>
      <x:c r="F4453" s="1" t="str">
        <x:v>https://api.octopus.energy/v1/products/AGILE-24-10-01/electricity-tariffs/E-1R-AGILE-24-10-01-G/standard-unit-rates/</x:v>
      </x:c>
    </x:row>
    <x:row r="4454" ht="21" customHeight="1">
      <x:c r="A4454" s="24" t="n">
        <x:v>46241.291666666664</x:v>
      </x:c>
      <x:c r="B4454" s="6" t="n">
        <x:v>0.2186</x:v>
      </x:c>
      <x:c r="C4454" s="6" t="n">
        <x:v>0.12619999999999998</x:v>
      </x:c>
      <x:c r="D4454" s="6" t="n">
        <x:f>B4454</x:f>
        <x:v>0.2186</x:v>
      </x:c>
      <x:c r="E4454" s="1" t="n">
        <x:v>1.05</x:v>
      </x:c>
      <x:c r="F4454" s="1" t="str">
        <x:v>https://api.octopus.energy/v1/products/AGILE-24-10-01/electricity-tariffs/E-1R-AGILE-24-10-01-G/standard-unit-rates/</x:v>
      </x:c>
    </x:row>
    <x:row r="4455" ht="21" customHeight="1">
      <x:c r="A4455" s="24" t="n">
        <x:v>46241.3125</x:v>
      </x:c>
      <x:c r="B4455" s="6" t="n">
        <x:v>0.23190000000000002</x:v>
      </x:c>
      <x:c r="C4455" s="6" t="n">
        <x:v>0.1323</x:v>
      </x:c>
      <x:c r="D4455" s="6" t="n">
        <x:f>B4455</x:f>
        <x:v>0.23190000000000002</x:v>
      </x:c>
      <x:c r="E4455" s="1" t="n">
        <x:v>1.05</x:v>
      </x:c>
      <x:c r="F4455" s="1" t="str">
        <x:v>https://api.octopus.energy/v1/products/AGILE-24-10-01/electricity-tariffs/E-1R-AGILE-24-10-01-G/standard-unit-rates/</x:v>
      </x:c>
    </x:row>
    <x:row r="4456" ht="21" customHeight="1">
      <x:c r="A4456" s="24" t="n">
        <x:v>46241.333333333336</x:v>
      </x:c>
      <x:c r="B4456" s="6" t="n">
        <x:v>0.19760000000000003</x:v>
      </x:c>
      <x:c r="C4456" s="6" t="n">
        <x:v>0.1166</x:v>
      </x:c>
      <x:c r="D4456" s="6" t="n">
        <x:f>B4456</x:f>
        <x:v>0.19760000000000003</x:v>
      </x:c>
      <x:c r="E4456" s="1" t="n">
        <x:v>1.05</x:v>
      </x:c>
      <x:c r="F4456" s="1" t="str">
        <x:v>https://api.octopus.energy/v1/products/AGILE-24-10-01/electricity-tariffs/E-1R-AGILE-24-10-01-G/standard-unit-rates/</x:v>
      </x:c>
    </x:row>
    <x:row r="4457" ht="21" customHeight="1">
      <x:c r="A4457" s="24" t="n">
        <x:v>46241.354166666664</x:v>
      </x:c>
      <x:c r="B4457" s="6" t="n">
        <x:v>0.1809</x:v>
      </x:c>
      <x:c r="C4457" s="6" t="n">
        <x:v>0.109</x:v>
      </x:c>
      <x:c r="D4457" s="6" t="n">
        <x:f>B4457</x:f>
        <x:v>0.1809</x:v>
      </x:c>
      <x:c r="E4457" s="1" t="n">
        <x:v>1.05</x:v>
      </x:c>
      <x:c r="F4457" s="1" t="str">
        <x:v>https://api.octopus.energy/v1/products/AGILE-24-10-01/electricity-tariffs/E-1R-AGILE-24-10-01-G/standard-unit-rates/</x:v>
      </x:c>
    </x:row>
    <x:row r="4458" ht="21" customHeight="1">
      <x:c r="A4458" s="24" t="n">
        <x:v>46241.375</x:v>
      </x:c>
      <x:c r="B4458" s="6" t="n">
        <x:v>0.1766</x:v>
      </x:c>
      <x:c r="C4458" s="6" t="n">
        <x:v>0.107</x:v>
      </x:c>
      <x:c r="D4458" s="6" t="n">
        <x:f>B4458</x:f>
        <x:v>0.1766</x:v>
      </x:c>
      <x:c r="E4458" s="1" t="n">
        <x:v>1.05</x:v>
      </x:c>
      <x:c r="F4458" s="1" t="str">
        <x:v>https://api.octopus.energy/v1/products/AGILE-24-10-01/electricity-tariffs/E-1R-AGILE-24-10-01-G/standard-unit-rates/</x:v>
      </x:c>
    </x:row>
    <x:row r="4459" ht="21" customHeight="1">
      <x:c r="A4459" s="24" t="n">
        <x:v>46241.395833333336</x:v>
      </x:c>
      <x:c r="B4459" s="6" t="n">
        <x:v>0.1396</x:v>
      </x:c>
      <x:c r="C4459" s="6" t="n">
        <x:v>0.0901</x:v>
      </x:c>
      <x:c r="D4459" s="6" t="n">
        <x:f>B4459</x:f>
        <x:v>0.1396</x:v>
      </x:c>
      <x:c r="E4459" s="1" t="n">
        <x:v>1.05</x:v>
      </x:c>
      <x:c r="F4459" s="1" t="str">
        <x:v>https://api.octopus.energy/v1/products/AGILE-24-10-01/electricity-tariffs/E-1R-AGILE-24-10-01-G/standard-unit-rates/</x:v>
      </x:c>
    </x:row>
    <x:row r="4460" ht="21" customHeight="1">
      <x:c r="A4460" s="24" t="n">
        <x:v>46241.416666666664</x:v>
      </x:c>
      <x:c r="B4460" s="6" t="n">
        <x:v>0.15</x:v>
      </x:c>
      <x:c r="C4460" s="6" t="n">
        <x:v>0.09480000000000001</x:v>
      </x:c>
      <x:c r="D4460" s="6" t="n">
        <x:f>B4460</x:f>
        <x:v>0.15</x:v>
      </x:c>
      <x:c r="E4460" s="1" t="n">
        <x:v>1.05</x:v>
      </x:c>
      <x:c r="F4460" s="1" t="str">
        <x:v>https://api.octopus.energy/v1/products/AGILE-24-10-01/electricity-tariffs/E-1R-AGILE-24-10-01-G/standard-unit-rates/</x:v>
      </x:c>
    </x:row>
    <x:row r="4461" ht="21" customHeight="1">
      <x:c r="A4461" s="24" t="n">
        <x:v>46241.4375</x:v>
      </x:c>
      <x:c r="B4461" s="6" t="n">
        <x:v>0.1388</x:v>
      </x:c>
      <x:c r="C4461" s="6" t="n">
        <x:v>0.0897</x:v>
      </x:c>
      <x:c r="D4461" s="6" t="n">
        <x:f>B4461</x:f>
        <x:v>0.1388</x:v>
      </x:c>
      <x:c r="E4461" s="1" t="n">
        <x:v>1.05</x:v>
      </x:c>
      <x:c r="F4461" s="1" t="str">
        <x:v>https://api.octopus.energy/v1/products/AGILE-24-10-01/electricity-tariffs/E-1R-AGILE-24-10-01-G/standard-unit-rates/</x:v>
      </x:c>
    </x:row>
    <x:row r="4462" ht="21" customHeight="1">
      <x:c r="A4462" s="24" t="n">
        <x:v>46241.458333333336</x:v>
      </x:c>
      <x:c r="B4462" s="6" t="n">
        <x:v>0.1393</x:v>
      </x:c>
      <x:c r="C4462" s="6" t="n">
        <x:v>0.08990000000000001</x:v>
      </x:c>
      <x:c r="D4462" s="6" t="n">
        <x:f>B4462</x:f>
        <x:v>0.1393</x:v>
      </x:c>
      <x:c r="E4462" s="1" t="n">
        <x:v>1.05</x:v>
      </x:c>
      <x:c r="F4462" s="1" t="str">
        <x:v>https://api.octopus.energy/v1/products/AGILE-24-10-01/electricity-tariffs/E-1R-AGILE-24-10-01-G/standard-unit-rates/</x:v>
      </x:c>
    </x:row>
    <x:row r="4463" ht="21" customHeight="1">
      <x:c r="A4463" s="24" t="n">
        <x:v>46241.479166666664</x:v>
      </x:c>
      <x:c r="B4463" s="6" t="n">
        <x:v>0.1311</x:v>
      </x:c>
      <x:c r="C4463" s="6" t="n">
        <x:v>0.0862</x:v>
      </x:c>
      <x:c r="D4463" s="6" t="n">
        <x:f>B4463</x:f>
        <x:v>0.1311</x:v>
      </x:c>
      <x:c r="E4463" s="1" t="n">
        <x:v>1.05</x:v>
      </x:c>
      <x:c r="F4463" s="1" t="str">
        <x:v>https://api.octopus.energy/v1/products/AGILE-24-10-01/electricity-tariffs/E-1R-AGILE-24-10-01-G/standard-unit-rates/</x:v>
      </x:c>
    </x:row>
    <x:row r="4464" ht="21" customHeight="1">
      <x:c r="A4464" s="24" t="n">
        <x:v>46241.5</x:v>
      </x:c>
      <x:c r="B4464" s="6" t="n">
        <x:v>0.133</x:v>
      </x:c>
      <x:c r="C4464" s="6" t="n">
        <x:v>0.08710000000000001</x:v>
      </x:c>
      <x:c r="D4464" s="6" t="n">
        <x:f>B4464</x:f>
        <x:v>0.133</x:v>
      </x:c>
      <x:c r="E4464" s="1" t="n">
        <x:v>1.05</x:v>
      </x:c>
      <x:c r="F4464" s="1" t="str">
        <x:v>https://api.octopus.energy/v1/products/AGILE-24-10-01/electricity-tariffs/E-1R-AGILE-24-10-01-G/standard-unit-rates/</x:v>
      </x:c>
    </x:row>
    <x:row r="4465" ht="21" customHeight="1">
      <x:c r="A4465" s="24" t="n">
        <x:v>46241.520833333336</x:v>
      </x:c>
      <x:c r="B4465" s="6" t="n">
        <x:v>0.1353</x:v>
      </x:c>
      <x:c r="C4465" s="6" t="n">
        <x:v>0.08810000000000001</x:v>
      </x:c>
      <x:c r="D4465" s="6" t="n">
        <x:f>B4465</x:f>
        <x:v>0.1353</x:v>
      </x:c>
      <x:c r="E4465" s="1" t="n">
        <x:v>1.05</x:v>
      </x:c>
      <x:c r="F4465" s="1" t="str">
        <x:v>https://api.octopus.energy/v1/products/AGILE-24-10-01/electricity-tariffs/E-1R-AGILE-24-10-01-G/standard-unit-rates/</x:v>
      </x:c>
    </x:row>
    <x:row r="4466" ht="21" customHeight="1">
      <x:c r="A4466" s="24" t="n">
        <x:v>46241.541666666664</x:v>
      </x:c>
      <x:c r="B4466" s="6" t="n">
        <x:v>0.1346</x:v>
      </x:c>
      <x:c r="C4466" s="6" t="n">
        <x:v>0.08779999999999999</x:v>
      </x:c>
      <x:c r="D4466" s="6" t="n">
        <x:f>B4466</x:f>
        <x:v>0.1346</x:v>
      </x:c>
      <x:c r="E4466" s="1" t="n">
        <x:v>1.05</x:v>
      </x:c>
      <x:c r="F4466" s="1" t="str">
        <x:v>https://api.octopus.energy/v1/products/AGILE-24-10-01/electricity-tariffs/E-1R-AGILE-24-10-01-G/standard-unit-rates/</x:v>
      </x:c>
    </x:row>
    <x:row r="4467" ht="21" customHeight="1">
      <x:c r="A4467" s="24" t="n">
        <x:v>46241.5625</x:v>
      </x:c>
      <x:c r="B4467" s="6" t="n">
        <x:v>0.1272</x:v>
      </x:c>
      <x:c r="C4467" s="6" t="n">
        <x:v>0.08439999999999999</x:v>
      </x:c>
      <x:c r="D4467" s="6" t="n">
        <x:f>B4467</x:f>
        <x:v>0.1272</x:v>
      </x:c>
      <x:c r="E4467" s="1" t="n">
        <x:v>1.05</x:v>
      </x:c>
      <x:c r="F4467" s="1" t="str">
        <x:v>https://api.octopus.energy/v1/products/AGILE-24-10-01/electricity-tariffs/E-1R-AGILE-24-10-01-G/standard-unit-rates/</x:v>
      </x:c>
    </x:row>
    <x:row r="4468" ht="21" customHeight="1">
      <x:c r="A4468" s="24" t="n">
        <x:v>46241.583333333336</x:v>
      </x:c>
      <x:c r="B4468" s="6" t="n">
        <x:v>0.1346</x:v>
      </x:c>
      <x:c r="C4468" s="6" t="n">
        <x:v>0.08779999999999999</x:v>
      </x:c>
      <x:c r="D4468" s="6" t="n">
        <x:f>B4468</x:f>
        <x:v>0.1346</x:v>
      </x:c>
      <x:c r="E4468" s="1" t="n">
        <x:v>1.05</x:v>
      </x:c>
      <x:c r="F4468" s="1" t="str">
        <x:v>https://api.octopus.energy/v1/products/AGILE-24-10-01/electricity-tariffs/E-1R-AGILE-24-10-01-G/standard-unit-rates/</x:v>
      </x:c>
    </x:row>
    <x:row r="4469" ht="21" customHeight="1">
      <x:c r="A4469" s="24" t="n">
        <x:v>46241.604166666664</x:v>
      </x:c>
      <x:c r="B4469" s="6" t="n">
        <x:v>0.1336</x:v>
      </x:c>
      <x:c r="C4469" s="6" t="n">
        <x:v>0.0873</x:v>
      </x:c>
      <x:c r="D4469" s="6" t="n">
        <x:f>B4469</x:f>
        <x:v>0.1336</x:v>
      </x:c>
      <x:c r="E4469" s="1" t="n">
        <x:v>1.05</x:v>
      </x:c>
      <x:c r="F4469" s="1" t="str">
        <x:v>https://api.octopus.energy/v1/products/AGILE-24-10-01/electricity-tariffs/E-1R-AGILE-24-10-01-G/standard-unit-rates/</x:v>
      </x:c>
    </x:row>
    <x:row r="4470" ht="21" customHeight="1">
      <x:c r="A4470" s="24" t="n">
        <x:v>46241.625</x:v>
      </x:c>
      <x:c r="B4470" s="6" t="n">
        <x:v>0.1282</x:v>
      </x:c>
      <x:c r="C4470" s="6" t="n">
        <x:v>0.0849</x:v>
      </x:c>
      <x:c r="D4470" s="6" t="n">
        <x:f>B4470</x:f>
        <x:v>0.1282</x:v>
      </x:c>
      <x:c r="E4470" s="1" t="n">
        <x:v>1.05</x:v>
      </x:c>
      <x:c r="F4470" s="1" t="str">
        <x:v>https://api.octopus.energy/v1/products/AGILE-24-10-01/electricity-tariffs/E-1R-AGILE-24-10-01-G/standard-unit-rates/</x:v>
      </x:c>
    </x:row>
    <x:row r="4471" ht="21" customHeight="1">
      <x:c r="A4471" s="24" t="n">
        <x:v>46241.645833333336</x:v>
      </x:c>
      <x:c r="B4471" s="6" t="n">
        <x:v>0.1234</x:v>
      </x:c>
      <x:c r="C4471" s="6" t="n">
        <x:v>0.0827</x:v>
      </x:c>
      <x:c r="D4471" s="6" t="n">
        <x:f>B4471</x:f>
        <x:v>0.1234</x:v>
      </x:c>
      <x:c r="E4471" s="1" t="n">
        <x:v>1.05</x:v>
      </x:c>
      <x:c r="F4471" s="1" t="str">
        <x:v>https://api.octopus.energy/v1/products/AGILE-24-10-01/electricity-tariffs/E-1R-AGILE-24-10-01-G/standard-unit-rates/</x:v>
      </x:c>
    </x:row>
    <x:row r="4472" ht="21" customHeight="1">
      <x:c r="A4472" s="24" t="n">
        <x:v>46241.666666666664</x:v>
      </x:c>
      <x:c r="B4472" s="6" t="n">
        <x:v>0.2816</x:v>
      </x:c>
      <x:c r="C4472" s="6" t="n">
        <x:v>0.159</x:v>
      </x:c>
      <x:c r="D4472" s="6" t="n">
        <x:f>B4472</x:f>
        <x:v>0.2816</x:v>
      </x:c>
      <x:c r="E4472" s="1" t="n">
        <x:v>1.05</x:v>
      </x:c>
      <x:c r="F4472" s="1" t="str">
        <x:v>https://api.octopus.energy/v1/products/AGILE-24-10-01/electricity-tariffs/E-1R-AGILE-24-10-01-G/standard-unit-rates/</x:v>
      </x:c>
    </x:row>
    <x:row r="4473" ht="21" customHeight="1">
      <x:c r="A4473" s="24" t="n">
        <x:v>46241.6875</x:v>
      </x:c>
      <x:c r="B4473" s="6" t="n">
        <x:v>0.2892</x:v>
      </x:c>
      <x:c r="C4473" s="6" t="n">
        <x:v>0.1625</x:v>
      </x:c>
      <x:c r="D4473" s="6" t="n">
        <x:f>B4473</x:f>
        <x:v>0.2892</x:v>
      </x:c>
      <x:c r="E4473" s="1" t="n">
        <x:v>1.05</x:v>
      </x:c>
      <x:c r="F4473" s="1" t="str">
        <x:v>https://api.octopus.energy/v1/products/AGILE-24-10-01/electricity-tariffs/E-1R-AGILE-24-10-01-G/standard-unit-rates/</x:v>
      </x:c>
    </x:row>
    <x:row r="4474" ht="21" customHeight="1">
      <x:c r="A4474" s="24" t="n">
        <x:v>46241.708333333336</x:v>
      </x:c>
      <x:c r="B4474" s="6" t="n">
        <x:v>0.3332</x:v>
      </x:c>
      <x:c r="C4474" s="6" t="n">
        <x:v>0.1826</x:v>
      </x:c>
      <x:c r="D4474" s="6" t="n">
        <x:f>B4474</x:f>
        <x:v>0.3332</x:v>
      </x:c>
      <x:c r="E4474" s="1" t="n">
        <x:v>1.05</x:v>
      </x:c>
      <x:c r="F4474" s="1" t="str">
        <x:v>https://api.octopus.energy/v1/products/AGILE-24-10-01/electricity-tariffs/E-1R-AGILE-24-10-01-G/standard-unit-rates/</x:v>
      </x:c>
    </x:row>
    <x:row r="4475" ht="21" customHeight="1">
      <x:c r="A4475" s="24" t="n">
        <x:v>46241.729166666664</x:v>
      </x:c>
      <x:c r="B4475" s="6" t="n">
        <x:v>0.3306</x:v>
      </x:c>
      <x:c r="C4475" s="6" t="n">
        <x:v>0.1815</x:v>
      </x:c>
      <x:c r="D4475" s="6" t="n">
        <x:f>B4475</x:f>
        <x:v>0.3306</x:v>
      </x:c>
      <x:c r="E4475" s="1" t="n">
        <x:v>1.05</x:v>
      </x:c>
      <x:c r="F4475" s="1" t="str">
        <x:v>https://api.octopus.energy/v1/products/AGILE-24-10-01/electricity-tariffs/E-1R-AGILE-24-10-01-G/standard-unit-rates/</x:v>
      </x:c>
    </x:row>
    <x:row r="4476" ht="21" customHeight="1">
      <x:c r="A4476" s="24" t="n">
        <x:v>46241.75</x:v>
      </x:c>
      <x:c r="B4476" s="6" t="n">
        <x:v>0.35869999999999996</x:v>
      </x:c>
      <x:c r="C4476" s="6" t="n">
        <x:v>0.1943</x:v>
      </x:c>
      <x:c r="D4476" s="6" t="n">
        <x:f>B4476</x:f>
        <x:v>0.35869999999999996</x:v>
      </x:c>
      <x:c r="E4476" s="1" t="n">
        <x:v>1.05</x:v>
      </x:c>
      <x:c r="F4476" s="1" t="str">
        <x:v>https://api.octopus.energy/v1/products/AGILE-24-10-01/electricity-tariffs/E-1R-AGILE-24-10-01-G/standard-unit-rates/</x:v>
      </x:c>
    </x:row>
    <x:row r="4477" ht="21" customHeight="1">
      <x:c r="A4477" s="24" t="n">
        <x:v>46241.770833333336</x:v>
      </x:c>
      <x:c r="B4477" s="6" t="n">
        <x:v>0.373</x:v>
      </x:c>
      <x:c r="C4477" s="6" t="n">
        <x:v>0.20079999999999998</x:v>
      </x:c>
      <x:c r="D4477" s="6" t="n">
        <x:f>B4477</x:f>
        <x:v>0.373</x:v>
      </x:c>
      <x:c r="E4477" s="1" t="n">
        <x:v>1.05</x:v>
      </x:c>
      <x:c r="F4477" s="1" t="str">
        <x:v>https://api.octopus.energy/v1/products/AGILE-24-10-01/electricity-tariffs/E-1R-AGILE-24-10-01-G/standard-unit-rates/</x:v>
      </x:c>
    </x:row>
    <x:row r="4478" ht="21" customHeight="1">
      <x:c r="A4478" s="24" t="n">
        <x:v>46241.791666666664</x:v>
      </x:c>
      <x:c r="B4478" s="6" t="n">
        <x:v>0.2692</x:v>
      </x:c>
      <x:c r="C4478" s="6" t="n">
        <x:v>0.1493</x:v>
      </x:c>
      <x:c r="D4478" s="6" t="n">
        <x:f>B4478</x:f>
        <x:v>0.2692</x:v>
      </x:c>
      <x:c r="E4478" s="1" t="n">
        <x:v>1.05</x:v>
      </x:c>
      <x:c r="F4478" s="1" t="str">
        <x:v>https://api.octopus.energy/v1/products/AGILE-24-10-01/electricity-tariffs/E-1R-AGILE-24-10-01-G/standard-unit-rates/</x:v>
      </x:c>
    </x:row>
    <x:row r="4479" ht="21" customHeight="1">
      <x:c r="A4479" s="24" t="n">
        <x:v>46241.8125</x:v>
      </x:c>
      <x:c r="B4479" s="6" t="n">
        <x:v>0.26899999999999996</x:v>
      </x:c>
      <x:c r="C4479" s="6" t="n">
        <x:v>0.1492</x:v>
      </x:c>
      <x:c r="D4479" s="6" t="n">
        <x:f>B4479</x:f>
        <x:v>0.26899999999999996</x:v>
      </x:c>
      <x:c r="E4479" s="1" t="n">
        <x:v>1.05</x:v>
      </x:c>
      <x:c r="F4479" s="1" t="str">
        <x:v>https://api.octopus.energy/v1/products/AGILE-24-10-01/electricity-tariffs/E-1R-AGILE-24-10-01-G/standard-unit-rates/</x:v>
      </x:c>
    </x:row>
    <x:row r="4480" ht="21" customHeight="1">
      <x:c r="A4480" s="24" t="n">
        <x:v>46241.833333333336</x:v>
      </x:c>
      <x:c r="B4480" s="6" t="n">
        <x:v>0.262</x:v>
      </x:c>
      <x:c r="C4480" s="6" t="n">
        <x:v>0.146</x:v>
      </x:c>
      <x:c r="D4480" s="6" t="n">
        <x:f>B4480</x:f>
        <x:v>0.262</x:v>
      </x:c>
      <x:c r="E4480" s="1" t="n">
        <x:v>1.05</x:v>
      </x:c>
      <x:c r="F4480" s="1" t="str">
        <x:v>https://api.octopus.energy/v1/products/AGILE-24-10-01/electricity-tariffs/E-1R-AGILE-24-10-01-G/standard-unit-rates/</x:v>
      </x:c>
    </x:row>
    <x:row r="4481" ht="21" customHeight="1">
      <x:c r="A4481" s="24" t="n">
        <x:v>46241.854166666664</x:v>
      </x:c>
      <x:c r="B4481" s="6" t="n">
        <x:v>0.2648</x:v>
      </x:c>
      <x:c r="C4481" s="6" t="n">
        <x:v>0.14730000000000001</x:v>
      </x:c>
      <x:c r="D4481" s="6" t="n">
        <x:f>B4481</x:f>
        <x:v>0.2648</x:v>
      </x:c>
      <x:c r="E4481" s="1" t="n">
        <x:v>1.05</x:v>
      </x:c>
      <x:c r="F4481" s="1" t="str">
        <x:v>https://api.octopus.energy/v1/products/AGILE-24-10-01/electricity-tariffs/E-1R-AGILE-24-10-01-G/standard-unit-rates/</x:v>
      </x:c>
    </x:row>
    <x:row r="4482" ht="21" customHeight="1">
      <x:c r="A4482" s="24" t="n">
        <x:v>46241.875</x:v>
      </x:c>
      <x:c r="B4482" s="6" t="n">
        <x:v>0.2675</x:v>
      </x:c>
      <x:c r="C4482" s="6" t="n">
        <x:v>0.14859999999999998</x:v>
      </x:c>
      <x:c r="D4482" s="6" t="n">
        <x:f>B4482</x:f>
        <x:v>0.2675</x:v>
      </x:c>
      <x:c r="E4482" s="1" t="n">
        <x:v>1.05</x:v>
      </x:c>
      <x:c r="F4482" s="1" t="str">
        <x:v>https://api.octopus.energy/v1/products/AGILE-24-10-01/electricity-tariffs/E-1R-AGILE-24-10-01-G/standard-unit-rates/</x:v>
      </x:c>
    </x:row>
    <x:row r="4483" ht="21" customHeight="1">
      <x:c r="A4483" s="24" t="n">
        <x:v>46241.895833333336</x:v>
      </x:c>
      <x:c r="B4483" s="6" t="n">
        <x:v>0.26899999999999996</x:v>
      </x:c>
      <x:c r="C4483" s="6" t="n">
        <x:v>0.1492</x:v>
      </x:c>
      <x:c r="D4483" s="6" t="n">
        <x:f>B4483</x:f>
        <x:v>0.26899999999999996</x:v>
      </x:c>
      <x:c r="E4483" s="1" t="n">
        <x:v>1.05</x:v>
      </x:c>
      <x:c r="F4483" s="1" t="str">
        <x:v>https://api.octopus.energy/v1/products/AGILE-24-10-01/electricity-tariffs/E-1R-AGILE-24-10-01-G/standard-unit-rates/</x:v>
      </x:c>
    </x:row>
    <x:row r="4484" ht="21" customHeight="1">
      <x:c r="A4484" s="24" t="n">
        <x:v>46241.916666666664</x:v>
      </x:c>
      <x:c r="B4484" s="6" t="n">
        <x:v>0.256</x:v>
      </x:c>
      <x:c r="C4484" s="6" t="n">
        <x:v>0.1433</x:v>
      </x:c>
      <x:c r="D4484" s="6" t="n">
        <x:f>B4484</x:f>
        <x:v>0.256</x:v>
      </x:c>
      <x:c r="E4484" s="1" t="n">
        <x:v>1.05</x:v>
      </x:c>
      <x:c r="F4484" s="1" t="str">
        <x:v>https://api.octopus.energy/v1/products/AGILE-24-10-01/electricity-tariffs/E-1R-AGILE-24-10-01-G/standard-unit-rates/</x:v>
      </x:c>
    </x:row>
    <x:row r="4485" ht="21" customHeight="1">
      <x:c r="A4485" s="24" t="n">
        <x:v>46241.9375</x:v>
      </x:c>
      <x:c r="B4485" s="6" t="n">
        <x:v>0.24850000000000003</x:v>
      </x:c>
      <x:c r="C4485" s="6" t="n">
        <x:v>0.1399</x:v>
      </x:c>
      <x:c r="D4485" s="6" t="n">
        <x:f>B4485</x:f>
        <x:v>0.24850000000000003</x:v>
      </x:c>
      <x:c r="E4485" s="1" t="n">
        <x:v>1.05</x:v>
      </x:c>
      <x:c r="F4485" s="1" t="str">
        <x:v>https://api.octopus.energy/v1/products/AGILE-24-10-01/electricity-tariffs/E-1R-AGILE-24-10-01-G/standard-unit-rates/</x:v>
      </x:c>
    </x:row>
    <x:row r="4486" ht="21" customHeight="1">
      <x:c r="A4486" s="24" t="n">
        <x:v>46242</x:v>
      </x:c>
      <x:c r="B4486" s="6" t="n">
        <x:v>0.2386</x:v>
      </x:c>
      <x:c r="C4486" s="6" t="n">
        <x:v>0.1354</x:v>
      </x:c>
      <x:c r="D4486" s="6" t="n">
        <x:f>B4486</x:f>
        <x:v>0.2386</x:v>
      </x:c>
      <x:c r="E4486" s="1" t="n">
        <x:v>1.05</x:v>
      </x:c>
      <x:c r="F4486" s="1" t="str">
        <x:v>https://api.octopus.energy/v1/products/AGILE-24-10-01/electricity-tariffs/E-1R-AGILE-24-10-01-G/standard-unit-rates/</x:v>
      </x:c>
    </x:row>
    <x:row r="4487" ht="21" customHeight="1">
      <x:c r="A4487" s="24" t="n">
        <x:v>46241.979166666664</x:v>
      </x:c>
      <x:c r="B4487" s="6" t="n">
        <x:v>0.23120000000000002</x:v>
      </x:c>
      <x:c r="C4487" s="6" t="n">
        <x:v>0.132</x:v>
      </x:c>
      <x:c r="D4487" s="6" t="n">
        <x:f>B4487</x:f>
        <x:v>0.23120000000000002</x:v>
      </x:c>
      <x:c r="E4487" s="1" t="n">
        <x:v>1.05</x:v>
      </x:c>
      <x:c r="F4487" s="1" t="str">
        <x:v>https://api.octopus.energy/v1/products/AGILE-24-10-01/electricity-tariffs/E-1R-AGILE-24-10-01-G/standard-unit-rates/</x:v>
      </x:c>
    </x:row>
    <x:row r="4488" ht="21" customHeight="1">
      <x:c r="A4488" s="24" t="n">
        <x:v>46242</x:v>
      </x:c>
      <x:c r="B4488" s="6" t="n">
        <x:v>0.2274</x:v>
      </x:c>
      <x:c r="C4488" s="6" t="n">
        <x:v>0.13019999999999998</x:v>
      </x:c>
      <x:c r="D4488" s="6" t="n">
        <x:f>B4488</x:f>
        <x:v>0.2274</x:v>
      </x:c>
      <x:c r="E4488" s="1" t="n">
        <x:v>1.05</x:v>
      </x:c>
      <x:c r="F4488" s="1" t="str">
        <x:v>https://api.octopus.energy/v1/products/AGILE-24-10-01/electricity-tariffs/E-1R-AGILE-24-10-01-G/standard-unit-rates/</x:v>
      </x:c>
    </x:row>
    <x:row r="4489" ht="21" customHeight="1">
      <x:c r="A4489" s="24" t="n">
        <x:v>46242.020833333336</x:v>
      </x:c>
      <x:c r="B4489" s="6" t="n">
        <x:v>0.218</x:v>
      </x:c>
      <x:c r="C4489" s="6" t="n">
        <x:v>0.1259</x:v>
      </x:c>
      <x:c r="D4489" s="6" t="n">
        <x:f>B4489</x:f>
        <x:v>0.218</x:v>
      </x:c>
      <x:c r="E4489" s="1" t="n">
        <x:v>1.05</x:v>
      </x:c>
      <x:c r="F4489" s="1" t="str">
        <x:v>https://api.octopus.energy/v1/products/AGILE-24-10-01/electricity-tariffs/E-1R-AGILE-24-10-01-G/standard-unit-rates/</x:v>
      </x:c>
    </x:row>
    <x:row r="4490" ht="21" customHeight="1">
      <x:c r="A4490" s="24" t="n">
        <x:v>46242.041666666664</x:v>
      </x:c>
      <x:c r="B4490" s="6" t="n">
        <x:v>0.21230000000000002</x:v>
      </x:c>
      <x:c r="C4490" s="6" t="n">
        <x:v>0.1233</x:v>
      </x:c>
      <x:c r="D4490" s="6" t="n">
        <x:f>B4490</x:f>
        <x:v>0.21230000000000002</x:v>
      </x:c>
      <x:c r="E4490" s="1" t="n">
        <x:v>1.05</x:v>
      </x:c>
      <x:c r="F4490" s="1" t="str">
        <x:v>https://api.octopus.energy/v1/products/AGILE-24-10-01/electricity-tariffs/E-1R-AGILE-24-10-01-G/standard-unit-rates/</x:v>
      </x:c>
    </x:row>
    <x:row r="4491" ht="21" customHeight="1">
      <x:c r="A4491" s="24" t="n">
        <x:v>46242.0625</x:v>
      </x:c>
      <x:c r="B4491" s="6" t="n">
        <x:v>0.21230000000000002</x:v>
      </x:c>
      <x:c r="C4491" s="6" t="n">
        <x:v>0.1233</x:v>
      </x:c>
      <x:c r="D4491" s="6" t="n">
        <x:f>B4491</x:f>
        <x:v>0.21230000000000002</x:v>
      </x:c>
      <x:c r="E4491" s="1" t="n">
        <x:v>1.05</x:v>
      </x:c>
      <x:c r="F4491" s="1" t="str">
        <x:v>https://api.octopus.energy/v1/products/AGILE-24-10-01/electricity-tariffs/E-1R-AGILE-24-10-01-G/standard-unit-rates/</x:v>
      </x:c>
    </x:row>
    <x:row r="4492" ht="21" customHeight="1">
      <x:c r="A4492" s="24" t="n">
        <x:v>46242.083333333336</x:v>
      </x:c>
      <x:c r="B4492" s="6" t="n">
        <x:v>0.2107</x:v>
      </x:c>
      <x:c r="C4492" s="6" t="n">
        <x:v>0.1226</x:v>
      </x:c>
      <x:c r="D4492" s="6" t="n">
        <x:f>B4492</x:f>
        <x:v>0.2107</x:v>
      </x:c>
      <x:c r="E4492" s="1" t="n">
        <x:v>1.05</x:v>
      </x:c>
      <x:c r="F4492" s="1" t="str">
        <x:v>https://api.octopus.energy/v1/products/AGILE-24-10-01/electricity-tariffs/E-1R-AGILE-24-10-01-G/standard-unit-rates/</x:v>
      </x:c>
    </x:row>
    <x:row r="4493" ht="21" customHeight="1">
      <x:c r="A4493" s="24" t="n">
        <x:v>46242.104166666664</x:v>
      </x:c>
      <x:c r="B4493" s="6" t="n">
        <x:v>0.2175</x:v>
      </x:c>
      <x:c r="C4493" s="6" t="n">
        <x:v>0.1257</x:v>
      </x:c>
      <x:c r="D4493" s="6" t="n">
        <x:f>B4493</x:f>
        <x:v>0.2175</x:v>
      </x:c>
      <x:c r="E4493" s="1" t="n">
        <x:v>1.05</x:v>
      </x:c>
      <x:c r="F4493" s="1" t="str">
        <x:v>https://api.octopus.energy/v1/products/AGILE-24-10-01/electricity-tariffs/E-1R-AGILE-24-10-01-G/standard-unit-rates/</x:v>
      </x:c>
    </x:row>
    <x:row r="4494" ht="21" customHeight="1">
      <x:c r="A4494" s="24" t="n">
        <x:v>46242.125</x:v>
      </x:c>
      <x:c r="B4494" s="6" t="n">
        <x:v>0.21989999999999998</x:v>
      </x:c>
      <x:c r="C4494" s="6" t="n">
        <x:v>0.1268</x:v>
      </x:c>
      <x:c r="D4494" s="6" t="n">
        <x:f>B4494</x:f>
        <x:v>0.21989999999999998</x:v>
      </x:c>
      <x:c r="E4494" s="1" t="n">
        <x:v>1.05</x:v>
      </x:c>
      <x:c r="F4494" s="1" t="str">
        <x:v>https://api.octopus.energy/v1/products/AGILE-24-10-01/electricity-tariffs/E-1R-AGILE-24-10-01-G/standard-unit-rates/</x:v>
      </x:c>
    </x:row>
    <x:row r="4495" ht="21" customHeight="1">
      <x:c r="A4495" s="24" t="n">
        <x:v>46242.145833333336</x:v>
      </x:c>
      <x:c r="B4495" s="6" t="n">
        <x:v>0.204</x:v>
      </x:c>
      <x:c r="C4495" s="6" t="n">
        <x:v>0.1195</x:v>
      </x:c>
      <x:c r="D4495" s="6" t="n">
        <x:f>B4495</x:f>
        <x:v>0.204</x:v>
      </x:c>
      <x:c r="E4495" s="1" t="n">
        <x:v>1.05</x:v>
      </x:c>
      <x:c r="F4495" s="1" t="str">
        <x:v>https://api.octopus.energy/v1/products/AGILE-24-10-01/electricity-tariffs/E-1R-AGILE-24-10-01-G/standard-unit-rates/</x:v>
      </x:c>
    </x:row>
    <x:row r="4496" ht="21" customHeight="1">
      <x:c r="A4496" s="24" t="n">
        <x:v>46242.166666666664</x:v>
      </x:c>
      <x:c r="B4496" s="6" t="n">
        <x:v>0.21559999999999999</x:v>
      </x:c>
      <x:c r="C4496" s="6" t="n">
        <x:v>0.12480000000000001</x:v>
      </x:c>
      <x:c r="D4496" s="6" t="n">
        <x:f>B4496</x:f>
        <x:v>0.21559999999999999</x:v>
      </x:c>
      <x:c r="E4496" s="1" t="n">
        <x:v>1.05</x:v>
      </x:c>
      <x:c r="F4496" s="1" t="str">
        <x:v>https://api.octopus.energy/v1/products/AGILE-24-10-01/electricity-tariffs/E-1R-AGILE-24-10-01-G/standard-unit-rates/</x:v>
      </x:c>
    </x:row>
    <x:row r="4497" ht="21" customHeight="1">
      <x:c r="A4497" s="24" t="n">
        <x:v>46242.1875</x:v>
      </x:c>
      <x:c r="B4497" s="6" t="n">
        <x:v>0.21289999999999998</x:v>
      </x:c>
      <x:c r="C4497" s="6" t="n">
        <x:v>0.12359999999999999</x:v>
      </x:c>
      <x:c r="D4497" s="6" t="n">
        <x:f>B4497</x:f>
        <x:v>0.21289999999999998</x:v>
      </x:c>
      <x:c r="E4497" s="1" t="n">
        <x:v>1.05</x:v>
      </x:c>
      <x:c r="F4497" s="1" t="str">
        <x:v>https://api.octopus.energy/v1/products/AGILE-24-10-01/electricity-tariffs/E-1R-AGILE-24-10-01-G/standard-unit-rates/</x:v>
      </x:c>
    </x:row>
    <x:row r="4498" ht="21" customHeight="1">
      <x:c r="A4498" s="24" t="n">
        <x:v>46242.208333333336</x:v>
      </x:c>
      <x:c r="B4498" s="6" t="n">
        <x:v>0.2224</x:v>
      </x:c>
      <x:c r="C4498" s="6" t="n">
        <x:v>0.12789999999999999</x:v>
      </x:c>
      <x:c r="D4498" s="6" t="n">
        <x:f>B4498</x:f>
        <x:v>0.2224</x:v>
      </x:c>
      <x:c r="E4498" s="1" t="n">
        <x:v>1.05</x:v>
      </x:c>
      <x:c r="F4498" s="1" t="str">
        <x:v>https://api.octopus.energy/v1/products/AGILE-24-10-01/electricity-tariffs/E-1R-AGILE-24-10-01-G/standard-unit-rates/</x:v>
      </x:c>
    </x:row>
    <x:row r="4499" ht="21" customHeight="1">
      <x:c r="A4499" s="24" t="n">
        <x:v>46242.229166666664</x:v>
      </x:c>
      <x:c r="B4499" s="6" t="n">
        <x:v>0.2184</x:v>
      </x:c>
      <x:c r="C4499" s="6" t="n">
        <x:v>0.1261</x:v>
      </x:c>
      <x:c r="D4499" s="6" t="n">
        <x:f>B4499</x:f>
        <x:v>0.2184</x:v>
      </x:c>
      <x:c r="E4499" s="1" t="n">
        <x:v>1.05</x:v>
      </x:c>
      <x:c r="F4499" s="1" t="str">
        <x:v>https://api.octopus.energy/v1/products/AGILE-24-10-01/electricity-tariffs/E-1R-AGILE-24-10-01-G/standard-unit-rates/</x:v>
      </x:c>
    </x:row>
    <x:row r="4500" ht="21" customHeight="1">
      <x:c r="A4500" s="24" t="n">
        <x:v>46242.25</x:v>
      </x:c>
      <x:c r="B4500" s="6" t="n">
        <x:v>0.20559999999999998</x:v>
      </x:c>
      <x:c r="C4500" s="6" t="n">
        <x:v>0.12029999999999999</x:v>
      </x:c>
      <x:c r="D4500" s="6" t="n">
        <x:f>B4500</x:f>
        <x:v>0.20559999999999998</x:v>
      </x:c>
      <x:c r="E4500" s="1" t="n">
        <x:v>1.05</x:v>
      </x:c>
      <x:c r="F4500" s="1" t="str">
        <x:v>https://api.octopus.energy/v1/products/AGILE-24-10-01/electricity-tariffs/E-1R-AGILE-24-10-01-G/standard-unit-rates/</x:v>
      </x:c>
    </x:row>
    <x:row r="4501" ht="21" customHeight="1">
      <x:c r="A4501" s="24" t="n">
        <x:v>46242.270833333336</x:v>
      </x:c>
      <x:c r="B4501" s="6" t="n">
        <x:v>0.2119</x:v>
      </x:c>
      <x:c r="C4501" s="6" t="n">
        <x:v>0.1231</x:v>
      </x:c>
      <x:c r="D4501" s="6" t="n">
        <x:f>B4501</x:f>
        <x:v>0.2119</x:v>
      </x:c>
      <x:c r="E4501" s="1" t="n">
        <x:v>1.05</x:v>
      </x:c>
      <x:c r="F4501" s="1" t="str">
        <x:v>https://api.octopus.energy/v1/products/AGILE-24-10-01/electricity-tariffs/E-1R-AGILE-24-10-01-G/standard-unit-rates/</x:v>
      </x:c>
    </x:row>
    <x:row r="4502" ht="21" customHeight="1">
      <x:c r="A4502" s="24" t="n">
        <x:v>46242.291666666664</x:v>
      </x:c>
      <x:c r="B4502" s="6" t="n">
        <x:v>0.1433</x:v>
      </x:c>
      <x:c r="C4502" s="6" t="n">
        <x:v>0.09179999999999999</x:v>
      </x:c>
      <x:c r="D4502" s="6" t="n">
        <x:f>B4502</x:f>
        <x:v>0.1433</x:v>
      </x:c>
      <x:c r="E4502" s="1" t="n">
        <x:v>1.05</x:v>
      </x:c>
      <x:c r="F4502" s="1" t="str">
        <x:v>https://api.octopus.energy/v1/products/AGILE-24-10-01/electricity-tariffs/E-1R-AGILE-24-10-01-G/standard-unit-rates/</x:v>
      </x:c>
    </x:row>
    <x:row r="4503" ht="21" customHeight="1">
      <x:c r="A4503" s="24" t="n">
        <x:v>46242.3125</x:v>
      </x:c>
      <x:c r="B4503" s="6" t="n">
        <x:v>0.16820000000000002</x:v>
      </x:c>
      <x:c r="C4503" s="6" t="n">
        <x:v>0.1032</x:v>
      </x:c>
      <x:c r="D4503" s="6" t="n">
        <x:f>B4503</x:f>
        <x:v>0.16820000000000002</x:v>
      </x:c>
      <x:c r="E4503" s="1" t="n">
        <x:v>1.05</x:v>
      </x:c>
      <x:c r="F4503" s="1" t="str">
        <x:v>https://api.octopus.energy/v1/products/AGILE-24-10-01/electricity-tariffs/E-1R-AGILE-24-10-01-G/standard-unit-rates/</x:v>
      </x:c>
    </x:row>
    <x:row r="4504" ht="21" customHeight="1">
      <x:c r="A4504" s="24" t="n">
        <x:v>46242.333333333336</x:v>
      </x:c>
      <x:c r="B4504" s="6" t="n">
        <x:v>0.1422</x:v>
      </x:c>
      <x:c r="C4504" s="6" t="n">
        <x:v>0.0913</x:v>
      </x:c>
      <x:c r="D4504" s="6" t="n">
        <x:f>B4504</x:f>
        <x:v>0.1422</x:v>
      </x:c>
      <x:c r="E4504" s="1" t="n">
        <x:v>1.05</x:v>
      </x:c>
      <x:c r="F4504" s="1" t="str">
        <x:v>https://api.octopus.energy/v1/products/AGILE-24-10-01/electricity-tariffs/E-1R-AGILE-24-10-01-G/standard-unit-rates/</x:v>
      </x:c>
    </x:row>
    <x:row r="4505" ht="21" customHeight="1">
      <x:c r="A4505" s="24" t="n">
        <x:v>46242.354166666664</x:v>
      </x:c>
      <x:c r="B4505" s="6" t="n">
        <x:v>0.1245</x:v>
      </x:c>
      <x:c r="C4505" s="6" t="n">
        <x:v>0.0832</x:v>
      </x:c>
      <x:c r="D4505" s="6" t="n">
        <x:f>B4505</x:f>
        <x:v>0.1245</x:v>
      </x:c>
      <x:c r="E4505" s="1" t="n">
        <x:v>1.05</x:v>
      </x:c>
      <x:c r="F4505" s="1" t="str">
        <x:v>https://api.octopus.energy/v1/products/AGILE-24-10-01/electricity-tariffs/E-1R-AGILE-24-10-01-G/standard-unit-rates/</x:v>
      </x:c>
    </x:row>
    <x:row r="4506" ht="21" customHeight="1">
      <x:c r="A4506" s="24" t="n">
        <x:v>46242.375</x:v>
      </x:c>
      <x:c r="B4506" s="6" t="n">
        <x:v>0.1153</x:v>
      </x:c>
      <x:c r="C4506" s="6" t="n">
        <x:v>0.079</x:v>
      </x:c>
      <x:c r="D4506" s="6" t="n">
        <x:f>B4506</x:f>
        <x:v>0.1153</x:v>
      </x:c>
      <x:c r="E4506" s="1" t="n">
        <x:v>1.05</x:v>
      </x:c>
      <x:c r="F4506" s="1" t="str">
        <x:v>https://api.octopus.energy/v1/products/AGILE-24-10-01/electricity-tariffs/E-1R-AGILE-24-10-01-G/standard-unit-rates/</x:v>
      </x:c>
    </x:row>
    <x:row r="4507" ht="21" customHeight="1">
      <x:c r="A4507" s="24" t="n">
        <x:v>46242.395833333336</x:v>
      </x:c>
      <x:c r="B4507" s="6" t="n">
        <x:v>0.0768</x:v>
      </x:c>
      <x:c r="C4507" s="6" t="n">
        <x:v>0.061399999999999996</x:v>
      </x:c>
      <x:c r="D4507" s="6" t="n">
        <x:f>B4507</x:f>
        <x:v>0.0768</x:v>
      </x:c>
      <x:c r="E4507" s="1" t="n">
        <x:v>1.05</x:v>
      </x:c>
      <x:c r="F4507" s="1" t="str">
        <x:v>https://api.octopus.energy/v1/products/AGILE-24-10-01/electricity-tariffs/E-1R-AGILE-24-10-01-G/standard-unit-rates/</x:v>
      </x:c>
    </x:row>
    <x:row r="4508" ht="21" customHeight="1">
      <x:c r="A4508" s="24" t="n">
        <x:v>46242.416666666664</x:v>
      </x:c>
      <x:c r="B4508" s="6" t="n">
        <x:v>0.0154</x:v>
      </x:c>
      <x:c r="C4508" s="6" t="n">
        <x:v>0.0333</x:v>
      </x:c>
      <x:c r="D4508" s="6" t="n">
        <x:f>B4508</x:f>
        <x:v>0.0154</x:v>
      </x:c>
      <x:c r="E4508" s="1" t="n">
        <x:v>1.05</x:v>
      </x:c>
      <x:c r="F4508" s="1" t="str">
        <x:v>https://api.octopus.energy/v1/products/AGILE-24-10-01/electricity-tariffs/E-1R-AGILE-24-10-01-G/standard-unit-rates/</x:v>
      </x:c>
    </x:row>
    <x:row r="4509" ht="21" customHeight="1">
      <x:c r="A4509" s="24" t="n">
        <x:v>46242.4375</x:v>
      </x:c>
      <x:c r="B4509" s="6" t="n">
        <x:v>-0.0123</x:v>
      </x:c>
      <x:c r="C4509" s="6" t="n">
        <x:v>0.0206</x:v>
      </x:c>
      <x:c r="D4509" s="6" t="n">
        <x:f>B4509</x:f>
        <x:v>-0.0123</x:v>
      </x:c>
      <x:c r="E4509" s="1" t="n">
        <x:v>1.05</x:v>
      </x:c>
      <x:c r="F4509" s="1" t="str">
        <x:v>https://api.octopus.energy/v1/products/AGILE-24-10-01/electricity-tariffs/E-1R-AGILE-24-10-01-G/standard-unit-rates/</x:v>
      </x:c>
    </x:row>
    <x:row r="4510" ht="21" customHeight="1">
      <x:c r="A4510" s="24" t="n">
        <x:v>46242.458333333336</x:v>
      </x:c>
      <x:c r="B4510" s="6" t="n">
        <x:v>-0.008199999999999999</x:v>
      </x:c>
      <x:c r="C4510" s="6" t="n">
        <x:v>0.0225</x:v>
      </x:c>
      <x:c r="D4510" s="6" t="n">
        <x:f>B4510</x:f>
        <x:v>-0.008199999999999999</x:v>
      </x:c>
      <x:c r="E4510" s="1" t="n">
        <x:v>1.05</x:v>
      </x:c>
      <x:c r="F4510" s="1" t="str">
        <x:v>https://api.octopus.energy/v1/products/AGILE-24-10-01/electricity-tariffs/E-1R-AGILE-24-10-01-G/standard-unit-rates/</x:v>
      </x:c>
    </x:row>
    <x:row r="4511" ht="21" customHeight="1">
      <x:c r="A4511" s="24" t="n">
        <x:v>46242.479166666664</x:v>
      </x:c>
      <x:c r="B4511" s="6" t="n">
        <x:v>-0.0259</x:v>
      </x:c>
      <x:c r="C4511" s="6" t="n">
        <x:v>0.0144</x:v>
      </x:c>
      <x:c r="D4511" s="6" t="n">
        <x:f>B4511</x:f>
        <x:v>-0.0259</x:v>
      </x:c>
      <x:c r="E4511" s="1" t="n">
        <x:v>1.05</x:v>
      </x:c>
      <x:c r="F4511" s="1" t="str">
        <x:v>https://api.octopus.energy/v1/products/AGILE-24-10-01/electricity-tariffs/E-1R-AGILE-24-10-01-G/standard-unit-rates/</x:v>
      </x:c>
    </x:row>
    <x:row r="4512" ht="21" customHeight="1">
      <x:c r="A4512" s="24" t="n">
        <x:v>46242.5</x:v>
      </x:c>
      <x:c r="B4512" s="6" t="n">
        <x:v>-0.0297</x:v>
      </x:c>
      <x:c r="C4512" s="6" t="n">
        <x:v>0.0127</x:v>
      </x:c>
      <x:c r="D4512" s="6" t="n">
        <x:f>B4512</x:f>
        <x:v>-0.0297</x:v>
      </x:c>
      <x:c r="E4512" s="1" t="n">
        <x:v>1.05</x:v>
      </x:c>
      <x:c r="F4512" s="1" t="str">
        <x:v>https://api.octopus.energy/v1/products/AGILE-24-10-01/electricity-tariffs/E-1R-AGILE-24-10-01-G/standard-unit-rates/</x:v>
      </x:c>
    </x:row>
    <x:row r="4513" ht="21" customHeight="1">
      <x:c r="A4513" s="24" t="n">
        <x:v>46242.520833333336</x:v>
      </x:c>
      <x:c r="B4513" s="6" t="n">
        <x:v>-0.04</x:v>
      </x:c>
      <x:c r="C4513" s="6" t="n">
        <x:v>0.008</x:v>
      </x:c>
      <x:c r="D4513" s="6" t="n">
        <x:f>B4513</x:f>
        <x:v>-0.04</x:v>
      </x:c>
      <x:c r="E4513" s="1" t="n">
        <x:v>1.05</x:v>
      </x:c>
      <x:c r="F4513" s="1" t="str">
        <x:v>https://api.octopus.energy/v1/products/AGILE-24-10-01/electricity-tariffs/E-1R-AGILE-24-10-01-G/standard-unit-rates/</x:v>
      </x:c>
    </x:row>
    <x:row r="4514" ht="21" customHeight="1">
      <x:c r="A4514" s="24" t="n">
        <x:v>46242.541666666664</x:v>
      </x:c>
      <x:c r="B4514" s="6" t="n">
        <x:v>-0.0273</x:v>
      </x:c>
      <x:c r="C4514" s="6" t="n">
        <x:v>0.0138</x:v>
      </x:c>
      <x:c r="D4514" s="6" t="n">
        <x:f>B4514</x:f>
        <x:v>-0.0273</x:v>
      </x:c>
      <x:c r="E4514" s="1" t="n">
        <x:v>1.05</x:v>
      </x:c>
      <x:c r="F4514" s="1" t="str">
        <x:v>https://api.octopus.energy/v1/products/AGILE-24-10-01/electricity-tariffs/E-1R-AGILE-24-10-01-G/standard-unit-rates/</x:v>
      </x:c>
    </x:row>
    <x:row r="4515" ht="21" customHeight="1">
      <x:c r="A4515" s="24" t="n">
        <x:v>46242.5625</x:v>
      </x:c>
      <x:c r="B4515" s="6" t="n">
        <x:v>-0.0321</x:v>
      </x:c>
      <x:c r="C4515" s="6" t="n">
        <x:v>0.0116</x:v>
      </x:c>
      <x:c r="D4515" s="6" t="n">
        <x:f>B4515</x:f>
        <x:v>-0.0321</x:v>
      </x:c>
      <x:c r="E4515" s="1" t="n">
        <x:v>1.05</x:v>
      </x:c>
      <x:c r="F4515" s="1" t="str">
        <x:v>https://api.octopus.energy/v1/products/AGILE-24-10-01/electricity-tariffs/E-1R-AGILE-24-10-01-G/standard-unit-rates/</x:v>
      </x:c>
    </x:row>
    <x:row r="4516" ht="21" customHeight="1">
      <x:c r="A4516" s="24" t="n">
        <x:v>46242.583333333336</x:v>
      </x:c>
      <x:c r="B4516" s="6" t="n">
        <x:v>-0.0282</x:v>
      </x:c>
      <x:c r="C4516" s="6" t="n">
        <x:v>0.0134</x:v>
      </x:c>
      <x:c r="D4516" s="6" t="n">
        <x:f>B4516</x:f>
        <x:v>-0.0282</x:v>
      </x:c>
      <x:c r="E4516" s="1" t="n">
        <x:v>1.05</x:v>
      </x:c>
      <x:c r="F4516" s="1" t="str">
        <x:v>https://api.octopus.energy/v1/products/AGILE-24-10-01/electricity-tariffs/E-1R-AGILE-24-10-01-G/standard-unit-rates/</x:v>
      </x:c>
    </x:row>
    <x:row r="4517" ht="21" customHeight="1">
      <x:c r="A4517" s="24" t="n">
        <x:v>46242.604166666664</x:v>
      </x:c>
      <x:c r="B4517" s="6" t="n">
        <x:v>-0.028300000000000002</x:v>
      </x:c>
      <x:c r="C4517" s="6" t="n">
        <x:v>0.013300000000000001</x:v>
      </x:c>
      <x:c r="D4517" s="6" t="n">
        <x:f>B4517</x:f>
        <x:v>-0.028300000000000002</x:v>
      </x:c>
      <x:c r="E4517" s="1" t="n">
        <x:v>1.05</x:v>
      </x:c>
      <x:c r="F4517" s="1" t="str">
        <x:v>https://api.octopus.energy/v1/products/AGILE-24-10-01/electricity-tariffs/E-1R-AGILE-24-10-01-G/standard-unit-rates/</x:v>
      </x:c>
    </x:row>
    <x:row r="4518" ht="21" customHeight="1">
      <x:c r="A4518" s="24" t="n">
        <x:v>46242.625</x:v>
      </x:c>
      <x:c r="B4518" s="6" t="n">
        <x:v>-0.0271</x:v>
      </x:c>
      <x:c r="C4518" s="6" t="n">
        <x:v>0.0139</x:v>
      </x:c>
      <x:c r="D4518" s="6" t="n">
        <x:f>B4518</x:f>
        <x:v>-0.0271</x:v>
      </x:c>
      <x:c r="E4518" s="1" t="n">
        <x:v>1.05</x:v>
      </x:c>
      <x:c r="F4518" s="1" t="str">
        <x:v>https://api.octopus.energy/v1/products/AGILE-24-10-01/electricity-tariffs/E-1R-AGILE-24-10-01-G/standard-unit-rates/</x:v>
      </x:c>
    </x:row>
    <x:row r="4519" ht="21" customHeight="1">
      <x:c r="A4519" s="24" t="n">
        <x:v>46242.645833333336</x:v>
      </x:c>
      <x:c r="B4519" s="6" t="n">
        <x:v>-0.019799999999999998</x:v>
      </x:c>
      <x:c r="C4519" s="6" t="n">
        <x:v>0.0172</x:v>
      </x:c>
      <x:c r="D4519" s="6" t="n">
        <x:f>B4519</x:f>
        <x:v>-0.019799999999999998</x:v>
      </x:c>
      <x:c r="E4519" s="1" t="n">
        <x:v>1.05</x:v>
      </x:c>
      <x:c r="F4519" s="1" t="str">
        <x:v>https://api.octopus.energy/v1/products/AGILE-24-10-01/electricity-tariffs/E-1R-AGILE-24-10-01-G/standard-unit-rates/</x:v>
      </x:c>
    </x:row>
    <x:row r="4520" ht="21" customHeight="1">
      <x:c r="A4520" s="24" t="n">
        <x:v>46242.666666666664</x:v>
      </x:c>
      <x:c r="B4520" s="6" t="n">
        <x:v>0.15380000000000002</x:v>
      </x:c>
      <x:c r="C4520" s="6" t="n">
        <x:v>0.10060000000000001</x:v>
      </x:c>
      <x:c r="D4520" s="6" t="n">
        <x:f>B4520</x:f>
        <x:v>0.15380000000000002</x:v>
      </x:c>
      <x:c r="E4520" s="1" t="n">
        <x:v>1.05</x:v>
      </x:c>
      <x:c r="F4520" s="1" t="str">
        <x:v>https://api.octopus.energy/v1/products/AGILE-24-10-01/electricity-tariffs/E-1R-AGILE-24-10-01-G/standard-unit-rates/</x:v>
      </x:c>
    </x:row>
    <x:row r="4521" ht="21" customHeight="1">
      <x:c r="A4521" s="24" t="n">
        <x:v>46242.6875</x:v>
      </x:c>
      <x:c r="B4521" s="6" t="n">
        <x:v>0.2</x:v>
      </x:c>
      <x:c r="C4521" s="6" t="n">
        <x:v>0.1217</x:v>
      </x:c>
      <x:c r="D4521" s="6" t="n">
        <x:f>B4521</x:f>
        <x:v>0.2</x:v>
      </x:c>
      <x:c r="E4521" s="1" t="n">
        <x:v>1.05</x:v>
      </x:c>
      <x:c r="F4521" s="1" t="str">
        <x:v>https://api.octopus.energy/v1/products/AGILE-24-10-01/electricity-tariffs/E-1R-AGILE-24-10-01-G/standard-unit-rates/</x:v>
      </x:c>
    </x:row>
    <x:row r="4522" ht="21" customHeight="1">
      <x:c r="A4522" s="24" t="n">
        <x:v>46242.708333333336</x:v>
      </x:c>
      <x:c r="B4522" s="6" t="n">
        <x:v>0.3029</x:v>
      </x:c>
      <x:c r="C4522" s="6" t="n">
        <x:v>0.16879999999999998</x:v>
      </x:c>
      <x:c r="D4522" s="6" t="n">
        <x:f>B4522</x:f>
        <x:v>0.3029</x:v>
      </x:c>
      <x:c r="E4522" s="1" t="n">
        <x:v>1.05</x:v>
      </x:c>
      <x:c r="F4522" s="1" t="str">
        <x:v>https://api.octopus.energy/v1/products/AGILE-24-10-01/electricity-tariffs/E-1R-AGILE-24-10-01-G/standard-unit-rates/</x:v>
      </x:c>
    </x:row>
    <x:row r="4523" ht="21" customHeight="1">
      <x:c r="A4523" s="24" t="n">
        <x:v>46242.729166666664</x:v>
      </x:c>
      <x:c r="B4523" s="6" t="n">
        <x:v>0.3218</x:v>
      </x:c>
      <x:c r="C4523" s="6" t="n">
        <x:v>0.17739999999999997</x:v>
      </x:c>
      <x:c r="D4523" s="6" t="n">
        <x:f>B4523</x:f>
        <x:v>0.3218</x:v>
      </x:c>
      <x:c r="E4523" s="1" t="n">
        <x:v>1.05</x:v>
      </x:c>
      <x:c r="F4523" s="1" t="str">
        <x:v>https://api.octopus.energy/v1/products/AGILE-24-10-01/electricity-tariffs/E-1R-AGILE-24-10-01-G/standard-unit-rates/</x:v>
      </x:c>
    </x:row>
    <x:row r="4524" ht="21" customHeight="1">
      <x:c r="A4524" s="24" t="n">
        <x:v>46242.75</x:v>
      </x:c>
      <x:c r="B4524" s="6" t="n">
        <x:v>0.3722</x:v>
      </x:c>
      <x:c r="C4524" s="6" t="n">
        <x:v>0.2005</x:v>
      </x:c>
      <x:c r="D4524" s="6" t="n">
        <x:f>B4524</x:f>
        <x:v>0.3722</x:v>
      </x:c>
      <x:c r="E4524" s="1" t="n">
        <x:v>1.05</x:v>
      </x:c>
      <x:c r="F4524" s="1" t="str">
        <x:v>https://api.octopus.energy/v1/products/AGILE-24-10-01/electricity-tariffs/E-1R-AGILE-24-10-01-G/standard-unit-rates/</x:v>
      </x:c>
    </x:row>
    <x:row r="4525" ht="21" customHeight="1">
      <x:c r="A4525" s="24" t="n">
        <x:v>46242.770833333336</x:v>
      </x:c>
      <x:c r="B4525" s="6" t="n">
        <x:v>0.3764</x:v>
      </x:c>
      <x:c r="C4525" s="6" t="n">
        <x:v>0.2024</x:v>
      </x:c>
      <x:c r="D4525" s="6" t="n">
        <x:f>B4525</x:f>
        <x:v>0.3764</x:v>
      </x:c>
      <x:c r="E4525" s="1" t="n">
        <x:v>1.05</x:v>
      </x:c>
      <x:c r="F4525" s="1" t="str">
        <x:v>https://api.octopus.energy/v1/products/AGILE-24-10-01/electricity-tariffs/E-1R-AGILE-24-10-01-G/standard-unit-rates/</x:v>
      </x:c>
    </x:row>
    <x:row r="4526" ht="21" customHeight="1">
      <x:c r="A4526" s="24" t="n">
        <x:v>46242.791666666664</x:v>
      </x:c>
      <x:c r="B4526" s="6" t="n">
        <x:v>0.26649999999999996</x:v>
      </x:c>
      <x:c r="C4526" s="6" t="n">
        <x:v>0.1481</x:v>
      </x:c>
      <x:c r="D4526" s="6" t="n">
        <x:f>B4526</x:f>
        <x:v>0.26649999999999996</x:v>
      </x:c>
      <x:c r="E4526" s="1" t="n">
        <x:v>1.05</x:v>
      </x:c>
      <x:c r="F4526" s="1" t="str">
        <x:v>https://api.octopus.energy/v1/products/AGILE-24-10-01/electricity-tariffs/E-1R-AGILE-24-10-01-G/standard-unit-rates/</x:v>
      </x:c>
    </x:row>
    <x:row r="4527" ht="21" customHeight="1">
      <x:c r="A4527" s="24" t="n">
        <x:v>46242.8125</x:v>
      </x:c>
      <x:c r="B4527" s="6" t="n">
        <x:v>0.2671</x:v>
      </x:c>
      <x:c r="C4527" s="6" t="n">
        <x:v>0.1484</x:v>
      </x:c>
      <x:c r="D4527" s="6" t="n">
        <x:f>B4527</x:f>
        <x:v>0.2671</x:v>
      </x:c>
      <x:c r="E4527" s="1" t="n">
        <x:v>1.05</x:v>
      </x:c>
      <x:c r="F4527" s="1" t="str">
        <x:v>https://api.octopus.energy/v1/products/AGILE-24-10-01/electricity-tariffs/E-1R-AGILE-24-10-01-G/standard-unit-rates/</x:v>
      </x:c>
    </x:row>
    <x:row r="4528" ht="21" customHeight="1">
      <x:c r="A4528" s="24" t="n">
        <x:v>46242.833333333336</x:v>
      </x:c>
      <x:c r="B4528" s="6" t="n">
        <x:v>0.2746</x:v>
      </x:c>
      <x:c r="C4528" s="6" t="n">
        <x:v>0.1518</x:v>
      </x:c>
      <x:c r="D4528" s="6" t="n">
        <x:f>B4528</x:f>
        <x:v>0.2746</x:v>
      </x:c>
      <x:c r="E4528" s="1" t="n">
        <x:v>1.05</x:v>
      </x:c>
      <x:c r="F4528" s="1" t="str">
        <x:v>https://api.octopus.energy/v1/products/AGILE-24-10-01/electricity-tariffs/E-1R-AGILE-24-10-01-G/standard-unit-rates/</x:v>
      </x:c>
    </x:row>
    <x:row r="4529" ht="21" customHeight="1">
      <x:c r="A4529" s="24" t="n">
        <x:v>46242.854166666664</x:v>
      </x:c>
      <x:c r="B4529" s="6" t="n">
        <x:v>0.2757</x:v>
      </x:c>
      <x:c r="C4529" s="6" t="n">
        <x:v>0.1523</x:v>
      </x:c>
      <x:c r="D4529" s="6" t="n">
        <x:f>B4529</x:f>
        <x:v>0.2757</x:v>
      </x:c>
      <x:c r="E4529" s="1" t="n">
        <x:v>1.05</x:v>
      </x:c>
      <x:c r="F4529" s="1" t="str">
        <x:v>https://api.octopus.energy/v1/products/AGILE-24-10-01/electricity-tariffs/E-1R-AGILE-24-10-01-G/standard-unit-rates/</x:v>
      </x:c>
    </x:row>
    <x:row r="4530" ht="21" customHeight="1">
      <x:c r="A4530" s="24" t="n">
        <x:v>46242.875</x:v>
      </x:c>
      <x:c r="B4530" s="6" t="n">
        <x:v>0.2609</x:v>
      </x:c>
      <x:c r="C4530" s="6" t="n">
        <x:v>0.14550000000000002</x:v>
      </x:c>
      <x:c r="D4530" s="6" t="n">
        <x:f>B4530</x:f>
        <x:v>0.2609</x:v>
      </x:c>
      <x:c r="E4530" s="1" t="n">
        <x:v>1.05</x:v>
      </x:c>
      <x:c r="F4530" s="1" t="str">
        <x:v>https://api.octopus.energy/v1/products/AGILE-24-10-01/electricity-tariffs/E-1R-AGILE-24-10-01-G/standard-unit-rates/</x:v>
      </x:c>
    </x:row>
    <x:row r="4531" ht="21" customHeight="1">
      <x:c r="A4531" s="24" t="n">
        <x:v>46242.895833333336</x:v>
      </x:c>
      <x:c r="B4531" s="6" t="n">
        <x:v>0.2518</x:v>
      </x:c>
      <x:c r="C4531" s="6" t="n">
        <x:v>0.1414</x:v>
      </x:c>
      <x:c r="D4531" s="6" t="n">
        <x:f>B4531</x:f>
        <x:v>0.2518</x:v>
      </x:c>
      <x:c r="E4531" s="1" t="n">
        <x:v>1.05</x:v>
      </x:c>
      <x:c r="F4531" s="1" t="str">
        <x:v>https://api.octopus.energy/v1/products/AGILE-24-10-01/electricity-tariffs/E-1R-AGILE-24-10-01-G/standard-unit-rates/</x:v>
      </x:c>
    </x:row>
    <x:row r="4532" ht="21" customHeight="1">
      <x:c r="A4532" s="24" t="n">
        <x:v>46242.916666666664</x:v>
      </x:c>
      <x:c r="B4532" s="6" t="n">
        <x:v>0.2389</x:v>
      </x:c>
      <x:c r="C4532" s="6" t="n">
        <x:v>0.1355</x:v>
      </x:c>
      <x:c r="D4532" s="6" t="n">
        <x:f>B4532</x:f>
        <x:v>0.2389</x:v>
      </x:c>
      <x:c r="E4532" s="1" t="n">
        <x:v>1.05</x:v>
      </x:c>
      <x:c r="F4532" s="1" t="str">
        <x:v>https://api.octopus.energy/v1/products/AGILE-24-10-01/electricity-tariffs/E-1R-AGILE-24-10-01-G/standard-unit-rates/</x:v>
      </x:c>
    </x:row>
    <x:row r="4533" ht="21" customHeight="1">
      <x:c r="A4533" s="24" t="n">
        <x:v>46242.9375</x:v>
      </x:c>
      <x:c r="B4533" s="6" t="n">
        <x:v>0.21989999999999998</x:v>
      </x:c>
      <x:c r="C4533" s="6" t="n">
        <x:v>0.1268</x:v>
      </x:c>
      <x:c r="D4533" s="6" t="n">
        <x:f>B4533</x:f>
        <x:v>0.21989999999999998</x:v>
      </x:c>
      <x:c r="E4533" s="1" t="n">
        <x:v>1.05</x:v>
      </x:c>
      <x:c r="F4533" s="1" t="str">
        <x:v>https://api.octopus.energy/v1/products/AGILE-24-10-01/electricity-tariffs/E-1R-AGILE-24-10-01-G/standard-unit-rates/</x:v>
      </x:c>
    </x:row>
    <x:row r="4534" ht="21" customHeight="1">
      <x:c r="A4534" s="24" t="n">
        <x:v>46243</x:v>
      </x:c>
      <x:c r="B4534" s="6" t="n">
        <x:v>0.2183</x:v>
      </x:c>
      <x:c r="C4534" s="6" t="n">
        <x:v>0.1261</x:v>
      </x:c>
      <x:c r="D4534" s="6" t="n">
        <x:f>B4534</x:f>
        <x:v>0.2183</x:v>
      </x:c>
      <x:c r="E4534" s="1" t="n">
        <x:v>1.05</x:v>
      </x:c>
      <x:c r="F4534" s="1" t="str">
        <x:v>https://api.octopus.energy/v1/products/AGILE-24-10-01/electricity-tariffs/E-1R-AGILE-24-10-01-G/standard-unit-rates/</x:v>
      </x:c>
    </x:row>
    <x:row r="4535" ht="21" customHeight="1">
      <x:c r="A4535" s="24" t="n">
        <x:v>46242.979166666664</x:v>
      </x:c>
      <x:c r="B4535" s="6" t="n">
        <x:v>0.226</x:v>
      </x:c>
      <x:c r="C4535" s="6" t="n">
        <x:v>0.12960000000000002</x:v>
      </x:c>
      <x:c r="D4535" s="6" t="n">
        <x:f>B4535</x:f>
        <x:v>0.226</x:v>
      </x:c>
      <x:c r="E4535" s="1" t="n">
        <x:v>1.05</x:v>
      </x:c>
      <x:c r="F4535" s="1" t="str">
        <x:v>https://api.octopus.energy/v1/products/AGILE-24-10-01/electricity-tariffs/E-1R-AGILE-24-10-01-G/standard-unit-rates/</x:v>
      </x:c>
    </x:row>
    <x:row r="4536" ht="21" customHeight="1">
      <x:c r="A4536" s="24" t="n">
        <x:v>46243</x:v>
      </x:c>
      <x:c r="B4536" s="6" t="n">
        <x:v>0.2271</x:v>
      </x:c>
      <x:c r="C4536" s="6" t="n">
        <x:v>0.1301</x:v>
      </x:c>
      <x:c r="D4536" s="6" t="n">
        <x:f>B4536</x:f>
        <x:v>0.2271</x:v>
      </x:c>
      <x:c r="E4536" s="1" t="n">
        <x:v>1.05</x:v>
      </x:c>
      <x:c r="F4536" s="1" t="str">
        <x:v>https://api.octopus.energy/v1/products/AGILE-24-10-01/electricity-tariffs/E-1R-AGILE-24-10-01-G/standard-unit-rates/</x:v>
      </x:c>
    </x:row>
    <x:row r="4537" ht="21" customHeight="1">
      <x:c r="A4537" s="24" t="n">
        <x:v>46243.020833333336</x:v>
      </x:c>
      <x:c r="B4537" s="6" t="n">
        <x:v>0.2249</x:v>
      </x:c>
      <x:c r="C4537" s="6" t="n">
        <x:v>0.1291</x:v>
      </x:c>
      <x:c r="D4537" s="6" t="n">
        <x:f>B4537</x:f>
        <x:v>0.2249</x:v>
      </x:c>
      <x:c r="E4537" s="1" t="n">
        <x:v>1.05</x:v>
      </x:c>
      <x:c r="F4537" s="1" t="str">
        <x:v>https://api.octopus.energy/v1/products/AGILE-24-10-01/electricity-tariffs/E-1R-AGILE-24-10-01-G/standard-unit-rates/</x:v>
      </x:c>
    </x:row>
    <x:row r="4538" ht="21" customHeight="1">
      <x:c r="A4538" s="24" t="n">
        <x:v>46243.041666666664</x:v>
      </x:c>
      <x:c r="B4538" s="6" t="n">
        <x:v>0.20809999999999998</x:v>
      </x:c>
      <x:c r="C4538" s="6" t="n">
        <x:v>0.12140000000000001</x:v>
      </x:c>
      <x:c r="D4538" s="6" t="n">
        <x:f>B4538</x:f>
        <x:v>0.20809999999999998</x:v>
      </x:c>
      <x:c r="E4538" s="1" t="n">
        <x:v>1.05</x:v>
      </x:c>
      <x:c r="F4538" s="1" t="str">
        <x:v>https://api.octopus.energy/v1/products/AGILE-24-10-01/electricity-tariffs/E-1R-AGILE-24-10-01-G/standard-unit-rates/</x:v>
      </x:c>
    </x:row>
    <x:row r="4539" ht="21" customHeight="1">
      <x:c r="A4539" s="24" t="n">
        <x:v>46243.0625</x:v>
      </x:c>
      <x:c r="B4539" s="6" t="n">
        <x:v>0.2175</x:v>
      </x:c>
      <x:c r="C4539" s="6" t="n">
        <x:v>0.1257</x:v>
      </x:c>
      <x:c r="D4539" s="6" t="n">
        <x:f>B4539</x:f>
        <x:v>0.2175</x:v>
      </x:c>
      <x:c r="E4539" s="1" t="n">
        <x:v>1.05</x:v>
      </x:c>
      <x:c r="F4539" s="1" t="str">
        <x:v>https://api.octopus.energy/v1/products/AGILE-24-10-01/electricity-tariffs/E-1R-AGILE-24-10-01-G/standard-unit-rates/</x:v>
      </x:c>
    </x:row>
    <x:row r="4540" ht="21" customHeight="1">
      <x:c r="A4540" s="24" t="n">
        <x:v>46243.083333333336</x:v>
      </x:c>
      <x:c r="B4540" s="6" t="n">
        <x:v>0.20809999999999998</x:v>
      </x:c>
      <x:c r="C4540" s="6" t="n">
        <x:v>0.12140000000000001</x:v>
      </x:c>
      <x:c r="D4540" s="6" t="n">
        <x:f>B4540</x:f>
        <x:v>0.20809999999999998</x:v>
      </x:c>
      <x:c r="E4540" s="1" t="n">
        <x:v>1.05</x:v>
      </x:c>
      <x:c r="F4540" s="1" t="str">
        <x:v>https://api.octopus.energy/v1/products/AGILE-24-10-01/electricity-tariffs/E-1R-AGILE-24-10-01-G/standard-unit-rates/</x:v>
      </x:c>
    </x:row>
    <x:row r="4541" ht="21" customHeight="1">
      <x:c r="A4541" s="24" t="n">
        <x:v>46243.104166666664</x:v>
      </x:c>
      <x:c r="B4541" s="6" t="n">
        <x:v>0.21100000000000002</x:v>
      </x:c>
      <x:c r="C4541" s="6" t="n">
        <x:v>0.12269999999999999</x:v>
      </x:c>
      <x:c r="D4541" s="6" t="n">
        <x:f>B4541</x:f>
        <x:v>0.21100000000000002</x:v>
      </x:c>
      <x:c r="E4541" s="1" t="n">
        <x:v>1.05</x:v>
      </x:c>
      <x:c r="F4541" s="1" t="str">
        <x:v>https://api.octopus.energy/v1/products/AGILE-24-10-01/electricity-tariffs/E-1R-AGILE-24-10-01-G/standard-unit-rates/</x:v>
      </x:c>
    </x:row>
    <x:row r="4542" ht="21" customHeight="1">
      <x:c r="A4542" s="24" t="n">
        <x:v>46243.125</x:v>
      </x:c>
      <x:c r="B4542" s="6" t="n">
        <x:v>0.22149999999999997</x:v>
      </x:c>
      <x:c r="C4542" s="6" t="n">
        <x:v>0.1275</x:v>
      </x:c>
      <x:c r="D4542" s="6" t="n">
        <x:f>B4542</x:f>
        <x:v>0.22149999999999997</x:v>
      </x:c>
      <x:c r="E4542" s="1" t="n">
        <x:v>1.05</x:v>
      </x:c>
      <x:c r="F4542" s="1" t="str">
        <x:v>https://api.octopus.energy/v1/products/AGILE-24-10-01/electricity-tariffs/E-1R-AGILE-24-10-01-G/standard-unit-rates/</x:v>
      </x:c>
    </x:row>
    <x:row r="4543" ht="21" customHeight="1">
      <x:c r="A4543" s="24" t="n">
        <x:v>46243.145833333336</x:v>
      </x:c>
      <x:c r="B4543" s="6" t="n">
        <x:v>0.2183</x:v>
      </x:c>
      <x:c r="C4543" s="6" t="n">
        <x:v>0.1261</x:v>
      </x:c>
      <x:c r="D4543" s="6" t="n">
        <x:f>B4543</x:f>
        <x:v>0.2183</x:v>
      </x:c>
      <x:c r="E4543" s="1" t="n">
        <x:v>1.05</x:v>
      </x:c>
      <x:c r="F4543" s="1" t="str">
        <x:v>https://api.octopus.energy/v1/products/AGILE-24-10-01/electricity-tariffs/E-1R-AGILE-24-10-01-G/standard-unit-rates/</x:v>
      </x:c>
    </x:row>
    <x:row r="4544" ht="21" customHeight="1">
      <x:c r="A4544" s="24" t="n">
        <x:v>46243.166666666664</x:v>
      </x:c>
      <x:c r="B4544" s="6" t="n">
        <x:v>0.2232</x:v>
      </x:c>
      <x:c r="C4544" s="6" t="n">
        <x:v>0.1283</x:v>
      </x:c>
      <x:c r="D4544" s="6" t="n">
        <x:f>B4544</x:f>
        <x:v>0.2232</x:v>
      </x:c>
      <x:c r="E4544" s="1" t="n">
        <x:v>1.05</x:v>
      </x:c>
      <x:c r="F4544" s="1" t="str">
        <x:v>https://api.octopus.energy/v1/products/AGILE-24-10-01/electricity-tariffs/E-1R-AGILE-24-10-01-G/standard-unit-rates/</x:v>
      </x:c>
    </x:row>
    <x:row r="4545" ht="21" customHeight="1">
      <x:c r="A4545" s="24" t="n">
        <x:v>46243.1875</x:v>
      </x:c>
      <x:c r="B4545" s="6" t="n">
        <x:v>0.2223</x:v>
      </x:c>
      <x:c r="C4545" s="6" t="n">
        <x:v>0.12789999999999999</x:v>
      </x:c>
      <x:c r="D4545" s="6" t="n">
        <x:f>B4545</x:f>
        <x:v>0.2223</x:v>
      </x:c>
      <x:c r="E4545" s="1" t="n">
        <x:v>1.05</x:v>
      </x:c>
      <x:c r="F4545" s="1" t="str">
        <x:v>https://api.octopus.energy/v1/products/AGILE-24-10-01/electricity-tariffs/E-1R-AGILE-24-10-01-G/standard-unit-rates/</x:v>
      </x:c>
    </x:row>
    <x:row r="4546" ht="21" customHeight="1">
      <x:c r="A4546" s="24" t="n">
        <x:v>46243.208333333336</x:v>
      </x:c>
      <x:c r="B4546" s="6" t="n">
        <x:v>0.21350000000000002</x:v>
      </x:c>
      <x:c r="C4546" s="6" t="n">
        <x:v>0.12390000000000001</x:v>
      </x:c>
      <x:c r="D4546" s="6" t="n">
        <x:f>B4546</x:f>
        <x:v>0.21350000000000002</x:v>
      </x:c>
      <x:c r="E4546" s="1" t="n">
        <x:v>1.05</x:v>
      </x:c>
      <x:c r="F4546" s="1" t="str">
        <x:v>https://api.octopus.energy/v1/products/AGILE-24-10-01/electricity-tariffs/E-1R-AGILE-24-10-01-G/standard-unit-rates/</x:v>
      </x:c>
    </x:row>
    <x:row r="4547" ht="21" customHeight="1">
      <x:c r="A4547" s="24" t="n">
        <x:v>46243.229166666664</x:v>
      </x:c>
      <x:c r="B4547" s="6" t="n">
        <x:v>0.204</x:v>
      </x:c>
      <x:c r="C4547" s="6" t="n">
        <x:v>0.1195</x:v>
      </x:c>
      <x:c r="D4547" s="6" t="n">
        <x:f>B4547</x:f>
        <x:v>0.204</x:v>
      </x:c>
      <x:c r="E4547" s="1" t="n">
        <x:v>1.05</x:v>
      </x:c>
      <x:c r="F4547" s="1" t="str">
        <x:v>https://api.octopus.energy/v1/products/AGILE-24-10-01/electricity-tariffs/E-1R-AGILE-24-10-01-G/standard-unit-rates/</x:v>
      </x:c>
    </x:row>
    <x:row r="4548" ht="21" customHeight="1">
      <x:c r="A4548" s="24" t="n">
        <x:v>46243.25</x:v>
      </x:c>
      <x:c r="B4548" s="6" t="n">
        <x:v>0.1813</x:v>
      </x:c>
      <x:c r="C4548" s="6" t="n">
        <x:v>0.1092</x:v>
      </x:c>
      <x:c r="D4548" s="6" t="n">
        <x:f>B4548</x:f>
        <x:v>0.1813</x:v>
      </x:c>
      <x:c r="E4548" s="1" t="n">
        <x:v>1.05</x:v>
      </x:c>
      <x:c r="F4548" s="1" t="str">
        <x:v>https://api.octopus.energy/v1/products/AGILE-24-10-01/electricity-tariffs/E-1R-AGILE-24-10-01-G/standard-unit-rates/</x:v>
      </x:c>
    </x:row>
    <x:row r="4549" ht="21" customHeight="1">
      <x:c r="A4549" s="24" t="n">
        <x:v>46243.270833333336</x:v>
      </x:c>
      <x:c r="B4549" s="6" t="n">
        <x:v>0.17670000000000002</x:v>
      </x:c>
      <x:c r="C4549" s="6" t="n">
        <x:v>0.107</x:v>
      </x:c>
      <x:c r="D4549" s="6" t="n">
        <x:f>B4549</x:f>
        <x:v>0.17670000000000002</x:v>
      </x:c>
      <x:c r="E4549" s="1" t="n">
        <x:v>1.05</x:v>
      </x:c>
      <x:c r="F4549" s="1" t="str">
        <x:v>https://api.octopus.energy/v1/products/AGILE-24-10-01/electricity-tariffs/E-1R-AGILE-24-10-01-G/standard-unit-rates/</x:v>
      </x:c>
    </x:row>
    <x:row r="4550" ht="21" customHeight="1">
      <x:c r="A4550" s="24" t="n">
        <x:v>46243.291666666664</x:v>
      </x:c>
      <x:c r="B4550" s="6" t="n">
        <x:v>0.1329</x:v>
      </x:c>
      <x:c r="C4550" s="6" t="n">
        <x:v>0.087</x:v>
      </x:c>
      <x:c r="D4550" s="6" t="n">
        <x:f>B4550</x:f>
        <x:v>0.1329</x:v>
      </x:c>
      <x:c r="E4550" s="1" t="n">
        <x:v>1.05</x:v>
      </x:c>
      <x:c r="F4550" s="1" t="str">
        <x:v>https://api.octopus.energy/v1/products/AGILE-24-10-01/electricity-tariffs/E-1R-AGILE-24-10-01-G/standard-unit-rates/</x:v>
      </x:c>
    </x:row>
    <x:row r="4551" ht="21" customHeight="1">
      <x:c r="A4551" s="24" t="n">
        <x:v>46243.3125</x:v>
      </x:c>
      <x:c r="B4551" s="6" t="n">
        <x:v>0.1358</x:v>
      </x:c>
      <x:c r="C4551" s="6" t="n">
        <x:v>0.0883</x:v>
      </x:c>
      <x:c r="D4551" s="6" t="n">
        <x:f>B4551</x:f>
        <x:v>0.1358</x:v>
      </x:c>
      <x:c r="E4551" s="1" t="n">
        <x:v>1.05</x:v>
      </x:c>
      <x:c r="F4551" s="1" t="str">
        <x:v>https://api.octopus.energy/v1/products/AGILE-24-10-01/electricity-tariffs/E-1R-AGILE-24-10-01-G/standard-unit-rates/</x:v>
      </x:c>
    </x:row>
    <x:row r="4552" ht="21" customHeight="1">
      <x:c r="A4552" s="24" t="n">
        <x:v>46243.333333333336</x:v>
      </x:c>
      <x:c r="B4552" s="6" t="n">
        <x:v>0.0886</x:v>
      </x:c>
      <x:c r="C4552" s="6" t="n">
        <x:v>0.0668</x:v>
      </x:c>
      <x:c r="D4552" s="6" t="n">
        <x:f>B4552</x:f>
        <x:v>0.0886</x:v>
      </x:c>
      <x:c r="E4552" s="1" t="n">
        <x:v>1.05</x:v>
      </x:c>
      <x:c r="F4552" s="1" t="str">
        <x:v>https://api.octopus.energy/v1/products/AGILE-24-10-01/electricity-tariffs/E-1R-AGILE-24-10-01-G/standard-unit-rates/</x:v>
      </x:c>
    </x:row>
    <x:row r="4553" ht="21" customHeight="1">
      <x:c r="A4553" s="24" t="n">
        <x:v>46243.354166666664</x:v>
      </x:c>
      <x:c r="B4553" s="6" t="n">
        <x:v>0.07769999999999999</x:v>
      </x:c>
      <x:c r="C4553" s="6" t="n">
        <x:v>0.061799999999999994</x:v>
      </x:c>
      <x:c r="D4553" s="6" t="n">
        <x:f>B4553</x:f>
        <x:v>0.07769999999999999</x:v>
      </x:c>
      <x:c r="E4553" s="1" t="n">
        <x:v>1.05</x:v>
      </x:c>
      <x:c r="F4553" s="1" t="str">
        <x:v>https://api.octopus.energy/v1/products/AGILE-24-10-01/electricity-tariffs/E-1R-AGILE-24-10-01-G/standard-unit-rates/</x:v>
      </x:c>
    </x:row>
    <x:row r="4554" ht="21" customHeight="1">
      <x:c r="A4554" s="24" t="n">
        <x:v>46243.375</x:v>
      </x:c>
      <x:c r="B4554" s="6" t="n">
        <x:v>0.045700000000000005</x:v>
      </x:c>
      <x:c r="C4554" s="6" t="n">
        <x:v>0.0472</x:v>
      </x:c>
      <x:c r="D4554" s="6" t="n">
        <x:f>B4554</x:f>
        <x:v>0.045700000000000005</x:v>
      </x:c>
      <x:c r="E4554" s="1" t="n">
        <x:v>1.05</x:v>
      </x:c>
      <x:c r="F4554" s="1" t="str">
        <x:v>https://api.octopus.energy/v1/products/AGILE-24-10-01/electricity-tariffs/E-1R-AGILE-24-10-01-G/standard-unit-rates/</x:v>
      </x:c>
    </x:row>
    <x:row r="4555" ht="21" customHeight="1">
      <x:c r="A4555" s="24" t="n">
        <x:v>46243.395833333336</x:v>
      </x:c>
      <x:c r="B4555" s="6" t="n">
        <x:v>0.0262</x:v>
      </x:c>
      <x:c r="C4555" s="6" t="n">
        <x:v>0.0383</x:v>
      </x:c>
      <x:c r="D4555" s="6" t="n">
        <x:f>B4555</x:f>
        <x:v>0.0262</x:v>
      </x:c>
      <x:c r="E4555" s="1" t="n">
        <x:v>1.05</x:v>
      </x:c>
      <x:c r="F4555" s="1" t="str">
        <x:v>https://api.octopus.energy/v1/products/AGILE-24-10-01/electricity-tariffs/E-1R-AGILE-24-10-01-G/standard-unit-rates/</x:v>
      </x:c>
    </x:row>
    <x:row r="4556" ht="21" customHeight="1">
      <x:c r="A4556" s="24" t="n">
        <x:v>46243.416666666664</x:v>
      </x:c>
      <x:c r="B4556" s="6" t="n">
        <x:v>0.0233</x:v>
      </x:c>
      <x:c r="C4556" s="6" t="n">
        <x:v>0.0369</x:v>
      </x:c>
      <x:c r="D4556" s="6" t="n">
        <x:f>B4556</x:f>
        <x:v>0.0233</x:v>
      </x:c>
      <x:c r="E4556" s="1" t="n">
        <x:v>1.05</x:v>
      </x:c>
      <x:c r="F4556" s="1" t="str">
        <x:v>https://api.octopus.energy/v1/products/AGILE-24-10-01/electricity-tariffs/E-1R-AGILE-24-10-01-G/standard-unit-rates/</x:v>
      </x:c>
    </x:row>
    <x:row r="4557" ht="21" customHeight="1">
      <x:c r="A4557" s="24" t="n">
        <x:v>46243.4375</x:v>
      </x:c>
      <x:c r="B4557" s="6" t="n">
        <x:v>0.0199</x:v>
      </x:c>
      <x:c r="C4557" s="6" t="n">
        <x:v>0.0354</x:v>
      </x:c>
      <x:c r="D4557" s="6" t="n">
        <x:f>B4557</x:f>
        <x:v>0.0199</x:v>
      </x:c>
      <x:c r="E4557" s="1" t="n">
        <x:v>1.05</x:v>
      </x:c>
      <x:c r="F4557" s="1" t="str">
        <x:v>https://api.octopus.energy/v1/products/AGILE-24-10-01/electricity-tariffs/E-1R-AGILE-24-10-01-G/standard-unit-rates/</x:v>
      </x:c>
    </x:row>
    <x:row r="4558" ht="21" customHeight="1">
      <x:c r="A4558" s="24" t="n">
        <x:v>46243.458333333336</x:v>
      </x:c>
      <x:c r="B4558" s="6" t="n">
        <x:v>0.0172</x:v>
      </x:c>
      <x:c r="C4558" s="6" t="n">
        <x:v>0.0341</x:v>
      </x:c>
      <x:c r="D4558" s="6" t="n">
        <x:f>B4558</x:f>
        <x:v>0.0172</x:v>
      </x:c>
      <x:c r="E4558" s="1" t="n">
        <x:v>1.05</x:v>
      </x:c>
      <x:c r="F4558" s="1" t="str">
        <x:v>https://api.octopus.energy/v1/products/AGILE-24-10-01/electricity-tariffs/E-1R-AGILE-24-10-01-G/standard-unit-rates/</x:v>
      </x:c>
    </x:row>
    <x:row r="4559" ht="21" customHeight="1">
      <x:c r="A4559" s="24" t="n">
        <x:v>46243.479166666664</x:v>
      </x:c>
      <x:c r="B4559" s="6" t="n">
        <x:v>0.016</x:v>
      </x:c>
      <x:c r="C4559" s="6" t="n">
        <x:v>0.0336</x:v>
      </x:c>
      <x:c r="D4559" s="6" t="n">
        <x:f>B4559</x:f>
        <x:v>0.016</x:v>
      </x:c>
      <x:c r="E4559" s="1" t="n">
        <x:v>1.05</x:v>
      </x:c>
      <x:c r="F4559" s="1" t="str">
        <x:v>https://api.octopus.energy/v1/products/AGILE-24-10-01/electricity-tariffs/E-1R-AGILE-24-10-01-G/standard-unit-rates/</x:v>
      </x:c>
    </x:row>
    <x:row r="4560" ht="21" customHeight="1">
      <x:c r="A4560" s="24" t="n">
        <x:v>46243.5</x:v>
      </x:c>
      <x:c r="B4560" s="6" t="n">
        <x:v>0.0213</x:v>
      </x:c>
      <x:c r="C4560" s="6" t="n">
        <x:v>0.036000000000000004</x:v>
      </x:c>
      <x:c r="D4560" s="6" t="n">
        <x:f>B4560</x:f>
        <x:v>0.0213</x:v>
      </x:c>
      <x:c r="E4560" s="1" t="n">
        <x:v>1.05</x:v>
      </x:c>
      <x:c r="F4560" s="1" t="str">
        <x:v>https://api.octopus.energy/v1/products/AGILE-24-10-01/electricity-tariffs/E-1R-AGILE-24-10-01-G/standard-unit-rates/</x:v>
      </x:c>
    </x:row>
    <x:row r="4561" ht="21" customHeight="1">
      <x:c r="A4561" s="24" t="n">
        <x:v>46243.520833333336</x:v>
      </x:c>
      <x:c r="B4561" s="6" t="n">
        <x:v>0.0213</x:v>
      </x:c>
      <x:c r="C4561" s="6" t="n">
        <x:v>0.036000000000000004</x:v>
      </x:c>
      <x:c r="D4561" s="6" t="n">
        <x:f>B4561</x:f>
        <x:v>0.0213</x:v>
      </x:c>
      <x:c r="E4561" s="1" t="n">
        <x:v>1.05</x:v>
      </x:c>
      <x:c r="F4561" s="1" t="str">
        <x:v>https://api.octopus.energy/v1/products/AGILE-24-10-01/electricity-tariffs/E-1R-AGILE-24-10-01-G/standard-unit-rates/</x:v>
      </x:c>
    </x:row>
    <x:row r="4562" ht="21" customHeight="1">
      <x:c r="A4562" s="24" t="n">
        <x:v>46243.541666666664</x:v>
      </x:c>
      <x:c r="B4562" s="6" t="n">
        <x:v>0.0212</x:v>
      </x:c>
      <x:c r="C4562" s="6" t="n">
        <x:v>0.036000000000000004</x:v>
      </x:c>
      <x:c r="D4562" s="6" t="n">
        <x:f>B4562</x:f>
        <x:v>0.0212</x:v>
      </x:c>
      <x:c r="E4562" s="1" t="n">
        <x:v>1.05</x:v>
      </x:c>
      <x:c r="F4562" s="1" t="str">
        <x:v>https://api.octopus.energy/v1/products/AGILE-24-10-01/electricity-tariffs/E-1R-AGILE-24-10-01-G/standard-unit-rates/</x:v>
      </x:c>
    </x:row>
    <x:row r="4563" ht="21" customHeight="1">
      <x:c r="A4563" s="24" t="n">
        <x:v>46243.5625</x:v>
      </x:c>
      <x:c r="B4563" s="6" t="n">
        <x:v>0.0096</x:v>
      </x:c>
      <x:c r="C4563" s="6" t="n">
        <x:v>0.030699999999999998</x:v>
      </x:c>
      <x:c r="D4563" s="6" t="n">
        <x:f>B4563</x:f>
        <x:v>0.0096</x:v>
      </x:c>
      <x:c r="E4563" s="1" t="n">
        <x:v>1.05</x:v>
      </x:c>
      <x:c r="F4563" s="1" t="str">
        <x:v>https://api.octopus.energy/v1/products/AGILE-24-10-01/electricity-tariffs/E-1R-AGILE-24-10-01-G/standard-unit-rates/</x:v>
      </x:c>
    </x:row>
    <x:row r="4564" ht="21" customHeight="1">
      <x:c r="A4564" s="24" t="n">
        <x:v>46243.583333333336</x:v>
      </x:c>
      <x:c r="B4564" s="6" t="n">
        <x:v>0.0174</x:v>
      </x:c>
      <x:c r="C4564" s="6" t="n">
        <x:v>0.0342</x:v>
      </x:c>
      <x:c r="D4564" s="6" t="n">
        <x:f>B4564</x:f>
        <x:v>0.0174</x:v>
      </x:c>
      <x:c r="E4564" s="1" t="n">
        <x:v>1.05</x:v>
      </x:c>
      <x:c r="F4564" s="1" t="str">
        <x:v>https://api.octopus.energy/v1/products/AGILE-24-10-01/electricity-tariffs/E-1R-AGILE-24-10-01-G/standard-unit-rates/</x:v>
      </x:c>
    </x:row>
    <x:row r="4565" ht="21" customHeight="1">
      <x:c r="A4565" s="24" t="n">
        <x:v>46243.604166666664</x:v>
      </x:c>
      <x:c r="B4565" s="6" t="n">
        <x:v>0.023</x:v>
      </x:c>
      <x:c r="C4565" s="6" t="n">
        <x:v>0.0368</x:v>
      </x:c>
      <x:c r="D4565" s="6" t="n">
        <x:f>B4565</x:f>
        <x:v>0.023</x:v>
      </x:c>
      <x:c r="E4565" s="1" t="n">
        <x:v>1.05</x:v>
      </x:c>
      <x:c r="F4565" s="1" t="str">
        <x:v>https://api.octopus.energy/v1/products/AGILE-24-10-01/electricity-tariffs/E-1R-AGILE-24-10-01-G/standard-unit-rates/</x:v>
      </x:c>
    </x:row>
    <x:row r="4566" ht="21" customHeight="1">
      <x:c r="A4566" s="24" t="n">
        <x:v>46243.625</x:v>
      </x:c>
      <x:c r="B4566" s="6" t="n">
        <x:v>0.0375</x:v>
      </x:c>
      <x:c r="C4566" s="6" t="n">
        <x:v>0.0434</x:v>
      </x:c>
      <x:c r="D4566" s="6" t="n">
        <x:f>B4566</x:f>
        <x:v>0.0375</x:v>
      </x:c>
      <x:c r="E4566" s="1" t="n">
        <x:v>1.05</x:v>
      </x:c>
      <x:c r="F4566" s="1" t="str">
        <x:v>https://api.octopus.energy/v1/products/AGILE-24-10-01/electricity-tariffs/E-1R-AGILE-24-10-01-G/standard-unit-rates/</x:v>
      </x:c>
    </x:row>
    <x:row r="4567" ht="21" customHeight="1">
      <x:c r="A4567" s="24" t="n">
        <x:v>46243.645833333336</x:v>
      </x:c>
      <x:c r="B4567" s="6" t="n">
        <x:v>0.059500000000000004</x:v>
      </x:c>
      <x:c r="C4567" s="6" t="n">
        <x:v>0.0535</x:v>
      </x:c>
      <x:c r="D4567" s="6" t="n">
        <x:f>B4567</x:f>
        <x:v>0.059500000000000004</x:v>
      </x:c>
      <x:c r="E4567" s="1" t="n">
        <x:v>1.05</x:v>
      </x:c>
      <x:c r="F4567" s="1" t="str">
        <x:v>https://api.octopus.energy/v1/products/AGILE-24-10-01/electricity-tariffs/E-1R-AGILE-24-10-01-G/standard-unit-rates/</x:v>
      </x:c>
    </x:row>
    <x:row r="4568" ht="21" customHeight="1">
      <x:c r="A4568" s="24" t="n">
        <x:v>46243.666666666664</x:v>
      </x:c>
      <x:c r="B4568" s="6" t="n">
        <x:v>0.23670000000000002</x:v>
      </x:c>
      <x:c r="C4568" s="6" t="n">
        <x:v>0.13849999999999998</x:v>
      </x:c>
      <x:c r="D4568" s="6" t="n">
        <x:f>B4568</x:f>
        <x:v>0.23670000000000002</x:v>
      </x:c>
      <x:c r="E4568" s="1" t="n">
        <x:v>1.05</x:v>
      </x:c>
      <x:c r="F4568" s="1" t="str">
        <x:v>https://api.octopus.energy/v1/products/AGILE-24-10-01/electricity-tariffs/E-1R-AGILE-24-10-01-G/standard-unit-rates/</x:v>
      </x:c>
    </x:row>
    <x:row r="4569" ht="21" customHeight="1">
      <x:c r="A4569" s="24" t="n">
        <x:v>46243.6875</x:v>
      </x:c>
      <x:c r="B4569" s="6" t="n">
        <x:v>0.2658</x:v>
      </x:c>
      <x:c r="C4569" s="6" t="n">
        <x:v>0.1518</x:v>
      </x:c>
      <x:c r="D4569" s="6" t="n">
        <x:f>B4569</x:f>
        <x:v>0.2658</x:v>
      </x:c>
      <x:c r="E4569" s="1" t="n">
        <x:v>1.05</x:v>
      </x:c>
      <x:c r="F4569" s="1" t="str">
        <x:v>https://api.octopus.energy/v1/products/AGILE-24-10-01/electricity-tariffs/E-1R-AGILE-24-10-01-G/standard-unit-rates/</x:v>
      </x:c>
    </x:row>
    <x:row r="4570" ht="21" customHeight="1">
      <x:c r="A4570" s="24" t="n">
        <x:v>46243.708333333336</x:v>
      </x:c>
      <x:c r="B4570" s="6" t="n">
        <x:v>0.3513</x:v>
      </x:c>
      <x:c r="C4570" s="6" t="n">
        <x:v>0.1909</x:v>
      </x:c>
      <x:c r="D4570" s="6" t="n">
        <x:f>B4570</x:f>
        <x:v>0.3513</x:v>
      </x:c>
      <x:c r="E4570" s="1" t="n">
        <x:v>1.05</x:v>
      </x:c>
      <x:c r="F4570" s="1" t="str">
        <x:v>https://api.octopus.energy/v1/products/AGILE-24-10-01/electricity-tariffs/E-1R-AGILE-24-10-01-G/standard-unit-rates/</x:v>
      </x:c>
    </x:row>
    <x:row r="4571" ht="21" customHeight="1">
      <x:c r="A4571" s="24" t="n">
        <x:v>46243.729166666664</x:v>
      </x:c>
      <x:c r="B4571" s="6" t="n">
        <x:v>0.34</x:v>
      </x:c>
      <x:c r="C4571" s="6" t="n">
        <x:v>0.1858</x:v>
      </x:c>
      <x:c r="D4571" s="6" t="n">
        <x:f>B4571</x:f>
        <x:v>0.34</x:v>
      </x:c>
      <x:c r="E4571" s="1" t="n">
        <x:v>1.05</x:v>
      </x:c>
      <x:c r="F4571" s="1" t="str">
        <x:v>https://api.octopus.energy/v1/products/AGILE-24-10-01/electricity-tariffs/E-1R-AGILE-24-10-01-G/standard-unit-rates/</x:v>
      </x:c>
    </x:row>
    <x:row r="4572" ht="21" customHeight="1">
      <x:c r="A4572" s="24" t="n">
        <x:v>46243.75</x:v>
      </x:c>
      <x:c r="B4572" s="6" t="n">
        <x:v>0.37310000000000004</x:v>
      </x:c>
      <x:c r="C4572" s="6" t="n">
        <x:v>0.2009</x:v>
      </x:c>
      <x:c r="D4572" s="6" t="n">
        <x:f>B4572</x:f>
        <x:v>0.37310000000000004</x:v>
      </x:c>
      <x:c r="E4572" s="1" t="n">
        <x:v>1.05</x:v>
      </x:c>
      <x:c r="F4572" s="1" t="str">
        <x:v>https://api.octopus.energy/v1/products/AGILE-24-10-01/electricity-tariffs/E-1R-AGILE-24-10-01-G/standard-unit-rates/</x:v>
      </x:c>
    </x:row>
    <x:row r="4573" ht="21" customHeight="1">
      <x:c r="A4573" s="24" t="n">
        <x:v>46243.770833333336</x:v>
      </x:c>
      <x:c r="B4573" s="6" t="n">
        <x:v>0.3613</x:v>
      </x:c>
      <x:c r="C4573" s="6" t="n">
        <x:v>0.1955</x:v>
      </x:c>
      <x:c r="D4573" s="6" t="n">
        <x:f>B4573</x:f>
        <x:v>0.3613</x:v>
      </x:c>
      <x:c r="E4573" s="1" t="n">
        <x:v>1.05</x:v>
      </x:c>
      <x:c r="F4573" s="1" t="str">
        <x:v>https://api.octopus.energy/v1/products/AGILE-24-10-01/electricity-tariffs/E-1R-AGILE-24-10-01-G/standard-unit-rates/</x:v>
      </x:c>
    </x:row>
    <x:row r="4574" ht="21" customHeight="1">
      <x:c r="A4574" s="24" t="n">
        <x:v>46243.791666666664</x:v>
      </x:c>
      <x:c r="B4574" s="6" t="n">
        <x:v>0.2774</x:v>
      </x:c>
      <x:c r="C4574" s="6" t="n">
        <x:v>0.1531</x:v>
      </x:c>
      <x:c r="D4574" s="6" t="n">
        <x:f>B4574</x:f>
        <x:v>0.2774</x:v>
      </x:c>
      <x:c r="E4574" s="1" t="n">
        <x:v>1.05</x:v>
      </x:c>
      <x:c r="F4574" s="1" t="str">
        <x:v>https://api.octopus.energy/v1/products/AGILE-24-10-01/electricity-tariffs/E-1R-AGILE-24-10-01-G/standard-unit-rates/</x:v>
      </x:c>
    </x:row>
    <x:row r="4575" ht="21" customHeight="1">
      <x:c r="A4575" s="24" t="n">
        <x:v>46243.8125</x:v>
      </x:c>
      <x:c r="B4575" s="6" t="n">
        <x:v>0.2816</x:v>
      </x:c>
      <x:c r="C4575" s="6" t="n">
        <x:v>0.155</x:v>
      </x:c>
      <x:c r="D4575" s="6" t="n">
        <x:f>B4575</x:f>
        <x:v>0.2816</x:v>
      </x:c>
      <x:c r="E4575" s="1" t="n">
        <x:v>1.05</x:v>
      </x:c>
      <x:c r="F4575" s="1" t="str">
        <x:v>https://api.octopus.energy/v1/products/AGILE-24-10-01/electricity-tariffs/E-1R-AGILE-24-10-01-G/standard-unit-rates/</x:v>
      </x:c>
    </x:row>
    <x:row r="4576" ht="21" customHeight="1">
      <x:c r="A4576" s="24" t="n">
        <x:v>46243.833333333336</x:v>
      </x:c>
      <x:c r="B4576" s="6" t="n">
        <x:v>0.2816</x:v>
      </x:c>
      <x:c r="C4576" s="6" t="n">
        <x:v>0.155</x:v>
      </x:c>
      <x:c r="D4576" s="6" t="n">
        <x:f>B4576</x:f>
        <x:v>0.2816</x:v>
      </x:c>
      <x:c r="E4576" s="1" t="n">
        <x:v>1.05</x:v>
      </x:c>
      <x:c r="F4576" s="1" t="str">
        <x:v>https://api.octopus.energy/v1/products/AGILE-24-10-01/electricity-tariffs/E-1R-AGILE-24-10-01-G/standard-unit-rates/</x:v>
      </x:c>
    </x:row>
    <x:row r="4577" ht="21" customHeight="1">
      <x:c r="A4577" s="24" t="n">
        <x:v>46243.854166666664</x:v>
      </x:c>
      <x:c r="B4577" s="6" t="n">
        <x:v>0.28600000000000003</x:v>
      </x:c>
      <x:c r="C4577" s="6" t="n">
        <x:v>0.157</x:v>
      </x:c>
      <x:c r="D4577" s="6" t="n">
        <x:f>B4577</x:f>
        <x:v>0.28600000000000003</x:v>
      </x:c>
      <x:c r="E4577" s="1" t="n">
        <x:v>1.05</x:v>
      </x:c>
      <x:c r="F4577" s="1" t="str">
        <x:v>https://api.octopus.energy/v1/products/AGILE-24-10-01/electricity-tariffs/E-1R-AGILE-24-10-01-G/standard-unit-rates/</x:v>
      </x:c>
    </x:row>
    <x:row r="4578" ht="21" customHeight="1">
      <x:c r="A4578" s="24" t="n">
        <x:v>46243.875</x:v>
      </x:c>
      <x:c r="B4578" s="6" t="n">
        <x:v>0.2764</x:v>
      </x:c>
      <x:c r="C4578" s="6" t="n">
        <x:v>0.15259999999999999</x:v>
      </x:c>
      <x:c r="D4578" s="6" t="n">
        <x:f>B4578</x:f>
        <x:v>0.2764</x:v>
      </x:c>
      <x:c r="E4578" s="1" t="n">
        <x:v>1.05</x:v>
      </x:c>
      <x:c r="F4578" s="1" t="str">
        <x:v>https://api.octopus.energy/v1/products/AGILE-24-10-01/electricity-tariffs/E-1R-AGILE-24-10-01-G/standard-unit-rates/</x:v>
      </x:c>
    </x:row>
    <x:row r="4579" ht="21" customHeight="1">
      <x:c r="A4579" s="24" t="n">
        <x:v>46243.895833333336</x:v>
      </x:c>
      <x:c r="B4579" s="6" t="n">
        <x:v>0.2761</x:v>
      </x:c>
      <x:c r="C4579" s="6" t="n">
        <x:v>0.1525</x:v>
      </x:c>
      <x:c r="D4579" s="6" t="n">
        <x:f>B4579</x:f>
        <x:v>0.2761</x:v>
      </x:c>
      <x:c r="E4579" s="1" t="n">
        <x:v>1.05</x:v>
      </x:c>
      <x:c r="F4579" s="1" t="str">
        <x:v>https://api.octopus.energy/v1/products/AGILE-24-10-01/electricity-tariffs/E-1R-AGILE-24-10-01-G/standard-unit-rates/</x:v>
      </x:c>
    </x:row>
    <x:row r="4580" ht="21" customHeight="1">
      <x:c r="A4580" s="24" t="n">
        <x:v>46243.916666666664</x:v>
      </x:c>
      <x:c r="B4580" s="6" t="n">
        <x:v>0.26649999999999996</x:v>
      </x:c>
      <x:c r="C4580" s="6" t="n">
        <x:v>0.1481</x:v>
      </x:c>
      <x:c r="D4580" s="6" t="n">
        <x:f>B4580</x:f>
        <x:v>0.26649999999999996</x:v>
      </x:c>
      <x:c r="E4580" s="1" t="n">
        <x:v>1.05</x:v>
      </x:c>
      <x:c r="F4580" s="1" t="str">
        <x:v>https://api.octopus.energy/v1/products/AGILE-24-10-01/electricity-tariffs/E-1R-AGILE-24-10-01-G/standard-unit-rates/</x:v>
      </x:c>
    </x:row>
    <x:row r="4581" ht="21" customHeight="1">
      <x:c r="A4581" s="24" t="n">
        <x:v>46243.9375</x:v>
      </x:c>
      <x:c r="B4581" s="6" t="n">
        <x:v>0.2463</x:v>
      </x:c>
      <x:c r="C4581" s="6" t="n">
        <x:v>0.1389</x:v>
      </x:c>
      <x:c r="D4581" s="6" t="n">
        <x:f>B4581</x:f>
        <x:v>0.2463</x:v>
      </x:c>
      <x:c r="E4581" s="1" t="n">
        <x:v>1.05</x:v>
      </x:c>
      <x:c r="F4581" s="1" t="str">
        <x:v>https://api.octopus.energy/v1/products/AGILE-24-10-01/electricity-tariffs/E-1R-AGILE-24-10-01-G/standard-unit-rates/</x:v>
      </x:c>
    </x:row>
    <x:row r="4582" ht="21" customHeight="1">
      <x:c r="A4582" s="24" t="n">
        <x:v>46244</x:v>
      </x:c>
      <x:c r="B4582" s="6" t="n">
        <x:v>0.23670000000000002</x:v>
      </x:c>
      <x:c r="C4582" s="6" t="n">
        <x:v>0.13449999999999998</x:v>
      </x:c>
      <x:c r="D4582" s="6" t="n">
        <x:f>B4582</x:f>
        <x:v>0.23670000000000002</x:v>
      </x:c>
      <x:c r="E4582" s="1" t="n">
        <x:v>1.05</x:v>
      </x:c>
      <x:c r="F4582" s="1" t="str">
        <x:v>https://api.octopus.energy/v1/products/AGILE-24-10-01/electricity-tariffs/E-1R-AGILE-24-10-01-G/standard-unit-rates/</x:v>
      </x:c>
    </x:row>
    <x:row r="4583" ht="21" customHeight="1">
      <x:c r="A4583" s="24" t="n">
        <x:v>46243.979166666664</x:v>
      </x:c>
      <x:c r="B4583" s="6" t="n">
        <x:v>0.222</x:v>
      </x:c>
      <x:c r="C4583" s="6" t="n">
        <x:v>0.1277</x:v>
      </x:c>
      <x:c r="D4583" s="6" t="n">
        <x:f>B4583</x:f>
        <x:v>0.222</x:v>
      </x:c>
      <x:c r="E4583" s="1" t="n">
        <x:v>1.05</x:v>
      </x:c>
      <x:c r="F4583" s="1" t="str">
        <x:v>https://api.octopus.energy/v1/products/AGILE-24-10-01/electricity-tariffs/E-1R-AGILE-24-10-01-G/standard-unit-rates/</x:v>
      </x:c>
    </x:row>
    <x:row r="4584" ht="21" customHeight="1">
      <x:c r="A4584" s="24" t="n">
        <x:v>46244</x:v>
      </x:c>
      <x:c r="B4584" s="6" t="n">
        <x:v>0.20739999999999997</x:v>
      </x:c>
      <x:c r="C4584" s="6" t="n">
        <x:v>0.1211</x:v>
      </x:c>
      <x:c r="D4584" s="6" t="n">
        <x:f>B4584</x:f>
        <x:v>0.20739999999999997</x:v>
      </x:c>
      <x:c r="E4584" s="1" t="n">
        <x:v>1.05</x:v>
      </x:c>
      <x:c r="F4584" s="1" t="str">
        <x:v>https://api.octopus.energy/v1/products/AGILE-24-10-01/electricity-tariffs/E-1R-AGILE-24-10-01-G/standard-unit-rates/</x:v>
      </x:c>
    </x:row>
    <x:row r="4585" ht="21" customHeight="1">
      <x:c r="A4585" s="24" t="n">
        <x:v>46244.020833333336</x:v>
      </x:c>
      <x:c r="B4585" s="6" t="n">
        <x:v>0.215</x:v>
      </x:c>
      <x:c r="C4585" s="6" t="n">
        <x:v>0.1246</x:v>
      </x:c>
      <x:c r="D4585" s="6" t="n">
        <x:f>B4585</x:f>
        <x:v>0.215</x:v>
      </x:c>
      <x:c r="E4585" s="1" t="n">
        <x:v>1.05</x:v>
      </x:c>
      <x:c r="F4585" s="1" t="str">
        <x:v>https://api.octopus.energy/v1/products/AGILE-24-10-01/electricity-tariffs/E-1R-AGILE-24-10-01-G/standard-unit-rates/</x:v>
      </x:c>
    </x:row>
    <x:row r="4586" ht="21" customHeight="1">
      <x:c r="A4586" s="24" t="n">
        <x:v>46244.041666666664</x:v>
      </x:c>
      <x:c r="B4586" s="6" t="n">
        <x:v>0.20739999999999997</x:v>
      </x:c>
      <x:c r="C4586" s="6" t="n">
        <x:v>0.1211</x:v>
      </x:c>
      <x:c r="D4586" s="6" t="n">
        <x:f>B4586</x:f>
        <x:v>0.20739999999999997</x:v>
      </x:c>
      <x:c r="E4586" s="1" t="n">
        <x:v>1.05</x:v>
      </x:c>
      <x:c r="F4586" s="1" t="str">
        <x:v>https://api.octopus.energy/v1/products/AGILE-24-10-01/electricity-tariffs/E-1R-AGILE-24-10-01-G/standard-unit-rates/</x:v>
      </x:c>
    </x:row>
    <x:row r="4587" ht="21" customHeight="1">
      <x:c r="A4587" s="24" t="n">
        <x:v>46244.0625</x:v>
      </x:c>
      <x:c r="B4587" s="6" t="n">
        <x:v>0.20879999999999999</x:v>
      </x:c>
      <x:c r="C4587" s="6" t="n">
        <x:v>0.1217</x:v>
      </x:c>
      <x:c r="D4587" s="6" t="n">
        <x:f>B4587</x:f>
        <x:v>0.20879999999999999</x:v>
      </x:c>
      <x:c r="E4587" s="1" t="n">
        <x:v>1.05</x:v>
      </x:c>
      <x:c r="F4587" s="1" t="str">
        <x:v>https://api.octopus.energy/v1/products/AGILE-24-10-01/electricity-tariffs/E-1R-AGILE-24-10-01-G/standard-unit-rates/</x:v>
      </x:c>
    </x:row>
    <x:row r="4588" ht="21" customHeight="1">
      <x:c r="A4588" s="24" t="n">
        <x:v>46244.083333333336</x:v>
      </x:c>
      <x:c r="B4588" s="6" t="n">
        <x:v>0.1997</x:v>
      </x:c>
      <x:c r="C4588" s="6" t="n">
        <x:v>0.1176</x:v>
      </x:c>
      <x:c r="D4588" s="6" t="n">
        <x:f>B4588</x:f>
        <x:v>0.1997</x:v>
      </x:c>
      <x:c r="E4588" s="1" t="n">
        <x:v>1.05</x:v>
      </x:c>
      <x:c r="F4588" s="1" t="str">
        <x:v>https://api.octopus.energy/v1/products/AGILE-24-10-01/electricity-tariffs/E-1R-AGILE-24-10-01-G/standard-unit-rates/</x:v>
      </x:c>
    </x:row>
    <x:row r="4589" ht="21" customHeight="1">
      <x:c r="A4589" s="24" t="n">
        <x:v>46244.104166666664</x:v>
      </x:c>
      <x:c r="B4589" s="6" t="n">
        <x:v>0.1961</x:v>
      </x:c>
      <x:c r="C4589" s="6" t="n">
        <x:v>0.1159</x:v>
      </x:c>
      <x:c r="D4589" s="6" t="n">
        <x:f>B4589</x:f>
        <x:v>0.1961</x:v>
      </x:c>
      <x:c r="E4589" s="1" t="n">
        <x:v>1.05</x:v>
      </x:c>
      <x:c r="F4589" s="1" t="str">
        <x:v>https://api.octopus.energy/v1/products/AGILE-24-10-01/electricity-tariffs/E-1R-AGILE-24-10-01-G/standard-unit-rates/</x:v>
      </x:c>
    </x:row>
    <x:row r="4590" ht="21" customHeight="1">
      <x:c r="A4590" s="24" t="n">
        <x:v>46244.125</x:v>
      </x:c>
      <x:c r="B4590" s="6" t="n">
        <x:v>0.2009</x:v>
      </x:c>
      <x:c r="C4590" s="6" t="n">
        <x:v>0.11810000000000001</x:v>
      </x:c>
      <x:c r="D4590" s="6" t="n">
        <x:f>B4590</x:f>
        <x:v>0.2009</x:v>
      </x:c>
      <x:c r="E4590" s="1" t="n">
        <x:v>1.05</x:v>
      </x:c>
      <x:c r="F4590" s="1" t="str">
        <x:v>https://api.octopus.energy/v1/products/AGILE-24-10-01/electricity-tariffs/E-1R-AGILE-24-10-01-G/standard-unit-rates/</x:v>
      </x:c>
    </x:row>
    <x:row r="4591" ht="21" customHeight="1">
      <x:c r="A4591" s="24" t="n">
        <x:v>46244.145833333336</x:v>
      </x:c>
      <x:c r="B4591" s="6" t="n">
        <x:v>0.19760000000000003</x:v>
      </x:c>
      <x:c r="C4591" s="6" t="n">
        <x:v>0.1166</x:v>
      </x:c>
      <x:c r="D4591" s="6" t="n">
        <x:f>B4591</x:f>
        <x:v>0.19760000000000003</x:v>
      </x:c>
      <x:c r="E4591" s="1" t="n">
        <x:v>1.05</x:v>
      </x:c>
      <x:c r="F4591" s="1" t="str">
        <x:v>https://api.octopus.energy/v1/products/AGILE-24-10-01/electricity-tariffs/E-1R-AGILE-24-10-01-G/standard-unit-rates/</x:v>
      </x:c>
    </x:row>
    <x:row r="4592" ht="21" customHeight="1">
      <x:c r="A4592" s="24" t="n">
        <x:v>46244.166666666664</x:v>
      </x:c>
      <x:c r="B4592" s="6" t="n">
        <x:v>0.20420000000000002</x:v>
      </x:c>
      <x:c r="C4592" s="6" t="n">
        <x:v>0.11960000000000001</x:v>
      </x:c>
      <x:c r="D4592" s="6" t="n">
        <x:f>B4592</x:f>
        <x:v>0.20420000000000002</x:v>
      </x:c>
      <x:c r="E4592" s="1" t="n">
        <x:v>1.05</x:v>
      </x:c>
      <x:c r="F4592" s="1" t="str">
        <x:v>https://api.octopus.energy/v1/products/AGILE-24-10-01/electricity-tariffs/E-1R-AGILE-24-10-01-G/standard-unit-rates/</x:v>
      </x:c>
    </x:row>
    <x:row r="4593" ht="21" customHeight="1">
      <x:c r="A4593" s="24" t="n">
        <x:v>46244.1875</x:v>
      </x:c>
      <x:c r="B4593" s="6" t="n">
        <x:v>0.2053</x:v>
      </x:c>
      <x:c r="C4593" s="6" t="n">
        <x:v>0.1201</x:v>
      </x:c>
      <x:c r="D4593" s="6" t="n">
        <x:f>B4593</x:f>
        <x:v>0.2053</x:v>
      </x:c>
      <x:c r="E4593" s="1" t="n">
        <x:v>1.05</x:v>
      </x:c>
      <x:c r="F4593" s="1" t="str">
        <x:v>https://api.octopus.energy/v1/products/AGILE-24-10-01/electricity-tariffs/E-1R-AGILE-24-10-01-G/standard-unit-rates/</x:v>
      </x:c>
    </x:row>
    <x:row r="4594" ht="21" customHeight="1">
      <x:c r="A4594" s="24" t="n">
        <x:v>46244.208333333336</x:v>
      </x:c>
      <x:c r="B4594" s="6" t="n">
        <x:v>0.23629999999999998</x:v>
      </x:c>
      <x:c r="C4594" s="6" t="n">
        <x:v>0.1343</x:v>
      </x:c>
      <x:c r="D4594" s="6" t="n">
        <x:f>B4594</x:f>
        <x:v>0.23629999999999998</x:v>
      </x:c>
      <x:c r="E4594" s="1" t="n">
        <x:v>1.05</x:v>
      </x:c>
      <x:c r="F4594" s="1" t="str">
        <x:v>https://api.octopus.energy/v1/products/AGILE-24-10-01/electricity-tariffs/E-1R-AGILE-24-10-01-G/standard-unit-rates/</x:v>
      </x:c>
    </x:row>
    <x:row r="4595" ht="21" customHeight="1">
      <x:c r="A4595" s="24" t="n">
        <x:v>46244.229166666664</x:v>
      </x:c>
      <x:c r="B4595" s="6" t="n">
        <x:v>0.2384</x:v>
      </x:c>
      <x:c r="C4595" s="6" t="n">
        <x:v>0.1352</x:v>
      </x:c>
      <x:c r="D4595" s="6" t="n">
        <x:f>B4595</x:f>
        <x:v>0.2384</x:v>
      </x:c>
      <x:c r="E4595" s="1" t="n">
        <x:v>1.05</x:v>
      </x:c>
      <x:c r="F4595" s="1" t="str">
        <x:v>https://api.octopus.energy/v1/products/AGILE-24-10-01/electricity-tariffs/E-1R-AGILE-24-10-01-G/standard-unit-rates/</x:v>
      </x:c>
    </x:row>
    <x:row r="4596" ht="21" customHeight="1">
      <x:c r="A4596" s="24" t="n">
        <x:v>46244.25</x:v>
      </x:c>
      <x:c r="B4596" s="6" t="n">
        <x:v>0.235</x:v>
      </x:c>
      <x:c r="C4596" s="6" t="n">
        <x:v>0.13369999999999999</x:v>
      </x:c>
      <x:c r="D4596" s="6" t="n">
        <x:f>B4596</x:f>
        <x:v>0.235</x:v>
      </x:c>
      <x:c r="E4596" s="1" t="n">
        <x:v>1.05</x:v>
      </x:c>
      <x:c r="F4596" s="1" t="str">
        <x:v>https://api.octopus.energy/v1/products/AGILE-24-10-01/electricity-tariffs/E-1R-AGILE-24-10-01-G/standard-unit-rates/</x:v>
      </x:c>
    </x:row>
    <x:row r="4597" ht="21" customHeight="1">
      <x:c r="A4597" s="24" t="n">
        <x:v>46244.270833333336</x:v>
      </x:c>
      <x:c r="B4597" s="6" t="n">
        <x:v>0.24559999999999998</x:v>
      </x:c>
      <x:c r="C4597" s="6" t="n">
        <x:v>0.13849999999999998</x:v>
      </x:c>
      <x:c r="D4597" s="6" t="n">
        <x:f>B4597</x:f>
        <x:v>0.24559999999999998</x:v>
      </x:c>
      <x:c r="E4597" s="1" t="n">
        <x:v>1.05</x:v>
      </x:c>
      <x:c r="F4597" s="1" t="str">
        <x:v>https://api.octopus.energy/v1/products/AGILE-24-10-01/electricity-tariffs/E-1R-AGILE-24-10-01-G/standard-unit-rates/</x:v>
      </x:c>
    </x:row>
    <x:row r="4598" ht="21" customHeight="1">
      <x:c r="A4598" s="24" t="n">
        <x:v>46244.291666666664</x:v>
      </x:c>
      <x:c r="B4598" s="6" t="n">
        <x:v>0.2339</x:v>
      </x:c>
      <x:c r="C4598" s="6" t="n">
        <x:v>0.1332</x:v>
      </x:c>
      <x:c r="D4598" s="6" t="n">
        <x:f>B4598</x:f>
        <x:v>0.2339</x:v>
      </x:c>
      <x:c r="E4598" s="1" t="n">
        <x:v>1.05</x:v>
      </x:c>
      <x:c r="F4598" s="1" t="str">
        <x:v>https://api.octopus.energy/v1/products/AGILE-24-10-01/electricity-tariffs/E-1R-AGILE-24-10-01-G/standard-unit-rates/</x:v>
      </x:c>
    </x:row>
    <x:row r="4599" ht="21" customHeight="1">
      <x:c r="A4599" s="24" t="n">
        <x:v>46244.3125</x:v>
      </x:c>
      <x:c r="B4599" s="6" t="n">
        <x:v>0.24539999999999998</x:v>
      </x:c>
      <x:c r="C4599" s="6" t="n">
        <x:v>0.13849999999999998</x:v>
      </x:c>
      <x:c r="D4599" s="6" t="n">
        <x:f>B4599</x:f>
        <x:v>0.24539999999999998</x:v>
      </x:c>
      <x:c r="E4599" s="1" t="n">
        <x:v>1.05</x:v>
      </x:c>
      <x:c r="F4599" s="1" t="str">
        <x:v>https://api.octopus.energy/v1/products/AGILE-24-10-01/electricity-tariffs/E-1R-AGILE-24-10-01-G/standard-unit-rates/</x:v>
      </x:c>
    </x:row>
    <x:row r="4600" ht="21" customHeight="1">
      <x:c r="A4600" s="24" t="n">
        <x:v>46244.333333333336</x:v>
      </x:c>
      <x:c r="B4600" s="6" t="n">
        <x:v>0.2489</x:v>
      </x:c>
      <x:c r="C4600" s="6" t="n">
        <x:v>0.14</x:v>
      </x:c>
      <x:c r="D4600" s="6" t="n">
        <x:f>B4600</x:f>
        <x:v>0.2489</x:v>
      </x:c>
      <x:c r="E4600" s="1" t="n">
        <x:v>1.05</x:v>
      </x:c>
      <x:c r="F4600" s="1" t="str">
        <x:v>https://api.octopus.energy/v1/products/AGILE-24-10-01/electricity-tariffs/E-1R-AGILE-24-10-01-G/standard-unit-rates/</x:v>
      </x:c>
    </x:row>
    <x:row r="4601" ht="21" customHeight="1">
      <x:c r="A4601" s="24" t="n">
        <x:v>46244.354166666664</x:v>
      </x:c>
      <x:c r="B4601" s="6" t="n">
        <x:v>0.2398</x:v>
      </x:c>
      <x:c r="C4601" s="6" t="n">
        <x:v>0.1359</x:v>
      </x:c>
      <x:c r="D4601" s="6" t="n">
        <x:f>B4601</x:f>
        <x:v>0.2398</x:v>
      </x:c>
      <x:c r="E4601" s="1" t="n">
        <x:v>1.05</x:v>
      </x:c>
      <x:c r="F4601" s="1" t="str">
        <x:v>https://api.octopus.energy/v1/products/AGILE-24-10-01/electricity-tariffs/E-1R-AGILE-24-10-01-G/standard-unit-rates/</x:v>
      </x:c>
    </x:row>
    <x:row r="4602" ht="21" customHeight="1">
      <x:c r="A4602" s="24" t="n">
        <x:v>46244.375</x:v>
      </x:c>
      <x:c r="B4602" s="6" t="n">
        <x:v>0.1935</x:v>
      </x:c>
      <x:c r="C4602" s="6" t="n">
        <x:v>0.11470000000000001</x:v>
      </x:c>
      <x:c r="D4602" s="6" t="n">
        <x:f>B4602</x:f>
        <x:v>0.1935</x:v>
      </x:c>
      <x:c r="E4602" s="1" t="n">
        <x:v>1.05</x:v>
      </x:c>
      <x:c r="F4602" s="1" t="str">
        <x:v>https://api.octopus.energy/v1/products/AGILE-24-10-01/electricity-tariffs/E-1R-AGILE-24-10-01-G/standard-unit-rates/</x:v>
      </x:c>
    </x:row>
    <x:row r="4603" ht="21" customHeight="1">
      <x:c r="A4603" s="24" t="n">
        <x:v>46244.395833333336</x:v>
      </x:c>
      <x:c r="B4603" s="6" t="n">
        <x:v>0.2046</x:v>
      </x:c>
      <x:c r="C4603" s="6" t="n">
        <x:v>0.1198</x:v>
      </x:c>
      <x:c r="D4603" s="6" t="n">
        <x:f>B4603</x:f>
        <x:v>0.2046</x:v>
      </x:c>
      <x:c r="E4603" s="1" t="n">
        <x:v>1.05</x:v>
      </x:c>
      <x:c r="F4603" s="1" t="str">
        <x:v>https://api.octopus.energy/v1/products/AGILE-24-10-01/electricity-tariffs/E-1R-AGILE-24-10-01-G/standard-unit-rates/</x:v>
      </x:c>
    </x:row>
    <x:row r="4604" ht="21" customHeight="1">
      <x:c r="A4604" s="24" t="n">
        <x:v>46244.416666666664</x:v>
      </x:c>
      <x:c r="B4604" s="6" t="n">
        <x:v>0.1818</x:v>
      </x:c>
      <x:c r="C4604" s="6" t="n">
        <x:v>0.1094</x:v>
      </x:c>
      <x:c r="D4604" s="6" t="n">
        <x:f>B4604</x:f>
        <x:v>0.1818</x:v>
      </x:c>
      <x:c r="E4604" s="1" t="n">
        <x:v>1.05</x:v>
      </x:c>
      <x:c r="F4604" s="1" t="str">
        <x:v>https://api.octopus.energy/v1/products/AGILE-24-10-01/electricity-tariffs/E-1R-AGILE-24-10-01-G/standard-unit-rates/</x:v>
      </x:c>
    </x:row>
    <x:row r="4605" ht="21" customHeight="1">
      <x:c r="A4605" s="24" t="n">
        <x:v>46244.4375</x:v>
      </x:c>
      <x:c r="B4605" s="6" t="n">
        <x:v>0.19440000000000002</x:v>
      </x:c>
      <x:c r="C4605" s="6" t="n">
        <x:v>0.1151</x:v>
      </x:c>
      <x:c r="D4605" s="6" t="n">
        <x:f>B4605</x:f>
        <x:v>0.19440000000000002</x:v>
      </x:c>
      <x:c r="E4605" s="1" t="n">
        <x:v>1.05</x:v>
      </x:c>
      <x:c r="F4605" s="1" t="str">
        <x:v>https://api.octopus.energy/v1/products/AGILE-24-10-01/electricity-tariffs/E-1R-AGILE-24-10-01-G/standard-unit-rates/</x:v>
      </x:c>
    </x:row>
    <x:row r="4606" ht="21" customHeight="1">
      <x:c r="A4606" s="24" t="n">
        <x:v>46244.458333333336</x:v>
      </x:c>
      <x:c r="B4606" s="6" t="n">
        <x:v>0.1886</x:v>
      </x:c>
      <x:c r="C4606" s="6" t="n">
        <x:v>0.1125</x:v>
      </x:c>
      <x:c r="D4606" s="6" t="n">
        <x:f>B4606</x:f>
        <x:v>0.1886</x:v>
      </x:c>
      <x:c r="E4606" s="1" t="n">
        <x:v>1.05</x:v>
      </x:c>
      <x:c r="F4606" s="1" t="str">
        <x:v>https://api.octopus.energy/v1/products/AGILE-24-10-01/electricity-tariffs/E-1R-AGILE-24-10-01-G/standard-unit-rates/</x:v>
      </x:c>
    </x:row>
    <x:row r="4607" ht="21" customHeight="1">
      <x:c r="A4607" s="24" t="n">
        <x:v>46244.479166666664</x:v>
      </x:c>
      <x:c r="B4607" s="6" t="n">
        <x:v>0.18460000000000001</x:v>
      </x:c>
      <x:c r="C4607" s="6" t="n">
        <x:v>0.1106</x:v>
      </x:c>
      <x:c r="D4607" s="6" t="n">
        <x:f>B4607</x:f>
        <x:v>0.18460000000000001</x:v>
      </x:c>
      <x:c r="E4607" s="1" t="n">
        <x:v>1.05</x:v>
      </x:c>
      <x:c r="F4607" s="1" t="str">
        <x:v>https://api.octopus.energy/v1/products/AGILE-24-10-01/electricity-tariffs/E-1R-AGILE-24-10-01-G/standard-unit-rates/</x:v>
      </x:c>
    </x:row>
    <x:row r="4608" ht="21" customHeight="1">
      <x:c r="A4608" s="24" t="n">
        <x:v>46244.5</x:v>
      </x:c>
      <x:c r="B4608" s="6" t="n">
        <x:v>0.1867</x:v>
      </x:c>
      <x:c r="C4608" s="6" t="n">
        <x:v>0.1116</x:v>
      </x:c>
      <x:c r="D4608" s="6" t="n">
        <x:f>B4608</x:f>
        <x:v>0.1867</x:v>
      </x:c>
      <x:c r="E4608" s="1" t="n">
        <x:v>1.05</x:v>
      </x:c>
      <x:c r="F4608" s="1" t="str">
        <x:v>https://api.octopus.energy/v1/products/AGILE-24-10-01/electricity-tariffs/E-1R-AGILE-24-10-01-G/standard-unit-rates/</x:v>
      </x:c>
    </x:row>
    <x:row r="4609" ht="21" customHeight="1">
      <x:c r="A4609" s="24" t="n">
        <x:v>46244.520833333336</x:v>
      </x:c>
      <x:c r="B4609" s="6" t="n">
        <x:v>0.18469999999999998</x:v>
      </x:c>
      <x:c r="C4609" s="6" t="n">
        <x:v>0.1107</x:v>
      </x:c>
      <x:c r="D4609" s="6" t="n">
        <x:f>B4609</x:f>
        <x:v>0.18469999999999998</x:v>
      </x:c>
      <x:c r="E4609" s="1" t="n">
        <x:v>1.05</x:v>
      </x:c>
      <x:c r="F4609" s="1" t="str">
        <x:v>https://api.octopus.energy/v1/products/AGILE-24-10-01/electricity-tariffs/E-1R-AGILE-24-10-01-G/standard-unit-rates/</x:v>
      </x:c>
    </x:row>
    <x:row r="4610" ht="21" customHeight="1">
      <x:c r="A4610" s="24" t="n">
        <x:v>46244.541666666664</x:v>
      </x:c>
      <x:c r="B4610" s="6" t="n">
        <x:v>0.1818</x:v>
      </x:c>
      <x:c r="C4610" s="6" t="n">
        <x:v>0.1094</x:v>
      </x:c>
      <x:c r="D4610" s="6" t="n">
        <x:f>B4610</x:f>
        <x:v>0.1818</x:v>
      </x:c>
      <x:c r="E4610" s="1" t="n">
        <x:v>1.05</x:v>
      </x:c>
      <x:c r="F4610" s="1" t="str">
        <x:v>https://api.octopus.energy/v1/products/AGILE-24-10-01/electricity-tariffs/E-1R-AGILE-24-10-01-G/standard-unit-rates/</x:v>
      </x:c>
    </x:row>
    <x:row r="4611" ht="21" customHeight="1">
      <x:c r="A4611" s="24" t="n">
        <x:v>46244.5625</x:v>
      </x:c>
      <x:c r="B4611" s="6" t="n">
        <x:v>0.1818</x:v>
      </x:c>
      <x:c r="C4611" s="6" t="n">
        <x:v>0.1094</x:v>
      </x:c>
      <x:c r="D4611" s="6" t="n">
        <x:f>B4611</x:f>
        <x:v>0.1818</x:v>
      </x:c>
      <x:c r="E4611" s="1" t="n">
        <x:v>1.05</x:v>
      </x:c>
      <x:c r="F4611" s="1" t="str">
        <x:v>https://api.octopus.energy/v1/products/AGILE-24-10-01/electricity-tariffs/E-1R-AGILE-24-10-01-G/standard-unit-rates/</x:v>
      </x:c>
    </x:row>
    <x:row r="4612" ht="21" customHeight="1">
      <x:c r="A4612" s="24" t="n">
        <x:v>46244.583333333336</x:v>
      </x:c>
      <x:c r="B4612" s="6" t="n">
        <x:v>0.18350000000000002</x:v>
      </x:c>
      <x:c r="C4612" s="6" t="n">
        <x:v>0.1101</x:v>
      </x:c>
      <x:c r="D4612" s="6" t="n">
        <x:f>B4612</x:f>
        <x:v>0.18350000000000002</x:v>
      </x:c>
      <x:c r="E4612" s="1" t="n">
        <x:v>1.05</x:v>
      </x:c>
      <x:c r="F4612" s="1" t="str">
        <x:v>https://api.octopus.energy/v1/products/AGILE-24-10-01/electricity-tariffs/E-1R-AGILE-24-10-01-G/standard-unit-rates/</x:v>
      </x:c>
    </x:row>
    <x:row r="4613" ht="21" customHeight="1">
      <x:c r="A4613" s="24" t="n">
        <x:v>46244.604166666664</x:v>
      </x:c>
      <x:c r="B4613" s="6" t="n">
        <x:v>0.18460000000000001</x:v>
      </x:c>
      <x:c r="C4613" s="6" t="n">
        <x:v>0.1107</x:v>
      </x:c>
      <x:c r="D4613" s="6" t="n">
        <x:f>B4613</x:f>
        <x:v>0.18460000000000001</x:v>
      </x:c>
      <x:c r="E4613" s="1" t="n">
        <x:v>1.05</x:v>
      </x:c>
      <x:c r="F4613" s="1" t="str">
        <x:v>https://api.octopus.energy/v1/products/AGILE-24-10-01/electricity-tariffs/E-1R-AGILE-24-10-01-G/standard-unit-rates/</x:v>
      </x:c>
    </x:row>
    <x:row r="4614" ht="21" customHeight="1">
      <x:c r="A4614" s="24" t="n">
        <x:v>46244.625</x:v>
      </x:c>
      <x:c r="B4614" s="6" t="n">
        <x:v>0.1892</x:v>
      </x:c>
      <x:c r="C4614" s="6" t="n">
        <x:v>0.1128</x:v>
      </x:c>
      <x:c r="D4614" s="6" t="n">
        <x:f>B4614</x:f>
        <x:v>0.1892</x:v>
      </x:c>
      <x:c r="E4614" s="1" t="n">
        <x:v>1.05</x:v>
      </x:c>
      <x:c r="F4614" s="1" t="str">
        <x:v>https://api.octopus.energy/v1/products/AGILE-24-10-01/electricity-tariffs/E-1R-AGILE-24-10-01-G/standard-unit-rates/</x:v>
      </x:c>
    </x:row>
    <x:row r="4615" ht="21" customHeight="1">
      <x:c r="A4615" s="24" t="n">
        <x:v>46244.645833333336</x:v>
      </x:c>
      <x:c r="B4615" s="6" t="n">
        <x:v>0.1881</x:v>
      </x:c>
      <x:c r="C4615" s="6" t="n">
        <x:v>0.11230000000000001</x:v>
      </x:c>
      <x:c r="D4615" s="6" t="n">
        <x:f>B4615</x:f>
        <x:v>0.1881</x:v>
      </x:c>
      <x:c r="E4615" s="1" t="n">
        <x:v>1.05</x:v>
      </x:c>
      <x:c r="F4615" s="1" t="str">
        <x:v>https://api.octopus.energy/v1/products/AGILE-24-10-01/electricity-tariffs/E-1R-AGILE-24-10-01-G/standard-unit-rates/</x:v>
      </x:c>
    </x:row>
    <x:row r="4616" ht="21" customHeight="1">
      <x:c r="A4616" s="24" t="n">
        <x:v>46244.666666666664</x:v>
      </x:c>
      <x:c r="B4616" s="6" t="n">
        <x:v>0.31129999999999997</x:v>
      </x:c>
      <x:c r="C4616" s="6" t="n">
        <x:v>0.1726</x:v>
      </x:c>
      <x:c r="D4616" s="6" t="n">
        <x:f>B4616</x:f>
        <x:v>0.31129999999999997</x:v>
      </x:c>
      <x:c r="E4616" s="1" t="n">
        <x:v>1.05</x:v>
      </x:c>
      <x:c r="F4616" s="1" t="str">
        <x:v>https://api.octopus.energy/v1/products/AGILE-24-10-01/electricity-tariffs/E-1R-AGILE-24-10-01-G/standard-unit-rates/</x:v>
      </x:c>
    </x:row>
    <x:row r="4617" ht="21" customHeight="1">
      <x:c r="A4617" s="24" t="n">
        <x:v>46244.6875</x:v>
      </x:c>
      <x:c r="B4617" s="6" t="n">
        <x:v>0.3211</x:v>
      </x:c>
      <x:c r="C4617" s="6" t="n">
        <x:v>0.1771</x:v>
      </x:c>
      <x:c r="D4617" s="6" t="n">
        <x:f>B4617</x:f>
        <x:v>0.3211</x:v>
      </x:c>
      <x:c r="E4617" s="1" t="n">
        <x:v>1.05</x:v>
      </x:c>
      <x:c r="F4617" s="1" t="str">
        <x:v>https://api.octopus.energy/v1/products/AGILE-24-10-01/electricity-tariffs/E-1R-AGILE-24-10-01-G/standard-unit-rates/</x:v>
      </x:c>
    </x:row>
    <x:row r="4618" ht="21" customHeight="1">
      <x:c r="A4618" s="24" t="n">
        <x:v>46244.708333333336</x:v>
      </x:c>
      <x:c r="B4618" s="6" t="n">
        <x:v>0.3361</x:v>
      </x:c>
      <x:c r="C4618" s="6" t="n">
        <x:v>0.184</x:v>
      </x:c>
      <x:c r="D4618" s="6" t="n">
        <x:f>B4618</x:f>
        <x:v>0.3361</x:v>
      </x:c>
      <x:c r="E4618" s="1" t="n">
        <x:v>1.05</x:v>
      </x:c>
      <x:c r="F4618" s="1" t="str">
        <x:v>https://api.octopus.energy/v1/products/AGILE-24-10-01/electricity-tariffs/E-1R-AGILE-24-10-01-G/standard-unit-rates/</x:v>
      </x:c>
    </x:row>
    <x:row r="4619" ht="21" customHeight="1">
      <x:c r="A4619" s="24" t="n">
        <x:v>46244.729166666664</x:v>
      </x:c>
      <x:c r="B4619" s="6" t="n">
        <x:v>0.3642</x:v>
      </x:c>
      <x:c r="C4619" s="6" t="n">
        <x:v>0.1968</x:v>
      </x:c>
      <x:c r="D4619" s="6" t="n">
        <x:f>B4619</x:f>
        <x:v>0.3642</x:v>
      </x:c>
      <x:c r="E4619" s="1" t="n">
        <x:v>1.05</x:v>
      </x:c>
      <x:c r="F4619" s="1" t="str">
        <x:v>https://api.octopus.energy/v1/products/AGILE-24-10-01/electricity-tariffs/E-1R-AGILE-24-10-01-G/standard-unit-rates/</x:v>
      </x:c>
    </x:row>
    <x:row r="4620" ht="21" customHeight="1">
      <x:c r="A4620" s="24" t="n">
        <x:v>46244.75</x:v>
      </x:c>
      <x:c r="B4620" s="6" t="n">
        <x:v>0.4</x:v>
      </x:c>
      <x:c r="C4620" s="6" t="n">
        <x:v>0.2132</x:v>
      </x:c>
      <x:c r="D4620" s="6" t="n">
        <x:f>B4620</x:f>
        <x:v>0.4</x:v>
      </x:c>
      <x:c r="E4620" s="1" t="n">
        <x:v>1.05</x:v>
      </x:c>
      <x:c r="F4620" s="1" t="str">
        <x:v>https://api.octopus.energy/v1/products/AGILE-24-10-01/electricity-tariffs/E-1R-AGILE-24-10-01-G/standard-unit-rates/</x:v>
      </x:c>
    </x:row>
    <x:row r="4621" ht="21" customHeight="1">
      <x:c r="A4621" s="24" t="n">
        <x:v>46244.770833333336</x:v>
      </x:c>
      <x:c r="B4621" s="6" t="n">
        <x:v>0.4252</x:v>
      </x:c>
      <x:c r="C4621" s="6" t="n">
        <x:v>0.22469999999999998</x:v>
      </x:c>
      <x:c r="D4621" s="6" t="n">
        <x:f>B4621</x:f>
        <x:v>0.4252</x:v>
      </x:c>
      <x:c r="E4621" s="1" t="n">
        <x:v>1.05</x:v>
      </x:c>
      <x:c r="F4621" s="1" t="str">
        <x:v>https://api.octopus.energy/v1/products/AGILE-24-10-01/electricity-tariffs/E-1R-AGILE-24-10-01-G/standard-unit-rates/</x:v>
      </x:c>
    </x:row>
    <x:row r="4622" ht="21" customHeight="1">
      <x:c r="A4622" s="24" t="n">
        <x:v>46244.791666666664</x:v>
      </x:c>
      <x:c r="B4622" s="6" t="n">
        <x:v>0.3243</x:v>
      </x:c>
      <x:c r="C4622" s="6" t="n">
        <x:v>0.1745</x:v>
      </x:c>
      <x:c r="D4622" s="6" t="n">
        <x:f>B4622</x:f>
        <x:v>0.3243</x:v>
      </x:c>
      <x:c r="E4622" s="1" t="n">
        <x:v>1.05</x:v>
      </x:c>
      <x:c r="F4622" s="1" t="str">
        <x:v>https://api.octopus.energy/v1/products/AGILE-24-10-01/electricity-tariffs/E-1R-AGILE-24-10-01-G/standard-unit-rates/</x:v>
      </x:c>
    </x:row>
    <x:row r="4623" ht="21" customHeight="1">
      <x:c r="A4623" s="24" t="n">
        <x:v>46244.8125</x:v>
      </x:c>
      <x:c r="B4623" s="6" t="n">
        <x:v>0.3204</x:v>
      </x:c>
      <x:c r="C4623" s="6" t="n">
        <x:v>0.1727</x:v>
      </x:c>
      <x:c r="D4623" s="6" t="n">
        <x:f>B4623</x:f>
        <x:v>0.3204</x:v>
      </x:c>
      <x:c r="E4623" s="1" t="n">
        <x:v>1.05</x:v>
      </x:c>
      <x:c r="F4623" s="1" t="str">
        <x:v>https://api.octopus.energy/v1/products/AGILE-24-10-01/electricity-tariffs/E-1R-AGILE-24-10-01-G/standard-unit-rates/</x:v>
      </x:c>
    </x:row>
    <x:row r="4624" ht="21" customHeight="1">
      <x:c r="A4624" s="24" t="n">
        <x:v>46244.833333333336</x:v>
      </x:c>
      <x:c r="B4624" s="6" t="n">
        <x:v>0.32030000000000003</x:v>
      </x:c>
      <x:c r="C4624" s="6" t="n">
        <x:v>0.1727</x:v>
      </x:c>
      <x:c r="D4624" s="6" t="n">
        <x:f>B4624</x:f>
        <x:v>0.32030000000000003</x:v>
      </x:c>
      <x:c r="E4624" s="1" t="n">
        <x:v>1.05</x:v>
      </x:c>
      <x:c r="F4624" s="1" t="str">
        <x:v>https://api.octopus.energy/v1/products/AGILE-24-10-01/electricity-tariffs/E-1R-AGILE-24-10-01-G/standard-unit-rates/</x:v>
      </x:c>
    </x:row>
    <x:row r="4625" ht="21" customHeight="1">
      <x:c r="A4625" s="24" t="n">
        <x:v>46244.854166666664</x:v>
      </x:c>
      <x:c r="B4625" s="6" t="n">
        <x:v>0.3188</x:v>
      </x:c>
      <x:c r="C4625" s="6" t="n">
        <x:v>0.172</x:v>
      </x:c>
      <x:c r="D4625" s="6" t="n">
        <x:f>B4625</x:f>
        <x:v>0.3188</x:v>
      </x:c>
      <x:c r="E4625" s="1" t="n">
        <x:v>1.05</x:v>
      </x:c>
      <x:c r="F4625" s="1" t="str">
        <x:v>https://api.octopus.energy/v1/products/AGILE-24-10-01/electricity-tariffs/E-1R-AGILE-24-10-01-G/standard-unit-rates/</x:v>
      </x:c>
    </x:row>
    <x:row r="4626" ht="21" customHeight="1">
      <x:c r="A4626" s="24" t="n">
        <x:v>46244.875</x:v>
      </x:c>
      <x:c r="B4626" s="6" t="n">
        <x:v>0.32659999999999995</x:v>
      </x:c>
      <x:c r="C4626" s="6" t="n">
        <x:v>0.17559999999999998</x:v>
      </x:c>
      <x:c r="D4626" s="6" t="n">
        <x:f>B4626</x:f>
        <x:v>0.32659999999999995</x:v>
      </x:c>
      <x:c r="E4626" s="1" t="n">
        <x:v>1.05</x:v>
      </x:c>
      <x:c r="F4626" s="1" t="str">
        <x:v>https://api.octopus.energy/v1/products/AGILE-24-10-01/electricity-tariffs/E-1R-AGILE-24-10-01-G/standard-unit-rates/</x:v>
      </x:c>
    </x:row>
    <x:row r="4627" ht="21" customHeight="1">
      <x:c r="A4627" s="24" t="n">
        <x:v>46244.895833333336</x:v>
      </x:c>
      <x:c r="B4627" s="6" t="n">
        <x:v>0.29960000000000003</x:v>
      </x:c>
      <x:c r="C4627" s="6" t="n">
        <x:v>0.1632</x:v>
      </x:c>
      <x:c r="D4627" s="6" t="n">
        <x:f>B4627</x:f>
        <x:v>0.29960000000000003</x:v>
      </x:c>
      <x:c r="E4627" s="1" t="n">
        <x:v>1.05</x:v>
      </x:c>
      <x:c r="F4627" s="1" t="str">
        <x:v>https://api.octopus.energy/v1/products/AGILE-24-10-01/electricity-tariffs/E-1R-AGILE-24-10-01-G/standard-unit-rates/</x:v>
      </x:c>
    </x:row>
    <x:row r="4628" ht="21" customHeight="1">
      <x:c r="A4628" s="24" t="n">
        <x:v>46244.916666666664</x:v>
      </x:c>
      <x:c r="B4628" s="6" t="n">
        <x:v>0.2813</x:v>
      </x:c>
      <x:c r="C4628" s="6" t="n">
        <x:v>0.1549</x:v>
      </x:c>
      <x:c r="D4628" s="6" t="n">
        <x:f>B4628</x:f>
        <x:v>0.2813</x:v>
      </x:c>
      <x:c r="E4628" s="1" t="n">
        <x:v>1.05</x:v>
      </x:c>
      <x:c r="F4628" s="1" t="str">
        <x:v>https://api.octopus.energy/v1/products/AGILE-24-10-01/electricity-tariffs/E-1R-AGILE-24-10-01-G/standard-unit-rates/</x:v>
      </x:c>
    </x:row>
    <x:row r="4629" ht="21" customHeight="1">
      <x:c r="A4629" s="24" t="n">
        <x:v>46244.9375</x:v>
      </x:c>
      <x:c r="B4629" s="6" t="n">
        <x:v>0.26289999999999997</x:v>
      </x:c>
      <x:c r="C4629" s="6" t="n">
        <x:v>0.1465</x:v>
      </x:c>
      <x:c r="D4629" s="6" t="n">
        <x:f>B4629</x:f>
        <x:v>0.26289999999999997</x:v>
      </x:c>
      <x:c r="E4629" s="1" t="n">
        <x:v>1.05</x:v>
      </x:c>
      <x:c r="F4629" s="1" t="str">
        <x:v>https://api.octopus.energy/v1/products/AGILE-24-10-01/electricity-tariffs/E-1R-AGILE-24-10-01-G/standard-unit-rates/</x:v>
      </x:c>
    </x:row>
    <x:row r="4630" ht="21" customHeight="1">
      <x:c r="A4630" s="24" t="n">
        <x:v>46245</x:v>
      </x:c>
      <x:c r="B4630" s="6" t="n">
        <x:v>0.2375</x:v>
      </x:c>
      <x:c r="C4630" s="6" t="n">
        <x:v>0.1348</x:v>
      </x:c>
      <x:c r="D4630" s="6" t="n">
        <x:f>B4630</x:f>
        <x:v>0.2375</x:v>
      </x:c>
      <x:c r="E4630" s="1" t="n">
        <x:v>1.05</x:v>
      </x:c>
      <x:c r="F4630" s="1" t="str">
        <x:v>https://api.octopus.energy/v1/products/AGILE-24-10-01/electricity-tariffs/E-1R-AGILE-24-10-01-G/standard-unit-rates/</x:v>
      </x:c>
    </x:row>
    <x:row r="4631" ht="21" customHeight="1">
      <x:c r="A4631" s="24" t="n">
        <x:v>46244.979166666664</x:v>
      </x:c>
      <x:c r="B4631" s="6" t="n">
        <x:v>0.2354</x:v>
      </x:c>
      <x:c r="C4631" s="6" t="n">
        <x:v>0.13390000000000002</x:v>
      </x:c>
      <x:c r="D4631" s="6" t="n">
        <x:f>B4631</x:f>
        <x:v>0.2354</x:v>
      </x:c>
      <x:c r="E4631" s="1" t="n">
        <x:v>1.05</x:v>
      </x:c>
      <x:c r="F4631" s="1" t="str">
        <x:v>https://api.octopus.energy/v1/products/AGILE-24-10-01/electricity-tariffs/E-1R-AGILE-24-10-01-G/standard-unit-rates/</x:v>
      </x:c>
    </x:row>
    <x:row r="4632" ht="21" customHeight="1">
      <x:c r="A4632" s="24" t="n">
        <x:v>46245</x:v>
      </x:c>
      <x:c r="B4632" s="6" t="n">
        <x:v>0.23129999999999998</x:v>
      </x:c>
      <x:c r="C4632" s="6" t="n">
        <x:v>0.132</x:v>
      </x:c>
      <x:c r="D4632" s="6" t="n">
        <x:f>B4632</x:f>
        <x:v>0.23129999999999998</x:v>
      </x:c>
      <x:c r="E4632" s="1" t="n">
        <x:v>1.05</x:v>
      </x:c>
      <x:c r="F4632" s="1" t="str">
        <x:v>https://api.octopus.energy/v1/products/AGILE-24-10-01/electricity-tariffs/E-1R-AGILE-24-10-01-G/standard-unit-rates/</x:v>
      </x:c>
    </x:row>
    <x:row r="4633" ht="21" customHeight="1">
      <x:c r="A4633" s="24" t="n">
        <x:v>46245.020833333336</x:v>
      </x:c>
      <x:c r="B4633" s="6" t="n">
        <x:v>0.2365</x:v>
      </x:c>
      <x:c r="C4633" s="6" t="n">
        <x:v>0.1344</x:v>
      </x:c>
      <x:c r="D4633" s="6" t="n">
        <x:f>B4633</x:f>
        <x:v>0.2365</x:v>
      </x:c>
      <x:c r="E4633" s="1" t="n">
        <x:v>1.05</x:v>
      </x:c>
      <x:c r="F4633" s="1" t="str">
        <x:v>https://api.octopus.energy/v1/products/AGILE-24-10-01/electricity-tariffs/E-1R-AGILE-24-10-01-G/standard-unit-rates/</x:v>
      </x:c>
    </x:row>
    <x:row r="4634" ht="21" customHeight="1">
      <x:c r="A4634" s="24" t="n">
        <x:v>46245.041666666664</x:v>
      </x:c>
      <x:c r="B4634" s="6" t="n">
        <x:v>0.218</x:v>
      </x:c>
      <x:c r="C4634" s="6" t="n">
        <x:v>0.1259</x:v>
      </x:c>
      <x:c r="D4634" s="6" t="n">
        <x:f>B4634</x:f>
        <x:v>0.218</x:v>
      </x:c>
      <x:c r="E4634" s="1" t="n">
        <x:v>1.05</x:v>
      </x:c>
      <x:c r="F4634" s="1" t="str">
        <x:v>https://api.octopus.energy/v1/products/AGILE-24-10-01/electricity-tariffs/E-1R-AGILE-24-10-01-G/standard-unit-rates/</x:v>
      </x:c>
    </x:row>
    <x:row r="4635" ht="21" customHeight="1">
      <x:c r="A4635" s="24" t="n">
        <x:v>46245.0625</x:v>
      </x:c>
      <x:c r="B4635" s="6" t="n">
        <x:v>0.2157</x:v>
      </x:c>
      <x:c r="C4635" s="6" t="n">
        <x:v>0.1249</x:v>
      </x:c>
      <x:c r="D4635" s="6" t="n">
        <x:f>B4635</x:f>
        <x:v>0.2157</x:v>
      </x:c>
      <x:c r="E4635" s="1" t="n">
        <x:v>1.05</x:v>
      </x:c>
      <x:c r="F4635" s="1" t="str">
        <x:v>https://api.octopus.energy/v1/products/AGILE-24-10-01/electricity-tariffs/E-1R-AGILE-24-10-01-G/standard-unit-rates/</x:v>
      </x:c>
    </x:row>
    <x:row r="4636" ht="21" customHeight="1">
      <x:c r="A4636" s="24" t="n">
        <x:v>46245.083333333336</x:v>
      </x:c>
      <x:c r="B4636" s="6" t="n">
        <x:v>0.21969999999999998</x:v>
      </x:c>
      <x:c r="C4636" s="6" t="n">
        <x:v>0.1267</x:v>
      </x:c>
      <x:c r="D4636" s="6" t="n">
        <x:f>B4636</x:f>
        <x:v>0.21969999999999998</x:v>
      </x:c>
      <x:c r="E4636" s="1" t="n">
        <x:v>1.05</x:v>
      </x:c>
      <x:c r="F4636" s="1" t="str">
        <x:v>https://api.octopus.energy/v1/products/AGILE-24-10-01/electricity-tariffs/E-1R-AGILE-24-10-01-G/standard-unit-rates/</x:v>
      </x:c>
    </x:row>
    <x:row r="4637" ht="21" customHeight="1">
      <x:c r="A4637" s="24" t="n">
        <x:v>46245.104166666664</x:v>
      </x:c>
      <x:c r="B4637" s="6" t="n">
        <x:v>0.21710000000000002</x:v>
      </x:c>
      <x:c r="C4637" s="6" t="n">
        <x:v>0.1255</x:v>
      </x:c>
      <x:c r="D4637" s="6" t="n">
        <x:f>B4637</x:f>
        <x:v>0.21710000000000002</x:v>
      </x:c>
      <x:c r="E4637" s="1" t="n">
        <x:v>1.05</x:v>
      </x:c>
      <x:c r="F4637" s="1" t="str">
        <x:v>https://api.octopus.energy/v1/products/AGILE-24-10-01/electricity-tariffs/E-1R-AGILE-24-10-01-G/standard-unit-rates/</x:v>
      </x:c>
    </x:row>
    <x:row r="4638" ht="21" customHeight="1">
      <x:c r="A4638" s="24" t="n">
        <x:v>46245.125</x:v>
      </x:c>
      <x:c r="B4638" s="6" t="n">
        <x:v>0.214</x:v>
      </x:c>
      <x:c r="C4638" s="6" t="n">
        <x:v>0.1241</x:v>
      </x:c>
      <x:c r="D4638" s="6" t="n">
        <x:f>B4638</x:f>
        <x:v>0.214</x:v>
      </x:c>
      <x:c r="E4638" s="1" t="n">
        <x:v>1.05</x:v>
      </x:c>
      <x:c r="F4638" s="1" t="str">
        <x:v>https://api.octopus.energy/v1/products/AGILE-24-10-01/electricity-tariffs/E-1R-AGILE-24-10-01-G/standard-unit-rates/</x:v>
      </x:c>
    </x:row>
    <x:row r="4639" ht="21" customHeight="1">
      <x:c r="A4639" s="24" t="n">
        <x:v>46245.145833333336</x:v>
      </x:c>
      <x:c r="B4639" s="6" t="n">
        <x:v>0.2094</x:v>
      </x:c>
      <x:c r="C4639" s="6" t="n">
        <x:v>0.122</x:v>
      </x:c>
      <x:c r="D4639" s="6" t="n">
        <x:f>B4639</x:f>
        <x:v>0.2094</x:v>
      </x:c>
      <x:c r="E4639" s="1" t="n">
        <x:v>1.05</x:v>
      </x:c>
      <x:c r="F4639" s="1" t="str">
        <x:v>https://api.octopus.energy/v1/products/AGILE-24-10-01/electricity-tariffs/E-1R-AGILE-24-10-01-G/standard-unit-rates/</x:v>
      </x:c>
    </x:row>
    <x:row r="4640" ht="21" customHeight="1">
      <x:c r="A4640" s="24" t="n">
        <x:v>46245.166666666664</x:v>
      </x:c>
      <x:c r="B4640" s="6" t="n">
        <x:v>0.2296</x:v>
      </x:c>
      <x:c r="C4640" s="6" t="n">
        <x:v>0.13119999999999998</x:v>
      </x:c>
      <x:c r="D4640" s="6" t="n">
        <x:f>B4640</x:f>
        <x:v>0.2296</x:v>
      </x:c>
      <x:c r="E4640" s="1" t="n">
        <x:v>1.05</x:v>
      </x:c>
      <x:c r="F4640" s="1" t="str">
        <x:v>https://api.octopus.energy/v1/products/AGILE-24-10-01/electricity-tariffs/E-1R-AGILE-24-10-01-G/standard-unit-rates/</x:v>
      </x:c>
    </x:row>
    <x:row r="4641" ht="21" customHeight="1">
      <x:c r="A4641" s="24" t="n">
        <x:v>46245.1875</x:v>
      </x:c>
      <x:c r="B4641" s="6" t="n">
        <x:v>0.22829999999999998</x:v>
      </x:c>
      <x:c r="C4641" s="6" t="n">
        <x:v>0.1306</x:v>
      </x:c>
      <x:c r="D4641" s="6" t="n">
        <x:f>B4641</x:f>
        <x:v>0.22829999999999998</x:v>
      </x:c>
      <x:c r="E4641" s="1" t="n">
        <x:v>1.05</x:v>
      </x:c>
      <x:c r="F4641" s="1" t="str">
        <x:v>https://api.octopus.energy/v1/products/AGILE-24-10-01/electricity-tariffs/E-1R-AGILE-24-10-01-G/standard-unit-rates/</x:v>
      </x:c>
    </x:row>
    <x:row r="4642" ht="21" customHeight="1">
      <x:c r="A4642" s="24" t="n">
        <x:v>46245.208333333336</x:v>
      </x:c>
      <x:c r="B4642" s="6" t="n">
        <x:v>0.2564</x:v>
      </x:c>
      <x:c r="C4642" s="6" t="n">
        <x:v>0.1435</x:v>
      </x:c>
      <x:c r="D4642" s="6" t="n">
        <x:f>B4642</x:f>
        <x:v>0.2564</x:v>
      </x:c>
      <x:c r="E4642" s="1" t="n">
        <x:v>1.05</x:v>
      </x:c>
      <x:c r="F4642" s="1" t="str">
        <x:v>https://api.octopus.energy/v1/products/AGILE-24-10-01/electricity-tariffs/E-1R-AGILE-24-10-01-G/standard-unit-rates/</x:v>
      </x:c>
    </x:row>
    <x:row r="4643" ht="21" customHeight="1">
      <x:c r="A4643" s="24" t="n">
        <x:v>46245.229166666664</x:v>
      </x:c>
      <x:c r="B4643" s="6" t="n">
        <x:v>0.2581</x:v>
      </x:c>
      <x:c r="C4643" s="6" t="n">
        <x:v>0.14429999999999998</x:v>
      </x:c>
      <x:c r="D4643" s="6" t="n">
        <x:f>B4643</x:f>
        <x:v>0.2581</x:v>
      </x:c>
      <x:c r="E4643" s="1" t="n">
        <x:v>1.05</x:v>
      </x:c>
      <x:c r="F4643" s="1" t="str">
        <x:v>https://api.octopus.energy/v1/products/AGILE-24-10-01/electricity-tariffs/E-1R-AGILE-24-10-01-G/standard-unit-rates/</x:v>
      </x:c>
    </x:row>
    <x:row r="4644" ht="21" customHeight="1">
      <x:c r="A4644" s="24" t="n">
        <x:v>46245.25</x:v>
      </x:c>
      <x:c r="B4644" s="6" t="n">
        <x:v>0.2505</x:v>
      </x:c>
      <x:c r="C4644" s="6" t="n">
        <x:v>0.1408</x:v>
      </x:c>
      <x:c r="D4644" s="6" t="n">
        <x:f>B4644</x:f>
        <x:v>0.2505</x:v>
      </x:c>
      <x:c r="E4644" s="1" t="n">
        <x:v>1.05</x:v>
      </x:c>
      <x:c r="F4644" s="1" t="str">
        <x:v>https://api.octopus.energy/v1/products/AGILE-24-10-01/electricity-tariffs/E-1R-AGILE-24-10-01-G/standard-unit-rates/</x:v>
      </x:c>
    </x:row>
    <x:row r="4645" ht="21" customHeight="1">
      <x:c r="A4645" s="24" t="n">
        <x:v>46245.270833333336</x:v>
      </x:c>
      <x:c r="B4645" s="6" t="n">
        <x:v>0.2753</x:v>
      </x:c>
      <x:c r="C4645" s="6" t="n">
        <x:v>0.1521</x:v>
      </x:c>
      <x:c r="D4645" s="6" t="n">
        <x:f>B4645</x:f>
        <x:v>0.2753</x:v>
      </x:c>
      <x:c r="E4645" s="1" t="n">
        <x:v>1.05</x:v>
      </x:c>
      <x:c r="F4645" s="1" t="str">
        <x:v>https://api.octopus.energy/v1/products/AGILE-24-10-01/electricity-tariffs/E-1R-AGILE-24-10-01-G/standard-unit-rates/</x:v>
      </x:c>
    </x:row>
    <x:row r="4646" ht="21" customHeight="1">
      <x:c r="A4646" s="24" t="n">
        <x:v>46245.291666666664</x:v>
      </x:c>
      <x:c r="B4646" s="6" t="n">
        <x:v>0.2522</x:v>
      </x:c>
      <x:c r="C4646" s="6" t="n">
        <x:v>0.1416</x:v>
      </x:c>
      <x:c r="D4646" s="6" t="n">
        <x:f>B4646</x:f>
        <x:v>0.2522</x:v>
      </x:c>
      <x:c r="E4646" s="1" t="n">
        <x:v>1.05</x:v>
      </x:c>
      <x:c r="F4646" s="1" t="str">
        <x:v>https://api.octopus.energy/v1/products/AGILE-24-10-01/electricity-tariffs/E-1R-AGILE-24-10-01-G/standard-unit-rates/</x:v>
      </x:c>
    </x:row>
    <x:row r="4647" ht="21" customHeight="1">
      <x:c r="A4647" s="24" t="n">
        <x:v>46245.3125</x:v>
      </x:c>
      <x:c r="B4647" s="6" t="n">
        <x:v>0.2588</x:v>
      </x:c>
      <x:c r="C4647" s="6" t="n">
        <x:v>0.1446</x:v>
      </x:c>
      <x:c r="D4647" s="6" t="n">
        <x:f>B4647</x:f>
        <x:v>0.2588</x:v>
      </x:c>
      <x:c r="E4647" s="1" t="n">
        <x:v>1.05</x:v>
      </x:c>
      <x:c r="F4647" s="1" t="str">
        <x:v>https://api.octopus.energy/v1/products/AGILE-24-10-01/electricity-tariffs/E-1R-AGILE-24-10-01-G/standard-unit-rates/</x:v>
      </x:c>
    </x:row>
    <x:row r="4648" ht="21" customHeight="1">
      <x:c r="A4648" s="24" t="n">
        <x:v>46245.333333333336</x:v>
      </x:c>
      <x:c r="B4648" s="6" t="n">
        <x:v>0.2501</x:v>
      </x:c>
      <x:c r="C4648" s="6" t="n">
        <x:v>0.1406</x:v>
      </x:c>
      <x:c r="D4648" s="6" t="n">
        <x:f>B4648</x:f>
        <x:v>0.2501</x:v>
      </x:c>
      <x:c r="E4648" s="1" t="n">
        <x:v>1.05</x:v>
      </x:c>
      <x:c r="F4648" s="1" t="str">
        <x:v>https://api.octopus.energy/v1/products/AGILE-24-10-01/electricity-tariffs/E-1R-AGILE-24-10-01-G/standard-unit-rates/</x:v>
      </x:c>
    </x:row>
    <x:row r="4649" ht="21" customHeight="1">
      <x:c r="A4649" s="24" t="n">
        <x:v>46245.354166666664</x:v>
      </x:c>
      <x:c r="B4649" s="6" t="n">
        <x:v>0.2455</x:v>
      </x:c>
      <x:c r="C4649" s="6" t="n">
        <x:v>0.13849999999999998</x:v>
      </x:c>
      <x:c r="D4649" s="6" t="n">
        <x:f>B4649</x:f>
        <x:v>0.2455</x:v>
      </x:c>
      <x:c r="E4649" s="1" t="n">
        <x:v>1.05</x:v>
      </x:c>
      <x:c r="F4649" s="1" t="str">
        <x:v>https://api.octopus.energy/v1/products/AGILE-24-10-01/electricity-tariffs/E-1R-AGILE-24-10-01-G/standard-unit-rates/</x:v>
      </x:c>
    </x:row>
    <x:row r="4650" ht="21" customHeight="1">
      <x:c r="A4650" s="24" t="n">
        <x:v>46245.375</x:v>
      </x:c>
      <x:c r="B4650" s="6" t="n">
        <x:v>0.2375</x:v>
      </x:c>
      <x:c r="C4650" s="6" t="n">
        <x:v>0.1348</x:v>
      </x:c>
      <x:c r="D4650" s="6" t="n">
        <x:f>B4650</x:f>
        <x:v>0.2375</x:v>
      </x:c>
      <x:c r="E4650" s="1" t="n">
        <x:v>1.05</x:v>
      </x:c>
      <x:c r="F4650" s="1" t="str">
        <x:v>https://api.octopus.energy/v1/products/AGILE-24-10-01/electricity-tariffs/E-1R-AGILE-24-10-01-G/standard-unit-rates/</x:v>
      </x:c>
    </x:row>
    <x:row r="4651" ht="21" customHeight="1">
      <x:c r="A4651" s="24" t="n">
        <x:v>46245.395833333336</x:v>
      </x:c>
      <x:c r="B4651" s="6" t="n">
        <x:v>0.24420000000000003</x:v>
      </x:c>
      <x:c r="C4651" s="6" t="n">
        <x:v>0.1379</x:v>
      </x:c>
      <x:c r="D4651" s="6" t="n">
        <x:f>B4651</x:f>
        <x:v>0.24420000000000003</x:v>
      </x:c>
      <x:c r="E4651" s="1" t="n">
        <x:v>1.05</x:v>
      </x:c>
      <x:c r="F4651" s="1" t="str">
        <x:v>https://api.octopus.energy/v1/products/AGILE-24-10-01/electricity-tariffs/E-1R-AGILE-24-10-01-G/standard-unit-rates/</x:v>
      </x:c>
    </x:row>
    <x:row r="4652" ht="21" customHeight="1">
      <x:c r="A4652" s="24" t="n">
        <x:v>46245.416666666664</x:v>
      </x:c>
      <x:c r="B4652" s="6" t="n">
        <x:v>0.22640000000000002</x:v>
      </x:c>
      <x:c r="C4652" s="6" t="n">
        <x:v>0.1298</x:v>
      </x:c>
      <x:c r="D4652" s="6" t="n">
        <x:f>B4652</x:f>
        <x:v>0.22640000000000002</x:v>
      </x:c>
      <x:c r="E4652" s="1" t="n">
        <x:v>1.05</x:v>
      </x:c>
      <x:c r="F4652" s="1" t="str">
        <x:v>https://api.octopus.energy/v1/products/AGILE-24-10-01/electricity-tariffs/E-1R-AGILE-24-10-01-G/standard-unit-rates/</x:v>
      </x:c>
    </x:row>
    <x:row r="4653" ht="21" customHeight="1">
      <x:c r="A4653" s="24" t="n">
        <x:v>46245.4375</x:v>
      </x:c>
      <x:c r="B4653" s="6" t="n">
        <x:v>0.2186</x:v>
      </x:c>
      <x:c r="C4653" s="6" t="n">
        <x:v>0.12619999999999998</x:v>
      </x:c>
      <x:c r="D4653" s="6" t="n">
        <x:f>B4653</x:f>
        <x:v>0.2186</x:v>
      </x:c>
      <x:c r="E4653" s="1" t="n">
        <x:v>1.05</x:v>
      </x:c>
      <x:c r="F4653" s="1" t="str">
        <x:v>https://api.octopus.energy/v1/products/AGILE-24-10-01/electricity-tariffs/E-1R-AGILE-24-10-01-G/standard-unit-rates/</x:v>
      </x:c>
    </x:row>
    <x:row r="4654" ht="21" customHeight="1">
      <x:c r="A4654" s="24" t="n">
        <x:v>46245.458333333336</x:v>
      </x:c>
      <x:c r="B4654" s="6" t="n">
        <x:v>0.1934</x:v>
      </x:c>
      <x:c r="C4654" s="6" t="n">
        <x:v>0.11470000000000001</x:v>
      </x:c>
      <x:c r="D4654" s="6" t="n">
        <x:f>B4654</x:f>
        <x:v>0.1934</x:v>
      </x:c>
      <x:c r="E4654" s="1" t="n">
        <x:v>1.05</x:v>
      </x:c>
      <x:c r="F4654" s="1" t="str">
        <x:v>https://api.octopus.energy/v1/products/AGILE-24-10-01/electricity-tariffs/E-1R-AGILE-24-10-01-G/standard-unit-rates/</x:v>
      </x:c>
    </x:row>
    <x:row r="4655" ht="21" customHeight="1">
      <x:c r="A4655" s="24" t="n">
        <x:v>46245.479166666664</x:v>
      </x:c>
      <x:c r="B4655" s="6" t="n">
        <x:v>0.184</x:v>
      </x:c>
      <x:c r="C4655" s="6" t="n">
        <x:v>0.1104</x:v>
      </x:c>
      <x:c r="D4655" s="6" t="n">
        <x:f>B4655</x:f>
        <x:v>0.184</x:v>
      </x:c>
      <x:c r="E4655" s="1" t="n">
        <x:v>1.05</x:v>
      </x:c>
      <x:c r="F4655" s="1" t="str">
        <x:v>https://api.octopus.energy/v1/products/AGILE-24-10-01/electricity-tariffs/E-1R-AGILE-24-10-01-G/standard-unit-rates/</x:v>
      </x:c>
    </x:row>
    <x:row r="4656" ht="21" customHeight="1">
      <x:c r="A4656" s="24" t="n">
        <x:v>46245.5</x:v>
      </x:c>
      <x:c r="B4656" s="6" t="n">
        <x:v>0.18530000000000002</x:v>
      </x:c>
      <x:c r="C4656" s="6" t="n">
        <x:v>0.111</x:v>
      </x:c>
      <x:c r="D4656" s="6" t="n">
        <x:f>B4656</x:f>
        <x:v>0.18530000000000002</x:v>
      </x:c>
      <x:c r="E4656" s="1" t="n">
        <x:v>1.05</x:v>
      </x:c>
      <x:c r="F4656" s="1" t="str">
        <x:v>https://api.octopus.energy/v1/products/AGILE-24-10-01/electricity-tariffs/E-1R-AGILE-24-10-01-G/standard-unit-rates/</x:v>
      </x:c>
    </x:row>
    <x:row r="4657" ht="21" customHeight="1">
      <x:c r="A4657" s="24" t="n">
        <x:v>46245.520833333336</x:v>
      </x:c>
      <x:c r="B4657" s="6" t="n">
        <x:v>0.1787</x:v>
      </x:c>
      <x:c r="C4657" s="6" t="n">
        <x:v>0.10800000000000001</x:v>
      </x:c>
      <x:c r="D4657" s="6" t="n">
        <x:f>B4657</x:f>
        <x:v>0.1787</x:v>
      </x:c>
      <x:c r="E4657" s="1" t="n">
        <x:v>1.05</x:v>
      </x:c>
      <x:c r="F4657" s="1" t="str">
        <x:v>https://api.octopus.energy/v1/products/AGILE-24-10-01/electricity-tariffs/E-1R-AGILE-24-10-01-G/standard-unit-rates/</x:v>
      </x:c>
    </x:row>
    <x:row r="4658" ht="21" customHeight="1">
      <x:c r="A4658" s="24" t="n">
        <x:v>46245.541666666664</x:v>
      </x:c>
      <x:c r="B4658" s="6" t="n">
        <x:v>0.1711</x:v>
      </x:c>
      <x:c r="C4658" s="6" t="n">
        <x:v>0.1045</x:v>
      </x:c>
      <x:c r="D4658" s="6" t="n">
        <x:f>B4658</x:f>
        <x:v>0.1711</x:v>
      </x:c>
      <x:c r="E4658" s="1" t="n">
        <x:v>1.05</x:v>
      </x:c>
      <x:c r="F4658" s="1" t="str">
        <x:v>https://api.octopus.energy/v1/products/AGILE-24-10-01/electricity-tariffs/E-1R-AGILE-24-10-01-G/standard-unit-rates/</x:v>
      </x:c>
    </x:row>
    <x:row r="4659" ht="21" customHeight="1">
      <x:c r="A4659" s="24" t="n">
        <x:v>46245.5625</x:v>
      </x:c>
      <x:c r="B4659" s="6" t="n">
        <x:v>0.15960000000000002</x:v>
      </x:c>
      <x:c r="C4659" s="6" t="n">
        <x:v>0.0992</x:v>
      </x:c>
      <x:c r="D4659" s="6" t="n">
        <x:f>B4659</x:f>
        <x:v>0.15960000000000002</x:v>
      </x:c>
      <x:c r="E4659" s="1" t="n">
        <x:v>1.05</x:v>
      </x:c>
      <x:c r="F4659" s="1" t="str">
        <x:v>https://api.octopus.energy/v1/products/AGILE-24-10-01/electricity-tariffs/E-1R-AGILE-24-10-01-G/standard-unit-rates/</x:v>
      </x:c>
    </x:row>
    <x:row r="4660" ht="21" customHeight="1">
      <x:c r="A4660" s="24" t="n">
        <x:v>46245.583333333336</x:v>
      </x:c>
      <x:c r="B4660" s="6" t="n">
        <x:v>0.1632</x:v>
      </x:c>
      <x:c r="C4660" s="6" t="n">
        <x:v>0.1009</x:v>
      </x:c>
      <x:c r="D4660" s="6" t="n">
        <x:f>B4660</x:f>
        <x:v>0.1632</x:v>
      </x:c>
      <x:c r="E4660" s="1" t="n">
        <x:v>1.05</x:v>
      </x:c>
      <x:c r="F4660" s="1" t="str">
        <x:v>https://api.octopus.energy/v1/products/AGILE-24-10-01/electricity-tariffs/E-1R-AGILE-24-10-01-G/standard-unit-rates/</x:v>
      </x:c>
    </x:row>
    <x:row r="4661" ht="21" customHeight="1">
      <x:c r="A4661" s="24" t="n">
        <x:v>46245.604166666664</x:v>
      </x:c>
      <x:c r="B4661" s="6" t="n">
        <x:v>0.1691</x:v>
      </x:c>
      <x:c r="C4661" s="6" t="n">
        <x:v>0.1036</x:v>
      </x:c>
      <x:c r="D4661" s="6" t="n">
        <x:f>B4661</x:f>
        <x:v>0.1691</x:v>
      </x:c>
      <x:c r="E4661" s="1" t="n">
        <x:v>1.05</x:v>
      </x:c>
      <x:c r="F4661" s="1" t="str">
        <x:v>https://api.octopus.energy/v1/products/AGILE-24-10-01/electricity-tariffs/E-1R-AGILE-24-10-01-G/standard-unit-rates/</x:v>
      </x:c>
    </x:row>
    <x:row r="4662" ht="21" customHeight="1">
      <x:c r="A4662" s="24" t="n">
        <x:v>46245.625</x:v>
      </x:c>
      <x:c r="B4662" s="6" t="n">
        <x:v>0.171</x:v>
      </x:c>
      <x:c r="C4662" s="6" t="n">
        <x:v>0.1045</x:v>
      </x:c>
      <x:c r="D4662" s="6" t="n">
        <x:f>B4662</x:f>
        <x:v>0.171</x:v>
      </x:c>
      <x:c r="E4662" s="1" t="n">
        <x:v>1.05</x:v>
      </x:c>
      <x:c r="F4662" s="1" t="str">
        <x:v>https://api.octopus.energy/v1/products/AGILE-24-10-01/electricity-tariffs/E-1R-AGILE-24-10-01-G/standard-unit-rates/</x:v>
      </x:c>
    </x:row>
    <x:row r="4663" ht="21" customHeight="1">
      <x:c r="A4663" s="24" t="n">
        <x:v>46245.645833333336</x:v>
      </x:c>
      <x:c r="B4663" s="6" t="n">
        <x:v>0.1736</x:v>
      </x:c>
      <x:c r="C4663" s="6" t="n">
        <x:v>0.1056</x:v>
      </x:c>
      <x:c r="D4663" s="6" t="n">
        <x:f>B4663</x:f>
        <x:v>0.1736</x:v>
      </x:c>
      <x:c r="E4663" s="1" t="n">
        <x:v>1.05</x:v>
      </x:c>
      <x:c r="F4663" s="1" t="str">
        <x:v>https://api.octopus.energy/v1/products/AGILE-24-10-01/electricity-tariffs/E-1R-AGILE-24-10-01-G/standard-unit-rates/</x:v>
      </x:c>
    </x:row>
    <x:row r="4664" ht="21" customHeight="1">
      <x:c r="A4664" s="24" t="n">
        <x:v>46245.666666666664</x:v>
      </x:c>
      <x:c r="B4664" s="6" t="n">
        <x:v>0.2932</x:v>
      </x:c>
      <x:c r="C4664" s="6" t="n">
        <x:v>0.16440000000000002</x:v>
      </x:c>
      <x:c r="D4664" s="6" t="n">
        <x:f>B4664</x:f>
        <x:v>0.2932</x:v>
      </x:c>
      <x:c r="E4664" s="1" t="n">
        <x:v>1.05</x:v>
      </x:c>
      <x:c r="F4664" s="1" t="str">
        <x:v>https://api.octopus.energy/v1/products/AGILE-24-10-01/electricity-tariffs/E-1R-AGILE-24-10-01-G/standard-unit-rates/</x:v>
      </x:c>
    </x:row>
    <x:row r="4665" ht="21" customHeight="1">
      <x:c r="A4665" s="24" t="n">
        <x:v>46245.6875</x:v>
      </x:c>
      <x:c r="B4665" s="6" t="n">
        <x:v>0.2966</x:v>
      </x:c>
      <x:c r="C4665" s="6" t="n">
        <x:v>0.1659</x:v>
      </x:c>
      <x:c r="D4665" s="6" t="n">
        <x:f>B4665</x:f>
        <x:v>0.2966</x:v>
      </x:c>
      <x:c r="E4665" s="1" t="n">
        <x:v>1.05</x:v>
      </x:c>
      <x:c r="F4665" s="1" t="str">
        <x:v>https://api.octopus.energy/v1/products/AGILE-24-10-01/electricity-tariffs/E-1R-AGILE-24-10-01-G/standard-unit-rates/</x:v>
      </x:c>
    </x:row>
    <x:row r="4666" ht="21" customHeight="1">
      <x:c r="A4666" s="24" t="n">
        <x:v>46245.708333333336</x:v>
      </x:c>
      <x:c r="B4666" s="6" t="n">
        <x:v>0.3638</x:v>
      </x:c>
      <x:c r="C4666" s="6" t="n">
        <x:v>0.1966</x:v>
      </x:c>
      <x:c r="D4666" s="6" t="n">
        <x:f>B4666</x:f>
        <x:v>0.3638</x:v>
      </x:c>
      <x:c r="E4666" s="1" t="n">
        <x:v>1.05</x:v>
      </x:c>
      <x:c r="F4666" s="1" t="str">
        <x:v>https://api.octopus.energy/v1/products/AGILE-24-10-01/electricity-tariffs/E-1R-AGILE-24-10-01-G/standard-unit-rates/</x:v>
      </x:c>
    </x:row>
    <x:row r="4667" ht="21" customHeight="1">
      <x:c r="A4667" s="24" t="n">
        <x:v>46245.729166666664</x:v>
      </x:c>
      <x:c r="B4667" s="6" t="n">
        <x:v>0.35960000000000003</x:v>
      </x:c>
      <x:c r="C4667" s="6" t="n">
        <x:v>0.19469999999999998</x:v>
      </x:c>
      <x:c r="D4667" s="6" t="n">
        <x:f>B4667</x:f>
        <x:v>0.35960000000000003</x:v>
      </x:c>
      <x:c r="E4667" s="1" t="n">
        <x:v>1.05</x:v>
      </x:c>
      <x:c r="F4667" s="1" t="str">
        <x:v>https://api.octopus.energy/v1/products/AGILE-24-10-01/electricity-tariffs/E-1R-AGILE-24-10-01-G/standard-unit-rates/</x:v>
      </x:c>
    </x:row>
    <x:row r="4668" ht="21" customHeight="1">
      <x:c r="A4668" s="24" t="n">
        <x:v>46245.75</x:v>
      </x:c>
      <x:c r="B4668" s="6" t="n">
        <x:v>0.41350000000000003</x:v>
      </x:c>
      <x:c r="C4668" s="6" t="n">
        <x:v>0.2193</x:v>
      </x:c>
      <x:c r="D4668" s="6" t="n">
        <x:f>B4668</x:f>
        <x:v>0.41350000000000003</x:v>
      </x:c>
      <x:c r="E4668" s="1" t="n">
        <x:v>1.05</x:v>
      </x:c>
      <x:c r="F4668" s="1" t="str">
        <x:v>https://api.octopus.energy/v1/products/AGILE-24-10-01/electricity-tariffs/E-1R-AGILE-24-10-01-G/standard-unit-rates/</x:v>
      </x:c>
    </x:row>
    <x:row r="4669" ht="21" customHeight="1">
      <x:c r="A4669" s="24" t="n">
        <x:v>46245.770833333336</x:v>
      </x:c>
      <x:c r="B4669" s="6" t="n">
        <x:v>0.4321</x:v>
      </x:c>
      <x:c r="C4669" s="6" t="n">
        <x:v>0.2278</x:v>
      </x:c>
      <x:c r="D4669" s="6" t="n">
        <x:f>B4669</x:f>
        <x:v>0.4321</x:v>
      </x:c>
      <x:c r="E4669" s="1" t="n">
        <x:v>1.05</x:v>
      </x:c>
      <x:c r="F4669" s="1" t="str">
        <x:v>https://api.octopus.energy/v1/products/AGILE-24-10-01/electricity-tariffs/E-1R-AGILE-24-10-01-G/standard-unit-rates/</x:v>
      </x:c>
    </x:row>
    <x:row r="4670" ht="21" customHeight="1">
      <x:c r="A4670" s="24" t="n">
        <x:v>46245.791666666664</x:v>
      </x:c>
      <x:c r="B4670" s="6" t="n">
        <x:v>0.3119</x:v>
      </x:c>
      <x:c r="C4670" s="6" t="n">
        <x:v>0.1689</x:v>
      </x:c>
      <x:c r="D4670" s="6" t="n">
        <x:f>B4670</x:f>
        <x:v>0.3119</x:v>
      </x:c>
      <x:c r="E4670" s="1" t="n">
        <x:v>1.05</x:v>
      </x:c>
      <x:c r="F4670" s="1" t="str">
        <x:v>https://api.octopus.energy/v1/products/AGILE-24-10-01/electricity-tariffs/E-1R-AGILE-24-10-01-G/standard-unit-rates/</x:v>
      </x:c>
    </x:row>
    <x:row r="4671" ht="21" customHeight="1">
      <x:c r="A4671" s="24" t="n">
        <x:v>46245.8125</x:v>
      </x:c>
      <x:c r="B4671" s="6" t="n">
        <x:v>0.3195</x:v>
      </x:c>
      <x:c r="C4671" s="6" t="n">
        <x:v>0.1723</x:v>
      </x:c>
      <x:c r="D4671" s="6" t="n">
        <x:f>B4671</x:f>
        <x:v>0.3195</x:v>
      </x:c>
      <x:c r="E4671" s="1" t="n">
        <x:v>1.05</x:v>
      </x:c>
      <x:c r="F4671" s="1" t="str">
        <x:v>https://api.octopus.energy/v1/products/AGILE-24-10-01/electricity-tariffs/E-1R-AGILE-24-10-01-G/standard-unit-rates/</x:v>
      </x:c>
    </x:row>
    <x:row r="4672" ht="21" customHeight="1">
      <x:c r="A4672" s="24" t="n">
        <x:v>46245.833333333336</x:v>
      </x:c>
      <x:c r="B4672" s="6" t="n">
        <x:v>0.3065</x:v>
      </x:c>
      <x:c r="C4672" s="6" t="n">
        <x:v>0.1664</x:v>
      </x:c>
      <x:c r="D4672" s="6" t="n">
        <x:f>B4672</x:f>
        <x:v>0.3065</x:v>
      </x:c>
      <x:c r="E4672" s="1" t="n">
        <x:v>1.05</x:v>
      </x:c>
      <x:c r="F4672" s="1" t="str">
        <x:v>https://api.octopus.energy/v1/products/AGILE-24-10-01/electricity-tariffs/E-1R-AGILE-24-10-01-G/standard-unit-rates/</x:v>
      </x:c>
    </x:row>
    <x:row r="4673" ht="21" customHeight="1">
      <x:c r="A4673" s="24" t="n">
        <x:v>46245.854166666664</x:v>
      </x:c>
      <x:c r="B4673" s="6" t="n">
        <x:v>0.30760000000000004</x:v>
      </x:c>
      <x:c r="C4673" s="6" t="n">
        <x:v>0.16690000000000002</x:v>
      </x:c>
      <x:c r="D4673" s="6" t="n">
        <x:f>B4673</x:f>
        <x:v>0.30760000000000004</x:v>
      </x:c>
      <x:c r="E4673" s="1" t="n">
        <x:v>1.05</x:v>
      </x:c>
      <x:c r="F4673" s="1" t="str">
        <x:v>https://api.octopus.energy/v1/products/AGILE-24-10-01/electricity-tariffs/E-1R-AGILE-24-10-01-G/standard-unit-rates/</x:v>
      </x:c>
    </x:row>
    <x:row r="4674" ht="21" customHeight="1">
      <x:c r="A4674" s="24" t="n">
        <x:v>46245.875</x:v>
      </x:c>
      <x:c r="B4674" s="6" t="n">
        <x:v>0.2904</x:v>
      </x:c>
      <x:c r="C4674" s="6" t="n">
        <x:v>0.159</x:v>
      </x:c>
      <x:c r="D4674" s="6" t="n">
        <x:f>B4674</x:f>
        <x:v>0.2904</x:v>
      </x:c>
      <x:c r="E4674" s="1" t="n">
        <x:v>1.05</x:v>
      </x:c>
      <x:c r="F4674" s="1" t="str">
        <x:v>https://api.octopus.energy/v1/products/AGILE-24-10-01/electricity-tariffs/E-1R-AGILE-24-10-01-G/standard-unit-rates/</x:v>
      </x:c>
    </x:row>
    <x:row r="4675" ht="21" customHeight="1">
      <x:c r="A4675" s="24" t="n">
        <x:v>46245.895833333336</x:v>
      </x:c>
      <x:c r="B4675" s="6" t="n">
        <x:v>0.282</x:v>
      </x:c>
      <x:c r="C4675" s="6" t="n">
        <x:v>0.1552</x:v>
      </x:c>
      <x:c r="D4675" s="6" t="n">
        <x:f>B4675</x:f>
        <x:v>0.282</x:v>
      </x:c>
      <x:c r="E4675" s="1" t="n">
        <x:v>1.05</x:v>
      </x:c>
      <x:c r="F4675" s="1" t="str">
        <x:v>https://api.octopus.energy/v1/products/AGILE-24-10-01/electricity-tariffs/E-1R-AGILE-24-10-01-G/standard-unit-rates/</x:v>
      </x:c>
    </x:row>
    <x:row r="4676" ht="21" customHeight="1">
      <x:c r="A4676" s="24" t="n">
        <x:v>46245.916666666664</x:v>
      </x:c>
      <x:c r="B4676" s="6" t="n">
        <x:v>0.2656</x:v>
      </x:c>
      <x:c r="C4676" s="6" t="n">
        <x:v>0.1477</x:v>
      </x:c>
      <x:c r="D4676" s="6" t="n">
        <x:f>B4676</x:f>
        <x:v>0.2656</x:v>
      </x:c>
      <x:c r="E4676" s="1" t="n">
        <x:v>1.05</x:v>
      </x:c>
      <x:c r="F4676" s="1" t="str">
        <x:v>https://api.octopus.energy/v1/products/AGILE-24-10-01/electricity-tariffs/E-1R-AGILE-24-10-01-G/standard-unit-rates/</x:v>
      </x:c>
    </x:row>
    <x:row r="4677" ht="21" customHeight="1">
      <x:c r="A4677" s="24" t="n">
        <x:v>46245.9375</x:v>
      </x:c>
      <x:c r="B4677" s="6" t="n">
        <x:v>0.24719999999999998</x:v>
      </x:c>
      <x:c r="C4677" s="6" t="n">
        <x:v>0.1393</x:v>
      </x:c>
      <x:c r="D4677" s="6" t="n">
        <x:f>B4677</x:f>
        <x:v>0.24719999999999998</x:v>
      </x:c>
      <x:c r="E4677" s="1" t="n">
        <x:v>1.05</x:v>
      </x:c>
      <x:c r="F4677" s="1" t="str">
        <x:v>https://api.octopus.energy/v1/products/AGILE-24-10-01/electricity-tariffs/E-1R-AGILE-24-10-01-G/standard-unit-rates/</x:v>
      </x:c>
    </x:row>
    <x:row r="4678" ht="21" customHeight="1">
      <x:c r="A4678" s="24" t="n">
        <x:v>46246</x:v>
      </x:c>
      <x:c r="B4678" s="6" t="n">
        <x:v>0.25379999999999997</x:v>
      </x:c>
      <x:c r="C4678" s="6" t="n">
        <x:v>0.1423</x:v>
      </x:c>
      <x:c r="D4678" s="6" t="n">
        <x:f>B4678</x:f>
        <x:v>0.25379999999999997</x:v>
      </x:c>
      <x:c r="E4678" s="1" t="n">
        <x:v>1.05</x:v>
      </x:c>
      <x:c r="F4678" s="1" t="str">
        <x:v>https://api.octopus.energy/v1/products/AGILE-24-10-01/electricity-tariffs/E-1R-AGILE-24-10-01-G/standard-unit-rates/</x:v>
      </x:c>
    </x:row>
    <x:row r="4679" ht="21" customHeight="1">
      <x:c r="A4679" s="24" t="n">
        <x:v>46245.979166666664</x:v>
      </x:c>
      <x:c r="B4679" s="6" t="n">
        <x:v>0.23379999999999998</x:v>
      </x:c>
      <x:c r="C4679" s="6" t="n">
        <x:v>0.1331</x:v>
      </x:c>
      <x:c r="D4679" s="6" t="n">
        <x:f>B4679</x:f>
        <x:v>0.23379999999999998</x:v>
      </x:c>
      <x:c r="E4679" s="1" t="n">
        <x:v>1.05</x:v>
      </x:c>
      <x:c r="F4679" s="1" t="str">
        <x:v>https://api.octopus.energy/v1/products/AGILE-24-10-01/electricity-tariffs/E-1R-AGILE-24-10-01-G/standard-unit-rates/</x:v>
      </x:c>
    </x:row>
    <x:row r="4680" ht="21" customHeight="1">
      <x:c r="A4680" s="24" t="n">
        <x:v>46246</x:v>
      </x:c>
      <x:c r="B4680" s="6" t="n">
        <x:v>0.2286</x:v>
      </x:c>
      <x:c r="C4680" s="6" t="n">
        <x:v>0.1308</x:v>
      </x:c>
      <x:c r="D4680" s="6" t="n">
        <x:f>B4680</x:f>
        <x:v>0.2286</x:v>
      </x:c>
      <x:c r="E4680" s="1" t="n">
        <x:v>1.05</x:v>
      </x:c>
      <x:c r="F4680" s="1" t="str">
        <x:v>https://api.octopus.energy/v1/products/AGILE-24-10-01/electricity-tariffs/E-1R-AGILE-24-10-01-G/standard-unit-rates/</x:v>
      </x:c>
    </x:row>
    <x:row r="4681" ht="21" customHeight="1">
      <x:c r="A4681" s="24" t="n">
        <x:v>46246.020833333336</x:v>
      </x:c>
      <x:c r="B4681" s="6" t="n">
        <x:v>0.2169</x:v>
      </x:c>
      <x:c r="C4681" s="6" t="n">
        <x:v>0.12539999999999998</x:v>
      </x:c>
      <x:c r="D4681" s="6" t="n">
        <x:f>B4681</x:f>
        <x:v>0.2169</x:v>
      </x:c>
      <x:c r="E4681" s="1" t="n">
        <x:v>1.05</x:v>
      </x:c>
      <x:c r="F4681" s="1" t="str">
        <x:v>https://api.octopus.energy/v1/products/AGILE-24-10-01/electricity-tariffs/E-1R-AGILE-24-10-01-G/standard-unit-rates/</x:v>
      </x:c>
    </x:row>
    <x:row r="4682" ht="21" customHeight="1">
      <x:c r="A4682" s="24" t="n">
        <x:v>46246.041666666664</x:v>
      </x:c>
      <x:c r="B4682" s="6" t="n">
        <x:v>0.2148</x:v>
      </x:c>
      <x:c r="C4682" s="6" t="n">
        <x:v>0.1245</x:v>
      </x:c>
      <x:c r="D4682" s="6" t="n">
        <x:f>B4682</x:f>
        <x:v>0.2148</x:v>
      </x:c>
      <x:c r="E4682" s="1" t="n">
        <x:v>1.05</x:v>
      </x:c>
      <x:c r="F4682" s="1" t="str">
        <x:v>https://api.octopus.energy/v1/products/AGILE-24-10-01/electricity-tariffs/E-1R-AGILE-24-10-01-G/standard-unit-rates/</x:v>
      </x:c>
    </x:row>
    <x:row r="4683" ht="21" customHeight="1">
      <x:c r="A4683" s="24" t="n">
        <x:v>46246.0625</x:v>
      </x:c>
      <x:c r="B4683" s="6" t="n">
        <x:v>0.2182</x:v>
      </x:c>
      <x:c r="C4683" s="6" t="n">
        <x:v>0.126</x:v>
      </x:c>
      <x:c r="D4683" s="6" t="n">
        <x:f>B4683</x:f>
        <x:v>0.2182</x:v>
      </x:c>
      <x:c r="E4683" s="1" t="n">
        <x:v>1.05</x:v>
      </x:c>
      <x:c r="F4683" s="1" t="str">
        <x:v>https://api.octopus.energy/v1/products/AGILE-24-10-01/electricity-tariffs/E-1R-AGILE-24-10-01-G/standard-unit-rates/</x:v>
      </x:c>
    </x:row>
    <x:row r="4684" ht="21" customHeight="1">
      <x:c r="A4684" s="24" t="n">
        <x:v>46246.083333333336</x:v>
      </x:c>
      <x:c r="B4684" s="6" t="n">
        <x:v>0.21600000000000003</x:v>
      </x:c>
      <x:c r="C4684" s="6" t="n">
        <x:v>0.125</x:v>
      </x:c>
      <x:c r="D4684" s="6" t="n">
        <x:f>B4684</x:f>
        <x:v>0.21600000000000003</x:v>
      </x:c>
      <x:c r="E4684" s="1" t="n">
        <x:v>1.05</x:v>
      </x:c>
      <x:c r="F4684" s="1" t="str">
        <x:v>https://api.octopus.energy/v1/products/AGILE-24-10-01/electricity-tariffs/E-1R-AGILE-24-10-01-G/standard-unit-rates/</x:v>
      </x:c>
    </x:row>
    <x:row r="4685" ht="21" customHeight="1">
      <x:c r="A4685" s="24" t="n">
        <x:v>46246.104166666664</x:v>
      </x:c>
      <x:c r="B4685" s="6" t="n">
        <x:v>0.2112</x:v>
      </x:c>
      <x:c r="C4685" s="6" t="n">
        <x:v>0.12279999999999999</x:v>
      </x:c>
      <x:c r="D4685" s="6" t="n">
        <x:f>B4685</x:f>
        <x:v>0.2112</x:v>
      </x:c>
      <x:c r="E4685" s="1" t="n">
        <x:v>1.05</x:v>
      </x:c>
      <x:c r="F4685" s="1" t="str">
        <x:v>https://api.octopus.energy/v1/products/AGILE-24-10-01/electricity-tariffs/E-1R-AGILE-24-10-01-G/standard-unit-rates/</x:v>
      </x:c>
    </x:row>
    <x:row r="4686" ht="21" customHeight="1">
      <x:c r="A4686" s="24" t="n">
        <x:v>46246.125</x:v>
      </x:c>
      <x:c r="B4686" s="6" t="n">
        <x:v>0.2187</x:v>
      </x:c>
      <x:c r="C4686" s="6" t="n">
        <x:v>0.12619999999999998</x:v>
      </x:c>
      <x:c r="D4686" s="6" t="n">
        <x:f>B4686</x:f>
        <x:v>0.2187</x:v>
      </x:c>
      <x:c r="E4686" s="1" t="n">
        <x:v>1.05</x:v>
      </x:c>
      <x:c r="F4686" s="1" t="str">
        <x:v>https://api.octopus.energy/v1/products/AGILE-24-10-01/electricity-tariffs/E-1R-AGILE-24-10-01-G/standard-unit-rates/</x:v>
      </x:c>
    </x:row>
    <x:row r="4687" ht="21" customHeight="1">
      <x:c r="A4687" s="24" t="n">
        <x:v>46246.145833333336</x:v>
      </x:c>
      <x:c r="B4687" s="6" t="n">
        <x:v>0.2157</x:v>
      </x:c>
      <x:c r="C4687" s="6" t="n">
        <x:v>0.1249</x:v>
      </x:c>
      <x:c r="D4687" s="6" t="n">
        <x:f>B4687</x:f>
        <x:v>0.2157</x:v>
      </x:c>
      <x:c r="E4687" s="1" t="n">
        <x:v>1.05</x:v>
      </x:c>
      <x:c r="F4687" s="1" t="str">
        <x:v>https://api.octopus.energy/v1/products/AGILE-24-10-01/electricity-tariffs/E-1R-AGILE-24-10-01-G/standard-unit-rates/</x:v>
      </x:c>
    </x:row>
    <x:row r="4688" ht="21" customHeight="1">
      <x:c r="A4688" s="24" t="n">
        <x:v>46246.166666666664</x:v>
      </x:c>
      <x:c r="B4688" s="6" t="n">
        <x:v>0.223</x:v>
      </x:c>
      <x:c r="C4688" s="6" t="n">
        <x:v>0.1282</x:v>
      </x:c>
      <x:c r="D4688" s="6" t="n">
        <x:f>B4688</x:f>
        <x:v>0.223</x:v>
      </x:c>
      <x:c r="E4688" s="1" t="n">
        <x:v>1.05</x:v>
      </x:c>
      <x:c r="F4688" s="1" t="str">
        <x:v>https://api.octopus.energy/v1/products/AGILE-24-10-01/electricity-tariffs/E-1R-AGILE-24-10-01-G/standard-unit-rates/</x:v>
      </x:c>
    </x:row>
    <x:row r="4689" ht="21" customHeight="1">
      <x:c r="A4689" s="24" t="n">
        <x:v>46246.1875</x:v>
      </x:c>
      <x:c r="B4689" s="6" t="n">
        <x:v>0.21739999999999998</x:v>
      </x:c>
      <x:c r="C4689" s="6" t="n">
        <x:v>0.1257</x:v>
      </x:c>
      <x:c r="D4689" s="6" t="n">
        <x:f>B4689</x:f>
        <x:v>0.21739999999999998</x:v>
      </x:c>
      <x:c r="E4689" s="1" t="n">
        <x:v>1.05</x:v>
      </x:c>
      <x:c r="F4689" s="1" t="str">
        <x:v>https://api.octopus.energy/v1/products/AGILE-24-10-01/electricity-tariffs/E-1R-AGILE-24-10-01-G/standard-unit-rates/</x:v>
      </x:c>
    </x:row>
    <x:row r="4690" ht="21" customHeight="1">
      <x:c r="A4690" s="24" t="n">
        <x:v>46246.208333333336</x:v>
      </x:c>
      <x:c r="B4690" s="6" t="n">
        <x:v>0.2357</x:v>
      </x:c>
      <x:c r="C4690" s="6" t="n">
        <x:v>0.134</x:v>
      </x:c>
      <x:c r="D4690" s="6" t="n">
        <x:f>B4690</x:f>
        <x:v>0.2357</x:v>
      </x:c>
      <x:c r="E4690" s="1" t="n">
        <x:v>1.05</x:v>
      </x:c>
      <x:c r="F4690" s="1" t="str">
        <x:v>https://api.octopus.energy/v1/products/AGILE-24-10-01/electricity-tariffs/E-1R-AGILE-24-10-01-G/standard-unit-rates/</x:v>
      </x:c>
    </x:row>
    <x:row r="4691" ht="21" customHeight="1">
      <x:c r="A4691" s="24" t="n">
        <x:v>46246.229166666664</x:v>
      </x:c>
      <x:c r="B4691" s="6" t="n">
        <x:v>0.2413</x:v>
      </x:c>
      <x:c r="C4691" s="6" t="n">
        <x:v>0.1366</x:v>
      </x:c>
      <x:c r="D4691" s="6" t="n">
        <x:f>B4691</x:f>
        <x:v>0.2413</x:v>
      </x:c>
      <x:c r="E4691" s="1" t="n">
        <x:v>1.05</x:v>
      </x:c>
      <x:c r="F4691" s="1" t="str">
        <x:v>https://api.octopus.energy/v1/products/AGILE-24-10-01/electricity-tariffs/E-1R-AGILE-24-10-01-G/standard-unit-rates/</x:v>
      </x:c>
    </x:row>
    <x:row r="4692" ht="21" customHeight="1">
      <x:c r="A4692" s="24" t="n">
        <x:v>46246.25</x:v>
      </x:c>
      <x:c r="B4692" s="6" t="n">
        <x:v>0.2427</x:v>
      </x:c>
      <x:c r="C4692" s="6" t="n">
        <x:v>0.13720000000000002</x:v>
      </x:c>
      <x:c r="D4692" s="6" t="n">
        <x:f>B4692</x:f>
        <x:v>0.2427</x:v>
      </x:c>
      <x:c r="E4692" s="1" t="n">
        <x:v>1.05</x:v>
      </x:c>
      <x:c r="F4692" s="1" t="str">
        <x:v>https://api.octopus.energy/v1/products/AGILE-24-10-01/electricity-tariffs/E-1R-AGILE-24-10-01-G/standard-unit-rates/</x:v>
      </x:c>
    </x:row>
    <x:row r="4693" ht="21" customHeight="1">
      <x:c r="A4693" s="24" t="n">
        <x:v>46246.270833333336</x:v>
      </x:c>
      <x:c r="B4693" s="6" t="n">
        <x:v>0.2669</x:v>
      </x:c>
      <x:c r="C4693" s="6" t="n">
        <x:v>0.1483</x:v>
      </x:c>
      <x:c r="D4693" s="6" t="n">
        <x:f>B4693</x:f>
        <x:v>0.2669</x:v>
      </x:c>
      <x:c r="E4693" s="1" t="n">
        <x:v>1.05</x:v>
      </x:c>
      <x:c r="F4693" s="1" t="str">
        <x:v>https://api.octopus.energy/v1/products/AGILE-24-10-01/electricity-tariffs/E-1R-AGILE-24-10-01-G/standard-unit-rates/</x:v>
      </x:c>
    </x:row>
    <x:row r="4694" ht="21" customHeight="1">
      <x:c r="A4694" s="24" t="n">
        <x:v>46246.291666666664</x:v>
      </x:c>
      <x:c r="B4694" s="6" t="n">
        <x:v>0.2375</x:v>
      </x:c>
      <x:c r="C4694" s="6" t="n">
        <x:v>0.1348</x:v>
      </x:c>
      <x:c r="D4694" s="6" t="n">
        <x:f>B4694</x:f>
        <x:v>0.2375</x:v>
      </x:c>
      <x:c r="E4694" s="1" t="n">
        <x:v>1.05</x:v>
      </x:c>
      <x:c r="F4694" s="1" t="str">
        <x:v>https://api.octopus.energy/v1/products/AGILE-24-10-01/electricity-tariffs/E-1R-AGILE-24-10-01-G/standard-unit-rates/</x:v>
      </x:c>
    </x:row>
    <x:row r="4695" ht="21" customHeight="1">
      <x:c r="A4695" s="24" t="n">
        <x:v>46246.3125</x:v>
      </x:c>
      <x:c r="B4695" s="6" t="n">
        <x:v>0.25670000000000004</x:v>
      </x:c>
      <x:c r="C4695" s="6" t="n">
        <x:v>0.1436</x:v>
      </x:c>
      <x:c r="D4695" s="6" t="n">
        <x:f>B4695</x:f>
        <x:v>0.25670000000000004</x:v>
      </x:c>
      <x:c r="E4695" s="1" t="n">
        <x:v>1.05</x:v>
      </x:c>
      <x:c r="F4695" s="1" t="str">
        <x:v>https://api.octopus.energy/v1/products/AGILE-24-10-01/electricity-tariffs/E-1R-AGILE-24-10-01-G/standard-unit-rates/</x:v>
      </x:c>
    </x:row>
    <x:row r="4696" ht="21" customHeight="1">
      <x:c r="A4696" s="24" t="n">
        <x:v>46246.333333333336</x:v>
      </x:c>
      <x:c r="B4696" s="6" t="n">
        <x:v>0.2164</x:v>
      </x:c>
      <x:c r="C4696" s="6" t="n">
        <x:v>0.1252</x:v>
      </x:c>
      <x:c r="D4696" s="6" t="n">
        <x:f>B4696</x:f>
        <x:v>0.2164</x:v>
      </x:c>
      <x:c r="E4696" s="1" t="n">
        <x:v>1.05</x:v>
      </x:c>
      <x:c r="F4696" s="1" t="str">
        <x:v>https://api.octopus.energy/v1/products/AGILE-24-10-01/electricity-tariffs/E-1R-AGILE-24-10-01-G/standard-unit-rates/</x:v>
      </x:c>
    </x:row>
    <x:row r="4697" ht="21" customHeight="1">
      <x:c r="A4697" s="24" t="n">
        <x:v>46246.354166666664</x:v>
      </x:c>
      <x:c r="B4697" s="6" t="n">
        <x:v>0.2118</x:v>
      </x:c>
      <x:c r="C4697" s="6" t="n">
        <x:v>0.1231</x:v>
      </x:c>
      <x:c r="D4697" s="6" t="n">
        <x:f>B4697</x:f>
        <x:v>0.2118</x:v>
      </x:c>
      <x:c r="E4697" s="1" t="n">
        <x:v>1.05</x:v>
      </x:c>
      <x:c r="F4697" s="1" t="str">
        <x:v>https://api.octopus.energy/v1/products/AGILE-24-10-01/electricity-tariffs/E-1R-AGILE-24-10-01-G/standard-unit-rates/</x:v>
      </x:c>
    </x:row>
    <x:row r="4698" ht="21" customHeight="1">
      <x:c r="A4698" s="24" t="n">
        <x:v>46246.375</x:v>
      </x:c>
      <x:c r="B4698" s="6" t="n">
        <x:v>0.2118</x:v>
      </x:c>
      <x:c r="C4698" s="6" t="n">
        <x:v>0.1231</x:v>
      </x:c>
      <x:c r="D4698" s="6" t="n">
        <x:f>B4698</x:f>
        <x:v>0.2118</x:v>
      </x:c>
      <x:c r="E4698" s="1" t="n">
        <x:v>1.05</x:v>
      </x:c>
      <x:c r="F4698" s="1" t="str">
        <x:v>https://api.octopus.energy/v1/products/AGILE-24-10-01/electricity-tariffs/E-1R-AGILE-24-10-01-G/standard-unit-rates/</x:v>
      </x:c>
    </x:row>
    <x:row r="4699" ht="21" customHeight="1">
      <x:c r="A4699" s="24" t="n">
        <x:v>46246.395833333336</x:v>
      </x:c>
      <x:c r="B4699" s="6" t="n">
        <x:v>0.2167</x:v>
      </x:c>
      <x:c r="C4699" s="6" t="n">
        <x:v>0.1253</x:v>
      </x:c>
      <x:c r="D4699" s="6" t="n">
        <x:f>B4699</x:f>
        <x:v>0.2167</x:v>
      </x:c>
      <x:c r="E4699" s="1" t="n">
        <x:v>1.05</x:v>
      </x:c>
      <x:c r="F4699" s="1" t="str">
        <x:v>https://api.octopus.energy/v1/products/AGILE-24-10-01/electricity-tariffs/E-1R-AGILE-24-10-01-G/standard-unit-rates/</x:v>
      </x:c>
    </x:row>
    <x:row r="4700" ht="21" customHeight="1">
      <x:c r="A4700" s="24" t="n">
        <x:v>46246.416666666664</x:v>
      </x:c>
      <x:c r="B4700" s="6" t="n">
        <x:v>0.1937</x:v>
      </x:c>
      <x:c r="C4700" s="6" t="n">
        <x:v>0.1148</x:v>
      </x:c>
      <x:c r="D4700" s="6" t="n">
        <x:f>B4700</x:f>
        <x:v>0.1937</x:v>
      </x:c>
      <x:c r="E4700" s="1" t="n">
        <x:v>1.05</x:v>
      </x:c>
      <x:c r="F4700" s="1" t="str">
        <x:v>https://api.octopus.energy/v1/products/AGILE-24-10-01/electricity-tariffs/E-1R-AGILE-24-10-01-G/standard-unit-rates/</x:v>
      </x:c>
    </x:row>
    <x:row r="4701" ht="21" customHeight="1">
      <x:c r="A4701" s="24" t="n">
        <x:v>46246.4375</x:v>
      </x:c>
      <x:c r="B4701" s="6" t="n">
        <x:v>0.1752</x:v>
      </x:c>
      <x:c r="C4701" s="6" t="n">
        <x:v>0.1063</x:v>
      </x:c>
      <x:c r="D4701" s="6" t="n">
        <x:f>B4701</x:f>
        <x:v>0.1752</x:v>
      </x:c>
      <x:c r="E4701" s="1" t="n">
        <x:v>1.05</x:v>
      </x:c>
      <x:c r="F4701" s="1" t="str">
        <x:v>https://api.octopus.energy/v1/products/AGILE-24-10-01/electricity-tariffs/E-1R-AGILE-24-10-01-G/standard-unit-rates/</x:v>
      </x:c>
    </x:row>
    <x:row r="4702" ht="21" customHeight="1">
      <x:c r="A4702" s="24" t="n">
        <x:v>46246.458333333336</x:v>
      </x:c>
      <x:c r="B4702" s="6" t="n">
        <x:v>0.1663</x:v>
      </x:c>
      <x:c r="C4702" s="6" t="n">
        <x:v>0.1023</x:v>
      </x:c>
      <x:c r="D4702" s="6" t="n">
        <x:f>B4702</x:f>
        <x:v>0.1663</x:v>
      </x:c>
      <x:c r="E4702" s="1" t="n">
        <x:v>1.05</x:v>
      </x:c>
      <x:c r="F4702" s="1" t="str">
        <x:v>https://api.octopus.energy/v1/products/AGILE-24-10-01/electricity-tariffs/E-1R-AGILE-24-10-01-G/standard-unit-rates/</x:v>
      </x:c>
    </x:row>
    <x:row r="4703" ht="21" customHeight="1">
      <x:c r="A4703" s="24" t="n">
        <x:v>46246.479166666664</x:v>
      </x:c>
      <x:c r="B4703" s="6" t="n">
        <x:v>0.1663</x:v>
      </x:c>
      <x:c r="C4703" s="6" t="n">
        <x:v>0.1023</x:v>
      </x:c>
      <x:c r="D4703" s="6" t="n">
        <x:f>B4703</x:f>
        <x:v>0.1663</x:v>
      </x:c>
      <x:c r="E4703" s="1" t="n">
        <x:v>1.05</x:v>
      </x:c>
      <x:c r="F4703" s="1" t="str">
        <x:v>https://api.octopus.energy/v1/products/AGILE-24-10-01/electricity-tariffs/E-1R-AGILE-24-10-01-G/standard-unit-rates/</x:v>
      </x:c>
    </x:row>
    <x:row r="4704" ht="21" customHeight="1">
      <x:c r="A4704" s="24" t="n">
        <x:v>46246.5</x:v>
      </x:c>
      <x:c r="B4704" s="6" t="n">
        <x:v>0.17489999999999997</x:v>
      </x:c>
      <x:c r="C4704" s="6" t="n">
        <x:v>0.10619999999999999</x:v>
      </x:c>
      <x:c r="D4704" s="6" t="n">
        <x:f>B4704</x:f>
        <x:v>0.17489999999999997</x:v>
      </x:c>
      <x:c r="E4704" s="1" t="n">
        <x:v>1.05</x:v>
      </x:c>
      <x:c r="F4704" s="1" t="str">
        <x:v>https://api.octopus.energy/v1/products/AGILE-24-10-01/electricity-tariffs/E-1R-AGILE-24-10-01-G/standard-unit-rates/</x:v>
      </x:c>
    </x:row>
    <x:row r="4705" ht="21" customHeight="1">
      <x:c r="A4705" s="24" t="n">
        <x:v>46246.520833333336</x:v>
      </x:c>
      <x:c r="B4705" s="6" t="n">
        <x:v>0.17300000000000001</x:v>
      </x:c>
      <x:c r="C4705" s="6" t="n">
        <x:v>0.1054</x:v>
      </x:c>
      <x:c r="D4705" s="6" t="n">
        <x:f>B4705</x:f>
        <x:v>0.17300000000000001</x:v>
      </x:c>
      <x:c r="E4705" s="1" t="n">
        <x:v>1.05</x:v>
      </x:c>
      <x:c r="F4705" s="1" t="str">
        <x:v>https://api.octopus.energy/v1/products/AGILE-24-10-01/electricity-tariffs/E-1R-AGILE-24-10-01-G/standard-unit-rates/</x:v>
      </x:c>
    </x:row>
    <x:row r="4706" ht="21" customHeight="1">
      <x:c r="A4706" s="24" t="n">
        <x:v>46246.541666666664</x:v>
      </x:c>
      <x:c r="B4706" s="6" t="n">
        <x:v>0.16820000000000002</x:v>
      </x:c>
      <x:c r="C4706" s="6" t="n">
        <x:v>0.1032</x:v>
      </x:c>
      <x:c r="D4706" s="6" t="n">
        <x:f>B4706</x:f>
        <x:v>0.16820000000000002</x:v>
      </x:c>
      <x:c r="E4706" s="1" t="n">
        <x:v>1.05</x:v>
      </x:c>
      <x:c r="F4706" s="1" t="str">
        <x:v>https://api.octopus.energy/v1/products/AGILE-24-10-01/electricity-tariffs/E-1R-AGILE-24-10-01-G/standard-unit-rates/</x:v>
      </x:c>
    </x:row>
    <x:row r="4707" ht="21" customHeight="1">
      <x:c r="A4707" s="24" t="n">
        <x:v>46246.5625</x:v>
      </x:c>
      <x:c r="B4707" s="6" t="n">
        <x:v>0.1668</x:v>
      </x:c>
      <x:c r="C4707" s="6" t="n">
        <x:v>0.1025</x:v>
      </x:c>
      <x:c r="D4707" s="6" t="n">
        <x:f>B4707</x:f>
        <x:v>0.1668</x:v>
      </x:c>
      <x:c r="E4707" s="1" t="n">
        <x:v>1.05</x:v>
      </x:c>
      <x:c r="F4707" s="1" t="str">
        <x:v>https://api.octopus.energy/v1/products/AGILE-24-10-01/electricity-tariffs/E-1R-AGILE-24-10-01-G/standard-unit-rates/</x:v>
      </x:c>
    </x:row>
    <x:row r="4708" ht="21" customHeight="1">
      <x:c r="A4708" s="24" t="n">
        <x:v>46246.583333333336</x:v>
      </x:c>
      <x:c r="B4708" s="6" t="n">
        <x:v>0.17</x:v>
      </x:c>
      <x:c r="C4708" s="6" t="n">
        <x:v>0.10400000000000001</x:v>
      </x:c>
      <x:c r="D4708" s="6" t="n">
        <x:f>B4708</x:f>
        <x:v>0.17</x:v>
      </x:c>
      <x:c r="E4708" s="1" t="n">
        <x:v>1.05</x:v>
      </x:c>
      <x:c r="F4708" s="1" t="str">
        <x:v>https://api.octopus.energy/v1/products/AGILE-24-10-01/electricity-tariffs/E-1R-AGILE-24-10-01-G/standard-unit-rates/</x:v>
      </x:c>
    </x:row>
    <x:row r="4709" ht="21" customHeight="1">
      <x:c r="A4709" s="24" t="n">
        <x:v>46246.604166666664</x:v>
      </x:c>
      <x:c r="B4709" s="6" t="n">
        <x:v>0.18420000000000003</x:v>
      </x:c>
      <x:c r="C4709" s="6" t="n">
        <x:v>0.1105</x:v>
      </x:c>
      <x:c r="D4709" s="6" t="n">
        <x:f>B4709</x:f>
        <x:v>0.18420000000000003</x:v>
      </x:c>
      <x:c r="E4709" s="1" t="n">
        <x:v>1.05</x:v>
      </x:c>
      <x:c r="F4709" s="1" t="str">
        <x:v>https://api.octopus.energy/v1/products/AGILE-24-10-01/electricity-tariffs/E-1R-AGILE-24-10-01-G/standard-unit-rates/</x:v>
      </x:c>
    </x:row>
    <x:row r="4710" ht="21" customHeight="1">
      <x:c r="A4710" s="24" t="n">
        <x:v>46246.625</x:v>
      </x:c>
      <x:c r="B4710" s="6" t="n">
        <x:v>0.19760000000000003</x:v>
      </x:c>
      <x:c r="C4710" s="6" t="n">
        <x:v>0.1166</x:v>
      </x:c>
      <x:c r="D4710" s="6" t="n">
        <x:f>B4710</x:f>
        <x:v>0.19760000000000003</x:v>
      </x:c>
      <x:c r="E4710" s="1" t="n">
        <x:v>1.05</x:v>
      </x:c>
      <x:c r="F4710" s="1" t="str">
        <x:v>https://api.octopus.energy/v1/products/AGILE-24-10-01/electricity-tariffs/E-1R-AGILE-24-10-01-G/standard-unit-rates/</x:v>
      </x:c>
    </x:row>
    <x:row r="4711" ht="21" customHeight="1">
      <x:c r="A4711" s="24" t="n">
        <x:v>46246.645833333336</x:v>
      </x:c>
      <x:c r="B4711" s="6" t="n">
        <x:v>0.20929999999999999</x:v>
      </x:c>
      <x:c r="C4711" s="6" t="n">
        <x:v>0.1219</x:v>
      </x:c>
      <x:c r="D4711" s="6" t="n">
        <x:f>B4711</x:f>
        <x:v>0.20929999999999999</x:v>
      </x:c>
      <x:c r="E4711" s="1" t="n">
        <x:v>1.05</x:v>
      </x:c>
      <x:c r="F4711" s="1" t="str">
        <x:v>https://api.octopus.energy/v1/products/AGILE-24-10-01/electricity-tariffs/E-1R-AGILE-24-10-01-G/standard-unit-rates/</x:v>
      </x:c>
    </x:row>
    <x:row r="4712" ht="21" customHeight="1">
      <x:c r="A4712" s="24" t="n">
        <x:v>46246.666666666664</x:v>
      </x:c>
      <x:c r="B4712" s="6" t="n">
        <x:v>0.37</x:v>
      </x:c>
      <x:c r="C4712" s="6" t="n">
        <x:v>0.19949999999999998</x:v>
      </x:c>
      <x:c r="D4712" s="6" t="n">
        <x:f>B4712</x:f>
        <x:v>0.37</x:v>
      </x:c>
      <x:c r="E4712" s="1" t="n">
        <x:v>1.05</x:v>
      </x:c>
      <x:c r="F4712" s="1" t="str">
        <x:v>https://api.octopus.energy/v1/products/AGILE-24-10-01/electricity-tariffs/E-1R-AGILE-24-10-01-G/standard-unit-rates/</x:v>
      </x:c>
    </x:row>
    <x:row r="4713" ht="21" customHeight="1">
      <x:c r="A4713" s="24" t="n">
        <x:v>46246.6875</x:v>
      </x:c>
      <x:c r="B4713" s="6" t="n">
        <x:v>0.3508</x:v>
      </x:c>
      <x:c r="C4713" s="6" t="n">
        <x:v>0.1907</x:v>
      </x:c>
      <x:c r="D4713" s="6" t="n">
        <x:f>B4713</x:f>
        <x:v>0.3508</x:v>
      </x:c>
      <x:c r="E4713" s="1" t="n">
        <x:v>1.05</x:v>
      </x:c>
      <x:c r="F4713" s="1" t="str">
        <x:v>https://api.octopus.energy/v1/products/AGILE-24-10-01/electricity-tariffs/E-1R-AGILE-24-10-01-G/standard-unit-rates/</x:v>
      </x:c>
    </x:row>
    <x:row r="4714" ht="21" customHeight="1">
      <x:c r="A4714" s="24" t="n">
        <x:v>46246.708333333336</x:v>
      </x:c>
      <x:c r="B4714" s="6" t="n">
        <x:v>0.41509999999999997</x:v>
      </x:c>
      <x:c r="C4714" s="6" t="n">
        <x:v>0.22010000000000002</x:v>
      </x:c>
      <x:c r="D4714" s="6" t="n">
        <x:f>B4714</x:f>
        <x:v>0.41509999999999997</x:v>
      </x:c>
      <x:c r="E4714" s="1" t="n">
        <x:v>1.05</x:v>
      </x:c>
      <x:c r="F4714" s="1" t="str">
        <x:v>https://api.octopus.energy/v1/products/AGILE-24-10-01/electricity-tariffs/E-1R-AGILE-24-10-01-G/standard-unit-rates/</x:v>
      </x:c>
    </x:row>
    <x:row r="4715" ht="21" customHeight="1">
      <x:c r="A4715" s="24" t="n">
        <x:v>46246.729166666664</x:v>
      </x:c>
      <x:c r="B4715" s="6" t="n">
        <x:v>0.4472</x:v>
      </x:c>
      <x:c r="C4715" s="6" t="n">
        <x:v>0.2347</x:v>
      </x:c>
      <x:c r="D4715" s="6" t="n">
        <x:f>B4715</x:f>
        <x:v>0.4472</x:v>
      </x:c>
      <x:c r="E4715" s="1" t="n">
        <x:v>1.05</x:v>
      </x:c>
      <x:c r="F4715" s="1" t="str">
        <x:v>https://api.octopus.energy/v1/products/AGILE-24-10-01/electricity-tariffs/E-1R-AGILE-24-10-01-G/standard-unit-rates/</x:v>
      </x:c>
    </x:row>
    <x:row r="4716" ht="21" customHeight="1">
      <x:c r="A4716" s="24" t="n">
        <x:v>46246.75</x:v>
      </x:c>
      <x:c r="B4716" s="6" t="n">
        <x:v>0.5437</x:v>
      </x:c>
      <x:c r="C4716" s="6" t="n">
        <x:v>0.2789</x:v>
      </x:c>
      <x:c r="D4716" s="6" t="n">
        <x:f>B4716</x:f>
        <x:v>0.5437</x:v>
      </x:c>
      <x:c r="E4716" s="1" t="n">
        <x:v>1.05</x:v>
      </x:c>
      <x:c r="F4716" s="1" t="str">
        <x:v>https://api.octopus.energy/v1/products/AGILE-24-10-01/electricity-tariffs/E-1R-AGILE-24-10-01-G/standard-unit-rates/</x:v>
      </x:c>
    </x:row>
    <x:row r="4717" ht="21" customHeight="1">
      <x:c r="A4717" s="24" t="n">
        <x:v>46246.770833333336</x:v>
      </x:c>
      <x:c r="B4717" s="6" t="n">
        <x:v>0.5724</x:v>
      </x:c>
      <x:c r="C4717" s="6" t="n">
        <x:v>0.292</x:v>
      </x:c>
      <x:c r="D4717" s="6" t="n">
        <x:f>B4717</x:f>
        <x:v>0.5724</x:v>
      </x:c>
      <x:c r="E4717" s="1" t="n">
        <x:v>1.05</x:v>
      </x:c>
      <x:c r="F4717" s="1" t="str">
        <x:v>https://api.octopus.energy/v1/products/AGILE-24-10-01/electricity-tariffs/E-1R-AGILE-24-10-01-G/standard-unit-rates/</x:v>
      </x:c>
    </x:row>
    <x:row r="4718" ht="21" customHeight="1">
      <x:c r="A4718" s="24" t="n">
        <x:v>46246.791666666664</x:v>
      </x:c>
      <x:c r="B4718" s="6" t="n">
        <x:v>0.4667</x:v>
      </x:c>
      <x:c r="C4718" s="6" t="n">
        <x:v>0.2396</x:v>
      </x:c>
      <x:c r="D4718" s="6" t="n">
        <x:f>B4718</x:f>
        <x:v>0.4667</x:v>
      </x:c>
      <x:c r="E4718" s="1" t="n">
        <x:v>1.05</x:v>
      </x:c>
      <x:c r="F4718" s="1" t="str">
        <x:v>https://api.octopus.energy/v1/products/AGILE-24-10-01/electricity-tariffs/E-1R-AGILE-24-10-01-G/standard-unit-rates/</x:v>
      </x:c>
    </x:row>
    <x:row r="4719" ht="21" customHeight="1">
      <x:c r="A4719" s="24" t="n">
        <x:v>46246.8125</x:v>
      </x:c>
      <x:c r="B4719" s="6" t="n">
        <x:v>0.4594</x:v>
      </x:c>
      <x:c r="C4719" s="6" t="n">
        <x:v>0.23629999999999998</x:v>
      </x:c>
      <x:c r="D4719" s="6" t="n">
        <x:f>B4719</x:f>
        <x:v>0.4594</x:v>
      </x:c>
      <x:c r="E4719" s="1" t="n">
        <x:v>1.05</x:v>
      </x:c>
      <x:c r="F4719" s="1" t="str">
        <x:v>https://api.octopus.energy/v1/products/AGILE-24-10-01/electricity-tariffs/E-1R-AGILE-24-10-01-G/standard-unit-rates/</x:v>
      </x:c>
    </x:row>
    <x:row r="4720" ht="21" customHeight="1">
      <x:c r="A4720" s="24" t="n">
        <x:v>46246.833333333336</x:v>
      </x:c>
      <x:c r="B4720" s="6" t="n">
        <x:v>0.408</x:v>
      </x:c>
      <x:c r="C4720" s="6" t="n">
        <x:v>0.21280000000000002</x:v>
      </x:c>
      <x:c r="D4720" s="6" t="n">
        <x:f>B4720</x:f>
        <x:v>0.408</x:v>
      </x:c>
      <x:c r="E4720" s="1" t="n">
        <x:v>1.05</x:v>
      </x:c>
      <x:c r="F4720" s="1" t="str">
        <x:v>https://api.octopus.energy/v1/products/AGILE-24-10-01/electricity-tariffs/E-1R-AGILE-24-10-01-G/standard-unit-rates/</x:v>
      </x:c>
    </x:row>
    <x:row r="4721" ht="21" customHeight="1">
      <x:c r="A4721" s="24" t="n">
        <x:v>46246.854166666664</x:v>
      </x:c>
      <x:c r="B4721" s="6" t="n">
        <x:v>0.3908</x:v>
      </x:c>
      <x:c r="C4721" s="6" t="n">
        <x:v>0.20489999999999997</x:v>
      </x:c>
      <x:c r="D4721" s="6" t="n">
        <x:f>B4721</x:f>
        <x:v>0.3908</x:v>
      </x:c>
      <x:c r="E4721" s="1" t="n">
        <x:v>1.05</x:v>
      </x:c>
      <x:c r="F4721" s="1" t="str">
        <x:v>https://api.octopus.energy/v1/products/AGILE-24-10-01/electricity-tariffs/E-1R-AGILE-24-10-01-G/standard-unit-rates/</x:v>
      </x:c>
    </x:row>
    <x:row r="4722" ht="21" customHeight="1">
      <x:c r="A4722" s="24" t="n">
        <x:v>46246.875</x:v>
      </x:c>
      <x:c r="B4722" s="6" t="n">
        <x:v>0.3373</x:v>
      </x:c>
      <x:c r="C4722" s="6" t="n">
        <x:v>0.1805</x:v>
      </x:c>
      <x:c r="D4722" s="6" t="n">
        <x:f>B4722</x:f>
        <x:v>0.3373</x:v>
      </x:c>
      <x:c r="E4722" s="1" t="n">
        <x:v>1.05</x:v>
      </x:c>
      <x:c r="F4722" s="1" t="str">
        <x:v>https://api.octopus.energy/v1/products/AGILE-24-10-01/electricity-tariffs/E-1R-AGILE-24-10-01-G/standard-unit-rates/</x:v>
      </x:c>
    </x:row>
    <x:row r="4723" ht="21" customHeight="1">
      <x:c r="A4723" s="24" t="n">
        <x:v>46246.895833333336</x:v>
      </x:c>
      <x:c r="B4723" s="6" t="n">
        <x:v>0.3194</x:v>
      </x:c>
      <x:c r="C4723" s="6" t="n">
        <x:v>0.1723</x:v>
      </x:c>
      <x:c r="D4723" s="6" t="n">
        <x:f>B4723</x:f>
        <x:v>0.3194</x:v>
      </x:c>
      <x:c r="E4723" s="1" t="n">
        <x:v>1.05</x:v>
      </x:c>
      <x:c r="F4723" s="1" t="str">
        <x:v>https://api.octopus.energy/v1/products/AGILE-24-10-01/electricity-tariffs/E-1R-AGILE-24-10-01-G/standard-unit-rates/</x:v>
      </x:c>
    </x:row>
    <x:row r="4724" ht="21" customHeight="1">
      <x:c r="A4724" s="24" t="n">
        <x:v>46246.916666666664</x:v>
      </x:c>
      <x:c r="B4724" s="6" t="n">
        <x:v>0.2953</x:v>
      </x:c>
      <x:c r="C4724" s="6" t="n">
        <x:v>0.1613</x:v>
      </x:c>
      <x:c r="D4724" s="6" t="n">
        <x:f>B4724</x:f>
        <x:v>0.2953</x:v>
      </x:c>
      <x:c r="E4724" s="1" t="n">
        <x:v>1.05</x:v>
      </x:c>
      <x:c r="F4724" s="1" t="str">
        <x:v>https://api.octopus.energy/v1/products/AGILE-24-10-01/electricity-tariffs/E-1R-AGILE-24-10-01-G/standard-unit-rates/</x:v>
      </x:c>
    </x:row>
    <x:row r="4725" ht="21" customHeight="1">
      <x:c r="A4725" s="24" t="n">
        <x:v>46246.9375</x:v>
      </x:c>
      <x:c r="B4725" s="6" t="n">
        <x:v>0.2705</x:v>
      </x:c>
      <x:c r="C4725" s="6" t="n">
        <x:v>0.1499</x:v>
      </x:c>
      <x:c r="D4725" s="6" t="n">
        <x:f>B4725</x:f>
        <x:v>0.2705</x:v>
      </x:c>
      <x:c r="E4725" s="1" t="n">
        <x:v>1.05</x:v>
      </x:c>
      <x:c r="F4725" s="1" t="str">
        <x:v>https://api.octopus.energy/v1/products/AGILE-24-10-01/electricity-tariffs/E-1R-AGILE-24-10-01-G/standard-unit-rates/</x:v>
      </x:c>
    </x:row>
    <x:row r="4726" ht="21" customHeight="1">
      <x:c r="A4726" s="24" t="n">
        <x:v>46247</x:v>
      </x:c>
      <x:c r="B4726" s="6" t="n">
        <x:v>0.243</x:v>
      </x:c>
      <x:c r="C4726" s="6" t="n">
        <x:v>0.1373</x:v>
      </x:c>
      <x:c r="D4726" s="6" t="n">
        <x:f>B4726</x:f>
        <x:v>0.243</x:v>
      </x:c>
      <x:c r="E4726" s="1" t="n">
        <x:v>1.05</x:v>
      </x:c>
      <x:c r="F4726" s="1" t="str">
        <x:v>https://api.octopus.energy/v1/products/AGILE-24-10-01/electricity-tariffs/E-1R-AGILE-24-10-01-G/standard-unit-rates/</x:v>
      </x:c>
    </x:row>
    <x:row r="4727" ht="21" customHeight="1">
      <x:c r="A4727" s="24" t="n">
        <x:v>46246.979166666664</x:v>
      </x:c>
      <x:c r="B4727" s="6" t="n">
        <x:v>0.2488</x:v>
      </x:c>
      <x:c r="C4727" s="6" t="n">
        <x:v>0.14</x:v>
      </x:c>
      <x:c r="D4727" s="6" t="n">
        <x:f>B4727</x:f>
        <x:v>0.2488</x:v>
      </x:c>
      <x:c r="E4727" s="1" t="n">
        <x:v>1.05</x:v>
      </x:c>
      <x:c r="F4727" s="1" t="str">
        <x:v>https://api.octopus.energy/v1/products/AGILE-24-10-01/electricity-tariffs/E-1R-AGILE-24-10-01-G/standard-unit-rates/</x:v>
      </x:c>
    </x:row>
    <x:row r="4728" ht="21" customHeight="1">
      <x:c r="A4728" s="24" t="n">
        <x:v>46247</x:v>
      </x:c>
      <x:c r="B4728" s="6" t="n">
        <x:v>0.23260000000000003</x:v>
      </x:c>
      <x:c r="C4728" s="6" t="n">
        <x:v>0.1326</x:v>
      </x:c>
      <x:c r="D4728" s="6" t="n">
        <x:f>B4728</x:f>
        <x:v>0.23260000000000003</x:v>
      </x:c>
      <x:c r="E4728" s="1" t="n">
        <x:v>1.05</x:v>
      </x:c>
      <x:c r="F4728" s="1" t="str">
        <x:v>https://api.octopus.energy/v1/products/AGILE-24-10-01/electricity-tariffs/E-1R-AGILE-24-10-01-G/standard-unit-rates/</x:v>
      </x:c>
    </x:row>
    <x:row r="4729" ht="21" customHeight="1">
      <x:c r="A4729" s="24" t="n">
        <x:v>46247.020833333336</x:v>
      </x:c>
      <x:c r="B4729" s="6" t="n">
        <x:v>0.2306</x:v>
      </x:c>
      <x:c r="C4729" s="6" t="n">
        <x:v>0.1317</x:v>
      </x:c>
      <x:c r="D4729" s="6" t="n">
        <x:f>B4729</x:f>
        <x:v>0.2306</x:v>
      </x:c>
      <x:c r="E4729" s="1" t="n">
        <x:v>1.05</x:v>
      </x:c>
      <x:c r="F4729" s="1" t="str">
        <x:v>https://api.octopus.energy/v1/products/AGILE-24-10-01/electricity-tariffs/E-1R-AGILE-24-10-01-G/standard-unit-rates/</x:v>
      </x:c>
    </x:row>
    <x:row r="4730" ht="21" customHeight="1">
      <x:c r="A4730" s="24" t="n">
        <x:v>46247.041666666664</x:v>
      </x:c>
      <x:c r="B4730" s="6" t="n">
        <x:v>0.2218</x:v>
      </x:c>
      <x:c r="C4730" s="6" t="n">
        <x:v>0.1277</x:v>
      </x:c>
      <x:c r="D4730" s="6" t="n">
        <x:f>B4730</x:f>
        <x:v>0.2218</x:v>
      </x:c>
      <x:c r="E4730" s="1" t="n">
        <x:v>1.05</x:v>
      </x:c>
      <x:c r="F4730" s="1" t="str">
        <x:v>https://api.octopus.energy/v1/products/AGILE-24-10-01/electricity-tariffs/E-1R-AGILE-24-10-01-G/standard-unit-rates/</x:v>
      </x:c>
    </x:row>
    <x:row r="4731" ht="21" customHeight="1">
      <x:c r="A4731" s="24" t="n">
        <x:v>46247.0625</x:v>
      </x:c>
      <x:c r="B4731" s="6" t="n">
        <x:v>0.2266</x:v>
      </x:c>
      <x:c r="C4731" s="6" t="n">
        <x:v>0.1298</x:v>
      </x:c>
      <x:c r="D4731" s="6" t="n">
        <x:f>B4731</x:f>
        <x:v>0.2266</x:v>
      </x:c>
      <x:c r="E4731" s="1" t="n">
        <x:v>1.05</x:v>
      </x:c>
      <x:c r="F4731" s="1" t="str">
        <x:v>https://api.octopus.energy/v1/products/AGILE-24-10-01/electricity-tariffs/E-1R-AGILE-24-10-01-G/standard-unit-rates/</x:v>
      </x:c>
    </x:row>
    <x:row r="4732" ht="21" customHeight="1">
      <x:c r="A4732" s="24" t="n">
        <x:v>46247.083333333336</x:v>
      </x:c>
      <x:c r="B4732" s="6" t="n">
        <x:v>0.223</x:v>
      </x:c>
      <x:c r="C4732" s="6" t="n">
        <x:v>0.1282</x:v>
      </x:c>
      <x:c r="D4732" s="6" t="n">
        <x:f>B4732</x:f>
        <x:v>0.223</x:v>
      </x:c>
      <x:c r="E4732" s="1" t="n">
        <x:v>1.05</x:v>
      </x:c>
      <x:c r="F4732" s="1" t="str">
        <x:v>https://api.octopus.energy/v1/products/AGILE-24-10-01/electricity-tariffs/E-1R-AGILE-24-10-01-G/standard-unit-rates/</x:v>
      </x:c>
    </x:row>
    <x:row r="4733" ht="21" customHeight="1">
      <x:c r="A4733" s="24" t="n">
        <x:v>46247.104166666664</x:v>
      </x:c>
      <x:c r="B4733" s="6" t="n">
        <x:v>0.223</x:v>
      </x:c>
      <x:c r="C4733" s="6" t="n">
        <x:v>0.1282</x:v>
      </x:c>
      <x:c r="D4733" s="6" t="n">
        <x:f>B4733</x:f>
        <x:v>0.223</x:v>
      </x:c>
      <x:c r="E4733" s="1" t="n">
        <x:v>1.05</x:v>
      </x:c>
      <x:c r="F4733" s="1" t="str">
        <x:v>https://api.octopus.energy/v1/products/AGILE-24-10-01/electricity-tariffs/E-1R-AGILE-24-10-01-G/standard-unit-rates/</x:v>
      </x:c>
    </x:row>
    <x:row r="4734" ht="21" customHeight="1">
      <x:c r="A4734" s="24" t="n">
        <x:v>46247.125</x:v>
      </x:c>
      <x:c r="B4734" s="6" t="n">
        <x:v>0.2253</x:v>
      </x:c>
      <x:c r="C4734" s="6" t="n">
        <x:v>0.1293</x:v>
      </x:c>
      <x:c r="D4734" s="6" t="n">
        <x:f>B4734</x:f>
        <x:v>0.2253</x:v>
      </x:c>
      <x:c r="E4734" s="1" t="n">
        <x:v>1.05</x:v>
      </x:c>
      <x:c r="F4734" s="1" t="str">
        <x:v>https://api.octopus.energy/v1/products/AGILE-24-10-01/electricity-tariffs/E-1R-AGILE-24-10-01-G/standard-unit-rates/</x:v>
      </x:c>
    </x:row>
    <x:row r="4735" ht="21" customHeight="1">
      <x:c r="A4735" s="24" t="n">
        <x:v>46247.145833333336</x:v>
      </x:c>
      <x:c r="B4735" s="6" t="n">
        <x:v>0.22829999999999998</x:v>
      </x:c>
      <x:c r="C4735" s="6" t="n">
        <x:v>0.1306</x:v>
      </x:c>
      <x:c r="D4735" s="6" t="n">
        <x:f>B4735</x:f>
        <x:v>0.22829999999999998</x:v>
      </x:c>
      <x:c r="E4735" s="1" t="n">
        <x:v>1.05</x:v>
      </x:c>
      <x:c r="F4735" s="1" t="str">
        <x:v>https://api.octopus.energy/v1/products/AGILE-24-10-01/electricity-tariffs/E-1R-AGILE-24-10-01-G/standard-unit-rates/</x:v>
      </x:c>
    </x:row>
    <x:row r="4736" ht="21" customHeight="1">
      <x:c r="A4736" s="24" t="n">
        <x:v>46247.166666666664</x:v>
      </x:c>
      <x:c r="B4736" s="6" t="n">
        <x:v>0.24780000000000002</x:v>
      </x:c>
      <x:c r="C4736" s="6" t="n">
        <x:v>0.13949999999999999</x:v>
      </x:c>
      <x:c r="D4736" s="6" t="n">
        <x:f>B4736</x:f>
        <x:v>0.24780000000000002</x:v>
      </x:c>
      <x:c r="E4736" s="1" t="n">
        <x:v>1.05</x:v>
      </x:c>
      <x:c r="F4736" s="1" t="str">
        <x:v>https://api.octopus.energy/v1/products/AGILE-24-10-01/electricity-tariffs/E-1R-AGILE-24-10-01-G/standard-unit-rates/</x:v>
      </x:c>
    </x:row>
    <x:row r="4737" ht="21" customHeight="1">
      <x:c r="A4737" s="24" t="n">
        <x:v>46247.1875</x:v>
      </x:c>
      <x:c r="B4737" s="6" t="n">
        <x:v>0.2469</x:v>
      </x:c>
      <x:c r="C4737" s="6" t="n">
        <x:v>0.1392</x:v>
      </x:c>
      <x:c r="D4737" s="6" t="n">
        <x:f>B4737</x:f>
        <x:v>0.2469</x:v>
      </x:c>
      <x:c r="E4737" s="1" t="n">
        <x:v>1.05</x:v>
      </x:c>
      <x:c r="F4737" s="1" t="str">
        <x:v>https://api.octopus.energy/v1/products/AGILE-24-10-01/electricity-tariffs/E-1R-AGILE-24-10-01-G/standard-unit-rates/</x:v>
      </x:c>
    </x:row>
    <x:row r="4738" ht="21" customHeight="1">
      <x:c r="A4738" s="24" t="n">
        <x:v>46247.208333333336</x:v>
      </x:c>
      <x:c r="B4738" s="6" t="n">
        <x:v>0.2669</x:v>
      </x:c>
      <x:c r="C4738" s="6" t="n">
        <x:v>0.1483</x:v>
      </x:c>
      <x:c r="D4738" s="6" t="n">
        <x:f>B4738</x:f>
        <x:v>0.2669</x:v>
      </x:c>
      <x:c r="E4738" s="1" t="n">
        <x:v>1.05</x:v>
      </x:c>
      <x:c r="F4738" s="1" t="str">
        <x:v>https://api.octopus.energy/v1/products/AGILE-24-10-01/electricity-tariffs/E-1R-AGILE-24-10-01-G/standard-unit-rates/</x:v>
      </x:c>
    </x:row>
    <x:row r="4739" ht="21" customHeight="1">
      <x:c r="A4739" s="24" t="n">
        <x:v>46247.229166666664</x:v>
      </x:c>
      <x:c r="B4739" s="6" t="n">
        <x:v>0.2695</x:v>
      </x:c>
      <x:c r="C4739" s="6" t="n">
        <x:v>0.1495</x:v>
      </x:c>
      <x:c r="D4739" s="6" t="n">
        <x:f>B4739</x:f>
        <x:v>0.2695</x:v>
      </x:c>
      <x:c r="E4739" s="1" t="n">
        <x:v>1.05</x:v>
      </x:c>
      <x:c r="F4739" s="1" t="str">
        <x:v>https://api.octopus.energy/v1/products/AGILE-24-10-01/electricity-tariffs/E-1R-AGILE-24-10-01-G/standard-unit-rates/</x:v>
      </x:c>
    </x:row>
    <x:row r="4740" ht="21" customHeight="1">
      <x:c r="A4740" s="24" t="n">
        <x:v>46247.25</x:v>
      </x:c>
      <x:c r="B4740" s="6" t="n">
        <x:v>0.2698</x:v>
      </x:c>
      <x:c r="C4740" s="6" t="n">
        <x:v>0.1496</x:v>
      </x:c>
      <x:c r="D4740" s="6" t="n">
        <x:f>B4740</x:f>
        <x:v>0.2698</x:v>
      </x:c>
      <x:c r="E4740" s="1" t="n">
        <x:v>1.05</x:v>
      </x:c>
      <x:c r="F4740" s="1" t="str">
        <x:v>https://api.octopus.energy/v1/products/AGILE-24-10-01/electricity-tariffs/E-1R-AGILE-24-10-01-G/standard-unit-rates/</x:v>
      </x:c>
    </x:row>
    <x:row r="4741" ht="21" customHeight="1">
      <x:c r="A4741" s="24" t="n">
        <x:v>46247.270833333336</x:v>
      </x:c>
      <x:c r="B4741" s="6" t="n">
        <x:v>0.2777</x:v>
      </x:c>
      <x:c r="C4741" s="6" t="n">
        <x:v>0.1532</x:v>
      </x:c>
      <x:c r="D4741" s="6" t="n">
        <x:f>B4741</x:f>
        <x:v>0.2777</x:v>
      </x:c>
      <x:c r="E4741" s="1" t="n">
        <x:v>1.05</x:v>
      </x:c>
      <x:c r="F4741" s="1" t="str">
        <x:v>https://api.octopus.energy/v1/products/AGILE-24-10-01/electricity-tariffs/E-1R-AGILE-24-10-01-G/standard-unit-rates/</x:v>
      </x:c>
    </x:row>
    <x:row r="4742" ht="21" customHeight="1">
      <x:c r="A4742" s="24" t="n">
        <x:v>46247.291666666664</x:v>
      </x:c>
      <x:c r="B4742" s="6" t="n">
        <x:v>0.2386</x:v>
      </x:c>
      <x:c r="C4742" s="6" t="n">
        <x:v>0.1353</x:v>
      </x:c>
      <x:c r="D4742" s="6" t="n">
        <x:f>B4742</x:f>
        <x:v>0.2386</x:v>
      </x:c>
      <x:c r="E4742" s="1" t="n">
        <x:v>1.05</x:v>
      </x:c>
      <x:c r="F4742" s="1" t="str">
        <x:v>https://api.octopus.energy/v1/products/AGILE-24-10-01/electricity-tariffs/E-1R-AGILE-24-10-01-G/standard-unit-rates/</x:v>
      </x:c>
    </x:row>
    <x:row r="4743" ht="21" customHeight="1">
      <x:c r="A4743" s="24" t="n">
        <x:v>46247.3125</x:v>
      </x:c>
      <x:c r="B4743" s="6" t="n">
        <x:v>0.2577</x:v>
      </x:c>
      <x:c r="C4743" s="6" t="n">
        <x:v>0.1441</x:v>
      </x:c>
      <x:c r="D4743" s="6" t="n">
        <x:f>B4743</x:f>
        <x:v>0.2577</x:v>
      </x:c>
      <x:c r="E4743" s="1" t="n">
        <x:v>1.05</x:v>
      </x:c>
      <x:c r="F4743" s="1" t="str">
        <x:v>https://api.octopus.energy/v1/products/AGILE-24-10-01/electricity-tariffs/E-1R-AGILE-24-10-01-G/standard-unit-rates/</x:v>
      </x:c>
    </x:row>
    <x:row r="4744" ht="21" customHeight="1">
      <x:c r="A4744" s="24" t="n">
        <x:v>46247.333333333336</x:v>
      </x:c>
      <x:c r="B4744" s="6" t="n">
        <x:v>0.256</x:v>
      </x:c>
      <x:c r="C4744" s="6" t="n">
        <x:v>0.1433</x:v>
      </x:c>
      <x:c r="D4744" s="6" t="n">
        <x:f>B4744</x:f>
        <x:v>0.256</x:v>
      </x:c>
      <x:c r="E4744" s="1" t="n">
        <x:v>1.05</x:v>
      </x:c>
      <x:c r="F4744" s="1" t="str">
        <x:v>https://api.octopus.energy/v1/products/AGILE-24-10-01/electricity-tariffs/E-1R-AGILE-24-10-01-G/standard-unit-rates/</x:v>
      </x:c>
    </x:row>
    <x:row r="4745" ht="21" customHeight="1">
      <x:c r="A4745" s="24" t="n">
        <x:v>46247.354166666664</x:v>
      </x:c>
      <x:c r="B4745" s="6" t="n">
        <x:v>0.244</x:v>
      </x:c>
      <x:c r="C4745" s="6" t="n">
        <x:v>0.1378</x:v>
      </x:c>
      <x:c r="D4745" s="6" t="n">
        <x:f>B4745</x:f>
        <x:v>0.244</x:v>
      </x:c>
      <x:c r="E4745" s="1" t="n">
        <x:v>1.05</x:v>
      </x:c>
      <x:c r="F4745" s="1" t="str">
        <x:v>https://api.octopus.energy/v1/products/AGILE-24-10-01/electricity-tariffs/E-1R-AGILE-24-10-01-G/standard-unit-rates/</x:v>
      </x:c>
    </x:row>
    <x:row r="4746" ht="21" customHeight="1">
      <x:c r="A4746" s="24" t="n">
        <x:v>46247.375</x:v>
      </x:c>
      <x:c r="B4746" s="6" t="n">
        <x:v>0.2631</x:v>
      </x:c>
      <x:c r="C4746" s="6" t="n">
        <x:v>0.1465</x:v>
      </x:c>
      <x:c r="D4746" s="6" t="n">
        <x:f>B4746</x:f>
        <x:v>0.2631</x:v>
      </x:c>
      <x:c r="E4746" s="1" t="n">
        <x:v>1.05</x:v>
      </x:c>
      <x:c r="F4746" s="1" t="str">
        <x:v>https://api.octopus.energy/v1/products/AGILE-24-10-01/electricity-tariffs/E-1R-AGILE-24-10-01-G/standard-unit-rates/</x:v>
      </x:c>
    </x:row>
    <x:row r="4747" ht="21" customHeight="1">
      <x:c r="A4747" s="24" t="n">
        <x:v>46247.395833333336</x:v>
      </x:c>
      <x:c r="B4747" s="6" t="n">
        <x:v>0.266</x:v>
      </x:c>
      <x:c r="C4747" s="6" t="n">
        <x:v>0.1479</x:v>
      </x:c>
      <x:c r="D4747" s="6" t="n">
        <x:f>B4747</x:f>
        <x:v>0.266</x:v>
      </x:c>
      <x:c r="E4747" s="1" t="n">
        <x:v>1.05</x:v>
      </x:c>
      <x:c r="F4747" s="1" t="str">
        <x:v>https://api.octopus.energy/v1/products/AGILE-24-10-01/electricity-tariffs/E-1R-AGILE-24-10-01-G/standard-unit-rates/</x:v>
      </x:c>
    </x:row>
    <x:row r="4748" ht="21" customHeight="1">
      <x:c r="A4748" s="24" t="n">
        <x:v>46247.416666666664</x:v>
      </x:c>
      <x:c r="B4748" s="6" t="n">
        <x:v>0.2438</x:v>
      </x:c>
      <x:c r="C4748" s="6" t="n">
        <x:v>0.1377</x:v>
      </x:c>
      <x:c r="D4748" s="6" t="n">
        <x:f>B4748</x:f>
        <x:v>0.2438</x:v>
      </x:c>
      <x:c r="E4748" s="1" t="n">
        <x:v>1.05</x:v>
      </x:c>
      <x:c r="F4748" s="1" t="str">
        <x:v>https://api.octopus.energy/v1/products/AGILE-24-10-01/electricity-tariffs/E-1R-AGILE-24-10-01-G/standard-unit-rates/</x:v>
      </x:c>
    </x:row>
    <x:row r="4749" ht="21" customHeight="1">
      <x:c r="A4749" s="24" t="n">
        <x:v>46247.4375</x:v>
      </x:c>
      <x:c r="B4749" s="6" t="n">
        <x:v>0.2228</x:v>
      </x:c>
      <x:c r="C4749" s="6" t="n">
        <x:v>0.1281</x:v>
      </x:c>
      <x:c r="D4749" s="6" t="n">
        <x:f>B4749</x:f>
        <x:v>0.2228</x:v>
      </x:c>
      <x:c r="E4749" s="1" t="n">
        <x:v>1.05</x:v>
      </x:c>
      <x:c r="F4749" s="1" t="str">
        <x:v>https://api.octopus.energy/v1/products/AGILE-24-10-01/electricity-tariffs/E-1R-AGILE-24-10-01-G/standard-unit-rates/</x:v>
      </x:c>
    </x:row>
    <x:row r="4750" ht="21" customHeight="1">
      <x:c r="A4750" s="24" t="n">
        <x:v>46247.458333333336</x:v>
      </x:c>
      <x:c r="B4750" s="6" t="n">
        <x:v>0.2206</x:v>
      </x:c>
      <x:c r="C4750" s="6" t="n">
        <x:v>0.12710000000000002</x:v>
      </x:c>
      <x:c r="D4750" s="6" t="n">
        <x:f>B4750</x:f>
        <x:v>0.2206</x:v>
      </x:c>
      <x:c r="E4750" s="1" t="n">
        <x:v>1.05</x:v>
      </x:c>
      <x:c r="F4750" s="1" t="str">
        <x:v>https://api.octopus.energy/v1/products/AGILE-24-10-01/electricity-tariffs/E-1R-AGILE-24-10-01-G/standard-unit-rates/</x:v>
      </x:c>
    </x:row>
    <x:row r="4751" ht="21" customHeight="1">
      <x:c r="A4751" s="24" t="n">
        <x:v>46247.479166666664</x:v>
      </x:c>
      <x:c r="B4751" s="6" t="n">
        <x:v>0.215</x:v>
      </x:c>
      <x:c r="C4751" s="6" t="n">
        <x:v>0.1245</x:v>
      </x:c>
      <x:c r="D4751" s="6" t="n">
        <x:f>B4751</x:f>
        <x:v>0.215</x:v>
      </x:c>
      <x:c r="E4751" s="1" t="n">
        <x:v>1.05</x:v>
      </x:c>
      <x:c r="F4751" s="1" t="str">
        <x:v>https://api.octopus.energy/v1/products/AGILE-24-10-01/electricity-tariffs/E-1R-AGILE-24-10-01-G/standard-unit-rates/</x:v>
      </x:c>
    </x:row>
    <x:row r="4752" ht="21" customHeight="1">
      <x:c r="A4752" s="24" t="n">
        <x:v>46247.5</x:v>
      </x:c>
      <x:c r="B4752" s="6" t="n">
        <x:v>0.2163</x:v>
      </x:c>
      <x:c r="C4752" s="6" t="n">
        <x:v>0.1252</x:v>
      </x:c>
      <x:c r="D4752" s="6" t="n">
        <x:f>B4752</x:f>
        <x:v>0.2163</x:v>
      </x:c>
      <x:c r="E4752" s="1" t="n">
        <x:v>1.05</x:v>
      </x:c>
      <x:c r="F4752" s="1" t="str">
        <x:v>https://api.octopus.energy/v1/products/AGILE-24-10-01/electricity-tariffs/E-1R-AGILE-24-10-01-G/standard-unit-rates/</x:v>
      </x:c>
    </x:row>
    <x:row r="4753" ht="21" customHeight="1">
      <x:c r="A4753" s="24" t="n">
        <x:v>46247.520833333336</x:v>
      </x:c>
      <x:c r="B4753" s="6" t="n">
        <x:v>0.21710000000000002</x:v>
      </x:c>
      <x:c r="C4753" s="6" t="n">
        <x:v>0.1255</x:v>
      </x:c>
      <x:c r="D4753" s="6" t="n">
        <x:f>B4753</x:f>
        <x:v>0.21710000000000002</x:v>
      </x:c>
      <x:c r="E4753" s="1" t="n">
        <x:v>1.05</x:v>
      </x:c>
      <x:c r="F4753" s="1" t="str">
        <x:v>https://api.octopus.energy/v1/products/AGILE-24-10-01/electricity-tariffs/E-1R-AGILE-24-10-01-G/standard-unit-rates/</x:v>
      </x:c>
    </x:row>
    <x:row r="4754" ht="21" customHeight="1">
      <x:c r="A4754" s="24" t="n">
        <x:v>46247.541666666664</x:v>
      </x:c>
      <x:c r="B4754" s="6" t="n">
        <x:v>0.215</x:v>
      </x:c>
      <x:c r="C4754" s="6" t="n">
        <x:v>0.1245</x:v>
      </x:c>
      <x:c r="D4754" s="6" t="n">
        <x:f>B4754</x:f>
        <x:v>0.215</x:v>
      </x:c>
      <x:c r="E4754" s="1" t="n">
        <x:v>1.05</x:v>
      </x:c>
      <x:c r="F4754" s="1" t="str">
        <x:v>https://api.octopus.energy/v1/products/AGILE-24-10-01/electricity-tariffs/E-1R-AGILE-24-10-01-G/standard-unit-rates/</x:v>
      </x:c>
    </x:row>
    <x:row r="4755" ht="21" customHeight="1">
      <x:c r="A4755" s="24" t="n">
        <x:v>46247.5625</x:v>
      </x:c>
      <x:c r="B4755" s="6" t="n">
        <x:v>0.21350000000000002</x:v>
      </x:c>
      <x:c r="C4755" s="6" t="n">
        <x:v>0.12390000000000001</x:v>
      </x:c>
      <x:c r="D4755" s="6" t="n">
        <x:f>B4755</x:f>
        <x:v>0.21350000000000002</x:v>
      </x:c>
      <x:c r="E4755" s="1" t="n">
        <x:v>1.05</x:v>
      </x:c>
      <x:c r="F4755" s="1" t="str">
        <x:v>https://api.octopus.energy/v1/products/AGILE-24-10-01/electricity-tariffs/E-1R-AGILE-24-10-01-G/standard-unit-rates/</x:v>
      </x:c>
    </x:row>
    <x:row r="4756" ht="21" customHeight="1">
      <x:c r="A4756" s="24" t="n">
        <x:v>46247.583333333336</x:v>
      </x:c>
      <x:c r="B4756" s="6" t="n">
        <x:v>0.2121</x:v>
      </x:c>
      <x:c r="C4756" s="6" t="n">
        <x:v>0.1232</x:v>
      </x:c>
      <x:c r="D4756" s="6" t="n">
        <x:f>B4756</x:f>
        <x:v>0.2121</x:v>
      </x:c>
      <x:c r="E4756" s="1" t="n">
        <x:v>1.05</x:v>
      </x:c>
      <x:c r="F4756" s="1" t="str">
        <x:v>https://api.octopus.energy/v1/products/AGILE-24-10-01/electricity-tariffs/E-1R-AGILE-24-10-01-G/standard-unit-rates/</x:v>
      </x:c>
    </x:row>
    <x:row r="4757" ht="21" customHeight="1">
      <x:c r="A4757" s="24" t="n">
        <x:v>46247.604166666664</x:v>
      </x:c>
      <x:c r="B4757" s="6" t="n">
        <x:v>0.21239999999999998</x:v>
      </x:c>
      <x:c r="C4757" s="6" t="n">
        <x:v>0.1234</x:v>
      </x:c>
      <x:c r="D4757" s="6" t="n">
        <x:f>B4757</x:f>
        <x:v>0.21239999999999998</x:v>
      </x:c>
      <x:c r="E4757" s="1" t="n">
        <x:v>1.05</x:v>
      </x:c>
      <x:c r="F4757" s="1" t="str">
        <x:v>https://api.octopus.energy/v1/products/AGILE-24-10-01/electricity-tariffs/E-1R-AGILE-24-10-01-G/standard-unit-rates/</x:v>
      </x:c>
    </x:row>
    <x:row r="4758" ht="21" customHeight="1">
      <x:c r="A4758" s="24" t="n">
        <x:v>46247.625</x:v>
      </x:c>
      <x:c r="B4758" s="6" t="n">
        <x:v>0.2084</x:v>
      </x:c>
      <x:c r="C4758" s="6" t="n">
        <x:v>0.1215</x:v>
      </x:c>
      <x:c r="D4758" s="6" t="n">
        <x:f>B4758</x:f>
        <x:v>0.2084</x:v>
      </x:c>
      <x:c r="E4758" s="1" t="n">
        <x:v>1.05</x:v>
      </x:c>
      <x:c r="F4758" s="1" t="str">
        <x:v>https://api.octopus.energy/v1/products/AGILE-24-10-01/electricity-tariffs/E-1R-AGILE-24-10-01-G/standard-unit-rates/</x:v>
      </x:c>
    </x:row>
    <x:row r="4759" ht="21" customHeight="1">
      <x:c r="A4759" s="24" t="n">
        <x:v>46247.645833333336</x:v>
      </x:c>
      <x:c r="B4759" s="6" t="n">
        <x:v>0.2144</x:v>
      </x:c>
      <x:c r="C4759" s="6" t="n">
        <x:v>0.1243</x:v>
      </x:c>
      <x:c r="D4759" s="6" t="n">
        <x:f>B4759</x:f>
        <x:v>0.2144</x:v>
      </x:c>
      <x:c r="E4759" s="1" t="n">
        <x:v>1.05</x:v>
      </x:c>
      <x:c r="F4759" s="1" t="str">
        <x:v>https://api.octopus.energy/v1/products/AGILE-24-10-01/electricity-tariffs/E-1R-AGILE-24-10-01-G/standard-unit-rates/</x:v>
      </x:c>
    </x:row>
    <x:row r="4760" ht="21" customHeight="1">
      <x:c r="A4760" s="24" t="n">
        <x:v>46247.666666666664</x:v>
      </x:c>
      <x:c r="B4760" s="6" t="n">
        <x:v>0.3663</x:v>
      </x:c>
      <x:c r="C4760" s="6" t="n">
        <x:v>0.1978</x:v>
      </x:c>
      <x:c r="D4760" s="6" t="n">
        <x:f>B4760</x:f>
        <x:v>0.3663</x:v>
      </x:c>
      <x:c r="E4760" s="1" t="n">
        <x:v>1.05</x:v>
      </x:c>
      <x:c r="F4760" s="1" t="str">
        <x:v>https://api.octopus.energy/v1/products/AGILE-24-10-01/electricity-tariffs/E-1R-AGILE-24-10-01-G/standard-unit-rates/</x:v>
      </x:c>
    </x:row>
    <x:row r="4761" ht="21" customHeight="1">
      <x:c r="A4761" s="24" t="n">
        <x:v>46247.6875</x:v>
      </x:c>
      <x:c r="B4761" s="6" t="n">
        <x:v>0.3667</x:v>
      </x:c>
      <x:c r="C4761" s="6" t="n">
        <x:v>0.198</x:v>
      </x:c>
      <x:c r="D4761" s="6" t="n">
        <x:f>B4761</x:f>
        <x:v>0.3667</x:v>
      </x:c>
      <x:c r="E4761" s="1" t="n">
        <x:v>1.05</x:v>
      </x:c>
      <x:c r="F4761" s="1" t="str">
        <x:v>https://api.octopus.energy/v1/products/AGILE-24-10-01/electricity-tariffs/E-1R-AGILE-24-10-01-G/standard-unit-rates/</x:v>
      </x:c>
    </x:row>
    <x:row r="4762" ht="21" customHeight="1">
      <x:c r="A4762" s="24" t="n">
        <x:v>46247.708333333336</x:v>
      </x:c>
      <x:c r="B4762" s="6" t="n">
        <x:v>0.4389</x:v>
      </x:c>
      <x:c r="C4762" s="6" t="n">
        <x:v>0.231</x:v>
      </x:c>
      <x:c r="D4762" s="6" t="n">
        <x:f>B4762</x:f>
        <x:v>0.4389</x:v>
      </x:c>
      <x:c r="E4762" s="1" t="n">
        <x:v>1.05</x:v>
      </x:c>
      <x:c r="F4762" s="1" t="str">
        <x:v>https://api.octopus.energy/v1/products/AGILE-24-10-01/electricity-tariffs/E-1R-AGILE-24-10-01-G/standard-unit-rates/</x:v>
      </x:c>
    </x:row>
    <x:row r="4763" ht="21" customHeight="1">
      <x:c r="A4763" s="24" t="n">
        <x:v>46247.729166666664</x:v>
      </x:c>
      <x:c r="B4763" s="6" t="n">
        <x:v>0.47759999999999997</x:v>
      </x:c>
      <x:c r="C4763" s="6" t="n">
        <x:v>0.2486</x:v>
      </x:c>
      <x:c r="D4763" s="6" t="n">
        <x:f>B4763</x:f>
        <x:v>0.47759999999999997</x:v>
      </x:c>
      <x:c r="E4763" s="1" t="n">
        <x:v>1.05</x:v>
      </x:c>
      <x:c r="F4763" s="1" t="str">
        <x:v>https://api.octopus.energy/v1/products/AGILE-24-10-01/electricity-tariffs/E-1R-AGILE-24-10-01-G/standard-unit-rates/</x:v>
      </x:c>
    </x:row>
    <x:row r="4764" ht="21" customHeight="1">
      <x:c r="A4764" s="24" t="n">
        <x:v>46247.75</x:v>
      </x:c>
      <x:c r="B4764" s="6" t="n">
        <x:v>0.6725</x:v>
      </x:c>
      <x:c r="C4764" s="6" t="n">
        <x:v>0.33770000000000006</x:v>
      </x:c>
      <x:c r="D4764" s="6" t="n">
        <x:f>B4764</x:f>
        <x:v>0.6725</x:v>
      </x:c>
      <x:c r="E4764" s="1" t="n">
        <x:v>1.05</x:v>
      </x:c>
      <x:c r="F4764" s="1" t="str">
        <x:v>https://api.octopus.energy/v1/products/AGILE-24-10-01/electricity-tariffs/E-1R-AGILE-24-10-01-G/standard-unit-rates/</x:v>
      </x:c>
    </x:row>
    <x:row r="4765" ht="21" customHeight="1">
      <x:c r="A4765" s="24" t="n">
        <x:v>46247.770833333336</x:v>
      </x:c>
      <x:c r="B4765" s="6" t="n">
        <x:v>0.6822</x:v>
      </x:c>
      <x:c r="C4765" s="6" t="n">
        <x:v>0.3422</x:v>
      </x:c>
      <x:c r="D4765" s="6" t="n">
        <x:f>B4765</x:f>
        <x:v>0.6822</x:v>
      </x:c>
      <x:c r="E4765" s="1" t="n">
        <x:v>1.05</x:v>
      </x:c>
      <x:c r="F4765" s="1" t="str">
        <x:v>https://api.octopus.energy/v1/products/AGILE-24-10-01/electricity-tariffs/E-1R-AGILE-24-10-01-G/standard-unit-rates/</x:v>
      </x:c>
    </x:row>
    <x:row r="4766" ht="21" customHeight="1">
      <x:c r="A4766" s="24" t="n">
        <x:v>46247.791666666664</x:v>
      </x:c>
      <x:c r="B4766" s="6" t="n">
        <x:v>0.5659000000000001</x:v>
      </x:c>
      <x:c r="C4766" s="6" t="n">
        <x:v>0.285</x:v>
      </x:c>
      <x:c r="D4766" s="6" t="n">
        <x:f>B4766</x:f>
        <x:v>0.5659000000000001</x:v>
      </x:c>
      <x:c r="E4766" s="1" t="n">
        <x:v>1.05</x:v>
      </x:c>
      <x:c r="F4766" s="1" t="str">
        <x:v>https://api.octopus.energy/v1/products/AGILE-24-10-01/electricity-tariffs/E-1R-AGILE-24-10-01-G/standard-unit-rates/</x:v>
      </x:c>
    </x:row>
    <x:row r="4767" ht="21" customHeight="1">
      <x:c r="A4767" s="24" t="n">
        <x:v>46247.8125</x:v>
      </x:c>
      <x:c r="B4767" s="6" t="n">
        <x:v>0.5756</x:v>
      </x:c>
      <x:c r="C4767" s="6" t="n">
        <x:v>0.2894</x:v>
      </x:c>
      <x:c r="D4767" s="6" t="n">
        <x:f>B4767</x:f>
        <x:v>0.5756</x:v>
      </x:c>
      <x:c r="E4767" s="1" t="n">
        <x:v>1.05</x:v>
      </x:c>
      <x:c r="F4767" s="1" t="str">
        <x:v>https://api.octopus.energy/v1/products/AGILE-24-10-01/electricity-tariffs/E-1R-AGILE-24-10-01-G/standard-unit-rates/</x:v>
      </x:c>
    </x:row>
    <x:row r="4768" ht="21" customHeight="1">
      <x:c r="A4768" s="24" t="n">
        <x:v>46247.833333333336</x:v>
      </x:c>
      <x:c r="B4768" s="6" t="n">
        <x:v>0.4486</x:v>
      </x:c>
      <x:c r="C4768" s="6" t="n">
        <x:v>0.2314</x:v>
      </x:c>
      <x:c r="D4768" s="6" t="n">
        <x:f>B4768</x:f>
        <x:v>0.4486</x:v>
      </x:c>
      <x:c r="E4768" s="1" t="n">
        <x:v>1.05</x:v>
      </x:c>
      <x:c r="F4768" s="1" t="str">
        <x:v>https://api.octopus.energy/v1/products/AGILE-24-10-01/electricity-tariffs/E-1R-AGILE-24-10-01-G/standard-unit-rates/</x:v>
      </x:c>
    </x:row>
    <x:row r="4769" ht="21" customHeight="1">
      <x:c r="A4769" s="24" t="n">
        <x:v>46247.854166666664</x:v>
      </x:c>
      <x:c r="B4769" s="6" t="n">
        <x:v>0.4416</x:v>
      </x:c>
      <x:c r="C4769" s="6" t="n">
        <x:v>0.2281</x:v>
      </x:c>
      <x:c r="D4769" s="6" t="n">
        <x:f>B4769</x:f>
        <x:v>0.4416</x:v>
      </x:c>
      <x:c r="E4769" s="1" t="n">
        <x:v>1.05</x:v>
      </x:c>
      <x:c r="F4769" s="1" t="str">
        <x:v>https://api.octopus.energy/v1/products/AGILE-24-10-01/electricity-tariffs/E-1R-AGILE-24-10-01-G/standard-unit-rates/</x:v>
      </x:c>
    </x:row>
    <x:row r="4770" ht="21" customHeight="1">
      <x:c r="A4770" s="24" t="n">
        <x:v>46247.875</x:v>
      </x:c>
      <x:c r="B4770" s="6" t="n">
        <x:v>0.38659999999999994</x:v>
      </x:c>
      <x:c r="C4770" s="6" t="n">
        <x:v>0.203</x:v>
      </x:c>
      <x:c r="D4770" s="6" t="n">
        <x:f>B4770</x:f>
        <x:v>0.38659999999999994</x:v>
      </x:c>
      <x:c r="E4770" s="1" t="n">
        <x:v>1.05</x:v>
      </x:c>
      <x:c r="F4770" s="1" t="str">
        <x:v>https://api.octopus.energy/v1/products/AGILE-24-10-01/electricity-tariffs/E-1R-AGILE-24-10-01-G/standard-unit-rates/</x:v>
      </x:c>
    </x:row>
    <x:row r="4771" ht="21" customHeight="1">
      <x:c r="A4771" s="24" t="n">
        <x:v>46247.895833333336</x:v>
      </x:c>
      <x:c r="B4771" s="6" t="n">
        <x:v>0.3386</x:v>
      </x:c>
      <x:c r="C4771" s="6" t="n">
        <x:v>0.18100000000000002</x:v>
      </x:c>
      <x:c r="D4771" s="6" t="n">
        <x:f>B4771</x:f>
        <x:v>0.3386</x:v>
      </x:c>
      <x:c r="E4771" s="1" t="n">
        <x:v>1.05</x:v>
      </x:c>
      <x:c r="F4771" s="1" t="str">
        <x:v>https://api.octopus.energy/v1/products/AGILE-24-10-01/electricity-tariffs/E-1R-AGILE-24-10-01-G/standard-unit-rates/</x:v>
      </x:c>
    </x:row>
    <x:row r="4772" ht="21" customHeight="1">
      <x:c r="A4772" s="24" t="n">
        <x:v>46247.916666666664</x:v>
      </x:c>
      <x:c r="B4772" s="6" t="n">
        <x:v>0.32020000000000004</x:v>
      </x:c>
      <x:c r="C4772" s="6" t="n">
        <x:v>0.1727</x:v>
      </x:c>
      <x:c r="D4772" s="6" t="n">
        <x:f>B4772</x:f>
        <x:v>0.32020000000000004</x:v>
      </x:c>
      <x:c r="E4772" s="1" t="n">
        <x:v>1.05</x:v>
      </x:c>
      <x:c r="F4772" s="1" t="str">
        <x:v>https://api.octopus.energy/v1/products/AGILE-24-10-01/electricity-tariffs/E-1R-AGILE-24-10-01-G/standard-unit-rates/</x:v>
      </x:c>
    </x:row>
    <x:row r="4773" ht="21" customHeight="1">
      <x:c r="A4773" s="24" t="n">
        <x:v>46247.9375</x:v>
      </x:c>
      <x:c r="B4773" s="6" t="n">
        <x:v>0.3068</x:v>
      </x:c>
      <x:c r="C4773" s="6" t="n">
        <x:v>0.16649999999999998</x:v>
      </x:c>
      <x:c r="D4773" s="6" t="n">
        <x:f>B4773</x:f>
        <x:v>0.3068</x:v>
      </x:c>
      <x:c r="E4773" s="1" t="n">
        <x:v>1.05</x:v>
      </x:c>
      <x:c r="F4773" s="1" t="str">
        <x:v>https://api.octopus.energy/v1/products/AGILE-24-10-01/electricity-tariffs/E-1R-AGILE-24-10-01-G/standard-unit-rates/</x:v>
      </x:c>
    </x:row>
    <x:row r="4774" ht="21" customHeight="1">
      <x:c r="A4774" s="24" t="n">
        <x:v>46248</x:v>
      </x:c>
      <x:c r="B4774" s="6" t="n">
        <x:v>0.2801</x:v>
      </x:c>
      <x:c r="C4774" s="6" t="n">
        <x:v>0.1543</x:v>
      </x:c>
      <x:c r="D4774" s="6" t="n">
        <x:f>B4774</x:f>
        <x:v>0.2801</x:v>
      </x:c>
      <x:c r="E4774" s="1" t="n">
        <x:v>1.05</x:v>
      </x:c>
      <x:c r="F4774" s="1" t="str">
        <x:v>https://api.octopus.energy/v1/products/AGILE-24-10-01/electricity-tariffs/E-1R-AGILE-24-10-01-G/standard-unit-rates/</x:v>
      </x:c>
    </x:row>
    <x:row r="4775" ht="21" customHeight="1">
      <x:c r="A4775" s="24" t="n">
        <x:v>46247.979166666664</x:v>
      </x:c>
      <x:c r="B4775" s="6" t="n">
        <x:v>0.2766</x:v>
      </x:c>
      <x:c r="C4775" s="6" t="n">
        <x:v>0.1527</x:v>
      </x:c>
      <x:c r="D4775" s="6" t="n">
        <x:f>B4775</x:f>
        <x:v>0.2766</x:v>
      </x:c>
      <x:c r="E4775" s="1" t="n">
        <x:v>1.05</x:v>
      </x:c>
      <x:c r="F4775" s="1" t="str">
        <x:v>https://api.octopus.energy/v1/products/AGILE-24-10-01/electricity-tariffs/E-1R-AGILE-24-10-01-G/standard-unit-rates/</x:v>
      </x:c>
    </x:row>
    <x:row r="4776" ht="21" customHeight="1">
      <x:c r="A4776" s="24" t="n">
        <x:v>46248</x:v>
      </x:c>
      <x:c r="B4776" s="6" t="n">
        <x:v>0.2585</x:v>
      </x:c>
      <x:c r="C4776" s="6" t="n">
        <x:v>0.1444</x:v>
      </x:c>
      <x:c r="D4776" s="6" t="n">
        <x:f>B4776</x:f>
        <x:v>0.2585</x:v>
      </x:c>
      <x:c r="E4776" s="1" t="n">
        <x:v>1.05</x:v>
      </x:c>
      <x:c r="F4776" s="1" t="str">
        <x:v>https://api.octopus.energy/v1/products/AGILE-24-10-01/electricity-tariffs/E-1R-AGILE-24-10-01-G/standard-unit-rates/</x:v>
      </x:c>
    </x:row>
    <x:row r="4777" ht="21" customHeight="1">
      <x:c r="A4777" s="24" t="n">
        <x:v>46248.020833333336</x:v>
      </x:c>
      <x:c r="B4777" s="6" t="n">
        <x:v>0.2502</x:v>
      </x:c>
      <x:c r="C4777" s="6" t="n">
        <x:v>0.1406</x:v>
      </x:c>
      <x:c r="D4777" s="6" t="n">
        <x:f>B4777</x:f>
        <x:v>0.2502</x:v>
      </x:c>
      <x:c r="E4777" s="1" t="n">
        <x:v>1.05</x:v>
      </x:c>
      <x:c r="F4777" s="1" t="str">
        <x:v>https://api.octopus.energy/v1/products/AGILE-24-10-01/electricity-tariffs/E-1R-AGILE-24-10-01-G/standard-unit-rates/</x:v>
      </x:c>
    </x:row>
    <x:row r="4778" ht="21" customHeight="1">
      <x:c r="A4778" s="24" t="n">
        <x:v>46248.041666666664</x:v>
      </x:c>
      <x:c r="B4778" s="6" t="n">
        <x:v>0.24350000000000002</x:v>
      </x:c>
      <x:c r="C4778" s="6" t="n">
        <x:v>0.1376</x:v>
      </x:c>
      <x:c r="D4778" s="6" t="n">
        <x:f>B4778</x:f>
        <x:v>0.24350000000000002</x:v>
      </x:c>
      <x:c r="E4778" s="1" t="n">
        <x:v>1.05</x:v>
      </x:c>
      <x:c r="F4778" s="1" t="str">
        <x:v>https://api.octopus.energy/v1/products/AGILE-24-10-01/electricity-tariffs/E-1R-AGILE-24-10-01-G/standard-unit-rates/</x:v>
      </x:c>
    </x:row>
    <x:row r="4779" ht="21" customHeight="1">
      <x:c r="A4779" s="24" t="n">
        <x:v>46248.0625</x:v>
      </x:c>
      <x:c r="B4779" s="6" t="n">
        <x:v>0.2375</x:v>
      </x:c>
      <x:c r="C4779" s="6" t="n">
        <x:v>0.1348</x:v>
      </x:c>
      <x:c r="D4779" s="6" t="n">
        <x:f>B4779</x:f>
        <x:v>0.2375</x:v>
      </x:c>
      <x:c r="E4779" s="1" t="n">
        <x:v>1.05</x:v>
      </x:c>
      <x:c r="F4779" s="1" t="str">
        <x:v>https://api.octopus.energy/v1/products/AGILE-24-10-01/electricity-tariffs/E-1R-AGILE-24-10-01-G/standard-unit-rates/</x:v>
      </x:c>
    </x:row>
    <x:row r="4780" ht="21" customHeight="1">
      <x:c r="A4780" s="24" t="n">
        <x:v>46248.083333333336</x:v>
      </x:c>
      <x:c r="B4780" s="6" t="n">
        <x:v>0.23620000000000002</x:v>
      </x:c>
      <x:c r="C4780" s="6" t="n">
        <x:v>0.1343</x:v>
      </x:c>
      <x:c r="D4780" s="6" t="n">
        <x:f>B4780</x:f>
        <x:v>0.23620000000000002</x:v>
      </x:c>
      <x:c r="E4780" s="1" t="n">
        <x:v>1.05</x:v>
      </x:c>
      <x:c r="F4780" s="1" t="str">
        <x:v>https://api.octopus.energy/v1/products/AGILE-24-10-01/electricity-tariffs/E-1R-AGILE-24-10-01-G/standard-unit-rates/</x:v>
      </x:c>
    </x:row>
    <x:row r="4781" ht="21" customHeight="1">
      <x:c r="A4781" s="24" t="n">
        <x:v>46248.104166666664</x:v>
      </x:c>
      <x:c r="B4781" s="6" t="n">
        <x:v>0.2347</x:v>
      </x:c>
      <x:c r="C4781" s="6" t="n">
        <x:v>0.1336</x:v>
      </x:c>
      <x:c r="D4781" s="6" t="n">
        <x:f>B4781</x:f>
        <x:v>0.2347</x:v>
      </x:c>
      <x:c r="E4781" s="1" t="n">
        <x:v>1.05</x:v>
      </x:c>
      <x:c r="F4781" s="1" t="str">
        <x:v>https://api.octopus.energy/v1/products/AGILE-24-10-01/electricity-tariffs/E-1R-AGILE-24-10-01-G/standard-unit-rates/</x:v>
      </x:c>
    </x:row>
    <x:row r="4782" ht="21" customHeight="1">
      <x:c r="A4782" s="24" t="n">
        <x:v>46248.125</x:v>
      </x:c>
      <x:c r="B4782" s="6" t="n">
        <x:v>0.23870000000000002</x:v>
      </x:c>
      <x:c r="C4782" s="6" t="n">
        <x:v>0.1354</x:v>
      </x:c>
      <x:c r="D4782" s="6" t="n">
        <x:f>B4782</x:f>
        <x:v>0.23870000000000002</x:v>
      </x:c>
      <x:c r="E4782" s="1" t="n">
        <x:v>1.05</x:v>
      </x:c>
      <x:c r="F4782" s="1" t="str">
        <x:v>https://api.octopus.energy/v1/products/AGILE-24-10-01/electricity-tariffs/E-1R-AGILE-24-10-01-G/standard-unit-rates/</x:v>
      </x:c>
    </x:row>
    <x:row r="4783" ht="21" customHeight="1">
      <x:c r="A4783" s="24" t="n">
        <x:v>46248.145833333336</x:v>
      </x:c>
      <x:c r="B4783" s="6" t="n">
        <x:v>0.2351</x:v>
      </x:c>
      <x:c r="C4783" s="6" t="n">
        <x:v>0.13369999999999999</x:v>
      </x:c>
      <x:c r="D4783" s="6" t="n">
        <x:f>B4783</x:f>
        <x:v>0.2351</x:v>
      </x:c>
      <x:c r="E4783" s="1" t="n">
        <x:v>1.05</x:v>
      </x:c>
      <x:c r="F4783" s="1" t="str">
        <x:v>https://api.octopus.energy/v1/products/AGILE-24-10-01/electricity-tariffs/E-1R-AGILE-24-10-01-G/standard-unit-rates/</x:v>
      </x:c>
    </x:row>
    <x:row r="4784" ht="21" customHeight="1">
      <x:c r="A4784" s="24" t="n">
        <x:v>46248.166666666664</x:v>
      </x:c>
      <x:c r="B4784" s="6" t="n">
        <x:v>0.2569</x:v>
      </x:c>
      <x:c r="C4784" s="6" t="n">
        <x:v>0.1437</x:v>
      </x:c>
      <x:c r="D4784" s="6" t="n">
        <x:f>B4784</x:f>
        <x:v>0.2569</x:v>
      </x:c>
      <x:c r="E4784" s="1" t="n">
        <x:v>1.05</x:v>
      </x:c>
      <x:c r="F4784" s="1" t="str">
        <x:v>https://api.octopus.energy/v1/products/AGILE-24-10-01/electricity-tariffs/E-1R-AGILE-24-10-01-G/standard-unit-rates/</x:v>
      </x:c>
    </x:row>
    <x:row r="4785" ht="21" customHeight="1">
      <x:c r="A4785" s="24" t="n">
        <x:v>46248.1875</x:v>
      </x:c>
      <x:c r="B4785" s="6" t="n">
        <x:v>0.2593</x:v>
      </x:c>
      <x:c r="C4785" s="6" t="n">
        <x:v>0.1448</x:v>
      </x:c>
      <x:c r="D4785" s="6" t="n">
        <x:f>B4785</x:f>
        <x:v>0.2593</x:v>
      </x:c>
      <x:c r="E4785" s="1" t="n">
        <x:v>1.05</x:v>
      </x:c>
      <x:c r="F4785" s="1" t="str">
        <x:v>https://api.octopus.energy/v1/products/AGILE-24-10-01/electricity-tariffs/E-1R-AGILE-24-10-01-G/standard-unit-rates/</x:v>
      </x:c>
    </x:row>
    <x:row r="4786" ht="21" customHeight="1">
      <x:c r="A4786" s="24" t="n">
        <x:v>46248.208333333336</x:v>
      </x:c>
      <x:c r="B4786" s="6" t="n">
        <x:v>0.2791</x:v>
      </x:c>
      <x:c r="C4786" s="6" t="n">
        <x:v>0.15380000000000002</x:v>
      </x:c>
      <x:c r="D4786" s="6" t="n">
        <x:f>B4786</x:f>
        <x:v>0.2791</x:v>
      </x:c>
      <x:c r="E4786" s="1" t="n">
        <x:v>1.05</x:v>
      </x:c>
      <x:c r="F4786" s="1" t="str">
        <x:v>https://api.octopus.energy/v1/products/AGILE-24-10-01/electricity-tariffs/E-1R-AGILE-24-10-01-G/standard-unit-rates/</x:v>
      </x:c>
    </x:row>
    <x:row r="4787" ht="21" customHeight="1">
      <x:c r="A4787" s="24" t="n">
        <x:v>46248.229166666664</x:v>
      </x:c>
      <x:c r="B4787" s="6" t="n">
        <x:v>0.2858</x:v>
      </x:c>
      <x:c r="C4787" s="6" t="n">
        <x:v>0.15689999999999998</x:v>
      </x:c>
      <x:c r="D4787" s="6" t="n">
        <x:f>B4787</x:f>
        <x:v>0.2858</x:v>
      </x:c>
      <x:c r="E4787" s="1" t="n">
        <x:v>1.05</x:v>
      </x:c>
      <x:c r="F4787" s="1" t="str">
        <x:v>https://api.octopus.energy/v1/products/AGILE-24-10-01/electricity-tariffs/E-1R-AGILE-24-10-01-G/standard-unit-rates/</x:v>
      </x:c>
    </x:row>
    <x:row r="4788" ht="21" customHeight="1">
      <x:c r="A4788" s="24" t="n">
        <x:v>46248.25</x:v>
      </x:c>
      <x:c r="B4788" s="6" t="n">
        <x:v>0.2814</x:v>
      </x:c>
      <x:c r="C4788" s="6" t="n">
        <x:v>0.1549</x:v>
      </x:c>
      <x:c r="D4788" s="6" t="n">
        <x:f>B4788</x:f>
        <x:v>0.2814</x:v>
      </x:c>
      <x:c r="E4788" s="1" t="n">
        <x:v>1.05</x:v>
      </x:c>
      <x:c r="F4788" s="1" t="str">
        <x:v>https://api.octopus.energy/v1/products/AGILE-24-10-01/electricity-tariffs/E-1R-AGILE-24-10-01-G/standard-unit-rates/</x:v>
      </x:c>
    </x:row>
    <x:row r="4789" ht="21" customHeight="1">
      <x:c r="A4789" s="24" t="n">
        <x:v>46248.270833333336</x:v>
      </x:c>
      <x:c r="B4789" s="6" t="n">
        <x:v>0.2903</x:v>
      </x:c>
      <x:c r="C4789" s="6" t="n">
        <x:v>0.159</x:v>
      </x:c>
      <x:c r="D4789" s="6" t="n">
        <x:f>B4789</x:f>
        <x:v>0.2903</x:v>
      </x:c>
      <x:c r="E4789" s="1" t="n">
        <x:v>1.05</x:v>
      </x:c>
      <x:c r="F4789" s="1" t="str">
        <x:v>https://api.octopus.energy/v1/products/AGILE-24-10-01/electricity-tariffs/E-1R-AGILE-24-10-01-G/standard-unit-rates/</x:v>
      </x:c>
    </x:row>
    <x:row r="4790" ht="21" customHeight="1">
      <x:c r="A4790" s="24" t="n">
        <x:v>46248.291666666664</x:v>
      </x:c>
      <x:c r="B4790" s="6" t="n">
        <x:v>0.2669</x:v>
      </x:c>
      <x:c r="C4790" s="6" t="n">
        <x:v>0.1483</x:v>
      </x:c>
      <x:c r="D4790" s="6" t="n">
        <x:f>B4790</x:f>
        <x:v>0.2669</x:v>
      </x:c>
      <x:c r="E4790" s="1" t="n">
        <x:v>1.05</x:v>
      </x:c>
      <x:c r="F4790" s="1" t="str">
        <x:v>https://api.octopus.energy/v1/products/AGILE-24-10-01/electricity-tariffs/E-1R-AGILE-24-10-01-G/standard-unit-rates/</x:v>
      </x:c>
    </x:row>
    <x:row r="4791" ht="21" customHeight="1">
      <x:c r="A4791" s="24" t="n">
        <x:v>46248.3125</x:v>
      </x:c>
      <x:c r="B4791" s="6" t="n">
        <x:v>0.2722</x:v>
      </x:c>
      <x:c r="C4791" s="6" t="n">
        <x:v>0.1507</x:v>
      </x:c>
      <x:c r="D4791" s="6" t="n">
        <x:f>B4791</x:f>
        <x:v>0.2722</x:v>
      </x:c>
      <x:c r="E4791" s="1" t="n">
        <x:v>1.05</x:v>
      </x:c>
      <x:c r="F4791" s="1" t="str">
        <x:v>https://api.octopus.energy/v1/products/AGILE-24-10-01/electricity-tariffs/E-1R-AGILE-24-10-01-G/standard-unit-rates/</x:v>
      </x:c>
    </x:row>
    <x:row r="4792" ht="21" customHeight="1">
      <x:c r="A4792" s="24" t="n">
        <x:v>46248.333333333336</x:v>
      </x:c>
      <x:c r="B4792" s="6" t="n">
        <x:v>0.2366</x:v>
      </x:c>
      <x:c r="C4792" s="6" t="n">
        <x:v>0.1344</x:v>
      </x:c>
      <x:c r="D4792" s="6" t="n">
        <x:f>B4792</x:f>
        <x:v>0.2366</x:v>
      </x:c>
      <x:c r="E4792" s="1" t="n">
        <x:v>1.05</x:v>
      </x:c>
      <x:c r="F4792" s="1" t="str">
        <x:v>https://api.octopus.energy/v1/products/AGILE-24-10-01/electricity-tariffs/E-1R-AGILE-24-10-01-G/standard-unit-rates/</x:v>
      </x:c>
    </x:row>
    <x:row r="4793" ht="21" customHeight="1">
      <x:c r="A4793" s="24" t="n">
        <x:v>46248.354166666664</x:v>
      </x:c>
      <x:c r="B4793" s="6" t="n">
        <x:v>0.2339</x:v>
      </x:c>
      <x:c r="C4793" s="6" t="n">
        <x:v>0.1332</x:v>
      </x:c>
      <x:c r="D4793" s="6" t="n">
        <x:f>B4793</x:f>
        <x:v>0.2339</x:v>
      </x:c>
      <x:c r="E4793" s="1" t="n">
        <x:v>1.05</x:v>
      </x:c>
      <x:c r="F4793" s="1" t="str">
        <x:v>https://api.octopus.energy/v1/products/AGILE-24-10-01/electricity-tariffs/E-1R-AGILE-24-10-01-G/standard-unit-rates/</x:v>
      </x:c>
    </x:row>
    <x:row r="4794" ht="21" customHeight="1">
      <x:c r="A4794" s="24" t="n">
        <x:v>46248.375</x:v>
      </x:c>
      <x:c r="B4794" s="6" t="n">
        <x:v>0.2266</x:v>
      </x:c>
      <x:c r="C4794" s="6" t="n">
        <x:v>0.1298</x:v>
      </x:c>
      <x:c r="D4794" s="6" t="n">
        <x:f>B4794</x:f>
        <x:v>0.2266</x:v>
      </x:c>
      <x:c r="E4794" s="1" t="n">
        <x:v>1.05</x:v>
      </x:c>
      <x:c r="F4794" s="1" t="str">
        <x:v>https://api.octopus.energy/v1/products/AGILE-24-10-01/electricity-tariffs/E-1R-AGILE-24-10-01-G/standard-unit-rates/</x:v>
      </x:c>
    </x:row>
    <x:row r="4795" ht="21" customHeight="1">
      <x:c r="A4795" s="24" t="n">
        <x:v>46248.395833333336</x:v>
      </x:c>
      <x:c r="B4795" s="6" t="n">
        <x:v>0.2354</x:v>
      </x:c>
      <x:c r="C4795" s="6" t="n">
        <x:v>0.13390000000000002</x:v>
      </x:c>
      <x:c r="D4795" s="6" t="n">
        <x:f>B4795</x:f>
        <x:v>0.2354</x:v>
      </x:c>
      <x:c r="E4795" s="1" t="n">
        <x:v>1.05</x:v>
      </x:c>
      <x:c r="F4795" s="1" t="str">
        <x:v>https://api.octopus.energy/v1/products/AGILE-24-10-01/electricity-tariffs/E-1R-AGILE-24-10-01-G/standard-unit-rates/</x:v>
      </x:c>
    </x:row>
    <x:row r="4796" ht="21" customHeight="1">
      <x:c r="A4796" s="24" t="n">
        <x:v>46248.416666666664</x:v>
      </x:c>
      <x:c r="B4796" s="6" t="n">
        <x:v>0.2302</x:v>
      </x:c>
      <x:c r="C4796" s="6" t="n">
        <x:v>0.1315</x:v>
      </x:c>
      <x:c r="D4796" s="6" t="n">
        <x:f>B4796</x:f>
        <x:v>0.2302</x:v>
      </x:c>
      <x:c r="E4796" s="1" t="n">
        <x:v>1.05</x:v>
      </x:c>
      <x:c r="F4796" s="1" t="str">
        <x:v>https://api.octopus.energy/v1/products/AGILE-24-10-01/electricity-tariffs/E-1R-AGILE-24-10-01-G/standard-unit-rates/</x:v>
      </x:c>
    </x:row>
    <x:row r="4797" ht="21" customHeight="1">
      <x:c r="A4797" s="24" t="n">
        <x:v>46248.4375</x:v>
      </x:c>
      <x:c r="B4797" s="6" t="n">
        <x:v>0.21600000000000003</x:v>
      </x:c>
      <x:c r="C4797" s="6" t="n">
        <x:v>0.125</x:v>
      </x:c>
      <x:c r="D4797" s="6" t="n">
        <x:f>B4797</x:f>
        <x:v>0.21600000000000003</x:v>
      </x:c>
      <x:c r="E4797" s="1" t="n">
        <x:v>1.05</x:v>
      </x:c>
      <x:c r="F4797" s="1" t="str">
        <x:v>https://api.octopus.energy/v1/products/AGILE-24-10-01/electricity-tariffs/E-1R-AGILE-24-10-01-G/standard-unit-rates/</x:v>
      </x:c>
    </x:row>
    <x:row r="4798" ht="21" customHeight="1">
      <x:c r="A4798" s="24" t="n">
        <x:v>46248.458333333336</x:v>
      </x:c>
      <x:c r="B4798" s="6" t="n">
        <x:v>0.2148</x:v>
      </x:c>
      <x:c r="C4798" s="6" t="n">
        <x:v>0.1245</x:v>
      </x:c>
      <x:c r="D4798" s="6" t="n">
        <x:f>B4798</x:f>
        <x:v>0.2148</x:v>
      </x:c>
      <x:c r="E4798" s="1" t="n">
        <x:v>1.05</x:v>
      </x:c>
      <x:c r="F4798" s="1" t="str">
        <x:v>https://api.octopus.energy/v1/products/AGILE-24-10-01/electricity-tariffs/E-1R-AGILE-24-10-01-G/standard-unit-rates/</x:v>
      </x:c>
    </x:row>
    <x:row r="4799" ht="21" customHeight="1">
      <x:c r="A4799" s="24" t="n">
        <x:v>46248.479166666664</x:v>
      </x:c>
      <x:c r="B4799" s="6" t="n">
        <x:v>0.2113</x:v>
      </x:c>
      <x:c r="C4799" s="6" t="n">
        <x:v>0.1229</x:v>
      </x:c>
      <x:c r="D4799" s="6" t="n">
        <x:f>B4799</x:f>
        <x:v>0.2113</x:v>
      </x:c>
      <x:c r="E4799" s="1" t="n">
        <x:v>1.05</x:v>
      </x:c>
      <x:c r="F4799" s="1" t="str">
        <x:v>https://api.octopus.energy/v1/products/AGILE-24-10-01/electricity-tariffs/E-1R-AGILE-24-10-01-G/standard-unit-rates/</x:v>
      </x:c>
    </x:row>
    <x:row r="4800" ht="21" customHeight="1">
      <x:c r="A4800" s="24" t="n">
        <x:v>46248.5</x:v>
      </x:c>
      <x:c r="B4800" s="6" t="n">
        <x:v>0.2113</x:v>
      </x:c>
      <x:c r="C4800" s="6" t="n">
        <x:v>0.1229</x:v>
      </x:c>
      <x:c r="D4800" s="6" t="n">
        <x:f>B4800</x:f>
        <x:v>0.2113</x:v>
      </x:c>
      <x:c r="E4800" s="1" t="n">
        <x:v>1.05</x:v>
      </x:c>
      <x:c r="F4800" s="1" t="str">
        <x:v>https://api.octopus.energy/v1/products/AGILE-24-10-01/electricity-tariffs/E-1R-AGILE-24-10-01-G/standard-unit-rates/</x:v>
      </x:c>
    </x:row>
    <x:row r="4801" ht="21" customHeight="1">
      <x:c r="A4801" s="24" t="n">
        <x:v>46248.520833333336</x:v>
      </x:c>
      <x:c r="B4801" s="6" t="n">
        <x:v>0.2113</x:v>
      </x:c>
      <x:c r="C4801" s="6" t="n">
        <x:v>0.1229</x:v>
      </x:c>
      <x:c r="D4801" s="6" t="n">
        <x:f>B4801</x:f>
        <x:v>0.2113</x:v>
      </x:c>
      <x:c r="E4801" s="1" t="n">
        <x:v>1.05</x:v>
      </x:c>
      <x:c r="F4801" s="1" t="str">
        <x:v>https://api.octopus.energy/v1/products/AGILE-24-10-01/electricity-tariffs/E-1R-AGILE-24-10-01-G/standard-unit-rates/</x:v>
      </x:c>
    </x:row>
    <x:row r="4802" ht="21" customHeight="1">
      <x:c r="A4802" s="24" t="n">
        <x:v>46248.541666666664</x:v>
      </x:c>
      <x:c r="B4802" s="6" t="n">
        <x:v>0.20809999999999998</x:v>
      </x:c>
      <x:c r="C4802" s="6" t="n">
        <x:v>0.12140000000000001</x:v>
      </x:c>
      <x:c r="D4802" s="6" t="n">
        <x:f>B4802</x:f>
        <x:v>0.20809999999999998</x:v>
      </x:c>
      <x:c r="E4802" s="1" t="n">
        <x:v>1.05</x:v>
      </x:c>
      <x:c r="F4802" s="1" t="str">
        <x:v>https://api.octopus.energy/v1/products/AGILE-24-10-01/electricity-tariffs/E-1R-AGILE-24-10-01-G/standard-unit-rates/</x:v>
      </x:c>
    </x:row>
    <x:row r="4803" ht="21" customHeight="1">
      <x:c r="A4803" s="24" t="n">
        <x:v>46248.5625</x:v>
      </x:c>
      <x:c r="B4803" s="6" t="n">
        <x:v>0.2073</x:v>
      </x:c>
      <x:c r="C4803" s="6" t="n">
        <x:v>0.121</x:v>
      </x:c>
      <x:c r="D4803" s="6" t="n">
        <x:f>B4803</x:f>
        <x:v>0.2073</x:v>
      </x:c>
      <x:c r="E4803" s="1" t="n">
        <x:v>1.05</x:v>
      </x:c>
      <x:c r="F4803" s="1" t="str">
        <x:v>https://api.octopus.energy/v1/products/AGILE-24-10-01/electricity-tariffs/E-1R-AGILE-24-10-01-G/standard-unit-rates/</x:v>
      </x:c>
    </x:row>
    <x:row r="4804" ht="21" customHeight="1">
      <x:c r="A4804" s="24" t="n">
        <x:v>46248.583333333336</x:v>
      </x:c>
      <x:c r="B4804" s="6" t="n">
        <x:v>0.20670000000000002</x:v>
      </x:c>
      <x:c r="C4804" s="6" t="n">
        <x:v>0.1207</x:v>
      </x:c>
      <x:c r="D4804" s="6" t="n">
        <x:f>B4804</x:f>
        <x:v>0.20670000000000002</x:v>
      </x:c>
      <x:c r="E4804" s="1" t="n">
        <x:v>1.05</x:v>
      </x:c>
      <x:c r="F4804" s="1" t="str">
        <x:v>https://api.octopus.energy/v1/products/AGILE-24-10-01/electricity-tariffs/E-1R-AGILE-24-10-01-G/standard-unit-rates/</x:v>
      </x:c>
    </x:row>
    <x:row r="4805" ht="21" customHeight="1">
      <x:c r="A4805" s="24" t="n">
        <x:v>46248.604166666664</x:v>
      </x:c>
      <x:c r="B4805" s="6" t="n">
        <x:v>0.2096</x:v>
      </x:c>
      <x:c r="C4805" s="6" t="n">
        <x:v>0.12210000000000001</x:v>
      </x:c>
      <x:c r="D4805" s="6" t="n">
        <x:f>B4805</x:f>
        <x:v>0.2096</x:v>
      </x:c>
      <x:c r="E4805" s="1" t="n">
        <x:v>1.05</x:v>
      </x:c>
      <x:c r="F4805" s="1" t="str">
        <x:v>https://api.octopus.energy/v1/products/AGILE-24-10-01/electricity-tariffs/E-1R-AGILE-24-10-01-G/standard-unit-rates/</x:v>
      </x:c>
    </x:row>
    <x:row r="4806" ht="21" customHeight="1">
      <x:c r="A4806" s="24" t="n">
        <x:v>46248.625</x:v>
      </x:c>
      <x:c r="B4806" s="6" t="n">
        <x:v>0.2119</x:v>
      </x:c>
      <x:c r="C4806" s="6" t="n">
        <x:v>0.1231</x:v>
      </x:c>
      <x:c r="D4806" s="6" t="n">
        <x:f>B4806</x:f>
        <x:v>0.2119</x:v>
      </x:c>
      <x:c r="E4806" s="1" t="n">
        <x:v>1.05</x:v>
      </x:c>
      <x:c r="F4806" s="1" t="str">
        <x:v>https://api.octopus.energy/v1/products/AGILE-24-10-01/electricity-tariffs/E-1R-AGILE-24-10-01-G/standard-unit-rates/</x:v>
      </x:c>
    </x:row>
    <x:row r="4807" ht="21" customHeight="1">
      <x:c r="A4807" s="24" t="n">
        <x:v>46248.645833333336</x:v>
      </x:c>
      <x:c r="B4807" s="6" t="n">
        <x:v>0.2097</x:v>
      </x:c>
      <x:c r="C4807" s="6" t="n">
        <x:v>0.12210000000000001</x:v>
      </x:c>
      <x:c r="D4807" s="6" t="n">
        <x:f>B4807</x:f>
        <x:v>0.2097</x:v>
      </x:c>
      <x:c r="E4807" s="1" t="n">
        <x:v>1.05</x:v>
      </x:c>
      <x:c r="F4807" s="1" t="str">
        <x:v>https://api.octopus.energy/v1/products/AGILE-24-10-01/electricity-tariffs/E-1R-AGILE-24-10-01-G/standard-unit-rates/</x:v>
      </x:c>
    </x:row>
    <x:row r="4808" ht="21" customHeight="1">
      <x:c r="A4808" s="24" t="n">
        <x:v>46248.666666666664</x:v>
      </x:c>
      <x:c r="B4808" s="6" t="n">
        <x:v>0.353</x:v>
      </x:c>
      <x:c r="C4808" s="6" t="n">
        <x:v>0.1917</x:v>
      </x:c>
      <x:c r="D4808" s="6" t="n">
        <x:f>B4808</x:f>
        <x:v>0.353</x:v>
      </x:c>
      <x:c r="E4808" s="1" t="n">
        <x:v>1.05</x:v>
      </x:c>
      <x:c r="F4808" s="1" t="str">
        <x:v>https://api.octopus.energy/v1/products/AGILE-24-10-01/electricity-tariffs/E-1R-AGILE-24-10-01-G/standard-unit-rates/</x:v>
      </x:c>
    </x:row>
    <x:row r="4809" ht="21" customHeight="1">
      <x:c r="A4809" s="24" t="n">
        <x:v>46248.6875</x:v>
      </x:c>
      <x:c r="B4809" s="6" t="n">
        <x:v>0.35119999999999996</x:v>
      </x:c>
      <x:c r="C4809" s="6" t="n">
        <x:v>0.1909</x:v>
      </x:c>
      <x:c r="D4809" s="6" t="n">
        <x:f>B4809</x:f>
        <x:v>0.35119999999999996</x:v>
      </x:c>
      <x:c r="E4809" s="1" t="n">
        <x:v>1.05</x:v>
      </x:c>
      <x:c r="F4809" s="1" t="str">
        <x:v>https://api.octopus.energy/v1/products/AGILE-24-10-01/electricity-tariffs/E-1R-AGILE-24-10-01-G/standard-unit-rates/</x:v>
      </x:c>
    </x:row>
    <x:row r="4810" ht="21" customHeight="1">
      <x:c r="A4810" s="24" t="n">
        <x:v>46248.708333333336</x:v>
      </x:c>
      <x:c r="B4810" s="6" t="n">
        <x:v>0.41850000000000004</x:v>
      </x:c>
      <x:c r="C4810" s="6" t="n">
        <x:v>0.2216</x:v>
      </x:c>
      <x:c r="D4810" s="6" t="n">
        <x:f>B4810</x:f>
        <x:v>0.41850000000000004</x:v>
      </x:c>
      <x:c r="E4810" s="1" t="n">
        <x:v>1.05</x:v>
      </x:c>
      <x:c r="F4810" s="1" t="str">
        <x:v>https://api.octopus.energy/v1/products/AGILE-24-10-01/electricity-tariffs/E-1R-AGILE-24-10-01-G/standard-unit-rates/</x:v>
      </x:c>
    </x:row>
    <x:row r="4811" ht="21" customHeight="1">
      <x:c r="A4811" s="24" t="n">
        <x:v>46248.729166666664</x:v>
      </x:c>
      <x:c r="B4811" s="6" t="n">
        <x:v>0.4351</x:v>
      </x:c>
      <x:c r="C4811" s="6" t="n">
        <x:v>0.22920000000000001</x:v>
      </x:c>
      <x:c r="D4811" s="6" t="n">
        <x:f>B4811</x:f>
        <x:v>0.4351</x:v>
      </x:c>
      <x:c r="E4811" s="1" t="n">
        <x:v>1.05</x:v>
      </x:c>
      <x:c r="F4811" s="1" t="str">
        <x:v>https://api.octopus.energy/v1/products/AGILE-24-10-01/electricity-tariffs/E-1R-AGILE-24-10-01-G/standard-unit-rates/</x:v>
      </x:c>
    </x:row>
    <x:row r="4812" ht="21" customHeight="1">
      <x:c r="A4812" s="24" t="n">
        <x:v>46248.75</x:v>
      </x:c>
      <x:c r="B4812" s="6" t="n">
        <x:v>0.4851</x:v>
      </x:c>
      <x:c r="C4812" s="6" t="n">
        <x:v>0.2521</x:v>
      </x:c>
      <x:c r="D4812" s="6" t="n">
        <x:f>B4812</x:f>
        <x:v>0.4851</x:v>
      </x:c>
      <x:c r="E4812" s="1" t="n">
        <x:v>1.05</x:v>
      </x:c>
      <x:c r="F4812" s="1" t="str">
        <x:v>https://api.octopus.energy/v1/products/AGILE-24-10-01/electricity-tariffs/E-1R-AGILE-24-10-01-G/standard-unit-rates/</x:v>
      </x:c>
    </x:row>
    <x:row r="4813" ht="21" customHeight="1">
      <x:c r="A4813" s="24" t="n">
        <x:v>46248.770833333336</x:v>
      </x:c>
      <x:c r="B4813" s="6" t="n">
        <x:v>0.5085000000000001</x:v>
      </x:c>
      <x:c r="C4813" s="6" t="n">
        <x:v>0.26280000000000003</x:v>
      </x:c>
      <x:c r="D4813" s="6" t="n">
        <x:f>B4813</x:f>
        <x:v>0.5085000000000001</x:v>
      </x:c>
      <x:c r="E4813" s="1" t="n">
        <x:v>1.05</x:v>
      </x:c>
      <x:c r="F4813" s="1" t="str">
        <x:v>https://api.octopus.energy/v1/products/AGILE-24-10-01/electricity-tariffs/E-1R-AGILE-24-10-01-G/standard-unit-rates/</x:v>
      </x:c>
    </x:row>
    <x:row r="4814" ht="21" customHeight="1">
      <x:c r="A4814" s="24" t="n">
        <x:v>46248.791666666664</x:v>
      </x:c>
      <x:c r="B4814" s="6" t="n">
        <x:v>0.38189999999999996</x:v>
      </x:c>
      <x:c r="C4814" s="6" t="n">
        <x:v>0.2009</x:v>
      </x:c>
      <x:c r="D4814" s="6" t="n">
        <x:f>B4814</x:f>
        <x:v>0.38189999999999996</x:v>
      </x:c>
      <x:c r="E4814" s="1" t="n">
        <x:v>1.05</x:v>
      </x:c>
      <x:c r="F4814" s="1" t="str">
        <x:v>https://api.octopus.energy/v1/products/AGILE-24-10-01/electricity-tariffs/E-1R-AGILE-24-10-01-G/standard-unit-rates/</x:v>
      </x:c>
    </x:row>
    <x:row r="4815" ht="21" customHeight="1">
      <x:c r="A4815" s="24" t="n">
        <x:v>46248.8125</x:v>
      </x:c>
      <x:c r="B4815" s="6" t="n">
        <x:v>0.40299999999999997</x:v>
      </x:c>
      <x:c r="C4815" s="6" t="n">
        <x:v>0.21050000000000002</x:v>
      </x:c>
      <x:c r="D4815" s="6" t="n">
        <x:f>B4815</x:f>
        <x:v>0.40299999999999997</x:v>
      </x:c>
      <x:c r="E4815" s="1" t="n">
        <x:v>1.05</x:v>
      </x:c>
      <x:c r="F4815" s="1" t="str">
        <x:v>https://api.octopus.energy/v1/products/AGILE-24-10-01/electricity-tariffs/E-1R-AGILE-24-10-01-G/standard-unit-rates/</x:v>
      </x:c>
    </x:row>
    <x:row r="4816" ht="21" customHeight="1">
      <x:c r="A4816" s="24" t="n">
        <x:v>46248.833333333336</x:v>
      </x:c>
      <x:c r="B4816" s="6" t="n">
        <x:v>0.3786</x:v>
      </x:c>
      <x:c r="C4816" s="6" t="n">
        <x:v>0.19940000000000002</x:v>
      </x:c>
      <x:c r="D4816" s="6" t="n">
        <x:f>B4816</x:f>
        <x:v>0.3786</x:v>
      </x:c>
      <x:c r="E4816" s="1" t="n">
        <x:v>1.05</x:v>
      </x:c>
      <x:c r="F4816" s="1" t="str">
        <x:v>https://api.octopus.energy/v1/products/AGILE-24-10-01/electricity-tariffs/E-1R-AGILE-24-10-01-G/standard-unit-rates/</x:v>
      </x:c>
    </x:row>
    <x:row r="4817" ht="21" customHeight="1">
      <x:c r="A4817" s="24" t="n">
        <x:v>46248.854166666664</x:v>
      </x:c>
      <x:c r="B4817" s="6" t="n">
        <x:v>0.3846</x:v>
      </x:c>
      <x:c r="C4817" s="6" t="n">
        <x:v>0.2021</x:v>
      </x:c>
      <x:c r="D4817" s="6" t="n">
        <x:f>B4817</x:f>
        <x:v>0.3846</x:v>
      </x:c>
      <x:c r="E4817" s="1" t="n">
        <x:v>1.05</x:v>
      </x:c>
      <x:c r="F4817" s="1" t="str">
        <x:v>https://api.octopus.energy/v1/products/AGILE-24-10-01/electricity-tariffs/E-1R-AGILE-24-10-01-G/standard-unit-rates/</x:v>
      </x:c>
    </x:row>
    <x:row r="4818" ht="21" customHeight="1">
      <x:c r="A4818" s="24" t="n">
        <x:v>46248.875</x:v>
      </x:c>
      <x:c r="B4818" s="6" t="n">
        <x:v>0.3343</x:v>
      </x:c>
      <x:c r="C4818" s="6" t="n">
        <x:v>0.1791</x:v>
      </x:c>
      <x:c r="D4818" s="6" t="n">
        <x:f>B4818</x:f>
        <x:v>0.3343</x:v>
      </x:c>
      <x:c r="E4818" s="1" t="n">
        <x:v>1.05</x:v>
      </x:c>
      <x:c r="F4818" s="1" t="str">
        <x:v>https://api.octopus.energy/v1/products/AGILE-24-10-01/electricity-tariffs/E-1R-AGILE-24-10-01-G/standard-unit-rates/</x:v>
      </x:c>
    </x:row>
    <x:row r="4819" ht="21" customHeight="1">
      <x:c r="A4819" s="24" t="n">
        <x:v>46248.895833333336</x:v>
      </x:c>
      <x:c r="B4819" s="6" t="n">
        <x:v>0.33030000000000004</x:v>
      </x:c>
      <x:c r="C4819" s="6" t="n">
        <x:v>0.1773</x:v>
      </x:c>
      <x:c r="D4819" s="6" t="n">
        <x:f>B4819</x:f>
        <x:v>0.33030000000000004</x:v>
      </x:c>
      <x:c r="E4819" s="1" t="n">
        <x:v>1.05</x:v>
      </x:c>
      <x:c r="F4819" s="1" t="str">
        <x:v>https://api.octopus.energy/v1/products/AGILE-24-10-01/electricity-tariffs/E-1R-AGILE-24-10-01-G/standard-unit-rates/</x:v>
      </x:c>
    </x:row>
    <x:row r="4820" ht="21" customHeight="1">
      <x:c r="A4820" s="24" t="n">
        <x:v>46248.916666666664</x:v>
      </x:c>
      <x:c r="B4820" s="6" t="n">
        <x:v>0.30469999999999997</x:v>
      </x:c>
      <x:c r="C4820" s="6" t="n">
        <x:v>0.1656</x:v>
      </x:c>
      <x:c r="D4820" s="6" t="n">
        <x:f>B4820</x:f>
        <x:v>0.30469999999999997</x:v>
      </x:c>
      <x:c r="E4820" s="1" t="n">
        <x:v>1.05</x:v>
      </x:c>
      <x:c r="F4820" s="1" t="str">
        <x:v>https://api.octopus.energy/v1/products/AGILE-24-10-01/electricity-tariffs/E-1R-AGILE-24-10-01-G/standard-unit-rates/</x:v>
      </x:c>
    </x:row>
    <x:row r="4821" ht="21" customHeight="1">
      <x:c r="A4821" s="24" t="n">
        <x:v>46248.9375</x:v>
      </x:c>
      <x:c r="B4821" s="6" t="n">
        <x:v>0.2934</x:v>
      </x:c>
      <x:c r="C4821" s="6" t="n">
        <x:v>0.1604</x:v>
      </x:c>
      <x:c r="D4821" s="6" t="n">
        <x:f>B4821</x:f>
        <x:v>0.2934</x:v>
      </x:c>
      <x:c r="E4821" s="1" t="n">
        <x:v>1.05</x:v>
      </x:c>
      <x:c r="F4821" s="1" t="str">
        <x:v>https://api.octopus.energy/v1/products/AGILE-24-10-01/electricity-tariffs/E-1R-AGILE-24-10-01-G/standard-unit-rates/</x:v>
      </x:c>
    </x:row>
    <x:row r="4822" ht="21" customHeight="1">
      <x:c r="A4822" s="24" t="n">
        <x:v>46249</x:v>
      </x:c>
      <x:c r="B4822" s="6" t="n">
        <x:v>0.2648</x:v>
      </x:c>
      <x:c r="C4822" s="6" t="n">
        <x:v>0.14730000000000001</x:v>
      </x:c>
      <x:c r="D4822" s="6" t="n">
        <x:f>B4822</x:f>
        <x:v>0.2648</x:v>
      </x:c>
      <x:c r="E4822" s="1" t="n">
        <x:v>1.05</x:v>
      </x:c>
      <x:c r="F4822" s="1" t="str">
        <x:v>https://api.octopus.energy/v1/products/AGILE-24-10-01/electricity-tariffs/E-1R-AGILE-24-10-01-G/standard-unit-rates/</x:v>
      </x:c>
    </x:row>
    <x:row r="4823" ht="21" customHeight="1">
      <x:c r="A4823" s="24" t="n">
        <x:v>46248.979166666664</x:v>
      </x:c>
      <x:c r="B4823" s="6" t="n">
        <x:v>0.27699999999999997</x:v>
      </x:c>
      <x:c r="C4823" s="6" t="n">
        <x:v>0.15289999999999998</x:v>
      </x:c>
      <x:c r="D4823" s="6" t="n">
        <x:f>B4823</x:f>
        <x:v>0.27699999999999997</x:v>
      </x:c>
      <x:c r="E4823" s="1" t="n">
        <x:v>1.05</x:v>
      </x:c>
      <x:c r="F4823" s="1" t="str">
        <x:v>https://api.octopus.energy/v1/products/AGILE-24-10-01/electricity-tariffs/E-1R-AGILE-24-10-01-G/standard-unit-rates/</x:v>
      </x:c>
    </x:row>
    <x:row r="4824" ht="21" customHeight="1">
      <x:c r="A4824" s="24" t="n">
        <x:v>46249</x:v>
      </x:c>
      <x:c r="B4824" s="6" t="n">
        <x:v>0.2711</x:v>
      </x:c>
      <x:c r="C4824" s="6" t="n">
        <x:v>0.1502</x:v>
      </x:c>
      <x:c r="D4824" s="6" t="n">
        <x:f>B4824</x:f>
        <x:v>0.2711</x:v>
      </x:c>
      <x:c r="E4824" s="1" t="n">
        <x:v>1.05</x:v>
      </x:c>
      <x:c r="F4824" s="1" t="str">
        <x:v>https://api.octopus.energy/v1/products/AGILE-24-10-01/electricity-tariffs/E-1R-AGILE-24-10-01-G/standard-unit-rates/</x:v>
      </x:c>
    </x:row>
    <x:row r="4825" ht="21" customHeight="1">
      <x:c r="A4825" s="24" t="n">
        <x:v>46249.020833333336</x:v>
      </x:c>
      <x:c r="B4825" s="6" t="n">
        <x:v>0.2589</x:v>
      </x:c>
      <x:c r="C4825" s="6" t="n">
        <x:v>0.1446</x:v>
      </x:c>
      <x:c r="D4825" s="6" t="n">
        <x:f>B4825</x:f>
        <x:v>0.2589</x:v>
      </x:c>
      <x:c r="E4825" s="1" t="n">
        <x:v>1.05</x:v>
      </x:c>
      <x:c r="F4825" s="1" t="str">
        <x:v>https://api.octopus.energy/v1/products/AGILE-24-10-01/electricity-tariffs/E-1R-AGILE-24-10-01-G/standard-unit-rates/</x:v>
      </x:c>
    </x:row>
    <x:row r="4826" ht="21" customHeight="1">
      <x:c r="A4826" s="24" t="n">
        <x:v>46249.041666666664</x:v>
      </x:c>
      <x:c r="B4826" s="6" t="n">
        <x:v>0.2626</x:v>
      </x:c>
      <x:c r="C4826" s="6" t="n">
        <x:v>0.1463</x:v>
      </x:c>
      <x:c r="D4826" s="6" t="n">
        <x:f>B4826</x:f>
        <x:v>0.2626</x:v>
      </x:c>
      <x:c r="E4826" s="1" t="n">
        <x:v>1.05</x:v>
      </x:c>
      <x:c r="F4826" s="1" t="str">
        <x:v>https://api.octopus.energy/v1/products/AGILE-24-10-01/electricity-tariffs/E-1R-AGILE-24-10-01-G/standard-unit-rates/</x:v>
      </x:c>
    </x:row>
    <x:row r="4827" ht="21" customHeight="1">
      <x:c r="A4827" s="24" t="n">
        <x:v>46249.0625</x:v>
      </x:c>
      <x:c r="B4827" s="6" t="n">
        <x:v>0.25239999999999996</x:v>
      </x:c>
      <x:c r="C4827" s="6" t="n">
        <x:v>0.1417</x:v>
      </x:c>
      <x:c r="D4827" s="6" t="n">
        <x:f>B4827</x:f>
        <x:v>0.25239999999999996</x:v>
      </x:c>
      <x:c r="E4827" s="1" t="n">
        <x:v>1.05</x:v>
      </x:c>
      <x:c r="F4827" s="1" t="str">
        <x:v>https://api.octopus.energy/v1/products/AGILE-24-10-01/electricity-tariffs/E-1R-AGILE-24-10-01-G/standard-unit-rates/</x:v>
      </x:c>
    </x:row>
    <x:row r="4828" ht="21" customHeight="1">
      <x:c r="A4828" s="24" t="n">
        <x:v>46249.083333333336</x:v>
      </x:c>
      <x:c r="B4828" s="6" t="n">
        <x:v>0.2438</x:v>
      </x:c>
      <x:c r="C4828" s="6" t="n">
        <x:v>0.1377</x:v>
      </x:c>
      <x:c r="D4828" s="6" t="n">
        <x:f>B4828</x:f>
        <x:v>0.2438</x:v>
      </x:c>
      <x:c r="E4828" s="1" t="n">
        <x:v>1.05</x:v>
      </x:c>
      <x:c r="F4828" s="1" t="str">
        <x:v>https://api.octopus.energy/v1/products/AGILE-24-10-01/electricity-tariffs/E-1R-AGILE-24-10-01-G/standard-unit-rates/</x:v>
      </x:c>
    </x:row>
    <x:row r="4829" ht="21" customHeight="1">
      <x:c r="A4829" s="24" t="n">
        <x:v>46249.104166666664</x:v>
      </x:c>
      <x:c r="B4829" s="6" t="n">
        <x:v>0.2361</x:v>
      </x:c>
      <x:c r="C4829" s="6" t="n">
        <x:v>0.13419999999999999</x:v>
      </x:c>
      <x:c r="D4829" s="6" t="n">
        <x:f>B4829</x:f>
        <x:v>0.2361</x:v>
      </x:c>
      <x:c r="E4829" s="1" t="n">
        <x:v>1.05</x:v>
      </x:c>
      <x:c r="F4829" s="1" t="str">
        <x:v>https://api.octopus.energy/v1/products/AGILE-24-10-01/electricity-tariffs/E-1R-AGILE-24-10-01-G/standard-unit-rates/</x:v>
      </x:c>
    </x:row>
    <x:row r="4830" ht="21" customHeight="1">
      <x:c r="A4830" s="24" t="n">
        <x:v>46249.125</x:v>
      </x:c>
      <x:c r="B4830" s="6" t="n">
        <x:v>0.2389</x:v>
      </x:c>
      <x:c r="C4830" s="6" t="n">
        <x:v>0.1355</x:v>
      </x:c>
      <x:c r="D4830" s="6" t="n">
        <x:f>B4830</x:f>
        <x:v>0.2389</x:v>
      </x:c>
      <x:c r="E4830" s="1" t="n">
        <x:v>1.05</x:v>
      </x:c>
      <x:c r="F4830" s="1" t="str">
        <x:v>https://api.octopus.energy/v1/products/AGILE-24-10-01/electricity-tariffs/E-1R-AGILE-24-10-01-G/standard-unit-rates/</x:v>
      </x:c>
    </x:row>
    <x:row r="4831" ht="21" customHeight="1">
      <x:c r="A4831" s="24" t="n">
        <x:v>46249.145833333336</x:v>
      </x:c>
      <x:c r="B4831" s="6" t="n">
        <x:v>0.2345</x:v>
      </x:c>
      <x:c r="C4831" s="6" t="n">
        <x:v>0.1335</x:v>
      </x:c>
      <x:c r="D4831" s="6" t="n">
        <x:f>B4831</x:f>
        <x:v>0.2345</x:v>
      </x:c>
      <x:c r="E4831" s="1" t="n">
        <x:v>1.05</x:v>
      </x:c>
      <x:c r="F4831" s="1" t="str">
        <x:v>https://api.octopus.energy/v1/products/AGILE-24-10-01/electricity-tariffs/E-1R-AGILE-24-10-01-G/standard-unit-rates/</x:v>
      </x:c>
    </x:row>
    <x:row r="4832" ht="21" customHeight="1">
      <x:c r="A4832" s="24" t="n">
        <x:v>46249.166666666664</x:v>
      </x:c>
      <x:c r="B4832" s="6" t="n">
        <x:v>0.25730000000000003</x:v>
      </x:c>
      <x:c r="C4832" s="6" t="n">
        <x:v>0.1439</x:v>
      </x:c>
      <x:c r="D4832" s="6" t="n">
        <x:f>B4832</x:f>
        <x:v>0.25730000000000003</x:v>
      </x:c>
      <x:c r="E4832" s="1" t="n">
        <x:v>1.05</x:v>
      </x:c>
      <x:c r="F4832" s="1" t="str">
        <x:v>https://api.octopus.energy/v1/products/AGILE-24-10-01/electricity-tariffs/E-1R-AGILE-24-10-01-G/standard-unit-rates/</x:v>
      </x:c>
    </x:row>
    <x:row r="4833" ht="21" customHeight="1">
      <x:c r="A4833" s="24" t="n">
        <x:v>46249.1875</x:v>
      </x:c>
      <x:c r="B4833" s="6" t="n">
        <x:v>0.2521</x:v>
      </x:c>
      <x:c r="C4833" s="6" t="n">
        <x:v>0.14150000000000001</x:v>
      </x:c>
      <x:c r="D4833" s="6" t="n">
        <x:f>B4833</x:f>
        <x:v>0.2521</x:v>
      </x:c>
      <x:c r="E4833" s="1" t="n">
        <x:v>1.05</x:v>
      </x:c>
      <x:c r="F4833" s="1" t="str">
        <x:v>https://api.octopus.energy/v1/products/AGILE-24-10-01/electricity-tariffs/E-1R-AGILE-24-10-01-G/standard-unit-rates/</x:v>
      </x:c>
    </x:row>
    <x:row r="4834" ht="21" customHeight="1">
      <x:c r="A4834" s="24" t="n">
        <x:v>46249.208333333336</x:v>
      </x:c>
      <x:c r="B4834" s="6" t="n">
        <x:v>0.25</x:v>
      </x:c>
      <x:c r="C4834" s="6" t="n">
        <x:v>0.1405</x:v>
      </x:c>
      <x:c r="D4834" s="6" t="n">
        <x:f>B4834</x:f>
        <x:v>0.25</x:v>
      </x:c>
      <x:c r="E4834" s="1" t="n">
        <x:v>1.05</x:v>
      </x:c>
      <x:c r="F4834" s="1" t="str">
        <x:v>https://api.octopus.energy/v1/products/AGILE-24-10-01/electricity-tariffs/E-1R-AGILE-24-10-01-G/standard-unit-rates/</x:v>
      </x:c>
    </x:row>
    <x:row r="4835" ht="21" customHeight="1">
      <x:c r="A4835" s="24" t="n">
        <x:v>46249.229166666664</x:v>
      </x:c>
      <x:c r="B4835" s="6" t="n">
        <x:v>0.2514</x:v>
      </x:c>
      <x:c r="C4835" s="6" t="n">
        <x:v>0.1412</x:v>
      </x:c>
      <x:c r="D4835" s="6" t="n">
        <x:f>B4835</x:f>
        <x:v>0.2514</x:v>
      </x:c>
      <x:c r="E4835" s="1" t="n">
        <x:v>1.05</x:v>
      </x:c>
      <x:c r="F4835" s="1" t="str">
        <x:v>https://api.octopus.energy/v1/products/AGILE-24-10-01/electricity-tariffs/E-1R-AGILE-24-10-01-G/standard-unit-rates/</x:v>
      </x:c>
    </x:row>
    <x:row r="4836" ht="21" customHeight="1">
      <x:c r="A4836" s="24" t="n">
        <x:v>46249.25</x:v>
      </x:c>
      <x:c r="B4836" s="6" t="n">
        <x:v>0.24480000000000002</x:v>
      </x:c>
      <x:c r="C4836" s="6" t="n">
        <x:v>0.1382</x:v>
      </x:c>
      <x:c r="D4836" s="6" t="n">
        <x:f>B4836</x:f>
        <x:v>0.24480000000000002</x:v>
      </x:c>
      <x:c r="E4836" s="1" t="n">
        <x:v>1.05</x:v>
      </x:c>
      <x:c r="F4836" s="1" t="str">
        <x:v>https://api.octopus.energy/v1/products/AGILE-24-10-01/electricity-tariffs/E-1R-AGILE-24-10-01-G/standard-unit-rates/</x:v>
      </x:c>
    </x:row>
    <x:row r="4837" ht="21" customHeight="1">
      <x:c r="A4837" s="24" t="n">
        <x:v>46249.270833333336</x:v>
      </x:c>
      <x:c r="B4837" s="6" t="n">
        <x:v>0.2631</x:v>
      </x:c>
      <x:c r="C4837" s="6" t="n">
        <x:v>0.1466</x:v>
      </x:c>
      <x:c r="D4837" s="6" t="n">
        <x:f>B4837</x:f>
        <x:v>0.2631</x:v>
      </x:c>
      <x:c r="E4837" s="1" t="n">
        <x:v>1.05</x:v>
      </x:c>
      <x:c r="F4837" s="1" t="str">
        <x:v>https://api.octopus.energy/v1/products/AGILE-24-10-01/electricity-tariffs/E-1R-AGILE-24-10-01-G/standard-unit-rates/</x:v>
      </x:c>
    </x:row>
    <x:row r="4838" ht="21" customHeight="1">
      <x:c r="A4838" s="24" t="n">
        <x:v>46249.291666666664</x:v>
      </x:c>
      <x:c r="B4838" s="6" t="n">
        <x:v>0.2165</x:v>
      </x:c>
      <x:c r="C4838" s="6" t="n">
        <x:v>0.1252</x:v>
      </x:c>
      <x:c r="D4838" s="6" t="n">
        <x:f>B4838</x:f>
        <x:v>0.2165</x:v>
      </x:c>
      <x:c r="E4838" s="1" t="n">
        <x:v>1.05</x:v>
      </x:c>
      <x:c r="F4838" s="1" t="str">
        <x:v>https://api.octopus.energy/v1/products/AGILE-24-10-01/electricity-tariffs/E-1R-AGILE-24-10-01-G/standard-unit-rates/</x:v>
      </x:c>
    </x:row>
    <x:row r="4839" ht="21" customHeight="1">
      <x:c r="A4839" s="24" t="n">
        <x:v>46249.3125</x:v>
      </x:c>
      <x:c r="B4839" s="6" t="n">
        <x:v>0.25429999999999997</x:v>
      </x:c>
      <x:c r="C4839" s="6" t="n">
        <x:v>0.1425</x:v>
      </x:c>
      <x:c r="D4839" s="6" t="n">
        <x:f>B4839</x:f>
        <x:v>0.25429999999999997</x:v>
      </x:c>
      <x:c r="E4839" s="1" t="n">
        <x:v>1.05</x:v>
      </x:c>
      <x:c r="F4839" s="1" t="str">
        <x:v>https://api.octopus.energy/v1/products/AGILE-24-10-01/electricity-tariffs/E-1R-AGILE-24-10-01-G/standard-unit-rates/</x:v>
      </x:c>
    </x:row>
    <x:row r="4840" ht="21" customHeight="1">
      <x:c r="A4840" s="24" t="n">
        <x:v>46249.333333333336</x:v>
      </x:c>
      <x:c r="B4840" s="6" t="n">
        <x:v>0.2183</x:v>
      </x:c>
      <x:c r="C4840" s="6" t="n">
        <x:v>0.1261</x:v>
      </x:c>
      <x:c r="D4840" s="6" t="n">
        <x:f>B4840</x:f>
        <x:v>0.2183</x:v>
      </x:c>
      <x:c r="E4840" s="1" t="n">
        <x:v>1.05</x:v>
      </x:c>
      <x:c r="F4840" s="1" t="str">
        <x:v>https://api.octopus.energy/v1/products/AGILE-24-10-01/electricity-tariffs/E-1R-AGILE-24-10-01-G/standard-unit-rates/</x:v>
      </x:c>
    </x:row>
    <x:row r="4841" ht="21" customHeight="1">
      <x:c r="A4841" s="24" t="n">
        <x:v>46249.354166666664</x:v>
      </x:c>
      <x:c r="B4841" s="6" t="n">
        <x:v>0.2141</x:v>
      </x:c>
      <x:c r="C4841" s="6" t="n">
        <x:v>0.1242</x:v>
      </x:c>
      <x:c r="D4841" s="6" t="n">
        <x:f>B4841</x:f>
        <x:v>0.2141</x:v>
      </x:c>
      <x:c r="E4841" s="1" t="n">
        <x:v>1.05</x:v>
      </x:c>
      <x:c r="F4841" s="1" t="str">
        <x:v>https://api.octopus.energy/v1/products/AGILE-24-10-01/electricity-tariffs/E-1R-AGILE-24-10-01-G/standard-unit-rates/</x:v>
      </x:c>
    </x:row>
    <x:row r="4842" ht="21" customHeight="1">
      <x:c r="A4842" s="24" t="n">
        <x:v>46249.375</x:v>
      </x:c>
      <x:c r="B4842" s="6" t="n">
        <x:v>0.2243</x:v>
      </x:c>
      <x:c r="C4842" s="6" t="n">
        <x:v>0.1288</x:v>
      </x:c>
      <x:c r="D4842" s="6" t="n">
        <x:f>B4842</x:f>
        <x:v>0.2243</x:v>
      </x:c>
      <x:c r="E4842" s="1" t="n">
        <x:v>1.05</x:v>
      </x:c>
      <x:c r="F4842" s="1" t="str">
        <x:v>https://api.octopus.energy/v1/products/AGILE-24-10-01/electricity-tariffs/E-1R-AGILE-24-10-01-G/standard-unit-rates/</x:v>
      </x:c>
    </x:row>
    <x:row r="4843" ht="21" customHeight="1">
      <x:c r="A4843" s="24" t="n">
        <x:v>46249.395833333336</x:v>
      </x:c>
      <x:c r="B4843" s="6" t="n">
        <x:v>0.22510000000000002</x:v>
      </x:c>
      <x:c r="C4843" s="6" t="n">
        <x:v>0.1292</x:v>
      </x:c>
      <x:c r="D4843" s="6" t="n">
        <x:f>B4843</x:f>
        <x:v>0.22510000000000002</x:v>
      </x:c>
      <x:c r="E4843" s="1" t="n">
        <x:v>1.05</x:v>
      </x:c>
      <x:c r="F4843" s="1" t="str">
        <x:v>https://api.octopus.energy/v1/products/AGILE-24-10-01/electricity-tariffs/E-1R-AGILE-24-10-01-G/standard-unit-rates/</x:v>
      </x:c>
    </x:row>
    <x:row r="4844" ht="21" customHeight="1">
      <x:c r="A4844" s="24" t="n">
        <x:v>46249.416666666664</x:v>
      </x:c>
      <x:c r="B4844" s="6" t="n">
        <x:v>0.18719999999999998</x:v>
      </x:c>
      <x:c r="C4844" s="6" t="n">
        <x:v>0.1119</x:v>
      </x:c>
      <x:c r="D4844" s="6" t="n">
        <x:f>B4844</x:f>
        <x:v>0.18719999999999998</x:v>
      </x:c>
      <x:c r="E4844" s="1" t="n">
        <x:v>1.05</x:v>
      </x:c>
      <x:c r="F4844" s="1" t="str">
        <x:v>https://api.octopus.energy/v1/products/AGILE-24-10-01/electricity-tariffs/E-1R-AGILE-24-10-01-G/standard-unit-rates/</x:v>
      </x:c>
    </x:row>
    <x:row r="4845" ht="21" customHeight="1">
      <x:c r="A4845" s="24" t="n">
        <x:v>46249.4375</x:v>
      </x:c>
      <x:c r="B4845" s="6" t="n">
        <x:v>0.16820000000000002</x:v>
      </x:c>
      <x:c r="C4845" s="6" t="n">
        <x:v>0.1032</x:v>
      </x:c>
      <x:c r="D4845" s="6" t="n">
        <x:f>B4845</x:f>
        <x:v>0.16820000000000002</x:v>
      </x:c>
      <x:c r="E4845" s="1" t="n">
        <x:v>1.05</x:v>
      </x:c>
      <x:c r="F4845" s="1" t="str">
        <x:v>https://api.octopus.energy/v1/products/AGILE-24-10-01/electricity-tariffs/E-1R-AGILE-24-10-01-G/standard-unit-rates/</x:v>
      </x:c>
    </x:row>
    <x:row r="4846" ht="21" customHeight="1">
      <x:c r="A4846" s="24" t="n">
        <x:v>46249.458333333336</x:v>
      </x:c>
      <x:c r="B4846" s="6" t="n">
        <x:v>0.1577</x:v>
      </x:c>
      <x:c r="C4846" s="6" t="n">
        <x:v>0.0984</x:v>
      </x:c>
      <x:c r="D4846" s="6" t="n">
        <x:f>B4846</x:f>
        <x:v>0.1577</x:v>
      </x:c>
      <x:c r="E4846" s="1" t="n">
        <x:v>1.05</x:v>
      </x:c>
      <x:c r="F4846" s="1" t="str">
        <x:v>https://api.octopus.energy/v1/products/AGILE-24-10-01/electricity-tariffs/E-1R-AGILE-24-10-01-G/standard-unit-rates/</x:v>
      </x:c>
    </x:row>
    <x:row r="4847" ht="21" customHeight="1">
      <x:c r="A4847" s="24" t="n">
        <x:v>46249.479166666664</x:v>
      </x:c>
      <x:c r="B4847" s="6" t="n">
        <x:v>0.1472</x:v>
      </x:c>
      <x:c r="C4847" s="6" t="n">
        <x:v>0.09359999999999999</x:v>
      </x:c>
      <x:c r="D4847" s="6" t="n">
        <x:f>B4847</x:f>
        <x:v>0.1472</x:v>
      </x:c>
      <x:c r="E4847" s="1" t="n">
        <x:v>1.05</x:v>
      </x:c>
      <x:c r="F4847" s="1" t="str">
        <x:v>https://api.octopus.energy/v1/products/AGILE-24-10-01/electricity-tariffs/E-1R-AGILE-24-10-01-G/standard-unit-rates/</x:v>
      </x:c>
    </x:row>
    <x:row r="4848" ht="21" customHeight="1">
      <x:c r="A4848" s="24" t="n">
        <x:v>46249.5</x:v>
      </x:c>
      <x:c r="B4848" s="6" t="n">
        <x:v>0.16190000000000002</x:v>
      </x:c>
      <x:c r="C4848" s="6" t="n">
        <x:v>0.1003</x:v>
      </x:c>
      <x:c r="D4848" s="6" t="n">
        <x:f>B4848</x:f>
        <x:v>0.16190000000000002</x:v>
      </x:c>
      <x:c r="E4848" s="1" t="n">
        <x:v>1.05</x:v>
      </x:c>
      <x:c r="F4848" s="1" t="str">
        <x:v>https://api.octopus.energy/v1/products/AGILE-24-10-01/electricity-tariffs/E-1R-AGILE-24-10-01-G/standard-unit-rates/</x:v>
      </x:c>
    </x:row>
    <x:row r="4849" ht="21" customHeight="1">
      <x:c r="A4849" s="24" t="n">
        <x:v>46249.520833333336</x:v>
      </x:c>
      <x:c r="B4849" s="6" t="n">
        <x:v>0.15560000000000002</x:v>
      </x:c>
      <x:c r="C4849" s="6" t="n">
        <x:v>0.0974</x:v>
      </x:c>
      <x:c r="D4849" s="6" t="n">
        <x:f>B4849</x:f>
        <x:v>0.15560000000000002</x:v>
      </x:c>
      <x:c r="E4849" s="1" t="n">
        <x:v>1.05</x:v>
      </x:c>
      <x:c r="F4849" s="1" t="str">
        <x:v>https://api.octopus.energy/v1/products/AGILE-24-10-01/electricity-tariffs/E-1R-AGILE-24-10-01-G/standard-unit-rates/</x:v>
      </x:c>
    </x:row>
    <x:row r="4850" ht="21" customHeight="1">
      <x:c r="A4850" s="24" t="n">
        <x:v>46249.541666666664</x:v>
      </x:c>
      <x:c r="B4850" s="6" t="n">
        <x:v>0.1463</x:v>
      </x:c>
      <x:c r="C4850" s="6" t="n">
        <x:v>0.0931</x:v>
      </x:c>
      <x:c r="D4850" s="6" t="n">
        <x:f>B4850</x:f>
        <x:v>0.1463</x:v>
      </x:c>
      <x:c r="E4850" s="1" t="n">
        <x:v>1.05</x:v>
      </x:c>
      <x:c r="F4850" s="1" t="str">
        <x:v>https://api.octopus.energy/v1/products/AGILE-24-10-01/electricity-tariffs/E-1R-AGILE-24-10-01-G/standard-unit-rates/</x:v>
      </x:c>
    </x:row>
    <x:row r="4851" ht="21" customHeight="1">
      <x:c r="A4851" s="24" t="n">
        <x:v>46249.5625</x:v>
      </x:c>
      <x:c r="B4851" s="6" t="n">
        <x:v>0.1499</x:v>
      </x:c>
      <x:c r="C4851" s="6" t="n">
        <x:v>0.09480000000000001</x:v>
      </x:c>
      <x:c r="D4851" s="6" t="n">
        <x:f>B4851</x:f>
        <x:v>0.1499</x:v>
      </x:c>
      <x:c r="E4851" s="1" t="n">
        <x:v>1.05</x:v>
      </x:c>
      <x:c r="F4851" s="1" t="str">
        <x:v>https://api.octopus.energy/v1/products/AGILE-24-10-01/electricity-tariffs/E-1R-AGILE-24-10-01-G/standard-unit-rates/</x:v>
      </x:c>
    </x:row>
    <x:row r="4852" ht="21" customHeight="1">
      <x:c r="A4852" s="24" t="n">
        <x:v>46249.583333333336</x:v>
      </x:c>
      <x:c r="B4852" s="6" t="n">
        <x:v>0.1388</x:v>
      </x:c>
      <x:c r="C4852" s="6" t="n">
        <x:v>0.0897</x:v>
      </x:c>
      <x:c r="D4852" s="6" t="n">
        <x:f>B4852</x:f>
        <x:v>0.1388</x:v>
      </x:c>
      <x:c r="E4852" s="1" t="n">
        <x:v>1.05</x:v>
      </x:c>
      <x:c r="F4852" s="1" t="str">
        <x:v>https://api.octopus.energy/v1/products/AGILE-24-10-01/electricity-tariffs/E-1R-AGILE-24-10-01-G/standard-unit-rates/</x:v>
      </x:c>
    </x:row>
    <x:row r="4853" ht="21" customHeight="1">
      <x:c r="A4853" s="24" t="n">
        <x:v>46249.604166666664</x:v>
      </x:c>
      <x:c r="B4853" s="6" t="n">
        <x:v>0.1311</x:v>
      </x:c>
      <x:c r="C4853" s="6" t="n">
        <x:v>0.0862</x:v>
      </x:c>
      <x:c r="D4853" s="6" t="n">
        <x:f>B4853</x:f>
        <x:v>0.1311</x:v>
      </x:c>
      <x:c r="E4853" s="1" t="n">
        <x:v>1.05</x:v>
      </x:c>
      <x:c r="F4853" s="1" t="str">
        <x:v>https://api.octopus.energy/v1/products/AGILE-24-10-01/electricity-tariffs/E-1R-AGILE-24-10-01-G/standard-unit-rates/</x:v>
      </x:c>
    </x:row>
    <x:row r="4854" ht="21" customHeight="1">
      <x:c r="A4854" s="24" t="n">
        <x:v>46249.625</x:v>
      </x:c>
      <x:c r="B4854" s="6" t="n">
        <x:v>0.14300000000000002</x:v>
      </x:c>
      <x:c r="C4854" s="6" t="n">
        <x:v>0.0916</x:v>
      </x:c>
      <x:c r="D4854" s="6" t="n">
        <x:f>B4854</x:f>
        <x:v>0.14300000000000002</x:v>
      </x:c>
      <x:c r="E4854" s="1" t="n">
        <x:v>1.05</x:v>
      </x:c>
      <x:c r="F4854" s="1" t="str">
        <x:v>https://api.octopus.energy/v1/products/AGILE-24-10-01/electricity-tariffs/E-1R-AGILE-24-10-01-G/standard-unit-rates/</x:v>
      </x:c>
    </x:row>
    <x:row r="4855" ht="21" customHeight="1">
      <x:c r="A4855" s="24" t="n">
        <x:v>46249.645833333336</x:v>
      </x:c>
      <x:c r="B4855" s="6" t="n">
        <x:v>0.15109999999999998</x:v>
      </x:c>
      <x:c r="C4855" s="6" t="n">
        <x:v>0.0953</x:v>
      </x:c>
      <x:c r="D4855" s="6" t="n">
        <x:f>B4855</x:f>
        <x:v>0.15109999999999998</x:v>
      </x:c>
      <x:c r="E4855" s="1" t="n">
        <x:v>1.05</x:v>
      </x:c>
      <x:c r="F4855" s="1" t="str">
        <x:v>https://api.octopus.energy/v1/products/AGILE-24-10-01/electricity-tariffs/E-1R-AGILE-24-10-01-G/standard-unit-rates/</x:v>
      </x:c>
    </x:row>
    <x:row r="4856" ht="21" customHeight="1">
      <x:c r="A4856" s="24" t="n">
        <x:v>46249.666666666664</x:v>
      </x:c>
      <x:c r="B4856" s="6" t="n">
        <x:v>0.3155</x:v>
      </x:c>
      <x:c r="C4856" s="6" t="n">
        <x:v>0.1745</x:v>
      </x:c>
      <x:c r="D4856" s="6" t="n">
        <x:f>B4856</x:f>
        <x:v>0.3155</x:v>
      </x:c>
      <x:c r="E4856" s="1" t="n">
        <x:v>1.05</x:v>
      </x:c>
      <x:c r="F4856" s="1" t="str">
        <x:v>https://api.octopus.energy/v1/products/AGILE-24-10-01/electricity-tariffs/E-1R-AGILE-24-10-01-G/standard-unit-rates/</x:v>
      </x:c>
    </x:row>
    <x:row r="4857" ht="21" customHeight="1">
      <x:c r="A4857" s="24" t="n">
        <x:v>46249.6875</x:v>
      </x:c>
      <x:c r="B4857" s="6" t="n">
        <x:v>0.3155</x:v>
      </x:c>
      <x:c r="C4857" s="6" t="n">
        <x:v>0.1745</x:v>
      </x:c>
      <x:c r="D4857" s="6" t="n">
        <x:f>B4857</x:f>
        <x:v>0.3155</x:v>
      </x:c>
      <x:c r="E4857" s="1" t="n">
        <x:v>1.05</x:v>
      </x:c>
      <x:c r="F4857" s="1" t="str">
        <x:v>https://api.octopus.energy/v1/products/AGILE-24-10-01/electricity-tariffs/E-1R-AGILE-24-10-01-G/standard-unit-rates/</x:v>
      </x:c>
    </x:row>
    <x:row r="4858" ht="21" customHeight="1">
      <x:c r="A4858" s="24" t="n">
        <x:v>46249.708333333336</x:v>
      </x:c>
      <x:c r="B4858" s="6" t="n">
        <x:v>0.3663</x:v>
      </x:c>
      <x:c r="C4858" s="6" t="n">
        <x:v>0.1978</x:v>
      </x:c>
      <x:c r="D4858" s="6" t="n">
        <x:f>B4858</x:f>
        <x:v>0.3663</x:v>
      </x:c>
      <x:c r="E4858" s="1" t="n">
        <x:v>1.05</x:v>
      </x:c>
      <x:c r="F4858" s="1" t="str">
        <x:v>https://api.octopus.energy/v1/products/AGILE-24-10-01/electricity-tariffs/E-1R-AGILE-24-10-01-G/standard-unit-rates/</x:v>
      </x:c>
    </x:row>
    <x:row r="4859" ht="21" customHeight="1">
      <x:c r="A4859" s="24" t="n">
        <x:v>46249.729166666664</x:v>
      </x:c>
      <x:c r="B4859" s="6" t="n">
        <x:v>0.3851</x:v>
      </x:c>
      <x:c r="C4859" s="6" t="n">
        <x:v>0.20629999999999998</x:v>
      </x:c>
      <x:c r="D4859" s="6" t="n">
        <x:f>B4859</x:f>
        <x:v>0.3851</x:v>
      </x:c>
      <x:c r="E4859" s="1" t="n">
        <x:v>1.05</x:v>
      </x:c>
      <x:c r="F4859" s="1" t="str">
        <x:v>https://api.octopus.energy/v1/products/AGILE-24-10-01/electricity-tariffs/E-1R-AGILE-24-10-01-G/standard-unit-rates/</x:v>
      </x:c>
    </x:row>
    <x:row r="4860" ht="21" customHeight="1">
      <x:c r="A4860" s="24" t="n">
        <x:v>46249.75</x:v>
      </x:c>
      <x:c r="B4860" s="6" t="n">
        <x:v>0.3957</x:v>
      </x:c>
      <x:c r="C4860" s="6" t="n">
        <x:v>0.2112</x:v>
      </x:c>
      <x:c r="D4860" s="6" t="n">
        <x:f>B4860</x:f>
        <x:v>0.3957</x:v>
      </x:c>
      <x:c r="E4860" s="1" t="n">
        <x:v>1.05</x:v>
      </x:c>
      <x:c r="F4860" s="1" t="str">
        <x:v>https://api.octopus.energy/v1/products/AGILE-24-10-01/electricity-tariffs/E-1R-AGILE-24-10-01-G/standard-unit-rates/</x:v>
      </x:c>
    </x:row>
    <x:row r="4861" ht="21" customHeight="1">
      <x:c r="A4861" s="24" t="n">
        <x:v>46249.770833333336</x:v>
      </x:c>
      <x:c r="B4861" s="6" t="n">
        <x:v>0.41729999999999995</x:v>
      </x:c>
      <x:c r="C4861" s="6" t="n">
        <x:v>0.2211</x:v>
      </x:c>
      <x:c r="D4861" s="6" t="n">
        <x:f>B4861</x:f>
        <x:v>0.41729999999999995</x:v>
      </x:c>
      <x:c r="E4861" s="1" t="n">
        <x:v>1.05</x:v>
      </x:c>
      <x:c r="F4861" s="1" t="str">
        <x:v>https://api.octopus.energy/v1/products/AGILE-24-10-01/electricity-tariffs/E-1R-AGILE-24-10-01-G/standard-unit-rates/</x:v>
      </x:c>
    </x:row>
    <x:row r="4862" ht="21" customHeight="1">
      <x:c r="A4862" s="24" t="n">
        <x:v>46249.791666666664</x:v>
      </x:c>
      <x:c r="B4862" s="6" t="n">
        <x:v>0.3103</x:v>
      </x:c>
      <x:c r="C4862" s="6" t="n">
        <x:v>0.1681</x:v>
      </x:c>
      <x:c r="D4862" s="6" t="n">
        <x:f>B4862</x:f>
        <x:v>0.3103</x:v>
      </x:c>
      <x:c r="E4862" s="1" t="n">
        <x:v>1.05</x:v>
      </x:c>
      <x:c r="F4862" s="1" t="str">
        <x:v>https://api.octopus.energy/v1/products/AGILE-24-10-01/electricity-tariffs/E-1R-AGILE-24-10-01-G/standard-unit-rates/</x:v>
      </x:c>
    </x:row>
    <x:row r="4863" ht="21" customHeight="1">
      <x:c r="A4863" s="24" t="n">
        <x:v>46249.8125</x:v>
      </x:c>
      <x:c r="B4863" s="6" t="n">
        <x:v>0.31329999999999997</x:v>
      </x:c>
      <x:c r="C4863" s="6" t="n">
        <x:v>0.16949999999999998</x:v>
      </x:c>
      <x:c r="D4863" s="6" t="n">
        <x:f>B4863</x:f>
        <x:v>0.31329999999999997</x:v>
      </x:c>
      <x:c r="E4863" s="1" t="n">
        <x:v>1.05</x:v>
      </x:c>
      <x:c r="F4863" s="1" t="str">
        <x:v>https://api.octopus.energy/v1/products/AGILE-24-10-01/electricity-tariffs/E-1R-AGILE-24-10-01-G/standard-unit-rates/</x:v>
      </x:c>
    </x:row>
    <x:row r="4864" ht="21" customHeight="1">
      <x:c r="A4864" s="24" t="n">
        <x:v>46249.833333333336</x:v>
      </x:c>
      <x:c r="B4864" s="6" t="n">
        <x:v>0.30469999999999997</x:v>
      </x:c>
      <x:c r="C4864" s="6" t="n">
        <x:v>0.1656</x:v>
      </x:c>
      <x:c r="D4864" s="6" t="n">
        <x:f>B4864</x:f>
        <x:v>0.30469999999999997</x:v>
      </x:c>
      <x:c r="E4864" s="1" t="n">
        <x:v>1.05</x:v>
      </x:c>
      <x:c r="F4864" s="1" t="str">
        <x:v>https://api.octopus.energy/v1/products/AGILE-24-10-01/electricity-tariffs/E-1R-AGILE-24-10-01-G/standard-unit-rates/</x:v>
      </x:c>
    </x:row>
    <x:row r="4865" ht="21" customHeight="1">
      <x:c r="A4865" s="24" t="n">
        <x:v>46249.854166666664</x:v>
      </x:c>
      <x:c r="B4865" s="6" t="n">
        <x:v>0.3057</x:v>
      </x:c>
      <x:c r="C4865" s="6" t="n">
        <x:v>0.166</x:v>
      </x:c>
      <x:c r="D4865" s="6" t="n">
        <x:f>B4865</x:f>
        <x:v>0.3057</x:v>
      </x:c>
      <x:c r="E4865" s="1" t="n">
        <x:v>1.05</x:v>
      </x:c>
      <x:c r="F4865" s="1" t="str">
        <x:v>https://api.octopus.energy/v1/products/AGILE-24-10-01/electricity-tariffs/E-1R-AGILE-24-10-01-G/standard-unit-rates/</x:v>
      </x:c>
    </x:row>
    <x:row r="4866" ht="21" customHeight="1">
      <x:c r="A4866" s="24" t="n">
        <x:v>46249.875</x:v>
      </x:c>
      <x:c r="B4866" s="6" t="n">
        <x:v>0.302</x:v>
      </x:c>
      <x:c r="C4866" s="6" t="n">
        <x:v>0.1643</x:v>
      </x:c>
      <x:c r="D4866" s="6" t="n">
        <x:f>B4866</x:f>
        <x:v>0.302</x:v>
      </x:c>
      <x:c r="E4866" s="1" t="n">
        <x:v>1.05</x:v>
      </x:c>
      <x:c r="F4866" s="1" t="str">
        <x:v>https://api.octopus.energy/v1/products/AGILE-24-10-01/electricity-tariffs/E-1R-AGILE-24-10-01-G/standard-unit-rates/</x:v>
      </x:c>
    </x:row>
    <x:row r="4867" ht="21" customHeight="1">
      <x:c r="A4867" s="24" t="n">
        <x:v>46249.895833333336</x:v>
      </x:c>
      <x:c r="B4867" s="6" t="n">
        <x:v>0.3016</x:v>
      </x:c>
      <x:c r="C4867" s="6" t="n">
        <x:v>0.1642</x:v>
      </x:c>
      <x:c r="D4867" s="6" t="n">
        <x:f>B4867</x:f>
        <x:v>0.3016</x:v>
      </x:c>
      <x:c r="E4867" s="1" t="n">
        <x:v>1.05</x:v>
      </x:c>
      <x:c r="F4867" s="1" t="str">
        <x:v>https://api.octopus.energy/v1/products/AGILE-24-10-01/electricity-tariffs/E-1R-AGILE-24-10-01-G/standard-unit-rates/</x:v>
      </x:c>
    </x:row>
    <x:row r="4868" ht="21" customHeight="1">
      <x:c r="A4868" s="24" t="n">
        <x:v>46249.916666666664</x:v>
      </x:c>
      <x:c r="B4868" s="6" t="n">
        <x:v>0.30260000000000004</x:v>
      </x:c>
      <x:c r="C4868" s="6" t="n">
        <x:v>0.1646</x:v>
      </x:c>
      <x:c r="D4868" s="6" t="n">
        <x:f>B4868</x:f>
        <x:v>0.30260000000000004</x:v>
      </x:c>
      <x:c r="E4868" s="1" t="n">
        <x:v>1.05</x:v>
      </x:c>
      <x:c r="F4868" s="1" t="str">
        <x:v>https://api.octopus.energy/v1/products/AGILE-24-10-01/electricity-tariffs/E-1R-AGILE-24-10-01-G/standard-unit-rates/</x:v>
      </x:c>
    </x:row>
    <x:row r="4869" ht="21" customHeight="1">
      <x:c r="A4869" s="24" t="n">
        <x:v>46249.9375</x:v>
      </x:c>
      <x:c r="B4869" s="6" t="n">
        <x:v>0.2839</x:v>
      </x:c>
      <x:c r="C4869" s="6" t="n">
        <x:v>0.156</x:v>
      </x:c>
      <x:c r="D4869" s="6" t="n">
        <x:f>B4869</x:f>
        <x:v>0.2839</x:v>
      </x:c>
      <x:c r="E4869" s="1" t="n">
        <x:v>1.05</x:v>
      </x:c>
      <x:c r="F4869" s="1" t="str">
        <x:v>https://api.octopus.energy/v1/products/AGILE-24-10-01/electricity-tariffs/E-1R-AGILE-24-10-01-G/standard-unit-rates/</x:v>
      </x:c>
    </x:row>
    <x:row r="4870" ht="21" customHeight="1">
      <x:c r="A4870" s="24" t="n">
        <x:v>46250</x:v>
      </x:c>
      <x:c r="B4870" s="6" t="n">
        <x:v>0.2859</x:v>
      </x:c>
      <x:c r="C4870" s="6" t="n">
        <x:v>0.15689999999999998</x:v>
      </x:c>
      <x:c r="D4870" s="6" t="n">
        <x:f>B4870</x:f>
        <x:v>0.2859</x:v>
      </x:c>
      <x:c r="E4870" s="1" t="n">
        <x:v>1.05</x:v>
      </x:c>
      <x:c r="F4870" s="1" t="str">
        <x:v>https://api.octopus.energy/v1/products/AGILE-24-10-01/electricity-tariffs/E-1R-AGILE-24-10-01-G/standard-unit-rates/</x:v>
      </x:c>
    </x:row>
    <x:row r="4871" ht="21" customHeight="1">
      <x:c r="A4871" s="24" t="n">
        <x:v>46249.979166666664</x:v>
      </x:c>
      <x:c r="B4871" s="6" t="n">
        <x:v>0.2648</x:v>
      </x:c>
      <x:c r="C4871" s="6" t="n">
        <x:v>0.14730000000000001</x:v>
      </x:c>
      <x:c r="D4871" s="6" t="n">
        <x:f>B4871</x:f>
        <x:v>0.2648</x:v>
      </x:c>
      <x:c r="E4871" s="1" t="n">
        <x:v>1.05</x:v>
      </x:c>
      <x:c r="F4871" s="1" t="str">
        <x:v>https://api.octopus.energy/v1/products/AGILE-24-10-01/electricity-tariffs/E-1R-AGILE-24-10-01-G/standard-unit-rates/</x:v>
      </x:c>
    </x:row>
    <x:row r="4872" ht="21" customHeight="1">
      <x:c r="A4872" s="24" t="n">
        <x:v>46250</x:v>
      </x:c>
      <x:c r="B4872" s="6" t="n">
        <x:v>0.26839999999999997</x:v>
      </x:c>
      <x:c r="C4872" s="6" t="n">
        <x:v>0.149</x:v>
      </x:c>
      <x:c r="D4872" s="6" t="n">
        <x:f>B4872</x:f>
        <x:v>0.26839999999999997</x:v>
      </x:c>
      <x:c r="E4872" s="1" t="n">
        <x:v>1.05</x:v>
      </x:c>
      <x:c r="F4872" s="1" t="str">
        <x:v>https://api.octopus.energy/v1/products/AGILE-24-10-01/electricity-tariffs/E-1R-AGILE-24-10-01-G/standard-unit-rates/</x:v>
      </x:c>
    </x:row>
    <x:row r="4873" ht="21" customHeight="1">
      <x:c r="A4873" s="24" t="n">
        <x:v>46250.020833333336</x:v>
      </x:c>
      <x:c r="B4873" s="6" t="n">
        <x:v>0.2608</x:v>
      </x:c>
      <x:c r="C4873" s="6" t="n">
        <x:v>0.14550000000000002</x:v>
      </x:c>
      <x:c r="D4873" s="6" t="n">
        <x:f>B4873</x:f>
        <x:v>0.2608</x:v>
      </x:c>
      <x:c r="E4873" s="1" t="n">
        <x:v>1.05</x:v>
      </x:c>
      <x:c r="F4873" s="1" t="str">
        <x:v>https://api.octopus.energy/v1/products/AGILE-24-10-01/electricity-tariffs/E-1R-AGILE-24-10-01-G/standard-unit-rates/</x:v>
      </x:c>
    </x:row>
    <x:row r="4874" ht="21" customHeight="1">
      <x:c r="A4874" s="24" t="n">
        <x:v>46250.041666666664</x:v>
      </x:c>
      <x:c r="B4874" s="6" t="n">
        <x:v>0.25429999999999997</x:v>
      </x:c>
      <x:c r="C4874" s="6" t="n">
        <x:v>0.1425</x:v>
      </x:c>
      <x:c r="D4874" s="6" t="n">
        <x:f>B4874</x:f>
        <x:v>0.25429999999999997</x:v>
      </x:c>
      <x:c r="E4874" s="1" t="n">
        <x:v>1.05</x:v>
      </x:c>
      <x:c r="F4874" s="1" t="str">
        <x:v>https://api.octopus.energy/v1/products/AGILE-24-10-01/electricity-tariffs/E-1R-AGILE-24-10-01-G/standard-unit-rates/</x:v>
      </x:c>
    </x:row>
    <x:row r="4875" ht="21" customHeight="1">
      <x:c r="A4875" s="24" t="n">
        <x:v>46250.0625</x:v>
      </x:c>
      <x:c r="B4875" s="6" t="n">
        <x:v>0.2506</x:v>
      </x:c>
      <x:c r="C4875" s="6" t="n">
        <x:v>0.1408</x:v>
      </x:c>
      <x:c r="D4875" s="6" t="n">
        <x:f>B4875</x:f>
        <x:v>0.2506</x:v>
      </x:c>
      <x:c r="E4875" s="1" t="n">
        <x:v>1.05</x:v>
      </x:c>
      <x:c r="F4875" s="1" t="str">
        <x:v>https://api.octopus.energy/v1/products/AGILE-24-10-01/electricity-tariffs/E-1R-AGILE-24-10-01-G/standard-unit-rates/</x:v>
      </x:c>
    </x:row>
    <x:row r="4876" ht="21" customHeight="1">
      <x:c r="A4876" s="24" t="n">
        <x:v>46250.083333333336</x:v>
      </x:c>
      <x:c r="B4876" s="6" t="n">
        <x:v>0.24559999999999998</x:v>
      </x:c>
      <x:c r="C4876" s="6" t="n">
        <x:v>0.1386</x:v>
      </x:c>
      <x:c r="D4876" s="6" t="n">
        <x:f>B4876</x:f>
        <x:v>0.24559999999999998</x:v>
      </x:c>
      <x:c r="E4876" s="1" t="n">
        <x:v>1.05</x:v>
      </x:c>
      <x:c r="F4876" s="1" t="str">
        <x:v>https://api.octopus.energy/v1/products/AGILE-24-10-01/electricity-tariffs/E-1R-AGILE-24-10-01-G/standard-unit-rates/</x:v>
      </x:c>
    </x:row>
    <x:row r="4877" ht="21" customHeight="1">
      <x:c r="A4877" s="24" t="n">
        <x:v>46250.104166666664</x:v>
      </x:c>
      <x:c r="B4877" s="6" t="n">
        <x:v>0.2463</x:v>
      </x:c>
      <x:c r="C4877" s="6" t="n">
        <x:v>0.1389</x:v>
      </x:c>
      <x:c r="D4877" s="6" t="n">
        <x:f>B4877</x:f>
        <x:v>0.2463</x:v>
      </x:c>
      <x:c r="E4877" s="1" t="n">
        <x:v>1.05</x:v>
      </x:c>
      <x:c r="F4877" s="1" t="str">
        <x:v>https://api.octopus.energy/v1/products/AGILE-24-10-01/electricity-tariffs/E-1R-AGILE-24-10-01-G/standard-unit-rates/</x:v>
      </x:c>
    </x:row>
    <x:row r="4878" ht="21" customHeight="1">
      <x:c r="A4878" s="24" t="n">
        <x:v>46250.125</x:v>
      </x:c>
      <x:c r="B4878" s="6" t="n">
        <x:v>0.2489</x:v>
      </x:c>
      <x:c r="C4878" s="6" t="n">
        <x:v>0.1401</x:v>
      </x:c>
      <x:c r="D4878" s="6" t="n">
        <x:f>B4878</x:f>
        <x:v>0.2489</x:v>
      </x:c>
      <x:c r="E4878" s="1" t="n">
        <x:v>1.05</x:v>
      </x:c>
      <x:c r="F4878" s="1" t="str">
        <x:v>https://api.octopus.energy/v1/products/AGILE-24-10-01/electricity-tariffs/E-1R-AGILE-24-10-01-G/standard-unit-rates/</x:v>
      </x:c>
    </x:row>
    <x:row r="4879" ht="21" customHeight="1">
      <x:c r="A4879" s="24" t="n">
        <x:v>46250.145833333336</x:v>
      </x:c>
      <x:c r="B4879" s="6" t="n">
        <x:v>0.2463</x:v>
      </x:c>
      <x:c r="C4879" s="6" t="n">
        <x:v>0.1389</x:v>
      </x:c>
      <x:c r="D4879" s="6" t="n">
        <x:f>B4879</x:f>
        <x:v>0.2463</x:v>
      </x:c>
      <x:c r="E4879" s="1" t="n">
        <x:v>1.05</x:v>
      </x:c>
      <x:c r="F4879" s="1" t="str">
        <x:v>https://api.octopus.energy/v1/products/AGILE-24-10-01/electricity-tariffs/E-1R-AGILE-24-10-01-G/standard-unit-rates/</x:v>
      </x:c>
    </x:row>
    <x:row r="4880" ht="21" customHeight="1">
      <x:c r="A4880" s="24" t="n">
        <x:v>46250.166666666664</x:v>
      </x:c>
      <x:c r="B4880" s="6" t="n">
        <x:v>0.2502</x:v>
      </x:c>
      <x:c r="C4880" s="6" t="n">
        <x:v>0.1406</x:v>
      </x:c>
      <x:c r="D4880" s="6" t="n">
        <x:f>B4880</x:f>
        <x:v>0.2502</x:v>
      </x:c>
      <x:c r="E4880" s="1" t="n">
        <x:v>1.05</x:v>
      </x:c>
      <x:c r="F4880" s="1" t="str">
        <x:v>https://api.octopus.energy/v1/products/AGILE-24-10-01/electricity-tariffs/E-1R-AGILE-24-10-01-G/standard-unit-rates/</x:v>
      </x:c>
    </x:row>
    <x:row r="4881" ht="21" customHeight="1">
      <x:c r="A4881" s="24" t="n">
        <x:v>46250.1875</x:v>
      </x:c>
      <x:c r="B4881" s="6" t="n">
        <x:v>0.249</x:v>
      </x:c>
      <x:c r="C4881" s="6" t="n">
        <x:v>0.1401</x:v>
      </x:c>
      <x:c r="D4881" s="6" t="n">
        <x:f>B4881</x:f>
        <x:v>0.249</x:v>
      </x:c>
      <x:c r="E4881" s="1" t="n">
        <x:v>1.05</x:v>
      </x:c>
      <x:c r="F4881" s="1" t="str">
        <x:v>https://api.octopus.energy/v1/products/AGILE-24-10-01/electricity-tariffs/E-1R-AGILE-24-10-01-G/standard-unit-rates/</x:v>
      </x:c>
    </x:row>
    <x:row r="4882" ht="21" customHeight="1">
      <x:c r="A4882" s="24" t="n">
        <x:v>46250.208333333336</x:v>
      </x:c>
      <x:c r="B4882" s="6" t="n">
        <x:v>0.25739999999999996</x:v>
      </x:c>
      <x:c r="C4882" s="6" t="n">
        <x:v>0.14400000000000002</x:v>
      </x:c>
      <x:c r="D4882" s="6" t="n">
        <x:f>B4882</x:f>
        <x:v>0.25739999999999996</x:v>
      </x:c>
      <x:c r="E4882" s="1" t="n">
        <x:v>1.05</x:v>
      </x:c>
      <x:c r="F4882" s="1" t="str">
        <x:v>https://api.octopus.energy/v1/products/AGILE-24-10-01/electricity-tariffs/E-1R-AGILE-24-10-01-G/standard-unit-rates/</x:v>
      </x:c>
    </x:row>
    <x:row r="4883" ht="21" customHeight="1">
      <x:c r="A4883" s="24" t="n">
        <x:v>46250.229166666664</x:v>
      </x:c>
      <x:c r="B4883" s="6" t="n">
        <x:v>0.2503</x:v>
      </x:c>
      <x:c r="C4883" s="6" t="n">
        <x:v>0.1407</x:v>
      </x:c>
      <x:c r="D4883" s="6" t="n">
        <x:f>B4883</x:f>
        <x:v>0.2503</x:v>
      </x:c>
      <x:c r="E4883" s="1" t="n">
        <x:v>1.05</x:v>
      </x:c>
      <x:c r="F4883" s="1" t="str">
        <x:v>https://api.octopus.energy/v1/products/AGILE-24-10-01/electricity-tariffs/E-1R-AGILE-24-10-01-G/standard-unit-rates/</x:v>
      </x:c>
    </x:row>
    <x:row r="4884" ht="21" customHeight="1">
      <x:c r="A4884" s="24" t="n">
        <x:v>46250.25</x:v>
      </x:c>
      <x:c r="B4884" s="6" t="n">
        <x:v>0.2446</x:v>
      </x:c>
      <x:c r="C4884" s="6" t="n">
        <x:v>0.1381</x:v>
      </x:c>
      <x:c r="D4884" s="6" t="n">
        <x:f>B4884</x:f>
        <x:v>0.2446</x:v>
      </x:c>
      <x:c r="E4884" s="1" t="n">
        <x:v>1.05</x:v>
      </x:c>
      <x:c r="F4884" s="1" t="str">
        <x:v>https://api.octopus.energy/v1/products/AGILE-24-10-01/electricity-tariffs/E-1R-AGILE-24-10-01-G/standard-unit-rates/</x:v>
      </x:c>
    </x:row>
    <x:row r="4885" ht="21" customHeight="1">
      <x:c r="A4885" s="24" t="n">
        <x:v>46250.270833333336</x:v>
      </x:c>
      <x:c r="B4885" s="6" t="n">
        <x:v>0.2486</x:v>
      </x:c>
      <x:c r="C4885" s="6" t="n">
        <x:v>0.1399</x:v>
      </x:c>
      <x:c r="D4885" s="6" t="n">
        <x:f>B4885</x:f>
        <x:v>0.2486</x:v>
      </x:c>
      <x:c r="E4885" s="1" t="n">
        <x:v>1.05</x:v>
      </x:c>
      <x:c r="F4885" s="1" t="str">
        <x:v>https://api.octopus.energy/v1/products/AGILE-24-10-01/electricity-tariffs/E-1R-AGILE-24-10-01-G/standard-unit-rates/</x:v>
      </x:c>
    </x:row>
    <x:row r="4886" ht="21" customHeight="1">
      <x:c r="A4886" s="24" t="n">
        <x:v>46250.291666666664</x:v>
      </x:c>
      <x:c r="B4886" s="6" t="n">
        <x:v>0.23120000000000002</x:v>
      </x:c>
      <x:c r="C4886" s="6" t="n">
        <x:v>0.132</x:v>
      </x:c>
      <x:c r="D4886" s="6" t="n">
        <x:f>B4886</x:f>
        <x:v>0.23120000000000002</x:v>
      </x:c>
      <x:c r="E4886" s="1" t="n">
        <x:v>1.05</x:v>
      </x:c>
      <x:c r="F4886" s="1" t="str">
        <x:v>https://api.octopus.energy/v1/products/AGILE-24-10-01/electricity-tariffs/E-1R-AGILE-24-10-01-G/standard-unit-rates/</x:v>
      </x:c>
    </x:row>
    <x:row r="4887" ht="21" customHeight="1">
      <x:c r="A4887" s="24" t="n">
        <x:v>46250.3125</x:v>
      </x:c>
      <x:c r="B4887" s="6" t="n">
        <x:v>0.2375</x:v>
      </x:c>
      <x:c r="C4887" s="6" t="n">
        <x:v>0.1348</x:v>
      </x:c>
      <x:c r="D4887" s="6" t="n">
        <x:f>B4887</x:f>
        <x:v>0.2375</x:v>
      </x:c>
      <x:c r="E4887" s="1" t="n">
        <x:v>1.05</x:v>
      </x:c>
      <x:c r="F4887" s="1" t="str">
        <x:v>https://api.octopus.energy/v1/products/AGILE-24-10-01/electricity-tariffs/E-1R-AGILE-24-10-01-G/standard-unit-rates/</x:v>
      </x:c>
    </x:row>
    <x:row r="4888" ht="21" customHeight="1">
      <x:c r="A4888" s="24" t="n">
        <x:v>46250.333333333336</x:v>
      </x:c>
      <x:c r="B4888" s="6" t="n">
        <x:v>0.2291</x:v>
      </x:c>
      <x:c r="C4888" s="6" t="n">
        <x:v>0.131</x:v>
      </x:c>
      <x:c r="D4888" s="6" t="n">
        <x:f>B4888</x:f>
        <x:v>0.2291</x:v>
      </x:c>
      <x:c r="E4888" s="1" t="n">
        <x:v>1.05</x:v>
      </x:c>
      <x:c r="F4888" s="1" t="str">
        <x:v>https://api.octopus.energy/v1/products/AGILE-24-10-01/electricity-tariffs/E-1R-AGILE-24-10-01-G/standard-unit-rates/</x:v>
      </x:c>
    </x:row>
    <x:row r="4889" ht="21" customHeight="1">
      <x:c r="A4889" s="24" t="n">
        <x:v>46250.354166666664</x:v>
      </x:c>
      <x:c r="B4889" s="6" t="n">
        <x:v>0.2323</x:v>
      </x:c>
      <x:c r="C4889" s="6" t="n">
        <x:v>0.1325</x:v>
      </x:c>
      <x:c r="D4889" s="6" t="n">
        <x:f>B4889</x:f>
        <x:v>0.2323</x:v>
      </x:c>
      <x:c r="E4889" s="1" t="n">
        <x:v>1.05</x:v>
      </x:c>
      <x:c r="F4889" s="1" t="str">
        <x:v>https://api.octopus.energy/v1/products/AGILE-24-10-01/electricity-tariffs/E-1R-AGILE-24-10-01-G/standard-unit-rates/</x:v>
      </x:c>
    </x:row>
    <x:row r="4890" ht="21" customHeight="1">
      <x:c r="A4890" s="24" t="n">
        <x:v>46250.375</x:v>
      </x:c>
      <x:c r="B4890" s="6" t="n">
        <x:v>0.2349</x:v>
      </x:c>
      <x:c r="C4890" s="6" t="n">
        <x:v>0.1336</x:v>
      </x:c>
      <x:c r="D4890" s="6" t="n">
        <x:f>B4890</x:f>
        <x:v>0.2349</x:v>
      </x:c>
      <x:c r="E4890" s="1" t="n">
        <x:v>1.05</x:v>
      </x:c>
      <x:c r="F4890" s="1" t="str">
        <x:v>https://api.octopus.energy/v1/products/AGILE-24-10-01/electricity-tariffs/E-1R-AGILE-24-10-01-G/standard-unit-rates/</x:v>
      </x:c>
    </x:row>
    <x:row r="4891" ht="21" customHeight="1">
      <x:c r="A4891" s="24" t="n">
        <x:v>46250.395833333336</x:v>
      </x:c>
      <x:c r="B4891" s="6" t="n">
        <x:v>0.2291</x:v>
      </x:c>
      <x:c r="C4891" s="6" t="n">
        <x:v>0.131</x:v>
      </x:c>
      <x:c r="D4891" s="6" t="n">
        <x:f>B4891</x:f>
        <x:v>0.2291</x:v>
      </x:c>
      <x:c r="E4891" s="1" t="n">
        <x:v>1.05</x:v>
      </x:c>
      <x:c r="F4891" s="1" t="str">
        <x:v>https://api.octopus.energy/v1/products/AGILE-24-10-01/electricity-tariffs/E-1R-AGILE-24-10-01-G/standard-unit-rates/</x:v>
      </x:c>
    </x:row>
    <x:row r="4892" ht="21" customHeight="1">
      <x:c r="A4892" s="24" t="n">
        <x:v>46250.416666666664</x:v>
      </x:c>
      <x:c r="B4892" s="6" t="n">
        <x:v>0.2429</x:v>
      </x:c>
      <x:c r="C4892" s="6" t="n">
        <x:v>0.1373</x:v>
      </x:c>
      <x:c r="D4892" s="6" t="n">
        <x:f>B4892</x:f>
        <x:v>0.2429</x:v>
      </x:c>
      <x:c r="E4892" s="1" t="n">
        <x:v>1.05</x:v>
      </x:c>
      <x:c r="F4892" s="1" t="str">
        <x:v>https://api.octopus.energy/v1/products/AGILE-24-10-01/electricity-tariffs/E-1R-AGILE-24-10-01-G/standard-unit-rates/</x:v>
      </x:c>
    </x:row>
    <x:row r="4893" ht="21" customHeight="1">
      <x:c r="A4893" s="24" t="n">
        <x:v>46250.4375</x:v>
      </x:c>
      <x:c r="B4893" s="6" t="n">
        <x:v>0.2375</x:v>
      </x:c>
      <x:c r="C4893" s="6" t="n">
        <x:v>0.1348</x:v>
      </x:c>
      <x:c r="D4893" s="6" t="n">
        <x:f>B4893</x:f>
        <x:v>0.2375</x:v>
      </x:c>
      <x:c r="E4893" s="1" t="n">
        <x:v>1.05</x:v>
      </x:c>
      <x:c r="F4893" s="1" t="str">
        <x:v>https://api.octopus.energy/v1/products/AGILE-24-10-01/electricity-tariffs/E-1R-AGILE-24-10-01-G/standard-unit-rates/</x:v>
      </x:c>
    </x:row>
    <x:row r="4894" ht="21" customHeight="1">
      <x:c r="A4894" s="24" t="n">
        <x:v>46250.458333333336</x:v>
      </x:c>
      <x:c r="B4894" s="6" t="n">
        <x:v>0.231</x:v>
      </x:c>
      <x:c r="C4894" s="6" t="n">
        <x:v>0.1319</x:v>
      </x:c>
      <x:c r="D4894" s="6" t="n">
        <x:f>B4894</x:f>
        <x:v>0.231</x:v>
      </x:c>
      <x:c r="E4894" s="1" t="n">
        <x:v>1.05</x:v>
      </x:c>
      <x:c r="F4894" s="1" t="str">
        <x:v>https://api.octopus.energy/v1/products/AGILE-24-10-01/electricity-tariffs/E-1R-AGILE-24-10-01-G/standard-unit-rates/</x:v>
      </x:c>
    </x:row>
    <x:row r="4895" ht="21" customHeight="1">
      <x:c r="A4895" s="24" t="n">
        <x:v>46250.479166666664</x:v>
      </x:c>
      <x:c r="B4895" s="6" t="n">
        <x:v>0.2237</x:v>
      </x:c>
      <x:c r="C4895" s="6" t="n">
        <x:v>0.1285</x:v>
      </x:c>
      <x:c r="D4895" s="6" t="n">
        <x:f>B4895</x:f>
        <x:v>0.2237</x:v>
      </x:c>
      <x:c r="E4895" s="1" t="n">
        <x:v>1.05</x:v>
      </x:c>
      <x:c r="F4895" s="1" t="str">
        <x:v>https://api.octopus.energy/v1/products/AGILE-24-10-01/electricity-tariffs/E-1R-AGILE-24-10-01-G/standard-unit-rates/</x:v>
      </x:c>
    </x:row>
    <x:row r="4896" ht="21" customHeight="1">
      <x:c r="A4896" s="24" t="n">
        <x:v>46250.5</x:v>
      </x:c>
      <x:c r="B4896" s="6" t="n">
        <x:v>0.2231</x:v>
      </x:c>
      <x:c r="C4896" s="6" t="n">
        <x:v>0.1283</x:v>
      </x:c>
      <x:c r="D4896" s="6" t="n">
        <x:f>B4896</x:f>
        <x:v>0.2231</x:v>
      </x:c>
      <x:c r="E4896" s="1" t="n">
        <x:v>1.05</x:v>
      </x:c>
      <x:c r="F4896" s="1" t="str">
        <x:v>https://api.octopus.energy/v1/products/AGILE-24-10-01/electricity-tariffs/E-1R-AGILE-24-10-01-G/standard-unit-rates/</x:v>
      </x:c>
    </x:row>
    <x:row r="4897" ht="21" customHeight="1">
      <x:c r="A4897" s="24" t="n">
        <x:v>46250.520833333336</x:v>
      </x:c>
      <x:c r="B4897" s="6" t="n">
        <x:v>0.2127</x:v>
      </x:c>
      <x:c r="C4897" s="6" t="n">
        <x:v>0.1235</x:v>
      </x:c>
      <x:c r="D4897" s="6" t="n">
        <x:f>B4897</x:f>
        <x:v>0.2127</x:v>
      </x:c>
      <x:c r="E4897" s="1" t="n">
        <x:v>1.05</x:v>
      </x:c>
      <x:c r="F4897" s="1" t="str">
        <x:v>https://api.octopus.energy/v1/products/AGILE-24-10-01/electricity-tariffs/E-1R-AGILE-24-10-01-G/standard-unit-rates/</x:v>
      </x:c>
    </x:row>
    <x:row r="4898" ht="21" customHeight="1">
      <x:c r="A4898" s="24" t="n">
        <x:v>46250.541666666664</x:v>
      </x:c>
      <x:c r="B4898" s="6" t="n">
        <x:v>0.2168</x:v>
      </x:c>
      <x:c r="C4898" s="6" t="n">
        <x:v>0.12539999999999998</x:v>
      </x:c>
      <x:c r="D4898" s="6" t="n">
        <x:f>B4898</x:f>
        <x:v>0.2168</x:v>
      </x:c>
      <x:c r="E4898" s="1" t="n">
        <x:v>1.05</x:v>
      </x:c>
      <x:c r="F4898" s="1" t="str">
        <x:v>https://api.octopus.energy/v1/products/AGILE-24-10-01/electricity-tariffs/E-1R-AGILE-24-10-01-G/standard-unit-rates/</x:v>
      </x:c>
    </x:row>
    <x:row r="4899" ht="21" customHeight="1">
      <x:c r="A4899" s="24" t="n">
        <x:v>46250.5625</x:v>
      </x:c>
      <x:c r="B4899" s="6" t="n">
        <x:v>0.21239999999999998</x:v>
      </x:c>
      <x:c r="C4899" s="6" t="n">
        <x:v>0.1234</x:v>
      </x:c>
      <x:c r="D4899" s="6" t="n">
        <x:f>B4899</x:f>
        <x:v>0.21239999999999998</x:v>
      </x:c>
      <x:c r="E4899" s="1" t="n">
        <x:v>1.05</x:v>
      </x:c>
      <x:c r="F4899" s="1" t="str">
        <x:v>https://api.octopus.energy/v1/products/AGILE-24-10-01/electricity-tariffs/E-1R-AGILE-24-10-01-G/standard-unit-rates/</x:v>
      </x:c>
    </x:row>
    <x:row r="4900" ht="21" customHeight="1">
      <x:c r="A4900" s="24" t="n">
        <x:v>46250.583333333336</x:v>
      </x:c>
      <x:c r="B4900" s="6" t="n">
        <x:v>0.2039</x:v>
      </x:c>
      <x:c r="C4900" s="6" t="n">
        <x:v>0.1195</x:v>
      </x:c>
      <x:c r="D4900" s="6" t="n">
        <x:f>B4900</x:f>
        <x:v>0.2039</x:v>
      </x:c>
      <x:c r="E4900" s="1" t="n">
        <x:v>1.05</x:v>
      </x:c>
      <x:c r="F4900" s="1" t="str">
        <x:v>https://api.octopus.energy/v1/products/AGILE-24-10-01/electricity-tariffs/E-1R-AGILE-24-10-01-G/standard-unit-rates/</x:v>
      </x:c>
    </x:row>
    <x:row r="4901" ht="21" customHeight="1">
      <x:c r="A4901" s="24" t="n">
        <x:v>46250.604166666664</x:v>
      </x:c>
      <x:c r="B4901" s="6" t="n">
        <x:v>0.20620000000000002</x:v>
      </x:c>
      <x:c r="C4901" s="6" t="n">
        <x:v>0.12050000000000001</x:v>
      </x:c>
      <x:c r="D4901" s="6" t="n">
        <x:f>B4901</x:f>
        <x:v>0.20620000000000002</x:v>
      </x:c>
      <x:c r="E4901" s="1" t="n">
        <x:v>1.05</x:v>
      </x:c>
      <x:c r="F4901" s="1" t="str">
        <x:v>https://api.octopus.energy/v1/products/AGILE-24-10-01/electricity-tariffs/E-1R-AGILE-24-10-01-G/standard-unit-rates/</x:v>
      </x:c>
    </x:row>
    <x:row r="4902" ht="21" customHeight="1">
      <x:c r="A4902" s="24" t="n">
        <x:v>46250.625</x:v>
      </x:c>
      <x:c r="B4902" s="6" t="n">
        <x:v>0.2186</x:v>
      </x:c>
      <x:c r="C4902" s="6" t="n">
        <x:v>0.12619999999999998</x:v>
      </x:c>
      <x:c r="D4902" s="6" t="n">
        <x:f>B4902</x:f>
        <x:v>0.2186</x:v>
      </x:c>
      <x:c r="E4902" s="1" t="n">
        <x:v>1.05</x:v>
      </x:c>
      <x:c r="F4902" s="1" t="str">
        <x:v>https://api.octopus.energy/v1/products/AGILE-24-10-01/electricity-tariffs/E-1R-AGILE-24-10-01-G/standard-unit-rates/</x:v>
      </x:c>
    </x:row>
    <x:row r="4903" ht="21" customHeight="1">
      <x:c r="A4903" s="24" t="n">
        <x:v>46250.645833333336</x:v>
      </x:c>
      <x:c r="B4903" s="6" t="n">
        <x:v>0.21739999999999998</x:v>
      </x:c>
      <x:c r="C4903" s="6" t="n">
        <x:v>0.12560000000000002</x:v>
      </x:c>
      <x:c r="D4903" s="6" t="n">
        <x:f>B4903</x:f>
        <x:v>0.21739999999999998</x:v>
      </x:c>
      <x:c r="E4903" s="1" t="n">
        <x:v>1.05</x:v>
      </x:c>
      <x:c r="F4903" s="1" t="str">
        <x:v>https://api.octopus.energy/v1/products/AGILE-24-10-01/electricity-tariffs/E-1R-AGILE-24-10-01-G/standard-unit-rates/</x:v>
      </x:c>
    </x:row>
    <x:row r="4904" ht="21" customHeight="1">
      <x:c r="A4904" s="24" t="n">
        <x:v>46250.666666666664</x:v>
      </x:c>
      <x:c r="B4904" s="6" t="n">
        <x:v>0.35090000000000005</x:v>
      </x:c>
      <x:c r="C4904" s="6" t="n">
        <x:v>0.1907</x:v>
      </x:c>
      <x:c r="D4904" s="6" t="n">
        <x:f>B4904</x:f>
        <x:v>0.35090000000000005</x:v>
      </x:c>
      <x:c r="E4904" s="1" t="n">
        <x:v>1.05</x:v>
      </x:c>
      <x:c r="F4904" s="1" t="str">
        <x:v>https://api.octopus.energy/v1/products/AGILE-24-10-01/electricity-tariffs/E-1R-AGILE-24-10-01-G/standard-unit-rates/</x:v>
      </x:c>
    </x:row>
    <x:row r="4905" ht="21" customHeight="1">
      <x:c r="A4905" s="24" t="n">
        <x:v>46250.6875</x:v>
      </x:c>
      <x:c r="B4905" s="6" t="n">
        <x:v>0.3575</x:v>
      </x:c>
      <x:c r="C4905" s="6" t="n">
        <x:v>0.1937</x:v>
      </x:c>
      <x:c r="D4905" s="6" t="n">
        <x:f>B4905</x:f>
        <x:v>0.3575</x:v>
      </x:c>
      <x:c r="E4905" s="1" t="n">
        <x:v>1.05</x:v>
      </x:c>
      <x:c r="F4905" s="1" t="str">
        <x:v>https://api.octopus.energy/v1/products/AGILE-24-10-01/electricity-tariffs/E-1R-AGILE-24-10-01-G/standard-unit-rates/</x:v>
      </x:c>
    </x:row>
    <x:row r="4906" ht="21" customHeight="1">
      <x:c r="A4906" s="24" t="n">
        <x:v>46250.708333333336</x:v>
      </x:c>
      <x:c r="B4906" s="6" t="n">
        <x:v>0.39799999999999996</x:v>
      </x:c>
      <x:c r="C4906" s="6" t="n">
        <x:v>0.21230000000000002</x:v>
      </x:c>
      <x:c r="D4906" s="6" t="n">
        <x:f>B4906</x:f>
        <x:v>0.39799999999999996</x:v>
      </x:c>
      <x:c r="E4906" s="1" t="n">
        <x:v>1.05</x:v>
      </x:c>
      <x:c r="F4906" s="1" t="str">
        <x:v>https://api.octopus.energy/v1/products/AGILE-24-10-01/electricity-tariffs/E-1R-AGILE-24-10-01-G/standard-unit-rates/</x:v>
      </x:c>
    </x:row>
    <x:row r="4907" ht="21" customHeight="1">
      <x:c r="A4907" s="24" t="n">
        <x:v>46250.729166666664</x:v>
      </x:c>
      <x:c r="B4907" s="6" t="n">
        <x:v>0.41619999999999996</x:v>
      </x:c>
      <x:c r="C4907" s="6" t="n">
        <x:v>0.2206</x:v>
      </x:c>
      <x:c r="D4907" s="6" t="n">
        <x:f>B4907</x:f>
        <x:v>0.41619999999999996</x:v>
      </x:c>
      <x:c r="E4907" s="1" t="n">
        <x:v>1.05</x:v>
      </x:c>
      <x:c r="F4907" s="1" t="str">
        <x:v>https://api.octopus.energy/v1/products/AGILE-24-10-01/electricity-tariffs/E-1R-AGILE-24-10-01-G/standard-unit-rates/</x:v>
      </x:c>
    </x:row>
    <x:row r="4908" ht="21" customHeight="1">
      <x:c r="A4908" s="24" t="n">
        <x:v>46250.75</x:v>
      </x:c>
      <x:c r="B4908" s="6" t="n">
        <x:v>0.42229999999999995</x:v>
      </x:c>
      <x:c r="C4908" s="6" t="n">
        <x:v>0.2234</x:v>
      </x:c>
      <x:c r="D4908" s="6" t="n">
        <x:f>B4908</x:f>
        <x:v>0.42229999999999995</x:v>
      </x:c>
      <x:c r="E4908" s="1" t="n">
        <x:v>1.05</x:v>
      </x:c>
      <x:c r="F4908" s="1" t="str">
        <x:v>https://api.octopus.energy/v1/products/AGILE-24-10-01/electricity-tariffs/E-1R-AGILE-24-10-01-G/standard-unit-rates/</x:v>
      </x:c>
    </x:row>
    <x:row r="4909" ht="21" customHeight="1">
      <x:c r="A4909" s="24" t="n">
        <x:v>46250.770833333336</x:v>
      </x:c>
      <x:c r="B4909" s="6" t="n">
        <x:v>0.43119999999999997</x:v>
      </x:c>
      <x:c r="C4909" s="6" t="n">
        <x:v>0.2274</x:v>
      </x:c>
      <x:c r="D4909" s="6" t="n">
        <x:f>B4909</x:f>
        <x:v>0.43119999999999997</x:v>
      </x:c>
      <x:c r="E4909" s="1" t="n">
        <x:v>1.05</x:v>
      </x:c>
      <x:c r="F4909" s="1" t="str">
        <x:v>https://api.octopus.energy/v1/products/AGILE-24-10-01/electricity-tariffs/E-1R-AGILE-24-10-01-G/standard-unit-rates/</x:v>
      </x:c>
    </x:row>
    <x:row r="4910" ht="21" customHeight="1">
      <x:c r="A4910" s="24" t="n">
        <x:v>46250.791666666664</x:v>
      </x:c>
      <x:c r="B4910" s="6" t="n">
        <x:v>0.33130000000000004</x:v>
      </x:c>
      <x:c r="C4910" s="6" t="n">
        <x:v>0.1777</x:v>
      </x:c>
      <x:c r="D4910" s="6" t="n">
        <x:f>B4910</x:f>
        <x:v>0.33130000000000004</x:v>
      </x:c>
      <x:c r="E4910" s="1" t="n">
        <x:v>1.05</x:v>
      </x:c>
      <x:c r="F4910" s="1" t="str">
        <x:v>https://api.octopus.energy/v1/products/AGILE-24-10-01/electricity-tariffs/E-1R-AGILE-24-10-01-G/standard-unit-rates/</x:v>
      </x:c>
    </x:row>
    <x:row r="4911" ht="21" customHeight="1">
      <x:c r="A4911" s="24" t="n">
        <x:v>46250.8125</x:v>
      </x:c>
      <x:c r="B4911" s="6" t="n">
        <x:v>0.331</x:v>
      </x:c>
      <x:c r="C4911" s="6" t="n">
        <x:v>0.1776</x:v>
      </x:c>
      <x:c r="D4911" s="6" t="n">
        <x:f>B4911</x:f>
        <x:v>0.331</x:v>
      </x:c>
      <x:c r="E4911" s="1" t="n">
        <x:v>1.05</x:v>
      </x:c>
      <x:c r="F4911" s="1" t="str">
        <x:v>https://api.octopus.energy/v1/products/AGILE-24-10-01/electricity-tariffs/E-1R-AGILE-24-10-01-G/standard-unit-rates/</x:v>
      </x:c>
    </x:row>
    <x:row r="4912" ht="21" customHeight="1">
      <x:c r="A4912" s="24" t="n">
        <x:v>46250.833333333336</x:v>
      </x:c>
      <x:c r="B4912" s="6" t="n">
        <x:v>0.3392</x:v>
      </x:c>
      <x:c r="C4912" s="6" t="n">
        <x:v>0.1813</x:v>
      </x:c>
      <x:c r="D4912" s="6" t="n">
        <x:f>B4912</x:f>
        <x:v>0.3392</x:v>
      </x:c>
      <x:c r="E4912" s="1" t="n">
        <x:v>1.05</x:v>
      </x:c>
      <x:c r="F4912" s="1" t="str">
        <x:v>https://api.octopus.energy/v1/products/AGILE-24-10-01/electricity-tariffs/E-1R-AGILE-24-10-01-G/standard-unit-rates/</x:v>
      </x:c>
    </x:row>
    <x:row r="4913" ht="21" customHeight="1">
      <x:c r="A4913" s="24" t="n">
        <x:v>46250.854166666664</x:v>
      </x:c>
      <x:c r="B4913" s="6" t="n">
        <x:v>0.3362</x:v>
      </x:c>
      <x:c r="C4913" s="6" t="n">
        <x:v>0.18</x:v>
      </x:c>
      <x:c r="D4913" s="6" t="n">
        <x:f>B4913</x:f>
        <x:v>0.3362</x:v>
      </x:c>
      <x:c r="E4913" s="1" t="n">
        <x:v>1.05</x:v>
      </x:c>
      <x:c r="F4913" s="1" t="str">
        <x:v>https://api.octopus.energy/v1/products/AGILE-24-10-01/electricity-tariffs/E-1R-AGILE-24-10-01-G/standard-unit-rates/</x:v>
      </x:c>
    </x:row>
    <x:row r="4914" ht="21" customHeight="1">
      <x:c r="A4914" s="24" t="n">
        <x:v>46250.875</x:v>
      </x:c>
      <x:c r="B4914" s="6" t="n">
        <x:v>0.3418</x:v>
      </x:c>
      <x:c r="C4914" s="6" t="n">
        <x:v>0.1825</x:v>
      </x:c>
      <x:c r="D4914" s="6" t="n">
        <x:f>B4914</x:f>
        <x:v>0.3418</x:v>
      </x:c>
      <x:c r="E4914" s="1" t="n">
        <x:v>1.05</x:v>
      </x:c>
      <x:c r="F4914" s="1" t="str">
        <x:v>https://api.octopus.energy/v1/products/AGILE-24-10-01/electricity-tariffs/E-1R-AGILE-24-10-01-G/standard-unit-rates/</x:v>
      </x:c>
    </x:row>
    <x:row r="4915" ht="21" customHeight="1">
      <x:c r="A4915" s="24" t="n">
        <x:v>46250.895833333336</x:v>
      </x:c>
      <x:c r="B4915" s="6" t="n">
        <x:v>0.34009999999999996</x:v>
      </x:c>
      <x:c r="C4915" s="6" t="n">
        <x:v>0.18170000000000003</x:v>
      </x:c>
      <x:c r="D4915" s="6" t="n">
        <x:f>B4915</x:f>
        <x:v>0.34009999999999996</x:v>
      </x:c>
      <x:c r="E4915" s="1" t="n">
        <x:v>1.05</x:v>
      </x:c>
      <x:c r="F4915" s="1" t="str">
        <x:v>https://api.octopus.energy/v1/products/AGILE-24-10-01/electricity-tariffs/E-1R-AGILE-24-10-01-G/standard-unit-rates/</x:v>
      </x:c>
    </x:row>
    <x:row r="4916" ht="21" customHeight="1">
      <x:c r="A4916" s="24" t="n">
        <x:v>46250.916666666664</x:v>
      </x:c>
      <x:c r="B4916" s="6" t="n">
        <x:v>0.3214</x:v>
      </x:c>
      <x:c r="C4916" s="6" t="n">
        <x:v>0.1732</x:v>
      </x:c>
      <x:c r="D4916" s="6" t="n">
        <x:f>B4916</x:f>
        <x:v>0.3214</x:v>
      </x:c>
      <x:c r="E4916" s="1" t="n">
        <x:v>1.05</x:v>
      </x:c>
      <x:c r="F4916" s="1" t="str">
        <x:v>https://api.octopus.energy/v1/products/AGILE-24-10-01/electricity-tariffs/E-1R-AGILE-24-10-01-G/standard-unit-rates/</x:v>
      </x:c>
    </x:row>
    <x:row r="4917" ht="21" customHeight="1">
      <x:c r="A4917" s="24" t="n">
        <x:v>46250.9375</x:v>
      </x:c>
      <x:c r="B4917" s="6" t="n">
        <x:v>0.3048</x:v>
      </x:c>
      <x:c r="C4917" s="6" t="n">
        <x:v>0.1656</x:v>
      </x:c>
      <x:c r="D4917" s="6" t="n">
        <x:f>B4917</x:f>
        <x:v>0.3048</x:v>
      </x:c>
      <x:c r="E4917" s="1" t="n">
        <x:v>1.05</x:v>
      </x:c>
      <x:c r="F4917" s="1" t="str">
        <x:v>https://api.octopus.energy/v1/products/AGILE-24-10-01/electricity-tariffs/E-1R-AGILE-24-10-01-G/standard-unit-rates/</x:v>
      </x:c>
    </x:row>
    <x:row r="4918" ht="21" customHeight="1">
      <x:c r="A4918" s="24" t="n">
        <x:v>46251</x:v>
      </x:c>
      <x:c r="B4918" s="6" t="n">
        <x:v>0.32770000000000005</x:v>
      </x:c>
      <x:c r="C4918" s="6" t="n">
        <x:v>0.1761</x:v>
      </x:c>
      <x:c r="D4918" s="6" t="n">
        <x:f>B4918</x:f>
        <x:v>0.32770000000000005</x:v>
      </x:c>
      <x:c r="E4918" s="1" t="n">
        <x:v>1.05</x:v>
      </x:c>
      <x:c r="F4918" s="1" t="str">
        <x:v>https://api.octopus.energy/v1/products/AGILE-24-10-01/electricity-tariffs/E-1R-AGILE-24-10-01-G/standard-unit-rates/</x:v>
      </x:c>
    </x:row>
    <x:row r="4919" ht="21" customHeight="1">
      <x:c r="A4919" s="24" t="n">
        <x:v>46250.979166666664</x:v>
      </x:c>
      <x:c r="B4919" s="6" t="n">
        <x:v>0.30760000000000004</x:v>
      </x:c>
      <x:c r="C4919" s="6" t="n">
        <x:v>0.16690000000000002</x:v>
      </x:c>
      <x:c r="D4919" s="6" t="n">
        <x:f>B4919</x:f>
        <x:v>0.30760000000000004</x:v>
      </x:c>
      <x:c r="E4919" s="1" t="n">
        <x:v>1.05</x:v>
      </x:c>
      <x:c r="F4919" s="1" t="str">
        <x:v>https://api.octopus.energy/v1/products/AGILE-24-10-01/electricity-tariffs/E-1R-AGILE-24-10-01-G/standard-unit-rates/</x:v>
      </x:c>
    </x:row>
    <x:row r="4920" ht="21" customHeight="1">
      <x:c r="A4920" s="24" t="n">
        <x:v>46251</x:v>
      </x:c>
      <x:c r="B4920" s="6" t="n">
        <x:v>0.29710000000000003</x:v>
      </x:c>
      <x:c r="C4920" s="6" t="n">
        <x:v>0.16210000000000002</x:v>
      </x:c>
      <x:c r="D4920" s="6" t="n">
        <x:f>B4920</x:f>
        <x:v>0.29710000000000003</x:v>
      </x:c>
      <x:c r="E4920" s="1" t="n">
        <x:v>1.05</x:v>
      </x:c>
      <x:c r="F4920" s="1" t="str">
        <x:v>https://api.octopus.energy/v1/products/AGILE-24-10-01/electricity-tariffs/E-1R-AGILE-24-10-01-G/standard-unit-rates/</x:v>
      </x:c>
    </x:row>
    <x:row r="4921" ht="21" customHeight="1">
      <x:c r="A4921" s="24" t="n">
        <x:v>46251.020833333336</x:v>
      </x:c>
      <x:c r="B4921" s="6" t="n">
        <x:v>0.3005</x:v>
      </x:c>
      <x:c r="C4921" s="6" t="n">
        <x:v>0.1636</x:v>
      </x:c>
      <x:c r="D4921" s="6" t="n">
        <x:f>B4921</x:f>
        <x:v>0.3005</x:v>
      </x:c>
      <x:c r="E4921" s="1" t="n">
        <x:v>1.05</x:v>
      </x:c>
      <x:c r="F4921" s="1" t="str">
        <x:v>https://api.octopus.energy/v1/products/AGILE-24-10-01/electricity-tariffs/E-1R-AGILE-24-10-01-G/standard-unit-rates/</x:v>
      </x:c>
    </x:row>
    <x:row r="4922" ht="21" customHeight="1">
      <x:c r="A4922" s="24" t="n">
        <x:v>46251.041666666664</x:v>
      </x:c>
      <x:c r="B4922" s="6" t="n">
        <x:v>0.292</x:v>
      </x:c>
      <x:c r="C4922" s="6" t="n">
        <x:v>0.1598</x:v>
      </x:c>
      <x:c r="D4922" s="6" t="n">
        <x:f>B4922</x:f>
        <x:v>0.292</x:v>
      </x:c>
      <x:c r="E4922" s="1" t="n">
        <x:v>1.05</x:v>
      </x:c>
      <x:c r="F4922" s="1" t="str">
        <x:v>https://api.octopus.energy/v1/products/AGILE-24-10-01/electricity-tariffs/E-1R-AGILE-24-10-01-G/standard-unit-rates/</x:v>
      </x:c>
    </x:row>
    <x:row r="4923" ht="21" customHeight="1">
      <x:c r="A4923" s="24" t="n">
        <x:v>46251.0625</x:v>
      </x:c>
      <x:c r="B4923" s="6" t="n">
        <x:v>0.2822</x:v>
      </x:c>
      <x:c r="C4923" s="6" t="n">
        <x:v>0.1553</x:v>
      </x:c>
      <x:c r="D4923" s="6" t="n">
        <x:f>B4923</x:f>
        <x:v>0.2822</x:v>
      </x:c>
      <x:c r="E4923" s="1" t="n">
        <x:v>1.05</x:v>
      </x:c>
      <x:c r="F4923" s="1" t="str">
        <x:v>https://api.octopus.energy/v1/products/AGILE-24-10-01/electricity-tariffs/E-1R-AGILE-24-10-01-G/standard-unit-rates/</x:v>
      </x:c>
    </x:row>
    <x:row r="4924" ht="21" customHeight="1">
      <x:c r="A4924" s="24" t="n">
        <x:v>46251.083333333336</x:v>
      </x:c>
      <x:c r="B4924" s="6" t="n">
        <x:v>0.2796</x:v>
      </x:c>
      <x:c r="C4924" s="6" t="n">
        <x:v>0.15410000000000001</x:v>
      </x:c>
      <x:c r="D4924" s="6" t="n">
        <x:f>B4924</x:f>
        <x:v>0.2796</x:v>
      </x:c>
      <x:c r="E4924" s="1" t="n">
        <x:v>1.05</x:v>
      </x:c>
      <x:c r="F4924" s="1" t="str">
        <x:v>https://api.octopus.energy/v1/products/AGILE-24-10-01/electricity-tariffs/E-1R-AGILE-24-10-01-G/standard-unit-rates/</x:v>
      </x:c>
    </x:row>
    <x:row r="4925" ht="21" customHeight="1">
      <x:c r="A4925" s="24" t="n">
        <x:v>46251.104166666664</x:v>
      </x:c>
      <x:c r="B4925" s="6" t="n">
        <x:v>0.2803</x:v>
      </x:c>
      <x:c r="C4925" s="6" t="n">
        <x:v>0.15439999999999998</x:v>
      </x:c>
      <x:c r="D4925" s="6" t="n">
        <x:f>B4925</x:f>
        <x:v>0.2803</x:v>
      </x:c>
      <x:c r="E4925" s="1" t="n">
        <x:v>1.05</x:v>
      </x:c>
      <x:c r="F4925" s="1" t="str">
        <x:v>https://api.octopus.energy/v1/products/AGILE-24-10-01/electricity-tariffs/E-1R-AGILE-24-10-01-G/standard-unit-rates/</x:v>
      </x:c>
    </x:row>
    <x:row r="4926" ht="21" customHeight="1">
      <x:c r="A4926" s="24" t="n">
        <x:v>46251.125</x:v>
      </x:c>
      <x:c r="B4926" s="6" t="n">
        <x:v>0.2839</x:v>
      </x:c>
      <x:c r="C4926" s="6" t="n">
        <x:v>0.1561</x:v>
      </x:c>
      <x:c r="D4926" s="6" t="n">
        <x:f>B4926</x:f>
        <x:v>0.2839</x:v>
      </x:c>
      <x:c r="E4926" s="1" t="n">
        <x:v>1.05</x:v>
      </x:c>
      <x:c r="F4926" s="1" t="str">
        <x:v>https://api.octopus.energy/v1/products/AGILE-24-10-01/electricity-tariffs/E-1R-AGILE-24-10-01-G/standard-unit-rates/</x:v>
      </x:c>
    </x:row>
    <x:row r="4927" ht="21" customHeight="1">
      <x:c r="A4927" s="24" t="n">
        <x:v>46251.145833333336</x:v>
      </x:c>
      <x:c r="B4927" s="6" t="n">
        <x:v>0.2793</x:v>
      </x:c>
      <x:c r="C4927" s="6" t="n">
        <x:v>0.1539</x:v>
      </x:c>
      <x:c r="D4927" s="6" t="n">
        <x:f>B4927</x:f>
        <x:v>0.2793</x:v>
      </x:c>
      <x:c r="E4927" s="1" t="n">
        <x:v>1.05</x:v>
      </x:c>
      <x:c r="F4927" s="1" t="str">
        <x:v>https://api.octopus.energy/v1/products/AGILE-24-10-01/electricity-tariffs/E-1R-AGILE-24-10-01-G/standard-unit-rates/</x:v>
      </x:c>
    </x:row>
    <x:row r="4928" ht="21" customHeight="1">
      <x:c r="A4928" s="24" t="n">
        <x:v>46251.166666666664</x:v>
      </x:c>
      <x:c r="B4928" s="6" t="n">
        <x:v>0.2955</x:v>
      </x:c>
      <x:c r="C4928" s="6" t="n">
        <x:v>0.1613</x:v>
      </x:c>
      <x:c r="D4928" s="6" t="n">
        <x:f>B4928</x:f>
        <x:v>0.2955</x:v>
      </x:c>
      <x:c r="E4928" s="1" t="n">
        <x:v>1.05</x:v>
      </x:c>
      <x:c r="F4928" s="1" t="str">
        <x:v>https://api.octopus.energy/v1/products/AGILE-24-10-01/electricity-tariffs/E-1R-AGILE-24-10-01-G/standard-unit-rates/</x:v>
      </x:c>
    </x:row>
    <x:row r="4929" ht="21" customHeight="1">
      <x:c r="A4929" s="24" t="n">
        <x:v>46251.1875</x:v>
      </x:c>
      <x:c r="B4929" s="6" t="n">
        <x:v>0.2789</x:v>
      </x:c>
      <x:c r="C4929" s="6" t="n">
        <x:v>0.15380000000000002</x:v>
      </x:c>
      <x:c r="D4929" s="6" t="n">
        <x:f>B4929</x:f>
        <x:v>0.2789</x:v>
      </x:c>
      <x:c r="E4929" s="1" t="n">
        <x:v>1.05</x:v>
      </x:c>
      <x:c r="F4929" s="1" t="str">
        <x:v>https://api.octopus.energy/v1/products/AGILE-24-10-01/electricity-tariffs/E-1R-AGILE-24-10-01-G/standard-unit-rates/</x:v>
      </x:c>
    </x:row>
    <x:row r="4930" ht="21" customHeight="1">
      <x:c r="A4930" s="24" t="n">
        <x:v>46251.208333333336</x:v>
      </x:c>
      <x:c r="B4930" s="6" t="n">
        <x:v>0.3206</x:v>
      </x:c>
      <x:c r="C4930" s="6" t="n">
        <x:v>0.1728</x:v>
      </x:c>
      <x:c r="D4930" s="6" t="n">
        <x:f>B4930</x:f>
        <x:v>0.3206</x:v>
      </x:c>
      <x:c r="E4930" s="1" t="n">
        <x:v>1.05</x:v>
      </x:c>
      <x:c r="F4930" s="1" t="str">
        <x:v>https://api.octopus.energy/v1/products/AGILE-24-10-01/electricity-tariffs/E-1R-AGILE-24-10-01-G/standard-unit-rates/</x:v>
      </x:c>
    </x:row>
    <x:row r="4931" ht="21" customHeight="1">
      <x:c r="A4931" s="24" t="n">
        <x:v>46251.229166666664</x:v>
      </x:c>
      <x:c r="B4931" s="6" t="n">
        <x:v>0.32409999999999994</x:v>
      </x:c>
      <x:c r="C4931" s="6" t="n">
        <x:v>0.1744</x:v>
      </x:c>
      <x:c r="D4931" s="6" t="n">
        <x:f>B4931</x:f>
        <x:v>0.32409999999999994</x:v>
      </x:c>
      <x:c r="E4931" s="1" t="n">
        <x:v>1.05</x:v>
      </x:c>
      <x:c r="F4931" s="1" t="str">
        <x:v>https://api.octopus.energy/v1/products/AGILE-24-10-01/electricity-tariffs/E-1R-AGILE-24-10-01-G/standard-unit-rates/</x:v>
      </x:c>
    </x:row>
    <x:row r="4932" ht="21" customHeight="1">
      <x:c r="A4932" s="24" t="n">
        <x:v>46251.25</x:v>
      </x:c>
      <x:c r="B4932" s="6" t="n">
        <x:v>0.3328</x:v>
      </x:c>
      <x:c r="C4932" s="6" t="n">
        <x:v>0.1784</x:v>
      </x:c>
      <x:c r="D4932" s="6" t="n">
        <x:f>B4932</x:f>
        <x:v>0.3328</x:v>
      </x:c>
      <x:c r="E4932" s="1" t="n">
        <x:v>1.05</x:v>
      </x:c>
      <x:c r="F4932" s="1" t="str">
        <x:v>https://api.octopus.energy/v1/products/AGILE-24-10-01/electricity-tariffs/E-1R-AGILE-24-10-01-G/standard-unit-rates/</x:v>
      </x:c>
    </x:row>
    <x:row r="4933" ht="21" customHeight="1">
      <x:c r="A4933" s="24" t="n">
        <x:v>46251.270833333336</x:v>
      </x:c>
      <x:c r="B4933" s="6" t="n">
        <x:v>0.34</x:v>
      </x:c>
      <x:c r="C4933" s="6" t="n">
        <x:v>0.18170000000000003</x:v>
      </x:c>
      <x:c r="D4933" s="6" t="n">
        <x:f>B4933</x:f>
        <x:v>0.34</x:v>
      </x:c>
      <x:c r="E4933" s="1" t="n">
        <x:v>1.05</x:v>
      </x:c>
      <x:c r="F4933" s="1" t="str">
        <x:v>https://api.octopus.energy/v1/products/AGILE-24-10-01/electricity-tariffs/E-1R-AGILE-24-10-01-G/standard-unit-rates/</x:v>
      </x:c>
    </x:row>
    <x:row r="4934" ht="21" customHeight="1">
      <x:c r="A4934" s="24" t="n">
        <x:v>46251.291666666664</x:v>
      </x:c>
      <x:c r="B4934" s="6" t="n">
        <x:v>0.3469</x:v>
      </x:c>
      <x:c r="C4934" s="6" t="n">
        <x:v>0.18489999999999998</x:v>
      </x:c>
      <x:c r="D4934" s="6" t="n">
        <x:f>B4934</x:f>
        <x:v>0.3469</x:v>
      </x:c>
      <x:c r="E4934" s="1" t="n">
        <x:v>1.05</x:v>
      </x:c>
      <x:c r="F4934" s="1" t="str">
        <x:v>https://api.octopus.energy/v1/products/AGILE-24-10-01/electricity-tariffs/E-1R-AGILE-24-10-01-G/standard-unit-rates/</x:v>
      </x:c>
    </x:row>
    <x:row r="4935" ht="21" customHeight="1">
      <x:c r="A4935" s="24" t="n">
        <x:v>46251.3125</x:v>
      </x:c>
      <x:c r="B4935" s="6" t="n">
        <x:v>0.3661</x:v>
      </x:c>
      <x:c r="C4935" s="6" t="n">
        <x:v>0.1936</x:v>
      </x:c>
      <x:c r="D4935" s="6" t="n">
        <x:f>B4935</x:f>
        <x:v>0.3661</x:v>
      </x:c>
      <x:c r="E4935" s="1" t="n">
        <x:v>1.05</x:v>
      </x:c>
      <x:c r="F4935" s="1" t="str">
        <x:v>https://api.octopus.energy/v1/products/AGILE-24-10-01/electricity-tariffs/E-1R-AGILE-24-10-01-G/standard-unit-rates/</x:v>
      </x:c>
    </x:row>
    <x:row r="4936" ht="21" customHeight="1">
      <x:c r="A4936" s="24" t="n">
        <x:v>46251.333333333336</x:v>
      </x:c>
      <x:c r="B4936" s="6" t="n">
        <x:v>0.3582</x:v>
      </x:c>
      <x:c r="C4936" s="6" t="n">
        <x:v>0.19</x:v>
      </x:c>
      <x:c r="D4936" s="6" t="n">
        <x:f>B4936</x:f>
        <x:v>0.3582</x:v>
      </x:c>
      <x:c r="E4936" s="1" t="n">
        <x:v>1.05</x:v>
      </x:c>
      <x:c r="F4936" s="1" t="str">
        <x:v>https://api.octopus.energy/v1/products/AGILE-24-10-01/electricity-tariffs/E-1R-AGILE-24-10-01-G/standard-unit-rates/</x:v>
      </x:c>
    </x:row>
    <x:row r="4937" ht="21" customHeight="1">
      <x:c r="A4937" s="24" t="n">
        <x:v>46251.354166666664</x:v>
      </x:c>
      <x:c r="B4937" s="6" t="n">
        <x:v>0.3575</x:v>
      </x:c>
      <x:c r="C4937" s="6" t="n">
        <x:v>0.18969999999999998</x:v>
      </x:c>
      <x:c r="D4937" s="6" t="n">
        <x:f>B4937</x:f>
        <x:v>0.3575</x:v>
      </x:c>
      <x:c r="E4937" s="1" t="n">
        <x:v>1.05</x:v>
      </x:c>
      <x:c r="F4937" s="1" t="str">
        <x:v>https://api.octopus.energy/v1/products/AGILE-24-10-01/electricity-tariffs/E-1R-AGILE-24-10-01-G/standard-unit-rates/</x:v>
      </x:c>
    </x:row>
    <x:row r="4938" ht="21" customHeight="1">
      <x:c r="A4938" s="24" t="n">
        <x:v>46251.375</x:v>
      </x:c>
      <x:c r="B4938" s="6" t="n">
        <x:v>0.306</x:v>
      </x:c>
      <x:c r="C4938" s="6" t="n">
        <x:v>0.1661</x:v>
      </x:c>
      <x:c r="D4938" s="6" t="n">
        <x:f>B4938</x:f>
        <x:v>0.306</x:v>
      </x:c>
      <x:c r="E4938" s="1" t="n">
        <x:v>1.05</x:v>
      </x:c>
      <x:c r="F4938" s="1" t="str">
        <x:v>https://api.octopus.energy/v1/products/AGILE-24-10-01/electricity-tariffs/E-1R-AGILE-24-10-01-G/standard-unit-rates/</x:v>
      </x:c>
    </x:row>
    <x:row r="4939" ht="21" customHeight="1">
      <x:c r="A4939" s="24" t="n">
        <x:v>46251.395833333336</x:v>
      </x:c>
      <x:c r="B4939" s="6" t="n">
        <x:v>0.31170000000000003</x:v>
      </x:c>
      <x:c r="C4939" s="6" t="n">
        <x:v>0.16879999999999998</x:v>
      </x:c>
      <x:c r="D4939" s="6" t="n">
        <x:f>B4939</x:f>
        <x:v>0.31170000000000003</x:v>
      </x:c>
      <x:c r="E4939" s="1" t="n">
        <x:v>1.05</x:v>
      </x:c>
      <x:c r="F4939" s="1" t="str">
        <x:v>https://api.octopus.energy/v1/products/AGILE-24-10-01/electricity-tariffs/E-1R-AGILE-24-10-01-G/standard-unit-rates/</x:v>
      </x:c>
    </x:row>
    <x:row r="4940" ht="21" customHeight="1">
      <x:c r="A4940" s="24" t="n">
        <x:v>46251.416666666664</x:v>
      </x:c>
      <x:c r="B4940" s="6" t="n">
        <x:v>0.331</x:v>
      </x:c>
      <x:c r="C4940" s="6" t="n">
        <x:v>0.1776</x:v>
      </x:c>
      <x:c r="D4940" s="6" t="n">
        <x:f>B4940</x:f>
        <x:v>0.331</x:v>
      </x:c>
      <x:c r="E4940" s="1" t="n">
        <x:v>1.05</x:v>
      </x:c>
      <x:c r="F4940" s="1" t="str">
        <x:v>https://api.octopus.energy/v1/products/AGILE-24-10-01/electricity-tariffs/E-1R-AGILE-24-10-01-G/standard-unit-rates/</x:v>
      </x:c>
    </x:row>
    <x:row r="4941" ht="21" customHeight="1">
      <x:c r="A4941" s="24" t="n">
        <x:v>46251.4375</x:v>
      </x:c>
      <x:c r="B4941" s="6" t="n">
        <x:v>0.3284</x:v>
      </x:c>
      <x:c r="C4941" s="6" t="n">
        <x:v>0.1764</x:v>
      </x:c>
      <x:c r="D4941" s="6" t="n">
        <x:f>B4941</x:f>
        <x:v>0.3284</x:v>
      </x:c>
      <x:c r="E4941" s="1" t="n">
        <x:v>1.05</x:v>
      </x:c>
      <x:c r="F4941" s="1" t="str">
        <x:v>https://api.octopus.energy/v1/products/AGILE-24-10-01/electricity-tariffs/E-1R-AGILE-24-10-01-G/standard-unit-rates/</x:v>
      </x:c>
    </x:row>
    <x:row r="4942" ht="21" customHeight="1">
      <x:c r="A4942" s="24" t="n">
        <x:v>46251.458333333336</x:v>
      </x:c>
      <x:c r="B4942" s="6" t="n">
        <x:v>0.2918</x:v>
      </x:c>
      <x:c r="C4942" s="6" t="n">
        <x:v>0.1597</x:v>
      </x:c>
      <x:c r="D4942" s="6" t="n">
        <x:f>B4942</x:f>
        <x:v>0.2918</x:v>
      </x:c>
      <x:c r="E4942" s="1" t="n">
        <x:v>1.05</x:v>
      </x:c>
      <x:c r="F4942" s="1" t="str">
        <x:v>https://api.octopus.energy/v1/products/AGILE-24-10-01/electricity-tariffs/E-1R-AGILE-24-10-01-G/standard-unit-rates/</x:v>
      </x:c>
    </x:row>
    <x:row r="4943" ht="21" customHeight="1">
      <x:c r="A4943" s="24" t="n">
        <x:v>46251.479166666664</x:v>
      </x:c>
      <x:c r="B4943" s="6" t="n">
        <x:v>0.2942</x:v>
      </x:c>
      <x:c r="C4943" s="6" t="n">
        <x:v>0.16079999999999997</x:v>
      </x:c>
      <x:c r="D4943" s="6" t="n">
        <x:f>B4943</x:f>
        <x:v>0.2942</x:v>
      </x:c>
      <x:c r="E4943" s="1" t="n">
        <x:v>1.05</x:v>
      </x:c>
      <x:c r="F4943" s="1" t="str">
        <x:v>https://api.octopus.energy/v1/products/AGILE-24-10-01/electricity-tariffs/E-1R-AGILE-24-10-01-G/standard-unit-rates/</x:v>
      </x:c>
    </x:row>
    <x:row r="4944" ht="21" customHeight="1">
      <x:c r="A4944" s="24" t="n">
        <x:v>46251.5</x:v>
      </x:c>
      <x:c r="B4944" s="6" t="n">
        <x:v>0.2964</x:v>
      </x:c>
      <x:c r="C4944" s="6" t="n">
        <x:v>0.1618</x:v>
      </x:c>
      <x:c r="D4944" s="6" t="n">
        <x:f>B4944</x:f>
        <x:v>0.2964</x:v>
      </x:c>
      <x:c r="E4944" s="1" t="n">
        <x:v>1.05</x:v>
      </x:c>
      <x:c r="F4944" s="1" t="str">
        <x:v>https://api.octopus.energy/v1/products/AGILE-24-10-01/electricity-tariffs/E-1R-AGILE-24-10-01-G/standard-unit-rates/</x:v>
      </x:c>
    </x:row>
    <x:row r="4945" ht="21" customHeight="1">
      <x:c r="A4945" s="24" t="n">
        <x:v>46251.520833333336</x:v>
      </x:c>
      <x:c r="B4945" s="6" t="n">
        <x:v>0.29100000000000004</x:v>
      </x:c>
      <x:c r="C4945" s="6" t="n">
        <x:v>0.1593</x:v>
      </x:c>
      <x:c r="D4945" s="6" t="n">
        <x:f>B4945</x:f>
        <x:v>0.29100000000000004</x:v>
      </x:c>
      <x:c r="E4945" s="1" t="n">
        <x:v>1.05</x:v>
      </x:c>
      <x:c r="F4945" s="1" t="str">
        <x:v>https://api.octopus.energy/v1/products/AGILE-24-10-01/electricity-tariffs/E-1R-AGILE-24-10-01-G/standard-unit-rates/</x:v>
      </x:c>
    </x:row>
    <x:row r="4946" ht="21" customHeight="1">
      <x:c r="A4946" s="24" t="n">
        <x:v>46251.541666666664</x:v>
      </x:c>
      <x:c r="B4946" s="6" t="n">
        <x:v>0.2921</x:v>
      </x:c>
      <x:c r="C4946" s="6" t="n">
        <x:v>0.1598</x:v>
      </x:c>
      <x:c r="D4946" s="6" t="n">
        <x:f>B4946</x:f>
        <x:v>0.2921</x:v>
      </x:c>
      <x:c r="E4946" s="1" t="n">
        <x:v>1.05</x:v>
      </x:c>
      <x:c r="F4946" s="1" t="str">
        <x:v>https://api.octopus.energy/v1/products/AGILE-24-10-01/electricity-tariffs/E-1R-AGILE-24-10-01-G/standard-unit-rates/</x:v>
      </x:c>
    </x:row>
    <x:row r="4947" ht="21" customHeight="1">
      <x:c r="A4947" s="24" t="n">
        <x:v>46251.5625</x:v>
      </x:c>
      <x:c r="B4947" s="6" t="n">
        <x:v>0.29</x:v>
      </x:c>
      <x:c r="C4947" s="6" t="n">
        <x:v>0.1588</x:v>
      </x:c>
      <x:c r="D4947" s="6" t="n">
        <x:f>B4947</x:f>
        <x:v>0.29</x:v>
      </x:c>
      <x:c r="E4947" s="1" t="n">
        <x:v>1.05</x:v>
      </x:c>
      <x:c r="F4947" s="1" t="str">
        <x:v>https://api.octopus.energy/v1/products/AGILE-24-10-01/electricity-tariffs/E-1R-AGILE-24-10-01-G/standard-unit-rates/</x:v>
      </x:c>
    </x:row>
    <x:row r="4948" ht="21" customHeight="1">
      <x:c r="A4948" s="24" t="n">
        <x:v>46251.583333333336</x:v>
      </x:c>
      <x:c r="B4948" s="6" t="n">
        <x:v>0.2708</x:v>
      </x:c>
      <x:c r="C4948" s="6" t="n">
        <x:v>0.1501</x:v>
      </x:c>
      <x:c r="D4948" s="6" t="n">
        <x:f>B4948</x:f>
        <x:v>0.2708</x:v>
      </x:c>
      <x:c r="E4948" s="1" t="n">
        <x:v>1.05</x:v>
      </x:c>
      <x:c r="F4948" s="1" t="str">
        <x:v>https://api.octopus.energy/v1/products/AGILE-24-10-01/electricity-tariffs/E-1R-AGILE-24-10-01-G/standard-unit-rates/</x:v>
      </x:c>
    </x:row>
    <x:row r="4949" ht="21" customHeight="1">
      <x:c r="A4949" s="24" t="n">
        <x:v>46251.604166666664</x:v>
      </x:c>
      <x:c r="B4949" s="6" t="n">
        <x:v>0.2697</x:v>
      </x:c>
      <x:c r="C4949" s="6" t="n">
        <x:v>0.1496</x:v>
      </x:c>
      <x:c r="D4949" s="6" t="n">
        <x:f>B4949</x:f>
        <x:v>0.2697</x:v>
      </x:c>
      <x:c r="E4949" s="1" t="n">
        <x:v>1.05</x:v>
      </x:c>
      <x:c r="F4949" s="1" t="str">
        <x:v>https://api.octopus.energy/v1/products/AGILE-24-10-01/electricity-tariffs/E-1R-AGILE-24-10-01-G/standard-unit-rates/</x:v>
      </x:c>
    </x:row>
    <x:row r="4950" ht="21" customHeight="1">
      <x:c r="A4950" s="24" t="n">
        <x:v>46251.625</x:v>
      </x:c>
      <x:c r="B4950" s="6" t="n">
        <x:v>0.2784</x:v>
      </x:c>
      <x:c r="C4950" s="6" t="n">
        <x:v>0.1535</x:v>
      </x:c>
      <x:c r="D4950" s="6" t="n">
        <x:f>B4950</x:f>
        <x:v>0.2784</x:v>
      </x:c>
      <x:c r="E4950" s="1" t="n">
        <x:v>1.05</x:v>
      </x:c>
      <x:c r="F4950" s="1" t="str">
        <x:v>https://api.octopus.energy/v1/products/AGILE-24-10-01/electricity-tariffs/E-1R-AGILE-24-10-01-G/standard-unit-rates/</x:v>
      </x:c>
    </x:row>
    <x:row r="4951" ht="21" customHeight="1">
      <x:c r="A4951" s="24" t="n">
        <x:v>46251.645833333336</x:v>
      </x:c>
      <x:c r="B4951" s="6" t="n">
        <x:v>0.29</x:v>
      </x:c>
      <x:c r="C4951" s="6" t="n">
        <x:v>0.1588</x:v>
      </x:c>
      <x:c r="D4951" s="6" t="n">
        <x:f>B4951</x:f>
        <x:v>0.29</x:v>
      </x:c>
      <x:c r="E4951" s="1" t="n">
        <x:v>1.05</x:v>
      </x:c>
      <x:c r="F4951" s="1" t="str">
        <x:v>https://api.octopus.energy/v1/products/AGILE-24-10-01/electricity-tariffs/E-1R-AGILE-24-10-01-G/standard-unit-rates/</x:v>
      </x:c>
    </x:row>
    <x:row r="4952" ht="21" customHeight="1">
      <x:c r="A4952" s="24" t="n">
        <x:v>46251.666666666664</x:v>
      </x:c>
      <x:c r="B4952" s="6" t="n">
        <x:v>0.40630000000000005</x:v>
      </x:c>
      <x:c r="C4952" s="6" t="n">
        <x:v>0.2161</x:v>
      </x:c>
      <x:c r="D4952" s="6" t="n">
        <x:f>B4952</x:f>
        <x:v>0.40630000000000005</x:v>
      </x:c>
      <x:c r="E4952" s="1" t="n">
        <x:v>1.05</x:v>
      </x:c>
      <x:c r="F4952" s="1" t="str">
        <x:v>https://api.octopus.energy/v1/products/AGILE-24-10-01/electricity-tariffs/E-1R-AGILE-24-10-01-G/standard-unit-rates/</x:v>
      </x:c>
    </x:row>
    <x:row r="4953" ht="21" customHeight="1">
      <x:c r="A4953" s="24" t="n">
        <x:v>46251.6875</x:v>
      </x:c>
      <x:c r="B4953" s="6" t="n">
        <x:v>0.3924</x:v>
      </x:c>
      <x:c r="C4953" s="6" t="n">
        <x:v>0.2097</x:v>
      </x:c>
      <x:c r="D4953" s="6" t="n">
        <x:f>B4953</x:f>
        <x:v>0.3924</x:v>
      </x:c>
      <x:c r="E4953" s="1" t="n">
        <x:v>1.05</x:v>
      </x:c>
      <x:c r="F4953" s="1" t="str">
        <x:v>https://api.octopus.energy/v1/products/AGILE-24-10-01/electricity-tariffs/E-1R-AGILE-24-10-01-G/standard-unit-rates/</x:v>
      </x:c>
    </x:row>
    <x:row r="4954" ht="21" customHeight="1">
      <x:c r="A4954" s="24" t="n">
        <x:v>46251.708333333336</x:v>
      </x:c>
      <x:c r="B4954" s="6" t="n">
        <x:v>0.43229999999999996</x:v>
      </x:c>
      <x:c r="C4954" s="6" t="n">
        <x:v>0.2279</x:v>
      </x:c>
      <x:c r="D4954" s="6" t="n">
        <x:f>B4954</x:f>
        <x:v>0.43229999999999996</x:v>
      </x:c>
      <x:c r="E4954" s="1" t="n">
        <x:v>1.05</x:v>
      </x:c>
      <x:c r="F4954" s="1" t="str">
        <x:v>https://api.octopus.energy/v1/products/AGILE-24-10-01/electricity-tariffs/E-1R-AGILE-24-10-01-G/standard-unit-rates/</x:v>
      </x:c>
    </x:row>
    <x:row r="4955" ht="21" customHeight="1">
      <x:c r="A4955" s="24" t="n">
        <x:v>46251.729166666664</x:v>
      </x:c>
      <x:c r="B4955" s="6" t="n">
        <x:v>0.4646</x:v>
      </x:c>
      <x:c r="C4955" s="6" t="n">
        <x:v>0.2427</x:v>
      </x:c>
      <x:c r="D4955" s="6" t="n">
        <x:f>B4955</x:f>
        <x:v>0.4646</x:v>
      </x:c>
      <x:c r="E4955" s="1" t="n">
        <x:v>1.05</x:v>
      </x:c>
      <x:c r="F4955" s="1" t="str">
        <x:v>https://api.octopus.energy/v1/products/AGILE-24-10-01/electricity-tariffs/E-1R-AGILE-24-10-01-G/standard-unit-rates/</x:v>
      </x:c>
    </x:row>
    <x:row r="4956" ht="21" customHeight="1">
      <x:c r="A4956" s="24" t="n">
        <x:v>46251.75</x:v>
      </x:c>
      <x:c r="B4956" s="6" t="n">
        <x:v>0.4833</x:v>
      </x:c>
      <x:c r="C4956" s="6" t="n">
        <x:v>0.25120000000000003</x:v>
      </x:c>
      <x:c r="D4956" s="6" t="n">
        <x:f>B4956</x:f>
        <x:v>0.4833</x:v>
      </x:c>
      <x:c r="E4956" s="1" t="n">
        <x:v>1.05</x:v>
      </x:c>
      <x:c r="F4956" s="1" t="str">
        <x:v>https://api.octopus.energy/v1/products/AGILE-24-10-01/electricity-tariffs/E-1R-AGILE-24-10-01-G/standard-unit-rates/</x:v>
      </x:c>
    </x:row>
    <x:row r="4957" ht="21" customHeight="1">
      <x:c r="A4957" s="24" t="n">
        <x:v>46251.770833333336</x:v>
      </x:c>
      <x:c r="B4957" s="6" t="n">
        <x:v>0.48560000000000003</x:v>
      </x:c>
      <x:c r="C4957" s="6" t="n">
        <x:v>0.2523</x:v>
      </x:c>
      <x:c r="D4957" s="6" t="n">
        <x:f>B4957</x:f>
        <x:v>0.48560000000000003</x:v>
      </x:c>
      <x:c r="E4957" s="1" t="n">
        <x:v>1.05</x:v>
      </x:c>
      <x:c r="F4957" s="1" t="str">
        <x:v>https://api.octopus.energy/v1/products/AGILE-24-10-01/electricity-tariffs/E-1R-AGILE-24-10-01-G/standard-unit-rates/</x:v>
      </x:c>
    </x:row>
    <x:row r="4958" ht="21" customHeight="1">
      <x:c r="A4958" s="24" t="n">
        <x:v>46251.791666666664</x:v>
      </x:c>
      <x:c r="B4958" s="6" t="n">
        <x:v>0.3425</x:v>
      </x:c>
      <x:c r="C4958" s="6" t="n">
        <x:v>0.18280000000000002</x:v>
      </x:c>
      <x:c r="D4958" s="6" t="n">
        <x:f>B4958</x:f>
        <x:v>0.3425</x:v>
      </x:c>
      <x:c r="E4958" s="1" t="n">
        <x:v>1.05</x:v>
      </x:c>
      <x:c r="F4958" s="1" t="str">
        <x:v>https://api.octopus.energy/v1/products/AGILE-24-10-01/electricity-tariffs/E-1R-AGILE-24-10-01-G/standard-unit-rates/</x:v>
      </x:c>
    </x:row>
    <x:row r="4959" ht="21" customHeight="1">
      <x:c r="A4959" s="24" t="n">
        <x:v>46251.8125</x:v>
      </x:c>
      <x:c r="B4959" s="6" t="n">
        <x:v>0.33390000000000003</x:v>
      </x:c>
      <x:c r="C4959" s="6" t="n">
        <x:v>0.1789</x:v>
      </x:c>
      <x:c r="D4959" s="6" t="n">
        <x:f>B4959</x:f>
        <x:v>0.33390000000000003</x:v>
      </x:c>
      <x:c r="E4959" s="1" t="n">
        <x:v>1.05</x:v>
      </x:c>
      <x:c r="F4959" s="1" t="str">
        <x:v>https://api.octopus.energy/v1/products/AGILE-24-10-01/electricity-tariffs/E-1R-AGILE-24-10-01-G/standard-unit-rates/</x:v>
      </x:c>
    </x:row>
    <x:row r="4960" ht="21" customHeight="1">
      <x:c r="A4960" s="24" t="n">
        <x:v>46251.833333333336</x:v>
      </x:c>
      <x:c r="B4960" s="6" t="n">
        <x:v>0.3448</x:v>
      </x:c>
      <x:c r="C4960" s="6" t="n">
        <x:v>0.1839</x:v>
      </x:c>
      <x:c r="D4960" s="6" t="n">
        <x:f>B4960</x:f>
        <x:v>0.3448</x:v>
      </x:c>
      <x:c r="E4960" s="1" t="n">
        <x:v>1.05</x:v>
      </x:c>
      <x:c r="F4960" s="1" t="str">
        <x:v>https://api.octopus.energy/v1/products/AGILE-24-10-01/electricity-tariffs/E-1R-AGILE-24-10-01-G/standard-unit-rates/</x:v>
      </x:c>
    </x:row>
    <x:row r="4961" ht="21" customHeight="1">
      <x:c r="A4961" s="24" t="n">
        <x:v>46251.854166666664</x:v>
      </x:c>
      <x:c r="B4961" s="6" t="n">
        <x:v>0.34119999999999995</x:v>
      </x:c>
      <x:c r="C4961" s="6" t="n">
        <x:v>0.18230000000000002</x:v>
      </x:c>
      <x:c r="D4961" s="6" t="n">
        <x:f>B4961</x:f>
        <x:v>0.34119999999999995</x:v>
      </x:c>
      <x:c r="E4961" s="1" t="n">
        <x:v>1.05</x:v>
      </x:c>
      <x:c r="F4961" s="1" t="str">
        <x:v>https://api.octopus.energy/v1/products/AGILE-24-10-01/electricity-tariffs/E-1R-AGILE-24-10-01-G/standard-unit-rates/</x:v>
      </x:c>
    </x:row>
    <x:row r="4962" ht="21" customHeight="1">
      <x:c r="A4962" s="24" t="n">
        <x:v>46251.875</x:v>
      </x:c>
      <x:c r="B4962" s="6" t="n">
        <x:v>0.33649999999999997</x:v>
      </x:c>
      <x:c r="C4962" s="6" t="n">
        <x:v>0.1801</x:v>
      </x:c>
      <x:c r="D4962" s="6" t="n">
        <x:f>B4962</x:f>
        <x:v>0.33649999999999997</x:v>
      </x:c>
      <x:c r="E4962" s="1" t="n">
        <x:v>1.05</x:v>
      </x:c>
      <x:c r="F4962" s="1" t="str">
        <x:v>https://api.octopus.energy/v1/products/AGILE-24-10-01/electricity-tariffs/E-1R-AGILE-24-10-01-G/standard-unit-rates/</x:v>
      </x:c>
    </x:row>
    <x:row r="4963" ht="21" customHeight="1">
      <x:c r="A4963" s="24" t="n">
        <x:v>46251.895833333336</x:v>
      </x:c>
      <x:c r="B4963" s="6" t="n">
        <x:v>0.3218</x:v>
      </x:c>
      <x:c r="C4963" s="6" t="n">
        <x:v>0.1734</x:v>
      </x:c>
      <x:c r="D4963" s="6" t="n">
        <x:f>B4963</x:f>
        <x:v>0.3218</x:v>
      </x:c>
      <x:c r="E4963" s="1" t="n">
        <x:v>1.05</x:v>
      </x:c>
      <x:c r="F4963" s="1" t="str">
        <x:v>https://api.octopus.energy/v1/products/AGILE-24-10-01/electricity-tariffs/E-1R-AGILE-24-10-01-G/standard-unit-rates/</x:v>
      </x:c>
    </x:row>
    <x:row r="4964" ht="21" customHeight="1">
      <x:c r="A4964" s="24" t="n">
        <x:v>46251.916666666664</x:v>
      </x:c>
      <x:c r="B4964" s="6" t="n">
        <x:v>0.29719999999999996</x:v>
      </x:c>
      <x:c r="C4964" s="6" t="n">
        <x:v>0.16210000000000002</x:v>
      </x:c>
      <x:c r="D4964" s="6" t="n">
        <x:f>B4964</x:f>
        <x:v>0.29719999999999996</x:v>
      </x:c>
      <x:c r="E4964" s="1" t="n">
        <x:v>1.05</x:v>
      </x:c>
      <x:c r="F4964" s="1" t="str">
        <x:v>https://api.octopus.energy/v1/products/AGILE-24-10-01/electricity-tariffs/E-1R-AGILE-24-10-01-G/standard-unit-rates/</x:v>
      </x:c>
    </x:row>
    <x:row r="4965" ht="21" customHeight="1">
      <x:c r="A4965" s="24" t="n">
        <x:v>46251.9375</x:v>
      </x:c>
      <x:c r="B4965" s="6" t="n">
        <x:v>0.2724</x:v>
      </x:c>
      <x:c r="C4965" s="6" t="n">
        <x:v>0.1508</x:v>
      </x:c>
      <x:c r="D4965" s="6" t="n">
        <x:f>B4965</x:f>
        <x:v>0.2724</x:v>
      </x:c>
      <x:c r="E4965" s="1" t="n">
        <x:v>1.05</x:v>
      </x:c>
      <x:c r="F4965" s="1" t="str">
        <x:v>https://api.octopus.energy/v1/products/AGILE-24-10-01/electricity-tariffs/E-1R-AGILE-24-10-01-G/standard-unit-rates/</x:v>
      </x:c>
    </x:row>
    <x:row r="4966" ht="21" customHeight="1">
      <x:c r="A4966" s="24" t="n">
        <x:v>46252</x:v>
      </x:c>
      <x:c r="B4966" s="6" t="n">
        <x:v>0.27449999999999997</x:v>
      </x:c>
      <x:c r="C4966" s="6" t="n">
        <x:v>0.1517</x:v>
      </x:c>
      <x:c r="D4966" s="6" t="n">
        <x:f>B4966</x:f>
        <x:v>0.27449999999999997</x:v>
      </x:c>
      <x:c r="E4966" s="1" t="n">
        <x:v>1.05</x:v>
      </x:c>
      <x:c r="F4966" s="1" t="str">
        <x:v>https://api.octopus.energy/v1/products/AGILE-24-10-01/electricity-tariffs/E-1R-AGILE-24-10-01-G/standard-unit-rates/</x:v>
      </x:c>
    </x:row>
    <x:row r="4967" ht="21" customHeight="1">
      <x:c r="A4967" s="24" t="n">
        <x:v>46251.979166666664</x:v>
      </x:c>
      <x:c r="B4967" s="6" t="n">
        <x:v>0.2672</x:v>
      </x:c>
      <x:c r="C4967" s="6" t="n">
        <x:v>0.1484</x:v>
      </x:c>
      <x:c r="D4967" s="6" t="n">
        <x:f>B4967</x:f>
        <x:v>0.2672</x:v>
      </x:c>
      <x:c r="E4967" s="1" t="n">
        <x:v>1.05</x:v>
      </x:c>
      <x:c r="F4967" s="1" t="str">
        <x:v>https://api.octopus.energy/v1/products/AGILE-24-10-01/electricity-tariffs/E-1R-AGILE-24-10-01-G/standard-unit-rates/</x:v>
      </x:c>
    </x:row>
    <x:row r="4968" ht="21" customHeight="1">
      <x:c r="A4968" s="24" t="n">
        <x:v>46252</x:v>
      </x:c>
      <x:c r="B4968" s="6" t="n">
        <x:v>0.26280000000000003</x:v>
      </x:c>
      <x:c r="C4968" s="6" t="n">
        <x:v>0.1464</x:v>
      </x:c>
      <x:c r="D4968" s="6" t="n">
        <x:f>B4968</x:f>
        <x:v>0.26280000000000003</x:v>
      </x:c>
      <x:c r="E4968" s="1" t="n">
        <x:v>1.05</x:v>
      </x:c>
      <x:c r="F4968" s="1" t="str">
        <x:v>https://api.octopus.energy/v1/products/AGILE-24-10-01/electricity-tariffs/E-1R-AGILE-24-10-01-G/standard-unit-rates/</x:v>
      </x:c>
    </x:row>
    <x:row r="4969" ht="21" customHeight="1">
      <x:c r="A4969" s="24" t="n">
        <x:v>46252.020833333336</x:v>
      </x:c>
      <x:c r="B4969" s="6" t="n">
        <x:v>0.2493</x:v>
      </x:c>
      <x:c r="C4969" s="6" t="n">
        <x:v>0.1402</x:v>
      </x:c>
      <x:c r="D4969" s="6" t="n">
        <x:f>B4969</x:f>
        <x:v>0.2493</x:v>
      </x:c>
      <x:c r="E4969" s="1" t="n">
        <x:v>1.05</x:v>
      </x:c>
      <x:c r="F4969" s="1" t="str">
        <x:v>https://api.octopus.energy/v1/products/AGILE-24-10-01/electricity-tariffs/E-1R-AGILE-24-10-01-G/standard-unit-rates/</x:v>
      </x:c>
    </x:row>
    <x:row r="4970" ht="21" customHeight="1">
      <x:c r="A4970" s="24" t="n">
        <x:v>46252.041666666664</x:v>
      </x:c>
      <x:c r="B4970" s="6" t="n">
        <x:v>0.23120000000000002</x:v>
      </x:c>
      <x:c r="C4970" s="6" t="n">
        <x:v>0.132</x:v>
      </x:c>
      <x:c r="D4970" s="6" t="n">
        <x:f>B4970</x:f>
        <x:v>0.23120000000000002</x:v>
      </x:c>
      <x:c r="E4970" s="1" t="n">
        <x:v>1.05</x:v>
      </x:c>
      <x:c r="F4970" s="1" t="str">
        <x:v>https://api.octopus.energy/v1/products/AGILE-24-10-01/electricity-tariffs/E-1R-AGILE-24-10-01-G/standard-unit-rates/</x:v>
      </x:c>
    </x:row>
    <x:row r="4971" ht="21" customHeight="1">
      <x:c r="A4971" s="24" t="n">
        <x:v>46252.0625</x:v>
      </x:c>
      <x:c r="B4971" s="6" t="n">
        <x:v>0.23879999999999998</x:v>
      </x:c>
      <x:c r="C4971" s="6" t="n">
        <x:v>0.1354</x:v>
      </x:c>
      <x:c r="D4971" s="6" t="n">
        <x:f>B4971</x:f>
        <x:v>0.23879999999999998</x:v>
      </x:c>
      <x:c r="E4971" s="1" t="n">
        <x:v>1.05</x:v>
      </x:c>
      <x:c r="F4971" s="1" t="str">
        <x:v>https://api.octopus.energy/v1/products/AGILE-24-10-01/electricity-tariffs/E-1R-AGILE-24-10-01-G/standard-unit-rates/</x:v>
      </x:c>
    </x:row>
    <x:row r="4972" ht="21" customHeight="1">
      <x:c r="A4972" s="24" t="n">
        <x:v>46252.083333333336</x:v>
      </x:c>
      <x:c r="B4972" s="6" t="n">
        <x:v>0.2419</x:v>
      </x:c>
      <x:c r="C4972" s="6" t="n">
        <x:v>0.1368</x:v>
      </x:c>
      <x:c r="D4972" s="6" t="n">
        <x:f>B4972</x:f>
        <x:v>0.2419</x:v>
      </x:c>
      <x:c r="E4972" s="1" t="n">
        <x:v>1.05</x:v>
      </x:c>
      <x:c r="F4972" s="1" t="str">
        <x:v>https://api.octopus.energy/v1/products/AGILE-24-10-01/electricity-tariffs/E-1R-AGILE-24-10-01-G/standard-unit-rates/</x:v>
      </x:c>
    </x:row>
    <x:row r="4973" ht="21" customHeight="1">
      <x:c r="A4973" s="24" t="n">
        <x:v>46252.104166666664</x:v>
      </x:c>
      <x:c r="B4973" s="6" t="n">
        <x:v>0.23199999999999998</x:v>
      </x:c>
      <x:c r="C4973" s="6" t="n">
        <x:v>0.1323</x:v>
      </x:c>
      <x:c r="D4973" s="6" t="n">
        <x:f>B4973</x:f>
        <x:v>0.23199999999999998</x:v>
      </x:c>
      <x:c r="E4973" s="1" t="n">
        <x:v>1.05</x:v>
      </x:c>
      <x:c r="F4973" s="1" t="str">
        <x:v>https://api.octopus.energy/v1/products/AGILE-24-10-01/electricity-tariffs/E-1R-AGILE-24-10-01-G/standard-unit-rates/</x:v>
      </x:c>
    </x:row>
    <x:row r="4974" ht="21" customHeight="1">
      <x:c r="A4974" s="24" t="n">
        <x:v>46252.125</x:v>
      </x:c>
      <x:c r="B4974" s="6" t="n">
        <x:v>0.2302</x:v>
      </x:c>
      <x:c r="C4974" s="6" t="n">
        <x:v>0.1315</x:v>
      </x:c>
      <x:c r="D4974" s="6" t="n">
        <x:f>B4974</x:f>
        <x:v>0.2302</x:v>
      </x:c>
      <x:c r="E4974" s="1" t="n">
        <x:v>1.05</x:v>
      </x:c>
      <x:c r="F4974" s="1" t="str">
        <x:v>https://api.octopus.energy/v1/products/AGILE-24-10-01/electricity-tariffs/E-1R-AGILE-24-10-01-G/standard-unit-rates/</x:v>
      </x:c>
    </x:row>
    <x:row r="4975" ht="21" customHeight="1">
      <x:c r="A4975" s="24" t="n">
        <x:v>46252.145833333336</x:v>
      </x:c>
      <x:c r="B4975" s="6" t="n">
        <x:v>0.2249</x:v>
      </x:c>
      <x:c r="C4975" s="6" t="n">
        <x:v>0.1291</x:v>
      </x:c>
      <x:c r="D4975" s="6" t="n">
        <x:f>B4975</x:f>
        <x:v>0.2249</x:v>
      </x:c>
      <x:c r="E4975" s="1" t="n">
        <x:v>1.05</x:v>
      </x:c>
      <x:c r="F4975" s="1" t="str">
        <x:v>https://api.octopus.energy/v1/products/AGILE-24-10-01/electricity-tariffs/E-1R-AGILE-24-10-01-G/standard-unit-rates/</x:v>
      </x:c>
    </x:row>
    <x:row r="4976" ht="21" customHeight="1">
      <x:c r="A4976" s="24" t="n">
        <x:v>46252.166666666664</x:v>
      </x:c>
      <x:c r="B4976" s="6" t="n">
        <x:v>0.2323</x:v>
      </x:c>
      <x:c r="C4976" s="6" t="n">
        <x:v>0.1325</x:v>
      </x:c>
      <x:c r="D4976" s="6" t="n">
        <x:f>B4976</x:f>
        <x:v>0.2323</x:v>
      </x:c>
      <x:c r="E4976" s="1" t="n">
        <x:v>1.05</x:v>
      </x:c>
      <x:c r="F4976" s="1" t="str">
        <x:v>https://api.octopus.energy/v1/products/AGILE-24-10-01/electricity-tariffs/E-1R-AGILE-24-10-01-G/standard-unit-rates/</x:v>
      </x:c>
    </x:row>
    <x:row r="4977" ht="21" customHeight="1">
      <x:c r="A4977" s="24" t="n">
        <x:v>46252.1875</x:v>
      </x:c>
      <x:c r="B4977" s="6" t="n">
        <x:v>0.23079999999999998</x:v>
      </x:c>
      <x:c r="C4977" s="6" t="n">
        <x:v>0.1318</x:v>
      </x:c>
      <x:c r="D4977" s="6" t="n">
        <x:f>B4977</x:f>
        <x:v>0.23079999999999998</x:v>
      </x:c>
      <x:c r="E4977" s="1" t="n">
        <x:v>1.05</x:v>
      </x:c>
      <x:c r="F4977" s="1" t="str">
        <x:v>https://api.octopus.energy/v1/products/AGILE-24-10-01/electricity-tariffs/E-1R-AGILE-24-10-01-G/standard-unit-rates/</x:v>
      </x:c>
    </x:row>
    <x:row r="4978" ht="21" customHeight="1">
      <x:c r="A4978" s="24" t="n">
        <x:v>46252.208333333336</x:v>
      </x:c>
      <x:c r="B4978" s="6" t="n">
        <x:v>0.2514</x:v>
      </x:c>
      <x:c r="C4978" s="6" t="n">
        <x:v>0.1412</x:v>
      </x:c>
      <x:c r="D4978" s="6" t="n">
        <x:f>B4978</x:f>
        <x:v>0.2514</x:v>
      </x:c>
      <x:c r="E4978" s="1" t="n">
        <x:v>1.05</x:v>
      </x:c>
      <x:c r="F4978" s="1" t="str">
        <x:v>https://api.octopus.energy/v1/products/AGILE-24-10-01/electricity-tariffs/E-1R-AGILE-24-10-01-G/standard-unit-rates/</x:v>
      </x:c>
    </x:row>
    <x:row r="4979" ht="21" customHeight="1">
      <x:c r="A4979" s="24" t="n">
        <x:v>46252.229166666664</x:v>
      </x:c>
      <x:c r="B4979" s="6" t="n">
        <x:v>0.2539</x:v>
      </x:c>
      <x:c r="C4979" s="6" t="n">
        <x:v>0.1423</x:v>
      </x:c>
      <x:c r="D4979" s="6" t="n">
        <x:f>B4979</x:f>
        <x:v>0.2539</x:v>
      </x:c>
      <x:c r="E4979" s="1" t="n">
        <x:v>1.05</x:v>
      </x:c>
      <x:c r="F4979" s="1" t="str">
        <x:v>https://api.octopus.energy/v1/products/AGILE-24-10-01/electricity-tariffs/E-1R-AGILE-24-10-01-G/standard-unit-rates/</x:v>
      </x:c>
    </x:row>
    <x:row r="4980" ht="21" customHeight="1">
      <x:c r="A4980" s="24" t="n">
        <x:v>46252.25</x:v>
      </x:c>
      <x:c r="B4980" s="6" t="n">
        <x:v>0.2693</x:v>
      </x:c>
      <x:c r="C4980" s="6" t="n">
        <x:v>0.1494</x:v>
      </x:c>
      <x:c r="D4980" s="6" t="n">
        <x:f>B4980</x:f>
        <x:v>0.2693</x:v>
      </x:c>
      <x:c r="E4980" s="1" t="n">
        <x:v>1.05</x:v>
      </x:c>
      <x:c r="F4980" s="1" t="str">
        <x:v>https://api.octopus.energy/v1/products/AGILE-24-10-01/electricity-tariffs/E-1R-AGILE-24-10-01-G/standard-unit-rates/</x:v>
      </x:c>
    </x:row>
    <x:row r="4981" ht="21" customHeight="1">
      <x:c r="A4981" s="24" t="n">
        <x:v>46252.270833333336</x:v>
      </x:c>
      <x:c r="B4981" s="6" t="n">
        <x:v>0.28550000000000003</x:v>
      </x:c>
      <x:c r="C4981" s="6" t="n">
        <x:v>0.1568</x:v>
      </x:c>
      <x:c r="D4981" s="6" t="n">
        <x:f>B4981</x:f>
        <x:v>0.28550000000000003</x:v>
      </x:c>
      <x:c r="E4981" s="1" t="n">
        <x:v>1.05</x:v>
      </x:c>
      <x:c r="F4981" s="1" t="str">
        <x:v>https://api.octopus.energy/v1/products/AGILE-24-10-01/electricity-tariffs/E-1R-AGILE-24-10-01-G/standard-unit-rates/</x:v>
      </x:c>
    </x:row>
    <x:row r="4982" ht="21" customHeight="1">
      <x:c r="A4982" s="24" t="n">
        <x:v>46252.291666666664</x:v>
      </x:c>
      <x:c r="B4982" s="6" t="n">
        <x:v>0.2711</x:v>
      </x:c>
      <x:c r="C4982" s="6" t="n">
        <x:v>0.1502</x:v>
      </x:c>
      <x:c r="D4982" s="6" t="n">
        <x:f>B4982</x:f>
        <x:v>0.2711</x:v>
      </x:c>
      <x:c r="E4982" s="1" t="n">
        <x:v>1.05</x:v>
      </x:c>
      <x:c r="F4982" s="1" t="str">
        <x:v>https://api.octopus.energy/v1/products/AGILE-24-10-01/electricity-tariffs/E-1R-AGILE-24-10-01-G/standard-unit-rates/</x:v>
      </x:c>
    </x:row>
    <x:row r="4983" ht="21" customHeight="1">
      <x:c r="A4983" s="24" t="n">
        <x:v>46252.3125</x:v>
      </x:c>
      <x:c r="B4983" s="6" t="n">
        <x:v>0.2816</x:v>
      </x:c>
      <x:c r="C4983" s="6" t="n">
        <x:v>0.155</x:v>
      </x:c>
      <x:c r="D4983" s="6" t="n">
        <x:f>B4983</x:f>
        <x:v>0.2816</x:v>
      </x:c>
      <x:c r="E4983" s="1" t="n">
        <x:v>1.05</x:v>
      </x:c>
      <x:c r="F4983" s="1" t="str">
        <x:v>https://api.octopus.energy/v1/products/AGILE-24-10-01/electricity-tariffs/E-1R-AGILE-24-10-01-G/standard-unit-rates/</x:v>
      </x:c>
    </x:row>
    <x:row r="4984" ht="21" customHeight="1">
      <x:c r="A4984" s="24" t="n">
        <x:v>46252.333333333336</x:v>
      </x:c>
      <x:c r="B4984" s="6" t="n">
        <x:v>0.2606</x:v>
      </x:c>
      <x:c r="C4984" s="6" t="n">
        <x:v>0.1454</x:v>
      </x:c>
      <x:c r="D4984" s="6" t="n">
        <x:f>B4984</x:f>
        <x:v>0.2606</x:v>
      </x:c>
      <x:c r="E4984" s="1" t="n">
        <x:v>1.05</x:v>
      </x:c>
      <x:c r="F4984" s="1" t="str">
        <x:v>https://api.octopus.energy/v1/products/AGILE-24-10-01/electricity-tariffs/E-1R-AGILE-24-10-01-G/standard-unit-rates/</x:v>
      </x:c>
    </x:row>
    <x:row r="4985" ht="21" customHeight="1">
      <x:c r="A4985" s="24" t="n">
        <x:v>46252.354166666664</x:v>
      </x:c>
      <x:c r="B4985" s="6" t="n">
        <x:v>0.26789999999999997</x:v>
      </x:c>
      <x:c r="C4985" s="6" t="n">
        <x:v>0.1487</x:v>
      </x:c>
      <x:c r="D4985" s="6" t="n">
        <x:f>B4985</x:f>
        <x:v>0.26789999999999997</x:v>
      </x:c>
      <x:c r="E4985" s="1" t="n">
        <x:v>1.05</x:v>
      </x:c>
      <x:c r="F4985" s="1" t="str">
        <x:v>https://api.octopus.energy/v1/products/AGILE-24-10-01/electricity-tariffs/E-1R-AGILE-24-10-01-G/standard-unit-rates/</x:v>
      </x:c>
    </x:row>
    <x:row r="4986" ht="21" customHeight="1">
      <x:c r="A4986" s="24" t="n">
        <x:v>46252.375</x:v>
      </x:c>
      <x:c r="B4986" s="6" t="n">
        <x:v>0.24059999999999998</x:v>
      </x:c>
      <x:c r="C4986" s="6" t="n">
        <x:v>0.1363</x:v>
      </x:c>
      <x:c r="D4986" s="6" t="n">
        <x:f>B4986</x:f>
        <x:v>0.24059999999999998</x:v>
      </x:c>
      <x:c r="E4986" s="1" t="n">
        <x:v>1.05</x:v>
      </x:c>
      <x:c r="F4986" s="1" t="str">
        <x:v>https://api.octopus.energy/v1/products/AGILE-24-10-01/electricity-tariffs/E-1R-AGILE-24-10-01-G/standard-unit-rates/</x:v>
      </x:c>
    </x:row>
    <x:row r="4987" ht="21" customHeight="1">
      <x:c r="A4987" s="24" t="n">
        <x:v>46252.395833333336</x:v>
      </x:c>
      <x:c r="B4987" s="6" t="n">
        <x:v>0.23879999999999998</x:v>
      </x:c>
      <x:c r="C4987" s="6" t="n">
        <x:v>0.1354</x:v>
      </x:c>
      <x:c r="D4987" s="6" t="n">
        <x:f>B4987</x:f>
        <x:v>0.23879999999999998</x:v>
      </x:c>
      <x:c r="E4987" s="1" t="n">
        <x:v>1.05</x:v>
      </x:c>
      <x:c r="F4987" s="1" t="str">
        <x:v>https://api.octopus.energy/v1/products/AGILE-24-10-01/electricity-tariffs/E-1R-AGILE-24-10-01-G/standard-unit-rates/</x:v>
      </x:c>
    </x:row>
    <x:row r="4988" ht="21" customHeight="1">
      <x:c r="A4988" s="24" t="n">
        <x:v>46252.416666666664</x:v>
      </x:c>
      <x:c r="B4988" s="6" t="n">
        <x:v>0.2249</x:v>
      </x:c>
      <x:c r="C4988" s="6" t="n">
        <x:v>0.1291</x:v>
      </x:c>
      <x:c r="D4988" s="6" t="n">
        <x:f>B4988</x:f>
        <x:v>0.2249</x:v>
      </x:c>
      <x:c r="E4988" s="1" t="n">
        <x:v>1.05</x:v>
      </x:c>
      <x:c r="F4988" s="1" t="str">
        <x:v>https://api.octopus.energy/v1/products/AGILE-24-10-01/electricity-tariffs/E-1R-AGILE-24-10-01-G/standard-unit-rates/</x:v>
      </x:c>
    </x:row>
    <x:row r="4989" ht="21" customHeight="1">
      <x:c r="A4989" s="24" t="n">
        <x:v>46252.4375</x:v>
      </x:c>
      <x:c r="B4989" s="6" t="n">
        <x:v>0.21350000000000002</x:v>
      </x:c>
      <x:c r="C4989" s="6" t="n">
        <x:v>0.12390000000000001</x:v>
      </x:c>
      <x:c r="D4989" s="6" t="n">
        <x:f>B4989</x:f>
        <x:v>0.21350000000000002</x:v>
      </x:c>
      <x:c r="E4989" s="1" t="n">
        <x:v>1.05</x:v>
      </x:c>
      <x:c r="F4989" s="1" t="str">
        <x:v>https://api.octopus.energy/v1/products/AGILE-24-10-01/electricity-tariffs/E-1R-AGILE-24-10-01-G/standard-unit-rates/</x:v>
      </x:c>
    </x:row>
    <x:row r="4990" ht="21" customHeight="1">
      <x:c r="A4990" s="24" t="n">
        <x:v>46252.458333333336</x:v>
      </x:c>
      <x:c r="B4990" s="6" t="n">
        <x:v>0.2089</x:v>
      </x:c>
      <x:c r="C4990" s="6" t="n">
        <x:v>0.12179999999999999</x:v>
      </x:c>
      <x:c r="D4990" s="6" t="n">
        <x:f>B4990</x:f>
        <x:v>0.2089</x:v>
      </x:c>
      <x:c r="E4990" s="1" t="n">
        <x:v>1.05</x:v>
      </x:c>
      <x:c r="F4990" s="1" t="str">
        <x:v>https://api.octopus.energy/v1/products/AGILE-24-10-01/electricity-tariffs/E-1R-AGILE-24-10-01-G/standard-unit-rates/</x:v>
      </x:c>
    </x:row>
    <x:row r="4991" ht="21" customHeight="1">
      <x:c r="A4991" s="24" t="n">
        <x:v>46252.479166666664</x:v>
      </x:c>
      <x:c r="B4991" s="6" t="n">
        <x:v>0.2145</x:v>
      </x:c>
      <x:c r="C4991" s="6" t="n">
        <x:v>0.1243</x:v>
      </x:c>
      <x:c r="D4991" s="6" t="n">
        <x:f>B4991</x:f>
        <x:v>0.2145</x:v>
      </x:c>
      <x:c r="E4991" s="1" t="n">
        <x:v>1.05</x:v>
      </x:c>
      <x:c r="F4991" s="1" t="str">
        <x:v>https://api.octopus.energy/v1/products/AGILE-24-10-01/electricity-tariffs/E-1R-AGILE-24-10-01-G/standard-unit-rates/</x:v>
      </x:c>
    </x:row>
    <x:row r="4992" ht="21" customHeight="1">
      <x:c r="A4992" s="24" t="n">
        <x:v>46252.5</x:v>
      </x:c>
      <x:c r="B4992" s="6" t="n">
        <x:v>0.21760000000000002</x:v>
      </x:c>
      <x:c r="C4992" s="6" t="n">
        <x:v>0.1257</x:v>
      </x:c>
      <x:c r="D4992" s="6" t="n">
        <x:f>B4992</x:f>
        <x:v>0.21760000000000002</x:v>
      </x:c>
      <x:c r="E4992" s="1" t="n">
        <x:v>1.05</x:v>
      </x:c>
      <x:c r="F4992" s="1" t="str">
        <x:v>https://api.octopus.energy/v1/products/AGILE-24-10-01/electricity-tariffs/E-1R-AGILE-24-10-01-G/standard-unit-rates/</x:v>
      </x:c>
    </x:row>
    <x:row r="4993" ht="21" customHeight="1">
      <x:c r="A4993" s="24" t="n">
        <x:v>46252.520833333336</x:v>
      </x:c>
      <x:c r="B4993" s="6" t="n">
        <x:v>0.2112</x:v>
      </x:c>
      <x:c r="C4993" s="6" t="n">
        <x:v>0.12279999999999999</x:v>
      </x:c>
      <x:c r="D4993" s="6" t="n">
        <x:f>B4993</x:f>
        <x:v>0.2112</x:v>
      </x:c>
      <x:c r="E4993" s="1" t="n">
        <x:v>1.05</x:v>
      </x:c>
      <x:c r="F4993" s="1" t="str">
        <x:v>https://api.octopus.energy/v1/products/AGILE-24-10-01/electricity-tariffs/E-1R-AGILE-24-10-01-G/standard-unit-rates/</x:v>
      </x:c>
    </x:row>
    <x:row r="4994" ht="21" customHeight="1">
      <x:c r="A4994" s="24" t="n">
        <x:v>46252.541666666664</x:v>
      </x:c>
      <x:c r="B4994" s="6" t="n">
        <x:v>0.2096</x:v>
      </x:c>
      <x:c r="C4994" s="6" t="n">
        <x:v>0.12210000000000001</x:v>
      </x:c>
      <x:c r="D4994" s="6" t="n">
        <x:f>B4994</x:f>
        <x:v>0.2096</x:v>
      </x:c>
      <x:c r="E4994" s="1" t="n">
        <x:v>1.05</x:v>
      </x:c>
      <x:c r="F4994" s="1" t="str">
        <x:v>https://api.octopus.energy/v1/products/AGILE-24-10-01/electricity-tariffs/E-1R-AGILE-24-10-01-G/standard-unit-rates/</x:v>
      </x:c>
    </x:row>
    <x:row r="4995" ht="21" customHeight="1">
      <x:c r="A4995" s="24" t="n">
        <x:v>46252.5625</x:v>
      </x:c>
      <x:c r="B4995" s="6" t="n">
        <x:v>0.2064</x:v>
      </x:c>
      <x:c r="C4995" s="6" t="n">
        <x:v>0.1206</x:v>
      </x:c>
      <x:c r="D4995" s="6" t="n">
        <x:f>B4995</x:f>
        <x:v>0.2064</x:v>
      </x:c>
      <x:c r="E4995" s="1" t="n">
        <x:v>1.05</x:v>
      </x:c>
      <x:c r="F4995" s="1" t="str">
        <x:v>https://api.octopus.energy/v1/products/AGILE-24-10-01/electricity-tariffs/E-1R-AGILE-24-10-01-G/standard-unit-rates/</x:v>
      </x:c>
    </x:row>
    <x:row r="4996" ht="21" customHeight="1">
      <x:c r="A4996" s="24" t="n">
        <x:v>46252.583333333336</x:v>
      </x:c>
      <x:c r="B4996" s="6" t="n">
        <x:v>0.2148</x:v>
      </x:c>
      <x:c r="C4996" s="6" t="n">
        <x:v>0.1245</x:v>
      </x:c>
      <x:c r="D4996" s="6" t="n">
        <x:f>B4996</x:f>
        <x:v>0.2148</x:v>
      </x:c>
      <x:c r="E4996" s="1" t="n">
        <x:v>1.05</x:v>
      </x:c>
      <x:c r="F4996" s="1" t="str">
        <x:v>https://api.octopus.energy/v1/products/AGILE-24-10-01/electricity-tariffs/E-1R-AGILE-24-10-01-G/standard-unit-rates/</x:v>
      </x:c>
    </x:row>
    <x:row r="4997" ht="21" customHeight="1">
      <x:c r="A4997" s="24" t="n">
        <x:v>46252.604166666664</x:v>
      </x:c>
      <x:c r="B4997" s="6" t="n">
        <x:v>0.2102</x:v>
      </x:c>
      <x:c r="C4997" s="6" t="n">
        <x:v>0.12240000000000001</x:v>
      </x:c>
      <x:c r="D4997" s="6" t="n">
        <x:f>B4997</x:f>
        <x:v>0.2102</x:v>
      </x:c>
      <x:c r="E4997" s="1" t="n">
        <x:v>1.05</x:v>
      </x:c>
      <x:c r="F4997" s="1" t="str">
        <x:v>https://api.octopus.energy/v1/products/AGILE-24-10-01/electricity-tariffs/E-1R-AGILE-24-10-01-G/standard-unit-rates/</x:v>
      </x:c>
    </x:row>
    <x:row r="4998" ht="21" customHeight="1">
      <x:c r="A4998" s="24" t="n">
        <x:v>46252.625</x:v>
      </x:c>
      <x:c r="B4998" s="6" t="n">
        <x:v>0.2186</x:v>
      </x:c>
      <x:c r="C4998" s="6" t="n">
        <x:v>0.12619999999999998</x:v>
      </x:c>
      <x:c r="D4998" s="6" t="n">
        <x:f>B4998</x:f>
        <x:v>0.2186</x:v>
      </x:c>
      <x:c r="E4998" s="1" t="n">
        <x:v>1.05</x:v>
      </x:c>
      <x:c r="F4998" s="1" t="str">
        <x:v>https://api.octopus.energy/v1/products/AGILE-24-10-01/electricity-tariffs/E-1R-AGILE-24-10-01-G/standard-unit-rates/</x:v>
      </x:c>
    </x:row>
    <x:row r="4999" ht="21" customHeight="1">
      <x:c r="A4999" s="24" t="n">
        <x:v>46252.645833333336</x:v>
      </x:c>
      <x:c r="B4999" s="6" t="n">
        <x:v>0.2255</x:v>
      </x:c>
      <x:c r="C4999" s="6" t="n">
        <x:v>0.1293</x:v>
      </x:c>
      <x:c r="D4999" s="6" t="n">
        <x:f>B4999</x:f>
        <x:v>0.2255</x:v>
      </x:c>
      <x:c r="E4999" s="1" t="n">
        <x:v>1.05</x:v>
      </x:c>
      <x:c r="F4999" s="1" t="str">
        <x:v>https://api.octopus.energy/v1/products/AGILE-24-10-01/electricity-tariffs/E-1R-AGILE-24-10-01-G/standard-unit-rates/</x:v>
      </x:c>
    </x:row>
    <x:row r="5000" ht="21" customHeight="1">
      <x:c r="A5000" s="24" t="n">
        <x:v>46252.666666666664</x:v>
      </x:c>
      <x:c r="B5000" s="6" t="n">
        <x:v>0.36119999999999997</x:v>
      </x:c>
      <x:c r="C5000" s="6" t="n">
        <x:v>0.1954</x:v>
      </x:c>
      <x:c r="D5000" s="6" t="n">
        <x:f>B5000</x:f>
        <x:v>0.36119999999999997</x:v>
      </x:c>
      <x:c r="E5000" s="1" t="n">
        <x:v>1.05</x:v>
      </x:c>
      <x:c r="F5000" s="1" t="str">
        <x:v>https://api.octopus.energy/v1/products/AGILE-24-10-01/electricity-tariffs/E-1R-AGILE-24-10-01-G/standard-unit-rates/</x:v>
      </x:c>
    </x:row>
    <x:row r="5001" ht="21" customHeight="1">
      <x:c r="A5001" s="24" t="n">
        <x:v>46252.6875</x:v>
      </x:c>
      <x:c r="B5001" s="6" t="n">
        <x:v>0.3699</x:v>
      </x:c>
      <x:c r="C5001" s="6" t="n">
        <x:v>0.19940000000000002</x:v>
      </x:c>
      <x:c r="D5001" s="6" t="n">
        <x:f>B5001</x:f>
        <x:v>0.3699</x:v>
      </x:c>
      <x:c r="E5001" s="1" t="n">
        <x:v>1.05</x:v>
      </x:c>
      <x:c r="F5001" s="1" t="str">
        <x:v>https://api.octopus.energy/v1/products/AGILE-24-10-01/electricity-tariffs/E-1R-AGILE-24-10-01-G/standard-unit-rates/</x:v>
      </x:c>
    </x:row>
    <x:row r="5002" ht="21" customHeight="1">
      <x:c r="A5002" s="24" t="n">
        <x:v>46252.708333333336</x:v>
      </x:c>
      <x:c r="B5002" s="6" t="n">
        <x:v>0.4046</x:v>
      </x:c>
      <x:c r="C5002" s="6" t="n">
        <x:v>0.21530000000000002</x:v>
      </x:c>
      <x:c r="D5002" s="6" t="n">
        <x:f>B5002</x:f>
        <x:v>0.4046</x:v>
      </x:c>
      <x:c r="E5002" s="1" t="n">
        <x:v>1.05</x:v>
      </x:c>
      <x:c r="F5002" s="1" t="str">
        <x:v>https://api.octopus.energy/v1/products/AGILE-24-10-01/electricity-tariffs/E-1R-AGILE-24-10-01-G/standard-unit-rates/</x:v>
      </x:c>
    </x:row>
    <x:row r="5003" ht="21" customHeight="1">
      <x:c r="A5003" s="24" t="n">
        <x:v>46252.729166666664</x:v>
      </x:c>
      <x:c r="B5003" s="6" t="n">
        <x:v>0.42590000000000006</x:v>
      </x:c>
      <x:c r="C5003" s="6" t="n">
        <x:v>0.225</x:v>
      </x:c>
      <x:c r="D5003" s="6" t="n">
        <x:f>B5003</x:f>
        <x:v>0.42590000000000006</x:v>
      </x:c>
      <x:c r="E5003" s="1" t="n">
        <x:v>1.05</x:v>
      </x:c>
      <x:c r="F5003" s="1" t="str">
        <x:v>https://api.octopus.energy/v1/products/AGILE-24-10-01/electricity-tariffs/E-1R-AGILE-24-10-01-G/standard-unit-rates/</x:v>
      </x:c>
    </x:row>
    <x:row r="5004" ht="21" customHeight="1">
      <x:c r="A5004" s="24" t="n">
        <x:v>46252.75</x:v>
      </x:c>
      <x:c r="B5004" s="6" t="n">
        <x:v>0.44189999999999996</x:v>
      </x:c>
      <x:c r="C5004" s="6" t="n">
        <x:v>0.2323</x:v>
      </x:c>
      <x:c r="D5004" s="6" t="n">
        <x:f>B5004</x:f>
        <x:v>0.44189999999999996</x:v>
      </x:c>
      <x:c r="E5004" s="1" t="n">
        <x:v>1.05</x:v>
      </x:c>
      <x:c r="F5004" s="1" t="str">
        <x:v>https://api.octopus.energy/v1/products/AGILE-24-10-01/electricity-tariffs/E-1R-AGILE-24-10-01-G/standard-unit-rates/</x:v>
      </x:c>
    </x:row>
    <x:row r="5005" ht="21" customHeight="1">
      <x:c r="A5005" s="24" t="n">
        <x:v>46252.770833333336</x:v>
      </x:c>
      <x:c r="B5005" s="6" t="n">
        <x:v>0.45130000000000003</x:v>
      </x:c>
      <x:c r="C5005" s="6" t="n">
        <x:v>0.2366</x:v>
      </x:c>
      <x:c r="D5005" s="6" t="n">
        <x:f>B5005</x:f>
        <x:v>0.45130000000000003</x:v>
      </x:c>
      <x:c r="E5005" s="1" t="n">
        <x:v>1.05</x:v>
      </x:c>
      <x:c r="F5005" s="1" t="str">
        <x:v>https://api.octopus.energy/v1/products/AGILE-24-10-01/electricity-tariffs/E-1R-AGILE-24-10-01-G/standard-unit-rates/</x:v>
      </x:c>
    </x:row>
    <x:row r="5006" ht="21" customHeight="1">
      <x:c r="A5006" s="24" t="n">
        <x:v>46252.791666666664</x:v>
      </x:c>
      <x:c r="B5006" s="6" t="n">
        <x:v>0.324</x:v>
      </x:c>
      <x:c r="C5006" s="6" t="n">
        <x:v>0.1744</x:v>
      </x:c>
      <x:c r="D5006" s="6" t="n">
        <x:f>B5006</x:f>
        <x:v>0.324</x:v>
      </x:c>
      <x:c r="E5006" s="1" t="n">
        <x:v>1.05</x:v>
      </x:c>
      <x:c r="F5006" s="1" t="str">
        <x:v>https://api.octopus.energy/v1/products/AGILE-24-10-01/electricity-tariffs/E-1R-AGILE-24-10-01-G/standard-unit-rates/</x:v>
      </x:c>
    </x:row>
    <x:row r="5007" ht="21" customHeight="1">
      <x:c r="A5007" s="24" t="n">
        <x:v>46252.8125</x:v>
      </x:c>
      <x:c r="B5007" s="6" t="n">
        <x:v>0.3344</x:v>
      </x:c>
      <x:c r="C5007" s="6" t="n">
        <x:v>0.1791</x:v>
      </x:c>
      <x:c r="D5007" s="6" t="n">
        <x:f>B5007</x:f>
        <x:v>0.3344</x:v>
      </x:c>
      <x:c r="E5007" s="1" t="n">
        <x:v>1.05</x:v>
      </x:c>
      <x:c r="F5007" s="1" t="str">
        <x:v>https://api.octopus.energy/v1/products/AGILE-24-10-01/electricity-tariffs/E-1R-AGILE-24-10-01-G/standard-unit-rates/</x:v>
      </x:c>
    </x:row>
    <x:row r="5008" ht="21" customHeight="1">
      <x:c r="A5008" s="24" t="n">
        <x:v>46252.833333333336</x:v>
      </x:c>
      <x:c r="B5008" s="6" t="n">
        <x:v>0.3256</x:v>
      </x:c>
      <x:c r="C5008" s="6" t="n">
        <x:v>0.1751</x:v>
      </x:c>
      <x:c r="D5008" s="6" t="n">
        <x:f>B5008</x:f>
        <x:v>0.3256</x:v>
      </x:c>
      <x:c r="E5008" s="1" t="n">
        <x:v>1.05</x:v>
      </x:c>
      <x:c r="F5008" s="1" t="str">
        <x:v>https://api.octopus.energy/v1/products/AGILE-24-10-01/electricity-tariffs/E-1R-AGILE-24-10-01-G/standard-unit-rates/</x:v>
      </x:c>
    </x:row>
    <x:row r="5009" ht="21" customHeight="1">
      <x:c r="A5009" s="24" t="n">
        <x:v>46252.854166666664</x:v>
      </x:c>
      <x:c r="B5009" s="6" t="n">
        <x:v>0.3307</x:v>
      </x:c>
      <x:c r="C5009" s="6" t="n">
        <x:v>0.17739999999999997</x:v>
      </x:c>
      <x:c r="D5009" s="6" t="n">
        <x:f>B5009</x:f>
        <x:v>0.3307</x:v>
      </x:c>
      <x:c r="E5009" s="1" t="n">
        <x:v>1.05</x:v>
      </x:c>
      <x:c r="F5009" s="1" t="str">
        <x:v>https://api.octopus.energy/v1/products/AGILE-24-10-01/electricity-tariffs/E-1R-AGILE-24-10-01-G/standard-unit-rates/</x:v>
      </x:c>
    </x:row>
    <x:row r="5010" ht="21" customHeight="1">
      <x:c r="A5010" s="24" t="n">
        <x:v>46252.875</x:v>
      </x:c>
      <x:c r="B5010" s="6" t="n">
        <x:v>0.3311</x:v>
      </x:c>
      <x:c r="C5010" s="6" t="n">
        <x:v>0.1776</x:v>
      </x:c>
      <x:c r="D5010" s="6" t="n">
        <x:f>B5010</x:f>
        <x:v>0.3311</x:v>
      </x:c>
      <x:c r="E5010" s="1" t="n">
        <x:v>1.05</x:v>
      </x:c>
      <x:c r="F5010" s="1" t="str">
        <x:v>https://api.octopus.energy/v1/products/AGILE-24-10-01/electricity-tariffs/E-1R-AGILE-24-10-01-G/standard-unit-rates/</x:v>
      </x:c>
    </x:row>
    <x:row r="5011" ht="21" customHeight="1">
      <x:c r="A5011" s="24" t="n">
        <x:v>46252.895833333336</x:v>
      </x:c>
      <x:c r="B5011" s="6" t="n">
        <x:v>0.3186</x:v>
      </x:c>
      <x:c r="C5011" s="6" t="n">
        <x:v>0.17190000000000003</x:v>
      </x:c>
      <x:c r="D5011" s="6" t="n">
        <x:f>B5011</x:f>
        <x:v>0.3186</x:v>
      </x:c>
      <x:c r="E5011" s="1" t="n">
        <x:v>1.05</x:v>
      </x:c>
      <x:c r="F5011" s="1" t="str">
        <x:v>https://api.octopus.energy/v1/products/AGILE-24-10-01/electricity-tariffs/E-1R-AGILE-24-10-01-G/standard-unit-rates/</x:v>
      </x:c>
    </x:row>
    <x:row r="5012" ht="21" customHeight="1">
      <x:c r="A5012" s="24" t="n">
        <x:v>46252.916666666664</x:v>
      </x:c>
      <x:c r="B5012" s="6" t="n">
        <x:v>0.302</x:v>
      </x:c>
      <x:c r="C5012" s="6" t="n">
        <x:v>0.1643</x:v>
      </x:c>
      <x:c r="D5012" s="6" t="n">
        <x:f>B5012</x:f>
        <x:v>0.302</x:v>
      </x:c>
      <x:c r="E5012" s="1" t="n">
        <x:v>1.05</x:v>
      </x:c>
      <x:c r="F5012" s="1" t="str">
        <x:v>https://api.octopus.energy/v1/products/AGILE-24-10-01/electricity-tariffs/E-1R-AGILE-24-10-01-G/standard-unit-rates/</x:v>
      </x:c>
    </x:row>
    <x:row r="5013" ht="21" customHeight="1">
      <x:c r="A5013" s="24" t="n">
        <x:v>46252.9375</x:v>
      </x:c>
      <x:c r="B5013" s="6" t="n">
        <x:v>0.2732</x:v>
      </x:c>
      <x:c r="C5013" s="6" t="n">
        <x:v>0.1512</x:v>
      </x:c>
      <x:c r="D5013" s="6" t="n">
        <x:f>B5013</x:f>
        <x:v>0.2732</x:v>
      </x:c>
      <x:c r="E5013" s="1" t="n">
        <x:v>1.05</x:v>
      </x:c>
      <x:c r="F5013" s="1" t="str">
        <x:v>https://api.octopus.energy/v1/products/AGILE-24-10-01/electricity-tariffs/E-1R-AGILE-24-10-01-G/standard-unit-rates/</x:v>
      </x:c>
    </x:row>
    <x:row r="5014" ht="21" customHeight="1">
      <x:c r="A5014" s="24" t="n">
        <x:v>46253</x:v>
      </x:c>
      <x:c r="B5014" s="6" t="n">
        <x:v>0.2864</x:v>
      </x:c>
      <x:c r="C5014" s="6" t="n">
        <x:v>0.1572</x:v>
      </x:c>
      <x:c r="D5014" s="6" t="n">
        <x:f>B5014</x:f>
        <x:v>0.2864</x:v>
      </x:c>
      <x:c r="E5014" s="1" t="n">
        <x:v>1.05</x:v>
      </x:c>
      <x:c r="F5014" s="1" t="str">
        <x:v>https://api.octopus.energy/v1/products/AGILE-24-10-01/electricity-tariffs/E-1R-AGILE-24-10-01-G/standard-unit-rates/</x:v>
      </x:c>
    </x:row>
    <x:row r="5015" ht="21" customHeight="1">
      <x:c r="A5015" s="24" t="n">
        <x:v>46252.979166666664</x:v>
      </x:c>
      <x:c r="B5015" s="6" t="n">
        <x:v>0.29469999999999996</x:v>
      </x:c>
      <x:c r="C5015" s="6" t="n">
        <x:v>0.161</x:v>
      </x:c>
      <x:c r="D5015" s="6" t="n">
        <x:f>B5015</x:f>
        <x:v>0.29469999999999996</x:v>
      </x:c>
      <x:c r="E5015" s="1" t="n">
        <x:v>1.05</x:v>
      </x:c>
      <x:c r="F5015" s="1" t="str">
        <x:v>https://api.octopus.energy/v1/products/AGILE-24-10-01/electricity-tariffs/E-1R-AGILE-24-10-01-G/standard-unit-rates/</x:v>
      </x:c>
    </x:row>
    <x:row r="5016" ht="21" customHeight="1">
      <x:c r="A5016" s="24" t="n">
        <x:v>46253</x:v>
      </x:c>
      <x:c r="B5016" s="6" t="n">
        <x:v>0.2691</x:v>
      </x:c>
      <x:c r="C5016" s="6" t="n">
        <x:v>0.1493</x:v>
      </x:c>
      <x:c r="D5016" s="6" t="n">
        <x:f>B5016</x:f>
        <x:v>0.2691</x:v>
      </x:c>
      <x:c r="E5016" s="1" t="n">
        <x:v>1.05</x:v>
      </x:c>
      <x:c r="F5016" s="1" t="str">
        <x:v>https://api.octopus.energy/v1/products/AGILE-24-10-01/electricity-tariffs/E-1R-AGILE-24-10-01-G/standard-unit-rates/</x:v>
      </x:c>
    </x:row>
    <x:row r="5017" ht="21" customHeight="1">
      <x:c r="A5017" s="24" t="n">
        <x:v>46253.020833333336</x:v>
      </x:c>
      <x:c r="B5017" s="6" t="n">
        <x:v>0.2627</x:v>
      </x:c>
      <x:c r="C5017" s="6" t="n">
        <x:v>0.1463</x:v>
      </x:c>
      <x:c r="D5017" s="6" t="n">
        <x:f>B5017</x:f>
        <x:v>0.2627</x:v>
      </x:c>
      <x:c r="E5017" s="1" t="n">
        <x:v>1.05</x:v>
      </x:c>
      <x:c r="F5017" s="1" t="str">
        <x:v>https://api.octopus.energy/v1/products/AGILE-24-10-01/electricity-tariffs/E-1R-AGILE-24-10-01-G/standard-unit-rates/</x:v>
      </x:c>
    </x:row>
    <x:row r="5018" ht="21" customHeight="1">
      <x:c r="A5018" s="24" t="n">
        <x:v>46253.041666666664</x:v>
      </x:c>
      <x:c r="B5018" s="6" t="n">
        <x:v>0.248</x:v>
      </x:c>
      <x:c r="C5018" s="6" t="n">
        <x:v>0.1396</x:v>
      </x:c>
      <x:c r="D5018" s="6" t="n">
        <x:f>B5018</x:f>
        <x:v>0.248</x:v>
      </x:c>
      <x:c r="E5018" s="1" t="n">
        <x:v>1.05</x:v>
      </x:c>
      <x:c r="F5018" s="1" t="str">
        <x:v>https://api.octopus.energy/v1/products/AGILE-24-10-01/electricity-tariffs/E-1R-AGILE-24-10-01-G/standard-unit-rates/</x:v>
      </x:c>
    </x:row>
    <x:row r="5019" ht="21" customHeight="1">
      <x:c r="A5019" s="24" t="n">
        <x:v>46253.0625</x:v>
      </x:c>
      <x:c r="B5019" s="6" t="n">
        <x:v>0.2473</x:v>
      </x:c>
      <x:c r="C5019" s="6" t="n">
        <x:v>0.1393</x:v>
      </x:c>
      <x:c r="D5019" s="6" t="n">
        <x:f>B5019</x:f>
        <x:v>0.2473</x:v>
      </x:c>
      <x:c r="E5019" s="1" t="n">
        <x:v>1.05</x:v>
      </x:c>
      <x:c r="F5019" s="1" t="str">
        <x:v>https://api.octopus.energy/v1/products/AGILE-24-10-01/electricity-tariffs/E-1R-AGILE-24-10-01-G/standard-unit-rates/</x:v>
      </x:c>
    </x:row>
    <x:row r="5020" ht="21" customHeight="1">
      <x:c r="A5020" s="24" t="n">
        <x:v>46253.083333333336</x:v>
      </x:c>
      <x:c r="B5020" s="6" t="n">
        <x:v>0.25079999999999997</x:v>
      </x:c>
      <x:c r="C5020" s="6" t="n">
        <x:v>0.1409</x:v>
      </x:c>
      <x:c r="D5020" s="6" t="n">
        <x:f>B5020</x:f>
        <x:v>0.25079999999999997</x:v>
      </x:c>
      <x:c r="E5020" s="1" t="n">
        <x:v>1.05</x:v>
      </x:c>
      <x:c r="F5020" s="1" t="str">
        <x:v>https://api.octopus.energy/v1/products/AGILE-24-10-01/electricity-tariffs/E-1R-AGILE-24-10-01-G/standard-unit-rates/</x:v>
      </x:c>
    </x:row>
    <x:row r="5021" ht="21" customHeight="1">
      <x:c r="A5021" s="24" t="n">
        <x:v>46253.104166666664</x:v>
      </x:c>
      <x:c r="B5021" s="6" t="n">
        <x:v>0.24539999999999998</x:v>
      </x:c>
      <x:c r="C5021" s="6" t="n">
        <x:v>0.13849999999999998</x:v>
      </x:c>
      <x:c r="D5021" s="6" t="n">
        <x:f>B5021</x:f>
        <x:v>0.24539999999999998</x:v>
      </x:c>
      <x:c r="E5021" s="1" t="n">
        <x:v>1.05</x:v>
      </x:c>
      <x:c r="F5021" s="1" t="str">
        <x:v>https://api.octopus.energy/v1/products/AGILE-24-10-01/electricity-tariffs/E-1R-AGILE-24-10-01-G/standard-unit-rates/</x:v>
      </x:c>
    </x:row>
    <x:row r="5022" ht="21" customHeight="1">
      <x:c r="A5022" s="24" t="n">
        <x:v>46253.125</x:v>
      </x:c>
      <x:c r="B5022" s="6" t="n">
        <x:v>0.25</x:v>
      </x:c>
      <x:c r="C5022" s="6" t="n">
        <x:v>0.1406</x:v>
      </x:c>
      <x:c r="D5022" s="6" t="n">
        <x:f>B5022</x:f>
        <x:v>0.25</x:v>
      </x:c>
      <x:c r="E5022" s="1" t="n">
        <x:v>1.05</x:v>
      </x:c>
      <x:c r="F5022" s="1" t="str">
        <x:v>https://api.octopus.energy/v1/products/AGILE-24-10-01/electricity-tariffs/E-1R-AGILE-24-10-01-G/standard-unit-rates/</x:v>
      </x:c>
    </x:row>
    <x:row r="5023" ht="21" customHeight="1">
      <x:c r="A5023" s="24" t="n">
        <x:v>46253.145833333336</x:v>
      </x:c>
      <x:c r="B5023" s="6" t="n">
        <x:v>0.2466</x:v>
      </x:c>
      <x:c r="C5023" s="6" t="n">
        <x:v>0.139</x:v>
      </x:c>
      <x:c r="D5023" s="6" t="n">
        <x:f>B5023</x:f>
        <x:v>0.2466</x:v>
      </x:c>
      <x:c r="E5023" s="1" t="n">
        <x:v>1.05</x:v>
      </x:c>
      <x:c r="F5023" s="1" t="str">
        <x:v>https://api.octopus.energy/v1/products/AGILE-24-10-01/electricity-tariffs/E-1R-AGILE-24-10-01-G/standard-unit-rates/</x:v>
      </x:c>
    </x:row>
    <x:row r="5024" ht="21" customHeight="1">
      <x:c r="A5024" s="24" t="n">
        <x:v>46253.166666666664</x:v>
      </x:c>
      <x:c r="B5024" s="6" t="n">
        <x:v>0.2516</x:v>
      </x:c>
      <x:c r="C5024" s="6" t="n">
        <x:v>0.1413</x:v>
      </x:c>
      <x:c r="D5024" s="6" t="n">
        <x:f>B5024</x:f>
        <x:v>0.2516</x:v>
      </x:c>
      <x:c r="E5024" s="1" t="n">
        <x:v>1.05</x:v>
      </x:c>
      <x:c r="F5024" s="1" t="str">
        <x:v>https://api.octopus.energy/v1/products/AGILE-24-10-01/electricity-tariffs/E-1R-AGILE-24-10-01-G/standard-unit-rates/</x:v>
      </x:c>
    </x:row>
    <x:row r="5025" ht="21" customHeight="1">
      <x:c r="A5025" s="24" t="n">
        <x:v>46253.1875</x:v>
      </x:c>
      <x:c r="B5025" s="6" t="n">
        <x:v>0.2532</x:v>
      </x:c>
      <x:c r="C5025" s="6" t="n">
        <x:v>0.142</x:v>
      </x:c>
      <x:c r="D5025" s="6" t="n">
        <x:f>B5025</x:f>
        <x:v>0.2532</x:v>
      </x:c>
      <x:c r="E5025" s="1" t="n">
        <x:v>1.05</x:v>
      </x:c>
      <x:c r="F5025" s="1" t="str">
        <x:v>https://api.octopus.energy/v1/products/AGILE-24-10-01/electricity-tariffs/E-1R-AGILE-24-10-01-G/standard-unit-rates/</x:v>
      </x:c>
    </x:row>
    <x:row r="5026" ht="21" customHeight="1">
      <x:c r="A5026" s="24" t="n">
        <x:v>46253.208333333336</x:v>
      </x:c>
      <x:c r="B5026" s="6" t="n">
        <x:v>0.2948</x:v>
      </x:c>
      <x:c r="C5026" s="6" t="n">
        <x:v>0.161</x:v>
      </x:c>
      <x:c r="D5026" s="6" t="n">
        <x:f>B5026</x:f>
        <x:v>0.2948</x:v>
      </x:c>
      <x:c r="E5026" s="1" t="n">
        <x:v>1.05</x:v>
      </x:c>
      <x:c r="F5026" s="1" t="str">
        <x:v>https://api.octopus.energy/v1/products/AGILE-24-10-01/electricity-tariffs/E-1R-AGILE-24-10-01-G/standard-unit-rates/</x:v>
      </x:c>
    </x:row>
    <x:row r="5027" ht="21" customHeight="1">
      <x:c r="A5027" s="24" t="n">
        <x:v>46253.229166666664</x:v>
      </x:c>
      <x:c r="B5027" s="6" t="n">
        <x:v>0.2984</x:v>
      </x:c>
      <x:c r="C5027" s="6" t="n">
        <x:v>0.16269999999999998</x:v>
      </x:c>
      <x:c r="D5027" s="6" t="n">
        <x:f>B5027</x:f>
        <x:v>0.2984</x:v>
      </x:c>
      <x:c r="E5027" s="1" t="n">
        <x:v>1.05</x:v>
      </x:c>
      <x:c r="F5027" s="1" t="str">
        <x:v>https://api.octopus.energy/v1/products/AGILE-24-10-01/electricity-tariffs/E-1R-AGILE-24-10-01-G/standard-unit-rates/</x:v>
      </x:c>
    </x:row>
    <x:row r="5028" ht="21" customHeight="1">
      <x:c r="A5028" s="24" t="n">
        <x:v>46253.25</x:v>
      </x:c>
      <x:c r="B5028" s="6" t="n">
        <x:v>0.30079999999999996</x:v>
      </x:c>
      <x:c r="C5028" s="6" t="n">
        <x:v>0.1638</x:v>
      </x:c>
      <x:c r="D5028" s="6" t="n">
        <x:f>B5028</x:f>
        <x:v>0.30079999999999996</x:v>
      </x:c>
      <x:c r="E5028" s="1" t="n">
        <x:v>1.05</x:v>
      </x:c>
      <x:c r="F5028" s="1" t="str">
        <x:v>https://api.octopus.energy/v1/products/AGILE-24-10-01/electricity-tariffs/E-1R-AGILE-24-10-01-G/standard-unit-rates/</x:v>
      </x:c>
    </x:row>
    <x:row r="5029" ht="21" customHeight="1">
      <x:c r="A5029" s="24" t="n">
        <x:v>46253.270833333336</x:v>
      </x:c>
      <x:c r="B5029" s="6" t="n">
        <x:v>0.30579999999999996</x:v>
      </x:c>
      <x:c r="C5029" s="6" t="n">
        <x:v>0.1661</x:v>
      </x:c>
      <x:c r="D5029" s="6" t="n">
        <x:f>B5029</x:f>
        <x:v>0.30579999999999996</x:v>
      </x:c>
      <x:c r="E5029" s="1" t="n">
        <x:v>1.05</x:v>
      </x:c>
      <x:c r="F5029" s="1" t="str">
        <x:v>https://api.octopus.energy/v1/products/AGILE-24-10-01/electricity-tariffs/E-1R-AGILE-24-10-01-G/standard-unit-rates/</x:v>
      </x:c>
    </x:row>
    <x:row r="5030" ht="21" customHeight="1">
      <x:c r="A5030" s="24" t="n">
        <x:v>46253.291666666664</x:v>
      </x:c>
      <x:c r="B5030" s="6" t="n">
        <x:v>0.28350000000000003</x:v>
      </x:c>
      <x:c r="C5030" s="6" t="n">
        <x:v>0.1559</x:v>
      </x:c>
      <x:c r="D5030" s="6" t="n">
        <x:f>B5030</x:f>
        <x:v>0.28350000000000003</x:v>
      </x:c>
      <x:c r="E5030" s="1" t="n">
        <x:v>1.05</x:v>
      </x:c>
      <x:c r="F5030" s="1" t="str">
        <x:v>https://api.octopus.energy/v1/products/AGILE-24-10-01/electricity-tariffs/E-1R-AGILE-24-10-01-G/standard-unit-rates/</x:v>
      </x:c>
    </x:row>
    <x:row r="5031" ht="21" customHeight="1">
      <x:c r="A5031" s="24" t="n">
        <x:v>46253.3125</x:v>
      </x:c>
      <x:c r="B5031" s="6" t="n">
        <x:v>0.2934</x:v>
      </x:c>
      <x:c r="C5031" s="6" t="n">
        <x:v>0.1604</x:v>
      </x:c>
      <x:c r="D5031" s="6" t="n">
        <x:f>B5031</x:f>
        <x:v>0.2934</x:v>
      </x:c>
      <x:c r="E5031" s="1" t="n">
        <x:v>1.05</x:v>
      </x:c>
      <x:c r="F5031" s="1" t="str">
        <x:v>https://api.octopus.energy/v1/products/AGILE-24-10-01/electricity-tariffs/E-1R-AGILE-24-10-01-G/standard-unit-rates/</x:v>
      </x:c>
    </x:row>
    <x:row r="5032" ht="21" customHeight="1">
      <x:c r="A5032" s="24" t="n">
        <x:v>46253.333333333336</x:v>
      </x:c>
      <x:c r="B5032" s="6" t="n">
        <x:v>0.2757</x:v>
      </x:c>
      <x:c r="C5032" s="6" t="n">
        <x:v>0.1523</x:v>
      </x:c>
      <x:c r="D5032" s="6" t="n">
        <x:f>B5032</x:f>
        <x:v>0.2757</x:v>
      </x:c>
      <x:c r="E5032" s="1" t="n">
        <x:v>1.05</x:v>
      </x:c>
      <x:c r="F5032" s="1" t="str">
        <x:v>https://api.octopus.energy/v1/products/AGILE-24-10-01/electricity-tariffs/E-1R-AGILE-24-10-01-G/standard-unit-rates/</x:v>
      </x:c>
    </x:row>
    <x:row r="5033" ht="21" customHeight="1">
      <x:c r="A5033" s="24" t="n">
        <x:v>46253.354166666664</x:v>
      </x:c>
      <x:c r="B5033" s="6" t="n">
        <x:v>0.2648</x:v>
      </x:c>
      <x:c r="C5033" s="6" t="n">
        <x:v>0.14730000000000001</x:v>
      </x:c>
      <x:c r="D5033" s="6" t="n">
        <x:f>B5033</x:f>
        <x:v>0.2648</x:v>
      </x:c>
      <x:c r="E5033" s="1" t="n">
        <x:v>1.05</x:v>
      </x:c>
      <x:c r="F5033" s="1" t="str">
        <x:v>https://api.octopus.energy/v1/products/AGILE-24-10-01/electricity-tariffs/E-1R-AGILE-24-10-01-G/standard-unit-rates/</x:v>
      </x:c>
    </x:row>
    <x:row r="5034" ht="21" customHeight="1">
      <x:c r="A5034" s="24" t="n">
        <x:v>46253.375</x:v>
      </x:c>
      <x:c r="B5034" s="6" t="n">
        <x:v>0.2583</x:v>
      </x:c>
      <x:c r="C5034" s="6" t="n">
        <x:v>0.14429999999999998</x:v>
      </x:c>
      <x:c r="D5034" s="6" t="n">
        <x:f>B5034</x:f>
        <x:v>0.2583</x:v>
      </x:c>
      <x:c r="E5034" s="1" t="n">
        <x:v>1.05</x:v>
      </x:c>
      <x:c r="F5034" s="1" t="str">
        <x:v>https://api.octopus.energy/v1/products/AGILE-24-10-01/electricity-tariffs/E-1R-AGILE-24-10-01-G/standard-unit-rates/</x:v>
      </x:c>
    </x:row>
    <x:row r="5035" ht="21" customHeight="1">
      <x:c r="A5035" s="24" t="n">
        <x:v>46253.395833333336</x:v>
      </x:c>
      <x:c r="B5035" s="6" t="n">
        <x:v>0.2484</x:v>
      </x:c>
      <x:c r="C5035" s="6" t="n">
        <x:v>0.1398</x:v>
      </x:c>
      <x:c r="D5035" s="6" t="n">
        <x:f>B5035</x:f>
        <x:v>0.2484</x:v>
      </x:c>
      <x:c r="E5035" s="1" t="n">
        <x:v>1.05</x:v>
      </x:c>
      <x:c r="F5035" s="1" t="str">
        <x:v>https://api.octopus.energy/v1/products/AGILE-24-10-01/electricity-tariffs/E-1R-AGILE-24-10-01-G/standard-unit-rates/</x:v>
      </x:c>
    </x:row>
    <x:row r="5036" ht="21" customHeight="1">
      <x:c r="A5036" s="24" t="n">
        <x:v>46253.416666666664</x:v>
      </x:c>
      <x:c r="B5036" s="6" t="n">
        <x:v>0.23829999999999998</x:v>
      </x:c>
      <x:c r="C5036" s="6" t="n">
        <x:v>0.1352</x:v>
      </x:c>
      <x:c r="D5036" s="6" t="n">
        <x:f>B5036</x:f>
        <x:v>0.23829999999999998</x:v>
      </x:c>
      <x:c r="E5036" s="1" t="n">
        <x:v>1.05</x:v>
      </x:c>
      <x:c r="F5036" s="1" t="str">
        <x:v>https://api.octopus.energy/v1/products/AGILE-24-10-01/electricity-tariffs/E-1R-AGILE-24-10-01-G/standard-unit-rates/</x:v>
      </x:c>
    </x:row>
    <x:row r="5037" ht="21" customHeight="1">
      <x:c r="A5037" s="24" t="n">
        <x:v>46253.4375</x:v>
      </x:c>
      <x:c r="B5037" s="6" t="n">
        <x:v>0.2325</x:v>
      </x:c>
      <x:c r="C5037" s="6" t="n">
        <x:v>0.1325</x:v>
      </x:c>
      <x:c r="D5037" s="6" t="n">
        <x:f>B5037</x:f>
        <x:v>0.2325</x:v>
      </x:c>
      <x:c r="E5037" s="1" t="n">
        <x:v>1.05</x:v>
      </x:c>
      <x:c r="F5037" s="1" t="str">
        <x:v>https://api.octopus.energy/v1/products/AGILE-24-10-01/electricity-tariffs/E-1R-AGILE-24-10-01-G/standard-unit-rates/</x:v>
      </x:c>
    </x:row>
    <x:row r="5038" ht="21" customHeight="1">
      <x:c r="A5038" s="24" t="n">
        <x:v>46253.458333333336</x:v>
      </x:c>
      <x:c r="B5038" s="6" t="n">
        <x:v>0.2274</x:v>
      </x:c>
      <x:c r="C5038" s="6" t="n">
        <x:v>0.13019999999999998</x:v>
      </x:c>
      <x:c r="D5038" s="6" t="n">
        <x:f>B5038</x:f>
        <x:v>0.2274</x:v>
      </x:c>
      <x:c r="E5038" s="1" t="n">
        <x:v>1.05</x:v>
      </x:c>
      <x:c r="F5038" s="1" t="str">
        <x:v>https://api.octopus.energy/v1/products/AGILE-24-10-01/electricity-tariffs/E-1R-AGILE-24-10-01-G/standard-unit-rates/</x:v>
      </x:c>
    </x:row>
    <x:row r="5039" ht="21" customHeight="1">
      <x:c r="A5039" s="24" t="n">
        <x:v>46253.479166666664</x:v>
      </x:c>
      <x:c r="B5039" s="6" t="n">
        <x:v>0.22699999999999998</x:v>
      </x:c>
      <x:c r="C5039" s="6" t="n">
        <x:v>0.13</x:v>
      </x:c>
      <x:c r="D5039" s="6" t="n">
        <x:f>B5039</x:f>
        <x:v>0.22699999999999998</x:v>
      </x:c>
      <x:c r="E5039" s="1" t="n">
        <x:v>1.05</x:v>
      </x:c>
      <x:c r="F5039" s="1" t="str">
        <x:v>https://api.octopus.energy/v1/products/AGILE-24-10-01/electricity-tariffs/E-1R-AGILE-24-10-01-G/standard-unit-rates/</x:v>
      </x:c>
    </x:row>
    <x:row r="5040" ht="21" customHeight="1">
      <x:c r="A5040" s="24" t="n">
        <x:v>46253.5</x:v>
      </x:c>
      <x:c r="B5040" s="6" t="n">
        <x:v>0.22699999999999998</x:v>
      </x:c>
      <x:c r="C5040" s="6" t="n">
        <x:v>0.13</x:v>
      </x:c>
      <x:c r="D5040" s="6" t="n">
        <x:f>B5040</x:f>
        <x:v>0.22699999999999998</x:v>
      </x:c>
      <x:c r="E5040" s="1" t="n">
        <x:v>1.05</x:v>
      </x:c>
      <x:c r="F5040" s="1" t="str">
        <x:v>https://api.octopus.energy/v1/products/AGILE-24-10-01/electricity-tariffs/E-1R-AGILE-24-10-01-G/standard-unit-rates/</x:v>
      </x:c>
    </x:row>
    <x:row r="5041" ht="21" customHeight="1">
      <x:c r="A5041" s="24" t="n">
        <x:v>46253.520833333336</x:v>
      </x:c>
      <x:c r="B5041" s="6" t="n">
        <x:v>0.22699999999999998</x:v>
      </x:c>
      <x:c r="C5041" s="6" t="n">
        <x:v>0.13</x:v>
      </x:c>
      <x:c r="D5041" s="6" t="n">
        <x:f>B5041</x:f>
        <x:v>0.22699999999999998</x:v>
      </x:c>
      <x:c r="E5041" s="1" t="n">
        <x:v>1.05</x:v>
      </x:c>
      <x:c r="F5041" s="1" t="str">
        <x:v>https://api.octopus.energy/v1/products/AGILE-24-10-01/electricity-tariffs/E-1R-AGILE-24-10-01-G/standard-unit-rates/</x:v>
      </x:c>
    </x:row>
    <x:row r="5042" ht="21" customHeight="1">
      <x:c r="A5042" s="24" t="n">
        <x:v>46253.541666666664</x:v>
      </x:c>
      <x:c r="B5042" s="6" t="n">
        <x:v>0.2241</x:v>
      </x:c>
      <x:c r="C5042" s="6" t="n">
        <x:v>0.12869999999999998</x:v>
      </x:c>
      <x:c r="D5042" s="6" t="n">
        <x:f>B5042</x:f>
        <x:v>0.2241</x:v>
      </x:c>
      <x:c r="E5042" s="1" t="n">
        <x:v>1.05</x:v>
      </x:c>
      <x:c r="F5042" s="1" t="str">
        <x:v>https://api.octopus.energy/v1/products/AGILE-24-10-01/electricity-tariffs/E-1R-AGILE-24-10-01-G/standard-unit-rates/</x:v>
      </x:c>
    </x:row>
    <x:row r="5043" ht="21" customHeight="1">
      <x:c r="A5043" s="24" t="n">
        <x:v>46253.5625</x:v>
      </x:c>
      <x:c r="B5043" s="6" t="n">
        <x:v>0.2229</x:v>
      </x:c>
      <x:c r="C5043" s="6" t="n">
        <x:v>0.1282</x:v>
      </x:c>
      <x:c r="D5043" s="6" t="n">
        <x:f>B5043</x:f>
        <x:v>0.2229</x:v>
      </x:c>
      <x:c r="E5043" s="1" t="n">
        <x:v>1.05</x:v>
      </x:c>
      <x:c r="F5043" s="1" t="str">
        <x:v>https://api.octopus.energy/v1/products/AGILE-24-10-01/electricity-tariffs/E-1R-AGILE-24-10-01-G/standard-unit-rates/</x:v>
      </x:c>
    </x:row>
    <x:row r="5044" ht="21" customHeight="1">
      <x:c r="A5044" s="24" t="n">
        <x:v>46253.583333333336</x:v>
      </x:c>
      <x:c r="B5044" s="6" t="n">
        <x:v>0.2241</x:v>
      </x:c>
      <x:c r="C5044" s="6" t="n">
        <x:v>0.12869999999999998</x:v>
      </x:c>
      <x:c r="D5044" s="6" t="n">
        <x:f>B5044</x:f>
        <x:v>0.2241</x:v>
      </x:c>
      <x:c r="E5044" s="1" t="n">
        <x:v>1.05</x:v>
      </x:c>
      <x:c r="F5044" s="1" t="str">
        <x:v>https://api.octopus.energy/v1/products/AGILE-24-10-01/electricity-tariffs/E-1R-AGILE-24-10-01-G/standard-unit-rates/</x:v>
      </x:c>
    </x:row>
    <x:row r="5045" ht="21" customHeight="1">
      <x:c r="A5045" s="24" t="n">
        <x:v>46253.604166666664</x:v>
      </x:c>
      <x:c r="B5045" s="6" t="n">
        <x:v>0.2241</x:v>
      </x:c>
      <x:c r="C5045" s="6" t="n">
        <x:v>0.12869999999999998</x:v>
      </x:c>
      <x:c r="D5045" s="6" t="n">
        <x:f>B5045</x:f>
        <x:v>0.2241</x:v>
      </x:c>
      <x:c r="E5045" s="1" t="n">
        <x:v>1.05</x:v>
      </x:c>
      <x:c r="F5045" s="1" t="str">
        <x:v>https://api.octopus.energy/v1/products/AGILE-24-10-01/electricity-tariffs/E-1R-AGILE-24-10-01-G/standard-unit-rates/</x:v>
      </x:c>
    </x:row>
    <x:row r="5046" ht="21" customHeight="1">
      <x:c r="A5046" s="24" t="n">
        <x:v>46253.625</x:v>
      </x:c>
      <x:c r="B5046" s="6" t="n">
        <x:v>0.2249</x:v>
      </x:c>
      <x:c r="C5046" s="6" t="n">
        <x:v>0.1291</x:v>
      </x:c>
      <x:c r="D5046" s="6" t="n">
        <x:f>B5046</x:f>
        <x:v>0.2249</x:v>
      </x:c>
      <x:c r="E5046" s="1" t="n">
        <x:v>1.05</x:v>
      </x:c>
      <x:c r="F5046" s="1" t="str">
        <x:v>https://api.octopus.energy/v1/products/AGILE-24-10-01/electricity-tariffs/E-1R-AGILE-24-10-01-G/standard-unit-rates/</x:v>
      </x:c>
    </x:row>
    <x:row r="5047" ht="21" customHeight="1">
      <x:c r="A5047" s="24" t="n">
        <x:v>46253.645833333336</x:v>
      </x:c>
      <x:c r="B5047" s="6" t="n">
        <x:v>0.22699999999999998</x:v>
      </x:c>
      <x:c r="C5047" s="6" t="n">
        <x:v>0.13</x:v>
      </x:c>
      <x:c r="D5047" s="6" t="n">
        <x:f>B5047</x:f>
        <x:v>0.22699999999999998</x:v>
      </x:c>
      <x:c r="E5047" s="1" t="n">
        <x:v>1.05</x:v>
      </x:c>
      <x:c r="F5047" s="1" t="str">
        <x:v>https://api.octopus.energy/v1/products/AGILE-24-10-01/electricity-tariffs/E-1R-AGILE-24-10-01-G/standard-unit-rates/</x:v>
      </x:c>
    </x:row>
    <x:row r="5048" ht="21" customHeight="1">
      <x:c r="A5048" s="24" t="n">
        <x:v>46253.666666666664</x:v>
      </x:c>
      <x:c r="B5048" s="6" t="n">
        <x:v>0.3701</x:v>
      </x:c>
      <x:c r="C5048" s="6" t="n">
        <x:v>0.19949999999999998</x:v>
      </x:c>
      <x:c r="D5048" s="6" t="n">
        <x:f>B5048</x:f>
        <x:v>0.3701</x:v>
      </x:c>
      <x:c r="E5048" s="1" t="n">
        <x:v>1.05</x:v>
      </x:c>
      <x:c r="F5048" s="1" t="str">
        <x:v>https://api.octopus.energy/v1/products/AGILE-24-10-01/electricity-tariffs/E-1R-AGILE-24-10-01-G/standard-unit-rates/</x:v>
      </x:c>
    </x:row>
    <x:row r="5049" ht="21" customHeight="1">
      <x:c r="A5049" s="24" t="n">
        <x:v>46253.6875</x:v>
      </x:c>
      <x:c r="B5049" s="6" t="n">
        <x:v>0.3774</x:v>
      </x:c>
      <x:c r="C5049" s="6" t="n">
        <x:v>0.2028</x:v>
      </x:c>
      <x:c r="D5049" s="6" t="n">
        <x:f>B5049</x:f>
        <x:v>0.3774</x:v>
      </x:c>
      <x:c r="E5049" s="1" t="n">
        <x:v>1.05</x:v>
      </x:c>
      <x:c r="F5049" s="1" t="str">
        <x:v>https://api.octopus.energy/v1/products/AGILE-24-10-01/electricity-tariffs/E-1R-AGILE-24-10-01-G/standard-unit-rates/</x:v>
      </x:c>
    </x:row>
    <x:row r="5050" ht="21" customHeight="1">
      <x:c r="A5050" s="24" t="n">
        <x:v>46253.708333333336</x:v>
      </x:c>
      <x:c r="B5050" s="6" t="n">
        <x:v>0.39740000000000003</x:v>
      </x:c>
      <x:c r="C5050" s="6" t="n">
        <x:v>0.212</x:v>
      </x:c>
      <x:c r="D5050" s="6" t="n">
        <x:f>B5050</x:f>
        <x:v>0.39740000000000003</x:v>
      </x:c>
      <x:c r="E5050" s="1" t="n">
        <x:v>1.05</x:v>
      </x:c>
      <x:c r="F5050" s="1" t="str">
        <x:v>https://api.octopus.energy/v1/products/AGILE-24-10-01/electricity-tariffs/E-1R-AGILE-24-10-01-G/standard-unit-rates/</x:v>
      </x:c>
    </x:row>
    <x:row r="5051" ht="21" customHeight="1">
      <x:c r="A5051" s="24" t="n">
        <x:v>46253.729166666664</x:v>
      </x:c>
      <x:c r="B5051" s="6" t="n">
        <x:v>0.4138</x:v>
      </x:c>
      <x:c r="C5051" s="6" t="n">
        <x:v>0.2195</x:v>
      </x:c>
      <x:c r="D5051" s="6" t="n">
        <x:f>B5051</x:f>
        <x:v>0.4138</x:v>
      </x:c>
      <x:c r="E5051" s="1" t="n">
        <x:v>1.05</x:v>
      </x:c>
      <x:c r="F5051" s="1" t="str">
        <x:v>https://api.octopus.energy/v1/products/AGILE-24-10-01/electricity-tariffs/E-1R-AGILE-24-10-01-G/standard-unit-rates/</x:v>
      </x:c>
    </x:row>
    <x:row r="5052" ht="21" customHeight="1">
      <x:c r="A5052" s="24" t="n">
        <x:v>46253.75</x:v>
      </x:c>
      <x:c r="B5052" s="6" t="n">
        <x:v>0.4424</x:v>
      </x:c>
      <x:c r="C5052" s="6" t="n">
        <x:v>0.23260000000000003</x:v>
      </x:c>
      <x:c r="D5052" s="6" t="n">
        <x:f>B5052</x:f>
        <x:v>0.4424</x:v>
      </x:c>
      <x:c r="E5052" s="1" t="n">
        <x:v>1.05</x:v>
      </x:c>
      <x:c r="F5052" s="1" t="str">
        <x:v>https://api.octopus.energy/v1/products/AGILE-24-10-01/electricity-tariffs/E-1R-AGILE-24-10-01-G/standard-unit-rates/</x:v>
      </x:c>
    </x:row>
    <x:row r="5053" ht="21" customHeight="1">
      <x:c r="A5053" s="24" t="n">
        <x:v>46253.770833333336</x:v>
      </x:c>
      <x:c r="B5053" s="6" t="n">
        <x:v>0.4578</x:v>
      </x:c>
      <x:c r="C5053" s="6" t="n">
        <x:v>0.2396</x:v>
      </x:c>
      <x:c r="D5053" s="6" t="n">
        <x:f>B5053</x:f>
        <x:v>0.4578</x:v>
      </x:c>
      <x:c r="E5053" s="1" t="n">
        <x:v>1.05</x:v>
      </x:c>
      <x:c r="F5053" s="1" t="str">
        <x:v>https://api.octopus.energy/v1/products/AGILE-24-10-01/electricity-tariffs/E-1R-AGILE-24-10-01-G/standard-unit-rates/</x:v>
      </x:c>
    </x:row>
    <x:row r="5054" ht="21" customHeight="1">
      <x:c r="A5054" s="24" t="n">
        <x:v>46253.791666666664</x:v>
      </x:c>
      <x:c r="B5054" s="6" t="n">
        <x:v>0.35509999999999997</x:v>
      </x:c>
      <x:c r="C5054" s="6" t="n">
        <x:v>0.1886</x:v>
      </x:c>
      <x:c r="D5054" s="6" t="n">
        <x:f>B5054</x:f>
        <x:v>0.35509999999999997</x:v>
      </x:c>
      <x:c r="E5054" s="1" t="n">
        <x:v>1.05</x:v>
      </x:c>
      <x:c r="F5054" s="1" t="str">
        <x:v>https://api.octopus.energy/v1/products/AGILE-24-10-01/electricity-tariffs/E-1R-AGILE-24-10-01-G/standard-unit-rates/</x:v>
      </x:c>
    </x:row>
    <x:row r="5055" ht="21" customHeight="1">
      <x:c r="A5055" s="24" t="n">
        <x:v>46253.8125</x:v>
      </x:c>
      <x:c r="B5055" s="6" t="n">
        <x:v>0.35509999999999997</x:v>
      </x:c>
      <x:c r="C5055" s="6" t="n">
        <x:v>0.1886</x:v>
      </x:c>
      <x:c r="D5055" s="6" t="n">
        <x:f>B5055</x:f>
        <x:v>0.35509999999999997</x:v>
      </x:c>
      <x:c r="E5055" s="1" t="n">
        <x:v>1.05</x:v>
      </x:c>
      <x:c r="F5055" s="1" t="str">
        <x:v>https://api.octopus.energy/v1/products/AGILE-24-10-01/electricity-tariffs/E-1R-AGILE-24-10-01-G/standard-unit-rates/</x:v>
      </x:c>
    </x:row>
    <x:row r="5056" ht="21" customHeight="1">
      <x:c r="A5056" s="24" t="n">
        <x:v>46253.833333333336</x:v>
      </x:c>
      <x:c r="B5056" s="6" t="n">
        <x:v>0.35509999999999997</x:v>
      </x:c>
      <x:c r="C5056" s="6" t="n">
        <x:v>0.1886</x:v>
      </x:c>
      <x:c r="D5056" s="6" t="n">
        <x:f>B5056</x:f>
        <x:v>0.35509999999999997</x:v>
      </x:c>
      <x:c r="E5056" s="1" t="n">
        <x:v>1.05</x:v>
      </x:c>
      <x:c r="F5056" s="1" t="str">
        <x:v>https://api.octopus.energy/v1/products/AGILE-24-10-01/electricity-tariffs/E-1R-AGILE-24-10-01-G/standard-unit-rates/</x:v>
      </x:c>
    </x:row>
    <x:row r="5057" ht="21" customHeight="1">
      <x:c r="A5057" s="24" t="n">
        <x:v>46253.854166666664</x:v>
      </x:c>
      <x:c r="B5057" s="6" t="n">
        <x:v>0.3529</x:v>
      </x:c>
      <x:c r="C5057" s="6" t="n">
        <x:v>0.18760000000000002</x:v>
      </x:c>
      <x:c r="D5057" s="6" t="n">
        <x:f>B5057</x:f>
        <x:v>0.3529</x:v>
      </x:c>
      <x:c r="E5057" s="1" t="n">
        <x:v>1.05</x:v>
      </x:c>
      <x:c r="F5057" s="1" t="str">
        <x:v>https://api.octopus.energy/v1/products/AGILE-24-10-01/electricity-tariffs/E-1R-AGILE-24-10-01-G/standard-unit-rates/</x:v>
      </x:c>
    </x:row>
    <x:row r="5058" ht="21" customHeight="1">
      <x:c r="A5058" s="24" t="n">
        <x:v>46253.875</x:v>
      </x:c>
      <x:c r="B5058" s="6" t="n">
        <x:v>0.353</x:v>
      </x:c>
      <x:c r="C5058" s="6" t="n">
        <x:v>0.18760000000000002</x:v>
      </x:c>
      <x:c r="D5058" s="6" t="n">
        <x:f>B5058</x:f>
        <x:v>0.353</x:v>
      </x:c>
      <x:c r="E5058" s="1" t="n">
        <x:v>1.05</x:v>
      </x:c>
      <x:c r="F5058" s="1" t="str">
        <x:v>https://api.octopus.energy/v1/products/AGILE-24-10-01/electricity-tariffs/E-1R-AGILE-24-10-01-G/standard-unit-rates/</x:v>
      </x:c>
    </x:row>
    <x:row r="5059" ht="21" customHeight="1">
      <x:c r="A5059" s="24" t="n">
        <x:v>46253.895833333336</x:v>
      </x:c>
      <x:c r="B5059" s="6" t="n">
        <x:v>0.32780000000000004</x:v>
      </x:c>
      <x:c r="C5059" s="6" t="n">
        <x:v>0.1761</x:v>
      </x:c>
      <x:c r="D5059" s="6" t="n">
        <x:f>B5059</x:f>
        <x:v>0.32780000000000004</x:v>
      </x:c>
      <x:c r="E5059" s="1" t="n">
        <x:v>1.05</x:v>
      </x:c>
      <x:c r="F5059" s="1" t="str">
        <x:v>https://api.octopus.energy/v1/products/AGILE-24-10-01/electricity-tariffs/E-1R-AGILE-24-10-01-G/standard-unit-rates/</x:v>
      </x:c>
    </x:row>
    <x:row r="5060" ht="21" customHeight="1">
      <x:c r="A5060" s="24" t="n">
        <x:v>46253.916666666664</x:v>
      </x:c>
      <x:c r="B5060" s="6" t="n">
        <x:v>0.32780000000000004</x:v>
      </x:c>
      <x:c r="C5060" s="6" t="n">
        <x:v>0.1761</x:v>
      </x:c>
      <x:c r="D5060" s="6" t="n">
        <x:f>B5060</x:f>
        <x:v>0.32780000000000004</x:v>
      </x:c>
      <x:c r="E5060" s="1" t="n">
        <x:v>1.05</x:v>
      </x:c>
      <x:c r="F5060" s="1" t="str">
        <x:v>https://api.octopus.energy/v1/products/AGILE-24-10-01/electricity-tariffs/E-1R-AGILE-24-10-01-G/standard-unit-rates/</x:v>
      </x:c>
    </x:row>
    <x:row r="5061" ht="21" customHeight="1">
      <x:c r="A5061" s="24" t="n">
        <x:v>46253.9375</x:v>
      </x:c>
      <x:c r="B5061" s="6" t="n">
        <x:v>0.2991</x:v>
      </x:c>
      <x:c r="C5061" s="6" t="n">
        <x:v>0.163</x:v>
      </x:c>
      <x:c r="D5061" s="6" t="n">
        <x:f>B5061</x:f>
        <x:v>0.2991</x:v>
      </x:c>
      <x:c r="E5061" s="1" t="n">
        <x:v>1.05</x:v>
      </x:c>
      <x:c r="F5061" s="1" t="str">
        <x:v>https://api.octopus.energy/v1/products/AGILE-24-10-01/electricity-tariffs/E-1R-AGILE-24-10-01-G/standard-unit-rates/</x:v>
      </x:c>
    </x:row>
    <x:row r="5062" ht="21" customHeight="1">
      <x:c r="A5062" s="24" t="n">
        <x:v>46254</x:v>
      </x:c>
      <x:c r="B5062" s="6" t="n">
        <x:v>0.2737</x:v>
      </x:c>
      <x:c r="C5062" s="6" t="n">
        <x:v>0.1514</x:v>
      </x:c>
      <x:c r="D5062" s="6" t="n">
        <x:f>B5062</x:f>
        <x:v>0.2737</x:v>
      </x:c>
      <x:c r="E5062" s="1" t="n">
        <x:v>1.05</x:v>
      </x:c>
      <x:c r="F5062" s="1" t="str">
        <x:v>https://api.octopus.energy/v1/products/AGILE-24-10-01/electricity-tariffs/E-1R-AGILE-24-10-01-G/standard-unit-rates/</x:v>
      </x:c>
    </x:row>
    <x:row r="5063" ht="21" customHeight="1">
      <x:c r="A5063" s="24" t="n">
        <x:v>46253.979166666664</x:v>
      </x:c>
      <x:c r="B5063" s="6" t="n">
        <x:v>0.28850000000000003</x:v>
      </x:c>
      <x:c r="C5063" s="6" t="n">
        <x:v>0.1582</x:v>
      </x:c>
      <x:c r="D5063" s="6" t="n">
        <x:f>B5063</x:f>
        <x:v>0.28850000000000003</x:v>
      </x:c>
      <x:c r="E5063" s="1" t="n">
        <x:v>1.05</x:v>
      </x:c>
      <x:c r="F5063" s="1" t="str">
        <x:v>https://api.octopus.energy/v1/products/AGILE-24-10-01/electricity-tariffs/E-1R-AGILE-24-10-01-G/standard-unit-rates/</x:v>
      </x:c>
    </x:row>
    <x:row r="5064" ht="21" customHeight="1">
      <x:c r="A5064" s="24" t="n">
        <x:v>46254</x:v>
      </x:c>
      <x:c r="B5064" s="6" t="n">
        <x:v>0.2615</x:v>
      </x:c>
      <x:c r="C5064" s="6" t="n">
        <x:v>0.1458</x:v>
      </x:c>
      <x:c r="D5064" s="6" t="n">
        <x:f>B5064</x:f>
        <x:v>0.2615</x:v>
      </x:c>
      <x:c r="E5064" s="1" t="n">
        <x:v>1.05</x:v>
      </x:c>
      <x:c r="F5064" s="1" t="str">
        <x:v>https://api.octopus.energy/v1/products/AGILE-24-10-01/electricity-tariffs/E-1R-AGILE-24-10-01-G/standard-unit-rates/</x:v>
      </x:c>
    </x:row>
    <x:row r="5065" ht="21" customHeight="1">
      <x:c r="A5065" s="24" t="n">
        <x:v>46254.020833333336</x:v>
      </x:c>
      <x:c r="B5065" s="6" t="n">
        <x:v>0.2455</x:v>
      </x:c>
      <x:c r="C5065" s="6" t="n">
        <x:v>0.13849999999999998</x:v>
      </x:c>
      <x:c r="D5065" s="6" t="n">
        <x:f>B5065</x:f>
        <x:v>0.2455</x:v>
      </x:c>
      <x:c r="E5065" s="1" t="n">
        <x:v>1.05</x:v>
      </x:c>
      <x:c r="F5065" s="1" t="str">
        <x:v>https://api.octopus.energy/v1/products/AGILE-24-10-01/electricity-tariffs/E-1R-AGILE-24-10-01-G/standard-unit-rates/</x:v>
      </x:c>
    </x:row>
    <x:row r="5066" ht="21" customHeight="1">
      <x:c r="A5066" s="24" t="n">
        <x:v>46254.041666666664</x:v>
      </x:c>
      <x:c r="B5066" s="6" t="n">
        <x:v>0.2465</x:v>
      </x:c>
      <x:c r="C5066" s="6" t="n">
        <x:v>0.139</x:v>
      </x:c>
      <x:c r="D5066" s="6" t="n">
        <x:f>B5066</x:f>
        <x:v>0.2465</x:v>
      </x:c>
      <x:c r="E5066" s="1" t="n">
        <x:v>1.05</x:v>
      </x:c>
      <x:c r="F5066" s="1" t="str">
        <x:v>https://api.octopus.energy/v1/products/AGILE-24-10-01/electricity-tariffs/E-1R-AGILE-24-10-01-G/standard-unit-rates/</x:v>
      </x:c>
    </x:row>
    <x:row r="5067" ht="21" customHeight="1">
      <x:c r="A5067" s="24" t="n">
        <x:v>46254.0625</x:v>
      </x:c>
      <x:c r="B5067" s="6" t="n">
        <x:v>0.2354</x:v>
      </x:c>
      <x:c r="C5067" s="6" t="n">
        <x:v>0.13390000000000002</x:v>
      </x:c>
      <x:c r="D5067" s="6" t="n">
        <x:f>B5067</x:f>
        <x:v>0.2354</x:v>
      </x:c>
      <x:c r="E5067" s="1" t="n">
        <x:v>1.05</x:v>
      </x:c>
      <x:c r="F5067" s="1" t="str">
        <x:v>https://api.octopus.energy/v1/products/AGILE-24-10-01/electricity-tariffs/E-1R-AGILE-24-10-01-G/standard-unit-rates/</x:v>
      </x:c>
    </x:row>
    <x:row r="5068" ht="21" customHeight="1">
      <x:c r="A5068" s="24" t="n">
        <x:v>46254.083333333336</x:v>
      </x:c>
      <x:c r="B5068" s="6" t="n">
        <x:v>0.2354</x:v>
      </x:c>
      <x:c r="C5068" s="6" t="n">
        <x:v>0.13390000000000002</x:v>
      </x:c>
      <x:c r="D5068" s="6" t="n">
        <x:f>B5068</x:f>
        <x:v>0.2354</x:v>
      </x:c>
      <x:c r="E5068" s="1" t="n">
        <x:v>1.05</x:v>
      </x:c>
      <x:c r="F5068" s="1" t="str">
        <x:v>https://api.octopus.energy/v1/products/AGILE-24-10-01/electricity-tariffs/E-1R-AGILE-24-10-01-G/standard-unit-rates/</x:v>
      </x:c>
    </x:row>
    <x:row r="5069" ht="21" customHeight="1">
      <x:c r="A5069" s="24" t="n">
        <x:v>46254.104166666664</x:v>
      </x:c>
      <x:c r="B5069" s="6" t="n">
        <x:v>0.2297</x:v>
      </x:c>
      <x:c r="C5069" s="6" t="n">
        <x:v>0.1313</x:v>
      </x:c>
      <x:c r="D5069" s="6" t="n">
        <x:f>B5069</x:f>
        <x:v>0.2297</x:v>
      </x:c>
      <x:c r="E5069" s="1" t="n">
        <x:v>1.05</x:v>
      </x:c>
      <x:c r="F5069" s="1" t="str">
        <x:v>https://api.octopus.energy/v1/products/AGILE-24-10-01/electricity-tariffs/E-1R-AGILE-24-10-01-G/standard-unit-rates/</x:v>
      </x:c>
    </x:row>
    <x:row r="5070" ht="21" customHeight="1">
      <x:c r="A5070" s="24" t="n">
        <x:v>46254.125</x:v>
      </x:c>
      <x:c r="B5070" s="6" t="n">
        <x:v>0.2375</x:v>
      </x:c>
      <x:c r="C5070" s="6" t="n">
        <x:v>0.1348</x:v>
      </x:c>
      <x:c r="D5070" s="6" t="n">
        <x:f>B5070</x:f>
        <x:v>0.2375</x:v>
      </x:c>
      <x:c r="E5070" s="1" t="n">
        <x:v>1.05</x:v>
      </x:c>
      <x:c r="F5070" s="1" t="str">
        <x:v>https://api.octopus.energy/v1/products/AGILE-24-10-01/electricity-tariffs/E-1R-AGILE-24-10-01-G/standard-unit-rates/</x:v>
      </x:c>
    </x:row>
    <x:row r="5071" ht="21" customHeight="1">
      <x:c r="A5071" s="24" t="n">
        <x:v>46254.145833333336</x:v>
      </x:c>
      <x:c r="B5071" s="6" t="n">
        <x:v>0.2353</x:v>
      </x:c>
      <x:c r="C5071" s="6" t="n">
        <x:v>0.1338</x:v>
      </x:c>
      <x:c r="D5071" s="6" t="n">
        <x:f>B5071</x:f>
        <x:v>0.2353</x:v>
      </x:c>
      <x:c r="E5071" s="1" t="n">
        <x:v>1.05</x:v>
      </x:c>
      <x:c r="F5071" s="1" t="str">
        <x:v>https://api.octopus.energy/v1/products/AGILE-24-10-01/electricity-tariffs/E-1R-AGILE-24-10-01-G/standard-unit-rates/</x:v>
      </x:c>
    </x:row>
    <x:row r="5072" ht="21" customHeight="1">
      <x:c r="A5072" s="24" t="n">
        <x:v>46254.166666666664</x:v>
      </x:c>
      <x:c r="B5072" s="6" t="n">
        <x:v>0.2466</x:v>
      </x:c>
      <x:c r="C5072" s="6" t="n">
        <x:v>0.139</x:v>
      </x:c>
      <x:c r="D5072" s="6" t="n">
        <x:f>B5072</x:f>
        <x:v>0.2466</x:v>
      </x:c>
      <x:c r="E5072" s="1" t="n">
        <x:v>1.05</x:v>
      </x:c>
      <x:c r="F5072" s="1" t="str">
        <x:v>https://api.octopus.energy/v1/products/AGILE-24-10-01/electricity-tariffs/E-1R-AGILE-24-10-01-G/standard-unit-rates/</x:v>
      </x:c>
    </x:row>
    <x:row r="5073" ht="21" customHeight="1">
      <x:c r="A5073" s="24" t="n">
        <x:v>46254.1875</x:v>
      </x:c>
      <x:c r="B5073" s="6" t="n">
        <x:v>0.247</x:v>
      </x:c>
      <x:c r="C5073" s="6" t="n">
        <x:v>0.1392</x:v>
      </x:c>
      <x:c r="D5073" s="6" t="n">
        <x:f>B5073</x:f>
        <x:v>0.247</x:v>
      </x:c>
      <x:c r="E5073" s="1" t="n">
        <x:v>1.05</x:v>
      </x:c>
      <x:c r="F5073" s="1" t="str">
        <x:v>https://api.octopus.energy/v1/products/AGILE-24-10-01/electricity-tariffs/E-1R-AGILE-24-10-01-G/standard-unit-rates/</x:v>
      </x:c>
    </x:row>
    <x:row r="5074" ht="21" customHeight="1">
      <x:c r="A5074" s="24" t="n">
        <x:v>46254.208333333336</x:v>
      </x:c>
      <x:c r="B5074" s="6" t="n">
        <x:v>0.26839999999999997</x:v>
      </x:c>
      <x:c r="C5074" s="6" t="n">
        <x:v>0.149</x:v>
      </x:c>
      <x:c r="D5074" s="6" t="n">
        <x:f>B5074</x:f>
        <x:v>0.26839999999999997</x:v>
      </x:c>
      <x:c r="E5074" s="1" t="n">
        <x:v>1.05</x:v>
      </x:c>
      <x:c r="F5074" s="1" t="str">
        <x:v>https://api.octopus.energy/v1/products/AGILE-24-10-01/electricity-tariffs/E-1R-AGILE-24-10-01-G/standard-unit-rates/</x:v>
      </x:c>
    </x:row>
    <x:row r="5075" ht="21" customHeight="1">
      <x:c r="A5075" s="24" t="n">
        <x:v>46254.229166666664</x:v>
      </x:c>
      <x:c r="B5075" s="6" t="n">
        <x:v>0.271</x:v>
      </x:c>
      <x:c r="C5075" s="6" t="n">
        <x:v>0.1501</x:v>
      </x:c>
      <x:c r="D5075" s="6" t="n">
        <x:f>B5075</x:f>
        <x:v>0.271</x:v>
      </x:c>
      <x:c r="E5075" s="1" t="n">
        <x:v>1.05</x:v>
      </x:c>
      <x:c r="F5075" s="1" t="str">
        <x:v>https://api.octopus.energy/v1/products/AGILE-24-10-01/electricity-tariffs/E-1R-AGILE-24-10-01-G/standard-unit-rates/</x:v>
      </x:c>
    </x:row>
    <x:row r="5076" ht="21" customHeight="1">
      <x:c r="A5076" s="24" t="n">
        <x:v>46254.25</x:v>
      </x:c>
      <x:c r="B5076" s="6" t="n">
        <x:v>0.2829</x:v>
      </x:c>
      <x:c r="C5076" s="6" t="n">
        <x:v>0.15560000000000002</x:v>
      </x:c>
      <x:c r="D5076" s="6" t="n">
        <x:f>B5076</x:f>
        <x:v>0.2829</x:v>
      </x:c>
      <x:c r="E5076" s="1" t="n">
        <x:v>1.05</x:v>
      </x:c>
      <x:c r="F5076" s="1" t="str">
        <x:v>https://api.octopus.energy/v1/products/AGILE-24-10-01/electricity-tariffs/E-1R-AGILE-24-10-01-G/standard-unit-rates/</x:v>
      </x:c>
    </x:row>
    <x:row r="5077" ht="21" customHeight="1">
      <x:c r="A5077" s="24" t="n">
        <x:v>46254.270833333336</x:v>
      </x:c>
      <x:c r="B5077" s="6" t="n">
        <x:v>0.2963</x:v>
      </x:c>
      <x:c r="C5077" s="6" t="n">
        <x:v>0.1617</x:v>
      </x:c>
      <x:c r="D5077" s="6" t="n">
        <x:f>B5077</x:f>
        <x:v>0.2963</x:v>
      </x:c>
      <x:c r="E5077" s="1" t="n">
        <x:v>1.05</x:v>
      </x:c>
      <x:c r="F5077" s="1" t="str">
        <x:v>https://api.octopus.energy/v1/products/AGILE-24-10-01/electricity-tariffs/E-1R-AGILE-24-10-01-G/standard-unit-rates/</x:v>
      </x:c>
    </x:row>
    <x:row r="5078" ht="21" customHeight="1">
      <x:c r="A5078" s="24" t="n">
        <x:v>46254.291666666664</x:v>
      </x:c>
      <x:c r="B5078" s="6" t="n">
        <x:v>0.2657</x:v>
      </x:c>
      <x:c r="C5078" s="6" t="n">
        <x:v>0.1477</x:v>
      </x:c>
      <x:c r="D5078" s="6" t="n">
        <x:f>B5078</x:f>
        <x:v>0.2657</x:v>
      </x:c>
      <x:c r="E5078" s="1" t="n">
        <x:v>1.05</x:v>
      </x:c>
      <x:c r="F5078" s="1" t="str">
        <x:v>https://api.octopus.energy/v1/products/AGILE-24-10-01/electricity-tariffs/E-1R-AGILE-24-10-01-G/standard-unit-rates/</x:v>
      </x:c>
    </x:row>
    <x:row r="5079" ht="21" customHeight="1">
      <x:c r="A5079" s="24" t="n">
        <x:v>46254.3125</x:v>
      </x:c>
      <x:c r="B5079" s="6" t="n">
        <x:v>0.275</x:v>
      </x:c>
      <x:c r="C5079" s="6" t="n">
        <x:v>0.152</x:v>
      </x:c>
      <x:c r="D5079" s="6" t="n">
        <x:f>B5079</x:f>
        <x:v>0.275</x:v>
      </x:c>
      <x:c r="E5079" s="1" t="n">
        <x:v>1.05</x:v>
      </x:c>
      <x:c r="F5079" s="1" t="str">
        <x:v>https://api.octopus.energy/v1/products/AGILE-24-10-01/electricity-tariffs/E-1R-AGILE-24-10-01-G/standard-unit-rates/</x:v>
      </x:c>
    </x:row>
    <x:row r="5080" ht="21" customHeight="1">
      <x:c r="A5080" s="24" t="n">
        <x:v>46254.333333333336</x:v>
      </x:c>
      <x:c r="B5080" s="6" t="n">
        <x:v>0.23670000000000002</x:v>
      </x:c>
      <x:c r="C5080" s="6" t="n">
        <x:v>0.13449999999999998</x:v>
      </x:c>
      <x:c r="D5080" s="6" t="n">
        <x:f>B5080</x:f>
        <x:v>0.23670000000000002</x:v>
      </x:c>
      <x:c r="E5080" s="1" t="n">
        <x:v>1.05</x:v>
      </x:c>
      <x:c r="F5080" s="1" t="str">
        <x:v>https://api.octopus.energy/v1/products/AGILE-24-10-01/electricity-tariffs/E-1R-AGILE-24-10-01-G/standard-unit-rates/</x:v>
      </x:c>
    </x:row>
    <x:row r="5081" ht="21" customHeight="1">
      <x:c r="A5081" s="24" t="n">
        <x:v>46254.354166666664</x:v>
      </x:c>
      <x:c r="B5081" s="6" t="n">
        <x:v>0.2646</x:v>
      </x:c>
      <x:c r="C5081" s="6" t="n">
        <x:v>0.1472</x:v>
      </x:c>
      <x:c r="D5081" s="6" t="n">
        <x:f>B5081</x:f>
        <x:v>0.2646</x:v>
      </x:c>
      <x:c r="E5081" s="1" t="n">
        <x:v>1.05</x:v>
      </x:c>
      <x:c r="F5081" s="1" t="str">
        <x:v>https://api.octopus.energy/v1/products/AGILE-24-10-01/electricity-tariffs/E-1R-AGILE-24-10-01-G/standard-unit-rates/</x:v>
      </x:c>
    </x:row>
    <x:row r="5082" ht="21" customHeight="1">
      <x:c r="A5082" s="24" t="n">
        <x:v>46254.375</x:v>
      </x:c>
      <x:c r="B5082" s="6" t="n">
        <x:v>0.23620000000000002</x:v>
      </x:c>
      <x:c r="C5082" s="6" t="n">
        <x:v>0.1343</x:v>
      </x:c>
      <x:c r="D5082" s="6" t="n">
        <x:f>B5082</x:f>
        <x:v>0.23620000000000002</x:v>
      </x:c>
      <x:c r="E5082" s="1" t="n">
        <x:v>1.05</x:v>
      </x:c>
      <x:c r="F5082" s="1" t="str">
        <x:v>https://api.octopus.energy/v1/products/AGILE-24-10-01/electricity-tariffs/E-1R-AGILE-24-10-01-G/standard-unit-rates/</x:v>
      </x:c>
    </x:row>
    <x:row r="5083" ht="21" customHeight="1">
      <x:c r="A5083" s="24" t="n">
        <x:v>46254.395833333336</x:v>
      </x:c>
      <x:c r="B5083" s="6" t="n">
        <x:v>0.22699999999999998</x:v>
      </x:c>
      <x:c r="C5083" s="6" t="n">
        <x:v>0.13</x:v>
      </x:c>
      <x:c r="D5083" s="6" t="n">
        <x:f>B5083</x:f>
        <x:v>0.22699999999999998</x:v>
      </x:c>
      <x:c r="E5083" s="1" t="n">
        <x:v>1.05</x:v>
      </x:c>
      <x:c r="F5083" s="1" t="str">
        <x:v>https://api.octopus.energy/v1/products/AGILE-24-10-01/electricity-tariffs/E-1R-AGILE-24-10-01-G/standard-unit-rates/</x:v>
      </x:c>
    </x:row>
    <x:row r="5084" ht="21" customHeight="1">
      <x:c r="A5084" s="24" t="n">
        <x:v>46254.416666666664</x:v>
      </x:c>
      <x:c r="B5084" s="6" t="n">
        <x:v>0.23120000000000002</x:v>
      </x:c>
      <x:c r="C5084" s="6" t="n">
        <x:v>0.132</x:v>
      </x:c>
      <x:c r="D5084" s="6" t="n">
        <x:f>B5084</x:f>
        <x:v>0.23120000000000002</x:v>
      </x:c>
      <x:c r="E5084" s="1" t="n">
        <x:v>1.05</x:v>
      </x:c>
      <x:c r="F5084" s="1" t="str">
        <x:v>https://api.octopus.energy/v1/products/AGILE-24-10-01/electricity-tariffs/E-1R-AGILE-24-10-01-G/standard-unit-rates/</x:v>
      </x:c>
    </x:row>
    <x:row r="5085" ht="21" customHeight="1">
      <x:c r="A5085" s="24" t="n">
        <x:v>46254.4375</x:v>
      </x:c>
      <x:c r="B5085" s="6" t="n">
        <x:v>0.2278</x:v>
      </x:c>
      <x:c r="C5085" s="6" t="n">
        <x:v>0.1304</x:v>
      </x:c>
      <x:c r="D5085" s="6" t="n">
        <x:f>B5085</x:f>
        <x:v>0.2278</x:v>
      </x:c>
      <x:c r="E5085" s="1" t="n">
        <x:v>1.05</x:v>
      </x:c>
      <x:c r="F5085" s="1" t="str">
        <x:v>https://api.octopus.energy/v1/products/AGILE-24-10-01/electricity-tariffs/E-1R-AGILE-24-10-01-G/standard-unit-rates/</x:v>
      </x:c>
    </x:row>
    <x:row r="5086" ht="21" customHeight="1">
      <x:c r="A5086" s="24" t="n">
        <x:v>46254.458333333336</x:v>
      </x:c>
      <x:c r="B5086" s="6" t="n">
        <x:v>0.22949999999999998</x:v>
      </x:c>
      <x:c r="C5086" s="6" t="n">
        <x:v>0.13119999999999998</x:v>
      </x:c>
      <x:c r="D5086" s="6" t="n">
        <x:f>B5086</x:f>
        <x:v>0.22949999999999998</x:v>
      </x:c>
      <x:c r="E5086" s="1" t="n">
        <x:v>1.05</x:v>
      </x:c>
      <x:c r="F5086" s="1" t="str">
        <x:v>https://api.octopus.energy/v1/products/AGILE-24-10-01/electricity-tariffs/E-1R-AGILE-24-10-01-G/standard-unit-rates/</x:v>
      </x:c>
    </x:row>
    <x:row r="5087" ht="21" customHeight="1">
      <x:c r="A5087" s="24" t="n">
        <x:v>46254.479166666664</x:v>
      </x:c>
      <x:c r="B5087" s="6" t="n">
        <x:v>0.2236</x:v>
      </x:c>
      <x:c r="C5087" s="6" t="n">
        <x:v>0.1285</x:v>
      </x:c>
      <x:c r="D5087" s="6" t="n">
        <x:f>B5087</x:f>
        <x:v>0.2236</x:v>
      </x:c>
      <x:c r="E5087" s="1" t="n">
        <x:v>1.05</x:v>
      </x:c>
      <x:c r="F5087" s="1" t="str">
        <x:v>https://api.octopus.energy/v1/products/AGILE-24-10-01/electricity-tariffs/E-1R-AGILE-24-10-01-G/standard-unit-rates/</x:v>
      </x:c>
    </x:row>
    <x:row r="5088" ht="21" customHeight="1">
      <x:c r="A5088" s="24" t="n">
        <x:v>46254.5</x:v>
      </x:c>
      <x:c r="B5088" s="6" t="n">
        <x:v>0.22699999999999998</x:v>
      </x:c>
      <x:c r="C5088" s="6" t="n">
        <x:v>0.13</x:v>
      </x:c>
      <x:c r="D5088" s="6" t="n">
        <x:f>B5088</x:f>
        <x:v>0.22699999999999998</x:v>
      </x:c>
      <x:c r="E5088" s="1" t="n">
        <x:v>1.05</x:v>
      </x:c>
      <x:c r="F5088" s="1" t="str">
        <x:v>https://api.octopus.energy/v1/products/AGILE-24-10-01/electricity-tariffs/E-1R-AGILE-24-10-01-G/standard-unit-rates/</x:v>
      </x:c>
    </x:row>
    <x:row r="5089" ht="21" customHeight="1">
      <x:c r="A5089" s="24" t="n">
        <x:v>46254.520833333336</x:v>
      </x:c>
      <x:c r="B5089" s="6" t="n">
        <x:v>0.22519999999999998</x:v>
      </x:c>
      <x:c r="C5089" s="6" t="n">
        <x:v>0.1292</x:v>
      </x:c>
      <x:c r="D5089" s="6" t="n">
        <x:f>B5089</x:f>
        <x:v>0.22519999999999998</x:v>
      </x:c>
      <x:c r="E5089" s="1" t="n">
        <x:v>1.05</x:v>
      </x:c>
      <x:c r="F5089" s="1" t="str">
        <x:v>https://api.octopus.energy/v1/products/AGILE-24-10-01/electricity-tariffs/E-1R-AGILE-24-10-01-G/standard-unit-rates/</x:v>
      </x:c>
    </x:row>
    <x:row r="5090" ht="21" customHeight="1">
      <x:c r="A5090" s="24" t="n">
        <x:v>46254.541666666664</x:v>
      </x:c>
      <x:c r="B5090" s="6" t="n">
        <x:v>0.2254</x:v>
      </x:c>
      <x:c r="C5090" s="6" t="n">
        <x:v>0.1293</x:v>
      </x:c>
      <x:c r="D5090" s="6" t="n">
        <x:f>B5090</x:f>
        <x:v>0.2254</x:v>
      </x:c>
      <x:c r="E5090" s="1" t="n">
        <x:v>1.05</x:v>
      </x:c>
      <x:c r="F5090" s="1" t="str">
        <x:v>https://api.octopus.energy/v1/products/AGILE-24-10-01/electricity-tariffs/E-1R-AGILE-24-10-01-G/standard-unit-rates/</x:v>
      </x:c>
    </x:row>
    <x:row r="5091" ht="21" customHeight="1">
      <x:c r="A5091" s="24" t="n">
        <x:v>46254.5625</x:v>
      </x:c>
      <x:c r="B5091" s="6" t="n">
        <x:v>0.2256</x:v>
      </x:c>
      <x:c r="C5091" s="6" t="n">
        <x:v>0.1294</x:v>
      </x:c>
      <x:c r="D5091" s="6" t="n">
        <x:f>B5091</x:f>
        <x:v>0.2256</x:v>
      </x:c>
      <x:c r="E5091" s="1" t="n">
        <x:v>1.05</x:v>
      </x:c>
      <x:c r="F5091" s="1" t="str">
        <x:v>https://api.octopus.energy/v1/products/AGILE-24-10-01/electricity-tariffs/E-1R-AGILE-24-10-01-G/standard-unit-rates/</x:v>
      </x:c>
    </x:row>
    <x:row r="5092" ht="21" customHeight="1">
      <x:c r="A5092" s="24" t="n">
        <x:v>46254.583333333336</x:v>
      </x:c>
      <x:c r="B5092" s="6" t="n">
        <x:v>0.2192</x:v>
      </x:c>
      <x:c r="C5092" s="6" t="n">
        <x:v>0.1265</x:v>
      </x:c>
      <x:c r="D5092" s="6" t="n">
        <x:f>B5092</x:f>
        <x:v>0.2192</x:v>
      </x:c>
      <x:c r="E5092" s="1" t="n">
        <x:v>1.05</x:v>
      </x:c>
      <x:c r="F5092" s="1" t="str">
        <x:v>https://api.octopus.energy/v1/products/AGILE-24-10-01/electricity-tariffs/E-1R-AGILE-24-10-01-G/standard-unit-rates/</x:v>
      </x:c>
    </x:row>
    <x:row r="5093" ht="21" customHeight="1">
      <x:c r="A5093" s="24" t="n">
        <x:v>46254.604166666664</x:v>
      </x:c>
      <x:c r="B5093" s="6" t="n">
        <x:v>0.2177</x:v>
      </x:c>
      <x:c r="C5093" s="6" t="n">
        <x:v>0.1258</x:v>
      </x:c>
      <x:c r="D5093" s="6" t="n">
        <x:f>B5093</x:f>
        <x:v>0.2177</x:v>
      </x:c>
      <x:c r="E5093" s="1" t="n">
        <x:v>1.05</x:v>
      </x:c>
      <x:c r="F5093" s="1" t="str">
        <x:v>https://api.octopus.energy/v1/products/AGILE-24-10-01/electricity-tariffs/E-1R-AGILE-24-10-01-G/standard-unit-rates/</x:v>
      </x:c>
    </x:row>
    <x:row r="5094" ht="21" customHeight="1">
      <x:c r="A5094" s="24" t="n">
        <x:v>46254.625</x:v>
      </x:c>
      <x:c r="B5094" s="6" t="n">
        <x:v>0.2249</x:v>
      </x:c>
      <x:c r="C5094" s="6" t="n">
        <x:v>0.1291</x:v>
      </x:c>
      <x:c r="D5094" s="6" t="n">
        <x:f>B5094</x:f>
        <x:v>0.2249</x:v>
      </x:c>
      <x:c r="E5094" s="1" t="n">
        <x:v>1.05</x:v>
      </x:c>
      <x:c r="F5094" s="1" t="str">
        <x:v>https://api.octopus.energy/v1/products/AGILE-24-10-01/electricity-tariffs/E-1R-AGILE-24-10-01-G/standard-unit-rates/</x:v>
      </x:c>
    </x:row>
    <x:row r="5095" ht="21" customHeight="1">
      <x:c r="A5095" s="24" t="n">
        <x:v>46254.645833333336</x:v>
      </x:c>
      <x:c r="B5095" s="6" t="n">
        <x:v>0.21780000000000002</x:v>
      </x:c>
      <x:c r="C5095" s="6" t="n">
        <x:v>0.1258</x:v>
      </x:c>
      <x:c r="D5095" s="6" t="n">
        <x:f>B5095</x:f>
        <x:v>0.21780000000000002</x:v>
      </x:c>
      <x:c r="E5095" s="1" t="n">
        <x:v>1.05</x:v>
      </x:c>
      <x:c r="F5095" s="1" t="str">
        <x:v>https://api.octopus.energy/v1/products/AGILE-24-10-01/electricity-tariffs/E-1R-AGILE-24-10-01-G/standard-unit-rates/</x:v>
      </x:c>
    </x:row>
    <x:row r="5096" ht="21" customHeight="1">
      <x:c r="A5096" s="24" t="n">
        <x:v>46254.666666666664</x:v>
      </x:c>
      <x:c r="B5096" s="6" t="n">
        <x:v>0.3281</x:v>
      </x:c>
      <x:c r="C5096" s="6" t="n">
        <x:v>0.18030000000000002</x:v>
      </x:c>
      <x:c r="D5096" s="6" t="n">
        <x:f>B5096</x:f>
        <x:v>0.3281</x:v>
      </x:c>
      <x:c r="E5096" s="1" t="n">
        <x:v>1.05</x:v>
      </x:c>
      <x:c r="F5096" s="1" t="str">
        <x:v>https://api.octopus.energy/v1/products/AGILE-24-10-01/electricity-tariffs/E-1R-AGILE-24-10-01-G/standard-unit-rates/</x:v>
      </x:c>
    </x:row>
    <x:row r="5097" ht="21" customHeight="1">
      <x:c r="A5097" s="24" t="n">
        <x:v>46254.6875</x:v>
      </x:c>
      <x:c r="B5097" s="6" t="n">
        <x:v>0.34490000000000004</x:v>
      </x:c>
      <x:c r="C5097" s="6" t="n">
        <x:v>0.188</x:v>
      </x:c>
      <x:c r="D5097" s="6" t="n">
        <x:f>B5097</x:f>
        <x:v>0.34490000000000004</x:v>
      </x:c>
      <x:c r="E5097" s="1" t="n">
        <x:v>1.05</x:v>
      </x:c>
      <x:c r="F5097" s="1" t="str">
        <x:v>https://api.octopus.energy/v1/products/AGILE-24-10-01/electricity-tariffs/E-1R-AGILE-24-10-01-G/standard-unit-rates/</x:v>
      </x:c>
    </x:row>
    <x:row r="5098" ht="21" customHeight="1">
      <x:c r="A5098" s="24" t="n">
        <x:v>46254.708333333336</x:v>
      </x:c>
      <x:c r="B5098" s="6" t="n">
        <x:v>0.3686</x:v>
      </x:c>
      <x:c r="C5098" s="6" t="n">
        <x:v>0.19879999999999998</x:v>
      </x:c>
      <x:c r="D5098" s="6" t="n">
        <x:f>B5098</x:f>
        <x:v>0.3686</x:v>
      </x:c>
      <x:c r="E5098" s="1" t="n">
        <x:v>1.05</x:v>
      </x:c>
      <x:c r="F5098" s="1" t="str">
        <x:v>https://api.octopus.energy/v1/products/AGILE-24-10-01/electricity-tariffs/E-1R-AGILE-24-10-01-G/standard-unit-rates/</x:v>
      </x:c>
    </x:row>
    <x:row r="5099" ht="21" customHeight="1">
      <x:c r="A5099" s="24" t="n">
        <x:v>46254.729166666664</x:v>
      </x:c>
      <x:c r="B5099" s="6" t="n">
        <x:v>0.38520000000000004</x:v>
      </x:c>
      <x:c r="C5099" s="6" t="n">
        <x:v>0.2064</x:v>
      </x:c>
      <x:c r="D5099" s="6" t="n">
        <x:f>B5099</x:f>
        <x:v>0.38520000000000004</x:v>
      </x:c>
      <x:c r="E5099" s="1" t="n">
        <x:v>1.05</x:v>
      </x:c>
      <x:c r="F5099" s="1" t="str">
        <x:v>https://api.octopus.energy/v1/products/AGILE-24-10-01/electricity-tariffs/E-1R-AGILE-24-10-01-G/standard-unit-rates/</x:v>
      </x:c>
    </x:row>
    <x:row r="5100" ht="21" customHeight="1">
      <x:c r="A5100" s="24" t="n">
        <x:v>46254.75</x:v>
      </x:c>
      <x:c r="B5100" s="6" t="n">
        <x:v>0.40159999999999996</x:v>
      </x:c>
      <x:c r="C5100" s="6" t="n">
        <x:v>0.2139</x:v>
      </x:c>
      <x:c r="D5100" s="6" t="n">
        <x:f>B5100</x:f>
        <x:v>0.40159999999999996</x:v>
      </x:c>
      <x:c r="E5100" s="1" t="n">
        <x:v>1.05</x:v>
      </x:c>
      <x:c r="F5100" s="1" t="str">
        <x:v>https://api.octopus.energy/v1/products/AGILE-24-10-01/electricity-tariffs/E-1R-AGILE-24-10-01-G/standard-unit-rates/</x:v>
      </x:c>
    </x:row>
    <x:row r="5101" ht="21" customHeight="1">
      <x:c r="A5101" s="24" t="n">
        <x:v>46254.770833333336</x:v>
      </x:c>
      <x:c r="B5101" s="6" t="n">
        <x:v>0.4121</x:v>
      </x:c>
      <x:c r="C5101" s="6" t="n">
        <x:v>0.2187</x:v>
      </x:c>
      <x:c r="D5101" s="6" t="n">
        <x:f>B5101</x:f>
        <x:v>0.4121</x:v>
      </x:c>
      <x:c r="E5101" s="1" t="n">
        <x:v>1.05</x:v>
      </x:c>
      <x:c r="F5101" s="1" t="str">
        <x:v>https://api.octopus.energy/v1/products/AGILE-24-10-01/electricity-tariffs/E-1R-AGILE-24-10-01-G/standard-unit-rates/</x:v>
      </x:c>
    </x:row>
    <x:row r="5102" ht="21" customHeight="1">
      <x:c r="A5102" s="24" t="n">
        <x:v>46254.791666666664</x:v>
      </x:c>
      <x:c r="B5102" s="6" t="n">
        <x:v>0.3098</x:v>
      </x:c>
      <x:c r="C5102" s="6" t="n">
        <x:v>0.1679</x:v>
      </x:c>
      <x:c r="D5102" s="6" t="n">
        <x:f>B5102</x:f>
        <x:v>0.3098</x:v>
      </x:c>
      <x:c r="E5102" s="1" t="n">
        <x:v>1.05</x:v>
      </x:c>
      <x:c r="F5102" s="1" t="str">
        <x:v>https://api.octopus.energy/v1/products/AGILE-24-10-01/electricity-tariffs/E-1R-AGILE-24-10-01-G/standard-unit-rates/</x:v>
      </x:c>
    </x:row>
    <x:row r="5103" ht="21" customHeight="1">
      <x:c r="A5103" s="24" t="n">
        <x:v>46254.8125</x:v>
      </x:c>
      <x:c r="B5103" s="6" t="n">
        <x:v>0.3121</x:v>
      </x:c>
      <x:c r="C5103" s="6" t="n">
        <x:v>0.1689</x:v>
      </x:c>
      <x:c r="D5103" s="6" t="n">
        <x:f>B5103</x:f>
        <x:v>0.3121</x:v>
      </x:c>
      <x:c r="E5103" s="1" t="n">
        <x:v>1.05</x:v>
      </x:c>
      <x:c r="F5103" s="1" t="str">
        <x:v>https://api.octopus.energy/v1/products/AGILE-24-10-01/electricity-tariffs/E-1R-AGILE-24-10-01-G/standard-unit-rates/</x:v>
      </x:c>
    </x:row>
    <x:row r="5104" ht="21" customHeight="1">
      <x:c r="A5104" s="24" t="n">
        <x:v>46254.833333333336</x:v>
      </x:c>
      <x:c r="B5104" s="6" t="n">
        <x:v>0.3139</x:v>
      </x:c>
      <x:c r="C5104" s="6" t="n">
        <x:v>0.1698</x:v>
      </x:c>
      <x:c r="D5104" s="6" t="n">
        <x:f>B5104</x:f>
        <x:v>0.3139</x:v>
      </x:c>
      <x:c r="E5104" s="1" t="n">
        <x:v>1.05</x:v>
      </x:c>
      <x:c r="F5104" s="1" t="str">
        <x:v>https://api.octopus.energy/v1/products/AGILE-24-10-01/electricity-tariffs/E-1R-AGILE-24-10-01-G/standard-unit-rates/</x:v>
      </x:c>
    </x:row>
    <x:row r="5105" ht="21" customHeight="1">
      <x:c r="A5105" s="24" t="n">
        <x:v>46254.854166666664</x:v>
      </x:c>
      <x:c r="B5105" s="6" t="n">
        <x:v>0.3189</x:v>
      </x:c>
      <x:c r="C5105" s="6" t="n">
        <x:v>0.1721</x:v>
      </x:c>
      <x:c r="D5105" s="6" t="n">
        <x:f>B5105</x:f>
        <x:v>0.3189</x:v>
      </x:c>
      <x:c r="E5105" s="1" t="n">
        <x:v>1.05</x:v>
      </x:c>
      <x:c r="F5105" s="1" t="str">
        <x:v>https://api.octopus.energy/v1/products/AGILE-24-10-01/electricity-tariffs/E-1R-AGILE-24-10-01-G/standard-unit-rates/</x:v>
      </x:c>
    </x:row>
    <x:row r="5106" ht="21" customHeight="1">
      <x:c r="A5106" s="24" t="n">
        <x:v>46254.875</x:v>
      </x:c>
      <x:c r="B5106" s="6" t="n">
        <x:v>0.3171</x:v>
      </x:c>
      <x:c r="C5106" s="6" t="n">
        <x:v>0.17120000000000002</x:v>
      </x:c>
      <x:c r="D5106" s="6" t="n">
        <x:f>B5106</x:f>
        <x:v>0.3171</x:v>
      </x:c>
      <x:c r="E5106" s="1" t="n">
        <x:v>1.05</x:v>
      </x:c>
      <x:c r="F5106" s="1" t="str">
        <x:v>https://api.octopus.energy/v1/products/AGILE-24-10-01/electricity-tariffs/E-1R-AGILE-24-10-01-G/standard-unit-rates/</x:v>
      </x:c>
    </x:row>
    <x:row r="5107" ht="21" customHeight="1">
      <x:c r="A5107" s="24" t="n">
        <x:v>46254.895833333336</x:v>
      </x:c>
      <x:c r="B5107" s="6" t="n">
        <x:v>0.3145</x:v>
      </x:c>
      <x:c r="C5107" s="6" t="n">
        <x:v>0.17</x:v>
      </x:c>
      <x:c r="D5107" s="6" t="n">
        <x:f>B5107</x:f>
        <x:v>0.3145</x:v>
      </x:c>
      <x:c r="E5107" s="1" t="n">
        <x:v>1.05</x:v>
      </x:c>
      <x:c r="F5107" s="1" t="str">
        <x:v>https://api.octopus.energy/v1/products/AGILE-24-10-01/electricity-tariffs/E-1R-AGILE-24-10-01-G/standard-unit-rates/</x:v>
      </x:c>
    </x:row>
    <x:row r="5108" ht="21" customHeight="1">
      <x:c r="A5108" s="24" t="n">
        <x:v>46254.916666666664</x:v>
      </x:c>
      <x:c r="B5108" s="6" t="n">
        <x:v>0.2912</x:v>
      </x:c>
      <x:c r="C5108" s="6" t="n">
        <x:v>0.1594</x:v>
      </x:c>
      <x:c r="D5108" s="6" t="n">
        <x:f>B5108</x:f>
        <x:v>0.2912</x:v>
      </x:c>
      <x:c r="E5108" s="1" t="n">
        <x:v>1.05</x:v>
      </x:c>
      <x:c r="F5108" s="1" t="str">
        <x:v>https://api.octopus.energy/v1/products/AGILE-24-10-01/electricity-tariffs/E-1R-AGILE-24-10-01-G/standard-unit-rates/</x:v>
      </x:c>
    </x:row>
    <x:row r="5109" ht="21" customHeight="1">
      <x:c r="A5109" s="24" t="n">
        <x:v>46254.9375</x:v>
      </x:c>
      <x:c r="B5109" s="6" t="n">
        <x:v>0.27649999999999997</x:v>
      </x:c>
      <x:c r="C5109" s="6" t="n">
        <x:v>0.1527</x:v>
      </x:c>
      <x:c r="D5109" s="6" t="n">
        <x:f>B5109</x:f>
        <x:v>0.27649999999999997</x:v>
      </x:c>
      <x:c r="E5109" s="1" t="n">
        <x:v>1.05</x:v>
      </x:c>
      <x:c r="F5109" s="1" t="str">
        <x:v>https://api.octopus.energy/v1/products/AGILE-24-10-01/electricity-tariffs/E-1R-AGILE-24-10-01-G/standard-unit-rates/</x:v>
      </x:c>
    </x:row>
    <x:row r="5110" ht="21" customHeight="1">
      <x:c r="A5110" s="24" t="n">
        <x:v>46255</x:v>
      </x:c>
      <x:c r="B5110" s="6" t="n">
        <x:v>0.2692</x:v>
      </x:c>
      <x:c r="C5110" s="6" t="n">
        <x:v>0.1493</x:v>
      </x:c>
      <x:c r="D5110" s="6" t="n">
        <x:f>B5110</x:f>
        <x:v>0.2692</x:v>
      </x:c>
      <x:c r="E5110" s="1" t="n">
        <x:v>1.05</x:v>
      </x:c>
      <x:c r="F5110" s="1" t="str">
        <x:v>https://api.octopus.energy/v1/products/AGILE-24-10-01/electricity-tariffs/E-1R-AGILE-24-10-01-G/standard-unit-rates/</x:v>
      </x:c>
    </x:row>
    <x:row r="5111" ht="21" customHeight="1">
      <x:c r="A5111" s="24" t="n">
        <x:v>46254.979166666664</x:v>
      </x:c>
      <x:c r="B5111" s="6" t="n">
        <x:v>0.2732</x:v>
      </x:c>
      <x:c r="C5111" s="6" t="n">
        <x:v>0.1512</x:v>
      </x:c>
      <x:c r="D5111" s="6" t="n">
        <x:f>B5111</x:f>
        <x:v>0.2732</x:v>
      </x:c>
      <x:c r="E5111" s="1" t="n">
        <x:v>1.05</x:v>
      </x:c>
      <x:c r="F5111" s="1" t="str">
        <x:v>https://api.octopus.energy/v1/products/AGILE-24-10-01/electricity-tariffs/E-1R-AGILE-24-10-01-G/standard-unit-rates/</x:v>
      </x:c>
    </x:row>
    <x:row r="5112" ht="21" customHeight="1">
      <x:c r="A5112" s="24" t="n">
        <x:v>46255</x:v>
      </x:c>
      <x:c r="B5112" s="6" t="n">
        <x:v>0.2541</x:v>
      </x:c>
      <x:c r="C5112" s="6" t="n">
        <x:v>0.1424</x:v>
      </x:c>
      <x:c r="D5112" s="6" t="n">
        <x:f>B5112</x:f>
        <x:v>0.2541</x:v>
      </x:c>
      <x:c r="E5112" s="1" t="n">
        <x:v>1.05</x:v>
      </x:c>
      <x:c r="F5112" s="1" t="str">
        <x:v>https://api.octopus.energy/v1/products/AGILE-24-10-01/electricity-tariffs/E-1R-AGILE-24-10-01-G/standard-unit-rates/</x:v>
      </x:c>
    </x:row>
    <x:row r="5113" ht="21" customHeight="1">
      <x:c r="A5113" s="24" t="n">
        <x:v>46255.020833333336</x:v>
      </x:c>
      <x:c r="B5113" s="6" t="n">
        <x:v>0.2518</x:v>
      </x:c>
      <x:c r="C5113" s="6" t="n">
        <x:v>0.1414</x:v>
      </x:c>
      <x:c r="D5113" s="6" t="n">
        <x:f>B5113</x:f>
        <x:v>0.2518</x:v>
      </x:c>
      <x:c r="E5113" s="1" t="n">
        <x:v>1.05</x:v>
      </x:c>
      <x:c r="F5113" s="1" t="str">
        <x:v>https://api.octopus.energy/v1/products/AGILE-24-10-01/electricity-tariffs/E-1R-AGILE-24-10-01-G/standard-unit-rates/</x:v>
      </x:c>
    </x:row>
    <x:row r="5114" ht="21" customHeight="1">
      <x:c r="A5114" s="24" t="n">
        <x:v>46255.041666666664</x:v>
      </x:c>
      <x:c r="B5114" s="6" t="n">
        <x:v>0.24739999999999998</x:v>
      </x:c>
      <x:c r="C5114" s="6" t="n">
        <x:v>0.1394</x:v>
      </x:c>
      <x:c r="D5114" s="6" t="n">
        <x:f>B5114</x:f>
        <x:v>0.24739999999999998</x:v>
      </x:c>
      <x:c r="E5114" s="1" t="n">
        <x:v>1.05</x:v>
      </x:c>
      <x:c r="F5114" s="1" t="str">
        <x:v>https://api.octopus.energy/v1/products/AGILE-24-10-01/electricity-tariffs/E-1R-AGILE-24-10-01-G/standard-unit-rates/</x:v>
      </x:c>
    </x:row>
    <x:row r="5115" ht="21" customHeight="1">
      <x:c r="A5115" s="24" t="n">
        <x:v>46255.0625</x:v>
      </x:c>
      <x:c r="B5115" s="6" t="n">
        <x:v>0.2486</x:v>
      </x:c>
      <x:c r="C5115" s="6" t="n">
        <x:v>0.1399</x:v>
      </x:c>
      <x:c r="D5115" s="6" t="n">
        <x:f>B5115</x:f>
        <x:v>0.2486</x:v>
      </x:c>
      <x:c r="E5115" s="1" t="n">
        <x:v>1.05</x:v>
      </x:c>
      <x:c r="F5115" s="1" t="str">
        <x:v>https://api.octopus.energy/v1/products/AGILE-24-10-01/electricity-tariffs/E-1R-AGILE-24-10-01-G/standard-unit-rates/</x:v>
      </x:c>
    </x:row>
    <x:row r="5116" ht="21" customHeight="1">
      <x:c r="A5116" s="24" t="n">
        <x:v>46255.083333333336</x:v>
      </x:c>
      <x:c r="B5116" s="6" t="n">
        <x:v>0.2473</x:v>
      </x:c>
      <x:c r="C5116" s="6" t="n">
        <x:v>0.1393</x:v>
      </x:c>
      <x:c r="D5116" s="6" t="n">
        <x:f>B5116</x:f>
        <x:v>0.2473</x:v>
      </x:c>
      <x:c r="E5116" s="1" t="n">
        <x:v>1.05</x:v>
      </x:c>
      <x:c r="F5116" s="1" t="str">
        <x:v>https://api.octopus.energy/v1/products/AGILE-24-10-01/electricity-tariffs/E-1R-AGILE-24-10-01-G/standard-unit-rates/</x:v>
      </x:c>
    </x:row>
    <x:row r="5117" ht="21" customHeight="1">
      <x:c r="A5117" s="24" t="n">
        <x:v>46255.104166666664</x:v>
      </x:c>
      <x:c r="B5117" s="6" t="n">
        <x:v>0.2425</x:v>
      </x:c>
      <x:c r="C5117" s="6" t="n">
        <x:v>0.1371</x:v>
      </x:c>
      <x:c r="D5117" s="6" t="n">
        <x:f>B5117</x:f>
        <x:v>0.2425</x:v>
      </x:c>
      <x:c r="E5117" s="1" t="n">
        <x:v>1.05</x:v>
      </x:c>
      <x:c r="F5117" s="1" t="str">
        <x:v>https://api.octopus.energy/v1/products/AGILE-24-10-01/electricity-tariffs/E-1R-AGILE-24-10-01-G/standard-unit-rates/</x:v>
      </x:c>
    </x:row>
    <x:row r="5118" ht="21" customHeight="1">
      <x:c r="A5118" s="24" t="n">
        <x:v>46255.125</x:v>
      </x:c>
      <x:c r="B5118" s="6" t="n">
        <x:v>0.24600000000000002</x:v>
      </x:c>
      <x:c r="C5118" s="6" t="n">
        <x:v>0.1387</x:v>
      </x:c>
      <x:c r="D5118" s="6" t="n">
        <x:f>B5118</x:f>
        <x:v>0.24600000000000002</x:v>
      </x:c>
      <x:c r="E5118" s="1" t="n">
        <x:v>1.05</x:v>
      </x:c>
      <x:c r="F5118" s="1" t="str">
        <x:v>https://api.octopus.energy/v1/products/AGILE-24-10-01/electricity-tariffs/E-1R-AGILE-24-10-01-G/standard-unit-rates/</x:v>
      </x:c>
    </x:row>
    <x:row r="5119" ht="21" customHeight="1">
      <x:c r="A5119" s="24" t="n">
        <x:v>46255.145833333336</x:v>
      </x:c>
      <x:c r="B5119" s="6" t="n">
        <x:v>0.2416</x:v>
      </x:c>
      <x:c r="C5119" s="6" t="n">
        <x:v>0.1367</x:v>
      </x:c>
      <x:c r="D5119" s="6" t="n">
        <x:f>B5119</x:f>
        <x:v>0.2416</x:v>
      </x:c>
      <x:c r="E5119" s="1" t="n">
        <x:v>1.05</x:v>
      </x:c>
      <x:c r="F5119" s="1" t="str">
        <x:v>https://api.octopus.energy/v1/products/AGILE-24-10-01/electricity-tariffs/E-1R-AGILE-24-10-01-G/standard-unit-rates/</x:v>
      </x:c>
    </x:row>
    <x:row r="5120" ht="21" customHeight="1">
      <x:c r="A5120" s="24" t="n">
        <x:v>46255.166666666664</x:v>
      </x:c>
      <x:c r="B5120" s="6" t="n">
        <x:v>0.2554</x:v>
      </x:c>
      <x:c r="C5120" s="6" t="n">
        <x:v>0.14300000000000002</x:v>
      </x:c>
      <x:c r="D5120" s="6" t="n">
        <x:f>B5120</x:f>
        <x:v>0.2554</x:v>
      </x:c>
      <x:c r="E5120" s="1" t="n">
        <x:v>1.05</x:v>
      </x:c>
      <x:c r="F5120" s="1" t="str">
        <x:v>https://api.octopus.energy/v1/products/AGILE-24-10-01/electricity-tariffs/E-1R-AGILE-24-10-01-G/standard-unit-rates/</x:v>
      </x:c>
    </x:row>
    <x:row r="5121" ht="21" customHeight="1">
      <x:c r="A5121" s="24" t="n">
        <x:v>46255.1875</x:v>
      </x:c>
      <x:c r="B5121" s="6" t="n">
        <x:v>0.2531</x:v>
      </x:c>
      <x:c r="C5121" s="6" t="n">
        <x:v>0.142</x:v>
      </x:c>
      <x:c r="D5121" s="6" t="n">
        <x:f>B5121</x:f>
        <x:v>0.2531</x:v>
      </x:c>
      <x:c r="E5121" s="1" t="n">
        <x:v>1.05</x:v>
      </x:c>
      <x:c r="F5121" s="1" t="str">
        <x:v>https://api.octopus.energy/v1/products/AGILE-24-10-01/electricity-tariffs/E-1R-AGILE-24-10-01-G/standard-unit-rates/</x:v>
      </x:c>
    </x:row>
    <x:row r="5122" ht="21" customHeight="1">
      <x:c r="A5122" s="24" t="n">
        <x:v>46255.208333333336</x:v>
      </x:c>
      <x:c r="B5122" s="6" t="n">
        <x:v>0.2897</x:v>
      </x:c>
      <x:c r="C5122" s="6" t="n">
        <x:v>0.15869999999999998</x:v>
      </x:c>
      <x:c r="D5122" s="6" t="n">
        <x:f>B5122</x:f>
        <x:v>0.2897</x:v>
      </x:c>
      <x:c r="E5122" s="1" t="n">
        <x:v>1.05</x:v>
      </x:c>
      <x:c r="F5122" s="1" t="str">
        <x:v>https://api.octopus.energy/v1/products/AGILE-24-10-01/electricity-tariffs/E-1R-AGILE-24-10-01-G/standard-unit-rates/</x:v>
      </x:c>
    </x:row>
    <x:row r="5123" ht="21" customHeight="1">
      <x:c r="A5123" s="24" t="n">
        <x:v>46255.229166666664</x:v>
      </x:c>
      <x:c r="B5123" s="6" t="n">
        <x:v>0.295</x:v>
      </x:c>
      <x:c r="C5123" s="6" t="n">
        <x:v>0.1611</x:v>
      </x:c>
      <x:c r="D5123" s="6" t="n">
        <x:f>B5123</x:f>
        <x:v>0.295</x:v>
      </x:c>
      <x:c r="E5123" s="1" t="n">
        <x:v>1.05</x:v>
      </x:c>
      <x:c r="F5123" s="1" t="str">
        <x:v>https://api.octopus.energy/v1/products/AGILE-24-10-01/electricity-tariffs/E-1R-AGILE-24-10-01-G/standard-unit-rates/</x:v>
      </x:c>
    </x:row>
    <x:row r="5124" ht="21" customHeight="1">
      <x:c r="A5124" s="24" t="n">
        <x:v>46255.25</x:v>
      </x:c>
      <x:c r="B5124" s="6" t="n">
        <x:v>0.3078</x:v>
      </x:c>
      <x:c r="C5124" s="6" t="n">
        <x:v>0.16699999999999998</x:v>
      </x:c>
      <x:c r="D5124" s="6" t="n">
        <x:f>B5124</x:f>
        <x:v>0.3078</x:v>
      </x:c>
      <x:c r="E5124" s="1" t="n">
        <x:v>1.05</x:v>
      </x:c>
      <x:c r="F5124" s="1" t="str">
        <x:v>https://api.octopus.energy/v1/products/AGILE-24-10-01/electricity-tariffs/E-1R-AGILE-24-10-01-G/standard-unit-rates/</x:v>
      </x:c>
    </x:row>
    <x:row r="5125" ht="21" customHeight="1">
      <x:c r="A5125" s="24" t="n">
        <x:v>46255.270833333336</x:v>
      </x:c>
      <x:c r="B5125" s="6" t="n">
        <x:v>0.3143</x:v>
      </x:c>
      <x:c r="C5125" s="6" t="n">
        <x:v>0.17</x:v>
      </x:c>
      <x:c r="D5125" s="6" t="n">
        <x:f>B5125</x:f>
        <x:v>0.3143</x:v>
      </x:c>
      <x:c r="E5125" s="1" t="n">
        <x:v>1.05</x:v>
      </x:c>
      <x:c r="F5125" s="1" t="str">
        <x:v>https://api.octopus.energy/v1/products/AGILE-24-10-01/electricity-tariffs/E-1R-AGILE-24-10-01-G/standard-unit-rates/</x:v>
      </x:c>
    </x:row>
    <x:row r="5126" ht="21" customHeight="1">
      <x:c r="A5126" s="24" t="n">
        <x:v>46255.291666666664</x:v>
      </x:c>
      <x:c r="B5126" s="6" t="n">
        <x:v>0.30510000000000004</x:v>
      </x:c>
      <x:c r="C5126" s="6" t="n">
        <x:v>0.16570000000000001</x:v>
      </x:c>
      <x:c r="D5126" s="6" t="n">
        <x:f>B5126</x:f>
        <x:v>0.30510000000000004</x:v>
      </x:c>
      <x:c r="E5126" s="1" t="n">
        <x:v>1.05</x:v>
      </x:c>
      <x:c r="F5126" s="1" t="str">
        <x:v>https://api.octopus.energy/v1/products/AGILE-24-10-01/electricity-tariffs/E-1R-AGILE-24-10-01-G/standard-unit-rates/</x:v>
      </x:c>
    </x:row>
    <x:row r="5127" ht="21" customHeight="1">
      <x:c r="A5127" s="24" t="n">
        <x:v>46255.3125</x:v>
      </x:c>
      <x:c r="B5127" s="6" t="n">
        <x:v>0.3129</x:v>
      </x:c>
      <x:c r="C5127" s="6" t="n">
        <x:v>0.1693</x:v>
      </x:c>
      <x:c r="D5127" s="6" t="n">
        <x:f>B5127</x:f>
        <x:v>0.3129</x:v>
      </x:c>
      <x:c r="E5127" s="1" t="n">
        <x:v>1.05</x:v>
      </x:c>
      <x:c r="F5127" s="1" t="str">
        <x:v>https://api.octopus.energy/v1/products/AGILE-24-10-01/electricity-tariffs/E-1R-AGILE-24-10-01-G/standard-unit-rates/</x:v>
      </x:c>
    </x:row>
    <x:row r="5128" ht="21" customHeight="1">
      <x:c r="A5128" s="24" t="n">
        <x:v>46255.333333333336</x:v>
      </x:c>
      <x:c r="B5128" s="6" t="n">
        <x:v>0.26899999999999996</x:v>
      </x:c>
      <x:c r="C5128" s="6" t="n">
        <x:v>0.1492</x:v>
      </x:c>
      <x:c r="D5128" s="6" t="n">
        <x:f>B5128</x:f>
        <x:v>0.26899999999999996</x:v>
      </x:c>
      <x:c r="E5128" s="1" t="n">
        <x:v>1.05</x:v>
      </x:c>
      <x:c r="F5128" s="1" t="str">
        <x:v>https://api.octopus.energy/v1/products/AGILE-24-10-01/electricity-tariffs/E-1R-AGILE-24-10-01-G/standard-unit-rates/</x:v>
      </x:c>
    </x:row>
    <x:row r="5129" ht="21" customHeight="1">
      <x:c r="A5129" s="24" t="n">
        <x:v>46255.354166666664</x:v>
      </x:c>
      <x:c r="B5129" s="6" t="n">
        <x:v>0.2686</x:v>
      </x:c>
      <x:c r="C5129" s="6" t="n">
        <x:v>0.1491</x:v>
      </x:c>
      <x:c r="D5129" s="6" t="n">
        <x:f>B5129</x:f>
        <x:v>0.2686</x:v>
      </x:c>
      <x:c r="E5129" s="1" t="n">
        <x:v>1.05</x:v>
      </x:c>
      <x:c r="F5129" s="1" t="str">
        <x:v>https://api.octopus.energy/v1/products/AGILE-24-10-01/electricity-tariffs/E-1R-AGILE-24-10-01-G/standard-unit-rates/</x:v>
      </x:c>
    </x:row>
    <x:row r="5130" ht="21" customHeight="1">
      <x:c r="A5130" s="24" t="n">
        <x:v>46255.375</x:v>
      </x:c>
      <x:c r="B5130" s="6" t="n">
        <x:v>0.26170000000000004</x:v>
      </x:c>
      <x:c r="C5130" s="6" t="n">
        <x:v>0.1459</x:v>
      </x:c>
      <x:c r="D5130" s="6" t="n">
        <x:f>B5130</x:f>
        <x:v>0.26170000000000004</x:v>
      </x:c>
      <x:c r="E5130" s="1" t="n">
        <x:v>1.05</x:v>
      </x:c>
      <x:c r="F5130" s="1" t="str">
        <x:v>https://api.octopus.energy/v1/products/AGILE-24-10-01/electricity-tariffs/E-1R-AGILE-24-10-01-G/standard-unit-rates/</x:v>
      </x:c>
    </x:row>
    <x:row r="5131" ht="21" customHeight="1">
      <x:c r="A5131" s="24" t="n">
        <x:v>46255.395833333336</x:v>
      </x:c>
      <x:c r="B5131" s="6" t="n">
        <x:v>0.248</x:v>
      </x:c>
      <x:c r="C5131" s="6" t="n">
        <x:v>0.1396</x:v>
      </x:c>
      <x:c r="D5131" s="6" t="n">
        <x:f>B5131</x:f>
        <x:v>0.248</x:v>
      </x:c>
      <x:c r="E5131" s="1" t="n">
        <x:v>1.05</x:v>
      </x:c>
      <x:c r="F5131" s="1" t="str">
        <x:v>https://api.octopus.energy/v1/products/AGILE-24-10-01/electricity-tariffs/E-1R-AGILE-24-10-01-G/standard-unit-rates/</x:v>
      </x:c>
    </x:row>
    <x:row r="5132" ht="21" customHeight="1">
      <x:c r="A5132" s="24" t="n">
        <x:v>46255.416666666664</x:v>
      </x:c>
      <x:c r="B5132" s="6" t="n">
        <x:v>0.2291</x:v>
      </x:c>
      <x:c r="C5132" s="6" t="n">
        <x:v>0.131</x:v>
      </x:c>
      <x:c r="D5132" s="6" t="n">
        <x:f>B5132</x:f>
        <x:v>0.2291</x:v>
      </x:c>
      <x:c r="E5132" s="1" t="n">
        <x:v>1.05</x:v>
      </x:c>
      <x:c r="F5132" s="1" t="str">
        <x:v>https://api.octopus.energy/v1/products/AGILE-24-10-01/electricity-tariffs/E-1R-AGILE-24-10-01-G/standard-unit-rates/</x:v>
      </x:c>
    </x:row>
    <x:row r="5133" ht="21" customHeight="1">
      <x:c r="A5133" s="24" t="n">
        <x:v>46255.4375</x:v>
      </x:c>
      <x:c r="B5133" s="6" t="n">
        <x:v>0.2249</x:v>
      </x:c>
      <x:c r="C5133" s="6" t="n">
        <x:v>0.1291</x:v>
      </x:c>
      <x:c r="D5133" s="6" t="n">
        <x:f>B5133</x:f>
        <x:v>0.2249</x:v>
      </x:c>
      <x:c r="E5133" s="1" t="n">
        <x:v>1.05</x:v>
      </x:c>
      <x:c r="F5133" s="1" t="str">
        <x:v>https://api.octopus.energy/v1/products/AGILE-24-10-01/electricity-tariffs/E-1R-AGILE-24-10-01-G/standard-unit-rates/</x:v>
      </x:c>
    </x:row>
    <x:row r="5134" ht="21" customHeight="1">
      <x:c r="A5134" s="24" t="n">
        <x:v>46255.458333333336</x:v>
      </x:c>
      <x:c r="B5134" s="6" t="n">
        <x:v>0.23070000000000002</x:v>
      </x:c>
      <x:c r="C5134" s="6" t="n">
        <x:v>0.1317</x:v>
      </x:c>
      <x:c r="D5134" s="6" t="n">
        <x:f>B5134</x:f>
        <x:v>0.23070000000000002</x:v>
      </x:c>
      <x:c r="E5134" s="1" t="n">
        <x:v>1.05</x:v>
      </x:c>
      <x:c r="F5134" s="1" t="str">
        <x:v>https://api.octopus.energy/v1/products/AGILE-24-10-01/electricity-tariffs/E-1R-AGILE-24-10-01-G/standard-unit-rates/</x:v>
      </x:c>
    </x:row>
    <x:row r="5135" ht="21" customHeight="1">
      <x:c r="A5135" s="24" t="n">
        <x:v>46255.479166666664</x:v>
      </x:c>
      <x:c r="B5135" s="6" t="n">
        <x:v>0.2354</x:v>
      </x:c>
      <x:c r="C5135" s="6" t="n">
        <x:v>0.13390000000000002</x:v>
      </x:c>
      <x:c r="D5135" s="6" t="n">
        <x:f>B5135</x:f>
        <x:v>0.2354</x:v>
      </x:c>
      <x:c r="E5135" s="1" t="n">
        <x:v>1.05</x:v>
      </x:c>
      <x:c r="F5135" s="1" t="str">
        <x:v>https://api.octopus.energy/v1/products/AGILE-24-10-01/electricity-tariffs/E-1R-AGILE-24-10-01-G/standard-unit-rates/</x:v>
      </x:c>
    </x:row>
    <x:row r="5136" ht="21" customHeight="1">
      <x:c r="A5136" s="24" t="n">
        <x:v>46255.5</x:v>
      </x:c>
      <x:c r="B5136" s="6" t="n">
        <x:v>0.23010000000000003</x:v>
      </x:c>
      <x:c r="C5136" s="6" t="n">
        <x:v>0.13140000000000002</x:v>
      </x:c>
      <x:c r="D5136" s="6" t="n">
        <x:f>B5136</x:f>
        <x:v>0.23010000000000003</x:v>
      </x:c>
      <x:c r="E5136" s="1" t="n">
        <x:v>1.05</x:v>
      </x:c>
      <x:c r="F5136" s="1" t="str">
        <x:v>https://api.octopus.energy/v1/products/AGILE-24-10-01/electricity-tariffs/E-1R-AGILE-24-10-01-G/standard-unit-rates/</x:v>
      </x:c>
    </x:row>
    <x:row r="5137" ht="21" customHeight="1">
      <x:c r="A5137" s="24" t="n">
        <x:v>46255.520833333336</x:v>
      </x:c>
      <x:c r="B5137" s="6" t="n">
        <x:v>0.2291</x:v>
      </x:c>
      <x:c r="C5137" s="6" t="n">
        <x:v>0.131</x:v>
      </x:c>
      <x:c r="D5137" s="6" t="n">
        <x:f>B5137</x:f>
        <x:v>0.2291</x:v>
      </x:c>
      <x:c r="E5137" s="1" t="n">
        <x:v>1.05</x:v>
      </x:c>
      <x:c r="F5137" s="1" t="str">
        <x:v>https://api.octopus.energy/v1/products/AGILE-24-10-01/electricity-tariffs/E-1R-AGILE-24-10-01-G/standard-unit-rates/</x:v>
      </x:c>
    </x:row>
    <x:row r="5138" ht="21" customHeight="1">
      <x:c r="A5138" s="24" t="n">
        <x:v>46255.541666666664</x:v>
      </x:c>
      <x:c r="B5138" s="6" t="n">
        <x:v>0.23260000000000003</x:v>
      </x:c>
      <x:c r="C5138" s="6" t="n">
        <x:v>0.1326</x:v>
      </x:c>
      <x:c r="D5138" s="6" t="n">
        <x:f>B5138</x:f>
        <x:v>0.23260000000000003</x:v>
      </x:c>
      <x:c r="E5138" s="1" t="n">
        <x:v>1.05</x:v>
      </x:c>
      <x:c r="F5138" s="1" t="str">
        <x:v>https://api.octopus.energy/v1/products/AGILE-24-10-01/electricity-tariffs/E-1R-AGILE-24-10-01-G/standard-unit-rates/</x:v>
      </x:c>
    </x:row>
    <x:row r="5139" ht="21" customHeight="1">
      <x:c r="A5139" s="24" t="n">
        <x:v>46255.5625</x:v>
      </x:c>
      <x:c r="B5139" s="6" t="n">
        <x:v>0.2291</x:v>
      </x:c>
      <x:c r="C5139" s="6" t="n">
        <x:v>0.131</x:v>
      </x:c>
      <x:c r="D5139" s="6" t="n">
        <x:f>B5139</x:f>
        <x:v>0.2291</x:v>
      </x:c>
      <x:c r="E5139" s="1" t="n">
        <x:v>1.05</x:v>
      </x:c>
      <x:c r="F5139" s="1" t="str">
        <x:v>https://api.octopus.energy/v1/products/AGILE-24-10-01/electricity-tariffs/E-1R-AGILE-24-10-01-G/standard-unit-rates/</x:v>
      </x:c>
    </x:row>
    <x:row r="5140" ht="21" customHeight="1">
      <x:c r="A5140" s="24" t="n">
        <x:v>46255.583333333336</x:v>
      </x:c>
      <x:c r="B5140" s="6" t="n">
        <x:v>0.2314</x:v>
      </x:c>
      <x:c r="C5140" s="6" t="n">
        <x:v>0.1321</x:v>
      </x:c>
      <x:c r="D5140" s="6" t="n">
        <x:f>B5140</x:f>
        <x:v>0.2314</x:v>
      </x:c>
      <x:c r="E5140" s="1" t="n">
        <x:v>1.05</x:v>
      </x:c>
      <x:c r="F5140" s="1" t="str">
        <x:v>https://api.octopus.energy/v1/products/AGILE-24-10-01/electricity-tariffs/E-1R-AGILE-24-10-01-G/standard-unit-rates/</x:v>
      </x:c>
    </x:row>
    <x:row r="5141" ht="21" customHeight="1">
      <x:c r="A5141" s="24" t="n">
        <x:v>46255.604166666664</x:v>
      </x:c>
      <x:c r="B5141" s="6" t="n">
        <x:v>0.2291</x:v>
      </x:c>
      <x:c r="C5141" s="6" t="n">
        <x:v>0.131</x:v>
      </x:c>
      <x:c r="D5141" s="6" t="n">
        <x:f>B5141</x:f>
        <x:v>0.2291</x:v>
      </x:c>
      <x:c r="E5141" s="1" t="n">
        <x:v>1.05</x:v>
      </x:c>
      <x:c r="F5141" s="1" t="str">
        <x:v>https://api.octopus.energy/v1/products/AGILE-24-10-01/electricity-tariffs/E-1R-AGILE-24-10-01-G/standard-unit-rates/</x:v>
      </x:c>
    </x:row>
    <x:row r="5142" ht="21" customHeight="1">
      <x:c r="A5142" s="24" t="n">
        <x:v>46255.625</x:v>
      </x:c>
      <x:c r="B5142" s="6" t="n">
        <x:v>0.23629999999999998</x:v>
      </x:c>
      <x:c r="C5142" s="6" t="n">
        <x:v>0.1343</x:v>
      </x:c>
      <x:c r="D5142" s="6" t="n">
        <x:f>B5142</x:f>
        <x:v>0.23629999999999998</x:v>
      </x:c>
      <x:c r="E5142" s="1" t="n">
        <x:v>1.05</x:v>
      </x:c>
      <x:c r="F5142" s="1" t="str">
        <x:v>https://api.octopus.energy/v1/products/AGILE-24-10-01/electricity-tariffs/E-1R-AGILE-24-10-01-G/standard-unit-rates/</x:v>
      </x:c>
    </x:row>
    <x:row r="5143" ht="21" customHeight="1">
      <x:c r="A5143" s="24" t="n">
        <x:v>46255.645833333336</x:v>
      </x:c>
      <x:c r="B5143" s="6" t="n">
        <x:v>0.2364</x:v>
      </x:c>
      <x:c r="C5143" s="6" t="n">
        <x:v>0.1344</x:v>
      </x:c>
      <x:c r="D5143" s="6" t="n">
        <x:f>B5143</x:f>
        <x:v>0.2364</x:v>
      </x:c>
      <x:c r="E5143" s="1" t="n">
        <x:v>1.05</x:v>
      </x:c>
      <x:c r="F5143" s="1" t="str">
        <x:v>https://api.octopus.energy/v1/products/AGILE-24-10-01/electricity-tariffs/E-1R-AGILE-24-10-01-G/standard-unit-rates/</x:v>
      </x:c>
    </x:row>
    <x:row r="5144" ht="21" customHeight="1">
      <x:c r="A5144" s="24" t="n">
        <x:v>46255.666666666664</x:v>
      </x:c>
      <x:c r="B5144" s="6" t="n">
        <x:v>0.3832</x:v>
      </x:c>
      <x:c r="C5144" s="6" t="n">
        <x:v>0.20550000000000002</x:v>
      </x:c>
      <x:c r="D5144" s="6" t="n">
        <x:f>B5144</x:f>
        <x:v>0.3832</x:v>
      </x:c>
      <x:c r="E5144" s="1" t="n">
        <x:v>1.05</x:v>
      </x:c>
      <x:c r="F5144" s="1" t="str">
        <x:v>https://api.octopus.energy/v1/products/AGILE-24-10-01/electricity-tariffs/E-1R-AGILE-24-10-01-G/standard-unit-rates/</x:v>
      </x:c>
    </x:row>
    <x:row r="5145" ht="21" customHeight="1">
      <x:c r="A5145" s="24" t="n">
        <x:v>46255.6875</x:v>
      </x:c>
      <x:c r="B5145" s="6" t="n">
        <x:v>0.37810000000000005</x:v>
      </x:c>
      <x:c r="C5145" s="6" t="n">
        <x:v>0.20309999999999997</x:v>
      </x:c>
      <x:c r="D5145" s="6" t="n">
        <x:f>B5145</x:f>
        <x:v>0.37810000000000005</x:v>
      </x:c>
      <x:c r="E5145" s="1" t="n">
        <x:v>1.05</x:v>
      </x:c>
      <x:c r="F5145" s="1" t="str">
        <x:v>https://api.octopus.energy/v1/products/AGILE-24-10-01/electricity-tariffs/E-1R-AGILE-24-10-01-G/standard-unit-rates/</x:v>
      </x:c>
    </x:row>
    <x:row r="5146" ht="21" customHeight="1">
      <x:c r="A5146" s="24" t="n">
        <x:v>46255.708333333336</x:v>
      </x:c>
      <x:c r="B5146" s="6" t="n">
        <x:v>0.39270000000000005</x:v>
      </x:c>
      <x:c r="C5146" s="6" t="n">
        <x:v>0.20980000000000001</x:v>
      </x:c>
      <x:c r="D5146" s="6" t="n">
        <x:f>B5146</x:f>
        <x:v>0.39270000000000005</x:v>
      </x:c>
      <x:c r="E5146" s="1" t="n">
        <x:v>1.05</x:v>
      </x:c>
      <x:c r="F5146" s="1" t="str">
        <x:v>https://api.octopus.energy/v1/products/AGILE-24-10-01/electricity-tariffs/E-1R-AGILE-24-10-01-G/standard-unit-rates/</x:v>
      </x:c>
    </x:row>
    <x:row r="5147" ht="21" customHeight="1">
      <x:c r="A5147" s="24" t="n">
        <x:v>46255.729166666664</x:v>
      </x:c>
      <x:c r="B5147" s="6" t="n">
        <x:v>0.41090000000000004</x:v>
      </x:c>
      <x:c r="C5147" s="6" t="n">
        <x:v>0.2182</x:v>
      </x:c>
      <x:c r="D5147" s="6" t="n">
        <x:f>B5147</x:f>
        <x:v>0.41090000000000004</x:v>
      </x:c>
      <x:c r="E5147" s="1" t="n">
        <x:v>1.05</x:v>
      </x:c>
      <x:c r="F5147" s="1" t="str">
        <x:v>https://api.octopus.energy/v1/products/AGILE-24-10-01/electricity-tariffs/E-1R-AGILE-24-10-01-G/standard-unit-rates/</x:v>
      </x:c>
    </x:row>
    <x:row r="5148" ht="21" customHeight="1">
      <x:c r="A5148" s="24" t="n">
        <x:v>46255.75</x:v>
      </x:c>
      <x:c r="B5148" s="6" t="n">
        <x:v>0.4165</x:v>
      </x:c>
      <x:c r="C5148" s="6" t="n">
        <x:v>0.2207</x:v>
      </x:c>
      <x:c r="D5148" s="6" t="n">
        <x:f>B5148</x:f>
        <x:v>0.4165</x:v>
      </x:c>
      <x:c r="E5148" s="1" t="n">
        <x:v>1.05</x:v>
      </x:c>
      <x:c r="F5148" s="1" t="str">
        <x:v>https://api.octopus.energy/v1/products/AGILE-24-10-01/electricity-tariffs/E-1R-AGILE-24-10-01-G/standard-unit-rates/</x:v>
      </x:c>
    </x:row>
    <x:row r="5149" ht="21" customHeight="1">
      <x:c r="A5149" s="24" t="n">
        <x:v>46255.770833333336</x:v>
      </x:c>
      <x:c r="B5149" s="6" t="n">
        <x:v>0.4278</x:v>
      </x:c>
      <x:c r="C5149" s="6" t="n">
        <x:v>0.2259</x:v>
      </x:c>
      <x:c r="D5149" s="6" t="n">
        <x:f>B5149</x:f>
        <x:v>0.4278</x:v>
      </x:c>
      <x:c r="E5149" s="1" t="n">
        <x:v>1.05</x:v>
      </x:c>
      <x:c r="F5149" s="1" t="str">
        <x:v>https://api.octopus.energy/v1/products/AGILE-24-10-01/electricity-tariffs/E-1R-AGILE-24-10-01-G/standard-unit-rates/</x:v>
      </x:c>
    </x:row>
    <x:row r="5150" ht="21" customHeight="1">
      <x:c r="A5150" s="24" t="n">
        <x:v>46255.791666666664</x:v>
      </x:c>
      <x:c r="B5150" s="6" t="n">
        <x:v>0.32420000000000004</x:v>
      </x:c>
      <x:c r="C5150" s="6" t="n">
        <x:v>0.1745</x:v>
      </x:c>
      <x:c r="D5150" s="6" t="n">
        <x:f>B5150</x:f>
        <x:v>0.32420000000000004</x:v>
      </x:c>
      <x:c r="E5150" s="1" t="n">
        <x:v>1.05</x:v>
      </x:c>
      <x:c r="F5150" s="1" t="str">
        <x:v>https://api.octopus.energy/v1/products/AGILE-24-10-01/electricity-tariffs/E-1R-AGILE-24-10-01-G/standard-unit-rates/</x:v>
      </x:c>
    </x:row>
    <x:row r="5151" ht="21" customHeight="1">
      <x:c r="A5151" s="24" t="n">
        <x:v>46255.8125</x:v>
      </x:c>
      <x:c r="B5151" s="6" t="n">
        <x:v>0.3268</x:v>
      </x:c>
      <x:c r="C5151" s="6" t="n">
        <x:v>0.1757</x:v>
      </x:c>
      <x:c r="D5151" s="6" t="n">
        <x:f>B5151</x:f>
        <x:v>0.3268</x:v>
      </x:c>
      <x:c r="E5151" s="1" t="n">
        <x:v>1.05</x:v>
      </x:c>
      <x:c r="F5151" s="1" t="str">
        <x:v>https://api.octopus.energy/v1/products/AGILE-24-10-01/electricity-tariffs/E-1R-AGILE-24-10-01-G/standard-unit-rates/</x:v>
      </x:c>
    </x:row>
    <x:row r="5152" ht="21" customHeight="1">
      <x:c r="A5152" s="24" t="n">
        <x:v>46255.833333333336</x:v>
      </x:c>
      <x:c r="B5152" s="6" t="n">
        <x:v>0.332</x:v>
      </x:c>
      <x:c r="C5152" s="6" t="n">
        <x:v>0.17809999999999998</x:v>
      </x:c>
      <x:c r="D5152" s="6" t="n">
        <x:f>B5152</x:f>
        <x:v>0.332</x:v>
      </x:c>
      <x:c r="E5152" s="1" t="n">
        <x:v>1.05</x:v>
      </x:c>
      <x:c r="F5152" s="1" t="str">
        <x:v>https://api.octopus.energy/v1/products/AGILE-24-10-01/electricity-tariffs/E-1R-AGILE-24-10-01-G/standard-unit-rates/</x:v>
      </x:c>
    </x:row>
    <x:row r="5153" ht="21" customHeight="1">
      <x:c r="A5153" s="24" t="n">
        <x:v>46255.854166666664</x:v>
      </x:c>
      <x:c r="B5153" s="6" t="n">
        <x:v>0.332</x:v>
      </x:c>
      <x:c r="C5153" s="6" t="n">
        <x:v>0.17800000000000002</x:v>
      </x:c>
      <x:c r="D5153" s="6" t="n">
        <x:f>B5153</x:f>
        <x:v>0.332</x:v>
      </x:c>
      <x:c r="E5153" s="1" t="n">
        <x:v>1.05</x:v>
      </x:c>
      <x:c r="F5153" s="1" t="str">
        <x:v>https://api.octopus.energy/v1/products/AGILE-24-10-01/electricity-tariffs/E-1R-AGILE-24-10-01-G/standard-unit-rates/</x:v>
      </x:c>
    </x:row>
    <x:row r="5154" ht="21" customHeight="1">
      <x:c r="A5154" s="24" t="n">
        <x:v>46255.875</x:v>
      </x:c>
      <x:c r="B5154" s="6" t="n">
        <x:v>0.3281</x:v>
      </x:c>
      <x:c r="C5154" s="6" t="n">
        <x:v>0.17629999999999998</x:v>
      </x:c>
      <x:c r="D5154" s="6" t="n">
        <x:f>B5154</x:f>
        <x:v>0.3281</x:v>
      </x:c>
      <x:c r="E5154" s="1" t="n">
        <x:v>1.05</x:v>
      </x:c>
      <x:c r="F5154" s="1" t="str">
        <x:v>https://api.octopus.energy/v1/products/AGILE-24-10-01/electricity-tariffs/E-1R-AGILE-24-10-01-G/standard-unit-rates/</x:v>
      </x:c>
    </x:row>
    <x:row r="5155" ht="21" customHeight="1">
      <x:c r="A5155" s="24" t="n">
        <x:v>46255.895833333336</x:v>
      </x:c>
      <x:c r="B5155" s="6" t="n">
        <x:v>0.3147</x:v>
      </x:c>
      <x:c r="C5155" s="6" t="n">
        <x:v>0.17010000000000003</x:v>
      </x:c>
      <x:c r="D5155" s="6" t="n">
        <x:f>B5155</x:f>
        <x:v>0.3147</x:v>
      </x:c>
      <x:c r="E5155" s="1" t="n">
        <x:v>1.05</x:v>
      </x:c>
      <x:c r="F5155" s="1" t="str">
        <x:v>https://api.octopus.energy/v1/products/AGILE-24-10-01/electricity-tariffs/E-1R-AGILE-24-10-01-G/standard-unit-rates/</x:v>
      </x:c>
    </x:row>
    <x:row r="5156" ht="21" customHeight="1">
      <x:c r="A5156" s="24" t="n">
        <x:v>46255.916666666664</x:v>
      </x:c>
      <x:c r="B5156" s="6" t="n">
        <x:v>0.2921</x:v>
      </x:c>
      <x:c r="C5156" s="6" t="n">
        <x:v>0.1598</x:v>
      </x:c>
      <x:c r="D5156" s="6" t="n">
        <x:f>B5156</x:f>
        <x:v>0.2921</x:v>
      </x:c>
      <x:c r="E5156" s="1" t="n">
        <x:v>1.05</x:v>
      </x:c>
      <x:c r="F5156" s="1" t="str">
        <x:v>https://api.octopus.energy/v1/products/AGILE-24-10-01/electricity-tariffs/E-1R-AGILE-24-10-01-G/standard-unit-rates/</x:v>
      </x:c>
    </x:row>
    <x:row r="5157" ht="21" customHeight="1">
      <x:c r="A5157" s="24" t="n">
        <x:v>46255.9375</x:v>
      </x:c>
      <x:c r="B5157" s="6" t="n">
        <x:v>0.2687</x:v>
      </x:c>
      <x:c r="C5157" s="6" t="n">
        <x:v>0.1491</x:v>
      </x:c>
      <x:c r="D5157" s="6" t="n">
        <x:f>B5157</x:f>
        <x:v>0.2687</x:v>
      </x:c>
      <x:c r="E5157" s="1" t="n">
        <x:v>1.05</x:v>
      </x:c>
      <x:c r="F5157" s="1" t="str">
        <x:v>https://api.octopus.energy/v1/products/AGILE-24-10-01/electricity-tariffs/E-1R-AGILE-24-10-01-G/standard-unit-rates/</x:v>
      </x:c>
    </x:row>
    <x:row r="5158" ht="21" customHeight="1">
      <x:c r="A5158" s="24" t="n">
        <x:v>46256</x:v>
      </x:c>
      <x:c r="B5158" s="6" t="n">
        <x:v>0.2526</x:v>
      </x:c>
      <x:c r="C5158" s="6" t="n">
        <x:v>0.1418</x:v>
      </x:c>
      <x:c r="D5158" s="6" t="n">
        <x:f>B5158</x:f>
        <x:v>0.2526</x:v>
      </x:c>
      <x:c r="E5158" s="1" t="n">
        <x:v>1.05</x:v>
      </x:c>
      <x:c r="F5158" s="1" t="str">
        <x:v>https://api.octopus.energy/v1/products/AGILE-24-10-01/electricity-tariffs/E-1R-AGILE-24-10-01-G/standard-unit-rates/</x:v>
      </x:c>
    </x:row>
    <x:row r="5159" ht="21" customHeight="1">
      <x:c r="A5159" s="24" t="n">
        <x:v>46255.979166666664</x:v>
      </x:c>
      <x:c r="B5159" s="6" t="n">
        <x:v>0.2711</x:v>
      </x:c>
      <x:c r="C5159" s="6" t="n">
        <x:v>0.1502</x:v>
      </x:c>
      <x:c r="D5159" s="6" t="n">
        <x:f>B5159</x:f>
        <x:v>0.2711</x:v>
      </x:c>
      <x:c r="E5159" s="1" t="n">
        <x:v>1.05</x:v>
      </x:c>
      <x:c r="F5159" s="1" t="str">
        <x:v>https://api.octopus.energy/v1/products/AGILE-24-10-01/electricity-tariffs/E-1R-AGILE-24-10-01-G/standard-unit-rates/</x:v>
      </x:c>
    </x:row>
    <x:row r="5160" ht="21" customHeight="1">
      <x:c r="A5160" s="24" t="n">
        <x:v>46256</x:v>
      </x:c>
      <x:c r="B5160" s="6" t="n">
        <x:v>0.26289999999999997</x:v>
      </x:c>
      <x:c r="C5160" s="6" t="n">
        <x:v>0.1465</x:v>
      </x:c>
      <x:c r="D5160" s="6" t="n">
        <x:f>B5160</x:f>
        <x:v>0.26289999999999997</x:v>
      </x:c>
      <x:c r="E5160" s="1" t="n">
        <x:v>1.05</x:v>
      </x:c>
      <x:c r="F5160" s="1" t="str">
        <x:v>https://api.octopus.energy/v1/products/AGILE-24-10-01/electricity-tariffs/E-1R-AGILE-24-10-01-G/standard-unit-rates/</x:v>
      </x:c>
    </x:row>
    <x:row r="5161" ht="21" customHeight="1">
      <x:c r="A5161" s="24" t="n">
        <x:v>46256.020833333336</x:v>
      </x:c>
      <x:c r="B5161" s="6" t="n">
        <x:v>0.2648</x:v>
      </x:c>
      <x:c r="C5161" s="6" t="n">
        <x:v>0.14730000000000001</x:v>
      </x:c>
      <x:c r="D5161" s="6" t="n">
        <x:f>B5161</x:f>
        <x:v>0.2648</x:v>
      </x:c>
      <x:c r="E5161" s="1" t="n">
        <x:v>1.05</x:v>
      </x:c>
      <x:c r="F5161" s="1" t="str">
        <x:v>https://api.octopus.energy/v1/products/AGILE-24-10-01/electricity-tariffs/E-1R-AGILE-24-10-01-G/standard-unit-rates/</x:v>
      </x:c>
    </x:row>
    <x:row r="5162" ht="21" customHeight="1">
      <x:c r="A5162" s="24" t="n">
        <x:v>46256.041666666664</x:v>
      </x:c>
      <x:c r="B5162" s="6" t="n">
        <x:v>0.2545</x:v>
      </x:c>
      <x:c r="C5162" s="6" t="n">
        <x:v>0.1426</x:v>
      </x:c>
      <x:c r="D5162" s="6" t="n">
        <x:f>B5162</x:f>
        <x:v>0.2545</x:v>
      </x:c>
      <x:c r="E5162" s="1" t="n">
        <x:v>1.05</x:v>
      </x:c>
      <x:c r="F5162" s="1" t="str">
        <x:v>https://api.octopus.energy/v1/products/AGILE-24-10-01/electricity-tariffs/E-1R-AGILE-24-10-01-G/standard-unit-rates/</x:v>
      </x:c>
    </x:row>
    <x:row r="5163" ht="21" customHeight="1">
      <x:c r="A5163" s="24" t="n">
        <x:v>46256.0625</x:v>
      </x:c>
      <x:c r="B5163" s="6" t="n">
        <x:v>0.2606</x:v>
      </x:c>
      <x:c r="C5163" s="6" t="n">
        <x:v>0.1454</x:v>
      </x:c>
      <x:c r="D5163" s="6" t="n">
        <x:f>B5163</x:f>
        <x:v>0.2606</x:v>
      </x:c>
      <x:c r="E5163" s="1" t="n">
        <x:v>1.05</x:v>
      </x:c>
      <x:c r="F5163" s="1" t="str">
        <x:v>https://api.octopus.energy/v1/products/AGILE-24-10-01/electricity-tariffs/E-1R-AGILE-24-10-01-G/standard-unit-rates/</x:v>
      </x:c>
    </x:row>
    <x:row r="5164" ht="21" customHeight="1">
      <x:c r="A5164" s="24" t="n">
        <x:v>46256.083333333336</x:v>
      </x:c>
      <x:c r="B5164" s="6" t="n">
        <x:v>0.24239999999999998</x:v>
      </x:c>
      <x:c r="C5164" s="6" t="n">
        <x:v>0.1371</x:v>
      </x:c>
      <x:c r="D5164" s="6" t="n">
        <x:f>B5164</x:f>
        <x:v>0.24239999999999998</x:v>
      </x:c>
      <x:c r="E5164" s="1" t="n">
        <x:v>1.05</x:v>
      </x:c>
      <x:c r="F5164" s="1" t="str">
        <x:v>https://api.octopus.energy/v1/products/AGILE-24-10-01/electricity-tariffs/E-1R-AGILE-24-10-01-G/standard-unit-rates/</x:v>
      </x:c>
    </x:row>
    <x:row r="5165" ht="21" customHeight="1">
      <x:c r="A5165" s="24" t="n">
        <x:v>46256.104166666664</x:v>
      </x:c>
      <x:c r="B5165" s="6" t="n">
        <x:v>0.2464</x:v>
      </x:c>
      <x:c r="C5165" s="6" t="n">
        <x:v>0.1389</x:v>
      </x:c>
      <x:c r="D5165" s="6" t="n">
        <x:f>B5165</x:f>
        <x:v>0.2464</x:v>
      </x:c>
      <x:c r="E5165" s="1" t="n">
        <x:v>1.05</x:v>
      </x:c>
      <x:c r="F5165" s="1" t="str">
        <x:v>https://api.octopus.energy/v1/products/AGILE-24-10-01/electricity-tariffs/E-1R-AGILE-24-10-01-G/standard-unit-rates/</x:v>
      </x:c>
    </x:row>
    <x:row r="5166" ht="21" customHeight="1">
      <x:c r="A5166" s="24" t="n">
        <x:v>46256.125</x:v>
      </x:c>
      <x:c r="B5166" s="6" t="n">
        <x:v>0.2489</x:v>
      </x:c>
      <x:c r="C5166" s="6" t="n">
        <x:v>0.1401</x:v>
      </x:c>
      <x:c r="D5166" s="6" t="n">
        <x:f>B5166</x:f>
        <x:v>0.2489</x:v>
      </x:c>
      <x:c r="E5166" s="1" t="n">
        <x:v>1.05</x:v>
      </x:c>
      <x:c r="F5166" s="1" t="str">
        <x:v>https://api.octopus.energy/v1/products/AGILE-24-10-01/electricity-tariffs/E-1R-AGILE-24-10-01-G/standard-unit-rates/</x:v>
      </x:c>
    </x:row>
    <x:row r="5167" ht="21" customHeight="1">
      <x:c r="A5167" s="24" t="n">
        <x:v>46256.145833333336</x:v>
      </x:c>
      <x:c r="B5167" s="6" t="n">
        <x:v>0.23920000000000002</x:v>
      </x:c>
      <x:c r="C5167" s="6" t="n">
        <x:v>0.1356</x:v>
      </x:c>
      <x:c r="D5167" s="6" t="n">
        <x:f>B5167</x:f>
        <x:v>0.23920000000000002</x:v>
      </x:c>
      <x:c r="E5167" s="1" t="n">
        <x:v>1.05</x:v>
      </x:c>
      <x:c r="F5167" s="1" t="str">
        <x:v>https://api.octopus.energy/v1/products/AGILE-24-10-01/electricity-tariffs/E-1R-AGILE-24-10-01-G/standard-unit-rates/</x:v>
      </x:c>
    </x:row>
    <x:row r="5168" ht="21" customHeight="1">
      <x:c r="A5168" s="24" t="n">
        <x:v>46256.166666666664</x:v>
      </x:c>
      <x:c r="B5168" s="6" t="n">
        <x:v>0.2419</x:v>
      </x:c>
      <x:c r="C5168" s="6" t="n">
        <x:v>0.1369</x:v>
      </x:c>
      <x:c r="D5168" s="6" t="n">
        <x:f>B5168</x:f>
        <x:v>0.2419</x:v>
      </x:c>
      <x:c r="E5168" s="1" t="n">
        <x:v>1.05</x:v>
      </x:c>
      <x:c r="F5168" s="1" t="str">
        <x:v>https://api.octopus.energy/v1/products/AGILE-24-10-01/electricity-tariffs/E-1R-AGILE-24-10-01-G/standard-unit-rates/</x:v>
      </x:c>
    </x:row>
    <x:row r="5169" ht="21" customHeight="1">
      <x:c r="A5169" s="24" t="n">
        <x:v>46256.1875</x:v>
      </x:c>
      <x:c r="B5169" s="6" t="n">
        <x:v>0.2373</x:v>
      </x:c>
      <x:c r="C5169" s="6" t="n">
        <x:v>0.13470000000000001</x:v>
      </x:c>
      <x:c r="D5169" s="6" t="n">
        <x:f>B5169</x:f>
        <x:v>0.2373</x:v>
      </x:c>
      <x:c r="E5169" s="1" t="n">
        <x:v>1.05</x:v>
      </x:c>
      <x:c r="F5169" s="1" t="str">
        <x:v>https://api.octopus.energy/v1/products/AGILE-24-10-01/electricity-tariffs/E-1R-AGILE-24-10-01-G/standard-unit-rates/</x:v>
      </x:c>
    </x:row>
    <x:row r="5170" ht="21" customHeight="1">
      <x:c r="A5170" s="24" t="n">
        <x:v>46256.208333333336</x:v>
      </x:c>
      <x:c r="B5170" s="6" t="n">
        <x:v>0.2477</x:v>
      </x:c>
      <x:c r="C5170" s="6" t="n">
        <x:v>0.13949999999999999</x:v>
      </x:c>
      <x:c r="D5170" s="6" t="n">
        <x:f>B5170</x:f>
        <x:v>0.2477</x:v>
      </x:c>
      <x:c r="E5170" s="1" t="n">
        <x:v>1.05</x:v>
      </x:c>
      <x:c r="F5170" s="1" t="str">
        <x:v>https://api.octopus.energy/v1/products/AGILE-24-10-01/electricity-tariffs/E-1R-AGILE-24-10-01-G/standard-unit-rates/</x:v>
      </x:c>
    </x:row>
    <x:row r="5171" ht="21" customHeight="1">
      <x:c r="A5171" s="24" t="n">
        <x:v>46256.229166666664</x:v>
      </x:c>
      <x:c r="B5171" s="6" t="n">
        <x:v>0.2401</x:v>
      </x:c>
      <x:c r="C5171" s="6" t="n">
        <x:v>0.136</x:v>
      </x:c>
      <x:c r="D5171" s="6" t="n">
        <x:f>B5171</x:f>
        <x:v>0.2401</x:v>
      </x:c>
      <x:c r="E5171" s="1" t="n">
        <x:v>1.05</x:v>
      </x:c>
      <x:c r="F5171" s="1" t="str">
        <x:v>https://api.octopus.energy/v1/products/AGILE-24-10-01/electricity-tariffs/E-1R-AGILE-24-10-01-G/standard-unit-rates/</x:v>
      </x:c>
    </x:row>
    <x:row r="5172" ht="21" customHeight="1">
      <x:c r="A5172" s="24" t="n">
        <x:v>46256.25</x:v>
      </x:c>
      <x:c r="B5172" s="6" t="n">
        <x:v>0.2113</x:v>
      </x:c>
      <x:c r="C5172" s="6" t="n">
        <x:v>0.1229</x:v>
      </x:c>
      <x:c r="D5172" s="6" t="n">
        <x:f>B5172</x:f>
        <x:v>0.2113</x:v>
      </x:c>
      <x:c r="E5172" s="1" t="n">
        <x:v>1.05</x:v>
      </x:c>
      <x:c r="F5172" s="1" t="str">
        <x:v>https://api.octopus.energy/v1/products/AGILE-24-10-01/electricity-tariffs/E-1R-AGILE-24-10-01-G/standard-unit-rates/</x:v>
      </x:c>
    </x:row>
    <x:row r="5173" ht="21" customHeight="1">
      <x:c r="A5173" s="24" t="n">
        <x:v>46256.270833333336</x:v>
      </x:c>
      <x:c r="B5173" s="6" t="n">
        <x:v>0.2127</x:v>
      </x:c>
      <x:c r="C5173" s="6" t="n">
        <x:v>0.1235</x:v>
      </x:c>
      <x:c r="D5173" s="6" t="n">
        <x:f>B5173</x:f>
        <x:v>0.2127</x:v>
      </x:c>
      <x:c r="E5173" s="1" t="n">
        <x:v>1.05</x:v>
      </x:c>
      <x:c r="F5173" s="1" t="str">
        <x:v>https://api.octopus.energy/v1/products/AGILE-24-10-01/electricity-tariffs/E-1R-AGILE-24-10-01-G/standard-unit-rates/</x:v>
      </x:c>
    </x:row>
    <x:row r="5174" ht="21" customHeight="1">
      <x:c r="A5174" s="24" t="n">
        <x:v>46256.291666666664</x:v>
      </x:c>
      <x:c r="B5174" s="6" t="n">
        <x:v>0.1909</x:v>
      </x:c>
      <x:c r="C5174" s="6" t="n">
        <x:v>0.11349999999999999</x:v>
      </x:c>
      <x:c r="D5174" s="6" t="n">
        <x:f>B5174</x:f>
        <x:v>0.1909</x:v>
      </x:c>
      <x:c r="E5174" s="1" t="n">
        <x:v>1.05</x:v>
      </x:c>
      <x:c r="F5174" s="1" t="str">
        <x:v>https://api.octopus.energy/v1/products/AGILE-24-10-01/electricity-tariffs/E-1R-AGILE-24-10-01-G/standard-unit-rates/</x:v>
      </x:c>
    </x:row>
    <x:row r="5175" ht="21" customHeight="1">
      <x:c r="A5175" s="24" t="n">
        <x:v>46256.3125</x:v>
      </x:c>
      <x:c r="B5175" s="6" t="n">
        <x:v>0.1957</x:v>
      </x:c>
      <x:c r="C5175" s="6" t="n">
        <x:v>0.1157</x:v>
      </x:c>
      <x:c r="D5175" s="6" t="n">
        <x:f>B5175</x:f>
        <x:v>0.1957</x:v>
      </x:c>
      <x:c r="E5175" s="1" t="n">
        <x:v>1.05</x:v>
      </x:c>
      <x:c r="F5175" s="1" t="str">
        <x:v>https://api.octopus.energy/v1/products/AGILE-24-10-01/electricity-tariffs/E-1R-AGILE-24-10-01-G/standard-unit-rates/</x:v>
      </x:c>
    </x:row>
    <x:row r="5176" ht="21" customHeight="1">
      <x:c r="A5176" s="24" t="n">
        <x:v>46256.333333333336</x:v>
      </x:c>
      <x:c r="B5176" s="6" t="n">
        <x:v>0.16510000000000002</x:v>
      </x:c>
      <x:c r="C5176" s="6" t="n">
        <x:v>0.1018</x:v>
      </x:c>
      <x:c r="D5176" s="6" t="n">
        <x:f>B5176</x:f>
        <x:v>0.16510000000000002</x:v>
      </x:c>
      <x:c r="E5176" s="1" t="n">
        <x:v>1.05</x:v>
      </x:c>
      <x:c r="F5176" s="1" t="str">
        <x:v>https://api.octopus.energy/v1/products/AGILE-24-10-01/electricity-tariffs/E-1R-AGILE-24-10-01-G/standard-unit-rates/</x:v>
      </x:c>
    </x:row>
    <x:row r="5177" ht="21" customHeight="1">
      <x:c r="A5177" s="24" t="n">
        <x:v>46256.354166666664</x:v>
      </x:c>
      <x:c r="B5177" s="6" t="n">
        <x:v>0.16</x:v>
      </x:c>
      <x:c r="C5177" s="6" t="n">
        <x:v>0.09939999999999999</x:v>
      </x:c>
      <x:c r="D5177" s="6" t="n">
        <x:f>B5177</x:f>
        <x:v>0.16</x:v>
      </x:c>
      <x:c r="E5177" s="1" t="n">
        <x:v>1.05</x:v>
      </x:c>
      <x:c r="F5177" s="1" t="str">
        <x:v>https://api.octopus.energy/v1/products/AGILE-24-10-01/electricity-tariffs/E-1R-AGILE-24-10-01-G/standard-unit-rates/</x:v>
      </x:c>
    </x:row>
    <x:row r="5178" ht="21" customHeight="1">
      <x:c r="A5178" s="24" t="n">
        <x:v>46256.375</x:v>
      </x:c>
      <x:c r="B5178" s="6" t="n">
        <x:v>0.1419</x:v>
      </x:c>
      <x:c r="C5178" s="6" t="n">
        <x:v>0.0911</x:v>
      </x:c>
      <x:c r="D5178" s="6" t="n">
        <x:f>B5178</x:f>
        <x:v>0.1419</x:v>
      </x:c>
      <x:c r="E5178" s="1" t="n">
        <x:v>1.05</x:v>
      </x:c>
      <x:c r="F5178" s="1" t="str">
        <x:v>https://api.octopus.energy/v1/products/AGILE-24-10-01/electricity-tariffs/E-1R-AGILE-24-10-01-G/standard-unit-rates/</x:v>
      </x:c>
    </x:row>
    <x:row r="5179" ht="21" customHeight="1">
      <x:c r="A5179" s="24" t="n">
        <x:v>46256.395833333336</x:v>
      </x:c>
      <x:c r="B5179" s="6" t="n">
        <x:v>0.1368</x:v>
      </x:c>
      <x:c r="C5179" s="6" t="n">
        <x:v>0.0888</x:v>
      </x:c>
      <x:c r="D5179" s="6" t="n">
        <x:f>B5179</x:f>
        <x:v>0.1368</x:v>
      </x:c>
      <x:c r="E5179" s="1" t="n">
        <x:v>1.05</x:v>
      </x:c>
      <x:c r="F5179" s="1" t="str">
        <x:v>https://api.octopus.energy/v1/products/AGILE-24-10-01/electricity-tariffs/E-1R-AGILE-24-10-01-G/standard-unit-rates/</x:v>
      </x:c>
    </x:row>
    <x:row r="5180" ht="21" customHeight="1">
      <x:c r="A5180" s="24" t="n">
        <x:v>46256.416666666664</x:v>
      </x:c>
      <x:c r="B5180" s="6" t="n">
        <x:v>0.1598</x:v>
      </x:c>
      <x:c r="C5180" s="6" t="n">
        <x:v>0.0993</x:v>
      </x:c>
      <x:c r="D5180" s="6" t="n">
        <x:f>B5180</x:f>
        <x:v>0.1598</x:v>
      </x:c>
      <x:c r="E5180" s="1" t="n">
        <x:v>1.05</x:v>
      </x:c>
      <x:c r="F5180" s="1" t="str">
        <x:v>https://api.octopus.energy/v1/products/AGILE-24-10-01/electricity-tariffs/E-1R-AGILE-24-10-01-G/standard-unit-rates/</x:v>
      </x:c>
    </x:row>
    <x:row r="5181" ht="21" customHeight="1">
      <x:c r="A5181" s="24" t="n">
        <x:v>46256.4375</x:v>
      </x:c>
      <x:c r="B5181" s="6" t="n">
        <x:v>0.15789999999999998</x:v>
      </x:c>
      <x:c r="C5181" s="6" t="n">
        <x:v>0.09849999999999999</x:v>
      </x:c>
      <x:c r="D5181" s="6" t="n">
        <x:f>B5181</x:f>
        <x:v>0.15789999999999998</x:v>
      </x:c>
      <x:c r="E5181" s="1" t="n">
        <x:v>1.05</x:v>
      </x:c>
      <x:c r="F5181" s="1" t="str">
        <x:v>https://api.octopus.energy/v1/products/AGILE-24-10-01/electricity-tariffs/E-1R-AGILE-24-10-01-G/standard-unit-rates/</x:v>
      </x:c>
    </x:row>
    <x:row r="5182" ht="21" customHeight="1">
      <x:c r="A5182" s="24" t="n">
        <x:v>46256.458333333336</x:v>
      </x:c>
      <x:c r="B5182" s="6" t="n">
        <x:v>0.1605</x:v>
      </x:c>
      <x:c r="C5182" s="6" t="n">
        <x:v>0.09960000000000001</x:v>
      </x:c>
      <x:c r="D5182" s="6" t="n">
        <x:f>B5182</x:f>
        <x:v>0.1605</x:v>
      </x:c>
      <x:c r="E5182" s="1" t="n">
        <x:v>1.05</x:v>
      </x:c>
      <x:c r="F5182" s="1" t="str">
        <x:v>https://api.octopus.energy/v1/products/AGILE-24-10-01/electricity-tariffs/E-1R-AGILE-24-10-01-G/standard-unit-rates/</x:v>
      </x:c>
    </x:row>
    <x:row r="5183" ht="21" customHeight="1">
      <x:c r="A5183" s="24" t="n">
        <x:v>46256.479166666664</x:v>
      </x:c>
      <x:c r="B5183" s="6" t="n">
        <x:v>0.1516</x:v>
      </x:c>
      <x:c r="C5183" s="6" t="n">
        <x:v>0.0956</x:v>
      </x:c>
      <x:c r="D5183" s="6" t="n">
        <x:f>B5183</x:f>
        <x:v>0.1516</x:v>
      </x:c>
      <x:c r="E5183" s="1" t="n">
        <x:v>1.05</x:v>
      </x:c>
      <x:c r="F5183" s="1" t="str">
        <x:v>https://api.octopus.energy/v1/products/AGILE-24-10-01/electricity-tariffs/E-1R-AGILE-24-10-01-G/standard-unit-rates/</x:v>
      </x:c>
    </x:row>
    <x:row r="5184" ht="21" customHeight="1">
      <x:c r="A5184" s="24" t="n">
        <x:v>46256.5</x:v>
      </x:c>
      <x:c r="B5184" s="6" t="n">
        <x:v>0.1637</x:v>
      </x:c>
      <x:c r="C5184" s="6" t="n">
        <x:v>0.1011</x:v>
      </x:c>
      <x:c r="D5184" s="6" t="n">
        <x:f>B5184</x:f>
        <x:v>0.1637</x:v>
      </x:c>
      <x:c r="E5184" s="1" t="n">
        <x:v>1.05</x:v>
      </x:c>
      <x:c r="F5184" s="1" t="str">
        <x:v>https://api.octopus.energy/v1/products/AGILE-24-10-01/electricity-tariffs/E-1R-AGILE-24-10-01-G/standard-unit-rates/</x:v>
      </x:c>
    </x:row>
    <x:row r="5185" ht="21" customHeight="1">
      <x:c r="A5185" s="24" t="n">
        <x:v>46256.520833333336</x:v>
      </x:c>
      <x:c r="B5185" s="6" t="n">
        <x:v>0.1568</x:v>
      </x:c>
      <x:c r="C5185" s="6" t="n">
        <x:v>0.098</x:v>
      </x:c>
      <x:c r="D5185" s="6" t="n">
        <x:f>B5185</x:f>
        <x:v>0.1568</x:v>
      </x:c>
      <x:c r="E5185" s="1" t="n">
        <x:v>1.05</x:v>
      </x:c>
      <x:c r="F5185" s="1" t="str">
        <x:v>https://api.octopus.energy/v1/products/AGILE-24-10-01/electricity-tariffs/E-1R-AGILE-24-10-01-G/standard-unit-rates/</x:v>
      </x:c>
    </x:row>
    <x:row r="5186" ht="21" customHeight="1">
      <x:c r="A5186" s="24" t="n">
        <x:v>46256.541666666664</x:v>
      </x:c>
      <x:c r="B5186" s="6" t="n">
        <x:v>0.1605</x:v>
      </x:c>
      <x:c r="C5186" s="6" t="n">
        <x:v>0.09960000000000001</x:v>
      </x:c>
      <x:c r="D5186" s="6" t="n">
        <x:f>B5186</x:f>
        <x:v>0.1605</x:v>
      </x:c>
      <x:c r="E5186" s="1" t="n">
        <x:v>1.05</x:v>
      </x:c>
      <x:c r="F5186" s="1" t="str">
        <x:v>https://api.octopus.energy/v1/products/AGILE-24-10-01/electricity-tariffs/E-1R-AGILE-24-10-01-G/standard-unit-rates/</x:v>
      </x:c>
    </x:row>
    <x:row r="5187" ht="21" customHeight="1">
      <x:c r="A5187" s="24" t="n">
        <x:v>46256.5625</x:v>
      </x:c>
      <x:c r="B5187" s="6" t="n">
        <x:v>0.16</x:v>
      </x:c>
      <x:c r="C5187" s="6" t="n">
        <x:v>0.09939999999999999</x:v>
      </x:c>
      <x:c r="D5187" s="6" t="n">
        <x:f>B5187</x:f>
        <x:v>0.16</x:v>
      </x:c>
      <x:c r="E5187" s="1" t="n">
        <x:v>1.05</x:v>
      </x:c>
      <x:c r="F5187" s="1" t="str">
        <x:v>https://api.octopus.energy/v1/products/AGILE-24-10-01/electricity-tariffs/E-1R-AGILE-24-10-01-G/standard-unit-rates/</x:v>
      </x:c>
    </x:row>
    <x:row r="5188" ht="21" customHeight="1">
      <x:c r="A5188" s="24" t="n">
        <x:v>46256.583333333336</x:v>
      </x:c>
      <x:c r="B5188" s="6" t="n">
        <x:v>0.1474</x:v>
      </x:c>
      <x:c r="C5188" s="6" t="n">
        <x:v>0.09359999999999999</x:v>
      </x:c>
      <x:c r="D5188" s="6" t="n">
        <x:f>B5188</x:f>
        <x:v>0.1474</x:v>
      </x:c>
      <x:c r="E5188" s="1" t="n">
        <x:v>1.05</x:v>
      </x:c>
      <x:c r="F5188" s="1" t="str">
        <x:v>https://api.octopus.energy/v1/products/AGILE-24-10-01/electricity-tariffs/E-1R-AGILE-24-10-01-G/standard-unit-rates/</x:v>
      </x:c>
    </x:row>
    <x:row r="5189" ht="21" customHeight="1">
      <x:c r="A5189" s="24" t="n">
        <x:v>46256.604166666664</x:v>
      </x:c>
      <x:c r="B5189" s="6" t="n">
        <x:v>0.1576</x:v>
      </x:c>
      <x:c r="C5189" s="6" t="n">
        <x:v>0.0983</x:v>
      </x:c>
      <x:c r="D5189" s="6" t="n">
        <x:f>B5189</x:f>
        <x:v>0.1576</x:v>
      </x:c>
      <x:c r="E5189" s="1" t="n">
        <x:v>1.05</x:v>
      </x:c>
      <x:c r="F5189" s="1" t="str">
        <x:v>https://api.octopus.energy/v1/products/AGILE-24-10-01/electricity-tariffs/E-1R-AGILE-24-10-01-G/standard-unit-rates/</x:v>
      </x:c>
    </x:row>
    <x:row r="5190" ht="21" customHeight="1">
      <x:c r="A5190" s="24" t="n">
        <x:v>46256.625</x:v>
      </x:c>
      <x:c r="B5190" s="6" t="n">
        <x:v>0.1588</x:v>
      </x:c>
      <x:c r="C5190" s="6" t="n">
        <x:v>0.0989</x:v>
      </x:c>
      <x:c r="D5190" s="6" t="n">
        <x:f>B5190</x:f>
        <x:v>0.1588</x:v>
      </x:c>
      <x:c r="E5190" s="1" t="n">
        <x:v>1.05</x:v>
      </x:c>
      <x:c r="F5190" s="1" t="str">
        <x:v>https://api.octopus.energy/v1/products/AGILE-24-10-01/electricity-tariffs/E-1R-AGILE-24-10-01-G/standard-unit-rates/</x:v>
      </x:c>
    </x:row>
    <x:row r="5191" ht="21" customHeight="1">
      <x:c r="A5191" s="24" t="n">
        <x:v>46256.645833333336</x:v>
      </x:c>
      <x:c r="B5191" s="6" t="n">
        <x:v>0.161</x:v>
      </x:c>
      <x:c r="C5191" s="6" t="n">
        <x:v>0.0998</x:v>
      </x:c>
      <x:c r="D5191" s="6" t="n">
        <x:f>B5191</x:f>
        <x:v>0.161</x:v>
      </x:c>
      <x:c r="E5191" s="1" t="n">
        <x:v>1.05</x:v>
      </x:c>
      <x:c r="F5191" s="1" t="str">
        <x:v>https://api.octopus.energy/v1/products/AGILE-24-10-01/electricity-tariffs/E-1R-AGILE-24-10-01-G/standard-unit-rates/</x:v>
      </x:c>
    </x:row>
    <x:row r="5192" ht="21" customHeight="1">
      <x:c r="A5192" s="24" t="n">
        <x:v>46256.666666666664</x:v>
      </x:c>
      <x:c r="B5192" s="6" t="n">
        <x:v>0.3131</x:v>
      </x:c>
      <x:c r="C5192" s="6" t="n">
        <x:v>0.17350000000000002</x:v>
      </x:c>
      <x:c r="D5192" s="6" t="n">
        <x:f>B5192</x:f>
        <x:v>0.3131</x:v>
      </x:c>
      <x:c r="E5192" s="1" t="n">
        <x:v>1.05</x:v>
      </x:c>
      <x:c r="F5192" s="1" t="str">
        <x:v>https://api.octopus.energy/v1/products/AGILE-24-10-01/electricity-tariffs/E-1R-AGILE-24-10-01-G/standard-unit-rates/</x:v>
      </x:c>
    </x:row>
    <x:row r="5193" ht="21" customHeight="1">
      <x:c r="A5193" s="24" t="n">
        <x:v>46256.6875</x:v>
      </x:c>
      <x:c r="B5193" s="6" t="n">
        <x:v>0.3176</x:v>
      </x:c>
      <x:c r="C5193" s="6" t="n">
        <x:v>0.17550000000000002</x:v>
      </x:c>
      <x:c r="D5193" s="6" t="n">
        <x:f>B5193</x:f>
        <x:v>0.3176</x:v>
      </x:c>
      <x:c r="E5193" s="1" t="n">
        <x:v>1.05</x:v>
      </x:c>
      <x:c r="F5193" s="1" t="str">
        <x:v>https://api.octopus.energy/v1/products/AGILE-24-10-01/electricity-tariffs/E-1R-AGILE-24-10-01-G/standard-unit-rates/</x:v>
      </x:c>
    </x:row>
    <x:row r="5194" ht="21" customHeight="1">
      <x:c r="A5194" s="24" t="n">
        <x:v>46256.708333333336</x:v>
      </x:c>
      <x:c r="B5194" s="6" t="n">
        <x:v>0.3693</x:v>
      </x:c>
      <x:c r="C5194" s="6" t="n">
        <x:v>0.1991</x:v>
      </x:c>
      <x:c r="D5194" s="6" t="n">
        <x:f>B5194</x:f>
        <x:v>0.3693</x:v>
      </x:c>
      <x:c r="E5194" s="1" t="n">
        <x:v>1.05</x:v>
      </x:c>
      <x:c r="F5194" s="1" t="str">
        <x:v>https://api.octopus.energy/v1/products/AGILE-24-10-01/electricity-tariffs/E-1R-AGILE-24-10-01-G/standard-unit-rates/</x:v>
      </x:c>
    </x:row>
    <x:row r="5195" ht="21" customHeight="1">
      <x:c r="A5195" s="24" t="n">
        <x:v>46256.729166666664</x:v>
      </x:c>
      <x:c r="B5195" s="6" t="n">
        <x:v>0.3953</x:v>
      </x:c>
      <x:c r="C5195" s="6" t="n">
        <x:v>0.21100000000000002</x:v>
      </x:c>
      <x:c r="D5195" s="6" t="n">
        <x:f>B5195</x:f>
        <x:v>0.3953</x:v>
      </x:c>
      <x:c r="E5195" s="1" t="n">
        <x:v>1.05</x:v>
      </x:c>
      <x:c r="F5195" s="1" t="str">
        <x:v>https://api.octopus.energy/v1/products/AGILE-24-10-01/electricity-tariffs/E-1R-AGILE-24-10-01-G/standard-unit-rates/</x:v>
      </x:c>
    </x:row>
    <x:row r="5196" ht="21" customHeight="1">
      <x:c r="A5196" s="24" t="n">
        <x:v>46256.75</x:v>
      </x:c>
      <x:c r="B5196" s="6" t="n">
        <x:v>0.397</x:v>
      </x:c>
      <x:c r="C5196" s="6" t="n">
        <x:v>0.2118</x:v>
      </x:c>
      <x:c r="D5196" s="6" t="n">
        <x:f>B5196</x:f>
        <x:v>0.397</x:v>
      </x:c>
      <x:c r="E5196" s="1" t="n">
        <x:v>1.05</x:v>
      </x:c>
      <x:c r="F5196" s="1" t="str">
        <x:v>https://api.octopus.energy/v1/products/AGILE-24-10-01/electricity-tariffs/E-1R-AGILE-24-10-01-G/standard-unit-rates/</x:v>
      </x:c>
    </x:row>
    <x:row r="5197" ht="21" customHeight="1">
      <x:c r="A5197" s="24" t="n">
        <x:v>46256.770833333336</x:v>
      </x:c>
      <x:c r="B5197" s="6" t="n">
        <x:v>0.4056</x:v>
      </x:c>
      <x:c r="C5197" s="6" t="n">
        <x:v>0.2157</x:v>
      </x:c>
      <x:c r="D5197" s="6" t="n">
        <x:f>B5197</x:f>
        <x:v>0.4056</x:v>
      </x:c>
      <x:c r="E5197" s="1" t="n">
        <x:v>1.05</x:v>
      </x:c>
      <x:c r="F5197" s="1" t="str">
        <x:v>https://api.octopus.energy/v1/products/AGILE-24-10-01/electricity-tariffs/E-1R-AGILE-24-10-01-G/standard-unit-rates/</x:v>
      </x:c>
    </x:row>
    <x:row r="5198" ht="21" customHeight="1">
      <x:c r="A5198" s="24" t="n">
        <x:v>46256.791666666664</x:v>
      </x:c>
      <x:c r="B5198" s="6" t="n">
        <x:v>0.29</x:v>
      </x:c>
      <x:c r="C5198" s="6" t="n">
        <x:v>0.1588</x:v>
      </x:c>
      <x:c r="D5198" s="6" t="n">
        <x:f>B5198</x:f>
        <x:v>0.29</x:v>
      </x:c>
      <x:c r="E5198" s="1" t="n">
        <x:v>1.05</x:v>
      </x:c>
      <x:c r="F5198" s="1" t="str">
        <x:v>https://api.octopus.energy/v1/products/AGILE-24-10-01/electricity-tariffs/E-1R-AGILE-24-10-01-G/standard-unit-rates/</x:v>
      </x:c>
    </x:row>
    <x:row r="5199" ht="21" customHeight="1">
      <x:c r="A5199" s="24" t="n">
        <x:v>46256.8125</x:v>
      </x:c>
      <x:c r="B5199" s="6" t="n">
        <x:v>0.3016</x:v>
      </x:c>
      <x:c r="C5199" s="6" t="n">
        <x:v>0.1641</x:v>
      </x:c>
      <x:c r="D5199" s="6" t="n">
        <x:f>B5199</x:f>
        <x:v>0.3016</x:v>
      </x:c>
      <x:c r="E5199" s="1" t="n">
        <x:v>1.05</x:v>
      </x:c>
      <x:c r="F5199" s="1" t="str">
        <x:v>https://api.octopus.energy/v1/products/AGILE-24-10-01/electricity-tariffs/E-1R-AGILE-24-10-01-G/standard-unit-rates/</x:v>
      </x:c>
    </x:row>
    <x:row r="5200" ht="21" customHeight="1">
      <x:c r="A5200" s="24" t="n">
        <x:v>46256.833333333336</x:v>
      </x:c>
      <x:c r="B5200" s="6" t="n">
        <x:v>0.30670000000000003</x:v>
      </x:c>
      <x:c r="C5200" s="6" t="n">
        <x:v>0.16649999999999998</x:v>
      </x:c>
      <x:c r="D5200" s="6" t="n">
        <x:f>B5200</x:f>
        <x:v>0.30670000000000003</x:v>
      </x:c>
      <x:c r="E5200" s="1" t="n">
        <x:v>1.05</x:v>
      </x:c>
      <x:c r="F5200" s="1" t="str">
        <x:v>https://api.octopus.energy/v1/products/AGILE-24-10-01/electricity-tariffs/E-1R-AGILE-24-10-01-G/standard-unit-rates/</x:v>
      </x:c>
    </x:row>
    <x:row r="5201" ht="21" customHeight="1">
      <x:c r="A5201" s="24" t="n">
        <x:v>46256.854166666664</x:v>
      </x:c>
      <x:c r="B5201" s="6" t="n">
        <x:v>0.3118</x:v>
      </x:c>
      <x:c r="C5201" s="6" t="n">
        <x:v>0.16879999999999998</x:v>
      </x:c>
      <x:c r="D5201" s="6" t="n">
        <x:f>B5201</x:f>
        <x:v>0.3118</x:v>
      </x:c>
      <x:c r="E5201" s="1" t="n">
        <x:v>1.05</x:v>
      </x:c>
      <x:c r="F5201" s="1" t="str">
        <x:v>https://api.octopus.energy/v1/products/AGILE-24-10-01/electricity-tariffs/E-1R-AGILE-24-10-01-G/standard-unit-rates/</x:v>
      </x:c>
    </x:row>
    <x:row r="5202" ht="21" customHeight="1">
      <x:c r="A5202" s="24" t="n">
        <x:v>46256.875</x:v>
      </x:c>
      <x:c r="B5202" s="6" t="n">
        <x:v>0.3131</x:v>
      </x:c>
      <x:c r="C5202" s="6" t="n">
        <x:v>0.16940000000000002</x:v>
      </x:c>
      <x:c r="D5202" s="6" t="n">
        <x:f>B5202</x:f>
        <x:v>0.3131</x:v>
      </x:c>
      <x:c r="E5202" s="1" t="n">
        <x:v>1.05</x:v>
      </x:c>
      <x:c r="F5202" s="1" t="str">
        <x:v>https://api.octopus.energy/v1/products/AGILE-24-10-01/electricity-tariffs/E-1R-AGILE-24-10-01-G/standard-unit-rates/</x:v>
      </x:c>
    </x:row>
    <x:row r="5203" ht="21" customHeight="1">
      <x:c r="A5203" s="24" t="n">
        <x:v>46256.895833333336</x:v>
      </x:c>
      <x:c r="B5203" s="6" t="n">
        <x:v>0.2989</x:v>
      </x:c>
      <x:c r="C5203" s="6" t="n">
        <x:v>0.1629</x:v>
      </x:c>
      <x:c r="D5203" s="6" t="n">
        <x:f>B5203</x:f>
        <x:v>0.2989</x:v>
      </x:c>
      <x:c r="E5203" s="1" t="n">
        <x:v>1.05</x:v>
      </x:c>
      <x:c r="F5203" s="1" t="str">
        <x:v>https://api.octopus.energy/v1/products/AGILE-24-10-01/electricity-tariffs/E-1R-AGILE-24-10-01-G/standard-unit-rates/</x:v>
      </x:c>
    </x:row>
    <x:row r="5204" ht="21" customHeight="1">
      <x:c r="A5204" s="24" t="n">
        <x:v>46256.916666666664</x:v>
      </x:c>
      <x:c r="B5204" s="6" t="n">
        <x:v>0.3135</x:v>
      </x:c>
      <x:c r="C5204" s="6" t="n">
        <x:v>0.1696</x:v>
      </x:c>
      <x:c r="D5204" s="6" t="n">
        <x:f>B5204</x:f>
        <x:v>0.3135</x:v>
      </x:c>
      <x:c r="E5204" s="1" t="n">
        <x:v>1.05</x:v>
      </x:c>
      <x:c r="F5204" s="1" t="str">
        <x:v>https://api.octopus.energy/v1/products/AGILE-24-10-01/electricity-tariffs/E-1R-AGILE-24-10-01-G/standard-unit-rates/</x:v>
      </x:c>
    </x:row>
    <x:row r="5205" ht="21" customHeight="1">
      <x:c r="A5205" s="24" t="n">
        <x:v>46256.9375</x:v>
      </x:c>
      <x:c r="B5205" s="6" t="n">
        <x:v>0.2854</x:v>
      </x:c>
      <x:c r="C5205" s="6" t="n">
        <x:v>0.1568</x:v>
      </x:c>
      <x:c r="D5205" s="6" t="n">
        <x:f>B5205</x:f>
        <x:v>0.2854</x:v>
      </x:c>
      <x:c r="E5205" s="1" t="n">
        <x:v>1.05</x:v>
      </x:c>
      <x:c r="F5205" s="1" t="str">
        <x:v>https://api.octopus.energy/v1/products/AGILE-24-10-01/electricity-tariffs/E-1R-AGILE-24-10-01-G/standard-unit-rates/</x:v>
      </x:c>
    </x:row>
    <x:row r="5206" ht="21" customHeight="1">
      <x:c r="A5206" s="24" t="n">
        <x:v>46257</x:v>
      </x:c>
      <x:c r="B5206" s="6" t="n">
        <x:v>0.2659</x:v>
      </x:c>
      <x:c r="C5206" s="6" t="n">
        <x:v>0.1478</x:v>
      </x:c>
      <x:c r="D5206" s="6" t="n">
        <x:f>B5206</x:f>
        <x:v>0.2659</x:v>
      </x:c>
      <x:c r="E5206" s="1" t="n">
        <x:v>1.05</x:v>
      </x:c>
      <x:c r="F5206" s="1" t="str">
        <x:v>https://api.octopus.energy/v1/products/AGILE-24-10-01/electricity-tariffs/E-1R-AGILE-24-10-01-G/standard-unit-rates/</x:v>
      </x:c>
    </x:row>
    <x:row r="5207" ht="21" customHeight="1">
      <x:c r="A5207" s="24" t="n">
        <x:v>46256.979166666664</x:v>
      </x:c>
      <x:c r="B5207" s="6" t="n">
        <x:v>0.2634</x:v>
      </x:c>
      <x:c r="C5207" s="6" t="n">
        <x:v>0.1467</x:v>
      </x:c>
      <x:c r="D5207" s="6" t="n">
        <x:f>B5207</x:f>
        <x:v>0.2634</x:v>
      </x:c>
      <x:c r="E5207" s="1" t="n">
        <x:v>1.05</x:v>
      </x:c>
      <x:c r="F5207" s="1" t="str">
        <x:v>https://api.octopus.energy/v1/products/AGILE-24-10-01/electricity-tariffs/E-1R-AGILE-24-10-01-G/standard-unit-rates/</x:v>
      </x:c>
    </x:row>
    <x:row r="5208" ht="21" customHeight="1">
      <x:c r="A5208" s="24" t="n">
        <x:v>46257</x:v>
      </x:c>
      <x:c r="B5208" s="6" t="n">
        <x:v>0.262</x:v>
      </x:c>
      <x:c r="C5208" s="6" t="n">
        <x:v>0.146</x:v>
      </x:c>
      <x:c r="D5208" s="6" t="n">
        <x:f>B5208</x:f>
        <x:v>0.262</x:v>
      </x:c>
      <x:c r="E5208" s="1" t="n">
        <x:v>1.05</x:v>
      </x:c>
      <x:c r="F5208" s="1" t="str">
        <x:v>https://api.octopus.energy/v1/products/AGILE-24-10-01/electricity-tariffs/E-1R-AGILE-24-10-01-G/standard-unit-rates/</x:v>
      </x:c>
    </x:row>
    <x:row r="5209" ht="21" customHeight="1">
      <x:c r="A5209" s="24" t="n">
        <x:v>46257.020833333336</x:v>
      </x:c>
      <x:c r="B5209" s="6" t="n">
        <x:v>0.2596</x:v>
      </x:c>
      <x:c r="C5209" s="6" t="n">
        <x:v>0.1449</x:v>
      </x:c>
      <x:c r="D5209" s="6" t="n">
        <x:f>B5209</x:f>
        <x:v>0.2596</x:v>
      </x:c>
      <x:c r="E5209" s="1" t="n">
        <x:v>1.05</x:v>
      </x:c>
      <x:c r="F5209" s="1" t="str">
        <x:v>https://api.octopus.energy/v1/products/AGILE-24-10-01/electricity-tariffs/E-1R-AGILE-24-10-01-G/standard-unit-rates/</x:v>
      </x:c>
    </x:row>
    <x:row r="5210" ht="21" customHeight="1">
      <x:c r="A5210" s="24" t="n">
        <x:v>46257.041666666664</x:v>
      </x:c>
      <x:c r="B5210" s="6" t="n">
        <x:v>0.26649999999999996</x:v>
      </x:c>
      <x:c r="C5210" s="6" t="n">
        <x:v>0.1481</x:v>
      </x:c>
      <x:c r="D5210" s="6" t="n">
        <x:f>B5210</x:f>
        <x:v>0.26649999999999996</x:v>
      </x:c>
      <x:c r="E5210" s="1" t="n">
        <x:v>1.05</x:v>
      </x:c>
      <x:c r="F5210" s="1" t="str">
        <x:v>https://api.octopus.energy/v1/products/AGILE-24-10-01/electricity-tariffs/E-1R-AGILE-24-10-01-G/standard-unit-rates/</x:v>
      </x:c>
    </x:row>
    <x:row r="5211" ht="21" customHeight="1">
      <x:c r="A5211" s="24" t="n">
        <x:v>46257.0625</x:v>
      </x:c>
      <x:c r="B5211" s="6" t="n">
        <x:v>0.26280000000000003</x:v>
      </x:c>
      <x:c r="C5211" s="6" t="n">
        <x:v>0.1464</x:v>
      </x:c>
      <x:c r="D5211" s="6" t="n">
        <x:f>B5211</x:f>
        <x:v>0.26280000000000003</x:v>
      </x:c>
      <x:c r="E5211" s="1" t="n">
        <x:v>1.05</x:v>
      </x:c>
      <x:c r="F5211" s="1" t="str">
        <x:v>https://api.octopus.energy/v1/products/AGILE-24-10-01/electricity-tariffs/E-1R-AGILE-24-10-01-G/standard-unit-rates/</x:v>
      </x:c>
    </x:row>
    <x:row r="5212" ht="21" customHeight="1">
      <x:c r="A5212" s="24" t="n">
        <x:v>46257.083333333336</x:v>
      </x:c>
      <x:c r="B5212" s="6" t="n">
        <x:v>0.2627</x:v>
      </x:c>
      <x:c r="C5212" s="6" t="n">
        <x:v>0.1464</x:v>
      </x:c>
      <x:c r="D5212" s="6" t="n">
        <x:f>B5212</x:f>
        <x:v>0.2627</x:v>
      </x:c>
      <x:c r="E5212" s="1" t="n">
        <x:v>1.05</x:v>
      </x:c>
      <x:c r="F5212" s="1" t="str">
        <x:v>https://api.octopus.energy/v1/products/AGILE-24-10-01/electricity-tariffs/E-1R-AGILE-24-10-01-G/standard-unit-rates/</x:v>
      </x:c>
    </x:row>
    <x:row r="5213" ht="21" customHeight="1">
      <x:c r="A5213" s="24" t="n">
        <x:v>46257.104166666664</x:v>
      </x:c>
      <x:c r="B5213" s="6" t="n">
        <x:v>0.2503</x:v>
      </x:c>
      <x:c r="C5213" s="6" t="n">
        <x:v>0.1407</x:v>
      </x:c>
      <x:c r="D5213" s="6" t="n">
        <x:f>B5213</x:f>
        <x:v>0.2503</x:v>
      </x:c>
      <x:c r="E5213" s="1" t="n">
        <x:v>1.05</x:v>
      </x:c>
      <x:c r="F5213" s="1" t="str">
        <x:v>https://api.octopus.energy/v1/products/AGILE-24-10-01/electricity-tariffs/E-1R-AGILE-24-10-01-G/standard-unit-rates/</x:v>
      </x:c>
    </x:row>
    <x:row r="5214" ht="21" customHeight="1">
      <x:c r="A5214" s="24" t="n">
        <x:v>46257.125</x:v>
      </x:c>
      <x:c r="B5214" s="6" t="n">
        <x:v>0.2528</x:v>
      </x:c>
      <x:c r="C5214" s="6" t="n">
        <x:v>0.1418</x:v>
      </x:c>
      <x:c r="D5214" s="6" t="n">
        <x:f>B5214</x:f>
        <x:v>0.2528</x:v>
      </x:c>
      <x:c r="E5214" s="1" t="n">
        <x:v>1.05</x:v>
      </x:c>
      <x:c r="F5214" s="1" t="str">
        <x:v>https://api.octopus.energy/v1/products/AGILE-24-10-01/electricity-tariffs/E-1R-AGILE-24-10-01-G/standard-unit-rates/</x:v>
      </x:c>
    </x:row>
    <x:row r="5215" ht="21" customHeight="1">
      <x:c r="A5215" s="24" t="n">
        <x:v>46257.145833333336</x:v>
      </x:c>
      <x:c r="B5215" s="6" t="n">
        <x:v>0.2401</x:v>
      </x:c>
      <x:c r="C5215" s="6" t="n">
        <x:v>0.136</x:v>
      </x:c>
      <x:c r="D5215" s="6" t="n">
        <x:f>B5215</x:f>
        <x:v>0.2401</x:v>
      </x:c>
      <x:c r="E5215" s="1" t="n">
        <x:v>1.05</x:v>
      </x:c>
      <x:c r="F5215" s="1" t="str">
        <x:v>https://api.octopus.energy/v1/products/AGILE-24-10-01/electricity-tariffs/E-1R-AGILE-24-10-01-G/standard-unit-rates/</x:v>
      </x:c>
    </x:row>
    <x:row r="5216" ht="21" customHeight="1">
      <x:c r="A5216" s="24" t="n">
        <x:v>46257.166666666664</x:v>
      </x:c>
      <x:c r="B5216" s="6" t="n">
        <x:v>0.2446</x:v>
      </x:c>
      <x:c r="C5216" s="6" t="n">
        <x:v>0.1381</x:v>
      </x:c>
      <x:c r="D5216" s="6" t="n">
        <x:f>B5216</x:f>
        <x:v>0.2446</x:v>
      </x:c>
      <x:c r="E5216" s="1" t="n">
        <x:v>1.05</x:v>
      </x:c>
      <x:c r="F5216" s="1" t="str">
        <x:v>https://api.octopus.energy/v1/products/AGILE-24-10-01/electricity-tariffs/E-1R-AGILE-24-10-01-G/standard-unit-rates/</x:v>
      </x:c>
    </x:row>
    <x:row r="5217" ht="21" customHeight="1">
      <x:c r="A5217" s="24" t="n">
        <x:v>46257.1875</x:v>
      </x:c>
      <x:c r="B5217" s="6" t="n">
        <x:v>0.2378</x:v>
      </x:c>
      <x:c r="C5217" s="6" t="n">
        <x:v>0.135</x:v>
      </x:c>
      <x:c r="D5217" s="6" t="n">
        <x:f>B5217</x:f>
        <x:v>0.2378</x:v>
      </x:c>
      <x:c r="E5217" s="1" t="n">
        <x:v>1.05</x:v>
      </x:c>
      <x:c r="F5217" s="1" t="str">
        <x:v>https://api.octopus.energy/v1/products/AGILE-24-10-01/electricity-tariffs/E-1R-AGILE-24-10-01-G/standard-unit-rates/</x:v>
      </x:c>
    </x:row>
    <x:row r="5218" ht="21" customHeight="1">
      <x:c r="A5218" s="24" t="n">
        <x:v>46257.208333333336</x:v>
      </x:c>
      <x:c r="B5218" s="6" t="n">
        <x:v>0.2468</x:v>
      </x:c>
      <x:c r="C5218" s="6" t="n">
        <x:v>0.1391</x:v>
      </x:c>
      <x:c r="D5218" s="6" t="n">
        <x:f>B5218</x:f>
        <x:v>0.2468</x:v>
      </x:c>
      <x:c r="E5218" s="1" t="n">
        <x:v>1.05</x:v>
      </x:c>
      <x:c r="F5218" s="1" t="str">
        <x:v>https://api.octopus.energy/v1/products/AGILE-24-10-01/electricity-tariffs/E-1R-AGILE-24-10-01-G/standard-unit-rates/</x:v>
      </x:c>
    </x:row>
    <x:row r="5219" ht="21" customHeight="1">
      <x:c r="A5219" s="24" t="n">
        <x:v>46257.229166666664</x:v>
      </x:c>
      <x:c r="B5219" s="6" t="n">
        <x:v>0.2382</x:v>
      </x:c>
      <x:c r="C5219" s="6" t="n">
        <x:v>0.1352</x:v>
      </x:c>
      <x:c r="D5219" s="6" t="n">
        <x:f>B5219</x:f>
        <x:v>0.2382</x:v>
      </x:c>
      <x:c r="E5219" s="1" t="n">
        <x:v>1.05</x:v>
      </x:c>
      <x:c r="F5219" s="1" t="str">
        <x:v>https://api.octopus.energy/v1/products/AGILE-24-10-01/electricity-tariffs/E-1R-AGILE-24-10-01-G/standard-unit-rates/</x:v>
      </x:c>
    </x:row>
    <x:row r="5220" ht="21" customHeight="1">
      <x:c r="A5220" s="24" t="n">
        <x:v>46257.25</x:v>
      </x:c>
      <x:c r="B5220" s="6" t="n">
        <x:v>0.2484</x:v>
      </x:c>
      <x:c r="C5220" s="6" t="n">
        <x:v>0.1398</x:v>
      </x:c>
      <x:c r="D5220" s="6" t="n">
        <x:f>B5220</x:f>
        <x:v>0.2484</x:v>
      </x:c>
      <x:c r="E5220" s="1" t="n">
        <x:v>1.05</x:v>
      </x:c>
      <x:c r="F5220" s="1" t="str">
        <x:v>https://api.octopus.energy/v1/products/AGILE-24-10-01/electricity-tariffs/E-1R-AGILE-24-10-01-G/standard-unit-rates/</x:v>
      </x:c>
    </x:row>
    <x:row r="5221" ht="21" customHeight="1">
      <x:c r="A5221" s="24" t="n">
        <x:v>46257.270833333336</x:v>
      </x:c>
      <x:c r="B5221" s="6" t="n">
        <x:v>0.2502</x:v>
      </x:c>
      <x:c r="C5221" s="6" t="n">
        <x:v>0.1406</x:v>
      </x:c>
      <x:c r="D5221" s="6" t="n">
        <x:f>B5221</x:f>
        <x:v>0.2502</x:v>
      </x:c>
      <x:c r="E5221" s="1" t="n">
        <x:v>1.05</x:v>
      </x:c>
      <x:c r="F5221" s="1" t="str">
        <x:v>https://api.octopus.energy/v1/products/AGILE-24-10-01/electricity-tariffs/E-1R-AGILE-24-10-01-G/standard-unit-rates/</x:v>
      </x:c>
    </x:row>
    <x:row r="5222" ht="21" customHeight="1">
      <x:c r="A5222" s="24" t="n">
        <x:v>46257.291666666664</x:v>
      </x:c>
      <x:c r="B5222" s="6" t="n">
        <x:v>0.25170000000000003</x:v>
      </x:c>
      <x:c r="C5222" s="6" t="n">
        <x:v>0.1413</x:v>
      </x:c>
      <x:c r="D5222" s="6" t="n">
        <x:f>B5222</x:f>
        <x:v>0.25170000000000003</x:v>
      </x:c>
      <x:c r="E5222" s="1" t="n">
        <x:v>1.05</x:v>
      </x:c>
      <x:c r="F5222" s="1" t="str">
        <x:v>https://api.octopus.energy/v1/products/AGILE-24-10-01/electricity-tariffs/E-1R-AGILE-24-10-01-G/standard-unit-rates/</x:v>
      </x:c>
    </x:row>
    <x:row r="5223" ht="21" customHeight="1">
      <x:c r="A5223" s="24" t="n">
        <x:v>46257.3125</x:v>
      </x:c>
      <x:c r="B5223" s="6" t="n">
        <x:v>0.2484</x:v>
      </x:c>
      <x:c r="C5223" s="6" t="n">
        <x:v>0.1398</x:v>
      </x:c>
      <x:c r="D5223" s="6" t="n">
        <x:f>B5223</x:f>
        <x:v>0.2484</x:v>
      </x:c>
      <x:c r="E5223" s="1" t="n">
        <x:v>1.05</x:v>
      </x:c>
      <x:c r="F5223" s="1" t="str">
        <x:v>https://api.octopus.energy/v1/products/AGILE-24-10-01/electricity-tariffs/E-1R-AGILE-24-10-01-G/standard-unit-rates/</x:v>
      </x:c>
    </x:row>
    <x:row r="5224" ht="21" customHeight="1">
      <x:c r="A5224" s="24" t="n">
        <x:v>46257.333333333336</x:v>
      </x:c>
      <x:c r="B5224" s="6" t="n">
        <x:v>0.2439</x:v>
      </x:c>
      <x:c r="C5224" s="6" t="n">
        <x:v>0.1377</x:v>
      </x:c>
      <x:c r="D5224" s="6" t="n">
        <x:f>B5224</x:f>
        <x:v>0.2439</x:v>
      </x:c>
      <x:c r="E5224" s="1" t="n">
        <x:v>1.05</x:v>
      </x:c>
      <x:c r="F5224" s="1" t="str">
        <x:v>https://api.octopus.energy/v1/products/AGILE-24-10-01/electricity-tariffs/E-1R-AGILE-24-10-01-G/standard-unit-rates/</x:v>
      </x:c>
    </x:row>
    <x:row r="5225" ht="21" customHeight="1">
      <x:c r="A5225" s="24" t="n">
        <x:v>46257.354166666664</x:v>
      </x:c>
      <x:c r="B5225" s="6" t="n">
        <x:v>0.23829999999999998</x:v>
      </x:c>
      <x:c r="C5225" s="6" t="n">
        <x:v>0.1352</x:v>
      </x:c>
      <x:c r="D5225" s="6" t="n">
        <x:f>B5225</x:f>
        <x:v>0.23829999999999998</x:v>
      </x:c>
      <x:c r="E5225" s="1" t="n">
        <x:v>1.05</x:v>
      </x:c>
      <x:c r="F5225" s="1" t="str">
        <x:v>https://api.octopus.energy/v1/products/AGILE-24-10-01/electricity-tariffs/E-1R-AGILE-24-10-01-G/standard-unit-rates/</x:v>
      </x:c>
    </x:row>
    <x:row r="5226" ht="21" customHeight="1">
      <x:c r="A5226" s="24" t="n">
        <x:v>46257.375</x:v>
      </x:c>
      <x:c r="B5226" s="6" t="n">
        <x:v>0.2115</x:v>
      </x:c>
      <x:c r="C5226" s="6" t="n">
        <x:v>0.1229</x:v>
      </x:c>
      <x:c r="D5226" s="6" t="n">
        <x:f>B5226</x:f>
        <x:v>0.2115</x:v>
      </x:c>
      <x:c r="E5226" s="1" t="n">
        <x:v>1.05</x:v>
      </x:c>
      <x:c r="F5226" s="1" t="str">
        <x:v>https://api.octopus.energy/v1/products/AGILE-24-10-01/electricity-tariffs/E-1R-AGILE-24-10-01-G/standard-unit-rates/</x:v>
      </x:c>
    </x:row>
    <x:row r="5227" ht="21" customHeight="1">
      <x:c r="A5227" s="24" t="n">
        <x:v>46257.395833333336</x:v>
      </x:c>
      <x:c r="B5227" s="6" t="n">
        <x:v>0.2034</x:v>
      </x:c>
      <x:c r="C5227" s="6" t="n">
        <x:v>0.1192</x:v>
      </x:c>
      <x:c r="D5227" s="6" t="n">
        <x:f>B5227</x:f>
        <x:v>0.2034</x:v>
      </x:c>
      <x:c r="E5227" s="1" t="n">
        <x:v>1.05</x:v>
      </x:c>
      <x:c r="F5227" s="1" t="str">
        <x:v>https://api.octopus.energy/v1/products/AGILE-24-10-01/electricity-tariffs/E-1R-AGILE-24-10-01-G/standard-unit-rates/</x:v>
      </x:c>
    </x:row>
    <x:row r="5228" ht="21" customHeight="1">
      <x:c r="A5228" s="24" t="n">
        <x:v>46257.416666666664</x:v>
      </x:c>
      <x:c r="B5228" s="6" t="n">
        <x:v>0.20370000000000002</x:v>
      </x:c>
      <x:c r="C5228" s="6" t="n">
        <x:v>0.11939999999999999</x:v>
      </x:c>
      <x:c r="D5228" s="6" t="n">
        <x:f>B5228</x:f>
        <x:v>0.20370000000000002</x:v>
      </x:c>
      <x:c r="E5228" s="1" t="n">
        <x:v>1.05</x:v>
      </x:c>
      <x:c r="F5228" s="1" t="str">
        <x:v>https://api.octopus.energy/v1/products/AGILE-24-10-01/electricity-tariffs/E-1R-AGILE-24-10-01-G/standard-unit-rates/</x:v>
      </x:c>
    </x:row>
    <x:row r="5229" ht="21" customHeight="1">
      <x:c r="A5229" s="24" t="n">
        <x:v>46257.4375</x:v>
      </x:c>
      <x:c r="B5229" s="6" t="n">
        <x:v>0.2039</x:v>
      </x:c>
      <x:c r="C5229" s="6" t="n">
        <x:v>0.1195</x:v>
      </x:c>
      <x:c r="D5229" s="6" t="n">
        <x:f>B5229</x:f>
        <x:v>0.2039</x:v>
      </x:c>
      <x:c r="E5229" s="1" t="n">
        <x:v>1.05</x:v>
      </x:c>
      <x:c r="F5229" s="1" t="str">
        <x:v>https://api.octopus.energy/v1/products/AGILE-24-10-01/electricity-tariffs/E-1R-AGILE-24-10-01-G/standard-unit-rates/</x:v>
      </x:c>
    </x:row>
    <x:row r="5230" ht="21" customHeight="1">
      <x:c r="A5230" s="24" t="n">
        <x:v>46257.458333333336</x:v>
      </x:c>
      <x:c r="B5230" s="6" t="n">
        <x:v>0.201</x:v>
      </x:c>
      <x:c r="C5230" s="6" t="n">
        <x:v>0.11810000000000001</x:v>
      </x:c>
      <x:c r="D5230" s="6" t="n">
        <x:f>B5230</x:f>
        <x:v>0.201</x:v>
      </x:c>
      <x:c r="E5230" s="1" t="n">
        <x:v>1.05</x:v>
      </x:c>
      <x:c r="F5230" s="1" t="str">
        <x:v>https://api.octopus.energy/v1/products/AGILE-24-10-01/electricity-tariffs/E-1R-AGILE-24-10-01-G/standard-unit-rates/</x:v>
      </x:c>
    </x:row>
    <x:row r="5231" ht="21" customHeight="1">
      <x:c r="A5231" s="24" t="n">
        <x:v>46257.479166666664</x:v>
      </x:c>
      <x:c r="B5231" s="6" t="n">
        <x:v>0.1997</x:v>
      </x:c>
      <x:c r="C5231" s="6" t="n">
        <x:v>0.1176</x:v>
      </x:c>
      <x:c r="D5231" s="6" t="n">
        <x:f>B5231</x:f>
        <x:v>0.1997</x:v>
      </x:c>
      <x:c r="E5231" s="1" t="n">
        <x:v>1.05</x:v>
      </x:c>
      <x:c r="F5231" s="1" t="str">
        <x:v>https://api.octopus.energy/v1/products/AGILE-24-10-01/electricity-tariffs/E-1R-AGILE-24-10-01-G/standard-unit-rates/</x:v>
      </x:c>
    </x:row>
    <x:row r="5232" ht="21" customHeight="1">
      <x:c r="A5232" s="24" t="n">
        <x:v>46257.5</x:v>
      </x:c>
      <x:c r="B5232" s="6" t="n">
        <x:v>0.1942</x:v>
      </x:c>
      <x:c r="C5232" s="6" t="n">
        <x:v>0.1151</x:v>
      </x:c>
      <x:c r="D5232" s="6" t="n">
        <x:f>B5232</x:f>
        <x:v>0.1942</x:v>
      </x:c>
      <x:c r="E5232" s="1" t="n">
        <x:v>1.05</x:v>
      </x:c>
      <x:c r="F5232" s="1" t="str">
        <x:v>https://api.octopus.energy/v1/products/AGILE-24-10-01/electricity-tariffs/E-1R-AGILE-24-10-01-G/standard-unit-rates/</x:v>
      </x:c>
    </x:row>
    <x:row r="5233" ht="21" customHeight="1">
      <x:c r="A5233" s="24" t="n">
        <x:v>46257.520833333336</x:v>
      </x:c>
      <x:c r="B5233" s="6" t="n">
        <x:v>0.1966</x:v>
      </x:c>
      <x:c r="C5233" s="6" t="n">
        <x:v>0.1161</x:v>
      </x:c>
      <x:c r="D5233" s="6" t="n">
        <x:f>B5233</x:f>
        <x:v>0.1966</x:v>
      </x:c>
      <x:c r="E5233" s="1" t="n">
        <x:v>1.05</x:v>
      </x:c>
      <x:c r="F5233" s="1" t="str">
        <x:v>https://api.octopus.energy/v1/products/AGILE-24-10-01/electricity-tariffs/E-1R-AGILE-24-10-01-G/standard-unit-rates/</x:v>
      </x:c>
    </x:row>
    <x:row r="5234" ht="21" customHeight="1">
      <x:c r="A5234" s="24" t="n">
        <x:v>46257.541666666664</x:v>
      </x:c>
      <x:c r="B5234" s="6" t="n">
        <x:v>0.2112</x:v>
      </x:c>
      <x:c r="C5234" s="6" t="n">
        <x:v>0.12279999999999999</x:v>
      </x:c>
      <x:c r="D5234" s="6" t="n">
        <x:f>B5234</x:f>
        <x:v>0.2112</x:v>
      </x:c>
      <x:c r="E5234" s="1" t="n">
        <x:v>1.05</x:v>
      </x:c>
      <x:c r="F5234" s="1" t="str">
        <x:v>https://api.octopus.energy/v1/products/AGILE-24-10-01/electricity-tariffs/E-1R-AGILE-24-10-01-G/standard-unit-rates/</x:v>
      </x:c>
    </x:row>
    <x:row r="5235" ht="21" customHeight="1">
      <x:c r="A5235" s="24" t="n">
        <x:v>46257.5625</x:v>
      </x:c>
      <x:c r="B5235" s="6" t="n">
        <x:v>0.21230000000000002</x:v>
      </x:c>
      <x:c r="C5235" s="6" t="n">
        <x:v>0.1233</x:v>
      </x:c>
      <x:c r="D5235" s="6" t="n">
        <x:f>B5235</x:f>
        <x:v>0.21230000000000002</x:v>
      </x:c>
      <x:c r="E5235" s="1" t="n">
        <x:v>1.05</x:v>
      </x:c>
      <x:c r="F5235" s="1" t="str">
        <x:v>https://api.octopus.energy/v1/products/AGILE-24-10-01/electricity-tariffs/E-1R-AGILE-24-10-01-G/standard-unit-rates/</x:v>
      </x:c>
    </x:row>
    <x:row r="5236" ht="21" customHeight="1">
      <x:c r="A5236" s="24" t="n">
        <x:v>46257.583333333336</x:v>
      </x:c>
      <x:c r="B5236" s="6" t="n">
        <x:v>0.21230000000000002</x:v>
      </x:c>
      <x:c r="C5236" s="6" t="n">
        <x:v>0.1233</x:v>
      </x:c>
      <x:c r="D5236" s="6" t="n">
        <x:f>B5236</x:f>
        <x:v>0.21230000000000002</x:v>
      </x:c>
      <x:c r="E5236" s="1" t="n">
        <x:v>1.05</x:v>
      </x:c>
      <x:c r="F5236" s="1" t="str">
        <x:v>https://api.octopus.energy/v1/products/AGILE-24-10-01/electricity-tariffs/E-1R-AGILE-24-10-01-G/standard-unit-rates/</x:v>
      </x:c>
    </x:row>
    <x:row r="5237" ht="21" customHeight="1">
      <x:c r="A5237" s="24" t="n">
        <x:v>46257.604166666664</x:v>
      </x:c>
      <x:c r="B5237" s="6" t="n">
        <x:v>0.21530000000000002</x:v>
      </x:c>
      <x:c r="C5237" s="6" t="n">
        <x:v>0.1247</x:v>
      </x:c>
      <x:c r="D5237" s="6" t="n">
        <x:f>B5237</x:f>
        <x:v>0.21530000000000002</x:v>
      </x:c>
      <x:c r="E5237" s="1" t="n">
        <x:v>1.05</x:v>
      </x:c>
      <x:c r="F5237" s="1" t="str">
        <x:v>https://api.octopus.energy/v1/products/AGILE-24-10-01/electricity-tariffs/E-1R-AGILE-24-10-01-G/standard-unit-rates/</x:v>
      </x:c>
    </x:row>
    <x:row r="5238" ht="21" customHeight="1">
      <x:c r="A5238" s="24" t="n">
        <x:v>46257.625</x:v>
      </x:c>
      <x:c r="B5238" s="6" t="n">
        <x:v>0.23120000000000002</x:v>
      </x:c>
      <x:c r="C5238" s="6" t="n">
        <x:v>0.132</x:v>
      </x:c>
      <x:c r="D5238" s="6" t="n">
        <x:f>B5238</x:f>
        <x:v>0.23120000000000002</x:v>
      </x:c>
      <x:c r="E5238" s="1" t="n">
        <x:v>1.05</x:v>
      </x:c>
      <x:c r="F5238" s="1" t="str">
        <x:v>https://api.octopus.energy/v1/products/AGILE-24-10-01/electricity-tariffs/E-1R-AGILE-24-10-01-G/standard-unit-rates/</x:v>
      </x:c>
    </x:row>
    <x:row r="5239" ht="21" customHeight="1">
      <x:c r="A5239" s="24" t="n">
        <x:v>46257.645833333336</x:v>
      </x:c>
      <x:c r="B5239" s="6" t="n">
        <x:v>0.2368</x:v>
      </x:c>
      <x:c r="C5239" s="6" t="n">
        <x:v>0.13449999999999998</x:v>
      </x:c>
      <x:c r="D5239" s="6" t="n">
        <x:f>B5239</x:f>
        <x:v>0.2368</x:v>
      </x:c>
      <x:c r="E5239" s="1" t="n">
        <x:v>1.05</x:v>
      </x:c>
      <x:c r="F5239" s="1" t="str">
        <x:v>https://api.octopus.energy/v1/products/AGILE-24-10-01/electricity-tariffs/E-1R-AGILE-24-10-01-G/standard-unit-rates/</x:v>
      </x:c>
    </x:row>
    <x:row r="5240" ht="21" customHeight="1">
      <x:c r="A5240" s="24" t="n">
        <x:v>46257.666666666664</x:v>
      </x:c>
      <x:c r="B5240" s="6" t="n">
        <x:v>0.3936</x:v>
      </x:c>
      <x:c r="C5240" s="6" t="n">
        <x:v>0.21030000000000001</x:v>
      </x:c>
      <x:c r="D5240" s="6" t="n">
        <x:f>B5240</x:f>
        <x:v>0.3936</x:v>
      </x:c>
      <x:c r="E5240" s="1" t="n">
        <x:v>1.05</x:v>
      </x:c>
      <x:c r="F5240" s="1" t="str">
        <x:v>https://api.octopus.energy/v1/products/AGILE-24-10-01/electricity-tariffs/E-1R-AGILE-24-10-01-G/standard-unit-rates/</x:v>
      </x:c>
    </x:row>
    <x:row r="5241" ht="21" customHeight="1">
      <x:c r="A5241" s="24" t="n">
        <x:v>46257.6875</x:v>
      </x:c>
      <x:c r="B5241" s="6" t="n">
        <x:v>0.38270000000000004</x:v>
      </x:c>
      <x:c r="C5241" s="6" t="n">
        <x:v>0.2053</x:v>
      </x:c>
      <x:c r="D5241" s="6" t="n">
        <x:f>B5241</x:f>
        <x:v>0.38270000000000004</x:v>
      </x:c>
      <x:c r="E5241" s="1" t="n">
        <x:v>1.05</x:v>
      </x:c>
      <x:c r="F5241" s="1" t="str">
        <x:v>https://api.octopus.energy/v1/products/AGILE-24-10-01/electricity-tariffs/E-1R-AGILE-24-10-01-G/standard-unit-rates/</x:v>
      </x:c>
    </x:row>
    <x:row r="5242" ht="21" customHeight="1">
      <x:c r="A5242" s="24" t="n">
        <x:v>46257.708333333336</x:v>
      </x:c>
      <x:c r="B5242" s="6" t="n">
        <x:v>0.38789999999999997</x:v>
      </x:c>
      <x:c r="C5242" s="6" t="n">
        <x:v>0.2076</x:v>
      </x:c>
      <x:c r="D5242" s="6" t="n">
        <x:f>B5242</x:f>
        <x:v>0.38789999999999997</x:v>
      </x:c>
      <x:c r="E5242" s="1" t="n">
        <x:v>1.05</x:v>
      </x:c>
      <x:c r="F5242" s="1" t="str">
        <x:v>https://api.octopus.energy/v1/products/AGILE-24-10-01/electricity-tariffs/E-1R-AGILE-24-10-01-G/standard-unit-rates/</x:v>
      </x:c>
    </x:row>
    <x:row r="5243" ht="21" customHeight="1">
      <x:c r="A5243" s="24" t="n">
        <x:v>46257.729166666664</x:v>
      </x:c>
      <x:c r="B5243" s="6" t="n">
        <x:v>0.4133</x:v>
      </x:c>
      <x:c r="C5243" s="6" t="n">
        <x:v>0.2193</x:v>
      </x:c>
      <x:c r="D5243" s="6" t="n">
        <x:f>B5243</x:f>
        <x:v>0.4133</x:v>
      </x:c>
      <x:c r="E5243" s="1" t="n">
        <x:v>1.05</x:v>
      </x:c>
      <x:c r="F5243" s="1" t="str">
        <x:v>https://api.octopus.energy/v1/products/AGILE-24-10-01/electricity-tariffs/E-1R-AGILE-24-10-01-G/standard-unit-rates/</x:v>
      </x:c>
    </x:row>
    <x:row r="5244" ht="21" customHeight="1">
      <x:c r="A5244" s="24" t="n">
        <x:v>46257.75</x:v>
      </x:c>
      <x:c r="B5244" s="6" t="n">
        <x:v>0.4328</x:v>
      </x:c>
      <x:c r="C5244" s="6" t="n">
        <x:v>0.22820000000000001</x:v>
      </x:c>
      <x:c r="D5244" s="6" t="n">
        <x:f>B5244</x:f>
        <x:v>0.4328</x:v>
      </x:c>
      <x:c r="E5244" s="1" t="n">
        <x:v>1.05</x:v>
      </x:c>
      <x:c r="F5244" s="1" t="str">
        <x:v>https://api.octopus.energy/v1/products/AGILE-24-10-01/electricity-tariffs/E-1R-AGILE-24-10-01-G/standard-unit-rates/</x:v>
      </x:c>
    </x:row>
    <x:row r="5245" ht="21" customHeight="1">
      <x:c r="A5245" s="24" t="n">
        <x:v>46257.770833333336</x:v>
      </x:c>
      <x:c r="B5245" s="6" t="n">
        <x:v>0.4403</x:v>
      </x:c>
      <x:c r="C5245" s="6" t="n">
        <x:v>0.2316</x:v>
      </x:c>
      <x:c r="D5245" s="6" t="n">
        <x:f>B5245</x:f>
        <x:v>0.4403</x:v>
      </x:c>
      <x:c r="E5245" s="1" t="n">
        <x:v>1.05</x:v>
      </x:c>
      <x:c r="F5245" s="1" t="str">
        <x:v>https://api.octopus.energy/v1/products/AGILE-24-10-01/electricity-tariffs/E-1R-AGILE-24-10-01-G/standard-unit-rates/</x:v>
      </x:c>
    </x:row>
    <x:row r="5246" ht="21" customHeight="1">
      <x:c r="A5246" s="24" t="n">
        <x:v>46257.791666666664</x:v>
      </x:c>
      <x:c r="B5246" s="6" t="n">
        <x:v>0.3172</x:v>
      </x:c>
      <x:c r="C5246" s="6" t="n">
        <x:v>0.17129999999999998</x:v>
      </x:c>
      <x:c r="D5246" s="6" t="n">
        <x:f>B5246</x:f>
        <x:v>0.3172</x:v>
      </x:c>
      <x:c r="E5246" s="1" t="n">
        <x:v>1.05</x:v>
      </x:c>
      <x:c r="F5246" s="1" t="str">
        <x:v>https://api.octopus.energy/v1/products/AGILE-24-10-01/electricity-tariffs/E-1R-AGILE-24-10-01-G/standard-unit-rates/</x:v>
      </x:c>
    </x:row>
    <x:row r="5247" ht="21" customHeight="1">
      <x:c r="A5247" s="24" t="n">
        <x:v>46257.8125</x:v>
      </x:c>
      <x:c r="B5247" s="6" t="n">
        <x:v>0.3173</x:v>
      </x:c>
      <x:c r="C5247" s="6" t="n">
        <x:v>0.17129999999999998</x:v>
      </x:c>
      <x:c r="D5247" s="6" t="n">
        <x:f>B5247</x:f>
        <x:v>0.3173</x:v>
      </x:c>
      <x:c r="E5247" s="1" t="n">
        <x:v>1.05</x:v>
      </x:c>
      <x:c r="F5247" s="1" t="str">
        <x:v>https://api.octopus.energy/v1/products/AGILE-24-10-01/electricity-tariffs/E-1R-AGILE-24-10-01-G/standard-unit-rates/</x:v>
      </x:c>
    </x:row>
    <x:row r="5248" ht="21" customHeight="1">
      <x:c r="A5248" s="24" t="n">
        <x:v>46257.833333333336</x:v>
      </x:c>
      <x:c r="B5248" s="6" t="n">
        <x:v>0.3194</x:v>
      </x:c>
      <x:c r="C5248" s="6" t="n">
        <x:v>0.1723</x:v>
      </x:c>
      <x:c r="D5248" s="6" t="n">
        <x:f>B5248</x:f>
        <x:v>0.3194</x:v>
      </x:c>
      <x:c r="E5248" s="1" t="n">
        <x:v>1.05</x:v>
      </x:c>
      <x:c r="F5248" s="1" t="str">
        <x:v>https://api.octopus.energy/v1/products/AGILE-24-10-01/electricity-tariffs/E-1R-AGILE-24-10-01-G/standard-unit-rates/</x:v>
      </x:c>
    </x:row>
    <x:row r="5249" ht="21" customHeight="1">
      <x:c r="A5249" s="24" t="n">
        <x:v>46257.854166666664</x:v>
      </x:c>
      <x:c r="B5249" s="6" t="n">
        <x:v>0.3173</x:v>
      </x:c>
      <x:c r="C5249" s="6" t="n">
        <x:v>0.17129999999999998</x:v>
      </x:c>
      <x:c r="D5249" s="6" t="n">
        <x:f>B5249</x:f>
        <x:v>0.3173</x:v>
      </x:c>
      <x:c r="E5249" s="1" t="n">
        <x:v>1.05</x:v>
      </x:c>
      <x:c r="F5249" s="1" t="str">
        <x:v>https://api.octopus.energy/v1/products/AGILE-24-10-01/electricity-tariffs/E-1R-AGILE-24-10-01-G/standard-unit-rates/</x:v>
      </x:c>
    </x:row>
    <x:row r="5250" ht="21" customHeight="1">
      <x:c r="A5250" s="24" t="n">
        <x:v>46257.875</x:v>
      </x:c>
      <x:c r="B5250" s="6" t="n">
        <x:v>0.3194</x:v>
      </x:c>
      <x:c r="C5250" s="6" t="n">
        <x:v>0.1723</x:v>
      </x:c>
      <x:c r="D5250" s="6" t="n">
        <x:f>B5250</x:f>
        <x:v>0.3194</x:v>
      </x:c>
      <x:c r="E5250" s="1" t="n">
        <x:v>1.05</x:v>
      </x:c>
      <x:c r="F5250" s="1" t="str">
        <x:v>https://api.octopus.energy/v1/products/AGILE-24-10-01/electricity-tariffs/E-1R-AGILE-24-10-01-G/standard-unit-rates/</x:v>
      </x:c>
    </x:row>
    <x:row r="5251" ht="21" customHeight="1">
      <x:c r="A5251" s="24" t="n">
        <x:v>46257.895833333336</x:v>
      </x:c>
      <x:c r="B5251" s="6" t="n">
        <x:v>0.3084</x:v>
      </x:c>
      <x:c r="C5251" s="6" t="n">
        <x:v>0.1672</x:v>
      </x:c>
      <x:c r="D5251" s="6" t="n">
        <x:f>B5251</x:f>
        <x:v>0.3084</x:v>
      </x:c>
      <x:c r="E5251" s="1" t="n">
        <x:v>1.05</x:v>
      </x:c>
      <x:c r="F5251" s="1" t="str">
        <x:v>https://api.octopus.energy/v1/products/AGILE-24-10-01/electricity-tariffs/E-1R-AGILE-24-10-01-G/standard-unit-rates/</x:v>
      </x:c>
    </x:row>
    <x:row r="5252" ht="21" customHeight="1">
      <x:c r="A5252" s="24" t="n">
        <x:v>46257.916666666664</x:v>
      </x:c>
      <x:c r="B5252" s="6" t="n">
        <x:v>0.30219999999999997</x:v>
      </x:c>
      <x:c r="C5252" s="6" t="n">
        <x:v>0.16440000000000002</x:v>
      </x:c>
      <x:c r="D5252" s="6" t="n">
        <x:f>B5252</x:f>
        <x:v>0.30219999999999997</x:v>
      </x:c>
      <x:c r="E5252" s="1" t="n">
        <x:v>1.05</x:v>
      </x:c>
      <x:c r="F5252" s="1" t="str">
        <x:v>https://api.octopus.energy/v1/products/AGILE-24-10-01/electricity-tariffs/E-1R-AGILE-24-10-01-G/standard-unit-rates/</x:v>
      </x:c>
    </x:row>
    <x:row r="5253" ht="21" customHeight="1">
      <x:c r="A5253" s="24" t="n">
        <x:v>46257.9375</x:v>
      </x:c>
      <x:c r="B5253" s="6" t="n">
        <x:v>0.2774</x:v>
      </x:c>
      <x:c r="C5253" s="6" t="n">
        <x:v>0.1531</x:v>
      </x:c>
      <x:c r="D5253" s="6" t="n">
        <x:f>B5253</x:f>
        <x:v>0.2774</x:v>
      </x:c>
      <x:c r="E5253" s="1" t="n">
        <x:v>1.05</x:v>
      </x:c>
      <x:c r="F5253" s="1" t="str">
        <x:v>https://api.octopus.energy/v1/products/AGILE-24-10-01/electricity-tariffs/E-1R-AGILE-24-10-01-G/standard-unit-rates/</x:v>
      </x:c>
    </x:row>
    <x:row r="5254" ht="21" customHeight="1">
      <x:c r="A5254" s="24" t="n">
        <x:v>46258</x:v>
      </x:c>
      <x:c r="B5254" s="6" t="n">
        <x:v>0.22699999999999998</x:v>
      </x:c>
      <x:c r="C5254" s="6" t="n">
        <x:v>0.13</x:v>
      </x:c>
      <x:c r="D5254" s="6" t="n">
        <x:f>B5254</x:f>
        <x:v>0.22699999999999998</x:v>
      </x:c>
      <x:c r="E5254" s="1" t="n">
        <x:v>1.05</x:v>
      </x:c>
      <x:c r="F5254" s="1" t="str">
        <x:v>https://api.octopus.energy/v1/products/AGILE-24-10-01/electricity-tariffs/E-1R-AGILE-24-10-01-G/standard-unit-rates/</x:v>
      </x:c>
    </x:row>
    <x:row r="5255" ht="21" customHeight="1">
      <x:c r="A5255" s="24" t="n">
        <x:v>46257.979166666664</x:v>
      </x:c>
      <x:c r="B5255" s="6" t="n">
        <x:v>0.23870000000000002</x:v>
      </x:c>
      <x:c r="C5255" s="6" t="n">
        <x:v>0.1354</x:v>
      </x:c>
      <x:c r="D5255" s="6" t="n">
        <x:f>B5255</x:f>
        <x:v>0.23870000000000002</x:v>
      </x:c>
      <x:c r="E5255" s="1" t="n">
        <x:v>1.05</x:v>
      </x:c>
      <x:c r="F5255" s="1" t="str">
        <x:v>https://api.octopus.energy/v1/products/AGILE-24-10-01/electricity-tariffs/E-1R-AGILE-24-10-01-G/standard-unit-rates/</x:v>
      </x:c>
    </x:row>
    <x:row r="5256" ht="21" customHeight="1">
      <x:c r="A5256" s="24" t="n">
        <x:v>46258</x:v>
      </x:c>
      <x:c r="B5256" s="6" t="n">
        <x:v>0.2487</x:v>
      </x:c>
      <x:c r="C5256" s="6" t="n">
        <x:v>0.1399</x:v>
      </x:c>
      <x:c r="D5256" s="6" t="n">
        <x:f>B5256</x:f>
        <x:v>0.2487</x:v>
      </x:c>
      <x:c r="E5256" s="1" t="n">
        <x:v>1.05</x:v>
      </x:c>
      <x:c r="F5256" s="1" t="str">
        <x:v>https://api.octopus.energy/v1/products/AGILE-24-10-01/electricity-tariffs/E-1R-AGILE-24-10-01-G/standard-unit-rates/</x:v>
      </x:c>
    </x:row>
    <x:row r="5257" ht="21" customHeight="1">
      <x:c r="A5257" s="24" t="n">
        <x:v>46258.020833333336</x:v>
      </x:c>
      <x:c r="B5257" s="6" t="n">
        <x:v>0.2459</x:v>
      </x:c>
      <x:c r="C5257" s="6" t="n">
        <x:v>0.1387</x:v>
      </x:c>
      <x:c r="D5257" s="6" t="n">
        <x:f>B5257</x:f>
        <x:v>0.2459</x:v>
      </x:c>
      <x:c r="E5257" s="1" t="n">
        <x:v>1.05</x:v>
      </x:c>
      <x:c r="F5257" s="1" t="str">
        <x:v>https://api.octopus.energy/v1/products/AGILE-24-10-01/electricity-tariffs/E-1R-AGILE-24-10-01-G/standard-unit-rates/</x:v>
      </x:c>
    </x:row>
    <x:row r="5258" ht="21" customHeight="1">
      <x:c r="A5258" s="24" t="n">
        <x:v>46258.041666666664</x:v>
      </x:c>
      <x:c r="B5258" s="6" t="n">
        <x:v>0.2465</x:v>
      </x:c>
      <x:c r="C5258" s="6" t="n">
        <x:v>0.1389</x:v>
      </x:c>
      <x:c r="D5258" s="6" t="n">
        <x:f>B5258</x:f>
        <x:v>0.2465</x:v>
      </x:c>
      <x:c r="E5258" s="1" t="n">
        <x:v>1.05</x:v>
      </x:c>
      <x:c r="F5258" s="1" t="str">
        <x:v>https://api.octopus.energy/v1/products/AGILE-24-10-01/electricity-tariffs/E-1R-AGILE-24-10-01-G/standard-unit-rates/</x:v>
      </x:c>
    </x:row>
    <x:row r="5259" ht="21" customHeight="1">
      <x:c r="A5259" s="24" t="n">
        <x:v>46258.0625</x:v>
      </x:c>
      <x:c r="B5259" s="6" t="n">
        <x:v>0.24789999999999998</x:v>
      </x:c>
      <x:c r="C5259" s="6" t="n">
        <x:v>0.1396</x:v>
      </x:c>
      <x:c r="D5259" s="6" t="n">
        <x:f>B5259</x:f>
        <x:v>0.24789999999999998</x:v>
      </x:c>
      <x:c r="E5259" s="1" t="n">
        <x:v>1.05</x:v>
      </x:c>
      <x:c r="F5259" s="1" t="str">
        <x:v>https://api.octopus.energy/v1/products/AGILE-24-10-01/electricity-tariffs/E-1R-AGILE-24-10-01-G/standard-unit-rates/</x:v>
      </x:c>
    </x:row>
    <x:row r="5260" ht="21" customHeight="1">
      <x:c r="A5260" s="24" t="n">
        <x:v>46258.083333333336</x:v>
      </x:c>
      <x:c r="B5260" s="6" t="n">
        <x:v>0.2458</x:v>
      </x:c>
      <x:c r="C5260" s="6" t="n">
        <x:v>0.1386</x:v>
      </x:c>
      <x:c r="D5260" s="6" t="n">
        <x:f>B5260</x:f>
        <x:v>0.2458</x:v>
      </x:c>
      <x:c r="E5260" s="1" t="n">
        <x:v>1.05</x:v>
      </x:c>
      <x:c r="F5260" s="1" t="str">
        <x:v>https://api.octopus.energy/v1/products/AGILE-24-10-01/electricity-tariffs/E-1R-AGILE-24-10-01-G/standard-unit-rates/</x:v>
      </x:c>
    </x:row>
    <x:row r="5261" ht="21" customHeight="1">
      <x:c r="A5261" s="24" t="n">
        <x:v>46258.104166666664</x:v>
      </x:c>
      <x:c r="B5261" s="6" t="n">
        <x:v>0.242</x:v>
      </x:c>
      <x:c r="C5261" s="6" t="n">
        <x:v>0.1369</x:v>
      </x:c>
      <x:c r="D5261" s="6" t="n">
        <x:f>B5261</x:f>
        <x:v>0.242</x:v>
      </x:c>
      <x:c r="E5261" s="1" t="n">
        <x:v>1.05</x:v>
      </x:c>
      <x:c r="F5261" s="1" t="str">
        <x:v>https://api.octopus.energy/v1/products/AGILE-24-10-01/electricity-tariffs/E-1R-AGILE-24-10-01-G/standard-unit-rates/</x:v>
      </x:c>
    </x:row>
    <x:row r="5262" ht="21" customHeight="1">
      <x:c r="A5262" s="24" t="n">
        <x:v>46258.125</x:v>
      </x:c>
      <x:c r="B5262" s="6" t="n">
        <x:v>0.2446</x:v>
      </x:c>
      <x:c r="C5262" s="6" t="n">
        <x:v>0.1381</x:v>
      </x:c>
      <x:c r="D5262" s="6" t="n">
        <x:f>B5262</x:f>
        <x:v>0.2446</x:v>
      </x:c>
      <x:c r="E5262" s="1" t="n">
        <x:v>1.05</x:v>
      </x:c>
      <x:c r="F5262" s="1" t="str">
        <x:v>https://api.octopus.energy/v1/products/AGILE-24-10-01/electricity-tariffs/E-1R-AGILE-24-10-01-G/standard-unit-rates/</x:v>
      </x:c>
    </x:row>
    <x:row r="5263" ht="21" customHeight="1">
      <x:c r="A5263" s="24" t="n">
        <x:v>46258.145833333336</x:v>
      </x:c>
      <x:c r="B5263" s="6" t="n">
        <x:v>0.2421</x:v>
      </x:c>
      <x:c r="C5263" s="6" t="n">
        <x:v>0.1369</x:v>
      </x:c>
      <x:c r="D5263" s="6" t="n">
        <x:f>B5263</x:f>
        <x:v>0.2421</x:v>
      </x:c>
      <x:c r="E5263" s="1" t="n">
        <x:v>1.05</x:v>
      </x:c>
      <x:c r="F5263" s="1" t="str">
        <x:v>https://api.octopus.energy/v1/products/AGILE-24-10-01/electricity-tariffs/E-1R-AGILE-24-10-01-G/standard-unit-rates/</x:v>
      </x:c>
    </x:row>
    <x:row r="5264" ht="21" customHeight="1">
      <x:c r="A5264" s="24" t="n">
        <x:v>46258.166666666664</x:v>
      </x:c>
      <x:c r="B5264" s="6" t="n">
        <x:v>0.2627</x:v>
      </x:c>
      <x:c r="C5264" s="6" t="n">
        <x:v>0.1464</x:v>
      </x:c>
      <x:c r="D5264" s="6" t="n">
        <x:f>B5264</x:f>
        <x:v>0.2627</x:v>
      </x:c>
      <x:c r="E5264" s="1" t="n">
        <x:v>1.05</x:v>
      </x:c>
      <x:c r="F5264" s="1" t="str">
        <x:v>https://api.octopus.energy/v1/products/AGILE-24-10-01/electricity-tariffs/E-1R-AGILE-24-10-01-G/standard-unit-rates/</x:v>
      </x:c>
    </x:row>
    <x:row r="5265" ht="21" customHeight="1">
      <x:c r="A5265" s="24" t="n">
        <x:v>46258.1875</x:v>
      </x:c>
      <x:c r="B5265" s="6" t="n">
        <x:v>0.24670000000000003</x:v>
      </x:c>
      <x:c r="C5265" s="6" t="n">
        <x:v>0.1391</x:v>
      </x:c>
      <x:c r="D5265" s="6" t="n">
        <x:f>B5265</x:f>
        <x:v>0.24670000000000003</x:v>
      </x:c>
      <x:c r="E5265" s="1" t="n">
        <x:v>1.05</x:v>
      </x:c>
      <x:c r="F5265" s="1" t="str">
        <x:v>https://api.octopus.energy/v1/products/AGILE-24-10-01/electricity-tariffs/E-1R-AGILE-24-10-01-G/standard-unit-rates/</x:v>
      </x:c>
    </x:row>
    <x:row r="5266" ht="21" customHeight="1">
      <x:c r="A5266" s="24" t="n">
        <x:v>46258.208333333336</x:v>
      </x:c>
      <x:c r="B5266" s="6" t="n">
        <x:v>0.31</x:v>
      </x:c>
      <x:c r="C5266" s="6" t="n">
        <x:v>0.168</x:v>
      </x:c>
      <x:c r="D5266" s="6" t="n">
        <x:f>B5266</x:f>
        <x:v>0.31</x:v>
      </x:c>
      <x:c r="E5266" s="1" t="n">
        <x:v>1.05</x:v>
      </x:c>
      <x:c r="F5266" s="1" t="str">
        <x:v>https://api.octopus.energy/v1/products/AGILE-24-10-01/electricity-tariffs/E-1R-AGILE-24-10-01-G/standard-unit-rates/</x:v>
      </x:c>
    </x:row>
    <x:row r="5267" ht="21" customHeight="1">
      <x:c r="A5267" s="24" t="n">
        <x:v>46258.229166666664</x:v>
      </x:c>
      <x:c r="B5267" s="6" t="n">
        <x:v>0.2984</x:v>
      </x:c>
      <x:c r="C5267" s="6" t="n">
        <x:v>0.16269999999999998</x:v>
      </x:c>
      <x:c r="D5267" s="6" t="n">
        <x:f>B5267</x:f>
        <x:v>0.2984</x:v>
      </x:c>
      <x:c r="E5267" s="1" t="n">
        <x:v>1.05</x:v>
      </x:c>
      <x:c r="F5267" s="1" t="str">
        <x:v>https://api.octopus.energy/v1/products/AGILE-24-10-01/electricity-tariffs/E-1R-AGILE-24-10-01-G/standard-unit-rates/</x:v>
      </x:c>
    </x:row>
    <x:row r="5268" ht="21" customHeight="1">
      <x:c r="A5268" s="24" t="n">
        <x:v>46258.25</x:v>
      </x:c>
      <x:c r="B5268" s="6" t="n">
        <x:v>0.31379999999999997</x:v>
      </x:c>
      <x:c r="C5268" s="6" t="n">
        <x:v>0.1697</x:v>
      </x:c>
      <x:c r="D5268" s="6" t="n">
        <x:f>B5268</x:f>
        <x:v>0.31379999999999997</x:v>
      </x:c>
      <x:c r="E5268" s="1" t="n">
        <x:v>1.05</x:v>
      </x:c>
      <x:c r="F5268" s="1" t="str">
        <x:v>https://api.octopus.energy/v1/products/AGILE-24-10-01/electricity-tariffs/E-1R-AGILE-24-10-01-G/standard-unit-rates/</x:v>
      </x:c>
    </x:row>
    <x:row r="5269" ht="21" customHeight="1">
      <x:c r="A5269" s="24" t="n">
        <x:v>46258.270833333336</x:v>
      </x:c>
      <x:c r="B5269" s="6" t="n">
        <x:v>0.3194</x:v>
      </x:c>
      <x:c r="C5269" s="6" t="n">
        <x:v>0.1723</x:v>
      </x:c>
      <x:c r="D5269" s="6" t="n">
        <x:f>B5269</x:f>
        <x:v>0.3194</x:v>
      </x:c>
      <x:c r="E5269" s="1" t="n">
        <x:v>1.05</x:v>
      </x:c>
      <x:c r="F5269" s="1" t="str">
        <x:v>https://api.octopus.energy/v1/products/AGILE-24-10-01/electricity-tariffs/E-1R-AGILE-24-10-01-G/standard-unit-rates/</x:v>
      </x:c>
    </x:row>
    <x:row r="5270" ht="21" customHeight="1">
      <x:c r="A5270" s="24" t="n">
        <x:v>46258.291666666664</x:v>
      </x:c>
      <x:c r="B5270" s="6" t="n">
        <x:v>0.2991</x:v>
      </x:c>
      <x:c r="C5270" s="6" t="n">
        <x:v>0.163</x:v>
      </x:c>
      <x:c r="D5270" s="6" t="n">
        <x:f>B5270</x:f>
        <x:v>0.2991</x:v>
      </x:c>
      <x:c r="E5270" s="1" t="n">
        <x:v>1.05</x:v>
      </x:c>
      <x:c r="F5270" s="1" t="str">
        <x:v>https://api.octopus.energy/v1/products/AGILE-24-10-01/electricity-tariffs/E-1R-AGILE-24-10-01-G/standard-unit-rates/</x:v>
      </x:c>
    </x:row>
    <x:row r="5271" ht="21" customHeight="1">
      <x:c r="A5271" s="24" t="n">
        <x:v>46258.3125</x:v>
      </x:c>
      <x:c r="B5271" s="6" t="n">
        <x:v>0.30829999999999996</x:v>
      </x:c>
      <x:c r="C5271" s="6" t="n">
        <x:v>0.1672</x:v>
      </x:c>
      <x:c r="D5271" s="6" t="n">
        <x:f>B5271</x:f>
        <x:v>0.30829999999999996</x:v>
      </x:c>
      <x:c r="E5271" s="1" t="n">
        <x:v>1.05</x:v>
      </x:c>
      <x:c r="F5271" s="1" t="str">
        <x:v>https://api.octopus.energy/v1/products/AGILE-24-10-01/electricity-tariffs/E-1R-AGILE-24-10-01-G/standard-unit-rates/</x:v>
      </x:c>
    </x:row>
    <x:row r="5272" ht="21" customHeight="1">
      <x:c r="A5272" s="24" t="n">
        <x:v>46258.333333333336</x:v>
      </x:c>
      <x:c r="B5272" s="6" t="n">
        <x:v>0.2901</x:v>
      </x:c>
      <x:c r="C5272" s="6" t="n">
        <x:v>0.1589</x:v>
      </x:c>
      <x:c r="D5272" s="6" t="n">
        <x:f>B5272</x:f>
        <x:v>0.2901</x:v>
      </x:c>
      <x:c r="E5272" s="1" t="n">
        <x:v>1.05</x:v>
      </x:c>
      <x:c r="F5272" s="1" t="str">
        <x:v>https://api.octopus.energy/v1/products/AGILE-24-10-01/electricity-tariffs/E-1R-AGILE-24-10-01-G/standard-unit-rates/</x:v>
      </x:c>
    </x:row>
    <x:row r="5273" ht="21" customHeight="1">
      <x:c r="A5273" s="24" t="n">
        <x:v>46258.354166666664</x:v>
      </x:c>
      <x:c r="B5273" s="6" t="n">
        <x:v>0.2914</x:v>
      </x:c>
      <x:c r="C5273" s="6" t="n">
        <x:v>0.1595</x:v>
      </x:c>
      <x:c r="D5273" s="6" t="n">
        <x:f>B5273</x:f>
        <x:v>0.2914</x:v>
      </x:c>
      <x:c r="E5273" s="1" t="n">
        <x:v>1.05</x:v>
      </x:c>
      <x:c r="F5273" s="1" t="str">
        <x:v>https://api.octopus.energy/v1/products/AGILE-24-10-01/electricity-tariffs/E-1R-AGILE-24-10-01-G/standard-unit-rates/</x:v>
      </x:c>
    </x:row>
    <x:row r="5274" ht="21" customHeight="1">
      <x:c r="A5274" s="24" t="n">
        <x:v>46258.375</x:v>
      </x:c>
      <x:c r="B5274" s="6" t="n">
        <x:v>0.2753</x:v>
      </x:c>
      <x:c r="C5274" s="6" t="n">
        <x:v>0.1521</x:v>
      </x:c>
      <x:c r="D5274" s="6" t="n">
        <x:f>B5274</x:f>
        <x:v>0.2753</x:v>
      </x:c>
      <x:c r="E5274" s="1" t="n">
        <x:v>1.05</x:v>
      </x:c>
      <x:c r="F5274" s="1" t="str">
        <x:v>https://api.octopus.energy/v1/products/AGILE-24-10-01/electricity-tariffs/E-1R-AGILE-24-10-01-G/standard-unit-rates/</x:v>
      </x:c>
    </x:row>
    <x:row r="5275" ht="21" customHeight="1">
      <x:c r="A5275" s="24" t="n">
        <x:v>46258.395833333336</x:v>
      </x:c>
      <x:c r="B5275" s="6" t="n">
        <x:v>0.2669</x:v>
      </x:c>
      <x:c r="C5275" s="6" t="n">
        <x:v>0.1483</x:v>
      </x:c>
      <x:c r="D5275" s="6" t="n">
        <x:f>B5275</x:f>
        <x:v>0.2669</x:v>
      </x:c>
      <x:c r="E5275" s="1" t="n">
        <x:v>1.05</x:v>
      </x:c>
      <x:c r="F5275" s="1" t="str">
        <x:v>https://api.octopus.energy/v1/products/AGILE-24-10-01/electricity-tariffs/E-1R-AGILE-24-10-01-G/standard-unit-rates/</x:v>
      </x:c>
    </x:row>
    <x:row r="5276" ht="21" customHeight="1">
      <x:c r="A5276" s="24" t="n">
        <x:v>46258.416666666664</x:v>
      </x:c>
      <x:c r="B5276" s="6" t="n">
        <x:v>0.2619</x:v>
      </x:c>
      <x:c r="C5276" s="6" t="n">
        <x:v>0.146</x:v>
      </x:c>
      <x:c r="D5276" s="6" t="n">
        <x:f>B5276</x:f>
        <x:v>0.2619</x:v>
      </x:c>
      <x:c r="E5276" s="1" t="n">
        <x:v>1.05</x:v>
      </x:c>
      <x:c r="F5276" s="1" t="str">
        <x:v>https://api.octopus.energy/v1/products/AGILE-24-10-01/electricity-tariffs/E-1R-AGILE-24-10-01-G/standard-unit-rates/</x:v>
      </x:c>
    </x:row>
    <x:row r="5277" ht="21" customHeight="1">
      <x:c r="A5277" s="24" t="n">
        <x:v>46258.4375</x:v>
      </x:c>
      <x:c r="B5277" s="6" t="n">
        <x:v>0.2561</x:v>
      </x:c>
      <x:c r="C5277" s="6" t="n">
        <x:v>0.1434</x:v>
      </x:c>
      <x:c r="D5277" s="6" t="n">
        <x:f>B5277</x:f>
        <x:v>0.2561</x:v>
      </x:c>
      <x:c r="E5277" s="1" t="n">
        <x:v>1.05</x:v>
      </x:c>
      <x:c r="F5277" s="1" t="str">
        <x:v>https://api.octopus.energy/v1/products/AGILE-24-10-01/electricity-tariffs/E-1R-AGILE-24-10-01-G/standard-unit-rates/</x:v>
      </x:c>
    </x:row>
    <x:row r="5278" ht="21" customHeight="1">
      <x:c r="A5278" s="24" t="n">
        <x:v>46258.458333333336</x:v>
      </x:c>
      <x:c r="B5278" s="6" t="n">
        <x:v>0.2591</x:v>
      </x:c>
      <x:c r="C5278" s="6" t="n">
        <x:v>0.1447</x:v>
      </x:c>
      <x:c r="D5278" s="6" t="n">
        <x:f>B5278</x:f>
        <x:v>0.2591</x:v>
      </x:c>
      <x:c r="E5278" s="1" t="n">
        <x:v>1.05</x:v>
      </x:c>
      <x:c r="F5278" s="1" t="str">
        <x:v>https://api.octopus.energy/v1/products/AGILE-24-10-01/electricity-tariffs/E-1R-AGILE-24-10-01-G/standard-unit-rates/</x:v>
      </x:c>
    </x:row>
    <x:row r="5279" ht="21" customHeight="1">
      <x:c r="A5279" s="24" t="n">
        <x:v>46258.479166666664</x:v>
      </x:c>
      <x:c r="B5279" s="6" t="n">
        <x:v>0.2465</x:v>
      </x:c>
      <x:c r="C5279" s="6" t="n">
        <x:v>0.139</x:v>
      </x:c>
      <x:c r="D5279" s="6" t="n">
        <x:f>B5279</x:f>
        <x:v>0.2465</x:v>
      </x:c>
      <x:c r="E5279" s="1" t="n">
        <x:v>1.05</x:v>
      </x:c>
      <x:c r="F5279" s="1" t="str">
        <x:v>https://api.octopus.energy/v1/products/AGILE-24-10-01/electricity-tariffs/E-1R-AGILE-24-10-01-G/standard-unit-rates/</x:v>
      </x:c>
    </x:row>
    <x:row r="5280" ht="21" customHeight="1">
      <x:c r="A5280" s="24" t="n">
        <x:v>46258.5</x:v>
      </x:c>
      <x:c r="B5280" s="6" t="n">
        <x:v>0.2433</x:v>
      </x:c>
      <x:c r="C5280" s="6" t="n">
        <x:v>0.1375</x:v>
      </x:c>
      <x:c r="D5280" s="6" t="n">
        <x:f>B5280</x:f>
        <x:v>0.2433</x:v>
      </x:c>
      <x:c r="E5280" s="1" t="n">
        <x:v>1.05</x:v>
      </x:c>
      <x:c r="F5280" s="1" t="str">
        <x:v>https://api.octopus.energy/v1/products/AGILE-24-10-01/electricity-tariffs/E-1R-AGILE-24-10-01-G/standard-unit-rates/</x:v>
      </x:c>
    </x:row>
    <x:row r="5281" ht="21" customHeight="1">
      <x:c r="A5281" s="24" t="n">
        <x:v>46258.520833333336</x:v>
      </x:c>
      <x:c r="B5281" s="6" t="n">
        <x:v>0.2404</x:v>
      </x:c>
      <x:c r="C5281" s="6" t="n">
        <x:v>0.1362</x:v>
      </x:c>
      <x:c r="D5281" s="6" t="n">
        <x:f>B5281</x:f>
        <x:v>0.2404</x:v>
      </x:c>
      <x:c r="E5281" s="1" t="n">
        <x:v>1.05</x:v>
      </x:c>
      <x:c r="F5281" s="1" t="str">
        <x:v>https://api.octopus.energy/v1/products/AGILE-24-10-01/electricity-tariffs/E-1R-AGILE-24-10-01-G/standard-unit-rates/</x:v>
      </x:c>
    </x:row>
    <x:row r="5282" ht="21" customHeight="1">
      <x:c r="A5282" s="24" t="n">
        <x:v>46258.541666666664</x:v>
      </x:c>
      <x:c r="B5282" s="6" t="n">
        <x:v>0.24</x:v>
      </x:c>
      <x:c r="C5282" s="6" t="n">
        <x:v>0.136</x:v>
      </x:c>
      <x:c r="D5282" s="6" t="n">
        <x:f>B5282</x:f>
        <x:v>0.24</x:v>
      </x:c>
      <x:c r="E5282" s="1" t="n">
        <x:v>1.05</x:v>
      </x:c>
      <x:c r="F5282" s="1" t="str">
        <x:v>https://api.octopus.energy/v1/products/AGILE-24-10-01/electricity-tariffs/E-1R-AGILE-24-10-01-G/standard-unit-rates/</x:v>
      </x:c>
    </x:row>
    <x:row r="5283" ht="21" customHeight="1">
      <x:c r="A5283" s="24" t="n">
        <x:v>46258.5625</x:v>
      </x:c>
      <x:c r="B5283" s="6" t="n">
        <x:v>0.23550000000000001</x:v>
      </x:c>
      <x:c r="C5283" s="6" t="n">
        <x:v>0.13390000000000002</x:v>
      </x:c>
      <x:c r="D5283" s="6" t="n">
        <x:f>B5283</x:f>
        <x:v>0.23550000000000001</x:v>
      </x:c>
      <x:c r="E5283" s="1" t="n">
        <x:v>1.05</x:v>
      </x:c>
      <x:c r="F5283" s="1" t="str">
        <x:v>https://api.octopus.energy/v1/products/AGILE-24-10-01/electricity-tariffs/E-1R-AGILE-24-10-01-G/standard-unit-rates/</x:v>
      </x:c>
    </x:row>
    <x:row r="5284" ht="21" customHeight="1">
      <x:c r="A5284" s="24" t="n">
        <x:v>46258.583333333336</x:v>
      </x:c>
      <x:c r="B5284" s="6" t="n">
        <x:v>0.2298</x:v>
      </x:c>
      <x:c r="C5284" s="6" t="n">
        <x:v>0.1313</x:v>
      </x:c>
      <x:c r="D5284" s="6" t="n">
        <x:f>B5284</x:f>
        <x:v>0.2298</x:v>
      </x:c>
      <x:c r="E5284" s="1" t="n">
        <x:v>1.05</x:v>
      </x:c>
      <x:c r="F5284" s="1" t="str">
        <x:v>https://api.octopus.energy/v1/products/AGILE-24-10-01/electricity-tariffs/E-1R-AGILE-24-10-01-G/standard-unit-rates/</x:v>
      </x:c>
    </x:row>
    <x:row r="5285" ht="21" customHeight="1">
      <x:c r="A5285" s="24" t="n">
        <x:v>46258.604166666664</x:v>
      </x:c>
      <x:c r="B5285" s="6" t="n">
        <x:v>0.2288</x:v>
      </x:c>
      <x:c r="C5285" s="6" t="n">
        <x:v>0.1309</x:v>
      </x:c>
      <x:c r="D5285" s="6" t="n">
        <x:f>B5285</x:f>
        <x:v>0.2288</x:v>
      </x:c>
      <x:c r="E5285" s="1" t="n">
        <x:v>1.05</x:v>
      </x:c>
      <x:c r="F5285" s="1" t="str">
        <x:v>https://api.octopus.energy/v1/products/AGILE-24-10-01/electricity-tariffs/E-1R-AGILE-24-10-01-G/standard-unit-rates/</x:v>
      </x:c>
    </x:row>
    <x:row r="5286" ht="21" customHeight="1">
      <x:c r="A5286" s="24" t="n">
        <x:v>46258.625</x:v>
      </x:c>
      <x:c r="B5286" s="6" t="n">
        <x:v>0.2253</x:v>
      </x:c>
      <x:c r="C5286" s="6" t="n">
        <x:v>0.1293</x:v>
      </x:c>
      <x:c r="D5286" s="6" t="n">
        <x:f>B5286</x:f>
        <x:v>0.2253</x:v>
      </x:c>
      <x:c r="E5286" s="1" t="n">
        <x:v>1.05</x:v>
      </x:c>
      <x:c r="F5286" s="1" t="str">
        <x:v>https://api.octopus.energy/v1/products/AGILE-24-10-01/electricity-tariffs/E-1R-AGILE-24-10-01-G/standard-unit-rates/</x:v>
      </x:c>
    </x:row>
    <x:row r="5287" ht="21" customHeight="1">
      <x:c r="A5287" s="24" t="n">
        <x:v>46258.645833333336</x:v>
      </x:c>
      <x:c r="B5287" s="6" t="n">
        <x:v>0.2322</x:v>
      </x:c>
      <x:c r="C5287" s="6" t="n">
        <x:v>0.1324</x:v>
      </x:c>
      <x:c r="D5287" s="6" t="n">
        <x:f>B5287</x:f>
        <x:v>0.2322</x:v>
      </x:c>
      <x:c r="E5287" s="1" t="n">
        <x:v>1.05</x:v>
      </x:c>
      <x:c r="F5287" s="1" t="str">
        <x:v>https://api.octopus.energy/v1/products/AGILE-24-10-01/electricity-tariffs/E-1R-AGILE-24-10-01-G/standard-unit-rates/</x:v>
      </x:c>
    </x:row>
    <x:row r="5288" ht="21" customHeight="1">
      <x:c r="A5288" s="24" t="n">
        <x:v>46258.666666666664</x:v>
      </x:c>
      <x:c r="B5288" s="6" t="n">
        <x:v>0.35810000000000003</x:v>
      </x:c>
      <x:c r="C5288" s="6" t="n">
        <x:v>0.19399999999999998</x:v>
      </x:c>
      <x:c r="D5288" s="6" t="n">
        <x:f>B5288</x:f>
        <x:v>0.35810000000000003</x:v>
      </x:c>
      <x:c r="E5288" s="1" t="n">
        <x:v>1.05</x:v>
      </x:c>
      <x:c r="F5288" s="1" t="str">
        <x:v>https://api.octopus.energy/v1/products/AGILE-24-10-01/electricity-tariffs/E-1R-AGILE-24-10-01-G/standard-unit-rates/</x:v>
      </x:c>
    </x:row>
    <x:row r="5289" ht="21" customHeight="1">
      <x:c r="A5289" s="24" t="n">
        <x:v>46258.6875</x:v>
      </x:c>
      <x:c r="B5289" s="6" t="n">
        <x:v>0.3605</x:v>
      </x:c>
      <x:c r="C5289" s="6" t="n">
        <x:v>0.19510000000000002</x:v>
      </x:c>
      <x:c r="D5289" s="6" t="n">
        <x:f>B5289</x:f>
        <x:v>0.3605</x:v>
      </x:c>
      <x:c r="E5289" s="1" t="n">
        <x:v>1.05</x:v>
      </x:c>
      <x:c r="F5289" s="1" t="str">
        <x:v>https://api.octopus.energy/v1/products/AGILE-24-10-01/electricity-tariffs/E-1R-AGILE-24-10-01-G/standard-unit-rates/</x:v>
      </x:c>
    </x:row>
    <x:row r="5290" ht="21" customHeight="1">
      <x:c r="A5290" s="24" t="n">
        <x:v>46258.708333333336</x:v>
      </x:c>
      <x:c r="B5290" s="6" t="n">
        <x:v>0.3909</x:v>
      </x:c>
      <x:c r="C5290" s="6" t="n">
        <x:v>0.209</x:v>
      </x:c>
      <x:c r="D5290" s="6" t="n">
        <x:f>B5290</x:f>
        <x:v>0.3909</x:v>
      </x:c>
      <x:c r="E5290" s="1" t="n">
        <x:v>1.05</x:v>
      </x:c>
      <x:c r="F5290" s="1" t="str">
        <x:v>https://api.octopus.energy/v1/products/AGILE-24-10-01/electricity-tariffs/E-1R-AGILE-24-10-01-G/standard-unit-rates/</x:v>
      </x:c>
    </x:row>
    <x:row r="5291" ht="21" customHeight="1">
      <x:c r="A5291" s="24" t="n">
        <x:v>46258.729166666664</x:v>
      </x:c>
      <x:c r="B5291" s="6" t="n">
        <x:v>0.41850000000000004</x:v>
      </x:c>
      <x:c r="C5291" s="6" t="n">
        <x:v>0.2216</x:v>
      </x:c>
      <x:c r="D5291" s="6" t="n">
        <x:f>B5291</x:f>
        <x:v>0.41850000000000004</x:v>
      </x:c>
      <x:c r="E5291" s="1" t="n">
        <x:v>1.05</x:v>
      </x:c>
      <x:c r="F5291" s="1" t="str">
        <x:v>https://api.octopus.energy/v1/products/AGILE-24-10-01/electricity-tariffs/E-1R-AGILE-24-10-01-G/standard-unit-rates/</x:v>
      </x:c>
    </x:row>
    <x:row r="5292" ht="21" customHeight="1">
      <x:c r="A5292" s="24" t="n">
        <x:v>46258.75</x:v>
      </x:c>
      <x:c r="B5292" s="6" t="n">
        <x:v>0.4457</x:v>
      </x:c>
      <x:c r="C5292" s="6" t="n">
        <x:v>0.2341</x:v>
      </x:c>
      <x:c r="D5292" s="6" t="n">
        <x:f>B5292</x:f>
        <x:v>0.4457</x:v>
      </x:c>
      <x:c r="E5292" s="1" t="n">
        <x:v>1.05</x:v>
      </x:c>
      <x:c r="F5292" s="1" t="str">
        <x:v>https://api.octopus.energy/v1/products/AGILE-24-10-01/electricity-tariffs/E-1R-AGILE-24-10-01-G/standard-unit-rates/</x:v>
      </x:c>
    </x:row>
    <x:row r="5293" ht="21" customHeight="1">
      <x:c r="A5293" s="24" t="n">
        <x:v>46258.770833333336</x:v>
      </x:c>
      <x:c r="B5293" s="6" t="n">
        <x:v>0.4573</x:v>
      </x:c>
      <x:c r="C5293" s="6" t="n">
        <x:v>0.23929999999999998</x:v>
      </x:c>
      <x:c r="D5293" s="6" t="n">
        <x:f>B5293</x:f>
        <x:v>0.4573</x:v>
      </x:c>
      <x:c r="E5293" s="1" t="n">
        <x:v>1.05</x:v>
      </x:c>
      <x:c r="F5293" s="1" t="str">
        <x:v>https://api.octopus.energy/v1/products/AGILE-24-10-01/electricity-tariffs/E-1R-AGILE-24-10-01-G/standard-unit-rates/</x:v>
      </x:c>
    </x:row>
    <x:row r="5294" ht="21" customHeight="1">
      <x:c r="A5294" s="24" t="n">
        <x:v>46258.791666666664</x:v>
      </x:c>
      <x:c r="B5294" s="6" t="n">
        <x:v>0.325</x:v>
      </x:c>
      <x:c r="C5294" s="6" t="n">
        <x:v>0.17489999999999997</x:v>
      </x:c>
      <x:c r="D5294" s="6" t="n">
        <x:f>B5294</x:f>
        <x:v>0.325</x:v>
      </x:c>
      <x:c r="E5294" s="1" t="n">
        <x:v>1.05</x:v>
      </x:c>
      <x:c r="F5294" s="1" t="str">
        <x:v>https://api.octopus.energy/v1/products/AGILE-24-10-01/electricity-tariffs/E-1R-AGILE-24-10-01-G/standard-unit-rates/</x:v>
      </x:c>
    </x:row>
    <x:row r="5295" ht="21" customHeight="1">
      <x:c r="A5295" s="24" t="n">
        <x:v>46258.8125</x:v>
      </x:c>
      <x:c r="B5295" s="6" t="n">
        <x:v>0.3257</x:v>
      </x:c>
      <x:c r="C5295" s="6" t="n">
        <x:v>0.1752</x:v>
      </x:c>
      <x:c r="D5295" s="6" t="n">
        <x:f>B5295</x:f>
        <x:v>0.3257</x:v>
      </x:c>
      <x:c r="E5295" s="1" t="n">
        <x:v>1.05</x:v>
      </x:c>
      <x:c r="F5295" s="1" t="str">
        <x:v>https://api.octopus.energy/v1/products/AGILE-24-10-01/electricity-tariffs/E-1R-AGILE-24-10-01-G/standard-unit-rates/</x:v>
      </x:c>
    </x:row>
    <x:row r="5296" ht="21" customHeight="1">
      <x:c r="A5296" s="24" t="n">
        <x:v>46258.833333333336</x:v>
      </x:c>
      <x:c r="B5296" s="6" t="n">
        <x:v>0.3165</x:v>
      </x:c>
      <x:c r="C5296" s="6" t="n">
        <x:v>0.171</x:v>
      </x:c>
      <x:c r="D5296" s="6" t="n">
        <x:f>B5296</x:f>
        <x:v>0.3165</x:v>
      </x:c>
      <x:c r="E5296" s="1" t="n">
        <x:v>1.05</x:v>
      </x:c>
      <x:c r="F5296" s="1" t="str">
        <x:v>https://api.octopus.energy/v1/products/AGILE-24-10-01/electricity-tariffs/E-1R-AGILE-24-10-01-G/standard-unit-rates/</x:v>
      </x:c>
    </x:row>
    <x:row r="5297" ht="21" customHeight="1">
      <x:c r="A5297" s="24" t="n">
        <x:v>46258.854166666664</x:v>
      </x:c>
      <x:c r="B5297" s="6" t="n">
        <x:v>0.3095</x:v>
      </x:c>
      <x:c r="C5297" s="6" t="n">
        <x:v>0.1678</x:v>
      </x:c>
      <x:c r="D5297" s="6" t="n">
        <x:f>B5297</x:f>
        <x:v>0.3095</x:v>
      </x:c>
      <x:c r="E5297" s="1" t="n">
        <x:v>1.05</x:v>
      </x:c>
      <x:c r="F5297" s="1" t="str">
        <x:v>https://api.octopus.energy/v1/products/AGILE-24-10-01/electricity-tariffs/E-1R-AGILE-24-10-01-G/standard-unit-rates/</x:v>
      </x:c>
    </x:row>
    <x:row r="5298" ht="21" customHeight="1">
      <x:c r="A5298" s="24" t="n">
        <x:v>46258.875</x:v>
      </x:c>
      <x:c r="B5298" s="6" t="n">
        <x:v>0.2961</x:v>
      </x:c>
      <x:c r="C5298" s="6" t="n">
        <x:v>0.1616</x:v>
      </x:c>
      <x:c r="D5298" s="6" t="n">
        <x:f>B5298</x:f>
        <x:v>0.2961</x:v>
      </x:c>
      <x:c r="E5298" s="1" t="n">
        <x:v>1.05</x:v>
      </x:c>
      <x:c r="F5298" s="1" t="str">
        <x:v>https://api.octopus.energy/v1/products/AGILE-24-10-01/electricity-tariffs/E-1R-AGILE-24-10-01-G/standard-unit-rates/</x:v>
      </x:c>
    </x:row>
    <x:row r="5299" ht="21" customHeight="1">
      <x:c r="A5299" s="24" t="n">
        <x:v>46258.895833333336</x:v>
      </x:c>
      <x:c r="B5299" s="6" t="n">
        <x:v>0.2837</x:v>
      </x:c>
      <x:c r="C5299" s="6" t="n">
        <x:v>0.156</x:v>
      </x:c>
      <x:c r="D5299" s="6" t="n">
        <x:f>B5299</x:f>
        <x:v>0.2837</x:v>
      </x:c>
      <x:c r="E5299" s="1" t="n">
        <x:v>1.05</x:v>
      </x:c>
      <x:c r="F5299" s="1" t="str">
        <x:v>https://api.octopus.energy/v1/products/AGILE-24-10-01/electricity-tariffs/E-1R-AGILE-24-10-01-G/standard-unit-rates/</x:v>
      </x:c>
    </x:row>
    <x:row r="5300" ht="21" customHeight="1">
      <x:c r="A5300" s="24" t="n">
        <x:v>46258.916666666664</x:v>
      </x:c>
      <x:c r="B5300" s="6" t="n">
        <x:v>0.2612</x:v>
      </x:c>
      <x:c r="C5300" s="6" t="n">
        <x:v>0.1457</x:v>
      </x:c>
      <x:c r="D5300" s="6" t="n">
        <x:f>B5300</x:f>
        <x:v>0.2612</x:v>
      </x:c>
      <x:c r="E5300" s="1" t="n">
        <x:v>1.05</x:v>
      </x:c>
      <x:c r="F5300" s="1" t="str">
        <x:v>https://api.octopus.energy/v1/products/AGILE-24-10-01/electricity-tariffs/E-1R-AGILE-24-10-01-G/standard-unit-rates/</x:v>
      </x:c>
    </x:row>
    <x:row r="5301" ht="21" customHeight="1">
      <x:c r="A5301" s="24" t="n">
        <x:v>46258.9375</x:v>
      </x:c>
      <x:c r="B5301" s="6" t="n">
        <x:v>0.2447</x:v>
      </x:c>
      <x:c r="C5301" s="6" t="n">
        <x:v>0.1381</x:v>
      </x:c>
      <x:c r="D5301" s="6" t="n">
        <x:f>B5301</x:f>
        <x:v>0.2447</x:v>
      </x:c>
      <x:c r="E5301" s="1" t="n">
        <x:v>1.05</x:v>
      </x:c>
      <x:c r="F5301" s="1" t="str">
        <x:v>https://api.octopus.energy/v1/products/AGILE-24-10-01/electricity-tariffs/E-1R-AGILE-24-10-01-G/standard-unit-rates/</x:v>
      </x:c>
    </x:row>
    <x:row r="5302" ht="21" customHeight="1">
      <x:c r="A5302" s="24" t="n">
        <x:v>46259</x:v>
      </x:c>
      <x:c r="B5302" s="6" t="n">
        <x:v>0.2566</x:v>
      </x:c>
      <x:c r="C5302" s="6" t="n">
        <x:v>0.1436</x:v>
      </x:c>
      <x:c r="D5302" s="6" t="n">
        <x:f>B5302</x:f>
        <x:v>0.2566</x:v>
      </x:c>
      <x:c r="E5302" s="1" t="n">
        <x:v>1.05</x:v>
      </x:c>
      <x:c r="F5302" s="1" t="str">
        <x:v>https://api.octopus.energy/v1/products/AGILE-24-10-01/electricity-tariffs/E-1R-AGILE-24-10-01-G/standard-unit-rates/</x:v>
      </x:c>
    </x:row>
    <x:row r="5303" ht="21" customHeight="1">
      <x:c r="A5303" s="24" t="n">
        <x:v>46258.979166666664</x:v>
      </x:c>
      <x:c r="B5303" s="6" t="n">
        <x:v>0.2632</x:v>
      </x:c>
      <x:c r="C5303" s="6" t="n">
        <x:v>0.1466</x:v>
      </x:c>
      <x:c r="D5303" s="6" t="n">
        <x:f>B5303</x:f>
        <x:v>0.2632</x:v>
      </x:c>
      <x:c r="E5303" s="1" t="n">
        <x:v>1.05</x:v>
      </x:c>
      <x:c r="F5303" s="1" t="str">
        <x:v>https://api.octopus.energy/v1/products/AGILE-24-10-01/electricity-tariffs/E-1R-AGILE-24-10-01-G/standard-unit-rates/</x:v>
      </x:c>
    </x:row>
    <x:row r="5304" ht="21" customHeight="1">
      <x:c r="A5304" s="24" t="n">
        <x:v>46259</x:v>
      </x:c>
      <x:c r="B5304" s="6" t="n">
        <x:v>0.2488</x:v>
      </x:c>
      <x:c r="C5304" s="6" t="n">
        <x:v>0.14</x:v>
      </x:c>
      <x:c r="D5304" s="6" t="n">
        <x:f>B5304</x:f>
        <x:v>0.2488</x:v>
      </x:c>
      <x:c r="E5304" s="1" t="n">
        <x:v>1.05</x:v>
      </x:c>
      <x:c r="F5304" s="1" t="str">
        <x:v>https://api.octopus.energy/v1/products/AGILE-24-10-01/electricity-tariffs/E-1R-AGILE-24-10-01-G/standard-unit-rates/</x:v>
      </x:c>
    </x:row>
    <x:row r="5305" ht="21" customHeight="1">
      <x:c r="A5305" s="24" t="n">
        <x:v>46259.020833333336</x:v>
      </x:c>
      <x:c r="B5305" s="6" t="n">
        <x:v>0.24530000000000002</x:v>
      </x:c>
      <x:c r="C5305" s="6" t="n">
        <x:v>0.1384</x:v>
      </x:c>
      <x:c r="D5305" s="6" t="n">
        <x:f>B5305</x:f>
        <x:v>0.24530000000000002</x:v>
      </x:c>
      <x:c r="E5305" s="1" t="n">
        <x:v>1.05</x:v>
      </x:c>
      <x:c r="F5305" s="1" t="str">
        <x:v>https://api.octopus.energy/v1/products/AGILE-24-10-01/electricity-tariffs/E-1R-AGILE-24-10-01-G/standard-unit-rates/</x:v>
      </x:c>
    </x:row>
    <x:row r="5306" ht="21" customHeight="1">
      <x:c r="A5306" s="24" t="n">
        <x:v>46259.041666666664</x:v>
      </x:c>
      <x:c r="B5306" s="6" t="n">
        <x:v>0.2412</x:v>
      </x:c>
      <x:c r="C5306" s="6" t="n">
        <x:v>0.1365</x:v>
      </x:c>
      <x:c r="D5306" s="6" t="n">
        <x:f>B5306</x:f>
        <x:v>0.2412</x:v>
      </x:c>
      <x:c r="E5306" s="1" t="n">
        <x:v>1.05</x:v>
      </x:c>
      <x:c r="F5306" s="1" t="str">
        <x:v>https://api.octopus.energy/v1/products/AGILE-24-10-01/electricity-tariffs/E-1R-AGILE-24-10-01-G/standard-unit-rates/</x:v>
      </x:c>
    </x:row>
    <x:row r="5307" ht="21" customHeight="1">
      <x:c r="A5307" s="24" t="n">
        <x:v>46259.0625</x:v>
      </x:c>
      <x:c r="B5307" s="6" t="n">
        <x:v>0.2462</x:v>
      </x:c>
      <x:c r="C5307" s="6" t="n">
        <x:v>0.1388</x:v>
      </x:c>
      <x:c r="D5307" s="6" t="n">
        <x:f>B5307</x:f>
        <x:v>0.2462</x:v>
      </x:c>
      <x:c r="E5307" s="1" t="n">
        <x:v>1.05</x:v>
      </x:c>
      <x:c r="F5307" s="1" t="str">
        <x:v>https://api.octopus.energy/v1/products/AGILE-24-10-01/electricity-tariffs/E-1R-AGILE-24-10-01-G/standard-unit-rates/</x:v>
      </x:c>
    </x:row>
    <x:row r="5308" ht="21" customHeight="1">
      <x:c r="A5308" s="24" t="n">
        <x:v>46259.083333333336</x:v>
      </x:c>
      <x:c r="B5308" s="6" t="n">
        <x:v>0.2488</x:v>
      </x:c>
      <x:c r="C5308" s="6" t="n">
        <x:v>0.14</x:v>
      </x:c>
      <x:c r="D5308" s="6" t="n">
        <x:f>B5308</x:f>
        <x:v>0.2488</x:v>
      </x:c>
      <x:c r="E5308" s="1" t="n">
        <x:v>1.05</x:v>
      </x:c>
      <x:c r="F5308" s="1" t="str">
        <x:v>https://api.octopus.energy/v1/products/AGILE-24-10-01/electricity-tariffs/E-1R-AGILE-24-10-01-G/standard-unit-rates/</x:v>
      </x:c>
    </x:row>
    <x:row r="5309" ht="21" customHeight="1">
      <x:c r="A5309" s="24" t="n">
        <x:v>46259.104166666664</x:v>
      </x:c>
      <x:c r="B5309" s="6" t="n">
        <x:v>0.24359999999999998</x:v>
      </x:c>
      <x:c r="C5309" s="6" t="n">
        <x:v>0.1376</x:v>
      </x:c>
      <x:c r="D5309" s="6" t="n">
        <x:f>B5309</x:f>
        <x:v>0.24359999999999998</x:v>
      </x:c>
      <x:c r="E5309" s="1" t="n">
        <x:v>1.05</x:v>
      </x:c>
      <x:c r="F5309" s="1" t="str">
        <x:v>https://api.octopus.energy/v1/products/AGILE-24-10-01/electricity-tariffs/E-1R-AGILE-24-10-01-G/standard-unit-rates/</x:v>
      </x:c>
    </x:row>
    <x:row r="5310" ht="21" customHeight="1">
      <x:c r="A5310" s="24" t="n">
        <x:v>46259.125</x:v>
      </x:c>
      <x:c r="B5310" s="6" t="n">
        <x:v>0.24050000000000002</x:v>
      </x:c>
      <x:c r="C5310" s="6" t="n">
        <x:v>0.1362</x:v>
      </x:c>
      <x:c r="D5310" s="6" t="n">
        <x:f>B5310</x:f>
        <x:v>0.24050000000000002</x:v>
      </x:c>
      <x:c r="E5310" s="1" t="n">
        <x:v>1.05</x:v>
      </x:c>
      <x:c r="F5310" s="1" t="str">
        <x:v>https://api.octopus.energy/v1/products/AGILE-24-10-01/electricity-tariffs/E-1R-AGILE-24-10-01-G/standard-unit-rates/</x:v>
      </x:c>
    </x:row>
    <x:row r="5311" ht="21" customHeight="1">
      <x:c r="A5311" s="24" t="n">
        <x:v>46259.145833333336</x:v>
      </x:c>
      <x:c r="B5311" s="6" t="n">
        <x:v>0.2349</x:v>
      </x:c>
      <x:c r="C5311" s="6" t="n">
        <x:v>0.13369999999999999</x:v>
      </x:c>
      <x:c r="D5311" s="6" t="n">
        <x:f>B5311</x:f>
        <x:v>0.2349</x:v>
      </x:c>
      <x:c r="E5311" s="1" t="n">
        <x:v>1.05</x:v>
      </x:c>
      <x:c r="F5311" s="1" t="str">
        <x:v>https://api.octopus.energy/v1/products/AGILE-24-10-01/electricity-tariffs/E-1R-AGILE-24-10-01-G/standard-unit-rates/</x:v>
      </x:c>
    </x:row>
    <x:row r="5312" ht="21" customHeight="1">
      <x:c r="A5312" s="24" t="n">
        <x:v>46259.166666666664</x:v>
      </x:c>
      <x:c r="B5312" s="6" t="n">
        <x:v>0.252</x:v>
      </x:c>
      <x:c r="C5312" s="6" t="n">
        <x:v>0.14150000000000001</x:v>
      </x:c>
      <x:c r="D5312" s="6" t="n">
        <x:f>B5312</x:f>
        <x:v>0.252</x:v>
      </x:c>
      <x:c r="E5312" s="1" t="n">
        <x:v>1.05</x:v>
      </x:c>
      <x:c r="F5312" s="1" t="str">
        <x:v>https://api.octopus.energy/v1/products/AGILE-24-10-01/electricity-tariffs/E-1R-AGILE-24-10-01-G/standard-unit-rates/</x:v>
      </x:c>
    </x:row>
    <x:row r="5313" ht="21" customHeight="1">
      <x:c r="A5313" s="24" t="n">
        <x:v>46259.1875</x:v>
      </x:c>
      <x:c r="B5313" s="6" t="n">
        <x:v>0.2486</x:v>
      </x:c>
      <x:c r="C5313" s="6" t="n">
        <x:v>0.1399</x:v>
      </x:c>
      <x:c r="D5313" s="6" t="n">
        <x:f>B5313</x:f>
        <x:v>0.2486</x:v>
      </x:c>
      <x:c r="E5313" s="1" t="n">
        <x:v>1.05</x:v>
      </x:c>
      <x:c r="F5313" s="1" t="str">
        <x:v>https://api.octopus.energy/v1/products/AGILE-24-10-01/electricity-tariffs/E-1R-AGILE-24-10-01-G/standard-unit-rates/</x:v>
      </x:c>
    </x:row>
    <x:row r="5314" ht="21" customHeight="1">
      <x:c r="A5314" s="24" t="n">
        <x:v>46259.208333333336</x:v>
      </x:c>
      <x:c r="B5314" s="6" t="n">
        <x:v>0.29</x:v>
      </x:c>
      <x:c r="C5314" s="6" t="n">
        <x:v>0.1588</x:v>
      </x:c>
      <x:c r="D5314" s="6" t="n">
        <x:f>B5314</x:f>
        <x:v>0.29</x:v>
      </x:c>
      <x:c r="E5314" s="1" t="n">
        <x:v>1.05</x:v>
      </x:c>
      <x:c r="F5314" s="1" t="str">
        <x:v>https://api.octopus.energy/v1/products/AGILE-24-10-01/electricity-tariffs/E-1R-AGILE-24-10-01-G/standard-unit-rates/</x:v>
      </x:c>
    </x:row>
    <x:row r="5315" ht="21" customHeight="1">
      <x:c r="A5315" s="24" t="n">
        <x:v>46259.229166666664</x:v>
      </x:c>
      <x:c r="B5315" s="6" t="n">
        <x:v>0.2948</x:v>
      </x:c>
      <x:c r="C5315" s="6" t="n">
        <x:v>0.161</x:v>
      </x:c>
      <x:c r="D5315" s="6" t="n">
        <x:f>B5315</x:f>
        <x:v>0.2948</x:v>
      </x:c>
      <x:c r="E5315" s="1" t="n">
        <x:v>1.05</x:v>
      </x:c>
      <x:c r="F5315" s="1" t="str">
        <x:v>https://api.octopus.energy/v1/products/AGILE-24-10-01/electricity-tariffs/E-1R-AGILE-24-10-01-G/standard-unit-rates/</x:v>
      </x:c>
    </x:row>
    <x:row r="5316" ht="21" customHeight="1">
      <x:c r="A5316" s="24" t="n">
        <x:v>46259.25</x:v>
      </x:c>
      <x:c r="B5316" s="6" t="n">
        <x:v>0.3065</x:v>
      </x:c>
      <x:c r="C5316" s="6" t="n">
        <x:v>0.1664</x:v>
      </x:c>
      <x:c r="D5316" s="6" t="n">
        <x:f>B5316</x:f>
        <x:v>0.3065</x:v>
      </x:c>
      <x:c r="E5316" s="1" t="n">
        <x:v>1.05</x:v>
      </x:c>
      <x:c r="F5316" s="1" t="str">
        <x:v>https://api.octopus.energy/v1/products/AGILE-24-10-01/electricity-tariffs/E-1R-AGILE-24-10-01-G/standard-unit-rates/</x:v>
      </x:c>
    </x:row>
    <x:row r="5317" ht="21" customHeight="1">
      <x:c r="A5317" s="24" t="n">
        <x:v>46259.270833333336</x:v>
      </x:c>
      <x:c r="B5317" s="6" t="n">
        <x:v>0.30879999999999996</x:v>
      </x:c>
      <x:c r="C5317" s="6" t="n">
        <x:v>0.1674</x:v>
      </x:c>
      <x:c r="D5317" s="6" t="n">
        <x:f>B5317</x:f>
        <x:v>0.30879999999999996</x:v>
      </x:c>
      <x:c r="E5317" s="1" t="n">
        <x:v>1.05</x:v>
      </x:c>
      <x:c r="F5317" s="1" t="str">
        <x:v>https://api.octopus.energy/v1/products/AGILE-24-10-01/electricity-tariffs/E-1R-AGILE-24-10-01-G/standard-unit-rates/</x:v>
      </x:c>
    </x:row>
    <x:row r="5318" ht="21" customHeight="1">
      <x:c r="A5318" s="24" t="n">
        <x:v>46259.291666666664</x:v>
      </x:c>
      <x:c r="B5318" s="6" t="n">
        <x:v>0.2981</x:v>
      </x:c>
      <x:c r="C5318" s="6" t="n">
        <x:v>0.16260000000000002</x:v>
      </x:c>
      <x:c r="D5318" s="6" t="n">
        <x:f>B5318</x:f>
        <x:v>0.2981</x:v>
      </x:c>
      <x:c r="E5318" s="1" t="n">
        <x:v>1.05</x:v>
      </x:c>
      <x:c r="F5318" s="1" t="str">
        <x:v>https://api.octopus.energy/v1/products/AGILE-24-10-01/electricity-tariffs/E-1R-AGILE-24-10-01-G/standard-unit-rates/</x:v>
      </x:c>
    </x:row>
    <x:row r="5319" ht="21" customHeight="1">
      <x:c r="A5319" s="24" t="n">
        <x:v>46259.3125</x:v>
      </x:c>
      <x:c r="B5319" s="6" t="n">
        <x:v>0.30519999999999997</x:v>
      </x:c>
      <x:c r="C5319" s="6" t="n">
        <x:v>0.16579999999999998</x:v>
      </x:c>
      <x:c r="D5319" s="6" t="n">
        <x:f>B5319</x:f>
        <x:v>0.30519999999999997</x:v>
      </x:c>
      <x:c r="E5319" s="1" t="n">
        <x:v>1.05</x:v>
      </x:c>
      <x:c r="F5319" s="1" t="str">
        <x:v>https://api.octopus.energy/v1/products/AGILE-24-10-01/electricity-tariffs/E-1R-AGILE-24-10-01-G/standard-unit-rates/</x:v>
      </x:c>
    </x:row>
    <x:row r="5320" ht="21" customHeight="1">
      <x:c r="A5320" s="24" t="n">
        <x:v>46259.333333333336</x:v>
      </x:c>
      <x:c r="B5320" s="6" t="n">
        <x:v>0.30260000000000004</x:v>
      </x:c>
      <x:c r="C5320" s="6" t="n">
        <x:v>0.1646</x:v>
      </x:c>
      <x:c r="D5320" s="6" t="n">
        <x:f>B5320</x:f>
        <x:v>0.30260000000000004</x:v>
      </x:c>
      <x:c r="E5320" s="1" t="n">
        <x:v>1.05</x:v>
      </x:c>
      <x:c r="F5320" s="1" t="str">
        <x:v>https://api.octopus.energy/v1/products/AGILE-24-10-01/electricity-tariffs/E-1R-AGILE-24-10-01-G/standard-unit-rates/</x:v>
      </x:c>
    </x:row>
    <x:row r="5321" ht="21" customHeight="1">
      <x:c r="A5321" s="24" t="n">
        <x:v>46259.354166666664</x:v>
      </x:c>
      <x:c r="B5321" s="6" t="n">
        <x:v>0.2963</x:v>
      </x:c>
      <x:c r="C5321" s="6" t="n">
        <x:v>0.1617</x:v>
      </x:c>
      <x:c r="D5321" s="6" t="n">
        <x:f>B5321</x:f>
        <x:v>0.2963</x:v>
      </x:c>
      <x:c r="E5321" s="1" t="n">
        <x:v>1.05</x:v>
      </x:c>
      <x:c r="F5321" s="1" t="str">
        <x:v>https://api.octopus.energy/v1/products/AGILE-24-10-01/electricity-tariffs/E-1R-AGILE-24-10-01-G/standard-unit-rates/</x:v>
      </x:c>
    </x:row>
    <x:row r="5322" ht="21" customHeight="1">
      <x:c r="A5322" s="24" t="n">
        <x:v>46259.375</x:v>
      </x:c>
      <x:c r="B5322" s="6" t="n">
        <x:v>0.2711</x:v>
      </x:c>
      <x:c r="C5322" s="6" t="n">
        <x:v>0.1502</x:v>
      </x:c>
      <x:c r="D5322" s="6" t="n">
        <x:f>B5322</x:f>
        <x:v>0.2711</x:v>
      </x:c>
      <x:c r="E5322" s="1" t="n">
        <x:v>1.05</x:v>
      </x:c>
      <x:c r="F5322" s="1" t="str">
        <x:v>https://api.octopus.energy/v1/products/AGILE-24-10-01/electricity-tariffs/E-1R-AGILE-24-10-01-G/standard-unit-rates/</x:v>
      </x:c>
    </x:row>
    <x:row r="5323" ht="21" customHeight="1">
      <x:c r="A5323" s="24" t="n">
        <x:v>46259.395833333336</x:v>
      </x:c>
      <x:c r="B5323" s="6" t="n">
        <x:v>0.2357</x:v>
      </x:c>
      <x:c r="C5323" s="6" t="n">
        <x:v>0.134</x:v>
      </x:c>
      <x:c r="D5323" s="6" t="n">
        <x:f>B5323</x:f>
        <x:v>0.2357</x:v>
      </x:c>
      <x:c r="E5323" s="1" t="n">
        <x:v>1.05</x:v>
      </x:c>
      <x:c r="F5323" s="1" t="str">
        <x:v>https://api.octopus.energy/v1/products/AGILE-24-10-01/electricity-tariffs/E-1R-AGILE-24-10-01-G/standard-unit-rates/</x:v>
      </x:c>
    </x:row>
    <x:row r="5324" ht="21" customHeight="1">
      <x:c r="A5324" s="24" t="n">
        <x:v>46259.416666666664</x:v>
      </x:c>
      <x:c r="B5324" s="6" t="n">
        <x:v>0.228</x:v>
      </x:c>
      <x:c r="C5324" s="6" t="n">
        <x:v>0.1305</x:v>
      </x:c>
      <x:c r="D5324" s="6" t="n">
        <x:f>B5324</x:f>
        <x:v>0.228</x:v>
      </x:c>
      <x:c r="E5324" s="1" t="n">
        <x:v>1.05</x:v>
      </x:c>
      <x:c r="F5324" s="1" t="str">
        <x:v>https://api.octopus.energy/v1/products/AGILE-24-10-01/electricity-tariffs/E-1R-AGILE-24-10-01-G/standard-unit-rates/</x:v>
      </x:c>
    </x:row>
    <x:row r="5325" ht="21" customHeight="1">
      <x:c r="A5325" s="24" t="n">
        <x:v>46259.4375</x:v>
      </x:c>
      <x:c r="B5325" s="6" t="n">
        <x:v>0.1913</x:v>
      </x:c>
      <x:c r="C5325" s="6" t="n">
        <x:v>0.1137</x:v>
      </x:c>
      <x:c r="D5325" s="6" t="n">
        <x:f>B5325</x:f>
        <x:v>0.1913</x:v>
      </x:c>
      <x:c r="E5325" s="1" t="n">
        <x:v>1.05</x:v>
      </x:c>
      <x:c r="F5325" s="1" t="str">
        <x:v>https://api.octopus.energy/v1/products/AGILE-24-10-01/electricity-tariffs/E-1R-AGILE-24-10-01-G/standard-unit-rates/</x:v>
      </x:c>
    </x:row>
    <x:row r="5326" ht="21" customHeight="1">
      <x:c r="A5326" s="24" t="n">
        <x:v>46259.458333333336</x:v>
      </x:c>
      <x:c r="B5326" s="6" t="n">
        <x:v>0.1888</x:v>
      </x:c>
      <x:c r="C5326" s="6" t="n">
        <x:v>0.11259999999999999</x:v>
      </x:c>
      <x:c r="D5326" s="6" t="n">
        <x:f>B5326</x:f>
        <x:v>0.1888</x:v>
      </x:c>
      <x:c r="E5326" s="1" t="n">
        <x:v>1.05</x:v>
      </x:c>
      <x:c r="F5326" s="1" t="str">
        <x:v>https://api.octopus.energy/v1/products/AGILE-24-10-01/electricity-tariffs/E-1R-AGILE-24-10-01-G/standard-unit-rates/</x:v>
      </x:c>
    </x:row>
    <x:row r="5327" ht="21" customHeight="1">
      <x:c r="A5327" s="24" t="n">
        <x:v>46259.479166666664</x:v>
      </x:c>
      <x:c r="B5327" s="6" t="n">
        <x:v>0.2014</x:v>
      </x:c>
      <x:c r="C5327" s="6" t="n">
        <x:v>0.1183</x:v>
      </x:c>
      <x:c r="D5327" s="6" t="n">
        <x:f>B5327</x:f>
        <x:v>0.2014</x:v>
      </x:c>
      <x:c r="E5327" s="1" t="n">
        <x:v>1.05</x:v>
      </x:c>
      <x:c r="F5327" s="1" t="str">
        <x:v>https://api.octopus.energy/v1/products/AGILE-24-10-01/electricity-tariffs/E-1R-AGILE-24-10-01-G/standard-unit-rates/</x:v>
      </x:c>
    </x:row>
    <x:row r="5328" ht="21" customHeight="1">
      <x:c r="A5328" s="24" t="n">
        <x:v>46259.5</x:v>
      </x:c>
      <x:c r="B5328" s="6" t="n">
        <x:v>0.18350000000000002</x:v>
      </x:c>
      <x:c r="C5328" s="6" t="n">
        <x:v>0.11019999999999999</x:v>
      </x:c>
      <x:c r="D5328" s="6" t="n">
        <x:f>B5328</x:f>
        <x:v>0.18350000000000002</x:v>
      </x:c>
      <x:c r="E5328" s="1" t="n">
        <x:v>1.05</x:v>
      </x:c>
      <x:c r="F5328" s="1" t="str">
        <x:v>https://api.octopus.energy/v1/products/AGILE-24-10-01/electricity-tariffs/E-1R-AGILE-24-10-01-G/standard-unit-rates/</x:v>
      </x:c>
    </x:row>
    <x:row r="5329" ht="21" customHeight="1">
      <x:c r="A5329" s="24" t="n">
        <x:v>46259.520833333336</x:v>
      </x:c>
      <x:c r="B5329" s="6" t="n">
        <x:v>0.1866</x:v>
      </x:c>
      <x:c r="C5329" s="6" t="n">
        <x:v>0.1116</x:v>
      </x:c>
      <x:c r="D5329" s="6" t="n">
        <x:f>B5329</x:f>
        <x:v>0.1866</x:v>
      </x:c>
      <x:c r="E5329" s="1" t="n">
        <x:v>1.05</x:v>
      </x:c>
      <x:c r="F5329" s="1" t="str">
        <x:v>https://api.octopus.energy/v1/products/AGILE-24-10-01/electricity-tariffs/E-1R-AGILE-24-10-01-G/standard-unit-rates/</x:v>
      </x:c>
    </x:row>
    <x:row r="5330" ht="21" customHeight="1">
      <x:c r="A5330" s="24" t="n">
        <x:v>46259.541666666664</x:v>
      </x:c>
      <x:c r="B5330" s="6" t="n">
        <x:v>0.1843</x:v>
      </x:c>
      <x:c r="C5330" s="6" t="n">
        <x:v>0.1105</x:v>
      </x:c>
      <x:c r="D5330" s="6" t="n">
        <x:f>B5330</x:f>
        <x:v>0.1843</x:v>
      </x:c>
      <x:c r="E5330" s="1" t="n">
        <x:v>1.05</x:v>
      </x:c>
      <x:c r="F5330" s="1" t="str">
        <x:v>https://api.octopus.energy/v1/products/AGILE-24-10-01/electricity-tariffs/E-1R-AGILE-24-10-01-G/standard-unit-rates/</x:v>
      </x:c>
    </x:row>
    <x:row r="5331" ht="21" customHeight="1">
      <x:c r="A5331" s="24" t="n">
        <x:v>46259.5625</x:v>
      </x:c>
      <x:c r="B5331" s="6" t="n">
        <x:v>0.1873</x:v>
      </x:c>
      <x:c r="C5331" s="6" t="n">
        <x:v>0.1119</x:v>
      </x:c>
      <x:c r="D5331" s="6" t="n">
        <x:f>B5331</x:f>
        <x:v>0.1873</x:v>
      </x:c>
      <x:c r="E5331" s="1" t="n">
        <x:v>1.05</x:v>
      </x:c>
      <x:c r="F5331" s="1" t="str">
        <x:v>https://api.octopus.energy/v1/products/AGILE-24-10-01/electricity-tariffs/E-1R-AGILE-24-10-01-G/standard-unit-rates/</x:v>
      </x:c>
    </x:row>
    <x:row r="5332" ht="21" customHeight="1">
      <x:c r="A5332" s="24" t="n">
        <x:v>46259.583333333336</x:v>
      </x:c>
      <x:c r="B5332" s="6" t="n">
        <x:v>0.2059</x:v>
      </x:c>
      <x:c r="C5332" s="6" t="n">
        <x:v>0.1204</x:v>
      </x:c>
      <x:c r="D5332" s="6" t="n">
        <x:f>B5332</x:f>
        <x:v>0.2059</x:v>
      </x:c>
      <x:c r="E5332" s="1" t="n">
        <x:v>1.05</x:v>
      </x:c>
      <x:c r="F5332" s="1" t="str">
        <x:v>https://api.octopus.energy/v1/products/AGILE-24-10-01/electricity-tariffs/E-1R-AGILE-24-10-01-G/standard-unit-rates/</x:v>
      </x:c>
    </x:row>
    <x:row r="5333" ht="21" customHeight="1">
      <x:c r="A5333" s="24" t="n">
        <x:v>46259.604166666664</x:v>
      </x:c>
      <x:c r="B5333" s="6" t="n">
        <x:v>0.1923</x:v>
      </x:c>
      <x:c r="C5333" s="6" t="n">
        <x:v>0.1142</x:v>
      </x:c>
      <x:c r="D5333" s="6" t="n">
        <x:f>B5333</x:f>
        <x:v>0.1923</x:v>
      </x:c>
      <x:c r="E5333" s="1" t="n">
        <x:v>1.05</x:v>
      </x:c>
      <x:c r="F5333" s="1" t="str">
        <x:v>https://api.octopus.energy/v1/products/AGILE-24-10-01/electricity-tariffs/E-1R-AGILE-24-10-01-G/standard-unit-rates/</x:v>
      </x:c>
    </x:row>
    <x:row r="5334" ht="21" customHeight="1">
      <x:c r="A5334" s="24" t="n">
        <x:v>46259.625</x:v>
      </x:c>
      <x:c r="B5334" s="6" t="n">
        <x:v>0.20079999999999998</x:v>
      </x:c>
      <x:c r="C5334" s="6" t="n">
        <x:v>0.11810000000000001</x:v>
      </x:c>
      <x:c r="D5334" s="6" t="n">
        <x:f>B5334</x:f>
        <x:v>0.20079999999999998</x:v>
      </x:c>
      <x:c r="E5334" s="1" t="n">
        <x:v>1.05</x:v>
      </x:c>
      <x:c r="F5334" s="1" t="str">
        <x:v>https://api.octopus.energy/v1/products/AGILE-24-10-01/electricity-tariffs/E-1R-AGILE-24-10-01-G/standard-unit-rates/</x:v>
      </x:c>
    </x:row>
    <x:row r="5335" ht="21" customHeight="1">
      <x:c r="A5335" s="24" t="n">
        <x:v>46259.645833333336</x:v>
      </x:c>
      <x:c r="B5335" s="6" t="n">
        <x:v>0.22010000000000002</x:v>
      </x:c>
      <x:c r="C5335" s="6" t="n">
        <x:v>0.12689999999999999</x:v>
      </x:c>
      <x:c r="D5335" s="6" t="n">
        <x:f>B5335</x:f>
        <x:v>0.22010000000000002</x:v>
      </x:c>
      <x:c r="E5335" s="1" t="n">
        <x:v>1.05</x:v>
      </x:c>
      <x:c r="F5335" s="1" t="str">
        <x:v>https://api.octopus.energy/v1/products/AGILE-24-10-01/electricity-tariffs/E-1R-AGILE-24-10-01-G/standard-unit-rates/</x:v>
      </x:c>
    </x:row>
    <x:row r="5336" ht="21" customHeight="1">
      <x:c r="A5336" s="24" t="n">
        <x:v>46259.666666666664</x:v>
      </x:c>
      <x:c r="B5336" s="6" t="n">
        <x:v>0.3575</x:v>
      </x:c>
      <x:c r="C5336" s="6" t="n">
        <x:v>0.1937</x:v>
      </x:c>
      <x:c r="D5336" s="6" t="n">
        <x:f>B5336</x:f>
        <x:v>0.3575</x:v>
      </x:c>
      <x:c r="E5336" s="1" t="n">
        <x:v>1.05</x:v>
      </x:c>
      <x:c r="F5336" s="1" t="str">
        <x:v>https://api.octopus.energy/v1/products/AGILE-24-10-01/electricity-tariffs/E-1R-AGILE-24-10-01-G/standard-unit-rates/</x:v>
      </x:c>
    </x:row>
    <x:row r="5337" ht="21" customHeight="1">
      <x:c r="A5337" s="24" t="n">
        <x:v>46259.6875</x:v>
      </x:c>
      <x:c r="B5337" s="6" t="n">
        <x:v>0.35960000000000003</x:v>
      </x:c>
      <x:c r="C5337" s="6" t="n">
        <x:v>0.19469999999999998</x:v>
      </x:c>
      <x:c r="D5337" s="6" t="n">
        <x:f>B5337</x:f>
        <x:v>0.35960000000000003</x:v>
      </x:c>
      <x:c r="E5337" s="1" t="n">
        <x:v>1.05</x:v>
      </x:c>
      <x:c r="F5337" s="1" t="str">
        <x:v>https://api.octopus.energy/v1/products/AGILE-24-10-01/electricity-tariffs/E-1R-AGILE-24-10-01-G/standard-unit-rates/</x:v>
      </x:c>
    </x:row>
    <x:row r="5338" ht="21" customHeight="1">
      <x:c r="A5338" s="24" t="n">
        <x:v>46259.708333333336</x:v>
      </x:c>
      <x:c r="B5338" s="6" t="n">
        <x:v>0.39840000000000003</x:v>
      </x:c>
      <x:c r="C5338" s="6" t="n">
        <x:v>0.21239999999999998</x:v>
      </x:c>
      <x:c r="D5338" s="6" t="n">
        <x:f>B5338</x:f>
        <x:v>0.39840000000000003</x:v>
      </x:c>
      <x:c r="E5338" s="1" t="n">
        <x:v>1.05</x:v>
      </x:c>
      <x:c r="F5338" s="1" t="str">
        <x:v>https://api.octopus.energy/v1/products/AGILE-24-10-01/electricity-tariffs/E-1R-AGILE-24-10-01-G/standard-unit-rates/</x:v>
      </x:c>
    </x:row>
    <x:row r="5339" ht="21" customHeight="1">
      <x:c r="A5339" s="24" t="n">
        <x:v>46259.729166666664</x:v>
      </x:c>
      <x:c r="B5339" s="6" t="n">
        <x:v>0.45299999999999996</x:v>
      </x:c>
      <x:c r="C5339" s="6" t="n">
        <x:v>0.23739999999999997</x:v>
      </x:c>
      <x:c r="D5339" s="6" t="n">
        <x:f>B5339</x:f>
        <x:v>0.45299999999999996</x:v>
      </x:c>
      <x:c r="E5339" s="1" t="n">
        <x:v>1.05</x:v>
      </x:c>
      <x:c r="F5339" s="1" t="str">
        <x:v>https://api.octopus.energy/v1/products/AGILE-24-10-01/electricity-tariffs/E-1R-AGILE-24-10-01-G/standard-unit-rates/</x:v>
      </x:c>
    </x:row>
    <x:row r="5340" ht="21" customHeight="1">
      <x:c r="A5340" s="24" t="n">
        <x:v>46259.75</x:v>
      </x:c>
      <x:c r="B5340" s="6" t="n">
        <x:v>0.4593</x:v>
      </x:c>
      <x:c r="C5340" s="6" t="n">
        <x:v>0.2403</x:v>
      </x:c>
      <x:c r="D5340" s="6" t="n">
        <x:f>B5340</x:f>
        <x:v>0.4593</x:v>
      </x:c>
      <x:c r="E5340" s="1" t="n">
        <x:v>1.05</x:v>
      </x:c>
      <x:c r="F5340" s="1" t="str">
        <x:v>https://api.octopus.energy/v1/products/AGILE-24-10-01/electricity-tariffs/E-1R-AGILE-24-10-01-G/standard-unit-rates/</x:v>
      </x:c>
    </x:row>
    <x:row r="5341" ht="21" customHeight="1">
      <x:c r="A5341" s="24" t="n">
        <x:v>46259.770833333336</x:v>
      </x:c>
      <x:c r="B5341" s="6" t="n">
        <x:v>0.47369999999999995</x:v>
      </x:c>
      <x:c r="C5341" s="6" t="n">
        <x:v>0.2468</x:v>
      </x:c>
      <x:c r="D5341" s="6" t="n">
        <x:f>B5341</x:f>
        <x:v>0.47369999999999995</x:v>
      </x:c>
      <x:c r="E5341" s="1" t="n">
        <x:v>1.05</x:v>
      </x:c>
      <x:c r="F5341" s="1" t="str">
        <x:v>https://api.octopus.energy/v1/products/AGILE-24-10-01/electricity-tariffs/E-1R-AGILE-24-10-01-G/standard-unit-rates/</x:v>
      </x:c>
    </x:row>
    <x:row r="5342" ht="21" customHeight="1">
      <x:c r="A5342" s="24" t="n">
        <x:v>46259.791666666664</x:v>
      </x:c>
      <x:c r="B5342" s="6" t="n">
        <x:v>0.3513</x:v>
      </x:c>
      <x:c r="C5342" s="6" t="n">
        <x:v>0.1869</x:v>
      </x:c>
      <x:c r="D5342" s="6" t="n">
        <x:f>B5342</x:f>
        <x:v>0.3513</x:v>
      </x:c>
      <x:c r="E5342" s="1" t="n">
        <x:v>1.05</x:v>
      </x:c>
      <x:c r="F5342" s="1" t="str">
        <x:v>https://api.octopus.energy/v1/products/AGILE-24-10-01/electricity-tariffs/E-1R-AGILE-24-10-01-G/standard-unit-rates/</x:v>
      </x:c>
    </x:row>
    <x:row r="5343" ht="21" customHeight="1">
      <x:c r="A5343" s="24" t="n">
        <x:v>46259.8125</x:v>
      </x:c>
      <x:c r="B5343" s="6" t="n">
        <x:v>0.354</x:v>
      </x:c>
      <x:c r="C5343" s="6" t="n">
        <x:v>0.1881</x:v>
      </x:c>
      <x:c r="D5343" s="6" t="n">
        <x:f>B5343</x:f>
        <x:v>0.354</x:v>
      </x:c>
      <x:c r="E5343" s="1" t="n">
        <x:v>1.05</x:v>
      </x:c>
      <x:c r="F5343" s="1" t="str">
        <x:v>https://api.octopus.energy/v1/products/AGILE-24-10-01/electricity-tariffs/E-1R-AGILE-24-10-01-G/standard-unit-rates/</x:v>
      </x:c>
    </x:row>
    <x:row r="5344" ht="21" customHeight="1">
      <x:c r="A5344" s="24" t="n">
        <x:v>46259.833333333336</x:v>
      </x:c>
      <x:c r="B5344" s="6" t="n">
        <x:v>0.3139</x:v>
      </x:c>
      <x:c r="C5344" s="6" t="n">
        <x:v>0.1698</x:v>
      </x:c>
      <x:c r="D5344" s="6" t="n">
        <x:f>B5344</x:f>
        <x:v>0.3139</x:v>
      </x:c>
      <x:c r="E5344" s="1" t="n">
        <x:v>1.05</x:v>
      </x:c>
      <x:c r="F5344" s="1" t="str">
        <x:v>https://api.octopus.energy/v1/products/AGILE-24-10-01/electricity-tariffs/E-1R-AGILE-24-10-01-G/standard-unit-rates/</x:v>
      </x:c>
    </x:row>
    <x:row r="5345" ht="21" customHeight="1">
      <x:c r="A5345" s="24" t="n">
        <x:v>46259.854166666664</x:v>
      </x:c>
      <x:c r="B5345" s="6" t="n">
        <x:v>0.31170000000000003</x:v>
      </x:c>
      <x:c r="C5345" s="6" t="n">
        <x:v>0.16879999999999998</x:v>
      </x:c>
      <x:c r="D5345" s="6" t="n">
        <x:f>B5345</x:f>
        <x:v>0.31170000000000003</x:v>
      </x:c>
      <x:c r="E5345" s="1" t="n">
        <x:v>1.05</x:v>
      </x:c>
      <x:c r="F5345" s="1" t="str">
        <x:v>https://api.octopus.energy/v1/products/AGILE-24-10-01/electricity-tariffs/E-1R-AGILE-24-10-01-G/standard-unit-rates/</x:v>
      </x:c>
    </x:row>
    <x:row r="5346" ht="21" customHeight="1">
      <x:c r="A5346" s="24" t="n">
        <x:v>46259.875</x:v>
      </x:c>
      <x:c r="B5346" s="6" t="n">
        <x:v>0.3085</x:v>
      </x:c>
      <x:c r="C5346" s="6" t="n">
        <x:v>0.1673</x:v>
      </x:c>
      <x:c r="D5346" s="6" t="n">
        <x:f>B5346</x:f>
        <x:v>0.3085</x:v>
      </x:c>
      <x:c r="E5346" s="1" t="n">
        <x:v>1.05</x:v>
      </x:c>
      <x:c r="F5346" s="1" t="str">
        <x:v>https://api.octopus.energy/v1/products/AGILE-24-10-01/electricity-tariffs/E-1R-AGILE-24-10-01-G/standard-unit-rates/</x:v>
      </x:c>
    </x:row>
    <x:row r="5347" ht="21" customHeight="1">
      <x:c r="A5347" s="24" t="n">
        <x:v>46259.895833333336</x:v>
      </x:c>
      <x:c r="B5347" s="6" t="n">
        <x:v>0.2901</x:v>
      </x:c>
      <x:c r="C5347" s="6" t="n">
        <x:v>0.1589</x:v>
      </x:c>
      <x:c r="D5347" s="6" t="n">
        <x:f>B5347</x:f>
        <x:v>0.2901</x:v>
      </x:c>
      <x:c r="E5347" s="1" t="n">
        <x:v>1.05</x:v>
      </x:c>
      <x:c r="F5347" s="1" t="str">
        <x:v>https://api.octopus.energy/v1/products/AGILE-24-10-01/electricity-tariffs/E-1R-AGILE-24-10-01-G/standard-unit-rates/</x:v>
      </x:c>
    </x:row>
    <x:row r="5348" ht="21" customHeight="1">
      <x:c r="A5348" s="24" t="n">
        <x:v>46259.916666666664</x:v>
      </x:c>
      <x:c r="B5348" s="6" t="n">
        <x:v>0.2822</x:v>
      </x:c>
      <x:c r="C5348" s="6" t="n">
        <x:v>0.1553</x:v>
      </x:c>
      <x:c r="D5348" s="6" t="n">
        <x:f>B5348</x:f>
        <x:v>0.2822</x:v>
      </x:c>
      <x:c r="E5348" s="1" t="n">
        <x:v>1.05</x:v>
      </x:c>
      <x:c r="F5348" s="1" t="str">
        <x:v>https://api.octopus.energy/v1/products/AGILE-24-10-01/electricity-tariffs/E-1R-AGILE-24-10-01-G/standard-unit-rates/</x:v>
      </x:c>
    </x:row>
    <x:row r="5349" ht="21" customHeight="1">
      <x:c r="A5349" s="24" t="n">
        <x:v>46259.9375</x:v>
      </x:c>
      <x:c r="B5349" s="6" t="n">
        <x:v>0.2623</x:v>
      </x:c>
      <x:c r="C5349" s="6" t="n">
        <x:v>0.1462</x:v>
      </x:c>
      <x:c r="D5349" s="6" t="n">
        <x:f>B5349</x:f>
        <x:v>0.2623</x:v>
      </x:c>
      <x:c r="E5349" s="1" t="n">
        <x:v>1.05</x:v>
      </x:c>
      <x:c r="F5349" s="1" t="str">
        <x:v>https://api.octopus.energy/v1/products/AGILE-24-10-01/electricity-tariffs/E-1R-AGILE-24-10-01-G/standard-unit-rates/</x:v>
      </x:c>
    </x:row>
    <x:row r="5350" ht="21" customHeight="1">
      <x:c r="A5350" s="24" t="n">
        <x:v>46260</x:v>
      </x:c>
      <x:c r="B5350" s="6" t="n">
        <x:v>0.26239999999999997</x:v>
      </x:c>
      <x:c r="C5350" s="6" t="n">
        <x:v>0.1462</x:v>
      </x:c>
      <x:c r="D5350" s="6" t="n">
        <x:f>B5350</x:f>
        <x:v>0.26239999999999997</x:v>
      </x:c>
      <x:c r="E5350" s="1" t="n">
        <x:v>1.05</x:v>
      </x:c>
      <x:c r="F5350" s="1" t="str">
        <x:v>https://api.octopus.energy/v1/products/AGILE-24-10-01/electricity-tariffs/E-1R-AGILE-24-10-01-G/standard-unit-rates/</x:v>
      </x:c>
    </x:row>
    <x:row r="5351" ht="21" customHeight="1">
      <x:c r="A5351" s="24" t="n">
        <x:v>46259.979166666664</x:v>
      </x:c>
      <x:c r="B5351" s="6" t="n">
        <x:v>0.2462</x:v>
      </x:c>
      <x:c r="C5351" s="6" t="n">
        <x:v>0.1388</x:v>
      </x:c>
      <x:c r="D5351" s="6" t="n">
        <x:f>B5351</x:f>
        <x:v>0.2462</x:v>
      </x:c>
      <x:c r="E5351" s="1" t="n">
        <x:v>1.05</x:v>
      </x:c>
      <x:c r="F5351" s="1" t="str">
        <x:v>https://api.octopus.energy/v1/products/AGILE-24-10-01/electricity-tariffs/E-1R-AGILE-24-10-01-G/standard-unit-rates/</x:v>
      </x:c>
    </x:row>
    <x:row r="5352" ht="21" customHeight="1">
      <x:c r="A5352" s="24" t="n">
        <x:v>46260</x:v>
      </x:c>
      <x:c r="B5352" s="6" t="n">
        <x:v>0.2375</x:v>
      </x:c>
      <x:c r="C5352" s="6" t="n">
        <x:v>0.1349</x:v>
      </x:c>
      <x:c r="D5352" s="6" t="n">
        <x:f>B5352</x:f>
        <x:v>0.2375</x:v>
      </x:c>
      <x:c r="E5352" s="1" t="n">
        <x:v>1.05</x:v>
      </x:c>
      <x:c r="F5352" s="1" t="str">
        <x:v>https://api.octopus.energy/v1/products/AGILE-24-10-01/electricity-tariffs/E-1R-AGILE-24-10-01-G/standard-unit-rates/</x:v>
      </x:c>
    </x:row>
    <x:row r="5353" ht="21" customHeight="1">
      <x:c r="A5353" s="24" t="n">
        <x:v>46260.020833333336</x:v>
      </x:c>
      <x:c r="B5353" s="6" t="n">
        <x:v>0.2328</x:v>
      </x:c>
      <x:c r="C5353" s="6" t="n">
        <x:v>0.13269999999999998</x:v>
      </x:c>
      <x:c r="D5353" s="6" t="n">
        <x:f>B5353</x:f>
        <x:v>0.2328</x:v>
      </x:c>
      <x:c r="E5353" s="1" t="n">
        <x:v>1.05</x:v>
      </x:c>
      <x:c r="F5353" s="1" t="str">
        <x:v>https://api.octopus.energy/v1/products/AGILE-24-10-01/electricity-tariffs/E-1R-AGILE-24-10-01-G/standard-unit-rates/</x:v>
      </x:c>
    </x:row>
    <x:row r="5354" ht="21" customHeight="1">
      <x:c r="A5354" s="24" t="n">
        <x:v>46260.041666666664</x:v>
      </x:c>
      <x:c r="B5354" s="6" t="n">
        <x:v>0.2323</x:v>
      </x:c>
      <x:c r="C5354" s="6" t="n">
        <x:v>0.1325</x:v>
      </x:c>
      <x:c r="D5354" s="6" t="n">
        <x:f>B5354</x:f>
        <x:v>0.2323</x:v>
      </x:c>
      <x:c r="E5354" s="1" t="n">
        <x:v>1.05</x:v>
      </x:c>
      <x:c r="F5354" s="1" t="str">
        <x:v>https://api.octopus.energy/v1/products/AGILE-24-10-01/electricity-tariffs/E-1R-AGILE-24-10-01-G/standard-unit-rates/</x:v>
      </x:c>
    </x:row>
    <x:row r="5355" ht="21" customHeight="1">
      <x:c r="A5355" s="24" t="n">
        <x:v>46260.0625</x:v>
      </x:c>
      <x:c r="B5355" s="6" t="n">
        <x:v>0.23329999999999998</x:v>
      </x:c>
      <x:c r="C5355" s="6" t="n">
        <x:v>0.1329</x:v>
      </x:c>
      <x:c r="D5355" s="6" t="n">
        <x:f>B5355</x:f>
        <x:v>0.23329999999999998</x:v>
      </x:c>
      <x:c r="E5355" s="1" t="n">
        <x:v>1.05</x:v>
      </x:c>
      <x:c r="F5355" s="1" t="str">
        <x:v>https://api.octopus.energy/v1/products/AGILE-24-10-01/electricity-tariffs/E-1R-AGILE-24-10-01-G/standard-unit-rates/</x:v>
      </x:c>
    </x:row>
    <x:row r="5356" ht="21" customHeight="1">
      <x:c r="A5356" s="24" t="n">
        <x:v>46260.083333333336</x:v>
      </x:c>
      <x:c r="B5356" s="6" t="n">
        <x:v>0.23120000000000002</x:v>
      </x:c>
      <x:c r="C5356" s="6" t="n">
        <x:v>0.132</x:v>
      </x:c>
      <x:c r="D5356" s="6" t="n">
        <x:f>B5356</x:f>
        <x:v>0.23120000000000002</x:v>
      </x:c>
      <x:c r="E5356" s="1" t="n">
        <x:v>1.05</x:v>
      </x:c>
      <x:c r="F5356" s="1" t="str">
        <x:v>https://api.octopus.energy/v1/products/AGILE-24-10-01/electricity-tariffs/E-1R-AGILE-24-10-01-G/standard-unit-rates/</x:v>
      </x:c>
    </x:row>
    <x:row r="5357" ht="21" customHeight="1">
      <x:c r="A5357" s="24" t="n">
        <x:v>46260.104166666664</x:v>
      </x:c>
      <x:c r="B5357" s="6" t="n">
        <x:v>0.23120000000000002</x:v>
      </x:c>
      <x:c r="C5357" s="6" t="n">
        <x:v>0.132</x:v>
      </x:c>
      <x:c r="D5357" s="6" t="n">
        <x:f>B5357</x:f>
        <x:v>0.23120000000000002</x:v>
      </x:c>
      <x:c r="E5357" s="1" t="n">
        <x:v>1.05</x:v>
      </x:c>
      <x:c r="F5357" s="1" t="str">
        <x:v>https://api.octopus.energy/v1/products/AGILE-24-10-01/electricity-tariffs/E-1R-AGILE-24-10-01-G/standard-unit-rates/</x:v>
      </x:c>
    </x:row>
    <x:row r="5358" ht="21" customHeight="1">
      <x:c r="A5358" s="24" t="n">
        <x:v>46260.125</x:v>
      </x:c>
      <x:c r="B5358" s="6" t="n">
        <x:v>0.2343</x:v>
      </x:c>
      <x:c r="C5358" s="6" t="n">
        <x:v>0.1334</x:v>
      </x:c>
      <x:c r="D5358" s="6" t="n">
        <x:f>B5358</x:f>
        <x:v>0.2343</x:v>
      </x:c>
      <x:c r="E5358" s="1" t="n">
        <x:v>1.05</x:v>
      </x:c>
      <x:c r="F5358" s="1" t="str">
        <x:v>https://api.octopus.energy/v1/products/AGILE-24-10-01/electricity-tariffs/E-1R-AGILE-24-10-01-G/standard-unit-rates/</x:v>
      </x:c>
    </x:row>
    <x:row r="5359" ht="21" customHeight="1">
      <x:c r="A5359" s="24" t="n">
        <x:v>46260.145833333336</x:v>
      </x:c>
      <x:c r="B5359" s="6" t="n">
        <x:v>0.23120000000000002</x:v>
      </x:c>
      <x:c r="C5359" s="6" t="n">
        <x:v>0.132</x:v>
      </x:c>
      <x:c r="D5359" s="6" t="n">
        <x:f>B5359</x:f>
        <x:v>0.23120000000000002</x:v>
      </x:c>
      <x:c r="E5359" s="1" t="n">
        <x:v>1.05</x:v>
      </x:c>
      <x:c r="F5359" s="1" t="str">
        <x:v>https://api.octopus.energy/v1/products/AGILE-24-10-01/electricity-tariffs/E-1R-AGILE-24-10-01-G/standard-unit-rates/</x:v>
      </x:c>
    </x:row>
    <x:row r="5360" ht="21" customHeight="1">
      <x:c r="A5360" s="24" t="n">
        <x:v>46260.166666666664</x:v>
      </x:c>
      <x:c r="B5360" s="6" t="n">
        <x:v>0.2369</x:v>
      </x:c>
      <x:c r="C5360" s="6" t="n">
        <x:v>0.1346</x:v>
      </x:c>
      <x:c r="D5360" s="6" t="n">
        <x:f>B5360</x:f>
        <x:v>0.2369</x:v>
      </x:c>
      <x:c r="E5360" s="1" t="n">
        <x:v>1.05</x:v>
      </x:c>
      <x:c r="F5360" s="1" t="str">
        <x:v>https://api.octopus.energy/v1/products/AGILE-24-10-01/electricity-tariffs/E-1R-AGILE-24-10-01-G/standard-unit-rates/</x:v>
      </x:c>
    </x:row>
    <x:row r="5361" ht="21" customHeight="1">
      <x:c r="A5361" s="24" t="n">
        <x:v>46260.1875</x:v>
      </x:c>
      <x:c r="B5361" s="6" t="n">
        <x:v>0.23329999999999998</x:v>
      </x:c>
      <x:c r="C5361" s="6" t="n">
        <x:v>0.1329</x:v>
      </x:c>
      <x:c r="D5361" s="6" t="n">
        <x:f>B5361</x:f>
        <x:v>0.23329999999999998</x:v>
      </x:c>
      <x:c r="E5361" s="1" t="n">
        <x:v>1.05</x:v>
      </x:c>
      <x:c r="F5361" s="1" t="str">
        <x:v>https://api.octopus.energy/v1/products/AGILE-24-10-01/electricity-tariffs/E-1R-AGILE-24-10-01-G/standard-unit-rates/</x:v>
      </x:c>
    </x:row>
    <x:row r="5362" ht="21" customHeight="1">
      <x:c r="A5362" s="24" t="n">
        <x:v>46260.208333333336</x:v>
      </x:c>
      <x:c r="B5362" s="6" t="n">
        <x:v>0.2668</x:v>
      </x:c>
      <x:c r="C5362" s="6" t="n">
        <x:v>0.1482</x:v>
      </x:c>
      <x:c r="D5362" s="6" t="n">
        <x:f>B5362</x:f>
        <x:v>0.2668</x:v>
      </x:c>
      <x:c r="E5362" s="1" t="n">
        <x:v>1.05</x:v>
      </x:c>
      <x:c r="F5362" s="1" t="str">
        <x:v>https://api.octopus.energy/v1/products/AGILE-24-10-01/electricity-tariffs/E-1R-AGILE-24-10-01-G/standard-unit-rates/</x:v>
      </x:c>
    </x:row>
    <x:row r="5363" ht="21" customHeight="1">
      <x:c r="A5363" s="24" t="n">
        <x:v>46260.229166666664</x:v>
      </x:c>
      <x:c r="B5363" s="6" t="n">
        <x:v>0.2842</x:v>
      </x:c>
      <x:c r="C5363" s="6" t="n">
        <x:v>0.1562</x:v>
      </x:c>
      <x:c r="D5363" s="6" t="n">
        <x:f>B5363</x:f>
        <x:v>0.2842</x:v>
      </x:c>
      <x:c r="E5363" s="1" t="n">
        <x:v>1.05</x:v>
      </x:c>
      <x:c r="F5363" s="1" t="str">
        <x:v>https://api.octopus.energy/v1/products/AGILE-24-10-01/electricity-tariffs/E-1R-AGILE-24-10-01-G/standard-unit-rates/</x:v>
      </x:c>
    </x:row>
    <x:row r="5364" ht="21" customHeight="1">
      <x:c r="A5364" s="24" t="n">
        <x:v>46260.25</x:v>
      </x:c>
      <x:c r="B5364" s="6" t="n">
        <x:v>0.2837</x:v>
      </x:c>
      <x:c r="C5364" s="6" t="n">
        <x:v>0.156</x:v>
      </x:c>
      <x:c r="D5364" s="6" t="n">
        <x:f>B5364</x:f>
        <x:v>0.2837</x:v>
      </x:c>
      <x:c r="E5364" s="1" t="n">
        <x:v>1.05</x:v>
      </x:c>
      <x:c r="F5364" s="1" t="str">
        <x:v>https://api.octopus.energy/v1/products/AGILE-24-10-01/electricity-tariffs/E-1R-AGILE-24-10-01-G/standard-unit-rates/</x:v>
      </x:c>
    </x:row>
    <x:row r="5365" ht="21" customHeight="1">
      <x:c r="A5365" s="24" t="n">
        <x:v>46260.270833333336</x:v>
      </x:c>
      <x:c r="B5365" s="6" t="n">
        <x:v>0.308</x:v>
      </x:c>
      <x:c r="C5365" s="6" t="n">
        <x:v>0.1671</x:v>
      </x:c>
      <x:c r="D5365" s="6" t="n">
        <x:f>B5365</x:f>
        <x:v>0.308</x:v>
      </x:c>
      <x:c r="E5365" s="1" t="n">
        <x:v>1.05</x:v>
      </x:c>
      <x:c r="F5365" s="1" t="str">
        <x:v>https://api.octopus.energy/v1/products/AGILE-24-10-01/electricity-tariffs/E-1R-AGILE-24-10-01-G/standard-unit-rates/</x:v>
      </x:c>
    </x:row>
    <x:row r="5366" ht="21" customHeight="1">
      <x:c r="A5366" s="24" t="n">
        <x:v>46260.291666666664</x:v>
      </x:c>
      <x:c r="B5366" s="6" t="n">
        <x:v>0.3106</x:v>
      </x:c>
      <x:c r="C5366" s="6" t="n">
        <x:v>0.16820000000000002</x:v>
      </x:c>
      <x:c r="D5366" s="6" t="n">
        <x:f>B5366</x:f>
        <x:v>0.3106</x:v>
      </x:c>
      <x:c r="E5366" s="1" t="n">
        <x:v>1.05</x:v>
      </x:c>
      <x:c r="F5366" s="1" t="str">
        <x:v>https://api.octopus.energy/v1/products/AGILE-24-10-01/electricity-tariffs/E-1R-AGILE-24-10-01-G/standard-unit-rates/</x:v>
      </x:c>
    </x:row>
    <x:row r="5367" ht="21" customHeight="1">
      <x:c r="A5367" s="24" t="n">
        <x:v>46260.3125</x:v>
      </x:c>
      <x:c r="B5367" s="6" t="n">
        <x:v>0.3178</x:v>
      </x:c>
      <x:c r="C5367" s="6" t="n">
        <x:v>0.1716</x:v>
      </x:c>
      <x:c r="D5367" s="6" t="n">
        <x:f>B5367</x:f>
        <x:v>0.3178</x:v>
      </x:c>
      <x:c r="E5367" s="1" t="n">
        <x:v>1.05</x:v>
      </x:c>
      <x:c r="F5367" s="1" t="str">
        <x:v>https://api.octopus.energy/v1/products/AGILE-24-10-01/electricity-tariffs/E-1R-AGILE-24-10-01-G/standard-unit-rates/</x:v>
      </x:c>
    </x:row>
    <x:row r="5368" ht="21" customHeight="1">
      <x:c r="A5368" s="24" t="n">
        <x:v>46260.333333333336</x:v>
      </x:c>
      <x:c r="B5368" s="6" t="n">
        <x:v>0.2734</x:v>
      </x:c>
      <x:c r="C5368" s="6" t="n">
        <x:v>0.15130000000000002</x:v>
      </x:c>
      <x:c r="D5368" s="6" t="n">
        <x:f>B5368</x:f>
        <x:v>0.2734</x:v>
      </x:c>
      <x:c r="E5368" s="1" t="n">
        <x:v>1.05</x:v>
      </x:c>
      <x:c r="F5368" s="1" t="str">
        <x:v>https://api.octopus.energy/v1/products/AGILE-24-10-01/electricity-tariffs/E-1R-AGILE-24-10-01-G/standard-unit-rates/</x:v>
      </x:c>
    </x:row>
    <x:row r="5369" ht="21" customHeight="1">
      <x:c r="A5369" s="24" t="n">
        <x:v>46260.354166666664</x:v>
      </x:c>
      <x:c r="B5369" s="6" t="n">
        <x:v>0.2799</x:v>
      </x:c>
      <x:c r="C5369" s="6" t="n">
        <x:v>0.1542</x:v>
      </x:c>
      <x:c r="D5369" s="6" t="n">
        <x:f>B5369</x:f>
        <x:v>0.2799</x:v>
      </x:c>
      <x:c r="E5369" s="1" t="n">
        <x:v>1.05</x:v>
      </x:c>
      <x:c r="F5369" s="1" t="str">
        <x:v>https://api.octopus.energy/v1/products/AGILE-24-10-01/electricity-tariffs/E-1R-AGILE-24-10-01-G/standard-unit-rates/</x:v>
      </x:c>
    </x:row>
    <x:row r="5370" ht="21" customHeight="1">
      <x:c r="A5370" s="24" t="n">
        <x:v>46260.375</x:v>
      </x:c>
      <x:c r="B5370" s="6" t="n">
        <x:v>0.2781</x:v>
      </x:c>
      <x:c r="C5370" s="6" t="n">
        <x:v>0.1534</x:v>
      </x:c>
      <x:c r="D5370" s="6" t="n">
        <x:f>B5370</x:f>
        <x:v>0.2781</x:v>
      </x:c>
      <x:c r="E5370" s="1" t="n">
        <x:v>1.05</x:v>
      </x:c>
      <x:c r="F5370" s="1" t="str">
        <x:v>https://api.octopus.energy/v1/products/AGILE-24-10-01/electricity-tariffs/E-1R-AGILE-24-10-01-G/standard-unit-rates/</x:v>
      </x:c>
    </x:row>
    <x:row r="5371" ht="21" customHeight="1">
      <x:c r="A5371" s="24" t="n">
        <x:v>46260.395833333336</x:v>
      </x:c>
      <x:c r="B5371" s="6" t="n">
        <x:v>0.2737</x:v>
      </x:c>
      <x:c r="C5371" s="6" t="n">
        <x:v>0.1514</x:v>
      </x:c>
      <x:c r="D5371" s="6" t="n">
        <x:f>B5371</x:f>
        <x:v>0.2737</x:v>
      </x:c>
      <x:c r="E5371" s="1" t="n">
        <x:v>1.05</x:v>
      </x:c>
      <x:c r="F5371" s="1" t="str">
        <x:v>https://api.octopus.energy/v1/products/AGILE-24-10-01/electricity-tariffs/E-1R-AGILE-24-10-01-G/standard-unit-rates/</x:v>
      </x:c>
    </x:row>
    <x:row r="5372" ht="21" customHeight="1">
      <x:c r="A5372" s="24" t="n">
        <x:v>46260.416666666664</x:v>
      </x:c>
      <x:c r="B5372" s="6" t="n">
        <x:v>0.2884</x:v>
      </x:c>
      <x:c r="C5372" s="6" t="n">
        <x:v>0.15810000000000002</x:v>
      </x:c>
      <x:c r="D5372" s="6" t="n">
        <x:f>B5372</x:f>
        <x:v>0.2884</x:v>
      </x:c>
      <x:c r="E5372" s="1" t="n">
        <x:v>1.05</x:v>
      </x:c>
      <x:c r="F5372" s="1" t="str">
        <x:v>https://api.octopus.energy/v1/products/AGILE-24-10-01/electricity-tariffs/E-1R-AGILE-24-10-01-G/standard-unit-rates/</x:v>
      </x:c>
    </x:row>
    <x:row r="5373" ht="21" customHeight="1">
      <x:c r="A5373" s="24" t="n">
        <x:v>46260.4375</x:v>
      </x:c>
      <x:c r="B5373" s="6" t="n">
        <x:v>0.26839999999999997</x:v>
      </x:c>
      <x:c r="C5373" s="6" t="n">
        <x:v>0.149</x:v>
      </x:c>
      <x:c r="D5373" s="6" t="n">
        <x:f>B5373</x:f>
        <x:v>0.26839999999999997</x:v>
      </x:c>
      <x:c r="E5373" s="1" t="n">
        <x:v>1.05</x:v>
      </x:c>
      <x:c r="F5373" s="1" t="str">
        <x:v>https://api.octopus.energy/v1/products/AGILE-24-10-01/electricity-tariffs/E-1R-AGILE-24-10-01-G/standard-unit-rates/</x:v>
      </x:c>
    </x:row>
    <x:row r="5374" ht="21" customHeight="1">
      <x:c r="A5374" s="24" t="n">
        <x:v>46260.458333333336</x:v>
      </x:c>
      <x:c r="B5374" s="6" t="n">
        <x:v>0.2636</x:v>
      </x:c>
      <x:c r="C5374" s="6" t="n">
        <x:v>0.14679999999999999</x:v>
      </x:c>
      <x:c r="D5374" s="6" t="n">
        <x:f>B5374</x:f>
        <x:v>0.2636</x:v>
      </x:c>
      <x:c r="E5374" s="1" t="n">
        <x:v>1.05</x:v>
      </x:c>
      <x:c r="F5374" s="1" t="str">
        <x:v>https://api.octopus.energy/v1/products/AGILE-24-10-01/electricity-tariffs/E-1R-AGILE-24-10-01-G/standard-unit-rates/</x:v>
      </x:c>
    </x:row>
    <x:row r="5375" ht="21" customHeight="1">
      <x:c r="A5375" s="24" t="n">
        <x:v>46260.479166666664</x:v>
      </x:c>
      <x:c r="B5375" s="6" t="n">
        <x:v>0.24480000000000002</x:v>
      </x:c>
      <x:c r="C5375" s="6" t="n">
        <x:v>0.1382</x:v>
      </x:c>
      <x:c r="D5375" s="6" t="n">
        <x:f>B5375</x:f>
        <x:v>0.24480000000000002</x:v>
      </x:c>
      <x:c r="E5375" s="1" t="n">
        <x:v>1.05</x:v>
      </x:c>
      <x:c r="F5375" s="1" t="str">
        <x:v>https://api.octopus.energy/v1/products/AGILE-24-10-01/electricity-tariffs/E-1R-AGILE-24-10-01-G/standard-unit-rates/</x:v>
      </x:c>
    </x:row>
    <x:row r="5376" ht="21" customHeight="1">
      <x:c r="A5376" s="24" t="n">
        <x:v>46260.5</x:v>
      </x:c>
      <x:c r="B5376" s="6" t="n">
        <x:v>0.2309</x:v>
      </x:c>
      <x:c r="C5376" s="6" t="n">
        <x:v>0.1318</x:v>
      </x:c>
      <x:c r="D5376" s="6" t="n">
        <x:f>B5376</x:f>
        <x:v>0.2309</x:v>
      </x:c>
      <x:c r="E5376" s="1" t="n">
        <x:v>1.05</x:v>
      </x:c>
      <x:c r="F5376" s="1" t="str">
        <x:v>https://api.octopus.energy/v1/products/AGILE-24-10-01/electricity-tariffs/E-1R-AGILE-24-10-01-G/standard-unit-rates/</x:v>
      </x:c>
    </x:row>
    <x:row r="5377" ht="21" customHeight="1">
      <x:c r="A5377" s="24" t="n">
        <x:v>46260.520833333336</x:v>
      </x:c>
      <x:c r="B5377" s="6" t="n">
        <x:v>0.22820000000000001</x:v>
      </x:c>
      <x:c r="C5377" s="6" t="n">
        <x:v>0.1306</x:v>
      </x:c>
      <x:c r="D5377" s="6" t="n">
        <x:f>B5377</x:f>
        <x:v>0.22820000000000001</x:v>
      </x:c>
      <x:c r="E5377" s="1" t="n">
        <x:v>1.05</x:v>
      </x:c>
      <x:c r="F5377" s="1" t="str">
        <x:v>https://api.octopus.energy/v1/products/AGILE-24-10-01/electricity-tariffs/E-1R-AGILE-24-10-01-G/standard-unit-rates/</x:v>
      </x:c>
    </x:row>
    <x:row r="5378" ht="21" customHeight="1">
      <x:c r="A5378" s="24" t="n">
        <x:v>46260.541666666664</x:v>
      </x:c>
      <x:c r="B5378" s="6" t="n">
        <x:v>0.2289</x:v>
      </x:c>
      <x:c r="C5378" s="6" t="n">
        <x:v>0.1309</x:v>
      </x:c>
      <x:c r="D5378" s="6" t="n">
        <x:f>B5378</x:f>
        <x:v>0.2289</x:v>
      </x:c>
      <x:c r="E5378" s="1" t="n">
        <x:v>1.05</x:v>
      </x:c>
      <x:c r="F5378" s="1" t="str">
        <x:v>https://api.octopus.energy/v1/products/AGILE-24-10-01/electricity-tariffs/E-1R-AGILE-24-10-01-G/standard-unit-rates/</x:v>
      </x:c>
    </x:row>
    <x:row r="5379" ht="21" customHeight="1">
      <x:c r="A5379" s="24" t="n">
        <x:v>46260.5625</x:v>
      </x:c>
      <x:c r="B5379" s="6" t="n">
        <x:v>0.2186</x:v>
      </x:c>
      <x:c r="C5379" s="6" t="n">
        <x:v>0.12619999999999998</x:v>
      </x:c>
      <x:c r="D5379" s="6" t="n">
        <x:f>B5379</x:f>
        <x:v>0.2186</x:v>
      </x:c>
      <x:c r="E5379" s="1" t="n">
        <x:v>1.05</x:v>
      </x:c>
      <x:c r="F5379" s="1" t="str">
        <x:v>https://api.octopus.energy/v1/products/AGILE-24-10-01/electricity-tariffs/E-1R-AGILE-24-10-01-G/standard-unit-rates/</x:v>
      </x:c>
    </x:row>
    <x:row r="5380" ht="21" customHeight="1">
      <x:c r="A5380" s="24" t="n">
        <x:v>46260.583333333336</x:v>
      </x:c>
      <x:c r="B5380" s="6" t="n">
        <x:v>0.2298</x:v>
      </x:c>
      <x:c r="C5380" s="6" t="n">
        <x:v>0.1313</x:v>
      </x:c>
      <x:c r="D5380" s="6" t="n">
        <x:f>B5380</x:f>
        <x:v>0.2298</x:v>
      </x:c>
      <x:c r="E5380" s="1" t="n">
        <x:v>1.05</x:v>
      </x:c>
      <x:c r="F5380" s="1" t="str">
        <x:v>https://api.octopus.energy/v1/products/AGILE-24-10-01/electricity-tariffs/E-1R-AGILE-24-10-01-G/standard-unit-rates/</x:v>
      </x:c>
    </x:row>
    <x:row r="5381" ht="21" customHeight="1">
      <x:c r="A5381" s="24" t="n">
        <x:v>46260.604166666664</x:v>
      </x:c>
      <x:c r="B5381" s="6" t="n">
        <x:v>0.2351</x:v>
      </x:c>
      <x:c r="C5381" s="6" t="n">
        <x:v>0.1338</x:v>
      </x:c>
      <x:c r="D5381" s="6" t="n">
        <x:f>B5381</x:f>
        <x:v>0.2351</x:v>
      </x:c>
      <x:c r="E5381" s="1" t="n">
        <x:v>1.05</x:v>
      </x:c>
      <x:c r="F5381" s="1" t="str">
        <x:v>https://api.octopus.energy/v1/products/AGILE-24-10-01/electricity-tariffs/E-1R-AGILE-24-10-01-G/standard-unit-rates/</x:v>
      </x:c>
    </x:row>
    <x:row r="5382" ht="21" customHeight="1">
      <x:c r="A5382" s="24" t="n">
        <x:v>46260.625</x:v>
      </x:c>
      <x:c r="B5382" s="6" t="n">
        <x:v>0.2241</x:v>
      </x:c>
      <x:c r="C5382" s="6" t="n">
        <x:v>0.12869999999999998</x:v>
      </x:c>
      <x:c r="D5382" s="6" t="n">
        <x:f>B5382</x:f>
        <x:v>0.2241</x:v>
      </x:c>
      <x:c r="E5382" s="1" t="n">
        <x:v>1.05</x:v>
      </x:c>
      <x:c r="F5382" s="1" t="str">
        <x:v>https://api.octopus.energy/v1/products/AGILE-24-10-01/electricity-tariffs/E-1R-AGILE-24-10-01-G/standard-unit-rates/</x:v>
      </x:c>
    </x:row>
    <x:row r="5383" ht="21" customHeight="1">
      <x:c r="A5383" s="24" t="n">
        <x:v>46260.645833333336</x:v>
      </x:c>
      <x:c r="B5383" s="6" t="n">
        <x:v>0.23120000000000002</x:v>
      </x:c>
      <x:c r="C5383" s="6" t="n">
        <x:v>0.132</x:v>
      </x:c>
      <x:c r="D5383" s="6" t="n">
        <x:f>B5383</x:f>
        <x:v>0.23120000000000002</x:v>
      </x:c>
      <x:c r="E5383" s="1" t="n">
        <x:v>1.05</x:v>
      </x:c>
      <x:c r="F5383" s="1" t="str">
        <x:v>https://api.octopus.energy/v1/products/AGILE-24-10-01/electricity-tariffs/E-1R-AGILE-24-10-01-G/standard-unit-rates/</x:v>
      </x:c>
    </x:row>
    <x:row r="5384" ht="21" customHeight="1">
      <x:c r="A5384" s="24" t="n">
        <x:v>46260.666666666664</x:v>
      </x:c>
      <x:c r="B5384" s="6" t="n">
        <x:v>0.3764</x:v>
      </x:c>
      <x:c r="C5384" s="6" t="n">
        <x:v>0.2024</x:v>
      </x:c>
      <x:c r="D5384" s="6" t="n">
        <x:f>B5384</x:f>
        <x:v>0.3764</x:v>
      </x:c>
      <x:c r="E5384" s="1" t="n">
        <x:v>1.05</x:v>
      </x:c>
      <x:c r="F5384" s="1" t="str">
        <x:v>https://api.octopus.energy/v1/products/AGILE-24-10-01/electricity-tariffs/E-1R-AGILE-24-10-01-G/standard-unit-rates/</x:v>
      </x:c>
    </x:row>
    <x:row r="5385" ht="21" customHeight="1">
      <x:c r="A5385" s="24" t="n">
        <x:v>46260.6875</x:v>
      </x:c>
      <x:c r="B5385" s="6" t="n">
        <x:v>0.379</x:v>
      </x:c>
      <x:c r="C5385" s="6" t="n">
        <x:v>0.2036</x:v>
      </x:c>
      <x:c r="D5385" s="6" t="n">
        <x:f>B5385</x:f>
        <x:v>0.379</x:v>
      </x:c>
      <x:c r="E5385" s="1" t="n">
        <x:v>1.05</x:v>
      </x:c>
      <x:c r="F5385" s="1" t="str">
        <x:v>https://api.octopus.energy/v1/products/AGILE-24-10-01/electricity-tariffs/E-1R-AGILE-24-10-01-G/standard-unit-rates/</x:v>
      </x:c>
    </x:row>
    <x:row r="5386" ht="21" customHeight="1">
      <x:c r="A5386" s="24" t="n">
        <x:v>46260.708333333336</x:v>
      </x:c>
      <x:c r="B5386" s="6" t="n">
        <x:v>0.4204</x:v>
      </x:c>
      <x:c r="C5386" s="6" t="n">
        <x:v>0.2225</x:v>
      </x:c>
      <x:c r="D5386" s="6" t="n">
        <x:f>B5386</x:f>
        <x:v>0.4204</x:v>
      </x:c>
      <x:c r="E5386" s="1" t="n">
        <x:v>1.05</x:v>
      </x:c>
      <x:c r="F5386" s="1" t="str">
        <x:v>https://api.octopus.energy/v1/products/AGILE-24-10-01/electricity-tariffs/E-1R-AGILE-24-10-01-G/standard-unit-rates/</x:v>
      </x:c>
    </x:row>
    <x:row r="5387" ht="21" customHeight="1">
      <x:c r="A5387" s="24" t="n">
        <x:v>46260.729166666664</x:v>
      </x:c>
      <x:c r="B5387" s="6" t="n">
        <x:v>0.4415</x:v>
      </x:c>
      <x:c r="C5387" s="6" t="n">
        <x:v>0.2321</x:v>
      </x:c>
      <x:c r="D5387" s="6" t="n">
        <x:f>B5387</x:f>
        <x:v>0.4415</x:v>
      </x:c>
      <x:c r="E5387" s="1" t="n">
        <x:v>1.05</x:v>
      </x:c>
      <x:c r="F5387" s="1" t="str">
        <x:v>https://api.octopus.energy/v1/products/AGILE-24-10-01/electricity-tariffs/E-1R-AGILE-24-10-01-G/standard-unit-rates/</x:v>
      </x:c>
    </x:row>
    <x:row r="5388" ht="21" customHeight="1">
      <x:c r="A5388" s="24" t="n">
        <x:v>46260.75</x:v>
      </x:c>
      <x:c r="B5388" s="6" t="n">
        <x:v>0.4618</x:v>
      </x:c>
      <x:c r="C5388" s="6" t="n">
        <x:v>0.2414</x:v>
      </x:c>
      <x:c r="D5388" s="6" t="n">
        <x:f>B5388</x:f>
        <x:v>0.4618</x:v>
      </x:c>
      <x:c r="E5388" s="1" t="n">
        <x:v>1.05</x:v>
      </x:c>
      <x:c r="F5388" s="1" t="str">
        <x:v>https://api.octopus.energy/v1/products/AGILE-24-10-01/electricity-tariffs/E-1R-AGILE-24-10-01-G/standard-unit-rates/</x:v>
      </x:c>
    </x:row>
    <x:row r="5389" ht="21" customHeight="1">
      <x:c r="A5389" s="24" t="n">
        <x:v>46260.770833333336</x:v>
      </x:c>
      <x:c r="B5389" s="6" t="n">
        <x:v>0.4689</x:v>
      </x:c>
      <x:c r="C5389" s="6" t="n">
        <x:v>0.2447</x:v>
      </x:c>
      <x:c r="D5389" s="6" t="n">
        <x:f>B5389</x:f>
        <x:v>0.4689</x:v>
      </x:c>
      <x:c r="E5389" s="1" t="n">
        <x:v>1.05</x:v>
      </x:c>
      <x:c r="F5389" s="1" t="str">
        <x:v>https://api.octopus.energy/v1/products/AGILE-24-10-01/electricity-tariffs/E-1R-AGILE-24-10-01-G/standard-unit-rates/</x:v>
      </x:c>
    </x:row>
    <x:row r="5390" ht="21" customHeight="1">
      <x:c r="A5390" s="24" t="n">
        <x:v>46260.791666666664</x:v>
      </x:c>
      <x:c r="B5390" s="6" t="n">
        <x:v>0.3214</x:v>
      </x:c>
      <x:c r="C5390" s="6" t="n">
        <x:v>0.1732</x:v>
      </x:c>
      <x:c r="D5390" s="6" t="n">
        <x:f>B5390</x:f>
        <x:v>0.3214</x:v>
      </x:c>
      <x:c r="E5390" s="1" t="n">
        <x:v>1.05</x:v>
      </x:c>
      <x:c r="F5390" s="1" t="str">
        <x:v>https://api.octopus.energy/v1/products/AGILE-24-10-01/electricity-tariffs/E-1R-AGILE-24-10-01-G/standard-unit-rates/</x:v>
      </x:c>
    </x:row>
    <x:row r="5391" ht="21" customHeight="1">
      <x:c r="A5391" s="24" t="n">
        <x:v>46260.8125</x:v>
      </x:c>
      <x:c r="B5391" s="6" t="n">
        <x:v>0.3258</x:v>
      </x:c>
      <x:c r="C5391" s="6" t="n">
        <x:v>0.1752</x:v>
      </x:c>
      <x:c r="D5391" s="6" t="n">
        <x:f>B5391</x:f>
        <x:v>0.3258</x:v>
      </x:c>
      <x:c r="E5391" s="1" t="n">
        <x:v>1.05</x:v>
      </x:c>
      <x:c r="F5391" s="1" t="str">
        <x:v>https://api.octopus.energy/v1/products/AGILE-24-10-01/electricity-tariffs/E-1R-AGILE-24-10-01-G/standard-unit-rates/</x:v>
      </x:c>
    </x:row>
    <x:row r="5392" ht="21" customHeight="1">
      <x:c r="A5392" s="24" t="n">
        <x:v>46260.833333333336</x:v>
      </x:c>
      <x:c r="B5392" s="6" t="n">
        <x:v>0.31129999999999997</x:v>
      </x:c>
      <x:c r="C5392" s="6" t="n">
        <x:v>0.1686</x:v>
      </x:c>
      <x:c r="D5392" s="6" t="n">
        <x:f>B5392</x:f>
        <x:v>0.31129999999999997</x:v>
      </x:c>
      <x:c r="E5392" s="1" t="n">
        <x:v>1.05</x:v>
      </x:c>
      <x:c r="F5392" s="1" t="str">
        <x:v>https://api.octopus.energy/v1/products/AGILE-24-10-01/electricity-tariffs/E-1R-AGILE-24-10-01-G/standard-unit-rates/</x:v>
      </x:c>
    </x:row>
    <x:row r="5393" ht="21" customHeight="1">
      <x:c r="A5393" s="24" t="n">
        <x:v>46260.854166666664</x:v>
      </x:c>
      <x:c r="B5393" s="6" t="n">
        <x:v>0.3114</x:v>
      </x:c>
      <x:c r="C5393" s="6" t="n">
        <x:v>0.1686</x:v>
      </x:c>
      <x:c r="D5393" s="6" t="n">
        <x:f>B5393</x:f>
        <x:v>0.3114</x:v>
      </x:c>
      <x:c r="E5393" s="1" t="n">
        <x:v>1.05</x:v>
      </x:c>
      <x:c r="F5393" s="1" t="str">
        <x:v>https://api.octopus.energy/v1/products/AGILE-24-10-01/electricity-tariffs/E-1R-AGILE-24-10-01-G/standard-unit-rates/</x:v>
      </x:c>
    </x:row>
    <x:row r="5394" ht="21" customHeight="1">
      <x:c r="A5394" s="24" t="n">
        <x:v>46260.875</x:v>
      </x:c>
      <x:c r="B5394" s="6" t="n">
        <x:v>0.30219999999999997</x:v>
      </x:c>
      <x:c r="C5394" s="6" t="n">
        <x:v>0.16440000000000002</x:v>
      </x:c>
      <x:c r="D5394" s="6" t="n">
        <x:f>B5394</x:f>
        <x:v>0.30219999999999997</x:v>
      </x:c>
      <x:c r="E5394" s="1" t="n">
        <x:v>1.05</x:v>
      </x:c>
      <x:c r="F5394" s="1" t="str">
        <x:v>https://api.octopus.energy/v1/products/AGILE-24-10-01/electricity-tariffs/E-1R-AGILE-24-10-01-G/standard-unit-rates/</x:v>
      </x:c>
    </x:row>
    <x:row r="5395" ht="21" customHeight="1">
      <x:c r="A5395" s="24" t="n">
        <x:v>46260.895833333336</x:v>
      </x:c>
      <x:c r="B5395" s="6" t="n">
        <x:v>0.2571</x:v>
      </x:c>
      <x:c r="C5395" s="6" t="n">
        <x:v>0.1438</x:v>
      </x:c>
      <x:c r="D5395" s="6" t="n">
        <x:f>B5395</x:f>
        <x:v>0.2571</x:v>
      </x:c>
      <x:c r="E5395" s="1" t="n">
        <x:v>1.05</x:v>
      </x:c>
      <x:c r="F5395" s="1" t="str">
        <x:v>https://api.octopus.energy/v1/products/AGILE-24-10-01/electricity-tariffs/E-1R-AGILE-24-10-01-G/standard-unit-rates/</x:v>
      </x:c>
    </x:row>
    <x:row r="5396" ht="21" customHeight="1">
      <x:c r="A5396" s="24" t="n">
        <x:v>46260.916666666664</x:v>
      </x:c>
      <x:c r="B5396" s="6" t="n">
        <x:v>0.2658</x:v>
      </x:c>
      <x:c r="C5396" s="6" t="n">
        <x:v>0.1478</x:v>
      </x:c>
      <x:c r="D5396" s="6" t="n">
        <x:f>B5396</x:f>
        <x:v>0.2658</x:v>
      </x:c>
      <x:c r="E5396" s="1" t="n">
        <x:v>1.05</x:v>
      </x:c>
      <x:c r="F5396" s="1" t="str">
        <x:v>https://api.octopus.energy/v1/products/AGILE-24-10-01/electricity-tariffs/E-1R-AGILE-24-10-01-G/standard-unit-rates/</x:v>
      </x:c>
    </x:row>
    <x:row r="5397" ht="21" customHeight="1">
      <x:c r="A5397" s="24" t="n">
        <x:v>46260.9375</x:v>
      </x:c>
      <x:c r="B5397" s="6" t="n">
        <x:v>0.2556</x:v>
      </x:c>
      <x:c r="C5397" s="6" t="n">
        <x:v>0.1431</x:v>
      </x:c>
      <x:c r="D5397" s="6" t="n">
        <x:f>B5397</x:f>
        <x:v>0.2556</x:v>
      </x:c>
      <x:c r="E5397" s="1" t="n">
        <x:v>1.05</x:v>
      </x:c>
      <x:c r="F5397" s="1" t="str">
        <x:v>https://api.octopus.energy/v1/products/AGILE-24-10-01/electricity-tariffs/E-1R-AGILE-24-10-01-G/standard-unit-rates/</x:v>
      </x:c>
    </x:row>
    <x:row r="5398" ht="21" customHeight="1">
      <x:c r="A5398" s="24" t="n">
        <x:v>46261</x:v>
      </x:c>
      <x:c r="B5398" s="6" t="n">
        <x:v>0.2612</x:v>
      </x:c>
      <x:c r="C5398" s="6" t="n">
        <x:v>0.1457</x:v>
      </x:c>
      <x:c r="D5398" s="6" t="n">
        <x:f>B5398</x:f>
        <x:v>0.2612</x:v>
      </x:c>
      <x:c r="E5398" s="1" t="n">
        <x:v>1.05</x:v>
      </x:c>
      <x:c r="F5398" s="1" t="str">
        <x:v>https://api.octopus.energy/v1/products/AGILE-24-10-01/electricity-tariffs/E-1R-AGILE-24-10-01-G/standard-unit-rates/</x:v>
      </x:c>
    </x:row>
    <x:row r="5399" ht="21" customHeight="1">
      <x:c r="A5399" s="24" t="n">
        <x:v>46260.979166666664</x:v>
      </x:c>
      <x:c r="B5399" s="6" t="n">
        <x:v>0.244</x:v>
      </x:c>
      <x:c r="C5399" s="6" t="n">
        <x:v>0.1378</x:v>
      </x:c>
      <x:c r="D5399" s="6" t="n">
        <x:f>B5399</x:f>
        <x:v>0.244</x:v>
      </x:c>
      <x:c r="E5399" s="1" t="n">
        <x:v>1.05</x:v>
      </x:c>
      <x:c r="F5399" s="1" t="str">
        <x:v>https://api.octopus.energy/v1/products/AGILE-24-10-01/electricity-tariffs/E-1R-AGILE-24-10-01-G/standard-unit-rates/</x:v>
      </x:c>
    </x:row>
    <x:row r="5400" ht="21" customHeight="1">
      <x:c r="A5400" s="24" t="n">
        <x:v>46261</x:v>
      </x:c>
      <x:c r="B5400" s="6" t="n">
        <x:v>0.23989999999999997</x:v>
      </x:c>
      <x:c r="C5400" s="6" t="n">
        <x:v>0.136</x:v>
      </x:c>
      <x:c r="D5400" s="6" t="n">
        <x:f>B5400</x:f>
        <x:v>0.23989999999999997</x:v>
      </x:c>
      <x:c r="E5400" s="1" t="n">
        <x:v>1.05</x:v>
      </x:c>
      <x:c r="F5400" s="1" t="str">
        <x:v>https://api.octopus.energy/v1/products/AGILE-24-10-01/electricity-tariffs/E-1R-AGILE-24-10-01-G/standard-unit-rates/</x:v>
      </x:c>
    </x:row>
    <x:row r="5401" ht="21" customHeight="1">
      <x:c r="A5401" s="24" t="n">
        <x:v>46261.020833333336</x:v>
      </x:c>
      <x:c r="B5401" s="6" t="n">
        <x:v>0.2349</x:v>
      </x:c>
      <x:c r="C5401" s="6" t="n">
        <x:v>0.13369999999999999</x:v>
      </x:c>
      <x:c r="D5401" s="6" t="n">
        <x:f>B5401</x:f>
        <x:v>0.2349</x:v>
      </x:c>
      <x:c r="E5401" s="1" t="n">
        <x:v>1.05</x:v>
      </x:c>
      <x:c r="F5401" s="1" t="str">
        <x:v>https://api.octopus.energy/v1/products/AGILE-24-10-01/electricity-tariffs/E-1R-AGILE-24-10-01-G/standard-unit-rates/</x:v>
      </x:c>
    </x:row>
    <x:row r="5402" ht="21" customHeight="1">
      <x:c r="A5402" s="24" t="n">
        <x:v>46261.041666666664</x:v>
      </x:c>
      <x:c r="B5402" s="6" t="n">
        <x:v>0.2293</x:v>
      </x:c>
      <x:c r="C5402" s="6" t="n">
        <x:v>0.1311</x:v>
      </x:c>
      <x:c r="D5402" s="6" t="n">
        <x:f>B5402</x:f>
        <x:v>0.2293</x:v>
      </x:c>
      <x:c r="E5402" s="1" t="n">
        <x:v>1.05</x:v>
      </x:c>
      <x:c r="F5402" s="1" t="str">
        <x:v>https://api.octopus.energy/v1/products/AGILE-24-10-01/electricity-tariffs/E-1R-AGILE-24-10-01-G/standard-unit-rates/</x:v>
      </x:c>
    </x:row>
    <x:row r="5403" ht="21" customHeight="1">
      <x:c r="A5403" s="24" t="n">
        <x:v>46261.0625</x:v>
      </x:c>
      <x:c r="B5403" s="6" t="n">
        <x:v>0.2293</x:v>
      </x:c>
      <x:c r="C5403" s="6" t="n">
        <x:v>0.1311</x:v>
      </x:c>
      <x:c r="D5403" s="6" t="n">
        <x:f>B5403</x:f>
        <x:v>0.2293</x:v>
      </x:c>
      <x:c r="E5403" s="1" t="n">
        <x:v>1.05</x:v>
      </x:c>
      <x:c r="F5403" s="1" t="str">
        <x:v>https://api.octopus.energy/v1/products/AGILE-24-10-01/electricity-tariffs/E-1R-AGILE-24-10-01-G/standard-unit-rates/</x:v>
      </x:c>
    </x:row>
    <x:row r="5404" ht="21" customHeight="1">
      <x:c r="A5404" s="24" t="n">
        <x:v>46261.083333333336</x:v>
      </x:c>
      <x:c r="B5404" s="6" t="n">
        <x:v>0.2261</x:v>
      </x:c>
      <x:c r="C5404" s="6" t="n">
        <x:v>0.12960000000000002</x:v>
      </x:c>
      <x:c r="D5404" s="6" t="n">
        <x:f>B5404</x:f>
        <x:v>0.2261</x:v>
      </x:c>
      <x:c r="E5404" s="1" t="n">
        <x:v>1.05</x:v>
      </x:c>
      <x:c r="F5404" s="1" t="str">
        <x:v>https://api.octopus.energy/v1/products/AGILE-24-10-01/electricity-tariffs/E-1R-AGILE-24-10-01-G/standard-unit-rates/</x:v>
      </x:c>
    </x:row>
    <x:row r="5405" ht="21" customHeight="1">
      <x:c r="A5405" s="24" t="n">
        <x:v>46261.104166666664</x:v>
      </x:c>
      <x:c r="B5405" s="6" t="n">
        <x:v>0.21239999999999998</x:v>
      </x:c>
      <x:c r="C5405" s="6" t="n">
        <x:v>0.1233</x:v>
      </x:c>
      <x:c r="D5405" s="6" t="n">
        <x:f>B5405</x:f>
        <x:v>0.21239999999999998</x:v>
      </x:c>
      <x:c r="E5405" s="1" t="n">
        <x:v>1.05</x:v>
      </x:c>
      <x:c r="F5405" s="1" t="str">
        <x:v>https://api.octopus.energy/v1/products/AGILE-24-10-01/electricity-tariffs/E-1R-AGILE-24-10-01-G/standard-unit-rates/</x:v>
      </x:c>
    </x:row>
    <x:row r="5406" ht="21" customHeight="1">
      <x:c r="A5406" s="24" t="n">
        <x:v>46261.125</x:v>
      </x:c>
      <x:c r="B5406" s="6" t="n">
        <x:v>0.2169</x:v>
      </x:c>
      <x:c r="C5406" s="6" t="n">
        <x:v>0.12539999999999998</x:v>
      </x:c>
      <x:c r="D5406" s="6" t="n">
        <x:f>B5406</x:f>
        <x:v>0.2169</x:v>
      </x:c>
      <x:c r="E5406" s="1" t="n">
        <x:v>1.05</x:v>
      </x:c>
      <x:c r="F5406" s="1" t="str">
        <x:v>https://api.octopus.energy/v1/products/AGILE-24-10-01/electricity-tariffs/E-1R-AGILE-24-10-01-G/standard-unit-rates/</x:v>
      </x:c>
    </x:row>
    <x:row r="5407" ht="21" customHeight="1">
      <x:c r="A5407" s="24" t="n">
        <x:v>46261.145833333336</x:v>
      </x:c>
      <x:c r="B5407" s="6" t="n">
        <x:v>0.2151</x:v>
      </x:c>
      <x:c r="C5407" s="6" t="n">
        <x:v>0.1246</x:v>
      </x:c>
      <x:c r="D5407" s="6" t="n">
        <x:f>B5407</x:f>
        <x:v>0.2151</x:v>
      </x:c>
      <x:c r="E5407" s="1" t="n">
        <x:v>1.05</x:v>
      </x:c>
      <x:c r="F5407" s="1" t="str">
        <x:v>https://api.octopus.energy/v1/products/AGILE-24-10-01/electricity-tariffs/E-1R-AGILE-24-10-01-G/standard-unit-rates/</x:v>
      </x:c>
    </x:row>
    <x:row r="5408" ht="21" customHeight="1">
      <x:c r="A5408" s="24" t="n">
        <x:v>46261.166666666664</x:v>
      </x:c>
      <x:c r="B5408" s="6" t="n">
        <x:v>0.2169</x:v>
      </x:c>
      <x:c r="C5408" s="6" t="n">
        <x:v>0.12539999999999998</x:v>
      </x:c>
      <x:c r="D5408" s="6" t="n">
        <x:f>B5408</x:f>
        <x:v>0.2169</x:v>
      </x:c>
      <x:c r="E5408" s="1" t="n">
        <x:v>1.05</x:v>
      </x:c>
      <x:c r="F5408" s="1" t="str">
        <x:v>https://api.octopus.energy/v1/products/AGILE-24-10-01/electricity-tariffs/E-1R-AGILE-24-10-01-G/standard-unit-rates/</x:v>
      </x:c>
    </x:row>
    <x:row r="5409" ht="21" customHeight="1">
      <x:c r="A5409" s="24" t="n">
        <x:v>46261.1875</x:v>
      </x:c>
      <x:c r="B5409" s="6" t="n">
        <x:v>0.2257</x:v>
      </x:c>
      <x:c r="C5409" s="6" t="n">
        <x:v>0.1295</x:v>
      </x:c>
      <x:c r="D5409" s="6" t="n">
        <x:f>B5409</x:f>
        <x:v>0.2257</x:v>
      </x:c>
      <x:c r="E5409" s="1" t="n">
        <x:v>1.05</x:v>
      </x:c>
      <x:c r="F5409" s="1" t="str">
        <x:v>https://api.octopus.energy/v1/products/AGILE-24-10-01/electricity-tariffs/E-1R-AGILE-24-10-01-G/standard-unit-rates/</x:v>
      </x:c>
    </x:row>
    <x:row r="5410" ht="21" customHeight="1">
      <x:c r="A5410" s="24" t="n">
        <x:v>46261.208333333336</x:v>
      </x:c>
      <x:c r="B5410" s="6" t="n">
        <x:v>0.2606</x:v>
      </x:c>
      <x:c r="C5410" s="6" t="n">
        <x:v>0.1454</x:v>
      </x:c>
      <x:c r="D5410" s="6" t="n">
        <x:f>B5410</x:f>
        <x:v>0.2606</x:v>
      </x:c>
      <x:c r="E5410" s="1" t="n">
        <x:v>1.05</x:v>
      </x:c>
      <x:c r="F5410" s="1" t="str">
        <x:v>https://api.octopus.energy/v1/products/AGILE-24-10-01/electricity-tariffs/E-1R-AGILE-24-10-01-G/standard-unit-rates/</x:v>
      </x:c>
    </x:row>
    <x:row r="5411" ht="21" customHeight="1">
      <x:c r="A5411" s="24" t="n">
        <x:v>46261.229166666664</x:v>
      </x:c>
      <x:c r="B5411" s="6" t="n">
        <x:v>0.271</x:v>
      </x:c>
      <x:c r="C5411" s="6" t="n">
        <x:v>0.1501</x:v>
      </x:c>
      <x:c r="D5411" s="6" t="n">
        <x:f>B5411</x:f>
        <x:v>0.271</x:v>
      </x:c>
      <x:c r="E5411" s="1" t="n">
        <x:v>1.05</x:v>
      </x:c>
      <x:c r="F5411" s="1" t="str">
        <x:v>https://api.octopus.energy/v1/products/AGILE-24-10-01/electricity-tariffs/E-1R-AGILE-24-10-01-G/standard-unit-rates/</x:v>
      </x:c>
    </x:row>
    <x:row r="5412" ht="21" customHeight="1">
      <x:c r="A5412" s="24" t="n">
        <x:v>46261.25</x:v>
      </x:c>
      <x:c r="B5412" s="6" t="n">
        <x:v>0.2711</x:v>
      </x:c>
      <x:c r="C5412" s="6" t="n">
        <x:v>0.1502</x:v>
      </x:c>
      <x:c r="D5412" s="6" t="n">
        <x:f>B5412</x:f>
        <x:v>0.2711</x:v>
      </x:c>
      <x:c r="E5412" s="1" t="n">
        <x:v>1.05</x:v>
      </x:c>
      <x:c r="F5412" s="1" t="str">
        <x:v>https://api.octopus.energy/v1/products/AGILE-24-10-01/electricity-tariffs/E-1R-AGILE-24-10-01-G/standard-unit-rates/</x:v>
      </x:c>
    </x:row>
    <x:row r="5413" ht="21" customHeight="1">
      <x:c r="A5413" s="24" t="n">
        <x:v>46261.270833333336</x:v>
      </x:c>
      <x:c r="B5413" s="6" t="n">
        <x:v>0.28850000000000003</x:v>
      </x:c>
      <x:c r="C5413" s="6" t="n">
        <x:v>0.1582</x:v>
      </x:c>
      <x:c r="D5413" s="6" t="n">
        <x:f>B5413</x:f>
        <x:v>0.28850000000000003</x:v>
      </x:c>
      <x:c r="E5413" s="1" t="n">
        <x:v>1.05</x:v>
      </x:c>
      <x:c r="F5413" s="1" t="str">
        <x:v>https://api.octopus.energy/v1/products/AGILE-24-10-01/electricity-tariffs/E-1R-AGILE-24-10-01-G/standard-unit-rates/</x:v>
      </x:c>
    </x:row>
    <x:row r="5414" ht="21" customHeight="1">
      <x:c r="A5414" s="24" t="n">
        <x:v>46261.291666666664</x:v>
      </x:c>
      <x:c r="B5414" s="6" t="n">
        <x:v>0.2762</x:v>
      </x:c>
      <x:c r="C5414" s="6" t="n">
        <x:v>0.1525</x:v>
      </x:c>
      <x:c r="D5414" s="6" t="n">
        <x:f>B5414</x:f>
        <x:v>0.2762</x:v>
      </x:c>
      <x:c r="E5414" s="1" t="n">
        <x:v>1.05</x:v>
      </x:c>
      <x:c r="F5414" s="1" t="str">
        <x:v>https://api.octopus.energy/v1/products/AGILE-24-10-01/electricity-tariffs/E-1R-AGILE-24-10-01-G/standard-unit-rates/</x:v>
      </x:c>
    </x:row>
    <x:row r="5415" ht="21" customHeight="1">
      <x:c r="A5415" s="24" t="n">
        <x:v>46261.3125</x:v>
      </x:c>
      <x:c r="B5415" s="6" t="n">
        <x:v>0.2967</x:v>
      </x:c>
      <x:c r="C5415" s="6" t="n">
        <x:v>0.16190000000000002</x:v>
      </x:c>
      <x:c r="D5415" s="6" t="n">
        <x:f>B5415</x:f>
        <x:v>0.2967</x:v>
      </x:c>
      <x:c r="E5415" s="1" t="n">
        <x:v>1.05</x:v>
      </x:c>
      <x:c r="F5415" s="1" t="str">
        <x:v>https://api.octopus.energy/v1/products/AGILE-24-10-01/electricity-tariffs/E-1R-AGILE-24-10-01-G/standard-unit-rates/</x:v>
      </x:c>
    </x:row>
    <x:row r="5416" ht="21" customHeight="1">
      <x:c r="A5416" s="24" t="n">
        <x:v>46261.333333333336</x:v>
      </x:c>
      <x:c r="B5416" s="6" t="n">
        <x:v>0.2921</x:v>
      </x:c>
      <x:c r="C5416" s="6" t="n">
        <x:v>0.1598</x:v>
      </x:c>
      <x:c r="D5416" s="6" t="n">
        <x:f>B5416</x:f>
        <x:v>0.2921</x:v>
      </x:c>
      <x:c r="E5416" s="1" t="n">
        <x:v>1.05</x:v>
      </x:c>
      <x:c r="F5416" s="1" t="str">
        <x:v>https://api.octopus.energy/v1/products/AGILE-24-10-01/electricity-tariffs/E-1R-AGILE-24-10-01-G/standard-unit-rates/</x:v>
      </x:c>
    </x:row>
    <x:row r="5417" ht="21" customHeight="1">
      <x:c r="A5417" s="24" t="n">
        <x:v>46261.354166666664</x:v>
      </x:c>
      <x:c r="B5417" s="6" t="n">
        <x:v>0.2969</x:v>
      </x:c>
      <x:c r="C5417" s="6" t="n">
        <x:v>0.162</x:v>
      </x:c>
      <x:c r="D5417" s="6" t="n">
        <x:f>B5417</x:f>
        <x:v>0.2969</x:v>
      </x:c>
      <x:c r="E5417" s="1" t="n">
        <x:v>1.05</x:v>
      </x:c>
      <x:c r="F5417" s="1" t="str">
        <x:v>https://api.octopus.energy/v1/products/AGILE-24-10-01/electricity-tariffs/E-1R-AGILE-24-10-01-G/standard-unit-rates/</x:v>
      </x:c>
    </x:row>
    <x:row r="5418" ht="21" customHeight="1">
      <x:c r="A5418" s="24" t="n">
        <x:v>46261.375</x:v>
      </x:c>
      <x:c r="B5418" s="6" t="n">
        <x:v>0.2818</x:v>
      </x:c>
      <x:c r="C5418" s="6" t="n">
        <x:v>0.1551</x:v>
      </x:c>
      <x:c r="D5418" s="6" t="n">
        <x:f>B5418</x:f>
        <x:v>0.2818</x:v>
      </x:c>
      <x:c r="E5418" s="1" t="n">
        <x:v>1.05</x:v>
      </x:c>
      <x:c r="F5418" s="1" t="str">
        <x:v>https://api.octopus.energy/v1/products/AGILE-24-10-01/electricity-tariffs/E-1R-AGILE-24-10-01-G/standard-unit-rates/</x:v>
      </x:c>
    </x:row>
    <x:row r="5419" ht="21" customHeight="1">
      <x:c r="A5419" s="24" t="n">
        <x:v>46261.395833333336</x:v>
      </x:c>
      <x:c r="B5419" s="6" t="n">
        <x:v>0.2766</x:v>
      </x:c>
      <x:c r="C5419" s="6" t="n">
        <x:v>0.1527</x:v>
      </x:c>
      <x:c r="D5419" s="6" t="n">
        <x:f>B5419</x:f>
        <x:v>0.2766</x:v>
      </x:c>
      <x:c r="E5419" s="1" t="n">
        <x:v>1.05</x:v>
      </x:c>
      <x:c r="F5419" s="1" t="str">
        <x:v>https://api.octopus.energy/v1/products/AGILE-24-10-01/electricity-tariffs/E-1R-AGILE-24-10-01-G/standard-unit-rates/</x:v>
      </x:c>
    </x:row>
    <x:row r="5420" ht="21" customHeight="1">
      <x:c r="A5420" s="24" t="n">
        <x:v>46261.416666666664</x:v>
      </x:c>
      <x:c r="B5420" s="6" t="n">
        <x:v>0.2791</x:v>
      </x:c>
      <x:c r="C5420" s="6" t="n">
        <x:v>0.15380000000000002</x:v>
      </x:c>
      <x:c r="D5420" s="6" t="n">
        <x:f>B5420</x:f>
        <x:v>0.2791</x:v>
      </x:c>
      <x:c r="E5420" s="1" t="n">
        <x:v>1.05</x:v>
      </x:c>
      <x:c r="F5420" s="1" t="str">
        <x:v>https://api.octopus.energy/v1/products/AGILE-24-10-01/electricity-tariffs/E-1R-AGILE-24-10-01-G/standard-unit-rates/</x:v>
      </x:c>
    </x:row>
    <x:row r="5421" ht="21" customHeight="1">
      <x:c r="A5421" s="24" t="n">
        <x:v>46261.4375</x:v>
      </x:c>
      <x:c r="B5421" s="6" t="n">
        <x:v>0.27190000000000003</x:v>
      </x:c>
      <x:c r="C5421" s="6" t="n">
        <x:v>0.1506</x:v>
      </x:c>
      <x:c r="D5421" s="6" t="n">
        <x:f>B5421</x:f>
        <x:v>0.27190000000000003</x:v>
      </x:c>
      <x:c r="E5421" s="1" t="n">
        <x:v>1.05</x:v>
      </x:c>
      <x:c r="F5421" s="1" t="str">
        <x:v>https://api.octopus.energy/v1/products/AGILE-24-10-01/electricity-tariffs/E-1R-AGILE-24-10-01-G/standard-unit-rates/</x:v>
      </x:c>
    </x:row>
    <x:row r="5422" ht="21" customHeight="1">
      <x:c r="A5422" s="24" t="n">
        <x:v>46261.458333333336</x:v>
      </x:c>
      <x:c r="B5422" s="6" t="n">
        <x:v>0.2613</x:v>
      </x:c>
      <x:c r="C5422" s="6" t="n">
        <x:v>0.1457</x:v>
      </x:c>
      <x:c r="D5422" s="6" t="n">
        <x:f>B5422</x:f>
        <x:v>0.2613</x:v>
      </x:c>
      <x:c r="E5422" s="1" t="n">
        <x:v>1.05</x:v>
      </x:c>
      <x:c r="F5422" s="1" t="str">
        <x:v>https://api.octopus.energy/v1/products/AGILE-24-10-01/electricity-tariffs/E-1R-AGILE-24-10-01-G/standard-unit-rates/</x:v>
      </x:c>
    </x:row>
    <x:row r="5423" ht="21" customHeight="1">
      <x:c r="A5423" s="24" t="n">
        <x:v>46261.479166666664</x:v>
      </x:c>
      <x:c r="B5423" s="6" t="n">
        <x:v>0.2459</x:v>
      </x:c>
      <x:c r="C5423" s="6" t="n">
        <x:v>0.1387</x:v>
      </x:c>
      <x:c r="D5423" s="6" t="n">
        <x:f>B5423</x:f>
        <x:v>0.2459</x:v>
      </x:c>
      <x:c r="E5423" s="1" t="n">
        <x:v>1.05</x:v>
      </x:c>
      <x:c r="F5423" s="1" t="str">
        <x:v>https://api.octopus.energy/v1/products/AGILE-24-10-01/electricity-tariffs/E-1R-AGILE-24-10-01-G/standard-unit-rates/</x:v>
      </x:c>
    </x:row>
    <x:row r="5424" ht="21" customHeight="1">
      <x:c r="A5424" s="24" t="n">
        <x:v>46261.5</x:v>
      </x:c>
      <x:c r="B5424" s="6" t="n">
        <x:v>0.25329999999999997</x:v>
      </x:c>
      <x:c r="C5424" s="6" t="n">
        <x:v>0.142</x:v>
      </x:c>
      <x:c r="D5424" s="6" t="n">
        <x:f>B5424</x:f>
        <x:v>0.25329999999999997</x:v>
      </x:c>
      <x:c r="E5424" s="1" t="n">
        <x:v>1.05</x:v>
      </x:c>
      <x:c r="F5424" s="1" t="str">
        <x:v>https://api.octopus.energy/v1/products/AGILE-24-10-01/electricity-tariffs/E-1R-AGILE-24-10-01-G/standard-unit-rates/</x:v>
      </x:c>
    </x:row>
    <x:row r="5425" ht="21" customHeight="1">
      <x:c r="A5425" s="24" t="n">
        <x:v>46261.520833333336</x:v>
      </x:c>
      <x:c r="B5425" s="6" t="n">
        <x:v>0.24359999999999998</x:v>
      </x:c>
      <x:c r="C5425" s="6" t="n">
        <x:v>0.1376</x:v>
      </x:c>
      <x:c r="D5425" s="6" t="n">
        <x:f>B5425</x:f>
        <x:v>0.24359999999999998</x:v>
      </x:c>
      <x:c r="E5425" s="1" t="n">
        <x:v>1.05</x:v>
      </x:c>
      <x:c r="F5425" s="1" t="str">
        <x:v>https://api.octopus.energy/v1/products/AGILE-24-10-01/electricity-tariffs/E-1R-AGILE-24-10-01-G/standard-unit-rates/</x:v>
      </x:c>
    </x:row>
    <x:row r="5426" ht="21" customHeight="1">
      <x:c r="A5426" s="24" t="n">
        <x:v>46261.541666666664</x:v>
      </x:c>
      <x:c r="B5426" s="6" t="n">
        <x:v>0.2348</x:v>
      </x:c>
      <x:c r="C5426" s="6" t="n">
        <x:v>0.1336</x:v>
      </x:c>
      <x:c r="D5426" s="6" t="n">
        <x:f>B5426</x:f>
        <x:v>0.2348</x:v>
      </x:c>
      <x:c r="E5426" s="1" t="n">
        <x:v>1.05</x:v>
      </x:c>
      <x:c r="F5426" s="1" t="str">
        <x:v>https://api.octopus.energy/v1/products/AGILE-24-10-01/electricity-tariffs/E-1R-AGILE-24-10-01-G/standard-unit-rates/</x:v>
      </x:c>
    </x:row>
    <x:row r="5427" ht="21" customHeight="1">
      <x:c r="A5427" s="24" t="n">
        <x:v>46261.5625</x:v>
      </x:c>
      <x:c r="B5427" s="6" t="n">
        <x:v>0.22699999999999998</x:v>
      </x:c>
      <x:c r="C5427" s="6" t="n">
        <x:v>0.13</x:v>
      </x:c>
      <x:c r="D5427" s="6" t="n">
        <x:f>B5427</x:f>
        <x:v>0.22699999999999998</x:v>
      </x:c>
      <x:c r="E5427" s="1" t="n">
        <x:v>1.05</x:v>
      </x:c>
      <x:c r="F5427" s="1" t="str">
        <x:v>https://api.octopus.energy/v1/products/AGILE-24-10-01/electricity-tariffs/E-1R-AGILE-24-10-01-G/standard-unit-rates/</x:v>
      </x:c>
    </x:row>
    <x:row r="5428" ht="21" customHeight="1">
      <x:c r="A5428" s="24" t="n">
        <x:v>46261.583333333336</x:v>
      </x:c>
      <x:c r="B5428" s="6" t="n">
        <x:v>0.2309</x:v>
      </x:c>
      <x:c r="C5428" s="6" t="n">
        <x:v>0.1318</x:v>
      </x:c>
      <x:c r="D5428" s="6" t="n">
        <x:f>B5428</x:f>
        <x:v>0.2309</x:v>
      </x:c>
      <x:c r="E5428" s="1" t="n">
        <x:v>1.05</x:v>
      </x:c>
      <x:c r="F5428" s="1" t="str">
        <x:v>https://api.octopus.energy/v1/products/AGILE-24-10-01/electricity-tariffs/E-1R-AGILE-24-10-01-G/standard-unit-rates/</x:v>
      </x:c>
    </x:row>
    <x:row r="5429" ht="21" customHeight="1">
      <x:c r="A5429" s="24" t="n">
        <x:v>46261.604166666664</x:v>
      </x:c>
      <x:c r="B5429" s="6" t="n">
        <x:v>0.2293</x:v>
      </x:c>
      <x:c r="C5429" s="6" t="n">
        <x:v>0.1311</x:v>
      </x:c>
      <x:c r="D5429" s="6" t="n">
        <x:f>B5429</x:f>
        <x:v>0.2293</x:v>
      </x:c>
      <x:c r="E5429" s="1" t="n">
        <x:v>1.05</x:v>
      </x:c>
      <x:c r="F5429" s="1" t="str">
        <x:v>https://api.octopus.energy/v1/products/AGILE-24-10-01/electricity-tariffs/E-1R-AGILE-24-10-01-G/standard-unit-rates/</x:v>
      </x:c>
    </x:row>
    <x:row r="5430" ht="21" customHeight="1">
      <x:c r="A5430" s="24" t="n">
        <x:v>46261.625</x:v>
      </x:c>
      <x:c r="B5430" s="6" t="n">
        <x:v>0.2182</x:v>
      </x:c>
      <x:c r="C5430" s="6" t="n">
        <x:v>0.126</x:v>
      </x:c>
      <x:c r="D5430" s="6" t="n">
        <x:f>B5430</x:f>
        <x:v>0.2182</x:v>
      </x:c>
      <x:c r="E5430" s="1" t="n">
        <x:v>1.05</x:v>
      </x:c>
      <x:c r="F5430" s="1" t="str">
        <x:v>https://api.octopus.energy/v1/products/AGILE-24-10-01/electricity-tariffs/E-1R-AGILE-24-10-01-G/standard-unit-rates/</x:v>
      </x:c>
    </x:row>
    <x:row r="5431" ht="21" customHeight="1">
      <x:c r="A5431" s="24" t="n">
        <x:v>46261.645833333336</x:v>
      </x:c>
      <x:c r="B5431" s="6" t="n">
        <x:v>0.22829999999999998</x:v>
      </x:c>
      <x:c r="C5431" s="6" t="n">
        <x:v>0.1306</x:v>
      </x:c>
      <x:c r="D5431" s="6" t="n">
        <x:f>B5431</x:f>
        <x:v>0.22829999999999998</x:v>
      </x:c>
      <x:c r="E5431" s="1" t="n">
        <x:v>1.05</x:v>
      </x:c>
      <x:c r="F5431" s="1" t="str">
        <x:v>https://api.octopus.energy/v1/products/AGILE-24-10-01/electricity-tariffs/E-1R-AGILE-24-10-01-G/standard-unit-rates/</x:v>
      </x:c>
    </x:row>
    <x:row r="5432" ht="21" customHeight="1">
      <x:c r="A5432" s="24" t="n">
        <x:v>46261.666666666664</x:v>
      </x:c>
      <x:c r="B5432" s="6" t="n">
        <x:v>0.3546</x:v>
      </x:c>
      <x:c r="C5432" s="6" t="n">
        <x:v>0.1924</x:v>
      </x:c>
      <x:c r="D5432" s="6" t="n">
        <x:f>B5432</x:f>
        <x:v>0.3546</x:v>
      </x:c>
      <x:c r="E5432" s="1" t="n">
        <x:v>1.05</x:v>
      </x:c>
      <x:c r="F5432" s="1" t="str">
        <x:v>https://api.octopus.energy/v1/products/AGILE-24-10-01/electricity-tariffs/E-1R-AGILE-24-10-01-G/standard-unit-rates/</x:v>
      </x:c>
    </x:row>
    <x:row r="5433" ht="21" customHeight="1">
      <x:c r="A5433" s="24" t="n">
        <x:v>46261.6875</x:v>
      </x:c>
      <x:c r="B5433" s="6" t="n">
        <x:v>0.3636</x:v>
      </x:c>
      <x:c r="C5433" s="6" t="n">
        <x:v>0.19649999999999998</x:v>
      </x:c>
      <x:c r="D5433" s="6" t="n">
        <x:f>B5433</x:f>
        <x:v>0.3636</x:v>
      </x:c>
      <x:c r="E5433" s="1" t="n">
        <x:v>1.05</x:v>
      </x:c>
      <x:c r="F5433" s="1" t="str">
        <x:v>https://api.octopus.energy/v1/products/AGILE-24-10-01/electricity-tariffs/E-1R-AGILE-24-10-01-G/standard-unit-rates/</x:v>
      </x:c>
    </x:row>
    <x:row r="5434" ht="21" customHeight="1">
      <x:c r="A5434" s="24" t="n">
        <x:v>46261.708333333336</x:v>
      </x:c>
      <x:c r="B5434" s="6" t="n">
        <x:v>0.40399999999999997</x:v>
      </x:c>
      <x:c r="C5434" s="6" t="n">
        <x:v>0.215</x:v>
      </x:c>
      <x:c r="D5434" s="6" t="n">
        <x:f>B5434</x:f>
        <x:v>0.40399999999999997</x:v>
      </x:c>
      <x:c r="E5434" s="1" t="n">
        <x:v>1.05</x:v>
      </x:c>
      <x:c r="F5434" s="1" t="str">
        <x:v>https://api.octopus.energy/v1/products/AGILE-24-10-01/electricity-tariffs/E-1R-AGILE-24-10-01-G/standard-unit-rates/</x:v>
      </x:c>
    </x:row>
    <x:row r="5435" ht="21" customHeight="1">
      <x:c r="A5435" s="24" t="n">
        <x:v>46261.729166666664</x:v>
      </x:c>
      <x:c r="B5435" s="6" t="n">
        <x:v>0.43200000000000005</x:v>
      </x:c>
      <x:c r="C5435" s="6" t="n">
        <x:v>0.2278</x:v>
      </x:c>
      <x:c r="D5435" s="6" t="n">
        <x:f>B5435</x:f>
        <x:v>0.43200000000000005</x:v>
      </x:c>
      <x:c r="E5435" s="1" t="n">
        <x:v>1.05</x:v>
      </x:c>
      <x:c r="F5435" s="1" t="str">
        <x:v>https://api.octopus.energy/v1/products/AGILE-24-10-01/electricity-tariffs/E-1R-AGILE-24-10-01-G/standard-unit-rates/</x:v>
      </x:c>
    </x:row>
    <x:row r="5436" ht="21" customHeight="1">
      <x:c r="A5436" s="24" t="n">
        <x:v>46261.75</x:v>
      </x:c>
      <x:c r="B5436" s="6" t="n">
        <x:v>0.43939999999999996</x:v>
      </x:c>
      <x:c r="C5436" s="6" t="n">
        <x:v>0.23120000000000002</x:v>
      </x:c>
      <x:c r="D5436" s="6" t="n">
        <x:f>B5436</x:f>
        <x:v>0.43939999999999996</x:v>
      </x:c>
      <x:c r="E5436" s="1" t="n">
        <x:v>1.05</x:v>
      </x:c>
      <x:c r="F5436" s="1" t="str">
        <x:v>https://api.octopus.energy/v1/products/AGILE-24-10-01/electricity-tariffs/E-1R-AGILE-24-10-01-G/standard-unit-rates/</x:v>
      </x:c>
    </x:row>
    <x:row r="5437" ht="21" customHeight="1">
      <x:c r="A5437" s="24" t="n">
        <x:v>46261.770833333336</x:v>
      </x:c>
      <x:c r="B5437" s="6" t="n">
        <x:v>0.4487</x:v>
      </x:c>
      <x:c r="C5437" s="6" t="n">
        <x:v>0.23550000000000001</x:v>
      </x:c>
      <x:c r="D5437" s="6" t="n">
        <x:f>B5437</x:f>
        <x:v>0.4487</x:v>
      </x:c>
      <x:c r="E5437" s="1" t="n">
        <x:v>1.05</x:v>
      </x:c>
      <x:c r="F5437" s="1" t="str">
        <x:v>https://api.octopus.energy/v1/products/AGILE-24-10-01/electricity-tariffs/E-1R-AGILE-24-10-01-G/standard-unit-rates/</x:v>
      </x:c>
    </x:row>
    <x:row r="5438" ht="21" customHeight="1">
      <x:c r="A5438" s="24" t="n">
        <x:v>46261.791666666664</x:v>
      </x:c>
      <x:c r="B5438" s="6" t="n">
        <x:v>0.3276</x:v>
      </x:c>
      <x:c r="C5438" s="6" t="n">
        <x:v>0.17600000000000002</x:v>
      </x:c>
      <x:c r="D5438" s="6" t="n">
        <x:f>B5438</x:f>
        <x:v>0.3276</x:v>
      </x:c>
      <x:c r="E5438" s="1" t="n">
        <x:v>1.05</x:v>
      </x:c>
      <x:c r="F5438" s="1" t="str">
        <x:v>https://api.octopus.energy/v1/products/AGILE-24-10-01/electricity-tariffs/E-1R-AGILE-24-10-01-G/standard-unit-rates/</x:v>
      </x:c>
    </x:row>
    <x:row r="5439" ht="21" customHeight="1">
      <x:c r="A5439" s="24" t="n">
        <x:v>46261.8125</x:v>
      </x:c>
      <x:c r="B5439" s="6" t="n">
        <x:v>0.32799999999999996</x:v>
      </x:c>
      <x:c r="C5439" s="6" t="n">
        <x:v>0.17620000000000002</x:v>
      </x:c>
      <x:c r="D5439" s="6" t="n">
        <x:f>B5439</x:f>
        <x:v>0.32799999999999996</x:v>
      </x:c>
      <x:c r="E5439" s="1" t="n">
        <x:v>1.05</x:v>
      </x:c>
      <x:c r="F5439" s="1" t="str">
        <x:v>https://api.octopus.energy/v1/products/AGILE-24-10-01/electricity-tariffs/E-1R-AGILE-24-10-01-G/standard-unit-rates/</x:v>
      </x:c>
    </x:row>
    <x:row r="5440" ht="21" customHeight="1">
      <x:c r="A5440" s="24" t="n">
        <x:v>46261.833333333336</x:v>
      </x:c>
      <x:c r="B5440" s="6" t="n">
        <x:v>0.3173</x:v>
      </x:c>
      <x:c r="C5440" s="6" t="n">
        <x:v>0.17129999999999998</x:v>
      </x:c>
      <x:c r="D5440" s="6" t="n">
        <x:f>B5440</x:f>
        <x:v>0.3173</x:v>
      </x:c>
      <x:c r="E5440" s="1" t="n">
        <x:v>1.05</x:v>
      </x:c>
      <x:c r="F5440" s="1" t="str">
        <x:v>https://api.octopus.energy/v1/products/AGILE-24-10-01/electricity-tariffs/E-1R-AGILE-24-10-01-G/standard-unit-rates/</x:v>
      </x:c>
    </x:row>
    <x:row r="5441" ht="21" customHeight="1">
      <x:c r="A5441" s="24" t="n">
        <x:v>46261.854166666664</x:v>
      </x:c>
      <x:c r="B5441" s="6" t="n">
        <x:v>0.3151</x:v>
      </x:c>
      <x:c r="C5441" s="6" t="n">
        <x:v>0.1703</x:v>
      </x:c>
      <x:c r="D5441" s="6" t="n">
        <x:f>B5441</x:f>
        <x:v>0.3151</x:v>
      </x:c>
      <x:c r="E5441" s="1" t="n">
        <x:v>1.05</x:v>
      </x:c>
      <x:c r="F5441" s="1" t="str">
        <x:v>https://api.octopus.energy/v1/products/AGILE-24-10-01/electricity-tariffs/E-1R-AGILE-24-10-01-G/standard-unit-rates/</x:v>
      </x:c>
    </x:row>
    <x:row r="5442" ht="21" customHeight="1">
      <x:c r="A5442" s="24" t="n">
        <x:v>46261.875</x:v>
      </x:c>
      <x:c r="B5442" s="6" t="n">
        <x:v>0.3131</x:v>
      </x:c>
      <x:c r="C5442" s="6" t="n">
        <x:v>0.16940000000000002</x:v>
      </x:c>
      <x:c r="D5442" s="6" t="n">
        <x:f>B5442</x:f>
        <x:v>0.3131</x:v>
      </x:c>
      <x:c r="E5442" s="1" t="n">
        <x:v>1.05</x:v>
      </x:c>
      <x:c r="F5442" s="1" t="str">
        <x:v>https://api.octopus.energy/v1/products/AGILE-24-10-01/electricity-tariffs/E-1R-AGILE-24-10-01-G/standard-unit-rates/</x:v>
      </x:c>
    </x:row>
    <x:row r="5443" ht="21" customHeight="1">
      <x:c r="A5443" s="24" t="n">
        <x:v>46261.895833333336</x:v>
      </x:c>
      <x:c r="B5443" s="6" t="n">
        <x:v>0.2919</x:v>
      </x:c>
      <x:c r="C5443" s="6" t="n">
        <x:v>0.1597</x:v>
      </x:c>
      <x:c r="D5443" s="6" t="n">
        <x:f>B5443</x:f>
        <x:v>0.2919</x:v>
      </x:c>
      <x:c r="E5443" s="1" t="n">
        <x:v>1.05</x:v>
      </x:c>
      <x:c r="F5443" s="1" t="str">
        <x:v>https://api.octopus.energy/v1/products/AGILE-24-10-01/electricity-tariffs/E-1R-AGILE-24-10-01-G/standard-unit-rates/</x:v>
      </x:c>
    </x:row>
    <x:row r="5444" ht="21" customHeight="1">
      <x:c r="A5444" s="24" t="n">
        <x:v>46261.916666666664</x:v>
      </x:c>
      <x:c r="B5444" s="6" t="n">
        <x:v>0.2834</x:v>
      </x:c>
      <x:c r="C5444" s="6" t="n">
        <x:v>0.1558</x:v>
      </x:c>
      <x:c r="D5444" s="6" t="n">
        <x:f>B5444</x:f>
        <x:v>0.2834</x:v>
      </x:c>
      <x:c r="E5444" s="1" t="n">
        <x:v>1.05</x:v>
      </x:c>
      <x:c r="F5444" s="1" t="str">
        <x:v>https://api.octopus.energy/v1/products/AGILE-24-10-01/electricity-tariffs/E-1R-AGILE-24-10-01-G/standard-unit-rates/</x:v>
      </x:c>
    </x:row>
    <x:row r="5445" ht="21" customHeight="1">
      <x:c r="A5445" s="24" t="n">
        <x:v>46261.9375</x:v>
      </x:c>
      <x:c r="B5445" s="6" t="n">
        <x:v>0.2669</x:v>
      </x:c>
      <x:c r="C5445" s="6" t="n">
        <x:v>0.1483</x:v>
      </x:c>
      <x:c r="D5445" s="6" t="n">
        <x:f>B5445</x:f>
        <x:v>0.2669</x:v>
      </x:c>
      <x:c r="E5445" s="1" t="n">
        <x:v>1.05</x:v>
      </x:c>
      <x:c r="F5445" s="1" t="str">
        <x:v>https://api.octopus.energy/v1/products/AGILE-24-10-01/electricity-tariffs/E-1R-AGILE-24-10-01-G/standard-unit-rates/</x:v>
      </x:c>
    </x:row>
    <x:row r="5446" ht="21" customHeight="1">
      <x:c r="A5446" s="24" t="n">
        <x:v>46262</x:v>
      </x:c>
      <x:c r="B5446" s="6" t="n">
        <x:v>0.2816</x:v>
      </x:c>
      <x:c r="C5446" s="6" t="n">
        <x:v>0.155</x:v>
      </x:c>
      <x:c r="D5446" s="6" t="n">
        <x:f>B5446</x:f>
        <x:v>0.2816</x:v>
      </x:c>
      <x:c r="E5446" s="1" t="n">
        <x:v>1.05</x:v>
      </x:c>
      <x:c r="F5446" s="1" t="str">
        <x:v>https://api.octopus.energy/v1/products/AGILE-24-10-01/electricity-tariffs/E-1R-AGILE-24-10-01-G/standard-unit-rates/</x:v>
      </x:c>
    </x:row>
    <x:row r="5447" ht="21" customHeight="1">
      <x:c r="A5447" s="24" t="n">
        <x:v>46261.979166666664</x:v>
      </x:c>
      <x:c r="B5447" s="6" t="n">
        <x:v>0.2816</x:v>
      </x:c>
      <x:c r="C5447" s="6" t="n">
        <x:v>0.155</x:v>
      </x:c>
      <x:c r="D5447" s="6" t="n">
        <x:f>B5447</x:f>
        <x:v>0.2816</x:v>
      </x:c>
      <x:c r="E5447" s="1" t="n">
        <x:v>1.05</x:v>
      </x:c>
      <x:c r="F5447" s="1" t="str">
        <x:v>https://api.octopus.energy/v1/products/AGILE-24-10-01/electricity-tariffs/E-1R-AGILE-24-10-01-G/standard-unit-rates/</x:v>
      </x:c>
    </x:row>
    <x:row r="5448" ht="21" customHeight="1">
      <x:c r="A5448" s="24" t="n">
        <x:v>46262</x:v>
      </x:c>
      <x:c r="B5448" s="6" t="n">
        <x:v>0.28059999999999996</x:v>
      </x:c>
      <x:c r="C5448" s="6" t="n">
        <x:v>0.1545</x:v>
      </x:c>
      <x:c r="D5448" s="6" t="n">
        <x:f>B5448</x:f>
        <x:v>0.28059999999999996</x:v>
      </x:c>
      <x:c r="E5448" s="1" t="n">
        <x:v>1.05</x:v>
      </x:c>
      <x:c r="F5448" s="1" t="str">
        <x:v>https://api.octopus.energy/v1/products/AGILE-24-10-01/electricity-tariffs/E-1R-AGILE-24-10-01-G/standard-unit-rates/</x:v>
      </x:c>
    </x:row>
    <x:row r="5449" ht="21" customHeight="1">
      <x:c r="A5449" s="24" t="n">
        <x:v>46262.020833333336</x:v>
      </x:c>
      <x:c r="B5449" s="6" t="n">
        <x:v>0.2686</x:v>
      </x:c>
      <x:c r="C5449" s="6" t="n">
        <x:v>0.1491</x:v>
      </x:c>
      <x:c r="D5449" s="6" t="n">
        <x:f>B5449</x:f>
        <x:v>0.2686</x:v>
      </x:c>
      <x:c r="E5449" s="1" t="n">
        <x:v>1.05</x:v>
      </x:c>
      <x:c r="F5449" s="1" t="str">
        <x:v>https://api.octopus.energy/v1/products/AGILE-24-10-01/electricity-tariffs/E-1R-AGILE-24-10-01-G/standard-unit-rates/</x:v>
      </x:c>
    </x:row>
    <x:row r="5450" ht="21" customHeight="1">
      <x:c r="A5450" s="24" t="n">
        <x:v>46262.041666666664</x:v>
      </x:c>
      <x:c r="B5450" s="6" t="n">
        <x:v>0.26899999999999996</x:v>
      </x:c>
      <x:c r="C5450" s="6" t="n">
        <x:v>0.1492</x:v>
      </x:c>
      <x:c r="D5450" s="6" t="n">
        <x:f>B5450</x:f>
        <x:v>0.26899999999999996</x:v>
      </x:c>
      <x:c r="E5450" s="1" t="n">
        <x:v>1.05</x:v>
      </x:c>
      <x:c r="F5450" s="1" t="str">
        <x:v>https://api.octopus.energy/v1/products/AGILE-24-10-01/electricity-tariffs/E-1R-AGILE-24-10-01-G/standard-unit-rates/</x:v>
      </x:c>
    </x:row>
    <x:row r="5451" ht="21" customHeight="1">
      <x:c r="A5451" s="24" t="n">
        <x:v>46262.0625</x:v>
      </x:c>
      <x:c r="B5451" s="6" t="n">
        <x:v>0.26289999999999997</x:v>
      </x:c>
      <x:c r="C5451" s="6" t="n">
        <x:v>0.1464</x:v>
      </x:c>
      <x:c r="D5451" s="6" t="n">
        <x:f>B5451</x:f>
        <x:v>0.26289999999999997</x:v>
      </x:c>
      <x:c r="E5451" s="1" t="n">
        <x:v>1.05</x:v>
      </x:c>
      <x:c r="F5451" s="1" t="str">
        <x:v>https://api.octopus.energy/v1/products/AGILE-24-10-01/electricity-tariffs/E-1R-AGILE-24-10-01-G/standard-unit-rates/</x:v>
      </x:c>
    </x:row>
    <x:row r="5452" ht="21" customHeight="1">
      <x:c r="A5452" s="24" t="n">
        <x:v>46262.083333333336</x:v>
      </x:c>
      <x:c r="B5452" s="6" t="n">
        <x:v>0.25579999999999997</x:v>
      </x:c>
      <x:c r="C5452" s="6" t="n">
        <x:v>0.1432</x:v>
      </x:c>
      <x:c r="D5452" s="6" t="n">
        <x:f>B5452</x:f>
        <x:v>0.25579999999999997</x:v>
      </x:c>
      <x:c r="E5452" s="1" t="n">
        <x:v>1.05</x:v>
      </x:c>
      <x:c r="F5452" s="1" t="str">
        <x:v>https://api.octopus.energy/v1/products/AGILE-24-10-01/electricity-tariffs/E-1R-AGILE-24-10-01-G/standard-unit-rates/</x:v>
      </x:c>
    </x:row>
    <x:row r="5453" ht="21" customHeight="1">
      <x:c r="A5453" s="24" t="n">
        <x:v>46262.104166666664</x:v>
      </x:c>
      <x:c r="B5453" s="6" t="n">
        <x:v>0.24559999999999998</x:v>
      </x:c>
      <x:c r="C5453" s="6" t="n">
        <x:v>0.13849999999999998</x:v>
      </x:c>
      <x:c r="D5453" s="6" t="n">
        <x:f>B5453</x:f>
        <x:v>0.24559999999999998</x:v>
      </x:c>
      <x:c r="E5453" s="1" t="n">
        <x:v>1.05</x:v>
      </x:c>
      <x:c r="F5453" s="1" t="str">
        <x:v>https://api.octopus.energy/v1/products/AGILE-24-10-01/electricity-tariffs/E-1R-AGILE-24-10-01-G/standard-unit-rates/</x:v>
      </x:c>
    </x:row>
    <x:row r="5454" ht="21" customHeight="1">
      <x:c r="A5454" s="24" t="n">
        <x:v>46262.125</x:v>
      </x:c>
      <x:c r="B5454" s="6" t="n">
        <x:v>0.2462</x:v>
      </x:c>
      <x:c r="C5454" s="6" t="n">
        <x:v>0.1388</x:v>
      </x:c>
      <x:c r="D5454" s="6" t="n">
        <x:f>B5454</x:f>
        <x:v>0.2462</x:v>
      </x:c>
      <x:c r="E5454" s="1" t="n">
        <x:v>1.05</x:v>
      </x:c>
      <x:c r="F5454" s="1" t="str">
        <x:v>https://api.octopus.energy/v1/products/AGILE-24-10-01/electricity-tariffs/E-1R-AGILE-24-10-01-G/standard-unit-rates/</x:v>
      </x:c>
    </x:row>
    <x:row r="5455" ht="21" customHeight="1">
      <x:c r="A5455" s="24" t="n">
        <x:v>46262.145833333336</x:v>
      </x:c>
      <x:c r="B5455" s="6" t="n">
        <x:v>0.24480000000000002</x:v>
      </x:c>
      <x:c r="C5455" s="6" t="n">
        <x:v>0.1382</x:v>
      </x:c>
      <x:c r="D5455" s="6" t="n">
        <x:f>B5455</x:f>
        <x:v>0.24480000000000002</x:v>
      </x:c>
      <x:c r="E5455" s="1" t="n">
        <x:v>1.05</x:v>
      </x:c>
      <x:c r="F5455" s="1" t="str">
        <x:v>https://api.octopus.energy/v1/products/AGILE-24-10-01/electricity-tariffs/E-1R-AGILE-24-10-01-G/standard-unit-rates/</x:v>
      </x:c>
    </x:row>
    <x:row r="5456" ht="21" customHeight="1">
      <x:c r="A5456" s="24" t="n">
        <x:v>46262.166666666664</x:v>
      </x:c>
      <x:c r="B5456" s="6" t="n">
        <x:v>0.2627</x:v>
      </x:c>
      <x:c r="C5456" s="6" t="n">
        <x:v>0.1464</x:v>
      </x:c>
      <x:c r="D5456" s="6" t="n">
        <x:f>B5456</x:f>
        <x:v>0.2627</x:v>
      </x:c>
      <x:c r="E5456" s="1" t="n">
        <x:v>1.05</x:v>
      </x:c>
      <x:c r="F5456" s="1" t="str">
        <x:v>https://api.octopus.energy/v1/products/AGILE-24-10-01/electricity-tariffs/E-1R-AGILE-24-10-01-G/standard-unit-rates/</x:v>
      </x:c>
    </x:row>
    <x:row r="5457" ht="21" customHeight="1">
      <x:c r="A5457" s="24" t="n">
        <x:v>46262.1875</x:v>
      </x:c>
      <x:c r="B5457" s="6" t="n">
        <x:v>0.2585</x:v>
      </x:c>
      <x:c r="C5457" s="6" t="n">
        <x:v>0.1444</x:v>
      </x:c>
      <x:c r="D5457" s="6" t="n">
        <x:f>B5457</x:f>
        <x:v>0.2585</x:v>
      </x:c>
      <x:c r="E5457" s="1" t="n">
        <x:v>1.05</x:v>
      </x:c>
      <x:c r="F5457" s="1" t="str">
        <x:v>https://api.octopus.energy/v1/products/AGILE-24-10-01/electricity-tariffs/E-1R-AGILE-24-10-01-G/standard-unit-rates/</x:v>
      </x:c>
    </x:row>
    <x:row r="5458" ht="21" customHeight="1">
      <x:c r="A5458" s="24" t="n">
        <x:v>46262.208333333336</x:v>
      </x:c>
      <x:c r="B5458" s="6" t="n">
        <x:v>0.2845</x:v>
      </x:c>
      <x:c r="C5458" s="6" t="n">
        <x:v>0.1563</x:v>
      </x:c>
      <x:c r="D5458" s="6" t="n">
        <x:f>B5458</x:f>
        <x:v>0.2845</x:v>
      </x:c>
      <x:c r="E5458" s="1" t="n">
        <x:v>1.05</x:v>
      </x:c>
      <x:c r="F5458" s="1" t="str">
        <x:v>https://api.octopus.energy/v1/products/AGILE-24-10-01/electricity-tariffs/E-1R-AGILE-24-10-01-G/standard-unit-rates/</x:v>
      </x:c>
    </x:row>
    <x:row r="5459" ht="21" customHeight="1">
      <x:c r="A5459" s="24" t="n">
        <x:v>46262.229166666664</x:v>
      </x:c>
      <x:c r="B5459" s="6" t="n">
        <x:v>0.282</x:v>
      </x:c>
      <x:c r="C5459" s="6" t="n">
        <x:v>0.1552</x:v>
      </x:c>
      <x:c r="D5459" s="6" t="n">
        <x:f>B5459</x:f>
        <x:v>0.282</x:v>
      </x:c>
      <x:c r="E5459" s="1" t="n">
        <x:v>1.05</x:v>
      </x:c>
      <x:c r="F5459" s="1" t="str">
        <x:v>https://api.octopus.energy/v1/products/AGILE-24-10-01/electricity-tariffs/E-1R-AGILE-24-10-01-G/standard-unit-rates/</x:v>
      </x:c>
    </x:row>
    <x:row r="5460" ht="21" customHeight="1">
      <x:c r="A5460" s="24" t="n">
        <x:v>46262.25</x:v>
      </x:c>
      <x:c r="B5460" s="6" t="n">
        <x:v>0.2843</x:v>
      </x:c>
      <x:c r="C5460" s="6" t="n">
        <x:v>0.1562</x:v>
      </x:c>
      <x:c r="D5460" s="6" t="n">
        <x:f>B5460</x:f>
        <x:v>0.2843</x:v>
      </x:c>
      <x:c r="E5460" s="1" t="n">
        <x:v>1.05</x:v>
      </x:c>
      <x:c r="F5460" s="1" t="str">
        <x:v>https://api.octopus.energy/v1/products/AGILE-24-10-01/electricity-tariffs/E-1R-AGILE-24-10-01-G/standard-unit-rates/</x:v>
      </x:c>
    </x:row>
    <x:row r="5461" ht="21" customHeight="1">
      <x:c r="A5461" s="24" t="n">
        <x:v>46262.270833333336</x:v>
      </x:c>
      <x:c r="B5461" s="6" t="n">
        <x:v>0.29969999999999997</x:v>
      </x:c>
      <x:c r="C5461" s="6" t="n">
        <x:v>0.16329999999999997</x:v>
      </x:c>
      <x:c r="D5461" s="6" t="n">
        <x:f>B5461</x:f>
        <x:v>0.29969999999999997</x:v>
      </x:c>
      <x:c r="E5461" s="1" t="n">
        <x:v>1.05</x:v>
      </x:c>
      <x:c r="F5461" s="1" t="str">
        <x:v>https://api.octopus.energy/v1/products/AGILE-24-10-01/electricity-tariffs/E-1R-AGILE-24-10-01-G/standard-unit-rates/</x:v>
      </x:c>
    </x:row>
    <x:row r="5462" ht="21" customHeight="1">
      <x:c r="A5462" s="24" t="n">
        <x:v>46262.291666666664</x:v>
      </x:c>
      <x:c r="B5462" s="6" t="n">
        <x:v>0.2812</x:v>
      </x:c>
      <x:c r="C5462" s="6" t="n">
        <x:v>0.1548</x:v>
      </x:c>
      <x:c r="D5462" s="6" t="n">
        <x:f>B5462</x:f>
        <x:v>0.2812</x:v>
      </x:c>
      <x:c r="E5462" s="1" t="n">
        <x:v>1.05</x:v>
      </x:c>
      <x:c r="F5462" s="1" t="str">
        <x:v>https://api.octopus.energy/v1/products/AGILE-24-10-01/electricity-tariffs/E-1R-AGILE-24-10-01-G/standard-unit-rates/</x:v>
      </x:c>
    </x:row>
    <x:row r="5463" ht="21" customHeight="1">
      <x:c r="A5463" s="24" t="n">
        <x:v>46262.3125</x:v>
      </x:c>
      <x:c r="B5463" s="6" t="n">
        <x:v>0.2953</x:v>
      </x:c>
      <x:c r="C5463" s="6" t="n">
        <x:v>0.1612</x:v>
      </x:c>
      <x:c r="D5463" s="6" t="n">
        <x:f>B5463</x:f>
        <x:v>0.2953</x:v>
      </x:c>
      <x:c r="E5463" s="1" t="n">
        <x:v>1.05</x:v>
      </x:c>
      <x:c r="F5463" s="1" t="str">
        <x:v>https://api.octopus.energy/v1/products/AGILE-24-10-01/electricity-tariffs/E-1R-AGILE-24-10-01-G/standard-unit-rates/</x:v>
      </x:c>
    </x:row>
    <x:row r="5464" ht="21" customHeight="1">
      <x:c r="A5464" s="24" t="n">
        <x:v>46262.333333333336</x:v>
      </x:c>
      <x:c r="B5464" s="6" t="n">
        <x:v>0.2871</x:v>
      </x:c>
      <x:c r="C5464" s="6" t="n">
        <x:v>0.1575</x:v>
      </x:c>
      <x:c r="D5464" s="6" t="n">
        <x:f>B5464</x:f>
        <x:v>0.2871</x:v>
      </x:c>
      <x:c r="E5464" s="1" t="n">
        <x:v>1.05</x:v>
      </x:c>
      <x:c r="F5464" s="1" t="str">
        <x:v>https://api.octopus.energy/v1/products/AGILE-24-10-01/electricity-tariffs/E-1R-AGILE-24-10-01-G/standard-unit-rates/</x:v>
      </x:c>
    </x:row>
    <x:row r="5465" ht="21" customHeight="1">
      <x:c r="A5465" s="24" t="n">
        <x:v>46262.354166666664</x:v>
      </x:c>
      <x:c r="B5465" s="6" t="n">
        <x:v>0.2789</x:v>
      </x:c>
      <x:c r="C5465" s="6" t="n">
        <x:v>0.15380000000000002</x:v>
      </x:c>
      <x:c r="D5465" s="6" t="n">
        <x:f>B5465</x:f>
        <x:v>0.2789</x:v>
      </x:c>
      <x:c r="E5465" s="1" t="n">
        <x:v>1.05</x:v>
      </x:c>
      <x:c r="F5465" s="1" t="str">
        <x:v>https://api.octopus.energy/v1/products/AGILE-24-10-01/electricity-tariffs/E-1R-AGILE-24-10-01-G/standard-unit-rates/</x:v>
      </x:c>
    </x:row>
    <x:row r="5466" ht="21" customHeight="1">
      <x:c r="A5466" s="24" t="n">
        <x:v>46262.375</x:v>
      </x:c>
      <x:c r="B5466" s="6" t="n">
        <x:v>0.2691</x:v>
      </x:c>
      <x:c r="C5466" s="6" t="n">
        <x:v>0.1493</x:v>
      </x:c>
      <x:c r="D5466" s="6" t="n">
        <x:f>B5466</x:f>
        <x:v>0.2691</x:v>
      </x:c>
      <x:c r="E5466" s="1" t="n">
        <x:v>1.05</x:v>
      </x:c>
      <x:c r="F5466" s="1" t="str">
        <x:v>https://api.octopus.energy/v1/products/AGILE-24-10-01/electricity-tariffs/E-1R-AGILE-24-10-01-G/standard-unit-rates/</x:v>
      </x:c>
    </x:row>
    <x:row r="5467" ht="21" customHeight="1">
      <x:c r="A5467" s="24" t="n">
        <x:v>46262.395833333336</x:v>
      </x:c>
      <x:c r="B5467" s="6" t="n">
        <x:v>0.24989999999999998</x:v>
      </x:c>
      <x:c r="C5467" s="6" t="n">
        <x:v>0.1405</x:v>
      </x:c>
      <x:c r="D5467" s="6" t="n">
        <x:f>B5467</x:f>
        <x:v>0.24989999999999998</x:v>
      </x:c>
      <x:c r="E5467" s="1" t="n">
        <x:v>1.05</x:v>
      </x:c>
      <x:c r="F5467" s="1" t="str">
        <x:v>https://api.octopus.energy/v1/products/AGILE-24-10-01/electricity-tariffs/E-1R-AGILE-24-10-01-G/standard-unit-rates/</x:v>
      </x:c>
    </x:row>
    <x:row r="5468" ht="21" customHeight="1">
      <x:c r="A5468" s="24" t="n">
        <x:v>46262.416666666664</x:v>
      </x:c>
      <x:c r="B5468" s="6" t="n">
        <x:v>0.2554</x:v>
      </x:c>
      <x:c r="C5468" s="6" t="n">
        <x:v>0.14300000000000002</x:v>
      </x:c>
      <x:c r="D5468" s="6" t="n">
        <x:f>B5468</x:f>
        <x:v>0.2554</x:v>
      </x:c>
      <x:c r="E5468" s="1" t="n">
        <x:v>1.05</x:v>
      </x:c>
      <x:c r="F5468" s="1" t="str">
        <x:v>https://api.octopus.energy/v1/products/AGILE-24-10-01/electricity-tariffs/E-1R-AGILE-24-10-01-G/standard-unit-rates/</x:v>
      </x:c>
    </x:row>
    <x:row r="5469" ht="21" customHeight="1">
      <x:c r="A5469" s="24" t="n">
        <x:v>46262.4375</x:v>
      </x:c>
      <x:c r="B5469" s="6" t="n">
        <x:v>0.26890000000000003</x:v>
      </x:c>
      <x:c r="C5469" s="6" t="n">
        <x:v>0.1492</x:v>
      </x:c>
      <x:c r="D5469" s="6" t="n">
        <x:f>B5469</x:f>
        <x:v>0.26890000000000003</x:v>
      </x:c>
      <x:c r="E5469" s="1" t="n">
        <x:v>1.05</x:v>
      </x:c>
      <x:c r="F5469" s="1" t="str">
        <x:v>https://api.octopus.energy/v1/products/AGILE-24-10-01/electricity-tariffs/E-1R-AGILE-24-10-01-G/standard-unit-rates/</x:v>
      </x:c>
    </x:row>
    <x:row r="5470" ht="21" customHeight="1">
      <x:c r="A5470" s="24" t="n">
        <x:v>46262.458333333336</x:v>
      </x:c>
      <x:c r="B5470" s="6" t="n">
        <x:v>0.27140000000000003</x:v>
      </x:c>
      <x:c r="C5470" s="6" t="n">
        <x:v>0.1503</x:v>
      </x:c>
      <x:c r="D5470" s="6" t="n">
        <x:f>B5470</x:f>
        <x:v>0.27140000000000003</x:v>
      </x:c>
      <x:c r="E5470" s="1" t="n">
        <x:v>1.05</x:v>
      </x:c>
      <x:c r="F5470" s="1" t="str">
        <x:v>https://api.octopus.energy/v1/products/AGILE-24-10-01/electricity-tariffs/E-1R-AGILE-24-10-01-G/standard-unit-rates/</x:v>
      </x:c>
    </x:row>
    <x:row r="5471" ht="21" customHeight="1">
      <x:c r="A5471" s="24" t="n">
        <x:v>46262.479166666664</x:v>
      </x:c>
      <x:c r="B5471" s="6" t="n">
        <x:v>0.2697</x:v>
      </x:c>
      <x:c r="C5471" s="6" t="n">
        <x:v>0.1496</x:v>
      </x:c>
      <x:c r="D5471" s="6" t="n">
        <x:f>B5471</x:f>
        <x:v>0.2697</x:v>
      </x:c>
      <x:c r="E5471" s="1" t="n">
        <x:v>1.05</x:v>
      </x:c>
      <x:c r="F5471" s="1" t="str">
        <x:v>https://api.octopus.energy/v1/products/AGILE-24-10-01/electricity-tariffs/E-1R-AGILE-24-10-01-G/standard-unit-rates/</x:v>
      </x:c>
    </x:row>
    <x:row r="5472" ht="21" customHeight="1">
      <x:c r="A5472" s="24" t="n">
        <x:v>46262.5</x:v>
      </x:c>
      <x:c r="B5472" s="6" t="n">
        <x:v>0.2564</x:v>
      </x:c>
      <x:c r="C5472" s="6" t="n">
        <x:v>0.1435</x:v>
      </x:c>
      <x:c r="D5472" s="6" t="n">
        <x:f>B5472</x:f>
        <x:v>0.2564</x:v>
      </x:c>
      <x:c r="E5472" s="1" t="n">
        <x:v>1.05</x:v>
      </x:c>
      <x:c r="F5472" s="1" t="str">
        <x:v>https://api.octopus.energy/v1/products/AGILE-24-10-01/electricity-tariffs/E-1R-AGILE-24-10-01-G/standard-unit-rates/</x:v>
      </x:c>
    </x:row>
    <x:row r="5473" ht="21" customHeight="1">
      <x:c r="A5473" s="24" t="n">
        <x:v>46262.520833333336</x:v>
      </x:c>
      <x:c r="B5473" s="6" t="n">
        <x:v>0.23879999999999998</x:v>
      </x:c>
      <x:c r="C5473" s="6" t="n">
        <x:v>0.1354</x:v>
      </x:c>
      <x:c r="D5473" s="6" t="n">
        <x:f>B5473</x:f>
        <x:v>0.23879999999999998</x:v>
      </x:c>
      <x:c r="E5473" s="1" t="n">
        <x:v>1.05</x:v>
      </x:c>
      <x:c r="F5473" s="1" t="str">
        <x:v>https://api.octopus.energy/v1/products/AGILE-24-10-01/electricity-tariffs/E-1R-AGILE-24-10-01-G/standard-unit-rates/</x:v>
      </x:c>
    </x:row>
    <x:row r="5474" ht="21" customHeight="1">
      <x:c r="A5474" s="24" t="n">
        <x:v>46262.541666666664</x:v>
      </x:c>
      <x:c r="B5474" s="6" t="n">
        <x:v>0.2365</x:v>
      </x:c>
      <x:c r="C5474" s="6" t="n">
        <x:v>0.1344</x:v>
      </x:c>
      <x:c r="D5474" s="6" t="n">
        <x:f>B5474</x:f>
        <x:v>0.2365</x:v>
      </x:c>
      <x:c r="E5474" s="1" t="n">
        <x:v>1.05</x:v>
      </x:c>
      <x:c r="F5474" s="1" t="str">
        <x:v>https://api.octopus.energy/v1/products/AGILE-24-10-01/electricity-tariffs/E-1R-AGILE-24-10-01-G/standard-unit-rates/</x:v>
      </x:c>
    </x:row>
    <x:row r="5475" ht="21" customHeight="1">
      <x:c r="A5475" s="24" t="n">
        <x:v>46262.5625</x:v>
      </x:c>
      <x:c r="B5475" s="6" t="n">
        <x:v>0.22190000000000001</x:v>
      </x:c>
      <x:c r="C5475" s="6" t="n">
        <x:v>0.1277</x:v>
      </x:c>
      <x:c r="D5475" s="6" t="n">
        <x:f>B5475</x:f>
        <x:v>0.22190000000000001</x:v>
      </x:c>
      <x:c r="E5475" s="1" t="n">
        <x:v>1.05</x:v>
      </x:c>
      <x:c r="F5475" s="1" t="str">
        <x:v>https://api.octopus.energy/v1/products/AGILE-24-10-01/electricity-tariffs/E-1R-AGILE-24-10-01-G/standard-unit-rates/</x:v>
      </x:c>
    </x:row>
    <x:row r="5476" ht="21" customHeight="1">
      <x:c r="A5476" s="24" t="n">
        <x:v>46262.583333333336</x:v>
      </x:c>
      <x:c r="B5476" s="6" t="n">
        <x:v>0.22030000000000002</x:v>
      </x:c>
      <x:c r="C5476" s="6" t="n">
        <x:v>0.127</x:v>
      </x:c>
      <x:c r="D5476" s="6" t="n">
        <x:f>B5476</x:f>
        <x:v>0.22030000000000002</x:v>
      </x:c>
      <x:c r="E5476" s="1" t="n">
        <x:v>1.05</x:v>
      </x:c>
      <x:c r="F5476" s="1" t="str">
        <x:v>https://api.octopus.energy/v1/products/AGILE-24-10-01/electricity-tariffs/E-1R-AGILE-24-10-01-G/standard-unit-rates/</x:v>
      </x:c>
    </x:row>
    <x:row r="5477" ht="21" customHeight="1">
      <x:c r="A5477" s="24" t="n">
        <x:v>46262.604166666664</x:v>
      </x:c>
      <x:c r="B5477" s="6" t="n">
        <x:v>0.2186</x:v>
      </x:c>
      <x:c r="C5477" s="6" t="n">
        <x:v>0.12619999999999998</x:v>
      </x:c>
      <x:c r="D5477" s="6" t="n">
        <x:f>B5477</x:f>
        <x:v>0.2186</x:v>
      </x:c>
      <x:c r="E5477" s="1" t="n">
        <x:v>1.05</x:v>
      </x:c>
      <x:c r="F5477" s="1" t="str">
        <x:v>https://api.octopus.energy/v1/products/AGILE-24-10-01/electricity-tariffs/E-1R-AGILE-24-10-01-G/standard-unit-rates/</x:v>
      </x:c>
    </x:row>
    <x:row r="5478" ht="21" customHeight="1">
      <x:c r="A5478" s="24" t="n">
        <x:v>46262.625</x:v>
      </x:c>
      <x:c r="B5478" s="6" t="n">
        <x:v>0.19760000000000003</x:v>
      </x:c>
      <x:c r="C5478" s="6" t="n">
        <x:v>0.1166</x:v>
      </x:c>
      <x:c r="D5478" s="6" t="n">
        <x:f>B5478</x:f>
        <x:v>0.19760000000000003</x:v>
      </x:c>
      <x:c r="E5478" s="1" t="n">
        <x:v>1.05</x:v>
      </x:c>
      <x:c r="F5478" s="1" t="str">
        <x:v>https://api.octopus.energy/v1/products/AGILE-24-10-01/electricity-tariffs/E-1R-AGILE-24-10-01-G/standard-unit-rates/</x:v>
      </x:c>
    </x:row>
    <x:row r="5479" ht="21" customHeight="1">
      <x:c r="A5479" s="24" t="n">
        <x:v>46262.645833333336</x:v>
      </x:c>
      <x:c r="B5479" s="6" t="n">
        <x:v>0.19760000000000003</x:v>
      </x:c>
      <x:c r="C5479" s="6" t="n">
        <x:v>0.1166</x:v>
      </x:c>
      <x:c r="D5479" s="6" t="n">
        <x:f>B5479</x:f>
        <x:v>0.19760000000000003</x:v>
      </x:c>
      <x:c r="E5479" s="1" t="n">
        <x:v>1.05</x:v>
      </x:c>
      <x:c r="F5479" s="1" t="str">
        <x:v>https://api.octopus.energy/v1/products/AGILE-24-10-01/electricity-tariffs/E-1R-AGILE-24-10-01-G/standard-unit-rates/</x:v>
      </x:c>
    </x:row>
    <x:row r="5480" ht="21" customHeight="1">
      <x:c r="A5480" s="24" t="n">
        <x:v>46262.666666666664</x:v>
      </x:c>
      <x:c r="B5480" s="6" t="n">
        <x:v>0.33409999999999995</x:v>
      </x:c>
      <x:c r="C5480" s="6" t="n">
        <x:v>0.183</x:v>
      </x:c>
      <x:c r="D5480" s="6" t="n">
        <x:f>B5480</x:f>
        <x:v>0.33409999999999995</x:v>
      </x:c>
      <x:c r="E5480" s="1" t="n">
        <x:v>1.05</x:v>
      </x:c>
      <x:c r="F5480" s="1" t="str">
        <x:v>https://api.octopus.energy/v1/products/AGILE-24-10-01/electricity-tariffs/E-1R-AGILE-24-10-01-G/standard-unit-rates/</x:v>
      </x:c>
    </x:row>
    <x:row r="5481" ht="21" customHeight="1">
      <x:c r="A5481" s="24" t="n">
        <x:v>46262.6875</x:v>
      </x:c>
      <x:c r="B5481" s="6" t="n">
        <x:v>0.3386</x:v>
      </x:c>
      <x:c r="C5481" s="6" t="n">
        <x:v>0.18510000000000001</x:v>
      </x:c>
      <x:c r="D5481" s="6" t="n">
        <x:f>B5481</x:f>
        <x:v>0.3386</x:v>
      </x:c>
      <x:c r="E5481" s="1" t="n">
        <x:v>1.05</x:v>
      </x:c>
      <x:c r="F5481" s="1" t="str">
        <x:v>https://api.octopus.energy/v1/products/AGILE-24-10-01/electricity-tariffs/E-1R-AGILE-24-10-01-G/standard-unit-rates/</x:v>
      </x:c>
    </x:row>
    <x:row r="5482" ht="21" customHeight="1">
      <x:c r="A5482" s="24" t="n">
        <x:v>46262.708333333336</x:v>
      </x:c>
      <x:c r="B5482" s="6" t="n">
        <x:v>0.3834</x:v>
      </x:c>
      <x:c r="C5482" s="6" t="n">
        <x:v>0.20559999999999998</x:v>
      </x:c>
      <x:c r="D5482" s="6" t="n">
        <x:f>B5482</x:f>
        <x:v>0.3834</x:v>
      </x:c>
      <x:c r="E5482" s="1" t="n">
        <x:v>1.05</x:v>
      </x:c>
      <x:c r="F5482" s="1" t="str">
        <x:v>https://api.octopus.energy/v1/products/AGILE-24-10-01/electricity-tariffs/E-1R-AGILE-24-10-01-G/standard-unit-rates/</x:v>
      </x:c>
    </x:row>
    <x:row r="5483" ht="21" customHeight="1">
      <x:c r="A5483" s="24" t="n">
        <x:v>46262.729166666664</x:v>
      </x:c>
      <x:c r="B5483" s="6" t="n">
        <x:v>0.37670000000000003</x:v>
      </x:c>
      <x:c r="C5483" s="6" t="n">
        <x:v>0.2025</x:v>
      </x:c>
      <x:c r="D5483" s="6" t="n">
        <x:f>B5483</x:f>
        <x:v>0.37670000000000003</x:v>
      </x:c>
      <x:c r="E5483" s="1" t="n">
        <x:v>1.05</x:v>
      </x:c>
      <x:c r="F5483" s="1" t="str">
        <x:v>https://api.octopus.energy/v1/products/AGILE-24-10-01/electricity-tariffs/E-1R-AGILE-24-10-01-G/standard-unit-rates/</x:v>
      </x:c>
    </x:row>
    <x:row r="5484" ht="21" customHeight="1">
      <x:c r="A5484" s="24" t="n">
        <x:v>46262.75</x:v>
      </x:c>
      <x:c r="B5484" s="6" t="n">
        <x:v>0.4111</x:v>
      </x:c>
      <x:c r="C5484" s="6" t="n">
        <x:v>0.2182</x:v>
      </x:c>
      <x:c r="D5484" s="6" t="n">
        <x:f>B5484</x:f>
        <x:v>0.4111</x:v>
      </x:c>
      <x:c r="E5484" s="1" t="n">
        <x:v>1.05</x:v>
      </x:c>
      <x:c r="F5484" s="1" t="str">
        <x:v>https://api.octopus.energy/v1/products/AGILE-24-10-01/electricity-tariffs/E-1R-AGILE-24-10-01-G/standard-unit-rates/</x:v>
      </x:c>
    </x:row>
    <x:row r="5485" ht="21" customHeight="1">
      <x:c r="A5485" s="24" t="n">
        <x:v>46262.770833333336</x:v>
      </x:c>
      <x:c r="B5485" s="6" t="n">
        <x:v>0.4142</x:v>
      </x:c>
      <x:c r="C5485" s="6" t="n">
        <x:v>0.21969999999999998</x:v>
      </x:c>
      <x:c r="D5485" s="6" t="n">
        <x:f>B5485</x:f>
        <x:v>0.4142</x:v>
      </x:c>
      <x:c r="E5485" s="1" t="n">
        <x:v>1.05</x:v>
      </x:c>
      <x:c r="F5485" s="1" t="str">
        <x:v>https://api.octopus.energy/v1/products/AGILE-24-10-01/electricity-tariffs/E-1R-AGILE-24-10-01-G/standard-unit-rates/</x:v>
      </x:c>
    </x:row>
    <x:row r="5486" ht="21" customHeight="1">
      <x:c r="A5486" s="24" t="n">
        <x:v>46262.791666666664</x:v>
      </x:c>
      <x:c r="B5486" s="6" t="n">
        <x:v>0.2918</x:v>
      </x:c>
      <x:c r="C5486" s="6" t="n">
        <x:v>0.1597</x:v>
      </x:c>
      <x:c r="D5486" s="6" t="n">
        <x:f>B5486</x:f>
        <x:v>0.2918</x:v>
      </x:c>
      <x:c r="E5486" s="1" t="n">
        <x:v>1.05</x:v>
      </x:c>
      <x:c r="F5486" s="1" t="str">
        <x:v>https://api.octopus.energy/v1/products/AGILE-24-10-01/electricity-tariffs/E-1R-AGILE-24-10-01-G/standard-unit-rates/</x:v>
      </x:c>
    </x:row>
    <x:row r="5487" ht="21" customHeight="1">
      <x:c r="A5487" s="24" t="n">
        <x:v>46262.8125</x:v>
      </x:c>
      <x:c r="B5487" s="6" t="n">
        <x:v>0.29359999999999997</x:v>
      </x:c>
      <x:c r="C5487" s="6" t="n">
        <x:v>0.1605</x:v>
      </x:c>
      <x:c r="D5487" s="6" t="n">
        <x:f>B5487</x:f>
        <x:v>0.29359999999999997</x:v>
      </x:c>
      <x:c r="E5487" s="1" t="n">
        <x:v>1.05</x:v>
      </x:c>
      <x:c r="F5487" s="1" t="str">
        <x:v>https://api.octopus.energy/v1/products/AGILE-24-10-01/electricity-tariffs/E-1R-AGILE-24-10-01-G/standard-unit-rates/</x:v>
      </x:c>
    </x:row>
    <x:row r="5488" ht="21" customHeight="1">
      <x:c r="A5488" s="24" t="n">
        <x:v>46262.833333333336</x:v>
      </x:c>
      <x:c r="B5488" s="6" t="n">
        <x:v>0.2958</x:v>
      </x:c>
      <x:c r="C5488" s="6" t="n">
        <x:v>0.16149999999999998</x:v>
      </x:c>
      <x:c r="D5488" s="6" t="n">
        <x:f>B5488</x:f>
        <x:v>0.2958</x:v>
      </x:c>
      <x:c r="E5488" s="1" t="n">
        <x:v>1.05</x:v>
      </x:c>
      <x:c r="F5488" s="1" t="str">
        <x:v>https://api.octopus.energy/v1/products/AGILE-24-10-01/electricity-tariffs/E-1R-AGILE-24-10-01-G/standard-unit-rates/</x:v>
      </x:c>
    </x:row>
    <x:row r="5489" ht="21" customHeight="1">
      <x:c r="A5489" s="24" t="n">
        <x:v>46262.854166666664</x:v>
      </x:c>
      <x:c r="B5489" s="6" t="n">
        <x:v>0.2967</x:v>
      </x:c>
      <x:c r="C5489" s="6" t="n">
        <x:v>0.16190000000000002</x:v>
      </x:c>
      <x:c r="D5489" s="6" t="n">
        <x:f>B5489</x:f>
        <x:v>0.2967</x:v>
      </x:c>
      <x:c r="E5489" s="1" t="n">
        <x:v>1.05</x:v>
      </x:c>
      <x:c r="F5489" s="1" t="str">
        <x:v>https://api.octopus.energy/v1/products/AGILE-24-10-01/electricity-tariffs/E-1R-AGILE-24-10-01-G/standard-unit-rates/</x:v>
      </x:c>
    </x:row>
    <x:row r="5490" ht="21" customHeight="1">
      <x:c r="A5490" s="24" t="n">
        <x:v>46262.875</x:v>
      </x:c>
      <x:c r="B5490" s="6" t="n">
        <x:v>0.30210000000000004</x:v>
      </x:c>
      <x:c r="C5490" s="6" t="n">
        <x:v>0.16440000000000002</x:v>
      </x:c>
      <x:c r="D5490" s="6" t="n">
        <x:f>B5490</x:f>
        <x:v>0.30210000000000004</x:v>
      </x:c>
      <x:c r="E5490" s="1" t="n">
        <x:v>1.05</x:v>
      </x:c>
      <x:c r="F5490" s="1" t="str">
        <x:v>https://api.octopus.energy/v1/products/AGILE-24-10-01/electricity-tariffs/E-1R-AGILE-24-10-01-G/standard-unit-rates/</x:v>
      </x:c>
    </x:row>
    <x:row r="5491" ht="21" customHeight="1">
      <x:c r="A5491" s="24" t="n">
        <x:v>46262.895833333336</x:v>
      </x:c>
      <x:c r="B5491" s="6" t="n">
        <x:v>0.28559999999999997</x:v>
      </x:c>
      <x:c r="C5491" s="6" t="n">
        <x:v>0.1568</x:v>
      </x:c>
      <x:c r="D5491" s="6" t="n">
        <x:f>B5491</x:f>
        <x:v>0.28559999999999997</x:v>
      </x:c>
      <x:c r="E5491" s="1" t="n">
        <x:v>1.05</x:v>
      </x:c>
      <x:c r="F5491" s="1" t="str">
        <x:v>https://api.octopus.energy/v1/products/AGILE-24-10-01/electricity-tariffs/E-1R-AGILE-24-10-01-G/standard-unit-rates/</x:v>
      </x:c>
    </x:row>
    <x:row r="5492" ht="21" customHeight="1">
      <x:c r="A5492" s="24" t="n">
        <x:v>46262.916666666664</x:v>
      </x:c>
      <x:c r="B5492" s="6" t="n">
        <x:v>0.2685</x:v>
      </x:c>
      <x:c r="C5492" s="6" t="n">
        <x:v>0.149</x:v>
      </x:c>
      <x:c r="D5492" s="6" t="n">
        <x:f>B5492</x:f>
        <x:v>0.2685</x:v>
      </x:c>
      <x:c r="E5492" s="1" t="n">
        <x:v>1.05</x:v>
      </x:c>
      <x:c r="F5492" s="1" t="str">
        <x:v>https://api.octopus.energy/v1/products/AGILE-24-10-01/electricity-tariffs/E-1R-AGILE-24-10-01-G/standard-unit-rates/</x:v>
      </x:c>
    </x:row>
    <x:row r="5493" ht="21" customHeight="1">
      <x:c r="A5493" s="24" t="n">
        <x:v>46262.9375</x:v>
      </x:c>
      <x:c r="B5493" s="6" t="n">
        <x:v>0.2346</x:v>
      </x:c>
      <x:c r="C5493" s="6" t="n">
        <x:v>0.1335</x:v>
      </x:c>
      <x:c r="D5493" s="6" t="n">
        <x:f>B5493</x:f>
        <x:v>0.2346</x:v>
      </x:c>
      <x:c r="E5493" s="1" t="n">
        <x:v>1.05</x:v>
      </x:c>
      <x:c r="F5493" s="1" t="str">
        <x:v>https://api.octopus.energy/v1/products/AGILE-24-10-01/electricity-tariffs/E-1R-AGILE-24-10-01-G/standard-unit-rates/</x:v>
      </x:c>
    </x:row>
    <x:row r="5494" ht="21" customHeight="1">
      <x:c r="A5494" s="24" t="n">
        <x:v>46263</x:v>
      </x:c>
      <x:c r="B5494" s="6" t="n">
        <x:v>0.2186</x:v>
      </x:c>
      <x:c r="C5494" s="6" t="n">
        <x:v>0.12619999999999998</x:v>
      </x:c>
      <x:c r="D5494" s="6" t="n">
        <x:f>B5494</x:f>
        <x:v>0.2186</x:v>
      </x:c>
      <x:c r="E5494" s="1" t="n">
        <x:v>1.05</x:v>
      </x:c>
      <x:c r="F5494" s="1" t="str">
        <x:v>https://api.octopus.energy/v1/products/AGILE-24-10-01/electricity-tariffs/E-1R-AGILE-24-10-01-G/standard-unit-rates/</x:v>
      </x:c>
    </x:row>
    <x:row r="5495" ht="21" customHeight="1">
      <x:c r="A5495" s="24" t="n">
        <x:v>46262.979166666664</x:v>
      </x:c>
      <x:c r="B5495" s="6" t="n">
        <x:v>0.18489999999999998</x:v>
      </x:c>
      <x:c r="C5495" s="6" t="n">
        <x:v>0.1108</x:v>
      </x:c>
      <x:c r="D5495" s="6" t="n">
        <x:f>B5495</x:f>
        <x:v>0.18489999999999998</x:v>
      </x:c>
      <x:c r="E5495" s="1" t="n">
        <x:v>1.05</x:v>
      </x:c>
      <x:c r="F5495" s="1" t="str">
        <x:v>https://api.octopus.energy/v1/products/AGILE-24-10-01/electricity-tariffs/E-1R-AGILE-24-10-01-G/standard-unit-rates/</x:v>
      </x:c>
    </x:row>
    <x:row r="5496" ht="21" customHeight="1">
      <x:c r="A5496" s="24" t="n">
        <x:v>46263</x:v>
      </x:c>
      <x:c r="B5496" s="6" t="n">
        <x:v>0.16269999999999998</x:v>
      </x:c>
      <x:c r="C5496" s="6" t="n">
        <x:v>0.10060000000000001</x:v>
      </x:c>
      <x:c r="D5496" s="6" t="n">
        <x:f>B5496</x:f>
        <x:v>0.16269999999999998</x:v>
      </x:c>
      <x:c r="E5496" s="1" t="n">
        <x:v>1.05</x:v>
      </x:c>
      <x:c r="F5496" s="1" t="str">
        <x:v>https://api.octopus.energy/v1/products/AGILE-24-10-01/electricity-tariffs/E-1R-AGILE-24-10-01-G/standard-unit-rates/</x:v>
      </x:c>
    </x:row>
    <x:row r="5497" ht="21" customHeight="1">
      <x:c r="A5497" s="24" t="n">
        <x:v>46263.020833333336</x:v>
      </x:c>
      <x:c r="B5497" s="6" t="n">
        <x:v>0.15560000000000002</x:v>
      </x:c>
      <x:c r="C5497" s="6" t="n">
        <x:v>0.0974</x:v>
      </x:c>
      <x:c r="D5497" s="6" t="n">
        <x:f>B5497</x:f>
        <x:v>0.15560000000000002</x:v>
      </x:c>
      <x:c r="E5497" s="1" t="n">
        <x:v>1.05</x:v>
      </x:c>
      <x:c r="F5497" s="1" t="str">
        <x:v>https://api.octopus.energy/v1/products/AGILE-24-10-01/electricity-tariffs/E-1R-AGILE-24-10-01-G/standard-unit-rates/</x:v>
      </x:c>
    </x:row>
    <x:row r="5498" ht="21" customHeight="1">
      <x:c r="A5498" s="24" t="n">
        <x:v>46263.041666666664</x:v>
      </x:c>
      <x:c r="B5498" s="6" t="n">
        <x:v>0.15560000000000002</x:v>
      </x:c>
      <x:c r="C5498" s="6" t="n">
        <x:v>0.0974</x:v>
      </x:c>
      <x:c r="D5498" s="6" t="n">
        <x:f>B5498</x:f>
        <x:v>0.15560000000000002</x:v>
      </x:c>
      <x:c r="E5498" s="1" t="n">
        <x:v>1.05</x:v>
      </x:c>
      <x:c r="F5498" s="1" t="str">
        <x:v>https://api.octopus.energy/v1/products/AGILE-24-10-01/electricity-tariffs/E-1R-AGILE-24-10-01-G/standard-unit-rates/</x:v>
      </x:c>
    </x:row>
    <x:row r="5499" ht="21" customHeight="1">
      <x:c r="A5499" s="24" t="n">
        <x:v>46263.0625</x:v>
      </x:c>
      <x:c r="B5499" s="6" t="n">
        <x:v>0.15560000000000002</x:v>
      </x:c>
      <x:c r="C5499" s="6" t="n">
        <x:v>0.0974</x:v>
      </x:c>
      <x:c r="D5499" s="6" t="n">
        <x:f>B5499</x:f>
        <x:v>0.15560000000000002</x:v>
      </x:c>
      <x:c r="E5499" s="1" t="n">
        <x:v>1.05</x:v>
      </x:c>
      <x:c r="F5499" s="1" t="str">
        <x:v>https://api.octopus.energy/v1/products/AGILE-24-10-01/electricity-tariffs/E-1R-AGILE-24-10-01-G/standard-unit-rates/</x:v>
      </x:c>
    </x:row>
    <x:row r="5500" ht="21" customHeight="1">
      <x:c r="A5500" s="24" t="n">
        <x:v>46263.083333333336</x:v>
      </x:c>
      <x:c r="B5500" s="6" t="n">
        <x:v>0.15560000000000002</x:v>
      </x:c>
      <x:c r="C5500" s="6" t="n">
        <x:v>0.0974</x:v>
      </x:c>
      <x:c r="D5500" s="6" t="n">
        <x:f>B5500</x:f>
        <x:v>0.15560000000000002</x:v>
      </x:c>
      <x:c r="E5500" s="1" t="n">
        <x:v>1.05</x:v>
      </x:c>
      <x:c r="F5500" s="1" t="str">
        <x:v>https://api.octopus.energy/v1/products/AGILE-24-10-01/electricity-tariffs/E-1R-AGILE-24-10-01-G/standard-unit-rates/</x:v>
      </x:c>
    </x:row>
    <x:row r="5501" ht="21" customHeight="1">
      <x:c r="A5501" s="24" t="n">
        <x:v>46263.104166666664</x:v>
      </x:c>
      <x:c r="B5501" s="6" t="n">
        <x:v>0.15560000000000002</x:v>
      </x:c>
      <x:c r="C5501" s="6" t="n">
        <x:v>0.0974</x:v>
      </x:c>
      <x:c r="D5501" s="6" t="n">
        <x:f>B5501</x:f>
        <x:v>0.15560000000000002</x:v>
      </x:c>
      <x:c r="E5501" s="1" t="n">
        <x:v>1.05</x:v>
      </x:c>
      <x:c r="F5501" s="1" t="str">
        <x:v>https://api.octopus.energy/v1/products/AGILE-24-10-01/electricity-tariffs/E-1R-AGILE-24-10-01-G/standard-unit-rates/</x:v>
      </x:c>
    </x:row>
    <x:row r="5502" ht="21" customHeight="1">
      <x:c r="A5502" s="24" t="n">
        <x:v>46263.125</x:v>
      </x:c>
      <x:c r="B5502" s="6" t="n">
        <x:v>0.1535</x:v>
      </x:c>
      <x:c r="C5502" s="6" t="n">
        <x:v>0.0964</x:v>
      </x:c>
      <x:c r="D5502" s="6" t="n">
        <x:f>B5502</x:f>
        <x:v>0.1535</x:v>
      </x:c>
      <x:c r="E5502" s="1" t="n">
        <x:v>1.05</x:v>
      </x:c>
      <x:c r="F5502" s="1" t="str">
        <x:v>https://api.octopus.energy/v1/products/AGILE-24-10-01/electricity-tariffs/E-1R-AGILE-24-10-01-G/standard-unit-rates/</x:v>
      </x:c>
    </x:row>
    <x:row r="5503" ht="21" customHeight="1">
      <x:c r="A5503" s="24" t="n">
        <x:v>46263.145833333336</x:v>
      </x:c>
      <x:c r="B5503" s="6" t="n">
        <x:v>0.14400000000000002</x:v>
      </x:c>
      <x:c r="C5503" s="6" t="n">
        <x:v>0.09210000000000002</x:v>
      </x:c>
      <x:c r="D5503" s="6" t="n">
        <x:f>B5503</x:f>
        <x:v>0.14400000000000002</x:v>
      </x:c>
      <x:c r="E5503" s="1" t="n">
        <x:v>1.05</x:v>
      </x:c>
      <x:c r="F5503" s="1" t="str">
        <x:v>https://api.octopus.energy/v1/products/AGILE-24-10-01/electricity-tariffs/E-1R-AGILE-24-10-01-G/standard-unit-rates/</x:v>
      </x:c>
    </x:row>
    <x:row r="5504" ht="21" customHeight="1">
      <x:c r="A5504" s="24" t="n">
        <x:v>46263.166666666664</x:v>
      </x:c>
      <x:c r="B5504" s="6" t="n">
        <x:v>0.15560000000000002</x:v>
      </x:c>
      <x:c r="C5504" s="6" t="n">
        <x:v>0.0974</x:v>
      </x:c>
      <x:c r="D5504" s="6" t="n">
        <x:f>B5504</x:f>
        <x:v>0.15560000000000002</x:v>
      </x:c>
      <x:c r="E5504" s="1" t="n">
        <x:v>1.05</x:v>
      </x:c>
      <x:c r="F5504" s="1" t="str">
        <x:v>https://api.octopus.energy/v1/products/AGILE-24-10-01/electricity-tariffs/E-1R-AGILE-24-10-01-G/standard-unit-rates/</x:v>
      </x:c>
    </x:row>
    <x:row r="5505" ht="21" customHeight="1">
      <x:c r="A5505" s="24" t="n">
        <x:v>46263.1875</x:v>
      </x:c>
      <x:c r="B5505" s="6" t="n">
        <x:v>0.15560000000000002</x:v>
      </x:c>
      <x:c r="C5505" s="6" t="n">
        <x:v>0.0974</x:v>
      </x:c>
      <x:c r="D5505" s="6" t="n">
        <x:f>B5505</x:f>
        <x:v>0.15560000000000002</x:v>
      </x:c>
      <x:c r="E5505" s="1" t="n">
        <x:v>1.05</x:v>
      </x:c>
      <x:c r="F5505" s="1" t="str">
        <x:v>https://api.octopus.energy/v1/products/AGILE-24-10-01/electricity-tariffs/E-1R-AGILE-24-10-01-G/standard-unit-rates/</x:v>
      </x:c>
    </x:row>
    <x:row r="5506" ht="21" customHeight="1">
      <x:c r="A5506" s="24" t="n">
        <x:v>46263.208333333336</x:v>
      </x:c>
      <x:c r="B5506" s="6" t="n">
        <x:v>0.1535</x:v>
      </x:c>
      <x:c r="C5506" s="6" t="n">
        <x:v>0.0964</x:v>
      </x:c>
      <x:c r="D5506" s="6" t="n">
        <x:f>B5506</x:f>
        <x:v>0.1535</x:v>
      </x:c>
      <x:c r="E5506" s="1" t="n">
        <x:v>1.05</x:v>
      </x:c>
      <x:c r="F5506" s="1" t="str">
        <x:v>https://api.octopus.energy/v1/products/AGILE-24-10-01/electricity-tariffs/E-1R-AGILE-24-10-01-G/standard-unit-rates/</x:v>
      </x:c>
    </x:row>
    <x:row r="5507" ht="21" customHeight="1">
      <x:c r="A5507" s="24" t="n">
        <x:v>46263.229166666664</x:v>
      </x:c>
      <x:c r="B5507" s="6" t="n">
        <x:v>0.15560000000000002</x:v>
      </x:c>
      <x:c r="C5507" s="6" t="n">
        <x:v>0.0974</x:v>
      </x:c>
      <x:c r="D5507" s="6" t="n">
        <x:f>B5507</x:f>
        <x:v>0.15560000000000002</x:v>
      </x:c>
      <x:c r="E5507" s="1" t="n">
        <x:v>1.05</x:v>
      </x:c>
      <x:c r="F5507" s="1" t="str">
        <x:v>https://api.octopus.energy/v1/products/AGILE-24-10-01/electricity-tariffs/E-1R-AGILE-24-10-01-G/standard-unit-rates/</x:v>
      </x:c>
    </x:row>
    <x:row r="5508" ht="21" customHeight="1">
      <x:c r="A5508" s="24" t="n">
        <x:v>46263.25</x:v>
      </x:c>
      <x:c r="B5508" s="6" t="n">
        <x:v>0.15560000000000002</x:v>
      </x:c>
      <x:c r="C5508" s="6" t="n">
        <x:v>0.0974</x:v>
      </x:c>
      <x:c r="D5508" s="6" t="n">
        <x:f>B5508</x:f>
        <x:v>0.15560000000000002</x:v>
      </x:c>
      <x:c r="E5508" s="1" t="n">
        <x:v>1.05</x:v>
      </x:c>
      <x:c r="F5508" s="1" t="str">
        <x:v>https://api.octopus.energy/v1/products/AGILE-24-10-01/electricity-tariffs/E-1R-AGILE-24-10-01-G/standard-unit-rates/</x:v>
      </x:c>
    </x:row>
    <x:row r="5509" ht="21" customHeight="1">
      <x:c r="A5509" s="24" t="n">
        <x:v>46263.270833333336</x:v>
      </x:c>
      <x:c r="B5509" s="6" t="n">
        <x:v>0.1783</x:v>
      </x:c>
      <x:c r="C5509" s="6" t="n">
        <x:v>0.10779999999999999</x:v>
      </x:c>
      <x:c r="D5509" s="6" t="n">
        <x:f>B5509</x:f>
        <x:v>0.1783</x:v>
      </x:c>
      <x:c r="E5509" s="1" t="n">
        <x:v>1.05</x:v>
      </x:c>
      <x:c r="F5509" s="1" t="str">
        <x:v>https://api.octopus.energy/v1/products/AGILE-24-10-01/electricity-tariffs/E-1R-AGILE-24-10-01-G/standard-unit-rates/</x:v>
      </x:c>
    </x:row>
    <x:row r="5510" ht="21" customHeight="1">
      <x:c r="A5510" s="24" t="n">
        <x:v>46263.291666666664</x:v>
      </x:c>
      <x:c r="B5510" s="6" t="n">
        <x:v>0.1797</x:v>
      </x:c>
      <x:c r="C5510" s="6" t="n">
        <x:v>0.1084</x:v>
      </x:c>
      <x:c r="D5510" s="6" t="n">
        <x:f>B5510</x:f>
        <x:v>0.1797</x:v>
      </x:c>
      <x:c r="E5510" s="1" t="n">
        <x:v>1.05</x:v>
      </x:c>
      <x:c r="F5510" s="1" t="str">
        <x:v>https://api.octopus.energy/v1/products/AGILE-24-10-01/electricity-tariffs/E-1R-AGILE-24-10-01-G/standard-unit-rates/</x:v>
      </x:c>
    </x:row>
    <x:row r="5511" ht="21" customHeight="1">
      <x:c r="A5511" s="24" t="n">
        <x:v>46263.3125</x:v>
      </x:c>
      <x:c r="B5511" s="6" t="n">
        <x:v>0.21969999999999998</x:v>
      </x:c>
      <x:c r="C5511" s="6" t="n">
        <x:v>0.1267</x:v>
      </x:c>
      <x:c r="D5511" s="6" t="n">
        <x:f>B5511</x:f>
        <x:v>0.21969999999999998</x:v>
      </x:c>
      <x:c r="E5511" s="1" t="n">
        <x:v>1.05</x:v>
      </x:c>
      <x:c r="F5511" s="1" t="str">
        <x:v>https://api.octopus.energy/v1/products/AGILE-24-10-01/electricity-tariffs/E-1R-AGILE-24-10-01-G/standard-unit-rates/</x:v>
      </x:c>
    </x:row>
    <x:row r="5512" ht="21" customHeight="1">
      <x:c r="A5512" s="24" t="n">
        <x:v>46263.333333333336</x:v>
      </x:c>
      <x:c r="B5512" s="6" t="n">
        <x:v>0.25120000000000003</x:v>
      </x:c>
      <x:c r="C5512" s="6" t="n">
        <x:v>0.1411</x:v>
      </x:c>
      <x:c r="D5512" s="6" t="n">
        <x:f>B5512</x:f>
        <x:v>0.25120000000000003</x:v>
      </x:c>
      <x:c r="E5512" s="1" t="n">
        <x:v>1.05</x:v>
      </x:c>
      <x:c r="F5512" s="1" t="str">
        <x:v>https://api.octopus.energy/v1/products/AGILE-24-10-01/electricity-tariffs/E-1R-AGILE-24-10-01-G/standard-unit-rates/</x:v>
      </x:c>
    </x:row>
    <x:row r="5513" ht="21" customHeight="1">
      <x:c r="A5513" s="24" t="n">
        <x:v>46263.354166666664</x:v>
      </x:c>
      <x:c r="B5513" s="6" t="n">
        <x:v>0.2788</x:v>
      </x:c>
      <x:c r="C5513" s="6" t="n">
        <x:v>0.1537</x:v>
      </x:c>
      <x:c r="D5513" s="6" t="n">
        <x:f>B5513</x:f>
        <x:v>0.2788</x:v>
      </x:c>
      <x:c r="E5513" s="1" t="n">
        <x:v>1.05</x:v>
      </x:c>
      <x:c r="F5513" s="1" t="str">
        <x:v>https://api.octopus.energy/v1/products/AGILE-24-10-01/electricity-tariffs/E-1R-AGILE-24-10-01-G/standard-unit-rates/</x:v>
      </x:c>
    </x:row>
    <x:row r="5514" ht="21" customHeight="1">
      <x:c r="A5514" s="24" t="n">
        <x:v>46263.375</x:v>
      </x:c>
      <x:c r="B5514" s="6" t="n">
        <x:v>0.2929</x:v>
      </x:c>
      <x:c r="C5514" s="6" t="n">
        <x:v>0.16010000000000002</x:v>
      </x:c>
      <x:c r="D5514" s="6" t="n">
        <x:f>B5514</x:f>
        <x:v>0.2929</x:v>
      </x:c>
      <x:c r="E5514" s="1" t="n">
        <x:v>1.05</x:v>
      </x:c>
      <x:c r="F5514" s="1" t="str">
        <x:v>https://api.octopus.energy/v1/products/AGILE-24-10-01/electricity-tariffs/E-1R-AGILE-24-10-01-G/standard-unit-rates/</x:v>
      </x:c>
    </x:row>
    <x:row r="5515" ht="21" customHeight="1">
      <x:c r="A5515" s="24" t="n">
        <x:v>46263.395833333336</x:v>
      </x:c>
      <x:c r="B5515" s="6" t="n">
        <x:v>0.30210000000000004</x:v>
      </x:c>
      <x:c r="C5515" s="6" t="n">
        <x:v>0.16440000000000002</x:v>
      </x:c>
      <x:c r="D5515" s="6" t="n">
        <x:f>B5515</x:f>
        <x:v>0.30210000000000004</x:v>
      </x:c>
      <x:c r="E5515" s="1" t="n">
        <x:v>1.05</x:v>
      </x:c>
      <x:c r="F5515" s="1" t="str">
        <x:v>https://api.octopus.energy/v1/products/AGILE-24-10-01/electricity-tariffs/E-1R-AGILE-24-10-01-G/standard-unit-rates/</x:v>
      </x:c>
    </x:row>
    <x:row r="5516" ht="21" customHeight="1">
      <x:c r="A5516" s="24" t="n">
        <x:v>46263.416666666664</x:v>
      </x:c>
      <x:c r="B5516" s="6" t="n">
        <x:v>0.3041</x:v>
      </x:c>
      <x:c r="C5516" s="6" t="n">
        <x:v>0.1653</x:v>
      </x:c>
      <x:c r="D5516" s="6" t="n">
        <x:f>B5516</x:f>
        <x:v>0.3041</x:v>
      </x:c>
      <x:c r="E5516" s="1" t="n">
        <x:v>1.05</x:v>
      </x:c>
      <x:c r="F5516" s="1" t="str">
        <x:v>https://api.octopus.energy/v1/products/AGILE-24-10-01/electricity-tariffs/E-1R-AGILE-24-10-01-G/standard-unit-rates/</x:v>
      </x:c>
    </x:row>
    <x:row r="5517" ht="21" customHeight="1">
      <x:c r="A5517" s="24" t="n">
        <x:v>46263.4375</x:v>
      </x:c>
      <x:c r="B5517" s="6" t="n">
        <x:v>0.30829999999999996</x:v>
      </x:c>
      <x:c r="C5517" s="6" t="n">
        <x:v>0.1672</x:v>
      </x:c>
      <x:c r="D5517" s="6" t="n">
        <x:f>B5517</x:f>
        <x:v>0.30829999999999996</x:v>
      </x:c>
      <x:c r="E5517" s="1" t="n">
        <x:v>1.05</x:v>
      </x:c>
      <x:c r="F5517" s="1" t="str">
        <x:v>https://api.octopus.energy/v1/products/AGILE-24-10-01/electricity-tariffs/E-1R-AGILE-24-10-01-G/standard-unit-rates/</x:v>
      </x:c>
    </x:row>
    <x:row r="5518" ht="21" customHeight="1">
      <x:c r="A5518" s="24" t="n">
        <x:v>46263.458333333336</x:v>
      </x:c>
      <x:c r="B5518" s="6" t="n">
        <x:v>0.29760000000000003</x:v>
      </x:c>
      <x:c r="C5518" s="6" t="n">
        <x:v>0.1623</x:v>
      </x:c>
      <x:c r="D5518" s="6" t="n">
        <x:f>B5518</x:f>
        <x:v>0.29760000000000003</x:v>
      </x:c>
      <x:c r="E5518" s="1" t="n">
        <x:v>1.05</x:v>
      </x:c>
      <x:c r="F5518" s="1" t="str">
        <x:v>https://api.octopus.energy/v1/products/AGILE-24-10-01/electricity-tariffs/E-1R-AGILE-24-10-01-G/standard-unit-rates/</x:v>
      </x:c>
    </x:row>
    <x:row r="5519" ht="21" customHeight="1">
      <x:c r="A5519" s="24" t="n">
        <x:v>46263.479166666664</x:v>
      </x:c>
      <x:c r="B5519" s="6" t="n">
        <x:v>0.30260000000000004</x:v>
      </x:c>
      <x:c r="C5519" s="6" t="n">
        <x:v>0.1646</x:v>
      </x:c>
      <x:c r="D5519" s="6" t="n">
        <x:f>B5519</x:f>
        <x:v>0.30260000000000004</x:v>
      </x:c>
      <x:c r="E5519" s="1" t="n">
        <x:v>1.05</x:v>
      </x:c>
      <x:c r="F5519" s="1" t="str">
        <x:v>https://api.octopus.energy/v1/products/AGILE-24-10-01/electricity-tariffs/E-1R-AGILE-24-10-01-G/standard-unit-rates/</x:v>
      </x:c>
    </x:row>
    <x:row r="5520" ht="21" customHeight="1">
      <x:c r="A5520" s="24" t="n">
        <x:v>46263.5</x:v>
      </x:c>
      <x:c r="B5520" s="6" t="n">
        <x:v>0.307</x:v>
      </x:c>
      <x:c r="C5520" s="6" t="n">
        <x:v>0.1666</x:v>
      </x:c>
      <x:c r="D5520" s="6" t="n">
        <x:f>B5520</x:f>
        <x:v>0.307</x:v>
      </x:c>
      <x:c r="E5520" s="1" t="n">
        <x:v>1.05</x:v>
      </x:c>
      <x:c r="F5520" s="1" t="str">
        <x:v>https://api.octopus.energy/v1/products/AGILE-24-10-01/electricity-tariffs/E-1R-AGILE-24-10-01-G/standard-unit-rates/</x:v>
      </x:c>
    </x:row>
    <x:row r="5521" ht="21" customHeight="1">
      <x:c r="A5521" s="24" t="n">
        <x:v>46263.520833333336</x:v>
      </x:c>
      <x:c r="B5521" s="6" t="n">
        <x:v>0.3073</x:v>
      </x:c>
      <x:c r="C5521" s="6" t="n">
        <x:v>0.16670000000000001</x:v>
      </x:c>
      <x:c r="D5521" s="6" t="n">
        <x:f>B5521</x:f>
        <x:v>0.3073</x:v>
      </x:c>
      <x:c r="E5521" s="1" t="n">
        <x:v>1.05</x:v>
      </x:c>
      <x:c r="F5521" s="1" t="str">
        <x:v>https://api.octopus.energy/v1/products/AGILE-24-10-01/electricity-tariffs/E-1R-AGILE-24-10-01-G/standard-unit-rates/</x:v>
      </x:c>
    </x:row>
    <x:row r="5522" ht="21" customHeight="1">
      <x:c r="A5522" s="24" t="n">
        <x:v>46263.541666666664</x:v>
      </x:c>
      <x:c r="B5522" s="6" t="n">
        <x:v>0.30260000000000004</x:v>
      </x:c>
      <x:c r="C5522" s="6" t="n">
        <x:v>0.1646</x:v>
      </x:c>
      <x:c r="D5522" s="6" t="n">
        <x:f>B5522</x:f>
        <x:v>0.30260000000000004</x:v>
      </x:c>
      <x:c r="E5522" s="1" t="n">
        <x:v>1.05</x:v>
      </x:c>
      <x:c r="F5522" s="1" t="str">
        <x:v>https://api.octopus.energy/v1/products/AGILE-24-10-01/electricity-tariffs/E-1R-AGILE-24-10-01-G/standard-unit-rates/</x:v>
      </x:c>
    </x:row>
    <x:row r="5523" ht="21" customHeight="1">
      <x:c r="A5523" s="24" t="n">
        <x:v>46263.5625</x:v>
      </x:c>
      <x:c r="B5523" s="6" t="n">
        <x:v>0.2929</x:v>
      </x:c>
      <x:c r="C5523" s="6" t="n">
        <x:v>0.1602</x:v>
      </x:c>
      <x:c r="D5523" s="6" t="n">
        <x:f>B5523</x:f>
        <x:v>0.2929</x:v>
      </x:c>
      <x:c r="E5523" s="1" t="n">
        <x:v>1.05</x:v>
      </x:c>
      <x:c r="F5523" s="1" t="str">
        <x:v>https://api.octopus.energy/v1/products/AGILE-24-10-01/electricity-tariffs/E-1R-AGILE-24-10-01-G/standard-unit-rates/</x:v>
      </x:c>
    </x:row>
    <x:row r="5524" ht="21" customHeight="1">
      <x:c r="A5524" s="24" t="n">
        <x:v>46263.583333333336</x:v>
      </x:c>
      <x:c r="B5524" s="6" t="n">
        <x:v>0.2742</x:v>
      </x:c>
      <x:c r="C5524" s="6" t="n">
        <x:v>0.1516</x:v>
      </x:c>
      <x:c r="D5524" s="6" t="n">
        <x:f>B5524</x:f>
        <x:v>0.2742</x:v>
      </x:c>
      <x:c r="E5524" s="1" t="n">
        <x:v>1.05</x:v>
      </x:c>
      <x:c r="F5524" s="1" t="str">
        <x:v>https://api.octopus.energy/v1/products/AGILE-24-10-01/electricity-tariffs/E-1R-AGILE-24-10-01-G/standard-unit-rates/</x:v>
      </x:c>
    </x:row>
    <x:row r="5525" ht="21" customHeight="1">
      <x:c r="A5525" s="24" t="n">
        <x:v>46263.604166666664</x:v>
      </x:c>
      <x:c r="B5525" s="6" t="n">
        <x:v>0.271</x:v>
      </x:c>
      <x:c r="C5525" s="6" t="n">
        <x:v>0.1502</x:v>
      </x:c>
      <x:c r="D5525" s="6" t="n">
        <x:f>B5525</x:f>
        <x:v>0.271</x:v>
      </x:c>
      <x:c r="E5525" s="1" t="n">
        <x:v>1.05</x:v>
      </x:c>
      <x:c r="F5525" s="1" t="str">
        <x:v>https://api.octopus.energy/v1/products/AGILE-24-10-01/electricity-tariffs/E-1R-AGILE-24-10-01-G/standard-unit-rates/</x:v>
      </x:c>
    </x:row>
    <x:row r="5526" ht="21" customHeight="1">
      <x:c r="A5526" s="24" t="n">
        <x:v>46263.625</x:v>
      </x:c>
      <x:c r="B5526" s="6" t="n">
        <x:v>0.2671</x:v>
      </x:c>
      <x:c r="C5526" s="6" t="n">
        <x:v>0.1484</x:v>
      </x:c>
      <x:c r="D5526" s="6" t="n">
        <x:f>B5526</x:f>
        <x:v>0.2671</x:v>
      </x:c>
      <x:c r="E5526" s="1" t="n">
        <x:v>1.05</x:v>
      </x:c>
      <x:c r="F5526" s="1" t="str">
        <x:v>https://api.octopus.energy/v1/products/AGILE-24-10-01/electricity-tariffs/E-1R-AGILE-24-10-01-G/standard-unit-rates/</x:v>
      </x:c>
    </x:row>
    <x:row r="5527" ht="21" customHeight="1">
      <x:c r="A5527" s="24" t="n">
        <x:v>46263.645833333336</x:v>
      </x:c>
      <x:c r="B5527" s="6" t="n">
        <x:v>0.27399999999999997</x:v>
      </x:c>
      <x:c r="C5527" s="6" t="n">
        <x:v>0.1515</x:v>
      </x:c>
      <x:c r="D5527" s="6" t="n">
        <x:f>B5527</x:f>
        <x:v>0.27399999999999997</x:v>
      </x:c>
      <x:c r="E5527" s="1" t="n">
        <x:v>1.05</x:v>
      </x:c>
      <x:c r="F5527" s="1" t="str">
        <x:v>https://api.octopus.energy/v1/products/AGILE-24-10-01/electricity-tariffs/E-1R-AGILE-24-10-01-G/standard-unit-rates/</x:v>
      </x:c>
    </x:row>
    <x:row r="5528" ht="21" customHeight="1">
      <x:c r="A5528" s="24" t="n">
        <x:v>46263.666666666664</x:v>
      </x:c>
      <x:c r="B5528" s="6" t="n">
        <x:v>0.42340000000000005</x:v>
      </x:c>
      <x:c r="C5528" s="6" t="n">
        <x:v>0.2238</x:v>
      </x:c>
      <x:c r="D5528" s="6" t="n">
        <x:f>B5528</x:f>
        <x:v>0.42340000000000005</x:v>
      </x:c>
      <x:c r="E5528" s="1" t="n">
        <x:v>1.05</x:v>
      </x:c>
      <x:c r="F5528" s="1" t="str">
        <x:v>https://api.octopus.energy/v1/products/AGILE-24-10-01/electricity-tariffs/E-1R-AGILE-24-10-01-G/standard-unit-rates/</x:v>
      </x:c>
    </x:row>
    <x:row r="5529" ht="21" customHeight="1">
      <x:c r="A5529" s="24" t="n">
        <x:v>46263.6875</x:v>
      </x:c>
      <x:c r="B5529" s="6" t="n">
        <x:v>0.4388</x:v>
      </x:c>
      <x:c r="C5529" s="6" t="n">
        <x:v>0.2309</x:v>
      </x:c>
      <x:c r="D5529" s="6" t="n">
        <x:f>B5529</x:f>
        <x:v>0.4388</x:v>
      </x:c>
      <x:c r="E5529" s="1" t="n">
        <x:v>1.05</x:v>
      </x:c>
      <x:c r="F5529" s="1" t="str">
        <x:v>https://api.octopus.energy/v1/products/AGILE-24-10-01/electricity-tariffs/E-1R-AGILE-24-10-01-G/standard-unit-rates/</x:v>
      </x:c>
    </x:row>
    <x:row r="5530" ht="21" customHeight="1">
      <x:c r="A5530" s="24" t="n">
        <x:v>46263.708333333336</x:v>
      </x:c>
      <x:c r="B5530" s="6" t="n">
        <x:v>0.4471</x:v>
      </x:c>
      <x:c r="C5530" s="6" t="n">
        <x:v>0.2347</x:v>
      </x:c>
      <x:c r="D5530" s="6" t="n">
        <x:f>B5530</x:f>
        <x:v>0.4471</x:v>
      </x:c>
      <x:c r="E5530" s="1" t="n">
        <x:v>1.05</x:v>
      </x:c>
      <x:c r="F5530" s="1" t="str">
        <x:v>https://api.octopus.energy/v1/products/AGILE-24-10-01/electricity-tariffs/E-1R-AGILE-24-10-01-G/standard-unit-rates/</x:v>
      </x:c>
    </x:row>
    <x:row r="5531" ht="21" customHeight="1">
      <x:c r="A5531" s="24" t="n">
        <x:v>46263.729166666664</x:v>
      </x:c>
      <x:c r="B5531" s="6" t="n">
        <x:v>0.4465</x:v>
      </x:c>
      <x:c r="C5531" s="6" t="n">
        <x:v>0.23440000000000003</x:v>
      </x:c>
      <x:c r="D5531" s="6" t="n">
        <x:f>B5531</x:f>
        <x:v>0.4465</x:v>
      </x:c>
      <x:c r="E5531" s="1" t="n">
        <x:v>1.05</x:v>
      </x:c>
      <x:c r="F5531" s="1" t="str">
        <x:v>https://api.octopus.energy/v1/products/AGILE-24-10-01/electricity-tariffs/E-1R-AGILE-24-10-01-G/standard-unit-rates/</x:v>
      </x:c>
    </x:row>
    <x:row r="5532" ht="21" customHeight="1">
      <x:c r="A5532" s="24" t="n">
        <x:v>46263.75</x:v>
      </x:c>
      <x:c r="B5532" s="6" t="n">
        <x:v>0.44179999999999997</x:v>
      </x:c>
      <x:c r="C5532" s="6" t="n">
        <x:v>0.2323</x:v>
      </x:c>
      <x:c r="D5532" s="6" t="n">
        <x:f>B5532</x:f>
        <x:v>0.44179999999999997</x:v>
      </x:c>
      <x:c r="E5532" s="1" t="n">
        <x:v>1.05</x:v>
      </x:c>
      <x:c r="F5532" s="1" t="str">
        <x:v>https://api.octopus.energy/v1/products/AGILE-24-10-01/electricity-tariffs/E-1R-AGILE-24-10-01-G/standard-unit-rates/</x:v>
      </x:c>
    </x:row>
    <x:row r="5533" ht="21" customHeight="1">
      <x:c r="A5533" s="24" t="n">
        <x:v>46263.770833333336</x:v>
      </x:c>
      <x:c r="B5533" s="6" t="n">
        <x:v>0.4375</x:v>
      </x:c>
      <x:c r="C5533" s="6" t="n">
        <x:v>0.2303</x:v>
      </x:c>
      <x:c r="D5533" s="6" t="n">
        <x:f>B5533</x:f>
        <x:v>0.4375</x:v>
      </x:c>
      <x:c r="E5533" s="1" t="n">
        <x:v>1.05</x:v>
      </x:c>
      <x:c r="F5533" s="1" t="str">
        <x:v>https://api.octopus.energy/v1/products/AGILE-24-10-01/electricity-tariffs/E-1R-AGILE-24-10-01-G/standard-unit-rates/</x:v>
      </x:c>
    </x:row>
    <x:row r="5534" ht="21" customHeight="1">
      <x:c r="A5534" s="24" t="n">
        <x:v>46263.791666666664</x:v>
      </x:c>
      <x:c r="B5534" s="6" t="n">
        <x:v>0.3223</x:v>
      </x:c>
      <x:c r="C5534" s="6" t="n">
        <x:v>0.1736</x:v>
      </x:c>
      <x:c r="D5534" s="6" t="n">
        <x:f>B5534</x:f>
        <x:v>0.3223</x:v>
      </x:c>
      <x:c r="E5534" s="1" t="n">
        <x:v>1.05</x:v>
      </x:c>
      <x:c r="F5534" s="1" t="str">
        <x:v>https://api.octopus.energy/v1/products/AGILE-24-10-01/electricity-tariffs/E-1R-AGILE-24-10-01-G/standard-unit-rates/</x:v>
      </x:c>
    </x:row>
    <x:row r="5535" ht="21" customHeight="1">
      <x:c r="A5535" s="24" t="n">
        <x:v>46263.8125</x:v>
      </x:c>
      <x:c r="B5535" s="6" t="n">
        <x:v>0.32</x:v>
      </x:c>
      <x:c r="C5535" s="6" t="n">
        <x:v>0.1726</x:v>
      </x:c>
      <x:c r="D5535" s="6" t="n">
        <x:f>B5535</x:f>
        <x:v>0.32</x:v>
      </x:c>
      <x:c r="E5535" s="1" t="n">
        <x:v>1.05</x:v>
      </x:c>
      <x:c r="F5535" s="1" t="str">
        <x:v>https://api.octopus.energy/v1/products/AGILE-24-10-01/electricity-tariffs/E-1R-AGILE-24-10-01-G/standard-unit-rates/</x:v>
      </x:c>
    </x:row>
    <x:row r="5536" ht="21" customHeight="1">
      <x:c r="A5536" s="24" t="n">
        <x:v>46263.833333333336</x:v>
      </x:c>
      <x:c r="B5536" s="6" t="n">
        <x:v>0.32780000000000004</x:v>
      </x:c>
      <x:c r="C5536" s="6" t="n">
        <x:v>0.1761</x:v>
      </x:c>
      <x:c r="D5536" s="6" t="n">
        <x:f>B5536</x:f>
        <x:v>0.32780000000000004</x:v>
      </x:c>
      <x:c r="E5536" s="1" t="n">
        <x:v>1.05</x:v>
      </x:c>
      <x:c r="F5536" s="1" t="str">
        <x:v>https://api.octopus.energy/v1/products/AGILE-24-10-01/electricity-tariffs/E-1R-AGILE-24-10-01-G/standard-unit-rates/</x:v>
      </x:c>
    </x:row>
    <x:row r="5537" ht="21" customHeight="1">
      <x:c r="A5537" s="24" t="n">
        <x:v>46263.854166666664</x:v>
      </x:c>
      <x:c r="B5537" s="6" t="n">
        <x:v>0.32439999999999997</x:v>
      </x:c>
      <x:c r="C5537" s="6" t="n">
        <x:v>0.1746</x:v>
      </x:c>
      <x:c r="D5537" s="6" t="n">
        <x:f>B5537</x:f>
        <x:v>0.32439999999999997</x:v>
      </x:c>
      <x:c r="E5537" s="1" t="n">
        <x:v>1.05</x:v>
      </x:c>
      <x:c r="F5537" s="1" t="str">
        <x:v>https://api.octopus.energy/v1/products/AGILE-24-10-01/electricity-tariffs/E-1R-AGILE-24-10-01-G/standard-unit-rates/</x:v>
      </x:c>
    </x:row>
    <x:row r="5538" ht="21" customHeight="1">
      <x:c r="A5538" s="24" t="n">
        <x:v>46263.875</x:v>
      </x:c>
      <x:c r="B5538" s="6" t="n">
        <x:v>0.3236</x:v>
      </x:c>
      <x:c r="C5538" s="6" t="n">
        <x:v>0.17420000000000002</x:v>
      </x:c>
      <x:c r="D5538" s="6" t="n">
        <x:f>B5538</x:f>
        <x:v>0.3236</x:v>
      </x:c>
      <x:c r="E5538" s="1" t="n">
        <x:v>1.05</x:v>
      </x:c>
      <x:c r="F5538" s="1" t="str">
        <x:v>https://api.octopus.energy/v1/products/AGILE-24-10-01/electricity-tariffs/E-1R-AGILE-24-10-01-G/standard-unit-rates/</x:v>
      </x:c>
    </x:row>
    <x:row r="5539" ht="21" customHeight="1">
      <x:c r="A5539" s="24" t="n">
        <x:v>46263.895833333336</x:v>
      </x:c>
      <x:c r="B5539" s="6" t="n">
        <x:v>0.3023</x:v>
      </x:c>
      <x:c r="C5539" s="6" t="n">
        <x:v>0.16449999999999998</x:v>
      </x:c>
      <x:c r="D5539" s="6" t="n">
        <x:f>B5539</x:f>
        <x:v>0.3023</x:v>
      </x:c>
      <x:c r="E5539" s="1" t="n">
        <x:v>1.05</x:v>
      </x:c>
      <x:c r="F5539" s="1" t="str">
        <x:v>https://api.octopus.energy/v1/products/AGILE-24-10-01/electricity-tariffs/E-1R-AGILE-24-10-01-G/standard-unit-rates/</x:v>
      </x:c>
    </x:row>
    <x:row r="5540" ht="21" customHeight="1">
      <x:c r="A5540" s="24" t="n">
        <x:v>46263.916666666664</x:v>
      </x:c>
      <x:c r="B5540" s="6" t="n">
        <x:v>0.3016</x:v>
      </x:c>
      <x:c r="C5540" s="6" t="n">
        <x:v>0.1641</x:v>
      </x:c>
      <x:c r="D5540" s="6" t="n">
        <x:f>B5540</x:f>
        <x:v>0.3016</x:v>
      </x:c>
      <x:c r="E5540" s="1" t="n">
        <x:v>1.05</x:v>
      </x:c>
      <x:c r="F5540" s="1" t="str">
        <x:v>https://api.octopus.energy/v1/products/AGILE-24-10-01/electricity-tariffs/E-1R-AGILE-24-10-01-G/standard-unit-rates/</x:v>
      </x:c>
    </x:row>
    <x:row r="5541" ht="21" customHeight="1">
      <x:c r="A5541" s="24" t="n">
        <x:v>46263.9375</x:v>
      </x:c>
      <x:c r="B5541" s="6" t="n">
        <x:v>0.2488</x:v>
      </x:c>
      <x:c r="C5541" s="6" t="n">
        <x:v>0.14</x:v>
      </x:c>
      <x:c r="D5541" s="6" t="n">
        <x:f>B5541</x:f>
        <x:v>0.2488</x:v>
      </x:c>
      <x:c r="E5541" s="1" t="n">
        <x:v>1.05</x:v>
      </x:c>
      <x:c r="F5541" s="1" t="str">
        <x:v>https://api.octopus.energy/v1/products/AGILE-24-10-01/electricity-tariffs/E-1R-AGILE-24-10-01-G/standard-unit-rates/</x:v>
      </x:c>
    </x:row>
    <x:row r="5542" ht="21" customHeight="1">
      <x:c r="A5542" s="24" t="n">
        <x:v>46264</x:v>
      </x:c>
      <x:c r="B5542" s="6" t="n">
        <x:v>0.2663</x:v>
      </x:c>
      <x:c r="C5542" s="6" t="n">
        <x:v>0.14800000000000002</x:v>
      </x:c>
      <x:c r="D5542" s="6" t="n">
        <x:f>B5542</x:f>
        <x:v>0.2663</x:v>
      </x:c>
      <x:c r="E5542" s="1" t="n">
        <x:v>1.05</x:v>
      </x:c>
      <x:c r="F5542" s="1" t="str">
        <x:v>https://api.octopus.energy/v1/products/AGILE-24-10-01/electricity-tariffs/E-1R-AGILE-24-10-01-G/standard-unit-rates/</x:v>
      </x:c>
    </x:row>
    <x:row r="5543" ht="21" customHeight="1">
      <x:c r="A5543" s="24" t="n">
        <x:v>46263.979166666664</x:v>
      </x:c>
      <x:c r="B5543" s="6" t="n">
        <x:v>0.26039999999999996</x:v>
      </x:c>
      <x:c r="C5543" s="6" t="n">
        <x:v>0.14529999999999998</x:v>
      </x:c>
      <x:c r="D5543" s="6" t="n">
        <x:f>B5543</x:f>
        <x:v>0.26039999999999996</x:v>
      </x:c>
      <x:c r="E5543" s="1" t="n">
        <x:v>1.05</x:v>
      </x:c>
      <x:c r="F5543" s="1" t="str">
        <x:v>https://api.octopus.energy/v1/products/AGILE-24-10-01/electricity-tariffs/E-1R-AGILE-24-10-01-G/standard-unit-rates/</x:v>
      </x:c>
    </x:row>
    <x:row r="5544" ht="21" customHeight="1">
      <x:c r="A5544" s="24" t="n">
        <x:v>46264</x:v>
      </x:c>
      <x:c r="B5544" s="6" t="n">
        <x:v>0.2708</x:v>
      </x:c>
      <x:c r="C5544" s="6" t="n">
        <x:v>0.1501</x:v>
      </x:c>
      <x:c r="D5544" s="6" t="n">
        <x:f>B5544</x:f>
        <x:v>0.2708</x:v>
      </x:c>
      <x:c r="E5544" s="1" t="n">
        <x:v>1.05</x:v>
      </x:c>
      <x:c r="F5544" s="1" t="str">
        <x:v>https://api.octopus.energy/v1/products/AGILE-24-10-01/electricity-tariffs/E-1R-AGILE-24-10-01-G/standard-unit-rates/</x:v>
      </x:c>
    </x:row>
    <x:row r="5545" ht="21" customHeight="1">
      <x:c r="A5545" s="24" t="n">
        <x:v>46264.020833333336</x:v>
      </x:c>
      <x:c r="B5545" s="6" t="n">
        <x:v>0.2633</x:v>
      </x:c>
      <x:c r="C5545" s="6" t="n">
        <x:v>0.1466</x:v>
      </x:c>
      <x:c r="D5545" s="6" t="n">
        <x:f>B5545</x:f>
        <x:v>0.2633</x:v>
      </x:c>
      <x:c r="E5545" s="1" t="n">
        <x:v>1.05</x:v>
      </x:c>
      <x:c r="F5545" s="1" t="str">
        <x:v>https://api.octopus.energy/v1/products/AGILE-24-10-01/electricity-tariffs/E-1R-AGILE-24-10-01-G/standard-unit-rates/</x:v>
      </x:c>
    </x:row>
    <x:row r="5546" ht="21" customHeight="1">
      <x:c r="A5546" s="24" t="n">
        <x:v>46264.041666666664</x:v>
      </x:c>
      <x:c r="B5546" s="6" t="n">
        <x:v>0.26899999999999996</x:v>
      </x:c>
      <x:c r="C5546" s="6" t="n">
        <x:v>0.1492</x:v>
      </x:c>
      <x:c r="D5546" s="6" t="n">
        <x:f>B5546</x:f>
        <x:v>0.26899999999999996</x:v>
      </x:c>
      <x:c r="E5546" s="1" t="n">
        <x:v>1.05</x:v>
      </x:c>
      <x:c r="F5546" s="1" t="str">
        <x:v>https://api.octopus.energy/v1/products/AGILE-24-10-01/electricity-tariffs/E-1R-AGILE-24-10-01-G/standard-unit-rates/</x:v>
      </x:c>
    </x:row>
    <x:row r="5547" ht="21" customHeight="1">
      <x:c r="A5547" s="24" t="n">
        <x:v>46264.0625</x:v>
      </x:c>
      <x:c r="B5547" s="6" t="n">
        <x:v>0.265</x:v>
      </x:c>
      <x:c r="C5547" s="6" t="n">
        <x:v>0.1474</x:v>
      </x:c>
      <x:c r="D5547" s="6" t="n">
        <x:f>B5547</x:f>
        <x:v>0.265</x:v>
      </x:c>
      <x:c r="E5547" s="1" t="n">
        <x:v>1.05</x:v>
      </x:c>
      <x:c r="F5547" s="1" t="str">
        <x:v>https://api.octopus.energy/v1/products/AGILE-24-10-01/electricity-tariffs/E-1R-AGILE-24-10-01-G/standard-unit-rates/</x:v>
      </x:c>
    </x:row>
    <x:row r="5548" ht="21" customHeight="1">
      <x:c r="A5548" s="24" t="n">
        <x:v>46264.083333333336</x:v>
      </x:c>
      <x:c r="B5548" s="6" t="n">
        <x:v>0.25370000000000004</x:v>
      </x:c>
      <x:c r="C5548" s="6" t="n">
        <x:v>0.1422</x:v>
      </x:c>
      <x:c r="D5548" s="6" t="n">
        <x:f>B5548</x:f>
        <x:v>0.25370000000000004</x:v>
      </x:c>
      <x:c r="E5548" s="1" t="n">
        <x:v>1.05</x:v>
      </x:c>
      <x:c r="F5548" s="1" t="str">
        <x:v>https://api.octopus.energy/v1/products/AGILE-24-10-01/electricity-tariffs/E-1R-AGILE-24-10-01-G/standard-unit-rates/</x:v>
      </x:c>
    </x:row>
    <x:row r="5549" ht="21" customHeight="1">
      <x:c r="A5549" s="24" t="n">
        <x:v>46264.104166666664</x:v>
      </x:c>
      <x:c r="B5549" s="6" t="n">
        <x:v>0.2377</x:v>
      </x:c>
      <x:c r="C5549" s="6" t="n">
        <x:v>0.1349</x:v>
      </x:c>
      <x:c r="D5549" s="6" t="n">
        <x:f>B5549</x:f>
        <x:v>0.2377</x:v>
      </x:c>
      <x:c r="E5549" s="1" t="n">
        <x:v>1.05</x:v>
      </x:c>
      <x:c r="F5549" s="1" t="str">
        <x:v>https://api.octopus.energy/v1/products/AGILE-24-10-01/electricity-tariffs/E-1R-AGILE-24-10-01-G/standard-unit-rates/</x:v>
      </x:c>
    </x:row>
    <x:row r="5550" ht="21" customHeight="1">
      <x:c r="A5550" s="24" t="n">
        <x:v>46264.125</x:v>
      </x:c>
      <x:c r="B5550" s="6" t="n">
        <x:v>0.2165</x:v>
      </x:c>
      <x:c r="C5550" s="6" t="n">
        <x:v>0.1252</x:v>
      </x:c>
      <x:c r="D5550" s="6" t="n">
        <x:f>B5550</x:f>
        <x:v>0.2165</x:v>
      </x:c>
      <x:c r="E5550" s="1" t="n">
        <x:v>1.05</x:v>
      </x:c>
      <x:c r="F5550" s="1" t="str">
        <x:v>https://api.octopus.energy/v1/products/AGILE-24-10-01/electricity-tariffs/E-1R-AGILE-24-10-01-G/standard-unit-rates/</x:v>
      </x:c>
    </x:row>
    <x:row r="5551" ht="21" customHeight="1">
      <x:c r="A5551" s="24" t="n">
        <x:v>46264.145833333336</x:v>
      </x:c>
      <x:c r="B5551" s="6" t="n">
        <x:v>0.2181</x:v>
      </x:c>
      <x:c r="C5551" s="6" t="n">
        <x:v>0.126</x:v>
      </x:c>
      <x:c r="D5551" s="6" t="n">
        <x:f>B5551</x:f>
        <x:v>0.2181</x:v>
      </x:c>
      <x:c r="E5551" s="1" t="n">
        <x:v>1.05</x:v>
      </x:c>
      <x:c r="F5551" s="1" t="str">
        <x:v>https://api.octopus.energy/v1/products/AGILE-24-10-01/electricity-tariffs/E-1R-AGILE-24-10-01-G/standard-unit-rates/</x:v>
      </x:c>
    </x:row>
    <x:row r="5552" ht="21" customHeight="1">
      <x:c r="A5552" s="24" t="n">
        <x:v>46264.166666666664</x:v>
      </x:c>
      <x:c r="B5552" s="6" t="n">
        <x:v>0.2253</x:v>
      </x:c>
      <x:c r="C5552" s="6" t="n">
        <x:v>0.1293</x:v>
      </x:c>
      <x:c r="D5552" s="6" t="n">
        <x:f>B5552</x:f>
        <x:v>0.2253</x:v>
      </x:c>
      <x:c r="E5552" s="1" t="n">
        <x:v>1.05</x:v>
      </x:c>
      <x:c r="F5552" s="1" t="str">
        <x:v>https://api.octopus.energy/v1/products/AGILE-24-10-01/electricity-tariffs/E-1R-AGILE-24-10-01-G/standard-unit-rates/</x:v>
      </x:c>
    </x:row>
    <x:row r="5553" ht="21" customHeight="1">
      <x:c r="A5553" s="24" t="n">
        <x:v>46264.1875</x:v>
      </x:c>
      <x:c r="B5553" s="6" t="n">
        <x:v>0.2304</x:v>
      </x:c>
      <x:c r="C5553" s="6" t="n">
        <x:v>0.1316</x:v>
      </x:c>
      <x:c r="D5553" s="6" t="n">
        <x:f>B5553</x:f>
        <x:v>0.2304</x:v>
      </x:c>
      <x:c r="E5553" s="1" t="n">
        <x:v>1.05</x:v>
      </x:c>
      <x:c r="F5553" s="1" t="str">
        <x:v>https://api.octopus.energy/v1/products/AGILE-24-10-01/electricity-tariffs/E-1R-AGILE-24-10-01-G/standard-unit-rates/</x:v>
      </x:c>
    </x:row>
    <x:row r="5554" ht="21" customHeight="1">
      <x:c r="A5554" s="24" t="n">
        <x:v>46264.208333333336</x:v>
      </x:c>
      <x:c r="B5554" s="6" t="n">
        <x:v>0.2279</x:v>
      </x:c>
      <x:c r="C5554" s="6" t="n">
        <x:v>0.1305</x:v>
      </x:c>
      <x:c r="D5554" s="6" t="n">
        <x:f>B5554</x:f>
        <x:v>0.2279</x:v>
      </x:c>
      <x:c r="E5554" s="1" t="n">
        <x:v>1.05</x:v>
      </x:c>
      <x:c r="F5554" s="1" t="str">
        <x:v>https://api.octopus.energy/v1/products/AGILE-24-10-01/electricity-tariffs/E-1R-AGILE-24-10-01-G/standard-unit-rates/</x:v>
      </x:c>
    </x:row>
    <x:row r="5555" ht="21" customHeight="1">
      <x:c r="A5555" s="24" t="n">
        <x:v>46264.229166666664</x:v>
      </x:c>
      <x:c r="B5555" s="6" t="n">
        <x:v>0.2202</x:v>
      </x:c>
      <x:c r="C5555" s="6" t="n">
        <x:v>0.12689999999999999</x:v>
      </x:c>
      <x:c r="D5555" s="6" t="n">
        <x:f>B5555</x:f>
        <x:v>0.2202</x:v>
      </x:c>
      <x:c r="E5555" s="1" t="n">
        <x:v>1.05</x:v>
      </x:c>
      <x:c r="F5555" s="1" t="str">
        <x:v>https://api.octopus.energy/v1/products/AGILE-24-10-01/electricity-tariffs/E-1R-AGILE-24-10-01-G/standard-unit-rates/</x:v>
      </x:c>
    </x:row>
    <x:row r="5556" ht="21" customHeight="1">
      <x:c r="A5556" s="24" t="n">
        <x:v>46264.25</x:v>
      </x:c>
      <x:c r="B5556" s="6" t="n">
        <x:v>0.2304</x:v>
      </x:c>
      <x:c r="C5556" s="6" t="n">
        <x:v>0.1316</x:v>
      </x:c>
      <x:c r="D5556" s="6" t="n">
        <x:f>B5556</x:f>
        <x:v>0.2304</x:v>
      </x:c>
      <x:c r="E5556" s="1" t="n">
        <x:v>1.05</x:v>
      </x:c>
      <x:c r="F5556" s="1" t="str">
        <x:v>https://api.octopus.energy/v1/products/AGILE-24-10-01/electricity-tariffs/E-1R-AGILE-24-10-01-G/standard-unit-rates/</x:v>
      </x:c>
    </x:row>
    <x:row r="5557" ht="21" customHeight="1">
      <x:c r="A5557" s="24" t="n">
        <x:v>46264.270833333336</x:v>
      </x:c>
      <x:c r="B5557" s="6" t="n">
        <x:v>0.2304</x:v>
      </x:c>
      <x:c r="C5557" s="6" t="n">
        <x:v>0.1316</x:v>
      </x:c>
      <x:c r="D5557" s="6" t="n">
        <x:f>B5557</x:f>
        <x:v>0.2304</x:v>
      </x:c>
      <x:c r="E5557" s="1" t="n">
        <x:v>1.05</x:v>
      </x:c>
      <x:c r="F5557" s="1" t="str">
        <x:v>https://api.octopus.energy/v1/products/AGILE-24-10-01/electricity-tariffs/E-1R-AGILE-24-10-01-G/standard-unit-rates/</x:v>
      </x:c>
    </x:row>
    <x:row r="5558" ht="21" customHeight="1">
      <x:c r="A5558" s="24" t="n">
        <x:v>46264.291666666664</x:v>
      </x:c>
      <x:c r="B5558" s="6" t="n">
        <x:v>0.2325</x:v>
      </x:c>
      <x:c r="C5558" s="6" t="n">
        <x:v>0.1326</x:v>
      </x:c>
      <x:c r="D5558" s="6" t="n">
        <x:f>B5558</x:f>
        <x:v>0.2325</x:v>
      </x:c>
      <x:c r="E5558" s="1" t="n">
        <x:v>1.05</x:v>
      </x:c>
      <x:c r="F5558" s="1" t="str">
        <x:v>https://api.octopus.energy/v1/products/AGILE-24-10-01/electricity-tariffs/E-1R-AGILE-24-10-01-G/standard-unit-rates/</x:v>
      </x:c>
    </x:row>
    <x:row r="5559" ht="21" customHeight="1">
      <x:c r="A5559" s="24" t="n">
        <x:v>46264.3125</x:v>
      </x:c>
      <x:c r="B5559" s="6" t="n">
        <x:v>0.254</x:v>
      </x:c>
      <x:c r="C5559" s="6" t="n">
        <x:v>0.1424</x:v>
      </x:c>
      <x:c r="D5559" s="6" t="n">
        <x:f>B5559</x:f>
        <x:v>0.254</x:v>
      </x:c>
      <x:c r="E5559" s="1" t="n">
        <x:v>1.05</x:v>
      </x:c>
      <x:c r="F5559" s="1" t="str">
        <x:v>https://api.octopus.energy/v1/products/AGILE-24-10-01/electricity-tariffs/E-1R-AGILE-24-10-01-G/standard-unit-rates/</x:v>
      </x:c>
    </x:row>
    <x:row r="5560" ht="21" customHeight="1">
      <x:c r="A5560" s="24" t="n">
        <x:v>46264.333333333336</x:v>
      </x:c>
      <x:c r="B5560" s="6" t="n">
        <x:v>0.25989999999999996</x:v>
      </x:c>
      <x:c r="C5560" s="6" t="n">
        <x:v>0.1451</x:v>
      </x:c>
      <x:c r="D5560" s="6" t="n">
        <x:f>B5560</x:f>
        <x:v>0.25989999999999996</x:v>
      </x:c>
      <x:c r="E5560" s="1" t="n">
        <x:v>1.05</x:v>
      </x:c>
      <x:c r="F5560" s="1" t="str">
        <x:v>https://api.octopus.energy/v1/products/AGILE-24-10-01/electricity-tariffs/E-1R-AGILE-24-10-01-G/standard-unit-rates/</x:v>
      </x:c>
    </x:row>
    <x:row r="5561" ht="21" customHeight="1">
      <x:c r="A5561" s="24" t="n">
        <x:v>46264.354166666664</x:v>
      </x:c>
      <x:c r="B5561" s="6" t="n">
        <x:v>0.2704</x:v>
      </x:c>
      <x:c r="C5561" s="6" t="n">
        <x:v>0.1499</x:v>
      </x:c>
      <x:c r="D5561" s="6" t="n">
        <x:f>B5561</x:f>
        <x:v>0.2704</x:v>
      </x:c>
      <x:c r="E5561" s="1" t="n">
        <x:v>1.05</x:v>
      </x:c>
      <x:c r="F5561" s="1" t="str">
        <x:v>https://api.octopus.energy/v1/products/AGILE-24-10-01/electricity-tariffs/E-1R-AGILE-24-10-01-G/standard-unit-rates/</x:v>
      </x:c>
    </x:row>
    <x:row r="5562" ht="21" customHeight="1">
      <x:c r="A5562" s="24" t="n">
        <x:v>46264.375</x:v>
      </x:c>
      <x:c r="B5562" s="6" t="n">
        <x:v>0.2625</x:v>
      </x:c>
      <x:c r="C5562" s="6" t="n">
        <x:v>0.1463</x:v>
      </x:c>
      <x:c r="D5562" s="6" t="n">
        <x:f>B5562</x:f>
        <x:v>0.2625</x:v>
      </x:c>
      <x:c r="E5562" s="1" t="n">
        <x:v>1.05</x:v>
      </x:c>
      <x:c r="F5562" s="1" t="str">
        <x:v>https://api.octopus.energy/v1/products/AGILE-24-10-01/electricity-tariffs/E-1R-AGILE-24-10-01-G/standard-unit-rates/</x:v>
      </x:c>
    </x:row>
    <x:row r="5563" ht="21" customHeight="1">
      <x:c r="A5563" s="24" t="n">
        <x:v>46264.395833333336</x:v>
      </x:c>
      <x:c r="B5563" s="6" t="n">
        <x:v>0.2559</x:v>
      </x:c>
      <x:c r="C5563" s="6" t="n">
        <x:v>0.1433</x:v>
      </x:c>
      <x:c r="D5563" s="6" t="n">
        <x:f>B5563</x:f>
        <x:v>0.2559</x:v>
      </x:c>
      <x:c r="E5563" s="1" t="n">
        <x:v>1.05</x:v>
      </x:c>
      <x:c r="F5563" s="1" t="str">
        <x:v>https://api.octopus.energy/v1/products/AGILE-24-10-01/electricity-tariffs/E-1R-AGILE-24-10-01-G/standard-unit-rates/</x:v>
      </x:c>
    </x:row>
    <x:row r="5564" ht="21" customHeight="1">
      <x:c r="A5564" s="24" t="n">
        <x:v>46264.416666666664</x:v>
      </x:c>
      <x:c r="B5564" s="6" t="n">
        <x:v>0.2606</x:v>
      </x:c>
      <x:c r="C5564" s="6" t="n">
        <x:v>0.1454</x:v>
      </x:c>
      <x:c r="D5564" s="6" t="n">
        <x:f>B5564</x:f>
        <x:v>0.2606</x:v>
      </x:c>
      <x:c r="E5564" s="1" t="n">
        <x:v>1.05</x:v>
      </x:c>
      <x:c r="F5564" s="1" t="str">
        <x:v>https://api.octopus.energy/v1/products/AGILE-24-10-01/electricity-tariffs/E-1R-AGILE-24-10-01-G/standard-unit-rates/</x:v>
      </x:c>
    </x:row>
    <x:row r="5565" ht="21" customHeight="1">
      <x:c r="A5565" s="24" t="n">
        <x:v>46264.4375</x:v>
      </x:c>
      <x:c r="B5565" s="6" t="n">
        <x:v>0.2554</x:v>
      </x:c>
      <x:c r="C5565" s="6" t="n">
        <x:v>0.14300000000000002</x:v>
      </x:c>
      <x:c r="D5565" s="6" t="n">
        <x:f>B5565</x:f>
        <x:v>0.2554</x:v>
      </x:c>
      <x:c r="E5565" s="1" t="n">
        <x:v>1.05</x:v>
      </x:c>
      <x:c r="F5565" s="1" t="str">
        <x:v>https://api.octopus.energy/v1/products/AGILE-24-10-01/electricity-tariffs/E-1R-AGILE-24-10-01-G/standard-unit-rates/</x:v>
      </x:c>
    </x:row>
    <x:row r="5566" ht="21" customHeight="1">
      <x:c r="A5566" s="24" t="n">
        <x:v>46264.458333333336</x:v>
      </x:c>
      <x:c r="B5566" s="6" t="n">
        <x:v>0.2488</x:v>
      </x:c>
      <x:c r="C5566" s="6" t="n">
        <x:v>0.14</x:v>
      </x:c>
      <x:c r="D5566" s="6" t="n">
        <x:f>B5566</x:f>
        <x:v>0.2488</x:v>
      </x:c>
      <x:c r="E5566" s="1" t="n">
        <x:v>1.05</x:v>
      </x:c>
      <x:c r="F5566" s="1" t="str">
        <x:v>https://api.octopus.energy/v1/products/AGILE-24-10-01/electricity-tariffs/E-1R-AGILE-24-10-01-G/standard-unit-rates/</x:v>
      </x:c>
    </x:row>
    <x:row r="5567" ht="21" customHeight="1">
      <x:c r="A5567" s="24" t="n">
        <x:v>46264.479166666664</x:v>
      </x:c>
      <x:c r="B5567" s="6" t="n">
        <x:v>0.2321</x:v>
      </x:c>
      <x:c r="C5567" s="6" t="n">
        <x:v>0.1324</x:v>
      </x:c>
      <x:c r="D5567" s="6" t="n">
        <x:f>B5567</x:f>
        <x:v>0.2321</x:v>
      </x:c>
      <x:c r="E5567" s="1" t="n">
        <x:v>1.05</x:v>
      </x:c>
      <x:c r="F5567" s="1" t="str">
        <x:v>https://api.octopus.energy/v1/products/AGILE-24-10-01/electricity-tariffs/E-1R-AGILE-24-10-01-G/standard-unit-rates/</x:v>
      </x:c>
    </x:row>
    <x:row r="5568" ht="21" customHeight="1">
      <x:c r="A5568" s="24" t="n">
        <x:v>46264.5</x:v>
      </x:c>
      <x:c r="B5568" s="6" t="n">
        <x:v>0.2375</x:v>
      </x:c>
      <x:c r="C5568" s="6" t="n">
        <x:v>0.1348</x:v>
      </x:c>
      <x:c r="D5568" s="6" t="n">
        <x:f>B5568</x:f>
        <x:v>0.2375</x:v>
      </x:c>
      <x:c r="E5568" s="1" t="n">
        <x:v>1.05</x:v>
      </x:c>
      <x:c r="F5568" s="1" t="str">
        <x:v>https://api.octopus.energy/v1/products/AGILE-24-10-01/electricity-tariffs/E-1R-AGILE-24-10-01-G/standard-unit-rates/</x:v>
      </x:c>
    </x:row>
    <x:row r="5569" ht="21" customHeight="1">
      <x:c r="A5569" s="24" t="n">
        <x:v>46264.520833333336</x:v>
      </x:c>
      <x:c r="B5569" s="6" t="n">
        <x:v>0.2304</x:v>
      </x:c>
      <x:c r="C5569" s="6" t="n">
        <x:v>0.1316</x:v>
      </x:c>
      <x:c r="D5569" s="6" t="n">
        <x:f>B5569</x:f>
        <x:v>0.2304</x:v>
      </x:c>
      <x:c r="E5569" s="1" t="n">
        <x:v>1.05</x:v>
      </x:c>
      <x:c r="F5569" s="1" t="str">
        <x:v>https://api.octopus.energy/v1/products/AGILE-24-10-01/electricity-tariffs/E-1R-AGILE-24-10-01-G/standard-unit-rates/</x:v>
      </x:c>
    </x:row>
    <x:row r="5570" ht="21" customHeight="1">
      <x:c r="A5570" s="24" t="n">
        <x:v>46264.541666666664</x:v>
      </x:c>
      <x:c r="B5570" s="6" t="n">
        <x:v>0.2304</x:v>
      </x:c>
      <x:c r="C5570" s="6" t="n">
        <x:v>0.1316</x:v>
      </x:c>
      <x:c r="D5570" s="6" t="n">
        <x:f>B5570</x:f>
        <x:v>0.2304</x:v>
      </x:c>
      <x:c r="E5570" s="1" t="n">
        <x:v>1.05</x:v>
      </x:c>
      <x:c r="F5570" s="1" t="str">
        <x:v>https://api.octopus.energy/v1/products/AGILE-24-10-01/electricity-tariffs/E-1R-AGILE-24-10-01-G/standard-unit-rates/</x:v>
      </x:c>
    </x:row>
    <x:row r="5571" ht="21" customHeight="1">
      <x:c r="A5571" s="24" t="n">
        <x:v>46264.5625</x:v>
      </x:c>
      <x:c r="B5571" s="6" t="n">
        <x:v>0.2304</x:v>
      </x:c>
      <x:c r="C5571" s="6" t="n">
        <x:v>0.1316</x:v>
      </x:c>
      <x:c r="D5571" s="6" t="n">
        <x:f>B5571</x:f>
        <x:v>0.2304</x:v>
      </x:c>
      <x:c r="E5571" s="1" t="n">
        <x:v>1.05</x:v>
      </x:c>
      <x:c r="F5571" s="1" t="str">
        <x:v>https://api.octopus.energy/v1/products/AGILE-24-10-01/electricity-tariffs/E-1R-AGILE-24-10-01-G/standard-unit-rates/</x:v>
      </x:c>
    </x:row>
    <x:row r="5572" ht="21" customHeight="1">
      <x:c r="A5572" s="24" t="n">
        <x:v>46264.583333333336</x:v>
      </x:c>
      <x:c r="B5572" s="6" t="n">
        <x:v>0.2207</x:v>
      </x:c>
      <x:c r="C5572" s="6" t="n">
        <x:v>0.1272</x:v>
      </x:c>
      <x:c r="D5572" s="6" t="n">
        <x:f>B5572</x:f>
        <x:v>0.2207</x:v>
      </x:c>
      <x:c r="E5572" s="1" t="n">
        <x:v>1.05</x:v>
      </x:c>
      <x:c r="F5572" s="1" t="str">
        <x:v>https://api.octopus.energy/v1/products/AGILE-24-10-01/electricity-tariffs/E-1R-AGILE-24-10-01-G/standard-unit-rates/</x:v>
      </x:c>
    </x:row>
    <x:row r="5573" ht="21" customHeight="1">
      <x:c r="A5573" s="24" t="n">
        <x:v>46264.604166666664</x:v>
      </x:c>
      <x:c r="B5573" s="6" t="n">
        <x:v>0.2249</x:v>
      </x:c>
      <x:c r="C5573" s="6" t="n">
        <x:v>0.1291</x:v>
      </x:c>
      <x:c r="D5573" s="6" t="n">
        <x:f>B5573</x:f>
        <x:v>0.2249</x:v>
      </x:c>
      <x:c r="E5573" s="1" t="n">
        <x:v>1.05</x:v>
      </x:c>
      <x:c r="F5573" s="1" t="str">
        <x:v>https://api.octopus.energy/v1/products/AGILE-24-10-01/electricity-tariffs/E-1R-AGILE-24-10-01-G/standard-unit-rates/</x:v>
      </x:c>
    </x:row>
    <x:row r="5574" ht="21" customHeight="1">
      <x:c r="A5574" s="24" t="n">
        <x:v>46264.625</x:v>
      </x:c>
      <x:c r="B5574" s="6" t="n">
        <x:v>0.226</x:v>
      </x:c>
      <x:c r="C5574" s="6" t="n">
        <x:v>0.12960000000000002</x:v>
      </x:c>
      <x:c r="D5574" s="6" t="n">
        <x:f>B5574</x:f>
        <x:v>0.226</x:v>
      </x:c>
      <x:c r="E5574" s="1" t="n">
        <x:v>1.05</x:v>
      </x:c>
      <x:c r="F5574" s="1" t="str">
        <x:v>https://api.octopus.energy/v1/products/AGILE-24-10-01/electricity-tariffs/E-1R-AGILE-24-10-01-G/standard-unit-rates/</x:v>
      </x:c>
    </x:row>
    <x:row r="5575" ht="21" customHeight="1">
      <x:c r="A5575" s="24" t="n">
        <x:v>46264.645833333336</x:v>
      </x:c>
      <x:c r="B5575" s="6" t="n">
        <x:v>0.2304</x:v>
      </x:c>
      <x:c r="C5575" s="6" t="n">
        <x:v>0.1316</x:v>
      </x:c>
      <x:c r="D5575" s="6" t="n">
        <x:f>B5575</x:f>
        <x:v>0.2304</x:v>
      </x:c>
      <x:c r="E5575" s="1" t="n">
        <x:v>1.05</x:v>
      </x:c>
      <x:c r="F5575" s="1" t="str">
        <x:v>https://api.octopus.energy/v1/products/AGILE-24-10-01/electricity-tariffs/E-1R-AGILE-24-10-01-G/standard-unit-rates/</x:v>
      </x:c>
    </x:row>
    <x:row r="5576" ht="21" customHeight="1">
      <x:c r="A5576" s="24" t="n">
        <x:v>46264.666666666664</x:v>
      </x:c>
      <x:c r="B5576" s="6" t="n">
        <x:v>0.3472</x:v>
      </x:c>
      <x:c r="C5576" s="6" t="n">
        <x:v>0.18899999999999997</x:v>
      </x:c>
      <x:c r="D5576" s="6" t="n">
        <x:f>B5576</x:f>
        <x:v>0.3472</x:v>
      </x:c>
      <x:c r="E5576" s="1" t="n">
        <x:v>1.05</x:v>
      </x:c>
      <x:c r="F5576" s="1" t="str">
        <x:v>https://api.octopus.energy/v1/products/AGILE-24-10-01/electricity-tariffs/E-1R-AGILE-24-10-01-G/standard-unit-rates/</x:v>
      </x:c>
    </x:row>
    <x:row r="5577" ht="21" customHeight="1">
      <x:c r="A5577" s="24" t="n">
        <x:v>46264.6875</x:v>
      </x:c>
      <x:c r="B5577" s="6" t="n">
        <x:v>0.3704</x:v>
      </x:c>
      <x:c r="C5577" s="6" t="n">
        <x:v>0.1996</x:v>
      </x:c>
      <x:c r="D5577" s="6" t="n">
        <x:f>B5577</x:f>
        <x:v>0.3704</x:v>
      </x:c>
      <x:c r="E5577" s="1" t="n">
        <x:v>1.05</x:v>
      </x:c>
      <x:c r="F5577" s="1" t="str">
        <x:v>https://api.octopus.energy/v1/products/AGILE-24-10-01/electricity-tariffs/E-1R-AGILE-24-10-01-G/standard-unit-rates/</x:v>
      </x:c>
    </x:row>
    <x:row r="5578" ht="21" customHeight="1">
      <x:c r="A5578" s="24" t="n">
        <x:v>46264.708333333336</x:v>
      </x:c>
      <x:c r="B5578" s="6" t="n">
        <x:v>0.387</x:v>
      </x:c>
      <x:c r="C5578" s="6" t="n">
        <x:v>0.2072</x:v>
      </x:c>
      <x:c r="D5578" s="6" t="n">
        <x:f>B5578</x:f>
        <x:v>0.387</x:v>
      </x:c>
      <x:c r="E5578" s="1" t="n">
        <x:v>1.05</x:v>
      </x:c>
      <x:c r="F5578" s="1" t="str">
        <x:v>https://api.octopus.energy/v1/products/AGILE-24-10-01/electricity-tariffs/E-1R-AGILE-24-10-01-G/standard-unit-rates/</x:v>
      </x:c>
    </x:row>
    <x:row r="5579" ht="21" customHeight="1">
      <x:c r="A5579" s="24" t="n">
        <x:v>46264.729166666664</x:v>
      </x:c>
      <x:c r="B5579" s="6" t="n">
        <x:v>0.3994</x:v>
      </x:c>
      <x:c r="C5579" s="6" t="n">
        <x:v>0.21289999999999998</x:v>
      </x:c>
      <x:c r="D5579" s="6" t="n">
        <x:f>B5579</x:f>
        <x:v>0.3994</x:v>
      </x:c>
      <x:c r="E5579" s="1" t="n">
        <x:v>1.05</x:v>
      </x:c>
      <x:c r="F5579" s="1" t="str">
        <x:v>https://api.octopus.energy/v1/products/AGILE-24-10-01/electricity-tariffs/E-1R-AGILE-24-10-01-G/standard-unit-rates/</x:v>
      </x:c>
    </x:row>
    <x:row r="5580" ht="21" customHeight="1">
      <x:c r="A5580" s="24" t="n">
        <x:v>46264.75</x:v>
      </x:c>
      <x:c r="B5580" s="6" t="n">
        <x:v>0.4233</x:v>
      </x:c>
      <x:c r="C5580" s="6" t="n">
        <x:v>0.2238</x:v>
      </x:c>
      <x:c r="D5580" s="6" t="n">
        <x:f>B5580</x:f>
        <x:v>0.4233</x:v>
      </x:c>
      <x:c r="E5580" s="1" t="n">
        <x:v>1.05</x:v>
      </x:c>
      <x:c r="F5580" s="1" t="str">
        <x:v>https://api.octopus.energy/v1/products/AGILE-24-10-01/electricity-tariffs/E-1R-AGILE-24-10-01-G/standard-unit-rates/</x:v>
      </x:c>
    </x:row>
    <x:row r="5581" ht="21" customHeight="1">
      <x:c r="A5581" s="24" t="n">
        <x:v>46264.770833333336</x:v>
      </x:c>
      <x:c r="B5581" s="6" t="n">
        <x:v>0.4226</x:v>
      </x:c>
      <x:c r="C5581" s="6" t="n">
        <x:v>0.2235</x:v>
      </x:c>
      <x:c r="D5581" s="6" t="n">
        <x:f>B5581</x:f>
        <x:v>0.4226</x:v>
      </x:c>
      <x:c r="E5581" s="1" t="n">
        <x:v>1.05</x:v>
      </x:c>
      <x:c r="F5581" s="1" t="str">
        <x:v>https://api.octopus.energy/v1/products/AGILE-24-10-01/electricity-tariffs/E-1R-AGILE-24-10-01-G/standard-unit-rates/</x:v>
      </x:c>
    </x:row>
    <x:row r="5582" ht="21" customHeight="1">
      <x:c r="A5582" s="24" t="n">
        <x:v>46264.791666666664</x:v>
      </x:c>
      <x:c r="B5582" s="6" t="n">
        <x:v>0.3215</x:v>
      </x:c>
      <x:c r="C5582" s="6" t="n">
        <x:v>0.1732</x:v>
      </x:c>
      <x:c r="D5582" s="6" t="n">
        <x:f>B5582</x:f>
        <x:v>0.3215</x:v>
      </x:c>
      <x:c r="E5582" s="1" t="n">
        <x:v>1.05</x:v>
      </x:c>
      <x:c r="F5582" s="1" t="str">
        <x:v>https://api.octopus.energy/v1/products/AGILE-24-10-01/electricity-tariffs/E-1R-AGILE-24-10-01-G/standard-unit-rates/</x:v>
      </x:c>
    </x:row>
    <x:row r="5583" ht="21" customHeight="1">
      <x:c r="A5583" s="24" t="n">
        <x:v>46264.8125</x:v>
      </x:c>
      <x:c r="B5583" s="6" t="n">
        <x:v>0.3215</x:v>
      </x:c>
      <x:c r="C5583" s="6" t="n">
        <x:v>0.1732</x:v>
      </x:c>
      <x:c r="D5583" s="6" t="n">
        <x:f>B5583</x:f>
        <x:v>0.3215</x:v>
      </x:c>
      <x:c r="E5583" s="1" t="n">
        <x:v>1.05</x:v>
      </x:c>
      <x:c r="F5583" s="1" t="str">
        <x:v>https://api.octopus.energy/v1/products/AGILE-24-10-01/electricity-tariffs/E-1R-AGILE-24-10-01-G/standard-unit-rates/</x:v>
      </x:c>
    </x:row>
    <x:row r="5584" ht="21" customHeight="1">
      <x:c r="A5584" s="24" t="n">
        <x:v>46264.833333333336</x:v>
      </x:c>
      <x:c r="B5584" s="6" t="n">
        <x:v>0.3211</x:v>
      </x:c>
      <x:c r="C5584" s="6" t="n">
        <x:v>0.17309999999999998</x:v>
      </x:c>
      <x:c r="D5584" s="6" t="n">
        <x:f>B5584</x:f>
        <x:v>0.3211</x:v>
      </x:c>
      <x:c r="E5584" s="1" t="n">
        <x:v>1.05</x:v>
      </x:c>
      <x:c r="F5584" s="1" t="str">
        <x:v>https://api.octopus.energy/v1/products/AGILE-24-10-01/electricity-tariffs/E-1R-AGILE-24-10-01-G/standard-unit-rates/</x:v>
      </x:c>
    </x:row>
    <x:row r="5585" ht="21" customHeight="1">
      <x:c r="A5585" s="24" t="n">
        <x:v>46264.854166666664</x:v>
      </x:c>
      <x:c r="B5585" s="6" t="n">
        <x:v>0.3179</x:v>
      </x:c>
      <x:c r="C5585" s="6" t="n">
        <x:v>0.1716</x:v>
      </x:c>
      <x:c r="D5585" s="6" t="n">
        <x:f>B5585</x:f>
        <x:v>0.3179</x:v>
      </x:c>
      <x:c r="E5585" s="1" t="n">
        <x:v>1.05</x:v>
      </x:c>
      <x:c r="F5585" s="1" t="str">
        <x:v>https://api.octopus.energy/v1/products/AGILE-24-10-01/electricity-tariffs/E-1R-AGILE-24-10-01-G/standard-unit-rates/</x:v>
      </x:c>
    </x:row>
    <x:row r="5586" ht="21" customHeight="1">
      <x:c r="A5586" s="24" t="n">
        <x:v>46264.875</x:v>
      </x:c>
      <x:c r="B5586" s="6" t="n">
        <x:v>0.30469999999999997</x:v>
      </x:c>
      <x:c r="C5586" s="6" t="n">
        <x:v>0.1656</x:v>
      </x:c>
      <x:c r="D5586" s="6" t="n">
        <x:f>B5586</x:f>
        <x:v>0.30469999999999997</x:v>
      </x:c>
      <x:c r="E5586" s="1" t="n">
        <x:v>1.05</x:v>
      </x:c>
      <x:c r="F5586" s="1" t="str">
        <x:v>https://api.octopus.energy/v1/products/AGILE-24-10-01/electricity-tariffs/E-1R-AGILE-24-10-01-G/standard-unit-rates/</x:v>
      </x:c>
    </x:row>
    <x:row r="5587" ht="21" customHeight="1">
      <x:c r="A5587" s="24" t="n">
        <x:v>46264.895833333336</x:v>
      </x:c>
      <x:c r="B5587" s="6" t="n">
        <x:v>0.287</x:v>
      </x:c>
      <x:c r="C5587" s="6" t="n">
        <x:v>0.1575</x:v>
      </x:c>
      <x:c r="D5587" s="6" t="n">
        <x:f>B5587</x:f>
        <x:v>0.287</x:v>
      </x:c>
      <x:c r="E5587" s="1" t="n">
        <x:v>1.05</x:v>
      </x:c>
      <x:c r="F5587" s="1" t="str">
        <x:v>https://api.octopus.energy/v1/products/AGILE-24-10-01/electricity-tariffs/E-1R-AGILE-24-10-01-G/standard-unit-rates/</x:v>
      </x:c>
    </x:row>
    <x:row r="5588" ht="21" customHeight="1">
      <x:c r="A5588" s="24" t="n">
        <x:v>46264.916666666664</x:v>
      </x:c>
      <x:c r="B5588" s="6" t="n">
        <x:v>0.2627</x:v>
      </x:c>
      <x:c r="C5588" s="6" t="n">
        <x:v>0.1464</x:v>
      </x:c>
      <x:c r="D5588" s="6" t="n">
        <x:f>B5588</x:f>
        <x:v>0.2627</x:v>
      </x:c>
      <x:c r="E5588" s="1" t="n">
        <x:v>1.05</x:v>
      </x:c>
      <x:c r="F5588" s="1" t="str">
        <x:v>https://api.octopus.energy/v1/products/AGILE-24-10-01/electricity-tariffs/E-1R-AGILE-24-10-01-G/standard-unit-rates/</x:v>
      </x:c>
    </x:row>
    <x:row r="5589" ht="21" customHeight="1">
      <x:c r="A5589" s="24" t="n">
        <x:v>46264.9375</x:v>
      </x:c>
      <x:c r="B5589" s="6" t="n">
        <x:v>0.2627</x:v>
      </x:c>
      <x:c r="C5589" s="6" t="n">
        <x:v>0.1464</x:v>
      </x:c>
      <x:c r="D5589" s="6" t="n">
        <x:f>B5589</x:f>
        <x:v>0.2627</x:v>
      </x:c>
      <x:c r="E5589" s="1" t="n">
        <x:v>1.05</x:v>
      </x:c>
      <x:c r="F5589" s="1" t="str">
        <x:v>https://api.octopus.energy/v1/products/AGILE-24-10-01/electricity-tariffs/E-1R-AGILE-24-10-01-G/standard-unit-rates/</x:v>
      </x:c>
    </x:row>
    <x:row r="5590" ht="21" customHeight="1">
      <x:c r="A5590" s="24" t="n">
        <x:v>46265</x:v>
      </x:c>
      <x:c r="B5590" s="6" t="n">
        <x:v>0.2872</x:v>
      </x:c>
      <x:c r="C5590" s="6" t="n">
        <x:v>0.1576</x:v>
      </x:c>
      <x:c r="D5590" s="6" t="n">
        <x:f>B5590</x:f>
        <x:v>0.2872</x:v>
      </x:c>
      <x:c r="E5590" s="1" t="n">
        <x:v>1.05</x:v>
      </x:c>
      <x:c r="F5590" s="1" t="str">
        <x:v>https://api.octopus.energy/v1/products/AGILE-24-10-01/electricity-tariffs/E-1R-AGILE-24-10-01-G/standard-unit-rates/</x:v>
      </x:c>
    </x:row>
    <x:row r="5591" ht="21" customHeight="1">
      <x:c r="A5591" s="24" t="n">
        <x:v>46264.979166666664</x:v>
      </x:c>
      <x:c r="B5591" s="6" t="n">
        <x:v>0.2681</x:v>
      </x:c>
      <x:c r="C5591" s="6" t="n">
        <x:v>0.14880000000000002</x:v>
      </x:c>
      <x:c r="D5591" s="6" t="n">
        <x:f>B5591</x:f>
        <x:v>0.2681</x:v>
      </x:c>
      <x:c r="E5591" s="1" t="n">
        <x:v>1.05</x:v>
      </x:c>
      <x:c r="F5591" s="1" t="str">
        <x:v>https://api.octopus.energy/v1/products/AGILE-24-10-01/electricity-tariffs/E-1R-AGILE-24-10-01-G/standard-unit-rates/</x:v>
      </x:c>
    </x:row>
    <x:row r="5592" ht="21" customHeight="1">
      <x:c r="A5592" s="24" t="n">
        <x:v>46265</x:v>
      </x:c>
      <x:c r="B5592" s="6" t="n">
        <x:v>0.257</x:v>
      </x:c>
      <x:c r="C5592" s="6" t="n">
        <x:v>0.1438</x:v>
      </x:c>
      <x:c r="D5592" s="6" t="n">
        <x:f>B5592</x:f>
        <x:v>0.257</x:v>
      </x:c>
      <x:c r="E5592" s="1" t="n">
        <x:v>1.05</x:v>
      </x:c>
      <x:c r="F5592" s="1" t="str">
        <x:v>https://api.octopus.energy/v1/products/AGILE-24-10-01/electricity-tariffs/E-1R-AGILE-24-10-01-G/standard-unit-rates/</x:v>
      </x:c>
    </x:row>
    <x:row r="5593" ht="21" customHeight="1">
      <x:c r="A5593" s="24" t="n">
        <x:v>46265.020833333336</x:v>
      </x:c>
      <x:c r="B5593" s="6" t="n">
        <x:v>0.24710000000000001</x:v>
      </x:c>
      <x:c r="C5593" s="6" t="n">
        <x:v>0.1392</x:v>
      </x:c>
      <x:c r="D5593" s="6" t="n">
        <x:f>B5593</x:f>
        <x:v>0.24710000000000001</x:v>
      </x:c>
      <x:c r="E5593" s="1" t="n">
        <x:v>1.05</x:v>
      </x:c>
      <x:c r="F5593" s="1" t="str">
        <x:v>https://api.octopus.energy/v1/products/AGILE-24-10-01/electricity-tariffs/E-1R-AGILE-24-10-01-G/standard-unit-rates/</x:v>
      </x:c>
    </x:row>
    <x:row r="5594" ht="21" customHeight="1">
      <x:c r="A5594" s="24" t="n">
        <x:v>46265.041666666664</x:v>
      </x:c>
      <x:c r="B5594" s="6" t="n">
        <x:v>0.23920000000000002</x:v>
      </x:c>
      <x:c r="C5594" s="6" t="n">
        <x:v>0.1356</x:v>
      </x:c>
      <x:c r="D5594" s="6" t="n">
        <x:f>B5594</x:f>
        <x:v>0.23920000000000002</x:v>
      </x:c>
      <x:c r="E5594" s="1" t="n">
        <x:v>1.05</x:v>
      </x:c>
      <x:c r="F5594" s="1" t="str">
        <x:v>https://api.octopus.energy/v1/products/AGILE-24-10-01/electricity-tariffs/E-1R-AGILE-24-10-01-G/standard-unit-rates/</x:v>
      </x:c>
    </x:row>
    <x:row r="5595" ht="21" customHeight="1">
      <x:c r="A5595" s="24" t="n">
        <x:v>46265.0625</x:v>
      </x:c>
      <x:c r="B5595" s="6" t="n">
        <x:v>0.2457</x:v>
      </x:c>
      <x:c r="C5595" s="6" t="n">
        <x:v>0.1386</x:v>
      </x:c>
      <x:c r="D5595" s="6" t="n">
        <x:f>B5595</x:f>
        <x:v>0.2457</x:v>
      </x:c>
      <x:c r="E5595" s="1" t="n">
        <x:v>1.05</x:v>
      </x:c>
      <x:c r="F5595" s="1" t="str">
        <x:v>https://api.octopus.energy/v1/products/AGILE-24-10-01/electricity-tariffs/E-1R-AGILE-24-10-01-G/standard-unit-rates/</x:v>
      </x:c>
    </x:row>
    <x:row r="5596" ht="21" customHeight="1">
      <x:c r="A5596" s="24" t="n">
        <x:v>46265.083333333336</x:v>
      </x:c>
      <x:c r="B5596" s="6" t="n">
        <x:v>0.2341</x:v>
      </x:c>
      <x:c r="C5596" s="6" t="n">
        <x:v>0.1333</x:v>
      </x:c>
      <x:c r="D5596" s="6" t="n">
        <x:f>B5596</x:f>
        <x:v>0.2341</x:v>
      </x:c>
      <x:c r="E5596" s="1" t="n">
        <x:v>1.05</x:v>
      </x:c>
      <x:c r="F5596" s="1" t="str">
        <x:v>https://api.octopus.energy/v1/products/AGILE-24-10-01/electricity-tariffs/E-1R-AGILE-24-10-01-G/standard-unit-rates/</x:v>
      </x:c>
    </x:row>
    <x:row r="5597" ht="21" customHeight="1">
      <x:c r="A5597" s="24" t="n">
        <x:v>46265.104166666664</x:v>
      </x:c>
      <x:c r="B5597" s="6" t="n">
        <x:v>0.23070000000000002</x:v>
      </x:c>
      <x:c r="C5597" s="6" t="n">
        <x:v>0.1317</x:v>
      </x:c>
      <x:c r="D5597" s="6" t="n">
        <x:f>B5597</x:f>
        <x:v>0.23070000000000002</x:v>
      </x:c>
      <x:c r="E5597" s="1" t="n">
        <x:v>1.05</x:v>
      </x:c>
      <x:c r="F5597" s="1" t="str">
        <x:v>https://api.octopus.energy/v1/products/AGILE-24-10-01/electricity-tariffs/E-1R-AGILE-24-10-01-G/standard-unit-rates/</x:v>
      </x:c>
    </x:row>
    <x:row r="5598" ht="21" customHeight="1">
      <x:c r="A5598" s="24" t="n">
        <x:v>46265.125</x:v>
      </x:c>
      <x:c r="B5598" s="6" t="n">
        <x:v>0.2228</x:v>
      </x:c>
      <x:c r="C5598" s="6" t="n">
        <x:v>0.1281</x:v>
      </x:c>
      <x:c r="D5598" s="6" t="n">
        <x:f>B5598</x:f>
        <x:v>0.2228</x:v>
      </x:c>
      <x:c r="E5598" s="1" t="n">
        <x:v>1.05</x:v>
      </x:c>
      <x:c r="F5598" s="1" t="str">
        <x:v>https://api.octopus.energy/v1/products/AGILE-24-10-01/electricity-tariffs/E-1R-AGILE-24-10-01-G/standard-unit-rates/</x:v>
      </x:c>
    </x:row>
    <x:row r="5599" ht="21" customHeight="1">
      <x:c r="A5599" s="24" t="n">
        <x:v>46265.145833333336</x:v>
      </x:c>
      <x:c r="B5599" s="6" t="n">
        <x:v>0.2186</x:v>
      </x:c>
      <x:c r="C5599" s="6" t="n">
        <x:v>0.12619999999999998</x:v>
      </x:c>
      <x:c r="D5599" s="6" t="n">
        <x:f>B5599</x:f>
        <x:v>0.2186</x:v>
      </x:c>
      <x:c r="E5599" s="1" t="n">
        <x:v>1.05</x:v>
      </x:c>
      <x:c r="F5599" s="1" t="str">
        <x:v>https://api.octopus.energy/v1/products/AGILE-24-10-01/electricity-tariffs/E-1R-AGILE-24-10-01-G/standard-unit-rates/</x:v>
      </x:c>
    </x:row>
    <x:row r="5600" ht="21" customHeight="1">
      <x:c r="A5600" s="24" t="n">
        <x:v>46265.166666666664</x:v>
      </x:c>
      <x:c r="B5600" s="6" t="n">
        <x:v>0.223</x:v>
      </x:c>
      <x:c r="C5600" s="6" t="n">
        <x:v>0.1282</x:v>
      </x:c>
      <x:c r="D5600" s="6" t="n">
        <x:f>B5600</x:f>
        <x:v>0.223</x:v>
      </x:c>
      <x:c r="E5600" s="1" t="n">
        <x:v>1.05</x:v>
      </x:c>
      <x:c r="F5600" s="1" t="str">
        <x:v>https://api.octopus.energy/v1/products/AGILE-24-10-01/electricity-tariffs/E-1R-AGILE-24-10-01-G/standard-unit-rates/</x:v>
      </x:c>
    </x:row>
    <x:row r="5601" ht="21" customHeight="1">
      <x:c r="A5601" s="24" t="n">
        <x:v>46265.1875</x:v>
      </x:c>
      <x:c r="B5601" s="6" t="n">
        <x:v>0.22010000000000002</x:v>
      </x:c>
      <x:c r="C5601" s="6" t="n">
        <x:v>0.12689999999999999</x:v>
      </x:c>
      <x:c r="D5601" s="6" t="n">
        <x:f>B5601</x:f>
        <x:v>0.22010000000000002</x:v>
      </x:c>
      <x:c r="E5601" s="1" t="n">
        <x:v>1.05</x:v>
      </x:c>
      <x:c r="F5601" s="1" t="str">
        <x:v>https://api.octopus.energy/v1/products/AGILE-24-10-01/electricity-tariffs/E-1R-AGILE-24-10-01-G/standard-unit-rates/</x:v>
      </x:c>
    </x:row>
    <x:row r="5602" ht="21" customHeight="1">
      <x:c r="A5602" s="24" t="n">
        <x:v>46265.208333333336</x:v>
      </x:c>
      <x:c r="B5602" s="6" t="n">
        <x:v>0.2562</x:v>
      </x:c>
      <x:c r="C5602" s="6" t="n">
        <x:v>0.1434</x:v>
      </x:c>
      <x:c r="D5602" s="6" t="n">
        <x:f>B5602</x:f>
        <x:v>0.2562</x:v>
      </x:c>
      <x:c r="E5602" s="1" t="n">
        <x:v>1.05</x:v>
      </x:c>
      <x:c r="F5602" s="1" t="str">
        <x:v>https://api.octopus.energy/v1/products/AGILE-24-10-01/electricity-tariffs/E-1R-AGILE-24-10-01-G/standard-unit-rates/</x:v>
      </x:c>
    </x:row>
    <x:row r="5603" ht="21" customHeight="1">
      <x:c r="A5603" s="24" t="n">
        <x:v>46265.229166666664</x:v>
      </x:c>
      <x:c r="B5603" s="6" t="n">
        <x:v>0.2572</x:v>
      </x:c>
      <x:c r="C5603" s="6" t="n">
        <x:v>0.1439</x:v>
      </x:c>
      <x:c r="D5603" s="6" t="n">
        <x:f>B5603</x:f>
        <x:v>0.2572</x:v>
      </x:c>
      <x:c r="E5603" s="1" t="n">
        <x:v>1.05</x:v>
      </x:c>
      <x:c r="F5603" s="1" t="str">
        <x:v>https://api.octopus.energy/v1/products/AGILE-24-10-01/electricity-tariffs/E-1R-AGILE-24-10-01-G/standard-unit-rates/</x:v>
      </x:c>
    </x:row>
    <x:row r="5604" ht="21" customHeight="1">
      <x:c r="A5604" s="24" t="n">
        <x:v>46265.25</x:v>
      </x:c>
      <x:c r="B5604" s="6" t="n">
        <x:v>0.2918</x:v>
      </x:c>
      <x:c r="C5604" s="6" t="n">
        <x:v>0.15960000000000002</x:v>
      </x:c>
      <x:c r="D5604" s="6" t="n">
        <x:f>B5604</x:f>
        <x:v>0.2918</x:v>
      </x:c>
      <x:c r="E5604" s="1" t="n">
        <x:v>1.05</x:v>
      </x:c>
      <x:c r="F5604" s="1" t="str">
        <x:v>https://api.octopus.energy/v1/products/AGILE-24-10-01/electricity-tariffs/E-1R-AGILE-24-10-01-G/standard-unit-rates/</x:v>
      </x:c>
    </x:row>
    <x:row r="5605" ht="21" customHeight="1">
      <x:c r="A5605" s="24" t="n">
        <x:v>46265.270833333336</x:v>
      </x:c>
      <x:c r="B5605" s="6" t="n">
        <x:v>0.2874</x:v>
      </x:c>
      <x:c r="C5605" s="6" t="n">
        <x:v>0.1576</x:v>
      </x:c>
      <x:c r="D5605" s="6" t="n">
        <x:f>B5605</x:f>
        <x:v>0.2874</x:v>
      </x:c>
      <x:c r="E5605" s="1" t="n">
        <x:v>1.05</x:v>
      </x:c>
      <x:c r="F5605" s="1" t="str">
        <x:v>https://api.octopus.energy/v1/products/AGILE-24-10-01/electricity-tariffs/E-1R-AGILE-24-10-01-G/standard-unit-rates/</x:v>
      </x:c>
    </x:row>
    <x:row r="5606" ht="21" customHeight="1">
      <x:c r="A5606" s="24" t="n">
        <x:v>46265.291666666664</x:v>
      </x:c>
      <x:c r="B5606" s="6" t="n">
        <x:v>0.2561</x:v>
      </x:c>
      <x:c r="C5606" s="6" t="n">
        <x:v>0.1433</x:v>
      </x:c>
      <x:c r="D5606" s="6" t="n">
        <x:f>B5606</x:f>
        <x:v>0.2561</x:v>
      </x:c>
      <x:c r="E5606" s="1" t="n">
        <x:v>1.05</x:v>
      </x:c>
      <x:c r="F5606" s="1" t="str">
        <x:v>https://api.octopus.energy/v1/products/AGILE-24-10-01/electricity-tariffs/E-1R-AGILE-24-10-01-G/standard-unit-rates/</x:v>
      </x:c>
    </x:row>
    <x:row r="5607" ht="21" customHeight="1">
      <x:c r="A5607" s="24" t="n">
        <x:v>46265.3125</x:v>
      </x:c>
      <x:c r="B5607" s="6" t="n">
        <x:v>0.2557</x:v>
      </x:c>
      <x:c r="C5607" s="6" t="n">
        <x:v>0.1432</x:v>
      </x:c>
      <x:c r="D5607" s="6" t="n">
        <x:f>B5607</x:f>
        <x:v>0.2557</x:v>
      </x:c>
      <x:c r="E5607" s="1" t="n">
        <x:v>1.05</x:v>
      </x:c>
      <x:c r="F5607" s="1" t="str">
        <x:v>https://api.octopus.energy/v1/products/AGILE-24-10-01/electricity-tariffs/E-1R-AGILE-24-10-01-G/standard-unit-rates/</x:v>
      </x:c>
    </x:row>
    <x:row r="5608" ht="21" customHeight="1">
      <x:c r="A5608" s="24" t="n">
        <x:v>46265.333333333336</x:v>
      </x:c>
      <x:c r="B5608" s="6" t="n">
        <x:v>0.20809999999999998</x:v>
      </x:c>
      <x:c r="C5608" s="6" t="n">
        <x:v>0.12140000000000001</x:v>
      </x:c>
      <x:c r="D5608" s="6" t="n">
        <x:f>B5608</x:f>
        <x:v>0.20809999999999998</x:v>
      </x:c>
      <x:c r="E5608" s="1" t="n">
        <x:v>1.05</x:v>
      </x:c>
      <x:c r="F5608" s="1" t="str">
        <x:v>https://api.octopus.energy/v1/products/AGILE-24-10-01/electricity-tariffs/E-1R-AGILE-24-10-01-G/standard-unit-rates/</x:v>
      </x:c>
    </x:row>
    <x:row r="5609" ht="21" customHeight="1">
      <x:c r="A5609" s="24" t="n">
        <x:v>46265.354166666664</x:v>
      </x:c>
      <x:c r="B5609" s="6" t="n">
        <x:v>0.2257</x:v>
      </x:c>
      <x:c r="C5609" s="6" t="n">
        <x:v>0.1295</x:v>
      </x:c>
      <x:c r="D5609" s="6" t="n">
        <x:f>B5609</x:f>
        <x:v>0.2257</x:v>
      </x:c>
      <x:c r="E5609" s="1" t="n">
        <x:v>1.05</x:v>
      </x:c>
      <x:c r="F5609" s="1" t="str">
        <x:v>https://api.octopus.energy/v1/products/AGILE-24-10-01/electricity-tariffs/E-1R-AGILE-24-10-01-G/standard-unit-rates/</x:v>
      </x:c>
    </x:row>
    <x:row r="5610" ht="21" customHeight="1">
      <x:c r="A5610" s="24" t="n">
        <x:v>46265.375</x:v>
      </x:c>
      <x:c r="B5610" s="6" t="n">
        <x:v>0.1393</x:v>
      </x:c>
      <x:c r="C5610" s="6" t="n">
        <x:v>0.08990000000000001</x:v>
      </x:c>
      <x:c r="D5610" s="6" t="n">
        <x:f>B5610</x:f>
        <x:v>0.1393</x:v>
      </x:c>
      <x:c r="E5610" s="1" t="n">
        <x:v>1.05</x:v>
      </x:c>
      <x:c r="F5610" s="1" t="str">
        <x:v>https://api.octopus.energy/v1/products/AGILE-24-10-01/electricity-tariffs/E-1R-AGILE-24-10-01-G/standard-unit-rates/</x:v>
      </x:c>
    </x:row>
    <x:row r="5611" ht="21" customHeight="1">
      <x:c r="A5611" s="24" t="n">
        <x:v>46265.395833333336</x:v>
      </x:c>
      <x:c r="B5611" s="6" t="n">
        <x:v>0.0959</x:v>
      </x:c>
      <x:c r="C5611" s="6" t="n">
        <x:v>0.0701</x:v>
      </x:c>
      <x:c r="D5611" s="6" t="n">
        <x:f>B5611</x:f>
        <x:v>0.0959</x:v>
      </x:c>
      <x:c r="E5611" s="1" t="n">
        <x:v>1.05</x:v>
      </x:c>
      <x:c r="F5611" s="1" t="str">
        <x:v>https://api.octopus.energy/v1/products/AGILE-24-10-01/electricity-tariffs/E-1R-AGILE-24-10-01-G/standard-unit-rates/</x:v>
      </x:c>
    </x:row>
    <x:row r="5612" ht="21" customHeight="1">
      <x:c r="A5612" s="24" t="n">
        <x:v>46265.416666666664</x:v>
      </x:c>
      <x:c r="B5612" s="6" t="n">
        <x:v>0.0623</x:v>
      </x:c>
      <x:c r="C5612" s="6" t="n">
        <x:v>0.0547</x:v>
      </x:c>
      <x:c r="D5612" s="6" t="n">
        <x:f>B5612</x:f>
        <x:v>0.0623</x:v>
      </x:c>
      <x:c r="E5612" s="1" t="n">
        <x:v>1.05</x:v>
      </x:c>
      <x:c r="F5612" s="1" t="str">
        <x:v>https://api.octopus.energy/v1/products/AGILE-24-10-01/electricity-tariffs/E-1R-AGILE-24-10-01-G/standard-unit-rates/</x:v>
      </x:c>
    </x:row>
    <x:row r="5613" ht="21" customHeight="1">
      <x:c r="A5613" s="24" t="n">
        <x:v>46265.4375</x:v>
      </x:c>
      <x:c r="B5613" s="6" t="n">
        <x:v>0.035699999999999996</x:v>
      </x:c>
      <x:c r="C5613" s="6" t="n">
        <x:v>0.0426</x:v>
      </x:c>
      <x:c r="D5613" s="6" t="n">
        <x:f>B5613</x:f>
        <x:v>0.035699999999999996</x:v>
      </x:c>
      <x:c r="E5613" s="1" t="n">
        <x:v>1.05</x:v>
      </x:c>
      <x:c r="F5613" s="1" t="str">
        <x:v>https://api.octopus.energy/v1/products/AGILE-24-10-01/electricity-tariffs/E-1R-AGILE-24-10-01-G/standard-unit-rates/</x:v>
      </x:c>
    </x:row>
    <x:row r="5614" ht="21" customHeight="1">
      <x:c r="A5614" s="24" t="n">
        <x:v>46265.458333333336</x:v>
      </x:c>
      <x:c r="B5614" s="6" t="n">
        <x:v>0.0294</x:v>
      </x:c>
      <x:c r="C5614" s="6" t="n">
        <x:v>0.0397</x:v>
      </x:c>
      <x:c r="D5614" s="6" t="n">
        <x:f>B5614</x:f>
        <x:v>0.0294</x:v>
      </x:c>
      <x:c r="E5614" s="1" t="n">
        <x:v>1.05</x:v>
      </x:c>
      <x:c r="F5614" s="1" t="str">
        <x:v>https://api.octopus.energy/v1/products/AGILE-24-10-01/electricity-tariffs/E-1R-AGILE-24-10-01-G/standard-unit-rates/</x:v>
      </x:c>
    </x:row>
    <x:row r="5615" ht="21" customHeight="1">
      <x:c r="A5615" s="24" t="n">
        <x:v>46265.479166666664</x:v>
      </x:c>
      <x:c r="B5615" s="6" t="n">
        <x:v>0.0152</x:v>
      </x:c>
      <x:c r="C5615" s="6" t="n">
        <x:v>0.0332</x:v>
      </x:c>
      <x:c r="D5615" s="6" t="n">
        <x:f>B5615</x:f>
        <x:v>0.0152</x:v>
      </x:c>
      <x:c r="E5615" s="1" t="n">
        <x:v>1.05</x:v>
      </x:c>
      <x:c r="F5615" s="1" t="str">
        <x:v>https://api.octopus.energy/v1/products/AGILE-24-10-01/electricity-tariffs/E-1R-AGILE-24-10-01-G/standard-unit-rates/</x:v>
      </x:c>
    </x:row>
    <x:row r="5616" ht="21" customHeight="1">
      <x:c r="A5616" s="24" t="n">
        <x:v>46265.5</x:v>
      </x:c>
      <x:c r="B5616" s="6" t="n">
        <x:v>0.012</x:v>
      </x:c>
      <x:c r="C5616" s="6" t="n">
        <x:v>0.0317</x:v>
      </x:c>
      <x:c r="D5616" s="6" t="n">
        <x:f>B5616</x:f>
        <x:v>0.012</x:v>
      </x:c>
      <x:c r="E5616" s="1" t="n">
        <x:v>1.05</x:v>
      </x:c>
      <x:c r="F5616" s="1" t="str">
        <x:v>https://api.octopus.energy/v1/products/AGILE-24-10-01/electricity-tariffs/E-1R-AGILE-24-10-01-G/standard-unit-rates/</x:v>
      </x:c>
    </x:row>
    <x:row r="5617" ht="21" customHeight="1">
      <x:c r="A5617" s="24" t="n">
        <x:v>46265.520833333336</x:v>
      </x:c>
      <x:c r="B5617" s="6" t="n">
        <x:v>-0.003</x:v>
      </x:c>
      <x:c r="C5617" s="6" t="n">
        <x:v>0.024900000000000002</x:v>
      </x:c>
      <x:c r="D5617" s="6" t="n">
        <x:f>B5617</x:f>
        <x:v>-0.003</x:v>
      </x:c>
      <x:c r="E5617" s="1" t="n">
        <x:v>1.05</x:v>
      </x:c>
      <x:c r="F5617" s="1" t="str">
        <x:v>https://api.octopus.energy/v1/products/AGILE-24-10-01/electricity-tariffs/E-1R-AGILE-24-10-01-G/standard-unit-rates/</x:v>
      </x:c>
    </x:row>
    <x:row r="5618" ht="21" customHeight="1">
      <x:c r="A5618" s="24" t="n">
        <x:v>46265.541666666664</x:v>
      </x:c>
      <x:c r="B5618" s="6" t="n">
        <x:v>-0.0038</x:v>
      </x:c>
      <x:c r="C5618" s="6" t="n">
        <x:v>0.0245</x:v>
      </x:c>
      <x:c r="D5618" s="6" t="n">
        <x:f>B5618</x:f>
        <x:v>-0.0038</x:v>
      </x:c>
      <x:c r="E5618" s="1" t="n">
        <x:v>1.05</x:v>
      </x:c>
      <x:c r="F5618" s="1" t="str">
        <x:v>https://api.octopus.energy/v1/products/AGILE-24-10-01/electricity-tariffs/E-1R-AGILE-24-10-01-G/standard-unit-rates/</x:v>
      </x:c>
    </x:row>
    <x:row r="5619" ht="21" customHeight="1">
      <x:c r="A5619" s="24" t="n">
        <x:v>46265.5625</x:v>
      </x:c>
      <x:c r="B5619" s="6" t="n">
        <x:v>-0.014499999999999999</x:v>
      </x:c>
      <x:c r="C5619" s="6" t="n">
        <x:v>0.0196</x:v>
      </x:c>
      <x:c r="D5619" s="6" t="n">
        <x:f>B5619</x:f>
        <x:v>-0.014499999999999999</x:v>
      </x:c>
      <x:c r="E5619" s="1" t="n">
        <x:v>1.05</x:v>
      </x:c>
      <x:c r="F5619" s="1" t="str">
        <x:v>https://api.octopus.energy/v1/products/AGILE-24-10-01/electricity-tariffs/E-1R-AGILE-24-10-01-G/standard-unit-rates/</x:v>
      </x:c>
    </x:row>
    <x:row r="5620" ht="21" customHeight="1">
      <x:c r="A5620" s="24" t="n">
        <x:v>46265.583333333336</x:v>
      </x:c>
      <x:c r="B5620" s="6" t="n">
        <x:v>-0.0124</x:v>
      </x:c>
      <x:c r="C5620" s="6" t="n">
        <x:v>0.0206</x:v>
      </x:c>
      <x:c r="D5620" s="6" t="n">
        <x:f>B5620</x:f>
        <x:v>-0.0124</x:v>
      </x:c>
      <x:c r="E5620" s="1" t="n">
        <x:v>1.05</x:v>
      </x:c>
      <x:c r="F5620" s="1" t="str">
        <x:v>https://api.octopus.energy/v1/products/AGILE-24-10-01/electricity-tariffs/E-1R-AGILE-24-10-01-G/standard-unit-rates/</x:v>
      </x:c>
    </x:row>
    <x:row r="5621" ht="21" customHeight="1">
      <x:c r="A5621" s="24" t="n">
        <x:v>46265.604166666664</x:v>
      </x:c>
      <x:c r="B5621" s="6" t="n">
        <x:v>-0.0103</x:v>
      </x:c>
      <x:c r="C5621" s="6" t="n">
        <x:v>0.0216</x:v>
      </x:c>
      <x:c r="D5621" s="6" t="n">
        <x:f>B5621</x:f>
        <x:v>-0.0103</x:v>
      </x:c>
      <x:c r="E5621" s="1" t="n">
        <x:v>1.05</x:v>
      </x:c>
      <x:c r="F5621" s="1" t="str">
        <x:v>https://api.octopus.energy/v1/products/AGILE-24-10-01/electricity-tariffs/E-1R-AGILE-24-10-01-G/standard-unit-rates/</x:v>
      </x:c>
    </x:row>
    <x:row r="5622" ht="21" customHeight="1">
      <x:c r="A5622" s="24" t="n">
        <x:v>46265.625</x:v>
      </x:c>
      <x:c r="B5622" s="6" t="n">
        <x:v>-0.0018</x:v>
      </x:c>
      <x:c r="C5622" s="6" t="n">
        <x:v>0.0255</x:v>
      </x:c>
      <x:c r="D5622" s="6" t="n">
        <x:f>B5622</x:f>
        <x:v>-0.0018</x:v>
      </x:c>
      <x:c r="E5622" s="1" t="n">
        <x:v>1.05</x:v>
      </x:c>
      <x:c r="F5622" s="1" t="str">
        <x:v>https://api.octopus.energy/v1/products/AGILE-24-10-01/electricity-tariffs/E-1R-AGILE-24-10-01-G/standard-unit-rates/</x:v>
      </x:c>
    </x:row>
    <x:row r="5623" ht="21" customHeight="1">
      <x:c r="A5623" s="24" t="n">
        <x:v>46265.645833333336</x:v>
      </x:c>
      <x:c r="B5623" s="6" t="n">
        <x:v>0.009899999999999999</x:v>
      </x:c>
      <x:c r="C5623" s="6" t="n">
        <x:v>0.0308</x:v>
      </x:c>
      <x:c r="D5623" s="6" t="n">
        <x:f>B5623</x:f>
        <x:v>0.009899999999999999</x:v>
      </x:c>
      <x:c r="E5623" s="1" t="n">
        <x:v>1.05</x:v>
      </x:c>
      <x:c r="F5623" s="1" t="str">
        <x:v>https://api.octopus.energy/v1/products/AGILE-24-10-01/electricity-tariffs/E-1R-AGILE-24-10-01-G/standard-unit-rates/</x:v>
      </x:c>
    </x:row>
    <x:row r="5624" ht="21" customHeight="1">
      <x:c r="A5624" s="24" t="n">
        <x:v>46265.666666666664</x:v>
      </x:c>
      <x:c r="B5624" s="6" t="n">
        <x:v>0.251</x:v>
      </x:c>
      <x:c r="C5624" s="6" t="n">
        <x:v>0.1451</x:v>
      </x:c>
      <x:c r="D5624" s="6" t="n">
        <x:f>B5624</x:f>
        <x:v>0.251</x:v>
      </x:c>
      <x:c r="E5624" s="1" t="n">
        <x:v>1.05</x:v>
      </x:c>
      <x:c r="F5624" s="1" t="str">
        <x:v>https://api.octopus.energy/v1/products/AGILE-24-10-01/electricity-tariffs/E-1R-AGILE-24-10-01-G/standard-unit-rates/</x:v>
      </x:c>
    </x:row>
    <x:row r="5625" ht="21" customHeight="1">
      <x:c r="A5625" s="24" t="n">
        <x:v>46265.6875</x:v>
      </x:c>
      <x:c r="B5625" s="6" t="n">
        <x:v>0.299</x:v>
      </x:c>
      <x:c r="C5625" s="6" t="n">
        <x:v>0.16699999999999998</x:v>
      </x:c>
      <x:c r="D5625" s="6" t="n">
        <x:f>B5625</x:f>
        <x:v>0.299</x:v>
      </x:c>
      <x:c r="E5625" s="1" t="n">
        <x:v>1.05</x:v>
      </x:c>
      <x:c r="F5625" s="1" t="str">
        <x:v>https://api.octopus.energy/v1/products/AGILE-24-10-01/electricity-tariffs/E-1R-AGILE-24-10-01-G/standard-unit-rates/</x:v>
      </x:c>
    </x:row>
    <x:row r="5626" ht="21" customHeight="1">
      <x:c r="A5626" s="24" t="n">
        <x:v>46265.708333333336</x:v>
      </x:c>
      <x:c r="B5626" s="6" t="n">
        <x:v>0.4044</x:v>
      </x:c>
      <x:c r="C5626" s="6" t="n">
        <x:v>0.2152</x:v>
      </x:c>
      <x:c r="D5626" s="6" t="n">
        <x:f>B5626</x:f>
        <x:v>0.4044</x:v>
      </x:c>
      <x:c r="E5626" s="1" t="n">
        <x:v>1.05</x:v>
      </x:c>
      <x:c r="F5626" s="1" t="str">
        <x:v>https://api.octopus.energy/v1/products/AGILE-24-10-01/electricity-tariffs/E-1R-AGILE-24-10-01-G/standard-unit-rates/</x:v>
      </x:c>
    </x:row>
    <x:row r="5627" ht="21" customHeight="1">
      <x:c r="A5627" s="24" t="n">
        <x:v>46265.729166666664</x:v>
      </x:c>
      <x:c r="B5627" s="6" t="n">
        <x:v>0.4216</x:v>
      </x:c>
      <x:c r="C5627" s="6" t="n">
        <x:v>0.2231</x:v>
      </x:c>
      <x:c r="D5627" s="6" t="n">
        <x:f>B5627</x:f>
        <x:v>0.4216</x:v>
      </x:c>
      <x:c r="E5627" s="1" t="n">
        <x:v>1.05</x:v>
      </x:c>
      <x:c r="F5627" s="1" t="str">
        <x:v>https://api.octopus.energy/v1/products/AGILE-24-10-01/electricity-tariffs/E-1R-AGILE-24-10-01-G/standard-unit-rates/</x:v>
      </x:c>
    </x:row>
    <x:row r="5628" ht="21" customHeight="1">
      <x:c r="A5628" s="24" t="n">
        <x:v>46265.75</x:v>
      </x:c>
      <x:c r="B5628" s="6" t="n">
        <x:v>0.4241</x:v>
      </x:c>
      <x:c r="C5628" s="6" t="n">
        <x:v>0.2242</x:v>
      </x:c>
      <x:c r="D5628" s="6" t="n">
        <x:f>B5628</x:f>
        <x:v>0.4241</x:v>
      </x:c>
      <x:c r="E5628" s="1" t="n">
        <x:v>1.05</x:v>
      </x:c>
      <x:c r="F5628" s="1" t="str">
        <x:v>https://api.octopus.energy/v1/products/AGILE-24-10-01/electricity-tariffs/E-1R-AGILE-24-10-01-G/standard-unit-rates/</x:v>
      </x:c>
    </x:row>
    <x:row r="5629" ht="21" customHeight="1">
      <x:c r="A5629" s="24" t="n">
        <x:v>46265.770833333336</x:v>
      </x:c>
      <x:c r="B5629" s="6" t="n">
        <x:v>0.4203</x:v>
      </x:c>
      <x:c r="C5629" s="6" t="n">
        <x:v>0.2224</x:v>
      </x:c>
      <x:c r="D5629" s="6" t="n">
        <x:f>B5629</x:f>
        <x:v>0.4203</x:v>
      </x:c>
      <x:c r="E5629" s="1" t="n">
        <x:v>1.05</x:v>
      </x:c>
      <x:c r="F5629" s="1" t="str">
        <x:v>https://api.octopus.energy/v1/products/AGILE-24-10-01/electricity-tariffs/E-1R-AGILE-24-10-01-G/standard-unit-rates/</x:v>
      </x:c>
    </x:row>
    <x:row r="5630" ht="21" customHeight="1">
      <x:c r="A5630" s="24" t="n">
        <x:v>46265.791666666664</x:v>
      </x:c>
      <x:c r="B5630" s="6" t="n">
        <x:v>0.3231</x:v>
      </x:c>
      <x:c r="C5630" s="6" t="n">
        <x:v>0.174</x:v>
      </x:c>
      <x:c r="D5630" s="6" t="n">
        <x:f>B5630</x:f>
        <x:v>0.3231</x:v>
      </x:c>
      <x:c r="E5630" s="1" t="n">
        <x:v>1.05</x:v>
      </x:c>
      <x:c r="F5630" s="1" t="str">
        <x:v>https://api.octopus.energy/v1/products/AGILE-24-10-01/electricity-tariffs/E-1R-AGILE-24-10-01-G/standard-unit-rates/</x:v>
      </x:c>
    </x:row>
    <x:row r="5631" ht="21" customHeight="1">
      <x:c r="A5631" s="24" t="n">
        <x:v>46265.8125</x:v>
      </x:c>
      <x:c r="B5631" s="6" t="n">
        <x:v>0.34090000000000004</x:v>
      </x:c>
      <x:c r="C5631" s="6" t="n">
        <x:v>0.1821</x:v>
      </x:c>
      <x:c r="D5631" s="6" t="n">
        <x:f>B5631</x:f>
        <x:v>0.34090000000000004</x:v>
      </x:c>
      <x:c r="E5631" s="1" t="n">
        <x:v>1.05</x:v>
      </x:c>
      <x:c r="F5631" s="1" t="str">
        <x:v>https://api.octopus.energy/v1/products/AGILE-24-10-01/electricity-tariffs/E-1R-AGILE-24-10-01-G/standard-unit-rates/</x:v>
      </x:c>
    </x:row>
    <x:row r="5632" ht="21" customHeight="1">
      <x:c r="A5632" s="24" t="n">
        <x:v>46265.833333333336</x:v>
      </x:c>
      <x:c r="B5632" s="6" t="n">
        <x:v>0.2984</x:v>
      </x:c>
      <x:c r="C5632" s="6" t="n">
        <x:v>0.16269999999999998</x:v>
      </x:c>
      <x:c r="D5632" s="6" t="n">
        <x:f>B5632</x:f>
        <x:v>0.2984</x:v>
      </x:c>
      <x:c r="E5632" s="1" t="n">
        <x:v>1.05</x:v>
      </x:c>
      <x:c r="F5632" s="1" t="str">
        <x:v>https://api.octopus.energy/v1/products/AGILE-24-10-01/electricity-tariffs/E-1R-AGILE-24-10-01-G/standard-unit-rates/</x:v>
      </x:c>
    </x:row>
    <x:row r="5633" ht="21" customHeight="1">
      <x:c r="A5633" s="24" t="n">
        <x:v>46265.854166666664</x:v>
      </x:c>
      <x:c r="B5633" s="6" t="n">
        <x:v>0.3059</x:v>
      </x:c>
      <x:c r="C5633" s="6" t="n">
        <x:v>0.1661</x:v>
      </x:c>
      <x:c r="D5633" s="6" t="n">
        <x:f>B5633</x:f>
        <x:v>0.3059</x:v>
      </x:c>
      <x:c r="E5633" s="1" t="n">
        <x:v>1.05</x:v>
      </x:c>
      <x:c r="F5633" s="1" t="str">
        <x:v>https://api.octopus.energy/v1/products/AGILE-24-10-01/electricity-tariffs/E-1R-AGILE-24-10-01-G/standard-unit-rates/</x:v>
      </x:c>
    </x:row>
    <x:row r="5634" ht="21" customHeight="1">
      <x:c r="A5634" s="24" t="n">
        <x:v>46265.875</x:v>
      </x:c>
      <x:c r="B5634" s="6" t="n">
        <x:v>0.2889</x:v>
      </x:c>
      <x:c r="C5634" s="6" t="n">
        <x:v>0.1583</x:v>
      </x:c>
      <x:c r="D5634" s="6" t="n">
        <x:f>B5634</x:f>
        <x:v>0.2889</x:v>
      </x:c>
      <x:c r="E5634" s="1" t="n">
        <x:v>1.05</x:v>
      </x:c>
      <x:c r="F5634" s="1" t="str">
        <x:v>https://api.octopus.energy/v1/products/AGILE-24-10-01/electricity-tariffs/E-1R-AGILE-24-10-01-G/standard-unit-rates/</x:v>
      </x:c>
    </x:row>
    <x:row r="5635" ht="21" customHeight="1">
      <x:c r="A5635" s="24" t="n">
        <x:v>46265.895833333336</x:v>
      </x:c>
      <x:c r="B5635" s="6" t="n">
        <x:v>0.2808</x:v>
      </x:c>
      <x:c r="C5635" s="6" t="n">
        <x:v>0.15460000000000002</x:v>
      </x:c>
      <x:c r="D5635" s="6" t="n">
        <x:f>B5635</x:f>
        <x:v>0.2808</x:v>
      </x:c>
      <x:c r="E5635" s="1" t="n">
        <x:v>1.05</x:v>
      </x:c>
      <x:c r="F5635" s="1" t="str">
        <x:v>https://api.octopus.energy/v1/products/AGILE-24-10-01/electricity-tariffs/E-1R-AGILE-24-10-01-G/standard-unit-rates/</x:v>
      </x:c>
    </x:row>
    <x:row r="5636" ht="21" customHeight="1">
      <x:c r="A5636" s="24" t="n">
        <x:v>46265.916666666664</x:v>
      </x:c>
      <x:c r="B5636" s="6" t="n">
        <x:v>0.2801</x:v>
      </x:c>
      <x:c r="C5636" s="6" t="n">
        <x:v>0.1543</x:v>
      </x:c>
      <x:c r="D5636" s="6" t="n">
        <x:f>B5636</x:f>
        <x:v>0.2801</x:v>
      </x:c>
      <x:c r="E5636" s="1" t="n">
        <x:v>1.05</x:v>
      </x:c>
      <x:c r="F5636" s="1" t="str">
        <x:v>https://api.octopus.energy/v1/products/AGILE-24-10-01/electricity-tariffs/E-1R-AGILE-24-10-01-G/standard-unit-rates/</x:v>
      </x:c>
    </x:row>
    <x:row r="5637" ht="21" customHeight="1">
      <x:c r="A5637" s="24" t="n">
        <x:v>46265.9375</x:v>
      </x:c>
      <x:c r="B5637" s="6" t="n">
        <x:v>0.2528</x:v>
      </x:c>
      <x:c r="C5637" s="6" t="n">
        <x:v>0.1418</x:v>
      </x:c>
      <x:c r="D5637" s="6" t="n">
        <x:f>B5637</x:f>
        <x:v>0.2528</x:v>
      </x:c>
      <x:c r="E5637" s="1" t="n">
        <x:v>1.05</x:v>
      </x:c>
      <x:c r="F5637" s="1" t="str">
        <x:v>https://api.octopus.energy/v1/products/AGILE-24-10-01/electricity-tariffs/E-1R-AGILE-24-10-01-G/standard-unit-rates/</x:v>
      </x:c>
    </x:row>
    <x:row r="5638" ht="21" customHeight="1">
      <x:c r="A5638" s="24" t="n">
        <x:v>46266</x:v>
      </x:c>
      <x:c r="B5638" s="6" t="n">
        <x:v>0.2648</x:v>
      </x:c>
      <x:c r="C5638" s="6" t="n">
        <x:v>0.14730000000000001</x:v>
      </x:c>
      <x:c r="D5638" s="6" t="n">
        <x:f>B5638</x:f>
        <x:v>0.2648</x:v>
      </x:c>
      <x:c r="E5638" s="1" t="n">
        <x:v>1.05</x:v>
      </x:c>
      <x:c r="F5638" s="1" t="str">
        <x:v>https://api.octopus.energy/v1/products/AGILE-24-10-01/electricity-tariffs/E-1R-AGILE-24-10-01-G/standard-unit-rates/</x:v>
      </x:c>
    </x:row>
    <x:row r="5639" ht="21" customHeight="1">
      <x:c r="A5639" s="24" t="n">
        <x:v>46265.979166666664</x:v>
      </x:c>
      <x:c r="B5639" s="6" t="n">
        <x:v>0.26899999999999996</x:v>
      </x:c>
      <x:c r="C5639" s="6" t="n">
        <x:v>0.1493</x:v>
      </x:c>
      <x:c r="D5639" s="6" t="n">
        <x:f>B5639</x:f>
        <x:v>0.26899999999999996</x:v>
      </x:c>
      <x:c r="E5639" s="1" t="n">
        <x:v>1.05</x:v>
      </x:c>
      <x:c r="F5639" s="1" t="str">
        <x:v>https://api.octopus.energy/v1/products/AGILE-24-10-01/electricity-tariffs/E-1R-AGILE-24-10-01-G/standard-unit-rates/</x:v>
      </x:c>
    </x:row>
    <x:row r="5640" ht="21" customHeight="1">
      <x:c r="A5640" s="24" t="n">
        <x:v>46266</x:v>
      </x:c>
      <x:c r="B5640" s="6" t="n">
        <x:v>0.268</x:v>
      </x:c>
      <x:c r="C5640" s="6" t="n">
        <x:v>0.14880000000000002</x:v>
      </x:c>
      <x:c r="D5640" s="6" t="n">
        <x:f>B5640</x:f>
        <x:v>0.268</x:v>
      </x:c>
      <x:c r="E5640" s="1" t="n">
        <x:v>1.05</x:v>
      </x:c>
      <x:c r="F5640" s="1" t="str">
        <x:v>https://api.octopus.energy/v1/products/AGILE-24-10-01/electricity-tariffs/E-1R-AGILE-24-10-01-G/standard-unit-rates/</x:v>
      </x:c>
    </x:row>
    <x:row r="5641" ht="21" customHeight="1">
      <x:c r="A5641" s="24" t="n">
        <x:v>46266.020833333336</x:v>
      </x:c>
      <x:c r="B5641" s="6" t="n">
        <x:v>0.2675</x:v>
      </x:c>
      <x:c r="C5641" s="6" t="n">
        <x:v>0.1485</x:v>
      </x:c>
      <x:c r="D5641" s="6" t="n">
        <x:f>B5641</x:f>
        <x:v>0.2675</x:v>
      </x:c>
      <x:c r="E5641" s="1" t="n">
        <x:v>1.05</x:v>
      </x:c>
      <x:c r="F5641" s="1" t="str">
        <x:v>https://api.octopus.energy/v1/products/AGILE-24-10-01/electricity-tariffs/E-1R-AGILE-24-10-01-G/standard-unit-rates/</x:v>
      </x:c>
    </x:row>
    <x:row r="5642" ht="21" customHeight="1">
      <x:c r="A5642" s="24" t="n">
        <x:v>46266.041666666664</x:v>
      </x:c>
      <x:c r="B5642" s="6" t="n">
        <x:v>0.24710000000000001</x:v>
      </x:c>
      <x:c r="C5642" s="6" t="n">
        <x:v>0.1392</x:v>
      </x:c>
      <x:c r="D5642" s="6" t="n">
        <x:f>B5642</x:f>
        <x:v>0.24710000000000001</x:v>
      </x:c>
      <x:c r="E5642" s="1" t="n">
        <x:v>1.05</x:v>
      </x:c>
      <x:c r="F5642" s="1" t="str">
        <x:v>https://api.octopus.energy/v1/products/AGILE-24-10-01/electricity-tariffs/E-1R-AGILE-24-10-01-G/standard-unit-rates/</x:v>
      </x:c>
    </x:row>
    <x:row r="5643" ht="21" customHeight="1">
      <x:c r="A5643" s="24" t="n">
        <x:v>46266.0625</x:v>
      </x:c>
      <x:c r="B5643" s="6" t="n">
        <x:v>0.2421</x:v>
      </x:c>
      <x:c r="C5643" s="6" t="n">
        <x:v>0.13699999999999998</x:v>
      </x:c>
      <x:c r="D5643" s="6" t="n">
        <x:f>B5643</x:f>
        <x:v>0.2421</x:v>
      </x:c>
      <x:c r="E5643" s="1" t="n">
        <x:v>1.05</x:v>
      </x:c>
      <x:c r="F5643" s="1" t="str">
        <x:v>https://api.octopus.energy/v1/products/AGILE-24-10-01/electricity-tariffs/E-1R-AGILE-24-10-01-G/standard-unit-rates/</x:v>
      </x:c>
    </x:row>
    <x:row r="5644" ht="21" customHeight="1">
      <x:c r="A5644" s="24" t="n">
        <x:v>46266.083333333336</x:v>
      </x:c>
      <x:c r="B5644" s="6" t="n">
        <x:v>0.2427</x:v>
      </x:c>
      <x:c r="C5644" s="6" t="n">
        <x:v>0.13720000000000002</x:v>
      </x:c>
      <x:c r="D5644" s="6" t="n">
        <x:f>B5644</x:f>
        <x:v>0.2427</x:v>
      </x:c>
      <x:c r="E5644" s="1" t="n">
        <x:v>1.05</x:v>
      </x:c>
      <x:c r="F5644" s="1" t="str">
        <x:v>https://api.octopus.energy/v1/products/AGILE-24-10-01/electricity-tariffs/E-1R-AGILE-24-10-01-G/standard-unit-rates/</x:v>
      </x:c>
    </x:row>
    <x:row r="5645" ht="21" customHeight="1">
      <x:c r="A5645" s="24" t="n">
        <x:v>46266.104166666664</x:v>
      </x:c>
      <x:c r="B5645" s="6" t="n">
        <x:v>0.24170000000000003</x:v>
      </x:c>
      <x:c r="C5645" s="6" t="n">
        <x:v>0.1368</x:v>
      </x:c>
      <x:c r="D5645" s="6" t="n">
        <x:f>B5645</x:f>
        <x:v>0.24170000000000003</x:v>
      </x:c>
      <x:c r="E5645" s="1" t="n">
        <x:v>1.05</x:v>
      </x:c>
      <x:c r="F5645" s="1" t="str">
        <x:v>https://api.octopus.energy/v1/products/AGILE-24-10-01/electricity-tariffs/E-1R-AGILE-24-10-01-G/standard-unit-rates/</x:v>
      </x:c>
    </x:row>
    <x:row r="5646" ht="21" customHeight="1">
      <x:c r="A5646" s="24" t="n">
        <x:v>46266.125</x:v>
      </x:c>
      <x:c r="B5646" s="6" t="n">
        <x:v>0.2389</x:v>
      </x:c>
      <x:c r="C5646" s="6" t="n">
        <x:v>0.1355</x:v>
      </x:c>
      <x:c r="D5646" s="6" t="n">
        <x:f>B5646</x:f>
        <x:v>0.2389</x:v>
      </x:c>
      <x:c r="E5646" s="1" t="n">
        <x:v>1.05</x:v>
      </x:c>
      <x:c r="F5646" s="1" t="str">
        <x:v>https://api.octopus.energy/v1/products/AGILE-24-10-01/electricity-tariffs/E-1R-AGILE-24-10-01-G/standard-unit-rates/</x:v>
      </x:c>
    </x:row>
    <x:row r="5647" ht="21" customHeight="1">
      <x:c r="A5647" s="24" t="n">
        <x:v>46266.145833333336</x:v>
      </x:c>
      <x:c r="B5647" s="6" t="n">
        <x:v>0.23120000000000002</x:v>
      </x:c>
      <x:c r="C5647" s="6" t="n">
        <x:v>0.132</x:v>
      </x:c>
      <x:c r="D5647" s="6" t="n">
        <x:f>B5647</x:f>
        <x:v>0.23120000000000002</x:v>
      </x:c>
      <x:c r="E5647" s="1" t="n">
        <x:v>1.05</x:v>
      </x:c>
      <x:c r="F5647" s="1" t="str">
        <x:v>https://api.octopus.energy/v1/products/AGILE-24-10-01/electricity-tariffs/E-1R-AGILE-24-10-01-G/standard-unit-rates/</x:v>
      </x:c>
    </x:row>
    <x:row r="5648" ht="21" customHeight="1">
      <x:c r="A5648" s="24" t="n">
        <x:v>46266.166666666664</x:v>
      </x:c>
      <x:c r="B5648" s="6" t="n">
        <x:v>0.2541</x:v>
      </x:c>
      <x:c r="C5648" s="6" t="n">
        <x:v>0.1424</x:v>
      </x:c>
      <x:c r="D5648" s="6" t="n">
        <x:f>B5648</x:f>
        <x:v>0.2541</x:v>
      </x:c>
      <x:c r="E5648" s="1" t="n">
        <x:v>1.05</x:v>
      </x:c>
      <x:c r="F5648" s="1" t="str">
        <x:v>https://api.octopus.energy/v1/products/AGILE-24-10-01/electricity-tariffs/E-1R-AGILE-24-10-01-G/standard-unit-rates/</x:v>
      </x:c>
    </x:row>
    <x:row r="5649" ht="21" customHeight="1">
      <x:c r="A5649" s="24" t="n">
        <x:v>46266.1875</x:v>
      </x:c>
      <x:c r="B5649" s="6" t="n">
        <x:v>0.2526</x:v>
      </x:c>
      <x:c r="C5649" s="6" t="n">
        <x:v>0.1417</x:v>
      </x:c>
      <x:c r="D5649" s="6" t="n">
        <x:f>B5649</x:f>
        <x:v>0.2526</x:v>
      </x:c>
      <x:c r="E5649" s="1" t="n">
        <x:v>1.05</x:v>
      </x:c>
      <x:c r="F5649" s="1" t="str">
        <x:v>https://api.octopus.energy/v1/products/AGILE-24-10-01/electricity-tariffs/E-1R-AGILE-24-10-01-G/standard-unit-rates/</x:v>
      </x:c>
    </x:row>
    <x:row r="5650" ht="21" customHeight="1">
      <x:c r="A5650" s="24" t="n">
        <x:v>46266.208333333336</x:v>
      </x:c>
      <x:c r="B5650" s="6" t="n">
        <x:v>0.3109</x:v>
      </x:c>
      <x:c r="C5650" s="6" t="n">
        <x:v>0.1684</x:v>
      </x:c>
      <x:c r="D5650" s="6" t="n">
        <x:f>B5650</x:f>
        <x:v>0.3109</x:v>
      </x:c>
      <x:c r="E5650" s="1" t="n">
        <x:v>1.05</x:v>
      </x:c>
      <x:c r="F5650" s="1" t="str">
        <x:v>https://api.octopus.energy/v1/products/AGILE-24-10-01/electricity-tariffs/E-1R-AGILE-24-10-01-G/standard-unit-rates/</x:v>
      </x:c>
    </x:row>
    <x:row r="5651" ht="21" customHeight="1">
      <x:c r="A5651" s="24" t="n">
        <x:v>46266.229166666664</x:v>
      </x:c>
      <x:c r="B5651" s="6" t="n">
        <x:v>0.3084</x:v>
      </x:c>
      <x:c r="C5651" s="6" t="n">
        <x:v>0.1672</x:v>
      </x:c>
      <x:c r="D5651" s="6" t="n">
        <x:f>B5651</x:f>
        <x:v>0.3084</x:v>
      </x:c>
      <x:c r="E5651" s="1" t="n">
        <x:v>1.05</x:v>
      </x:c>
      <x:c r="F5651" s="1" t="str">
        <x:v>https://api.octopus.energy/v1/products/AGILE-24-10-01/electricity-tariffs/E-1R-AGILE-24-10-01-G/standard-unit-rates/</x:v>
      </x:c>
    </x:row>
    <x:row r="5652" ht="21" customHeight="1">
      <x:c r="A5652" s="24" t="n">
        <x:v>46266.25</x:v>
      </x:c>
      <x:c r="B5652" s="6" t="n">
        <x:v>0.32799999999999996</x:v>
      </x:c>
      <x:c r="C5652" s="6" t="n">
        <x:v>0.17620000000000002</x:v>
      </x:c>
      <x:c r="D5652" s="6" t="n">
        <x:f>B5652</x:f>
        <x:v>0.32799999999999996</x:v>
      </x:c>
      <x:c r="E5652" s="1" t="n">
        <x:v>1.05</x:v>
      </x:c>
      <x:c r="F5652" s="1" t="str">
        <x:v>https://api.octopus.energy/v1/products/AGILE-24-10-01/electricity-tariffs/E-1R-AGILE-24-10-01-G/standard-unit-rates/</x:v>
      </x:c>
    </x:row>
    <x:row r="5653" ht="21" customHeight="1">
      <x:c r="A5653" s="24" t="n">
        <x:v>46266.270833333336</x:v>
      </x:c>
      <x:c r="B5653" s="6" t="n">
        <x:v>0.3382</x:v>
      </x:c>
      <x:c r="C5653" s="6" t="n">
        <x:v>0.1809</x:v>
      </x:c>
      <x:c r="D5653" s="6" t="n">
        <x:f>B5653</x:f>
        <x:v>0.3382</x:v>
      </x:c>
      <x:c r="E5653" s="1" t="n">
        <x:v>1.05</x:v>
      </x:c>
      <x:c r="F5653" s="1" t="str">
        <x:v>https://api.octopus.energy/v1/products/AGILE-24-10-01/electricity-tariffs/E-1R-AGILE-24-10-01-G/standard-unit-rates/</x:v>
      </x:c>
    </x:row>
    <x:row r="5654" ht="21" customHeight="1">
      <x:c r="A5654" s="24" t="n">
        <x:v>46266.291666666664</x:v>
      </x:c>
      <x:c r="B5654" s="6" t="n">
        <x:v>0.3091</x:v>
      </x:c>
      <x:c r="C5654" s="6" t="n">
        <x:v>0.16760000000000003</x:v>
      </x:c>
      <x:c r="D5654" s="6" t="n">
        <x:f>B5654</x:f>
        <x:v>0.3091</x:v>
      </x:c>
      <x:c r="E5654" s="1" t="n">
        <x:v>1.05</x:v>
      </x:c>
      <x:c r="F5654" s="1" t="str">
        <x:v>https://api.octopus.energy/v1/products/AGILE-24-10-01/electricity-tariffs/E-1R-AGILE-24-10-01-G/standard-unit-rates/</x:v>
      </x:c>
    </x:row>
    <x:row r="5655" ht="21" customHeight="1">
      <x:c r="A5655" s="24" t="n">
        <x:v>46266.3125</x:v>
      </x:c>
      <x:c r="B5655" s="6" t="n">
        <x:v>0.3211</x:v>
      </x:c>
      <x:c r="C5655" s="6" t="n">
        <x:v>0.17300000000000001</x:v>
      </x:c>
      <x:c r="D5655" s="6" t="n">
        <x:f>B5655</x:f>
        <x:v>0.3211</x:v>
      </x:c>
      <x:c r="E5655" s="1" t="n">
        <x:v>1.05</x:v>
      </x:c>
      <x:c r="F5655" s="1" t="str">
        <x:v>https://api.octopus.energy/v1/products/AGILE-24-10-01/electricity-tariffs/E-1R-AGILE-24-10-01-G/standard-unit-rates/</x:v>
      </x:c>
    </x:row>
    <x:row r="5656" ht="21" customHeight="1">
      <x:c r="A5656" s="24" t="n">
        <x:v>46266.333333333336</x:v>
      </x:c>
      <x:c r="B5656" s="6" t="n">
        <x:v>0.2766</x:v>
      </x:c>
      <x:c r="C5656" s="6" t="n">
        <x:v>0.1527</x:v>
      </x:c>
      <x:c r="D5656" s="6" t="n">
        <x:f>B5656</x:f>
        <x:v>0.2766</x:v>
      </x:c>
      <x:c r="E5656" s="1" t="n">
        <x:v>1.05</x:v>
      </x:c>
      <x:c r="F5656" s="1" t="str">
        <x:v>https://api.octopus.energy/v1/products/AGILE-24-10-01/electricity-tariffs/E-1R-AGILE-24-10-01-G/standard-unit-rates/</x:v>
      </x:c>
    </x:row>
    <x:row r="5657" ht="21" customHeight="1">
      <x:c r="A5657" s="24" t="n">
        <x:v>46266.354166666664</x:v>
      </x:c>
      <x:c r="B5657" s="6" t="n">
        <x:v>0.2494</x:v>
      </x:c>
      <x:c r="C5657" s="6" t="n">
        <x:v>0.14029999999999998</x:v>
      </x:c>
      <x:c r="D5657" s="6" t="n">
        <x:f>B5657</x:f>
        <x:v>0.2494</x:v>
      </x:c>
      <x:c r="E5657" s="1" t="n">
        <x:v>1.05</x:v>
      </x:c>
      <x:c r="F5657" s="1" t="str">
        <x:v>https://api.octopus.energy/v1/products/AGILE-24-10-01/electricity-tariffs/E-1R-AGILE-24-10-01-G/standard-unit-rates/</x:v>
      </x:c>
    </x:row>
    <x:row r="5658" ht="21" customHeight="1">
      <x:c r="A5658" s="24" t="n">
        <x:v>46266.375</x:v>
      </x:c>
      <x:c r="B5658" s="6" t="n">
        <x:v>0.2389</x:v>
      </x:c>
      <x:c r="C5658" s="6" t="n">
        <x:v>0.1355</x:v>
      </x:c>
      <x:c r="D5658" s="6" t="n">
        <x:f>B5658</x:f>
        <x:v>0.2389</x:v>
      </x:c>
      <x:c r="E5658" s="1" t="n">
        <x:v>1.05</x:v>
      </x:c>
      <x:c r="F5658" s="1" t="str">
        <x:v>https://api.octopus.energy/v1/products/AGILE-24-10-01/electricity-tariffs/E-1R-AGILE-24-10-01-G/standard-unit-rates/</x:v>
      </x:c>
    </x:row>
    <x:row r="5659" ht="21" customHeight="1">
      <x:c r="A5659" s="24" t="n">
        <x:v>46266.395833333336</x:v>
      </x:c>
      <x:c r="B5659" s="6" t="n">
        <x:v>0.1866</x:v>
      </x:c>
      <x:c r="C5659" s="6" t="n">
        <x:v>0.1116</x:v>
      </x:c>
      <x:c r="D5659" s="6" t="n">
        <x:f>B5659</x:f>
        <x:v>0.1866</x:v>
      </x:c>
      <x:c r="E5659" s="1" t="n">
        <x:v>1.05</x:v>
      </x:c>
      <x:c r="F5659" s="1" t="str">
        <x:v>https://api.octopus.energy/v1/products/AGILE-24-10-01/electricity-tariffs/E-1R-AGILE-24-10-01-G/standard-unit-rates/</x:v>
      </x:c>
    </x:row>
    <x:row r="5660" ht="21" customHeight="1">
      <x:c r="A5660" s="24" t="n">
        <x:v>46266.416666666664</x:v>
      </x:c>
      <x:c r="B5660" s="6" t="n">
        <x:v>0.15039999999999998</x:v>
      </x:c>
      <x:c r="C5660" s="6" t="n">
        <x:v>0.095</x:v>
      </x:c>
      <x:c r="D5660" s="6" t="n">
        <x:f>B5660</x:f>
        <x:v>0.15039999999999998</x:v>
      </x:c>
      <x:c r="E5660" s="1" t="n">
        <x:v>1.05</x:v>
      </x:c>
      <x:c r="F5660" s="1" t="str">
        <x:v>https://api.octopus.energy/v1/products/AGILE-24-10-01/electricity-tariffs/E-1R-AGILE-24-10-01-G/standard-unit-rates/</x:v>
      </x:c>
    </x:row>
    <x:row r="5661" ht="21" customHeight="1">
      <x:c r="A5661" s="24" t="n">
        <x:v>46266.4375</x:v>
      </x:c>
      <x:c r="B5661" s="6" t="n">
        <x:v>0.1493</x:v>
      </x:c>
      <x:c r="C5661" s="6" t="n">
        <x:v>0.09449999999999999</x:v>
      </x:c>
      <x:c r="D5661" s="6" t="n">
        <x:f>B5661</x:f>
        <x:v>0.1493</x:v>
      </x:c>
      <x:c r="E5661" s="1" t="n">
        <x:v>1.05</x:v>
      </x:c>
      <x:c r="F5661" s="1" t="str">
        <x:v>https://api.octopus.energy/v1/products/AGILE-24-10-01/electricity-tariffs/E-1R-AGILE-24-10-01-G/standard-unit-rates/</x:v>
      </x:c>
    </x:row>
    <x:row r="5662" ht="21" customHeight="1">
      <x:c r="A5662" s="24" t="n">
        <x:v>46266.458333333336</x:v>
      </x:c>
      <x:c r="B5662" s="6" t="n">
        <x:v>0.1052</x:v>
      </x:c>
      <x:c r="C5662" s="6" t="n">
        <x:v>0.07440000000000001</x:v>
      </x:c>
      <x:c r="D5662" s="6" t="n">
        <x:f>B5662</x:f>
        <x:v>0.1052</x:v>
      </x:c>
      <x:c r="E5662" s="1" t="n">
        <x:v>1.05</x:v>
      </x:c>
      <x:c r="F5662" s="1" t="str">
        <x:v>https://api.octopus.energy/v1/products/AGILE-24-10-01/electricity-tariffs/E-1R-AGILE-24-10-01-G/standard-unit-rates/</x:v>
      </x:c>
    </x:row>
    <x:row r="5663" ht="21" customHeight="1">
      <x:c r="A5663" s="24" t="n">
        <x:v>46266.479166666664</x:v>
      </x:c>
      <x:c r="B5663" s="6" t="n">
        <x:v>0.0989</x:v>
      </x:c>
      <x:c r="C5663" s="6" t="n">
        <x:v>0.07150000000000001</x:v>
      </x:c>
      <x:c r="D5663" s="6" t="n">
        <x:f>B5663</x:f>
        <x:v>0.0989</x:v>
      </x:c>
      <x:c r="E5663" s="1" t="n">
        <x:v>1.05</x:v>
      </x:c>
      <x:c r="F5663" s="1" t="str">
        <x:v>https://api.octopus.energy/v1/products/AGILE-24-10-01/electricity-tariffs/E-1R-AGILE-24-10-01-G/standard-unit-rates/</x:v>
      </x:c>
    </x:row>
    <x:row r="5664" ht="21" customHeight="1">
      <x:c r="A5664" s="24" t="n">
        <x:v>46266.5</x:v>
      </x:c>
      <x:c r="B5664" s="6" t="n">
        <x:v>0.10310000000000001</x:v>
      </x:c>
      <x:c r="C5664" s="6" t="n">
        <x:v>0.07339999999999999</x:v>
      </x:c>
      <x:c r="D5664" s="6" t="n">
        <x:f>B5664</x:f>
        <x:v>0.10310000000000001</x:v>
      </x:c>
      <x:c r="E5664" s="1" t="n">
        <x:v>1.05</x:v>
      </x:c>
      <x:c r="F5664" s="1" t="str">
        <x:v>https://api.octopus.energy/v1/products/AGILE-24-10-01/electricity-tariffs/E-1R-AGILE-24-10-01-G/standard-unit-rates/</x:v>
      </x:c>
    </x:row>
    <x:row r="5665" ht="21" customHeight="1">
      <x:c r="A5665" s="24" t="n">
        <x:v>46266.520833333336</x:v>
      </x:c>
      <x:c r="B5665" s="6" t="n">
        <x:v>0.09759999999999999</x:v>
      </x:c>
      <x:c r="C5665" s="6" t="n">
        <x:v>0.0709</x:v>
      </x:c>
      <x:c r="D5665" s="6" t="n">
        <x:f>B5665</x:f>
        <x:v>0.09759999999999999</x:v>
      </x:c>
      <x:c r="E5665" s="1" t="n">
        <x:v>1.05</x:v>
      </x:c>
      <x:c r="F5665" s="1" t="str">
        <x:v>https://api.octopus.energy/v1/products/AGILE-24-10-01/electricity-tariffs/E-1R-AGILE-24-10-01-G/standard-unit-rates/</x:v>
      </x:c>
    </x:row>
    <x:row r="5666" ht="21" customHeight="1">
      <x:c r="A5666" s="24" t="n">
        <x:v>46266.541666666664</x:v>
      </x:c>
      <x:c r="B5666" s="6" t="n">
        <x:v>0.10310000000000001</x:v>
      </x:c>
      <x:c r="C5666" s="6" t="n">
        <x:v>0.07339999999999999</x:v>
      </x:c>
      <x:c r="D5666" s="6" t="n">
        <x:f>B5666</x:f>
        <x:v>0.10310000000000001</x:v>
      </x:c>
      <x:c r="E5666" s="1" t="n">
        <x:v>1.05</x:v>
      </x:c>
      <x:c r="F5666" s="1" t="str">
        <x:v>https://api.octopus.energy/v1/products/AGILE-24-10-01/electricity-tariffs/E-1R-AGILE-24-10-01-G/standard-unit-rates/</x:v>
      </x:c>
    </x:row>
    <x:row r="5667" ht="21" customHeight="1">
      <x:c r="A5667" s="24" t="n">
        <x:v>46266.5625</x:v>
      </x:c>
      <x:c r="B5667" s="6" t="n">
        <x:v>0.10310000000000001</x:v>
      </x:c>
      <x:c r="C5667" s="6" t="n">
        <x:v>0.07339999999999999</x:v>
      </x:c>
      <x:c r="D5667" s="6" t="n">
        <x:f>B5667</x:f>
        <x:v>0.10310000000000001</x:v>
      </x:c>
      <x:c r="E5667" s="1" t="n">
        <x:v>1.05</x:v>
      </x:c>
      <x:c r="F5667" s="1" t="str">
        <x:v>https://api.octopus.energy/v1/products/AGILE-24-10-01/electricity-tariffs/E-1R-AGILE-24-10-01-G/standard-unit-rates/</x:v>
      </x:c>
    </x:row>
    <x:row r="5668" ht="21" customHeight="1">
      <x:c r="A5668" s="24" t="n">
        <x:v>46266.583333333336</x:v>
      </x:c>
      <x:c r="B5668" s="6" t="n">
        <x:v>0.1052</x:v>
      </x:c>
      <x:c r="C5668" s="6" t="n">
        <x:v>0.07440000000000001</x:v>
      </x:c>
      <x:c r="D5668" s="6" t="n">
        <x:f>B5668</x:f>
        <x:v>0.1052</x:v>
      </x:c>
      <x:c r="E5668" s="1" t="n">
        <x:v>1.05</x:v>
      </x:c>
      <x:c r="F5668" s="1" t="str">
        <x:v>https://api.octopus.energy/v1/products/AGILE-24-10-01/electricity-tariffs/E-1R-AGILE-24-10-01-G/standard-unit-rates/</x:v>
      </x:c>
    </x:row>
    <x:row r="5669" ht="21" customHeight="1">
      <x:c r="A5669" s="24" t="n">
        <x:v>46266.604166666664</x:v>
      </x:c>
      <x:c r="B5669" s="6" t="n">
        <x:v>0.1124</x:v>
      </x:c>
      <x:c r="C5669" s="6" t="n">
        <x:v>0.07769999999999999</x:v>
      </x:c>
      <x:c r="D5669" s="6" t="n">
        <x:f>B5669</x:f>
        <x:v>0.1124</x:v>
      </x:c>
      <x:c r="E5669" s="1" t="n">
        <x:v>1.05</x:v>
      </x:c>
      <x:c r="F5669" s="1" t="str">
        <x:v>https://api.octopus.energy/v1/products/AGILE-24-10-01/electricity-tariffs/E-1R-AGILE-24-10-01-G/standard-unit-rates/</x:v>
      </x:c>
    </x:row>
    <x:row r="5670" ht="21" customHeight="1">
      <x:c r="A5670" s="24" t="n">
        <x:v>46266.625</x:v>
      </x:c>
      <x:c r="B5670" s="6" t="n">
        <x:v>0.1535</x:v>
      </x:c>
      <x:c r="C5670" s="6" t="n">
        <x:v>0.0964</x:v>
      </x:c>
      <x:c r="D5670" s="6" t="n">
        <x:f>B5670</x:f>
        <x:v>0.1535</x:v>
      </x:c>
      <x:c r="E5670" s="1" t="n">
        <x:v>1.05</x:v>
      </x:c>
      <x:c r="F5670" s="1" t="str">
        <x:v>https://api.octopus.energy/v1/products/AGILE-24-10-01/electricity-tariffs/E-1R-AGILE-24-10-01-G/standard-unit-rates/</x:v>
      </x:c>
    </x:row>
    <x:row r="5671" ht="21" customHeight="1">
      <x:c r="A5671" s="24" t="n">
        <x:v>46266.645833333336</x:v>
      </x:c>
      <x:c r="B5671" s="6" t="n">
        <x:v>0.15</x:v>
      </x:c>
      <x:c r="C5671" s="6" t="n">
        <x:v>0.09480000000000001</x:v>
      </x:c>
      <x:c r="D5671" s="6" t="n">
        <x:f>B5671</x:f>
        <x:v>0.15</x:v>
      </x:c>
      <x:c r="E5671" s="1" t="n">
        <x:v>1.05</x:v>
      </x:c>
      <x:c r="F5671" s="1" t="str">
        <x:v>https://api.octopus.energy/v1/products/AGILE-24-10-01/electricity-tariffs/E-1R-AGILE-24-10-01-G/standard-unit-rates/</x:v>
      </x:c>
    </x:row>
    <x:row r="5672" ht="21" customHeight="1">
      <x:c r="A5672" s="24" t="n">
        <x:v>46266.666666666664</x:v>
      </x:c>
      <x:c r="B5672" s="6" t="n">
        <x:v>0.342</x:v>
      </x:c>
      <x:c r="C5672" s="6" t="n">
        <x:v>0.1867</x:v>
      </x:c>
      <x:c r="D5672" s="6" t="n">
        <x:f>B5672</x:f>
        <x:v>0.342</x:v>
      </x:c>
      <x:c r="E5672" s="1" t="n">
        <x:v>1.05</x:v>
      </x:c>
      <x:c r="F5672" s="1" t="str">
        <x:v>https://api.octopus.energy/v1/products/AGILE-24-10-01/electricity-tariffs/E-1R-AGILE-24-10-01-G/standard-unit-rates/</x:v>
      </x:c>
    </x:row>
    <x:row r="5673" ht="21" customHeight="1">
      <x:c r="A5673" s="24" t="n">
        <x:v>46266.6875</x:v>
      </x:c>
      <x:c r="B5673" s="6" t="n">
        <x:v>0.3533</x:v>
      </x:c>
      <x:c r="C5673" s="6" t="n">
        <x:v>0.1918</x:v>
      </x:c>
      <x:c r="D5673" s="6" t="n">
        <x:f>B5673</x:f>
        <x:v>0.3533</x:v>
      </x:c>
      <x:c r="E5673" s="1" t="n">
        <x:v>1.05</x:v>
      </x:c>
      <x:c r="F5673" s="1" t="str">
        <x:v>https://api.octopus.energy/v1/products/AGILE-24-10-01/electricity-tariffs/E-1R-AGILE-24-10-01-G/standard-unit-rates/</x:v>
      </x:c>
    </x:row>
    <x:row r="5674" ht="21" customHeight="1">
      <x:c r="A5674" s="24" t="n">
        <x:v>46266.708333333336</x:v>
      </x:c>
      <x:c r="B5674" s="6" t="n">
        <x:v>0.41840000000000005</x:v>
      </x:c>
      <x:c r="C5674" s="6" t="n">
        <x:v>0.2216</x:v>
      </x:c>
      <x:c r="D5674" s="6" t="n">
        <x:f>B5674</x:f>
        <x:v>0.41840000000000005</x:v>
      </x:c>
      <x:c r="E5674" s="1" t="n">
        <x:v>1.05</x:v>
      </x:c>
      <x:c r="F5674" s="1" t="str">
        <x:v>https://api.octopus.energy/v1/products/AGILE-24-10-01/electricity-tariffs/E-1R-AGILE-24-10-01-G/standard-unit-rates/</x:v>
      </x:c>
    </x:row>
    <x:row r="5675" ht="21" customHeight="1">
      <x:c r="A5675" s="24" t="n">
        <x:v>46266.729166666664</x:v>
      </x:c>
      <x:c r="B5675" s="6" t="n">
        <x:v>0.4069</x:v>
      </x:c>
      <x:c r="C5675" s="6" t="n">
        <x:v>0.2163</x:v>
      </x:c>
      <x:c r="D5675" s="6" t="n">
        <x:f>B5675</x:f>
        <x:v>0.4069</x:v>
      </x:c>
      <x:c r="E5675" s="1" t="n">
        <x:v>1.05</x:v>
      </x:c>
      <x:c r="F5675" s="1" t="str">
        <x:v>https://api.octopus.energy/v1/products/AGILE-24-10-01/electricity-tariffs/E-1R-AGILE-24-10-01-G/standard-unit-rates/</x:v>
      </x:c>
    </x:row>
    <x:row r="5676" ht="21" customHeight="1">
      <x:c r="A5676" s="24" t="n">
        <x:v>46266.75</x:v>
      </x:c>
      <x:c r="B5676" s="6" t="n">
        <x:v>0.4656</x:v>
      </x:c>
      <x:c r="C5676" s="6" t="n">
        <x:v>0.2432</x:v>
      </x:c>
      <x:c r="D5676" s="6" t="n">
        <x:f>B5676</x:f>
        <x:v>0.4656</x:v>
      </x:c>
      <x:c r="E5676" s="1" t="n">
        <x:v>1.05</x:v>
      </x:c>
      <x:c r="F5676" s="1" t="str">
        <x:v>https://api.octopus.energy/v1/products/AGILE-24-10-01/electricity-tariffs/E-1R-AGILE-24-10-01-G/standard-unit-rates/</x:v>
      </x:c>
    </x:row>
    <x:row r="5677" ht="21" customHeight="1">
      <x:c r="A5677" s="24" t="n">
        <x:v>46266.770833333336</x:v>
      </x:c>
      <x:c r="B5677" s="6" t="n">
        <x:v>0.46880000000000005</x:v>
      </x:c>
      <x:c r="C5677" s="6" t="n">
        <x:v>0.2446</x:v>
      </x:c>
      <x:c r="D5677" s="6" t="n">
        <x:f>B5677</x:f>
        <x:v>0.46880000000000005</x:v>
      </x:c>
      <x:c r="E5677" s="1" t="n">
        <x:v>1.05</x:v>
      </x:c>
      <x:c r="F5677" s="1" t="str">
        <x:v>https://api.octopus.energy/v1/products/AGILE-24-10-01/electricity-tariffs/E-1R-AGILE-24-10-01-G/standard-unit-rates/</x:v>
      </x:c>
    </x:row>
    <x:row r="5678" ht="21" customHeight="1">
      <x:c r="A5678" s="24" t="n">
        <x:v>46266.791666666664</x:v>
      </x:c>
      <x:c r="B5678" s="6" t="n">
        <x:v>0.36</x:v>
      </x:c>
      <x:c r="C5678" s="6" t="n">
        <x:v>0.1909</x:v>
      </x:c>
      <x:c r="D5678" s="6" t="n">
        <x:f>B5678</x:f>
        <x:v>0.36</x:v>
      </x:c>
      <x:c r="E5678" s="1" t="n">
        <x:v>1.05</x:v>
      </x:c>
      <x:c r="F5678" s="1" t="str">
        <x:v>https://api.octopus.energy/v1/products/AGILE-24-10-01/electricity-tariffs/E-1R-AGILE-24-10-01-G/standard-unit-rates/</x:v>
      </x:c>
    </x:row>
    <x:row r="5679" ht="21" customHeight="1">
      <x:c r="A5679" s="24" t="n">
        <x:v>46266.8125</x:v>
      </x:c>
      <x:c r="B5679" s="6" t="n">
        <x:v>0.36560000000000004</x:v>
      </x:c>
      <x:c r="C5679" s="6" t="n">
        <x:v>0.1934</x:v>
      </x:c>
      <x:c r="D5679" s="6" t="n">
        <x:f>B5679</x:f>
        <x:v>0.36560000000000004</x:v>
      </x:c>
      <x:c r="E5679" s="1" t="n">
        <x:v>1.05</x:v>
      </x:c>
      <x:c r="F5679" s="1" t="str">
        <x:v>https://api.octopus.energy/v1/products/AGILE-24-10-01/electricity-tariffs/E-1R-AGILE-24-10-01-G/standard-unit-rates/</x:v>
      </x:c>
    </x:row>
    <x:row r="5680" ht="21" customHeight="1">
      <x:c r="A5680" s="24" t="n">
        <x:v>46266.833333333336</x:v>
      </x:c>
      <x:c r="B5680" s="6" t="n">
        <x:v>0.3592</x:v>
      </x:c>
      <x:c r="C5680" s="6" t="n">
        <x:v>0.1905</x:v>
      </x:c>
      <x:c r="D5680" s="6" t="n">
        <x:f>B5680</x:f>
        <x:v>0.3592</x:v>
      </x:c>
      <x:c r="E5680" s="1" t="n">
        <x:v>1.05</x:v>
      </x:c>
      <x:c r="F5680" s="1" t="str">
        <x:v>https://api.octopus.energy/v1/products/AGILE-24-10-01/electricity-tariffs/E-1R-AGILE-24-10-01-G/standard-unit-rates/</x:v>
      </x:c>
    </x:row>
    <x:row r="5681" ht="21" customHeight="1">
      <x:c r="A5681" s="24" t="n">
        <x:v>46266.854166666664</x:v>
      </x:c>
      <x:c r="B5681" s="6" t="n">
        <x:v>0.3481</x:v>
      </x:c>
      <x:c r="C5681" s="6" t="n">
        <x:v>0.18539999999999998</x:v>
      </x:c>
      <x:c r="D5681" s="6" t="n">
        <x:f>B5681</x:f>
        <x:v>0.3481</x:v>
      </x:c>
      <x:c r="E5681" s="1" t="n">
        <x:v>1.05</x:v>
      </x:c>
      <x:c r="F5681" s="1" t="str">
        <x:v>https://api.octopus.energy/v1/products/AGILE-24-10-01/electricity-tariffs/E-1R-AGILE-24-10-01-G/standard-unit-rates/</x:v>
      </x:c>
    </x:row>
    <x:row r="5682" ht="21" customHeight="1">
      <x:c r="A5682" s="24" t="n">
        <x:v>46266.875</x:v>
      </x:c>
      <x:c r="B5682" s="6" t="n">
        <x:v>0.32939999999999997</x:v>
      </x:c>
      <x:c r="C5682" s="6" t="n">
        <x:v>0.1769</x:v>
      </x:c>
      <x:c r="D5682" s="6" t="n">
        <x:f>B5682</x:f>
        <x:v>0.32939999999999997</x:v>
      </x:c>
      <x:c r="E5682" s="1" t="n">
        <x:v>1.05</x:v>
      </x:c>
      <x:c r="F5682" s="1" t="str">
        <x:v>https://api.octopus.energy/v1/products/AGILE-24-10-01/electricity-tariffs/E-1R-AGILE-24-10-01-G/standard-unit-rates/</x:v>
      </x:c>
    </x:row>
    <x:row r="5683" ht="21" customHeight="1">
      <x:c r="A5683" s="24" t="n">
        <x:v>46266.895833333336</x:v>
      </x:c>
      <x:c r="B5683" s="6" t="n">
        <x:v>0.3089</x:v>
      </x:c>
      <x:c r="C5683" s="6" t="n">
        <x:v>0.1675</x:v>
      </x:c>
      <x:c r="D5683" s="6" t="n">
        <x:f>B5683</x:f>
        <x:v>0.3089</x:v>
      </x:c>
      <x:c r="E5683" s="1" t="n">
        <x:v>1.05</x:v>
      </x:c>
      <x:c r="F5683" s="1" t="str">
        <x:v>https://api.octopus.energy/v1/products/AGILE-24-10-01/electricity-tariffs/E-1R-AGILE-24-10-01-G/standard-unit-rates/</x:v>
      </x:c>
    </x:row>
    <x:row r="5684" ht="21" customHeight="1">
      <x:c r="A5684" s="24" t="n">
        <x:v>46266.916666666664</x:v>
      </x:c>
      <x:c r="B5684" s="6" t="n">
        <x:v>0.2964</x:v>
      </x:c>
      <x:c r="C5684" s="6" t="n">
        <x:v>0.1618</x:v>
      </x:c>
      <x:c r="D5684" s="6" t="n">
        <x:f>B5684</x:f>
        <x:v>0.2964</x:v>
      </x:c>
      <x:c r="E5684" s="1" t="n">
        <x:v>1.05</x:v>
      </x:c>
      <x:c r="F5684" s="1" t="str">
        <x:v>https://api.octopus.energy/v1/products/AGILE-24-10-01/electricity-tariffs/E-1R-AGILE-24-10-01-G/standard-unit-rates/</x:v>
      </x:c>
    </x:row>
    <x:row r="5685" ht="21" customHeight="1">
      <x:c r="A5685" s="24" t="n">
        <x:v>46266.9375</x:v>
      </x:c>
      <x:c r="B5685" s="6" t="n">
        <x:v>0.2837</x:v>
      </x:c>
      <x:c r="C5685" s="6" t="n">
        <x:v>0.1559</x:v>
      </x:c>
      <x:c r="D5685" s="6" t="n">
        <x:f>B5685</x:f>
        <x:v>0.2837</x:v>
      </x:c>
      <x:c r="E5685" s="1" t="n">
        <x:v>1.05</x:v>
      </x:c>
      <x:c r="F5685" s="1" t="str">
        <x:v>https://api.octopus.energy/v1/products/AGILE-24-10-01/electricity-tariffs/E-1R-AGILE-24-10-01-G/standard-unit-rates/</x:v>
      </x:c>
    </x:row>
    <x:row r="5686" ht="21" customHeight="1">
      <x:c r="A5686" s="24" t="n">
        <x:v>46267</x:v>
      </x:c>
      <x:c r="B5686" s="6" t="n">
        <x:v>0.2753</x:v>
      </x:c>
      <x:c r="C5686" s="6" t="n">
        <x:v>0.1521</x:v>
      </x:c>
      <x:c r="D5686" s="6" t="n">
        <x:f>B5686</x:f>
        <x:v>0.2753</x:v>
      </x:c>
      <x:c r="E5686" s="1" t="n">
        <x:v>1.05</x:v>
      </x:c>
      <x:c r="F5686" s="1" t="str">
        <x:v>https://api.octopus.energy/v1/products/AGILE-24-10-01/electricity-tariffs/E-1R-AGILE-24-10-01-G/standard-unit-rates/</x:v>
      </x:c>
    </x:row>
    <x:row r="5687" ht="21" customHeight="1">
      <x:c r="A5687" s="24" t="n">
        <x:v>46266.979166666664</x:v>
      </x:c>
      <x:c r="B5687" s="6" t="n">
        <x:v>0.2711</x:v>
      </x:c>
      <x:c r="C5687" s="6" t="n">
        <x:v>0.1502</x:v>
      </x:c>
      <x:c r="D5687" s="6" t="n">
        <x:f>B5687</x:f>
        <x:v>0.2711</x:v>
      </x:c>
      <x:c r="E5687" s="1" t="n">
        <x:v>1.05</x:v>
      </x:c>
      <x:c r="F5687" s="1" t="str">
        <x:v>https://api.octopus.energy/v1/products/AGILE-24-10-01/electricity-tariffs/E-1R-AGILE-24-10-01-G/standard-unit-rates/</x:v>
      </x:c>
    </x:row>
    <x:row r="5688" ht="21" customHeight="1">
      <x:c r="A5688" s="24" t="n">
        <x:v>46267</x:v>
      </x:c>
      <x:c r="B5688" s="6" t="n">
        <x:v>0.24969999999999998</x:v>
      </x:c>
      <x:c r="C5688" s="6" t="n">
        <x:v>0.1404</x:v>
      </x:c>
      <x:c r="D5688" s="6" t="n">
        <x:f>B5688</x:f>
        <x:v>0.24969999999999998</x:v>
      </x:c>
      <x:c r="E5688" s="1" t="n">
        <x:v>1.05</x:v>
      </x:c>
      <x:c r="F5688" s="1" t="str">
        <x:v>https://api.octopus.energy/v1/products/AGILE-24-10-01/electricity-tariffs/E-1R-AGILE-24-10-01-G/standard-unit-rates/</x:v>
      </x:c>
    </x:row>
    <x:row r="5689" ht="21" customHeight="1">
      <x:c r="A5689" s="24" t="n">
        <x:v>46267.020833333336</x:v>
      </x:c>
      <x:c r="B5689" s="6" t="n">
        <x:v>0.2528</x:v>
      </x:c>
      <x:c r="C5689" s="6" t="n">
        <x:v>0.1418</x:v>
      </x:c>
      <x:c r="D5689" s="6" t="n">
        <x:f>B5689</x:f>
        <x:v>0.2528</x:v>
      </x:c>
      <x:c r="E5689" s="1" t="n">
        <x:v>1.05</x:v>
      </x:c>
      <x:c r="F5689" s="1" t="str">
        <x:v>https://api.octopus.energy/v1/products/AGILE-24-10-01/electricity-tariffs/E-1R-AGILE-24-10-01-G/standard-unit-rates/</x:v>
      </x:c>
    </x:row>
    <x:row r="5690" ht="21" customHeight="1">
      <x:c r="A5690" s="24" t="n">
        <x:v>46267.041666666664</x:v>
      </x:c>
      <x:c r="B5690" s="6" t="n">
        <x:v>0.2463</x:v>
      </x:c>
      <x:c r="C5690" s="6" t="n">
        <x:v>0.1388</x:v>
      </x:c>
      <x:c r="D5690" s="6" t="n">
        <x:f>B5690</x:f>
        <x:v>0.2463</x:v>
      </x:c>
      <x:c r="E5690" s="1" t="n">
        <x:v>1.05</x:v>
      </x:c>
      <x:c r="F5690" s="1" t="str">
        <x:v>https://api.octopus.energy/v1/products/AGILE-24-10-01/electricity-tariffs/E-1R-AGILE-24-10-01-G/standard-unit-rates/</x:v>
      </x:c>
    </x:row>
    <x:row r="5691" ht="21" customHeight="1">
      <x:c r="A5691" s="24" t="n">
        <x:v>46267.0625</x:v>
      </x:c>
      <x:c r="B5691" s="6" t="n">
        <x:v>0.2487</x:v>
      </x:c>
      <x:c r="C5691" s="6" t="n">
        <x:v>0.14</x:v>
      </x:c>
      <x:c r="D5691" s="6" t="n">
        <x:f>B5691</x:f>
        <x:v>0.2487</x:v>
      </x:c>
      <x:c r="E5691" s="1" t="n">
        <x:v>1.05</x:v>
      </x:c>
      <x:c r="F5691" s="1" t="str">
        <x:v>https://api.octopus.energy/v1/products/AGILE-24-10-01/electricity-tariffs/E-1R-AGILE-24-10-01-G/standard-unit-rates/</x:v>
      </x:c>
    </x:row>
    <x:row r="5692" ht="21" customHeight="1">
      <x:c r="A5692" s="24" t="n">
        <x:v>46267.083333333336</x:v>
      </x:c>
      <x:c r="B5692" s="6" t="n">
        <x:v>0.2463</x:v>
      </x:c>
      <x:c r="C5692" s="6" t="n">
        <x:v>0.1388</x:v>
      </x:c>
      <x:c r="D5692" s="6" t="n">
        <x:f>B5692</x:f>
        <x:v>0.2463</x:v>
      </x:c>
      <x:c r="E5692" s="1" t="n">
        <x:v>1.05</x:v>
      </x:c>
      <x:c r="F5692" s="1" t="str">
        <x:v>https://api.octopus.energy/v1/products/AGILE-24-10-01/electricity-tariffs/E-1R-AGILE-24-10-01-G/standard-unit-rates/</x:v>
      </x:c>
    </x:row>
    <x:row r="5693" ht="21" customHeight="1">
      <x:c r="A5693" s="24" t="n">
        <x:v>46267.104166666664</x:v>
      </x:c>
      <x:c r="B5693" s="6" t="n">
        <x:v>0.2452</x:v>
      </x:c>
      <x:c r="C5693" s="6" t="n">
        <x:v>0.1384</x:v>
      </x:c>
      <x:c r="D5693" s="6" t="n">
        <x:f>B5693</x:f>
        <x:v>0.2452</x:v>
      </x:c>
      <x:c r="E5693" s="1" t="n">
        <x:v>1.05</x:v>
      </x:c>
      <x:c r="F5693" s="1" t="str">
        <x:v>https://api.octopus.energy/v1/products/AGILE-24-10-01/electricity-tariffs/E-1R-AGILE-24-10-01-G/standard-unit-rates/</x:v>
      </x:c>
    </x:row>
    <x:row r="5694" ht="21" customHeight="1">
      <x:c r="A5694" s="24" t="n">
        <x:v>46267.125</x:v>
      </x:c>
      <x:c r="B5694" s="6" t="n">
        <x:v>0.2463</x:v>
      </x:c>
      <x:c r="C5694" s="6" t="n">
        <x:v>0.1388</x:v>
      </x:c>
      <x:c r="D5694" s="6" t="n">
        <x:f>B5694</x:f>
        <x:v>0.2463</x:v>
      </x:c>
      <x:c r="E5694" s="1" t="n">
        <x:v>1.05</x:v>
      </x:c>
      <x:c r="F5694" s="1" t="str">
        <x:v>https://api.octopus.energy/v1/products/AGILE-24-10-01/electricity-tariffs/E-1R-AGILE-24-10-01-G/standard-unit-rates/</x:v>
      </x:c>
    </x:row>
    <x:row r="5695" ht="21" customHeight="1">
      <x:c r="A5695" s="24" t="n">
        <x:v>46267.145833333336</x:v>
      </x:c>
      <x:c r="B5695" s="6" t="n">
        <x:v>0.24350000000000002</x:v>
      </x:c>
      <x:c r="C5695" s="6" t="n">
        <x:v>0.1376</x:v>
      </x:c>
      <x:c r="D5695" s="6" t="n">
        <x:f>B5695</x:f>
        <x:v>0.24350000000000002</x:v>
      </x:c>
      <x:c r="E5695" s="1" t="n">
        <x:v>1.05</x:v>
      </x:c>
      <x:c r="F5695" s="1" t="str">
        <x:v>https://api.octopus.energy/v1/products/AGILE-24-10-01/electricity-tariffs/E-1R-AGILE-24-10-01-G/standard-unit-rates/</x:v>
      </x:c>
    </x:row>
    <x:row r="5696" ht="21" customHeight="1">
      <x:c r="A5696" s="24" t="n">
        <x:v>46267.166666666664</x:v>
      </x:c>
      <x:c r="B5696" s="6" t="n">
        <x:v>0.2611</x:v>
      </x:c>
      <x:c r="C5696" s="6" t="n">
        <x:v>0.1456</x:v>
      </x:c>
      <x:c r="D5696" s="6" t="n">
        <x:f>B5696</x:f>
        <x:v>0.2611</x:v>
      </x:c>
      <x:c r="E5696" s="1" t="n">
        <x:v>1.05</x:v>
      </x:c>
      <x:c r="F5696" s="1" t="str">
        <x:v>https://api.octopus.energy/v1/products/AGILE-24-10-01/electricity-tariffs/E-1R-AGILE-24-10-01-G/standard-unit-rates/</x:v>
      </x:c>
    </x:row>
    <x:row r="5697" ht="21" customHeight="1">
      <x:c r="A5697" s="24" t="n">
        <x:v>46267.1875</x:v>
      </x:c>
      <x:c r="B5697" s="6" t="n">
        <x:v>0.25980000000000003</x:v>
      </x:c>
      <x:c r="C5697" s="6" t="n">
        <x:v>0.145</x:v>
      </x:c>
      <x:c r="D5697" s="6" t="n">
        <x:f>B5697</x:f>
        <x:v>0.25980000000000003</x:v>
      </x:c>
      <x:c r="E5697" s="1" t="n">
        <x:v>1.05</x:v>
      </x:c>
      <x:c r="F5697" s="1" t="str">
        <x:v>https://api.octopus.energy/v1/products/AGILE-24-10-01/electricity-tariffs/E-1R-AGILE-24-10-01-G/standard-unit-rates/</x:v>
      </x:c>
    </x:row>
    <x:row r="5698" ht="21" customHeight="1">
      <x:c r="A5698" s="24" t="n">
        <x:v>46267.208333333336</x:v>
      </x:c>
      <x:c r="B5698" s="6" t="n">
        <x:v>0.2918</x:v>
      </x:c>
      <x:c r="C5698" s="6" t="n">
        <x:v>0.15960000000000002</x:v>
      </x:c>
      <x:c r="D5698" s="6" t="n">
        <x:f>B5698</x:f>
        <x:v>0.2918</x:v>
      </x:c>
      <x:c r="E5698" s="1" t="n">
        <x:v>1.05</x:v>
      </x:c>
      <x:c r="F5698" s="1" t="str">
        <x:v>https://api.octopus.energy/v1/products/AGILE-24-10-01/electricity-tariffs/E-1R-AGILE-24-10-01-G/standard-unit-rates/</x:v>
      </x:c>
    </x:row>
    <x:row r="5699" ht="21" customHeight="1">
      <x:c r="A5699" s="24" t="n">
        <x:v>46267.229166666664</x:v>
      </x:c>
      <x:c r="B5699" s="6" t="n">
        <x:v>0.3005</x:v>
      </x:c>
      <x:c r="C5699" s="6" t="n">
        <x:v>0.1636</x:v>
      </x:c>
      <x:c r="D5699" s="6" t="n">
        <x:f>B5699</x:f>
        <x:v>0.3005</x:v>
      </x:c>
      <x:c r="E5699" s="1" t="n">
        <x:v>1.05</x:v>
      </x:c>
      <x:c r="F5699" s="1" t="str">
        <x:v>https://api.octopus.energy/v1/products/AGILE-24-10-01/electricity-tariffs/E-1R-AGILE-24-10-01-G/standard-unit-rates/</x:v>
      </x:c>
    </x:row>
    <x:row r="5700" ht="21" customHeight="1">
      <x:c r="A5700" s="24" t="n">
        <x:v>46267.25</x:v>
      </x:c>
      <x:c r="B5700" s="6" t="n">
        <x:v>0.29469999999999996</x:v>
      </x:c>
      <x:c r="C5700" s="6" t="n">
        <x:v>0.161</x:v>
      </x:c>
      <x:c r="D5700" s="6" t="n">
        <x:f>B5700</x:f>
        <x:v>0.29469999999999996</x:v>
      </x:c>
      <x:c r="E5700" s="1" t="n">
        <x:v>1.05</x:v>
      </x:c>
      <x:c r="F5700" s="1" t="str">
        <x:v>https://api.octopus.energy/v1/products/AGILE-24-10-01/electricity-tariffs/E-1R-AGILE-24-10-01-G/standard-unit-rates/</x:v>
      </x:c>
    </x:row>
    <x:row r="5701" ht="21" customHeight="1">
      <x:c r="A5701" s="24" t="n">
        <x:v>46267.270833333336</x:v>
      </x:c>
      <x:c r="B5701" s="6" t="n">
        <x:v>0.33740000000000003</x:v>
      </x:c>
      <x:c r="C5701" s="6" t="n">
        <x:v>0.1805</x:v>
      </x:c>
      <x:c r="D5701" s="6" t="n">
        <x:f>B5701</x:f>
        <x:v>0.33740000000000003</x:v>
      </x:c>
      <x:c r="E5701" s="1" t="n">
        <x:v>1.05</x:v>
      </x:c>
      <x:c r="F5701" s="1" t="str">
        <x:v>https://api.octopus.energy/v1/products/AGILE-24-10-01/electricity-tariffs/E-1R-AGILE-24-10-01-G/standard-unit-rates/</x:v>
      </x:c>
    </x:row>
    <x:row r="5702" ht="21" customHeight="1">
      <x:c r="A5702" s="24" t="n">
        <x:v>46267.291666666664</x:v>
      </x:c>
      <x:c r="B5702" s="6" t="n">
        <x:v>0.3265</x:v>
      </x:c>
      <x:c r="C5702" s="6" t="n">
        <x:v>0.17550000000000002</x:v>
      </x:c>
      <x:c r="D5702" s="6" t="n">
        <x:f>B5702</x:f>
        <x:v>0.3265</x:v>
      </x:c>
      <x:c r="E5702" s="1" t="n">
        <x:v>1.05</x:v>
      </x:c>
      <x:c r="F5702" s="1" t="str">
        <x:v>https://api.octopus.energy/v1/products/AGILE-24-10-01/electricity-tariffs/E-1R-AGILE-24-10-01-G/standard-unit-rates/</x:v>
      </x:c>
    </x:row>
    <x:row r="5703" ht="21" customHeight="1">
      <x:c r="A5703" s="24" t="n">
        <x:v>46267.3125</x:v>
      </x:c>
      <x:c r="B5703" s="6" t="n">
        <x:v>0.34659999999999996</x:v>
      </x:c>
      <x:c r="C5703" s="6" t="n">
        <x:v>0.18469999999999998</x:v>
      </x:c>
      <x:c r="D5703" s="6" t="n">
        <x:f>B5703</x:f>
        <x:v>0.34659999999999996</x:v>
      </x:c>
      <x:c r="E5703" s="1" t="n">
        <x:v>1.05</x:v>
      </x:c>
      <x:c r="F5703" s="1" t="str">
        <x:v>https://api.octopus.energy/v1/products/AGILE-24-10-01/electricity-tariffs/E-1R-AGILE-24-10-01-G/standard-unit-rates/</x:v>
      </x:c>
    </x:row>
    <x:row r="5704" ht="21" customHeight="1">
      <x:c r="A5704" s="24" t="n">
        <x:v>46267.333333333336</x:v>
      </x:c>
      <x:c r="B5704" s="6" t="n">
        <x:v>0.3011</x:v>
      </x:c>
      <x:c r="C5704" s="6" t="n">
        <x:v>0.16390000000000002</x:v>
      </x:c>
      <x:c r="D5704" s="6" t="n">
        <x:f>B5704</x:f>
        <x:v>0.3011</x:v>
      </x:c>
      <x:c r="E5704" s="1" t="n">
        <x:v>1.05</x:v>
      </x:c>
      <x:c r="F5704" s="1" t="str">
        <x:v>https://api.octopus.energy/v1/products/AGILE-24-10-01/electricity-tariffs/E-1R-AGILE-24-10-01-G/standard-unit-rates/</x:v>
      </x:c>
    </x:row>
    <x:row r="5705" ht="21" customHeight="1">
      <x:c r="A5705" s="24" t="n">
        <x:v>46267.354166666664</x:v>
      </x:c>
      <x:c r="B5705" s="6" t="n">
        <x:v>0.30260000000000004</x:v>
      </x:c>
      <x:c r="C5705" s="6" t="n">
        <x:v>0.1646</x:v>
      </x:c>
      <x:c r="D5705" s="6" t="n">
        <x:f>B5705</x:f>
        <x:v>0.30260000000000004</x:v>
      </x:c>
      <x:c r="E5705" s="1" t="n">
        <x:v>1.05</x:v>
      </x:c>
      <x:c r="F5705" s="1" t="str">
        <x:v>https://api.octopus.energy/v1/products/AGILE-24-10-01/electricity-tariffs/E-1R-AGILE-24-10-01-G/standard-unit-rates/</x:v>
      </x:c>
    </x:row>
    <x:row r="5706" ht="21" customHeight="1">
      <x:c r="A5706" s="24" t="n">
        <x:v>46267.375</x:v>
      </x:c>
      <x:c r="B5706" s="6" t="n">
        <x:v>0.3054</x:v>
      </x:c>
      <x:c r="C5706" s="6" t="n">
        <x:v>0.1659</x:v>
      </x:c>
      <x:c r="D5706" s="6" t="n">
        <x:f>B5706</x:f>
        <x:v>0.3054</x:v>
      </x:c>
      <x:c r="E5706" s="1" t="n">
        <x:v>1.05</x:v>
      </x:c>
      <x:c r="F5706" s="1" t="str">
        <x:v>https://api.octopus.energy/v1/products/AGILE-24-10-01/electricity-tariffs/E-1R-AGILE-24-10-01-G/standard-unit-rates/</x:v>
      </x:c>
    </x:row>
    <x:row r="5707" ht="21" customHeight="1">
      <x:c r="A5707" s="24" t="n">
        <x:v>46267.395833333336</x:v>
      </x:c>
      <x:c r="B5707" s="6" t="n">
        <x:v>0.2942</x:v>
      </x:c>
      <x:c r="C5707" s="6" t="n">
        <x:v>0.16079999999999997</x:v>
      </x:c>
      <x:c r="D5707" s="6" t="n">
        <x:f>B5707</x:f>
        <x:v>0.2942</x:v>
      </x:c>
      <x:c r="E5707" s="1" t="n">
        <x:v>1.05</x:v>
      </x:c>
      <x:c r="F5707" s="1" t="str">
        <x:v>https://api.octopus.energy/v1/products/AGILE-24-10-01/electricity-tariffs/E-1R-AGILE-24-10-01-G/standard-unit-rates/</x:v>
      </x:c>
    </x:row>
    <x:row r="5708" ht="21" customHeight="1">
      <x:c r="A5708" s="24" t="n">
        <x:v>46267.416666666664</x:v>
      </x:c>
      <x:c r="B5708" s="6" t="n">
        <x:v>0.2921</x:v>
      </x:c>
      <x:c r="C5708" s="6" t="n">
        <x:v>0.1598</x:v>
      </x:c>
      <x:c r="D5708" s="6" t="n">
        <x:f>B5708</x:f>
        <x:v>0.2921</x:v>
      </x:c>
      <x:c r="E5708" s="1" t="n">
        <x:v>1.05</x:v>
      </x:c>
      <x:c r="F5708" s="1" t="str">
        <x:v>https://api.octopus.energy/v1/products/AGILE-24-10-01/electricity-tariffs/E-1R-AGILE-24-10-01-G/standard-unit-rates/</x:v>
      </x:c>
    </x:row>
    <x:row r="5709" ht="21" customHeight="1">
      <x:c r="A5709" s="24" t="n">
        <x:v>46267.4375</x:v>
      </x:c>
      <x:c r="B5709" s="6" t="n">
        <x:v>0.282</x:v>
      </x:c>
      <x:c r="C5709" s="6" t="n">
        <x:v>0.1552</x:v>
      </x:c>
      <x:c r="D5709" s="6" t="n">
        <x:f>B5709</x:f>
        <x:v>0.282</x:v>
      </x:c>
      <x:c r="E5709" s="1" t="n">
        <x:v>1.05</x:v>
      </x:c>
      <x:c r="F5709" s="1" t="str">
        <x:v>https://api.octopus.energy/v1/products/AGILE-24-10-01/electricity-tariffs/E-1R-AGILE-24-10-01-G/standard-unit-rates/</x:v>
      </x:c>
    </x:row>
    <x:row r="5710" ht="21" customHeight="1">
      <x:c r="A5710" s="24" t="n">
        <x:v>46267.458333333336</x:v>
      </x:c>
      <x:c r="B5710" s="6" t="n">
        <x:v>0.2799</x:v>
      </x:c>
      <x:c r="C5710" s="6" t="n">
        <x:v>0.1542</x:v>
      </x:c>
      <x:c r="D5710" s="6" t="n">
        <x:f>B5710</x:f>
        <x:v>0.2799</x:v>
      </x:c>
      <x:c r="E5710" s="1" t="n">
        <x:v>1.05</x:v>
      </x:c>
      <x:c r="F5710" s="1" t="str">
        <x:v>https://api.octopus.energy/v1/products/AGILE-24-10-01/electricity-tariffs/E-1R-AGILE-24-10-01-G/standard-unit-rates/</x:v>
      </x:c>
    </x:row>
    <x:row r="5711" ht="21" customHeight="1">
      <x:c r="A5711" s="24" t="n">
        <x:v>46267.479166666664</x:v>
      </x:c>
      <x:c r="B5711" s="6" t="n">
        <x:v>0.2774</x:v>
      </x:c>
      <x:c r="C5711" s="6" t="n">
        <x:v>0.1531</x:v>
      </x:c>
      <x:c r="D5711" s="6" t="n">
        <x:f>B5711</x:f>
        <x:v>0.2774</x:v>
      </x:c>
      <x:c r="E5711" s="1" t="n">
        <x:v>1.05</x:v>
      </x:c>
      <x:c r="F5711" s="1" t="str">
        <x:v>https://api.octopus.energy/v1/products/AGILE-24-10-01/electricity-tariffs/E-1R-AGILE-24-10-01-G/standard-unit-rates/</x:v>
      </x:c>
    </x:row>
    <x:row r="5712" ht="21" customHeight="1">
      <x:c r="A5712" s="24" t="n">
        <x:v>46267.5</x:v>
      </x:c>
      <x:c r="B5712" s="6" t="n">
        <x:v>0.2601</x:v>
      </x:c>
      <x:c r="C5712" s="6" t="n">
        <x:v>0.1452</x:v>
      </x:c>
      <x:c r="D5712" s="6" t="n">
        <x:f>B5712</x:f>
        <x:v>0.2601</x:v>
      </x:c>
      <x:c r="E5712" s="1" t="n">
        <x:v>1.05</x:v>
      </x:c>
      <x:c r="F5712" s="1" t="str">
        <x:v>https://api.octopus.energy/v1/products/AGILE-24-10-01/electricity-tariffs/E-1R-AGILE-24-10-01-G/standard-unit-rates/</x:v>
      </x:c>
    </x:row>
    <x:row r="5713" ht="21" customHeight="1">
      <x:c r="A5713" s="24" t="n">
        <x:v>46267.520833333336</x:v>
      </x:c>
      <x:c r="B5713" s="6" t="n">
        <x:v>0.2522</x:v>
      </x:c>
      <x:c r="C5713" s="6" t="n">
        <x:v>0.1416</x:v>
      </x:c>
      <x:c r="D5713" s="6" t="n">
        <x:f>B5713</x:f>
        <x:v>0.2522</x:v>
      </x:c>
      <x:c r="E5713" s="1" t="n">
        <x:v>1.05</x:v>
      </x:c>
      <x:c r="F5713" s="1" t="str">
        <x:v>https://api.octopus.energy/v1/products/AGILE-24-10-01/electricity-tariffs/E-1R-AGILE-24-10-01-G/standard-unit-rates/</x:v>
      </x:c>
    </x:row>
    <x:row r="5714" ht="21" customHeight="1">
      <x:c r="A5714" s="24" t="n">
        <x:v>46267.541666666664</x:v>
      </x:c>
      <x:c r="B5714" s="6" t="n">
        <x:v>0.2564</x:v>
      </x:c>
      <x:c r="C5714" s="6" t="n">
        <x:v>0.1435</x:v>
      </x:c>
      <x:c r="D5714" s="6" t="n">
        <x:f>B5714</x:f>
        <x:v>0.2564</x:v>
      </x:c>
      <x:c r="E5714" s="1" t="n">
        <x:v>1.05</x:v>
      </x:c>
      <x:c r="F5714" s="1" t="str">
        <x:v>https://api.octopus.energy/v1/products/AGILE-24-10-01/electricity-tariffs/E-1R-AGILE-24-10-01-G/standard-unit-rates/</x:v>
      </x:c>
    </x:row>
    <x:row r="5715" ht="21" customHeight="1">
      <x:c r="A5715" s="24" t="n">
        <x:v>46267.5625</x:v>
      </x:c>
      <x:c r="B5715" s="6" t="n">
        <x:v>0.2522</x:v>
      </x:c>
      <x:c r="C5715" s="6" t="n">
        <x:v>0.1416</x:v>
      </x:c>
      <x:c r="D5715" s="6" t="n">
        <x:f>B5715</x:f>
        <x:v>0.2522</x:v>
      </x:c>
      <x:c r="E5715" s="1" t="n">
        <x:v>1.05</x:v>
      </x:c>
      <x:c r="F5715" s="1" t="str">
        <x:v>https://api.octopus.energy/v1/products/AGILE-24-10-01/electricity-tariffs/E-1R-AGILE-24-10-01-G/standard-unit-rates/</x:v>
      </x:c>
    </x:row>
    <x:row r="5716" ht="21" customHeight="1">
      <x:c r="A5716" s="24" t="n">
        <x:v>46267.583333333336</x:v>
      </x:c>
      <x:c r="B5716" s="6" t="n">
        <x:v>0.2523</x:v>
      </x:c>
      <x:c r="C5716" s="6" t="n">
        <x:v>0.1416</x:v>
      </x:c>
      <x:c r="D5716" s="6" t="n">
        <x:f>B5716</x:f>
        <x:v>0.2523</x:v>
      </x:c>
      <x:c r="E5716" s="1" t="n">
        <x:v>1.05</x:v>
      </x:c>
      <x:c r="F5716" s="1" t="str">
        <x:v>https://api.octopus.energy/v1/products/AGILE-24-10-01/electricity-tariffs/E-1R-AGILE-24-10-01-G/standard-unit-rates/</x:v>
      </x:c>
    </x:row>
    <x:row r="5717" ht="21" customHeight="1">
      <x:c r="A5717" s="24" t="n">
        <x:v>46267.604166666664</x:v>
      </x:c>
      <x:c r="B5717" s="6" t="n">
        <x:v>0.2463</x:v>
      </x:c>
      <x:c r="C5717" s="6" t="n">
        <x:v>0.1388</x:v>
      </x:c>
      <x:c r="D5717" s="6" t="n">
        <x:f>B5717</x:f>
        <x:v>0.2463</x:v>
      </x:c>
      <x:c r="E5717" s="1" t="n">
        <x:v>1.05</x:v>
      </x:c>
      <x:c r="F5717" s="1" t="str">
        <x:v>https://api.octopus.energy/v1/products/AGILE-24-10-01/electricity-tariffs/E-1R-AGILE-24-10-01-G/standard-unit-rates/</x:v>
      </x:c>
    </x:row>
    <x:row r="5718" ht="21" customHeight="1">
      <x:c r="A5718" s="24" t="n">
        <x:v>46267.625</x:v>
      </x:c>
      <x:c r="B5718" s="6" t="n">
        <x:v>0.2463</x:v>
      </x:c>
      <x:c r="C5718" s="6" t="n">
        <x:v>0.1388</x:v>
      </x:c>
      <x:c r="D5718" s="6" t="n">
        <x:f>B5718</x:f>
        <x:v>0.2463</x:v>
      </x:c>
      <x:c r="E5718" s="1" t="n">
        <x:v>1.05</x:v>
      </x:c>
      <x:c r="F5718" s="1" t="str">
        <x:v>https://api.octopus.energy/v1/products/AGILE-24-10-01/electricity-tariffs/E-1R-AGILE-24-10-01-G/standard-unit-rates/</x:v>
      </x:c>
    </x:row>
    <x:row r="5719" ht="21" customHeight="1">
      <x:c r="A5719" s="24" t="n">
        <x:v>46267.645833333336</x:v>
      </x:c>
      <x:c r="B5719" s="6" t="n">
        <x:v>0.24789999999999998</x:v>
      </x:c>
      <x:c r="C5719" s="6" t="n">
        <x:v>0.1396</x:v>
      </x:c>
      <x:c r="D5719" s="6" t="n">
        <x:f>B5719</x:f>
        <x:v>0.24789999999999998</x:v>
      </x:c>
      <x:c r="E5719" s="1" t="n">
        <x:v>1.05</x:v>
      </x:c>
      <x:c r="F5719" s="1" t="str">
        <x:v>https://api.octopus.energy/v1/products/AGILE-24-10-01/electricity-tariffs/E-1R-AGILE-24-10-01-G/standard-unit-rates/</x:v>
      </x:c>
    </x:row>
    <x:row r="5720" ht="21" customHeight="1">
      <x:c r="A5720" s="24" t="n">
        <x:v>46267.666666666664</x:v>
      </x:c>
      <x:c r="B5720" s="6" t="n">
        <x:v>0.3901</x:v>
      </x:c>
      <x:c r="C5720" s="6" t="n">
        <x:v>0.2086</x:v>
      </x:c>
      <x:c r="D5720" s="6" t="n">
        <x:f>B5720</x:f>
        <x:v>0.3901</x:v>
      </x:c>
      <x:c r="E5720" s="1" t="n">
        <x:v>1.05</x:v>
      </x:c>
      <x:c r="F5720" s="1" t="str">
        <x:v>https://api.octopus.energy/v1/products/AGILE-24-10-01/electricity-tariffs/E-1R-AGILE-24-10-01-G/standard-unit-rates/</x:v>
      </x:c>
    </x:row>
    <x:row r="5721" ht="21" customHeight="1">
      <x:c r="A5721" s="24" t="n">
        <x:v>46267.6875</x:v>
      </x:c>
      <x:c r="B5721" s="6" t="n">
        <x:v>0.401</x:v>
      </x:c>
      <x:c r="C5721" s="6" t="n">
        <x:v>0.21359999999999998</x:v>
      </x:c>
      <x:c r="D5721" s="6" t="n">
        <x:f>B5721</x:f>
        <x:v>0.401</x:v>
      </x:c>
      <x:c r="E5721" s="1" t="n">
        <x:v>1.05</x:v>
      </x:c>
      <x:c r="F5721" s="1" t="str">
        <x:v>https://api.octopus.energy/v1/products/AGILE-24-10-01/electricity-tariffs/E-1R-AGILE-24-10-01-G/standard-unit-rates/</x:v>
      </x:c>
    </x:row>
    <x:row r="5722" ht="21" customHeight="1">
      <x:c r="A5722" s="24" t="n">
        <x:v>46267.708333333336</x:v>
      </x:c>
      <x:c r="B5722" s="6" t="n">
        <x:v>0.4325</x:v>
      </x:c>
      <x:c r="C5722" s="6" t="n">
        <x:v>0.228</x:v>
      </x:c>
      <x:c r="D5722" s="6" t="n">
        <x:f>B5722</x:f>
        <x:v>0.4325</x:v>
      </x:c>
      <x:c r="E5722" s="1" t="n">
        <x:v>1.05</x:v>
      </x:c>
      <x:c r="F5722" s="1" t="str">
        <x:v>https://api.octopus.energy/v1/products/AGILE-24-10-01/electricity-tariffs/E-1R-AGILE-24-10-01-G/standard-unit-rates/</x:v>
      </x:c>
    </x:row>
    <x:row r="5723" ht="21" customHeight="1">
      <x:c r="A5723" s="24" t="n">
        <x:v>46267.729166666664</x:v>
      </x:c>
      <x:c r="B5723" s="6" t="n">
        <x:v>0.4436</x:v>
      </x:c>
      <x:c r="C5723" s="6" t="n">
        <x:v>0.23309999999999997</x:v>
      </x:c>
      <x:c r="D5723" s="6" t="n">
        <x:f>B5723</x:f>
        <x:v>0.4436</x:v>
      </x:c>
      <x:c r="E5723" s="1" t="n">
        <x:v>1.05</x:v>
      </x:c>
      <x:c r="F5723" s="1" t="str">
        <x:v>https://api.octopus.energy/v1/products/AGILE-24-10-01/electricity-tariffs/E-1R-AGILE-24-10-01-G/standard-unit-rates/</x:v>
      </x:c>
    </x:row>
    <x:row r="5724" ht="21" customHeight="1">
      <x:c r="A5724" s="24" t="n">
        <x:v>46267.75</x:v>
      </x:c>
      <x:c r="B5724" s="6" t="n">
        <x:v>0.48460000000000003</x:v>
      </x:c>
      <x:c r="C5724" s="6" t="n">
        <x:v>0.2518</x:v>
      </x:c>
      <x:c r="D5724" s="6" t="n">
        <x:f>B5724</x:f>
        <x:v>0.48460000000000003</x:v>
      </x:c>
      <x:c r="E5724" s="1" t="n">
        <x:v>1.05</x:v>
      </x:c>
      <x:c r="F5724" s="1" t="str">
        <x:v>https://api.octopus.energy/v1/products/AGILE-24-10-01/electricity-tariffs/E-1R-AGILE-24-10-01-G/standard-unit-rates/</x:v>
      </x:c>
    </x:row>
    <x:row r="5725" ht="21" customHeight="1">
      <x:c r="A5725" s="24" t="n">
        <x:v>46267.770833333336</x:v>
      </x:c>
      <x:c r="B5725" s="6" t="n">
        <x:v>0.4752</x:v>
      </x:c>
      <x:c r="C5725" s="6" t="n">
        <x:v>0.2475</x:v>
      </x:c>
      <x:c r="D5725" s="6" t="n">
        <x:f>B5725</x:f>
        <x:v>0.4752</x:v>
      </x:c>
      <x:c r="E5725" s="1" t="n">
        <x:v>1.05</x:v>
      </x:c>
      <x:c r="F5725" s="1" t="str">
        <x:v>https://api.octopus.energy/v1/products/AGILE-24-10-01/electricity-tariffs/E-1R-AGILE-24-10-01-G/standard-unit-rates/</x:v>
      </x:c>
    </x:row>
    <x:row r="5726" ht="21" customHeight="1">
      <x:c r="A5726" s="24" t="n">
        <x:v>46267.791666666664</x:v>
      </x:c>
      <x:c r="B5726" s="6" t="n">
        <x:v>0.35969999999999996</x:v>
      </x:c>
      <x:c r="C5726" s="6" t="n">
        <x:v>0.1907</x:v>
      </x:c>
      <x:c r="D5726" s="6" t="n">
        <x:f>B5726</x:f>
        <x:v>0.35969999999999996</x:v>
      </x:c>
      <x:c r="E5726" s="1" t="n">
        <x:v>1.05</x:v>
      </x:c>
      <x:c r="F5726" s="1" t="str">
        <x:v>https://api.octopus.energy/v1/products/AGILE-24-10-01/electricity-tariffs/E-1R-AGILE-24-10-01-G/standard-unit-rates/</x:v>
      </x:c>
    </x:row>
    <x:row r="5727" ht="21" customHeight="1">
      <x:c r="A5727" s="24" t="n">
        <x:v>46267.8125</x:v>
      </x:c>
      <x:c r="B5727" s="6" t="n">
        <x:v>0.3547</x:v>
      </x:c>
      <x:c r="C5727" s="6" t="n">
        <x:v>0.1884</x:v>
      </x:c>
      <x:c r="D5727" s="6" t="n">
        <x:f>B5727</x:f>
        <x:v>0.3547</x:v>
      </x:c>
      <x:c r="E5727" s="1" t="n">
        <x:v>1.05</x:v>
      </x:c>
      <x:c r="F5727" s="1" t="str">
        <x:v>https://api.octopus.energy/v1/products/AGILE-24-10-01/electricity-tariffs/E-1R-AGILE-24-10-01-G/standard-unit-rates/</x:v>
      </x:c>
    </x:row>
    <x:row r="5728" ht="21" customHeight="1">
      <x:c r="A5728" s="24" t="n">
        <x:v>46267.833333333336</x:v>
      </x:c>
      <x:c r="B5728" s="6" t="n">
        <x:v>0.3503</x:v>
      </x:c>
      <x:c r="C5728" s="6" t="n">
        <x:v>0.1864</x:v>
      </x:c>
      <x:c r="D5728" s="6" t="n">
        <x:f>B5728</x:f>
        <x:v>0.3503</x:v>
      </x:c>
      <x:c r="E5728" s="1" t="n">
        <x:v>1.05</x:v>
      </x:c>
      <x:c r="F5728" s="1" t="str">
        <x:v>https://api.octopus.energy/v1/products/AGILE-24-10-01/electricity-tariffs/E-1R-AGILE-24-10-01-G/standard-unit-rates/</x:v>
      </x:c>
    </x:row>
    <x:row r="5729" ht="21" customHeight="1">
      <x:c r="A5729" s="24" t="n">
        <x:v>46267.854166666664</x:v>
      </x:c>
      <x:c r="B5729" s="6" t="n">
        <x:v>0.3261</x:v>
      </x:c>
      <x:c r="C5729" s="6" t="n">
        <x:v>0.1753</x:v>
      </x:c>
      <x:c r="D5729" s="6" t="n">
        <x:f>B5729</x:f>
        <x:v>0.3261</x:v>
      </x:c>
      <x:c r="E5729" s="1" t="n">
        <x:v>1.05</x:v>
      </x:c>
      <x:c r="F5729" s="1" t="str">
        <x:v>https://api.octopus.energy/v1/products/AGILE-24-10-01/electricity-tariffs/E-1R-AGILE-24-10-01-G/standard-unit-rates/</x:v>
      </x:c>
    </x:row>
    <x:row r="5730" ht="21" customHeight="1">
      <x:c r="A5730" s="24" t="n">
        <x:v>46267.875</x:v>
      </x:c>
      <x:c r="B5730" s="6" t="n">
        <x:v>0.3097</x:v>
      </x:c>
      <x:c r="C5730" s="6" t="n">
        <x:v>0.1678</x:v>
      </x:c>
      <x:c r="D5730" s="6" t="n">
        <x:f>B5730</x:f>
        <x:v>0.3097</x:v>
      </x:c>
      <x:c r="E5730" s="1" t="n">
        <x:v>1.05</x:v>
      </x:c>
      <x:c r="F5730" s="1" t="str">
        <x:v>https://api.octopus.energy/v1/products/AGILE-24-10-01/electricity-tariffs/E-1R-AGILE-24-10-01-G/standard-unit-rates/</x:v>
      </x:c>
    </x:row>
    <x:row r="5731" ht="21" customHeight="1">
      <x:c r="A5731" s="24" t="n">
        <x:v>46267.895833333336</x:v>
      </x:c>
      <x:c r="B5731" s="6" t="n">
        <x:v>0.2915</x:v>
      </x:c>
      <x:c r="C5731" s="6" t="n">
        <x:v>0.1595</x:v>
      </x:c>
      <x:c r="D5731" s="6" t="n">
        <x:f>B5731</x:f>
        <x:v>0.2915</x:v>
      </x:c>
      <x:c r="E5731" s="1" t="n">
        <x:v>1.05</x:v>
      </x:c>
      <x:c r="F5731" s="1" t="str">
        <x:v>https://api.octopus.energy/v1/products/AGILE-24-10-01/electricity-tariffs/E-1R-AGILE-24-10-01-G/standard-unit-rates/</x:v>
      </x:c>
    </x:row>
    <x:row r="5732" ht="21" customHeight="1">
      <x:c r="A5732" s="24" t="n">
        <x:v>46267.916666666664</x:v>
      </x:c>
      <x:c r="B5732" s="6" t="n">
        <x:v>0.2667</x:v>
      </x:c>
      <x:c r="C5732" s="6" t="n">
        <x:v>0.1482</x:v>
      </x:c>
      <x:c r="D5732" s="6" t="n">
        <x:f>B5732</x:f>
        <x:v>0.2667</x:v>
      </x:c>
      <x:c r="E5732" s="1" t="n">
        <x:v>1.05</x:v>
      </x:c>
      <x:c r="F5732" s="1" t="str">
        <x:v>https://api.octopus.energy/v1/products/AGILE-24-10-01/electricity-tariffs/E-1R-AGILE-24-10-01-G/standard-unit-rates/</x:v>
      </x:c>
    </x:row>
    <x:row r="5733" ht="21" customHeight="1">
      <x:c r="A5733" s="24" t="n">
        <x:v>46267.9375</x:v>
      </x:c>
      <x:c r="B5733" s="6" t="n">
        <x:v>0.2421</x:v>
      </x:c>
      <x:c r="C5733" s="6" t="n">
        <x:v>0.13699999999999998</x:v>
      </x:c>
      <x:c r="D5733" s="6" t="n">
        <x:f>B5733</x:f>
        <x:v>0.2421</x:v>
      </x:c>
      <x:c r="E5733" s="1" t="n">
        <x:v>1.05</x:v>
      </x:c>
      <x:c r="F5733" s="1" t="str">
        <x:v>https://api.octopus.energy/v1/products/AGILE-24-10-01/electricity-tariffs/E-1R-AGILE-24-10-01-G/standard-unit-rates/</x:v>
      </x:c>
    </x:row>
    <x:row r="5734" ht="21" customHeight="1">
      <x:c r="A5734" s="24" t="n">
        <x:v>46268</x:v>
      </x:c>
      <x:c r="B5734" s="6" t="n">
        <x:v>0.2858</x:v>
      </x:c>
      <x:c r="C5734" s="6" t="n">
        <x:v>0.15689999999999998</x:v>
      </x:c>
      <x:c r="D5734" s="6" t="n">
        <x:f>B5734</x:f>
        <x:v>0.2858</x:v>
      </x:c>
      <x:c r="E5734" s="1" t="n">
        <x:v>1.05</x:v>
      </x:c>
      <x:c r="F5734" s="1" t="str">
        <x:v>https://api.octopus.energy/v1/products/AGILE-24-10-01/electricity-tariffs/E-1R-AGILE-24-10-01-G/standard-unit-rates/</x:v>
      </x:c>
    </x:row>
    <x:row r="5735" ht="21" customHeight="1">
      <x:c r="A5735" s="24" t="n">
        <x:v>46267.979166666664</x:v>
      </x:c>
      <x:c r="B5735" s="6" t="n">
        <x:v>0.2842</x:v>
      </x:c>
      <x:c r="C5735" s="6" t="n">
        <x:v>0.1562</x:v>
      </x:c>
      <x:c r="D5735" s="6" t="n">
        <x:f>B5735</x:f>
        <x:v>0.2842</x:v>
      </x:c>
      <x:c r="E5735" s="1" t="n">
        <x:v>1.05</x:v>
      </x:c>
      <x:c r="F5735" s="1" t="str">
        <x:v>https://api.octopus.energy/v1/products/AGILE-24-10-01/electricity-tariffs/E-1R-AGILE-24-10-01-G/standard-unit-rates/</x:v>
      </x:c>
    </x:row>
    <x:row r="5736" ht="21" customHeight="1">
      <x:c r="A5736" s="24" t="n">
        <x:v>46268</x:v>
      </x:c>
      <x:c r="B5736" s="6" t="n">
        <x:v>0.3035</x:v>
      </x:c>
      <x:c r="C5736" s="6" t="n">
        <x:v>0.165</x:v>
      </x:c>
      <x:c r="D5736" s="6" t="n">
        <x:f>B5736</x:f>
        <x:v>0.3035</x:v>
      </x:c>
      <x:c r="E5736" s="1" t="n">
        <x:v>1.05</x:v>
      </x:c>
      <x:c r="F5736" s="1" t="str">
        <x:v>https://api.octopus.energy/v1/products/AGILE-24-10-01/electricity-tariffs/E-1R-AGILE-24-10-01-G/standard-unit-rates/</x:v>
      </x:c>
    </x:row>
    <x:row r="5737" ht="21" customHeight="1">
      <x:c r="A5737" s="24" t="n">
        <x:v>46268.020833333336</x:v>
      </x:c>
      <x:c r="B5737" s="6" t="n">
        <x:v>0.2658</x:v>
      </x:c>
      <x:c r="C5737" s="6" t="n">
        <x:v>0.1478</x:v>
      </x:c>
      <x:c r="D5737" s="6" t="n">
        <x:f>B5737</x:f>
        <x:v>0.2658</x:v>
      </x:c>
      <x:c r="E5737" s="1" t="n">
        <x:v>1.05</x:v>
      </x:c>
      <x:c r="F5737" s="1" t="str">
        <x:v>https://api.octopus.energy/v1/products/AGILE-24-10-01/electricity-tariffs/E-1R-AGILE-24-10-01-G/standard-unit-rates/</x:v>
      </x:c>
    </x:row>
    <x:row r="5738" ht="21" customHeight="1">
      <x:c r="A5738" s="24" t="n">
        <x:v>46268.041666666664</x:v>
      </x:c>
      <x:c r="B5738" s="6" t="n">
        <x:v>0.2634</x:v>
      </x:c>
      <x:c r="C5738" s="6" t="n">
        <x:v>0.1467</x:v>
      </x:c>
      <x:c r="D5738" s="6" t="n">
        <x:f>B5738</x:f>
        <x:v>0.2634</x:v>
      </x:c>
      <x:c r="E5738" s="1" t="n">
        <x:v>1.05</x:v>
      </x:c>
      <x:c r="F5738" s="1" t="str">
        <x:v>https://api.octopus.energy/v1/products/AGILE-24-10-01/electricity-tariffs/E-1R-AGILE-24-10-01-G/standard-unit-rates/</x:v>
      </x:c>
    </x:row>
    <x:row r="5739" ht="21" customHeight="1">
      <x:c r="A5739" s="24" t="n">
        <x:v>46268.0625</x:v>
      </x:c>
      <x:c r="B5739" s="6" t="n">
        <x:v>0.2493</x:v>
      </x:c>
      <x:c r="C5739" s="6" t="n">
        <x:v>0.14029999999999998</x:v>
      </x:c>
      <x:c r="D5739" s="6" t="n">
        <x:f>B5739</x:f>
        <x:v>0.2493</x:v>
      </x:c>
      <x:c r="E5739" s="1" t="n">
        <x:v>1.05</x:v>
      </x:c>
      <x:c r="F5739" s="1" t="str">
        <x:v>https://api.octopus.energy/v1/products/AGILE-24-10-01/electricity-tariffs/E-1R-AGILE-24-10-01-G/standard-unit-rates/</x:v>
      </x:c>
    </x:row>
    <x:row r="5740" ht="21" customHeight="1">
      <x:c r="A5740" s="24" t="n">
        <x:v>46268.083333333336</x:v>
      </x:c>
      <x:c r="B5740" s="6" t="n">
        <x:v>0.2408</x:v>
      </x:c>
      <x:c r="C5740" s="6" t="n">
        <x:v>0.1363</x:v>
      </x:c>
      <x:c r="D5740" s="6" t="n">
        <x:f>B5740</x:f>
        <x:v>0.2408</x:v>
      </x:c>
      <x:c r="E5740" s="1" t="n">
        <x:v>1.05</x:v>
      </x:c>
      <x:c r="F5740" s="1" t="str">
        <x:v>https://api.octopus.energy/v1/products/AGILE-24-10-01/electricity-tariffs/E-1R-AGILE-24-10-01-G/standard-unit-rates/</x:v>
      </x:c>
    </x:row>
    <x:row r="5741" ht="21" customHeight="1">
      <x:c r="A5741" s="24" t="n">
        <x:v>46268.104166666664</x:v>
      </x:c>
      <x:c r="B5741" s="6" t="n">
        <x:v>0.2322</x:v>
      </x:c>
      <x:c r="C5741" s="6" t="n">
        <x:v>0.1324</x:v>
      </x:c>
      <x:c r="D5741" s="6" t="n">
        <x:f>B5741</x:f>
        <x:v>0.2322</x:v>
      </x:c>
      <x:c r="E5741" s="1" t="n">
        <x:v>1.05</x:v>
      </x:c>
      <x:c r="F5741" s="1" t="str">
        <x:v>https://api.octopus.energy/v1/products/AGILE-24-10-01/electricity-tariffs/E-1R-AGILE-24-10-01-G/standard-unit-rates/</x:v>
      </x:c>
    </x:row>
    <x:row r="5742" ht="21" customHeight="1">
      <x:c r="A5742" s="24" t="n">
        <x:v>46268.125</x:v>
      </x:c>
      <x:c r="B5742" s="6" t="n">
        <x:v>0.23120000000000002</x:v>
      </x:c>
      <x:c r="C5742" s="6" t="n">
        <x:v>0.132</x:v>
      </x:c>
      <x:c r="D5742" s="6" t="n">
        <x:f>B5742</x:f>
        <x:v>0.23120000000000002</x:v>
      </x:c>
      <x:c r="E5742" s="1" t="n">
        <x:v>1.05</x:v>
      </x:c>
      <x:c r="F5742" s="1" t="str">
        <x:v>https://api.octopus.energy/v1/products/AGILE-24-10-01/electricity-tariffs/E-1R-AGILE-24-10-01-G/standard-unit-rates/</x:v>
      </x:c>
    </x:row>
    <x:row r="5743" ht="21" customHeight="1">
      <x:c r="A5743" s="24" t="n">
        <x:v>46268.145833333336</x:v>
      </x:c>
      <x:c r="B5743" s="6" t="n">
        <x:v>0.2259</x:v>
      </x:c>
      <x:c r="C5743" s="6" t="n">
        <x:v>0.1295</x:v>
      </x:c>
      <x:c r="D5743" s="6" t="n">
        <x:f>B5743</x:f>
        <x:v>0.2259</x:v>
      </x:c>
      <x:c r="E5743" s="1" t="n">
        <x:v>1.05</x:v>
      </x:c>
      <x:c r="F5743" s="1" t="str">
        <x:v>https://api.octopus.energy/v1/products/AGILE-24-10-01/electricity-tariffs/E-1R-AGILE-24-10-01-G/standard-unit-rates/</x:v>
      </x:c>
    </x:row>
    <x:row r="5744" ht="21" customHeight="1">
      <x:c r="A5744" s="24" t="n">
        <x:v>46268.166666666664</x:v>
      </x:c>
      <x:c r="B5744" s="6" t="n">
        <x:v>0.24309999999999998</x:v>
      </x:c>
      <x:c r="C5744" s="6" t="n">
        <x:v>0.1374</x:v>
      </x:c>
      <x:c r="D5744" s="6" t="n">
        <x:f>B5744</x:f>
        <x:v>0.24309999999999998</x:v>
      </x:c>
      <x:c r="E5744" s="1" t="n">
        <x:v>1.05</x:v>
      </x:c>
      <x:c r="F5744" s="1" t="str">
        <x:v>https://api.octopus.energy/v1/products/AGILE-24-10-01/electricity-tariffs/E-1R-AGILE-24-10-01-G/standard-unit-rates/</x:v>
      </x:c>
    </x:row>
    <x:row r="5745" ht="21" customHeight="1">
      <x:c r="A5745" s="24" t="n">
        <x:v>46268.1875</x:v>
      </x:c>
      <x:c r="B5745" s="6" t="n">
        <x:v>0.2396</x:v>
      </x:c>
      <x:c r="C5745" s="6" t="n">
        <x:v>0.1358</x:v>
      </x:c>
      <x:c r="D5745" s="6" t="n">
        <x:f>B5745</x:f>
        <x:v>0.2396</x:v>
      </x:c>
      <x:c r="E5745" s="1" t="n">
        <x:v>1.05</x:v>
      </x:c>
      <x:c r="F5745" s="1" t="str">
        <x:v>https://api.octopus.energy/v1/products/AGILE-24-10-01/electricity-tariffs/E-1R-AGILE-24-10-01-G/standard-unit-rates/</x:v>
      </x:c>
    </x:row>
    <x:row r="5746" ht="21" customHeight="1">
      <x:c r="A5746" s="24" t="n">
        <x:v>46268.208333333336</x:v>
      </x:c>
      <x:c r="B5746" s="6" t="n">
        <x:v>0.2666</x:v>
      </x:c>
      <x:c r="C5746" s="6" t="n">
        <x:v>0.1481</x:v>
      </x:c>
      <x:c r="D5746" s="6" t="n">
        <x:f>B5746</x:f>
        <x:v>0.2666</x:v>
      </x:c>
      <x:c r="E5746" s="1" t="n">
        <x:v>1.05</x:v>
      </x:c>
      <x:c r="F5746" s="1" t="str">
        <x:v>https://api.octopus.energy/v1/products/AGILE-24-10-01/electricity-tariffs/E-1R-AGILE-24-10-01-G/standard-unit-rates/</x:v>
      </x:c>
    </x:row>
    <x:row r="5747" ht="21" customHeight="1">
      <x:c r="A5747" s="24" t="n">
        <x:v>46268.229166666664</x:v>
      </x:c>
      <x:c r="B5747" s="6" t="n">
        <x:v>0.29410000000000003</x:v>
      </x:c>
      <x:c r="C5747" s="6" t="n">
        <x:v>0.1607</x:v>
      </x:c>
      <x:c r="D5747" s="6" t="n">
        <x:f>B5747</x:f>
        <x:v>0.29410000000000003</x:v>
      </x:c>
      <x:c r="E5747" s="1" t="n">
        <x:v>1.05</x:v>
      </x:c>
      <x:c r="F5747" s="1" t="str">
        <x:v>https://api.octopus.energy/v1/products/AGILE-24-10-01/electricity-tariffs/E-1R-AGILE-24-10-01-G/standard-unit-rates/</x:v>
      </x:c>
    </x:row>
    <x:row r="5748" ht="21" customHeight="1">
      <x:c r="A5748" s="24" t="n">
        <x:v>46268.25</x:v>
      </x:c>
      <x:c r="B5748" s="6" t="n">
        <x:v>0.2892</x:v>
      </x:c>
      <x:c r="C5748" s="6" t="n">
        <x:v>0.1585</x:v>
      </x:c>
      <x:c r="D5748" s="6" t="n">
        <x:f>B5748</x:f>
        <x:v>0.2892</x:v>
      </x:c>
      <x:c r="E5748" s="1" t="n">
        <x:v>1.05</x:v>
      </x:c>
      <x:c r="F5748" s="1" t="str">
        <x:v>https://api.octopus.energy/v1/products/AGILE-24-10-01/electricity-tariffs/E-1R-AGILE-24-10-01-G/standard-unit-rates/</x:v>
      </x:c>
    </x:row>
    <x:row r="5749" ht="21" customHeight="1">
      <x:c r="A5749" s="24" t="n">
        <x:v>46268.270833333336</x:v>
      </x:c>
      <x:c r="B5749" s="6" t="n">
        <x:v>0.3234</x:v>
      </x:c>
      <x:c r="C5749" s="6" t="n">
        <x:v>0.1741</x:v>
      </x:c>
      <x:c r="D5749" s="6" t="n">
        <x:f>B5749</x:f>
        <x:v>0.3234</x:v>
      </x:c>
      <x:c r="E5749" s="1" t="n">
        <x:v>1.05</x:v>
      </x:c>
      <x:c r="F5749" s="1" t="str">
        <x:v>https://api.octopus.energy/v1/products/AGILE-24-10-01/electricity-tariffs/E-1R-AGILE-24-10-01-G/standard-unit-rates/</x:v>
      </x:c>
    </x:row>
    <x:row r="5750" ht="21" customHeight="1">
      <x:c r="A5750" s="24" t="n">
        <x:v>46268.291666666664</x:v>
      </x:c>
      <x:c r="B5750" s="6" t="n">
        <x:v>0.2948</x:v>
      </x:c>
      <x:c r="C5750" s="6" t="n">
        <x:v>0.161</x:v>
      </x:c>
      <x:c r="D5750" s="6" t="n">
        <x:f>B5750</x:f>
        <x:v>0.2948</x:v>
      </x:c>
      <x:c r="E5750" s="1" t="n">
        <x:v>1.05</x:v>
      </x:c>
      <x:c r="F5750" s="1" t="str">
        <x:v>https://api.octopus.energy/v1/products/AGILE-24-10-01/electricity-tariffs/E-1R-AGILE-24-10-01-G/standard-unit-rates/</x:v>
      </x:c>
    </x:row>
    <x:row r="5751" ht="21" customHeight="1">
      <x:c r="A5751" s="24" t="n">
        <x:v>46268.3125</x:v>
      </x:c>
      <x:c r="B5751" s="6" t="n">
        <x:v>0.3215</x:v>
      </x:c>
      <x:c r="C5751" s="6" t="n">
        <x:v>0.1732</x:v>
      </x:c>
      <x:c r="D5751" s="6" t="n">
        <x:f>B5751</x:f>
        <x:v>0.3215</x:v>
      </x:c>
      <x:c r="E5751" s="1" t="n">
        <x:v>1.05</x:v>
      </x:c>
      <x:c r="F5751" s="1" t="str">
        <x:v>https://api.octopus.energy/v1/products/AGILE-24-10-01/electricity-tariffs/E-1R-AGILE-24-10-01-G/standard-unit-rates/</x:v>
      </x:c>
    </x:row>
    <x:row r="5752" ht="21" customHeight="1">
      <x:c r="A5752" s="24" t="n">
        <x:v>46268.333333333336</x:v>
      </x:c>
      <x:c r="B5752" s="6" t="n">
        <x:v>0.256</x:v>
      </x:c>
      <x:c r="C5752" s="6" t="n">
        <x:v>0.1433</x:v>
      </x:c>
      <x:c r="D5752" s="6" t="n">
        <x:f>B5752</x:f>
        <x:v>0.256</x:v>
      </x:c>
      <x:c r="E5752" s="1" t="n">
        <x:v>1.05</x:v>
      </x:c>
      <x:c r="F5752" s="1" t="str">
        <x:v>https://api.octopus.energy/v1/products/AGILE-24-10-01/electricity-tariffs/E-1R-AGILE-24-10-01-G/standard-unit-rates/</x:v>
      </x:c>
    </x:row>
    <x:row r="5753" ht="21" customHeight="1">
      <x:c r="A5753" s="24" t="n">
        <x:v>46268.354166666664</x:v>
      </x:c>
      <x:c r="B5753" s="6" t="n">
        <x:v>0.2569</x:v>
      </x:c>
      <x:c r="C5753" s="6" t="n">
        <x:v>0.1437</x:v>
      </x:c>
      <x:c r="D5753" s="6" t="n">
        <x:f>B5753</x:f>
        <x:v>0.2569</x:v>
      </x:c>
      <x:c r="E5753" s="1" t="n">
        <x:v>1.05</x:v>
      </x:c>
      <x:c r="F5753" s="1" t="str">
        <x:v>https://api.octopus.energy/v1/products/AGILE-24-10-01/electricity-tariffs/E-1R-AGILE-24-10-01-G/standard-unit-rates/</x:v>
      </x:c>
    </x:row>
    <x:row r="5754" ht="21" customHeight="1">
      <x:c r="A5754" s="24" t="n">
        <x:v>46268.375</x:v>
      </x:c>
      <x:c r="B5754" s="6" t="n">
        <x:v>0.18289999999999998</x:v>
      </x:c>
      <x:c r="C5754" s="6" t="n">
        <x:v>0.1099</x:v>
      </x:c>
      <x:c r="D5754" s="6" t="n">
        <x:f>B5754</x:f>
        <x:v>0.18289999999999998</x:v>
      </x:c>
      <x:c r="E5754" s="1" t="n">
        <x:v>1.05</x:v>
      </x:c>
      <x:c r="F5754" s="1" t="str">
        <x:v>https://api.octopus.energy/v1/products/AGILE-24-10-01/electricity-tariffs/E-1R-AGILE-24-10-01-G/standard-unit-rates/</x:v>
      </x:c>
    </x:row>
    <x:row r="5755" ht="21" customHeight="1">
      <x:c r="A5755" s="24" t="n">
        <x:v>46268.395833333336</x:v>
      </x:c>
      <x:c r="B5755" s="6" t="n">
        <x:v>0.1972</x:v>
      </x:c>
      <x:c r="C5755" s="6" t="n">
        <x:v>0.1164</x:v>
      </x:c>
      <x:c r="D5755" s="6" t="n">
        <x:f>B5755</x:f>
        <x:v>0.1972</x:v>
      </x:c>
      <x:c r="E5755" s="1" t="n">
        <x:v>1.05</x:v>
      </x:c>
      <x:c r="F5755" s="1" t="str">
        <x:v>https://api.octopus.energy/v1/products/AGILE-24-10-01/electricity-tariffs/E-1R-AGILE-24-10-01-G/standard-unit-rates/</x:v>
      </x:c>
    </x:row>
    <x:row r="5756" ht="21" customHeight="1">
      <x:c r="A5756" s="24" t="n">
        <x:v>46268.416666666664</x:v>
      </x:c>
      <x:c r="B5756" s="6" t="n">
        <x:v>0.1508</x:v>
      </x:c>
      <x:c r="C5756" s="6" t="n">
        <x:v>0.09519999999999999</x:v>
      </x:c>
      <x:c r="D5756" s="6" t="n">
        <x:f>B5756</x:f>
        <x:v>0.1508</x:v>
      </x:c>
      <x:c r="E5756" s="1" t="n">
        <x:v>1.05</x:v>
      </x:c>
      <x:c r="F5756" s="1" t="str">
        <x:v>https://api.octopus.energy/v1/products/AGILE-24-10-01/electricity-tariffs/E-1R-AGILE-24-10-01-G/standard-unit-rates/</x:v>
      </x:c>
    </x:row>
    <x:row r="5757" ht="21" customHeight="1">
      <x:c r="A5757" s="24" t="n">
        <x:v>46268.4375</x:v>
      </x:c>
      <x:c r="B5757" s="6" t="n">
        <x:v>0.1437</x:v>
      </x:c>
      <x:c r="C5757" s="6" t="n">
        <x:v>0.092</x:v>
      </x:c>
      <x:c r="D5757" s="6" t="n">
        <x:f>B5757</x:f>
        <x:v>0.1437</x:v>
      </x:c>
      <x:c r="E5757" s="1" t="n">
        <x:v>1.05</x:v>
      </x:c>
      <x:c r="F5757" s="1" t="str">
        <x:v>https://api.octopus.energy/v1/products/AGILE-24-10-01/electricity-tariffs/E-1R-AGILE-24-10-01-G/standard-unit-rates/</x:v>
      </x:c>
    </x:row>
    <x:row r="5758" ht="21" customHeight="1">
      <x:c r="A5758" s="24" t="n">
        <x:v>46268.458333333336</x:v>
      </x:c>
      <x:c r="B5758" s="6" t="n">
        <x:v>0.1027</x:v>
      </x:c>
      <x:c r="C5758" s="6" t="n">
        <x:v>0.0732</x:v>
      </x:c>
      <x:c r="D5758" s="6" t="n">
        <x:f>B5758</x:f>
        <x:v>0.1027</x:v>
      </x:c>
      <x:c r="E5758" s="1" t="n">
        <x:v>1.05</x:v>
      </x:c>
      <x:c r="F5758" s="1" t="str">
        <x:v>https://api.octopus.energy/v1/products/AGILE-24-10-01/electricity-tariffs/E-1R-AGILE-24-10-01-G/standard-unit-rates/</x:v>
      </x:c>
    </x:row>
    <x:row r="5759" ht="21" customHeight="1">
      <x:c r="A5759" s="24" t="n">
        <x:v>46268.479166666664</x:v>
      </x:c>
      <x:c r="B5759" s="6" t="n">
        <x:v>0.1016</x:v>
      </x:c>
      <x:c r="C5759" s="6" t="n">
        <x:v>0.0727</x:v>
      </x:c>
      <x:c r="D5759" s="6" t="n">
        <x:f>B5759</x:f>
        <x:v>0.1016</x:v>
      </x:c>
      <x:c r="E5759" s="1" t="n">
        <x:v>1.05</x:v>
      </x:c>
      <x:c r="F5759" s="1" t="str">
        <x:v>https://api.octopus.energy/v1/products/AGILE-24-10-01/electricity-tariffs/E-1R-AGILE-24-10-01-G/standard-unit-rates/</x:v>
      </x:c>
    </x:row>
    <x:row r="5760" ht="21" customHeight="1">
      <x:c r="A5760" s="24" t="n">
        <x:v>46268.5</x:v>
      </x:c>
      <x:c r="B5760" s="6" t="n">
        <x:v>0.0909</x:v>
      </x:c>
      <x:c r="C5760" s="6" t="n">
        <x:v>0.0678</x:v>
      </x:c>
      <x:c r="D5760" s="6" t="n">
        <x:f>B5760</x:f>
        <x:v>0.0909</x:v>
      </x:c>
      <x:c r="E5760" s="1" t="n">
        <x:v>1.05</x:v>
      </x:c>
      <x:c r="F5760" s="1" t="str">
        <x:v>https://api.octopus.energy/v1/products/AGILE-24-10-01/electricity-tariffs/E-1R-AGILE-24-10-01-G/standard-unit-rates/</x:v>
      </x:c>
    </x:row>
    <x:row r="5761" ht="21" customHeight="1">
      <x:c r="A5761" s="24" t="n">
        <x:v>46268.520833333336</x:v>
      </x:c>
      <x:c r="B5761" s="6" t="n">
        <x:v>0.0883</x:v>
      </x:c>
      <x:c r="C5761" s="6" t="n">
        <x:v>0.0666</x:v>
      </x:c>
      <x:c r="D5761" s="6" t="n">
        <x:f>B5761</x:f>
        <x:v>0.0883</x:v>
      </x:c>
      <x:c r="E5761" s="1" t="n">
        <x:v>1.05</x:v>
      </x:c>
      <x:c r="F5761" s="1" t="str">
        <x:v>https://api.octopus.energy/v1/products/AGILE-24-10-01/electricity-tariffs/E-1R-AGILE-24-10-01-G/standard-unit-rates/</x:v>
      </x:c>
    </x:row>
    <x:row r="5762" ht="21" customHeight="1">
      <x:c r="A5762" s="24" t="n">
        <x:v>46268.541666666664</x:v>
      </x:c>
      <x:c r="B5762" s="6" t="n">
        <x:v>0.0806</x:v>
      </x:c>
      <x:c r="C5762" s="6" t="n">
        <x:v>0.06309999999999999</x:v>
      </x:c>
      <x:c r="D5762" s="6" t="n">
        <x:f>B5762</x:f>
        <x:v>0.0806</x:v>
      </x:c>
      <x:c r="E5762" s="1" t="n">
        <x:v>1.05</x:v>
      </x:c>
      <x:c r="F5762" s="1" t="str">
        <x:v>https://api.octopus.energy/v1/products/AGILE-24-10-01/electricity-tariffs/E-1R-AGILE-24-10-01-G/standard-unit-rates/</x:v>
      </x:c>
    </x:row>
    <x:row r="5763" ht="21" customHeight="1">
      <x:c r="A5763" s="24" t="n">
        <x:v>46268.5625</x:v>
      </x:c>
      <x:c r="B5763" s="6" t="n">
        <x:v>0.0784</x:v>
      </x:c>
      <x:c r="C5763" s="6" t="n">
        <x:v>0.0621</x:v>
      </x:c>
      <x:c r="D5763" s="6" t="n">
        <x:f>B5763</x:f>
        <x:v>0.0784</x:v>
      </x:c>
      <x:c r="E5763" s="1" t="n">
        <x:v>1.05</x:v>
      </x:c>
      <x:c r="F5763" s="1" t="str">
        <x:v>https://api.octopus.energy/v1/products/AGILE-24-10-01/electricity-tariffs/E-1R-AGILE-24-10-01-G/standard-unit-rates/</x:v>
      </x:c>
    </x:row>
    <x:row r="5764" ht="21" customHeight="1">
      <x:c r="A5764" s="24" t="n">
        <x:v>46268.583333333336</x:v>
      </x:c>
      <x:c r="B5764" s="6" t="n">
        <x:v>0.0821</x:v>
      </x:c>
      <x:c r="C5764" s="6" t="n">
        <x:v>0.0638</x:v>
      </x:c>
      <x:c r="D5764" s="6" t="n">
        <x:f>B5764</x:f>
        <x:v>0.0821</x:v>
      </x:c>
      <x:c r="E5764" s="1" t="n">
        <x:v>1.05</x:v>
      </x:c>
      <x:c r="F5764" s="1" t="str">
        <x:v>https://api.octopus.energy/v1/products/AGILE-24-10-01/electricity-tariffs/E-1R-AGILE-24-10-01-G/standard-unit-rates/</x:v>
      </x:c>
    </x:row>
    <x:row r="5765" ht="21" customHeight="1">
      <x:c r="A5765" s="24" t="n">
        <x:v>46268.604166666664</x:v>
      </x:c>
      <x:c r="B5765" s="6" t="n">
        <x:v>0.1059</x:v>
      </x:c>
      <x:c r="C5765" s="6" t="n">
        <x:v>0.0747</x:v>
      </x:c>
      <x:c r="D5765" s="6" t="n">
        <x:f>B5765</x:f>
        <x:v>0.1059</x:v>
      </x:c>
      <x:c r="E5765" s="1" t="n">
        <x:v>1.05</x:v>
      </x:c>
      <x:c r="F5765" s="1" t="str">
        <x:v>https://api.octopus.energy/v1/products/AGILE-24-10-01/electricity-tariffs/E-1R-AGILE-24-10-01-G/standard-unit-rates/</x:v>
      </x:c>
    </x:row>
    <x:row r="5766" ht="21" customHeight="1">
      <x:c r="A5766" s="24" t="n">
        <x:v>46268.625</x:v>
      </x:c>
      <x:c r="B5766" s="6" t="n">
        <x:v>0.1265</x:v>
      </x:c>
      <x:c r="C5766" s="6" t="n">
        <x:v>0.08410000000000001</x:v>
      </x:c>
      <x:c r="D5766" s="6" t="n">
        <x:f>B5766</x:f>
        <x:v>0.1265</x:v>
      </x:c>
      <x:c r="E5766" s="1" t="n">
        <x:v>1.05</x:v>
      </x:c>
      <x:c r="F5766" s="1" t="str">
        <x:v>https://api.octopus.energy/v1/products/AGILE-24-10-01/electricity-tariffs/E-1R-AGILE-24-10-01-G/standard-unit-rates/</x:v>
      </x:c>
    </x:row>
    <x:row r="5767" ht="21" customHeight="1">
      <x:c r="A5767" s="24" t="n">
        <x:v>46268.645833333336</x:v>
      </x:c>
      <x:c r="B5767" s="6" t="n">
        <x:v>0.1586</x:v>
      </x:c>
      <x:c r="C5767" s="6" t="n">
        <x:v>0.09880000000000001</x:v>
      </x:c>
      <x:c r="D5767" s="6" t="n">
        <x:f>B5767</x:f>
        <x:v>0.1586</x:v>
      </x:c>
      <x:c r="E5767" s="1" t="n">
        <x:v>1.05</x:v>
      </x:c>
      <x:c r="F5767" s="1" t="str">
        <x:v>https://api.octopus.energy/v1/products/AGILE-24-10-01/electricity-tariffs/E-1R-AGILE-24-10-01-G/standard-unit-rates/</x:v>
      </x:c>
    </x:row>
    <x:row r="5768" ht="21" customHeight="1">
      <x:c r="A5768" s="24" t="n">
        <x:v>46268.666666666664</x:v>
      </x:c>
      <x:c r="B5768" s="6" t="n">
        <x:v>0.3176</x:v>
      </x:c>
      <x:c r="C5768" s="6" t="n">
        <x:v>0.17550000000000002</x:v>
      </x:c>
      <x:c r="D5768" s="6" t="n">
        <x:f>B5768</x:f>
        <x:v>0.3176</x:v>
      </x:c>
      <x:c r="E5768" s="1" t="n">
        <x:v>1.05</x:v>
      </x:c>
      <x:c r="F5768" s="1" t="str">
        <x:v>https://api.octopus.energy/v1/products/AGILE-24-10-01/electricity-tariffs/E-1R-AGILE-24-10-01-G/standard-unit-rates/</x:v>
      </x:c>
    </x:row>
    <x:row r="5769" ht="21" customHeight="1">
      <x:c r="A5769" s="24" t="n">
        <x:v>46268.6875</x:v>
      </x:c>
      <x:c r="B5769" s="6" t="n">
        <x:v>0.3378</x:v>
      </x:c>
      <x:c r="C5769" s="6" t="n">
        <x:v>0.1848</x:v>
      </x:c>
      <x:c r="D5769" s="6" t="n">
        <x:f>B5769</x:f>
        <x:v>0.3378</x:v>
      </x:c>
      <x:c r="E5769" s="1" t="n">
        <x:v>1.05</x:v>
      </x:c>
      <x:c r="F5769" s="1" t="str">
        <x:v>https://api.octopus.energy/v1/products/AGILE-24-10-01/electricity-tariffs/E-1R-AGILE-24-10-01-G/standard-unit-rates/</x:v>
      </x:c>
    </x:row>
    <x:row r="5770" ht="21" customHeight="1">
      <x:c r="A5770" s="24" t="n">
        <x:v>46268.708333333336</x:v>
      </x:c>
      <x:c r="B5770" s="6" t="n">
        <x:v>0.4045</x:v>
      </x:c>
      <x:c r="C5770" s="6" t="n">
        <x:v>0.2152</x:v>
      </x:c>
      <x:c r="D5770" s="6" t="n">
        <x:f>B5770</x:f>
        <x:v>0.4045</x:v>
      </x:c>
      <x:c r="E5770" s="1" t="n">
        <x:v>1.05</x:v>
      </x:c>
      <x:c r="F5770" s="1" t="str">
        <x:v>https://api.octopus.energy/v1/products/AGILE-24-10-01/electricity-tariffs/E-1R-AGILE-24-10-01-G/standard-unit-rates/</x:v>
      </x:c>
    </x:row>
    <x:row r="5771" ht="21" customHeight="1">
      <x:c r="A5771" s="24" t="n">
        <x:v>46268.729166666664</x:v>
      </x:c>
      <x:c r="B5771" s="6" t="n">
        <x:v>0.43689999999999996</x:v>
      </x:c>
      <x:c r="C5771" s="6" t="n">
        <x:v>0.23</x:v>
      </x:c>
      <x:c r="D5771" s="6" t="n">
        <x:f>B5771</x:f>
        <x:v>0.43689999999999996</x:v>
      </x:c>
      <x:c r="E5771" s="1" t="n">
        <x:v>1.05</x:v>
      </x:c>
      <x:c r="F5771" s="1" t="str">
        <x:v>https://api.octopus.energy/v1/products/AGILE-24-10-01/electricity-tariffs/E-1R-AGILE-24-10-01-G/standard-unit-rates/</x:v>
      </x:c>
    </x:row>
    <x:row r="5772" ht="21" customHeight="1">
      <x:c r="A5772" s="24" t="n">
        <x:v>46268.75</x:v>
      </x:c>
      <x:c r="B5772" s="6" t="n">
        <x:v>0.4604</x:v>
      </x:c>
      <x:c r="C5772" s="6" t="n">
        <x:v>0.2408</x:v>
      </x:c>
      <x:c r="D5772" s="6" t="n">
        <x:f>B5772</x:f>
        <x:v>0.4604</x:v>
      </x:c>
      <x:c r="E5772" s="1" t="n">
        <x:v>1.05</x:v>
      </x:c>
      <x:c r="F5772" s="1" t="str">
        <x:v>https://api.octopus.energy/v1/products/AGILE-24-10-01/electricity-tariffs/E-1R-AGILE-24-10-01-G/standard-unit-rates/</x:v>
      </x:c>
    </x:row>
    <x:row r="5773" ht="21" customHeight="1">
      <x:c r="A5773" s="24" t="n">
        <x:v>46268.770833333336</x:v>
      </x:c>
      <x:c r="B5773" s="6" t="n">
        <x:v>0.4608</x:v>
      </x:c>
      <x:c r="C5773" s="6" t="n">
        <x:v>0.24100000000000002</x:v>
      </x:c>
      <x:c r="D5773" s="6" t="n">
        <x:f>B5773</x:f>
        <x:v>0.4608</x:v>
      </x:c>
      <x:c r="E5773" s="1" t="n">
        <x:v>1.05</x:v>
      </x:c>
      <x:c r="F5773" s="1" t="str">
        <x:v>https://api.octopus.energy/v1/products/AGILE-24-10-01/electricity-tariffs/E-1R-AGILE-24-10-01-G/standard-unit-rates/</x:v>
      </x:c>
    </x:row>
    <x:row r="5774" ht="21" customHeight="1">
      <x:c r="A5774" s="24" t="n">
        <x:v>46268.791666666664</x:v>
      </x:c>
      <x:c r="B5774" s="6" t="n">
        <x:v>0.35719999999999996</x:v>
      </x:c>
      <x:c r="C5774" s="6" t="n">
        <x:v>0.18960000000000002</x:v>
      </x:c>
      <x:c r="D5774" s="6" t="n">
        <x:f>B5774</x:f>
        <x:v>0.35719999999999996</x:v>
      </x:c>
      <x:c r="E5774" s="1" t="n">
        <x:v>1.05</x:v>
      </x:c>
      <x:c r="F5774" s="1" t="str">
        <x:v>https://api.octopus.energy/v1/products/AGILE-24-10-01/electricity-tariffs/E-1R-AGILE-24-10-01-G/standard-unit-rates/</x:v>
      </x:c>
    </x:row>
    <x:row r="5775" ht="21" customHeight="1">
      <x:c r="A5775" s="24" t="n">
        <x:v>46268.8125</x:v>
      </x:c>
      <x:c r="B5775" s="6" t="n">
        <x:v>0.3589</x:v>
      </x:c>
      <x:c r="C5775" s="6" t="n">
        <x:v>0.19030000000000002</x:v>
      </x:c>
      <x:c r="D5775" s="6" t="n">
        <x:f>B5775</x:f>
        <x:v>0.3589</x:v>
      </x:c>
      <x:c r="E5775" s="1" t="n">
        <x:v>1.05</x:v>
      </x:c>
      <x:c r="F5775" s="1" t="str">
        <x:v>https://api.octopus.energy/v1/products/AGILE-24-10-01/electricity-tariffs/E-1R-AGILE-24-10-01-G/standard-unit-rates/</x:v>
      </x:c>
    </x:row>
    <x:row r="5776" ht="21" customHeight="1">
      <x:c r="A5776" s="24" t="n">
        <x:v>46268.833333333336</x:v>
      </x:c>
      <x:c r="B5776" s="6" t="n">
        <x:v>0.3467</x:v>
      </x:c>
      <x:c r="C5776" s="6" t="n">
        <x:v>0.1848</x:v>
      </x:c>
      <x:c r="D5776" s="6" t="n">
        <x:f>B5776</x:f>
        <x:v>0.3467</x:v>
      </x:c>
      <x:c r="E5776" s="1" t="n">
        <x:v>1.05</x:v>
      </x:c>
      <x:c r="F5776" s="1" t="str">
        <x:v>https://api.octopus.energy/v1/products/AGILE-24-10-01/electricity-tariffs/E-1R-AGILE-24-10-01-G/standard-unit-rates/</x:v>
      </x:c>
    </x:row>
    <x:row r="5777" ht="21" customHeight="1">
      <x:c r="A5777" s="24" t="n">
        <x:v>46268.854166666664</x:v>
      </x:c>
      <x:c r="B5777" s="6" t="n">
        <x:v>0.32780000000000004</x:v>
      </x:c>
      <x:c r="C5777" s="6" t="n">
        <x:v>0.1761</x:v>
      </x:c>
      <x:c r="D5777" s="6" t="n">
        <x:f>B5777</x:f>
        <x:v>0.32780000000000004</x:v>
      </x:c>
      <x:c r="E5777" s="1" t="n">
        <x:v>1.05</x:v>
      </x:c>
      <x:c r="F5777" s="1" t="str">
        <x:v>https://api.octopus.energy/v1/products/AGILE-24-10-01/electricity-tariffs/E-1R-AGILE-24-10-01-G/standard-unit-rates/</x:v>
      </x:c>
    </x:row>
    <x:row r="5778" ht="21" customHeight="1">
      <x:c r="A5778" s="24" t="n">
        <x:v>46268.875</x:v>
      </x:c>
      <x:c r="B5778" s="6" t="n">
        <x:v>0.3298</x:v>
      </x:c>
      <x:c r="C5778" s="6" t="n">
        <x:v>0.177</x:v>
      </x:c>
      <x:c r="D5778" s="6" t="n">
        <x:f>B5778</x:f>
        <x:v>0.3298</x:v>
      </x:c>
      <x:c r="E5778" s="1" t="n">
        <x:v>1.05</x:v>
      </x:c>
      <x:c r="F5778" s="1" t="str">
        <x:v>https://api.octopus.energy/v1/products/AGILE-24-10-01/electricity-tariffs/E-1R-AGILE-24-10-01-G/standard-unit-rates/</x:v>
      </x:c>
    </x:row>
    <x:row r="5779" ht="21" customHeight="1">
      <x:c r="A5779" s="24" t="n">
        <x:v>46268.895833333336</x:v>
      </x:c>
      <x:c r="B5779" s="6" t="n">
        <x:v>0.2711</x:v>
      </x:c>
      <x:c r="C5779" s="6" t="n">
        <x:v>0.1502</x:v>
      </x:c>
      <x:c r="D5779" s="6" t="n">
        <x:f>B5779</x:f>
        <x:v>0.2711</x:v>
      </x:c>
      <x:c r="E5779" s="1" t="n">
        <x:v>1.05</x:v>
      </x:c>
      <x:c r="F5779" s="1" t="str">
        <x:v>https://api.octopus.energy/v1/products/AGILE-24-10-01/electricity-tariffs/E-1R-AGILE-24-10-01-G/standard-unit-rates/</x:v>
      </x:c>
    </x:row>
    <x:row r="5780" ht="21" customHeight="1">
      <x:c r="A5780" s="24" t="n">
        <x:v>46268.916666666664</x:v>
      </x:c>
      <x:c r="B5780" s="6" t="n">
        <x:v>0.2812</x:v>
      </x:c>
      <x:c r="C5780" s="6" t="n">
        <x:v>0.1548</x:v>
      </x:c>
      <x:c r="D5780" s="6" t="n">
        <x:f>B5780</x:f>
        <x:v>0.2812</x:v>
      </x:c>
      <x:c r="E5780" s="1" t="n">
        <x:v>1.05</x:v>
      </x:c>
      <x:c r="F5780" s="1" t="str">
        <x:v>https://api.octopus.energy/v1/products/AGILE-24-10-01/electricity-tariffs/E-1R-AGILE-24-10-01-G/standard-unit-rates/</x:v>
      </x:c>
    </x:row>
    <x:row r="5781" ht="21" customHeight="1">
      <x:c r="A5781" s="24" t="n">
        <x:v>46268.9375</x:v>
      </x:c>
      <x:c r="B5781" s="6" t="n">
        <x:v>0.249</x:v>
      </x:c>
      <x:c r="C5781" s="6" t="n">
        <x:v>0.1401</x:v>
      </x:c>
      <x:c r="D5781" s="6" t="n">
        <x:f>B5781</x:f>
        <x:v>0.249</x:v>
      </x:c>
      <x:c r="E5781" s="1" t="n">
        <x:v>1.05</x:v>
      </x:c>
      <x:c r="F5781" s="1" t="str">
        <x:v>https://api.octopus.energy/v1/products/AGILE-24-10-01/electricity-tariffs/E-1R-AGILE-24-10-01-G/standard-unit-rates/</x:v>
      </x:c>
    </x:row>
    <x:row r="5782" ht="21" customHeight="1">
      <x:c r="A5782" s="24" t="n">
        <x:v>46269</x:v>
      </x:c>
      <x:c r="B5782" s="6" t="n">
        <x:v>0.2655</x:v>
      </x:c>
      <x:c r="C5782" s="6" t="n">
        <x:v>0.1476</x:v>
      </x:c>
      <x:c r="D5782" s="6" t="n">
        <x:f>B5782</x:f>
        <x:v>0.2655</x:v>
      </x:c>
      <x:c r="E5782" s="1" t="n">
        <x:v>1.05</x:v>
      </x:c>
      <x:c r="F5782" s="1" t="str">
        <x:v>https://api.octopus.energy/v1/products/AGILE-24-10-01/electricity-tariffs/E-1R-AGILE-24-10-01-G/standard-unit-rates/</x:v>
      </x:c>
    </x:row>
    <x:row r="5783" ht="21" customHeight="1">
      <x:c r="A5783" s="24" t="n">
        <x:v>46268.979166666664</x:v>
      </x:c>
      <x:c r="B5783" s="6" t="n">
        <x:v>0.2421</x:v>
      </x:c>
      <x:c r="C5783" s="6" t="n">
        <x:v>0.1369</x:v>
      </x:c>
      <x:c r="D5783" s="6" t="n">
        <x:f>B5783</x:f>
        <x:v>0.2421</x:v>
      </x:c>
      <x:c r="E5783" s="1" t="n">
        <x:v>1.05</x:v>
      </x:c>
      <x:c r="F5783" s="1" t="str">
        <x:v>https://api.octopus.energy/v1/products/AGILE-24-10-01/electricity-tariffs/E-1R-AGILE-24-10-01-G/standard-unit-rates/</x:v>
      </x:c>
    </x:row>
    <x:row r="5784" ht="21" customHeight="1">
      <x:c r="A5784" s="24" t="n">
        <x:v>46269</x:v>
      </x:c>
      <x:c r="B5784" s="6" t="n">
        <x:v>0.247</x:v>
      </x:c>
      <x:c r="C5784" s="6" t="n">
        <x:v>0.1392</x:v>
      </x:c>
      <x:c r="D5784" s="6" t="n">
        <x:f>B5784</x:f>
        <x:v>0.247</x:v>
      </x:c>
      <x:c r="E5784" s="1" t="n">
        <x:v>1.05</x:v>
      </x:c>
      <x:c r="F5784" s="1" t="str">
        <x:v>https://api.octopus.energy/v1/products/AGILE-24-10-01/electricity-tariffs/E-1R-AGILE-24-10-01-G/standard-unit-rates/</x:v>
      </x:c>
    </x:row>
    <x:row r="5785" ht="21" customHeight="1">
      <x:c r="A5785" s="24" t="n">
        <x:v>46269.020833333336</x:v>
      </x:c>
      <x:c r="B5785" s="6" t="n">
        <x:v>0.22649999999999998</x:v>
      </x:c>
      <x:c r="C5785" s="6" t="n">
        <x:v>0.1298</x:v>
      </x:c>
      <x:c r="D5785" s="6" t="n">
        <x:f>B5785</x:f>
        <x:v>0.22649999999999998</x:v>
      </x:c>
      <x:c r="E5785" s="1" t="n">
        <x:v>1.05</x:v>
      </x:c>
      <x:c r="F5785" s="1" t="str">
        <x:v>https://api.octopus.energy/v1/products/AGILE-24-10-01/electricity-tariffs/E-1R-AGILE-24-10-01-G/standard-unit-rates/</x:v>
      </x:c>
    </x:row>
    <x:row r="5786" ht="21" customHeight="1">
      <x:c r="A5786" s="24" t="n">
        <x:v>46269.041666666664</x:v>
      </x:c>
      <x:c r="B5786" s="6" t="n">
        <x:v>0.2007</x:v>
      </x:c>
      <x:c r="C5786" s="6" t="n">
        <x:v>0.11800000000000001</x:v>
      </x:c>
      <x:c r="D5786" s="6" t="n">
        <x:f>B5786</x:f>
        <x:v>0.2007</x:v>
      </x:c>
      <x:c r="E5786" s="1" t="n">
        <x:v>1.05</x:v>
      </x:c>
      <x:c r="F5786" s="1" t="str">
        <x:v>https://api.octopus.energy/v1/products/AGILE-24-10-01/electricity-tariffs/E-1R-AGILE-24-10-01-G/standard-unit-rates/</x:v>
      </x:c>
    </x:row>
    <x:row r="5787" ht="21" customHeight="1">
      <x:c r="A5787" s="24" t="n">
        <x:v>46269.0625</x:v>
      </x:c>
      <x:c r="B5787" s="6" t="n">
        <x:v>0.19870000000000002</x:v>
      </x:c>
      <x:c r="C5787" s="6" t="n">
        <x:v>0.11710000000000001</x:v>
      </x:c>
      <x:c r="D5787" s="6" t="n">
        <x:f>B5787</x:f>
        <x:v>0.19870000000000002</x:v>
      </x:c>
      <x:c r="E5787" s="1" t="n">
        <x:v>1.05</x:v>
      </x:c>
      <x:c r="F5787" s="1" t="str">
        <x:v>https://api.octopus.energy/v1/products/AGILE-24-10-01/electricity-tariffs/E-1R-AGILE-24-10-01-G/standard-unit-rates/</x:v>
      </x:c>
    </x:row>
    <x:row r="5788" ht="21" customHeight="1">
      <x:c r="A5788" s="24" t="n">
        <x:v>46269.083333333336</x:v>
      </x:c>
      <x:c r="B5788" s="6" t="n">
        <x:v>0.2076</x:v>
      </x:c>
      <x:c r="C5788" s="6" t="n">
        <x:v>0.12119999999999999</x:v>
      </x:c>
      <x:c r="D5788" s="6" t="n">
        <x:f>B5788</x:f>
        <x:v>0.2076</x:v>
      </x:c>
      <x:c r="E5788" s="1" t="n">
        <x:v>1.05</x:v>
      </x:c>
      <x:c r="F5788" s="1" t="str">
        <x:v>https://api.octopus.energy/v1/products/AGILE-24-10-01/electricity-tariffs/E-1R-AGILE-24-10-01-G/standard-unit-rates/</x:v>
      </x:c>
    </x:row>
    <x:row r="5789" ht="21" customHeight="1">
      <x:c r="A5789" s="24" t="n">
        <x:v>46269.104166666664</x:v>
      </x:c>
      <x:c r="B5789" s="6" t="n">
        <x:v>0.19820000000000002</x:v>
      </x:c>
      <x:c r="C5789" s="6" t="n">
        <x:v>0.11689999999999999</x:v>
      </x:c>
      <x:c r="D5789" s="6" t="n">
        <x:f>B5789</x:f>
        <x:v>0.19820000000000002</x:v>
      </x:c>
      <x:c r="E5789" s="1" t="n">
        <x:v>1.05</x:v>
      </x:c>
      <x:c r="F5789" s="1" t="str">
        <x:v>https://api.octopus.energy/v1/products/AGILE-24-10-01/electricity-tariffs/E-1R-AGILE-24-10-01-G/standard-unit-rates/</x:v>
      </x:c>
    </x:row>
    <x:row r="5790" ht="21" customHeight="1">
      <x:c r="A5790" s="24" t="n">
        <x:v>46269.125</x:v>
      </x:c>
      <x:c r="B5790" s="6" t="n">
        <x:v>0.2144</x:v>
      </x:c>
      <x:c r="C5790" s="6" t="n">
        <x:v>0.1243</x:v>
      </x:c>
      <x:c r="D5790" s="6" t="n">
        <x:f>B5790</x:f>
        <x:v>0.2144</x:v>
      </x:c>
      <x:c r="E5790" s="1" t="n">
        <x:v>1.05</x:v>
      </x:c>
      <x:c r="F5790" s="1" t="str">
        <x:v>https://api.octopus.energy/v1/products/AGILE-24-10-01/electricity-tariffs/E-1R-AGILE-24-10-01-G/standard-unit-rates/</x:v>
      </x:c>
    </x:row>
    <x:row r="5791" ht="21" customHeight="1">
      <x:c r="A5791" s="24" t="n">
        <x:v>46269.145833333336</x:v>
      </x:c>
      <x:c r="B5791" s="6" t="n">
        <x:v>0.20600000000000002</x:v>
      </x:c>
      <x:c r="C5791" s="6" t="n">
        <x:v>0.1204</x:v>
      </x:c>
      <x:c r="D5791" s="6" t="n">
        <x:f>B5791</x:f>
        <x:v>0.20600000000000002</x:v>
      </x:c>
      <x:c r="E5791" s="1" t="n">
        <x:v>1.05</x:v>
      </x:c>
      <x:c r="F5791" s="1" t="str">
        <x:v>https://api.octopus.energy/v1/products/AGILE-24-10-01/electricity-tariffs/E-1R-AGILE-24-10-01-G/standard-unit-rates/</x:v>
      </x:c>
    </x:row>
    <x:row r="5792" ht="21" customHeight="1">
      <x:c r="A5792" s="24" t="n">
        <x:v>46269.166666666664</x:v>
      </x:c>
      <x:c r="B5792" s="6" t="n">
        <x:v>0.2144</x:v>
      </x:c>
      <x:c r="C5792" s="6" t="n">
        <x:v>0.1243</x:v>
      </x:c>
      <x:c r="D5792" s="6" t="n">
        <x:f>B5792</x:f>
        <x:v>0.2144</x:v>
      </x:c>
      <x:c r="E5792" s="1" t="n">
        <x:v>1.05</x:v>
      </x:c>
      <x:c r="F5792" s="1" t="str">
        <x:v>https://api.octopus.energy/v1/products/AGILE-24-10-01/electricity-tariffs/E-1R-AGILE-24-10-01-G/standard-unit-rates/</x:v>
      </x:c>
    </x:row>
    <x:row r="5793" ht="21" customHeight="1">
      <x:c r="A5793" s="24" t="n">
        <x:v>46269.1875</x:v>
      </x:c>
      <x:c r="B5793" s="6" t="n">
        <x:v>0.20600000000000002</x:v>
      </x:c>
      <x:c r="C5793" s="6" t="n">
        <x:v>0.1204</x:v>
      </x:c>
      <x:c r="D5793" s="6" t="n">
        <x:f>B5793</x:f>
        <x:v>0.20600000000000002</x:v>
      </x:c>
      <x:c r="E5793" s="1" t="n">
        <x:v>1.05</x:v>
      </x:c>
      <x:c r="F5793" s="1" t="str">
        <x:v>https://api.octopus.energy/v1/products/AGILE-24-10-01/electricity-tariffs/E-1R-AGILE-24-10-01-G/standard-unit-rates/</x:v>
      </x:c>
    </x:row>
    <x:row r="5794" ht="21" customHeight="1">
      <x:c r="A5794" s="24" t="n">
        <x:v>46269.208333333336</x:v>
      </x:c>
      <x:c r="B5794" s="6" t="n">
        <x:v>0.21989999999999998</x:v>
      </x:c>
      <x:c r="C5794" s="6" t="n">
        <x:v>0.1268</x:v>
      </x:c>
      <x:c r="D5794" s="6" t="n">
        <x:f>B5794</x:f>
        <x:v>0.21989999999999998</x:v>
      </x:c>
      <x:c r="E5794" s="1" t="n">
        <x:v>1.05</x:v>
      </x:c>
      <x:c r="F5794" s="1" t="str">
        <x:v>https://api.octopus.energy/v1/products/AGILE-24-10-01/electricity-tariffs/E-1R-AGILE-24-10-01-G/standard-unit-rates/</x:v>
      </x:c>
    </x:row>
    <x:row r="5795" ht="21" customHeight="1">
      <x:c r="A5795" s="24" t="n">
        <x:v>46269.229166666664</x:v>
      </x:c>
      <x:c r="B5795" s="6" t="n">
        <x:v>0.2267</x:v>
      </x:c>
      <x:c r="C5795" s="6" t="n">
        <x:v>0.12990000000000002</x:v>
      </x:c>
      <x:c r="D5795" s="6" t="n">
        <x:f>B5795</x:f>
        <x:v>0.2267</x:v>
      </x:c>
      <x:c r="E5795" s="1" t="n">
        <x:v>1.05</x:v>
      </x:c>
      <x:c r="F5795" s="1" t="str">
        <x:v>https://api.octopus.energy/v1/products/AGILE-24-10-01/electricity-tariffs/E-1R-AGILE-24-10-01-G/standard-unit-rates/</x:v>
      </x:c>
    </x:row>
    <x:row r="5796" ht="21" customHeight="1">
      <x:c r="A5796" s="24" t="n">
        <x:v>46269.25</x:v>
      </x:c>
      <x:c r="B5796" s="6" t="n">
        <x:v>0.2235</x:v>
      </x:c>
      <x:c r="C5796" s="6" t="n">
        <x:v>0.1284</x:v>
      </x:c>
      <x:c r="D5796" s="6" t="n">
        <x:f>B5796</x:f>
        <x:v>0.2235</x:v>
      </x:c>
      <x:c r="E5796" s="1" t="n">
        <x:v>1.05</x:v>
      </x:c>
      <x:c r="F5796" s="1" t="str">
        <x:v>https://api.octopus.energy/v1/products/AGILE-24-10-01/electricity-tariffs/E-1R-AGILE-24-10-01-G/standard-unit-rates/</x:v>
      </x:c>
    </x:row>
    <x:row r="5797" ht="21" customHeight="1">
      <x:c r="A5797" s="24" t="n">
        <x:v>46269.270833333336</x:v>
      </x:c>
      <x:c r="B5797" s="6" t="n">
        <x:v>0.2527</x:v>
      </x:c>
      <x:c r="C5797" s="6" t="n">
        <x:v>0.1418</x:v>
      </x:c>
      <x:c r="D5797" s="6" t="n">
        <x:f>B5797</x:f>
        <x:v>0.2527</x:v>
      </x:c>
      <x:c r="E5797" s="1" t="n">
        <x:v>1.05</x:v>
      </x:c>
      <x:c r="F5797" s="1" t="str">
        <x:v>https://api.octopus.energy/v1/products/AGILE-24-10-01/electricity-tariffs/E-1R-AGILE-24-10-01-G/standard-unit-rates/</x:v>
      </x:c>
    </x:row>
    <x:row r="5798" ht="21" customHeight="1">
      <x:c r="A5798" s="24" t="n">
        <x:v>46269.291666666664</x:v>
      </x:c>
      <x:c r="B5798" s="6" t="n">
        <x:v>0.2554</x:v>
      </x:c>
      <x:c r="C5798" s="6" t="n">
        <x:v>0.14300000000000002</x:v>
      </x:c>
      <x:c r="D5798" s="6" t="n">
        <x:f>B5798</x:f>
        <x:v>0.2554</x:v>
      </x:c>
      <x:c r="E5798" s="1" t="n">
        <x:v>1.05</x:v>
      </x:c>
      <x:c r="F5798" s="1" t="str">
        <x:v>https://api.octopus.energy/v1/products/AGILE-24-10-01/electricity-tariffs/E-1R-AGILE-24-10-01-G/standard-unit-rates/</x:v>
      </x:c>
    </x:row>
    <x:row r="5799" ht="21" customHeight="1">
      <x:c r="A5799" s="24" t="n">
        <x:v>46269.3125</x:v>
      </x:c>
      <x:c r="B5799" s="6" t="n">
        <x:v>0.25989999999999996</x:v>
      </x:c>
      <x:c r="C5799" s="6" t="n">
        <x:v>0.1451</x:v>
      </x:c>
      <x:c r="D5799" s="6" t="n">
        <x:f>B5799</x:f>
        <x:v>0.25989999999999996</x:v>
      </x:c>
      <x:c r="E5799" s="1" t="n">
        <x:v>1.05</x:v>
      </x:c>
      <x:c r="F5799" s="1" t="str">
        <x:v>https://api.octopus.energy/v1/products/AGILE-24-10-01/electricity-tariffs/E-1R-AGILE-24-10-01-G/standard-unit-rates/</x:v>
      </x:c>
    </x:row>
    <x:row r="5800" ht="21" customHeight="1">
      <x:c r="A5800" s="24" t="n">
        <x:v>46269.333333333336</x:v>
      </x:c>
      <x:c r="B5800" s="6" t="n">
        <x:v>0.23329999999999998</x:v>
      </x:c>
      <x:c r="C5800" s="6" t="n">
        <x:v>0.1329</x:v>
      </x:c>
      <x:c r="D5800" s="6" t="n">
        <x:f>B5800</x:f>
        <x:v>0.23329999999999998</x:v>
      </x:c>
      <x:c r="E5800" s="1" t="n">
        <x:v>1.05</x:v>
      </x:c>
      <x:c r="F5800" s="1" t="str">
        <x:v>https://api.octopus.energy/v1/products/AGILE-24-10-01/electricity-tariffs/E-1R-AGILE-24-10-01-G/standard-unit-rates/</x:v>
      </x:c>
    </x:row>
    <x:row r="5801" ht="21" customHeight="1">
      <x:c r="A5801" s="24" t="n">
        <x:v>46269.354166666664</x:v>
      </x:c>
      <x:c r="B5801" s="6" t="n">
        <x:v>0.1968</x:v>
      </x:c>
      <x:c r="C5801" s="6" t="n">
        <x:v>0.1162</x:v>
      </x:c>
      <x:c r="D5801" s="6" t="n">
        <x:f>B5801</x:f>
        <x:v>0.1968</x:v>
      </x:c>
      <x:c r="E5801" s="1" t="n">
        <x:v>1.05</x:v>
      </x:c>
      <x:c r="F5801" s="1" t="str">
        <x:v>https://api.octopus.energy/v1/products/AGILE-24-10-01/electricity-tariffs/E-1R-AGILE-24-10-01-G/standard-unit-rates/</x:v>
      </x:c>
    </x:row>
    <x:row r="5802" ht="21" customHeight="1">
      <x:c r="A5802" s="24" t="n">
        <x:v>46269.375</x:v>
      </x:c>
      <x:c r="B5802" s="6" t="n">
        <x:v>0.1547</x:v>
      </x:c>
      <x:c r="C5802" s="6" t="n">
        <x:v>0.09699999999999999</x:v>
      </x:c>
      <x:c r="D5802" s="6" t="n">
        <x:f>B5802</x:f>
        <x:v>0.1547</x:v>
      </x:c>
      <x:c r="E5802" s="1" t="n">
        <x:v>1.05</x:v>
      </x:c>
      <x:c r="F5802" s="1" t="str">
        <x:v>https://api.octopus.energy/v1/products/AGILE-24-10-01/electricity-tariffs/E-1R-AGILE-24-10-01-G/standard-unit-rates/</x:v>
      </x:c>
    </x:row>
    <x:row r="5803" ht="21" customHeight="1">
      <x:c r="A5803" s="24" t="n">
        <x:v>46269.395833333336</x:v>
      </x:c>
      <x:c r="B5803" s="6" t="n">
        <x:v>0.10619999999999999</x:v>
      </x:c>
      <x:c r="C5803" s="6" t="n">
        <x:v>0.0748</x:v>
      </x:c>
      <x:c r="D5803" s="6" t="n">
        <x:f>B5803</x:f>
        <x:v>0.10619999999999999</x:v>
      </x:c>
      <x:c r="E5803" s="1" t="n">
        <x:v>1.05</x:v>
      </x:c>
      <x:c r="F5803" s="1" t="str">
        <x:v>https://api.octopus.energy/v1/products/AGILE-24-10-01/electricity-tariffs/E-1R-AGILE-24-10-01-G/standard-unit-rates/</x:v>
      </x:c>
    </x:row>
    <x:row r="5804" ht="21" customHeight="1">
      <x:c r="A5804" s="24" t="n">
        <x:v>46269.416666666664</x:v>
      </x:c>
      <x:c r="B5804" s="6" t="n">
        <x:v>0.0785</x:v>
      </x:c>
      <x:c r="C5804" s="6" t="n">
        <x:v>0.0622</x:v>
      </x:c>
      <x:c r="D5804" s="6" t="n">
        <x:f>B5804</x:f>
        <x:v>0.0785</x:v>
      </x:c>
      <x:c r="E5804" s="1" t="n">
        <x:v>1.05</x:v>
      </x:c>
      <x:c r="F5804" s="1" t="str">
        <x:v>https://api.octopus.energy/v1/products/AGILE-24-10-01/electricity-tariffs/E-1R-AGILE-24-10-01-G/standard-unit-rates/</x:v>
      </x:c>
    </x:row>
    <x:row r="5805" ht="21" customHeight="1">
      <x:c r="A5805" s="24" t="n">
        <x:v>46269.4375</x:v>
      </x:c>
      <x:c r="B5805" s="6" t="n">
        <x:v>0.0086</x:v>
      </x:c>
      <x:c r="C5805" s="6" t="n">
        <x:v>0.0302</x:v>
      </x:c>
      <x:c r="D5805" s="6" t="n">
        <x:f>B5805</x:f>
        <x:v>0.0086</x:v>
      </x:c>
      <x:c r="E5805" s="1" t="n">
        <x:v>1.05</x:v>
      </x:c>
      <x:c r="F5805" s="1" t="str">
        <x:v>https://api.octopus.energy/v1/products/AGILE-24-10-01/electricity-tariffs/E-1R-AGILE-24-10-01-G/standard-unit-rates/</x:v>
      </x:c>
    </x:row>
    <x:row r="5806" ht="21" customHeight="1">
      <x:c r="A5806" s="24" t="n">
        <x:v>46269.458333333336</x:v>
      </x:c>
      <x:c r="B5806" s="6" t="n">
        <x:v>0.015600000000000001</x:v>
      </x:c>
      <x:c r="C5806" s="6" t="n">
        <x:v>0.0334</x:v>
      </x:c>
      <x:c r="D5806" s="6" t="n">
        <x:f>B5806</x:f>
        <x:v>0.015600000000000001</x:v>
      </x:c>
      <x:c r="E5806" s="1" t="n">
        <x:v>1.05</x:v>
      </x:c>
      <x:c r="F5806" s="1" t="str">
        <x:v>https://api.octopus.energy/v1/products/AGILE-24-10-01/electricity-tariffs/E-1R-AGILE-24-10-01-G/standard-unit-rates/</x:v>
      </x:c>
    </x:row>
    <x:row r="5807" ht="21" customHeight="1">
      <x:c r="A5807" s="24" t="n">
        <x:v>46269.479166666664</x:v>
      </x:c>
      <x:c r="B5807" s="6" t="n">
        <x:v>-0.0097</x:v>
      </x:c>
      <x:c r="C5807" s="6" t="n">
        <x:v>0.0218</x:v>
      </x:c>
      <x:c r="D5807" s="6" t="n">
        <x:f>B5807</x:f>
        <x:v>-0.0097</x:v>
      </x:c>
      <x:c r="E5807" s="1" t="n">
        <x:v>1.05</x:v>
      </x:c>
      <x:c r="F5807" s="1" t="str">
        <x:v>https://api.octopus.energy/v1/products/AGILE-24-10-01/electricity-tariffs/E-1R-AGILE-24-10-01-G/standard-unit-rates/</x:v>
      </x:c>
    </x:row>
    <x:row r="5808" ht="21" customHeight="1">
      <x:c r="A5808" s="24" t="n">
        <x:v>46269.5</x:v>
      </x:c>
      <x:c r="B5808" s="6" t="n">
        <x:v>-0.0258</x:v>
      </x:c>
      <x:c r="C5808" s="6" t="n">
        <x:v>0.014499999999999999</x:v>
      </x:c>
      <x:c r="D5808" s="6" t="n">
        <x:f>B5808</x:f>
        <x:v>-0.0258</x:v>
      </x:c>
      <x:c r="E5808" s="1" t="n">
        <x:v>1.05</x:v>
      </x:c>
      <x:c r="F5808" s="1" t="str">
        <x:v>https://api.octopus.energy/v1/products/AGILE-24-10-01/electricity-tariffs/E-1R-AGILE-24-10-01-G/standard-unit-rates/</x:v>
      </x:c>
    </x:row>
    <x:row r="5809" ht="21" customHeight="1">
      <x:c r="A5809" s="24" t="n">
        <x:v>46269.520833333336</x:v>
      </x:c>
      <x:c r="B5809" s="6" t="n">
        <x:v>-0.019799999999999998</x:v>
      </x:c>
      <x:c r="C5809" s="6" t="n">
        <x:v>0.0172</x:v>
      </x:c>
      <x:c r="D5809" s="6" t="n">
        <x:f>B5809</x:f>
        <x:v>-0.019799999999999998</x:v>
      </x:c>
      <x:c r="E5809" s="1" t="n">
        <x:v>1.05</x:v>
      </x:c>
      <x:c r="F5809" s="1" t="str">
        <x:v>https://api.octopus.energy/v1/products/AGILE-24-10-01/electricity-tariffs/E-1R-AGILE-24-10-01-G/standard-unit-rates/</x:v>
      </x:c>
    </x:row>
    <x:row r="5810" ht="21" customHeight="1">
      <x:c r="A5810" s="24" t="n">
        <x:v>46269.541666666664</x:v>
      </x:c>
      <x:c r="B5810" s="6" t="n">
        <x:v>-0.0207</x:v>
      </x:c>
      <x:c r="C5810" s="6" t="n">
        <x:v>0.0168</x:v>
      </x:c>
      <x:c r="D5810" s="6" t="n">
        <x:f>B5810</x:f>
        <x:v>-0.0207</x:v>
      </x:c>
      <x:c r="E5810" s="1" t="n">
        <x:v>1.05</x:v>
      </x:c>
      <x:c r="F5810" s="1" t="str">
        <x:v>https://api.octopus.energy/v1/products/AGILE-24-10-01/electricity-tariffs/E-1R-AGILE-24-10-01-G/standard-unit-rates/</x:v>
      </x:c>
    </x:row>
    <x:row r="5811" ht="21" customHeight="1">
      <x:c r="A5811" s="24" t="n">
        <x:v>46269.5625</x:v>
      </x:c>
      <x:c r="B5811" s="6" t="n">
        <x:v>-0.024700000000000003</x:v>
      </x:c>
      <x:c r="C5811" s="6" t="n">
        <x:v>0.015</x:v>
      </x:c>
      <x:c r="D5811" s="6" t="n">
        <x:f>B5811</x:f>
        <x:v>-0.024700000000000003</x:v>
      </x:c>
      <x:c r="E5811" s="1" t="n">
        <x:v>1.05</x:v>
      </x:c>
      <x:c r="F5811" s="1" t="str">
        <x:v>https://api.octopus.energy/v1/products/AGILE-24-10-01/electricity-tariffs/E-1R-AGILE-24-10-01-G/standard-unit-rates/</x:v>
      </x:c>
    </x:row>
    <x:row r="5812" ht="21" customHeight="1">
      <x:c r="A5812" s="24" t="n">
        <x:v>46269.583333333336</x:v>
      </x:c>
      <x:c r="B5812" s="6" t="n">
        <x:v>-0.0187</x:v>
      </x:c>
      <x:c r="C5812" s="6" t="n">
        <x:v>0.0177</x:v>
      </x:c>
      <x:c r="D5812" s="6" t="n">
        <x:f>B5812</x:f>
        <x:v>-0.0187</x:v>
      </x:c>
      <x:c r="E5812" s="1" t="n">
        <x:v>1.05</x:v>
      </x:c>
      <x:c r="F5812" s="1" t="str">
        <x:v>https://api.octopus.energy/v1/products/AGILE-24-10-01/electricity-tariffs/E-1R-AGILE-24-10-01-G/standard-unit-rates/</x:v>
      </x:c>
    </x:row>
    <x:row r="5813" ht="21" customHeight="1">
      <x:c r="A5813" s="24" t="n">
        <x:v>46269.604166666664</x:v>
      </x:c>
      <x:c r="B5813" s="6" t="n">
        <x:v>-0.0229</x:v>
      </x:c>
      <x:c r="C5813" s="6" t="n">
        <x:v>0.0158</x:v>
      </x:c>
      <x:c r="D5813" s="6" t="n">
        <x:f>B5813</x:f>
        <x:v>-0.0229</x:v>
      </x:c>
      <x:c r="E5813" s="1" t="n">
        <x:v>1.05</x:v>
      </x:c>
      <x:c r="F5813" s="1" t="str">
        <x:v>https://api.octopus.energy/v1/products/AGILE-24-10-01/electricity-tariffs/E-1R-AGILE-24-10-01-G/standard-unit-rates/</x:v>
      </x:c>
    </x:row>
    <x:row r="5814" ht="21" customHeight="1">
      <x:c r="A5814" s="24" t="n">
        <x:v>46269.625</x:v>
      </x:c>
      <x:c r="B5814" s="6" t="n">
        <x:v>-0.015300000000000001</x:v>
      </x:c>
      <x:c r="C5814" s="6" t="n">
        <x:v>0.019299999999999998</x:v>
      </x:c>
      <x:c r="D5814" s="6" t="n">
        <x:f>B5814</x:f>
        <x:v>-0.015300000000000001</x:v>
      </x:c>
      <x:c r="E5814" s="1" t="n">
        <x:v>1.05</x:v>
      </x:c>
      <x:c r="F5814" s="1" t="str">
        <x:v>https://api.octopus.energy/v1/products/AGILE-24-10-01/electricity-tariffs/E-1R-AGILE-24-10-01-G/standard-unit-rates/</x:v>
      </x:c>
    </x:row>
    <x:row r="5815" ht="21" customHeight="1">
      <x:c r="A5815" s="24" t="n">
        <x:v>46269.645833333336</x:v>
      </x:c>
      <x:c r="B5815" s="6" t="n">
        <x:v>0.0027</x:v>
      </x:c>
      <x:c r="C5815" s="6" t="n">
        <x:v>0.0275</x:v>
      </x:c>
      <x:c r="D5815" s="6" t="n">
        <x:f>B5815</x:f>
        <x:v>0.0027</x:v>
      </x:c>
      <x:c r="E5815" s="1" t="n">
        <x:v>1.05</x:v>
      </x:c>
      <x:c r="F5815" s="1" t="str">
        <x:v>https://api.octopus.energy/v1/products/AGILE-24-10-01/electricity-tariffs/E-1R-AGILE-24-10-01-G/standard-unit-rates/</x:v>
      </x:c>
    </x:row>
    <x:row r="5816" ht="21" customHeight="1">
      <x:c r="A5816" s="24" t="n">
        <x:v>46269.666666666664</x:v>
      </x:c>
      <x:c r="B5816" s="6" t="n">
        <x:v>0.1595</x:v>
      </x:c>
      <x:c r="C5816" s="6" t="n">
        <x:v>0.1032</x:v>
      </x:c>
      <x:c r="D5816" s="6" t="n">
        <x:f>B5816</x:f>
        <x:v>0.1595</x:v>
      </x:c>
      <x:c r="E5816" s="1" t="n">
        <x:v>1.05</x:v>
      </x:c>
      <x:c r="F5816" s="1" t="str">
        <x:v>https://api.octopus.energy/v1/products/AGILE-24-10-01/electricity-tariffs/E-1R-AGILE-24-10-01-G/standard-unit-rates/</x:v>
      </x:c>
    </x:row>
    <x:row r="5817" ht="21" customHeight="1">
      <x:c r="A5817" s="24" t="n">
        <x:v>46269.6875</x:v>
      </x:c>
      <x:c r="B5817" s="6" t="n">
        <x:v>0.22519999999999998</x:v>
      </x:c>
      <x:c r="C5817" s="6" t="n">
        <x:v>0.1333</x:v>
      </x:c>
      <x:c r="D5817" s="6" t="n">
        <x:f>B5817</x:f>
        <x:v>0.22519999999999998</x:v>
      </x:c>
      <x:c r="E5817" s="1" t="n">
        <x:v>1.05</x:v>
      </x:c>
      <x:c r="F5817" s="1" t="str">
        <x:v>https://api.octopus.energy/v1/products/AGILE-24-10-01/electricity-tariffs/E-1R-AGILE-24-10-01-G/standard-unit-rates/</x:v>
      </x:c>
    </x:row>
    <x:row r="5818" ht="21" customHeight="1">
      <x:c r="A5818" s="24" t="n">
        <x:v>46269.708333333336</x:v>
      </x:c>
      <x:c r="B5818" s="6" t="n">
        <x:v>0.3084</x:v>
      </x:c>
      <x:c r="C5818" s="6" t="n">
        <x:v>0.17129999999999998</x:v>
      </x:c>
      <x:c r="D5818" s="6" t="n">
        <x:f>B5818</x:f>
        <x:v>0.3084</x:v>
      </x:c>
      <x:c r="E5818" s="1" t="n">
        <x:v>1.05</x:v>
      </x:c>
      <x:c r="F5818" s="1" t="str">
        <x:v>https://api.octopus.energy/v1/products/AGILE-24-10-01/electricity-tariffs/E-1R-AGILE-24-10-01-G/standard-unit-rates/</x:v>
      </x:c>
    </x:row>
    <x:row r="5819" ht="21" customHeight="1">
      <x:c r="A5819" s="24" t="n">
        <x:v>46269.729166666664</x:v>
      </x:c>
      <x:c r="B5819" s="6" t="n">
        <x:v>0.33520000000000005</x:v>
      </x:c>
      <x:c r="C5819" s="6" t="n">
        <x:v>0.18359999999999999</x:v>
      </x:c>
      <x:c r="D5819" s="6" t="n">
        <x:f>B5819</x:f>
        <x:v>0.33520000000000005</x:v>
      </x:c>
      <x:c r="E5819" s="1" t="n">
        <x:v>1.05</x:v>
      </x:c>
      <x:c r="F5819" s="1" t="str">
        <x:v>https://api.octopus.energy/v1/products/AGILE-24-10-01/electricity-tariffs/E-1R-AGILE-24-10-01-G/standard-unit-rates/</x:v>
      </x:c>
    </x:row>
    <x:row r="5820" ht="21" customHeight="1">
      <x:c r="A5820" s="24" t="n">
        <x:v>46269.75</x:v>
      </x:c>
      <x:c r="B5820" s="6" t="n">
        <x:v>0.3398</x:v>
      </x:c>
      <x:c r="C5820" s="6" t="n">
        <x:v>0.1856</x:v>
      </x:c>
      <x:c r="D5820" s="6" t="n">
        <x:f>B5820</x:f>
        <x:v>0.3398</x:v>
      </x:c>
      <x:c r="E5820" s="1" t="n">
        <x:v>1.05</x:v>
      </x:c>
      <x:c r="F5820" s="1" t="str">
        <x:v>https://api.octopus.energy/v1/products/AGILE-24-10-01/electricity-tariffs/E-1R-AGILE-24-10-01-G/standard-unit-rates/</x:v>
      </x:c>
    </x:row>
    <x:row r="5821" ht="21" customHeight="1">
      <x:c r="A5821" s="24" t="n">
        <x:v>46269.770833333336</x:v>
      </x:c>
      <x:c r="B5821" s="6" t="n">
        <x:v>0.34600000000000003</x:v>
      </x:c>
      <x:c r="C5821" s="6" t="n">
        <x:v>0.1885</x:v>
      </x:c>
      <x:c r="D5821" s="6" t="n">
        <x:f>B5821</x:f>
        <x:v>0.34600000000000003</x:v>
      </x:c>
      <x:c r="E5821" s="1" t="n">
        <x:v>1.05</x:v>
      </x:c>
      <x:c r="F5821" s="1" t="str">
        <x:v>https://api.octopus.energy/v1/products/AGILE-24-10-01/electricity-tariffs/E-1R-AGILE-24-10-01-G/standard-unit-rates/</x:v>
      </x:c>
    </x:row>
    <x:row r="5822" ht="21" customHeight="1">
      <x:c r="A5822" s="24" t="n">
        <x:v>46269.791666666664</x:v>
      </x:c>
      <x:c r="B5822" s="6" t="n">
        <x:v>0.2127</x:v>
      </x:c>
      <x:c r="C5822" s="6" t="n">
        <x:v>0.1235</x:v>
      </x:c>
      <x:c r="D5822" s="6" t="n">
        <x:f>B5822</x:f>
        <x:v>0.2127</x:v>
      </x:c>
      <x:c r="E5822" s="1" t="n">
        <x:v>1.05</x:v>
      </x:c>
      <x:c r="F5822" s="1" t="str">
        <x:v>https://api.octopus.energy/v1/products/AGILE-24-10-01/electricity-tariffs/E-1R-AGILE-24-10-01-G/standard-unit-rates/</x:v>
      </x:c>
    </x:row>
    <x:row r="5823" ht="21" customHeight="1">
      <x:c r="A5823" s="24" t="n">
        <x:v>46269.8125</x:v>
      </x:c>
      <x:c r="B5823" s="6" t="n">
        <x:v>0.2299</x:v>
      </x:c>
      <x:c r="C5823" s="6" t="n">
        <x:v>0.13140000000000002</x:v>
      </x:c>
      <x:c r="D5823" s="6" t="n">
        <x:f>B5823</x:f>
        <x:v>0.2299</x:v>
      </x:c>
      <x:c r="E5823" s="1" t="n">
        <x:v>1.05</x:v>
      </x:c>
      <x:c r="F5823" s="1" t="str">
        <x:v>https://api.octopus.energy/v1/products/AGILE-24-10-01/electricity-tariffs/E-1R-AGILE-24-10-01-G/standard-unit-rates/</x:v>
      </x:c>
    </x:row>
    <x:row r="5824" ht="21" customHeight="1">
      <x:c r="A5824" s="24" t="n">
        <x:v>46269.833333333336</x:v>
      </x:c>
      <x:c r="B5824" s="6" t="n">
        <x:v>0.2299</x:v>
      </x:c>
      <x:c r="C5824" s="6" t="n">
        <x:v>0.13140000000000002</x:v>
      </x:c>
      <x:c r="D5824" s="6" t="n">
        <x:f>B5824</x:f>
        <x:v>0.2299</x:v>
      </x:c>
      <x:c r="E5824" s="1" t="n">
        <x:v>1.05</x:v>
      </x:c>
      <x:c r="F5824" s="1" t="str">
        <x:v>https://api.octopus.energy/v1/products/AGILE-24-10-01/electricity-tariffs/E-1R-AGILE-24-10-01-G/standard-unit-rates/</x:v>
      </x:c>
    </x:row>
    <x:row r="5825" ht="21" customHeight="1">
      <x:c r="A5825" s="24" t="n">
        <x:v>46269.854166666664</x:v>
      </x:c>
      <x:c r="B5825" s="6" t="n">
        <x:v>0.2207</x:v>
      </x:c>
      <x:c r="C5825" s="6" t="n">
        <x:v>0.1272</x:v>
      </x:c>
      <x:c r="D5825" s="6" t="n">
        <x:f>B5825</x:f>
        <x:v>0.2207</x:v>
      </x:c>
      <x:c r="E5825" s="1" t="n">
        <x:v>1.05</x:v>
      </x:c>
      <x:c r="F5825" s="1" t="str">
        <x:v>https://api.octopus.energy/v1/products/AGILE-24-10-01/electricity-tariffs/E-1R-AGILE-24-10-01-G/standard-unit-rates/</x:v>
      </x:c>
    </x:row>
    <x:row r="5826" ht="21" customHeight="1">
      <x:c r="A5826" s="24" t="n">
        <x:v>46269.875</x:v>
      </x:c>
      <x:c r="B5826" s="6" t="n">
        <x:v>0.2186</x:v>
      </x:c>
      <x:c r="C5826" s="6" t="n">
        <x:v>0.12619999999999998</x:v>
      </x:c>
      <x:c r="D5826" s="6" t="n">
        <x:f>B5826</x:f>
        <x:v>0.2186</x:v>
      </x:c>
      <x:c r="E5826" s="1" t="n">
        <x:v>1.05</x:v>
      </x:c>
      <x:c r="F5826" s="1" t="str">
        <x:v>https://api.octopus.energy/v1/products/AGILE-24-10-01/electricity-tariffs/E-1R-AGILE-24-10-01-G/standard-unit-rates/</x:v>
      </x:c>
    </x:row>
    <x:row r="5827" ht="21" customHeight="1">
      <x:c r="A5827" s="24" t="n">
        <x:v>46269.895833333336</x:v>
      </x:c>
      <x:c r="B5827" s="6" t="n">
        <x:v>0.21230000000000002</x:v>
      </x:c>
      <x:c r="C5827" s="6" t="n">
        <x:v>0.1233</x:v>
      </x:c>
      <x:c r="D5827" s="6" t="n">
        <x:f>B5827</x:f>
        <x:v>0.21230000000000002</x:v>
      </x:c>
      <x:c r="E5827" s="1" t="n">
        <x:v>1.05</x:v>
      </x:c>
      <x:c r="F5827" s="1" t="str">
        <x:v>https://api.octopus.energy/v1/products/AGILE-24-10-01/electricity-tariffs/E-1R-AGILE-24-10-01-G/standard-unit-rates/</x:v>
      </x:c>
    </x:row>
    <x:row r="5828" ht="21" customHeight="1">
      <x:c r="A5828" s="24" t="n">
        <x:v>46269.916666666664</x:v>
      </x:c>
      <x:c r="B5828" s="6" t="n">
        <x:v>0.1766</x:v>
      </x:c>
      <x:c r="C5828" s="6" t="n">
        <x:v>0.107</x:v>
      </x:c>
      <x:c r="D5828" s="6" t="n">
        <x:f>B5828</x:f>
        <x:v>0.1766</x:v>
      </x:c>
      <x:c r="E5828" s="1" t="n">
        <x:v>1.05</x:v>
      </x:c>
      <x:c r="F5828" s="1" t="str">
        <x:v>https://api.octopus.energy/v1/products/AGILE-24-10-01/electricity-tariffs/E-1R-AGILE-24-10-01-G/standard-unit-rates/</x:v>
      </x:c>
    </x:row>
    <x:row r="5829" ht="21" customHeight="1">
      <x:c r="A5829" s="24" t="n">
        <x:v>46269.9375</x:v>
      </x:c>
      <x:c r="B5829" s="6" t="n">
        <x:v>0.1505</x:v>
      </x:c>
      <x:c r="C5829" s="6" t="n">
        <x:v>0.0951</x:v>
      </x:c>
      <x:c r="D5829" s="6" t="n">
        <x:f>B5829</x:f>
        <x:v>0.1505</x:v>
      </x:c>
      <x:c r="E5829" s="1" t="n">
        <x:v>1.05</x:v>
      </x:c>
      <x:c r="F5829" s="1" t="str">
        <x:v>https://api.octopus.energy/v1/products/AGILE-24-10-01/electricity-tariffs/E-1R-AGILE-24-10-01-G/standard-unit-rates/</x:v>
      </x:c>
    </x:row>
    <x:row r="5830" ht="21" customHeight="1">
      <x:c r="A5830" s="24" t="n">
        <x:v>46270</x:v>
      </x:c>
      <x:c r="B5830" s="6" t="n">
        <x:v>0.10869999999999999</x:v>
      </x:c>
      <x:c r="C5830" s="6" t="n">
        <x:v>0.076</x:v>
      </x:c>
      <x:c r="D5830" s="6" t="n">
        <x:f>B5830</x:f>
        <x:v>0.10869999999999999</x:v>
      </x:c>
      <x:c r="E5830" s="1" t="n">
        <x:v>1.05</x:v>
      </x:c>
      <x:c r="F5830" s="1" t="str">
        <x:v>https://api.octopus.energy/v1/products/AGILE-24-10-01/electricity-tariffs/E-1R-AGILE-24-10-01-G/standard-unit-rates/</x:v>
      </x:c>
    </x:row>
    <x:row r="5831" ht="21" customHeight="1">
      <x:c r="A5831" s="24" t="n">
        <x:v>46269.979166666664</x:v>
      </x:c>
      <x:c r="B5831" s="6" t="n">
        <x:v>0.0784</x:v>
      </x:c>
      <x:c r="C5831" s="6" t="n">
        <x:v>0.0621</x:v>
      </x:c>
      <x:c r="D5831" s="6" t="n">
        <x:f>B5831</x:f>
        <x:v>0.0784</x:v>
      </x:c>
      <x:c r="E5831" s="1" t="n">
        <x:v>1.05</x:v>
      </x:c>
      <x:c r="F5831" s="1" t="str">
        <x:v>https://api.octopus.energy/v1/products/AGILE-24-10-01/electricity-tariffs/E-1R-AGILE-24-10-01-G/standard-unit-rates/</x:v>
      </x:c>
    </x:row>
    <x:row r="5832" ht="21" customHeight="1">
      <x:c r="A5832" s="24" t="n">
        <x:v>46270</x:v>
      </x:c>
      <x:c r="B5832" s="6" t="n">
        <x:v>0.08259999999999999</x:v>
      </x:c>
      <x:c r="C5832" s="6" t="n">
        <x:v>0.064</x:v>
      </x:c>
      <x:c r="D5832" s="6" t="n">
        <x:f>B5832</x:f>
        <x:v>0.08259999999999999</x:v>
      </x:c>
      <x:c r="E5832" s="1" t="n">
        <x:v>1.05</x:v>
      </x:c>
      <x:c r="F5832" s="1" t="str">
        <x:v>https://api.octopus.energy/v1/products/AGILE-24-10-01/electricity-tariffs/E-1R-AGILE-24-10-01-G/standard-unit-rates/</x:v>
      </x:c>
    </x:row>
    <x:row r="5833" ht="21" customHeight="1">
      <x:c r="A5833" s="24" t="n">
        <x:v>46270.020833333336</x:v>
      </x:c>
      <x:c r="B5833" s="6" t="n">
        <x:v>0.0781</x:v>
      </x:c>
      <x:c r="C5833" s="6" t="n">
        <x:v>0.062</x:v>
      </x:c>
      <x:c r="D5833" s="6" t="n">
        <x:f>B5833</x:f>
        <x:v>0.0781</x:v>
      </x:c>
      <x:c r="E5833" s="1" t="n">
        <x:v>1.05</x:v>
      </x:c>
      <x:c r="F5833" s="1" t="str">
        <x:v>https://api.octopus.energy/v1/products/AGILE-24-10-01/electricity-tariffs/E-1R-AGILE-24-10-01-G/standard-unit-rates/</x:v>
      </x:c>
    </x:row>
    <x:row r="5834" ht="21" customHeight="1">
      <x:c r="A5834" s="24" t="n">
        <x:v>46270.041666666664</x:v>
      </x:c>
      <x:c r="B5834" s="6" t="n">
        <x:v>0.0779</x:v>
      </x:c>
      <x:c r="C5834" s="6" t="n">
        <x:v>0.061900000000000004</x:v>
      </x:c>
      <x:c r="D5834" s="6" t="n">
        <x:f>B5834</x:f>
        <x:v>0.0779</x:v>
      </x:c>
      <x:c r="E5834" s="1" t="n">
        <x:v>1.05</x:v>
      </x:c>
      <x:c r="F5834" s="1" t="str">
        <x:v>https://api.octopus.energy/v1/products/AGILE-24-10-01/electricity-tariffs/E-1R-AGILE-24-10-01-G/standard-unit-rates/</x:v>
      </x:c>
    </x:row>
    <x:row r="5835" ht="21" customHeight="1">
      <x:c r="A5835" s="24" t="n">
        <x:v>46270.0625</x:v>
      </x:c>
      <x:c r="B5835" s="6" t="n">
        <x:v>0.0848</x:v>
      </x:c>
      <x:c r="C5835" s="6" t="n">
        <x:v>0.065</x:v>
      </x:c>
      <x:c r="D5835" s="6" t="n">
        <x:f>B5835</x:f>
        <x:v>0.0848</x:v>
      </x:c>
      <x:c r="E5835" s="1" t="n">
        <x:v>1.05</x:v>
      </x:c>
      <x:c r="F5835" s="1" t="str">
        <x:v>https://api.octopus.energy/v1/products/AGILE-24-10-01/electricity-tariffs/E-1R-AGILE-24-10-01-G/standard-unit-rates/</x:v>
      </x:c>
    </x:row>
    <x:row r="5836" ht="21" customHeight="1">
      <x:c r="A5836" s="24" t="n">
        <x:v>46270.083333333336</x:v>
      </x:c>
      <x:c r="B5836" s="6" t="n">
        <x:v>0.0674</x:v>
      </x:c>
      <x:c r="C5836" s="6" t="n">
        <x:v>0.0571</x:v>
      </x:c>
      <x:c r="D5836" s="6" t="n">
        <x:f>B5836</x:f>
        <x:v>0.0674</x:v>
      </x:c>
      <x:c r="E5836" s="1" t="n">
        <x:v>1.05</x:v>
      </x:c>
      <x:c r="F5836" s="1" t="str">
        <x:v>https://api.octopus.energy/v1/products/AGILE-24-10-01/electricity-tariffs/E-1R-AGILE-24-10-01-G/standard-unit-rates/</x:v>
      </x:c>
    </x:row>
    <x:row r="5837" ht="21" customHeight="1">
      <x:c r="A5837" s="24" t="n">
        <x:v>46270.104166666664</x:v>
      </x:c>
      <x:c r="B5837" s="6" t="n">
        <x:v>0.0675</x:v>
      </x:c>
      <x:c r="C5837" s="6" t="n">
        <x:v>0.0571</x:v>
      </x:c>
      <x:c r="D5837" s="6" t="n">
        <x:f>B5837</x:f>
        <x:v>0.0675</x:v>
      </x:c>
      <x:c r="E5837" s="1" t="n">
        <x:v>1.05</x:v>
      </x:c>
      <x:c r="F5837" s="1" t="str">
        <x:v>https://api.octopus.energy/v1/products/AGILE-24-10-01/electricity-tariffs/E-1R-AGILE-24-10-01-G/standard-unit-rates/</x:v>
      </x:c>
    </x:row>
    <x:row r="5838" ht="21" customHeight="1">
      <x:c r="A5838" s="24" t="n">
        <x:v>46270.125</x:v>
      </x:c>
      <x:c r="B5838" s="6" t="n">
        <x:v>0.0603</x:v>
      </x:c>
      <x:c r="C5838" s="6" t="n">
        <x:v>0.0538</x:v>
      </x:c>
      <x:c r="D5838" s="6" t="n">
        <x:f>B5838</x:f>
        <x:v>0.0603</x:v>
      </x:c>
      <x:c r="E5838" s="1" t="n">
        <x:v>1.05</x:v>
      </x:c>
      <x:c r="F5838" s="1" t="str">
        <x:v>https://api.octopus.energy/v1/products/AGILE-24-10-01/electricity-tariffs/E-1R-AGILE-24-10-01-G/standard-unit-rates/</x:v>
      </x:c>
    </x:row>
    <x:row r="5839" ht="21" customHeight="1">
      <x:c r="A5839" s="24" t="n">
        <x:v>46270.145833333336</x:v>
      </x:c>
      <x:c r="B5839" s="6" t="n">
        <x:v>0.062400000000000004</x:v>
      </x:c>
      <x:c r="C5839" s="6" t="n">
        <x:v>0.0548</x:v>
      </x:c>
      <x:c r="D5839" s="6" t="n">
        <x:f>B5839</x:f>
        <x:v>0.062400000000000004</x:v>
      </x:c>
      <x:c r="E5839" s="1" t="n">
        <x:v>1.05</x:v>
      </x:c>
      <x:c r="F5839" s="1" t="str">
        <x:v>https://api.octopus.energy/v1/products/AGILE-24-10-01/electricity-tariffs/E-1R-AGILE-24-10-01-G/standard-unit-rates/</x:v>
      </x:c>
    </x:row>
    <x:row r="5840" ht="21" customHeight="1">
      <x:c r="A5840" s="24" t="n">
        <x:v>46270.166666666664</x:v>
      </x:c>
      <x:c r="B5840" s="6" t="n">
        <x:v>0.0443</x:v>
      </x:c>
      <x:c r="C5840" s="6" t="n">
        <x:v>0.04650000000000001</x:v>
      </x:c>
      <x:c r="D5840" s="6" t="n">
        <x:f>B5840</x:f>
        <x:v>0.0443</x:v>
      </x:c>
      <x:c r="E5840" s="1" t="n">
        <x:v>1.05</x:v>
      </x:c>
      <x:c r="F5840" s="1" t="str">
        <x:v>https://api.octopus.energy/v1/products/AGILE-24-10-01/electricity-tariffs/E-1R-AGILE-24-10-01-G/standard-unit-rates/</x:v>
      </x:c>
    </x:row>
    <x:row r="5841" ht="21" customHeight="1">
      <x:c r="A5841" s="24" t="n">
        <x:v>46270.1875</x:v>
      </x:c>
      <x:c r="B5841" s="6" t="n">
        <x:v>0.0426</x:v>
      </x:c>
      <x:c r="C5841" s="6" t="n">
        <x:v>0.0458</x:v>
      </x:c>
      <x:c r="D5841" s="6" t="n">
        <x:f>B5841</x:f>
        <x:v>0.0426</x:v>
      </x:c>
      <x:c r="E5841" s="1" t="n">
        <x:v>1.05</x:v>
      </x:c>
      <x:c r="F5841" s="1" t="str">
        <x:v>https://api.octopus.energy/v1/products/AGILE-24-10-01/electricity-tariffs/E-1R-AGILE-24-10-01-G/standard-unit-rates/</x:v>
      </x:c>
    </x:row>
    <x:row r="5842" ht="21" customHeight="1">
      <x:c r="A5842" s="24" t="n">
        <x:v>46270.208333333336</x:v>
      </x:c>
      <x:c r="B5842" s="6" t="n">
        <x:v>0.0521</x:v>
      </x:c>
      <x:c r="C5842" s="6" t="n">
        <x:v>0.0501</x:v>
      </x:c>
      <x:c r="D5842" s="6" t="n">
        <x:f>B5842</x:f>
        <x:v>0.0521</x:v>
      </x:c>
      <x:c r="E5842" s="1" t="n">
        <x:v>1.05</x:v>
      </x:c>
      <x:c r="F5842" s="1" t="str">
        <x:v>https://api.octopus.energy/v1/products/AGILE-24-10-01/electricity-tariffs/E-1R-AGILE-24-10-01-G/standard-unit-rates/</x:v>
      </x:c>
    </x:row>
    <x:row r="5843" ht="21" customHeight="1">
      <x:c r="A5843" s="24" t="n">
        <x:v>46270.229166666664</x:v>
      </x:c>
      <x:c r="B5843" s="6" t="n">
        <x:v>0.0521</x:v>
      </x:c>
      <x:c r="C5843" s="6" t="n">
        <x:v>0.0501</x:v>
      </x:c>
      <x:c r="D5843" s="6" t="n">
        <x:f>B5843</x:f>
        <x:v>0.0521</x:v>
      </x:c>
      <x:c r="E5843" s="1" t="n">
        <x:v>1.05</x:v>
      </x:c>
      <x:c r="F5843" s="1" t="str">
        <x:v>https://api.octopus.energy/v1/products/AGILE-24-10-01/electricity-tariffs/E-1R-AGILE-24-10-01-G/standard-unit-rates/</x:v>
      </x:c>
    </x:row>
    <x:row r="5844" ht="21" customHeight="1">
      <x:c r="A5844" s="24" t="n">
        <x:v>46270.25</x:v>
      </x:c>
      <x:c r="B5844" s="6" t="n">
        <x:v>0.052300000000000006</x:v>
      </x:c>
      <x:c r="C5844" s="6" t="n">
        <x:v>0.050199999999999995</x:v>
      </x:c>
      <x:c r="D5844" s="6" t="n">
        <x:f>B5844</x:f>
        <x:v>0.052300000000000006</x:v>
      </x:c>
      <x:c r="E5844" s="1" t="n">
        <x:v>1.05</x:v>
      </x:c>
      <x:c r="F5844" s="1" t="str">
        <x:v>https://api.octopus.energy/v1/products/AGILE-24-10-01/electricity-tariffs/E-1R-AGILE-24-10-01-G/standard-unit-rates/</x:v>
      </x:c>
    </x:row>
    <x:row r="5845" ht="21" customHeight="1">
      <x:c r="A5845" s="24" t="n">
        <x:v>46270.270833333336</x:v>
      </x:c>
      <x:c r="B5845" s="6" t="n">
        <x:v>0.056100000000000004</x:v>
      </x:c>
      <x:c r="C5845" s="6" t="n">
        <x:v>0.0519</x:v>
      </x:c>
      <x:c r="D5845" s="6" t="n">
        <x:f>B5845</x:f>
        <x:v>0.056100000000000004</x:v>
      </x:c>
      <x:c r="E5845" s="1" t="n">
        <x:v>1.05</x:v>
      </x:c>
      <x:c r="F5845" s="1" t="str">
        <x:v>https://api.octopus.energy/v1/products/AGILE-24-10-01/electricity-tariffs/E-1R-AGILE-24-10-01-G/standard-unit-rates/</x:v>
      </x:c>
    </x:row>
    <x:row r="5846" ht="21" customHeight="1">
      <x:c r="A5846" s="24" t="n">
        <x:v>46270.291666666664</x:v>
      </x:c>
      <x:c r="B5846" s="6" t="n">
        <x:v>0.028300000000000002</x:v>
      </x:c>
      <x:c r="C5846" s="6" t="n">
        <x:v>0.0392</x:v>
      </x:c>
      <x:c r="D5846" s="6" t="n">
        <x:f>B5846</x:f>
        <x:v>0.028300000000000002</x:v>
      </x:c>
      <x:c r="E5846" s="1" t="n">
        <x:v>1.05</x:v>
      </x:c>
      <x:c r="F5846" s="1" t="str">
        <x:v>https://api.octopus.energy/v1/products/AGILE-24-10-01/electricity-tariffs/E-1R-AGILE-24-10-01-G/standard-unit-rates/</x:v>
      </x:c>
    </x:row>
    <x:row r="5847" ht="21" customHeight="1">
      <x:c r="A5847" s="24" t="n">
        <x:v>46270.3125</x:v>
      </x:c>
      <x:c r="B5847" s="6" t="n">
        <x:v>0.042199999999999994</x:v>
      </x:c>
      <x:c r="C5847" s="6" t="n">
        <x:v>0.045599999999999995</x:v>
      </x:c>
      <x:c r="D5847" s="6" t="n">
        <x:f>B5847</x:f>
        <x:v>0.042199999999999994</x:v>
      </x:c>
      <x:c r="E5847" s="1" t="n">
        <x:v>1.05</x:v>
      </x:c>
      <x:c r="F5847" s="1" t="str">
        <x:v>https://api.octopus.energy/v1/products/AGILE-24-10-01/electricity-tariffs/E-1R-AGILE-24-10-01-G/standard-unit-rates/</x:v>
      </x:c>
    </x:row>
    <x:row r="5848" ht="21" customHeight="1">
      <x:c r="A5848" s="24" t="n">
        <x:v>46270.333333333336</x:v>
      </x:c>
      <x:c r="B5848" s="6" t="n">
        <x:v>0.0506</x:v>
      </x:c>
      <x:c r="C5848" s="6" t="n">
        <x:v>0.049400000000000006</x:v>
      </x:c>
      <x:c r="D5848" s="6" t="n">
        <x:f>B5848</x:f>
        <x:v>0.0506</x:v>
      </x:c>
      <x:c r="E5848" s="1" t="n">
        <x:v>1.05</x:v>
      </x:c>
      <x:c r="F5848" s="1" t="str">
        <x:v>https://api.octopus.energy/v1/products/AGILE-24-10-01/electricity-tariffs/E-1R-AGILE-24-10-01-G/standard-unit-rates/</x:v>
      </x:c>
    </x:row>
    <x:row r="5849" ht="21" customHeight="1">
      <x:c r="A5849" s="24" t="n">
        <x:v>46270.354166666664</x:v>
      </x:c>
      <x:c r="B5849" s="6" t="n">
        <x:v>0.0401</x:v>
      </x:c>
      <x:c r="C5849" s="6" t="n">
        <x:v>0.0446</x:v>
      </x:c>
      <x:c r="D5849" s="6" t="n">
        <x:f>B5849</x:f>
        <x:v>0.0401</x:v>
      </x:c>
      <x:c r="E5849" s="1" t="n">
        <x:v>1.05</x:v>
      </x:c>
      <x:c r="F5849" s="1" t="str">
        <x:v>https://api.octopus.energy/v1/products/AGILE-24-10-01/electricity-tariffs/E-1R-AGILE-24-10-01-G/standard-unit-rates/</x:v>
      </x:c>
    </x:row>
    <x:row r="5850" ht="21" customHeight="1">
      <x:c r="A5850" s="24" t="n">
        <x:v>46270.375</x:v>
      </x:c>
      <x:c r="B5850" s="6" t="n">
        <x:v>-0.0005</x:v>
      </x:c>
      <x:c r="C5850" s="6" t="n">
        <x:v>0.026099999999999998</x:v>
      </x:c>
      <x:c r="D5850" s="6" t="n">
        <x:f>B5850</x:f>
        <x:v>-0.0005</x:v>
      </x:c>
      <x:c r="E5850" s="1" t="n">
        <x:v>1.05</x:v>
      </x:c>
      <x:c r="F5850" s="1" t="str">
        <x:v>https://api.octopus.energy/v1/products/AGILE-24-10-01/electricity-tariffs/E-1R-AGILE-24-10-01-G/standard-unit-rates/</x:v>
      </x:c>
    </x:row>
    <x:row r="5851" ht="21" customHeight="1">
      <x:c r="A5851" s="24" t="n">
        <x:v>46270.395833333336</x:v>
      </x:c>
      <x:c r="B5851" s="6" t="n">
        <x:v>-0.0229</x:v>
      </x:c>
      <x:c r="C5851" s="6" t="n">
        <x:v>0.0158</x:v>
      </x:c>
      <x:c r="D5851" s="6" t="n">
        <x:f>B5851</x:f>
        <x:v>-0.0229</x:v>
      </x:c>
      <x:c r="E5851" s="1" t="n">
        <x:v>1.05</x:v>
      </x:c>
      <x:c r="F5851" s="1" t="str">
        <x:v>https://api.octopus.energy/v1/products/AGILE-24-10-01/electricity-tariffs/E-1R-AGILE-24-10-01-G/standard-unit-rates/</x:v>
      </x:c>
    </x:row>
    <x:row r="5852" ht="21" customHeight="1">
      <x:c r="A5852" s="24" t="n">
        <x:v>46270.416666666664</x:v>
      </x:c>
      <x:c r="B5852" s="6" t="n">
        <x:v>-0.012</x:v>
      </x:c>
      <x:c r="C5852" s="6" t="n">
        <x:v>0.0208</x:v>
      </x:c>
      <x:c r="D5852" s="6" t="n">
        <x:f>B5852</x:f>
        <x:v>-0.012</x:v>
      </x:c>
      <x:c r="E5852" s="1" t="n">
        <x:v>1.05</x:v>
      </x:c>
      <x:c r="F5852" s="1" t="str">
        <x:v>https://api.octopus.energy/v1/products/AGILE-24-10-01/electricity-tariffs/E-1R-AGILE-24-10-01-G/standard-unit-rates/</x:v>
      </x:c>
    </x:row>
    <x:row r="5853" ht="21" customHeight="1">
      <x:c r="A5853" s="24" t="n">
        <x:v>46270.4375</x:v>
      </x:c>
      <x:c r="B5853" s="6" t="n">
        <x:v>-0.0182</x:v>
      </x:c>
      <x:c r="C5853" s="6" t="n">
        <x:v>0.0179</x:v>
      </x:c>
      <x:c r="D5853" s="6" t="n">
        <x:f>B5853</x:f>
        <x:v>-0.0182</x:v>
      </x:c>
      <x:c r="E5853" s="1" t="n">
        <x:v>1.05</x:v>
      </x:c>
      <x:c r="F5853" s="1" t="str">
        <x:v>https://api.octopus.energy/v1/products/AGILE-24-10-01/electricity-tariffs/E-1R-AGILE-24-10-01-G/standard-unit-rates/</x:v>
      </x:c>
    </x:row>
    <x:row r="5854" ht="21" customHeight="1">
      <x:c r="A5854" s="24" t="n">
        <x:v>46270.458333333336</x:v>
      </x:c>
      <x:c r="B5854" s="6" t="n">
        <x:v>-0.03</x:v>
      </x:c>
      <x:c r="C5854" s="6" t="n">
        <x:v>0.0126</x:v>
      </x:c>
      <x:c r="D5854" s="6" t="n">
        <x:f>B5854</x:f>
        <x:v>-0.03</x:v>
      </x:c>
      <x:c r="E5854" s="1" t="n">
        <x:v>1.05</x:v>
      </x:c>
      <x:c r="F5854" s="1" t="str">
        <x:v>https://api.octopus.energy/v1/products/AGILE-24-10-01/electricity-tariffs/E-1R-AGILE-24-10-01-G/standard-unit-rates/</x:v>
      </x:c>
    </x:row>
    <x:row r="5855" ht="21" customHeight="1">
      <x:c r="A5855" s="24" t="n">
        <x:v>46270.479166666664</x:v>
      </x:c>
      <x:c r="B5855" s="6" t="n">
        <x:v>-0.0231</x:v>
      </x:c>
      <x:c r="C5855" s="6" t="n">
        <x:v>0.015700000000000002</x:v>
      </x:c>
      <x:c r="D5855" s="6" t="n">
        <x:f>B5855</x:f>
        <x:v>-0.0231</x:v>
      </x:c>
      <x:c r="E5855" s="1" t="n">
        <x:v>1.05</x:v>
      </x:c>
      <x:c r="F5855" s="1" t="str">
        <x:v>https://api.octopus.energy/v1/products/AGILE-24-10-01/electricity-tariffs/E-1R-AGILE-24-10-01-G/standard-unit-rates/</x:v>
      </x:c>
    </x:row>
    <x:row r="5856" ht="21" customHeight="1">
      <x:c r="A5856" s="24" t="n">
        <x:v>46270.5</x:v>
      </x:c>
      <x:c r="B5856" s="6" t="n">
        <x:v>-0.026600000000000002</x:v>
      </x:c>
      <x:c r="C5856" s="6" t="n">
        <x:v>0.0141</x:v>
      </x:c>
      <x:c r="D5856" s="6" t="n">
        <x:f>B5856</x:f>
        <x:v>-0.026600000000000002</x:v>
      </x:c>
      <x:c r="E5856" s="1" t="n">
        <x:v>1.05</x:v>
      </x:c>
      <x:c r="F5856" s="1" t="str">
        <x:v>https://api.octopus.energy/v1/products/AGILE-24-10-01/electricity-tariffs/E-1R-AGILE-24-10-01-G/standard-unit-rates/</x:v>
      </x:c>
    </x:row>
    <x:row r="5857" ht="21" customHeight="1">
      <x:c r="A5857" s="24" t="n">
        <x:v>46270.520833333336</x:v>
      </x:c>
      <x:c r="B5857" s="6" t="n">
        <x:v>-0.018799999999999997</x:v>
      </x:c>
      <x:c r="C5857" s="6" t="n">
        <x:v>0.0177</x:v>
      </x:c>
      <x:c r="D5857" s="6" t="n">
        <x:f>B5857</x:f>
        <x:v>-0.018799999999999997</x:v>
      </x:c>
      <x:c r="E5857" s="1" t="n">
        <x:v>1.05</x:v>
      </x:c>
      <x:c r="F5857" s="1" t="str">
        <x:v>https://api.octopus.energy/v1/products/AGILE-24-10-01/electricity-tariffs/E-1R-AGILE-24-10-01-G/standard-unit-rates/</x:v>
      </x:c>
    </x:row>
    <x:row r="5858" ht="21" customHeight="1">
      <x:c r="A5858" s="24" t="n">
        <x:v>46270.541666666664</x:v>
      </x:c>
      <x:c r="B5858" s="6" t="n">
        <x:v>-0.0262</x:v>
      </x:c>
      <x:c r="C5858" s="6" t="n">
        <x:v>0.0143</x:v>
      </x:c>
      <x:c r="D5858" s="6" t="n">
        <x:f>B5858</x:f>
        <x:v>-0.0262</x:v>
      </x:c>
      <x:c r="E5858" s="1" t="n">
        <x:v>1.05</x:v>
      </x:c>
      <x:c r="F5858" s="1" t="str">
        <x:v>https://api.octopus.energy/v1/products/AGILE-24-10-01/electricity-tariffs/E-1R-AGILE-24-10-01-G/standard-unit-rates/</x:v>
      </x:c>
    </x:row>
    <x:row r="5859" ht="21" customHeight="1">
      <x:c r="A5859" s="24" t="n">
        <x:v>46270.5625</x:v>
      </x:c>
      <x:c r="B5859" s="6" t="n">
        <x:v>-0.026699999999999998</x:v>
      </x:c>
      <x:c r="C5859" s="6" t="n">
        <x:v>0.0141</x:v>
      </x:c>
      <x:c r="D5859" s="6" t="n">
        <x:f>B5859</x:f>
        <x:v>-0.026699999999999998</x:v>
      </x:c>
      <x:c r="E5859" s="1" t="n">
        <x:v>1.05</x:v>
      </x:c>
      <x:c r="F5859" s="1" t="str">
        <x:v>https://api.octopus.energy/v1/products/AGILE-24-10-01/electricity-tariffs/E-1R-AGILE-24-10-01-G/standard-unit-rates/</x:v>
      </x:c>
    </x:row>
    <x:row r="5860" ht="21" customHeight="1">
      <x:c r="A5860" s="24" t="n">
        <x:v>46270.583333333336</x:v>
      </x:c>
      <x:c r="B5860" s="6" t="n">
        <x:v>-0.025099999999999997</x:v>
      </x:c>
      <x:c r="C5860" s="6" t="n">
        <x:v>0.0148</x:v>
      </x:c>
      <x:c r="D5860" s="6" t="n">
        <x:f>B5860</x:f>
        <x:v>-0.025099999999999997</x:v>
      </x:c>
      <x:c r="E5860" s="1" t="n">
        <x:v>1.05</x:v>
      </x:c>
      <x:c r="F5860" s="1" t="str">
        <x:v>https://api.octopus.energy/v1/products/AGILE-24-10-01/electricity-tariffs/E-1R-AGILE-24-10-01-G/standard-unit-rates/</x:v>
      </x:c>
    </x:row>
    <x:row r="5861" ht="21" customHeight="1">
      <x:c r="A5861" s="24" t="n">
        <x:v>46270.604166666664</x:v>
      </x:c>
      <x:c r="B5861" s="6" t="n">
        <x:v>-0.006999999999999999</x:v>
      </x:c>
      <x:c r="C5861" s="6" t="n">
        <x:v>0.0231</x:v>
      </x:c>
      <x:c r="D5861" s="6" t="n">
        <x:f>B5861</x:f>
        <x:v>-0.006999999999999999</x:v>
      </x:c>
      <x:c r="E5861" s="1" t="n">
        <x:v>1.05</x:v>
      </x:c>
      <x:c r="F5861" s="1" t="str">
        <x:v>https://api.octopus.energy/v1/products/AGILE-24-10-01/electricity-tariffs/E-1R-AGILE-24-10-01-G/standard-unit-rates/</x:v>
      </x:c>
    </x:row>
    <x:row r="5862" ht="21" customHeight="1">
      <x:c r="A5862" s="24" t="n">
        <x:v>46270.625</x:v>
      </x:c>
      <x:c r="B5862" s="6" t="n">
        <x:v>-0.04190000000000001</x:v>
      </x:c>
      <x:c r="C5862" s="6" t="n">
        <x:v>0.0070999999999999995</x:v>
      </x:c>
      <x:c r="D5862" s="6" t="n">
        <x:f>B5862</x:f>
        <x:v>-0.04190000000000001</x:v>
      </x:c>
      <x:c r="E5862" s="1" t="n">
        <x:v>1.05</x:v>
      </x:c>
      <x:c r="F5862" s="1" t="str">
        <x:v>https://api.octopus.energy/v1/products/AGILE-24-10-01/electricity-tariffs/E-1R-AGILE-24-10-01-G/standard-unit-rates/</x:v>
      </x:c>
    </x:row>
    <x:row r="5863" ht="21" customHeight="1">
      <x:c r="A5863" s="24" t="n">
        <x:v>46270.645833333336</x:v>
      </x:c>
      <x:c r="B5863" s="6" t="n">
        <x:v>-0.0019</x:v>
      </x:c>
      <x:c r="C5863" s="6" t="n">
        <x:v>0.0254</x:v>
      </x:c>
      <x:c r="D5863" s="6" t="n">
        <x:f>B5863</x:f>
        <x:v>-0.0019</x:v>
      </x:c>
      <x:c r="E5863" s="1" t="n">
        <x:v>1.05</x:v>
      </x:c>
      <x:c r="F5863" s="1" t="str">
        <x:v>https://api.octopus.energy/v1/products/AGILE-24-10-01/electricity-tariffs/E-1R-AGILE-24-10-01-G/standard-unit-rates/</x:v>
      </x:c>
    </x:row>
    <x:row r="5864" ht="21" customHeight="1">
      <x:c r="A5864" s="24" t="n">
        <x:v>46270.666666666664</x:v>
      </x:c>
      <x:c r="B5864" s="6" t="n">
        <x:v>0.18170000000000003</x:v>
      </x:c>
      <x:c r="C5864" s="6" t="n">
        <x:v>0.1134</x:v>
      </x:c>
      <x:c r="D5864" s="6" t="n">
        <x:f>B5864</x:f>
        <x:v>0.18170000000000003</x:v>
      </x:c>
      <x:c r="E5864" s="1" t="n">
        <x:v>1.05</x:v>
      </x:c>
      <x:c r="F5864" s="1" t="str">
        <x:v>https://api.octopus.energy/v1/products/AGILE-24-10-01/electricity-tariffs/E-1R-AGILE-24-10-01-G/standard-unit-rates/</x:v>
      </x:c>
    </x:row>
    <x:row r="5865" ht="21" customHeight="1">
      <x:c r="A5865" s="24" t="n">
        <x:v>46270.6875</x:v>
      </x:c>
      <x:c r="B5865" s="6" t="n">
        <x:v>0.2752</x:v>
      </x:c>
      <x:c r="C5865" s="6" t="n">
        <x:v>0.1561</x:v>
      </x:c>
      <x:c r="D5865" s="6" t="n">
        <x:f>B5865</x:f>
        <x:v>0.2752</x:v>
      </x:c>
      <x:c r="E5865" s="1" t="n">
        <x:v>1.05</x:v>
      </x:c>
      <x:c r="F5865" s="1" t="str">
        <x:v>https://api.octopus.energy/v1/products/AGILE-24-10-01/electricity-tariffs/E-1R-AGILE-24-10-01-G/standard-unit-rates/</x:v>
      </x:c>
    </x:row>
    <x:row r="5866" ht="21" customHeight="1">
      <x:c r="A5866" s="24" t="n">
        <x:v>46270.708333333336</x:v>
      </x:c>
      <x:c r="B5866" s="6" t="n">
        <x:v>0.4058</x:v>
      </x:c>
      <x:c r="C5866" s="6" t="n">
        <x:v>0.2158</x:v>
      </x:c>
      <x:c r="D5866" s="6" t="n">
        <x:f>B5866</x:f>
        <x:v>0.4058</x:v>
      </x:c>
      <x:c r="E5866" s="1" t="n">
        <x:v>1.05</x:v>
      </x:c>
      <x:c r="F5866" s="1" t="str">
        <x:v>https://api.octopus.energy/v1/products/AGILE-24-10-01/electricity-tariffs/E-1R-AGILE-24-10-01-G/standard-unit-rates/</x:v>
      </x:c>
    </x:row>
    <x:row r="5867" ht="21" customHeight="1">
      <x:c r="A5867" s="24" t="n">
        <x:v>46270.729166666664</x:v>
      </x:c>
      <x:c r="B5867" s="6" t="n">
        <x:v>0.4119</x:v>
      </x:c>
      <x:c r="C5867" s="6" t="n">
        <x:v>0.2186</x:v>
      </x:c>
      <x:c r="D5867" s="6" t="n">
        <x:f>B5867</x:f>
        <x:v>0.4119</x:v>
      </x:c>
      <x:c r="E5867" s="1" t="n">
        <x:v>1.05</x:v>
      </x:c>
      <x:c r="F5867" s="1" t="str">
        <x:v>https://api.octopus.energy/v1/products/AGILE-24-10-01/electricity-tariffs/E-1R-AGILE-24-10-01-G/standard-unit-rates/</x:v>
      </x:c>
    </x:row>
    <x:row r="5868" ht="21" customHeight="1">
      <x:c r="A5868" s="24" t="n">
        <x:v>46270.75</x:v>
      </x:c>
      <x:c r="B5868" s="6" t="n">
        <x:v>0.42469999999999997</x:v>
      </x:c>
      <x:c r="C5868" s="6" t="n">
        <x:v>0.2245</x:v>
      </x:c>
      <x:c r="D5868" s="6" t="n">
        <x:f>B5868</x:f>
        <x:v>0.42469999999999997</x:v>
      </x:c>
      <x:c r="E5868" s="1" t="n">
        <x:v>1.05</x:v>
      </x:c>
      <x:c r="F5868" s="1" t="str">
        <x:v>https://api.octopus.energy/v1/products/AGILE-24-10-01/electricity-tariffs/E-1R-AGILE-24-10-01-G/standard-unit-rates/</x:v>
      </x:c>
    </x:row>
    <x:row r="5869" ht="21" customHeight="1">
      <x:c r="A5869" s="24" t="n">
        <x:v>46270.770833333336</x:v>
      </x:c>
      <x:c r="B5869" s="6" t="n">
        <x:v>0.4289</x:v>
      </x:c>
      <x:c r="C5869" s="6" t="n">
        <x:v>0.22640000000000002</x:v>
      </x:c>
      <x:c r="D5869" s="6" t="n">
        <x:f>B5869</x:f>
        <x:v>0.4289</x:v>
      </x:c>
      <x:c r="E5869" s="1" t="n">
        <x:v>1.05</x:v>
      </x:c>
      <x:c r="F5869" s="1" t="str">
        <x:v>https://api.octopus.energy/v1/products/AGILE-24-10-01/electricity-tariffs/E-1R-AGILE-24-10-01-G/standard-unit-rates/</x:v>
      </x:c>
    </x:row>
    <x:row r="5870" ht="21" customHeight="1">
      <x:c r="A5870" s="24" t="n">
        <x:v>46270.791666666664</x:v>
      </x:c>
      <x:c r="B5870" s="6" t="n">
        <x:v>0.33590000000000003</x:v>
      </x:c>
      <x:c r="C5870" s="6" t="n">
        <x:v>0.17980000000000002</x:v>
      </x:c>
      <x:c r="D5870" s="6" t="n">
        <x:f>B5870</x:f>
        <x:v>0.33590000000000003</x:v>
      </x:c>
      <x:c r="E5870" s="1" t="n">
        <x:v>1.05</x:v>
      </x:c>
      <x:c r="F5870" s="1" t="str">
        <x:v>https://api.octopus.energy/v1/products/AGILE-24-10-01/electricity-tariffs/E-1R-AGILE-24-10-01-G/standard-unit-rates/</x:v>
      </x:c>
    </x:row>
    <x:row r="5871" ht="21" customHeight="1">
      <x:c r="A5871" s="24" t="n">
        <x:v>46270.8125</x:v>
      </x:c>
      <x:c r="B5871" s="6" t="n">
        <x:v>0.33149999999999996</x:v>
      </x:c>
      <x:c r="C5871" s="6" t="n">
        <x:v>0.1778</x:v>
      </x:c>
      <x:c r="D5871" s="6" t="n">
        <x:f>B5871</x:f>
        <x:v>0.33149999999999996</x:v>
      </x:c>
      <x:c r="E5871" s="1" t="n">
        <x:v>1.05</x:v>
      </x:c>
      <x:c r="F5871" s="1" t="str">
        <x:v>https://api.octopus.energy/v1/products/AGILE-24-10-01/electricity-tariffs/E-1R-AGILE-24-10-01-G/standard-unit-rates/</x:v>
      </x:c>
    </x:row>
    <x:row r="5872" ht="21" customHeight="1">
      <x:c r="A5872" s="24" t="n">
        <x:v>46270.833333333336</x:v>
      </x:c>
      <x:c r="B5872" s="6" t="n">
        <x:v>0.3383</x:v>
      </x:c>
      <x:c r="C5872" s="6" t="n">
        <x:v>0.1809</x:v>
      </x:c>
      <x:c r="D5872" s="6" t="n">
        <x:f>B5872</x:f>
        <x:v>0.3383</x:v>
      </x:c>
      <x:c r="E5872" s="1" t="n">
        <x:v>1.05</x:v>
      </x:c>
      <x:c r="F5872" s="1" t="str">
        <x:v>https://api.octopus.energy/v1/products/AGILE-24-10-01/electricity-tariffs/E-1R-AGILE-24-10-01-G/standard-unit-rates/</x:v>
      </x:c>
    </x:row>
    <x:row r="5873" ht="21" customHeight="1">
      <x:c r="A5873" s="24" t="n">
        <x:v>46270.854166666664</x:v>
      </x:c>
      <x:c r="B5873" s="6" t="n">
        <x:v>0.3373</x:v>
      </x:c>
      <x:c r="C5873" s="6" t="n">
        <x:v>0.1805</x:v>
      </x:c>
      <x:c r="D5873" s="6" t="n">
        <x:f>B5873</x:f>
        <x:v>0.3373</x:v>
      </x:c>
      <x:c r="E5873" s="1" t="n">
        <x:v>1.05</x:v>
      </x:c>
      <x:c r="F5873" s="1" t="str">
        <x:v>https://api.octopus.energy/v1/products/AGILE-24-10-01/electricity-tariffs/E-1R-AGILE-24-10-01-G/standard-unit-rates/</x:v>
      </x:c>
    </x:row>
    <x:row r="5874" ht="21" customHeight="1">
      <x:c r="A5874" s="24" t="n">
        <x:v>46270.875</x:v>
      </x:c>
      <x:c r="B5874" s="6" t="n">
        <x:v>0.3342</x:v>
      </x:c>
      <x:c r="C5874" s="6" t="n">
        <x:v>0.179</x:v>
      </x:c>
      <x:c r="D5874" s="6" t="n">
        <x:f>B5874</x:f>
        <x:v>0.3342</x:v>
      </x:c>
      <x:c r="E5874" s="1" t="n">
        <x:v>1.05</x:v>
      </x:c>
      <x:c r="F5874" s="1" t="str">
        <x:v>https://api.octopus.energy/v1/products/AGILE-24-10-01/electricity-tariffs/E-1R-AGILE-24-10-01-G/standard-unit-rates/</x:v>
      </x:c>
    </x:row>
    <x:row r="5875" ht="21" customHeight="1">
      <x:c r="A5875" s="24" t="n">
        <x:v>46270.895833333336</x:v>
      </x:c>
      <x:c r="B5875" s="6" t="n">
        <x:v>0.3299</x:v>
      </x:c>
      <x:c r="C5875" s="6" t="n">
        <x:v>0.1771</x:v>
      </x:c>
      <x:c r="D5875" s="6" t="n">
        <x:f>B5875</x:f>
        <x:v>0.3299</x:v>
      </x:c>
      <x:c r="E5875" s="1" t="n">
        <x:v>1.05</x:v>
      </x:c>
      <x:c r="F5875" s="1" t="str">
        <x:v>https://api.octopus.energy/v1/products/AGILE-24-10-01/electricity-tariffs/E-1R-AGILE-24-10-01-G/standard-unit-rates/</x:v>
      </x:c>
    </x:row>
    <x:row r="5876" ht="21" customHeight="1">
      <x:c r="A5876" s="24" t="n">
        <x:v>46270.916666666664</x:v>
      </x:c>
      <x:c r="B5876" s="6" t="n">
        <x:v>0.30260000000000004</x:v>
      </x:c>
      <x:c r="C5876" s="6" t="n">
        <x:v>0.1646</x:v>
      </x:c>
      <x:c r="D5876" s="6" t="n">
        <x:f>B5876</x:f>
        <x:v>0.30260000000000004</x:v>
      </x:c>
      <x:c r="E5876" s="1" t="n">
        <x:v>1.05</x:v>
      </x:c>
      <x:c r="F5876" s="1" t="str">
        <x:v>https://api.octopus.energy/v1/products/AGILE-24-10-01/electricity-tariffs/E-1R-AGILE-24-10-01-G/standard-unit-rates/</x:v>
      </x:c>
    </x:row>
    <x:row r="5877" ht="21" customHeight="1">
      <x:c r="A5877" s="24" t="n">
        <x:v>46270.9375</x:v>
      </x:c>
      <x:c r="B5877" s="6" t="n">
        <x:v>0.2892</x:v>
      </x:c>
      <x:c r="C5877" s="6" t="n">
        <x:v>0.1585</x:v>
      </x:c>
      <x:c r="D5877" s="6" t="n">
        <x:f>B5877</x:f>
        <x:v>0.2892</x:v>
      </x:c>
      <x:c r="E5877" s="1" t="n">
        <x:v>1.05</x:v>
      </x:c>
      <x:c r="F5877" s="1" t="str">
        <x:v>https://api.octopus.energy/v1/products/AGILE-24-10-01/electricity-tariffs/E-1R-AGILE-24-10-01-G/standard-unit-rates/</x:v>
      </x:c>
    </x:row>
    <x:row r="5878" ht="21" customHeight="1">
      <x:c r="A5878" s="24" t="n">
        <x:v>46271</x:v>
      </x:c>
      <x:c r="B5878" s="6" t="n">
        <x:v>0.3139</x:v>
      </x:c>
      <x:c r="C5878" s="6" t="n">
        <x:v>0.1698</x:v>
      </x:c>
      <x:c r="D5878" s="6" t="n">
        <x:f>B5878</x:f>
        <x:v>0.3139</x:v>
      </x:c>
      <x:c r="E5878" s="1" t="n">
        <x:v>1.05</x:v>
      </x:c>
      <x:c r="F5878" s="1" t="str">
        <x:v>https://api.octopus.energy/v1/products/AGILE-24-10-01/electricity-tariffs/E-1R-AGILE-24-10-01-G/standard-unit-rates/</x:v>
      </x:c>
    </x:row>
    <x:row r="5879" ht="21" customHeight="1">
      <x:c r="A5879" s="24" t="n">
        <x:v>46270.979166666664</x:v>
      </x:c>
      <x:c r="B5879" s="6" t="n">
        <x:v>0.3005</x:v>
      </x:c>
      <x:c r="C5879" s="6" t="n">
        <x:v>0.1636</x:v>
      </x:c>
      <x:c r="D5879" s="6" t="n">
        <x:f>B5879</x:f>
        <x:v>0.3005</x:v>
      </x:c>
      <x:c r="E5879" s="1" t="n">
        <x:v>1.05</x:v>
      </x:c>
      <x:c r="F5879" s="1" t="str">
        <x:v>https://api.octopus.energy/v1/products/AGILE-24-10-01/electricity-tariffs/E-1R-AGILE-24-10-01-G/standard-unit-rates/</x:v>
      </x:c>
    </x:row>
    <x:row r="5880" ht="21" customHeight="1">
      <x:c r="A5880" s="24" t="n">
        <x:v>46271</x:v>
      </x:c>
      <x:c r="B5880" s="6" t="n">
        <x:v>0.3086</x:v>
      </x:c>
      <x:c r="C5880" s="6" t="n">
        <x:v>0.1673</x:v>
      </x:c>
      <x:c r="D5880" s="6" t="n">
        <x:f>B5880</x:f>
        <x:v>0.3086</x:v>
      </x:c>
      <x:c r="E5880" s="1" t="n">
        <x:v>1.05</x:v>
      </x:c>
      <x:c r="F5880" s="1" t="str">
        <x:v>https://api.octopus.energy/v1/products/AGILE-24-10-01/electricity-tariffs/E-1R-AGILE-24-10-01-G/standard-unit-rates/</x:v>
      </x:c>
    </x:row>
    <x:row r="5881" ht="21" customHeight="1">
      <x:c r="A5881" s="24" t="n">
        <x:v>46271.020833333336</x:v>
      </x:c>
      <x:c r="B5881" s="6" t="n">
        <x:v>0.3064</x:v>
      </x:c>
      <x:c r="C5881" s="6" t="n">
        <x:v>0.1663</x:v>
      </x:c>
      <x:c r="D5881" s="6" t="n">
        <x:f>B5881</x:f>
        <x:v>0.3064</x:v>
      </x:c>
      <x:c r="E5881" s="1" t="n">
        <x:v>1.05</x:v>
      </x:c>
      <x:c r="F5881" s="1" t="str">
        <x:v>https://api.octopus.energy/v1/products/AGILE-24-10-01/electricity-tariffs/E-1R-AGILE-24-10-01-G/standard-unit-rates/</x:v>
      </x:c>
    </x:row>
    <x:row r="5882" ht="21" customHeight="1">
      <x:c r="A5882" s="24" t="n">
        <x:v>46271.041666666664</x:v>
      </x:c>
      <x:c r="B5882" s="6" t="n">
        <x:v>0.2875</x:v>
      </x:c>
      <x:c r="C5882" s="6" t="n">
        <x:v>0.1577</x:v>
      </x:c>
      <x:c r="D5882" s="6" t="n">
        <x:f>B5882</x:f>
        <x:v>0.2875</x:v>
      </x:c>
      <x:c r="E5882" s="1" t="n">
        <x:v>1.05</x:v>
      </x:c>
      <x:c r="F5882" s="1" t="str">
        <x:v>https://api.octopus.energy/v1/products/AGILE-24-10-01/electricity-tariffs/E-1R-AGILE-24-10-01-G/standard-unit-rates/</x:v>
      </x:c>
    </x:row>
    <x:row r="5883" ht="21" customHeight="1">
      <x:c r="A5883" s="24" t="n">
        <x:v>46271.0625</x:v>
      </x:c>
      <x:c r="B5883" s="6" t="n">
        <x:v>0.2816</x:v>
      </x:c>
      <x:c r="C5883" s="6" t="n">
        <x:v>0.155</x:v>
      </x:c>
      <x:c r="D5883" s="6" t="n">
        <x:f>B5883</x:f>
        <x:v>0.2816</x:v>
      </x:c>
      <x:c r="E5883" s="1" t="n">
        <x:v>1.05</x:v>
      </x:c>
      <x:c r="F5883" s="1" t="str">
        <x:v>https://api.octopus.energy/v1/products/AGILE-24-10-01/electricity-tariffs/E-1R-AGILE-24-10-01-G/standard-unit-rates/</x:v>
      </x:c>
    </x:row>
    <x:row r="5884" ht="21" customHeight="1">
      <x:c r="A5884" s="24" t="n">
        <x:v>46271.083333333336</x:v>
      </x:c>
      <x:c r="B5884" s="6" t="n">
        <x:v>0.2673</x:v>
      </x:c>
      <x:c r="C5884" s="6" t="n">
        <x:v>0.1484</x:v>
      </x:c>
      <x:c r="D5884" s="6" t="n">
        <x:f>B5884</x:f>
        <x:v>0.2673</x:v>
      </x:c>
      <x:c r="E5884" s="1" t="n">
        <x:v>1.05</x:v>
      </x:c>
      <x:c r="F5884" s="1" t="str">
        <x:v>https://api.octopus.energy/v1/products/AGILE-24-10-01/electricity-tariffs/E-1R-AGILE-24-10-01-G/standard-unit-rates/</x:v>
      </x:c>
    </x:row>
    <x:row r="5885" ht="21" customHeight="1">
      <x:c r="A5885" s="24" t="n">
        <x:v>46271.104166666664</x:v>
      </x:c>
      <x:c r="B5885" s="6" t="n">
        <x:v>0.2327</x:v>
      </x:c>
      <x:c r="C5885" s="6" t="n">
        <x:v>0.13269999999999998</x:v>
      </x:c>
      <x:c r="D5885" s="6" t="n">
        <x:f>B5885</x:f>
        <x:v>0.2327</x:v>
      </x:c>
      <x:c r="E5885" s="1" t="n">
        <x:v>1.05</x:v>
      </x:c>
      <x:c r="F5885" s="1" t="str">
        <x:v>https://api.octopus.energy/v1/products/AGILE-24-10-01/electricity-tariffs/E-1R-AGILE-24-10-01-G/standard-unit-rates/</x:v>
      </x:c>
    </x:row>
    <x:row r="5886" ht="21" customHeight="1">
      <x:c r="A5886" s="24" t="n">
        <x:v>46271.125</x:v>
      </x:c>
      <x:c r="B5886" s="6" t="n">
        <x:v>0.2279</x:v>
      </x:c>
      <x:c r="C5886" s="6" t="n">
        <x:v>0.1305</x:v>
      </x:c>
      <x:c r="D5886" s="6" t="n">
        <x:f>B5886</x:f>
        <x:v>0.2279</x:v>
      </x:c>
      <x:c r="E5886" s="1" t="n">
        <x:v>1.05</x:v>
      </x:c>
      <x:c r="F5886" s="1" t="str">
        <x:v>https://api.octopus.energy/v1/products/AGILE-24-10-01/electricity-tariffs/E-1R-AGILE-24-10-01-G/standard-unit-rates/</x:v>
      </x:c>
    </x:row>
    <x:row r="5887" ht="21" customHeight="1">
      <x:c r="A5887" s="24" t="n">
        <x:v>46271.145833333336</x:v>
      </x:c>
      <x:c r="B5887" s="6" t="n">
        <x:v>0.1902</x:v>
      </x:c>
      <x:c r="C5887" s="6" t="n">
        <x:v>0.11320000000000001</x:v>
      </x:c>
      <x:c r="D5887" s="6" t="n">
        <x:f>B5887</x:f>
        <x:v>0.1902</x:v>
      </x:c>
      <x:c r="E5887" s="1" t="n">
        <x:v>1.05</x:v>
      </x:c>
      <x:c r="F5887" s="1" t="str">
        <x:v>https://api.octopus.energy/v1/products/AGILE-24-10-01/electricity-tariffs/E-1R-AGILE-24-10-01-G/standard-unit-rates/</x:v>
      </x:c>
    </x:row>
    <x:row r="5888" ht="21" customHeight="1">
      <x:c r="A5888" s="24" t="n">
        <x:v>46271.166666666664</x:v>
      </x:c>
      <x:c r="B5888" s="6" t="n">
        <x:v>0.19699999999999998</x:v>
      </x:c>
      <x:c r="C5888" s="6" t="n">
        <x:v>0.11630000000000001</x:v>
      </x:c>
      <x:c r="D5888" s="6" t="n">
        <x:f>B5888</x:f>
        <x:v>0.19699999999999998</x:v>
      </x:c>
      <x:c r="E5888" s="1" t="n">
        <x:v>1.05</x:v>
      </x:c>
      <x:c r="F5888" s="1" t="str">
        <x:v>https://api.octopus.energy/v1/products/AGILE-24-10-01/electricity-tariffs/E-1R-AGILE-24-10-01-G/standard-unit-rates/</x:v>
      </x:c>
    </x:row>
    <x:row r="5889" ht="21" customHeight="1">
      <x:c r="A5889" s="24" t="n">
        <x:v>46271.1875</x:v>
      </x:c>
      <x:c r="B5889" s="6" t="n">
        <x:v>0.1705</x:v>
      </x:c>
      <x:c r="C5889" s="6" t="n">
        <x:v>0.1042</x:v>
      </x:c>
      <x:c r="D5889" s="6" t="n">
        <x:f>B5889</x:f>
        <x:v>0.1705</x:v>
      </x:c>
      <x:c r="E5889" s="1" t="n">
        <x:v>1.05</x:v>
      </x:c>
      <x:c r="F5889" s="1" t="str">
        <x:v>https://api.octopus.energy/v1/products/AGILE-24-10-01/electricity-tariffs/E-1R-AGILE-24-10-01-G/standard-unit-rates/</x:v>
      </x:c>
    </x:row>
    <x:row r="5890" ht="21" customHeight="1">
      <x:c r="A5890" s="24" t="n">
        <x:v>46271.208333333336</x:v>
      </x:c>
      <x:c r="B5890" s="6" t="n">
        <x:v>0.21309999999999998</x:v>
      </x:c>
      <x:c r="C5890" s="6" t="n">
        <x:v>0.12369999999999999</x:v>
      </x:c>
      <x:c r="D5890" s="6" t="n">
        <x:f>B5890</x:f>
        <x:v>0.21309999999999998</x:v>
      </x:c>
      <x:c r="E5890" s="1" t="n">
        <x:v>1.05</x:v>
      </x:c>
      <x:c r="F5890" s="1" t="str">
        <x:v>https://api.octopus.energy/v1/products/AGILE-24-10-01/electricity-tariffs/E-1R-AGILE-24-10-01-G/standard-unit-rates/</x:v>
      </x:c>
    </x:row>
    <x:row r="5891" ht="21" customHeight="1">
      <x:c r="A5891" s="24" t="n">
        <x:v>46271.229166666664</x:v>
      </x:c>
      <x:c r="B5891" s="6" t="n">
        <x:v>0.1932</x:v>
      </x:c>
      <x:c r="C5891" s="6" t="n">
        <x:v>0.11460000000000001</x:v>
      </x:c>
      <x:c r="D5891" s="6" t="n">
        <x:f>B5891</x:f>
        <x:v>0.1932</x:v>
      </x:c>
      <x:c r="E5891" s="1" t="n">
        <x:v>1.05</x:v>
      </x:c>
      <x:c r="F5891" s="1" t="str">
        <x:v>https://api.octopus.energy/v1/products/AGILE-24-10-01/electricity-tariffs/E-1R-AGILE-24-10-01-G/standard-unit-rates/</x:v>
      </x:c>
    </x:row>
    <x:row r="5892" ht="21" customHeight="1">
      <x:c r="A5892" s="24" t="n">
        <x:v>46271.25</x:v>
      </x:c>
      <x:c r="B5892" s="6" t="n">
        <x:v>0.18710000000000002</x:v>
      </x:c>
      <x:c r="C5892" s="6" t="n">
        <x:v>0.1118</x:v>
      </x:c>
      <x:c r="D5892" s="6" t="n">
        <x:f>B5892</x:f>
        <x:v>0.18710000000000002</x:v>
      </x:c>
      <x:c r="E5892" s="1" t="n">
        <x:v>1.05</x:v>
      </x:c>
      <x:c r="F5892" s="1" t="str">
        <x:v>https://api.octopus.energy/v1/products/AGILE-24-10-01/electricity-tariffs/E-1R-AGILE-24-10-01-G/standard-unit-rates/</x:v>
      </x:c>
    </x:row>
    <x:row r="5893" ht="21" customHeight="1">
      <x:c r="A5893" s="24" t="n">
        <x:v>46271.270833333336</x:v>
      </x:c>
      <x:c r="B5893" s="6" t="n">
        <x:v>0.175</x:v>
      </x:c>
      <x:c r="C5893" s="6" t="n">
        <x:v>0.1063</x:v>
      </x:c>
      <x:c r="D5893" s="6" t="n">
        <x:f>B5893</x:f>
        <x:v>0.175</x:v>
      </x:c>
      <x:c r="E5893" s="1" t="n">
        <x:v>1.05</x:v>
      </x:c>
      <x:c r="F5893" s="1" t="str">
        <x:v>https://api.octopus.energy/v1/products/AGILE-24-10-01/electricity-tariffs/E-1R-AGILE-24-10-01-G/standard-unit-rates/</x:v>
      </x:c>
    </x:row>
    <x:row r="5894" ht="21" customHeight="1">
      <x:c r="A5894" s="24" t="n">
        <x:v>46271.291666666664</x:v>
      </x:c>
      <x:c r="B5894" s="6" t="n">
        <x:v>0.1405</x:v>
      </x:c>
      <x:c r="C5894" s="6" t="n">
        <x:v>0.09050000000000001</x:v>
      </x:c>
      <x:c r="D5894" s="6" t="n">
        <x:f>B5894</x:f>
        <x:v>0.1405</x:v>
      </x:c>
      <x:c r="E5894" s="1" t="n">
        <x:v>1.05</x:v>
      </x:c>
      <x:c r="F5894" s="1" t="str">
        <x:v>https://api.octopus.energy/v1/products/AGILE-24-10-01/electricity-tariffs/E-1R-AGILE-24-10-01-G/standard-unit-rates/</x:v>
      </x:c>
    </x:row>
    <x:row r="5895" ht="21" customHeight="1">
      <x:c r="A5895" s="24" t="n">
        <x:v>46271.3125</x:v>
      </x:c>
      <x:c r="B5895" s="6" t="n">
        <x:v>0.12369999999999999</x:v>
      </x:c>
      <x:c r="C5895" s="6" t="n">
        <x:v>0.0828</x:v>
      </x:c>
      <x:c r="D5895" s="6" t="n">
        <x:f>B5895</x:f>
        <x:v>0.12369999999999999</x:v>
      </x:c>
      <x:c r="E5895" s="1" t="n">
        <x:v>1.05</x:v>
      </x:c>
      <x:c r="F5895" s="1" t="str">
        <x:v>https://api.octopus.energy/v1/products/AGILE-24-10-01/electricity-tariffs/E-1R-AGILE-24-10-01-G/standard-unit-rates/</x:v>
      </x:c>
    </x:row>
    <x:row r="5896" ht="21" customHeight="1">
      <x:c r="A5896" s="24" t="n">
        <x:v>46271.333333333336</x:v>
      </x:c>
      <x:c r="B5896" s="6" t="n">
        <x:v>-0.0124</x:v>
      </x:c>
      <x:c r="C5896" s="6" t="n">
        <x:v>0.0206</x:v>
      </x:c>
      <x:c r="D5896" s="6" t="n">
        <x:f>B5896</x:f>
        <x:v>-0.0124</x:v>
      </x:c>
      <x:c r="E5896" s="1" t="n">
        <x:v>1.05</x:v>
      </x:c>
      <x:c r="F5896" s="1" t="str">
        <x:v>https://api.octopus.energy/v1/products/AGILE-24-10-01/electricity-tariffs/E-1R-AGILE-24-10-01-G/standard-unit-rates/</x:v>
      </x:c>
    </x:row>
    <x:row r="5897" ht="21" customHeight="1">
      <x:c r="A5897" s="24" t="n">
        <x:v>46271.354166666664</x:v>
      </x:c>
      <x:c r="B5897" s="6" t="n">
        <x:v>0.018000000000000002</x:v>
      </x:c>
      <x:c r="C5897" s="6" t="n">
        <x:v>0.0345</x:v>
      </x:c>
      <x:c r="D5897" s="6" t="n">
        <x:f>B5897</x:f>
        <x:v>0.018000000000000002</x:v>
      </x:c>
      <x:c r="E5897" s="1" t="n">
        <x:v>1.05</x:v>
      </x:c>
      <x:c r="F5897" s="1" t="str">
        <x:v>https://api.octopus.energy/v1/products/AGILE-24-10-01/electricity-tariffs/E-1R-AGILE-24-10-01-G/standard-unit-rates/</x:v>
      </x:c>
    </x:row>
    <x:row r="5898" ht="21" customHeight="1">
      <x:c r="A5898" s="24" t="n">
        <x:v>46271.375</x:v>
      </x:c>
      <x:c r="B5898" s="6" t="n">
        <x:v>-0.0074</x:v>
      </x:c>
      <x:c r="C5898" s="6" t="n">
        <x:v>0.0229</x:v>
      </x:c>
      <x:c r="D5898" s="6" t="n">
        <x:f>B5898</x:f>
        <x:v>-0.0074</x:v>
      </x:c>
      <x:c r="E5898" s="1" t="n">
        <x:v>1.05</x:v>
      </x:c>
      <x:c r="F5898" s="1" t="str">
        <x:v>https://api.octopus.energy/v1/products/AGILE-24-10-01/electricity-tariffs/E-1R-AGILE-24-10-01-G/standard-unit-rates/</x:v>
      </x:c>
    </x:row>
    <x:row r="5899" ht="21" customHeight="1">
      <x:c r="A5899" s="24" t="n">
        <x:v>46271.395833333336</x:v>
      </x:c>
      <x:c r="B5899" s="6" t="n">
        <x:v>-0.0212</x:v>
      </x:c>
      <x:c r="C5899" s="6" t="n">
        <x:v>0.0166</x:v>
      </x:c>
      <x:c r="D5899" s="6" t="n">
        <x:f>B5899</x:f>
        <x:v>-0.0212</x:v>
      </x:c>
      <x:c r="E5899" s="1" t="n">
        <x:v>1.05</x:v>
      </x:c>
      <x:c r="F5899" s="1" t="str">
        <x:v>https://api.octopus.energy/v1/products/AGILE-24-10-01/electricity-tariffs/E-1R-AGILE-24-10-01-G/standard-unit-rates/</x:v>
      </x:c>
    </x:row>
    <x:row r="5900" ht="21" customHeight="1">
      <x:c r="A5900" s="24" t="n">
        <x:v>46271.416666666664</x:v>
      </x:c>
      <x:c r="B5900" s="6" t="n">
        <x:v>-0.0215</x:v>
      </x:c>
      <x:c r="C5900" s="6" t="n">
        <x:v>0.016399999999999998</x:v>
      </x:c>
      <x:c r="D5900" s="6" t="n">
        <x:f>B5900</x:f>
        <x:v>-0.0215</x:v>
      </x:c>
      <x:c r="E5900" s="1" t="n">
        <x:v>1.05</x:v>
      </x:c>
      <x:c r="F5900" s="1" t="str">
        <x:v>https://api.octopus.energy/v1/products/AGILE-24-10-01/electricity-tariffs/E-1R-AGILE-24-10-01-G/standard-unit-rates/</x:v>
      </x:c>
    </x:row>
    <x:row r="5901" ht="21" customHeight="1">
      <x:c r="A5901" s="24" t="n">
        <x:v>46271.4375</x:v>
      </x:c>
      <x:c r="B5901" s="6" t="n">
        <x:v>-0.0302</x:v>
      </x:c>
      <x:c r="C5901" s="6" t="n">
        <x:v>0.0124</x:v>
      </x:c>
      <x:c r="D5901" s="6" t="n">
        <x:f>B5901</x:f>
        <x:v>-0.0302</x:v>
      </x:c>
      <x:c r="E5901" s="1" t="n">
        <x:v>1.05</x:v>
      </x:c>
      <x:c r="F5901" s="1" t="str">
        <x:v>https://api.octopus.energy/v1/products/AGILE-24-10-01/electricity-tariffs/E-1R-AGILE-24-10-01-G/standard-unit-rates/</x:v>
      </x:c>
    </x:row>
    <x:row r="5902" ht="21" customHeight="1">
      <x:c r="A5902" s="24" t="n">
        <x:v>46271.458333333336</x:v>
      </x:c>
      <x:c r="B5902" s="6" t="n">
        <x:v>-0.0363</x:v>
      </x:c>
      <x:c r="C5902" s="6" t="n">
        <x:v>0.0097</x:v>
      </x:c>
      <x:c r="D5902" s="6" t="n">
        <x:f>B5902</x:f>
        <x:v>-0.0363</x:v>
      </x:c>
      <x:c r="E5902" s="1" t="n">
        <x:v>1.05</x:v>
      </x:c>
      <x:c r="F5902" s="1" t="str">
        <x:v>https://api.octopus.energy/v1/products/AGILE-24-10-01/electricity-tariffs/E-1R-AGILE-24-10-01-G/standard-unit-rates/</x:v>
      </x:c>
    </x:row>
    <x:row r="5903" ht="21" customHeight="1">
      <x:c r="A5903" s="24" t="n">
        <x:v>46271.479166666664</x:v>
      </x:c>
      <x:c r="B5903" s="6" t="n">
        <x:v>-0.0349</x:v>
      </x:c>
      <x:c r="C5903" s="6" t="n">
        <x:v>0.0103</x:v>
      </x:c>
      <x:c r="D5903" s="6" t="n">
        <x:f>B5903</x:f>
        <x:v>-0.0349</x:v>
      </x:c>
      <x:c r="E5903" s="1" t="n">
        <x:v>1.05</x:v>
      </x:c>
      <x:c r="F5903" s="1" t="str">
        <x:v>https://api.octopus.energy/v1/products/AGILE-24-10-01/electricity-tariffs/E-1R-AGILE-24-10-01-G/standard-unit-rates/</x:v>
      </x:c>
    </x:row>
    <x:row r="5904" ht="21" customHeight="1">
      <x:c r="A5904" s="24" t="n">
        <x:v>46271.5</x:v>
      </x:c>
      <x:c r="B5904" s="6" t="n">
        <x:v>-0.030899999999999997</x:v>
      </x:c>
      <x:c r="C5904" s="6" t="n">
        <x:v>0.012199999999999999</x:v>
      </x:c>
      <x:c r="D5904" s="6" t="n">
        <x:f>B5904</x:f>
        <x:v>-0.030899999999999997</x:v>
      </x:c>
      <x:c r="E5904" s="1" t="n">
        <x:v>1.05</x:v>
      </x:c>
      <x:c r="F5904" s="1" t="str">
        <x:v>https://api.octopus.energy/v1/products/AGILE-24-10-01/electricity-tariffs/E-1R-AGILE-24-10-01-G/standard-unit-rates/</x:v>
      </x:c>
    </x:row>
    <x:row r="5905" ht="21" customHeight="1">
      <x:c r="A5905" s="24" t="n">
        <x:v>46271.520833333336</x:v>
      </x:c>
      <x:c r="B5905" s="6" t="n">
        <x:v>-0.0431</x:v>
      </x:c>
      <x:c r="C5905" s="6" t="n">
        <x:v>0.0066</x:v>
      </x:c>
      <x:c r="D5905" s="6" t="n">
        <x:f>B5905</x:f>
        <x:v>-0.0431</x:v>
      </x:c>
      <x:c r="E5905" s="1" t="n">
        <x:v>1.05</x:v>
      </x:c>
      <x:c r="F5905" s="1" t="str">
        <x:v>https://api.octopus.energy/v1/products/AGILE-24-10-01/electricity-tariffs/E-1R-AGILE-24-10-01-G/standard-unit-rates/</x:v>
      </x:c>
    </x:row>
    <x:row r="5906" ht="21" customHeight="1">
      <x:c r="A5906" s="24" t="n">
        <x:v>46271.541666666664</x:v>
      </x:c>
      <x:c r="B5906" s="6" t="n">
        <x:v>-0.0418</x:v>
      </x:c>
      <x:c r="C5906" s="6" t="n">
        <x:v>0.0072</x:v>
      </x:c>
      <x:c r="D5906" s="6" t="n">
        <x:f>B5906</x:f>
        <x:v>-0.0418</x:v>
      </x:c>
      <x:c r="E5906" s="1" t="n">
        <x:v>1.05</x:v>
      </x:c>
      <x:c r="F5906" s="1" t="str">
        <x:v>https://api.octopus.energy/v1/products/AGILE-24-10-01/electricity-tariffs/E-1R-AGILE-24-10-01-G/standard-unit-rates/</x:v>
      </x:c>
    </x:row>
    <x:row r="5907" ht="21" customHeight="1">
      <x:c r="A5907" s="24" t="n">
        <x:v>46271.5625</x:v>
      </x:c>
      <x:c r="B5907" s="6" t="n">
        <x:v>-0.0424</x:v>
      </x:c>
      <x:c r="C5907" s="6" t="n">
        <x:v>0.0069</x:v>
      </x:c>
      <x:c r="D5907" s="6" t="n">
        <x:f>B5907</x:f>
        <x:v>-0.0424</x:v>
      </x:c>
      <x:c r="E5907" s="1" t="n">
        <x:v>1.05</x:v>
      </x:c>
      <x:c r="F5907" s="1" t="str">
        <x:v>https://api.octopus.energy/v1/products/AGILE-24-10-01/electricity-tariffs/E-1R-AGILE-24-10-01-G/standard-unit-rates/</x:v>
      </x:c>
    </x:row>
    <x:row r="5908" ht="21" customHeight="1">
      <x:c r="A5908" s="24" t="n">
        <x:v>46271.583333333336</x:v>
      </x:c>
      <x:c r="B5908" s="6" t="n">
        <x:v>-0.0311</x:v>
      </x:c>
      <x:c r="C5908" s="6" t="n">
        <x:v>0.0121</x:v>
      </x:c>
      <x:c r="D5908" s="6" t="n">
        <x:f>B5908</x:f>
        <x:v>-0.0311</x:v>
      </x:c>
      <x:c r="E5908" s="1" t="n">
        <x:v>1.05</x:v>
      </x:c>
      <x:c r="F5908" s="1" t="str">
        <x:v>https://api.octopus.energy/v1/products/AGILE-24-10-01/electricity-tariffs/E-1R-AGILE-24-10-01-G/standard-unit-rates/</x:v>
      </x:c>
    </x:row>
    <x:row r="5909" ht="21" customHeight="1">
      <x:c r="A5909" s="24" t="n">
        <x:v>46271.604166666664</x:v>
      </x:c>
      <x:c r="B5909" s="6" t="n">
        <x:v>-0.0334</x:v>
      </x:c>
      <x:c r="C5909" s="6" t="n">
        <x:v>0.011000000000000001</x:v>
      </x:c>
      <x:c r="D5909" s="6" t="n">
        <x:f>B5909</x:f>
        <x:v>-0.0334</x:v>
      </x:c>
      <x:c r="E5909" s="1" t="n">
        <x:v>1.05</x:v>
      </x:c>
      <x:c r="F5909" s="1" t="str">
        <x:v>https://api.octopus.energy/v1/products/AGILE-24-10-01/electricity-tariffs/E-1R-AGILE-24-10-01-G/standard-unit-rates/</x:v>
      </x:c>
    </x:row>
    <x:row r="5910" ht="21" customHeight="1">
      <x:c r="A5910" s="24" t="n">
        <x:v>46271.625</x:v>
      </x:c>
      <x:c r="B5910" s="6" t="n">
        <x:v>-0.038</x:v>
      </x:c>
      <x:c r="C5910" s="6" t="n">
        <x:v>0.0089</x:v>
      </x:c>
      <x:c r="D5910" s="6" t="n">
        <x:f>B5910</x:f>
        <x:v>-0.038</x:v>
      </x:c>
      <x:c r="E5910" s="1" t="n">
        <x:v>1.05</x:v>
      </x:c>
      <x:c r="F5910" s="1" t="str">
        <x:v>https://api.octopus.energy/v1/products/AGILE-24-10-01/electricity-tariffs/E-1R-AGILE-24-10-01-G/standard-unit-rates/</x:v>
      </x:c>
    </x:row>
    <x:row r="5911" ht="21" customHeight="1">
      <x:c r="A5911" s="24" t="n">
        <x:v>46271.645833333336</x:v>
      </x:c>
      <x:c r="B5911" s="6" t="n">
        <x:v>-0.022000000000000002</x:v>
      </x:c>
      <x:c r="C5911" s="6" t="n">
        <x:v>0.016200000000000003</x:v>
      </x:c>
      <x:c r="D5911" s="6" t="n">
        <x:f>B5911</x:f>
        <x:v>-0.022000000000000002</x:v>
      </x:c>
      <x:c r="E5911" s="1" t="n">
        <x:v>1.05</x:v>
      </x:c>
      <x:c r="F5911" s="1" t="str">
        <x:v>https://api.octopus.energy/v1/products/AGILE-24-10-01/electricity-tariffs/E-1R-AGILE-24-10-01-G/standard-unit-rates/</x:v>
      </x:c>
    </x:row>
    <x:row r="5912" ht="21" customHeight="1">
      <x:c r="A5912" s="24" t="n">
        <x:v>46271.666666666664</x:v>
      </x:c>
      <x:c r="B5912" s="6" t="n">
        <x:v>0.2717</x:v>
      </x:c>
      <x:c r="C5912" s="6" t="n">
        <x:v>0.1545</x:v>
      </x:c>
      <x:c r="D5912" s="6" t="n">
        <x:f>B5912</x:f>
        <x:v>0.2717</x:v>
      </x:c>
      <x:c r="E5912" s="1" t="n">
        <x:v>1.05</x:v>
      </x:c>
      <x:c r="F5912" s="1" t="str">
        <x:v>https://api.octopus.energy/v1/products/AGILE-24-10-01/electricity-tariffs/E-1R-AGILE-24-10-01-G/standard-unit-rates/</x:v>
      </x:c>
    </x:row>
    <x:row r="5913" ht="21" customHeight="1">
      <x:c r="A5913" s="24" t="n">
        <x:v>46271.6875</x:v>
      </x:c>
      <x:c r="B5913" s="6" t="n">
        <x:v>0.3398</x:v>
      </x:c>
      <x:c r="C5913" s="6" t="n">
        <x:v>0.1857</x:v>
      </x:c>
      <x:c r="D5913" s="6" t="n">
        <x:f>B5913</x:f>
        <x:v>0.3398</x:v>
      </x:c>
      <x:c r="E5913" s="1" t="n">
        <x:v>1.05</x:v>
      </x:c>
      <x:c r="F5913" s="1" t="str">
        <x:v>https://api.octopus.energy/v1/products/AGILE-24-10-01/electricity-tariffs/E-1R-AGILE-24-10-01-G/standard-unit-rates/</x:v>
      </x:c>
    </x:row>
    <x:row r="5914" ht="21" customHeight="1">
      <x:c r="A5914" s="24" t="n">
        <x:v>46271.708333333336</x:v>
      </x:c>
      <x:c r="B5914" s="6" t="n">
        <x:v>0.41490000000000005</x:v>
      </x:c>
      <x:c r="C5914" s="6" t="n">
        <x:v>0.22</x:v>
      </x:c>
      <x:c r="D5914" s="6" t="n">
        <x:f>B5914</x:f>
        <x:v>0.41490000000000005</x:v>
      </x:c>
      <x:c r="E5914" s="1" t="n">
        <x:v>1.05</x:v>
      </x:c>
      <x:c r="F5914" s="1" t="str">
        <x:v>https://api.octopus.energy/v1/products/AGILE-24-10-01/electricity-tariffs/E-1R-AGILE-24-10-01-G/standard-unit-rates/</x:v>
      </x:c>
    </x:row>
    <x:row r="5915" ht="21" customHeight="1">
      <x:c r="A5915" s="24" t="n">
        <x:v>46271.729166666664</x:v>
      </x:c>
      <x:c r="B5915" s="6" t="n">
        <x:v>0.4604</x:v>
      </x:c>
      <x:c r="C5915" s="6" t="n">
        <x:v>0.2408</x:v>
      </x:c>
      <x:c r="D5915" s="6" t="n">
        <x:f>B5915</x:f>
        <x:v>0.4604</x:v>
      </x:c>
      <x:c r="E5915" s="1" t="n">
        <x:v>1.05</x:v>
      </x:c>
      <x:c r="F5915" s="1" t="str">
        <x:v>https://api.octopus.energy/v1/products/AGILE-24-10-01/electricity-tariffs/E-1R-AGILE-24-10-01-G/standard-unit-rates/</x:v>
      </x:c>
    </x:row>
    <x:row r="5916" ht="21" customHeight="1">
      <x:c r="A5916" s="24" t="n">
        <x:v>46271.75</x:v>
      </x:c>
      <x:c r="B5916" s="6" t="n">
        <x:v>0.45409999999999995</x:v>
      </x:c>
      <x:c r="C5916" s="6" t="n">
        <x:v>0.2379</x:v>
      </x:c>
      <x:c r="D5916" s="6" t="n">
        <x:f>B5916</x:f>
        <x:v>0.45409999999999995</x:v>
      </x:c>
      <x:c r="E5916" s="1" t="n">
        <x:v>1.05</x:v>
      </x:c>
      <x:c r="F5916" s="1" t="str">
        <x:v>https://api.octopus.energy/v1/products/AGILE-24-10-01/electricity-tariffs/E-1R-AGILE-24-10-01-G/standard-unit-rates/</x:v>
      </x:c>
    </x:row>
    <x:row r="5917" ht="21" customHeight="1">
      <x:c r="A5917" s="24" t="n">
        <x:v>46271.770833333336</x:v>
      </x:c>
      <x:c r="B5917" s="6" t="n">
        <x:v>0.4596</x:v>
      </x:c>
      <x:c r="C5917" s="6" t="n">
        <x:v>0.2404</x:v>
      </x:c>
      <x:c r="D5917" s="6" t="n">
        <x:f>B5917</x:f>
        <x:v>0.4596</x:v>
      </x:c>
      <x:c r="E5917" s="1" t="n">
        <x:v>1.05</x:v>
      </x:c>
      <x:c r="F5917" s="1" t="str">
        <x:v>https://api.octopus.energy/v1/products/AGILE-24-10-01/electricity-tariffs/E-1R-AGILE-24-10-01-G/standard-unit-rates/</x:v>
      </x:c>
    </x:row>
    <x:row r="5918" ht="21" customHeight="1">
      <x:c r="A5918" s="24" t="n">
        <x:v>46271.791666666664</x:v>
      </x:c>
      <x:c r="B5918" s="6" t="n">
        <x:v>0.3448</x:v>
      </x:c>
      <x:c r="C5918" s="6" t="n">
        <x:v>0.1839</x:v>
      </x:c>
      <x:c r="D5918" s="6" t="n">
        <x:f>B5918</x:f>
        <x:v>0.3448</x:v>
      </x:c>
      <x:c r="E5918" s="1" t="n">
        <x:v>1.05</x:v>
      </x:c>
      <x:c r="F5918" s="1" t="str">
        <x:v>https://api.octopus.energy/v1/products/AGILE-24-10-01/electricity-tariffs/E-1R-AGILE-24-10-01-G/standard-unit-rates/</x:v>
      </x:c>
    </x:row>
    <x:row r="5919" ht="21" customHeight="1">
      <x:c r="A5919" s="24" t="n">
        <x:v>46271.8125</x:v>
      </x:c>
      <x:c r="B5919" s="6" t="n">
        <x:v>0.3555</x:v>
      </x:c>
      <x:c r="C5919" s="6" t="n">
        <x:v>0.1888</x:v>
      </x:c>
      <x:c r="D5919" s="6" t="n">
        <x:f>B5919</x:f>
        <x:v>0.3555</x:v>
      </x:c>
      <x:c r="E5919" s="1" t="n">
        <x:v>1.05</x:v>
      </x:c>
      <x:c r="F5919" s="1" t="str">
        <x:v>https://api.octopus.energy/v1/products/AGILE-24-10-01/electricity-tariffs/E-1R-AGILE-24-10-01-G/standard-unit-rates/</x:v>
      </x:c>
    </x:row>
    <x:row r="5920" ht="21" customHeight="1">
      <x:c r="A5920" s="24" t="n">
        <x:v>46271.833333333336</x:v>
      </x:c>
      <x:c r="B5920" s="6" t="n">
        <x:v>0.34049999999999997</x:v>
      </x:c>
      <x:c r="C5920" s="6" t="n">
        <x:v>0.1819</x:v>
      </x:c>
      <x:c r="D5920" s="6" t="n">
        <x:f>B5920</x:f>
        <x:v>0.34049999999999997</x:v>
      </x:c>
      <x:c r="E5920" s="1" t="n">
        <x:v>1.05</x:v>
      </x:c>
      <x:c r="F5920" s="1" t="str">
        <x:v>https://api.octopus.energy/v1/products/AGILE-24-10-01/electricity-tariffs/E-1R-AGILE-24-10-01-G/standard-unit-rates/</x:v>
      </x:c>
    </x:row>
    <x:row r="5921" ht="21" customHeight="1">
      <x:c r="A5921" s="24" t="n">
        <x:v>46271.854166666664</x:v>
      </x:c>
      <x:c r="B5921" s="6" t="n">
        <x:v>0.33409999999999995</x:v>
      </x:c>
      <x:c r="C5921" s="6" t="n">
        <x:v>0.179</x:v>
      </x:c>
      <x:c r="D5921" s="6" t="n">
        <x:f>B5921</x:f>
        <x:v>0.33409999999999995</x:v>
      </x:c>
      <x:c r="E5921" s="1" t="n">
        <x:v>1.05</x:v>
      </x:c>
      <x:c r="F5921" s="1" t="str">
        <x:v>https://api.octopus.energy/v1/products/AGILE-24-10-01/electricity-tariffs/E-1R-AGILE-24-10-01-G/standard-unit-rates/</x:v>
      </x:c>
    </x:row>
    <x:row r="5922" ht="21" customHeight="1">
      <x:c r="A5922" s="24" t="n">
        <x:v>46271.875</x:v>
      </x:c>
      <x:c r="B5922" s="6" t="n">
        <x:v>0.3331</x:v>
      </x:c>
      <x:c r="C5922" s="6" t="n">
        <x:v>0.17850000000000002</x:v>
      </x:c>
      <x:c r="D5922" s="6" t="n">
        <x:f>B5922</x:f>
        <x:v>0.3331</x:v>
      </x:c>
      <x:c r="E5922" s="1" t="n">
        <x:v>1.05</x:v>
      </x:c>
      <x:c r="F5922" s="1" t="str">
        <x:v>https://api.octopus.energy/v1/products/AGILE-24-10-01/electricity-tariffs/E-1R-AGILE-24-10-01-G/standard-unit-rates/</x:v>
      </x:c>
    </x:row>
    <x:row r="5923" ht="21" customHeight="1">
      <x:c r="A5923" s="24" t="n">
        <x:v>46271.895833333336</x:v>
      </x:c>
      <x:c r="B5923" s="6" t="n">
        <x:v>0.29969999999999997</x:v>
      </x:c>
      <x:c r="C5923" s="6" t="n">
        <x:v>0.16329999999999997</x:v>
      </x:c>
      <x:c r="D5923" s="6" t="n">
        <x:f>B5923</x:f>
        <x:v>0.29969999999999997</x:v>
      </x:c>
      <x:c r="E5923" s="1" t="n">
        <x:v>1.05</x:v>
      </x:c>
      <x:c r="F5923" s="1" t="str">
        <x:v>https://api.octopus.energy/v1/products/AGILE-24-10-01/electricity-tariffs/E-1R-AGILE-24-10-01-G/standard-unit-rates/</x:v>
      </x:c>
    </x:row>
    <x:row r="5924" ht="21" customHeight="1">
      <x:c r="A5924" s="24" t="n">
        <x:v>46271.916666666664</x:v>
      </x:c>
      <x:c r="B5924" s="6" t="n">
        <x:v>0.3011</x:v>
      </x:c>
      <x:c r="C5924" s="6" t="n">
        <x:v>0.16390000000000002</x:v>
      </x:c>
      <x:c r="D5924" s="6" t="n">
        <x:f>B5924</x:f>
        <x:v>0.3011</x:v>
      </x:c>
      <x:c r="E5924" s="1" t="n">
        <x:v>1.05</x:v>
      </x:c>
      <x:c r="F5924" s="1" t="str">
        <x:v>https://api.octopus.energy/v1/products/AGILE-24-10-01/electricity-tariffs/E-1R-AGILE-24-10-01-G/standard-unit-rates/</x:v>
      </x:c>
    </x:row>
    <x:row r="5925" ht="21" customHeight="1">
      <x:c r="A5925" s="24" t="n">
        <x:v>46271.9375</x:v>
      </x:c>
      <x:c r="B5925" s="6" t="n">
        <x:v>0.2746</x:v>
      </x:c>
      <x:c r="C5925" s="6" t="n">
        <x:v>0.1518</x:v>
      </x:c>
      <x:c r="D5925" s="6" t="n">
        <x:f>B5925</x:f>
        <x:v>0.2746</x:v>
      </x:c>
      <x:c r="E5925" s="1" t="n">
        <x:v>1.05</x:v>
      </x:c>
      <x:c r="F5925" s="1" t="str">
        <x:v>https://api.octopus.energy/v1/products/AGILE-24-10-01/electricity-tariffs/E-1R-AGILE-24-10-01-G/standard-unit-rates/</x:v>
      </x:c>
    </x:row>
    <x:row r="5926" ht="21" customHeight="1">
      <x:c r="A5926" s="24" t="n">
        <x:v>46272</x:v>
      </x:c>
      <x:c r="B5926" s="6" t="n">
        <x:v>0.2534</x:v>
      </x:c>
      <x:c r="C5926" s="6" t="n">
        <x:v>0.1421</x:v>
      </x:c>
      <x:c r="D5926" s="6" t="n">
        <x:f>B5926</x:f>
        <x:v>0.2534</x:v>
      </x:c>
      <x:c r="E5926" s="1" t="n">
        <x:v>1.05</x:v>
      </x:c>
      <x:c r="F5926" s="1" t="str">
        <x:v>https://api.octopus.energy/v1/products/AGILE-24-10-01/electricity-tariffs/E-1R-AGILE-24-10-01-G/standard-unit-rates/</x:v>
      </x:c>
    </x:row>
    <x:row r="5927" ht="21" customHeight="1">
      <x:c r="A5927" s="24" t="n">
        <x:v>46271.979166666664</x:v>
      </x:c>
      <x:c r="B5927" s="6" t="n">
        <x:v>0.26780000000000004</x:v>
      </x:c>
      <x:c r="C5927" s="6" t="n">
        <x:v>0.1487</x:v>
      </x:c>
      <x:c r="D5927" s="6" t="n">
        <x:f>B5927</x:f>
        <x:v>0.26780000000000004</x:v>
      </x:c>
      <x:c r="E5927" s="1" t="n">
        <x:v>1.05</x:v>
      </x:c>
      <x:c r="F5927" s="1" t="str">
        <x:v>https://api.octopus.energy/v1/products/AGILE-24-10-01/electricity-tariffs/E-1R-AGILE-24-10-01-G/standard-unit-rates/</x:v>
      </x:c>
    </x:row>
    <x:row r="5928" ht="21" customHeight="1">
      <x:c r="A5928" s="24" t="n">
        <x:v>46272</x:v>
      </x:c>
      <x:c r="B5928" s="6" t="n">
        <x:v>0.26530000000000004</x:v>
      </x:c>
      <x:c r="C5928" s="6" t="n">
        <x:v>0.1475</x:v>
      </x:c>
      <x:c r="D5928" s="6" t="n">
        <x:f>B5928</x:f>
        <x:v>0.26530000000000004</x:v>
      </x:c>
      <x:c r="E5928" s="1" t="n">
        <x:v>1.05</x:v>
      </x:c>
      <x:c r="F5928" s="1" t="str">
        <x:v>https://api.octopus.energy/v1/products/AGILE-24-10-01/electricity-tariffs/E-1R-AGILE-24-10-01-G/standard-unit-rates/</x:v>
      </x:c>
    </x:row>
    <x:row r="5929" ht="21" customHeight="1">
      <x:c r="A5929" s="24" t="n">
        <x:v>46272.020833333336</x:v>
      </x:c>
      <x:c r="B5929" s="6" t="n">
        <x:v>0.2698</x:v>
      </x:c>
      <x:c r="C5929" s="6" t="n">
        <x:v>0.1496</x:v>
      </x:c>
      <x:c r="D5929" s="6" t="n">
        <x:f>B5929</x:f>
        <x:v>0.2698</x:v>
      </x:c>
      <x:c r="E5929" s="1" t="n">
        <x:v>1.05</x:v>
      </x:c>
      <x:c r="F5929" s="1" t="str">
        <x:v>https://api.octopus.energy/v1/products/AGILE-24-10-01/electricity-tariffs/E-1R-AGILE-24-10-01-G/standard-unit-rates/</x:v>
      </x:c>
    </x:row>
    <x:row r="5930" ht="21" customHeight="1">
      <x:c r="A5930" s="24" t="n">
        <x:v>46272.041666666664</x:v>
      </x:c>
      <x:c r="B5930" s="6" t="n">
        <x:v>0.2618</x:v>
      </x:c>
      <x:c r="C5930" s="6" t="n">
        <x:v>0.1459</x:v>
      </x:c>
      <x:c r="D5930" s="6" t="n">
        <x:f>B5930</x:f>
        <x:v>0.2618</x:v>
      </x:c>
      <x:c r="E5930" s="1" t="n">
        <x:v>1.05</x:v>
      </x:c>
      <x:c r="F5930" s="1" t="str">
        <x:v>https://api.octopus.energy/v1/products/AGILE-24-10-01/electricity-tariffs/E-1R-AGILE-24-10-01-G/standard-unit-rates/</x:v>
      </x:c>
    </x:row>
    <x:row r="5931" ht="21" customHeight="1">
      <x:c r="A5931" s="24" t="n">
        <x:v>46272.0625</x:v>
      </x:c>
      <x:c r="B5931" s="6" t="n">
        <x:v>0.2673</x:v>
      </x:c>
      <x:c r="C5931" s="6" t="n">
        <x:v>0.1485</x:v>
      </x:c>
      <x:c r="D5931" s="6" t="n">
        <x:f>B5931</x:f>
        <x:v>0.2673</x:v>
      </x:c>
      <x:c r="E5931" s="1" t="n">
        <x:v>1.05</x:v>
      </x:c>
      <x:c r="F5931" s="1" t="str">
        <x:v>https://api.octopus.energy/v1/products/AGILE-24-10-01/electricity-tariffs/E-1R-AGILE-24-10-01-G/standard-unit-rates/</x:v>
      </x:c>
    </x:row>
    <x:row r="5932" ht="21" customHeight="1">
      <x:c r="A5932" s="24" t="n">
        <x:v>46272.083333333336</x:v>
      </x:c>
      <x:c r="B5932" s="6" t="n">
        <x:v>0.26530000000000004</x:v>
      </x:c>
      <x:c r="C5932" s="6" t="n">
        <x:v>0.1476</x:v>
      </x:c>
      <x:c r="D5932" s="6" t="n">
        <x:f>B5932</x:f>
        <x:v>0.26530000000000004</x:v>
      </x:c>
      <x:c r="E5932" s="1" t="n">
        <x:v>1.05</x:v>
      </x:c>
      <x:c r="F5932" s="1" t="str">
        <x:v>https://api.octopus.energy/v1/products/AGILE-24-10-01/electricity-tariffs/E-1R-AGILE-24-10-01-G/standard-unit-rates/</x:v>
      </x:c>
    </x:row>
    <x:row r="5933" ht="21" customHeight="1">
      <x:c r="A5933" s="24" t="n">
        <x:v>46272.104166666664</x:v>
      </x:c>
      <x:c r="B5933" s="6" t="n">
        <x:v>0.261</x:v>
      </x:c>
      <x:c r="C5933" s="6" t="n">
        <x:v>0.1456</x:v>
      </x:c>
      <x:c r="D5933" s="6" t="n">
        <x:f>B5933</x:f>
        <x:v>0.261</x:v>
      </x:c>
      <x:c r="E5933" s="1" t="n">
        <x:v>1.05</x:v>
      </x:c>
      <x:c r="F5933" s="1" t="str">
        <x:v>https://api.octopus.energy/v1/products/AGILE-24-10-01/electricity-tariffs/E-1R-AGILE-24-10-01-G/standard-unit-rates/</x:v>
      </x:c>
    </x:row>
    <x:row r="5934" ht="21" customHeight="1">
      <x:c r="A5934" s="24" t="n">
        <x:v>46272.125</x:v>
      </x:c>
      <x:c r="B5934" s="6" t="n">
        <x:v>0.261</x:v>
      </x:c>
      <x:c r="C5934" s="6" t="n">
        <x:v>0.1456</x:v>
      </x:c>
      <x:c r="D5934" s="6" t="n">
        <x:f>B5934</x:f>
        <x:v>0.261</x:v>
      </x:c>
      <x:c r="E5934" s="1" t="n">
        <x:v>1.05</x:v>
      </x:c>
      <x:c r="F5934" s="1" t="str">
        <x:v>https://api.octopus.energy/v1/products/AGILE-24-10-01/electricity-tariffs/E-1R-AGILE-24-10-01-G/standard-unit-rates/</x:v>
      </x:c>
    </x:row>
    <x:row r="5935" ht="21" customHeight="1">
      <x:c r="A5935" s="24" t="n">
        <x:v>46272.145833333336</x:v>
      </x:c>
      <x:c r="B5935" s="6" t="n">
        <x:v>0.264</x:v>
      </x:c>
      <x:c r="C5935" s="6" t="n">
        <x:v>0.147</x:v>
      </x:c>
      <x:c r="D5935" s="6" t="n">
        <x:f>B5935</x:f>
        <x:v>0.264</x:v>
      </x:c>
      <x:c r="E5935" s="1" t="n">
        <x:v>1.05</x:v>
      </x:c>
      <x:c r="F5935" s="1" t="str">
        <x:v>https://api.octopus.energy/v1/products/AGILE-24-10-01/electricity-tariffs/E-1R-AGILE-24-10-01-G/standard-unit-rates/</x:v>
      </x:c>
    </x:row>
    <x:row r="5936" ht="21" customHeight="1">
      <x:c r="A5936" s="24" t="n">
        <x:v>46272.166666666664</x:v>
      </x:c>
      <x:c r="B5936" s="6" t="n">
        <x:v>0.2857</x:v>
      </x:c>
      <x:c r="C5936" s="6" t="n">
        <x:v>0.15689999999999998</x:v>
      </x:c>
      <x:c r="D5936" s="6" t="n">
        <x:f>B5936</x:f>
        <x:v>0.2857</x:v>
      </x:c>
      <x:c r="E5936" s="1" t="n">
        <x:v>1.05</x:v>
      </x:c>
      <x:c r="F5936" s="1" t="str">
        <x:v>https://api.octopus.energy/v1/products/AGILE-24-10-01/electricity-tariffs/E-1R-AGILE-24-10-01-G/standard-unit-rates/</x:v>
      </x:c>
    </x:row>
    <x:row r="5937" ht="21" customHeight="1">
      <x:c r="A5937" s="24" t="n">
        <x:v>46272.1875</x:v>
      </x:c>
      <x:c r="B5937" s="6" t="n">
        <x:v>0.2816</x:v>
      </x:c>
      <x:c r="C5937" s="6" t="n">
        <x:v>0.155</x:v>
      </x:c>
      <x:c r="D5937" s="6" t="n">
        <x:f>B5937</x:f>
        <x:v>0.2816</x:v>
      </x:c>
      <x:c r="E5937" s="1" t="n">
        <x:v>1.05</x:v>
      </x:c>
      <x:c r="F5937" s="1" t="str">
        <x:v>https://api.octopus.energy/v1/products/AGILE-24-10-01/electricity-tariffs/E-1R-AGILE-24-10-01-G/standard-unit-rates/</x:v>
      </x:c>
    </x:row>
    <x:row r="5938" ht="21" customHeight="1">
      <x:c r="A5938" s="24" t="n">
        <x:v>46272.208333333336</x:v>
      </x:c>
      <x:c r="B5938" s="6" t="n">
        <x:v>0.3196</x:v>
      </x:c>
      <x:c r="C5938" s="6" t="n">
        <x:v>0.1724</x:v>
      </x:c>
      <x:c r="D5938" s="6" t="n">
        <x:f>B5938</x:f>
        <x:v>0.3196</x:v>
      </x:c>
      <x:c r="E5938" s="1" t="n">
        <x:v>1.05</x:v>
      </x:c>
      <x:c r="F5938" s="1" t="str">
        <x:v>https://api.octopus.energy/v1/products/AGILE-24-10-01/electricity-tariffs/E-1R-AGILE-24-10-01-G/standard-unit-rates/</x:v>
      </x:c>
    </x:row>
    <x:row r="5939" ht="21" customHeight="1">
      <x:c r="A5939" s="24" t="n">
        <x:v>46272.229166666664</x:v>
      </x:c>
      <x:c r="B5939" s="6" t="n">
        <x:v>0.3265</x:v>
      </x:c>
      <x:c r="C5939" s="6" t="n">
        <x:v>0.17550000000000002</x:v>
      </x:c>
      <x:c r="D5939" s="6" t="n">
        <x:f>B5939</x:f>
        <x:v>0.3265</x:v>
      </x:c>
      <x:c r="E5939" s="1" t="n">
        <x:v>1.05</x:v>
      </x:c>
      <x:c r="F5939" s="1" t="str">
        <x:v>https://api.octopus.energy/v1/products/AGILE-24-10-01/electricity-tariffs/E-1R-AGILE-24-10-01-G/standard-unit-rates/</x:v>
      </x:c>
    </x:row>
    <x:row r="5940" ht="21" customHeight="1">
      <x:c r="A5940" s="24" t="n">
        <x:v>46272.25</x:v>
      </x:c>
      <x:c r="B5940" s="6" t="n">
        <x:v>0.3446</x:v>
      </x:c>
      <x:c r="C5940" s="6" t="n">
        <x:v>0.1838</x:v>
      </x:c>
      <x:c r="D5940" s="6" t="n">
        <x:f>B5940</x:f>
        <x:v>0.3446</x:v>
      </x:c>
      <x:c r="E5940" s="1" t="n">
        <x:v>1.05</x:v>
      </x:c>
      <x:c r="F5940" s="1" t="str">
        <x:v>https://api.octopus.energy/v1/products/AGILE-24-10-01/electricity-tariffs/E-1R-AGILE-24-10-01-G/standard-unit-rates/</x:v>
      </x:c>
    </x:row>
    <x:row r="5941" ht="21" customHeight="1">
      <x:c r="A5941" s="24" t="n">
        <x:v>46272.270833333336</x:v>
      </x:c>
      <x:c r="B5941" s="6" t="n">
        <x:v>0.3635</x:v>
      </x:c>
      <x:c r="C5941" s="6" t="n">
        <x:v>0.1924</x:v>
      </x:c>
      <x:c r="D5941" s="6" t="n">
        <x:f>B5941</x:f>
        <x:v>0.3635</x:v>
      </x:c>
      <x:c r="E5941" s="1" t="n">
        <x:v>1.05</x:v>
      </x:c>
      <x:c r="F5941" s="1" t="str">
        <x:v>https://api.octopus.energy/v1/products/AGILE-24-10-01/electricity-tariffs/E-1R-AGILE-24-10-01-G/standard-unit-rates/</x:v>
      </x:c>
    </x:row>
    <x:row r="5942" ht="21" customHeight="1">
      <x:c r="A5942" s="24" t="n">
        <x:v>46272.291666666664</x:v>
      </x:c>
      <x:c r="B5942" s="6" t="n">
        <x:v>0.3322</x:v>
      </x:c>
      <x:c r="C5942" s="6" t="n">
        <x:v>0.17809999999999998</x:v>
      </x:c>
      <x:c r="D5942" s="6" t="n">
        <x:f>B5942</x:f>
        <x:v>0.3322</x:v>
      </x:c>
      <x:c r="E5942" s="1" t="n">
        <x:v>1.05</x:v>
      </x:c>
      <x:c r="F5942" s="1" t="str">
        <x:v>https://api.octopus.energy/v1/products/AGILE-24-10-01/electricity-tariffs/E-1R-AGILE-24-10-01-G/standard-unit-rates/</x:v>
      </x:c>
    </x:row>
    <x:row r="5943" ht="21" customHeight="1">
      <x:c r="A5943" s="24" t="n">
        <x:v>46272.3125</x:v>
      </x:c>
      <x:c r="B5943" s="6" t="n">
        <x:v>0.3448</x:v>
      </x:c>
      <x:c r="C5943" s="6" t="n">
        <x:v>0.1839</x:v>
      </x:c>
      <x:c r="D5943" s="6" t="n">
        <x:f>B5943</x:f>
        <x:v>0.3448</x:v>
      </x:c>
      <x:c r="E5943" s="1" t="n">
        <x:v>1.05</x:v>
      </x:c>
      <x:c r="F5943" s="1" t="str">
        <x:v>https://api.octopus.energy/v1/products/AGILE-24-10-01/electricity-tariffs/E-1R-AGILE-24-10-01-G/standard-unit-rates/</x:v>
      </x:c>
    </x:row>
    <x:row r="5944" ht="21" customHeight="1">
      <x:c r="A5944" s="24" t="n">
        <x:v>46272.333333333336</x:v>
      </x:c>
      <x:c r="B5944" s="6" t="n">
        <x:v>0.3456</x:v>
      </x:c>
      <x:c r="C5944" s="6" t="n">
        <x:v>0.1843</x:v>
      </x:c>
      <x:c r="D5944" s="6" t="n">
        <x:f>B5944</x:f>
        <x:v>0.3456</x:v>
      </x:c>
      <x:c r="E5944" s="1" t="n">
        <x:v>1.05</x:v>
      </x:c>
      <x:c r="F5944" s="1" t="str">
        <x:v>https://api.octopus.energy/v1/products/AGILE-24-10-01/electricity-tariffs/E-1R-AGILE-24-10-01-G/standard-unit-rates/</x:v>
      </x:c>
    </x:row>
    <x:row r="5945" ht="21" customHeight="1">
      <x:c r="A5945" s="24" t="n">
        <x:v>46272.354166666664</x:v>
      </x:c>
      <x:c r="B5945" s="6" t="n">
        <x:v>0.32530000000000003</x:v>
      </x:c>
      <x:c r="C5945" s="6" t="n">
        <x:v>0.175</x:v>
      </x:c>
      <x:c r="D5945" s="6" t="n">
        <x:f>B5945</x:f>
        <x:v>0.32530000000000003</x:v>
      </x:c>
      <x:c r="E5945" s="1" t="n">
        <x:v>1.05</x:v>
      </x:c>
      <x:c r="F5945" s="1" t="str">
        <x:v>https://api.octopus.energy/v1/products/AGILE-24-10-01/electricity-tariffs/E-1R-AGILE-24-10-01-G/standard-unit-rates/</x:v>
      </x:c>
    </x:row>
    <x:row r="5946" ht="21" customHeight="1">
      <x:c r="A5946" s="24" t="n">
        <x:v>46272.375</x:v>
      </x:c>
      <x:c r="B5946" s="6" t="n">
        <x:v>0.2983</x:v>
      </x:c>
      <x:c r="C5946" s="6" t="n">
        <x:v>0.16260000000000002</x:v>
      </x:c>
      <x:c r="D5946" s="6" t="n">
        <x:f>B5946</x:f>
        <x:v>0.2983</x:v>
      </x:c>
      <x:c r="E5946" s="1" t="n">
        <x:v>1.05</x:v>
      </x:c>
      <x:c r="F5946" s="1" t="str">
        <x:v>https://api.octopus.energy/v1/products/AGILE-24-10-01/electricity-tariffs/E-1R-AGILE-24-10-01-G/standard-unit-rates/</x:v>
      </x:c>
    </x:row>
    <x:row r="5947" ht="21" customHeight="1">
      <x:c r="A5947" s="24" t="n">
        <x:v>46272.395833333336</x:v>
      </x:c>
      <x:c r="B5947" s="6" t="n">
        <x:v>0.2793</x:v>
      </x:c>
      <x:c r="C5947" s="6" t="n">
        <x:v>0.1539</x:v>
      </x:c>
      <x:c r="D5947" s="6" t="n">
        <x:f>B5947</x:f>
        <x:v>0.2793</x:v>
      </x:c>
      <x:c r="E5947" s="1" t="n">
        <x:v>1.05</x:v>
      </x:c>
      <x:c r="F5947" s="1" t="str">
        <x:v>https://api.octopus.energy/v1/products/AGILE-24-10-01/electricity-tariffs/E-1R-AGILE-24-10-01-G/standard-unit-rates/</x:v>
      </x:c>
    </x:row>
    <x:row r="5948" ht="21" customHeight="1">
      <x:c r="A5948" s="24" t="n">
        <x:v>46272.416666666664</x:v>
      </x:c>
      <x:c r="B5948" s="6" t="n">
        <x:v>0.24170000000000003</x:v>
      </x:c>
      <x:c r="C5948" s="6" t="n">
        <x:v>0.1368</x:v>
      </x:c>
      <x:c r="D5948" s="6" t="n">
        <x:f>B5948</x:f>
        <x:v>0.24170000000000003</x:v>
      </x:c>
      <x:c r="E5948" s="1" t="n">
        <x:v>1.05</x:v>
      </x:c>
      <x:c r="F5948" s="1" t="str">
        <x:v>https://api.octopus.energy/v1/products/AGILE-24-10-01/electricity-tariffs/E-1R-AGILE-24-10-01-G/standard-unit-rates/</x:v>
      </x:c>
    </x:row>
    <x:row r="5949" ht="21" customHeight="1">
      <x:c r="A5949" s="24" t="n">
        <x:v>46272.4375</x:v>
      </x:c>
      <x:c r="B5949" s="6" t="n">
        <x:v>0.21739999999999998</x:v>
      </x:c>
      <x:c r="C5949" s="6" t="n">
        <x:v>0.1257</x:v>
      </x:c>
      <x:c r="D5949" s="6" t="n">
        <x:f>B5949</x:f>
        <x:v>0.21739999999999998</x:v>
      </x:c>
      <x:c r="E5949" s="1" t="n">
        <x:v>1.05</x:v>
      </x:c>
      <x:c r="F5949" s="1" t="str">
        <x:v>https://api.octopus.energy/v1/products/AGILE-24-10-01/electricity-tariffs/E-1R-AGILE-24-10-01-G/standard-unit-rates/</x:v>
      </x:c>
    </x:row>
    <x:row r="5950" ht="21" customHeight="1">
      <x:c r="A5950" s="24" t="n">
        <x:v>46272.458333333336</x:v>
      </x:c>
      <x:c r="B5950" s="6" t="n">
        <x:v>0.1999</x:v>
      </x:c>
      <x:c r="C5950" s="6" t="n">
        <x:v>0.1176</x:v>
      </x:c>
      <x:c r="D5950" s="6" t="n">
        <x:f>B5950</x:f>
        <x:v>0.1999</x:v>
      </x:c>
      <x:c r="E5950" s="1" t="n">
        <x:v>1.05</x:v>
      </x:c>
      <x:c r="F5950" s="1" t="str">
        <x:v>https://api.octopus.energy/v1/products/AGILE-24-10-01/electricity-tariffs/E-1R-AGILE-24-10-01-G/standard-unit-rates/</x:v>
      </x:c>
    </x:row>
    <x:row r="5951" ht="21" customHeight="1">
      <x:c r="A5951" s="24" t="n">
        <x:v>46272.479166666664</x:v>
      </x:c>
      <x:c r="B5951" s="6" t="n">
        <x:v>0.1787</x:v>
      </x:c>
      <x:c r="C5951" s="6" t="n">
        <x:v>0.10800000000000001</x:v>
      </x:c>
      <x:c r="D5951" s="6" t="n">
        <x:f>B5951</x:f>
        <x:v>0.1787</x:v>
      </x:c>
      <x:c r="E5951" s="1" t="n">
        <x:v>1.05</x:v>
      </x:c>
      <x:c r="F5951" s="1" t="str">
        <x:v>https://api.octopus.energy/v1/products/AGILE-24-10-01/electricity-tariffs/E-1R-AGILE-24-10-01-G/standard-unit-rates/</x:v>
      </x:c>
    </x:row>
    <x:row r="5952" ht="21" customHeight="1">
      <x:c r="A5952" s="24" t="n">
        <x:v>46272.5</x:v>
      </x:c>
      <x:c r="B5952" s="6" t="n">
        <x:v>0.17350000000000002</x:v>
      </x:c>
      <x:c r="C5952" s="6" t="n">
        <x:v>0.1056</x:v>
      </x:c>
      <x:c r="D5952" s="6" t="n">
        <x:f>B5952</x:f>
        <x:v>0.17350000000000002</x:v>
      </x:c>
      <x:c r="E5952" s="1" t="n">
        <x:v>1.05</x:v>
      </x:c>
      <x:c r="F5952" s="1" t="str">
        <x:v>https://api.octopus.energy/v1/products/AGILE-24-10-01/electricity-tariffs/E-1R-AGILE-24-10-01-G/standard-unit-rates/</x:v>
      </x:c>
    </x:row>
    <x:row r="5953" ht="21" customHeight="1">
      <x:c r="A5953" s="24" t="n">
        <x:v>46272.520833333336</x:v>
      </x:c>
      <x:c r="B5953" s="6" t="n">
        <x:v>0.16870000000000002</x:v>
      </x:c>
      <x:c r="C5953" s="6" t="n">
        <x:v>0.10339999999999999</x:v>
      </x:c>
      <x:c r="D5953" s="6" t="n">
        <x:f>B5953</x:f>
        <x:v>0.16870000000000002</x:v>
      </x:c>
      <x:c r="E5953" s="1" t="n">
        <x:v>1.05</x:v>
      </x:c>
      <x:c r="F5953" s="1" t="str">
        <x:v>https://api.octopus.energy/v1/products/AGILE-24-10-01/electricity-tariffs/E-1R-AGILE-24-10-01-G/standard-unit-rates/</x:v>
      </x:c>
    </x:row>
    <x:row r="5954" ht="21" customHeight="1">
      <x:c r="A5954" s="24" t="n">
        <x:v>46272.541666666664</x:v>
      </x:c>
      <x:c r="B5954" s="6" t="n">
        <x:v>0.16879999999999998</x:v>
      </x:c>
      <x:c r="C5954" s="6" t="n">
        <x:v>0.10339999999999999</x:v>
      </x:c>
      <x:c r="D5954" s="6" t="n">
        <x:f>B5954</x:f>
        <x:v>0.16879999999999998</x:v>
      </x:c>
      <x:c r="E5954" s="1" t="n">
        <x:v>1.05</x:v>
      </x:c>
      <x:c r="F5954" s="1" t="str">
        <x:v>https://api.octopus.energy/v1/products/AGILE-24-10-01/electricity-tariffs/E-1R-AGILE-24-10-01-G/standard-unit-rates/</x:v>
      </x:c>
    </x:row>
    <x:row r="5955" ht="21" customHeight="1">
      <x:c r="A5955" s="24" t="n">
        <x:v>46272.5625</x:v>
      </x:c>
      <x:c r="B5955" s="6" t="n">
        <x:v>0.16079999999999997</x:v>
      </x:c>
      <x:c r="C5955" s="6" t="n">
        <x:v>0.0998</x:v>
      </x:c>
      <x:c r="D5955" s="6" t="n">
        <x:f>B5955</x:f>
        <x:v>0.16079999999999997</x:v>
      </x:c>
      <x:c r="E5955" s="1" t="n">
        <x:v>1.05</x:v>
      </x:c>
      <x:c r="F5955" s="1" t="str">
        <x:v>https://api.octopus.energy/v1/products/AGILE-24-10-01/electricity-tariffs/E-1R-AGILE-24-10-01-G/standard-unit-rates/</x:v>
      </x:c>
    </x:row>
    <x:row r="5956" ht="21" customHeight="1">
      <x:c r="A5956" s="24" t="n">
        <x:v>46272.583333333336</x:v>
      </x:c>
      <x:c r="B5956" s="6" t="n">
        <x:v>0.1604</x:v>
      </x:c>
      <x:c r="C5956" s="6" t="n">
        <x:v>0.09960000000000001</x:v>
      </x:c>
      <x:c r="D5956" s="6" t="n">
        <x:f>B5956</x:f>
        <x:v>0.1604</x:v>
      </x:c>
      <x:c r="E5956" s="1" t="n">
        <x:v>1.05</x:v>
      </x:c>
      <x:c r="F5956" s="1" t="str">
        <x:v>https://api.octopus.energy/v1/products/AGILE-24-10-01/electricity-tariffs/E-1R-AGILE-24-10-01-G/standard-unit-rates/</x:v>
      </x:c>
    </x:row>
    <x:row r="5957" ht="21" customHeight="1">
      <x:c r="A5957" s="24" t="n">
        <x:v>46272.604166666664</x:v>
      </x:c>
      <x:c r="B5957" s="6" t="n">
        <x:v>0.1407</x:v>
      </x:c>
      <x:c r="C5957" s="6" t="n">
        <x:v>0.0906</x:v>
      </x:c>
      <x:c r="D5957" s="6" t="n">
        <x:f>B5957</x:f>
        <x:v>0.1407</x:v>
      </x:c>
      <x:c r="E5957" s="1" t="n">
        <x:v>1.05</x:v>
      </x:c>
      <x:c r="F5957" s="1" t="str">
        <x:v>https://api.octopus.energy/v1/products/AGILE-24-10-01/electricity-tariffs/E-1R-AGILE-24-10-01-G/standard-unit-rates/</x:v>
      </x:c>
    </x:row>
    <x:row r="5958" ht="21" customHeight="1">
      <x:c r="A5958" s="24" t="n">
        <x:v>46272.625</x:v>
      </x:c>
      <x:c r="B5958" s="6" t="n">
        <x:v>0.1766</x:v>
      </x:c>
      <x:c r="C5958" s="6" t="n">
        <x:v>0.107</x:v>
      </x:c>
      <x:c r="D5958" s="6" t="n">
        <x:f>B5958</x:f>
        <x:v>0.1766</x:v>
      </x:c>
      <x:c r="E5958" s="1" t="n">
        <x:v>1.05</x:v>
      </x:c>
      <x:c r="F5958" s="1" t="str">
        <x:v>https://api.octopus.energy/v1/products/AGILE-24-10-01/electricity-tariffs/E-1R-AGILE-24-10-01-G/standard-unit-rates/</x:v>
      </x:c>
    </x:row>
    <x:row r="5959" ht="21" customHeight="1">
      <x:c r="A5959" s="24" t="n">
        <x:v>46272.645833333336</x:v>
      </x:c>
      <x:c r="B5959" s="6" t="n">
        <x:v>0.1885</x:v>
      </x:c>
      <x:c r="C5959" s="6" t="n">
        <x:v>0.1125</x:v>
      </x:c>
      <x:c r="D5959" s="6" t="n">
        <x:f>B5959</x:f>
        <x:v>0.1885</x:v>
      </x:c>
      <x:c r="E5959" s="1" t="n">
        <x:v>1.05</x:v>
      </x:c>
      <x:c r="F5959" s="1" t="str">
        <x:v>https://api.octopus.energy/v1/products/AGILE-24-10-01/electricity-tariffs/E-1R-AGILE-24-10-01-G/standard-unit-rates/</x:v>
      </x:c>
    </x:row>
    <x:row r="5960" ht="21" customHeight="1">
      <x:c r="A5960" s="24" t="n">
        <x:v>46272.666666666664</x:v>
      </x:c>
      <x:c r="B5960" s="6" t="n">
        <x:v>0.3728</x:v>
      </x:c>
      <x:c r="C5960" s="6" t="n">
        <x:v>0.2007</x:v>
      </x:c>
      <x:c r="D5960" s="6" t="n">
        <x:f>B5960</x:f>
        <x:v>0.3728</x:v>
      </x:c>
      <x:c r="E5960" s="1" t="n">
        <x:v>1.05</x:v>
      </x:c>
      <x:c r="F5960" s="1" t="str">
        <x:v>https://api.octopus.energy/v1/products/AGILE-24-10-01/electricity-tariffs/E-1R-AGILE-24-10-01-G/standard-unit-rates/</x:v>
      </x:c>
    </x:row>
    <x:row r="5961" ht="21" customHeight="1">
      <x:c r="A5961" s="24" t="n">
        <x:v>46272.6875</x:v>
      </x:c>
      <x:c r="B5961" s="6" t="n">
        <x:v>0.39270000000000005</x:v>
      </x:c>
      <x:c r="C5961" s="6" t="n">
        <x:v>0.20980000000000001</x:v>
      </x:c>
      <x:c r="D5961" s="6" t="n">
        <x:f>B5961</x:f>
        <x:v>0.39270000000000005</x:v>
      </x:c>
      <x:c r="E5961" s="1" t="n">
        <x:v>1.05</x:v>
      </x:c>
      <x:c r="F5961" s="1" t="str">
        <x:v>https://api.octopus.energy/v1/products/AGILE-24-10-01/electricity-tariffs/E-1R-AGILE-24-10-01-G/standard-unit-rates/</x:v>
      </x:c>
    </x:row>
    <x:row r="5962" ht="21" customHeight="1">
      <x:c r="A5962" s="24" t="n">
        <x:v>46272.708333333336</x:v>
      </x:c>
      <x:c r="B5962" s="6" t="n">
        <x:v>0.4207</x:v>
      </x:c>
      <x:c r="C5962" s="6" t="n">
        <x:v>0.22260000000000002</x:v>
      </x:c>
      <x:c r="D5962" s="6" t="n">
        <x:f>B5962</x:f>
        <x:v>0.4207</x:v>
      </x:c>
      <x:c r="E5962" s="1" t="n">
        <x:v>1.05</x:v>
      </x:c>
      <x:c r="F5962" s="1" t="str">
        <x:v>https://api.octopus.energy/v1/products/AGILE-24-10-01/electricity-tariffs/E-1R-AGILE-24-10-01-G/standard-unit-rates/</x:v>
      </x:c>
    </x:row>
    <x:row r="5963" ht="21" customHeight="1">
      <x:c r="A5963" s="24" t="n">
        <x:v>46272.729166666664</x:v>
      </x:c>
      <x:c r="B5963" s="6" t="n">
        <x:v>0.4524</x:v>
      </x:c>
      <x:c r="C5963" s="6" t="n">
        <x:v>0.2371</x:v>
      </x:c>
      <x:c r="D5963" s="6" t="n">
        <x:f>B5963</x:f>
        <x:v>0.4524</x:v>
      </x:c>
      <x:c r="E5963" s="1" t="n">
        <x:v>1.05</x:v>
      </x:c>
      <x:c r="F5963" s="1" t="str">
        <x:v>https://api.octopus.energy/v1/products/AGILE-24-10-01/electricity-tariffs/E-1R-AGILE-24-10-01-G/standard-unit-rates/</x:v>
      </x:c>
    </x:row>
    <x:row r="5964" ht="21" customHeight="1">
      <x:c r="A5964" s="24" t="n">
        <x:v>46272.75</x:v>
      </x:c>
      <x:c r="B5964" s="6" t="n">
        <x:v>0.47659999999999997</x:v>
      </x:c>
      <x:c r="C5964" s="6" t="n">
        <x:v>0.2482</x:v>
      </x:c>
      <x:c r="D5964" s="6" t="n">
        <x:f>B5964</x:f>
        <x:v>0.47659999999999997</x:v>
      </x:c>
      <x:c r="E5964" s="1" t="n">
        <x:v>1.05</x:v>
      </x:c>
      <x:c r="F5964" s="1" t="str">
        <x:v>https://api.octopus.energy/v1/products/AGILE-24-10-01/electricity-tariffs/E-1R-AGILE-24-10-01-G/standard-unit-rates/</x:v>
      </x:c>
    </x:row>
    <x:row r="5965" ht="21" customHeight="1">
      <x:c r="A5965" s="24" t="n">
        <x:v>46272.770833333336</x:v>
      </x:c>
      <x:c r="B5965" s="6" t="n">
        <x:v>0.48200000000000004</x:v>
      </x:c>
      <x:c r="C5965" s="6" t="n">
        <x:v>0.2507</x:v>
      </x:c>
      <x:c r="D5965" s="6" t="n">
        <x:f>B5965</x:f>
        <x:v>0.48200000000000004</x:v>
      </x:c>
      <x:c r="E5965" s="1" t="n">
        <x:v>1.05</x:v>
      </x:c>
      <x:c r="F5965" s="1" t="str">
        <x:v>https://api.octopus.energy/v1/products/AGILE-24-10-01/electricity-tariffs/E-1R-AGILE-24-10-01-G/standard-unit-rates/</x:v>
      </x:c>
    </x:row>
    <x:row r="5966" ht="21" customHeight="1">
      <x:c r="A5966" s="24" t="n">
        <x:v>46272.791666666664</x:v>
      </x:c>
      <x:c r="B5966" s="6" t="n">
        <x:v>0.3642</x:v>
      </x:c>
      <x:c r="C5966" s="6" t="n">
        <x:v>0.1928</x:v>
      </x:c>
      <x:c r="D5966" s="6" t="n">
        <x:f>B5966</x:f>
        <x:v>0.3642</x:v>
      </x:c>
      <x:c r="E5966" s="1" t="n">
        <x:v>1.05</x:v>
      </x:c>
      <x:c r="F5966" s="1" t="str">
        <x:v>https://api.octopus.energy/v1/products/AGILE-24-10-01/electricity-tariffs/E-1R-AGILE-24-10-01-G/standard-unit-rates/</x:v>
      </x:c>
    </x:row>
    <x:row r="5967" ht="21" customHeight="1">
      <x:c r="A5967" s="24" t="n">
        <x:v>46272.8125</x:v>
      </x:c>
      <x:c r="B5967" s="6" t="n">
        <x:v>0.361</x:v>
      </x:c>
      <x:c r="C5967" s="6" t="n">
        <x:v>0.1913</x:v>
      </x:c>
      <x:c r="D5967" s="6" t="n">
        <x:f>B5967</x:f>
        <x:v>0.361</x:v>
      </x:c>
      <x:c r="E5967" s="1" t="n">
        <x:v>1.05</x:v>
      </x:c>
      <x:c r="F5967" s="1" t="str">
        <x:v>https://api.octopus.energy/v1/products/AGILE-24-10-01/electricity-tariffs/E-1R-AGILE-24-10-01-G/standard-unit-rates/</x:v>
      </x:c>
    </x:row>
    <x:row r="5968" ht="21" customHeight="1">
      <x:c r="A5968" s="24" t="n">
        <x:v>46272.833333333336</x:v>
      </x:c>
      <x:c r="B5968" s="6" t="n">
        <x:v>0.3488</x:v>
      </x:c>
      <x:c r="C5968" s="6" t="n">
        <x:v>0.1857</x:v>
      </x:c>
      <x:c r="D5968" s="6" t="n">
        <x:f>B5968</x:f>
        <x:v>0.3488</x:v>
      </x:c>
      <x:c r="E5968" s="1" t="n">
        <x:v>1.05</x:v>
      </x:c>
      <x:c r="F5968" s="1" t="str">
        <x:v>https://api.octopus.energy/v1/products/AGILE-24-10-01/electricity-tariffs/E-1R-AGILE-24-10-01-G/standard-unit-rates/</x:v>
      </x:c>
    </x:row>
    <x:row r="5969" ht="21" customHeight="1">
      <x:c r="A5969" s="24" t="n">
        <x:v>46272.854166666664</x:v>
      </x:c>
      <x:c r="B5969" s="6" t="n">
        <x:v>0.3273</x:v>
      </x:c>
      <x:c r="C5969" s="6" t="n">
        <x:v>0.1759</x:v>
      </x:c>
      <x:c r="D5969" s="6" t="n">
        <x:f>B5969</x:f>
        <x:v>0.3273</x:v>
      </x:c>
      <x:c r="E5969" s="1" t="n">
        <x:v>1.05</x:v>
      </x:c>
      <x:c r="F5969" s="1" t="str">
        <x:v>https://api.octopus.energy/v1/products/AGILE-24-10-01/electricity-tariffs/E-1R-AGILE-24-10-01-G/standard-unit-rates/</x:v>
      </x:c>
    </x:row>
    <x:row r="5970" ht="21" customHeight="1">
      <x:c r="A5970" s="24" t="n">
        <x:v>46272.875</x:v>
      </x:c>
      <x:c r="B5970" s="6" t="n">
        <x:v>0.3215</x:v>
      </x:c>
      <x:c r="C5970" s="6" t="n">
        <x:v>0.1732</x:v>
      </x:c>
      <x:c r="D5970" s="6" t="n">
        <x:f>B5970</x:f>
        <x:v>0.3215</x:v>
      </x:c>
      <x:c r="E5970" s="1" t="n">
        <x:v>1.05</x:v>
      </x:c>
      <x:c r="F5970" s="1" t="str">
        <x:v>https://api.octopus.energy/v1/products/AGILE-24-10-01/electricity-tariffs/E-1R-AGILE-24-10-01-G/standard-unit-rates/</x:v>
      </x:c>
    </x:row>
    <x:row r="5971" ht="21" customHeight="1">
      <x:c r="A5971" s="24" t="n">
        <x:v>46272.895833333336</x:v>
      </x:c>
      <x:c r="B5971" s="6" t="n">
        <x:v>0.2921</x:v>
      </x:c>
      <x:c r="C5971" s="6" t="n">
        <x:v>0.1598</x:v>
      </x:c>
      <x:c r="D5971" s="6" t="n">
        <x:f>B5971</x:f>
        <x:v>0.2921</x:v>
      </x:c>
      <x:c r="E5971" s="1" t="n">
        <x:v>1.05</x:v>
      </x:c>
      <x:c r="F5971" s="1" t="str">
        <x:v>https://api.octopus.energy/v1/products/AGILE-24-10-01/electricity-tariffs/E-1R-AGILE-24-10-01-G/standard-unit-rates/</x:v>
      </x:c>
    </x:row>
    <x:row r="5972" ht="21" customHeight="1">
      <x:c r="A5972" s="24" t="n">
        <x:v>46272.916666666664</x:v>
      </x:c>
      <x:c r="B5972" s="6" t="n">
        <x:v>0.2732</x:v>
      </x:c>
      <x:c r="C5972" s="6" t="n">
        <x:v>0.1512</x:v>
      </x:c>
      <x:c r="D5972" s="6" t="n">
        <x:f>B5972</x:f>
        <x:v>0.2732</x:v>
      </x:c>
      <x:c r="E5972" s="1" t="n">
        <x:v>1.05</x:v>
      </x:c>
      <x:c r="F5972" s="1" t="str">
        <x:v>https://api.octopus.energy/v1/products/AGILE-24-10-01/electricity-tariffs/E-1R-AGILE-24-10-01-G/standard-unit-rates/</x:v>
      </x:c>
    </x:row>
    <x:row r="5973" ht="21" customHeight="1">
      <x:c r="A5973" s="24" t="n">
        <x:v>46272.9375</x:v>
      </x:c>
      <x:c r="B5973" s="6" t="n">
        <x:v>0.2568</x:v>
      </x:c>
      <x:c r="C5973" s="6" t="n">
        <x:v>0.1437</x:v>
      </x:c>
      <x:c r="D5973" s="6" t="n">
        <x:f>B5973</x:f>
        <x:v>0.2568</x:v>
      </x:c>
      <x:c r="E5973" s="1" t="n">
        <x:v>1.05</x:v>
      </x:c>
      <x:c r="F5973" s="1" t="str">
        <x:v>https://api.octopus.energy/v1/products/AGILE-24-10-01/electricity-tariffs/E-1R-AGILE-24-10-01-G/standard-unit-rates/</x:v>
      </x:c>
    </x:row>
    <x:row r="5974" ht="21" customHeight="1">
      <x:c r="A5974" s="24" t="n">
        <x:v>46273</x:v>
      </x:c>
      <x:c r="B5974" s="6" t="n">
        <x:v>0.2963</x:v>
      </x:c>
      <x:c r="C5974" s="6" t="n">
        <x:v>0.1617</x:v>
      </x:c>
      <x:c r="D5974" s="6" t="n">
        <x:f>B5974</x:f>
        <x:v>0.2963</x:v>
      </x:c>
      <x:c r="E5974" s="1" t="n">
        <x:v>1.05</x:v>
      </x:c>
      <x:c r="F5974" s="1" t="str">
        <x:v>https://api.octopus.energy/v1/products/AGILE-24-10-01/electricity-tariffs/E-1R-AGILE-24-10-01-G/standard-unit-rates/</x:v>
      </x:c>
    </x:row>
    <x:row r="5975" ht="21" customHeight="1">
      <x:c r="A5975" s="24" t="n">
        <x:v>46272.979166666664</x:v>
      </x:c>
      <x:c r="B5975" s="6" t="n">
        <x:v>0.2622</x:v>
      </x:c>
      <x:c r="C5975" s="6" t="n">
        <x:v>0.1461</x:v>
      </x:c>
      <x:c r="D5975" s="6" t="n">
        <x:f>B5975</x:f>
        <x:v>0.2622</x:v>
      </x:c>
      <x:c r="E5975" s="1" t="n">
        <x:v>1.05</x:v>
      </x:c>
      <x:c r="F5975" s="1" t="str">
        <x:v>https://api.octopus.energy/v1/products/AGILE-24-10-01/electricity-tariffs/E-1R-AGILE-24-10-01-G/standard-unit-rates/</x:v>
      </x:c>
    </x:row>
    <x:row r="5976" ht="21" customHeight="1">
      <x:c r="A5976" s="24" t="n">
        <x:v>46273</x:v>
      </x:c>
      <x:c r="B5976" s="6" t="n">
        <x:v>0.2534</x:v>
      </x:c>
      <x:c r="C5976" s="6" t="n">
        <x:v>0.1421</x:v>
      </x:c>
      <x:c r="D5976" s="6" t="n">
        <x:f>B5976</x:f>
        <x:v>0.2534</x:v>
      </x:c>
      <x:c r="E5976" s="1" t="n">
        <x:v>1.05</x:v>
      </x:c>
      <x:c r="F5976" s="1" t="str">
        <x:v>https://api.octopus.energy/v1/products/AGILE-24-10-01/electricity-tariffs/E-1R-AGILE-24-10-01-G/standard-unit-rates/</x:v>
      </x:c>
    </x:row>
    <x:row r="5977" ht="21" customHeight="1">
      <x:c r="A5977" s="24" t="n">
        <x:v>46273.020833333336</x:v>
      </x:c>
      <x:c r="B5977" s="6" t="n">
        <x:v>0.221</x:v>
      </x:c>
      <x:c r="C5977" s="6" t="n">
        <x:v>0.1273</x:v>
      </x:c>
      <x:c r="D5977" s="6" t="n">
        <x:f>B5977</x:f>
        <x:v>0.221</x:v>
      </x:c>
      <x:c r="E5977" s="1" t="n">
        <x:v>1.05</x:v>
      </x:c>
      <x:c r="F5977" s="1" t="str">
        <x:v>https://api.octopus.energy/v1/products/AGILE-24-10-01/electricity-tariffs/E-1R-AGILE-24-10-01-G/standard-unit-rates/</x:v>
      </x:c>
    </x:row>
    <x:row r="5978" ht="21" customHeight="1">
      <x:c r="A5978" s="24" t="n">
        <x:v>46273.041666666664</x:v>
      </x:c>
      <x:c r="B5978" s="6" t="n">
        <x:v>0.2218</x:v>
      </x:c>
      <x:c r="C5978" s="6" t="n">
        <x:v>0.1276</x:v>
      </x:c>
      <x:c r="D5978" s="6" t="n">
        <x:f>B5978</x:f>
        <x:v>0.2218</x:v>
      </x:c>
      <x:c r="E5978" s="1" t="n">
        <x:v>1.05</x:v>
      </x:c>
      <x:c r="F5978" s="1" t="str">
        <x:v>https://api.octopus.energy/v1/products/AGILE-24-10-01/electricity-tariffs/E-1R-AGILE-24-10-01-G/standard-unit-rates/</x:v>
      </x:c>
    </x:row>
    <x:row r="5979" ht="21" customHeight="1">
      <x:c r="A5979" s="24" t="n">
        <x:v>46273.0625</x:v>
      </x:c>
      <x:c r="B5979" s="6" t="n">
        <x:v>0.2079</x:v>
      </x:c>
      <x:c r="C5979" s="6" t="n">
        <x:v>0.1213</x:v>
      </x:c>
      <x:c r="D5979" s="6" t="n">
        <x:f>B5979</x:f>
        <x:v>0.2079</x:v>
      </x:c>
      <x:c r="E5979" s="1" t="n">
        <x:v>1.05</x:v>
      </x:c>
      <x:c r="F5979" s="1" t="str">
        <x:v>https://api.octopus.energy/v1/products/AGILE-24-10-01/electricity-tariffs/E-1R-AGILE-24-10-01-G/standard-unit-rates/</x:v>
      </x:c>
    </x:row>
    <x:row r="5980" ht="21" customHeight="1">
      <x:c r="A5980" s="24" t="n">
        <x:v>46273.083333333336</x:v>
      </x:c>
      <x:c r="B5980" s="6" t="n">
        <x:v>0.2207</x:v>
      </x:c>
      <x:c r="C5980" s="6" t="n">
        <x:v>0.1272</x:v>
      </x:c>
      <x:c r="D5980" s="6" t="n">
        <x:f>B5980</x:f>
        <x:v>0.2207</x:v>
      </x:c>
      <x:c r="E5980" s="1" t="n">
        <x:v>1.05</x:v>
      </x:c>
      <x:c r="F5980" s="1" t="str">
        <x:v>https://api.octopus.energy/v1/products/AGILE-24-10-01/electricity-tariffs/E-1R-AGILE-24-10-01-G/standard-unit-rates/</x:v>
      </x:c>
    </x:row>
    <x:row r="5981" ht="21" customHeight="1">
      <x:c r="A5981" s="24" t="n">
        <x:v>46273.104166666664</x:v>
      </x:c>
      <x:c r="B5981" s="6" t="n">
        <x:v>0.21230000000000002</x:v>
      </x:c>
      <x:c r="C5981" s="6" t="n">
        <x:v>0.1233</x:v>
      </x:c>
      <x:c r="D5981" s="6" t="n">
        <x:f>B5981</x:f>
        <x:v>0.21230000000000002</x:v>
      </x:c>
      <x:c r="E5981" s="1" t="n">
        <x:v>1.05</x:v>
      </x:c>
      <x:c r="F5981" s="1" t="str">
        <x:v>https://api.octopus.energy/v1/products/AGILE-24-10-01/electricity-tariffs/E-1R-AGILE-24-10-01-G/standard-unit-rates/</x:v>
      </x:c>
    </x:row>
    <x:row r="5982" ht="21" customHeight="1">
      <x:c r="A5982" s="24" t="n">
        <x:v>46273.125</x:v>
      </x:c>
      <x:c r="B5982" s="6" t="n">
        <x:v>0.1999</x:v>
      </x:c>
      <x:c r="C5982" s="6" t="n">
        <x:v>0.1177</x:v>
      </x:c>
      <x:c r="D5982" s="6" t="n">
        <x:f>B5982</x:f>
        <x:v>0.1999</x:v>
      </x:c>
      <x:c r="E5982" s="1" t="n">
        <x:v>1.05</x:v>
      </x:c>
      <x:c r="F5982" s="1" t="str">
        <x:v>https://api.octopus.energy/v1/products/AGILE-24-10-01/electricity-tariffs/E-1R-AGILE-24-10-01-G/standard-unit-rates/</x:v>
      </x:c>
    </x:row>
    <x:row r="5983" ht="21" customHeight="1">
      <x:c r="A5983" s="24" t="n">
        <x:v>46273.145833333336</x:v>
      </x:c>
      <x:c r="B5983" s="6" t="n">
        <x:v>0.20329999999999998</x:v>
      </x:c>
      <x:c r="C5983" s="6" t="n">
        <x:v>0.1192</x:v>
      </x:c>
      <x:c r="D5983" s="6" t="n">
        <x:f>B5983</x:f>
        <x:v>0.20329999999999998</x:v>
      </x:c>
      <x:c r="E5983" s="1" t="n">
        <x:v>1.05</x:v>
      </x:c>
      <x:c r="F5983" s="1" t="str">
        <x:v>https://api.octopus.energy/v1/products/AGILE-24-10-01/electricity-tariffs/E-1R-AGILE-24-10-01-G/standard-unit-rates/</x:v>
      </x:c>
    </x:row>
    <x:row r="5984" ht="21" customHeight="1">
      <x:c r="A5984" s="24" t="n">
        <x:v>46273.166666666664</x:v>
      </x:c>
      <x:c r="B5984" s="6" t="n">
        <x:v>0.2119</x:v>
      </x:c>
      <x:c r="C5984" s="6" t="n">
        <x:v>0.1231</x:v>
      </x:c>
      <x:c r="D5984" s="6" t="n">
        <x:f>B5984</x:f>
        <x:v>0.2119</x:v>
      </x:c>
      <x:c r="E5984" s="1" t="n">
        <x:v>1.05</x:v>
      </x:c>
      <x:c r="F5984" s="1" t="str">
        <x:v>https://api.octopus.energy/v1/products/AGILE-24-10-01/electricity-tariffs/E-1R-AGILE-24-10-01-G/standard-unit-rates/</x:v>
      </x:c>
    </x:row>
    <x:row r="5985" ht="21" customHeight="1">
      <x:c r="A5985" s="24" t="n">
        <x:v>46273.1875</x:v>
      </x:c>
      <x:c r="B5985" s="6" t="n">
        <x:v>0.2102</x:v>
      </x:c>
      <x:c r="C5985" s="6" t="n">
        <x:v>0.12240000000000001</x:v>
      </x:c>
      <x:c r="D5985" s="6" t="n">
        <x:f>B5985</x:f>
        <x:v>0.2102</x:v>
      </x:c>
      <x:c r="E5985" s="1" t="n">
        <x:v>1.05</x:v>
      </x:c>
      <x:c r="F5985" s="1" t="str">
        <x:v>https://api.octopus.energy/v1/products/AGILE-24-10-01/electricity-tariffs/E-1R-AGILE-24-10-01-G/standard-unit-rates/</x:v>
      </x:c>
    </x:row>
    <x:row r="5986" ht="21" customHeight="1">
      <x:c r="A5986" s="24" t="n">
        <x:v>46273.208333333336</x:v>
      </x:c>
      <x:c r="B5986" s="6" t="n">
        <x:v>0.18289999999999998</x:v>
      </x:c>
      <x:c r="C5986" s="6" t="n">
        <x:v>0.1099</x:v>
      </x:c>
      <x:c r="D5986" s="6" t="n">
        <x:f>B5986</x:f>
        <x:v>0.18289999999999998</x:v>
      </x:c>
      <x:c r="E5986" s="1" t="n">
        <x:v>1.05</x:v>
      </x:c>
      <x:c r="F5986" s="1" t="str">
        <x:v>https://api.octopus.energy/v1/products/AGILE-24-10-01/electricity-tariffs/E-1R-AGILE-24-10-01-G/standard-unit-rates/</x:v>
      </x:c>
    </x:row>
    <x:row r="5987" ht="21" customHeight="1">
      <x:c r="A5987" s="24" t="n">
        <x:v>46273.229166666664</x:v>
      </x:c>
      <x:c r="B5987" s="6" t="n">
        <x:v>0.1938</x:v>
      </x:c>
      <x:c r="C5987" s="6" t="n">
        <x:v>0.1149</x:v>
      </x:c>
      <x:c r="D5987" s="6" t="n">
        <x:f>B5987</x:f>
        <x:v>0.1938</x:v>
      </x:c>
      <x:c r="E5987" s="1" t="n">
        <x:v>1.05</x:v>
      </x:c>
      <x:c r="F5987" s="1" t="str">
        <x:v>https://api.octopus.energy/v1/products/AGILE-24-10-01/electricity-tariffs/E-1R-AGILE-24-10-01-G/standard-unit-rates/</x:v>
      </x:c>
    </x:row>
    <x:row r="5988" ht="21" customHeight="1">
      <x:c r="A5988" s="24" t="n">
        <x:v>46273.25</x:v>
      </x:c>
      <x:c r="B5988" s="6" t="n">
        <x:v>0.2622</x:v>
      </x:c>
      <x:c r="C5988" s="6" t="n">
        <x:v>0.1461</x:v>
      </x:c>
      <x:c r="D5988" s="6" t="n">
        <x:f>B5988</x:f>
        <x:v>0.2622</x:v>
      </x:c>
      <x:c r="E5988" s="1" t="n">
        <x:v>1.05</x:v>
      </x:c>
      <x:c r="F5988" s="1" t="str">
        <x:v>https://api.octopus.energy/v1/products/AGILE-24-10-01/electricity-tariffs/E-1R-AGILE-24-10-01-G/standard-unit-rates/</x:v>
      </x:c>
    </x:row>
    <x:row r="5989" ht="21" customHeight="1">
      <x:c r="A5989" s="24" t="n">
        <x:v>46273.270833333336</x:v>
      </x:c>
      <x:c r="B5989" s="6" t="n">
        <x:v>0.3072</x:v>
      </x:c>
      <x:c r="C5989" s="6" t="n">
        <x:v>0.16670000000000001</x:v>
      </x:c>
      <x:c r="D5989" s="6" t="n">
        <x:f>B5989</x:f>
        <x:v>0.3072</x:v>
      </x:c>
      <x:c r="E5989" s="1" t="n">
        <x:v>1.05</x:v>
      </x:c>
      <x:c r="F5989" s="1" t="str">
        <x:v>https://api.octopus.energy/v1/products/AGILE-24-10-01/electricity-tariffs/E-1R-AGILE-24-10-01-G/standard-unit-rates/</x:v>
      </x:c>
    </x:row>
    <x:row r="5990" ht="21" customHeight="1">
      <x:c r="A5990" s="24" t="n">
        <x:v>46273.291666666664</x:v>
      </x:c>
      <x:c r="B5990" s="6" t="n">
        <x:v>0.2963</x:v>
      </x:c>
      <x:c r="C5990" s="6" t="n">
        <x:v>0.1617</x:v>
      </x:c>
      <x:c r="D5990" s="6" t="n">
        <x:f>B5990</x:f>
        <x:v>0.2963</x:v>
      </x:c>
      <x:c r="E5990" s="1" t="n">
        <x:v>1.05</x:v>
      </x:c>
      <x:c r="F5990" s="1" t="str">
        <x:v>https://api.octopus.energy/v1/products/AGILE-24-10-01/electricity-tariffs/E-1R-AGILE-24-10-01-G/standard-unit-rates/</x:v>
      </x:c>
    </x:row>
    <x:row r="5991" ht="21" customHeight="1">
      <x:c r="A5991" s="24" t="n">
        <x:v>46273.3125</x:v>
      </x:c>
      <x:c r="B5991" s="6" t="n">
        <x:v>0.3343</x:v>
      </x:c>
      <x:c r="C5991" s="6" t="n">
        <x:v>0.1791</x:v>
      </x:c>
      <x:c r="D5991" s="6" t="n">
        <x:f>B5991</x:f>
        <x:v>0.3343</x:v>
      </x:c>
      <x:c r="E5991" s="1" t="n">
        <x:v>1.05</x:v>
      </x:c>
      <x:c r="F5991" s="1" t="str">
        <x:v>https://api.octopus.energy/v1/products/AGILE-24-10-01/electricity-tariffs/E-1R-AGILE-24-10-01-G/standard-unit-rates/</x:v>
      </x:c>
    </x:row>
    <x:row r="5992" ht="21" customHeight="1">
      <x:c r="A5992" s="24" t="n">
        <x:v>46273.333333333336</x:v>
      </x:c>
      <x:c r="B5992" s="6" t="n">
        <x:v>0.2705</x:v>
      </x:c>
      <x:c r="C5992" s="6" t="n">
        <x:v>0.1499</x:v>
      </x:c>
      <x:c r="D5992" s="6" t="n">
        <x:f>B5992</x:f>
        <x:v>0.2705</x:v>
      </x:c>
      <x:c r="E5992" s="1" t="n">
        <x:v>1.05</x:v>
      </x:c>
      <x:c r="F5992" s="1" t="str">
        <x:v>https://api.octopus.energy/v1/products/AGILE-24-10-01/electricity-tariffs/E-1R-AGILE-24-10-01-G/standard-unit-rates/</x:v>
      </x:c>
    </x:row>
    <x:row r="5993" ht="21" customHeight="1">
      <x:c r="A5993" s="24" t="n">
        <x:v>46273.354166666664</x:v>
      </x:c>
      <x:c r="B5993" s="6" t="n">
        <x:v>0.26899999999999996</x:v>
      </x:c>
      <x:c r="C5993" s="6" t="n">
        <x:v>0.1492</x:v>
      </x:c>
      <x:c r="D5993" s="6" t="n">
        <x:f>B5993</x:f>
        <x:v>0.26899999999999996</x:v>
      </x:c>
      <x:c r="E5993" s="1" t="n">
        <x:v>1.05</x:v>
      </x:c>
      <x:c r="F5993" s="1" t="str">
        <x:v>https://api.octopus.energy/v1/products/AGILE-24-10-01/electricity-tariffs/E-1R-AGILE-24-10-01-G/standard-unit-rates/</x:v>
      </x:c>
    </x:row>
    <x:row r="5994" ht="21" customHeight="1">
      <x:c r="A5994" s="24" t="n">
        <x:v>46273.375</x:v>
      </x:c>
      <x:c r="B5994" s="6" t="n">
        <x:v>0.2249</x:v>
      </x:c>
      <x:c r="C5994" s="6" t="n">
        <x:v>0.1291</x:v>
      </x:c>
      <x:c r="D5994" s="6" t="n">
        <x:f>B5994</x:f>
        <x:v>0.2249</x:v>
      </x:c>
      <x:c r="E5994" s="1" t="n">
        <x:v>1.05</x:v>
      </x:c>
      <x:c r="F5994" s="1" t="str">
        <x:v>https://api.octopus.energy/v1/products/AGILE-24-10-01/electricity-tariffs/E-1R-AGILE-24-10-01-G/standard-unit-rates/</x:v>
      </x:c>
    </x:row>
    <x:row r="5995" ht="21" customHeight="1">
      <x:c r="A5995" s="24" t="n">
        <x:v>46273.395833333336</x:v>
      </x:c>
      <x:c r="B5995" s="6" t="n">
        <x:v>0.2186</x:v>
      </x:c>
      <x:c r="C5995" s="6" t="n">
        <x:v>0.12619999999999998</x:v>
      </x:c>
      <x:c r="D5995" s="6" t="n">
        <x:f>B5995</x:f>
        <x:v>0.2186</x:v>
      </x:c>
      <x:c r="E5995" s="1" t="n">
        <x:v>1.05</x:v>
      </x:c>
      <x:c r="F5995" s="1" t="str">
        <x:v>https://api.octopus.energy/v1/products/AGILE-24-10-01/electricity-tariffs/E-1R-AGILE-24-10-01-G/standard-unit-rates/</x:v>
      </x:c>
    </x:row>
    <x:row r="5996" ht="21" customHeight="1">
      <x:c r="A5996" s="24" t="n">
        <x:v>46273.416666666664</x:v>
      </x:c>
      <x:c r="B5996" s="6" t="n">
        <x:v>0.205</x:v>
      </x:c>
      <x:c r="C5996" s="6" t="n">
        <x:v>0.12</x:v>
      </x:c>
      <x:c r="D5996" s="6" t="n">
        <x:f>B5996</x:f>
        <x:v>0.205</x:v>
      </x:c>
      <x:c r="E5996" s="1" t="n">
        <x:v>1.05</x:v>
      </x:c>
      <x:c r="F5996" s="1" t="str">
        <x:v>https://api.octopus.energy/v1/products/AGILE-24-10-01/electricity-tariffs/E-1R-AGILE-24-10-01-G/standard-unit-rates/</x:v>
      </x:c>
    </x:row>
    <x:row r="5997" ht="21" customHeight="1">
      <x:c r="A5997" s="24" t="n">
        <x:v>46273.4375</x:v>
      </x:c>
      <x:c r="B5997" s="6" t="n">
        <x:v>0.1787</x:v>
      </x:c>
      <x:c r="C5997" s="6" t="n">
        <x:v>0.10800000000000001</x:v>
      </x:c>
      <x:c r="D5997" s="6" t="n">
        <x:f>B5997</x:f>
        <x:v>0.1787</x:v>
      </x:c>
      <x:c r="E5997" s="1" t="n">
        <x:v>1.05</x:v>
      </x:c>
      <x:c r="F5997" s="1" t="str">
        <x:v>https://api.octopus.energy/v1/products/AGILE-24-10-01/electricity-tariffs/E-1R-AGILE-24-10-01-G/standard-unit-rates/</x:v>
      </x:c>
    </x:row>
    <x:row r="5998" ht="21" customHeight="1">
      <x:c r="A5998" s="24" t="n">
        <x:v>46273.458333333336</x:v>
      </x:c>
      <x:c r="B5998" s="6" t="n">
        <x:v>0.1487</x:v>
      </x:c>
      <x:c r="C5998" s="6" t="n">
        <x:v>0.0943</x:v>
      </x:c>
      <x:c r="D5998" s="6" t="n">
        <x:f>B5998</x:f>
        <x:v>0.1487</x:v>
      </x:c>
      <x:c r="E5998" s="1" t="n">
        <x:v>1.05</x:v>
      </x:c>
      <x:c r="F5998" s="1" t="str">
        <x:v>https://api.octopus.energy/v1/products/AGILE-24-10-01/electricity-tariffs/E-1R-AGILE-24-10-01-G/standard-unit-rates/</x:v>
      </x:c>
    </x:row>
    <x:row r="5999" ht="21" customHeight="1">
      <x:c r="A5999" s="24" t="n">
        <x:v>46273.479166666664</x:v>
      </x:c>
      <x:c r="B5999" s="6" t="n">
        <x:v>0.12619999999999998</x:v>
      </x:c>
      <x:c r="C5999" s="6" t="n">
        <x:v>0.084</x:v>
      </x:c>
      <x:c r="D5999" s="6" t="n">
        <x:f>B5999</x:f>
        <x:v>0.12619999999999998</x:v>
      </x:c>
      <x:c r="E5999" s="1" t="n">
        <x:v>1.05</x:v>
      </x:c>
      <x:c r="F5999" s="1" t="str">
        <x:v>https://api.octopus.energy/v1/products/AGILE-24-10-01/electricity-tariffs/E-1R-AGILE-24-10-01-G/standard-unit-rates/</x:v>
      </x:c>
    </x:row>
    <x:row r="6000" ht="21" customHeight="1">
      <x:c r="A6000" s="24" t="n">
        <x:v>46273.5</x:v>
      </x:c>
      <x:c r="B6000" s="6" t="n">
        <x:v>0.1223</x:v>
      </x:c>
      <x:c r="C6000" s="6" t="n">
        <x:v>0.08220000000000001</x:v>
      </x:c>
      <x:c r="D6000" s="6" t="n">
        <x:f>B6000</x:f>
        <x:v>0.1223</x:v>
      </x:c>
      <x:c r="E6000" s="1" t="n">
        <x:v>1.05</x:v>
      </x:c>
      <x:c r="F6000" s="1" t="str">
        <x:v>https://api.octopus.energy/v1/products/AGILE-24-10-01/electricity-tariffs/E-1R-AGILE-24-10-01-G/standard-unit-rates/</x:v>
      </x:c>
    </x:row>
    <x:row r="6001" ht="21" customHeight="1">
      <x:c r="A6001" s="24" t="n">
        <x:v>46273.520833333336</x:v>
      </x:c>
      <x:c r="B6001" s="6" t="n">
        <x:v>0.11599999999999999</x:v>
      </x:c>
      <x:c r="C6001" s="6" t="n">
        <x:v>0.0793</x:v>
      </x:c>
      <x:c r="D6001" s="6" t="n">
        <x:f>B6001</x:f>
        <x:v>0.11599999999999999</x:v>
      </x:c>
      <x:c r="E6001" s="1" t="n">
        <x:v>1.05</x:v>
      </x:c>
      <x:c r="F6001" s="1" t="str">
        <x:v>https://api.octopus.energy/v1/products/AGILE-24-10-01/electricity-tariffs/E-1R-AGILE-24-10-01-G/standard-unit-rates/</x:v>
      </x:c>
    </x:row>
    <x:row r="6002" ht="21" customHeight="1">
      <x:c r="A6002" s="24" t="n">
        <x:v>46273.541666666664</x:v>
      </x:c>
      <x:c r="B6002" s="6" t="n">
        <x:v>0.0942</x:v>
      </x:c>
      <x:c r="C6002" s="6" t="n">
        <x:v>0.0693</x:v>
      </x:c>
      <x:c r="D6002" s="6" t="n">
        <x:f>B6002</x:f>
        <x:v>0.0942</x:v>
      </x:c>
      <x:c r="E6002" s="1" t="n">
        <x:v>1.05</x:v>
      </x:c>
      <x:c r="F6002" s="1" t="str">
        <x:v>https://api.octopus.energy/v1/products/AGILE-24-10-01/electricity-tariffs/E-1R-AGILE-24-10-01-G/standard-unit-rates/</x:v>
      </x:c>
    </x:row>
    <x:row r="6003" ht="21" customHeight="1">
      <x:c r="A6003" s="24" t="n">
        <x:v>46273.5625</x:v>
      </x:c>
      <x:c r="B6003" s="6" t="n">
        <x:v>0.0836</x:v>
      </x:c>
      <x:c r="C6003" s="6" t="n">
        <x:v>0.0645</x:v>
      </x:c>
      <x:c r="D6003" s="6" t="n">
        <x:f>B6003</x:f>
        <x:v>0.0836</x:v>
      </x:c>
      <x:c r="E6003" s="1" t="n">
        <x:v>1.05</x:v>
      </x:c>
      <x:c r="F6003" s="1" t="str">
        <x:v>https://api.octopus.energy/v1/products/AGILE-24-10-01/electricity-tariffs/E-1R-AGILE-24-10-01-G/standard-unit-rates/</x:v>
      </x:c>
    </x:row>
    <x:row r="6004" ht="21" customHeight="1">
      <x:c r="A6004" s="24" t="n">
        <x:v>46273.583333333336</x:v>
      </x:c>
      <x:c r="B6004" s="6" t="n">
        <x:v>0.0779</x:v>
      </x:c>
      <x:c r="C6004" s="6" t="n">
        <x:v>0.061900000000000004</x:v>
      </x:c>
      <x:c r="D6004" s="6" t="n">
        <x:f>B6004</x:f>
        <x:v>0.0779</x:v>
      </x:c>
      <x:c r="E6004" s="1" t="n">
        <x:v>1.05</x:v>
      </x:c>
      <x:c r="F6004" s="1" t="str">
        <x:v>https://api.octopus.energy/v1/products/AGILE-24-10-01/electricity-tariffs/E-1R-AGILE-24-10-01-G/standard-unit-rates/</x:v>
      </x:c>
    </x:row>
    <x:row r="6005" ht="21" customHeight="1">
      <x:c r="A6005" s="24" t="n">
        <x:v>46273.604166666664</x:v>
      </x:c>
      <x:c r="B6005" s="6" t="n">
        <x:v>0.0684</x:v>
      </x:c>
      <x:c r="C6005" s="6" t="n">
        <x:v>0.0576</x:v>
      </x:c>
      <x:c r="D6005" s="6" t="n">
        <x:f>B6005</x:f>
        <x:v>0.0684</x:v>
      </x:c>
      <x:c r="E6005" s="1" t="n">
        <x:v>1.05</x:v>
      </x:c>
      <x:c r="F6005" s="1" t="str">
        <x:v>https://api.octopus.energy/v1/products/AGILE-24-10-01/electricity-tariffs/E-1R-AGILE-24-10-01-G/standard-unit-rates/</x:v>
      </x:c>
    </x:row>
    <x:row r="6006" ht="21" customHeight="1">
      <x:c r="A6006" s="24" t="n">
        <x:v>46273.625</x:v>
      </x:c>
      <x:c r="B6006" s="6" t="n">
        <x:v>0.0758</x:v>
      </x:c>
      <x:c r="C6006" s="6" t="n">
        <x:v>0.060899999999999996</x:v>
      </x:c>
      <x:c r="D6006" s="6" t="n">
        <x:f>B6006</x:f>
        <x:v>0.0758</x:v>
      </x:c>
      <x:c r="E6006" s="1" t="n">
        <x:v>1.05</x:v>
      </x:c>
      <x:c r="F6006" s="1" t="str">
        <x:v>https://api.octopus.energy/v1/products/AGILE-24-10-01/electricity-tariffs/E-1R-AGILE-24-10-01-G/standard-unit-rates/</x:v>
      </x:c>
    </x:row>
    <x:row r="6007" ht="21" customHeight="1">
      <x:c r="A6007" s="24" t="n">
        <x:v>46273.645833333336</x:v>
      </x:c>
      <x:c r="B6007" s="6" t="n">
        <x:v>0.0978</x:v>
      </x:c>
      <x:c r="C6007" s="6" t="n">
        <x:v>0.071</x:v>
      </x:c>
      <x:c r="D6007" s="6" t="n">
        <x:f>B6007</x:f>
        <x:v>0.0978</x:v>
      </x:c>
      <x:c r="E6007" s="1" t="n">
        <x:v>1.05</x:v>
      </x:c>
      <x:c r="F6007" s="1" t="str">
        <x:v>https://api.octopus.energy/v1/products/AGILE-24-10-01/electricity-tariffs/E-1R-AGILE-24-10-01-G/standard-unit-rates/</x:v>
      </x:c>
    </x:row>
    <x:row r="6008" ht="21" customHeight="1">
      <x:c r="A6008" s="24" t="n">
        <x:v>46273.666666666664</x:v>
      </x:c>
      <x:c r="B6008" s="6" t="n">
        <x:v>0.3176</x:v>
      </x:c>
      <x:c r="C6008" s="6" t="n">
        <x:v>0.17550000000000002</x:v>
      </x:c>
      <x:c r="D6008" s="6" t="n">
        <x:f>B6008</x:f>
        <x:v>0.3176</x:v>
      </x:c>
      <x:c r="E6008" s="1" t="n">
        <x:v>1.05</x:v>
      </x:c>
      <x:c r="F6008" s="1" t="str">
        <x:v>https://api.octopus.energy/v1/products/AGILE-24-10-01/electricity-tariffs/E-1R-AGILE-24-10-01-G/standard-unit-rates/</x:v>
      </x:c>
    </x:row>
    <x:row r="6009" ht="21" customHeight="1">
      <x:c r="A6009" s="24" t="n">
        <x:v>46273.6875</x:v>
      </x:c>
      <x:c r="B6009" s="6" t="n">
        <x:v>0.33659999999999995</x:v>
      </x:c>
      <x:c r="C6009" s="6" t="n">
        <x:v>0.18420000000000003</x:v>
      </x:c>
      <x:c r="D6009" s="6" t="n">
        <x:f>B6009</x:f>
        <x:v>0.33659999999999995</x:v>
      </x:c>
      <x:c r="E6009" s="1" t="n">
        <x:v>1.05</x:v>
      </x:c>
      <x:c r="F6009" s="1" t="str">
        <x:v>https://api.octopus.energy/v1/products/AGILE-24-10-01/electricity-tariffs/E-1R-AGILE-24-10-01-G/standard-unit-rates/</x:v>
      </x:c>
    </x:row>
    <x:row r="6010" ht="21" customHeight="1">
      <x:c r="A6010" s="24" t="n">
        <x:v>46273.708333333336</x:v>
      </x:c>
      <x:c r="B6010" s="6" t="n">
        <x:v>0.3822</x:v>
      </x:c>
      <x:c r="C6010" s="6" t="n">
        <x:v>0.205</x:v>
      </x:c>
      <x:c r="D6010" s="6" t="n">
        <x:f>B6010</x:f>
        <x:v>0.3822</x:v>
      </x:c>
      <x:c r="E6010" s="1" t="n">
        <x:v>1.05</x:v>
      </x:c>
      <x:c r="F6010" s="1" t="str">
        <x:v>https://api.octopus.energy/v1/products/AGILE-24-10-01/electricity-tariffs/E-1R-AGILE-24-10-01-G/standard-unit-rates/</x:v>
      </x:c>
    </x:row>
    <x:row r="6011" ht="21" customHeight="1">
      <x:c r="A6011" s="24" t="n">
        <x:v>46273.729166666664</x:v>
      </x:c>
      <x:c r="B6011" s="6" t="n">
        <x:v>0.4278</x:v>
      </x:c>
      <x:c r="C6011" s="6" t="n">
        <x:v>0.2259</x:v>
      </x:c>
      <x:c r="D6011" s="6" t="n">
        <x:f>B6011</x:f>
        <x:v>0.4278</x:v>
      </x:c>
      <x:c r="E6011" s="1" t="n">
        <x:v>1.05</x:v>
      </x:c>
      <x:c r="F6011" s="1" t="str">
        <x:v>https://api.octopus.energy/v1/products/AGILE-24-10-01/electricity-tariffs/E-1R-AGILE-24-10-01-G/standard-unit-rates/</x:v>
      </x:c>
    </x:row>
    <x:row r="6012" ht="21" customHeight="1">
      <x:c r="A6012" s="24" t="n">
        <x:v>46273.75</x:v>
      </x:c>
      <x:c r="B6012" s="6" t="n">
        <x:v>0.4415</x:v>
      </x:c>
      <x:c r="C6012" s="6" t="n">
        <x:v>0.2321</x:v>
      </x:c>
      <x:c r="D6012" s="6" t="n">
        <x:f>B6012</x:f>
        <x:v>0.4415</x:v>
      </x:c>
      <x:c r="E6012" s="1" t="n">
        <x:v>1.05</x:v>
      </x:c>
      <x:c r="F6012" s="1" t="str">
        <x:v>https://api.octopus.energy/v1/products/AGILE-24-10-01/electricity-tariffs/E-1R-AGILE-24-10-01-G/standard-unit-rates/</x:v>
      </x:c>
    </x:row>
    <x:row r="6013" ht="21" customHeight="1">
      <x:c r="A6013" s="24" t="n">
        <x:v>46273.770833333336</x:v>
      </x:c>
      <x:c r="B6013" s="6" t="n">
        <x:v>0.4558</x:v>
      </x:c>
      <x:c r="C6013" s="6" t="n">
        <x:v>0.23870000000000002</x:v>
      </x:c>
      <x:c r="D6013" s="6" t="n">
        <x:f>B6013</x:f>
        <x:v>0.4558</x:v>
      </x:c>
      <x:c r="E6013" s="1" t="n">
        <x:v>1.05</x:v>
      </x:c>
      <x:c r="F6013" s="1" t="str">
        <x:v>https://api.octopus.energy/v1/products/AGILE-24-10-01/electricity-tariffs/E-1R-AGILE-24-10-01-G/standard-unit-rates/</x:v>
      </x:c>
    </x:row>
    <x:row r="6014" ht="21" customHeight="1">
      <x:c r="A6014" s="24" t="n">
        <x:v>46273.791666666664</x:v>
      </x:c>
      <x:c r="B6014" s="6" t="n">
        <x:v>0.3211</x:v>
      </x:c>
      <x:c r="C6014" s="6" t="n">
        <x:v>0.17300000000000001</x:v>
      </x:c>
      <x:c r="D6014" s="6" t="n">
        <x:f>B6014</x:f>
        <x:v>0.3211</x:v>
      </x:c>
      <x:c r="E6014" s="1" t="n">
        <x:v>1.05</x:v>
      </x:c>
      <x:c r="F6014" s="1" t="str">
        <x:v>https://api.octopus.energy/v1/products/AGILE-24-10-01/electricity-tariffs/E-1R-AGILE-24-10-01-G/standard-unit-rates/</x:v>
      </x:c>
    </x:row>
    <x:row r="6015" ht="21" customHeight="1">
      <x:c r="A6015" s="24" t="n">
        <x:v>46273.8125</x:v>
      </x:c>
      <x:c r="B6015" s="6" t="n">
        <x:v>0.3343</x:v>
      </x:c>
      <x:c r="C6015" s="6" t="n">
        <x:v>0.1791</x:v>
      </x:c>
      <x:c r="D6015" s="6" t="n">
        <x:f>B6015</x:f>
        <x:v>0.3343</x:v>
      </x:c>
      <x:c r="E6015" s="1" t="n">
        <x:v>1.05</x:v>
      </x:c>
      <x:c r="F6015" s="1" t="str">
        <x:v>https://api.octopus.energy/v1/products/AGILE-24-10-01/electricity-tariffs/E-1R-AGILE-24-10-01-G/standard-unit-rates/</x:v>
      </x:c>
    </x:row>
    <x:row r="6016" ht="21" customHeight="1">
      <x:c r="A6016" s="24" t="n">
        <x:v>46273.833333333336</x:v>
      </x:c>
      <x:c r="B6016" s="6" t="n">
        <x:v>0.3447</x:v>
      </x:c>
      <x:c r="C6016" s="6" t="n">
        <x:v>0.1839</x:v>
      </x:c>
      <x:c r="D6016" s="6" t="n">
        <x:f>B6016</x:f>
        <x:v>0.3447</x:v>
      </x:c>
      <x:c r="E6016" s="1" t="n">
        <x:v>1.05</x:v>
      </x:c>
      <x:c r="F6016" s="1" t="str">
        <x:v>https://api.octopus.energy/v1/products/AGILE-24-10-01/electricity-tariffs/E-1R-AGILE-24-10-01-G/standard-unit-rates/</x:v>
      </x:c>
    </x:row>
    <x:row r="6017" ht="21" customHeight="1">
      <x:c r="A6017" s="24" t="n">
        <x:v>46273.854166666664</x:v>
      </x:c>
      <x:c r="B6017" s="6" t="n">
        <x:v>0.3392</x:v>
      </x:c>
      <x:c r="C6017" s="6" t="n">
        <x:v>0.1813</x:v>
      </x:c>
      <x:c r="D6017" s="6" t="n">
        <x:f>B6017</x:f>
        <x:v>0.3392</x:v>
      </x:c>
      <x:c r="E6017" s="1" t="n">
        <x:v>1.05</x:v>
      </x:c>
      <x:c r="F6017" s="1" t="str">
        <x:v>https://api.octopus.energy/v1/products/AGILE-24-10-01/electricity-tariffs/E-1R-AGILE-24-10-01-G/standard-unit-rates/</x:v>
      </x:c>
    </x:row>
    <x:row r="6018" ht="21" customHeight="1">
      <x:c r="A6018" s="24" t="n">
        <x:v>46273.875</x:v>
      </x:c>
      <x:c r="B6018" s="6" t="n">
        <x:v>0.3308</x:v>
      </x:c>
      <x:c r="C6018" s="6" t="n">
        <x:v>0.1775</x:v>
      </x:c>
      <x:c r="D6018" s="6" t="n">
        <x:f>B6018</x:f>
        <x:v>0.3308</x:v>
      </x:c>
      <x:c r="E6018" s="1" t="n">
        <x:v>1.05</x:v>
      </x:c>
      <x:c r="F6018" s="1" t="str">
        <x:v>https://api.octopus.energy/v1/products/AGILE-24-10-01/electricity-tariffs/E-1R-AGILE-24-10-01-G/standard-unit-rates/</x:v>
      </x:c>
    </x:row>
    <x:row r="6019" ht="21" customHeight="1">
      <x:c r="A6019" s="24" t="n">
        <x:v>46273.895833333336</x:v>
      </x:c>
      <x:c r="B6019" s="6" t="n">
        <x:v>0.2752</x:v>
      </x:c>
      <x:c r="C6019" s="6" t="n">
        <x:v>0.1521</x:v>
      </x:c>
      <x:c r="D6019" s="6" t="n">
        <x:f>B6019</x:f>
        <x:v>0.2752</x:v>
      </x:c>
      <x:c r="E6019" s="1" t="n">
        <x:v>1.05</x:v>
      </x:c>
      <x:c r="F6019" s="1" t="str">
        <x:v>https://api.octopus.energy/v1/products/AGILE-24-10-01/electricity-tariffs/E-1R-AGILE-24-10-01-G/standard-unit-rates/</x:v>
      </x:c>
    </x:row>
    <x:row r="6020" ht="21" customHeight="1">
      <x:c r="A6020" s="24" t="n">
        <x:v>46273.916666666664</x:v>
      </x:c>
      <x:c r="B6020" s="6" t="n">
        <x:v>0.28600000000000003</x:v>
      </x:c>
      <x:c r="C6020" s="6" t="n">
        <x:v>0.157</x:v>
      </x:c>
      <x:c r="D6020" s="6" t="n">
        <x:f>B6020</x:f>
        <x:v>0.28600000000000003</x:v>
      </x:c>
      <x:c r="E6020" s="1" t="n">
        <x:v>1.05</x:v>
      </x:c>
      <x:c r="F6020" s="1" t="str">
        <x:v>https://api.octopus.energy/v1/products/AGILE-24-10-01/electricity-tariffs/E-1R-AGILE-24-10-01-G/standard-unit-rates/</x:v>
      </x:c>
    </x:row>
    <x:row r="6021" ht="21" customHeight="1">
      <x:c r="A6021" s="24" t="n">
        <x:v>46273.9375</x:v>
      </x:c>
      <x:c r="B6021" s="6" t="n">
        <x:v>0.2483</x:v>
      </x:c>
      <x:c r="C6021" s="6" t="n">
        <x:v>0.1398</x:v>
      </x:c>
      <x:c r="D6021" s="6" t="n">
        <x:f>B6021</x:f>
        <x:v>0.2483</x:v>
      </x:c>
      <x:c r="E6021" s="1" t="n">
        <x:v>1.05</x:v>
      </x:c>
      <x:c r="F6021" s="1" t="str">
        <x:v>https://api.octopus.energy/v1/products/AGILE-24-10-01/electricity-tariffs/E-1R-AGILE-24-10-01-G/standard-unit-rates/</x:v>
      </x:c>
    </x:row>
    <x:row r="6022" ht="21" customHeight="1">
      <x:c r="A6022" s="24" t="n">
        <x:v>46274</x:v>
      </x:c>
      <x:c r="B6022" s="6" t="n">
        <x:v>0.23120000000000002</x:v>
      </x:c>
      <x:c r="C6022" s="6" t="n">
        <x:v>0.132</x:v>
      </x:c>
      <x:c r="D6022" s="6" t="n">
        <x:f>B6022</x:f>
        <x:v>0.23120000000000002</x:v>
      </x:c>
      <x:c r="E6022" s="1" t="n">
        <x:v>1.05</x:v>
      </x:c>
      <x:c r="F6022" s="1" t="str">
        <x:v>https://api.octopus.energy/v1/products/AGILE-24-10-01/electricity-tariffs/E-1R-AGILE-24-10-01-G/standard-unit-rates/</x:v>
      </x:c>
    </x:row>
    <x:row r="6023" ht="21" customHeight="1">
      <x:c r="A6023" s="24" t="n">
        <x:v>46273.979166666664</x:v>
      </x:c>
      <x:c r="B6023" s="6" t="n">
        <x:v>0.2146</x:v>
      </x:c>
      <x:c r="C6023" s="6" t="n">
        <x:v>0.1244</x:v>
      </x:c>
      <x:c r="D6023" s="6" t="n">
        <x:f>B6023</x:f>
        <x:v>0.2146</x:v>
      </x:c>
      <x:c r="E6023" s="1" t="n">
        <x:v>1.05</x:v>
      </x:c>
      <x:c r="F6023" s="1" t="str">
        <x:v>https://api.octopus.energy/v1/products/AGILE-24-10-01/electricity-tariffs/E-1R-AGILE-24-10-01-G/standard-unit-rates/</x:v>
      </x:c>
    </x:row>
    <x:row r="6024" ht="21" customHeight="1">
      <x:c r="A6024" s="24" t="n">
        <x:v>46274</x:v>
      </x:c>
      <x:c r="B6024" s="6" t="n">
        <x:v>0.21960000000000002</x:v>
      </x:c>
      <x:c r="C6024" s="6" t="n">
        <x:v>0.1266</x:v>
      </x:c>
      <x:c r="D6024" s="6" t="n">
        <x:f>B6024</x:f>
        <x:v>0.21960000000000002</x:v>
      </x:c>
      <x:c r="E6024" s="1" t="n">
        <x:v>1.05</x:v>
      </x:c>
      <x:c r="F6024" s="1" t="str">
        <x:v>https://api.octopus.energy/v1/products/AGILE-24-10-01/electricity-tariffs/E-1R-AGILE-24-10-01-G/standard-unit-rates/</x:v>
      </x:c>
    </x:row>
    <x:row r="6025" ht="21" customHeight="1">
      <x:c r="A6025" s="24" t="n">
        <x:v>46274.020833333336</x:v>
      </x:c>
      <x:c r="B6025" s="6" t="n">
        <x:v>0.2291</x:v>
      </x:c>
      <x:c r="C6025" s="6" t="n">
        <x:v>0.131</x:v>
      </x:c>
      <x:c r="D6025" s="6" t="n">
        <x:f>B6025</x:f>
        <x:v>0.2291</x:v>
      </x:c>
      <x:c r="E6025" s="1" t="n">
        <x:v>1.05</x:v>
      </x:c>
      <x:c r="F6025" s="1" t="str">
        <x:v>https://api.octopus.energy/v1/products/AGILE-24-10-01/electricity-tariffs/E-1R-AGILE-24-10-01-G/standard-unit-rates/</x:v>
      </x:c>
    </x:row>
    <x:row r="6026" ht="21" customHeight="1">
      <x:c r="A6026" s="24" t="n">
        <x:v>46274.041666666664</x:v>
      </x:c>
      <x:c r="B6026" s="6" t="n">
        <x:v>0.2291</x:v>
      </x:c>
      <x:c r="C6026" s="6" t="n">
        <x:v>0.131</x:v>
      </x:c>
      <x:c r="D6026" s="6" t="n">
        <x:f>B6026</x:f>
        <x:v>0.2291</x:v>
      </x:c>
      <x:c r="E6026" s="1" t="n">
        <x:v>1.05</x:v>
      </x:c>
      <x:c r="F6026" s="1" t="str">
        <x:v>https://api.octopus.energy/v1/products/AGILE-24-10-01/electricity-tariffs/E-1R-AGILE-24-10-01-G/standard-unit-rates/</x:v>
      </x:c>
    </x:row>
    <x:row r="6027" ht="21" customHeight="1">
      <x:c r="A6027" s="24" t="n">
        <x:v>46274.0625</x:v>
      </x:c>
      <x:c r="B6027" s="6" t="n">
        <x:v>0.24170000000000003</x:v>
      </x:c>
      <x:c r="C6027" s="6" t="n">
        <x:v>0.1368</x:v>
      </x:c>
      <x:c r="D6027" s="6" t="n">
        <x:f>B6027</x:f>
        <x:v>0.24170000000000003</x:v>
      </x:c>
      <x:c r="E6027" s="1" t="n">
        <x:v>1.05</x:v>
      </x:c>
      <x:c r="F6027" s="1" t="str">
        <x:v>https://api.octopus.energy/v1/products/AGILE-24-10-01/electricity-tariffs/E-1R-AGILE-24-10-01-G/standard-unit-rates/</x:v>
      </x:c>
    </x:row>
    <x:row r="6028" ht="21" customHeight="1">
      <x:c r="A6028" s="24" t="n">
        <x:v>46274.083333333336</x:v>
      </x:c>
      <x:c r="B6028" s="6" t="n">
        <x:v>0.2291</x:v>
      </x:c>
      <x:c r="C6028" s="6" t="n">
        <x:v>0.131</x:v>
      </x:c>
      <x:c r="D6028" s="6" t="n">
        <x:f>B6028</x:f>
        <x:v>0.2291</x:v>
      </x:c>
      <x:c r="E6028" s="1" t="n">
        <x:v>1.05</x:v>
      </x:c>
      <x:c r="F6028" s="1" t="str">
        <x:v>https://api.octopus.energy/v1/products/AGILE-24-10-01/electricity-tariffs/E-1R-AGILE-24-10-01-G/standard-unit-rates/</x:v>
      </x:c>
    </x:row>
    <x:row r="6029" ht="21" customHeight="1">
      <x:c r="A6029" s="24" t="n">
        <x:v>46274.104166666664</x:v>
      </x:c>
      <x:c r="B6029" s="6" t="n">
        <x:v>0.2291</x:v>
      </x:c>
      <x:c r="C6029" s="6" t="n">
        <x:v>0.131</x:v>
      </x:c>
      <x:c r="D6029" s="6" t="n">
        <x:f>B6029</x:f>
        <x:v>0.2291</x:v>
      </x:c>
      <x:c r="E6029" s="1" t="n">
        <x:v>1.05</x:v>
      </x:c>
      <x:c r="F6029" s="1" t="str">
        <x:v>https://api.octopus.energy/v1/products/AGILE-24-10-01/electricity-tariffs/E-1R-AGILE-24-10-01-G/standard-unit-rates/</x:v>
      </x:c>
    </x:row>
    <x:row r="6030" ht="21" customHeight="1">
      <x:c r="A6030" s="24" t="n">
        <x:v>46274.125</x:v>
      </x:c>
      <x:c r="B6030" s="6" t="n">
        <x:v>0.2186</x:v>
      </x:c>
      <x:c r="C6030" s="6" t="n">
        <x:v>0.12619999999999998</x:v>
      </x:c>
      <x:c r="D6030" s="6" t="n">
        <x:f>B6030</x:f>
        <x:v>0.2186</x:v>
      </x:c>
      <x:c r="E6030" s="1" t="n">
        <x:v>1.05</x:v>
      </x:c>
      <x:c r="F6030" s="1" t="str">
        <x:v>https://api.octopus.energy/v1/products/AGILE-24-10-01/electricity-tariffs/E-1R-AGILE-24-10-01-G/standard-unit-rates/</x:v>
      </x:c>
    </x:row>
    <x:row r="6031" ht="21" customHeight="1">
      <x:c r="A6031" s="24" t="n">
        <x:v>46274.145833333336</x:v>
      </x:c>
      <x:c r="B6031" s="6" t="n">
        <x:v>0.21559999999999999</x:v>
      </x:c>
      <x:c r="C6031" s="6" t="n">
        <x:v>0.12480000000000001</x:v>
      </x:c>
      <x:c r="D6031" s="6" t="n">
        <x:f>B6031</x:f>
        <x:v>0.21559999999999999</x:v>
      </x:c>
      <x:c r="E6031" s="1" t="n">
        <x:v>1.05</x:v>
      </x:c>
      <x:c r="F6031" s="1" t="str">
        <x:v>https://api.octopus.energy/v1/products/AGILE-24-10-01/electricity-tariffs/E-1R-AGILE-24-10-01-G/standard-unit-rates/</x:v>
      </x:c>
    </x:row>
    <x:row r="6032" ht="21" customHeight="1">
      <x:c r="A6032" s="24" t="n">
        <x:v>46274.166666666664</x:v>
      </x:c>
      <x:c r="B6032" s="6" t="n">
        <x:v>0.2232</x:v>
      </x:c>
      <x:c r="C6032" s="6" t="n">
        <x:v>0.1283</x:v>
      </x:c>
      <x:c r="D6032" s="6" t="n">
        <x:f>B6032</x:f>
        <x:v>0.2232</x:v>
      </x:c>
      <x:c r="E6032" s="1" t="n">
        <x:v>1.05</x:v>
      </x:c>
      <x:c r="F6032" s="1" t="str">
        <x:v>https://api.octopus.energy/v1/products/AGILE-24-10-01/electricity-tariffs/E-1R-AGILE-24-10-01-G/standard-unit-rates/</x:v>
      </x:c>
    </x:row>
    <x:row r="6033" ht="21" customHeight="1">
      <x:c r="A6033" s="24" t="n">
        <x:v>46274.1875</x:v>
      </x:c>
      <x:c r="B6033" s="6" t="n">
        <x:v>0.22010000000000002</x:v>
      </x:c>
      <x:c r="C6033" s="6" t="n">
        <x:v>0.12689999999999999</x:v>
      </x:c>
      <x:c r="D6033" s="6" t="n">
        <x:f>B6033</x:f>
        <x:v>0.22010000000000002</x:v>
      </x:c>
      <x:c r="E6033" s="1" t="n">
        <x:v>1.05</x:v>
      </x:c>
      <x:c r="F6033" s="1" t="str">
        <x:v>https://api.octopus.energy/v1/products/AGILE-24-10-01/electricity-tariffs/E-1R-AGILE-24-10-01-G/standard-unit-rates/</x:v>
      </x:c>
    </x:row>
    <x:row r="6034" ht="21" customHeight="1">
      <x:c r="A6034" s="24" t="n">
        <x:v>46274.208333333336</x:v>
      </x:c>
      <x:c r="B6034" s="6" t="n">
        <x:v>0.2438</x:v>
      </x:c>
      <x:c r="C6034" s="6" t="n">
        <x:v>0.1377</x:v>
      </x:c>
      <x:c r="D6034" s="6" t="n">
        <x:f>B6034</x:f>
        <x:v>0.2438</x:v>
      </x:c>
      <x:c r="E6034" s="1" t="n">
        <x:v>1.05</x:v>
      </x:c>
      <x:c r="F6034" s="1" t="str">
        <x:v>https://api.octopus.energy/v1/products/AGILE-24-10-01/electricity-tariffs/E-1R-AGILE-24-10-01-G/standard-unit-rates/</x:v>
      </x:c>
    </x:row>
    <x:row r="6035" ht="21" customHeight="1">
      <x:c r="A6035" s="24" t="n">
        <x:v>46274.229166666664</x:v>
      </x:c>
      <x:c r="B6035" s="6" t="n">
        <x:v>0.2898</x:v>
      </x:c>
      <x:c r="C6035" s="6" t="n">
        <x:v>0.15869999999999998</x:v>
      </x:c>
      <x:c r="D6035" s="6" t="n">
        <x:f>B6035</x:f>
        <x:v>0.2898</x:v>
      </x:c>
      <x:c r="E6035" s="1" t="n">
        <x:v>1.05</x:v>
      </x:c>
      <x:c r="F6035" s="1" t="str">
        <x:v>https://api.octopus.energy/v1/products/AGILE-24-10-01/electricity-tariffs/E-1R-AGILE-24-10-01-G/standard-unit-rates/</x:v>
      </x:c>
    </x:row>
    <x:row r="6036" ht="21" customHeight="1">
      <x:c r="A6036" s="24" t="n">
        <x:v>46274.25</x:v>
      </x:c>
      <x:c r="B6036" s="6" t="n">
        <x:v>0.3013</x:v>
      </x:c>
      <x:c r="C6036" s="6" t="n">
        <x:v>0.16399999999999998</x:v>
      </x:c>
      <x:c r="D6036" s="6" t="n">
        <x:f>B6036</x:f>
        <x:v>0.3013</x:v>
      </x:c>
      <x:c r="E6036" s="1" t="n">
        <x:v>1.05</x:v>
      </x:c>
      <x:c r="F6036" s="1" t="str">
        <x:v>https://api.octopus.energy/v1/products/AGILE-24-10-01/electricity-tariffs/E-1R-AGILE-24-10-01-G/standard-unit-rates/</x:v>
      </x:c>
    </x:row>
    <x:row r="6037" ht="21" customHeight="1">
      <x:c r="A6037" s="24" t="n">
        <x:v>46274.270833333336</x:v>
      </x:c>
      <x:c r="B6037" s="6" t="n">
        <x:v>0.34759999999999996</x:v>
      </x:c>
      <x:c r="C6037" s="6" t="n">
        <x:v>0.1852</x:v>
      </x:c>
      <x:c r="D6037" s="6" t="n">
        <x:f>B6037</x:f>
        <x:v>0.34759999999999996</x:v>
      </x:c>
      <x:c r="E6037" s="1" t="n">
        <x:v>1.05</x:v>
      </x:c>
      <x:c r="F6037" s="1" t="str">
        <x:v>https://api.octopus.energy/v1/products/AGILE-24-10-01/electricity-tariffs/E-1R-AGILE-24-10-01-G/standard-unit-rates/</x:v>
      </x:c>
    </x:row>
    <x:row r="6038" ht="21" customHeight="1">
      <x:c r="A6038" s="24" t="n">
        <x:v>46274.291666666664</x:v>
      </x:c>
      <x:c r="B6038" s="6" t="n">
        <x:v>0.31079999999999997</x:v>
      </x:c>
      <x:c r="C6038" s="6" t="n">
        <x:v>0.16829999999999998</x:v>
      </x:c>
      <x:c r="D6038" s="6" t="n">
        <x:f>B6038</x:f>
        <x:v>0.31079999999999997</x:v>
      </x:c>
      <x:c r="E6038" s="1" t="n">
        <x:v>1.05</x:v>
      </x:c>
      <x:c r="F6038" s="1" t="str">
        <x:v>https://api.octopus.energy/v1/products/AGILE-24-10-01/electricity-tariffs/E-1R-AGILE-24-10-01-G/standard-unit-rates/</x:v>
      </x:c>
    </x:row>
    <x:row r="6039" ht="21" customHeight="1">
      <x:c r="A6039" s="24" t="n">
        <x:v>46274.3125</x:v>
      </x:c>
      <x:c r="B6039" s="6" t="n">
        <x:v>0.34020000000000006</x:v>
      </x:c>
      <x:c r="C6039" s="6" t="n">
        <x:v>0.1818</x:v>
      </x:c>
      <x:c r="D6039" s="6" t="n">
        <x:f>B6039</x:f>
        <x:v>0.34020000000000006</x:v>
      </x:c>
      <x:c r="E6039" s="1" t="n">
        <x:v>1.05</x:v>
      </x:c>
      <x:c r="F6039" s="1" t="str">
        <x:v>https://api.octopus.energy/v1/products/AGILE-24-10-01/electricity-tariffs/E-1R-AGILE-24-10-01-G/standard-unit-rates/</x:v>
      </x:c>
    </x:row>
    <x:row r="6040" ht="21" customHeight="1">
      <x:c r="A6040" s="24" t="n">
        <x:v>46274.333333333336</x:v>
      </x:c>
      <x:c r="B6040" s="6" t="n">
        <x:v>0.30210000000000004</x:v>
      </x:c>
      <x:c r="C6040" s="6" t="n">
        <x:v>0.16440000000000002</x:v>
      </x:c>
      <x:c r="D6040" s="6" t="n">
        <x:f>B6040</x:f>
        <x:v>0.30210000000000004</x:v>
      </x:c>
      <x:c r="E6040" s="1" t="n">
        <x:v>1.05</x:v>
      </x:c>
      <x:c r="F6040" s="1" t="str">
        <x:v>https://api.octopus.energy/v1/products/AGILE-24-10-01/electricity-tariffs/E-1R-AGILE-24-10-01-G/standard-unit-rates/</x:v>
      </x:c>
    </x:row>
    <x:row r="6041" ht="21" customHeight="1">
      <x:c r="A6041" s="24" t="n">
        <x:v>46274.354166666664</x:v>
      </x:c>
      <x:c r="B6041" s="6" t="n">
        <x:v>0.2808</x:v>
      </x:c>
      <x:c r="C6041" s="6" t="n">
        <x:v>0.15460000000000002</x:v>
      </x:c>
      <x:c r="D6041" s="6" t="n">
        <x:f>B6041</x:f>
        <x:v>0.2808</x:v>
      </x:c>
      <x:c r="E6041" s="1" t="n">
        <x:v>1.05</x:v>
      </x:c>
      <x:c r="F6041" s="1" t="str">
        <x:v>https://api.octopus.energy/v1/products/AGILE-24-10-01/electricity-tariffs/E-1R-AGILE-24-10-01-G/standard-unit-rates/</x:v>
      </x:c>
    </x:row>
    <x:row r="6042" ht="21" customHeight="1">
      <x:c r="A6042" s="24" t="n">
        <x:v>46274.375</x:v>
      </x:c>
      <x:c r="B6042" s="6" t="n">
        <x:v>0.2937</x:v>
      </x:c>
      <x:c r="C6042" s="6" t="n">
        <x:v>0.1605</x:v>
      </x:c>
      <x:c r="D6042" s="6" t="n">
        <x:f>B6042</x:f>
        <x:v>0.2937</x:v>
      </x:c>
      <x:c r="E6042" s="1" t="n">
        <x:v>1.05</x:v>
      </x:c>
      <x:c r="F6042" s="1" t="str">
        <x:v>https://api.octopus.energy/v1/products/AGILE-24-10-01/electricity-tariffs/E-1R-AGILE-24-10-01-G/standard-unit-rates/</x:v>
      </x:c>
    </x:row>
    <x:row r="6043" ht="21" customHeight="1">
      <x:c r="A6043" s="24" t="n">
        <x:v>46274.395833333336</x:v>
      </x:c>
      <x:c r="B6043" s="6" t="n">
        <x:v>0.2808</x:v>
      </x:c>
      <x:c r="C6043" s="6" t="n">
        <x:v>0.15460000000000002</x:v>
      </x:c>
      <x:c r="D6043" s="6" t="n">
        <x:f>B6043</x:f>
        <x:v>0.2808</x:v>
      </x:c>
      <x:c r="E6043" s="1" t="n">
        <x:v>1.05</x:v>
      </x:c>
      <x:c r="F6043" s="1" t="str">
        <x:v>https://api.octopus.energy/v1/products/AGILE-24-10-01/electricity-tariffs/E-1R-AGILE-24-10-01-G/standard-unit-rates/</x:v>
      </x:c>
    </x:row>
    <x:row r="6044" ht="21" customHeight="1">
      <x:c r="A6044" s="24" t="n">
        <x:v>46274.416666666664</x:v>
      </x:c>
      <x:c r="B6044" s="6" t="n">
        <x:v>0.281</x:v>
      </x:c>
      <x:c r="C6044" s="6" t="n">
        <x:v>0.1547</x:v>
      </x:c>
      <x:c r="D6044" s="6" t="n">
        <x:f>B6044</x:f>
        <x:v>0.281</x:v>
      </x:c>
      <x:c r="E6044" s="1" t="n">
        <x:v>1.05</x:v>
      </x:c>
      <x:c r="F6044" s="1" t="str">
        <x:v>https://api.octopus.energy/v1/products/AGILE-24-10-01/electricity-tariffs/E-1R-AGILE-24-10-01-G/standard-unit-rates/</x:v>
      </x:c>
    </x:row>
    <x:row r="6045" ht="21" customHeight="1">
      <x:c r="A6045" s="24" t="n">
        <x:v>46274.4375</x:v>
      </x:c>
      <x:c r="B6045" s="6" t="n">
        <x:v>0.2732</x:v>
      </x:c>
      <x:c r="C6045" s="6" t="n">
        <x:v>0.1512</x:v>
      </x:c>
      <x:c r="D6045" s="6" t="n">
        <x:f>B6045</x:f>
        <x:v>0.2732</x:v>
      </x:c>
      <x:c r="E6045" s="1" t="n">
        <x:v>1.05</x:v>
      </x:c>
      <x:c r="F6045" s="1" t="str">
        <x:v>https://api.octopus.energy/v1/products/AGILE-24-10-01/electricity-tariffs/E-1R-AGILE-24-10-01-G/standard-unit-rates/</x:v>
      </x:c>
    </x:row>
    <x:row r="6046" ht="21" customHeight="1">
      <x:c r="A6046" s="24" t="n">
        <x:v>46274.458333333336</x:v>
      </x:c>
      <x:c r="B6046" s="6" t="n">
        <x:v>0.2963</x:v>
      </x:c>
      <x:c r="C6046" s="6" t="n">
        <x:v>0.1617</x:v>
      </x:c>
      <x:c r="D6046" s="6" t="n">
        <x:f>B6046</x:f>
        <x:v>0.2963</x:v>
      </x:c>
      <x:c r="E6046" s="1" t="n">
        <x:v>1.05</x:v>
      </x:c>
      <x:c r="F6046" s="1" t="str">
        <x:v>https://api.octopus.energy/v1/products/AGILE-24-10-01/electricity-tariffs/E-1R-AGILE-24-10-01-G/standard-unit-rates/</x:v>
      </x:c>
    </x:row>
    <x:row r="6047" ht="21" customHeight="1">
      <x:c r="A6047" s="24" t="n">
        <x:v>46274.479166666664</x:v>
      </x:c>
      <x:c r="B6047" s="6" t="n">
        <x:v>0.2944</x:v>
      </x:c>
      <x:c r="C6047" s="6" t="n">
        <x:v>0.1609</x:v>
      </x:c>
      <x:c r="D6047" s="6" t="n">
        <x:f>B6047</x:f>
        <x:v>0.2944</x:v>
      </x:c>
      <x:c r="E6047" s="1" t="n">
        <x:v>1.05</x:v>
      </x:c>
      <x:c r="F6047" s="1" t="str">
        <x:v>https://api.octopus.energy/v1/products/AGILE-24-10-01/electricity-tariffs/E-1R-AGILE-24-10-01-G/standard-unit-rates/</x:v>
      </x:c>
    </x:row>
    <x:row r="6048" ht="21" customHeight="1">
      <x:c r="A6048" s="24" t="n">
        <x:v>46274.5</x:v>
      </x:c>
      <x:c r="B6048" s="6" t="n">
        <x:v>0.2903</x:v>
      </x:c>
      <x:c r="C6048" s="6" t="n">
        <x:v>0.159</x:v>
      </x:c>
      <x:c r="D6048" s="6" t="n">
        <x:f>B6048</x:f>
        <x:v>0.2903</x:v>
      </x:c>
      <x:c r="E6048" s="1" t="n">
        <x:v>1.05</x:v>
      </x:c>
      <x:c r="F6048" s="1" t="str">
        <x:v>https://api.octopus.energy/v1/products/AGILE-24-10-01/electricity-tariffs/E-1R-AGILE-24-10-01-G/standard-unit-rates/</x:v>
      </x:c>
    </x:row>
    <x:row r="6049" ht="21" customHeight="1">
      <x:c r="A6049" s="24" t="n">
        <x:v>46274.520833333336</x:v>
      </x:c>
      <x:c r="B6049" s="6" t="n">
        <x:v>0.2874</x:v>
      </x:c>
      <x:c r="C6049" s="6" t="n">
        <x:v>0.1576</x:v>
      </x:c>
      <x:c r="D6049" s="6" t="n">
        <x:f>B6049</x:f>
        <x:v>0.2874</x:v>
      </x:c>
      <x:c r="E6049" s="1" t="n">
        <x:v>1.05</x:v>
      </x:c>
      <x:c r="F6049" s="1" t="str">
        <x:v>https://api.octopus.energy/v1/products/AGILE-24-10-01/electricity-tariffs/E-1R-AGILE-24-10-01-G/standard-unit-rates/</x:v>
      </x:c>
    </x:row>
    <x:row r="6050" ht="21" customHeight="1">
      <x:c r="A6050" s="24" t="n">
        <x:v>46274.541666666664</x:v>
      </x:c>
      <x:c r="B6050" s="6" t="n">
        <x:v>0.2691</x:v>
      </x:c>
      <x:c r="C6050" s="6" t="n">
        <x:v>0.1493</x:v>
      </x:c>
      <x:c r="D6050" s="6" t="n">
        <x:f>B6050</x:f>
        <x:v>0.2691</x:v>
      </x:c>
      <x:c r="E6050" s="1" t="n">
        <x:v>1.05</x:v>
      </x:c>
      <x:c r="F6050" s="1" t="str">
        <x:v>https://api.octopus.energy/v1/products/AGILE-24-10-01/electricity-tariffs/E-1R-AGILE-24-10-01-G/standard-unit-rates/</x:v>
      </x:c>
    </x:row>
    <x:row r="6051" ht="21" customHeight="1">
      <x:c r="A6051" s="24" t="n">
        <x:v>46274.5625</x:v>
      </x:c>
      <x:c r="B6051" s="6" t="n">
        <x:v>0.2786</x:v>
      </x:c>
      <x:c r="C6051" s="6" t="n">
        <x:v>0.1536</x:v>
      </x:c>
      <x:c r="D6051" s="6" t="n">
        <x:f>B6051</x:f>
        <x:v>0.2786</x:v>
      </x:c>
      <x:c r="E6051" s="1" t="n">
        <x:v>1.05</x:v>
      </x:c>
      <x:c r="F6051" s="1" t="str">
        <x:v>https://api.octopus.energy/v1/products/AGILE-24-10-01/electricity-tariffs/E-1R-AGILE-24-10-01-G/standard-unit-rates/</x:v>
      </x:c>
    </x:row>
    <x:row r="6052" ht="21" customHeight="1">
      <x:c r="A6052" s="24" t="n">
        <x:v>46274.583333333336</x:v>
      </x:c>
      <x:c r="B6052" s="6" t="n">
        <x:v>0.29710000000000003</x:v>
      </x:c>
      <x:c r="C6052" s="6" t="n">
        <x:v>0.16210000000000002</x:v>
      </x:c>
      <x:c r="D6052" s="6" t="n">
        <x:f>B6052</x:f>
        <x:v>0.29710000000000003</x:v>
      </x:c>
      <x:c r="E6052" s="1" t="n">
        <x:v>1.05</x:v>
      </x:c>
      <x:c r="F6052" s="1" t="str">
        <x:v>https://api.octopus.energy/v1/products/AGILE-24-10-01/electricity-tariffs/E-1R-AGILE-24-10-01-G/standard-unit-rates/</x:v>
      </x:c>
    </x:row>
    <x:row r="6053" ht="21" customHeight="1">
      <x:c r="A6053" s="24" t="n">
        <x:v>46274.604166666664</x:v>
      </x:c>
      <x:c r="B6053" s="6" t="n">
        <x:v>0.2816</x:v>
      </x:c>
      <x:c r="C6053" s="6" t="n">
        <x:v>0.155</x:v>
      </x:c>
      <x:c r="D6053" s="6" t="n">
        <x:f>B6053</x:f>
        <x:v>0.2816</x:v>
      </x:c>
      <x:c r="E6053" s="1" t="n">
        <x:v>1.05</x:v>
      </x:c>
      <x:c r="F6053" s="1" t="str">
        <x:v>https://api.octopus.energy/v1/products/AGILE-24-10-01/electricity-tariffs/E-1R-AGILE-24-10-01-G/standard-unit-rates/</x:v>
      </x:c>
    </x:row>
    <x:row r="6054" ht="21" customHeight="1">
      <x:c r="A6054" s="24" t="n">
        <x:v>46274.625</x:v>
      </x:c>
      <x:c r="B6054" s="6" t="n">
        <x:v>0.2837</x:v>
      </x:c>
      <x:c r="C6054" s="6" t="n">
        <x:v>0.156</x:v>
      </x:c>
      <x:c r="D6054" s="6" t="n">
        <x:f>B6054</x:f>
        <x:v>0.2837</x:v>
      </x:c>
      <x:c r="E6054" s="1" t="n">
        <x:v>1.05</x:v>
      </x:c>
      <x:c r="F6054" s="1" t="str">
        <x:v>https://api.octopus.energy/v1/products/AGILE-24-10-01/electricity-tariffs/E-1R-AGILE-24-10-01-G/standard-unit-rates/</x:v>
      </x:c>
    </x:row>
    <x:row r="6055" ht="21" customHeight="1">
      <x:c r="A6055" s="24" t="n">
        <x:v>46274.645833333336</x:v>
      </x:c>
      <x:c r="B6055" s="6" t="n">
        <x:v>0.299</x:v>
      </x:c>
      <x:c r="C6055" s="6" t="n">
        <x:v>0.163</x:v>
      </x:c>
      <x:c r="D6055" s="6" t="n">
        <x:f>B6055</x:f>
        <x:v>0.299</x:v>
      </x:c>
      <x:c r="E6055" s="1" t="n">
        <x:v>1.05</x:v>
      </x:c>
      <x:c r="F6055" s="1" t="str">
        <x:v>https://api.octopus.energy/v1/products/AGILE-24-10-01/electricity-tariffs/E-1R-AGILE-24-10-01-G/standard-unit-rates/</x:v>
      </x:c>
    </x:row>
    <x:row r="6056" ht="21" customHeight="1">
      <x:c r="A6056" s="24" t="n">
        <x:v>46274.666666666664</x:v>
      </x:c>
      <x:c r="B6056" s="6" t="n">
        <x:v>0.4226</x:v>
      </x:c>
      <x:c r="C6056" s="6" t="n">
        <x:v>0.2235</x:v>
      </x:c>
      <x:c r="D6056" s="6" t="n">
        <x:f>B6056</x:f>
        <x:v>0.4226</x:v>
      </x:c>
      <x:c r="E6056" s="1" t="n">
        <x:v>1.05</x:v>
      </x:c>
      <x:c r="F6056" s="1" t="str">
        <x:v>https://api.octopus.energy/v1/products/AGILE-24-10-01/electricity-tariffs/E-1R-AGILE-24-10-01-G/standard-unit-rates/</x:v>
      </x:c>
    </x:row>
    <x:row r="6057" ht="21" customHeight="1">
      <x:c r="A6057" s="24" t="n">
        <x:v>46274.6875</x:v>
      </x:c>
      <x:c r="B6057" s="6" t="n">
        <x:v>0.4314</x:v>
      </x:c>
      <x:c r="C6057" s="6" t="n">
        <x:v>0.2275</x:v>
      </x:c>
      <x:c r="D6057" s="6" t="n">
        <x:f>B6057</x:f>
        <x:v>0.4314</x:v>
      </x:c>
      <x:c r="E6057" s="1" t="n">
        <x:v>1.05</x:v>
      </x:c>
      <x:c r="F6057" s="1" t="str">
        <x:v>https://api.octopus.energy/v1/products/AGILE-24-10-01/electricity-tariffs/E-1R-AGILE-24-10-01-G/standard-unit-rates/</x:v>
      </x:c>
    </x:row>
    <x:row r="6058" ht="21" customHeight="1">
      <x:c r="A6058" s="24" t="n">
        <x:v>46274.708333333336</x:v>
      </x:c>
      <x:c r="B6058" s="6" t="n">
        <x:v>0.4853</x:v>
      </x:c>
      <x:c r="C6058" s="6" t="n">
        <x:v>0.2522</x:v>
      </x:c>
      <x:c r="D6058" s="6" t="n">
        <x:f>B6058</x:f>
        <x:v>0.4853</x:v>
      </x:c>
      <x:c r="E6058" s="1" t="n">
        <x:v>1.05</x:v>
      </x:c>
      <x:c r="F6058" s="1" t="str">
        <x:v>https://api.octopus.energy/v1/products/AGILE-24-10-01/electricity-tariffs/E-1R-AGILE-24-10-01-G/standard-unit-rates/</x:v>
      </x:c>
    </x:row>
    <x:row r="6059" ht="21" customHeight="1">
      <x:c r="A6059" s="24" t="n">
        <x:v>46274.729166666664</x:v>
      </x:c>
      <x:c r="B6059" s="6" t="n">
        <x:v>0.5234000000000001</x:v>
      </x:c>
      <x:c r="C6059" s="6" t="n">
        <x:v>0.2696</x:v>
      </x:c>
      <x:c r="D6059" s="6" t="n">
        <x:f>B6059</x:f>
        <x:v>0.5234000000000001</x:v>
      </x:c>
      <x:c r="E6059" s="1" t="n">
        <x:v>1.05</x:v>
      </x:c>
      <x:c r="F6059" s="1" t="str">
        <x:v>https://api.octopus.energy/v1/products/AGILE-24-10-01/electricity-tariffs/E-1R-AGILE-24-10-01-G/standard-unit-rates/</x:v>
      </x:c>
    </x:row>
    <x:row r="6060" ht="21" customHeight="1">
      <x:c r="A6060" s="24" t="n">
        <x:v>46274.75</x:v>
      </x:c>
      <x:c r="B6060" s="6" t="n">
        <x:v>0.536</x:v>
      </x:c>
      <x:c r="C6060" s="6" t="n">
        <x:v>0.2754</x:v>
      </x:c>
      <x:c r="D6060" s="6" t="n">
        <x:f>B6060</x:f>
        <x:v>0.536</x:v>
      </x:c>
      <x:c r="E6060" s="1" t="n">
        <x:v>1.05</x:v>
      </x:c>
      <x:c r="F6060" s="1" t="str">
        <x:v>https://api.octopus.energy/v1/products/AGILE-24-10-01/electricity-tariffs/E-1R-AGILE-24-10-01-G/standard-unit-rates/</x:v>
      </x:c>
    </x:row>
    <x:row r="6061" ht="21" customHeight="1">
      <x:c r="A6061" s="24" t="n">
        <x:v>46274.770833333336</x:v>
      </x:c>
      <x:c r="B6061" s="6" t="n">
        <x:v>0.5402</x:v>
      </x:c>
      <x:c r="C6061" s="6" t="n">
        <x:v>0.2773</x:v>
      </x:c>
      <x:c r="D6061" s="6" t="n">
        <x:f>B6061</x:f>
        <x:v>0.5402</x:v>
      </x:c>
      <x:c r="E6061" s="1" t="n">
        <x:v>1.05</x:v>
      </x:c>
      <x:c r="F6061" s="1" t="str">
        <x:v>https://api.octopus.energy/v1/products/AGILE-24-10-01/electricity-tariffs/E-1R-AGILE-24-10-01-G/standard-unit-rates/</x:v>
      </x:c>
    </x:row>
    <x:row r="6062" ht="21" customHeight="1">
      <x:c r="A6062" s="24" t="n">
        <x:v>46274.791666666664</x:v>
      </x:c>
      <x:c r="B6062" s="6" t="n">
        <x:v>0.4276</x:v>
      </x:c>
      <x:c r="C6062" s="6" t="n">
        <x:v>0.2218</x:v>
      </x:c>
      <x:c r="D6062" s="6" t="n">
        <x:f>B6062</x:f>
        <x:v>0.4276</x:v>
      </x:c>
      <x:c r="E6062" s="1" t="n">
        <x:v>1.05</x:v>
      </x:c>
      <x:c r="F6062" s="1" t="str">
        <x:v>https://api.octopus.energy/v1/products/AGILE-24-10-01/electricity-tariffs/E-1R-AGILE-24-10-01-G/standard-unit-rates/</x:v>
      </x:c>
    </x:row>
    <x:row r="6063" ht="21" customHeight="1">
      <x:c r="A6063" s="24" t="n">
        <x:v>46274.8125</x:v>
      </x:c>
      <x:c r="B6063" s="6" t="n">
        <x:v>0.44020000000000004</x:v>
      </x:c>
      <x:c r="C6063" s="6" t="n">
        <x:v>0.2275</x:v>
      </x:c>
      <x:c r="D6063" s="6" t="n">
        <x:f>B6063</x:f>
        <x:v>0.44020000000000004</x:v>
      </x:c>
      <x:c r="E6063" s="1" t="n">
        <x:v>1.05</x:v>
      </x:c>
      <x:c r="F6063" s="1" t="str">
        <x:v>https://api.octopus.energy/v1/products/AGILE-24-10-01/electricity-tariffs/E-1R-AGILE-24-10-01-G/standard-unit-rates/</x:v>
      </x:c>
    </x:row>
    <x:row r="6064" ht="21" customHeight="1">
      <x:c r="A6064" s="24" t="n">
        <x:v>46274.833333333336</x:v>
      </x:c>
      <x:c r="B6064" s="6" t="n">
        <x:v>0.44329999999999997</x:v>
      </x:c>
      <x:c r="C6064" s="6" t="n">
        <x:v>0.2289</x:v>
      </x:c>
      <x:c r="D6064" s="6" t="n">
        <x:f>B6064</x:f>
        <x:v>0.44329999999999997</x:v>
      </x:c>
      <x:c r="E6064" s="1" t="n">
        <x:v>1.05</x:v>
      </x:c>
      <x:c r="F6064" s="1" t="str">
        <x:v>https://api.octopus.energy/v1/products/AGILE-24-10-01/electricity-tariffs/E-1R-AGILE-24-10-01-G/standard-unit-rates/</x:v>
      </x:c>
    </x:row>
    <x:row r="6065" ht="21" customHeight="1">
      <x:c r="A6065" s="24" t="n">
        <x:v>46274.854166666664</x:v>
      </x:c>
      <x:c r="B6065" s="6" t="n">
        <x:v>0.4324</x:v>
      </x:c>
      <x:c r="C6065" s="6" t="n">
        <x:v>0.22390000000000002</x:v>
      </x:c>
      <x:c r="D6065" s="6" t="n">
        <x:f>B6065</x:f>
        <x:v>0.4324</x:v>
      </x:c>
      <x:c r="E6065" s="1" t="n">
        <x:v>1.05</x:v>
      </x:c>
      <x:c r="F6065" s="1" t="str">
        <x:v>https://api.octopus.energy/v1/products/AGILE-24-10-01/electricity-tariffs/E-1R-AGILE-24-10-01-G/standard-unit-rates/</x:v>
      </x:c>
    </x:row>
    <x:row r="6066" ht="21" customHeight="1">
      <x:c r="A6066" s="24" t="n">
        <x:v>46274.875</x:v>
      </x:c>
      <x:c r="B6066" s="6" t="n">
        <x:v>0.4202</x:v>
      </x:c>
      <x:c r="C6066" s="6" t="n">
        <x:v>0.2184</x:v>
      </x:c>
      <x:c r="D6066" s="6" t="n">
        <x:f>B6066</x:f>
        <x:v>0.4202</x:v>
      </x:c>
      <x:c r="E6066" s="1" t="n">
        <x:v>1.05</x:v>
      </x:c>
      <x:c r="F6066" s="1" t="str">
        <x:v>https://api.octopus.energy/v1/products/AGILE-24-10-01/electricity-tariffs/E-1R-AGILE-24-10-01-G/standard-unit-rates/</x:v>
      </x:c>
    </x:row>
    <x:row r="6067" ht="21" customHeight="1">
      <x:c r="A6067" s="24" t="n">
        <x:v>46274.895833333336</x:v>
      </x:c>
      <x:c r="B6067" s="6" t="n">
        <x:v>0.3736</x:v>
      </x:c>
      <x:c r="C6067" s="6" t="n">
        <x:v>0.19699999999999998</x:v>
      </x:c>
      <x:c r="D6067" s="6" t="n">
        <x:f>B6067</x:f>
        <x:v>0.3736</x:v>
      </x:c>
      <x:c r="E6067" s="1" t="n">
        <x:v>1.05</x:v>
      </x:c>
      <x:c r="F6067" s="1" t="str">
        <x:v>https://api.octopus.energy/v1/products/AGILE-24-10-01/electricity-tariffs/E-1R-AGILE-24-10-01-G/standard-unit-rates/</x:v>
      </x:c>
    </x:row>
    <x:row r="6068" ht="21" customHeight="1">
      <x:c r="A6068" s="24" t="n">
        <x:v>46274.916666666664</x:v>
      </x:c>
      <x:c r="B6068" s="6" t="n">
        <x:v>0.3181</x:v>
      </x:c>
      <x:c r="C6068" s="6" t="n">
        <x:v>0.17170000000000002</x:v>
      </x:c>
      <x:c r="D6068" s="6" t="n">
        <x:f>B6068</x:f>
        <x:v>0.3181</x:v>
      </x:c>
      <x:c r="E6068" s="1" t="n">
        <x:v>1.05</x:v>
      </x:c>
      <x:c r="F6068" s="1" t="str">
        <x:v>https://api.octopus.energy/v1/products/AGILE-24-10-01/electricity-tariffs/E-1R-AGILE-24-10-01-G/standard-unit-rates/</x:v>
      </x:c>
    </x:row>
    <x:row r="6069" ht="21" customHeight="1">
      <x:c r="A6069" s="24" t="n">
        <x:v>46274.9375</x:v>
      </x:c>
      <x:c r="B6069" s="6" t="n">
        <x:v>0.29109999999999997</x:v>
      </x:c>
      <x:c r="C6069" s="6" t="n">
        <x:v>0.1593</x:v>
      </x:c>
      <x:c r="D6069" s="6" t="n">
        <x:f>B6069</x:f>
        <x:v>0.29109999999999997</x:v>
      </x:c>
      <x:c r="E6069" s="1" t="n">
        <x:v>1.05</x:v>
      </x:c>
      <x:c r="F6069" s="1" t="str">
        <x:v>https://api.octopus.energy/v1/products/AGILE-24-10-01/electricity-tariffs/E-1R-AGILE-24-10-01-G/standard-unit-rates/</x:v>
      </x:c>
    </x:row>
    <x:row r="6070" ht="21" customHeight="1">
      <x:c r="A6070" s="24" t="n">
        <x:v>46275</x:v>
      </x:c>
      <x:c r="B6070" s="6" t="n">
        <x:v>0.37439999999999996</x:v>
      </x:c>
      <x:c r="C6070" s="6" t="n">
        <x:v>0.1974</x:v>
      </x:c>
      <x:c r="D6070" s="6" t="n">
        <x:f>B6070</x:f>
        <x:v>0.37439999999999996</x:v>
      </x:c>
      <x:c r="E6070" s="1" t="n">
        <x:v>1.05</x:v>
      </x:c>
      <x:c r="F6070" s="1" t="str">
        <x:v>https://api.octopus.energy/v1/products/AGILE-24-10-01/electricity-tariffs/E-1R-AGILE-24-10-01-G/standard-unit-rates/</x:v>
      </x:c>
    </x:row>
    <x:row r="6071" ht="21" customHeight="1">
      <x:c r="A6071" s="24" t="n">
        <x:v>46274.979166666664</x:v>
      </x:c>
      <x:c r="B6071" s="6" t="n">
        <x:v>0.34020000000000006</x:v>
      </x:c>
      <x:c r="C6071" s="6" t="n">
        <x:v>0.1818</x:v>
      </x:c>
      <x:c r="D6071" s="6" t="n">
        <x:f>B6071</x:f>
        <x:v>0.34020000000000006</x:v>
      </x:c>
      <x:c r="E6071" s="1" t="n">
        <x:v>1.05</x:v>
      </x:c>
      <x:c r="F6071" s="1" t="str">
        <x:v>https://api.octopus.energy/v1/products/AGILE-24-10-01/electricity-tariffs/E-1R-AGILE-24-10-01-G/standard-unit-rates/</x:v>
      </x:c>
    </x:row>
    <x:row r="6072" ht="21" customHeight="1">
      <x:c r="A6072" s="24" t="n">
        <x:v>46275</x:v>
      </x:c>
      <x:c r="B6072" s="6" t="n">
        <x:v>0.3261</x:v>
      </x:c>
      <x:c r="C6072" s="6" t="n">
        <x:v>0.1753</x:v>
      </x:c>
      <x:c r="D6072" s="6" t="n">
        <x:f>B6072</x:f>
        <x:v>0.3261</x:v>
      </x:c>
      <x:c r="E6072" s="1" t="n">
        <x:v>1.05</x:v>
      </x:c>
      <x:c r="F6072" s="1" t="str">
        <x:v>https://api.octopus.energy/v1/products/AGILE-24-10-01/electricity-tariffs/E-1R-AGILE-24-10-01-G/standard-unit-rates/</x:v>
      </x:c>
    </x:row>
    <x:row r="6073" ht="21" customHeight="1">
      <x:c r="A6073" s="24" t="n">
        <x:v>46275.020833333336</x:v>
      </x:c>
      <x:c r="B6073" s="6" t="n">
        <x:v>0.3102</x:v>
      </x:c>
      <x:c r="C6073" s="6" t="n">
        <x:v>0.1681</x:v>
      </x:c>
      <x:c r="D6073" s="6" t="n">
        <x:f>B6073</x:f>
        <x:v>0.3102</x:v>
      </x:c>
      <x:c r="E6073" s="1" t="n">
        <x:v>1.05</x:v>
      </x:c>
      <x:c r="F6073" s="1" t="str">
        <x:v>https://api.octopus.energy/v1/products/AGILE-24-10-01/electricity-tariffs/E-1R-AGILE-24-10-01-G/standard-unit-rates/</x:v>
      </x:c>
    </x:row>
    <x:row r="6074" ht="21" customHeight="1">
      <x:c r="A6074" s="24" t="n">
        <x:v>46275.041666666664</x:v>
      </x:c>
      <x:c r="B6074" s="6" t="n">
        <x:v>0.3024</x:v>
      </x:c>
      <x:c r="C6074" s="6" t="n">
        <x:v>0.16449999999999998</x:v>
      </x:c>
      <x:c r="D6074" s="6" t="n">
        <x:f>B6074</x:f>
        <x:v>0.3024</x:v>
      </x:c>
      <x:c r="E6074" s="1" t="n">
        <x:v>1.05</x:v>
      </x:c>
      <x:c r="F6074" s="1" t="str">
        <x:v>https://api.octopus.energy/v1/products/AGILE-24-10-01/electricity-tariffs/E-1R-AGILE-24-10-01-G/standard-unit-rates/</x:v>
      </x:c>
    </x:row>
    <x:row r="6075" ht="21" customHeight="1">
      <x:c r="A6075" s="24" t="n">
        <x:v>46275.0625</x:v>
      </x:c>
      <x:c r="B6075" s="6" t="n">
        <x:v>0.2955</x:v>
      </x:c>
      <x:c r="C6075" s="6" t="n">
        <x:v>0.16140000000000002</x:v>
      </x:c>
      <x:c r="D6075" s="6" t="n">
        <x:f>B6075</x:f>
        <x:v>0.2955</x:v>
      </x:c>
      <x:c r="E6075" s="1" t="n">
        <x:v>1.05</x:v>
      </x:c>
      <x:c r="F6075" s="1" t="str">
        <x:v>https://api.octopus.energy/v1/products/AGILE-24-10-01/electricity-tariffs/E-1R-AGILE-24-10-01-G/standard-unit-rates/</x:v>
      </x:c>
    </x:row>
    <x:row r="6076" ht="21" customHeight="1">
      <x:c r="A6076" s="24" t="n">
        <x:v>46275.083333333336</x:v>
      </x:c>
      <x:c r="B6076" s="6" t="n">
        <x:v>0.2954</x:v>
      </x:c>
      <x:c r="C6076" s="6" t="n">
        <x:v>0.1613</x:v>
      </x:c>
      <x:c r="D6076" s="6" t="n">
        <x:f>B6076</x:f>
        <x:v>0.2954</x:v>
      </x:c>
      <x:c r="E6076" s="1" t="n">
        <x:v>1.05</x:v>
      </x:c>
      <x:c r="F6076" s="1" t="str">
        <x:v>https://api.octopus.energy/v1/products/AGILE-24-10-01/electricity-tariffs/E-1R-AGILE-24-10-01-G/standard-unit-rates/</x:v>
      </x:c>
    </x:row>
    <x:row r="6077" ht="21" customHeight="1">
      <x:c r="A6077" s="24" t="n">
        <x:v>46275.104166666664</x:v>
      </x:c>
      <x:c r="B6077" s="6" t="n">
        <x:v>0.282</x:v>
      </x:c>
      <x:c r="C6077" s="6" t="n">
        <x:v>0.1552</x:v>
      </x:c>
      <x:c r="D6077" s="6" t="n">
        <x:f>B6077</x:f>
        <x:v>0.282</x:v>
      </x:c>
      <x:c r="E6077" s="1" t="n">
        <x:v>1.05</x:v>
      </x:c>
      <x:c r="F6077" s="1" t="str">
        <x:v>https://api.octopus.energy/v1/products/AGILE-24-10-01/electricity-tariffs/E-1R-AGILE-24-10-01-G/standard-unit-rates/</x:v>
      </x:c>
    </x:row>
    <x:row r="6078" ht="21" customHeight="1">
      <x:c r="A6078" s="24" t="n">
        <x:v>46275.125</x:v>
      </x:c>
      <x:c r="B6078" s="6" t="n">
        <x:v>0.2952</x:v>
      </x:c>
      <x:c r="C6078" s="6" t="n">
        <x:v>0.1612</x:v>
      </x:c>
      <x:c r="D6078" s="6" t="n">
        <x:f>B6078</x:f>
        <x:v>0.2952</x:v>
      </x:c>
      <x:c r="E6078" s="1" t="n">
        <x:v>1.05</x:v>
      </x:c>
      <x:c r="F6078" s="1" t="str">
        <x:v>https://api.octopus.energy/v1/products/AGILE-24-10-01/electricity-tariffs/E-1R-AGILE-24-10-01-G/standard-unit-rates/</x:v>
      </x:c>
    </x:row>
    <x:row r="6079" ht="21" customHeight="1">
      <x:c r="A6079" s="24" t="n">
        <x:v>46275.145833333336</x:v>
      </x:c>
      <x:c r="B6079" s="6" t="n">
        <x:v>0.27949999999999997</x:v>
      </x:c>
      <x:c r="C6079" s="6" t="n">
        <x:v>0.154</x:v>
      </x:c>
      <x:c r="D6079" s="6" t="n">
        <x:f>B6079</x:f>
        <x:v>0.27949999999999997</x:v>
      </x:c>
      <x:c r="E6079" s="1" t="n">
        <x:v>1.05</x:v>
      </x:c>
      <x:c r="F6079" s="1" t="str">
        <x:v>https://api.octopus.energy/v1/products/AGILE-24-10-01/electricity-tariffs/E-1R-AGILE-24-10-01-G/standard-unit-rates/</x:v>
      </x:c>
    </x:row>
    <x:row r="6080" ht="21" customHeight="1">
      <x:c r="A6080" s="24" t="n">
        <x:v>46275.166666666664</x:v>
      </x:c>
      <x:c r="B6080" s="6" t="n">
        <x:v>0.29710000000000003</x:v>
      </x:c>
      <x:c r="C6080" s="6" t="n">
        <x:v>0.16210000000000002</x:v>
      </x:c>
      <x:c r="D6080" s="6" t="n">
        <x:f>B6080</x:f>
        <x:v>0.29710000000000003</x:v>
      </x:c>
      <x:c r="E6080" s="1" t="n">
        <x:v>1.05</x:v>
      </x:c>
      <x:c r="F6080" s="1" t="str">
        <x:v>https://api.octopus.energy/v1/products/AGILE-24-10-01/electricity-tariffs/E-1R-AGILE-24-10-01-G/standard-unit-rates/</x:v>
      </x:c>
    </x:row>
    <x:row r="6081" ht="21" customHeight="1">
      <x:c r="A6081" s="24" t="n">
        <x:v>46275.1875</x:v>
      </x:c>
      <x:c r="B6081" s="6" t="n">
        <x:v>0.2877</x:v>
      </x:c>
      <x:c r="C6081" s="6" t="n">
        <x:v>0.1578</x:v>
      </x:c>
      <x:c r="D6081" s="6" t="n">
        <x:f>B6081</x:f>
        <x:v>0.2877</x:v>
      </x:c>
      <x:c r="E6081" s="1" t="n">
        <x:v>1.05</x:v>
      </x:c>
      <x:c r="F6081" s="1" t="str">
        <x:v>https://api.octopus.energy/v1/products/AGILE-24-10-01/electricity-tariffs/E-1R-AGILE-24-10-01-G/standard-unit-rates/</x:v>
      </x:c>
    </x:row>
    <x:row r="6082" ht="21" customHeight="1">
      <x:c r="A6082" s="24" t="n">
        <x:v>46275.208333333336</x:v>
      </x:c>
      <x:c r="B6082" s="6" t="n">
        <x:v>0.3356</x:v>
      </x:c>
      <x:c r="C6082" s="6" t="n">
        <x:v>0.1797</x:v>
      </x:c>
      <x:c r="D6082" s="6" t="n">
        <x:f>B6082</x:f>
        <x:v>0.3356</x:v>
      </x:c>
      <x:c r="E6082" s="1" t="n">
        <x:v>1.05</x:v>
      </x:c>
      <x:c r="F6082" s="1" t="str">
        <x:v>https://api.octopus.energy/v1/products/AGILE-24-10-01/electricity-tariffs/E-1R-AGILE-24-10-01-G/standard-unit-rates/</x:v>
      </x:c>
    </x:row>
    <x:row r="6083" ht="21" customHeight="1">
      <x:c r="A6083" s="24" t="n">
        <x:v>46275.229166666664</x:v>
      </x:c>
      <x:c r="B6083" s="6" t="n">
        <x:v>0.3398</x:v>
      </x:c>
      <x:c r="C6083" s="6" t="n">
        <x:v>0.1816</x:v>
      </x:c>
      <x:c r="D6083" s="6" t="n">
        <x:f>B6083</x:f>
        <x:v>0.3398</x:v>
      </x:c>
      <x:c r="E6083" s="1" t="n">
        <x:v>1.05</x:v>
      </x:c>
      <x:c r="F6083" s="1" t="str">
        <x:v>https://api.octopus.energy/v1/products/AGILE-24-10-01/electricity-tariffs/E-1R-AGILE-24-10-01-G/standard-unit-rates/</x:v>
      </x:c>
    </x:row>
    <x:row r="6084" ht="21" customHeight="1">
      <x:c r="A6084" s="24" t="n">
        <x:v>46275.25</x:v>
      </x:c>
      <x:c r="B6084" s="6" t="n">
        <x:v>0.3458</x:v>
      </x:c>
      <x:c r="C6084" s="6" t="n">
        <x:v>0.1843</x:v>
      </x:c>
      <x:c r="D6084" s="6" t="n">
        <x:f>B6084</x:f>
        <x:v>0.3458</x:v>
      </x:c>
      <x:c r="E6084" s="1" t="n">
        <x:v>1.05</x:v>
      </x:c>
      <x:c r="F6084" s="1" t="str">
        <x:v>https://api.octopus.energy/v1/products/AGILE-24-10-01/electricity-tariffs/E-1R-AGILE-24-10-01-G/standard-unit-rates/</x:v>
      </x:c>
    </x:row>
    <x:row r="6085" ht="21" customHeight="1">
      <x:c r="A6085" s="24" t="n">
        <x:v>46275.270833333336</x:v>
      </x:c>
      <x:c r="B6085" s="6" t="n">
        <x:v>0.365</x:v>
      </x:c>
      <x:c r="C6085" s="6" t="n">
        <x:v>0.1931</x:v>
      </x:c>
      <x:c r="D6085" s="6" t="n">
        <x:f>B6085</x:f>
        <x:v>0.365</x:v>
      </x:c>
      <x:c r="E6085" s="1" t="n">
        <x:v>1.05</x:v>
      </x:c>
      <x:c r="F6085" s="1" t="str">
        <x:v>https://api.octopus.energy/v1/products/AGILE-24-10-01/electricity-tariffs/E-1R-AGILE-24-10-01-G/standard-unit-rates/</x:v>
      </x:c>
    </x:row>
    <x:row r="6086" ht="21" customHeight="1">
      <x:c r="A6086" s="24" t="n">
        <x:v>46275.291666666664</x:v>
      </x:c>
      <x:c r="B6086" s="6" t="n">
        <x:v>0.33409999999999995</x:v>
      </x:c>
      <x:c r="C6086" s="6" t="n">
        <x:v>0.179</x:v>
      </x:c>
      <x:c r="D6086" s="6" t="n">
        <x:f>B6086</x:f>
        <x:v>0.33409999999999995</x:v>
      </x:c>
      <x:c r="E6086" s="1" t="n">
        <x:v>1.05</x:v>
      </x:c>
      <x:c r="F6086" s="1" t="str">
        <x:v>https://api.octopus.energy/v1/products/AGILE-24-10-01/electricity-tariffs/E-1R-AGILE-24-10-01-G/standard-unit-rates/</x:v>
      </x:c>
    </x:row>
    <x:row r="6087" ht="21" customHeight="1">
      <x:c r="A6087" s="24" t="n">
        <x:v>46275.3125</x:v>
      </x:c>
      <x:c r="B6087" s="6" t="n">
        <x:v>0.35509999999999997</x:v>
      </x:c>
      <x:c r="C6087" s="6" t="n">
        <x:v>0.1886</x:v>
      </x:c>
      <x:c r="D6087" s="6" t="n">
        <x:f>B6087</x:f>
        <x:v>0.35509999999999997</x:v>
      </x:c>
      <x:c r="E6087" s="1" t="n">
        <x:v>1.05</x:v>
      </x:c>
      <x:c r="F6087" s="1" t="str">
        <x:v>https://api.octopus.energy/v1/products/AGILE-24-10-01/electricity-tariffs/E-1R-AGILE-24-10-01-G/standard-unit-rates/</x:v>
      </x:c>
    </x:row>
    <x:row r="6088" ht="21" customHeight="1">
      <x:c r="A6088" s="24" t="n">
        <x:v>46275.333333333336</x:v>
      </x:c>
      <x:c r="B6088" s="6" t="n">
        <x:v>0.3134</x:v>
      </x:c>
      <x:c r="C6088" s="6" t="n">
        <x:v>0.16949999999999998</x:v>
      </x:c>
      <x:c r="D6088" s="6" t="n">
        <x:f>B6088</x:f>
        <x:v>0.3134</x:v>
      </x:c>
      <x:c r="E6088" s="1" t="n">
        <x:v>1.05</x:v>
      </x:c>
      <x:c r="F6088" s="1" t="str">
        <x:v>https://api.octopus.energy/v1/products/AGILE-24-10-01/electricity-tariffs/E-1R-AGILE-24-10-01-G/standard-unit-rates/</x:v>
      </x:c>
    </x:row>
    <x:row r="6089" ht="21" customHeight="1">
      <x:c r="A6089" s="24" t="n">
        <x:v>46275.354166666664</x:v>
      </x:c>
      <x:c r="B6089" s="6" t="n">
        <x:v>0.3345</x:v>
      </x:c>
      <x:c r="C6089" s="6" t="n">
        <x:v>0.17920000000000003</x:v>
      </x:c>
      <x:c r="D6089" s="6" t="n">
        <x:f>B6089</x:f>
        <x:v>0.3345</x:v>
      </x:c>
      <x:c r="E6089" s="1" t="n">
        <x:v>1.05</x:v>
      </x:c>
      <x:c r="F6089" s="1" t="str">
        <x:v>https://api.octopus.energy/v1/products/AGILE-24-10-01/electricity-tariffs/E-1R-AGILE-24-10-01-G/standard-unit-rates/</x:v>
      </x:c>
    </x:row>
    <x:row r="6090" ht="21" customHeight="1">
      <x:c r="A6090" s="24" t="n">
        <x:v>46275.375</x:v>
      </x:c>
      <x:c r="B6090" s="6" t="n">
        <x:v>0.3446</x:v>
      </x:c>
      <x:c r="C6090" s="6" t="n">
        <x:v>0.1838</x:v>
      </x:c>
      <x:c r="D6090" s="6" t="n">
        <x:f>B6090</x:f>
        <x:v>0.3446</x:v>
      </x:c>
      <x:c r="E6090" s="1" t="n">
        <x:v>1.05</x:v>
      </x:c>
      <x:c r="F6090" s="1" t="str">
        <x:v>https://api.octopus.energy/v1/products/AGILE-24-10-01/electricity-tariffs/E-1R-AGILE-24-10-01-G/standard-unit-rates/</x:v>
      </x:c>
    </x:row>
    <x:row r="6091" ht="21" customHeight="1">
      <x:c r="A6091" s="24" t="n">
        <x:v>46275.395833333336</x:v>
      </x:c>
      <x:c r="B6091" s="6" t="n">
        <x:v>0.31980000000000003</x:v>
      </x:c>
      <x:c r="C6091" s="6" t="n">
        <x:v>0.1725</x:v>
      </x:c>
      <x:c r="D6091" s="6" t="n">
        <x:f>B6091</x:f>
        <x:v>0.31980000000000003</x:v>
      </x:c>
      <x:c r="E6091" s="1" t="n">
        <x:v>1.05</x:v>
      </x:c>
      <x:c r="F6091" s="1" t="str">
        <x:v>https://api.octopus.energy/v1/products/AGILE-24-10-01/electricity-tariffs/E-1R-AGILE-24-10-01-G/standard-unit-rates/</x:v>
      </x:c>
    </x:row>
    <x:row r="6092" ht="21" customHeight="1">
      <x:c r="A6092" s="24" t="n">
        <x:v>46275.416666666664</x:v>
      </x:c>
      <x:c r="B6092" s="6" t="n">
        <x:v>0.298</x:v>
      </x:c>
      <x:c r="C6092" s="6" t="n">
        <x:v>0.1625</x:v>
      </x:c>
      <x:c r="D6092" s="6" t="n">
        <x:f>B6092</x:f>
        <x:v>0.298</x:v>
      </x:c>
      <x:c r="E6092" s="1" t="n">
        <x:v>1.05</x:v>
      </x:c>
      <x:c r="F6092" s="1" t="str">
        <x:v>https://api.octopus.energy/v1/products/AGILE-24-10-01/electricity-tariffs/E-1R-AGILE-24-10-01-G/standard-unit-rates/</x:v>
      </x:c>
    </x:row>
    <x:row r="6093" ht="21" customHeight="1">
      <x:c r="A6093" s="24" t="n">
        <x:v>46275.4375</x:v>
      </x:c>
      <x:c r="B6093" s="6" t="n">
        <x:v>0.2658</x:v>
      </x:c>
      <x:c r="C6093" s="6" t="n">
        <x:v>0.1478</x:v>
      </x:c>
      <x:c r="D6093" s="6" t="n">
        <x:f>B6093</x:f>
        <x:v>0.2658</x:v>
      </x:c>
      <x:c r="E6093" s="1" t="n">
        <x:v>1.05</x:v>
      </x:c>
      <x:c r="F6093" s="1" t="str">
        <x:v>https://api.octopus.energy/v1/products/AGILE-24-10-01/electricity-tariffs/E-1R-AGILE-24-10-01-G/standard-unit-rates/</x:v>
      </x:c>
    </x:row>
    <x:row r="6094" ht="21" customHeight="1">
      <x:c r="A6094" s="24" t="n">
        <x:v>46275.458333333336</x:v>
      </x:c>
      <x:c r="B6094" s="6" t="n">
        <x:v>0.2596</x:v>
      </x:c>
      <x:c r="C6094" s="6" t="n">
        <x:v>0.1449</x:v>
      </x:c>
      <x:c r="D6094" s="6" t="n">
        <x:f>B6094</x:f>
        <x:v>0.2596</x:v>
      </x:c>
      <x:c r="E6094" s="1" t="n">
        <x:v>1.05</x:v>
      </x:c>
      <x:c r="F6094" s="1" t="str">
        <x:v>https://api.octopus.energy/v1/products/AGILE-24-10-01/electricity-tariffs/E-1R-AGILE-24-10-01-G/standard-unit-rates/</x:v>
      </x:c>
    </x:row>
    <x:row r="6095" ht="21" customHeight="1">
      <x:c r="A6095" s="24" t="n">
        <x:v>46275.479166666664</x:v>
      </x:c>
      <x:c r="B6095" s="6" t="n">
        <x:v>0.2396</x:v>
      </x:c>
      <x:c r="C6095" s="6" t="n">
        <x:v>0.1358</x:v>
      </x:c>
      <x:c r="D6095" s="6" t="n">
        <x:f>B6095</x:f>
        <x:v>0.2396</x:v>
      </x:c>
      <x:c r="E6095" s="1" t="n">
        <x:v>1.05</x:v>
      </x:c>
      <x:c r="F6095" s="1" t="str">
        <x:v>https://api.octopus.energy/v1/products/AGILE-24-10-01/electricity-tariffs/E-1R-AGILE-24-10-01-G/standard-unit-rates/</x:v>
      </x:c>
    </x:row>
    <x:row r="6096" ht="21" customHeight="1">
      <x:c r="A6096" s="24" t="n">
        <x:v>46275.5</x:v>
      </x:c>
      <x:c r="B6096" s="6" t="n">
        <x:v>0.23989999999999997</x:v>
      </x:c>
      <x:c r="C6096" s="6" t="n">
        <x:v>0.1359</x:v>
      </x:c>
      <x:c r="D6096" s="6" t="n">
        <x:f>B6096</x:f>
        <x:v>0.23989999999999997</x:v>
      </x:c>
      <x:c r="E6096" s="1" t="n">
        <x:v>1.05</x:v>
      </x:c>
      <x:c r="F6096" s="1" t="str">
        <x:v>https://api.octopus.energy/v1/products/AGILE-24-10-01/electricity-tariffs/E-1R-AGILE-24-10-01-G/standard-unit-rates/</x:v>
      </x:c>
    </x:row>
    <x:row r="6097" ht="21" customHeight="1">
      <x:c r="A6097" s="24" t="n">
        <x:v>46275.520833333336</x:v>
      </x:c>
      <x:c r="B6097" s="6" t="n">
        <x:v>0.22649999999999998</x:v>
      </x:c>
      <x:c r="C6097" s="6" t="n">
        <x:v>0.1298</x:v>
      </x:c>
      <x:c r="D6097" s="6" t="n">
        <x:f>B6097</x:f>
        <x:v>0.22649999999999998</x:v>
      </x:c>
      <x:c r="E6097" s="1" t="n">
        <x:v>1.05</x:v>
      </x:c>
      <x:c r="F6097" s="1" t="str">
        <x:v>https://api.octopus.energy/v1/products/AGILE-24-10-01/electricity-tariffs/E-1R-AGILE-24-10-01-G/standard-unit-rates/</x:v>
      </x:c>
    </x:row>
    <x:row r="6098" ht="21" customHeight="1">
      <x:c r="A6098" s="24" t="n">
        <x:v>46275.541666666664</x:v>
      </x:c>
      <x:c r="B6098" s="6" t="n">
        <x:v>0.21899999999999997</x:v>
      </x:c>
      <x:c r="C6098" s="6" t="n">
        <x:v>0.1264</x:v>
      </x:c>
      <x:c r="D6098" s="6" t="n">
        <x:f>B6098</x:f>
        <x:v>0.21899999999999997</x:v>
      </x:c>
      <x:c r="E6098" s="1" t="n">
        <x:v>1.05</x:v>
      </x:c>
      <x:c r="F6098" s="1" t="str">
        <x:v>https://api.octopus.energy/v1/products/AGILE-24-10-01/electricity-tariffs/E-1R-AGILE-24-10-01-G/standard-unit-rates/</x:v>
      </x:c>
    </x:row>
    <x:row r="6099" ht="21" customHeight="1">
      <x:c r="A6099" s="24" t="n">
        <x:v>46275.5625</x:v>
      </x:c>
      <x:c r="B6099" s="6" t="n">
        <x:v>0.2113</x:v>
      </x:c>
      <x:c r="C6099" s="6" t="n">
        <x:v>0.12279999999999999</x:v>
      </x:c>
      <x:c r="D6099" s="6" t="n">
        <x:f>B6099</x:f>
        <x:v>0.2113</x:v>
      </x:c>
      <x:c r="E6099" s="1" t="n">
        <x:v>1.05</x:v>
      </x:c>
      <x:c r="F6099" s="1" t="str">
        <x:v>https://api.octopus.energy/v1/products/AGILE-24-10-01/electricity-tariffs/E-1R-AGILE-24-10-01-G/standard-unit-rates/</x:v>
      </x:c>
    </x:row>
    <x:row r="6100" ht="21" customHeight="1">
      <x:c r="A6100" s="24" t="n">
        <x:v>46275.583333333336</x:v>
      </x:c>
      <x:c r="B6100" s="6" t="n">
        <x:v>0.2396</x:v>
      </x:c>
      <x:c r="C6100" s="6" t="n">
        <x:v>0.1358</x:v>
      </x:c>
      <x:c r="D6100" s="6" t="n">
        <x:f>B6100</x:f>
        <x:v>0.2396</x:v>
      </x:c>
      <x:c r="E6100" s="1" t="n">
        <x:v>1.05</x:v>
      </x:c>
      <x:c r="F6100" s="1" t="str">
        <x:v>https://api.octopus.energy/v1/products/AGILE-24-10-01/electricity-tariffs/E-1R-AGILE-24-10-01-G/standard-unit-rates/</x:v>
      </x:c>
    </x:row>
    <x:row r="6101" ht="21" customHeight="1">
      <x:c r="A6101" s="24" t="n">
        <x:v>46275.604166666664</x:v>
      </x:c>
      <x:c r="B6101" s="6" t="n">
        <x:v>0.2451</x:v>
      </x:c>
      <x:c r="C6101" s="6" t="n">
        <x:v>0.1383</x:v>
      </x:c>
      <x:c r="D6101" s="6" t="n">
        <x:f>B6101</x:f>
        <x:v>0.2451</x:v>
      </x:c>
      <x:c r="E6101" s="1" t="n">
        <x:v>1.05</x:v>
      </x:c>
      <x:c r="F6101" s="1" t="str">
        <x:v>https://api.octopus.energy/v1/products/AGILE-24-10-01/electricity-tariffs/E-1R-AGILE-24-10-01-G/standard-unit-rates/</x:v>
      </x:c>
    </x:row>
    <x:row r="6102" ht="21" customHeight="1">
      <x:c r="A6102" s="24" t="n">
        <x:v>46275.625</x:v>
      </x:c>
      <x:c r="B6102" s="6" t="n">
        <x:v>0.2455</x:v>
      </x:c>
      <x:c r="C6102" s="6" t="n">
        <x:v>0.13849999999999998</x:v>
      </x:c>
      <x:c r="D6102" s="6" t="n">
        <x:f>B6102</x:f>
        <x:v>0.2455</x:v>
      </x:c>
      <x:c r="E6102" s="1" t="n">
        <x:v>1.05</x:v>
      </x:c>
      <x:c r="F6102" s="1" t="str">
        <x:v>https://api.octopus.energy/v1/products/AGILE-24-10-01/electricity-tariffs/E-1R-AGILE-24-10-01-G/standard-unit-rates/</x:v>
      </x:c>
    </x:row>
    <x:row r="6103" ht="21" customHeight="1">
      <x:c r="A6103" s="24" t="n">
        <x:v>46275.645833333336</x:v>
      </x:c>
      <x:c r="B6103" s="6" t="n">
        <x:v>0.2691</x:v>
      </x:c>
      <x:c r="C6103" s="6" t="n">
        <x:v>0.1493</x:v>
      </x:c>
      <x:c r="D6103" s="6" t="n">
        <x:f>B6103</x:f>
        <x:v>0.2691</x:v>
      </x:c>
      <x:c r="E6103" s="1" t="n">
        <x:v>1.05</x:v>
      </x:c>
      <x:c r="F6103" s="1" t="str">
        <x:v>https://api.octopus.energy/v1/products/AGILE-24-10-01/electricity-tariffs/E-1R-AGILE-24-10-01-G/standard-unit-rates/</x:v>
      </x:c>
    </x:row>
    <x:row r="6104" ht="21" customHeight="1">
      <x:c r="A6104" s="24" t="n">
        <x:v>46275.666666666664</x:v>
      </x:c>
      <x:c r="B6104" s="6" t="n">
        <x:v>0.4268</x:v>
      </x:c>
      <x:c r="C6104" s="6" t="n">
        <x:v>0.2254</x:v>
      </x:c>
      <x:c r="D6104" s="6" t="n">
        <x:f>B6104</x:f>
        <x:v>0.4268</x:v>
      </x:c>
      <x:c r="E6104" s="1" t="n">
        <x:v>1.05</x:v>
      </x:c>
      <x:c r="F6104" s="1" t="str">
        <x:v>https://api.octopus.energy/v1/products/AGILE-24-10-01/electricity-tariffs/E-1R-AGILE-24-10-01-G/standard-unit-rates/</x:v>
      </x:c>
    </x:row>
    <x:row r="6105" ht="21" customHeight="1">
      <x:c r="A6105" s="24" t="n">
        <x:v>46275.6875</x:v>
      </x:c>
      <x:c r="B6105" s="6" t="n">
        <x:v>0.4226</x:v>
      </x:c>
      <x:c r="C6105" s="6" t="n">
        <x:v>0.2235</x:v>
      </x:c>
      <x:c r="D6105" s="6" t="n">
        <x:f>B6105</x:f>
        <x:v>0.4226</x:v>
      </x:c>
      <x:c r="E6105" s="1" t="n">
        <x:v>1.05</x:v>
      </x:c>
      <x:c r="F6105" s="1" t="str">
        <x:v>https://api.octopus.energy/v1/products/AGILE-24-10-01/electricity-tariffs/E-1R-AGILE-24-10-01-G/standard-unit-rates/</x:v>
      </x:c>
    </x:row>
    <x:row r="6106" ht="21" customHeight="1">
      <x:c r="A6106" s="24" t="n">
        <x:v>46275.708333333336</x:v>
      </x:c>
      <x:c r="B6106" s="6" t="n">
        <x:v>0.4587</x:v>
      </x:c>
      <x:c r="C6106" s="6" t="n">
        <x:v>0.24</x:v>
      </x:c>
      <x:c r="D6106" s="6" t="n">
        <x:f>B6106</x:f>
        <x:v>0.4587</x:v>
      </x:c>
      <x:c r="E6106" s="1" t="n">
        <x:v>1.05</x:v>
      </x:c>
      <x:c r="F6106" s="1" t="str">
        <x:v>https://api.octopus.energy/v1/products/AGILE-24-10-01/electricity-tariffs/E-1R-AGILE-24-10-01-G/standard-unit-rates/</x:v>
      </x:c>
    </x:row>
    <x:row r="6107" ht="21" customHeight="1">
      <x:c r="A6107" s="24" t="n">
        <x:v>46275.729166666664</x:v>
      </x:c>
      <x:c r="B6107" s="6" t="n">
        <x:v>0.47090000000000004</x:v>
      </x:c>
      <x:c r="C6107" s="6" t="n">
        <x:v>0.24559999999999998</x:v>
      </x:c>
      <x:c r="D6107" s="6" t="n">
        <x:f>B6107</x:f>
        <x:v>0.47090000000000004</x:v>
      </x:c>
      <x:c r="E6107" s="1" t="n">
        <x:v>1.05</x:v>
      </x:c>
      <x:c r="F6107" s="1" t="str">
        <x:v>https://api.octopus.energy/v1/products/AGILE-24-10-01/electricity-tariffs/E-1R-AGILE-24-10-01-G/standard-unit-rates/</x:v>
      </x:c>
    </x:row>
    <x:row r="6108" ht="21" customHeight="1">
      <x:c r="A6108" s="24" t="n">
        <x:v>46275.75</x:v>
      </x:c>
      <x:c r="B6108" s="6" t="n">
        <x:v>0.4697</x:v>
      </x:c>
      <x:c r="C6108" s="6" t="n">
        <x:v>0.245</x:v>
      </x:c>
      <x:c r="D6108" s="6" t="n">
        <x:f>B6108</x:f>
        <x:v>0.4697</x:v>
      </x:c>
      <x:c r="E6108" s="1" t="n">
        <x:v>1.05</x:v>
      </x:c>
      <x:c r="F6108" s="1" t="str">
        <x:v>https://api.octopus.energy/v1/products/AGILE-24-10-01/electricity-tariffs/E-1R-AGILE-24-10-01-G/standard-unit-rates/</x:v>
      </x:c>
    </x:row>
    <x:row r="6109" ht="21" customHeight="1">
      <x:c r="A6109" s="24" t="n">
        <x:v>46275.770833333336</x:v>
      </x:c>
      <x:c r="B6109" s="6" t="n">
        <x:v>0.47090000000000004</x:v>
      </x:c>
      <x:c r="C6109" s="6" t="n">
        <x:v>0.24559999999999998</x:v>
      </x:c>
      <x:c r="D6109" s="6" t="n">
        <x:f>B6109</x:f>
        <x:v>0.47090000000000004</x:v>
      </x:c>
      <x:c r="E6109" s="1" t="n">
        <x:v>1.05</x:v>
      </x:c>
      <x:c r="F6109" s="1" t="str">
        <x:v>https://api.octopus.energy/v1/products/AGILE-24-10-01/electricity-tariffs/E-1R-AGILE-24-10-01-G/standard-unit-rates/</x:v>
      </x:c>
    </x:row>
    <x:row r="6110" ht="21" customHeight="1">
      <x:c r="A6110" s="24" t="n">
        <x:v>46275.791666666664</x:v>
      </x:c>
      <x:c r="B6110" s="6" t="n">
        <x:v>0.358</x:v>
      </x:c>
      <x:c r="C6110" s="6" t="n">
        <x:v>0.18989999999999999</x:v>
      </x:c>
      <x:c r="D6110" s="6" t="n">
        <x:f>B6110</x:f>
        <x:v>0.358</x:v>
      </x:c>
      <x:c r="E6110" s="1" t="n">
        <x:v>1.05</x:v>
      </x:c>
      <x:c r="F6110" s="1" t="str">
        <x:v>https://api.octopus.energy/v1/products/AGILE-24-10-01/electricity-tariffs/E-1R-AGILE-24-10-01-G/standard-unit-rates/</x:v>
      </x:c>
    </x:row>
    <x:row r="6111" ht="21" customHeight="1">
      <x:c r="A6111" s="24" t="n">
        <x:v>46275.8125</x:v>
      </x:c>
      <x:c r="B6111" s="6" t="n">
        <x:v>0.37439999999999996</x:v>
      </x:c>
      <x:c r="C6111" s="6" t="n">
        <x:v>0.1974</x:v>
      </x:c>
      <x:c r="D6111" s="6" t="n">
        <x:f>B6111</x:f>
        <x:v>0.37439999999999996</x:v>
      </x:c>
      <x:c r="E6111" s="1" t="n">
        <x:v>1.05</x:v>
      </x:c>
      <x:c r="F6111" s="1" t="str">
        <x:v>https://api.octopus.energy/v1/products/AGILE-24-10-01/electricity-tariffs/E-1R-AGILE-24-10-01-G/standard-unit-rates/</x:v>
      </x:c>
    </x:row>
    <x:row r="6112" ht="21" customHeight="1">
      <x:c r="A6112" s="24" t="n">
        <x:v>46275.833333333336</x:v>
      </x:c>
      <x:c r="B6112" s="6" t="n">
        <x:v>0.386</x:v>
      </x:c>
      <x:c r="C6112" s="6" t="n">
        <x:v>0.2027</x:v>
      </x:c>
      <x:c r="D6112" s="6" t="n">
        <x:f>B6112</x:f>
        <x:v>0.386</x:v>
      </x:c>
      <x:c r="E6112" s="1" t="n">
        <x:v>1.05</x:v>
      </x:c>
      <x:c r="F6112" s="1" t="str">
        <x:v>https://api.octopus.energy/v1/products/AGILE-24-10-01/electricity-tariffs/E-1R-AGILE-24-10-01-G/standard-unit-rates/</x:v>
      </x:c>
    </x:row>
    <x:row r="6113" ht="21" customHeight="1">
      <x:c r="A6113" s="24" t="n">
        <x:v>46275.854166666664</x:v>
      </x:c>
      <x:c r="B6113" s="6" t="n">
        <x:v>0.3789</x:v>
      </x:c>
      <x:c r="C6113" s="6" t="n">
        <x:v>0.19949999999999998</x:v>
      </x:c>
      <x:c r="D6113" s="6" t="n">
        <x:f>B6113</x:f>
        <x:v>0.3789</x:v>
      </x:c>
      <x:c r="E6113" s="1" t="n">
        <x:v>1.05</x:v>
      </x:c>
      <x:c r="F6113" s="1" t="str">
        <x:v>https://api.octopus.energy/v1/products/AGILE-24-10-01/electricity-tariffs/E-1R-AGILE-24-10-01-G/standard-unit-rates/</x:v>
      </x:c>
    </x:row>
    <x:row r="6114" ht="21" customHeight="1">
      <x:c r="A6114" s="24" t="n">
        <x:v>46275.875</x:v>
      </x:c>
      <x:c r="B6114" s="6" t="n">
        <x:v>0.35969999999999996</x:v>
      </x:c>
      <x:c r="C6114" s="6" t="n">
        <x:v>0.1907</x:v>
      </x:c>
      <x:c r="D6114" s="6" t="n">
        <x:f>B6114</x:f>
        <x:v>0.35969999999999996</x:v>
      </x:c>
      <x:c r="E6114" s="1" t="n">
        <x:v>1.05</x:v>
      </x:c>
      <x:c r="F6114" s="1" t="str">
        <x:v>https://api.octopus.energy/v1/products/AGILE-24-10-01/electricity-tariffs/E-1R-AGILE-24-10-01-G/standard-unit-rates/</x:v>
      </x:c>
    </x:row>
    <x:row r="6115" ht="21" customHeight="1">
      <x:c r="A6115" s="24" t="n">
        <x:v>46275.895833333336</x:v>
      </x:c>
      <x:c r="B6115" s="6" t="n">
        <x:v>0.3428</x:v>
      </x:c>
      <x:c r="C6115" s="6" t="n">
        <x:v>0.183</x:v>
      </x:c>
      <x:c r="D6115" s="6" t="n">
        <x:f>B6115</x:f>
        <x:v>0.3428</x:v>
      </x:c>
      <x:c r="E6115" s="1" t="n">
        <x:v>1.05</x:v>
      </x:c>
      <x:c r="F6115" s="1" t="str">
        <x:v>https://api.octopus.energy/v1/products/AGILE-24-10-01/electricity-tariffs/E-1R-AGILE-24-10-01-G/standard-unit-rates/</x:v>
      </x:c>
    </x:row>
    <x:row r="6116" ht="21" customHeight="1">
      <x:c r="A6116" s="24" t="n">
        <x:v>46275.916666666664</x:v>
      </x:c>
      <x:c r="B6116" s="6" t="n">
        <x:v>0.3104</x:v>
      </x:c>
      <x:c r="C6116" s="6" t="n">
        <x:v>0.16820000000000002</x:v>
      </x:c>
      <x:c r="D6116" s="6" t="n">
        <x:f>B6116</x:f>
        <x:v>0.3104</x:v>
      </x:c>
      <x:c r="E6116" s="1" t="n">
        <x:v>1.05</x:v>
      </x:c>
      <x:c r="F6116" s="1" t="str">
        <x:v>https://api.octopus.energy/v1/products/AGILE-24-10-01/electricity-tariffs/E-1R-AGILE-24-10-01-G/standard-unit-rates/</x:v>
      </x:c>
    </x:row>
    <x:row r="6117" ht="21" customHeight="1">
      <x:c r="A6117" s="24" t="n">
        <x:v>46275.9375</x:v>
      </x:c>
      <x:c r="B6117" s="6" t="n">
        <x:v>0.2852</x:v>
      </x:c>
      <x:c r="C6117" s="6" t="n">
        <x:v>0.1566</x:v>
      </x:c>
      <x:c r="D6117" s="6" t="n">
        <x:f>B6117</x:f>
        <x:v>0.2852</x:v>
      </x:c>
      <x:c r="E6117" s="1" t="n">
        <x:v>1.05</x:v>
      </x:c>
      <x:c r="F6117" s="1" t="str">
        <x:v>https://api.octopus.energy/v1/products/AGILE-24-10-01/electricity-tariffs/E-1R-AGILE-24-10-01-G/standard-unit-rates/</x:v>
      </x:c>
    </x:row>
    <x:row r="6118" ht="21" customHeight="1">
      <x:c r="A6118" s="24" t="n">
        <x:v>46276</x:v>
      </x:c>
      <x:c r="B6118" s="6" t="n">
        <x:v>0.2933</x:v>
      </x:c>
      <x:c r="C6118" s="6" t="n">
        <x:v>0.1603</x:v>
      </x:c>
      <x:c r="D6118" s="6" t="n">
        <x:f>B6118</x:f>
        <x:v>0.2933</x:v>
      </x:c>
      <x:c r="E6118" s="1" t="n">
        <x:v>1.05</x:v>
      </x:c>
      <x:c r="F6118" s="1" t="str">
        <x:v>https://api.octopus.energy/v1/products/AGILE-24-10-01/electricity-tariffs/E-1R-AGILE-24-10-01-G/standard-unit-rates/</x:v>
      </x:c>
    </x:row>
    <x:row r="6119" ht="21" customHeight="1">
      <x:c r="A6119" s="24" t="n">
        <x:v>46275.979166666664</x:v>
      </x:c>
      <x:c r="B6119" s="6" t="n">
        <x:v>0.2915</x:v>
      </x:c>
      <x:c r="C6119" s="6" t="n">
        <x:v>0.1595</x:v>
      </x:c>
      <x:c r="D6119" s="6" t="n">
        <x:f>B6119</x:f>
        <x:v>0.2915</x:v>
      </x:c>
      <x:c r="E6119" s="1" t="n">
        <x:v>1.05</x:v>
      </x:c>
      <x:c r="F6119" s="1" t="str">
        <x:v>https://api.octopus.energy/v1/products/AGILE-24-10-01/electricity-tariffs/E-1R-AGILE-24-10-01-G/standard-unit-rates/</x:v>
      </x:c>
    </x:row>
    <x:row r="6120" ht="21" customHeight="1">
      <x:c r="A6120" s="24" t="n">
        <x:v>46276</x:v>
      </x:c>
      <x:c r="B6120" s="6" t="n">
        <x:v>0.2837</x:v>
      </x:c>
      <x:c r="C6120" s="6" t="n">
        <x:v>0.156</x:v>
      </x:c>
      <x:c r="D6120" s="6" t="n">
        <x:f>B6120</x:f>
        <x:v>0.2837</x:v>
      </x:c>
      <x:c r="E6120" s="1" t="n">
        <x:v>1.05</x:v>
      </x:c>
      <x:c r="F6120" s="1" t="str">
        <x:v>https://api.octopus.energy/v1/products/AGILE-24-10-01/electricity-tariffs/E-1R-AGILE-24-10-01-G/standard-unit-rates/</x:v>
      </x:c>
    </x:row>
    <x:row r="6121" ht="21" customHeight="1">
      <x:c r="A6121" s="24" t="n">
        <x:v>46276.020833333336</x:v>
      </x:c>
      <x:c r="B6121" s="6" t="n">
        <x:v>0.30010000000000003</x:v>
      </x:c>
      <x:c r="C6121" s="6" t="n">
        <x:v>0.1634</x:v>
      </x:c>
      <x:c r="D6121" s="6" t="n">
        <x:f>B6121</x:f>
        <x:v>0.30010000000000003</x:v>
      </x:c>
      <x:c r="E6121" s="1" t="n">
        <x:v>1.05</x:v>
      </x:c>
      <x:c r="F6121" s="1" t="str">
        <x:v>https://api.octopus.energy/v1/products/AGILE-24-10-01/electricity-tariffs/E-1R-AGILE-24-10-01-G/standard-unit-rates/</x:v>
      </x:c>
    </x:row>
    <x:row r="6122" ht="21" customHeight="1">
      <x:c r="A6122" s="24" t="n">
        <x:v>46276.041666666664</x:v>
      </x:c>
      <x:c r="B6122" s="6" t="n">
        <x:v>0.2816</x:v>
      </x:c>
      <x:c r="C6122" s="6" t="n">
        <x:v>0.155</x:v>
      </x:c>
      <x:c r="D6122" s="6" t="n">
        <x:f>B6122</x:f>
        <x:v>0.2816</x:v>
      </x:c>
      <x:c r="E6122" s="1" t="n">
        <x:v>1.05</x:v>
      </x:c>
      <x:c r="F6122" s="1" t="str">
        <x:v>https://api.octopus.energy/v1/products/AGILE-24-10-01/electricity-tariffs/E-1R-AGILE-24-10-01-G/standard-unit-rates/</x:v>
      </x:c>
    </x:row>
    <x:row r="6123" ht="21" customHeight="1">
      <x:c r="A6123" s="24" t="n">
        <x:v>46276.0625</x:v>
      </x:c>
      <x:c r="B6123" s="6" t="n">
        <x:v>0.2816</x:v>
      </x:c>
      <x:c r="C6123" s="6" t="n">
        <x:v>0.155</x:v>
      </x:c>
      <x:c r="D6123" s="6" t="n">
        <x:f>B6123</x:f>
        <x:v>0.2816</x:v>
      </x:c>
      <x:c r="E6123" s="1" t="n">
        <x:v>1.05</x:v>
      </x:c>
      <x:c r="F6123" s="1" t="str">
        <x:v>https://api.octopus.energy/v1/products/AGILE-24-10-01/electricity-tariffs/E-1R-AGILE-24-10-01-G/standard-unit-rates/</x:v>
      </x:c>
    </x:row>
    <x:row r="6124" ht="21" customHeight="1">
      <x:c r="A6124" s="24" t="n">
        <x:v>46276.083333333336</x:v>
      </x:c>
      <x:c r="B6124" s="6" t="n">
        <x:v>0.2676</x:v>
      </x:c>
      <x:c r="C6124" s="6" t="n">
        <x:v>0.14859999999999998</x:v>
      </x:c>
      <x:c r="D6124" s="6" t="n">
        <x:f>B6124</x:f>
        <x:v>0.2676</x:v>
      </x:c>
      <x:c r="E6124" s="1" t="n">
        <x:v>1.05</x:v>
      </x:c>
      <x:c r="F6124" s="1" t="str">
        <x:v>https://api.octopus.energy/v1/products/AGILE-24-10-01/electricity-tariffs/E-1R-AGILE-24-10-01-G/standard-unit-rates/</x:v>
      </x:c>
    </x:row>
    <x:row r="6125" ht="21" customHeight="1">
      <x:c r="A6125" s="24" t="n">
        <x:v>46276.104166666664</x:v>
      </x:c>
      <x:c r="B6125" s="6" t="n">
        <x:v>0.2677</x:v>
      </x:c>
      <x:c r="C6125" s="6" t="n">
        <x:v>0.1487</x:v>
      </x:c>
      <x:c r="D6125" s="6" t="n">
        <x:f>B6125</x:f>
        <x:v>0.2677</x:v>
      </x:c>
      <x:c r="E6125" s="1" t="n">
        <x:v>1.05</x:v>
      </x:c>
      <x:c r="F6125" s="1" t="str">
        <x:v>https://api.octopus.energy/v1/products/AGILE-24-10-01/electricity-tariffs/E-1R-AGILE-24-10-01-G/standard-unit-rates/</x:v>
      </x:c>
    </x:row>
    <x:row r="6126" ht="21" customHeight="1">
      <x:c r="A6126" s="24" t="n">
        <x:v>46276.125</x:v>
      </x:c>
      <x:c r="B6126" s="6" t="n">
        <x:v>0.2804</x:v>
      </x:c>
      <x:c r="C6126" s="6" t="n">
        <x:v>0.15439999999999998</x:v>
      </x:c>
      <x:c r="D6126" s="6" t="n">
        <x:f>B6126</x:f>
        <x:v>0.2804</x:v>
      </x:c>
      <x:c r="E6126" s="1" t="n">
        <x:v>1.05</x:v>
      </x:c>
      <x:c r="F6126" s="1" t="str">
        <x:v>https://api.octopus.energy/v1/products/AGILE-24-10-01/electricity-tariffs/E-1R-AGILE-24-10-01-G/standard-unit-rates/</x:v>
      </x:c>
    </x:row>
    <x:row r="6127" ht="21" customHeight="1">
      <x:c r="A6127" s="24" t="n">
        <x:v>46276.145833333336</x:v>
      </x:c>
      <x:c r="B6127" s="6" t="n">
        <x:v>0.2816</x:v>
      </x:c>
      <x:c r="C6127" s="6" t="n">
        <x:v>0.155</x:v>
      </x:c>
      <x:c r="D6127" s="6" t="n">
        <x:f>B6127</x:f>
        <x:v>0.2816</x:v>
      </x:c>
      <x:c r="E6127" s="1" t="n">
        <x:v>1.05</x:v>
      </x:c>
      <x:c r="F6127" s="1" t="str">
        <x:v>https://api.octopus.energy/v1/products/AGILE-24-10-01/electricity-tariffs/E-1R-AGILE-24-10-01-G/standard-unit-rates/</x:v>
      </x:c>
    </x:row>
    <x:row r="6128" ht="21" customHeight="1">
      <x:c r="A6128" s="24" t="n">
        <x:v>46276.166666666664</x:v>
      </x:c>
      <x:c r="B6128" s="6" t="n">
        <x:v>0.27699999999999997</x:v>
      </x:c>
      <x:c r="C6128" s="6" t="n">
        <x:v>0.15289999999999998</x:v>
      </x:c>
      <x:c r="D6128" s="6" t="n">
        <x:f>B6128</x:f>
        <x:v>0.27699999999999997</x:v>
      </x:c>
      <x:c r="E6128" s="1" t="n">
        <x:v>1.05</x:v>
      </x:c>
      <x:c r="F6128" s="1" t="str">
        <x:v>https://api.octopus.energy/v1/products/AGILE-24-10-01/electricity-tariffs/E-1R-AGILE-24-10-01-G/standard-unit-rates/</x:v>
      </x:c>
    </x:row>
    <x:row r="6129" ht="21" customHeight="1">
      <x:c r="A6129" s="24" t="n">
        <x:v>46276.1875</x:v>
      </x:c>
      <x:c r="B6129" s="6" t="n">
        <x:v>0.2763</x:v>
      </x:c>
      <x:c r="C6129" s="6" t="n">
        <x:v>0.15259999999999999</x:v>
      </x:c>
      <x:c r="D6129" s="6" t="n">
        <x:f>B6129</x:f>
        <x:v>0.2763</x:v>
      </x:c>
      <x:c r="E6129" s="1" t="n">
        <x:v>1.05</x:v>
      </x:c>
      <x:c r="F6129" s="1" t="str">
        <x:v>https://api.octopus.energy/v1/products/AGILE-24-10-01/electricity-tariffs/E-1R-AGILE-24-10-01-G/standard-unit-rates/</x:v>
      </x:c>
    </x:row>
    <x:row r="6130" ht="21" customHeight="1">
      <x:c r="A6130" s="24" t="n">
        <x:v>46276.208333333336</x:v>
      </x:c>
      <x:c r="B6130" s="6" t="n">
        <x:v>0.32049999999999995</x:v>
      </x:c>
      <x:c r="C6130" s="6" t="n">
        <x:v>0.1728</x:v>
      </x:c>
      <x:c r="D6130" s="6" t="n">
        <x:f>B6130</x:f>
        <x:v>0.32049999999999995</x:v>
      </x:c>
      <x:c r="E6130" s="1" t="n">
        <x:v>1.05</x:v>
      </x:c>
      <x:c r="F6130" s="1" t="str">
        <x:v>https://api.octopus.energy/v1/products/AGILE-24-10-01/electricity-tariffs/E-1R-AGILE-24-10-01-G/standard-unit-rates/</x:v>
      </x:c>
    </x:row>
    <x:row r="6131" ht="21" customHeight="1">
      <x:c r="A6131" s="24" t="n">
        <x:v>46276.229166666664</x:v>
      </x:c>
      <x:c r="B6131" s="6" t="n">
        <x:v>0.3267</x:v>
      </x:c>
      <x:c r="C6131" s="6" t="n">
        <x:v>0.17559999999999998</x:v>
      </x:c>
      <x:c r="D6131" s="6" t="n">
        <x:f>B6131</x:f>
        <x:v>0.3267</x:v>
      </x:c>
      <x:c r="E6131" s="1" t="n">
        <x:v>1.05</x:v>
      </x:c>
      <x:c r="F6131" s="1" t="str">
        <x:v>https://api.octopus.energy/v1/products/AGILE-24-10-01/electricity-tariffs/E-1R-AGILE-24-10-01-G/standard-unit-rates/</x:v>
      </x:c>
    </x:row>
    <x:row r="6132" ht="21" customHeight="1">
      <x:c r="A6132" s="24" t="n">
        <x:v>46276.25</x:v>
      </x:c>
      <x:c r="B6132" s="6" t="n">
        <x:v>0.3184</x:v>
      </x:c>
      <x:c r="C6132" s="6" t="n">
        <x:v>0.1718</x:v>
      </x:c>
      <x:c r="D6132" s="6" t="n">
        <x:f>B6132</x:f>
        <x:v>0.3184</x:v>
      </x:c>
      <x:c r="E6132" s="1" t="n">
        <x:v>1.05</x:v>
      </x:c>
      <x:c r="F6132" s="1" t="str">
        <x:v>https://api.octopus.energy/v1/products/AGILE-24-10-01/electricity-tariffs/E-1R-AGILE-24-10-01-G/standard-unit-rates/</x:v>
      </x:c>
    </x:row>
    <x:row r="6133" ht="21" customHeight="1">
      <x:c r="A6133" s="24" t="n">
        <x:v>46276.270833333336</x:v>
      </x:c>
      <x:c r="B6133" s="6" t="n">
        <x:v>0.35090000000000005</x:v>
      </x:c>
      <x:c r="C6133" s="6" t="n">
        <x:v>0.1867</x:v>
      </x:c>
      <x:c r="D6133" s="6" t="n">
        <x:f>B6133</x:f>
        <x:v>0.35090000000000005</x:v>
      </x:c>
      <x:c r="E6133" s="1" t="n">
        <x:v>1.05</x:v>
      </x:c>
      <x:c r="F6133" s="1" t="str">
        <x:v>https://api.octopus.energy/v1/products/AGILE-24-10-01/electricity-tariffs/E-1R-AGILE-24-10-01-G/standard-unit-rates/</x:v>
      </x:c>
    </x:row>
    <x:row r="6134" ht="21" customHeight="1">
      <x:c r="A6134" s="24" t="n">
        <x:v>46276.291666666664</x:v>
      </x:c>
      <x:c r="B6134" s="6" t="n">
        <x:v>0.33659999999999995</x:v>
      </x:c>
      <x:c r="C6134" s="6" t="n">
        <x:v>0.1802</x:v>
      </x:c>
      <x:c r="D6134" s="6" t="n">
        <x:f>B6134</x:f>
        <x:v>0.33659999999999995</x:v>
      </x:c>
      <x:c r="E6134" s="1" t="n">
        <x:v>1.05</x:v>
      </x:c>
      <x:c r="F6134" s="1" t="str">
        <x:v>https://api.octopus.energy/v1/products/AGILE-24-10-01/electricity-tariffs/E-1R-AGILE-24-10-01-G/standard-unit-rates/</x:v>
      </x:c>
    </x:row>
    <x:row r="6135" ht="21" customHeight="1">
      <x:c r="A6135" s="24" t="n">
        <x:v>46276.3125</x:v>
      </x:c>
      <x:c r="B6135" s="6" t="n">
        <x:v>0.35960000000000003</x:v>
      </x:c>
      <x:c r="C6135" s="6" t="n">
        <x:v>0.1907</x:v>
      </x:c>
      <x:c r="D6135" s="6" t="n">
        <x:f>B6135</x:f>
        <x:v>0.35960000000000003</x:v>
      </x:c>
      <x:c r="E6135" s="1" t="n">
        <x:v>1.05</x:v>
      </x:c>
      <x:c r="F6135" s="1" t="str">
        <x:v>https://api.octopus.energy/v1/products/AGILE-24-10-01/electricity-tariffs/E-1R-AGILE-24-10-01-G/standard-unit-rates/</x:v>
      </x:c>
    </x:row>
    <x:row r="6136" ht="21" customHeight="1">
      <x:c r="A6136" s="24" t="n">
        <x:v>46276.333333333336</x:v>
      </x:c>
      <x:c r="B6136" s="6" t="n">
        <x:v>0.3361</x:v>
      </x:c>
      <x:c r="C6136" s="6" t="n">
        <x:v>0.17989999999999998</x:v>
      </x:c>
      <x:c r="D6136" s="6" t="n">
        <x:f>B6136</x:f>
        <x:v>0.3361</x:v>
      </x:c>
      <x:c r="E6136" s="1" t="n">
        <x:v>1.05</x:v>
      </x:c>
      <x:c r="F6136" s="1" t="str">
        <x:v>https://api.octopus.energy/v1/products/AGILE-24-10-01/electricity-tariffs/E-1R-AGILE-24-10-01-G/standard-unit-rates/</x:v>
      </x:c>
    </x:row>
    <x:row r="6137" ht="21" customHeight="1">
      <x:c r="A6137" s="24" t="n">
        <x:v>46276.354166666664</x:v>
      </x:c>
      <x:c r="B6137" s="6" t="n">
        <x:v>0.32909999999999995</x:v>
      </x:c>
      <x:c r="C6137" s="6" t="n">
        <x:v>0.17670000000000002</x:v>
      </x:c>
      <x:c r="D6137" s="6" t="n">
        <x:f>B6137</x:f>
        <x:v>0.32909999999999995</x:v>
      </x:c>
      <x:c r="E6137" s="1" t="n">
        <x:v>1.05</x:v>
      </x:c>
      <x:c r="F6137" s="1" t="str">
        <x:v>https://api.octopus.energy/v1/products/AGILE-24-10-01/electricity-tariffs/E-1R-AGILE-24-10-01-G/standard-unit-rates/</x:v>
      </x:c>
    </x:row>
    <x:row r="6138" ht="21" customHeight="1">
      <x:c r="A6138" s="24" t="n">
        <x:v>46276.375</x:v>
      </x:c>
      <x:c r="B6138" s="6" t="n">
        <x:v>0.2984</x:v>
      </x:c>
      <x:c r="C6138" s="6" t="n">
        <x:v>0.16269999999999998</x:v>
      </x:c>
      <x:c r="D6138" s="6" t="n">
        <x:f>B6138</x:f>
        <x:v>0.2984</x:v>
      </x:c>
      <x:c r="E6138" s="1" t="n">
        <x:v>1.05</x:v>
      </x:c>
      <x:c r="F6138" s="1" t="str">
        <x:v>https://api.octopus.energy/v1/products/AGILE-24-10-01/electricity-tariffs/E-1R-AGILE-24-10-01-G/standard-unit-rates/</x:v>
      </x:c>
    </x:row>
    <x:row r="6139" ht="21" customHeight="1">
      <x:c r="A6139" s="24" t="n">
        <x:v>46276.395833333336</x:v>
      </x:c>
      <x:c r="B6139" s="6" t="n">
        <x:v>0.2845</x:v>
      </x:c>
      <x:c r="C6139" s="6" t="n">
        <x:v>0.1563</x:v>
      </x:c>
      <x:c r="D6139" s="6" t="n">
        <x:f>B6139</x:f>
        <x:v>0.2845</x:v>
      </x:c>
      <x:c r="E6139" s="1" t="n">
        <x:v>1.05</x:v>
      </x:c>
      <x:c r="F6139" s="1" t="str">
        <x:v>https://api.octopus.energy/v1/products/AGILE-24-10-01/electricity-tariffs/E-1R-AGILE-24-10-01-G/standard-unit-rates/</x:v>
      </x:c>
    </x:row>
    <x:row r="6140" ht="21" customHeight="1">
      <x:c r="A6140" s="24" t="n">
        <x:v>46276.416666666664</x:v>
      </x:c>
      <x:c r="B6140" s="6" t="n">
        <x:v>0.29</x:v>
      </x:c>
      <x:c r="C6140" s="6" t="n">
        <x:v>0.1588</x:v>
      </x:c>
      <x:c r="D6140" s="6" t="n">
        <x:f>B6140</x:f>
        <x:v>0.29</x:v>
      </x:c>
      <x:c r="E6140" s="1" t="n">
        <x:v>1.05</x:v>
      </x:c>
      <x:c r="F6140" s="1" t="str">
        <x:v>https://api.octopus.energy/v1/products/AGILE-24-10-01/electricity-tariffs/E-1R-AGILE-24-10-01-G/standard-unit-rates/</x:v>
      </x:c>
    </x:row>
    <x:row r="6141" ht="21" customHeight="1">
      <x:c r="A6141" s="24" t="n">
        <x:v>46276.4375</x:v>
      </x:c>
      <x:c r="B6141" s="6" t="n">
        <x:v>0.2837</x:v>
      </x:c>
      <x:c r="C6141" s="6" t="n">
        <x:v>0.156</x:v>
      </x:c>
      <x:c r="D6141" s="6" t="n">
        <x:f>B6141</x:f>
        <x:v>0.2837</x:v>
      </x:c>
      <x:c r="E6141" s="1" t="n">
        <x:v>1.05</x:v>
      </x:c>
      <x:c r="F6141" s="1" t="str">
        <x:v>https://api.octopus.energy/v1/products/AGILE-24-10-01/electricity-tariffs/E-1R-AGILE-24-10-01-G/standard-unit-rates/</x:v>
      </x:c>
    </x:row>
    <x:row r="6142" ht="21" customHeight="1">
      <x:c r="A6142" s="24" t="n">
        <x:v>46276.458333333336</x:v>
      </x:c>
      <x:c r="B6142" s="6" t="n">
        <x:v>0.2837</x:v>
      </x:c>
      <x:c r="C6142" s="6" t="n">
        <x:v>0.156</x:v>
      </x:c>
      <x:c r="D6142" s="6" t="n">
        <x:f>B6142</x:f>
        <x:v>0.2837</x:v>
      </x:c>
      <x:c r="E6142" s="1" t="n">
        <x:v>1.05</x:v>
      </x:c>
      <x:c r="F6142" s="1" t="str">
        <x:v>https://api.octopus.energy/v1/products/AGILE-24-10-01/electricity-tariffs/E-1R-AGILE-24-10-01-G/standard-unit-rates/</x:v>
      </x:c>
    </x:row>
    <x:row r="6143" ht="21" customHeight="1">
      <x:c r="A6143" s="24" t="n">
        <x:v>46276.479166666664</x:v>
      </x:c>
      <x:c r="B6143" s="6" t="n">
        <x:v>0.2824</x:v>
      </x:c>
      <x:c r="C6143" s="6" t="n">
        <x:v>0.15539999999999998</x:v>
      </x:c>
      <x:c r="D6143" s="6" t="n">
        <x:f>B6143</x:f>
        <x:v>0.2824</x:v>
      </x:c>
      <x:c r="E6143" s="1" t="n">
        <x:v>1.05</x:v>
      </x:c>
      <x:c r="F6143" s="1" t="str">
        <x:v>https://api.octopus.energy/v1/products/AGILE-24-10-01/electricity-tariffs/E-1R-AGILE-24-10-01-G/standard-unit-rates/</x:v>
      </x:c>
    </x:row>
    <x:row r="6144" ht="21" customHeight="1">
      <x:c r="A6144" s="24" t="n">
        <x:v>46276.5</x:v>
      </x:c>
      <x:c r="B6144" s="6" t="n">
        <x:v>0.2894</x:v>
      </x:c>
      <x:c r="C6144" s="6" t="n">
        <x:v>0.1586</x:v>
      </x:c>
      <x:c r="D6144" s="6" t="n">
        <x:f>B6144</x:f>
        <x:v>0.2894</x:v>
      </x:c>
      <x:c r="E6144" s="1" t="n">
        <x:v>1.05</x:v>
      </x:c>
      <x:c r="F6144" s="1" t="str">
        <x:v>https://api.octopus.energy/v1/products/AGILE-24-10-01/electricity-tariffs/E-1R-AGILE-24-10-01-G/standard-unit-rates/</x:v>
      </x:c>
    </x:row>
    <x:row r="6145" ht="21" customHeight="1">
      <x:c r="A6145" s="24" t="n">
        <x:v>46276.520833333336</x:v>
      </x:c>
      <x:c r="B6145" s="6" t="n">
        <x:v>0.2903</x:v>
      </x:c>
      <x:c r="C6145" s="6" t="n">
        <x:v>0.159</x:v>
      </x:c>
      <x:c r="D6145" s="6" t="n">
        <x:f>B6145</x:f>
        <x:v>0.2903</x:v>
      </x:c>
      <x:c r="E6145" s="1" t="n">
        <x:v>1.05</x:v>
      </x:c>
      <x:c r="F6145" s="1" t="str">
        <x:v>https://api.octopus.energy/v1/products/AGILE-24-10-01/electricity-tariffs/E-1R-AGILE-24-10-01-G/standard-unit-rates/</x:v>
      </x:c>
    </x:row>
    <x:row r="6146" ht="21" customHeight="1">
      <x:c r="A6146" s="24" t="n">
        <x:v>46276.541666666664</x:v>
      </x:c>
      <x:c r="B6146" s="6" t="n">
        <x:v>0.29510000000000003</x:v>
      </x:c>
      <x:c r="C6146" s="6" t="n">
        <x:v>0.1612</x:v>
      </x:c>
      <x:c r="D6146" s="6" t="n">
        <x:f>B6146</x:f>
        <x:v>0.29510000000000003</x:v>
      </x:c>
      <x:c r="E6146" s="1" t="n">
        <x:v>1.05</x:v>
      </x:c>
      <x:c r="F6146" s="1" t="str">
        <x:v>https://api.octopus.energy/v1/products/AGILE-24-10-01/electricity-tariffs/E-1R-AGILE-24-10-01-G/standard-unit-rates/</x:v>
      </x:c>
    </x:row>
    <x:row r="6147" ht="21" customHeight="1">
      <x:c r="A6147" s="24" t="n">
        <x:v>46276.5625</x:v>
      </x:c>
      <x:c r="B6147" s="6" t="n">
        <x:v>0.2909</x:v>
      </x:c>
      <x:c r="C6147" s="6" t="n">
        <x:v>0.1592</x:v>
      </x:c>
      <x:c r="D6147" s="6" t="n">
        <x:f>B6147</x:f>
        <x:v>0.2909</x:v>
      </x:c>
      <x:c r="E6147" s="1" t="n">
        <x:v>1.05</x:v>
      </x:c>
      <x:c r="F6147" s="1" t="str">
        <x:v>https://api.octopus.energy/v1/products/AGILE-24-10-01/electricity-tariffs/E-1R-AGILE-24-10-01-G/standard-unit-rates/</x:v>
      </x:c>
    </x:row>
    <x:row r="6148" ht="21" customHeight="1">
      <x:c r="A6148" s="24" t="n">
        <x:v>46276.583333333336</x:v>
      </x:c>
      <x:c r="B6148" s="6" t="n">
        <x:v>0.29510000000000003</x:v>
      </x:c>
      <x:c r="C6148" s="6" t="n">
        <x:v>0.1612</x:v>
      </x:c>
      <x:c r="D6148" s="6" t="n">
        <x:f>B6148</x:f>
        <x:v>0.29510000000000003</x:v>
      </x:c>
      <x:c r="E6148" s="1" t="n">
        <x:v>1.05</x:v>
      </x:c>
      <x:c r="F6148" s="1" t="str">
        <x:v>https://api.octopus.energy/v1/products/AGILE-24-10-01/electricity-tariffs/E-1R-AGILE-24-10-01-G/standard-unit-rates/</x:v>
      </x:c>
    </x:row>
    <x:row r="6149" ht="21" customHeight="1">
      <x:c r="A6149" s="24" t="n">
        <x:v>46276.604166666664</x:v>
      </x:c>
      <x:c r="B6149" s="6" t="n">
        <x:v>0.2967</x:v>
      </x:c>
      <x:c r="C6149" s="6" t="n">
        <x:v>0.16190000000000002</x:v>
      </x:c>
      <x:c r="D6149" s="6" t="n">
        <x:f>B6149</x:f>
        <x:v>0.2967</x:v>
      </x:c>
      <x:c r="E6149" s="1" t="n">
        <x:v>1.05</x:v>
      </x:c>
      <x:c r="F6149" s="1" t="str">
        <x:v>https://api.octopus.energy/v1/products/AGILE-24-10-01/electricity-tariffs/E-1R-AGILE-24-10-01-G/standard-unit-rates/</x:v>
      </x:c>
    </x:row>
    <x:row r="6150" ht="21" customHeight="1">
      <x:c r="A6150" s="24" t="n">
        <x:v>46276.625</x:v>
      </x:c>
      <x:c r="B6150" s="6" t="n">
        <x:v>0.2865</x:v>
      </x:c>
      <x:c r="C6150" s="6" t="n">
        <x:v>0.1572</x:v>
      </x:c>
      <x:c r="D6150" s="6" t="n">
        <x:f>B6150</x:f>
        <x:v>0.2865</x:v>
      </x:c>
      <x:c r="E6150" s="1" t="n">
        <x:v>1.05</x:v>
      </x:c>
      <x:c r="F6150" s="1" t="str">
        <x:v>https://api.octopus.energy/v1/products/AGILE-24-10-01/electricity-tariffs/E-1R-AGILE-24-10-01-G/standard-unit-rates/</x:v>
      </x:c>
    </x:row>
    <x:row r="6151" ht="21" customHeight="1">
      <x:c r="A6151" s="24" t="n">
        <x:v>46276.645833333336</x:v>
      </x:c>
      <x:c r="B6151" s="6" t="n">
        <x:v>0.2711</x:v>
      </x:c>
      <x:c r="C6151" s="6" t="n">
        <x:v>0.1502</x:v>
      </x:c>
      <x:c r="D6151" s="6" t="n">
        <x:f>B6151</x:f>
        <x:v>0.2711</x:v>
      </x:c>
      <x:c r="E6151" s="1" t="n">
        <x:v>1.05</x:v>
      </x:c>
      <x:c r="F6151" s="1" t="str">
        <x:v>https://api.octopus.energy/v1/products/AGILE-24-10-01/electricity-tariffs/E-1R-AGILE-24-10-01-G/standard-unit-rates/</x:v>
      </x:c>
    </x:row>
    <x:row r="6152" ht="21" customHeight="1">
      <x:c r="A6152" s="24" t="n">
        <x:v>46276.666666666664</x:v>
      </x:c>
      <x:c r="B6152" s="6" t="n">
        <x:v>0.4267</x:v>
      </x:c>
      <x:c r="C6152" s="6" t="n">
        <x:v>0.2254</x:v>
      </x:c>
      <x:c r="D6152" s="6" t="n">
        <x:f>B6152</x:f>
        <x:v>0.4267</x:v>
      </x:c>
      <x:c r="E6152" s="1" t="n">
        <x:v>1.05</x:v>
      </x:c>
      <x:c r="F6152" s="1" t="str">
        <x:v>https://api.octopus.energy/v1/products/AGILE-24-10-01/electricity-tariffs/E-1R-AGILE-24-10-01-G/standard-unit-rates/</x:v>
      </x:c>
    </x:row>
    <x:row r="6153" ht="21" customHeight="1">
      <x:c r="A6153" s="24" t="n">
        <x:v>46276.6875</x:v>
      </x:c>
      <x:c r="B6153" s="6" t="n">
        <x:v>0.4425</x:v>
      </x:c>
      <x:c r="C6153" s="6" t="n">
        <x:v>0.23260000000000003</x:v>
      </x:c>
      <x:c r="D6153" s="6" t="n">
        <x:f>B6153</x:f>
        <x:v>0.4425</x:v>
      </x:c>
      <x:c r="E6153" s="1" t="n">
        <x:v>1.05</x:v>
      </x:c>
      <x:c r="F6153" s="1" t="str">
        <x:v>https://api.octopus.energy/v1/products/AGILE-24-10-01/electricity-tariffs/E-1R-AGILE-24-10-01-G/standard-unit-rates/</x:v>
      </x:c>
    </x:row>
    <x:row r="6154" ht="21" customHeight="1">
      <x:c r="A6154" s="24" t="n">
        <x:v>46276.708333333336</x:v>
      </x:c>
      <x:c r="B6154" s="6" t="n">
        <x:v>0.5242</x:v>
      </x:c>
      <x:c r="C6154" s="6" t="n">
        <x:v>0.27</x:v>
      </x:c>
      <x:c r="D6154" s="6" t="n">
        <x:f>B6154</x:f>
        <x:v>0.5242</x:v>
      </x:c>
      <x:c r="E6154" s="1" t="n">
        <x:v>1.05</x:v>
      </x:c>
      <x:c r="F6154" s="1" t="str">
        <x:v>https://api.octopus.energy/v1/products/AGILE-24-10-01/electricity-tariffs/E-1R-AGILE-24-10-01-G/standard-unit-rates/</x:v>
      </x:c>
    </x:row>
    <x:row r="6155" ht="21" customHeight="1">
      <x:c r="A6155" s="24" t="n">
        <x:v>46276.729166666664</x:v>
      </x:c>
      <x:c r="B6155" s="6" t="n">
        <x:v>0.5795</x:v>
      </x:c>
      <x:c r="C6155" s="6" t="n">
        <x:v>0.2952</x:v>
      </x:c>
      <x:c r="D6155" s="6" t="n">
        <x:f>B6155</x:f>
        <x:v>0.5795</x:v>
      </x:c>
      <x:c r="E6155" s="1" t="n">
        <x:v>1.05</x:v>
      </x:c>
      <x:c r="F6155" s="1" t="str">
        <x:v>https://api.octopus.energy/v1/products/AGILE-24-10-01/electricity-tariffs/E-1R-AGILE-24-10-01-G/standard-unit-rates/</x:v>
      </x:c>
    </x:row>
    <x:row r="6156" ht="21" customHeight="1">
      <x:c r="A6156" s="24" t="n">
        <x:v>46276.75</x:v>
      </x:c>
      <x:c r="B6156" s="6" t="n">
        <x:v>0.606</x:v>
      </x:c>
      <x:c r="C6156" s="6" t="n">
        <x:v>0.3073</x:v>
      </x:c>
      <x:c r="D6156" s="6" t="n">
        <x:f>B6156</x:f>
        <x:v>0.606</x:v>
      </x:c>
      <x:c r="E6156" s="1" t="n">
        <x:v>1.05</x:v>
      </x:c>
      <x:c r="F6156" s="1" t="str">
        <x:v>https://api.octopus.energy/v1/products/AGILE-24-10-01/electricity-tariffs/E-1R-AGILE-24-10-01-G/standard-unit-rates/</x:v>
      </x:c>
    </x:row>
    <x:row r="6157" ht="21" customHeight="1">
      <x:c r="A6157" s="24" t="n">
        <x:v>46276.770833333336</x:v>
      </x:c>
      <x:c r="B6157" s="6" t="n">
        <x:v>0.605</x:v>
      </x:c>
      <x:c r="C6157" s="6" t="n">
        <x:v>0.3069</x:v>
      </x:c>
      <x:c r="D6157" s="6" t="n">
        <x:f>B6157</x:f>
        <x:v>0.605</x:v>
      </x:c>
      <x:c r="E6157" s="1" t="n">
        <x:v>1.05</x:v>
      </x:c>
      <x:c r="F6157" s="1" t="str">
        <x:v>https://api.octopus.energy/v1/products/AGILE-24-10-01/electricity-tariffs/E-1R-AGILE-24-10-01-G/standard-unit-rates/</x:v>
      </x:c>
    </x:row>
    <x:row r="6158" ht="21" customHeight="1">
      <x:c r="A6158" s="24" t="n">
        <x:v>46276.791666666664</x:v>
      </x:c>
      <x:c r="B6158" s="6" t="n">
        <x:v>0.4595</x:v>
      </x:c>
      <x:c r="C6158" s="6" t="n">
        <x:v>0.23629999999999998</x:v>
      </x:c>
      <x:c r="D6158" s="6" t="n">
        <x:f>B6158</x:f>
        <x:v>0.4595</x:v>
      </x:c>
      <x:c r="E6158" s="1" t="n">
        <x:v>1.05</x:v>
      </x:c>
      <x:c r="F6158" s="1" t="str">
        <x:v>https://api.octopus.energy/v1/products/AGILE-24-10-01/electricity-tariffs/E-1R-AGILE-24-10-01-G/standard-unit-rates/</x:v>
      </x:c>
    </x:row>
    <x:row r="6159" ht="21" customHeight="1">
      <x:c r="A6159" s="24" t="n">
        <x:v>46276.8125</x:v>
      </x:c>
      <x:c r="B6159" s="6" t="n">
        <x:v>0.4685</x:v>
      </x:c>
      <x:c r="C6159" s="6" t="n">
        <x:v>0.2404</x:v>
      </x:c>
      <x:c r="D6159" s="6" t="n">
        <x:f>B6159</x:f>
        <x:v>0.4685</x:v>
      </x:c>
      <x:c r="E6159" s="1" t="n">
        <x:v>1.05</x:v>
      </x:c>
      <x:c r="F6159" s="1" t="str">
        <x:v>https://api.octopus.energy/v1/products/AGILE-24-10-01/electricity-tariffs/E-1R-AGILE-24-10-01-G/standard-unit-rates/</x:v>
      </x:c>
    </x:row>
    <x:row r="6160" ht="21" customHeight="1">
      <x:c r="A6160" s="24" t="n">
        <x:v>46276.833333333336</x:v>
      </x:c>
      <x:c r="B6160" s="6" t="n">
        <x:v>0.44179999999999997</x:v>
      </x:c>
      <x:c r="C6160" s="6" t="n">
        <x:v>0.22820000000000001</x:v>
      </x:c>
      <x:c r="D6160" s="6" t="n">
        <x:f>B6160</x:f>
        <x:v>0.44179999999999997</x:v>
      </x:c>
      <x:c r="E6160" s="1" t="n">
        <x:v>1.05</x:v>
      </x:c>
      <x:c r="F6160" s="1" t="str">
        <x:v>https://api.octopus.energy/v1/products/AGILE-24-10-01/electricity-tariffs/E-1R-AGILE-24-10-01-G/standard-unit-rates/</x:v>
      </x:c>
    </x:row>
    <x:row r="6161" ht="21" customHeight="1">
      <x:c r="A6161" s="24" t="n">
        <x:v>46276.854166666664</x:v>
      </x:c>
      <x:c r="B6161" s="6" t="n">
        <x:v>0.39799999999999996</x:v>
      </x:c>
      <x:c r="C6161" s="6" t="n">
        <x:v>0.2082</x:v>
      </x:c>
      <x:c r="D6161" s="6" t="n">
        <x:f>B6161</x:f>
        <x:v>0.39799999999999996</x:v>
      </x:c>
      <x:c r="E6161" s="1" t="n">
        <x:v>1.05</x:v>
      </x:c>
      <x:c r="F6161" s="1" t="str">
        <x:v>https://api.octopus.energy/v1/products/AGILE-24-10-01/electricity-tariffs/E-1R-AGILE-24-10-01-G/standard-unit-rates/</x:v>
      </x:c>
    </x:row>
    <x:row r="6162" ht="21" customHeight="1">
      <x:c r="A6162" s="24" t="n">
        <x:v>46276.875</x:v>
      </x:c>
      <x:c r="B6162" s="6" t="n">
        <x:v>0.4153</x:v>
      </x:c>
      <x:c r="C6162" s="6" t="n">
        <x:v>0.2161</x:v>
      </x:c>
      <x:c r="D6162" s="6" t="n">
        <x:f>B6162</x:f>
        <x:v>0.4153</x:v>
      </x:c>
      <x:c r="E6162" s="1" t="n">
        <x:v>1.05</x:v>
      </x:c>
      <x:c r="F6162" s="1" t="str">
        <x:v>https://api.octopus.energy/v1/products/AGILE-24-10-01/electricity-tariffs/E-1R-AGILE-24-10-01-G/standard-unit-rates/</x:v>
      </x:c>
    </x:row>
    <x:row r="6163" ht="21" customHeight="1">
      <x:c r="A6163" s="24" t="n">
        <x:v>46276.895833333336</x:v>
      </x:c>
      <x:c r="B6163" s="6" t="n">
        <x:v>0.3539</x:v>
      </x:c>
      <x:c r="C6163" s="6" t="n">
        <x:v>0.1881</x:v>
      </x:c>
      <x:c r="D6163" s="6" t="n">
        <x:f>B6163</x:f>
        <x:v>0.3539</x:v>
      </x:c>
      <x:c r="E6163" s="1" t="n">
        <x:v>1.05</x:v>
      </x:c>
      <x:c r="F6163" s="1" t="str">
        <x:v>https://api.octopus.energy/v1/products/AGILE-24-10-01/electricity-tariffs/E-1R-AGILE-24-10-01-G/standard-unit-rates/</x:v>
      </x:c>
    </x:row>
    <x:row r="6164" ht="21" customHeight="1">
      <x:c r="A6164" s="24" t="n">
        <x:v>46276.916666666664</x:v>
      </x:c>
      <x:c r="B6164" s="6" t="n">
        <x:v>0.3464</x:v>
      </x:c>
      <x:c r="C6164" s="6" t="n">
        <x:v>0.18460000000000001</x:v>
      </x:c>
      <x:c r="D6164" s="6" t="n">
        <x:f>B6164</x:f>
        <x:v>0.3464</x:v>
      </x:c>
      <x:c r="E6164" s="1" t="n">
        <x:v>1.05</x:v>
      </x:c>
      <x:c r="F6164" s="1" t="str">
        <x:v>https://api.octopus.energy/v1/products/AGILE-24-10-01/electricity-tariffs/E-1R-AGILE-24-10-01-G/standard-unit-rates/</x:v>
      </x:c>
    </x:row>
    <x:row r="6165" ht="21" customHeight="1">
      <x:c r="A6165" s="24" t="n">
        <x:v>46276.9375</x:v>
      </x:c>
      <x:c r="B6165" s="6" t="n">
        <x:v>0.3093</x:v>
      </x:c>
      <x:c r="C6165" s="6" t="n">
        <x:v>0.16760000000000003</x:v>
      </x:c>
      <x:c r="D6165" s="6" t="n">
        <x:f>B6165</x:f>
        <x:v>0.3093</x:v>
      </x:c>
      <x:c r="E6165" s="1" t="n">
        <x:v>1.05</x:v>
      </x:c>
      <x:c r="F6165" s="1" t="str">
        <x:v>https://api.octopus.energy/v1/products/AGILE-24-10-01/electricity-tariffs/E-1R-AGILE-24-10-01-G/standard-unit-rates/</x:v>
      </x:c>
    </x:row>
    <x:row r="6166" ht="21" customHeight="1">
      <x:c r="A6166" s="24" t="n">
        <x:v>46277</x:v>
      </x:c>
      <x:c r="B6166" s="6" t="n">
        <x:v>0.3257</x:v>
      </x:c>
      <x:c r="C6166" s="6" t="n">
        <x:v>0.1752</x:v>
      </x:c>
      <x:c r="D6166" s="6" t="n">
        <x:f>B6166</x:f>
        <x:v>0.3257</x:v>
      </x:c>
      <x:c r="E6166" s="1" t="n">
        <x:v>1.05</x:v>
      </x:c>
      <x:c r="F6166" s="1" t="str">
        <x:v>https://api.octopus.energy/v1/products/AGILE-24-10-01/electricity-tariffs/E-1R-AGILE-24-10-01-G/standard-unit-rates/</x:v>
      </x:c>
    </x:row>
    <x:row r="6167" ht="21" customHeight="1">
      <x:c r="A6167" s="24" t="n">
        <x:v>46276.979166666664</x:v>
      </x:c>
      <x:c r="B6167" s="6" t="n">
        <x:v>0.31980000000000003</x:v>
      </x:c>
      <x:c r="C6167" s="6" t="n">
        <x:v>0.1725</x:v>
      </x:c>
      <x:c r="D6167" s="6" t="n">
        <x:f>B6167</x:f>
        <x:v>0.31980000000000003</x:v>
      </x:c>
      <x:c r="E6167" s="1" t="n">
        <x:v>1.05</x:v>
      </x:c>
      <x:c r="F6167" s="1" t="str">
        <x:v>https://api.octopus.energy/v1/products/AGILE-24-10-01/electricity-tariffs/E-1R-AGILE-24-10-01-G/standard-unit-rates/</x:v>
      </x:c>
    </x:row>
    <x:row r="6168" ht="21" customHeight="1">
      <x:c r="A6168" s="24" t="n">
        <x:v>46277</x:v>
      </x:c>
      <x:c r="B6168" s="6" t="n">
        <x:v>0.3197</x:v>
      </x:c>
      <x:c r="C6168" s="6" t="n">
        <x:v>0.1724</x:v>
      </x:c>
      <x:c r="D6168" s="6" t="n">
        <x:f>B6168</x:f>
        <x:v>0.3197</x:v>
      </x:c>
      <x:c r="E6168" s="1" t="n">
        <x:v>1.05</x:v>
      </x:c>
      <x:c r="F6168" s="1" t="str">
        <x:v>https://api.octopus.energy/v1/products/AGILE-24-10-01/electricity-tariffs/E-1R-AGILE-24-10-01-G/standard-unit-rates/</x:v>
      </x:c>
    </x:row>
    <x:row r="6169" ht="21" customHeight="1">
      <x:c r="A6169" s="24" t="n">
        <x:v>46277.020833333336</x:v>
      </x:c>
      <x:c r="B6169" s="6" t="n">
        <x:v>0.31620000000000004</x:v>
      </x:c>
      <x:c r="C6169" s="6" t="n">
        <x:v>0.17079999999999998</x:v>
      </x:c>
      <x:c r="D6169" s="6" t="n">
        <x:f>B6169</x:f>
        <x:v>0.31620000000000004</x:v>
      </x:c>
      <x:c r="E6169" s="1" t="n">
        <x:v>1.05</x:v>
      </x:c>
      <x:c r="F6169" s="1" t="str">
        <x:v>https://api.octopus.energy/v1/products/AGILE-24-10-01/electricity-tariffs/E-1R-AGILE-24-10-01-G/standard-unit-rates/</x:v>
      </x:c>
    </x:row>
    <x:row r="6170" ht="21" customHeight="1">
      <x:c r="A6170" s="24" t="n">
        <x:v>46277.041666666664</x:v>
      </x:c>
      <x:c r="B6170" s="6" t="n">
        <x:v>0.2942</x:v>
      </x:c>
      <x:c r="C6170" s="6" t="n">
        <x:v>0.16079999999999997</x:v>
      </x:c>
      <x:c r="D6170" s="6" t="n">
        <x:f>B6170</x:f>
        <x:v>0.2942</x:v>
      </x:c>
      <x:c r="E6170" s="1" t="n">
        <x:v>1.05</x:v>
      </x:c>
      <x:c r="F6170" s="1" t="str">
        <x:v>https://api.octopus.energy/v1/products/AGILE-24-10-01/electricity-tariffs/E-1R-AGILE-24-10-01-G/standard-unit-rates/</x:v>
      </x:c>
    </x:row>
    <x:row r="6171" ht="21" customHeight="1">
      <x:c r="A6171" s="24" t="n">
        <x:v>46277.0625</x:v>
      </x:c>
      <x:c r="B6171" s="6" t="n">
        <x:v>0.30920000000000003</x:v>
      </x:c>
      <x:c r="C6171" s="6" t="n">
        <x:v>0.16760000000000003</x:v>
      </x:c>
      <x:c r="D6171" s="6" t="n">
        <x:f>B6171</x:f>
        <x:v>0.30920000000000003</x:v>
      </x:c>
      <x:c r="E6171" s="1" t="n">
        <x:v>1.05</x:v>
      </x:c>
      <x:c r="F6171" s="1" t="str">
        <x:v>https://api.octopus.energy/v1/products/AGILE-24-10-01/electricity-tariffs/E-1R-AGILE-24-10-01-G/standard-unit-rates/</x:v>
      </x:c>
    </x:row>
    <x:row r="6172" ht="21" customHeight="1">
      <x:c r="A6172" s="24" t="n">
        <x:v>46277.083333333336</x:v>
      </x:c>
      <x:c r="B6172" s="6" t="n">
        <x:v>0.311</x:v>
      </x:c>
      <x:c r="C6172" s="6" t="n">
        <x:v>0.1684</x:v>
      </x:c>
      <x:c r="D6172" s="6" t="n">
        <x:f>B6172</x:f>
        <x:v>0.311</x:v>
      </x:c>
      <x:c r="E6172" s="1" t="n">
        <x:v>1.05</x:v>
      </x:c>
      <x:c r="F6172" s="1" t="str">
        <x:v>https://api.octopus.energy/v1/products/AGILE-24-10-01/electricity-tariffs/E-1R-AGILE-24-10-01-G/standard-unit-rates/</x:v>
      </x:c>
    </x:row>
    <x:row r="6173" ht="21" customHeight="1">
      <x:c r="A6173" s="24" t="n">
        <x:v>46277.104166666664</x:v>
      </x:c>
      <x:c r="B6173" s="6" t="n">
        <x:v>0.2748</x:v>
      </x:c>
      <x:c r="C6173" s="6" t="n">
        <x:v>0.1519</x:v>
      </x:c>
      <x:c r="D6173" s="6" t="n">
        <x:f>B6173</x:f>
        <x:v>0.2748</x:v>
      </x:c>
      <x:c r="E6173" s="1" t="n">
        <x:v>1.05</x:v>
      </x:c>
      <x:c r="F6173" s="1" t="str">
        <x:v>https://api.octopus.energy/v1/products/AGILE-24-10-01/electricity-tariffs/E-1R-AGILE-24-10-01-G/standard-unit-rates/</x:v>
      </x:c>
    </x:row>
    <x:row r="6174" ht="21" customHeight="1">
      <x:c r="A6174" s="24" t="n">
        <x:v>46277.125</x:v>
      </x:c>
      <x:c r="B6174" s="6" t="n">
        <x:v>0.2854</x:v>
      </x:c>
      <x:c r="C6174" s="6" t="n">
        <x:v>0.1567</x:v>
      </x:c>
      <x:c r="D6174" s="6" t="n">
        <x:f>B6174</x:f>
        <x:v>0.2854</x:v>
      </x:c>
      <x:c r="E6174" s="1" t="n">
        <x:v>1.05</x:v>
      </x:c>
      <x:c r="F6174" s="1" t="str">
        <x:v>https://api.octopus.energy/v1/products/AGILE-24-10-01/electricity-tariffs/E-1R-AGILE-24-10-01-G/standard-unit-rates/</x:v>
      </x:c>
    </x:row>
    <x:row r="6175" ht="21" customHeight="1">
      <x:c r="A6175" s="24" t="n">
        <x:v>46277.145833333336</x:v>
      </x:c>
      <x:c r="B6175" s="6" t="n">
        <x:v>0.2635</x:v>
      </x:c>
      <x:c r="C6175" s="6" t="n">
        <x:v>0.1467</x:v>
      </x:c>
      <x:c r="D6175" s="6" t="n">
        <x:f>B6175</x:f>
        <x:v>0.2635</x:v>
      </x:c>
      <x:c r="E6175" s="1" t="n">
        <x:v>1.05</x:v>
      </x:c>
      <x:c r="F6175" s="1" t="str">
        <x:v>https://api.octopus.energy/v1/products/AGILE-24-10-01/electricity-tariffs/E-1R-AGILE-24-10-01-G/standard-unit-rates/</x:v>
      </x:c>
    </x:row>
    <x:row r="6176" ht="21" customHeight="1">
      <x:c r="A6176" s="24" t="n">
        <x:v>46277.166666666664</x:v>
      </x:c>
      <x:c r="B6176" s="6" t="n">
        <x:v>0.29469999999999996</x:v>
      </x:c>
      <x:c r="C6176" s="6" t="n">
        <x:v>0.161</x:v>
      </x:c>
      <x:c r="D6176" s="6" t="n">
        <x:f>B6176</x:f>
        <x:v>0.29469999999999996</x:v>
      </x:c>
      <x:c r="E6176" s="1" t="n">
        <x:v>1.05</x:v>
      </x:c>
      <x:c r="F6176" s="1" t="str">
        <x:v>https://api.octopus.energy/v1/products/AGILE-24-10-01/electricity-tariffs/E-1R-AGILE-24-10-01-G/standard-unit-rates/</x:v>
      </x:c>
    </x:row>
    <x:row r="6177" ht="21" customHeight="1">
      <x:c r="A6177" s="24" t="n">
        <x:v>46277.1875</x:v>
      </x:c>
      <x:c r="B6177" s="6" t="n">
        <x:v>0.26899999999999996</x:v>
      </x:c>
      <x:c r="C6177" s="6" t="n">
        <x:v>0.1492</x:v>
      </x:c>
      <x:c r="D6177" s="6" t="n">
        <x:f>B6177</x:f>
        <x:v>0.26899999999999996</x:v>
      </x:c>
      <x:c r="E6177" s="1" t="n">
        <x:v>1.05</x:v>
      </x:c>
      <x:c r="F6177" s="1" t="str">
        <x:v>https://api.octopus.energy/v1/products/AGILE-24-10-01/electricity-tariffs/E-1R-AGILE-24-10-01-G/standard-unit-rates/</x:v>
      </x:c>
    </x:row>
    <x:row r="6178" ht="21" customHeight="1">
      <x:c r="A6178" s="24" t="n">
        <x:v>46277.208333333336</x:v>
      </x:c>
      <x:c r="B6178" s="6" t="n">
        <x:v>0.2724</x:v>
      </x:c>
      <x:c r="C6178" s="6" t="n">
        <x:v>0.1508</x:v>
      </x:c>
      <x:c r="D6178" s="6" t="n">
        <x:f>B6178</x:f>
        <x:v>0.2724</x:v>
      </x:c>
      <x:c r="E6178" s="1" t="n">
        <x:v>1.05</x:v>
      </x:c>
      <x:c r="F6178" s="1" t="str">
        <x:v>https://api.octopus.energy/v1/products/AGILE-24-10-01/electricity-tariffs/E-1R-AGILE-24-10-01-G/standard-unit-rates/</x:v>
      </x:c>
    </x:row>
    <x:row r="6179" ht="21" customHeight="1">
      <x:c r="A6179" s="24" t="n">
        <x:v>46277.229166666664</x:v>
      </x:c>
      <x:c r="B6179" s="6" t="n">
        <x:v>0.2619</x:v>
      </x:c>
      <x:c r="C6179" s="6" t="n">
        <x:v>0.146</x:v>
      </x:c>
      <x:c r="D6179" s="6" t="n">
        <x:f>B6179</x:f>
        <x:v>0.2619</x:v>
      </x:c>
      <x:c r="E6179" s="1" t="n">
        <x:v>1.05</x:v>
      </x:c>
      <x:c r="F6179" s="1" t="str">
        <x:v>https://api.octopus.energy/v1/products/AGILE-24-10-01/electricity-tariffs/E-1R-AGILE-24-10-01-G/standard-unit-rates/</x:v>
      </x:c>
    </x:row>
    <x:row r="6180" ht="21" customHeight="1">
      <x:c r="A6180" s="24" t="n">
        <x:v>46277.25</x:v>
      </x:c>
      <x:c r="B6180" s="6" t="n">
        <x:v>0.25379999999999997</x:v>
      </x:c>
      <x:c r="C6180" s="6" t="n">
        <x:v>0.1423</x:v>
      </x:c>
      <x:c r="D6180" s="6" t="n">
        <x:f>B6180</x:f>
        <x:v>0.25379999999999997</x:v>
      </x:c>
      <x:c r="E6180" s="1" t="n">
        <x:v>1.05</x:v>
      </x:c>
      <x:c r="F6180" s="1" t="str">
        <x:v>https://api.octopus.energy/v1/products/AGILE-24-10-01/electricity-tariffs/E-1R-AGILE-24-10-01-G/standard-unit-rates/</x:v>
      </x:c>
    </x:row>
    <x:row r="6181" ht="21" customHeight="1">
      <x:c r="A6181" s="24" t="n">
        <x:v>46277.270833333336</x:v>
      </x:c>
      <x:c r="B6181" s="6" t="n">
        <x:v>0.25379999999999997</x:v>
      </x:c>
      <x:c r="C6181" s="6" t="n">
        <x:v>0.1423</x:v>
      </x:c>
      <x:c r="D6181" s="6" t="n">
        <x:f>B6181</x:f>
        <x:v>0.25379999999999997</x:v>
      </x:c>
      <x:c r="E6181" s="1" t="n">
        <x:v>1.05</x:v>
      </x:c>
      <x:c r="F6181" s="1" t="str">
        <x:v>https://api.octopus.energy/v1/products/AGILE-24-10-01/electricity-tariffs/E-1R-AGILE-24-10-01-G/standard-unit-rates/</x:v>
      </x:c>
    </x:row>
    <x:row r="6182" ht="21" customHeight="1">
      <x:c r="A6182" s="24" t="n">
        <x:v>46277.291666666664</x:v>
      </x:c>
      <x:c r="B6182" s="6" t="n">
        <x:v>0.243</x:v>
      </x:c>
      <x:c r="C6182" s="6" t="n">
        <x:v>0.1373</x:v>
      </x:c>
      <x:c r="D6182" s="6" t="n">
        <x:f>B6182</x:f>
        <x:v>0.243</x:v>
      </x:c>
      <x:c r="E6182" s="1" t="n">
        <x:v>1.05</x:v>
      </x:c>
      <x:c r="F6182" s="1" t="str">
        <x:v>https://api.octopus.energy/v1/products/AGILE-24-10-01/electricity-tariffs/E-1R-AGILE-24-10-01-G/standard-unit-rates/</x:v>
      </x:c>
    </x:row>
    <x:row r="6183" ht="21" customHeight="1">
      <x:c r="A6183" s="24" t="n">
        <x:v>46277.3125</x:v>
      </x:c>
      <x:c r="B6183" s="6" t="n">
        <x:v>0.2375</x:v>
      </x:c>
      <x:c r="C6183" s="6" t="n">
        <x:v>0.1348</x:v>
      </x:c>
      <x:c r="D6183" s="6" t="n">
        <x:f>B6183</x:f>
        <x:v>0.2375</x:v>
      </x:c>
      <x:c r="E6183" s="1" t="n">
        <x:v>1.05</x:v>
      </x:c>
      <x:c r="F6183" s="1" t="str">
        <x:v>https://api.octopus.energy/v1/products/AGILE-24-10-01/electricity-tariffs/E-1R-AGILE-24-10-01-G/standard-unit-rates/</x:v>
      </x:c>
    </x:row>
    <x:row r="6184" ht="21" customHeight="1">
      <x:c r="A6184" s="24" t="n">
        <x:v>46277.333333333336</x:v>
      </x:c>
      <x:c r="B6184" s="6" t="n">
        <x:v>0.1946</x:v>
      </x:c>
      <x:c r="C6184" s="6" t="n">
        <x:v>0.1152</x:v>
      </x:c>
      <x:c r="D6184" s="6" t="n">
        <x:f>B6184</x:f>
        <x:v>0.1946</x:v>
      </x:c>
      <x:c r="E6184" s="1" t="n">
        <x:v>1.05</x:v>
      </x:c>
      <x:c r="F6184" s="1" t="str">
        <x:v>https://api.octopus.energy/v1/products/AGILE-24-10-01/electricity-tariffs/E-1R-AGILE-24-10-01-G/standard-unit-rates/</x:v>
      </x:c>
    </x:row>
    <x:row r="6185" ht="21" customHeight="1">
      <x:c r="A6185" s="24" t="n">
        <x:v>46277.354166666664</x:v>
      </x:c>
      <x:c r="B6185" s="6" t="n">
        <x:v>0.1805</x:v>
      </x:c>
      <x:c r="C6185" s="6" t="n">
        <x:v>0.10880000000000001</x:v>
      </x:c>
      <x:c r="D6185" s="6" t="n">
        <x:f>B6185</x:f>
        <x:v>0.1805</x:v>
      </x:c>
      <x:c r="E6185" s="1" t="n">
        <x:v>1.05</x:v>
      </x:c>
      <x:c r="F6185" s="1" t="str">
        <x:v>https://api.octopus.energy/v1/products/AGILE-24-10-01/electricity-tariffs/E-1R-AGILE-24-10-01-G/standard-unit-rates/</x:v>
      </x:c>
    </x:row>
    <x:row r="6186" ht="21" customHeight="1">
      <x:c r="A6186" s="24" t="n">
        <x:v>46277.375</x:v>
      </x:c>
      <x:c r="B6186" s="6" t="n">
        <x:v>0.1052</x:v>
      </x:c>
      <x:c r="C6186" s="6" t="n">
        <x:v>0.07440000000000001</x:v>
      </x:c>
      <x:c r="D6186" s="6" t="n">
        <x:f>B6186</x:f>
        <x:v>0.1052</x:v>
      </x:c>
      <x:c r="E6186" s="1" t="n">
        <x:v>1.05</x:v>
      </x:c>
      <x:c r="F6186" s="1" t="str">
        <x:v>https://api.octopus.energy/v1/products/AGILE-24-10-01/electricity-tariffs/E-1R-AGILE-24-10-01-G/standard-unit-rates/</x:v>
      </x:c>
    </x:row>
    <x:row r="6187" ht="21" customHeight="1">
      <x:c r="A6187" s="24" t="n">
        <x:v>46277.395833333336</x:v>
      </x:c>
      <x:c r="B6187" s="6" t="n">
        <x:v>0.0552</x:v>
      </x:c>
      <x:c r="C6187" s="6" t="n">
        <x:v>0.051500000000000004</x:v>
      </x:c>
      <x:c r="D6187" s="6" t="n">
        <x:f>B6187</x:f>
        <x:v>0.0552</x:v>
      </x:c>
      <x:c r="E6187" s="1" t="n">
        <x:v>1.05</x:v>
      </x:c>
      <x:c r="F6187" s="1" t="str">
        <x:v>https://api.octopus.energy/v1/products/AGILE-24-10-01/electricity-tariffs/E-1R-AGILE-24-10-01-G/standard-unit-rates/</x:v>
      </x:c>
    </x:row>
    <x:row r="6188" ht="21" customHeight="1">
      <x:c r="A6188" s="24" t="n">
        <x:v>46277.416666666664</x:v>
      </x:c>
      <x:c r="B6188" s="6" t="n">
        <x:v>-0.0017000000000000001</x:v>
      </x:c>
      <x:c r="C6188" s="6" t="n">
        <x:v>0.0255</x:v>
      </x:c>
      <x:c r="D6188" s="6" t="n">
        <x:f>B6188</x:f>
        <x:v>-0.0017000000000000001</x:v>
      </x:c>
      <x:c r="E6188" s="1" t="n">
        <x:v>1.05</x:v>
      </x:c>
      <x:c r="F6188" s="1" t="str">
        <x:v>https://api.octopus.energy/v1/products/AGILE-24-10-01/electricity-tariffs/E-1R-AGILE-24-10-01-G/standard-unit-rates/</x:v>
      </x:c>
    </x:row>
    <x:row r="6189" ht="21" customHeight="1">
      <x:c r="A6189" s="24" t="n">
        <x:v>46277.4375</x:v>
      </x:c>
      <x:c r="B6189" s="6" t="n">
        <x:v>-0.019799999999999998</x:v>
      </x:c>
      <x:c r="C6189" s="6" t="n">
        <x:v>0.0172</x:v>
      </x:c>
      <x:c r="D6189" s="6" t="n">
        <x:f>B6189</x:f>
        <x:v>-0.019799999999999998</x:v>
      </x:c>
      <x:c r="E6189" s="1" t="n">
        <x:v>1.05</x:v>
      </x:c>
      <x:c r="F6189" s="1" t="str">
        <x:v>https://api.octopus.energy/v1/products/AGILE-24-10-01/electricity-tariffs/E-1R-AGILE-24-10-01-G/standard-unit-rates/</x:v>
      </x:c>
    </x:row>
    <x:row r="6190" ht="21" customHeight="1">
      <x:c r="A6190" s="24" t="n">
        <x:v>46277.458333333336</x:v>
      </x:c>
      <x:c r="B6190" s="6" t="n">
        <x:v>-0.025</x:v>
      </x:c>
      <x:c r="C6190" s="6" t="n">
        <x:v>0.0148</x:v>
      </x:c>
      <x:c r="D6190" s="6" t="n">
        <x:f>B6190</x:f>
        <x:v>-0.025</x:v>
      </x:c>
      <x:c r="E6190" s="1" t="n">
        <x:v>1.05</x:v>
      </x:c>
      <x:c r="F6190" s="1" t="str">
        <x:v>https://api.octopus.energy/v1/products/AGILE-24-10-01/electricity-tariffs/E-1R-AGILE-24-10-01-G/standard-unit-rates/</x:v>
      </x:c>
    </x:row>
    <x:row r="6191" ht="21" customHeight="1">
      <x:c r="A6191" s="24" t="n">
        <x:v>46277.479166666664</x:v>
      </x:c>
      <x:c r="B6191" s="6" t="n">
        <x:v>-0.025</x:v>
      </x:c>
      <x:c r="C6191" s="6" t="n">
        <x:v>0.0148</x:v>
      </x:c>
      <x:c r="D6191" s="6" t="n">
        <x:f>B6191</x:f>
        <x:v>-0.025</x:v>
      </x:c>
      <x:c r="E6191" s="1" t="n">
        <x:v>1.05</x:v>
      </x:c>
      <x:c r="F6191" s="1" t="str">
        <x:v>https://api.octopus.energy/v1/products/AGILE-24-10-01/electricity-tariffs/E-1R-AGILE-24-10-01-G/standard-unit-rates/</x:v>
      </x:c>
    </x:row>
    <x:row r="6192" ht="21" customHeight="1">
      <x:c r="A6192" s="24" t="n">
        <x:v>46277.5</x:v>
      </x:c>
      <x:c r="B6192" s="6" t="n">
        <x:v>-0.025</x:v>
      </x:c>
      <x:c r="C6192" s="6" t="n">
        <x:v>0.0148</x:v>
      </x:c>
      <x:c r="D6192" s="6" t="n">
        <x:f>B6192</x:f>
        <x:v>-0.025</x:v>
      </x:c>
      <x:c r="E6192" s="1" t="n">
        <x:v>1.05</x:v>
      </x:c>
      <x:c r="F6192" s="1" t="str">
        <x:v>https://api.octopus.energy/v1/products/AGILE-24-10-01/electricity-tariffs/E-1R-AGILE-24-10-01-G/standard-unit-rates/</x:v>
      </x:c>
    </x:row>
    <x:row r="6193" ht="21" customHeight="1">
      <x:c r="A6193" s="24" t="n">
        <x:v>46277.520833333336</x:v>
      </x:c>
      <x:c r="B6193" s="6" t="n">
        <x:v>-0.025</x:v>
      </x:c>
      <x:c r="C6193" s="6" t="n">
        <x:v>0.0148</x:v>
      </x:c>
      <x:c r="D6193" s="6" t="n">
        <x:f>B6193</x:f>
        <x:v>-0.025</x:v>
      </x:c>
      <x:c r="E6193" s="1" t="n">
        <x:v>1.05</x:v>
      </x:c>
      <x:c r="F6193" s="1" t="str">
        <x:v>https://api.octopus.energy/v1/products/AGILE-24-10-01/electricity-tariffs/E-1R-AGILE-24-10-01-G/standard-unit-rates/</x:v>
      </x:c>
    </x:row>
    <x:row r="6194" ht="21" customHeight="1">
      <x:c r="A6194" s="24" t="n">
        <x:v>46277.541666666664</x:v>
      </x:c>
      <x:c r="B6194" s="6" t="n">
        <x:v>-0.0226</x:v>
      </x:c>
      <x:c r="C6194" s="6" t="n">
        <x:v>0.0159</x:v>
      </x:c>
      <x:c r="D6194" s="6" t="n">
        <x:f>B6194</x:f>
        <x:v>-0.0226</x:v>
      </x:c>
      <x:c r="E6194" s="1" t="n">
        <x:v>1.05</x:v>
      </x:c>
      <x:c r="F6194" s="1" t="str">
        <x:v>https://api.octopus.energy/v1/products/AGILE-24-10-01/electricity-tariffs/E-1R-AGILE-24-10-01-G/standard-unit-rates/</x:v>
      </x:c>
    </x:row>
    <x:row r="6195" ht="21" customHeight="1">
      <x:c r="A6195" s="24" t="n">
        <x:v>46277.5625</x:v>
      </x:c>
      <x:c r="B6195" s="6" t="n">
        <x:v>-0.0187</x:v>
      </x:c>
      <x:c r="C6195" s="6" t="n">
        <x:v>0.0177</x:v>
      </x:c>
      <x:c r="D6195" s="6" t="n">
        <x:f>B6195</x:f>
        <x:v>-0.0187</x:v>
      </x:c>
      <x:c r="E6195" s="1" t="n">
        <x:v>1.05</x:v>
      </x:c>
      <x:c r="F6195" s="1" t="str">
        <x:v>https://api.octopus.energy/v1/products/AGILE-24-10-01/electricity-tariffs/E-1R-AGILE-24-10-01-G/standard-unit-rates/</x:v>
      </x:c>
    </x:row>
    <x:row r="6196" ht="21" customHeight="1">
      <x:c r="A6196" s="24" t="n">
        <x:v>46277.583333333336</x:v>
      </x:c>
      <x:c r="B6196" s="6" t="n">
        <x:v>-0.0143</x:v>
      </x:c>
      <x:c r="C6196" s="6" t="n">
        <x:v>0.0197</x:v>
      </x:c>
      <x:c r="D6196" s="6" t="n">
        <x:f>B6196</x:f>
        <x:v>-0.0143</x:v>
      </x:c>
      <x:c r="E6196" s="1" t="n">
        <x:v>1.05</x:v>
      </x:c>
      <x:c r="F6196" s="1" t="str">
        <x:v>https://api.octopus.energy/v1/products/AGILE-24-10-01/electricity-tariffs/E-1R-AGILE-24-10-01-G/standard-unit-rates/</x:v>
      </x:c>
    </x:row>
    <x:row r="6197" ht="21" customHeight="1">
      <x:c r="A6197" s="24" t="n">
        <x:v>46277.604166666664</x:v>
      </x:c>
      <x:c r="B6197" s="6" t="n">
        <x:v>0.0168</x:v>
      </x:c>
      <x:c r="C6197" s="6" t="n">
        <x:v>0.0339</x:v>
      </x:c>
      <x:c r="D6197" s="6" t="n">
        <x:f>B6197</x:f>
        <x:v>0.0168</x:v>
      </x:c>
      <x:c r="E6197" s="1" t="n">
        <x:v>1.05</x:v>
      </x:c>
      <x:c r="F6197" s="1" t="str">
        <x:v>https://api.octopus.energy/v1/products/AGILE-24-10-01/electricity-tariffs/E-1R-AGILE-24-10-01-G/standard-unit-rates/</x:v>
      </x:c>
    </x:row>
    <x:row r="6198" ht="21" customHeight="1">
      <x:c r="A6198" s="24" t="n">
        <x:v>46277.625</x:v>
      </x:c>
      <x:c r="B6198" s="6" t="n">
        <x:v>-0.0046</x:v>
      </x:c>
      <x:c r="C6198" s="6" t="n">
        <x:v>0.0242</x:v>
      </x:c>
      <x:c r="D6198" s="6" t="n">
        <x:f>B6198</x:f>
        <x:v>-0.0046</x:v>
      </x:c>
      <x:c r="E6198" s="1" t="n">
        <x:v>1.05</x:v>
      </x:c>
      <x:c r="F6198" s="1" t="str">
        <x:v>https://api.octopus.energy/v1/products/AGILE-24-10-01/electricity-tariffs/E-1R-AGILE-24-10-01-G/standard-unit-rates/</x:v>
      </x:c>
    </x:row>
    <x:row r="6199" ht="21" customHeight="1">
      <x:c r="A6199" s="24" t="n">
        <x:v>46277.645833333336</x:v>
      </x:c>
      <x:c r="B6199" s="6" t="n">
        <x:v>0.0642</x:v>
      </x:c>
      <x:c r="C6199" s="6" t="n">
        <x:v>0.0556</x:v>
      </x:c>
      <x:c r="D6199" s="6" t="n">
        <x:f>B6199</x:f>
        <x:v>0.0642</x:v>
      </x:c>
      <x:c r="E6199" s="1" t="n">
        <x:v>1.05</x:v>
      </x:c>
      <x:c r="F6199" s="1" t="str">
        <x:v>https://api.octopus.energy/v1/products/AGILE-24-10-01/electricity-tariffs/E-1R-AGILE-24-10-01-G/standard-unit-rates/</x:v>
      </x:c>
    </x:row>
    <x:row r="6200" ht="21" customHeight="1">
      <x:c r="A6200" s="24" t="n">
        <x:v>46277.666666666664</x:v>
      </x:c>
      <x:c r="B6200" s="6" t="n">
        <x:v>0.2488</x:v>
      </x:c>
      <x:c r="C6200" s="6" t="n">
        <x:v>0.1441</x:v>
      </x:c>
      <x:c r="D6200" s="6" t="n">
        <x:f>B6200</x:f>
        <x:v>0.2488</x:v>
      </x:c>
      <x:c r="E6200" s="1" t="n">
        <x:v>1.05</x:v>
      </x:c>
      <x:c r="F6200" s="1" t="str">
        <x:v>https://api.octopus.energy/v1/products/AGILE-24-10-01/electricity-tariffs/E-1R-AGILE-24-10-01-G/standard-unit-rates/</x:v>
      </x:c>
    </x:row>
    <x:row r="6201" ht="21" customHeight="1">
      <x:c r="A6201" s="24" t="n">
        <x:v>46277.6875</x:v>
      </x:c>
      <x:c r="B6201" s="6" t="n">
        <x:v>0.3418</x:v>
      </x:c>
      <x:c r="C6201" s="6" t="n">
        <x:v>0.1865</x:v>
      </x:c>
      <x:c r="D6201" s="6" t="n">
        <x:f>B6201</x:f>
        <x:v>0.3418</x:v>
      </x:c>
      <x:c r="E6201" s="1" t="n">
        <x:v>1.05</x:v>
      </x:c>
      <x:c r="F6201" s="1" t="str">
        <x:v>https://api.octopus.energy/v1/products/AGILE-24-10-01/electricity-tariffs/E-1R-AGILE-24-10-01-G/standard-unit-rates/</x:v>
      </x:c>
    </x:row>
    <x:row r="6202" ht="21" customHeight="1">
      <x:c r="A6202" s="24" t="n">
        <x:v>46277.708333333336</x:v>
      </x:c>
      <x:c r="B6202" s="6" t="n">
        <x:v>0.4139</x:v>
      </x:c>
      <x:c r="C6202" s="6" t="n">
        <x:v>0.2195</x:v>
      </x:c>
      <x:c r="D6202" s="6" t="n">
        <x:f>B6202</x:f>
        <x:v>0.4139</x:v>
      </x:c>
      <x:c r="E6202" s="1" t="n">
        <x:v>1.05</x:v>
      </x:c>
      <x:c r="F6202" s="1" t="str">
        <x:v>https://api.octopus.energy/v1/products/AGILE-24-10-01/electricity-tariffs/E-1R-AGILE-24-10-01-G/standard-unit-rates/</x:v>
      </x:c>
    </x:row>
    <x:row r="6203" ht="21" customHeight="1">
      <x:c r="A6203" s="24" t="n">
        <x:v>46277.729166666664</x:v>
      </x:c>
      <x:c r="B6203" s="6" t="n">
        <x:v>0.4683</x:v>
      </x:c>
      <x:c r="C6203" s="6" t="n">
        <x:v>0.2444</x:v>
      </x:c>
      <x:c r="D6203" s="6" t="n">
        <x:f>B6203</x:f>
        <x:v>0.4683</x:v>
      </x:c>
      <x:c r="E6203" s="1" t="n">
        <x:v>1.05</x:v>
      </x:c>
      <x:c r="F6203" s="1" t="str">
        <x:v>https://api.octopus.energy/v1/products/AGILE-24-10-01/electricity-tariffs/E-1R-AGILE-24-10-01-G/standard-unit-rates/</x:v>
      </x:c>
    </x:row>
    <x:row r="6204" ht="21" customHeight="1">
      <x:c r="A6204" s="24" t="n">
        <x:v>46277.75</x:v>
      </x:c>
      <x:c r="B6204" s="6" t="n">
        <x:v>0.4586</x:v>
      </x:c>
      <x:c r="C6204" s="6" t="n">
        <x:v>0.24</x:v>
      </x:c>
      <x:c r="D6204" s="6" t="n">
        <x:f>B6204</x:f>
        <x:v>0.4586</x:v>
      </x:c>
      <x:c r="E6204" s="1" t="n">
        <x:v>1.05</x:v>
      </x:c>
      <x:c r="F6204" s="1" t="str">
        <x:v>https://api.octopus.energy/v1/products/AGILE-24-10-01/electricity-tariffs/E-1R-AGILE-24-10-01-G/standard-unit-rates/</x:v>
      </x:c>
    </x:row>
    <x:row r="6205" ht="21" customHeight="1">
      <x:c r="A6205" s="24" t="n">
        <x:v>46277.770833333336</x:v>
      </x:c>
      <x:c r="B6205" s="6" t="n">
        <x:v>0.4664</x:v>
      </x:c>
      <x:c r="C6205" s="6" t="n">
        <x:v>0.24350000000000002</x:v>
      </x:c>
      <x:c r="D6205" s="6" t="n">
        <x:f>B6205</x:f>
        <x:v>0.4664</x:v>
      </x:c>
      <x:c r="E6205" s="1" t="n">
        <x:v>1.05</x:v>
      </x:c>
      <x:c r="F6205" s="1" t="str">
        <x:v>https://api.octopus.energy/v1/products/AGILE-24-10-01/electricity-tariffs/E-1R-AGILE-24-10-01-G/standard-unit-rates/</x:v>
      </x:c>
    </x:row>
    <x:row r="6206" ht="21" customHeight="1">
      <x:c r="A6206" s="24" t="n">
        <x:v>46277.791666666664</x:v>
      </x:c>
      <x:c r="B6206" s="6" t="n">
        <x:v>0.34</x:v>
      </x:c>
      <x:c r="C6206" s="6" t="n">
        <x:v>0.18170000000000003</x:v>
      </x:c>
      <x:c r="D6206" s="6" t="n">
        <x:f>B6206</x:f>
        <x:v>0.34</x:v>
      </x:c>
      <x:c r="E6206" s="1" t="n">
        <x:v>1.05</x:v>
      </x:c>
      <x:c r="F6206" s="1" t="str">
        <x:v>https://api.octopus.energy/v1/products/AGILE-24-10-01/electricity-tariffs/E-1R-AGILE-24-10-01-G/standard-unit-rates/</x:v>
      </x:c>
    </x:row>
    <x:row r="6207" ht="21" customHeight="1">
      <x:c r="A6207" s="24" t="n">
        <x:v>46277.8125</x:v>
      </x:c>
      <x:c r="B6207" s="6" t="n">
        <x:v>0.3532</x:v>
      </x:c>
      <x:c r="C6207" s="6" t="n">
        <x:v>0.1877</x:v>
      </x:c>
      <x:c r="D6207" s="6" t="n">
        <x:f>B6207</x:f>
        <x:v>0.3532</x:v>
      </x:c>
      <x:c r="E6207" s="1" t="n">
        <x:v>1.05</x:v>
      </x:c>
      <x:c r="F6207" s="1" t="str">
        <x:v>https://api.octopus.energy/v1/products/AGILE-24-10-01/electricity-tariffs/E-1R-AGILE-24-10-01-G/standard-unit-rates/</x:v>
      </x:c>
    </x:row>
    <x:row r="6208" ht="21" customHeight="1">
      <x:c r="A6208" s="24" t="n">
        <x:v>46277.833333333336</x:v>
      </x:c>
      <x:c r="B6208" s="6" t="n">
        <x:v>0.35119999999999996</x:v>
      </x:c>
      <x:c r="C6208" s="6" t="n">
        <x:v>0.1868</x:v>
      </x:c>
      <x:c r="D6208" s="6" t="n">
        <x:f>B6208</x:f>
        <x:v>0.35119999999999996</x:v>
      </x:c>
      <x:c r="E6208" s="1" t="n">
        <x:v>1.05</x:v>
      </x:c>
      <x:c r="F6208" s="1" t="str">
        <x:v>https://api.octopus.energy/v1/products/AGILE-24-10-01/electricity-tariffs/E-1R-AGILE-24-10-01-G/standard-unit-rates/</x:v>
      </x:c>
    </x:row>
    <x:row r="6209" ht="21" customHeight="1">
      <x:c r="A6209" s="24" t="n">
        <x:v>46277.854166666664</x:v>
      </x:c>
      <x:c r="B6209" s="6" t="n">
        <x:v>0.3446</x:v>
      </x:c>
      <x:c r="C6209" s="6" t="n">
        <x:v>0.1838</x:v>
      </x:c>
      <x:c r="D6209" s="6" t="n">
        <x:f>B6209</x:f>
        <x:v>0.3446</x:v>
      </x:c>
      <x:c r="E6209" s="1" t="n">
        <x:v>1.05</x:v>
      </x:c>
      <x:c r="F6209" s="1" t="str">
        <x:v>https://api.octopus.energy/v1/products/AGILE-24-10-01/electricity-tariffs/E-1R-AGILE-24-10-01-G/standard-unit-rates/</x:v>
      </x:c>
    </x:row>
    <x:row r="6210" ht="21" customHeight="1">
      <x:c r="A6210" s="24" t="n">
        <x:v>46277.875</x:v>
      </x:c>
      <x:c r="B6210" s="6" t="n">
        <x:v>0.3435</x:v>
      </x:c>
      <x:c r="C6210" s="6" t="n">
        <x:v>0.1833</x:v>
      </x:c>
      <x:c r="D6210" s="6" t="n">
        <x:f>B6210</x:f>
        <x:v>0.3435</x:v>
      </x:c>
      <x:c r="E6210" s="1" t="n">
        <x:v>1.05</x:v>
      </x:c>
      <x:c r="F6210" s="1" t="str">
        <x:v>https://api.octopus.energy/v1/products/AGILE-24-10-01/electricity-tariffs/E-1R-AGILE-24-10-01-G/standard-unit-rates/</x:v>
      </x:c>
    </x:row>
    <x:row r="6211" ht="21" customHeight="1">
      <x:c r="A6211" s="24" t="n">
        <x:v>46277.895833333336</x:v>
      </x:c>
      <x:c r="B6211" s="6" t="n">
        <x:v>0.34990000000000004</x:v>
      </x:c>
      <x:c r="C6211" s="6" t="n">
        <x:v>0.1862</x:v>
      </x:c>
      <x:c r="D6211" s="6" t="n">
        <x:f>B6211</x:f>
        <x:v>0.34990000000000004</x:v>
      </x:c>
      <x:c r="E6211" s="1" t="n">
        <x:v>1.05</x:v>
      </x:c>
      <x:c r="F6211" s="1" t="str">
        <x:v>https://api.octopus.energy/v1/products/AGILE-24-10-01/electricity-tariffs/E-1R-AGILE-24-10-01-G/standard-unit-rates/</x:v>
      </x:c>
    </x:row>
    <x:row r="6212" ht="21" customHeight="1">
      <x:c r="A6212" s="24" t="n">
        <x:v>46277.916666666664</x:v>
      </x:c>
      <x:c r="B6212" s="6" t="n">
        <x:v>0.33399999999999996</x:v>
      </x:c>
      <x:c r="C6212" s="6" t="n">
        <x:v>0.179</x:v>
      </x:c>
      <x:c r="D6212" s="6" t="n">
        <x:f>B6212</x:f>
        <x:v>0.33399999999999996</x:v>
      </x:c>
      <x:c r="E6212" s="1" t="n">
        <x:v>1.05</x:v>
      </x:c>
      <x:c r="F6212" s="1" t="str">
        <x:v>https://api.octopus.energy/v1/products/AGILE-24-10-01/electricity-tariffs/E-1R-AGILE-24-10-01-G/standard-unit-rates/</x:v>
      </x:c>
    </x:row>
    <x:row r="6213" ht="21" customHeight="1">
      <x:c r="A6213" s="24" t="n">
        <x:v>46277.9375</x:v>
      </x:c>
      <x:c r="B6213" s="6" t="n">
        <x:v>0.3119</x:v>
      </x:c>
      <x:c r="C6213" s="6" t="n">
        <x:v>0.1689</x:v>
      </x:c>
      <x:c r="D6213" s="6" t="n">
        <x:f>B6213</x:f>
        <x:v>0.3119</x:v>
      </x:c>
      <x:c r="E6213" s="1" t="n">
        <x:v>1.05</x:v>
      </x:c>
      <x:c r="F6213" s="1" t="str">
        <x:v>https://api.octopus.energy/v1/products/AGILE-24-10-01/electricity-tariffs/E-1R-AGILE-24-10-01-G/standard-unit-rates/</x:v>
      </x:c>
    </x:row>
    <x:row r="6214" ht="21" customHeight="1">
      <x:c r="A6214" s="24" t="n">
        <x:v>46278</x:v>
      </x:c>
      <x:c r="B6214" s="6" t="n">
        <x:v>0.303</x:v>
      </x:c>
      <x:c r="C6214" s="6" t="n">
        <x:v>0.1648</x:v>
      </x:c>
      <x:c r="D6214" s="6" t="n">
        <x:f>B6214</x:f>
        <x:v>0.303</x:v>
      </x:c>
      <x:c r="E6214" s="1" t="n">
        <x:v>1.05</x:v>
      </x:c>
      <x:c r="F6214" s="1" t="str">
        <x:v>https://api.octopus.energy/v1/products/AGILE-24-10-01/electricity-tariffs/E-1R-AGILE-24-10-01-G/standard-unit-rates/</x:v>
      </x:c>
    </x:row>
    <x:row r="6215" ht="21" customHeight="1">
      <x:c r="A6215" s="24" t="n">
        <x:v>46277.979166666664</x:v>
      </x:c>
      <x:c r="B6215" s="6" t="n">
        <x:v>0.30260000000000004</x:v>
      </x:c>
      <x:c r="C6215" s="6" t="n">
        <x:v>0.1646</x:v>
      </x:c>
      <x:c r="D6215" s="6" t="n">
        <x:f>B6215</x:f>
        <x:v>0.30260000000000004</x:v>
      </x:c>
      <x:c r="E6215" s="1" t="n">
        <x:v>1.05</x:v>
      </x:c>
      <x:c r="F6215" s="1" t="str">
        <x:v>https://api.octopus.energy/v1/products/AGILE-24-10-01/electricity-tariffs/E-1R-AGILE-24-10-01-G/standard-unit-rates/</x:v>
      </x:c>
    </x:row>
    <x:row r="6216" ht="21" customHeight="1">
      <x:c r="A6216" s="24" t="n">
        <x:v>46278</x:v>
      </x:c>
      <x:c r="B6216" s="6" t="n">
        <x:v>0.304</x:v>
      </x:c>
      <x:c r="C6216" s="6" t="n">
        <x:v>0.16519999999999999</x:v>
      </x:c>
      <x:c r="D6216" s="6" t="n">
        <x:f>B6216</x:f>
        <x:v>0.304</x:v>
      </x:c>
      <x:c r="E6216" s="1" t="n">
        <x:v>1.05</x:v>
      </x:c>
      <x:c r="F6216" s="1" t="str">
        <x:v>https://api.octopus.energy/v1/products/AGILE-24-10-01/electricity-tariffs/E-1R-AGILE-24-10-01-G/standard-unit-rates/</x:v>
      </x:c>
    </x:row>
    <x:row r="6217" ht="21" customHeight="1">
      <x:c r="A6217" s="24" t="n">
        <x:v>46278.020833333336</x:v>
      </x:c>
      <x:c r="B6217" s="6" t="n">
        <x:v>0.2969</x:v>
      </x:c>
      <x:c r="C6217" s="6" t="n">
        <x:v>0.162</x:v>
      </x:c>
      <x:c r="D6217" s="6" t="n">
        <x:f>B6217</x:f>
        <x:v>0.2969</x:v>
      </x:c>
      <x:c r="E6217" s="1" t="n">
        <x:v>1.05</x:v>
      </x:c>
      <x:c r="F6217" s="1" t="str">
        <x:v>https://api.octopus.energy/v1/products/AGILE-24-10-01/electricity-tariffs/E-1R-AGILE-24-10-01-G/standard-unit-rates/</x:v>
      </x:c>
    </x:row>
    <x:row r="6218" ht="21" customHeight="1">
      <x:c r="A6218" s="24" t="n">
        <x:v>46278.041666666664</x:v>
      </x:c>
      <x:c r="B6218" s="6" t="n">
        <x:v>0.2926</x:v>
      </x:c>
      <x:c r="C6218" s="6" t="n">
        <x:v>0.16</x:v>
      </x:c>
      <x:c r="D6218" s="6" t="n">
        <x:f>B6218</x:f>
        <x:v>0.2926</x:v>
      </x:c>
      <x:c r="E6218" s="1" t="n">
        <x:v>1.05</x:v>
      </x:c>
      <x:c r="F6218" s="1" t="str">
        <x:v>https://api.octopus.energy/v1/products/AGILE-24-10-01/electricity-tariffs/E-1R-AGILE-24-10-01-G/standard-unit-rates/</x:v>
      </x:c>
    </x:row>
    <x:row r="6219" ht="21" customHeight="1">
      <x:c r="A6219" s="24" t="n">
        <x:v>46278.0625</x:v>
      </x:c>
      <x:c r="B6219" s="6" t="n">
        <x:v>0.2944</x:v>
      </x:c>
      <x:c r="C6219" s="6" t="n">
        <x:v>0.1609</x:v>
      </x:c>
      <x:c r="D6219" s="6" t="n">
        <x:f>B6219</x:f>
        <x:v>0.2944</x:v>
      </x:c>
      <x:c r="E6219" s="1" t="n">
        <x:v>1.05</x:v>
      </x:c>
      <x:c r="F6219" s="1" t="str">
        <x:v>https://api.octopus.energy/v1/products/AGILE-24-10-01/electricity-tariffs/E-1R-AGILE-24-10-01-G/standard-unit-rates/</x:v>
      </x:c>
    </x:row>
    <x:row r="6220" ht="21" customHeight="1">
      <x:c r="A6220" s="24" t="n">
        <x:v>46278.083333333336</x:v>
      </x:c>
      <x:c r="B6220" s="6" t="n">
        <x:v>0.2973</x:v>
      </x:c>
      <x:c r="C6220" s="6" t="n">
        <x:v>0.16219999999999998</x:v>
      </x:c>
      <x:c r="D6220" s="6" t="n">
        <x:f>B6220</x:f>
        <x:v>0.2973</x:v>
      </x:c>
      <x:c r="E6220" s="1" t="n">
        <x:v>1.05</x:v>
      </x:c>
      <x:c r="F6220" s="1" t="str">
        <x:v>https://api.octopus.energy/v1/products/AGILE-24-10-01/electricity-tariffs/E-1R-AGILE-24-10-01-G/standard-unit-rates/</x:v>
      </x:c>
    </x:row>
    <x:row r="6221" ht="21" customHeight="1">
      <x:c r="A6221" s="24" t="n">
        <x:v>46278.104166666664</x:v>
      </x:c>
      <x:c r="B6221" s="6" t="n">
        <x:v>0.2934</x:v>
      </x:c>
      <x:c r="C6221" s="6" t="n">
        <x:v>0.1604</x:v>
      </x:c>
      <x:c r="D6221" s="6" t="n">
        <x:f>B6221</x:f>
        <x:v>0.2934</x:v>
      </x:c>
      <x:c r="E6221" s="1" t="n">
        <x:v>1.05</x:v>
      </x:c>
      <x:c r="F6221" s="1" t="str">
        <x:v>https://api.octopus.energy/v1/products/AGILE-24-10-01/electricity-tariffs/E-1R-AGILE-24-10-01-G/standard-unit-rates/</x:v>
      </x:c>
    </x:row>
    <x:row r="6222" ht="21" customHeight="1">
      <x:c r="A6222" s="24" t="n">
        <x:v>46278.125</x:v>
      </x:c>
      <x:c r="B6222" s="6" t="n">
        <x:v>0.2965</x:v>
      </x:c>
      <x:c r="C6222" s="6" t="n">
        <x:v>0.1618</x:v>
      </x:c>
      <x:c r="D6222" s="6" t="n">
        <x:f>B6222</x:f>
        <x:v>0.2965</x:v>
      </x:c>
      <x:c r="E6222" s="1" t="n">
        <x:v>1.05</x:v>
      </x:c>
      <x:c r="F6222" s="1" t="str">
        <x:v>https://api.octopus.energy/v1/products/AGILE-24-10-01/electricity-tariffs/E-1R-AGILE-24-10-01-G/standard-unit-rates/</x:v>
      </x:c>
    </x:row>
    <x:row r="6223" ht="21" customHeight="1">
      <x:c r="A6223" s="24" t="n">
        <x:v>46278.145833333336</x:v>
      </x:c>
      <x:c r="B6223" s="6" t="n">
        <x:v>0.2942</x:v>
      </x:c>
      <x:c r="C6223" s="6" t="n">
        <x:v>0.16079999999999997</x:v>
      </x:c>
      <x:c r="D6223" s="6" t="n">
        <x:f>B6223</x:f>
        <x:v>0.2942</x:v>
      </x:c>
      <x:c r="E6223" s="1" t="n">
        <x:v>1.05</x:v>
      </x:c>
      <x:c r="F6223" s="1" t="str">
        <x:v>https://api.octopus.energy/v1/products/AGILE-24-10-01/electricity-tariffs/E-1R-AGILE-24-10-01-G/standard-unit-rates/</x:v>
      </x:c>
    </x:row>
    <x:row r="6224" ht="21" customHeight="1">
      <x:c r="A6224" s="24" t="n">
        <x:v>46278.166666666664</x:v>
      </x:c>
      <x:c r="B6224" s="6" t="n">
        <x:v>0.30260000000000004</x:v>
      </x:c>
      <x:c r="C6224" s="6" t="n">
        <x:v>0.1646</x:v>
      </x:c>
      <x:c r="D6224" s="6" t="n">
        <x:f>B6224</x:f>
        <x:v>0.30260000000000004</x:v>
      </x:c>
      <x:c r="E6224" s="1" t="n">
        <x:v>1.05</x:v>
      </x:c>
      <x:c r="F6224" s="1" t="str">
        <x:v>https://api.octopus.energy/v1/products/AGILE-24-10-01/electricity-tariffs/E-1R-AGILE-24-10-01-G/standard-unit-rates/</x:v>
      </x:c>
    </x:row>
    <x:row r="6225" ht="21" customHeight="1">
      <x:c r="A6225" s="24" t="n">
        <x:v>46278.1875</x:v>
      </x:c>
      <x:c r="B6225" s="6" t="n">
        <x:v>0.30010000000000003</x:v>
      </x:c>
      <x:c r="C6225" s="6" t="n">
        <x:v>0.1634</x:v>
      </x:c>
      <x:c r="D6225" s="6" t="n">
        <x:f>B6225</x:f>
        <x:v>0.30010000000000003</x:v>
      </x:c>
      <x:c r="E6225" s="1" t="n">
        <x:v>1.05</x:v>
      </x:c>
      <x:c r="F6225" s="1" t="str">
        <x:v>https://api.octopus.energy/v1/products/AGILE-24-10-01/electricity-tariffs/E-1R-AGILE-24-10-01-G/standard-unit-rates/</x:v>
      </x:c>
    </x:row>
    <x:row r="6226" ht="21" customHeight="1">
      <x:c r="A6226" s="24" t="n">
        <x:v>46278.208333333336</x:v>
      </x:c>
      <x:c r="B6226" s="6" t="n">
        <x:v>0.316</x:v>
      </x:c>
      <x:c r="C6226" s="6" t="n">
        <x:v>0.1707</x:v>
      </x:c>
      <x:c r="D6226" s="6" t="n">
        <x:f>B6226</x:f>
        <x:v>0.316</x:v>
      </x:c>
      <x:c r="E6226" s="1" t="n">
        <x:v>1.05</x:v>
      </x:c>
      <x:c r="F6226" s="1" t="str">
        <x:v>https://api.octopus.energy/v1/products/AGILE-24-10-01/electricity-tariffs/E-1R-AGILE-24-10-01-G/standard-unit-rates/</x:v>
      </x:c>
    </x:row>
    <x:row r="6227" ht="21" customHeight="1">
      <x:c r="A6227" s="24" t="n">
        <x:v>46278.229166666664</x:v>
      </x:c>
      <x:c r="B6227" s="6" t="n">
        <x:v>0.3043</x:v>
      </x:c>
      <x:c r="C6227" s="6" t="n">
        <x:v>0.1654</x:v>
      </x:c>
      <x:c r="D6227" s="6" t="n">
        <x:f>B6227</x:f>
        <x:v>0.3043</x:v>
      </x:c>
      <x:c r="E6227" s="1" t="n">
        <x:v>1.05</x:v>
      </x:c>
      <x:c r="F6227" s="1" t="str">
        <x:v>https://api.octopus.energy/v1/products/AGILE-24-10-01/electricity-tariffs/E-1R-AGILE-24-10-01-G/standard-unit-rates/</x:v>
      </x:c>
    </x:row>
    <x:row r="6228" ht="21" customHeight="1">
      <x:c r="A6228" s="24" t="n">
        <x:v>46278.25</x:v>
      </x:c>
      <x:c r="B6228" s="6" t="n">
        <x:v>0.32189999999999996</x:v>
      </x:c>
      <x:c r="C6228" s="6" t="n">
        <x:v>0.1734</x:v>
      </x:c>
      <x:c r="D6228" s="6" t="n">
        <x:f>B6228</x:f>
        <x:v>0.32189999999999996</x:v>
      </x:c>
      <x:c r="E6228" s="1" t="n">
        <x:v>1.05</x:v>
      </x:c>
      <x:c r="F6228" s="1" t="str">
        <x:v>https://api.octopus.energy/v1/products/AGILE-24-10-01/electricity-tariffs/E-1R-AGILE-24-10-01-G/standard-unit-rates/</x:v>
      </x:c>
    </x:row>
    <x:row r="6229" ht="21" customHeight="1">
      <x:c r="A6229" s="24" t="n">
        <x:v>46278.270833333336</x:v>
      </x:c>
      <x:c r="B6229" s="6" t="n">
        <x:v>0.3181</x:v>
      </x:c>
      <x:c r="C6229" s="6" t="n">
        <x:v>0.17170000000000002</x:v>
      </x:c>
      <x:c r="D6229" s="6" t="n">
        <x:f>B6229</x:f>
        <x:v>0.3181</x:v>
      </x:c>
      <x:c r="E6229" s="1" t="n">
        <x:v>1.05</x:v>
      </x:c>
      <x:c r="F6229" s="1" t="str">
        <x:v>https://api.octopus.energy/v1/products/AGILE-24-10-01/electricity-tariffs/E-1R-AGILE-24-10-01-G/standard-unit-rates/</x:v>
      </x:c>
    </x:row>
    <x:row r="6230" ht="21" customHeight="1">
      <x:c r="A6230" s="24" t="n">
        <x:v>46278.291666666664</x:v>
      </x:c>
      <x:c r="B6230" s="6" t="n">
        <x:v>0.312</x:v>
      </x:c>
      <x:c r="C6230" s="6" t="n">
        <x:v>0.1689</x:v>
      </x:c>
      <x:c r="D6230" s="6" t="n">
        <x:f>B6230</x:f>
        <x:v>0.312</x:v>
      </x:c>
      <x:c r="E6230" s="1" t="n">
        <x:v>1.05</x:v>
      </x:c>
      <x:c r="F6230" s="1" t="str">
        <x:v>https://api.octopus.energy/v1/products/AGILE-24-10-01/electricity-tariffs/E-1R-AGILE-24-10-01-G/standard-unit-rates/</x:v>
      </x:c>
    </x:row>
    <x:row r="6231" ht="21" customHeight="1">
      <x:c r="A6231" s="24" t="n">
        <x:v>46278.3125</x:v>
      </x:c>
      <x:c r="B6231" s="6" t="n">
        <x:v>0.2982</x:v>
      </x:c>
      <x:c r="C6231" s="6" t="n">
        <x:v>0.16260000000000002</x:v>
      </x:c>
      <x:c r="D6231" s="6" t="n">
        <x:f>B6231</x:f>
        <x:v>0.2982</x:v>
      </x:c>
      <x:c r="E6231" s="1" t="n">
        <x:v>1.05</x:v>
      </x:c>
      <x:c r="F6231" s="1" t="str">
        <x:v>https://api.octopus.energy/v1/products/AGILE-24-10-01/electricity-tariffs/E-1R-AGILE-24-10-01-G/standard-unit-rates/</x:v>
      </x:c>
    </x:row>
    <x:row r="6232" ht="21" customHeight="1">
      <x:c r="A6232" s="24" t="n">
        <x:v>46278.333333333336</x:v>
      </x:c>
      <x:c r="B6232" s="6" t="n">
        <x:v>0.304</x:v>
      </x:c>
      <x:c r="C6232" s="6" t="n">
        <x:v>0.1653</x:v>
      </x:c>
      <x:c r="D6232" s="6" t="n">
        <x:f>B6232</x:f>
        <x:v>0.304</x:v>
      </x:c>
      <x:c r="E6232" s="1" t="n">
        <x:v>1.05</x:v>
      </x:c>
      <x:c r="F6232" s="1" t="str">
        <x:v>https://api.octopus.energy/v1/products/AGILE-24-10-01/electricity-tariffs/E-1R-AGILE-24-10-01-G/standard-unit-rates/</x:v>
      </x:c>
    </x:row>
    <x:row r="6233" ht="21" customHeight="1">
      <x:c r="A6233" s="24" t="n">
        <x:v>46278.354166666664</x:v>
      </x:c>
      <x:c r="B6233" s="6" t="n">
        <x:v>0.3558</x:v>
      </x:c>
      <x:c r="C6233" s="6" t="n">
        <x:v>0.1889</x:v>
      </x:c>
      <x:c r="D6233" s="6" t="n">
        <x:f>B6233</x:f>
        <x:v>0.3558</x:v>
      </x:c>
      <x:c r="E6233" s="1" t="n">
        <x:v>1.05</x:v>
      </x:c>
      <x:c r="F6233" s="1" t="str">
        <x:v>https://api.octopus.energy/v1/products/AGILE-24-10-01/electricity-tariffs/E-1R-AGILE-24-10-01-G/standard-unit-rates/</x:v>
      </x:c>
    </x:row>
    <x:row r="6234" ht="21" customHeight="1">
      <x:c r="A6234" s="24" t="n">
        <x:v>46278.375</x:v>
      </x:c>
      <x:c r="B6234" s="6" t="n">
        <x:v>0.3586</x:v>
      </x:c>
      <x:c r="C6234" s="6" t="n">
        <x:v>0.1902</x:v>
      </x:c>
      <x:c r="D6234" s="6" t="n">
        <x:f>B6234</x:f>
        <x:v>0.3586</x:v>
      </x:c>
      <x:c r="E6234" s="1" t="n">
        <x:v>1.05</x:v>
      </x:c>
      <x:c r="F6234" s="1" t="str">
        <x:v>https://api.octopus.energy/v1/products/AGILE-24-10-01/electricity-tariffs/E-1R-AGILE-24-10-01-G/standard-unit-rates/</x:v>
      </x:c>
    </x:row>
    <x:row r="6235" ht="21" customHeight="1">
      <x:c r="A6235" s="24" t="n">
        <x:v>46278.395833333336</x:v>
      </x:c>
      <x:c r="B6235" s="6" t="n">
        <x:v>0.3782</x:v>
      </x:c>
      <x:c r="C6235" s="6" t="n">
        <x:v>0.19920000000000002</x:v>
      </x:c>
      <x:c r="D6235" s="6" t="n">
        <x:f>B6235</x:f>
        <x:v>0.3782</x:v>
      </x:c>
      <x:c r="E6235" s="1" t="n">
        <x:v>1.05</x:v>
      </x:c>
      <x:c r="F6235" s="1" t="str">
        <x:v>https://api.octopus.energy/v1/products/AGILE-24-10-01/electricity-tariffs/E-1R-AGILE-24-10-01-G/standard-unit-rates/</x:v>
      </x:c>
    </x:row>
    <x:row r="6236" ht="21" customHeight="1">
      <x:c r="A6236" s="24" t="n">
        <x:v>46278.416666666664</x:v>
      </x:c>
      <x:c r="B6236" s="6" t="n">
        <x:v>0.3677</x:v>
      </x:c>
      <x:c r="C6236" s="6" t="n">
        <x:v>0.19440000000000002</x:v>
      </x:c>
      <x:c r="D6236" s="6" t="n">
        <x:f>B6236</x:f>
        <x:v>0.3677</x:v>
      </x:c>
      <x:c r="E6236" s="1" t="n">
        <x:v>1.05</x:v>
      </x:c>
      <x:c r="F6236" s="1" t="str">
        <x:v>https://api.octopus.energy/v1/products/AGILE-24-10-01/electricity-tariffs/E-1R-AGILE-24-10-01-G/standard-unit-rates/</x:v>
      </x:c>
    </x:row>
    <x:row r="6237" ht="21" customHeight="1">
      <x:c r="A6237" s="24" t="n">
        <x:v>46278.4375</x:v>
      </x:c>
      <x:c r="B6237" s="6" t="n">
        <x:v>0.3493</x:v>
      </x:c>
      <x:c r="C6237" s="6" t="n">
        <x:v>0.18600000000000003</x:v>
      </x:c>
      <x:c r="D6237" s="6" t="n">
        <x:f>B6237</x:f>
        <x:v>0.3493</x:v>
      </x:c>
      <x:c r="E6237" s="1" t="n">
        <x:v>1.05</x:v>
      </x:c>
      <x:c r="F6237" s="1" t="str">
        <x:v>https://api.octopus.energy/v1/products/AGILE-24-10-01/electricity-tariffs/E-1R-AGILE-24-10-01-G/standard-unit-rates/</x:v>
      </x:c>
    </x:row>
    <x:row r="6238" ht="21" customHeight="1">
      <x:c r="A6238" s="24" t="n">
        <x:v>46278.458333333336</x:v>
      </x:c>
      <x:c r="B6238" s="6" t="n">
        <x:v>0.3267</x:v>
      </x:c>
      <x:c r="C6238" s="6" t="n">
        <x:v>0.17559999999999998</x:v>
      </x:c>
      <x:c r="D6238" s="6" t="n">
        <x:f>B6238</x:f>
        <x:v>0.3267</x:v>
      </x:c>
      <x:c r="E6238" s="1" t="n">
        <x:v>1.05</x:v>
      </x:c>
      <x:c r="F6238" s="1" t="str">
        <x:v>https://api.octopus.energy/v1/products/AGILE-24-10-01/electricity-tariffs/E-1R-AGILE-24-10-01-G/standard-unit-rates/</x:v>
      </x:c>
    </x:row>
    <x:row r="6239" ht="21" customHeight="1">
      <x:c r="A6239" s="24" t="n">
        <x:v>46278.479166666664</x:v>
      </x:c>
      <x:c r="B6239" s="6" t="n">
        <x:v>0.3332</x:v>
      </x:c>
      <x:c r="C6239" s="6" t="n">
        <x:v>0.17859999999999998</x:v>
      </x:c>
      <x:c r="D6239" s="6" t="n">
        <x:f>B6239</x:f>
        <x:v>0.3332</x:v>
      </x:c>
      <x:c r="E6239" s="1" t="n">
        <x:v>1.05</x:v>
      </x:c>
      <x:c r="F6239" s="1" t="str">
        <x:v>https://api.octopus.energy/v1/products/AGILE-24-10-01/electricity-tariffs/E-1R-AGILE-24-10-01-G/standard-unit-rates/</x:v>
      </x:c>
    </x:row>
    <x:row r="6240" ht="21" customHeight="1">
      <x:c r="A6240" s="24" t="n">
        <x:v>46278.5</x:v>
      </x:c>
      <x:c r="B6240" s="6" t="n">
        <x:v>0.3439</x:v>
      </x:c>
      <x:c r="C6240" s="6" t="n">
        <x:v>0.18350000000000002</x:v>
      </x:c>
      <x:c r="D6240" s="6" t="n">
        <x:f>B6240</x:f>
        <x:v>0.3439</x:v>
      </x:c>
      <x:c r="E6240" s="1" t="n">
        <x:v>1.05</x:v>
      </x:c>
      <x:c r="F6240" s="1" t="str">
        <x:v>https://api.octopus.energy/v1/products/AGILE-24-10-01/electricity-tariffs/E-1R-AGILE-24-10-01-G/standard-unit-rates/</x:v>
      </x:c>
    </x:row>
    <x:row r="6241" ht="21" customHeight="1">
      <x:c r="A6241" s="24" t="n">
        <x:v>46278.520833333336</x:v>
      </x:c>
      <x:c r="B6241" s="6" t="n">
        <x:v>0.337</x:v>
      </x:c>
      <x:c r="C6241" s="6" t="n">
        <x:v>0.18030000000000002</x:v>
      </x:c>
      <x:c r="D6241" s="6" t="n">
        <x:f>B6241</x:f>
        <x:v>0.337</x:v>
      </x:c>
      <x:c r="E6241" s="1" t="n">
        <x:v>1.05</x:v>
      </x:c>
      <x:c r="F6241" s="1" t="str">
        <x:v>https://api.octopus.energy/v1/products/AGILE-24-10-01/electricity-tariffs/E-1R-AGILE-24-10-01-G/standard-unit-rates/</x:v>
      </x:c>
    </x:row>
    <x:row r="6242" ht="21" customHeight="1">
      <x:c r="A6242" s="24" t="n">
        <x:v>46278.541666666664</x:v>
      </x:c>
      <x:c r="B6242" s="6" t="n">
        <x:v>0.33409999999999995</x:v>
      </x:c>
      <x:c r="C6242" s="6" t="n">
        <x:v>0.179</x:v>
      </x:c>
      <x:c r="D6242" s="6" t="n">
        <x:f>B6242</x:f>
        <x:v>0.33409999999999995</x:v>
      </x:c>
      <x:c r="E6242" s="1" t="n">
        <x:v>1.05</x:v>
      </x:c>
      <x:c r="F6242" s="1" t="str">
        <x:v>https://api.octopus.energy/v1/products/AGILE-24-10-01/electricity-tariffs/E-1R-AGILE-24-10-01-G/standard-unit-rates/</x:v>
      </x:c>
    </x:row>
    <x:row r="6243" ht="21" customHeight="1">
      <x:c r="A6243" s="24" t="n">
        <x:v>46278.5625</x:v>
      </x:c>
      <x:c r="B6243" s="6" t="n">
        <x:v>0.32380000000000003</x:v>
      </x:c>
      <x:c r="C6243" s="6" t="n">
        <x:v>0.1743</x:v>
      </x:c>
      <x:c r="D6243" s="6" t="n">
        <x:f>B6243</x:f>
        <x:v>0.32380000000000003</x:v>
      </x:c>
      <x:c r="E6243" s="1" t="n">
        <x:v>1.05</x:v>
      </x:c>
      <x:c r="F6243" s="1" t="str">
        <x:v>https://api.octopus.energy/v1/products/AGILE-24-10-01/electricity-tariffs/E-1R-AGILE-24-10-01-G/standard-unit-rates/</x:v>
      </x:c>
    </x:row>
    <x:row r="6244" ht="21" customHeight="1">
      <x:c r="A6244" s="24" t="n">
        <x:v>46278.583333333336</x:v>
      </x:c>
      <x:c r="B6244" s="6" t="n">
        <x:v>0.3032</x:v>
      </x:c>
      <x:c r="C6244" s="6" t="n">
        <x:v>0.1649</x:v>
      </x:c>
      <x:c r="D6244" s="6" t="n">
        <x:f>B6244</x:f>
        <x:v>0.3032</x:v>
      </x:c>
      <x:c r="E6244" s="1" t="n">
        <x:v>1.05</x:v>
      </x:c>
      <x:c r="F6244" s="1" t="str">
        <x:v>https://api.octopus.energy/v1/products/AGILE-24-10-01/electricity-tariffs/E-1R-AGILE-24-10-01-G/standard-unit-rates/</x:v>
      </x:c>
    </x:row>
    <x:row r="6245" ht="21" customHeight="1">
      <x:c r="A6245" s="24" t="n">
        <x:v>46278.604166666664</x:v>
      </x:c>
      <x:c r="B6245" s="6" t="n">
        <x:v>0.3102</x:v>
      </x:c>
      <x:c r="C6245" s="6" t="n">
        <x:v>0.1681</x:v>
      </x:c>
      <x:c r="D6245" s="6" t="n">
        <x:f>B6245</x:f>
        <x:v>0.3102</x:v>
      </x:c>
      <x:c r="E6245" s="1" t="n">
        <x:v>1.05</x:v>
      </x:c>
      <x:c r="F6245" s="1" t="str">
        <x:v>https://api.octopus.energy/v1/products/AGILE-24-10-01/electricity-tariffs/E-1R-AGILE-24-10-01-G/standard-unit-rates/</x:v>
      </x:c>
    </x:row>
    <x:row r="6246" ht="21" customHeight="1">
      <x:c r="A6246" s="24" t="n">
        <x:v>46278.625</x:v>
      </x:c>
      <x:c r="B6246" s="6" t="n">
        <x:v>0.30920000000000003</x:v>
      </x:c>
      <x:c r="C6246" s="6" t="n">
        <x:v>0.16760000000000003</x:v>
      </x:c>
      <x:c r="D6246" s="6" t="n">
        <x:f>B6246</x:f>
        <x:v>0.30920000000000003</x:v>
      </x:c>
      <x:c r="E6246" s="1" t="n">
        <x:v>1.05</x:v>
      </x:c>
      <x:c r="F6246" s="1" t="str">
        <x:v>https://api.octopus.energy/v1/products/AGILE-24-10-01/electricity-tariffs/E-1R-AGILE-24-10-01-G/standard-unit-rates/</x:v>
      </x:c>
    </x:row>
    <x:row r="6247" ht="21" customHeight="1">
      <x:c r="A6247" s="24" t="n">
        <x:v>46278.645833333336</x:v>
      </x:c>
      <x:c r="B6247" s="6" t="n">
        <x:v>0.3207</x:v>
      </x:c>
      <x:c r="C6247" s="6" t="n">
        <x:v>0.1729</x:v>
      </x:c>
      <x:c r="D6247" s="6" t="n">
        <x:f>B6247</x:f>
        <x:v>0.3207</x:v>
      </x:c>
      <x:c r="E6247" s="1" t="n">
        <x:v>1.05</x:v>
      </x:c>
      <x:c r="F6247" s="1" t="str">
        <x:v>https://api.octopus.energy/v1/products/AGILE-24-10-01/electricity-tariffs/E-1R-AGILE-24-10-01-G/standard-unit-rates/</x:v>
      </x:c>
    </x:row>
    <x:row r="6248" ht="21" customHeight="1">
      <x:c r="A6248" s="24" t="n">
        <x:v>46278.666666666664</x:v>
      </x:c>
      <x:c r="B6248" s="6" t="n">
        <x:v>0.4653</x:v>
      </x:c>
      <x:c r="C6248" s="6" t="n">
        <x:v>0.243</x:v>
      </x:c>
      <x:c r="D6248" s="6" t="n">
        <x:f>B6248</x:f>
        <x:v>0.4653</x:v>
      </x:c>
      <x:c r="E6248" s="1" t="n">
        <x:v>1.05</x:v>
      </x:c>
      <x:c r="F6248" s="1" t="str">
        <x:v>https://api.octopus.energy/v1/products/AGILE-24-10-01/electricity-tariffs/E-1R-AGILE-24-10-01-G/standard-unit-rates/</x:v>
      </x:c>
    </x:row>
    <x:row r="6249" ht="21" customHeight="1">
      <x:c r="A6249" s="24" t="n">
        <x:v>46278.6875</x:v>
      </x:c>
      <x:c r="B6249" s="6" t="n">
        <x:v>0.5061</x:v>
      </x:c>
      <x:c r="C6249" s="6" t="n">
        <x:v>0.26170000000000004</x:v>
      </x:c>
      <x:c r="D6249" s="6" t="n">
        <x:f>B6249</x:f>
        <x:v>0.5061</x:v>
      </x:c>
      <x:c r="E6249" s="1" t="n">
        <x:v>1.05</x:v>
      </x:c>
      <x:c r="F6249" s="1" t="str">
        <x:v>https://api.octopus.energy/v1/products/AGILE-24-10-01/electricity-tariffs/E-1R-AGILE-24-10-01-G/standard-unit-rates/</x:v>
      </x:c>
    </x:row>
    <x:row r="6250" ht="21" customHeight="1">
      <x:c r="A6250" s="24" t="n">
        <x:v>46278.708333333336</x:v>
      </x:c>
      <x:c r="B6250" s="6" t="n">
        <x:v>0.5086999999999999</x:v>
      </x:c>
      <x:c r="C6250" s="6" t="n">
        <x:v>0.26289999999999997</x:v>
      </x:c>
      <x:c r="D6250" s="6" t="n">
        <x:f>B6250</x:f>
        <x:v>0.5086999999999999</x:v>
      </x:c>
      <x:c r="E6250" s="1" t="n">
        <x:v>1.05</x:v>
      </x:c>
      <x:c r="F6250" s="1" t="str">
        <x:v>https://api.octopus.energy/v1/products/AGILE-24-10-01/electricity-tariffs/E-1R-AGILE-24-10-01-G/standard-unit-rates/</x:v>
      </x:c>
    </x:row>
    <x:row r="6251" ht="21" customHeight="1">
      <x:c r="A6251" s="24" t="n">
        <x:v>46278.729166666664</x:v>
      </x:c>
      <x:c r="B6251" s="6" t="n">
        <x:v>0.5086999999999999</x:v>
      </x:c>
      <x:c r="C6251" s="6" t="n">
        <x:v>0.26289999999999997</x:v>
      </x:c>
      <x:c r="D6251" s="6" t="n">
        <x:f>B6251</x:f>
        <x:v>0.5086999999999999</x:v>
      </x:c>
      <x:c r="E6251" s="1" t="n">
        <x:v>1.05</x:v>
      </x:c>
      <x:c r="F6251" s="1" t="str">
        <x:v>https://api.octopus.energy/v1/products/AGILE-24-10-01/electricity-tariffs/E-1R-AGILE-24-10-01-G/standard-unit-rates/</x:v>
      </x:c>
    </x:row>
    <x:row r="6252" ht="21" customHeight="1">
      <x:c r="A6252" s="24" t="n">
        <x:v>46278.75</x:v>
      </x:c>
      <x:c r="B6252" s="6" t="n">
        <x:v>0.5406</x:v>
      </x:c>
      <x:c r="C6252" s="6" t="n">
        <x:v>0.2774</x:v>
      </x:c>
      <x:c r="D6252" s="6" t="n">
        <x:f>B6252</x:f>
        <x:v>0.5406</x:v>
      </x:c>
      <x:c r="E6252" s="1" t="n">
        <x:v>1.05</x:v>
      </x:c>
      <x:c r="F6252" s="1" t="str">
        <x:v>https://api.octopus.energy/v1/products/AGILE-24-10-01/electricity-tariffs/E-1R-AGILE-24-10-01-G/standard-unit-rates/</x:v>
      </x:c>
    </x:row>
    <x:row r="6253" ht="21" customHeight="1">
      <x:c r="A6253" s="24" t="n">
        <x:v>46278.770833333336</x:v>
      </x:c>
      <x:c r="B6253" s="6" t="n">
        <x:v>0.5284</x:v>
      </x:c>
      <x:c r="C6253" s="6" t="n">
        <x:v>0.27190000000000003</x:v>
      </x:c>
      <x:c r="D6253" s="6" t="n">
        <x:f>B6253</x:f>
        <x:v>0.5284</x:v>
      </x:c>
      <x:c r="E6253" s="1" t="n">
        <x:v>1.05</x:v>
      </x:c>
      <x:c r="F6253" s="1" t="str">
        <x:v>https://api.octopus.energy/v1/products/AGILE-24-10-01/electricity-tariffs/E-1R-AGILE-24-10-01-G/standard-unit-rates/</x:v>
      </x:c>
    </x:row>
    <x:row r="6254" ht="21" customHeight="1">
      <x:c r="A6254" s="24" t="n">
        <x:v>46278.791666666664</x:v>
      </x:c>
      <x:c r="B6254" s="6" t="n">
        <x:v>0.4105</x:v>
      </x:c>
      <x:c r="C6254" s="6" t="n">
        <x:v>0.2139</x:v>
      </x:c>
      <x:c r="D6254" s="6" t="n">
        <x:f>B6254</x:f>
        <x:v>0.4105</x:v>
      </x:c>
      <x:c r="E6254" s="1" t="n">
        <x:v>1.05</x:v>
      </x:c>
      <x:c r="F6254" s="1" t="str">
        <x:v>https://api.octopus.energy/v1/products/AGILE-24-10-01/electricity-tariffs/E-1R-AGILE-24-10-01-G/standard-unit-rates/</x:v>
      </x:c>
    </x:row>
    <x:row r="6255" ht="21" customHeight="1">
      <x:c r="A6255" s="24" t="n">
        <x:v>46278.8125</x:v>
      </x:c>
      <x:c r="B6255" s="6" t="n">
        <x:v>0.42950000000000005</x:v>
      </x:c>
      <x:c r="C6255" s="6" t="n">
        <x:v>0.22260000000000002</x:v>
      </x:c>
      <x:c r="D6255" s="6" t="n">
        <x:f>B6255</x:f>
        <x:v>0.42950000000000005</x:v>
      </x:c>
      <x:c r="E6255" s="1" t="n">
        <x:v>1.05</x:v>
      </x:c>
      <x:c r="F6255" s="1" t="str">
        <x:v>https://api.octopus.energy/v1/products/AGILE-24-10-01/electricity-tariffs/E-1R-AGILE-24-10-01-G/standard-unit-rates/</x:v>
      </x:c>
    </x:row>
    <x:row r="6256" ht="21" customHeight="1">
      <x:c r="A6256" s="24" t="n">
        <x:v>46278.833333333336</x:v>
      </x:c>
      <x:c r="B6256" s="6" t="n">
        <x:v>0.4288</x:v>
      </x:c>
      <x:c r="C6256" s="6" t="n">
        <x:v>0.2223</x:v>
      </x:c>
      <x:c r="D6256" s="6" t="n">
        <x:f>B6256</x:f>
        <x:v>0.4288</x:v>
      </x:c>
      <x:c r="E6256" s="1" t="n">
        <x:v>1.05</x:v>
      </x:c>
      <x:c r="F6256" s="1" t="str">
        <x:v>https://api.octopus.energy/v1/products/AGILE-24-10-01/electricity-tariffs/E-1R-AGILE-24-10-01-G/standard-unit-rates/</x:v>
      </x:c>
    </x:row>
    <x:row r="6257" ht="21" customHeight="1">
      <x:c r="A6257" s="24" t="n">
        <x:v>46278.854166666664</x:v>
      </x:c>
      <x:c r="B6257" s="6" t="n">
        <x:v>0.42060000000000003</x:v>
      </x:c>
      <x:c r="C6257" s="6" t="n">
        <x:v>0.21850000000000003</x:v>
      </x:c>
      <x:c r="D6257" s="6" t="n">
        <x:f>B6257</x:f>
        <x:v>0.42060000000000003</x:v>
      </x:c>
      <x:c r="E6257" s="1" t="n">
        <x:v>1.05</x:v>
      </x:c>
      <x:c r="F6257" s="1" t="str">
        <x:v>https://api.octopus.energy/v1/products/AGILE-24-10-01/electricity-tariffs/E-1R-AGILE-24-10-01-G/standard-unit-rates/</x:v>
      </x:c>
    </x:row>
    <x:row r="6258" ht="21" customHeight="1">
      <x:c r="A6258" s="24" t="n">
        <x:v>46278.875</x:v>
      </x:c>
      <x:c r="B6258" s="6" t="n">
        <x:v>0.40340000000000004</x:v>
      </x:c>
      <x:c r="C6258" s="6" t="n">
        <x:v>0.2107</x:v>
      </x:c>
      <x:c r="D6258" s="6" t="n">
        <x:f>B6258</x:f>
        <x:v>0.40340000000000004</x:v>
      </x:c>
      <x:c r="E6258" s="1" t="n">
        <x:v>1.05</x:v>
      </x:c>
      <x:c r="F6258" s="1" t="str">
        <x:v>https://api.octopus.energy/v1/products/AGILE-24-10-01/electricity-tariffs/E-1R-AGILE-24-10-01-G/standard-unit-rates/</x:v>
      </x:c>
    </x:row>
    <x:row r="6259" ht="21" customHeight="1">
      <x:c r="A6259" s="24" t="n">
        <x:v>46278.895833333336</x:v>
      </x:c>
      <x:c r="B6259" s="6" t="n">
        <x:v>0.3686</x:v>
      </x:c>
      <x:c r="C6259" s="6" t="n">
        <x:v>0.1948</x:v>
      </x:c>
      <x:c r="D6259" s="6" t="n">
        <x:f>B6259</x:f>
        <x:v>0.3686</x:v>
      </x:c>
      <x:c r="E6259" s="1" t="n">
        <x:v>1.05</x:v>
      </x:c>
      <x:c r="F6259" s="1" t="str">
        <x:v>https://api.octopus.energy/v1/products/AGILE-24-10-01/electricity-tariffs/E-1R-AGILE-24-10-01-G/standard-unit-rates/</x:v>
      </x:c>
    </x:row>
    <x:row r="6260" ht="21" customHeight="1">
      <x:c r="A6260" s="24" t="n">
        <x:v>46278.916666666664</x:v>
      </x:c>
      <x:c r="B6260" s="6" t="n">
        <x:v>0.35590000000000005</x:v>
      </x:c>
      <x:c r="C6260" s="6" t="n">
        <x:v>0.18899999999999997</x:v>
      </x:c>
      <x:c r="D6260" s="6" t="n">
        <x:f>B6260</x:f>
        <x:v>0.35590000000000005</x:v>
      </x:c>
      <x:c r="E6260" s="1" t="n">
        <x:v>1.05</x:v>
      </x:c>
      <x:c r="F6260" s="1" t="str">
        <x:v>https://api.octopus.energy/v1/products/AGILE-24-10-01/electricity-tariffs/E-1R-AGILE-24-10-01-G/standard-unit-rates/</x:v>
      </x:c>
    </x:row>
    <x:row r="6261" ht="21" customHeight="1">
      <x:c r="A6261" s="24" t="n">
        <x:v>46278.9375</x:v>
      </x:c>
      <x:c r="B6261" s="6" t="n">
        <x:v>0.3299</x:v>
      </x:c>
      <x:c r="C6261" s="6" t="n">
        <x:v>0.1771</x:v>
      </x:c>
      <x:c r="D6261" s="6" t="n">
        <x:f>B6261</x:f>
        <x:v>0.3299</x:v>
      </x:c>
      <x:c r="E6261" s="1" t="n">
        <x:v>1.05</x:v>
      </x:c>
      <x:c r="F6261" s="1" t="str">
        <x:v>https://api.octopus.energy/v1/products/AGILE-24-10-01/electricity-tariffs/E-1R-AGILE-24-10-01-G/standard-unit-rates/</x:v>
      </x:c>
    </x:row>
    <x:row r="6262" ht="21" customHeight="1">
      <x:c r="A6262" s="24" t="n">
        <x:v>46279</x:v>
      </x:c>
      <x:c r="B6262" s="6" t="n">
        <x:v>0.3496</x:v>
      </x:c>
      <x:c r="C6262" s="6" t="n">
        <x:v>0.1861</x:v>
      </x:c>
      <x:c r="D6262" s="6" t="n">
        <x:f>B6262</x:f>
        <x:v>0.3496</x:v>
      </x:c>
      <x:c r="E6262" s="1" t="n">
        <x:v>1.05</x:v>
      </x:c>
      <x:c r="F6262" s="1" t="str">
        <x:v>https://api.octopus.energy/v1/products/AGILE-24-10-01/electricity-tariffs/E-1R-AGILE-24-10-01-G/standard-unit-rates/</x:v>
      </x:c>
    </x:row>
    <x:row r="6263" ht="21" customHeight="1">
      <x:c r="A6263" s="24" t="n">
        <x:v>46278.979166666664</x:v>
      </x:c>
      <x:c r="B6263" s="6" t="n">
        <x:v>0.3214</x:v>
      </x:c>
      <x:c r="C6263" s="6" t="n">
        <x:v>0.1732</x:v>
      </x:c>
      <x:c r="D6263" s="6" t="n">
        <x:f>B6263</x:f>
        <x:v>0.3214</x:v>
      </x:c>
      <x:c r="E6263" s="1" t="n">
        <x:v>1.05</x:v>
      </x:c>
      <x:c r="F6263" s="1" t="str">
        <x:v>https://api.octopus.energy/v1/products/AGILE-24-10-01/electricity-tariffs/E-1R-AGILE-24-10-01-G/standard-unit-rates/</x:v>
      </x:c>
    </x:row>
    <x:row r="6264" ht="21" customHeight="1">
      <x:c r="A6264" s="24" t="n">
        <x:v>46279</x:v>
      </x:c>
      <x:c r="B6264" s="6" t="n">
        <x:v>0.3297</x:v>
      </x:c>
      <x:c r="C6264" s="6" t="n">
        <x:v>0.177</x:v>
      </x:c>
      <x:c r="D6264" s="6" t="n">
        <x:f>B6264</x:f>
        <x:v>0.3297</x:v>
      </x:c>
      <x:c r="E6264" s="1" t="n">
        <x:v>1.05</x:v>
      </x:c>
      <x:c r="F6264" s="1" t="str">
        <x:v>https://api.octopus.energy/v1/products/AGILE-24-10-01/electricity-tariffs/E-1R-AGILE-24-10-01-G/standard-unit-rates/</x:v>
      </x:c>
    </x:row>
    <x:row r="6265" ht="21" customHeight="1">
      <x:c r="A6265" s="24" t="n">
        <x:v>46279.020833333336</x:v>
      </x:c>
      <x:c r="B6265" s="6" t="n">
        <x:v>0.3194</x:v>
      </x:c>
      <x:c r="C6265" s="6" t="n">
        <x:v>0.1723</x:v>
      </x:c>
      <x:c r="D6265" s="6" t="n">
        <x:f>B6265</x:f>
        <x:v>0.3194</x:v>
      </x:c>
      <x:c r="E6265" s="1" t="n">
        <x:v>1.05</x:v>
      </x:c>
      <x:c r="F6265" s="1" t="str">
        <x:v>https://api.octopus.energy/v1/products/AGILE-24-10-01/electricity-tariffs/E-1R-AGILE-24-10-01-G/standard-unit-rates/</x:v>
      </x:c>
    </x:row>
    <x:row r="6266" ht="21" customHeight="1">
      <x:c r="A6266" s="24" t="n">
        <x:v>46279.041666666664</x:v>
      </x:c>
      <x:c r="B6266" s="6" t="n">
        <x:v>0.3173</x:v>
      </x:c>
      <x:c r="C6266" s="6" t="n">
        <x:v>0.17129999999999998</x:v>
      </x:c>
      <x:c r="D6266" s="6" t="n">
        <x:f>B6266</x:f>
        <x:v>0.3173</x:v>
      </x:c>
      <x:c r="E6266" s="1" t="n">
        <x:v>1.05</x:v>
      </x:c>
      <x:c r="F6266" s="1" t="str">
        <x:v>https://api.octopus.energy/v1/products/AGILE-24-10-01/electricity-tariffs/E-1R-AGILE-24-10-01-G/standard-unit-rates/</x:v>
      </x:c>
    </x:row>
    <x:row r="6267" ht="21" customHeight="1">
      <x:c r="A6267" s="24" t="n">
        <x:v>46279.0625</x:v>
      </x:c>
      <x:c r="B6267" s="6" t="n">
        <x:v>0.3361</x:v>
      </x:c>
      <x:c r="C6267" s="6" t="n">
        <x:v>0.17989999999999998</x:v>
      </x:c>
      <x:c r="D6267" s="6" t="n">
        <x:f>B6267</x:f>
        <x:v>0.3361</x:v>
      </x:c>
      <x:c r="E6267" s="1" t="n">
        <x:v>1.05</x:v>
      </x:c>
      <x:c r="F6267" s="1" t="str">
        <x:v>https://api.octopus.energy/v1/products/AGILE-24-10-01/electricity-tariffs/E-1R-AGILE-24-10-01-G/standard-unit-rates/</x:v>
      </x:c>
    </x:row>
    <x:row r="6268" ht="21" customHeight="1">
      <x:c r="A6268" s="24" t="n">
        <x:v>46279.083333333336</x:v>
      </x:c>
      <x:c r="B6268" s="6" t="n">
        <x:v>0.3342</x:v>
      </x:c>
      <x:c r="C6268" s="6" t="n">
        <x:v>0.1791</x:v>
      </x:c>
      <x:c r="D6268" s="6" t="n">
        <x:f>B6268</x:f>
        <x:v>0.3342</x:v>
      </x:c>
      <x:c r="E6268" s="1" t="n">
        <x:v>1.05</x:v>
      </x:c>
      <x:c r="F6268" s="1" t="str">
        <x:v>https://api.octopus.energy/v1/products/AGILE-24-10-01/electricity-tariffs/E-1R-AGILE-24-10-01-G/standard-unit-rates/</x:v>
      </x:c>
    </x:row>
    <x:row r="6269" ht="21" customHeight="1">
      <x:c r="A6269" s="24" t="n">
        <x:v>46279.104166666664</x:v>
      </x:c>
      <x:c r="B6269" s="6" t="n">
        <x:v>0.3146</x:v>
      </x:c>
      <x:c r="C6269" s="6" t="n">
        <x:v>0.17010000000000003</x:v>
      </x:c>
      <x:c r="D6269" s="6" t="n">
        <x:f>B6269</x:f>
        <x:v>0.3146</x:v>
      </x:c>
      <x:c r="E6269" s="1" t="n">
        <x:v>1.05</x:v>
      </x:c>
      <x:c r="F6269" s="1" t="str">
        <x:v>https://api.octopus.energy/v1/products/AGILE-24-10-01/electricity-tariffs/E-1R-AGILE-24-10-01-G/standard-unit-rates/</x:v>
      </x:c>
    </x:row>
    <x:row r="6270" ht="21" customHeight="1">
      <x:c r="A6270" s="24" t="n">
        <x:v>46279.125</x:v>
      </x:c>
      <x:c r="B6270" s="6" t="n">
        <x:v>0.3131</x:v>
      </x:c>
      <x:c r="C6270" s="6" t="n">
        <x:v>0.16940000000000002</x:v>
      </x:c>
      <x:c r="D6270" s="6" t="n">
        <x:f>B6270</x:f>
        <x:v>0.3131</x:v>
      </x:c>
      <x:c r="E6270" s="1" t="n">
        <x:v>1.05</x:v>
      </x:c>
      <x:c r="F6270" s="1" t="str">
        <x:v>https://api.octopus.energy/v1/products/AGILE-24-10-01/electricity-tariffs/E-1R-AGILE-24-10-01-G/standard-unit-rates/</x:v>
      </x:c>
    </x:row>
    <x:row r="6271" ht="21" customHeight="1">
      <x:c r="A6271" s="24" t="n">
        <x:v>46279.145833333336</x:v>
      </x:c>
      <x:c r="B6271" s="6" t="n">
        <x:v>0.3131</x:v>
      </x:c>
      <x:c r="C6271" s="6" t="n">
        <x:v>0.16940000000000002</x:v>
      </x:c>
      <x:c r="D6271" s="6" t="n">
        <x:f>B6271</x:f>
        <x:v>0.3131</x:v>
      </x:c>
      <x:c r="E6271" s="1" t="n">
        <x:v>1.05</x:v>
      </x:c>
      <x:c r="F6271" s="1" t="str">
        <x:v>https://api.octopus.energy/v1/products/AGILE-24-10-01/electricity-tariffs/E-1R-AGILE-24-10-01-G/standard-unit-rates/</x:v>
      </x:c>
    </x:row>
    <x:row r="6272" ht="21" customHeight="1">
      <x:c r="A6272" s="24" t="n">
        <x:v>46279.166666666664</x:v>
      </x:c>
      <x:c r="B6272" s="6" t="n">
        <x:v>0.3312</x:v>
      </x:c>
      <x:c r="C6272" s="6" t="n">
        <x:v>0.1777</x:v>
      </x:c>
      <x:c r="D6272" s="6" t="n">
        <x:f>B6272</x:f>
        <x:v>0.3312</x:v>
      </x:c>
      <x:c r="E6272" s="1" t="n">
        <x:v>1.05</x:v>
      </x:c>
      <x:c r="F6272" s="1" t="str">
        <x:v>https://api.octopus.energy/v1/products/AGILE-24-10-01/electricity-tariffs/E-1R-AGILE-24-10-01-G/standard-unit-rates/</x:v>
      </x:c>
    </x:row>
    <x:row r="6273" ht="21" customHeight="1">
      <x:c r="A6273" s="24" t="n">
        <x:v>46279.1875</x:v>
      </x:c>
      <x:c r="B6273" s="6" t="n">
        <x:v>0.3261</x:v>
      </x:c>
      <x:c r="C6273" s="6" t="n">
        <x:v>0.1754</x:v>
      </x:c>
      <x:c r="D6273" s="6" t="n">
        <x:f>B6273</x:f>
        <x:v>0.3261</x:v>
      </x:c>
      <x:c r="E6273" s="1" t="n">
        <x:v>1.05</x:v>
      </x:c>
      <x:c r="F6273" s="1" t="str">
        <x:v>https://api.octopus.energy/v1/products/AGILE-24-10-01/electricity-tariffs/E-1R-AGILE-24-10-01-G/standard-unit-rates/</x:v>
      </x:c>
    </x:row>
    <x:row r="6274" ht="21" customHeight="1">
      <x:c r="A6274" s="24" t="n">
        <x:v>46279.208333333336</x:v>
      </x:c>
      <x:c r="B6274" s="6" t="n">
        <x:v>0.3857</x:v>
      </x:c>
      <x:c r="C6274" s="6" t="n">
        <x:v>0.2026</x:v>
      </x:c>
      <x:c r="D6274" s="6" t="n">
        <x:f>B6274</x:f>
        <x:v>0.3857</x:v>
      </x:c>
      <x:c r="E6274" s="1" t="n">
        <x:v>1.05</x:v>
      </x:c>
      <x:c r="F6274" s="1" t="str">
        <x:v>https://api.octopus.energy/v1/products/AGILE-24-10-01/electricity-tariffs/E-1R-AGILE-24-10-01-G/standard-unit-rates/</x:v>
      </x:c>
    </x:row>
    <x:row r="6275" ht="21" customHeight="1">
      <x:c r="A6275" s="24" t="n">
        <x:v>46279.229166666664</x:v>
      </x:c>
      <x:c r="B6275" s="6" t="n">
        <x:v>0.41600000000000004</x:v>
      </x:c>
      <x:c r="C6275" s="6" t="n">
        <x:v>0.2164</x:v>
      </x:c>
      <x:c r="D6275" s="6" t="n">
        <x:f>B6275</x:f>
        <x:v>0.41600000000000004</x:v>
      </x:c>
      <x:c r="E6275" s="1" t="n">
        <x:v>1.05</x:v>
      </x:c>
      <x:c r="F6275" s="1" t="str">
        <x:v>https://api.octopus.energy/v1/products/AGILE-24-10-01/electricity-tariffs/E-1R-AGILE-24-10-01-G/standard-unit-rates/</x:v>
      </x:c>
    </x:row>
    <x:row r="6276" ht="21" customHeight="1">
      <x:c r="A6276" s="24" t="n">
        <x:v>46279.25</x:v>
      </x:c>
      <x:c r="B6276" s="6" t="n">
        <x:v>0.40759999999999996</x:v>
      </x:c>
      <x:c r="C6276" s="6" t="n">
        <x:v>0.2126</x:v>
      </x:c>
      <x:c r="D6276" s="6" t="n">
        <x:f>B6276</x:f>
        <x:v>0.40759999999999996</x:v>
      </x:c>
      <x:c r="E6276" s="1" t="n">
        <x:v>1.05</x:v>
      </x:c>
      <x:c r="F6276" s="1" t="str">
        <x:v>https://api.octopus.energy/v1/products/AGILE-24-10-01/electricity-tariffs/E-1R-AGILE-24-10-01-G/standard-unit-rates/</x:v>
      </x:c>
    </x:row>
    <x:row r="6277" ht="21" customHeight="1">
      <x:c r="A6277" s="24" t="n">
        <x:v>46279.270833333336</x:v>
      </x:c>
      <x:c r="B6277" s="6" t="n">
        <x:v>0.4328</x:v>
      </x:c>
      <x:c r="C6277" s="6" t="n">
        <x:v>0.2241</x:v>
      </x:c>
      <x:c r="D6277" s="6" t="n">
        <x:f>B6277</x:f>
        <x:v>0.4328</x:v>
      </x:c>
      <x:c r="E6277" s="1" t="n">
        <x:v>1.05</x:v>
      </x:c>
      <x:c r="F6277" s="1" t="str">
        <x:v>https://api.octopus.energy/v1/products/AGILE-24-10-01/electricity-tariffs/E-1R-AGILE-24-10-01-G/standard-unit-rates/</x:v>
      </x:c>
    </x:row>
    <x:row r="6278" ht="21" customHeight="1">
      <x:c r="A6278" s="24" t="n">
        <x:v>46279.291666666664</x:v>
      </x:c>
      <x:c r="B6278" s="6" t="n">
        <x:v>0.4286</x:v>
      </x:c>
      <x:c r="C6278" s="6" t="n">
        <x:v>0.22219999999999998</x:v>
      </x:c>
      <x:c r="D6278" s="6" t="n">
        <x:f>B6278</x:f>
        <x:v>0.4286</x:v>
      </x:c>
      <x:c r="E6278" s="1" t="n">
        <x:v>1.05</x:v>
      </x:c>
      <x:c r="F6278" s="1" t="str">
        <x:v>https://api.octopus.energy/v1/products/AGILE-24-10-01/electricity-tariffs/E-1R-AGILE-24-10-01-G/standard-unit-rates/</x:v>
      </x:c>
    </x:row>
    <x:row r="6279" ht="21" customHeight="1">
      <x:c r="A6279" s="24" t="n">
        <x:v>46279.3125</x:v>
      </x:c>
      <x:c r="B6279" s="6" t="n">
        <x:v>0.4474</x:v>
      </x:c>
      <x:c r="C6279" s="6" t="n">
        <x:v>0.23079999999999998</x:v>
      </x:c>
      <x:c r="D6279" s="6" t="n">
        <x:f>B6279</x:f>
        <x:v>0.4474</x:v>
      </x:c>
      <x:c r="E6279" s="1" t="n">
        <x:v>1.05</x:v>
      </x:c>
      <x:c r="F6279" s="1" t="str">
        <x:v>https://api.octopus.energy/v1/products/AGILE-24-10-01/electricity-tariffs/E-1R-AGILE-24-10-01-G/standard-unit-rates/</x:v>
      </x:c>
    </x:row>
    <x:row r="6280" ht="21" customHeight="1">
      <x:c r="A6280" s="24" t="n">
        <x:v>46279.333333333336</x:v>
      </x:c>
      <x:c r="B6280" s="6" t="n">
        <x:v>0.41859999999999997</x:v>
      </x:c>
      <x:c r="C6280" s="6" t="n">
        <x:v>0.21760000000000002</x:v>
      </x:c>
      <x:c r="D6280" s="6" t="n">
        <x:f>B6280</x:f>
        <x:v>0.41859999999999997</x:v>
      </x:c>
      <x:c r="E6280" s="1" t="n">
        <x:v>1.05</x:v>
      </x:c>
      <x:c r="F6280" s="1" t="str">
        <x:v>https://api.octopus.energy/v1/products/AGILE-24-10-01/electricity-tariffs/E-1R-AGILE-24-10-01-G/standard-unit-rates/</x:v>
      </x:c>
    </x:row>
    <x:row r="6281" ht="21" customHeight="1">
      <x:c r="A6281" s="24" t="n">
        <x:v>46279.354166666664</x:v>
      </x:c>
      <x:c r="B6281" s="6" t="n">
        <x:v>0.41840000000000005</x:v>
      </x:c>
      <x:c r="C6281" s="6" t="n">
        <x:v>0.2175</x:v>
      </x:c>
      <x:c r="D6281" s="6" t="n">
        <x:f>B6281</x:f>
        <x:v>0.41840000000000005</x:v>
      </x:c>
      <x:c r="E6281" s="1" t="n">
        <x:v>1.05</x:v>
      </x:c>
      <x:c r="F6281" s="1" t="str">
        <x:v>https://api.octopus.energy/v1/products/AGILE-24-10-01/electricity-tariffs/E-1R-AGILE-24-10-01-G/standard-unit-rates/</x:v>
      </x:c>
    </x:row>
    <x:row r="6282" ht="21" customHeight="1">
      <x:c r="A6282" s="24" t="n">
        <x:v>46279.375</x:v>
      </x:c>
      <x:c r="B6282" s="6" t="n">
        <x:v>0.37929999999999997</x:v>
      </x:c>
      <x:c r="C6282" s="6" t="n">
        <x:v>0.1997</x:v>
      </x:c>
      <x:c r="D6282" s="6" t="n">
        <x:f>B6282</x:f>
        <x:v>0.37929999999999997</x:v>
      </x:c>
      <x:c r="E6282" s="1" t="n">
        <x:v>1.05</x:v>
      </x:c>
      <x:c r="F6282" s="1" t="str">
        <x:v>https://api.octopus.energy/v1/products/AGILE-24-10-01/electricity-tariffs/E-1R-AGILE-24-10-01-G/standard-unit-rates/</x:v>
      </x:c>
    </x:row>
    <x:row r="6283" ht="21" customHeight="1">
      <x:c r="A6283" s="24" t="n">
        <x:v>46279.395833333336</x:v>
      </x:c>
      <x:c r="B6283" s="6" t="n">
        <x:v>0.35509999999999997</x:v>
      </x:c>
      <x:c r="C6283" s="6" t="n">
        <x:v>0.1886</x:v>
      </x:c>
      <x:c r="D6283" s="6" t="n">
        <x:f>B6283</x:f>
        <x:v>0.35509999999999997</x:v>
      </x:c>
      <x:c r="E6283" s="1" t="n">
        <x:v>1.05</x:v>
      </x:c>
      <x:c r="F6283" s="1" t="str">
        <x:v>https://api.octopus.energy/v1/products/AGILE-24-10-01/electricity-tariffs/E-1R-AGILE-24-10-01-G/standard-unit-rates/</x:v>
      </x:c>
    </x:row>
    <x:row r="6284" ht="21" customHeight="1">
      <x:c r="A6284" s="24" t="n">
        <x:v>46279.416666666664</x:v>
      </x:c>
      <x:c r="B6284" s="6" t="n">
        <x:v>0.3396</x:v>
      </x:c>
      <x:c r="C6284" s="6" t="n">
        <x:v>0.1815</x:v>
      </x:c>
      <x:c r="D6284" s="6" t="n">
        <x:f>B6284</x:f>
        <x:v>0.3396</x:v>
      </x:c>
      <x:c r="E6284" s="1" t="n">
        <x:v>1.05</x:v>
      </x:c>
      <x:c r="F6284" s="1" t="str">
        <x:v>https://api.octopus.energy/v1/products/AGILE-24-10-01/electricity-tariffs/E-1R-AGILE-24-10-01-G/standard-unit-rates/</x:v>
      </x:c>
    </x:row>
    <x:row r="6285" ht="21" customHeight="1">
      <x:c r="A6285" s="24" t="n">
        <x:v>46279.4375</x:v>
      </x:c>
      <x:c r="B6285" s="6" t="n">
        <x:v>0.3296</x:v>
      </x:c>
      <x:c r="C6285" s="6" t="n">
        <x:v>0.177</x:v>
      </x:c>
      <x:c r="D6285" s="6" t="n">
        <x:f>B6285</x:f>
        <x:v>0.3296</x:v>
      </x:c>
      <x:c r="E6285" s="1" t="n">
        <x:v>1.05</x:v>
      </x:c>
      <x:c r="F6285" s="1" t="str">
        <x:v>https://api.octopus.energy/v1/products/AGILE-24-10-01/electricity-tariffs/E-1R-AGILE-24-10-01-G/standard-unit-rates/</x:v>
      </x:c>
    </x:row>
    <x:row r="6286" ht="21" customHeight="1">
      <x:c r="A6286" s="24" t="n">
        <x:v>46279.458333333336</x:v>
      </x:c>
      <x:c r="B6286" s="6" t="n">
        <x:v>0.3428</x:v>
      </x:c>
      <x:c r="C6286" s="6" t="n">
        <x:v>0.183</x:v>
      </x:c>
      <x:c r="D6286" s="6" t="n">
        <x:f>B6286</x:f>
        <x:v>0.3428</x:v>
      </x:c>
      <x:c r="E6286" s="1" t="n">
        <x:v>1.05</x:v>
      </x:c>
      <x:c r="F6286" s="1" t="str">
        <x:v>https://api.octopus.energy/v1/products/AGILE-24-10-01/electricity-tariffs/E-1R-AGILE-24-10-01-G/standard-unit-rates/</x:v>
      </x:c>
    </x:row>
    <x:row r="6287" ht="21" customHeight="1">
      <x:c r="A6287" s="24" t="n">
        <x:v>46279.479166666664</x:v>
      </x:c>
      <x:c r="B6287" s="6" t="n">
        <x:v>0.3236</x:v>
      </x:c>
      <x:c r="C6287" s="6" t="n">
        <x:v>0.17420000000000002</x:v>
      </x:c>
      <x:c r="D6287" s="6" t="n">
        <x:f>B6287</x:f>
        <x:v>0.3236</x:v>
      </x:c>
      <x:c r="E6287" s="1" t="n">
        <x:v>1.05</x:v>
      </x:c>
      <x:c r="F6287" s="1" t="str">
        <x:v>https://api.octopus.energy/v1/products/AGILE-24-10-01/electricity-tariffs/E-1R-AGILE-24-10-01-G/standard-unit-rates/</x:v>
      </x:c>
    </x:row>
    <x:row r="6288" ht="21" customHeight="1">
      <x:c r="A6288" s="24" t="n">
        <x:v>46279.5</x:v>
      </x:c>
      <x:c r="B6288" s="6" t="n">
        <x:v>0.3037</x:v>
      </x:c>
      <x:c r="C6288" s="6" t="n">
        <x:v>0.16510000000000002</x:v>
      </x:c>
      <x:c r="D6288" s="6" t="n">
        <x:f>B6288</x:f>
        <x:v>0.3037</x:v>
      </x:c>
      <x:c r="E6288" s="1" t="n">
        <x:v>1.05</x:v>
      </x:c>
      <x:c r="F6288" s="1" t="str">
        <x:v>https://api.octopus.energy/v1/products/AGILE-24-10-01/electricity-tariffs/E-1R-AGILE-24-10-01-G/standard-unit-rates/</x:v>
      </x:c>
    </x:row>
    <x:row r="6289" ht="21" customHeight="1">
      <x:c r="A6289" s="24" t="n">
        <x:v>46279.520833333336</x:v>
      </x:c>
      <x:c r="B6289" s="6" t="n">
        <x:v>0.3055</x:v>
      </x:c>
      <x:c r="C6289" s="6" t="n">
        <x:v>0.1659</x:v>
      </x:c>
      <x:c r="D6289" s="6" t="n">
        <x:f>B6289</x:f>
        <x:v>0.3055</x:v>
      </x:c>
      <x:c r="E6289" s="1" t="n">
        <x:v>1.05</x:v>
      </x:c>
      <x:c r="F6289" s="1" t="str">
        <x:v>https://api.octopus.energy/v1/products/AGILE-24-10-01/electricity-tariffs/E-1R-AGILE-24-10-01-G/standard-unit-rates/</x:v>
      </x:c>
    </x:row>
    <x:row r="6290" ht="21" customHeight="1">
      <x:c r="A6290" s="24" t="n">
        <x:v>46279.541666666664</x:v>
      </x:c>
      <x:c r="B6290" s="6" t="n">
        <x:v>0.3066</x:v>
      </x:c>
      <x:c r="C6290" s="6" t="n">
        <x:v>0.1664</x:v>
      </x:c>
      <x:c r="D6290" s="6" t="n">
        <x:f>B6290</x:f>
        <x:v>0.3066</x:v>
      </x:c>
      <x:c r="E6290" s="1" t="n">
        <x:v>1.05</x:v>
      </x:c>
      <x:c r="F6290" s="1" t="str">
        <x:v>https://api.octopus.energy/v1/products/AGILE-24-10-01/electricity-tariffs/E-1R-AGILE-24-10-01-G/standard-unit-rates/</x:v>
      </x:c>
    </x:row>
    <x:row r="6291" ht="21" customHeight="1">
      <x:c r="A6291" s="24" t="n">
        <x:v>46279.5625</x:v>
      </x:c>
      <x:c r="B6291" s="6" t="n">
        <x:v>0.289</x:v>
      </x:c>
      <x:c r="C6291" s="6" t="n">
        <x:v>0.15839999999999999</x:v>
      </x:c>
      <x:c r="D6291" s="6" t="n">
        <x:f>B6291</x:f>
        <x:v>0.289</x:v>
      </x:c>
      <x:c r="E6291" s="1" t="n">
        <x:v>1.05</x:v>
      </x:c>
      <x:c r="F6291" s="1" t="str">
        <x:v>https://api.octopus.energy/v1/products/AGILE-24-10-01/electricity-tariffs/E-1R-AGILE-24-10-01-G/standard-unit-rates/</x:v>
      </x:c>
    </x:row>
    <x:row r="6292" ht="21" customHeight="1">
      <x:c r="A6292" s="24" t="n">
        <x:v>46279.583333333336</x:v>
      </x:c>
      <x:c r="B6292" s="6" t="n">
        <x:v>0.3005</x:v>
      </x:c>
      <x:c r="C6292" s="6" t="n">
        <x:v>0.1637</x:v>
      </x:c>
      <x:c r="D6292" s="6" t="n">
        <x:f>B6292</x:f>
        <x:v>0.3005</x:v>
      </x:c>
      <x:c r="E6292" s="1" t="n">
        <x:v>1.05</x:v>
      </x:c>
      <x:c r="F6292" s="1" t="str">
        <x:v>https://api.octopus.energy/v1/products/AGILE-24-10-01/electricity-tariffs/E-1R-AGILE-24-10-01-G/standard-unit-rates/</x:v>
      </x:c>
    </x:row>
    <x:row r="6293" ht="21" customHeight="1">
      <x:c r="A6293" s="24" t="n">
        <x:v>46279.604166666664</x:v>
      </x:c>
      <x:c r="B6293" s="6" t="n">
        <x:v>0.2883</x:v>
      </x:c>
      <x:c r="C6293" s="6" t="n">
        <x:v>0.158</x:v>
      </x:c>
      <x:c r="D6293" s="6" t="n">
        <x:f>B6293</x:f>
        <x:v>0.2883</x:v>
      </x:c>
      <x:c r="E6293" s="1" t="n">
        <x:v>1.05</x:v>
      </x:c>
      <x:c r="F6293" s="1" t="str">
        <x:v>https://api.octopus.energy/v1/products/AGILE-24-10-01/electricity-tariffs/E-1R-AGILE-24-10-01-G/standard-unit-rates/</x:v>
      </x:c>
    </x:row>
    <x:row r="6294" ht="21" customHeight="1">
      <x:c r="A6294" s="24" t="n">
        <x:v>46279.625</x:v>
      </x:c>
      <x:c r="B6294" s="6" t="n">
        <x:v>0.33590000000000003</x:v>
      </x:c>
      <x:c r="C6294" s="6" t="n">
        <x:v>0.17980000000000002</x:v>
      </x:c>
      <x:c r="D6294" s="6" t="n">
        <x:f>B6294</x:f>
        <x:v>0.33590000000000003</x:v>
      </x:c>
      <x:c r="E6294" s="1" t="n">
        <x:v>1.05</x:v>
      </x:c>
      <x:c r="F6294" s="1" t="str">
        <x:v>https://api.octopus.energy/v1/products/AGILE-24-10-01/electricity-tariffs/E-1R-AGILE-24-10-01-G/standard-unit-rates/</x:v>
      </x:c>
    </x:row>
    <x:row r="6295" ht="21" customHeight="1">
      <x:c r="A6295" s="24" t="n">
        <x:v>46279.645833333336</x:v>
      </x:c>
      <x:c r="B6295" s="6" t="n">
        <x:v>0.3627</x:v>
      </x:c>
      <x:c r="C6295" s="6" t="n">
        <x:v>0.19210000000000002</x:v>
      </x:c>
      <x:c r="D6295" s="6" t="n">
        <x:f>B6295</x:f>
        <x:v>0.3627</x:v>
      </x:c>
      <x:c r="E6295" s="1" t="n">
        <x:v>1.05</x:v>
      </x:c>
      <x:c r="F6295" s="1" t="str">
        <x:v>https://api.octopus.energy/v1/products/AGILE-24-10-01/electricity-tariffs/E-1R-AGILE-24-10-01-G/standard-unit-rates/</x:v>
      </x:c>
    </x:row>
    <x:row r="6296" ht="21" customHeight="1">
      <x:c r="A6296" s="24" t="n">
        <x:v>46279.666666666664</x:v>
      </x:c>
      <x:c r="B6296" s="6" t="n">
        <x:v>0.4718</x:v>
      </x:c>
      <x:c r="C6296" s="6" t="n">
        <x:v>0.24600000000000002</x:v>
      </x:c>
      <x:c r="D6296" s="6" t="n">
        <x:f>B6296</x:f>
        <x:v>0.4718</x:v>
      </x:c>
      <x:c r="E6296" s="1" t="n">
        <x:v>1.05</x:v>
      </x:c>
      <x:c r="F6296" s="1" t="str">
        <x:v>https://api.octopus.energy/v1/products/AGILE-24-10-01/electricity-tariffs/E-1R-AGILE-24-10-01-G/standard-unit-rates/</x:v>
      </x:c>
    </x:row>
    <x:row r="6297" ht="21" customHeight="1">
      <x:c r="A6297" s="24" t="n">
        <x:v>46279.6875</x:v>
      </x:c>
      <x:c r="B6297" s="6" t="n">
        <x:v>0.5147999999999999</x:v>
      </x:c>
      <x:c r="C6297" s="6" t="n">
        <x:v>0.2656</x:v>
      </x:c>
      <x:c r="D6297" s="6" t="n">
        <x:f>B6297</x:f>
        <x:v>0.5147999999999999</x:v>
      </x:c>
      <x:c r="E6297" s="1" t="n">
        <x:v>1.05</x:v>
      </x:c>
      <x:c r="F6297" s="1" t="str">
        <x:v>https://api.octopus.energy/v1/products/AGILE-24-10-01/electricity-tariffs/E-1R-AGILE-24-10-01-G/standard-unit-rates/</x:v>
      </x:c>
    </x:row>
    <x:row r="6298" ht="21" customHeight="1">
      <x:c r="A6298" s="24" t="n">
        <x:v>46279.708333333336</x:v>
      </x:c>
      <x:c r="B6298" s="6" t="n">
        <x:v>0.5611999999999999</x:v>
      </x:c>
      <x:c r="C6298" s="6" t="n">
        <x:v>0.2869</x:v>
      </x:c>
      <x:c r="D6298" s="6" t="n">
        <x:f>B6298</x:f>
        <x:v>0.5611999999999999</x:v>
      </x:c>
      <x:c r="E6298" s="1" t="n">
        <x:v>1.05</x:v>
      </x:c>
      <x:c r="F6298" s="1" t="str">
        <x:v>https://api.octopus.energy/v1/products/AGILE-24-10-01/electricity-tariffs/E-1R-AGILE-24-10-01-G/standard-unit-rates/</x:v>
      </x:c>
    </x:row>
    <x:row r="6299" ht="21" customHeight="1">
      <x:c r="A6299" s="24" t="n">
        <x:v>46279.729166666664</x:v>
      </x:c>
      <x:c r="B6299" s="6" t="n">
        <x:v>0.5532</x:v>
      </x:c>
      <x:c r="C6299" s="6" t="n">
        <x:v>0.2832</x:v>
      </x:c>
      <x:c r="D6299" s="6" t="n">
        <x:f>B6299</x:f>
        <x:v>0.5532</x:v>
      </x:c>
      <x:c r="E6299" s="1" t="n">
        <x:v>1.05</x:v>
      </x:c>
      <x:c r="F6299" s="1" t="str">
        <x:v>https://api.octopus.energy/v1/products/AGILE-24-10-01/electricity-tariffs/E-1R-AGILE-24-10-01-G/standard-unit-rates/</x:v>
      </x:c>
    </x:row>
    <x:row r="6300" ht="21" customHeight="1">
      <x:c r="A6300" s="24" t="n">
        <x:v>46279.75</x:v>
      </x:c>
      <x:c r="B6300" s="6" t="n">
        <x:v>0.5590999999999999</x:v>
      </x:c>
      <x:c r="C6300" s="6" t="n">
        <x:v>0.2859</x:v>
      </x:c>
      <x:c r="D6300" s="6" t="n">
        <x:f>B6300</x:f>
        <x:v>0.5590999999999999</x:v>
      </x:c>
      <x:c r="E6300" s="1" t="n">
        <x:v>1.05</x:v>
      </x:c>
      <x:c r="F6300" s="1" t="str">
        <x:v>https://api.octopus.energy/v1/products/AGILE-24-10-01/electricity-tariffs/E-1R-AGILE-24-10-01-G/standard-unit-rates/</x:v>
      </x:c>
    </x:row>
    <x:row r="6301" ht="21" customHeight="1">
      <x:c r="A6301" s="24" t="n">
        <x:v>46279.770833333336</x:v>
      </x:c>
      <x:c r="B6301" s="6" t="n">
        <x:v>0.5590999999999999</x:v>
      </x:c>
      <x:c r="C6301" s="6" t="n">
        <x:v>0.2859</x:v>
      </x:c>
      <x:c r="D6301" s="6" t="n">
        <x:f>B6301</x:f>
        <x:v>0.5590999999999999</x:v>
      </x:c>
      <x:c r="E6301" s="1" t="n">
        <x:v>1.05</x:v>
      </x:c>
      <x:c r="F6301" s="1" t="str">
        <x:v>https://api.octopus.energy/v1/products/AGILE-24-10-01/electricity-tariffs/E-1R-AGILE-24-10-01-G/standard-unit-rates/</x:v>
      </x:c>
    </x:row>
    <x:row r="6302" ht="21" customHeight="1">
      <x:c r="A6302" s="24" t="n">
        <x:v>46279.791666666664</x:v>
      </x:c>
      <x:c r="B6302" s="6" t="n">
        <x:v>0.4106</x:v>
      </x:c>
      <x:c r="C6302" s="6" t="n">
        <x:v>0.214</x:v>
      </x:c>
      <x:c r="D6302" s="6" t="n">
        <x:f>B6302</x:f>
        <x:v>0.4106</x:v>
      </x:c>
      <x:c r="E6302" s="1" t="n">
        <x:v>1.05</x:v>
      </x:c>
      <x:c r="F6302" s="1" t="str">
        <x:v>https://api.octopus.energy/v1/products/AGILE-24-10-01/electricity-tariffs/E-1R-AGILE-24-10-01-G/standard-unit-rates/</x:v>
      </x:c>
    </x:row>
    <x:row r="6303" ht="21" customHeight="1">
      <x:c r="A6303" s="24" t="n">
        <x:v>46279.8125</x:v>
      </x:c>
      <x:c r="B6303" s="6" t="n">
        <x:v>0.4097</x:v>
      </x:c>
      <x:c r="C6303" s="6" t="n">
        <x:v>0.21359999999999998</x:v>
      </x:c>
      <x:c r="D6303" s="6" t="n">
        <x:f>B6303</x:f>
        <x:v>0.4097</x:v>
      </x:c>
      <x:c r="E6303" s="1" t="n">
        <x:v>1.05</x:v>
      </x:c>
      <x:c r="F6303" s="1" t="str">
        <x:v>https://api.octopus.energy/v1/products/AGILE-24-10-01/electricity-tariffs/E-1R-AGILE-24-10-01-G/standard-unit-rates/</x:v>
      </x:c>
    </x:row>
    <x:row r="6304" ht="21" customHeight="1">
      <x:c r="A6304" s="24" t="n">
        <x:v>46279.833333333336</x:v>
      </x:c>
      <x:c r="B6304" s="6" t="n">
        <x:v>0.4053</x:v>
      </x:c>
      <x:c r="C6304" s="6" t="n">
        <x:v>0.2116</x:v>
      </x:c>
      <x:c r="D6304" s="6" t="n">
        <x:f>B6304</x:f>
        <x:v>0.4053</x:v>
      </x:c>
      <x:c r="E6304" s="1" t="n">
        <x:v>1.05</x:v>
      </x:c>
      <x:c r="F6304" s="1" t="str">
        <x:v>https://api.octopus.energy/v1/products/AGILE-24-10-01/electricity-tariffs/E-1R-AGILE-24-10-01-G/standard-unit-rates/</x:v>
      </x:c>
    </x:row>
    <x:row r="6305" ht="21" customHeight="1">
      <x:c r="A6305" s="24" t="n">
        <x:v>46279.854166666664</x:v>
      </x:c>
      <x:c r="B6305" s="6" t="n">
        <x:v>0.3764</x:v>
      </x:c>
      <x:c r="C6305" s="6" t="n">
        <x:v>0.19829999999999998</x:v>
      </x:c>
      <x:c r="D6305" s="6" t="n">
        <x:f>B6305</x:f>
        <x:v>0.3764</x:v>
      </x:c>
      <x:c r="E6305" s="1" t="n">
        <x:v>1.05</x:v>
      </x:c>
      <x:c r="F6305" s="1" t="str">
        <x:v>https://api.octopus.energy/v1/products/AGILE-24-10-01/electricity-tariffs/E-1R-AGILE-24-10-01-G/standard-unit-rates/</x:v>
      </x:c>
    </x:row>
    <x:row r="6306" ht="21" customHeight="1">
      <x:c r="A6306" s="24" t="n">
        <x:v>46279.875</x:v>
      </x:c>
      <x:c r="B6306" s="6" t="n">
        <x:v>0.3467</x:v>
      </x:c>
      <x:c r="C6306" s="6" t="n">
        <x:v>0.1848</x:v>
      </x:c>
      <x:c r="D6306" s="6" t="n">
        <x:f>B6306</x:f>
        <x:v>0.3467</x:v>
      </x:c>
      <x:c r="E6306" s="1" t="n">
        <x:v>1.05</x:v>
      </x:c>
      <x:c r="F6306" s="1" t="str">
        <x:v>https://api.octopus.energy/v1/products/AGILE-24-10-01/electricity-tariffs/E-1R-AGILE-24-10-01-G/standard-unit-rates/</x:v>
      </x:c>
    </x:row>
    <x:row r="6307" ht="21" customHeight="1">
      <x:c r="A6307" s="24" t="n">
        <x:v>46279.895833333336</x:v>
      </x:c>
      <x:c r="B6307" s="6" t="n">
        <x:v>0.3257</x:v>
      </x:c>
      <x:c r="C6307" s="6" t="n">
        <x:v>0.1751</x:v>
      </x:c>
      <x:c r="D6307" s="6" t="n">
        <x:f>B6307</x:f>
        <x:v>0.3257</x:v>
      </x:c>
      <x:c r="E6307" s="1" t="n">
        <x:v>1.05</x:v>
      </x:c>
      <x:c r="F6307" s="1" t="str">
        <x:v>https://api.octopus.energy/v1/products/AGILE-24-10-01/electricity-tariffs/E-1R-AGILE-24-10-01-G/standard-unit-rates/</x:v>
      </x:c>
    </x:row>
    <x:row r="6308" ht="21" customHeight="1">
      <x:c r="A6308" s="24" t="n">
        <x:v>46279.916666666664</x:v>
      </x:c>
      <x:c r="B6308" s="6" t="n">
        <x:v>0.34090000000000004</x:v>
      </x:c>
      <x:c r="C6308" s="6" t="n">
        <x:v>0.1821</x:v>
      </x:c>
      <x:c r="D6308" s="6" t="n">
        <x:f>B6308</x:f>
        <x:v>0.34090000000000004</x:v>
      </x:c>
      <x:c r="E6308" s="1" t="n">
        <x:v>1.05</x:v>
      </x:c>
      <x:c r="F6308" s="1" t="str">
        <x:v>https://api.octopus.energy/v1/products/AGILE-24-10-01/electricity-tariffs/E-1R-AGILE-24-10-01-G/standard-unit-rates/</x:v>
      </x:c>
    </x:row>
    <x:row r="6309" ht="21" customHeight="1">
      <x:c r="A6309" s="24" t="n">
        <x:v>46279.9375</x:v>
      </x:c>
      <x:c r="B6309" s="6" t="n">
        <x:v>0.3068</x:v>
      </x:c>
      <x:c r="C6309" s="6" t="n">
        <x:v>0.16649999999999998</x:v>
      </x:c>
      <x:c r="D6309" s="6" t="n">
        <x:f>B6309</x:f>
        <x:v>0.3068</x:v>
      </x:c>
      <x:c r="E6309" s="1" t="n">
        <x:v>1.05</x:v>
      </x:c>
      <x:c r="F6309" s="1" t="str">
        <x:v>https://api.octopus.energy/v1/products/AGILE-24-10-01/electricity-tariffs/E-1R-AGILE-24-10-01-G/standard-unit-rates/</x:v>
      </x:c>
    </x:row>
    <x:row r="6310" ht="21" customHeight="1">
      <x:c r="A6310" s="24" t="n">
        <x:v>46280</x:v>
      </x:c>
      <x:c r="B6310" s="6" t="n">
        <x:v>0.332</x:v>
      </x:c>
      <x:c r="C6310" s="6" t="n">
        <x:v>0.17800000000000002</x:v>
      </x:c>
      <x:c r="D6310" s="6" t="n">
        <x:f>B6310</x:f>
        <x:v>0.332</x:v>
      </x:c>
      <x:c r="E6310" s="1" t="n">
        <x:v>1.05</x:v>
      </x:c>
      <x:c r="F6310" s="1" t="str">
        <x:v>https://api.octopus.energy/v1/products/AGILE-24-10-01/electricity-tariffs/E-1R-AGILE-24-10-01-G/standard-unit-rates/</x:v>
      </x:c>
    </x:row>
    <x:row r="6311" ht="21" customHeight="1">
      <x:c r="A6311" s="24" t="n">
        <x:v>46279.979166666664</x:v>
      </x:c>
      <x:c r="B6311" s="6" t="n">
        <x:v>0.33549999999999996</x:v>
      </x:c>
      <x:c r="C6311" s="6" t="n">
        <x:v>0.1797</x:v>
      </x:c>
      <x:c r="D6311" s="6" t="n">
        <x:f>B6311</x:f>
        <x:v>0.33549999999999996</x:v>
      </x:c>
      <x:c r="E6311" s="1" t="n">
        <x:v>1.05</x:v>
      </x:c>
      <x:c r="F6311" s="1" t="str">
        <x:v>https://api.octopus.energy/v1/products/AGILE-24-10-01/electricity-tariffs/E-1R-AGILE-24-10-01-G/standard-unit-rates/</x:v>
      </x:c>
    </x:row>
    <x:row r="6312" ht="21" customHeight="1">
      <x:c r="A6312" s="24" t="n">
        <x:v>46280</x:v>
      </x:c>
      <x:c r="B6312" s="6" t="n">
        <x:v>0.32780000000000004</x:v>
      </x:c>
      <x:c r="C6312" s="6" t="n">
        <x:v>0.1761</x:v>
      </x:c>
      <x:c r="D6312" s="6" t="n">
        <x:f>B6312</x:f>
        <x:v>0.32780000000000004</x:v>
      </x:c>
      <x:c r="E6312" s="1" t="n">
        <x:v>1.05</x:v>
      </x:c>
      <x:c r="F6312" s="1" t="str">
        <x:v>https://api.octopus.energy/v1/products/AGILE-24-10-01/electricity-tariffs/E-1R-AGILE-24-10-01-G/standard-unit-rates/</x:v>
      </x:c>
    </x:row>
    <x:row r="6313" ht="21" customHeight="1">
      <x:c r="A6313" s="24" t="n">
        <x:v>46280.020833333336</x:v>
      </x:c>
      <x:c r="B6313" s="6" t="n">
        <x:v>0.3236</x:v>
      </x:c>
      <x:c r="C6313" s="6" t="n">
        <x:v>0.17420000000000002</x:v>
      </x:c>
      <x:c r="D6313" s="6" t="n">
        <x:f>B6313</x:f>
        <x:v>0.3236</x:v>
      </x:c>
      <x:c r="E6313" s="1" t="n">
        <x:v>1.05</x:v>
      </x:c>
      <x:c r="F6313" s="1" t="str">
        <x:v>https://api.octopus.energy/v1/products/AGILE-24-10-01/electricity-tariffs/E-1R-AGILE-24-10-01-G/standard-unit-rates/</x:v>
      </x:c>
    </x:row>
    <x:row r="6314" ht="21" customHeight="1">
      <x:c r="A6314" s="24" t="n">
        <x:v>46280.041666666664</x:v>
      </x:c>
      <x:c r="B6314" s="6" t="n">
        <x:v>0.3119</x:v>
      </x:c>
      <x:c r="C6314" s="6" t="n">
        <x:v>0.1689</x:v>
      </x:c>
      <x:c r="D6314" s="6" t="n">
        <x:f>B6314</x:f>
        <x:v>0.3119</x:v>
      </x:c>
      <x:c r="E6314" s="1" t="n">
        <x:v>1.05</x:v>
      </x:c>
      <x:c r="F6314" s="1" t="str">
        <x:v>https://api.octopus.energy/v1/products/AGILE-24-10-01/electricity-tariffs/E-1R-AGILE-24-10-01-G/standard-unit-rates/</x:v>
      </x:c>
    </x:row>
    <x:row r="6315" ht="21" customHeight="1">
      <x:c r="A6315" s="24" t="n">
        <x:v>46280.0625</x:v>
      </x:c>
      <x:c r="B6315" s="6" t="n">
        <x:v>0.311</x:v>
      </x:c>
      <x:c r="C6315" s="6" t="n">
        <x:v>0.1684</x:v>
      </x:c>
      <x:c r="D6315" s="6" t="n">
        <x:f>B6315</x:f>
        <x:v>0.311</x:v>
      </x:c>
      <x:c r="E6315" s="1" t="n">
        <x:v>1.05</x:v>
      </x:c>
      <x:c r="F6315" s="1" t="str">
        <x:v>https://api.octopus.energy/v1/products/AGILE-24-10-01/electricity-tariffs/E-1R-AGILE-24-10-01-G/standard-unit-rates/</x:v>
      </x:c>
    </x:row>
    <x:row r="6316" ht="21" customHeight="1">
      <x:c r="A6316" s="24" t="n">
        <x:v>46280.083333333336</x:v>
      </x:c>
      <x:c r="B6316" s="6" t="n">
        <x:v>0.2963</x:v>
      </x:c>
      <x:c r="C6316" s="6" t="n">
        <x:v>0.1617</x:v>
      </x:c>
      <x:c r="D6316" s="6" t="n">
        <x:f>B6316</x:f>
        <x:v>0.2963</x:v>
      </x:c>
      <x:c r="E6316" s="1" t="n">
        <x:v>1.05</x:v>
      </x:c>
      <x:c r="F6316" s="1" t="str">
        <x:v>https://api.octopus.energy/v1/products/AGILE-24-10-01/electricity-tariffs/E-1R-AGILE-24-10-01-G/standard-unit-rates/</x:v>
      </x:c>
    </x:row>
    <x:row r="6317" ht="21" customHeight="1">
      <x:c r="A6317" s="24" t="n">
        <x:v>46280.104166666664</x:v>
      </x:c>
      <x:c r="B6317" s="6" t="n">
        <x:v>0.2905</x:v>
      </x:c>
      <x:c r="C6317" s="6" t="n">
        <x:v>0.1591</x:v>
      </x:c>
      <x:c r="D6317" s="6" t="n">
        <x:f>B6317</x:f>
        <x:v>0.2905</x:v>
      </x:c>
      <x:c r="E6317" s="1" t="n">
        <x:v>1.05</x:v>
      </x:c>
      <x:c r="F6317" s="1" t="str">
        <x:v>https://api.octopus.energy/v1/products/AGILE-24-10-01/electricity-tariffs/E-1R-AGILE-24-10-01-G/standard-unit-rates/</x:v>
      </x:c>
    </x:row>
    <x:row r="6318" ht="21" customHeight="1">
      <x:c r="A6318" s="24" t="n">
        <x:v>46280.125</x:v>
      </x:c>
      <x:c r="B6318" s="6" t="n">
        <x:v>0.2984</x:v>
      </x:c>
      <x:c r="C6318" s="6" t="n">
        <x:v>0.16269999999999998</x:v>
      </x:c>
      <x:c r="D6318" s="6" t="n">
        <x:f>B6318</x:f>
        <x:v>0.2984</x:v>
      </x:c>
      <x:c r="E6318" s="1" t="n">
        <x:v>1.05</x:v>
      </x:c>
      <x:c r="F6318" s="1" t="str">
        <x:v>https://api.octopus.energy/v1/products/AGILE-24-10-01/electricity-tariffs/E-1R-AGILE-24-10-01-G/standard-unit-rates/</x:v>
      </x:c>
    </x:row>
    <x:row r="6319" ht="21" customHeight="1">
      <x:c r="A6319" s="24" t="n">
        <x:v>46280.145833333336</x:v>
      </x:c>
      <x:c r="B6319" s="6" t="n">
        <x:v>0.28859999999999997</x:v>
      </x:c>
      <x:c r="C6319" s="6" t="n">
        <x:v>0.1582</x:v>
      </x:c>
      <x:c r="D6319" s="6" t="n">
        <x:f>B6319</x:f>
        <x:v>0.28859999999999997</x:v>
      </x:c>
      <x:c r="E6319" s="1" t="n">
        <x:v>1.05</x:v>
      </x:c>
      <x:c r="F6319" s="1" t="str">
        <x:v>https://api.octopus.energy/v1/products/AGILE-24-10-01/electricity-tariffs/E-1R-AGILE-24-10-01-G/standard-unit-rates/</x:v>
      </x:c>
    </x:row>
    <x:row r="6320" ht="21" customHeight="1">
      <x:c r="A6320" s="24" t="n">
        <x:v>46280.166666666664</x:v>
      </x:c>
      <x:c r="B6320" s="6" t="n">
        <x:v>0.3104</x:v>
      </x:c>
      <x:c r="C6320" s="6" t="n">
        <x:v>0.16820000000000002</x:v>
      </x:c>
      <x:c r="D6320" s="6" t="n">
        <x:f>B6320</x:f>
        <x:v>0.3104</x:v>
      </x:c>
      <x:c r="E6320" s="1" t="n">
        <x:v>1.05</x:v>
      </x:c>
      <x:c r="F6320" s="1" t="str">
        <x:v>https://api.octopus.energy/v1/products/AGILE-24-10-01/electricity-tariffs/E-1R-AGILE-24-10-01-G/standard-unit-rates/</x:v>
      </x:c>
    </x:row>
    <x:row r="6321" ht="21" customHeight="1">
      <x:c r="A6321" s="24" t="n">
        <x:v>46280.1875</x:v>
      </x:c>
      <x:c r="B6321" s="6" t="n">
        <x:v>0.3059</x:v>
      </x:c>
      <x:c r="C6321" s="6" t="n">
        <x:v>0.1661</x:v>
      </x:c>
      <x:c r="D6321" s="6" t="n">
        <x:f>B6321</x:f>
        <x:v>0.3059</x:v>
      </x:c>
      <x:c r="E6321" s="1" t="n">
        <x:v>1.05</x:v>
      </x:c>
      <x:c r="F6321" s="1" t="str">
        <x:v>https://api.octopus.energy/v1/products/AGILE-24-10-01/electricity-tariffs/E-1R-AGILE-24-10-01-G/standard-unit-rates/</x:v>
      </x:c>
    </x:row>
    <x:row r="6322" ht="21" customHeight="1">
      <x:c r="A6322" s="24" t="n">
        <x:v>46280.208333333336</x:v>
      </x:c>
      <x:c r="B6322" s="6" t="n">
        <x:v>0.3193</x:v>
      </x:c>
      <x:c r="C6322" s="6" t="n">
        <x:v>0.1722</x:v>
      </x:c>
      <x:c r="D6322" s="6" t="n">
        <x:f>B6322</x:f>
        <x:v>0.3193</x:v>
      </x:c>
      <x:c r="E6322" s="1" t="n">
        <x:v>1.05</x:v>
      </x:c>
      <x:c r="F6322" s="1" t="str">
        <x:v>https://api.octopus.energy/v1/products/AGILE-24-10-01/electricity-tariffs/E-1R-AGILE-24-10-01-G/standard-unit-rates/</x:v>
      </x:c>
    </x:row>
    <x:row r="6323" ht="21" customHeight="1">
      <x:c r="A6323" s="24" t="n">
        <x:v>46280.229166666664</x:v>
      </x:c>
      <x:c r="B6323" s="6" t="n">
        <x:v>0.33270000000000005</x:v>
      </x:c>
      <x:c r="C6323" s="6" t="n">
        <x:v>0.1783</x:v>
      </x:c>
      <x:c r="D6323" s="6" t="n">
        <x:f>B6323</x:f>
        <x:v>0.33270000000000005</x:v>
      </x:c>
      <x:c r="E6323" s="1" t="n">
        <x:v>1.05</x:v>
      </x:c>
      <x:c r="F6323" s="1" t="str">
        <x:v>https://api.octopus.energy/v1/products/AGILE-24-10-01/electricity-tariffs/E-1R-AGILE-24-10-01-G/standard-unit-rates/</x:v>
      </x:c>
    </x:row>
    <x:row r="6324" ht="21" customHeight="1">
      <x:c r="A6324" s="24" t="n">
        <x:v>46280.25</x:v>
      </x:c>
      <x:c r="B6324" s="6" t="n">
        <x:v>0.3613</x:v>
      </x:c>
      <x:c r="C6324" s="6" t="n">
        <x:v>0.19140000000000001</x:v>
      </x:c>
      <x:c r="D6324" s="6" t="n">
        <x:f>B6324</x:f>
        <x:v>0.3613</x:v>
      </x:c>
      <x:c r="E6324" s="1" t="n">
        <x:v>1.05</x:v>
      </x:c>
      <x:c r="F6324" s="1" t="str">
        <x:v>https://api.octopus.energy/v1/products/AGILE-24-10-01/electricity-tariffs/E-1R-AGILE-24-10-01-G/standard-unit-rates/</x:v>
      </x:c>
    </x:row>
    <x:row r="6325" ht="21" customHeight="1">
      <x:c r="A6325" s="24" t="n">
        <x:v>46280.270833333336</x:v>
      </x:c>
      <x:c r="B6325" s="6" t="n">
        <x:v>0.3753</x:v>
      </x:c>
      <x:c r="C6325" s="6" t="n">
        <x:v>0.1978</x:v>
      </x:c>
      <x:c r="D6325" s="6" t="n">
        <x:f>B6325</x:f>
        <x:v>0.3753</x:v>
      </x:c>
      <x:c r="E6325" s="1" t="n">
        <x:v>1.05</x:v>
      </x:c>
      <x:c r="F6325" s="1" t="str">
        <x:v>https://api.octopus.energy/v1/products/AGILE-24-10-01/electricity-tariffs/E-1R-AGILE-24-10-01-G/standard-unit-rates/</x:v>
      </x:c>
    </x:row>
    <x:row r="6326" ht="21" customHeight="1">
      <x:c r="A6326" s="24" t="n">
        <x:v>46280.291666666664</x:v>
      </x:c>
      <x:c r="B6326" s="6" t="n">
        <x:v>0.3753</x:v>
      </x:c>
      <x:c r="C6326" s="6" t="n">
        <x:v>0.1978</x:v>
      </x:c>
      <x:c r="D6326" s="6" t="n">
        <x:f>B6326</x:f>
        <x:v>0.3753</x:v>
      </x:c>
      <x:c r="E6326" s="1" t="n">
        <x:v>1.05</x:v>
      </x:c>
      <x:c r="F6326" s="1" t="str">
        <x:v>https://api.octopus.energy/v1/products/AGILE-24-10-01/electricity-tariffs/E-1R-AGILE-24-10-01-G/standard-unit-rates/</x:v>
      </x:c>
    </x:row>
    <x:row r="6327" ht="21" customHeight="1">
      <x:c r="A6327" s="24" t="n">
        <x:v>46280.3125</x:v>
      </x:c>
      <x:c r="B6327" s="6" t="n">
        <x:v>0.397</x:v>
      </x:c>
      <x:c r="C6327" s="6" t="n">
        <x:v>0.2078</x:v>
      </x:c>
      <x:c r="D6327" s="6" t="n">
        <x:f>B6327</x:f>
        <x:v>0.397</x:v>
      </x:c>
      <x:c r="E6327" s="1" t="n">
        <x:v>1.05</x:v>
      </x:c>
      <x:c r="F6327" s="1" t="str">
        <x:v>https://api.octopus.energy/v1/products/AGILE-24-10-01/electricity-tariffs/E-1R-AGILE-24-10-01-G/standard-unit-rates/</x:v>
      </x:c>
    </x:row>
    <x:row r="6328" ht="21" customHeight="1">
      <x:c r="A6328" s="24" t="n">
        <x:v>46280.333333333336</x:v>
      </x:c>
      <x:c r="B6328" s="6" t="n">
        <x:v>0.3387</x:v>
      </x:c>
      <x:c r="C6328" s="6" t="n">
        <x:v>0.18109999999999998</x:v>
      </x:c>
      <x:c r="D6328" s="6" t="n">
        <x:f>B6328</x:f>
        <x:v>0.3387</x:v>
      </x:c>
      <x:c r="E6328" s="1" t="n">
        <x:v>1.05</x:v>
      </x:c>
      <x:c r="F6328" s="1" t="str">
        <x:v>https://api.octopus.energy/v1/products/AGILE-24-10-01/electricity-tariffs/E-1R-AGILE-24-10-01-G/standard-unit-rates/</x:v>
      </x:c>
    </x:row>
    <x:row r="6329" ht="21" customHeight="1">
      <x:c r="A6329" s="24" t="n">
        <x:v>46280.354166666664</x:v>
      </x:c>
      <x:c r="B6329" s="6" t="n">
        <x:v>0.3223</x:v>
      </x:c>
      <x:c r="C6329" s="6" t="n">
        <x:v>0.1736</x:v>
      </x:c>
      <x:c r="D6329" s="6" t="n">
        <x:f>B6329</x:f>
        <x:v>0.3223</x:v>
      </x:c>
      <x:c r="E6329" s="1" t="n">
        <x:v>1.05</x:v>
      </x:c>
      <x:c r="F6329" s="1" t="str">
        <x:v>https://api.octopus.energy/v1/products/AGILE-24-10-01/electricity-tariffs/E-1R-AGILE-24-10-01-G/standard-unit-rates/</x:v>
      </x:c>
    </x:row>
    <x:row r="6330" ht="21" customHeight="1">
      <x:c r="A6330" s="24" t="n">
        <x:v>46280.375</x:v>
      </x:c>
      <x:c r="B6330" s="6" t="n">
        <x:v>0.2984</x:v>
      </x:c>
      <x:c r="C6330" s="6" t="n">
        <x:v>0.16269999999999998</x:v>
      </x:c>
      <x:c r="D6330" s="6" t="n">
        <x:f>B6330</x:f>
        <x:v>0.2984</x:v>
      </x:c>
      <x:c r="E6330" s="1" t="n">
        <x:v>1.05</x:v>
      </x:c>
      <x:c r="F6330" s="1" t="str">
        <x:v>https://api.octopus.energy/v1/products/AGILE-24-10-01/electricity-tariffs/E-1R-AGILE-24-10-01-G/standard-unit-rates/</x:v>
      </x:c>
    </x:row>
    <x:row r="6331" ht="21" customHeight="1">
      <x:c r="A6331" s="24" t="n">
        <x:v>46280.395833333336</x:v>
      </x:c>
      <x:c r="B6331" s="6" t="n">
        <x:v>0.2778</x:v>
      </x:c>
      <x:c r="C6331" s="6" t="n">
        <x:v>0.1533</x:v>
      </x:c>
      <x:c r="D6331" s="6" t="n">
        <x:f>B6331</x:f>
        <x:v>0.2778</x:v>
      </x:c>
      <x:c r="E6331" s="1" t="n">
        <x:v>1.05</x:v>
      </x:c>
      <x:c r="F6331" s="1" t="str">
        <x:v>https://api.octopus.energy/v1/products/AGILE-24-10-01/electricity-tariffs/E-1R-AGILE-24-10-01-G/standard-unit-rates/</x:v>
      </x:c>
    </x:row>
    <x:row r="6332" ht="21" customHeight="1">
      <x:c r="A6332" s="24" t="n">
        <x:v>46280.416666666664</x:v>
      </x:c>
      <x:c r="B6332" s="6" t="n">
        <x:v>0.2711</x:v>
      </x:c>
      <x:c r="C6332" s="6" t="n">
        <x:v>0.1502</x:v>
      </x:c>
      <x:c r="D6332" s="6" t="n">
        <x:f>B6332</x:f>
        <x:v>0.2711</x:v>
      </x:c>
      <x:c r="E6332" s="1" t="n">
        <x:v>1.05</x:v>
      </x:c>
      <x:c r="F6332" s="1" t="str">
        <x:v>https://api.octopus.energy/v1/products/AGILE-24-10-01/electricity-tariffs/E-1R-AGILE-24-10-01-G/standard-unit-rates/</x:v>
      </x:c>
    </x:row>
    <x:row r="6333" ht="21" customHeight="1">
      <x:c r="A6333" s="24" t="n">
        <x:v>46280.4375</x:v>
      </x:c>
      <x:c r="B6333" s="6" t="n">
        <x:v>0.2585</x:v>
      </x:c>
      <x:c r="C6333" s="6" t="n">
        <x:v>0.1444</x:v>
      </x:c>
      <x:c r="D6333" s="6" t="n">
        <x:f>B6333</x:f>
        <x:v>0.2585</x:v>
      </x:c>
      <x:c r="E6333" s="1" t="n">
        <x:v>1.05</x:v>
      </x:c>
      <x:c r="F6333" s="1" t="str">
        <x:v>https://api.octopus.energy/v1/products/AGILE-24-10-01/electricity-tariffs/E-1R-AGILE-24-10-01-G/standard-unit-rates/</x:v>
      </x:c>
    </x:row>
    <x:row r="6334" ht="21" customHeight="1">
      <x:c r="A6334" s="24" t="n">
        <x:v>46280.458333333336</x:v>
      </x:c>
      <x:c r="B6334" s="6" t="n">
        <x:v>0.2254</x:v>
      </x:c>
      <x:c r="C6334" s="6" t="n">
        <x:v>0.1293</x:v>
      </x:c>
      <x:c r="D6334" s="6" t="n">
        <x:f>B6334</x:f>
        <x:v>0.2254</x:v>
      </x:c>
      <x:c r="E6334" s="1" t="n">
        <x:v>1.05</x:v>
      </x:c>
      <x:c r="F6334" s="1" t="str">
        <x:v>https://api.octopus.energy/v1/products/AGILE-24-10-01/electricity-tariffs/E-1R-AGILE-24-10-01-G/standard-unit-rates/</x:v>
      </x:c>
    </x:row>
    <x:row r="6335" ht="21" customHeight="1">
      <x:c r="A6335" s="24" t="n">
        <x:v>46280.479166666664</x:v>
      </x:c>
      <x:c r="B6335" s="6" t="n">
        <x:v>0.2218</x:v>
      </x:c>
      <x:c r="C6335" s="6" t="n">
        <x:v>0.1277</x:v>
      </x:c>
      <x:c r="D6335" s="6" t="n">
        <x:f>B6335</x:f>
        <x:v>0.2218</x:v>
      </x:c>
      <x:c r="E6335" s="1" t="n">
        <x:v>1.05</x:v>
      </x:c>
      <x:c r="F6335" s="1" t="str">
        <x:v>https://api.octopus.energy/v1/products/AGILE-24-10-01/electricity-tariffs/E-1R-AGILE-24-10-01-G/standard-unit-rates/</x:v>
      </x:c>
    </x:row>
    <x:row r="6336" ht="21" customHeight="1">
      <x:c r="A6336" s="24" t="n">
        <x:v>46280.5</x:v>
      </x:c>
      <x:c r="B6336" s="6" t="n">
        <x:v>0.2375</x:v>
      </x:c>
      <x:c r="C6336" s="6" t="n">
        <x:v>0.1348</x:v>
      </x:c>
      <x:c r="D6336" s="6" t="n">
        <x:f>B6336</x:f>
        <x:v>0.2375</x:v>
      </x:c>
      <x:c r="E6336" s="1" t="n">
        <x:v>1.05</x:v>
      </x:c>
      <x:c r="F6336" s="1" t="str">
        <x:v>https://api.octopus.energy/v1/products/AGILE-24-10-01/electricity-tariffs/E-1R-AGILE-24-10-01-G/standard-unit-rates/</x:v>
      </x:c>
    </x:row>
    <x:row r="6337" ht="21" customHeight="1">
      <x:c r="A6337" s="24" t="n">
        <x:v>46280.520833333336</x:v>
      </x:c>
      <x:c r="B6337" s="6" t="n">
        <x:v>0.2354</x:v>
      </x:c>
      <x:c r="C6337" s="6" t="n">
        <x:v>0.13390000000000002</x:v>
      </x:c>
      <x:c r="D6337" s="6" t="n">
        <x:f>B6337</x:f>
        <x:v>0.2354</x:v>
      </x:c>
      <x:c r="E6337" s="1" t="n">
        <x:v>1.05</x:v>
      </x:c>
      <x:c r="F6337" s="1" t="str">
        <x:v>https://api.octopus.energy/v1/products/AGILE-24-10-01/electricity-tariffs/E-1R-AGILE-24-10-01-G/standard-unit-rates/</x:v>
      </x:c>
    </x:row>
    <x:row r="6338" ht="21" customHeight="1">
      <x:c r="A6338" s="24" t="n">
        <x:v>46280.541666666664</x:v>
      </x:c>
      <x:c r="B6338" s="6" t="n">
        <x:v>0.2218</x:v>
      </x:c>
      <x:c r="C6338" s="6" t="n">
        <x:v>0.1276</x:v>
      </x:c>
      <x:c r="D6338" s="6" t="n">
        <x:f>B6338</x:f>
        <x:v>0.2218</x:v>
      </x:c>
      <x:c r="E6338" s="1" t="n">
        <x:v>1.05</x:v>
      </x:c>
      <x:c r="F6338" s="1" t="str">
        <x:v>https://api.octopus.energy/v1/products/AGILE-24-10-01/electricity-tariffs/E-1R-AGILE-24-10-01-G/standard-unit-rates/</x:v>
      </x:c>
    </x:row>
    <x:row r="6339" ht="21" customHeight="1">
      <x:c r="A6339" s="24" t="n">
        <x:v>46280.5625</x:v>
      </x:c>
      <x:c r="B6339" s="6" t="n">
        <x:v>0.2289</x:v>
      </x:c>
      <x:c r="C6339" s="6" t="n">
        <x:v>0.1309</x:v>
      </x:c>
      <x:c r="D6339" s="6" t="n">
        <x:f>B6339</x:f>
        <x:v>0.2289</x:v>
      </x:c>
      <x:c r="E6339" s="1" t="n">
        <x:v>1.05</x:v>
      </x:c>
      <x:c r="F6339" s="1" t="str">
        <x:v>https://api.octopus.energy/v1/products/AGILE-24-10-01/electricity-tariffs/E-1R-AGILE-24-10-01-G/standard-unit-rates/</x:v>
      </x:c>
    </x:row>
    <x:row r="6340" ht="21" customHeight="1">
      <x:c r="A6340" s="24" t="n">
        <x:v>46280.583333333336</x:v>
      </x:c>
      <x:c r="B6340" s="6" t="n">
        <x:v>0.2404</x:v>
      </x:c>
      <x:c r="C6340" s="6" t="n">
        <x:v>0.1362</x:v>
      </x:c>
      <x:c r="D6340" s="6" t="n">
        <x:f>B6340</x:f>
        <x:v>0.2404</x:v>
      </x:c>
      <x:c r="E6340" s="1" t="n">
        <x:v>1.05</x:v>
      </x:c>
      <x:c r="F6340" s="1" t="str">
        <x:v>https://api.octopus.energy/v1/products/AGILE-24-10-01/electricity-tariffs/E-1R-AGILE-24-10-01-G/standard-unit-rates/</x:v>
      </x:c>
    </x:row>
    <x:row r="6341" ht="21" customHeight="1">
      <x:c r="A6341" s="24" t="n">
        <x:v>46280.604166666664</x:v>
      </x:c>
      <x:c r="B6341" s="6" t="n">
        <x:v>0.2395</x:v>
      </x:c>
      <x:c r="C6341" s="6" t="n">
        <x:v>0.1358</x:v>
      </x:c>
      <x:c r="D6341" s="6" t="n">
        <x:f>B6341</x:f>
        <x:v>0.2395</x:v>
      </x:c>
      <x:c r="E6341" s="1" t="n">
        <x:v>1.05</x:v>
      </x:c>
      <x:c r="F6341" s="1" t="str">
        <x:v>https://api.octopus.energy/v1/products/AGILE-24-10-01/electricity-tariffs/E-1R-AGILE-24-10-01-G/standard-unit-rates/</x:v>
      </x:c>
    </x:row>
    <x:row r="6342" ht="21" customHeight="1">
      <x:c r="A6342" s="24" t="n">
        <x:v>46280.625</x:v>
      </x:c>
      <x:c r="B6342" s="6" t="n">
        <x:v>0.2732</x:v>
      </x:c>
      <x:c r="C6342" s="6" t="n">
        <x:v>0.1512</x:v>
      </x:c>
      <x:c r="D6342" s="6" t="n">
        <x:f>B6342</x:f>
        <x:v>0.2732</x:v>
      </x:c>
      <x:c r="E6342" s="1" t="n">
        <x:v>1.05</x:v>
      </x:c>
      <x:c r="F6342" s="1" t="str">
        <x:v>https://api.octopus.energy/v1/products/AGILE-24-10-01/electricity-tariffs/E-1R-AGILE-24-10-01-G/standard-unit-rates/</x:v>
      </x:c>
    </x:row>
    <x:row r="6343" ht="21" customHeight="1">
      <x:c r="A6343" s="24" t="n">
        <x:v>46280.645833333336</x:v>
      </x:c>
      <x:c r="B6343" s="6" t="n">
        <x:v>0.2756</x:v>
      </x:c>
      <x:c r="C6343" s="6" t="n">
        <x:v>0.1522</x:v>
      </x:c>
      <x:c r="D6343" s="6" t="n">
        <x:f>B6343</x:f>
        <x:v>0.2756</x:v>
      </x:c>
      <x:c r="E6343" s="1" t="n">
        <x:v>1.05</x:v>
      </x:c>
      <x:c r="F6343" s="1" t="str">
        <x:v>https://api.octopus.energy/v1/products/AGILE-24-10-01/electricity-tariffs/E-1R-AGILE-24-10-01-G/standard-unit-rates/</x:v>
      </x:c>
    </x:row>
    <x:row r="6344" ht="21" customHeight="1">
      <x:c r="A6344" s="24" t="n">
        <x:v>46280.666666666664</x:v>
      </x:c>
      <x:c r="B6344" s="6" t="n">
        <x:v>0.4178</x:v>
      </x:c>
      <x:c r="C6344" s="6" t="n">
        <x:v>0.2213</x:v>
      </x:c>
      <x:c r="D6344" s="6" t="n">
        <x:f>B6344</x:f>
        <x:v>0.4178</x:v>
      </x:c>
      <x:c r="E6344" s="1" t="n">
        <x:v>1.05</x:v>
      </x:c>
      <x:c r="F6344" s="1" t="str">
        <x:v>https://api.octopus.energy/v1/products/AGILE-24-10-01/electricity-tariffs/E-1R-AGILE-24-10-01-G/standard-unit-rates/</x:v>
      </x:c>
    </x:row>
    <x:row r="6345" ht="21" customHeight="1">
      <x:c r="A6345" s="24" t="n">
        <x:v>46280.6875</x:v>
      </x:c>
      <x:c r="B6345" s="6" t="n">
        <x:v>0.431</x:v>
      </x:c>
      <x:c r="C6345" s="6" t="n">
        <x:v>0.2273</x:v>
      </x:c>
      <x:c r="D6345" s="6" t="n">
        <x:f>B6345</x:f>
        <x:v>0.431</x:v>
      </x:c>
      <x:c r="E6345" s="1" t="n">
        <x:v>1.05</x:v>
      </x:c>
      <x:c r="F6345" s="1" t="str">
        <x:v>https://api.octopus.energy/v1/products/AGILE-24-10-01/electricity-tariffs/E-1R-AGILE-24-10-01-G/standard-unit-rates/</x:v>
      </x:c>
    </x:row>
    <x:row r="6346" ht="21" customHeight="1">
      <x:c r="A6346" s="24" t="n">
        <x:v>46280.708333333336</x:v>
      </x:c>
      <x:c r="B6346" s="6" t="n">
        <x:v>0.47009999999999996</x:v>
      </x:c>
      <x:c r="C6346" s="6" t="n">
        <x:v>0.2452</x:v>
      </x:c>
      <x:c r="D6346" s="6" t="n">
        <x:f>B6346</x:f>
        <x:v>0.47009999999999996</x:v>
      </x:c>
      <x:c r="E6346" s="1" t="n">
        <x:v>1.05</x:v>
      </x:c>
      <x:c r="F6346" s="1" t="str">
        <x:v>https://api.octopus.energy/v1/products/AGILE-24-10-01/electricity-tariffs/E-1R-AGILE-24-10-01-G/standard-unit-rates/</x:v>
      </x:c>
    </x:row>
    <x:row r="6347" ht="21" customHeight="1">
      <x:c r="A6347" s="24" t="n">
        <x:v>46280.729166666664</x:v>
      </x:c>
      <x:c r="B6347" s="6" t="n">
        <x:v>0.48960000000000004</x:v>
      </x:c>
      <x:c r="C6347" s="6" t="n">
        <x:v>0.2541</x:v>
      </x:c>
      <x:c r="D6347" s="6" t="n">
        <x:f>B6347</x:f>
        <x:v>0.48960000000000004</x:v>
      </x:c>
      <x:c r="E6347" s="1" t="n">
        <x:v>1.05</x:v>
      </x:c>
      <x:c r="F6347" s="1" t="str">
        <x:v>https://api.octopus.energy/v1/products/AGILE-24-10-01/electricity-tariffs/E-1R-AGILE-24-10-01-G/standard-unit-rates/</x:v>
      </x:c>
    </x:row>
    <x:row r="6348" ht="21" customHeight="1">
      <x:c r="A6348" s="24" t="n">
        <x:v>46280.75</x:v>
      </x:c>
      <x:c r="B6348" s="6" t="n">
        <x:v>0.5221</x:v>
      </x:c>
      <x:c r="C6348" s="6" t="n">
        <x:v>0.26899999999999996</x:v>
      </x:c>
      <x:c r="D6348" s="6" t="n">
        <x:f>B6348</x:f>
        <x:v>0.5221</x:v>
      </x:c>
      <x:c r="E6348" s="1" t="n">
        <x:v>1.05</x:v>
      </x:c>
      <x:c r="F6348" s="1" t="str">
        <x:v>https://api.octopus.energy/v1/products/AGILE-24-10-01/electricity-tariffs/E-1R-AGILE-24-10-01-G/standard-unit-rates/</x:v>
      </x:c>
    </x:row>
    <x:row r="6349" ht="21" customHeight="1">
      <x:c r="A6349" s="24" t="n">
        <x:v>46280.770833333336</x:v>
      </x:c>
      <x:c r="B6349" s="6" t="n">
        <x:v>0.535</x:v>
      </x:c>
      <x:c r="C6349" s="6" t="n">
        <x:v>0.2749</x:v>
      </x:c>
      <x:c r="D6349" s="6" t="n">
        <x:f>B6349</x:f>
        <x:v>0.535</x:v>
      </x:c>
      <x:c r="E6349" s="1" t="n">
        <x:v>1.05</x:v>
      </x:c>
      <x:c r="F6349" s="1" t="str">
        <x:v>https://api.octopus.energy/v1/products/AGILE-24-10-01/electricity-tariffs/E-1R-AGILE-24-10-01-G/standard-unit-rates/</x:v>
      </x:c>
    </x:row>
    <x:row r="6350" ht="21" customHeight="1">
      <x:c r="A6350" s="24" t="n">
        <x:v>46280.791666666664</x:v>
      </x:c>
      <x:c r="B6350" s="6" t="n">
        <x:v>0.4069</x:v>
      </x:c>
      <x:c r="C6350" s="6" t="n">
        <x:v>0.21230000000000002</x:v>
      </x:c>
      <x:c r="D6350" s="6" t="n">
        <x:f>B6350</x:f>
        <x:v>0.4069</x:v>
      </x:c>
      <x:c r="E6350" s="1" t="n">
        <x:v>1.05</x:v>
      </x:c>
      <x:c r="F6350" s="1" t="str">
        <x:v>https://api.octopus.energy/v1/products/AGILE-24-10-01/electricity-tariffs/E-1R-AGILE-24-10-01-G/standard-unit-rates/</x:v>
      </x:c>
    </x:row>
    <x:row r="6351" ht="21" customHeight="1">
      <x:c r="A6351" s="24" t="n">
        <x:v>46280.8125</x:v>
      </x:c>
      <x:c r="B6351" s="6" t="n">
        <x:v>0.4202</x:v>
      </x:c>
      <x:c r="C6351" s="6" t="n">
        <x:v>0.2184</x:v>
      </x:c>
      <x:c r="D6351" s="6" t="n">
        <x:f>B6351</x:f>
        <x:v>0.4202</x:v>
      </x:c>
      <x:c r="E6351" s="1" t="n">
        <x:v>1.05</x:v>
      </x:c>
      <x:c r="F6351" s="1" t="str">
        <x:v>https://api.octopus.energy/v1/products/AGILE-24-10-01/electricity-tariffs/E-1R-AGILE-24-10-01-G/standard-unit-rates/</x:v>
      </x:c>
    </x:row>
    <x:row r="6352" ht="21" customHeight="1">
      <x:c r="A6352" s="24" t="n">
        <x:v>46280.833333333336</x:v>
      </x:c>
      <x:c r="B6352" s="6" t="n">
        <x:v>0.3845</x:v>
      </x:c>
      <x:c r="C6352" s="6" t="n">
        <x:v>0.20199999999999999</x:v>
      </x:c>
      <x:c r="D6352" s="6" t="n">
        <x:f>B6352</x:f>
        <x:v>0.3845</x:v>
      </x:c>
      <x:c r="E6352" s="1" t="n">
        <x:v>1.05</x:v>
      </x:c>
      <x:c r="F6352" s="1" t="str">
        <x:v>https://api.octopus.energy/v1/products/AGILE-24-10-01/electricity-tariffs/E-1R-AGILE-24-10-01-G/standard-unit-rates/</x:v>
      </x:c>
    </x:row>
    <x:row r="6353" ht="21" customHeight="1">
      <x:c r="A6353" s="24" t="n">
        <x:v>46280.854166666664</x:v>
      </x:c>
      <x:c r="B6353" s="6" t="n">
        <x:v>0.3578</x:v>
      </x:c>
      <x:c r="C6353" s="6" t="n">
        <x:v>0.1898</x:v>
      </x:c>
      <x:c r="D6353" s="6" t="n">
        <x:f>B6353</x:f>
        <x:v>0.3578</x:v>
      </x:c>
      <x:c r="E6353" s="1" t="n">
        <x:v>1.05</x:v>
      </x:c>
      <x:c r="F6353" s="1" t="str">
        <x:v>https://api.octopus.energy/v1/products/AGILE-24-10-01/electricity-tariffs/E-1R-AGILE-24-10-01-G/standard-unit-rates/</x:v>
      </x:c>
    </x:row>
    <x:row r="6354" ht="21" customHeight="1">
      <x:c r="A6354" s="24" t="n">
        <x:v>46280.875</x:v>
      </x:c>
      <x:c r="B6354" s="6" t="n">
        <x:v>0.3467</x:v>
      </x:c>
      <x:c r="C6354" s="6" t="n">
        <x:v>0.1848</x:v>
      </x:c>
      <x:c r="D6354" s="6" t="n">
        <x:f>B6354</x:f>
        <x:v>0.3467</x:v>
      </x:c>
      <x:c r="E6354" s="1" t="n">
        <x:v>1.05</x:v>
      </x:c>
      <x:c r="F6354" s="1" t="str">
        <x:v>https://api.octopus.energy/v1/products/AGILE-24-10-01/electricity-tariffs/E-1R-AGILE-24-10-01-G/standard-unit-rates/</x:v>
      </x:c>
    </x:row>
    <x:row r="6355" ht="21" customHeight="1">
      <x:c r="A6355" s="24" t="n">
        <x:v>46280.895833333336</x:v>
      </x:c>
      <x:c r="B6355" s="6" t="n">
        <x:v>0.2979</x:v>
      </x:c>
      <x:c r="C6355" s="6" t="n">
        <x:v>0.1624</x:v>
      </x:c>
      <x:c r="D6355" s="6" t="n">
        <x:f>B6355</x:f>
        <x:v>0.2979</x:v>
      </x:c>
      <x:c r="E6355" s="1" t="n">
        <x:v>1.05</x:v>
      </x:c>
      <x:c r="F6355" s="1" t="str">
        <x:v>https://api.octopus.energy/v1/products/AGILE-24-10-01/electricity-tariffs/E-1R-AGILE-24-10-01-G/standard-unit-rates/</x:v>
      </x:c>
    </x:row>
    <x:row r="6356" ht="21" customHeight="1">
      <x:c r="A6356" s="24" t="n">
        <x:v>46280.916666666664</x:v>
      </x:c>
      <x:c r="B6356" s="6" t="n">
        <x:v>0.311</x:v>
      </x:c>
      <x:c r="C6356" s="6" t="n">
        <x:v>0.1684</x:v>
      </x:c>
      <x:c r="D6356" s="6" t="n">
        <x:f>B6356</x:f>
        <x:v>0.311</x:v>
      </x:c>
      <x:c r="E6356" s="1" t="n">
        <x:v>1.05</x:v>
      </x:c>
      <x:c r="F6356" s="1" t="str">
        <x:v>https://api.octopus.energy/v1/products/AGILE-24-10-01/electricity-tariffs/E-1R-AGILE-24-10-01-G/standard-unit-rates/</x:v>
      </x:c>
    </x:row>
    <x:row r="6357" ht="21" customHeight="1">
      <x:c r="A6357" s="24" t="n">
        <x:v>46280.9375</x:v>
      </x:c>
      <x:c r="B6357" s="6" t="n">
        <x:v>0.2789</x:v>
      </x:c>
      <x:c r="C6357" s="6" t="n">
        <x:v>0.15380000000000002</x:v>
      </x:c>
      <x:c r="D6357" s="6" t="n">
        <x:f>B6357</x:f>
        <x:v>0.2789</x:v>
      </x:c>
      <x:c r="E6357" s="1" t="n">
        <x:v>1.05</x:v>
      </x:c>
      <x:c r="F6357" s="1" t="str">
        <x:v>https://api.octopus.energy/v1/products/AGILE-24-10-01/electricity-tariffs/E-1R-AGILE-24-10-01-G/standard-unit-rates/</x:v>
      </x:c>
    </x:row>
    <x:row r="6358" ht="21" customHeight="1">
      <x:c r="A6358" s="24" t="n">
        <x:v>46281</x:v>
      </x:c>
      <x:c r="B6358" s="6" t="n">
        <x:v>0.2711</x:v>
      </x:c>
      <x:c r="C6358" s="6" t="n">
        <x:v>0.1502</x:v>
      </x:c>
      <x:c r="D6358" s="6" t="n">
        <x:f>B6358</x:f>
        <x:v>0.2711</x:v>
      </x:c>
      <x:c r="E6358" s="1" t="n">
        <x:v>1.05</x:v>
      </x:c>
      <x:c r="F6358" s="1" t="str">
        <x:v>https://api.octopus.energy/v1/products/AGILE-24-10-01/electricity-tariffs/E-1R-AGILE-24-10-01-G/standard-unit-rates/</x:v>
      </x:c>
    </x:row>
    <x:row r="6359" ht="21" customHeight="1">
      <x:c r="A6359" s="24" t="n">
        <x:v>46280.979166666664</x:v>
      </x:c>
      <x:c r="B6359" s="6" t="n">
        <x:v>0.25129999999999997</x:v>
      </x:c>
      <x:c r="C6359" s="6" t="n">
        <x:v>0.1412</x:v>
      </x:c>
      <x:c r="D6359" s="6" t="n">
        <x:f>B6359</x:f>
        <x:v>0.25129999999999997</x:v>
      </x:c>
      <x:c r="E6359" s="1" t="n">
        <x:v>1.05</x:v>
      </x:c>
      <x:c r="F6359" s="1" t="str">
        <x:v>https://api.octopus.energy/v1/products/AGILE-24-10-01/electricity-tariffs/E-1R-AGILE-24-10-01-G/standard-unit-rates/</x:v>
      </x:c>
    </x:row>
    <x:row r="6360" ht="21" customHeight="1">
      <x:c r="A6360" s="24" t="n">
        <x:v>46281</x:v>
      </x:c>
      <x:c r="B6360" s="6" t="n">
        <x:v>0.2645</x:v>
      </x:c>
      <x:c r="C6360" s="6" t="n">
        <x:v>0.1472</x:v>
      </x:c>
      <x:c r="D6360" s="6" t="n">
        <x:f>B6360</x:f>
        <x:v>0.2645</x:v>
      </x:c>
      <x:c r="E6360" s="1" t="n">
        <x:v>1.05</x:v>
      </x:c>
      <x:c r="F6360" s="1" t="str">
        <x:v>https://api.octopus.energy/v1/products/AGILE-24-10-01/electricity-tariffs/E-1R-AGILE-24-10-01-G/standard-unit-rates/</x:v>
      </x:c>
    </x:row>
    <x:row r="6361" ht="21" customHeight="1">
      <x:c r="A6361" s="24" t="n">
        <x:v>46281.020833333336</x:v>
      </x:c>
      <x:c r="B6361" s="6" t="n">
        <x:v>0.2642</x:v>
      </x:c>
      <x:c r="C6361" s="6" t="n">
        <x:v>0.1471</x:v>
      </x:c>
      <x:c r="D6361" s="6" t="n">
        <x:f>B6361</x:f>
        <x:v>0.2642</x:v>
      </x:c>
      <x:c r="E6361" s="1" t="n">
        <x:v>1.05</x:v>
      </x:c>
      <x:c r="F6361" s="1" t="str">
        <x:v>https://api.octopus.energy/v1/products/AGILE-24-10-01/electricity-tariffs/E-1R-AGILE-24-10-01-G/standard-unit-rates/</x:v>
      </x:c>
    </x:row>
    <x:row r="6362" ht="21" customHeight="1">
      <x:c r="A6362" s="24" t="n">
        <x:v>46281.041666666664</x:v>
      </x:c>
      <x:c r="B6362" s="6" t="n">
        <x:v>0.2681</x:v>
      </x:c>
      <x:c r="C6362" s="6" t="n">
        <x:v>0.14880000000000002</x:v>
      </x:c>
      <x:c r="D6362" s="6" t="n">
        <x:f>B6362</x:f>
        <x:v>0.2681</x:v>
      </x:c>
      <x:c r="E6362" s="1" t="n">
        <x:v>1.05</x:v>
      </x:c>
      <x:c r="F6362" s="1" t="str">
        <x:v>https://api.octopus.energy/v1/products/AGILE-24-10-01/electricity-tariffs/E-1R-AGILE-24-10-01-G/standard-unit-rates/</x:v>
      </x:c>
    </x:row>
    <x:row r="6363" ht="21" customHeight="1">
      <x:c r="A6363" s="24" t="n">
        <x:v>46281.0625</x:v>
      </x:c>
      <x:c r="B6363" s="6" t="n">
        <x:v>0.2758</x:v>
      </x:c>
      <x:c r="C6363" s="6" t="n">
        <x:v>0.1524</x:v>
      </x:c>
      <x:c r="D6363" s="6" t="n">
        <x:f>B6363</x:f>
        <x:v>0.2758</x:v>
      </x:c>
      <x:c r="E6363" s="1" t="n">
        <x:v>1.05</x:v>
      </x:c>
      <x:c r="F6363" s="1" t="str">
        <x:v>https://api.octopus.energy/v1/products/AGILE-24-10-01/electricity-tariffs/E-1R-AGILE-24-10-01-G/standard-unit-rates/</x:v>
      </x:c>
    </x:row>
    <x:row r="6364" ht="21" customHeight="1">
      <x:c r="A6364" s="24" t="n">
        <x:v>46281.083333333336</x:v>
      </x:c>
      <x:c r="B6364" s="6" t="n">
        <x:v>0.2892</x:v>
      </x:c>
      <x:c r="C6364" s="6" t="n">
        <x:v>0.1585</x:v>
      </x:c>
      <x:c r="D6364" s="6" t="n">
        <x:f>B6364</x:f>
        <x:v>0.2892</x:v>
      </x:c>
      <x:c r="E6364" s="1" t="n">
        <x:v>1.05</x:v>
      </x:c>
      <x:c r="F6364" s="1" t="str">
        <x:v>https://api.octopus.energy/v1/products/AGILE-24-10-01/electricity-tariffs/E-1R-AGILE-24-10-01-G/standard-unit-rates/</x:v>
      </x:c>
    </x:row>
    <x:row r="6365" ht="21" customHeight="1">
      <x:c r="A6365" s="24" t="n">
        <x:v>46281.104166666664</x:v>
      </x:c>
      <x:c r="B6365" s="6" t="n">
        <x:v>0.2861</x:v>
      </x:c>
      <x:c r="C6365" s="6" t="n">
        <x:v>0.15710000000000002</x:v>
      </x:c>
      <x:c r="D6365" s="6" t="n">
        <x:f>B6365</x:f>
        <x:v>0.2861</x:v>
      </x:c>
      <x:c r="E6365" s="1" t="n">
        <x:v>1.05</x:v>
      </x:c>
      <x:c r="F6365" s="1" t="str">
        <x:v>https://api.octopus.energy/v1/products/AGILE-24-10-01/electricity-tariffs/E-1R-AGILE-24-10-01-G/standard-unit-rates/</x:v>
      </x:c>
    </x:row>
    <x:row r="6366" ht="21" customHeight="1">
      <x:c r="A6366" s="24" t="n">
        <x:v>46281.125</x:v>
      </x:c>
      <x:c r="B6366" s="6" t="n">
        <x:v>0.2875</x:v>
      </x:c>
      <x:c r="C6366" s="6" t="n">
        <x:v>0.1577</x:v>
      </x:c>
      <x:c r="D6366" s="6" t="n">
        <x:f>B6366</x:f>
        <x:v>0.2875</x:v>
      </x:c>
      <x:c r="E6366" s="1" t="n">
        <x:v>1.05</x:v>
      </x:c>
      <x:c r="F6366" s="1" t="str">
        <x:v>https://api.octopus.energy/v1/products/AGILE-24-10-01/electricity-tariffs/E-1R-AGILE-24-10-01-G/standard-unit-rates/</x:v>
      </x:c>
    </x:row>
    <x:row r="6367" ht="21" customHeight="1">
      <x:c r="A6367" s="24" t="n">
        <x:v>46281.145833333336</x:v>
      </x:c>
      <x:c r="B6367" s="6" t="n">
        <x:v>0.2796</x:v>
      </x:c>
      <x:c r="C6367" s="6" t="n">
        <x:v>0.15410000000000001</x:v>
      </x:c>
      <x:c r="D6367" s="6" t="n">
        <x:f>B6367</x:f>
        <x:v>0.2796</x:v>
      </x:c>
      <x:c r="E6367" s="1" t="n">
        <x:v>1.05</x:v>
      </x:c>
      <x:c r="F6367" s="1" t="str">
        <x:v>https://api.octopus.energy/v1/products/AGILE-24-10-01/electricity-tariffs/E-1R-AGILE-24-10-01-G/standard-unit-rates/</x:v>
      </x:c>
    </x:row>
    <x:row r="6368" ht="21" customHeight="1">
      <x:c r="A6368" s="24" t="n">
        <x:v>46281.166666666664</x:v>
      </x:c>
      <x:c r="B6368" s="6" t="n">
        <x:v>0.3093</x:v>
      </x:c>
      <x:c r="C6368" s="6" t="n">
        <x:v>0.1677</x:v>
      </x:c>
      <x:c r="D6368" s="6" t="n">
        <x:f>B6368</x:f>
        <x:v>0.3093</x:v>
      </x:c>
      <x:c r="E6368" s="1" t="n">
        <x:v>1.05</x:v>
      </x:c>
      <x:c r="F6368" s="1" t="str">
        <x:v>https://api.octopus.energy/v1/products/AGILE-24-10-01/electricity-tariffs/E-1R-AGILE-24-10-01-G/standard-unit-rates/</x:v>
      </x:c>
    </x:row>
    <x:row r="6369" ht="21" customHeight="1">
      <x:c r="A6369" s="24" t="n">
        <x:v>46281.1875</x:v>
      </x:c>
      <x:c r="B6369" s="6" t="n">
        <x:v>0.3042</x:v>
      </x:c>
      <x:c r="C6369" s="6" t="n">
        <x:v>0.1653</x:v>
      </x:c>
      <x:c r="D6369" s="6" t="n">
        <x:f>B6369</x:f>
        <x:v>0.3042</x:v>
      </x:c>
      <x:c r="E6369" s="1" t="n">
        <x:v>1.05</x:v>
      </x:c>
      <x:c r="F6369" s="1" t="str">
        <x:v>https://api.octopus.energy/v1/products/AGILE-24-10-01/electricity-tariffs/E-1R-AGILE-24-10-01-G/standard-unit-rates/</x:v>
      </x:c>
    </x:row>
    <x:row r="6370" ht="21" customHeight="1">
      <x:c r="A6370" s="24" t="n">
        <x:v>46281.208333333336</x:v>
      </x:c>
      <x:c r="B6370" s="6" t="n">
        <x:v>0.34049999999999997</x:v>
      </x:c>
      <x:c r="C6370" s="6" t="n">
        <x:v>0.1819</x:v>
      </x:c>
      <x:c r="D6370" s="6" t="n">
        <x:f>B6370</x:f>
        <x:v>0.34049999999999997</x:v>
      </x:c>
      <x:c r="E6370" s="1" t="n">
        <x:v>1.05</x:v>
      </x:c>
      <x:c r="F6370" s="1" t="str">
        <x:v>https://api.octopus.energy/v1/products/AGILE-24-10-01/electricity-tariffs/E-1R-AGILE-24-10-01-G/standard-unit-rates/</x:v>
      </x:c>
    </x:row>
    <x:row r="6371" ht="21" customHeight="1">
      <x:c r="A6371" s="24" t="n">
        <x:v>46281.229166666664</x:v>
      </x:c>
      <x:c r="B6371" s="6" t="n">
        <x:v>0.3546</x:v>
      </x:c>
      <x:c r="C6371" s="6" t="n">
        <x:v>0.1884</x:v>
      </x:c>
      <x:c r="D6371" s="6" t="n">
        <x:f>B6371</x:f>
        <x:v>0.3546</x:v>
      </x:c>
      <x:c r="E6371" s="1" t="n">
        <x:v>1.05</x:v>
      </x:c>
      <x:c r="F6371" s="1" t="str">
        <x:v>https://api.octopus.energy/v1/products/AGILE-24-10-01/electricity-tariffs/E-1R-AGILE-24-10-01-G/standard-unit-rates/</x:v>
      </x:c>
    </x:row>
    <x:row r="6372" ht="21" customHeight="1">
      <x:c r="A6372" s="24" t="n">
        <x:v>46281.25</x:v>
      </x:c>
      <x:c r="B6372" s="6" t="n">
        <x:v>0.3593</x:v>
      </x:c>
      <x:c r="C6372" s="6" t="n">
        <x:v>0.1905</x:v>
      </x:c>
      <x:c r="D6372" s="6" t="n">
        <x:f>B6372</x:f>
        <x:v>0.3593</x:v>
      </x:c>
      <x:c r="E6372" s="1" t="n">
        <x:v>1.05</x:v>
      </x:c>
      <x:c r="F6372" s="1" t="str">
        <x:v>https://api.octopus.energy/v1/products/AGILE-24-10-01/electricity-tariffs/E-1R-AGILE-24-10-01-G/standard-unit-rates/</x:v>
      </x:c>
    </x:row>
    <x:row r="6373" ht="21" customHeight="1">
      <x:c r="A6373" s="24" t="n">
        <x:v>46281.270833333336</x:v>
      </x:c>
      <x:c r="B6373" s="6" t="n">
        <x:v>0.3614</x:v>
      </x:c>
      <x:c r="C6373" s="6" t="n">
        <x:v>0.19149999999999998</x:v>
      </x:c>
      <x:c r="D6373" s="6" t="n">
        <x:f>B6373</x:f>
        <x:v>0.3614</x:v>
      </x:c>
      <x:c r="E6373" s="1" t="n">
        <x:v>1.05</x:v>
      </x:c>
      <x:c r="F6373" s="1" t="str">
        <x:v>https://api.octopus.energy/v1/products/AGILE-24-10-01/electricity-tariffs/E-1R-AGILE-24-10-01-G/standard-unit-rates/</x:v>
      </x:c>
    </x:row>
    <x:row r="6374" ht="21" customHeight="1">
      <x:c r="A6374" s="24" t="n">
        <x:v>46281.291666666664</x:v>
      </x:c>
      <x:c r="B6374" s="6" t="n">
        <x:v>0.3614</x:v>
      </x:c>
      <x:c r="C6374" s="6" t="n">
        <x:v>0.19149999999999998</x:v>
      </x:c>
      <x:c r="D6374" s="6" t="n">
        <x:f>B6374</x:f>
        <x:v>0.3614</x:v>
      </x:c>
      <x:c r="E6374" s="1" t="n">
        <x:v>1.05</x:v>
      </x:c>
      <x:c r="F6374" s="1" t="str">
        <x:v>https://api.octopus.energy/v1/products/AGILE-24-10-01/electricity-tariffs/E-1R-AGILE-24-10-01-G/standard-unit-rates/</x:v>
      </x:c>
    </x:row>
    <x:row r="6375" ht="21" customHeight="1">
      <x:c r="A6375" s="24" t="n">
        <x:v>46281.3125</x:v>
      </x:c>
      <x:c r="B6375" s="6" t="n">
        <x:v>0.3771</x:v>
      </x:c>
      <x:c r="C6375" s="6" t="n">
        <x:v>0.1986</x:v>
      </x:c>
      <x:c r="D6375" s="6" t="n">
        <x:f>B6375</x:f>
        <x:v>0.3771</x:v>
      </x:c>
      <x:c r="E6375" s="1" t="n">
        <x:v>1.05</x:v>
      </x:c>
      <x:c r="F6375" s="1" t="str">
        <x:v>https://api.octopus.energy/v1/products/AGILE-24-10-01/electricity-tariffs/E-1R-AGILE-24-10-01-G/standard-unit-rates/</x:v>
      </x:c>
    </x:row>
    <x:row r="6376" ht="21" customHeight="1">
      <x:c r="A6376" s="24" t="n">
        <x:v>46281.333333333336</x:v>
      </x:c>
      <x:c r="B6376" s="6" t="n">
        <x:v>0.34259999999999996</x:v>
      </x:c>
      <x:c r="C6376" s="6" t="n">
        <x:v>0.18289999999999998</x:v>
      </x:c>
      <x:c r="D6376" s="6" t="n">
        <x:f>B6376</x:f>
        <x:v>0.34259999999999996</x:v>
      </x:c>
      <x:c r="E6376" s="1" t="n">
        <x:v>1.05</x:v>
      </x:c>
      <x:c r="F6376" s="1" t="str">
        <x:v>https://api.octopus.energy/v1/products/AGILE-24-10-01/electricity-tariffs/E-1R-AGILE-24-10-01-G/standard-unit-rates/</x:v>
      </x:c>
    </x:row>
    <x:row r="6377" ht="21" customHeight="1">
      <x:c r="A6377" s="24" t="n">
        <x:v>46281.354166666664</x:v>
      </x:c>
      <x:c r="B6377" s="6" t="n">
        <x:v>0.326</x:v>
      </x:c>
      <x:c r="C6377" s="6" t="n">
        <x:v>0.1753</x:v>
      </x:c>
      <x:c r="D6377" s="6" t="n">
        <x:f>B6377</x:f>
        <x:v>0.326</x:v>
      </x:c>
      <x:c r="E6377" s="1" t="n">
        <x:v>1.05</x:v>
      </x:c>
      <x:c r="F6377" s="1" t="str">
        <x:v>https://api.octopus.energy/v1/products/AGILE-24-10-01/electricity-tariffs/E-1R-AGILE-24-10-01-G/standard-unit-rates/</x:v>
      </x:c>
    </x:row>
    <x:row r="6378" ht="21" customHeight="1">
      <x:c r="A6378" s="24" t="n">
        <x:v>46281.375</x:v>
      </x:c>
      <x:c r="B6378" s="6" t="n">
        <x:v>0.3096</x:v>
      </x:c>
      <x:c r="C6378" s="6" t="n">
        <x:v>0.1678</x:v>
      </x:c>
      <x:c r="D6378" s="6" t="n">
        <x:f>B6378</x:f>
        <x:v>0.3096</x:v>
      </x:c>
      <x:c r="E6378" s="1" t="n">
        <x:v>1.05</x:v>
      </x:c>
      <x:c r="F6378" s="1" t="str">
        <x:v>https://api.octopus.energy/v1/products/AGILE-24-10-01/electricity-tariffs/E-1R-AGILE-24-10-01-G/standard-unit-rates/</x:v>
      </x:c>
    </x:row>
    <x:row r="6379" ht="21" customHeight="1">
      <x:c r="A6379" s="24" t="n">
        <x:v>46281.395833333336</x:v>
      </x:c>
      <x:c r="B6379" s="6" t="n">
        <x:v>0.2955</x:v>
      </x:c>
      <x:c r="C6379" s="6" t="n">
        <x:v>0.1613</x:v>
      </x:c>
      <x:c r="D6379" s="6" t="n">
        <x:f>B6379</x:f>
        <x:v>0.2955</x:v>
      </x:c>
      <x:c r="E6379" s="1" t="n">
        <x:v>1.05</x:v>
      </x:c>
      <x:c r="F6379" s="1" t="str">
        <x:v>https://api.octopus.energy/v1/products/AGILE-24-10-01/electricity-tariffs/E-1R-AGILE-24-10-01-G/standard-unit-rates/</x:v>
      </x:c>
    </x:row>
    <x:row r="6380" ht="21" customHeight="1">
      <x:c r="A6380" s="24" t="n">
        <x:v>46281.416666666664</x:v>
      </x:c>
      <x:c r="B6380" s="6" t="n">
        <x:v>0.2917</x:v>
      </x:c>
      <x:c r="C6380" s="6" t="n">
        <x:v>0.15960000000000002</x:v>
      </x:c>
      <x:c r="D6380" s="6" t="n">
        <x:f>B6380</x:f>
        <x:v>0.2917</x:v>
      </x:c>
      <x:c r="E6380" s="1" t="n">
        <x:v>1.05</x:v>
      </x:c>
      <x:c r="F6380" s="1" t="str">
        <x:v>https://api.octopus.energy/v1/products/AGILE-24-10-01/electricity-tariffs/E-1R-AGILE-24-10-01-G/standard-unit-rates/</x:v>
      </x:c>
    </x:row>
    <x:row r="6381" ht="21" customHeight="1">
      <x:c r="A6381" s="24" t="n">
        <x:v>46281.4375</x:v>
      </x:c>
      <x:c r="B6381" s="6" t="n">
        <x:v>0.2928</x:v>
      </x:c>
      <x:c r="C6381" s="6" t="n">
        <x:v>0.16010000000000002</x:v>
      </x:c>
      <x:c r="D6381" s="6" t="n">
        <x:f>B6381</x:f>
        <x:v>0.2928</x:v>
      </x:c>
      <x:c r="E6381" s="1" t="n">
        <x:v>1.05</x:v>
      </x:c>
      <x:c r="F6381" s="1" t="str">
        <x:v>https://api.octopus.energy/v1/products/AGILE-24-10-01/electricity-tariffs/E-1R-AGILE-24-10-01-G/standard-unit-rates/</x:v>
      </x:c>
    </x:row>
    <x:row r="6382" ht="21" customHeight="1">
      <x:c r="A6382" s="24" t="n">
        <x:v>46281.458333333336</x:v>
      </x:c>
      <x:c r="B6382" s="6" t="n">
        <x:v>0.29</x:v>
      </x:c>
      <x:c r="C6382" s="6" t="n">
        <x:v>0.1588</x:v>
      </x:c>
      <x:c r="D6382" s="6" t="n">
        <x:f>B6382</x:f>
        <x:v>0.29</x:v>
      </x:c>
      <x:c r="E6382" s="1" t="n">
        <x:v>1.05</x:v>
      </x:c>
      <x:c r="F6382" s="1" t="str">
        <x:v>https://api.octopus.energy/v1/products/AGILE-24-10-01/electricity-tariffs/E-1R-AGILE-24-10-01-G/standard-unit-rates/</x:v>
      </x:c>
    </x:row>
    <x:row r="6383" ht="21" customHeight="1">
      <x:c r="A6383" s="24" t="n">
        <x:v>46281.479166666664</x:v>
      </x:c>
      <x:c r="B6383" s="6" t="n">
        <x:v>0.29</x:v>
      </x:c>
      <x:c r="C6383" s="6" t="n">
        <x:v>0.1588</x:v>
      </x:c>
      <x:c r="D6383" s="6" t="n">
        <x:f>B6383</x:f>
        <x:v>0.29</x:v>
      </x:c>
      <x:c r="E6383" s="1" t="n">
        <x:v>1.05</x:v>
      </x:c>
      <x:c r="F6383" s="1" t="str">
        <x:v>https://api.octopus.energy/v1/products/AGILE-24-10-01/electricity-tariffs/E-1R-AGILE-24-10-01-G/standard-unit-rates/</x:v>
      </x:c>
    </x:row>
    <x:row r="6384" ht="21" customHeight="1">
      <x:c r="A6384" s="24" t="n">
        <x:v>46281.5</x:v>
      </x:c>
      <x:c r="B6384" s="6" t="n">
        <x:v>0.3014</x:v>
      </x:c>
      <x:c r="C6384" s="6" t="n">
        <x:v>0.16399999999999998</x:v>
      </x:c>
      <x:c r="D6384" s="6" t="n">
        <x:f>B6384</x:f>
        <x:v>0.3014</x:v>
      </x:c>
      <x:c r="E6384" s="1" t="n">
        <x:v>1.05</x:v>
      </x:c>
      <x:c r="F6384" s="1" t="str">
        <x:v>https://api.octopus.energy/v1/products/AGILE-24-10-01/electricity-tariffs/E-1R-AGILE-24-10-01-G/standard-unit-rates/</x:v>
      </x:c>
    </x:row>
    <x:row r="6385" ht="21" customHeight="1">
      <x:c r="A6385" s="24" t="n">
        <x:v>46281.520833333336</x:v>
      </x:c>
      <x:c r="B6385" s="6" t="n">
        <x:v>0.3014</x:v>
      </x:c>
      <x:c r="C6385" s="6" t="n">
        <x:v>0.16399999999999998</x:v>
      </x:c>
      <x:c r="D6385" s="6" t="n">
        <x:f>B6385</x:f>
        <x:v>0.3014</x:v>
      </x:c>
      <x:c r="E6385" s="1" t="n">
        <x:v>1.05</x:v>
      </x:c>
      <x:c r="F6385" s="1" t="str">
        <x:v>https://api.octopus.energy/v1/products/AGILE-24-10-01/electricity-tariffs/E-1R-AGILE-24-10-01-G/standard-unit-rates/</x:v>
      </x:c>
    </x:row>
    <x:row r="6386" ht="21" customHeight="1">
      <x:c r="A6386" s="24" t="n">
        <x:v>46281.541666666664</x:v>
      </x:c>
      <x:c r="B6386" s="6" t="n">
        <x:v>0.2983</x:v>
      </x:c>
      <x:c r="C6386" s="6" t="n">
        <x:v>0.16260000000000002</x:v>
      </x:c>
      <x:c r="D6386" s="6" t="n">
        <x:f>B6386</x:f>
        <x:v>0.2983</x:v>
      </x:c>
      <x:c r="E6386" s="1" t="n">
        <x:v>1.05</x:v>
      </x:c>
      <x:c r="F6386" s="1" t="str">
        <x:v>https://api.octopus.energy/v1/products/AGILE-24-10-01/electricity-tariffs/E-1R-AGILE-24-10-01-G/standard-unit-rates/</x:v>
      </x:c>
    </x:row>
    <x:row r="6387" ht="21" customHeight="1">
      <x:c r="A6387" s="24" t="n">
        <x:v>46281.5625</x:v>
      </x:c>
      <x:c r="B6387" s="6" t="n">
        <x:v>0.2899</x:v>
      </x:c>
      <x:c r="C6387" s="6" t="n">
        <x:v>0.1588</x:v>
      </x:c>
      <x:c r="D6387" s="6" t="n">
        <x:f>B6387</x:f>
        <x:v>0.2899</x:v>
      </x:c>
      <x:c r="E6387" s="1" t="n">
        <x:v>1.05</x:v>
      </x:c>
      <x:c r="F6387" s="1" t="str">
        <x:v>https://api.octopus.energy/v1/products/AGILE-24-10-01/electricity-tariffs/E-1R-AGILE-24-10-01-G/standard-unit-rates/</x:v>
      </x:c>
    </x:row>
    <x:row r="6388" ht="21" customHeight="1">
      <x:c r="A6388" s="24" t="n">
        <x:v>46281.583333333336</x:v>
      </x:c>
      <x:c r="B6388" s="6" t="n">
        <x:v>0.28190000000000004</x:v>
      </x:c>
      <x:c r="C6388" s="6" t="n">
        <x:v>0.1551</x:v>
      </x:c>
      <x:c r="D6388" s="6" t="n">
        <x:f>B6388</x:f>
        <x:v>0.28190000000000004</x:v>
      </x:c>
      <x:c r="E6388" s="1" t="n">
        <x:v>1.05</x:v>
      </x:c>
      <x:c r="F6388" s="1" t="str">
        <x:v>https://api.octopus.energy/v1/products/AGILE-24-10-01/electricity-tariffs/E-1R-AGILE-24-10-01-G/standard-unit-rates/</x:v>
      </x:c>
    </x:row>
    <x:row r="6389" ht="21" customHeight="1">
      <x:c r="A6389" s="24" t="n">
        <x:v>46281.604166666664</x:v>
      </x:c>
      <x:c r="B6389" s="6" t="n">
        <x:v>0.2781</x:v>
      </x:c>
      <x:c r="C6389" s="6" t="n">
        <x:v>0.1534</x:v>
      </x:c>
      <x:c r="D6389" s="6" t="n">
        <x:f>B6389</x:f>
        <x:v>0.2781</x:v>
      </x:c>
      <x:c r="E6389" s="1" t="n">
        <x:v>1.05</x:v>
      </x:c>
      <x:c r="F6389" s="1" t="str">
        <x:v>https://api.octopus.energy/v1/products/AGILE-24-10-01/electricity-tariffs/E-1R-AGILE-24-10-01-G/standard-unit-rates/</x:v>
      </x:c>
    </x:row>
    <x:row r="6390" ht="21" customHeight="1">
      <x:c r="A6390" s="24" t="n">
        <x:v>46281.625</x:v>
      </x:c>
      <x:c r="B6390" s="6" t="n">
        <x:v>0.2848</x:v>
      </x:c>
      <x:c r="C6390" s="6" t="n">
        <x:v>0.1564</x:v>
      </x:c>
      <x:c r="D6390" s="6" t="n">
        <x:f>B6390</x:f>
        <x:v>0.2848</x:v>
      </x:c>
      <x:c r="E6390" s="1" t="n">
        <x:v>1.05</x:v>
      </x:c>
      <x:c r="F6390" s="1" t="str">
        <x:v>https://api.octopus.energy/v1/products/AGILE-24-10-01/electricity-tariffs/E-1R-AGILE-24-10-01-G/standard-unit-rates/</x:v>
      </x:c>
    </x:row>
    <x:row r="6391" ht="21" customHeight="1">
      <x:c r="A6391" s="24" t="n">
        <x:v>46281.645833333336</x:v>
      </x:c>
      <x:c r="B6391" s="6" t="n">
        <x:v>0.29</x:v>
      </x:c>
      <x:c r="C6391" s="6" t="n">
        <x:v>0.1588</x:v>
      </x:c>
      <x:c r="D6391" s="6" t="n">
        <x:f>B6391</x:f>
        <x:v>0.29</x:v>
      </x:c>
      <x:c r="E6391" s="1" t="n">
        <x:v>1.05</x:v>
      </x:c>
      <x:c r="F6391" s="1" t="str">
        <x:v>https://api.octopus.energy/v1/products/AGILE-24-10-01/electricity-tariffs/E-1R-AGILE-24-10-01-G/standard-unit-rates/</x:v>
      </x:c>
    </x:row>
    <x:row r="6392" ht="21" customHeight="1">
      <x:c r="A6392" s="24" t="n">
        <x:v>46281.666666666664</x:v>
      </x:c>
      <x:c r="B6392" s="6" t="n">
        <x:v>0.4337</x:v>
      </x:c>
      <x:c r="C6392" s="6" t="n">
        <x:v>0.2286</x:v>
      </x:c>
      <x:c r="D6392" s="6" t="n">
        <x:f>B6392</x:f>
        <x:v>0.4337</x:v>
      </x:c>
      <x:c r="E6392" s="1" t="n">
        <x:v>1.05</x:v>
      </x:c>
      <x:c r="F6392" s="1" t="str">
        <x:v>https://api.octopus.energy/v1/products/AGILE-24-10-01/electricity-tariffs/E-1R-AGILE-24-10-01-G/standard-unit-rates/</x:v>
      </x:c>
    </x:row>
    <x:row r="6393" ht="21" customHeight="1">
      <x:c r="A6393" s="24" t="n">
        <x:v>46281.6875</x:v>
      </x:c>
      <x:c r="B6393" s="6" t="n">
        <x:v>0.4596</x:v>
      </x:c>
      <x:c r="C6393" s="6" t="n">
        <x:v>0.2404</x:v>
      </x:c>
      <x:c r="D6393" s="6" t="n">
        <x:f>B6393</x:f>
        <x:v>0.4596</x:v>
      </x:c>
      <x:c r="E6393" s="1" t="n">
        <x:v>1.05</x:v>
      </x:c>
      <x:c r="F6393" s="1" t="str">
        <x:v>https://api.octopus.energy/v1/products/AGILE-24-10-01/electricity-tariffs/E-1R-AGILE-24-10-01-G/standard-unit-rates/</x:v>
      </x:c>
    </x:row>
    <x:row r="6394" ht="21" customHeight="1">
      <x:c r="A6394" s="24" t="n">
        <x:v>46281.708333333336</x:v>
      </x:c>
      <x:c r="B6394" s="6" t="n">
        <x:v>0.5042</x:v>
      </x:c>
      <x:c r="C6394" s="6" t="n">
        <x:v>0.2608</x:v>
      </x:c>
      <x:c r="D6394" s="6" t="n">
        <x:f>B6394</x:f>
        <x:v>0.5042</x:v>
      </x:c>
      <x:c r="E6394" s="1" t="n">
        <x:v>1.05</x:v>
      </x:c>
      <x:c r="F6394" s="1" t="str">
        <x:v>https://api.octopus.energy/v1/products/AGILE-24-10-01/electricity-tariffs/E-1R-AGILE-24-10-01-G/standard-unit-rates/</x:v>
      </x:c>
    </x:row>
    <x:row r="6395" ht="21" customHeight="1">
      <x:c r="A6395" s="24" t="n">
        <x:v>46281.729166666664</x:v>
      </x:c>
      <x:c r="B6395" s="6" t="n">
        <x:v>0.5065999999999999</x:v>
      </x:c>
      <x:c r="C6395" s="6" t="n">
        <x:v>0.2619</x:v>
      </x:c>
      <x:c r="D6395" s="6" t="n">
        <x:f>B6395</x:f>
        <x:v>0.5065999999999999</x:v>
      </x:c>
      <x:c r="E6395" s="1" t="n">
        <x:v>1.05</x:v>
      </x:c>
      <x:c r="F6395" s="1" t="str">
        <x:v>https://api.octopus.energy/v1/products/AGILE-24-10-01/electricity-tariffs/E-1R-AGILE-24-10-01-G/standard-unit-rates/</x:v>
      </x:c>
    </x:row>
    <x:row r="6396" ht="21" customHeight="1">
      <x:c r="A6396" s="24" t="n">
        <x:v>46281.75</x:v>
      </x:c>
      <x:c r="B6396" s="6" t="n">
        <x:v>0.5276</x:v>
      </x:c>
      <x:c r="C6396" s="6" t="n">
        <x:v>0.27149999999999996</x:v>
      </x:c>
      <x:c r="D6396" s="6" t="n">
        <x:f>B6396</x:f>
        <x:v>0.5276</x:v>
      </x:c>
      <x:c r="E6396" s="1" t="n">
        <x:v>1.05</x:v>
      </x:c>
      <x:c r="F6396" s="1" t="str">
        <x:v>https://api.octopus.energy/v1/products/AGILE-24-10-01/electricity-tariffs/E-1R-AGILE-24-10-01-G/standard-unit-rates/</x:v>
      </x:c>
    </x:row>
    <x:row r="6397" ht="21" customHeight="1">
      <x:c r="A6397" s="24" t="n">
        <x:v>46281.770833333336</x:v>
      </x:c>
      <x:c r="B6397" s="6" t="n">
        <x:v>0.5276</x:v>
      </x:c>
      <x:c r="C6397" s="6" t="n">
        <x:v>0.27149999999999996</x:v>
      </x:c>
      <x:c r="D6397" s="6" t="n">
        <x:f>B6397</x:f>
        <x:v>0.5276</x:v>
      </x:c>
      <x:c r="E6397" s="1" t="n">
        <x:v>1.05</x:v>
      </x:c>
      <x:c r="F6397" s="1" t="str">
        <x:v>https://api.octopus.energy/v1/products/AGILE-24-10-01/electricity-tariffs/E-1R-AGILE-24-10-01-G/standard-unit-rates/</x:v>
      </x:c>
    </x:row>
    <x:row r="6398" ht="21" customHeight="1">
      <x:c r="A6398" s="24" t="n">
        <x:v>46281.791666666664</x:v>
      </x:c>
      <x:c r="B6398" s="6" t="n">
        <x:v>0.40399999999999997</x:v>
      </x:c>
      <x:c r="C6398" s="6" t="n">
        <x:v>0.21100000000000002</x:v>
      </x:c>
      <x:c r="D6398" s="6" t="n">
        <x:f>B6398</x:f>
        <x:v>0.40399999999999997</x:v>
      </x:c>
      <x:c r="E6398" s="1" t="n">
        <x:v>1.05</x:v>
      </x:c>
      <x:c r="F6398" s="1" t="str">
        <x:v>https://api.octopus.energy/v1/products/AGILE-24-10-01/electricity-tariffs/E-1R-AGILE-24-10-01-G/standard-unit-rates/</x:v>
      </x:c>
    </x:row>
    <x:row r="6399" ht="21" customHeight="1">
      <x:c r="A6399" s="24" t="n">
        <x:v>46281.8125</x:v>
      </x:c>
      <x:c r="B6399" s="6" t="n">
        <x:v>0.3998</x:v>
      </x:c>
      <x:c r="C6399" s="6" t="n">
        <x:v>0.209</x:v>
      </x:c>
      <x:c r="D6399" s="6" t="n">
        <x:f>B6399</x:f>
        <x:v>0.3998</x:v>
      </x:c>
      <x:c r="E6399" s="1" t="n">
        <x:v>1.05</x:v>
      </x:c>
      <x:c r="F6399" s="1" t="str">
        <x:v>https://api.octopus.energy/v1/products/AGILE-24-10-01/electricity-tariffs/E-1R-AGILE-24-10-01-G/standard-unit-rates/</x:v>
      </x:c>
    </x:row>
    <x:row r="6400" ht="21" customHeight="1">
      <x:c r="A6400" s="24" t="n">
        <x:v>46281.833333333336</x:v>
      </x:c>
      <x:c r="B6400" s="6" t="n">
        <x:v>0.36560000000000004</x:v>
      </x:c>
      <x:c r="C6400" s="6" t="n">
        <x:v>0.1934</x:v>
      </x:c>
      <x:c r="D6400" s="6" t="n">
        <x:f>B6400</x:f>
        <x:v>0.36560000000000004</x:v>
      </x:c>
      <x:c r="E6400" s="1" t="n">
        <x:v>1.05</x:v>
      </x:c>
      <x:c r="F6400" s="1" t="str">
        <x:v>https://api.octopus.energy/v1/products/AGILE-24-10-01/electricity-tariffs/E-1R-AGILE-24-10-01-G/standard-unit-rates/</x:v>
      </x:c>
    </x:row>
    <x:row r="6401" ht="21" customHeight="1">
      <x:c r="A6401" s="24" t="n">
        <x:v>46281.854166666664</x:v>
      </x:c>
      <x:c r="B6401" s="6" t="n">
        <x:v>0.353</x:v>
      </x:c>
      <x:c r="C6401" s="6" t="n">
        <x:v>0.18760000000000002</x:v>
      </x:c>
      <x:c r="D6401" s="6" t="n">
        <x:f>B6401</x:f>
        <x:v>0.353</x:v>
      </x:c>
      <x:c r="E6401" s="1" t="n">
        <x:v>1.05</x:v>
      </x:c>
      <x:c r="F6401" s="1" t="str">
        <x:v>https://api.octopus.energy/v1/products/AGILE-24-10-01/electricity-tariffs/E-1R-AGILE-24-10-01-G/standard-unit-rates/</x:v>
      </x:c>
    </x:row>
    <x:row r="6402" ht="21" customHeight="1">
      <x:c r="A6402" s="24" t="n">
        <x:v>46281.875</x:v>
      </x:c>
      <x:c r="B6402" s="6" t="n">
        <x:v>0.319</x:v>
      </x:c>
      <x:c r="C6402" s="6" t="n">
        <x:v>0.1721</x:v>
      </x:c>
      <x:c r="D6402" s="6" t="n">
        <x:f>B6402</x:f>
        <x:v>0.319</x:v>
      </x:c>
      <x:c r="E6402" s="1" t="n">
        <x:v>1.05</x:v>
      </x:c>
      <x:c r="F6402" s="1" t="str">
        <x:v>https://api.octopus.energy/v1/products/AGILE-24-10-01/electricity-tariffs/E-1R-AGILE-24-10-01-G/standard-unit-rates/</x:v>
      </x:c>
    </x:row>
    <x:row r="6403" ht="21" customHeight="1">
      <x:c r="A6403" s="24" t="n">
        <x:v>46281.895833333336</x:v>
      </x:c>
      <x:c r="B6403" s="6" t="n">
        <x:v>0.3005</x:v>
      </x:c>
      <x:c r="C6403" s="6" t="n">
        <x:v>0.1636</x:v>
      </x:c>
      <x:c r="D6403" s="6" t="n">
        <x:f>B6403</x:f>
        <x:v>0.3005</x:v>
      </x:c>
      <x:c r="E6403" s="1" t="n">
        <x:v>1.05</x:v>
      </x:c>
      <x:c r="F6403" s="1" t="str">
        <x:v>https://api.octopus.energy/v1/products/AGILE-24-10-01/electricity-tariffs/E-1R-AGILE-24-10-01-G/standard-unit-rates/</x:v>
      </x:c>
    </x:row>
    <x:row r="6404" ht="21" customHeight="1">
      <x:c r="A6404" s="24" t="n">
        <x:v>46281.916666666664</x:v>
      </x:c>
      <x:c r="B6404" s="6" t="n">
        <x:v>0.2984</x:v>
      </x:c>
      <x:c r="C6404" s="6" t="n">
        <x:v>0.16269999999999998</x:v>
      </x:c>
      <x:c r="D6404" s="6" t="n">
        <x:f>B6404</x:f>
        <x:v>0.2984</x:v>
      </x:c>
      <x:c r="E6404" s="1" t="n">
        <x:v>1.05</x:v>
      </x:c>
      <x:c r="F6404" s="1" t="str">
        <x:v>https://api.octopus.energy/v1/products/AGILE-24-10-01/electricity-tariffs/E-1R-AGILE-24-10-01-G/standard-unit-rates/</x:v>
      </x:c>
    </x:row>
    <x:row r="6405" ht="21" customHeight="1">
      <x:c r="A6405" s="24" t="n">
        <x:v>46281.9375</x:v>
      </x:c>
      <x:c r="B6405" s="6" t="n">
        <x:v>0.2816</x:v>
      </x:c>
      <x:c r="C6405" s="6" t="n">
        <x:v>0.155</x:v>
      </x:c>
      <x:c r="D6405" s="6" t="n">
        <x:f>B6405</x:f>
        <x:v>0.2816</x:v>
      </x:c>
      <x:c r="E6405" s="1" t="n">
        <x:v>1.05</x:v>
      </x:c>
      <x:c r="F6405" s="1" t="str">
        <x:v>https://api.octopus.energy/v1/products/AGILE-24-10-01/electricity-tariffs/E-1R-AGILE-24-10-01-G/standard-unit-rates/</x:v>
      </x:c>
    </x:row>
    <x:row r="6406" ht="21" customHeight="1">
      <x:c r="A6406" s="24" t="n">
        <x:v>46282</x:v>
      </x:c>
      <x:c r="B6406" s="6" t="n">
        <x:v>0.2869</x:v>
      </x:c>
      <x:c r="C6406" s="6" t="n">
        <x:v>0.1574</x:v>
      </x:c>
      <x:c r="D6406" s="6" t="n">
        <x:f>B6406</x:f>
        <x:v>0.2869</x:v>
      </x:c>
      <x:c r="E6406" s="1" t="n">
        <x:v>1.05</x:v>
      </x:c>
      <x:c r="F6406" s="1" t="str">
        <x:v>https://api.octopus.energy/v1/products/AGILE-24-10-01/electricity-tariffs/E-1R-AGILE-24-10-01-G/standard-unit-rates/</x:v>
      </x:c>
    </x:row>
    <x:row r="6407" ht="21" customHeight="1">
      <x:c r="A6407" s="24" t="n">
        <x:v>46281.979166666664</x:v>
      </x:c>
      <x:c r="B6407" s="6" t="n">
        <x:v>0.2648</x:v>
      </x:c>
      <x:c r="C6407" s="6" t="n">
        <x:v>0.14730000000000001</x:v>
      </x:c>
      <x:c r="D6407" s="6" t="n">
        <x:f>B6407</x:f>
        <x:v>0.2648</x:v>
      </x:c>
      <x:c r="E6407" s="1" t="n">
        <x:v>1.05</x:v>
      </x:c>
      <x:c r="F6407" s="1" t="str">
        <x:v>https://api.octopus.energy/v1/products/AGILE-24-10-01/electricity-tariffs/E-1R-AGILE-24-10-01-G/standard-unit-rates/</x:v>
      </x:c>
    </x:row>
    <x:row r="6408" ht="21" customHeight="1">
      <x:c r="A6408" s="24" t="n">
        <x:v>46282</x:v>
      </x:c>
      <x:c r="B6408" s="6" t="n">
        <x:v>0.25</x:v>
      </x:c>
      <x:c r="C6408" s="6" t="n">
        <x:v>0.1406</x:v>
      </x:c>
      <x:c r="D6408" s="6" t="n">
        <x:f>B6408</x:f>
        <x:v>0.25</x:v>
      </x:c>
      <x:c r="E6408" s="1" t="n">
        <x:v>1.05</x:v>
      </x:c>
      <x:c r="F6408" s="1" t="str">
        <x:v>https://api.octopus.energy/v1/products/AGILE-24-10-01/electricity-tariffs/E-1R-AGILE-24-10-01-G/standard-unit-rates/</x:v>
      </x:c>
    </x:row>
    <x:row r="6409" ht="21" customHeight="1">
      <x:c r="A6409" s="24" t="n">
        <x:v>46282.020833333336</x:v>
      </x:c>
      <x:c r="B6409" s="6" t="n">
        <x:v>0.2376</x:v>
      </x:c>
      <x:c r="C6409" s="6" t="n">
        <x:v>0.1349</x:v>
      </x:c>
      <x:c r="D6409" s="6" t="n">
        <x:f>B6409</x:f>
        <x:v>0.2376</x:v>
      </x:c>
      <x:c r="E6409" s="1" t="n">
        <x:v>1.05</x:v>
      </x:c>
      <x:c r="F6409" s="1" t="str">
        <x:v>https://api.octopus.energy/v1/products/AGILE-24-10-01/electricity-tariffs/E-1R-AGILE-24-10-01-G/standard-unit-rates/</x:v>
      </x:c>
    </x:row>
    <x:row r="6410" ht="21" customHeight="1">
      <x:c r="A6410" s="24" t="n">
        <x:v>46282.041666666664</x:v>
      </x:c>
      <x:c r="B6410" s="6" t="n">
        <x:v>0.2198</x:v>
      </x:c>
      <x:c r="C6410" s="6" t="n">
        <x:v>0.1268</x:v>
      </x:c>
      <x:c r="D6410" s="6" t="n">
        <x:f>B6410</x:f>
        <x:v>0.2198</x:v>
      </x:c>
      <x:c r="E6410" s="1" t="n">
        <x:v>1.05</x:v>
      </x:c>
      <x:c r="F6410" s="1" t="str">
        <x:v>https://api.octopus.energy/v1/products/AGILE-24-10-01/electricity-tariffs/E-1R-AGILE-24-10-01-G/standard-unit-rates/</x:v>
      </x:c>
    </x:row>
    <x:row r="6411" ht="21" customHeight="1">
      <x:c r="A6411" s="24" t="n">
        <x:v>46282.0625</x:v>
      </x:c>
      <x:c r="B6411" s="6" t="n">
        <x:v>0.2165</x:v>
      </x:c>
      <x:c r="C6411" s="6" t="n">
        <x:v>0.1253</x:v>
      </x:c>
      <x:c r="D6411" s="6" t="n">
        <x:f>B6411</x:f>
        <x:v>0.2165</x:v>
      </x:c>
      <x:c r="E6411" s="1" t="n">
        <x:v>1.05</x:v>
      </x:c>
      <x:c r="F6411" s="1" t="str">
        <x:v>https://api.octopus.energy/v1/products/AGILE-24-10-01/electricity-tariffs/E-1R-AGILE-24-10-01-G/standard-unit-rates/</x:v>
      </x:c>
    </x:row>
    <x:row r="6412" ht="21" customHeight="1">
      <x:c r="A6412" s="24" t="n">
        <x:v>46282.083333333336</x:v>
      </x:c>
      <x:c r="B6412" s="6" t="n">
        <x:v>0.2134</x:v>
      </x:c>
      <x:c r="C6412" s="6" t="n">
        <x:v>0.12380000000000001</x:v>
      </x:c>
      <x:c r="D6412" s="6" t="n">
        <x:f>B6412</x:f>
        <x:v>0.2134</x:v>
      </x:c>
      <x:c r="E6412" s="1" t="n">
        <x:v>1.05</x:v>
      </x:c>
      <x:c r="F6412" s="1" t="str">
        <x:v>https://api.octopus.energy/v1/products/AGILE-24-10-01/electricity-tariffs/E-1R-AGILE-24-10-01-G/standard-unit-rates/</x:v>
      </x:c>
    </x:row>
    <x:row r="6413" ht="21" customHeight="1">
      <x:c r="A6413" s="24" t="n">
        <x:v>46282.104166666664</x:v>
      </x:c>
      <x:c r="B6413" s="6" t="n">
        <x:v>0.207</x:v>
      </x:c>
      <x:c r="C6413" s="6" t="n">
        <x:v>0.1209</x:v>
      </x:c>
      <x:c r="D6413" s="6" t="n">
        <x:f>B6413</x:f>
        <x:v>0.207</x:v>
      </x:c>
      <x:c r="E6413" s="1" t="n">
        <x:v>1.05</x:v>
      </x:c>
      <x:c r="F6413" s="1" t="str">
        <x:v>https://api.octopus.energy/v1/products/AGILE-24-10-01/electricity-tariffs/E-1R-AGILE-24-10-01-G/standard-unit-rates/</x:v>
      </x:c>
    </x:row>
    <x:row r="6414" ht="21" customHeight="1">
      <x:c r="A6414" s="24" t="n">
        <x:v>46282.125</x:v>
      </x:c>
      <x:c r="B6414" s="6" t="n">
        <x:v>0.20079999999999998</x:v>
      </x:c>
      <x:c r="C6414" s="6" t="n">
        <x:v>0.11800000000000001</x:v>
      </x:c>
      <x:c r="D6414" s="6" t="n">
        <x:f>B6414</x:f>
        <x:v>0.20079999999999998</x:v>
      </x:c>
      <x:c r="E6414" s="1" t="n">
        <x:v>1.05</x:v>
      </x:c>
      <x:c r="F6414" s="1" t="str">
        <x:v>https://api.octopus.energy/v1/products/AGILE-24-10-01/electricity-tariffs/E-1R-AGILE-24-10-01-G/standard-unit-rates/</x:v>
      </x:c>
    </x:row>
    <x:row r="6415" ht="21" customHeight="1">
      <x:c r="A6415" s="24" t="n">
        <x:v>46282.145833333336</x:v>
      </x:c>
      <x:c r="B6415" s="6" t="n">
        <x:v>0.19440000000000002</x:v>
      </x:c>
      <x:c r="C6415" s="6" t="n">
        <x:v>0.1152</x:v>
      </x:c>
      <x:c r="D6415" s="6" t="n">
        <x:f>B6415</x:f>
        <x:v>0.19440000000000002</x:v>
      </x:c>
      <x:c r="E6415" s="1" t="n">
        <x:v>1.05</x:v>
      </x:c>
      <x:c r="F6415" s="1" t="str">
        <x:v>https://api.octopus.energy/v1/products/AGILE-24-10-01/electricity-tariffs/E-1R-AGILE-24-10-01-G/standard-unit-rates/</x:v>
      </x:c>
    </x:row>
    <x:row r="6416" ht="21" customHeight="1">
      <x:c r="A6416" s="24" t="n">
        <x:v>46282.166666666664</x:v>
      </x:c>
      <x:c r="B6416" s="6" t="n">
        <x:v>0.22149999999999997</x:v>
      </x:c>
      <x:c r="C6416" s="6" t="n">
        <x:v>0.1275</x:v>
      </x:c>
      <x:c r="D6416" s="6" t="n">
        <x:f>B6416</x:f>
        <x:v>0.22149999999999997</x:v>
      </x:c>
      <x:c r="E6416" s="1" t="n">
        <x:v>1.05</x:v>
      </x:c>
      <x:c r="F6416" s="1" t="str">
        <x:v>https://api.octopus.energy/v1/products/AGILE-24-10-01/electricity-tariffs/E-1R-AGILE-24-10-01-G/standard-unit-rates/</x:v>
      </x:c>
    </x:row>
    <x:row r="6417" ht="21" customHeight="1">
      <x:c r="A6417" s="24" t="n">
        <x:v>46282.1875</x:v>
      </x:c>
      <x:c r="B6417" s="6" t="n">
        <x:v>0.2211</x:v>
      </x:c>
      <x:c r="C6417" s="6" t="n">
        <x:v>0.1274</x:v>
      </x:c>
      <x:c r="D6417" s="6" t="n">
        <x:f>B6417</x:f>
        <x:v>0.2211</x:v>
      </x:c>
      <x:c r="E6417" s="1" t="n">
        <x:v>1.05</x:v>
      </x:c>
      <x:c r="F6417" s="1" t="str">
        <x:v>https://api.octopus.energy/v1/products/AGILE-24-10-01/electricity-tariffs/E-1R-AGILE-24-10-01-G/standard-unit-rates/</x:v>
      </x:c>
    </x:row>
    <x:row r="6418" ht="21" customHeight="1">
      <x:c r="A6418" s="24" t="n">
        <x:v>46282.208333333336</x:v>
      </x:c>
      <x:c r="B6418" s="6" t="n">
        <x:v>0.2288</x:v>
      </x:c>
      <x:c r="C6418" s="6" t="n">
        <x:v>0.1309</x:v>
      </x:c>
      <x:c r="D6418" s="6" t="n">
        <x:f>B6418</x:f>
        <x:v>0.2288</x:v>
      </x:c>
      <x:c r="E6418" s="1" t="n">
        <x:v>1.05</x:v>
      </x:c>
      <x:c r="F6418" s="1" t="str">
        <x:v>https://api.octopus.energy/v1/products/AGILE-24-10-01/electricity-tariffs/E-1R-AGILE-24-10-01-G/standard-unit-rates/</x:v>
      </x:c>
    </x:row>
    <x:row r="6419" ht="21" customHeight="1">
      <x:c r="A6419" s="24" t="n">
        <x:v>46282.229166666664</x:v>
      </x:c>
      <x:c r="B6419" s="6" t="n">
        <x:v>0.2375</x:v>
      </x:c>
      <x:c r="C6419" s="6" t="n">
        <x:v>0.1348</x:v>
      </x:c>
      <x:c r="D6419" s="6" t="n">
        <x:f>B6419</x:f>
        <x:v>0.2375</x:v>
      </x:c>
      <x:c r="E6419" s="1" t="n">
        <x:v>1.05</x:v>
      </x:c>
      <x:c r="F6419" s="1" t="str">
        <x:v>https://api.octopus.energy/v1/products/AGILE-24-10-01/electricity-tariffs/E-1R-AGILE-24-10-01-G/standard-unit-rates/</x:v>
      </x:c>
    </x:row>
    <x:row r="6420" ht="21" customHeight="1">
      <x:c r="A6420" s="24" t="n">
        <x:v>46282.25</x:v>
      </x:c>
      <x:c r="B6420" s="6" t="n">
        <x:v>0.2438</x:v>
      </x:c>
      <x:c r="C6420" s="6" t="n">
        <x:v>0.1377</x:v>
      </x:c>
      <x:c r="D6420" s="6" t="n">
        <x:f>B6420</x:f>
        <x:v>0.2438</x:v>
      </x:c>
      <x:c r="E6420" s="1" t="n">
        <x:v>1.05</x:v>
      </x:c>
      <x:c r="F6420" s="1" t="str">
        <x:v>https://api.octopus.energy/v1/products/AGILE-24-10-01/electricity-tariffs/E-1R-AGILE-24-10-01-G/standard-unit-rates/</x:v>
      </x:c>
    </x:row>
    <x:row r="6421" ht="21" customHeight="1">
      <x:c r="A6421" s="24" t="n">
        <x:v>46282.270833333336</x:v>
      </x:c>
      <x:c r="B6421" s="6" t="n">
        <x:v>0.2942</x:v>
      </x:c>
      <x:c r="C6421" s="6" t="n">
        <x:v>0.16079999999999997</x:v>
      </x:c>
      <x:c r="D6421" s="6" t="n">
        <x:f>B6421</x:f>
        <x:v>0.2942</x:v>
      </x:c>
      <x:c r="E6421" s="1" t="n">
        <x:v>1.05</x:v>
      </x:c>
      <x:c r="F6421" s="1" t="str">
        <x:v>https://api.octopus.energy/v1/products/AGILE-24-10-01/electricity-tariffs/E-1R-AGILE-24-10-01-G/standard-unit-rates/</x:v>
      </x:c>
    </x:row>
    <x:row r="6422" ht="21" customHeight="1">
      <x:c r="A6422" s="24" t="n">
        <x:v>46282.291666666664</x:v>
      </x:c>
      <x:c r="B6422" s="6" t="n">
        <x:v>0.2894</x:v>
      </x:c>
      <x:c r="C6422" s="6" t="n">
        <x:v>0.1586</x:v>
      </x:c>
      <x:c r="D6422" s="6" t="n">
        <x:f>B6422</x:f>
        <x:v>0.2894</x:v>
      </x:c>
      <x:c r="E6422" s="1" t="n">
        <x:v>1.05</x:v>
      </x:c>
      <x:c r="F6422" s="1" t="str">
        <x:v>https://api.octopus.energy/v1/products/AGILE-24-10-01/electricity-tariffs/E-1R-AGILE-24-10-01-G/standard-unit-rates/</x:v>
      </x:c>
    </x:row>
    <x:row r="6423" ht="21" customHeight="1">
      <x:c r="A6423" s="24" t="n">
        <x:v>46282.3125</x:v>
      </x:c>
      <x:c r="B6423" s="6" t="n">
        <x:v>0.316</x:v>
      </x:c>
      <x:c r="C6423" s="6" t="n">
        <x:v>0.1707</x:v>
      </x:c>
      <x:c r="D6423" s="6" t="n">
        <x:f>B6423</x:f>
        <x:v>0.316</x:v>
      </x:c>
      <x:c r="E6423" s="1" t="n">
        <x:v>1.05</x:v>
      </x:c>
      <x:c r="F6423" s="1" t="str">
        <x:v>https://api.octopus.energy/v1/products/AGILE-24-10-01/electricity-tariffs/E-1R-AGILE-24-10-01-G/standard-unit-rates/</x:v>
      </x:c>
    </x:row>
    <x:row r="6424" ht="21" customHeight="1">
      <x:c r="A6424" s="24" t="n">
        <x:v>46282.333333333336</x:v>
      </x:c>
      <x:c r="B6424" s="6" t="n">
        <x:v>0.2916</x:v>
      </x:c>
      <x:c r="C6424" s="6" t="n">
        <x:v>0.15960000000000002</x:v>
      </x:c>
      <x:c r="D6424" s="6" t="n">
        <x:f>B6424</x:f>
        <x:v>0.2916</x:v>
      </x:c>
      <x:c r="E6424" s="1" t="n">
        <x:v>1.05</x:v>
      </x:c>
      <x:c r="F6424" s="1" t="str">
        <x:v>https://api.octopus.energy/v1/products/AGILE-24-10-01/electricity-tariffs/E-1R-AGILE-24-10-01-G/standard-unit-rates/</x:v>
      </x:c>
    </x:row>
    <x:row r="6425" ht="21" customHeight="1">
      <x:c r="A6425" s="24" t="n">
        <x:v>46282.354166666664</x:v>
      </x:c>
      <x:c r="B6425" s="6" t="n">
        <x:v>0.2606</x:v>
      </x:c>
      <x:c r="C6425" s="6" t="n">
        <x:v>0.1454</x:v>
      </x:c>
      <x:c r="D6425" s="6" t="n">
        <x:f>B6425</x:f>
        <x:v>0.2606</x:v>
      </x:c>
      <x:c r="E6425" s="1" t="n">
        <x:v>1.05</x:v>
      </x:c>
      <x:c r="F6425" s="1" t="str">
        <x:v>https://api.octopus.energy/v1/products/AGILE-24-10-01/electricity-tariffs/E-1R-AGILE-24-10-01-G/standard-unit-rates/</x:v>
      </x:c>
    </x:row>
    <x:row r="6426" ht="21" customHeight="1">
      <x:c r="A6426" s="24" t="n">
        <x:v>46282.375</x:v>
      </x:c>
      <x:c r="B6426" s="6" t="n">
        <x:v>0.19649999999999998</x:v>
      </x:c>
      <x:c r="C6426" s="6" t="n">
        <x:v>0.1161</x:v>
      </x:c>
      <x:c r="D6426" s="6" t="n">
        <x:f>B6426</x:f>
        <x:v>0.19649999999999998</x:v>
      </x:c>
      <x:c r="E6426" s="1" t="n">
        <x:v>1.05</x:v>
      </x:c>
      <x:c r="F6426" s="1" t="str">
        <x:v>https://api.octopus.energy/v1/products/AGILE-24-10-01/electricity-tariffs/E-1R-AGILE-24-10-01-G/standard-unit-rates/</x:v>
      </x:c>
    </x:row>
    <x:row r="6427" ht="21" customHeight="1">
      <x:c r="A6427" s="24" t="n">
        <x:v>46282.395833333336</x:v>
      </x:c>
      <x:c r="B6427" s="6" t="n">
        <x:v>0.1144</x:v>
      </x:c>
      <x:c r="C6427" s="6" t="n">
        <x:v>0.0786</x:v>
      </x:c>
      <x:c r="D6427" s="6" t="n">
        <x:f>B6427</x:f>
        <x:v>0.1144</x:v>
      </x:c>
      <x:c r="E6427" s="1" t="n">
        <x:v>1.05</x:v>
      </x:c>
      <x:c r="F6427" s="1" t="str">
        <x:v>https://api.octopus.energy/v1/products/AGILE-24-10-01/electricity-tariffs/E-1R-AGILE-24-10-01-G/standard-unit-rates/</x:v>
      </x:c>
    </x:row>
    <x:row r="6428" ht="21" customHeight="1">
      <x:c r="A6428" s="24" t="n">
        <x:v>46282.416666666664</x:v>
      </x:c>
      <x:c r="B6428" s="6" t="n">
        <x:v>0.0464</x:v>
      </x:c>
      <x:c r="C6428" s="6" t="n">
        <x:v>0.0475</x:v>
      </x:c>
      <x:c r="D6428" s="6" t="n">
        <x:f>B6428</x:f>
        <x:v>0.0464</x:v>
      </x:c>
      <x:c r="E6428" s="1" t="n">
        <x:v>1.05</x:v>
      </x:c>
      <x:c r="F6428" s="1" t="str">
        <x:v>https://api.octopus.energy/v1/products/AGILE-24-10-01/electricity-tariffs/E-1R-AGILE-24-10-01-G/standard-unit-rates/</x:v>
      </x:c>
    </x:row>
    <x:row r="6429" ht="21" customHeight="1">
      <x:c r="A6429" s="24" t="n">
        <x:v>46282.4375</x:v>
      </x:c>
      <x:c r="B6429" s="6" t="n">
        <x:v>0.0273</x:v>
      </x:c>
      <x:c r="C6429" s="6" t="n">
        <x:v>0.0388</x:v>
      </x:c>
      <x:c r="D6429" s="6" t="n">
        <x:f>B6429</x:f>
        <x:v>0.0273</x:v>
      </x:c>
      <x:c r="E6429" s="1" t="n">
        <x:v>1.05</x:v>
      </x:c>
      <x:c r="F6429" s="1" t="str">
        <x:v>https://api.octopus.energy/v1/products/AGILE-24-10-01/electricity-tariffs/E-1R-AGILE-24-10-01-G/standard-unit-rates/</x:v>
      </x:c>
    </x:row>
    <x:row r="6430" ht="21" customHeight="1">
      <x:c r="A6430" s="24" t="n">
        <x:v>46282.458333333336</x:v>
      </x:c>
      <x:c r="B6430" s="6" t="n">
        <x:v>-0.0021</x:v>
      </x:c>
      <x:c r="C6430" s="6" t="n">
        <x:v>0.0253</x:v>
      </x:c>
      <x:c r="D6430" s="6" t="n">
        <x:f>B6430</x:f>
        <x:v>-0.0021</x:v>
      </x:c>
      <x:c r="E6430" s="1" t="n">
        <x:v>1.05</x:v>
      </x:c>
      <x:c r="F6430" s="1" t="str">
        <x:v>https://api.octopus.energy/v1/products/AGILE-24-10-01/electricity-tariffs/E-1R-AGILE-24-10-01-G/standard-unit-rates/</x:v>
      </x:c>
    </x:row>
    <x:row r="6431" ht="21" customHeight="1">
      <x:c r="A6431" s="24" t="n">
        <x:v>46282.479166666664</x:v>
      </x:c>
      <x:c r="B6431" s="6" t="n">
        <x:v>-0.0163</x:v>
      </x:c>
      <x:c r="C6431" s="6" t="n">
        <x:v>0.018799999999999997</x:v>
      </x:c>
      <x:c r="D6431" s="6" t="n">
        <x:f>B6431</x:f>
        <x:v>-0.0163</x:v>
      </x:c>
      <x:c r="E6431" s="1" t="n">
        <x:v>1.05</x:v>
      </x:c>
      <x:c r="F6431" s="1" t="str">
        <x:v>https://api.octopus.energy/v1/products/AGILE-24-10-01/electricity-tariffs/E-1R-AGILE-24-10-01-G/standard-unit-rates/</x:v>
      </x:c>
    </x:row>
    <x:row r="6432" ht="21" customHeight="1">
      <x:c r="A6432" s="24" t="n">
        <x:v>46282.5</x:v>
      </x:c>
      <x:c r="B6432" s="6" t="n">
        <x:v>-0.0165</x:v>
      </x:c>
      <x:c r="C6432" s="6" t="n">
        <x:v>0.0187</x:v>
      </x:c>
      <x:c r="D6432" s="6" t="n">
        <x:f>B6432</x:f>
        <x:v>-0.0165</x:v>
      </x:c>
      <x:c r="E6432" s="1" t="n">
        <x:v>1.05</x:v>
      </x:c>
      <x:c r="F6432" s="1" t="str">
        <x:v>https://api.octopus.energy/v1/products/AGILE-24-10-01/electricity-tariffs/E-1R-AGILE-24-10-01-G/standard-unit-rates/</x:v>
      </x:c>
    </x:row>
    <x:row r="6433" ht="21" customHeight="1">
      <x:c r="A6433" s="24" t="n">
        <x:v>46282.520833333336</x:v>
      </x:c>
      <x:c r="B6433" s="6" t="n">
        <x:v>-0.019799999999999998</x:v>
      </x:c>
      <x:c r="C6433" s="6" t="n">
        <x:v>0.0172</x:v>
      </x:c>
      <x:c r="D6433" s="6" t="n">
        <x:f>B6433</x:f>
        <x:v>-0.019799999999999998</x:v>
      </x:c>
      <x:c r="E6433" s="1" t="n">
        <x:v>1.05</x:v>
      </x:c>
      <x:c r="F6433" s="1" t="str">
        <x:v>https://api.octopus.energy/v1/products/AGILE-24-10-01/electricity-tariffs/E-1R-AGILE-24-10-01-G/standard-unit-rates/</x:v>
      </x:c>
    </x:row>
    <x:row r="6434" ht="21" customHeight="1">
      <x:c r="A6434" s="24" t="n">
        <x:v>46282.541666666664</x:v>
      </x:c>
      <x:c r="B6434" s="6" t="n">
        <x:v>-0.0124</x:v>
      </x:c>
      <x:c r="C6434" s="6" t="n">
        <x:v>0.0206</x:v>
      </x:c>
      <x:c r="D6434" s="6" t="n">
        <x:f>B6434</x:f>
        <x:v>-0.0124</x:v>
      </x:c>
      <x:c r="E6434" s="1" t="n">
        <x:v>1.05</x:v>
      </x:c>
      <x:c r="F6434" s="1" t="str">
        <x:v>https://api.octopus.energy/v1/products/AGILE-24-10-01/electricity-tariffs/E-1R-AGILE-24-10-01-G/standard-unit-rates/</x:v>
      </x:c>
    </x:row>
    <x:row r="6435" ht="21" customHeight="1">
      <x:c r="A6435" s="24" t="n">
        <x:v>46282.5625</x:v>
      </x:c>
      <x:c r="B6435" s="6" t="n">
        <x:v>-0.0166</x:v>
      </x:c>
      <x:c r="C6435" s="6" t="n">
        <x:v>0.0187</x:v>
      </x:c>
      <x:c r="D6435" s="6" t="n">
        <x:f>B6435</x:f>
        <x:v>-0.0166</x:v>
      </x:c>
      <x:c r="E6435" s="1" t="n">
        <x:v>1.05</x:v>
      </x:c>
      <x:c r="F6435" s="1" t="str">
        <x:v>https://api.octopus.energy/v1/products/AGILE-24-10-01/electricity-tariffs/E-1R-AGILE-24-10-01-G/standard-unit-rates/</x:v>
      </x:c>
    </x:row>
    <x:row r="6436" ht="21" customHeight="1">
      <x:c r="A6436" s="24" t="n">
        <x:v>46282.583333333336</x:v>
      </x:c>
      <x:c r="B6436" s="6" t="n">
        <x:v>-0.0189</x:v>
      </x:c>
      <x:c r="C6436" s="6" t="n">
        <x:v>0.0176</x:v>
      </x:c>
      <x:c r="D6436" s="6" t="n">
        <x:f>B6436</x:f>
        <x:v>-0.0189</x:v>
      </x:c>
      <x:c r="E6436" s="1" t="n">
        <x:v>1.05</x:v>
      </x:c>
      <x:c r="F6436" s="1" t="str">
        <x:v>https://api.octopus.energy/v1/products/AGILE-24-10-01/electricity-tariffs/E-1R-AGILE-24-10-01-G/standard-unit-rates/</x:v>
      </x:c>
    </x:row>
    <x:row r="6437" ht="21" customHeight="1">
      <x:c r="A6437" s="24" t="n">
        <x:v>46282.604166666664</x:v>
      </x:c>
      <x:c r="B6437" s="6" t="n">
        <x:v>-0.011899999999999999</x:v>
      </x:c>
      <x:c r="C6437" s="6" t="n">
        <x:v>0.0208</x:v>
      </x:c>
      <x:c r="D6437" s="6" t="n">
        <x:f>B6437</x:f>
        <x:v>-0.011899999999999999</x:v>
      </x:c>
      <x:c r="E6437" s="1" t="n">
        <x:v>1.05</x:v>
      </x:c>
      <x:c r="F6437" s="1" t="str">
        <x:v>https://api.octopus.energy/v1/products/AGILE-24-10-01/electricity-tariffs/E-1R-AGILE-24-10-01-G/standard-unit-rates/</x:v>
      </x:c>
    </x:row>
    <x:row r="6438" ht="21" customHeight="1">
      <x:c r="A6438" s="24" t="n">
        <x:v>46282.625</x:v>
      </x:c>
      <x:c r="B6438" s="6" t="n">
        <x:v>0.0464</x:v>
      </x:c>
      <x:c r="C6438" s="6" t="n">
        <x:v>0.0475</x:v>
      </x:c>
      <x:c r="D6438" s="6" t="n">
        <x:f>B6438</x:f>
        <x:v>0.0464</x:v>
      </x:c>
      <x:c r="E6438" s="1" t="n">
        <x:v>1.05</x:v>
      </x:c>
      <x:c r="F6438" s="1" t="str">
        <x:v>https://api.octopus.energy/v1/products/AGILE-24-10-01/electricity-tariffs/E-1R-AGILE-24-10-01-G/standard-unit-rates/</x:v>
      </x:c>
    </x:row>
    <x:row r="6439" ht="21" customHeight="1">
      <x:c r="A6439" s="24" t="n">
        <x:v>46282.645833333336</x:v>
      </x:c>
      <x:c r="B6439" s="6" t="n">
        <x:v>0.0636</x:v>
      </x:c>
      <x:c r="C6439" s="6" t="n">
        <x:v>0.0554</x:v>
      </x:c>
      <x:c r="D6439" s="6" t="n">
        <x:f>B6439</x:f>
        <x:v>0.0636</x:v>
      </x:c>
      <x:c r="E6439" s="1" t="n">
        <x:v>1.05</x:v>
      </x:c>
      <x:c r="F6439" s="1" t="str">
        <x:v>https://api.octopus.energy/v1/products/AGILE-24-10-01/electricity-tariffs/E-1R-AGILE-24-10-01-G/standard-unit-rates/</x:v>
      </x:c>
    </x:row>
    <x:row r="6440" ht="21" customHeight="1">
      <x:c r="A6440" s="24" t="n">
        <x:v>46282.666666666664</x:v>
      </x:c>
      <x:c r="B6440" s="6" t="n">
        <x:v>0.2126</x:v>
      </x:c>
      <x:c r="C6440" s="6" t="n">
        <x:v>0.1275</x:v>
      </x:c>
      <x:c r="D6440" s="6" t="n">
        <x:f>B6440</x:f>
        <x:v>0.2126</x:v>
      </x:c>
      <x:c r="E6440" s="1" t="n">
        <x:v>1.05</x:v>
      </x:c>
      <x:c r="F6440" s="1" t="str">
        <x:v>https://api.octopus.energy/v1/products/AGILE-24-10-01/electricity-tariffs/E-1R-AGILE-24-10-01-G/standard-unit-rates/</x:v>
      </x:c>
    </x:row>
    <x:row r="6441" ht="21" customHeight="1">
      <x:c r="A6441" s="24" t="n">
        <x:v>46282.6875</x:v>
      </x:c>
      <x:c r="B6441" s="6" t="n">
        <x:v>0.30579999999999996</x:v>
      </x:c>
      <x:c r="C6441" s="6" t="n">
        <x:v>0.17010000000000003</x:v>
      </x:c>
      <x:c r="D6441" s="6" t="n">
        <x:f>B6441</x:f>
        <x:v>0.30579999999999996</x:v>
      </x:c>
      <x:c r="E6441" s="1" t="n">
        <x:v>1.05</x:v>
      </x:c>
      <x:c r="F6441" s="1" t="str">
        <x:v>https://api.octopus.energy/v1/products/AGILE-24-10-01/electricity-tariffs/E-1R-AGILE-24-10-01-G/standard-unit-rates/</x:v>
      </x:c>
    </x:row>
    <x:row r="6442" ht="21" customHeight="1">
      <x:c r="A6442" s="24" t="n">
        <x:v>46282.708333333336</x:v>
      </x:c>
      <x:c r="B6442" s="6" t="n">
        <x:v>0.3592</x:v>
      </x:c>
      <x:c r="C6442" s="6" t="n">
        <x:v>0.1945</x:v>
      </x:c>
      <x:c r="D6442" s="6" t="n">
        <x:f>B6442</x:f>
        <x:v>0.3592</x:v>
      </x:c>
      <x:c r="E6442" s="1" t="n">
        <x:v>1.05</x:v>
      </x:c>
      <x:c r="F6442" s="1" t="str">
        <x:v>https://api.octopus.energy/v1/products/AGILE-24-10-01/electricity-tariffs/E-1R-AGILE-24-10-01-G/standard-unit-rates/</x:v>
      </x:c>
    </x:row>
    <x:row r="6443" ht="21" customHeight="1">
      <x:c r="A6443" s="24" t="n">
        <x:v>46282.729166666664</x:v>
      </x:c>
      <x:c r="B6443" s="6" t="n">
        <x:v>0.40159999999999996</x:v>
      </x:c>
      <x:c r="C6443" s="6" t="n">
        <x:v>0.2139</x:v>
      </x:c>
      <x:c r="D6443" s="6" t="n">
        <x:f>B6443</x:f>
        <x:v>0.40159999999999996</x:v>
      </x:c>
      <x:c r="E6443" s="1" t="n">
        <x:v>1.05</x:v>
      </x:c>
      <x:c r="F6443" s="1" t="str">
        <x:v>https://api.octopus.energy/v1/products/AGILE-24-10-01/electricity-tariffs/E-1R-AGILE-24-10-01-G/standard-unit-rates/</x:v>
      </x:c>
    </x:row>
    <x:row r="6444" ht="21" customHeight="1">
      <x:c r="A6444" s="24" t="n">
        <x:v>46282.75</x:v>
      </x:c>
      <x:c r="B6444" s="6" t="n">
        <x:v>0.44670000000000004</x:v>
      </x:c>
      <x:c r="C6444" s="6" t="n">
        <x:v>0.2345</x:v>
      </x:c>
      <x:c r="D6444" s="6" t="n">
        <x:f>B6444</x:f>
        <x:v>0.44670000000000004</x:v>
      </x:c>
      <x:c r="E6444" s="1" t="n">
        <x:v>1.05</x:v>
      </x:c>
      <x:c r="F6444" s="1" t="str">
        <x:v>https://api.octopus.energy/v1/products/AGILE-24-10-01/electricity-tariffs/E-1R-AGILE-24-10-01-G/standard-unit-rates/</x:v>
      </x:c>
    </x:row>
    <x:row r="6445" ht="21" customHeight="1">
      <x:c r="A6445" s="24" t="n">
        <x:v>46282.770833333336</x:v>
      </x:c>
      <x:c r="B6445" s="6" t="n">
        <x:v>0.452</x:v>
      </x:c>
      <x:c r="C6445" s="6" t="n">
        <x:v>0.2369</x:v>
      </x:c>
      <x:c r="D6445" s="6" t="n">
        <x:f>B6445</x:f>
        <x:v>0.452</x:v>
      </x:c>
      <x:c r="E6445" s="1" t="n">
        <x:v>1.05</x:v>
      </x:c>
      <x:c r="F6445" s="1" t="str">
        <x:v>https://api.octopus.energy/v1/products/AGILE-24-10-01/electricity-tariffs/E-1R-AGILE-24-10-01-G/standard-unit-rates/</x:v>
      </x:c>
    </x:row>
    <x:row r="6446" ht="21" customHeight="1">
      <x:c r="A6446" s="24" t="n">
        <x:v>46282.791666666664</x:v>
      </x:c>
      <x:c r="B6446" s="6" t="n">
        <x:v>0.3347</x:v>
      </x:c>
      <x:c r="C6446" s="6" t="n">
        <x:v>0.1793</x:v>
      </x:c>
      <x:c r="D6446" s="6" t="n">
        <x:f>B6446</x:f>
        <x:v>0.3347</x:v>
      </x:c>
      <x:c r="E6446" s="1" t="n">
        <x:v>1.05</x:v>
      </x:c>
      <x:c r="F6446" s="1" t="str">
        <x:v>https://api.octopus.energy/v1/products/AGILE-24-10-01/electricity-tariffs/E-1R-AGILE-24-10-01-G/standard-unit-rates/</x:v>
      </x:c>
    </x:row>
    <x:row r="6447" ht="21" customHeight="1">
      <x:c r="A6447" s="24" t="n">
        <x:v>46282.8125</x:v>
      </x:c>
      <x:c r="B6447" s="6" t="n">
        <x:v>0.3408</x:v>
      </x:c>
      <x:c r="C6447" s="6" t="n">
        <x:v>0.1821</x:v>
      </x:c>
      <x:c r="D6447" s="6" t="n">
        <x:f>B6447</x:f>
        <x:v>0.3408</x:v>
      </x:c>
      <x:c r="E6447" s="1" t="n">
        <x:v>1.05</x:v>
      </x:c>
      <x:c r="F6447" s="1" t="str">
        <x:v>https://api.octopus.energy/v1/products/AGILE-24-10-01/electricity-tariffs/E-1R-AGILE-24-10-01-G/standard-unit-rates/</x:v>
      </x:c>
    </x:row>
    <x:row r="6448" ht="21" customHeight="1">
      <x:c r="A6448" s="24" t="n">
        <x:v>46282.833333333336</x:v>
      </x:c>
      <x:c r="B6448" s="6" t="n">
        <x:v>0.32659999999999995</x:v>
      </x:c>
      <x:c r="C6448" s="6" t="n">
        <x:v>0.17559999999999998</x:v>
      </x:c>
      <x:c r="D6448" s="6" t="n">
        <x:f>B6448</x:f>
        <x:v>0.32659999999999995</x:v>
      </x:c>
      <x:c r="E6448" s="1" t="n">
        <x:v>1.05</x:v>
      </x:c>
      <x:c r="F6448" s="1" t="str">
        <x:v>https://api.octopus.energy/v1/products/AGILE-24-10-01/electricity-tariffs/E-1R-AGILE-24-10-01-G/standard-unit-rates/</x:v>
      </x:c>
    </x:row>
    <x:row r="6449" ht="21" customHeight="1">
      <x:c r="A6449" s="24" t="n">
        <x:v>46282.854166666664</x:v>
      </x:c>
      <x:c r="B6449" s="6" t="n">
        <x:v>0.3194</x:v>
      </x:c>
      <x:c r="C6449" s="6" t="n">
        <x:v>0.1723</x:v>
      </x:c>
      <x:c r="D6449" s="6" t="n">
        <x:f>B6449</x:f>
        <x:v>0.3194</x:v>
      </x:c>
      <x:c r="E6449" s="1" t="n">
        <x:v>1.05</x:v>
      </x:c>
      <x:c r="F6449" s="1" t="str">
        <x:v>https://api.octopus.energy/v1/products/AGILE-24-10-01/electricity-tariffs/E-1R-AGILE-24-10-01-G/standard-unit-rates/</x:v>
      </x:c>
    </x:row>
    <x:row r="6450" ht="21" customHeight="1">
      <x:c r="A6450" s="24" t="n">
        <x:v>46282.875</x:v>
      </x:c>
      <x:c r="B6450" s="6" t="n">
        <x:v>0.3097</x:v>
      </x:c>
      <x:c r="C6450" s="6" t="n">
        <x:v>0.1679</x:v>
      </x:c>
      <x:c r="D6450" s="6" t="n">
        <x:f>B6450</x:f>
        <x:v>0.3097</x:v>
      </x:c>
      <x:c r="E6450" s="1" t="n">
        <x:v>1.05</x:v>
      </x:c>
      <x:c r="F6450" s="1" t="str">
        <x:v>https://api.octopus.energy/v1/products/AGILE-24-10-01/electricity-tariffs/E-1R-AGILE-24-10-01-G/standard-unit-rates/</x:v>
      </x:c>
    </x:row>
    <x:row r="6451" ht="21" customHeight="1">
      <x:c r="A6451" s="24" t="n">
        <x:v>46282.895833333336</x:v>
      </x:c>
      <x:c r="B6451" s="6" t="n">
        <x:v>0.2772</x:v>
      </x:c>
      <x:c r="C6451" s="6" t="n">
        <x:v>0.153</x:v>
      </x:c>
      <x:c r="D6451" s="6" t="n">
        <x:f>B6451</x:f>
        <x:v>0.2772</x:v>
      </x:c>
      <x:c r="E6451" s="1" t="n">
        <x:v>1.05</x:v>
      </x:c>
      <x:c r="F6451" s="1" t="str">
        <x:v>https://api.octopus.energy/v1/products/AGILE-24-10-01/electricity-tariffs/E-1R-AGILE-24-10-01-G/standard-unit-rates/</x:v>
      </x:c>
    </x:row>
    <x:row r="6452" ht="21" customHeight="1">
      <x:c r="A6452" s="24" t="n">
        <x:v>46282.916666666664</x:v>
      </x:c>
      <x:c r="B6452" s="6" t="n">
        <x:v>0.2787</x:v>
      </x:c>
      <x:c r="C6452" s="6" t="n">
        <x:v>0.1537</x:v>
      </x:c>
      <x:c r="D6452" s="6" t="n">
        <x:f>B6452</x:f>
        <x:v>0.2787</x:v>
      </x:c>
      <x:c r="E6452" s="1" t="n">
        <x:v>1.05</x:v>
      </x:c>
      <x:c r="F6452" s="1" t="str">
        <x:v>https://api.octopus.energy/v1/products/AGILE-24-10-01/electricity-tariffs/E-1R-AGILE-24-10-01-G/standard-unit-rates/</x:v>
      </x:c>
    </x:row>
    <x:row r="6453" ht="21" customHeight="1">
      <x:c r="A6453" s="24" t="n">
        <x:v>46282.9375</x:v>
      </x:c>
      <x:c r="B6453" s="6" t="n">
        <x:v>0.2334</x:v>
      </x:c>
      <x:c r="C6453" s="6" t="n">
        <x:v>0.133</x:v>
      </x:c>
      <x:c r="D6453" s="6" t="n">
        <x:f>B6453</x:f>
        <x:v>0.2334</x:v>
      </x:c>
      <x:c r="E6453" s="1" t="n">
        <x:v>1.05</x:v>
      </x:c>
      <x:c r="F6453" s="1" t="str">
        <x:v>https://api.octopus.energy/v1/products/AGILE-24-10-01/electricity-tariffs/E-1R-AGILE-24-10-01-G/standard-unit-rates/</x:v>
      </x:c>
    </x:row>
    <x:row r="6454" ht="21" customHeight="1">
      <x:c r="A6454" s="24" t="n">
        <x:v>46283</x:v>
      </x:c>
      <x:c r="B6454" s="6" t="n">
        <x:v>0.2396</x:v>
      </x:c>
      <x:c r="C6454" s="6" t="n">
        <x:v>0.1358</x:v>
      </x:c>
      <x:c r="D6454" s="6" t="n">
        <x:f>B6454</x:f>
        <x:v>0.2396</x:v>
      </x:c>
      <x:c r="E6454" s="1" t="n">
        <x:v>1.05</x:v>
      </x:c>
      <x:c r="F6454" s="1" t="str">
        <x:v>https://api.octopus.energy/v1/products/AGILE-24-10-01/electricity-tariffs/E-1R-AGILE-24-10-01-G/standard-unit-rates/</x:v>
      </x:c>
    </x:row>
    <x:row r="6455" ht="21" customHeight="1">
      <x:c r="A6455" s="24" t="n">
        <x:v>46282.979166666664</x:v>
      </x:c>
      <x:c r="B6455" s="6" t="n">
        <x:v>0.19510000000000002</x:v>
      </x:c>
      <x:c r="C6455" s="6" t="n">
        <x:v>0.1155</x:v>
      </x:c>
      <x:c r="D6455" s="6" t="n">
        <x:f>B6455</x:f>
        <x:v>0.19510000000000002</x:v>
      </x:c>
      <x:c r="E6455" s="1" t="n">
        <x:v>1.05</x:v>
      </x:c>
      <x:c r="F6455" s="1" t="str">
        <x:v>https://api.octopus.energy/v1/products/AGILE-24-10-01/electricity-tariffs/E-1R-AGILE-24-10-01-G/standard-unit-rates/</x:v>
      </x:c>
    </x:row>
    <x:row r="6456" ht="21" customHeight="1">
      <x:c r="A6456" s="24" t="n">
        <x:v>46283</x:v>
      </x:c>
      <x:c r="B6456" s="6" t="n">
        <x:v>0.1937</x:v>
      </x:c>
      <x:c r="C6456" s="6" t="n">
        <x:v>0.1148</x:v>
      </x:c>
      <x:c r="D6456" s="6" t="n">
        <x:f>B6456</x:f>
        <x:v>0.1937</x:v>
      </x:c>
      <x:c r="E6456" s="1" t="n">
        <x:v>1.05</x:v>
      </x:c>
      <x:c r="F6456" s="1" t="str">
        <x:v>https://api.octopus.energy/v1/products/AGILE-24-10-01/electricity-tariffs/E-1R-AGILE-24-10-01-G/standard-unit-rates/</x:v>
      </x:c>
    </x:row>
    <x:row r="6457" ht="21" customHeight="1">
      <x:c r="A6457" s="24" t="n">
        <x:v>46283.020833333336</x:v>
      </x:c>
      <x:c r="B6457" s="6" t="n">
        <x:v>0.20989999999999998</x:v>
      </x:c>
      <x:c r="C6457" s="6" t="n">
        <x:v>0.1222</x:v>
      </x:c>
      <x:c r="D6457" s="6" t="n">
        <x:f>B6457</x:f>
        <x:v>0.20989999999999998</x:v>
      </x:c>
      <x:c r="E6457" s="1" t="n">
        <x:v>1.05</x:v>
      </x:c>
      <x:c r="F6457" s="1" t="str">
        <x:v>https://api.octopus.energy/v1/products/AGILE-24-10-01/electricity-tariffs/E-1R-AGILE-24-10-01-G/standard-unit-rates/</x:v>
      </x:c>
    </x:row>
    <x:row r="6458" ht="21" customHeight="1">
      <x:c r="A6458" s="24" t="n">
        <x:v>46283.041666666664</x:v>
      </x:c>
      <x:c r="B6458" s="6" t="n">
        <x:v>0.212</x:v>
      </x:c>
      <x:c r="C6458" s="6" t="n">
        <x:v>0.1232</x:v>
      </x:c>
      <x:c r="D6458" s="6" t="n">
        <x:f>B6458</x:f>
        <x:v>0.212</x:v>
      </x:c>
      <x:c r="E6458" s="1" t="n">
        <x:v>1.05</x:v>
      </x:c>
      <x:c r="F6458" s="1" t="str">
        <x:v>https://api.octopus.energy/v1/products/AGILE-24-10-01/electricity-tariffs/E-1R-AGILE-24-10-01-G/standard-unit-rates/</x:v>
      </x:c>
    </x:row>
    <x:row r="6459" ht="21" customHeight="1">
      <x:c r="A6459" s="24" t="n">
        <x:v>46283.0625</x:v>
      </x:c>
      <x:c r="B6459" s="6" t="n">
        <x:v>0.2205</x:v>
      </x:c>
      <x:c r="C6459" s="6" t="n">
        <x:v>0.12710000000000002</x:v>
      </x:c>
      <x:c r="D6459" s="6" t="n">
        <x:f>B6459</x:f>
        <x:v>0.2205</x:v>
      </x:c>
      <x:c r="E6459" s="1" t="n">
        <x:v>1.05</x:v>
      </x:c>
      <x:c r="F6459" s="1" t="str">
        <x:v>https://api.octopus.energy/v1/products/AGILE-24-10-01/electricity-tariffs/E-1R-AGILE-24-10-01-G/standard-unit-rates/</x:v>
      </x:c>
    </x:row>
    <x:row r="6460" ht="21" customHeight="1">
      <x:c r="A6460" s="24" t="n">
        <x:v>46283.083333333336</x:v>
      </x:c>
      <x:c r="B6460" s="6" t="n">
        <x:v>0.2234</x:v>
      </x:c>
      <x:c r="C6460" s="6" t="n">
        <x:v>0.1284</x:v>
      </x:c>
      <x:c r="D6460" s="6" t="n">
        <x:f>B6460</x:f>
        <x:v>0.2234</x:v>
      </x:c>
      <x:c r="E6460" s="1" t="n">
        <x:v>1.05</x:v>
      </x:c>
      <x:c r="F6460" s="1" t="str">
        <x:v>https://api.octopus.energy/v1/products/AGILE-24-10-01/electricity-tariffs/E-1R-AGILE-24-10-01-G/standard-unit-rates/</x:v>
      </x:c>
    </x:row>
    <x:row r="6461" ht="21" customHeight="1">
      <x:c r="A6461" s="24" t="n">
        <x:v>46283.104166666664</x:v>
      </x:c>
      <x:c r="B6461" s="6" t="n">
        <x:v>0.20920000000000002</x:v>
      </x:c>
      <x:c r="C6461" s="6" t="n">
        <x:v>0.1219</x:v>
      </x:c>
      <x:c r="D6461" s="6" t="n">
        <x:f>B6461</x:f>
        <x:v>0.20920000000000002</x:v>
      </x:c>
      <x:c r="E6461" s="1" t="n">
        <x:v>1.05</x:v>
      </x:c>
      <x:c r="F6461" s="1" t="str">
        <x:v>https://api.octopus.energy/v1/products/AGILE-24-10-01/electricity-tariffs/E-1R-AGILE-24-10-01-G/standard-unit-rates/</x:v>
      </x:c>
    </x:row>
    <x:row r="6462" ht="21" customHeight="1">
      <x:c r="A6462" s="24" t="n">
        <x:v>46283.125</x:v>
      </x:c>
      <x:c r="B6462" s="6" t="n">
        <x:v>0.1974</x:v>
      </x:c>
      <x:c r="C6462" s="6" t="n">
        <x:v>0.1165</x:v>
      </x:c>
      <x:c r="D6462" s="6" t="n">
        <x:f>B6462</x:f>
        <x:v>0.1974</x:v>
      </x:c>
      <x:c r="E6462" s="1" t="n">
        <x:v>1.05</x:v>
      </x:c>
      <x:c r="F6462" s="1" t="str">
        <x:v>https://api.octopus.energy/v1/products/AGILE-24-10-01/electricity-tariffs/E-1R-AGILE-24-10-01-G/standard-unit-rates/</x:v>
      </x:c>
    </x:row>
    <x:row r="6463" ht="21" customHeight="1">
      <x:c r="A6463" s="24" t="n">
        <x:v>46283.145833333336</x:v>
      </x:c>
      <x:c r="B6463" s="6" t="n">
        <x:v>0.18710000000000002</x:v>
      </x:c>
      <x:c r="C6463" s="6" t="n">
        <x:v>0.1118</x:v>
      </x:c>
      <x:c r="D6463" s="6" t="n">
        <x:f>B6463</x:f>
        <x:v>0.18710000000000002</x:v>
      </x:c>
      <x:c r="E6463" s="1" t="n">
        <x:v>1.05</x:v>
      </x:c>
      <x:c r="F6463" s="1" t="str">
        <x:v>https://api.octopus.energy/v1/products/AGILE-24-10-01/electricity-tariffs/E-1R-AGILE-24-10-01-G/standard-unit-rates/</x:v>
      </x:c>
    </x:row>
    <x:row r="6464" ht="21" customHeight="1">
      <x:c r="A6464" s="24" t="n">
        <x:v>46283.166666666664</x:v>
      </x:c>
      <x:c r="B6464" s="6" t="n">
        <x:v>0.19579999999999997</x:v>
      </x:c>
      <x:c r="C6464" s="6" t="n">
        <x:v>0.1158</x:v>
      </x:c>
      <x:c r="D6464" s="6" t="n">
        <x:f>B6464</x:f>
        <x:v>0.19579999999999997</x:v>
      </x:c>
      <x:c r="E6464" s="1" t="n">
        <x:v>1.05</x:v>
      </x:c>
      <x:c r="F6464" s="1" t="str">
        <x:v>https://api.octopus.energy/v1/products/AGILE-24-10-01/electricity-tariffs/E-1R-AGILE-24-10-01-G/standard-unit-rates/</x:v>
      </x:c>
    </x:row>
    <x:row r="6465" ht="21" customHeight="1">
      <x:c r="A6465" s="24" t="n">
        <x:v>46283.1875</x:v>
      </x:c>
      <x:c r="B6465" s="6" t="n">
        <x:v>0.1868</x:v>
      </x:c>
      <x:c r="C6465" s="6" t="n">
        <x:v>0.1117</x:v>
      </x:c>
      <x:c r="D6465" s="6" t="n">
        <x:f>B6465</x:f>
        <x:v>0.1868</x:v>
      </x:c>
      <x:c r="E6465" s="1" t="n">
        <x:v>1.05</x:v>
      </x:c>
      <x:c r="F6465" s="1" t="str">
        <x:v>https://api.octopus.energy/v1/products/AGILE-24-10-01/electricity-tariffs/E-1R-AGILE-24-10-01-G/standard-unit-rates/</x:v>
      </x:c>
    </x:row>
    <x:row r="6466" ht="21" customHeight="1">
      <x:c r="A6466" s="24" t="n">
        <x:v>46283.208333333336</x:v>
      </x:c>
      <x:c r="B6466" s="6" t="n">
        <x:v>0.1838</x:v>
      </x:c>
      <x:c r="C6466" s="6" t="n">
        <x:v>0.1103</x:v>
      </x:c>
      <x:c r="D6466" s="6" t="n">
        <x:f>B6466</x:f>
        <x:v>0.1838</x:v>
      </x:c>
      <x:c r="E6466" s="1" t="n">
        <x:v>1.05</x:v>
      </x:c>
      <x:c r="F6466" s="1" t="str">
        <x:v>https://api.octopus.energy/v1/products/AGILE-24-10-01/electricity-tariffs/E-1R-AGILE-24-10-01-G/standard-unit-rates/</x:v>
      </x:c>
    </x:row>
    <x:row r="6467" ht="21" customHeight="1">
      <x:c r="A6467" s="24" t="n">
        <x:v>46283.229166666664</x:v>
      </x:c>
      <x:c r="B6467" s="6" t="n">
        <x:v>0.2336</x:v>
      </x:c>
      <x:c r="C6467" s="6" t="n">
        <x:v>0.1331</x:v>
      </x:c>
      <x:c r="D6467" s="6" t="n">
        <x:f>B6467</x:f>
        <x:v>0.2336</x:v>
      </x:c>
      <x:c r="E6467" s="1" t="n">
        <x:v>1.05</x:v>
      </x:c>
      <x:c r="F6467" s="1" t="str">
        <x:v>https://api.octopus.energy/v1/products/AGILE-24-10-01/electricity-tariffs/E-1R-AGILE-24-10-01-G/standard-unit-rates/</x:v>
      </x:c>
    </x:row>
    <x:row r="6468" ht="21" customHeight="1">
      <x:c r="A6468" s="24" t="n">
        <x:v>46283.25</x:v>
      </x:c>
      <x:c r="B6468" s="6" t="n">
        <x:v>0.2556</x:v>
      </x:c>
      <x:c r="C6468" s="6" t="n">
        <x:v>0.1431</x:v>
      </x:c>
      <x:c r="D6468" s="6" t="n">
        <x:f>B6468</x:f>
        <x:v>0.2556</x:v>
      </x:c>
      <x:c r="E6468" s="1" t="n">
        <x:v>1.05</x:v>
      </x:c>
      <x:c r="F6468" s="1" t="str">
        <x:v>https://api.octopus.energy/v1/products/AGILE-24-10-01/electricity-tariffs/E-1R-AGILE-24-10-01-G/standard-unit-rates/</x:v>
      </x:c>
    </x:row>
    <x:row r="6469" ht="21" customHeight="1">
      <x:c r="A6469" s="24" t="n">
        <x:v>46283.270833333336</x:v>
      </x:c>
      <x:c r="B6469" s="6" t="n">
        <x:v>0.2919</x:v>
      </x:c>
      <x:c r="C6469" s="6" t="n">
        <x:v>0.1597</x:v>
      </x:c>
      <x:c r="D6469" s="6" t="n">
        <x:f>B6469</x:f>
        <x:v>0.2919</x:v>
      </x:c>
      <x:c r="E6469" s="1" t="n">
        <x:v>1.05</x:v>
      </x:c>
      <x:c r="F6469" s="1" t="str">
        <x:v>https://api.octopus.energy/v1/products/AGILE-24-10-01/electricity-tariffs/E-1R-AGILE-24-10-01-G/standard-unit-rates/</x:v>
      </x:c>
    </x:row>
    <x:row r="6470" ht="21" customHeight="1">
      <x:c r="A6470" s="24" t="n">
        <x:v>46283.291666666664</x:v>
      </x:c>
      <x:c r="B6470" s="6" t="n">
        <x:v>0.332</x:v>
      </x:c>
      <x:c r="C6470" s="6" t="n">
        <x:v>0.17800000000000002</x:v>
      </x:c>
      <x:c r="D6470" s="6" t="n">
        <x:f>B6470</x:f>
        <x:v>0.332</x:v>
      </x:c>
      <x:c r="E6470" s="1" t="n">
        <x:v>1.05</x:v>
      </x:c>
      <x:c r="F6470" s="1" t="str">
        <x:v>https://api.octopus.energy/v1/products/AGILE-24-10-01/electricity-tariffs/E-1R-AGILE-24-10-01-G/standard-unit-rates/</x:v>
      </x:c>
    </x:row>
    <x:row r="6471" ht="21" customHeight="1">
      <x:c r="A6471" s="24" t="n">
        <x:v>46283.3125</x:v>
      </x:c>
      <x:c r="B6471" s="6" t="n">
        <x:v>0.35340000000000005</x:v>
      </x:c>
      <x:c r="C6471" s="6" t="n">
        <x:v>0.18780000000000002</x:v>
      </x:c>
      <x:c r="D6471" s="6" t="n">
        <x:f>B6471</x:f>
        <x:v>0.35340000000000005</x:v>
      </x:c>
      <x:c r="E6471" s="1" t="n">
        <x:v>1.05</x:v>
      </x:c>
      <x:c r="F6471" s="1" t="str">
        <x:v>https://api.octopus.energy/v1/products/AGILE-24-10-01/electricity-tariffs/E-1R-AGILE-24-10-01-G/standard-unit-rates/</x:v>
      </x:c>
    </x:row>
    <x:row r="6472" ht="21" customHeight="1">
      <x:c r="A6472" s="24" t="n">
        <x:v>46283.333333333336</x:v>
      </x:c>
      <x:c r="B6472" s="6" t="n">
        <x:v>0.2963</x:v>
      </x:c>
      <x:c r="C6472" s="6" t="n">
        <x:v>0.1617</x:v>
      </x:c>
      <x:c r="D6472" s="6" t="n">
        <x:f>B6472</x:f>
        <x:v>0.2963</x:v>
      </x:c>
      <x:c r="E6472" s="1" t="n">
        <x:v>1.05</x:v>
      </x:c>
      <x:c r="F6472" s="1" t="str">
        <x:v>https://api.octopus.energy/v1/products/AGILE-24-10-01/electricity-tariffs/E-1R-AGILE-24-10-01-G/standard-unit-rates/</x:v>
      </x:c>
    </x:row>
    <x:row r="6473" ht="21" customHeight="1">
      <x:c r="A6473" s="24" t="n">
        <x:v>46283.354166666664</x:v>
      </x:c>
      <x:c r="B6473" s="6" t="n">
        <x:v>0.2735</x:v>
      </x:c>
      <x:c r="C6473" s="6" t="n">
        <x:v>0.15130000000000002</x:v>
      </x:c>
      <x:c r="D6473" s="6" t="n">
        <x:f>B6473</x:f>
        <x:v>0.2735</x:v>
      </x:c>
      <x:c r="E6473" s="1" t="n">
        <x:v>1.05</x:v>
      </x:c>
      <x:c r="F6473" s="1" t="str">
        <x:v>https://api.octopus.energy/v1/products/AGILE-24-10-01/electricity-tariffs/E-1R-AGILE-24-10-01-G/standard-unit-rates/</x:v>
      </x:c>
    </x:row>
    <x:row r="6474" ht="21" customHeight="1">
      <x:c r="A6474" s="24" t="n">
        <x:v>46283.375</x:v>
      </x:c>
      <x:c r="B6474" s="6" t="n">
        <x:v>0.2426</x:v>
      </x:c>
      <x:c r="C6474" s="6" t="n">
        <x:v>0.13720000000000002</x:v>
      </x:c>
      <x:c r="D6474" s="6" t="n">
        <x:f>B6474</x:f>
        <x:v>0.2426</x:v>
      </x:c>
      <x:c r="E6474" s="1" t="n">
        <x:v>1.05</x:v>
      </x:c>
      <x:c r="F6474" s="1" t="str">
        <x:v>https://api.octopus.energy/v1/products/AGILE-24-10-01/electricity-tariffs/E-1R-AGILE-24-10-01-G/standard-unit-rates/</x:v>
      </x:c>
    </x:row>
    <x:row r="6475" ht="21" customHeight="1">
      <x:c r="A6475" s="24" t="n">
        <x:v>46283.395833333336</x:v>
      </x:c>
      <x:c r="B6475" s="6" t="n">
        <x:v>0.1656</x:v>
      </x:c>
      <x:c r="C6475" s="6" t="n">
        <x:v>0.102</x:v>
      </x:c>
      <x:c r="D6475" s="6" t="n">
        <x:f>B6475</x:f>
        <x:v>0.1656</x:v>
      </x:c>
      <x:c r="E6475" s="1" t="n">
        <x:v>1.05</x:v>
      </x:c>
      <x:c r="F6475" s="1" t="str">
        <x:v>https://api.octopus.energy/v1/products/AGILE-24-10-01/electricity-tariffs/E-1R-AGILE-24-10-01-G/standard-unit-rates/</x:v>
      </x:c>
    </x:row>
    <x:row r="6476" ht="21" customHeight="1">
      <x:c r="A6476" s="24" t="n">
        <x:v>46283.416666666664</x:v>
      </x:c>
      <x:c r="B6476" s="6" t="n">
        <x:v>0.1045</x:v>
      </x:c>
      <x:c r="C6476" s="6" t="n">
        <x:v>0.07400000000000001</x:v>
      </x:c>
      <x:c r="D6476" s="6" t="n">
        <x:f>B6476</x:f>
        <x:v>0.1045</x:v>
      </x:c>
      <x:c r="E6476" s="1" t="n">
        <x:v>1.05</x:v>
      </x:c>
      <x:c r="F6476" s="1" t="str">
        <x:v>https://api.octopus.energy/v1/products/AGILE-24-10-01/electricity-tariffs/E-1R-AGILE-24-10-01-G/standard-unit-rates/</x:v>
      </x:c>
    </x:row>
    <x:row r="6477" ht="21" customHeight="1">
      <x:c r="A6477" s="24" t="n">
        <x:v>46283.4375</x:v>
      </x:c>
      <x:c r="B6477" s="6" t="n">
        <x:v>0.0638</x:v>
      </x:c>
      <x:c r="C6477" s="6" t="n">
        <x:v>0.0554</x:v>
      </x:c>
      <x:c r="D6477" s="6" t="n">
        <x:f>B6477</x:f>
        <x:v>0.0638</x:v>
      </x:c>
      <x:c r="E6477" s="1" t="n">
        <x:v>1.05</x:v>
      </x:c>
      <x:c r="F6477" s="1" t="str">
        <x:v>https://api.octopus.energy/v1/products/AGILE-24-10-01/electricity-tariffs/E-1R-AGILE-24-10-01-G/standard-unit-rates/</x:v>
      </x:c>
    </x:row>
    <x:row r="6478" ht="21" customHeight="1">
      <x:c r="A6478" s="24" t="n">
        <x:v>46283.458333333336</x:v>
      </x:c>
      <x:c r="B6478" s="6" t="n">
        <x:v>0.0363</x:v>
      </x:c>
      <x:c r="C6478" s="6" t="n">
        <x:v>0.0429</x:v>
      </x:c>
      <x:c r="D6478" s="6" t="n">
        <x:f>B6478</x:f>
        <x:v>0.0363</x:v>
      </x:c>
      <x:c r="E6478" s="1" t="n">
        <x:v>1.05</x:v>
      </x:c>
      <x:c r="F6478" s="1" t="str">
        <x:v>https://api.octopus.energy/v1/products/AGILE-24-10-01/electricity-tariffs/E-1R-AGILE-24-10-01-G/standard-unit-rates/</x:v>
      </x:c>
    </x:row>
    <x:row r="6479" ht="21" customHeight="1">
      <x:c r="A6479" s="24" t="n">
        <x:v>46283.479166666664</x:v>
      </x:c>
      <x:c r="B6479" s="6" t="n">
        <x:v>0.0144</x:v>
      </x:c>
      <x:c r="C6479" s="6" t="n">
        <x:v>0.032799999999999996</x:v>
      </x:c>
      <x:c r="D6479" s="6" t="n">
        <x:f>B6479</x:f>
        <x:v>0.0144</x:v>
      </x:c>
      <x:c r="E6479" s="1" t="n">
        <x:v>1.05</x:v>
      </x:c>
      <x:c r="F6479" s="1" t="str">
        <x:v>https://api.octopus.energy/v1/products/AGILE-24-10-01/electricity-tariffs/E-1R-AGILE-24-10-01-G/standard-unit-rates/</x:v>
      </x:c>
    </x:row>
    <x:row r="6480" ht="21" customHeight="1">
      <x:c r="A6480" s="24" t="n">
        <x:v>46283.5</x:v>
      </x:c>
      <x:c r="B6480" s="6" t="n">
        <x:v>0.017</x:v>
      </x:c>
      <x:c r="C6480" s="6" t="n">
        <x:v>0.034</x:v>
      </x:c>
      <x:c r="D6480" s="6" t="n">
        <x:f>B6480</x:f>
        <x:v>0.017</x:v>
      </x:c>
      <x:c r="E6480" s="1" t="n">
        <x:v>1.05</x:v>
      </x:c>
      <x:c r="F6480" s="1" t="str">
        <x:v>https://api.octopus.energy/v1/products/AGILE-24-10-01/electricity-tariffs/E-1R-AGILE-24-10-01-G/standard-unit-rates/</x:v>
      </x:c>
    </x:row>
    <x:row r="6481" ht="21" customHeight="1">
      <x:c r="A6481" s="24" t="n">
        <x:v>46283.520833333336</x:v>
      </x:c>
      <x:c r="B6481" s="6" t="n">
        <x:v>0.0126</x:v>
      </x:c>
      <x:c r="C6481" s="6" t="n">
        <x:v>0.032</x:v>
      </x:c>
      <x:c r="D6481" s="6" t="n">
        <x:f>B6481</x:f>
        <x:v>0.0126</x:v>
      </x:c>
      <x:c r="E6481" s="1" t="n">
        <x:v>1.05</x:v>
      </x:c>
      <x:c r="F6481" s="1" t="str">
        <x:v>https://api.octopus.energy/v1/products/AGILE-24-10-01/electricity-tariffs/E-1R-AGILE-24-10-01-G/standard-unit-rates/</x:v>
      </x:c>
    </x:row>
    <x:row r="6482" ht="21" customHeight="1">
      <x:c r="A6482" s="24" t="n">
        <x:v>46283.541666666664</x:v>
      </x:c>
      <x:c r="B6482" s="6" t="n">
        <x:v>0.008</x:v>
      </x:c>
      <x:c r="C6482" s="6" t="n">
        <x:v>0.029900000000000003</x:v>
      </x:c>
      <x:c r="D6482" s="6" t="n">
        <x:f>B6482</x:f>
        <x:v>0.008</x:v>
      </x:c>
      <x:c r="E6482" s="1" t="n">
        <x:v>1.05</x:v>
      </x:c>
      <x:c r="F6482" s="1" t="str">
        <x:v>https://api.octopus.energy/v1/products/AGILE-24-10-01/electricity-tariffs/E-1R-AGILE-24-10-01-G/standard-unit-rates/</x:v>
      </x:c>
    </x:row>
    <x:row r="6483" ht="21" customHeight="1">
      <x:c r="A6483" s="24" t="n">
        <x:v>46283.5625</x:v>
      </x:c>
      <x:c r="B6483" s="6" t="n">
        <x:v>-0.0015</x:v>
      </x:c>
      <x:c r="C6483" s="6" t="n">
        <x:v>0.0256</x:v>
      </x:c>
      <x:c r="D6483" s="6" t="n">
        <x:f>B6483</x:f>
        <x:v>-0.0015</x:v>
      </x:c>
      <x:c r="E6483" s="1" t="n">
        <x:v>1.05</x:v>
      </x:c>
      <x:c r="F6483" s="1" t="str">
        <x:v>https://api.octopus.energy/v1/products/AGILE-24-10-01/electricity-tariffs/E-1R-AGILE-24-10-01-G/standard-unit-rates/</x:v>
      </x:c>
    </x:row>
    <x:row r="6484" ht="21" customHeight="1">
      <x:c r="A6484" s="24" t="n">
        <x:v>46283.583333333336</x:v>
      </x:c>
      <x:c r="B6484" s="6" t="n">
        <x:v>0.0105</x:v>
      </x:c>
      <x:c r="C6484" s="6" t="n">
        <x:v>0.0311</x:v>
      </x:c>
      <x:c r="D6484" s="6" t="n">
        <x:f>B6484</x:f>
        <x:v>0.0105</x:v>
      </x:c>
      <x:c r="E6484" s="1" t="n">
        <x:v>1.05</x:v>
      </x:c>
      <x:c r="F6484" s="1" t="str">
        <x:v>https://api.octopus.energy/v1/products/AGILE-24-10-01/electricity-tariffs/E-1R-AGILE-24-10-01-G/standard-unit-rates/</x:v>
      </x:c>
    </x:row>
    <x:row r="6485" ht="21" customHeight="1">
      <x:c r="A6485" s="24" t="n">
        <x:v>46283.604166666664</x:v>
      </x:c>
      <x:c r="B6485" s="6" t="n">
        <x:v>-0.0034000000000000002</x:v>
      </x:c>
      <x:c r="C6485" s="6" t="n">
        <x:v>0.024700000000000003</x:v>
      </x:c>
      <x:c r="D6485" s="6" t="n">
        <x:f>B6485</x:f>
        <x:v>-0.0034000000000000002</x:v>
      </x:c>
      <x:c r="E6485" s="1" t="n">
        <x:v>1.05</x:v>
      </x:c>
      <x:c r="F6485" s="1" t="str">
        <x:v>https://api.octopus.energy/v1/products/AGILE-24-10-01/electricity-tariffs/E-1R-AGILE-24-10-01-G/standard-unit-rates/</x:v>
      </x:c>
    </x:row>
    <x:row r="6486" ht="21" customHeight="1">
      <x:c r="A6486" s="24" t="n">
        <x:v>46283.625</x:v>
      </x:c>
      <x:c r="B6486" s="6" t="n">
        <x:v>-0.0051</x:v>
      </x:c>
      <x:c r="C6486" s="6" t="n">
        <x:v>0.0239</x:v>
      </x:c>
      <x:c r="D6486" s="6" t="n">
        <x:f>B6486</x:f>
        <x:v>-0.0051</x:v>
      </x:c>
      <x:c r="E6486" s="1" t="n">
        <x:v>1.05</x:v>
      </x:c>
      <x:c r="F6486" s="1" t="str">
        <x:v>https://api.octopus.energy/v1/products/AGILE-24-10-01/electricity-tariffs/E-1R-AGILE-24-10-01-G/standard-unit-rates/</x:v>
      </x:c>
    </x:row>
    <x:row r="6487" ht="21" customHeight="1">
      <x:c r="A6487" s="24" t="n">
        <x:v>46283.645833333336</x:v>
      </x:c>
      <x:c r="B6487" s="6" t="n">
        <x:v>0.0447</x:v>
      </x:c>
      <x:c r="C6487" s="6" t="n">
        <x:v>0.0467</x:v>
      </x:c>
      <x:c r="D6487" s="6" t="n">
        <x:f>B6487</x:f>
        <x:v>0.0447</x:v>
      </x:c>
      <x:c r="E6487" s="1" t="n">
        <x:v>1.05</x:v>
      </x:c>
      <x:c r="F6487" s="1" t="str">
        <x:v>https://api.octopus.energy/v1/products/AGILE-24-10-01/electricity-tariffs/E-1R-AGILE-24-10-01-G/standard-unit-rates/</x:v>
      </x:c>
    </x:row>
    <x:row r="6488" ht="21" customHeight="1">
      <x:c r="A6488" s="24" t="n">
        <x:v>46283.666666666664</x:v>
      </x:c>
      <x:c r="B6488" s="6" t="n">
        <x:v>0.2193</x:v>
      </x:c>
      <x:c r="C6488" s="6" t="n">
        <x:v>0.1306</x:v>
      </x:c>
      <x:c r="D6488" s="6" t="n">
        <x:f>B6488</x:f>
        <x:v>0.2193</x:v>
      </x:c>
      <x:c r="E6488" s="1" t="n">
        <x:v>1.05</x:v>
      </x:c>
      <x:c r="F6488" s="1" t="str">
        <x:v>https://api.octopus.energy/v1/products/AGILE-24-10-01/electricity-tariffs/E-1R-AGILE-24-10-01-G/standard-unit-rates/</x:v>
      </x:c>
    </x:row>
    <x:row r="6489" ht="21" customHeight="1">
      <x:c r="A6489" s="24" t="n">
        <x:v>46283.6875</x:v>
      </x:c>
      <x:c r="B6489" s="6" t="n">
        <x:v>0.2865</x:v>
      </x:c>
      <x:c r="C6489" s="6" t="n">
        <x:v>0.1613</x:v>
      </x:c>
      <x:c r="D6489" s="6" t="n">
        <x:f>B6489</x:f>
        <x:v>0.2865</x:v>
      </x:c>
      <x:c r="E6489" s="1" t="n">
        <x:v>1.05</x:v>
      </x:c>
      <x:c r="F6489" s="1" t="str">
        <x:v>https://api.octopus.energy/v1/products/AGILE-24-10-01/electricity-tariffs/E-1R-AGILE-24-10-01-G/standard-unit-rates/</x:v>
      </x:c>
    </x:row>
    <x:row r="6490" ht="21" customHeight="1">
      <x:c r="A6490" s="24" t="n">
        <x:v>46283.708333333336</x:v>
      </x:c>
      <x:c r="B6490" s="6" t="n">
        <x:v>0.3554</x:v>
      </x:c>
      <x:c r="C6490" s="6" t="n">
        <x:v>0.1928</x:v>
      </x:c>
      <x:c r="D6490" s="6" t="n">
        <x:f>B6490</x:f>
        <x:v>0.3554</x:v>
      </x:c>
      <x:c r="E6490" s="1" t="n">
        <x:v>1.05</x:v>
      </x:c>
      <x:c r="F6490" s="1" t="str">
        <x:v>https://api.octopus.energy/v1/products/AGILE-24-10-01/electricity-tariffs/E-1R-AGILE-24-10-01-G/standard-unit-rates/</x:v>
      </x:c>
    </x:row>
    <x:row r="6491" ht="21" customHeight="1">
      <x:c r="A6491" s="24" t="n">
        <x:v>46283.729166666664</x:v>
      </x:c>
      <x:c r="B6491" s="6" t="n">
        <x:v>0.3803</x:v>
      </x:c>
      <x:c r="C6491" s="6" t="n">
        <x:v>0.20420000000000002</x:v>
      </x:c>
      <x:c r="D6491" s="6" t="n">
        <x:f>B6491</x:f>
        <x:v>0.3803</x:v>
      </x:c>
      <x:c r="E6491" s="1" t="n">
        <x:v>1.05</x:v>
      </x:c>
      <x:c r="F6491" s="1" t="str">
        <x:v>https://api.octopus.energy/v1/products/AGILE-24-10-01/electricity-tariffs/E-1R-AGILE-24-10-01-G/standard-unit-rates/</x:v>
      </x:c>
    </x:row>
    <x:row r="6492" ht="21" customHeight="1">
      <x:c r="A6492" s="24" t="n">
        <x:v>46283.75</x:v>
      </x:c>
      <x:c r="B6492" s="6" t="n">
        <x:v>0.3971</x:v>
      </x:c>
      <x:c r="C6492" s="6" t="n">
        <x:v>0.2118</x:v>
      </x:c>
      <x:c r="D6492" s="6" t="n">
        <x:f>B6492</x:f>
        <x:v>0.3971</x:v>
      </x:c>
      <x:c r="E6492" s="1" t="n">
        <x:v>1.05</x:v>
      </x:c>
      <x:c r="F6492" s="1" t="str">
        <x:v>https://api.octopus.energy/v1/products/AGILE-24-10-01/electricity-tariffs/E-1R-AGILE-24-10-01-G/standard-unit-rates/</x:v>
      </x:c>
    </x:row>
    <x:row r="6493" ht="21" customHeight="1">
      <x:c r="A6493" s="24" t="n">
        <x:v>46283.770833333336</x:v>
      </x:c>
      <x:c r="B6493" s="6" t="n">
        <x:v>0.39590000000000003</x:v>
      </x:c>
      <x:c r="C6493" s="6" t="n">
        <x:v>0.2113</x:v>
      </x:c>
      <x:c r="D6493" s="6" t="n">
        <x:f>B6493</x:f>
        <x:v>0.39590000000000003</x:v>
      </x:c>
      <x:c r="E6493" s="1" t="n">
        <x:v>1.05</x:v>
      </x:c>
      <x:c r="F6493" s="1" t="str">
        <x:v>https://api.octopus.energy/v1/products/AGILE-24-10-01/electricity-tariffs/E-1R-AGILE-24-10-01-G/standard-unit-rates/</x:v>
      </x:c>
    </x:row>
    <x:row r="6494" ht="21" customHeight="1">
      <x:c r="A6494" s="24" t="n">
        <x:v>46283.791666666664</x:v>
      </x:c>
      <x:c r="B6494" s="6" t="n">
        <x:v>0.26789999999999997</x:v>
      </x:c>
      <x:c r="C6494" s="6" t="n">
        <x:v>0.14880000000000002</x:v>
      </x:c>
      <x:c r="D6494" s="6" t="n">
        <x:f>B6494</x:f>
        <x:v>0.26789999999999997</x:v>
      </x:c>
      <x:c r="E6494" s="1" t="n">
        <x:v>1.05</x:v>
      </x:c>
      <x:c r="F6494" s="1" t="str">
        <x:v>https://api.octopus.energy/v1/products/AGILE-24-10-01/electricity-tariffs/E-1R-AGILE-24-10-01-G/standard-unit-rates/</x:v>
      </x:c>
    </x:row>
    <x:row r="6495" ht="21" customHeight="1">
      <x:c r="A6495" s="24" t="n">
        <x:v>46283.8125</x:v>
      </x:c>
      <x:c r="B6495" s="6" t="n">
        <x:v>0.26899999999999996</x:v>
      </x:c>
      <x:c r="C6495" s="6" t="n">
        <x:v>0.1492</x:v>
      </x:c>
      <x:c r="D6495" s="6" t="n">
        <x:f>B6495</x:f>
        <x:v>0.26899999999999996</x:v>
      </x:c>
      <x:c r="E6495" s="1" t="n">
        <x:v>1.05</x:v>
      </x:c>
      <x:c r="F6495" s="1" t="str">
        <x:v>https://api.octopus.energy/v1/products/AGILE-24-10-01/electricity-tariffs/E-1R-AGILE-24-10-01-G/standard-unit-rates/</x:v>
      </x:c>
    </x:row>
    <x:row r="6496" ht="21" customHeight="1">
      <x:c r="A6496" s="24" t="n">
        <x:v>46283.833333333336</x:v>
      </x:c>
      <x:c r="B6496" s="6" t="n">
        <x:v>0.2994</x:v>
      </x:c>
      <x:c r="C6496" s="6" t="n">
        <x:v>0.1632</x:v>
      </x:c>
      <x:c r="D6496" s="6" t="n">
        <x:f>B6496</x:f>
        <x:v>0.2994</x:v>
      </x:c>
      <x:c r="E6496" s="1" t="n">
        <x:v>1.05</x:v>
      </x:c>
      <x:c r="F6496" s="1" t="str">
        <x:v>https://api.octopus.energy/v1/products/AGILE-24-10-01/electricity-tariffs/E-1R-AGILE-24-10-01-G/standard-unit-rates/</x:v>
      </x:c>
    </x:row>
    <x:row r="6497" ht="21" customHeight="1">
      <x:c r="A6497" s="24" t="n">
        <x:v>46283.854166666664</x:v>
      </x:c>
      <x:c r="B6497" s="6" t="n">
        <x:v>0.2743</x:v>
      </x:c>
      <x:c r="C6497" s="6" t="n">
        <x:v>0.1517</x:v>
      </x:c>
      <x:c r="D6497" s="6" t="n">
        <x:f>B6497</x:f>
        <x:v>0.2743</x:v>
      </x:c>
      <x:c r="E6497" s="1" t="n">
        <x:v>1.05</x:v>
      </x:c>
      <x:c r="F6497" s="1" t="str">
        <x:v>https://api.octopus.energy/v1/products/AGILE-24-10-01/electricity-tariffs/E-1R-AGILE-24-10-01-G/standard-unit-rates/</x:v>
      </x:c>
    </x:row>
    <x:row r="6498" ht="21" customHeight="1">
      <x:c r="A6498" s="24" t="n">
        <x:v>46283.875</x:v>
      </x:c>
      <x:c r="B6498" s="6" t="n">
        <x:v>0.2562</x:v>
      </x:c>
      <x:c r="C6498" s="6" t="n">
        <x:v>0.1434</x:v>
      </x:c>
      <x:c r="D6498" s="6" t="n">
        <x:f>B6498</x:f>
        <x:v>0.2562</x:v>
      </x:c>
      <x:c r="E6498" s="1" t="n">
        <x:v>1.05</x:v>
      </x:c>
      <x:c r="F6498" s="1" t="str">
        <x:v>https://api.octopus.energy/v1/products/AGILE-24-10-01/electricity-tariffs/E-1R-AGILE-24-10-01-G/standard-unit-rates/</x:v>
      </x:c>
    </x:row>
    <x:row r="6499" ht="21" customHeight="1">
      <x:c r="A6499" s="24" t="n">
        <x:v>46283.895833333336</x:v>
      </x:c>
      <x:c r="B6499" s="6" t="n">
        <x:v>0.2164</x:v>
      </x:c>
      <x:c r="C6499" s="6" t="n">
        <x:v>0.1252</x:v>
      </x:c>
      <x:c r="D6499" s="6" t="n">
        <x:f>B6499</x:f>
        <x:v>0.2164</x:v>
      </x:c>
      <x:c r="E6499" s="1" t="n">
        <x:v>1.05</x:v>
      </x:c>
      <x:c r="F6499" s="1" t="str">
        <x:v>https://api.octopus.energy/v1/products/AGILE-24-10-01/electricity-tariffs/E-1R-AGILE-24-10-01-G/standard-unit-rates/</x:v>
      </x:c>
    </x:row>
    <x:row r="6500" ht="21" customHeight="1">
      <x:c r="A6500" s="24" t="n">
        <x:v>46283.916666666664</x:v>
      </x:c>
      <x:c r="B6500" s="6" t="n">
        <x:v>0.172</x:v>
      </x:c>
      <x:c r="C6500" s="6" t="n">
        <x:v>0.10490000000000001</x:v>
      </x:c>
      <x:c r="D6500" s="6" t="n">
        <x:f>B6500</x:f>
        <x:v>0.172</x:v>
      </x:c>
      <x:c r="E6500" s="1" t="n">
        <x:v>1.05</x:v>
      </x:c>
      <x:c r="F6500" s="1" t="str">
        <x:v>https://api.octopus.energy/v1/products/AGILE-24-10-01/electricity-tariffs/E-1R-AGILE-24-10-01-G/standard-unit-rates/</x:v>
      </x:c>
    </x:row>
    <x:row r="6501" ht="21" customHeight="1">
      <x:c r="A6501" s="24" t="n">
        <x:v>46283.9375</x:v>
      </x:c>
      <x:c r="B6501" s="6" t="n">
        <x:v>0.13390000000000002</x:v>
      </x:c>
      <x:c r="C6501" s="6" t="n">
        <x:v>0.0875</x:v>
      </x:c>
      <x:c r="D6501" s="6" t="n">
        <x:f>B6501</x:f>
        <x:v>0.13390000000000002</x:v>
      </x:c>
      <x:c r="E6501" s="1" t="n">
        <x:v>1.05</x:v>
      </x:c>
      <x:c r="F6501" s="1" t="str">
        <x:v>https://api.octopus.energy/v1/products/AGILE-24-10-01/electricity-tariffs/E-1R-AGILE-24-10-01-G/standard-unit-rates/</x:v>
      </x:c>
    </x:row>
    <x:row r="6502" ht="21" customHeight="1">
      <x:c r="A6502" s="24" t="n">
        <x:v>46284</x:v>
      </x:c>
      <x:c r="B6502" s="6" t="n">
        <x:v>0.042800000000000005</x:v>
      </x:c>
      <x:c r="C6502" s="6" t="n">
        <x:v>0.0458</x:v>
      </x:c>
      <x:c r="D6502" s="6" t="n">
        <x:f>B6502</x:f>
        <x:v>0.042800000000000005</x:v>
      </x:c>
      <x:c r="E6502" s="1" t="n">
        <x:v>1.05</x:v>
      </x:c>
      <x:c r="F6502" s="1" t="str">
        <x:v>https://api.octopus.energy/v1/products/AGILE-24-10-01/electricity-tariffs/E-1R-AGILE-24-10-01-G/standard-unit-rates/</x:v>
      </x:c>
    </x:row>
    <x:row r="6503" ht="21" customHeight="1">
      <x:c r="A6503" s="24" t="n">
        <x:v>46283.979166666664</x:v>
      </x:c>
      <x:c r="B6503" s="6" t="n">
        <x:v>0.006500000000000001</x:v>
      </x:c>
      <x:c r="C6503" s="6" t="n">
        <x:v>0.0292</x:v>
      </x:c>
      <x:c r="D6503" s="6" t="n">
        <x:f>B6503</x:f>
        <x:v>0.006500000000000001</x:v>
      </x:c>
      <x:c r="E6503" s="1" t="n">
        <x:v>1.05</x:v>
      </x:c>
      <x:c r="F6503" s="1" t="str">
        <x:v>https://api.octopus.energy/v1/products/AGILE-24-10-01/electricity-tariffs/E-1R-AGILE-24-10-01-G/standard-unit-rates/</x:v>
      </x:c>
    </x:row>
    <x:row r="6504" ht="21" customHeight="1">
      <x:c r="A6504" s="24" t="n">
        <x:v>46284</x:v>
      </x:c>
      <x:c r="B6504" s="6" t="n">
        <x:v>0.0348</x:v>
      </x:c>
      <x:c r="C6504" s="6" t="n">
        <x:v>0.042199999999999994</x:v>
      </x:c>
      <x:c r="D6504" s="6" t="n">
        <x:f>B6504</x:f>
        <x:v>0.0348</x:v>
      </x:c>
      <x:c r="E6504" s="1" t="n">
        <x:v>1.05</x:v>
      </x:c>
      <x:c r="F6504" s="1" t="str">
        <x:v>https://api.octopus.energy/v1/products/AGILE-24-10-01/electricity-tariffs/E-1R-AGILE-24-10-01-G/standard-unit-rates/</x:v>
      </x:c>
    </x:row>
    <x:row r="6505" ht="21" customHeight="1">
      <x:c r="A6505" s="24" t="n">
        <x:v>46284.020833333336</x:v>
      </x:c>
      <x:c r="B6505" s="6" t="n">
        <x:v>0.0044</x:v>
      </x:c>
      <x:c r="C6505" s="6" t="n">
        <x:v>0.028300000000000002</x:v>
      </x:c>
      <x:c r="D6505" s="6" t="n">
        <x:f>B6505</x:f>
        <x:v>0.0044</x:v>
      </x:c>
      <x:c r="E6505" s="1" t="n">
        <x:v>1.05</x:v>
      </x:c>
      <x:c r="F6505" s="1" t="str">
        <x:v>https://api.octopus.energy/v1/products/AGILE-24-10-01/electricity-tariffs/E-1R-AGILE-24-10-01-G/standard-unit-rates/</x:v>
      </x:c>
    </x:row>
    <x:row r="6506" ht="21" customHeight="1">
      <x:c r="A6506" s="24" t="n">
        <x:v>46284.041666666664</x:v>
      </x:c>
      <x:c r="B6506" s="6" t="n">
        <x:v>-0.0002</x:v>
      </x:c>
      <x:c r="C6506" s="6" t="n">
        <x:v>0.0262</x:v>
      </x:c>
      <x:c r="D6506" s="6" t="n">
        <x:f>B6506</x:f>
        <x:v>-0.0002</x:v>
      </x:c>
      <x:c r="E6506" s="1" t="n">
        <x:v>1.05</x:v>
      </x:c>
      <x:c r="F6506" s="1" t="str">
        <x:v>https://api.octopus.energy/v1/products/AGILE-24-10-01/electricity-tariffs/E-1R-AGILE-24-10-01-G/standard-unit-rates/</x:v>
      </x:c>
    </x:row>
    <x:row r="6507" ht="21" customHeight="1">
      <x:c r="A6507" s="24" t="n">
        <x:v>46284.0625</x:v>
      </x:c>
      <x:c r="B6507" s="6" t="n">
        <x:v>-0.0355</x:v>
      </x:c>
      <x:c r="C6507" s="6" t="n">
        <x:v>0.01</x:v>
      </x:c>
      <x:c r="D6507" s="6" t="n">
        <x:f>B6507</x:f>
        <x:v>-0.0355</x:v>
      </x:c>
      <x:c r="E6507" s="1" t="n">
        <x:v>1.05</x:v>
      </x:c>
      <x:c r="F6507" s="1" t="str">
        <x:v>https://api.octopus.energy/v1/products/AGILE-24-10-01/electricity-tariffs/E-1R-AGILE-24-10-01-G/standard-unit-rates/</x:v>
      </x:c>
    </x:row>
    <x:row r="6508" ht="21" customHeight="1">
      <x:c r="A6508" s="24" t="n">
        <x:v>46284.083333333336</x:v>
      </x:c>
      <x:c r="B6508" s="6" t="n">
        <x:v>-0.013000000000000001</x:v>
      </x:c>
      <x:c r="C6508" s="6" t="n">
        <x:v>0.0203</x:v>
      </x:c>
      <x:c r="D6508" s="6" t="n">
        <x:f>B6508</x:f>
        <x:v>-0.013000000000000001</x:v>
      </x:c>
      <x:c r="E6508" s="1" t="n">
        <x:v>1.05</x:v>
      </x:c>
      <x:c r="F6508" s="1" t="str">
        <x:v>https://api.octopus.energy/v1/products/AGILE-24-10-01/electricity-tariffs/E-1R-AGILE-24-10-01-G/standard-unit-rates/</x:v>
      </x:c>
    </x:row>
    <x:row r="6509" ht="21" customHeight="1">
      <x:c r="A6509" s="24" t="n">
        <x:v>46284.104166666664</x:v>
      </x:c>
      <x:c r="B6509" s="6" t="n">
        <x:v>-0.018799999999999997</x:v>
      </x:c>
      <x:c r="C6509" s="6" t="n">
        <x:v>0.0177</x:v>
      </x:c>
      <x:c r="D6509" s="6" t="n">
        <x:f>B6509</x:f>
        <x:v>-0.018799999999999997</x:v>
      </x:c>
      <x:c r="E6509" s="1" t="n">
        <x:v>1.05</x:v>
      </x:c>
      <x:c r="F6509" s="1" t="str">
        <x:v>https://api.octopus.energy/v1/products/AGILE-24-10-01/electricity-tariffs/E-1R-AGILE-24-10-01-G/standard-unit-rates/</x:v>
      </x:c>
    </x:row>
    <x:row r="6510" ht="21" customHeight="1">
      <x:c r="A6510" s="24" t="n">
        <x:v>46284.125</x:v>
      </x:c>
      <x:c r="B6510" s="6" t="n">
        <x:v>-0.041100000000000005</x:v>
      </x:c>
      <x:c r="C6510" s="6" t="n">
        <x:v>0.0075</x:v>
      </x:c>
      <x:c r="D6510" s="6" t="n">
        <x:f>B6510</x:f>
        <x:v>-0.041100000000000005</x:v>
      </x:c>
      <x:c r="E6510" s="1" t="n">
        <x:v>1.05</x:v>
      </x:c>
      <x:c r="F6510" s="1" t="str">
        <x:v>https://api.octopus.energy/v1/products/AGILE-24-10-01/electricity-tariffs/E-1R-AGILE-24-10-01-G/standard-unit-rates/</x:v>
      </x:c>
    </x:row>
    <x:row r="6511" ht="21" customHeight="1">
      <x:c r="A6511" s="24" t="n">
        <x:v>46284.145833333336</x:v>
      </x:c>
      <x:c r="B6511" s="6" t="n">
        <x:v>-0.038900000000000004</x:v>
      </x:c>
      <x:c r="C6511" s="6" t="n">
        <x:v>0.0085</x:v>
      </x:c>
      <x:c r="D6511" s="6" t="n">
        <x:f>B6511</x:f>
        <x:v>-0.038900000000000004</x:v>
      </x:c>
      <x:c r="E6511" s="1" t="n">
        <x:v>1.05</x:v>
      </x:c>
      <x:c r="F6511" s="1" t="str">
        <x:v>https://api.octopus.energy/v1/products/AGILE-24-10-01/electricity-tariffs/E-1R-AGILE-24-10-01-G/standard-unit-rates/</x:v>
      </x:c>
    </x:row>
    <x:row r="6512" ht="21" customHeight="1">
      <x:c r="A6512" s="24" t="n">
        <x:v>46284.166666666664</x:v>
      </x:c>
      <x:c r="B6512" s="6" t="n">
        <x:v>-0.0355</x:v>
      </x:c>
      <x:c r="C6512" s="6" t="n">
        <x:v>0.01</x:v>
      </x:c>
      <x:c r="D6512" s="6" t="n">
        <x:f>B6512</x:f>
        <x:v>-0.0355</x:v>
      </x:c>
      <x:c r="E6512" s="1" t="n">
        <x:v>1.05</x:v>
      </x:c>
      <x:c r="F6512" s="1" t="str">
        <x:v>https://api.octopus.energy/v1/products/AGILE-24-10-01/electricity-tariffs/E-1R-AGILE-24-10-01-G/standard-unit-rates/</x:v>
      </x:c>
    </x:row>
    <x:row r="6513" ht="21" customHeight="1">
      <x:c r="A6513" s="24" t="n">
        <x:v>46284.1875</x:v>
      </x:c>
      <x:c r="B6513" s="6" t="n">
        <x:v>-0.0368</x:v>
      </x:c>
      <x:c r="C6513" s="6" t="n">
        <x:v>0.0095</x:v>
      </x:c>
      <x:c r="D6513" s="6" t="n">
        <x:f>B6513</x:f>
        <x:v>-0.0368</x:v>
      </x:c>
      <x:c r="E6513" s="1" t="n">
        <x:v>1.05</x:v>
      </x:c>
      <x:c r="F6513" s="1" t="str">
        <x:v>https://api.octopus.energy/v1/products/AGILE-24-10-01/electricity-tariffs/E-1R-AGILE-24-10-01-G/standard-unit-rates/</x:v>
      </x:c>
    </x:row>
    <x:row r="6514" ht="21" customHeight="1">
      <x:c r="A6514" s="24" t="n">
        <x:v>46284.208333333336</x:v>
      </x:c>
      <x:c r="B6514" s="6" t="n">
        <x:v>-0.0352</x:v>
      </x:c>
      <x:c r="C6514" s="6" t="n">
        <x:v>0.0102</x:v>
      </x:c>
      <x:c r="D6514" s="6" t="n">
        <x:f>B6514</x:f>
        <x:v>-0.0352</x:v>
      </x:c>
      <x:c r="E6514" s="1" t="n">
        <x:v>1.05</x:v>
      </x:c>
      <x:c r="F6514" s="1" t="str">
        <x:v>https://api.octopus.energy/v1/products/AGILE-24-10-01/electricity-tariffs/E-1R-AGILE-24-10-01-G/standard-unit-rates/</x:v>
      </x:c>
    </x:row>
    <x:row r="6515" ht="21" customHeight="1">
      <x:c r="A6515" s="24" t="n">
        <x:v>46284.229166666664</x:v>
      </x:c>
      <x:c r="B6515" s="6" t="n">
        <x:v>-0.040999999999999995</x:v>
      </x:c>
      <x:c r="C6515" s="6" t="n">
        <x:v>0.0075</x:v>
      </x:c>
      <x:c r="D6515" s="6" t="n">
        <x:f>B6515</x:f>
        <x:v>-0.040999999999999995</x:v>
      </x:c>
      <x:c r="E6515" s="1" t="n">
        <x:v>1.05</x:v>
      </x:c>
      <x:c r="F6515" s="1" t="str">
        <x:v>https://api.octopus.energy/v1/products/AGILE-24-10-01/electricity-tariffs/E-1R-AGILE-24-10-01-G/standard-unit-rates/</x:v>
      </x:c>
    </x:row>
    <x:row r="6516" ht="21" customHeight="1">
      <x:c r="A6516" s="24" t="n">
        <x:v>46284.25</x:v>
      </x:c>
      <x:c r="B6516" s="6" t="n">
        <x:v>-0.024700000000000003</x:v>
      </x:c>
      <x:c r="C6516" s="6" t="n">
        <x:v>0.015</x:v>
      </x:c>
      <x:c r="D6516" s="6" t="n">
        <x:f>B6516</x:f>
        <x:v>-0.024700000000000003</x:v>
      </x:c>
      <x:c r="E6516" s="1" t="n">
        <x:v>1.05</x:v>
      </x:c>
      <x:c r="F6516" s="1" t="str">
        <x:v>https://api.octopus.energy/v1/products/AGILE-24-10-01/electricity-tariffs/E-1R-AGILE-24-10-01-G/standard-unit-rates/</x:v>
      </x:c>
    </x:row>
    <x:row r="6517" ht="21" customHeight="1">
      <x:c r="A6517" s="24" t="n">
        <x:v>46284.270833333336</x:v>
      </x:c>
      <x:c r="B6517" s="6" t="n">
        <x:v>-0.027999999999999997</x:v>
      </x:c>
      <x:c r="C6517" s="6" t="n">
        <x:v>0.013500000000000002</x:v>
      </x:c>
      <x:c r="D6517" s="6" t="n">
        <x:f>B6517</x:f>
        <x:v>-0.027999999999999997</x:v>
      </x:c>
      <x:c r="E6517" s="1" t="n">
        <x:v>1.05</x:v>
      </x:c>
      <x:c r="F6517" s="1" t="str">
        <x:v>https://api.octopus.energy/v1/products/AGILE-24-10-01/electricity-tariffs/E-1R-AGILE-24-10-01-G/standard-unit-rates/</x:v>
      </x:c>
    </x:row>
    <x:row r="6518" ht="21" customHeight="1">
      <x:c r="A6518" s="24" t="n">
        <x:v>46284.291666666664</x:v>
      </x:c>
      <x:c r="B6518" s="6" t="n">
        <x:v>-0.0212</x:v>
      </x:c>
      <x:c r="C6518" s="6" t="n">
        <x:v>0.0166</x:v>
      </x:c>
      <x:c r="D6518" s="6" t="n">
        <x:f>B6518</x:f>
        <x:v>-0.0212</x:v>
      </x:c>
      <x:c r="E6518" s="1" t="n">
        <x:v>1.05</x:v>
      </x:c>
      <x:c r="F6518" s="1" t="str">
        <x:v>https://api.octopus.energy/v1/products/AGILE-24-10-01/electricity-tariffs/E-1R-AGILE-24-10-01-G/standard-unit-rates/</x:v>
      </x:c>
    </x:row>
    <x:row r="6519" ht="21" customHeight="1">
      <x:c r="A6519" s="24" t="n">
        <x:v>46284.3125</x:v>
      </x:c>
      <x:c r="B6519" s="6" t="n">
        <x:v>-0.023399999999999997</x:v>
      </x:c>
      <x:c r="C6519" s="6" t="n">
        <x:v>0.015600000000000001</x:v>
      </x:c>
      <x:c r="D6519" s="6" t="n">
        <x:f>B6519</x:f>
        <x:v>-0.023399999999999997</x:v>
      </x:c>
      <x:c r="E6519" s="1" t="n">
        <x:v>1.05</x:v>
      </x:c>
      <x:c r="F6519" s="1" t="str">
        <x:v>https://api.octopus.energy/v1/products/AGILE-24-10-01/electricity-tariffs/E-1R-AGILE-24-10-01-G/standard-unit-rates/</x:v>
      </x:c>
    </x:row>
    <x:row r="6520" ht="21" customHeight="1">
      <x:c r="A6520" s="24" t="n">
        <x:v>46284.333333333336</x:v>
      </x:c>
      <x:c r="B6520" s="6" t="n">
        <x:v>-0.0137</x:v>
      </x:c>
      <x:c r="C6520" s="6" t="n">
        <x:v>0.02</x:v>
      </x:c>
      <x:c r="D6520" s="6" t="n">
        <x:f>B6520</x:f>
        <x:v>-0.0137</x:v>
      </x:c>
      <x:c r="E6520" s="1" t="n">
        <x:v>1.05</x:v>
      </x:c>
      <x:c r="F6520" s="1" t="str">
        <x:v>https://api.octopus.energy/v1/products/AGILE-24-10-01/electricity-tariffs/E-1R-AGILE-24-10-01-G/standard-unit-rates/</x:v>
      </x:c>
    </x:row>
    <x:row r="6521" ht="21" customHeight="1">
      <x:c r="A6521" s="24" t="n">
        <x:v>46284.354166666664</x:v>
      </x:c>
      <x:c r="B6521" s="6" t="n">
        <x:v>-0.0063</x:v>
      </x:c>
      <x:c r="C6521" s="6" t="n">
        <x:v>0.023399999999999997</x:v>
      </x:c>
      <x:c r="D6521" s="6" t="n">
        <x:f>B6521</x:f>
        <x:v>-0.0063</x:v>
      </x:c>
      <x:c r="E6521" s="1" t="n">
        <x:v>1.05</x:v>
      </x:c>
      <x:c r="F6521" s="1" t="str">
        <x:v>https://api.octopus.energy/v1/products/AGILE-24-10-01/electricity-tariffs/E-1R-AGILE-24-10-01-G/standard-unit-rates/</x:v>
      </x:c>
    </x:row>
    <x:row r="6522" ht="21" customHeight="1">
      <x:c r="A6522" s="24" t="n">
        <x:v>46284.375</x:v>
      </x:c>
      <x:c r="B6522" s="6" t="n">
        <x:v>0.0027</x:v>
      </x:c>
      <x:c r="C6522" s="6" t="n">
        <x:v>0.0275</x:v>
      </x:c>
      <x:c r="D6522" s="6" t="n">
        <x:f>B6522</x:f>
        <x:v>0.0027</x:v>
      </x:c>
      <x:c r="E6522" s="1" t="n">
        <x:v>1.05</x:v>
      </x:c>
      <x:c r="F6522" s="1" t="str">
        <x:v>https://api.octopus.energy/v1/products/AGILE-24-10-01/electricity-tariffs/E-1R-AGILE-24-10-01-G/standard-unit-rates/</x:v>
      </x:c>
    </x:row>
    <x:row r="6523" ht="21" customHeight="1">
      <x:c r="A6523" s="24" t="n">
        <x:v>46284.395833333336</x:v>
      </x:c>
      <x:c r="B6523" s="6" t="n">
        <x:v>-0.0015</x:v>
      </x:c>
      <x:c r="C6523" s="6" t="n">
        <x:v>0.0256</x:v>
      </x:c>
      <x:c r="D6523" s="6" t="n">
        <x:f>B6523</x:f>
        <x:v>-0.0015</x:v>
      </x:c>
      <x:c r="E6523" s="1" t="n">
        <x:v>1.05</x:v>
      </x:c>
      <x:c r="F6523" s="1" t="str">
        <x:v>https://api.octopus.energy/v1/products/AGILE-24-10-01/electricity-tariffs/E-1R-AGILE-24-10-01-G/standard-unit-rates/</x:v>
      </x:c>
    </x:row>
    <x:row r="6524" ht="21" customHeight="1">
      <x:c r="A6524" s="24" t="n">
        <x:v>46284.416666666664</x:v>
      </x:c>
      <x:c r="B6524" s="6" t="n">
        <x:v>-0.0191</x:v>
      </x:c>
      <x:c r="C6524" s="6" t="n">
        <x:v>0.0175</x:v>
      </x:c>
      <x:c r="D6524" s="6" t="n">
        <x:f>B6524</x:f>
        <x:v>-0.0191</x:v>
      </x:c>
      <x:c r="E6524" s="1" t="n">
        <x:v>1.05</x:v>
      </x:c>
      <x:c r="F6524" s="1" t="str">
        <x:v>https://api.octopus.energy/v1/products/AGILE-24-10-01/electricity-tariffs/E-1R-AGILE-24-10-01-G/standard-unit-rates/</x:v>
      </x:c>
    </x:row>
    <x:row r="6525" ht="21" customHeight="1">
      <x:c r="A6525" s="24" t="n">
        <x:v>46284.4375</x:v>
      </x:c>
      <x:c r="B6525" s="6" t="n">
        <x:v>-0.026000000000000002</x:v>
      </x:c>
      <x:c r="C6525" s="6" t="n">
        <x:v>0.0144</x:v>
      </x:c>
      <x:c r="D6525" s="6" t="n">
        <x:f>B6525</x:f>
        <x:v>-0.026000000000000002</x:v>
      </x:c>
      <x:c r="E6525" s="1" t="n">
        <x:v>1.05</x:v>
      </x:c>
      <x:c r="F6525" s="1" t="str">
        <x:v>https://api.octopus.energy/v1/products/AGILE-24-10-01/electricity-tariffs/E-1R-AGILE-24-10-01-G/standard-unit-rates/</x:v>
      </x:c>
    </x:row>
    <x:row r="6526" ht="21" customHeight="1">
      <x:c r="A6526" s="24" t="n">
        <x:v>46284.458333333336</x:v>
      </x:c>
      <x:c r="B6526" s="6" t="n">
        <x:v>-0.027999999999999997</x:v>
      </x:c>
      <x:c r="C6526" s="6" t="n">
        <x:v>0.013500000000000002</x:v>
      </x:c>
      <x:c r="D6526" s="6" t="n">
        <x:f>B6526</x:f>
        <x:v>-0.027999999999999997</x:v>
      </x:c>
      <x:c r="E6526" s="1" t="n">
        <x:v>1.05</x:v>
      </x:c>
      <x:c r="F6526" s="1" t="str">
        <x:v>https://api.octopus.energy/v1/products/AGILE-24-10-01/electricity-tariffs/E-1R-AGILE-24-10-01-G/standard-unit-rates/</x:v>
      </x:c>
    </x:row>
    <x:row r="6527" ht="21" customHeight="1">
      <x:c r="A6527" s="24" t="n">
        <x:v>46284.479166666664</x:v>
      </x:c>
      <x:c r="B6527" s="6" t="n">
        <x:v>-0.0226</x:v>
      </x:c>
      <x:c r="C6527" s="6" t="n">
        <x:v>0.0159</x:v>
      </x:c>
      <x:c r="D6527" s="6" t="n">
        <x:f>B6527</x:f>
        <x:v>-0.0226</x:v>
      </x:c>
      <x:c r="E6527" s="1" t="n">
        <x:v>1.05</x:v>
      </x:c>
      <x:c r="F6527" s="1" t="str">
        <x:v>https://api.octopus.energy/v1/products/AGILE-24-10-01/electricity-tariffs/E-1R-AGILE-24-10-01-G/standard-unit-rates/</x:v>
      </x:c>
    </x:row>
    <x:row r="6528" ht="21" customHeight="1">
      <x:c r="A6528" s="24" t="n">
        <x:v>46284.5</x:v>
      </x:c>
      <x:c r="B6528" s="6" t="n">
        <x:v>-0.0263</x:v>
      </x:c>
      <x:c r="C6528" s="6" t="n">
        <x:v>0.014199999999999999</x:v>
      </x:c>
      <x:c r="D6528" s="6" t="n">
        <x:f>B6528</x:f>
        <x:v>-0.0263</x:v>
      </x:c>
      <x:c r="E6528" s="1" t="n">
        <x:v>1.05</x:v>
      </x:c>
      <x:c r="F6528" s="1" t="str">
        <x:v>https://api.octopus.energy/v1/products/AGILE-24-10-01/electricity-tariffs/E-1R-AGILE-24-10-01-G/standard-unit-rates/</x:v>
      </x:c>
    </x:row>
    <x:row r="6529" ht="21" customHeight="1">
      <x:c r="A6529" s="24" t="n">
        <x:v>46284.520833333336</x:v>
      </x:c>
      <x:c r="B6529" s="6" t="n">
        <x:v>-0.0271</x:v>
      </x:c>
      <x:c r="C6529" s="6" t="n">
        <x:v>0.0139</x:v>
      </x:c>
      <x:c r="D6529" s="6" t="n">
        <x:f>B6529</x:f>
        <x:v>-0.0271</x:v>
      </x:c>
      <x:c r="E6529" s="1" t="n">
        <x:v>1.05</x:v>
      </x:c>
      <x:c r="F6529" s="1" t="str">
        <x:v>https://api.octopus.energy/v1/products/AGILE-24-10-01/electricity-tariffs/E-1R-AGILE-24-10-01-G/standard-unit-rates/</x:v>
      </x:c>
    </x:row>
    <x:row r="6530" ht="21" customHeight="1">
      <x:c r="A6530" s="24" t="n">
        <x:v>46284.541666666664</x:v>
      </x:c>
      <x:c r="B6530" s="6" t="n">
        <x:v>-0.030699999999999998</x:v>
      </x:c>
      <x:c r="C6530" s="6" t="n">
        <x:v>0.012199999999999999</x:v>
      </x:c>
      <x:c r="D6530" s="6" t="n">
        <x:f>B6530</x:f>
        <x:v>-0.030699999999999998</x:v>
      </x:c>
      <x:c r="E6530" s="1" t="n">
        <x:v>1.05</x:v>
      </x:c>
      <x:c r="F6530" s="1" t="str">
        <x:v>https://api.octopus.energy/v1/products/AGILE-24-10-01/electricity-tariffs/E-1R-AGILE-24-10-01-G/standard-unit-rates/</x:v>
      </x:c>
    </x:row>
    <x:row r="6531" ht="21" customHeight="1">
      <x:c r="A6531" s="24" t="n">
        <x:v>46284.5625</x:v>
      </x:c>
      <x:c r="B6531" s="6" t="n">
        <x:v>-0.0319</x:v>
      </x:c>
      <x:c r="C6531" s="6" t="n">
        <x:v>0.011699999999999999</x:v>
      </x:c>
      <x:c r="D6531" s="6" t="n">
        <x:f>B6531</x:f>
        <x:v>-0.0319</x:v>
      </x:c>
      <x:c r="E6531" s="1" t="n">
        <x:v>1.05</x:v>
      </x:c>
      <x:c r="F6531" s="1" t="str">
        <x:v>https://api.octopus.energy/v1/products/AGILE-24-10-01/electricity-tariffs/E-1R-AGILE-24-10-01-G/standard-unit-rates/</x:v>
      </x:c>
    </x:row>
    <x:row r="6532" ht="21" customHeight="1">
      <x:c r="A6532" s="24" t="n">
        <x:v>46284.583333333336</x:v>
      </x:c>
      <x:c r="B6532" s="6" t="n">
        <x:v>-0.039</x:v>
      </x:c>
      <x:c r="C6532" s="6" t="n">
        <x:v>0.0084</x:v>
      </x:c>
      <x:c r="D6532" s="6" t="n">
        <x:f>B6532</x:f>
        <x:v>-0.039</x:v>
      </x:c>
      <x:c r="E6532" s="1" t="n">
        <x:v>1.05</x:v>
      </x:c>
      <x:c r="F6532" s="1" t="str">
        <x:v>https://api.octopus.energy/v1/products/AGILE-24-10-01/electricity-tariffs/E-1R-AGILE-24-10-01-G/standard-unit-rates/</x:v>
      </x:c>
    </x:row>
    <x:row r="6533" ht="21" customHeight="1">
      <x:c r="A6533" s="24" t="n">
        <x:v>46284.604166666664</x:v>
      </x:c>
      <x:c r="B6533" s="6" t="n">
        <x:v>-0.034</x:v>
      </x:c>
      <x:c r="C6533" s="6" t="n">
        <x:v>0.010700000000000001</x:v>
      </x:c>
      <x:c r="D6533" s="6" t="n">
        <x:f>B6533</x:f>
        <x:v>-0.034</x:v>
      </x:c>
      <x:c r="E6533" s="1" t="n">
        <x:v>1.05</x:v>
      </x:c>
      <x:c r="F6533" s="1" t="str">
        <x:v>https://api.octopus.energy/v1/products/AGILE-24-10-01/electricity-tariffs/E-1R-AGILE-24-10-01-G/standard-unit-rates/</x:v>
      </x:c>
    </x:row>
    <x:row r="6534" ht="21" customHeight="1">
      <x:c r="A6534" s="24" t="n">
        <x:v>46284.625</x:v>
      </x:c>
      <x:c r="B6534" s="6" t="n">
        <x:v>-0.0138</x:v>
      </x:c>
      <x:c r="C6534" s="6" t="n">
        <x:v>0.02</x:v>
      </x:c>
      <x:c r="D6534" s="6" t="n">
        <x:f>B6534</x:f>
        <x:v>-0.0138</x:v>
      </x:c>
      <x:c r="E6534" s="1" t="n">
        <x:v>1.05</x:v>
      </x:c>
      <x:c r="F6534" s="1" t="str">
        <x:v>https://api.octopus.energy/v1/products/AGILE-24-10-01/electricity-tariffs/E-1R-AGILE-24-10-01-G/standard-unit-rates/</x:v>
      </x:c>
    </x:row>
    <x:row r="6535" ht="21" customHeight="1">
      <x:c r="A6535" s="24" t="n">
        <x:v>46284.645833333336</x:v>
      </x:c>
      <x:c r="B6535" s="6" t="n">
        <x:v>0.006999999999999999</x:v>
      </x:c>
      <x:c r="C6535" s="6" t="n">
        <x:v>0.029500000000000002</x:v>
      </x:c>
      <x:c r="D6535" s="6" t="n">
        <x:f>B6535</x:f>
        <x:v>0.006999999999999999</x:v>
      </x:c>
      <x:c r="E6535" s="1" t="n">
        <x:v>1.05</x:v>
      </x:c>
      <x:c r="F6535" s="1" t="str">
        <x:v>https://api.octopus.energy/v1/products/AGILE-24-10-01/electricity-tariffs/E-1R-AGILE-24-10-01-G/standard-unit-rates/</x:v>
      </x:c>
    </x:row>
    <x:row r="6536" ht="21" customHeight="1">
      <x:c r="A6536" s="24" t="n">
        <x:v>46284.666666666664</x:v>
      </x:c>
      <x:c r="B6536" s="6" t="n">
        <x:v>0.0915</x:v>
      </x:c>
      <x:c r="C6536" s="6" t="n">
        <x:v>0.0721</x:v>
      </x:c>
      <x:c r="D6536" s="6" t="n">
        <x:f>B6536</x:f>
        <x:v>0.0915</x:v>
      </x:c>
      <x:c r="E6536" s="1" t="n">
        <x:v>1.05</x:v>
      </x:c>
      <x:c r="F6536" s="1" t="str">
        <x:v>https://api.octopus.energy/v1/products/AGILE-24-10-01/electricity-tariffs/E-1R-AGILE-24-10-01-G/standard-unit-rates/</x:v>
      </x:c>
    </x:row>
    <x:row r="6537" ht="21" customHeight="1">
      <x:c r="A6537" s="24" t="n">
        <x:v>46284.6875</x:v>
      </x:c>
      <x:c r="B6537" s="6" t="n">
        <x:v>0.1522</x:v>
      </x:c>
      <x:c r="C6537" s="6" t="n">
        <x:v>0.0999</x:v>
      </x:c>
      <x:c r="D6537" s="6" t="n">
        <x:f>B6537</x:f>
        <x:v>0.1522</x:v>
      </x:c>
      <x:c r="E6537" s="1" t="n">
        <x:v>1.05</x:v>
      </x:c>
      <x:c r="F6537" s="1" t="str">
        <x:v>https://api.octopus.energy/v1/products/AGILE-24-10-01/electricity-tariffs/E-1R-AGILE-24-10-01-G/standard-unit-rates/</x:v>
      </x:c>
    </x:row>
    <x:row r="6538" ht="21" customHeight="1">
      <x:c r="A6538" s="24" t="n">
        <x:v>46284.708333333336</x:v>
      </x:c>
      <x:c r="B6538" s="6" t="n">
        <x:v>0.21109999999999998</x:v>
      </x:c>
      <x:c r="C6538" s="6" t="n">
        <x:v>0.1268</x:v>
      </x:c>
      <x:c r="D6538" s="6" t="n">
        <x:f>B6538</x:f>
        <x:v>0.21109999999999998</x:v>
      </x:c>
      <x:c r="E6538" s="1" t="n">
        <x:v>1.05</x:v>
      </x:c>
      <x:c r="F6538" s="1" t="str">
        <x:v>https://api.octopus.energy/v1/products/AGILE-24-10-01/electricity-tariffs/E-1R-AGILE-24-10-01-G/standard-unit-rates/</x:v>
      </x:c>
    </x:row>
    <x:row r="6539" ht="21" customHeight="1">
      <x:c r="A6539" s="24" t="n">
        <x:v>46284.729166666664</x:v>
      </x:c>
      <x:c r="B6539" s="6" t="n">
        <x:v>0.2729</x:v>
      </x:c>
      <x:c r="C6539" s="6" t="n">
        <x:v>0.1551</x:v>
      </x:c>
      <x:c r="D6539" s="6" t="n">
        <x:f>B6539</x:f>
        <x:v>0.2729</x:v>
      </x:c>
      <x:c r="E6539" s="1" t="n">
        <x:v>1.05</x:v>
      </x:c>
      <x:c r="F6539" s="1" t="str">
        <x:v>https://api.octopus.energy/v1/products/AGILE-24-10-01/electricity-tariffs/E-1R-AGILE-24-10-01-G/standard-unit-rates/</x:v>
      </x:c>
    </x:row>
    <x:row r="6540" ht="21" customHeight="1">
      <x:c r="A6540" s="24" t="n">
        <x:v>46284.75</x:v>
      </x:c>
      <x:c r="B6540" s="6" t="n">
        <x:v>0.32520000000000004</x:v>
      </x:c>
      <x:c r="C6540" s="6" t="n">
        <x:v>0.179</x:v>
      </x:c>
      <x:c r="D6540" s="6" t="n">
        <x:f>B6540</x:f>
        <x:v>0.32520000000000004</x:v>
      </x:c>
      <x:c r="E6540" s="1" t="n">
        <x:v>1.05</x:v>
      </x:c>
      <x:c r="F6540" s="1" t="str">
        <x:v>https://api.octopus.energy/v1/products/AGILE-24-10-01/electricity-tariffs/E-1R-AGILE-24-10-01-G/standard-unit-rates/</x:v>
      </x:c>
    </x:row>
    <x:row r="6541" ht="21" customHeight="1">
      <x:c r="A6541" s="24" t="n">
        <x:v>46284.770833333336</x:v>
      </x:c>
      <x:c r="B6541" s="6" t="n">
        <x:v>0.33240000000000003</x:v>
      </x:c>
      <x:c r="C6541" s="6" t="n">
        <x:v>0.18230000000000002</x:v>
      </x:c>
      <x:c r="D6541" s="6" t="n">
        <x:f>B6541</x:f>
        <x:v>0.33240000000000003</x:v>
      </x:c>
      <x:c r="E6541" s="1" t="n">
        <x:v>1.05</x:v>
      </x:c>
      <x:c r="F6541" s="1" t="str">
        <x:v>https://api.octopus.energy/v1/products/AGILE-24-10-01/electricity-tariffs/E-1R-AGILE-24-10-01-G/standard-unit-rates/</x:v>
      </x:c>
    </x:row>
    <x:row r="6542" ht="21" customHeight="1">
      <x:c r="A6542" s="24" t="n">
        <x:v>46284.791666666664</x:v>
      </x:c>
      <x:c r="B6542" s="6" t="n">
        <x:v>0.2045</x:v>
      </x:c>
      <x:c r="C6542" s="6" t="n">
        <x:v>0.1197</x:v>
      </x:c>
      <x:c r="D6542" s="6" t="n">
        <x:f>B6542</x:f>
        <x:v>0.2045</x:v>
      </x:c>
      <x:c r="E6542" s="1" t="n">
        <x:v>1.05</x:v>
      </x:c>
      <x:c r="F6542" s="1" t="str">
        <x:v>https://api.octopus.energy/v1/products/AGILE-24-10-01/electricity-tariffs/E-1R-AGILE-24-10-01-G/standard-unit-rates/</x:v>
      </x:c>
    </x:row>
    <x:row r="6543" ht="21" customHeight="1">
      <x:c r="A6543" s="24" t="n">
        <x:v>46284.8125</x:v>
      </x:c>
      <x:c r="B6543" s="6" t="n">
        <x:v>0.20440000000000003</x:v>
      </x:c>
      <x:c r="C6543" s="6" t="n">
        <x:v>0.1197</x:v>
      </x:c>
      <x:c r="D6543" s="6" t="n">
        <x:f>B6543</x:f>
        <x:v>0.20440000000000003</x:v>
      </x:c>
      <x:c r="E6543" s="1" t="n">
        <x:v>1.05</x:v>
      </x:c>
      <x:c r="F6543" s="1" t="str">
        <x:v>https://api.octopus.energy/v1/products/AGILE-24-10-01/electricity-tariffs/E-1R-AGILE-24-10-01-G/standard-unit-rates/</x:v>
      </x:c>
    </x:row>
    <x:row r="6544" ht="21" customHeight="1">
      <x:c r="A6544" s="24" t="n">
        <x:v>46284.833333333336</x:v>
      </x:c>
      <x:c r="B6544" s="6" t="n">
        <x:v>0.1661</x:v>
      </x:c>
      <x:c r="C6544" s="6" t="n">
        <x:v>0.10220000000000001</x:v>
      </x:c>
      <x:c r="D6544" s="6" t="n">
        <x:f>B6544</x:f>
        <x:v>0.1661</x:v>
      </x:c>
      <x:c r="E6544" s="1" t="n">
        <x:v>1.05</x:v>
      </x:c>
      <x:c r="F6544" s="1" t="str">
        <x:v>https://api.octopus.energy/v1/products/AGILE-24-10-01/electricity-tariffs/E-1R-AGILE-24-10-01-G/standard-unit-rates/</x:v>
      </x:c>
    </x:row>
    <x:row r="6545" ht="21" customHeight="1">
      <x:c r="A6545" s="24" t="n">
        <x:v>46284.854166666664</x:v>
      </x:c>
      <x:c r="B6545" s="6" t="n">
        <x:v>0.14279999999999998</x:v>
      </x:c>
      <x:c r="C6545" s="6" t="n">
        <x:v>0.0915</x:v>
      </x:c>
      <x:c r="D6545" s="6" t="n">
        <x:f>B6545</x:f>
        <x:v>0.14279999999999998</x:v>
      </x:c>
      <x:c r="E6545" s="1" t="n">
        <x:v>1.05</x:v>
      </x:c>
      <x:c r="F6545" s="1" t="str">
        <x:v>https://api.octopus.energy/v1/products/AGILE-24-10-01/electricity-tariffs/E-1R-AGILE-24-10-01-G/standard-unit-rates/</x:v>
      </x:c>
    </x:row>
    <x:row r="6546" ht="21" customHeight="1">
      <x:c r="A6546" s="24" t="n">
        <x:v>46284.875</x:v>
      </x:c>
      <x:c r="B6546" s="6" t="n">
        <x:v>0.1728</x:v>
      </x:c>
      <x:c r="C6546" s="6" t="n">
        <x:v>0.10529999999999999</x:v>
      </x:c>
      <x:c r="D6546" s="6" t="n">
        <x:f>B6546</x:f>
        <x:v>0.1728</x:v>
      </x:c>
      <x:c r="E6546" s="1" t="n">
        <x:v>1.05</x:v>
      </x:c>
      <x:c r="F6546" s="1" t="str">
        <x:v>https://api.octopus.energy/v1/products/AGILE-24-10-01/electricity-tariffs/E-1R-AGILE-24-10-01-G/standard-unit-rates/</x:v>
      </x:c>
    </x:row>
    <x:row r="6547" ht="21" customHeight="1">
      <x:c r="A6547" s="24" t="n">
        <x:v>46284.895833333336</x:v>
      </x:c>
      <x:c r="B6547" s="6" t="n">
        <x:v>0.1346</x:v>
      </x:c>
      <x:c r="C6547" s="6" t="n">
        <x:v>0.08779999999999999</x:v>
      </x:c>
      <x:c r="D6547" s="6" t="n">
        <x:f>B6547</x:f>
        <x:v>0.1346</x:v>
      </x:c>
      <x:c r="E6547" s="1" t="n">
        <x:v>1.05</x:v>
      </x:c>
      <x:c r="F6547" s="1" t="str">
        <x:v>https://api.octopus.energy/v1/products/AGILE-24-10-01/electricity-tariffs/E-1R-AGILE-24-10-01-G/standard-unit-rates/</x:v>
      </x:c>
    </x:row>
    <x:row r="6548" ht="21" customHeight="1">
      <x:c r="A6548" s="24" t="n">
        <x:v>46284.916666666664</x:v>
      </x:c>
      <x:c r="B6548" s="6" t="n">
        <x:v>0.12619999999999998</x:v>
      </x:c>
      <x:c r="C6548" s="6" t="n">
        <x:v>0.084</x:v>
      </x:c>
      <x:c r="D6548" s="6" t="n">
        <x:f>B6548</x:f>
        <x:v>0.12619999999999998</x:v>
      </x:c>
      <x:c r="E6548" s="1" t="n">
        <x:v>1.05</x:v>
      </x:c>
      <x:c r="F6548" s="1" t="str">
        <x:v>https://api.octopus.energy/v1/products/AGILE-24-10-01/electricity-tariffs/E-1R-AGILE-24-10-01-G/standard-unit-rates/</x:v>
      </x:c>
    </x:row>
    <x:row r="6549" ht="21" customHeight="1">
      <x:c r="A6549" s="24" t="n">
        <x:v>46284.9375</x:v>
      </x:c>
      <x:c r="B6549" s="6" t="n">
        <x:v>0.0716</x:v>
      </x:c>
      <x:c r="C6549" s="6" t="n">
        <x:v>0.059000000000000004</x:v>
      </x:c>
      <x:c r="D6549" s="6" t="n">
        <x:f>B6549</x:f>
        <x:v>0.0716</x:v>
      </x:c>
      <x:c r="E6549" s="1" t="n">
        <x:v>1.05</x:v>
      </x:c>
      <x:c r="F6549" s="1" t="str">
        <x:v>https://api.octopus.energy/v1/products/AGILE-24-10-01/electricity-tariffs/E-1R-AGILE-24-10-01-G/standard-unit-rates/</x:v>
      </x:c>
    </x:row>
    <x:row r="6550" ht="21" customHeight="1">
      <x:c r="A6550" s="24" t="n">
        <x:v>46285</x:v>
      </x:c>
      <x:c r="B6550" s="6" t="n">
        <x:v>-0.0019</x:v>
      </x:c>
      <x:c r="C6550" s="6" t="n">
        <x:v>0.0254</x:v>
      </x:c>
      <x:c r="D6550" s="6" t="n">
        <x:f>B6550</x:f>
        <x:v>-0.0019</x:v>
      </x:c>
      <x:c r="E6550" s="1" t="n">
        <x:v>1.05</x:v>
      </x:c>
      <x:c r="F6550" s="1" t="str">
        <x:v>https://api.octopus.energy/v1/products/AGILE-24-10-01/electricity-tariffs/E-1R-AGILE-24-10-01-G/standard-unit-rates/</x:v>
      </x:c>
    </x:row>
    <x:row r="6551" ht="21" customHeight="1">
      <x:c r="A6551" s="24" t="n">
        <x:v>46284.979166666664</x:v>
      </x:c>
      <x:c r="B6551" s="6" t="n">
        <x:v>-0.0019</x:v>
      </x:c>
      <x:c r="C6551" s="6" t="n">
        <x:v>0.0254</x:v>
      </x:c>
      <x:c r="D6551" s="6" t="n">
        <x:f>B6551</x:f>
        <x:v>-0.0019</x:v>
      </x:c>
      <x:c r="E6551" s="1" t="n">
        <x:v>1.05</x:v>
      </x:c>
      <x:c r="F6551" s="1" t="str">
        <x:v>https://api.octopus.energy/v1/products/AGILE-24-10-01/electricity-tariffs/E-1R-AGILE-24-10-01-G/standard-unit-rates/</x:v>
      </x:c>
    </x:row>
    <x:row r="6552" ht="21" customHeight="1">
      <x:c r="A6552" s="24" t="n">
        <x:v>46285</x:v>
      </x:c>
      <x:c r="B6552" s="6" t="n">
        <x:v>-0.0334</x:v>
      </x:c>
      <x:c r="C6552" s="6" t="n">
        <x:v>0.011000000000000001</x:v>
      </x:c>
      <x:c r="D6552" s="6" t="n">
        <x:f>B6552</x:f>
        <x:v>-0.0334</x:v>
      </x:c>
      <x:c r="E6552" s="1" t="n">
        <x:v>1.05</x:v>
      </x:c>
      <x:c r="F6552" s="1" t="str">
        <x:v>https://api.octopus.energy/v1/products/AGILE-24-10-01/electricity-tariffs/E-1R-AGILE-24-10-01-G/standard-unit-rates/</x:v>
      </x:c>
    </x:row>
    <x:row r="6553" ht="21" customHeight="1">
      <x:c r="A6553" s="24" t="n">
        <x:v>46285.020833333336</x:v>
      </x:c>
      <x:c r="B6553" s="6" t="n">
        <x:v>-0.034</x:v>
      </x:c>
      <x:c r="C6553" s="6" t="n">
        <x:v>0.010700000000000001</x:v>
      </x:c>
      <x:c r="D6553" s="6" t="n">
        <x:f>B6553</x:f>
        <x:v>-0.034</x:v>
      </x:c>
      <x:c r="E6553" s="1" t="n">
        <x:v>1.05</x:v>
      </x:c>
      <x:c r="F6553" s="1" t="str">
        <x:v>https://api.octopus.energy/v1/products/AGILE-24-10-01/electricity-tariffs/E-1R-AGILE-24-10-01-G/standard-unit-rates/</x:v>
      </x:c>
    </x:row>
    <x:row r="6554" ht="21" customHeight="1">
      <x:c r="A6554" s="24" t="n">
        <x:v>46285.041666666664</x:v>
      </x:c>
      <x:c r="B6554" s="6" t="n">
        <x:v>-0.0163</x:v>
      </x:c>
      <x:c r="C6554" s="6" t="n">
        <x:v>0.018799999999999997</x:v>
      </x:c>
      <x:c r="D6554" s="6" t="n">
        <x:f>B6554</x:f>
        <x:v>-0.0163</x:v>
      </x:c>
      <x:c r="E6554" s="1" t="n">
        <x:v>1.05</x:v>
      </x:c>
      <x:c r="F6554" s="1" t="str">
        <x:v>https://api.octopus.energy/v1/products/AGILE-24-10-01/electricity-tariffs/E-1R-AGILE-24-10-01-G/standard-unit-rates/</x:v>
      </x:c>
    </x:row>
    <x:row r="6555" ht="21" customHeight="1">
      <x:c r="A6555" s="24" t="n">
        <x:v>46285.0625</x:v>
      </x:c>
      <x:c r="B6555" s="6" t="n">
        <x:v>-0.018000000000000002</x:v>
      </x:c>
      <x:c r="C6555" s="6" t="n">
        <x:v>0.0181</x:v>
      </x:c>
      <x:c r="D6555" s="6" t="n">
        <x:f>B6555</x:f>
        <x:v>-0.018000000000000002</x:v>
      </x:c>
      <x:c r="E6555" s="1" t="n">
        <x:v>1.05</x:v>
      </x:c>
      <x:c r="F6555" s="1" t="str">
        <x:v>https://api.octopus.energy/v1/products/AGILE-24-10-01/electricity-tariffs/E-1R-AGILE-24-10-01-G/standard-unit-rates/</x:v>
      </x:c>
    </x:row>
    <x:row r="6556" ht="21" customHeight="1">
      <x:c r="A6556" s="24" t="n">
        <x:v>46285.083333333336</x:v>
      </x:c>
      <x:c r="B6556" s="6" t="n">
        <x:v>-0.0229</x:v>
      </x:c>
      <x:c r="C6556" s="6" t="n">
        <x:v>0.0158</x:v>
      </x:c>
      <x:c r="D6556" s="6" t="n">
        <x:f>B6556</x:f>
        <x:v>-0.0229</x:v>
      </x:c>
      <x:c r="E6556" s="1" t="n">
        <x:v>1.05</x:v>
      </x:c>
      <x:c r="F6556" s="1" t="str">
        <x:v>https://api.octopus.energy/v1/products/AGILE-24-10-01/electricity-tariffs/E-1R-AGILE-24-10-01-G/standard-unit-rates/</x:v>
      </x:c>
    </x:row>
    <x:row r="6557" ht="21" customHeight="1">
      <x:c r="A6557" s="24" t="n">
        <x:v>46285.104166666664</x:v>
      </x:c>
      <x:c r="B6557" s="6" t="n">
        <x:v>-0.0286</x:v>
      </x:c>
      <x:c r="C6557" s="6" t="n">
        <x:v>0.0132</x:v>
      </x:c>
      <x:c r="D6557" s="6" t="n">
        <x:f>B6557</x:f>
        <x:v>-0.0286</x:v>
      </x:c>
      <x:c r="E6557" s="1" t="n">
        <x:v>1.05</x:v>
      </x:c>
      <x:c r="F6557" s="1" t="str">
        <x:v>https://api.octopus.energy/v1/products/AGILE-24-10-01/electricity-tariffs/E-1R-AGILE-24-10-01-G/standard-unit-rates/</x:v>
      </x:c>
    </x:row>
    <x:row r="6558" ht="21" customHeight="1">
      <x:c r="A6558" s="24" t="n">
        <x:v>46285.125</x:v>
      </x:c>
      <x:c r="B6558" s="6" t="n">
        <x:v>-0.0355</x:v>
      </x:c>
      <x:c r="C6558" s="6" t="n">
        <x:v>0.01</x:v>
      </x:c>
      <x:c r="D6558" s="6" t="n">
        <x:f>B6558</x:f>
        <x:v>-0.0355</x:v>
      </x:c>
      <x:c r="E6558" s="1" t="n">
        <x:v>1.05</x:v>
      </x:c>
      <x:c r="F6558" s="1" t="str">
        <x:v>https://api.octopus.energy/v1/products/AGILE-24-10-01/electricity-tariffs/E-1R-AGILE-24-10-01-G/standard-unit-rates/</x:v>
      </x:c>
    </x:row>
    <x:row r="6559" ht="21" customHeight="1">
      <x:c r="A6559" s="24" t="n">
        <x:v>46285.145833333336</x:v>
      </x:c>
      <x:c r="B6559" s="6" t="n">
        <x:v>-0.0403</x:v>
      </x:c>
      <x:c r="C6559" s="6" t="n">
        <x:v>0.0078000000000000005</x:v>
      </x:c>
      <x:c r="D6559" s="6" t="n">
        <x:f>B6559</x:f>
        <x:v>-0.0403</x:v>
      </x:c>
      <x:c r="E6559" s="1" t="n">
        <x:v>1.05</x:v>
      </x:c>
      <x:c r="F6559" s="1" t="str">
        <x:v>https://api.octopus.energy/v1/products/AGILE-24-10-01/electricity-tariffs/E-1R-AGILE-24-10-01-G/standard-unit-rates/</x:v>
      </x:c>
    </x:row>
    <x:row r="6560" ht="21" customHeight="1">
      <x:c r="A6560" s="24" t="n">
        <x:v>46285.166666666664</x:v>
      </x:c>
      <x:c r="B6560" s="6" t="n">
        <x:v>-0.0167</x:v>
      </x:c>
      <x:c r="C6560" s="6" t="n">
        <x:v>0.018600000000000002</x:v>
      </x:c>
      <x:c r="D6560" s="6" t="n">
        <x:f>B6560</x:f>
        <x:v>-0.0167</x:v>
      </x:c>
      <x:c r="E6560" s="1" t="n">
        <x:v>1.05</x:v>
      </x:c>
      <x:c r="F6560" s="1" t="str">
        <x:v>https://api.octopus.energy/v1/products/AGILE-24-10-01/electricity-tariffs/E-1R-AGILE-24-10-01-G/standard-unit-rates/</x:v>
      </x:c>
    </x:row>
    <x:row r="6561" ht="21" customHeight="1">
      <x:c r="A6561" s="24" t="n">
        <x:v>46285.1875</x:v>
      </x:c>
      <x:c r="B6561" s="6" t="n">
        <x:v>-0.0279</x:v>
      </x:c>
      <x:c r="C6561" s="6" t="n">
        <x:v>0.013500000000000002</x:v>
      </x:c>
      <x:c r="D6561" s="6" t="n">
        <x:f>B6561</x:f>
        <x:v>-0.0279</x:v>
      </x:c>
      <x:c r="E6561" s="1" t="n">
        <x:v>1.05</x:v>
      </x:c>
      <x:c r="F6561" s="1" t="str">
        <x:v>https://api.octopus.energy/v1/products/AGILE-24-10-01/electricity-tariffs/E-1R-AGILE-24-10-01-G/standard-unit-rates/</x:v>
      </x:c>
    </x:row>
    <x:row r="6562" ht="21" customHeight="1">
      <x:c r="A6562" s="24" t="n">
        <x:v>46285.208333333336</x:v>
      </x:c>
      <x:c r="B6562" s="6" t="n">
        <x:v>-0.024900000000000002</x:v>
      </x:c>
      <x:c r="C6562" s="6" t="n">
        <x:v>0.0149</x:v>
      </x:c>
      <x:c r="D6562" s="6" t="n">
        <x:f>B6562</x:f>
        <x:v>-0.024900000000000002</x:v>
      </x:c>
      <x:c r="E6562" s="1" t="n">
        <x:v>1.05</x:v>
      </x:c>
      <x:c r="F6562" s="1" t="str">
        <x:v>https://api.octopus.energy/v1/products/AGILE-24-10-01/electricity-tariffs/E-1R-AGILE-24-10-01-G/standard-unit-rates/</x:v>
      </x:c>
    </x:row>
    <x:row r="6563" ht="21" customHeight="1">
      <x:c r="A6563" s="24" t="n">
        <x:v>46285.229166666664</x:v>
      </x:c>
      <x:c r="B6563" s="6" t="n">
        <x:v>-0.0355</x:v>
      </x:c>
      <x:c r="C6563" s="6" t="n">
        <x:v>0.01</x:v>
      </x:c>
      <x:c r="D6563" s="6" t="n">
        <x:f>B6563</x:f>
        <x:v>-0.0355</x:v>
      </x:c>
      <x:c r="E6563" s="1" t="n">
        <x:v>1.05</x:v>
      </x:c>
      <x:c r="F6563" s="1" t="str">
        <x:v>https://api.octopus.energy/v1/products/AGILE-24-10-01/electricity-tariffs/E-1R-AGILE-24-10-01-G/standard-unit-rates/</x:v>
      </x:c>
    </x:row>
    <x:row r="6564" ht="21" customHeight="1">
      <x:c r="A6564" s="24" t="n">
        <x:v>46285.25</x:v>
      </x:c>
      <x:c r="B6564" s="6" t="n">
        <x:v>-0.0294</x:v>
      </x:c>
      <x:c r="C6564" s="6" t="n">
        <x:v>0.0128</x:v>
      </x:c>
      <x:c r="D6564" s="6" t="n">
        <x:f>B6564</x:f>
        <x:v>-0.0294</x:v>
      </x:c>
      <x:c r="E6564" s="1" t="n">
        <x:v>1.05</x:v>
      </x:c>
      <x:c r="F6564" s="1" t="str">
        <x:v>https://api.octopus.energy/v1/products/AGILE-24-10-01/electricity-tariffs/E-1R-AGILE-24-10-01-G/standard-unit-rates/</x:v>
      </x:c>
    </x:row>
    <x:row r="6565" ht="21" customHeight="1">
      <x:c r="A6565" s="24" t="n">
        <x:v>46285.270833333336</x:v>
      </x:c>
      <x:c r="B6565" s="6" t="n">
        <x:v>-0.03</x:v>
      </x:c>
      <x:c r="C6565" s="6" t="n">
        <x:v>0.0125</x:v>
      </x:c>
      <x:c r="D6565" s="6" t="n">
        <x:f>B6565</x:f>
        <x:v>-0.03</x:v>
      </x:c>
      <x:c r="E6565" s="1" t="n">
        <x:v>1.05</x:v>
      </x:c>
      <x:c r="F6565" s="1" t="str">
        <x:v>https://api.octopus.energy/v1/products/AGILE-24-10-01/electricity-tariffs/E-1R-AGILE-24-10-01-G/standard-unit-rates/</x:v>
      </x:c>
    </x:row>
    <x:row r="6566" ht="21" customHeight="1">
      <x:c r="A6566" s="24" t="n">
        <x:v>46285.291666666664</x:v>
      </x:c>
      <x:c r="B6566" s="6" t="n">
        <x:v>-0.0208</x:v>
      </x:c>
      <x:c r="C6566" s="6" t="n">
        <x:v>0.0168</x:v>
      </x:c>
      <x:c r="D6566" s="6" t="n">
        <x:f>B6566</x:f>
        <x:v>-0.0208</x:v>
      </x:c>
      <x:c r="E6566" s="1" t="n">
        <x:v>1.05</x:v>
      </x:c>
      <x:c r="F6566" s="1" t="str">
        <x:v>https://api.octopus.energy/v1/products/AGILE-24-10-01/electricity-tariffs/E-1R-AGILE-24-10-01-G/standard-unit-rates/</x:v>
      </x:c>
    </x:row>
    <x:row r="6567" ht="21" customHeight="1">
      <x:c r="A6567" s="24" t="n">
        <x:v>46285.3125</x:v>
      </x:c>
      <x:c r="B6567" s="6" t="n">
        <x:v>-0.0149</x:v>
      </x:c>
      <x:c r="C6567" s="6" t="n">
        <x:v>0.0194</x:v>
      </x:c>
      <x:c r="D6567" s="6" t="n">
        <x:f>B6567</x:f>
        <x:v>-0.0149</x:v>
      </x:c>
      <x:c r="E6567" s="1" t="n">
        <x:v>1.05</x:v>
      </x:c>
      <x:c r="F6567" s="1" t="str">
        <x:v>https://api.octopus.energy/v1/products/AGILE-24-10-01/electricity-tariffs/E-1R-AGILE-24-10-01-G/standard-unit-rates/</x:v>
      </x:c>
    </x:row>
    <x:row r="6568" ht="21" customHeight="1">
      <x:c r="A6568" s="24" t="n">
        <x:v>46285.333333333336</x:v>
      </x:c>
      <x:c r="B6568" s="6" t="n">
        <x:v>-0.0229</x:v>
      </x:c>
      <x:c r="C6568" s="6" t="n">
        <x:v>0.0158</x:v>
      </x:c>
      <x:c r="D6568" s="6" t="n">
        <x:f>B6568</x:f>
        <x:v>-0.0229</x:v>
      </x:c>
      <x:c r="E6568" s="1" t="n">
        <x:v>1.05</x:v>
      </x:c>
      <x:c r="F6568" s="1" t="str">
        <x:v>https://api.octopus.energy/v1/products/AGILE-24-10-01/electricity-tariffs/E-1R-AGILE-24-10-01-G/standard-unit-rates/</x:v>
      </x:c>
    </x:row>
    <x:row r="6569" ht="21" customHeight="1">
      <x:c r="A6569" s="24" t="n">
        <x:v>46285.354166666664</x:v>
      </x:c>
      <x:c r="B6569" s="6" t="n">
        <x:v>-0.0229</x:v>
      </x:c>
      <x:c r="C6569" s="6" t="n">
        <x:v>0.0158</x:v>
      </x:c>
      <x:c r="D6569" s="6" t="n">
        <x:f>B6569</x:f>
        <x:v>-0.0229</x:v>
      </x:c>
      <x:c r="E6569" s="1" t="n">
        <x:v>1.05</x:v>
      </x:c>
      <x:c r="F6569" s="1" t="str">
        <x:v>https://api.octopus.energy/v1/products/AGILE-24-10-01/electricity-tariffs/E-1R-AGILE-24-10-01-G/standard-unit-rates/</x:v>
      </x:c>
    </x:row>
    <x:row r="6570" ht="21" customHeight="1">
      <x:c r="A6570" s="24" t="n">
        <x:v>46285.375</x:v>
      </x:c>
      <x:c r="B6570" s="6" t="n">
        <x:v>-0.024</x:v>
      </x:c>
      <x:c r="C6570" s="6" t="n">
        <x:v>0.015300000000000001</x:v>
      </x:c>
      <x:c r="D6570" s="6" t="n">
        <x:f>B6570</x:f>
        <x:v>-0.024</x:v>
      </x:c>
      <x:c r="E6570" s="1" t="n">
        <x:v>1.05</x:v>
      </x:c>
      <x:c r="F6570" s="1" t="str">
        <x:v>https://api.octopus.energy/v1/products/AGILE-24-10-01/electricity-tariffs/E-1R-AGILE-24-10-01-G/standard-unit-rates/</x:v>
      </x:c>
    </x:row>
    <x:row r="6571" ht="21" customHeight="1">
      <x:c r="A6571" s="24" t="n">
        <x:v>46285.395833333336</x:v>
      </x:c>
      <x:c r="B6571" s="6" t="n">
        <x:v>-0.0229</x:v>
      </x:c>
      <x:c r="C6571" s="6" t="n">
        <x:v>0.0158</x:v>
      </x:c>
      <x:c r="D6571" s="6" t="n">
        <x:f>B6571</x:f>
        <x:v>-0.0229</x:v>
      </x:c>
      <x:c r="E6571" s="1" t="n">
        <x:v>1.05</x:v>
      </x:c>
      <x:c r="F6571" s="1" t="str">
        <x:v>https://api.octopus.energy/v1/products/AGILE-24-10-01/electricity-tariffs/E-1R-AGILE-24-10-01-G/standard-unit-rates/</x:v>
      </x:c>
    </x:row>
    <x:row r="6572" ht="21" customHeight="1">
      <x:c r="A6572" s="24" t="n">
        <x:v>46285.416666666664</x:v>
      </x:c>
      <x:c r="B6572" s="6" t="n">
        <x:v>-0.0334</x:v>
      </x:c>
      <x:c r="C6572" s="6" t="n">
        <x:v>0.011000000000000001</x:v>
      </x:c>
      <x:c r="D6572" s="6" t="n">
        <x:f>B6572</x:f>
        <x:v>-0.0334</x:v>
      </x:c>
      <x:c r="E6572" s="1" t="n">
        <x:v>1.05</x:v>
      </x:c>
      <x:c r="F6572" s="1" t="str">
        <x:v>https://api.octopus.energy/v1/products/AGILE-24-10-01/electricity-tariffs/E-1R-AGILE-24-10-01-G/standard-unit-rates/</x:v>
      </x:c>
    </x:row>
    <x:row r="6573" ht="21" customHeight="1">
      <x:c r="A6573" s="24" t="n">
        <x:v>46285.4375</x:v>
      </x:c>
      <x:c r="B6573" s="6" t="n">
        <x:v>-0.0355</x:v>
      </x:c>
      <x:c r="C6573" s="6" t="n">
        <x:v>0.01</x:v>
      </x:c>
      <x:c r="D6573" s="6" t="n">
        <x:f>B6573</x:f>
        <x:v>-0.0355</x:v>
      </x:c>
      <x:c r="E6573" s="1" t="n">
        <x:v>1.05</x:v>
      </x:c>
      <x:c r="F6573" s="1" t="str">
        <x:v>https://api.octopus.energy/v1/products/AGILE-24-10-01/electricity-tariffs/E-1R-AGILE-24-10-01-G/standard-unit-rates/</x:v>
      </x:c>
    </x:row>
    <x:row r="6574" ht="21" customHeight="1">
      <x:c r="A6574" s="24" t="n">
        <x:v>46285.458333333336</x:v>
      </x:c>
      <x:c r="B6574" s="6" t="n">
        <x:v>-0.037599999999999995</x:v>
      </x:c>
      <x:c r="C6574" s="6" t="n">
        <x:v>0.0091</x:v>
      </x:c>
      <x:c r="D6574" s="6" t="n">
        <x:f>B6574</x:f>
        <x:v>-0.037599999999999995</x:v>
      </x:c>
      <x:c r="E6574" s="1" t="n">
        <x:v>1.05</x:v>
      </x:c>
      <x:c r="F6574" s="1" t="str">
        <x:v>https://api.octopus.energy/v1/products/AGILE-24-10-01/electricity-tariffs/E-1R-AGILE-24-10-01-G/standard-unit-rates/</x:v>
      </x:c>
    </x:row>
    <x:row r="6575" ht="21" customHeight="1">
      <x:c r="A6575" s="24" t="n">
        <x:v>46285.479166666664</x:v>
      </x:c>
      <x:c r="B6575" s="6" t="n">
        <x:v>-0.0354</x:v>
      </x:c>
      <x:c r="C6575" s="6" t="n">
        <x:v>0.0101</x:v>
      </x:c>
      <x:c r="D6575" s="6" t="n">
        <x:f>B6575</x:f>
        <x:v>-0.0354</x:v>
      </x:c>
      <x:c r="E6575" s="1" t="n">
        <x:v>1.05</x:v>
      </x:c>
      <x:c r="F6575" s="1" t="str">
        <x:v>https://api.octopus.energy/v1/products/AGILE-24-10-01/electricity-tariffs/E-1R-AGILE-24-10-01-G/standard-unit-rates/</x:v>
      </x:c>
    </x:row>
    <x:row r="6576" ht="21" customHeight="1">
      <x:c r="A6576" s="24" t="n">
        <x:v>46285.5</x:v>
      </x:c>
      <x:c r="B6576" s="6" t="n">
        <x:v>-0.038599999999999995</x:v>
      </x:c>
      <x:c r="C6576" s="6" t="n">
        <x:v>0.0086</x:v>
      </x:c>
      <x:c r="D6576" s="6" t="n">
        <x:f>B6576</x:f>
        <x:v>-0.038599999999999995</x:v>
      </x:c>
      <x:c r="E6576" s="1" t="n">
        <x:v>1.05</x:v>
      </x:c>
      <x:c r="F6576" s="1" t="str">
        <x:v>https://api.octopus.energy/v1/products/AGILE-24-10-01/electricity-tariffs/E-1R-AGILE-24-10-01-G/standard-unit-rates/</x:v>
      </x:c>
    </x:row>
    <x:row r="6577" ht="21" customHeight="1">
      <x:c r="A6577" s="24" t="n">
        <x:v>46285.520833333336</x:v>
      </x:c>
      <x:c r="B6577" s="6" t="n">
        <x:v>-0.0356</x:v>
      </x:c>
      <x:c r="C6577" s="6" t="n">
        <x:v>0.01</x:v>
      </x:c>
      <x:c r="D6577" s="6" t="n">
        <x:f>B6577</x:f>
        <x:v>-0.0356</x:v>
      </x:c>
      <x:c r="E6577" s="1" t="n">
        <x:v>1.05</x:v>
      </x:c>
      <x:c r="F6577" s="1" t="str">
        <x:v>https://api.octopus.energy/v1/products/AGILE-24-10-01/electricity-tariffs/E-1R-AGILE-24-10-01-G/standard-unit-rates/</x:v>
      </x:c>
    </x:row>
    <x:row r="6578" ht="21" customHeight="1">
      <x:c r="A6578" s="24" t="n">
        <x:v>46285.541666666664</x:v>
      </x:c>
      <x:c r="B6578" s="6" t="n">
        <x:v>-0.048799999999999996</x:v>
      </x:c>
      <x:c r="C6578" s="6" t="n">
        <x:v>0.004</x:v>
      </x:c>
      <x:c r="D6578" s="6" t="n">
        <x:f>B6578</x:f>
        <x:v>-0.048799999999999996</x:v>
      </x:c>
      <x:c r="E6578" s="1" t="n">
        <x:v>1.05</x:v>
      </x:c>
      <x:c r="F6578" s="1" t="str">
        <x:v>https://api.octopus.energy/v1/products/AGILE-24-10-01/electricity-tariffs/E-1R-AGILE-24-10-01-G/standard-unit-rates/</x:v>
      </x:c>
    </x:row>
    <x:row r="6579" ht="21" customHeight="1">
      <x:c r="A6579" s="24" t="n">
        <x:v>46285.5625</x:v>
      </x:c>
      <x:c r="B6579" s="6" t="n">
        <x:v>-0.0435</x:v>
      </x:c>
      <x:c r="C6579" s="6" t="n">
        <x:v>0.0064</x:v>
      </x:c>
      <x:c r="D6579" s="6" t="n">
        <x:f>B6579</x:f>
        <x:v>-0.0435</x:v>
      </x:c>
      <x:c r="E6579" s="1" t="n">
        <x:v>1.05</x:v>
      </x:c>
      <x:c r="F6579" s="1" t="str">
        <x:v>https://api.octopus.energy/v1/products/AGILE-24-10-01/electricity-tariffs/E-1R-AGILE-24-10-01-G/standard-unit-rates/</x:v>
      </x:c>
    </x:row>
    <x:row r="6580" ht="21" customHeight="1">
      <x:c r="A6580" s="24" t="n">
        <x:v>46285.583333333336</x:v>
      </x:c>
      <x:c r="B6580" s="6" t="n">
        <x:v>-0.0409</x:v>
      </x:c>
      <x:c r="C6580" s="6" t="n">
        <x:v>0.0076</x:v>
      </x:c>
      <x:c r="D6580" s="6" t="n">
        <x:f>B6580</x:f>
        <x:v>-0.0409</x:v>
      </x:c>
      <x:c r="E6580" s="1" t="n">
        <x:v>1.05</x:v>
      </x:c>
      <x:c r="F6580" s="1" t="str">
        <x:v>https://api.octopus.energy/v1/products/AGILE-24-10-01/electricity-tariffs/E-1R-AGILE-24-10-01-G/standard-unit-rates/</x:v>
      </x:c>
    </x:row>
    <x:row r="6581" ht="21" customHeight="1">
      <x:c r="A6581" s="24" t="n">
        <x:v>46285.604166666664</x:v>
      </x:c>
      <x:c r="B6581" s="6" t="n">
        <x:v>-0.023799999999999998</x:v>
      </x:c>
      <x:c r="C6581" s="6" t="n">
        <x:v>0.0154</x:v>
      </x:c>
      <x:c r="D6581" s="6" t="n">
        <x:f>B6581</x:f>
        <x:v>-0.023799999999999998</x:v>
      </x:c>
      <x:c r="E6581" s="1" t="n">
        <x:v>1.05</x:v>
      </x:c>
      <x:c r="F6581" s="1" t="str">
        <x:v>https://api.octopus.energy/v1/products/AGILE-24-10-01/electricity-tariffs/E-1R-AGILE-24-10-01-G/standard-unit-rates/</x:v>
      </x:c>
    </x:row>
    <x:row r="6582" ht="21" customHeight="1">
      <x:c r="A6582" s="24" t="n">
        <x:v>46285.625</x:v>
      </x:c>
      <x:c r="B6582" s="6" t="n">
        <x:v>-0.0443</x:v>
      </x:c>
      <x:c r="C6582" s="6" t="n">
        <x:v>0.006</x:v>
      </x:c>
      <x:c r="D6582" s="6" t="n">
        <x:f>B6582</x:f>
        <x:v>-0.0443</x:v>
      </x:c>
      <x:c r="E6582" s="1" t="n">
        <x:v>1.05</x:v>
      </x:c>
      <x:c r="F6582" s="1" t="str">
        <x:v>https://api.octopus.energy/v1/products/AGILE-24-10-01/electricity-tariffs/E-1R-AGILE-24-10-01-G/standard-unit-rates/</x:v>
      </x:c>
    </x:row>
    <x:row r="6583" ht="21" customHeight="1">
      <x:c r="A6583" s="24" t="n">
        <x:v>46285.645833333336</x:v>
      </x:c>
      <x:c r="B6583" s="6" t="n">
        <x:v>-0.0158</x:v>
      </x:c>
      <x:c r="C6583" s="6" t="n">
        <x:v>0.0191</x:v>
      </x:c>
      <x:c r="D6583" s="6" t="n">
        <x:f>B6583</x:f>
        <x:v>-0.0158</x:v>
      </x:c>
      <x:c r="E6583" s="1" t="n">
        <x:v>1.05</x:v>
      </x:c>
      <x:c r="F6583" s="1" t="str">
        <x:v>https://api.octopus.energy/v1/products/AGILE-24-10-01/electricity-tariffs/E-1R-AGILE-24-10-01-G/standard-unit-rates/</x:v>
      </x:c>
    </x:row>
    <x:row r="6584" ht="21" customHeight="1">
      <x:c r="A6584" s="24" t="n">
        <x:v>46285.666666666664</x:v>
      </x:c>
      <x:c r="B6584" s="6" t="n">
        <x:v>0.0733</x:v>
      </x:c>
      <x:c r="C6584" s="6" t="n">
        <x:v>0.0638</x:v>
      </x:c>
      <x:c r="D6584" s="6" t="n">
        <x:f>B6584</x:f>
        <x:v>0.0733</x:v>
      </x:c>
      <x:c r="E6584" s="1" t="n">
        <x:v>1.05</x:v>
      </x:c>
      <x:c r="F6584" s="1" t="str">
        <x:v>https://api.octopus.energy/v1/products/AGILE-24-10-01/electricity-tariffs/E-1R-AGILE-24-10-01-G/standard-unit-rates/</x:v>
      </x:c>
    </x:row>
    <x:row r="6585" ht="21" customHeight="1">
      <x:c r="A6585" s="24" t="n">
        <x:v>46285.6875</x:v>
      </x:c>
      <x:c r="B6585" s="6" t="n">
        <x:v>0.2054</x:v>
      </x:c>
      <x:c r="C6585" s="6" t="n">
        <x:v>0.1242</x:v>
      </x:c>
      <x:c r="D6585" s="6" t="n">
        <x:f>B6585</x:f>
        <x:v>0.2054</x:v>
      </x:c>
      <x:c r="E6585" s="1" t="n">
        <x:v>1.05</x:v>
      </x:c>
      <x:c r="F6585" s="1" t="str">
        <x:v>https://api.octopus.energy/v1/products/AGILE-24-10-01/electricity-tariffs/E-1R-AGILE-24-10-01-G/standard-unit-rates/</x:v>
      </x:c>
    </x:row>
    <x:row r="6586" ht="21" customHeight="1">
      <x:c r="A6586" s="24" t="n">
        <x:v>46285.708333333336</x:v>
      </x:c>
      <x:c r="B6586" s="6" t="n">
        <x:v>0.45299999999999996</x:v>
      </x:c>
      <x:c r="C6586" s="6" t="n">
        <x:v>0.23739999999999997</x:v>
      </x:c>
      <x:c r="D6586" s="6" t="n">
        <x:f>B6586</x:f>
        <x:v>0.45299999999999996</x:v>
      </x:c>
      <x:c r="E6586" s="1" t="n">
        <x:v>1.05</x:v>
      </x:c>
      <x:c r="F6586" s="1" t="str">
        <x:v>https://api.octopus.energy/v1/products/AGILE-24-10-01/electricity-tariffs/E-1R-AGILE-24-10-01-G/standard-unit-rates/</x:v>
      </x:c>
    </x:row>
    <x:row r="6587" ht="21" customHeight="1">
      <x:c r="A6587" s="24" t="n">
        <x:v>46285.729166666664</x:v>
      </x:c>
      <x:c r="B6587" s="6" t="n">
        <x:v>0.4413</x:v>
      </x:c>
      <x:c r="C6587" s="6" t="n">
        <x:v>0.2321</x:v>
      </x:c>
      <x:c r="D6587" s="6" t="n">
        <x:f>B6587</x:f>
        <x:v>0.4413</x:v>
      </x:c>
      <x:c r="E6587" s="1" t="n">
        <x:v>1.05</x:v>
      </x:c>
      <x:c r="F6587" s="1" t="str">
        <x:v>https://api.octopus.energy/v1/products/AGILE-24-10-01/electricity-tariffs/E-1R-AGILE-24-10-01-G/standard-unit-rates/</x:v>
      </x:c>
    </x:row>
    <x:row r="6588" ht="21" customHeight="1">
      <x:c r="A6588" s="24" t="n">
        <x:v>46285.75</x:v>
      </x:c>
      <x:c r="B6588" s="6" t="n">
        <x:v>0.4863</x:v>
      </x:c>
      <x:c r="C6588" s="6" t="n">
        <x:v>0.2526</x:v>
      </x:c>
      <x:c r="D6588" s="6" t="n">
        <x:f>B6588</x:f>
        <x:v>0.4863</x:v>
      </x:c>
      <x:c r="E6588" s="1" t="n">
        <x:v>1.05</x:v>
      </x:c>
      <x:c r="F6588" s="1" t="str">
        <x:v>https://api.octopus.energy/v1/products/AGILE-24-10-01/electricity-tariffs/E-1R-AGILE-24-10-01-G/standard-unit-rates/</x:v>
      </x:c>
    </x:row>
    <x:row r="6589" ht="21" customHeight="1">
      <x:c r="A6589" s="24" t="n">
        <x:v>46285.770833333336</x:v>
      </x:c>
      <x:c r="B6589" s="6" t="n">
        <x:v>0.4978</x:v>
      </x:c>
      <x:c r="C6589" s="6" t="n">
        <x:v>0.2579</x:v>
      </x:c>
      <x:c r="D6589" s="6" t="n">
        <x:f>B6589</x:f>
        <x:v>0.4978</x:v>
      </x:c>
      <x:c r="E6589" s="1" t="n">
        <x:v>1.05</x:v>
      </x:c>
      <x:c r="F6589" s="1" t="str">
        <x:v>https://api.octopus.energy/v1/products/AGILE-24-10-01/electricity-tariffs/E-1R-AGILE-24-10-01-G/standard-unit-rates/</x:v>
      </x:c>
    </x:row>
    <x:row r="6590" ht="21" customHeight="1">
      <x:c r="A6590" s="24" t="n">
        <x:v>46285.791666666664</x:v>
      </x:c>
      <x:c r="B6590" s="6" t="n">
        <x:v>0.3803</x:v>
      </x:c>
      <x:c r="C6590" s="6" t="n">
        <x:v>0.20010000000000003</x:v>
      </x:c>
      <x:c r="D6590" s="6" t="n">
        <x:f>B6590</x:f>
        <x:v>0.3803</x:v>
      </x:c>
      <x:c r="E6590" s="1" t="n">
        <x:v>1.05</x:v>
      </x:c>
      <x:c r="F6590" s="1" t="str">
        <x:v>https://api.octopus.energy/v1/products/AGILE-24-10-01/electricity-tariffs/E-1R-AGILE-24-10-01-G/standard-unit-rates/</x:v>
      </x:c>
    </x:row>
    <x:row r="6591" ht="21" customHeight="1">
      <x:c r="A6591" s="24" t="n">
        <x:v>46285.8125</x:v>
      </x:c>
      <x:c r="B6591" s="6" t="n">
        <x:v>0.38659999999999994</x:v>
      </x:c>
      <x:c r="C6591" s="6" t="n">
        <x:v>0.203</x:v>
      </x:c>
      <x:c r="D6591" s="6" t="n">
        <x:f>B6591</x:f>
        <x:v>0.38659999999999994</x:v>
      </x:c>
      <x:c r="E6591" s="1" t="n">
        <x:v>1.05</x:v>
      </x:c>
      <x:c r="F6591" s="1" t="str">
        <x:v>https://api.octopus.energy/v1/products/AGILE-24-10-01/electricity-tariffs/E-1R-AGILE-24-10-01-G/standard-unit-rates/</x:v>
      </x:c>
    </x:row>
    <x:row r="6592" ht="21" customHeight="1">
      <x:c r="A6592" s="24" t="n">
        <x:v>46285.833333333336</x:v>
      </x:c>
      <x:c r="B6592" s="6" t="n">
        <x:v>0.3901</x:v>
      </x:c>
      <x:c r="C6592" s="6" t="n">
        <x:v>0.2046</x:v>
      </x:c>
      <x:c r="D6592" s="6" t="n">
        <x:f>B6592</x:f>
        <x:v>0.3901</x:v>
      </x:c>
      <x:c r="E6592" s="1" t="n">
        <x:v>1.05</x:v>
      </x:c>
      <x:c r="F6592" s="1" t="str">
        <x:v>https://api.octopus.energy/v1/products/AGILE-24-10-01/electricity-tariffs/E-1R-AGILE-24-10-01-G/standard-unit-rates/</x:v>
      </x:c>
    </x:row>
    <x:row r="6593" ht="21" customHeight="1">
      <x:c r="A6593" s="24" t="n">
        <x:v>46285.854166666664</x:v>
      </x:c>
      <x:c r="B6593" s="6" t="n">
        <x:v>0.3787</x:v>
      </x:c>
      <x:c r="C6593" s="6" t="n">
        <x:v>0.19940000000000002</x:v>
      </x:c>
      <x:c r="D6593" s="6" t="n">
        <x:f>B6593</x:f>
        <x:v>0.3787</x:v>
      </x:c>
      <x:c r="E6593" s="1" t="n">
        <x:v>1.05</x:v>
      </x:c>
      <x:c r="F6593" s="1" t="str">
        <x:v>https://api.octopus.energy/v1/products/AGILE-24-10-01/electricity-tariffs/E-1R-AGILE-24-10-01-G/standard-unit-rates/</x:v>
      </x:c>
    </x:row>
    <x:row r="6594" ht="21" customHeight="1">
      <x:c r="A6594" s="24" t="n">
        <x:v>46285.875</x:v>
      </x:c>
      <x:c r="B6594" s="6" t="n">
        <x:v>0.3677</x:v>
      </x:c>
      <x:c r="C6594" s="6" t="n">
        <x:v>0.19440000000000002</x:v>
      </x:c>
      <x:c r="D6594" s="6" t="n">
        <x:f>B6594</x:f>
        <x:v>0.3677</x:v>
      </x:c>
      <x:c r="E6594" s="1" t="n">
        <x:v>1.05</x:v>
      </x:c>
      <x:c r="F6594" s="1" t="str">
        <x:v>https://api.octopus.energy/v1/products/AGILE-24-10-01/electricity-tariffs/E-1R-AGILE-24-10-01-G/standard-unit-rates/</x:v>
      </x:c>
    </x:row>
    <x:row r="6595" ht="21" customHeight="1">
      <x:c r="A6595" s="24" t="n">
        <x:v>46285.895833333336</x:v>
      </x:c>
      <x:c r="B6595" s="6" t="n">
        <x:v>0.36200000000000004</x:v>
      </x:c>
      <x:c r="C6595" s="6" t="n">
        <x:v>0.1917</x:v>
      </x:c>
      <x:c r="D6595" s="6" t="n">
        <x:f>B6595</x:f>
        <x:v>0.36200000000000004</x:v>
      </x:c>
      <x:c r="E6595" s="1" t="n">
        <x:v>1.05</x:v>
      </x:c>
      <x:c r="F6595" s="1" t="str">
        <x:v>https://api.octopus.energy/v1/products/AGILE-24-10-01/electricity-tariffs/E-1R-AGILE-24-10-01-G/standard-unit-rates/</x:v>
      </x:c>
    </x:row>
    <x:row r="6596" ht="21" customHeight="1">
      <x:c r="A6596" s="24" t="n">
        <x:v>46285.916666666664</x:v>
      </x:c>
      <x:c r="B6596" s="6" t="n">
        <x:v>0.3404</x:v>
      </x:c>
      <x:c r="C6596" s="6" t="n">
        <x:v>0.1819</x:v>
      </x:c>
      <x:c r="D6596" s="6" t="n">
        <x:f>B6596</x:f>
        <x:v>0.3404</x:v>
      </x:c>
      <x:c r="E6596" s="1" t="n">
        <x:v>1.05</x:v>
      </x:c>
      <x:c r="F6596" s="1" t="str">
        <x:v>https://api.octopus.energy/v1/products/AGILE-24-10-01/electricity-tariffs/E-1R-AGILE-24-10-01-G/standard-unit-rates/</x:v>
      </x:c>
    </x:row>
    <x:row r="6597" ht="21" customHeight="1">
      <x:c r="A6597" s="24" t="n">
        <x:v>46285.9375</x:v>
      </x:c>
      <x:c r="B6597" s="6" t="n">
        <x:v>0.29410000000000003</x:v>
      </x:c>
      <x:c r="C6597" s="6" t="n">
        <x:v>0.1607</x:v>
      </x:c>
      <x:c r="D6597" s="6" t="n">
        <x:f>B6597</x:f>
        <x:v>0.29410000000000003</x:v>
      </x:c>
      <x:c r="E6597" s="1" t="n">
        <x:v>1.05</x:v>
      </x:c>
      <x:c r="F6597" s="1" t="str">
        <x:v>https://api.octopus.energy/v1/products/AGILE-24-10-01/electricity-tariffs/E-1R-AGILE-24-10-01-G/standard-unit-rates/</x:v>
      </x:c>
    </x:row>
    <x:row r="6598" ht="21" customHeight="1">
      <x:c r="A6598" s="24" t="n">
        <x:v>46286</x:v>
      </x:c>
      <x:c r="B6598" s="6" t="n">
        <x:v>0.3209</x:v>
      </x:c>
      <x:c r="C6598" s="6" t="n">
        <x:v>0.17300000000000001</x:v>
      </x:c>
      <x:c r="D6598" s="6" t="n">
        <x:f>B6598</x:f>
        <x:v>0.3209</x:v>
      </x:c>
      <x:c r="E6598" s="1" t="n">
        <x:v>1.05</x:v>
      </x:c>
      <x:c r="F6598" s="1" t="str">
        <x:v>https://api.octopus.energy/v1/products/AGILE-24-10-01/electricity-tariffs/E-1R-AGILE-24-10-01-G/standard-unit-rates/</x:v>
      </x:c>
    </x:row>
    <x:row r="6599" ht="21" customHeight="1">
      <x:c r="A6599" s="24" t="n">
        <x:v>46285.979166666664</x:v>
      </x:c>
      <x:c r="B6599" s="6" t="n">
        <x:v>0.3136</x:v>
      </x:c>
      <x:c r="C6599" s="6" t="n">
        <x:v>0.1696</x:v>
      </x:c>
      <x:c r="D6599" s="6" t="n">
        <x:f>B6599</x:f>
        <x:v>0.3136</x:v>
      </x:c>
      <x:c r="E6599" s="1" t="n">
        <x:v>1.05</x:v>
      </x:c>
      <x:c r="F6599" s="1" t="str">
        <x:v>https://api.octopus.energy/v1/products/AGILE-24-10-01/electricity-tariffs/E-1R-AGILE-24-10-01-G/standard-unit-rates/</x:v>
      </x:c>
    </x:row>
    <x:row r="6600" ht="21" customHeight="1">
      <x:c r="A6600" s="24" t="n">
        <x:v>46286</x:v>
      </x:c>
      <x:c r="B6600" s="6" t="n">
        <x:v>0.2963</x:v>
      </x:c>
      <x:c r="C6600" s="6" t="n">
        <x:v>0.1617</x:v>
      </x:c>
      <x:c r="D6600" s="6" t="n">
        <x:f>B6600</x:f>
        <x:v>0.2963</x:v>
      </x:c>
      <x:c r="E6600" s="1" t="n">
        <x:v>1.05</x:v>
      </x:c>
      <x:c r="F6600" s="1" t="str">
        <x:v>https://api.octopus.energy/v1/products/AGILE-24-10-01/electricity-tariffs/E-1R-AGILE-24-10-01-G/standard-unit-rates/</x:v>
      </x:c>
    </x:row>
    <x:row r="6601" ht="21" customHeight="1">
      <x:c r="A6601" s="24" t="n">
        <x:v>46286.020833333336</x:v>
      </x:c>
      <x:c r="B6601" s="6" t="n">
        <x:v>0.3102</x:v>
      </x:c>
      <x:c r="C6601" s="6" t="n">
        <x:v>0.1681</x:v>
      </x:c>
      <x:c r="D6601" s="6" t="n">
        <x:f>B6601</x:f>
        <x:v>0.3102</x:v>
      </x:c>
      <x:c r="E6601" s="1" t="n">
        <x:v>1.05</x:v>
      </x:c>
      <x:c r="F6601" s="1" t="str">
        <x:v>https://api.octopus.energy/v1/products/AGILE-24-10-01/electricity-tariffs/E-1R-AGILE-24-10-01-G/standard-unit-rates/</x:v>
      </x:c>
    </x:row>
    <x:row r="6602" ht="21" customHeight="1">
      <x:c r="A6602" s="24" t="n">
        <x:v>46286.041666666664</x:v>
      </x:c>
      <x:c r="B6602" s="6" t="n">
        <x:v>0.2834</x:v>
      </x:c>
      <x:c r="C6602" s="6" t="n">
        <x:v>0.1558</x:v>
      </x:c>
      <x:c r="D6602" s="6" t="n">
        <x:f>B6602</x:f>
        <x:v>0.2834</x:v>
      </x:c>
      <x:c r="E6602" s="1" t="n">
        <x:v>1.05</x:v>
      </x:c>
      <x:c r="F6602" s="1" t="str">
        <x:v>https://api.octopus.energy/v1/products/AGILE-24-10-01/electricity-tariffs/E-1R-AGILE-24-10-01-G/standard-unit-rates/</x:v>
      </x:c>
    </x:row>
    <x:row r="6603" ht="21" customHeight="1">
      <x:c r="A6603" s="24" t="n">
        <x:v>46286.0625</x:v>
      </x:c>
      <x:c r="B6603" s="6" t="n">
        <x:v>0.3014</x:v>
      </x:c>
      <x:c r="C6603" s="6" t="n">
        <x:v>0.1641</x:v>
      </x:c>
      <x:c r="D6603" s="6" t="n">
        <x:f>B6603</x:f>
        <x:v>0.3014</x:v>
      </x:c>
      <x:c r="E6603" s="1" t="n">
        <x:v>1.05</x:v>
      </x:c>
      <x:c r="F6603" s="1" t="str">
        <x:v>https://api.octopus.energy/v1/products/AGILE-24-10-01/electricity-tariffs/E-1R-AGILE-24-10-01-G/standard-unit-rates/</x:v>
      </x:c>
    </x:row>
    <x:row r="6604" ht="21" customHeight="1">
      <x:c r="A6604" s="24" t="n">
        <x:v>46286.083333333336</x:v>
      </x:c>
      <x:c r="B6604" s="6" t="n">
        <x:v>0.3073</x:v>
      </x:c>
      <x:c r="C6604" s="6" t="n">
        <x:v>0.16670000000000001</x:v>
      </x:c>
      <x:c r="D6604" s="6" t="n">
        <x:f>B6604</x:f>
        <x:v>0.3073</x:v>
      </x:c>
      <x:c r="E6604" s="1" t="n">
        <x:v>1.05</x:v>
      </x:c>
      <x:c r="F6604" s="1" t="str">
        <x:v>https://api.octopus.energy/v1/products/AGILE-24-10-01/electricity-tariffs/E-1R-AGILE-24-10-01-G/standard-unit-rates/</x:v>
      </x:c>
    </x:row>
    <x:row r="6605" ht="21" customHeight="1">
      <x:c r="A6605" s="24" t="n">
        <x:v>46286.104166666664</x:v>
      </x:c>
      <x:c r="B6605" s="6" t="n">
        <x:v>0.3005</x:v>
      </x:c>
      <x:c r="C6605" s="6" t="n">
        <x:v>0.1636</x:v>
      </x:c>
      <x:c r="D6605" s="6" t="n">
        <x:f>B6605</x:f>
        <x:v>0.3005</x:v>
      </x:c>
      <x:c r="E6605" s="1" t="n">
        <x:v>1.05</x:v>
      </x:c>
      <x:c r="F6605" s="1" t="str">
        <x:v>https://api.octopus.energy/v1/products/AGILE-24-10-01/electricity-tariffs/E-1R-AGILE-24-10-01-G/standard-unit-rates/</x:v>
      </x:c>
    </x:row>
    <x:row r="6606" ht="21" customHeight="1">
      <x:c r="A6606" s="24" t="n">
        <x:v>46286.125</x:v>
      </x:c>
      <x:c r="B6606" s="6" t="n">
        <x:v>0.28809999999999997</x:v>
      </x:c>
      <x:c r="C6606" s="6" t="n">
        <x:v>0.158</x:v>
      </x:c>
      <x:c r="D6606" s="6" t="n">
        <x:f>B6606</x:f>
        <x:v>0.28809999999999997</x:v>
      </x:c>
      <x:c r="E6606" s="1" t="n">
        <x:v>1.05</x:v>
      </x:c>
      <x:c r="F6606" s="1" t="str">
        <x:v>https://api.octopus.energy/v1/products/AGILE-24-10-01/electricity-tariffs/E-1R-AGILE-24-10-01-G/standard-unit-rates/</x:v>
      </x:c>
    </x:row>
    <x:row r="6607" ht="21" customHeight="1">
      <x:c r="A6607" s="24" t="n">
        <x:v>46286.145833333336</x:v>
      </x:c>
      <x:c r="B6607" s="6" t="n">
        <x:v>0.2851</x:v>
      </x:c>
      <x:c r="C6607" s="6" t="n">
        <x:v>0.1566</x:v>
      </x:c>
      <x:c r="D6607" s="6" t="n">
        <x:f>B6607</x:f>
        <x:v>0.2851</x:v>
      </x:c>
      <x:c r="E6607" s="1" t="n">
        <x:v>1.05</x:v>
      </x:c>
      <x:c r="F6607" s="1" t="str">
        <x:v>https://api.octopus.energy/v1/products/AGILE-24-10-01/electricity-tariffs/E-1R-AGILE-24-10-01-G/standard-unit-rates/</x:v>
      </x:c>
    </x:row>
    <x:row r="6608" ht="21" customHeight="1">
      <x:c r="A6608" s="24" t="n">
        <x:v>46286.166666666664</x:v>
      </x:c>
      <x:c r="B6608" s="6" t="n">
        <x:v>0.2998</x:v>
      </x:c>
      <x:c r="C6608" s="6" t="n">
        <x:v>0.16329999999999997</x:v>
      </x:c>
      <x:c r="D6608" s="6" t="n">
        <x:f>B6608</x:f>
        <x:v>0.2998</x:v>
      </x:c>
      <x:c r="E6608" s="1" t="n">
        <x:v>1.05</x:v>
      </x:c>
      <x:c r="F6608" s="1" t="str">
        <x:v>https://api.octopus.energy/v1/products/AGILE-24-10-01/electricity-tariffs/E-1R-AGILE-24-10-01-G/standard-unit-rates/</x:v>
      </x:c>
    </x:row>
    <x:row r="6609" ht="21" customHeight="1">
      <x:c r="A6609" s="24" t="n">
        <x:v>46286.1875</x:v>
      </x:c>
      <x:c r="B6609" s="6" t="n">
        <x:v>0.2942</x:v>
      </x:c>
      <x:c r="C6609" s="6" t="n">
        <x:v>0.16079999999999997</x:v>
      </x:c>
      <x:c r="D6609" s="6" t="n">
        <x:f>B6609</x:f>
        <x:v>0.2942</x:v>
      </x:c>
      <x:c r="E6609" s="1" t="n">
        <x:v>1.05</x:v>
      </x:c>
      <x:c r="F6609" s="1" t="str">
        <x:v>https://api.octopus.energy/v1/products/AGILE-24-10-01/electricity-tariffs/E-1R-AGILE-24-10-01-G/standard-unit-rates/</x:v>
      </x:c>
    </x:row>
    <x:row r="6610" ht="21" customHeight="1">
      <x:c r="A6610" s="24" t="n">
        <x:v>46286.208333333336</x:v>
      </x:c>
      <x:c r="B6610" s="6" t="n">
        <x:v>0.3152</x:v>
      </x:c>
      <x:c r="C6610" s="6" t="n">
        <x:v>0.1704</x:v>
      </x:c>
      <x:c r="D6610" s="6" t="n">
        <x:f>B6610</x:f>
        <x:v>0.3152</x:v>
      </x:c>
      <x:c r="E6610" s="1" t="n">
        <x:v>1.05</x:v>
      </x:c>
      <x:c r="F6610" s="1" t="str">
        <x:v>https://api.octopus.energy/v1/products/AGILE-24-10-01/electricity-tariffs/E-1R-AGILE-24-10-01-G/standard-unit-rates/</x:v>
      </x:c>
    </x:row>
    <x:row r="6611" ht="21" customHeight="1">
      <x:c r="A6611" s="24" t="n">
        <x:v>46286.229166666664</x:v>
      </x:c>
      <x:c r="B6611" s="6" t="n">
        <x:v>0.3226</x:v>
      </x:c>
      <x:c r="C6611" s="6" t="n">
        <x:v>0.17370000000000002</x:v>
      </x:c>
      <x:c r="D6611" s="6" t="n">
        <x:f>B6611</x:f>
        <x:v>0.3226</x:v>
      </x:c>
      <x:c r="E6611" s="1" t="n">
        <x:v>1.05</x:v>
      </x:c>
      <x:c r="F6611" s="1" t="str">
        <x:v>https://api.octopus.energy/v1/products/AGILE-24-10-01/electricity-tariffs/E-1R-AGILE-24-10-01-G/standard-unit-rates/</x:v>
      </x:c>
    </x:row>
    <x:row r="6612" ht="21" customHeight="1">
      <x:c r="A6612" s="24" t="n">
        <x:v>46286.25</x:v>
      </x:c>
      <x:c r="B6612" s="6" t="n">
        <x:v>0.3701</x:v>
      </x:c>
      <x:c r="C6612" s="6" t="n">
        <x:v>0.1955</x:v>
      </x:c>
      <x:c r="D6612" s="6" t="n">
        <x:f>B6612</x:f>
        <x:v>0.3701</x:v>
      </x:c>
      <x:c r="E6612" s="1" t="n">
        <x:v>1.05</x:v>
      </x:c>
      <x:c r="F6612" s="1" t="str">
        <x:v>https://api.octopus.energy/v1/products/AGILE-24-10-01/electricity-tariffs/E-1R-AGILE-24-10-01-G/standard-unit-rates/</x:v>
      </x:c>
    </x:row>
    <x:row r="6613" ht="21" customHeight="1">
      <x:c r="A6613" s="24" t="n">
        <x:v>46286.270833333336</x:v>
      </x:c>
      <x:c r="B6613" s="6" t="n">
        <x:v>0.3797</x:v>
      </x:c>
      <x:c r="C6613" s="6" t="n">
        <x:v>0.1998</x:v>
      </x:c>
      <x:c r="D6613" s="6" t="n">
        <x:f>B6613</x:f>
        <x:v>0.3797</x:v>
      </x:c>
      <x:c r="E6613" s="1" t="n">
        <x:v>1.05</x:v>
      </x:c>
      <x:c r="F6613" s="1" t="str">
        <x:v>https://api.octopus.energy/v1/products/AGILE-24-10-01/electricity-tariffs/E-1R-AGILE-24-10-01-G/standard-unit-rates/</x:v>
      </x:c>
    </x:row>
    <x:row r="6614" ht="21" customHeight="1">
      <x:c r="A6614" s="24" t="n">
        <x:v>46286.291666666664</x:v>
      </x:c>
      <x:c r="B6614" s="6" t="n">
        <x:v>0.3975</x:v>
      </x:c>
      <x:c r="C6614" s="6" t="n">
        <x:v>0.20800000000000002</x:v>
      </x:c>
      <x:c r="D6614" s="6" t="n">
        <x:f>B6614</x:f>
        <x:v>0.3975</x:v>
      </x:c>
      <x:c r="E6614" s="1" t="n">
        <x:v>1.05</x:v>
      </x:c>
      <x:c r="F6614" s="1" t="str">
        <x:v>https://api.octopus.energy/v1/products/AGILE-24-10-01/electricity-tariffs/E-1R-AGILE-24-10-01-G/standard-unit-rates/</x:v>
      </x:c>
    </x:row>
    <x:row r="6615" ht="21" customHeight="1">
      <x:c r="A6615" s="24" t="n">
        <x:v>46286.3125</x:v>
      </x:c>
      <x:c r="B6615" s="6" t="n">
        <x:v>0.40340000000000004</x:v>
      </x:c>
      <x:c r="C6615" s="6" t="n">
        <x:v>0.2107</x:v>
      </x:c>
      <x:c r="D6615" s="6" t="n">
        <x:f>B6615</x:f>
        <x:v>0.40340000000000004</x:v>
      </x:c>
      <x:c r="E6615" s="1" t="n">
        <x:v>1.05</x:v>
      </x:c>
      <x:c r="F6615" s="1" t="str">
        <x:v>https://api.octopus.energy/v1/products/AGILE-24-10-01/electricity-tariffs/E-1R-AGILE-24-10-01-G/standard-unit-rates/</x:v>
      </x:c>
    </x:row>
    <x:row r="6616" ht="21" customHeight="1">
      <x:c r="A6616" s="24" t="n">
        <x:v>46286.333333333336</x:v>
      </x:c>
      <x:c r="B6616" s="6" t="n">
        <x:v>0.39289999999999997</x:v>
      </x:c>
      <x:c r="C6616" s="6" t="n">
        <x:v>0.2059</x:v>
      </x:c>
      <x:c r="D6616" s="6" t="n">
        <x:f>B6616</x:f>
        <x:v>0.39289999999999997</x:v>
      </x:c>
      <x:c r="E6616" s="1" t="n">
        <x:v>1.05</x:v>
      </x:c>
      <x:c r="F6616" s="1" t="str">
        <x:v>https://api.octopus.energy/v1/products/AGILE-24-10-01/electricity-tariffs/E-1R-AGILE-24-10-01-G/standard-unit-rates/</x:v>
      </x:c>
    </x:row>
    <x:row r="6617" ht="21" customHeight="1">
      <x:c r="A6617" s="24" t="n">
        <x:v>46286.354166666664</x:v>
      </x:c>
      <x:c r="B6617" s="6" t="n">
        <x:v>0.39399999999999996</x:v>
      </x:c>
      <x:c r="C6617" s="6" t="n">
        <x:v>0.2064</x:v>
      </x:c>
      <x:c r="D6617" s="6" t="n">
        <x:f>B6617</x:f>
        <x:v>0.39399999999999996</x:v>
      </x:c>
      <x:c r="E6617" s="1" t="n">
        <x:v>1.05</x:v>
      </x:c>
      <x:c r="F6617" s="1" t="str">
        <x:v>https://api.octopus.energy/v1/products/AGILE-24-10-01/electricity-tariffs/E-1R-AGILE-24-10-01-G/standard-unit-rates/</x:v>
      </x:c>
    </x:row>
    <x:row r="6618" ht="21" customHeight="1">
      <x:c r="A6618" s="24" t="n">
        <x:v>46286.375</x:v>
      </x:c>
      <x:c r="B6618" s="6" t="n">
        <x:v>0.35850000000000004</x:v>
      </x:c>
      <x:c r="C6618" s="6" t="n">
        <x:v>0.1902</x:v>
      </x:c>
      <x:c r="D6618" s="6" t="n">
        <x:f>B6618</x:f>
        <x:v>0.35850000000000004</x:v>
      </x:c>
      <x:c r="E6618" s="1" t="n">
        <x:v>1.05</x:v>
      </x:c>
      <x:c r="F6618" s="1" t="str">
        <x:v>https://api.octopus.energy/v1/products/AGILE-24-10-01/electricity-tariffs/E-1R-AGILE-24-10-01-G/standard-unit-rates/</x:v>
      </x:c>
    </x:row>
    <x:row r="6619" ht="21" customHeight="1">
      <x:c r="A6619" s="24" t="n">
        <x:v>46286.395833333336</x:v>
      </x:c>
      <x:c r="B6619" s="6" t="n">
        <x:v>0.3383</x:v>
      </x:c>
      <x:c r="C6619" s="6" t="n">
        <x:v>0.1809</x:v>
      </x:c>
      <x:c r="D6619" s="6" t="n">
        <x:f>B6619</x:f>
        <x:v>0.3383</x:v>
      </x:c>
      <x:c r="E6619" s="1" t="n">
        <x:v>1.05</x:v>
      </x:c>
      <x:c r="F6619" s="1" t="str">
        <x:v>https://api.octopus.energy/v1/products/AGILE-24-10-01/electricity-tariffs/E-1R-AGILE-24-10-01-G/standard-unit-rates/</x:v>
      </x:c>
    </x:row>
    <x:row r="6620" ht="21" customHeight="1">
      <x:c r="A6620" s="24" t="n">
        <x:v>46286.416666666664</x:v>
      </x:c>
      <x:c r="B6620" s="6" t="n">
        <x:v>0.3322</x:v>
      </x:c>
      <x:c r="C6620" s="6" t="n">
        <x:v>0.17809999999999998</x:v>
      </x:c>
      <x:c r="D6620" s="6" t="n">
        <x:f>B6620</x:f>
        <x:v>0.3322</x:v>
      </x:c>
      <x:c r="E6620" s="1" t="n">
        <x:v>1.05</x:v>
      </x:c>
      <x:c r="F6620" s="1" t="str">
        <x:v>https://api.octopus.energy/v1/products/AGILE-24-10-01/electricity-tariffs/E-1R-AGILE-24-10-01-G/standard-unit-rates/</x:v>
      </x:c>
    </x:row>
    <x:row r="6621" ht="21" customHeight="1">
      <x:c r="A6621" s="24" t="n">
        <x:v>46286.4375</x:v>
      </x:c>
      <x:c r="B6621" s="6" t="n">
        <x:v>0.32049999999999995</x:v>
      </x:c>
      <x:c r="C6621" s="6" t="n">
        <x:v>0.1728</x:v>
      </x:c>
      <x:c r="D6621" s="6" t="n">
        <x:f>B6621</x:f>
        <x:v>0.32049999999999995</x:v>
      </x:c>
      <x:c r="E6621" s="1" t="n">
        <x:v>1.05</x:v>
      </x:c>
      <x:c r="F6621" s="1" t="str">
        <x:v>https://api.octopus.energy/v1/products/AGILE-24-10-01/electricity-tariffs/E-1R-AGILE-24-10-01-G/standard-unit-rates/</x:v>
      </x:c>
    </x:row>
    <x:row r="6622" ht="21" customHeight="1">
      <x:c r="A6622" s="24" t="n">
        <x:v>46286.458333333336</x:v>
      </x:c>
      <x:c r="B6622" s="6" t="n">
        <x:v>0.3077</x:v>
      </x:c>
      <x:c r="C6622" s="6" t="n">
        <x:v>0.16690000000000002</x:v>
      </x:c>
      <x:c r="D6622" s="6" t="n">
        <x:f>B6622</x:f>
        <x:v>0.3077</x:v>
      </x:c>
      <x:c r="E6622" s="1" t="n">
        <x:v>1.05</x:v>
      </x:c>
      <x:c r="F6622" s="1" t="str">
        <x:v>https://api.octopus.energy/v1/products/AGILE-24-10-01/electricity-tariffs/E-1R-AGILE-24-10-01-G/standard-unit-rates/</x:v>
      </x:c>
    </x:row>
    <x:row r="6623" ht="21" customHeight="1">
      <x:c r="A6623" s="24" t="n">
        <x:v>46286.479166666664</x:v>
      </x:c>
      <x:c r="B6623" s="6" t="n">
        <x:v>0.2901</x:v>
      </x:c>
      <x:c r="C6623" s="6" t="n">
        <x:v>0.1589</x:v>
      </x:c>
      <x:c r="D6623" s="6" t="n">
        <x:f>B6623</x:f>
        <x:v>0.2901</x:v>
      </x:c>
      <x:c r="E6623" s="1" t="n">
        <x:v>1.05</x:v>
      </x:c>
      <x:c r="F6623" s="1" t="str">
        <x:v>https://api.octopus.energy/v1/products/AGILE-24-10-01/electricity-tariffs/E-1R-AGILE-24-10-01-G/standard-unit-rates/</x:v>
      </x:c>
    </x:row>
    <x:row r="6624" ht="21" customHeight="1">
      <x:c r="A6624" s="24" t="n">
        <x:v>46286.5</x:v>
      </x:c>
      <x:c r="B6624" s="6" t="n">
        <x:v>0.2858</x:v>
      </x:c>
      <x:c r="C6624" s="6" t="n">
        <x:v>0.15689999999999998</x:v>
      </x:c>
      <x:c r="D6624" s="6" t="n">
        <x:f>B6624</x:f>
        <x:v>0.2858</x:v>
      </x:c>
      <x:c r="E6624" s="1" t="n">
        <x:v>1.05</x:v>
      </x:c>
      <x:c r="F6624" s="1" t="str">
        <x:v>https://api.octopus.energy/v1/products/AGILE-24-10-01/electricity-tariffs/E-1R-AGILE-24-10-01-G/standard-unit-rates/</x:v>
      </x:c>
    </x:row>
    <x:row r="6625" ht="21" customHeight="1">
      <x:c r="A6625" s="24" t="n">
        <x:v>46286.520833333336</x:v>
      </x:c>
      <x:c r="B6625" s="6" t="n">
        <x:v>0.2809</x:v>
      </x:c>
      <x:c r="C6625" s="6" t="n">
        <x:v>0.1547</x:v>
      </x:c>
      <x:c r="D6625" s="6" t="n">
        <x:f>B6625</x:f>
        <x:v>0.2809</x:v>
      </x:c>
      <x:c r="E6625" s="1" t="n">
        <x:v>1.05</x:v>
      </x:c>
      <x:c r="F6625" s="1" t="str">
        <x:v>https://api.octopus.energy/v1/products/AGILE-24-10-01/electricity-tariffs/E-1R-AGILE-24-10-01-G/standard-unit-rates/</x:v>
      </x:c>
    </x:row>
    <x:row r="6626" ht="21" customHeight="1">
      <x:c r="A6626" s="24" t="n">
        <x:v>46286.541666666664</x:v>
      </x:c>
      <x:c r="B6626" s="6" t="n">
        <x:v>0.2771</x:v>
      </x:c>
      <x:c r="C6626" s="6" t="n">
        <x:v>0.153</x:v>
      </x:c>
      <x:c r="D6626" s="6" t="n">
        <x:f>B6626</x:f>
        <x:v>0.2771</x:v>
      </x:c>
      <x:c r="E6626" s="1" t="n">
        <x:v>1.05</x:v>
      </x:c>
      <x:c r="F6626" s="1" t="str">
        <x:v>https://api.octopus.energy/v1/products/AGILE-24-10-01/electricity-tariffs/E-1R-AGILE-24-10-01-G/standard-unit-rates/</x:v>
      </x:c>
    </x:row>
    <x:row r="6627" ht="21" customHeight="1">
      <x:c r="A6627" s="24" t="n">
        <x:v>46286.5625</x:v>
      </x:c>
      <x:c r="B6627" s="6" t="n">
        <x:v>0.2757</x:v>
      </x:c>
      <x:c r="C6627" s="6" t="n">
        <x:v>0.1523</x:v>
      </x:c>
      <x:c r="D6627" s="6" t="n">
        <x:f>B6627</x:f>
        <x:v>0.2757</x:v>
      </x:c>
      <x:c r="E6627" s="1" t="n">
        <x:v>1.05</x:v>
      </x:c>
      <x:c r="F6627" s="1" t="str">
        <x:v>https://api.octopus.energy/v1/products/AGILE-24-10-01/electricity-tariffs/E-1R-AGILE-24-10-01-G/standard-unit-rates/</x:v>
      </x:c>
    </x:row>
    <x:row r="6628" ht="21" customHeight="1">
      <x:c r="A6628" s="24" t="n">
        <x:v>46286.583333333336</x:v>
      </x:c>
      <x:c r="B6628" s="6" t="n">
        <x:v>0.2711</x:v>
      </x:c>
      <x:c r="C6628" s="6" t="n">
        <x:v>0.1502</x:v>
      </x:c>
      <x:c r="D6628" s="6" t="n">
        <x:f>B6628</x:f>
        <x:v>0.2711</x:v>
      </x:c>
      <x:c r="E6628" s="1" t="n">
        <x:v>1.05</x:v>
      </x:c>
      <x:c r="F6628" s="1" t="str">
        <x:v>https://api.octopus.energy/v1/products/AGILE-24-10-01/electricity-tariffs/E-1R-AGILE-24-10-01-G/standard-unit-rates/</x:v>
      </x:c>
    </x:row>
    <x:row r="6629" ht="21" customHeight="1">
      <x:c r="A6629" s="24" t="n">
        <x:v>46286.604166666664</x:v>
      </x:c>
      <x:c r="B6629" s="6" t="n">
        <x:v>0.2711</x:v>
      </x:c>
      <x:c r="C6629" s="6" t="n">
        <x:v>0.1502</x:v>
      </x:c>
      <x:c r="D6629" s="6" t="n">
        <x:f>B6629</x:f>
        <x:v>0.2711</x:v>
      </x:c>
      <x:c r="E6629" s="1" t="n">
        <x:v>1.05</x:v>
      </x:c>
      <x:c r="F6629" s="1" t="str">
        <x:v>https://api.octopus.energy/v1/products/AGILE-24-10-01/electricity-tariffs/E-1R-AGILE-24-10-01-G/standard-unit-rates/</x:v>
      </x:c>
    </x:row>
    <x:row r="6630" ht="21" customHeight="1">
      <x:c r="A6630" s="24" t="n">
        <x:v>46286.625</x:v>
      </x:c>
      <x:c r="B6630" s="6" t="n">
        <x:v>0.2771</x:v>
      </x:c>
      <x:c r="C6630" s="6" t="n">
        <x:v>0.15289999999999998</x:v>
      </x:c>
      <x:c r="D6630" s="6" t="n">
        <x:f>B6630</x:f>
        <x:v>0.2771</x:v>
      </x:c>
      <x:c r="E6630" s="1" t="n">
        <x:v>1.05</x:v>
      </x:c>
      <x:c r="F6630" s="1" t="str">
        <x:v>https://api.octopus.energy/v1/products/AGILE-24-10-01/electricity-tariffs/E-1R-AGILE-24-10-01-G/standard-unit-rates/</x:v>
      </x:c>
    </x:row>
    <x:row r="6631" ht="21" customHeight="1">
      <x:c r="A6631" s="24" t="n">
        <x:v>46286.645833333336</x:v>
      </x:c>
      <x:c r="B6631" s="6" t="n">
        <x:v>0.2807</x:v>
      </x:c>
      <x:c r="C6631" s="6" t="n">
        <x:v>0.15460000000000002</x:v>
      </x:c>
      <x:c r="D6631" s="6" t="n">
        <x:f>B6631</x:f>
        <x:v>0.2807</x:v>
      </x:c>
      <x:c r="E6631" s="1" t="n">
        <x:v>1.05</x:v>
      </x:c>
      <x:c r="F6631" s="1" t="str">
        <x:v>https://api.octopus.energy/v1/products/AGILE-24-10-01/electricity-tariffs/E-1R-AGILE-24-10-01-G/standard-unit-rates/</x:v>
      </x:c>
    </x:row>
    <x:row r="6632" ht="21" customHeight="1">
      <x:c r="A6632" s="24" t="n">
        <x:v>46286.666666666664</x:v>
      </x:c>
      <x:c r="B6632" s="6" t="n">
        <x:v>0.41159999999999997</x:v>
      </x:c>
      <x:c r="C6632" s="6" t="n">
        <x:v>0.21850000000000003</x:v>
      </x:c>
      <x:c r="D6632" s="6" t="n">
        <x:f>B6632</x:f>
        <x:v>0.41159999999999997</x:v>
      </x:c>
      <x:c r="E6632" s="1" t="n">
        <x:v>1.05</x:v>
      </x:c>
      <x:c r="F6632" s="1" t="str">
        <x:v>https://api.octopus.energy/v1/products/AGILE-24-10-01/electricity-tariffs/E-1R-AGILE-24-10-01-G/standard-unit-rates/</x:v>
      </x:c>
    </x:row>
    <x:row r="6633" ht="21" customHeight="1">
      <x:c r="A6633" s="24" t="n">
        <x:v>46286.6875</x:v>
      </x:c>
      <x:c r="B6633" s="6" t="n">
        <x:v>0.4568</x:v>
      </x:c>
      <x:c r="C6633" s="6" t="n">
        <x:v>0.2391</x:v>
      </x:c>
      <x:c r="D6633" s="6" t="n">
        <x:f>B6633</x:f>
        <x:v>0.4568</x:v>
      </x:c>
      <x:c r="E6633" s="1" t="n">
        <x:v>1.05</x:v>
      </x:c>
      <x:c r="F6633" s="1" t="str">
        <x:v>https://api.octopus.energy/v1/products/AGILE-24-10-01/electricity-tariffs/E-1R-AGILE-24-10-01-G/standard-unit-rates/</x:v>
      </x:c>
    </x:row>
    <x:row r="6634" ht="21" customHeight="1">
      <x:c r="A6634" s="24" t="n">
        <x:v>46286.708333333336</x:v>
      </x:c>
      <x:c r="B6634" s="6" t="n">
        <x:v>0.4955</x:v>
      </x:c>
      <x:c r="C6634" s="6" t="n">
        <x:v>0.2568</x:v>
      </x:c>
      <x:c r="D6634" s="6" t="n">
        <x:f>B6634</x:f>
        <x:v>0.4955</x:v>
      </x:c>
      <x:c r="E6634" s="1" t="n">
        <x:v>1.05</x:v>
      </x:c>
      <x:c r="F6634" s="1" t="str">
        <x:v>https://api.octopus.energy/v1/products/AGILE-24-10-01/electricity-tariffs/E-1R-AGILE-24-10-01-G/standard-unit-rates/</x:v>
      </x:c>
    </x:row>
    <x:row r="6635" ht="21" customHeight="1">
      <x:c r="A6635" s="24" t="n">
        <x:v>46286.729166666664</x:v>
      </x:c>
      <x:c r="B6635" s="6" t="n">
        <x:v>0.5179</x:v>
      </x:c>
      <x:c r="C6635" s="6" t="n">
        <x:v>0.2671</x:v>
      </x:c>
      <x:c r="D6635" s="6" t="n">
        <x:f>B6635</x:f>
        <x:v>0.5179</x:v>
      </x:c>
      <x:c r="E6635" s="1" t="n">
        <x:v>1.05</x:v>
      </x:c>
      <x:c r="F6635" s="1" t="str">
        <x:v>https://api.octopus.energy/v1/products/AGILE-24-10-01/electricity-tariffs/E-1R-AGILE-24-10-01-G/standard-unit-rates/</x:v>
      </x:c>
    </x:row>
    <x:row r="6636" ht="21" customHeight="1">
      <x:c r="A6636" s="24" t="n">
        <x:v>46286.75</x:v>
      </x:c>
      <x:c r="B6636" s="6" t="n">
        <x:v>0.5518</x:v>
      </x:c>
      <x:c r="C6636" s="6" t="n">
        <x:v>0.2825</x:v>
      </x:c>
      <x:c r="D6636" s="6" t="n">
        <x:f>B6636</x:f>
        <x:v>0.5518</x:v>
      </x:c>
      <x:c r="E6636" s="1" t="n">
        <x:v>1.05</x:v>
      </x:c>
      <x:c r="F6636" s="1" t="str">
        <x:v>https://api.octopus.energy/v1/products/AGILE-24-10-01/electricity-tariffs/E-1R-AGILE-24-10-01-G/standard-unit-rates/</x:v>
      </x:c>
    </x:row>
    <x:row r="6637" ht="21" customHeight="1">
      <x:c r="A6637" s="24" t="n">
        <x:v>46286.770833333336</x:v>
      </x:c>
      <x:c r="B6637" s="6" t="n">
        <x:v>0.5557</x:v>
      </x:c>
      <x:c r="C6637" s="6" t="n">
        <x:v>0.2843</x:v>
      </x:c>
      <x:c r="D6637" s="6" t="n">
        <x:f>B6637</x:f>
        <x:v>0.5557</x:v>
      </x:c>
      <x:c r="E6637" s="1" t="n">
        <x:v>1.05</x:v>
      </x:c>
      <x:c r="F6637" s="1" t="str">
        <x:v>https://api.octopus.energy/v1/products/AGILE-24-10-01/electricity-tariffs/E-1R-AGILE-24-10-01-G/standard-unit-rates/</x:v>
      </x:c>
    </x:row>
    <x:row r="6638" ht="21" customHeight="1">
      <x:c r="A6638" s="24" t="n">
        <x:v>46286.791666666664</x:v>
      </x:c>
      <x:c r="B6638" s="6" t="n">
        <x:v>0.41200000000000003</x:v>
      </x:c>
      <x:c r="C6638" s="6" t="n">
        <x:v>0.2146</x:v>
      </x:c>
      <x:c r="D6638" s="6" t="n">
        <x:f>B6638</x:f>
        <x:v>0.41200000000000003</x:v>
      </x:c>
      <x:c r="E6638" s="1" t="n">
        <x:v>1.05</x:v>
      </x:c>
      <x:c r="F6638" s="1" t="str">
        <x:v>https://api.octopus.energy/v1/products/AGILE-24-10-01/electricity-tariffs/E-1R-AGILE-24-10-01-G/standard-unit-rates/</x:v>
      </x:c>
    </x:row>
    <x:row r="6639" ht="21" customHeight="1">
      <x:c r="A6639" s="24" t="n">
        <x:v>46286.8125</x:v>
      </x:c>
      <x:c r="B6639" s="6" t="n">
        <x:v>0.41</x:v>
      </x:c>
      <x:c r="C6639" s="6" t="n">
        <x:v>0.2137</x:v>
      </x:c>
      <x:c r="D6639" s="6" t="n">
        <x:f>B6639</x:f>
        <x:v>0.41</x:v>
      </x:c>
      <x:c r="E6639" s="1" t="n">
        <x:v>1.05</x:v>
      </x:c>
      <x:c r="F6639" s="1" t="str">
        <x:v>https://api.octopus.energy/v1/products/AGILE-24-10-01/electricity-tariffs/E-1R-AGILE-24-10-01-G/standard-unit-rates/</x:v>
      </x:c>
    </x:row>
    <x:row r="6640" ht="21" customHeight="1">
      <x:c r="A6640" s="24" t="n">
        <x:v>46286.833333333336</x:v>
      </x:c>
      <x:c r="B6640" s="6" t="n">
        <x:v>0.40549999999999997</x:v>
      </x:c>
      <x:c r="C6640" s="6" t="n">
        <x:v>0.2116</x:v>
      </x:c>
      <x:c r="D6640" s="6" t="n">
        <x:f>B6640</x:f>
        <x:v>0.40549999999999997</x:v>
      </x:c>
      <x:c r="E6640" s="1" t="n">
        <x:v>1.05</x:v>
      </x:c>
      <x:c r="F6640" s="1" t="str">
        <x:v>https://api.octopus.energy/v1/products/AGILE-24-10-01/electricity-tariffs/E-1R-AGILE-24-10-01-G/standard-unit-rates/</x:v>
      </x:c>
    </x:row>
    <x:row r="6641" ht="21" customHeight="1">
      <x:c r="A6641" s="24" t="n">
        <x:v>46286.854166666664</x:v>
      </x:c>
      <x:c r="B6641" s="6" t="n">
        <x:v>0.3761</x:v>
      </x:c>
      <x:c r="C6641" s="6" t="n">
        <x:v>0.19820000000000002</x:v>
      </x:c>
      <x:c r="D6641" s="6" t="n">
        <x:f>B6641</x:f>
        <x:v>0.3761</x:v>
      </x:c>
      <x:c r="E6641" s="1" t="n">
        <x:v>1.05</x:v>
      </x:c>
      <x:c r="F6641" s="1" t="str">
        <x:v>https://api.octopus.energy/v1/products/AGILE-24-10-01/electricity-tariffs/E-1R-AGILE-24-10-01-G/standard-unit-rates/</x:v>
      </x:c>
    </x:row>
    <x:row r="6642" ht="21" customHeight="1">
      <x:c r="A6642" s="24" t="n">
        <x:v>46286.875</x:v>
      </x:c>
      <x:c r="B6642" s="6" t="n">
        <x:v>0.3738</x:v>
      </x:c>
      <x:c r="C6642" s="6" t="n">
        <x:v>0.1971</x:v>
      </x:c>
      <x:c r="D6642" s="6" t="n">
        <x:f>B6642</x:f>
        <x:v>0.3738</x:v>
      </x:c>
      <x:c r="E6642" s="1" t="n">
        <x:v>1.05</x:v>
      </x:c>
      <x:c r="F6642" s="1" t="str">
        <x:v>https://api.octopus.energy/v1/products/AGILE-24-10-01/electricity-tariffs/E-1R-AGILE-24-10-01-G/standard-unit-rates/</x:v>
      </x:c>
    </x:row>
    <x:row r="6643" ht="21" customHeight="1">
      <x:c r="A6643" s="24" t="n">
        <x:v>46286.895833333336</x:v>
      </x:c>
      <x:c r="B6643" s="6" t="n">
        <x:v>0.3169</x:v>
      </x:c>
      <x:c r="C6643" s="6" t="n">
        <x:v>0.1711</x:v>
      </x:c>
      <x:c r="D6643" s="6" t="n">
        <x:f>B6643</x:f>
        <x:v>0.3169</x:v>
      </x:c>
      <x:c r="E6643" s="1" t="n">
        <x:v>1.05</x:v>
      </x:c>
      <x:c r="F6643" s="1" t="str">
        <x:v>https://api.octopus.energy/v1/products/AGILE-24-10-01/electricity-tariffs/E-1R-AGILE-24-10-01-G/standard-unit-rates/</x:v>
      </x:c>
    </x:row>
    <x:row r="6644" ht="21" customHeight="1">
      <x:c r="A6644" s="24" t="n">
        <x:v>46286.916666666664</x:v>
      </x:c>
      <x:c r="B6644" s="6" t="n">
        <x:v>0.33409999999999995</x:v>
      </x:c>
      <x:c r="C6644" s="6" t="n">
        <x:v>0.179</x:v>
      </x:c>
      <x:c r="D6644" s="6" t="n">
        <x:f>B6644</x:f>
        <x:v>0.33409999999999995</x:v>
      </x:c>
      <x:c r="E6644" s="1" t="n">
        <x:v>1.05</x:v>
      </x:c>
      <x:c r="F6644" s="1" t="str">
        <x:v>https://api.octopus.energy/v1/products/AGILE-24-10-01/electricity-tariffs/E-1R-AGILE-24-10-01-G/standard-unit-rates/</x:v>
      </x:c>
    </x:row>
    <x:row r="6645" ht="21" customHeight="1">
      <x:c r="A6645" s="24" t="n">
        <x:v>46286.9375</x:v>
      </x:c>
      <x:c r="B6645" s="6" t="n">
        <x:v>0.30469999999999997</x:v>
      </x:c>
      <x:c r="C6645" s="6" t="n">
        <x:v>0.1656</x:v>
      </x:c>
      <x:c r="D6645" s="6" t="n">
        <x:f>B6645</x:f>
        <x:v>0.30469999999999997</x:v>
      </x:c>
      <x:c r="E6645" s="1" t="n">
        <x:v>1.05</x:v>
      </x:c>
      <x:c r="F6645" s="1" t="str">
        <x:v>https://api.octopus.energy/v1/products/AGILE-24-10-01/electricity-tariffs/E-1R-AGILE-24-10-01-G/standard-unit-rates/</x:v>
      </x:c>
    </x:row>
    <x:row r="6646" ht="21" customHeight="1">
      <x:c r="A6646" s="24" t="n">
        <x:v>46287</x:v>
      </x:c>
      <x:c r="B6646" s="6" t="n">
        <x:v>0.3015</x:v>
      </x:c>
      <x:c r="C6646" s="6" t="n">
        <x:v>0.1641</x:v>
      </x:c>
      <x:c r="D6646" s="6" t="n">
        <x:f>B6646</x:f>
        <x:v>0.3015</x:v>
      </x:c>
      <x:c r="E6646" s="1" t="n">
        <x:v>1.05</x:v>
      </x:c>
      <x:c r="F6646" s="1" t="str">
        <x:v>https://api.octopus.energy/v1/products/AGILE-24-10-01/electricity-tariffs/E-1R-AGILE-24-10-01-G/standard-unit-rates/</x:v>
      </x:c>
    </x:row>
    <x:row r="6647" ht="21" customHeight="1">
      <x:c r="A6647" s="24" t="n">
        <x:v>46286.979166666664</x:v>
      </x:c>
      <x:c r="B6647" s="6" t="n">
        <x:v>0.27949999999999997</x:v>
      </x:c>
      <x:c r="C6647" s="6" t="n">
        <x:v>0.154</x:v>
      </x:c>
      <x:c r="D6647" s="6" t="n">
        <x:f>B6647</x:f>
        <x:v>0.27949999999999997</x:v>
      </x:c>
      <x:c r="E6647" s="1" t="n">
        <x:v>1.05</x:v>
      </x:c>
      <x:c r="F6647" s="1" t="str">
        <x:v>https://api.octopus.energy/v1/products/AGILE-24-10-01/electricity-tariffs/E-1R-AGILE-24-10-01-G/standard-unit-rates/</x:v>
      </x:c>
    </x:row>
    <x:row r="6648" ht="21" customHeight="1">
      <x:c r="A6648" s="24" t="n">
        <x:v>46287</x:v>
      </x:c>
      <x:c r="B6648" s="6" t="n">
        <x:v>0.281</x:v>
      </x:c>
      <x:c r="C6648" s="6" t="n">
        <x:v>0.1547</x:v>
      </x:c>
      <x:c r="D6648" s="6" t="n">
        <x:f>B6648</x:f>
        <x:v>0.281</x:v>
      </x:c>
      <x:c r="E6648" s="1" t="n">
        <x:v>1.05</x:v>
      </x:c>
      <x:c r="F6648" s="1" t="str">
        <x:v>https://api.octopus.energy/v1/products/AGILE-24-10-01/electricity-tariffs/E-1R-AGILE-24-10-01-G/standard-unit-rates/</x:v>
      </x:c>
    </x:row>
    <x:row r="6649" ht="21" customHeight="1">
      <x:c r="A6649" s="24" t="n">
        <x:v>46287.020833333336</x:v>
      </x:c>
      <x:c r="B6649" s="6" t="n">
        <x:v>0.27149999999999996</x:v>
      </x:c>
      <x:c r="C6649" s="6" t="n">
        <x:v>0.15039999999999998</x:v>
      </x:c>
      <x:c r="D6649" s="6" t="n">
        <x:f>B6649</x:f>
        <x:v>0.27149999999999996</x:v>
      </x:c>
      <x:c r="E6649" s="1" t="n">
        <x:v>1.05</x:v>
      </x:c>
      <x:c r="F6649" s="1" t="str">
        <x:v>https://api.octopus.energy/v1/products/AGILE-24-10-01/electricity-tariffs/E-1R-AGILE-24-10-01-G/standard-unit-rates/</x:v>
      </x:c>
    </x:row>
    <x:row r="6650" ht="21" customHeight="1">
      <x:c r="A6650" s="24" t="n">
        <x:v>46287.041666666664</x:v>
      </x:c>
      <x:c r="B6650" s="6" t="n">
        <x:v>0.2891</x:v>
      </x:c>
      <x:c r="C6650" s="6" t="n">
        <x:v>0.15839999999999999</x:v>
      </x:c>
      <x:c r="D6650" s="6" t="n">
        <x:f>B6650</x:f>
        <x:v>0.2891</x:v>
      </x:c>
      <x:c r="E6650" s="1" t="n">
        <x:v>1.05</x:v>
      </x:c>
      <x:c r="F6650" s="1" t="str">
        <x:v>https://api.octopus.energy/v1/products/AGILE-24-10-01/electricity-tariffs/E-1R-AGILE-24-10-01-G/standard-unit-rates/</x:v>
      </x:c>
    </x:row>
    <x:row r="6651" ht="21" customHeight="1">
      <x:c r="A6651" s="24" t="n">
        <x:v>46287.0625</x:v>
      </x:c>
      <x:c r="B6651" s="6" t="n">
        <x:v>0.292</x:v>
      </x:c>
      <x:c r="C6651" s="6" t="n">
        <x:v>0.1598</x:v>
      </x:c>
      <x:c r="D6651" s="6" t="n">
        <x:f>B6651</x:f>
        <x:v>0.292</x:v>
      </x:c>
      <x:c r="E6651" s="1" t="n">
        <x:v>1.05</x:v>
      </x:c>
      <x:c r="F6651" s="1" t="str">
        <x:v>https://api.octopus.energy/v1/products/AGILE-24-10-01/electricity-tariffs/E-1R-AGILE-24-10-01-G/standard-unit-rates/</x:v>
      </x:c>
    </x:row>
    <x:row r="6652" ht="21" customHeight="1">
      <x:c r="A6652" s="24" t="n">
        <x:v>46287.083333333336</x:v>
      </x:c>
      <x:c r="B6652" s="6" t="n">
        <x:v>0.2901</x:v>
      </x:c>
      <x:c r="C6652" s="6" t="n">
        <x:v>0.1589</x:v>
      </x:c>
      <x:c r="D6652" s="6" t="n">
        <x:f>B6652</x:f>
        <x:v>0.2901</x:v>
      </x:c>
      <x:c r="E6652" s="1" t="n">
        <x:v>1.05</x:v>
      </x:c>
      <x:c r="F6652" s="1" t="str">
        <x:v>https://api.octopus.energy/v1/products/AGILE-24-10-01/electricity-tariffs/E-1R-AGILE-24-10-01-G/standard-unit-rates/</x:v>
      </x:c>
    </x:row>
    <x:row r="6653" ht="21" customHeight="1">
      <x:c r="A6653" s="24" t="n">
        <x:v>46287.104166666664</x:v>
      </x:c>
      <x:c r="B6653" s="6" t="n">
        <x:v>0.2759</x:v>
      </x:c>
      <x:c r="C6653" s="6" t="n">
        <x:v>0.1524</x:v>
      </x:c>
      <x:c r="D6653" s="6" t="n">
        <x:f>B6653</x:f>
        <x:v>0.2759</x:v>
      </x:c>
      <x:c r="E6653" s="1" t="n">
        <x:v>1.05</x:v>
      </x:c>
      <x:c r="F6653" s="1" t="str">
        <x:v>https://api.octopus.energy/v1/products/AGILE-24-10-01/electricity-tariffs/E-1R-AGILE-24-10-01-G/standard-unit-rates/</x:v>
      </x:c>
    </x:row>
    <x:row r="6654" ht="21" customHeight="1">
      <x:c r="A6654" s="24" t="n">
        <x:v>46287.125</x:v>
      </x:c>
      <x:c r="B6654" s="6" t="n">
        <x:v>0.2729</x:v>
      </x:c>
      <x:c r="C6654" s="6" t="n">
        <x:v>0.151</x:v>
      </x:c>
      <x:c r="D6654" s="6" t="n">
        <x:f>B6654</x:f>
        <x:v>0.2729</x:v>
      </x:c>
      <x:c r="E6654" s="1" t="n">
        <x:v>1.05</x:v>
      </x:c>
      <x:c r="F6654" s="1" t="str">
        <x:v>https://api.octopus.energy/v1/products/AGILE-24-10-01/electricity-tariffs/E-1R-AGILE-24-10-01-G/standard-unit-rates/</x:v>
      </x:c>
    </x:row>
    <x:row r="6655" ht="21" customHeight="1">
      <x:c r="A6655" s="24" t="n">
        <x:v>46287.145833333336</x:v>
      </x:c>
      <x:c r="B6655" s="6" t="n">
        <x:v>0.2693</x:v>
      </x:c>
      <x:c r="C6655" s="6" t="n">
        <x:v>0.1494</x:v>
      </x:c>
      <x:c r="D6655" s="6" t="n">
        <x:f>B6655</x:f>
        <x:v>0.2693</x:v>
      </x:c>
      <x:c r="E6655" s="1" t="n">
        <x:v>1.05</x:v>
      </x:c>
      <x:c r="F6655" s="1" t="str">
        <x:v>https://api.octopus.energy/v1/products/AGILE-24-10-01/electricity-tariffs/E-1R-AGILE-24-10-01-G/standard-unit-rates/</x:v>
      </x:c>
    </x:row>
    <x:row r="6656" ht="21" customHeight="1">
      <x:c r="A6656" s="24" t="n">
        <x:v>46287.166666666664</x:v>
      </x:c>
      <x:c r="B6656" s="6" t="n">
        <x:v>0.2837</x:v>
      </x:c>
      <x:c r="C6656" s="6" t="n">
        <x:v>0.156</x:v>
      </x:c>
      <x:c r="D6656" s="6" t="n">
        <x:f>B6656</x:f>
        <x:v>0.2837</x:v>
      </x:c>
      <x:c r="E6656" s="1" t="n">
        <x:v>1.05</x:v>
      </x:c>
      <x:c r="F6656" s="1" t="str">
        <x:v>https://api.octopus.energy/v1/products/AGILE-24-10-01/electricity-tariffs/E-1R-AGILE-24-10-01-G/standard-unit-rates/</x:v>
      </x:c>
    </x:row>
    <x:row r="6657" ht="21" customHeight="1">
      <x:c r="A6657" s="24" t="n">
        <x:v>46287.1875</x:v>
      </x:c>
      <x:c r="B6657" s="6" t="n">
        <x:v>0.2693</x:v>
      </x:c>
      <x:c r="C6657" s="6" t="n">
        <x:v>0.1494</x:v>
      </x:c>
      <x:c r="D6657" s="6" t="n">
        <x:f>B6657</x:f>
        <x:v>0.2693</x:v>
      </x:c>
      <x:c r="E6657" s="1" t="n">
        <x:v>1.05</x:v>
      </x:c>
      <x:c r="F6657" s="1" t="str">
        <x:v>https://api.octopus.energy/v1/products/AGILE-24-10-01/electricity-tariffs/E-1R-AGILE-24-10-01-G/standard-unit-rates/</x:v>
      </x:c>
    </x:row>
    <x:row r="6658" ht="21" customHeight="1">
      <x:c r="A6658" s="24" t="n">
        <x:v>46287.208333333336</x:v>
      </x:c>
      <x:c r="B6658" s="6" t="n">
        <x:v>0.2832</x:v>
      </x:c>
      <x:c r="C6658" s="6" t="n">
        <x:v>0.1557</x:v>
      </x:c>
      <x:c r="D6658" s="6" t="n">
        <x:f>B6658</x:f>
        <x:v>0.2832</x:v>
      </x:c>
      <x:c r="E6658" s="1" t="n">
        <x:v>1.05</x:v>
      </x:c>
      <x:c r="F6658" s="1" t="str">
        <x:v>https://api.octopus.energy/v1/products/AGILE-24-10-01/electricity-tariffs/E-1R-AGILE-24-10-01-G/standard-unit-rates/</x:v>
      </x:c>
    </x:row>
    <x:row r="6659" ht="21" customHeight="1">
      <x:c r="A6659" s="24" t="n">
        <x:v>46287.229166666664</x:v>
      </x:c>
      <x:c r="B6659" s="6" t="n">
        <x:v>0.3102</x:v>
      </x:c>
      <x:c r="C6659" s="6" t="n">
        <x:v>0.1681</x:v>
      </x:c>
      <x:c r="D6659" s="6" t="n">
        <x:f>B6659</x:f>
        <x:v>0.3102</x:v>
      </x:c>
      <x:c r="E6659" s="1" t="n">
        <x:v>1.05</x:v>
      </x:c>
      <x:c r="F6659" s="1" t="str">
        <x:v>https://api.octopus.energy/v1/products/AGILE-24-10-01/electricity-tariffs/E-1R-AGILE-24-10-01-G/standard-unit-rates/</x:v>
      </x:c>
    </x:row>
    <x:row r="6660" ht="21" customHeight="1">
      <x:c r="A6660" s="24" t="n">
        <x:v>46287.25</x:v>
      </x:c>
      <x:c r="B6660" s="6" t="n">
        <x:v>0.34619999999999995</x:v>
      </x:c>
      <x:c r="C6660" s="6" t="n">
        <x:v>0.1845</x:v>
      </x:c>
      <x:c r="D6660" s="6" t="n">
        <x:f>B6660</x:f>
        <x:v>0.34619999999999995</x:v>
      </x:c>
      <x:c r="E6660" s="1" t="n">
        <x:v>1.05</x:v>
      </x:c>
      <x:c r="F6660" s="1" t="str">
        <x:v>https://api.octopus.energy/v1/products/AGILE-24-10-01/electricity-tariffs/E-1R-AGILE-24-10-01-G/standard-unit-rates/</x:v>
      </x:c>
    </x:row>
    <x:row r="6661" ht="21" customHeight="1">
      <x:c r="A6661" s="24" t="n">
        <x:v>46287.270833333336</x:v>
      </x:c>
      <x:c r="B6661" s="6" t="n">
        <x:v>0.38270000000000004</x:v>
      </x:c>
      <x:c r="C6661" s="6" t="n">
        <x:v>0.20120000000000002</x:v>
      </x:c>
      <x:c r="D6661" s="6" t="n">
        <x:f>B6661</x:f>
        <x:v>0.38270000000000004</x:v>
      </x:c>
      <x:c r="E6661" s="1" t="n">
        <x:v>1.05</x:v>
      </x:c>
      <x:c r="F6661" s="1" t="str">
        <x:v>https://api.octopus.energy/v1/products/AGILE-24-10-01/electricity-tariffs/E-1R-AGILE-24-10-01-G/standard-unit-rates/</x:v>
      </x:c>
    </x:row>
    <x:row r="6662" ht="21" customHeight="1">
      <x:c r="A6662" s="24" t="n">
        <x:v>46287.291666666664</x:v>
      </x:c>
      <x:c r="B6662" s="6" t="n">
        <x:v>0.3803</x:v>
      </x:c>
      <x:c r="C6662" s="6" t="n">
        <x:v>0.20010000000000003</x:v>
      </x:c>
      <x:c r="D6662" s="6" t="n">
        <x:f>B6662</x:f>
        <x:v>0.3803</x:v>
      </x:c>
      <x:c r="E6662" s="1" t="n">
        <x:v>1.05</x:v>
      </x:c>
      <x:c r="F6662" s="1" t="str">
        <x:v>https://api.octopus.energy/v1/products/AGILE-24-10-01/electricity-tariffs/E-1R-AGILE-24-10-01-G/standard-unit-rates/</x:v>
      </x:c>
    </x:row>
    <x:row r="6663" ht="21" customHeight="1">
      <x:c r="A6663" s="24" t="n">
        <x:v>46287.3125</x:v>
      </x:c>
      <x:c r="B6663" s="6" t="n">
        <x:v>0.42450000000000004</x:v>
      </x:c>
      <x:c r="C6663" s="6" t="n">
        <x:v>0.22030000000000002</x:v>
      </x:c>
      <x:c r="D6663" s="6" t="n">
        <x:f>B6663</x:f>
        <x:v>0.42450000000000004</x:v>
      </x:c>
      <x:c r="E6663" s="1" t="n">
        <x:v>1.05</x:v>
      </x:c>
      <x:c r="F6663" s="1" t="str">
        <x:v>https://api.octopus.energy/v1/products/AGILE-24-10-01/electricity-tariffs/E-1R-AGILE-24-10-01-G/standard-unit-rates/</x:v>
      </x:c>
    </x:row>
    <x:row r="6664" ht="21" customHeight="1">
      <x:c r="A6664" s="24" t="n">
        <x:v>46287.333333333336</x:v>
      </x:c>
      <x:c r="B6664" s="6" t="n">
        <x:v>0.3641</x:v>
      </x:c>
      <x:c r="C6664" s="6" t="n">
        <x:v>0.19269999999999998</x:v>
      </x:c>
      <x:c r="D6664" s="6" t="n">
        <x:f>B6664</x:f>
        <x:v>0.3641</x:v>
      </x:c>
      <x:c r="E6664" s="1" t="n">
        <x:v>1.05</x:v>
      </x:c>
      <x:c r="F6664" s="1" t="str">
        <x:v>https://api.octopus.energy/v1/products/AGILE-24-10-01/electricity-tariffs/E-1R-AGILE-24-10-01-G/standard-unit-rates/</x:v>
      </x:c>
    </x:row>
    <x:row r="6665" ht="21" customHeight="1">
      <x:c r="A6665" s="24" t="n">
        <x:v>46287.354166666664</x:v>
      </x:c>
      <x:c r="B6665" s="6" t="n">
        <x:v>0.3532</x:v>
      </x:c>
      <x:c r="C6665" s="6" t="n">
        <x:v>0.1877</x:v>
      </x:c>
      <x:c r="D6665" s="6" t="n">
        <x:f>B6665</x:f>
        <x:v>0.3532</x:v>
      </x:c>
      <x:c r="E6665" s="1" t="n">
        <x:v>1.05</x:v>
      </x:c>
      <x:c r="F6665" s="1" t="str">
        <x:v>https://api.octopus.energy/v1/products/AGILE-24-10-01/electricity-tariffs/E-1R-AGILE-24-10-01-G/standard-unit-rates/</x:v>
      </x:c>
    </x:row>
    <x:row r="6666" ht="21" customHeight="1">
      <x:c r="A6666" s="24" t="n">
        <x:v>46287.375</x:v>
      </x:c>
      <x:c r="B6666" s="6" t="n">
        <x:v>0.3103</x:v>
      </x:c>
      <x:c r="C6666" s="6" t="n">
        <x:v>0.1681</x:v>
      </x:c>
      <x:c r="D6666" s="6" t="n">
        <x:f>B6666</x:f>
        <x:v>0.3103</x:v>
      </x:c>
      <x:c r="E6666" s="1" t="n">
        <x:v>1.05</x:v>
      </x:c>
      <x:c r="F6666" s="1" t="str">
        <x:v>https://api.octopus.energy/v1/products/AGILE-24-10-01/electricity-tariffs/E-1R-AGILE-24-10-01-G/standard-unit-rates/</x:v>
      </x:c>
    </x:row>
    <x:row r="6667" ht="21" customHeight="1">
      <x:c r="A6667" s="24" t="n">
        <x:v>46287.395833333336</x:v>
      </x:c>
      <x:c r="B6667" s="6" t="n">
        <x:v>0.2799</x:v>
      </x:c>
      <x:c r="C6667" s="6" t="n">
        <x:v>0.1542</x:v>
      </x:c>
      <x:c r="D6667" s="6" t="n">
        <x:f>B6667</x:f>
        <x:v>0.2799</x:v>
      </x:c>
      <x:c r="E6667" s="1" t="n">
        <x:v>1.05</x:v>
      </x:c>
      <x:c r="F6667" s="1" t="str">
        <x:v>https://api.octopus.energy/v1/products/AGILE-24-10-01/electricity-tariffs/E-1R-AGILE-24-10-01-G/standard-unit-rates/</x:v>
      </x:c>
    </x:row>
    <x:row r="6668" ht="21" customHeight="1">
      <x:c r="A6668" s="24" t="n">
        <x:v>46287.416666666664</x:v>
      </x:c>
      <x:c r="B6668" s="6" t="n">
        <x:v>0.2757</x:v>
      </x:c>
      <x:c r="C6668" s="6" t="n">
        <x:v>0.1523</x:v>
      </x:c>
      <x:c r="D6668" s="6" t="n">
        <x:f>B6668</x:f>
        <x:v>0.2757</x:v>
      </x:c>
      <x:c r="E6668" s="1" t="n">
        <x:v>1.05</x:v>
      </x:c>
      <x:c r="F6668" s="1" t="str">
        <x:v>https://api.octopus.energy/v1/products/AGILE-24-10-01/electricity-tariffs/E-1R-AGILE-24-10-01-G/standard-unit-rates/</x:v>
      </x:c>
    </x:row>
    <x:row r="6669" ht="21" customHeight="1">
      <x:c r="A6669" s="24" t="n">
        <x:v>46287.4375</x:v>
      </x:c>
      <x:c r="B6669" s="6" t="n">
        <x:v>0.2747</x:v>
      </x:c>
      <x:c r="C6669" s="6" t="n">
        <x:v>0.1519</x:v>
      </x:c>
      <x:c r="D6669" s="6" t="n">
        <x:f>B6669</x:f>
        <x:v>0.2747</x:v>
      </x:c>
      <x:c r="E6669" s="1" t="n">
        <x:v>1.05</x:v>
      </x:c>
      <x:c r="F6669" s="1" t="str">
        <x:v>https://api.octopus.energy/v1/products/AGILE-24-10-01/electricity-tariffs/E-1R-AGILE-24-10-01-G/standard-unit-rates/</x:v>
      </x:c>
    </x:row>
    <x:row r="6670" ht="21" customHeight="1">
      <x:c r="A6670" s="24" t="n">
        <x:v>46287.458333333336</x:v>
      </x:c>
      <x:c r="B6670" s="6" t="n">
        <x:v>0.2816</x:v>
      </x:c>
      <x:c r="C6670" s="6" t="n">
        <x:v>0.155</x:v>
      </x:c>
      <x:c r="D6670" s="6" t="n">
        <x:f>B6670</x:f>
        <x:v>0.2816</x:v>
      </x:c>
      <x:c r="E6670" s="1" t="n">
        <x:v>1.05</x:v>
      </x:c>
      <x:c r="F6670" s="1" t="str">
        <x:v>https://api.octopus.energy/v1/products/AGILE-24-10-01/electricity-tariffs/E-1R-AGILE-24-10-01-G/standard-unit-rates/</x:v>
      </x:c>
    </x:row>
    <x:row r="6671" ht="21" customHeight="1">
      <x:c r="A6671" s="24" t="n">
        <x:v>46287.479166666664</x:v>
      </x:c>
      <x:c r="B6671" s="6" t="n">
        <x:v>0.2791</x:v>
      </x:c>
      <x:c r="C6671" s="6" t="n">
        <x:v>0.15380000000000002</x:v>
      </x:c>
      <x:c r="D6671" s="6" t="n">
        <x:f>B6671</x:f>
        <x:v>0.2791</x:v>
      </x:c>
      <x:c r="E6671" s="1" t="n">
        <x:v>1.05</x:v>
      </x:c>
      <x:c r="F6671" s="1" t="str">
        <x:v>https://api.octopus.energy/v1/products/AGILE-24-10-01/electricity-tariffs/E-1R-AGILE-24-10-01-G/standard-unit-rates/</x:v>
      </x:c>
    </x:row>
    <x:row r="6672" ht="21" customHeight="1">
      <x:c r="A6672" s="24" t="n">
        <x:v>46287.5</x:v>
      </x:c>
      <x:c r="B6672" s="6" t="n">
        <x:v>0.2817</x:v>
      </x:c>
      <x:c r="C6672" s="6" t="n">
        <x:v>0.1551</x:v>
      </x:c>
      <x:c r="D6672" s="6" t="n">
        <x:f>B6672</x:f>
        <x:v>0.2817</x:v>
      </x:c>
      <x:c r="E6672" s="1" t="n">
        <x:v>1.05</x:v>
      </x:c>
      <x:c r="F6672" s="1" t="str">
        <x:v>https://api.octopus.energy/v1/products/AGILE-24-10-01/electricity-tariffs/E-1R-AGILE-24-10-01-G/standard-unit-rates/</x:v>
      </x:c>
    </x:row>
    <x:row r="6673" ht="21" customHeight="1">
      <x:c r="A6673" s="24" t="n">
        <x:v>46287.520833333336</x:v>
      </x:c>
      <x:c r="B6673" s="6" t="n">
        <x:v>0.2882</x:v>
      </x:c>
      <x:c r="C6673" s="6" t="n">
        <x:v>0.158</x:v>
      </x:c>
      <x:c r="D6673" s="6" t="n">
        <x:f>B6673</x:f>
        <x:v>0.2882</x:v>
      </x:c>
      <x:c r="E6673" s="1" t="n">
        <x:v>1.05</x:v>
      </x:c>
      <x:c r="F6673" s="1" t="str">
        <x:v>https://api.octopus.energy/v1/products/AGILE-24-10-01/electricity-tariffs/E-1R-AGILE-24-10-01-G/standard-unit-rates/</x:v>
      </x:c>
    </x:row>
    <x:row r="6674" ht="21" customHeight="1">
      <x:c r="A6674" s="24" t="n">
        <x:v>46287.541666666664</x:v>
      </x:c>
      <x:c r="B6674" s="6" t="n">
        <x:v>0.2903</x:v>
      </x:c>
      <x:c r="C6674" s="6" t="n">
        <x:v>0.159</x:v>
      </x:c>
      <x:c r="D6674" s="6" t="n">
        <x:f>B6674</x:f>
        <x:v>0.2903</x:v>
      </x:c>
      <x:c r="E6674" s="1" t="n">
        <x:v>1.05</x:v>
      </x:c>
      <x:c r="F6674" s="1" t="str">
        <x:v>https://api.octopus.energy/v1/products/AGILE-24-10-01/electricity-tariffs/E-1R-AGILE-24-10-01-G/standard-unit-rates/</x:v>
      </x:c>
    </x:row>
    <x:row r="6675" ht="21" customHeight="1">
      <x:c r="A6675" s="24" t="n">
        <x:v>46287.5625</x:v>
      </x:c>
      <x:c r="B6675" s="6" t="n">
        <x:v>0.2942</x:v>
      </x:c>
      <x:c r="C6675" s="6" t="n">
        <x:v>0.16079999999999997</x:v>
      </x:c>
      <x:c r="D6675" s="6" t="n">
        <x:f>B6675</x:f>
        <x:v>0.2942</x:v>
      </x:c>
      <x:c r="E6675" s="1" t="n">
        <x:v>1.05</x:v>
      </x:c>
      <x:c r="F6675" s="1" t="str">
        <x:v>https://api.octopus.energy/v1/products/AGILE-24-10-01/electricity-tariffs/E-1R-AGILE-24-10-01-G/standard-unit-rates/</x:v>
      </x:c>
    </x:row>
    <x:row r="6676" ht="21" customHeight="1">
      <x:c r="A6676" s="24" t="n">
        <x:v>46287.583333333336</x:v>
      </x:c>
      <x:c r="B6676" s="6" t="n">
        <x:v>0.2841</x:v>
      </x:c>
      <x:c r="C6676" s="6" t="n">
        <x:v>0.1562</x:v>
      </x:c>
      <x:c r="D6676" s="6" t="n">
        <x:f>B6676</x:f>
        <x:v>0.2841</x:v>
      </x:c>
      <x:c r="E6676" s="1" t="n">
        <x:v>1.05</x:v>
      </x:c>
      <x:c r="F6676" s="1" t="str">
        <x:v>https://api.octopus.energy/v1/products/AGILE-24-10-01/electricity-tariffs/E-1R-AGILE-24-10-01-G/standard-unit-rates/</x:v>
      </x:c>
    </x:row>
    <x:row r="6677" ht="21" customHeight="1">
      <x:c r="A6677" s="24" t="n">
        <x:v>46287.604166666664</x:v>
      </x:c>
      <x:c r="B6677" s="6" t="n">
        <x:v>0.2895</x:v>
      </x:c>
      <x:c r="C6677" s="6" t="n">
        <x:v>0.1586</x:v>
      </x:c>
      <x:c r="D6677" s="6" t="n">
        <x:f>B6677</x:f>
        <x:v>0.2895</x:v>
      </x:c>
      <x:c r="E6677" s="1" t="n">
        <x:v>1.05</x:v>
      </x:c>
      <x:c r="F6677" s="1" t="str">
        <x:v>https://api.octopus.energy/v1/products/AGILE-24-10-01/electricity-tariffs/E-1R-AGILE-24-10-01-G/standard-unit-rates/</x:v>
      </x:c>
    </x:row>
    <x:row r="6678" ht="21" customHeight="1">
      <x:c r="A6678" s="24" t="n">
        <x:v>46287.625</x:v>
      </x:c>
      <x:c r="B6678" s="6" t="n">
        <x:v>0.3041</x:v>
      </x:c>
      <x:c r="C6678" s="6" t="n">
        <x:v>0.1653</x:v>
      </x:c>
      <x:c r="D6678" s="6" t="n">
        <x:f>B6678</x:f>
        <x:v>0.3041</x:v>
      </x:c>
      <x:c r="E6678" s="1" t="n">
        <x:v>1.05</x:v>
      </x:c>
      <x:c r="F6678" s="1" t="str">
        <x:v>https://api.octopus.energy/v1/products/AGILE-24-10-01/electricity-tariffs/E-1R-AGILE-24-10-01-G/standard-unit-rates/</x:v>
      </x:c>
    </x:row>
    <x:row r="6679" ht="21" customHeight="1">
      <x:c r="A6679" s="24" t="n">
        <x:v>46287.645833333336</x:v>
      </x:c>
      <x:c r="B6679" s="6" t="n">
        <x:v>0.3299</x:v>
      </x:c>
      <x:c r="C6679" s="6" t="n">
        <x:v>0.1771</x:v>
      </x:c>
      <x:c r="D6679" s="6" t="n">
        <x:f>B6679</x:f>
        <x:v>0.3299</x:v>
      </x:c>
      <x:c r="E6679" s="1" t="n">
        <x:v>1.05</x:v>
      </x:c>
      <x:c r="F6679" s="1" t="str">
        <x:v>https://api.octopus.energy/v1/products/AGILE-24-10-01/electricity-tariffs/E-1R-AGILE-24-10-01-G/standard-unit-rates/</x:v>
      </x:c>
    </x:row>
    <x:row r="6680" ht="21" customHeight="1">
      <x:c r="A6680" s="24" t="n">
        <x:v>46287.666666666664</x:v>
      </x:c>
      <x:c r="B6680" s="6" t="n">
        <x:v>0.4042</x:v>
      </x:c>
      <x:c r="C6680" s="6" t="n">
        <x:v>0.2151</x:v>
      </x:c>
      <x:c r="D6680" s="6" t="n">
        <x:f>B6680</x:f>
        <x:v>0.4042</x:v>
      </x:c>
      <x:c r="E6680" s="1" t="n">
        <x:v>1.05</x:v>
      </x:c>
      <x:c r="F6680" s="1" t="str">
        <x:v>https://api.octopus.energy/v1/products/AGILE-24-10-01/electricity-tariffs/E-1R-AGILE-24-10-01-G/standard-unit-rates/</x:v>
      </x:c>
    </x:row>
    <x:row r="6681" ht="21" customHeight="1">
      <x:c r="A6681" s="24" t="n">
        <x:v>46287.6875</x:v>
      </x:c>
      <x:c r="B6681" s="6" t="n">
        <x:v>0.5513</x:v>
      </x:c>
      <x:c r="C6681" s="6" t="n">
        <x:v>0.2823</x:v>
      </x:c>
      <x:c r="D6681" s="6" t="n">
        <x:f>B6681</x:f>
        <x:v>0.5513</x:v>
      </x:c>
      <x:c r="E6681" s="1" t="n">
        <x:v>1.05</x:v>
      </x:c>
      <x:c r="F6681" s="1" t="str">
        <x:v>https://api.octopus.energy/v1/products/AGILE-24-10-01/electricity-tariffs/E-1R-AGILE-24-10-01-G/standard-unit-rates/</x:v>
      </x:c>
    </x:row>
    <x:row r="6682" ht="21" customHeight="1">
      <x:c r="A6682" s="24" t="n">
        <x:v>46287.708333333336</x:v>
      </x:c>
      <x:c r="B6682" s="6" t="n">
        <x:v>0.7323999999999999</x:v>
      </x:c>
      <x:c r="C6682" s="6" t="n">
        <x:v>0.3651</x:v>
      </x:c>
      <x:c r="D6682" s="6" t="n">
        <x:f>B6682</x:f>
        <x:v>0.7323999999999999</x:v>
      </x:c>
      <x:c r="E6682" s="1" t="n">
        <x:v>1.05</x:v>
      </x:c>
      <x:c r="F6682" s="1" t="str">
        <x:v>https://api.octopus.energy/v1/products/AGILE-24-10-01/electricity-tariffs/E-1R-AGILE-24-10-01-G/standard-unit-rates/</x:v>
      </x:c>
    </x:row>
    <x:row r="6683" ht="21" customHeight="1">
      <x:c r="A6683" s="24" t="n">
        <x:v>46287.729166666664</x:v>
      </x:c>
      <x:c r="B6683" s="6" t="n">
        <x:v>0.8142</x:v>
      </x:c>
      <x:c r="C6683" s="6" t="n">
        <x:v>0.4025</x:v>
      </x:c>
      <x:c r="D6683" s="6" t="n">
        <x:f>B6683</x:f>
        <x:v>0.8142</x:v>
      </x:c>
      <x:c r="E6683" s="1" t="n">
        <x:v>1.05</x:v>
      </x:c>
      <x:c r="F6683" s="1" t="str">
        <x:v>https://api.octopus.energy/v1/products/AGILE-24-10-01/electricity-tariffs/E-1R-AGILE-24-10-01-G/standard-unit-rates/</x:v>
      </x:c>
    </x:row>
    <x:row r="6684" ht="21" customHeight="1">
      <x:c r="A6684" s="24" t="n">
        <x:v>46287.75</x:v>
      </x:c>
      <x:c r="B6684" s="6" t="n">
        <x:v>0.8216</x:v>
      </x:c>
      <x:c r="C6684" s="6" t="n">
        <x:v>0.40590000000000004</x:v>
      </x:c>
      <x:c r="D6684" s="6" t="n">
        <x:f>B6684</x:f>
        <x:v>0.8216</x:v>
      </x:c>
      <x:c r="E6684" s="1" t="n">
        <x:v>1.05</x:v>
      </x:c>
      <x:c r="F6684" s="1" t="str">
        <x:v>https://api.octopus.energy/v1/products/AGILE-24-10-01/electricity-tariffs/E-1R-AGILE-24-10-01-G/standard-unit-rates/</x:v>
      </x:c>
    </x:row>
    <x:row r="6685" ht="21" customHeight="1">
      <x:c r="A6685" s="24" t="n">
        <x:v>46287.770833333336</x:v>
      </x:c>
      <x:c r="B6685" s="6" t="n">
        <x:v>0.8629000000000001</x:v>
      </x:c>
      <x:c r="C6685" s="6" t="n">
        <x:v>0.42479999999999996</x:v>
      </x:c>
      <x:c r="D6685" s="6" t="n">
        <x:f>B6685</x:f>
        <x:v>0.8629000000000001</x:v>
      </x:c>
      <x:c r="E6685" s="1" t="n">
        <x:v>1.05</x:v>
      </x:c>
      <x:c r="F6685" s="1" t="str">
        <x:v>https://api.octopus.energy/v1/products/AGILE-24-10-01/electricity-tariffs/E-1R-AGILE-24-10-01-G/standard-unit-rates/</x:v>
      </x:c>
    </x:row>
    <x:row r="6686" ht="21" customHeight="1">
      <x:c r="A6686" s="24" t="n">
        <x:v>46287.791666666664</x:v>
      </x:c>
      <x:c r="B6686" s="6" t="n">
        <x:v>0.7259</x:v>
      </x:c>
      <x:c r="C6686" s="6" t="n">
        <x:v>0.35810000000000003</x:v>
      </x:c>
      <x:c r="D6686" s="6" t="n">
        <x:f>B6686</x:f>
        <x:v>0.7259</x:v>
      </x:c>
      <x:c r="E6686" s="1" t="n">
        <x:v>1.05</x:v>
      </x:c>
      <x:c r="F6686" s="1" t="str">
        <x:v>https://api.octopus.energy/v1/products/AGILE-24-10-01/electricity-tariffs/E-1R-AGILE-24-10-01-G/standard-unit-rates/</x:v>
      </x:c>
    </x:row>
    <x:row r="6687" ht="21" customHeight="1">
      <x:c r="A6687" s="24" t="n">
        <x:v>46287.8125</x:v>
      </x:c>
      <x:c r="B6687" s="6" t="n">
        <x:v>0.7495999999999999</x:v>
      </x:c>
      <x:c r="C6687" s="6" t="n">
        <x:v>0.369</x:v>
      </x:c>
      <x:c r="D6687" s="6" t="n">
        <x:f>B6687</x:f>
        <x:v>0.7495999999999999</x:v>
      </x:c>
      <x:c r="E6687" s="1" t="n">
        <x:v>1.05</x:v>
      </x:c>
      <x:c r="F6687" s="1" t="str">
        <x:v>https://api.octopus.energy/v1/products/AGILE-24-10-01/electricity-tariffs/E-1R-AGILE-24-10-01-G/standard-unit-rates/</x:v>
      </x:c>
    </x:row>
    <x:row r="6688" ht="21" customHeight="1">
      <x:c r="A6688" s="24" t="n">
        <x:v>46287.833333333336</x:v>
      </x:c>
      <x:c r="B6688" s="6" t="n">
        <x:v>0.5987</x:v>
      </x:c>
      <x:c r="C6688" s="6" t="n">
        <x:v>0.3</x:v>
      </x:c>
      <x:c r="D6688" s="6" t="n">
        <x:f>B6688</x:f>
        <x:v>0.5987</x:v>
      </x:c>
      <x:c r="E6688" s="1" t="n">
        <x:v>1.05</x:v>
      </x:c>
      <x:c r="F6688" s="1" t="str">
        <x:v>https://api.octopus.energy/v1/products/AGILE-24-10-01/electricity-tariffs/E-1R-AGILE-24-10-01-G/standard-unit-rates/</x:v>
      </x:c>
    </x:row>
    <x:row r="6689" ht="21" customHeight="1">
      <x:c r="A6689" s="24" t="n">
        <x:v>46287.854166666664</x:v>
      </x:c>
      <x:c r="B6689" s="6" t="n">
        <x:v>0.4864</x:v>
      </x:c>
      <x:c r="C6689" s="6" t="n">
        <x:v>0.2486</x:v>
      </x:c>
      <x:c r="D6689" s="6" t="n">
        <x:f>B6689</x:f>
        <x:v>0.4864</x:v>
      </x:c>
      <x:c r="E6689" s="1" t="n">
        <x:v>1.05</x:v>
      </x:c>
      <x:c r="F6689" s="1" t="str">
        <x:v>https://api.octopus.energy/v1/products/AGILE-24-10-01/electricity-tariffs/E-1R-AGILE-24-10-01-G/standard-unit-rates/</x:v>
      </x:c>
    </x:row>
    <x:row r="6690" ht="21" customHeight="1">
      <x:c r="A6690" s="24" t="n">
        <x:v>46287.875</x:v>
      </x:c>
      <x:c r="B6690" s="6" t="n">
        <x:v>0.45380000000000004</x:v>
      </x:c>
      <x:c r="C6690" s="6" t="n">
        <x:v>0.23370000000000002</x:v>
      </x:c>
      <x:c r="D6690" s="6" t="n">
        <x:f>B6690</x:f>
        <x:v>0.45380000000000004</x:v>
      </x:c>
      <x:c r="E6690" s="1" t="n">
        <x:v>1.05</x:v>
      </x:c>
      <x:c r="F6690" s="1" t="str">
        <x:v>https://api.octopus.energy/v1/products/AGILE-24-10-01/electricity-tariffs/E-1R-AGILE-24-10-01-G/standard-unit-rates/</x:v>
      </x:c>
    </x:row>
    <x:row r="6691" ht="21" customHeight="1">
      <x:c r="A6691" s="24" t="n">
        <x:v>46287.895833333336</x:v>
      </x:c>
      <x:c r="B6691" s="6" t="n">
        <x:v>0.3973</x:v>
      </x:c>
      <x:c r="C6691" s="6" t="n">
        <x:v>0.2079</x:v>
      </x:c>
      <x:c r="D6691" s="6" t="n">
        <x:f>B6691</x:f>
        <x:v>0.3973</x:v>
      </x:c>
      <x:c r="E6691" s="1" t="n">
        <x:v>1.05</x:v>
      </x:c>
      <x:c r="F6691" s="1" t="str">
        <x:v>https://api.octopus.energy/v1/products/AGILE-24-10-01/electricity-tariffs/E-1R-AGILE-24-10-01-G/standard-unit-rates/</x:v>
      </x:c>
    </x:row>
    <x:row r="6692" ht="21" customHeight="1">
      <x:c r="A6692" s="24" t="n">
        <x:v>46287.916666666664</x:v>
      </x:c>
      <x:c r="B6692" s="6" t="n">
        <x:v>0.36560000000000004</x:v>
      </x:c>
      <x:c r="C6692" s="6" t="n">
        <x:v>0.1934</x:v>
      </x:c>
      <x:c r="D6692" s="6" t="n">
        <x:f>B6692</x:f>
        <x:v>0.36560000000000004</x:v>
      </x:c>
      <x:c r="E6692" s="1" t="n">
        <x:v>1.05</x:v>
      </x:c>
      <x:c r="F6692" s="1" t="str">
        <x:v>https://api.octopus.energy/v1/products/AGILE-24-10-01/electricity-tariffs/E-1R-AGILE-24-10-01-G/standard-unit-rates/</x:v>
      </x:c>
    </x:row>
    <x:row r="6693" ht="21" customHeight="1">
      <x:c r="A6693" s="24" t="n">
        <x:v>46287.9375</x:v>
      </x:c>
      <x:c r="B6693" s="6" t="n">
        <x:v>0.3236</x:v>
      </x:c>
      <x:c r="C6693" s="6" t="n">
        <x:v>0.17420000000000002</x:v>
      </x:c>
      <x:c r="D6693" s="6" t="n">
        <x:f>B6693</x:f>
        <x:v>0.3236</x:v>
      </x:c>
      <x:c r="E6693" s="1" t="n">
        <x:v>1.05</x:v>
      </x:c>
      <x:c r="F6693" s="1" t="str">
        <x:v>https://api.octopus.energy/v1/products/AGILE-24-10-01/electricity-tariffs/E-1R-AGILE-24-10-01-G/standard-unit-rates/</x:v>
      </x:c>
    </x:row>
    <x:row r="6694" ht="21" customHeight="1">
      <x:c r="A6694" s="24" t="n">
        <x:v>46288</x:v>
      </x:c>
      <x:c r="B6694" s="6" t="n">
        <x:v>0.2756</x:v>
      </x:c>
      <x:c r="C6694" s="6" t="n">
        <x:v>0.1522</x:v>
      </x:c>
      <x:c r="D6694" s="6" t="n">
        <x:f>B6694</x:f>
        <x:v>0.2756</x:v>
      </x:c>
      <x:c r="E6694" s="1" t="n">
        <x:v>1.05</x:v>
      </x:c>
      <x:c r="F6694" s="1" t="str">
        <x:v>https://api.octopus.energy/v1/products/AGILE-24-10-01/electricity-tariffs/E-1R-AGILE-24-10-01-G/standard-unit-rates/</x:v>
      </x:c>
    </x:row>
    <x:row r="6695" ht="21" customHeight="1">
      <x:c r="A6695" s="24" t="n">
        <x:v>46287.979166666664</x:v>
      </x:c>
      <x:c r="B6695" s="6" t="n">
        <x:v>0.2648</x:v>
      </x:c>
      <x:c r="C6695" s="6" t="n">
        <x:v>0.14730000000000001</x:v>
      </x:c>
      <x:c r="D6695" s="6" t="n">
        <x:f>B6695</x:f>
        <x:v>0.2648</x:v>
      </x:c>
      <x:c r="E6695" s="1" t="n">
        <x:v>1.05</x:v>
      </x:c>
      <x:c r="F6695" s="1" t="str">
        <x:v>https://api.octopus.energy/v1/products/AGILE-24-10-01/electricity-tariffs/E-1R-AGILE-24-10-01-G/standard-unit-rates/</x:v>
      </x:c>
    </x:row>
    <x:row r="6696" ht="21" customHeight="1">
      <x:c r="A6696" s="24" t="n">
        <x:v>46288</x:v>
      </x:c>
      <x:c r="B6696" s="6" t="n">
        <x:v>0.27699999999999997</x:v>
      </x:c>
      <x:c r="C6696" s="6" t="n">
        <x:v>0.15289999999999998</x:v>
      </x:c>
      <x:c r="D6696" s="6" t="n">
        <x:f>B6696</x:f>
        <x:v>0.27699999999999997</x:v>
      </x:c>
      <x:c r="E6696" s="1" t="n">
        <x:v>1.05</x:v>
      </x:c>
      <x:c r="F6696" s="1" t="str">
        <x:v>https://api.octopus.energy/v1/products/AGILE-24-10-01/electricity-tariffs/E-1R-AGILE-24-10-01-G/standard-unit-rates/</x:v>
      </x:c>
    </x:row>
    <x:row r="6697" ht="21" customHeight="1">
      <x:c r="A6697" s="24" t="n">
        <x:v>46288.020833333336</x:v>
      </x:c>
      <x:c r="B6697" s="6" t="n">
        <x:v>0.26280000000000003</x:v>
      </x:c>
      <x:c r="C6697" s="6" t="n">
        <x:v>0.1464</x:v>
      </x:c>
      <x:c r="D6697" s="6" t="n">
        <x:f>B6697</x:f>
        <x:v>0.26280000000000003</x:v>
      </x:c>
      <x:c r="E6697" s="1" t="n">
        <x:v>1.05</x:v>
      </x:c>
      <x:c r="F6697" s="1" t="str">
        <x:v>https://api.octopus.energy/v1/products/AGILE-24-10-01/electricity-tariffs/E-1R-AGILE-24-10-01-G/standard-unit-rates/</x:v>
      </x:c>
    </x:row>
    <x:row r="6698" ht="21" customHeight="1">
      <x:c r="A6698" s="24" t="n">
        <x:v>46288.041666666664</x:v>
      </x:c>
      <x:c r="B6698" s="6" t="n">
        <x:v>0.27949999999999997</x:v>
      </x:c>
      <x:c r="C6698" s="6" t="n">
        <x:v>0.15410000000000001</x:v>
      </x:c>
      <x:c r="D6698" s="6" t="n">
        <x:f>B6698</x:f>
        <x:v>0.27949999999999997</x:v>
      </x:c>
      <x:c r="E6698" s="1" t="n">
        <x:v>1.05</x:v>
      </x:c>
      <x:c r="F6698" s="1" t="str">
        <x:v>https://api.octopus.energy/v1/products/AGILE-24-10-01/electricity-tariffs/E-1R-AGILE-24-10-01-G/standard-unit-rates/</x:v>
      </x:c>
    </x:row>
    <x:row r="6699" ht="21" customHeight="1">
      <x:c r="A6699" s="24" t="n">
        <x:v>46288.0625</x:v>
      </x:c>
      <x:c r="B6699" s="6" t="n">
        <x:v>0.26789999999999997</x:v>
      </x:c>
      <x:c r="C6699" s="6" t="n">
        <x:v>0.1487</x:v>
      </x:c>
      <x:c r="D6699" s="6" t="n">
        <x:f>B6699</x:f>
        <x:v>0.26789999999999997</x:v>
      </x:c>
      <x:c r="E6699" s="1" t="n">
        <x:v>1.05</x:v>
      </x:c>
      <x:c r="F6699" s="1" t="str">
        <x:v>https://api.octopus.energy/v1/products/AGILE-24-10-01/electricity-tariffs/E-1R-AGILE-24-10-01-G/standard-unit-rates/</x:v>
      </x:c>
    </x:row>
    <x:row r="6700" ht="21" customHeight="1">
      <x:c r="A6700" s="24" t="n">
        <x:v>46288.083333333336</x:v>
      </x:c>
      <x:c r="B6700" s="6" t="n">
        <x:v>0.2748</x:v>
      </x:c>
      <x:c r="C6700" s="6" t="n">
        <x:v>0.1519</x:v>
      </x:c>
      <x:c r="D6700" s="6" t="n">
        <x:f>B6700</x:f>
        <x:v>0.2748</x:v>
      </x:c>
      <x:c r="E6700" s="1" t="n">
        <x:v>1.05</x:v>
      </x:c>
      <x:c r="F6700" s="1" t="str">
        <x:v>https://api.octopus.energy/v1/products/AGILE-24-10-01/electricity-tariffs/E-1R-AGILE-24-10-01-G/standard-unit-rates/</x:v>
      </x:c>
    </x:row>
    <x:row r="6701" ht="21" customHeight="1">
      <x:c r="A6701" s="24" t="n">
        <x:v>46288.104166666664</x:v>
      </x:c>
      <x:c r="B6701" s="6" t="n">
        <x:v>0.26780000000000004</x:v>
      </x:c>
      <x:c r="C6701" s="6" t="n">
        <x:v>0.1487</x:v>
      </x:c>
      <x:c r="D6701" s="6" t="n">
        <x:f>B6701</x:f>
        <x:v>0.26780000000000004</x:v>
      </x:c>
      <x:c r="E6701" s="1" t="n">
        <x:v>1.05</x:v>
      </x:c>
      <x:c r="F6701" s="1" t="str">
        <x:v>https://api.octopus.energy/v1/products/AGILE-24-10-01/electricity-tariffs/E-1R-AGILE-24-10-01-G/standard-unit-rates/</x:v>
      </x:c>
    </x:row>
    <x:row r="6702" ht="21" customHeight="1">
      <x:c r="A6702" s="24" t="n">
        <x:v>46288.125</x:v>
      </x:c>
      <x:c r="B6702" s="6" t="n">
        <x:v>0.2754</x:v>
      </x:c>
      <x:c r="C6702" s="6" t="n">
        <x:v>0.1522</x:v>
      </x:c>
      <x:c r="D6702" s="6" t="n">
        <x:f>B6702</x:f>
        <x:v>0.2754</x:v>
      </x:c>
      <x:c r="E6702" s="1" t="n">
        <x:v>1.05</x:v>
      </x:c>
      <x:c r="F6702" s="1" t="str">
        <x:v>https://api.octopus.energy/v1/products/AGILE-24-10-01/electricity-tariffs/E-1R-AGILE-24-10-01-G/standard-unit-rates/</x:v>
      </x:c>
    </x:row>
    <x:row r="6703" ht="21" customHeight="1">
      <x:c r="A6703" s="24" t="n">
        <x:v>46288.145833333336</x:v>
      </x:c>
      <x:c r="B6703" s="6" t="n">
        <x:v>0.2648</x:v>
      </x:c>
      <x:c r="C6703" s="6" t="n">
        <x:v>0.14730000000000001</x:v>
      </x:c>
      <x:c r="D6703" s="6" t="n">
        <x:f>B6703</x:f>
        <x:v>0.2648</x:v>
      </x:c>
      <x:c r="E6703" s="1" t="n">
        <x:v>1.05</x:v>
      </x:c>
      <x:c r="F6703" s="1" t="str">
        <x:v>https://api.octopus.energy/v1/products/AGILE-24-10-01/electricity-tariffs/E-1R-AGILE-24-10-01-G/standard-unit-rates/</x:v>
      </x:c>
    </x:row>
    <x:row r="6704" ht="21" customHeight="1">
      <x:c r="A6704" s="24" t="n">
        <x:v>46288.166666666664</x:v>
      </x:c>
      <x:c r="B6704" s="6" t="n">
        <x:v>0.2688</x:v>
      </x:c>
      <x:c r="C6704" s="6" t="n">
        <x:v>0.1491</x:v>
      </x:c>
      <x:c r="D6704" s="6" t="n">
        <x:f>B6704</x:f>
        <x:v>0.2688</x:v>
      </x:c>
      <x:c r="E6704" s="1" t="n">
        <x:v>1.05</x:v>
      </x:c>
      <x:c r="F6704" s="1" t="str">
        <x:v>https://api.octopus.energy/v1/products/AGILE-24-10-01/electricity-tariffs/E-1R-AGILE-24-10-01-G/standard-unit-rates/</x:v>
      </x:c>
    </x:row>
    <x:row r="6705" ht="21" customHeight="1">
      <x:c r="A6705" s="24" t="n">
        <x:v>46288.1875</x:v>
      </x:c>
      <x:c r="B6705" s="6" t="n">
        <x:v>0.26280000000000003</x:v>
      </x:c>
      <x:c r="C6705" s="6" t="n">
        <x:v>0.1464</x:v>
      </x:c>
      <x:c r="D6705" s="6" t="n">
        <x:f>B6705</x:f>
        <x:v>0.26280000000000003</x:v>
      </x:c>
      <x:c r="E6705" s="1" t="n">
        <x:v>1.05</x:v>
      </x:c>
      <x:c r="F6705" s="1" t="str">
        <x:v>https://api.octopus.energy/v1/products/AGILE-24-10-01/electricity-tariffs/E-1R-AGILE-24-10-01-G/standard-unit-rates/</x:v>
      </x:c>
    </x:row>
    <x:row r="6706" ht="21" customHeight="1">
      <x:c r="A6706" s="24" t="n">
        <x:v>46288.208333333336</x:v>
      </x:c>
      <x:c r="B6706" s="6" t="n">
        <x:v>0.2753</x:v>
      </x:c>
      <x:c r="C6706" s="6" t="n">
        <x:v>0.1521</x:v>
      </x:c>
      <x:c r="D6706" s="6" t="n">
        <x:f>B6706</x:f>
        <x:v>0.2753</x:v>
      </x:c>
      <x:c r="E6706" s="1" t="n">
        <x:v>1.05</x:v>
      </x:c>
      <x:c r="F6706" s="1" t="str">
        <x:v>https://api.octopus.energy/v1/products/AGILE-24-10-01/electricity-tariffs/E-1R-AGILE-24-10-01-G/standard-unit-rates/</x:v>
      </x:c>
    </x:row>
    <x:row r="6707" ht="21" customHeight="1">
      <x:c r="A6707" s="24" t="n">
        <x:v>46288.229166666664</x:v>
      </x:c>
      <x:c r="B6707" s="6" t="n">
        <x:v>0.284</x:v>
      </x:c>
      <x:c r="C6707" s="6" t="n">
        <x:v>0.1561</x:v>
      </x:c>
      <x:c r="D6707" s="6" t="n">
        <x:f>B6707</x:f>
        <x:v>0.284</x:v>
      </x:c>
      <x:c r="E6707" s="1" t="n">
        <x:v>1.05</x:v>
      </x:c>
      <x:c r="F6707" s="1" t="str">
        <x:v>https://api.octopus.energy/v1/products/AGILE-24-10-01/electricity-tariffs/E-1R-AGILE-24-10-01-G/standard-unit-rates/</x:v>
      </x:c>
    </x:row>
    <x:row r="6708" ht="21" customHeight="1">
      <x:c r="A6708" s="24" t="n">
        <x:v>46288.25</x:v>
      </x:c>
      <x:c r="B6708" s="6" t="n">
        <x:v>0.31620000000000004</x:v>
      </x:c>
      <x:c r="C6708" s="6" t="n">
        <x:v>0.17079999999999998</x:v>
      </x:c>
      <x:c r="D6708" s="6" t="n">
        <x:f>B6708</x:f>
        <x:v>0.31620000000000004</x:v>
      </x:c>
      <x:c r="E6708" s="1" t="n">
        <x:v>1.05</x:v>
      </x:c>
      <x:c r="F6708" s="1" t="str">
        <x:v>https://api.octopus.energy/v1/products/AGILE-24-10-01/electricity-tariffs/E-1R-AGILE-24-10-01-G/standard-unit-rates/</x:v>
      </x:c>
    </x:row>
    <x:row r="6709" ht="21" customHeight="1">
      <x:c r="A6709" s="24" t="n">
        <x:v>46288.270833333336</x:v>
      </x:c>
      <x:c r="B6709" s="6" t="n">
        <x:v>0.3555</x:v>
      </x:c>
      <x:c r="C6709" s="6" t="n">
        <x:v>0.1888</x:v>
      </x:c>
      <x:c r="D6709" s="6" t="n">
        <x:f>B6709</x:f>
        <x:v>0.3555</x:v>
      </x:c>
      <x:c r="E6709" s="1" t="n">
        <x:v>1.05</x:v>
      </x:c>
      <x:c r="F6709" s="1" t="str">
        <x:v>https://api.octopus.energy/v1/products/AGILE-24-10-01/electricity-tariffs/E-1R-AGILE-24-10-01-G/standard-unit-rates/</x:v>
      </x:c>
    </x:row>
    <x:row r="6710" ht="21" customHeight="1">
      <x:c r="A6710" s="24" t="n">
        <x:v>46288.291666666664</x:v>
      </x:c>
      <x:c r="B6710" s="6" t="n">
        <x:v>0.3515</x:v>
      </x:c>
      <x:c r="C6710" s="6" t="n">
        <x:v>0.187</x:v>
      </x:c>
      <x:c r="D6710" s="6" t="n">
        <x:f>B6710</x:f>
        <x:v>0.3515</x:v>
      </x:c>
      <x:c r="E6710" s="1" t="n">
        <x:v>1.05</x:v>
      </x:c>
      <x:c r="F6710" s="1" t="str">
        <x:v>https://api.octopus.energy/v1/products/AGILE-24-10-01/electricity-tariffs/E-1R-AGILE-24-10-01-G/standard-unit-rates/</x:v>
      </x:c>
    </x:row>
    <x:row r="6711" ht="21" customHeight="1">
      <x:c r="A6711" s="24" t="n">
        <x:v>46288.3125</x:v>
      </x:c>
      <x:c r="B6711" s="6" t="n">
        <x:v>0.3726</x:v>
      </x:c>
      <x:c r="C6711" s="6" t="n">
        <x:v>0.1966</x:v>
      </x:c>
      <x:c r="D6711" s="6" t="n">
        <x:f>B6711</x:f>
        <x:v>0.3726</x:v>
      </x:c>
      <x:c r="E6711" s="1" t="n">
        <x:v>1.05</x:v>
      </x:c>
      <x:c r="F6711" s="1" t="str">
        <x:v>https://api.octopus.energy/v1/products/AGILE-24-10-01/electricity-tariffs/E-1R-AGILE-24-10-01-G/standard-unit-rates/</x:v>
      </x:c>
    </x:row>
    <x:row r="6712" ht="21" customHeight="1">
      <x:c r="A6712" s="24" t="n">
        <x:v>46288.333333333336</x:v>
      </x:c>
      <x:c r="B6712" s="6" t="n">
        <x:v>0.29</x:v>
      </x:c>
      <x:c r="C6712" s="6" t="n">
        <x:v>0.1588</x:v>
      </x:c>
      <x:c r="D6712" s="6" t="n">
        <x:f>B6712</x:f>
        <x:v>0.29</x:v>
      </x:c>
      <x:c r="E6712" s="1" t="n">
        <x:v>1.05</x:v>
      </x:c>
      <x:c r="F6712" s="1" t="str">
        <x:v>https://api.octopus.energy/v1/products/AGILE-24-10-01/electricity-tariffs/E-1R-AGILE-24-10-01-G/standard-unit-rates/</x:v>
      </x:c>
    </x:row>
    <x:row r="6713" ht="21" customHeight="1">
      <x:c r="A6713" s="24" t="n">
        <x:v>46288.354166666664</x:v>
      </x:c>
      <x:c r="B6713" s="6" t="n">
        <x:v>0.28850000000000003</x:v>
      </x:c>
      <x:c r="C6713" s="6" t="n">
        <x:v>0.1582</x:v>
      </x:c>
      <x:c r="D6713" s="6" t="n">
        <x:f>B6713</x:f>
        <x:v>0.28850000000000003</x:v>
      </x:c>
      <x:c r="E6713" s="1" t="n">
        <x:v>1.05</x:v>
      </x:c>
      <x:c r="F6713" s="1" t="str">
        <x:v>https://api.octopus.energy/v1/products/AGILE-24-10-01/electricity-tariffs/E-1R-AGILE-24-10-01-G/standard-unit-rates/</x:v>
      </x:c>
    </x:row>
    <x:row r="6714" ht="21" customHeight="1">
      <x:c r="A6714" s="24" t="n">
        <x:v>46288.375</x:v>
      </x:c>
      <x:c r="B6714" s="6" t="n">
        <x:v>0.2711</x:v>
      </x:c>
      <x:c r="C6714" s="6" t="n">
        <x:v>0.1502</x:v>
      </x:c>
      <x:c r="D6714" s="6" t="n">
        <x:f>B6714</x:f>
        <x:v>0.2711</x:v>
      </x:c>
      <x:c r="E6714" s="1" t="n">
        <x:v>1.05</x:v>
      </x:c>
      <x:c r="F6714" s="1" t="str">
        <x:v>https://api.octopus.energy/v1/products/AGILE-24-10-01/electricity-tariffs/E-1R-AGILE-24-10-01-G/standard-unit-rates/</x:v>
      </x:c>
    </x:row>
    <x:row r="6715" ht="21" customHeight="1">
      <x:c r="A6715" s="24" t="n">
        <x:v>46288.395833333336</x:v>
      </x:c>
      <x:c r="B6715" s="6" t="n">
        <x:v>0.2711</x:v>
      </x:c>
      <x:c r="C6715" s="6" t="n">
        <x:v>0.1502</x:v>
      </x:c>
      <x:c r="D6715" s="6" t="n">
        <x:f>B6715</x:f>
        <x:v>0.2711</x:v>
      </x:c>
      <x:c r="E6715" s="1" t="n">
        <x:v>1.05</x:v>
      </x:c>
      <x:c r="F6715" s="1" t="str">
        <x:v>https://api.octopus.energy/v1/products/AGILE-24-10-01/electricity-tariffs/E-1R-AGILE-24-10-01-G/standard-unit-rates/</x:v>
      </x:c>
    </x:row>
    <x:row r="6716" ht="21" customHeight="1">
      <x:c r="A6716" s="24" t="n">
        <x:v>46288.416666666664</x:v>
      </x:c>
      <x:c r="B6716" s="6" t="n">
        <x:v>0.3077</x:v>
      </x:c>
      <x:c r="C6716" s="6" t="n">
        <x:v>0.16690000000000002</x:v>
      </x:c>
      <x:c r="D6716" s="6" t="n">
        <x:f>B6716</x:f>
        <x:v>0.3077</x:v>
      </x:c>
      <x:c r="E6716" s="1" t="n">
        <x:v>1.05</x:v>
      </x:c>
      <x:c r="F6716" s="1" t="str">
        <x:v>https://api.octopus.energy/v1/products/AGILE-24-10-01/electricity-tariffs/E-1R-AGILE-24-10-01-G/standard-unit-rates/</x:v>
      </x:c>
    </x:row>
    <x:row r="6717" ht="21" customHeight="1">
      <x:c r="A6717" s="24" t="n">
        <x:v>46288.4375</x:v>
      </x:c>
      <x:c r="B6717" s="6" t="n">
        <x:v>0.2707</x:v>
      </x:c>
      <x:c r="C6717" s="6" t="n">
        <x:v>0.15</x:v>
      </x:c>
      <x:c r="D6717" s="6" t="n">
        <x:f>B6717</x:f>
        <x:v>0.2707</x:v>
      </x:c>
      <x:c r="E6717" s="1" t="n">
        <x:v>1.05</x:v>
      </x:c>
      <x:c r="F6717" s="1" t="str">
        <x:v>https://api.octopus.energy/v1/products/AGILE-24-10-01/electricity-tariffs/E-1R-AGILE-24-10-01-G/standard-unit-rates/</x:v>
      </x:c>
    </x:row>
    <x:row r="6718" ht="21" customHeight="1">
      <x:c r="A6718" s="24" t="n">
        <x:v>46288.458333333336</x:v>
      </x:c>
      <x:c r="B6718" s="6" t="n">
        <x:v>0.2596</x:v>
      </x:c>
      <x:c r="C6718" s="6" t="n">
        <x:v>0.1449</x:v>
      </x:c>
      <x:c r="D6718" s="6" t="n">
        <x:f>B6718</x:f>
        <x:v>0.2596</x:v>
      </x:c>
      <x:c r="E6718" s="1" t="n">
        <x:v>1.05</x:v>
      </x:c>
      <x:c r="F6718" s="1" t="str">
        <x:v>https://api.octopus.energy/v1/products/AGILE-24-10-01/electricity-tariffs/E-1R-AGILE-24-10-01-G/standard-unit-rates/</x:v>
      </x:c>
    </x:row>
    <x:row r="6719" ht="21" customHeight="1">
      <x:c r="A6719" s="24" t="n">
        <x:v>46288.479166666664</x:v>
      </x:c>
      <x:c r="B6719" s="6" t="n">
        <x:v>0.2396</x:v>
      </x:c>
      <x:c r="C6719" s="6" t="n">
        <x:v>0.1358</x:v>
      </x:c>
      <x:c r="D6719" s="6" t="n">
        <x:f>B6719</x:f>
        <x:v>0.2396</x:v>
      </x:c>
      <x:c r="E6719" s="1" t="n">
        <x:v>1.05</x:v>
      </x:c>
      <x:c r="F6719" s="1" t="str">
        <x:v>https://api.octopus.energy/v1/products/AGILE-24-10-01/electricity-tariffs/E-1R-AGILE-24-10-01-G/standard-unit-rates/</x:v>
      </x:c>
    </x:row>
    <x:row r="6720" ht="21" customHeight="1">
      <x:c r="A6720" s="24" t="n">
        <x:v>46288.5</x:v>
      </x:c>
      <x:c r="B6720" s="6" t="n">
        <x:v>0.2354</x:v>
      </x:c>
      <x:c r="C6720" s="6" t="n">
        <x:v>0.13390000000000002</x:v>
      </x:c>
      <x:c r="D6720" s="6" t="n">
        <x:f>B6720</x:f>
        <x:v>0.2354</x:v>
      </x:c>
      <x:c r="E6720" s="1" t="n">
        <x:v>1.05</x:v>
      </x:c>
      <x:c r="F6720" s="1" t="str">
        <x:v>https://api.octopus.energy/v1/products/AGILE-24-10-01/electricity-tariffs/E-1R-AGILE-24-10-01-G/standard-unit-rates/</x:v>
      </x:c>
    </x:row>
    <x:row r="6721" ht="21" customHeight="1">
      <x:c r="A6721" s="24" t="n">
        <x:v>46288.520833333336</x:v>
      </x:c>
      <x:c r="B6721" s="6" t="n">
        <x:v>0.2285</x:v>
      </x:c>
      <x:c r="C6721" s="6" t="n">
        <x:v>0.1307</x:v>
      </x:c>
      <x:c r="D6721" s="6" t="n">
        <x:f>B6721</x:f>
        <x:v>0.2285</x:v>
      </x:c>
      <x:c r="E6721" s="1" t="n">
        <x:v>1.05</x:v>
      </x:c>
      <x:c r="F6721" s="1" t="str">
        <x:v>https://api.octopus.energy/v1/products/AGILE-24-10-01/electricity-tariffs/E-1R-AGILE-24-10-01-G/standard-unit-rates/</x:v>
      </x:c>
    </x:row>
    <x:row r="6722" ht="21" customHeight="1">
      <x:c r="A6722" s="24" t="n">
        <x:v>46288.541666666664</x:v>
      </x:c>
      <x:c r="B6722" s="6" t="n">
        <x:v>0.2376</x:v>
      </x:c>
      <x:c r="C6722" s="6" t="n">
        <x:v>0.1349</x:v>
      </x:c>
      <x:c r="D6722" s="6" t="n">
        <x:f>B6722</x:f>
        <x:v>0.2376</x:v>
      </x:c>
      <x:c r="E6722" s="1" t="n">
        <x:v>1.05</x:v>
      </x:c>
      <x:c r="F6722" s="1" t="str">
        <x:v>https://api.octopus.energy/v1/products/AGILE-24-10-01/electricity-tariffs/E-1R-AGILE-24-10-01-G/standard-unit-rates/</x:v>
      </x:c>
    </x:row>
    <x:row r="6723" ht="21" customHeight="1">
      <x:c r="A6723" s="24" t="n">
        <x:v>46288.5625</x:v>
      </x:c>
      <x:c r="B6723" s="6" t="n">
        <x:v>0.21989999999999998</x:v>
      </x:c>
      <x:c r="C6723" s="6" t="n">
        <x:v>0.1268</x:v>
      </x:c>
      <x:c r="D6723" s="6" t="n">
        <x:f>B6723</x:f>
        <x:v>0.21989999999999998</x:v>
      </x:c>
      <x:c r="E6723" s="1" t="n">
        <x:v>1.05</x:v>
      </x:c>
      <x:c r="F6723" s="1" t="str">
        <x:v>https://api.octopus.energy/v1/products/AGILE-24-10-01/electricity-tariffs/E-1R-AGILE-24-10-01-G/standard-unit-rates/</x:v>
      </x:c>
    </x:row>
    <x:row r="6724" ht="21" customHeight="1">
      <x:c r="A6724" s="24" t="n">
        <x:v>46288.583333333336</x:v>
      </x:c>
      <x:c r="B6724" s="6" t="n">
        <x:v>0.214</x:v>
      </x:c>
      <x:c r="C6724" s="6" t="n">
        <x:v>0.1241</x:v>
      </x:c>
      <x:c r="D6724" s="6" t="n">
        <x:f>B6724</x:f>
        <x:v>0.214</x:v>
      </x:c>
      <x:c r="E6724" s="1" t="n">
        <x:v>1.05</x:v>
      </x:c>
      <x:c r="F6724" s="1" t="str">
        <x:v>https://api.octopus.energy/v1/products/AGILE-24-10-01/electricity-tariffs/E-1R-AGILE-24-10-01-G/standard-unit-rates/</x:v>
      </x:c>
    </x:row>
    <x:row r="6725" ht="21" customHeight="1">
      <x:c r="A6725" s="24" t="n">
        <x:v>46288.604166666664</x:v>
      </x:c>
      <x:c r="B6725" s="6" t="n">
        <x:v>0.214</x:v>
      </x:c>
      <x:c r="C6725" s="6" t="n">
        <x:v>0.1241</x:v>
      </x:c>
      <x:c r="D6725" s="6" t="n">
        <x:f>B6725</x:f>
        <x:v>0.214</x:v>
      </x:c>
      <x:c r="E6725" s="1" t="n">
        <x:v>1.05</x:v>
      </x:c>
      <x:c r="F6725" s="1" t="str">
        <x:v>https://api.octopus.energy/v1/products/AGILE-24-10-01/electricity-tariffs/E-1R-AGILE-24-10-01-G/standard-unit-rates/</x:v>
      </x:c>
    </x:row>
    <x:row r="6726" ht="21" customHeight="1">
      <x:c r="A6726" s="24" t="n">
        <x:v>46288.625</x:v>
      </x:c>
      <x:c r="B6726" s="6" t="n">
        <x:v>0.2208</x:v>
      </x:c>
      <x:c r="C6726" s="6" t="n">
        <x:v>0.1272</x:v>
      </x:c>
      <x:c r="D6726" s="6" t="n">
        <x:f>B6726</x:f>
        <x:v>0.2208</x:v>
      </x:c>
      <x:c r="E6726" s="1" t="n">
        <x:v>1.05</x:v>
      </x:c>
      <x:c r="F6726" s="1" t="str">
        <x:v>https://api.octopus.energy/v1/products/AGILE-24-10-01/electricity-tariffs/E-1R-AGILE-24-10-01-G/standard-unit-rates/</x:v>
      </x:c>
    </x:row>
    <x:row r="6727" ht="21" customHeight="1">
      <x:c r="A6727" s="24" t="n">
        <x:v>46288.645833333336</x:v>
      </x:c>
      <x:c r="B6727" s="6" t="n">
        <x:v>0.2334</x:v>
      </x:c>
      <x:c r="C6727" s="6" t="n">
        <x:v>0.133</x:v>
      </x:c>
      <x:c r="D6727" s="6" t="n">
        <x:f>B6727</x:f>
        <x:v>0.2334</x:v>
      </x:c>
      <x:c r="E6727" s="1" t="n">
        <x:v>1.05</x:v>
      </x:c>
      <x:c r="F6727" s="1" t="str">
        <x:v>https://api.octopus.energy/v1/products/AGILE-24-10-01/electricity-tariffs/E-1R-AGILE-24-10-01-G/standard-unit-rates/</x:v>
      </x:c>
    </x:row>
    <x:row r="6728" ht="21" customHeight="1">
      <x:c r="A6728" s="24" t="n">
        <x:v>46288.666666666664</x:v>
      </x:c>
      <x:c r="B6728" s="6" t="n">
        <x:v>0.3911</x:v>
      </x:c>
      <x:c r="C6728" s="6" t="n">
        <x:v>0.2091</x:v>
      </x:c>
      <x:c r="D6728" s="6" t="n">
        <x:f>B6728</x:f>
        <x:v>0.3911</x:v>
      </x:c>
      <x:c r="E6728" s="1" t="n">
        <x:v>1.05</x:v>
      </x:c>
      <x:c r="F6728" s="1" t="str">
        <x:v>https://api.octopus.energy/v1/products/AGILE-24-10-01/electricity-tariffs/E-1R-AGILE-24-10-01-G/standard-unit-rates/</x:v>
      </x:c>
    </x:row>
    <x:row r="6729" ht="21" customHeight="1">
      <x:c r="A6729" s="24" t="n">
        <x:v>46288.6875</x:v>
      </x:c>
      <x:c r="B6729" s="6" t="n">
        <x:v>0.39390000000000003</x:v>
      </x:c>
      <x:c r="C6729" s="6" t="n">
        <x:v>0.2104</x:v>
      </x:c>
      <x:c r="D6729" s="6" t="n">
        <x:f>B6729</x:f>
        <x:v>0.39390000000000003</x:v>
      </x:c>
      <x:c r="E6729" s="1" t="n">
        <x:v>1.05</x:v>
      </x:c>
      <x:c r="F6729" s="1" t="str">
        <x:v>https://api.octopus.energy/v1/products/AGILE-24-10-01/electricity-tariffs/E-1R-AGILE-24-10-01-G/standard-unit-rates/</x:v>
      </x:c>
    </x:row>
    <x:row r="6730" ht="21" customHeight="1">
      <x:c r="A6730" s="24" t="n">
        <x:v>46288.708333333336</x:v>
      </x:c>
      <x:c r="B6730" s="6" t="n">
        <x:v>0.42469999999999997</x:v>
      </x:c>
      <x:c r="C6730" s="6" t="n">
        <x:v>0.2245</x:v>
      </x:c>
      <x:c r="D6730" s="6" t="n">
        <x:f>B6730</x:f>
        <x:v>0.42469999999999997</x:v>
      </x:c>
      <x:c r="E6730" s="1" t="n">
        <x:v>1.05</x:v>
      </x:c>
      <x:c r="F6730" s="1" t="str">
        <x:v>https://api.octopus.energy/v1/products/AGILE-24-10-01/electricity-tariffs/E-1R-AGILE-24-10-01-G/standard-unit-rates/</x:v>
      </x:c>
    </x:row>
    <x:row r="6731" ht="21" customHeight="1">
      <x:c r="A6731" s="24" t="n">
        <x:v>46288.729166666664</x:v>
      </x:c>
      <x:c r="B6731" s="6" t="n">
        <x:v>0.46740000000000004</x:v>
      </x:c>
      <x:c r="C6731" s="6" t="n">
        <x:v>0.244</x:v>
      </x:c>
      <x:c r="D6731" s="6" t="n">
        <x:f>B6731</x:f>
        <x:v>0.46740000000000004</x:v>
      </x:c>
      <x:c r="E6731" s="1" t="n">
        <x:v>1.05</x:v>
      </x:c>
      <x:c r="F6731" s="1" t="str">
        <x:v>https://api.octopus.energy/v1/products/AGILE-24-10-01/electricity-tariffs/E-1R-AGILE-24-10-01-G/standard-unit-rates/</x:v>
      </x:c>
    </x:row>
    <x:row r="6732" ht="21" customHeight="1">
      <x:c r="A6732" s="24" t="n">
        <x:v>46288.75</x:v>
      </x:c>
      <x:c r="B6732" s="6" t="n">
        <x:v>0.48560000000000003</x:v>
      </x:c>
      <x:c r="C6732" s="6" t="n">
        <x:v>0.2523</x:v>
      </x:c>
      <x:c r="D6732" s="6" t="n">
        <x:f>B6732</x:f>
        <x:v>0.48560000000000003</x:v>
      </x:c>
      <x:c r="E6732" s="1" t="n">
        <x:v>1.05</x:v>
      </x:c>
      <x:c r="F6732" s="1" t="str">
        <x:v>https://api.octopus.energy/v1/products/AGILE-24-10-01/electricity-tariffs/E-1R-AGILE-24-10-01-G/standard-unit-rates/</x:v>
      </x:c>
    </x:row>
    <x:row r="6733" ht="21" customHeight="1">
      <x:c r="A6733" s="24" t="n">
        <x:v>46288.770833333336</x:v>
      </x:c>
      <x:c r="B6733" s="6" t="n">
        <x:v>0.5126</x:v>
      </x:c>
      <x:c r="C6733" s="6" t="n">
        <x:v>0.2646</x:v>
      </x:c>
      <x:c r="D6733" s="6" t="n">
        <x:f>B6733</x:f>
        <x:v>0.5126</x:v>
      </x:c>
      <x:c r="E6733" s="1" t="n">
        <x:v>1.05</x:v>
      </x:c>
      <x:c r="F6733" s="1" t="str">
        <x:v>https://api.octopus.energy/v1/products/AGILE-24-10-01/electricity-tariffs/E-1R-AGILE-24-10-01-G/standard-unit-rates/</x:v>
      </x:c>
    </x:row>
    <x:row r="6734" ht="21" customHeight="1">
      <x:c r="A6734" s="24" t="n">
        <x:v>46288.791666666664</x:v>
      </x:c>
      <x:c r="B6734" s="6" t="n">
        <x:v>0.3749</x:v>
      </x:c>
      <x:c r="C6734" s="6" t="n">
        <x:v>0.1977</x:v>
      </x:c>
      <x:c r="D6734" s="6" t="n">
        <x:f>B6734</x:f>
        <x:v>0.3749</x:v>
      </x:c>
      <x:c r="E6734" s="1" t="n">
        <x:v>1.05</x:v>
      </x:c>
      <x:c r="F6734" s="1" t="str">
        <x:v>https://api.octopus.energy/v1/products/AGILE-24-10-01/electricity-tariffs/E-1R-AGILE-24-10-01-G/standard-unit-rates/</x:v>
      </x:c>
    </x:row>
    <x:row r="6735" ht="21" customHeight="1">
      <x:c r="A6735" s="24" t="n">
        <x:v>46288.8125</x:v>
      </x:c>
      <x:c r="B6735" s="6" t="n">
        <x:v>0.3832</x:v>
      </x:c>
      <x:c r="C6735" s="6" t="n">
        <x:v>0.2014</x:v>
      </x:c>
      <x:c r="D6735" s="6" t="n">
        <x:f>B6735</x:f>
        <x:v>0.3832</x:v>
      </x:c>
      <x:c r="E6735" s="1" t="n">
        <x:v>1.05</x:v>
      </x:c>
      <x:c r="F6735" s="1" t="str">
        <x:v>https://api.octopus.energy/v1/products/AGILE-24-10-01/electricity-tariffs/E-1R-AGILE-24-10-01-G/standard-unit-rates/</x:v>
      </x:c>
    </x:row>
    <x:row r="6736" ht="21" customHeight="1">
      <x:c r="A6736" s="24" t="n">
        <x:v>46288.833333333336</x:v>
      </x:c>
      <x:c r="B6736" s="6" t="n">
        <x:v>0.3458</x:v>
      </x:c>
      <x:c r="C6736" s="6" t="n">
        <x:v>0.1844</x:v>
      </x:c>
      <x:c r="D6736" s="6" t="n">
        <x:f>B6736</x:f>
        <x:v>0.3458</x:v>
      </x:c>
      <x:c r="E6736" s="1" t="n">
        <x:v>1.05</x:v>
      </x:c>
      <x:c r="F6736" s="1" t="str">
        <x:v>https://api.octopus.energy/v1/products/AGILE-24-10-01/electricity-tariffs/E-1R-AGILE-24-10-01-G/standard-unit-rates/</x:v>
      </x:c>
    </x:row>
    <x:row r="6737" ht="21" customHeight="1">
      <x:c r="A6737" s="24" t="n">
        <x:v>46288.854166666664</x:v>
      </x:c>
      <x:c r="B6737" s="6" t="n">
        <x:v>0.3154</x:v>
      </x:c>
      <x:c r="C6737" s="6" t="n">
        <x:v>0.1705</x:v>
      </x:c>
      <x:c r="D6737" s="6" t="n">
        <x:f>B6737</x:f>
        <x:v>0.3154</x:v>
      </x:c>
      <x:c r="E6737" s="1" t="n">
        <x:v>1.05</x:v>
      </x:c>
      <x:c r="F6737" s="1" t="str">
        <x:v>https://api.octopus.energy/v1/products/AGILE-24-10-01/electricity-tariffs/E-1R-AGILE-24-10-01-G/standard-unit-rates/</x:v>
      </x:c>
    </x:row>
    <x:row r="6738" ht="21" customHeight="1">
      <x:c r="A6738" s="24" t="n">
        <x:v>46288.875</x:v>
      </x:c>
      <x:c r="B6738" s="6" t="n">
        <x:v>0.2928</x:v>
      </x:c>
      <x:c r="C6738" s="6" t="n">
        <x:v>0.16010000000000002</x:v>
      </x:c>
      <x:c r="D6738" s="6" t="n">
        <x:f>B6738</x:f>
        <x:v>0.2928</x:v>
      </x:c>
      <x:c r="E6738" s="1" t="n">
        <x:v>1.05</x:v>
      </x:c>
      <x:c r="F6738" s="1" t="str">
        <x:v>https://api.octopus.energy/v1/products/AGILE-24-10-01/electricity-tariffs/E-1R-AGILE-24-10-01-G/standard-unit-rates/</x:v>
      </x:c>
    </x:row>
    <x:row r="6739" ht="21" customHeight="1">
      <x:c r="A6739" s="24" t="n">
        <x:v>46288.895833333336</x:v>
      </x:c>
      <x:c r="B6739" s="6" t="n">
        <x:v>0.2889</x:v>
      </x:c>
      <x:c r="C6739" s="6" t="n">
        <x:v>0.15839999999999999</x:v>
      </x:c>
      <x:c r="D6739" s="6" t="n">
        <x:f>B6739</x:f>
        <x:v>0.2889</x:v>
      </x:c>
      <x:c r="E6739" s="1" t="n">
        <x:v>1.05</x:v>
      </x:c>
      <x:c r="F6739" s="1" t="str">
        <x:v>https://api.octopus.energy/v1/products/AGILE-24-10-01/electricity-tariffs/E-1R-AGILE-24-10-01-G/standard-unit-rates/</x:v>
      </x:c>
    </x:row>
    <x:row r="6740" ht="21" customHeight="1">
      <x:c r="A6740" s="24" t="n">
        <x:v>46288.916666666664</x:v>
      </x:c>
      <x:c r="B6740" s="6" t="n">
        <x:v>0.2805</x:v>
      </x:c>
      <x:c r="C6740" s="6" t="n">
        <x:v>0.1545</x:v>
      </x:c>
      <x:c r="D6740" s="6" t="n">
        <x:f>B6740</x:f>
        <x:v>0.2805</x:v>
      </x:c>
      <x:c r="E6740" s="1" t="n">
        <x:v>1.05</x:v>
      </x:c>
      <x:c r="F6740" s="1" t="str">
        <x:v>https://api.octopus.energy/v1/products/AGILE-24-10-01/electricity-tariffs/E-1R-AGILE-24-10-01-G/standard-unit-rates/</x:v>
      </x:c>
    </x:row>
    <x:row r="6741" ht="21" customHeight="1">
      <x:c r="A6741" s="24" t="n">
        <x:v>46288.9375</x:v>
      </x:c>
      <x:c r="B6741" s="6" t="n">
        <x:v>0.2809</x:v>
      </x:c>
      <x:c r="C6741" s="6" t="n">
        <x:v>0.1547</x:v>
      </x:c>
      <x:c r="D6741" s="6" t="n">
        <x:f>B6741</x:f>
        <x:v>0.2809</x:v>
      </x:c>
      <x:c r="E6741" s="1" t="n">
        <x:v>1.05</x:v>
      </x:c>
      <x:c r="F6741" s="1" t="str">
        <x:v>https://api.octopus.energy/v1/products/AGILE-24-10-01/electricity-tariffs/E-1R-AGILE-24-10-01-G/standard-unit-rates/</x:v>
      </x:c>
    </x:row>
    <x:row r="6742" ht="21" customHeight="1">
      <x:c r="A6742" s="24" t="n">
        <x:v>46289</x:v>
      </x:c>
      <x:c r="B6742" s="6" t="n">
        <x:v>0.2961</x:v>
      </x:c>
      <x:c r="C6742" s="6" t="n">
        <x:v>0.1616</x:v>
      </x:c>
      <x:c r="D6742" s="6" t="n">
        <x:f>B6742</x:f>
        <x:v>0.2961</x:v>
      </x:c>
      <x:c r="E6742" s="1" t="n">
        <x:v>1.05</x:v>
      </x:c>
      <x:c r="F6742" s="1" t="str">
        <x:v>https://api.octopus.energy/v1/products/AGILE-24-10-01/electricity-tariffs/E-1R-AGILE-24-10-01-G/standard-unit-rates/</x:v>
      </x:c>
    </x:row>
    <x:row r="6743" ht="21" customHeight="1">
      <x:c r="A6743" s="24" t="n">
        <x:v>46288.979166666664</x:v>
      </x:c>
      <x:c r="B6743" s="6" t="n">
        <x:v>0.2791</x:v>
      </x:c>
      <x:c r="C6743" s="6" t="n">
        <x:v>0.1539</x:v>
      </x:c>
      <x:c r="D6743" s="6" t="n">
        <x:f>B6743</x:f>
        <x:v>0.2791</x:v>
      </x:c>
      <x:c r="E6743" s="1" t="n">
        <x:v>1.05</x:v>
      </x:c>
      <x:c r="F6743" s="1" t="str">
        <x:v>https://api.octopus.energy/v1/products/AGILE-24-10-01/electricity-tariffs/E-1R-AGILE-24-10-01-G/standard-unit-rates/</x:v>
      </x:c>
    </x:row>
    <x:row r="6744" ht="21" customHeight="1">
      <x:c r="A6744" s="24" t="n">
        <x:v>46289</x:v>
      </x:c>
      <x:c r="B6744" s="6" t="n">
        <x:v>0.2754</x:v>
      </x:c>
      <x:c r="C6744" s="6" t="n">
        <x:v>0.1522</x:v>
      </x:c>
      <x:c r="D6744" s="6" t="n">
        <x:f>B6744</x:f>
        <x:v>0.2754</x:v>
      </x:c>
      <x:c r="E6744" s="1" t="n">
        <x:v>1.05</x:v>
      </x:c>
      <x:c r="F6744" s="1" t="str">
        <x:v>https://api.octopus.energy/v1/products/AGILE-24-10-01/electricity-tariffs/E-1R-AGILE-24-10-01-G/standard-unit-rates/</x:v>
      </x:c>
    </x:row>
    <x:row r="6745" ht="21" customHeight="1">
      <x:c r="A6745" s="24" t="n">
        <x:v>46289.020833333336</x:v>
      </x:c>
      <x:c r="B6745" s="6" t="n">
        <x:v>0.2726</x:v>
      </x:c>
      <x:c r="C6745" s="6" t="n">
        <x:v>0.1509</x:v>
      </x:c>
      <x:c r="D6745" s="6" t="n">
        <x:f>B6745</x:f>
        <x:v>0.2726</x:v>
      </x:c>
      <x:c r="E6745" s="1" t="n">
        <x:v>1.05</x:v>
      </x:c>
      <x:c r="F6745" s="1" t="str">
        <x:v>https://api.octopus.energy/v1/products/AGILE-24-10-01/electricity-tariffs/E-1R-AGILE-24-10-01-G/standard-unit-rates/</x:v>
      </x:c>
    </x:row>
    <x:row r="6746" ht="21" customHeight="1">
      <x:c r="A6746" s="24" t="n">
        <x:v>46289.041666666664</x:v>
      </x:c>
      <x:c r="B6746" s="6" t="n">
        <x:v>0.2612</x:v>
      </x:c>
      <x:c r="C6746" s="6" t="n">
        <x:v>0.1457</x:v>
      </x:c>
      <x:c r="D6746" s="6" t="n">
        <x:f>B6746</x:f>
        <x:v>0.2612</x:v>
      </x:c>
      <x:c r="E6746" s="1" t="n">
        <x:v>1.05</x:v>
      </x:c>
      <x:c r="F6746" s="1" t="str">
        <x:v>https://api.octopus.energy/v1/products/AGILE-24-10-01/electricity-tariffs/E-1R-AGILE-24-10-01-G/standard-unit-rates/</x:v>
      </x:c>
    </x:row>
    <x:row r="6747" ht="21" customHeight="1">
      <x:c r="A6747" s="24" t="n">
        <x:v>46289.0625</x:v>
      </x:c>
      <x:c r="B6747" s="6" t="n">
        <x:v>0.2495</x:v>
      </x:c>
      <x:c r="C6747" s="6" t="n">
        <x:v>0.14029999999999998</x:v>
      </x:c>
      <x:c r="D6747" s="6" t="n">
        <x:f>B6747</x:f>
        <x:v>0.2495</x:v>
      </x:c>
      <x:c r="E6747" s="1" t="n">
        <x:v>1.05</x:v>
      </x:c>
      <x:c r="F6747" s="1" t="str">
        <x:v>https://api.octopus.energy/v1/products/AGILE-24-10-01/electricity-tariffs/E-1R-AGILE-24-10-01-G/standard-unit-rates/</x:v>
      </x:c>
    </x:row>
    <x:row r="6748" ht="21" customHeight="1">
      <x:c r="A6748" s="24" t="n">
        <x:v>46289.083333333336</x:v>
      </x:c>
      <x:c r="B6748" s="6" t="n">
        <x:v>0.24</x:v>
      </x:c>
      <x:c r="C6748" s="6" t="n">
        <x:v>0.136</x:v>
      </x:c>
      <x:c r="D6748" s="6" t="n">
        <x:f>B6748</x:f>
        <x:v>0.24</x:v>
      </x:c>
      <x:c r="E6748" s="1" t="n">
        <x:v>1.05</x:v>
      </x:c>
      <x:c r="F6748" s="1" t="str">
        <x:v>https://api.octopus.energy/v1/products/AGILE-24-10-01/electricity-tariffs/E-1R-AGILE-24-10-01-G/standard-unit-rates/</x:v>
      </x:c>
    </x:row>
    <x:row r="6749" ht="21" customHeight="1">
      <x:c r="A6749" s="24" t="n">
        <x:v>46289.104166666664</x:v>
      </x:c>
      <x:c r="B6749" s="6" t="n">
        <x:v>0.2514</x:v>
      </x:c>
      <x:c r="C6749" s="6" t="n">
        <x:v>0.1412</x:v>
      </x:c>
      <x:c r="D6749" s="6" t="n">
        <x:f>B6749</x:f>
        <x:v>0.2514</x:v>
      </x:c>
      <x:c r="E6749" s="1" t="n">
        <x:v>1.05</x:v>
      </x:c>
      <x:c r="F6749" s="1" t="str">
        <x:v>https://api.octopus.energy/v1/products/AGILE-24-10-01/electricity-tariffs/E-1R-AGILE-24-10-01-G/standard-unit-rates/</x:v>
      </x:c>
    </x:row>
    <x:row r="6750" ht="21" customHeight="1">
      <x:c r="A6750" s="24" t="n">
        <x:v>46289.125</x:v>
      </x:c>
      <x:c r="B6750" s="6" t="n">
        <x:v>0.2504</x:v>
      </x:c>
      <x:c r="C6750" s="6" t="n">
        <x:v>0.1407</x:v>
      </x:c>
      <x:c r="D6750" s="6" t="n">
        <x:f>B6750</x:f>
        <x:v>0.2504</x:v>
      </x:c>
      <x:c r="E6750" s="1" t="n">
        <x:v>1.05</x:v>
      </x:c>
      <x:c r="F6750" s="1" t="str">
        <x:v>https://api.octopus.energy/v1/products/AGILE-24-10-01/electricity-tariffs/E-1R-AGILE-24-10-01-G/standard-unit-rates/</x:v>
      </x:c>
    </x:row>
    <x:row r="6751" ht="21" customHeight="1">
      <x:c r="A6751" s="24" t="n">
        <x:v>46289.145833333336</x:v>
      </x:c>
      <x:c r="B6751" s="6" t="n">
        <x:v>0.24530000000000002</x:v>
      </x:c>
      <x:c r="C6751" s="6" t="n">
        <x:v>0.1384</x:v>
      </x:c>
      <x:c r="D6751" s="6" t="n">
        <x:f>B6751</x:f>
        <x:v>0.24530000000000002</x:v>
      </x:c>
      <x:c r="E6751" s="1" t="n">
        <x:v>1.05</x:v>
      </x:c>
      <x:c r="F6751" s="1" t="str">
        <x:v>https://api.octopus.energy/v1/products/AGILE-24-10-01/electricity-tariffs/E-1R-AGILE-24-10-01-G/standard-unit-rates/</x:v>
      </x:c>
    </x:row>
    <x:row r="6752" ht="21" customHeight="1">
      <x:c r="A6752" s="24" t="n">
        <x:v>46289.166666666664</x:v>
      </x:c>
      <x:c r="B6752" s="6" t="n">
        <x:v>0.24760000000000001</x:v>
      </x:c>
      <x:c r="C6752" s="6" t="n">
        <x:v>0.13949999999999999</x:v>
      </x:c>
      <x:c r="D6752" s="6" t="n">
        <x:f>B6752</x:f>
        <x:v>0.24760000000000001</x:v>
      </x:c>
      <x:c r="E6752" s="1" t="n">
        <x:v>1.05</x:v>
      </x:c>
      <x:c r="F6752" s="1" t="str">
        <x:v>https://api.octopus.energy/v1/products/AGILE-24-10-01/electricity-tariffs/E-1R-AGILE-24-10-01-G/standard-unit-rates/</x:v>
      </x:c>
    </x:row>
    <x:row r="6753" ht="21" customHeight="1">
      <x:c r="A6753" s="24" t="n">
        <x:v>46289.1875</x:v>
      </x:c>
      <x:c r="B6753" s="6" t="n">
        <x:v>0.24100000000000002</x:v>
      </x:c>
      <x:c r="C6753" s="6" t="n">
        <x:v>0.1364</x:v>
      </x:c>
      <x:c r="D6753" s="6" t="n">
        <x:f>B6753</x:f>
        <x:v>0.24100000000000002</x:v>
      </x:c>
      <x:c r="E6753" s="1" t="n">
        <x:v>1.05</x:v>
      </x:c>
      <x:c r="F6753" s="1" t="str">
        <x:v>https://api.octopus.energy/v1/products/AGILE-24-10-01/electricity-tariffs/E-1R-AGILE-24-10-01-G/standard-unit-rates/</x:v>
      </x:c>
    </x:row>
    <x:row r="6754" ht="21" customHeight="1">
      <x:c r="A6754" s="24" t="n">
        <x:v>46289.208333333336</x:v>
      </x:c>
      <x:c r="B6754" s="6" t="n">
        <x:v>0.2682</x:v>
      </x:c>
      <x:c r="C6754" s="6" t="n">
        <x:v>0.1489</x:v>
      </x:c>
      <x:c r="D6754" s="6" t="n">
        <x:f>B6754</x:f>
        <x:v>0.2682</x:v>
      </x:c>
      <x:c r="E6754" s="1" t="n">
        <x:v>1.05</x:v>
      </x:c>
      <x:c r="F6754" s="1" t="str">
        <x:v>https://api.octopus.energy/v1/products/AGILE-24-10-01/electricity-tariffs/E-1R-AGILE-24-10-01-G/standard-unit-rates/</x:v>
      </x:c>
    </x:row>
    <x:row r="6755" ht="21" customHeight="1">
      <x:c r="A6755" s="24" t="n">
        <x:v>46289.229166666664</x:v>
      </x:c>
      <x:c r="B6755" s="6" t="n">
        <x:v>0.2796</x:v>
      </x:c>
      <x:c r="C6755" s="6" t="n">
        <x:v>0.15410000000000001</x:v>
      </x:c>
      <x:c r="D6755" s="6" t="n">
        <x:f>B6755</x:f>
        <x:v>0.2796</x:v>
      </x:c>
      <x:c r="E6755" s="1" t="n">
        <x:v>1.05</x:v>
      </x:c>
      <x:c r="F6755" s="1" t="str">
        <x:v>https://api.octopus.energy/v1/products/AGILE-24-10-01/electricity-tariffs/E-1R-AGILE-24-10-01-G/standard-unit-rates/</x:v>
      </x:c>
    </x:row>
    <x:row r="6756" ht="21" customHeight="1">
      <x:c r="A6756" s="24" t="n">
        <x:v>46289.25</x:v>
      </x:c>
      <x:c r="B6756" s="6" t="n">
        <x:v>0.317</x:v>
      </x:c>
      <x:c r="C6756" s="6" t="n">
        <x:v>0.17120000000000002</x:v>
      </x:c>
      <x:c r="D6756" s="6" t="n">
        <x:f>B6756</x:f>
        <x:v>0.317</x:v>
      </x:c>
      <x:c r="E6756" s="1" t="n">
        <x:v>1.05</x:v>
      </x:c>
      <x:c r="F6756" s="1" t="str">
        <x:v>https://api.octopus.energy/v1/products/AGILE-24-10-01/electricity-tariffs/E-1R-AGILE-24-10-01-G/standard-unit-rates/</x:v>
      </x:c>
    </x:row>
    <x:row r="6757" ht="21" customHeight="1">
      <x:c r="A6757" s="24" t="n">
        <x:v>46289.270833333336</x:v>
      </x:c>
      <x:c r="B6757" s="6" t="n">
        <x:v>0.342</x:v>
      </x:c>
      <x:c r="C6757" s="6" t="n">
        <x:v>0.1826</x:v>
      </x:c>
      <x:c r="D6757" s="6" t="n">
        <x:f>B6757</x:f>
        <x:v>0.342</x:v>
      </x:c>
      <x:c r="E6757" s="1" t="n">
        <x:v>1.05</x:v>
      </x:c>
      <x:c r="F6757" s="1" t="str">
        <x:v>https://api.octopus.energy/v1/products/AGILE-24-10-01/electricity-tariffs/E-1R-AGILE-24-10-01-G/standard-unit-rates/</x:v>
      </x:c>
    </x:row>
    <x:row r="6758" ht="21" customHeight="1">
      <x:c r="A6758" s="24" t="n">
        <x:v>46289.291666666664</x:v>
      </x:c>
      <x:c r="B6758" s="6" t="n">
        <x:v>0.33409999999999995</x:v>
      </x:c>
      <x:c r="C6758" s="6" t="n">
        <x:v>0.179</x:v>
      </x:c>
      <x:c r="D6758" s="6" t="n">
        <x:f>B6758</x:f>
        <x:v>0.33409999999999995</x:v>
      </x:c>
      <x:c r="E6758" s="1" t="n">
        <x:v>1.05</x:v>
      </x:c>
      <x:c r="F6758" s="1" t="str">
        <x:v>https://api.octopus.energy/v1/products/AGILE-24-10-01/electricity-tariffs/E-1R-AGILE-24-10-01-G/standard-unit-rates/</x:v>
      </x:c>
    </x:row>
    <x:row r="6759" ht="21" customHeight="1">
      <x:c r="A6759" s="24" t="n">
        <x:v>46289.3125</x:v>
      </x:c>
      <x:c r="B6759" s="6" t="n">
        <x:v>0.35700000000000004</x:v>
      </x:c>
      <x:c r="C6759" s="6" t="n">
        <x:v>0.1895</x:v>
      </x:c>
      <x:c r="D6759" s="6" t="n">
        <x:f>B6759</x:f>
        <x:v>0.35700000000000004</x:v>
      </x:c>
      <x:c r="E6759" s="1" t="n">
        <x:v>1.05</x:v>
      </x:c>
      <x:c r="F6759" s="1" t="str">
        <x:v>https://api.octopus.energy/v1/products/AGILE-24-10-01/electricity-tariffs/E-1R-AGILE-24-10-01-G/standard-unit-rates/</x:v>
      </x:c>
    </x:row>
    <x:row r="6760" ht="21" customHeight="1">
      <x:c r="A6760" s="24" t="n">
        <x:v>46289.333333333336</x:v>
      </x:c>
      <x:c r="B6760" s="6" t="n">
        <x:v>0.3515</x:v>
      </x:c>
      <x:c r="C6760" s="6" t="n">
        <x:v>0.1869</x:v>
      </x:c>
      <x:c r="D6760" s="6" t="n">
        <x:f>B6760</x:f>
        <x:v>0.3515</x:v>
      </x:c>
      <x:c r="E6760" s="1" t="n">
        <x:v>1.05</x:v>
      </x:c>
      <x:c r="F6760" s="1" t="str">
        <x:v>https://api.octopus.energy/v1/products/AGILE-24-10-01/electricity-tariffs/E-1R-AGILE-24-10-01-G/standard-unit-rates/</x:v>
      </x:c>
    </x:row>
    <x:row r="6761" ht="21" customHeight="1">
      <x:c r="A6761" s="24" t="n">
        <x:v>46289.354166666664</x:v>
      </x:c>
      <x:c r="B6761" s="6" t="n">
        <x:v>0.315</x:v>
      </x:c>
      <x:c r="C6761" s="6" t="n">
        <x:v>0.1703</x:v>
      </x:c>
      <x:c r="D6761" s="6" t="n">
        <x:f>B6761</x:f>
        <x:v>0.315</x:v>
      </x:c>
      <x:c r="E6761" s="1" t="n">
        <x:v>1.05</x:v>
      </x:c>
      <x:c r="F6761" s="1" t="str">
        <x:v>https://api.octopus.energy/v1/products/AGILE-24-10-01/electricity-tariffs/E-1R-AGILE-24-10-01-G/standard-unit-rates/</x:v>
      </x:c>
    </x:row>
    <x:row r="6762" ht="21" customHeight="1">
      <x:c r="A6762" s="24" t="n">
        <x:v>46289.375</x:v>
      </x:c>
      <x:c r="B6762" s="6" t="n">
        <x:v>0.2942</x:v>
      </x:c>
      <x:c r="C6762" s="6" t="n">
        <x:v>0.16079999999999997</x:v>
      </x:c>
      <x:c r="D6762" s="6" t="n">
        <x:f>B6762</x:f>
        <x:v>0.2942</x:v>
      </x:c>
      <x:c r="E6762" s="1" t="n">
        <x:v>1.05</x:v>
      </x:c>
      <x:c r="F6762" s="1" t="str">
        <x:v>https://api.octopus.energy/v1/products/AGILE-24-10-01/electricity-tariffs/E-1R-AGILE-24-10-01-G/standard-unit-rates/</x:v>
      </x:c>
    </x:row>
    <x:row r="6763" ht="21" customHeight="1">
      <x:c r="A6763" s="24" t="n">
        <x:v>46289.395833333336</x:v>
      </x:c>
      <x:c r="B6763" s="6" t="n">
        <x:v>0.2491</x:v>
      </x:c>
      <x:c r="C6763" s="6" t="n">
        <x:v>0.1401</x:v>
      </x:c>
      <x:c r="D6763" s="6" t="n">
        <x:f>B6763</x:f>
        <x:v>0.2491</x:v>
      </x:c>
      <x:c r="E6763" s="1" t="n">
        <x:v>1.05</x:v>
      </x:c>
      <x:c r="F6763" s="1" t="str">
        <x:v>https://api.octopus.energy/v1/products/AGILE-24-10-01/electricity-tariffs/E-1R-AGILE-24-10-01-G/standard-unit-rates/</x:v>
      </x:c>
    </x:row>
    <x:row r="6764" ht="21" customHeight="1">
      <x:c r="A6764" s="24" t="n">
        <x:v>46289.416666666664</x:v>
      </x:c>
      <x:c r="B6764" s="6" t="n">
        <x:v>0.2816</x:v>
      </x:c>
      <x:c r="C6764" s="6" t="n">
        <x:v>0.155</x:v>
      </x:c>
      <x:c r="D6764" s="6" t="n">
        <x:f>B6764</x:f>
        <x:v>0.2816</x:v>
      </x:c>
      <x:c r="E6764" s="1" t="n">
        <x:v>1.05</x:v>
      </x:c>
      <x:c r="F6764" s="1" t="str">
        <x:v>https://api.octopus.energy/v1/products/AGILE-24-10-01/electricity-tariffs/E-1R-AGILE-24-10-01-G/standard-unit-rates/</x:v>
      </x:c>
    </x:row>
    <x:row r="6765" ht="21" customHeight="1">
      <x:c r="A6765" s="24" t="n">
        <x:v>46289.4375</x:v>
      </x:c>
      <x:c r="B6765" s="6" t="n">
        <x:v>0.26039999999999996</x:v>
      </x:c>
      <x:c r="C6765" s="6" t="n">
        <x:v>0.14529999999999998</x:v>
      </x:c>
      <x:c r="D6765" s="6" t="n">
        <x:f>B6765</x:f>
        <x:v>0.26039999999999996</x:v>
      </x:c>
      <x:c r="E6765" s="1" t="n">
        <x:v>1.05</x:v>
      </x:c>
      <x:c r="F6765" s="1" t="str">
        <x:v>https://api.octopus.energy/v1/products/AGILE-24-10-01/electricity-tariffs/E-1R-AGILE-24-10-01-G/standard-unit-rates/</x:v>
      </x:c>
    </x:row>
    <x:row r="6766" ht="21" customHeight="1">
      <x:c r="A6766" s="24" t="n">
        <x:v>46289.458333333336</x:v>
      </x:c>
      <x:c r="B6766" s="6" t="n">
        <x:v>0.22699999999999998</x:v>
      </x:c>
      <x:c r="C6766" s="6" t="n">
        <x:v>0.13</x:v>
      </x:c>
      <x:c r="D6766" s="6" t="n">
        <x:f>B6766</x:f>
        <x:v>0.22699999999999998</x:v>
      </x:c>
      <x:c r="E6766" s="1" t="n">
        <x:v>1.05</x:v>
      </x:c>
      <x:c r="F6766" s="1" t="str">
        <x:v>https://api.octopus.energy/v1/products/AGILE-24-10-01/electricity-tariffs/E-1R-AGILE-24-10-01-G/standard-unit-rates/</x:v>
      </x:c>
    </x:row>
    <x:row r="6767" ht="21" customHeight="1">
      <x:c r="A6767" s="24" t="n">
        <x:v>46289.479166666664</x:v>
      </x:c>
      <x:c r="B6767" s="6" t="n">
        <x:v>0.18960000000000002</x:v>
      </x:c>
      <x:c r="C6767" s="6" t="n">
        <x:v>0.113</x:v>
      </x:c>
      <x:c r="D6767" s="6" t="n">
        <x:f>B6767</x:f>
        <x:v>0.18960000000000002</x:v>
      </x:c>
      <x:c r="E6767" s="1" t="n">
        <x:v>1.05</x:v>
      </x:c>
      <x:c r="F6767" s="1" t="str">
        <x:v>https://api.octopus.energy/v1/products/AGILE-24-10-01/electricity-tariffs/E-1R-AGILE-24-10-01-G/standard-unit-rates/</x:v>
      </x:c>
    </x:row>
    <x:row r="6768" ht="21" customHeight="1">
      <x:c r="A6768" s="24" t="n">
        <x:v>46289.5</x:v>
      </x:c>
      <x:c r="B6768" s="6" t="n">
        <x:v>0.20329999999999998</x:v>
      </x:c>
      <x:c r="C6768" s="6" t="n">
        <x:v>0.1192</x:v>
      </x:c>
      <x:c r="D6768" s="6" t="n">
        <x:f>B6768</x:f>
        <x:v>0.20329999999999998</x:v>
      </x:c>
      <x:c r="E6768" s="1" t="n">
        <x:v>1.05</x:v>
      </x:c>
      <x:c r="F6768" s="1" t="str">
        <x:v>https://api.octopus.energy/v1/products/AGILE-24-10-01/electricity-tariffs/E-1R-AGILE-24-10-01-G/standard-unit-rates/</x:v>
      </x:c>
    </x:row>
    <x:row r="6769" ht="21" customHeight="1">
      <x:c r="A6769" s="24" t="n">
        <x:v>46289.520833333336</x:v>
      </x:c>
      <x:c r="B6769" s="6" t="n">
        <x:v>0.1943</x:v>
      </x:c>
      <x:c r="C6769" s="6" t="n">
        <x:v>0.1151</x:v>
      </x:c>
      <x:c r="D6769" s="6" t="n">
        <x:f>B6769</x:f>
        <x:v>0.1943</x:v>
      </x:c>
      <x:c r="E6769" s="1" t="n">
        <x:v>1.05</x:v>
      </x:c>
      <x:c r="F6769" s="1" t="str">
        <x:v>https://api.octopus.energy/v1/products/AGILE-24-10-01/electricity-tariffs/E-1R-AGILE-24-10-01-G/standard-unit-rates/</x:v>
      </x:c>
    </x:row>
    <x:row r="6770" ht="21" customHeight="1">
      <x:c r="A6770" s="24" t="n">
        <x:v>46289.541666666664</x:v>
      </x:c>
      <x:c r="B6770" s="6" t="n">
        <x:v>0.1972</x:v>
      </x:c>
      <x:c r="C6770" s="6" t="n">
        <x:v>0.1164</x:v>
      </x:c>
      <x:c r="D6770" s="6" t="n">
        <x:f>B6770</x:f>
        <x:v>0.1972</x:v>
      </x:c>
      <x:c r="E6770" s="1" t="n">
        <x:v>1.05</x:v>
      </x:c>
      <x:c r="F6770" s="1" t="str">
        <x:v>https://api.octopus.energy/v1/products/AGILE-24-10-01/electricity-tariffs/E-1R-AGILE-24-10-01-G/standard-unit-rates/</x:v>
      </x:c>
    </x:row>
    <x:row r="6771" ht="21" customHeight="1">
      <x:c r="A6771" s="24" t="n">
        <x:v>46289.5625</x:v>
      </x:c>
      <x:c r="B6771" s="6" t="n">
        <x:v>0.1751</x:v>
      </x:c>
      <x:c r="C6771" s="6" t="n">
        <x:v>0.1063</x:v>
      </x:c>
      <x:c r="D6771" s="6" t="n">
        <x:f>B6771</x:f>
        <x:v>0.1751</x:v>
      </x:c>
      <x:c r="E6771" s="1" t="n">
        <x:v>1.05</x:v>
      </x:c>
      <x:c r="F6771" s="1" t="str">
        <x:v>https://api.octopus.energy/v1/products/AGILE-24-10-01/electricity-tariffs/E-1R-AGILE-24-10-01-G/standard-unit-rates/</x:v>
      </x:c>
    </x:row>
    <x:row r="6772" ht="21" customHeight="1">
      <x:c r="A6772" s="24" t="n">
        <x:v>46289.583333333336</x:v>
      </x:c>
      <x:c r="B6772" s="6" t="n">
        <x:v>0.17850000000000002</x:v>
      </x:c>
      <x:c r="C6772" s="6" t="n">
        <x:v>0.1079</x:v>
      </x:c>
      <x:c r="D6772" s="6" t="n">
        <x:f>B6772</x:f>
        <x:v>0.17850000000000002</x:v>
      </x:c>
      <x:c r="E6772" s="1" t="n">
        <x:v>1.05</x:v>
      </x:c>
      <x:c r="F6772" s="1" t="str">
        <x:v>https://api.octopus.energy/v1/products/AGILE-24-10-01/electricity-tariffs/E-1R-AGILE-24-10-01-G/standard-unit-rates/</x:v>
      </x:c>
    </x:row>
    <x:row r="6773" ht="21" customHeight="1">
      <x:c r="A6773" s="24" t="n">
        <x:v>46289.604166666664</x:v>
      </x:c>
      <x:c r="B6773" s="6" t="n">
        <x:v>0.18100000000000002</x:v>
      </x:c>
      <x:c r="C6773" s="6" t="n">
        <x:v>0.109</x:v>
      </x:c>
      <x:c r="D6773" s="6" t="n">
        <x:f>B6773</x:f>
        <x:v>0.18100000000000002</x:v>
      </x:c>
      <x:c r="E6773" s="1" t="n">
        <x:v>1.05</x:v>
      </x:c>
      <x:c r="F6773" s="1" t="str">
        <x:v>https://api.octopus.energy/v1/products/AGILE-24-10-01/electricity-tariffs/E-1R-AGILE-24-10-01-G/standard-unit-rates/</x:v>
      </x:c>
    </x:row>
    <x:row r="6774" ht="21" customHeight="1">
      <x:c r="A6774" s="24" t="n">
        <x:v>46289.625</x:v>
      </x:c>
      <x:c r="B6774" s="6" t="n">
        <x:v>0.1863</x:v>
      </x:c>
      <x:c r="C6774" s="6" t="n">
        <x:v>0.1114</x:v>
      </x:c>
      <x:c r="D6774" s="6" t="n">
        <x:f>B6774</x:f>
        <x:v>0.1863</x:v>
      </x:c>
      <x:c r="E6774" s="1" t="n">
        <x:v>1.05</x:v>
      </x:c>
      <x:c r="F6774" s="1" t="str">
        <x:v>https://api.octopus.energy/v1/products/AGILE-24-10-01/electricity-tariffs/E-1R-AGILE-24-10-01-G/standard-unit-rates/</x:v>
      </x:c>
    </x:row>
    <x:row r="6775" ht="21" customHeight="1">
      <x:c r="A6775" s="24" t="n">
        <x:v>46289.645833333336</x:v>
      </x:c>
      <x:c r="B6775" s="6" t="n">
        <x:v>0.20920000000000002</x:v>
      </x:c>
      <x:c r="C6775" s="6" t="n">
        <x:v>0.1219</x:v>
      </x:c>
      <x:c r="D6775" s="6" t="n">
        <x:f>B6775</x:f>
        <x:v>0.20920000000000002</x:v>
      </x:c>
      <x:c r="E6775" s="1" t="n">
        <x:v>1.05</x:v>
      </x:c>
      <x:c r="F6775" s="1" t="str">
        <x:v>https://api.octopus.energy/v1/products/AGILE-24-10-01/electricity-tariffs/E-1R-AGILE-24-10-01-G/standard-unit-rates/</x:v>
      </x:c>
    </x:row>
    <x:row r="6776" ht="21" customHeight="1">
      <x:c r="A6776" s="24" t="n">
        <x:v>46289.666666666664</x:v>
      </x:c>
      <x:c r="B6776" s="6" t="n">
        <x:v>0.38689999999999997</x:v>
      </x:c>
      <x:c r="C6776" s="6" t="n">
        <x:v>0.2072</x:v>
      </x:c>
      <x:c r="D6776" s="6" t="n">
        <x:f>B6776</x:f>
        <x:v>0.38689999999999997</x:v>
      </x:c>
      <x:c r="E6776" s="1" t="n">
        <x:v>1.05</x:v>
      </x:c>
      <x:c r="F6776" s="1" t="str">
        <x:v>https://api.octopus.energy/v1/products/AGILE-24-10-01/electricity-tariffs/E-1R-AGILE-24-10-01-G/standard-unit-rates/</x:v>
      </x:c>
    </x:row>
    <x:row r="6777" ht="21" customHeight="1">
      <x:c r="A6777" s="24" t="n">
        <x:v>46289.6875</x:v>
      </x:c>
      <x:c r="B6777" s="6" t="n">
        <x:v>0.40130000000000005</x:v>
      </x:c>
      <x:c r="C6777" s="6" t="n">
        <x:v>0.2138</x:v>
      </x:c>
      <x:c r="D6777" s="6" t="n">
        <x:f>B6777</x:f>
        <x:v>0.40130000000000005</x:v>
      </x:c>
      <x:c r="E6777" s="1" t="n">
        <x:v>1.05</x:v>
      </x:c>
      <x:c r="F6777" s="1" t="str">
        <x:v>https://api.octopus.energy/v1/products/AGILE-24-10-01/electricity-tariffs/E-1R-AGILE-24-10-01-G/standard-unit-rates/</x:v>
      </x:c>
    </x:row>
    <x:row r="6778" ht="21" customHeight="1">
      <x:c r="A6778" s="24" t="n">
        <x:v>46289.708333333336</x:v>
      </x:c>
      <x:c r="B6778" s="6" t="n">
        <x:v>0.4592</x:v>
      </x:c>
      <x:c r="C6778" s="6" t="n">
        <x:v>0.2402</x:v>
      </x:c>
      <x:c r="D6778" s="6" t="n">
        <x:f>B6778</x:f>
        <x:v>0.4592</x:v>
      </x:c>
      <x:c r="E6778" s="1" t="n">
        <x:v>1.05</x:v>
      </x:c>
      <x:c r="F6778" s="1" t="str">
        <x:v>https://api.octopus.energy/v1/products/AGILE-24-10-01/electricity-tariffs/E-1R-AGILE-24-10-01-G/standard-unit-rates/</x:v>
      </x:c>
    </x:row>
    <x:row r="6779" ht="21" customHeight="1">
      <x:c r="A6779" s="24" t="n">
        <x:v>46289.729166666664</x:v>
      </x:c>
      <x:c r="B6779" s="6" t="n">
        <x:v>0.46740000000000004</x:v>
      </x:c>
      <x:c r="C6779" s="6" t="n">
        <x:v>0.244</x:v>
      </x:c>
      <x:c r="D6779" s="6" t="n">
        <x:f>B6779</x:f>
        <x:v>0.46740000000000004</x:v>
      </x:c>
      <x:c r="E6779" s="1" t="n">
        <x:v>1.05</x:v>
      </x:c>
      <x:c r="F6779" s="1" t="str">
        <x:v>https://api.octopus.energy/v1/products/AGILE-24-10-01/electricity-tariffs/E-1R-AGILE-24-10-01-G/standard-unit-rates/</x:v>
      </x:c>
    </x:row>
    <x:row r="6780" ht="21" customHeight="1">
      <x:c r="A6780" s="24" t="n">
        <x:v>46289.75</x:v>
      </x:c>
      <x:c r="B6780" s="6" t="n">
        <x:v>0.47119999999999995</x:v>
      </x:c>
      <x:c r="C6780" s="6" t="n">
        <x:v>0.2457</x:v>
      </x:c>
      <x:c r="D6780" s="6" t="n">
        <x:f>B6780</x:f>
        <x:v>0.47119999999999995</x:v>
      </x:c>
      <x:c r="E6780" s="1" t="n">
        <x:v>1.05</x:v>
      </x:c>
      <x:c r="F6780" s="1" t="str">
        <x:v>https://api.octopus.energy/v1/products/AGILE-24-10-01/electricity-tariffs/E-1R-AGILE-24-10-01-G/standard-unit-rates/</x:v>
      </x:c>
    </x:row>
    <x:row r="6781" ht="21" customHeight="1">
      <x:c r="A6781" s="24" t="n">
        <x:v>46289.770833333336</x:v>
      </x:c>
      <x:c r="B6781" s="6" t="n">
        <x:v>0.48210000000000003</x:v>
      </x:c>
      <x:c r="C6781" s="6" t="n">
        <x:v>0.2507</x:v>
      </x:c>
      <x:c r="D6781" s="6" t="n">
        <x:f>B6781</x:f>
        <x:v>0.48210000000000003</x:v>
      </x:c>
      <x:c r="E6781" s="1" t="n">
        <x:v>1.05</x:v>
      </x:c>
      <x:c r="F6781" s="1" t="str">
        <x:v>https://api.octopus.energy/v1/products/AGILE-24-10-01/electricity-tariffs/E-1R-AGILE-24-10-01-G/standard-unit-rates/</x:v>
      </x:c>
    </x:row>
    <x:row r="6782" ht="21" customHeight="1">
      <x:c r="A6782" s="24" t="n">
        <x:v>46289.791666666664</x:v>
      </x:c>
      <x:c r="B6782" s="6" t="n">
        <x:v>0.3703</x:v>
      </x:c>
      <x:c r="C6782" s="6" t="n">
        <x:v>0.1956</x:v>
      </x:c>
      <x:c r="D6782" s="6" t="n">
        <x:f>B6782</x:f>
        <x:v>0.3703</x:v>
      </x:c>
      <x:c r="E6782" s="1" t="n">
        <x:v>1.05</x:v>
      </x:c>
      <x:c r="F6782" s="1" t="str">
        <x:v>https://api.octopus.energy/v1/products/AGILE-24-10-01/electricity-tariffs/E-1R-AGILE-24-10-01-G/standard-unit-rates/</x:v>
      </x:c>
    </x:row>
    <x:row r="6783" ht="21" customHeight="1">
      <x:c r="A6783" s="24" t="n">
        <x:v>46289.8125</x:v>
      </x:c>
      <x:c r="B6783" s="6" t="n">
        <x:v>0.37420000000000003</x:v>
      </x:c>
      <x:c r="C6783" s="6" t="n">
        <x:v>0.1973</x:v>
      </x:c>
      <x:c r="D6783" s="6" t="n">
        <x:f>B6783</x:f>
        <x:v>0.37420000000000003</x:v>
      </x:c>
      <x:c r="E6783" s="1" t="n">
        <x:v>1.05</x:v>
      </x:c>
      <x:c r="F6783" s="1" t="str">
        <x:v>https://api.octopus.energy/v1/products/AGILE-24-10-01/electricity-tariffs/E-1R-AGILE-24-10-01-G/standard-unit-rates/</x:v>
      </x:c>
    </x:row>
    <x:row r="6784" ht="21" customHeight="1">
      <x:c r="A6784" s="24" t="n">
        <x:v>46289.833333333336</x:v>
      </x:c>
      <x:c r="B6784" s="6" t="n">
        <x:v>0.3824</x:v>
      </x:c>
      <x:c r="C6784" s="6" t="n">
        <x:v>0.2011</x:v>
      </x:c>
      <x:c r="D6784" s="6" t="n">
        <x:f>B6784</x:f>
        <x:v>0.3824</x:v>
      </x:c>
      <x:c r="E6784" s="1" t="n">
        <x:v>1.05</x:v>
      </x:c>
      <x:c r="F6784" s="1" t="str">
        <x:v>https://api.octopus.energy/v1/products/AGILE-24-10-01/electricity-tariffs/E-1R-AGILE-24-10-01-G/standard-unit-rates/</x:v>
      </x:c>
    </x:row>
    <x:row r="6785" ht="21" customHeight="1">
      <x:c r="A6785" s="24" t="n">
        <x:v>46289.854166666664</x:v>
      </x:c>
      <x:c r="B6785" s="6" t="n">
        <x:v>0.3666</x:v>
      </x:c>
      <x:c r="C6785" s="6" t="n">
        <x:v>0.19390000000000002</x:v>
      </x:c>
      <x:c r="D6785" s="6" t="n">
        <x:f>B6785</x:f>
        <x:v>0.3666</x:v>
      </x:c>
      <x:c r="E6785" s="1" t="n">
        <x:v>1.05</x:v>
      </x:c>
      <x:c r="F6785" s="1" t="str">
        <x:v>https://api.octopus.energy/v1/products/AGILE-24-10-01/electricity-tariffs/E-1R-AGILE-24-10-01-G/standard-unit-rates/</x:v>
      </x:c>
    </x:row>
    <x:row r="6786" ht="21" customHeight="1">
      <x:c r="A6786" s="24" t="n">
        <x:v>46289.875</x:v>
      </x:c>
      <x:c r="B6786" s="6" t="n">
        <x:v>0.33590000000000003</x:v>
      </x:c>
      <x:c r="C6786" s="6" t="n">
        <x:v>0.17980000000000002</x:v>
      </x:c>
      <x:c r="D6786" s="6" t="n">
        <x:f>B6786</x:f>
        <x:v>0.33590000000000003</x:v>
      </x:c>
      <x:c r="E6786" s="1" t="n">
        <x:v>1.05</x:v>
      </x:c>
      <x:c r="F6786" s="1" t="str">
        <x:v>https://api.octopus.energy/v1/products/AGILE-24-10-01/electricity-tariffs/E-1R-AGILE-24-10-01-G/standard-unit-rates/</x:v>
      </x:c>
    </x:row>
    <x:row r="6787" ht="21" customHeight="1">
      <x:c r="A6787" s="24" t="n">
        <x:v>46289.895833333336</x:v>
      </x:c>
      <x:c r="B6787" s="6" t="n">
        <x:v>0.2964</x:v>
      </x:c>
      <x:c r="C6787" s="6" t="n">
        <x:v>0.1618</x:v>
      </x:c>
      <x:c r="D6787" s="6" t="n">
        <x:f>B6787</x:f>
        <x:v>0.2964</x:v>
      </x:c>
      <x:c r="E6787" s="1" t="n">
        <x:v>1.05</x:v>
      </x:c>
      <x:c r="F6787" s="1" t="str">
        <x:v>https://api.octopus.energy/v1/products/AGILE-24-10-01/electricity-tariffs/E-1R-AGILE-24-10-01-G/standard-unit-rates/</x:v>
      </x:c>
    </x:row>
    <x:row r="6788" ht="21" customHeight="1">
      <x:c r="A6788" s="24" t="n">
        <x:v>46289.916666666664</x:v>
      </x:c>
      <x:c r="B6788" s="6" t="n">
        <x:v>0.3104</x:v>
      </x:c>
      <x:c r="C6788" s="6" t="n">
        <x:v>0.16820000000000002</x:v>
      </x:c>
      <x:c r="D6788" s="6" t="n">
        <x:f>B6788</x:f>
        <x:v>0.3104</x:v>
      </x:c>
      <x:c r="E6788" s="1" t="n">
        <x:v>1.05</x:v>
      </x:c>
      <x:c r="F6788" s="1" t="str">
        <x:v>https://api.octopus.energy/v1/products/AGILE-24-10-01/electricity-tariffs/E-1R-AGILE-24-10-01-G/standard-unit-rates/</x:v>
      </x:c>
    </x:row>
    <x:row r="6789" ht="21" customHeight="1">
      <x:c r="A6789" s="24" t="n">
        <x:v>46289.9375</x:v>
      </x:c>
      <x:c r="B6789" s="6" t="n">
        <x:v>0.2916</x:v>
      </x:c>
      <x:c r="C6789" s="6" t="n">
        <x:v>0.15960000000000002</x:v>
      </x:c>
      <x:c r="D6789" s="6" t="n">
        <x:f>B6789</x:f>
        <x:v>0.2916</x:v>
      </x:c>
      <x:c r="E6789" s="1" t="n">
        <x:v>1.05</x:v>
      </x:c>
      <x:c r="F6789" s="1" t="str">
        <x:v>https://api.octopus.energy/v1/products/AGILE-24-10-01/electricity-tariffs/E-1R-AGILE-24-10-01-G/standard-unit-rates/</x:v>
      </x:c>
    </x:row>
    <x:row r="6790" ht="21" customHeight="1">
      <x:c r="A6790" s="24" t="n">
        <x:v>46290</x:v>
      </x:c>
      <x:c r="B6790" s="6" t="n">
        <x:v>0.2858</x:v>
      </x:c>
      <x:c r="C6790" s="6" t="n">
        <x:v>0.15689999999999998</x:v>
      </x:c>
      <x:c r="D6790" s="6" t="n">
        <x:f>B6790</x:f>
        <x:v>0.2858</x:v>
      </x:c>
      <x:c r="E6790" s="1" t="n">
        <x:v>1.05</x:v>
      </x:c>
      <x:c r="F6790" s="1" t="str">
        <x:v>https://api.octopus.energy/v1/products/AGILE-24-10-01/electricity-tariffs/E-1R-AGILE-24-10-01-G/standard-unit-rates/</x:v>
      </x:c>
    </x:row>
    <x:row r="6791" ht="21" customHeight="1">
      <x:c r="A6791" s="24" t="n">
        <x:v>46289.979166666664</x:v>
      </x:c>
      <x:c r="B6791" s="6" t="n">
        <x:v>0.2708</x:v>
      </x:c>
      <x:c r="C6791" s="6" t="n">
        <x:v>0.15</x:v>
      </x:c>
      <x:c r="D6791" s="6" t="n">
        <x:f>B6791</x:f>
        <x:v>0.2708</x:v>
      </x:c>
      <x:c r="E6791" s="1" t="n">
        <x:v>1.05</x:v>
      </x:c>
      <x:c r="F6791" s="1" t="str">
        <x:v>https://api.octopus.energy/v1/products/AGILE-24-10-01/electricity-tariffs/E-1R-AGILE-24-10-01-G/standard-unit-rates/</x:v>
      </x:c>
    </x:row>
    <x:row r="6792" ht="21" customHeight="1">
      <x:c r="A6792" s="24" t="n">
        <x:v>46290</x:v>
      </x:c>
      <x:c r="B6792" s="6" t="n">
        <x:v>0.2681</x:v>
      </x:c>
      <x:c r="C6792" s="6" t="n">
        <x:v>0.14880000000000002</x:v>
      </x:c>
      <x:c r="D6792" s="6" t="n">
        <x:f>B6792</x:f>
        <x:v>0.2681</x:v>
      </x:c>
      <x:c r="E6792" s="1" t="n">
        <x:v>1.05</x:v>
      </x:c>
      <x:c r="F6792" s="1" t="str">
        <x:v>https://api.octopus.energy/v1/products/AGILE-24-10-01/electricity-tariffs/E-1R-AGILE-24-10-01-G/standard-unit-rates/</x:v>
      </x:c>
    </x:row>
    <x:row r="6793" ht="21" customHeight="1">
      <x:c r="A6793" s="24" t="n">
        <x:v>46290.020833333336</x:v>
      </x:c>
      <x:c r="B6793" s="6" t="n">
        <x:v>0.2648</x:v>
      </x:c>
      <x:c r="C6793" s="6" t="n">
        <x:v>0.14730000000000001</x:v>
      </x:c>
      <x:c r="D6793" s="6" t="n">
        <x:f>B6793</x:f>
        <x:v>0.2648</x:v>
      </x:c>
      <x:c r="E6793" s="1" t="n">
        <x:v>1.05</x:v>
      </x:c>
      <x:c r="F6793" s="1" t="str">
        <x:v>https://api.octopus.energy/v1/products/AGILE-24-10-01/electricity-tariffs/E-1R-AGILE-24-10-01-G/standard-unit-rates/</x:v>
      </x:c>
    </x:row>
    <x:row r="6794" ht="21" customHeight="1">
      <x:c r="A6794" s="24" t="n">
        <x:v>46290.041666666664</x:v>
      </x:c>
      <x:c r="B6794" s="6" t="n">
        <x:v>0.2606</x:v>
      </x:c>
      <x:c r="C6794" s="6" t="n">
        <x:v>0.1454</x:v>
      </x:c>
      <x:c r="D6794" s="6" t="n">
        <x:f>B6794</x:f>
        <x:v>0.2606</x:v>
      </x:c>
      <x:c r="E6794" s="1" t="n">
        <x:v>1.05</x:v>
      </x:c>
      <x:c r="F6794" s="1" t="str">
        <x:v>https://api.octopus.energy/v1/products/AGILE-24-10-01/electricity-tariffs/E-1R-AGILE-24-10-01-G/standard-unit-rates/</x:v>
      </x:c>
    </x:row>
    <x:row r="6795" ht="21" customHeight="1">
      <x:c r="A6795" s="24" t="n">
        <x:v>46290.0625</x:v>
      </x:c>
      <x:c r="B6795" s="6" t="n">
        <x:v>0.2656</x:v>
      </x:c>
      <x:c r="C6795" s="6" t="n">
        <x:v>0.1477</x:v>
      </x:c>
      <x:c r="D6795" s="6" t="n">
        <x:f>B6795</x:f>
        <x:v>0.2656</x:v>
      </x:c>
      <x:c r="E6795" s="1" t="n">
        <x:v>1.05</x:v>
      </x:c>
      <x:c r="F6795" s="1" t="str">
        <x:v>https://api.octopus.energy/v1/products/AGILE-24-10-01/electricity-tariffs/E-1R-AGILE-24-10-01-G/standard-unit-rates/</x:v>
      </x:c>
    </x:row>
    <x:row r="6796" ht="21" customHeight="1">
      <x:c r="A6796" s="24" t="n">
        <x:v>46290.083333333336</x:v>
      </x:c>
      <x:c r="B6796" s="6" t="n">
        <x:v>0.2585</x:v>
      </x:c>
      <x:c r="C6796" s="6" t="n">
        <x:v>0.1444</x:v>
      </x:c>
      <x:c r="D6796" s="6" t="n">
        <x:f>B6796</x:f>
        <x:v>0.2585</x:v>
      </x:c>
      <x:c r="E6796" s="1" t="n">
        <x:v>1.05</x:v>
      </x:c>
      <x:c r="F6796" s="1" t="str">
        <x:v>https://api.octopus.energy/v1/products/AGILE-24-10-01/electricity-tariffs/E-1R-AGILE-24-10-01-G/standard-unit-rates/</x:v>
      </x:c>
    </x:row>
    <x:row r="6797" ht="21" customHeight="1">
      <x:c r="A6797" s="24" t="n">
        <x:v>46290.104166666664</x:v>
      </x:c>
      <x:c r="B6797" s="6" t="n">
        <x:v>0.2648</x:v>
      </x:c>
      <x:c r="C6797" s="6" t="n">
        <x:v>0.14730000000000001</x:v>
      </x:c>
      <x:c r="D6797" s="6" t="n">
        <x:f>B6797</x:f>
        <x:v>0.2648</x:v>
      </x:c>
      <x:c r="E6797" s="1" t="n">
        <x:v>1.05</x:v>
      </x:c>
      <x:c r="F6797" s="1" t="str">
        <x:v>https://api.octopus.energy/v1/products/AGILE-24-10-01/electricity-tariffs/E-1R-AGILE-24-10-01-G/standard-unit-rates/</x:v>
      </x:c>
    </x:row>
    <x:row r="6798" ht="21" customHeight="1">
      <x:c r="A6798" s="24" t="n">
        <x:v>46290.125</x:v>
      </x:c>
      <x:c r="B6798" s="6" t="n">
        <x:v>0.2596</x:v>
      </x:c>
      <x:c r="C6798" s="6" t="n">
        <x:v>0.1449</x:v>
      </x:c>
      <x:c r="D6798" s="6" t="n">
        <x:f>B6798</x:f>
        <x:v>0.2596</x:v>
      </x:c>
      <x:c r="E6798" s="1" t="n">
        <x:v>1.05</x:v>
      </x:c>
      <x:c r="F6798" s="1" t="str">
        <x:v>https://api.octopus.energy/v1/products/AGILE-24-10-01/electricity-tariffs/E-1R-AGILE-24-10-01-G/standard-unit-rates/</x:v>
      </x:c>
    </x:row>
    <x:row r="6799" ht="21" customHeight="1">
      <x:c r="A6799" s="24" t="n">
        <x:v>46290.145833333336</x:v>
      </x:c>
      <x:c r="B6799" s="6" t="n">
        <x:v>0.2585</x:v>
      </x:c>
      <x:c r="C6799" s="6" t="n">
        <x:v>0.1444</x:v>
      </x:c>
      <x:c r="D6799" s="6" t="n">
        <x:f>B6799</x:f>
        <x:v>0.2585</x:v>
      </x:c>
      <x:c r="E6799" s="1" t="n">
        <x:v>1.05</x:v>
      </x:c>
      <x:c r="F6799" s="1" t="str">
        <x:v>https://api.octopus.energy/v1/products/AGILE-24-10-01/electricity-tariffs/E-1R-AGILE-24-10-01-G/standard-unit-rates/</x:v>
      </x:c>
    </x:row>
    <x:row r="6800" ht="21" customHeight="1">
      <x:c r="A6800" s="24" t="n">
        <x:v>46290.166666666664</x:v>
      </x:c>
      <x:c r="B6800" s="6" t="n">
        <x:v>0.2627</x:v>
      </x:c>
      <x:c r="C6800" s="6" t="n">
        <x:v>0.1464</x:v>
      </x:c>
      <x:c r="D6800" s="6" t="n">
        <x:f>B6800</x:f>
        <x:v>0.2627</x:v>
      </x:c>
      <x:c r="E6800" s="1" t="n">
        <x:v>1.05</x:v>
      </x:c>
      <x:c r="F6800" s="1" t="str">
        <x:v>https://api.octopus.energy/v1/products/AGILE-24-10-01/electricity-tariffs/E-1R-AGILE-24-10-01-G/standard-unit-rates/</x:v>
      </x:c>
    </x:row>
    <x:row r="6801" ht="21" customHeight="1">
      <x:c r="A6801" s="24" t="n">
        <x:v>46290.1875</x:v>
      </x:c>
      <x:c r="B6801" s="6" t="n">
        <x:v>0.2627</x:v>
      </x:c>
      <x:c r="C6801" s="6" t="n">
        <x:v>0.1464</x:v>
      </x:c>
      <x:c r="D6801" s="6" t="n">
        <x:f>B6801</x:f>
        <x:v>0.2627</x:v>
      </x:c>
      <x:c r="E6801" s="1" t="n">
        <x:v>1.05</x:v>
      </x:c>
      <x:c r="F6801" s="1" t="str">
        <x:v>https://api.octopus.energy/v1/products/AGILE-24-10-01/electricity-tariffs/E-1R-AGILE-24-10-01-G/standard-unit-rates/</x:v>
      </x:c>
    </x:row>
    <x:row r="6802" ht="21" customHeight="1">
      <x:c r="A6802" s="24" t="n">
        <x:v>46290.208333333336</x:v>
      </x:c>
      <x:c r="B6802" s="6" t="n">
        <x:v>0.2989</x:v>
      </x:c>
      <x:c r="C6802" s="6" t="n">
        <x:v>0.1629</x:v>
      </x:c>
      <x:c r="D6802" s="6" t="n">
        <x:f>B6802</x:f>
        <x:v>0.2989</x:v>
      </x:c>
      <x:c r="E6802" s="1" t="n">
        <x:v>1.05</x:v>
      </x:c>
      <x:c r="F6802" s="1" t="str">
        <x:v>https://api.octopus.energy/v1/products/AGILE-24-10-01/electricity-tariffs/E-1R-AGILE-24-10-01-G/standard-unit-rates/</x:v>
      </x:c>
    </x:row>
    <x:row r="6803" ht="21" customHeight="1">
      <x:c r="A6803" s="24" t="n">
        <x:v>46290.229166666664</x:v>
      </x:c>
      <x:c r="B6803" s="6" t="n">
        <x:v>0.30469999999999997</x:v>
      </x:c>
      <x:c r="C6803" s="6" t="n">
        <x:v>0.1656</x:v>
      </x:c>
      <x:c r="D6803" s="6" t="n">
        <x:f>B6803</x:f>
        <x:v>0.30469999999999997</x:v>
      </x:c>
      <x:c r="E6803" s="1" t="n">
        <x:v>1.05</x:v>
      </x:c>
      <x:c r="F6803" s="1" t="str">
        <x:v>https://api.octopus.energy/v1/products/AGILE-24-10-01/electricity-tariffs/E-1R-AGILE-24-10-01-G/standard-unit-rates/</x:v>
      </x:c>
    </x:row>
    <x:row r="6804" ht="21" customHeight="1">
      <x:c r="A6804" s="24" t="n">
        <x:v>46290.25</x:v>
      </x:c>
      <x:c r="B6804" s="6" t="n">
        <x:v>0.3404</x:v>
      </x:c>
      <x:c r="C6804" s="6" t="n">
        <x:v>0.1819</x:v>
      </x:c>
      <x:c r="D6804" s="6" t="n">
        <x:f>B6804</x:f>
        <x:v>0.3404</x:v>
      </x:c>
      <x:c r="E6804" s="1" t="n">
        <x:v>1.05</x:v>
      </x:c>
      <x:c r="F6804" s="1" t="str">
        <x:v>https://api.octopus.energy/v1/products/AGILE-24-10-01/electricity-tariffs/E-1R-AGILE-24-10-01-G/standard-unit-rates/</x:v>
      </x:c>
    </x:row>
    <x:row r="6805" ht="21" customHeight="1">
      <x:c r="A6805" s="24" t="n">
        <x:v>46290.270833333336</x:v>
      </x:c>
      <x:c r="B6805" s="6" t="n">
        <x:v>0.354</x:v>
      </x:c>
      <x:c r="C6805" s="6" t="n">
        <x:v>0.1881</x:v>
      </x:c>
      <x:c r="D6805" s="6" t="n">
        <x:f>B6805</x:f>
        <x:v>0.354</x:v>
      </x:c>
      <x:c r="E6805" s="1" t="n">
        <x:v>1.05</x:v>
      </x:c>
      <x:c r="F6805" s="1" t="str">
        <x:v>https://api.octopus.energy/v1/products/AGILE-24-10-01/electricity-tariffs/E-1R-AGILE-24-10-01-G/standard-unit-rates/</x:v>
      </x:c>
    </x:row>
    <x:row r="6806" ht="21" customHeight="1">
      <x:c r="A6806" s="24" t="n">
        <x:v>46290.291666666664</x:v>
      </x:c>
      <x:c r="B6806" s="6" t="n">
        <x:v>0.3759</x:v>
      </x:c>
      <x:c r="C6806" s="6" t="n">
        <x:v>0.1981</x:v>
      </x:c>
      <x:c r="D6806" s="6" t="n">
        <x:f>B6806</x:f>
        <x:v>0.3759</x:v>
      </x:c>
      <x:c r="E6806" s="1" t="n">
        <x:v>1.05</x:v>
      </x:c>
      <x:c r="F6806" s="1" t="str">
        <x:v>https://api.octopus.energy/v1/products/AGILE-24-10-01/electricity-tariffs/E-1R-AGILE-24-10-01-G/standard-unit-rates/</x:v>
      </x:c>
    </x:row>
    <x:row r="6807" ht="21" customHeight="1">
      <x:c r="A6807" s="24" t="n">
        <x:v>46290.3125</x:v>
      </x:c>
      <x:c r="B6807" s="6" t="n">
        <x:v>0.4036</x:v>
      </x:c>
      <x:c r="C6807" s="6" t="n">
        <x:v>0.2108</x:v>
      </x:c>
      <x:c r="D6807" s="6" t="n">
        <x:f>B6807</x:f>
        <x:v>0.4036</x:v>
      </x:c>
      <x:c r="E6807" s="1" t="n">
        <x:v>1.05</x:v>
      </x:c>
      <x:c r="F6807" s="1" t="str">
        <x:v>https://api.octopus.energy/v1/products/AGILE-24-10-01/electricity-tariffs/E-1R-AGILE-24-10-01-G/standard-unit-rates/</x:v>
      </x:c>
    </x:row>
    <x:row r="6808" ht="21" customHeight="1">
      <x:c r="A6808" s="24" t="n">
        <x:v>46290.333333333336</x:v>
      </x:c>
      <x:c r="B6808" s="6" t="n">
        <x:v>0.3295</x:v>
      </x:c>
      <x:c r="C6808" s="6" t="n">
        <x:v>0.1769</x:v>
      </x:c>
      <x:c r="D6808" s="6" t="n">
        <x:f>B6808</x:f>
        <x:v>0.3295</x:v>
      </x:c>
      <x:c r="E6808" s="1" t="n">
        <x:v>1.05</x:v>
      </x:c>
      <x:c r="F6808" s="1" t="str">
        <x:v>https://api.octopus.energy/v1/products/AGILE-24-10-01/electricity-tariffs/E-1R-AGILE-24-10-01-G/standard-unit-rates/</x:v>
      </x:c>
    </x:row>
    <x:row r="6809" ht="21" customHeight="1">
      <x:c r="A6809" s="24" t="n">
        <x:v>46290.354166666664</x:v>
      </x:c>
      <x:c r="B6809" s="6" t="n">
        <x:v>0.3271</x:v>
      </x:c>
      <x:c r="C6809" s="6" t="n">
        <x:v>0.17579999999999998</x:v>
      </x:c>
      <x:c r="D6809" s="6" t="n">
        <x:f>B6809</x:f>
        <x:v>0.3271</x:v>
      </x:c>
      <x:c r="E6809" s="1" t="n">
        <x:v>1.05</x:v>
      </x:c>
      <x:c r="F6809" s="1" t="str">
        <x:v>https://api.octopus.energy/v1/products/AGILE-24-10-01/electricity-tariffs/E-1R-AGILE-24-10-01-G/standard-unit-rates/</x:v>
      </x:c>
    </x:row>
    <x:row r="6810" ht="21" customHeight="1">
      <x:c r="A6810" s="24" t="n">
        <x:v>46290.375</x:v>
      </x:c>
      <x:c r="B6810" s="6" t="n">
        <x:v>0.2925</x:v>
      </x:c>
      <x:c r="C6810" s="6" t="n">
        <x:v>0.16</x:v>
      </x:c>
      <x:c r="D6810" s="6" t="n">
        <x:f>B6810</x:f>
        <x:v>0.2925</x:v>
      </x:c>
      <x:c r="E6810" s="1" t="n">
        <x:v>1.05</x:v>
      </x:c>
      <x:c r="F6810" s="1" t="str">
        <x:v>https://api.octopus.energy/v1/products/AGILE-24-10-01/electricity-tariffs/E-1R-AGILE-24-10-01-G/standard-unit-rates/</x:v>
      </x:c>
    </x:row>
    <x:row r="6811" ht="21" customHeight="1">
      <x:c r="A6811" s="24" t="n">
        <x:v>46290.395833333336</x:v>
      </x:c>
      <x:c r="B6811" s="6" t="n">
        <x:v>0.2884</x:v>
      </x:c>
      <x:c r="C6811" s="6" t="n">
        <x:v>0.15810000000000002</x:v>
      </x:c>
      <x:c r="D6811" s="6" t="n">
        <x:f>B6811</x:f>
        <x:v>0.2884</x:v>
      </x:c>
      <x:c r="E6811" s="1" t="n">
        <x:v>1.05</x:v>
      </x:c>
      <x:c r="F6811" s="1" t="str">
        <x:v>https://api.octopus.energy/v1/products/AGILE-24-10-01/electricity-tariffs/E-1R-AGILE-24-10-01-G/standard-unit-rates/</x:v>
      </x:c>
    </x:row>
    <x:row r="6812" ht="21" customHeight="1">
      <x:c r="A6812" s="24" t="n">
        <x:v>46290.416666666664</x:v>
      </x:c>
      <x:c r="B6812" s="6" t="n">
        <x:v>0.2841</x:v>
      </x:c>
      <x:c r="C6812" s="6" t="n">
        <x:v>0.1561</x:v>
      </x:c>
      <x:c r="D6812" s="6" t="n">
        <x:f>B6812</x:f>
        <x:v>0.2841</x:v>
      </x:c>
      <x:c r="E6812" s="1" t="n">
        <x:v>1.05</x:v>
      </x:c>
      <x:c r="F6812" s="1" t="str">
        <x:v>https://api.octopus.energy/v1/products/AGILE-24-10-01/electricity-tariffs/E-1R-AGILE-24-10-01-G/standard-unit-rates/</x:v>
      </x:c>
    </x:row>
    <x:row r="6813" ht="21" customHeight="1">
      <x:c r="A6813" s="24" t="n">
        <x:v>46290.4375</x:v>
      </x:c>
      <x:c r="B6813" s="6" t="n">
        <x:v>0.2767</x:v>
      </x:c>
      <x:c r="C6813" s="6" t="n">
        <x:v>0.1527</x:v>
      </x:c>
      <x:c r="D6813" s="6" t="n">
        <x:f>B6813</x:f>
        <x:v>0.2767</x:v>
      </x:c>
      <x:c r="E6813" s="1" t="n">
        <x:v>1.05</x:v>
      </x:c>
      <x:c r="F6813" s="1" t="str">
        <x:v>https://api.octopus.energy/v1/products/AGILE-24-10-01/electricity-tariffs/E-1R-AGILE-24-10-01-G/standard-unit-rates/</x:v>
      </x:c>
    </x:row>
    <x:row r="6814" ht="21" customHeight="1">
      <x:c r="A6814" s="24" t="n">
        <x:v>46290.458333333336</x:v>
      </x:c>
      <x:c r="B6814" s="6" t="n">
        <x:v>0.26280000000000003</x:v>
      </x:c>
      <x:c r="C6814" s="6" t="n">
        <x:v>0.1464</x:v>
      </x:c>
      <x:c r="D6814" s="6" t="n">
        <x:f>B6814</x:f>
        <x:v>0.26280000000000003</x:v>
      </x:c>
      <x:c r="E6814" s="1" t="n">
        <x:v>1.05</x:v>
      </x:c>
      <x:c r="F6814" s="1" t="str">
        <x:v>https://api.octopus.energy/v1/products/AGILE-24-10-01/electricity-tariffs/E-1R-AGILE-24-10-01-G/standard-unit-rates/</x:v>
      </x:c>
    </x:row>
    <x:row r="6815" ht="21" customHeight="1">
      <x:c r="A6815" s="24" t="n">
        <x:v>46290.479166666664</x:v>
      </x:c>
      <x:c r="B6815" s="6" t="n">
        <x:v>0.2591</x:v>
      </x:c>
      <x:c r="C6815" s="6" t="n">
        <x:v>0.1447</x:v>
      </x:c>
      <x:c r="D6815" s="6" t="n">
        <x:f>B6815</x:f>
        <x:v>0.2591</x:v>
      </x:c>
      <x:c r="E6815" s="1" t="n">
        <x:v>1.05</x:v>
      </x:c>
      <x:c r="F6815" s="1" t="str">
        <x:v>https://api.octopus.energy/v1/products/AGILE-24-10-01/electricity-tariffs/E-1R-AGILE-24-10-01-G/standard-unit-rates/</x:v>
      </x:c>
    </x:row>
    <x:row r="6816" ht="21" customHeight="1">
      <x:c r="A6816" s="24" t="n">
        <x:v>46290.5</x:v>
      </x:c>
      <x:c r="B6816" s="6" t="n">
        <x:v>0.2623</x:v>
      </x:c>
      <x:c r="C6816" s="6" t="n">
        <x:v>0.1462</x:v>
      </x:c>
      <x:c r="D6816" s="6" t="n">
        <x:f>B6816</x:f>
        <x:v>0.2623</x:v>
      </x:c>
      <x:c r="E6816" s="1" t="n">
        <x:v>1.05</x:v>
      </x:c>
      <x:c r="F6816" s="1" t="str">
        <x:v>https://api.octopus.energy/v1/products/AGILE-24-10-01/electricity-tariffs/E-1R-AGILE-24-10-01-G/standard-unit-rates/</x:v>
      </x:c>
    </x:row>
    <x:row r="6817" ht="21" customHeight="1">
      <x:c r="A6817" s="24" t="n">
        <x:v>46290.520833333336</x:v>
      </x:c>
      <x:c r="B6817" s="6" t="n">
        <x:v>0.2609</x:v>
      </x:c>
      <x:c r="C6817" s="6" t="n">
        <x:v>0.14550000000000002</x:v>
      </x:c>
      <x:c r="D6817" s="6" t="n">
        <x:f>B6817</x:f>
        <x:v>0.2609</x:v>
      </x:c>
      <x:c r="E6817" s="1" t="n">
        <x:v>1.05</x:v>
      </x:c>
      <x:c r="F6817" s="1" t="str">
        <x:v>https://api.octopus.energy/v1/products/AGILE-24-10-01/electricity-tariffs/E-1R-AGILE-24-10-01-G/standard-unit-rates/</x:v>
      </x:c>
    </x:row>
    <x:row r="6818" ht="21" customHeight="1">
      <x:c r="A6818" s="24" t="n">
        <x:v>46290.541666666664</x:v>
      </x:c>
      <x:c r="B6818" s="6" t="n">
        <x:v>0.2498</x:v>
      </x:c>
      <x:c r="C6818" s="6" t="n">
        <x:v>0.1405</x:v>
      </x:c>
      <x:c r="D6818" s="6" t="n">
        <x:f>B6818</x:f>
        <x:v>0.2498</x:v>
      </x:c>
      <x:c r="E6818" s="1" t="n">
        <x:v>1.05</x:v>
      </x:c>
      <x:c r="F6818" s="1" t="str">
        <x:v>https://api.octopus.energy/v1/products/AGILE-24-10-01/electricity-tariffs/E-1R-AGILE-24-10-01-G/standard-unit-rates/</x:v>
      </x:c>
    </x:row>
    <x:row r="6819" ht="21" customHeight="1">
      <x:c r="A6819" s="24" t="n">
        <x:v>46290.5625</x:v>
      </x:c>
      <x:c r="B6819" s="6" t="n">
        <x:v>0.25579999999999997</x:v>
      </x:c>
      <x:c r="C6819" s="6" t="n">
        <x:v>0.1432</x:v>
      </x:c>
      <x:c r="D6819" s="6" t="n">
        <x:f>B6819</x:f>
        <x:v>0.25579999999999997</x:v>
      </x:c>
      <x:c r="E6819" s="1" t="n">
        <x:v>1.05</x:v>
      </x:c>
      <x:c r="F6819" s="1" t="str">
        <x:v>https://api.octopus.energy/v1/products/AGILE-24-10-01/electricity-tariffs/E-1R-AGILE-24-10-01-G/standard-unit-rates/</x:v>
      </x:c>
    </x:row>
    <x:row r="6820" ht="21" customHeight="1">
      <x:c r="A6820" s="24" t="n">
        <x:v>46290.583333333336</x:v>
      </x:c>
      <x:c r="B6820" s="6" t="n">
        <x:v>0.2541</x:v>
      </x:c>
      <x:c r="C6820" s="6" t="n">
        <x:v>0.1424</x:v>
      </x:c>
      <x:c r="D6820" s="6" t="n">
        <x:f>B6820</x:f>
        <x:v>0.2541</x:v>
      </x:c>
      <x:c r="E6820" s="1" t="n">
        <x:v>1.05</x:v>
      </x:c>
      <x:c r="F6820" s="1" t="str">
        <x:v>https://api.octopus.energy/v1/products/AGILE-24-10-01/electricity-tariffs/E-1R-AGILE-24-10-01-G/standard-unit-rates/</x:v>
      </x:c>
    </x:row>
    <x:row r="6821" ht="21" customHeight="1">
      <x:c r="A6821" s="24" t="n">
        <x:v>46290.604166666664</x:v>
      </x:c>
      <x:c r="B6821" s="6" t="n">
        <x:v>0.2532</x:v>
      </x:c>
      <x:c r="C6821" s="6" t="n">
        <x:v>0.142</x:v>
      </x:c>
      <x:c r="D6821" s="6" t="n">
        <x:f>B6821</x:f>
        <x:v>0.2532</x:v>
      </x:c>
      <x:c r="E6821" s="1" t="n">
        <x:v>1.05</x:v>
      </x:c>
      <x:c r="F6821" s="1" t="str">
        <x:v>https://api.octopus.energy/v1/products/AGILE-24-10-01/electricity-tariffs/E-1R-AGILE-24-10-01-G/standard-unit-rates/</x:v>
      </x:c>
    </x:row>
    <x:row r="6822" ht="21" customHeight="1">
      <x:c r="A6822" s="24" t="n">
        <x:v>46290.625</x:v>
      </x:c>
      <x:c r="B6822" s="6" t="n">
        <x:v>0.2519</x:v>
      </x:c>
      <x:c r="C6822" s="6" t="n">
        <x:v>0.1414</x:v>
      </x:c>
      <x:c r="D6822" s="6" t="n">
        <x:f>B6822</x:f>
        <x:v>0.2519</x:v>
      </x:c>
      <x:c r="E6822" s="1" t="n">
        <x:v>1.05</x:v>
      </x:c>
      <x:c r="F6822" s="1" t="str">
        <x:v>https://api.octopus.energy/v1/products/AGILE-24-10-01/electricity-tariffs/E-1R-AGILE-24-10-01-G/standard-unit-rates/</x:v>
      </x:c>
    </x:row>
    <x:row r="6823" ht="21" customHeight="1">
      <x:c r="A6823" s="24" t="n">
        <x:v>46290.645833333336</x:v>
      </x:c>
      <x:c r="B6823" s="6" t="n">
        <x:v>0.2396</x:v>
      </x:c>
      <x:c r="C6823" s="6" t="n">
        <x:v>0.1358</x:v>
      </x:c>
      <x:c r="D6823" s="6" t="n">
        <x:f>B6823</x:f>
        <x:v>0.2396</x:v>
      </x:c>
      <x:c r="E6823" s="1" t="n">
        <x:v>1.05</x:v>
      </x:c>
      <x:c r="F6823" s="1" t="str">
        <x:v>https://api.octopus.energy/v1/products/AGILE-24-10-01/electricity-tariffs/E-1R-AGILE-24-10-01-G/standard-unit-rates/</x:v>
      </x:c>
    </x:row>
    <x:row r="6824" ht="21" customHeight="1">
      <x:c r="A6824" s="24" t="n">
        <x:v>46290.666666666664</x:v>
      </x:c>
      <x:c r="B6824" s="6" t="n">
        <x:v>0.423</x:v>
      </x:c>
      <x:c r="C6824" s="6" t="n">
        <x:v>0.2237</x:v>
      </x:c>
      <x:c r="D6824" s="6" t="n">
        <x:f>B6824</x:f>
        <x:v>0.423</x:v>
      </x:c>
      <x:c r="E6824" s="1" t="n">
        <x:v>1.05</x:v>
      </x:c>
      <x:c r="F6824" s="1" t="str">
        <x:v>https://api.octopus.energy/v1/products/AGILE-24-10-01/electricity-tariffs/E-1R-AGILE-24-10-01-G/standard-unit-rates/</x:v>
      </x:c>
    </x:row>
    <x:row r="6825" ht="21" customHeight="1">
      <x:c r="A6825" s="24" t="n">
        <x:v>46290.6875</x:v>
      </x:c>
      <x:c r="B6825" s="6" t="n">
        <x:v>0.4446</x:v>
      </x:c>
      <x:c r="C6825" s="6" t="n">
        <x:v>0.2336</x:v>
      </x:c>
      <x:c r="D6825" s="6" t="n">
        <x:f>B6825</x:f>
        <x:v>0.4446</x:v>
      </x:c>
      <x:c r="E6825" s="1" t="n">
        <x:v>1.05</x:v>
      </x:c>
      <x:c r="F6825" s="1" t="str">
        <x:v>https://api.octopus.energy/v1/products/AGILE-24-10-01/electricity-tariffs/E-1R-AGILE-24-10-01-G/standard-unit-rates/</x:v>
      </x:c>
    </x:row>
    <x:row r="6826" ht="21" customHeight="1">
      <x:c r="A6826" s="24" t="n">
        <x:v>46290.708333333336</x:v>
      </x:c>
      <x:c r="B6826" s="6" t="n">
        <x:v>0.5022</x:v>
      </x:c>
      <x:c r="C6826" s="6" t="n">
        <x:v>0.25989999999999996</x:v>
      </x:c>
      <x:c r="D6826" s="6" t="n">
        <x:f>B6826</x:f>
        <x:v>0.5022</x:v>
      </x:c>
      <x:c r="E6826" s="1" t="n">
        <x:v>1.05</x:v>
      </x:c>
      <x:c r="F6826" s="1" t="str">
        <x:v>https://api.octopus.energy/v1/products/AGILE-24-10-01/electricity-tariffs/E-1R-AGILE-24-10-01-G/standard-unit-rates/</x:v>
      </x:c>
    </x:row>
    <x:row r="6827" ht="21" customHeight="1">
      <x:c r="A6827" s="24" t="n">
        <x:v>46290.729166666664</x:v>
      </x:c>
      <x:c r="B6827" s="6" t="n">
        <x:v>0.5205</x:v>
      </x:c>
      <x:c r="C6827" s="6" t="n">
        <x:v>0.2682</x:v>
      </x:c>
      <x:c r="D6827" s="6" t="n">
        <x:f>B6827</x:f>
        <x:v>0.5205</x:v>
      </x:c>
      <x:c r="E6827" s="1" t="n">
        <x:v>1.05</x:v>
      </x:c>
      <x:c r="F6827" s="1" t="str">
        <x:v>https://api.octopus.energy/v1/products/AGILE-24-10-01/electricity-tariffs/E-1R-AGILE-24-10-01-G/standard-unit-rates/</x:v>
      </x:c>
    </x:row>
    <x:row r="6828" ht="21" customHeight="1">
      <x:c r="A6828" s="24" t="n">
        <x:v>46290.75</x:v>
      </x:c>
      <x:c r="B6828" s="6" t="n">
        <x:v>0.537</x:v>
      </x:c>
      <x:c r="C6828" s="6" t="n">
        <x:v>0.2758</x:v>
      </x:c>
      <x:c r="D6828" s="6" t="n">
        <x:f>B6828</x:f>
        <x:v>0.537</x:v>
      </x:c>
      <x:c r="E6828" s="1" t="n">
        <x:v>1.05</x:v>
      </x:c>
      <x:c r="F6828" s="1" t="str">
        <x:v>https://api.octopus.energy/v1/products/AGILE-24-10-01/electricity-tariffs/E-1R-AGILE-24-10-01-G/standard-unit-rates/</x:v>
      </x:c>
    </x:row>
    <x:row r="6829" ht="21" customHeight="1">
      <x:c r="A6829" s="24" t="n">
        <x:v>46290.770833333336</x:v>
      </x:c>
      <x:c r="B6829" s="6" t="n">
        <x:v>0.5468999999999999</x:v>
      </x:c>
      <x:c r="C6829" s="6" t="n">
        <x:v>0.2803</x:v>
      </x:c>
      <x:c r="D6829" s="6" t="n">
        <x:f>B6829</x:f>
        <x:v>0.5468999999999999</x:v>
      </x:c>
      <x:c r="E6829" s="1" t="n">
        <x:v>1.05</x:v>
      </x:c>
      <x:c r="F6829" s="1" t="str">
        <x:v>https://api.octopus.energy/v1/products/AGILE-24-10-01/electricity-tariffs/E-1R-AGILE-24-10-01-G/standard-unit-rates/</x:v>
      </x:c>
    </x:row>
    <x:row r="6830" ht="21" customHeight="1">
      <x:c r="A6830" s="24" t="n">
        <x:v>46290.791666666664</x:v>
      </x:c>
      <x:c r="B6830" s="6" t="n">
        <x:v>0.4108</x:v>
      </x:c>
      <x:c r="C6830" s="6" t="n">
        <x:v>0.2141</x:v>
      </x:c>
      <x:c r="D6830" s="6" t="n">
        <x:f>B6830</x:f>
        <x:v>0.4108</x:v>
      </x:c>
      <x:c r="E6830" s="1" t="n">
        <x:v>1.05</x:v>
      </x:c>
      <x:c r="F6830" s="1" t="str">
        <x:v>https://api.octopus.energy/v1/products/AGILE-24-10-01/electricity-tariffs/E-1R-AGILE-24-10-01-G/standard-unit-rates/</x:v>
      </x:c>
    </x:row>
    <x:row r="6831" ht="21" customHeight="1">
      <x:c r="A6831" s="24" t="n">
        <x:v>46290.8125</x:v>
      </x:c>
      <x:c r="B6831" s="6" t="n">
        <x:v>0.4044</x:v>
      </x:c>
      <x:c r="C6831" s="6" t="n">
        <x:v>0.21109999999999998</x:v>
      </x:c>
      <x:c r="D6831" s="6" t="n">
        <x:f>B6831</x:f>
        <x:v>0.4044</x:v>
      </x:c>
      <x:c r="E6831" s="1" t="n">
        <x:v>1.05</x:v>
      </x:c>
      <x:c r="F6831" s="1" t="str">
        <x:v>https://api.octopus.energy/v1/products/AGILE-24-10-01/electricity-tariffs/E-1R-AGILE-24-10-01-G/standard-unit-rates/</x:v>
      </x:c>
    </x:row>
    <x:row r="6832" ht="21" customHeight="1">
      <x:c r="A6832" s="24" t="n">
        <x:v>46290.833333333336</x:v>
      </x:c>
      <x:c r="B6832" s="6" t="n">
        <x:v>0.37439999999999996</x:v>
      </x:c>
      <x:c r="C6832" s="6" t="n">
        <x:v>0.1974</x:v>
      </x:c>
      <x:c r="D6832" s="6" t="n">
        <x:f>B6832</x:f>
        <x:v>0.37439999999999996</x:v>
      </x:c>
      <x:c r="E6832" s="1" t="n">
        <x:v>1.05</x:v>
      </x:c>
      <x:c r="F6832" s="1" t="str">
        <x:v>https://api.octopus.energy/v1/products/AGILE-24-10-01/electricity-tariffs/E-1R-AGILE-24-10-01-G/standard-unit-rates/</x:v>
      </x:c>
    </x:row>
    <x:row r="6833" ht="21" customHeight="1">
      <x:c r="A6833" s="24" t="n">
        <x:v>46290.854166666664</x:v>
      </x:c>
      <x:c r="B6833" s="6" t="n">
        <x:v>0.3613</x:v>
      </x:c>
      <x:c r="C6833" s="6" t="n">
        <x:v>0.19140000000000001</x:v>
      </x:c>
      <x:c r="D6833" s="6" t="n">
        <x:f>B6833</x:f>
        <x:v>0.3613</x:v>
      </x:c>
      <x:c r="E6833" s="1" t="n">
        <x:v>1.05</x:v>
      </x:c>
      <x:c r="F6833" s="1" t="str">
        <x:v>https://api.octopus.energy/v1/products/AGILE-24-10-01/electricity-tariffs/E-1R-AGILE-24-10-01-G/standard-unit-rates/</x:v>
      </x:c>
    </x:row>
    <x:row r="6834" ht="21" customHeight="1">
      <x:c r="A6834" s="24" t="n">
        <x:v>46290.875</x:v>
      </x:c>
      <x:c r="B6834" s="6" t="n">
        <x:v>0.3348</x:v>
      </x:c>
      <x:c r="C6834" s="6" t="n">
        <x:v>0.1793</x:v>
      </x:c>
      <x:c r="D6834" s="6" t="n">
        <x:f>B6834</x:f>
        <x:v>0.3348</x:v>
      </x:c>
      <x:c r="E6834" s="1" t="n">
        <x:v>1.05</x:v>
      </x:c>
      <x:c r="F6834" s="1" t="str">
        <x:v>https://api.octopus.energy/v1/products/AGILE-24-10-01/electricity-tariffs/E-1R-AGILE-24-10-01-G/standard-unit-rates/</x:v>
      </x:c>
    </x:row>
    <x:row r="6835" ht="21" customHeight="1">
      <x:c r="A6835" s="24" t="n">
        <x:v>46290.895833333336</x:v>
      </x:c>
      <x:c r="B6835" s="6" t="n">
        <x:v>0.3136</x:v>
      </x:c>
      <x:c r="C6835" s="6" t="n">
        <x:v>0.1696</x:v>
      </x:c>
      <x:c r="D6835" s="6" t="n">
        <x:f>B6835</x:f>
        <x:v>0.3136</x:v>
      </x:c>
      <x:c r="E6835" s="1" t="n">
        <x:v>1.05</x:v>
      </x:c>
      <x:c r="F6835" s="1" t="str">
        <x:v>https://api.octopus.energy/v1/products/AGILE-24-10-01/electricity-tariffs/E-1R-AGILE-24-10-01-G/standard-unit-rates/</x:v>
      </x:c>
    </x:row>
    <x:row r="6836" ht="21" customHeight="1">
      <x:c r="A6836" s="24" t="n">
        <x:v>46290.916666666664</x:v>
      </x:c>
      <x:c r="B6836" s="6" t="n">
        <x:v>0.2923</x:v>
      </x:c>
      <x:c r="C6836" s="6" t="n">
        <x:v>0.15990000000000001</x:v>
      </x:c>
      <x:c r="D6836" s="6" t="n">
        <x:f>B6836</x:f>
        <x:v>0.2923</x:v>
      </x:c>
      <x:c r="E6836" s="1" t="n">
        <x:v>1.05</x:v>
      </x:c>
      <x:c r="F6836" s="1" t="str">
        <x:v>https://api.octopus.energy/v1/products/AGILE-24-10-01/electricity-tariffs/E-1R-AGILE-24-10-01-G/standard-unit-rates/</x:v>
      </x:c>
    </x:row>
    <x:row r="6837" ht="21" customHeight="1">
      <x:c r="A6837" s="24" t="n">
        <x:v>46290.9375</x:v>
      </x:c>
      <x:c r="B6837" s="6" t="n">
        <x:v>0.29109999999999997</x:v>
      </x:c>
      <x:c r="C6837" s="6" t="n">
        <x:v>0.1593</x:v>
      </x:c>
      <x:c r="D6837" s="6" t="n">
        <x:f>B6837</x:f>
        <x:v>0.29109999999999997</x:v>
      </x:c>
      <x:c r="E6837" s="1" t="n">
        <x:v>1.05</x:v>
      </x:c>
      <x:c r="F6837" s="1" t="str">
        <x:v>https://api.octopus.energy/v1/products/AGILE-24-10-01/electricity-tariffs/E-1R-AGILE-24-10-01-G/standard-unit-rates/</x:v>
      </x:c>
    </x:row>
    <x:row r="6838" ht="21" customHeight="1">
      <x:c r="A6838" s="24" t="n">
        <x:v>46291</x:v>
      </x:c>
      <x:c r="B6838" s="6" t="n">
        <x:v>0.3317</x:v>
      </x:c>
      <x:c r="C6838" s="6" t="n">
        <x:v>0.1779</x:v>
      </x:c>
      <x:c r="D6838" s="6" t="n">
        <x:f>B6838</x:f>
        <x:v>0.3317</x:v>
      </x:c>
      <x:c r="E6838" s="1" t="n">
        <x:v>1.05</x:v>
      </x:c>
      <x:c r="F6838" s="1" t="str">
        <x:v>https://api.octopus.energy/v1/products/AGILE-24-10-01/electricity-tariffs/E-1R-AGILE-24-10-01-G/standard-unit-rates/</x:v>
      </x:c>
    </x:row>
    <x:row r="6839" ht="21" customHeight="1">
      <x:c r="A6839" s="24" t="n">
        <x:v>46290.979166666664</x:v>
      </x:c>
      <x:c r="B6839" s="6" t="n">
        <x:v>0.309</x:v>
      </x:c>
      <x:c r="C6839" s="6" t="n">
        <x:v>0.1675</x:v>
      </x:c>
      <x:c r="D6839" s="6" t="n">
        <x:f>B6839</x:f>
        <x:v>0.309</x:v>
      </x:c>
      <x:c r="E6839" s="1" t="n">
        <x:v>1.05</x:v>
      </x:c>
      <x:c r="F6839" s="1" t="str">
        <x:v>https://api.octopus.energy/v1/products/AGILE-24-10-01/electricity-tariffs/E-1R-AGILE-24-10-01-G/standard-unit-rates/</x:v>
      </x:c>
    </x:row>
    <x:row r="6840" ht="21" customHeight="1">
      <x:c r="A6840" s="24" t="n">
        <x:v>46291</x:v>
      </x:c>
      <x:c r="B6840" s="6" t="n">
        <x:v>0.3025</x:v>
      </x:c>
      <x:c r="C6840" s="6" t="n">
        <x:v>0.1646</x:v>
      </x:c>
      <x:c r="D6840" s="6" t="n">
        <x:f>B6840</x:f>
        <x:v>0.3025</x:v>
      </x:c>
      <x:c r="E6840" s="1" t="n">
        <x:v>1.05</x:v>
      </x:c>
      <x:c r="F6840" s="1" t="str">
        <x:v>https://api.octopus.energy/v1/products/AGILE-24-10-01/electricity-tariffs/E-1R-AGILE-24-10-01-G/standard-unit-rates/</x:v>
      </x:c>
    </x:row>
    <x:row r="6841" ht="21" customHeight="1">
      <x:c r="A6841" s="24" t="n">
        <x:v>46291.020833333336</x:v>
      </x:c>
      <x:c r="B6841" s="6" t="n">
        <x:v>0.2858</x:v>
      </x:c>
      <x:c r="C6841" s="6" t="n">
        <x:v>0.15689999999999998</x:v>
      </x:c>
      <x:c r="D6841" s="6" t="n">
        <x:f>B6841</x:f>
        <x:v>0.2858</x:v>
      </x:c>
      <x:c r="E6841" s="1" t="n">
        <x:v>1.05</x:v>
      </x:c>
      <x:c r="F6841" s="1" t="str">
        <x:v>https://api.octopus.energy/v1/products/AGILE-24-10-01/electricity-tariffs/E-1R-AGILE-24-10-01-G/standard-unit-rates/</x:v>
      </x:c>
    </x:row>
    <x:row r="6842" ht="21" customHeight="1">
      <x:c r="A6842" s="24" t="n">
        <x:v>46291.041666666664</x:v>
      </x:c>
      <x:c r="B6842" s="6" t="n">
        <x:v>0.2792</x:v>
      </x:c>
      <x:c r="C6842" s="6" t="n">
        <x:v>0.1539</x:v>
      </x:c>
      <x:c r="D6842" s="6" t="n">
        <x:f>B6842</x:f>
        <x:v>0.2792</x:v>
      </x:c>
      <x:c r="E6842" s="1" t="n">
        <x:v>1.05</x:v>
      </x:c>
      <x:c r="F6842" s="1" t="str">
        <x:v>https://api.octopus.energy/v1/products/AGILE-24-10-01/electricity-tariffs/E-1R-AGILE-24-10-01-G/standard-unit-rates/</x:v>
      </x:c>
    </x:row>
    <x:row r="6843" ht="21" customHeight="1">
      <x:c r="A6843" s="24" t="n">
        <x:v>46291.0625</x:v>
      </x:c>
      <x:c r="B6843" s="6" t="n">
        <x:v>0.26899999999999996</x:v>
      </x:c>
      <x:c r="C6843" s="6" t="n">
        <x:v>0.1492</x:v>
      </x:c>
      <x:c r="D6843" s="6" t="n">
        <x:f>B6843</x:f>
        <x:v>0.26899999999999996</x:v>
      </x:c>
      <x:c r="E6843" s="1" t="n">
        <x:v>1.05</x:v>
      </x:c>
      <x:c r="F6843" s="1" t="str">
        <x:v>https://api.octopus.energy/v1/products/AGILE-24-10-01/electricity-tariffs/E-1R-AGILE-24-10-01-G/standard-unit-rates/</x:v>
      </x:c>
    </x:row>
    <x:row r="6844" ht="21" customHeight="1">
      <x:c r="A6844" s="24" t="n">
        <x:v>46291.083333333336</x:v>
      </x:c>
      <x:c r="B6844" s="6" t="n">
        <x:v>0.2685</x:v>
      </x:c>
      <x:c r="C6844" s="6" t="n">
        <x:v>0.149</x:v>
      </x:c>
      <x:c r="D6844" s="6" t="n">
        <x:f>B6844</x:f>
        <x:v>0.2685</x:v>
      </x:c>
      <x:c r="E6844" s="1" t="n">
        <x:v>1.05</x:v>
      </x:c>
      <x:c r="F6844" s="1" t="str">
        <x:v>https://api.octopus.energy/v1/products/AGILE-24-10-01/electricity-tariffs/E-1R-AGILE-24-10-01-G/standard-unit-rates/</x:v>
      </x:c>
    </x:row>
    <x:row r="6845" ht="21" customHeight="1">
      <x:c r="A6845" s="24" t="n">
        <x:v>46291.104166666664</x:v>
      </x:c>
      <x:c r="B6845" s="6" t="n">
        <x:v>0.2642</x:v>
      </x:c>
      <x:c r="C6845" s="6" t="n">
        <x:v>0.1471</x:v>
      </x:c>
      <x:c r="D6845" s="6" t="n">
        <x:f>B6845</x:f>
        <x:v>0.2642</x:v>
      </x:c>
      <x:c r="E6845" s="1" t="n">
        <x:v>1.05</x:v>
      </x:c>
      <x:c r="F6845" s="1" t="str">
        <x:v>https://api.octopus.energy/v1/products/AGILE-24-10-01/electricity-tariffs/E-1R-AGILE-24-10-01-G/standard-unit-rates/</x:v>
      </x:c>
    </x:row>
    <x:row r="6846" ht="21" customHeight="1">
      <x:c r="A6846" s="24" t="n">
        <x:v>46291.125</x:v>
      </x:c>
      <x:c r="B6846" s="6" t="n">
        <x:v>0.2646</x:v>
      </x:c>
      <x:c r="C6846" s="6" t="n">
        <x:v>0.1472</x:v>
      </x:c>
      <x:c r="D6846" s="6" t="n">
        <x:f>B6846</x:f>
        <x:v>0.2646</x:v>
      </x:c>
      <x:c r="E6846" s="1" t="n">
        <x:v>1.05</x:v>
      </x:c>
      <x:c r="F6846" s="1" t="str">
        <x:v>https://api.octopus.energy/v1/products/AGILE-24-10-01/electricity-tariffs/E-1R-AGILE-24-10-01-G/standard-unit-rates/</x:v>
      </x:c>
    </x:row>
    <x:row r="6847" ht="21" customHeight="1">
      <x:c r="A6847" s="24" t="n">
        <x:v>46291.145833333336</x:v>
      </x:c>
      <x:c r="B6847" s="6" t="n">
        <x:v>0.2575</x:v>
      </x:c>
      <x:c r="C6847" s="6" t="n">
        <x:v>0.14400000000000002</x:v>
      </x:c>
      <x:c r="D6847" s="6" t="n">
        <x:f>B6847</x:f>
        <x:v>0.2575</x:v>
      </x:c>
      <x:c r="E6847" s="1" t="n">
        <x:v>1.05</x:v>
      </x:c>
      <x:c r="F6847" s="1" t="str">
        <x:v>https://api.octopus.energy/v1/products/AGILE-24-10-01/electricity-tariffs/E-1R-AGILE-24-10-01-G/standard-unit-rates/</x:v>
      </x:c>
    </x:row>
    <x:row r="6848" ht="21" customHeight="1">
      <x:c r="A6848" s="24" t="n">
        <x:v>46291.166666666664</x:v>
      </x:c>
      <x:c r="B6848" s="6" t="n">
        <x:v>0.272</x:v>
      </x:c>
      <x:c r="C6848" s="6" t="n">
        <x:v>0.1506</x:v>
      </x:c>
      <x:c r="D6848" s="6" t="n">
        <x:f>B6848</x:f>
        <x:v>0.272</x:v>
      </x:c>
      <x:c r="E6848" s="1" t="n">
        <x:v>1.05</x:v>
      </x:c>
      <x:c r="F6848" s="1" t="str">
        <x:v>https://api.octopus.energy/v1/products/AGILE-24-10-01/electricity-tariffs/E-1R-AGILE-24-10-01-G/standard-unit-rates/</x:v>
      </x:c>
    </x:row>
    <x:row r="6849" ht="21" customHeight="1">
      <x:c r="A6849" s="24" t="n">
        <x:v>46291.1875</x:v>
      </x:c>
      <x:c r="B6849" s="6" t="n">
        <x:v>0.2648</x:v>
      </x:c>
      <x:c r="C6849" s="6" t="n">
        <x:v>0.14730000000000001</x:v>
      </x:c>
      <x:c r="D6849" s="6" t="n">
        <x:f>B6849</x:f>
        <x:v>0.2648</x:v>
      </x:c>
      <x:c r="E6849" s="1" t="n">
        <x:v>1.05</x:v>
      </x:c>
      <x:c r="F6849" s="1" t="str">
        <x:v>https://api.octopus.energy/v1/products/AGILE-24-10-01/electricity-tariffs/E-1R-AGILE-24-10-01-G/standard-unit-rates/</x:v>
      </x:c>
    </x:row>
    <x:row r="6850" ht="21" customHeight="1">
      <x:c r="A6850" s="24" t="n">
        <x:v>46291.208333333336</x:v>
      </x:c>
      <x:c r="B6850" s="6" t="n">
        <x:v>0.2945</x:v>
      </x:c>
      <x:c r="C6850" s="6" t="n">
        <x:v>0.1609</x:v>
      </x:c>
      <x:c r="D6850" s="6" t="n">
        <x:f>B6850</x:f>
        <x:v>0.2945</x:v>
      </x:c>
      <x:c r="E6850" s="1" t="n">
        <x:v>1.05</x:v>
      </x:c>
      <x:c r="F6850" s="1" t="str">
        <x:v>https://api.octopus.energy/v1/products/AGILE-24-10-01/electricity-tariffs/E-1R-AGILE-24-10-01-G/standard-unit-rates/</x:v>
      </x:c>
    </x:row>
    <x:row r="6851" ht="21" customHeight="1">
      <x:c r="A6851" s="24" t="n">
        <x:v>46291.229166666664</x:v>
      </x:c>
      <x:c r="B6851" s="6" t="n">
        <x:v>0.2989</x:v>
      </x:c>
      <x:c r="C6851" s="6" t="n">
        <x:v>0.1629</x:v>
      </x:c>
      <x:c r="D6851" s="6" t="n">
        <x:f>B6851</x:f>
        <x:v>0.2989</x:v>
      </x:c>
      <x:c r="E6851" s="1" t="n">
        <x:v>1.05</x:v>
      </x:c>
      <x:c r="F6851" s="1" t="str">
        <x:v>https://api.octopus.energy/v1/products/AGILE-24-10-01/electricity-tariffs/E-1R-AGILE-24-10-01-G/standard-unit-rates/</x:v>
      </x:c>
    </x:row>
    <x:row r="6852" ht="21" customHeight="1">
      <x:c r="A6852" s="24" t="n">
        <x:v>46291.25</x:v>
      </x:c>
      <x:c r="B6852" s="6" t="n">
        <x:v>0.3176</x:v>
      </x:c>
      <x:c r="C6852" s="6" t="n">
        <x:v>0.17149999999999999</x:v>
      </x:c>
      <x:c r="D6852" s="6" t="n">
        <x:f>B6852</x:f>
        <x:v>0.3176</x:v>
      </x:c>
      <x:c r="E6852" s="1" t="n">
        <x:v>1.05</x:v>
      </x:c>
      <x:c r="F6852" s="1" t="str">
        <x:v>https://api.octopus.energy/v1/products/AGILE-24-10-01/electricity-tariffs/E-1R-AGILE-24-10-01-G/standard-unit-rates/</x:v>
      </x:c>
    </x:row>
    <x:row r="6853" ht="21" customHeight="1">
      <x:c r="A6853" s="24" t="n">
        <x:v>46291.270833333336</x:v>
      </x:c>
      <x:c r="B6853" s="6" t="n">
        <x:v>0.3422</x:v>
      </x:c>
      <x:c r="C6853" s="6" t="n">
        <x:v>0.1827</x:v>
      </x:c>
      <x:c r="D6853" s="6" t="n">
        <x:f>B6853</x:f>
        <x:v>0.3422</x:v>
      </x:c>
      <x:c r="E6853" s="1" t="n">
        <x:v>1.05</x:v>
      </x:c>
      <x:c r="F6853" s="1" t="str">
        <x:v>https://api.octopus.energy/v1/products/AGILE-24-10-01/electricity-tariffs/E-1R-AGILE-24-10-01-G/standard-unit-rates/</x:v>
      </x:c>
    </x:row>
    <x:row r="6854" ht="21" customHeight="1">
      <x:c r="A6854" s="24" t="n">
        <x:v>46291.291666666664</x:v>
      </x:c>
      <x:c r="B6854" s="6" t="n">
        <x:v>0.3118</x:v>
      </x:c>
      <x:c r="C6854" s="6" t="n">
        <x:v>0.16879999999999998</x:v>
      </x:c>
      <x:c r="D6854" s="6" t="n">
        <x:f>B6854</x:f>
        <x:v>0.3118</x:v>
      </x:c>
      <x:c r="E6854" s="1" t="n">
        <x:v>1.05</x:v>
      </x:c>
      <x:c r="F6854" s="1" t="str">
        <x:v>https://api.octopus.energy/v1/products/AGILE-24-10-01/electricity-tariffs/E-1R-AGILE-24-10-01-G/standard-unit-rates/</x:v>
      </x:c>
    </x:row>
    <x:row r="6855" ht="21" customHeight="1">
      <x:c r="A6855" s="24" t="n">
        <x:v>46291.3125</x:v>
      </x:c>
      <x:c r="B6855" s="6" t="n">
        <x:v>0.3333</x:v>
      </x:c>
      <x:c r="C6855" s="6" t="n">
        <x:v>0.17859999999999998</x:v>
      </x:c>
      <x:c r="D6855" s="6" t="n">
        <x:f>B6855</x:f>
        <x:v>0.3333</x:v>
      </x:c>
      <x:c r="E6855" s="1" t="n">
        <x:v>1.05</x:v>
      </x:c>
      <x:c r="F6855" s="1" t="str">
        <x:v>https://api.octopus.energy/v1/products/AGILE-24-10-01/electricity-tariffs/E-1R-AGILE-24-10-01-G/standard-unit-rates/</x:v>
      </x:c>
    </x:row>
    <x:row r="6856" ht="21" customHeight="1">
      <x:c r="A6856" s="24" t="n">
        <x:v>46291.333333333336</x:v>
      </x:c>
      <x:c r="B6856" s="6" t="n">
        <x:v>0.2781</x:v>
      </x:c>
      <x:c r="C6856" s="6" t="n">
        <x:v>0.1534</x:v>
      </x:c>
      <x:c r="D6856" s="6" t="n">
        <x:f>B6856</x:f>
        <x:v>0.2781</x:v>
      </x:c>
      <x:c r="E6856" s="1" t="n">
        <x:v>1.05</x:v>
      </x:c>
      <x:c r="F6856" s="1" t="str">
        <x:v>https://api.octopus.energy/v1/products/AGILE-24-10-01/electricity-tariffs/E-1R-AGILE-24-10-01-G/standard-unit-rates/</x:v>
      </x:c>
    </x:row>
    <x:row r="6857" ht="21" customHeight="1">
      <x:c r="A6857" s="24" t="n">
        <x:v>46291.354166666664</x:v>
      </x:c>
      <x:c r="B6857" s="6" t="n">
        <x:v>0.2706</x:v>
      </x:c>
      <x:c r="C6857" s="6" t="n">
        <x:v>0.15</x:v>
      </x:c>
      <x:c r="D6857" s="6" t="n">
        <x:f>B6857</x:f>
        <x:v>0.2706</x:v>
      </x:c>
      <x:c r="E6857" s="1" t="n">
        <x:v>1.05</x:v>
      </x:c>
      <x:c r="F6857" s="1" t="str">
        <x:v>https://api.octopus.energy/v1/products/AGILE-24-10-01/electricity-tariffs/E-1R-AGILE-24-10-01-G/standard-unit-rates/</x:v>
      </x:c>
    </x:row>
    <x:row r="6858" ht="21" customHeight="1">
      <x:c r="A6858" s="24" t="n">
        <x:v>46291.375</x:v>
      </x:c>
      <x:c r="B6858" s="6" t="n">
        <x:v>0.1766</x:v>
      </x:c>
      <x:c r="C6858" s="6" t="n">
        <x:v>0.107</x:v>
      </x:c>
      <x:c r="D6858" s="6" t="n">
        <x:f>B6858</x:f>
        <x:v>0.1766</x:v>
      </x:c>
      <x:c r="E6858" s="1" t="n">
        <x:v>1.05</x:v>
      </x:c>
      <x:c r="F6858" s="1" t="str">
        <x:v>https://api.octopus.energy/v1/products/AGILE-24-10-01/electricity-tariffs/E-1R-AGILE-24-10-01-G/standard-unit-rates/</x:v>
      </x:c>
    </x:row>
    <x:row r="6859" ht="21" customHeight="1">
      <x:c r="A6859" s="24" t="n">
        <x:v>46291.395833333336</x:v>
      </x:c>
      <x:c r="B6859" s="6" t="n">
        <x:v>0.1522</x:v>
      </x:c>
      <x:c r="C6859" s="6" t="n">
        <x:v>0.0959</x:v>
      </x:c>
      <x:c r="D6859" s="6" t="n">
        <x:f>B6859</x:f>
        <x:v>0.1522</x:v>
      </x:c>
      <x:c r="E6859" s="1" t="n">
        <x:v>1.05</x:v>
      </x:c>
      <x:c r="F6859" s="1" t="str">
        <x:v>https://api.octopus.energy/v1/products/AGILE-24-10-01/electricity-tariffs/E-1R-AGILE-24-10-01-G/standard-unit-rates/</x:v>
      </x:c>
    </x:row>
    <x:row r="6860" ht="21" customHeight="1">
      <x:c r="A6860" s="24" t="n">
        <x:v>46291.416666666664</x:v>
      </x:c>
      <x:c r="B6860" s="6" t="n">
        <x:v>0.1272</x:v>
      </x:c>
      <x:c r="C6860" s="6" t="n">
        <x:v>0.08439999999999999</x:v>
      </x:c>
      <x:c r="D6860" s="6" t="n">
        <x:f>B6860</x:f>
        <x:v>0.1272</x:v>
      </x:c>
      <x:c r="E6860" s="1" t="n">
        <x:v>1.05</x:v>
      </x:c>
      <x:c r="F6860" s="1" t="str">
        <x:v>https://api.octopus.energy/v1/products/AGILE-24-10-01/electricity-tariffs/E-1R-AGILE-24-10-01-G/standard-unit-rates/</x:v>
      </x:c>
    </x:row>
    <x:row r="6861" ht="21" customHeight="1">
      <x:c r="A6861" s="24" t="n">
        <x:v>46291.4375</x:v>
      </x:c>
      <x:c r="B6861" s="6" t="n">
        <x:v>0.0727</x:v>
      </x:c>
      <x:c r="C6861" s="6" t="n">
        <x:v>0.059500000000000004</x:v>
      </x:c>
      <x:c r="D6861" s="6" t="n">
        <x:f>B6861</x:f>
        <x:v>0.0727</x:v>
      </x:c>
      <x:c r="E6861" s="1" t="n">
        <x:v>1.05</x:v>
      </x:c>
      <x:c r="F6861" s="1" t="str">
        <x:v>https://api.octopus.energy/v1/products/AGILE-24-10-01/electricity-tariffs/E-1R-AGILE-24-10-01-G/standard-unit-rates/</x:v>
      </x:c>
    </x:row>
    <x:row r="6862" ht="21" customHeight="1">
      <x:c r="A6862" s="24" t="n">
        <x:v>46291.458333333336</x:v>
      </x:c>
      <x:c r="B6862" s="6" t="n">
        <x:v>0.049800000000000004</x:v>
      </x:c>
      <x:c r="C6862" s="6" t="n">
        <x:v>0.049</x:v>
      </x:c>
      <x:c r="D6862" s="6" t="n">
        <x:f>B6862</x:f>
        <x:v>0.049800000000000004</x:v>
      </x:c>
      <x:c r="E6862" s="1" t="n">
        <x:v>1.05</x:v>
      </x:c>
      <x:c r="F6862" s="1" t="str">
        <x:v>https://api.octopus.energy/v1/products/AGILE-24-10-01/electricity-tariffs/E-1R-AGILE-24-10-01-G/standard-unit-rates/</x:v>
      </x:c>
    </x:row>
    <x:row r="6863" ht="21" customHeight="1">
      <x:c r="A6863" s="24" t="n">
        <x:v>46291.479166666664</x:v>
      </x:c>
      <x:c r="B6863" s="6" t="n">
        <x:v>0.0393</x:v>
      </x:c>
      <x:c r="C6863" s="6" t="n">
        <x:v>0.044199999999999996</x:v>
      </x:c>
      <x:c r="D6863" s="6" t="n">
        <x:f>B6863</x:f>
        <x:v>0.0393</x:v>
      </x:c>
      <x:c r="E6863" s="1" t="n">
        <x:v>1.05</x:v>
      </x:c>
      <x:c r="F6863" s="1" t="str">
        <x:v>https://api.octopus.energy/v1/products/AGILE-24-10-01/electricity-tariffs/E-1R-AGILE-24-10-01-G/standard-unit-rates/</x:v>
      </x:c>
    </x:row>
    <x:row r="6864" ht="21" customHeight="1">
      <x:c r="A6864" s="24" t="n">
        <x:v>46291.5</x:v>
      </x:c>
      <x:c r="B6864" s="6" t="n">
        <x:v>0.0311</x:v>
      </x:c>
      <x:c r="C6864" s="6" t="n">
        <x:v>0.0405</x:v>
      </x:c>
      <x:c r="D6864" s="6" t="n">
        <x:f>B6864</x:f>
        <x:v>0.0311</x:v>
      </x:c>
      <x:c r="E6864" s="1" t="n">
        <x:v>1.05</x:v>
      </x:c>
      <x:c r="F6864" s="1" t="str">
        <x:v>https://api.octopus.energy/v1/products/AGILE-24-10-01/electricity-tariffs/E-1R-AGILE-24-10-01-G/standard-unit-rates/</x:v>
      </x:c>
    </x:row>
    <x:row r="6865" ht="21" customHeight="1">
      <x:c r="A6865" s="24" t="n">
        <x:v>46291.520833333336</x:v>
      </x:c>
      <x:c r="B6865" s="6" t="n">
        <x:v>0.0212</x:v>
      </x:c>
      <x:c r="C6865" s="6" t="n">
        <x:v>0.036000000000000004</x:v>
      </x:c>
      <x:c r="D6865" s="6" t="n">
        <x:f>B6865</x:f>
        <x:v>0.0212</x:v>
      </x:c>
      <x:c r="E6865" s="1" t="n">
        <x:v>1.05</x:v>
      </x:c>
      <x:c r="F6865" s="1" t="str">
        <x:v>https://api.octopus.energy/v1/products/AGILE-24-10-01/electricity-tariffs/E-1R-AGILE-24-10-01-G/standard-unit-rates/</x:v>
      </x:c>
    </x:row>
    <x:row r="6866" ht="21" customHeight="1">
      <x:c r="A6866" s="24" t="n">
        <x:v>46291.541666666664</x:v>
      </x:c>
      <x:c r="B6866" s="6" t="n">
        <x:v>0.0277</x:v>
      </x:c>
      <x:c r="C6866" s="6" t="n">
        <x:v>0.038900000000000004</x:v>
      </x:c>
      <x:c r="D6866" s="6" t="n">
        <x:f>B6866</x:f>
        <x:v>0.0277</x:v>
      </x:c>
      <x:c r="E6866" s="1" t="n">
        <x:v>1.05</x:v>
      </x:c>
      <x:c r="F6866" s="1" t="str">
        <x:v>https://api.octopus.energy/v1/products/AGILE-24-10-01/electricity-tariffs/E-1R-AGILE-24-10-01-G/standard-unit-rates/</x:v>
      </x:c>
    </x:row>
    <x:row r="6867" ht="21" customHeight="1">
      <x:c r="A6867" s="24" t="n">
        <x:v>46291.5625</x:v>
      </x:c>
      <x:c r="B6867" s="6" t="n">
        <x:v>0.0146</x:v>
      </x:c>
      <x:c r="C6867" s="6" t="n">
        <x:v>0.033</x:v>
      </x:c>
      <x:c r="D6867" s="6" t="n">
        <x:f>B6867</x:f>
        <x:v>0.0146</x:v>
      </x:c>
      <x:c r="E6867" s="1" t="n">
        <x:v>1.05</x:v>
      </x:c>
      <x:c r="F6867" s="1" t="str">
        <x:v>https://api.octopus.energy/v1/products/AGILE-24-10-01/electricity-tariffs/E-1R-AGILE-24-10-01-G/standard-unit-rates/</x:v>
      </x:c>
    </x:row>
    <x:row r="6868" ht="21" customHeight="1">
      <x:c r="A6868" s="24" t="n">
        <x:v>46291.583333333336</x:v>
      </x:c>
      <x:c r="B6868" s="6" t="n">
        <x:v>0.0479</x:v>
      </x:c>
      <x:c r="C6868" s="6" t="n">
        <x:v>0.0482</x:v>
      </x:c>
      <x:c r="D6868" s="6" t="n">
        <x:f>B6868</x:f>
        <x:v>0.0479</x:v>
      </x:c>
      <x:c r="E6868" s="1" t="n">
        <x:v>1.05</x:v>
      </x:c>
      <x:c r="F6868" s="1" t="str">
        <x:v>https://api.octopus.energy/v1/products/AGILE-24-10-01/electricity-tariffs/E-1R-AGILE-24-10-01-G/standard-unit-rates/</x:v>
      </x:c>
    </x:row>
    <x:row r="6869" ht="21" customHeight="1">
      <x:c r="A6869" s="24" t="n">
        <x:v>46291.604166666664</x:v>
      </x:c>
      <x:c r="B6869" s="6" t="n">
        <x:v>0.056799999999999996</x:v>
      </x:c>
      <x:c r="C6869" s="6" t="n">
        <x:v>0.052199999999999996</x:v>
      </x:c>
      <x:c r="D6869" s="6" t="n">
        <x:f>B6869</x:f>
        <x:v>0.056799999999999996</x:v>
      </x:c>
      <x:c r="E6869" s="1" t="n">
        <x:v>1.05</x:v>
      </x:c>
      <x:c r="F6869" s="1" t="str">
        <x:v>https://api.octopus.energy/v1/products/AGILE-24-10-01/electricity-tariffs/E-1R-AGILE-24-10-01-G/standard-unit-rates/</x:v>
      </x:c>
    </x:row>
    <x:row r="6870" ht="21" customHeight="1">
      <x:c r="A6870" s="24" t="n">
        <x:v>46291.625</x:v>
      </x:c>
      <x:c r="B6870" s="6" t="n">
        <x:v>0.1787</x:v>
      </x:c>
      <x:c r="C6870" s="6" t="n">
        <x:v>0.10800000000000001</x:v>
      </x:c>
      <x:c r="D6870" s="6" t="n">
        <x:f>B6870</x:f>
        <x:v>0.1787</x:v>
      </x:c>
      <x:c r="E6870" s="1" t="n">
        <x:v>1.05</x:v>
      </x:c>
      <x:c r="F6870" s="1" t="str">
        <x:v>https://api.octopus.energy/v1/products/AGILE-24-10-01/electricity-tariffs/E-1R-AGILE-24-10-01-G/standard-unit-rates/</x:v>
      </x:c>
    </x:row>
    <x:row r="6871" ht="21" customHeight="1">
      <x:c r="A6871" s="24" t="n">
        <x:v>46291.645833333336</x:v>
      </x:c>
      <x:c r="B6871" s="6" t="n">
        <x:v>0.1953</x:v>
      </x:c>
      <x:c r="C6871" s="6" t="n">
        <x:v>0.11560000000000001</x:v>
      </x:c>
      <x:c r="D6871" s="6" t="n">
        <x:f>B6871</x:f>
        <x:v>0.1953</x:v>
      </x:c>
      <x:c r="E6871" s="1" t="n">
        <x:v>1.05</x:v>
      </x:c>
      <x:c r="F6871" s="1" t="str">
        <x:v>https://api.octopus.energy/v1/products/AGILE-24-10-01/electricity-tariffs/E-1R-AGILE-24-10-01-G/standard-unit-rates/</x:v>
      </x:c>
    </x:row>
    <x:row r="6872" ht="21" customHeight="1">
      <x:c r="A6872" s="24" t="n">
        <x:v>46291.666666666664</x:v>
      </x:c>
      <x:c r="B6872" s="6" t="n">
        <x:v>0.35</x:v>
      </x:c>
      <x:c r="C6872" s="6" t="n">
        <x:v>0.19030000000000002</x:v>
      </x:c>
      <x:c r="D6872" s="6" t="n">
        <x:f>B6872</x:f>
        <x:v>0.35</x:v>
      </x:c>
      <x:c r="E6872" s="1" t="n">
        <x:v>1.05</x:v>
      </x:c>
      <x:c r="F6872" s="1" t="str">
        <x:v>https://api.octopus.energy/v1/products/AGILE-24-10-01/electricity-tariffs/E-1R-AGILE-24-10-01-G/standard-unit-rates/</x:v>
      </x:c>
    </x:row>
    <x:row r="6873" ht="21" customHeight="1">
      <x:c r="A6873" s="24" t="n">
        <x:v>46291.6875</x:v>
      </x:c>
      <x:c r="B6873" s="6" t="n">
        <x:v>0.3743</x:v>
      </x:c>
      <x:c r="C6873" s="6" t="n">
        <x:v>0.2014</x:v>
      </x:c>
      <x:c r="D6873" s="6" t="n">
        <x:f>B6873</x:f>
        <x:v>0.3743</x:v>
      </x:c>
      <x:c r="E6873" s="1" t="n">
        <x:v>1.05</x:v>
      </x:c>
      <x:c r="F6873" s="1" t="str">
        <x:v>https://api.octopus.energy/v1/products/AGILE-24-10-01/electricity-tariffs/E-1R-AGILE-24-10-01-G/standard-unit-rates/</x:v>
      </x:c>
    </x:row>
    <x:row r="6874" ht="21" customHeight="1">
      <x:c r="A6874" s="24" t="n">
        <x:v>46291.708333333336</x:v>
      </x:c>
      <x:c r="B6874" s="6" t="n">
        <x:v>0.4414</x:v>
      </x:c>
      <x:c r="C6874" s="6" t="n">
        <x:v>0.2321</x:v>
      </x:c>
      <x:c r="D6874" s="6" t="n">
        <x:f>B6874</x:f>
        <x:v>0.4414</x:v>
      </x:c>
      <x:c r="E6874" s="1" t="n">
        <x:v>1.05</x:v>
      </x:c>
      <x:c r="F6874" s="1" t="str">
        <x:v>https://api.octopus.energy/v1/products/AGILE-24-10-01/electricity-tariffs/E-1R-AGILE-24-10-01-G/standard-unit-rates/</x:v>
      </x:c>
    </x:row>
    <x:row r="6875" ht="21" customHeight="1">
      <x:c r="A6875" s="24" t="n">
        <x:v>46291.729166666664</x:v>
      </x:c>
      <x:c r="B6875" s="6" t="n">
        <x:v>0.47840000000000005</x:v>
      </x:c>
      <x:c r="C6875" s="6" t="n">
        <x:v>0.249</x:v>
      </x:c>
      <x:c r="D6875" s="6" t="n">
        <x:f>B6875</x:f>
        <x:v>0.47840000000000005</x:v>
      </x:c>
      <x:c r="E6875" s="1" t="n">
        <x:v>1.05</x:v>
      </x:c>
      <x:c r="F6875" s="1" t="str">
        <x:v>https://api.octopus.energy/v1/products/AGILE-24-10-01/electricity-tariffs/E-1R-AGILE-24-10-01-G/standard-unit-rates/</x:v>
      </x:c>
    </x:row>
    <x:row r="6876" ht="21" customHeight="1">
      <x:c r="A6876" s="24" t="n">
        <x:v>46291.75</x:v>
      </x:c>
      <x:c r="B6876" s="6" t="n">
        <x:v>0.46520000000000006</x:v>
      </x:c>
      <x:c r="C6876" s="6" t="n">
        <x:v>0.243</x:v>
      </x:c>
      <x:c r="D6876" s="6" t="n">
        <x:f>B6876</x:f>
        <x:v>0.46520000000000006</x:v>
      </x:c>
      <x:c r="E6876" s="1" t="n">
        <x:v>1.05</x:v>
      </x:c>
      <x:c r="F6876" s="1" t="str">
        <x:v>https://api.octopus.energy/v1/products/AGILE-24-10-01/electricity-tariffs/E-1R-AGILE-24-10-01-G/standard-unit-rates/</x:v>
      </x:c>
    </x:row>
    <x:row r="6877" ht="21" customHeight="1">
      <x:c r="A6877" s="24" t="n">
        <x:v>46291.770833333336</x:v>
      </x:c>
      <x:c r="B6877" s="6" t="n">
        <x:v>0.4731</x:v>
      </x:c>
      <x:c r="C6877" s="6" t="n">
        <x:v>0.2466</x:v>
      </x:c>
      <x:c r="D6877" s="6" t="n">
        <x:f>B6877</x:f>
        <x:v>0.4731</x:v>
      </x:c>
      <x:c r="E6877" s="1" t="n">
        <x:v>1.05</x:v>
      </x:c>
      <x:c r="F6877" s="1" t="str">
        <x:v>https://api.octopus.energy/v1/products/AGILE-24-10-01/electricity-tariffs/E-1R-AGILE-24-10-01-G/standard-unit-rates/</x:v>
      </x:c>
    </x:row>
    <x:row r="6878" ht="21" customHeight="1">
      <x:c r="A6878" s="24" t="n">
        <x:v>46291.791666666664</x:v>
      </x:c>
      <x:c r="B6878" s="6" t="n">
        <x:v>0.3554</x:v>
      </x:c>
      <x:c r="C6878" s="6" t="n">
        <x:v>0.1887</x:v>
      </x:c>
      <x:c r="D6878" s="6" t="n">
        <x:f>B6878</x:f>
        <x:v>0.3554</x:v>
      </x:c>
      <x:c r="E6878" s="1" t="n">
        <x:v>1.05</x:v>
      </x:c>
      <x:c r="F6878" s="1" t="str">
        <x:v>https://api.octopus.energy/v1/products/AGILE-24-10-01/electricity-tariffs/E-1R-AGILE-24-10-01-G/standard-unit-rates/</x:v>
      </x:c>
    </x:row>
    <x:row r="6879" ht="21" customHeight="1">
      <x:c r="A6879" s="24" t="n">
        <x:v>46291.8125</x:v>
      </x:c>
      <x:c r="B6879" s="6" t="n">
        <x:v>0.3456</x:v>
      </x:c>
      <x:c r="C6879" s="6" t="n">
        <x:v>0.1843</x:v>
      </x:c>
      <x:c r="D6879" s="6" t="n">
        <x:f>B6879</x:f>
        <x:v>0.3456</x:v>
      </x:c>
      <x:c r="E6879" s="1" t="n">
        <x:v>1.05</x:v>
      </x:c>
      <x:c r="F6879" s="1" t="str">
        <x:v>https://api.octopus.energy/v1/products/AGILE-24-10-01/electricity-tariffs/E-1R-AGILE-24-10-01-G/standard-unit-rates/</x:v>
      </x:c>
    </x:row>
    <x:row r="6880" ht="21" customHeight="1">
      <x:c r="A6880" s="24" t="n">
        <x:v>46291.833333333336</x:v>
      </x:c>
      <x:c r="B6880" s="6" t="n">
        <x:v>0.3403</x:v>
      </x:c>
      <x:c r="C6880" s="6" t="n">
        <x:v>0.1818</x:v>
      </x:c>
      <x:c r="D6880" s="6" t="n">
        <x:f>B6880</x:f>
        <x:v>0.3403</x:v>
      </x:c>
      <x:c r="E6880" s="1" t="n">
        <x:v>1.05</x:v>
      </x:c>
      <x:c r="F6880" s="1" t="str">
        <x:v>https://api.octopus.energy/v1/products/AGILE-24-10-01/electricity-tariffs/E-1R-AGILE-24-10-01-G/standard-unit-rates/</x:v>
      </x:c>
    </x:row>
    <x:row r="6881" ht="21" customHeight="1">
      <x:c r="A6881" s="24" t="n">
        <x:v>46291.854166666664</x:v>
      </x:c>
      <x:c r="B6881" s="6" t="n">
        <x:v>0.30329999999999996</x:v>
      </x:c>
      <x:c r="C6881" s="6" t="n">
        <x:v>0.1649</x:v>
      </x:c>
      <x:c r="D6881" s="6" t="n">
        <x:f>B6881</x:f>
        <x:v>0.30329999999999996</x:v>
      </x:c>
      <x:c r="E6881" s="1" t="n">
        <x:v>1.05</x:v>
      </x:c>
      <x:c r="F6881" s="1" t="str">
        <x:v>https://api.octopus.energy/v1/products/AGILE-24-10-01/electricity-tariffs/E-1R-AGILE-24-10-01-G/standard-unit-rates/</x:v>
      </x:c>
    </x:row>
    <x:row r="6882" ht="21" customHeight="1">
      <x:c r="A6882" s="24" t="n">
        <x:v>46291.875</x:v>
      </x:c>
      <x:c r="B6882" s="6" t="n">
        <x:v>0.3036</x:v>
      </x:c>
      <x:c r="C6882" s="6" t="n">
        <x:v>0.165</x:v>
      </x:c>
      <x:c r="D6882" s="6" t="n">
        <x:f>B6882</x:f>
        <x:v>0.3036</x:v>
      </x:c>
      <x:c r="E6882" s="1" t="n">
        <x:v>1.05</x:v>
      </x:c>
      <x:c r="F6882" s="1" t="str">
        <x:v>https://api.octopus.energy/v1/products/AGILE-24-10-01/electricity-tariffs/E-1R-AGILE-24-10-01-G/standard-unit-rates/</x:v>
      </x:c>
    </x:row>
    <x:row r="6883" ht="21" customHeight="1">
      <x:c r="A6883" s="24" t="n">
        <x:v>46291.895833333336</x:v>
      </x:c>
      <x:c r="B6883" s="6" t="n">
        <x:v>0.2864</x:v>
      </x:c>
      <x:c r="C6883" s="6" t="n">
        <x:v>0.1572</x:v>
      </x:c>
      <x:c r="D6883" s="6" t="n">
        <x:f>B6883</x:f>
        <x:v>0.2864</x:v>
      </x:c>
      <x:c r="E6883" s="1" t="n">
        <x:v>1.05</x:v>
      </x:c>
      <x:c r="F6883" s="1" t="str">
        <x:v>https://api.octopus.energy/v1/products/AGILE-24-10-01/electricity-tariffs/E-1R-AGILE-24-10-01-G/standard-unit-rates/</x:v>
      </x:c>
    </x:row>
    <x:row r="6884" ht="21" customHeight="1">
      <x:c r="A6884" s="24" t="n">
        <x:v>46291.916666666664</x:v>
      </x:c>
      <x:c r="B6884" s="6" t="n">
        <x:v>0.27949999999999997</x:v>
      </x:c>
      <x:c r="C6884" s="6" t="n">
        <x:v>0.154</x:v>
      </x:c>
      <x:c r="D6884" s="6" t="n">
        <x:f>B6884</x:f>
        <x:v>0.27949999999999997</x:v>
      </x:c>
      <x:c r="E6884" s="1" t="n">
        <x:v>1.05</x:v>
      </x:c>
      <x:c r="F6884" s="1" t="str">
        <x:v>https://api.octopus.energy/v1/products/AGILE-24-10-01/electricity-tariffs/E-1R-AGILE-24-10-01-G/standard-unit-rates/</x:v>
      </x:c>
    </x:row>
    <x:row r="6885" ht="21" customHeight="1">
      <x:c r="A6885" s="24" t="n">
        <x:v>46291.9375</x:v>
      </x:c>
      <x:c r="B6885" s="6" t="n">
        <x:v>0.2824</x:v>
      </x:c>
      <x:c r="C6885" s="6" t="n">
        <x:v>0.15539999999999998</x:v>
      </x:c>
      <x:c r="D6885" s="6" t="n">
        <x:f>B6885</x:f>
        <x:v>0.2824</x:v>
      </x:c>
      <x:c r="E6885" s="1" t="n">
        <x:v>1.05</x:v>
      </x:c>
      <x:c r="F6885" s="1" t="str">
        <x:v>https://api.octopus.energy/v1/products/AGILE-24-10-01/electricity-tariffs/E-1R-AGILE-24-10-01-G/standard-unit-rates/</x:v>
      </x:c>
    </x:row>
    <x:row r="6886" ht="21" customHeight="1">
      <x:c r="A6886" s="24" t="n">
        <x:v>46292</x:v>
      </x:c>
      <x:c r="B6886" s="6" t="n">
        <x:v>0.3005</x:v>
      </x:c>
      <x:c r="C6886" s="6" t="n">
        <x:v>0.1636</x:v>
      </x:c>
      <x:c r="D6886" s="6" t="n">
        <x:f>B6886</x:f>
        <x:v>0.3005</x:v>
      </x:c>
      <x:c r="E6886" s="1" t="n">
        <x:v>1.05</x:v>
      </x:c>
      <x:c r="F6886" s="1" t="str">
        <x:v>https://api.octopus.energy/v1/products/AGILE-24-10-01/electricity-tariffs/E-1R-AGILE-24-10-01-G/standard-unit-rates/</x:v>
      </x:c>
    </x:row>
    <x:row r="6887" ht="21" customHeight="1">
      <x:c r="A6887" s="24" t="n">
        <x:v>46291.979166666664</x:v>
      </x:c>
      <x:c r="B6887" s="6" t="n">
        <x:v>0.2974</x:v>
      </x:c>
      <x:c r="C6887" s="6" t="n">
        <x:v>0.16219999999999998</x:v>
      </x:c>
      <x:c r="D6887" s="6" t="n">
        <x:f>B6887</x:f>
        <x:v>0.2974</x:v>
      </x:c>
      <x:c r="E6887" s="1" t="n">
        <x:v>1.05</x:v>
      </x:c>
      <x:c r="F6887" s="1" t="str">
        <x:v>https://api.octopus.energy/v1/products/AGILE-24-10-01/electricity-tariffs/E-1R-AGILE-24-10-01-G/standard-unit-rates/</x:v>
      </x:c>
    </x:row>
    <x:row r="6888" ht="21" customHeight="1">
      <x:c r="A6888" s="24" t="n">
        <x:v>46292</x:v>
      </x:c>
      <x:c r="B6888" s="6" t="n">
        <x:v>0.2873</x:v>
      </x:c>
      <x:c r="C6888" s="6" t="n">
        <x:v>0.1576</x:v>
      </x:c>
      <x:c r="D6888" s="6" t="n">
        <x:f>B6888</x:f>
        <x:v>0.2873</x:v>
      </x:c>
      <x:c r="E6888" s="1" t="n">
        <x:v>1.05</x:v>
      </x:c>
      <x:c r="F6888" s="1" t="str">
        <x:v>https://api.octopus.energy/v1/products/AGILE-24-10-01/electricity-tariffs/E-1R-AGILE-24-10-01-G/standard-unit-rates/</x:v>
      </x:c>
    </x:row>
    <x:row r="6889" ht="21" customHeight="1">
      <x:c r="A6889" s="24" t="n">
        <x:v>46292.020833333336</x:v>
      </x:c>
      <x:c r="B6889" s="6" t="n">
        <x:v>0.2772</x:v>
      </x:c>
      <x:c r="C6889" s="6" t="n">
        <x:v>0.153</x:v>
      </x:c>
      <x:c r="D6889" s="6" t="n">
        <x:f>B6889</x:f>
        <x:v>0.2772</x:v>
      </x:c>
      <x:c r="E6889" s="1" t="n">
        <x:v>1.05</x:v>
      </x:c>
      <x:c r="F6889" s="1" t="str">
        <x:v>https://api.octopus.energy/v1/products/AGILE-24-10-01/electricity-tariffs/E-1R-AGILE-24-10-01-G/standard-unit-rates/</x:v>
      </x:c>
    </x:row>
    <x:row r="6890" ht="21" customHeight="1">
      <x:c r="A6890" s="24" t="n">
        <x:v>46292.041666666664</x:v>
      </x:c>
      <x:c r="B6890" s="6" t="n">
        <x:v>0.2836</x:v>
      </x:c>
      <x:c r="C6890" s="6" t="n">
        <x:v>0.1559</x:v>
      </x:c>
      <x:c r="D6890" s="6" t="n">
        <x:f>B6890</x:f>
        <x:v>0.2836</x:v>
      </x:c>
      <x:c r="E6890" s="1" t="n">
        <x:v>1.05</x:v>
      </x:c>
      <x:c r="F6890" s="1" t="str">
        <x:v>https://api.octopus.energy/v1/products/AGILE-24-10-01/electricity-tariffs/E-1R-AGILE-24-10-01-G/standard-unit-rates/</x:v>
      </x:c>
    </x:row>
    <x:row r="6891" ht="21" customHeight="1">
      <x:c r="A6891" s="24" t="n">
        <x:v>46292.0625</x:v>
      </x:c>
      <x:c r="B6891" s="6" t="n">
        <x:v>0.2728</x:v>
      </x:c>
      <x:c r="C6891" s="6" t="n">
        <x:v>0.151</x:v>
      </x:c>
      <x:c r="D6891" s="6" t="n">
        <x:f>B6891</x:f>
        <x:v>0.2728</x:v>
      </x:c>
      <x:c r="E6891" s="1" t="n">
        <x:v>1.05</x:v>
      </x:c>
      <x:c r="F6891" s="1" t="str">
        <x:v>https://api.octopus.energy/v1/products/AGILE-24-10-01/electricity-tariffs/E-1R-AGILE-24-10-01-G/standard-unit-rates/</x:v>
      </x:c>
    </x:row>
    <x:row r="6892" ht="21" customHeight="1">
      <x:c r="A6892" s="24" t="n">
        <x:v>46292.083333333336</x:v>
      </x:c>
      <x:c r="B6892" s="6" t="n">
        <x:v>0.275</x:v>
      </x:c>
      <x:c r="C6892" s="6" t="n">
        <x:v>0.152</x:v>
      </x:c>
      <x:c r="D6892" s="6" t="n">
        <x:f>B6892</x:f>
        <x:v>0.275</x:v>
      </x:c>
      <x:c r="E6892" s="1" t="n">
        <x:v>1.05</x:v>
      </x:c>
      <x:c r="F6892" s="1" t="str">
        <x:v>https://api.octopus.energy/v1/products/AGILE-24-10-01/electricity-tariffs/E-1R-AGILE-24-10-01-G/standard-unit-rates/</x:v>
      </x:c>
    </x:row>
    <x:row r="6893" ht="21" customHeight="1">
      <x:c r="A6893" s="24" t="n">
        <x:v>46292.104166666664</x:v>
      </x:c>
      <x:c r="B6893" s="6" t="n">
        <x:v>0.2589</x:v>
      </x:c>
      <x:c r="C6893" s="6" t="n">
        <x:v>0.1446</x:v>
      </x:c>
      <x:c r="D6893" s="6" t="n">
        <x:f>B6893</x:f>
        <x:v>0.2589</x:v>
      </x:c>
      <x:c r="E6893" s="1" t="n">
        <x:v>1.05</x:v>
      </x:c>
      <x:c r="F6893" s="1" t="str">
        <x:v>https://api.octopus.energy/v1/products/AGILE-24-10-01/electricity-tariffs/E-1R-AGILE-24-10-01-G/standard-unit-rates/</x:v>
      </x:c>
    </x:row>
    <x:row r="6894" ht="21" customHeight="1">
      <x:c r="A6894" s="24" t="n">
        <x:v>46292.125</x:v>
      </x:c>
      <x:c r="B6894" s="6" t="n">
        <x:v>0.2585</x:v>
      </x:c>
      <x:c r="C6894" s="6" t="n">
        <x:v>0.1444</x:v>
      </x:c>
      <x:c r="D6894" s="6" t="n">
        <x:f>B6894</x:f>
        <x:v>0.2585</x:v>
      </x:c>
      <x:c r="E6894" s="1" t="n">
        <x:v>1.05</x:v>
      </x:c>
      <x:c r="F6894" s="1" t="str">
        <x:v>https://api.octopus.energy/v1/products/AGILE-24-10-01/electricity-tariffs/E-1R-AGILE-24-10-01-G/standard-unit-rates/</x:v>
      </x:c>
    </x:row>
    <x:row r="6895" ht="21" customHeight="1">
      <x:c r="A6895" s="24" t="n">
        <x:v>46292.145833333336</x:v>
      </x:c>
      <x:c r="B6895" s="6" t="n">
        <x:v>0.2502</x:v>
      </x:c>
      <x:c r="C6895" s="6" t="n">
        <x:v>0.1407</x:v>
      </x:c>
      <x:c r="D6895" s="6" t="n">
        <x:f>B6895</x:f>
        <x:v>0.2502</x:v>
      </x:c>
      <x:c r="E6895" s="1" t="n">
        <x:v>1.05</x:v>
      </x:c>
      <x:c r="F6895" s="1" t="str">
        <x:v>https://api.octopus.energy/v1/products/AGILE-24-10-01/electricity-tariffs/E-1R-AGILE-24-10-01-G/standard-unit-rates/</x:v>
      </x:c>
    </x:row>
    <x:row r="6896" ht="21" customHeight="1">
      <x:c r="A6896" s="24" t="n">
        <x:v>46292.166666666664</x:v>
      </x:c>
      <x:c r="B6896" s="6" t="n">
        <x:v>0.253</x:v>
      </x:c>
      <x:c r="C6896" s="6" t="n">
        <x:v>0.1419</x:v>
      </x:c>
      <x:c r="D6896" s="6" t="n">
        <x:f>B6896</x:f>
        <x:v>0.253</x:v>
      </x:c>
      <x:c r="E6896" s="1" t="n">
        <x:v>1.05</x:v>
      </x:c>
      <x:c r="F6896" s="1" t="str">
        <x:v>https://api.octopus.energy/v1/products/AGILE-24-10-01/electricity-tariffs/E-1R-AGILE-24-10-01-G/standard-unit-rates/</x:v>
      </x:c>
    </x:row>
    <x:row r="6897" ht="21" customHeight="1">
      <x:c r="A6897" s="24" t="n">
        <x:v>46292.1875</x:v>
      </x:c>
      <x:c r="B6897" s="6" t="n">
        <x:v>0.235</x:v>
      </x:c>
      <x:c r="C6897" s="6" t="n">
        <x:v>0.13369999999999999</x:v>
      </x:c>
      <x:c r="D6897" s="6" t="n">
        <x:f>B6897</x:f>
        <x:v>0.235</x:v>
      </x:c>
      <x:c r="E6897" s="1" t="n">
        <x:v>1.05</x:v>
      </x:c>
      <x:c r="F6897" s="1" t="str">
        <x:v>https://api.octopus.energy/v1/products/AGILE-24-10-01/electricity-tariffs/E-1R-AGILE-24-10-01-G/standard-unit-rates/</x:v>
      </x:c>
    </x:row>
    <x:row r="6898" ht="21" customHeight="1">
      <x:c r="A6898" s="24" t="n">
        <x:v>46292.208333333336</x:v>
      </x:c>
      <x:c r="B6898" s="6" t="n">
        <x:v>0.29</x:v>
      </x:c>
      <x:c r="C6898" s="6" t="n">
        <x:v>0.1588</x:v>
      </x:c>
      <x:c r="D6898" s="6" t="n">
        <x:f>B6898</x:f>
        <x:v>0.29</x:v>
      </x:c>
      <x:c r="E6898" s="1" t="n">
        <x:v>1.05</x:v>
      </x:c>
      <x:c r="F6898" s="1" t="str">
        <x:v>https://api.octopus.energy/v1/products/AGILE-24-10-01/electricity-tariffs/E-1R-AGILE-24-10-01-G/standard-unit-rates/</x:v>
      </x:c>
    </x:row>
    <x:row r="6899" ht="21" customHeight="1">
      <x:c r="A6899" s="24" t="n">
        <x:v>46292.229166666664</x:v>
      </x:c>
      <x:c r="B6899" s="6" t="n">
        <x:v>0.2432</x:v>
      </x:c>
      <x:c r="C6899" s="6" t="n">
        <x:v>0.1374</x:v>
      </x:c>
      <x:c r="D6899" s="6" t="n">
        <x:f>B6899</x:f>
        <x:v>0.2432</x:v>
      </x:c>
      <x:c r="E6899" s="1" t="n">
        <x:v>1.05</x:v>
      </x:c>
      <x:c r="F6899" s="1" t="str">
        <x:v>https://api.octopus.energy/v1/products/AGILE-24-10-01/electricity-tariffs/E-1R-AGILE-24-10-01-G/standard-unit-rates/</x:v>
      </x:c>
    </x:row>
    <x:row r="6900" ht="21" customHeight="1">
      <x:c r="A6900" s="24" t="n">
        <x:v>46292.25</x:v>
      </x:c>
      <x:c r="B6900" s="6" t="n">
        <x:v>0.2522</x:v>
      </x:c>
      <x:c r="C6900" s="6" t="n">
        <x:v>0.1416</x:v>
      </x:c>
      <x:c r="D6900" s="6" t="n">
        <x:f>B6900</x:f>
        <x:v>0.2522</x:v>
      </x:c>
      <x:c r="E6900" s="1" t="n">
        <x:v>1.05</x:v>
      </x:c>
      <x:c r="F6900" s="1" t="str">
        <x:v>https://api.octopus.energy/v1/products/AGILE-24-10-01/electricity-tariffs/E-1R-AGILE-24-10-01-G/standard-unit-rates/</x:v>
      </x:c>
    </x:row>
    <x:row r="6901" ht="21" customHeight="1">
      <x:c r="A6901" s="24" t="n">
        <x:v>46292.270833333336</x:v>
      </x:c>
      <x:c r="B6901" s="6" t="n">
        <x:v>0.24760000000000001</x:v>
      </x:c>
      <x:c r="C6901" s="6" t="n">
        <x:v>0.1394</x:v>
      </x:c>
      <x:c r="D6901" s="6" t="n">
        <x:f>B6901</x:f>
        <x:v>0.24760000000000001</x:v>
      </x:c>
      <x:c r="E6901" s="1" t="n">
        <x:v>1.05</x:v>
      </x:c>
      <x:c r="F6901" s="1" t="str">
        <x:v>https://api.octopus.energy/v1/products/AGILE-24-10-01/electricity-tariffs/E-1R-AGILE-24-10-01-G/standard-unit-rates/</x:v>
      </x:c>
    </x:row>
    <x:row r="6902" ht="21" customHeight="1">
      <x:c r="A6902" s="24" t="n">
        <x:v>46292.291666666664</x:v>
      </x:c>
      <x:c r="B6902" s="6" t="n">
        <x:v>0.20809999999999998</x:v>
      </x:c>
      <x:c r="C6902" s="6" t="n">
        <x:v>0.12140000000000001</x:v>
      </x:c>
      <x:c r="D6902" s="6" t="n">
        <x:f>B6902</x:f>
        <x:v>0.20809999999999998</x:v>
      </x:c>
      <x:c r="E6902" s="1" t="n">
        <x:v>1.05</x:v>
      </x:c>
      <x:c r="F6902" s="1" t="str">
        <x:v>https://api.octopus.energy/v1/products/AGILE-24-10-01/electricity-tariffs/E-1R-AGILE-24-10-01-G/standard-unit-rates/</x:v>
      </x:c>
    </x:row>
    <x:row r="6903" ht="21" customHeight="1">
      <x:c r="A6903" s="24" t="n">
        <x:v>46292.3125</x:v>
      </x:c>
      <x:c r="B6903" s="6" t="n">
        <x:v>0.20809999999999998</x:v>
      </x:c>
      <x:c r="C6903" s="6" t="n">
        <x:v>0.12140000000000001</x:v>
      </x:c>
      <x:c r="D6903" s="6" t="n">
        <x:f>B6903</x:f>
        <x:v>0.20809999999999998</x:v>
      </x:c>
      <x:c r="E6903" s="1" t="n">
        <x:v>1.05</x:v>
      </x:c>
      <x:c r="F6903" s="1" t="str">
        <x:v>https://api.octopus.energy/v1/products/AGILE-24-10-01/electricity-tariffs/E-1R-AGILE-24-10-01-G/standard-unit-rates/</x:v>
      </x:c>
    </x:row>
    <x:row r="6904" ht="21" customHeight="1">
      <x:c r="A6904" s="24" t="n">
        <x:v>46292.333333333336</x:v>
      </x:c>
      <x:c r="B6904" s="6" t="n">
        <x:v>0.09230000000000001</x:v>
      </x:c>
      <x:c r="C6904" s="6" t="n">
        <x:v>0.06849999999999999</x:v>
      </x:c>
      <x:c r="D6904" s="6" t="n">
        <x:f>B6904</x:f>
        <x:v>0.09230000000000001</x:v>
      </x:c>
      <x:c r="E6904" s="1" t="n">
        <x:v>1.05</x:v>
      </x:c>
      <x:c r="F6904" s="1" t="str">
        <x:v>https://api.octopus.energy/v1/products/AGILE-24-10-01/electricity-tariffs/E-1R-AGILE-24-10-01-G/standard-unit-rates/</x:v>
      </x:c>
    </x:row>
    <x:row r="6905" ht="21" customHeight="1">
      <x:c r="A6905" s="24" t="n">
        <x:v>46292.354166666664</x:v>
      </x:c>
      <x:c r="B6905" s="6" t="n">
        <x:v>0.0926</x:v>
      </x:c>
      <x:c r="C6905" s="6" t="n">
        <x:v>0.06860000000000001</x:v>
      </x:c>
      <x:c r="D6905" s="6" t="n">
        <x:f>B6905</x:f>
        <x:v>0.0926</x:v>
      </x:c>
      <x:c r="E6905" s="1" t="n">
        <x:v>1.05</x:v>
      </x:c>
      <x:c r="F6905" s="1" t="str">
        <x:v>https://api.octopus.energy/v1/products/AGILE-24-10-01/electricity-tariffs/E-1R-AGILE-24-10-01-G/standard-unit-rates/</x:v>
      </x:c>
    </x:row>
    <x:row r="6906" ht="21" customHeight="1">
      <x:c r="A6906" s="24" t="n">
        <x:v>46292.375</x:v>
      </x:c>
      <x:c r="B6906" s="6" t="n">
        <x:v>0.0143</x:v>
      </x:c>
      <x:c r="C6906" s="6" t="n">
        <x:v>0.032799999999999996</x:v>
      </x:c>
      <x:c r="D6906" s="6" t="n">
        <x:f>B6906</x:f>
        <x:v>0.0143</x:v>
      </x:c>
      <x:c r="E6906" s="1" t="n">
        <x:v>1.05</x:v>
      </x:c>
      <x:c r="F6906" s="1" t="str">
        <x:v>https://api.octopus.energy/v1/products/AGILE-24-10-01/electricity-tariffs/E-1R-AGILE-24-10-01-G/standard-unit-rates/</x:v>
      </x:c>
    </x:row>
    <x:row r="6907" ht="21" customHeight="1">
      <x:c r="A6907" s="24" t="n">
        <x:v>46292.395833333336</x:v>
      </x:c>
      <x:c r="B6907" s="6" t="n">
        <x:v>0.004</x:v>
      </x:c>
      <x:c r="C6907" s="6" t="n">
        <x:v>0.0281</x:v>
      </x:c>
      <x:c r="D6907" s="6" t="n">
        <x:f>B6907</x:f>
        <x:v>0.004</x:v>
      </x:c>
      <x:c r="E6907" s="1" t="n">
        <x:v>1.05</x:v>
      </x:c>
      <x:c r="F6907" s="1" t="str">
        <x:v>https://api.octopus.energy/v1/products/AGILE-24-10-01/electricity-tariffs/E-1R-AGILE-24-10-01-G/standard-unit-rates/</x:v>
      </x:c>
    </x:row>
    <x:row r="6908" ht="21" customHeight="1">
      <x:c r="A6908" s="24" t="n">
        <x:v>46292.416666666664</x:v>
      </x:c>
      <x:c r="B6908" s="6" t="n">
        <x:v>-0.0124</x:v>
      </x:c>
      <x:c r="C6908" s="6" t="n">
        <x:v>0.0206</x:v>
      </x:c>
      <x:c r="D6908" s="6" t="n">
        <x:f>B6908</x:f>
        <x:v>-0.0124</x:v>
      </x:c>
      <x:c r="E6908" s="1" t="n">
        <x:v>1.05</x:v>
      </x:c>
      <x:c r="F6908" s="1" t="str">
        <x:v>https://api.octopus.energy/v1/products/AGILE-24-10-01/electricity-tariffs/E-1R-AGILE-24-10-01-G/standard-unit-rates/</x:v>
      </x:c>
    </x:row>
    <x:row r="6909" ht="21" customHeight="1">
      <x:c r="A6909" s="24" t="n">
        <x:v>46292.4375</x:v>
      </x:c>
      <x:c r="B6909" s="6" t="n">
        <x:v>-0.0124</x:v>
      </x:c>
      <x:c r="C6909" s="6" t="n">
        <x:v>0.0206</x:v>
      </x:c>
      <x:c r="D6909" s="6" t="n">
        <x:f>B6909</x:f>
        <x:v>-0.0124</x:v>
      </x:c>
      <x:c r="E6909" s="1" t="n">
        <x:v>1.05</x:v>
      </x:c>
      <x:c r="F6909" s="1" t="str">
        <x:v>https://api.octopus.energy/v1/products/AGILE-24-10-01/electricity-tariffs/E-1R-AGILE-24-10-01-G/standard-unit-rates/</x:v>
      </x:c>
    </x:row>
    <x:row r="6910" ht="21" customHeight="1">
      <x:c r="A6910" s="24" t="n">
        <x:v>46292.458333333336</x:v>
      </x:c>
      <x:c r="B6910" s="6" t="n">
        <x:v>-0.020099999999999996</x:v>
      </x:c>
      <x:c r="C6910" s="6" t="n">
        <x:v>0.0171</x:v>
      </x:c>
      <x:c r="D6910" s="6" t="n">
        <x:f>B6910</x:f>
        <x:v>-0.020099999999999996</x:v>
      </x:c>
      <x:c r="E6910" s="1" t="n">
        <x:v>1.05</x:v>
      </x:c>
      <x:c r="F6910" s="1" t="str">
        <x:v>https://api.octopus.energy/v1/products/AGILE-24-10-01/electricity-tariffs/E-1R-AGILE-24-10-01-G/standard-unit-rates/</x:v>
      </x:c>
    </x:row>
    <x:row r="6911" ht="21" customHeight="1">
      <x:c r="A6911" s="24" t="n">
        <x:v>46292.479166666664</x:v>
      </x:c>
      <x:c r="B6911" s="6" t="n">
        <x:v>-0.0242</x:v>
      </x:c>
      <x:c r="C6911" s="6" t="n">
        <x:v>0.0152</x:v>
      </x:c>
      <x:c r="D6911" s="6" t="n">
        <x:f>B6911</x:f>
        <x:v>-0.0242</x:v>
      </x:c>
      <x:c r="E6911" s="1" t="n">
        <x:v>1.05</x:v>
      </x:c>
      <x:c r="F6911" s="1" t="str">
        <x:v>https://api.octopus.energy/v1/products/AGILE-24-10-01/electricity-tariffs/E-1R-AGILE-24-10-01-G/standard-unit-rates/</x:v>
      </x:c>
    </x:row>
    <x:row r="6912" ht="21" customHeight="1">
      <x:c r="A6912" s="24" t="n">
        <x:v>46292.5</x:v>
      </x:c>
      <x:c r="B6912" s="6" t="n">
        <x:v>-0.0222</x:v>
      </x:c>
      <x:c r="C6912" s="6" t="n">
        <x:v>0.0161</x:v>
      </x:c>
      <x:c r="D6912" s="6" t="n">
        <x:f>B6912</x:f>
        <x:v>-0.0222</x:v>
      </x:c>
      <x:c r="E6912" s="1" t="n">
        <x:v>1.05</x:v>
      </x:c>
      <x:c r="F6912" s="1" t="str">
        <x:v>https://api.octopus.energy/v1/products/AGILE-24-10-01/electricity-tariffs/E-1R-AGILE-24-10-01-G/standard-unit-rates/</x:v>
      </x:c>
    </x:row>
    <x:row r="6913" ht="21" customHeight="1">
      <x:c r="A6913" s="24" t="n">
        <x:v>46292.520833333336</x:v>
      </x:c>
      <x:c r="B6913" s="6" t="n">
        <x:v>-0.0187</x:v>
      </x:c>
      <x:c r="C6913" s="6" t="n">
        <x:v>0.0177</x:v>
      </x:c>
      <x:c r="D6913" s="6" t="n">
        <x:f>B6913</x:f>
        <x:v>-0.0187</x:v>
      </x:c>
      <x:c r="E6913" s="1" t="n">
        <x:v>1.05</x:v>
      </x:c>
      <x:c r="F6913" s="1" t="str">
        <x:v>https://api.octopus.energy/v1/products/AGILE-24-10-01/electricity-tariffs/E-1R-AGILE-24-10-01-G/standard-unit-rates/</x:v>
      </x:c>
    </x:row>
    <x:row r="6914" ht="21" customHeight="1">
      <x:c r="A6914" s="24" t="n">
        <x:v>46292.541666666664</x:v>
      </x:c>
      <x:c r="B6914" s="6" t="n">
        <x:v>-0.0187</x:v>
      </x:c>
      <x:c r="C6914" s="6" t="n">
        <x:v>0.0177</x:v>
      </x:c>
      <x:c r="D6914" s="6" t="n">
        <x:f>B6914</x:f>
        <x:v>-0.0187</x:v>
      </x:c>
      <x:c r="E6914" s="1" t="n">
        <x:v>1.05</x:v>
      </x:c>
      <x:c r="F6914" s="1" t="str">
        <x:v>https://api.octopus.energy/v1/products/AGILE-24-10-01/electricity-tariffs/E-1R-AGILE-24-10-01-G/standard-unit-rates/</x:v>
      </x:c>
    </x:row>
    <x:row r="6915" ht="21" customHeight="1">
      <x:c r="A6915" s="24" t="n">
        <x:v>46292.5625</x:v>
      </x:c>
      <x:c r="B6915" s="6" t="n">
        <x:v>-0.013999999999999999</x:v>
      </x:c>
      <x:c r="C6915" s="6" t="n">
        <x:v>0.0199</x:v>
      </x:c>
      <x:c r="D6915" s="6" t="n">
        <x:f>B6915</x:f>
        <x:v>-0.013999999999999999</x:v>
      </x:c>
      <x:c r="E6915" s="1" t="n">
        <x:v>1.05</x:v>
      </x:c>
      <x:c r="F6915" s="1" t="str">
        <x:v>https://api.octopus.energy/v1/products/AGILE-24-10-01/electricity-tariffs/E-1R-AGILE-24-10-01-G/standard-unit-rates/</x:v>
      </x:c>
    </x:row>
    <x:row r="6916" ht="21" customHeight="1">
      <x:c r="A6916" s="24" t="n">
        <x:v>46292.583333333336</x:v>
      </x:c>
      <x:c r="B6916" s="6" t="n">
        <x:v>-0.0229</x:v>
      </x:c>
      <x:c r="C6916" s="6" t="n">
        <x:v>0.0158</x:v>
      </x:c>
      <x:c r="D6916" s="6" t="n">
        <x:f>B6916</x:f>
        <x:v>-0.0229</x:v>
      </x:c>
      <x:c r="E6916" s="1" t="n">
        <x:v>1.05</x:v>
      </x:c>
      <x:c r="F6916" s="1" t="str">
        <x:v>https://api.octopus.energy/v1/products/AGILE-24-10-01/electricity-tariffs/E-1R-AGILE-24-10-01-G/standard-unit-rates/</x:v>
      </x:c>
    </x:row>
    <x:row r="6917" ht="21" customHeight="1">
      <x:c r="A6917" s="24" t="n">
        <x:v>46292.604166666664</x:v>
      </x:c>
      <x:c r="B6917" s="6" t="n">
        <x:v>-0.0124</x:v>
      </x:c>
      <x:c r="C6917" s="6" t="n">
        <x:v>0.0206</x:v>
      </x:c>
      <x:c r="D6917" s="6" t="n">
        <x:f>B6917</x:f>
        <x:v>-0.0124</x:v>
      </x:c>
      <x:c r="E6917" s="1" t="n">
        <x:v>1.05</x:v>
      </x:c>
      <x:c r="F6917" s="1" t="str">
        <x:v>https://api.octopus.energy/v1/products/AGILE-24-10-01/electricity-tariffs/E-1R-AGILE-24-10-01-G/standard-unit-rates/</x:v>
      </x:c>
    </x:row>
    <x:row r="6918" ht="21" customHeight="1">
      <x:c r="A6918" s="24" t="n">
        <x:v>46292.625</x:v>
      </x:c>
      <x:c r="B6918" s="6" t="n">
        <x:v>-0.0199</x:v>
      </x:c>
      <x:c r="C6918" s="6" t="n">
        <x:v>0.0172</x:v>
      </x:c>
      <x:c r="D6918" s="6" t="n">
        <x:f>B6918</x:f>
        <x:v>-0.0199</x:v>
      </x:c>
      <x:c r="E6918" s="1" t="n">
        <x:v>1.05</x:v>
      </x:c>
      <x:c r="F6918" s="1" t="str">
        <x:v>https://api.octopus.energy/v1/products/AGILE-24-10-01/electricity-tariffs/E-1R-AGILE-24-10-01-G/standard-unit-rates/</x:v>
      </x:c>
    </x:row>
    <x:row r="6919" ht="21" customHeight="1">
      <x:c r="A6919" s="24" t="n">
        <x:v>46292.645833333336</x:v>
      </x:c>
      <x:c r="B6919" s="6" t="n">
        <x:v>0.019799999999999998</x:v>
      </x:c>
      <x:c r="C6919" s="6" t="n">
        <x:v>0.0353</x:v>
      </x:c>
      <x:c r="D6919" s="6" t="n">
        <x:f>B6919</x:f>
        <x:v>0.019799999999999998</x:v>
      </x:c>
      <x:c r="E6919" s="1" t="n">
        <x:v>1.05</x:v>
      </x:c>
      <x:c r="F6919" s="1" t="str">
        <x:v>https://api.octopus.energy/v1/products/AGILE-24-10-01/electricity-tariffs/E-1R-AGILE-24-10-01-G/standard-unit-rates/</x:v>
      </x:c>
    </x:row>
    <x:row r="6920" ht="21" customHeight="1">
      <x:c r="A6920" s="24" t="n">
        <x:v>46292.666666666664</x:v>
      </x:c>
      <x:c r="B6920" s="6" t="n">
        <x:v>0.284</x:v>
      </x:c>
      <x:c r="C6920" s="6" t="n">
        <x:v>0.16010000000000002</x:v>
      </x:c>
      <x:c r="D6920" s="6" t="n">
        <x:f>B6920</x:f>
        <x:v>0.284</x:v>
      </x:c>
      <x:c r="E6920" s="1" t="n">
        <x:v>1.05</x:v>
      </x:c>
      <x:c r="F6920" s="1" t="str">
        <x:v>https://api.octopus.energy/v1/products/AGILE-24-10-01/electricity-tariffs/E-1R-AGILE-24-10-01-G/standard-unit-rates/</x:v>
      </x:c>
    </x:row>
    <x:row r="6921" ht="21" customHeight="1">
      <x:c r="A6921" s="24" t="n">
        <x:v>46292.6875</x:v>
      </x:c>
      <x:c r="B6921" s="6" t="n">
        <x:v>0.3239</x:v>
      </x:c>
      <x:c r="C6921" s="6" t="n">
        <x:v>0.1784</x:v>
      </x:c>
      <x:c r="D6921" s="6" t="n">
        <x:f>B6921</x:f>
        <x:v>0.3239</x:v>
      </x:c>
      <x:c r="E6921" s="1" t="n">
        <x:v>1.05</x:v>
      </x:c>
      <x:c r="F6921" s="1" t="str">
        <x:v>https://api.octopus.energy/v1/products/AGILE-24-10-01/electricity-tariffs/E-1R-AGILE-24-10-01-G/standard-unit-rates/</x:v>
      </x:c>
    </x:row>
    <x:row r="6922" ht="21" customHeight="1">
      <x:c r="A6922" s="24" t="n">
        <x:v>46292.708333333336</x:v>
      </x:c>
      <x:c r="B6922" s="6" t="n">
        <x:v>0.3788</x:v>
      </x:c>
      <x:c r="C6922" s="6" t="n">
        <x:v>0.20350000000000001</x:v>
      </x:c>
      <x:c r="D6922" s="6" t="n">
        <x:f>B6922</x:f>
        <x:v>0.3788</x:v>
      </x:c>
      <x:c r="E6922" s="1" t="n">
        <x:v>1.05</x:v>
      </x:c>
      <x:c r="F6922" s="1" t="str">
        <x:v>https://api.octopus.energy/v1/products/AGILE-24-10-01/electricity-tariffs/E-1R-AGILE-24-10-01-G/standard-unit-rates/</x:v>
      </x:c>
    </x:row>
    <x:row r="6923" ht="21" customHeight="1">
      <x:c r="A6923" s="24" t="n">
        <x:v>46292.729166666664</x:v>
      </x:c>
      <x:c r="B6923" s="6" t="n">
        <x:v>0.4314</x:v>
      </x:c>
      <x:c r="C6923" s="6" t="n">
        <x:v>0.2275</x:v>
      </x:c>
      <x:c r="D6923" s="6" t="n">
        <x:f>B6923</x:f>
        <x:v>0.4314</x:v>
      </x:c>
      <x:c r="E6923" s="1" t="n">
        <x:v>1.05</x:v>
      </x:c>
      <x:c r="F6923" s="1" t="str">
        <x:v>https://api.octopus.energy/v1/products/AGILE-24-10-01/electricity-tariffs/E-1R-AGILE-24-10-01-G/standard-unit-rates/</x:v>
      </x:c>
    </x:row>
    <x:row r="6924" ht="21" customHeight="1">
      <x:c r="A6924" s="24" t="n">
        <x:v>46292.75</x:v>
      </x:c>
      <x:c r="B6924" s="6" t="n">
        <x:v>0.4436</x:v>
      </x:c>
      <x:c r="C6924" s="6" t="n">
        <x:v>0.23309999999999997</x:v>
      </x:c>
      <x:c r="D6924" s="6" t="n">
        <x:f>B6924</x:f>
        <x:v>0.4436</x:v>
      </x:c>
      <x:c r="E6924" s="1" t="n">
        <x:v>1.05</x:v>
      </x:c>
      <x:c r="F6924" s="1" t="str">
        <x:v>https://api.octopus.energy/v1/products/AGILE-24-10-01/electricity-tariffs/E-1R-AGILE-24-10-01-G/standard-unit-rates/</x:v>
      </x:c>
    </x:row>
    <x:row r="6925" ht="21" customHeight="1">
      <x:c r="A6925" s="24" t="n">
        <x:v>46292.770833333336</x:v>
      </x:c>
      <x:c r="B6925" s="6" t="n">
        <x:v>0.451</x:v>
      </x:c>
      <x:c r="C6925" s="6" t="n">
        <x:v>0.2365</x:v>
      </x:c>
      <x:c r="D6925" s="6" t="n">
        <x:f>B6925</x:f>
        <x:v>0.451</x:v>
      </x:c>
      <x:c r="E6925" s="1" t="n">
        <x:v>1.05</x:v>
      </x:c>
      <x:c r="F6925" s="1" t="str">
        <x:v>https://api.octopus.energy/v1/products/AGILE-24-10-01/electricity-tariffs/E-1R-AGILE-24-10-01-G/standard-unit-rates/</x:v>
      </x:c>
    </x:row>
    <x:row r="6926" ht="21" customHeight="1">
      <x:c r="A6926" s="24" t="n">
        <x:v>46292.791666666664</x:v>
      </x:c>
      <x:c r="B6926" s="6" t="n">
        <x:v>0.3215</x:v>
      </x:c>
      <x:c r="C6926" s="6" t="n">
        <x:v>0.1732</x:v>
      </x:c>
      <x:c r="D6926" s="6" t="n">
        <x:f>B6926</x:f>
        <x:v>0.3215</x:v>
      </x:c>
      <x:c r="E6926" s="1" t="n">
        <x:v>1.05</x:v>
      </x:c>
      <x:c r="F6926" s="1" t="str">
        <x:v>https://api.octopus.energy/v1/products/AGILE-24-10-01/electricity-tariffs/E-1R-AGILE-24-10-01-G/standard-unit-rates/</x:v>
      </x:c>
    </x:row>
    <x:row r="6927" ht="21" customHeight="1">
      <x:c r="A6927" s="24" t="n">
        <x:v>46292.8125</x:v>
      </x:c>
      <x:c r="B6927" s="6" t="n">
        <x:v>0.3152</x:v>
      </x:c>
      <x:c r="C6927" s="6" t="n">
        <x:v>0.1704</x:v>
      </x:c>
      <x:c r="D6927" s="6" t="n">
        <x:f>B6927</x:f>
        <x:v>0.3152</x:v>
      </x:c>
      <x:c r="E6927" s="1" t="n">
        <x:v>1.05</x:v>
      </x:c>
      <x:c r="F6927" s="1" t="str">
        <x:v>https://api.octopus.energy/v1/products/AGILE-24-10-01/electricity-tariffs/E-1R-AGILE-24-10-01-G/standard-unit-rates/</x:v>
      </x:c>
    </x:row>
    <x:row r="6928" ht="21" customHeight="1">
      <x:c r="A6928" s="24" t="n">
        <x:v>46292.833333333336</x:v>
      </x:c>
      <x:c r="B6928" s="6" t="n">
        <x:v>0.3031</x:v>
      </x:c>
      <x:c r="C6928" s="6" t="n">
        <x:v>0.1648</x:v>
      </x:c>
      <x:c r="D6928" s="6" t="n">
        <x:f>B6928</x:f>
        <x:v>0.3031</x:v>
      </x:c>
      <x:c r="E6928" s="1" t="n">
        <x:v>1.05</x:v>
      </x:c>
      <x:c r="F6928" s="1" t="str">
        <x:v>https://api.octopus.energy/v1/products/AGILE-24-10-01/electricity-tariffs/E-1R-AGILE-24-10-01-G/standard-unit-rates/</x:v>
      </x:c>
    </x:row>
    <x:row r="6929" ht="21" customHeight="1">
      <x:c r="A6929" s="24" t="n">
        <x:v>46292.854166666664</x:v>
      </x:c>
      <x:c r="B6929" s="6" t="n">
        <x:v>0.2878</x:v>
      </x:c>
      <x:c r="C6929" s="6" t="n">
        <x:v>0.15789999999999998</x:v>
      </x:c>
      <x:c r="D6929" s="6" t="n">
        <x:f>B6929</x:f>
        <x:v>0.2878</x:v>
      </x:c>
      <x:c r="E6929" s="1" t="n">
        <x:v>1.05</x:v>
      </x:c>
      <x:c r="F6929" s="1" t="str">
        <x:v>https://api.octopus.energy/v1/products/AGILE-24-10-01/electricity-tariffs/E-1R-AGILE-24-10-01-G/standard-unit-rates/</x:v>
      </x:c>
    </x:row>
    <x:row r="6930" ht="21" customHeight="1">
      <x:c r="A6930" s="24" t="n">
        <x:v>46292.875</x:v>
      </x:c>
      <x:c r="B6930" s="6" t="n">
        <x:v>0.2818</x:v>
      </x:c>
      <x:c r="C6930" s="6" t="n">
        <x:v>0.1551</x:v>
      </x:c>
      <x:c r="D6930" s="6" t="n">
        <x:f>B6930</x:f>
        <x:v>0.2818</x:v>
      </x:c>
      <x:c r="E6930" s="1" t="n">
        <x:v>1.05</x:v>
      </x:c>
      <x:c r="F6930" s="1" t="str">
        <x:v>https://api.octopus.energy/v1/products/AGILE-24-10-01/electricity-tariffs/E-1R-AGILE-24-10-01-G/standard-unit-rates/</x:v>
      </x:c>
    </x:row>
    <x:row r="6931" ht="21" customHeight="1">
      <x:c r="A6931" s="24" t="n">
        <x:v>46292.895833333336</x:v>
      </x:c>
      <x:c r="B6931" s="6" t="n">
        <x:v>0.2772</x:v>
      </x:c>
      <x:c r="C6931" s="6" t="n">
        <x:v>0.153</x:v>
      </x:c>
      <x:c r="D6931" s="6" t="n">
        <x:f>B6931</x:f>
        <x:v>0.2772</x:v>
      </x:c>
      <x:c r="E6931" s="1" t="n">
        <x:v>1.05</x:v>
      </x:c>
      <x:c r="F6931" s="1" t="str">
        <x:v>https://api.octopus.energy/v1/products/AGILE-24-10-01/electricity-tariffs/E-1R-AGILE-24-10-01-G/standard-unit-rates/</x:v>
      </x:c>
    </x:row>
    <x:row r="6932" ht="21" customHeight="1">
      <x:c r="A6932" s="24" t="n">
        <x:v>46292.916666666664</x:v>
      </x:c>
      <x:c r="B6932" s="6" t="n">
        <x:v>0.2682</x:v>
      </x:c>
      <x:c r="C6932" s="6" t="n">
        <x:v>0.1489</x:v>
      </x:c>
      <x:c r="D6932" s="6" t="n">
        <x:f>B6932</x:f>
        <x:v>0.2682</x:v>
      </x:c>
      <x:c r="E6932" s="1" t="n">
        <x:v>1.05</x:v>
      </x:c>
      <x:c r="F6932" s="1" t="str">
        <x:v>https://api.octopus.energy/v1/products/AGILE-24-10-01/electricity-tariffs/E-1R-AGILE-24-10-01-G/standard-unit-rates/</x:v>
      </x:c>
    </x:row>
    <x:row r="6933" ht="21" customHeight="1">
      <x:c r="A6933" s="24" t="n">
        <x:v>46292.9375</x:v>
      </x:c>
      <x:c r="B6933" s="6" t="n">
        <x:v>0.22699999999999998</x:v>
      </x:c>
      <x:c r="C6933" s="6" t="n">
        <x:v>0.13</x:v>
      </x:c>
      <x:c r="D6933" s="6" t="n">
        <x:f>B6933</x:f>
        <x:v>0.22699999999999998</x:v>
      </x:c>
      <x:c r="E6933" s="1" t="n">
        <x:v>1.05</x:v>
      </x:c>
      <x:c r="F6933" s="1" t="str">
        <x:v>https://api.octopus.energy/v1/products/AGILE-24-10-01/electricity-tariffs/E-1R-AGILE-24-10-01-G/standard-unit-rates/</x:v>
      </x:c>
    </x:row>
    <x:row r="6934" ht="21" customHeight="1">
      <x:c r="A6934" s="24" t="n">
        <x:v>46293</x:v>
      </x:c>
      <x:c r="B6934" s="6" t="n">
        <x:v>0.2732</x:v>
      </x:c>
      <x:c r="C6934" s="6" t="n">
        <x:v>0.1512</x:v>
      </x:c>
      <x:c r="D6934" s="6" t="n">
        <x:f>B6934</x:f>
        <x:v>0.2732</x:v>
      </x:c>
      <x:c r="E6934" s="1" t="n">
        <x:v>1.05</x:v>
      </x:c>
      <x:c r="F6934" s="1" t="str">
        <x:v>https://api.octopus.energy/v1/products/AGILE-24-10-01/electricity-tariffs/E-1R-AGILE-24-10-01-G/standard-unit-rates/</x:v>
      </x:c>
    </x:row>
    <x:row r="6935" ht="21" customHeight="1">
      <x:c r="A6935" s="24" t="n">
        <x:v>46292.979166666664</x:v>
      </x:c>
      <x:c r="B6935" s="6" t="n">
        <x:v>0.2732</x:v>
      </x:c>
      <x:c r="C6935" s="6" t="n">
        <x:v>0.1512</x:v>
      </x:c>
      <x:c r="D6935" s="6" t="n">
        <x:f>B6935</x:f>
        <x:v>0.2732</x:v>
      </x:c>
      <x:c r="E6935" s="1" t="n">
        <x:v>1.05</x:v>
      </x:c>
      <x:c r="F6935" s="1" t="str">
        <x:v>https://api.octopus.energy/v1/products/AGILE-24-10-01/electricity-tariffs/E-1R-AGILE-24-10-01-G/standard-unit-rates/</x:v>
      </x:c>
    </x:row>
    <x:row r="6936" ht="21" customHeight="1">
      <x:c r="A6936" s="24" t="n">
        <x:v>46293</x:v>
      </x:c>
      <x:c r="B6936" s="6" t="n">
        <x:v>0.2692</x:v>
      </x:c>
      <x:c r="C6936" s="6" t="n">
        <x:v>0.1493</x:v>
      </x:c>
      <x:c r="D6936" s="6" t="n">
        <x:f>B6936</x:f>
        <x:v>0.2692</x:v>
      </x:c>
      <x:c r="E6936" s="1" t="n">
        <x:v>1.05</x:v>
      </x:c>
      <x:c r="F6936" s="1" t="str">
        <x:v>https://api.octopus.energy/v1/products/AGILE-24-10-01/electricity-tariffs/E-1R-AGILE-24-10-01-G/standard-unit-rates/</x:v>
      </x:c>
    </x:row>
    <x:row r="6937" ht="21" customHeight="1">
      <x:c r="A6937" s="24" t="n">
        <x:v>46293.020833333336</x:v>
      </x:c>
      <x:c r="B6937" s="6" t="n">
        <x:v>0.2655</x:v>
      </x:c>
      <x:c r="C6937" s="6" t="n">
        <x:v>0.1476</x:v>
      </x:c>
      <x:c r="D6937" s="6" t="n">
        <x:f>B6937</x:f>
        <x:v>0.2655</x:v>
      </x:c>
      <x:c r="E6937" s="1" t="n">
        <x:v>1.05</x:v>
      </x:c>
      <x:c r="F6937" s="1" t="str">
        <x:v>https://api.octopus.energy/v1/products/AGILE-24-10-01/electricity-tariffs/E-1R-AGILE-24-10-01-G/standard-unit-rates/</x:v>
      </x:c>
    </x:row>
    <x:row r="6938" ht="21" customHeight="1">
      <x:c r="A6938" s="24" t="n">
        <x:v>46293.041666666664</x:v>
      </x:c>
      <x:c r="B6938" s="6" t="n">
        <x:v>0.2571</x:v>
      </x:c>
      <x:c r="C6938" s="6" t="n">
        <x:v>0.1438</x:v>
      </x:c>
      <x:c r="D6938" s="6" t="n">
        <x:f>B6938</x:f>
        <x:v>0.2571</x:v>
      </x:c>
      <x:c r="E6938" s="1" t="n">
        <x:v>1.05</x:v>
      </x:c>
      <x:c r="F6938" s="1" t="str">
        <x:v>https://api.octopus.energy/v1/products/AGILE-24-10-01/electricity-tariffs/E-1R-AGILE-24-10-01-G/standard-unit-rates/</x:v>
      </x:c>
    </x:row>
    <x:row r="6939" ht="21" customHeight="1">
      <x:c r="A6939" s="24" t="n">
        <x:v>46293.0625</x:v>
      </x:c>
      <x:c r="B6939" s="6" t="n">
        <x:v>0.26170000000000004</x:v>
      </x:c>
      <x:c r="C6939" s="6" t="n">
        <x:v>0.1459</x:v>
      </x:c>
      <x:c r="D6939" s="6" t="n">
        <x:f>B6939</x:f>
        <x:v>0.26170000000000004</x:v>
      </x:c>
      <x:c r="E6939" s="1" t="n">
        <x:v>1.05</x:v>
      </x:c>
      <x:c r="F6939" s="1" t="str">
        <x:v>https://api.octopus.energy/v1/products/AGILE-24-10-01/electricity-tariffs/E-1R-AGILE-24-10-01-G/standard-unit-rates/</x:v>
      </x:c>
    </x:row>
    <x:row r="6940" ht="21" customHeight="1">
      <x:c r="A6940" s="24" t="n">
        <x:v>46293.083333333336</x:v>
      </x:c>
      <x:c r="B6940" s="6" t="n">
        <x:v>0.2522</x:v>
      </x:c>
      <x:c r="C6940" s="6" t="n">
        <x:v>0.1416</x:v>
      </x:c>
      <x:c r="D6940" s="6" t="n">
        <x:f>B6940</x:f>
        <x:v>0.2522</x:v>
      </x:c>
      <x:c r="E6940" s="1" t="n">
        <x:v>1.05</x:v>
      </x:c>
      <x:c r="F6940" s="1" t="str">
        <x:v>https://api.octopus.energy/v1/products/AGILE-24-10-01/electricity-tariffs/E-1R-AGILE-24-10-01-G/standard-unit-rates/</x:v>
      </x:c>
    </x:row>
    <x:row r="6941" ht="21" customHeight="1">
      <x:c r="A6941" s="24" t="n">
        <x:v>46293.104166666664</x:v>
      </x:c>
      <x:c r="B6941" s="6" t="n">
        <x:v>0.2462</x:v>
      </x:c>
      <x:c r="C6941" s="6" t="n">
        <x:v>0.1388</x:v>
      </x:c>
      <x:c r="D6941" s="6" t="n">
        <x:f>B6941</x:f>
        <x:v>0.2462</x:v>
      </x:c>
      <x:c r="E6941" s="1" t="n">
        <x:v>1.05</x:v>
      </x:c>
      <x:c r="F6941" s="1" t="str">
        <x:v>https://api.octopus.energy/v1/products/AGILE-24-10-01/electricity-tariffs/E-1R-AGILE-24-10-01-G/standard-unit-rates/</x:v>
      </x:c>
    </x:row>
    <x:row r="6942" ht="21" customHeight="1">
      <x:c r="A6942" s="24" t="n">
        <x:v>46293.125</x:v>
      </x:c>
      <x:c r="B6942" s="6" t="n">
        <x:v>0.2564</x:v>
      </x:c>
      <x:c r="C6942" s="6" t="n">
        <x:v>0.1435</x:v>
      </x:c>
      <x:c r="D6942" s="6" t="n">
        <x:f>B6942</x:f>
        <x:v>0.2564</x:v>
      </x:c>
      <x:c r="E6942" s="1" t="n">
        <x:v>1.05</x:v>
      </x:c>
      <x:c r="F6942" s="1" t="str">
        <x:v>https://api.octopus.energy/v1/products/AGILE-24-10-01/electricity-tariffs/E-1R-AGILE-24-10-01-G/standard-unit-rates/</x:v>
      </x:c>
    </x:row>
    <x:row r="6943" ht="21" customHeight="1">
      <x:c r="A6943" s="24" t="n">
        <x:v>46293.145833333336</x:v>
      </x:c>
      <x:c r="B6943" s="6" t="n">
        <x:v>0.25370000000000004</x:v>
      </x:c>
      <x:c r="C6943" s="6" t="n">
        <x:v>0.1423</x:v>
      </x:c>
      <x:c r="D6943" s="6" t="n">
        <x:f>B6943</x:f>
        <x:v>0.25370000000000004</x:v>
      </x:c>
      <x:c r="E6943" s="1" t="n">
        <x:v>1.05</x:v>
      </x:c>
      <x:c r="F6943" s="1" t="str">
        <x:v>https://api.octopus.energy/v1/products/AGILE-24-10-01/electricity-tariffs/E-1R-AGILE-24-10-01-G/standard-unit-rates/</x:v>
      </x:c>
    </x:row>
    <x:row r="6944" ht="21" customHeight="1">
      <x:c r="A6944" s="24" t="n">
        <x:v>46293.166666666664</x:v>
      </x:c>
      <x:c r="B6944" s="6" t="n">
        <x:v>0.27399999999999997</x:v>
      </x:c>
      <x:c r="C6944" s="6" t="n">
        <x:v>0.1515</x:v>
      </x:c>
      <x:c r="D6944" s="6" t="n">
        <x:f>B6944</x:f>
        <x:v>0.27399999999999997</x:v>
      </x:c>
      <x:c r="E6944" s="1" t="n">
        <x:v>1.05</x:v>
      </x:c>
      <x:c r="F6944" s="1" t="str">
        <x:v>https://api.octopus.energy/v1/products/AGILE-24-10-01/electricity-tariffs/E-1R-AGILE-24-10-01-G/standard-unit-rates/</x:v>
      </x:c>
    </x:row>
    <x:row r="6945" ht="21" customHeight="1">
      <x:c r="A6945" s="24" t="n">
        <x:v>46293.1875</x:v>
      </x:c>
      <x:c r="B6945" s="6" t="n">
        <x:v>0.2761</x:v>
      </x:c>
      <x:c r="C6945" s="6" t="n">
        <x:v>0.1525</x:v>
      </x:c>
      <x:c r="D6945" s="6" t="n">
        <x:f>B6945</x:f>
        <x:v>0.2761</x:v>
      </x:c>
      <x:c r="E6945" s="1" t="n">
        <x:v>1.05</x:v>
      </x:c>
      <x:c r="F6945" s="1" t="str">
        <x:v>https://api.octopus.energy/v1/products/AGILE-24-10-01/electricity-tariffs/E-1R-AGILE-24-10-01-G/standard-unit-rates/</x:v>
      </x:c>
    </x:row>
    <x:row r="6946" ht="21" customHeight="1">
      <x:c r="A6946" s="24" t="n">
        <x:v>46293.208333333336</x:v>
      </x:c>
      <x:c r="B6946" s="6" t="n">
        <x:v>0.3226</x:v>
      </x:c>
      <x:c r="C6946" s="6" t="n">
        <x:v>0.17370000000000002</x:v>
      </x:c>
      <x:c r="D6946" s="6" t="n">
        <x:f>B6946</x:f>
        <x:v>0.3226</x:v>
      </x:c>
      <x:c r="E6946" s="1" t="n">
        <x:v>1.05</x:v>
      </x:c>
      <x:c r="F6946" s="1" t="str">
        <x:v>https://api.octopus.energy/v1/products/AGILE-24-10-01/electricity-tariffs/E-1R-AGILE-24-10-01-G/standard-unit-rates/</x:v>
      </x:c>
    </x:row>
    <x:row r="6947" ht="21" customHeight="1">
      <x:c r="A6947" s="24" t="n">
        <x:v>46293.229166666664</x:v>
      </x:c>
      <x:c r="B6947" s="6" t="n">
        <x:v>0.3223</x:v>
      </x:c>
      <x:c r="C6947" s="6" t="n">
        <x:v>0.1736</x:v>
      </x:c>
      <x:c r="D6947" s="6" t="n">
        <x:f>B6947</x:f>
        <x:v>0.3223</x:v>
      </x:c>
      <x:c r="E6947" s="1" t="n">
        <x:v>1.05</x:v>
      </x:c>
      <x:c r="F6947" s="1" t="str">
        <x:v>https://api.octopus.energy/v1/products/AGILE-24-10-01/electricity-tariffs/E-1R-AGILE-24-10-01-G/standard-unit-rates/</x:v>
      </x:c>
    </x:row>
    <x:row r="6948" ht="21" customHeight="1">
      <x:c r="A6948" s="24" t="n">
        <x:v>46293.25</x:v>
      </x:c>
      <x:c r="B6948" s="6" t="n">
        <x:v>0.3607</x:v>
      </x:c>
      <x:c r="C6948" s="6" t="n">
        <x:v>0.1911</x:v>
      </x:c>
      <x:c r="D6948" s="6" t="n">
        <x:f>B6948</x:f>
        <x:v>0.3607</x:v>
      </x:c>
      <x:c r="E6948" s="1" t="n">
        <x:v>1.05</x:v>
      </x:c>
      <x:c r="F6948" s="1" t="str">
        <x:v>https://api.octopus.energy/v1/products/AGILE-24-10-01/electricity-tariffs/E-1R-AGILE-24-10-01-G/standard-unit-rates/</x:v>
      </x:c>
    </x:row>
    <x:row r="6949" ht="21" customHeight="1">
      <x:c r="A6949" s="24" t="n">
        <x:v>46293.270833333336</x:v>
      </x:c>
      <x:c r="B6949" s="6" t="n">
        <x:v>0.3851</x:v>
      </x:c>
      <x:c r="C6949" s="6" t="n">
        <x:v>0.2023</x:v>
      </x:c>
      <x:c r="D6949" s="6" t="n">
        <x:f>B6949</x:f>
        <x:v>0.3851</x:v>
      </x:c>
      <x:c r="E6949" s="1" t="n">
        <x:v>1.05</x:v>
      </x:c>
      <x:c r="F6949" s="1" t="str">
        <x:v>https://api.octopus.energy/v1/products/AGILE-24-10-01/electricity-tariffs/E-1R-AGILE-24-10-01-G/standard-unit-rates/</x:v>
      </x:c>
    </x:row>
    <x:row r="6950" ht="21" customHeight="1">
      <x:c r="A6950" s="24" t="n">
        <x:v>46293.291666666664</x:v>
      </x:c>
      <x:c r="B6950" s="6" t="n">
        <x:v>0.3908</x:v>
      </x:c>
      <x:c r="C6950" s="6" t="n">
        <x:v>0.20489999999999997</x:v>
      </x:c>
      <x:c r="D6950" s="6" t="n">
        <x:f>B6950</x:f>
        <x:v>0.3908</x:v>
      </x:c>
      <x:c r="E6950" s="1" t="n">
        <x:v>1.05</x:v>
      </x:c>
      <x:c r="F6950" s="1" t="str">
        <x:v>https://api.octopus.energy/v1/products/AGILE-24-10-01/electricity-tariffs/E-1R-AGILE-24-10-01-G/standard-unit-rates/</x:v>
      </x:c>
    </x:row>
    <x:row r="6951" ht="21" customHeight="1">
      <x:c r="A6951" s="24" t="n">
        <x:v>46293.3125</x:v>
      </x:c>
      <x:c r="B6951" s="6" t="n">
        <x:v>0.4178</x:v>
      </x:c>
      <x:c r="C6951" s="6" t="n">
        <x:v>0.2173</x:v>
      </x:c>
      <x:c r="D6951" s="6" t="n">
        <x:f>B6951</x:f>
        <x:v>0.4178</x:v>
      </x:c>
      <x:c r="E6951" s="1" t="n">
        <x:v>1.05</x:v>
      </x:c>
      <x:c r="F6951" s="1" t="str">
        <x:v>https://api.octopus.energy/v1/products/AGILE-24-10-01/electricity-tariffs/E-1R-AGILE-24-10-01-G/standard-unit-rates/</x:v>
      </x:c>
    </x:row>
    <x:row r="6952" ht="21" customHeight="1">
      <x:c r="A6952" s="24" t="n">
        <x:v>46293.333333333336</x:v>
      </x:c>
      <x:c r="B6952" s="6" t="n">
        <x:v>0.3908</x:v>
      </x:c>
      <x:c r="C6952" s="6" t="n">
        <x:v>0.20489999999999997</x:v>
      </x:c>
      <x:c r="D6952" s="6" t="n">
        <x:f>B6952</x:f>
        <x:v>0.3908</x:v>
      </x:c>
      <x:c r="E6952" s="1" t="n">
        <x:v>1.05</x:v>
      </x:c>
      <x:c r="F6952" s="1" t="str">
        <x:v>https://api.octopus.energy/v1/products/AGILE-24-10-01/electricity-tariffs/E-1R-AGILE-24-10-01-G/standard-unit-rates/</x:v>
      </x:c>
    </x:row>
    <x:row r="6953" ht="21" customHeight="1">
      <x:c r="A6953" s="24" t="n">
        <x:v>46293.354166666664</x:v>
      </x:c>
      <x:c r="B6953" s="6" t="n">
        <x:v>0.3761</x:v>
      </x:c>
      <x:c r="C6953" s="6" t="n">
        <x:v>0.19820000000000002</x:v>
      </x:c>
      <x:c r="D6953" s="6" t="n">
        <x:f>B6953</x:f>
        <x:v>0.3761</x:v>
      </x:c>
      <x:c r="E6953" s="1" t="n">
        <x:v>1.05</x:v>
      </x:c>
      <x:c r="F6953" s="1" t="str">
        <x:v>https://api.octopus.energy/v1/products/AGILE-24-10-01/electricity-tariffs/E-1R-AGILE-24-10-01-G/standard-unit-rates/</x:v>
      </x:c>
    </x:row>
    <x:row r="6954" ht="21" customHeight="1">
      <x:c r="A6954" s="24" t="n">
        <x:v>46293.375</x:v>
      </x:c>
      <x:c r="B6954" s="6" t="n">
        <x:v>0.3593</x:v>
      </x:c>
      <x:c r="C6954" s="6" t="n">
        <x:v>0.1905</x:v>
      </x:c>
      <x:c r="D6954" s="6" t="n">
        <x:f>B6954</x:f>
        <x:v>0.3593</x:v>
      </x:c>
      <x:c r="E6954" s="1" t="n">
        <x:v>1.05</x:v>
      </x:c>
      <x:c r="F6954" s="1" t="str">
        <x:v>https://api.octopus.energy/v1/products/AGILE-24-10-01/electricity-tariffs/E-1R-AGILE-24-10-01-G/standard-unit-rates/</x:v>
      </x:c>
    </x:row>
    <x:row r="6955" ht="21" customHeight="1">
      <x:c r="A6955" s="24" t="n">
        <x:v>46293.395833333336</x:v>
      </x:c>
      <x:c r="B6955" s="6" t="n">
        <x:v>0.3299</x:v>
      </x:c>
      <x:c r="C6955" s="6" t="n">
        <x:v>0.1771</x:v>
      </x:c>
      <x:c r="D6955" s="6" t="n">
        <x:f>B6955</x:f>
        <x:v>0.3299</x:v>
      </x:c>
      <x:c r="E6955" s="1" t="n">
        <x:v>1.05</x:v>
      </x:c>
      <x:c r="F6955" s="1" t="str">
        <x:v>https://api.octopus.energy/v1/products/AGILE-24-10-01/electricity-tariffs/E-1R-AGILE-24-10-01-G/standard-unit-rates/</x:v>
      </x:c>
    </x:row>
    <x:row r="6956" ht="21" customHeight="1">
      <x:c r="A6956" s="24" t="n">
        <x:v>46293.416666666664</x:v>
      </x:c>
      <x:c r="B6956" s="6" t="n">
        <x:v>0.3069</x:v>
      </x:c>
      <x:c r="C6956" s="6" t="n">
        <x:v>0.1666</x:v>
      </x:c>
      <x:c r="D6956" s="6" t="n">
        <x:f>B6956</x:f>
        <x:v>0.3069</x:v>
      </x:c>
      <x:c r="E6956" s="1" t="n">
        <x:v>1.05</x:v>
      </x:c>
      <x:c r="F6956" s="1" t="str">
        <x:v>https://api.octopus.energy/v1/products/AGILE-24-10-01/electricity-tariffs/E-1R-AGILE-24-10-01-G/standard-unit-rates/</x:v>
      </x:c>
    </x:row>
    <x:row r="6957" ht="21" customHeight="1">
      <x:c r="A6957" s="24" t="n">
        <x:v>46293.4375</x:v>
      </x:c>
      <x:c r="B6957" s="6" t="n">
        <x:v>0.2847</x:v>
      </x:c>
      <x:c r="C6957" s="6" t="n">
        <x:v>0.1564</x:v>
      </x:c>
      <x:c r="D6957" s="6" t="n">
        <x:f>B6957</x:f>
        <x:v>0.2847</x:v>
      </x:c>
      <x:c r="E6957" s="1" t="n">
        <x:v>1.05</x:v>
      </x:c>
      <x:c r="F6957" s="1" t="str">
        <x:v>https://api.octopus.energy/v1/products/AGILE-24-10-01/electricity-tariffs/E-1R-AGILE-24-10-01-G/standard-unit-rates/</x:v>
      </x:c>
    </x:row>
    <x:row r="6958" ht="21" customHeight="1">
      <x:c r="A6958" s="24" t="n">
        <x:v>46293.458333333336</x:v>
      </x:c>
      <x:c r="B6958" s="6" t="n">
        <x:v>0.2564</x:v>
      </x:c>
      <x:c r="C6958" s="6" t="n">
        <x:v>0.1435</x:v>
      </x:c>
      <x:c r="D6958" s="6" t="n">
        <x:f>B6958</x:f>
        <x:v>0.2564</x:v>
      </x:c>
      <x:c r="E6958" s="1" t="n">
        <x:v>1.05</x:v>
      </x:c>
      <x:c r="F6958" s="1" t="str">
        <x:v>https://api.octopus.energy/v1/products/AGILE-24-10-01/electricity-tariffs/E-1R-AGILE-24-10-01-G/standard-unit-rates/</x:v>
      </x:c>
    </x:row>
    <x:row r="6959" ht="21" customHeight="1">
      <x:c r="A6959" s="24" t="n">
        <x:v>46293.479166666664</x:v>
      </x:c>
      <x:c r="B6959" s="6" t="n">
        <x:v>0.248</x:v>
      </x:c>
      <x:c r="C6959" s="6" t="n">
        <x:v>0.1396</x:v>
      </x:c>
      <x:c r="D6959" s="6" t="n">
        <x:f>B6959</x:f>
        <x:v>0.248</x:v>
      </x:c>
      <x:c r="E6959" s="1" t="n">
        <x:v>1.05</x:v>
      </x:c>
      <x:c r="F6959" s="1" t="str">
        <x:v>https://api.octopus.energy/v1/products/AGILE-24-10-01/electricity-tariffs/E-1R-AGILE-24-10-01-G/standard-unit-rates/</x:v>
      </x:c>
    </x:row>
    <x:row r="6960" ht="21" customHeight="1">
      <x:c r="A6960" s="24" t="n">
        <x:v>46293.5</x:v>
      </x:c>
      <x:c r="B6960" s="6" t="n">
        <x:v>0.2446</x:v>
      </x:c>
      <x:c r="C6960" s="6" t="n">
        <x:v>0.1381</x:v>
      </x:c>
      <x:c r="D6960" s="6" t="n">
        <x:f>B6960</x:f>
        <x:v>0.2446</x:v>
      </x:c>
      <x:c r="E6960" s="1" t="n">
        <x:v>1.05</x:v>
      </x:c>
      <x:c r="F6960" s="1" t="str">
        <x:v>https://api.octopus.energy/v1/products/AGILE-24-10-01/electricity-tariffs/E-1R-AGILE-24-10-01-G/standard-unit-rates/</x:v>
      </x:c>
    </x:row>
    <x:row r="6961" ht="21" customHeight="1">
      <x:c r="A6961" s="24" t="n">
        <x:v>46293.520833333336</x:v>
      </x:c>
      <x:c r="B6961" s="6" t="n">
        <x:v>0.2415</x:v>
      </x:c>
      <x:c r="C6961" s="6" t="n">
        <x:v>0.1367</x:v>
      </x:c>
      <x:c r="D6961" s="6" t="n">
        <x:f>B6961</x:f>
        <x:v>0.2415</x:v>
      </x:c>
      <x:c r="E6961" s="1" t="n">
        <x:v>1.05</x:v>
      </x:c>
      <x:c r="F6961" s="1" t="str">
        <x:v>https://api.octopus.energy/v1/products/AGILE-24-10-01/electricity-tariffs/E-1R-AGILE-24-10-01-G/standard-unit-rates/</x:v>
      </x:c>
    </x:row>
    <x:row r="6962" ht="21" customHeight="1">
      <x:c r="A6962" s="24" t="n">
        <x:v>46293.541666666664</x:v>
      </x:c>
      <x:c r="B6962" s="6" t="n">
        <x:v>0.2519</x:v>
      </x:c>
      <x:c r="C6962" s="6" t="n">
        <x:v>0.1414</x:v>
      </x:c>
      <x:c r="D6962" s="6" t="n">
        <x:f>B6962</x:f>
        <x:v>0.2519</x:v>
      </x:c>
      <x:c r="E6962" s="1" t="n">
        <x:v>1.05</x:v>
      </x:c>
      <x:c r="F6962" s="1" t="str">
        <x:v>https://api.octopus.energy/v1/products/AGILE-24-10-01/electricity-tariffs/E-1R-AGILE-24-10-01-G/standard-unit-rates/</x:v>
      </x:c>
    </x:row>
    <x:row r="6963" ht="21" customHeight="1">
      <x:c r="A6963" s="24" t="n">
        <x:v>46293.5625</x:v>
      </x:c>
      <x:c r="B6963" s="6" t="n">
        <x:v>0.248</x:v>
      </x:c>
      <x:c r="C6963" s="6" t="n">
        <x:v>0.1396</x:v>
      </x:c>
      <x:c r="D6963" s="6" t="n">
        <x:f>B6963</x:f>
        <x:v>0.248</x:v>
      </x:c>
      <x:c r="E6963" s="1" t="n">
        <x:v>1.05</x:v>
      </x:c>
      <x:c r="F6963" s="1" t="str">
        <x:v>https://api.octopus.energy/v1/products/AGILE-24-10-01/electricity-tariffs/E-1R-AGILE-24-10-01-G/standard-unit-rates/</x:v>
      </x:c>
    </x:row>
    <x:row r="6964" ht="21" customHeight="1">
      <x:c r="A6964" s="24" t="n">
        <x:v>46293.583333333336</x:v>
      </x:c>
      <x:c r="B6964" s="6" t="n">
        <x:v>0.2669</x:v>
      </x:c>
      <x:c r="C6964" s="6" t="n">
        <x:v>0.1483</x:v>
      </x:c>
      <x:c r="D6964" s="6" t="n">
        <x:f>B6964</x:f>
        <x:v>0.2669</x:v>
      </x:c>
      <x:c r="E6964" s="1" t="n">
        <x:v>1.05</x:v>
      </x:c>
      <x:c r="F6964" s="1" t="str">
        <x:v>https://api.octopus.energy/v1/products/AGILE-24-10-01/electricity-tariffs/E-1R-AGILE-24-10-01-G/standard-unit-rates/</x:v>
      </x:c>
    </x:row>
    <x:row r="6965" ht="21" customHeight="1">
      <x:c r="A6965" s="24" t="n">
        <x:v>46293.604166666664</x:v>
      </x:c>
      <x:c r="B6965" s="6" t="n">
        <x:v>0.2717</x:v>
      </x:c>
      <x:c r="C6965" s="6" t="n">
        <x:v>0.1505</x:v>
      </x:c>
      <x:c r="D6965" s="6" t="n">
        <x:f>B6965</x:f>
        <x:v>0.2717</x:v>
      </x:c>
      <x:c r="E6965" s="1" t="n">
        <x:v>1.05</x:v>
      </x:c>
      <x:c r="F6965" s="1" t="str">
        <x:v>https://api.octopus.energy/v1/products/AGILE-24-10-01/electricity-tariffs/E-1R-AGILE-24-10-01-G/standard-unit-rates/</x:v>
      </x:c>
    </x:row>
    <x:row r="6966" ht="21" customHeight="1">
      <x:c r="A6966" s="24" t="n">
        <x:v>46293.625</x:v>
      </x:c>
      <x:c r="B6966" s="6" t="n">
        <x:v>0.32780000000000004</x:v>
      </x:c>
      <x:c r="C6966" s="6" t="n">
        <x:v>0.1761</x:v>
      </x:c>
      <x:c r="D6966" s="6" t="n">
        <x:f>B6966</x:f>
        <x:v>0.32780000000000004</x:v>
      </x:c>
      <x:c r="E6966" s="1" t="n">
        <x:v>1.05</x:v>
      </x:c>
      <x:c r="F6966" s="1" t="str">
        <x:v>https://api.octopus.energy/v1/products/AGILE-24-10-01/electricity-tariffs/E-1R-AGILE-24-10-01-G/standard-unit-rates/</x:v>
      </x:c>
    </x:row>
    <x:row r="6967" ht="21" customHeight="1">
      <x:c r="A6967" s="24" t="n">
        <x:v>46293.645833333336</x:v>
      </x:c>
      <x:c r="B6967" s="6" t="n">
        <x:v>0.34630000000000005</x:v>
      </x:c>
      <x:c r="C6967" s="6" t="n">
        <x:v>0.18460000000000001</x:v>
      </x:c>
      <x:c r="D6967" s="6" t="n">
        <x:f>B6967</x:f>
        <x:v>0.34630000000000005</x:v>
      </x:c>
      <x:c r="E6967" s="1" t="n">
        <x:v>1.05</x:v>
      </x:c>
      <x:c r="F6967" s="1" t="str">
        <x:v>https://api.octopus.energy/v1/products/AGILE-24-10-01/electricity-tariffs/E-1R-AGILE-24-10-01-G/standard-unit-rates/</x:v>
      </x:c>
    </x:row>
    <x:row r="6968" ht="21" customHeight="1">
      <x:c r="A6968" s="24" t="n">
        <x:v>46293.666666666664</x:v>
      </x:c>
      <x:c r="B6968" s="6" t="n">
        <x:v>0.5065999999999999</x:v>
      </x:c>
      <x:c r="C6968" s="6" t="n">
        <x:v>0.2619</x:v>
      </x:c>
      <x:c r="D6968" s="6" t="n">
        <x:f>B6968</x:f>
        <x:v>0.5065999999999999</x:v>
      </x:c>
      <x:c r="E6968" s="1" t="n">
        <x:v>1.05</x:v>
      </x:c>
      <x:c r="F6968" s="1" t="str">
        <x:v>https://api.octopus.energy/v1/products/AGILE-24-10-01/electricity-tariffs/E-1R-AGILE-24-10-01-G/standard-unit-rates/</x:v>
      </x:c>
    </x:row>
    <x:row r="6969" ht="21" customHeight="1">
      <x:c r="A6969" s="24" t="n">
        <x:v>46293.6875</x:v>
      </x:c>
      <x:c r="B6969" s="6" t="n">
        <x:v>0.5611999999999999</x:v>
      </x:c>
      <x:c r="C6969" s="6" t="n">
        <x:v>0.2869</x:v>
      </x:c>
      <x:c r="D6969" s="6" t="n">
        <x:f>B6969</x:f>
        <x:v>0.5611999999999999</x:v>
      </x:c>
      <x:c r="E6969" s="1" t="n">
        <x:v>1.05</x:v>
      </x:c>
      <x:c r="F6969" s="1" t="str">
        <x:v>https://api.octopus.energy/v1/products/AGILE-24-10-01/electricity-tariffs/E-1R-AGILE-24-10-01-G/standard-unit-rates/</x:v>
      </x:c>
    </x:row>
    <x:row r="6970" ht="21" customHeight="1">
      <x:c r="A6970" s="24" t="n">
        <x:v>46293.708333333336</x:v>
      </x:c>
      <x:c r="B6970" s="6" t="n">
        <x:v>0.6075</x:v>
      </x:c>
      <x:c r="C6970" s="6" t="n">
        <x:v>0.308</x:v>
      </x:c>
      <x:c r="D6970" s="6" t="n">
        <x:f>B6970</x:f>
        <x:v>0.6075</x:v>
      </x:c>
      <x:c r="E6970" s="1" t="n">
        <x:v>1.05</x:v>
      </x:c>
      <x:c r="F6970" s="1" t="str">
        <x:v>https://api.octopus.energy/v1/products/AGILE-24-10-01/electricity-tariffs/E-1R-AGILE-24-10-01-G/standard-unit-rates/</x:v>
      </x:c>
    </x:row>
    <x:row r="6971" ht="21" customHeight="1">
      <x:c r="A6971" s="24" t="n">
        <x:v>46293.729166666664</x:v>
      </x:c>
      <x:c r="B6971" s="6" t="n">
        <x:v>0.6368</x:v>
      </x:c>
      <x:c r="C6971" s="6" t="n">
        <x:v>0.3214</x:v>
      </x:c>
      <x:c r="D6971" s="6" t="n">
        <x:f>B6971</x:f>
        <x:v>0.6368</x:v>
      </x:c>
      <x:c r="E6971" s="1" t="n">
        <x:v>1.05</x:v>
      </x:c>
      <x:c r="F6971" s="1" t="str">
        <x:v>https://api.octopus.energy/v1/products/AGILE-24-10-01/electricity-tariffs/E-1R-AGILE-24-10-01-G/standard-unit-rates/</x:v>
      </x:c>
    </x:row>
    <x:row r="6972" ht="21" customHeight="1">
      <x:c r="A6972" s="24" t="n">
        <x:v>46293.75</x:v>
      </x:c>
      <x:c r="B6972" s="6" t="n">
        <x:v>0.6643000000000001</x:v>
      </x:c>
      <x:c r="C6972" s="6" t="n">
        <x:v>0.33399999999999996</x:v>
      </x:c>
      <x:c r="D6972" s="6" t="n">
        <x:f>B6972</x:f>
        <x:v>0.6643000000000001</x:v>
      </x:c>
      <x:c r="E6972" s="1" t="n">
        <x:v>1.05</x:v>
      </x:c>
      <x:c r="F6972" s="1" t="str">
        <x:v>https://api.octopus.energy/v1/products/AGILE-24-10-01/electricity-tariffs/E-1R-AGILE-24-10-01-G/standard-unit-rates/</x:v>
      </x:c>
    </x:row>
    <x:row r="6973" ht="21" customHeight="1">
      <x:c r="A6973" s="24" t="n">
        <x:v>46293.770833333336</x:v>
      </x:c>
      <x:c r="B6973" s="6" t="n">
        <x:v>0.6662</x:v>
      </x:c>
      <x:c r="C6973" s="6" t="n">
        <x:v>0.33490000000000003</x:v>
      </x:c>
      <x:c r="D6973" s="6" t="n">
        <x:f>B6973</x:f>
        <x:v>0.6662</x:v>
      </x:c>
      <x:c r="E6973" s="1" t="n">
        <x:v>1.05</x:v>
      </x:c>
      <x:c r="F6973" s="1" t="str">
        <x:v>https://api.octopus.energy/v1/products/AGILE-24-10-01/electricity-tariffs/E-1R-AGILE-24-10-01-G/standard-unit-rates/</x:v>
      </x:c>
    </x:row>
    <x:row r="6974" ht="21" customHeight="1">
      <x:c r="A6974" s="24" t="n">
        <x:v>46293.791666666664</x:v>
      </x:c>
      <x:c r="B6974" s="6" t="n">
        <x:v>0.4899</x:v>
      </x:c>
      <x:c r="C6974" s="6" t="n">
        <x:v>0.2502</x:v>
      </x:c>
      <x:c r="D6974" s="6" t="n">
        <x:f>B6974</x:f>
        <x:v>0.4899</x:v>
      </x:c>
      <x:c r="E6974" s="1" t="n">
        <x:v>1.05</x:v>
      </x:c>
      <x:c r="F6974" s="1" t="str">
        <x:v>https://api.octopus.energy/v1/products/AGILE-24-10-01/electricity-tariffs/E-1R-AGILE-24-10-01-G/standard-unit-rates/</x:v>
      </x:c>
    </x:row>
    <x:row r="6975" ht="21" customHeight="1">
      <x:c r="A6975" s="24" t="n">
        <x:v>46293.8125</x:v>
      </x:c>
      <x:c r="B6975" s="6" t="n">
        <x:v>0.467</x:v>
      </x:c>
      <x:c r="C6975" s="6" t="n">
        <x:v>0.2397</x:v>
      </x:c>
      <x:c r="D6975" s="6" t="n">
        <x:f>B6975</x:f>
        <x:v>0.467</x:v>
      </x:c>
      <x:c r="E6975" s="1" t="n">
        <x:v>1.05</x:v>
      </x:c>
      <x:c r="F6975" s="1" t="str">
        <x:v>https://api.octopus.energy/v1/products/AGILE-24-10-01/electricity-tariffs/E-1R-AGILE-24-10-01-G/standard-unit-rates/</x:v>
      </x:c>
    </x:row>
    <x:row r="6976" ht="21" customHeight="1">
      <x:c r="A6976" s="24" t="n">
        <x:v>46293.833333333336</x:v>
      </x:c>
      <x:c r="B6976" s="6" t="n">
        <x:v>0.40130000000000005</x:v>
      </x:c>
      <x:c r="C6976" s="6" t="n">
        <x:v>0.2097</x:v>
      </x:c>
      <x:c r="D6976" s="6" t="n">
        <x:f>B6976</x:f>
        <x:v>0.40130000000000005</x:v>
      </x:c>
      <x:c r="E6976" s="1" t="n">
        <x:v>1.05</x:v>
      </x:c>
      <x:c r="F6976" s="1" t="str">
        <x:v>https://api.octopus.energy/v1/products/AGILE-24-10-01/electricity-tariffs/E-1R-AGILE-24-10-01-G/standard-unit-rates/</x:v>
      </x:c>
    </x:row>
    <x:row r="6977" ht="21" customHeight="1">
      <x:c r="A6977" s="24" t="n">
        <x:v>46293.854166666664</x:v>
      </x:c>
      <x:c r="B6977" s="6" t="n">
        <x:v>0.3604</x:v>
      </x:c>
      <x:c r="C6977" s="6" t="n">
        <x:v>0.191</x:v>
      </x:c>
      <x:c r="D6977" s="6" t="n">
        <x:f>B6977</x:f>
        <x:v>0.3604</x:v>
      </x:c>
      <x:c r="E6977" s="1" t="n">
        <x:v>1.05</x:v>
      </x:c>
      <x:c r="F6977" s="1" t="str">
        <x:v>https://api.octopus.energy/v1/products/AGILE-24-10-01/electricity-tariffs/E-1R-AGILE-24-10-01-G/standard-unit-rates/</x:v>
      </x:c>
    </x:row>
    <x:row r="6978" ht="21" customHeight="1">
      <x:c r="A6978" s="24" t="n">
        <x:v>46293.875</x:v>
      </x:c>
      <x:c r="B6978" s="6" t="n">
        <x:v>0.3506</x:v>
      </x:c>
      <x:c r="C6978" s="6" t="n">
        <x:v>0.1865</x:v>
      </x:c>
      <x:c r="D6978" s="6" t="n">
        <x:f>B6978</x:f>
        <x:v>0.3506</x:v>
      </x:c>
      <x:c r="E6978" s="1" t="n">
        <x:v>1.05</x:v>
      </x:c>
      <x:c r="F6978" s="1" t="str">
        <x:v>https://api.octopus.energy/v1/products/AGILE-24-10-01/electricity-tariffs/E-1R-AGILE-24-10-01-G/standard-unit-rates/</x:v>
      </x:c>
    </x:row>
    <x:row r="6979" ht="21" customHeight="1">
      <x:c r="A6979" s="24" t="n">
        <x:v>46293.895833333336</x:v>
      </x:c>
      <x:c r="B6979" s="6" t="n">
        <x:v>0.31129999999999997</x:v>
      </x:c>
      <x:c r="C6979" s="6" t="n">
        <x:v>0.1686</x:v>
      </x:c>
      <x:c r="D6979" s="6" t="n">
        <x:f>B6979</x:f>
        <x:v>0.31129999999999997</x:v>
      </x:c>
      <x:c r="E6979" s="1" t="n">
        <x:v>1.05</x:v>
      </x:c>
      <x:c r="F6979" s="1" t="str">
        <x:v>https://api.octopus.energy/v1/products/AGILE-24-10-01/electricity-tariffs/E-1R-AGILE-24-10-01-G/standard-unit-rates/</x:v>
      </x:c>
    </x:row>
    <x:row r="6980" ht="21" customHeight="1">
      <x:c r="A6980" s="24" t="n">
        <x:v>46293.916666666664</x:v>
      </x:c>
      <x:c r="B6980" s="6" t="n">
        <x:v>0.3055</x:v>
      </x:c>
      <x:c r="C6980" s="6" t="n">
        <x:v>0.1659</x:v>
      </x:c>
      <x:c r="D6980" s="6" t="n">
        <x:f>B6980</x:f>
        <x:v>0.3055</x:v>
      </x:c>
      <x:c r="E6980" s="1" t="n">
        <x:v>1.05</x:v>
      </x:c>
      <x:c r="F6980" s="1" t="str">
        <x:v>https://api.octopus.energy/v1/products/AGILE-24-10-01/electricity-tariffs/E-1R-AGILE-24-10-01-G/standard-unit-rates/</x:v>
      </x:c>
    </x:row>
    <x:row r="6981" ht="21" customHeight="1">
      <x:c r="A6981" s="24" t="n">
        <x:v>46293.9375</x:v>
      </x:c>
      <x:c r="B6981" s="6" t="n">
        <x:v>0.3194</x:v>
      </x:c>
      <x:c r="C6981" s="6" t="n">
        <x:v>0.1723</x:v>
      </x:c>
      <x:c r="D6981" s="6" t="n">
        <x:f>B6981</x:f>
        <x:v>0.3194</x:v>
      </x:c>
      <x:c r="E6981" s="1" t="n">
        <x:v>1.05</x:v>
      </x:c>
      <x:c r="F6981" s="1" t="str">
        <x:v>https://api.octopus.energy/v1/products/AGILE-24-10-01/electricity-tariffs/E-1R-AGILE-24-10-01-G/standard-unit-rates/</x:v>
      </x:c>
    </x:row>
    <x:row r="6982" ht="21" customHeight="1">
      <x:c r="A6982" s="24" t="n">
        <x:v>46294</x:v>
      </x:c>
      <x:c r="B6982" s="6" t="n">
        <x:v>0.3148</x:v>
      </x:c>
      <x:c r="C6982" s="6" t="n">
        <x:v>0.1702</x:v>
      </x:c>
      <x:c r="D6982" s="6" t="n">
        <x:f>B6982</x:f>
        <x:v>0.3148</x:v>
      </x:c>
      <x:c r="E6982" s="1" t="n">
        <x:v>1.05</x:v>
      </x:c>
      <x:c r="F6982" s="1" t="str">
        <x:v>https://api.octopus.energy/v1/products/AGILE-24-10-01/electricity-tariffs/E-1R-AGILE-24-10-01-G/standard-unit-rates/</x:v>
      </x:c>
    </x:row>
    <x:row r="6983" ht="21" customHeight="1">
      <x:c r="A6983" s="24" t="n">
        <x:v>46293.979166666664</x:v>
      </x:c>
      <x:c r="B6983" s="6" t="n">
        <x:v>0.3068</x:v>
      </x:c>
      <x:c r="C6983" s="6" t="n">
        <x:v>0.16649999999999998</x:v>
      </x:c>
      <x:c r="D6983" s="6" t="n">
        <x:f>B6983</x:f>
        <x:v>0.3068</x:v>
      </x:c>
      <x:c r="E6983" s="1" t="n">
        <x:v>1.05</x:v>
      </x:c>
      <x:c r="F6983" s="1" t="str">
        <x:v>https://api.octopus.energy/v1/products/AGILE-24-10-01/electricity-tariffs/E-1R-AGILE-24-10-01-G/standard-unit-rates/</x:v>
      </x:c>
    </x:row>
    <x:row r="6984" ht="21" customHeight="1">
      <x:c r="A6984" s="24" t="n">
        <x:v>46294</x:v>
      </x:c>
      <x:c r="B6984" s="6" t="n">
        <x:v>0.278</x:v>
      </x:c>
      <x:c r="C6984" s="6" t="n">
        <x:v>0.1534</x:v>
      </x:c>
      <x:c r="D6984" s="6" t="n">
        <x:f>B6984</x:f>
        <x:v>0.278</x:v>
      </x:c>
      <x:c r="E6984" s="1" t="n">
        <x:v>1.05</x:v>
      </x:c>
      <x:c r="F6984" s="1" t="str">
        <x:v>https://api.octopus.energy/v1/products/AGILE-24-10-01/electricity-tariffs/E-1R-AGILE-24-10-01-G/standard-unit-rates/</x:v>
      </x:c>
    </x:row>
    <x:row r="6985" ht="21" customHeight="1">
      <x:c r="A6985" s="24" t="n">
        <x:v>46294.020833333336</x:v>
      </x:c>
      <x:c r="B6985" s="6" t="n">
        <x:v>0.2713</x:v>
      </x:c>
      <x:c r="C6985" s="6" t="n">
        <x:v>0.1503</x:v>
      </x:c>
      <x:c r="D6985" s="6" t="n">
        <x:f>B6985</x:f>
        <x:v>0.2713</x:v>
      </x:c>
      <x:c r="E6985" s="1" t="n">
        <x:v>1.05</x:v>
      </x:c>
      <x:c r="F6985" s="1" t="str">
        <x:v>https://api.octopus.energy/v1/products/AGILE-24-10-01/electricity-tariffs/E-1R-AGILE-24-10-01-G/standard-unit-rates/</x:v>
      </x:c>
    </x:row>
    <x:row r="6986" ht="21" customHeight="1">
      <x:c r="A6986" s="24" t="n">
        <x:v>46294.041666666664</x:v>
      </x:c>
      <x:c r="B6986" s="6" t="n">
        <x:v>0.2755</x:v>
      </x:c>
      <x:c r="C6986" s="6" t="n">
        <x:v>0.1522</x:v>
      </x:c>
      <x:c r="D6986" s="6" t="n">
        <x:f>B6986</x:f>
        <x:v>0.2755</x:v>
      </x:c>
      <x:c r="E6986" s="1" t="n">
        <x:v>1.05</x:v>
      </x:c>
      <x:c r="F6986" s="1" t="str">
        <x:v>https://api.octopus.energy/v1/products/AGILE-24-10-01/electricity-tariffs/E-1R-AGILE-24-10-01-G/standard-unit-rates/</x:v>
      </x:c>
    </x:row>
    <x:row r="6987" ht="21" customHeight="1">
      <x:c r="A6987" s="24" t="n">
        <x:v>46294.0625</x:v>
      </x:c>
      <x:c r="B6987" s="6" t="n">
        <x:v>0.2648</x:v>
      </x:c>
      <x:c r="C6987" s="6" t="n">
        <x:v>0.14730000000000001</x:v>
      </x:c>
      <x:c r="D6987" s="6" t="n">
        <x:f>B6987</x:f>
        <x:v>0.2648</x:v>
      </x:c>
      <x:c r="E6987" s="1" t="n">
        <x:v>1.05</x:v>
      </x:c>
      <x:c r="F6987" s="1" t="str">
        <x:v>https://api.octopus.energy/v1/products/AGILE-24-10-01/electricity-tariffs/E-1R-AGILE-24-10-01-G/standard-unit-rates/</x:v>
      </x:c>
    </x:row>
    <x:row r="6988" ht="21" customHeight="1">
      <x:c r="A6988" s="24" t="n">
        <x:v>46294.083333333336</x:v>
      </x:c>
      <x:c r="B6988" s="6" t="n">
        <x:v>0.2648</x:v>
      </x:c>
      <x:c r="C6988" s="6" t="n">
        <x:v>0.14730000000000001</x:v>
      </x:c>
      <x:c r="D6988" s="6" t="n">
        <x:f>B6988</x:f>
        <x:v>0.2648</x:v>
      </x:c>
      <x:c r="E6988" s="1" t="n">
        <x:v>1.05</x:v>
      </x:c>
      <x:c r="F6988" s="1" t="str">
        <x:v>https://api.octopus.energy/v1/products/AGILE-24-10-01/electricity-tariffs/E-1R-AGILE-24-10-01-G/standard-unit-rates/</x:v>
      </x:c>
    </x:row>
    <x:row r="6989" ht="21" customHeight="1">
      <x:c r="A6989" s="24" t="n">
        <x:v>46294.104166666664</x:v>
      </x:c>
      <x:c r="B6989" s="6" t="n">
        <x:v>0.2638</x:v>
      </x:c>
      <x:c r="C6989" s="6" t="n">
        <x:v>0.1469</x:v>
      </x:c>
      <x:c r="D6989" s="6" t="n">
        <x:f>B6989</x:f>
        <x:v>0.2638</x:v>
      </x:c>
      <x:c r="E6989" s="1" t="n">
        <x:v>1.05</x:v>
      </x:c>
      <x:c r="F6989" s="1" t="str">
        <x:v>https://api.octopus.energy/v1/products/AGILE-24-10-01/electricity-tariffs/E-1R-AGILE-24-10-01-G/standard-unit-rates/</x:v>
      </x:c>
    </x:row>
    <x:row r="6990" ht="21" customHeight="1">
      <x:c r="A6990" s="24" t="n">
        <x:v>46294.125</x:v>
      </x:c>
      <x:c r="B6990" s="6" t="n">
        <x:v>0.264</x:v>
      </x:c>
      <x:c r="C6990" s="6" t="n">
        <x:v>0.147</x:v>
      </x:c>
      <x:c r="D6990" s="6" t="n">
        <x:f>B6990</x:f>
        <x:v>0.264</x:v>
      </x:c>
      <x:c r="E6990" s="1" t="n">
        <x:v>1.05</x:v>
      </x:c>
      <x:c r="F6990" s="1" t="str">
        <x:v>https://api.octopus.energy/v1/products/AGILE-24-10-01/electricity-tariffs/E-1R-AGILE-24-10-01-G/standard-unit-rates/</x:v>
      </x:c>
    </x:row>
    <x:row r="6991" ht="21" customHeight="1">
      <x:c r="A6991" s="24" t="n">
        <x:v>46294.145833333336</x:v>
      </x:c>
      <x:c r="B6991" s="6" t="n">
        <x:v>0.255</x:v>
      </x:c>
      <x:c r="C6991" s="6" t="n">
        <x:v>0.14279999999999998</x:v>
      </x:c>
      <x:c r="D6991" s="6" t="n">
        <x:f>B6991</x:f>
        <x:v>0.255</x:v>
      </x:c>
      <x:c r="E6991" s="1" t="n">
        <x:v>1.05</x:v>
      </x:c>
      <x:c r="F6991" s="1" t="str">
        <x:v>https://api.octopus.energy/v1/products/AGILE-24-10-01/electricity-tariffs/E-1R-AGILE-24-10-01-G/standard-unit-rates/</x:v>
      </x:c>
    </x:row>
    <x:row r="6992" ht="21" customHeight="1">
      <x:c r="A6992" s="24" t="n">
        <x:v>46294.166666666664</x:v>
      </x:c>
      <x:c r="B6992" s="6" t="n">
        <x:v>0.2647</x:v>
      </x:c>
      <x:c r="C6992" s="6" t="n">
        <x:v>0.14730000000000001</x:v>
      </x:c>
      <x:c r="D6992" s="6" t="n">
        <x:f>B6992</x:f>
        <x:v>0.2647</x:v>
      </x:c>
      <x:c r="E6992" s="1" t="n">
        <x:v>1.05</x:v>
      </x:c>
      <x:c r="F6992" s="1" t="str">
        <x:v>https://api.octopus.energy/v1/products/AGILE-24-10-01/electricity-tariffs/E-1R-AGILE-24-10-01-G/standard-unit-rates/</x:v>
      </x:c>
    </x:row>
    <x:row r="6993" ht="21" customHeight="1">
      <x:c r="A6993" s="24" t="n">
        <x:v>46294.1875</x:v>
      </x:c>
      <x:c r="B6993" s="6" t="n">
        <x:v>0.2647</x:v>
      </x:c>
      <x:c r="C6993" s="6" t="n">
        <x:v>0.14730000000000001</x:v>
      </x:c>
      <x:c r="D6993" s="6" t="n">
        <x:f>B6993</x:f>
        <x:v>0.2647</x:v>
      </x:c>
      <x:c r="E6993" s="1" t="n">
        <x:v>1.05</x:v>
      </x:c>
      <x:c r="F6993" s="1" t="str">
        <x:v>https://api.octopus.energy/v1/products/AGILE-24-10-01/electricity-tariffs/E-1R-AGILE-24-10-01-G/standard-unit-rates/</x:v>
      </x:c>
    </x:row>
    <x:row r="6994" ht="21" customHeight="1">
      <x:c r="A6994" s="24" t="n">
        <x:v>46294.208333333336</x:v>
      </x:c>
      <x:c r="B6994" s="6" t="n">
        <x:v>0.2862</x:v>
      </x:c>
      <x:c r="C6994" s="6" t="n">
        <x:v>0.15710000000000002</x:v>
      </x:c>
      <x:c r="D6994" s="6" t="n">
        <x:f>B6994</x:f>
        <x:v>0.2862</x:v>
      </x:c>
      <x:c r="E6994" s="1" t="n">
        <x:v>1.05</x:v>
      </x:c>
      <x:c r="F6994" s="1" t="str">
        <x:v>https://api.octopus.energy/v1/products/AGILE-24-10-01/electricity-tariffs/E-1R-AGILE-24-10-01-G/standard-unit-rates/</x:v>
      </x:c>
    </x:row>
    <x:row r="6995" ht="21" customHeight="1">
      <x:c r="A6995" s="24" t="n">
        <x:v>46294.229166666664</x:v>
      </x:c>
      <x:c r="B6995" s="6" t="n">
        <x:v>0.29359999999999997</x:v>
      </x:c>
      <x:c r="C6995" s="6" t="n">
        <x:v>0.1605</x:v>
      </x:c>
      <x:c r="D6995" s="6" t="n">
        <x:f>B6995</x:f>
        <x:v>0.29359999999999997</x:v>
      </x:c>
      <x:c r="E6995" s="1" t="n">
        <x:v>1.05</x:v>
      </x:c>
      <x:c r="F6995" s="1" t="str">
        <x:v>https://api.octopus.energy/v1/products/AGILE-24-10-01/electricity-tariffs/E-1R-AGILE-24-10-01-G/standard-unit-rates/</x:v>
      </x:c>
    </x:row>
    <x:row r="6996" ht="21" customHeight="1">
      <x:c r="A6996" s="24" t="n">
        <x:v>46294.25</x:v>
      </x:c>
      <x:c r="B6996" s="6" t="n">
        <x:v>0.32689999999999997</x:v>
      </x:c>
      <x:c r="C6996" s="6" t="n">
        <x:v>0.1757</x:v>
      </x:c>
      <x:c r="D6996" s="6" t="n">
        <x:f>B6996</x:f>
        <x:v>0.32689999999999997</x:v>
      </x:c>
      <x:c r="E6996" s="1" t="n">
        <x:v>1.05</x:v>
      </x:c>
      <x:c r="F6996" s="1" t="str">
        <x:v>https://api.octopus.energy/v1/products/AGILE-24-10-01/electricity-tariffs/E-1R-AGILE-24-10-01-G/standard-unit-rates/</x:v>
      </x:c>
    </x:row>
    <x:row r="6997" ht="21" customHeight="1">
      <x:c r="A6997" s="24" t="n">
        <x:v>46294.270833333336</x:v>
      </x:c>
      <x:c r="B6997" s="6" t="n">
        <x:v>0.35700000000000004</x:v>
      </x:c>
      <x:c r="C6997" s="6" t="n">
        <x:v>0.1895</x:v>
      </x:c>
      <x:c r="D6997" s="6" t="n">
        <x:f>B6997</x:f>
        <x:v>0.35700000000000004</x:v>
      </x:c>
      <x:c r="E6997" s="1" t="n">
        <x:v>1.05</x:v>
      </x:c>
      <x:c r="F6997" s="1" t="str">
        <x:v>https://api.octopus.energy/v1/products/AGILE-24-10-01/electricity-tariffs/E-1R-AGILE-24-10-01-G/standard-unit-rates/</x:v>
      </x:c>
    </x:row>
    <x:row r="6998" ht="21" customHeight="1">
      <x:c r="A6998" s="24" t="n">
        <x:v>46294.291666666664</x:v>
      </x:c>
      <x:c r="B6998" s="6" t="n">
        <x:v>0.35009999999999997</x:v>
      </x:c>
      <x:c r="C6998" s="6" t="n">
        <x:v>0.1863</x:v>
      </x:c>
      <x:c r="D6998" s="6" t="n">
        <x:f>B6998</x:f>
        <x:v>0.35009999999999997</x:v>
      </x:c>
      <x:c r="E6998" s="1" t="n">
        <x:v>1.05</x:v>
      </x:c>
      <x:c r="F6998" s="1" t="str">
        <x:v>https://api.octopus.energy/v1/products/AGILE-24-10-01/electricity-tariffs/E-1R-AGILE-24-10-01-G/standard-unit-rates/</x:v>
      </x:c>
    </x:row>
    <x:row r="6999" ht="21" customHeight="1">
      <x:c r="A6999" s="24" t="n">
        <x:v>46294.3125</x:v>
      </x:c>
      <x:c r="B6999" s="6" t="n">
        <x:v>0.35700000000000004</x:v>
      </x:c>
      <x:c r="C6999" s="6" t="n">
        <x:v>0.1895</x:v>
      </x:c>
      <x:c r="D6999" s="6" t="n">
        <x:f>B6999</x:f>
        <x:v>0.35700000000000004</x:v>
      </x:c>
      <x:c r="E6999" s="1" t="n">
        <x:v>1.05</x:v>
      </x:c>
      <x:c r="F6999" s="1" t="str">
        <x:v>https://api.octopus.energy/v1/products/AGILE-24-10-01/electricity-tariffs/E-1R-AGILE-24-10-01-G/standard-unit-rates/</x:v>
      </x:c>
    </x:row>
    <x:row r="7000" ht="21" customHeight="1">
      <x:c r="A7000" s="24" t="n">
        <x:v>46294.333333333336</x:v>
      </x:c>
      <x:c r="B7000" s="6" t="n">
        <x:v>0.3159</x:v>
      </x:c>
      <x:c r="C7000" s="6" t="n">
        <x:v>0.1707</x:v>
      </x:c>
      <x:c r="D7000" s="6" t="n">
        <x:f>B7000</x:f>
        <x:v>0.3159</x:v>
      </x:c>
      <x:c r="E7000" s="1" t="n">
        <x:v>1.05</x:v>
      </x:c>
      <x:c r="F7000" s="1" t="str">
        <x:v>https://api.octopus.energy/v1/products/AGILE-24-10-01/electricity-tariffs/E-1R-AGILE-24-10-01-G/standard-unit-rates/</x:v>
      </x:c>
    </x:row>
    <x:row r="7001" ht="21" customHeight="1">
      <x:c r="A7001" s="24" t="n">
        <x:v>46294.354166666664</x:v>
      </x:c>
      <x:c r="B7001" s="6" t="n">
        <x:v>0.3045</x:v>
      </x:c>
      <x:c r="C7001" s="6" t="n">
        <x:v>0.1655</x:v>
      </x:c>
      <x:c r="D7001" s="6" t="n">
        <x:f>B7001</x:f>
        <x:v>0.3045</x:v>
      </x:c>
      <x:c r="E7001" s="1" t="n">
        <x:v>1.05</x:v>
      </x:c>
      <x:c r="F7001" s="1" t="str">
        <x:v>https://api.octopus.energy/v1/products/AGILE-24-10-01/electricity-tariffs/E-1R-AGILE-24-10-01-G/standard-unit-rates/</x:v>
      </x:c>
    </x:row>
    <x:row r="7002" ht="21" customHeight="1">
      <x:c r="A7002" s="24" t="n">
        <x:v>46294.375</x:v>
      </x:c>
      <x:c r="B7002" s="6" t="n">
        <x:v>0.309</x:v>
      </x:c>
      <x:c r="C7002" s="6" t="n">
        <x:v>0.1675</x:v>
      </x:c>
      <x:c r="D7002" s="6" t="n">
        <x:f>B7002</x:f>
        <x:v>0.309</x:v>
      </x:c>
      <x:c r="E7002" s="1" t="n">
        <x:v>1.05</x:v>
      </x:c>
      <x:c r="F7002" s="1" t="str">
        <x:v>https://api.octopus.energy/v1/products/AGILE-24-10-01/electricity-tariffs/E-1R-AGILE-24-10-01-G/standard-unit-rates/</x:v>
      </x:c>
    </x:row>
    <x:row r="7003" ht="21" customHeight="1">
      <x:c r="A7003" s="24" t="n">
        <x:v>46294.395833333336</x:v>
      </x:c>
      <x:c r="B7003" s="6" t="n">
        <x:v>0.3062</x:v>
      </x:c>
      <x:c r="C7003" s="6" t="n">
        <x:v>0.1663</x:v>
      </x:c>
      <x:c r="D7003" s="6" t="n">
        <x:f>B7003</x:f>
        <x:v>0.3062</x:v>
      </x:c>
      <x:c r="E7003" s="1" t="n">
        <x:v>1.05</x:v>
      </x:c>
      <x:c r="F7003" s="1" t="str">
        <x:v>https://api.octopus.energy/v1/products/AGILE-24-10-01/electricity-tariffs/E-1R-AGILE-24-10-01-G/standard-unit-rates/</x:v>
      </x:c>
    </x:row>
    <x:row r="7004" ht="21" customHeight="1">
      <x:c r="A7004" s="24" t="n">
        <x:v>46294.416666666664</x:v>
      </x:c>
      <x:c r="B7004" s="6" t="n">
        <x:v>0.264</x:v>
      </x:c>
      <x:c r="C7004" s="6" t="n">
        <x:v>0.147</x:v>
      </x:c>
      <x:c r="D7004" s="6" t="n">
        <x:f>B7004</x:f>
        <x:v>0.264</x:v>
      </x:c>
      <x:c r="E7004" s="1" t="n">
        <x:v>1.05</x:v>
      </x:c>
      <x:c r="F7004" s="1" t="str">
        <x:v>https://api.octopus.energy/v1/products/AGILE-24-10-01/electricity-tariffs/E-1R-AGILE-24-10-01-G/standard-unit-rates/</x:v>
      </x:c>
    </x:row>
    <x:row r="7005" ht="21" customHeight="1">
      <x:c r="A7005" s="24" t="n">
        <x:v>46294.4375</x:v>
      </x:c>
      <x:c r="B7005" s="6" t="n">
        <x:v>0.23399999999999999</x:v>
      </x:c>
      <x:c r="C7005" s="6" t="n">
        <x:v>0.1333</x:v>
      </x:c>
      <x:c r="D7005" s="6" t="n">
        <x:f>B7005</x:f>
        <x:v>0.23399999999999999</x:v>
      </x:c>
      <x:c r="E7005" s="1" t="n">
        <x:v>1.05</x:v>
      </x:c>
      <x:c r="F7005" s="1" t="str">
        <x:v>https://api.octopus.energy/v1/products/AGILE-24-10-01/electricity-tariffs/E-1R-AGILE-24-10-01-G/standard-unit-rates/</x:v>
      </x:c>
    </x:row>
    <x:row r="7006" ht="21" customHeight="1">
      <x:c r="A7006" s="24" t="n">
        <x:v>46294.458333333336</x:v>
      </x:c>
      <x:c r="B7006" s="6" t="n">
        <x:v>0.20010000000000003</x:v>
      </x:c>
      <x:c r="C7006" s="6" t="n">
        <x:v>0.11779999999999999</x:v>
      </x:c>
      <x:c r="D7006" s="6" t="n">
        <x:f>B7006</x:f>
        <x:v>0.20010000000000003</x:v>
      </x:c>
      <x:c r="E7006" s="1" t="n">
        <x:v>1.05</x:v>
      </x:c>
      <x:c r="F7006" s="1" t="str">
        <x:v>https://api.octopus.energy/v1/products/AGILE-24-10-01/electricity-tariffs/E-1R-AGILE-24-10-01-G/standard-unit-rates/</x:v>
      </x:c>
    </x:row>
    <x:row r="7007" ht="21" customHeight="1">
      <x:c r="A7007" s="24" t="n">
        <x:v>46294.479166666664</x:v>
      </x:c>
      <x:c r="B7007" s="6" t="n">
        <x:v>0.1493</x:v>
      </x:c>
      <x:c r="C7007" s="6" t="n">
        <x:v>0.09449999999999999</x:v>
      </x:c>
      <x:c r="D7007" s="6" t="n">
        <x:f>B7007</x:f>
        <x:v>0.1493</x:v>
      </x:c>
      <x:c r="E7007" s="1" t="n">
        <x:v>1.05</x:v>
      </x:c>
      <x:c r="F7007" s="1" t="str">
        <x:v>https://api.octopus.energy/v1/products/AGILE-24-10-01/electricity-tariffs/E-1R-AGILE-24-10-01-G/standard-unit-rates/</x:v>
      </x:c>
    </x:row>
    <x:row r="7008" ht="21" customHeight="1">
      <x:c r="A7008" s="24" t="n">
        <x:v>46294.5</x:v>
      </x:c>
      <x:c r="B7008" s="6" t="n">
        <x:v>0.1499</x:v>
      </x:c>
      <x:c r="C7008" s="6" t="n">
        <x:v>0.09480000000000001</x:v>
      </x:c>
      <x:c r="D7008" s="6" t="n">
        <x:f>B7008</x:f>
        <x:v>0.1499</x:v>
      </x:c>
      <x:c r="E7008" s="1" t="n">
        <x:v>1.05</x:v>
      </x:c>
      <x:c r="F7008" s="1" t="str">
        <x:v>https://api.octopus.energy/v1/products/AGILE-24-10-01/electricity-tariffs/E-1R-AGILE-24-10-01-G/standard-unit-rates/</x:v>
      </x:c>
    </x:row>
    <x:row r="7009" ht="21" customHeight="1">
      <x:c r="A7009" s="24" t="n">
        <x:v>46294.520833333336</x:v>
      </x:c>
      <x:c r="B7009" s="6" t="n">
        <x:v>0.1325</x:v>
      </x:c>
      <x:c r="C7009" s="6" t="n">
        <x:v>0.0868</x:v>
      </x:c>
      <x:c r="D7009" s="6" t="n">
        <x:f>B7009</x:f>
        <x:v>0.1325</x:v>
      </x:c>
      <x:c r="E7009" s="1" t="n">
        <x:v>1.05</x:v>
      </x:c>
      <x:c r="F7009" s="1" t="str">
        <x:v>https://api.octopus.energy/v1/products/AGILE-24-10-01/electricity-tariffs/E-1R-AGILE-24-10-01-G/standard-unit-rates/</x:v>
      </x:c>
    </x:row>
    <x:row r="7010" ht="21" customHeight="1">
      <x:c r="A7010" s="24" t="n">
        <x:v>46294.541666666664</x:v>
      </x:c>
      <x:c r="B7010" s="6" t="n">
        <x:v>0.1382</x:v>
      </x:c>
      <x:c r="C7010" s="6" t="n">
        <x:v>0.0894</x:v>
      </x:c>
      <x:c r="D7010" s="6" t="n">
        <x:f>B7010</x:f>
        <x:v>0.1382</x:v>
      </x:c>
      <x:c r="E7010" s="1" t="n">
        <x:v>1.05</x:v>
      </x:c>
      <x:c r="F7010" s="1" t="str">
        <x:v>https://api.octopus.energy/v1/products/AGILE-24-10-01/electricity-tariffs/E-1R-AGILE-24-10-01-G/standard-unit-rates/</x:v>
      </x:c>
    </x:row>
    <x:row r="7011" ht="21" customHeight="1">
      <x:c r="A7011" s="24" t="n">
        <x:v>46294.5625</x:v>
      </x:c>
      <x:c r="B7011" s="6" t="n">
        <x:v>0.11689999999999999</x:v>
      </x:c>
      <x:c r="C7011" s="6" t="n">
        <x:v>0.0797</x:v>
      </x:c>
      <x:c r="D7011" s="6" t="n">
        <x:f>B7011</x:f>
        <x:v>0.11689999999999999</x:v>
      </x:c>
      <x:c r="E7011" s="1" t="n">
        <x:v>1.05</x:v>
      </x:c>
      <x:c r="F7011" s="1" t="str">
        <x:v>https://api.octopus.energy/v1/products/AGILE-24-10-01/electricity-tariffs/E-1R-AGILE-24-10-01-G/standard-unit-rates/</x:v>
      </x:c>
    </x:row>
    <x:row r="7012" ht="21" customHeight="1">
      <x:c r="A7012" s="24" t="n">
        <x:v>46294.583333333336</x:v>
      </x:c>
      <x:c r="B7012" s="6" t="n">
        <x:v>0.1625</x:v>
      </x:c>
      <x:c r="C7012" s="6" t="n">
        <x:v>0.10060000000000001</x:v>
      </x:c>
      <x:c r="D7012" s="6" t="n">
        <x:f>B7012</x:f>
        <x:v>0.1625</x:v>
      </x:c>
      <x:c r="E7012" s="1" t="n">
        <x:v>1.05</x:v>
      </x:c>
      <x:c r="F7012" s="1" t="str">
        <x:v>https://api.octopus.energy/v1/products/AGILE-24-10-01/electricity-tariffs/E-1R-AGILE-24-10-01-G/standard-unit-rates/</x:v>
      </x:c>
    </x:row>
    <x:row r="7013" ht="21" customHeight="1">
      <x:c r="A7013" s="24" t="n">
        <x:v>46294.604166666664</x:v>
      </x:c>
      <x:c r="B7013" s="6" t="n">
        <x:v>0.17980000000000002</x:v>
      </x:c>
      <x:c r="C7013" s="6" t="n">
        <x:v>0.1085</x:v>
      </x:c>
      <x:c r="D7013" s="6" t="n">
        <x:f>B7013</x:f>
        <x:v>0.17980000000000002</x:v>
      </x:c>
      <x:c r="E7013" s="1" t="n">
        <x:v>1.05</x:v>
      </x:c>
      <x:c r="F7013" s="1" t="str">
        <x:v>https://api.octopus.energy/v1/products/AGILE-24-10-01/electricity-tariffs/E-1R-AGILE-24-10-01-G/standard-unit-rates/</x:v>
      </x:c>
    </x:row>
    <x:row r="7014" ht="21" customHeight="1">
      <x:c r="A7014" s="24" t="n">
        <x:v>46294.625</x:v>
      </x:c>
      <x:c r="B7014" s="6" t="n">
        <x:v>0.23079999999999998</x:v>
      </x:c>
      <x:c r="C7014" s="6" t="n">
        <x:v>0.1318</x:v>
      </x:c>
      <x:c r="D7014" s="6" t="n">
        <x:f>B7014</x:f>
        <x:v>0.23079999999999998</x:v>
      </x:c>
      <x:c r="E7014" s="1" t="n">
        <x:v>1.05</x:v>
      </x:c>
      <x:c r="F7014" s="1" t="str">
        <x:v>https://api.octopus.energy/v1/products/AGILE-24-10-01/electricity-tariffs/E-1R-AGILE-24-10-01-G/standard-unit-rates/</x:v>
      </x:c>
    </x:row>
    <x:row r="7015" ht="21" customHeight="1">
      <x:c r="A7015" s="24" t="n">
        <x:v>46294.645833333336</x:v>
      </x:c>
      <x:c r="B7015" s="6" t="n">
        <x:v>0.2727</x:v>
      </x:c>
      <x:c r="C7015" s="6" t="n">
        <x:v>0.1509</x:v>
      </x:c>
      <x:c r="D7015" s="6" t="n">
        <x:f>B7015</x:f>
        <x:v>0.2727</x:v>
      </x:c>
      <x:c r="E7015" s="1" t="n">
        <x:v>1.05</x:v>
      </x:c>
      <x:c r="F7015" s="1" t="str">
        <x:v>https://api.octopus.energy/v1/products/AGILE-24-10-01/electricity-tariffs/E-1R-AGILE-24-10-01-G/standard-unit-rates/</x:v>
      </x:c>
    </x:row>
    <x:row r="7016" ht="21" customHeight="1">
      <x:c r="A7016" s="24" t="n">
        <x:v>46294.666666666664</x:v>
      </x:c>
      <x:c r="B7016" s="6" t="n">
        <x:v>0.4226</x:v>
      </x:c>
      <x:c r="C7016" s="6" t="n">
        <x:v>0.2235</x:v>
      </x:c>
      <x:c r="D7016" s="6" t="n">
        <x:f>B7016</x:f>
        <x:v>0.4226</x:v>
      </x:c>
      <x:c r="E7016" s="1" t="n">
        <x:v>1.05</x:v>
      </x:c>
      <x:c r="F7016" s="1" t="str">
        <x:v>https://api.octopus.energy/v1/products/AGILE-24-10-01/electricity-tariffs/E-1R-AGILE-24-10-01-G/standard-unit-rates/</x:v>
      </x:c>
    </x:row>
    <x:row r="7017" ht="21" customHeight="1">
      <x:c r="A7017" s="24" t="n">
        <x:v>46294.6875</x:v>
      </x:c>
      <x:c r="B7017" s="6" t="n">
        <x:v>0.4537</x:v>
      </x:c>
      <x:c r="C7017" s="6" t="n">
        <x:v>0.2377</x:v>
      </x:c>
      <x:c r="D7017" s="6" t="n">
        <x:f>B7017</x:f>
        <x:v>0.4537</x:v>
      </x:c>
      <x:c r="E7017" s="1" t="n">
        <x:v>1.05</x:v>
      </x:c>
      <x:c r="F7017" s="1" t="str">
        <x:v>https://api.octopus.energy/v1/products/AGILE-24-10-01/electricity-tariffs/E-1R-AGILE-24-10-01-G/standard-unit-rates/</x:v>
      </x:c>
    </x:row>
    <x:row r="7018" ht="21" customHeight="1">
      <x:c r="A7018" s="24" t="n">
        <x:v>46294.708333333336</x:v>
      </x:c>
      <x:c r="B7018" s="6" t="n">
        <x:v>0.4758</x:v>
      </x:c>
      <x:c r="C7018" s="6" t="n">
        <x:v>0.24780000000000002</x:v>
      </x:c>
      <x:c r="D7018" s="6" t="n">
        <x:f>B7018</x:f>
        <x:v>0.4758</x:v>
      </x:c>
      <x:c r="E7018" s="1" t="n">
        <x:v>1.05</x:v>
      </x:c>
      <x:c r="F7018" s="1" t="str">
        <x:v>https://api.octopus.energy/v1/products/AGILE-24-10-01/electricity-tariffs/E-1R-AGILE-24-10-01-G/standard-unit-rates/</x:v>
      </x:c>
    </x:row>
    <x:row r="7019" ht="21" customHeight="1">
      <x:c r="A7019" s="24" t="n">
        <x:v>46294.729166666664</x:v>
      </x:c>
      <x:c r="B7019" s="6" t="n">
        <x:v>0.48979999999999996</x:v>
      </x:c>
      <x:c r="C7019" s="6" t="n">
        <x:v>0.25420000000000004</x:v>
      </x:c>
      <x:c r="D7019" s="6" t="n">
        <x:f>B7019</x:f>
        <x:v>0.48979999999999996</x:v>
      </x:c>
      <x:c r="E7019" s="1" t="n">
        <x:v>1.05</x:v>
      </x:c>
      <x:c r="F7019" s="1" t="str">
        <x:v>https://api.octopus.energy/v1/products/AGILE-24-10-01/electricity-tariffs/E-1R-AGILE-24-10-01-G/standard-unit-rates/</x:v>
      </x:c>
    </x:row>
    <x:row r="7020" ht="21" customHeight="1">
      <x:c r="A7020" s="24" t="n">
        <x:v>46294.75</x:v>
      </x:c>
      <x:c r="B7020" s="6" t="n">
        <x:v>0.5003</x:v>
      </x:c>
      <x:c r="C7020" s="6" t="n">
        <x:v>0.259</x:v>
      </x:c>
      <x:c r="D7020" s="6" t="n">
        <x:f>B7020</x:f>
        <x:v>0.5003</x:v>
      </x:c>
      <x:c r="E7020" s="1" t="n">
        <x:v>1.05</x:v>
      </x:c>
      <x:c r="F7020" s="1" t="str">
        <x:v>https://api.octopus.energy/v1/products/AGILE-24-10-01/electricity-tariffs/E-1R-AGILE-24-10-01-G/standard-unit-rates/</x:v>
      </x:c>
    </x:row>
    <x:row r="7021" ht="21" customHeight="1">
      <x:c r="A7021" s="24" t="n">
        <x:v>46294.770833333336</x:v>
      </x:c>
      <x:c r="B7021" s="6" t="n">
        <x:v>0.49810000000000004</x:v>
      </x:c>
      <x:c r="C7021" s="6" t="n">
        <x:v>0.258</x:v>
      </x:c>
      <x:c r="D7021" s="6" t="n">
        <x:f>B7021</x:f>
        <x:v>0.49810000000000004</x:v>
      </x:c>
      <x:c r="E7021" s="1" t="n">
        <x:v>1.05</x:v>
      </x:c>
      <x:c r="F7021" s="1" t="str">
        <x:v>https://api.octopus.energy/v1/products/AGILE-24-10-01/electricity-tariffs/E-1R-AGILE-24-10-01-G/standard-unit-rates/</x:v>
      </x:c>
    </x:row>
    <x:row r="7022" ht="21" customHeight="1">
      <x:c r="A7022" s="24" t="n">
        <x:v>46294.791666666664</x:v>
      </x:c>
      <x:c r="B7022" s="6" t="n">
        <x:v>0.35710000000000003</x:v>
      </x:c>
      <x:c r="C7022" s="6" t="n">
        <x:v>0.1895</x:v>
      </x:c>
      <x:c r="D7022" s="6" t="n">
        <x:f>B7022</x:f>
        <x:v>0.35710000000000003</x:v>
      </x:c>
      <x:c r="E7022" s="1" t="n">
        <x:v>1.05</x:v>
      </x:c>
      <x:c r="F7022" s="1" t="str">
        <x:v>https://api.octopus.energy/v1/products/AGILE-24-10-01/electricity-tariffs/E-1R-AGILE-24-10-01-G/standard-unit-rates/</x:v>
      </x:c>
    </x:row>
    <x:row r="7023" ht="21" customHeight="1">
      <x:c r="A7023" s="24" t="n">
        <x:v>46294.8125</x:v>
      </x:c>
      <x:c r="B7023" s="6" t="n">
        <x:v>0.3368</x:v>
      </x:c>
      <x:c r="C7023" s="6" t="n">
        <x:v>0.1802</x:v>
      </x:c>
      <x:c r="D7023" s="6" t="n">
        <x:f>B7023</x:f>
        <x:v>0.3368</x:v>
      </x:c>
      <x:c r="E7023" s="1" t="n">
        <x:v>1.05</x:v>
      </x:c>
      <x:c r="F7023" s="1" t="str">
        <x:v>https://api.octopus.energy/v1/products/AGILE-24-10-01/electricity-tariffs/E-1R-AGILE-24-10-01-G/standard-unit-rates/</x:v>
      </x:c>
    </x:row>
    <x:row r="7024" ht="21" customHeight="1">
      <x:c r="A7024" s="24" t="n">
        <x:v>46294.833333333336</x:v>
      </x:c>
      <x:c r="B7024" s="6" t="n">
        <x:v>0.3208</x:v>
      </x:c>
      <x:c r="C7024" s="6" t="n">
        <x:v>0.1729</x:v>
      </x:c>
      <x:c r="D7024" s="6" t="n">
        <x:f>B7024</x:f>
        <x:v>0.3208</x:v>
      </x:c>
      <x:c r="E7024" s="1" t="n">
        <x:v>1.05</x:v>
      </x:c>
      <x:c r="F7024" s="1" t="str">
        <x:v>https://api.octopus.energy/v1/products/AGILE-24-10-01/electricity-tariffs/E-1R-AGILE-24-10-01-G/standard-unit-rates/</x:v>
      </x:c>
    </x:row>
    <x:row r="7025" ht="21" customHeight="1">
      <x:c r="A7025" s="24" t="n">
        <x:v>46294.854166666664</x:v>
      </x:c>
      <x:c r="B7025" s="6" t="n">
        <x:v>0.2783</x:v>
      </x:c>
      <x:c r="C7025" s="6" t="n">
        <x:v>0.1535</x:v>
      </x:c>
      <x:c r="D7025" s="6" t="n">
        <x:f>B7025</x:f>
        <x:v>0.2783</x:v>
      </x:c>
      <x:c r="E7025" s="1" t="n">
        <x:v>1.05</x:v>
      </x:c>
      <x:c r="F7025" s="1" t="str">
        <x:v>https://api.octopus.energy/v1/products/AGILE-24-10-01/electricity-tariffs/E-1R-AGILE-24-10-01-G/standard-unit-rates/</x:v>
      </x:c>
    </x:row>
    <x:row r="7026" ht="21" customHeight="1">
      <x:c r="A7026" s="24" t="n">
        <x:v>46294.875</x:v>
      </x:c>
      <x:c r="B7026" s="6" t="n">
        <x:v>0.2825</x:v>
      </x:c>
      <x:c r="C7026" s="6" t="n">
        <x:v>0.15539999999999998</x:v>
      </x:c>
      <x:c r="D7026" s="6" t="n">
        <x:f>B7026</x:f>
        <x:v>0.2825</x:v>
      </x:c>
      <x:c r="E7026" s="1" t="n">
        <x:v>1.05</x:v>
      </x:c>
      <x:c r="F7026" s="1" t="str">
        <x:v>https://api.octopus.energy/v1/products/AGILE-24-10-01/electricity-tariffs/E-1R-AGILE-24-10-01-G/standard-unit-rates/</x:v>
      </x:c>
    </x:row>
    <x:row r="7027" ht="21" customHeight="1">
      <x:c r="A7027" s="24" t="n">
        <x:v>46294.895833333336</x:v>
      </x:c>
      <x:c r="B7027" s="6" t="n">
        <x:v>0.2351</x:v>
      </x:c>
      <x:c r="C7027" s="6" t="n">
        <x:v>0.13369999999999999</x:v>
      </x:c>
      <x:c r="D7027" s="6" t="n">
        <x:f>B7027</x:f>
        <x:v>0.2351</x:v>
      </x:c>
      <x:c r="E7027" s="1" t="n">
        <x:v>1.05</x:v>
      </x:c>
      <x:c r="F7027" s="1" t="str">
        <x:v>https://api.octopus.energy/v1/products/AGILE-24-10-01/electricity-tariffs/E-1R-AGILE-24-10-01-G/standard-unit-rates/</x:v>
      </x:c>
    </x:row>
    <x:row r="7028" ht="21" customHeight="1">
      <x:c r="A7028" s="24" t="n">
        <x:v>46294.916666666664</x:v>
      </x:c>
      <x:c r="B7028" s="6" t="n">
        <x:v>0.2318</x:v>
      </x:c>
      <x:c r="C7028" s="6" t="n">
        <x:v>0.1322</x:v>
      </x:c>
      <x:c r="D7028" s="6" t="n">
        <x:f>B7028</x:f>
        <x:v>0.2318</x:v>
      </x:c>
      <x:c r="E7028" s="1" t="n">
        <x:v>1.05</x:v>
      </x:c>
      <x:c r="F7028" s="1" t="str">
        <x:v>https://api.octopus.energy/v1/products/AGILE-24-10-01/electricity-tariffs/E-1R-AGILE-24-10-01-G/standard-unit-rates/</x:v>
      </x:c>
    </x:row>
    <x:row r="7029" ht="21" customHeight="1">
      <x:c r="A7029" s="24" t="n">
        <x:v>46294.9375</x:v>
      </x:c>
      <x:c r="B7029" s="6" t="n">
        <x:v>0.1573</x:v>
      </x:c>
      <x:c r="C7029" s="6" t="n">
        <x:v>0.09820000000000001</x:v>
      </x:c>
      <x:c r="D7029" s="6" t="n">
        <x:f>B7029</x:f>
        <x:v>0.1573</x:v>
      </x:c>
      <x:c r="E7029" s="1" t="n">
        <x:v>1.05</x:v>
      </x:c>
      <x:c r="F7029" s="1" t="str">
        <x:v>https://api.octopus.energy/v1/products/AGILE-24-10-01/electricity-tariffs/E-1R-AGILE-24-10-01-G/standard-unit-rates/</x:v>
      </x:c>
    </x:row>
    <x:row r="7030" ht="21" customHeight="1">
      <x:c r="A7030" s="24" t="n">
        <x:v>46295</x:v>
      </x:c>
      <x:c r="B7030" s="6" t="n">
        <x:v>0.1464</x:v>
      </x:c>
      <x:c r="C7030" s="6" t="n">
        <x:v>0.0932</x:v>
      </x:c>
      <x:c r="D7030" s="6" t="n">
        <x:f>B7030</x:f>
        <x:v>0.1464</x:v>
      </x:c>
      <x:c r="E7030" s="1" t="n">
        <x:v>1.05</x:v>
      </x:c>
      <x:c r="F7030" s="1" t="str">
        <x:v>https://api.octopus.energy/v1/products/AGILE-24-10-01/electricity-tariffs/E-1R-AGILE-24-10-01-G/standard-unit-rates/</x:v>
      </x:c>
    </x:row>
    <x:row r="7031" ht="21" customHeight="1">
      <x:c r="A7031" s="24" t="n">
        <x:v>46294.979166666664</x:v>
      </x:c>
      <x:c r="B7031" s="6" t="n">
        <x:v>0.1143</x:v>
      </x:c>
      <x:c r="C7031" s="6" t="n">
        <x:v>0.0785</x:v>
      </x:c>
      <x:c r="D7031" s="6" t="n">
        <x:f>B7031</x:f>
        <x:v>0.1143</x:v>
      </x:c>
      <x:c r="E7031" s="1" t="n">
        <x:v>1.05</x:v>
      </x:c>
      <x:c r="F7031" s="1" t="str">
        <x:v>https://api.octopus.energy/v1/products/AGILE-24-10-01/electricity-tariffs/E-1R-AGILE-24-10-01-G/standard-unit-rates/</x:v>
      </x:c>
    </x:row>
    <x:row r="7032" ht="21" customHeight="1">
      <x:c r="A7032" s="24" t="n">
        <x:v>46295</x:v>
      </x:c>
      <x:c r="B7032" s="6" t="n">
        <x:v>0.1125</x:v>
      </x:c>
      <x:c r="C7032" s="6" t="n">
        <x:v>0.07769999999999999</x:v>
      </x:c>
      <x:c r="D7032" s="6" t="n">
        <x:f>B7032</x:f>
        <x:v>0.1125</x:v>
      </x:c>
      <x:c r="E7032" s="1" t="n">
        <x:v>1.05</x:v>
      </x:c>
      <x:c r="F7032" s="1" t="str">
        <x:v>https://api.octopus.energy/v1/products/AGILE-24-10-01/electricity-tariffs/E-1R-AGILE-24-10-01-G/standard-unit-rates/</x:v>
      </x:c>
    </x:row>
    <x:row r="7033" ht="21" customHeight="1">
      <x:c r="A7033" s="24" t="n">
        <x:v>46295.020833333336</x:v>
      </x:c>
      <x:c r="B7033" s="6" t="n">
        <x:v>0.10619999999999999</x:v>
      </x:c>
      <x:c r="C7033" s="6" t="n">
        <x:v>0.0748</x:v>
      </x:c>
      <x:c r="D7033" s="6" t="n">
        <x:f>B7033</x:f>
        <x:v>0.10619999999999999</x:v>
      </x:c>
      <x:c r="E7033" s="1" t="n">
        <x:v>1.05</x:v>
      </x:c>
      <x:c r="F7033" s="1" t="str">
        <x:v>https://api.octopus.energy/v1/products/AGILE-24-10-01/electricity-tariffs/E-1R-AGILE-24-10-01-G/standard-unit-rates/</x:v>
      </x:c>
    </x:row>
    <x:row r="7034" ht="21" customHeight="1">
      <x:c r="A7034" s="24" t="n">
        <x:v>46295.041666666664</x:v>
      </x:c>
      <x:c r="B7034" s="6" t="n">
        <x:v>0.1081</x:v>
      </x:c>
      <x:c r="C7034" s="6" t="n">
        <x:v>0.0757</x:v>
      </x:c>
      <x:c r="D7034" s="6" t="n">
        <x:f>B7034</x:f>
        <x:v>0.1081</x:v>
      </x:c>
      <x:c r="E7034" s="1" t="n">
        <x:v>1.05</x:v>
      </x:c>
      <x:c r="F7034" s="1" t="str">
        <x:v>https://api.octopus.energy/v1/products/AGILE-24-10-01/electricity-tariffs/E-1R-AGILE-24-10-01-G/standard-unit-rates/</x:v>
      </x:c>
    </x:row>
    <x:row r="7035" ht="21" customHeight="1">
      <x:c r="A7035" s="24" t="n">
        <x:v>46295.0625</x:v>
      </x:c>
      <x:c r="B7035" s="6" t="n">
        <x:v>0.10039999999999999</x:v>
      </x:c>
      <x:c r="C7035" s="6" t="n">
        <x:v>0.0722</x:v>
      </x:c>
      <x:c r="D7035" s="6" t="n">
        <x:f>B7035</x:f>
        <x:v>0.10039999999999999</x:v>
      </x:c>
      <x:c r="E7035" s="1" t="n">
        <x:v>1.05</x:v>
      </x:c>
      <x:c r="F7035" s="1" t="str">
        <x:v>https://api.octopus.energy/v1/products/AGILE-24-10-01/electricity-tariffs/E-1R-AGILE-24-10-01-G/standard-unit-rates/</x:v>
      </x:c>
    </x:row>
    <x:row r="7036" ht="21" customHeight="1">
      <x:c r="A7036" s="24" t="n">
        <x:v>46295.083333333336</x:v>
      </x:c>
      <x:c r="B7036" s="6" t="n">
        <x:v>0.0833</x:v>
      </x:c>
      <x:c r="C7036" s="6" t="n">
        <x:v>0.0644</x:v>
      </x:c>
      <x:c r="D7036" s="6" t="n">
        <x:f>B7036</x:f>
        <x:v>0.0833</x:v>
      </x:c>
      <x:c r="E7036" s="1" t="n">
        <x:v>1.05</x:v>
      </x:c>
      <x:c r="F7036" s="1" t="str">
        <x:v>https://api.octopus.energy/v1/products/AGILE-24-10-01/electricity-tariffs/E-1R-AGILE-24-10-01-G/standard-unit-rates/</x:v>
      </x:c>
    </x:row>
    <x:row r="7037" ht="21" customHeight="1">
      <x:c r="A7037" s="24" t="n">
        <x:v>46295.104166666664</x:v>
      </x:c>
      <x:c r="B7037" s="6" t="n">
        <x:v>0.0863</x:v>
      </x:c>
      <x:c r="C7037" s="6" t="n">
        <x:v>0.06570000000000001</x:v>
      </x:c>
      <x:c r="D7037" s="6" t="n">
        <x:f>B7037</x:f>
        <x:v>0.0863</x:v>
      </x:c>
      <x:c r="E7037" s="1" t="n">
        <x:v>1.05</x:v>
      </x:c>
      <x:c r="F7037" s="1" t="str">
        <x:v>https://api.octopus.energy/v1/products/AGILE-24-10-01/electricity-tariffs/E-1R-AGILE-24-10-01-G/standard-unit-rates/</x:v>
      </x:c>
    </x:row>
    <x:row r="7038" ht="21" customHeight="1">
      <x:c r="A7038" s="24" t="n">
        <x:v>46295.125</x:v>
      </x:c>
      <x:c r="B7038" s="6" t="n">
        <x:v>0.09380000000000001</x:v>
      </x:c>
      <x:c r="C7038" s="6" t="n">
        <x:v>0.0692</x:v>
      </x:c>
      <x:c r="D7038" s="6" t="n">
        <x:f>B7038</x:f>
        <x:v>0.09380000000000001</x:v>
      </x:c>
      <x:c r="E7038" s="1" t="n">
        <x:v>1.05</x:v>
      </x:c>
      <x:c r="F7038" s="1" t="str">
        <x:v>https://api.octopus.energy/v1/products/AGILE-24-10-01/electricity-tariffs/E-1R-AGILE-24-10-01-G/standard-unit-rates/</x:v>
      </x:c>
    </x:row>
    <x:row r="7039" ht="21" customHeight="1">
      <x:c r="A7039" s="24" t="n">
        <x:v>46295.145833333336</x:v>
      </x:c>
      <x:c r="B7039" s="6" t="n">
        <x:v>0.09380000000000001</x:v>
      </x:c>
      <x:c r="C7039" s="6" t="n">
        <x:v>0.0692</x:v>
      </x:c>
      <x:c r="D7039" s="6" t="n">
        <x:f>B7039</x:f>
        <x:v>0.09380000000000001</x:v>
      </x:c>
      <x:c r="E7039" s="1" t="n">
        <x:v>1.05</x:v>
      </x:c>
      <x:c r="F7039" s="1" t="str">
        <x:v>https://api.octopus.energy/v1/products/AGILE-24-10-01/electricity-tariffs/E-1R-AGILE-24-10-01-G/standard-unit-rates/</x:v>
      </x:c>
    </x:row>
    <x:row r="7040" ht="21" customHeight="1">
      <x:c r="A7040" s="24" t="n">
        <x:v>46295.166666666664</x:v>
      </x:c>
      <x:c r="B7040" s="6" t="n">
        <x:v>0.0966</x:v>
      </x:c>
      <x:c r="C7040" s="6" t="n">
        <x:v>0.0704</x:v>
      </x:c>
      <x:c r="D7040" s="6" t="n">
        <x:f>B7040</x:f>
        <x:v>0.0966</x:v>
      </x:c>
      <x:c r="E7040" s="1" t="n">
        <x:v>1.05</x:v>
      </x:c>
      <x:c r="F7040" s="1" t="str">
        <x:v>https://api.octopus.energy/v1/products/AGILE-24-10-01/electricity-tariffs/E-1R-AGILE-24-10-01-G/standard-unit-rates/</x:v>
      </x:c>
    </x:row>
    <x:row r="7041" ht="21" customHeight="1">
      <x:c r="A7041" s="24" t="n">
        <x:v>46295.1875</x:v>
      </x:c>
      <x:c r="B7041" s="6" t="n">
        <x:v>0.0947</x:v>
      </x:c>
      <x:c r="C7041" s="6" t="n">
        <x:v>0.0696</x:v>
      </x:c>
      <x:c r="D7041" s="6" t="n">
        <x:f>B7041</x:f>
        <x:v>0.0947</x:v>
      </x:c>
      <x:c r="E7041" s="1" t="n">
        <x:v>1.05</x:v>
      </x:c>
      <x:c r="F7041" s="1" t="str">
        <x:v>https://api.octopus.energy/v1/products/AGILE-24-10-01/electricity-tariffs/E-1R-AGILE-24-10-01-G/standard-unit-rates/</x:v>
      </x:c>
    </x:row>
    <x:row r="7042" ht="21" customHeight="1">
      <x:c r="A7042" s="24" t="n">
        <x:v>46295.208333333336</x:v>
      </x:c>
      <x:c r="B7042" s="6" t="n">
        <x:v>0.13019999999999998</x:v>
      </x:c>
      <x:c r="C7042" s="6" t="n">
        <x:v>0.0858</x:v>
      </x:c>
      <x:c r="D7042" s="6" t="n">
        <x:f>B7042</x:f>
        <x:v>0.13019999999999998</x:v>
      </x:c>
      <x:c r="E7042" s="1" t="n">
        <x:v>1.05</x:v>
      </x:c>
      <x:c r="F7042" s="1" t="str">
        <x:v>https://api.octopus.energy/v1/products/AGILE-24-10-01/electricity-tariffs/E-1R-AGILE-24-10-01-G/standard-unit-rates/</x:v>
      </x:c>
    </x:row>
    <x:row r="7043" ht="21" customHeight="1">
      <x:c r="A7043" s="24" t="n">
        <x:v>46295.229166666664</x:v>
      </x:c>
      <x:c r="B7043" s="6" t="n">
        <x:v>0.1566</x:v>
      </x:c>
      <x:c r="C7043" s="6" t="n">
        <x:v>0.09789999999999999</x:v>
      </x:c>
      <x:c r="D7043" s="6" t="n">
        <x:f>B7043</x:f>
        <x:v>0.1566</x:v>
      </x:c>
      <x:c r="E7043" s="1" t="n">
        <x:v>1.05</x:v>
      </x:c>
      <x:c r="F7043" s="1" t="str">
        <x:v>https://api.octopus.energy/v1/products/AGILE-24-10-01/electricity-tariffs/E-1R-AGILE-24-10-01-G/standard-unit-rates/</x:v>
      </x:c>
    </x:row>
    <x:row r="7044" ht="21" customHeight="1">
      <x:c r="A7044" s="24" t="n">
        <x:v>46295.25</x:v>
      </x:c>
      <x:c r="B7044" s="6" t="n">
        <x:v>0.1955</x:v>
      </x:c>
      <x:c r="C7044" s="6" t="n">
        <x:v>0.11560000000000001</x:v>
      </x:c>
      <x:c r="D7044" s="6" t="n">
        <x:f>B7044</x:f>
        <x:v>0.1955</x:v>
      </x:c>
      <x:c r="E7044" s="1" t="n">
        <x:v>1.05</x:v>
      </x:c>
      <x:c r="F7044" s="1" t="str">
        <x:v>https://api.octopus.energy/v1/products/AGILE-24-10-01/electricity-tariffs/E-1R-AGILE-24-10-01-G/standard-unit-rates/</x:v>
      </x:c>
    </x:row>
    <x:row r="7045" ht="21" customHeight="1">
      <x:c r="A7045" s="24" t="n">
        <x:v>46295.270833333336</x:v>
      </x:c>
      <x:c r="B7045" s="6" t="n">
        <x:v>0.2804</x:v>
      </x:c>
      <x:c r="C7045" s="6" t="n">
        <x:v>0.1545</x:v>
      </x:c>
      <x:c r="D7045" s="6" t="n">
        <x:f>B7045</x:f>
        <x:v>0.2804</x:v>
      </x:c>
      <x:c r="E7045" s="1" t="n">
        <x:v>1.05</x:v>
      </x:c>
      <x:c r="F7045" s="1" t="str">
        <x:v>https://api.octopus.energy/v1/products/AGILE-24-10-01/electricity-tariffs/E-1R-AGILE-24-10-01-G/standard-unit-rates/</x:v>
      </x:c>
    </x:row>
    <x:row r="7046" ht="21" customHeight="1">
      <x:c r="A7046" s="24" t="n">
        <x:v>46295.291666666664</x:v>
      </x:c>
      <x:c r="B7046" s="6" t="n">
        <x:v>0.2876</x:v>
      </x:c>
      <x:c r="C7046" s="6" t="n">
        <x:v>0.1577</x:v>
      </x:c>
      <x:c r="D7046" s="6" t="n">
        <x:f>B7046</x:f>
        <x:v>0.2876</x:v>
      </x:c>
      <x:c r="E7046" s="1" t="n">
        <x:v>1.05</x:v>
      </x:c>
      <x:c r="F7046" s="1" t="str">
        <x:v>https://api.octopus.energy/v1/products/AGILE-24-10-01/electricity-tariffs/E-1R-AGILE-24-10-01-G/standard-unit-rates/</x:v>
      </x:c>
    </x:row>
    <x:row r="7047" ht="21" customHeight="1">
      <x:c r="A7047" s="24" t="n">
        <x:v>46295.3125</x:v>
      </x:c>
      <x:c r="B7047" s="6" t="n">
        <x:v>0.3299</x:v>
      </x:c>
      <x:c r="C7047" s="6" t="n">
        <x:v>0.1771</x:v>
      </x:c>
      <x:c r="D7047" s="6" t="n">
        <x:f>B7047</x:f>
        <x:v>0.3299</x:v>
      </x:c>
      <x:c r="E7047" s="1" t="n">
        <x:v>1.05</x:v>
      </x:c>
      <x:c r="F7047" s="1" t="str">
        <x:v>https://api.octopus.energy/v1/products/AGILE-24-10-01/electricity-tariffs/E-1R-AGILE-24-10-01-G/standard-unit-rates/</x:v>
      </x:c>
    </x:row>
    <x:row r="7048" ht="21" customHeight="1">
      <x:c r="A7048" s="24" t="n">
        <x:v>46295.333333333336</x:v>
      </x:c>
      <x:c r="B7048" s="6" t="n">
        <x:v>0.2816</x:v>
      </x:c>
      <x:c r="C7048" s="6" t="n">
        <x:v>0.155</x:v>
      </x:c>
      <x:c r="D7048" s="6" t="n">
        <x:f>B7048</x:f>
        <x:v>0.2816</x:v>
      </x:c>
      <x:c r="E7048" s="1" t="n">
        <x:v>1.05</x:v>
      </x:c>
      <x:c r="F7048" s="1" t="str">
        <x:v>https://api.octopus.energy/v1/products/AGILE-24-10-01/electricity-tariffs/E-1R-AGILE-24-10-01-G/standard-unit-rates/</x:v>
      </x:c>
    </x:row>
    <x:row r="7049" ht="21" customHeight="1">
      <x:c r="A7049" s="24" t="n">
        <x:v>46295.354166666664</x:v>
      </x:c>
      <x:c r="B7049" s="6" t="n">
        <x:v>0.2816</x:v>
      </x:c>
      <x:c r="C7049" s="6" t="n">
        <x:v>0.155</x:v>
      </x:c>
      <x:c r="D7049" s="6" t="n">
        <x:f>B7049</x:f>
        <x:v>0.2816</x:v>
      </x:c>
      <x:c r="E7049" s="1" t="n">
        <x:v>1.05</x:v>
      </x:c>
      <x:c r="F7049" s="1" t="str">
        <x:v>https://api.octopus.energy/v1/products/AGILE-24-10-01/electricity-tariffs/E-1R-AGILE-24-10-01-G/standard-unit-rates/</x:v>
      </x:c>
    </x:row>
    <x:row r="7050" ht="21" customHeight="1">
      <x:c r="A7050" s="24" t="n">
        <x:v>46295.375</x:v>
      </x:c>
      <x:c r="B7050" s="6" t="n">
        <x:v>0.2711</x:v>
      </x:c>
      <x:c r="C7050" s="6" t="n">
        <x:v>0.1502</x:v>
      </x:c>
      <x:c r="D7050" s="6" t="n">
        <x:f>B7050</x:f>
        <x:v>0.2711</x:v>
      </x:c>
      <x:c r="E7050" s="1" t="n">
        <x:v>1.05</x:v>
      </x:c>
      <x:c r="F7050" s="1" t="str">
        <x:v>https://api.octopus.energy/v1/products/AGILE-24-10-01/electricity-tariffs/E-1R-AGILE-24-10-01-G/standard-unit-rates/</x:v>
      </x:c>
    </x:row>
    <x:row r="7051" ht="21" customHeight="1">
      <x:c r="A7051" s="24" t="n">
        <x:v>46295.395833333336</x:v>
      </x:c>
      <x:c r="B7051" s="6" t="n">
        <x:v>0.2596</x:v>
      </x:c>
      <x:c r="C7051" s="6" t="n">
        <x:v>0.1449</x:v>
      </x:c>
      <x:c r="D7051" s="6" t="n">
        <x:f>B7051</x:f>
        <x:v>0.2596</x:v>
      </x:c>
      <x:c r="E7051" s="1" t="n">
        <x:v>1.05</x:v>
      </x:c>
      <x:c r="F7051" s="1" t="str">
        <x:v>https://api.octopus.energy/v1/products/AGILE-24-10-01/electricity-tariffs/E-1R-AGILE-24-10-01-G/standard-unit-rates/</x:v>
      </x:c>
    </x:row>
    <x:row r="7052" ht="21" customHeight="1">
      <x:c r="A7052" s="24" t="n">
        <x:v>46295.416666666664</x:v>
      </x:c>
      <x:c r="B7052" s="6" t="n">
        <x:v>0.21359999999999998</x:v>
      </x:c>
      <x:c r="C7052" s="6" t="n">
        <x:v>0.12390000000000001</x:v>
      </x:c>
      <x:c r="D7052" s="6" t="n">
        <x:f>B7052</x:f>
        <x:v>0.21359999999999998</x:v>
      </x:c>
      <x:c r="E7052" s="1" t="n">
        <x:v>1.05</x:v>
      </x:c>
      <x:c r="F7052" s="1" t="str">
        <x:v>https://api.octopus.energy/v1/products/AGILE-24-10-01/electricity-tariffs/E-1R-AGILE-24-10-01-G/standard-unit-rates/</x:v>
      </x:c>
    </x:row>
    <x:row r="7053" ht="21" customHeight="1">
      <x:c r="A7053" s="24" t="n">
        <x:v>46295.4375</x:v>
      </x:c>
      <x:c r="B7053" s="6" t="n">
        <x:v>0.1936</x:v>
      </x:c>
      <x:c r="C7053" s="6" t="n">
        <x:v>0.1148</x:v>
      </x:c>
      <x:c r="D7053" s="6" t="n">
        <x:f>B7053</x:f>
        <x:v>0.1936</x:v>
      </x:c>
      <x:c r="E7053" s="1" t="n">
        <x:v>1.05</x:v>
      </x:c>
      <x:c r="F7053" s="1" t="str">
        <x:v>https://api.octopus.energy/v1/products/AGILE-24-10-01/electricity-tariffs/E-1R-AGILE-24-10-01-G/standard-unit-rates/</x:v>
      </x:c>
    </x:row>
    <x:row r="7054" ht="21" customHeight="1">
      <x:c r="A7054" s="24" t="n">
        <x:v>46295.458333333336</x:v>
      </x:c>
      <x:c r="B7054" s="6" t="n">
        <x:v>0.1661</x:v>
      </x:c>
      <x:c r="C7054" s="6" t="n">
        <x:v>0.10220000000000001</x:v>
      </x:c>
      <x:c r="D7054" s="6" t="n">
        <x:f>B7054</x:f>
        <x:v>0.1661</x:v>
      </x:c>
      <x:c r="E7054" s="1" t="n">
        <x:v>1.05</x:v>
      </x:c>
      <x:c r="F7054" s="1" t="str">
        <x:v>https://api.octopus.energy/v1/products/AGILE-24-10-01/electricity-tariffs/E-1R-AGILE-24-10-01-G/standard-unit-rates/</x:v>
      </x:c>
    </x:row>
    <x:row r="7055" ht="21" customHeight="1">
      <x:c r="A7055" s="24" t="n">
        <x:v>46295.479166666664</x:v>
      </x:c>
      <x:c r="B7055" s="6" t="n">
        <x:v>0.1522</x:v>
      </x:c>
      <x:c r="C7055" s="6" t="n">
        <x:v>0.0959</x:v>
      </x:c>
      <x:c r="D7055" s="6" t="n">
        <x:f>B7055</x:f>
        <x:v>0.1522</x:v>
      </x:c>
      <x:c r="E7055" s="1" t="n">
        <x:v>1.05</x:v>
      </x:c>
      <x:c r="F7055" s="1" t="str">
        <x:v>https://api.octopus.energy/v1/products/AGILE-24-10-01/electricity-tariffs/E-1R-AGILE-24-10-01-G/standard-unit-rates/</x:v>
      </x:c>
    </x:row>
    <x:row r="7056" ht="21" customHeight="1">
      <x:c r="A7056" s="24" t="n">
        <x:v>46295.5</x:v>
      </x:c>
      <x:c r="B7056" s="6" t="n">
        <x:v>0.1371</x:v>
      </x:c>
      <x:c r="C7056" s="6" t="n">
        <x:v>0.08900000000000001</x:v>
      </x:c>
      <x:c r="D7056" s="6" t="n">
        <x:f>B7056</x:f>
        <x:v>0.1371</x:v>
      </x:c>
      <x:c r="E7056" s="1" t="n">
        <x:v>1.05</x:v>
      </x:c>
      <x:c r="F7056" s="1" t="str">
        <x:v>https://api.octopus.energy/v1/products/AGILE-24-10-01/electricity-tariffs/E-1R-AGILE-24-10-01-G/standard-unit-rates/</x:v>
      </x:c>
    </x:row>
    <x:row r="7057" ht="21" customHeight="1">
      <x:c r="A7057" s="24" t="n">
        <x:v>46295.520833333336</x:v>
      </x:c>
      <x:c r="B7057" s="6" t="n">
        <x:v>0.133</x:v>
      </x:c>
      <x:c r="C7057" s="6" t="n">
        <x:v>0.08710000000000001</x:v>
      </x:c>
      <x:c r="D7057" s="6" t="n">
        <x:f>B7057</x:f>
        <x:v>0.133</x:v>
      </x:c>
      <x:c r="E7057" s="1" t="n">
        <x:v>1.05</x:v>
      </x:c>
      <x:c r="F7057" s="1" t="str">
        <x:v>https://api.octopus.energy/v1/products/AGILE-24-10-01/electricity-tariffs/E-1R-AGILE-24-10-01-G/standard-unit-rates/</x:v>
      </x:c>
    </x:row>
    <x:row r="7058" ht="21" customHeight="1">
      <x:c r="A7058" s="24" t="n">
        <x:v>46295.541666666664</x:v>
      </x:c>
      <x:c r="B7058" s="6" t="n">
        <x:v>0.15839999999999999</x:v>
      </x:c>
      <x:c r="C7058" s="6" t="n">
        <x:v>0.0987</x:v>
      </x:c>
      <x:c r="D7058" s="6" t="n">
        <x:f>B7058</x:f>
        <x:v>0.15839999999999999</x:v>
      </x:c>
      <x:c r="E7058" s="1" t="n">
        <x:v>1.05</x:v>
      </x:c>
      <x:c r="F7058" s="1" t="str">
        <x:v>https://api.octopus.energy/v1/products/AGILE-24-10-01/electricity-tariffs/E-1R-AGILE-24-10-01-G/standard-unit-rates/</x:v>
      </x:c>
    </x:row>
    <x:row r="7059" ht="21" customHeight="1">
      <x:c r="A7059" s="24" t="n">
        <x:v>46295.5625</x:v>
      </x:c>
      <x:c r="B7059" s="6" t="n">
        <x:v>0.1507</x:v>
      </x:c>
      <x:c r="C7059" s="6" t="n">
        <x:v>0.09519999999999999</x:v>
      </x:c>
      <x:c r="D7059" s="6" t="n">
        <x:f>B7059</x:f>
        <x:v>0.1507</x:v>
      </x:c>
      <x:c r="E7059" s="1" t="n">
        <x:v>1.05</x:v>
      </x:c>
      <x:c r="F7059" s="1" t="str">
        <x:v>https://api.octopus.energy/v1/products/AGILE-24-10-01/electricity-tariffs/E-1R-AGILE-24-10-01-G/standard-unit-rates/</x:v>
      </x:c>
    </x:row>
    <x:row r="7060" ht="21" customHeight="1">
      <x:c r="A7060" s="24" t="n">
        <x:v>46295.583333333336</x:v>
      </x:c>
      <x:c r="B7060" s="6" t="n">
        <x:v>0.1766</x:v>
      </x:c>
      <x:c r="C7060" s="6" t="n">
        <x:v>0.107</x:v>
      </x:c>
      <x:c r="D7060" s="6" t="n">
        <x:f>B7060</x:f>
        <x:v>0.1766</x:v>
      </x:c>
      <x:c r="E7060" s="1" t="n">
        <x:v>1.05</x:v>
      </x:c>
      <x:c r="F7060" s="1" t="str">
        <x:v>https://api.octopus.energy/v1/products/AGILE-24-10-01/electricity-tariffs/E-1R-AGILE-24-10-01-G/standard-unit-rates/</x:v>
      </x:c>
    </x:row>
    <x:row r="7061" ht="21" customHeight="1">
      <x:c r="A7061" s="24" t="n">
        <x:v>46295.604166666664</x:v>
      </x:c>
      <x:c r="B7061" s="6" t="n">
        <x:v>0.1779</x:v>
      </x:c>
      <x:c r="C7061" s="6" t="n">
        <x:v>0.1076</x:v>
      </x:c>
      <x:c r="D7061" s="6" t="n">
        <x:f>B7061</x:f>
        <x:v>0.1779</x:v>
      </x:c>
      <x:c r="E7061" s="1" t="n">
        <x:v>1.05</x:v>
      </x:c>
      <x:c r="F7061" s="1" t="str">
        <x:v>https://api.octopus.energy/v1/products/AGILE-24-10-01/electricity-tariffs/E-1R-AGILE-24-10-01-G/standard-unit-rates/</x:v>
      </x:c>
    </x:row>
    <x:row r="7062" ht="21" customHeight="1">
      <x:c r="A7062" s="24" t="n">
        <x:v>46295.625</x:v>
      </x:c>
      <x:c r="B7062" s="6" t="n">
        <x:v>0.20809999999999998</x:v>
      </x:c>
      <x:c r="C7062" s="6" t="n">
        <x:v>0.12140000000000001</x:v>
      </x:c>
      <x:c r="D7062" s="6" t="n">
        <x:f>B7062</x:f>
        <x:v>0.20809999999999998</x:v>
      </x:c>
      <x:c r="E7062" s="1" t="n">
        <x:v>1.05</x:v>
      </x:c>
      <x:c r="F7062" s="1" t="str">
        <x:v>https://api.octopus.energy/v1/products/AGILE-24-10-01/electricity-tariffs/E-1R-AGILE-24-10-01-G/standard-unit-rates/</x:v>
      </x:c>
    </x:row>
    <x:row r="7063" ht="21" customHeight="1">
      <x:c r="A7063" s="24" t="n">
        <x:v>46295.645833333336</x:v>
      </x:c>
      <x:c r="B7063" s="6" t="n">
        <x:v>0.2289</x:v>
      </x:c>
      <x:c r="C7063" s="6" t="n">
        <x:v>0.1309</x:v>
      </x:c>
      <x:c r="D7063" s="6" t="n">
        <x:f>B7063</x:f>
        <x:v>0.2289</x:v>
      </x:c>
      <x:c r="E7063" s="1" t="n">
        <x:v>1.05</x:v>
      </x:c>
      <x:c r="F7063" s="1" t="str">
        <x:v>https://api.octopus.energy/v1/products/AGILE-24-10-01/electricity-tariffs/E-1R-AGILE-24-10-01-G/standard-unit-rates/</x:v>
      </x:c>
    </x:row>
    <x:row r="7064" ht="21" customHeight="1">
      <x:c r="A7064" s="24" t="n">
        <x:v>46295.666666666664</x:v>
      </x:c>
      <x:c r="B7064" s="6" t="n">
        <x:v>0.38060000000000005</x:v>
      </x:c>
      <x:c r="C7064" s="6" t="n">
        <x:v>0.2043</x:v>
      </x:c>
      <x:c r="D7064" s="6" t="n">
        <x:f>B7064</x:f>
        <x:v>0.38060000000000005</x:v>
      </x:c>
      <x:c r="E7064" s="1" t="n">
        <x:v>1.05</x:v>
      </x:c>
      <x:c r="F7064" s="1" t="str">
        <x:v>https://api.octopus.energy/v1/products/AGILE-24-10-01/electricity-tariffs/E-1R-AGILE-24-10-01-G/standard-unit-rates/</x:v>
      </x:c>
    </x:row>
    <x:row r="7065" ht="21" customHeight="1">
      <x:c r="A7065" s="24" t="n">
        <x:v>46295.6875</x:v>
      </x:c>
      <x:c r="B7065" s="6" t="n">
        <x:v>0.3995</x:v>
      </x:c>
      <x:c r="C7065" s="6" t="n">
        <x:v>0.21289999999999998</x:v>
      </x:c>
      <x:c r="D7065" s="6" t="n">
        <x:f>B7065</x:f>
        <x:v>0.3995</x:v>
      </x:c>
      <x:c r="E7065" s="1" t="n">
        <x:v>1.05</x:v>
      </x:c>
      <x:c r="F7065" s="1" t="str">
        <x:v>https://api.octopus.energy/v1/products/AGILE-24-10-01/electricity-tariffs/E-1R-AGILE-24-10-01-G/standard-unit-rates/</x:v>
      </x:c>
    </x:row>
    <x:row r="7066" ht="21" customHeight="1">
      <x:c r="A7066" s="24" t="n">
        <x:v>46295.708333333336</x:v>
      </x:c>
      <x:c r="B7066" s="6" t="n">
        <x:v>0.3785</x:v>
      </x:c>
      <x:c r="C7066" s="6" t="n">
        <x:v>0.20329999999999998</x:v>
      </x:c>
      <x:c r="D7066" s="6" t="n">
        <x:f>B7066</x:f>
        <x:v>0.3785</x:v>
      </x:c>
      <x:c r="E7066" s="1" t="n">
        <x:v>1.05</x:v>
      </x:c>
      <x:c r="F7066" s="1" t="str">
        <x:v>https://api.octopus.energy/v1/products/AGILE-24-10-01/electricity-tariffs/E-1R-AGILE-24-10-01-G/standard-unit-rates/</x:v>
      </x:c>
    </x:row>
    <x:row r="7067" ht="21" customHeight="1">
      <x:c r="A7067" s="24" t="n">
        <x:v>46295.729166666664</x:v>
      </x:c>
      <x:c r="B7067" s="6" t="n">
        <x:v>0.4255</x:v>
      </x:c>
      <x:c r="C7067" s="6" t="n">
        <x:v>0.2248</x:v>
      </x:c>
      <x:c r="D7067" s="6" t="n">
        <x:f>B7067</x:f>
        <x:v>0.4255</x:v>
      </x:c>
      <x:c r="E7067" s="1" t="n">
        <x:v>1.05</x:v>
      </x:c>
      <x:c r="F7067" s="1" t="str">
        <x:v>https://api.octopus.energy/v1/products/AGILE-24-10-01/electricity-tariffs/E-1R-AGILE-24-10-01-G/standard-unit-rates/</x:v>
      </x:c>
    </x:row>
    <x:row r="7068" ht="21" customHeight="1">
      <x:c r="A7068" s="24" t="n">
        <x:v>46295.75</x:v>
      </x:c>
      <x:c r="B7068" s="6" t="n">
        <x:v>0.4524</x:v>
      </x:c>
      <x:c r="C7068" s="6" t="n">
        <x:v>0.2371</x:v>
      </x:c>
      <x:c r="D7068" s="6" t="n">
        <x:f>B7068</x:f>
        <x:v>0.4524</x:v>
      </x:c>
      <x:c r="E7068" s="1" t="n">
        <x:v>1.05</x:v>
      </x:c>
      <x:c r="F7068" s="1" t="str">
        <x:v>https://api.octopus.energy/v1/products/AGILE-24-10-01/electricity-tariffs/E-1R-AGILE-24-10-01-G/standard-unit-rates/</x:v>
      </x:c>
    </x:row>
    <x:row r="7069" ht="21" customHeight="1">
      <x:c r="A7069" s="24" t="n">
        <x:v>46295.770833333336</x:v>
      </x:c>
      <x:c r="B7069" s="6" t="n">
        <x:v>0.4681</x:v>
      </x:c>
      <x:c r="C7069" s="6" t="n">
        <x:v>0.2443</x:v>
      </x:c>
      <x:c r="D7069" s="6" t="n">
        <x:f>B7069</x:f>
        <x:v>0.4681</x:v>
      </x:c>
      <x:c r="E7069" s="1" t="n">
        <x:v>1.05</x:v>
      </x:c>
      <x:c r="F7069" s="1" t="str">
        <x:v>https://api.octopus.energy/v1/products/AGILE-24-10-01/electricity-tariffs/E-1R-AGILE-24-10-01-G/standard-unit-rates/</x:v>
      </x:c>
    </x:row>
    <x:row r="7070" ht="21" customHeight="1">
      <x:c r="A7070" s="24" t="n">
        <x:v>46295.791666666664</x:v>
      </x:c>
      <x:c r="B7070" s="6" t="n">
        <x:v>0.3605</x:v>
      </x:c>
      <x:c r="C7070" s="6" t="n">
        <x:v>0.1911</x:v>
      </x:c>
      <x:c r="D7070" s="6" t="n">
        <x:f>B7070</x:f>
        <x:v>0.3605</x:v>
      </x:c>
      <x:c r="E7070" s="1" t="n">
        <x:v>1.05</x:v>
      </x:c>
      <x:c r="F7070" s="1" t="str">
        <x:v>https://api.octopus.energy/v1/products/AGILE-24-10-01/electricity-tariffs/E-1R-AGILE-24-10-01-G/standard-unit-rates/</x:v>
      </x:c>
    </x:row>
    <x:row r="7071" ht="21" customHeight="1">
      <x:c r="A7071" s="24" t="n">
        <x:v>46295.8125</x:v>
      </x:c>
      <x:c r="B7071" s="6" t="n">
        <x:v>0.3627</x:v>
      </x:c>
      <x:c r="C7071" s="6" t="n">
        <x:v>0.19210000000000002</x:v>
      </x:c>
      <x:c r="D7071" s="6" t="n">
        <x:f>B7071</x:f>
        <x:v>0.3627</x:v>
      </x:c>
      <x:c r="E7071" s="1" t="n">
        <x:v>1.05</x:v>
      </x:c>
      <x:c r="F7071" s="1" t="str">
        <x:v>https://api.octopus.energy/v1/products/AGILE-24-10-01/electricity-tariffs/E-1R-AGILE-24-10-01-G/standard-unit-rates/</x:v>
      </x:c>
    </x:row>
    <x:row r="7072" ht="21" customHeight="1">
      <x:c r="A7072" s="24" t="n">
        <x:v>46295.833333333336</x:v>
      </x:c>
      <x:c r="B7072" s="6" t="n">
        <x:v>0.35369999999999996</x:v>
      </x:c>
      <x:c r="C7072" s="6" t="n">
        <x:v>0.188</x:v>
      </x:c>
      <x:c r="D7072" s="6" t="n">
        <x:f>B7072</x:f>
        <x:v>0.35369999999999996</x:v>
      </x:c>
      <x:c r="E7072" s="1" t="n">
        <x:v>1.05</x:v>
      </x:c>
      <x:c r="F7072" s="1" t="str">
        <x:v>https://api.octopus.energy/v1/products/AGILE-24-10-01/electricity-tariffs/E-1R-AGILE-24-10-01-G/standard-unit-rates/</x:v>
      </x:c>
    </x:row>
    <x:row r="7073" ht="21" customHeight="1">
      <x:c r="A7073" s="24" t="n">
        <x:v>46295.854166666664</x:v>
      </x:c>
      <x:c r="B7073" s="6" t="n">
        <x:v>0.3282</x:v>
      </x:c>
      <x:c r="C7073" s="6" t="n">
        <x:v>0.17629999999999998</x:v>
      </x:c>
      <x:c r="D7073" s="6" t="n">
        <x:f>B7073</x:f>
        <x:v>0.3282</x:v>
      </x:c>
      <x:c r="E7073" s="1" t="n">
        <x:v>1.05</x:v>
      </x:c>
      <x:c r="F7073" s="1" t="str">
        <x:v>https://api.octopus.energy/v1/products/AGILE-24-10-01/electricity-tariffs/E-1R-AGILE-24-10-01-G/standard-unit-rates/</x:v>
      </x:c>
    </x:row>
    <x:row r="7074" ht="21" customHeight="1">
      <x:c r="A7074" s="24" t="n">
        <x:v>46295.875</x:v>
      </x:c>
      <x:c r="B7074" s="6" t="n">
        <x:v>0.3068</x:v>
      </x:c>
      <x:c r="C7074" s="6" t="n">
        <x:v>0.16649999999999998</x:v>
      </x:c>
      <x:c r="D7074" s="6" t="n">
        <x:f>B7074</x:f>
        <x:v>0.3068</x:v>
      </x:c>
      <x:c r="E7074" s="1" t="n">
        <x:v>1.05</x:v>
      </x:c>
      <x:c r="F7074" s="1" t="str">
        <x:v>https://api.octopus.energy/v1/products/AGILE-24-10-01/electricity-tariffs/E-1R-AGILE-24-10-01-G/standard-unit-rates/</x:v>
      </x:c>
    </x:row>
    <x:row r="7075" ht="21" customHeight="1">
      <x:c r="A7075" s="24" t="n">
        <x:v>46295.895833333336</x:v>
      </x:c>
      <x:c r="B7075" s="6" t="n">
        <x:v>0.2722</x:v>
      </x:c>
      <x:c r="C7075" s="6" t="n">
        <x:v>0.1507</x:v>
      </x:c>
      <x:c r="D7075" s="6" t="n">
        <x:f>B7075</x:f>
        <x:v>0.2722</x:v>
      </x:c>
      <x:c r="E7075" s="1" t="n">
        <x:v>1.05</x:v>
      </x:c>
      <x:c r="F7075" s="1" t="str">
        <x:v>https://api.octopus.energy/v1/products/AGILE-24-10-01/electricity-tariffs/E-1R-AGILE-24-10-01-G/standard-unit-rates/</x:v>
      </x:c>
    </x:row>
    <x:row r="7076" ht="21" customHeight="1">
      <x:c r="A7076" s="24" t="n">
        <x:v>46295.916666666664</x:v>
      </x:c>
      <x:c r="B7076" s="6" t="n">
        <x:v>0.2658</x:v>
      </x:c>
      <x:c r="C7076" s="6" t="n">
        <x:v>0.1478</x:v>
      </x:c>
      <x:c r="D7076" s="6" t="n">
        <x:f>B7076</x:f>
        <x:v>0.2658</x:v>
      </x:c>
      <x:c r="E7076" s="1" t="n">
        <x:v>1.05</x:v>
      </x:c>
      <x:c r="F7076" s="1" t="str">
        <x:v>https://api.octopus.energy/v1/products/AGILE-24-10-01/electricity-tariffs/E-1R-AGILE-24-10-01-G/standard-unit-rates/</x:v>
      </x:c>
    </x:row>
    <x:row r="7077" ht="21" customHeight="1">
      <x:c r="A7077" s="24" t="n">
        <x:v>46295.9375</x:v>
      </x:c>
      <x:c r="B7077" s="6" t="n">
        <x:v>0.2682</x:v>
      </x:c>
      <x:c r="C7077" s="6" t="n">
        <x:v>0.1489</x:v>
      </x:c>
      <x:c r="D7077" s="6" t="n">
        <x:f>B7077</x:f>
        <x:v>0.2682</x:v>
      </x:c>
      <x:c r="E7077" s="1" t="n">
        <x:v>1.05</x:v>
      </x:c>
      <x:c r="F7077" s="1" t="str">
        <x:v>https://api.octopus.energy/v1/products/AGILE-24-10-01/electricity-tariffs/E-1R-AGILE-24-10-01-G/standard-unit-rates/</x:v>
      </x:c>
    </x:row>
    <x:row r="7078" ht="21" customHeight="1">
      <x:c r="A7078" s="24" t="n">
        <x:v>46296</x:v>
      </x:c>
      <x:c r="B7078" s="6" t="n">
        <x:v>0.2753</x:v>
      </x:c>
      <x:c r="C7078" s="6" t="n">
        <x:v>0.1521</x:v>
      </x:c>
      <x:c r="D7078" s="6" t="n">
        <x:f>B7078</x:f>
        <x:v>0.2753</x:v>
      </x:c>
      <x:c r="E7078" s="1" t="n">
        <x:v>1.05</x:v>
      </x:c>
      <x:c r="F7078" s="1" t="str">
        <x:v>https://api.octopus.energy/v1/products/AGILE-24-10-01/electricity-tariffs/E-1R-AGILE-24-10-01-G/standard-unit-rates/</x:v>
      </x:c>
    </x:row>
    <x:row r="7079" ht="21" customHeight="1">
      <x:c r="A7079" s="24" t="n">
        <x:v>46295.979166666664</x:v>
      </x:c>
      <x:c r="B7079" s="6" t="n">
        <x:v>0.26780000000000004</x:v>
      </x:c>
      <x:c r="C7079" s="6" t="n">
        <x:v>0.1487</x:v>
      </x:c>
      <x:c r="D7079" s="6" t="n">
        <x:f>B7079</x:f>
        <x:v>0.26780000000000004</x:v>
      </x:c>
      <x:c r="E7079" s="1" t="n">
        <x:v>1.05</x:v>
      </x:c>
      <x:c r="F7079" s="1" t="str">
        <x:v>https://api.octopus.energy/v1/products/AGILE-24-10-01/electricity-tariffs/E-1R-AGILE-24-10-01-G/standard-unit-rates/</x:v>
      </x:c>
    </x:row>
    <x:row r="7080" ht="21" customHeight="1">
      <x:c r="A7080" s="24" t="n">
        <x:v>46296</x:v>
      </x:c>
      <x:c r="B7080" s="6" t="n">
        <x:v>0.2648</x:v>
      </x:c>
      <x:c r="C7080" s="6" t="n">
        <x:v>0.14730000000000001</x:v>
      </x:c>
      <x:c r="D7080" s="6" t="n">
        <x:f>B7080</x:f>
        <x:v>0.2648</x:v>
      </x:c>
      <x:c r="E7080" s="1" t="n">
        <x:v>1</x:v>
      </x:c>
      <x:c r="F7080" s="1" t="str">
        <x:v>https://api.octopus.energy/v1/products/AGILE-24-10-01/electricity-tariffs/E-1R-AGILE-24-10-01-G/standard-unit-rates/</x:v>
      </x:c>
    </x:row>
    <x:row r="7081" ht="21" customHeight="1">
      <x:c r="A7081" s="24" t="n">
        <x:v>46296.020833333336</x:v>
      </x:c>
      <x:c r="B7081" s="6" t="n">
        <x:v>0.2698</x:v>
      </x:c>
      <x:c r="C7081" s="6" t="n">
        <x:v>0.1496</x:v>
      </x:c>
      <x:c r="D7081" s="6" t="n">
        <x:f>B7081</x:f>
        <x:v>0.2698</x:v>
      </x:c>
      <x:c r="E7081" s="1" t="n">
        <x:v>1</x:v>
      </x:c>
      <x:c r="F7081" s="1" t="str">
        <x:v>https://api.octopus.energy/v1/products/AGILE-24-10-01/electricity-tariffs/E-1R-AGILE-24-10-01-G/standard-unit-rates/</x:v>
      </x:c>
    </x:row>
    <x:row r="7082" ht="21" customHeight="1">
      <x:c r="A7082" s="24" t="n">
        <x:v>46296.041666666664</x:v>
      </x:c>
      <x:c r="B7082" s="6" t="n">
        <x:v>0.2645</x:v>
      </x:c>
      <x:c r="C7082" s="6" t="n">
        <x:v>0.1472</x:v>
      </x:c>
      <x:c r="D7082" s="6" t="n">
        <x:f>B7082</x:f>
        <x:v>0.2645</x:v>
      </x:c>
      <x:c r="E7082" s="1" t="n">
        <x:v>1</x:v>
      </x:c>
      <x:c r="F7082" s="1" t="str">
        <x:v>https://api.octopus.energy/v1/products/AGILE-24-10-01/electricity-tariffs/E-1R-AGILE-24-10-01-G/standard-unit-rates/</x:v>
      </x:c>
    </x:row>
    <x:row r="7083" ht="21" customHeight="1">
      <x:c r="A7083" s="24" t="n">
        <x:v>46296.0625</x:v>
      </x:c>
      <x:c r="B7083" s="6" t="n">
        <x:v>0.25730000000000003</x:v>
      </x:c>
      <x:c r="C7083" s="6" t="n">
        <x:v>0.1439</x:v>
      </x:c>
      <x:c r="D7083" s="6" t="n">
        <x:f>B7083</x:f>
        <x:v>0.25730000000000003</x:v>
      </x:c>
      <x:c r="E7083" s="1" t="n">
        <x:v>1</x:v>
      </x:c>
      <x:c r="F7083" s="1" t="str">
        <x:v>https://api.octopus.energy/v1/products/AGILE-24-10-01/electricity-tariffs/E-1R-AGILE-24-10-01-G/standard-unit-rates/</x:v>
      </x:c>
    </x:row>
    <x:row r="7084" ht="21" customHeight="1">
      <x:c r="A7084" s="24" t="n">
        <x:v>46296.083333333336</x:v>
      </x:c>
      <x:c r="B7084" s="6" t="n">
        <x:v>0.253</x:v>
      </x:c>
      <x:c r="C7084" s="6" t="n">
        <x:v>0.1419</x:v>
      </x:c>
      <x:c r="D7084" s="6" t="n">
        <x:f>B7084</x:f>
        <x:v>0.253</x:v>
      </x:c>
      <x:c r="E7084" s="1" t="n">
        <x:v>1</x:v>
      </x:c>
      <x:c r="F7084" s="1" t="str">
        <x:v>https://api.octopus.energy/v1/products/AGILE-24-10-01/electricity-tariffs/E-1R-AGILE-24-10-01-G/standard-unit-rates/</x:v>
      </x:c>
    </x:row>
    <x:row r="7085" ht="21" customHeight="1">
      <x:c r="A7085" s="24" t="n">
        <x:v>46296.104166666664</x:v>
      </x:c>
      <x:c r="B7085" s="6" t="n">
        <x:v>0.26280000000000003</x:v>
      </x:c>
      <x:c r="C7085" s="6" t="n">
        <x:v>0.1464</x:v>
      </x:c>
      <x:c r="D7085" s="6" t="n">
        <x:f>B7085</x:f>
        <x:v>0.26280000000000003</x:v>
      </x:c>
      <x:c r="E7085" s="1" t="n">
        <x:v>1</x:v>
      </x:c>
      <x:c r="F7085" s="1" t="str">
        <x:v>https://api.octopus.energy/v1/products/AGILE-24-10-01/electricity-tariffs/E-1R-AGILE-24-10-01-G/standard-unit-rates/</x:v>
      </x:c>
    </x:row>
    <x:row r="7086" ht="21" customHeight="1">
      <x:c r="A7086" s="24" t="n">
        <x:v>46296.125</x:v>
      </x:c>
      <x:c r="B7086" s="6" t="n">
        <x:v>0.2583</x:v>
      </x:c>
      <x:c r="C7086" s="6" t="n">
        <x:v>0.14429999999999998</x:v>
      </x:c>
      <x:c r="D7086" s="6" t="n">
        <x:f>B7086</x:f>
        <x:v>0.2583</x:v>
      </x:c>
      <x:c r="E7086" s="1" t="n">
        <x:v>1</x:v>
      </x:c>
      <x:c r="F7086" s="1" t="str">
        <x:v>https://api.octopus.energy/v1/products/AGILE-24-10-01/electricity-tariffs/E-1R-AGILE-24-10-01-G/standard-unit-rates/</x:v>
      </x:c>
    </x:row>
    <x:row r="7087" ht="21" customHeight="1">
      <x:c r="A7087" s="24" t="n">
        <x:v>46296.145833333336</x:v>
      </x:c>
      <x:c r="B7087" s="6" t="n">
        <x:v>0.2579</x:v>
      </x:c>
      <x:c r="C7087" s="6" t="n">
        <x:v>0.1442</x:v>
      </x:c>
      <x:c r="D7087" s="6" t="n">
        <x:f>B7087</x:f>
        <x:v>0.2579</x:v>
      </x:c>
      <x:c r="E7087" s="1" t="n">
        <x:v>1</x:v>
      </x:c>
      <x:c r="F7087" s="1" t="str">
        <x:v>https://api.octopus.energy/v1/products/AGILE-24-10-01/electricity-tariffs/E-1R-AGILE-24-10-01-G/standard-unit-rates/</x:v>
      </x:c>
    </x:row>
    <x:row r="7088" ht="21" customHeight="1">
      <x:c r="A7088" s="24" t="n">
        <x:v>46296.166666666664</x:v>
      </x:c>
      <x:c r="B7088" s="6" t="n">
        <x:v>0.2627</x:v>
      </x:c>
      <x:c r="C7088" s="6" t="n">
        <x:v>0.1464</x:v>
      </x:c>
      <x:c r="D7088" s="6" t="n">
        <x:f>B7088</x:f>
        <x:v>0.2627</x:v>
      </x:c>
      <x:c r="E7088" s="1" t="n">
        <x:v>1</x:v>
      </x:c>
      <x:c r="F7088" s="1" t="str">
        <x:v>https://api.octopus.energy/v1/products/AGILE-24-10-01/electricity-tariffs/E-1R-AGILE-24-10-01-G/standard-unit-rates/</x:v>
      </x:c>
    </x:row>
    <x:row r="7089" ht="21" customHeight="1">
      <x:c r="A7089" s="24" t="n">
        <x:v>46296.1875</x:v>
      </x:c>
      <x:c r="B7089" s="6" t="n">
        <x:v>0.2415</x:v>
      </x:c>
      <x:c r="C7089" s="6" t="n">
        <x:v>0.1367</x:v>
      </x:c>
      <x:c r="D7089" s="6" t="n">
        <x:f>B7089</x:f>
        <x:v>0.2415</x:v>
      </x:c>
      <x:c r="E7089" s="1" t="n">
        <x:v>1</x:v>
      </x:c>
      <x:c r="F7089" s="1" t="str">
        <x:v>https://api.octopus.energy/v1/products/AGILE-24-10-01/electricity-tariffs/E-1R-AGILE-24-10-01-G/standard-unit-rates/</x:v>
      </x:c>
    </x:row>
    <x:row r="7090" ht="21" customHeight="1">
      <x:c r="A7090" s="24" t="n">
        <x:v>46296.208333333336</x:v>
      </x:c>
      <x:c r="B7090" s="6" t="n">
        <x:v>0.29</x:v>
      </x:c>
      <x:c r="C7090" s="6" t="n">
        <x:v>0.1588</x:v>
      </x:c>
      <x:c r="D7090" s="6" t="n">
        <x:f>B7090</x:f>
        <x:v>0.29</x:v>
      </x:c>
      <x:c r="E7090" s="1" t="n">
        <x:v>1</x:v>
      </x:c>
      <x:c r="F7090" s="1" t="str">
        <x:v>https://api.octopus.energy/v1/products/AGILE-24-10-01/electricity-tariffs/E-1R-AGILE-24-10-01-G/standard-unit-rates/</x:v>
      </x:c>
    </x:row>
    <x:row r="7091" ht="21" customHeight="1">
      <x:c r="A7091" s="24" t="n">
        <x:v>46296.229166666664</x:v>
      </x:c>
      <x:c r="B7091" s="6" t="n">
        <x:v>0.29</x:v>
      </x:c>
      <x:c r="C7091" s="6" t="n">
        <x:v>0.1588</x:v>
      </x:c>
      <x:c r="D7091" s="6" t="n">
        <x:f>B7091</x:f>
        <x:v>0.29</x:v>
      </x:c>
      <x:c r="E7091" s="1" t="n">
        <x:v>1</x:v>
      </x:c>
      <x:c r="F7091" s="1" t="str">
        <x:v>https://api.octopus.energy/v1/products/AGILE-24-10-01/electricity-tariffs/E-1R-AGILE-24-10-01-G/standard-unit-rates/</x:v>
      </x:c>
    </x:row>
    <x:row r="7092" ht="21" customHeight="1">
      <x:c r="A7092" s="24" t="n">
        <x:v>46296.25</x:v>
      </x:c>
      <x:c r="B7092" s="6" t="n">
        <x:v>0.3295</x:v>
      </x:c>
      <x:c r="C7092" s="6" t="n">
        <x:v>0.1769</x:v>
      </x:c>
      <x:c r="D7092" s="6" t="n">
        <x:f>B7092</x:f>
        <x:v>0.3295</x:v>
      </x:c>
      <x:c r="E7092" s="1" t="n">
        <x:v>1</x:v>
      </x:c>
      <x:c r="F7092" s="1" t="str">
        <x:v>https://api.octopus.energy/v1/products/AGILE-24-10-01/electricity-tariffs/E-1R-AGILE-24-10-01-G/standard-unit-rates/</x:v>
      </x:c>
    </x:row>
    <x:row r="7093" ht="21" customHeight="1">
      <x:c r="A7093" s="24" t="n">
        <x:v>46296.270833333336</x:v>
      </x:c>
      <x:c r="B7093" s="6" t="n">
        <x:v>0.3615</x:v>
      </x:c>
      <x:c r="C7093" s="6" t="n">
        <x:v>0.19149999999999998</x:v>
      </x:c>
      <x:c r="D7093" s="6" t="n">
        <x:f>B7093</x:f>
        <x:v>0.3615</x:v>
      </x:c>
      <x:c r="E7093" s="1" t="n">
        <x:v>1</x:v>
      </x:c>
      <x:c r="F7093" s="1" t="str">
        <x:v>https://api.octopus.energy/v1/products/AGILE-24-10-01/electricity-tariffs/E-1R-AGILE-24-10-01-G/standard-unit-rates/</x:v>
      </x:c>
    </x:row>
    <x:row r="7094" ht="21" customHeight="1">
      <x:c r="A7094" s="24" t="n">
        <x:v>46296.291666666664</x:v>
      </x:c>
      <x:c r="B7094" s="6" t="n">
        <x:v>0.33880000000000005</x:v>
      </x:c>
      <x:c r="C7094" s="6" t="n">
        <x:v>0.1812</x:v>
      </x:c>
      <x:c r="D7094" s="6" t="n">
        <x:f>B7094</x:f>
        <x:v>0.33880000000000005</x:v>
      </x:c>
      <x:c r="E7094" s="1" t="n">
        <x:v>1</x:v>
      </x:c>
      <x:c r="F7094" s="1" t="str">
        <x:v>https://api.octopus.energy/v1/products/AGILE-24-10-01/electricity-tariffs/E-1R-AGILE-24-10-01-G/standard-unit-rates/</x:v>
      </x:c>
    </x:row>
    <x:row r="7095" ht="21" customHeight="1">
      <x:c r="A7095" s="24" t="n">
        <x:v>46296.3125</x:v>
      </x:c>
      <x:c r="B7095" s="6" t="n">
        <x:v>0.3567</x:v>
      </x:c>
      <x:c r="C7095" s="6" t="n">
        <x:v>0.1893</x:v>
      </x:c>
      <x:c r="D7095" s="6" t="n">
        <x:f>B7095</x:f>
        <x:v>0.3567</x:v>
      </x:c>
      <x:c r="E7095" s="1" t="n">
        <x:v>1</x:v>
      </x:c>
      <x:c r="F7095" s="1" t="str">
        <x:v>https://api.octopus.energy/v1/products/AGILE-24-10-01/electricity-tariffs/E-1R-AGILE-24-10-01-G/standard-unit-rates/</x:v>
      </x:c>
    </x:row>
    <x:row r="7096" ht="21" customHeight="1">
      <x:c r="A7096" s="24" t="n">
        <x:v>46296.333333333336</x:v>
      </x:c>
      <x:c r="B7096" s="6" t="n">
        <x:v>0.355</x:v>
      </x:c>
      <x:c r="C7096" s="6" t="n">
        <x:v>0.1885</x:v>
      </x:c>
      <x:c r="D7096" s="6" t="n">
        <x:f>B7096</x:f>
        <x:v>0.355</x:v>
      </x:c>
      <x:c r="E7096" s="1" t="n">
        <x:v>1</x:v>
      </x:c>
      <x:c r="F7096" s="1" t="str">
        <x:v>https://api.octopus.energy/v1/products/AGILE-24-10-01/electricity-tariffs/E-1R-AGILE-24-10-01-G/standard-unit-rates/</x:v>
      </x:c>
    </x:row>
    <x:row r="7097" ht="21" customHeight="1">
      <x:c r="A7097" s="24" t="n">
        <x:v>46296.354166666664</x:v>
      </x:c>
      <x:c r="B7097" s="6" t="n">
        <x:v>0.3531</x:v>
      </x:c>
      <x:c r="C7097" s="6" t="n">
        <x:v>0.1877</x:v>
      </x:c>
      <x:c r="D7097" s="6" t="n">
        <x:f>B7097</x:f>
        <x:v>0.3531</x:v>
      </x:c>
      <x:c r="E7097" s="1" t="n">
        <x:v>1</x:v>
      </x:c>
      <x:c r="F7097" s="1" t="str">
        <x:v>https://api.octopus.energy/v1/products/AGILE-24-10-01/electricity-tariffs/E-1R-AGILE-24-10-01-G/standard-unit-rates/</x:v>
      </x:c>
    </x:row>
    <x:row r="7098" ht="21" customHeight="1">
      <x:c r="A7098" s="24" t="n">
        <x:v>46296.375</x:v>
      </x:c>
      <x:c r="B7098" s="6" t="n">
        <x:v>0.35509999999999997</x:v>
      </x:c>
      <x:c r="C7098" s="6" t="n">
        <x:v>0.1886</x:v>
      </x:c>
      <x:c r="D7098" s="6" t="n">
        <x:f>B7098</x:f>
        <x:v>0.35509999999999997</x:v>
      </x:c>
      <x:c r="E7098" s="1" t="n">
        <x:v>1</x:v>
      </x:c>
      <x:c r="F7098" s="1" t="str">
        <x:v>https://api.octopus.energy/v1/products/AGILE-24-10-01/electricity-tariffs/E-1R-AGILE-24-10-01-G/standard-unit-rates/</x:v>
      </x:c>
    </x:row>
    <x:row r="7099" ht="21" customHeight="1">
      <x:c r="A7099" s="24" t="n">
        <x:v>46296.395833333336</x:v>
      </x:c>
      <x:c r="B7099" s="6" t="n">
        <x:v>0.3208</x:v>
      </x:c>
      <x:c r="C7099" s="6" t="n">
        <x:v>0.1729</x:v>
      </x:c>
      <x:c r="D7099" s="6" t="n">
        <x:f>B7099</x:f>
        <x:v>0.3208</x:v>
      </x:c>
      <x:c r="E7099" s="1" t="n">
        <x:v>1</x:v>
      </x:c>
      <x:c r="F7099" s="1" t="str">
        <x:v>https://api.octopus.energy/v1/products/AGILE-24-10-01/electricity-tariffs/E-1R-AGILE-24-10-01-G/standard-unit-rates/</x:v>
      </x:c>
    </x:row>
    <x:row r="7100" ht="21" customHeight="1">
      <x:c r="A7100" s="24" t="n">
        <x:v>46296.416666666664</x:v>
      </x:c>
      <x:c r="B7100" s="6" t="n">
        <x:v>0.2779</x:v>
      </x:c>
      <x:c r="C7100" s="6" t="n">
        <x:v>0.1533</x:v>
      </x:c>
      <x:c r="D7100" s="6" t="n">
        <x:f>B7100</x:f>
        <x:v>0.2779</x:v>
      </x:c>
      <x:c r="E7100" s="1" t="n">
        <x:v>1</x:v>
      </x:c>
      <x:c r="F7100" s="1" t="str">
        <x:v>https://api.octopus.energy/v1/products/AGILE-24-10-01/electricity-tariffs/E-1R-AGILE-24-10-01-G/standard-unit-rates/</x:v>
      </x:c>
    </x:row>
    <x:row r="7101" ht="21" customHeight="1">
      <x:c r="A7101" s="24" t="n">
        <x:v>46296.4375</x:v>
      </x:c>
      <x:c r="B7101" s="6" t="n">
        <x:v>0.2606</x:v>
      </x:c>
      <x:c r="C7101" s="6" t="n">
        <x:v>0.1454</x:v>
      </x:c>
      <x:c r="D7101" s="6" t="n">
        <x:f>B7101</x:f>
        <x:v>0.2606</x:v>
      </x:c>
      <x:c r="E7101" s="1" t="n">
        <x:v>1</x:v>
      </x:c>
      <x:c r="F7101" s="1" t="str">
        <x:v>https://api.octopus.energy/v1/products/AGILE-24-10-01/electricity-tariffs/E-1R-AGILE-24-10-01-G/standard-unit-rates/</x:v>
      </x:c>
    </x:row>
    <x:row r="7102" ht="21" customHeight="1">
      <x:c r="A7102" s="24" t="n">
        <x:v>46296.458333333336</x:v>
      </x:c>
      <x:c r="B7102" s="6" t="n">
        <x:v>0.26649999999999996</x:v>
      </x:c>
      <x:c r="C7102" s="6" t="n">
        <x:v>0.1481</x:v>
      </x:c>
      <x:c r="D7102" s="6" t="n">
        <x:f>B7102</x:f>
        <x:v>0.26649999999999996</x:v>
      </x:c>
      <x:c r="E7102" s="1" t="n">
        <x:v>1</x:v>
      </x:c>
      <x:c r="F7102" s="1" t="str">
        <x:v>https://api.octopus.energy/v1/products/AGILE-24-10-01/electricity-tariffs/E-1R-AGILE-24-10-01-G/standard-unit-rates/</x:v>
      </x:c>
    </x:row>
    <x:row r="7103" ht="21" customHeight="1">
      <x:c r="A7103" s="24" t="n">
        <x:v>46296.479166666664</x:v>
      </x:c>
      <x:c r="B7103" s="6" t="n">
        <x:v>0.2608</x:v>
      </x:c>
      <x:c r="C7103" s="6" t="n">
        <x:v>0.14550000000000002</x:v>
      </x:c>
      <x:c r="D7103" s="6" t="n">
        <x:f>B7103</x:f>
        <x:v>0.2608</x:v>
      </x:c>
      <x:c r="E7103" s="1" t="n">
        <x:v>1</x:v>
      </x:c>
      <x:c r="F7103" s="1" t="str">
        <x:v>https://api.octopus.energy/v1/products/AGILE-24-10-01/electricity-tariffs/E-1R-AGILE-24-10-01-G/standard-unit-rates/</x:v>
      </x:c>
    </x:row>
    <x:row r="7104" ht="21" customHeight="1">
      <x:c r="A7104" s="24" t="n">
        <x:v>46296.5</x:v>
      </x:c>
      <x:c r="B7104" s="6" t="n">
        <x:v>0.2556</x:v>
      </x:c>
      <x:c r="C7104" s="6" t="n">
        <x:v>0.1431</x:v>
      </x:c>
      <x:c r="D7104" s="6" t="n">
        <x:f>B7104</x:f>
        <x:v>0.2556</x:v>
      </x:c>
      <x:c r="E7104" s="1" t="n">
        <x:v>1</x:v>
      </x:c>
      <x:c r="F7104" s="1" t="str">
        <x:v>https://api.octopus.energy/v1/products/AGILE-24-10-01/electricity-tariffs/E-1R-AGILE-24-10-01-G/standard-unit-rates/</x:v>
      </x:c>
    </x:row>
    <x:row r="7105" ht="21" customHeight="1">
      <x:c r="A7105" s="24" t="n">
        <x:v>46296.520833333336</x:v>
      </x:c>
      <x:c r="B7105" s="6" t="n">
        <x:v>0.254</x:v>
      </x:c>
      <x:c r="C7105" s="6" t="n">
        <x:v>0.1424</x:v>
      </x:c>
      <x:c r="D7105" s="6" t="n">
        <x:f>B7105</x:f>
        <x:v>0.254</x:v>
      </x:c>
      <x:c r="E7105" s="1" t="n">
        <x:v>1</x:v>
      </x:c>
      <x:c r="F7105" s="1" t="str">
        <x:v>https://api.octopus.energy/v1/products/AGILE-24-10-01/electricity-tariffs/E-1R-AGILE-24-10-01-G/standard-unit-rates/</x:v>
      </x:c>
    </x:row>
    <x:row r="7106" ht="21" customHeight="1">
      <x:c r="A7106" s="24" t="n">
        <x:v>46296.541666666664</x:v>
      </x:c>
      <x:c r="B7106" s="6" t="n">
        <x:v>0.2518</x:v>
      </x:c>
      <x:c r="C7106" s="6" t="n">
        <x:v>0.1414</x:v>
      </x:c>
      <x:c r="D7106" s="6" t="n">
        <x:f>B7106</x:f>
        <x:v>0.2518</x:v>
      </x:c>
      <x:c r="E7106" s="1" t="n">
        <x:v>1</x:v>
      </x:c>
      <x:c r="F7106" s="1" t="str">
        <x:v>https://api.octopus.energy/v1/products/AGILE-24-10-01/electricity-tariffs/E-1R-AGILE-24-10-01-G/standard-unit-rates/</x:v>
      </x:c>
    </x:row>
    <x:row r="7107" ht="21" customHeight="1">
      <x:c r="A7107" s="24" t="n">
        <x:v>46296.5625</x:v>
      </x:c>
      <x:c r="B7107" s="6" t="n">
        <x:v>0.2492</x:v>
      </x:c>
      <x:c r="C7107" s="6" t="n">
        <x:v>0.1402</x:v>
      </x:c>
      <x:c r="D7107" s="6" t="n">
        <x:f>B7107</x:f>
        <x:v>0.2492</x:v>
      </x:c>
      <x:c r="E7107" s="1" t="n">
        <x:v>1</x:v>
      </x:c>
      <x:c r="F7107" s="1" t="str">
        <x:v>https://api.octopus.energy/v1/products/AGILE-24-10-01/electricity-tariffs/E-1R-AGILE-24-10-01-G/standard-unit-rates/</x:v>
      </x:c>
    </x:row>
    <x:row r="7108" ht="21" customHeight="1">
      <x:c r="A7108" s="24" t="n">
        <x:v>46296.583333333336</x:v>
      </x:c>
      <x:c r="B7108" s="6" t="n">
        <x:v>0.25780000000000003</x:v>
      </x:c>
      <x:c r="C7108" s="6" t="n">
        <x:v>0.1441</x:v>
      </x:c>
      <x:c r="D7108" s="6" t="n">
        <x:f>B7108</x:f>
        <x:v>0.25780000000000003</x:v>
      </x:c>
      <x:c r="E7108" s="1" t="n">
        <x:v>1</x:v>
      </x:c>
      <x:c r="F7108" s="1" t="str">
        <x:v>https://api.octopus.energy/v1/products/AGILE-24-10-01/electricity-tariffs/E-1R-AGILE-24-10-01-G/standard-unit-rates/</x:v>
      </x:c>
    </x:row>
    <x:row r="7109" ht="21" customHeight="1">
      <x:c r="A7109" s="24" t="n">
        <x:v>46296.604166666664</x:v>
      </x:c>
      <x:c r="B7109" s="6" t="n">
        <x:v>0.2579</x:v>
      </x:c>
      <x:c r="C7109" s="6" t="n">
        <x:v>0.1442</x:v>
      </x:c>
      <x:c r="D7109" s="6" t="n">
        <x:f>B7109</x:f>
        <x:v>0.2579</x:v>
      </x:c>
      <x:c r="E7109" s="1" t="n">
        <x:v>1</x:v>
      </x:c>
      <x:c r="F7109" s="1" t="str">
        <x:v>https://api.octopus.energy/v1/products/AGILE-24-10-01/electricity-tariffs/E-1R-AGILE-24-10-01-G/standard-unit-rates/</x:v>
      </x:c>
    </x:row>
    <x:row r="7110" ht="21" customHeight="1">
      <x:c r="A7110" s="24" t="n">
        <x:v>46296.625</x:v>
      </x:c>
      <x:c r="B7110" s="6" t="n">
        <x:v>0.25739999999999996</x:v>
      </x:c>
      <x:c r="C7110" s="6" t="n">
        <x:v>0.1439</x:v>
      </x:c>
      <x:c r="D7110" s="6" t="n">
        <x:f>B7110</x:f>
        <x:v>0.25739999999999996</x:v>
      </x:c>
      <x:c r="E7110" s="1" t="n">
        <x:v>1</x:v>
      </x:c>
      <x:c r="F7110" s="1" t="str">
        <x:v>https://api.octopus.energy/v1/products/AGILE-24-10-01/electricity-tariffs/E-1R-AGILE-24-10-01-G/standard-unit-rates/</x:v>
      </x:c>
    </x:row>
    <x:row r="7111" ht="21" customHeight="1">
      <x:c r="A7111" s="24" t="n">
        <x:v>46296.645833333336</x:v>
      </x:c>
      <x:c r="B7111" s="6" t="n">
        <x:v>0.26940000000000003</x:v>
      </x:c>
      <x:c r="C7111" s="6" t="n">
        <x:v>0.1494</x:v>
      </x:c>
      <x:c r="D7111" s="6" t="n">
        <x:f>B7111</x:f>
        <x:v>0.26940000000000003</x:v>
      </x:c>
      <x:c r="E7111" s="1" t="n">
        <x:v>1</x:v>
      </x:c>
      <x:c r="F7111" s="1" t="str">
        <x:v>https://api.octopus.energy/v1/products/AGILE-24-10-01/electricity-tariffs/E-1R-AGILE-24-10-01-G/standard-unit-rates/</x:v>
      </x:c>
    </x:row>
    <x:row r="7112" ht="21" customHeight="1">
      <x:c r="A7112" s="24" t="n">
        <x:v>46296.666666666664</x:v>
      </x:c>
      <x:c r="B7112" s="6" t="n">
        <x:v>0.4188</x:v>
      </x:c>
      <x:c r="C7112" s="6" t="n">
        <x:v>0.2218</x:v>
      </x:c>
      <x:c r="D7112" s="6" t="n">
        <x:f>B7112</x:f>
        <x:v>0.4188</x:v>
      </x:c>
      <x:c r="E7112" s="1" t="n">
        <x:v>1</x:v>
      </x:c>
      <x:c r="F7112" s="1" t="str">
        <x:v>https://api.octopus.energy/v1/products/AGILE-24-10-01/electricity-tariffs/E-1R-AGILE-24-10-01-G/standard-unit-rates/</x:v>
      </x:c>
    </x:row>
    <x:row r="7113" ht="21" customHeight="1">
      <x:c r="A7113" s="24" t="n">
        <x:v>46296.6875</x:v>
      </x:c>
      <x:c r="B7113" s="6" t="n">
        <x:v>0.46520000000000006</x:v>
      </x:c>
      <x:c r="C7113" s="6" t="n">
        <x:v>0.243</x:v>
      </x:c>
      <x:c r="D7113" s="6" t="n">
        <x:f>B7113</x:f>
        <x:v>0.46520000000000006</x:v>
      </x:c>
      <x:c r="E7113" s="1" t="n">
        <x:v>1</x:v>
      </x:c>
      <x:c r="F7113" s="1" t="str">
        <x:v>https://api.octopus.energy/v1/products/AGILE-24-10-01/electricity-tariffs/E-1R-AGILE-24-10-01-G/standard-unit-rates/</x:v>
      </x:c>
    </x:row>
    <x:row r="7114" ht="21" customHeight="1">
      <x:c r="A7114" s="24" t="n">
        <x:v>46296.708333333336</x:v>
      </x:c>
      <x:c r="B7114" s="6" t="n">
        <x:v>0.46630000000000005</x:v>
      </x:c>
      <x:c r="C7114" s="6" t="n">
        <x:v>0.24350000000000002</x:v>
      </x:c>
      <x:c r="D7114" s="6" t="n">
        <x:f>B7114</x:f>
        <x:v>0.46630000000000005</x:v>
      </x:c>
      <x:c r="E7114" s="1" t="n">
        <x:v>1</x:v>
      </x:c>
      <x:c r="F7114" s="1" t="str">
        <x:v>https://api.octopus.energy/v1/products/AGILE-24-10-01/electricity-tariffs/E-1R-AGILE-24-10-01-G/standard-unit-rates/</x:v>
      </x:c>
    </x:row>
    <x:row r="7115" ht="21" customHeight="1">
      <x:c r="A7115" s="24" t="n">
        <x:v>46296.729166666664</x:v>
      </x:c>
      <x:c r="B7115" s="6" t="n">
        <x:v>0.4975</x:v>
      </x:c>
      <x:c r="C7115" s="6" t="n">
        <x:v>0.2577</x:v>
      </x:c>
      <x:c r="D7115" s="6" t="n">
        <x:f>B7115</x:f>
        <x:v>0.4975</x:v>
      </x:c>
      <x:c r="E7115" s="1" t="n">
        <x:v>1</x:v>
      </x:c>
      <x:c r="F7115" s="1" t="str">
        <x:v>https://api.octopus.energy/v1/products/AGILE-24-10-01/electricity-tariffs/E-1R-AGILE-24-10-01-G/standard-unit-rates/</x:v>
      </x:c>
    </x:row>
    <x:row r="7116" ht="21" customHeight="1">
      <x:c r="A7116" s="24" t="n">
        <x:v>46296.75</x:v>
      </x:c>
      <x:c r="B7116" s="6" t="n">
        <x:v>0.5032</x:v>
      </x:c>
      <x:c r="C7116" s="6" t="n">
        <x:v>0.26030000000000003</x:v>
      </x:c>
      <x:c r="D7116" s="6" t="n">
        <x:f>B7116</x:f>
        <x:v>0.5032</x:v>
      </x:c>
      <x:c r="E7116" s="1" t="n">
        <x:v>1</x:v>
      </x:c>
      <x:c r="F7116" s="1" t="str">
        <x:v>https://api.octopus.energy/v1/products/AGILE-24-10-01/electricity-tariffs/E-1R-AGILE-24-10-01-G/standard-unit-rates/</x:v>
      </x:c>
    </x:row>
    <x:row r="7117" ht="21" customHeight="1">
      <x:c r="A7117" s="24" t="n">
        <x:v>46296.770833333336</x:v>
      </x:c>
      <x:c r="B7117" s="6" t="n">
        <x:v>0.5213</x:v>
      </x:c>
      <x:c r="C7117" s="6" t="n">
        <x:v>0.2686</x:v>
      </x:c>
      <x:c r="D7117" s="6" t="n">
        <x:f>B7117</x:f>
        <x:v>0.5213</x:v>
      </x:c>
      <x:c r="E7117" s="1" t="n">
        <x:v>1</x:v>
      </x:c>
      <x:c r="F7117" s="1" t="str">
        <x:v>https://api.octopus.energy/v1/products/AGILE-24-10-01/electricity-tariffs/E-1R-AGILE-24-10-01-G/standard-unit-rates/</x:v>
      </x:c>
    </x:row>
    <x:row r="7118" ht="21" customHeight="1">
      <x:c r="A7118" s="24" t="n">
        <x:v>46296.791666666664</x:v>
      </x:c>
      <x:c r="B7118" s="6" t="n">
        <x:v>0.4201</x:v>
      </x:c>
      <x:c r="C7118" s="6" t="n">
        <x:v>0.2183</x:v>
      </x:c>
      <x:c r="D7118" s="6" t="n">
        <x:f>B7118</x:f>
        <x:v>0.4201</x:v>
      </x:c>
      <x:c r="E7118" s="1" t="n">
        <x:v>1</x:v>
      </x:c>
      <x:c r="F7118" s="1" t="str">
        <x:v>https://api.octopus.energy/v1/products/AGILE-24-10-01/electricity-tariffs/E-1R-AGILE-24-10-01-G/standard-unit-rates/</x:v>
      </x:c>
    </x:row>
    <x:row r="7119" ht="21" customHeight="1">
      <x:c r="A7119" s="24" t="n">
        <x:v>46296.8125</x:v>
      </x:c>
      <x:c r="B7119" s="6" t="n">
        <x:v>0.3971</x:v>
      </x:c>
      <x:c r="C7119" s="6" t="n">
        <x:v>0.2078</x:v>
      </x:c>
      <x:c r="D7119" s="6" t="n">
        <x:f>B7119</x:f>
        <x:v>0.3971</x:v>
      </x:c>
      <x:c r="E7119" s="1" t="n">
        <x:v>1</x:v>
      </x:c>
      <x:c r="F7119" s="1" t="str">
        <x:v>https://api.octopus.energy/v1/products/AGILE-24-10-01/electricity-tariffs/E-1R-AGILE-24-10-01-G/standard-unit-rates/</x:v>
      </x:c>
    </x:row>
    <x:row r="7120" ht="21" customHeight="1">
      <x:c r="A7120" s="24" t="n">
        <x:v>46296.833333333336</x:v>
      </x:c>
      <x:c r="B7120" s="6" t="n">
        <x:v>0.376</x:v>
      </x:c>
      <x:c r="C7120" s="6" t="n">
        <x:v>0.19820000000000002</x:v>
      </x:c>
      <x:c r="D7120" s="6" t="n">
        <x:f>B7120</x:f>
        <x:v>0.376</x:v>
      </x:c>
      <x:c r="E7120" s="1" t="n">
        <x:v>1</x:v>
      </x:c>
      <x:c r="F7120" s="1" t="str">
        <x:v>https://api.octopus.energy/v1/products/AGILE-24-10-01/electricity-tariffs/E-1R-AGILE-24-10-01-G/standard-unit-rates/</x:v>
      </x:c>
    </x:row>
    <x:row r="7121" ht="21" customHeight="1">
      <x:c r="A7121" s="24" t="n">
        <x:v>46296.854166666664</x:v>
      </x:c>
      <x:c r="B7121" s="6" t="n">
        <x:v>0.34979999999999994</x:v>
      </x:c>
      <x:c r="C7121" s="6" t="n">
        <x:v>0.1862</x:v>
      </x:c>
      <x:c r="D7121" s="6" t="n">
        <x:f>B7121</x:f>
        <x:v>0.34979999999999994</x:v>
      </x:c>
      <x:c r="E7121" s="1" t="n">
        <x:v>1</x:v>
      </x:c>
      <x:c r="F7121" s="1" t="str">
        <x:v>https://api.octopus.energy/v1/products/AGILE-24-10-01/electricity-tariffs/E-1R-AGILE-24-10-01-G/standard-unit-rates/</x:v>
      </x:c>
    </x:row>
    <x:row r="7122" ht="21" customHeight="1">
      <x:c r="A7122" s="24" t="n">
        <x:v>46296.875</x:v>
      </x:c>
      <x:c r="B7122" s="6" t="n">
        <x:v>0.3236</x:v>
      </x:c>
      <x:c r="C7122" s="6" t="n">
        <x:v>0.17420000000000002</x:v>
      </x:c>
      <x:c r="D7122" s="6" t="n">
        <x:f>B7122</x:f>
        <x:v>0.3236</x:v>
      </x:c>
      <x:c r="E7122" s="1" t="n">
        <x:v>1</x:v>
      </x:c>
      <x:c r="F7122" s="1" t="str">
        <x:v>https://api.octopus.energy/v1/products/AGILE-24-10-01/electricity-tariffs/E-1R-AGILE-24-10-01-G/standard-unit-rates/</x:v>
      </x:c>
    </x:row>
    <x:row r="7123" ht="21" customHeight="1">
      <x:c r="A7123" s="24" t="n">
        <x:v>46296.895833333336</x:v>
      </x:c>
      <x:c r="B7123" s="6" t="n">
        <x:v>0.301</x:v>
      </x:c>
      <x:c r="C7123" s="6" t="n">
        <x:v>0.16390000000000002</x:v>
      </x:c>
      <x:c r="D7123" s="6" t="n">
        <x:f>B7123</x:f>
        <x:v>0.301</x:v>
      </x:c>
      <x:c r="E7123" s="1" t="n">
        <x:v>1</x:v>
      </x:c>
      <x:c r="F7123" s="1" t="str">
        <x:v>https://api.octopus.energy/v1/products/AGILE-24-10-01/electricity-tariffs/E-1R-AGILE-24-10-01-G/standard-unit-rates/</x:v>
      </x:c>
    </x:row>
    <x:row r="7124" ht="21" customHeight="1">
      <x:c r="A7124" s="24" t="n">
        <x:v>46296.916666666664</x:v>
      </x:c>
      <x:c r="B7124" s="6" t="n">
        <x:v>0.2841</x:v>
      </x:c>
      <x:c r="C7124" s="6" t="n">
        <x:v>0.1562</x:v>
      </x:c>
      <x:c r="D7124" s="6" t="n">
        <x:f>B7124</x:f>
        <x:v>0.2841</x:v>
      </x:c>
      <x:c r="E7124" s="1" t="n">
        <x:v>1</x:v>
      </x:c>
      <x:c r="F7124" s="1" t="str">
        <x:v>https://api.octopus.energy/v1/products/AGILE-24-10-01/electricity-tariffs/E-1R-AGILE-24-10-01-G/standard-unit-rates/</x:v>
      </x:c>
    </x:row>
    <x:row r="7125" ht="21" customHeight="1">
      <x:c r="A7125" s="24" t="n">
        <x:v>46296.9375</x:v>
      </x:c>
      <x:c r="B7125" s="6" t="n">
        <x:v>0.247</x:v>
      </x:c>
      <x:c r="C7125" s="6" t="n">
        <x:v>0.1392</x:v>
      </x:c>
      <x:c r="D7125" s="6" t="n">
        <x:f>B7125</x:f>
        <x:v>0.247</x:v>
      </x:c>
      <x:c r="E7125" s="1" t="n">
        <x:v>1</x:v>
      </x:c>
      <x:c r="F7125" s="1" t="str">
        <x:v>https://api.octopus.energy/v1/products/AGILE-24-10-01/electricity-tariffs/E-1R-AGILE-24-10-01-G/standard-unit-rates/</x:v>
      </x:c>
    </x:row>
    <x:row r="7126" ht="21" customHeight="1">
      <x:c r="A7126" s="24" t="n">
        <x:v>46297</x:v>
      </x:c>
      <x:c r="B7126" s="6" t="n">
        <x:v>0.2879</x:v>
      </x:c>
      <x:c r="C7126" s="6" t="n">
        <x:v>0.15789999999999998</x:v>
      </x:c>
      <x:c r="D7126" s="6" t="n">
        <x:f>B7126</x:f>
        <x:v>0.2879</x:v>
      </x:c>
      <x:c r="E7126" s="1" t="n">
        <x:v>1</x:v>
      </x:c>
      <x:c r="F7126" s="1" t="str">
        <x:v>https://api.octopus.energy/v1/products/AGILE-24-10-01/electricity-tariffs/E-1R-AGILE-24-10-01-G/standard-unit-rates/</x:v>
      </x:c>
    </x:row>
    <x:row r="7127" ht="21" customHeight="1">
      <x:c r="A7127" s="24" t="n">
        <x:v>46296.979166666664</x:v>
      </x:c>
      <x:c r="B7127" s="6" t="n">
        <x:v>0.2837</x:v>
      </x:c>
      <x:c r="C7127" s="6" t="n">
        <x:v>0.156</x:v>
      </x:c>
      <x:c r="D7127" s="6" t="n">
        <x:f>B7127</x:f>
        <x:v>0.2837</x:v>
      </x:c>
      <x:c r="E7127" s="1" t="n">
        <x:v>1</x:v>
      </x:c>
      <x:c r="F7127" s="1" t="str">
        <x:v>https://api.octopus.energy/v1/products/AGILE-24-10-01/electricity-tariffs/E-1R-AGILE-24-10-01-G/standard-unit-rates/</x:v>
      </x:c>
    </x:row>
    <x:row r="7128" ht="21" customHeight="1">
      <x:c r="A7128" s="24" t="n">
        <x:v>46297</x:v>
      </x:c>
      <x:c r="B7128" s="6" t="n">
        <x:v>0.2756</x:v>
      </x:c>
      <x:c r="C7128" s="6" t="n">
        <x:v>0.1523</x:v>
      </x:c>
      <x:c r="D7128" s="6" t="n">
        <x:f>B7128</x:f>
        <x:v>0.2756</x:v>
      </x:c>
      <x:c r="E7128" s="1" t="n">
        <x:v>1</x:v>
      </x:c>
      <x:c r="F7128" s="1" t="str">
        <x:v>https://api.octopus.energy/v1/products/AGILE-24-10-01/electricity-tariffs/E-1R-AGILE-24-10-01-G/standard-unit-rates/</x:v>
      </x:c>
    </x:row>
    <x:row r="7129" ht="21" customHeight="1">
      <x:c r="A7129" s="24" t="n">
        <x:v>46297.020833333336</x:v>
      </x:c>
      <x:c r="B7129" s="6" t="n">
        <x:v>0.2758</x:v>
      </x:c>
      <x:c r="C7129" s="6" t="n">
        <x:v>0.1523</x:v>
      </x:c>
      <x:c r="D7129" s="6" t="n">
        <x:f>B7129</x:f>
        <x:v>0.2758</x:v>
      </x:c>
      <x:c r="E7129" s="1" t="n">
        <x:v>1</x:v>
      </x:c>
      <x:c r="F7129" s="1" t="str">
        <x:v>https://api.octopus.energy/v1/products/AGILE-24-10-01/electricity-tariffs/E-1R-AGILE-24-10-01-G/standard-unit-rates/</x:v>
      </x:c>
    </x:row>
    <x:row r="7130" ht="21" customHeight="1">
      <x:c r="A7130" s="24" t="n">
        <x:v>46297.041666666664</x:v>
      </x:c>
      <x:c r="B7130" s="6" t="n">
        <x:v>0.2782</x:v>
      </x:c>
      <x:c r="C7130" s="6" t="n">
        <x:v>0.1535</x:v>
      </x:c>
      <x:c r="D7130" s="6" t="n">
        <x:f>B7130</x:f>
        <x:v>0.2782</x:v>
      </x:c>
      <x:c r="E7130" s="1" t="n">
        <x:v>1</x:v>
      </x:c>
      <x:c r="F7130" s="1" t="str">
        <x:v>https://api.octopus.energy/v1/products/AGILE-24-10-01/electricity-tariffs/E-1R-AGILE-24-10-01-G/standard-unit-rates/</x:v>
      </x:c>
    </x:row>
    <x:row r="7131" ht="21" customHeight="1">
      <x:c r="A7131" s="24" t="n">
        <x:v>46297.0625</x:v>
      </x:c>
      <x:c r="B7131" s="6" t="n">
        <x:v>0.2732</x:v>
      </x:c>
      <x:c r="C7131" s="6" t="n">
        <x:v>0.1512</x:v>
      </x:c>
      <x:c r="D7131" s="6" t="n">
        <x:f>B7131</x:f>
        <x:v>0.2732</x:v>
      </x:c>
      <x:c r="E7131" s="1" t="n">
        <x:v>1</x:v>
      </x:c>
      <x:c r="F7131" s="1" t="str">
        <x:v>https://api.octopus.energy/v1/products/AGILE-24-10-01/electricity-tariffs/E-1R-AGILE-24-10-01-G/standard-unit-rates/</x:v>
      </x:c>
    </x:row>
    <x:row r="7132" ht="21" customHeight="1">
      <x:c r="A7132" s="24" t="n">
        <x:v>46297.083333333336</x:v>
      </x:c>
      <x:c r="B7132" s="6" t="n">
        <x:v>0.2774</x:v>
      </x:c>
      <x:c r="C7132" s="6" t="n">
        <x:v>0.1531</x:v>
      </x:c>
      <x:c r="D7132" s="6" t="n">
        <x:f>B7132</x:f>
        <x:v>0.2774</x:v>
      </x:c>
      <x:c r="E7132" s="1" t="n">
        <x:v>1</x:v>
      </x:c>
      <x:c r="F7132" s="1" t="str">
        <x:v>https://api.octopus.energy/v1/products/AGILE-24-10-01/electricity-tariffs/E-1R-AGILE-24-10-01-G/standard-unit-rates/</x:v>
      </x:c>
    </x:row>
    <x:row r="7133" ht="21" customHeight="1">
      <x:c r="A7133" s="24" t="n">
        <x:v>46297.104166666664</x:v>
      </x:c>
      <x:c r="B7133" s="6" t="n">
        <x:v>0.27399999999999997</x:v>
      </x:c>
      <x:c r="C7133" s="6" t="n">
        <x:v>0.1515</x:v>
      </x:c>
      <x:c r="D7133" s="6" t="n">
        <x:f>B7133</x:f>
        <x:v>0.27399999999999997</x:v>
      </x:c>
      <x:c r="E7133" s="1" t="n">
        <x:v>1</x:v>
      </x:c>
      <x:c r="F7133" s="1" t="str">
        <x:v>https://api.octopus.energy/v1/products/AGILE-24-10-01/electricity-tariffs/E-1R-AGILE-24-10-01-G/standard-unit-rates/</x:v>
      </x:c>
    </x:row>
    <x:row r="7134" ht="21" customHeight="1">
      <x:c r="A7134" s="24" t="n">
        <x:v>46297.125</x:v>
      </x:c>
      <x:c r="B7134" s="6" t="n">
        <x:v>0.27949999999999997</x:v>
      </x:c>
      <x:c r="C7134" s="6" t="n">
        <x:v>0.154</x:v>
      </x:c>
      <x:c r="D7134" s="6" t="n">
        <x:f>B7134</x:f>
        <x:v>0.27949999999999997</x:v>
      </x:c>
      <x:c r="E7134" s="1" t="n">
        <x:v>1</x:v>
      </x:c>
      <x:c r="F7134" s="1" t="str">
        <x:v>https://api.octopus.energy/v1/products/AGILE-24-10-01/electricity-tariffs/E-1R-AGILE-24-10-01-G/standard-unit-rates/</x:v>
      </x:c>
    </x:row>
    <x:row r="7135" ht="21" customHeight="1">
      <x:c r="A7135" s="24" t="n">
        <x:v>46297.145833333336</x:v>
      </x:c>
      <x:c r="B7135" s="6" t="n">
        <x:v>0.2727</x:v>
      </x:c>
      <x:c r="C7135" s="6" t="n">
        <x:v>0.1509</x:v>
      </x:c>
      <x:c r="D7135" s="6" t="n">
        <x:f>B7135</x:f>
        <x:v>0.2727</x:v>
      </x:c>
      <x:c r="E7135" s="1" t="n">
        <x:v>1</x:v>
      </x:c>
      <x:c r="F7135" s="1" t="str">
        <x:v>https://api.octopus.energy/v1/products/AGILE-24-10-01/electricity-tariffs/E-1R-AGILE-24-10-01-G/standard-unit-rates/</x:v>
      </x:c>
    </x:row>
    <x:row r="7136" ht="21" customHeight="1">
      <x:c r="A7136" s="24" t="n">
        <x:v>46297.166666666664</x:v>
      </x:c>
      <x:c r="B7136" s="6" t="n">
        <x:v>0.2864</x:v>
      </x:c>
      <x:c r="C7136" s="6" t="n">
        <x:v>0.1572</x:v>
      </x:c>
      <x:c r="D7136" s="6" t="n">
        <x:f>B7136</x:f>
        <x:v>0.2864</x:v>
      </x:c>
      <x:c r="E7136" s="1" t="n">
        <x:v>1</x:v>
      </x:c>
      <x:c r="F7136" s="1" t="str">
        <x:v>https://api.octopus.energy/v1/products/AGILE-24-10-01/electricity-tariffs/E-1R-AGILE-24-10-01-G/standard-unit-rates/</x:v>
      </x:c>
    </x:row>
    <x:row r="7137" ht="21" customHeight="1">
      <x:c r="A7137" s="24" t="n">
        <x:v>46297.1875</x:v>
      </x:c>
      <x:c r="B7137" s="6" t="n">
        <x:v>0.2899</x:v>
      </x:c>
      <x:c r="C7137" s="6" t="n">
        <x:v>0.1588</x:v>
      </x:c>
      <x:c r="D7137" s="6" t="n">
        <x:f>B7137</x:f>
        <x:v>0.2899</x:v>
      </x:c>
      <x:c r="E7137" s="1" t="n">
        <x:v>1</x:v>
      </x:c>
      <x:c r="F7137" s="1" t="str">
        <x:v>https://api.octopus.energy/v1/products/AGILE-24-10-01/electricity-tariffs/E-1R-AGILE-24-10-01-G/standard-unit-rates/</x:v>
      </x:c>
    </x:row>
    <x:row r="7138" ht="21" customHeight="1">
      <x:c r="A7138" s="24" t="n">
        <x:v>46297.208333333336</x:v>
      </x:c>
      <x:c r="B7138" s="6" t="n">
        <x:v>0.2763</x:v>
      </x:c>
      <x:c r="C7138" s="6" t="n">
        <x:v>0.15259999999999999</x:v>
      </x:c>
      <x:c r="D7138" s="6" t="n">
        <x:f>B7138</x:f>
        <x:v>0.2763</x:v>
      </x:c>
      <x:c r="E7138" s="1" t="n">
        <x:v>1</x:v>
      </x:c>
      <x:c r="F7138" s="1" t="str">
        <x:v>https://api.octopus.energy/v1/products/AGILE-24-10-01/electricity-tariffs/E-1R-AGILE-24-10-01-G/standard-unit-rates/</x:v>
      </x:c>
    </x:row>
    <x:row r="7139" ht="21" customHeight="1">
      <x:c r="A7139" s="24" t="n">
        <x:v>46297.229166666664</x:v>
      </x:c>
      <x:c r="B7139" s="6" t="n">
        <x:v>0.2753</x:v>
      </x:c>
      <x:c r="C7139" s="6" t="n">
        <x:v>0.1521</x:v>
      </x:c>
      <x:c r="D7139" s="6" t="n">
        <x:f>B7139</x:f>
        <x:v>0.2753</x:v>
      </x:c>
      <x:c r="E7139" s="1" t="n">
        <x:v>1</x:v>
      </x:c>
      <x:c r="F7139" s="1" t="str">
        <x:v>https://api.octopus.energy/v1/products/AGILE-24-10-01/electricity-tariffs/E-1R-AGILE-24-10-01-G/standard-unit-rates/</x:v>
      </x:c>
    </x:row>
    <x:row r="7140" ht="21" customHeight="1">
      <x:c r="A7140" s="24" t="n">
        <x:v>46297.25</x:v>
      </x:c>
      <x:c r="B7140" s="6" t="n">
        <x:v>0.33049999999999996</x:v>
      </x:c>
      <x:c r="C7140" s="6" t="n">
        <x:v>0.17739999999999997</x:v>
      </x:c>
      <x:c r="D7140" s="6" t="n">
        <x:f>B7140</x:f>
        <x:v>0.33049999999999996</x:v>
      </x:c>
      <x:c r="E7140" s="1" t="n">
        <x:v>1</x:v>
      </x:c>
      <x:c r="F7140" s="1" t="str">
        <x:v>https://api.octopus.energy/v1/products/AGILE-24-10-01/electricity-tariffs/E-1R-AGILE-24-10-01-G/standard-unit-rates/</x:v>
      </x:c>
    </x:row>
    <x:row r="7141" ht="21" customHeight="1">
      <x:c r="A7141" s="24" t="n">
        <x:v>46297.270833333336</x:v>
      </x:c>
      <x:c r="B7141" s="6" t="n">
        <x:v>0.36560000000000004</x:v>
      </x:c>
      <x:c r="C7141" s="6" t="n">
        <x:v>0.1934</x:v>
      </x:c>
      <x:c r="D7141" s="6" t="n">
        <x:f>B7141</x:f>
        <x:v>0.36560000000000004</x:v>
      </x:c>
      <x:c r="E7141" s="1" t="n">
        <x:v>1</x:v>
      </x:c>
      <x:c r="F7141" s="1" t="str">
        <x:v>https://api.octopus.energy/v1/products/AGILE-24-10-01/electricity-tariffs/E-1R-AGILE-24-10-01-G/standard-unit-rates/</x:v>
      </x:c>
    </x:row>
    <x:row r="7142" ht="21" customHeight="1">
      <x:c r="A7142" s="24" t="n">
        <x:v>46297.291666666664</x:v>
      </x:c>
      <x:c r="B7142" s="6" t="n">
        <x:v>0.3644</x:v>
      </x:c>
      <x:c r="C7142" s="6" t="n">
        <x:v>0.1928</x:v>
      </x:c>
      <x:c r="D7142" s="6" t="n">
        <x:f>B7142</x:f>
        <x:v>0.3644</x:v>
      </x:c>
      <x:c r="E7142" s="1" t="n">
        <x:v>1</x:v>
      </x:c>
      <x:c r="F7142" s="1" t="str">
        <x:v>https://api.octopus.energy/v1/products/AGILE-24-10-01/electricity-tariffs/E-1R-AGILE-24-10-01-G/standard-unit-rates/</x:v>
      </x:c>
    </x:row>
    <x:row r="7143" ht="21" customHeight="1">
      <x:c r="A7143" s="24" t="n">
        <x:v>46297.3125</x:v>
      </x:c>
      <x:c r="B7143" s="6" t="n">
        <x:v>0.38880000000000003</x:v>
      </x:c>
      <x:c r="C7143" s="6" t="n">
        <x:v>0.204</x:v>
      </x:c>
      <x:c r="D7143" s="6" t="n">
        <x:f>B7143</x:f>
        <x:v>0.38880000000000003</x:v>
      </x:c>
      <x:c r="E7143" s="1" t="n">
        <x:v>1</x:v>
      </x:c>
      <x:c r="F7143" s="1" t="str">
        <x:v>https://api.octopus.energy/v1/products/AGILE-24-10-01/electricity-tariffs/E-1R-AGILE-24-10-01-G/standard-unit-rates/</x:v>
      </x:c>
    </x:row>
    <x:row r="7144" ht="21" customHeight="1">
      <x:c r="A7144" s="24" t="n">
        <x:v>46297.333333333336</x:v>
      </x:c>
      <x:c r="B7144" s="6" t="n">
        <x:v>0.36579999999999996</x:v>
      </x:c>
      <x:c r="C7144" s="6" t="n">
        <x:v>0.1935</x:v>
      </x:c>
      <x:c r="D7144" s="6" t="n">
        <x:f>B7144</x:f>
        <x:v>0.36579999999999996</x:v>
      </x:c>
      <x:c r="E7144" s="1" t="n">
        <x:v>1</x:v>
      </x:c>
      <x:c r="F7144" s="1" t="str">
        <x:v>https://api.octopus.energy/v1/products/AGILE-24-10-01/electricity-tariffs/E-1R-AGILE-24-10-01-G/standard-unit-rates/</x:v>
      </x:c>
    </x:row>
    <x:row r="7145" ht="21" customHeight="1">
      <x:c r="A7145" s="24" t="n">
        <x:v>46297.354166666664</x:v>
      </x:c>
      <x:c r="B7145" s="6" t="n">
        <x:v>0.3565</x:v>
      </x:c>
      <x:c r="C7145" s="6" t="n">
        <x:v>0.1892</x:v>
      </x:c>
      <x:c r="D7145" s="6" t="n">
        <x:f>B7145</x:f>
        <x:v>0.3565</x:v>
      </x:c>
      <x:c r="E7145" s="1" t="n">
        <x:v>1</x:v>
      </x:c>
      <x:c r="F7145" s="1" t="str">
        <x:v>https://api.octopus.energy/v1/products/AGILE-24-10-01/electricity-tariffs/E-1R-AGILE-24-10-01-G/standard-unit-rates/</x:v>
      </x:c>
    </x:row>
    <x:row r="7146" ht="21" customHeight="1">
      <x:c r="A7146" s="24" t="n">
        <x:v>46297.375</x:v>
      </x:c>
      <x:c r="B7146" s="6" t="n">
        <x:v>0.3171</x:v>
      </x:c>
      <x:c r="C7146" s="6" t="n">
        <x:v>0.17120000000000002</x:v>
      </x:c>
      <x:c r="D7146" s="6" t="n">
        <x:f>B7146</x:f>
        <x:v>0.3171</x:v>
      </x:c>
      <x:c r="E7146" s="1" t="n">
        <x:v>1</x:v>
      </x:c>
      <x:c r="F7146" s="1" t="str">
        <x:v>https://api.octopus.energy/v1/products/AGILE-24-10-01/electricity-tariffs/E-1R-AGILE-24-10-01-G/standard-unit-rates/</x:v>
      </x:c>
    </x:row>
    <x:row r="7147" ht="21" customHeight="1">
      <x:c r="A7147" s="24" t="n">
        <x:v>46297.395833333336</x:v>
      </x:c>
      <x:c r="B7147" s="6" t="n">
        <x:v>0.3068</x:v>
      </x:c>
      <x:c r="C7147" s="6" t="n">
        <x:v>0.16649999999999998</x:v>
      </x:c>
      <x:c r="D7147" s="6" t="n">
        <x:f>B7147</x:f>
        <x:v>0.3068</x:v>
      </x:c>
      <x:c r="E7147" s="1" t="n">
        <x:v>1</x:v>
      </x:c>
      <x:c r="F7147" s="1" t="str">
        <x:v>https://api.octopus.energy/v1/products/AGILE-24-10-01/electricity-tariffs/E-1R-AGILE-24-10-01-G/standard-unit-rates/</x:v>
      </x:c>
    </x:row>
    <x:row r="7148" ht="21" customHeight="1">
      <x:c r="A7148" s="24" t="n">
        <x:v>46297.416666666664</x:v>
      </x:c>
      <x:c r="B7148" s="6" t="n">
        <x:v>0.29410000000000003</x:v>
      </x:c>
      <x:c r="C7148" s="6" t="n">
        <x:v>0.1607</x:v>
      </x:c>
      <x:c r="D7148" s="6" t="n">
        <x:f>B7148</x:f>
        <x:v>0.29410000000000003</x:v>
      </x:c>
      <x:c r="E7148" s="1" t="n">
        <x:v>1</x:v>
      </x:c>
      <x:c r="F7148" s="1" t="str">
        <x:v>https://api.octopus.energy/v1/products/AGILE-24-10-01/electricity-tariffs/E-1R-AGILE-24-10-01-G/standard-unit-rates/</x:v>
      </x:c>
    </x:row>
    <x:row r="7149" ht="21" customHeight="1">
      <x:c r="A7149" s="24" t="n">
        <x:v>46297.4375</x:v>
      </x:c>
      <x:c r="B7149" s="6" t="n">
        <x:v>0.2782</x:v>
      </x:c>
      <x:c r="C7149" s="6" t="n">
        <x:v>0.1535</x:v>
      </x:c>
      <x:c r="D7149" s="6" t="n">
        <x:f>B7149</x:f>
        <x:v>0.2782</x:v>
      </x:c>
      <x:c r="E7149" s="1" t="n">
        <x:v>1</x:v>
      </x:c>
      <x:c r="F7149" s="1" t="str">
        <x:v>https://api.octopus.energy/v1/products/AGILE-24-10-01/electricity-tariffs/E-1R-AGILE-24-10-01-G/standard-unit-rates/</x:v>
      </x:c>
    </x:row>
    <x:row r="7150" ht="21" customHeight="1">
      <x:c r="A7150" s="24" t="n">
        <x:v>46297.458333333336</x:v>
      </x:c>
      <x:c r="B7150" s="6" t="n">
        <x:v>0.2634</x:v>
      </x:c>
      <x:c r="C7150" s="6" t="n">
        <x:v>0.1467</x:v>
      </x:c>
      <x:c r="D7150" s="6" t="n">
        <x:f>B7150</x:f>
        <x:v>0.2634</x:v>
      </x:c>
      <x:c r="E7150" s="1" t="n">
        <x:v>1</x:v>
      </x:c>
      <x:c r="F7150" s="1" t="str">
        <x:v>https://api.octopus.energy/v1/products/AGILE-24-10-01/electricity-tariffs/E-1R-AGILE-24-10-01-G/standard-unit-rates/</x:v>
      </x:c>
    </x:row>
    <x:row r="7151" ht="21" customHeight="1">
      <x:c r="A7151" s="24" t="n">
        <x:v>46297.479166666664</x:v>
      </x:c>
      <x:c r="B7151" s="6" t="n">
        <x:v>0.24480000000000002</x:v>
      </x:c>
      <x:c r="C7151" s="6" t="n">
        <x:v>0.1382</x:v>
      </x:c>
      <x:c r="D7151" s="6" t="n">
        <x:f>B7151</x:f>
        <x:v>0.24480000000000002</x:v>
      </x:c>
      <x:c r="E7151" s="1" t="n">
        <x:v>1</x:v>
      </x:c>
      <x:c r="F7151" s="1" t="str">
        <x:v>https://api.octopus.energy/v1/products/AGILE-24-10-01/electricity-tariffs/E-1R-AGILE-24-10-01-G/standard-unit-rates/</x:v>
      </x:c>
    </x:row>
    <x:row r="7152" ht="21" customHeight="1">
      <x:c r="A7152" s="24" t="n">
        <x:v>46297.5</x:v>
      </x:c>
      <x:c r="B7152" s="6" t="n">
        <x:v>0.2396</x:v>
      </x:c>
      <x:c r="C7152" s="6" t="n">
        <x:v>0.1358</x:v>
      </x:c>
      <x:c r="D7152" s="6" t="n">
        <x:f>B7152</x:f>
        <x:v>0.2396</x:v>
      </x:c>
      <x:c r="E7152" s="1" t="n">
        <x:v>1</x:v>
      </x:c>
      <x:c r="F7152" s="1" t="str">
        <x:v>https://api.octopus.energy/v1/products/AGILE-24-10-01/electricity-tariffs/E-1R-AGILE-24-10-01-G/standard-unit-rates/</x:v>
      </x:c>
    </x:row>
    <x:row r="7153" ht="21" customHeight="1">
      <x:c r="A7153" s="24" t="n">
        <x:v>46297.520833333336</x:v>
      </x:c>
      <x:c r="B7153" s="6" t="n">
        <x:v>0.2345</x:v>
      </x:c>
      <x:c r="C7153" s="6" t="n">
        <x:v>0.1335</x:v>
      </x:c>
      <x:c r="D7153" s="6" t="n">
        <x:f>B7153</x:f>
        <x:v>0.2345</x:v>
      </x:c>
      <x:c r="E7153" s="1" t="n">
        <x:v>1</x:v>
      </x:c>
      <x:c r="F7153" s="1" t="str">
        <x:v>https://api.octopus.energy/v1/products/AGILE-24-10-01/electricity-tariffs/E-1R-AGILE-24-10-01-G/standard-unit-rates/</x:v>
      </x:c>
    </x:row>
    <x:row r="7154" ht="21" customHeight="1">
      <x:c r="A7154" s="24" t="n">
        <x:v>46297.541666666664</x:v>
      </x:c>
      <x:c r="B7154" s="6" t="n">
        <x:v>0.23329999999999998</x:v>
      </x:c>
      <x:c r="C7154" s="6" t="n">
        <x:v>0.1329</x:v>
      </x:c>
      <x:c r="D7154" s="6" t="n">
        <x:f>B7154</x:f>
        <x:v>0.23329999999999998</x:v>
      </x:c>
      <x:c r="E7154" s="1" t="n">
        <x:v>1</x:v>
      </x:c>
      <x:c r="F7154" s="1" t="str">
        <x:v>https://api.octopus.energy/v1/products/AGILE-24-10-01/electricity-tariffs/E-1R-AGILE-24-10-01-G/standard-unit-rates/</x:v>
      </x:c>
    </x:row>
    <x:row r="7155" ht="21" customHeight="1">
      <x:c r="A7155" s="24" t="n">
        <x:v>46297.5625</x:v>
      </x:c>
      <x:c r="B7155" s="6" t="n">
        <x:v>0.226</x:v>
      </x:c>
      <x:c r="C7155" s="6" t="n">
        <x:v>0.12960000000000002</x:v>
      </x:c>
      <x:c r="D7155" s="6" t="n">
        <x:f>B7155</x:f>
        <x:v>0.226</x:v>
      </x:c>
      <x:c r="E7155" s="1" t="n">
        <x:v>1</x:v>
      </x:c>
      <x:c r="F7155" s="1" t="str">
        <x:v>https://api.octopus.energy/v1/products/AGILE-24-10-01/electricity-tariffs/E-1R-AGILE-24-10-01-G/standard-unit-rates/</x:v>
      </x:c>
    </x:row>
    <x:row r="7156" ht="21" customHeight="1">
      <x:c r="A7156" s="24" t="n">
        <x:v>46297.583333333336</x:v>
      </x:c>
      <x:c r="B7156" s="6" t="n">
        <x:v>0.2354</x:v>
      </x:c>
      <x:c r="C7156" s="6" t="n">
        <x:v>0.13390000000000002</x:v>
      </x:c>
      <x:c r="D7156" s="6" t="n">
        <x:f>B7156</x:f>
        <x:v>0.2354</x:v>
      </x:c>
      <x:c r="E7156" s="1" t="n">
        <x:v>1</x:v>
      </x:c>
      <x:c r="F7156" s="1" t="str">
        <x:v>https://api.octopus.energy/v1/products/AGILE-24-10-01/electricity-tariffs/E-1R-AGILE-24-10-01-G/standard-unit-rates/</x:v>
      </x:c>
    </x:row>
    <x:row r="7157" ht="21" customHeight="1">
      <x:c r="A7157" s="24" t="n">
        <x:v>46297.604166666664</x:v>
      </x:c>
      <x:c r="B7157" s="6" t="n">
        <x:v>0.231</x:v>
      </x:c>
      <x:c r="C7157" s="6" t="n">
        <x:v>0.1319</x:v>
      </x:c>
      <x:c r="D7157" s="6" t="n">
        <x:f>B7157</x:f>
        <x:v>0.231</x:v>
      </x:c>
      <x:c r="E7157" s="1" t="n">
        <x:v>1</x:v>
      </x:c>
      <x:c r="F7157" s="1" t="str">
        <x:v>https://api.octopus.energy/v1/products/AGILE-24-10-01/electricity-tariffs/E-1R-AGILE-24-10-01-G/standard-unit-rates/</x:v>
      </x:c>
    </x:row>
    <x:row r="7158" ht="21" customHeight="1">
      <x:c r="A7158" s="24" t="n">
        <x:v>46297.625</x:v>
      </x:c>
      <x:c r="B7158" s="6" t="n">
        <x:v>0.2481</x:v>
      </x:c>
      <x:c r="C7158" s="6" t="n">
        <x:v>0.13970000000000002</x:v>
      </x:c>
      <x:c r="D7158" s="6" t="n">
        <x:f>B7158</x:f>
        <x:v>0.2481</x:v>
      </x:c>
      <x:c r="E7158" s="1" t="n">
        <x:v>1</x:v>
      </x:c>
      <x:c r="F7158" s="1" t="str">
        <x:v>https://api.octopus.energy/v1/products/AGILE-24-10-01/electricity-tariffs/E-1R-AGILE-24-10-01-G/standard-unit-rates/</x:v>
      </x:c>
    </x:row>
    <x:row r="7159" ht="21" customHeight="1">
      <x:c r="A7159" s="24" t="n">
        <x:v>46297.645833333336</x:v>
      </x:c>
      <x:c r="B7159" s="6" t="n">
        <x:v>0.2602</x:v>
      </x:c>
      <x:c r="C7159" s="6" t="n">
        <x:v>0.1452</x:v>
      </x:c>
      <x:c r="D7159" s="6" t="n">
        <x:f>B7159</x:f>
        <x:v>0.2602</x:v>
      </x:c>
      <x:c r="E7159" s="1" t="n">
        <x:v>1</x:v>
      </x:c>
      <x:c r="F7159" s="1" t="str">
        <x:v>https://api.octopus.energy/v1/products/AGILE-24-10-01/electricity-tariffs/E-1R-AGILE-24-10-01-G/standard-unit-rates/</x:v>
      </x:c>
    </x:row>
    <x:row r="7160" ht="21" customHeight="1">
      <x:c r="A7160" s="24" t="n">
        <x:v>46297.666666666664</x:v>
      </x:c>
      <x:c r="B7160" s="6" t="n">
        <x:v>0.4077</x:v>
      </x:c>
      <x:c r="C7160" s="6" t="n">
        <x:v>0.2167</x:v>
      </x:c>
      <x:c r="D7160" s="6" t="n">
        <x:f>B7160</x:f>
        <x:v>0.4077</x:v>
      </x:c>
      <x:c r="E7160" s="1" t="n">
        <x:v>1</x:v>
      </x:c>
      <x:c r="F7160" s="1" t="str">
        <x:v>https://api.octopus.energy/v1/products/AGILE-24-10-01/electricity-tariffs/E-1R-AGILE-24-10-01-G/standard-unit-rates/</x:v>
      </x:c>
    </x:row>
    <x:row r="7161" ht="21" customHeight="1">
      <x:c r="A7161" s="24" t="n">
        <x:v>46297.6875</x:v>
      </x:c>
      <x:c r="B7161" s="6" t="n">
        <x:v>0.43670000000000003</x:v>
      </x:c>
      <x:c r="C7161" s="6" t="n">
        <x:v>0.2299</x:v>
      </x:c>
      <x:c r="D7161" s="6" t="n">
        <x:f>B7161</x:f>
        <x:v>0.43670000000000003</x:v>
      </x:c>
      <x:c r="E7161" s="1" t="n">
        <x:v>1</x:v>
      </x:c>
      <x:c r="F7161" s="1" t="str">
        <x:v>https://api.octopus.energy/v1/products/AGILE-24-10-01/electricity-tariffs/E-1R-AGILE-24-10-01-G/standard-unit-rates/</x:v>
      </x:c>
    </x:row>
    <x:row r="7162" ht="21" customHeight="1">
      <x:c r="A7162" s="24" t="n">
        <x:v>46297.708333333336</x:v>
      </x:c>
      <x:c r="B7162" s="6" t="n">
        <x:v>0.45549999999999996</x:v>
      </x:c>
      <x:c r="C7162" s="6" t="n">
        <x:v>0.23850000000000002</x:v>
      </x:c>
      <x:c r="D7162" s="6" t="n">
        <x:f>B7162</x:f>
        <x:v>0.45549999999999996</x:v>
      </x:c>
      <x:c r="E7162" s="1" t="n">
        <x:v>1</x:v>
      </x:c>
      <x:c r="F7162" s="1" t="str">
        <x:v>https://api.octopus.energy/v1/products/AGILE-24-10-01/electricity-tariffs/E-1R-AGILE-24-10-01-G/standard-unit-rates/</x:v>
      </x:c>
    </x:row>
    <x:row r="7163" ht="21" customHeight="1">
      <x:c r="A7163" s="24" t="n">
        <x:v>46297.729166666664</x:v>
      </x:c>
      <x:c r="B7163" s="6" t="n">
        <x:v>0.47090000000000004</x:v>
      </x:c>
      <x:c r="C7163" s="6" t="n">
        <x:v>0.24559999999999998</x:v>
      </x:c>
      <x:c r="D7163" s="6" t="n">
        <x:f>B7163</x:f>
        <x:v>0.47090000000000004</x:v>
      </x:c>
      <x:c r="E7163" s="1" t="n">
        <x:v>1</x:v>
      </x:c>
      <x:c r="F7163" s="1" t="str">
        <x:v>https://api.octopus.energy/v1/products/AGILE-24-10-01/electricity-tariffs/E-1R-AGILE-24-10-01-G/standard-unit-rates/</x:v>
      </x:c>
    </x:row>
    <x:row r="7164" ht="21" customHeight="1">
      <x:c r="A7164" s="24" t="n">
        <x:v>46297.75</x:v>
      </x:c>
      <x:c r="B7164" s="6" t="n">
        <x:v>0.4717</x:v>
      </x:c>
      <x:c r="C7164" s="6" t="n">
        <x:v>0.24600000000000002</x:v>
      </x:c>
      <x:c r="D7164" s="6" t="n">
        <x:f>B7164</x:f>
        <x:v>0.4717</x:v>
      </x:c>
      <x:c r="E7164" s="1" t="n">
        <x:v>1</x:v>
      </x:c>
      <x:c r="F7164" s="1" t="str">
        <x:v>https://api.octopus.energy/v1/products/AGILE-24-10-01/electricity-tariffs/E-1R-AGILE-24-10-01-G/standard-unit-rates/</x:v>
      </x:c>
    </x:row>
    <x:row r="7165" ht="21" customHeight="1">
      <x:c r="A7165" s="24" t="n">
        <x:v>46297.770833333336</x:v>
      </x:c>
      <x:c r="B7165" s="6" t="n">
        <x:v>0.4768</x:v>
      </x:c>
      <x:c r="C7165" s="6" t="n">
        <x:v>0.2483</x:v>
      </x:c>
      <x:c r="D7165" s="6" t="n">
        <x:f>B7165</x:f>
        <x:v>0.4768</x:v>
      </x:c>
      <x:c r="E7165" s="1" t="n">
        <x:v>1</x:v>
      </x:c>
      <x:c r="F7165" s="1" t="str">
        <x:v>https://api.octopus.energy/v1/products/AGILE-24-10-01/electricity-tariffs/E-1R-AGILE-24-10-01-G/standard-unit-rates/</x:v>
      </x:c>
    </x:row>
    <x:row r="7166" ht="21" customHeight="1">
      <x:c r="A7166" s="24" t="n">
        <x:v>46297.791666666664</x:v>
      </x:c>
      <x:c r="B7166" s="6" t="n">
        <x:v>0.34590000000000004</x:v>
      </x:c>
      <x:c r="C7166" s="6" t="n">
        <x:v>0.1844</x:v>
      </x:c>
      <x:c r="D7166" s="6" t="n">
        <x:f>B7166</x:f>
        <x:v>0.34590000000000004</x:v>
      </x:c>
      <x:c r="E7166" s="1" t="n">
        <x:v>1</x:v>
      </x:c>
      <x:c r="F7166" s="1" t="str">
        <x:v>https://api.octopus.energy/v1/products/AGILE-24-10-01/electricity-tariffs/E-1R-AGILE-24-10-01-G/standard-unit-rates/</x:v>
      </x:c>
    </x:row>
    <x:row r="7167" ht="21" customHeight="1">
      <x:c r="A7167" s="24" t="n">
        <x:v>46297.8125</x:v>
      </x:c>
      <x:c r="B7167" s="6" t="n">
        <x:v>0.3446</x:v>
      </x:c>
      <x:c r="C7167" s="6" t="n">
        <x:v>0.1838</x:v>
      </x:c>
      <x:c r="D7167" s="6" t="n">
        <x:f>B7167</x:f>
        <x:v>0.3446</x:v>
      </x:c>
      <x:c r="E7167" s="1" t="n">
        <x:v>1</x:v>
      </x:c>
      <x:c r="F7167" s="1" t="str">
        <x:v>https://api.octopus.energy/v1/products/AGILE-24-10-01/electricity-tariffs/E-1R-AGILE-24-10-01-G/standard-unit-rates/</x:v>
      </x:c>
    </x:row>
    <x:row r="7168" ht="21" customHeight="1">
      <x:c r="A7168" s="24" t="n">
        <x:v>46297.833333333336</x:v>
      </x:c>
      <x:c r="B7168" s="6" t="n">
        <x:v>0.3446</x:v>
      </x:c>
      <x:c r="C7168" s="6" t="n">
        <x:v>0.1838</x:v>
      </x:c>
      <x:c r="D7168" s="6" t="n">
        <x:f>B7168</x:f>
        <x:v>0.3446</x:v>
      </x:c>
      <x:c r="E7168" s="1" t="n">
        <x:v>1</x:v>
      </x:c>
      <x:c r="F7168" s="1" t="str">
        <x:v>https://api.octopus.energy/v1/products/AGILE-24-10-01/electricity-tariffs/E-1R-AGILE-24-10-01-G/standard-unit-rates/</x:v>
      </x:c>
    </x:row>
    <x:row r="7169" ht="21" customHeight="1">
      <x:c r="A7169" s="24" t="n">
        <x:v>46297.854166666664</x:v>
      </x:c>
      <x:c r="B7169" s="6" t="n">
        <x:v>0.3265</x:v>
      </x:c>
      <x:c r="C7169" s="6" t="n">
        <x:v>0.17550000000000002</x:v>
      </x:c>
      <x:c r="D7169" s="6" t="n">
        <x:f>B7169</x:f>
        <x:v>0.3265</x:v>
      </x:c>
      <x:c r="E7169" s="1" t="n">
        <x:v>1</x:v>
      </x:c>
      <x:c r="F7169" s="1" t="str">
        <x:v>https://api.octopus.energy/v1/products/AGILE-24-10-01/electricity-tariffs/E-1R-AGILE-24-10-01-G/standard-unit-rates/</x:v>
      </x:c>
    </x:row>
    <x:row r="7170" ht="21" customHeight="1">
      <x:c r="A7170" s="24" t="n">
        <x:v>46297.875</x:v>
      </x:c>
      <x:c r="B7170" s="6" t="n">
        <x:v>0.3309</x:v>
      </x:c>
      <x:c r="C7170" s="6" t="n">
        <x:v>0.1775</x:v>
      </x:c>
      <x:c r="D7170" s="6" t="n">
        <x:f>B7170</x:f>
        <x:v>0.3309</x:v>
      </x:c>
      <x:c r="E7170" s="1" t="n">
        <x:v>1</x:v>
      </x:c>
      <x:c r="F7170" s="1" t="str">
        <x:v>https://api.octopus.energy/v1/products/AGILE-24-10-01/electricity-tariffs/E-1R-AGILE-24-10-01-G/standard-unit-rates/</x:v>
      </x:c>
    </x:row>
    <x:row r="7171" ht="21" customHeight="1">
      <x:c r="A7171" s="24" t="n">
        <x:v>46297.895833333336</x:v>
      </x:c>
      <x:c r="B7171" s="6" t="n">
        <x:v>0.3109</x:v>
      </x:c>
      <x:c r="C7171" s="6" t="n">
        <x:v>0.1684</x:v>
      </x:c>
      <x:c r="D7171" s="6" t="n">
        <x:f>B7171</x:f>
        <x:v>0.3109</x:v>
      </x:c>
      <x:c r="E7171" s="1" t="n">
        <x:v>1</x:v>
      </x:c>
      <x:c r="F7171" s="1" t="str">
        <x:v>https://api.octopus.energy/v1/products/AGILE-24-10-01/electricity-tariffs/E-1R-AGILE-24-10-01-G/standard-unit-rates/</x:v>
      </x:c>
    </x:row>
    <x:row r="7172" ht="21" customHeight="1">
      <x:c r="A7172" s="24" t="n">
        <x:v>46297.916666666664</x:v>
      </x:c>
      <x:c r="B7172" s="6" t="n">
        <x:v>0.2922</x:v>
      </x:c>
      <x:c r="C7172" s="6" t="n">
        <x:v>0.15990000000000001</x:v>
      </x:c>
      <x:c r="D7172" s="6" t="n">
        <x:f>B7172</x:f>
        <x:v>0.2922</x:v>
      </x:c>
      <x:c r="E7172" s="1" t="n">
        <x:v>1</x:v>
      </x:c>
      <x:c r="F7172" s="1" t="str">
        <x:v>https://api.octopus.energy/v1/products/AGILE-24-10-01/electricity-tariffs/E-1R-AGILE-24-10-01-G/standard-unit-rates/</x:v>
      </x:c>
    </x:row>
    <x:row r="7173" ht="21" customHeight="1">
      <x:c r="A7173" s="24" t="n">
        <x:v>46297.9375</x:v>
      </x:c>
      <x:c r="B7173" s="6" t="n">
        <x:v>0.2762</x:v>
      </x:c>
      <x:c r="C7173" s="6" t="n">
        <x:v>0.15259999999999999</x:v>
      </x:c>
      <x:c r="D7173" s="6" t="n">
        <x:f>B7173</x:f>
        <x:v>0.2762</x:v>
      </x:c>
      <x:c r="E7173" s="1" t="n">
        <x:v>1</x:v>
      </x:c>
      <x:c r="F7173" s="1" t="str">
        <x:v>https://api.octopus.energy/v1/products/AGILE-24-10-01/electricity-tariffs/E-1R-AGILE-24-10-01-G/standard-unit-rates/</x:v>
      </x:c>
    </x:row>
    <x:row r="7174" ht="21" customHeight="1">
      <x:c r="A7174" s="24" t="n">
        <x:v>46298</x:v>
      </x:c>
      <x:c r="B7174" s="6" t="n">
        <x:v>0.3224</x:v>
      </x:c>
      <x:c r="C7174" s="6" t="n">
        <x:v>0.17370000000000002</x:v>
      </x:c>
      <x:c r="D7174" s="6" t="n">
        <x:f>B7174</x:f>
        <x:v>0.3224</x:v>
      </x:c>
      <x:c r="E7174" s="1" t="n">
        <x:v>1</x:v>
      </x:c>
      <x:c r="F7174" s="1" t="str">
        <x:v>https://api.octopus.energy/v1/products/AGILE-24-10-01/electricity-tariffs/E-1R-AGILE-24-10-01-G/standard-unit-rates/</x:v>
      </x:c>
    </x:row>
    <x:row r="7175" ht="21" customHeight="1">
      <x:c r="A7175" s="24" t="n">
        <x:v>46297.979166666664</x:v>
      </x:c>
      <x:c r="B7175" s="6" t="n">
        <x:v>0.30260000000000004</x:v>
      </x:c>
      <x:c r="C7175" s="6" t="n">
        <x:v>0.1646</x:v>
      </x:c>
      <x:c r="D7175" s="6" t="n">
        <x:f>B7175</x:f>
        <x:v>0.30260000000000004</x:v>
      </x:c>
      <x:c r="E7175" s="1" t="n">
        <x:v>1</x:v>
      </x:c>
      <x:c r="F7175" s="1" t="str">
        <x:v>https://api.octopus.energy/v1/products/AGILE-24-10-01/electricity-tariffs/E-1R-AGILE-24-10-01-G/standard-unit-rates/</x:v>
      </x:c>
    </x:row>
    <x:row r="7176" ht="21" customHeight="1">
      <x:c r="A7176" s="24" t="n">
        <x:v>46298</x:v>
      </x:c>
      <x:c r="B7176" s="6" t="n">
        <x:v>0.2823</x:v>
      </x:c>
      <x:c r="C7176" s="6" t="n">
        <x:v>0.1553</x:v>
      </x:c>
      <x:c r="D7176" s="6" t="n">
        <x:f>B7176</x:f>
        <x:v>0.2823</x:v>
      </x:c>
      <x:c r="E7176" s="1" t="n">
        <x:v>1</x:v>
      </x:c>
      <x:c r="F7176" s="1" t="str">
        <x:v>https://api.octopus.energy/v1/products/AGILE-24-10-01/electricity-tariffs/E-1R-AGILE-24-10-01-G/standard-unit-rates/</x:v>
      </x:c>
    </x:row>
    <x:row r="7177" ht="21" customHeight="1">
      <x:c r="A7177" s="24" t="n">
        <x:v>46298.020833333336</x:v>
      </x:c>
      <x:c r="B7177" s="6" t="n">
        <x:v>0.2892</x:v>
      </x:c>
      <x:c r="C7177" s="6" t="n">
        <x:v>0.1585</x:v>
      </x:c>
      <x:c r="D7177" s="6" t="n">
        <x:f>B7177</x:f>
        <x:v>0.2892</x:v>
      </x:c>
      <x:c r="E7177" s="1" t="n">
        <x:v>1</x:v>
      </x:c>
      <x:c r="F7177" s="1" t="str">
        <x:v>https://api.octopus.energy/v1/products/AGILE-24-10-01/electricity-tariffs/E-1R-AGILE-24-10-01-G/standard-unit-rates/</x:v>
      </x:c>
    </x:row>
    <x:row r="7178" ht="21" customHeight="1">
      <x:c r="A7178" s="24" t="n">
        <x:v>46298.041666666664</x:v>
      </x:c>
      <x:c r="B7178" s="6" t="n">
        <x:v>0.2763</x:v>
      </x:c>
      <x:c r="C7178" s="6" t="n">
        <x:v>0.15259999999999999</x:v>
      </x:c>
      <x:c r="D7178" s="6" t="n">
        <x:f>B7178</x:f>
        <x:v>0.2763</x:v>
      </x:c>
      <x:c r="E7178" s="1" t="n">
        <x:v>1</x:v>
      </x:c>
      <x:c r="F7178" s="1" t="str">
        <x:v>https://api.octopus.energy/v1/products/AGILE-24-10-01/electricity-tariffs/E-1R-AGILE-24-10-01-G/standard-unit-rates/</x:v>
      </x:c>
    </x:row>
    <x:row r="7179" ht="21" customHeight="1">
      <x:c r="A7179" s="24" t="n">
        <x:v>46298.0625</x:v>
      </x:c>
      <x:c r="B7179" s="6" t="n">
        <x:v>0.2862</x:v>
      </x:c>
      <x:c r="C7179" s="6" t="n">
        <x:v>0.15710000000000002</x:v>
      </x:c>
      <x:c r="D7179" s="6" t="n">
        <x:f>B7179</x:f>
        <x:v>0.2862</x:v>
      </x:c>
      <x:c r="E7179" s="1" t="n">
        <x:v>1</x:v>
      </x:c>
      <x:c r="F7179" s="1" t="str">
        <x:v>https://api.octopus.energy/v1/products/AGILE-24-10-01/electricity-tariffs/E-1R-AGILE-24-10-01-G/standard-unit-rates/</x:v>
      </x:c>
    </x:row>
    <x:row r="7180" ht="21" customHeight="1">
      <x:c r="A7180" s="24" t="n">
        <x:v>46298.083333333336</x:v>
      </x:c>
      <x:c r="B7180" s="6" t="n">
        <x:v>0.2858</x:v>
      </x:c>
      <x:c r="C7180" s="6" t="n">
        <x:v>0.15689999999999998</x:v>
      </x:c>
      <x:c r="D7180" s="6" t="n">
        <x:f>B7180</x:f>
        <x:v>0.2858</x:v>
      </x:c>
      <x:c r="E7180" s="1" t="n">
        <x:v>1</x:v>
      </x:c>
      <x:c r="F7180" s="1" t="str">
        <x:v>https://api.octopus.energy/v1/products/AGILE-24-10-01/electricity-tariffs/E-1R-AGILE-24-10-01-G/standard-unit-rates/</x:v>
      </x:c>
    </x:row>
    <x:row r="7181" ht="21" customHeight="1">
      <x:c r="A7181" s="24" t="n">
        <x:v>46298.104166666664</x:v>
      </x:c>
      <x:c r="B7181" s="6" t="n">
        <x:v>0.2752</x:v>
      </x:c>
      <x:c r="C7181" s="6" t="n">
        <x:v>0.1521</x:v>
      </x:c>
      <x:c r="D7181" s="6" t="n">
        <x:f>B7181</x:f>
        <x:v>0.2752</x:v>
      </x:c>
      <x:c r="E7181" s="1" t="n">
        <x:v>1</x:v>
      </x:c>
      <x:c r="F7181" s="1" t="str">
        <x:v>https://api.octopus.energy/v1/products/AGILE-24-10-01/electricity-tariffs/E-1R-AGILE-24-10-01-G/standard-unit-rates/</x:v>
      </x:c>
    </x:row>
    <x:row r="7182" ht="21" customHeight="1">
      <x:c r="A7182" s="24" t="n">
        <x:v>46298.125</x:v>
      </x:c>
      <x:c r="B7182" s="6" t="n">
        <x:v>0.2763</x:v>
      </x:c>
      <x:c r="C7182" s="6" t="n">
        <x:v>0.15259999999999999</x:v>
      </x:c>
      <x:c r="D7182" s="6" t="n">
        <x:f>B7182</x:f>
        <x:v>0.2763</x:v>
      </x:c>
      <x:c r="E7182" s="1" t="n">
        <x:v>1</x:v>
      </x:c>
      <x:c r="F7182" s="1" t="str">
        <x:v>https://api.octopus.energy/v1/products/AGILE-24-10-01/electricity-tariffs/E-1R-AGILE-24-10-01-G/standard-unit-rates/</x:v>
      </x:c>
    </x:row>
    <x:row r="7183" ht="21" customHeight="1">
      <x:c r="A7183" s="24" t="n">
        <x:v>46298.145833333336</x:v>
      </x:c>
      <x:c r="B7183" s="6" t="n">
        <x:v>0.27149999999999996</x:v>
      </x:c>
      <x:c r="C7183" s="6" t="n">
        <x:v>0.15039999999999998</x:v>
      </x:c>
      <x:c r="D7183" s="6" t="n">
        <x:f>B7183</x:f>
        <x:v>0.27149999999999996</x:v>
      </x:c>
      <x:c r="E7183" s="1" t="n">
        <x:v>1</x:v>
      </x:c>
      <x:c r="F7183" s="1" t="str">
        <x:v>https://api.octopus.energy/v1/products/AGILE-24-10-01/electricity-tariffs/E-1R-AGILE-24-10-01-G/standard-unit-rates/</x:v>
      </x:c>
    </x:row>
    <x:row r="7184" ht="21" customHeight="1">
      <x:c r="A7184" s="24" t="n">
        <x:v>46298.166666666664</x:v>
      </x:c>
      <x:c r="B7184" s="6" t="n">
        <x:v>0.2746</x:v>
      </x:c>
      <x:c r="C7184" s="6" t="n">
        <x:v>0.1518</x:v>
      </x:c>
      <x:c r="D7184" s="6" t="n">
        <x:f>B7184</x:f>
        <x:v>0.2746</x:v>
      </x:c>
      <x:c r="E7184" s="1" t="n">
        <x:v>1</x:v>
      </x:c>
      <x:c r="F7184" s="1" t="str">
        <x:v>https://api.octopus.energy/v1/products/AGILE-24-10-01/electricity-tariffs/E-1R-AGILE-24-10-01-G/standard-unit-rates/</x:v>
      </x:c>
    </x:row>
    <x:row r="7185" ht="21" customHeight="1">
      <x:c r="A7185" s="24" t="n">
        <x:v>46298.1875</x:v>
      </x:c>
      <x:c r="B7185" s="6" t="n">
        <x:v>0.2922</x:v>
      </x:c>
      <x:c r="C7185" s="6" t="n">
        <x:v>0.15990000000000001</x:v>
      </x:c>
      <x:c r="D7185" s="6" t="n">
        <x:f>B7185</x:f>
        <x:v>0.2922</x:v>
      </x:c>
      <x:c r="E7185" s="1" t="n">
        <x:v>1</x:v>
      </x:c>
      <x:c r="F7185" s="1" t="str">
        <x:v>https://api.octopus.energy/v1/products/AGILE-24-10-01/electricity-tariffs/E-1R-AGILE-24-10-01-G/standard-unit-rates/</x:v>
      </x:c>
    </x:row>
    <x:row r="7186" ht="21" customHeight="1">
      <x:c r="A7186" s="24" t="n">
        <x:v>46298.208333333336</x:v>
      </x:c>
      <x:c r="B7186" s="6" t="n">
        <x:v>0.2933</x:v>
      </x:c>
      <x:c r="C7186" s="6" t="n">
        <x:v>0.1603</x:v>
      </x:c>
      <x:c r="D7186" s="6" t="n">
        <x:f>B7186</x:f>
        <x:v>0.2933</x:v>
      </x:c>
      <x:c r="E7186" s="1" t="n">
        <x:v>1</x:v>
      </x:c>
      <x:c r="F7186" s="1" t="str">
        <x:v>https://api.octopus.energy/v1/products/AGILE-24-10-01/electricity-tariffs/E-1R-AGILE-24-10-01-G/standard-unit-rates/</x:v>
      </x:c>
    </x:row>
    <x:row r="7187" ht="21" customHeight="1">
      <x:c r="A7187" s="24" t="n">
        <x:v>46298.229166666664</x:v>
      </x:c>
      <x:c r="B7187" s="6" t="n">
        <x:v>0.3007</x:v>
      </x:c>
      <x:c r="C7187" s="6" t="n">
        <x:v>0.1637</x:v>
      </x:c>
      <x:c r="D7187" s="6" t="n">
        <x:f>B7187</x:f>
        <x:v>0.3007</x:v>
      </x:c>
      <x:c r="E7187" s="1" t="n">
        <x:v>1</x:v>
      </x:c>
      <x:c r="F7187" s="1" t="str">
        <x:v>https://api.octopus.energy/v1/products/AGILE-24-10-01/electricity-tariffs/E-1R-AGILE-24-10-01-G/standard-unit-rates/</x:v>
      </x:c>
    </x:row>
    <x:row r="7188" ht="21" customHeight="1">
      <x:c r="A7188" s="24" t="n">
        <x:v>46298.25</x:v>
      </x:c>
      <x:c r="B7188" s="6" t="n">
        <x:v>0.31489999999999996</x:v>
      </x:c>
      <x:c r="C7188" s="6" t="n">
        <x:v>0.1702</x:v>
      </x:c>
      <x:c r="D7188" s="6" t="n">
        <x:f>B7188</x:f>
        <x:v>0.31489999999999996</x:v>
      </x:c>
      <x:c r="E7188" s="1" t="n">
        <x:v>1</x:v>
      </x:c>
      <x:c r="F7188" s="1" t="str">
        <x:v>https://api.octopus.energy/v1/products/AGILE-24-10-01/electricity-tariffs/E-1R-AGILE-24-10-01-G/standard-unit-rates/</x:v>
      </x:c>
    </x:row>
    <x:row r="7189" ht="21" customHeight="1">
      <x:c r="A7189" s="24" t="n">
        <x:v>46298.270833333336</x:v>
      </x:c>
      <x:c r="B7189" s="6" t="n">
        <x:v>0.3236</x:v>
      </x:c>
      <x:c r="C7189" s="6" t="n">
        <x:v>0.17420000000000002</x:v>
      </x:c>
      <x:c r="D7189" s="6" t="n">
        <x:f>B7189</x:f>
        <x:v>0.3236</x:v>
      </x:c>
      <x:c r="E7189" s="1" t="n">
        <x:v>1</x:v>
      </x:c>
      <x:c r="F7189" s="1" t="str">
        <x:v>https://api.octopus.energy/v1/products/AGILE-24-10-01/electricity-tariffs/E-1R-AGILE-24-10-01-G/standard-unit-rates/</x:v>
      </x:c>
    </x:row>
    <x:row r="7190" ht="21" customHeight="1">
      <x:c r="A7190" s="24" t="n">
        <x:v>46298.291666666664</x:v>
      </x:c>
      <x:c r="B7190" s="6" t="n">
        <x:v>0.30219999999999997</x:v>
      </x:c>
      <x:c r="C7190" s="6" t="n">
        <x:v>0.16440000000000002</x:v>
      </x:c>
      <x:c r="D7190" s="6" t="n">
        <x:f>B7190</x:f>
        <x:v>0.30219999999999997</x:v>
      </x:c>
      <x:c r="E7190" s="1" t="n">
        <x:v>1</x:v>
      </x:c>
      <x:c r="F7190" s="1" t="str">
        <x:v>https://api.octopus.energy/v1/products/AGILE-24-10-01/electricity-tariffs/E-1R-AGILE-24-10-01-G/standard-unit-rates/</x:v>
      </x:c>
    </x:row>
    <x:row r="7191" ht="21" customHeight="1">
      <x:c r="A7191" s="24" t="n">
        <x:v>46298.3125</x:v>
      </x:c>
      <x:c r="B7191" s="6" t="n">
        <x:v>0.3239</x:v>
      </x:c>
      <x:c r="C7191" s="6" t="n">
        <x:v>0.1744</x:v>
      </x:c>
      <x:c r="D7191" s="6" t="n">
        <x:f>B7191</x:f>
        <x:v>0.3239</x:v>
      </x:c>
      <x:c r="E7191" s="1" t="n">
        <x:v>1</x:v>
      </x:c>
      <x:c r="F7191" s="1" t="str">
        <x:v>https://api.octopus.energy/v1/products/AGILE-24-10-01/electricity-tariffs/E-1R-AGILE-24-10-01-G/standard-unit-rates/</x:v>
      </x:c>
    </x:row>
    <x:row r="7192" ht="21" customHeight="1">
      <x:c r="A7192" s="24" t="n">
        <x:v>46298.333333333336</x:v>
      </x:c>
      <x:c r="B7192" s="6" t="n">
        <x:v>0.29719999999999996</x:v>
      </x:c>
      <x:c r="C7192" s="6" t="n">
        <x:v>0.16210000000000002</x:v>
      </x:c>
      <x:c r="D7192" s="6" t="n">
        <x:f>B7192</x:f>
        <x:v>0.29719999999999996</x:v>
      </x:c>
      <x:c r="E7192" s="1" t="n">
        <x:v>1</x:v>
      </x:c>
      <x:c r="F7192" s="1" t="str">
        <x:v>https://api.octopus.energy/v1/products/AGILE-24-10-01/electricity-tariffs/E-1R-AGILE-24-10-01-G/standard-unit-rates/</x:v>
      </x:c>
    </x:row>
    <x:row r="7193" ht="21" customHeight="1">
      <x:c r="A7193" s="24" t="n">
        <x:v>46298.354166666664</x:v>
      </x:c>
      <x:c r="B7193" s="6" t="n">
        <x:v>0.3331</x:v>
      </x:c>
      <x:c r="C7193" s="6" t="n">
        <x:v>0.17859999999999998</x:v>
      </x:c>
      <x:c r="D7193" s="6" t="n">
        <x:f>B7193</x:f>
        <x:v>0.3331</x:v>
      </x:c>
      <x:c r="E7193" s="1" t="n">
        <x:v>1</x:v>
      </x:c>
      <x:c r="F7193" s="1" t="str">
        <x:v>https://api.octopus.energy/v1/products/AGILE-24-10-01/electricity-tariffs/E-1R-AGILE-24-10-01-G/standard-unit-rates/</x:v>
      </x:c>
    </x:row>
    <x:row r="7194" ht="21" customHeight="1">
      <x:c r="A7194" s="24" t="n">
        <x:v>46298.375</x:v>
      </x:c>
      <x:c r="B7194" s="6" t="n">
        <x:v>0.3131</x:v>
      </x:c>
      <x:c r="C7194" s="6" t="n">
        <x:v>0.16940000000000002</x:v>
      </x:c>
      <x:c r="D7194" s="6" t="n">
        <x:f>B7194</x:f>
        <x:v>0.3131</x:v>
      </x:c>
      <x:c r="E7194" s="1" t="n">
        <x:v>1</x:v>
      </x:c>
      <x:c r="F7194" s="1" t="str">
        <x:v>https://api.octopus.energy/v1/products/AGILE-24-10-01/electricity-tariffs/E-1R-AGILE-24-10-01-G/standard-unit-rates/</x:v>
      </x:c>
    </x:row>
    <x:row r="7195" ht="21" customHeight="1">
      <x:c r="A7195" s="24" t="n">
        <x:v>46298.395833333336</x:v>
      </x:c>
      <x:c r="B7195" s="6" t="n">
        <x:v>0.30829999999999996</x:v>
      </x:c>
      <x:c r="C7195" s="6" t="n">
        <x:v>0.1672</x:v>
      </x:c>
      <x:c r="D7195" s="6" t="n">
        <x:f>B7195</x:f>
        <x:v>0.30829999999999996</x:v>
      </x:c>
      <x:c r="E7195" s="1" t="n">
        <x:v>1</x:v>
      </x:c>
      <x:c r="F7195" s="1" t="str">
        <x:v>https://api.octopus.energy/v1/products/AGILE-24-10-01/electricity-tariffs/E-1R-AGILE-24-10-01-G/standard-unit-rates/</x:v>
      </x:c>
    </x:row>
    <x:row r="7196" ht="21" customHeight="1">
      <x:c r="A7196" s="24" t="n">
        <x:v>46298.416666666664</x:v>
      </x:c>
      <x:c r="B7196" s="6" t="n">
        <x:v>0.30260000000000004</x:v>
      </x:c>
      <x:c r="C7196" s="6" t="n">
        <x:v>0.1646</x:v>
      </x:c>
      <x:c r="D7196" s="6" t="n">
        <x:f>B7196</x:f>
        <x:v>0.30260000000000004</x:v>
      </x:c>
      <x:c r="E7196" s="1" t="n">
        <x:v>1</x:v>
      </x:c>
      <x:c r="F7196" s="1" t="str">
        <x:v>https://api.octopus.energy/v1/products/AGILE-24-10-01/electricity-tariffs/E-1R-AGILE-24-10-01-G/standard-unit-rates/</x:v>
      </x:c>
    </x:row>
    <x:row r="7197" ht="21" customHeight="1">
      <x:c r="A7197" s="24" t="n">
        <x:v>46298.4375</x:v>
      </x:c>
      <x:c r="B7197" s="6" t="n">
        <x:v>0.2879</x:v>
      </x:c>
      <x:c r="C7197" s="6" t="n">
        <x:v>0.15789999999999998</x:v>
      </x:c>
      <x:c r="D7197" s="6" t="n">
        <x:f>B7197</x:f>
        <x:v>0.2879</x:v>
      </x:c>
      <x:c r="E7197" s="1" t="n">
        <x:v>1</x:v>
      </x:c>
      <x:c r="F7197" s="1" t="str">
        <x:v>https://api.octopus.energy/v1/products/AGILE-24-10-01/electricity-tariffs/E-1R-AGILE-24-10-01-G/standard-unit-rates/</x:v>
      </x:c>
    </x:row>
    <x:row r="7198" ht="21" customHeight="1">
      <x:c r="A7198" s="24" t="n">
        <x:v>46298.458333333336</x:v>
      </x:c>
      <x:c r="B7198" s="6" t="n">
        <x:v>0.2616</x:v>
      </x:c>
      <x:c r="C7198" s="6" t="n">
        <x:v>0.1459</x:v>
      </x:c>
      <x:c r="D7198" s="6" t="n">
        <x:f>B7198</x:f>
        <x:v>0.2616</x:v>
      </x:c>
      <x:c r="E7198" s="1" t="n">
        <x:v>1</x:v>
      </x:c>
      <x:c r="F7198" s="1" t="str">
        <x:v>https://api.octopus.energy/v1/products/AGILE-24-10-01/electricity-tariffs/E-1R-AGILE-24-10-01-G/standard-unit-rates/</x:v>
      </x:c>
    </x:row>
    <x:row r="7199" ht="21" customHeight="1">
      <x:c r="A7199" s="24" t="n">
        <x:v>46298.479166666664</x:v>
      </x:c>
      <x:c r="B7199" s="6" t="n">
        <x:v>0.254</x:v>
      </x:c>
      <x:c r="C7199" s="6" t="n">
        <x:v>0.1424</x:v>
      </x:c>
      <x:c r="D7199" s="6" t="n">
        <x:f>B7199</x:f>
        <x:v>0.254</x:v>
      </x:c>
      <x:c r="E7199" s="1" t="n">
        <x:v>1</x:v>
      </x:c>
      <x:c r="F7199" s="1" t="str">
        <x:v>https://api.octopus.energy/v1/products/AGILE-24-10-01/electricity-tariffs/E-1R-AGILE-24-10-01-G/standard-unit-rates/</x:v>
      </x:c>
    </x:row>
    <x:row r="7200" ht="21" customHeight="1">
      <x:c r="A7200" s="24" t="n">
        <x:v>46298.5</x:v>
      </x:c>
      <x:c r="B7200" s="6" t="n">
        <x:v>0.254</x:v>
      </x:c>
      <x:c r="C7200" s="6" t="n">
        <x:v>0.1424</x:v>
      </x:c>
      <x:c r="D7200" s="6" t="n">
        <x:f>B7200</x:f>
        <x:v>0.254</x:v>
      </x:c>
      <x:c r="E7200" s="1" t="n">
        <x:v>1</x:v>
      </x:c>
      <x:c r="F7200" s="1" t="str">
        <x:v>https://api.octopus.energy/v1/products/AGILE-24-10-01/electricity-tariffs/E-1R-AGILE-24-10-01-G/standard-unit-rates/</x:v>
      </x:c>
    </x:row>
    <x:row r="7201" ht="21" customHeight="1">
      <x:c r="A7201" s="24" t="n">
        <x:v>46298.520833333336</x:v>
      </x:c>
      <x:c r="B7201" s="6" t="n">
        <x:v>0.24969999999999998</x:v>
      </x:c>
      <x:c r="C7201" s="6" t="n">
        <x:v>0.1404</x:v>
      </x:c>
      <x:c r="D7201" s="6" t="n">
        <x:f>B7201</x:f>
        <x:v>0.24969999999999998</x:v>
      </x:c>
      <x:c r="E7201" s="1" t="n">
        <x:v>1</x:v>
      </x:c>
      <x:c r="F7201" s="1" t="str">
        <x:v>https://api.octopus.energy/v1/products/AGILE-24-10-01/electricity-tariffs/E-1R-AGILE-24-10-01-G/standard-unit-rates/</x:v>
      </x:c>
    </x:row>
    <x:row r="7202" ht="21" customHeight="1">
      <x:c r="A7202" s="24" t="n">
        <x:v>46298.541666666664</x:v>
      </x:c>
      <x:c r="B7202" s="6" t="n">
        <x:v>0.2486</x:v>
      </x:c>
      <x:c r="C7202" s="6" t="n">
        <x:v>0.1399</x:v>
      </x:c>
      <x:c r="D7202" s="6" t="n">
        <x:f>B7202</x:f>
        <x:v>0.2486</x:v>
      </x:c>
      <x:c r="E7202" s="1" t="n">
        <x:v>1</x:v>
      </x:c>
      <x:c r="F7202" s="1" t="str">
        <x:v>https://api.octopus.energy/v1/products/AGILE-24-10-01/electricity-tariffs/E-1R-AGILE-24-10-01-G/standard-unit-rates/</x:v>
      </x:c>
    </x:row>
    <x:row r="7203" ht="21" customHeight="1">
      <x:c r="A7203" s="24" t="n">
        <x:v>46298.5625</x:v>
      </x:c>
      <x:c r="B7203" s="6" t="n">
        <x:v>0.2459</x:v>
      </x:c>
      <x:c r="C7203" s="6" t="n">
        <x:v>0.1387</x:v>
      </x:c>
      <x:c r="D7203" s="6" t="n">
        <x:f>B7203</x:f>
        <x:v>0.2459</x:v>
      </x:c>
      <x:c r="E7203" s="1" t="n">
        <x:v>1</x:v>
      </x:c>
      <x:c r="F7203" s="1" t="str">
        <x:v>https://api.octopus.energy/v1/products/AGILE-24-10-01/electricity-tariffs/E-1R-AGILE-24-10-01-G/standard-unit-rates/</x:v>
      </x:c>
    </x:row>
    <x:row r="7204" ht="21" customHeight="1">
      <x:c r="A7204" s="24" t="n">
        <x:v>46298.583333333336</x:v>
      </x:c>
      <x:c r="B7204" s="6" t="n">
        <x:v>0.2447</x:v>
      </x:c>
      <x:c r="C7204" s="6" t="n">
        <x:v>0.1382</x:v>
      </x:c>
      <x:c r="D7204" s="6" t="n">
        <x:f>B7204</x:f>
        <x:v>0.2447</x:v>
      </x:c>
      <x:c r="E7204" s="1" t="n">
        <x:v>1</x:v>
      </x:c>
      <x:c r="F7204" s="1" t="str">
        <x:v>https://api.octopus.energy/v1/products/AGILE-24-10-01/electricity-tariffs/E-1R-AGILE-24-10-01-G/standard-unit-rates/</x:v>
      </x:c>
    </x:row>
    <x:row r="7205" ht="21" customHeight="1">
      <x:c r="A7205" s="24" t="n">
        <x:v>46298.604166666664</x:v>
      </x:c>
      <x:c r="B7205" s="6" t="n">
        <x:v>0.2314</x:v>
      </x:c>
      <x:c r="C7205" s="6" t="n">
        <x:v>0.1321</x:v>
      </x:c>
      <x:c r="D7205" s="6" t="n">
        <x:f>B7205</x:f>
        <x:v>0.2314</x:v>
      </x:c>
      <x:c r="E7205" s="1" t="n">
        <x:v>1</x:v>
      </x:c>
      <x:c r="F7205" s="1" t="str">
        <x:v>https://api.octopus.energy/v1/products/AGILE-24-10-01/electricity-tariffs/E-1R-AGILE-24-10-01-G/standard-unit-rates/</x:v>
      </x:c>
    </x:row>
    <x:row r="7206" ht="21" customHeight="1">
      <x:c r="A7206" s="24" t="n">
        <x:v>46298.625</x:v>
      </x:c>
      <x:c r="B7206" s="6" t="n">
        <x:v>0.2489</x:v>
      </x:c>
      <x:c r="C7206" s="6" t="n">
        <x:v>0.14</x:v>
      </x:c>
      <x:c r="D7206" s="6" t="n">
        <x:f>B7206</x:f>
        <x:v>0.2489</x:v>
      </x:c>
      <x:c r="E7206" s="1" t="n">
        <x:v>1</x:v>
      </x:c>
      <x:c r="F7206" s="1" t="str">
        <x:v>https://api.octopus.energy/v1/products/AGILE-24-10-01/electricity-tariffs/E-1R-AGILE-24-10-01-G/standard-unit-rates/</x:v>
      </x:c>
    </x:row>
    <x:row r="7207" ht="21" customHeight="1">
      <x:c r="A7207" s="24" t="n">
        <x:v>46298.645833333336</x:v>
      </x:c>
      <x:c r="B7207" s="6" t="n">
        <x:v>0.2354</x:v>
      </x:c>
      <x:c r="C7207" s="6" t="n">
        <x:v>0.13390000000000002</x:v>
      </x:c>
      <x:c r="D7207" s="6" t="n">
        <x:f>B7207</x:f>
        <x:v>0.2354</x:v>
      </x:c>
      <x:c r="E7207" s="1" t="n">
        <x:v>1</x:v>
      </x:c>
      <x:c r="F7207" s="1" t="str">
        <x:v>https://api.octopus.energy/v1/products/AGILE-24-10-01/electricity-tariffs/E-1R-AGILE-24-10-01-G/standard-unit-rates/</x:v>
      </x:c>
    </x:row>
    <x:row r="7208" ht="21" customHeight="1">
      <x:c r="A7208" s="24" t="n">
        <x:v>46298.666666666664</x:v>
      </x:c>
      <x:c r="B7208" s="6" t="n">
        <x:v>0.4224</x:v>
      </x:c>
      <x:c r="C7208" s="6" t="n">
        <x:v>0.2234</x:v>
      </x:c>
      <x:c r="D7208" s="6" t="n">
        <x:f>B7208</x:f>
        <x:v>0.4224</x:v>
      </x:c>
      <x:c r="E7208" s="1" t="n">
        <x:v>1</x:v>
      </x:c>
      <x:c r="F7208" s="1" t="str">
        <x:v>https://api.octopus.energy/v1/products/AGILE-24-10-01/electricity-tariffs/E-1R-AGILE-24-10-01-G/standard-unit-rates/</x:v>
      </x:c>
    </x:row>
    <x:row r="7209" ht="21" customHeight="1">
      <x:c r="A7209" s="24" t="n">
        <x:v>46298.6875</x:v>
      </x:c>
      <x:c r="B7209" s="6" t="n">
        <x:v>0.4604</x:v>
      </x:c>
      <x:c r="C7209" s="6" t="n">
        <x:v>0.2408</x:v>
      </x:c>
      <x:c r="D7209" s="6" t="n">
        <x:f>B7209</x:f>
        <x:v>0.4604</x:v>
      </x:c>
      <x:c r="E7209" s="1" t="n">
        <x:v>1</x:v>
      </x:c>
      <x:c r="F7209" s="1" t="str">
        <x:v>https://api.octopus.energy/v1/products/AGILE-24-10-01/electricity-tariffs/E-1R-AGILE-24-10-01-G/standard-unit-rates/</x:v>
      </x:c>
    </x:row>
    <x:row r="7210" ht="21" customHeight="1">
      <x:c r="A7210" s="24" t="n">
        <x:v>46298.708333333336</x:v>
      </x:c>
      <x:c r="B7210" s="6" t="n">
        <x:v>0.4755</x:v>
      </x:c>
      <x:c r="C7210" s="6" t="n">
        <x:v>0.2477</x:v>
      </x:c>
      <x:c r="D7210" s="6" t="n">
        <x:f>B7210</x:f>
        <x:v>0.4755</x:v>
      </x:c>
      <x:c r="E7210" s="1" t="n">
        <x:v>1</x:v>
      </x:c>
      <x:c r="F7210" s="1" t="str">
        <x:v>https://api.octopus.energy/v1/products/AGILE-24-10-01/electricity-tariffs/E-1R-AGILE-24-10-01-G/standard-unit-rates/</x:v>
      </x:c>
    </x:row>
    <x:row r="7211" ht="21" customHeight="1">
      <x:c r="A7211" s="24" t="n">
        <x:v>46298.729166666664</x:v>
      </x:c>
      <x:c r="B7211" s="6" t="n">
        <x:v>0.4869</x:v>
      </x:c>
      <x:c r="C7211" s="6" t="n">
        <x:v>0.2529</x:v>
      </x:c>
      <x:c r="D7211" s="6" t="n">
        <x:f>B7211</x:f>
        <x:v>0.4869</x:v>
      </x:c>
      <x:c r="E7211" s="1" t="n">
        <x:v>1</x:v>
      </x:c>
      <x:c r="F7211" s="1" t="str">
        <x:v>https://api.octopus.energy/v1/products/AGILE-24-10-01/electricity-tariffs/E-1R-AGILE-24-10-01-G/standard-unit-rates/</x:v>
      </x:c>
    </x:row>
    <x:row r="7212" ht="21" customHeight="1">
      <x:c r="A7212" s="24" t="n">
        <x:v>46298.75</x:v>
      </x:c>
      <x:c r="B7212" s="6" t="n">
        <x:v>0.4886</x:v>
      </x:c>
      <x:c r="C7212" s="6" t="n">
        <x:v>0.25370000000000004</x:v>
      </x:c>
      <x:c r="D7212" s="6" t="n">
        <x:f>B7212</x:f>
        <x:v>0.4886</x:v>
      </x:c>
      <x:c r="E7212" s="1" t="n">
        <x:v>1</x:v>
      </x:c>
      <x:c r="F7212" s="1" t="str">
        <x:v>https://api.octopus.energy/v1/products/AGILE-24-10-01/electricity-tariffs/E-1R-AGILE-24-10-01-G/standard-unit-rates/</x:v>
      </x:c>
    </x:row>
    <x:row r="7213" ht="21" customHeight="1">
      <x:c r="A7213" s="24" t="n">
        <x:v>46298.770833333336</x:v>
      </x:c>
      <x:c r="B7213" s="6" t="n">
        <x:v>0.4989</x:v>
      </x:c>
      <x:c r="C7213" s="6" t="n">
        <x:v>0.2584</x:v>
      </x:c>
      <x:c r="D7213" s="6" t="n">
        <x:f>B7213</x:f>
        <x:v>0.4989</x:v>
      </x:c>
      <x:c r="E7213" s="1" t="n">
        <x:v>1</x:v>
      </x:c>
      <x:c r="F7213" s="1" t="str">
        <x:v>https://api.octopus.energy/v1/products/AGILE-24-10-01/electricity-tariffs/E-1R-AGILE-24-10-01-G/standard-unit-rates/</x:v>
      </x:c>
    </x:row>
    <x:row r="7214" ht="21" customHeight="1">
      <x:c r="A7214" s="24" t="n">
        <x:v>46298.791666666664</x:v>
      </x:c>
      <x:c r="B7214" s="6" t="n">
        <x:v>0.3789</x:v>
      </x:c>
      <x:c r="C7214" s="6" t="n">
        <x:v>0.19949999999999998</x:v>
      </x:c>
      <x:c r="D7214" s="6" t="n">
        <x:f>B7214</x:f>
        <x:v>0.3789</x:v>
      </x:c>
      <x:c r="E7214" s="1" t="n">
        <x:v>1</x:v>
      </x:c>
      <x:c r="F7214" s="1" t="str">
        <x:v>https://api.octopus.energy/v1/products/AGILE-24-10-01/electricity-tariffs/E-1R-AGILE-24-10-01-G/standard-unit-rates/</x:v>
      </x:c>
    </x:row>
    <x:row r="7215" ht="21" customHeight="1">
      <x:c r="A7215" s="24" t="n">
        <x:v>46298.8125</x:v>
      </x:c>
      <x:c r="B7215" s="6" t="n">
        <x:v>0.3589</x:v>
      </x:c>
      <x:c r="C7215" s="6" t="n">
        <x:v>0.19030000000000002</x:v>
      </x:c>
      <x:c r="D7215" s="6" t="n">
        <x:f>B7215</x:f>
        <x:v>0.3589</x:v>
      </x:c>
      <x:c r="E7215" s="1" t="n">
        <x:v>1</x:v>
      </x:c>
      <x:c r="F7215" s="1" t="str">
        <x:v>https://api.octopus.energy/v1/products/AGILE-24-10-01/electricity-tariffs/E-1R-AGILE-24-10-01-G/standard-unit-rates/</x:v>
      </x:c>
    </x:row>
    <x:row r="7216" ht="21" customHeight="1">
      <x:c r="A7216" s="24" t="n">
        <x:v>46298.833333333336</x:v>
      </x:c>
      <x:c r="B7216" s="6" t="n">
        <x:v>0.35509999999999997</x:v>
      </x:c>
      <x:c r="C7216" s="6" t="n">
        <x:v>0.1886</x:v>
      </x:c>
      <x:c r="D7216" s="6" t="n">
        <x:f>B7216</x:f>
        <x:v>0.35509999999999997</x:v>
      </x:c>
      <x:c r="E7216" s="1" t="n">
        <x:v>1</x:v>
      </x:c>
      <x:c r="F7216" s="1" t="str">
        <x:v>https://api.octopus.energy/v1/products/AGILE-24-10-01/electricity-tariffs/E-1R-AGILE-24-10-01-G/standard-unit-rates/</x:v>
      </x:c>
    </x:row>
    <x:row r="7217" ht="21" customHeight="1">
      <x:c r="A7217" s="24" t="n">
        <x:v>46298.854166666664</x:v>
      </x:c>
      <x:c r="B7217" s="6" t="n">
        <x:v>0.3372</x:v>
      </x:c>
      <x:c r="C7217" s="6" t="n">
        <x:v>0.1804</x:v>
      </x:c>
      <x:c r="D7217" s="6" t="n">
        <x:f>B7217</x:f>
        <x:v>0.3372</x:v>
      </x:c>
      <x:c r="E7217" s="1" t="n">
        <x:v>1</x:v>
      </x:c>
      <x:c r="F7217" s="1" t="str">
        <x:v>https://api.octopus.energy/v1/products/AGILE-24-10-01/electricity-tariffs/E-1R-AGILE-24-10-01-G/standard-unit-rates/</x:v>
      </x:c>
    </x:row>
    <x:row r="7218" ht="21" customHeight="1">
      <x:c r="A7218" s="24" t="n">
        <x:v>46298.875</x:v>
      </x:c>
      <x:c r="B7218" s="6" t="n">
        <x:v>0.35109999999999997</x:v>
      </x:c>
      <x:c r="C7218" s="6" t="n">
        <x:v>0.1868</x:v>
      </x:c>
      <x:c r="D7218" s="6" t="n">
        <x:f>B7218</x:f>
        <x:v>0.35109999999999997</x:v>
      </x:c>
      <x:c r="E7218" s="1" t="n">
        <x:v>1</x:v>
      </x:c>
      <x:c r="F7218" s="1" t="str">
        <x:v>https://api.octopus.energy/v1/products/AGILE-24-10-01/electricity-tariffs/E-1R-AGILE-24-10-01-G/standard-unit-rates/</x:v>
      </x:c>
    </x:row>
    <x:row r="7219" ht="21" customHeight="1">
      <x:c r="A7219" s="24" t="n">
        <x:v>46298.895833333336</x:v>
      </x:c>
      <x:c r="B7219" s="6" t="n">
        <x:v>0.32299999999999995</x:v>
      </x:c>
      <x:c r="C7219" s="6" t="n">
        <x:v>0.1739</x:v>
      </x:c>
      <x:c r="D7219" s="6" t="n">
        <x:f>B7219</x:f>
        <x:v>0.32299999999999995</x:v>
      </x:c>
      <x:c r="E7219" s="1" t="n">
        <x:v>1</x:v>
      </x:c>
      <x:c r="F7219" s="1" t="str">
        <x:v>https://api.octopus.energy/v1/products/AGILE-24-10-01/electricity-tariffs/E-1R-AGILE-24-10-01-G/standard-unit-rates/</x:v>
      </x:c>
    </x:row>
    <x:row r="7220" ht="21" customHeight="1">
      <x:c r="A7220" s="24" t="n">
        <x:v>46298.916666666664</x:v>
      </x:c>
      <x:c r="B7220" s="6" t="n">
        <x:v>0.3177</x:v>
      </x:c>
      <x:c r="C7220" s="6" t="n">
        <x:v>0.17149999999999999</x:v>
      </x:c>
      <x:c r="D7220" s="6" t="n">
        <x:f>B7220</x:f>
        <x:v>0.3177</x:v>
      </x:c>
      <x:c r="E7220" s="1" t="n">
        <x:v>1</x:v>
      </x:c>
      <x:c r="F7220" s="1" t="str">
        <x:v>https://api.octopus.energy/v1/products/AGILE-24-10-01/electricity-tariffs/E-1R-AGILE-24-10-01-G/standard-unit-rates/</x:v>
      </x:c>
    </x:row>
    <x:row r="7221" ht="21" customHeight="1">
      <x:c r="A7221" s="24" t="n">
        <x:v>46298.9375</x:v>
      </x:c>
      <x:c r="B7221" s="6" t="n">
        <x:v>0.304</x:v>
      </x:c>
      <x:c r="C7221" s="6" t="n">
        <x:v>0.16519999999999999</x:v>
      </x:c>
      <x:c r="D7221" s="6" t="n">
        <x:f>B7221</x:f>
        <x:v>0.304</x:v>
      </x:c>
      <x:c r="E7221" s="1" t="n">
        <x:v>1</x:v>
      </x:c>
      <x:c r="F7221" s="1" t="str">
        <x:v>https://api.octopus.energy/v1/products/AGILE-24-10-01/electricity-tariffs/E-1R-AGILE-24-10-01-G/standard-unit-rates/</x:v>
      </x:c>
    </x:row>
    <x:row r="7222" ht="21" customHeight="1">
      <x:c r="A7222" s="24" t="n">
        <x:v>46299</x:v>
      </x:c>
      <x:c r="B7222" s="6" t="n">
        <x:v>0.3131</x:v>
      </x:c>
      <x:c r="C7222" s="6" t="n">
        <x:v>0.16940000000000002</x:v>
      </x:c>
      <x:c r="D7222" s="6" t="n">
        <x:f>B7222</x:f>
        <x:v>0.3131</x:v>
      </x:c>
      <x:c r="E7222" s="1" t="n">
        <x:v>1</x:v>
      </x:c>
      <x:c r="F7222" s="1" t="str">
        <x:v>https://api.octopus.energy/v1/products/AGILE-24-10-01/electricity-tariffs/E-1R-AGILE-24-10-01-G/standard-unit-rates/</x:v>
      </x:c>
    </x:row>
    <x:row r="7223" ht="21" customHeight="1">
      <x:c r="A7223" s="24" t="n">
        <x:v>46298.979166666664</x:v>
      </x:c>
      <x:c r="B7223" s="6" t="n">
        <x:v>0.3186</x:v>
      </x:c>
      <x:c r="C7223" s="6" t="n">
        <x:v>0.17190000000000003</x:v>
      </x:c>
      <x:c r="D7223" s="6" t="n">
        <x:f>B7223</x:f>
        <x:v>0.3186</x:v>
      </x:c>
      <x:c r="E7223" s="1" t="n">
        <x:v>1</x:v>
      </x:c>
      <x:c r="F7223" s="1" t="str">
        <x:v>https://api.octopus.energy/v1/products/AGILE-24-10-01/electricity-tariffs/E-1R-AGILE-24-10-01-G/standard-unit-rates/</x:v>
      </x:c>
    </x:row>
    <x:row r="7224" ht="21" customHeight="1">
      <x:c r="A7224" s="24" t="n">
        <x:v>46299</x:v>
      </x:c>
      <x:c r="B7224" s="6" t="n">
        <x:v>0.3068</x:v>
      </x:c>
      <x:c r="C7224" s="6" t="n">
        <x:v>0.16649999999999998</x:v>
      </x:c>
      <x:c r="D7224" s="6" t="n">
        <x:f>B7224</x:f>
        <x:v>0.3068</x:v>
      </x:c>
      <x:c r="E7224" s="1" t="n">
        <x:v>1</x:v>
      </x:c>
      <x:c r="F7224" s="1" t="str">
        <x:v>https://api.octopus.energy/v1/products/AGILE-24-10-01/electricity-tariffs/E-1R-AGILE-24-10-01-G/standard-unit-rates/</x:v>
      </x:c>
    </x:row>
    <x:row r="7225" ht="21" customHeight="1">
      <x:c r="A7225" s="24" t="n">
        <x:v>46299.020833333336</x:v>
      </x:c>
      <x:c r="B7225" s="6" t="n">
        <x:v>0.2921</x:v>
      </x:c>
      <x:c r="C7225" s="6" t="n">
        <x:v>0.1598</x:v>
      </x:c>
      <x:c r="D7225" s="6" t="n">
        <x:f>B7225</x:f>
        <x:v>0.2921</x:v>
      </x:c>
      <x:c r="E7225" s="1" t="n">
        <x:v>1</x:v>
      </x:c>
      <x:c r="F7225" s="1" t="str">
        <x:v>https://api.octopus.energy/v1/products/AGILE-24-10-01/electricity-tariffs/E-1R-AGILE-24-10-01-G/standard-unit-rates/</x:v>
      </x:c>
    </x:row>
    <x:row r="7226" ht="21" customHeight="1">
      <x:c r="A7226" s="24" t="n">
        <x:v>46299.041666666664</x:v>
      </x:c>
      <x:c r="B7226" s="6" t="n">
        <x:v>0.2921</x:v>
      </x:c>
      <x:c r="C7226" s="6" t="n">
        <x:v>0.1598</x:v>
      </x:c>
      <x:c r="D7226" s="6" t="n">
        <x:f>B7226</x:f>
        <x:v>0.2921</x:v>
      </x:c>
      <x:c r="E7226" s="1" t="n">
        <x:v>1</x:v>
      </x:c>
      <x:c r="F7226" s="1" t="str">
        <x:v>https://api.octopus.energy/v1/products/AGILE-24-10-01/electricity-tariffs/E-1R-AGILE-24-10-01-G/standard-unit-rates/</x:v>
      </x:c>
    </x:row>
    <x:row r="7227" ht="21" customHeight="1">
      <x:c r="A7227" s="24" t="n">
        <x:v>46299.0625</x:v>
      </x:c>
      <x:c r="B7227" s="6" t="n">
        <x:v>0.2977</x:v>
      </x:c>
      <x:c r="C7227" s="6" t="n">
        <x:v>0.1624</x:v>
      </x:c>
      <x:c r="D7227" s="6" t="n">
        <x:f>B7227</x:f>
        <x:v>0.2977</x:v>
      </x:c>
      <x:c r="E7227" s="1" t="n">
        <x:v>1</x:v>
      </x:c>
      <x:c r="F7227" s="1" t="str">
        <x:v>https://api.octopus.energy/v1/products/AGILE-24-10-01/electricity-tariffs/E-1R-AGILE-24-10-01-G/standard-unit-rates/</x:v>
      </x:c>
    </x:row>
    <x:row r="7228" ht="21" customHeight="1">
      <x:c r="A7228" s="24" t="n">
        <x:v>46299.083333333336</x:v>
      </x:c>
      <x:c r="B7228" s="6" t="n">
        <x:v>0.29</x:v>
      </x:c>
      <x:c r="C7228" s="6" t="n">
        <x:v>0.1588</x:v>
      </x:c>
      <x:c r="D7228" s="6" t="n">
        <x:f>B7228</x:f>
        <x:v>0.29</x:v>
      </x:c>
      <x:c r="E7228" s="1" t="n">
        <x:v>1</x:v>
      </x:c>
      <x:c r="F7228" s="1" t="str">
        <x:v>https://api.octopus.energy/v1/products/AGILE-24-10-01/electricity-tariffs/E-1R-AGILE-24-10-01-G/standard-unit-rates/</x:v>
      </x:c>
    </x:row>
    <x:row r="7229" ht="21" customHeight="1">
      <x:c r="A7229" s="24" t="n">
        <x:v>46299.104166666664</x:v>
      </x:c>
      <x:c r="B7229" s="6" t="n">
        <x:v>0.2879</x:v>
      </x:c>
      <x:c r="C7229" s="6" t="n">
        <x:v>0.15789999999999998</x:v>
      </x:c>
      <x:c r="D7229" s="6" t="n">
        <x:f>B7229</x:f>
        <x:v>0.2879</x:v>
      </x:c>
      <x:c r="E7229" s="1" t="n">
        <x:v>1</x:v>
      </x:c>
      <x:c r="F7229" s="1" t="str">
        <x:v>https://api.octopus.energy/v1/products/AGILE-24-10-01/electricity-tariffs/E-1R-AGILE-24-10-01-G/standard-unit-rates/</x:v>
      </x:c>
    </x:row>
    <x:row r="7230" ht="21" customHeight="1">
      <x:c r="A7230" s="24" t="n">
        <x:v>46299.125</x:v>
      </x:c>
      <x:c r="B7230" s="6" t="n">
        <x:v>0.2854</x:v>
      </x:c>
      <x:c r="C7230" s="6" t="n">
        <x:v>0.1567</x:v>
      </x:c>
      <x:c r="D7230" s="6" t="n">
        <x:f>B7230</x:f>
        <x:v>0.2854</x:v>
      </x:c>
      <x:c r="E7230" s="1" t="n">
        <x:v>1</x:v>
      </x:c>
      <x:c r="F7230" s="1" t="str">
        <x:v>https://api.octopus.energy/v1/products/AGILE-24-10-01/electricity-tariffs/E-1R-AGILE-24-10-01-G/standard-unit-rates/</x:v>
      </x:c>
    </x:row>
    <x:row r="7231" ht="21" customHeight="1">
      <x:c r="A7231" s="24" t="n">
        <x:v>46299.145833333336</x:v>
      </x:c>
      <x:c r="B7231" s="6" t="n">
        <x:v>0.2768</x:v>
      </x:c>
      <x:c r="C7231" s="6" t="n">
        <x:v>0.1528</x:v>
      </x:c>
      <x:c r="D7231" s="6" t="n">
        <x:f>B7231</x:f>
        <x:v>0.2768</x:v>
      </x:c>
      <x:c r="E7231" s="1" t="n">
        <x:v>1</x:v>
      </x:c>
      <x:c r="F7231" s="1" t="str">
        <x:v>https://api.octopus.energy/v1/products/AGILE-24-10-01/electricity-tariffs/E-1R-AGILE-24-10-01-G/standard-unit-rates/</x:v>
      </x:c>
    </x:row>
    <x:row r="7232" ht="21" customHeight="1">
      <x:c r="A7232" s="24" t="n">
        <x:v>46299.166666666664</x:v>
      </x:c>
      <x:c r="B7232" s="6" t="n">
        <x:v>0.2799</x:v>
      </x:c>
      <x:c r="C7232" s="6" t="n">
        <x:v>0.1542</x:v>
      </x:c>
      <x:c r="D7232" s="6" t="n">
        <x:f>B7232</x:f>
        <x:v>0.2799</x:v>
      </x:c>
      <x:c r="E7232" s="1" t="n">
        <x:v>1</x:v>
      </x:c>
      <x:c r="F7232" s="1" t="str">
        <x:v>https://api.octopus.energy/v1/products/AGILE-24-10-01/electricity-tariffs/E-1R-AGILE-24-10-01-G/standard-unit-rates/</x:v>
      </x:c>
    </x:row>
    <x:row r="7233" ht="21" customHeight="1">
      <x:c r="A7233" s="24" t="n">
        <x:v>46299.1875</x:v>
      </x:c>
      <x:c r="B7233" s="6" t="n">
        <x:v>0.2778</x:v>
      </x:c>
      <x:c r="C7233" s="6" t="n">
        <x:v>0.1533</x:v>
      </x:c>
      <x:c r="D7233" s="6" t="n">
        <x:f>B7233</x:f>
        <x:v>0.2778</x:v>
      </x:c>
      <x:c r="E7233" s="1" t="n">
        <x:v>1</x:v>
      </x:c>
      <x:c r="F7233" s="1" t="str">
        <x:v>https://api.octopus.energy/v1/products/AGILE-24-10-01/electricity-tariffs/E-1R-AGILE-24-10-01-G/standard-unit-rates/</x:v>
      </x:c>
    </x:row>
    <x:row r="7234" ht="21" customHeight="1">
      <x:c r="A7234" s="24" t="n">
        <x:v>46299.208333333336</x:v>
      </x:c>
      <x:c r="B7234" s="6" t="n">
        <x:v>0.2963</x:v>
      </x:c>
      <x:c r="C7234" s="6" t="n">
        <x:v>0.1617</x:v>
      </x:c>
      <x:c r="D7234" s="6" t="n">
        <x:f>B7234</x:f>
        <x:v>0.2963</x:v>
      </x:c>
      <x:c r="E7234" s="1" t="n">
        <x:v>1</x:v>
      </x:c>
      <x:c r="F7234" s="1" t="str">
        <x:v>https://api.octopus.energy/v1/products/AGILE-24-10-01/electricity-tariffs/E-1R-AGILE-24-10-01-G/standard-unit-rates/</x:v>
      </x:c>
    </x:row>
    <x:row r="7235" ht="21" customHeight="1">
      <x:c r="A7235" s="24" t="n">
        <x:v>46299.229166666664</x:v>
      </x:c>
      <x:c r="B7235" s="6" t="n">
        <x:v>0.2892</x:v>
      </x:c>
      <x:c r="C7235" s="6" t="n">
        <x:v>0.1585</x:v>
      </x:c>
      <x:c r="D7235" s="6" t="n">
        <x:f>B7235</x:f>
        <x:v>0.2892</x:v>
      </x:c>
      <x:c r="E7235" s="1" t="n">
        <x:v>1</x:v>
      </x:c>
      <x:c r="F7235" s="1" t="str">
        <x:v>https://api.octopus.energy/v1/products/AGILE-24-10-01/electricity-tariffs/E-1R-AGILE-24-10-01-G/standard-unit-rates/</x:v>
      </x:c>
    </x:row>
    <x:row r="7236" ht="21" customHeight="1">
      <x:c r="A7236" s="24" t="n">
        <x:v>46299.25</x:v>
      </x:c>
      <x:c r="B7236" s="6" t="n">
        <x:v>0.2988</x:v>
      </x:c>
      <x:c r="C7236" s="6" t="n">
        <x:v>0.1629</x:v>
      </x:c>
      <x:c r="D7236" s="6" t="n">
        <x:f>B7236</x:f>
        <x:v>0.2988</x:v>
      </x:c>
      <x:c r="E7236" s="1" t="n">
        <x:v>1</x:v>
      </x:c>
      <x:c r="F7236" s="1" t="str">
        <x:v>https://api.octopus.energy/v1/products/AGILE-24-10-01/electricity-tariffs/E-1R-AGILE-24-10-01-G/standard-unit-rates/</x:v>
      </x:c>
    </x:row>
    <x:row r="7237" ht="21" customHeight="1">
      <x:c r="A7237" s="24" t="n">
        <x:v>46299.270833333336</x:v>
      </x:c>
      <x:c r="B7237" s="6" t="n">
        <x:v>0.3065</x:v>
      </x:c>
      <x:c r="C7237" s="6" t="n">
        <x:v>0.1664</x:v>
      </x:c>
      <x:c r="D7237" s="6" t="n">
        <x:f>B7237</x:f>
        <x:v>0.3065</x:v>
      </x:c>
      <x:c r="E7237" s="1" t="n">
        <x:v>1</x:v>
      </x:c>
      <x:c r="F7237" s="1" t="str">
        <x:v>https://api.octopus.energy/v1/products/AGILE-24-10-01/electricity-tariffs/E-1R-AGILE-24-10-01-G/standard-unit-rates/</x:v>
      </x:c>
    </x:row>
    <x:row r="7238" ht="21" customHeight="1">
      <x:c r="A7238" s="24" t="n">
        <x:v>46299.291666666664</x:v>
      </x:c>
      <x:c r="B7238" s="6" t="n">
        <x:v>0.2816</x:v>
      </x:c>
      <x:c r="C7238" s="6" t="n">
        <x:v>0.155</x:v>
      </x:c>
      <x:c r="D7238" s="6" t="n">
        <x:f>B7238</x:f>
        <x:v>0.2816</x:v>
      </x:c>
      <x:c r="E7238" s="1" t="n">
        <x:v>1</x:v>
      </x:c>
      <x:c r="F7238" s="1" t="str">
        <x:v>https://api.octopus.energy/v1/products/AGILE-24-10-01/electricity-tariffs/E-1R-AGILE-24-10-01-G/standard-unit-rates/</x:v>
      </x:c>
    </x:row>
    <x:row r="7239" ht="21" customHeight="1">
      <x:c r="A7239" s="24" t="n">
        <x:v>46299.3125</x:v>
      </x:c>
      <x:c r="B7239" s="6" t="n">
        <x:v>0.2967</x:v>
      </x:c>
      <x:c r="C7239" s="6" t="n">
        <x:v>0.16190000000000002</x:v>
      </x:c>
      <x:c r="D7239" s="6" t="n">
        <x:f>B7239</x:f>
        <x:v>0.2967</x:v>
      </x:c>
      <x:c r="E7239" s="1" t="n">
        <x:v>1</x:v>
      </x:c>
      <x:c r="F7239" s="1" t="str">
        <x:v>https://api.octopus.energy/v1/products/AGILE-24-10-01/electricity-tariffs/E-1R-AGILE-24-10-01-G/standard-unit-rates/</x:v>
      </x:c>
    </x:row>
    <x:row r="7240" ht="21" customHeight="1">
      <x:c r="A7240" s="24" t="n">
        <x:v>46299.333333333336</x:v>
      </x:c>
      <x:c r="B7240" s="6" t="n">
        <x:v>0.2934</x:v>
      </x:c>
      <x:c r="C7240" s="6" t="n">
        <x:v>0.1604</x:v>
      </x:c>
      <x:c r="D7240" s="6" t="n">
        <x:f>B7240</x:f>
        <x:v>0.2934</x:v>
      </x:c>
      <x:c r="E7240" s="1" t="n">
        <x:v>1</x:v>
      </x:c>
      <x:c r="F7240" s="1" t="str">
        <x:v>https://api.octopus.energy/v1/products/AGILE-24-10-01/electricity-tariffs/E-1R-AGILE-24-10-01-G/standard-unit-rates/</x:v>
      </x:c>
    </x:row>
    <x:row r="7241" ht="21" customHeight="1">
      <x:c r="A7241" s="24" t="n">
        <x:v>46299.354166666664</x:v>
      </x:c>
      <x:c r="B7241" s="6" t="n">
        <x:v>0.2872</x:v>
      </x:c>
      <x:c r="C7241" s="6" t="n">
        <x:v>0.1576</x:v>
      </x:c>
      <x:c r="D7241" s="6" t="n">
        <x:f>B7241</x:f>
        <x:v>0.2872</x:v>
      </x:c>
      <x:c r="E7241" s="1" t="n">
        <x:v>1</x:v>
      </x:c>
      <x:c r="F7241" s="1" t="str">
        <x:v>https://api.octopus.energy/v1/products/AGILE-24-10-01/electricity-tariffs/E-1R-AGILE-24-10-01-G/standard-unit-rates/</x:v>
      </x:c>
    </x:row>
    <x:row r="7242" ht="21" customHeight="1">
      <x:c r="A7242" s="24" t="n">
        <x:v>46299.375</x:v>
      </x:c>
      <x:c r="B7242" s="6" t="n">
        <x:v>0.2303</x:v>
      </x:c>
      <x:c r="C7242" s="6" t="n">
        <x:v>0.1316</x:v>
      </x:c>
      <x:c r="D7242" s="6" t="n">
        <x:f>B7242</x:f>
        <x:v>0.2303</x:v>
      </x:c>
      <x:c r="E7242" s="1" t="n">
        <x:v>1</x:v>
      </x:c>
      <x:c r="F7242" s="1" t="str">
        <x:v>https://api.octopus.energy/v1/products/AGILE-24-10-01/electricity-tariffs/E-1R-AGILE-24-10-01-G/standard-unit-rates/</x:v>
      </x:c>
    </x:row>
    <x:row r="7243" ht="21" customHeight="1">
      <x:c r="A7243" s="24" t="n">
        <x:v>46299.395833333336</x:v>
      </x:c>
      <x:c r="B7243" s="6" t="n">
        <x:v>0.24050000000000002</x:v>
      </x:c>
      <x:c r="C7243" s="6" t="n">
        <x:v>0.1362</x:v>
      </x:c>
      <x:c r="D7243" s="6" t="n">
        <x:f>B7243</x:f>
        <x:v>0.24050000000000002</x:v>
      </x:c>
      <x:c r="E7243" s="1" t="n">
        <x:v>1</x:v>
      </x:c>
      <x:c r="F7243" s="1" t="str">
        <x:v>https://api.octopus.energy/v1/products/AGILE-24-10-01/electricity-tariffs/E-1R-AGILE-24-10-01-G/standard-unit-rates/</x:v>
      </x:c>
    </x:row>
    <x:row r="7244" ht="21" customHeight="1">
      <x:c r="A7244" s="24" t="n">
        <x:v>46299.416666666664</x:v>
      </x:c>
      <x:c r="B7244" s="6" t="n">
        <x:v>0.1726</x:v>
      </x:c>
      <x:c r="C7244" s="6" t="n">
        <x:v>0.1052</x:v>
      </x:c>
      <x:c r="D7244" s="6" t="n">
        <x:f>B7244</x:f>
        <x:v>0.1726</x:v>
      </x:c>
      <x:c r="E7244" s="1" t="n">
        <x:v>1</x:v>
      </x:c>
      <x:c r="F7244" s="1" t="str">
        <x:v>https://api.octopus.energy/v1/products/AGILE-24-10-01/electricity-tariffs/E-1R-AGILE-24-10-01-G/standard-unit-rates/</x:v>
      </x:c>
    </x:row>
    <x:row r="7245" ht="21" customHeight="1">
      <x:c r="A7245" s="24" t="n">
        <x:v>46299.4375</x:v>
      </x:c>
      <x:c r="B7245" s="6" t="n">
        <x:v>0.1316</x:v>
      </x:c>
      <x:c r="C7245" s="6" t="n">
        <x:v>0.0864</x:v>
      </x:c>
      <x:c r="D7245" s="6" t="n">
        <x:f>B7245</x:f>
        <x:v>0.1316</x:v>
      </x:c>
      <x:c r="E7245" s="1" t="n">
        <x:v>1</x:v>
      </x:c>
      <x:c r="F7245" s="1" t="str">
        <x:v>https://api.octopus.energy/v1/products/AGILE-24-10-01/electricity-tariffs/E-1R-AGILE-24-10-01-G/standard-unit-rates/</x:v>
      </x:c>
    </x:row>
    <x:row r="7246" ht="21" customHeight="1">
      <x:c r="A7246" s="24" t="n">
        <x:v>46299.458333333336</x:v>
      </x:c>
      <x:c r="B7246" s="6" t="n">
        <x:v>0.1091</x:v>
      </x:c>
      <x:c r="C7246" s="6" t="n">
        <x:v>0.0762</x:v>
      </x:c>
      <x:c r="D7246" s="6" t="n">
        <x:f>B7246</x:f>
        <x:v>0.1091</x:v>
      </x:c>
      <x:c r="E7246" s="1" t="n">
        <x:v>1</x:v>
      </x:c>
      <x:c r="F7246" s="1" t="str">
        <x:v>https://api.octopus.energy/v1/products/AGILE-24-10-01/electricity-tariffs/E-1R-AGILE-24-10-01-G/standard-unit-rates/</x:v>
      </x:c>
    </x:row>
    <x:row r="7247" ht="21" customHeight="1">
      <x:c r="A7247" s="24" t="n">
        <x:v>46299.479166666664</x:v>
      </x:c>
      <x:c r="B7247" s="6" t="n">
        <x:v>0.1052</x:v>
      </x:c>
      <x:c r="C7247" s="6" t="n">
        <x:v>0.07440000000000001</x:v>
      </x:c>
      <x:c r="D7247" s="6" t="n">
        <x:f>B7247</x:f>
        <x:v>0.1052</x:v>
      </x:c>
      <x:c r="E7247" s="1" t="n">
        <x:v>1</x:v>
      </x:c>
      <x:c r="F7247" s="1" t="str">
        <x:v>https://api.octopus.energy/v1/products/AGILE-24-10-01/electricity-tariffs/E-1R-AGILE-24-10-01-G/standard-unit-rates/</x:v>
      </x:c>
    </x:row>
    <x:row r="7248" ht="21" customHeight="1">
      <x:c r="A7248" s="24" t="n">
        <x:v>46299.5</x:v>
      </x:c>
      <x:c r="B7248" s="6" t="n">
        <x:v>0.0663</x:v>
      </x:c>
      <x:c r="C7248" s="6" t="n">
        <x:v>0.056600000000000004</x:v>
      </x:c>
      <x:c r="D7248" s="6" t="n">
        <x:f>B7248</x:f>
        <x:v>0.0663</x:v>
      </x:c>
      <x:c r="E7248" s="1" t="n">
        <x:v>1</x:v>
      </x:c>
      <x:c r="F7248" s="1" t="str">
        <x:v>https://api.octopus.energy/v1/products/AGILE-24-10-01/electricity-tariffs/E-1R-AGILE-24-10-01-G/standard-unit-rates/</x:v>
      </x:c>
    </x:row>
    <x:row r="7249" ht="21" customHeight="1">
      <x:c r="A7249" s="24" t="n">
        <x:v>46299.520833333336</x:v>
      </x:c>
      <x:c r="B7249" s="6" t="n">
        <x:v>0.064</x:v>
      </x:c>
      <x:c r="C7249" s="6" t="n">
        <x:v>0.0555</x:v>
      </x:c>
      <x:c r="D7249" s="6" t="n">
        <x:f>B7249</x:f>
        <x:v>0.064</x:v>
      </x:c>
      <x:c r="E7249" s="1" t="n">
        <x:v>1</x:v>
      </x:c>
      <x:c r="F7249" s="1" t="str">
        <x:v>https://api.octopus.energy/v1/products/AGILE-24-10-01/electricity-tariffs/E-1R-AGILE-24-10-01-G/standard-unit-rates/</x:v>
      </x:c>
    </x:row>
    <x:row r="7250" ht="21" customHeight="1">
      <x:c r="A7250" s="24" t="n">
        <x:v>46299.541666666664</x:v>
      </x:c>
      <x:c r="B7250" s="6" t="n">
        <x:v>0.0716</x:v>
      </x:c>
      <x:c r="C7250" s="6" t="n">
        <x:v>0.059000000000000004</x:v>
      </x:c>
      <x:c r="D7250" s="6" t="n">
        <x:f>B7250</x:f>
        <x:v>0.0716</x:v>
      </x:c>
      <x:c r="E7250" s="1" t="n">
        <x:v>1</x:v>
      </x:c>
      <x:c r="F7250" s="1" t="str">
        <x:v>https://api.octopus.energy/v1/products/AGILE-24-10-01/electricity-tariffs/E-1R-AGILE-24-10-01-G/standard-unit-rates/</x:v>
      </x:c>
    </x:row>
    <x:row r="7251" ht="21" customHeight="1">
      <x:c r="A7251" s="24" t="n">
        <x:v>46299.5625</x:v>
      </x:c>
      <x:c r="B7251" s="6" t="n">
        <x:v>0.0674</x:v>
      </x:c>
      <x:c r="C7251" s="6" t="n">
        <x:v>0.0571</x:v>
      </x:c>
      <x:c r="D7251" s="6" t="n">
        <x:f>B7251</x:f>
        <x:v>0.0674</x:v>
      </x:c>
      <x:c r="E7251" s="1" t="n">
        <x:v>1</x:v>
      </x:c>
      <x:c r="F7251" s="1" t="str">
        <x:v>https://api.octopus.energy/v1/products/AGILE-24-10-01/electricity-tariffs/E-1R-AGILE-24-10-01-G/standard-unit-rates/</x:v>
      </x:c>
    </x:row>
    <x:row r="7252" ht="21" customHeight="1">
      <x:c r="A7252" s="24" t="n">
        <x:v>46299.583333333336</x:v>
      </x:c>
      <x:c r="B7252" s="6" t="n">
        <x:v>0.11220000000000001</x:v>
      </x:c>
      <x:c r="C7252" s="6" t="n">
        <x:v>0.0776</x:v>
      </x:c>
      <x:c r="D7252" s="6" t="n">
        <x:f>B7252</x:f>
        <x:v>0.11220000000000001</x:v>
      </x:c>
      <x:c r="E7252" s="1" t="n">
        <x:v>1</x:v>
      </x:c>
      <x:c r="F7252" s="1" t="str">
        <x:v>https://api.octopus.energy/v1/products/AGILE-24-10-01/electricity-tariffs/E-1R-AGILE-24-10-01-G/standard-unit-rates/</x:v>
      </x:c>
    </x:row>
    <x:row r="7253" ht="21" customHeight="1">
      <x:c r="A7253" s="24" t="n">
        <x:v>46299.604166666664</x:v>
      </x:c>
      <x:c r="B7253" s="6" t="n">
        <x:v>0.1346</x:v>
      </x:c>
      <x:c r="C7253" s="6" t="n">
        <x:v>0.08779999999999999</x:v>
      </x:c>
      <x:c r="D7253" s="6" t="n">
        <x:f>B7253</x:f>
        <x:v>0.1346</x:v>
      </x:c>
      <x:c r="E7253" s="1" t="n">
        <x:v>1</x:v>
      </x:c>
      <x:c r="F7253" s="1" t="str">
        <x:v>https://api.octopus.energy/v1/products/AGILE-24-10-01/electricity-tariffs/E-1R-AGILE-24-10-01-G/standard-unit-rates/</x:v>
      </x:c>
    </x:row>
    <x:row r="7254" ht="21" customHeight="1">
      <x:c r="A7254" s="24" t="n">
        <x:v>46299.625</x:v>
      </x:c>
      <x:c r="B7254" s="6" t="n">
        <x:v>0.2186</x:v>
      </x:c>
      <x:c r="C7254" s="6" t="n">
        <x:v>0.12619999999999998</x:v>
      </x:c>
      <x:c r="D7254" s="6" t="n">
        <x:f>B7254</x:f>
        <x:v>0.2186</x:v>
      </x:c>
      <x:c r="E7254" s="1" t="n">
        <x:v>1</x:v>
      </x:c>
      <x:c r="F7254" s="1" t="str">
        <x:v>https://api.octopus.energy/v1/products/AGILE-24-10-01/electricity-tariffs/E-1R-AGILE-24-10-01-G/standard-unit-rates/</x:v>
      </x:c>
    </x:row>
    <x:row r="7255" ht="21" customHeight="1">
      <x:c r="A7255" s="24" t="n">
        <x:v>46299.645833333336</x:v>
      </x:c>
      <x:c r="B7255" s="6" t="n">
        <x:v>0.2302</x:v>
      </x:c>
      <x:c r="C7255" s="6" t="n">
        <x:v>0.1315</x:v>
      </x:c>
      <x:c r="D7255" s="6" t="n">
        <x:f>B7255</x:f>
        <x:v>0.2302</x:v>
      </x:c>
      <x:c r="E7255" s="1" t="n">
        <x:v>1</x:v>
      </x:c>
      <x:c r="F7255" s="1" t="str">
        <x:v>https://api.octopus.energy/v1/products/AGILE-24-10-01/electricity-tariffs/E-1R-AGILE-24-10-01-G/standard-unit-rates/</x:v>
      </x:c>
    </x:row>
    <x:row r="7256" ht="21" customHeight="1">
      <x:c r="A7256" s="24" t="n">
        <x:v>46299.666666666664</x:v>
      </x:c>
      <x:c r="B7256" s="6" t="n">
        <x:v>0.41840000000000005</x:v>
      </x:c>
      <x:c r="C7256" s="6" t="n">
        <x:v>0.2216</x:v>
      </x:c>
      <x:c r="D7256" s="6" t="n">
        <x:f>B7256</x:f>
        <x:v>0.41840000000000005</x:v>
      </x:c>
      <x:c r="E7256" s="1" t="n">
        <x:v>1</x:v>
      </x:c>
      <x:c r="F7256" s="1" t="str">
        <x:v>https://api.octopus.energy/v1/products/AGILE-24-10-01/electricity-tariffs/E-1R-AGILE-24-10-01-G/standard-unit-rates/</x:v>
      </x:c>
    </x:row>
    <x:row r="7257" ht="21" customHeight="1">
      <x:c r="A7257" s="24" t="n">
        <x:v>46299.6875</x:v>
      </x:c>
      <x:c r="B7257" s="6" t="n">
        <x:v>0.4226</x:v>
      </x:c>
      <x:c r="C7257" s="6" t="n">
        <x:v>0.2235</x:v>
      </x:c>
      <x:c r="D7257" s="6" t="n">
        <x:f>B7257</x:f>
        <x:v>0.4226</x:v>
      </x:c>
      <x:c r="E7257" s="1" t="n">
        <x:v>1</x:v>
      </x:c>
      <x:c r="F7257" s="1" t="str">
        <x:v>https://api.octopus.energy/v1/products/AGILE-24-10-01/electricity-tariffs/E-1R-AGILE-24-10-01-G/standard-unit-rates/</x:v>
      </x:c>
    </x:row>
    <x:row r="7258" ht="21" customHeight="1">
      <x:c r="A7258" s="24" t="n">
        <x:v>46299.708333333336</x:v>
      </x:c>
      <x:c r="B7258" s="6" t="n">
        <x:v>0.473</x:v>
      </x:c>
      <x:c r="C7258" s="6" t="n">
        <x:v>0.2465</x:v>
      </x:c>
      <x:c r="D7258" s="6" t="n">
        <x:f>B7258</x:f>
        <x:v>0.473</x:v>
      </x:c>
      <x:c r="E7258" s="1" t="n">
        <x:v>1</x:v>
      </x:c>
      <x:c r="F7258" s="1" t="str">
        <x:v>https://api.octopus.energy/v1/products/AGILE-24-10-01/electricity-tariffs/E-1R-AGILE-24-10-01-G/standard-unit-rates/</x:v>
      </x:c>
    </x:row>
    <x:row r="7259" ht="21" customHeight="1">
      <x:c r="A7259" s="24" t="n">
        <x:v>46299.729166666664</x:v>
      </x:c>
      <x:c r="B7259" s="6" t="n">
        <x:v>0.494</x:v>
      </x:c>
      <x:c r="C7259" s="6" t="n">
        <x:v>0.2561</x:v>
      </x:c>
      <x:c r="D7259" s="6" t="n">
        <x:f>B7259</x:f>
        <x:v>0.494</x:v>
      </x:c>
      <x:c r="E7259" s="1" t="n">
        <x:v>1</x:v>
      </x:c>
      <x:c r="F7259" s="1" t="str">
        <x:v>https://api.octopus.energy/v1/products/AGILE-24-10-01/electricity-tariffs/E-1R-AGILE-24-10-01-G/standard-unit-rates/</x:v>
      </x:c>
    </x:row>
    <x:row r="7260" ht="21" customHeight="1">
      <x:c r="A7260" s="24" t="n">
        <x:v>46299.75</x:v>
      </x:c>
      <x:c r="B7260" s="6" t="n">
        <x:v>0.5004</x:v>
      </x:c>
      <x:c r="C7260" s="6" t="n">
        <x:v>0.2591</x:v>
      </x:c>
      <x:c r="D7260" s="6" t="n">
        <x:f>B7260</x:f>
        <x:v>0.5004</x:v>
      </x:c>
      <x:c r="E7260" s="1" t="n">
        <x:v>1</x:v>
      </x:c>
      <x:c r="F7260" s="1" t="str">
        <x:v>https://api.octopus.energy/v1/products/AGILE-24-10-01/electricity-tariffs/E-1R-AGILE-24-10-01-G/standard-unit-rates/</x:v>
      </x:c>
    </x:row>
    <x:row r="7261" ht="21" customHeight="1">
      <x:c r="A7261" s="24" t="n">
        <x:v>46299.770833333336</x:v>
      </x:c>
      <x:c r="B7261" s="6" t="n">
        <x:v>0.5057</x:v>
      </x:c>
      <x:c r="C7261" s="6" t="n">
        <x:v>0.2615</x:v>
      </x:c>
      <x:c r="D7261" s="6" t="n">
        <x:f>B7261</x:f>
        <x:v>0.5057</x:v>
      </x:c>
      <x:c r="E7261" s="1" t="n">
        <x:v>1</x:v>
      </x:c>
      <x:c r="F7261" s="1" t="str">
        <x:v>https://api.octopus.energy/v1/products/AGILE-24-10-01/electricity-tariffs/E-1R-AGILE-24-10-01-G/standard-unit-rates/</x:v>
      </x:c>
    </x:row>
    <x:row r="7262" ht="21" customHeight="1">
      <x:c r="A7262" s="24" t="n">
        <x:v>46299.791666666664</x:v>
      </x:c>
      <x:c r="B7262" s="6" t="n">
        <x:v>0.37829999999999997</x:v>
      </x:c>
      <x:c r="C7262" s="6" t="n">
        <x:v>0.19920000000000002</x:v>
      </x:c>
      <x:c r="D7262" s="6" t="n">
        <x:f>B7262</x:f>
        <x:v>0.37829999999999997</x:v>
      </x:c>
      <x:c r="E7262" s="1" t="n">
        <x:v>1</x:v>
      </x:c>
      <x:c r="F7262" s="1" t="str">
        <x:v>https://api.octopus.energy/v1/products/AGILE-24-10-01/electricity-tariffs/E-1R-AGILE-24-10-01-G/standard-unit-rates/</x:v>
      </x:c>
    </x:row>
    <x:row r="7263" ht="21" customHeight="1">
      <x:c r="A7263" s="24" t="n">
        <x:v>46299.8125</x:v>
      </x:c>
      <x:c r="B7263" s="6" t="n">
        <x:v>0.3638</x:v>
      </x:c>
      <x:c r="C7263" s="6" t="n">
        <x:v>0.19260000000000002</x:v>
      </x:c>
      <x:c r="D7263" s="6" t="n">
        <x:f>B7263</x:f>
        <x:v>0.3638</x:v>
      </x:c>
      <x:c r="E7263" s="1" t="n">
        <x:v>1</x:v>
      </x:c>
      <x:c r="F7263" s="1" t="str">
        <x:v>https://api.octopus.energy/v1/products/AGILE-24-10-01/electricity-tariffs/E-1R-AGILE-24-10-01-G/standard-unit-rates/</x:v>
      </x:c>
    </x:row>
    <x:row r="7264" ht="21" customHeight="1">
      <x:c r="A7264" s="24" t="n">
        <x:v>46299.833333333336</x:v>
      </x:c>
      <x:c r="B7264" s="6" t="n">
        <x:v>0.3602</x:v>
      </x:c>
      <x:c r="C7264" s="6" t="n">
        <x:v>0.1909</x:v>
      </x:c>
      <x:c r="D7264" s="6" t="n">
        <x:f>B7264</x:f>
        <x:v>0.3602</x:v>
      </x:c>
      <x:c r="E7264" s="1" t="n">
        <x:v>1</x:v>
      </x:c>
      <x:c r="F7264" s="1" t="str">
        <x:v>https://api.octopus.energy/v1/products/AGILE-24-10-01/electricity-tariffs/E-1R-AGILE-24-10-01-G/standard-unit-rates/</x:v>
      </x:c>
    </x:row>
    <x:row r="7265" ht="21" customHeight="1">
      <x:c r="A7265" s="24" t="n">
        <x:v>46299.854166666664</x:v>
      </x:c>
      <x:c r="B7265" s="6" t="n">
        <x:v>0.33340000000000003</x:v>
      </x:c>
      <x:c r="C7265" s="6" t="n">
        <x:v>0.1787</x:v>
      </x:c>
      <x:c r="D7265" s="6" t="n">
        <x:f>B7265</x:f>
        <x:v>0.33340000000000003</x:v>
      </x:c>
      <x:c r="E7265" s="1" t="n">
        <x:v>1</x:v>
      </x:c>
      <x:c r="F7265" s="1" t="str">
        <x:v>https://api.octopus.energy/v1/products/AGILE-24-10-01/electricity-tariffs/E-1R-AGILE-24-10-01-G/standard-unit-rates/</x:v>
      </x:c>
    </x:row>
    <x:row r="7266" ht="21" customHeight="1">
      <x:c r="A7266" s="24" t="n">
        <x:v>46299.875</x:v>
      </x:c>
      <x:c r="B7266" s="6" t="n">
        <x:v>0.3404</x:v>
      </x:c>
      <x:c r="C7266" s="6" t="n">
        <x:v>0.1819</x:v>
      </x:c>
      <x:c r="D7266" s="6" t="n">
        <x:f>B7266</x:f>
        <x:v>0.3404</x:v>
      </x:c>
      <x:c r="E7266" s="1" t="n">
        <x:v>1</x:v>
      </x:c>
      <x:c r="F7266" s="1" t="str">
        <x:v>https://api.octopus.energy/v1/products/AGILE-24-10-01/electricity-tariffs/E-1R-AGILE-24-10-01-G/standard-unit-rates/</x:v>
      </x:c>
    </x:row>
    <x:row r="7267" ht="21" customHeight="1">
      <x:c r="A7267" s="24" t="n">
        <x:v>46299.895833333336</x:v>
      </x:c>
      <x:c r="B7267" s="6" t="n">
        <x:v>0.3038</x:v>
      </x:c>
      <x:c r="C7267" s="6" t="n">
        <x:v>0.16519999999999999</x:v>
      </x:c>
      <x:c r="D7267" s="6" t="n">
        <x:f>B7267</x:f>
        <x:v>0.3038</x:v>
      </x:c>
      <x:c r="E7267" s="1" t="n">
        <x:v>1</x:v>
      </x:c>
      <x:c r="F7267" s="1" t="str">
        <x:v>https://api.octopus.energy/v1/products/AGILE-24-10-01/electricity-tariffs/E-1R-AGILE-24-10-01-G/standard-unit-rates/</x:v>
      </x:c>
    </x:row>
    <x:row r="7268" ht="21" customHeight="1">
      <x:c r="A7268" s="24" t="n">
        <x:v>46299.916666666664</x:v>
      </x:c>
      <x:c r="B7268" s="6" t="n">
        <x:v>0.2832</x:v>
      </x:c>
      <x:c r="C7268" s="6" t="n">
        <x:v>0.1557</x:v>
      </x:c>
      <x:c r="D7268" s="6" t="n">
        <x:f>B7268</x:f>
        <x:v>0.2832</x:v>
      </x:c>
      <x:c r="E7268" s="1" t="n">
        <x:v>1</x:v>
      </x:c>
      <x:c r="F7268" s="1" t="str">
        <x:v>https://api.octopus.energy/v1/products/AGILE-24-10-01/electricity-tariffs/E-1R-AGILE-24-10-01-G/standard-unit-rates/</x:v>
      </x:c>
    </x:row>
    <x:row r="7269" ht="21" customHeight="1">
      <x:c r="A7269" s="24" t="n">
        <x:v>46299.9375</x:v>
      </x:c>
      <x:c r="B7269" s="6" t="n">
        <x:v>0.2643</x:v>
      </x:c>
      <x:c r="C7269" s="6" t="n">
        <x:v>0.1471</x:v>
      </x:c>
      <x:c r="D7269" s="6" t="n">
        <x:f>B7269</x:f>
        <x:v>0.2643</x:v>
      </x:c>
      <x:c r="E7269" s="1" t="n">
        <x:v>1</x:v>
      </x:c>
      <x:c r="F7269" s="1" t="str">
        <x:v>https://api.octopus.energy/v1/products/AGILE-24-10-01/electricity-tariffs/E-1R-AGILE-24-10-01-G/standard-unit-rates/</x:v>
      </x:c>
    </x:row>
    <x:row r="7270" ht="21" customHeight="1">
      <x:c r="A7270" s="24" t="n">
        <x:v>46300</x:v>
      </x:c>
      <x:c r="B7270" s="6" t="n">
        <x:v>0.2529</x:v>
      </x:c>
      <x:c r="C7270" s="6" t="n">
        <x:v>0.1419</x:v>
      </x:c>
      <x:c r="D7270" s="6" t="n">
        <x:f>B7270</x:f>
        <x:v>0.2529</x:v>
      </x:c>
      <x:c r="E7270" s="1" t="n">
        <x:v>1</x:v>
      </x:c>
      <x:c r="F7270" s="1" t="str">
        <x:v>https://api.octopus.energy/v1/products/AGILE-24-10-01/electricity-tariffs/E-1R-AGILE-24-10-01-G/standard-unit-rates/</x:v>
      </x:c>
    </x:row>
    <x:row r="7271" ht="21" customHeight="1">
      <x:c r="A7271" s="24" t="n">
        <x:v>46299.979166666664</x:v>
      </x:c>
      <x:c r="B7271" s="6" t="n">
        <x:v>0.2395</x:v>
      </x:c>
      <x:c r="C7271" s="6" t="n">
        <x:v>0.13570000000000002</x:v>
      </x:c>
      <x:c r="D7271" s="6" t="n">
        <x:f>B7271</x:f>
        <x:v>0.2395</x:v>
      </x:c>
      <x:c r="E7271" s="1" t="n">
        <x:v>1</x:v>
      </x:c>
      <x:c r="F7271" s="1" t="str">
        <x:v>https://api.octopus.energy/v1/products/AGILE-24-10-01/electricity-tariffs/E-1R-AGILE-24-10-01-G/standard-unit-rates/</x:v>
      </x:c>
    </x:row>
    <x:row r="7272" ht="21" customHeight="1">
      <x:c r="A7272" s="24" t="n">
        <x:v>46300</x:v>
      </x:c>
      <x:c r="B7272" s="6" t="n">
        <x:v>0.22440000000000002</x:v>
      </x:c>
      <x:c r="C7272" s="6" t="n">
        <x:v>0.1288</x:v>
      </x:c>
      <x:c r="D7272" s="6" t="n">
        <x:f>B7272</x:f>
        <x:v>0.22440000000000002</x:v>
      </x:c>
      <x:c r="E7272" s="1" t="n">
        <x:v>1</x:v>
      </x:c>
      <x:c r="F7272" s="1" t="str">
        <x:v>https://api.octopus.energy/v1/products/AGILE-24-10-01/electricity-tariffs/E-1R-AGILE-24-10-01-G/standard-unit-rates/</x:v>
      </x:c>
    </x:row>
    <x:row r="7273" ht="21" customHeight="1">
      <x:c r="A7273" s="24" t="n">
        <x:v>46300.020833333336</x:v>
      </x:c>
      <x:c r="B7273" s="6" t="n">
        <x:v>0.2181</x:v>
      </x:c>
      <x:c r="C7273" s="6" t="n">
        <x:v>0.126</x:v>
      </x:c>
      <x:c r="D7273" s="6" t="n">
        <x:f>B7273</x:f>
        <x:v>0.2181</x:v>
      </x:c>
      <x:c r="E7273" s="1" t="n">
        <x:v>1</x:v>
      </x:c>
      <x:c r="F7273" s="1" t="str">
        <x:v>https://api.octopus.energy/v1/products/AGILE-24-10-01/electricity-tariffs/E-1R-AGILE-24-10-01-G/standard-unit-rates/</x:v>
      </x:c>
    </x:row>
    <x:row r="7274" ht="21" customHeight="1">
      <x:c r="A7274" s="24" t="n">
        <x:v>46300.041666666664</x:v>
      </x:c>
      <x:c r="B7274" s="6" t="n">
        <x:v>0.2152</x:v>
      </x:c>
      <x:c r="C7274" s="6" t="n">
        <x:v>0.1246</x:v>
      </x:c>
      <x:c r="D7274" s="6" t="n">
        <x:f>B7274</x:f>
        <x:v>0.2152</x:v>
      </x:c>
      <x:c r="E7274" s="1" t="n">
        <x:v>1</x:v>
      </x:c>
      <x:c r="F7274" s="1" t="str">
        <x:v>https://api.octopus.energy/v1/products/AGILE-24-10-01/electricity-tariffs/E-1R-AGILE-24-10-01-G/standard-unit-rates/</x:v>
      </x:c>
    </x:row>
    <x:row r="7275" ht="21" customHeight="1">
      <x:c r="A7275" s="24" t="n">
        <x:v>46300.0625</x:v>
      </x:c>
      <x:c r="B7275" s="6" t="n">
        <x:v>0.2194</x:v>
      </x:c>
      <x:c r="C7275" s="6" t="n">
        <x:v>0.1265</x:v>
      </x:c>
      <x:c r="D7275" s="6" t="n">
        <x:f>B7275</x:f>
        <x:v>0.2194</x:v>
      </x:c>
      <x:c r="E7275" s="1" t="n">
        <x:v>1</x:v>
      </x:c>
      <x:c r="F7275" s="1" t="str">
        <x:v>https://api.octopus.energy/v1/products/AGILE-24-10-01/electricity-tariffs/E-1R-AGILE-24-10-01-G/standard-unit-rates/</x:v>
      </x:c>
    </x:row>
    <x:row r="7276" ht="21" customHeight="1">
      <x:c r="A7276" s="24" t="n">
        <x:v>46300.083333333336</x:v>
      </x:c>
      <x:c r="B7276" s="6" t="n">
        <x:v>0.2227</x:v>
      </x:c>
      <x:c r="C7276" s="6" t="n">
        <x:v>0.1281</x:v>
      </x:c>
      <x:c r="D7276" s="6" t="n">
        <x:f>B7276</x:f>
        <x:v>0.2227</x:v>
      </x:c>
      <x:c r="E7276" s="1" t="n">
        <x:v>1</x:v>
      </x:c>
      <x:c r="F7276" s="1" t="str">
        <x:v>https://api.octopus.energy/v1/products/AGILE-24-10-01/electricity-tariffs/E-1R-AGILE-24-10-01-G/standard-unit-rates/</x:v>
      </x:c>
    </x:row>
    <x:row r="7277" ht="21" customHeight="1">
      <x:c r="A7277" s="24" t="n">
        <x:v>46300.104166666664</x:v>
      </x:c>
      <x:c r="B7277" s="6" t="n">
        <x:v>0.2234</x:v>
      </x:c>
      <x:c r="C7277" s="6" t="n">
        <x:v>0.1284</x:v>
      </x:c>
      <x:c r="D7277" s="6" t="n">
        <x:f>B7277</x:f>
        <x:v>0.2234</x:v>
      </x:c>
      <x:c r="E7277" s="1" t="n">
        <x:v>1</x:v>
      </x:c>
      <x:c r="F7277" s="1" t="str">
        <x:v>https://api.octopus.energy/v1/products/AGILE-24-10-01/electricity-tariffs/E-1R-AGILE-24-10-01-G/standard-unit-rates/</x:v>
      </x:c>
    </x:row>
    <x:row r="7278" ht="21" customHeight="1">
      <x:c r="A7278" s="24" t="n">
        <x:v>46300.125</x:v>
      </x:c>
      <x:c r="B7278" s="6" t="n">
        <x:v>0.2218</x:v>
      </x:c>
      <x:c r="C7278" s="6" t="n">
        <x:v>0.1276</x:v>
      </x:c>
      <x:c r="D7278" s="6" t="n">
        <x:f>B7278</x:f>
        <x:v>0.2218</x:v>
      </x:c>
      <x:c r="E7278" s="1" t="n">
        <x:v>1</x:v>
      </x:c>
      <x:c r="F7278" s="1" t="str">
        <x:v>https://api.octopus.energy/v1/products/AGILE-24-10-01/electricity-tariffs/E-1R-AGILE-24-10-01-G/standard-unit-rates/</x:v>
      </x:c>
    </x:row>
    <x:row r="7279" ht="21" customHeight="1">
      <x:c r="A7279" s="24" t="n">
        <x:v>46300.145833333336</x:v>
      </x:c>
      <x:c r="B7279" s="6" t="n">
        <x:v>0.2169</x:v>
      </x:c>
      <x:c r="C7279" s="6" t="n">
        <x:v>0.12539999999999998</x:v>
      </x:c>
      <x:c r="D7279" s="6" t="n">
        <x:f>B7279</x:f>
        <x:v>0.2169</x:v>
      </x:c>
      <x:c r="E7279" s="1" t="n">
        <x:v>1</x:v>
      </x:c>
      <x:c r="F7279" s="1" t="str">
        <x:v>https://api.octopus.energy/v1/products/AGILE-24-10-01/electricity-tariffs/E-1R-AGILE-24-10-01-G/standard-unit-rates/</x:v>
      </x:c>
    </x:row>
    <x:row r="7280" ht="21" customHeight="1">
      <x:c r="A7280" s="24" t="n">
        <x:v>46300.166666666664</x:v>
      </x:c>
      <x:c r="B7280" s="6" t="n">
        <x:v>0.2281</x:v>
      </x:c>
      <x:c r="C7280" s="6" t="n">
        <x:v>0.1305</x:v>
      </x:c>
      <x:c r="D7280" s="6" t="n">
        <x:f>B7280</x:f>
        <x:v>0.2281</x:v>
      </x:c>
      <x:c r="E7280" s="1" t="n">
        <x:v>1</x:v>
      </x:c>
      <x:c r="F7280" s="1" t="str">
        <x:v>https://api.octopus.energy/v1/products/AGILE-24-10-01/electricity-tariffs/E-1R-AGILE-24-10-01-G/standard-unit-rates/</x:v>
      </x:c>
    </x:row>
    <x:row r="7281" ht="21" customHeight="1">
      <x:c r="A7281" s="24" t="n">
        <x:v>46300.1875</x:v>
      </x:c>
      <x:c r="B7281" s="6" t="n">
        <x:v>0.2303</x:v>
      </x:c>
      <x:c r="C7281" s="6" t="n">
        <x:v>0.1315</x:v>
      </x:c>
      <x:c r="D7281" s="6" t="n">
        <x:f>B7281</x:f>
        <x:v>0.2303</x:v>
      </x:c>
      <x:c r="E7281" s="1" t="n">
        <x:v>1</x:v>
      </x:c>
      <x:c r="F7281" s="1" t="str">
        <x:v>https://api.octopus.energy/v1/products/AGILE-24-10-01/electricity-tariffs/E-1R-AGILE-24-10-01-G/standard-unit-rates/</x:v>
      </x:c>
    </x:row>
    <x:row r="7282" ht="21" customHeight="1">
      <x:c r="A7282" s="24" t="n">
        <x:v>46300.208333333336</x:v>
      </x:c>
      <x:c r="B7282" s="6" t="n">
        <x:v>0.2501</x:v>
      </x:c>
      <x:c r="C7282" s="6" t="n">
        <x:v>0.1406</x:v>
      </x:c>
      <x:c r="D7282" s="6" t="n">
        <x:f>B7282</x:f>
        <x:v>0.2501</x:v>
      </x:c>
      <x:c r="E7282" s="1" t="n">
        <x:v>1</x:v>
      </x:c>
      <x:c r="F7282" s="1" t="str">
        <x:v>https://api.octopus.energy/v1/products/AGILE-24-10-01/electricity-tariffs/E-1R-AGILE-24-10-01-G/standard-unit-rates/</x:v>
      </x:c>
    </x:row>
    <x:row r="7283" ht="21" customHeight="1">
      <x:c r="A7283" s="24" t="n">
        <x:v>46300.229166666664</x:v>
      </x:c>
      <x:c r="B7283" s="6" t="n">
        <x:v>0.2281</x:v>
      </x:c>
      <x:c r="C7283" s="6" t="n">
        <x:v>0.1305</x:v>
      </x:c>
      <x:c r="D7283" s="6" t="n">
        <x:f>B7283</x:f>
        <x:v>0.2281</x:v>
      </x:c>
      <x:c r="E7283" s="1" t="n">
        <x:v>1</x:v>
      </x:c>
      <x:c r="F7283" s="1" t="str">
        <x:v>https://api.octopus.energy/v1/products/AGILE-24-10-01/electricity-tariffs/E-1R-AGILE-24-10-01-G/standard-unit-rates/</x:v>
      </x:c>
    </x:row>
    <x:row r="7284" ht="21" customHeight="1">
      <x:c r="A7284" s="24" t="n">
        <x:v>46300.25</x:v>
      </x:c>
      <x:c r="B7284" s="6" t="n">
        <x:v>0.2489</x:v>
      </x:c>
      <x:c r="C7284" s="6" t="n">
        <x:v>0.14</x:v>
      </x:c>
      <x:c r="D7284" s="6" t="n">
        <x:f>B7284</x:f>
        <x:v>0.2489</x:v>
      </x:c>
      <x:c r="E7284" s="1" t="n">
        <x:v>1</x:v>
      </x:c>
      <x:c r="F7284" s="1" t="str">
        <x:v>https://api.octopus.energy/v1/products/AGILE-24-10-01/electricity-tariffs/E-1R-AGILE-24-10-01-G/standard-unit-rates/</x:v>
      </x:c>
    </x:row>
    <x:row r="7285" ht="21" customHeight="1">
      <x:c r="A7285" s="24" t="n">
        <x:v>46300.270833333336</x:v>
      </x:c>
      <x:c r="B7285" s="6" t="n">
        <x:v>0.311</x:v>
      </x:c>
      <x:c r="C7285" s="6" t="n">
        <x:v>0.1684</x:v>
      </x:c>
      <x:c r="D7285" s="6" t="n">
        <x:f>B7285</x:f>
        <x:v>0.311</x:v>
      </x:c>
      <x:c r="E7285" s="1" t="n">
        <x:v>1</x:v>
      </x:c>
      <x:c r="F7285" s="1" t="str">
        <x:v>https://api.octopus.energy/v1/products/AGILE-24-10-01/electricity-tariffs/E-1R-AGILE-24-10-01-G/standard-unit-rates/</x:v>
      </x:c>
    </x:row>
    <x:row r="7286" ht="21" customHeight="1">
      <x:c r="A7286" s="24" t="n">
        <x:v>46300.291666666664</x:v>
      </x:c>
      <x:c r="B7286" s="6" t="n">
        <x:v>0.3086</x:v>
      </x:c>
      <x:c r="C7286" s="6" t="n">
        <x:v>0.1673</x:v>
      </x:c>
      <x:c r="D7286" s="6" t="n">
        <x:f>B7286</x:f>
        <x:v>0.3086</x:v>
      </x:c>
      <x:c r="E7286" s="1" t="n">
        <x:v>1</x:v>
      </x:c>
      <x:c r="F7286" s="1" t="str">
        <x:v>https://api.octopus.energy/v1/products/AGILE-24-10-01/electricity-tariffs/E-1R-AGILE-24-10-01-G/standard-unit-rates/</x:v>
      </x:c>
    </x:row>
    <x:row r="7287" ht="21" customHeight="1">
      <x:c r="A7287" s="24" t="n">
        <x:v>46300.3125</x:v>
      </x:c>
      <x:c r="B7287" s="6" t="n">
        <x:v>0.35509999999999997</x:v>
      </x:c>
      <x:c r="C7287" s="6" t="n">
        <x:v>0.1886</x:v>
      </x:c>
      <x:c r="D7287" s="6" t="n">
        <x:f>B7287</x:f>
        <x:v>0.35509999999999997</x:v>
      </x:c>
      <x:c r="E7287" s="1" t="n">
        <x:v>1</x:v>
      </x:c>
      <x:c r="F7287" s="1" t="str">
        <x:v>https://api.octopus.energy/v1/products/AGILE-24-10-01/electricity-tariffs/E-1R-AGILE-24-10-01-G/standard-unit-rates/</x:v>
      </x:c>
    </x:row>
    <x:row r="7288" ht="21" customHeight="1">
      <x:c r="A7288" s="24" t="n">
        <x:v>46300.333333333336</x:v>
      </x:c>
      <x:c r="B7288" s="6" t="n">
        <x:v>0.2967</x:v>
      </x:c>
      <x:c r="C7288" s="6" t="n">
        <x:v>0.16190000000000002</x:v>
      </x:c>
      <x:c r="D7288" s="6" t="n">
        <x:f>B7288</x:f>
        <x:v>0.2967</x:v>
      </x:c>
      <x:c r="E7288" s="1" t="n">
        <x:v>1</x:v>
      </x:c>
      <x:c r="F7288" s="1" t="str">
        <x:v>https://api.octopus.energy/v1/products/AGILE-24-10-01/electricity-tariffs/E-1R-AGILE-24-10-01-G/standard-unit-rates/</x:v>
      </x:c>
    </x:row>
    <x:row r="7289" ht="21" customHeight="1">
      <x:c r="A7289" s="24" t="n">
        <x:v>46300.354166666664</x:v>
      </x:c>
      <x:c r="B7289" s="6" t="n">
        <x:v>0.2874</x:v>
      </x:c>
      <x:c r="C7289" s="6" t="n">
        <x:v>0.1576</x:v>
      </x:c>
      <x:c r="D7289" s="6" t="n">
        <x:f>B7289</x:f>
        <x:v>0.2874</x:v>
      </x:c>
      <x:c r="E7289" s="1" t="n">
        <x:v>1</x:v>
      </x:c>
      <x:c r="F7289" s="1" t="str">
        <x:v>https://api.octopus.energy/v1/products/AGILE-24-10-01/electricity-tariffs/E-1R-AGILE-24-10-01-G/standard-unit-rates/</x:v>
      </x:c>
    </x:row>
    <x:row r="7290" ht="21" customHeight="1">
      <x:c r="A7290" s="24" t="n">
        <x:v>46300.375</x:v>
      </x:c>
      <x:c r="B7290" s="6" t="n">
        <x:v>0.2692</x:v>
      </x:c>
      <x:c r="C7290" s="6" t="n">
        <x:v>0.1493</x:v>
      </x:c>
      <x:c r="D7290" s="6" t="n">
        <x:f>B7290</x:f>
        <x:v>0.2692</x:v>
      </x:c>
      <x:c r="E7290" s="1" t="n">
        <x:v>1</x:v>
      </x:c>
      <x:c r="F7290" s="1" t="str">
        <x:v>https://api.octopus.energy/v1/products/AGILE-24-10-01/electricity-tariffs/E-1R-AGILE-24-10-01-G/standard-unit-rates/</x:v>
      </x:c>
    </x:row>
    <x:row r="7291" ht="21" customHeight="1">
      <x:c r="A7291" s="24" t="n">
        <x:v>46300.395833333336</x:v>
      </x:c>
      <x:c r="B7291" s="6" t="n">
        <x:v>0.2341</x:v>
      </x:c>
      <x:c r="C7291" s="6" t="n">
        <x:v>0.1333</x:v>
      </x:c>
      <x:c r="D7291" s="6" t="n">
        <x:f>B7291</x:f>
        <x:v>0.2341</x:v>
      </x:c>
      <x:c r="E7291" s="1" t="n">
        <x:v>1</x:v>
      </x:c>
      <x:c r="F7291" s="1" t="str">
        <x:v>https://api.octopus.energy/v1/products/AGILE-24-10-01/electricity-tariffs/E-1R-AGILE-24-10-01-G/standard-unit-rates/</x:v>
      </x:c>
    </x:row>
    <x:row r="7292" ht="21" customHeight="1">
      <x:c r="A7292" s="24" t="n">
        <x:v>46300.416666666664</x:v>
      </x:c>
      <x:c r="B7292" s="6" t="n">
        <x:v>0.21309999999999998</x:v>
      </x:c>
      <x:c r="C7292" s="6" t="n">
        <x:v>0.12369999999999999</x:v>
      </x:c>
      <x:c r="D7292" s="6" t="n">
        <x:f>B7292</x:f>
        <x:v>0.21309999999999998</x:v>
      </x:c>
      <x:c r="E7292" s="1" t="n">
        <x:v>1</x:v>
      </x:c>
      <x:c r="F7292" s="1" t="str">
        <x:v>https://api.octopus.energy/v1/products/AGILE-24-10-01/electricity-tariffs/E-1R-AGILE-24-10-01-G/standard-unit-rates/</x:v>
      </x:c>
    </x:row>
    <x:row r="7293" ht="21" customHeight="1">
      <x:c r="A7293" s="24" t="n">
        <x:v>46300.4375</x:v>
      </x:c>
      <x:c r="B7293" s="6" t="n">
        <x:v>0.19149999999999998</x:v>
      </x:c>
      <x:c r="C7293" s="6" t="n">
        <x:v>0.11380000000000001</x:v>
      </x:c>
      <x:c r="D7293" s="6" t="n">
        <x:f>B7293</x:f>
        <x:v>0.19149999999999998</x:v>
      </x:c>
      <x:c r="E7293" s="1" t="n">
        <x:v>1</x:v>
      </x:c>
      <x:c r="F7293" s="1" t="str">
        <x:v>https://api.octopus.energy/v1/products/AGILE-24-10-01/electricity-tariffs/E-1R-AGILE-24-10-01-G/standard-unit-rates/</x:v>
      </x:c>
    </x:row>
    <x:row r="7294" ht="21" customHeight="1">
      <x:c r="A7294" s="24" t="n">
        <x:v>46300.458333333336</x:v>
      </x:c>
      <x:c r="B7294" s="6" t="n">
        <x:v>0.1418</x:v>
      </x:c>
      <x:c r="C7294" s="6" t="n">
        <x:v>0.0911</x:v>
      </x:c>
      <x:c r="D7294" s="6" t="n">
        <x:f>B7294</x:f>
        <x:v>0.1418</x:v>
      </x:c>
      <x:c r="E7294" s="1" t="n">
        <x:v>1</x:v>
      </x:c>
      <x:c r="F7294" s="1" t="str">
        <x:v>https://api.octopus.energy/v1/products/AGILE-24-10-01/electricity-tariffs/E-1R-AGILE-24-10-01-G/standard-unit-rates/</x:v>
      </x:c>
    </x:row>
    <x:row r="7295" ht="21" customHeight="1">
      <x:c r="A7295" s="24" t="n">
        <x:v>46300.479166666664</x:v>
      </x:c>
      <x:c r="B7295" s="6" t="n">
        <x:v>0.1266</x:v>
      </x:c>
      <x:c r="C7295" s="6" t="n">
        <x:v>0.08410000000000001</x:v>
      </x:c>
      <x:c r="D7295" s="6" t="n">
        <x:f>B7295</x:f>
        <x:v>0.1266</x:v>
      </x:c>
      <x:c r="E7295" s="1" t="n">
        <x:v>1</x:v>
      </x:c>
      <x:c r="F7295" s="1" t="str">
        <x:v>https://api.octopus.energy/v1/products/AGILE-24-10-01/electricity-tariffs/E-1R-AGILE-24-10-01-G/standard-unit-rates/</x:v>
      </x:c>
    </x:row>
    <x:row r="7296" ht="21" customHeight="1">
      <x:c r="A7296" s="24" t="n">
        <x:v>46300.5</x:v>
      </x:c>
      <x:c r="B7296" s="6" t="n">
        <x:v>0.13119999999999998</x:v>
      </x:c>
      <x:c r="C7296" s="6" t="n">
        <x:v>0.0863</x:v>
      </x:c>
      <x:c r="D7296" s="6" t="n">
        <x:f>B7296</x:f>
        <x:v>0.13119999999999998</x:v>
      </x:c>
      <x:c r="E7296" s="1" t="n">
        <x:v>1</x:v>
      </x:c>
      <x:c r="F7296" s="1" t="str">
        <x:v>https://api.octopus.energy/v1/products/AGILE-24-10-01/electricity-tariffs/E-1R-AGILE-24-10-01-G/standard-unit-rates/</x:v>
      </x:c>
    </x:row>
    <x:row r="7297" ht="21" customHeight="1">
      <x:c r="A7297" s="24" t="n">
        <x:v>46300.520833333336</x:v>
      </x:c>
      <x:c r="B7297" s="6" t="n">
        <x:v>0.12960000000000002</x:v>
      </x:c>
      <x:c r="C7297" s="6" t="n">
        <x:v>0.0855</x:v>
      </x:c>
      <x:c r="D7297" s="6" t="n">
        <x:f>B7297</x:f>
        <x:v>0.12960000000000002</x:v>
      </x:c>
      <x:c r="E7297" s="1" t="n">
        <x:v>1</x:v>
      </x:c>
      <x:c r="F7297" s="1" t="str">
        <x:v>https://api.octopus.energy/v1/products/AGILE-24-10-01/electricity-tariffs/E-1R-AGILE-24-10-01-G/standard-unit-rates/</x:v>
      </x:c>
    </x:row>
    <x:row r="7298" ht="21" customHeight="1">
      <x:c r="A7298" s="24" t="n">
        <x:v>46300.541666666664</x:v>
      </x:c>
      <x:c r="B7298" s="6" t="n">
        <x:v>0.1103</x:v>
      </x:c>
      <x:c r="C7298" s="6" t="n">
        <x:v>0.0767</x:v>
      </x:c>
      <x:c r="D7298" s="6" t="n">
        <x:f>B7298</x:f>
        <x:v>0.1103</x:v>
      </x:c>
      <x:c r="E7298" s="1" t="n">
        <x:v>1</x:v>
      </x:c>
      <x:c r="F7298" s="1" t="str">
        <x:v>https://api.octopus.energy/v1/products/AGILE-24-10-01/electricity-tariffs/E-1R-AGILE-24-10-01-G/standard-unit-rates/</x:v>
      </x:c>
    </x:row>
    <x:row r="7299" ht="21" customHeight="1">
      <x:c r="A7299" s="24" t="n">
        <x:v>46300.5625</x:v>
      </x:c>
      <x:c r="B7299" s="6" t="n">
        <x:v>0.11019999999999999</x:v>
      </x:c>
      <x:c r="C7299" s="6" t="n">
        <x:v>0.0767</x:v>
      </x:c>
      <x:c r="D7299" s="6" t="n">
        <x:f>B7299</x:f>
        <x:v>0.11019999999999999</x:v>
      </x:c>
      <x:c r="E7299" s="1" t="n">
        <x:v>1</x:v>
      </x:c>
      <x:c r="F7299" s="1" t="str">
        <x:v>https://api.octopus.energy/v1/products/AGILE-24-10-01/electricity-tariffs/E-1R-AGILE-24-10-01-G/standard-unit-rates/</x:v>
      </x:c>
    </x:row>
    <x:row r="7300" ht="21" customHeight="1">
      <x:c r="A7300" s="24" t="n">
        <x:v>46300.583333333336</x:v>
      </x:c>
      <x:c r="B7300" s="6" t="n">
        <x:v>0.15380000000000002</x:v>
      </x:c>
      <x:c r="C7300" s="6" t="n">
        <x:v>0.0966</x:v>
      </x:c>
      <x:c r="D7300" s="6" t="n">
        <x:f>B7300</x:f>
        <x:v>0.15380000000000002</x:v>
      </x:c>
      <x:c r="E7300" s="1" t="n">
        <x:v>1</x:v>
      </x:c>
      <x:c r="F7300" s="1" t="str">
        <x:v>https://api.octopus.energy/v1/products/AGILE-24-10-01/electricity-tariffs/E-1R-AGILE-24-10-01-G/standard-unit-rates/</x:v>
      </x:c>
    </x:row>
    <x:row r="7301" ht="21" customHeight="1">
      <x:c r="A7301" s="24" t="n">
        <x:v>46300.604166666664</x:v>
      </x:c>
      <x:c r="B7301" s="6" t="n">
        <x:v>0.1703</x:v>
      </x:c>
      <x:c r="C7301" s="6" t="n">
        <x:v>0.1041</x:v>
      </x:c>
      <x:c r="D7301" s="6" t="n">
        <x:f>B7301</x:f>
        <x:v>0.1703</x:v>
      </x:c>
      <x:c r="E7301" s="1" t="n">
        <x:v>1</x:v>
      </x:c>
      <x:c r="F7301" s="1" t="str">
        <x:v>https://api.octopus.energy/v1/products/AGILE-24-10-01/electricity-tariffs/E-1R-AGILE-24-10-01-G/standard-unit-rates/</x:v>
      </x:c>
    </x:row>
    <x:row r="7302" ht="21" customHeight="1">
      <x:c r="A7302" s="24" t="n">
        <x:v>46300.625</x:v>
      </x:c>
      <x:c r="B7302" s="6" t="n">
        <x:v>0.2291</x:v>
      </x:c>
      <x:c r="C7302" s="6" t="n">
        <x:v>0.131</x:v>
      </x:c>
      <x:c r="D7302" s="6" t="n">
        <x:f>B7302</x:f>
        <x:v>0.2291</x:v>
      </x:c>
      <x:c r="E7302" s="1" t="n">
        <x:v>1</x:v>
      </x:c>
      <x:c r="F7302" s="1" t="str">
        <x:v>https://api.octopus.energy/v1/products/AGILE-24-10-01/electricity-tariffs/E-1R-AGILE-24-10-01-G/standard-unit-rates/</x:v>
      </x:c>
    </x:row>
    <x:row r="7303" ht="21" customHeight="1">
      <x:c r="A7303" s="24" t="n">
        <x:v>46300.645833333336</x:v>
      </x:c>
      <x:c r="B7303" s="6" t="n">
        <x:v>0.2409</x:v>
      </x:c>
      <x:c r="C7303" s="6" t="n">
        <x:v>0.1364</x:v>
      </x:c>
      <x:c r="D7303" s="6" t="n">
        <x:f>B7303</x:f>
        <x:v>0.2409</x:v>
      </x:c>
      <x:c r="E7303" s="1" t="n">
        <x:v>1</x:v>
      </x:c>
      <x:c r="F7303" s="1" t="str">
        <x:v>https://api.octopus.energy/v1/products/AGILE-24-10-01/electricity-tariffs/E-1R-AGILE-24-10-01-G/standard-unit-rates/</x:v>
      </x:c>
    </x:row>
    <x:row r="7304" ht="21" customHeight="1">
      <x:c r="A7304" s="24" t="n">
        <x:v>46300.666666666664</x:v>
      </x:c>
      <x:c r="B7304" s="6" t="n">
        <x:v>0.4094</x:v>
      </x:c>
      <x:c r="C7304" s="6" t="n">
        <x:v>0.2175</x:v>
      </x:c>
      <x:c r="D7304" s="6" t="n">
        <x:f>B7304</x:f>
        <x:v>0.4094</x:v>
      </x:c>
      <x:c r="E7304" s="1" t="n">
        <x:v>1</x:v>
      </x:c>
      <x:c r="F7304" s="1" t="str">
        <x:v>https://api.octopus.energy/v1/products/AGILE-24-10-01/electricity-tariffs/E-1R-AGILE-24-10-01-G/standard-unit-rates/</x:v>
      </x:c>
    </x:row>
    <x:row r="7305" ht="21" customHeight="1">
      <x:c r="A7305" s="24" t="n">
        <x:v>46300.6875</x:v>
      </x:c>
      <x:c r="B7305" s="6" t="n">
        <x:v>0.4228</x:v>
      </x:c>
      <x:c r="C7305" s="6" t="n">
        <x:v>0.2236</x:v>
      </x:c>
      <x:c r="D7305" s="6" t="n">
        <x:f>B7305</x:f>
        <x:v>0.4228</x:v>
      </x:c>
      <x:c r="E7305" s="1" t="n">
        <x:v>1</x:v>
      </x:c>
      <x:c r="F7305" s="1" t="str">
        <x:v>https://api.octopus.energy/v1/products/AGILE-24-10-01/electricity-tariffs/E-1R-AGILE-24-10-01-G/standard-unit-rates/</x:v>
      </x:c>
    </x:row>
    <x:row r="7306" ht="21" customHeight="1">
      <x:c r="A7306" s="24" t="n">
        <x:v>46300.708333333336</x:v>
      </x:c>
      <x:c r="B7306" s="6" t="n">
        <x:v>0.45409999999999995</x:v>
      </x:c>
      <x:c r="C7306" s="6" t="n">
        <x:v>0.2379</x:v>
      </x:c>
      <x:c r="D7306" s="6" t="n">
        <x:f>B7306</x:f>
        <x:v>0.45409999999999995</x:v>
      </x:c>
      <x:c r="E7306" s="1" t="n">
        <x:v>1</x:v>
      </x:c>
      <x:c r="F7306" s="1" t="str">
        <x:v>https://api.octopus.energy/v1/products/AGILE-24-10-01/electricity-tariffs/E-1R-AGILE-24-10-01-G/standard-unit-rates/</x:v>
      </x:c>
    </x:row>
    <x:row r="7307" ht="21" customHeight="1">
      <x:c r="A7307" s="24" t="n">
        <x:v>46300.729166666664</x:v>
      </x:c>
      <x:c r="B7307" s="6" t="n">
        <x:v>0.4869</x:v>
      </x:c>
      <x:c r="C7307" s="6" t="n">
        <x:v>0.2529</x:v>
      </x:c>
      <x:c r="D7307" s="6" t="n">
        <x:f>B7307</x:f>
        <x:v>0.4869</x:v>
      </x:c>
      <x:c r="E7307" s="1" t="n">
        <x:v>1</x:v>
      </x:c>
      <x:c r="F7307" s="1" t="str">
        <x:v>https://api.octopus.energy/v1/products/AGILE-24-10-01/electricity-tariffs/E-1R-AGILE-24-10-01-G/standard-unit-rates/</x:v>
      </x:c>
    </x:row>
    <x:row r="7308" ht="21" customHeight="1">
      <x:c r="A7308" s="24" t="n">
        <x:v>46300.75</x:v>
      </x:c>
      <x:c r="B7308" s="6" t="n">
        <x:v>0.4855</x:v>
      </x:c>
      <x:c r="C7308" s="6" t="n">
        <x:v>0.2522</x:v>
      </x:c>
      <x:c r="D7308" s="6" t="n">
        <x:f>B7308</x:f>
        <x:v>0.4855</x:v>
      </x:c>
      <x:c r="E7308" s="1" t="n">
        <x:v>1</x:v>
      </x:c>
      <x:c r="F7308" s="1" t="str">
        <x:v>https://api.octopus.energy/v1/products/AGILE-24-10-01/electricity-tariffs/E-1R-AGILE-24-10-01-G/standard-unit-rates/</x:v>
      </x:c>
    </x:row>
    <x:row r="7309" ht="21" customHeight="1">
      <x:c r="A7309" s="24" t="n">
        <x:v>46300.770833333336</x:v>
      </x:c>
      <x:c r="B7309" s="6" t="n">
        <x:v>0.515</x:v>
      </x:c>
      <x:c r="C7309" s="6" t="n">
        <x:v>0.2657</x:v>
      </x:c>
      <x:c r="D7309" s="6" t="n">
        <x:f>B7309</x:f>
        <x:v>0.515</x:v>
      </x:c>
      <x:c r="E7309" s="1" t="n">
        <x:v>1</x:v>
      </x:c>
      <x:c r="F7309" s="1" t="str">
        <x:v>https://api.octopus.energy/v1/products/AGILE-24-10-01/electricity-tariffs/E-1R-AGILE-24-10-01-G/standard-unit-rates/</x:v>
      </x:c>
    </x:row>
    <x:row r="7310" ht="21" customHeight="1">
      <x:c r="A7310" s="24" t="n">
        <x:v>46300.791666666664</x:v>
      </x:c>
      <x:c r="B7310" s="6" t="n">
        <x:v>0.3749</x:v>
      </x:c>
      <x:c r="C7310" s="6" t="n">
        <x:v>0.1977</x:v>
      </x:c>
      <x:c r="D7310" s="6" t="n">
        <x:f>B7310</x:f>
        <x:v>0.3749</x:v>
      </x:c>
      <x:c r="E7310" s="1" t="n">
        <x:v>1</x:v>
      </x:c>
      <x:c r="F7310" s="1" t="str">
        <x:v>https://api.octopus.energy/v1/products/AGILE-24-10-01/electricity-tariffs/E-1R-AGILE-24-10-01-G/standard-unit-rates/</x:v>
      </x:c>
    </x:row>
    <x:row r="7311" ht="21" customHeight="1">
      <x:c r="A7311" s="24" t="n">
        <x:v>46300.8125</x:v>
      </x:c>
      <x:c r="B7311" s="6" t="n">
        <x:v>0.37189999999999995</x:v>
      </x:c>
      <x:c r="C7311" s="6" t="n">
        <x:v>0.1963</x:v>
      </x:c>
      <x:c r="D7311" s="6" t="n">
        <x:f>B7311</x:f>
        <x:v>0.37189999999999995</x:v>
      </x:c>
      <x:c r="E7311" s="1" t="n">
        <x:v>1</x:v>
      </x:c>
      <x:c r="F7311" s="1" t="str">
        <x:v>https://api.octopus.energy/v1/products/AGILE-24-10-01/electricity-tariffs/E-1R-AGILE-24-10-01-G/standard-unit-rates/</x:v>
      </x:c>
    </x:row>
    <x:row r="7312" ht="21" customHeight="1">
      <x:c r="A7312" s="24" t="n">
        <x:v>46300.833333333336</x:v>
      </x:c>
      <x:c r="B7312" s="6" t="n">
        <x:v>0.3617</x:v>
      </x:c>
      <x:c r="C7312" s="6" t="n">
        <x:v>0.1916</x:v>
      </x:c>
      <x:c r="D7312" s="6" t="n">
        <x:f>B7312</x:f>
        <x:v>0.3617</x:v>
      </x:c>
      <x:c r="E7312" s="1" t="n">
        <x:v>1</x:v>
      </x:c>
      <x:c r="F7312" s="1" t="str">
        <x:v>https://api.octopus.energy/v1/products/AGILE-24-10-01/electricity-tariffs/E-1R-AGILE-24-10-01-G/standard-unit-rates/</x:v>
      </x:c>
    </x:row>
    <x:row r="7313" ht="21" customHeight="1">
      <x:c r="A7313" s="24" t="n">
        <x:v>46300.854166666664</x:v>
      </x:c>
      <x:c r="B7313" s="6" t="n">
        <x:v>0.33880000000000005</x:v>
      </x:c>
      <x:c r="C7313" s="6" t="n">
        <x:v>0.1812</x:v>
      </x:c>
      <x:c r="D7313" s="6" t="n">
        <x:f>B7313</x:f>
        <x:v>0.33880000000000005</x:v>
      </x:c>
      <x:c r="E7313" s="1" t="n">
        <x:v>1</x:v>
      </x:c>
      <x:c r="F7313" s="1" t="str">
        <x:v>https://api.octopus.energy/v1/products/AGILE-24-10-01/electricity-tariffs/E-1R-AGILE-24-10-01-G/standard-unit-rates/</x:v>
      </x:c>
    </x:row>
    <x:row r="7314" ht="21" customHeight="1">
      <x:c r="A7314" s="24" t="n">
        <x:v>46300.875</x:v>
      </x:c>
      <x:c r="B7314" s="6" t="n">
        <x:v>0.3333</x:v>
      </x:c>
      <x:c r="C7314" s="6" t="n">
        <x:v>0.17859999999999998</x:v>
      </x:c>
      <x:c r="D7314" s="6" t="n">
        <x:f>B7314</x:f>
        <x:v>0.3333</x:v>
      </x:c>
      <x:c r="E7314" s="1" t="n">
        <x:v>1</x:v>
      </x:c>
      <x:c r="F7314" s="1" t="str">
        <x:v>https://api.octopus.energy/v1/products/AGILE-24-10-01/electricity-tariffs/E-1R-AGILE-24-10-01-G/standard-unit-rates/</x:v>
      </x:c>
    </x:row>
    <x:row r="7315" ht="21" customHeight="1">
      <x:c r="A7315" s="24" t="n">
        <x:v>46300.895833333336</x:v>
      </x:c>
      <x:c r="B7315" s="6" t="n">
        <x:v>0.30879999999999996</x:v>
      </x:c>
      <x:c r="C7315" s="6" t="n">
        <x:v>0.1674</x:v>
      </x:c>
      <x:c r="D7315" s="6" t="n">
        <x:f>B7315</x:f>
        <x:v>0.30879999999999996</x:v>
      </x:c>
      <x:c r="E7315" s="1" t="n">
        <x:v>1</x:v>
      </x:c>
      <x:c r="F7315" s="1" t="str">
        <x:v>https://api.octopus.energy/v1/products/AGILE-24-10-01/electricity-tariffs/E-1R-AGILE-24-10-01-G/standard-unit-rates/</x:v>
      </x:c>
    </x:row>
    <x:row r="7316" ht="21" customHeight="1">
      <x:c r="A7316" s="24" t="n">
        <x:v>46300.916666666664</x:v>
      </x:c>
      <x:c r="B7316" s="6" t="n">
        <x:v>0.2708</x:v>
      </x:c>
      <x:c r="C7316" s="6" t="n">
        <x:v>0.1501</x:v>
      </x:c>
      <x:c r="D7316" s="6" t="n">
        <x:f>B7316</x:f>
        <x:v>0.2708</x:v>
      </x:c>
      <x:c r="E7316" s="1" t="n">
        <x:v>1</x:v>
      </x:c>
      <x:c r="F7316" s="1" t="str">
        <x:v>https://api.octopus.energy/v1/products/AGILE-24-10-01/electricity-tariffs/E-1R-AGILE-24-10-01-G/standard-unit-rates/</x:v>
      </x:c>
    </x:row>
    <x:row r="7317" ht="21" customHeight="1">
      <x:c r="A7317" s="24" t="n">
        <x:v>46300.9375</x:v>
      </x:c>
      <x:c r="B7317" s="6" t="n">
        <x:v>0.2676</x:v>
      </x:c>
      <x:c r="C7317" s="6" t="n">
        <x:v>0.14859999999999998</x:v>
      </x:c>
      <x:c r="D7317" s="6" t="n">
        <x:f>B7317</x:f>
        <x:v>0.2676</x:v>
      </x:c>
      <x:c r="E7317" s="1" t="n">
        <x:v>1</x:v>
      </x:c>
      <x:c r="F7317" s="1" t="str">
        <x:v>https://api.octopus.energy/v1/products/AGILE-24-10-01/electricity-tariffs/E-1R-AGILE-24-10-01-G/standard-unit-rates/</x:v>
      </x:c>
    </x:row>
    <x:row r="7318" ht="21" customHeight="1">
      <x:c r="A7318" s="24" t="n">
        <x:v>46301</x:v>
      </x:c>
      <x:c r="B7318" s="6" t="n">
        <x:v>0.2582</x:v>
      </x:c>
      <x:c r="C7318" s="6" t="n">
        <x:v>0.14429999999999998</x:v>
      </x:c>
      <x:c r="D7318" s="6" t="n">
        <x:f>B7318</x:f>
        <x:v>0.2582</x:v>
      </x:c>
      <x:c r="E7318" s="1" t="n">
        <x:v>1</x:v>
      </x:c>
      <x:c r="F7318" s="1" t="str">
        <x:v>https://api.octopus.energy/v1/products/AGILE-24-10-01/electricity-tariffs/E-1R-AGILE-24-10-01-G/standard-unit-rates/</x:v>
      </x:c>
    </x:row>
    <x:row r="7319" ht="21" customHeight="1">
      <x:c r="A7319" s="24" t="n">
        <x:v>46300.979166666664</x:v>
      </x:c>
      <x:c r="B7319" s="6" t="n">
        <x:v>0.2582</x:v>
      </x:c>
      <x:c r="C7319" s="6" t="n">
        <x:v>0.14429999999999998</x:v>
      </x:c>
      <x:c r="D7319" s="6" t="n">
        <x:f>B7319</x:f>
        <x:v>0.2582</x:v>
      </x:c>
      <x:c r="E7319" s="1" t="n">
        <x:v>1</x:v>
      </x:c>
      <x:c r="F7319" s="1" t="str">
        <x:v>https://api.octopus.energy/v1/products/AGILE-24-10-01/electricity-tariffs/E-1R-AGILE-24-10-01-G/standard-unit-rates/</x:v>
      </x:c>
    </x:row>
    <x:row r="7320" ht="21" customHeight="1">
      <x:c r="A7320" s="24" t="n">
        <x:v>46301</x:v>
      </x:c>
      <x:c r="B7320" s="6" t="n">
        <x:v>0.2616</x:v>
      </x:c>
      <x:c r="C7320" s="6" t="n">
        <x:v>0.1459</x:v>
      </x:c>
      <x:c r="D7320" s="6" t="n">
        <x:f>B7320</x:f>
        <x:v>0.2616</x:v>
      </x:c>
      <x:c r="E7320" s="1" t="n">
        <x:v>1</x:v>
      </x:c>
      <x:c r="F7320" s="1" t="str">
        <x:v>https://api.octopus.energy/v1/products/AGILE-24-10-01/electricity-tariffs/E-1R-AGILE-24-10-01-G/standard-unit-rates/</x:v>
      </x:c>
    </x:row>
    <x:row r="7321" ht="21" customHeight="1">
      <x:c r="A7321" s="24" t="n">
        <x:v>46301.020833333336</x:v>
      </x:c>
      <x:c r="B7321" s="6" t="n">
        <x:v>0.2596</x:v>
      </x:c>
      <x:c r="C7321" s="6" t="n">
        <x:v>0.1449</x:v>
      </x:c>
      <x:c r="D7321" s="6" t="n">
        <x:f>B7321</x:f>
        <x:v>0.2596</x:v>
      </x:c>
      <x:c r="E7321" s="1" t="n">
        <x:v>1</x:v>
      </x:c>
      <x:c r="F7321" s="1" t="str">
        <x:v>https://api.octopus.energy/v1/products/AGILE-24-10-01/electricity-tariffs/E-1R-AGILE-24-10-01-G/standard-unit-rates/</x:v>
      </x:c>
    </x:row>
    <x:row r="7322" ht="21" customHeight="1">
      <x:c r="A7322" s="24" t="n">
        <x:v>46301.041666666664</x:v>
      </x:c>
      <x:c r="B7322" s="6" t="n">
        <x:v>0.25120000000000003</x:v>
      </x:c>
      <x:c r="C7322" s="6" t="n">
        <x:v>0.1411</x:v>
      </x:c>
      <x:c r="D7322" s="6" t="n">
        <x:f>B7322</x:f>
        <x:v>0.25120000000000003</x:v>
      </x:c>
      <x:c r="E7322" s="1" t="n">
        <x:v>1</x:v>
      </x:c>
      <x:c r="F7322" s="1" t="str">
        <x:v>https://api.octopus.energy/v1/products/AGILE-24-10-01/electricity-tariffs/E-1R-AGILE-24-10-01-G/standard-unit-rates/</x:v>
      </x:c>
    </x:row>
    <x:row r="7323" ht="21" customHeight="1">
      <x:c r="A7323" s="24" t="n">
        <x:v>46301.0625</x:v>
      </x:c>
      <x:c r="B7323" s="6" t="n">
        <x:v>0.253</x:v>
      </x:c>
      <x:c r="C7323" s="6" t="n">
        <x:v>0.1419</x:v>
      </x:c>
      <x:c r="D7323" s="6" t="n">
        <x:f>B7323</x:f>
        <x:v>0.253</x:v>
      </x:c>
      <x:c r="E7323" s="1" t="n">
        <x:v>1</x:v>
      </x:c>
      <x:c r="F7323" s="1" t="str">
        <x:v>https://api.octopus.energy/v1/products/AGILE-24-10-01/electricity-tariffs/E-1R-AGILE-24-10-01-G/standard-unit-rates/</x:v>
      </x:c>
    </x:row>
    <x:row r="7324" ht="21" customHeight="1">
      <x:c r="A7324" s="24" t="n">
        <x:v>46301.083333333336</x:v>
      </x:c>
      <x:c r="B7324" s="6" t="n">
        <x:v>0.2486</x:v>
      </x:c>
      <x:c r="C7324" s="6" t="n">
        <x:v>0.1399</x:v>
      </x:c>
      <x:c r="D7324" s="6" t="n">
        <x:f>B7324</x:f>
        <x:v>0.2486</x:v>
      </x:c>
      <x:c r="E7324" s="1" t="n">
        <x:v>1</x:v>
      </x:c>
      <x:c r="F7324" s="1" t="str">
        <x:v>https://api.octopus.energy/v1/products/AGILE-24-10-01/electricity-tariffs/E-1R-AGILE-24-10-01-G/standard-unit-rates/</x:v>
      </x:c>
    </x:row>
    <x:row r="7325" ht="21" customHeight="1">
      <x:c r="A7325" s="24" t="n">
        <x:v>46301.104166666664</x:v>
      </x:c>
      <x:c r="B7325" s="6" t="n">
        <x:v>0.2459</x:v>
      </x:c>
      <x:c r="C7325" s="6" t="n">
        <x:v>0.1387</x:v>
      </x:c>
      <x:c r="D7325" s="6" t="n">
        <x:f>B7325</x:f>
        <x:v>0.2459</x:v>
      </x:c>
      <x:c r="E7325" s="1" t="n">
        <x:v>1</x:v>
      </x:c>
      <x:c r="F7325" s="1" t="str">
        <x:v>https://api.octopus.energy/v1/products/AGILE-24-10-01/electricity-tariffs/E-1R-AGILE-24-10-01-G/standard-unit-rates/</x:v>
      </x:c>
    </x:row>
    <x:row r="7326" ht="21" customHeight="1">
      <x:c r="A7326" s="24" t="n">
        <x:v>46301.125</x:v>
      </x:c>
      <x:c r="B7326" s="6" t="n">
        <x:v>0.26039999999999996</x:v>
      </x:c>
      <x:c r="C7326" s="6" t="n">
        <x:v>0.14529999999999998</x:v>
      </x:c>
      <x:c r="D7326" s="6" t="n">
        <x:f>B7326</x:f>
        <x:v>0.26039999999999996</x:v>
      </x:c>
      <x:c r="E7326" s="1" t="n">
        <x:v>1</x:v>
      </x:c>
      <x:c r="F7326" s="1" t="str">
        <x:v>https://api.octopus.energy/v1/products/AGILE-24-10-01/electricity-tariffs/E-1R-AGILE-24-10-01-G/standard-unit-rates/</x:v>
      </x:c>
    </x:row>
    <x:row r="7327" ht="21" customHeight="1">
      <x:c r="A7327" s="24" t="n">
        <x:v>46301.145833333336</x:v>
      </x:c>
      <x:c r="B7327" s="6" t="n">
        <x:v>0.2531</x:v>
      </x:c>
      <x:c r="C7327" s="6" t="n">
        <x:v>0.142</x:v>
      </x:c>
      <x:c r="D7327" s="6" t="n">
        <x:f>B7327</x:f>
        <x:v>0.2531</x:v>
      </x:c>
      <x:c r="E7327" s="1" t="n">
        <x:v>1</x:v>
      </x:c>
      <x:c r="F7327" s="1" t="str">
        <x:v>https://api.octopus.energy/v1/products/AGILE-24-10-01/electricity-tariffs/E-1R-AGILE-24-10-01-G/standard-unit-rates/</x:v>
      </x:c>
    </x:row>
    <x:row r="7328" ht="21" customHeight="1">
      <x:c r="A7328" s="24" t="n">
        <x:v>46301.166666666664</x:v>
      </x:c>
      <x:c r="B7328" s="6" t="n">
        <x:v>0.2705</x:v>
      </x:c>
      <x:c r="C7328" s="6" t="n">
        <x:v>0.1499</x:v>
      </x:c>
      <x:c r="D7328" s="6" t="n">
        <x:f>B7328</x:f>
        <x:v>0.2705</x:v>
      </x:c>
      <x:c r="E7328" s="1" t="n">
        <x:v>1</x:v>
      </x:c>
      <x:c r="F7328" s="1" t="str">
        <x:v>https://api.octopus.energy/v1/products/AGILE-24-10-01/electricity-tariffs/E-1R-AGILE-24-10-01-G/standard-unit-rates/</x:v>
      </x:c>
    </x:row>
    <x:row r="7329" ht="21" customHeight="1">
      <x:c r="A7329" s="24" t="n">
        <x:v>46301.1875</x:v>
      </x:c>
      <x:c r="B7329" s="6" t="n">
        <x:v>0.2459</x:v>
      </x:c>
      <x:c r="C7329" s="6" t="n">
        <x:v>0.1387</x:v>
      </x:c>
      <x:c r="D7329" s="6" t="n">
        <x:f>B7329</x:f>
        <x:v>0.2459</x:v>
      </x:c>
      <x:c r="E7329" s="1" t="n">
        <x:v>1</x:v>
      </x:c>
      <x:c r="F7329" s="1" t="str">
        <x:v>https://api.octopus.energy/v1/products/AGILE-24-10-01/electricity-tariffs/E-1R-AGILE-24-10-01-G/standard-unit-rates/</x:v>
      </x:c>
    </x:row>
    <x:row r="7330" ht="21" customHeight="1">
      <x:c r="A7330" s="24" t="n">
        <x:v>46301.208333333336</x:v>
      </x:c>
      <x:c r="B7330" s="6" t="n">
        <x:v>0.2964</x:v>
      </x:c>
      <x:c r="C7330" s="6" t="n">
        <x:v>0.1618</x:v>
      </x:c>
      <x:c r="D7330" s="6" t="n">
        <x:f>B7330</x:f>
        <x:v>0.2964</x:v>
      </x:c>
      <x:c r="E7330" s="1" t="n">
        <x:v>1</x:v>
      </x:c>
      <x:c r="F7330" s="1" t="str">
        <x:v>https://api.octopus.energy/v1/products/AGILE-24-10-01/electricity-tariffs/E-1R-AGILE-24-10-01-G/standard-unit-rates/</x:v>
      </x:c>
    </x:row>
    <x:row r="7331" ht="21" customHeight="1">
      <x:c r="A7331" s="24" t="n">
        <x:v>46301.229166666664</x:v>
      </x:c>
      <x:c r="B7331" s="6" t="n">
        <x:v>0.31670000000000004</x:v>
      </x:c>
      <x:c r="C7331" s="6" t="n">
        <x:v>0.171</x:v>
      </x:c>
      <x:c r="D7331" s="6" t="n">
        <x:f>B7331</x:f>
        <x:v>0.31670000000000004</x:v>
      </x:c>
      <x:c r="E7331" s="1" t="n">
        <x:v>1</x:v>
      </x:c>
      <x:c r="F7331" s="1" t="str">
        <x:v>https://api.octopus.energy/v1/products/AGILE-24-10-01/electricity-tariffs/E-1R-AGILE-24-10-01-G/standard-unit-rates/</x:v>
      </x:c>
    </x:row>
    <x:row r="7332" ht="21" customHeight="1">
      <x:c r="A7332" s="24" t="n">
        <x:v>46301.25</x:v>
      </x:c>
      <x:c r="B7332" s="6" t="n">
        <x:v>0.3471</x:v>
      </x:c>
      <x:c r="C7332" s="6" t="n">
        <x:v>0.18489999999999998</x:v>
      </x:c>
      <x:c r="D7332" s="6" t="n">
        <x:f>B7332</x:f>
        <x:v>0.3471</x:v>
      </x:c>
      <x:c r="E7332" s="1" t="n">
        <x:v>1</x:v>
      </x:c>
      <x:c r="F7332" s="1" t="str">
        <x:v>https://api.octopus.energy/v1/products/AGILE-24-10-01/electricity-tariffs/E-1R-AGILE-24-10-01-G/standard-unit-rates/</x:v>
      </x:c>
    </x:row>
    <x:row r="7333" ht="21" customHeight="1">
      <x:c r="A7333" s="24" t="n">
        <x:v>46301.270833333336</x:v>
      </x:c>
      <x:c r="B7333" s="6" t="n">
        <x:v>0.37829999999999997</x:v>
      </x:c>
      <x:c r="C7333" s="6" t="n">
        <x:v>0.19920000000000002</x:v>
      </x:c>
      <x:c r="D7333" s="6" t="n">
        <x:f>B7333</x:f>
        <x:v>0.37829999999999997</x:v>
      </x:c>
      <x:c r="E7333" s="1" t="n">
        <x:v>1</x:v>
      </x:c>
      <x:c r="F7333" s="1" t="str">
        <x:v>https://api.octopus.energy/v1/products/AGILE-24-10-01/electricity-tariffs/E-1R-AGILE-24-10-01-G/standard-unit-rates/</x:v>
      </x:c>
    </x:row>
    <x:row r="7334" ht="21" customHeight="1">
      <x:c r="A7334" s="24" t="n">
        <x:v>46301.291666666664</x:v>
      </x:c>
      <x:c r="B7334" s="6" t="n">
        <x:v>0.3732</x:v>
      </x:c>
      <x:c r="C7334" s="6" t="n">
        <x:v>0.19690000000000002</x:v>
      </x:c>
      <x:c r="D7334" s="6" t="n">
        <x:f>B7334</x:f>
        <x:v>0.3732</x:v>
      </x:c>
      <x:c r="E7334" s="1" t="n">
        <x:v>1</x:v>
      </x:c>
      <x:c r="F7334" s="1" t="str">
        <x:v>https://api.octopus.energy/v1/products/AGILE-24-10-01/electricity-tariffs/E-1R-AGILE-24-10-01-G/standard-unit-rates/</x:v>
      </x:c>
    </x:row>
    <x:row r="7335" ht="21" customHeight="1">
      <x:c r="A7335" s="24" t="n">
        <x:v>46301.3125</x:v>
      </x:c>
      <x:c r="B7335" s="6" t="n">
        <x:v>0.4081</x:v>
      </x:c>
      <x:c r="C7335" s="6" t="n">
        <x:v>0.21280000000000002</x:v>
      </x:c>
      <x:c r="D7335" s="6" t="n">
        <x:f>B7335</x:f>
        <x:v>0.4081</x:v>
      </x:c>
      <x:c r="E7335" s="1" t="n">
        <x:v>1</x:v>
      </x:c>
      <x:c r="F7335" s="1" t="str">
        <x:v>https://api.octopus.energy/v1/products/AGILE-24-10-01/electricity-tariffs/E-1R-AGILE-24-10-01-G/standard-unit-rates/</x:v>
      </x:c>
    </x:row>
    <x:row r="7336" ht="21" customHeight="1">
      <x:c r="A7336" s="24" t="n">
        <x:v>46301.333333333336</x:v>
      </x:c>
      <x:c r="B7336" s="6" t="n">
        <x:v>0.3479</x:v>
      </x:c>
      <x:c r="C7336" s="6" t="n">
        <x:v>0.18530000000000002</x:v>
      </x:c>
      <x:c r="D7336" s="6" t="n">
        <x:f>B7336</x:f>
        <x:v>0.3479</x:v>
      </x:c>
      <x:c r="E7336" s="1" t="n">
        <x:v>1</x:v>
      </x:c>
      <x:c r="F7336" s="1" t="str">
        <x:v>https://api.octopus.energy/v1/products/AGILE-24-10-01/electricity-tariffs/E-1R-AGILE-24-10-01-G/standard-unit-rates/</x:v>
      </x:c>
    </x:row>
    <x:row r="7337" ht="21" customHeight="1">
      <x:c r="A7337" s="24" t="n">
        <x:v>46301.354166666664</x:v>
      </x:c>
      <x:c r="B7337" s="6" t="n">
        <x:v>0.3404</x:v>
      </x:c>
      <x:c r="C7337" s="6" t="n">
        <x:v>0.1819</x:v>
      </x:c>
      <x:c r="D7337" s="6" t="n">
        <x:f>B7337</x:f>
        <x:v>0.3404</x:v>
      </x:c>
      <x:c r="E7337" s="1" t="n">
        <x:v>1</x:v>
      </x:c>
      <x:c r="F7337" s="1" t="str">
        <x:v>https://api.octopus.energy/v1/products/AGILE-24-10-01/electricity-tariffs/E-1R-AGILE-24-10-01-G/standard-unit-rates/</x:v>
      </x:c>
    </x:row>
    <x:row r="7338" ht="21" customHeight="1">
      <x:c r="A7338" s="24" t="n">
        <x:v>46301.375</x:v>
      </x:c>
      <x:c r="B7338" s="6" t="n">
        <x:v>0.2967</x:v>
      </x:c>
      <x:c r="C7338" s="6" t="n">
        <x:v>0.16190000000000002</x:v>
      </x:c>
      <x:c r="D7338" s="6" t="n">
        <x:f>B7338</x:f>
        <x:v>0.2967</x:v>
      </x:c>
      <x:c r="E7338" s="1" t="n">
        <x:v>1</x:v>
      </x:c>
      <x:c r="F7338" s="1" t="str">
        <x:v>https://api.octopus.energy/v1/products/AGILE-24-10-01/electricity-tariffs/E-1R-AGILE-24-10-01-G/standard-unit-rates/</x:v>
      </x:c>
    </x:row>
    <x:row r="7339" ht="21" customHeight="1">
      <x:c r="A7339" s="24" t="n">
        <x:v>46301.395833333336</x:v>
      </x:c>
      <x:c r="B7339" s="6" t="n">
        <x:v>0.29</x:v>
      </x:c>
      <x:c r="C7339" s="6" t="n">
        <x:v>0.1588</x:v>
      </x:c>
      <x:c r="D7339" s="6" t="n">
        <x:f>B7339</x:f>
        <x:v>0.29</x:v>
      </x:c>
      <x:c r="E7339" s="1" t="n">
        <x:v>1</x:v>
      </x:c>
      <x:c r="F7339" s="1" t="str">
        <x:v>https://api.octopus.energy/v1/products/AGILE-24-10-01/electricity-tariffs/E-1R-AGILE-24-10-01-G/standard-unit-rates/</x:v>
      </x:c>
    </x:row>
    <x:row r="7340" ht="21" customHeight="1">
      <x:c r="A7340" s="24" t="n">
        <x:v>46301.416666666664</x:v>
      </x:c>
      <x:c r="B7340" s="6" t="n">
        <x:v>0.2676</x:v>
      </x:c>
      <x:c r="C7340" s="6" t="n">
        <x:v>0.14859999999999998</x:v>
      </x:c>
      <x:c r="D7340" s="6" t="n">
        <x:f>B7340</x:f>
        <x:v>0.2676</x:v>
      </x:c>
      <x:c r="E7340" s="1" t="n">
        <x:v>1</x:v>
      </x:c>
      <x:c r="F7340" s="1" t="str">
        <x:v>https://api.octopus.energy/v1/products/AGILE-24-10-01/electricity-tariffs/E-1R-AGILE-24-10-01-G/standard-unit-rates/</x:v>
      </x:c>
    </x:row>
    <x:row r="7341" ht="21" customHeight="1">
      <x:c r="A7341" s="24" t="n">
        <x:v>46301.4375</x:v>
      </x:c>
      <x:c r="B7341" s="6" t="n">
        <x:v>0.2564</x:v>
      </x:c>
      <x:c r="C7341" s="6" t="n">
        <x:v>0.1435</x:v>
      </x:c>
      <x:c r="D7341" s="6" t="n">
        <x:f>B7341</x:f>
        <x:v>0.2564</x:v>
      </x:c>
      <x:c r="E7341" s="1" t="n">
        <x:v>1</x:v>
      </x:c>
      <x:c r="F7341" s="1" t="str">
        <x:v>https://api.octopus.energy/v1/products/AGILE-24-10-01/electricity-tariffs/E-1R-AGILE-24-10-01-G/standard-unit-rates/</x:v>
      </x:c>
    </x:row>
    <x:row r="7342" ht="21" customHeight="1">
      <x:c r="A7342" s="24" t="n">
        <x:v>46301.458333333336</x:v>
      </x:c>
      <x:c r="B7342" s="6" t="n">
        <x:v>0.2522</x:v>
      </x:c>
      <x:c r="C7342" s="6" t="n">
        <x:v>0.1416</x:v>
      </x:c>
      <x:c r="D7342" s="6" t="n">
        <x:f>B7342</x:f>
        <x:v>0.2522</x:v>
      </x:c>
      <x:c r="E7342" s="1" t="n">
        <x:v>1</x:v>
      </x:c>
      <x:c r="F7342" s="1" t="str">
        <x:v>https://api.octopus.energy/v1/products/AGILE-24-10-01/electricity-tariffs/E-1R-AGILE-24-10-01-G/standard-unit-rates/</x:v>
      </x:c>
    </x:row>
    <x:row r="7343" ht="21" customHeight="1">
      <x:c r="A7343" s="24" t="n">
        <x:v>46301.479166666664</x:v>
      </x:c>
      <x:c r="B7343" s="6" t="n">
        <x:v>0.25239999999999996</x:v>
      </x:c>
      <x:c r="C7343" s="6" t="n">
        <x:v>0.1417</x:v>
      </x:c>
      <x:c r="D7343" s="6" t="n">
        <x:f>B7343</x:f>
        <x:v>0.25239999999999996</x:v>
      </x:c>
      <x:c r="E7343" s="1" t="n">
        <x:v>1</x:v>
      </x:c>
      <x:c r="F7343" s="1" t="str">
        <x:v>https://api.octopus.energy/v1/products/AGILE-24-10-01/electricity-tariffs/E-1R-AGILE-24-10-01-G/standard-unit-rates/</x:v>
      </x:c>
    </x:row>
    <x:row r="7344" ht="21" customHeight="1">
      <x:c r="A7344" s="24" t="n">
        <x:v>46301.5</x:v>
      </x:c>
      <x:c r="B7344" s="6" t="n">
        <x:v>0.2459</x:v>
      </x:c>
      <x:c r="C7344" s="6" t="n">
        <x:v>0.1387</x:v>
      </x:c>
      <x:c r="D7344" s="6" t="n">
        <x:f>B7344</x:f>
        <x:v>0.2459</x:v>
      </x:c>
      <x:c r="E7344" s="1" t="n">
        <x:v>1</x:v>
      </x:c>
      <x:c r="F7344" s="1" t="str">
        <x:v>https://api.octopus.energy/v1/products/AGILE-24-10-01/electricity-tariffs/E-1R-AGILE-24-10-01-G/standard-unit-rates/</x:v>
      </x:c>
    </x:row>
    <x:row r="7345" ht="21" customHeight="1">
      <x:c r="A7345" s="24" t="n">
        <x:v>46301.520833333336</x:v>
      </x:c>
      <x:c r="B7345" s="6" t="n">
        <x:v>0.2459</x:v>
      </x:c>
      <x:c r="C7345" s="6" t="n">
        <x:v>0.1387</x:v>
      </x:c>
      <x:c r="D7345" s="6" t="n">
        <x:f>B7345</x:f>
        <x:v>0.2459</x:v>
      </x:c>
      <x:c r="E7345" s="1" t="n">
        <x:v>1</x:v>
      </x:c>
      <x:c r="F7345" s="1" t="str">
        <x:v>https://api.octopus.energy/v1/products/AGILE-24-10-01/electricity-tariffs/E-1R-AGILE-24-10-01-G/standard-unit-rates/</x:v>
      </x:c>
    </x:row>
    <x:row r="7346" ht="21" customHeight="1">
      <x:c r="A7346" s="24" t="n">
        <x:v>46301.541666666664</x:v>
      </x:c>
      <x:c r="B7346" s="6" t="n">
        <x:v>0.2482</x:v>
      </x:c>
      <x:c r="C7346" s="6" t="n">
        <x:v>0.13970000000000002</x:v>
      </x:c>
      <x:c r="D7346" s="6" t="n">
        <x:f>B7346</x:f>
        <x:v>0.2482</x:v>
      </x:c>
      <x:c r="E7346" s="1" t="n">
        <x:v>1</x:v>
      </x:c>
      <x:c r="F7346" s="1" t="str">
        <x:v>https://api.octopus.energy/v1/products/AGILE-24-10-01/electricity-tariffs/E-1R-AGILE-24-10-01-G/standard-unit-rates/</x:v>
      </x:c>
    </x:row>
    <x:row r="7347" ht="21" customHeight="1">
      <x:c r="A7347" s="24" t="n">
        <x:v>46301.5625</x:v>
      </x:c>
      <x:c r="B7347" s="6" t="n">
        <x:v>0.2459</x:v>
      </x:c>
      <x:c r="C7347" s="6" t="n">
        <x:v>0.1387</x:v>
      </x:c>
      <x:c r="D7347" s="6" t="n">
        <x:f>B7347</x:f>
        <x:v>0.2459</x:v>
      </x:c>
      <x:c r="E7347" s="1" t="n">
        <x:v>1</x:v>
      </x:c>
      <x:c r="F7347" s="1" t="str">
        <x:v>https://api.octopus.energy/v1/products/AGILE-24-10-01/electricity-tariffs/E-1R-AGILE-24-10-01-G/standard-unit-rates/</x:v>
      </x:c>
    </x:row>
    <x:row r="7348" ht="21" customHeight="1">
      <x:c r="A7348" s="24" t="n">
        <x:v>46301.583333333336</x:v>
      </x:c>
      <x:c r="B7348" s="6" t="n">
        <x:v>0.2459</x:v>
      </x:c>
      <x:c r="C7348" s="6" t="n">
        <x:v>0.1387</x:v>
      </x:c>
      <x:c r="D7348" s="6" t="n">
        <x:f>B7348</x:f>
        <x:v>0.2459</x:v>
      </x:c>
      <x:c r="E7348" s="1" t="n">
        <x:v>1</x:v>
      </x:c>
      <x:c r="F7348" s="1" t="str">
        <x:v>https://api.octopus.energy/v1/products/AGILE-24-10-01/electricity-tariffs/E-1R-AGILE-24-10-01-G/standard-unit-rates/</x:v>
      </x:c>
    </x:row>
    <x:row r="7349" ht="21" customHeight="1">
      <x:c r="A7349" s="24" t="n">
        <x:v>46301.604166666664</x:v>
      </x:c>
      <x:c r="B7349" s="6" t="n">
        <x:v>0.2459</x:v>
      </x:c>
      <x:c r="C7349" s="6" t="n">
        <x:v>0.1387</x:v>
      </x:c>
      <x:c r="D7349" s="6" t="n">
        <x:f>B7349</x:f>
        <x:v>0.2459</x:v>
      </x:c>
      <x:c r="E7349" s="1" t="n">
        <x:v>1</x:v>
      </x:c>
      <x:c r="F7349" s="1" t="str">
        <x:v>https://api.octopus.energy/v1/products/AGILE-24-10-01/electricity-tariffs/E-1R-AGILE-24-10-01-G/standard-unit-rates/</x:v>
      </x:c>
    </x:row>
    <x:row r="7350" ht="21" customHeight="1">
      <x:c r="A7350" s="24" t="n">
        <x:v>46301.625</x:v>
      </x:c>
      <x:c r="B7350" s="6" t="n">
        <x:v>0.2915</x:v>
      </x:c>
      <x:c r="C7350" s="6" t="n">
        <x:v>0.1595</x:v>
      </x:c>
      <x:c r="D7350" s="6" t="n">
        <x:f>B7350</x:f>
        <x:v>0.2915</x:v>
      </x:c>
      <x:c r="E7350" s="1" t="n">
        <x:v>1</x:v>
      </x:c>
      <x:c r="F7350" s="1" t="str">
        <x:v>https://api.octopus.energy/v1/products/AGILE-24-10-01/electricity-tariffs/E-1R-AGILE-24-10-01-G/standard-unit-rates/</x:v>
      </x:c>
    </x:row>
    <x:row r="7351" ht="21" customHeight="1">
      <x:c r="A7351" s="24" t="n">
        <x:v>46301.645833333336</x:v>
      </x:c>
      <x:c r="B7351" s="6" t="n">
        <x:v>0.276</x:v>
      </x:c>
      <x:c r="C7351" s="6" t="n">
        <x:v>0.1524</x:v>
      </x:c>
      <x:c r="D7351" s="6" t="n">
        <x:f>B7351</x:f>
        <x:v>0.276</x:v>
      </x:c>
      <x:c r="E7351" s="1" t="n">
        <x:v>1</x:v>
      </x:c>
      <x:c r="F7351" s="1" t="str">
        <x:v>https://api.octopus.energy/v1/products/AGILE-24-10-01/electricity-tariffs/E-1R-AGILE-24-10-01-G/standard-unit-rates/</x:v>
      </x:c>
    </x:row>
    <x:row r="7352" ht="21" customHeight="1">
      <x:c r="A7352" s="24" t="n">
        <x:v>46301.666666666664</x:v>
      </x:c>
      <x:c r="B7352" s="6" t="n">
        <x:v>0.48479999999999995</x:v>
      </x:c>
      <x:c r="C7352" s="6" t="n">
        <x:v>0.2519</x:v>
      </x:c>
      <x:c r="D7352" s="6" t="n">
        <x:f>B7352</x:f>
        <x:v>0.48479999999999995</x:v>
      </x:c>
      <x:c r="E7352" s="1" t="n">
        <x:v>1</x:v>
      </x:c>
      <x:c r="F7352" s="1" t="str">
        <x:v>https://api.octopus.energy/v1/products/AGILE-24-10-01/electricity-tariffs/E-1R-AGILE-24-10-01-G/standard-unit-rates/</x:v>
      </x:c>
    </x:row>
    <x:row r="7353" ht="21" customHeight="1">
      <x:c r="A7353" s="24" t="n">
        <x:v>46301.6875</x:v>
      </x:c>
      <x:c r="B7353" s="6" t="n">
        <x:v>0.5063</x:v>
      </x:c>
      <x:c r="C7353" s="6" t="n">
        <x:v>0.2618</x:v>
      </x:c>
      <x:c r="D7353" s="6" t="n">
        <x:f>B7353</x:f>
        <x:v>0.5063</x:v>
      </x:c>
      <x:c r="E7353" s="1" t="n">
        <x:v>1</x:v>
      </x:c>
      <x:c r="F7353" s="1" t="str">
        <x:v>https://api.octopus.energy/v1/products/AGILE-24-10-01/electricity-tariffs/E-1R-AGILE-24-10-01-G/standard-unit-rates/</x:v>
      </x:c>
    </x:row>
    <x:row r="7354" ht="21" customHeight="1">
      <x:c r="A7354" s="24" t="n">
        <x:v>46301.708333333336</x:v>
      </x:c>
      <x:c r="B7354" s="6" t="n">
        <x:v>0.5887</x:v>
      </x:c>
      <x:c r="C7354" s="6" t="n">
        <x:v>0.2994</x:v>
      </x:c>
      <x:c r="D7354" s="6" t="n">
        <x:f>B7354</x:f>
        <x:v>0.5887</x:v>
      </x:c>
      <x:c r="E7354" s="1" t="n">
        <x:v>1</x:v>
      </x:c>
      <x:c r="F7354" s="1" t="str">
        <x:v>https://api.octopus.energy/v1/products/AGILE-24-10-01/electricity-tariffs/E-1R-AGILE-24-10-01-G/standard-unit-rates/</x:v>
      </x:c>
    </x:row>
    <x:row r="7355" ht="21" customHeight="1">
      <x:c r="A7355" s="24" t="n">
        <x:v>46301.729166666664</x:v>
      </x:c>
      <x:c r="B7355" s="6" t="n">
        <x:v>0.6570999999999999</x:v>
      </x:c>
      <x:c r="C7355" s="6" t="n">
        <x:v>0.3307</x:v>
      </x:c>
      <x:c r="D7355" s="6" t="n">
        <x:f>B7355</x:f>
        <x:v>0.6570999999999999</x:v>
      </x:c>
      <x:c r="E7355" s="1" t="n">
        <x:v>1</x:v>
      </x:c>
      <x:c r="F7355" s="1" t="str">
        <x:v>https://api.octopus.energy/v1/products/AGILE-24-10-01/electricity-tariffs/E-1R-AGILE-24-10-01-G/standard-unit-rates/</x:v>
      </x:c>
    </x:row>
    <x:row r="7356" ht="21" customHeight="1">
      <x:c r="A7356" s="24" t="n">
        <x:v>46301.75</x:v>
      </x:c>
      <x:c r="B7356" s="6" t="n">
        <x:v>0.674</x:v>
      </x:c>
      <x:c r="C7356" s="6" t="n">
        <x:v>0.33840000000000003</x:v>
      </x:c>
      <x:c r="D7356" s="6" t="n">
        <x:f>B7356</x:f>
        <x:v>0.674</x:v>
      </x:c>
      <x:c r="E7356" s="1" t="n">
        <x:v>1</x:v>
      </x:c>
      <x:c r="F7356" s="1" t="str">
        <x:v>https://api.octopus.energy/v1/products/AGILE-24-10-01/electricity-tariffs/E-1R-AGILE-24-10-01-G/standard-unit-rates/</x:v>
      </x:c>
    </x:row>
    <x:row r="7357" ht="21" customHeight="1">
      <x:c r="A7357" s="24" t="n">
        <x:v>46301.770833333336</x:v>
      </x:c>
      <x:c r="B7357" s="6" t="n">
        <x:v>0.6973999999999999</x:v>
      </x:c>
      <x:c r="C7357" s="6" t="n">
        <x:v>0.34909999999999997</x:v>
      </x:c>
      <x:c r="D7357" s="6" t="n">
        <x:f>B7357</x:f>
        <x:v>0.6973999999999999</x:v>
      </x:c>
      <x:c r="E7357" s="1" t="n">
        <x:v>1</x:v>
      </x:c>
      <x:c r="F7357" s="1" t="str">
        <x:v>https://api.octopus.energy/v1/products/AGILE-24-10-01/electricity-tariffs/E-1R-AGILE-24-10-01-G/standard-unit-rates/</x:v>
      </x:c>
    </x:row>
    <x:row r="7358" ht="21" customHeight="1">
      <x:c r="A7358" s="24" t="n">
        <x:v>46301.791666666664</x:v>
      </x:c>
      <x:c r="B7358" s="6" t="n">
        <x:v>0.521</x:v>
      </x:c>
      <x:c r="C7358" s="6" t="n">
        <x:v>0.2644</x:v>
      </x:c>
      <x:c r="D7358" s="6" t="n">
        <x:f>B7358</x:f>
        <x:v>0.521</x:v>
      </x:c>
      <x:c r="E7358" s="1" t="n">
        <x:v>1</x:v>
      </x:c>
      <x:c r="F7358" s="1" t="str">
        <x:v>https://api.octopus.energy/v1/products/AGILE-24-10-01/electricity-tariffs/E-1R-AGILE-24-10-01-G/standard-unit-rates/</x:v>
      </x:c>
    </x:row>
    <x:row r="7359" ht="21" customHeight="1">
      <x:c r="A7359" s="24" t="n">
        <x:v>46301.8125</x:v>
      </x:c>
      <x:c r="B7359" s="6" t="n">
        <x:v>0.5</x:v>
      </x:c>
      <x:c r="C7359" s="6" t="n">
        <x:v>0.2548</x:v>
      </x:c>
      <x:c r="D7359" s="6" t="n">
        <x:f>B7359</x:f>
        <x:v>0.5</x:v>
      </x:c>
      <x:c r="E7359" s="1" t="n">
        <x:v>1</x:v>
      </x:c>
      <x:c r="F7359" s="1" t="str">
        <x:v>https://api.octopus.energy/v1/products/AGILE-24-10-01/electricity-tariffs/E-1R-AGILE-24-10-01-G/standard-unit-rates/</x:v>
      </x:c>
    </x:row>
    <x:row r="7360" ht="21" customHeight="1">
      <x:c r="A7360" s="24" t="n">
        <x:v>46301.833333333336</x:v>
      </x:c>
      <x:c r="B7360" s="6" t="n">
        <x:v>0.4454</x:v>
      </x:c>
      <x:c r="C7360" s="6" t="n">
        <x:v>0.2299</x:v>
      </x:c>
      <x:c r="D7360" s="6" t="n">
        <x:f>B7360</x:f>
        <x:v>0.4454</x:v>
      </x:c>
      <x:c r="E7360" s="1" t="n">
        <x:v>1</x:v>
      </x:c>
      <x:c r="F7360" s="1" t="str">
        <x:v>https://api.octopus.energy/v1/products/AGILE-24-10-01/electricity-tariffs/E-1R-AGILE-24-10-01-G/standard-unit-rates/</x:v>
      </x:c>
    </x:row>
    <x:row r="7361" ht="21" customHeight="1">
      <x:c r="A7361" s="24" t="n">
        <x:v>46301.854166666664</x:v>
      </x:c>
      <x:c r="B7361" s="6" t="n">
        <x:v>0.38670000000000004</x:v>
      </x:c>
      <x:c r="C7361" s="6" t="n">
        <x:v>0.203</x:v>
      </x:c>
      <x:c r="D7361" s="6" t="n">
        <x:f>B7361</x:f>
        <x:v>0.38670000000000004</x:v>
      </x:c>
      <x:c r="E7361" s="1" t="n">
        <x:v>1</x:v>
      </x:c>
      <x:c r="F7361" s="1" t="str">
        <x:v>https://api.octopus.energy/v1/products/AGILE-24-10-01/electricity-tariffs/E-1R-AGILE-24-10-01-G/standard-unit-rates/</x:v>
      </x:c>
    </x:row>
    <x:row r="7362" ht="21" customHeight="1">
      <x:c r="A7362" s="24" t="n">
        <x:v>46301.875</x:v>
      </x:c>
      <x:c r="B7362" s="6" t="n">
        <x:v>0.392</x:v>
      </x:c>
      <x:c r="C7362" s="6" t="n">
        <x:v>0.20550000000000002</x:v>
      </x:c>
      <x:c r="D7362" s="6" t="n">
        <x:f>B7362</x:f>
        <x:v>0.392</x:v>
      </x:c>
      <x:c r="E7362" s="1" t="n">
        <x:v>1</x:v>
      </x:c>
      <x:c r="F7362" s="1" t="str">
        <x:v>https://api.octopus.energy/v1/products/AGILE-24-10-01/electricity-tariffs/E-1R-AGILE-24-10-01-G/standard-unit-rates/</x:v>
      </x:c>
    </x:row>
    <x:row r="7363" ht="21" customHeight="1">
      <x:c r="A7363" s="24" t="n">
        <x:v>46301.895833333336</x:v>
      </x:c>
      <x:c r="B7363" s="6" t="n">
        <x:v>0.3394</x:v>
      </x:c>
      <x:c r="C7363" s="6" t="n">
        <x:v>0.1814</x:v>
      </x:c>
      <x:c r="D7363" s="6" t="n">
        <x:f>B7363</x:f>
        <x:v>0.3394</x:v>
      </x:c>
      <x:c r="E7363" s="1" t="n">
        <x:v>1</x:v>
      </x:c>
      <x:c r="F7363" s="1" t="str">
        <x:v>https://api.octopus.energy/v1/products/AGILE-24-10-01/electricity-tariffs/E-1R-AGILE-24-10-01-G/standard-unit-rates/</x:v>
      </x:c>
    </x:row>
    <x:row r="7364" ht="21" customHeight="1">
      <x:c r="A7364" s="24" t="n">
        <x:v>46301.916666666664</x:v>
      </x:c>
      <x:c r="B7364" s="6" t="n">
        <x:v>0.3414</x:v>
      </x:c>
      <x:c r="C7364" s="6" t="n">
        <x:v>0.18239999999999998</x:v>
      </x:c>
      <x:c r="D7364" s="6" t="n">
        <x:f>B7364</x:f>
        <x:v>0.3414</x:v>
      </x:c>
      <x:c r="E7364" s="1" t="n">
        <x:v>1</x:v>
      </x:c>
      <x:c r="F7364" s="1" t="str">
        <x:v>https://api.octopus.energy/v1/products/AGILE-24-10-01/electricity-tariffs/E-1R-AGILE-24-10-01-G/standard-unit-rates/</x:v>
      </x:c>
    </x:row>
    <x:row r="7365" ht="21" customHeight="1">
      <x:c r="A7365" s="24" t="n">
        <x:v>46301.9375</x:v>
      </x:c>
      <x:c r="B7365" s="6" t="n">
        <x:v>0.34049999999999997</x:v>
      </x:c>
      <x:c r="C7365" s="6" t="n">
        <x:v>0.1819</x:v>
      </x:c>
      <x:c r="D7365" s="6" t="n">
        <x:f>B7365</x:f>
        <x:v>0.34049999999999997</x:v>
      </x:c>
      <x:c r="E7365" s="1" t="n">
        <x:v>1</x:v>
      </x:c>
      <x:c r="F7365" s="1" t="str">
        <x:v>https://api.octopus.energy/v1/products/AGILE-24-10-01/electricity-tariffs/E-1R-AGILE-24-10-01-G/standard-unit-rates/</x:v>
      </x:c>
    </x:row>
    <x:row r="7366" ht="21" customHeight="1">
      <x:c r="A7366" s="24" t="n">
        <x:v>46302</x:v>
      </x:c>
      <x:c r="B7366" s="6" t="n">
        <x:v>0.3236</x:v>
      </x:c>
      <x:c r="C7366" s="6" t="n">
        <x:v>0.17420000000000002</x:v>
      </x:c>
      <x:c r="D7366" s="6" t="n">
        <x:f>B7366</x:f>
        <x:v>0.3236</x:v>
      </x:c>
      <x:c r="E7366" s="1" t="n">
        <x:v>1</x:v>
      </x:c>
      <x:c r="F7366" s="1" t="str">
        <x:v>https://api.octopus.energy/v1/products/AGILE-24-10-01/electricity-tariffs/E-1R-AGILE-24-10-01-G/standard-unit-rates/</x:v>
      </x:c>
    </x:row>
    <x:row r="7367" ht="21" customHeight="1">
      <x:c r="A7367" s="24" t="n">
        <x:v>46301.979166666664</x:v>
      </x:c>
      <x:c r="B7367" s="6" t="n">
        <x:v>0.32409999999999994</x:v>
      </x:c>
      <x:c r="C7367" s="6" t="n">
        <x:v>0.1744</x:v>
      </x:c>
      <x:c r="D7367" s="6" t="n">
        <x:f>B7367</x:f>
        <x:v>0.32409999999999994</x:v>
      </x:c>
      <x:c r="E7367" s="1" t="n">
        <x:v>1</x:v>
      </x:c>
      <x:c r="F7367" s="1" t="str">
        <x:v>https://api.octopus.energy/v1/products/AGILE-24-10-01/electricity-tariffs/E-1R-AGILE-24-10-01-G/standard-unit-rates/</x:v>
      </x:c>
    </x:row>
    <x:row r="7368" ht="21" customHeight="1">
      <x:c r="A7368" s="24" t="n">
        <x:v>46302</x:v>
      </x:c>
      <x:c r="B7368" s="6" t="n">
        <x:v>0.2942</x:v>
      </x:c>
      <x:c r="C7368" s="6" t="n">
        <x:v>0.16079999999999997</x:v>
      </x:c>
      <x:c r="D7368" s="6" t="n">
        <x:f>B7368</x:f>
        <x:v>0.2942</x:v>
      </x:c>
      <x:c r="E7368" s="1" t="n">
        <x:v>1</x:v>
      </x:c>
      <x:c r="F7368" s="1" t="str">
        <x:v>https://api.octopus.energy/v1/products/AGILE-24-10-01/electricity-tariffs/E-1R-AGILE-24-10-01-G/standard-unit-rates/</x:v>
      </x:c>
    </x:row>
    <x:row r="7369" ht="21" customHeight="1">
      <x:c r="A7369" s="24" t="n">
        <x:v>46302.020833333336</x:v>
      </x:c>
      <x:c r="B7369" s="6" t="n">
        <x:v>0.2864</x:v>
      </x:c>
      <x:c r="C7369" s="6" t="n">
        <x:v>0.1572</x:v>
      </x:c>
      <x:c r="D7369" s="6" t="n">
        <x:f>B7369</x:f>
        <x:v>0.2864</x:v>
      </x:c>
      <x:c r="E7369" s="1" t="n">
        <x:v>1</x:v>
      </x:c>
      <x:c r="F7369" s="1" t="str">
        <x:v>https://api.octopus.energy/v1/products/AGILE-24-10-01/electricity-tariffs/E-1R-AGILE-24-10-01-G/standard-unit-rates/</x:v>
      </x:c>
    </x:row>
    <x:row r="7370" ht="21" customHeight="1">
      <x:c r="A7370" s="24" t="n">
        <x:v>46302.041666666664</x:v>
      </x:c>
      <x:c r="B7370" s="6" t="n">
        <x:v>0.2776</x:v>
      </x:c>
      <x:c r="C7370" s="6" t="n">
        <x:v>0.1532</x:v>
      </x:c>
      <x:c r="D7370" s="6" t="n">
        <x:f>B7370</x:f>
        <x:v>0.2776</x:v>
      </x:c>
      <x:c r="E7370" s="1" t="n">
        <x:v>1</x:v>
      </x:c>
      <x:c r="F7370" s="1" t="str">
        <x:v>https://api.octopus.energy/v1/products/AGILE-24-10-01/electricity-tariffs/E-1R-AGILE-24-10-01-G/standard-unit-rates/</x:v>
      </x:c>
    </x:row>
    <x:row r="7371" ht="21" customHeight="1">
      <x:c r="A7371" s="24" t="n">
        <x:v>46302.0625</x:v>
      </x:c>
      <x:c r="B7371" s="6" t="n">
        <x:v>0.27399999999999997</x:v>
      </x:c>
      <x:c r="C7371" s="6" t="n">
        <x:v>0.1515</x:v>
      </x:c>
      <x:c r="D7371" s="6" t="n">
        <x:f>B7371</x:f>
        <x:v>0.27399999999999997</x:v>
      </x:c>
      <x:c r="E7371" s="1" t="n">
        <x:v>1</x:v>
      </x:c>
      <x:c r="F7371" s="1" t="str">
        <x:v>https://api.octopus.energy/v1/products/AGILE-24-10-01/electricity-tariffs/E-1R-AGILE-24-10-01-G/standard-unit-rates/</x:v>
      </x:c>
    </x:row>
    <x:row r="7372" ht="21" customHeight="1">
      <x:c r="A7372" s="24" t="n">
        <x:v>46302.083333333336</x:v>
      </x:c>
      <x:c r="B7372" s="6" t="n">
        <x:v>0.2778</x:v>
      </x:c>
      <x:c r="C7372" s="6" t="n">
        <x:v>0.1533</x:v>
      </x:c>
      <x:c r="D7372" s="6" t="n">
        <x:f>B7372</x:f>
        <x:v>0.2778</x:v>
      </x:c>
      <x:c r="E7372" s="1" t="n">
        <x:v>1</x:v>
      </x:c>
      <x:c r="F7372" s="1" t="str">
        <x:v>https://api.octopus.energy/v1/products/AGILE-24-10-01/electricity-tariffs/E-1R-AGILE-24-10-01-G/standard-unit-rates/</x:v>
      </x:c>
    </x:row>
    <x:row r="7373" ht="21" customHeight="1">
      <x:c r="A7373" s="24" t="n">
        <x:v>46302.104166666664</x:v>
      </x:c>
      <x:c r="B7373" s="6" t="n">
        <x:v>0.27190000000000003</x:v>
      </x:c>
      <x:c r="C7373" s="6" t="n">
        <x:v>0.1506</x:v>
      </x:c>
      <x:c r="D7373" s="6" t="n">
        <x:f>B7373</x:f>
        <x:v>0.27190000000000003</x:v>
      </x:c>
      <x:c r="E7373" s="1" t="n">
        <x:v>1</x:v>
      </x:c>
      <x:c r="F7373" s="1" t="str">
        <x:v>https://api.octopus.energy/v1/products/AGILE-24-10-01/electricity-tariffs/E-1R-AGILE-24-10-01-G/standard-unit-rates/</x:v>
      </x:c>
    </x:row>
    <x:row r="7374" ht="21" customHeight="1">
      <x:c r="A7374" s="24" t="n">
        <x:v>46302.125</x:v>
      </x:c>
      <x:c r="B7374" s="6" t="n">
        <x:v>0.2728</x:v>
      </x:c>
      <x:c r="C7374" s="6" t="n">
        <x:v>0.151</x:v>
      </x:c>
      <x:c r="D7374" s="6" t="n">
        <x:f>B7374</x:f>
        <x:v>0.2728</x:v>
      </x:c>
      <x:c r="E7374" s="1" t="n">
        <x:v>1</x:v>
      </x:c>
      <x:c r="F7374" s="1" t="str">
        <x:v>https://api.octopus.energy/v1/products/AGILE-24-10-01/electricity-tariffs/E-1R-AGILE-24-10-01-G/standard-unit-rates/</x:v>
      </x:c>
    </x:row>
    <x:row r="7375" ht="21" customHeight="1">
      <x:c r="A7375" s="24" t="n">
        <x:v>46302.145833333336</x:v>
      </x:c>
      <x:c r="B7375" s="6" t="n">
        <x:v>0.2692</x:v>
      </x:c>
      <x:c r="C7375" s="6" t="n">
        <x:v>0.1493</x:v>
      </x:c>
      <x:c r="D7375" s="6" t="n">
        <x:f>B7375</x:f>
        <x:v>0.2692</x:v>
      </x:c>
      <x:c r="E7375" s="1" t="n">
        <x:v>1</x:v>
      </x:c>
      <x:c r="F7375" s="1" t="str">
        <x:v>https://api.octopus.energy/v1/products/AGILE-24-10-01/electricity-tariffs/E-1R-AGILE-24-10-01-G/standard-unit-rates/</x:v>
      </x:c>
    </x:row>
    <x:row r="7376" ht="21" customHeight="1">
      <x:c r="A7376" s="24" t="n">
        <x:v>46302.166666666664</x:v>
      </x:c>
      <x:c r="B7376" s="6" t="n">
        <x:v>0.2812</x:v>
      </x:c>
      <x:c r="C7376" s="6" t="n">
        <x:v>0.1548</x:v>
      </x:c>
      <x:c r="D7376" s="6" t="n">
        <x:f>B7376</x:f>
        <x:v>0.2812</x:v>
      </x:c>
      <x:c r="E7376" s="1" t="n">
        <x:v>1</x:v>
      </x:c>
      <x:c r="F7376" s="1" t="str">
        <x:v>https://api.octopus.energy/v1/products/AGILE-24-10-01/electricity-tariffs/E-1R-AGILE-24-10-01-G/standard-unit-rates/</x:v>
      </x:c>
    </x:row>
    <x:row r="7377" ht="21" customHeight="1">
      <x:c r="A7377" s="24" t="n">
        <x:v>46302.1875</x:v>
      </x:c>
      <x:c r="B7377" s="6" t="n">
        <x:v>0.2753</x:v>
      </x:c>
      <x:c r="C7377" s="6" t="n">
        <x:v>0.1521</x:v>
      </x:c>
      <x:c r="D7377" s="6" t="n">
        <x:f>B7377</x:f>
        <x:v>0.2753</x:v>
      </x:c>
      <x:c r="E7377" s="1" t="n">
        <x:v>1</x:v>
      </x:c>
      <x:c r="F7377" s="1" t="str">
        <x:v>https://api.octopus.energy/v1/products/AGILE-24-10-01/electricity-tariffs/E-1R-AGILE-24-10-01-G/standard-unit-rates/</x:v>
      </x:c>
    </x:row>
    <x:row r="7378" ht="21" customHeight="1">
      <x:c r="A7378" s="24" t="n">
        <x:v>46302.208333333336</x:v>
      </x:c>
      <x:c r="B7378" s="6" t="n">
        <x:v>0.3182</x:v>
      </x:c>
      <x:c r="C7378" s="6" t="n">
        <x:v>0.17170000000000002</x:v>
      </x:c>
      <x:c r="D7378" s="6" t="n">
        <x:f>B7378</x:f>
        <x:v>0.3182</x:v>
      </x:c>
      <x:c r="E7378" s="1" t="n">
        <x:v>1</x:v>
      </x:c>
      <x:c r="F7378" s="1" t="str">
        <x:v>https://api.octopus.energy/v1/products/AGILE-24-10-01/electricity-tariffs/E-1R-AGILE-24-10-01-G/standard-unit-rates/</x:v>
      </x:c>
    </x:row>
    <x:row r="7379" ht="21" customHeight="1">
      <x:c r="A7379" s="24" t="n">
        <x:v>46302.229166666664</x:v>
      </x:c>
      <x:c r="B7379" s="6" t="n">
        <x:v>0.3312</x:v>
      </x:c>
      <x:c r="C7379" s="6" t="n">
        <x:v>0.1777</x:v>
      </x:c>
      <x:c r="D7379" s="6" t="n">
        <x:f>B7379</x:f>
        <x:v>0.3312</x:v>
      </x:c>
      <x:c r="E7379" s="1" t="n">
        <x:v>1</x:v>
      </x:c>
      <x:c r="F7379" s="1" t="str">
        <x:v>https://api.octopus.energy/v1/products/AGILE-24-10-01/electricity-tariffs/E-1R-AGILE-24-10-01-G/standard-unit-rates/</x:v>
      </x:c>
    </x:row>
    <x:row r="7380" ht="21" customHeight="1">
      <x:c r="A7380" s="24" t="n">
        <x:v>46302.25</x:v>
      </x:c>
      <x:c r="B7380" s="6" t="n">
        <x:v>0.3856</x:v>
      </x:c>
      <x:c r="C7380" s="6" t="n">
        <x:v>0.2025</x:v>
      </x:c>
      <x:c r="D7380" s="6" t="n">
        <x:f>B7380</x:f>
        <x:v>0.3856</x:v>
      </x:c>
      <x:c r="E7380" s="1" t="n">
        <x:v>1</x:v>
      </x:c>
      <x:c r="F7380" s="1" t="str">
        <x:v>https://api.octopus.energy/v1/products/AGILE-24-10-01/electricity-tariffs/E-1R-AGILE-24-10-01-G/standard-unit-rates/</x:v>
      </x:c>
    </x:row>
    <x:row r="7381" ht="21" customHeight="1">
      <x:c r="A7381" s="24" t="n">
        <x:v>46302.270833333336</x:v>
      </x:c>
      <x:c r="B7381" s="6" t="n">
        <x:v>0.4202</x:v>
      </x:c>
      <x:c r="C7381" s="6" t="n">
        <x:v>0.2184</x:v>
      </x:c>
      <x:c r="D7381" s="6" t="n">
        <x:f>B7381</x:f>
        <x:v>0.4202</x:v>
      </x:c>
      <x:c r="E7381" s="1" t="n">
        <x:v>1</x:v>
      </x:c>
      <x:c r="F7381" s="1" t="str">
        <x:v>https://api.octopus.energy/v1/products/AGILE-24-10-01/electricity-tariffs/E-1R-AGILE-24-10-01-G/standard-unit-rates/</x:v>
      </x:c>
    </x:row>
    <x:row r="7382" ht="21" customHeight="1">
      <x:c r="A7382" s="24" t="n">
        <x:v>46302.291666666664</x:v>
      </x:c>
      <x:c r="B7382" s="6" t="n">
        <x:v>0.3776</x:v>
      </x:c>
      <x:c r="C7382" s="6" t="n">
        <x:v>0.1989</x:v>
      </x:c>
      <x:c r="D7382" s="6" t="n">
        <x:f>B7382</x:f>
        <x:v>0.3776</x:v>
      </x:c>
      <x:c r="E7382" s="1" t="n">
        <x:v>1</x:v>
      </x:c>
      <x:c r="F7382" s="1" t="str">
        <x:v>https://api.octopus.energy/v1/products/AGILE-24-10-01/electricity-tariffs/E-1R-AGILE-24-10-01-G/standard-unit-rates/</x:v>
      </x:c>
    </x:row>
    <x:row r="7383" ht="21" customHeight="1">
      <x:c r="A7383" s="24" t="n">
        <x:v>46302.3125</x:v>
      </x:c>
      <x:c r="B7383" s="6" t="n">
        <x:v>0.42479999999999996</x:v>
      </x:c>
      <x:c r="C7383" s="6" t="n">
        <x:v>0.2205</x:v>
      </x:c>
      <x:c r="D7383" s="6" t="n">
        <x:f>B7383</x:f>
        <x:v>0.42479999999999996</x:v>
      </x:c>
      <x:c r="E7383" s="1" t="n">
        <x:v>1</x:v>
      </x:c>
      <x:c r="F7383" s="1" t="str">
        <x:v>https://api.octopus.energy/v1/products/AGILE-24-10-01/electricity-tariffs/E-1R-AGILE-24-10-01-G/standard-unit-rates/</x:v>
      </x:c>
    </x:row>
    <x:row r="7384" ht="21" customHeight="1">
      <x:c r="A7384" s="24" t="n">
        <x:v>46302.333333333336</x:v>
      </x:c>
      <x:c r="B7384" s="6" t="n">
        <x:v>0.3601</x:v>
      </x:c>
      <x:c r="C7384" s="6" t="n">
        <x:v>0.1909</x:v>
      </x:c>
      <x:c r="D7384" s="6" t="n">
        <x:f>B7384</x:f>
        <x:v>0.3601</x:v>
      </x:c>
      <x:c r="E7384" s="1" t="n">
        <x:v>1</x:v>
      </x:c>
      <x:c r="F7384" s="1" t="str">
        <x:v>https://api.octopus.energy/v1/products/AGILE-24-10-01/electricity-tariffs/E-1R-AGILE-24-10-01-G/standard-unit-rates/</x:v>
      </x:c>
    </x:row>
    <x:row r="7385" ht="21" customHeight="1">
      <x:c r="A7385" s="24" t="n">
        <x:v>46302.354166666664</x:v>
      </x:c>
      <x:c r="B7385" s="6" t="n">
        <x:v>0.35479999999999995</x:v>
      </x:c>
      <x:c r="C7385" s="6" t="n">
        <x:v>0.1884</x:v>
      </x:c>
      <x:c r="D7385" s="6" t="n">
        <x:f>B7385</x:f>
        <x:v>0.35479999999999995</x:v>
      </x:c>
      <x:c r="E7385" s="1" t="n">
        <x:v>1</x:v>
      </x:c>
      <x:c r="F7385" s="1" t="str">
        <x:v>https://api.octopus.energy/v1/products/AGILE-24-10-01/electricity-tariffs/E-1R-AGILE-24-10-01-G/standard-unit-rates/</x:v>
      </x:c>
    </x:row>
    <x:row r="7386" ht="21" customHeight="1">
      <x:c r="A7386" s="24" t="n">
        <x:v>46302.375</x:v>
      </x:c>
      <x:c r="B7386" s="6" t="n">
        <x:v>0.3078</x:v>
      </x:c>
      <x:c r="C7386" s="6" t="n">
        <x:v>0.16699999999999998</x:v>
      </x:c>
      <x:c r="D7386" s="6" t="n">
        <x:f>B7386</x:f>
        <x:v>0.3078</x:v>
      </x:c>
      <x:c r="E7386" s="1" t="n">
        <x:v>1</x:v>
      </x:c>
      <x:c r="F7386" s="1" t="str">
        <x:v>https://api.octopus.energy/v1/products/AGILE-24-10-01/electricity-tariffs/E-1R-AGILE-24-10-01-G/standard-unit-rates/</x:v>
      </x:c>
    </x:row>
    <x:row r="7387" ht="21" customHeight="1">
      <x:c r="A7387" s="24" t="n">
        <x:v>46302.395833333336</x:v>
      </x:c>
      <x:c r="B7387" s="6" t="n">
        <x:v>0.3002</x:v>
      </x:c>
      <x:c r="C7387" s="6" t="n">
        <x:v>0.1635</x:v>
      </x:c>
      <x:c r="D7387" s="6" t="n">
        <x:f>B7387</x:f>
        <x:v>0.3002</x:v>
      </x:c>
      <x:c r="E7387" s="1" t="n">
        <x:v>1</x:v>
      </x:c>
      <x:c r="F7387" s="1" t="str">
        <x:v>https://api.octopus.energy/v1/products/AGILE-24-10-01/electricity-tariffs/E-1R-AGILE-24-10-01-G/standard-unit-rates/</x:v>
      </x:c>
    </x:row>
    <x:row r="7388" ht="21" customHeight="1">
      <x:c r="A7388" s="24" t="n">
        <x:v>46302.416666666664</x:v>
      </x:c>
      <x:c r="B7388" s="6" t="n">
        <x:v>0.2994</x:v>
      </x:c>
      <x:c r="C7388" s="6" t="n">
        <x:v>0.1632</x:v>
      </x:c>
      <x:c r="D7388" s="6" t="n">
        <x:f>B7388</x:f>
        <x:v>0.2994</x:v>
      </x:c>
      <x:c r="E7388" s="1" t="n">
        <x:v>1</x:v>
      </x:c>
      <x:c r="F7388" s="1" t="str">
        <x:v>https://api.octopus.energy/v1/products/AGILE-24-10-01/electricity-tariffs/E-1R-AGILE-24-10-01-G/standard-unit-rates/</x:v>
      </x:c>
    </x:row>
    <x:row r="7389" ht="21" customHeight="1">
      <x:c r="A7389" s="24" t="n">
        <x:v>46302.4375</x:v>
      </x:c>
      <x:c r="B7389" s="6" t="n">
        <x:v>0.2894</x:v>
      </x:c>
      <x:c r="C7389" s="6" t="n">
        <x:v>0.1586</x:v>
      </x:c>
      <x:c r="D7389" s="6" t="n">
        <x:f>B7389</x:f>
        <x:v>0.2894</x:v>
      </x:c>
      <x:c r="E7389" s="1" t="n">
        <x:v>1</x:v>
      </x:c>
      <x:c r="F7389" s="1" t="str">
        <x:v>https://api.octopus.energy/v1/products/AGILE-24-10-01/electricity-tariffs/E-1R-AGILE-24-10-01-G/standard-unit-rates/</x:v>
      </x:c>
    </x:row>
    <x:row r="7390" ht="21" customHeight="1">
      <x:c r="A7390" s="24" t="n">
        <x:v>46302.458333333336</x:v>
      </x:c>
      <x:c r="B7390" s="6" t="n">
        <x:v>0.28559999999999997</x:v>
      </x:c>
      <x:c r="C7390" s="6" t="n">
        <x:v>0.1568</x:v>
      </x:c>
      <x:c r="D7390" s="6" t="n">
        <x:f>B7390</x:f>
        <x:v>0.28559999999999997</x:v>
      </x:c>
      <x:c r="E7390" s="1" t="n">
        <x:v>1</x:v>
      </x:c>
      <x:c r="F7390" s="1" t="str">
        <x:v>https://api.octopus.energy/v1/products/AGILE-24-10-01/electricity-tariffs/E-1R-AGILE-24-10-01-G/standard-unit-rates/</x:v>
      </x:c>
    </x:row>
    <x:row r="7391" ht="21" customHeight="1">
      <x:c r="A7391" s="24" t="n">
        <x:v>46302.479166666664</x:v>
      </x:c>
      <x:c r="B7391" s="6" t="n">
        <x:v>0.2615</x:v>
      </x:c>
      <x:c r="C7391" s="6" t="n">
        <x:v>0.1458</x:v>
      </x:c>
      <x:c r="D7391" s="6" t="n">
        <x:f>B7391</x:f>
        <x:v>0.2615</x:v>
      </x:c>
      <x:c r="E7391" s="1" t="n">
        <x:v>1</x:v>
      </x:c>
      <x:c r="F7391" s="1" t="str">
        <x:v>https://api.octopus.energy/v1/products/AGILE-24-10-01/electricity-tariffs/E-1R-AGILE-24-10-01-G/standard-unit-rates/</x:v>
      </x:c>
    </x:row>
    <x:row r="7392" ht="21" customHeight="1">
      <x:c r="A7392" s="24" t="n">
        <x:v>46302.5</x:v>
      </x:c>
      <x:c r="B7392" s="6" t="n">
        <x:v>0.248</x:v>
      </x:c>
      <x:c r="C7392" s="6" t="n">
        <x:v>0.1396</x:v>
      </x:c>
      <x:c r="D7392" s="6" t="n">
        <x:f>B7392</x:f>
        <x:v>0.248</x:v>
      </x:c>
      <x:c r="E7392" s="1" t="n">
        <x:v>1</x:v>
      </x:c>
      <x:c r="F7392" s="1" t="str">
        <x:v>https://api.octopus.energy/v1/products/AGILE-24-10-01/electricity-tariffs/E-1R-AGILE-24-10-01-G/standard-unit-rates/</x:v>
      </x:c>
    </x:row>
    <x:row r="7393" ht="21" customHeight="1">
      <x:c r="A7393" s="24" t="n">
        <x:v>46302.520833333336</x:v>
      </x:c>
      <x:c r="B7393" s="6" t="n">
        <x:v>0.2438</x:v>
      </x:c>
      <x:c r="C7393" s="6" t="n">
        <x:v>0.1377</x:v>
      </x:c>
      <x:c r="D7393" s="6" t="n">
        <x:f>B7393</x:f>
        <x:v>0.2438</x:v>
      </x:c>
      <x:c r="E7393" s="1" t="n">
        <x:v>1</x:v>
      </x:c>
      <x:c r="F7393" s="1" t="str">
        <x:v>https://api.octopus.energy/v1/products/AGILE-24-10-01/electricity-tariffs/E-1R-AGILE-24-10-01-G/standard-unit-rates/</x:v>
      </x:c>
    </x:row>
    <x:row r="7394" ht="21" customHeight="1">
      <x:c r="A7394" s="24" t="n">
        <x:v>46302.541666666664</x:v>
      </x:c>
      <x:c r="B7394" s="6" t="n">
        <x:v>0.2432</x:v>
      </x:c>
      <x:c r="C7394" s="6" t="n">
        <x:v>0.1374</x:v>
      </x:c>
      <x:c r="D7394" s="6" t="n">
        <x:f>B7394</x:f>
        <x:v>0.2432</x:v>
      </x:c>
      <x:c r="E7394" s="1" t="n">
        <x:v>1</x:v>
      </x:c>
      <x:c r="F7394" s="1" t="str">
        <x:v>https://api.octopus.energy/v1/products/AGILE-24-10-01/electricity-tariffs/E-1R-AGILE-24-10-01-G/standard-unit-rates/</x:v>
      </x:c>
    </x:row>
    <x:row r="7395" ht="21" customHeight="1">
      <x:c r="A7395" s="24" t="n">
        <x:v>46302.5625</x:v>
      </x:c>
      <x:c r="B7395" s="6" t="n">
        <x:v>0.2369</x:v>
      </x:c>
      <x:c r="C7395" s="6" t="n">
        <x:v>0.1346</x:v>
      </x:c>
      <x:c r="D7395" s="6" t="n">
        <x:f>B7395</x:f>
        <x:v>0.2369</x:v>
      </x:c>
      <x:c r="E7395" s="1" t="n">
        <x:v>1</x:v>
      </x:c>
      <x:c r="F7395" s="1" t="str">
        <x:v>https://api.octopus.energy/v1/products/AGILE-24-10-01/electricity-tariffs/E-1R-AGILE-24-10-01-G/standard-unit-rates/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1" customHeight="1">
      <x:c r="A1" s="2" t="str">
        <x:v>Bills and NetZero reconciliation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1" customHeight="1">
      <x:c r="A2" s="1" t="str">
        <x:v>Matching complete Agile billing periods. Energy charges below exclude VAT; billed totals include VAT.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60" customHeight="1">
      <x:c r="A4" s="5" t="str">
        <x:v>Period start</x:v>
      </x:c>
      <x:c r="B4" s="5" t="str">
        <x:v>Period end (exclusive)</x:v>
      </x:c>
      <x:c r="C4" s="5" t="str">
        <x:v>Billed import kWh</x:v>
      </x:c>
      <x:c r="D4" s="5" t="str">
        <x:v>NetZero import kWh</x:v>
      </x:c>
      <x:c r="E4" s="5" t="str">
        <x:v>Import difference</x:v>
      </x:c>
      <x:c r="F4" s="5" t="str">
        <x:v>Billed energy £</x:v>
      </x:c>
      <x:c r="G4" s="5" t="str">
        <x:v>NetZero energy £</x:v>
      </x:c>
      <x:c r="H4" s="5" t="str">
        <x:v>Cost difference £</x:v>
      </x:c>
      <x:c r="I4" s="5" t="str">
        <x:v>Billed total £</x:v>
      </x:c>
      <x:c r="J4" s="5" t="str">
        <x:v>Statement date</x:v>
      </x:c>
    </x:row>
    <x:row r="5" ht="21" customHeight="1">
      <x:c r="A5" s="10" t="n">
        <x:v>46165</x:v>
      </x:c>
      <x:c r="B5" s="10" t="n">
        <x:v>46177</x:v>
      </x:c>
      <x:c r="C5" s="11" t="n">
        <x:v>261.9</x:v>
      </x:c>
      <x:c r="D5" s="11" t="n">
        <x:v>251.72583333333333</x:v>
      </x:c>
      <x:c r="E5" s="14" t="n">
        <x:f>D5/C5-1</x:f>
        <x:v>-0.038847524500445374</x:v>
      </x:c>
      <x:c r="F5" s="13" t="n">
        <x:v>45.58</x:v>
      </x:c>
      <x:c r="G5" s="13" t="n">
        <x:v>41.243456308333336</x:v>
      </x:c>
      <x:c r="H5" s="13" t="n">
        <x:f>G5-F5</x:f>
        <x:v>-4.336543691666662</x:v>
      </x:c>
      <x:c r="I5" s="13" t="n">
        <x:v>54.55</x:v>
      </x:c>
      <x:c r="J5" s="10" t="n">
        <x:v>46177</x:v>
      </x:c>
    </x:row>
    <x:row r="6" ht="21" customHeight="1">
      <x:c r="A6" s="10" t="n">
        <x:v>46177</x:v>
      </x:c>
      <x:c r="B6" s="10" t="n">
        <x:v>46207</x:v>
      </x:c>
      <x:c r="C6" s="11" t="n">
        <x:v>686.7</x:v>
      </x:c>
      <x:c r="D6" s="11" t="n">
        <x:v>661.1583333333333</x:v>
      </x:c>
      <x:c r="E6" s="14" t="n">
        <x:f>D6/C6-1</x:f>
        <x:v>-0.037194796369108385</x:v>
      </x:c>
      <x:c r="F6" s="13" t="n">
        <x:v>64.99</x:v>
      </x:c>
      <x:c r="G6" s="13" t="n">
        <x:v>57.338107083333334</x:v>
      </x:c>
      <x:c r="H6" s="13" t="n">
        <x:f>G6-F6</x:f>
        <x:v>-7.651892916666661</x:v>
      </x:c>
      <x:c r="I6" s="13" t="n">
        <x:v>84.98</x:v>
      </x:c>
      <x:c r="J6" s="10" t="n">
        <x:v>46207</x:v>
      </x:c>
    </x:row>
    <x:row r="7" ht="21" customHeight="1">
      <x:c r="A7" s="10" t="n">
        <x:v>46207</x:v>
      </x:c>
      <x:c r="B7" s="10" t="n">
        <x:v>46238</x:v>
      </x:c>
      <x:c r="C7" s="11" t="n">
        <x:v>733.8</x:v>
      </x:c>
      <x:c r="D7" s="11" t="n">
        <x:v>706.8248333333333</x:v>
      </x:c>
      <x:c r="E7" s="14" t="n">
        <x:f>D7/C7-1</x:f>
        <x:v>-0.03676092486599425</x:v>
      </x:c>
      <x:c r="F7" s="13" t="n">
        <x:v>96.25</x:v>
      </x:c>
      <x:c r="G7" s="13" t="n">
        <x:v>86.12691105</x:v>
      </x:c>
      <x:c r="H7" s="13" t="n">
        <x:f>G7-F7</x:f>
        <x:v>-10.123088949999996</x:v>
      </x:c>
      <x:c r="I7" s="13" t="n">
        <x:v>118.36</x:v>
      </x:c>
      <x:c r="J7" s="10" t="n">
        <x:v>46240</x:v>
      </x:c>
    </x:row>
    <x:row r="8" ht="21" customHeight="1">
      <x:c r="A8" s="10" t="n">
        <x:v>46238</x:v>
      </x:c>
      <x:c r="B8" s="10" t="n">
        <x:v>46269</x:v>
      </x:c>
      <x:c r="C8" s="11" t="n">
        <x:v>784.6</x:v>
      </x:c>
      <x:c r="D8" s="11" t="n">
        <x:v>756.6640833333333</x:v>
      </x:c>
      <x:c r="E8" s="14" t="n">
        <x:f>D8/C8-1</x:f>
        <x:v>-0.035605297816297066</x:v>
      </x:c>
      <x:c r="F8" s="13" t="n">
        <x:v>144.59</x:v>
      </x:c>
      <x:c r="G8" s="13" t="n">
        <x:v>130.75144898333335</x:v>
      </x:c>
      <x:c r="H8" s="13" t="n">
        <x:f>G8-F8</x:f>
        <x:v>-13.838551016666656</x:v>
      </x:c>
      <x:c r="I8" s="13" t="n">
        <x:v>169.11</x:v>
      </x:c>
      <x:c r="J8" s="10" t="n">
        <x:v>46269</x:v>
      </x:c>
    </x:row>
    <x:row r="9" ht="21" customHeight="1">
      <x:c r="A9" s="10" t="n">
        <x:v>46269</x:v>
      </x:c>
      <x:c r="B9" s="10" t="n">
        <x:v>46296</x:v>
      </x:c>
      <x:c r="C9" s="11" t="n">
        <x:v>468.5</x:v>
      </x:c>
      <x:c r="D9" s="11" t="n">
        <x:v>447.9268333333333</x:v>
      </x:c>
      <x:c r="E9" s="14" t="n">
        <x:f>D9/C9-1</x:f>
        <x:v>-0.04391284240483817</x:v>
      </x:c>
      <x:c r="F9" s="13" t="n">
        <x:v>58.94</x:v>
      </x:c>
      <x:c r="G9" s="13" t="n">
        <x:v>50.89005540833333</x:v>
      </x:c>
      <x:c r="H9" s="13" t="n">
        <x:f>G9-F9</x:f>
        <x:v>-8.049944591666666</x:v>
      </x:c>
      <x:c r="I9" s="13" t="n">
        <x:v>76.94</x:v>
      </x:c>
      <x:c r="J9" s="10" t="n">
        <x:v>46301</x:v>
      </x:c>
    </x:row>
    <x:row r="10" ht="21" customHeight="1">
      <x:c r="A10" s="10" t="n">
        <x:v>46296</x:v>
      </x:c>
      <x:c r="B10" s="10" t="n">
        <x:v>46299</x:v>
      </x:c>
      <x:c r="C10" s="11" t="n">
        <x:v>79.6</x:v>
      </x:c>
      <x:c r="D10" s="11" t="n">
        <x:v>76.92891666666667</x:v>
      </x:c>
      <x:c r="E10" s="14" t="n">
        <x:f>D10/C10-1</x:f>
        <x:v>-0.033556323283082</x:v>
      </x:c>
      <x:c r="F10" s="13" t="n">
        <x:v>21.19</x:v>
      </x:c>
      <x:c r="G10" s="13" t="n">
        <x:v>19.529911908333332</x:v>
      </x:c>
      <x:c r="H10" s="13" t="n">
        <x:f>G10-F10</x:f>
        <x:v>-1.660088091666669</x:v>
      </x:c>
      <x:c r="I10" s="13" t="n">
        <x:v>22.79</x:v>
      </x:c>
      <x:c r="J10" s="10" t="n">
        <x:v>46301</x:v>
      </x:c>
    </x:row>
    <x:row r="11" ht="21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 ht="28" customHeight="1">
      <x:c r="A12" s="9" t="str">
        <x:v>NetZero under-records imported energy versus the bills, and cost differences also reflect timing and meter granularity. Savings use NetZero household demand and imported energy consistently; they are estimates rather than reconciled invoice savings.</x:v>
      </x:c>
      <x:c r="B12" s="9"/>
      <x:c r="C12" s="9"/>
      <x:c r="D12" s="9"/>
      <x:c r="E12" s="9"/>
      <x:c r="F12" s="9"/>
      <x:c r="G12" s="9"/>
      <x:c r="H12" s="9"/>
      <x:c r="I12" s="9"/>
      <x:c r="J12" s="9"/>
    </x:row>
    <x:row r="13" ht="28" customHeight="1">
      <x:c r="A13" s="9"/>
      <x:c r="B13" s="9"/>
      <x:c r="C13" s="9"/>
      <x:c r="D13" s="9"/>
      <x:c r="E13" s="9"/>
      <x:c r="F13" s="9"/>
      <x:c r="G13" s="9"/>
      <x:c r="H13" s="9"/>
      <x:c r="I13" s="9"/>
      <x:c r="J13" s="9"/>
    </x:row>
    <x:row r="14" ht="21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8" customHeight="1">
      <x:c r="A15" s="9" t="str">
        <x:v>Sources: octopus-energy-statement-2026-06-04.pdf, 2026-07-04.pdf, 2026-08-06.pdf, 2026-09-04.pdf and 2026-10-06.pdf; electricity charges in detail. Earlier bills establish fixed rates and the switch date.</x:v>
      </x:c>
      <x:c r="B15" s="9"/>
      <x:c r="C15" s="9"/>
      <x:c r="D15" s="9"/>
      <x:c r="E15" s="9"/>
      <x:c r="F15" s="9"/>
      <x:c r="G15" s="9"/>
      <x:c r="H15" s="9"/>
      <x:c r="I15" s="9"/>
      <x:c r="J15" s="9"/>
    </x:row>
    <x:row r="16" ht="28" customHeight="1">
      <x:c r="A16" s="9"/>
      <x:c r="B16" s="9"/>
      <x:c r="C16" s="9"/>
      <x:c r="D16" s="9"/>
      <x:c r="E16" s="9"/>
      <x:c r="F16" s="9"/>
      <x:c r="G16" s="9"/>
      <x:c r="H16" s="9"/>
      <x:c r="I16" s="9"/>
      <x:c r="J16" s="9"/>
    </x:row>
    <x:row r="17" ht="21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</x:sheetData>
  <x:mergeCells>
    <x:mergeCell ref="A12:J13"/>
    <x:mergeCell ref="A15:J16"/>
  </x:mergeCells>
  <x:pageMargins left="0.7" right="0.7" top="0.75" bottom="0.75" header="0.3" footer="0.3"/>
</x:worksheet>
</file>